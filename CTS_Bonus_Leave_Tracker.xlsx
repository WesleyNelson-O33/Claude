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Settings" sheetId="5" state="visible" r:id="rId7"/>
  </sheets>
  <definedNames>
    <definedName function="false" hidden="true" localSheetId="3" name="_xlnm._FilterDatabase" vbProcedure="false">'All Staff Breakdown'!$A$4:$G$154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<sst xmlns="http://schemas.openxmlformats.org/spreadsheetml/2006/main" count="239" uniqueCount="194">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</sst>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C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 collapsed="false" customWidth="true" hidden="true" outlineLevel="0" max="55" min="55" style="0" width="13"/>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c r="BC4" s="8" t="s">
        <v>79</v>
      </c>
    </row>
    <row r="5" customFormat="false" ht="15" hidden="false" customHeight="false" outlineLevel="0" collapsed="false">
      <c r="A5" s="9"/>
      <c r="B5" s="9"/>
      <c r="C5" s="9"/>
      <c r="D5" s="10"/>
      <c r="E5" s="11" t="str">
        <f aca="false">IF(OR(AE5=0,$D5=""),"",DATE(YEAR(AsOfDate)+IF(DATE(YEAR(AsOfDate),MONTH($D5),DAY($D5))&lt;=AsOfDate,1,0),MONTH($D5),DAY($D5)))</f>
        <v/>
      </c>
      <c r="F5" s="10"/>
      <c r="G5" s="10"/>
      <c r="H5" s="10"/>
      <c r="I5" s="10"/>
      <c r="J5" s="10"/>
      <c r="K5" s="11" t="str">
        <f aca="false">IF(AE5=0,"",DATE(YEAR(AsOfDate)+IF(DATE(YEAR(AsOfDate),MONTH(AF5),DAY(AF5))&lt;=AsOfDate,1,0),MONTH(AF5),DAY(AF5)))</f>
        <v/>
      </c>
      <c r="L5" s="12" t="str">
        <f aca="false">IF(AE5=0,"",ROUND((AsOfDate-AF5)/365.25,1))</f>
        <v/>
      </c>
      <c r="M5" s="13" t="str">
        <f aca="false">IF(AE5=0,"",IF(AsOfDate&lt;AF5,"-",DATEDIF(AF5,AsOfDate,"y")&amp;"y "&amp;DATEDIF(AF5,AsOfDate,"ym")&amp;"m "&amp;DATEDIF(AF5,AsOfDate,"md")&amp;"d"))</f>
        <v/>
      </c>
      <c r="N5" s="14" t="str">
        <f aca="false">IF(AE5=0,"",O5*HoursPerDay)</f>
        <v/>
      </c>
      <c r="O5" s="14" t="str">
        <f aca="false">IF(AE5=0,"",AX5)</f>
        <v/>
      </c>
      <c r="P5" s="15"/>
      <c r="Q5" s="13"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13"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1" t="str">
        <f aca="false">IF(AE5=0,"",IF(AQ5="None","",EDATE(AF5,AZ5)))</f>
        <v/>
      </c>
      <c r="T5" s="14" t="str">
        <f aca="false">IF(AE5=0,"",IF(NOT(LH_Ready),"",IF(AF5&gt;PFYDate,0,IF(LH_ColPeriod=0,W5-U5+V5,SUMIFS(INDEX(LH_Data,0,LH_ColAcc),INDEX(LH_Data,0,LH_ColFirst),$A5,INDEX(LH_Data,0,LH_ColSur),$B5,INDEX(LH_Data,0,LH_ColCat),BonusCat,INDEX(LH_Data,0,LH_ColPeriod),LH_OpenLabel)*UnitFactor))))</f>
        <v/>
      </c>
      <c r="U5" s="14" t="str">
        <f aca="false">IF(AE5=0,"",IF(NOT(LH_Ready),"",SUMIFS(INDEX(LH_Data,0,LH_ColAcc),INDEX(LH_Data,0,LH_ColFirst),$A5,INDEX(LH_Data,0,LH_ColSur),$B5,INDEX(LH_Data,0,LH_ColCat),BonusCat,INDEX(LH_Data,0,LH_ColStart),"&gt;="&amp;AF5)*UnitFactor))</f>
        <v/>
      </c>
      <c r="V5" s="14" t="str">
        <f aca="false">IF(AE5=0,"",IF(NOT(LH_Ready),"",SUMIFS(INDEX(LH_Data,0,LH_ColTaken),INDEX(LH_Data,0,LH_ColFirst),$A5,INDEX(LH_Data,0,LH_ColSur),$B5,INDEX(LH_Data,0,LH_ColCat),BonusCat,INDEX(LH_Data,0,LH_ColStart),"&gt;="&amp;AF5)*UnitFactor))</f>
        <v/>
      </c>
      <c r="W5" s="14" t="str">
        <f aca="false">IF(AE5=0,"",IF(NOT(LH_Ready),"",IF(BB5=0,0,INDEX(INDEX(LH_Data,0,LH_ColClose),BB5-1)*UnitFactor)))</f>
        <v/>
      </c>
      <c r="X5" s="14" t="str">
        <f aca="false">IF(AE5=0,"",(AX5-AY5)*HoursPerDay)</f>
        <v/>
      </c>
      <c r="Y5" s="14" t="str">
        <f aca="false">IF(AE5=0,"",IF(NOT(LH_Ready),"",IF(BA5=0,N5,IF(PFYDate&lt;$F5,N5-N(T5)-N(U5),X5-N(U5)))))</f>
        <v/>
      </c>
      <c r="Z5" s="13" t="str">
        <f aca="false">IF(OR(AE5=0,Y5=""),"",IF(Y5&gt;0,"Yes","No"))</f>
        <v/>
      </c>
      <c r="AA5" s="13"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 hrs more than policy since commencement",IF(N(W5)&gt;O5*HoursPerDay+0.01,"CHECK - EH balance "&amp;ROUND(W5-O5*HoursPerDay,2)&amp;" hrs more than policy entitlement",IF(O5&gt;0,"OK - nothing to add",IF(AQ5="None",R5,"Not yet - first day on "&amp;TEXT(S5,"dd/mm/yyyy")))))))))</f>
        <v/>
      </c>
      <c r="AB5" s="14" t="str">
        <f aca="false">IF(OR(AE5=0,T5=""),"",AY5*HoursPerDay-T5)</f>
        <v/>
      </c>
      <c r="AC5" s="13" t="str">
        <f aca="false">IF(AE5=0,"",BA5)</f>
        <v/>
      </c>
      <c r="AD5" s="13"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3" t="n">
        <f aca="false">IF(OR(LEN($A5&amp;$B5)=0,$F5=""),0,1)</f>
        <v>0</v>
      </c>
      <c r="AF5" s="11" t="str">
        <f aca="false">IF(AE5=0,"",IF($J5&lt;&gt;"",$J5,IF(OR(CasualCounts="Yes",COUNT($G5:$I5)=0,COUNT($G5:$H5)=0),$F5,MIN($G5:$H5))))</f>
        <v/>
      </c>
      <c r="AG5" s="13" t="str">
        <f aca="false">IF(AE5=0,"",COUNT($G5:$I5))</f>
        <v/>
      </c>
      <c r="AH5" s="11" t="str">
        <f aca="false">IF(AE5=0,"",IFERROR(SMALL($G5:$I5,1),""))</f>
        <v/>
      </c>
      <c r="AI5" s="11" t="str">
        <f aca="false">IF(AE5=0,"",IFERROR(SMALL($G5:$I5,2),""))</f>
        <v/>
      </c>
      <c r="AJ5" s="11" t="str">
        <f aca="false">IF(AE5=0,"",IFERROR(SMALL($G5:$I5,3),""))</f>
        <v/>
      </c>
      <c r="AK5" s="13" t="str">
        <f aca="false">IF(AE5=0,"",IF(AH5="","",IF(AH5=$G5,"Part-Time",IF(AH5=$H5,"Full-Time","Casual"))))</f>
        <v/>
      </c>
      <c r="AL5" s="13" t="str">
        <f aca="false">IF(AE5=0,"",IF(AI5="","",IF(AI5=$G5,"Part-Time",IF(AI5=$H5,"Full-Time","Casual"))))</f>
        <v/>
      </c>
      <c r="AM5" s="13" t="str">
        <f aca="false">IF(AE5=0,"",IF(AJ5="","",IF(AJ5=$G5,"Part-Time",IF(AJ5=$H5,"Full-Time","Casual"))))</f>
        <v/>
      </c>
      <c r="AN5" s="13"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3" t="str">
        <f aca="false">IF(AE5=0,"",IF(AG5&lt;2,"",IF(OR(ISNUMBER(SEARCH("full",AL5)),UPPER(TRIM(AL5))="FT",UPPER(TRIM(AL5))="FTE"),"FT",IF(AND(OR(ISNUMBER(SEARCH("part",AL5)),UPPER(TRIM(AL5))="PT",UPPER(TRIM(AL5))="PTE"),OR($P5="",N($P5)&gt;=PT_MinHours)),"PT","None"))))</f>
        <v/>
      </c>
      <c r="AP5" s="13" t="str">
        <f aca="false">IF(AE5=0,"",IF(AG5&lt;3,"",IF(OR(ISNUMBER(SEARCH("full",AM5)),UPPER(TRIM(AM5))="FT",UPPER(TRIM(AM5))="FTE"),"FT",IF(AND(OR(ISNUMBER(SEARCH("part",AM5)),UPPER(TRIM(AM5))="PT",UPPER(TRIM(AM5))="PTE"),OR($P5="",N($P5)&gt;=PT_MinHours)),"PT","None"))))</f>
        <v/>
      </c>
      <c r="AQ5" s="13" t="str">
        <f aca="false">IF(AE5=0,"",IF(AND(AG5&gt;=3,AJ5&lt;=AsOfDate),AP5,IF(AND(AG5&gt;=2,AI5&lt;=AsOfDate),AO5,AN5)))</f>
        <v/>
      </c>
      <c r="AR5" s="13" t="str">
        <f aca="false">IF(AE5=0,"",IF(AsOfDate&lt;AF5,-1,12*(YEAR(AsOfDate)-YEAR(AF5))+MONTH(AsOfDate)-MONTH(AF5)-IF(DAY(AsOfDate)&lt;MIN(DAY(AF5),DAY(EOMONTH(AsOfDate,0))),1,0)))</f>
        <v/>
      </c>
      <c r="AS5" s="13" t="str">
        <f aca="false">IF(AE5=0,"",IF(OR(AG5&lt;2,AI5&gt;AsOfDate),AR5,IF((AI5-1)&lt;AF5,-1,12*(YEAR((AI5-1))-YEAR(AF5))+MONTH((AI5-1))-MONTH(AF5)-IF(DAY((AI5-1))&lt;MIN(DAY(AF5),DAY(EOMONTH((AI5-1),0))),1,0))))</f>
        <v/>
      </c>
      <c r="AT5" s="13" t="str">
        <f aca="false">IF(AE5=0,"",IF(OR(AG5&lt;3,AJ5&gt;AsOfDate),AR5,IF((AJ5-1)&lt;AF5,-1,12*(YEAR((AJ5-1))-YEAR(AF5))+MONTH((AJ5-1))-MONTH(AF5)-IF(DAY((AJ5-1))&lt;MIN(DAY(AF5),DAY(EOMONTH((AJ5-1),0))),1,0))))</f>
        <v/>
      </c>
      <c r="AU5" s="13" t="str">
        <f aca="false">IF(AE5=0,"",IF(PFYDate&lt;AF5,-1,12*(YEAR(PFYDate)-YEAR(AF5))+MONTH(PFYDate)-MONTH(AF5)-IF(DAY(PFYDate)&lt;MIN(DAY(AF5),DAY(EOMONTH(PFYDate,0))),1,0)))</f>
        <v/>
      </c>
      <c r="AV5" s="13" t="str">
        <f aca="false">IF(AE5=0,"",IF(OR(AG5&lt;2,AI5&gt;PFYDate),AU5,IF((AI5-1)&lt;AF5,-1,12*(YEAR((AI5-1))-YEAR(AF5))+MONTH((AI5-1))-MONTH(AF5)-IF(DAY((AI5-1))&lt;MIN(DAY(AF5),DAY(EOMONTH((AI5-1),0))),1,0))))</f>
        <v/>
      </c>
      <c r="AW5" s="13" t="str">
        <f aca="false">IF(AE5=0,"",IF(OR(AG5&lt;3,AJ5&gt;PFYDate),AU5,IF((AJ5-1)&lt;AF5,-1,12*(YEAR((AJ5-1))-YEAR(AF5))+MONTH((AJ5-1))-MONTH(AF5)-IF(DAY((AJ5-1))&lt;MIN(DAY(AF5),DAY(EOMONTH((AJ5-1),0))),1,0))))</f>
        <v/>
      </c>
      <c r="AX5" s="13"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3"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3" t="str">
        <f aca="false">IF(AE5=0,"",IF(AQ5="FT",IF(AR5&lt;FT_First,FT_First,IF(AR5&lt;FT_Y5,MIN(FT_Y5,FT_First+FT_Int1*(INT((AR5-FT_First)/FT_Int1)+1)),FT_Y5+12*INT((AR5-FT_Y5)/12)+FT_Int2*(INT(MOD(AR5-FT_Y5,12)/FT_Int2)+1))),IF(AQ5="PT",IF(AR5&lt;PT_First,PT_First,PT_First+PT_Int*(INT((AR5-PT_First)/PT_Int)+1)),"")))</f>
        <v/>
      </c>
      <c r="BA5" s="13" t="str">
        <f aca="false">IF(AE5=0,"",IF(NOT(LH_Ready),0,COUNTIFS(INDEX(LH_Data,0,LH_ColFirst),$A5,INDEX(LH_Data,0,LH_ColSur),$B5,INDEX(LH_Data,0,LH_ColCat),BonusCat)))</f>
        <v/>
      </c>
      <c r="BB5" s="13" t="str">
        <f aca="false">IF(AE5=0,"",IF(OR(NOT(LH_Ready),BA5=0),0,SUMPRODUCT(MAX((INDEX(LH_Data,0,LH_ColFirst)=$A5)*(INDEX(LH_Data,0,LH_ColSur)=$B5)*(INDEX(LH_Data,0,LH_ColCat)=BonusCat)*ROW(LH_Data)))))</f>
        <v/>
      </c>
      <c r="BC5" s="0" t="str">
        <f aca="false">IF(LEN($A5&amp;$B5)=0,"",$A5&amp;" "&amp;$B5)</f>
        <v/>
      </c>
    </row>
    <row r="6" customFormat="false" ht="15" hidden="false" customHeight="false" outlineLevel="0" collapsed="false">
      <c r="A6" s="9"/>
      <c r="B6" s="9"/>
      <c r="C6" s="9"/>
      <c r="D6" s="10"/>
      <c r="E6" s="11" t="str">
        <f aca="false">IF(OR(AE6=0,$D6=""),"",DATE(YEAR(AsOfDate)+IF(DATE(YEAR(AsOfDate),MONTH($D6),DAY($D6))&lt;=AsOfDate,1,0),MONTH($D6),DAY($D6)))</f>
        <v/>
      </c>
      <c r="F6" s="10"/>
      <c r="G6" s="10"/>
      <c r="H6" s="10"/>
      <c r="I6" s="10"/>
      <c r="J6" s="10"/>
      <c r="K6" s="11" t="str">
        <f aca="false">IF(AE6=0,"",DATE(YEAR(AsOfDate)+IF(DATE(YEAR(AsOfDate),MONTH(AF6),DAY(AF6))&lt;=AsOfDate,1,0),MONTH(AF6),DAY(AF6)))</f>
        <v/>
      </c>
      <c r="L6" s="12" t="str">
        <f aca="false">IF(AE6=0,"",ROUND((AsOfDate-AF6)/365.25,1))</f>
        <v/>
      </c>
      <c r="M6" s="13" t="str">
        <f aca="false">IF(AE6=0,"",IF(AsOfDate&lt;AF6,"-",DATEDIF(AF6,AsOfDate,"y")&amp;"y "&amp;DATEDIF(AF6,AsOfDate,"ym")&amp;"m "&amp;DATEDIF(AF6,AsOfDate,"md")&amp;"d"))</f>
        <v/>
      </c>
      <c r="N6" s="14" t="str">
        <f aca="false">IF(AE6=0,"",O6*HoursPerDay)</f>
        <v/>
      </c>
      <c r="O6" s="14" t="str">
        <f aca="false">IF(AE6=0,"",AX6)</f>
        <v/>
      </c>
      <c r="P6" s="15"/>
      <c r="Q6" s="13"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13"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1" t="str">
        <f aca="false">IF(AE6=0,"",IF(AQ6="None","",EDATE(AF6,AZ6)))</f>
        <v/>
      </c>
      <c r="T6" s="14" t="str">
        <f aca="false">IF(AE6=0,"",IF(NOT(LH_Ready),"",IF(AF6&gt;PFYDate,0,IF(LH_ColPeriod=0,W6-U6+V6,SUMIFS(INDEX(LH_Data,0,LH_ColAcc),INDEX(LH_Data,0,LH_ColFirst),$A6,INDEX(LH_Data,0,LH_ColSur),$B6,INDEX(LH_Data,0,LH_ColCat),BonusCat,INDEX(LH_Data,0,LH_ColPeriod),LH_OpenLabel)*UnitFactor))))</f>
        <v/>
      </c>
      <c r="U6" s="14" t="str">
        <f aca="false">IF(AE6=0,"",IF(NOT(LH_Ready),"",SUMIFS(INDEX(LH_Data,0,LH_ColAcc),INDEX(LH_Data,0,LH_ColFirst),$A6,INDEX(LH_Data,0,LH_ColSur),$B6,INDEX(LH_Data,0,LH_ColCat),BonusCat,INDEX(LH_Data,0,LH_ColStart),"&gt;="&amp;AF6)*UnitFactor))</f>
        <v/>
      </c>
      <c r="V6" s="14" t="str">
        <f aca="false">IF(AE6=0,"",IF(NOT(LH_Ready),"",SUMIFS(INDEX(LH_Data,0,LH_ColTaken),INDEX(LH_Data,0,LH_ColFirst),$A6,INDEX(LH_Data,0,LH_ColSur),$B6,INDEX(LH_Data,0,LH_ColCat),BonusCat,INDEX(LH_Data,0,LH_ColStart),"&gt;="&amp;AF6)*UnitFactor))</f>
        <v/>
      </c>
      <c r="W6" s="14" t="str">
        <f aca="false">IF(AE6=0,"",IF(NOT(LH_Ready),"",IF(BB6=0,0,INDEX(INDEX(LH_Data,0,LH_ColClose),BB6-1)*UnitFactor)))</f>
        <v/>
      </c>
      <c r="X6" s="14" t="str">
        <f aca="false">IF(AE6=0,"",(AX6-AY6)*HoursPerDay)</f>
        <v/>
      </c>
      <c r="Y6" s="14" t="str">
        <f aca="false">IF(AE6=0,"",IF(NOT(LH_Ready),"",IF(BA6=0,N6,IF(PFYDate&lt;$F6,N6-N(T6)-N(U6),X6-N(U6)))))</f>
        <v/>
      </c>
      <c r="Z6" s="13" t="str">
        <f aca="false">IF(OR(AE6=0,Y6=""),"",IF(Y6&gt;0,"Yes","No"))</f>
        <v/>
      </c>
      <c r="AA6" s="13"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 hrs more than policy since commencement",IF(N(W6)&gt;O6*HoursPerDay+0.01,"CHECK - EH balance "&amp;ROUND(W6-O6*HoursPerDay,2)&amp;" hrs more than policy entitlement",IF(O6&gt;0,"OK - nothing to add",IF(AQ6="None",R6,"Not yet - first day on "&amp;TEXT(S6,"dd/mm/yyyy")))))))))</f>
        <v/>
      </c>
      <c r="AB6" s="14" t="str">
        <f aca="false">IF(OR(AE6=0,T6=""),"",AY6*HoursPerDay-T6)</f>
        <v/>
      </c>
      <c r="AC6" s="13" t="str">
        <f aca="false">IF(AE6=0,"",BA6)</f>
        <v/>
      </c>
      <c r="AD6" s="13"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3" t="n">
        <f aca="false">IF(OR(LEN($A6&amp;$B6)=0,$F6=""),0,1)</f>
        <v>0</v>
      </c>
      <c r="AF6" s="11" t="str">
        <f aca="false">IF(AE6=0,"",IF($J6&lt;&gt;"",$J6,IF(OR(CasualCounts="Yes",COUNT($G6:$I6)=0,COUNT($G6:$H6)=0),$F6,MIN($G6:$H6))))</f>
        <v/>
      </c>
      <c r="AG6" s="13" t="str">
        <f aca="false">IF(AE6=0,"",COUNT($G6:$I6))</f>
        <v/>
      </c>
      <c r="AH6" s="11" t="str">
        <f aca="false">IF(AE6=0,"",IFERROR(SMALL($G6:$I6,1),""))</f>
        <v/>
      </c>
      <c r="AI6" s="11" t="str">
        <f aca="false">IF(AE6=0,"",IFERROR(SMALL($G6:$I6,2),""))</f>
        <v/>
      </c>
      <c r="AJ6" s="11" t="str">
        <f aca="false">IF(AE6=0,"",IFERROR(SMALL($G6:$I6,3),""))</f>
        <v/>
      </c>
      <c r="AK6" s="13" t="str">
        <f aca="false">IF(AE6=0,"",IF(AH6="","",IF(AH6=$G6,"Part-Time",IF(AH6=$H6,"Full-Time","Casual"))))</f>
        <v/>
      </c>
      <c r="AL6" s="13" t="str">
        <f aca="false">IF(AE6=0,"",IF(AI6="","",IF(AI6=$G6,"Part-Time",IF(AI6=$H6,"Full-Time","Casual"))))</f>
        <v/>
      </c>
      <c r="AM6" s="13" t="str">
        <f aca="false">IF(AE6=0,"",IF(AJ6="","",IF(AJ6=$G6,"Part-Time",IF(AJ6=$H6,"Full-Time","Casual"))))</f>
        <v/>
      </c>
      <c r="AN6" s="13"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3" t="str">
        <f aca="false">IF(AE6=0,"",IF(AG6&lt;2,"",IF(OR(ISNUMBER(SEARCH("full",AL6)),UPPER(TRIM(AL6))="FT",UPPER(TRIM(AL6))="FTE"),"FT",IF(AND(OR(ISNUMBER(SEARCH("part",AL6)),UPPER(TRIM(AL6))="PT",UPPER(TRIM(AL6))="PTE"),OR($P6="",N($P6)&gt;=PT_MinHours)),"PT","None"))))</f>
        <v/>
      </c>
      <c r="AP6" s="13" t="str">
        <f aca="false">IF(AE6=0,"",IF(AG6&lt;3,"",IF(OR(ISNUMBER(SEARCH("full",AM6)),UPPER(TRIM(AM6))="FT",UPPER(TRIM(AM6))="FTE"),"FT",IF(AND(OR(ISNUMBER(SEARCH("part",AM6)),UPPER(TRIM(AM6))="PT",UPPER(TRIM(AM6))="PTE"),OR($P6="",N($P6)&gt;=PT_MinHours)),"PT","None"))))</f>
        <v/>
      </c>
      <c r="AQ6" s="13" t="str">
        <f aca="false">IF(AE6=0,"",IF(AND(AG6&gt;=3,AJ6&lt;=AsOfDate),AP6,IF(AND(AG6&gt;=2,AI6&lt;=AsOfDate),AO6,AN6)))</f>
        <v/>
      </c>
      <c r="AR6" s="13" t="str">
        <f aca="false">IF(AE6=0,"",IF(AsOfDate&lt;AF6,-1,12*(YEAR(AsOfDate)-YEAR(AF6))+MONTH(AsOfDate)-MONTH(AF6)-IF(DAY(AsOfDate)&lt;MIN(DAY(AF6),DAY(EOMONTH(AsOfDate,0))),1,0)))</f>
        <v/>
      </c>
      <c r="AS6" s="13" t="str">
        <f aca="false">IF(AE6=0,"",IF(OR(AG6&lt;2,AI6&gt;AsOfDate),AR6,IF((AI6-1)&lt;AF6,-1,12*(YEAR((AI6-1))-YEAR(AF6))+MONTH((AI6-1))-MONTH(AF6)-IF(DAY((AI6-1))&lt;MIN(DAY(AF6),DAY(EOMONTH((AI6-1),0))),1,0))))</f>
        <v/>
      </c>
      <c r="AT6" s="13" t="str">
        <f aca="false">IF(AE6=0,"",IF(OR(AG6&lt;3,AJ6&gt;AsOfDate),AR6,IF((AJ6-1)&lt;AF6,-1,12*(YEAR((AJ6-1))-YEAR(AF6))+MONTH((AJ6-1))-MONTH(AF6)-IF(DAY((AJ6-1))&lt;MIN(DAY(AF6),DAY(EOMONTH((AJ6-1),0))),1,0))))</f>
        <v/>
      </c>
      <c r="AU6" s="13" t="str">
        <f aca="false">IF(AE6=0,"",IF(PFYDate&lt;AF6,-1,12*(YEAR(PFYDate)-YEAR(AF6))+MONTH(PFYDate)-MONTH(AF6)-IF(DAY(PFYDate)&lt;MIN(DAY(AF6),DAY(EOMONTH(PFYDate,0))),1,0)))</f>
        <v/>
      </c>
      <c r="AV6" s="13" t="str">
        <f aca="false">IF(AE6=0,"",IF(OR(AG6&lt;2,AI6&gt;PFYDate),AU6,IF((AI6-1)&lt;AF6,-1,12*(YEAR((AI6-1))-YEAR(AF6))+MONTH((AI6-1))-MONTH(AF6)-IF(DAY((AI6-1))&lt;MIN(DAY(AF6),DAY(EOMONTH((AI6-1),0))),1,0))))</f>
        <v/>
      </c>
      <c r="AW6" s="13" t="str">
        <f aca="false">IF(AE6=0,"",IF(OR(AG6&lt;3,AJ6&gt;PFYDate),AU6,IF((AJ6-1)&lt;AF6,-1,12*(YEAR((AJ6-1))-YEAR(AF6))+MONTH((AJ6-1))-MONTH(AF6)-IF(DAY((AJ6-1))&lt;MIN(DAY(AF6),DAY(EOMONTH((AJ6-1),0))),1,0))))</f>
        <v/>
      </c>
      <c r="AX6" s="13"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3"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3" t="str">
        <f aca="false">IF(AE6=0,"",IF(AQ6="FT",IF(AR6&lt;FT_First,FT_First,IF(AR6&lt;FT_Y5,MIN(FT_Y5,FT_First+FT_Int1*(INT((AR6-FT_First)/FT_Int1)+1)),FT_Y5+12*INT((AR6-FT_Y5)/12)+FT_Int2*(INT(MOD(AR6-FT_Y5,12)/FT_Int2)+1))),IF(AQ6="PT",IF(AR6&lt;PT_First,PT_First,PT_First+PT_Int*(INT((AR6-PT_First)/PT_Int)+1)),"")))</f>
        <v/>
      </c>
      <c r="BA6" s="13" t="str">
        <f aca="false">IF(AE6=0,"",IF(NOT(LH_Ready),0,COUNTIFS(INDEX(LH_Data,0,LH_ColFirst),$A6,INDEX(LH_Data,0,LH_ColSur),$B6,INDEX(LH_Data,0,LH_ColCat),BonusCat)))</f>
        <v/>
      </c>
      <c r="BB6" s="13" t="str">
        <f aca="false">IF(AE6=0,"",IF(OR(NOT(LH_Ready),BA6=0),0,SUMPRODUCT(MAX((INDEX(LH_Data,0,LH_ColFirst)=$A6)*(INDEX(LH_Data,0,LH_ColSur)=$B6)*(INDEX(LH_Data,0,LH_ColCat)=BonusCat)*ROW(LH_Data)))))</f>
        <v/>
      </c>
      <c r="BC6" s="0" t="str">
        <f aca="false">IF(LEN($A6&amp;$B6)=0,"",$A6&amp;" "&amp;$B6)</f>
        <v/>
      </c>
    </row>
    <row r="7" customFormat="false" ht="15" hidden="false" customHeight="false" outlineLevel="0" collapsed="false">
      <c r="A7" s="9"/>
      <c r="B7" s="9"/>
      <c r="C7" s="9"/>
      <c r="D7" s="10"/>
      <c r="E7" s="11" t="str">
        <f aca="false">IF(OR(AE7=0,$D7=""),"",DATE(YEAR(AsOfDate)+IF(DATE(YEAR(AsOfDate),MONTH($D7),DAY($D7))&lt;=AsOfDate,1,0),MONTH($D7),DAY($D7)))</f>
        <v/>
      </c>
      <c r="F7" s="10"/>
      <c r="G7" s="10"/>
      <c r="H7" s="10"/>
      <c r="I7" s="10"/>
      <c r="J7" s="10"/>
      <c r="K7" s="11" t="str">
        <f aca="false">IF(AE7=0,"",DATE(YEAR(AsOfDate)+IF(DATE(YEAR(AsOfDate),MONTH(AF7),DAY(AF7))&lt;=AsOfDate,1,0),MONTH(AF7),DAY(AF7)))</f>
        <v/>
      </c>
      <c r="L7" s="12" t="str">
        <f aca="false">IF(AE7=0,"",ROUND((AsOfDate-AF7)/365.25,1))</f>
        <v/>
      </c>
      <c r="M7" s="13" t="str">
        <f aca="false">IF(AE7=0,"",IF(AsOfDate&lt;AF7,"-",DATEDIF(AF7,AsOfDate,"y")&amp;"y "&amp;DATEDIF(AF7,AsOfDate,"ym")&amp;"m "&amp;DATEDIF(AF7,AsOfDate,"md")&amp;"d"))</f>
        <v/>
      </c>
      <c r="N7" s="14" t="str">
        <f aca="false">IF(AE7=0,"",O7*HoursPerDay)</f>
        <v/>
      </c>
      <c r="O7" s="14" t="str">
        <f aca="false">IF(AE7=0,"",AX7)</f>
        <v/>
      </c>
      <c r="P7" s="15"/>
      <c r="Q7" s="13"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13"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1" t="str">
        <f aca="false">IF(AE7=0,"",IF(AQ7="None","",EDATE(AF7,AZ7)))</f>
        <v/>
      </c>
      <c r="T7" s="14" t="str">
        <f aca="false">IF(AE7=0,"",IF(NOT(LH_Ready),"",IF(AF7&gt;PFYDate,0,IF(LH_ColPeriod=0,W7-U7+V7,SUMIFS(INDEX(LH_Data,0,LH_ColAcc),INDEX(LH_Data,0,LH_ColFirst),$A7,INDEX(LH_Data,0,LH_ColSur),$B7,INDEX(LH_Data,0,LH_ColCat),BonusCat,INDEX(LH_Data,0,LH_ColPeriod),LH_OpenLabel)*UnitFactor))))</f>
        <v/>
      </c>
      <c r="U7" s="14" t="str">
        <f aca="false">IF(AE7=0,"",IF(NOT(LH_Ready),"",SUMIFS(INDEX(LH_Data,0,LH_ColAcc),INDEX(LH_Data,0,LH_ColFirst),$A7,INDEX(LH_Data,0,LH_ColSur),$B7,INDEX(LH_Data,0,LH_ColCat),BonusCat,INDEX(LH_Data,0,LH_ColStart),"&gt;="&amp;AF7)*UnitFactor))</f>
        <v/>
      </c>
      <c r="V7" s="14" t="str">
        <f aca="false">IF(AE7=0,"",IF(NOT(LH_Ready),"",SUMIFS(INDEX(LH_Data,0,LH_ColTaken),INDEX(LH_Data,0,LH_ColFirst),$A7,INDEX(LH_Data,0,LH_ColSur),$B7,INDEX(LH_Data,0,LH_ColCat),BonusCat,INDEX(LH_Data,0,LH_ColStart),"&gt;="&amp;AF7)*UnitFactor))</f>
        <v/>
      </c>
      <c r="W7" s="14" t="str">
        <f aca="false">IF(AE7=0,"",IF(NOT(LH_Ready),"",IF(BB7=0,0,INDEX(INDEX(LH_Data,0,LH_ColClose),BB7-1)*UnitFactor)))</f>
        <v/>
      </c>
      <c r="X7" s="14" t="str">
        <f aca="false">IF(AE7=0,"",(AX7-AY7)*HoursPerDay)</f>
        <v/>
      </c>
      <c r="Y7" s="14" t="str">
        <f aca="false">IF(AE7=0,"",IF(NOT(LH_Ready),"",IF(BA7=0,N7,IF(PFYDate&lt;$F7,N7-N(T7)-N(U7),X7-N(U7)))))</f>
        <v/>
      </c>
      <c r="Z7" s="13" t="str">
        <f aca="false">IF(OR(AE7=0,Y7=""),"",IF(Y7&gt;0,"Yes","No"))</f>
        <v/>
      </c>
      <c r="AA7" s="13"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 hrs more than policy since commencement",IF(N(W7)&gt;O7*HoursPerDay+0.01,"CHECK - EH balance "&amp;ROUND(W7-O7*HoursPerDay,2)&amp;" hrs more than policy entitlement",IF(O7&gt;0,"OK - nothing to add",IF(AQ7="None",R7,"Not yet - first day on "&amp;TEXT(S7,"dd/mm/yyyy")))))))))</f>
        <v/>
      </c>
      <c r="AB7" s="14" t="str">
        <f aca="false">IF(OR(AE7=0,T7=""),"",AY7*HoursPerDay-T7)</f>
        <v/>
      </c>
      <c r="AC7" s="13" t="str">
        <f aca="false">IF(AE7=0,"",BA7)</f>
        <v/>
      </c>
      <c r="AD7" s="13"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3" t="n">
        <f aca="false">IF(OR(LEN($A7&amp;$B7)=0,$F7=""),0,1)</f>
        <v>0</v>
      </c>
      <c r="AF7" s="11" t="str">
        <f aca="false">IF(AE7=0,"",IF($J7&lt;&gt;"",$J7,IF(OR(CasualCounts="Yes",COUNT($G7:$I7)=0,COUNT($G7:$H7)=0),$F7,MIN($G7:$H7))))</f>
        <v/>
      </c>
      <c r="AG7" s="13" t="str">
        <f aca="false">IF(AE7=0,"",COUNT($G7:$I7))</f>
        <v/>
      </c>
      <c r="AH7" s="11" t="str">
        <f aca="false">IF(AE7=0,"",IFERROR(SMALL($G7:$I7,1),""))</f>
        <v/>
      </c>
      <c r="AI7" s="11" t="str">
        <f aca="false">IF(AE7=0,"",IFERROR(SMALL($G7:$I7,2),""))</f>
        <v/>
      </c>
      <c r="AJ7" s="11" t="str">
        <f aca="false">IF(AE7=0,"",IFERROR(SMALL($G7:$I7,3),""))</f>
        <v/>
      </c>
      <c r="AK7" s="13" t="str">
        <f aca="false">IF(AE7=0,"",IF(AH7="","",IF(AH7=$G7,"Part-Time",IF(AH7=$H7,"Full-Time","Casual"))))</f>
        <v/>
      </c>
      <c r="AL7" s="13" t="str">
        <f aca="false">IF(AE7=0,"",IF(AI7="","",IF(AI7=$G7,"Part-Time",IF(AI7=$H7,"Full-Time","Casual"))))</f>
        <v/>
      </c>
      <c r="AM7" s="13" t="str">
        <f aca="false">IF(AE7=0,"",IF(AJ7="","",IF(AJ7=$G7,"Part-Time",IF(AJ7=$H7,"Full-Time","Casual"))))</f>
        <v/>
      </c>
      <c r="AN7" s="13"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3" t="str">
        <f aca="false">IF(AE7=0,"",IF(AG7&lt;2,"",IF(OR(ISNUMBER(SEARCH("full",AL7)),UPPER(TRIM(AL7))="FT",UPPER(TRIM(AL7))="FTE"),"FT",IF(AND(OR(ISNUMBER(SEARCH("part",AL7)),UPPER(TRIM(AL7))="PT",UPPER(TRIM(AL7))="PTE"),OR($P7="",N($P7)&gt;=PT_MinHours)),"PT","None"))))</f>
        <v/>
      </c>
      <c r="AP7" s="13" t="str">
        <f aca="false">IF(AE7=0,"",IF(AG7&lt;3,"",IF(OR(ISNUMBER(SEARCH("full",AM7)),UPPER(TRIM(AM7))="FT",UPPER(TRIM(AM7))="FTE"),"FT",IF(AND(OR(ISNUMBER(SEARCH("part",AM7)),UPPER(TRIM(AM7))="PT",UPPER(TRIM(AM7))="PTE"),OR($P7="",N($P7)&gt;=PT_MinHours)),"PT","None"))))</f>
        <v/>
      </c>
      <c r="AQ7" s="13" t="str">
        <f aca="false">IF(AE7=0,"",IF(AND(AG7&gt;=3,AJ7&lt;=AsOfDate),AP7,IF(AND(AG7&gt;=2,AI7&lt;=AsOfDate),AO7,AN7)))</f>
        <v/>
      </c>
      <c r="AR7" s="13" t="str">
        <f aca="false">IF(AE7=0,"",IF(AsOfDate&lt;AF7,-1,12*(YEAR(AsOfDate)-YEAR(AF7))+MONTH(AsOfDate)-MONTH(AF7)-IF(DAY(AsOfDate)&lt;MIN(DAY(AF7),DAY(EOMONTH(AsOfDate,0))),1,0)))</f>
        <v/>
      </c>
      <c r="AS7" s="13" t="str">
        <f aca="false">IF(AE7=0,"",IF(OR(AG7&lt;2,AI7&gt;AsOfDate),AR7,IF((AI7-1)&lt;AF7,-1,12*(YEAR((AI7-1))-YEAR(AF7))+MONTH((AI7-1))-MONTH(AF7)-IF(DAY((AI7-1))&lt;MIN(DAY(AF7),DAY(EOMONTH((AI7-1),0))),1,0))))</f>
        <v/>
      </c>
      <c r="AT7" s="13" t="str">
        <f aca="false">IF(AE7=0,"",IF(OR(AG7&lt;3,AJ7&gt;AsOfDate),AR7,IF((AJ7-1)&lt;AF7,-1,12*(YEAR((AJ7-1))-YEAR(AF7))+MONTH((AJ7-1))-MONTH(AF7)-IF(DAY((AJ7-1))&lt;MIN(DAY(AF7),DAY(EOMONTH((AJ7-1),0))),1,0))))</f>
        <v/>
      </c>
      <c r="AU7" s="13" t="str">
        <f aca="false">IF(AE7=0,"",IF(PFYDate&lt;AF7,-1,12*(YEAR(PFYDate)-YEAR(AF7))+MONTH(PFYDate)-MONTH(AF7)-IF(DAY(PFYDate)&lt;MIN(DAY(AF7),DAY(EOMONTH(PFYDate,0))),1,0)))</f>
        <v/>
      </c>
      <c r="AV7" s="13" t="str">
        <f aca="false">IF(AE7=0,"",IF(OR(AG7&lt;2,AI7&gt;PFYDate),AU7,IF((AI7-1)&lt;AF7,-1,12*(YEAR((AI7-1))-YEAR(AF7))+MONTH((AI7-1))-MONTH(AF7)-IF(DAY((AI7-1))&lt;MIN(DAY(AF7),DAY(EOMONTH((AI7-1),0))),1,0))))</f>
        <v/>
      </c>
      <c r="AW7" s="13" t="str">
        <f aca="false">IF(AE7=0,"",IF(OR(AG7&lt;3,AJ7&gt;PFYDate),AU7,IF((AJ7-1)&lt;AF7,-1,12*(YEAR((AJ7-1))-YEAR(AF7))+MONTH((AJ7-1))-MONTH(AF7)-IF(DAY((AJ7-1))&lt;MIN(DAY(AF7),DAY(EOMONTH((AJ7-1),0))),1,0))))</f>
        <v/>
      </c>
      <c r="AX7" s="13"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3"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3" t="str">
        <f aca="false">IF(AE7=0,"",IF(AQ7="FT",IF(AR7&lt;FT_First,FT_First,IF(AR7&lt;FT_Y5,MIN(FT_Y5,FT_First+FT_Int1*(INT((AR7-FT_First)/FT_Int1)+1)),FT_Y5+12*INT((AR7-FT_Y5)/12)+FT_Int2*(INT(MOD(AR7-FT_Y5,12)/FT_Int2)+1))),IF(AQ7="PT",IF(AR7&lt;PT_First,PT_First,PT_First+PT_Int*(INT((AR7-PT_First)/PT_Int)+1)),"")))</f>
        <v/>
      </c>
      <c r="BA7" s="13" t="str">
        <f aca="false">IF(AE7=0,"",IF(NOT(LH_Ready),0,COUNTIFS(INDEX(LH_Data,0,LH_ColFirst),$A7,INDEX(LH_Data,0,LH_ColSur),$B7,INDEX(LH_Data,0,LH_ColCat),BonusCat)))</f>
        <v/>
      </c>
      <c r="BB7" s="13" t="str">
        <f aca="false">IF(AE7=0,"",IF(OR(NOT(LH_Ready),BA7=0),0,SUMPRODUCT(MAX((INDEX(LH_Data,0,LH_ColFirst)=$A7)*(INDEX(LH_Data,0,LH_ColSur)=$B7)*(INDEX(LH_Data,0,LH_ColCat)=BonusCat)*ROW(LH_Data)))))</f>
        <v/>
      </c>
      <c r="BC7" s="0" t="str">
        <f aca="false">IF(LEN($A7&amp;$B7)=0,"",$A7&amp;" "&amp;$B7)</f>
        <v/>
      </c>
    </row>
    <row r="8" customFormat="false" ht="15" hidden="false" customHeight="false" outlineLevel="0" collapsed="false">
      <c r="A8" s="9"/>
      <c r="B8" s="9"/>
      <c r="C8" s="9"/>
      <c r="D8" s="10"/>
      <c r="E8" s="11" t="str">
        <f aca="false">IF(OR(AE8=0,$D8=""),"",DATE(YEAR(AsOfDate)+IF(DATE(YEAR(AsOfDate),MONTH($D8),DAY($D8))&lt;=AsOfDate,1,0),MONTH($D8),DAY($D8)))</f>
        <v/>
      </c>
      <c r="F8" s="10"/>
      <c r="G8" s="10"/>
      <c r="H8" s="10"/>
      <c r="I8" s="10"/>
      <c r="J8" s="10"/>
      <c r="K8" s="11" t="str">
        <f aca="false">IF(AE8=0,"",DATE(YEAR(AsOfDate)+IF(DATE(YEAR(AsOfDate),MONTH(AF8),DAY(AF8))&lt;=AsOfDate,1,0),MONTH(AF8),DAY(AF8)))</f>
        <v/>
      </c>
      <c r="L8" s="12" t="str">
        <f aca="false">IF(AE8=0,"",ROUND((AsOfDate-AF8)/365.25,1))</f>
        <v/>
      </c>
      <c r="M8" s="13" t="str">
        <f aca="false">IF(AE8=0,"",IF(AsOfDate&lt;AF8,"-",DATEDIF(AF8,AsOfDate,"y")&amp;"y "&amp;DATEDIF(AF8,AsOfDate,"ym")&amp;"m "&amp;DATEDIF(AF8,AsOfDate,"md")&amp;"d"))</f>
        <v/>
      </c>
      <c r="N8" s="14" t="str">
        <f aca="false">IF(AE8=0,"",O8*HoursPerDay)</f>
        <v/>
      </c>
      <c r="O8" s="14" t="str">
        <f aca="false">IF(AE8=0,"",AX8)</f>
        <v/>
      </c>
      <c r="P8" s="15"/>
      <c r="Q8" s="13"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13"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1" t="str">
        <f aca="false">IF(AE8=0,"",IF(AQ8="None","",EDATE(AF8,AZ8)))</f>
        <v/>
      </c>
      <c r="T8" s="14" t="str">
        <f aca="false">IF(AE8=0,"",IF(NOT(LH_Ready),"",IF(AF8&gt;PFYDate,0,IF(LH_ColPeriod=0,W8-U8+V8,SUMIFS(INDEX(LH_Data,0,LH_ColAcc),INDEX(LH_Data,0,LH_ColFirst),$A8,INDEX(LH_Data,0,LH_ColSur),$B8,INDEX(LH_Data,0,LH_ColCat),BonusCat,INDEX(LH_Data,0,LH_ColPeriod),LH_OpenLabel)*UnitFactor))))</f>
        <v/>
      </c>
      <c r="U8" s="14" t="str">
        <f aca="false">IF(AE8=0,"",IF(NOT(LH_Ready),"",SUMIFS(INDEX(LH_Data,0,LH_ColAcc),INDEX(LH_Data,0,LH_ColFirst),$A8,INDEX(LH_Data,0,LH_ColSur),$B8,INDEX(LH_Data,0,LH_ColCat),BonusCat,INDEX(LH_Data,0,LH_ColStart),"&gt;="&amp;AF8)*UnitFactor))</f>
        <v/>
      </c>
      <c r="V8" s="14" t="str">
        <f aca="false">IF(AE8=0,"",IF(NOT(LH_Ready),"",SUMIFS(INDEX(LH_Data,0,LH_ColTaken),INDEX(LH_Data,0,LH_ColFirst),$A8,INDEX(LH_Data,0,LH_ColSur),$B8,INDEX(LH_Data,0,LH_ColCat),BonusCat,INDEX(LH_Data,0,LH_ColStart),"&gt;="&amp;AF8)*UnitFactor))</f>
        <v/>
      </c>
      <c r="W8" s="14" t="str">
        <f aca="false">IF(AE8=0,"",IF(NOT(LH_Ready),"",IF(BB8=0,0,INDEX(INDEX(LH_Data,0,LH_ColClose),BB8-1)*UnitFactor)))</f>
        <v/>
      </c>
      <c r="X8" s="14" t="str">
        <f aca="false">IF(AE8=0,"",(AX8-AY8)*HoursPerDay)</f>
        <v/>
      </c>
      <c r="Y8" s="14" t="str">
        <f aca="false">IF(AE8=0,"",IF(NOT(LH_Ready),"",IF(BA8=0,N8,IF(PFYDate&lt;$F8,N8-N(T8)-N(U8),X8-N(U8)))))</f>
        <v/>
      </c>
      <c r="Z8" s="13" t="str">
        <f aca="false">IF(OR(AE8=0,Y8=""),"",IF(Y8&gt;0,"Yes","No"))</f>
        <v/>
      </c>
      <c r="AA8" s="13"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 hrs more than policy since commencement",IF(N(W8)&gt;O8*HoursPerDay+0.01,"CHECK - EH balance "&amp;ROUND(W8-O8*HoursPerDay,2)&amp;" hrs more than policy entitlement",IF(O8&gt;0,"OK - nothing to add",IF(AQ8="None",R8,"Not yet - first day on "&amp;TEXT(S8,"dd/mm/yyyy")))))))))</f>
        <v/>
      </c>
      <c r="AB8" s="14" t="str">
        <f aca="false">IF(OR(AE8=0,T8=""),"",AY8*HoursPerDay-T8)</f>
        <v/>
      </c>
      <c r="AC8" s="13" t="str">
        <f aca="false">IF(AE8=0,"",BA8)</f>
        <v/>
      </c>
      <c r="AD8" s="13"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3" t="n">
        <f aca="false">IF(OR(LEN($A8&amp;$B8)=0,$F8=""),0,1)</f>
        <v>0</v>
      </c>
      <c r="AF8" s="11" t="str">
        <f aca="false">IF(AE8=0,"",IF($J8&lt;&gt;"",$J8,IF(OR(CasualCounts="Yes",COUNT($G8:$I8)=0,COUNT($G8:$H8)=0),$F8,MIN($G8:$H8))))</f>
        <v/>
      </c>
      <c r="AG8" s="13" t="str">
        <f aca="false">IF(AE8=0,"",COUNT($G8:$I8))</f>
        <v/>
      </c>
      <c r="AH8" s="11" t="str">
        <f aca="false">IF(AE8=0,"",IFERROR(SMALL($G8:$I8,1),""))</f>
        <v/>
      </c>
      <c r="AI8" s="11" t="str">
        <f aca="false">IF(AE8=0,"",IFERROR(SMALL($G8:$I8,2),""))</f>
        <v/>
      </c>
      <c r="AJ8" s="11" t="str">
        <f aca="false">IF(AE8=0,"",IFERROR(SMALL($G8:$I8,3),""))</f>
        <v/>
      </c>
      <c r="AK8" s="13" t="str">
        <f aca="false">IF(AE8=0,"",IF(AH8="","",IF(AH8=$G8,"Part-Time",IF(AH8=$H8,"Full-Time","Casual"))))</f>
        <v/>
      </c>
      <c r="AL8" s="13" t="str">
        <f aca="false">IF(AE8=0,"",IF(AI8="","",IF(AI8=$G8,"Part-Time",IF(AI8=$H8,"Full-Time","Casual"))))</f>
        <v/>
      </c>
      <c r="AM8" s="13" t="str">
        <f aca="false">IF(AE8=0,"",IF(AJ8="","",IF(AJ8=$G8,"Part-Time",IF(AJ8=$H8,"Full-Time","Casual"))))</f>
        <v/>
      </c>
      <c r="AN8" s="13"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3" t="str">
        <f aca="false">IF(AE8=0,"",IF(AG8&lt;2,"",IF(OR(ISNUMBER(SEARCH("full",AL8)),UPPER(TRIM(AL8))="FT",UPPER(TRIM(AL8))="FTE"),"FT",IF(AND(OR(ISNUMBER(SEARCH("part",AL8)),UPPER(TRIM(AL8))="PT",UPPER(TRIM(AL8))="PTE"),OR($P8="",N($P8)&gt;=PT_MinHours)),"PT","None"))))</f>
        <v/>
      </c>
      <c r="AP8" s="13" t="str">
        <f aca="false">IF(AE8=0,"",IF(AG8&lt;3,"",IF(OR(ISNUMBER(SEARCH("full",AM8)),UPPER(TRIM(AM8))="FT",UPPER(TRIM(AM8))="FTE"),"FT",IF(AND(OR(ISNUMBER(SEARCH("part",AM8)),UPPER(TRIM(AM8))="PT",UPPER(TRIM(AM8))="PTE"),OR($P8="",N($P8)&gt;=PT_MinHours)),"PT","None"))))</f>
        <v/>
      </c>
      <c r="AQ8" s="13" t="str">
        <f aca="false">IF(AE8=0,"",IF(AND(AG8&gt;=3,AJ8&lt;=AsOfDate),AP8,IF(AND(AG8&gt;=2,AI8&lt;=AsOfDate),AO8,AN8)))</f>
        <v/>
      </c>
      <c r="AR8" s="13" t="str">
        <f aca="false">IF(AE8=0,"",IF(AsOfDate&lt;AF8,-1,12*(YEAR(AsOfDate)-YEAR(AF8))+MONTH(AsOfDate)-MONTH(AF8)-IF(DAY(AsOfDate)&lt;MIN(DAY(AF8),DAY(EOMONTH(AsOfDate,0))),1,0)))</f>
        <v/>
      </c>
      <c r="AS8" s="13" t="str">
        <f aca="false">IF(AE8=0,"",IF(OR(AG8&lt;2,AI8&gt;AsOfDate),AR8,IF((AI8-1)&lt;AF8,-1,12*(YEAR((AI8-1))-YEAR(AF8))+MONTH((AI8-1))-MONTH(AF8)-IF(DAY((AI8-1))&lt;MIN(DAY(AF8),DAY(EOMONTH((AI8-1),0))),1,0))))</f>
        <v/>
      </c>
      <c r="AT8" s="13" t="str">
        <f aca="false">IF(AE8=0,"",IF(OR(AG8&lt;3,AJ8&gt;AsOfDate),AR8,IF((AJ8-1)&lt;AF8,-1,12*(YEAR((AJ8-1))-YEAR(AF8))+MONTH((AJ8-1))-MONTH(AF8)-IF(DAY((AJ8-1))&lt;MIN(DAY(AF8),DAY(EOMONTH((AJ8-1),0))),1,0))))</f>
        <v/>
      </c>
      <c r="AU8" s="13" t="str">
        <f aca="false">IF(AE8=0,"",IF(PFYDate&lt;AF8,-1,12*(YEAR(PFYDate)-YEAR(AF8))+MONTH(PFYDate)-MONTH(AF8)-IF(DAY(PFYDate)&lt;MIN(DAY(AF8),DAY(EOMONTH(PFYDate,0))),1,0)))</f>
        <v/>
      </c>
      <c r="AV8" s="13" t="str">
        <f aca="false">IF(AE8=0,"",IF(OR(AG8&lt;2,AI8&gt;PFYDate),AU8,IF((AI8-1)&lt;AF8,-1,12*(YEAR((AI8-1))-YEAR(AF8))+MONTH((AI8-1))-MONTH(AF8)-IF(DAY((AI8-1))&lt;MIN(DAY(AF8),DAY(EOMONTH((AI8-1),0))),1,0))))</f>
        <v/>
      </c>
      <c r="AW8" s="13" t="str">
        <f aca="false">IF(AE8=0,"",IF(OR(AG8&lt;3,AJ8&gt;PFYDate),AU8,IF((AJ8-1)&lt;AF8,-1,12*(YEAR((AJ8-1))-YEAR(AF8))+MONTH((AJ8-1))-MONTH(AF8)-IF(DAY((AJ8-1))&lt;MIN(DAY(AF8),DAY(EOMONTH((AJ8-1),0))),1,0))))</f>
        <v/>
      </c>
      <c r="AX8" s="13"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3"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3" t="str">
        <f aca="false">IF(AE8=0,"",IF(AQ8="FT",IF(AR8&lt;FT_First,FT_First,IF(AR8&lt;FT_Y5,MIN(FT_Y5,FT_First+FT_Int1*(INT((AR8-FT_First)/FT_Int1)+1)),FT_Y5+12*INT((AR8-FT_Y5)/12)+FT_Int2*(INT(MOD(AR8-FT_Y5,12)/FT_Int2)+1))),IF(AQ8="PT",IF(AR8&lt;PT_First,PT_First,PT_First+PT_Int*(INT((AR8-PT_First)/PT_Int)+1)),"")))</f>
        <v/>
      </c>
      <c r="BA8" s="13" t="str">
        <f aca="false">IF(AE8=0,"",IF(NOT(LH_Ready),0,COUNTIFS(INDEX(LH_Data,0,LH_ColFirst),$A8,INDEX(LH_Data,0,LH_ColSur),$B8,INDEX(LH_Data,0,LH_ColCat),BonusCat)))</f>
        <v/>
      </c>
      <c r="BB8" s="13" t="str">
        <f aca="false">IF(AE8=0,"",IF(OR(NOT(LH_Ready),BA8=0),0,SUMPRODUCT(MAX((INDEX(LH_Data,0,LH_ColFirst)=$A8)*(INDEX(LH_Data,0,LH_ColSur)=$B8)*(INDEX(LH_Data,0,LH_ColCat)=BonusCat)*ROW(LH_Data)))))</f>
        <v/>
      </c>
      <c r="BC8" s="0" t="str">
        <f aca="false">IF(LEN($A8&amp;$B8)=0,"",$A8&amp;" "&amp;$B8)</f>
        <v/>
      </c>
    </row>
    <row r="9" customFormat="false" ht="15" hidden="false" customHeight="false" outlineLevel="0" collapsed="false">
      <c r="A9" s="9"/>
      <c r="B9" s="9"/>
      <c r="C9" s="9"/>
      <c r="D9" s="10"/>
      <c r="E9" s="11" t="str">
        <f aca="false">IF(OR(AE9=0,$D9=""),"",DATE(YEAR(AsOfDate)+IF(DATE(YEAR(AsOfDate),MONTH($D9),DAY($D9))&lt;=AsOfDate,1,0),MONTH($D9),DAY($D9)))</f>
        <v/>
      </c>
      <c r="F9" s="10"/>
      <c r="G9" s="10"/>
      <c r="H9" s="10"/>
      <c r="I9" s="10"/>
      <c r="J9" s="10"/>
      <c r="K9" s="11" t="str">
        <f aca="false">IF(AE9=0,"",DATE(YEAR(AsOfDate)+IF(DATE(YEAR(AsOfDate),MONTH(AF9),DAY(AF9))&lt;=AsOfDate,1,0),MONTH(AF9),DAY(AF9)))</f>
        <v/>
      </c>
      <c r="L9" s="12" t="str">
        <f aca="false">IF(AE9=0,"",ROUND((AsOfDate-AF9)/365.25,1))</f>
        <v/>
      </c>
      <c r="M9" s="13" t="str">
        <f aca="false">IF(AE9=0,"",IF(AsOfDate&lt;AF9,"-",DATEDIF(AF9,AsOfDate,"y")&amp;"y "&amp;DATEDIF(AF9,AsOfDate,"ym")&amp;"m "&amp;DATEDIF(AF9,AsOfDate,"md")&amp;"d"))</f>
        <v/>
      </c>
      <c r="N9" s="14" t="str">
        <f aca="false">IF(AE9=0,"",O9*HoursPerDay)</f>
        <v/>
      </c>
      <c r="O9" s="14" t="str">
        <f aca="false">IF(AE9=0,"",AX9)</f>
        <v/>
      </c>
      <c r="P9" s="15"/>
      <c r="Q9" s="13"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13"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1" t="str">
        <f aca="false">IF(AE9=0,"",IF(AQ9="None","",EDATE(AF9,AZ9)))</f>
        <v/>
      </c>
      <c r="T9" s="14" t="str">
        <f aca="false">IF(AE9=0,"",IF(NOT(LH_Ready),"",IF(AF9&gt;PFYDate,0,IF(LH_ColPeriod=0,W9-U9+V9,SUMIFS(INDEX(LH_Data,0,LH_ColAcc),INDEX(LH_Data,0,LH_ColFirst),$A9,INDEX(LH_Data,0,LH_ColSur),$B9,INDEX(LH_Data,0,LH_ColCat),BonusCat,INDEX(LH_Data,0,LH_ColPeriod),LH_OpenLabel)*UnitFactor))))</f>
        <v/>
      </c>
      <c r="U9" s="14" t="str">
        <f aca="false">IF(AE9=0,"",IF(NOT(LH_Ready),"",SUMIFS(INDEX(LH_Data,0,LH_ColAcc),INDEX(LH_Data,0,LH_ColFirst),$A9,INDEX(LH_Data,0,LH_ColSur),$B9,INDEX(LH_Data,0,LH_ColCat),BonusCat,INDEX(LH_Data,0,LH_ColStart),"&gt;="&amp;AF9)*UnitFactor))</f>
        <v/>
      </c>
      <c r="V9" s="14" t="str">
        <f aca="false">IF(AE9=0,"",IF(NOT(LH_Ready),"",SUMIFS(INDEX(LH_Data,0,LH_ColTaken),INDEX(LH_Data,0,LH_ColFirst),$A9,INDEX(LH_Data,0,LH_ColSur),$B9,INDEX(LH_Data,0,LH_ColCat),BonusCat,INDEX(LH_Data,0,LH_ColStart),"&gt;="&amp;AF9)*UnitFactor))</f>
        <v/>
      </c>
      <c r="W9" s="14" t="str">
        <f aca="false">IF(AE9=0,"",IF(NOT(LH_Ready),"",IF(BB9=0,0,INDEX(INDEX(LH_Data,0,LH_ColClose),BB9-1)*UnitFactor)))</f>
        <v/>
      </c>
      <c r="X9" s="14" t="str">
        <f aca="false">IF(AE9=0,"",(AX9-AY9)*HoursPerDay)</f>
        <v/>
      </c>
      <c r="Y9" s="14" t="str">
        <f aca="false">IF(AE9=0,"",IF(NOT(LH_Ready),"",IF(BA9=0,N9,IF(PFYDate&lt;$F9,N9-N(T9)-N(U9),X9-N(U9)))))</f>
        <v/>
      </c>
      <c r="Z9" s="13" t="str">
        <f aca="false">IF(OR(AE9=0,Y9=""),"",IF(Y9&gt;0,"Yes","No"))</f>
        <v/>
      </c>
      <c r="AA9" s="13"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 hrs more than policy since commencement",IF(N(W9)&gt;O9*HoursPerDay+0.01,"CHECK - EH balance "&amp;ROUND(W9-O9*HoursPerDay,2)&amp;" hrs more than policy entitlement",IF(O9&gt;0,"OK - nothing to add",IF(AQ9="None",R9,"Not yet - first day on "&amp;TEXT(S9,"dd/mm/yyyy")))))))))</f>
        <v/>
      </c>
      <c r="AB9" s="14" t="str">
        <f aca="false">IF(OR(AE9=0,T9=""),"",AY9*HoursPerDay-T9)</f>
        <v/>
      </c>
      <c r="AC9" s="13" t="str">
        <f aca="false">IF(AE9=0,"",BA9)</f>
        <v/>
      </c>
      <c r="AD9" s="13"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3" t="n">
        <f aca="false">IF(OR(LEN($A9&amp;$B9)=0,$F9=""),0,1)</f>
        <v>0</v>
      </c>
      <c r="AF9" s="11" t="str">
        <f aca="false">IF(AE9=0,"",IF($J9&lt;&gt;"",$J9,IF(OR(CasualCounts="Yes",COUNT($G9:$I9)=0,COUNT($G9:$H9)=0),$F9,MIN($G9:$H9))))</f>
        <v/>
      </c>
      <c r="AG9" s="13" t="str">
        <f aca="false">IF(AE9=0,"",COUNT($G9:$I9))</f>
        <v/>
      </c>
      <c r="AH9" s="11" t="str">
        <f aca="false">IF(AE9=0,"",IFERROR(SMALL($G9:$I9,1),""))</f>
        <v/>
      </c>
      <c r="AI9" s="11" t="str">
        <f aca="false">IF(AE9=0,"",IFERROR(SMALL($G9:$I9,2),""))</f>
        <v/>
      </c>
      <c r="AJ9" s="11" t="str">
        <f aca="false">IF(AE9=0,"",IFERROR(SMALL($G9:$I9,3),""))</f>
        <v/>
      </c>
      <c r="AK9" s="13" t="str">
        <f aca="false">IF(AE9=0,"",IF(AH9="","",IF(AH9=$G9,"Part-Time",IF(AH9=$H9,"Full-Time","Casual"))))</f>
        <v/>
      </c>
      <c r="AL9" s="13" t="str">
        <f aca="false">IF(AE9=0,"",IF(AI9="","",IF(AI9=$G9,"Part-Time",IF(AI9=$H9,"Full-Time","Casual"))))</f>
        <v/>
      </c>
      <c r="AM9" s="13" t="str">
        <f aca="false">IF(AE9=0,"",IF(AJ9="","",IF(AJ9=$G9,"Part-Time",IF(AJ9=$H9,"Full-Time","Casual"))))</f>
        <v/>
      </c>
      <c r="AN9" s="13"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3" t="str">
        <f aca="false">IF(AE9=0,"",IF(AG9&lt;2,"",IF(OR(ISNUMBER(SEARCH("full",AL9)),UPPER(TRIM(AL9))="FT",UPPER(TRIM(AL9))="FTE"),"FT",IF(AND(OR(ISNUMBER(SEARCH("part",AL9)),UPPER(TRIM(AL9))="PT",UPPER(TRIM(AL9))="PTE"),OR($P9="",N($P9)&gt;=PT_MinHours)),"PT","None"))))</f>
        <v/>
      </c>
      <c r="AP9" s="13" t="str">
        <f aca="false">IF(AE9=0,"",IF(AG9&lt;3,"",IF(OR(ISNUMBER(SEARCH("full",AM9)),UPPER(TRIM(AM9))="FT",UPPER(TRIM(AM9))="FTE"),"FT",IF(AND(OR(ISNUMBER(SEARCH("part",AM9)),UPPER(TRIM(AM9))="PT",UPPER(TRIM(AM9))="PTE"),OR($P9="",N($P9)&gt;=PT_MinHours)),"PT","None"))))</f>
        <v/>
      </c>
      <c r="AQ9" s="13" t="str">
        <f aca="false">IF(AE9=0,"",IF(AND(AG9&gt;=3,AJ9&lt;=AsOfDate),AP9,IF(AND(AG9&gt;=2,AI9&lt;=AsOfDate),AO9,AN9)))</f>
        <v/>
      </c>
      <c r="AR9" s="13" t="str">
        <f aca="false">IF(AE9=0,"",IF(AsOfDate&lt;AF9,-1,12*(YEAR(AsOfDate)-YEAR(AF9))+MONTH(AsOfDate)-MONTH(AF9)-IF(DAY(AsOfDate)&lt;MIN(DAY(AF9),DAY(EOMONTH(AsOfDate,0))),1,0)))</f>
        <v/>
      </c>
      <c r="AS9" s="13" t="str">
        <f aca="false">IF(AE9=0,"",IF(OR(AG9&lt;2,AI9&gt;AsOfDate),AR9,IF((AI9-1)&lt;AF9,-1,12*(YEAR((AI9-1))-YEAR(AF9))+MONTH((AI9-1))-MONTH(AF9)-IF(DAY((AI9-1))&lt;MIN(DAY(AF9),DAY(EOMONTH((AI9-1),0))),1,0))))</f>
        <v/>
      </c>
      <c r="AT9" s="13" t="str">
        <f aca="false">IF(AE9=0,"",IF(OR(AG9&lt;3,AJ9&gt;AsOfDate),AR9,IF((AJ9-1)&lt;AF9,-1,12*(YEAR((AJ9-1))-YEAR(AF9))+MONTH((AJ9-1))-MONTH(AF9)-IF(DAY((AJ9-1))&lt;MIN(DAY(AF9),DAY(EOMONTH((AJ9-1),0))),1,0))))</f>
        <v/>
      </c>
      <c r="AU9" s="13" t="str">
        <f aca="false">IF(AE9=0,"",IF(PFYDate&lt;AF9,-1,12*(YEAR(PFYDate)-YEAR(AF9))+MONTH(PFYDate)-MONTH(AF9)-IF(DAY(PFYDate)&lt;MIN(DAY(AF9),DAY(EOMONTH(PFYDate,0))),1,0)))</f>
        <v/>
      </c>
      <c r="AV9" s="13" t="str">
        <f aca="false">IF(AE9=0,"",IF(OR(AG9&lt;2,AI9&gt;PFYDate),AU9,IF((AI9-1)&lt;AF9,-1,12*(YEAR((AI9-1))-YEAR(AF9))+MONTH((AI9-1))-MONTH(AF9)-IF(DAY((AI9-1))&lt;MIN(DAY(AF9),DAY(EOMONTH((AI9-1),0))),1,0))))</f>
        <v/>
      </c>
      <c r="AW9" s="13" t="str">
        <f aca="false">IF(AE9=0,"",IF(OR(AG9&lt;3,AJ9&gt;PFYDate),AU9,IF((AJ9-1)&lt;AF9,-1,12*(YEAR((AJ9-1))-YEAR(AF9))+MONTH((AJ9-1))-MONTH(AF9)-IF(DAY((AJ9-1))&lt;MIN(DAY(AF9),DAY(EOMONTH((AJ9-1),0))),1,0))))</f>
        <v/>
      </c>
      <c r="AX9" s="13"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3"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3" t="str">
        <f aca="false">IF(AE9=0,"",IF(AQ9="FT",IF(AR9&lt;FT_First,FT_First,IF(AR9&lt;FT_Y5,MIN(FT_Y5,FT_First+FT_Int1*(INT((AR9-FT_First)/FT_Int1)+1)),FT_Y5+12*INT((AR9-FT_Y5)/12)+FT_Int2*(INT(MOD(AR9-FT_Y5,12)/FT_Int2)+1))),IF(AQ9="PT",IF(AR9&lt;PT_First,PT_First,PT_First+PT_Int*(INT((AR9-PT_First)/PT_Int)+1)),"")))</f>
        <v/>
      </c>
      <c r="BA9" s="13" t="str">
        <f aca="false">IF(AE9=0,"",IF(NOT(LH_Ready),0,COUNTIFS(INDEX(LH_Data,0,LH_ColFirst),$A9,INDEX(LH_Data,0,LH_ColSur),$B9,INDEX(LH_Data,0,LH_ColCat),BonusCat)))</f>
        <v/>
      </c>
      <c r="BB9" s="13" t="str">
        <f aca="false">IF(AE9=0,"",IF(OR(NOT(LH_Ready),BA9=0),0,SUMPRODUCT(MAX((INDEX(LH_Data,0,LH_ColFirst)=$A9)*(INDEX(LH_Data,0,LH_ColSur)=$B9)*(INDEX(LH_Data,0,LH_ColCat)=BonusCat)*ROW(LH_Data)))))</f>
        <v/>
      </c>
      <c r="BC9" s="0" t="str">
        <f aca="false">IF(LEN($A9&amp;$B9)=0,"",$A9&amp;" "&amp;$B9)</f>
        <v/>
      </c>
    </row>
    <row r="10" customFormat="false" ht="15" hidden="false" customHeight="false" outlineLevel="0" collapsed="false">
      <c r="A10" s="9"/>
      <c r="B10" s="9"/>
      <c r="C10" s="9"/>
      <c r="D10" s="10"/>
      <c r="E10" s="11" t="str">
        <f aca="false">IF(OR(AE10=0,$D10=""),"",DATE(YEAR(AsOfDate)+IF(DATE(YEAR(AsOfDate),MONTH($D10),DAY($D10))&lt;=AsOfDate,1,0),MONTH($D10),DAY($D10)))</f>
        <v/>
      </c>
      <c r="F10" s="10"/>
      <c r="G10" s="10"/>
      <c r="H10" s="10"/>
      <c r="I10" s="10"/>
      <c r="J10" s="10"/>
      <c r="K10" s="11" t="str">
        <f aca="false">IF(AE10=0,"",DATE(YEAR(AsOfDate)+IF(DATE(YEAR(AsOfDate),MONTH(AF10),DAY(AF10))&lt;=AsOfDate,1,0),MONTH(AF10),DAY(AF10)))</f>
        <v/>
      </c>
      <c r="L10" s="12" t="str">
        <f aca="false">IF(AE10=0,"",ROUND((AsOfDate-AF10)/365.25,1))</f>
        <v/>
      </c>
      <c r="M10" s="13" t="str">
        <f aca="false">IF(AE10=0,"",IF(AsOfDate&lt;AF10,"-",DATEDIF(AF10,AsOfDate,"y")&amp;"y "&amp;DATEDIF(AF10,AsOfDate,"ym")&amp;"m "&amp;DATEDIF(AF10,AsOfDate,"md")&amp;"d"))</f>
        <v/>
      </c>
      <c r="N10" s="14" t="str">
        <f aca="false">IF(AE10=0,"",O10*HoursPerDay)</f>
        <v/>
      </c>
      <c r="O10" s="14" t="str">
        <f aca="false">IF(AE10=0,"",AX10)</f>
        <v/>
      </c>
      <c r="P10" s="15"/>
      <c r="Q10" s="13"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13"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1" t="str">
        <f aca="false">IF(AE10=0,"",IF(AQ10="None","",EDATE(AF10,AZ10)))</f>
        <v/>
      </c>
      <c r="T10" s="14" t="str">
        <f aca="false">IF(AE10=0,"",IF(NOT(LH_Ready),"",IF(AF10&gt;PFYDate,0,IF(LH_ColPeriod=0,W10-U10+V10,SUMIFS(INDEX(LH_Data,0,LH_ColAcc),INDEX(LH_Data,0,LH_ColFirst),$A10,INDEX(LH_Data,0,LH_ColSur),$B10,INDEX(LH_Data,0,LH_ColCat),BonusCat,INDEX(LH_Data,0,LH_ColPeriod),LH_OpenLabel)*UnitFactor))))</f>
        <v/>
      </c>
      <c r="U10" s="14" t="str">
        <f aca="false">IF(AE10=0,"",IF(NOT(LH_Ready),"",SUMIFS(INDEX(LH_Data,0,LH_ColAcc),INDEX(LH_Data,0,LH_ColFirst),$A10,INDEX(LH_Data,0,LH_ColSur),$B10,INDEX(LH_Data,0,LH_ColCat),BonusCat,INDEX(LH_Data,0,LH_ColStart),"&gt;="&amp;AF10)*UnitFactor))</f>
        <v/>
      </c>
      <c r="V10" s="14" t="str">
        <f aca="false">IF(AE10=0,"",IF(NOT(LH_Ready),"",SUMIFS(INDEX(LH_Data,0,LH_ColTaken),INDEX(LH_Data,0,LH_ColFirst),$A10,INDEX(LH_Data,0,LH_ColSur),$B10,INDEX(LH_Data,0,LH_ColCat),BonusCat,INDEX(LH_Data,0,LH_ColStart),"&gt;="&amp;AF10)*UnitFactor))</f>
        <v/>
      </c>
      <c r="W10" s="14" t="str">
        <f aca="false">IF(AE10=0,"",IF(NOT(LH_Ready),"",IF(BB10=0,0,INDEX(INDEX(LH_Data,0,LH_ColClose),BB10-1)*UnitFactor)))</f>
        <v/>
      </c>
      <c r="X10" s="14" t="str">
        <f aca="false">IF(AE10=0,"",(AX10-AY10)*HoursPerDay)</f>
        <v/>
      </c>
      <c r="Y10" s="14" t="str">
        <f aca="false">IF(AE10=0,"",IF(NOT(LH_Ready),"",IF(BA10=0,N10,IF(PFYDate&lt;$F10,N10-N(T10)-N(U10),X10-N(U10)))))</f>
        <v/>
      </c>
      <c r="Z10" s="13" t="str">
        <f aca="false">IF(OR(AE10=0,Y10=""),"",IF(Y10&gt;0,"Yes","No"))</f>
        <v/>
      </c>
      <c r="AA10" s="13"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 hrs more than policy since commencement",IF(N(W10)&gt;O10*HoursPerDay+0.01,"CHECK - EH balance "&amp;ROUND(W10-O10*HoursPerDay,2)&amp;" hrs more than policy entitlement",IF(O10&gt;0,"OK - nothing to add",IF(AQ10="None",R10,"Not yet - first day on "&amp;TEXT(S10,"dd/mm/yyyy")))))))))</f>
        <v/>
      </c>
      <c r="AB10" s="14" t="str">
        <f aca="false">IF(OR(AE10=0,T10=""),"",AY10*HoursPerDay-T10)</f>
        <v/>
      </c>
      <c r="AC10" s="13" t="str">
        <f aca="false">IF(AE10=0,"",BA10)</f>
        <v/>
      </c>
      <c r="AD10" s="13"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3" t="n">
        <f aca="false">IF(OR(LEN($A10&amp;$B10)=0,$F10=""),0,1)</f>
        <v>0</v>
      </c>
      <c r="AF10" s="11" t="str">
        <f aca="false">IF(AE10=0,"",IF($J10&lt;&gt;"",$J10,IF(OR(CasualCounts="Yes",COUNT($G10:$I10)=0,COUNT($G10:$H10)=0),$F10,MIN($G10:$H10))))</f>
        <v/>
      </c>
      <c r="AG10" s="13" t="str">
        <f aca="false">IF(AE10=0,"",COUNT($G10:$I10))</f>
        <v/>
      </c>
      <c r="AH10" s="11" t="str">
        <f aca="false">IF(AE10=0,"",IFERROR(SMALL($G10:$I10,1),""))</f>
        <v/>
      </c>
      <c r="AI10" s="11" t="str">
        <f aca="false">IF(AE10=0,"",IFERROR(SMALL($G10:$I10,2),""))</f>
        <v/>
      </c>
      <c r="AJ10" s="11" t="str">
        <f aca="false">IF(AE10=0,"",IFERROR(SMALL($G10:$I10,3),""))</f>
        <v/>
      </c>
      <c r="AK10" s="13" t="str">
        <f aca="false">IF(AE10=0,"",IF(AH10="","",IF(AH10=$G10,"Part-Time",IF(AH10=$H10,"Full-Time","Casual"))))</f>
        <v/>
      </c>
      <c r="AL10" s="13" t="str">
        <f aca="false">IF(AE10=0,"",IF(AI10="","",IF(AI10=$G10,"Part-Time",IF(AI10=$H10,"Full-Time","Casual"))))</f>
        <v/>
      </c>
      <c r="AM10" s="13" t="str">
        <f aca="false">IF(AE10=0,"",IF(AJ10="","",IF(AJ10=$G10,"Part-Time",IF(AJ10=$H10,"Full-Time","Casual"))))</f>
        <v/>
      </c>
      <c r="AN10" s="13"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3" t="str">
        <f aca="false">IF(AE10=0,"",IF(AG10&lt;2,"",IF(OR(ISNUMBER(SEARCH("full",AL10)),UPPER(TRIM(AL10))="FT",UPPER(TRIM(AL10))="FTE"),"FT",IF(AND(OR(ISNUMBER(SEARCH("part",AL10)),UPPER(TRIM(AL10))="PT",UPPER(TRIM(AL10))="PTE"),OR($P10="",N($P10)&gt;=PT_MinHours)),"PT","None"))))</f>
        <v/>
      </c>
      <c r="AP10" s="13" t="str">
        <f aca="false">IF(AE10=0,"",IF(AG10&lt;3,"",IF(OR(ISNUMBER(SEARCH("full",AM10)),UPPER(TRIM(AM10))="FT",UPPER(TRIM(AM10))="FTE"),"FT",IF(AND(OR(ISNUMBER(SEARCH("part",AM10)),UPPER(TRIM(AM10))="PT",UPPER(TRIM(AM10))="PTE"),OR($P10="",N($P10)&gt;=PT_MinHours)),"PT","None"))))</f>
        <v/>
      </c>
      <c r="AQ10" s="13" t="str">
        <f aca="false">IF(AE10=0,"",IF(AND(AG10&gt;=3,AJ10&lt;=AsOfDate),AP10,IF(AND(AG10&gt;=2,AI10&lt;=AsOfDate),AO10,AN10)))</f>
        <v/>
      </c>
      <c r="AR10" s="13" t="str">
        <f aca="false">IF(AE10=0,"",IF(AsOfDate&lt;AF10,-1,12*(YEAR(AsOfDate)-YEAR(AF10))+MONTH(AsOfDate)-MONTH(AF10)-IF(DAY(AsOfDate)&lt;MIN(DAY(AF10),DAY(EOMONTH(AsOfDate,0))),1,0)))</f>
        <v/>
      </c>
      <c r="AS10" s="13" t="str">
        <f aca="false">IF(AE10=0,"",IF(OR(AG10&lt;2,AI10&gt;AsOfDate),AR10,IF((AI10-1)&lt;AF10,-1,12*(YEAR((AI10-1))-YEAR(AF10))+MONTH((AI10-1))-MONTH(AF10)-IF(DAY((AI10-1))&lt;MIN(DAY(AF10),DAY(EOMONTH((AI10-1),0))),1,0))))</f>
        <v/>
      </c>
      <c r="AT10" s="13" t="str">
        <f aca="false">IF(AE10=0,"",IF(OR(AG10&lt;3,AJ10&gt;AsOfDate),AR10,IF((AJ10-1)&lt;AF10,-1,12*(YEAR((AJ10-1))-YEAR(AF10))+MONTH((AJ10-1))-MONTH(AF10)-IF(DAY((AJ10-1))&lt;MIN(DAY(AF10),DAY(EOMONTH((AJ10-1),0))),1,0))))</f>
        <v/>
      </c>
      <c r="AU10" s="13" t="str">
        <f aca="false">IF(AE10=0,"",IF(PFYDate&lt;AF10,-1,12*(YEAR(PFYDate)-YEAR(AF10))+MONTH(PFYDate)-MONTH(AF10)-IF(DAY(PFYDate)&lt;MIN(DAY(AF10),DAY(EOMONTH(PFYDate,0))),1,0)))</f>
        <v/>
      </c>
      <c r="AV10" s="13" t="str">
        <f aca="false">IF(AE10=0,"",IF(OR(AG10&lt;2,AI10&gt;PFYDate),AU10,IF((AI10-1)&lt;AF10,-1,12*(YEAR((AI10-1))-YEAR(AF10))+MONTH((AI10-1))-MONTH(AF10)-IF(DAY((AI10-1))&lt;MIN(DAY(AF10),DAY(EOMONTH((AI10-1),0))),1,0))))</f>
        <v/>
      </c>
      <c r="AW10" s="13" t="str">
        <f aca="false">IF(AE10=0,"",IF(OR(AG10&lt;3,AJ10&gt;PFYDate),AU10,IF((AJ10-1)&lt;AF10,-1,12*(YEAR((AJ10-1))-YEAR(AF10))+MONTH((AJ10-1))-MONTH(AF10)-IF(DAY((AJ10-1))&lt;MIN(DAY(AF10),DAY(EOMONTH((AJ10-1),0))),1,0))))</f>
        <v/>
      </c>
      <c r="AX10" s="13"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3"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3" t="str">
        <f aca="false">IF(AE10=0,"",IF(AQ10="FT",IF(AR10&lt;FT_First,FT_First,IF(AR10&lt;FT_Y5,MIN(FT_Y5,FT_First+FT_Int1*(INT((AR10-FT_First)/FT_Int1)+1)),FT_Y5+12*INT((AR10-FT_Y5)/12)+FT_Int2*(INT(MOD(AR10-FT_Y5,12)/FT_Int2)+1))),IF(AQ10="PT",IF(AR10&lt;PT_First,PT_First,PT_First+PT_Int*(INT((AR10-PT_First)/PT_Int)+1)),"")))</f>
        <v/>
      </c>
      <c r="BA10" s="13" t="str">
        <f aca="false">IF(AE10=0,"",IF(NOT(LH_Ready),0,COUNTIFS(INDEX(LH_Data,0,LH_ColFirst),$A10,INDEX(LH_Data,0,LH_ColSur),$B10,INDEX(LH_Data,0,LH_ColCat),BonusCat)))</f>
        <v/>
      </c>
      <c r="BB10" s="13" t="str">
        <f aca="false">IF(AE10=0,"",IF(OR(NOT(LH_Ready),BA10=0),0,SUMPRODUCT(MAX((INDEX(LH_Data,0,LH_ColFirst)=$A10)*(INDEX(LH_Data,0,LH_ColSur)=$B10)*(INDEX(LH_Data,0,LH_ColCat)=BonusCat)*ROW(LH_Data)))))</f>
        <v/>
      </c>
      <c r="BC10" s="0" t="str">
        <f aca="false">IF(LEN($A10&amp;$B10)=0,"",$A10&amp;" "&amp;$B10)</f>
        <v/>
      </c>
    </row>
    <row r="11" customFormat="false" ht="15" hidden="false" customHeight="false" outlineLevel="0" collapsed="false">
      <c r="A11" s="9"/>
      <c r="B11" s="9"/>
      <c r="C11" s="9"/>
      <c r="D11" s="10"/>
      <c r="E11" s="11" t="str">
        <f aca="false">IF(OR(AE11=0,$D11=""),"",DATE(YEAR(AsOfDate)+IF(DATE(YEAR(AsOfDate),MONTH($D11),DAY($D11))&lt;=AsOfDate,1,0),MONTH($D11),DAY($D11)))</f>
        <v/>
      </c>
      <c r="F11" s="10"/>
      <c r="G11" s="10"/>
      <c r="H11" s="10"/>
      <c r="I11" s="10"/>
      <c r="J11" s="10"/>
      <c r="K11" s="11" t="str">
        <f aca="false">IF(AE11=0,"",DATE(YEAR(AsOfDate)+IF(DATE(YEAR(AsOfDate),MONTH(AF11),DAY(AF11))&lt;=AsOfDate,1,0),MONTH(AF11),DAY(AF11)))</f>
        <v/>
      </c>
      <c r="L11" s="12" t="str">
        <f aca="false">IF(AE11=0,"",ROUND((AsOfDate-AF11)/365.25,1))</f>
        <v/>
      </c>
      <c r="M11" s="13" t="str">
        <f aca="false">IF(AE11=0,"",IF(AsOfDate&lt;AF11,"-",DATEDIF(AF11,AsOfDate,"y")&amp;"y "&amp;DATEDIF(AF11,AsOfDate,"ym")&amp;"m "&amp;DATEDIF(AF11,AsOfDate,"md")&amp;"d"))</f>
        <v/>
      </c>
      <c r="N11" s="14" t="str">
        <f aca="false">IF(AE11=0,"",O11*HoursPerDay)</f>
        <v/>
      </c>
      <c r="O11" s="14" t="str">
        <f aca="false">IF(AE11=0,"",AX11)</f>
        <v/>
      </c>
      <c r="P11" s="15"/>
      <c r="Q11" s="13"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13"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1" t="str">
        <f aca="false">IF(AE11=0,"",IF(AQ11="None","",EDATE(AF11,AZ11)))</f>
        <v/>
      </c>
      <c r="T11" s="14" t="str">
        <f aca="false">IF(AE11=0,"",IF(NOT(LH_Ready),"",IF(AF11&gt;PFYDate,0,IF(LH_ColPeriod=0,W11-U11+V11,SUMIFS(INDEX(LH_Data,0,LH_ColAcc),INDEX(LH_Data,0,LH_ColFirst),$A11,INDEX(LH_Data,0,LH_ColSur),$B11,INDEX(LH_Data,0,LH_ColCat),BonusCat,INDEX(LH_Data,0,LH_ColPeriod),LH_OpenLabel)*UnitFactor))))</f>
        <v/>
      </c>
      <c r="U11" s="14" t="str">
        <f aca="false">IF(AE11=0,"",IF(NOT(LH_Ready),"",SUMIFS(INDEX(LH_Data,0,LH_ColAcc),INDEX(LH_Data,0,LH_ColFirst),$A11,INDEX(LH_Data,0,LH_ColSur),$B11,INDEX(LH_Data,0,LH_ColCat),BonusCat,INDEX(LH_Data,0,LH_ColStart),"&gt;="&amp;AF11)*UnitFactor))</f>
        <v/>
      </c>
      <c r="V11" s="14" t="str">
        <f aca="false">IF(AE11=0,"",IF(NOT(LH_Ready),"",SUMIFS(INDEX(LH_Data,0,LH_ColTaken),INDEX(LH_Data,0,LH_ColFirst),$A11,INDEX(LH_Data,0,LH_ColSur),$B11,INDEX(LH_Data,0,LH_ColCat),BonusCat,INDEX(LH_Data,0,LH_ColStart),"&gt;="&amp;AF11)*UnitFactor))</f>
        <v/>
      </c>
      <c r="W11" s="14" t="str">
        <f aca="false">IF(AE11=0,"",IF(NOT(LH_Ready),"",IF(BB11=0,0,INDEX(INDEX(LH_Data,0,LH_ColClose),BB11-1)*UnitFactor)))</f>
        <v/>
      </c>
      <c r="X11" s="14" t="str">
        <f aca="false">IF(AE11=0,"",(AX11-AY11)*HoursPerDay)</f>
        <v/>
      </c>
      <c r="Y11" s="14" t="str">
        <f aca="false">IF(AE11=0,"",IF(NOT(LH_Ready),"",IF(BA11=0,N11,IF(PFYDate&lt;$F11,N11-N(T11)-N(U11),X11-N(U11)))))</f>
        <v/>
      </c>
      <c r="Z11" s="13" t="str">
        <f aca="false">IF(OR(AE11=0,Y11=""),"",IF(Y11&gt;0,"Yes","No"))</f>
        <v/>
      </c>
      <c r="AA11" s="13"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 hrs more than policy since commencement",IF(N(W11)&gt;O11*HoursPerDay+0.01,"CHECK - EH balance "&amp;ROUND(W11-O11*HoursPerDay,2)&amp;" hrs more than policy entitlement",IF(O11&gt;0,"OK - nothing to add",IF(AQ11="None",R11,"Not yet - first day on "&amp;TEXT(S11,"dd/mm/yyyy")))))))))</f>
        <v/>
      </c>
      <c r="AB11" s="14" t="str">
        <f aca="false">IF(OR(AE11=0,T11=""),"",AY11*HoursPerDay-T11)</f>
        <v/>
      </c>
      <c r="AC11" s="13" t="str">
        <f aca="false">IF(AE11=0,"",BA11)</f>
        <v/>
      </c>
      <c r="AD11" s="13"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3" t="n">
        <f aca="false">IF(OR(LEN($A11&amp;$B11)=0,$F11=""),0,1)</f>
        <v>0</v>
      </c>
      <c r="AF11" s="11" t="str">
        <f aca="false">IF(AE11=0,"",IF($J11&lt;&gt;"",$J11,IF(OR(CasualCounts="Yes",COUNT($G11:$I11)=0,COUNT($G11:$H11)=0),$F11,MIN($G11:$H11))))</f>
        <v/>
      </c>
      <c r="AG11" s="13" t="str">
        <f aca="false">IF(AE11=0,"",COUNT($G11:$I11))</f>
        <v/>
      </c>
      <c r="AH11" s="11" t="str">
        <f aca="false">IF(AE11=0,"",IFERROR(SMALL($G11:$I11,1),""))</f>
        <v/>
      </c>
      <c r="AI11" s="11" t="str">
        <f aca="false">IF(AE11=0,"",IFERROR(SMALL($G11:$I11,2),""))</f>
        <v/>
      </c>
      <c r="AJ11" s="11" t="str">
        <f aca="false">IF(AE11=0,"",IFERROR(SMALL($G11:$I11,3),""))</f>
        <v/>
      </c>
      <c r="AK11" s="13" t="str">
        <f aca="false">IF(AE11=0,"",IF(AH11="","",IF(AH11=$G11,"Part-Time",IF(AH11=$H11,"Full-Time","Casual"))))</f>
        <v/>
      </c>
      <c r="AL11" s="13" t="str">
        <f aca="false">IF(AE11=0,"",IF(AI11="","",IF(AI11=$G11,"Part-Time",IF(AI11=$H11,"Full-Time","Casual"))))</f>
        <v/>
      </c>
      <c r="AM11" s="13" t="str">
        <f aca="false">IF(AE11=0,"",IF(AJ11="","",IF(AJ11=$G11,"Part-Time",IF(AJ11=$H11,"Full-Time","Casual"))))</f>
        <v/>
      </c>
      <c r="AN11" s="13"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3" t="str">
        <f aca="false">IF(AE11=0,"",IF(AG11&lt;2,"",IF(OR(ISNUMBER(SEARCH("full",AL11)),UPPER(TRIM(AL11))="FT",UPPER(TRIM(AL11))="FTE"),"FT",IF(AND(OR(ISNUMBER(SEARCH("part",AL11)),UPPER(TRIM(AL11))="PT",UPPER(TRIM(AL11))="PTE"),OR($P11="",N($P11)&gt;=PT_MinHours)),"PT","None"))))</f>
        <v/>
      </c>
      <c r="AP11" s="13" t="str">
        <f aca="false">IF(AE11=0,"",IF(AG11&lt;3,"",IF(OR(ISNUMBER(SEARCH("full",AM11)),UPPER(TRIM(AM11))="FT",UPPER(TRIM(AM11))="FTE"),"FT",IF(AND(OR(ISNUMBER(SEARCH("part",AM11)),UPPER(TRIM(AM11))="PT",UPPER(TRIM(AM11))="PTE"),OR($P11="",N($P11)&gt;=PT_MinHours)),"PT","None"))))</f>
        <v/>
      </c>
      <c r="AQ11" s="13" t="str">
        <f aca="false">IF(AE11=0,"",IF(AND(AG11&gt;=3,AJ11&lt;=AsOfDate),AP11,IF(AND(AG11&gt;=2,AI11&lt;=AsOfDate),AO11,AN11)))</f>
        <v/>
      </c>
      <c r="AR11" s="13" t="str">
        <f aca="false">IF(AE11=0,"",IF(AsOfDate&lt;AF11,-1,12*(YEAR(AsOfDate)-YEAR(AF11))+MONTH(AsOfDate)-MONTH(AF11)-IF(DAY(AsOfDate)&lt;MIN(DAY(AF11),DAY(EOMONTH(AsOfDate,0))),1,0)))</f>
        <v/>
      </c>
      <c r="AS11" s="13" t="str">
        <f aca="false">IF(AE11=0,"",IF(OR(AG11&lt;2,AI11&gt;AsOfDate),AR11,IF((AI11-1)&lt;AF11,-1,12*(YEAR((AI11-1))-YEAR(AF11))+MONTH((AI11-1))-MONTH(AF11)-IF(DAY((AI11-1))&lt;MIN(DAY(AF11),DAY(EOMONTH((AI11-1),0))),1,0))))</f>
        <v/>
      </c>
      <c r="AT11" s="13" t="str">
        <f aca="false">IF(AE11=0,"",IF(OR(AG11&lt;3,AJ11&gt;AsOfDate),AR11,IF((AJ11-1)&lt;AF11,-1,12*(YEAR((AJ11-1))-YEAR(AF11))+MONTH((AJ11-1))-MONTH(AF11)-IF(DAY((AJ11-1))&lt;MIN(DAY(AF11),DAY(EOMONTH((AJ11-1),0))),1,0))))</f>
        <v/>
      </c>
      <c r="AU11" s="13" t="str">
        <f aca="false">IF(AE11=0,"",IF(PFYDate&lt;AF11,-1,12*(YEAR(PFYDate)-YEAR(AF11))+MONTH(PFYDate)-MONTH(AF11)-IF(DAY(PFYDate)&lt;MIN(DAY(AF11),DAY(EOMONTH(PFYDate,0))),1,0)))</f>
        <v/>
      </c>
      <c r="AV11" s="13" t="str">
        <f aca="false">IF(AE11=0,"",IF(OR(AG11&lt;2,AI11&gt;PFYDate),AU11,IF((AI11-1)&lt;AF11,-1,12*(YEAR((AI11-1))-YEAR(AF11))+MONTH((AI11-1))-MONTH(AF11)-IF(DAY((AI11-1))&lt;MIN(DAY(AF11),DAY(EOMONTH((AI11-1),0))),1,0))))</f>
        <v/>
      </c>
      <c r="AW11" s="13" t="str">
        <f aca="false">IF(AE11=0,"",IF(OR(AG11&lt;3,AJ11&gt;PFYDate),AU11,IF((AJ11-1)&lt;AF11,-1,12*(YEAR((AJ11-1))-YEAR(AF11))+MONTH((AJ11-1))-MONTH(AF11)-IF(DAY((AJ11-1))&lt;MIN(DAY(AF11),DAY(EOMONTH((AJ11-1),0))),1,0))))</f>
        <v/>
      </c>
      <c r="AX11" s="13"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3"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3" t="str">
        <f aca="false">IF(AE11=0,"",IF(AQ11="FT",IF(AR11&lt;FT_First,FT_First,IF(AR11&lt;FT_Y5,MIN(FT_Y5,FT_First+FT_Int1*(INT((AR11-FT_First)/FT_Int1)+1)),FT_Y5+12*INT((AR11-FT_Y5)/12)+FT_Int2*(INT(MOD(AR11-FT_Y5,12)/FT_Int2)+1))),IF(AQ11="PT",IF(AR11&lt;PT_First,PT_First,PT_First+PT_Int*(INT((AR11-PT_First)/PT_Int)+1)),"")))</f>
        <v/>
      </c>
      <c r="BA11" s="13" t="str">
        <f aca="false">IF(AE11=0,"",IF(NOT(LH_Ready),0,COUNTIFS(INDEX(LH_Data,0,LH_ColFirst),$A11,INDEX(LH_Data,0,LH_ColSur),$B11,INDEX(LH_Data,0,LH_ColCat),BonusCat)))</f>
        <v/>
      </c>
      <c r="BB11" s="13" t="str">
        <f aca="false">IF(AE11=0,"",IF(OR(NOT(LH_Ready),BA11=0),0,SUMPRODUCT(MAX((INDEX(LH_Data,0,LH_ColFirst)=$A11)*(INDEX(LH_Data,0,LH_ColSur)=$B11)*(INDEX(LH_Data,0,LH_ColCat)=BonusCat)*ROW(LH_Data)))))</f>
        <v/>
      </c>
      <c r="BC11" s="0" t="str">
        <f aca="false">IF(LEN($A11&amp;$B11)=0,"",$A11&amp;" "&amp;$B11)</f>
        <v/>
      </c>
    </row>
    <row r="12" customFormat="false" ht="15" hidden="false" customHeight="false" outlineLevel="0" collapsed="false">
      <c r="A12" s="9"/>
      <c r="B12" s="9"/>
      <c r="C12" s="9"/>
      <c r="D12" s="10"/>
      <c r="E12" s="11" t="str">
        <f aca="false">IF(OR(AE12=0,$D12=""),"",DATE(YEAR(AsOfDate)+IF(DATE(YEAR(AsOfDate),MONTH($D12),DAY($D12))&lt;=AsOfDate,1,0),MONTH($D12),DAY($D12)))</f>
        <v/>
      </c>
      <c r="F12" s="10"/>
      <c r="G12" s="10"/>
      <c r="H12" s="10"/>
      <c r="I12" s="10"/>
      <c r="J12" s="10"/>
      <c r="K12" s="11" t="str">
        <f aca="false">IF(AE12=0,"",DATE(YEAR(AsOfDate)+IF(DATE(YEAR(AsOfDate),MONTH(AF12),DAY(AF12))&lt;=AsOfDate,1,0),MONTH(AF12),DAY(AF12)))</f>
        <v/>
      </c>
      <c r="L12" s="12" t="str">
        <f aca="false">IF(AE12=0,"",ROUND((AsOfDate-AF12)/365.25,1))</f>
        <v/>
      </c>
      <c r="M12" s="13" t="str">
        <f aca="false">IF(AE12=0,"",IF(AsOfDate&lt;AF12,"-",DATEDIF(AF12,AsOfDate,"y")&amp;"y "&amp;DATEDIF(AF12,AsOfDate,"ym")&amp;"m "&amp;DATEDIF(AF12,AsOfDate,"md")&amp;"d"))</f>
        <v/>
      </c>
      <c r="N12" s="14" t="str">
        <f aca="false">IF(AE12=0,"",O12*HoursPerDay)</f>
        <v/>
      </c>
      <c r="O12" s="14" t="str">
        <f aca="false">IF(AE12=0,"",AX12)</f>
        <v/>
      </c>
      <c r="P12" s="15"/>
      <c r="Q12" s="13"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13"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1" t="str">
        <f aca="false">IF(AE12=0,"",IF(AQ12="None","",EDATE(AF12,AZ12)))</f>
        <v/>
      </c>
      <c r="T12" s="14" t="str">
        <f aca="false">IF(AE12=0,"",IF(NOT(LH_Ready),"",IF(AF12&gt;PFYDate,0,IF(LH_ColPeriod=0,W12-U12+V12,SUMIFS(INDEX(LH_Data,0,LH_ColAcc),INDEX(LH_Data,0,LH_ColFirst),$A12,INDEX(LH_Data,0,LH_ColSur),$B12,INDEX(LH_Data,0,LH_ColCat),BonusCat,INDEX(LH_Data,0,LH_ColPeriod),LH_OpenLabel)*UnitFactor))))</f>
        <v/>
      </c>
      <c r="U12" s="14" t="str">
        <f aca="false">IF(AE12=0,"",IF(NOT(LH_Ready),"",SUMIFS(INDEX(LH_Data,0,LH_ColAcc),INDEX(LH_Data,0,LH_ColFirst),$A12,INDEX(LH_Data,0,LH_ColSur),$B12,INDEX(LH_Data,0,LH_ColCat),BonusCat,INDEX(LH_Data,0,LH_ColStart),"&gt;="&amp;AF12)*UnitFactor))</f>
        <v/>
      </c>
      <c r="V12" s="14" t="str">
        <f aca="false">IF(AE12=0,"",IF(NOT(LH_Ready),"",SUMIFS(INDEX(LH_Data,0,LH_ColTaken),INDEX(LH_Data,0,LH_ColFirst),$A12,INDEX(LH_Data,0,LH_ColSur),$B12,INDEX(LH_Data,0,LH_ColCat),BonusCat,INDEX(LH_Data,0,LH_ColStart),"&gt;="&amp;AF12)*UnitFactor))</f>
        <v/>
      </c>
      <c r="W12" s="14" t="str">
        <f aca="false">IF(AE12=0,"",IF(NOT(LH_Ready),"",IF(BB12=0,0,INDEX(INDEX(LH_Data,0,LH_ColClose),BB12-1)*UnitFactor)))</f>
        <v/>
      </c>
      <c r="X12" s="14" t="str">
        <f aca="false">IF(AE12=0,"",(AX12-AY12)*HoursPerDay)</f>
        <v/>
      </c>
      <c r="Y12" s="14" t="str">
        <f aca="false">IF(AE12=0,"",IF(NOT(LH_Ready),"",IF(BA12=0,N12,IF(PFYDate&lt;$F12,N12-N(T12)-N(U12),X12-N(U12)))))</f>
        <v/>
      </c>
      <c r="Z12" s="13" t="str">
        <f aca="false">IF(OR(AE12=0,Y12=""),"",IF(Y12&gt;0,"Yes","No"))</f>
        <v/>
      </c>
      <c r="AA12" s="13"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 hrs more than policy since commencement",IF(N(W12)&gt;O12*HoursPerDay+0.01,"CHECK - EH balance "&amp;ROUND(W12-O12*HoursPerDay,2)&amp;" hrs more than policy entitlement",IF(O12&gt;0,"OK - nothing to add",IF(AQ12="None",R12,"Not yet - first day on "&amp;TEXT(S12,"dd/mm/yyyy")))))))))</f>
        <v/>
      </c>
      <c r="AB12" s="14" t="str">
        <f aca="false">IF(OR(AE12=0,T12=""),"",AY12*HoursPerDay-T12)</f>
        <v/>
      </c>
      <c r="AC12" s="13" t="str">
        <f aca="false">IF(AE12=0,"",BA12)</f>
        <v/>
      </c>
      <c r="AD12" s="13"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3" t="n">
        <f aca="false">IF(OR(LEN($A12&amp;$B12)=0,$F12=""),0,1)</f>
        <v>0</v>
      </c>
      <c r="AF12" s="11" t="str">
        <f aca="false">IF(AE12=0,"",IF($J12&lt;&gt;"",$J12,IF(OR(CasualCounts="Yes",COUNT($G12:$I12)=0,COUNT($G12:$H12)=0),$F12,MIN($G12:$H12))))</f>
        <v/>
      </c>
      <c r="AG12" s="13" t="str">
        <f aca="false">IF(AE12=0,"",COUNT($G12:$I12))</f>
        <v/>
      </c>
      <c r="AH12" s="11" t="str">
        <f aca="false">IF(AE12=0,"",IFERROR(SMALL($G12:$I12,1),""))</f>
        <v/>
      </c>
      <c r="AI12" s="11" t="str">
        <f aca="false">IF(AE12=0,"",IFERROR(SMALL($G12:$I12,2),""))</f>
        <v/>
      </c>
      <c r="AJ12" s="11" t="str">
        <f aca="false">IF(AE12=0,"",IFERROR(SMALL($G12:$I12,3),""))</f>
        <v/>
      </c>
      <c r="AK12" s="13" t="str">
        <f aca="false">IF(AE12=0,"",IF(AH12="","",IF(AH12=$G12,"Part-Time",IF(AH12=$H12,"Full-Time","Casual"))))</f>
        <v/>
      </c>
      <c r="AL12" s="13" t="str">
        <f aca="false">IF(AE12=0,"",IF(AI12="","",IF(AI12=$G12,"Part-Time",IF(AI12=$H12,"Full-Time","Casual"))))</f>
        <v/>
      </c>
      <c r="AM12" s="13" t="str">
        <f aca="false">IF(AE12=0,"",IF(AJ12="","",IF(AJ12=$G12,"Part-Time",IF(AJ12=$H12,"Full-Time","Casual"))))</f>
        <v/>
      </c>
      <c r="AN12" s="13"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3" t="str">
        <f aca="false">IF(AE12=0,"",IF(AG12&lt;2,"",IF(OR(ISNUMBER(SEARCH("full",AL12)),UPPER(TRIM(AL12))="FT",UPPER(TRIM(AL12))="FTE"),"FT",IF(AND(OR(ISNUMBER(SEARCH("part",AL12)),UPPER(TRIM(AL12))="PT",UPPER(TRIM(AL12))="PTE"),OR($P12="",N($P12)&gt;=PT_MinHours)),"PT","None"))))</f>
        <v/>
      </c>
      <c r="AP12" s="13" t="str">
        <f aca="false">IF(AE12=0,"",IF(AG12&lt;3,"",IF(OR(ISNUMBER(SEARCH("full",AM12)),UPPER(TRIM(AM12))="FT",UPPER(TRIM(AM12))="FTE"),"FT",IF(AND(OR(ISNUMBER(SEARCH("part",AM12)),UPPER(TRIM(AM12))="PT",UPPER(TRIM(AM12))="PTE"),OR($P12="",N($P12)&gt;=PT_MinHours)),"PT","None"))))</f>
        <v/>
      </c>
      <c r="AQ12" s="13" t="str">
        <f aca="false">IF(AE12=0,"",IF(AND(AG12&gt;=3,AJ12&lt;=AsOfDate),AP12,IF(AND(AG12&gt;=2,AI12&lt;=AsOfDate),AO12,AN12)))</f>
        <v/>
      </c>
      <c r="AR12" s="13" t="str">
        <f aca="false">IF(AE12=0,"",IF(AsOfDate&lt;AF12,-1,12*(YEAR(AsOfDate)-YEAR(AF12))+MONTH(AsOfDate)-MONTH(AF12)-IF(DAY(AsOfDate)&lt;MIN(DAY(AF12),DAY(EOMONTH(AsOfDate,0))),1,0)))</f>
        <v/>
      </c>
      <c r="AS12" s="13" t="str">
        <f aca="false">IF(AE12=0,"",IF(OR(AG12&lt;2,AI12&gt;AsOfDate),AR12,IF((AI12-1)&lt;AF12,-1,12*(YEAR((AI12-1))-YEAR(AF12))+MONTH((AI12-1))-MONTH(AF12)-IF(DAY((AI12-1))&lt;MIN(DAY(AF12),DAY(EOMONTH((AI12-1),0))),1,0))))</f>
        <v/>
      </c>
      <c r="AT12" s="13" t="str">
        <f aca="false">IF(AE12=0,"",IF(OR(AG12&lt;3,AJ12&gt;AsOfDate),AR12,IF((AJ12-1)&lt;AF12,-1,12*(YEAR((AJ12-1))-YEAR(AF12))+MONTH((AJ12-1))-MONTH(AF12)-IF(DAY((AJ12-1))&lt;MIN(DAY(AF12),DAY(EOMONTH((AJ12-1),0))),1,0))))</f>
        <v/>
      </c>
      <c r="AU12" s="13" t="str">
        <f aca="false">IF(AE12=0,"",IF(PFYDate&lt;AF12,-1,12*(YEAR(PFYDate)-YEAR(AF12))+MONTH(PFYDate)-MONTH(AF12)-IF(DAY(PFYDate)&lt;MIN(DAY(AF12),DAY(EOMONTH(PFYDate,0))),1,0)))</f>
        <v/>
      </c>
      <c r="AV12" s="13" t="str">
        <f aca="false">IF(AE12=0,"",IF(OR(AG12&lt;2,AI12&gt;PFYDate),AU12,IF((AI12-1)&lt;AF12,-1,12*(YEAR((AI12-1))-YEAR(AF12))+MONTH((AI12-1))-MONTH(AF12)-IF(DAY((AI12-1))&lt;MIN(DAY(AF12),DAY(EOMONTH((AI12-1),0))),1,0))))</f>
        <v/>
      </c>
      <c r="AW12" s="13" t="str">
        <f aca="false">IF(AE12=0,"",IF(OR(AG12&lt;3,AJ12&gt;PFYDate),AU12,IF((AJ12-1)&lt;AF12,-1,12*(YEAR((AJ12-1))-YEAR(AF12))+MONTH((AJ12-1))-MONTH(AF12)-IF(DAY((AJ12-1))&lt;MIN(DAY(AF12),DAY(EOMONTH((AJ12-1),0))),1,0))))</f>
        <v/>
      </c>
      <c r="AX12" s="13"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3"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3" t="str">
        <f aca="false">IF(AE12=0,"",IF(AQ12="FT",IF(AR12&lt;FT_First,FT_First,IF(AR12&lt;FT_Y5,MIN(FT_Y5,FT_First+FT_Int1*(INT((AR12-FT_First)/FT_Int1)+1)),FT_Y5+12*INT((AR12-FT_Y5)/12)+FT_Int2*(INT(MOD(AR12-FT_Y5,12)/FT_Int2)+1))),IF(AQ12="PT",IF(AR12&lt;PT_First,PT_First,PT_First+PT_Int*(INT((AR12-PT_First)/PT_Int)+1)),"")))</f>
        <v/>
      </c>
      <c r="BA12" s="13" t="str">
        <f aca="false">IF(AE12=0,"",IF(NOT(LH_Ready),0,COUNTIFS(INDEX(LH_Data,0,LH_ColFirst),$A12,INDEX(LH_Data,0,LH_ColSur),$B12,INDEX(LH_Data,0,LH_ColCat),BonusCat)))</f>
        <v/>
      </c>
      <c r="BB12" s="13" t="str">
        <f aca="false">IF(AE12=0,"",IF(OR(NOT(LH_Ready),BA12=0),0,SUMPRODUCT(MAX((INDEX(LH_Data,0,LH_ColFirst)=$A12)*(INDEX(LH_Data,0,LH_ColSur)=$B12)*(INDEX(LH_Data,0,LH_ColCat)=BonusCat)*ROW(LH_Data)))))</f>
        <v/>
      </c>
      <c r="BC12" s="0" t="str">
        <f aca="false">IF(LEN($A12&amp;$B12)=0,"",$A12&amp;" "&amp;$B12)</f>
        <v/>
      </c>
    </row>
    <row r="13" customFormat="false" ht="15" hidden="false" customHeight="false" outlineLevel="0" collapsed="false">
      <c r="A13" s="9"/>
      <c r="B13" s="9"/>
      <c r="C13" s="9"/>
      <c r="D13" s="10"/>
      <c r="E13" s="11" t="str">
        <f aca="false">IF(OR(AE13=0,$D13=""),"",DATE(YEAR(AsOfDate)+IF(DATE(YEAR(AsOfDate),MONTH($D13),DAY($D13))&lt;=AsOfDate,1,0),MONTH($D13),DAY($D13)))</f>
        <v/>
      </c>
      <c r="F13" s="10"/>
      <c r="G13" s="10"/>
      <c r="H13" s="10"/>
      <c r="I13" s="10"/>
      <c r="J13" s="10"/>
      <c r="K13" s="11" t="str">
        <f aca="false">IF(AE13=0,"",DATE(YEAR(AsOfDate)+IF(DATE(YEAR(AsOfDate),MONTH(AF13),DAY(AF13))&lt;=AsOfDate,1,0),MONTH(AF13),DAY(AF13)))</f>
        <v/>
      </c>
      <c r="L13" s="12" t="str">
        <f aca="false">IF(AE13=0,"",ROUND((AsOfDate-AF13)/365.25,1))</f>
        <v/>
      </c>
      <c r="M13" s="13" t="str">
        <f aca="false">IF(AE13=0,"",IF(AsOfDate&lt;AF13,"-",DATEDIF(AF13,AsOfDate,"y")&amp;"y "&amp;DATEDIF(AF13,AsOfDate,"ym")&amp;"m "&amp;DATEDIF(AF13,AsOfDate,"md")&amp;"d"))</f>
        <v/>
      </c>
      <c r="N13" s="14" t="str">
        <f aca="false">IF(AE13=0,"",O13*HoursPerDay)</f>
        <v/>
      </c>
      <c r="O13" s="14" t="str">
        <f aca="false">IF(AE13=0,"",AX13)</f>
        <v/>
      </c>
      <c r="P13" s="15"/>
      <c r="Q13" s="13"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13"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1" t="str">
        <f aca="false">IF(AE13=0,"",IF(AQ13="None","",EDATE(AF13,AZ13)))</f>
        <v/>
      </c>
      <c r="T13" s="14" t="str">
        <f aca="false">IF(AE13=0,"",IF(NOT(LH_Ready),"",IF(AF13&gt;PFYDate,0,IF(LH_ColPeriod=0,W13-U13+V13,SUMIFS(INDEX(LH_Data,0,LH_ColAcc),INDEX(LH_Data,0,LH_ColFirst),$A13,INDEX(LH_Data,0,LH_ColSur),$B13,INDEX(LH_Data,0,LH_ColCat),BonusCat,INDEX(LH_Data,0,LH_ColPeriod),LH_OpenLabel)*UnitFactor))))</f>
        <v/>
      </c>
      <c r="U13" s="14" t="str">
        <f aca="false">IF(AE13=0,"",IF(NOT(LH_Ready),"",SUMIFS(INDEX(LH_Data,0,LH_ColAcc),INDEX(LH_Data,0,LH_ColFirst),$A13,INDEX(LH_Data,0,LH_ColSur),$B13,INDEX(LH_Data,0,LH_ColCat),BonusCat,INDEX(LH_Data,0,LH_ColStart),"&gt;="&amp;AF13)*UnitFactor))</f>
        <v/>
      </c>
      <c r="V13" s="14" t="str">
        <f aca="false">IF(AE13=0,"",IF(NOT(LH_Ready),"",SUMIFS(INDEX(LH_Data,0,LH_ColTaken),INDEX(LH_Data,0,LH_ColFirst),$A13,INDEX(LH_Data,0,LH_ColSur),$B13,INDEX(LH_Data,0,LH_ColCat),BonusCat,INDEX(LH_Data,0,LH_ColStart),"&gt;="&amp;AF13)*UnitFactor))</f>
        <v/>
      </c>
      <c r="W13" s="14" t="str">
        <f aca="false">IF(AE13=0,"",IF(NOT(LH_Ready),"",IF(BB13=0,0,INDEX(INDEX(LH_Data,0,LH_ColClose),BB13-1)*UnitFactor)))</f>
        <v/>
      </c>
      <c r="X13" s="14" t="str">
        <f aca="false">IF(AE13=0,"",(AX13-AY13)*HoursPerDay)</f>
        <v/>
      </c>
      <c r="Y13" s="14" t="str">
        <f aca="false">IF(AE13=0,"",IF(NOT(LH_Ready),"",IF(BA13=0,N13,IF(PFYDate&lt;$F13,N13-N(T13)-N(U13),X13-N(U13)))))</f>
        <v/>
      </c>
      <c r="Z13" s="13" t="str">
        <f aca="false">IF(OR(AE13=0,Y13=""),"",IF(Y13&gt;0,"Yes","No"))</f>
        <v/>
      </c>
      <c r="AA13" s="13"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 hrs more than policy since commencement",IF(N(W13)&gt;O13*HoursPerDay+0.01,"CHECK - EH balance "&amp;ROUND(W13-O13*HoursPerDay,2)&amp;" hrs more than policy entitlement",IF(O13&gt;0,"OK - nothing to add",IF(AQ13="None",R13,"Not yet - first day on "&amp;TEXT(S13,"dd/mm/yyyy")))))))))</f>
        <v/>
      </c>
      <c r="AB13" s="14" t="str">
        <f aca="false">IF(OR(AE13=0,T13=""),"",AY13*HoursPerDay-T13)</f>
        <v/>
      </c>
      <c r="AC13" s="13" t="str">
        <f aca="false">IF(AE13=0,"",BA13)</f>
        <v/>
      </c>
      <c r="AD13" s="13"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3" t="n">
        <f aca="false">IF(OR(LEN($A13&amp;$B13)=0,$F13=""),0,1)</f>
        <v>0</v>
      </c>
      <c r="AF13" s="11" t="str">
        <f aca="false">IF(AE13=0,"",IF($J13&lt;&gt;"",$J13,IF(OR(CasualCounts="Yes",COUNT($G13:$I13)=0,COUNT($G13:$H13)=0),$F13,MIN($G13:$H13))))</f>
        <v/>
      </c>
      <c r="AG13" s="13" t="str">
        <f aca="false">IF(AE13=0,"",COUNT($G13:$I13))</f>
        <v/>
      </c>
      <c r="AH13" s="11" t="str">
        <f aca="false">IF(AE13=0,"",IFERROR(SMALL($G13:$I13,1),""))</f>
        <v/>
      </c>
      <c r="AI13" s="11" t="str">
        <f aca="false">IF(AE13=0,"",IFERROR(SMALL($G13:$I13,2),""))</f>
        <v/>
      </c>
      <c r="AJ13" s="11" t="str">
        <f aca="false">IF(AE13=0,"",IFERROR(SMALL($G13:$I13,3),""))</f>
        <v/>
      </c>
      <c r="AK13" s="13" t="str">
        <f aca="false">IF(AE13=0,"",IF(AH13="","",IF(AH13=$G13,"Part-Time",IF(AH13=$H13,"Full-Time","Casual"))))</f>
        <v/>
      </c>
      <c r="AL13" s="13" t="str">
        <f aca="false">IF(AE13=0,"",IF(AI13="","",IF(AI13=$G13,"Part-Time",IF(AI13=$H13,"Full-Time","Casual"))))</f>
        <v/>
      </c>
      <c r="AM13" s="13" t="str">
        <f aca="false">IF(AE13=0,"",IF(AJ13="","",IF(AJ13=$G13,"Part-Time",IF(AJ13=$H13,"Full-Time","Casual"))))</f>
        <v/>
      </c>
      <c r="AN13" s="13"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3" t="str">
        <f aca="false">IF(AE13=0,"",IF(AG13&lt;2,"",IF(OR(ISNUMBER(SEARCH("full",AL13)),UPPER(TRIM(AL13))="FT",UPPER(TRIM(AL13))="FTE"),"FT",IF(AND(OR(ISNUMBER(SEARCH("part",AL13)),UPPER(TRIM(AL13))="PT",UPPER(TRIM(AL13))="PTE"),OR($P13="",N($P13)&gt;=PT_MinHours)),"PT","None"))))</f>
        <v/>
      </c>
      <c r="AP13" s="13" t="str">
        <f aca="false">IF(AE13=0,"",IF(AG13&lt;3,"",IF(OR(ISNUMBER(SEARCH("full",AM13)),UPPER(TRIM(AM13))="FT",UPPER(TRIM(AM13))="FTE"),"FT",IF(AND(OR(ISNUMBER(SEARCH("part",AM13)),UPPER(TRIM(AM13))="PT",UPPER(TRIM(AM13))="PTE"),OR($P13="",N($P13)&gt;=PT_MinHours)),"PT","None"))))</f>
        <v/>
      </c>
      <c r="AQ13" s="13" t="str">
        <f aca="false">IF(AE13=0,"",IF(AND(AG13&gt;=3,AJ13&lt;=AsOfDate),AP13,IF(AND(AG13&gt;=2,AI13&lt;=AsOfDate),AO13,AN13)))</f>
        <v/>
      </c>
      <c r="AR13" s="13" t="str">
        <f aca="false">IF(AE13=0,"",IF(AsOfDate&lt;AF13,-1,12*(YEAR(AsOfDate)-YEAR(AF13))+MONTH(AsOfDate)-MONTH(AF13)-IF(DAY(AsOfDate)&lt;MIN(DAY(AF13),DAY(EOMONTH(AsOfDate,0))),1,0)))</f>
        <v/>
      </c>
      <c r="AS13" s="13" t="str">
        <f aca="false">IF(AE13=0,"",IF(OR(AG13&lt;2,AI13&gt;AsOfDate),AR13,IF((AI13-1)&lt;AF13,-1,12*(YEAR((AI13-1))-YEAR(AF13))+MONTH((AI13-1))-MONTH(AF13)-IF(DAY((AI13-1))&lt;MIN(DAY(AF13),DAY(EOMONTH((AI13-1),0))),1,0))))</f>
        <v/>
      </c>
      <c r="AT13" s="13" t="str">
        <f aca="false">IF(AE13=0,"",IF(OR(AG13&lt;3,AJ13&gt;AsOfDate),AR13,IF((AJ13-1)&lt;AF13,-1,12*(YEAR((AJ13-1))-YEAR(AF13))+MONTH((AJ13-1))-MONTH(AF13)-IF(DAY((AJ13-1))&lt;MIN(DAY(AF13),DAY(EOMONTH((AJ13-1),0))),1,0))))</f>
        <v/>
      </c>
      <c r="AU13" s="13" t="str">
        <f aca="false">IF(AE13=0,"",IF(PFYDate&lt;AF13,-1,12*(YEAR(PFYDate)-YEAR(AF13))+MONTH(PFYDate)-MONTH(AF13)-IF(DAY(PFYDate)&lt;MIN(DAY(AF13),DAY(EOMONTH(PFYDate,0))),1,0)))</f>
        <v/>
      </c>
      <c r="AV13" s="13" t="str">
        <f aca="false">IF(AE13=0,"",IF(OR(AG13&lt;2,AI13&gt;PFYDate),AU13,IF((AI13-1)&lt;AF13,-1,12*(YEAR((AI13-1))-YEAR(AF13))+MONTH((AI13-1))-MONTH(AF13)-IF(DAY((AI13-1))&lt;MIN(DAY(AF13),DAY(EOMONTH((AI13-1),0))),1,0))))</f>
        <v/>
      </c>
      <c r="AW13" s="13" t="str">
        <f aca="false">IF(AE13=0,"",IF(OR(AG13&lt;3,AJ13&gt;PFYDate),AU13,IF((AJ13-1)&lt;AF13,-1,12*(YEAR((AJ13-1))-YEAR(AF13))+MONTH((AJ13-1))-MONTH(AF13)-IF(DAY((AJ13-1))&lt;MIN(DAY(AF13),DAY(EOMONTH((AJ13-1),0))),1,0))))</f>
        <v/>
      </c>
      <c r="AX13" s="13"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3"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3" t="str">
        <f aca="false">IF(AE13=0,"",IF(AQ13="FT",IF(AR13&lt;FT_First,FT_First,IF(AR13&lt;FT_Y5,MIN(FT_Y5,FT_First+FT_Int1*(INT((AR13-FT_First)/FT_Int1)+1)),FT_Y5+12*INT((AR13-FT_Y5)/12)+FT_Int2*(INT(MOD(AR13-FT_Y5,12)/FT_Int2)+1))),IF(AQ13="PT",IF(AR13&lt;PT_First,PT_First,PT_First+PT_Int*(INT((AR13-PT_First)/PT_Int)+1)),"")))</f>
        <v/>
      </c>
      <c r="BA13" s="13" t="str">
        <f aca="false">IF(AE13=0,"",IF(NOT(LH_Ready),0,COUNTIFS(INDEX(LH_Data,0,LH_ColFirst),$A13,INDEX(LH_Data,0,LH_ColSur),$B13,INDEX(LH_Data,0,LH_ColCat),BonusCat)))</f>
        <v/>
      </c>
      <c r="BB13" s="13" t="str">
        <f aca="false">IF(AE13=0,"",IF(OR(NOT(LH_Ready),BA13=0),0,SUMPRODUCT(MAX((INDEX(LH_Data,0,LH_ColFirst)=$A13)*(INDEX(LH_Data,0,LH_ColSur)=$B13)*(INDEX(LH_Data,0,LH_ColCat)=BonusCat)*ROW(LH_Data)))))</f>
        <v/>
      </c>
      <c r="BC13" s="0" t="str">
        <f aca="false">IF(LEN($A13&amp;$B13)=0,"",$A13&amp;" "&amp;$B13)</f>
        <v/>
      </c>
    </row>
    <row r="14" customFormat="false" ht="15" hidden="false" customHeight="false" outlineLevel="0" collapsed="false">
      <c r="A14" s="9"/>
      <c r="B14" s="9"/>
      <c r="C14" s="9"/>
      <c r="D14" s="10"/>
      <c r="E14" s="11" t="str">
        <f aca="false">IF(OR(AE14=0,$D14=""),"",DATE(YEAR(AsOfDate)+IF(DATE(YEAR(AsOfDate),MONTH($D14),DAY($D14))&lt;=AsOfDate,1,0),MONTH($D14),DAY($D14)))</f>
        <v/>
      </c>
      <c r="F14" s="10"/>
      <c r="G14" s="10"/>
      <c r="H14" s="10"/>
      <c r="I14" s="10"/>
      <c r="J14" s="10"/>
      <c r="K14" s="11" t="str">
        <f aca="false">IF(AE14=0,"",DATE(YEAR(AsOfDate)+IF(DATE(YEAR(AsOfDate),MONTH(AF14),DAY(AF14))&lt;=AsOfDate,1,0),MONTH(AF14),DAY(AF14)))</f>
        <v/>
      </c>
      <c r="L14" s="12" t="str">
        <f aca="false">IF(AE14=0,"",ROUND((AsOfDate-AF14)/365.25,1))</f>
        <v/>
      </c>
      <c r="M14" s="13" t="str">
        <f aca="false">IF(AE14=0,"",IF(AsOfDate&lt;AF14,"-",DATEDIF(AF14,AsOfDate,"y")&amp;"y "&amp;DATEDIF(AF14,AsOfDate,"ym")&amp;"m "&amp;DATEDIF(AF14,AsOfDate,"md")&amp;"d"))</f>
        <v/>
      </c>
      <c r="N14" s="14" t="str">
        <f aca="false">IF(AE14=0,"",O14*HoursPerDay)</f>
        <v/>
      </c>
      <c r="O14" s="14" t="str">
        <f aca="false">IF(AE14=0,"",AX14)</f>
        <v/>
      </c>
      <c r="P14" s="15"/>
      <c r="Q14" s="13"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
      </c>
      <c r="R14" s="13"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1" t="str">
        <f aca="false">IF(AE14=0,"",IF(AQ14="None","",EDATE(AF14,AZ14)))</f>
        <v/>
      </c>
      <c r="T14" s="14" t="str">
        <f aca="false">IF(AE14=0,"",IF(NOT(LH_Ready),"",IF(AF14&gt;PFYDate,0,IF(LH_ColPeriod=0,W14-U14+V14,SUMIFS(INDEX(LH_Data,0,LH_ColAcc),INDEX(LH_Data,0,LH_ColFirst),$A14,INDEX(LH_Data,0,LH_ColSur),$B14,INDEX(LH_Data,0,LH_ColCat),BonusCat,INDEX(LH_Data,0,LH_ColPeriod),LH_OpenLabel)*UnitFactor))))</f>
        <v/>
      </c>
      <c r="U14" s="14" t="str">
        <f aca="false">IF(AE14=0,"",IF(NOT(LH_Ready),"",SUMIFS(INDEX(LH_Data,0,LH_ColAcc),INDEX(LH_Data,0,LH_ColFirst),$A14,INDEX(LH_Data,0,LH_ColSur),$B14,INDEX(LH_Data,0,LH_ColCat),BonusCat,INDEX(LH_Data,0,LH_ColStart),"&gt;="&amp;AF14)*UnitFactor))</f>
        <v/>
      </c>
      <c r="V14" s="14" t="str">
        <f aca="false">IF(AE14=0,"",IF(NOT(LH_Ready),"",SUMIFS(INDEX(LH_Data,0,LH_ColTaken),INDEX(LH_Data,0,LH_ColFirst),$A14,INDEX(LH_Data,0,LH_ColSur),$B14,INDEX(LH_Data,0,LH_ColCat),BonusCat,INDEX(LH_Data,0,LH_ColStart),"&gt;="&amp;AF14)*UnitFactor))</f>
        <v/>
      </c>
      <c r="W14" s="14" t="str">
        <f aca="false">IF(AE14=0,"",IF(NOT(LH_Ready),"",IF(BB14=0,0,INDEX(INDEX(LH_Data,0,LH_ColClose),BB14-1)*UnitFactor)))</f>
        <v/>
      </c>
      <c r="X14" s="14" t="str">
        <f aca="false">IF(AE14=0,"",(AX14-AY14)*HoursPerDay)</f>
        <v/>
      </c>
      <c r="Y14" s="14" t="str">
        <f aca="false">IF(AE14=0,"",IF(NOT(LH_Ready),"",IF(BA14=0,N14,IF(PFYDate&lt;$F14,N14-N(T14)-N(U14),X14-N(U14)))))</f>
        <v/>
      </c>
      <c r="Z14" s="13" t="str">
        <f aca="false">IF(OR(AE14=0,Y14=""),"",IF(Y14&gt;0,"Yes","No"))</f>
        <v/>
      </c>
      <c r="AA14" s="13"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 hrs more than policy since commencement",IF(N(W14)&gt;O14*HoursPerDay+0.01,"CHECK - EH balance "&amp;ROUND(W14-O14*HoursPerDay,2)&amp;" hrs more than policy entitlement",IF(O14&gt;0,"OK - nothing to add",IF(AQ14="None",R14,"Not yet - first day on "&amp;TEXT(S14,"dd/mm/yyyy")))))))))</f>
        <v/>
      </c>
      <c r="AB14" s="14" t="str">
        <f aca="false">IF(OR(AE14=0,T14=""),"",AY14*HoursPerDay-T14)</f>
        <v/>
      </c>
      <c r="AC14" s="13" t="str">
        <f aca="false">IF(AE14=0,"",BA14)</f>
        <v/>
      </c>
      <c r="AD14" s="13"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3" t="n">
        <f aca="false">IF(OR(LEN($A14&amp;$B14)=0,$F14=""),0,1)</f>
        <v>0</v>
      </c>
      <c r="AF14" s="11" t="str">
        <f aca="false">IF(AE14=0,"",IF($J14&lt;&gt;"",$J14,IF(OR(CasualCounts="Yes",COUNT($G14:$I14)=0,COUNT($G14:$H14)=0),$F14,MIN($G14:$H14))))</f>
        <v/>
      </c>
      <c r="AG14" s="13" t="str">
        <f aca="false">IF(AE14=0,"",COUNT($G14:$I14))</f>
        <v/>
      </c>
      <c r="AH14" s="11" t="str">
        <f aca="false">IF(AE14=0,"",IFERROR(SMALL($G14:$I14,1),""))</f>
        <v/>
      </c>
      <c r="AI14" s="11" t="str">
        <f aca="false">IF(AE14=0,"",IFERROR(SMALL($G14:$I14,2),""))</f>
        <v/>
      </c>
      <c r="AJ14" s="11" t="str">
        <f aca="false">IF(AE14=0,"",IFERROR(SMALL($G14:$I14,3),""))</f>
        <v/>
      </c>
      <c r="AK14" s="13" t="str">
        <f aca="false">IF(AE14=0,"",IF(AH14="","",IF(AH14=$G14,"Part-Time",IF(AH14=$H14,"Full-Time","Casual"))))</f>
        <v/>
      </c>
      <c r="AL14" s="13" t="str">
        <f aca="false">IF(AE14=0,"",IF(AI14="","",IF(AI14=$G14,"Part-Time",IF(AI14=$H14,"Full-Time","Casual"))))</f>
        <v/>
      </c>
      <c r="AM14" s="13" t="str">
        <f aca="false">IF(AE14=0,"",IF(AJ14="","",IF(AJ14=$G14,"Part-Time",IF(AJ14=$H14,"Full-Time","Casual"))))</f>
        <v/>
      </c>
      <c r="AN14" s="13"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3" t="str">
        <f aca="false">IF(AE14=0,"",IF(AG14&lt;2,"",IF(OR(ISNUMBER(SEARCH("full",AL14)),UPPER(TRIM(AL14))="FT",UPPER(TRIM(AL14))="FTE"),"FT",IF(AND(OR(ISNUMBER(SEARCH("part",AL14)),UPPER(TRIM(AL14))="PT",UPPER(TRIM(AL14))="PTE"),OR($P14="",N($P14)&gt;=PT_MinHours)),"PT","None"))))</f>
        <v/>
      </c>
      <c r="AP14" s="13" t="str">
        <f aca="false">IF(AE14=0,"",IF(AG14&lt;3,"",IF(OR(ISNUMBER(SEARCH("full",AM14)),UPPER(TRIM(AM14))="FT",UPPER(TRIM(AM14))="FTE"),"FT",IF(AND(OR(ISNUMBER(SEARCH("part",AM14)),UPPER(TRIM(AM14))="PT",UPPER(TRIM(AM14))="PTE"),OR($P14="",N($P14)&gt;=PT_MinHours)),"PT","None"))))</f>
        <v/>
      </c>
      <c r="AQ14" s="13" t="str">
        <f aca="false">IF(AE14=0,"",IF(AND(AG14&gt;=3,AJ14&lt;=AsOfDate),AP14,IF(AND(AG14&gt;=2,AI14&lt;=AsOfDate),AO14,AN14)))</f>
        <v/>
      </c>
      <c r="AR14" s="13" t="str">
        <f aca="false">IF(AE14=0,"",IF(AsOfDate&lt;AF14,-1,12*(YEAR(AsOfDate)-YEAR(AF14))+MONTH(AsOfDate)-MONTH(AF14)-IF(DAY(AsOfDate)&lt;MIN(DAY(AF14),DAY(EOMONTH(AsOfDate,0))),1,0)))</f>
        <v/>
      </c>
      <c r="AS14" s="13" t="str">
        <f aca="false">IF(AE14=0,"",IF(OR(AG14&lt;2,AI14&gt;AsOfDate),AR14,IF((AI14-1)&lt;AF14,-1,12*(YEAR((AI14-1))-YEAR(AF14))+MONTH((AI14-1))-MONTH(AF14)-IF(DAY((AI14-1))&lt;MIN(DAY(AF14),DAY(EOMONTH((AI14-1),0))),1,0))))</f>
        <v/>
      </c>
      <c r="AT14" s="13" t="str">
        <f aca="false">IF(AE14=0,"",IF(OR(AG14&lt;3,AJ14&gt;AsOfDate),AR14,IF((AJ14-1)&lt;AF14,-1,12*(YEAR((AJ14-1))-YEAR(AF14))+MONTH((AJ14-1))-MONTH(AF14)-IF(DAY((AJ14-1))&lt;MIN(DAY(AF14),DAY(EOMONTH((AJ14-1),0))),1,0))))</f>
        <v/>
      </c>
      <c r="AU14" s="13" t="str">
        <f aca="false">IF(AE14=0,"",IF(PFYDate&lt;AF14,-1,12*(YEAR(PFYDate)-YEAR(AF14))+MONTH(PFYDate)-MONTH(AF14)-IF(DAY(PFYDate)&lt;MIN(DAY(AF14),DAY(EOMONTH(PFYDate,0))),1,0)))</f>
        <v/>
      </c>
      <c r="AV14" s="13" t="str">
        <f aca="false">IF(AE14=0,"",IF(OR(AG14&lt;2,AI14&gt;PFYDate),AU14,IF((AI14-1)&lt;AF14,-1,12*(YEAR((AI14-1))-YEAR(AF14))+MONTH((AI14-1))-MONTH(AF14)-IF(DAY((AI14-1))&lt;MIN(DAY(AF14),DAY(EOMONTH((AI14-1),0))),1,0))))</f>
        <v/>
      </c>
      <c r="AW14" s="13" t="str">
        <f aca="false">IF(AE14=0,"",IF(OR(AG14&lt;3,AJ14&gt;PFYDate),AU14,IF((AJ14-1)&lt;AF14,-1,12*(YEAR((AJ14-1))-YEAR(AF14))+MONTH((AJ14-1))-MONTH(AF14)-IF(DAY((AJ14-1))&lt;MIN(DAY(AF14),DAY(EOMONTH((AJ14-1),0))),1,0))))</f>
        <v/>
      </c>
      <c r="AX14" s="13"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3"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3" t="str">
        <f aca="false">IF(AE14=0,"",IF(AQ14="FT",IF(AR14&lt;FT_First,FT_First,IF(AR14&lt;FT_Y5,MIN(FT_Y5,FT_First+FT_Int1*(INT((AR14-FT_First)/FT_Int1)+1)),FT_Y5+12*INT((AR14-FT_Y5)/12)+FT_Int2*(INT(MOD(AR14-FT_Y5,12)/FT_Int2)+1))),IF(AQ14="PT",IF(AR14&lt;PT_First,PT_First,PT_First+PT_Int*(INT((AR14-PT_First)/PT_Int)+1)),"")))</f>
        <v/>
      </c>
      <c r="BA14" s="13" t="str">
        <f aca="false">IF(AE14=0,"",IF(NOT(LH_Ready),0,COUNTIFS(INDEX(LH_Data,0,LH_ColFirst),$A14,INDEX(LH_Data,0,LH_ColSur),$B14,INDEX(LH_Data,0,LH_ColCat),BonusCat)))</f>
        <v/>
      </c>
      <c r="BB14" s="13" t="str">
        <f aca="false">IF(AE14=0,"",IF(OR(NOT(LH_Ready),BA14=0),0,SUMPRODUCT(MAX((INDEX(LH_Data,0,LH_ColFirst)=$A14)*(INDEX(LH_Data,0,LH_ColSur)=$B14)*(INDEX(LH_Data,0,LH_ColCat)=BonusCat)*ROW(LH_Data)))))</f>
        <v/>
      </c>
      <c r="BC14" s="0" t="str">
        <f aca="false">IF(LEN($A14&amp;$B14)=0,"",$A14&amp;" "&amp;$B14)</f>
        <v/>
      </c>
    </row>
    <row r="15" customFormat="false" ht="15" hidden="false" customHeight="false" outlineLevel="0" collapsed="false">
      <c r="A15" s="9"/>
      <c r="B15" s="9"/>
      <c r="C15" s="9"/>
      <c r="D15" s="10"/>
      <c r="E15" s="11" t="str">
        <f aca="false">IF(OR(AE15=0,$D15=""),"",DATE(YEAR(AsOfDate)+IF(DATE(YEAR(AsOfDate),MONTH($D15),DAY($D15))&lt;=AsOfDate,1,0),MONTH($D15),DAY($D15)))</f>
        <v/>
      </c>
      <c r="F15" s="10"/>
      <c r="G15" s="10"/>
      <c r="H15" s="10"/>
      <c r="I15" s="10"/>
      <c r="J15" s="10"/>
      <c r="K15" s="11" t="str">
        <f aca="false">IF(AE15=0,"",DATE(YEAR(AsOfDate)+IF(DATE(YEAR(AsOfDate),MONTH(AF15),DAY(AF15))&lt;=AsOfDate,1,0),MONTH(AF15),DAY(AF15)))</f>
        <v/>
      </c>
      <c r="L15" s="12" t="str">
        <f aca="false">IF(AE15=0,"",ROUND((AsOfDate-AF15)/365.25,1))</f>
        <v/>
      </c>
      <c r="M15" s="13" t="str">
        <f aca="false">IF(AE15=0,"",IF(AsOfDate&lt;AF15,"-",DATEDIF(AF15,AsOfDate,"y")&amp;"y "&amp;DATEDIF(AF15,AsOfDate,"ym")&amp;"m "&amp;DATEDIF(AF15,AsOfDate,"md")&amp;"d"))</f>
        <v/>
      </c>
      <c r="N15" s="14" t="str">
        <f aca="false">IF(AE15=0,"",O15*HoursPerDay)</f>
        <v/>
      </c>
      <c r="O15" s="14" t="str">
        <f aca="false">IF(AE15=0,"",AX15)</f>
        <v/>
      </c>
      <c r="P15" s="15"/>
      <c r="Q15" s="13"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13"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1" t="str">
        <f aca="false">IF(AE15=0,"",IF(AQ15="None","",EDATE(AF15,AZ15)))</f>
        <v/>
      </c>
      <c r="T15" s="14" t="str">
        <f aca="false">IF(AE15=0,"",IF(NOT(LH_Ready),"",IF(AF15&gt;PFYDate,0,IF(LH_ColPeriod=0,W15-U15+V15,SUMIFS(INDEX(LH_Data,0,LH_ColAcc),INDEX(LH_Data,0,LH_ColFirst),$A15,INDEX(LH_Data,0,LH_ColSur),$B15,INDEX(LH_Data,0,LH_ColCat),BonusCat,INDEX(LH_Data,0,LH_ColPeriod),LH_OpenLabel)*UnitFactor))))</f>
        <v/>
      </c>
      <c r="U15" s="14" t="str">
        <f aca="false">IF(AE15=0,"",IF(NOT(LH_Ready),"",SUMIFS(INDEX(LH_Data,0,LH_ColAcc),INDEX(LH_Data,0,LH_ColFirst),$A15,INDEX(LH_Data,0,LH_ColSur),$B15,INDEX(LH_Data,0,LH_ColCat),BonusCat,INDEX(LH_Data,0,LH_ColStart),"&gt;="&amp;AF15)*UnitFactor))</f>
        <v/>
      </c>
      <c r="V15" s="14" t="str">
        <f aca="false">IF(AE15=0,"",IF(NOT(LH_Ready),"",SUMIFS(INDEX(LH_Data,0,LH_ColTaken),INDEX(LH_Data,0,LH_ColFirst),$A15,INDEX(LH_Data,0,LH_ColSur),$B15,INDEX(LH_Data,0,LH_ColCat),BonusCat,INDEX(LH_Data,0,LH_ColStart),"&gt;="&amp;AF15)*UnitFactor))</f>
        <v/>
      </c>
      <c r="W15" s="14" t="str">
        <f aca="false">IF(AE15=0,"",IF(NOT(LH_Ready),"",IF(BB15=0,0,INDEX(INDEX(LH_Data,0,LH_ColClose),BB15-1)*UnitFactor)))</f>
        <v/>
      </c>
      <c r="X15" s="14" t="str">
        <f aca="false">IF(AE15=0,"",(AX15-AY15)*HoursPerDay)</f>
        <v/>
      </c>
      <c r="Y15" s="14" t="str">
        <f aca="false">IF(AE15=0,"",IF(NOT(LH_Ready),"",IF(BA15=0,N15,IF(PFYDate&lt;$F15,N15-N(T15)-N(U15),X15-N(U15)))))</f>
        <v/>
      </c>
      <c r="Z15" s="13" t="str">
        <f aca="false">IF(OR(AE15=0,Y15=""),"",IF(Y15&gt;0,"Yes","No"))</f>
        <v/>
      </c>
      <c r="AA15" s="13"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 hrs more than policy since commencement",IF(N(W15)&gt;O15*HoursPerDay+0.01,"CHECK - EH balance "&amp;ROUND(W15-O15*HoursPerDay,2)&amp;" hrs more than policy entitlement",IF(O15&gt;0,"OK - nothing to add",IF(AQ15="None",R15,"Not yet - first day on "&amp;TEXT(S15,"dd/mm/yyyy")))))))))</f>
        <v/>
      </c>
      <c r="AB15" s="14" t="str">
        <f aca="false">IF(OR(AE15=0,T15=""),"",AY15*HoursPerDay-T15)</f>
        <v/>
      </c>
      <c r="AC15" s="13" t="str">
        <f aca="false">IF(AE15=0,"",BA15)</f>
        <v/>
      </c>
      <c r="AD15" s="13"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3" t="n">
        <f aca="false">IF(OR(LEN($A15&amp;$B15)=0,$F15=""),0,1)</f>
        <v>0</v>
      </c>
      <c r="AF15" s="11" t="str">
        <f aca="false">IF(AE15=0,"",IF($J15&lt;&gt;"",$J15,IF(OR(CasualCounts="Yes",COUNT($G15:$I15)=0,COUNT($G15:$H15)=0),$F15,MIN($G15:$H15))))</f>
        <v/>
      </c>
      <c r="AG15" s="13" t="str">
        <f aca="false">IF(AE15=0,"",COUNT($G15:$I15))</f>
        <v/>
      </c>
      <c r="AH15" s="11" t="str">
        <f aca="false">IF(AE15=0,"",IFERROR(SMALL($G15:$I15,1),""))</f>
        <v/>
      </c>
      <c r="AI15" s="11" t="str">
        <f aca="false">IF(AE15=0,"",IFERROR(SMALL($G15:$I15,2),""))</f>
        <v/>
      </c>
      <c r="AJ15" s="11" t="str">
        <f aca="false">IF(AE15=0,"",IFERROR(SMALL($G15:$I15,3),""))</f>
        <v/>
      </c>
      <c r="AK15" s="13" t="str">
        <f aca="false">IF(AE15=0,"",IF(AH15="","",IF(AH15=$G15,"Part-Time",IF(AH15=$H15,"Full-Time","Casual"))))</f>
        <v/>
      </c>
      <c r="AL15" s="13" t="str">
        <f aca="false">IF(AE15=0,"",IF(AI15="","",IF(AI15=$G15,"Part-Time",IF(AI15=$H15,"Full-Time","Casual"))))</f>
        <v/>
      </c>
      <c r="AM15" s="13" t="str">
        <f aca="false">IF(AE15=0,"",IF(AJ15="","",IF(AJ15=$G15,"Part-Time",IF(AJ15=$H15,"Full-Time","Casual"))))</f>
        <v/>
      </c>
      <c r="AN15" s="13"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3" t="str">
        <f aca="false">IF(AE15=0,"",IF(AG15&lt;2,"",IF(OR(ISNUMBER(SEARCH("full",AL15)),UPPER(TRIM(AL15))="FT",UPPER(TRIM(AL15))="FTE"),"FT",IF(AND(OR(ISNUMBER(SEARCH("part",AL15)),UPPER(TRIM(AL15))="PT",UPPER(TRIM(AL15))="PTE"),OR($P15="",N($P15)&gt;=PT_MinHours)),"PT","None"))))</f>
        <v/>
      </c>
      <c r="AP15" s="13" t="str">
        <f aca="false">IF(AE15=0,"",IF(AG15&lt;3,"",IF(OR(ISNUMBER(SEARCH("full",AM15)),UPPER(TRIM(AM15))="FT",UPPER(TRIM(AM15))="FTE"),"FT",IF(AND(OR(ISNUMBER(SEARCH("part",AM15)),UPPER(TRIM(AM15))="PT",UPPER(TRIM(AM15))="PTE"),OR($P15="",N($P15)&gt;=PT_MinHours)),"PT","None"))))</f>
        <v/>
      </c>
      <c r="AQ15" s="13" t="str">
        <f aca="false">IF(AE15=0,"",IF(AND(AG15&gt;=3,AJ15&lt;=AsOfDate),AP15,IF(AND(AG15&gt;=2,AI15&lt;=AsOfDate),AO15,AN15)))</f>
        <v/>
      </c>
      <c r="AR15" s="13" t="str">
        <f aca="false">IF(AE15=0,"",IF(AsOfDate&lt;AF15,-1,12*(YEAR(AsOfDate)-YEAR(AF15))+MONTH(AsOfDate)-MONTH(AF15)-IF(DAY(AsOfDate)&lt;MIN(DAY(AF15),DAY(EOMONTH(AsOfDate,0))),1,0)))</f>
        <v/>
      </c>
      <c r="AS15" s="13" t="str">
        <f aca="false">IF(AE15=0,"",IF(OR(AG15&lt;2,AI15&gt;AsOfDate),AR15,IF((AI15-1)&lt;AF15,-1,12*(YEAR((AI15-1))-YEAR(AF15))+MONTH((AI15-1))-MONTH(AF15)-IF(DAY((AI15-1))&lt;MIN(DAY(AF15),DAY(EOMONTH((AI15-1),0))),1,0))))</f>
        <v/>
      </c>
      <c r="AT15" s="13" t="str">
        <f aca="false">IF(AE15=0,"",IF(OR(AG15&lt;3,AJ15&gt;AsOfDate),AR15,IF((AJ15-1)&lt;AF15,-1,12*(YEAR((AJ15-1))-YEAR(AF15))+MONTH((AJ15-1))-MONTH(AF15)-IF(DAY((AJ15-1))&lt;MIN(DAY(AF15),DAY(EOMONTH((AJ15-1),0))),1,0))))</f>
        <v/>
      </c>
      <c r="AU15" s="13" t="str">
        <f aca="false">IF(AE15=0,"",IF(PFYDate&lt;AF15,-1,12*(YEAR(PFYDate)-YEAR(AF15))+MONTH(PFYDate)-MONTH(AF15)-IF(DAY(PFYDate)&lt;MIN(DAY(AF15),DAY(EOMONTH(PFYDate,0))),1,0)))</f>
        <v/>
      </c>
      <c r="AV15" s="13" t="str">
        <f aca="false">IF(AE15=0,"",IF(OR(AG15&lt;2,AI15&gt;PFYDate),AU15,IF((AI15-1)&lt;AF15,-1,12*(YEAR((AI15-1))-YEAR(AF15))+MONTH((AI15-1))-MONTH(AF15)-IF(DAY((AI15-1))&lt;MIN(DAY(AF15),DAY(EOMONTH((AI15-1),0))),1,0))))</f>
        <v/>
      </c>
      <c r="AW15" s="13" t="str">
        <f aca="false">IF(AE15=0,"",IF(OR(AG15&lt;3,AJ15&gt;PFYDate),AU15,IF((AJ15-1)&lt;AF15,-1,12*(YEAR((AJ15-1))-YEAR(AF15))+MONTH((AJ15-1))-MONTH(AF15)-IF(DAY((AJ15-1))&lt;MIN(DAY(AF15),DAY(EOMONTH((AJ15-1),0))),1,0))))</f>
        <v/>
      </c>
      <c r="AX15" s="13"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3"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3" t="str">
        <f aca="false">IF(AE15=0,"",IF(AQ15="FT",IF(AR15&lt;FT_First,FT_First,IF(AR15&lt;FT_Y5,MIN(FT_Y5,FT_First+FT_Int1*(INT((AR15-FT_First)/FT_Int1)+1)),FT_Y5+12*INT((AR15-FT_Y5)/12)+FT_Int2*(INT(MOD(AR15-FT_Y5,12)/FT_Int2)+1))),IF(AQ15="PT",IF(AR15&lt;PT_First,PT_First,PT_First+PT_Int*(INT((AR15-PT_First)/PT_Int)+1)),"")))</f>
        <v/>
      </c>
      <c r="BA15" s="13" t="str">
        <f aca="false">IF(AE15=0,"",IF(NOT(LH_Ready),0,COUNTIFS(INDEX(LH_Data,0,LH_ColFirst),$A15,INDEX(LH_Data,0,LH_ColSur),$B15,INDEX(LH_Data,0,LH_ColCat),BonusCat)))</f>
        <v/>
      </c>
      <c r="BB15" s="13" t="str">
        <f aca="false">IF(AE15=0,"",IF(OR(NOT(LH_Ready),BA15=0),0,SUMPRODUCT(MAX((INDEX(LH_Data,0,LH_ColFirst)=$A15)*(INDEX(LH_Data,0,LH_ColSur)=$B15)*(INDEX(LH_Data,0,LH_ColCat)=BonusCat)*ROW(LH_Data)))))</f>
        <v/>
      </c>
      <c r="BC15" s="0" t="str">
        <f aca="false">IF(LEN($A15&amp;$B15)=0,"",$A15&amp;" "&amp;$B15)</f>
        <v/>
      </c>
    </row>
    <row r="16" customFormat="false" ht="15" hidden="false" customHeight="false" outlineLevel="0" collapsed="false">
      <c r="A16" s="9"/>
      <c r="B16" s="9"/>
      <c r="C16" s="9"/>
      <c r="D16" s="10"/>
      <c r="E16" s="11" t="str">
        <f aca="false">IF(OR(AE16=0,$D16=""),"",DATE(YEAR(AsOfDate)+IF(DATE(YEAR(AsOfDate),MONTH($D16),DAY($D16))&lt;=AsOfDate,1,0),MONTH($D16),DAY($D16)))</f>
        <v/>
      </c>
      <c r="F16" s="10"/>
      <c r="G16" s="10"/>
      <c r="H16" s="10"/>
      <c r="I16" s="10"/>
      <c r="J16" s="10"/>
      <c r="K16" s="11" t="str">
        <f aca="false">IF(AE16=0,"",DATE(YEAR(AsOfDate)+IF(DATE(YEAR(AsOfDate),MONTH(AF16),DAY(AF16))&lt;=AsOfDate,1,0),MONTH(AF16),DAY(AF16)))</f>
        <v/>
      </c>
      <c r="L16" s="12" t="str">
        <f aca="false">IF(AE16=0,"",ROUND((AsOfDate-AF16)/365.25,1))</f>
        <v/>
      </c>
      <c r="M16" s="13" t="str">
        <f aca="false">IF(AE16=0,"",IF(AsOfDate&lt;AF16,"-",DATEDIF(AF16,AsOfDate,"y")&amp;"y "&amp;DATEDIF(AF16,AsOfDate,"ym")&amp;"m "&amp;DATEDIF(AF16,AsOfDate,"md")&amp;"d"))</f>
        <v/>
      </c>
      <c r="N16" s="14" t="str">
        <f aca="false">IF(AE16=0,"",O16*HoursPerDay)</f>
        <v/>
      </c>
      <c r="O16" s="14" t="str">
        <f aca="false">IF(AE16=0,"",AX16)</f>
        <v/>
      </c>
      <c r="P16" s="15"/>
      <c r="Q16" s="13"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13"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1" t="str">
        <f aca="false">IF(AE16=0,"",IF(AQ16="None","",EDATE(AF16,AZ16)))</f>
        <v/>
      </c>
      <c r="T16" s="14" t="str">
        <f aca="false">IF(AE16=0,"",IF(NOT(LH_Ready),"",IF(AF16&gt;PFYDate,0,IF(LH_ColPeriod=0,W16-U16+V16,SUMIFS(INDEX(LH_Data,0,LH_ColAcc),INDEX(LH_Data,0,LH_ColFirst),$A16,INDEX(LH_Data,0,LH_ColSur),$B16,INDEX(LH_Data,0,LH_ColCat),BonusCat,INDEX(LH_Data,0,LH_ColPeriod),LH_OpenLabel)*UnitFactor))))</f>
        <v/>
      </c>
      <c r="U16" s="14" t="str">
        <f aca="false">IF(AE16=0,"",IF(NOT(LH_Ready),"",SUMIFS(INDEX(LH_Data,0,LH_ColAcc),INDEX(LH_Data,0,LH_ColFirst),$A16,INDEX(LH_Data,0,LH_ColSur),$B16,INDEX(LH_Data,0,LH_ColCat),BonusCat,INDEX(LH_Data,0,LH_ColStart),"&gt;="&amp;AF16)*UnitFactor))</f>
        <v/>
      </c>
      <c r="V16" s="14" t="str">
        <f aca="false">IF(AE16=0,"",IF(NOT(LH_Ready),"",SUMIFS(INDEX(LH_Data,0,LH_ColTaken),INDEX(LH_Data,0,LH_ColFirst),$A16,INDEX(LH_Data,0,LH_ColSur),$B16,INDEX(LH_Data,0,LH_ColCat),BonusCat,INDEX(LH_Data,0,LH_ColStart),"&gt;="&amp;AF16)*UnitFactor))</f>
        <v/>
      </c>
      <c r="W16" s="14" t="str">
        <f aca="false">IF(AE16=0,"",IF(NOT(LH_Ready),"",IF(BB16=0,0,INDEX(INDEX(LH_Data,0,LH_ColClose),BB16-1)*UnitFactor)))</f>
        <v/>
      </c>
      <c r="X16" s="14" t="str">
        <f aca="false">IF(AE16=0,"",(AX16-AY16)*HoursPerDay)</f>
        <v/>
      </c>
      <c r="Y16" s="14" t="str">
        <f aca="false">IF(AE16=0,"",IF(NOT(LH_Ready),"",IF(BA16=0,N16,IF(PFYDate&lt;$F16,N16-N(T16)-N(U16),X16-N(U16)))))</f>
        <v/>
      </c>
      <c r="Z16" s="13" t="str">
        <f aca="false">IF(OR(AE16=0,Y16=""),"",IF(Y16&gt;0,"Yes","No"))</f>
        <v/>
      </c>
      <c r="AA16" s="13"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 hrs more than policy since commencement",IF(N(W16)&gt;O16*HoursPerDay+0.01,"CHECK - EH balance "&amp;ROUND(W16-O16*HoursPerDay,2)&amp;" hrs more than policy entitlement",IF(O16&gt;0,"OK - nothing to add",IF(AQ16="None",R16,"Not yet - first day on "&amp;TEXT(S16,"dd/mm/yyyy")))))))))</f>
        <v/>
      </c>
      <c r="AB16" s="14" t="str">
        <f aca="false">IF(OR(AE16=0,T16=""),"",AY16*HoursPerDay-T16)</f>
        <v/>
      </c>
      <c r="AC16" s="13" t="str">
        <f aca="false">IF(AE16=0,"",BA16)</f>
        <v/>
      </c>
      <c r="AD16" s="13"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3" t="n">
        <f aca="false">IF(OR(LEN($A16&amp;$B16)=0,$F16=""),0,1)</f>
        <v>0</v>
      </c>
      <c r="AF16" s="11" t="str">
        <f aca="false">IF(AE16=0,"",IF($J16&lt;&gt;"",$J16,IF(OR(CasualCounts="Yes",COUNT($G16:$I16)=0,COUNT($G16:$H16)=0),$F16,MIN($G16:$H16))))</f>
        <v/>
      </c>
      <c r="AG16" s="13" t="str">
        <f aca="false">IF(AE16=0,"",COUNT($G16:$I16))</f>
        <v/>
      </c>
      <c r="AH16" s="11" t="str">
        <f aca="false">IF(AE16=0,"",IFERROR(SMALL($G16:$I16,1),""))</f>
        <v/>
      </c>
      <c r="AI16" s="11" t="str">
        <f aca="false">IF(AE16=0,"",IFERROR(SMALL($G16:$I16,2),""))</f>
        <v/>
      </c>
      <c r="AJ16" s="11" t="str">
        <f aca="false">IF(AE16=0,"",IFERROR(SMALL($G16:$I16,3),""))</f>
        <v/>
      </c>
      <c r="AK16" s="13" t="str">
        <f aca="false">IF(AE16=0,"",IF(AH16="","",IF(AH16=$G16,"Part-Time",IF(AH16=$H16,"Full-Time","Casual"))))</f>
        <v/>
      </c>
      <c r="AL16" s="13" t="str">
        <f aca="false">IF(AE16=0,"",IF(AI16="","",IF(AI16=$G16,"Part-Time",IF(AI16=$H16,"Full-Time","Casual"))))</f>
        <v/>
      </c>
      <c r="AM16" s="13" t="str">
        <f aca="false">IF(AE16=0,"",IF(AJ16="","",IF(AJ16=$G16,"Part-Time",IF(AJ16=$H16,"Full-Time","Casual"))))</f>
        <v/>
      </c>
      <c r="AN16" s="13"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3" t="str">
        <f aca="false">IF(AE16=0,"",IF(AG16&lt;2,"",IF(OR(ISNUMBER(SEARCH("full",AL16)),UPPER(TRIM(AL16))="FT",UPPER(TRIM(AL16))="FTE"),"FT",IF(AND(OR(ISNUMBER(SEARCH("part",AL16)),UPPER(TRIM(AL16))="PT",UPPER(TRIM(AL16))="PTE"),OR($P16="",N($P16)&gt;=PT_MinHours)),"PT","None"))))</f>
        <v/>
      </c>
      <c r="AP16" s="13" t="str">
        <f aca="false">IF(AE16=0,"",IF(AG16&lt;3,"",IF(OR(ISNUMBER(SEARCH("full",AM16)),UPPER(TRIM(AM16))="FT",UPPER(TRIM(AM16))="FTE"),"FT",IF(AND(OR(ISNUMBER(SEARCH("part",AM16)),UPPER(TRIM(AM16))="PT",UPPER(TRIM(AM16))="PTE"),OR($P16="",N($P16)&gt;=PT_MinHours)),"PT","None"))))</f>
        <v/>
      </c>
      <c r="AQ16" s="13" t="str">
        <f aca="false">IF(AE16=0,"",IF(AND(AG16&gt;=3,AJ16&lt;=AsOfDate),AP16,IF(AND(AG16&gt;=2,AI16&lt;=AsOfDate),AO16,AN16)))</f>
        <v/>
      </c>
      <c r="AR16" s="13" t="str">
        <f aca="false">IF(AE16=0,"",IF(AsOfDate&lt;AF16,-1,12*(YEAR(AsOfDate)-YEAR(AF16))+MONTH(AsOfDate)-MONTH(AF16)-IF(DAY(AsOfDate)&lt;MIN(DAY(AF16),DAY(EOMONTH(AsOfDate,0))),1,0)))</f>
        <v/>
      </c>
      <c r="AS16" s="13" t="str">
        <f aca="false">IF(AE16=0,"",IF(OR(AG16&lt;2,AI16&gt;AsOfDate),AR16,IF((AI16-1)&lt;AF16,-1,12*(YEAR((AI16-1))-YEAR(AF16))+MONTH((AI16-1))-MONTH(AF16)-IF(DAY((AI16-1))&lt;MIN(DAY(AF16),DAY(EOMONTH((AI16-1),0))),1,0))))</f>
        <v/>
      </c>
      <c r="AT16" s="13" t="str">
        <f aca="false">IF(AE16=0,"",IF(OR(AG16&lt;3,AJ16&gt;AsOfDate),AR16,IF((AJ16-1)&lt;AF16,-1,12*(YEAR((AJ16-1))-YEAR(AF16))+MONTH((AJ16-1))-MONTH(AF16)-IF(DAY((AJ16-1))&lt;MIN(DAY(AF16),DAY(EOMONTH((AJ16-1),0))),1,0))))</f>
        <v/>
      </c>
      <c r="AU16" s="13" t="str">
        <f aca="false">IF(AE16=0,"",IF(PFYDate&lt;AF16,-1,12*(YEAR(PFYDate)-YEAR(AF16))+MONTH(PFYDate)-MONTH(AF16)-IF(DAY(PFYDate)&lt;MIN(DAY(AF16),DAY(EOMONTH(PFYDate,0))),1,0)))</f>
        <v/>
      </c>
      <c r="AV16" s="13" t="str">
        <f aca="false">IF(AE16=0,"",IF(OR(AG16&lt;2,AI16&gt;PFYDate),AU16,IF((AI16-1)&lt;AF16,-1,12*(YEAR((AI16-1))-YEAR(AF16))+MONTH((AI16-1))-MONTH(AF16)-IF(DAY((AI16-1))&lt;MIN(DAY(AF16),DAY(EOMONTH((AI16-1),0))),1,0))))</f>
        <v/>
      </c>
      <c r="AW16" s="13" t="str">
        <f aca="false">IF(AE16=0,"",IF(OR(AG16&lt;3,AJ16&gt;PFYDate),AU16,IF((AJ16-1)&lt;AF16,-1,12*(YEAR((AJ16-1))-YEAR(AF16))+MONTH((AJ16-1))-MONTH(AF16)-IF(DAY((AJ16-1))&lt;MIN(DAY(AF16),DAY(EOMONTH((AJ16-1),0))),1,0))))</f>
        <v/>
      </c>
      <c r="AX16" s="13"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3"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3" t="str">
        <f aca="false">IF(AE16=0,"",IF(AQ16="FT",IF(AR16&lt;FT_First,FT_First,IF(AR16&lt;FT_Y5,MIN(FT_Y5,FT_First+FT_Int1*(INT((AR16-FT_First)/FT_Int1)+1)),FT_Y5+12*INT((AR16-FT_Y5)/12)+FT_Int2*(INT(MOD(AR16-FT_Y5,12)/FT_Int2)+1))),IF(AQ16="PT",IF(AR16&lt;PT_First,PT_First,PT_First+PT_Int*(INT((AR16-PT_First)/PT_Int)+1)),"")))</f>
        <v/>
      </c>
      <c r="BA16" s="13" t="str">
        <f aca="false">IF(AE16=0,"",IF(NOT(LH_Ready),0,COUNTIFS(INDEX(LH_Data,0,LH_ColFirst),$A16,INDEX(LH_Data,0,LH_ColSur),$B16,INDEX(LH_Data,0,LH_ColCat),BonusCat)))</f>
        <v/>
      </c>
      <c r="BB16" s="13" t="str">
        <f aca="false">IF(AE16=0,"",IF(OR(NOT(LH_Ready),BA16=0),0,SUMPRODUCT(MAX((INDEX(LH_Data,0,LH_ColFirst)=$A16)*(INDEX(LH_Data,0,LH_ColSur)=$B16)*(INDEX(LH_Data,0,LH_ColCat)=BonusCat)*ROW(LH_Data)))))</f>
        <v/>
      </c>
      <c r="BC16" s="0" t="str">
        <f aca="false">IF(LEN($A16&amp;$B16)=0,"",$A16&amp;" "&amp;$B16)</f>
        <v/>
      </c>
    </row>
    <row r="17" customFormat="false" ht="15" hidden="false" customHeight="false" outlineLevel="0" collapsed="false">
      <c r="A17" s="9"/>
      <c r="B17" s="9"/>
      <c r="C17" s="9"/>
      <c r="D17" s="10"/>
      <c r="E17" s="11" t="str">
        <f aca="false">IF(OR(AE17=0,$D17=""),"",DATE(YEAR(AsOfDate)+IF(DATE(YEAR(AsOfDate),MONTH($D17),DAY($D17))&lt;=AsOfDate,1,0),MONTH($D17),DAY($D17)))</f>
        <v/>
      </c>
      <c r="F17" s="10"/>
      <c r="G17" s="10"/>
      <c r="H17" s="10"/>
      <c r="I17" s="10"/>
      <c r="J17" s="10"/>
      <c r="K17" s="11" t="str">
        <f aca="false">IF(AE17=0,"",DATE(YEAR(AsOfDate)+IF(DATE(YEAR(AsOfDate),MONTH(AF17),DAY(AF17))&lt;=AsOfDate,1,0),MONTH(AF17),DAY(AF17)))</f>
        <v/>
      </c>
      <c r="L17" s="12" t="str">
        <f aca="false">IF(AE17=0,"",ROUND((AsOfDate-AF17)/365.25,1))</f>
        <v/>
      </c>
      <c r="M17" s="13" t="str">
        <f aca="false">IF(AE17=0,"",IF(AsOfDate&lt;AF17,"-",DATEDIF(AF17,AsOfDate,"y")&amp;"y "&amp;DATEDIF(AF17,AsOfDate,"ym")&amp;"m "&amp;DATEDIF(AF17,AsOfDate,"md")&amp;"d"))</f>
        <v/>
      </c>
      <c r="N17" s="14" t="str">
        <f aca="false">IF(AE17=0,"",O17*HoursPerDay)</f>
        <v/>
      </c>
      <c r="O17" s="14" t="str">
        <f aca="false">IF(AE17=0,"",AX17)</f>
        <v/>
      </c>
      <c r="P17" s="15"/>
      <c r="Q17" s="13"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
      </c>
      <c r="R17" s="13"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1" t="str">
        <f aca="false">IF(AE17=0,"",IF(AQ17="None","",EDATE(AF17,AZ17)))</f>
        <v/>
      </c>
      <c r="T17" s="14" t="str">
        <f aca="false">IF(AE17=0,"",IF(NOT(LH_Ready),"",IF(AF17&gt;PFYDate,0,IF(LH_ColPeriod=0,W17-U17+V17,SUMIFS(INDEX(LH_Data,0,LH_ColAcc),INDEX(LH_Data,0,LH_ColFirst),$A17,INDEX(LH_Data,0,LH_ColSur),$B17,INDEX(LH_Data,0,LH_ColCat),BonusCat,INDEX(LH_Data,0,LH_ColPeriod),LH_OpenLabel)*UnitFactor))))</f>
        <v/>
      </c>
      <c r="U17" s="14" t="str">
        <f aca="false">IF(AE17=0,"",IF(NOT(LH_Ready),"",SUMIFS(INDEX(LH_Data,0,LH_ColAcc),INDEX(LH_Data,0,LH_ColFirst),$A17,INDEX(LH_Data,0,LH_ColSur),$B17,INDEX(LH_Data,0,LH_ColCat),BonusCat,INDEX(LH_Data,0,LH_ColStart),"&gt;="&amp;AF17)*UnitFactor))</f>
        <v/>
      </c>
      <c r="V17" s="14" t="str">
        <f aca="false">IF(AE17=0,"",IF(NOT(LH_Ready),"",SUMIFS(INDEX(LH_Data,0,LH_ColTaken),INDEX(LH_Data,0,LH_ColFirst),$A17,INDEX(LH_Data,0,LH_ColSur),$B17,INDEX(LH_Data,0,LH_ColCat),BonusCat,INDEX(LH_Data,0,LH_ColStart),"&gt;="&amp;AF17)*UnitFactor))</f>
        <v/>
      </c>
      <c r="W17" s="14" t="str">
        <f aca="false">IF(AE17=0,"",IF(NOT(LH_Ready),"",IF(BB17=0,0,INDEX(INDEX(LH_Data,0,LH_ColClose),BB17-1)*UnitFactor)))</f>
        <v/>
      </c>
      <c r="X17" s="14" t="str">
        <f aca="false">IF(AE17=0,"",(AX17-AY17)*HoursPerDay)</f>
        <v/>
      </c>
      <c r="Y17" s="14" t="str">
        <f aca="false">IF(AE17=0,"",IF(NOT(LH_Ready),"",IF(BA17=0,N17,IF(PFYDate&lt;$F17,N17-N(T17)-N(U17),X17-N(U17)))))</f>
        <v/>
      </c>
      <c r="Z17" s="13" t="str">
        <f aca="false">IF(OR(AE17=0,Y17=""),"",IF(Y17&gt;0,"Yes","No"))</f>
        <v/>
      </c>
      <c r="AA17" s="13"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 hrs more than policy since commencement",IF(N(W17)&gt;O17*HoursPerDay+0.01,"CHECK - EH balance "&amp;ROUND(W17-O17*HoursPerDay,2)&amp;" hrs more than policy entitlement",IF(O17&gt;0,"OK - nothing to add",IF(AQ17="None",R17,"Not yet - first day on "&amp;TEXT(S17,"dd/mm/yyyy")))))))))</f>
        <v/>
      </c>
      <c r="AB17" s="14" t="str">
        <f aca="false">IF(OR(AE17=0,T17=""),"",AY17*HoursPerDay-T17)</f>
        <v/>
      </c>
      <c r="AC17" s="13" t="str">
        <f aca="false">IF(AE17=0,"",BA17)</f>
        <v/>
      </c>
      <c r="AD17" s="13"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3" t="n">
        <f aca="false">IF(OR(LEN($A17&amp;$B17)=0,$F17=""),0,1)</f>
        <v>0</v>
      </c>
      <c r="AF17" s="11" t="str">
        <f aca="false">IF(AE17=0,"",IF($J17&lt;&gt;"",$J17,IF(OR(CasualCounts="Yes",COUNT($G17:$I17)=0,COUNT($G17:$H17)=0),$F17,MIN($G17:$H17))))</f>
        <v/>
      </c>
      <c r="AG17" s="13" t="str">
        <f aca="false">IF(AE17=0,"",COUNT($G17:$I17))</f>
        <v/>
      </c>
      <c r="AH17" s="11" t="str">
        <f aca="false">IF(AE17=0,"",IFERROR(SMALL($G17:$I17,1),""))</f>
        <v/>
      </c>
      <c r="AI17" s="11" t="str">
        <f aca="false">IF(AE17=0,"",IFERROR(SMALL($G17:$I17,2),""))</f>
        <v/>
      </c>
      <c r="AJ17" s="11" t="str">
        <f aca="false">IF(AE17=0,"",IFERROR(SMALL($G17:$I17,3),""))</f>
        <v/>
      </c>
      <c r="AK17" s="13" t="str">
        <f aca="false">IF(AE17=0,"",IF(AH17="","",IF(AH17=$G17,"Part-Time",IF(AH17=$H17,"Full-Time","Casual"))))</f>
        <v/>
      </c>
      <c r="AL17" s="13" t="str">
        <f aca="false">IF(AE17=0,"",IF(AI17="","",IF(AI17=$G17,"Part-Time",IF(AI17=$H17,"Full-Time","Casual"))))</f>
        <v/>
      </c>
      <c r="AM17" s="13" t="str">
        <f aca="false">IF(AE17=0,"",IF(AJ17="","",IF(AJ17=$G17,"Part-Time",IF(AJ17=$H17,"Full-Time","Casual"))))</f>
        <v/>
      </c>
      <c r="AN17" s="13"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3" t="str">
        <f aca="false">IF(AE17=0,"",IF(AG17&lt;2,"",IF(OR(ISNUMBER(SEARCH("full",AL17)),UPPER(TRIM(AL17))="FT",UPPER(TRIM(AL17))="FTE"),"FT",IF(AND(OR(ISNUMBER(SEARCH("part",AL17)),UPPER(TRIM(AL17))="PT",UPPER(TRIM(AL17))="PTE"),OR($P17="",N($P17)&gt;=PT_MinHours)),"PT","None"))))</f>
        <v/>
      </c>
      <c r="AP17" s="13" t="str">
        <f aca="false">IF(AE17=0,"",IF(AG17&lt;3,"",IF(OR(ISNUMBER(SEARCH("full",AM17)),UPPER(TRIM(AM17))="FT",UPPER(TRIM(AM17))="FTE"),"FT",IF(AND(OR(ISNUMBER(SEARCH("part",AM17)),UPPER(TRIM(AM17))="PT",UPPER(TRIM(AM17))="PTE"),OR($P17="",N($P17)&gt;=PT_MinHours)),"PT","None"))))</f>
        <v/>
      </c>
      <c r="AQ17" s="13" t="str">
        <f aca="false">IF(AE17=0,"",IF(AND(AG17&gt;=3,AJ17&lt;=AsOfDate),AP17,IF(AND(AG17&gt;=2,AI17&lt;=AsOfDate),AO17,AN17)))</f>
        <v/>
      </c>
      <c r="AR17" s="13" t="str">
        <f aca="false">IF(AE17=0,"",IF(AsOfDate&lt;AF17,-1,12*(YEAR(AsOfDate)-YEAR(AF17))+MONTH(AsOfDate)-MONTH(AF17)-IF(DAY(AsOfDate)&lt;MIN(DAY(AF17),DAY(EOMONTH(AsOfDate,0))),1,0)))</f>
        <v/>
      </c>
      <c r="AS17" s="13" t="str">
        <f aca="false">IF(AE17=0,"",IF(OR(AG17&lt;2,AI17&gt;AsOfDate),AR17,IF((AI17-1)&lt;AF17,-1,12*(YEAR((AI17-1))-YEAR(AF17))+MONTH((AI17-1))-MONTH(AF17)-IF(DAY((AI17-1))&lt;MIN(DAY(AF17),DAY(EOMONTH((AI17-1),0))),1,0))))</f>
        <v/>
      </c>
      <c r="AT17" s="13" t="str">
        <f aca="false">IF(AE17=0,"",IF(OR(AG17&lt;3,AJ17&gt;AsOfDate),AR17,IF((AJ17-1)&lt;AF17,-1,12*(YEAR((AJ17-1))-YEAR(AF17))+MONTH((AJ17-1))-MONTH(AF17)-IF(DAY((AJ17-1))&lt;MIN(DAY(AF17),DAY(EOMONTH((AJ17-1),0))),1,0))))</f>
        <v/>
      </c>
      <c r="AU17" s="13" t="str">
        <f aca="false">IF(AE17=0,"",IF(PFYDate&lt;AF17,-1,12*(YEAR(PFYDate)-YEAR(AF17))+MONTH(PFYDate)-MONTH(AF17)-IF(DAY(PFYDate)&lt;MIN(DAY(AF17),DAY(EOMONTH(PFYDate,0))),1,0)))</f>
        <v/>
      </c>
      <c r="AV17" s="13" t="str">
        <f aca="false">IF(AE17=0,"",IF(OR(AG17&lt;2,AI17&gt;PFYDate),AU17,IF((AI17-1)&lt;AF17,-1,12*(YEAR((AI17-1))-YEAR(AF17))+MONTH((AI17-1))-MONTH(AF17)-IF(DAY((AI17-1))&lt;MIN(DAY(AF17),DAY(EOMONTH((AI17-1),0))),1,0))))</f>
        <v/>
      </c>
      <c r="AW17" s="13" t="str">
        <f aca="false">IF(AE17=0,"",IF(OR(AG17&lt;3,AJ17&gt;PFYDate),AU17,IF((AJ17-1)&lt;AF17,-1,12*(YEAR((AJ17-1))-YEAR(AF17))+MONTH((AJ17-1))-MONTH(AF17)-IF(DAY((AJ17-1))&lt;MIN(DAY(AF17),DAY(EOMONTH((AJ17-1),0))),1,0))))</f>
        <v/>
      </c>
      <c r="AX17" s="13"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3"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3" t="str">
        <f aca="false">IF(AE17=0,"",IF(AQ17="FT",IF(AR17&lt;FT_First,FT_First,IF(AR17&lt;FT_Y5,MIN(FT_Y5,FT_First+FT_Int1*(INT((AR17-FT_First)/FT_Int1)+1)),FT_Y5+12*INT((AR17-FT_Y5)/12)+FT_Int2*(INT(MOD(AR17-FT_Y5,12)/FT_Int2)+1))),IF(AQ17="PT",IF(AR17&lt;PT_First,PT_First,PT_First+PT_Int*(INT((AR17-PT_First)/PT_Int)+1)),"")))</f>
        <v/>
      </c>
      <c r="BA17" s="13" t="str">
        <f aca="false">IF(AE17=0,"",IF(NOT(LH_Ready),0,COUNTIFS(INDEX(LH_Data,0,LH_ColFirst),$A17,INDEX(LH_Data,0,LH_ColSur),$B17,INDEX(LH_Data,0,LH_ColCat),BonusCat)))</f>
        <v/>
      </c>
      <c r="BB17" s="13" t="str">
        <f aca="false">IF(AE17=0,"",IF(OR(NOT(LH_Ready),BA17=0),0,SUMPRODUCT(MAX((INDEX(LH_Data,0,LH_ColFirst)=$A17)*(INDEX(LH_Data,0,LH_ColSur)=$B17)*(INDEX(LH_Data,0,LH_ColCat)=BonusCat)*ROW(LH_Data)))))</f>
        <v/>
      </c>
      <c r="BC17" s="0" t="str">
        <f aca="false">IF(LEN($A17&amp;$B17)=0,"",$A17&amp;" "&amp;$B17)</f>
        <v/>
      </c>
    </row>
    <row r="18" customFormat="false" ht="15" hidden="false" customHeight="false" outlineLevel="0" collapsed="false">
      <c r="A18" s="9"/>
      <c r="B18" s="9"/>
      <c r="C18" s="9"/>
      <c r="D18" s="10"/>
      <c r="E18" s="11" t="str">
        <f aca="false">IF(OR(AE18=0,$D18=""),"",DATE(YEAR(AsOfDate)+IF(DATE(YEAR(AsOfDate),MONTH($D18),DAY($D18))&lt;=AsOfDate,1,0),MONTH($D18),DAY($D18)))</f>
        <v/>
      </c>
      <c r="F18" s="10"/>
      <c r="G18" s="10"/>
      <c r="H18" s="10"/>
      <c r="I18" s="10"/>
      <c r="J18" s="10"/>
      <c r="K18" s="11" t="str">
        <f aca="false">IF(AE18=0,"",DATE(YEAR(AsOfDate)+IF(DATE(YEAR(AsOfDate),MONTH(AF18),DAY(AF18))&lt;=AsOfDate,1,0),MONTH(AF18),DAY(AF18)))</f>
        <v/>
      </c>
      <c r="L18" s="12" t="str">
        <f aca="false">IF(AE18=0,"",ROUND((AsOfDate-AF18)/365.25,1))</f>
        <v/>
      </c>
      <c r="M18" s="13" t="str">
        <f aca="false">IF(AE18=0,"",IF(AsOfDate&lt;AF18,"-",DATEDIF(AF18,AsOfDate,"y")&amp;"y "&amp;DATEDIF(AF18,AsOfDate,"ym")&amp;"m "&amp;DATEDIF(AF18,AsOfDate,"md")&amp;"d"))</f>
        <v/>
      </c>
      <c r="N18" s="14" t="str">
        <f aca="false">IF(AE18=0,"",O18*HoursPerDay)</f>
        <v/>
      </c>
      <c r="O18" s="14" t="str">
        <f aca="false">IF(AE18=0,"",AX18)</f>
        <v/>
      </c>
      <c r="P18" s="15"/>
      <c r="Q18" s="13"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13"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1" t="str">
        <f aca="false">IF(AE18=0,"",IF(AQ18="None","",EDATE(AF18,AZ18)))</f>
        <v/>
      </c>
      <c r="T18" s="14" t="str">
        <f aca="false">IF(AE18=0,"",IF(NOT(LH_Ready),"",IF(AF18&gt;PFYDate,0,IF(LH_ColPeriod=0,W18-U18+V18,SUMIFS(INDEX(LH_Data,0,LH_ColAcc),INDEX(LH_Data,0,LH_ColFirst),$A18,INDEX(LH_Data,0,LH_ColSur),$B18,INDEX(LH_Data,0,LH_ColCat),BonusCat,INDEX(LH_Data,0,LH_ColPeriod),LH_OpenLabel)*UnitFactor))))</f>
        <v/>
      </c>
      <c r="U18" s="14" t="str">
        <f aca="false">IF(AE18=0,"",IF(NOT(LH_Ready),"",SUMIFS(INDEX(LH_Data,0,LH_ColAcc),INDEX(LH_Data,0,LH_ColFirst),$A18,INDEX(LH_Data,0,LH_ColSur),$B18,INDEX(LH_Data,0,LH_ColCat),BonusCat,INDEX(LH_Data,0,LH_ColStart),"&gt;="&amp;AF18)*UnitFactor))</f>
        <v/>
      </c>
      <c r="V18" s="14" t="str">
        <f aca="false">IF(AE18=0,"",IF(NOT(LH_Ready),"",SUMIFS(INDEX(LH_Data,0,LH_ColTaken),INDEX(LH_Data,0,LH_ColFirst),$A18,INDEX(LH_Data,0,LH_ColSur),$B18,INDEX(LH_Data,0,LH_ColCat),BonusCat,INDEX(LH_Data,0,LH_ColStart),"&gt;="&amp;AF18)*UnitFactor))</f>
        <v/>
      </c>
      <c r="W18" s="14" t="str">
        <f aca="false">IF(AE18=0,"",IF(NOT(LH_Ready),"",IF(BB18=0,0,INDEX(INDEX(LH_Data,0,LH_ColClose),BB18-1)*UnitFactor)))</f>
        <v/>
      </c>
      <c r="X18" s="14" t="str">
        <f aca="false">IF(AE18=0,"",(AX18-AY18)*HoursPerDay)</f>
        <v/>
      </c>
      <c r="Y18" s="14" t="str">
        <f aca="false">IF(AE18=0,"",IF(NOT(LH_Ready),"",IF(BA18=0,N18,IF(PFYDate&lt;$F18,N18-N(T18)-N(U18),X18-N(U18)))))</f>
        <v/>
      </c>
      <c r="Z18" s="13" t="str">
        <f aca="false">IF(OR(AE18=0,Y18=""),"",IF(Y18&gt;0,"Yes","No"))</f>
        <v/>
      </c>
      <c r="AA18" s="13"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 hrs more than policy since commencement",IF(N(W18)&gt;O18*HoursPerDay+0.01,"CHECK - EH balance "&amp;ROUND(W18-O18*HoursPerDay,2)&amp;" hrs more than policy entitlement",IF(O18&gt;0,"OK - nothing to add",IF(AQ18="None",R18,"Not yet - first day on "&amp;TEXT(S18,"dd/mm/yyyy")))))))))</f>
        <v/>
      </c>
      <c r="AB18" s="14" t="str">
        <f aca="false">IF(OR(AE18=0,T18=""),"",AY18*HoursPerDay-T18)</f>
        <v/>
      </c>
      <c r="AC18" s="13" t="str">
        <f aca="false">IF(AE18=0,"",BA18)</f>
        <v/>
      </c>
      <c r="AD18" s="13"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3" t="n">
        <f aca="false">IF(OR(LEN($A18&amp;$B18)=0,$F18=""),0,1)</f>
        <v>0</v>
      </c>
      <c r="AF18" s="11" t="str">
        <f aca="false">IF(AE18=0,"",IF($J18&lt;&gt;"",$J18,IF(OR(CasualCounts="Yes",COUNT($G18:$I18)=0,COUNT($G18:$H18)=0),$F18,MIN($G18:$H18))))</f>
        <v/>
      </c>
      <c r="AG18" s="13" t="str">
        <f aca="false">IF(AE18=0,"",COUNT($G18:$I18))</f>
        <v/>
      </c>
      <c r="AH18" s="11" t="str">
        <f aca="false">IF(AE18=0,"",IFERROR(SMALL($G18:$I18,1),""))</f>
        <v/>
      </c>
      <c r="AI18" s="11" t="str">
        <f aca="false">IF(AE18=0,"",IFERROR(SMALL($G18:$I18,2),""))</f>
        <v/>
      </c>
      <c r="AJ18" s="11" t="str">
        <f aca="false">IF(AE18=0,"",IFERROR(SMALL($G18:$I18,3),""))</f>
        <v/>
      </c>
      <c r="AK18" s="13" t="str">
        <f aca="false">IF(AE18=0,"",IF(AH18="","",IF(AH18=$G18,"Part-Time",IF(AH18=$H18,"Full-Time","Casual"))))</f>
        <v/>
      </c>
      <c r="AL18" s="13" t="str">
        <f aca="false">IF(AE18=0,"",IF(AI18="","",IF(AI18=$G18,"Part-Time",IF(AI18=$H18,"Full-Time","Casual"))))</f>
        <v/>
      </c>
      <c r="AM18" s="13" t="str">
        <f aca="false">IF(AE18=0,"",IF(AJ18="","",IF(AJ18=$G18,"Part-Time",IF(AJ18=$H18,"Full-Time","Casual"))))</f>
        <v/>
      </c>
      <c r="AN18" s="13"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3" t="str">
        <f aca="false">IF(AE18=0,"",IF(AG18&lt;2,"",IF(OR(ISNUMBER(SEARCH("full",AL18)),UPPER(TRIM(AL18))="FT",UPPER(TRIM(AL18))="FTE"),"FT",IF(AND(OR(ISNUMBER(SEARCH("part",AL18)),UPPER(TRIM(AL18))="PT",UPPER(TRIM(AL18))="PTE"),OR($P18="",N($P18)&gt;=PT_MinHours)),"PT","None"))))</f>
        <v/>
      </c>
      <c r="AP18" s="13" t="str">
        <f aca="false">IF(AE18=0,"",IF(AG18&lt;3,"",IF(OR(ISNUMBER(SEARCH("full",AM18)),UPPER(TRIM(AM18))="FT",UPPER(TRIM(AM18))="FTE"),"FT",IF(AND(OR(ISNUMBER(SEARCH("part",AM18)),UPPER(TRIM(AM18))="PT",UPPER(TRIM(AM18))="PTE"),OR($P18="",N($P18)&gt;=PT_MinHours)),"PT","None"))))</f>
        <v/>
      </c>
      <c r="AQ18" s="13" t="str">
        <f aca="false">IF(AE18=0,"",IF(AND(AG18&gt;=3,AJ18&lt;=AsOfDate),AP18,IF(AND(AG18&gt;=2,AI18&lt;=AsOfDate),AO18,AN18)))</f>
        <v/>
      </c>
      <c r="AR18" s="13" t="str">
        <f aca="false">IF(AE18=0,"",IF(AsOfDate&lt;AF18,-1,12*(YEAR(AsOfDate)-YEAR(AF18))+MONTH(AsOfDate)-MONTH(AF18)-IF(DAY(AsOfDate)&lt;MIN(DAY(AF18),DAY(EOMONTH(AsOfDate,0))),1,0)))</f>
        <v/>
      </c>
      <c r="AS18" s="13" t="str">
        <f aca="false">IF(AE18=0,"",IF(OR(AG18&lt;2,AI18&gt;AsOfDate),AR18,IF((AI18-1)&lt;AF18,-1,12*(YEAR((AI18-1))-YEAR(AF18))+MONTH((AI18-1))-MONTH(AF18)-IF(DAY((AI18-1))&lt;MIN(DAY(AF18),DAY(EOMONTH((AI18-1),0))),1,0))))</f>
        <v/>
      </c>
      <c r="AT18" s="13" t="str">
        <f aca="false">IF(AE18=0,"",IF(OR(AG18&lt;3,AJ18&gt;AsOfDate),AR18,IF((AJ18-1)&lt;AF18,-1,12*(YEAR((AJ18-1))-YEAR(AF18))+MONTH((AJ18-1))-MONTH(AF18)-IF(DAY((AJ18-1))&lt;MIN(DAY(AF18),DAY(EOMONTH((AJ18-1),0))),1,0))))</f>
        <v/>
      </c>
      <c r="AU18" s="13" t="str">
        <f aca="false">IF(AE18=0,"",IF(PFYDate&lt;AF18,-1,12*(YEAR(PFYDate)-YEAR(AF18))+MONTH(PFYDate)-MONTH(AF18)-IF(DAY(PFYDate)&lt;MIN(DAY(AF18),DAY(EOMONTH(PFYDate,0))),1,0)))</f>
        <v/>
      </c>
      <c r="AV18" s="13" t="str">
        <f aca="false">IF(AE18=0,"",IF(OR(AG18&lt;2,AI18&gt;PFYDate),AU18,IF((AI18-1)&lt;AF18,-1,12*(YEAR((AI18-1))-YEAR(AF18))+MONTH((AI18-1))-MONTH(AF18)-IF(DAY((AI18-1))&lt;MIN(DAY(AF18),DAY(EOMONTH((AI18-1),0))),1,0))))</f>
        <v/>
      </c>
      <c r="AW18" s="13" t="str">
        <f aca="false">IF(AE18=0,"",IF(OR(AG18&lt;3,AJ18&gt;PFYDate),AU18,IF((AJ18-1)&lt;AF18,-1,12*(YEAR((AJ18-1))-YEAR(AF18))+MONTH((AJ18-1))-MONTH(AF18)-IF(DAY((AJ18-1))&lt;MIN(DAY(AF18),DAY(EOMONTH((AJ18-1),0))),1,0))))</f>
        <v/>
      </c>
      <c r="AX18" s="13"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3"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3" t="str">
        <f aca="false">IF(AE18=0,"",IF(AQ18="FT",IF(AR18&lt;FT_First,FT_First,IF(AR18&lt;FT_Y5,MIN(FT_Y5,FT_First+FT_Int1*(INT((AR18-FT_First)/FT_Int1)+1)),FT_Y5+12*INT((AR18-FT_Y5)/12)+FT_Int2*(INT(MOD(AR18-FT_Y5,12)/FT_Int2)+1))),IF(AQ18="PT",IF(AR18&lt;PT_First,PT_First,PT_First+PT_Int*(INT((AR18-PT_First)/PT_Int)+1)),"")))</f>
        <v/>
      </c>
      <c r="BA18" s="13" t="str">
        <f aca="false">IF(AE18=0,"",IF(NOT(LH_Ready),0,COUNTIFS(INDEX(LH_Data,0,LH_ColFirst),$A18,INDEX(LH_Data,0,LH_ColSur),$B18,INDEX(LH_Data,0,LH_ColCat),BonusCat)))</f>
        <v/>
      </c>
      <c r="BB18" s="13" t="str">
        <f aca="false">IF(AE18=0,"",IF(OR(NOT(LH_Ready),BA18=0),0,SUMPRODUCT(MAX((INDEX(LH_Data,0,LH_ColFirst)=$A18)*(INDEX(LH_Data,0,LH_ColSur)=$B18)*(INDEX(LH_Data,0,LH_ColCat)=BonusCat)*ROW(LH_Data)))))</f>
        <v/>
      </c>
      <c r="BC18" s="0" t="str">
        <f aca="false">IF(LEN($A18&amp;$B18)=0,"",$A18&amp;" "&amp;$B18)</f>
        <v/>
      </c>
    </row>
    <row r="19" customFormat="false" ht="15" hidden="false" customHeight="false" outlineLevel="0" collapsed="false">
      <c r="A19" s="9"/>
      <c r="B19" s="9"/>
      <c r="C19" s="9"/>
      <c r="D19" s="10"/>
      <c r="E19" s="11" t="str">
        <f aca="false">IF(OR(AE19=0,$D19=""),"",DATE(YEAR(AsOfDate)+IF(DATE(YEAR(AsOfDate),MONTH($D19),DAY($D19))&lt;=AsOfDate,1,0),MONTH($D19),DAY($D19)))</f>
        <v/>
      </c>
      <c r="F19" s="10"/>
      <c r="G19" s="10"/>
      <c r="H19" s="10"/>
      <c r="I19" s="10"/>
      <c r="J19" s="10"/>
      <c r="K19" s="11" t="str">
        <f aca="false">IF(AE19=0,"",DATE(YEAR(AsOfDate)+IF(DATE(YEAR(AsOfDate),MONTH(AF19),DAY(AF19))&lt;=AsOfDate,1,0),MONTH(AF19),DAY(AF19)))</f>
        <v/>
      </c>
      <c r="L19" s="12" t="str">
        <f aca="false">IF(AE19=0,"",ROUND((AsOfDate-AF19)/365.25,1))</f>
        <v/>
      </c>
      <c r="M19" s="13" t="str">
        <f aca="false">IF(AE19=0,"",IF(AsOfDate&lt;AF19,"-",DATEDIF(AF19,AsOfDate,"y")&amp;"y "&amp;DATEDIF(AF19,AsOfDate,"ym")&amp;"m "&amp;DATEDIF(AF19,AsOfDate,"md")&amp;"d"))</f>
        <v/>
      </c>
      <c r="N19" s="14" t="str">
        <f aca="false">IF(AE19=0,"",O19*HoursPerDay)</f>
        <v/>
      </c>
      <c r="O19" s="14" t="str">
        <f aca="false">IF(AE19=0,"",AX19)</f>
        <v/>
      </c>
      <c r="P19" s="15"/>
      <c r="Q19" s="13"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13"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1" t="str">
        <f aca="false">IF(AE19=0,"",IF(AQ19="None","",EDATE(AF19,AZ19)))</f>
        <v/>
      </c>
      <c r="T19" s="14" t="str">
        <f aca="false">IF(AE19=0,"",IF(NOT(LH_Ready),"",IF(AF19&gt;PFYDate,0,IF(LH_ColPeriod=0,W19-U19+V19,SUMIFS(INDEX(LH_Data,0,LH_ColAcc),INDEX(LH_Data,0,LH_ColFirst),$A19,INDEX(LH_Data,0,LH_ColSur),$B19,INDEX(LH_Data,0,LH_ColCat),BonusCat,INDEX(LH_Data,0,LH_ColPeriod),LH_OpenLabel)*UnitFactor))))</f>
        <v/>
      </c>
      <c r="U19" s="14" t="str">
        <f aca="false">IF(AE19=0,"",IF(NOT(LH_Ready),"",SUMIFS(INDEX(LH_Data,0,LH_ColAcc),INDEX(LH_Data,0,LH_ColFirst),$A19,INDEX(LH_Data,0,LH_ColSur),$B19,INDEX(LH_Data,0,LH_ColCat),BonusCat,INDEX(LH_Data,0,LH_ColStart),"&gt;="&amp;AF19)*UnitFactor))</f>
        <v/>
      </c>
      <c r="V19" s="14" t="str">
        <f aca="false">IF(AE19=0,"",IF(NOT(LH_Ready),"",SUMIFS(INDEX(LH_Data,0,LH_ColTaken),INDEX(LH_Data,0,LH_ColFirst),$A19,INDEX(LH_Data,0,LH_ColSur),$B19,INDEX(LH_Data,0,LH_ColCat),BonusCat,INDEX(LH_Data,0,LH_ColStart),"&gt;="&amp;AF19)*UnitFactor))</f>
        <v/>
      </c>
      <c r="W19" s="14" t="str">
        <f aca="false">IF(AE19=0,"",IF(NOT(LH_Ready),"",IF(BB19=0,0,INDEX(INDEX(LH_Data,0,LH_ColClose),BB19-1)*UnitFactor)))</f>
        <v/>
      </c>
      <c r="X19" s="14" t="str">
        <f aca="false">IF(AE19=0,"",(AX19-AY19)*HoursPerDay)</f>
        <v/>
      </c>
      <c r="Y19" s="14" t="str">
        <f aca="false">IF(AE19=0,"",IF(NOT(LH_Ready),"",IF(BA19=0,N19,IF(PFYDate&lt;$F19,N19-N(T19)-N(U19),X19-N(U19)))))</f>
        <v/>
      </c>
      <c r="Z19" s="13" t="str">
        <f aca="false">IF(OR(AE19=0,Y19=""),"",IF(Y19&gt;0,"Yes","No"))</f>
        <v/>
      </c>
      <c r="AA19" s="13"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 hrs more than policy since commencement",IF(N(W19)&gt;O19*HoursPerDay+0.01,"CHECK - EH balance "&amp;ROUND(W19-O19*HoursPerDay,2)&amp;" hrs more than policy entitlement",IF(O19&gt;0,"OK - nothing to add",IF(AQ19="None",R19,"Not yet - first day on "&amp;TEXT(S19,"dd/mm/yyyy")))))))))</f>
        <v/>
      </c>
      <c r="AB19" s="14" t="str">
        <f aca="false">IF(OR(AE19=0,T19=""),"",AY19*HoursPerDay-T19)</f>
        <v/>
      </c>
      <c r="AC19" s="13" t="str">
        <f aca="false">IF(AE19=0,"",BA19)</f>
        <v/>
      </c>
      <c r="AD19" s="13"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3" t="n">
        <f aca="false">IF(OR(LEN($A19&amp;$B19)=0,$F19=""),0,1)</f>
        <v>0</v>
      </c>
      <c r="AF19" s="11" t="str">
        <f aca="false">IF(AE19=0,"",IF($J19&lt;&gt;"",$J19,IF(OR(CasualCounts="Yes",COUNT($G19:$I19)=0,COUNT($G19:$H19)=0),$F19,MIN($G19:$H19))))</f>
        <v/>
      </c>
      <c r="AG19" s="13" t="str">
        <f aca="false">IF(AE19=0,"",COUNT($G19:$I19))</f>
        <v/>
      </c>
      <c r="AH19" s="11" t="str">
        <f aca="false">IF(AE19=0,"",IFERROR(SMALL($G19:$I19,1),""))</f>
        <v/>
      </c>
      <c r="AI19" s="11" t="str">
        <f aca="false">IF(AE19=0,"",IFERROR(SMALL($G19:$I19,2),""))</f>
        <v/>
      </c>
      <c r="AJ19" s="11" t="str">
        <f aca="false">IF(AE19=0,"",IFERROR(SMALL($G19:$I19,3),""))</f>
        <v/>
      </c>
      <c r="AK19" s="13" t="str">
        <f aca="false">IF(AE19=0,"",IF(AH19="","",IF(AH19=$G19,"Part-Time",IF(AH19=$H19,"Full-Time","Casual"))))</f>
        <v/>
      </c>
      <c r="AL19" s="13" t="str">
        <f aca="false">IF(AE19=0,"",IF(AI19="","",IF(AI19=$G19,"Part-Time",IF(AI19=$H19,"Full-Time","Casual"))))</f>
        <v/>
      </c>
      <c r="AM19" s="13" t="str">
        <f aca="false">IF(AE19=0,"",IF(AJ19="","",IF(AJ19=$G19,"Part-Time",IF(AJ19=$H19,"Full-Time","Casual"))))</f>
        <v/>
      </c>
      <c r="AN19" s="13"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3" t="str">
        <f aca="false">IF(AE19=0,"",IF(AG19&lt;2,"",IF(OR(ISNUMBER(SEARCH("full",AL19)),UPPER(TRIM(AL19))="FT",UPPER(TRIM(AL19))="FTE"),"FT",IF(AND(OR(ISNUMBER(SEARCH("part",AL19)),UPPER(TRIM(AL19))="PT",UPPER(TRIM(AL19))="PTE"),OR($P19="",N($P19)&gt;=PT_MinHours)),"PT","None"))))</f>
        <v/>
      </c>
      <c r="AP19" s="13" t="str">
        <f aca="false">IF(AE19=0,"",IF(AG19&lt;3,"",IF(OR(ISNUMBER(SEARCH("full",AM19)),UPPER(TRIM(AM19))="FT",UPPER(TRIM(AM19))="FTE"),"FT",IF(AND(OR(ISNUMBER(SEARCH("part",AM19)),UPPER(TRIM(AM19))="PT",UPPER(TRIM(AM19))="PTE"),OR($P19="",N($P19)&gt;=PT_MinHours)),"PT","None"))))</f>
        <v/>
      </c>
      <c r="AQ19" s="13" t="str">
        <f aca="false">IF(AE19=0,"",IF(AND(AG19&gt;=3,AJ19&lt;=AsOfDate),AP19,IF(AND(AG19&gt;=2,AI19&lt;=AsOfDate),AO19,AN19)))</f>
        <v/>
      </c>
      <c r="AR19" s="13" t="str">
        <f aca="false">IF(AE19=0,"",IF(AsOfDate&lt;AF19,-1,12*(YEAR(AsOfDate)-YEAR(AF19))+MONTH(AsOfDate)-MONTH(AF19)-IF(DAY(AsOfDate)&lt;MIN(DAY(AF19),DAY(EOMONTH(AsOfDate,0))),1,0)))</f>
        <v/>
      </c>
      <c r="AS19" s="13" t="str">
        <f aca="false">IF(AE19=0,"",IF(OR(AG19&lt;2,AI19&gt;AsOfDate),AR19,IF((AI19-1)&lt;AF19,-1,12*(YEAR((AI19-1))-YEAR(AF19))+MONTH((AI19-1))-MONTH(AF19)-IF(DAY((AI19-1))&lt;MIN(DAY(AF19),DAY(EOMONTH((AI19-1),0))),1,0))))</f>
        <v/>
      </c>
      <c r="AT19" s="13" t="str">
        <f aca="false">IF(AE19=0,"",IF(OR(AG19&lt;3,AJ19&gt;AsOfDate),AR19,IF((AJ19-1)&lt;AF19,-1,12*(YEAR((AJ19-1))-YEAR(AF19))+MONTH((AJ19-1))-MONTH(AF19)-IF(DAY((AJ19-1))&lt;MIN(DAY(AF19),DAY(EOMONTH((AJ19-1),0))),1,0))))</f>
        <v/>
      </c>
      <c r="AU19" s="13" t="str">
        <f aca="false">IF(AE19=0,"",IF(PFYDate&lt;AF19,-1,12*(YEAR(PFYDate)-YEAR(AF19))+MONTH(PFYDate)-MONTH(AF19)-IF(DAY(PFYDate)&lt;MIN(DAY(AF19),DAY(EOMONTH(PFYDate,0))),1,0)))</f>
        <v/>
      </c>
      <c r="AV19" s="13" t="str">
        <f aca="false">IF(AE19=0,"",IF(OR(AG19&lt;2,AI19&gt;PFYDate),AU19,IF((AI19-1)&lt;AF19,-1,12*(YEAR((AI19-1))-YEAR(AF19))+MONTH((AI19-1))-MONTH(AF19)-IF(DAY((AI19-1))&lt;MIN(DAY(AF19),DAY(EOMONTH((AI19-1),0))),1,0))))</f>
        <v/>
      </c>
      <c r="AW19" s="13" t="str">
        <f aca="false">IF(AE19=0,"",IF(OR(AG19&lt;3,AJ19&gt;PFYDate),AU19,IF((AJ19-1)&lt;AF19,-1,12*(YEAR((AJ19-1))-YEAR(AF19))+MONTH((AJ19-1))-MONTH(AF19)-IF(DAY((AJ19-1))&lt;MIN(DAY(AF19),DAY(EOMONTH((AJ19-1),0))),1,0))))</f>
        <v/>
      </c>
      <c r="AX19" s="13"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3"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3" t="str">
        <f aca="false">IF(AE19=0,"",IF(AQ19="FT",IF(AR19&lt;FT_First,FT_First,IF(AR19&lt;FT_Y5,MIN(FT_Y5,FT_First+FT_Int1*(INT((AR19-FT_First)/FT_Int1)+1)),FT_Y5+12*INT((AR19-FT_Y5)/12)+FT_Int2*(INT(MOD(AR19-FT_Y5,12)/FT_Int2)+1))),IF(AQ19="PT",IF(AR19&lt;PT_First,PT_First,PT_First+PT_Int*(INT((AR19-PT_First)/PT_Int)+1)),"")))</f>
        <v/>
      </c>
      <c r="BA19" s="13" t="str">
        <f aca="false">IF(AE19=0,"",IF(NOT(LH_Ready),0,COUNTIFS(INDEX(LH_Data,0,LH_ColFirst),$A19,INDEX(LH_Data,0,LH_ColSur),$B19,INDEX(LH_Data,0,LH_ColCat),BonusCat)))</f>
        <v/>
      </c>
      <c r="BB19" s="13" t="str">
        <f aca="false">IF(AE19=0,"",IF(OR(NOT(LH_Ready),BA19=0),0,SUMPRODUCT(MAX((INDEX(LH_Data,0,LH_ColFirst)=$A19)*(INDEX(LH_Data,0,LH_ColSur)=$B19)*(INDEX(LH_Data,0,LH_ColCat)=BonusCat)*ROW(LH_Data)))))</f>
        <v/>
      </c>
      <c r="BC19" s="0" t="str">
        <f aca="false">IF(LEN($A19&amp;$B19)=0,"",$A19&amp;" "&amp;$B19)</f>
        <v/>
      </c>
    </row>
    <row r="20" customFormat="false" ht="15" hidden="false" customHeight="false" outlineLevel="0" collapsed="false">
      <c r="A20" s="9"/>
      <c r="B20" s="9"/>
      <c r="C20" s="9"/>
      <c r="D20" s="10"/>
      <c r="E20" s="11" t="str">
        <f aca="false">IF(OR(AE20=0,$D20=""),"",DATE(YEAR(AsOfDate)+IF(DATE(YEAR(AsOfDate),MONTH($D20),DAY($D20))&lt;=AsOfDate,1,0),MONTH($D20),DAY($D20)))</f>
        <v/>
      </c>
      <c r="F20" s="10"/>
      <c r="G20" s="10"/>
      <c r="H20" s="10"/>
      <c r="I20" s="10"/>
      <c r="J20" s="10"/>
      <c r="K20" s="11" t="str">
        <f aca="false">IF(AE20=0,"",DATE(YEAR(AsOfDate)+IF(DATE(YEAR(AsOfDate),MONTH(AF20),DAY(AF20))&lt;=AsOfDate,1,0),MONTH(AF20),DAY(AF20)))</f>
        <v/>
      </c>
      <c r="L20" s="12" t="str">
        <f aca="false">IF(AE20=0,"",ROUND((AsOfDate-AF20)/365.25,1))</f>
        <v/>
      </c>
      <c r="M20" s="13" t="str">
        <f aca="false">IF(AE20=0,"",IF(AsOfDate&lt;AF20,"-",DATEDIF(AF20,AsOfDate,"y")&amp;"y "&amp;DATEDIF(AF20,AsOfDate,"ym")&amp;"m "&amp;DATEDIF(AF20,AsOfDate,"md")&amp;"d"))</f>
        <v/>
      </c>
      <c r="N20" s="14" t="str">
        <f aca="false">IF(AE20=0,"",O20*HoursPerDay)</f>
        <v/>
      </c>
      <c r="O20" s="14" t="str">
        <f aca="false">IF(AE20=0,"",AX20)</f>
        <v/>
      </c>
      <c r="P20" s="15"/>
      <c r="Q20" s="13"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13"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1" t="str">
        <f aca="false">IF(AE20=0,"",IF(AQ20="None","",EDATE(AF20,AZ20)))</f>
        <v/>
      </c>
      <c r="T20" s="14" t="str">
        <f aca="false">IF(AE20=0,"",IF(NOT(LH_Ready),"",IF(AF20&gt;PFYDate,0,IF(LH_ColPeriod=0,W20-U20+V20,SUMIFS(INDEX(LH_Data,0,LH_ColAcc),INDEX(LH_Data,0,LH_ColFirst),$A20,INDEX(LH_Data,0,LH_ColSur),$B20,INDEX(LH_Data,0,LH_ColCat),BonusCat,INDEX(LH_Data,0,LH_ColPeriod),LH_OpenLabel)*UnitFactor))))</f>
        <v/>
      </c>
      <c r="U20" s="14" t="str">
        <f aca="false">IF(AE20=0,"",IF(NOT(LH_Ready),"",SUMIFS(INDEX(LH_Data,0,LH_ColAcc),INDEX(LH_Data,0,LH_ColFirst),$A20,INDEX(LH_Data,0,LH_ColSur),$B20,INDEX(LH_Data,0,LH_ColCat),BonusCat,INDEX(LH_Data,0,LH_ColStart),"&gt;="&amp;AF20)*UnitFactor))</f>
        <v/>
      </c>
      <c r="V20" s="14" t="str">
        <f aca="false">IF(AE20=0,"",IF(NOT(LH_Ready),"",SUMIFS(INDEX(LH_Data,0,LH_ColTaken),INDEX(LH_Data,0,LH_ColFirst),$A20,INDEX(LH_Data,0,LH_ColSur),$B20,INDEX(LH_Data,0,LH_ColCat),BonusCat,INDEX(LH_Data,0,LH_ColStart),"&gt;="&amp;AF20)*UnitFactor))</f>
        <v/>
      </c>
      <c r="W20" s="14" t="str">
        <f aca="false">IF(AE20=0,"",IF(NOT(LH_Ready),"",IF(BB20=0,0,INDEX(INDEX(LH_Data,0,LH_ColClose),BB20-1)*UnitFactor)))</f>
        <v/>
      </c>
      <c r="X20" s="14" t="str">
        <f aca="false">IF(AE20=0,"",(AX20-AY20)*HoursPerDay)</f>
        <v/>
      </c>
      <c r="Y20" s="14" t="str">
        <f aca="false">IF(AE20=0,"",IF(NOT(LH_Ready),"",IF(BA20=0,N20,IF(PFYDate&lt;$F20,N20-N(T20)-N(U20),X20-N(U20)))))</f>
        <v/>
      </c>
      <c r="Z20" s="13" t="str">
        <f aca="false">IF(OR(AE20=0,Y20=""),"",IF(Y20&gt;0,"Yes","No"))</f>
        <v/>
      </c>
      <c r="AA20" s="13"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 hrs more than policy since commencement",IF(N(W20)&gt;O20*HoursPerDay+0.01,"CHECK - EH balance "&amp;ROUND(W20-O20*HoursPerDay,2)&amp;" hrs more than policy entitlement",IF(O20&gt;0,"OK - nothing to add",IF(AQ20="None",R20,"Not yet - first day on "&amp;TEXT(S20,"dd/mm/yyyy")))))))))</f>
        <v/>
      </c>
      <c r="AB20" s="14" t="str">
        <f aca="false">IF(OR(AE20=0,T20=""),"",AY20*HoursPerDay-T20)</f>
        <v/>
      </c>
      <c r="AC20" s="13" t="str">
        <f aca="false">IF(AE20=0,"",BA20)</f>
        <v/>
      </c>
      <c r="AD20" s="13"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3" t="n">
        <f aca="false">IF(OR(LEN($A20&amp;$B20)=0,$F20=""),0,1)</f>
        <v>0</v>
      </c>
      <c r="AF20" s="11" t="str">
        <f aca="false">IF(AE20=0,"",IF($J20&lt;&gt;"",$J20,IF(OR(CasualCounts="Yes",COUNT($G20:$I20)=0,COUNT($G20:$H20)=0),$F20,MIN($G20:$H20))))</f>
        <v/>
      </c>
      <c r="AG20" s="13" t="str">
        <f aca="false">IF(AE20=0,"",COUNT($G20:$I20))</f>
        <v/>
      </c>
      <c r="AH20" s="11" t="str">
        <f aca="false">IF(AE20=0,"",IFERROR(SMALL($G20:$I20,1),""))</f>
        <v/>
      </c>
      <c r="AI20" s="11" t="str">
        <f aca="false">IF(AE20=0,"",IFERROR(SMALL($G20:$I20,2),""))</f>
        <v/>
      </c>
      <c r="AJ20" s="11" t="str">
        <f aca="false">IF(AE20=0,"",IFERROR(SMALL($G20:$I20,3),""))</f>
        <v/>
      </c>
      <c r="AK20" s="13" t="str">
        <f aca="false">IF(AE20=0,"",IF(AH20="","",IF(AH20=$G20,"Part-Time",IF(AH20=$H20,"Full-Time","Casual"))))</f>
        <v/>
      </c>
      <c r="AL20" s="13" t="str">
        <f aca="false">IF(AE20=0,"",IF(AI20="","",IF(AI20=$G20,"Part-Time",IF(AI20=$H20,"Full-Time","Casual"))))</f>
        <v/>
      </c>
      <c r="AM20" s="13" t="str">
        <f aca="false">IF(AE20=0,"",IF(AJ20="","",IF(AJ20=$G20,"Part-Time",IF(AJ20=$H20,"Full-Time","Casual"))))</f>
        <v/>
      </c>
      <c r="AN20" s="13"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3" t="str">
        <f aca="false">IF(AE20=0,"",IF(AG20&lt;2,"",IF(OR(ISNUMBER(SEARCH("full",AL20)),UPPER(TRIM(AL20))="FT",UPPER(TRIM(AL20))="FTE"),"FT",IF(AND(OR(ISNUMBER(SEARCH("part",AL20)),UPPER(TRIM(AL20))="PT",UPPER(TRIM(AL20))="PTE"),OR($P20="",N($P20)&gt;=PT_MinHours)),"PT","None"))))</f>
        <v/>
      </c>
      <c r="AP20" s="13" t="str">
        <f aca="false">IF(AE20=0,"",IF(AG20&lt;3,"",IF(OR(ISNUMBER(SEARCH("full",AM20)),UPPER(TRIM(AM20))="FT",UPPER(TRIM(AM20))="FTE"),"FT",IF(AND(OR(ISNUMBER(SEARCH("part",AM20)),UPPER(TRIM(AM20))="PT",UPPER(TRIM(AM20))="PTE"),OR($P20="",N($P20)&gt;=PT_MinHours)),"PT","None"))))</f>
        <v/>
      </c>
      <c r="AQ20" s="13" t="str">
        <f aca="false">IF(AE20=0,"",IF(AND(AG20&gt;=3,AJ20&lt;=AsOfDate),AP20,IF(AND(AG20&gt;=2,AI20&lt;=AsOfDate),AO20,AN20)))</f>
        <v/>
      </c>
      <c r="AR20" s="13" t="str">
        <f aca="false">IF(AE20=0,"",IF(AsOfDate&lt;AF20,-1,12*(YEAR(AsOfDate)-YEAR(AF20))+MONTH(AsOfDate)-MONTH(AF20)-IF(DAY(AsOfDate)&lt;MIN(DAY(AF20),DAY(EOMONTH(AsOfDate,0))),1,0)))</f>
        <v/>
      </c>
      <c r="AS20" s="13" t="str">
        <f aca="false">IF(AE20=0,"",IF(OR(AG20&lt;2,AI20&gt;AsOfDate),AR20,IF((AI20-1)&lt;AF20,-1,12*(YEAR((AI20-1))-YEAR(AF20))+MONTH((AI20-1))-MONTH(AF20)-IF(DAY((AI20-1))&lt;MIN(DAY(AF20),DAY(EOMONTH((AI20-1),0))),1,0))))</f>
        <v/>
      </c>
      <c r="AT20" s="13" t="str">
        <f aca="false">IF(AE20=0,"",IF(OR(AG20&lt;3,AJ20&gt;AsOfDate),AR20,IF((AJ20-1)&lt;AF20,-1,12*(YEAR((AJ20-1))-YEAR(AF20))+MONTH((AJ20-1))-MONTH(AF20)-IF(DAY((AJ20-1))&lt;MIN(DAY(AF20),DAY(EOMONTH((AJ20-1),0))),1,0))))</f>
        <v/>
      </c>
      <c r="AU20" s="13" t="str">
        <f aca="false">IF(AE20=0,"",IF(PFYDate&lt;AF20,-1,12*(YEAR(PFYDate)-YEAR(AF20))+MONTH(PFYDate)-MONTH(AF20)-IF(DAY(PFYDate)&lt;MIN(DAY(AF20),DAY(EOMONTH(PFYDate,0))),1,0)))</f>
        <v/>
      </c>
      <c r="AV20" s="13" t="str">
        <f aca="false">IF(AE20=0,"",IF(OR(AG20&lt;2,AI20&gt;PFYDate),AU20,IF((AI20-1)&lt;AF20,-1,12*(YEAR((AI20-1))-YEAR(AF20))+MONTH((AI20-1))-MONTH(AF20)-IF(DAY((AI20-1))&lt;MIN(DAY(AF20),DAY(EOMONTH((AI20-1),0))),1,0))))</f>
        <v/>
      </c>
      <c r="AW20" s="13" t="str">
        <f aca="false">IF(AE20=0,"",IF(OR(AG20&lt;3,AJ20&gt;PFYDate),AU20,IF((AJ20-1)&lt;AF20,-1,12*(YEAR((AJ20-1))-YEAR(AF20))+MONTH((AJ20-1))-MONTH(AF20)-IF(DAY((AJ20-1))&lt;MIN(DAY(AF20),DAY(EOMONTH((AJ20-1),0))),1,0))))</f>
        <v/>
      </c>
      <c r="AX20" s="13"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3"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3" t="str">
        <f aca="false">IF(AE20=0,"",IF(AQ20="FT",IF(AR20&lt;FT_First,FT_First,IF(AR20&lt;FT_Y5,MIN(FT_Y5,FT_First+FT_Int1*(INT((AR20-FT_First)/FT_Int1)+1)),FT_Y5+12*INT((AR20-FT_Y5)/12)+FT_Int2*(INT(MOD(AR20-FT_Y5,12)/FT_Int2)+1))),IF(AQ20="PT",IF(AR20&lt;PT_First,PT_First,PT_First+PT_Int*(INT((AR20-PT_First)/PT_Int)+1)),"")))</f>
        <v/>
      </c>
      <c r="BA20" s="13" t="str">
        <f aca="false">IF(AE20=0,"",IF(NOT(LH_Ready),0,COUNTIFS(INDEX(LH_Data,0,LH_ColFirst),$A20,INDEX(LH_Data,0,LH_ColSur),$B20,INDEX(LH_Data,0,LH_ColCat),BonusCat)))</f>
        <v/>
      </c>
      <c r="BB20" s="13" t="str">
        <f aca="false">IF(AE20=0,"",IF(OR(NOT(LH_Ready),BA20=0),0,SUMPRODUCT(MAX((INDEX(LH_Data,0,LH_ColFirst)=$A20)*(INDEX(LH_Data,0,LH_ColSur)=$B20)*(INDEX(LH_Data,0,LH_ColCat)=BonusCat)*ROW(LH_Data)))))</f>
        <v/>
      </c>
      <c r="BC20" s="0" t="str">
        <f aca="false">IF(LEN($A20&amp;$B20)=0,"",$A20&amp;" "&amp;$B20)</f>
        <v/>
      </c>
    </row>
    <row r="21" customFormat="false" ht="15" hidden="false" customHeight="false" outlineLevel="0" collapsed="false">
      <c r="A21" s="9"/>
      <c r="B21" s="9"/>
      <c r="C21" s="9"/>
      <c r="D21" s="10"/>
      <c r="E21" s="11" t="str">
        <f aca="false">IF(OR(AE21=0,$D21=""),"",DATE(YEAR(AsOfDate)+IF(DATE(YEAR(AsOfDate),MONTH($D21),DAY($D21))&lt;=AsOfDate,1,0),MONTH($D21),DAY($D21)))</f>
        <v/>
      </c>
      <c r="F21" s="10"/>
      <c r="G21" s="10"/>
      <c r="H21" s="10"/>
      <c r="I21" s="10"/>
      <c r="J21" s="10"/>
      <c r="K21" s="11" t="str">
        <f aca="false">IF(AE21=0,"",DATE(YEAR(AsOfDate)+IF(DATE(YEAR(AsOfDate),MONTH(AF21),DAY(AF21))&lt;=AsOfDate,1,0),MONTH(AF21),DAY(AF21)))</f>
        <v/>
      </c>
      <c r="L21" s="12" t="str">
        <f aca="false">IF(AE21=0,"",ROUND((AsOfDate-AF21)/365.25,1))</f>
        <v/>
      </c>
      <c r="M21" s="13" t="str">
        <f aca="false">IF(AE21=0,"",IF(AsOfDate&lt;AF21,"-",DATEDIF(AF21,AsOfDate,"y")&amp;"y "&amp;DATEDIF(AF21,AsOfDate,"ym")&amp;"m "&amp;DATEDIF(AF21,AsOfDate,"md")&amp;"d"))</f>
        <v/>
      </c>
      <c r="N21" s="14" t="str">
        <f aca="false">IF(AE21=0,"",O21*HoursPerDay)</f>
        <v/>
      </c>
      <c r="O21" s="14" t="str">
        <f aca="false">IF(AE21=0,"",AX21)</f>
        <v/>
      </c>
      <c r="P21" s="15"/>
      <c r="Q21" s="13"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13"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1" t="str">
        <f aca="false">IF(AE21=0,"",IF(AQ21="None","",EDATE(AF21,AZ21)))</f>
        <v/>
      </c>
      <c r="T21" s="14" t="str">
        <f aca="false">IF(AE21=0,"",IF(NOT(LH_Ready),"",IF(AF21&gt;PFYDate,0,IF(LH_ColPeriod=0,W21-U21+V21,SUMIFS(INDEX(LH_Data,0,LH_ColAcc),INDEX(LH_Data,0,LH_ColFirst),$A21,INDEX(LH_Data,0,LH_ColSur),$B21,INDEX(LH_Data,0,LH_ColCat),BonusCat,INDEX(LH_Data,0,LH_ColPeriod),LH_OpenLabel)*UnitFactor))))</f>
        <v/>
      </c>
      <c r="U21" s="14" t="str">
        <f aca="false">IF(AE21=0,"",IF(NOT(LH_Ready),"",SUMIFS(INDEX(LH_Data,0,LH_ColAcc),INDEX(LH_Data,0,LH_ColFirst),$A21,INDEX(LH_Data,0,LH_ColSur),$B21,INDEX(LH_Data,0,LH_ColCat),BonusCat,INDEX(LH_Data,0,LH_ColStart),"&gt;="&amp;AF21)*UnitFactor))</f>
        <v/>
      </c>
      <c r="V21" s="14" t="str">
        <f aca="false">IF(AE21=0,"",IF(NOT(LH_Ready),"",SUMIFS(INDEX(LH_Data,0,LH_ColTaken),INDEX(LH_Data,0,LH_ColFirst),$A21,INDEX(LH_Data,0,LH_ColSur),$B21,INDEX(LH_Data,0,LH_ColCat),BonusCat,INDEX(LH_Data,0,LH_ColStart),"&gt;="&amp;AF21)*UnitFactor))</f>
        <v/>
      </c>
      <c r="W21" s="14" t="str">
        <f aca="false">IF(AE21=0,"",IF(NOT(LH_Ready),"",IF(BB21=0,0,INDEX(INDEX(LH_Data,0,LH_ColClose),BB21-1)*UnitFactor)))</f>
        <v/>
      </c>
      <c r="X21" s="14" t="str">
        <f aca="false">IF(AE21=0,"",(AX21-AY21)*HoursPerDay)</f>
        <v/>
      </c>
      <c r="Y21" s="14" t="str">
        <f aca="false">IF(AE21=0,"",IF(NOT(LH_Ready),"",IF(BA21=0,N21,IF(PFYDate&lt;$F21,N21-N(T21)-N(U21),X21-N(U21)))))</f>
        <v/>
      </c>
      <c r="Z21" s="13" t="str">
        <f aca="false">IF(OR(AE21=0,Y21=""),"",IF(Y21&gt;0,"Yes","No"))</f>
        <v/>
      </c>
      <c r="AA21" s="13"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 hrs more than policy since commencement",IF(N(W21)&gt;O21*HoursPerDay+0.01,"CHECK - EH balance "&amp;ROUND(W21-O21*HoursPerDay,2)&amp;" hrs more than policy entitlement",IF(O21&gt;0,"OK - nothing to add",IF(AQ21="None",R21,"Not yet - first day on "&amp;TEXT(S21,"dd/mm/yyyy")))))))))</f>
        <v/>
      </c>
      <c r="AB21" s="14" t="str">
        <f aca="false">IF(OR(AE21=0,T21=""),"",AY21*HoursPerDay-T21)</f>
        <v/>
      </c>
      <c r="AC21" s="13" t="str">
        <f aca="false">IF(AE21=0,"",BA21)</f>
        <v/>
      </c>
      <c r="AD21" s="13"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3" t="n">
        <f aca="false">IF(OR(LEN($A21&amp;$B21)=0,$F21=""),0,1)</f>
        <v>0</v>
      </c>
      <c r="AF21" s="11" t="str">
        <f aca="false">IF(AE21=0,"",IF($J21&lt;&gt;"",$J21,IF(OR(CasualCounts="Yes",COUNT($G21:$I21)=0,COUNT($G21:$H21)=0),$F21,MIN($G21:$H21))))</f>
        <v/>
      </c>
      <c r="AG21" s="13" t="str">
        <f aca="false">IF(AE21=0,"",COUNT($G21:$I21))</f>
        <v/>
      </c>
      <c r="AH21" s="11" t="str">
        <f aca="false">IF(AE21=0,"",IFERROR(SMALL($G21:$I21,1),""))</f>
        <v/>
      </c>
      <c r="AI21" s="11" t="str">
        <f aca="false">IF(AE21=0,"",IFERROR(SMALL($G21:$I21,2),""))</f>
        <v/>
      </c>
      <c r="AJ21" s="11" t="str">
        <f aca="false">IF(AE21=0,"",IFERROR(SMALL($G21:$I21,3),""))</f>
        <v/>
      </c>
      <c r="AK21" s="13" t="str">
        <f aca="false">IF(AE21=0,"",IF(AH21="","",IF(AH21=$G21,"Part-Time",IF(AH21=$H21,"Full-Time","Casual"))))</f>
        <v/>
      </c>
      <c r="AL21" s="13" t="str">
        <f aca="false">IF(AE21=0,"",IF(AI21="","",IF(AI21=$G21,"Part-Time",IF(AI21=$H21,"Full-Time","Casual"))))</f>
        <v/>
      </c>
      <c r="AM21" s="13" t="str">
        <f aca="false">IF(AE21=0,"",IF(AJ21="","",IF(AJ21=$G21,"Part-Time",IF(AJ21=$H21,"Full-Time","Casual"))))</f>
        <v/>
      </c>
      <c r="AN21" s="13"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3" t="str">
        <f aca="false">IF(AE21=0,"",IF(AG21&lt;2,"",IF(OR(ISNUMBER(SEARCH("full",AL21)),UPPER(TRIM(AL21))="FT",UPPER(TRIM(AL21))="FTE"),"FT",IF(AND(OR(ISNUMBER(SEARCH("part",AL21)),UPPER(TRIM(AL21))="PT",UPPER(TRIM(AL21))="PTE"),OR($P21="",N($P21)&gt;=PT_MinHours)),"PT","None"))))</f>
        <v/>
      </c>
      <c r="AP21" s="13" t="str">
        <f aca="false">IF(AE21=0,"",IF(AG21&lt;3,"",IF(OR(ISNUMBER(SEARCH("full",AM21)),UPPER(TRIM(AM21))="FT",UPPER(TRIM(AM21))="FTE"),"FT",IF(AND(OR(ISNUMBER(SEARCH("part",AM21)),UPPER(TRIM(AM21))="PT",UPPER(TRIM(AM21))="PTE"),OR($P21="",N($P21)&gt;=PT_MinHours)),"PT","None"))))</f>
        <v/>
      </c>
      <c r="AQ21" s="13" t="str">
        <f aca="false">IF(AE21=0,"",IF(AND(AG21&gt;=3,AJ21&lt;=AsOfDate),AP21,IF(AND(AG21&gt;=2,AI21&lt;=AsOfDate),AO21,AN21)))</f>
        <v/>
      </c>
      <c r="AR21" s="13" t="str">
        <f aca="false">IF(AE21=0,"",IF(AsOfDate&lt;AF21,-1,12*(YEAR(AsOfDate)-YEAR(AF21))+MONTH(AsOfDate)-MONTH(AF21)-IF(DAY(AsOfDate)&lt;MIN(DAY(AF21),DAY(EOMONTH(AsOfDate,0))),1,0)))</f>
        <v/>
      </c>
      <c r="AS21" s="13" t="str">
        <f aca="false">IF(AE21=0,"",IF(OR(AG21&lt;2,AI21&gt;AsOfDate),AR21,IF((AI21-1)&lt;AF21,-1,12*(YEAR((AI21-1))-YEAR(AF21))+MONTH((AI21-1))-MONTH(AF21)-IF(DAY((AI21-1))&lt;MIN(DAY(AF21),DAY(EOMONTH((AI21-1),0))),1,0))))</f>
        <v/>
      </c>
      <c r="AT21" s="13" t="str">
        <f aca="false">IF(AE21=0,"",IF(OR(AG21&lt;3,AJ21&gt;AsOfDate),AR21,IF((AJ21-1)&lt;AF21,-1,12*(YEAR((AJ21-1))-YEAR(AF21))+MONTH((AJ21-1))-MONTH(AF21)-IF(DAY((AJ21-1))&lt;MIN(DAY(AF21),DAY(EOMONTH((AJ21-1),0))),1,0))))</f>
        <v/>
      </c>
      <c r="AU21" s="13" t="str">
        <f aca="false">IF(AE21=0,"",IF(PFYDate&lt;AF21,-1,12*(YEAR(PFYDate)-YEAR(AF21))+MONTH(PFYDate)-MONTH(AF21)-IF(DAY(PFYDate)&lt;MIN(DAY(AF21),DAY(EOMONTH(PFYDate,0))),1,0)))</f>
        <v/>
      </c>
      <c r="AV21" s="13" t="str">
        <f aca="false">IF(AE21=0,"",IF(OR(AG21&lt;2,AI21&gt;PFYDate),AU21,IF((AI21-1)&lt;AF21,-1,12*(YEAR((AI21-1))-YEAR(AF21))+MONTH((AI21-1))-MONTH(AF21)-IF(DAY((AI21-1))&lt;MIN(DAY(AF21),DAY(EOMONTH((AI21-1),0))),1,0))))</f>
        <v/>
      </c>
      <c r="AW21" s="13" t="str">
        <f aca="false">IF(AE21=0,"",IF(OR(AG21&lt;3,AJ21&gt;PFYDate),AU21,IF((AJ21-1)&lt;AF21,-1,12*(YEAR((AJ21-1))-YEAR(AF21))+MONTH((AJ21-1))-MONTH(AF21)-IF(DAY((AJ21-1))&lt;MIN(DAY(AF21),DAY(EOMONTH((AJ21-1),0))),1,0))))</f>
        <v/>
      </c>
      <c r="AX21" s="13"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3"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3" t="str">
        <f aca="false">IF(AE21=0,"",IF(AQ21="FT",IF(AR21&lt;FT_First,FT_First,IF(AR21&lt;FT_Y5,MIN(FT_Y5,FT_First+FT_Int1*(INT((AR21-FT_First)/FT_Int1)+1)),FT_Y5+12*INT((AR21-FT_Y5)/12)+FT_Int2*(INT(MOD(AR21-FT_Y5,12)/FT_Int2)+1))),IF(AQ21="PT",IF(AR21&lt;PT_First,PT_First,PT_First+PT_Int*(INT((AR21-PT_First)/PT_Int)+1)),"")))</f>
        <v/>
      </c>
      <c r="BA21" s="13" t="str">
        <f aca="false">IF(AE21=0,"",IF(NOT(LH_Ready),0,COUNTIFS(INDEX(LH_Data,0,LH_ColFirst),$A21,INDEX(LH_Data,0,LH_ColSur),$B21,INDEX(LH_Data,0,LH_ColCat),BonusCat)))</f>
        <v/>
      </c>
      <c r="BB21" s="13" t="str">
        <f aca="false">IF(AE21=0,"",IF(OR(NOT(LH_Ready),BA21=0),0,SUMPRODUCT(MAX((INDEX(LH_Data,0,LH_ColFirst)=$A21)*(INDEX(LH_Data,0,LH_ColSur)=$B21)*(INDEX(LH_Data,0,LH_ColCat)=BonusCat)*ROW(LH_Data)))))</f>
        <v/>
      </c>
      <c r="BC21" s="0" t="str">
        <f aca="false">IF(LEN($A21&amp;$B21)=0,"",$A21&amp;" "&amp;$B21)</f>
        <v/>
      </c>
    </row>
    <row r="22" customFormat="false" ht="15" hidden="false" customHeight="false" outlineLevel="0" collapsed="false">
      <c r="A22" s="9"/>
      <c r="B22" s="9"/>
      <c r="C22" s="9"/>
      <c r="D22" s="10"/>
      <c r="E22" s="11" t="str">
        <f aca="false">IF(OR(AE22=0,$D22=""),"",DATE(YEAR(AsOfDate)+IF(DATE(YEAR(AsOfDate),MONTH($D22),DAY($D22))&lt;=AsOfDate,1,0),MONTH($D22),DAY($D22)))</f>
        <v/>
      </c>
      <c r="F22" s="10"/>
      <c r="G22" s="10"/>
      <c r="H22" s="10"/>
      <c r="I22" s="10"/>
      <c r="J22" s="10"/>
      <c r="K22" s="11" t="str">
        <f aca="false">IF(AE22=0,"",DATE(YEAR(AsOfDate)+IF(DATE(YEAR(AsOfDate),MONTH(AF22),DAY(AF22))&lt;=AsOfDate,1,0),MONTH(AF22),DAY(AF22)))</f>
        <v/>
      </c>
      <c r="L22" s="12" t="str">
        <f aca="false">IF(AE22=0,"",ROUND((AsOfDate-AF22)/365.25,1))</f>
        <v/>
      </c>
      <c r="M22" s="13" t="str">
        <f aca="false">IF(AE22=0,"",IF(AsOfDate&lt;AF22,"-",DATEDIF(AF22,AsOfDate,"y")&amp;"y "&amp;DATEDIF(AF22,AsOfDate,"ym")&amp;"m "&amp;DATEDIF(AF22,AsOfDate,"md")&amp;"d"))</f>
        <v/>
      </c>
      <c r="N22" s="14" t="str">
        <f aca="false">IF(AE22=0,"",O22*HoursPerDay)</f>
        <v/>
      </c>
      <c r="O22" s="14" t="str">
        <f aca="false">IF(AE22=0,"",AX22)</f>
        <v/>
      </c>
      <c r="P22" s="15"/>
      <c r="Q22" s="13"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13"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1" t="str">
        <f aca="false">IF(AE22=0,"",IF(AQ22="None","",EDATE(AF22,AZ22)))</f>
        <v/>
      </c>
      <c r="T22" s="14" t="str">
        <f aca="false">IF(AE22=0,"",IF(NOT(LH_Ready),"",IF(AF22&gt;PFYDate,0,IF(LH_ColPeriod=0,W22-U22+V22,SUMIFS(INDEX(LH_Data,0,LH_ColAcc),INDEX(LH_Data,0,LH_ColFirst),$A22,INDEX(LH_Data,0,LH_ColSur),$B22,INDEX(LH_Data,0,LH_ColCat),BonusCat,INDEX(LH_Data,0,LH_ColPeriod),LH_OpenLabel)*UnitFactor))))</f>
        <v/>
      </c>
      <c r="U22" s="14" t="str">
        <f aca="false">IF(AE22=0,"",IF(NOT(LH_Ready),"",SUMIFS(INDEX(LH_Data,0,LH_ColAcc),INDEX(LH_Data,0,LH_ColFirst),$A22,INDEX(LH_Data,0,LH_ColSur),$B22,INDEX(LH_Data,0,LH_ColCat),BonusCat,INDEX(LH_Data,0,LH_ColStart),"&gt;="&amp;AF22)*UnitFactor))</f>
        <v/>
      </c>
      <c r="V22" s="14" t="str">
        <f aca="false">IF(AE22=0,"",IF(NOT(LH_Ready),"",SUMIFS(INDEX(LH_Data,0,LH_ColTaken),INDEX(LH_Data,0,LH_ColFirst),$A22,INDEX(LH_Data,0,LH_ColSur),$B22,INDEX(LH_Data,0,LH_ColCat),BonusCat,INDEX(LH_Data,0,LH_ColStart),"&gt;="&amp;AF22)*UnitFactor))</f>
        <v/>
      </c>
      <c r="W22" s="14" t="str">
        <f aca="false">IF(AE22=0,"",IF(NOT(LH_Ready),"",IF(BB22=0,0,INDEX(INDEX(LH_Data,0,LH_ColClose),BB22-1)*UnitFactor)))</f>
        <v/>
      </c>
      <c r="X22" s="14" t="str">
        <f aca="false">IF(AE22=0,"",(AX22-AY22)*HoursPerDay)</f>
        <v/>
      </c>
      <c r="Y22" s="14" t="str">
        <f aca="false">IF(AE22=0,"",IF(NOT(LH_Ready),"",IF(BA22=0,N22,IF(PFYDate&lt;$F22,N22-N(T22)-N(U22),X22-N(U22)))))</f>
        <v/>
      </c>
      <c r="Z22" s="13" t="str">
        <f aca="false">IF(OR(AE22=0,Y22=""),"",IF(Y22&gt;0,"Yes","No"))</f>
        <v/>
      </c>
      <c r="AA22" s="13"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 hrs more than policy since commencement",IF(N(W22)&gt;O22*HoursPerDay+0.01,"CHECK - EH balance "&amp;ROUND(W22-O22*HoursPerDay,2)&amp;" hrs more than policy entitlement",IF(O22&gt;0,"OK - nothing to add",IF(AQ22="None",R22,"Not yet - first day on "&amp;TEXT(S22,"dd/mm/yyyy")))))))))</f>
        <v/>
      </c>
      <c r="AB22" s="14" t="str">
        <f aca="false">IF(OR(AE22=0,T22=""),"",AY22*HoursPerDay-T22)</f>
        <v/>
      </c>
      <c r="AC22" s="13" t="str">
        <f aca="false">IF(AE22=0,"",BA22)</f>
        <v/>
      </c>
      <c r="AD22" s="13"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3" t="n">
        <f aca="false">IF(OR(LEN($A22&amp;$B22)=0,$F22=""),0,1)</f>
        <v>0</v>
      </c>
      <c r="AF22" s="11" t="str">
        <f aca="false">IF(AE22=0,"",IF($J22&lt;&gt;"",$J22,IF(OR(CasualCounts="Yes",COUNT($G22:$I22)=0,COUNT($G22:$H22)=0),$F22,MIN($G22:$H22))))</f>
        <v/>
      </c>
      <c r="AG22" s="13" t="str">
        <f aca="false">IF(AE22=0,"",COUNT($G22:$I22))</f>
        <v/>
      </c>
      <c r="AH22" s="11" t="str">
        <f aca="false">IF(AE22=0,"",IFERROR(SMALL($G22:$I22,1),""))</f>
        <v/>
      </c>
      <c r="AI22" s="11" t="str">
        <f aca="false">IF(AE22=0,"",IFERROR(SMALL($G22:$I22,2),""))</f>
        <v/>
      </c>
      <c r="AJ22" s="11" t="str">
        <f aca="false">IF(AE22=0,"",IFERROR(SMALL($G22:$I22,3),""))</f>
        <v/>
      </c>
      <c r="AK22" s="13" t="str">
        <f aca="false">IF(AE22=0,"",IF(AH22="","",IF(AH22=$G22,"Part-Time",IF(AH22=$H22,"Full-Time","Casual"))))</f>
        <v/>
      </c>
      <c r="AL22" s="13" t="str">
        <f aca="false">IF(AE22=0,"",IF(AI22="","",IF(AI22=$G22,"Part-Time",IF(AI22=$H22,"Full-Time","Casual"))))</f>
        <v/>
      </c>
      <c r="AM22" s="13" t="str">
        <f aca="false">IF(AE22=0,"",IF(AJ22="","",IF(AJ22=$G22,"Part-Time",IF(AJ22=$H22,"Full-Time","Casual"))))</f>
        <v/>
      </c>
      <c r="AN22" s="13"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3" t="str">
        <f aca="false">IF(AE22=0,"",IF(AG22&lt;2,"",IF(OR(ISNUMBER(SEARCH("full",AL22)),UPPER(TRIM(AL22))="FT",UPPER(TRIM(AL22))="FTE"),"FT",IF(AND(OR(ISNUMBER(SEARCH("part",AL22)),UPPER(TRIM(AL22))="PT",UPPER(TRIM(AL22))="PTE"),OR($P22="",N($P22)&gt;=PT_MinHours)),"PT","None"))))</f>
        <v/>
      </c>
      <c r="AP22" s="13" t="str">
        <f aca="false">IF(AE22=0,"",IF(AG22&lt;3,"",IF(OR(ISNUMBER(SEARCH("full",AM22)),UPPER(TRIM(AM22))="FT",UPPER(TRIM(AM22))="FTE"),"FT",IF(AND(OR(ISNUMBER(SEARCH("part",AM22)),UPPER(TRIM(AM22))="PT",UPPER(TRIM(AM22))="PTE"),OR($P22="",N($P22)&gt;=PT_MinHours)),"PT","None"))))</f>
        <v/>
      </c>
      <c r="AQ22" s="13" t="str">
        <f aca="false">IF(AE22=0,"",IF(AND(AG22&gt;=3,AJ22&lt;=AsOfDate),AP22,IF(AND(AG22&gt;=2,AI22&lt;=AsOfDate),AO22,AN22)))</f>
        <v/>
      </c>
      <c r="AR22" s="13" t="str">
        <f aca="false">IF(AE22=0,"",IF(AsOfDate&lt;AF22,-1,12*(YEAR(AsOfDate)-YEAR(AF22))+MONTH(AsOfDate)-MONTH(AF22)-IF(DAY(AsOfDate)&lt;MIN(DAY(AF22),DAY(EOMONTH(AsOfDate,0))),1,0)))</f>
        <v/>
      </c>
      <c r="AS22" s="13" t="str">
        <f aca="false">IF(AE22=0,"",IF(OR(AG22&lt;2,AI22&gt;AsOfDate),AR22,IF((AI22-1)&lt;AF22,-1,12*(YEAR((AI22-1))-YEAR(AF22))+MONTH((AI22-1))-MONTH(AF22)-IF(DAY((AI22-1))&lt;MIN(DAY(AF22),DAY(EOMONTH((AI22-1),0))),1,0))))</f>
        <v/>
      </c>
      <c r="AT22" s="13" t="str">
        <f aca="false">IF(AE22=0,"",IF(OR(AG22&lt;3,AJ22&gt;AsOfDate),AR22,IF((AJ22-1)&lt;AF22,-1,12*(YEAR((AJ22-1))-YEAR(AF22))+MONTH((AJ22-1))-MONTH(AF22)-IF(DAY((AJ22-1))&lt;MIN(DAY(AF22),DAY(EOMONTH((AJ22-1),0))),1,0))))</f>
        <v/>
      </c>
      <c r="AU22" s="13" t="str">
        <f aca="false">IF(AE22=0,"",IF(PFYDate&lt;AF22,-1,12*(YEAR(PFYDate)-YEAR(AF22))+MONTH(PFYDate)-MONTH(AF22)-IF(DAY(PFYDate)&lt;MIN(DAY(AF22),DAY(EOMONTH(PFYDate,0))),1,0)))</f>
        <v/>
      </c>
      <c r="AV22" s="13" t="str">
        <f aca="false">IF(AE22=0,"",IF(OR(AG22&lt;2,AI22&gt;PFYDate),AU22,IF((AI22-1)&lt;AF22,-1,12*(YEAR((AI22-1))-YEAR(AF22))+MONTH((AI22-1))-MONTH(AF22)-IF(DAY((AI22-1))&lt;MIN(DAY(AF22),DAY(EOMONTH((AI22-1),0))),1,0))))</f>
        <v/>
      </c>
      <c r="AW22" s="13" t="str">
        <f aca="false">IF(AE22=0,"",IF(OR(AG22&lt;3,AJ22&gt;PFYDate),AU22,IF((AJ22-1)&lt;AF22,-1,12*(YEAR((AJ22-1))-YEAR(AF22))+MONTH((AJ22-1))-MONTH(AF22)-IF(DAY((AJ22-1))&lt;MIN(DAY(AF22),DAY(EOMONTH((AJ22-1),0))),1,0))))</f>
        <v/>
      </c>
      <c r="AX22" s="13"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3"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3" t="str">
        <f aca="false">IF(AE22=0,"",IF(AQ22="FT",IF(AR22&lt;FT_First,FT_First,IF(AR22&lt;FT_Y5,MIN(FT_Y5,FT_First+FT_Int1*(INT((AR22-FT_First)/FT_Int1)+1)),FT_Y5+12*INT((AR22-FT_Y5)/12)+FT_Int2*(INT(MOD(AR22-FT_Y5,12)/FT_Int2)+1))),IF(AQ22="PT",IF(AR22&lt;PT_First,PT_First,PT_First+PT_Int*(INT((AR22-PT_First)/PT_Int)+1)),"")))</f>
        <v/>
      </c>
      <c r="BA22" s="13" t="str">
        <f aca="false">IF(AE22=0,"",IF(NOT(LH_Ready),0,COUNTIFS(INDEX(LH_Data,0,LH_ColFirst),$A22,INDEX(LH_Data,0,LH_ColSur),$B22,INDEX(LH_Data,0,LH_ColCat),BonusCat)))</f>
        <v/>
      </c>
      <c r="BB22" s="13" t="str">
        <f aca="false">IF(AE22=0,"",IF(OR(NOT(LH_Ready),BA22=0),0,SUMPRODUCT(MAX((INDEX(LH_Data,0,LH_ColFirst)=$A22)*(INDEX(LH_Data,0,LH_ColSur)=$B22)*(INDEX(LH_Data,0,LH_ColCat)=BonusCat)*ROW(LH_Data)))))</f>
        <v/>
      </c>
      <c r="BC22" s="0" t="str">
        <f aca="false">IF(LEN($A22&amp;$B22)=0,"",$A22&amp;" "&amp;$B22)</f>
        <v/>
      </c>
    </row>
    <row r="23" customFormat="false" ht="15" hidden="false" customHeight="false" outlineLevel="0" collapsed="false">
      <c r="A23" s="9"/>
      <c r="B23" s="9"/>
      <c r="C23" s="9"/>
      <c r="D23" s="10"/>
      <c r="E23" s="11" t="str">
        <f aca="false">IF(OR(AE23=0,$D23=""),"",DATE(YEAR(AsOfDate)+IF(DATE(YEAR(AsOfDate),MONTH($D23),DAY($D23))&lt;=AsOfDate,1,0),MONTH($D23),DAY($D23)))</f>
        <v/>
      </c>
      <c r="F23" s="10"/>
      <c r="G23" s="10"/>
      <c r="H23" s="10"/>
      <c r="I23" s="10"/>
      <c r="J23" s="10"/>
      <c r="K23" s="11" t="str">
        <f aca="false">IF(AE23=0,"",DATE(YEAR(AsOfDate)+IF(DATE(YEAR(AsOfDate),MONTH(AF23),DAY(AF23))&lt;=AsOfDate,1,0),MONTH(AF23),DAY(AF23)))</f>
        <v/>
      </c>
      <c r="L23" s="12" t="str">
        <f aca="false">IF(AE23=0,"",ROUND((AsOfDate-AF23)/365.25,1))</f>
        <v/>
      </c>
      <c r="M23" s="13" t="str">
        <f aca="false">IF(AE23=0,"",IF(AsOfDate&lt;AF23,"-",DATEDIF(AF23,AsOfDate,"y")&amp;"y "&amp;DATEDIF(AF23,AsOfDate,"ym")&amp;"m "&amp;DATEDIF(AF23,AsOfDate,"md")&amp;"d"))</f>
        <v/>
      </c>
      <c r="N23" s="14" t="str">
        <f aca="false">IF(AE23=0,"",O23*HoursPerDay)</f>
        <v/>
      </c>
      <c r="O23" s="14" t="str">
        <f aca="false">IF(AE23=0,"",AX23)</f>
        <v/>
      </c>
      <c r="P23" s="15"/>
      <c r="Q23" s="13"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13"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1" t="str">
        <f aca="false">IF(AE23=0,"",IF(AQ23="None","",EDATE(AF23,AZ23)))</f>
        <v/>
      </c>
      <c r="T23" s="14" t="str">
        <f aca="false">IF(AE23=0,"",IF(NOT(LH_Ready),"",IF(AF23&gt;PFYDate,0,IF(LH_ColPeriod=0,W23-U23+V23,SUMIFS(INDEX(LH_Data,0,LH_ColAcc),INDEX(LH_Data,0,LH_ColFirst),$A23,INDEX(LH_Data,0,LH_ColSur),$B23,INDEX(LH_Data,0,LH_ColCat),BonusCat,INDEX(LH_Data,0,LH_ColPeriod),LH_OpenLabel)*UnitFactor))))</f>
        <v/>
      </c>
      <c r="U23" s="14" t="str">
        <f aca="false">IF(AE23=0,"",IF(NOT(LH_Ready),"",SUMIFS(INDEX(LH_Data,0,LH_ColAcc),INDEX(LH_Data,0,LH_ColFirst),$A23,INDEX(LH_Data,0,LH_ColSur),$B23,INDEX(LH_Data,0,LH_ColCat),BonusCat,INDEX(LH_Data,0,LH_ColStart),"&gt;="&amp;AF23)*UnitFactor))</f>
        <v/>
      </c>
      <c r="V23" s="14" t="str">
        <f aca="false">IF(AE23=0,"",IF(NOT(LH_Ready),"",SUMIFS(INDEX(LH_Data,0,LH_ColTaken),INDEX(LH_Data,0,LH_ColFirst),$A23,INDEX(LH_Data,0,LH_ColSur),$B23,INDEX(LH_Data,0,LH_ColCat),BonusCat,INDEX(LH_Data,0,LH_ColStart),"&gt;="&amp;AF23)*UnitFactor))</f>
        <v/>
      </c>
      <c r="W23" s="14" t="str">
        <f aca="false">IF(AE23=0,"",IF(NOT(LH_Ready),"",IF(BB23=0,0,INDEX(INDEX(LH_Data,0,LH_ColClose),BB23-1)*UnitFactor)))</f>
        <v/>
      </c>
      <c r="X23" s="14" t="str">
        <f aca="false">IF(AE23=0,"",(AX23-AY23)*HoursPerDay)</f>
        <v/>
      </c>
      <c r="Y23" s="14" t="str">
        <f aca="false">IF(AE23=0,"",IF(NOT(LH_Ready),"",IF(BA23=0,N23,IF(PFYDate&lt;$F23,N23-N(T23)-N(U23),X23-N(U23)))))</f>
        <v/>
      </c>
      <c r="Z23" s="13" t="str">
        <f aca="false">IF(OR(AE23=0,Y23=""),"",IF(Y23&gt;0,"Yes","No"))</f>
        <v/>
      </c>
      <c r="AA23" s="13"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 hrs more than policy since commencement",IF(N(W23)&gt;O23*HoursPerDay+0.01,"CHECK - EH balance "&amp;ROUND(W23-O23*HoursPerDay,2)&amp;" hrs more than policy entitlement",IF(O23&gt;0,"OK - nothing to add",IF(AQ23="None",R23,"Not yet - first day on "&amp;TEXT(S23,"dd/mm/yyyy")))))))))</f>
        <v/>
      </c>
      <c r="AB23" s="14" t="str">
        <f aca="false">IF(OR(AE23=0,T23=""),"",AY23*HoursPerDay-T23)</f>
        <v/>
      </c>
      <c r="AC23" s="13" t="str">
        <f aca="false">IF(AE23=0,"",BA23)</f>
        <v/>
      </c>
      <c r="AD23" s="13"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3" t="n">
        <f aca="false">IF(OR(LEN($A23&amp;$B23)=0,$F23=""),0,1)</f>
        <v>0</v>
      </c>
      <c r="AF23" s="11" t="str">
        <f aca="false">IF(AE23=0,"",IF($J23&lt;&gt;"",$J23,IF(OR(CasualCounts="Yes",COUNT($G23:$I23)=0,COUNT($G23:$H23)=0),$F23,MIN($G23:$H23))))</f>
        <v/>
      </c>
      <c r="AG23" s="13" t="str">
        <f aca="false">IF(AE23=0,"",COUNT($G23:$I23))</f>
        <v/>
      </c>
      <c r="AH23" s="11" t="str">
        <f aca="false">IF(AE23=0,"",IFERROR(SMALL($G23:$I23,1),""))</f>
        <v/>
      </c>
      <c r="AI23" s="11" t="str">
        <f aca="false">IF(AE23=0,"",IFERROR(SMALL($G23:$I23,2),""))</f>
        <v/>
      </c>
      <c r="AJ23" s="11" t="str">
        <f aca="false">IF(AE23=0,"",IFERROR(SMALL($G23:$I23,3),""))</f>
        <v/>
      </c>
      <c r="AK23" s="13" t="str">
        <f aca="false">IF(AE23=0,"",IF(AH23="","",IF(AH23=$G23,"Part-Time",IF(AH23=$H23,"Full-Time","Casual"))))</f>
        <v/>
      </c>
      <c r="AL23" s="13" t="str">
        <f aca="false">IF(AE23=0,"",IF(AI23="","",IF(AI23=$G23,"Part-Time",IF(AI23=$H23,"Full-Time","Casual"))))</f>
        <v/>
      </c>
      <c r="AM23" s="13" t="str">
        <f aca="false">IF(AE23=0,"",IF(AJ23="","",IF(AJ23=$G23,"Part-Time",IF(AJ23=$H23,"Full-Time","Casual"))))</f>
        <v/>
      </c>
      <c r="AN23" s="13"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3" t="str">
        <f aca="false">IF(AE23=0,"",IF(AG23&lt;2,"",IF(OR(ISNUMBER(SEARCH("full",AL23)),UPPER(TRIM(AL23))="FT",UPPER(TRIM(AL23))="FTE"),"FT",IF(AND(OR(ISNUMBER(SEARCH("part",AL23)),UPPER(TRIM(AL23))="PT",UPPER(TRIM(AL23))="PTE"),OR($P23="",N($P23)&gt;=PT_MinHours)),"PT","None"))))</f>
        <v/>
      </c>
      <c r="AP23" s="13" t="str">
        <f aca="false">IF(AE23=0,"",IF(AG23&lt;3,"",IF(OR(ISNUMBER(SEARCH("full",AM23)),UPPER(TRIM(AM23))="FT",UPPER(TRIM(AM23))="FTE"),"FT",IF(AND(OR(ISNUMBER(SEARCH("part",AM23)),UPPER(TRIM(AM23))="PT",UPPER(TRIM(AM23))="PTE"),OR($P23="",N($P23)&gt;=PT_MinHours)),"PT","None"))))</f>
        <v/>
      </c>
      <c r="AQ23" s="13" t="str">
        <f aca="false">IF(AE23=0,"",IF(AND(AG23&gt;=3,AJ23&lt;=AsOfDate),AP23,IF(AND(AG23&gt;=2,AI23&lt;=AsOfDate),AO23,AN23)))</f>
        <v/>
      </c>
      <c r="AR23" s="13" t="str">
        <f aca="false">IF(AE23=0,"",IF(AsOfDate&lt;AF23,-1,12*(YEAR(AsOfDate)-YEAR(AF23))+MONTH(AsOfDate)-MONTH(AF23)-IF(DAY(AsOfDate)&lt;MIN(DAY(AF23),DAY(EOMONTH(AsOfDate,0))),1,0)))</f>
        <v/>
      </c>
      <c r="AS23" s="13" t="str">
        <f aca="false">IF(AE23=0,"",IF(OR(AG23&lt;2,AI23&gt;AsOfDate),AR23,IF((AI23-1)&lt;AF23,-1,12*(YEAR((AI23-1))-YEAR(AF23))+MONTH((AI23-1))-MONTH(AF23)-IF(DAY((AI23-1))&lt;MIN(DAY(AF23),DAY(EOMONTH((AI23-1),0))),1,0))))</f>
        <v/>
      </c>
      <c r="AT23" s="13" t="str">
        <f aca="false">IF(AE23=0,"",IF(OR(AG23&lt;3,AJ23&gt;AsOfDate),AR23,IF((AJ23-1)&lt;AF23,-1,12*(YEAR((AJ23-1))-YEAR(AF23))+MONTH((AJ23-1))-MONTH(AF23)-IF(DAY((AJ23-1))&lt;MIN(DAY(AF23),DAY(EOMONTH((AJ23-1),0))),1,0))))</f>
        <v/>
      </c>
      <c r="AU23" s="13" t="str">
        <f aca="false">IF(AE23=0,"",IF(PFYDate&lt;AF23,-1,12*(YEAR(PFYDate)-YEAR(AF23))+MONTH(PFYDate)-MONTH(AF23)-IF(DAY(PFYDate)&lt;MIN(DAY(AF23),DAY(EOMONTH(PFYDate,0))),1,0)))</f>
        <v/>
      </c>
      <c r="AV23" s="13" t="str">
        <f aca="false">IF(AE23=0,"",IF(OR(AG23&lt;2,AI23&gt;PFYDate),AU23,IF((AI23-1)&lt;AF23,-1,12*(YEAR((AI23-1))-YEAR(AF23))+MONTH((AI23-1))-MONTH(AF23)-IF(DAY((AI23-1))&lt;MIN(DAY(AF23),DAY(EOMONTH((AI23-1),0))),1,0))))</f>
        <v/>
      </c>
      <c r="AW23" s="13" t="str">
        <f aca="false">IF(AE23=0,"",IF(OR(AG23&lt;3,AJ23&gt;PFYDate),AU23,IF((AJ23-1)&lt;AF23,-1,12*(YEAR((AJ23-1))-YEAR(AF23))+MONTH((AJ23-1))-MONTH(AF23)-IF(DAY((AJ23-1))&lt;MIN(DAY(AF23),DAY(EOMONTH((AJ23-1),0))),1,0))))</f>
        <v/>
      </c>
      <c r="AX23" s="13"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3"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3" t="str">
        <f aca="false">IF(AE23=0,"",IF(AQ23="FT",IF(AR23&lt;FT_First,FT_First,IF(AR23&lt;FT_Y5,MIN(FT_Y5,FT_First+FT_Int1*(INT((AR23-FT_First)/FT_Int1)+1)),FT_Y5+12*INT((AR23-FT_Y5)/12)+FT_Int2*(INT(MOD(AR23-FT_Y5,12)/FT_Int2)+1))),IF(AQ23="PT",IF(AR23&lt;PT_First,PT_First,PT_First+PT_Int*(INT((AR23-PT_First)/PT_Int)+1)),"")))</f>
        <v/>
      </c>
      <c r="BA23" s="13" t="str">
        <f aca="false">IF(AE23=0,"",IF(NOT(LH_Ready),0,COUNTIFS(INDEX(LH_Data,0,LH_ColFirst),$A23,INDEX(LH_Data,0,LH_ColSur),$B23,INDEX(LH_Data,0,LH_ColCat),BonusCat)))</f>
        <v/>
      </c>
      <c r="BB23" s="13" t="str">
        <f aca="false">IF(AE23=0,"",IF(OR(NOT(LH_Ready),BA23=0),0,SUMPRODUCT(MAX((INDEX(LH_Data,0,LH_ColFirst)=$A23)*(INDEX(LH_Data,0,LH_ColSur)=$B23)*(INDEX(LH_Data,0,LH_ColCat)=BonusCat)*ROW(LH_Data)))))</f>
        <v/>
      </c>
      <c r="BC23" s="0" t="str">
        <f aca="false">IF(LEN($A23&amp;$B23)=0,"",$A23&amp;" "&amp;$B23)</f>
        <v/>
      </c>
    </row>
    <row r="24" customFormat="false" ht="15" hidden="false" customHeight="false" outlineLevel="0" collapsed="false">
      <c r="A24" s="9"/>
      <c r="B24" s="9"/>
      <c r="C24" s="9"/>
      <c r="D24" s="10"/>
      <c r="E24" s="11" t="str">
        <f aca="false">IF(OR(AE24=0,$D24=""),"",DATE(YEAR(AsOfDate)+IF(DATE(YEAR(AsOfDate),MONTH($D24),DAY($D24))&lt;=AsOfDate,1,0),MONTH($D24),DAY($D24)))</f>
        <v/>
      </c>
      <c r="F24" s="10"/>
      <c r="G24" s="10"/>
      <c r="H24" s="10"/>
      <c r="I24" s="10"/>
      <c r="J24" s="10"/>
      <c r="K24" s="11" t="str">
        <f aca="false">IF(AE24=0,"",DATE(YEAR(AsOfDate)+IF(DATE(YEAR(AsOfDate),MONTH(AF24),DAY(AF24))&lt;=AsOfDate,1,0),MONTH(AF24),DAY(AF24)))</f>
        <v/>
      </c>
      <c r="L24" s="12" t="str">
        <f aca="false">IF(AE24=0,"",ROUND((AsOfDate-AF24)/365.25,1))</f>
        <v/>
      </c>
      <c r="M24" s="13" t="str">
        <f aca="false">IF(AE24=0,"",IF(AsOfDate&lt;AF24,"-",DATEDIF(AF24,AsOfDate,"y")&amp;"y "&amp;DATEDIF(AF24,AsOfDate,"ym")&amp;"m "&amp;DATEDIF(AF24,AsOfDate,"md")&amp;"d"))</f>
        <v/>
      </c>
      <c r="N24" s="14" t="str">
        <f aca="false">IF(AE24=0,"",O24*HoursPerDay)</f>
        <v/>
      </c>
      <c r="O24" s="14" t="str">
        <f aca="false">IF(AE24=0,"",AX24)</f>
        <v/>
      </c>
      <c r="P24" s="15"/>
      <c r="Q24" s="13"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13"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1" t="str">
        <f aca="false">IF(AE24=0,"",IF(AQ24="None","",EDATE(AF24,AZ24)))</f>
        <v/>
      </c>
      <c r="T24" s="14" t="str">
        <f aca="false">IF(AE24=0,"",IF(NOT(LH_Ready),"",IF(AF24&gt;PFYDate,0,IF(LH_ColPeriod=0,W24-U24+V24,SUMIFS(INDEX(LH_Data,0,LH_ColAcc),INDEX(LH_Data,0,LH_ColFirst),$A24,INDEX(LH_Data,0,LH_ColSur),$B24,INDEX(LH_Data,0,LH_ColCat),BonusCat,INDEX(LH_Data,0,LH_ColPeriod),LH_OpenLabel)*UnitFactor))))</f>
        <v/>
      </c>
      <c r="U24" s="14" t="str">
        <f aca="false">IF(AE24=0,"",IF(NOT(LH_Ready),"",SUMIFS(INDEX(LH_Data,0,LH_ColAcc),INDEX(LH_Data,0,LH_ColFirst),$A24,INDEX(LH_Data,0,LH_ColSur),$B24,INDEX(LH_Data,0,LH_ColCat),BonusCat,INDEX(LH_Data,0,LH_ColStart),"&gt;="&amp;AF24)*UnitFactor))</f>
        <v/>
      </c>
      <c r="V24" s="14" t="str">
        <f aca="false">IF(AE24=0,"",IF(NOT(LH_Ready),"",SUMIFS(INDEX(LH_Data,0,LH_ColTaken),INDEX(LH_Data,0,LH_ColFirst),$A24,INDEX(LH_Data,0,LH_ColSur),$B24,INDEX(LH_Data,0,LH_ColCat),BonusCat,INDEX(LH_Data,0,LH_ColStart),"&gt;="&amp;AF24)*UnitFactor))</f>
        <v/>
      </c>
      <c r="W24" s="14" t="str">
        <f aca="false">IF(AE24=0,"",IF(NOT(LH_Ready),"",IF(BB24=0,0,INDEX(INDEX(LH_Data,0,LH_ColClose),BB24-1)*UnitFactor)))</f>
        <v/>
      </c>
      <c r="X24" s="14" t="str">
        <f aca="false">IF(AE24=0,"",(AX24-AY24)*HoursPerDay)</f>
        <v/>
      </c>
      <c r="Y24" s="14" t="str">
        <f aca="false">IF(AE24=0,"",IF(NOT(LH_Ready),"",IF(BA24=0,N24,IF(PFYDate&lt;$F24,N24-N(T24)-N(U24),X24-N(U24)))))</f>
        <v/>
      </c>
      <c r="Z24" s="13" t="str">
        <f aca="false">IF(OR(AE24=0,Y24=""),"",IF(Y24&gt;0,"Yes","No"))</f>
        <v/>
      </c>
      <c r="AA24" s="13"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 hrs more than policy since commencement",IF(N(W24)&gt;O24*HoursPerDay+0.01,"CHECK - EH balance "&amp;ROUND(W24-O24*HoursPerDay,2)&amp;" hrs more than policy entitlement",IF(O24&gt;0,"OK - nothing to add",IF(AQ24="None",R24,"Not yet - first day on "&amp;TEXT(S24,"dd/mm/yyyy")))))))))</f>
        <v/>
      </c>
      <c r="AB24" s="14" t="str">
        <f aca="false">IF(OR(AE24=0,T24=""),"",AY24*HoursPerDay-T24)</f>
        <v/>
      </c>
      <c r="AC24" s="13" t="str">
        <f aca="false">IF(AE24=0,"",BA24)</f>
        <v/>
      </c>
      <c r="AD24" s="13"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3" t="n">
        <f aca="false">IF(OR(LEN($A24&amp;$B24)=0,$F24=""),0,1)</f>
        <v>0</v>
      </c>
      <c r="AF24" s="11" t="str">
        <f aca="false">IF(AE24=0,"",IF($J24&lt;&gt;"",$J24,IF(OR(CasualCounts="Yes",COUNT($G24:$I24)=0,COUNT($G24:$H24)=0),$F24,MIN($G24:$H24))))</f>
        <v/>
      </c>
      <c r="AG24" s="13" t="str">
        <f aca="false">IF(AE24=0,"",COUNT($G24:$I24))</f>
        <v/>
      </c>
      <c r="AH24" s="11" t="str">
        <f aca="false">IF(AE24=0,"",IFERROR(SMALL($G24:$I24,1),""))</f>
        <v/>
      </c>
      <c r="AI24" s="11" t="str">
        <f aca="false">IF(AE24=0,"",IFERROR(SMALL($G24:$I24,2),""))</f>
        <v/>
      </c>
      <c r="AJ24" s="11" t="str">
        <f aca="false">IF(AE24=0,"",IFERROR(SMALL($G24:$I24,3),""))</f>
        <v/>
      </c>
      <c r="AK24" s="13" t="str">
        <f aca="false">IF(AE24=0,"",IF(AH24="","",IF(AH24=$G24,"Part-Time",IF(AH24=$H24,"Full-Time","Casual"))))</f>
        <v/>
      </c>
      <c r="AL24" s="13" t="str">
        <f aca="false">IF(AE24=0,"",IF(AI24="","",IF(AI24=$G24,"Part-Time",IF(AI24=$H24,"Full-Time","Casual"))))</f>
        <v/>
      </c>
      <c r="AM24" s="13" t="str">
        <f aca="false">IF(AE24=0,"",IF(AJ24="","",IF(AJ24=$G24,"Part-Time",IF(AJ24=$H24,"Full-Time","Casual"))))</f>
        <v/>
      </c>
      <c r="AN24" s="13"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3" t="str">
        <f aca="false">IF(AE24=0,"",IF(AG24&lt;2,"",IF(OR(ISNUMBER(SEARCH("full",AL24)),UPPER(TRIM(AL24))="FT",UPPER(TRIM(AL24))="FTE"),"FT",IF(AND(OR(ISNUMBER(SEARCH("part",AL24)),UPPER(TRIM(AL24))="PT",UPPER(TRIM(AL24))="PTE"),OR($P24="",N($P24)&gt;=PT_MinHours)),"PT","None"))))</f>
        <v/>
      </c>
      <c r="AP24" s="13" t="str">
        <f aca="false">IF(AE24=0,"",IF(AG24&lt;3,"",IF(OR(ISNUMBER(SEARCH("full",AM24)),UPPER(TRIM(AM24))="FT",UPPER(TRIM(AM24))="FTE"),"FT",IF(AND(OR(ISNUMBER(SEARCH("part",AM24)),UPPER(TRIM(AM24))="PT",UPPER(TRIM(AM24))="PTE"),OR($P24="",N($P24)&gt;=PT_MinHours)),"PT","None"))))</f>
        <v/>
      </c>
      <c r="AQ24" s="13" t="str">
        <f aca="false">IF(AE24=0,"",IF(AND(AG24&gt;=3,AJ24&lt;=AsOfDate),AP24,IF(AND(AG24&gt;=2,AI24&lt;=AsOfDate),AO24,AN24)))</f>
        <v/>
      </c>
      <c r="AR24" s="13" t="str">
        <f aca="false">IF(AE24=0,"",IF(AsOfDate&lt;AF24,-1,12*(YEAR(AsOfDate)-YEAR(AF24))+MONTH(AsOfDate)-MONTH(AF24)-IF(DAY(AsOfDate)&lt;MIN(DAY(AF24),DAY(EOMONTH(AsOfDate,0))),1,0)))</f>
        <v/>
      </c>
      <c r="AS24" s="13" t="str">
        <f aca="false">IF(AE24=0,"",IF(OR(AG24&lt;2,AI24&gt;AsOfDate),AR24,IF((AI24-1)&lt;AF24,-1,12*(YEAR((AI24-1))-YEAR(AF24))+MONTH((AI24-1))-MONTH(AF24)-IF(DAY((AI24-1))&lt;MIN(DAY(AF24),DAY(EOMONTH((AI24-1),0))),1,0))))</f>
        <v/>
      </c>
      <c r="AT24" s="13" t="str">
        <f aca="false">IF(AE24=0,"",IF(OR(AG24&lt;3,AJ24&gt;AsOfDate),AR24,IF((AJ24-1)&lt;AF24,-1,12*(YEAR((AJ24-1))-YEAR(AF24))+MONTH((AJ24-1))-MONTH(AF24)-IF(DAY((AJ24-1))&lt;MIN(DAY(AF24),DAY(EOMONTH((AJ24-1),0))),1,0))))</f>
        <v/>
      </c>
      <c r="AU24" s="13" t="str">
        <f aca="false">IF(AE24=0,"",IF(PFYDate&lt;AF24,-1,12*(YEAR(PFYDate)-YEAR(AF24))+MONTH(PFYDate)-MONTH(AF24)-IF(DAY(PFYDate)&lt;MIN(DAY(AF24),DAY(EOMONTH(PFYDate,0))),1,0)))</f>
        <v/>
      </c>
      <c r="AV24" s="13" t="str">
        <f aca="false">IF(AE24=0,"",IF(OR(AG24&lt;2,AI24&gt;PFYDate),AU24,IF((AI24-1)&lt;AF24,-1,12*(YEAR((AI24-1))-YEAR(AF24))+MONTH((AI24-1))-MONTH(AF24)-IF(DAY((AI24-1))&lt;MIN(DAY(AF24),DAY(EOMONTH((AI24-1),0))),1,0))))</f>
        <v/>
      </c>
      <c r="AW24" s="13" t="str">
        <f aca="false">IF(AE24=0,"",IF(OR(AG24&lt;3,AJ24&gt;PFYDate),AU24,IF((AJ24-1)&lt;AF24,-1,12*(YEAR((AJ24-1))-YEAR(AF24))+MONTH((AJ24-1))-MONTH(AF24)-IF(DAY((AJ24-1))&lt;MIN(DAY(AF24),DAY(EOMONTH((AJ24-1),0))),1,0))))</f>
        <v/>
      </c>
      <c r="AX24" s="13"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3"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3" t="str">
        <f aca="false">IF(AE24=0,"",IF(AQ24="FT",IF(AR24&lt;FT_First,FT_First,IF(AR24&lt;FT_Y5,MIN(FT_Y5,FT_First+FT_Int1*(INT((AR24-FT_First)/FT_Int1)+1)),FT_Y5+12*INT((AR24-FT_Y5)/12)+FT_Int2*(INT(MOD(AR24-FT_Y5,12)/FT_Int2)+1))),IF(AQ24="PT",IF(AR24&lt;PT_First,PT_First,PT_First+PT_Int*(INT((AR24-PT_First)/PT_Int)+1)),"")))</f>
        <v/>
      </c>
      <c r="BA24" s="13" t="str">
        <f aca="false">IF(AE24=0,"",IF(NOT(LH_Ready),0,COUNTIFS(INDEX(LH_Data,0,LH_ColFirst),$A24,INDEX(LH_Data,0,LH_ColSur),$B24,INDEX(LH_Data,0,LH_ColCat),BonusCat)))</f>
        <v/>
      </c>
      <c r="BB24" s="13" t="str">
        <f aca="false">IF(AE24=0,"",IF(OR(NOT(LH_Ready),BA24=0),0,SUMPRODUCT(MAX((INDEX(LH_Data,0,LH_ColFirst)=$A24)*(INDEX(LH_Data,0,LH_ColSur)=$B24)*(INDEX(LH_Data,0,LH_ColCat)=BonusCat)*ROW(LH_Data)))))</f>
        <v/>
      </c>
      <c r="BC24" s="0" t="str">
        <f aca="false">IF(LEN($A24&amp;$B24)=0,"",$A24&amp;" "&amp;$B24)</f>
        <v/>
      </c>
    </row>
    <row r="25" customFormat="false" ht="15" hidden="false" customHeight="false" outlineLevel="0" collapsed="false">
      <c r="A25" s="9"/>
      <c r="B25" s="9"/>
      <c r="C25" s="9"/>
      <c r="D25" s="10"/>
      <c r="E25" s="11" t="str">
        <f aca="false">IF(OR(AE25=0,$D25=""),"",DATE(YEAR(AsOfDate)+IF(DATE(YEAR(AsOfDate),MONTH($D25),DAY($D25))&lt;=AsOfDate,1,0),MONTH($D25),DAY($D25)))</f>
        <v/>
      </c>
      <c r="F25" s="10"/>
      <c r="G25" s="10"/>
      <c r="H25" s="10"/>
      <c r="I25" s="10"/>
      <c r="J25" s="10"/>
      <c r="K25" s="11" t="str">
        <f aca="false">IF(AE25=0,"",DATE(YEAR(AsOfDate)+IF(DATE(YEAR(AsOfDate),MONTH(AF25),DAY(AF25))&lt;=AsOfDate,1,0),MONTH(AF25),DAY(AF25)))</f>
        <v/>
      </c>
      <c r="L25" s="12" t="str">
        <f aca="false">IF(AE25=0,"",ROUND((AsOfDate-AF25)/365.25,1))</f>
        <v/>
      </c>
      <c r="M25" s="13" t="str">
        <f aca="false">IF(AE25=0,"",IF(AsOfDate&lt;AF25,"-",DATEDIF(AF25,AsOfDate,"y")&amp;"y "&amp;DATEDIF(AF25,AsOfDate,"ym")&amp;"m "&amp;DATEDIF(AF25,AsOfDate,"md")&amp;"d"))</f>
        <v/>
      </c>
      <c r="N25" s="14" t="str">
        <f aca="false">IF(AE25=0,"",O25*HoursPerDay)</f>
        <v/>
      </c>
      <c r="O25" s="14" t="str">
        <f aca="false">IF(AE25=0,"",AX25)</f>
        <v/>
      </c>
      <c r="P25" s="15"/>
      <c r="Q25" s="13"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13"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1" t="str">
        <f aca="false">IF(AE25=0,"",IF(AQ25="None","",EDATE(AF25,AZ25)))</f>
        <v/>
      </c>
      <c r="T25" s="14" t="str">
        <f aca="false">IF(AE25=0,"",IF(NOT(LH_Ready),"",IF(AF25&gt;PFYDate,0,IF(LH_ColPeriod=0,W25-U25+V25,SUMIFS(INDEX(LH_Data,0,LH_ColAcc),INDEX(LH_Data,0,LH_ColFirst),$A25,INDEX(LH_Data,0,LH_ColSur),$B25,INDEX(LH_Data,0,LH_ColCat),BonusCat,INDEX(LH_Data,0,LH_ColPeriod),LH_OpenLabel)*UnitFactor))))</f>
        <v/>
      </c>
      <c r="U25" s="14" t="str">
        <f aca="false">IF(AE25=0,"",IF(NOT(LH_Ready),"",SUMIFS(INDEX(LH_Data,0,LH_ColAcc),INDEX(LH_Data,0,LH_ColFirst),$A25,INDEX(LH_Data,0,LH_ColSur),$B25,INDEX(LH_Data,0,LH_ColCat),BonusCat,INDEX(LH_Data,0,LH_ColStart),"&gt;="&amp;AF25)*UnitFactor))</f>
        <v/>
      </c>
      <c r="V25" s="14" t="str">
        <f aca="false">IF(AE25=0,"",IF(NOT(LH_Ready),"",SUMIFS(INDEX(LH_Data,0,LH_ColTaken),INDEX(LH_Data,0,LH_ColFirst),$A25,INDEX(LH_Data,0,LH_ColSur),$B25,INDEX(LH_Data,0,LH_ColCat),BonusCat,INDEX(LH_Data,0,LH_ColStart),"&gt;="&amp;AF25)*UnitFactor))</f>
        <v/>
      </c>
      <c r="W25" s="14" t="str">
        <f aca="false">IF(AE25=0,"",IF(NOT(LH_Ready),"",IF(BB25=0,0,INDEX(INDEX(LH_Data,0,LH_ColClose),BB25-1)*UnitFactor)))</f>
        <v/>
      </c>
      <c r="X25" s="14" t="str">
        <f aca="false">IF(AE25=0,"",(AX25-AY25)*HoursPerDay)</f>
        <v/>
      </c>
      <c r="Y25" s="14" t="str">
        <f aca="false">IF(AE25=0,"",IF(NOT(LH_Ready),"",IF(BA25=0,N25,IF(PFYDate&lt;$F25,N25-N(T25)-N(U25),X25-N(U25)))))</f>
        <v/>
      </c>
      <c r="Z25" s="13" t="str">
        <f aca="false">IF(OR(AE25=0,Y25=""),"",IF(Y25&gt;0,"Yes","No"))</f>
        <v/>
      </c>
      <c r="AA25" s="13"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 hrs more than policy since commencement",IF(N(W25)&gt;O25*HoursPerDay+0.01,"CHECK - EH balance "&amp;ROUND(W25-O25*HoursPerDay,2)&amp;" hrs more than policy entitlement",IF(O25&gt;0,"OK - nothing to add",IF(AQ25="None",R25,"Not yet - first day on "&amp;TEXT(S25,"dd/mm/yyyy")))))))))</f>
        <v/>
      </c>
      <c r="AB25" s="14" t="str">
        <f aca="false">IF(OR(AE25=0,T25=""),"",AY25*HoursPerDay-T25)</f>
        <v/>
      </c>
      <c r="AC25" s="13" t="str">
        <f aca="false">IF(AE25=0,"",BA25)</f>
        <v/>
      </c>
      <c r="AD25" s="13"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3" t="n">
        <f aca="false">IF(OR(LEN($A25&amp;$B25)=0,$F25=""),0,1)</f>
        <v>0</v>
      </c>
      <c r="AF25" s="11" t="str">
        <f aca="false">IF(AE25=0,"",IF($J25&lt;&gt;"",$J25,IF(OR(CasualCounts="Yes",COUNT($G25:$I25)=0,COUNT($G25:$H25)=0),$F25,MIN($G25:$H25))))</f>
        <v/>
      </c>
      <c r="AG25" s="13" t="str">
        <f aca="false">IF(AE25=0,"",COUNT($G25:$I25))</f>
        <v/>
      </c>
      <c r="AH25" s="11" t="str">
        <f aca="false">IF(AE25=0,"",IFERROR(SMALL($G25:$I25,1),""))</f>
        <v/>
      </c>
      <c r="AI25" s="11" t="str">
        <f aca="false">IF(AE25=0,"",IFERROR(SMALL($G25:$I25,2),""))</f>
        <v/>
      </c>
      <c r="AJ25" s="11" t="str">
        <f aca="false">IF(AE25=0,"",IFERROR(SMALL($G25:$I25,3),""))</f>
        <v/>
      </c>
      <c r="AK25" s="13" t="str">
        <f aca="false">IF(AE25=0,"",IF(AH25="","",IF(AH25=$G25,"Part-Time",IF(AH25=$H25,"Full-Time","Casual"))))</f>
        <v/>
      </c>
      <c r="AL25" s="13" t="str">
        <f aca="false">IF(AE25=0,"",IF(AI25="","",IF(AI25=$G25,"Part-Time",IF(AI25=$H25,"Full-Time","Casual"))))</f>
        <v/>
      </c>
      <c r="AM25" s="13" t="str">
        <f aca="false">IF(AE25=0,"",IF(AJ25="","",IF(AJ25=$G25,"Part-Time",IF(AJ25=$H25,"Full-Time","Casual"))))</f>
        <v/>
      </c>
      <c r="AN25" s="13"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3" t="str">
        <f aca="false">IF(AE25=0,"",IF(AG25&lt;2,"",IF(OR(ISNUMBER(SEARCH("full",AL25)),UPPER(TRIM(AL25))="FT",UPPER(TRIM(AL25))="FTE"),"FT",IF(AND(OR(ISNUMBER(SEARCH("part",AL25)),UPPER(TRIM(AL25))="PT",UPPER(TRIM(AL25))="PTE"),OR($P25="",N($P25)&gt;=PT_MinHours)),"PT","None"))))</f>
        <v/>
      </c>
      <c r="AP25" s="13" t="str">
        <f aca="false">IF(AE25=0,"",IF(AG25&lt;3,"",IF(OR(ISNUMBER(SEARCH("full",AM25)),UPPER(TRIM(AM25))="FT",UPPER(TRIM(AM25))="FTE"),"FT",IF(AND(OR(ISNUMBER(SEARCH("part",AM25)),UPPER(TRIM(AM25))="PT",UPPER(TRIM(AM25))="PTE"),OR($P25="",N($P25)&gt;=PT_MinHours)),"PT","None"))))</f>
        <v/>
      </c>
      <c r="AQ25" s="13" t="str">
        <f aca="false">IF(AE25=0,"",IF(AND(AG25&gt;=3,AJ25&lt;=AsOfDate),AP25,IF(AND(AG25&gt;=2,AI25&lt;=AsOfDate),AO25,AN25)))</f>
        <v/>
      </c>
      <c r="AR25" s="13" t="str">
        <f aca="false">IF(AE25=0,"",IF(AsOfDate&lt;AF25,-1,12*(YEAR(AsOfDate)-YEAR(AF25))+MONTH(AsOfDate)-MONTH(AF25)-IF(DAY(AsOfDate)&lt;MIN(DAY(AF25),DAY(EOMONTH(AsOfDate,0))),1,0)))</f>
        <v/>
      </c>
      <c r="AS25" s="13" t="str">
        <f aca="false">IF(AE25=0,"",IF(OR(AG25&lt;2,AI25&gt;AsOfDate),AR25,IF((AI25-1)&lt;AF25,-1,12*(YEAR((AI25-1))-YEAR(AF25))+MONTH((AI25-1))-MONTH(AF25)-IF(DAY((AI25-1))&lt;MIN(DAY(AF25),DAY(EOMONTH((AI25-1),0))),1,0))))</f>
        <v/>
      </c>
      <c r="AT25" s="13" t="str">
        <f aca="false">IF(AE25=0,"",IF(OR(AG25&lt;3,AJ25&gt;AsOfDate),AR25,IF((AJ25-1)&lt;AF25,-1,12*(YEAR((AJ25-1))-YEAR(AF25))+MONTH((AJ25-1))-MONTH(AF25)-IF(DAY((AJ25-1))&lt;MIN(DAY(AF25),DAY(EOMONTH((AJ25-1),0))),1,0))))</f>
        <v/>
      </c>
      <c r="AU25" s="13" t="str">
        <f aca="false">IF(AE25=0,"",IF(PFYDate&lt;AF25,-1,12*(YEAR(PFYDate)-YEAR(AF25))+MONTH(PFYDate)-MONTH(AF25)-IF(DAY(PFYDate)&lt;MIN(DAY(AF25),DAY(EOMONTH(PFYDate,0))),1,0)))</f>
        <v/>
      </c>
      <c r="AV25" s="13" t="str">
        <f aca="false">IF(AE25=0,"",IF(OR(AG25&lt;2,AI25&gt;PFYDate),AU25,IF((AI25-1)&lt;AF25,-1,12*(YEAR((AI25-1))-YEAR(AF25))+MONTH((AI25-1))-MONTH(AF25)-IF(DAY((AI25-1))&lt;MIN(DAY(AF25),DAY(EOMONTH((AI25-1),0))),1,0))))</f>
        <v/>
      </c>
      <c r="AW25" s="13" t="str">
        <f aca="false">IF(AE25=0,"",IF(OR(AG25&lt;3,AJ25&gt;PFYDate),AU25,IF((AJ25-1)&lt;AF25,-1,12*(YEAR((AJ25-1))-YEAR(AF25))+MONTH((AJ25-1))-MONTH(AF25)-IF(DAY((AJ25-1))&lt;MIN(DAY(AF25),DAY(EOMONTH((AJ25-1),0))),1,0))))</f>
        <v/>
      </c>
      <c r="AX25" s="13"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3"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3" t="str">
        <f aca="false">IF(AE25=0,"",IF(AQ25="FT",IF(AR25&lt;FT_First,FT_First,IF(AR25&lt;FT_Y5,MIN(FT_Y5,FT_First+FT_Int1*(INT((AR25-FT_First)/FT_Int1)+1)),FT_Y5+12*INT((AR25-FT_Y5)/12)+FT_Int2*(INT(MOD(AR25-FT_Y5,12)/FT_Int2)+1))),IF(AQ25="PT",IF(AR25&lt;PT_First,PT_First,PT_First+PT_Int*(INT((AR25-PT_First)/PT_Int)+1)),"")))</f>
        <v/>
      </c>
      <c r="BA25" s="13" t="str">
        <f aca="false">IF(AE25=0,"",IF(NOT(LH_Ready),0,COUNTIFS(INDEX(LH_Data,0,LH_ColFirst),$A25,INDEX(LH_Data,0,LH_ColSur),$B25,INDEX(LH_Data,0,LH_ColCat),BonusCat)))</f>
        <v/>
      </c>
      <c r="BB25" s="13" t="str">
        <f aca="false">IF(AE25=0,"",IF(OR(NOT(LH_Ready),BA25=0),0,SUMPRODUCT(MAX((INDEX(LH_Data,0,LH_ColFirst)=$A25)*(INDEX(LH_Data,0,LH_ColSur)=$B25)*(INDEX(LH_Data,0,LH_ColCat)=BonusCat)*ROW(LH_Data)))))</f>
        <v/>
      </c>
      <c r="BC25" s="0" t="str">
        <f aca="false">IF(LEN($A25&amp;$B25)=0,"",$A25&amp;" "&amp;$B25)</f>
        <v/>
      </c>
    </row>
    <row r="26" customFormat="false" ht="15" hidden="false" customHeight="false" outlineLevel="0" collapsed="false">
      <c r="A26" s="9"/>
      <c r="B26" s="9"/>
      <c r="C26" s="9"/>
      <c r="D26" s="10"/>
      <c r="E26" s="11" t="str">
        <f aca="false">IF(OR(AE26=0,$D26=""),"",DATE(YEAR(AsOfDate)+IF(DATE(YEAR(AsOfDate),MONTH($D26),DAY($D26))&lt;=AsOfDate,1,0),MONTH($D26),DAY($D26)))</f>
        <v/>
      </c>
      <c r="F26" s="10"/>
      <c r="G26" s="10"/>
      <c r="H26" s="10"/>
      <c r="I26" s="10"/>
      <c r="J26" s="10"/>
      <c r="K26" s="11" t="str">
        <f aca="false">IF(AE26=0,"",DATE(YEAR(AsOfDate)+IF(DATE(YEAR(AsOfDate),MONTH(AF26),DAY(AF26))&lt;=AsOfDate,1,0),MONTH(AF26),DAY(AF26)))</f>
        <v/>
      </c>
      <c r="L26" s="12" t="str">
        <f aca="false">IF(AE26=0,"",ROUND((AsOfDate-AF26)/365.25,1))</f>
        <v/>
      </c>
      <c r="M26" s="13" t="str">
        <f aca="false">IF(AE26=0,"",IF(AsOfDate&lt;AF26,"-",DATEDIF(AF26,AsOfDate,"y")&amp;"y "&amp;DATEDIF(AF26,AsOfDate,"ym")&amp;"m "&amp;DATEDIF(AF26,AsOfDate,"md")&amp;"d"))</f>
        <v/>
      </c>
      <c r="N26" s="14" t="str">
        <f aca="false">IF(AE26=0,"",O26*HoursPerDay)</f>
        <v/>
      </c>
      <c r="O26" s="14" t="str">
        <f aca="false">IF(AE26=0,"",AX26)</f>
        <v/>
      </c>
      <c r="P26" s="15"/>
      <c r="Q26" s="13"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13"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1" t="str">
        <f aca="false">IF(AE26=0,"",IF(AQ26="None","",EDATE(AF26,AZ26)))</f>
        <v/>
      </c>
      <c r="T26" s="14" t="str">
        <f aca="false">IF(AE26=0,"",IF(NOT(LH_Ready),"",IF(AF26&gt;PFYDate,0,IF(LH_ColPeriod=0,W26-U26+V26,SUMIFS(INDEX(LH_Data,0,LH_ColAcc),INDEX(LH_Data,0,LH_ColFirst),$A26,INDEX(LH_Data,0,LH_ColSur),$B26,INDEX(LH_Data,0,LH_ColCat),BonusCat,INDEX(LH_Data,0,LH_ColPeriod),LH_OpenLabel)*UnitFactor))))</f>
        <v/>
      </c>
      <c r="U26" s="14" t="str">
        <f aca="false">IF(AE26=0,"",IF(NOT(LH_Ready),"",SUMIFS(INDEX(LH_Data,0,LH_ColAcc),INDEX(LH_Data,0,LH_ColFirst),$A26,INDEX(LH_Data,0,LH_ColSur),$B26,INDEX(LH_Data,0,LH_ColCat),BonusCat,INDEX(LH_Data,0,LH_ColStart),"&gt;="&amp;AF26)*UnitFactor))</f>
        <v/>
      </c>
      <c r="V26" s="14" t="str">
        <f aca="false">IF(AE26=0,"",IF(NOT(LH_Ready),"",SUMIFS(INDEX(LH_Data,0,LH_ColTaken),INDEX(LH_Data,0,LH_ColFirst),$A26,INDEX(LH_Data,0,LH_ColSur),$B26,INDEX(LH_Data,0,LH_ColCat),BonusCat,INDEX(LH_Data,0,LH_ColStart),"&gt;="&amp;AF26)*UnitFactor))</f>
        <v/>
      </c>
      <c r="W26" s="14" t="str">
        <f aca="false">IF(AE26=0,"",IF(NOT(LH_Ready),"",IF(BB26=0,0,INDEX(INDEX(LH_Data,0,LH_ColClose),BB26-1)*UnitFactor)))</f>
        <v/>
      </c>
      <c r="X26" s="14" t="str">
        <f aca="false">IF(AE26=0,"",(AX26-AY26)*HoursPerDay)</f>
        <v/>
      </c>
      <c r="Y26" s="14" t="str">
        <f aca="false">IF(AE26=0,"",IF(NOT(LH_Ready),"",IF(BA26=0,N26,IF(PFYDate&lt;$F26,N26-N(T26)-N(U26),X26-N(U26)))))</f>
        <v/>
      </c>
      <c r="Z26" s="13" t="str">
        <f aca="false">IF(OR(AE26=0,Y26=""),"",IF(Y26&gt;0,"Yes","No"))</f>
        <v/>
      </c>
      <c r="AA26" s="13"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 hrs more than policy since commencement",IF(N(W26)&gt;O26*HoursPerDay+0.01,"CHECK - EH balance "&amp;ROUND(W26-O26*HoursPerDay,2)&amp;" hrs more than policy entitlement",IF(O26&gt;0,"OK - nothing to add",IF(AQ26="None",R26,"Not yet - first day on "&amp;TEXT(S26,"dd/mm/yyyy")))))))))</f>
        <v/>
      </c>
      <c r="AB26" s="14" t="str">
        <f aca="false">IF(OR(AE26=0,T26=""),"",AY26*HoursPerDay-T26)</f>
        <v/>
      </c>
      <c r="AC26" s="13" t="str">
        <f aca="false">IF(AE26=0,"",BA26)</f>
        <v/>
      </c>
      <c r="AD26" s="13"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3" t="n">
        <f aca="false">IF(OR(LEN($A26&amp;$B26)=0,$F26=""),0,1)</f>
        <v>0</v>
      </c>
      <c r="AF26" s="11" t="str">
        <f aca="false">IF(AE26=0,"",IF($J26&lt;&gt;"",$J26,IF(OR(CasualCounts="Yes",COUNT($G26:$I26)=0,COUNT($G26:$H26)=0),$F26,MIN($G26:$H26))))</f>
        <v/>
      </c>
      <c r="AG26" s="13" t="str">
        <f aca="false">IF(AE26=0,"",COUNT($G26:$I26))</f>
        <v/>
      </c>
      <c r="AH26" s="11" t="str">
        <f aca="false">IF(AE26=0,"",IFERROR(SMALL($G26:$I26,1),""))</f>
        <v/>
      </c>
      <c r="AI26" s="11" t="str">
        <f aca="false">IF(AE26=0,"",IFERROR(SMALL($G26:$I26,2),""))</f>
        <v/>
      </c>
      <c r="AJ26" s="11" t="str">
        <f aca="false">IF(AE26=0,"",IFERROR(SMALL($G26:$I26,3),""))</f>
        <v/>
      </c>
      <c r="AK26" s="13" t="str">
        <f aca="false">IF(AE26=0,"",IF(AH26="","",IF(AH26=$G26,"Part-Time",IF(AH26=$H26,"Full-Time","Casual"))))</f>
        <v/>
      </c>
      <c r="AL26" s="13" t="str">
        <f aca="false">IF(AE26=0,"",IF(AI26="","",IF(AI26=$G26,"Part-Time",IF(AI26=$H26,"Full-Time","Casual"))))</f>
        <v/>
      </c>
      <c r="AM26" s="13" t="str">
        <f aca="false">IF(AE26=0,"",IF(AJ26="","",IF(AJ26=$G26,"Part-Time",IF(AJ26=$H26,"Full-Time","Casual"))))</f>
        <v/>
      </c>
      <c r="AN26" s="13"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3" t="str">
        <f aca="false">IF(AE26=0,"",IF(AG26&lt;2,"",IF(OR(ISNUMBER(SEARCH("full",AL26)),UPPER(TRIM(AL26))="FT",UPPER(TRIM(AL26))="FTE"),"FT",IF(AND(OR(ISNUMBER(SEARCH("part",AL26)),UPPER(TRIM(AL26))="PT",UPPER(TRIM(AL26))="PTE"),OR($P26="",N($P26)&gt;=PT_MinHours)),"PT","None"))))</f>
        <v/>
      </c>
      <c r="AP26" s="13" t="str">
        <f aca="false">IF(AE26=0,"",IF(AG26&lt;3,"",IF(OR(ISNUMBER(SEARCH("full",AM26)),UPPER(TRIM(AM26))="FT",UPPER(TRIM(AM26))="FTE"),"FT",IF(AND(OR(ISNUMBER(SEARCH("part",AM26)),UPPER(TRIM(AM26))="PT",UPPER(TRIM(AM26))="PTE"),OR($P26="",N($P26)&gt;=PT_MinHours)),"PT","None"))))</f>
        <v/>
      </c>
      <c r="AQ26" s="13" t="str">
        <f aca="false">IF(AE26=0,"",IF(AND(AG26&gt;=3,AJ26&lt;=AsOfDate),AP26,IF(AND(AG26&gt;=2,AI26&lt;=AsOfDate),AO26,AN26)))</f>
        <v/>
      </c>
      <c r="AR26" s="13" t="str">
        <f aca="false">IF(AE26=0,"",IF(AsOfDate&lt;AF26,-1,12*(YEAR(AsOfDate)-YEAR(AF26))+MONTH(AsOfDate)-MONTH(AF26)-IF(DAY(AsOfDate)&lt;MIN(DAY(AF26),DAY(EOMONTH(AsOfDate,0))),1,0)))</f>
        <v/>
      </c>
      <c r="AS26" s="13" t="str">
        <f aca="false">IF(AE26=0,"",IF(OR(AG26&lt;2,AI26&gt;AsOfDate),AR26,IF((AI26-1)&lt;AF26,-1,12*(YEAR((AI26-1))-YEAR(AF26))+MONTH((AI26-1))-MONTH(AF26)-IF(DAY((AI26-1))&lt;MIN(DAY(AF26),DAY(EOMONTH((AI26-1),0))),1,0))))</f>
        <v/>
      </c>
      <c r="AT26" s="13" t="str">
        <f aca="false">IF(AE26=0,"",IF(OR(AG26&lt;3,AJ26&gt;AsOfDate),AR26,IF((AJ26-1)&lt;AF26,-1,12*(YEAR((AJ26-1))-YEAR(AF26))+MONTH((AJ26-1))-MONTH(AF26)-IF(DAY((AJ26-1))&lt;MIN(DAY(AF26),DAY(EOMONTH((AJ26-1),0))),1,0))))</f>
        <v/>
      </c>
      <c r="AU26" s="13" t="str">
        <f aca="false">IF(AE26=0,"",IF(PFYDate&lt;AF26,-1,12*(YEAR(PFYDate)-YEAR(AF26))+MONTH(PFYDate)-MONTH(AF26)-IF(DAY(PFYDate)&lt;MIN(DAY(AF26),DAY(EOMONTH(PFYDate,0))),1,0)))</f>
        <v/>
      </c>
      <c r="AV26" s="13" t="str">
        <f aca="false">IF(AE26=0,"",IF(OR(AG26&lt;2,AI26&gt;PFYDate),AU26,IF((AI26-1)&lt;AF26,-1,12*(YEAR((AI26-1))-YEAR(AF26))+MONTH((AI26-1))-MONTH(AF26)-IF(DAY((AI26-1))&lt;MIN(DAY(AF26),DAY(EOMONTH((AI26-1),0))),1,0))))</f>
        <v/>
      </c>
      <c r="AW26" s="13" t="str">
        <f aca="false">IF(AE26=0,"",IF(OR(AG26&lt;3,AJ26&gt;PFYDate),AU26,IF((AJ26-1)&lt;AF26,-1,12*(YEAR((AJ26-1))-YEAR(AF26))+MONTH((AJ26-1))-MONTH(AF26)-IF(DAY((AJ26-1))&lt;MIN(DAY(AF26),DAY(EOMONTH((AJ26-1),0))),1,0))))</f>
        <v/>
      </c>
      <c r="AX26" s="13"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3"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3" t="str">
        <f aca="false">IF(AE26=0,"",IF(AQ26="FT",IF(AR26&lt;FT_First,FT_First,IF(AR26&lt;FT_Y5,MIN(FT_Y5,FT_First+FT_Int1*(INT((AR26-FT_First)/FT_Int1)+1)),FT_Y5+12*INT((AR26-FT_Y5)/12)+FT_Int2*(INT(MOD(AR26-FT_Y5,12)/FT_Int2)+1))),IF(AQ26="PT",IF(AR26&lt;PT_First,PT_First,PT_First+PT_Int*(INT((AR26-PT_First)/PT_Int)+1)),"")))</f>
        <v/>
      </c>
      <c r="BA26" s="13" t="str">
        <f aca="false">IF(AE26=0,"",IF(NOT(LH_Ready),0,COUNTIFS(INDEX(LH_Data,0,LH_ColFirst),$A26,INDEX(LH_Data,0,LH_ColSur),$B26,INDEX(LH_Data,0,LH_ColCat),BonusCat)))</f>
        <v/>
      </c>
      <c r="BB26" s="13" t="str">
        <f aca="false">IF(AE26=0,"",IF(OR(NOT(LH_Ready),BA26=0),0,SUMPRODUCT(MAX((INDEX(LH_Data,0,LH_ColFirst)=$A26)*(INDEX(LH_Data,0,LH_ColSur)=$B26)*(INDEX(LH_Data,0,LH_ColCat)=BonusCat)*ROW(LH_Data)))))</f>
        <v/>
      </c>
      <c r="BC26" s="0" t="str">
        <f aca="false">IF(LEN($A26&amp;$B26)=0,"",$A26&amp;" "&amp;$B26)</f>
        <v/>
      </c>
    </row>
    <row r="27" customFormat="false" ht="15" hidden="false" customHeight="false" outlineLevel="0" collapsed="false">
      <c r="A27" s="9"/>
      <c r="B27" s="9"/>
      <c r="C27" s="9"/>
      <c r="D27" s="10"/>
      <c r="E27" s="11" t="str">
        <f aca="false">IF(OR(AE27=0,$D27=""),"",DATE(YEAR(AsOfDate)+IF(DATE(YEAR(AsOfDate),MONTH($D27),DAY($D27))&lt;=AsOfDate,1,0),MONTH($D27),DAY($D27)))</f>
        <v/>
      </c>
      <c r="F27" s="10"/>
      <c r="G27" s="10"/>
      <c r="H27" s="10"/>
      <c r="I27" s="10"/>
      <c r="J27" s="10"/>
      <c r="K27" s="11" t="str">
        <f aca="false">IF(AE27=0,"",DATE(YEAR(AsOfDate)+IF(DATE(YEAR(AsOfDate),MONTH(AF27),DAY(AF27))&lt;=AsOfDate,1,0),MONTH(AF27),DAY(AF27)))</f>
        <v/>
      </c>
      <c r="L27" s="12" t="str">
        <f aca="false">IF(AE27=0,"",ROUND((AsOfDate-AF27)/365.25,1))</f>
        <v/>
      </c>
      <c r="M27" s="13" t="str">
        <f aca="false">IF(AE27=0,"",IF(AsOfDate&lt;AF27,"-",DATEDIF(AF27,AsOfDate,"y")&amp;"y "&amp;DATEDIF(AF27,AsOfDate,"ym")&amp;"m "&amp;DATEDIF(AF27,AsOfDate,"md")&amp;"d"))</f>
        <v/>
      </c>
      <c r="N27" s="14" t="str">
        <f aca="false">IF(AE27=0,"",O27*HoursPerDay)</f>
        <v/>
      </c>
      <c r="O27" s="14" t="str">
        <f aca="false">IF(AE27=0,"",AX27)</f>
        <v/>
      </c>
      <c r="P27" s="15"/>
      <c r="Q27" s="13"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13"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1" t="str">
        <f aca="false">IF(AE27=0,"",IF(AQ27="None","",EDATE(AF27,AZ27)))</f>
        <v/>
      </c>
      <c r="T27" s="14" t="str">
        <f aca="false">IF(AE27=0,"",IF(NOT(LH_Ready),"",IF(AF27&gt;PFYDate,0,IF(LH_ColPeriod=0,W27-U27+V27,SUMIFS(INDEX(LH_Data,0,LH_ColAcc),INDEX(LH_Data,0,LH_ColFirst),$A27,INDEX(LH_Data,0,LH_ColSur),$B27,INDEX(LH_Data,0,LH_ColCat),BonusCat,INDEX(LH_Data,0,LH_ColPeriod),LH_OpenLabel)*UnitFactor))))</f>
        <v/>
      </c>
      <c r="U27" s="14" t="str">
        <f aca="false">IF(AE27=0,"",IF(NOT(LH_Ready),"",SUMIFS(INDEX(LH_Data,0,LH_ColAcc),INDEX(LH_Data,0,LH_ColFirst),$A27,INDEX(LH_Data,0,LH_ColSur),$B27,INDEX(LH_Data,0,LH_ColCat),BonusCat,INDEX(LH_Data,0,LH_ColStart),"&gt;="&amp;AF27)*UnitFactor))</f>
        <v/>
      </c>
      <c r="V27" s="14" t="str">
        <f aca="false">IF(AE27=0,"",IF(NOT(LH_Ready),"",SUMIFS(INDEX(LH_Data,0,LH_ColTaken),INDEX(LH_Data,0,LH_ColFirst),$A27,INDEX(LH_Data,0,LH_ColSur),$B27,INDEX(LH_Data,0,LH_ColCat),BonusCat,INDEX(LH_Data,0,LH_ColStart),"&gt;="&amp;AF27)*UnitFactor))</f>
        <v/>
      </c>
      <c r="W27" s="14" t="str">
        <f aca="false">IF(AE27=0,"",IF(NOT(LH_Ready),"",IF(BB27=0,0,INDEX(INDEX(LH_Data,0,LH_ColClose),BB27-1)*UnitFactor)))</f>
        <v/>
      </c>
      <c r="X27" s="14" t="str">
        <f aca="false">IF(AE27=0,"",(AX27-AY27)*HoursPerDay)</f>
        <v/>
      </c>
      <c r="Y27" s="14" t="str">
        <f aca="false">IF(AE27=0,"",IF(NOT(LH_Ready),"",IF(BA27=0,N27,IF(PFYDate&lt;$F27,N27-N(T27)-N(U27),X27-N(U27)))))</f>
        <v/>
      </c>
      <c r="Z27" s="13" t="str">
        <f aca="false">IF(OR(AE27=0,Y27=""),"",IF(Y27&gt;0,"Yes","No"))</f>
        <v/>
      </c>
      <c r="AA27" s="13"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 hrs more than policy since commencement",IF(N(W27)&gt;O27*HoursPerDay+0.01,"CHECK - EH balance "&amp;ROUND(W27-O27*HoursPerDay,2)&amp;" hrs more than policy entitlement",IF(O27&gt;0,"OK - nothing to add",IF(AQ27="None",R27,"Not yet - first day on "&amp;TEXT(S27,"dd/mm/yyyy")))))))))</f>
        <v/>
      </c>
      <c r="AB27" s="14" t="str">
        <f aca="false">IF(OR(AE27=0,T27=""),"",AY27*HoursPerDay-T27)</f>
        <v/>
      </c>
      <c r="AC27" s="13" t="str">
        <f aca="false">IF(AE27=0,"",BA27)</f>
        <v/>
      </c>
      <c r="AD27" s="13"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3" t="n">
        <f aca="false">IF(OR(LEN($A27&amp;$B27)=0,$F27=""),0,1)</f>
        <v>0</v>
      </c>
      <c r="AF27" s="11" t="str">
        <f aca="false">IF(AE27=0,"",IF($J27&lt;&gt;"",$J27,IF(OR(CasualCounts="Yes",COUNT($G27:$I27)=0,COUNT($G27:$H27)=0),$F27,MIN($G27:$H27))))</f>
        <v/>
      </c>
      <c r="AG27" s="13" t="str">
        <f aca="false">IF(AE27=0,"",COUNT($G27:$I27))</f>
        <v/>
      </c>
      <c r="AH27" s="11" t="str">
        <f aca="false">IF(AE27=0,"",IFERROR(SMALL($G27:$I27,1),""))</f>
        <v/>
      </c>
      <c r="AI27" s="11" t="str">
        <f aca="false">IF(AE27=0,"",IFERROR(SMALL($G27:$I27,2),""))</f>
        <v/>
      </c>
      <c r="AJ27" s="11" t="str">
        <f aca="false">IF(AE27=0,"",IFERROR(SMALL($G27:$I27,3),""))</f>
        <v/>
      </c>
      <c r="AK27" s="13" t="str">
        <f aca="false">IF(AE27=0,"",IF(AH27="","",IF(AH27=$G27,"Part-Time",IF(AH27=$H27,"Full-Time","Casual"))))</f>
        <v/>
      </c>
      <c r="AL27" s="13" t="str">
        <f aca="false">IF(AE27=0,"",IF(AI27="","",IF(AI27=$G27,"Part-Time",IF(AI27=$H27,"Full-Time","Casual"))))</f>
        <v/>
      </c>
      <c r="AM27" s="13" t="str">
        <f aca="false">IF(AE27=0,"",IF(AJ27="","",IF(AJ27=$G27,"Part-Time",IF(AJ27=$H27,"Full-Time","Casual"))))</f>
        <v/>
      </c>
      <c r="AN27" s="13"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3" t="str">
        <f aca="false">IF(AE27=0,"",IF(AG27&lt;2,"",IF(OR(ISNUMBER(SEARCH("full",AL27)),UPPER(TRIM(AL27))="FT",UPPER(TRIM(AL27))="FTE"),"FT",IF(AND(OR(ISNUMBER(SEARCH("part",AL27)),UPPER(TRIM(AL27))="PT",UPPER(TRIM(AL27))="PTE"),OR($P27="",N($P27)&gt;=PT_MinHours)),"PT","None"))))</f>
        <v/>
      </c>
      <c r="AP27" s="13" t="str">
        <f aca="false">IF(AE27=0,"",IF(AG27&lt;3,"",IF(OR(ISNUMBER(SEARCH("full",AM27)),UPPER(TRIM(AM27))="FT",UPPER(TRIM(AM27))="FTE"),"FT",IF(AND(OR(ISNUMBER(SEARCH("part",AM27)),UPPER(TRIM(AM27))="PT",UPPER(TRIM(AM27))="PTE"),OR($P27="",N($P27)&gt;=PT_MinHours)),"PT","None"))))</f>
        <v/>
      </c>
      <c r="AQ27" s="13" t="str">
        <f aca="false">IF(AE27=0,"",IF(AND(AG27&gt;=3,AJ27&lt;=AsOfDate),AP27,IF(AND(AG27&gt;=2,AI27&lt;=AsOfDate),AO27,AN27)))</f>
        <v/>
      </c>
      <c r="AR27" s="13" t="str">
        <f aca="false">IF(AE27=0,"",IF(AsOfDate&lt;AF27,-1,12*(YEAR(AsOfDate)-YEAR(AF27))+MONTH(AsOfDate)-MONTH(AF27)-IF(DAY(AsOfDate)&lt;MIN(DAY(AF27),DAY(EOMONTH(AsOfDate,0))),1,0)))</f>
        <v/>
      </c>
      <c r="AS27" s="13" t="str">
        <f aca="false">IF(AE27=0,"",IF(OR(AG27&lt;2,AI27&gt;AsOfDate),AR27,IF((AI27-1)&lt;AF27,-1,12*(YEAR((AI27-1))-YEAR(AF27))+MONTH((AI27-1))-MONTH(AF27)-IF(DAY((AI27-1))&lt;MIN(DAY(AF27),DAY(EOMONTH((AI27-1),0))),1,0))))</f>
        <v/>
      </c>
      <c r="AT27" s="13" t="str">
        <f aca="false">IF(AE27=0,"",IF(OR(AG27&lt;3,AJ27&gt;AsOfDate),AR27,IF((AJ27-1)&lt;AF27,-1,12*(YEAR((AJ27-1))-YEAR(AF27))+MONTH((AJ27-1))-MONTH(AF27)-IF(DAY((AJ27-1))&lt;MIN(DAY(AF27),DAY(EOMONTH((AJ27-1),0))),1,0))))</f>
        <v/>
      </c>
      <c r="AU27" s="13" t="str">
        <f aca="false">IF(AE27=0,"",IF(PFYDate&lt;AF27,-1,12*(YEAR(PFYDate)-YEAR(AF27))+MONTH(PFYDate)-MONTH(AF27)-IF(DAY(PFYDate)&lt;MIN(DAY(AF27),DAY(EOMONTH(PFYDate,0))),1,0)))</f>
        <v/>
      </c>
      <c r="AV27" s="13" t="str">
        <f aca="false">IF(AE27=0,"",IF(OR(AG27&lt;2,AI27&gt;PFYDate),AU27,IF((AI27-1)&lt;AF27,-1,12*(YEAR((AI27-1))-YEAR(AF27))+MONTH((AI27-1))-MONTH(AF27)-IF(DAY((AI27-1))&lt;MIN(DAY(AF27),DAY(EOMONTH((AI27-1),0))),1,0))))</f>
        <v/>
      </c>
      <c r="AW27" s="13" t="str">
        <f aca="false">IF(AE27=0,"",IF(OR(AG27&lt;3,AJ27&gt;PFYDate),AU27,IF((AJ27-1)&lt;AF27,-1,12*(YEAR((AJ27-1))-YEAR(AF27))+MONTH((AJ27-1))-MONTH(AF27)-IF(DAY((AJ27-1))&lt;MIN(DAY(AF27),DAY(EOMONTH((AJ27-1),0))),1,0))))</f>
        <v/>
      </c>
      <c r="AX27" s="13"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3"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3" t="str">
        <f aca="false">IF(AE27=0,"",IF(AQ27="FT",IF(AR27&lt;FT_First,FT_First,IF(AR27&lt;FT_Y5,MIN(FT_Y5,FT_First+FT_Int1*(INT((AR27-FT_First)/FT_Int1)+1)),FT_Y5+12*INT((AR27-FT_Y5)/12)+FT_Int2*(INT(MOD(AR27-FT_Y5,12)/FT_Int2)+1))),IF(AQ27="PT",IF(AR27&lt;PT_First,PT_First,PT_First+PT_Int*(INT((AR27-PT_First)/PT_Int)+1)),"")))</f>
        <v/>
      </c>
      <c r="BA27" s="13" t="str">
        <f aca="false">IF(AE27=0,"",IF(NOT(LH_Ready),0,COUNTIFS(INDEX(LH_Data,0,LH_ColFirst),$A27,INDEX(LH_Data,0,LH_ColSur),$B27,INDEX(LH_Data,0,LH_ColCat),BonusCat)))</f>
        <v/>
      </c>
      <c r="BB27" s="13" t="str">
        <f aca="false">IF(AE27=0,"",IF(OR(NOT(LH_Ready),BA27=0),0,SUMPRODUCT(MAX((INDEX(LH_Data,0,LH_ColFirst)=$A27)*(INDEX(LH_Data,0,LH_ColSur)=$B27)*(INDEX(LH_Data,0,LH_ColCat)=BonusCat)*ROW(LH_Data)))))</f>
        <v/>
      </c>
      <c r="BC27" s="0" t="str">
        <f aca="false">IF(LEN($A27&amp;$B27)=0,"",$A27&amp;" "&amp;$B27)</f>
        <v/>
      </c>
    </row>
    <row r="28" customFormat="false" ht="15" hidden="false" customHeight="false" outlineLevel="0" collapsed="false">
      <c r="A28" s="9"/>
      <c r="B28" s="9"/>
      <c r="C28" s="9"/>
      <c r="D28" s="10"/>
      <c r="E28" s="11" t="str">
        <f aca="false">IF(OR(AE28=0,$D28=""),"",DATE(YEAR(AsOfDate)+IF(DATE(YEAR(AsOfDate),MONTH($D28),DAY($D28))&lt;=AsOfDate,1,0),MONTH($D28),DAY($D28)))</f>
        <v/>
      </c>
      <c r="F28" s="10"/>
      <c r="G28" s="10"/>
      <c r="H28" s="10"/>
      <c r="I28" s="10"/>
      <c r="J28" s="10"/>
      <c r="K28" s="11" t="str">
        <f aca="false">IF(AE28=0,"",DATE(YEAR(AsOfDate)+IF(DATE(YEAR(AsOfDate),MONTH(AF28),DAY(AF28))&lt;=AsOfDate,1,0),MONTH(AF28),DAY(AF28)))</f>
        <v/>
      </c>
      <c r="L28" s="12" t="str">
        <f aca="false">IF(AE28=0,"",ROUND((AsOfDate-AF28)/365.25,1))</f>
        <v/>
      </c>
      <c r="M28" s="13" t="str">
        <f aca="false">IF(AE28=0,"",IF(AsOfDate&lt;AF28,"-",DATEDIF(AF28,AsOfDate,"y")&amp;"y "&amp;DATEDIF(AF28,AsOfDate,"ym")&amp;"m "&amp;DATEDIF(AF28,AsOfDate,"md")&amp;"d"))</f>
        <v/>
      </c>
      <c r="N28" s="14" t="str">
        <f aca="false">IF(AE28=0,"",O28*HoursPerDay)</f>
        <v/>
      </c>
      <c r="O28" s="14" t="str">
        <f aca="false">IF(AE28=0,"",AX28)</f>
        <v/>
      </c>
      <c r="P28" s="15"/>
      <c r="Q28" s="13"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13"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1" t="str">
        <f aca="false">IF(AE28=0,"",IF(AQ28="None","",EDATE(AF28,AZ28)))</f>
        <v/>
      </c>
      <c r="T28" s="14" t="str">
        <f aca="false">IF(AE28=0,"",IF(NOT(LH_Ready),"",IF(AF28&gt;PFYDate,0,IF(LH_ColPeriod=0,W28-U28+V28,SUMIFS(INDEX(LH_Data,0,LH_ColAcc),INDEX(LH_Data,0,LH_ColFirst),$A28,INDEX(LH_Data,0,LH_ColSur),$B28,INDEX(LH_Data,0,LH_ColCat),BonusCat,INDEX(LH_Data,0,LH_ColPeriod),LH_OpenLabel)*UnitFactor))))</f>
        <v/>
      </c>
      <c r="U28" s="14" t="str">
        <f aca="false">IF(AE28=0,"",IF(NOT(LH_Ready),"",SUMIFS(INDEX(LH_Data,0,LH_ColAcc),INDEX(LH_Data,0,LH_ColFirst),$A28,INDEX(LH_Data,0,LH_ColSur),$B28,INDEX(LH_Data,0,LH_ColCat),BonusCat,INDEX(LH_Data,0,LH_ColStart),"&gt;="&amp;AF28)*UnitFactor))</f>
        <v/>
      </c>
      <c r="V28" s="14" t="str">
        <f aca="false">IF(AE28=0,"",IF(NOT(LH_Ready),"",SUMIFS(INDEX(LH_Data,0,LH_ColTaken),INDEX(LH_Data,0,LH_ColFirst),$A28,INDEX(LH_Data,0,LH_ColSur),$B28,INDEX(LH_Data,0,LH_ColCat),BonusCat,INDEX(LH_Data,0,LH_ColStart),"&gt;="&amp;AF28)*UnitFactor))</f>
        <v/>
      </c>
      <c r="W28" s="14" t="str">
        <f aca="false">IF(AE28=0,"",IF(NOT(LH_Ready),"",IF(BB28=0,0,INDEX(INDEX(LH_Data,0,LH_ColClose),BB28-1)*UnitFactor)))</f>
        <v/>
      </c>
      <c r="X28" s="14" t="str">
        <f aca="false">IF(AE28=0,"",(AX28-AY28)*HoursPerDay)</f>
        <v/>
      </c>
      <c r="Y28" s="14" t="str">
        <f aca="false">IF(AE28=0,"",IF(NOT(LH_Ready),"",IF(BA28=0,N28,IF(PFYDate&lt;$F28,N28-N(T28)-N(U28),X28-N(U28)))))</f>
        <v/>
      </c>
      <c r="Z28" s="13" t="str">
        <f aca="false">IF(OR(AE28=0,Y28=""),"",IF(Y28&gt;0,"Yes","No"))</f>
        <v/>
      </c>
      <c r="AA28" s="13"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 hrs more than policy since commencement",IF(N(W28)&gt;O28*HoursPerDay+0.01,"CHECK - EH balance "&amp;ROUND(W28-O28*HoursPerDay,2)&amp;" hrs more than policy entitlement",IF(O28&gt;0,"OK - nothing to add",IF(AQ28="None",R28,"Not yet - first day on "&amp;TEXT(S28,"dd/mm/yyyy")))))))))</f>
        <v/>
      </c>
      <c r="AB28" s="14" t="str">
        <f aca="false">IF(OR(AE28=0,T28=""),"",AY28*HoursPerDay-T28)</f>
        <v/>
      </c>
      <c r="AC28" s="13" t="str">
        <f aca="false">IF(AE28=0,"",BA28)</f>
        <v/>
      </c>
      <c r="AD28" s="13"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3" t="n">
        <f aca="false">IF(OR(LEN($A28&amp;$B28)=0,$F28=""),0,1)</f>
        <v>0</v>
      </c>
      <c r="AF28" s="11" t="str">
        <f aca="false">IF(AE28=0,"",IF($J28&lt;&gt;"",$J28,IF(OR(CasualCounts="Yes",COUNT($G28:$I28)=0,COUNT($G28:$H28)=0),$F28,MIN($G28:$H28))))</f>
        <v/>
      </c>
      <c r="AG28" s="13" t="str">
        <f aca="false">IF(AE28=0,"",COUNT($G28:$I28))</f>
        <v/>
      </c>
      <c r="AH28" s="11" t="str">
        <f aca="false">IF(AE28=0,"",IFERROR(SMALL($G28:$I28,1),""))</f>
        <v/>
      </c>
      <c r="AI28" s="11" t="str">
        <f aca="false">IF(AE28=0,"",IFERROR(SMALL($G28:$I28,2),""))</f>
        <v/>
      </c>
      <c r="AJ28" s="11" t="str">
        <f aca="false">IF(AE28=0,"",IFERROR(SMALL($G28:$I28,3),""))</f>
        <v/>
      </c>
      <c r="AK28" s="13" t="str">
        <f aca="false">IF(AE28=0,"",IF(AH28="","",IF(AH28=$G28,"Part-Time",IF(AH28=$H28,"Full-Time","Casual"))))</f>
        <v/>
      </c>
      <c r="AL28" s="13" t="str">
        <f aca="false">IF(AE28=0,"",IF(AI28="","",IF(AI28=$G28,"Part-Time",IF(AI28=$H28,"Full-Time","Casual"))))</f>
        <v/>
      </c>
      <c r="AM28" s="13" t="str">
        <f aca="false">IF(AE28=0,"",IF(AJ28="","",IF(AJ28=$G28,"Part-Time",IF(AJ28=$H28,"Full-Time","Casual"))))</f>
        <v/>
      </c>
      <c r="AN28" s="13"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3" t="str">
        <f aca="false">IF(AE28=0,"",IF(AG28&lt;2,"",IF(OR(ISNUMBER(SEARCH("full",AL28)),UPPER(TRIM(AL28))="FT",UPPER(TRIM(AL28))="FTE"),"FT",IF(AND(OR(ISNUMBER(SEARCH("part",AL28)),UPPER(TRIM(AL28))="PT",UPPER(TRIM(AL28))="PTE"),OR($P28="",N($P28)&gt;=PT_MinHours)),"PT","None"))))</f>
        <v/>
      </c>
      <c r="AP28" s="13" t="str">
        <f aca="false">IF(AE28=0,"",IF(AG28&lt;3,"",IF(OR(ISNUMBER(SEARCH("full",AM28)),UPPER(TRIM(AM28))="FT",UPPER(TRIM(AM28))="FTE"),"FT",IF(AND(OR(ISNUMBER(SEARCH("part",AM28)),UPPER(TRIM(AM28))="PT",UPPER(TRIM(AM28))="PTE"),OR($P28="",N($P28)&gt;=PT_MinHours)),"PT","None"))))</f>
        <v/>
      </c>
      <c r="AQ28" s="13" t="str">
        <f aca="false">IF(AE28=0,"",IF(AND(AG28&gt;=3,AJ28&lt;=AsOfDate),AP28,IF(AND(AG28&gt;=2,AI28&lt;=AsOfDate),AO28,AN28)))</f>
        <v/>
      </c>
      <c r="AR28" s="13" t="str">
        <f aca="false">IF(AE28=0,"",IF(AsOfDate&lt;AF28,-1,12*(YEAR(AsOfDate)-YEAR(AF28))+MONTH(AsOfDate)-MONTH(AF28)-IF(DAY(AsOfDate)&lt;MIN(DAY(AF28),DAY(EOMONTH(AsOfDate,0))),1,0)))</f>
        <v/>
      </c>
      <c r="AS28" s="13" t="str">
        <f aca="false">IF(AE28=0,"",IF(OR(AG28&lt;2,AI28&gt;AsOfDate),AR28,IF((AI28-1)&lt;AF28,-1,12*(YEAR((AI28-1))-YEAR(AF28))+MONTH((AI28-1))-MONTH(AF28)-IF(DAY((AI28-1))&lt;MIN(DAY(AF28),DAY(EOMONTH((AI28-1),0))),1,0))))</f>
        <v/>
      </c>
      <c r="AT28" s="13" t="str">
        <f aca="false">IF(AE28=0,"",IF(OR(AG28&lt;3,AJ28&gt;AsOfDate),AR28,IF((AJ28-1)&lt;AF28,-1,12*(YEAR((AJ28-1))-YEAR(AF28))+MONTH((AJ28-1))-MONTH(AF28)-IF(DAY((AJ28-1))&lt;MIN(DAY(AF28),DAY(EOMONTH((AJ28-1),0))),1,0))))</f>
        <v/>
      </c>
      <c r="AU28" s="13" t="str">
        <f aca="false">IF(AE28=0,"",IF(PFYDate&lt;AF28,-1,12*(YEAR(PFYDate)-YEAR(AF28))+MONTH(PFYDate)-MONTH(AF28)-IF(DAY(PFYDate)&lt;MIN(DAY(AF28),DAY(EOMONTH(PFYDate,0))),1,0)))</f>
        <v/>
      </c>
      <c r="AV28" s="13" t="str">
        <f aca="false">IF(AE28=0,"",IF(OR(AG28&lt;2,AI28&gt;PFYDate),AU28,IF((AI28-1)&lt;AF28,-1,12*(YEAR((AI28-1))-YEAR(AF28))+MONTH((AI28-1))-MONTH(AF28)-IF(DAY((AI28-1))&lt;MIN(DAY(AF28),DAY(EOMONTH((AI28-1),0))),1,0))))</f>
        <v/>
      </c>
      <c r="AW28" s="13" t="str">
        <f aca="false">IF(AE28=0,"",IF(OR(AG28&lt;3,AJ28&gt;PFYDate),AU28,IF((AJ28-1)&lt;AF28,-1,12*(YEAR((AJ28-1))-YEAR(AF28))+MONTH((AJ28-1))-MONTH(AF28)-IF(DAY((AJ28-1))&lt;MIN(DAY(AF28),DAY(EOMONTH((AJ28-1),0))),1,0))))</f>
        <v/>
      </c>
      <c r="AX28" s="13"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3"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3" t="str">
        <f aca="false">IF(AE28=0,"",IF(AQ28="FT",IF(AR28&lt;FT_First,FT_First,IF(AR28&lt;FT_Y5,MIN(FT_Y5,FT_First+FT_Int1*(INT((AR28-FT_First)/FT_Int1)+1)),FT_Y5+12*INT((AR28-FT_Y5)/12)+FT_Int2*(INT(MOD(AR28-FT_Y5,12)/FT_Int2)+1))),IF(AQ28="PT",IF(AR28&lt;PT_First,PT_First,PT_First+PT_Int*(INT((AR28-PT_First)/PT_Int)+1)),"")))</f>
        <v/>
      </c>
      <c r="BA28" s="13" t="str">
        <f aca="false">IF(AE28=0,"",IF(NOT(LH_Ready),0,COUNTIFS(INDEX(LH_Data,0,LH_ColFirst),$A28,INDEX(LH_Data,0,LH_ColSur),$B28,INDEX(LH_Data,0,LH_ColCat),BonusCat)))</f>
        <v/>
      </c>
      <c r="BB28" s="13" t="str">
        <f aca="false">IF(AE28=0,"",IF(OR(NOT(LH_Ready),BA28=0),0,SUMPRODUCT(MAX((INDEX(LH_Data,0,LH_ColFirst)=$A28)*(INDEX(LH_Data,0,LH_ColSur)=$B28)*(INDEX(LH_Data,0,LH_ColCat)=BonusCat)*ROW(LH_Data)))))</f>
        <v/>
      </c>
      <c r="BC28" s="0" t="str">
        <f aca="false">IF(LEN($A28&amp;$B28)=0,"",$A28&amp;" "&amp;$B28)</f>
        <v/>
      </c>
    </row>
    <row r="29" customFormat="false" ht="15" hidden="false" customHeight="false" outlineLevel="0" collapsed="false">
      <c r="A29" s="9"/>
      <c r="B29" s="9"/>
      <c r="C29" s="9"/>
      <c r="D29" s="10"/>
      <c r="E29" s="11" t="str">
        <f aca="false">IF(OR(AE29=0,$D29=""),"",DATE(YEAR(AsOfDate)+IF(DATE(YEAR(AsOfDate),MONTH($D29),DAY($D29))&lt;=AsOfDate,1,0),MONTH($D29),DAY($D29)))</f>
        <v/>
      </c>
      <c r="F29" s="10"/>
      <c r="G29" s="10"/>
      <c r="H29" s="10"/>
      <c r="I29" s="10"/>
      <c r="J29" s="10"/>
      <c r="K29" s="11" t="str">
        <f aca="false">IF(AE29=0,"",DATE(YEAR(AsOfDate)+IF(DATE(YEAR(AsOfDate),MONTH(AF29),DAY(AF29))&lt;=AsOfDate,1,0),MONTH(AF29),DAY(AF29)))</f>
        <v/>
      </c>
      <c r="L29" s="12" t="str">
        <f aca="false">IF(AE29=0,"",ROUND((AsOfDate-AF29)/365.25,1))</f>
        <v/>
      </c>
      <c r="M29" s="13" t="str">
        <f aca="false">IF(AE29=0,"",IF(AsOfDate&lt;AF29,"-",DATEDIF(AF29,AsOfDate,"y")&amp;"y "&amp;DATEDIF(AF29,AsOfDate,"ym")&amp;"m "&amp;DATEDIF(AF29,AsOfDate,"md")&amp;"d"))</f>
        <v/>
      </c>
      <c r="N29" s="14" t="str">
        <f aca="false">IF(AE29=0,"",O29*HoursPerDay)</f>
        <v/>
      </c>
      <c r="O29" s="14" t="str">
        <f aca="false">IF(AE29=0,"",AX29)</f>
        <v/>
      </c>
      <c r="P29" s="15"/>
      <c r="Q29" s="13"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13"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1" t="str">
        <f aca="false">IF(AE29=0,"",IF(AQ29="None","",EDATE(AF29,AZ29)))</f>
        <v/>
      </c>
      <c r="T29" s="14" t="str">
        <f aca="false">IF(AE29=0,"",IF(NOT(LH_Ready),"",IF(AF29&gt;PFYDate,0,IF(LH_ColPeriod=0,W29-U29+V29,SUMIFS(INDEX(LH_Data,0,LH_ColAcc),INDEX(LH_Data,0,LH_ColFirst),$A29,INDEX(LH_Data,0,LH_ColSur),$B29,INDEX(LH_Data,0,LH_ColCat),BonusCat,INDEX(LH_Data,0,LH_ColPeriod),LH_OpenLabel)*UnitFactor))))</f>
        <v/>
      </c>
      <c r="U29" s="14" t="str">
        <f aca="false">IF(AE29=0,"",IF(NOT(LH_Ready),"",SUMIFS(INDEX(LH_Data,0,LH_ColAcc),INDEX(LH_Data,0,LH_ColFirst),$A29,INDEX(LH_Data,0,LH_ColSur),$B29,INDEX(LH_Data,0,LH_ColCat),BonusCat,INDEX(LH_Data,0,LH_ColStart),"&gt;="&amp;AF29)*UnitFactor))</f>
        <v/>
      </c>
      <c r="V29" s="14" t="str">
        <f aca="false">IF(AE29=0,"",IF(NOT(LH_Ready),"",SUMIFS(INDEX(LH_Data,0,LH_ColTaken),INDEX(LH_Data,0,LH_ColFirst),$A29,INDEX(LH_Data,0,LH_ColSur),$B29,INDEX(LH_Data,0,LH_ColCat),BonusCat,INDEX(LH_Data,0,LH_ColStart),"&gt;="&amp;AF29)*UnitFactor))</f>
        <v/>
      </c>
      <c r="W29" s="14" t="str">
        <f aca="false">IF(AE29=0,"",IF(NOT(LH_Ready),"",IF(BB29=0,0,INDEX(INDEX(LH_Data,0,LH_ColClose),BB29-1)*UnitFactor)))</f>
        <v/>
      </c>
      <c r="X29" s="14" t="str">
        <f aca="false">IF(AE29=0,"",(AX29-AY29)*HoursPerDay)</f>
        <v/>
      </c>
      <c r="Y29" s="14" t="str">
        <f aca="false">IF(AE29=0,"",IF(NOT(LH_Ready),"",IF(BA29=0,N29,IF(PFYDate&lt;$F29,N29-N(T29)-N(U29),X29-N(U29)))))</f>
        <v/>
      </c>
      <c r="Z29" s="13" t="str">
        <f aca="false">IF(OR(AE29=0,Y29=""),"",IF(Y29&gt;0,"Yes","No"))</f>
        <v/>
      </c>
      <c r="AA29" s="13"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 hrs more than policy since commencement",IF(N(W29)&gt;O29*HoursPerDay+0.01,"CHECK - EH balance "&amp;ROUND(W29-O29*HoursPerDay,2)&amp;" hrs more than policy entitlement",IF(O29&gt;0,"OK - nothing to add",IF(AQ29="None",R29,"Not yet - first day on "&amp;TEXT(S29,"dd/mm/yyyy")))))))))</f>
        <v/>
      </c>
      <c r="AB29" s="14" t="str">
        <f aca="false">IF(OR(AE29=0,T29=""),"",AY29*HoursPerDay-T29)</f>
        <v/>
      </c>
      <c r="AC29" s="13" t="str">
        <f aca="false">IF(AE29=0,"",BA29)</f>
        <v/>
      </c>
      <c r="AD29" s="13"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3" t="n">
        <f aca="false">IF(OR(LEN($A29&amp;$B29)=0,$F29=""),0,1)</f>
        <v>0</v>
      </c>
      <c r="AF29" s="11" t="str">
        <f aca="false">IF(AE29=0,"",IF($J29&lt;&gt;"",$J29,IF(OR(CasualCounts="Yes",COUNT($G29:$I29)=0,COUNT($G29:$H29)=0),$F29,MIN($G29:$H29))))</f>
        <v/>
      </c>
      <c r="AG29" s="13" t="str">
        <f aca="false">IF(AE29=0,"",COUNT($G29:$I29))</f>
        <v/>
      </c>
      <c r="AH29" s="11" t="str">
        <f aca="false">IF(AE29=0,"",IFERROR(SMALL($G29:$I29,1),""))</f>
        <v/>
      </c>
      <c r="AI29" s="11" t="str">
        <f aca="false">IF(AE29=0,"",IFERROR(SMALL($G29:$I29,2),""))</f>
        <v/>
      </c>
      <c r="AJ29" s="11" t="str">
        <f aca="false">IF(AE29=0,"",IFERROR(SMALL($G29:$I29,3),""))</f>
        <v/>
      </c>
      <c r="AK29" s="13" t="str">
        <f aca="false">IF(AE29=0,"",IF(AH29="","",IF(AH29=$G29,"Part-Time",IF(AH29=$H29,"Full-Time","Casual"))))</f>
        <v/>
      </c>
      <c r="AL29" s="13" t="str">
        <f aca="false">IF(AE29=0,"",IF(AI29="","",IF(AI29=$G29,"Part-Time",IF(AI29=$H29,"Full-Time","Casual"))))</f>
        <v/>
      </c>
      <c r="AM29" s="13" t="str">
        <f aca="false">IF(AE29=0,"",IF(AJ29="","",IF(AJ29=$G29,"Part-Time",IF(AJ29=$H29,"Full-Time","Casual"))))</f>
        <v/>
      </c>
      <c r="AN29" s="13"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3" t="str">
        <f aca="false">IF(AE29=0,"",IF(AG29&lt;2,"",IF(OR(ISNUMBER(SEARCH("full",AL29)),UPPER(TRIM(AL29))="FT",UPPER(TRIM(AL29))="FTE"),"FT",IF(AND(OR(ISNUMBER(SEARCH("part",AL29)),UPPER(TRIM(AL29))="PT",UPPER(TRIM(AL29))="PTE"),OR($P29="",N($P29)&gt;=PT_MinHours)),"PT","None"))))</f>
        <v/>
      </c>
      <c r="AP29" s="13" t="str">
        <f aca="false">IF(AE29=0,"",IF(AG29&lt;3,"",IF(OR(ISNUMBER(SEARCH("full",AM29)),UPPER(TRIM(AM29))="FT",UPPER(TRIM(AM29))="FTE"),"FT",IF(AND(OR(ISNUMBER(SEARCH("part",AM29)),UPPER(TRIM(AM29))="PT",UPPER(TRIM(AM29))="PTE"),OR($P29="",N($P29)&gt;=PT_MinHours)),"PT","None"))))</f>
        <v/>
      </c>
      <c r="AQ29" s="13" t="str">
        <f aca="false">IF(AE29=0,"",IF(AND(AG29&gt;=3,AJ29&lt;=AsOfDate),AP29,IF(AND(AG29&gt;=2,AI29&lt;=AsOfDate),AO29,AN29)))</f>
        <v/>
      </c>
      <c r="AR29" s="13" t="str">
        <f aca="false">IF(AE29=0,"",IF(AsOfDate&lt;AF29,-1,12*(YEAR(AsOfDate)-YEAR(AF29))+MONTH(AsOfDate)-MONTH(AF29)-IF(DAY(AsOfDate)&lt;MIN(DAY(AF29),DAY(EOMONTH(AsOfDate,0))),1,0)))</f>
        <v/>
      </c>
      <c r="AS29" s="13" t="str">
        <f aca="false">IF(AE29=0,"",IF(OR(AG29&lt;2,AI29&gt;AsOfDate),AR29,IF((AI29-1)&lt;AF29,-1,12*(YEAR((AI29-1))-YEAR(AF29))+MONTH((AI29-1))-MONTH(AF29)-IF(DAY((AI29-1))&lt;MIN(DAY(AF29),DAY(EOMONTH((AI29-1),0))),1,0))))</f>
        <v/>
      </c>
      <c r="AT29" s="13" t="str">
        <f aca="false">IF(AE29=0,"",IF(OR(AG29&lt;3,AJ29&gt;AsOfDate),AR29,IF((AJ29-1)&lt;AF29,-1,12*(YEAR((AJ29-1))-YEAR(AF29))+MONTH((AJ29-1))-MONTH(AF29)-IF(DAY((AJ29-1))&lt;MIN(DAY(AF29),DAY(EOMONTH((AJ29-1),0))),1,0))))</f>
        <v/>
      </c>
      <c r="AU29" s="13" t="str">
        <f aca="false">IF(AE29=0,"",IF(PFYDate&lt;AF29,-1,12*(YEAR(PFYDate)-YEAR(AF29))+MONTH(PFYDate)-MONTH(AF29)-IF(DAY(PFYDate)&lt;MIN(DAY(AF29),DAY(EOMONTH(PFYDate,0))),1,0)))</f>
        <v/>
      </c>
      <c r="AV29" s="13" t="str">
        <f aca="false">IF(AE29=0,"",IF(OR(AG29&lt;2,AI29&gt;PFYDate),AU29,IF((AI29-1)&lt;AF29,-1,12*(YEAR((AI29-1))-YEAR(AF29))+MONTH((AI29-1))-MONTH(AF29)-IF(DAY((AI29-1))&lt;MIN(DAY(AF29),DAY(EOMONTH((AI29-1),0))),1,0))))</f>
        <v/>
      </c>
      <c r="AW29" s="13" t="str">
        <f aca="false">IF(AE29=0,"",IF(OR(AG29&lt;3,AJ29&gt;PFYDate),AU29,IF((AJ29-1)&lt;AF29,-1,12*(YEAR((AJ29-1))-YEAR(AF29))+MONTH((AJ29-1))-MONTH(AF29)-IF(DAY((AJ29-1))&lt;MIN(DAY(AF29),DAY(EOMONTH((AJ29-1),0))),1,0))))</f>
        <v/>
      </c>
      <c r="AX29" s="13"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3"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3" t="str">
        <f aca="false">IF(AE29=0,"",IF(AQ29="FT",IF(AR29&lt;FT_First,FT_First,IF(AR29&lt;FT_Y5,MIN(FT_Y5,FT_First+FT_Int1*(INT((AR29-FT_First)/FT_Int1)+1)),FT_Y5+12*INT((AR29-FT_Y5)/12)+FT_Int2*(INT(MOD(AR29-FT_Y5,12)/FT_Int2)+1))),IF(AQ29="PT",IF(AR29&lt;PT_First,PT_First,PT_First+PT_Int*(INT((AR29-PT_First)/PT_Int)+1)),"")))</f>
        <v/>
      </c>
      <c r="BA29" s="13" t="str">
        <f aca="false">IF(AE29=0,"",IF(NOT(LH_Ready),0,COUNTIFS(INDEX(LH_Data,0,LH_ColFirst),$A29,INDEX(LH_Data,0,LH_ColSur),$B29,INDEX(LH_Data,0,LH_ColCat),BonusCat)))</f>
        <v/>
      </c>
      <c r="BB29" s="13" t="str">
        <f aca="false">IF(AE29=0,"",IF(OR(NOT(LH_Ready),BA29=0),0,SUMPRODUCT(MAX((INDEX(LH_Data,0,LH_ColFirst)=$A29)*(INDEX(LH_Data,0,LH_ColSur)=$B29)*(INDEX(LH_Data,0,LH_ColCat)=BonusCat)*ROW(LH_Data)))))</f>
        <v/>
      </c>
      <c r="BC29" s="0" t="str">
        <f aca="false">IF(LEN($A29&amp;$B29)=0,"",$A29&amp;" "&amp;$B29)</f>
        <v/>
      </c>
    </row>
    <row r="30" customFormat="false" ht="15" hidden="false" customHeight="false" outlineLevel="0" collapsed="false">
      <c r="A30" s="9"/>
      <c r="B30" s="9"/>
      <c r="C30" s="9"/>
      <c r="D30" s="10"/>
      <c r="E30" s="11" t="str">
        <f aca="false">IF(OR(AE30=0,$D30=""),"",DATE(YEAR(AsOfDate)+IF(DATE(YEAR(AsOfDate),MONTH($D30),DAY($D30))&lt;=AsOfDate,1,0),MONTH($D30),DAY($D30)))</f>
        <v/>
      </c>
      <c r="F30" s="10"/>
      <c r="G30" s="10"/>
      <c r="H30" s="10"/>
      <c r="I30" s="10"/>
      <c r="J30" s="10"/>
      <c r="K30" s="11" t="str">
        <f aca="false">IF(AE30=0,"",DATE(YEAR(AsOfDate)+IF(DATE(YEAR(AsOfDate),MONTH(AF30),DAY(AF30))&lt;=AsOfDate,1,0),MONTH(AF30),DAY(AF30)))</f>
        <v/>
      </c>
      <c r="L30" s="12" t="str">
        <f aca="false">IF(AE30=0,"",ROUND((AsOfDate-AF30)/365.25,1))</f>
        <v/>
      </c>
      <c r="M30" s="13" t="str">
        <f aca="false">IF(AE30=0,"",IF(AsOfDate&lt;AF30,"-",DATEDIF(AF30,AsOfDate,"y")&amp;"y "&amp;DATEDIF(AF30,AsOfDate,"ym")&amp;"m "&amp;DATEDIF(AF30,AsOfDate,"md")&amp;"d"))</f>
        <v/>
      </c>
      <c r="N30" s="14" t="str">
        <f aca="false">IF(AE30=0,"",O30*HoursPerDay)</f>
        <v/>
      </c>
      <c r="O30" s="14" t="str">
        <f aca="false">IF(AE30=0,"",AX30)</f>
        <v/>
      </c>
      <c r="P30" s="15"/>
      <c r="Q30" s="13"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13"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1" t="str">
        <f aca="false">IF(AE30=0,"",IF(AQ30="None","",EDATE(AF30,AZ30)))</f>
        <v/>
      </c>
      <c r="T30" s="14" t="str">
        <f aca="false">IF(AE30=0,"",IF(NOT(LH_Ready),"",IF(AF30&gt;PFYDate,0,IF(LH_ColPeriod=0,W30-U30+V30,SUMIFS(INDEX(LH_Data,0,LH_ColAcc),INDEX(LH_Data,0,LH_ColFirst),$A30,INDEX(LH_Data,0,LH_ColSur),$B30,INDEX(LH_Data,0,LH_ColCat),BonusCat,INDEX(LH_Data,0,LH_ColPeriod),LH_OpenLabel)*UnitFactor))))</f>
        <v/>
      </c>
      <c r="U30" s="14" t="str">
        <f aca="false">IF(AE30=0,"",IF(NOT(LH_Ready),"",SUMIFS(INDEX(LH_Data,0,LH_ColAcc),INDEX(LH_Data,0,LH_ColFirst),$A30,INDEX(LH_Data,0,LH_ColSur),$B30,INDEX(LH_Data,0,LH_ColCat),BonusCat,INDEX(LH_Data,0,LH_ColStart),"&gt;="&amp;AF30)*UnitFactor))</f>
        <v/>
      </c>
      <c r="V30" s="14" t="str">
        <f aca="false">IF(AE30=0,"",IF(NOT(LH_Ready),"",SUMIFS(INDEX(LH_Data,0,LH_ColTaken),INDEX(LH_Data,0,LH_ColFirst),$A30,INDEX(LH_Data,0,LH_ColSur),$B30,INDEX(LH_Data,0,LH_ColCat),BonusCat,INDEX(LH_Data,0,LH_ColStart),"&gt;="&amp;AF30)*UnitFactor))</f>
        <v/>
      </c>
      <c r="W30" s="14" t="str">
        <f aca="false">IF(AE30=0,"",IF(NOT(LH_Ready),"",IF(BB30=0,0,INDEX(INDEX(LH_Data,0,LH_ColClose),BB30-1)*UnitFactor)))</f>
        <v/>
      </c>
      <c r="X30" s="14" t="str">
        <f aca="false">IF(AE30=0,"",(AX30-AY30)*HoursPerDay)</f>
        <v/>
      </c>
      <c r="Y30" s="14" t="str">
        <f aca="false">IF(AE30=0,"",IF(NOT(LH_Ready),"",IF(BA30=0,N30,IF(PFYDate&lt;$F30,N30-N(T30)-N(U30),X30-N(U30)))))</f>
        <v/>
      </c>
      <c r="Z30" s="13" t="str">
        <f aca="false">IF(OR(AE30=0,Y30=""),"",IF(Y30&gt;0,"Yes","No"))</f>
        <v/>
      </c>
      <c r="AA30" s="13"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 hrs more than policy since commencement",IF(N(W30)&gt;O30*HoursPerDay+0.01,"CHECK - EH balance "&amp;ROUND(W30-O30*HoursPerDay,2)&amp;" hrs more than policy entitlement",IF(O30&gt;0,"OK - nothing to add",IF(AQ30="None",R30,"Not yet - first day on "&amp;TEXT(S30,"dd/mm/yyyy")))))))))</f>
        <v/>
      </c>
      <c r="AB30" s="14" t="str">
        <f aca="false">IF(OR(AE30=0,T30=""),"",AY30*HoursPerDay-T30)</f>
        <v/>
      </c>
      <c r="AC30" s="13" t="str">
        <f aca="false">IF(AE30=0,"",BA30)</f>
        <v/>
      </c>
      <c r="AD30" s="13"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3" t="n">
        <f aca="false">IF(OR(LEN($A30&amp;$B30)=0,$F30=""),0,1)</f>
        <v>0</v>
      </c>
      <c r="AF30" s="11" t="str">
        <f aca="false">IF(AE30=0,"",IF($J30&lt;&gt;"",$J30,IF(OR(CasualCounts="Yes",COUNT($G30:$I30)=0,COUNT($G30:$H30)=0),$F30,MIN($G30:$H30))))</f>
        <v/>
      </c>
      <c r="AG30" s="13" t="str">
        <f aca="false">IF(AE30=0,"",COUNT($G30:$I30))</f>
        <v/>
      </c>
      <c r="AH30" s="11" t="str">
        <f aca="false">IF(AE30=0,"",IFERROR(SMALL($G30:$I30,1),""))</f>
        <v/>
      </c>
      <c r="AI30" s="11" t="str">
        <f aca="false">IF(AE30=0,"",IFERROR(SMALL($G30:$I30,2),""))</f>
        <v/>
      </c>
      <c r="AJ30" s="11" t="str">
        <f aca="false">IF(AE30=0,"",IFERROR(SMALL($G30:$I30,3),""))</f>
        <v/>
      </c>
      <c r="AK30" s="13" t="str">
        <f aca="false">IF(AE30=0,"",IF(AH30="","",IF(AH30=$G30,"Part-Time",IF(AH30=$H30,"Full-Time","Casual"))))</f>
        <v/>
      </c>
      <c r="AL30" s="13" t="str">
        <f aca="false">IF(AE30=0,"",IF(AI30="","",IF(AI30=$G30,"Part-Time",IF(AI30=$H30,"Full-Time","Casual"))))</f>
        <v/>
      </c>
      <c r="AM30" s="13" t="str">
        <f aca="false">IF(AE30=0,"",IF(AJ30="","",IF(AJ30=$G30,"Part-Time",IF(AJ30=$H30,"Full-Time","Casual"))))</f>
        <v/>
      </c>
      <c r="AN30" s="13"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3" t="str">
        <f aca="false">IF(AE30=0,"",IF(AG30&lt;2,"",IF(OR(ISNUMBER(SEARCH("full",AL30)),UPPER(TRIM(AL30))="FT",UPPER(TRIM(AL30))="FTE"),"FT",IF(AND(OR(ISNUMBER(SEARCH("part",AL30)),UPPER(TRIM(AL30))="PT",UPPER(TRIM(AL30))="PTE"),OR($P30="",N($P30)&gt;=PT_MinHours)),"PT","None"))))</f>
        <v/>
      </c>
      <c r="AP30" s="13" t="str">
        <f aca="false">IF(AE30=0,"",IF(AG30&lt;3,"",IF(OR(ISNUMBER(SEARCH("full",AM30)),UPPER(TRIM(AM30))="FT",UPPER(TRIM(AM30))="FTE"),"FT",IF(AND(OR(ISNUMBER(SEARCH("part",AM30)),UPPER(TRIM(AM30))="PT",UPPER(TRIM(AM30))="PTE"),OR($P30="",N($P30)&gt;=PT_MinHours)),"PT","None"))))</f>
        <v/>
      </c>
      <c r="AQ30" s="13" t="str">
        <f aca="false">IF(AE30=0,"",IF(AND(AG30&gt;=3,AJ30&lt;=AsOfDate),AP30,IF(AND(AG30&gt;=2,AI30&lt;=AsOfDate),AO30,AN30)))</f>
        <v/>
      </c>
      <c r="AR30" s="13" t="str">
        <f aca="false">IF(AE30=0,"",IF(AsOfDate&lt;AF30,-1,12*(YEAR(AsOfDate)-YEAR(AF30))+MONTH(AsOfDate)-MONTH(AF30)-IF(DAY(AsOfDate)&lt;MIN(DAY(AF30),DAY(EOMONTH(AsOfDate,0))),1,0)))</f>
        <v/>
      </c>
      <c r="AS30" s="13" t="str">
        <f aca="false">IF(AE30=0,"",IF(OR(AG30&lt;2,AI30&gt;AsOfDate),AR30,IF((AI30-1)&lt;AF30,-1,12*(YEAR((AI30-1))-YEAR(AF30))+MONTH((AI30-1))-MONTH(AF30)-IF(DAY((AI30-1))&lt;MIN(DAY(AF30),DAY(EOMONTH((AI30-1),0))),1,0))))</f>
        <v/>
      </c>
      <c r="AT30" s="13" t="str">
        <f aca="false">IF(AE30=0,"",IF(OR(AG30&lt;3,AJ30&gt;AsOfDate),AR30,IF((AJ30-1)&lt;AF30,-1,12*(YEAR((AJ30-1))-YEAR(AF30))+MONTH((AJ30-1))-MONTH(AF30)-IF(DAY((AJ30-1))&lt;MIN(DAY(AF30),DAY(EOMONTH((AJ30-1),0))),1,0))))</f>
        <v/>
      </c>
      <c r="AU30" s="13" t="str">
        <f aca="false">IF(AE30=0,"",IF(PFYDate&lt;AF30,-1,12*(YEAR(PFYDate)-YEAR(AF30))+MONTH(PFYDate)-MONTH(AF30)-IF(DAY(PFYDate)&lt;MIN(DAY(AF30),DAY(EOMONTH(PFYDate,0))),1,0)))</f>
        <v/>
      </c>
      <c r="AV30" s="13" t="str">
        <f aca="false">IF(AE30=0,"",IF(OR(AG30&lt;2,AI30&gt;PFYDate),AU30,IF((AI30-1)&lt;AF30,-1,12*(YEAR((AI30-1))-YEAR(AF30))+MONTH((AI30-1))-MONTH(AF30)-IF(DAY((AI30-1))&lt;MIN(DAY(AF30),DAY(EOMONTH((AI30-1),0))),1,0))))</f>
        <v/>
      </c>
      <c r="AW30" s="13" t="str">
        <f aca="false">IF(AE30=0,"",IF(OR(AG30&lt;3,AJ30&gt;PFYDate),AU30,IF((AJ30-1)&lt;AF30,-1,12*(YEAR((AJ30-1))-YEAR(AF30))+MONTH((AJ30-1))-MONTH(AF30)-IF(DAY((AJ30-1))&lt;MIN(DAY(AF30),DAY(EOMONTH((AJ30-1),0))),1,0))))</f>
        <v/>
      </c>
      <c r="AX30" s="13"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3"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3" t="str">
        <f aca="false">IF(AE30=0,"",IF(AQ30="FT",IF(AR30&lt;FT_First,FT_First,IF(AR30&lt;FT_Y5,MIN(FT_Y5,FT_First+FT_Int1*(INT((AR30-FT_First)/FT_Int1)+1)),FT_Y5+12*INT((AR30-FT_Y5)/12)+FT_Int2*(INT(MOD(AR30-FT_Y5,12)/FT_Int2)+1))),IF(AQ30="PT",IF(AR30&lt;PT_First,PT_First,PT_First+PT_Int*(INT((AR30-PT_First)/PT_Int)+1)),"")))</f>
        <v/>
      </c>
      <c r="BA30" s="13" t="str">
        <f aca="false">IF(AE30=0,"",IF(NOT(LH_Ready),0,COUNTIFS(INDEX(LH_Data,0,LH_ColFirst),$A30,INDEX(LH_Data,0,LH_ColSur),$B30,INDEX(LH_Data,0,LH_ColCat),BonusCat)))</f>
        <v/>
      </c>
      <c r="BB30" s="13" t="str">
        <f aca="false">IF(AE30=0,"",IF(OR(NOT(LH_Ready),BA30=0),0,SUMPRODUCT(MAX((INDEX(LH_Data,0,LH_ColFirst)=$A30)*(INDEX(LH_Data,0,LH_ColSur)=$B30)*(INDEX(LH_Data,0,LH_ColCat)=BonusCat)*ROW(LH_Data)))))</f>
        <v/>
      </c>
      <c r="BC30" s="0" t="str">
        <f aca="false">IF(LEN($A30&amp;$B30)=0,"",$A30&amp;" "&amp;$B30)</f>
        <v/>
      </c>
    </row>
    <row r="31" customFormat="false" ht="15" hidden="false" customHeight="false" outlineLevel="0" collapsed="false">
      <c r="A31" s="9"/>
      <c r="B31" s="9"/>
      <c r="C31" s="9"/>
      <c r="D31" s="10"/>
      <c r="E31" s="11" t="str">
        <f aca="false">IF(OR(AE31=0,$D31=""),"",DATE(YEAR(AsOfDate)+IF(DATE(YEAR(AsOfDate),MONTH($D31),DAY($D31))&lt;=AsOfDate,1,0),MONTH($D31),DAY($D31)))</f>
        <v/>
      </c>
      <c r="F31" s="10"/>
      <c r="G31" s="10"/>
      <c r="H31" s="10"/>
      <c r="I31" s="10"/>
      <c r="J31" s="10"/>
      <c r="K31" s="11" t="str">
        <f aca="false">IF(AE31=0,"",DATE(YEAR(AsOfDate)+IF(DATE(YEAR(AsOfDate),MONTH(AF31),DAY(AF31))&lt;=AsOfDate,1,0),MONTH(AF31),DAY(AF31)))</f>
        <v/>
      </c>
      <c r="L31" s="12" t="str">
        <f aca="false">IF(AE31=0,"",ROUND((AsOfDate-AF31)/365.25,1))</f>
        <v/>
      </c>
      <c r="M31" s="13" t="str">
        <f aca="false">IF(AE31=0,"",IF(AsOfDate&lt;AF31,"-",DATEDIF(AF31,AsOfDate,"y")&amp;"y "&amp;DATEDIF(AF31,AsOfDate,"ym")&amp;"m "&amp;DATEDIF(AF31,AsOfDate,"md")&amp;"d"))</f>
        <v/>
      </c>
      <c r="N31" s="14" t="str">
        <f aca="false">IF(AE31=0,"",O31*HoursPerDay)</f>
        <v/>
      </c>
      <c r="O31" s="14" t="str">
        <f aca="false">IF(AE31=0,"",AX31)</f>
        <v/>
      </c>
      <c r="P31" s="15"/>
      <c r="Q31" s="13"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13"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1" t="str">
        <f aca="false">IF(AE31=0,"",IF(AQ31="None","",EDATE(AF31,AZ31)))</f>
        <v/>
      </c>
      <c r="T31" s="14" t="str">
        <f aca="false">IF(AE31=0,"",IF(NOT(LH_Ready),"",IF(AF31&gt;PFYDate,0,IF(LH_ColPeriod=0,W31-U31+V31,SUMIFS(INDEX(LH_Data,0,LH_ColAcc),INDEX(LH_Data,0,LH_ColFirst),$A31,INDEX(LH_Data,0,LH_ColSur),$B31,INDEX(LH_Data,0,LH_ColCat),BonusCat,INDEX(LH_Data,0,LH_ColPeriod),LH_OpenLabel)*UnitFactor))))</f>
        <v/>
      </c>
      <c r="U31" s="14" t="str">
        <f aca="false">IF(AE31=0,"",IF(NOT(LH_Ready),"",SUMIFS(INDEX(LH_Data,0,LH_ColAcc),INDEX(LH_Data,0,LH_ColFirst),$A31,INDEX(LH_Data,0,LH_ColSur),$B31,INDEX(LH_Data,0,LH_ColCat),BonusCat,INDEX(LH_Data,0,LH_ColStart),"&gt;="&amp;AF31)*UnitFactor))</f>
        <v/>
      </c>
      <c r="V31" s="14" t="str">
        <f aca="false">IF(AE31=0,"",IF(NOT(LH_Ready),"",SUMIFS(INDEX(LH_Data,0,LH_ColTaken),INDEX(LH_Data,0,LH_ColFirst),$A31,INDEX(LH_Data,0,LH_ColSur),$B31,INDEX(LH_Data,0,LH_ColCat),BonusCat,INDEX(LH_Data,0,LH_ColStart),"&gt;="&amp;AF31)*UnitFactor))</f>
        <v/>
      </c>
      <c r="W31" s="14" t="str">
        <f aca="false">IF(AE31=0,"",IF(NOT(LH_Ready),"",IF(BB31=0,0,INDEX(INDEX(LH_Data,0,LH_ColClose),BB31-1)*UnitFactor)))</f>
        <v/>
      </c>
      <c r="X31" s="14" t="str">
        <f aca="false">IF(AE31=0,"",(AX31-AY31)*HoursPerDay)</f>
        <v/>
      </c>
      <c r="Y31" s="14" t="str">
        <f aca="false">IF(AE31=0,"",IF(NOT(LH_Ready),"",IF(BA31=0,N31,IF(PFYDate&lt;$F31,N31-N(T31)-N(U31),X31-N(U31)))))</f>
        <v/>
      </c>
      <c r="Z31" s="13" t="str">
        <f aca="false">IF(OR(AE31=0,Y31=""),"",IF(Y31&gt;0,"Yes","No"))</f>
        <v/>
      </c>
      <c r="AA31" s="13"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 hrs more than policy since commencement",IF(N(W31)&gt;O31*HoursPerDay+0.01,"CHECK - EH balance "&amp;ROUND(W31-O31*HoursPerDay,2)&amp;" hrs more than policy entitlement",IF(O31&gt;0,"OK - nothing to add",IF(AQ31="None",R31,"Not yet - first day on "&amp;TEXT(S31,"dd/mm/yyyy")))))))))</f>
        <v/>
      </c>
      <c r="AB31" s="14" t="str">
        <f aca="false">IF(OR(AE31=0,T31=""),"",AY31*HoursPerDay-T31)</f>
        <v/>
      </c>
      <c r="AC31" s="13" t="str">
        <f aca="false">IF(AE31=0,"",BA31)</f>
        <v/>
      </c>
      <c r="AD31" s="13"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3" t="n">
        <f aca="false">IF(OR(LEN($A31&amp;$B31)=0,$F31=""),0,1)</f>
        <v>0</v>
      </c>
      <c r="AF31" s="11" t="str">
        <f aca="false">IF(AE31=0,"",IF($J31&lt;&gt;"",$J31,IF(OR(CasualCounts="Yes",COUNT($G31:$I31)=0,COUNT($G31:$H31)=0),$F31,MIN($G31:$H31))))</f>
        <v/>
      </c>
      <c r="AG31" s="13" t="str">
        <f aca="false">IF(AE31=0,"",COUNT($G31:$I31))</f>
        <v/>
      </c>
      <c r="AH31" s="11" t="str">
        <f aca="false">IF(AE31=0,"",IFERROR(SMALL($G31:$I31,1),""))</f>
        <v/>
      </c>
      <c r="AI31" s="11" t="str">
        <f aca="false">IF(AE31=0,"",IFERROR(SMALL($G31:$I31,2),""))</f>
        <v/>
      </c>
      <c r="AJ31" s="11" t="str">
        <f aca="false">IF(AE31=0,"",IFERROR(SMALL($G31:$I31,3),""))</f>
        <v/>
      </c>
      <c r="AK31" s="13" t="str">
        <f aca="false">IF(AE31=0,"",IF(AH31="","",IF(AH31=$G31,"Part-Time",IF(AH31=$H31,"Full-Time","Casual"))))</f>
        <v/>
      </c>
      <c r="AL31" s="13" t="str">
        <f aca="false">IF(AE31=0,"",IF(AI31="","",IF(AI31=$G31,"Part-Time",IF(AI31=$H31,"Full-Time","Casual"))))</f>
        <v/>
      </c>
      <c r="AM31" s="13" t="str">
        <f aca="false">IF(AE31=0,"",IF(AJ31="","",IF(AJ31=$G31,"Part-Time",IF(AJ31=$H31,"Full-Time","Casual"))))</f>
        <v/>
      </c>
      <c r="AN31" s="13"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3" t="str">
        <f aca="false">IF(AE31=0,"",IF(AG31&lt;2,"",IF(OR(ISNUMBER(SEARCH("full",AL31)),UPPER(TRIM(AL31))="FT",UPPER(TRIM(AL31))="FTE"),"FT",IF(AND(OR(ISNUMBER(SEARCH("part",AL31)),UPPER(TRIM(AL31))="PT",UPPER(TRIM(AL31))="PTE"),OR($P31="",N($P31)&gt;=PT_MinHours)),"PT","None"))))</f>
        <v/>
      </c>
      <c r="AP31" s="13" t="str">
        <f aca="false">IF(AE31=0,"",IF(AG31&lt;3,"",IF(OR(ISNUMBER(SEARCH("full",AM31)),UPPER(TRIM(AM31))="FT",UPPER(TRIM(AM31))="FTE"),"FT",IF(AND(OR(ISNUMBER(SEARCH("part",AM31)),UPPER(TRIM(AM31))="PT",UPPER(TRIM(AM31))="PTE"),OR($P31="",N($P31)&gt;=PT_MinHours)),"PT","None"))))</f>
        <v/>
      </c>
      <c r="AQ31" s="13" t="str">
        <f aca="false">IF(AE31=0,"",IF(AND(AG31&gt;=3,AJ31&lt;=AsOfDate),AP31,IF(AND(AG31&gt;=2,AI31&lt;=AsOfDate),AO31,AN31)))</f>
        <v/>
      </c>
      <c r="AR31" s="13" t="str">
        <f aca="false">IF(AE31=0,"",IF(AsOfDate&lt;AF31,-1,12*(YEAR(AsOfDate)-YEAR(AF31))+MONTH(AsOfDate)-MONTH(AF31)-IF(DAY(AsOfDate)&lt;MIN(DAY(AF31),DAY(EOMONTH(AsOfDate,0))),1,0)))</f>
        <v/>
      </c>
      <c r="AS31" s="13" t="str">
        <f aca="false">IF(AE31=0,"",IF(OR(AG31&lt;2,AI31&gt;AsOfDate),AR31,IF((AI31-1)&lt;AF31,-1,12*(YEAR((AI31-1))-YEAR(AF31))+MONTH((AI31-1))-MONTH(AF31)-IF(DAY((AI31-1))&lt;MIN(DAY(AF31),DAY(EOMONTH((AI31-1),0))),1,0))))</f>
        <v/>
      </c>
      <c r="AT31" s="13" t="str">
        <f aca="false">IF(AE31=0,"",IF(OR(AG31&lt;3,AJ31&gt;AsOfDate),AR31,IF((AJ31-1)&lt;AF31,-1,12*(YEAR((AJ31-1))-YEAR(AF31))+MONTH((AJ31-1))-MONTH(AF31)-IF(DAY((AJ31-1))&lt;MIN(DAY(AF31),DAY(EOMONTH((AJ31-1),0))),1,0))))</f>
        <v/>
      </c>
      <c r="AU31" s="13" t="str">
        <f aca="false">IF(AE31=0,"",IF(PFYDate&lt;AF31,-1,12*(YEAR(PFYDate)-YEAR(AF31))+MONTH(PFYDate)-MONTH(AF31)-IF(DAY(PFYDate)&lt;MIN(DAY(AF31),DAY(EOMONTH(PFYDate,0))),1,0)))</f>
        <v/>
      </c>
      <c r="AV31" s="13" t="str">
        <f aca="false">IF(AE31=0,"",IF(OR(AG31&lt;2,AI31&gt;PFYDate),AU31,IF((AI31-1)&lt;AF31,-1,12*(YEAR((AI31-1))-YEAR(AF31))+MONTH((AI31-1))-MONTH(AF31)-IF(DAY((AI31-1))&lt;MIN(DAY(AF31),DAY(EOMONTH((AI31-1),0))),1,0))))</f>
        <v/>
      </c>
      <c r="AW31" s="13" t="str">
        <f aca="false">IF(AE31=0,"",IF(OR(AG31&lt;3,AJ31&gt;PFYDate),AU31,IF((AJ31-1)&lt;AF31,-1,12*(YEAR((AJ31-1))-YEAR(AF31))+MONTH((AJ31-1))-MONTH(AF31)-IF(DAY((AJ31-1))&lt;MIN(DAY(AF31),DAY(EOMONTH((AJ31-1),0))),1,0))))</f>
        <v/>
      </c>
      <c r="AX31" s="13"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3"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3" t="str">
        <f aca="false">IF(AE31=0,"",IF(AQ31="FT",IF(AR31&lt;FT_First,FT_First,IF(AR31&lt;FT_Y5,MIN(FT_Y5,FT_First+FT_Int1*(INT((AR31-FT_First)/FT_Int1)+1)),FT_Y5+12*INT((AR31-FT_Y5)/12)+FT_Int2*(INT(MOD(AR31-FT_Y5,12)/FT_Int2)+1))),IF(AQ31="PT",IF(AR31&lt;PT_First,PT_First,PT_First+PT_Int*(INT((AR31-PT_First)/PT_Int)+1)),"")))</f>
        <v/>
      </c>
      <c r="BA31" s="13" t="str">
        <f aca="false">IF(AE31=0,"",IF(NOT(LH_Ready),0,COUNTIFS(INDEX(LH_Data,0,LH_ColFirst),$A31,INDEX(LH_Data,0,LH_ColSur),$B31,INDEX(LH_Data,0,LH_ColCat),BonusCat)))</f>
        <v/>
      </c>
      <c r="BB31" s="13" t="str">
        <f aca="false">IF(AE31=0,"",IF(OR(NOT(LH_Ready),BA31=0),0,SUMPRODUCT(MAX((INDEX(LH_Data,0,LH_ColFirst)=$A31)*(INDEX(LH_Data,0,LH_ColSur)=$B31)*(INDEX(LH_Data,0,LH_ColCat)=BonusCat)*ROW(LH_Data)))))</f>
        <v/>
      </c>
      <c r="BC31" s="0" t="str">
        <f aca="false">IF(LEN($A31&amp;$B31)=0,"",$A31&amp;" "&amp;$B31)</f>
        <v/>
      </c>
    </row>
    <row r="32" customFormat="false" ht="15" hidden="false" customHeight="false" outlineLevel="0" collapsed="false">
      <c r="A32" s="9"/>
      <c r="B32" s="9"/>
      <c r="C32" s="9"/>
      <c r="D32" s="10"/>
      <c r="E32" s="11" t="str">
        <f aca="false">IF(OR(AE32=0,$D32=""),"",DATE(YEAR(AsOfDate)+IF(DATE(YEAR(AsOfDate),MONTH($D32),DAY($D32))&lt;=AsOfDate,1,0),MONTH($D32),DAY($D32)))</f>
        <v/>
      </c>
      <c r="F32" s="10"/>
      <c r="G32" s="10"/>
      <c r="H32" s="10"/>
      <c r="I32" s="10"/>
      <c r="J32" s="10"/>
      <c r="K32" s="11" t="str">
        <f aca="false">IF(AE32=0,"",DATE(YEAR(AsOfDate)+IF(DATE(YEAR(AsOfDate),MONTH(AF32),DAY(AF32))&lt;=AsOfDate,1,0),MONTH(AF32),DAY(AF32)))</f>
        <v/>
      </c>
      <c r="L32" s="12" t="str">
        <f aca="false">IF(AE32=0,"",ROUND((AsOfDate-AF32)/365.25,1))</f>
        <v/>
      </c>
      <c r="M32" s="13" t="str">
        <f aca="false">IF(AE32=0,"",IF(AsOfDate&lt;AF32,"-",DATEDIF(AF32,AsOfDate,"y")&amp;"y "&amp;DATEDIF(AF32,AsOfDate,"ym")&amp;"m "&amp;DATEDIF(AF32,AsOfDate,"md")&amp;"d"))</f>
        <v/>
      </c>
      <c r="N32" s="14" t="str">
        <f aca="false">IF(AE32=0,"",O32*HoursPerDay)</f>
        <v/>
      </c>
      <c r="O32" s="14" t="str">
        <f aca="false">IF(AE32=0,"",AX32)</f>
        <v/>
      </c>
      <c r="P32" s="15"/>
      <c r="Q32" s="13"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13"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1" t="str">
        <f aca="false">IF(AE32=0,"",IF(AQ32="None","",EDATE(AF32,AZ32)))</f>
        <v/>
      </c>
      <c r="T32" s="14" t="str">
        <f aca="false">IF(AE32=0,"",IF(NOT(LH_Ready),"",IF(AF32&gt;PFYDate,0,IF(LH_ColPeriod=0,W32-U32+V32,SUMIFS(INDEX(LH_Data,0,LH_ColAcc),INDEX(LH_Data,0,LH_ColFirst),$A32,INDEX(LH_Data,0,LH_ColSur),$B32,INDEX(LH_Data,0,LH_ColCat),BonusCat,INDEX(LH_Data,0,LH_ColPeriod),LH_OpenLabel)*UnitFactor))))</f>
        <v/>
      </c>
      <c r="U32" s="14" t="str">
        <f aca="false">IF(AE32=0,"",IF(NOT(LH_Ready),"",SUMIFS(INDEX(LH_Data,0,LH_ColAcc),INDEX(LH_Data,0,LH_ColFirst),$A32,INDEX(LH_Data,0,LH_ColSur),$B32,INDEX(LH_Data,0,LH_ColCat),BonusCat,INDEX(LH_Data,0,LH_ColStart),"&gt;="&amp;AF32)*UnitFactor))</f>
        <v/>
      </c>
      <c r="V32" s="14" t="str">
        <f aca="false">IF(AE32=0,"",IF(NOT(LH_Ready),"",SUMIFS(INDEX(LH_Data,0,LH_ColTaken),INDEX(LH_Data,0,LH_ColFirst),$A32,INDEX(LH_Data,0,LH_ColSur),$B32,INDEX(LH_Data,0,LH_ColCat),BonusCat,INDEX(LH_Data,0,LH_ColStart),"&gt;="&amp;AF32)*UnitFactor))</f>
        <v/>
      </c>
      <c r="W32" s="14" t="str">
        <f aca="false">IF(AE32=0,"",IF(NOT(LH_Ready),"",IF(BB32=0,0,INDEX(INDEX(LH_Data,0,LH_ColClose),BB32-1)*UnitFactor)))</f>
        <v/>
      </c>
      <c r="X32" s="14" t="str">
        <f aca="false">IF(AE32=0,"",(AX32-AY32)*HoursPerDay)</f>
        <v/>
      </c>
      <c r="Y32" s="14" t="str">
        <f aca="false">IF(AE32=0,"",IF(NOT(LH_Ready),"",IF(BA32=0,N32,IF(PFYDate&lt;$F32,N32-N(T32)-N(U32),X32-N(U32)))))</f>
        <v/>
      </c>
      <c r="Z32" s="13" t="str">
        <f aca="false">IF(OR(AE32=0,Y32=""),"",IF(Y32&gt;0,"Yes","No"))</f>
        <v/>
      </c>
      <c r="AA32" s="13"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 hrs more than policy since commencement",IF(N(W32)&gt;O32*HoursPerDay+0.01,"CHECK - EH balance "&amp;ROUND(W32-O32*HoursPerDay,2)&amp;" hrs more than policy entitlement",IF(O32&gt;0,"OK - nothing to add",IF(AQ32="None",R32,"Not yet - first day on "&amp;TEXT(S32,"dd/mm/yyyy")))))))))</f>
        <v/>
      </c>
      <c r="AB32" s="14" t="str">
        <f aca="false">IF(OR(AE32=0,T32=""),"",AY32*HoursPerDay-T32)</f>
        <v/>
      </c>
      <c r="AC32" s="13" t="str">
        <f aca="false">IF(AE32=0,"",BA32)</f>
        <v/>
      </c>
      <c r="AD32" s="13"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3" t="n">
        <f aca="false">IF(OR(LEN($A32&amp;$B32)=0,$F32=""),0,1)</f>
        <v>0</v>
      </c>
      <c r="AF32" s="11" t="str">
        <f aca="false">IF(AE32=0,"",IF($J32&lt;&gt;"",$J32,IF(OR(CasualCounts="Yes",COUNT($G32:$I32)=0,COUNT($G32:$H32)=0),$F32,MIN($G32:$H32))))</f>
        <v/>
      </c>
      <c r="AG32" s="13" t="str">
        <f aca="false">IF(AE32=0,"",COUNT($G32:$I32))</f>
        <v/>
      </c>
      <c r="AH32" s="11" t="str">
        <f aca="false">IF(AE32=0,"",IFERROR(SMALL($G32:$I32,1),""))</f>
        <v/>
      </c>
      <c r="AI32" s="11" t="str">
        <f aca="false">IF(AE32=0,"",IFERROR(SMALL($G32:$I32,2),""))</f>
        <v/>
      </c>
      <c r="AJ32" s="11" t="str">
        <f aca="false">IF(AE32=0,"",IFERROR(SMALL($G32:$I32,3),""))</f>
        <v/>
      </c>
      <c r="AK32" s="13" t="str">
        <f aca="false">IF(AE32=0,"",IF(AH32="","",IF(AH32=$G32,"Part-Time",IF(AH32=$H32,"Full-Time","Casual"))))</f>
        <v/>
      </c>
      <c r="AL32" s="13" t="str">
        <f aca="false">IF(AE32=0,"",IF(AI32="","",IF(AI32=$G32,"Part-Time",IF(AI32=$H32,"Full-Time","Casual"))))</f>
        <v/>
      </c>
      <c r="AM32" s="13" t="str">
        <f aca="false">IF(AE32=0,"",IF(AJ32="","",IF(AJ32=$G32,"Part-Time",IF(AJ32=$H32,"Full-Time","Casual"))))</f>
        <v/>
      </c>
      <c r="AN32" s="13"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3" t="str">
        <f aca="false">IF(AE32=0,"",IF(AG32&lt;2,"",IF(OR(ISNUMBER(SEARCH("full",AL32)),UPPER(TRIM(AL32))="FT",UPPER(TRIM(AL32))="FTE"),"FT",IF(AND(OR(ISNUMBER(SEARCH("part",AL32)),UPPER(TRIM(AL32))="PT",UPPER(TRIM(AL32))="PTE"),OR($P32="",N($P32)&gt;=PT_MinHours)),"PT","None"))))</f>
        <v/>
      </c>
      <c r="AP32" s="13" t="str">
        <f aca="false">IF(AE32=0,"",IF(AG32&lt;3,"",IF(OR(ISNUMBER(SEARCH("full",AM32)),UPPER(TRIM(AM32))="FT",UPPER(TRIM(AM32))="FTE"),"FT",IF(AND(OR(ISNUMBER(SEARCH("part",AM32)),UPPER(TRIM(AM32))="PT",UPPER(TRIM(AM32))="PTE"),OR($P32="",N($P32)&gt;=PT_MinHours)),"PT","None"))))</f>
        <v/>
      </c>
      <c r="AQ32" s="13" t="str">
        <f aca="false">IF(AE32=0,"",IF(AND(AG32&gt;=3,AJ32&lt;=AsOfDate),AP32,IF(AND(AG32&gt;=2,AI32&lt;=AsOfDate),AO32,AN32)))</f>
        <v/>
      </c>
      <c r="AR32" s="13" t="str">
        <f aca="false">IF(AE32=0,"",IF(AsOfDate&lt;AF32,-1,12*(YEAR(AsOfDate)-YEAR(AF32))+MONTH(AsOfDate)-MONTH(AF32)-IF(DAY(AsOfDate)&lt;MIN(DAY(AF32),DAY(EOMONTH(AsOfDate,0))),1,0)))</f>
        <v/>
      </c>
      <c r="AS32" s="13" t="str">
        <f aca="false">IF(AE32=0,"",IF(OR(AG32&lt;2,AI32&gt;AsOfDate),AR32,IF((AI32-1)&lt;AF32,-1,12*(YEAR((AI32-1))-YEAR(AF32))+MONTH((AI32-1))-MONTH(AF32)-IF(DAY((AI32-1))&lt;MIN(DAY(AF32),DAY(EOMONTH((AI32-1),0))),1,0))))</f>
        <v/>
      </c>
      <c r="AT32" s="13" t="str">
        <f aca="false">IF(AE32=0,"",IF(OR(AG32&lt;3,AJ32&gt;AsOfDate),AR32,IF((AJ32-1)&lt;AF32,-1,12*(YEAR((AJ32-1))-YEAR(AF32))+MONTH((AJ32-1))-MONTH(AF32)-IF(DAY((AJ32-1))&lt;MIN(DAY(AF32),DAY(EOMONTH((AJ32-1),0))),1,0))))</f>
        <v/>
      </c>
      <c r="AU32" s="13" t="str">
        <f aca="false">IF(AE32=0,"",IF(PFYDate&lt;AF32,-1,12*(YEAR(PFYDate)-YEAR(AF32))+MONTH(PFYDate)-MONTH(AF32)-IF(DAY(PFYDate)&lt;MIN(DAY(AF32),DAY(EOMONTH(PFYDate,0))),1,0)))</f>
        <v/>
      </c>
      <c r="AV32" s="13" t="str">
        <f aca="false">IF(AE32=0,"",IF(OR(AG32&lt;2,AI32&gt;PFYDate),AU32,IF((AI32-1)&lt;AF32,-1,12*(YEAR((AI32-1))-YEAR(AF32))+MONTH((AI32-1))-MONTH(AF32)-IF(DAY((AI32-1))&lt;MIN(DAY(AF32),DAY(EOMONTH((AI32-1),0))),1,0))))</f>
        <v/>
      </c>
      <c r="AW32" s="13" t="str">
        <f aca="false">IF(AE32=0,"",IF(OR(AG32&lt;3,AJ32&gt;PFYDate),AU32,IF((AJ32-1)&lt;AF32,-1,12*(YEAR((AJ32-1))-YEAR(AF32))+MONTH((AJ32-1))-MONTH(AF32)-IF(DAY((AJ32-1))&lt;MIN(DAY(AF32),DAY(EOMONTH((AJ32-1),0))),1,0))))</f>
        <v/>
      </c>
      <c r="AX32" s="13"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3"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3" t="str">
        <f aca="false">IF(AE32=0,"",IF(AQ32="FT",IF(AR32&lt;FT_First,FT_First,IF(AR32&lt;FT_Y5,MIN(FT_Y5,FT_First+FT_Int1*(INT((AR32-FT_First)/FT_Int1)+1)),FT_Y5+12*INT((AR32-FT_Y5)/12)+FT_Int2*(INT(MOD(AR32-FT_Y5,12)/FT_Int2)+1))),IF(AQ32="PT",IF(AR32&lt;PT_First,PT_First,PT_First+PT_Int*(INT((AR32-PT_First)/PT_Int)+1)),"")))</f>
        <v/>
      </c>
      <c r="BA32" s="13" t="str">
        <f aca="false">IF(AE32=0,"",IF(NOT(LH_Ready),0,COUNTIFS(INDEX(LH_Data,0,LH_ColFirst),$A32,INDEX(LH_Data,0,LH_ColSur),$B32,INDEX(LH_Data,0,LH_ColCat),BonusCat)))</f>
        <v/>
      </c>
      <c r="BB32" s="13" t="str">
        <f aca="false">IF(AE32=0,"",IF(OR(NOT(LH_Ready),BA32=0),0,SUMPRODUCT(MAX((INDEX(LH_Data,0,LH_ColFirst)=$A32)*(INDEX(LH_Data,0,LH_ColSur)=$B32)*(INDEX(LH_Data,0,LH_ColCat)=BonusCat)*ROW(LH_Data)))))</f>
        <v/>
      </c>
      <c r="BC32" s="0" t="str">
        <f aca="false">IF(LEN($A32&amp;$B32)=0,"",$A32&amp;" "&amp;$B32)</f>
        <v/>
      </c>
    </row>
    <row r="33" customFormat="false" ht="15" hidden="false" customHeight="false" outlineLevel="0" collapsed="false">
      <c r="A33" s="9"/>
      <c r="B33" s="9"/>
      <c r="C33" s="9"/>
      <c r="D33" s="10"/>
      <c r="E33" s="11" t="str">
        <f aca="false">IF(OR(AE33=0,$D33=""),"",DATE(YEAR(AsOfDate)+IF(DATE(YEAR(AsOfDate),MONTH($D33),DAY($D33))&lt;=AsOfDate,1,0),MONTH($D33),DAY($D33)))</f>
        <v/>
      </c>
      <c r="F33" s="10"/>
      <c r="G33" s="10"/>
      <c r="H33" s="10"/>
      <c r="I33" s="10"/>
      <c r="J33" s="10"/>
      <c r="K33" s="11" t="str">
        <f aca="false">IF(AE33=0,"",DATE(YEAR(AsOfDate)+IF(DATE(YEAR(AsOfDate),MONTH(AF33),DAY(AF33))&lt;=AsOfDate,1,0),MONTH(AF33),DAY(AF33)))</f>
        <v/>
      </c>
      <c r="L33" s="12" t="str">
        <f aca="false">IF(AE33=0,"",ROUND((AsOfDate-AF33)/365.25,1))</f>
        <v/>
      </c>
      <c r="M33" s="13" t="str">
        <f aca="false">IF(AE33=0,"",IF(AsOfDate&lt;AF33,"-",DATEDIF(AF33,AsOfDate,"y")&amp;"y "&amp;DATEDIF(AF33,AsOfDate,"ym")&amp;"m "&amp;DATEDIF(AF33,AsOfDate,"md")&amp;"d"))</f>
        <v/>
      </c>
      <c r="N33" s="14" t="str">
        <f aca="false">IF(AE33=0,"",O33*HoursPerDay)</f>
        <v/>
      </c>
      <c r="O33" s="14" t="str">
        <f aca="false">IF(AE33=0,"",AX33)</f>
        <v/>
      </c>
      <c r="P33" s="15"/>
      <c r="Q33" s="13"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13"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1" t="str">
        <f aca="false">IF(AE33=0,"",IF(AQ33="None","",EDATE(AF33,AZ33)))</f>
        <v/>
      </c>
      <c r="T33" s="14" t="str">
        <f aca="false">IF(AE33=0,"",IF(NOT(LH_Ready),"",IF(AF33&gt;PFYDate,0,IF(LH_ColPeriod=0,W33-U33+V33,SUMIFS(INDEX(LH_Data,0,LH_ColAcc),INDEX(LH_Data,0,LH_ColFirst),$A33,INDEX(LH_Data,0,LH_ColSur),$B33,INDEX(LH_Data,0,LH_ColCat),BonusCat,INDEX(LH_Data,0,LH_ColPeriod),LH_OpenLabel)*UnitFactor))))</f>
        <v/>
      </c>
      <c r="U33" s="14" t="str">
        <f aca="false">IF(AE33=0,"",IF(NOT(LH_Ready),"",SUMIFS(INDEX(LH_Data,0,LH_ColAcc),INDEX(LH_Data,0,LH_ColFirst),$A33,INDEX(LH_Data,0,LH_ColSur),$B33,INDEX(LH_Data,0,LH_ColCat),BonusCat,INDEX(LH_Data,0,LH_ColStart),"&gt;="&amp;AF33)*UnitFactor))</f>
        <v/>
      </c>
      <c r="V33" s="14" t="str">
        <f aca="false">IF(AE33=0,"",IF(NOT(LH_Ready),"",SUMIFS(INDEX(LH_Data,0,LH_ColTaken),INDEX(LH_Data,0,LH_ColFirst),$A33,INDEX(LH_Data,0,LH_ColSur),$B33,INDEX(LH_Data,0,LH_ColCat),BonusCat,INDEX(LH_Data,0,LH_ColStart),"&gt;="&amp;AF33)*UnitFactor))</f>
        <v/>
      </c>
      <c r="W33" s="14" t="str">
        <f aca="false">IF(AE33=0,"",IF(NOT(LH_Ready),"",IF(BB33=0,0,INDEX(INDEX(LH_Data,0,LH_ColClose),BB33-1)*UnitFactor)))</f>
        <v/>
      </c>
      <c r="X33" s="14" t="str">
        <f aca="false">IF(AE33=0,"",(AX33-AY33)*HoursPerDay)</f>
        <v/>
      </c>
      <c r="Y33" s="14" t="str">
        <f aca="false">IF(AE33=0,"",IF(NOT(LH_Ready),"",IF(BA33=0,N33,IF(PFYDate&lt;$F33,N33-N(T33)-N(U33),X33-N(U33)))))</f>
        <v/>
      </c>
      <c r="Z33" s="13" t="str">
        <f aca="false">IF(OR(AE33=0,Y33=""),"",IF(Y33&gt;0,"Yes","No"))</f>
        <v/>
      </c>
      <c r="AA33" s="13"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 hrs more than policy since commencement",IF(N(W33)&gt;O33*HoursPerDay+0.01,"CHECK - EH balance "&amp;ROUND(W33-O33*HoursPerDay,2)&amp;" hrs more than policy entitlement",IF(O33&gt;0,"OK - nothing to add",IF(AQ33="None",R33,"Not yet - first day on "&amp;TEXT(S33,"dd/mm/yyyy")))))))))</f>
        <v/>
      </c>
      <c r="AB33" s="14" t="str">
        <f aca="false">IF(OR(AE33=0,T33=""),"",AY33*HoursPerDay-T33)</f>
        <v/>
      </c>
      <c r="AC33" s="13" t="str">
        <f aca="false">IF(AE33=0,"",BA33)</f>
        <v/>
      </c>
      <c r="AD33" s="13"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3" t="n">
        <f aca="false">IF(OR(LEN($A33&amp;$B33)=0,$F33=""),0,1)</f>
        <v>0</v>
      </c>
      <c r="AF33" s="11" t="str">
        <f aca="false">IF(AE33=0,"",IF($J33&lt;&gt;"",$J33,IF(OR(CasualCounts="Yes",COUNT($G33:$I33)=0,COUNT($G33:$H33)=0),$F33,MIN($G33:$H33))))</f>
        <v/>
      </c>
      <c r="AG33" s="13" t="str">
        <f aca="false">IF(AE33=0,"",COUNT($G33:$I33))</f>
        <v/>
      </c>
      <c r="AH33" s="11" t="str">
        <f aca="false">IF(AE33=0,"",IFERROR(SMALL($G33:$I33,1),""))</f>
        <v/>
      </c>
      <c r="AI33" s="11" t="str">
        <f aca="false">IF(AE33=0,"",IFERROR(SMALL($G33:$I33,2),""))</f>
        <v/>
      </c>
      <c r="AJ33" s="11" t="str">
        <f aca="false">IF(AE33=0,"",IFERROR(SMALL($G33:$I33,3),""))</f>
        <v/>
      </c>
      <c r="AK33" s="13" t="str">
        <f aca="false">IF(AE33=0,"",IF(AH33="","",IF(AH33=$G33,"Part-Time",IF(AH33=$H33,"Full-Time","Casual"))))</f>
        <v/>
      </c>
      <c r="AL33" s="13" t="str">
        <f aca="false">IF(AE33=0,"",IF(AI33="","",IF(AI33=$G33,"Part-Time",IF(AI33=$H33,"Full-Time","Casual"))))</f>
        <v/>
      </c>
      <c r="AM33" s="13" t="str">
        <f aca="false">IF(AE33=0,"",IF(AJ33="","",IF(AJ33=$G33,"Part-Time",IF(AJ33=$H33,"Full-Time","Casual"))))</f>
        <v/>
      </c>
      <c r="AN33" s="13"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3" t="str">
        <f aca="false">IF(AE33=0,"",IF(AG33&lt;2,"",IF(OR(ISNUMBER(SEARCH("full",AL33)),UPPER(TRIM(AL33))="FT",UPPER(TRIM(AL33))="FTE"),"FT",IF(AND(OR(ISNUMBER(SEARCH("part",AL33)),UPPER(TRIM(AL33))="PT",UPPER(TRIM(AL33))="PTE"),OR($P33="",N($P33)&gt;=PT_MinHours)),"PT","None"))))</f>
        <v/>
      </c>
      <c r="AP33" s="13" t="str">
        <f aca="false">IF(AE33=0,"",IF(AG33&lt;3,"",IF(OR(ISNUMBER(SEARCH("full",AM33)),UPPER(TRIM(AM33))="FT",UPPER(TRIM(AM33))="FTE"),"FT",IF(AND(OR(ISNUMBER(SEARCH("part",AM33)),UPPER(TRIM(AM33))="PT",UPPER(TRIM(AM33))="PTE"),OR($P33="",N($P33)&gt;=PT_MinHours)),"PT","None"))))</f>
        <v/>
      </c>
      <c r="AQ33" s="13" t="str">
        <f aca="false">IF(AE33=0,"",IF(AND(AG33&gt;=3,AJ33&lt;=AsOfDate),AP33,IF(AND(AG33&gt;=2,AI33&lt;=AsOfDate),AO33,AN33)))</f>
        <v/>
      </c>
      <c r="AR33" s="13" t="str">
        <f aca="false">IF(AE33=0,"",IF(AsOfDate&lt;AF33,-1,12*(YEAR(AsOfDate)-YEAR(AF33))+MONTH(AsOfDate)-MONTH(AF33)-IF(DAY(AsOfDate)&lt;MIN(DAY(AF33),DAY(EOMONTH(AsOfDate,0))),1,0)))</f>
        <v/>
      </c>
      <c r="AS33" s="13" t="str">
        <f aca="false">IF(AE33=0,"",IF(OR(AG33&lt;2,AI33&gt;AsOfDate),AR33,IF((AI33-1)&lt;AF33,-1,12*(YEAR((AI33-1))-YEAR(AF33))+MONTH((AI33-1))-MONTH(AF33)-IF(DAY((AI33-1))&lt;MIN(DAY(AF33),DAY(EOMONTH((AI33-1),0))),1,0))))</f>
        <v/>
      </c>
      <c r="AT33" s="13" t="str">
        <f aca="false">IF(AE33=0,"",IF(OR(AG33&lt;3,AJ33&gt;AsOfDate),AR33,IF((AJ33-1)&lt;AF33,-1,12*(YEAR((AJ33-1))-YEAR(AF33))+MONTH((AJ33-1))-MONTH(AF33)-IF(DAY((AJ33-1))&lt;MIN(DAY(AF33),DAY(EOMONTH((AJ33-1),0))),1,0))))</f>
        <v/>
      </c>
      <c r="AU33" s="13" t="str">
        <f aca="false">IF(AE33=0,"",IF(PFYDate&lt;AF33,-1,12*(YEAR(PFYDate)-YEAR(AF33))+MONTH(PFYDate)-MONTH(AF33)-IF(DAY(PFYDate)&lt;MIN(DAY(AF33),DAY(EOMONTH(PFYDate,0))),1,0)))</f>
        <v/>
      </c>
      <c r="AV33" s="13" t="str">
        <f aca="false">IF(AE33=0,"",IF(OR(AG33&lt;2,AI33&gt;PFYDate),AU33,IF((AI33-1)&lt;AF33,-1,12*(YEAR((AI33-1))-YEAR(AF33))+MONTH((AI33-1))-MONTH(AF33)-IF(DAY((AI33-1))&lt;MIN(DAY(AF33),DAY(EOMONTH((AI33-1),0))),1,0))))</f>
        <v/>
      </c>
      <c r="AW33" s="13" t="str">
        <f aca="false">IF(AE33=0,"",IF(OR(AG33&lt;3,AJ33&gt;PFYDate),AU33,IF((AJ33-1)&lt;AF33,-1,12*(YEAR((AJ33-1))-YEAR(AF33))+MONTH((AJ33-1))-MONTH(AF33)-IF(DAY((AJ33-1))&lt;MIN(DAY(AF33),DAY(EOMONTH((AJ33-1),0))),1,0))))</f>
        <v/>
      </c>
      <c r="AX33" s="13"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3"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3" t="str">
        <f aca="false">IF(AE33=0,"",IF(AQ33="FT",IF(AR33&lt;FT_First,FT_First,IF(AR33&lt;FT_Y5,MIN(FT_Y5,FT_First+FT_Int1*(INT((AR33-FT_First)/FT_Int1)+1)),FT_Y5+12*INT((AR33-FT_Y5)/12)+FT_Int2*(INT(MOD(AR33-FT_Y5,12)/FT_Int2)+1))),IF(AQ33="PT",IF(AR33&lt;PT_First,PT_First,PT_First+PT_Int*(INT((AR33-PT_First)/PT_Int)+1)),"")))</f>
        <v/>
      </c>
      <c r="BA33" s="13" t="str">
        <f aca="false">IF(AE33=0,"",IF(NOT(LH_Ready),0,COUNTIFS(INDEX(LH_Data,0,LH_ColFirst),$A33,INDEX(LH_Data,0,LH_ColSur),$B33,INDEX(LH_Data,0,LH_ColCat),BonusCat)))</f>
        <v/>
      </c>
      <c r="BB33" s="13" t="str">
        <f aca="false">IF(AE33=0,"",IF(OR(NOT(LH_Ready),BA33=0),0,SUMPRODUCT(MAX((INDEX(LH_Data,0,LH_ColFirst)=$A33)*(INDEX(LH_Data,0,LH_ColSur)=$B33)*(INDEX(LH_Data,0,LH_ColCat)=BonusCat)*ROW(LH_Data)))))</f>
        <v/>
      </c>
      <c r="BC33" s="0" t="str">
        <f aca="false">IF(LEN($A33&amp;$B33)=0,"",$A33&amp;" "&amp;$B33)</f>
        <v/>
      </c>
    </row>
    <row r="34" customFormat="false" ht="15" hidden="false" customHeight="false" outlineLevel="0" collapsed="false">
      <c r="A34" s="9"/>
      <c r="B34" s="9"/>
      <c r="C34" s="9"/>
      <c r="D34" s="10"/>
      <c r="E34" s="11" t="str">
        <f aca="false">IF(OR(AE34=0,$D34=""),"",DATE(YEAR(AsOfDate)+IF(DATE(YEAR(AsOfDate),MONTH($D34),DAY($D34))&lt;=AsOfDate,1,0),MONTH($D34),DAY($D34)))</f>
        <v/>
      </c>
      <c r="F34" s="10"/>
      <c r="G34" s="10"/>
      <c r="H34" s="10"/>
      <c r="I34" s="10"/>
      <c r="J34" s="10"/>
      <c r="K34" s="11" t="str">
        <f aca="false">IF(AE34=0,"",DATE(YEAR(AsOfDate)+IF(DATE(YEAR(AsOfDate),MONTH(AF34),DAY(AF34))&lt;=AsOfDate,1,0),MONTH(AF34),DAY(AF34)))</f>
        <v/>
      </c>
      <c r="L34" s="12" t="str">
        <f aca="false">IF(AE34=0,"",ROUND((AsOfDate-AF34)/365.25,1))</f>
        <v/>
      </c>
      <c r="M34" s="13" t="str">
        <f aca="false">IF(AE34=0,"",IF(AsOfDate&lt;AF34,"-",DATEDIF(AF34,AsOfDate,"y")&amp;"y "&amp;DATEDIF(AF34,AsOfDate,"ym")&amp;"m "&amp;DATEDIF(AF34,AsOfDate,"md")&amp;"d"))</f>
        <v/>
      </c>
      <c r="N34" s="14" t="str">
        <f aca="false">IF(AE34=0,"",O34*HoursPerDay)</f>
        <v/>
      </c>
      <c r="O34" s="14" t="str">
        <f aca="false">IF(AE34=0,"",AX34)</f>
        <v/>
      </c>
      <c r="P34" s="15"/>
      <c r="Q34" s="13"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13"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1" t="str">
        <f aca="false">IF(AE34=0,"",IF(AQ34="None","",EDATE(AF34,AZ34)))</f>
        <v/>
      </c>
      <c r="T34" s="14" t="str">
        <f aca="false">IF(AE34=0,"",IF(NOT(LH_Ready),"",IF(AF34&gt;PFYDate,0,IF(LH_ColPeriod=0,W34-U34+V34,SUMIFS(INDEX(LH_Data,0,LH_ColAcc),INDEX(LH_Data,0,LH_ColFirst),$A34,INDEX(LH_Data,0,LH_ColSur),$B34,INDEX(LH_Data,0,LH_ColCat),BonusCat,INDEX(LH_Data,0,LH_ColPeriod),LH_OpenLabel)*UnitFactor))))</f>
        <v/>
      </c>
      <c r="U34" s="14" t="str">
        <f aca="false">IF(AE34=0,"",IF(NOT(LH_Ready),"",SUMIFS(INDEX(LH_Data,0,LH_ColAcc),INDEX(LH_Data,0,LH_ColFirst),$A34,INDEX(LH_Data,0,LH_ColSur),$B34,INDEX(LH_Data,0,LH_ColCat),BonusCat,INDEX(LH_Data,0,LH_ColStart),"&gt;="&amp;AF34)*UnitFactor))</f>
        <v/>
      </c>
      <c r="V34" s="14" t="str">
        <f aca="false">IF(AE34=0,"",IF(NOT(LH_Ready),"",SUMIFS(INDEX(LH_Data,0,LH_ColTaken),INDEX(LH_Data,0,LH_ColFirst),$A34,INDEX(LH_Data,0,LH_ColSur),$B34,INDEX(LH_Data,0,LH_ColCat),BonusCat,INDEX(LH_Data,0,LH_ColStart),"&gt;="&amp;AF34)*UnitFactor))</f>
        <v/>
      </c>
      <c r="W34" s="14" t="str">
        <f aca="false">IF(AE34=0,"",IF(NOT(LH_Ready),"",IF(BB34=0,0,INDEX(INDEX(LH_Data,0,LH_ColClose),BB34-1)*UnitFactor)))</f>
        <v/>
      </c>
      <c r="X34" s="14" t="str">
        <f aca="false">IF(AE34=0,"",(AX34-AY34)*HoursPerDay)</f>
        <v/>
      </c>
      <c r="Y34" s="14" t="str">
        <f aca="false">IF(AE34=0,"",IF(NOT(LH_Ready),"",IF(BA34=0,N34,IF(PFYDate&lt;$F34,N34-N(T34)-N(U34),X34-N(U34)))))</f>
        <v/>
      </c>
      <c r="Z34" s="13" t="str">
        <f aca="false">IF(OR(AE34=0,Y34=""),"",IF(Y34&gt;0,"Yes","No"))</f>
        <v/>
      </c>
      <c r="AA34" s="13"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 hrs more than policy since commencement",IF(N(W34)&gt;O34*HoursPerDay+0.01,"CHECK - EH balance "&amp;ROUND(W34-O34*HoursPerDay,2)&amp;" hrs more than policy entitlement",IF(O34&gt;0,"OK - nothing to add",IF(AQ34="None",R34,"Not yet - first day on "&amp;TEXT(S34,"dd/mm/yyyy")))))))))</f>
        <v/>
      </c>
      <c r="AB34" s="14" t="str">
        <f aca="false">IF(OR(AE34=0,T34=""),"",AY34*HoursPerDay-T34)</f>
        <v/>
      </c>
      <c r="AC34" s="13" t="str">
        <f aca="false">IF(AE34=0,"",BA34)</f>
        <v/>
      </c>
      <c r="AD34" s="13"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3" t="n">
        <f aca="false">IF(OR(LEN($A34&amp;$B34)=0,$F34=""),0,1)</f>
        <v>0</v>
      </c>
      <c r="AF34" s="11" t="str">
        <f aca="false">IF(AE34=0,"",IF($J34&lt;&gt;"",$J34,IF(OR(CasualCounts="Yes",COUNT($G34:$I34)=0,COUNT($G34:$H34)=0),$F34,MIN($G34:$H34))))</f>
        <v/>
      </c>
      <c r="AG34" s="13" t="str">
        <f aca="false">IF(AE34=0,"",COUNT($G34:$I34))</f>
        <v/>
      </c>
      <c r="AH34" s="11" t="str">
        <f aca="false">IF(AE34=0,"",IFERROR(SMALL($G34:$I34,1),""))</f>
        <v/>
      </c>
      <c r="AI34" s="11" t="str">
        <f aca="false">IF(AE34=0,"",IFERROR(SMALL($G34:$I34,2),""))</f>
        <v/>
      </c>
      <c r="AJ34" s="11" t="str">
        <f aca="false">IF(AE34=0,"",IFERROR(SMALL($G34:$I34,3),""))</f>
        <v/>
      </c>
      <c r="AK34" s="13" t="str">
        <f aca="false">IF(AE34=0,"",IF(AH34="","",IF(AH34=$G34,"Part-Time",IF(AH34=$H34,"Full-Time","Casual"))))</f>
        <v/>
      </c>
      <c r="AL34" s="13" t="str">
        <f aca="false">IF(AE34=0,"",IF(AI34="","",IF(AI34=$G34,"Part-Time",IF(AI34=$H34,"Full-Time","Casual"))))</f>
        <v/>
      </c>
      <c r="AM34" s="13" t="str">
        <f aca="false">IF(AE34=0,"",IF(AJ34="","",IF(AJ34=$G34,"Part-Time",IF(AJ34=$H34,"Full-Time","Casual"))))</f>
        <v/>
      </c>
      <c r="AN34" s="13"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3" t="str">
        <f aca="false">IF(AE34=0,"",IF(AG34&lt;2,"",IF(OR(ISNUMBER(SEARCH("full",AL34)),UPPER(TRIM(AL34))="FT",UPPER(TRIM(AL34))="FTE"),"FT",IF(AND(OR(ISNUMBER(SEARCH("part",AL34)),UPPER(TRIM(AL34))="PT",UPPER(TRIM(AL34))="PTE"),OR($P34="",N($P34)&gt;=PT_MinHours)),"PT","None"))))</f>
        <v/>
      </c>
      <c r="AP34" s="13" t="str">
        <f aca="false">IF(AE34=0,"",IF(AG34&lt;3,"",IF(OR(ISNUMBER(SEARCH("full",AM34)),UPPER(TRIM(AM34))="FT",UPPER(TRIM(AM34))="FTE"),"FT",IF(AND(OR(ISNUMBER(SEARCH("part",AM34)),UPPER(TRIM(AM34))="PT",UPPER(TRIM(AM34))="PTE"),OR($P34="",N($P34)&gt;=PT_MinHours)),"PT","None"))))</f>
        <v/>
      </c>
      <c r="AQ34" s="13" t="str">
        <f aca="false">IF(AE34=0,"",IF(AND(AG34&gt;=3,AJ34&lt;=AsOfDate),AP34,IF(AND(AG34&gt;=2,AI34&lt;=AsOfDate),AO34,AN34)))</f>
        <v/>
      </c>
      <c r="AR34" s="13" t="str">
        <f aca="false">IF(AE34=0,"",IF(AsOfDate&lt;AF34,-1,12*(YEAR(AsOfDate)-YEAR(AF34))+MONTH(AsOfDate)-MONTH(AF34)-IF(DAY(AsOfDate)&lt;MIN(DAY(AF34),DAY(EOMONTH(AsOfDate,0))),1,0)))</f>
        <v/>
      </c>
      <c r="AS34" s="13" t="str">
        <f aca="false">IF(AE34=0,"",IF(OR(AG34&lt;2,AI34&gt;AsOfDate),AR34,IF((AI34-1)&lt;AF34,-1,12*(YEAR((AI34-1))-YEAR(AF34))+MONTH((AI34-1))-MONTH(AF34)-IF(DAY((AI34-1))&lt;MIN(DAY(AF34),DAY(EOMONTH((AI34-1),0))),1,0))))</f>
        <v/>
      </c>
      <c r="AT34" s="13" t="str">
        <f aca="false">IF(AE34=0,"",IF(OR(AG34&lt;3,AJ34&gt;AsOfDate),AR34,IF((AJ34-1)&lt;AF34,-1,12*(YEAR((AJ34-1))-YEAR(AF34))+MONTH((AJ34-1))-MONTH(AF34)-IF(DAY((AJ34-1))&lt;MIN(DAY(AF34),DAY(EOMONTH((AJ34-1),0))),1,0))))</f>
        <v/>
      </c>
      <c r="AU34" s="13" t="str">
        <f aca="false">IF(AE34=0,"",IF(PFYDate&lt;AF34,-1,12*(YEAR(PFYDate)-YEAR(AF34))+MONTH(PFYDate)-MONTH(AF34)-IF(DAY(PFYDate)&lt;MIN(DAY(AF34),DAY(EOMONTH(PFYDate,0))),1,0)))</f>
        <v/>
      </c>
      <c r="AV34" s="13" t="str">
        <f aca="false">IF(AE34=0,"",IF(OR(AG34&lt;2,AI34&gt;PFYDate),AU34,IF((AI34-1)&lt;AF34,-1,12*(YEAR((AI34-1))-YEAR(AF34))+MONTH((AI34-1))-MONTH(AF34)-IF(DAY((AI34-1))&lt;MIN(DAY(AF34),DAY(EOMONTH((AI34-1),0))),1,0))))</f>
        <v/>
      </c>
      <c r="AW34" s="13" t="str">
        <f aca="false">IF(AE34=0,"",IF(OR(AG34&lt;3,AJ34&gt;PFYDate),AU34,IF((AJ34-1)&lt;AF34,-1,12*(YEAR((AJ34-1))-YEAR(AF34))+MONTH((AJ34-1))-MONTH(AF34)-IF(DAY((AJ34-1))&lt;MIN(DAY(AF34),DAY(EOMONTH((AJ34-1),0))),1,0))))</f>
        <v/>
      </c>
      <c r="AX34" s="13"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3"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3" t="str">
        <f aca="false">IF(AE34=0,"",IF(AQ34="FT",IF(AR34&lt;FT_First,FT_First,IF(AR34&lt;FT_Y5,MIN(FT_Y5,FT_First+FT_Int1*(INT((AR34-FT_First)/FT_Int1)+1)),FT_Y5+12*INT((AR34-FT_Y5)/12)+FT_Int2*(INT(MOD(AR34-FT_Y5,12)/FT_Int2)+1))),IF(AQ34="PT",IF(AR34&lt;PT_First,PT_First,PT_First+PT_Int*(INT((AR34-PT_First)/PT_Int)+1)),"")))</f>
        <v/>
      </c>
      <c r="BA34" s="13" t="str">
        <f aca="false">IF(AE34=0,"",IF(NOT(LH_Ready),0,COUNTIFS(INDEX(LH_Data,0,LH_ColFirst),$A34,INDEX(LH_Data,0,LH_ColSur),$B34,INDEX(LH_Data,0,LH_ColCat),BonusCat)))</f>
        <v/>
      </c>
      <c r="BB34" s="13" t="str">
        <f aca="false">IF(AE34=0,"",IF(OR(NOT(LH_Ready),BA34=0),0,SUMPRODUCT(MAX((INDEX(LH_Data,0,LH_ColFirst)=$A34)*(INDEX(LH_Data,0,LH_ColSur)=$B34)*(INDEX(LH_Data,0,LH_ColCat)=BonusCat)*ROW(LH_Data)))))</f>
        <v/>
      </c>
      <c r="BC34" s="0" t="str">
        <f aca="false">IF(LEN($A34&amp;$B34)=0,"",$A34&amp;" "&amp;$B34)</f>
        <v/>
      </c>
    </row>
    <row r="35" customFormat="false" ht="15" hidden="false" customHeight="false" outlineLevel="0" collapsed="false">
      <c r="A35" s="9"/>
      <c r="B35" s="9"/>
      <c r="C35" s="9"/>
      <c r="D35" s="10"/>
      <c r="E35" s="11" t="str">
        <f aca="false">IF(OR(AE35=0,$D35=""),"",DATE(YEAR(AsOfDate)+IF(DATE(YEAR(AsOfDate),MONTH($D35),DAY($D35))&lt;=AsOfDate,1,0),MONTH($D35),DAY($D35)))</f>
        <v/>
      </c>
      <c r="F35" s="10"/>
      <c r="G35" s="10"/>
      <c r="H35" s="10"/>
      <c r="I35" s="10"/>
      <c r="J35" s="10"/>
      <c r="K35" s="11" t="str">
        <f aca="false">IF(AE35=0,"",DATE(YEAR(AsOfDate)+IF(DATE(YEAR(AsOfDate),MONTH(AF35),DAY(AF35))&lt;=AsOfDate,1,0),MONTH(AF35),DAY(AF35)))</f>
        <v/>
      </c>
      <c r="L35" s="12" t="str">
        <f aca="false">IF(AE35=0,"",ROUND((AsOfDate-AF35)/365.25,1))</f>
        <v/>
      </c>
      <c r="M35" s="13" t="str">
        <f aca="false">IF(AE35=0,"",IF(AsOfDate&lt;AF35,"-",DATEDIF(AF35,AsOfDate,"y")&amp;"y "&amp;DATEDIF(AF35,AsOfDate,"ym")&amp;"m "&amp;DATEDIF(AF35,AsOfDate,"md")&amp;"d"))</f>
        <v/>
      </c>
      <c r="N35" s="14" t="str">
        <f aca="false">IF(AE35=0,"",O35*HoursPerDay)</f>
        <v/>
      </c>
      <c r="O35" s="14" t="str">
        <f aca="false">IF(AE35=0,"",AX35)</f>
        <v/>
      </c>
      <c r="P35" s="15"/>
      <c r="Q35" s="13"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
      </c>
      <c r="R35" s="13"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1" t="str">
        <f aca="false">IF(AE35=0,"",IF(AQ35="None","",EDATE(AF35,AZ35)))</f>
        <v/>
      </c>
      <c r="T35" s="14" t="str">
        <f aca="false">IF(AE35=0,"",IF(NOT(LH_Ready),"",IF(AF35&gt;PFYDate,0,IF(LH_ColPeriod=0,W35-U35+V35,SUMIFS(INDEX(LH_Data,0,LH_ColAcc),INDEX(LH_Data,0,LH_ColFirst),$A35,INDEX(LH_Data,0,LH_ColSur),$B35,INDEX(LH_Data,0,LH_ColCat),BonusCat,INDEX(LH_Data,0,LH_ColPeriod),LH_OpenLabel)*UnitFactor))))</f>
        <v/>
      </c>
      <c r="U35" s="14" t="str">
        <f aca="false">IF(AE35=0,"",IF(NOT(LH_Ready),"",SUMIFS(INDEX(LH_Data,0,LH_ColAcc),INDEX(LH_Data,0,LH_ColFirst),$A35,INDEX(LH_Data,0,LH_ColSur),$B35,INDEX(LH_Data,0,LH_ColCat),BonusCat,INDEX(LH_Data,0,LH_ColStart),"&gt;="&amp;AF35)*UnitFactor))</f>
        <v/>
      </c>
      <c r="V35" s="14" t="str">
        <f aca="false">IF(AE35=0,"",IF(NOT(LH_Ready),"",SUMIFS(INDEX(LH_Data,0,LH_ColTaken),INDEX(LH_Data,0,LH_ColFirst),$A35,INDEX(LH_Data,0,LH_ColSur),$B35,INDEX(LH_Data,0,LH_ColCat),BonusCat,INDEX(LH_Data,0,LH_ColStart),"&gt;="&amp;AF35)*UnitFactor))</f>
        <v/>
      </c>
      <c r="W35" s="14" t="str">
        <f aca="false">IF(AE35=0,"",IF(NOT(LH_Ready),"",IF(BB35=0,0,INDEX(INDEX(LH_Data,0,LH_ColClose),BB35-1)*UnitFactor)))</f>
        <v/>
      </c>
      <c r="X35" s="14" t="str">
        <f aca="false">IF(AE35=0,"",(AX35-AY35)*HoursPerDay)</f>
        <v/>
      </c>
      <c r="Y35" s="14" t="str">
        <f aca="false">IF(AE35=0,"",IF(NOT(LH_Ready),"",IF(BA35=0,N35,IF(PFYDate&lt;$F35,N35-N(T35)-N(U35),X35-N(U35)))))</f>
        <v/>
      </c>
      <c r="Z35" s="13" t="str">
        <f aca="false">IF(OR(AE35=0,Y35=""),"",IF(Y35&gt;0,"Yes","No"))</f>
        <v/>
      </c>
      <c r="AA35" s="13"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 hrs more than policy since commencement",IF(N(W35)&gt;O35*HoursPerDay+0.01,"CHECK - EH balance "&amp;ROUND(W35-O35*HoursPerDay,2)&amp;" hrs more than policy entitlement",IF(O35&gt;0,"OK - nothing to add",IF(AQ35="None",R35,"Not yet - first day on "&amp;TEXT(S35,"dd/mm/yyyy")))))))))</f>
        <v/>
      </c>
      <c r="AB35" s="14" t="str">
        <f aca="false">IF(OR(AE35=0,T35=""),"",AY35*HoursPerDay-T35)</f>
        <v/>
      </c>
      <c r="AC35" s="13" t="str">
        <f aca="false">IF(AE35=0,"",BA35)</f>
        <v/>
      </c>
      <c r="AD35" s="13"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3" t="n">
        <f aca="false">IF(OR(LEN($A35&amp;$B35)=0,$F35=""),0,1)</f>
        <v>0</v>
      </c>
      <c r="AF35" s="11" t="str">
        <f aca="false">IF(AE35=0,"",IF($J35&lt;&gt;"",$J35,IF(OR(CasualCounts="Yes",COUNT($G35:$I35)=0,COUNT($G35:$H35)=0),$F35,MIN($G35:$H35))))</f>
        <v/>
      </c>
      <c r="AG35" s="13" t="str">
        <f aca="false">IF(AE35=0,"",COUNT($G35:$I35))</f>
        <v/>
      </c>
      <c r="AH35" s="11" t="str">
        <f aca="false">IF(AE35=0,"",IFERROR(SMALL($G35:$I35,1),""))</f>
        <v/>
      </c>
      <c r="AI35" s="11" t="str">
        <f aca="false">IF(AE35=0,"",IFERROR(SMALL($G35:$I35,2),""))</f>
        <v/>
      </c>
      <c r="AJ35" s="11" t="str">
        <f aca="false">IF(AE35=0,"",IFERROR(SMALL($G35:$I35,3),""))</f>
        <v/>
      </c>
      <c r="AK35" s="13" t="str">
        <f aca="false">IF(AE35=0,"",IF(AH35="","",IF(AH35=$G35,"Part-Time",IF(AH35=$H35,"Full-Time","Casual"))))</f>
        <v/>
      </c>
      <c r="AL35" s="13" t="str">
        <f aca="false">IF(AE35=0,"",IF(AI35="","",IF(AI35=$G35,"Part-Time",IF(AI35=$H35,"Full-Time","Casual"))))</f>
        <v/>
      </c>
      <c r="AM35" s="13" t="str">
        <f aca="false">IF(AE35=0,"",IF(AJ35="","",IF(AJ35=$G35,"Part-Time",IF(AJ35=$H35,"Full-Time","Casual"))))</f>
        <v/>
      </c>
      <c r="AN35" s="13"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3" t="str">
        <f aca="false">IF(AE35=0,"",IF(AG35&lt;2,"",IF(OR(ISNUMBER(SEARCH("full",AL35)),UPPER(TRIM(AL35))="FT",UPPER(TRIM(AL35))="FTE"),"FT",IF(AND(OR(ISNUMBER(SEARCH("part",AL35)),UPPER(TRIM(AL35))="PT",UPPER(TRIM(AL35))="PTE"),OR($P35="",N($P35)&gt;=PT_MinHours)),"PT","None"))))</f>
        <v/>
      </c>
      <c r="AP35" s="13" t="str">
        <f aca="false">IF(AE35=0,"",IF(AG35&lt;3,"",IF(OR(ISNUMBER(SEARCH("full",AM35)),UPPER(TRIM(AM35))="FT",UPPER(TRIM(AM35))="FTE"),"FT",IF(AND(OR(ISNUMBER(SEARCH("part",AM35)),UPPER(TRIM(AM35))="PT",UPPER(TRIM(AM35))="PTE"),OR($P35="",N($P35)&gt;=PT_MinHours)),"PT","None"))))</f>
        <v/>
      </c>
      <c r="AQ35" s="13" t="str">
        <f aca="false">IF(AE35=0,"",IF(AND(AG35&gt;=3,AJ35&lt;=AsOfDate),AP35,IF(AND(AG35&gt;=2,AI35&lt;=AsOfDate),AO35,AN35)))</f>
        <v/>
      </c>
      <c r="AR35" s="13" t="str">
        <f aca="false">IF(AE35=0,"",IF(AsOfDate&lt;AF35,-1,12*(YEAR(AsOfDate)-YEAR(AF35))+MONTH(AsOfDate)-MONTH(AF35)-IF(DAY(AsOfDate)&lt;MIN(DAY(AF35),DAY(EOMONTH(AsOfDate,0))),1,0)))</f>
        <v/>
      </c>
      <c r="AS35" s="13" t="str">
        <f aca="false">IF(AE35=0,"",IF(OR(AG35&lt;2,AI35&gt;AsOfDate),AR35,IF((AI35-1)&lt;AF35,-1,12*(YEAR((AI35-1))-YEAR(AF35))+MONTH((AI35-1))-MONTH(AF35)-IF(DAY((AI35-1))&lt;MIN(DAY(AF35),DAY(EOMONTH((AI35-1),0))),1,0))))</f>
        <v/>
      </c>
      <c r="AT35" s="13" t="str">
        <f aca="false">IF(AE35=0,"",IF(OR(AG35&lt;3,AJ35&gt;AsOfDate),AR35,IF((AJ35-1)&lt;AF35,-1,12*(YEAR((AJ35-1))-YEAR(AF35))+MONTH((AJ35-1))-MONTH(AF35)-IF(DAY((AJ35-1))&lt;MIN(DAY(AF35),DAY(EOMONTH((AJ35-1),0))),1,0))))</f>
        <v/>
      </c>
      <c r="AU35" s="13" t="str">
        <f aca="false">IF(AE35=0,"",IF(PFYDate&lt;AF35,-1,12*(YEAR(PFYDate)-YEAR(AF35))+MONTH(PFYDate)-MONTH(AF35)-IF(DAY(PFYDate)&lt;MIN(DAY(AF35),DAY(EOMONTH(PFYDate,0))),1,0)))</f>
        <v/>
      </c>
      <c r="AV35" s="13" t="str">
        <f aca="false">IF(AE35=0,"",IF(OR(AG35&lt;2,AI35&gt;PFYDate),AU35,IF((AI35-1)&lt;AF35,-1,12*(YEAR((AI35-1))-YEAR(AF35))+MONTH((AI35-1))-MONTH(AF35)-IF(DAY((AI35-1))&lt;MIN(DAY(AF35),DAY(EOMONTH((AI35-1),0))),1,0))))</f>
        <v/>
      </c>
      <c r="AW35" s="13" t="str">
        <f aca="false">IF(AE35=0,"",IF(OR(AG35&lt;3,AJ35&gt;PFYDate),AU35,IF((AJ35-1)&lt;AF35,-1,12*(YEAR((AJ35-1))-YEAR(AF35))+MONTH((AJ35-1))-MONTH(AF35)-IF(DAY((AJ35-1))&lt;MIN(DAY(AF35),DAY(EOMONTH((AJ35-1),0))),1,0))))</f>
        <v/>
      </c>
      <c r="AX35" s="13"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3"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3" t="str">
        <f aca="false">IF(AE35=0,"",IF(AQ35="FT",IF(AR35&lt;FT_First,FT_First,IF(AR35&lt;FT_Y5,MIN(FT_Y5,FT_First+FT_Int1*(INT((AR35-FT_First)/FT_Int1)+1)),FT_Y5+12*INT((AR35-FT_Y5)/12)+FT_Int2*(INT(MOD(AR35-FT_Y5,12)/FT_Int2)+1))),IF(AQ35="PT",IF(AR35&lt;PT_First,PT_First,PT_First+PT_Int*(INT((AR35-PT_First)/PT_Int)+1)),"")))</f>
        <v/>
      </c>
      <c r="BA35" s="13" t="str">
        <f aca="false">IF(AE35=0,"",IF(NOT(LH_Ready),0,COUNTIFS(INDEX(LH_Data,0,LH_ColFirst),$A35,INDEX(LH_Data,0,LH_ColSur),$B35,INDEX(LH_Data,0,LH_ColCat),BonusCat)))</f>
        <v/>
      </c>
      <c r="BB35" s="13" t="str">
        <f aca="false">IF(AE35=0,"",IF(OR(NOT(LH_Ready),BA35=0),0,SUMPRODUCT(MAX((INDEX(LH_Data,0,LH_ColFirst)=$A35)*(INDEX(LH_Data,0,LH_ColSur)=$B35)*(INDEX(LH_Data,0,LH_ColCat)=BonusCat)*ROW(LH_Data)))))</f>
        <v/>
      </c>
      <c r="BC35" s="0" t="str">
        <f aca="false">IF(LEN($A35&amp;$B35)=0,"",$A35&amp;" "&amp;$B35)</f>
        <v/>
      </c>
    </row>
    <row r="36" customFormat="false" ht="15" hidden="false" customHeight="false" outlineLevel="0" collapsed="false">
      <c r="A36" s="9"/>
      <c r="B36" s="9"/>
      <c r="C36" s="9"/>
      <c r="D36" s="10"/>
      <c r="E36" s="11" t="str">
        <f aca="false">IF(OR(AE36=0,$D36=""),"",DATE(YEAR(AsOfDate)+IF(DATE(YEAR(AsOfDate),MONTH($D36),DAY($D36))&lt;=AsOfDate,1,0),MONTH($D36),DAY($D36)))</f>
        <v/>
      </c>
      <c r="F36" s="10"/>
      <c r="G36" s="10"/>
      <c r="H36" s="10"/>
      <c r="I36" s="10"/>
      <c r="J36" s="10"/>
      <c r="K36" s="11" t="str">
        <f aca="false">IF(AE36=0,"",DATE(YEAR(AsOfDate)+IF(DATE(YEAR(AsOfDate),MONTH(AF36),DAY(AF36))&lt;=AsOfDate,1,0),MONTH(AF36),DAY(AF36)))</f>
        <v/>
      </c>
      <c r="L36" s="12" t="str">
        <f aca="false">IF(AE36=0,"",ROUND((AsOfDate-AF36)/365.25,1))</f>
        <v/>
      </c>
      <c r="M36" s="13" t="str">
        <f aca="false">IF(AE36=0,"",IF(AsOfDate&lt;AF36,"-",DATEDIF(AF36,AsOfDate,"y")&amp;"y "&amp;DATEDIF(AF36,AsOfDate,"ym")&amp;"m "&amp;DATEDIF(AF36,AsOfDate,"md")&amp;"d"))</f>
        <v/>
      </c>
      <c r="N36" s="14" t="str">
        <f aca="false">IF(AE36=0,"",O36*HoursPerDay)</f>
        <v/>
      </c>
      <c r="O36" s="14" t="str">
        <f aca="false">IF(AE36=0,"",AX36)</f>
        <v/>
      </c>
      <c r="P36" s="15"/>
      <c r="Q36" s="13"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13"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1" t="str">
        <f aca="false">IF(AE36=0,"",IF(AQ36="None","",EDATE(AF36,AZ36)))</f>
        <v/>
      </c>
      <c r="T36" s="14" t="str">
        <f aca="false">IF(AE36=0,"",IF(NOT(LH_Ready),"",IF(AF36&gt;PFYDate,0,IF(LH_ColPeriod=0,W36-U36+V36,SUMIFS(INDEX(LH_Data,0,LH_ColAcc),INDEX(LH_Data,0,LH_ColFirst),$A36,INDEX(LH_Data,0,LH_ColSur),$B36,INDEX(LH_Data,0,LH_ColCat),BonusCat,INDEX(LH_Data,0,LH_ColPeriod),LH_OpenLabel)*UnitFactor))))</f>
        <v/>
      </c>
      <c r="U36" s="14" t="str">
        <f aca="false">IF(AE36=0,"",IF(NOT(LH_Ready),"",SUMIFS(INDEX(LH_Data,0,LH_ColAcc),INDEX(LH_Data,0,LH_ColFirst),$A36,INDEX(LH_Data,0,LH_ColSur),$B36,INDEX(LH_Data,0,LH_ColCat),BonusCat,INDEX(LH_Data,0,LH_ColStart),"&gt;="&amp;AF36)*UnitFactor))</f>
        <v/>
      </c>
      <c r="V36" s="14" t="str">
        <f aca="false">IF(AE36=0,"",IF(NOT(LH_Ready),"",SUMIFS(INDEX(LH_Data,0,LH_ColTaken),INDEX(LH_Data,0,LH_ColFirst),$A36,INDEX(LH_Data,0,LH_ColSur),$B36,INDEX(LH_Data,0,LH_ColCat),BonusCat,INDEX(LH_Data,0,LH_ColStart),"&gt;="&amp;AF36)*UnitFactor))</f>
        <v/>
      </c>
      <c r="W36" s="14" t="str">
        <f aca="false">IF(AE36=0,"",IF(NOT(LH_Ready),"",IF(BB36=0,0,INDEX(INDEX(LH_Data,0,LH_ColClose),BB36-1)*UnitFactor)))</f>
        <v/>
      </c>
      <c r="X36" s="14" t="str">
        <f aca="false">IF(AE36=0,"",(AX36-AY36)*HoursPerDay)</f>
        <v/>
      </c>
      <c r="Y36" s="14" t="str">
        <f aca="false">IF(AE36=0,"",IF(NOT(LH_Ready),"",IF(BA36=0,N36,IF(PFYDate&lt;$F36,N36-N(T36)-N(U36),X36-N(U36)))))</f>
        <v/>
      </c>
      <c r="Z36" s="13" t="str">
        <f aca="false">IF(OR(AE36=0,Y36=""),"",IF(Y36&gt;0,"Yes","No"))</f>
        <v/>
      </c>
      <c r="AA36" s="13"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 hrs more than policy since commencement",IF(N(W36)&gt;O36*HoursPerDay+0.01,"CHECK - EH balance "&amp;ROUND(W36-O36*HoursPerDay,2)&amp;" hrs more than policy entitlement",IF(O36&gt;0,"OK - nothing to add",IF(AQ36="None",R36,"Not yet - first day on "&amp;TEXT(S36,"dd/mm/yyyy")))))))))</f>
        <v/>
      </c>
      <c r="AB36" s="14" t="str">
        <f aca="false">IF(OR(AE36=0,T36=""),"",AY36*HoursPerDay-T36)</f>
        <v/>
      </c>
      <c r="AC36" s="13" t="str">
        <f aca="false">IF(AE36=0,"",BA36)</f>
        <v/>
      </c>
      <c r="AD36" s="13"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3" t="n">
        <f aca="false">IF(OR(LEN($A36&amp;$B36)=0,$F36=""),0,1)</f>
        <v>0</v>
      </c>
      <c r="AF36" s="11" t="str">
        <f aca="false">IF(AE36=0,"",IF($J36&lt;&gt;"",$J36,IF(OR(CasualCounts="Yes",COUNT($G36:$I36)=0,COUNT($G36:$H36)=0),$F36,MIN($G36:$H36))))</f>
        <v/>
      </c>
      <c r="AG36" s="13" t="str">
        <f aca="false">IF(AE36=0,"",COUNT($G36:$I36))</f>
        <v/>
      </c>
      <c r="AH36" s="11" t="str">
        <f aca="false">IF(AE36=0,"",IFERROR(SMALL($G36:$I36,1),""))</f>
        <v/>
      </c>
      <c r="AI36" s="11" t="str">
        <f aca="false">IF(AE36=0,"",IFERROR(SMALL($G36:$I36,2),""))</f>
        <v/>
      </c>
      <c r="AJ36" s="11" t="str">
        <f aca="false">IF(AE36=0,"",IFERROR(SMALL($G36:$I36,3),""))</f>
        <v/>
      </c>
      <c r="AK36" s="13" t="str">
        <f aca="false">IF(AE36=0,"",IF(AH36="","",IF(AH36=$G36,"Part-Time",IF(AH36=$H36,"Full-Time","Casual"))))</f>
        <v/>
      </c>
      <c r="AL36" s="13" t="str">
        <f aca="false">IF(AE36=0,"",IF(AI36="","",IF(AI36=$G36,"Part-Time",IF(AI36=$H36,"Full-Time","Casual"))))</f>
        <v/>
      </c>
      <c r="AM36" s="13" t="str">
        <f aca="false">IF(AE36=0,"",IF(AJ36="","",IF(AJ36=$G36,"Part-Time",IF(AJ36=$H36,"Full-Time","Casual"))))</f>
        <v/>
      </c>
      <c r="AN36" s="13"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3" t="str">
        <f aca="false">IF(AE36=0,"",IF(AG36&lt;2,"",IF(OR(ISNUMBER(SEARCH("full",AL36)),UPPER(TRIM(AL36))="FT",UPPER(TRIM(AL36))="FTE"),"FT",IF(AND(OR(ISNUMBER(SEARCH("part",AL36)),UPPER(TRIM(AL36))="PT",UPPER(TRIM(AL36))="PTE"),OR($P36="",N($P36)&gt;=PT_MinHours)),"PT","None"))))</f>
        <v/>
      </c>
      <c r="AP36" s="13" t="str">
        <f aca="false">IF(AE36=0,"",IF(AG36&lt;3,"",IF(OR(ISNUMBER(SEARCH("full",AM36)),UPPER(TRIM(AM36))="FT",UPPER(TRIM(AM36))="FTE"),"FT",IF(AND(OR(ISNUMBER(SEARCH("part",AM36)),UPPER(TRIM(AM36))="PT",UPPER(TRIM(AM36))="PTE"),OR($P36="",N($P36)&gt;=PT_MinHours)),"PT","None"))))</f>
        <v/>
      </c>
      <c r="AQ36" s="13" t="str">
        <f aca="false">IF(AE36=0,"",IF(AND(AG36&gt;=3,AJ36&lt;=AsOfDate),AP36,IF(AND(AG36&gt;=2,AI36&lt;=AsOfDate),AO36,AN36)))</f>
        <v/>
      </c>
      <c r="AR36" s="13" t="str">
        <f aca="false">IF(AE36=0,"",IF(AsOfDate&lt;AF36,-1,12*(YEAR(AsOfDate)-YEAR(AF36))+MONTH(AsOfDate)-MONTH(AF36)-IF(DAY(AsOfDate)&lt;MIN(DAY(AF36),DAY(EOMONTH(AsOfDate,0))),1,0)))</f>
        <v/>
      </c>
      <c r="AS36" s="13" t="str">
        <f aca="false">IF(AE36=0,"",IF(OR(AG36&lt;2,AI36&gt;AsOfDate),AR36,IF((AI36-1)&lt;AF36,-1,12*(YEAR((AI36-1))-YEAR(AF36))+MONTH((AI36-1))-MONTH(AF36)-IF(DAY((AI36-1))&lt;MIN(DAY(AF36),DAY(EOMONTH((AI36-1),0))),1,0))))</f>
        <v/>
      </c>
      <c r="AT36" s="13" t="str">
        <f aca="false">IF(AE36=0,"",IF(OR(AG36&lt;3,AJ36&gt;AsOfDate),AR36,IF((AJ36-1)&lt;AF36,-1,12*(YEAR((AJ36-1))-YEAR(AF36))+MONTH((AJ36-1))-MONTH(AF36)-IF(DAY((AJ36-1))&lt;MIN(DAY(AF36),DAY(EOMONTH((AJ36-1),0))),1,0))))</f>
        <v/>
      </c>
      <c r="AU36" s="13" t="str">
        <f aca="false">IF(AE36=0,"",IF(PFYDate&lt;AF36,-1,12*(YEAR(PFYDate)-YEAR(AF36))+MONTH(PFYDate)-MONTH(AF36)-IF(DAY(PFYDate)&lt;MIN(DAY(AF36),DAY(EOMONTH(PFYDate,0))),1,0)))</f>
        <v/>
      </c>
      <c r="AV36" s="13" t="str">
        <f aca="false">IF(AE36=0,"",IF(OR(AG36&lt;2,AI36&gt;PFYDate),AU36,IF((AI36-1)&lt;AF36,-1,12*(YEAR((AI36-1))-YEAR(AF36))+MONTH((AI36-1))-MONTH(AF36)-IF(DAY((AI36-1))&lt;MIN(DAY(AF36),DAY(EOMONTH((AI36-1),0))),1,0))))</f>
        <v/>
      </c>
      <c r="AW36" s="13" t="str">
        <f aca="false">IF(AE36=0,"",IF(OR(AG36&lt;3,AJ36&gt;PFYDate),AU36,IF((AJ36-1)&lt;AF36,-1,12*(YEAR((AJ36-1))-YEAR(AF36))+MONTH((AJ36-1))-MONTH(AF36)-IF(DAY((AJ36-1))&lt;MIN(DAY(AF36),DAY(EOMONTH((AJ36-1),0))),1,0))))</f>
        <v/>
      </c>
      <c r="AX36" s="13"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3"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3" t="str">
        <f aca="false">IF(AE36=0,"",IF(AQ36="FT",IF(AR36&lt;FT_First,FT_First,IF(AR36&lt;FT_Y5,MIN(FT_Y5,FT_First+FT_Int1*(INT((AR36-FT_First)/FT_Int1)+1)),FT_Y5+12*INT((AR36-FT_Y5)/12)+FT_Int2*(INT(MOD(AR36-FT_Y5,12)/FT_Int2)+1))),IF(AQ36="PT",IF(AR36&lt;PT_First,PT_First,PT_First+PT_Int*(INT((AR36-PT_First)/PT_Int)+1)),"")))</f>
        <v/>
      </c>
      <c r="BA36" s="13" t="str">
        <f aca="false">IF(AE36=0,"",IF(NOT(LH_Ready),0,COUNTIFS(INDEX(LH_Data,0,LH_ColFirst),$A36,INDEX(LH_Data,0,LH_ColSur),$B36,INDEX(LH_Data,0,LH_ColCat),BonusCat)))</f>
        <v/>
      </c>
      <c r="BB36" s="13" t="str">
        <f aca="false">IF(AE36=0,"",IF(OR(NOT(LH_Ready),BA36=0),0,SUMPRODUCT(MAX((INDEX(LH_Data,0,LH_ColFirst)=$A36)*(INDEX(LH_Data,0,LH_ColSur)=$B36)*(INDEX(LH_Data,0,LH_ColCat)=BonusCat)*ROW(LH_Data)))))</f>
        <v/>
      </c>
      <c r="BC36" s="0" t="str">
        <f aca="false">IF(LEN($A36&amp;$B36)=0,"",$A36&amp;" "&amp;$B36)</f>
        <v/>
      </c>
    </row>
    <row r="37" customFormat="false" ht="15" hidden="false" customHeight="false" outlineLevel="0" collapsed="false">
      <c r="A37" s="9"/>
      <c r="B37" s="9"/>
      <c r="C37" s="9"/>
      <c r="D37" s="10"/>
      <c r="E37" s="11" t="str">
        <f aca="false">IF(OR(AE37=0,$D37=""),"",DATE(YEAR(AsOfDate)+IF(DATE(YEAR(AsOfDate),MONTH($D37),DAY($D37))&lt;=AsOfDate,1,0),MONTH($D37),DAY($D37)))</f>
        <v/>
      </c>
      <c r="F37" s="10"/>
      <c r="G37" s="10"/>
      <c r="H37" s="10"/>
      <c r="I37" s="10"/>
      <c r="J37" s="10"/>
      <c r="K37" s="11" t="str">
        <f aca="false">IF(AE37=0,"",DATE(YEAR(AsOfDate)+IF(DATE(YEAR(AsOfDate),MONTH(AF37),DAY(AF37))&lt;=AsOfDate,1,0),MONTH(AF37),DAY(AF37)))</f>
        <v/>
      </c>
      <c r="L37" s="12" t="str">
        <f aca="false">IF(AE37=0,"",ROUND((AsOfDate-AF37)/365.25,1))</f>
        <v/>
      </c>
      <c r="M37" s="13" t="str">
        <f aca="false">IF(AE37=0,"",IF(AsOfDate&lt;AF37,"-",DATEDIF(AF37,AsOfDate,"y")&amp;"y "&amp;DATEDIF(AF37,AsOfDate,"ym")&amp;"m "&amp;DATEDIF(AF37,AsOfDate,"md")&amp;"d"))</f>
        <v/>
      </c>
      <c r="N37" s="14" t="str">
        <f aca="false">IF(AE37=0,"",O37*HoursPerDay)</f>
        <v/>
      </c>
      <c r="O37" s="14" t="str">
        <f aca="false">IF(AE37=0,"",AX37)</f>
        <v/>
      </c>
      <c r="P37" s="15"/>
      <c r="Q37" s="13"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13"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1" t="str">
        <f aca="false">IF(AE37=0,"",IF(AQ37="None","",EDATE(AF37,AZ37)))</f>
        <v/>
      </c>
      <c r="T37" s="14" t="str">
        <f aca="false">IF(AE37=0,"",IF(NOT(LH_Ready),"",IF(AF37&gt;PFYDate,0,IF(LH_ColPeriod=0,W37-U37+V37,SUMIFS(INDEX(LH_Data,0,LH_ColAcc),INDEX(LH_Data,0,LH_ColFirst),$A37,INDEX(LH_Data,0,LH_ColSur),$B37,INDEX(LH_Data,0,LH_ColCat),BonusCat,INDEX(LH_Data,0,LH_ColPeriod),LH_OpenLabel)*UnitFactor))))</f>
        <v/>
      </c>
      <c r="U37" s="14" t="str">
        <f aca="false">IF(AE37=0,"",IF(NOT(LH_Ready),"",SUMIFS(INDEX(LH_Data,0,LH_ColAcc),INDEX(LH_Data,0,LH_ColFirst),$A37,INDEX(LH_Data,0,LH_ColSur),$B37,INDEX(LH_Data,0,LH_ColCat),BonusCat,INDEX(LH_Data,0,LH_ColStart),"&gt;="&amp;AF37)*UnitFactor))</f>
        <v/>
      </c>
      <c r="V37" s="14" t="str">
        <f aca="false">IF(AE37=0,"",IF(NOT(LH_Ready),"",SUMIFS(INDEX(LH_Data,0,LH_ColTaken),INDEX(LH_Data,0,LH_ColFirst),$A37,INDEX(LH_Data,0,LH_ColSur),$B37,INDEX(LH_Data,0,LH_ColCat),BonusCat,INDEX(LH_Data,0,LH_ColStart),"&gt;="&amp;AF37)*UnitFactor))</f>
        <v/>
      </c>
      <c r="W37" s="14" t="str">
        <f aca="false">IF(AE37=0,"",IF(NOT(LH_Ready),"",IF(BB37=0,0,INDEX(INDEX(LH_Data,0,LH_ColClose),BB37-1)*UnitFactor)))</f>
        <v/>
      </c>
      <c r="X37" s="14" t="str">
        <f aca="false">IF(AE37=0,"",(AX37-AY37)*HoursPerDay)</f>
        <v/>
      </c>
      <c r="Y37" s="14" t="str">
        <f aca="false">IF(AE37=0,"",IF(NOT(LH_Ready),"",IF(BA37=0,N37,IF(PFYDate&lt;$F37,N37-N(T37)-N(U37),X37-N(U37)))))</f>
        <v/>
      </c>
      <c r="Z37" s="13" t="str">
        <f aca="false">IF(OR(AE37=0,Y37=""),"",IF(Y37&gt;0,"Yes","No"))</f>
        <v/>
      </c>
      <c r="AA37" s="13"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 hrs more than policy since commencement",IF(N(W37)&gt;O37*HoursPerDay+0.01,"CHECK - EH balance "&amp;ROUND(W37-O37*HoursPerDay,2)&amp;" hrs more than policy entitlement",IF(O37&gt;0,"OK - nothing to add",IF(AQ37="None",R37,"Not yet - first day on "&amp;TEXT(S37,"dd/mm/yyyy")))))))))</f>
        <v/>
      </c>
      <c r="AB37" s="14" t="str">
        <f aca="false">IF(OR(AE37=0,T37=""),"",AY37*HoursPerDay-T37)</f>
        <v/>
      </c>
      <c r="AC37" s="13" t="str">
        <f aca="false">IF(AE37=0,"",BA37)</f>
        <v/>
      </c>
      <c r="AD37" s="13"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3" t="n">
        <f aca="false">IF(OR(LEN($A37&amp;$B37)=0,$F37=""),0,1)</f>
        <v>0</v>
      </c>
      <c r="AF37" s="11" t="str">
        <f aca="false">IF(AE37=0,"",IF($J37&lt;&gt;"",$J37,IF(OR(CasualCounts="Yes",COUNT($G37:$I37)=0,COUNT($G37:$H37)=0),$F37,MIN($G37:$H37))))</f>
        <v/>
      </c>
      <c r="AG37" s="13" t="str">
        <f aca="false">IF(AE37=0,"",COUNT($G37:$I37))</f>
        <v/>
      </c>
      <c r="AH37" s="11" t="str">
        <f aca="false">IF(AE37=0,"",IFERROR(SMALL($G37:$I37,1),""))</f>
        <v/>
      </c>
      <c r="AI37" s="11" t="str">
        <f aca="false">IF(AE37=0,"",IFERROR(SMALL($G37:$I37,2),""))</f>
        <v/>
      </c>
      <c r="AJ37" s="11" t="str">
        <f aca="false">IF(AE37=0,"",IFERROR(SMALL($G37:$I37,3),""))</f>
        <v/>
      </c>
      <c r="AK37" s="13" t="str">
        <f aca="false">IF(AE37=0,"",IF(AH37="","",IF(AH37=$G37,"Part-Time",IF(AH37=$H37,"Full-Time","Casual"))))</f>
        <v/>
      </c>
      <c r="AL37" s="13" t="str">
        <f aca="false">IF(AE37=0,"",IF(AI37="","",IF(AI37=$G37,"Part-Time",IF(AI37=$H37,"Full-Time","Casual"))))</f>
        <v/>
      </c>
      <c r="AM37" s="13" t="str">
        <f aca="false">IF(AE37=0,"",IF(AJ37="","",IF(AJ37=$G37,"Part-Time",IF(AJ37=$H37,"Full-Time","Casual"))))</f>
        <v/>
      </c>
      <c r="AN37" s="13"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3" t="str">
        <f aca="false">IF(AE37=0,"",IF(AG37&lt;2,"",IF(OR(ISNUMBER(SEARCH("full",AL37)),UPPER(TRIM(AL37))="FT",UPPER(TRIM(AL37))="FTE"),"FT",IF(AND(OR(ISNUMBER(SEARCH("part",AL37)),UPPER(TRIM(AL37))="PT",UPPER(TRIM(AL37))="PTE"),OR($P37="",N($P37)&gt;=PT_MinHours)),"PT","None"))))</f>
        <v/>
      </c>
      <c r="AP37" s="13" t="str">
        <f aca="false">IF(AE37=0,"",IF(AG37&lt;3,"",IF(OR(ISNUMBER(SEARCH("full",AM37)),UPPER(TRIM(AM37))="FT",UPPER(TRIM(AM37))="FTE"),"FT",IF(AND(OR(ISNUMBER(SEARCH("part",AM37)),UPPER(TRIM(AM37))="PT",UPPER(TRIM(AM37))="PTE"),OR($P37="",N($P37)&gt;=PT_MinHours)),"PT","None"))))</f>
        <v/>
      </c>
      <c r="AQ37" s="13" t="str">
        <f aca="false">IF(AE37=0,"",IF(AND(AG37&gt;=3,AJ37&lt;=AsOfDate),AP37,IF(AND(AG37&gt;=2,AI37&lt;=AsOfDate),AO37,AN37)))</f>
        <v/>
      </c>
      <c r="AR37" s="13" t="str">
        <f aca="false">IF(AE37=0,"",IF(AsOfDate&lt;AF37,-1,12*(YEAR(AsOfDate)-YEAR(AF37))+MONTH(AsOfDate)-MONTH(AF37)-IF(DAY(AsOfDate)&lt;MIN(DAY(AF37),DAY(EOMONTH(AsOfDate,0))),1,0)))</f>
        <v/>
      </c>
      <c r="AS37" s="13" t="str">
        <f aca="false">IF(AE37=0,"",IF(OR(AG37&lt;2,AI37&gt;AsOfDate),AR37,IF((AI37-1)&lt;AF37,-1,12*(YEAR((AI37-1))-YEAR(AF37))+MONTH((AI37-1))-MONTH(AF37)-IF(DAY((AI37-1))&lt;MIN(DAY(AF37),DAY(EOMONTH((AI37-1),0))),1,0))))</f>
        <v/>
      </c>
      <c r="AT37" s="13" t="str">
        <f aca="false">IF(AE37=0,"",IF(OR(AG37&lt;3,AJ37&gt;AsOfDate),AR37,IF((AJ37-1)&lt;AF37,-1,12*(YEAR((AJ37-1))-YEAR(AF37))+MONTH((AJ37-1))-MONTH(AF37)-IF(DAY((AJ37-1))&lt;MIN(DAY(AF37),DAY(EOMONTH((AJ37-1),0))),1,0))))</f>
        <v/>
      </c>
      <c r="AU37" s="13" t="str">
        <f aca="false">IF(AE37=0,"",IF(PFYDate&lt;AF37,-1,12*(YEAR(PFYDate)-YEAR(AF37))+MONTH(PFYDate)-MONTH(AF37)-IF(DAY(PFYDate)&lt;MIN(DAY(AF37),DAY(EOMONTH(PFYDate,0))),1,0)))</f>
        <v/>
      </c>
      <c r="AV37" s="13" t="str">
        <f aca="false">IF(AE37=0,"",IF(OR(AG37&lt;2,AI37&gt;PFYDate),AU37,IF((AI37-1)&lt;AF37,-1,12*(YEAR((AI37-1))-YEAR(AF37))+MONTH((AI37-1))-MONTH(AF37)-IF(DAY((AI37-1))&lt;MIN(DAY(AF37),DAY(EOMONTH((AI37-1),0))),1,0))))</f>
        <v/>
      </c>
      <c r="AW37" s="13" t="str">
        <f aca="false">IF(AE37=0,"",IF(OR(AG37&lt;3,AJ37&gt;PFYDate),AU37,IF((AJ37-1)&lt;AF37,-1,12*(YEAR((AJ37-1))-YEAR(AF37))+MONTH((AJ37-1))-MONTH(AF37)-IF(DAY((AJ37-1))&lt;MIN(DAY(AF37),DAY(EOMONTH((AJ37-1),0))),1,0))))</f>
        <v/>
      </c>
      <c r="AX37" s="13"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3"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3" t="str">
        <f aca="false">IF(AE37=0,"",IF(AQ37="FT",IF(AR37&lt;FT_First,FT_First,IF(AR37&lt;FT_Y5,MIN(FT_Y5,FT_First+FT_Int1*(INT((AR37-FT_First)/FT_Int1)+1)),FT_Y5+12*INT((AR37-FT_Y5)/12)+FT_Int2*(INT(MOD(AR37-FT_Y5,12)/FT_Int2)+1))),IF(AQ37="PT",IF(AR37&lt;PT_First,PT_First,PT_First+PT_Int*(INT((AR37-PT_First)/PT_Int)+1)),"")))</f>
        <v/>
      </c>
      <c r="BA37" s="13" t="str">
        <f aca="false">IF(AE37=0,"",IF(NOT(LH_Ready),0,COUNTIFS(INDEX(LH_Data,0,LH_ColFirst),$A37,INDEX(LH_Data,0,LH_ColSur),$B37,INDEX(LH_Data,0,LH_ColCat),BonusCat)))</f>
        <v/>
      </c>
      <c r="BB37" s="13" t="str">
        <f aca="false">IF(AE37=0,"",IF(OR(NOT(LH_Ready),BA37=0),0,SUMPRODUCT(MAX((INDEX(LH_Data,0,LH_ColFirst)=$A37)*(INDEX(LH_Data,0,LH_ColSur)=$B37)*(INDEX(LH_Data,0,LH_ColCat)=BonusCat)*ROW(LH_Data)))))</f>
        <v/>
      </c>
      <c r="BC37" s="0" t="str">
        <f aca="false">IF(LEN($A37&amp;$B37)=0,"",$A37&amp;" "&amp;$B37)</f>
        <v/>
      </c>
    </row>
    <row r="38" customFormat="false" ht="15" hidden="false" customHeight="false" outlineLevel="0" collapsed="false">
      <c r="A38" s="9"/>
      <c r="B38" s="9"/>
      <c r="C38" s="9"/>
      <c r="D38" s="10"/>
      <c r="E38" s="11" t="str">
        <f aca="false">IF(OR(AE38=0,$D38=""),"",DATE(YEAR(AsOfDate)+IF(DATE(YEAR(AsOfDate),MONTH($D38),DAY($D38))&lt;=AsOfDate,1,0),MONTH($D38),DAY($D38)))</f>
        <v/>
      </c>
      <c r="F38" s="10"/>
      <c r="G38" s="10"/>
      <c r="H38" s="10"/>
      <c r="I38" s="10"/>
      <c r="J38" s="10"/>
      <c r="K38" s="11" t="str">
        <f aca="false">IF(AE38=0,"",DATE(YEAR(AsOfDate)+IF(DATE(YEAR(AsOfDate),MONTH(AF38),DAY(AF38))&lt;=AsOfDate,1,0),MONTH(AF38),DAY(AF38)))</f>
        <v/>
      </c>
      <c r="L38" s="12" t="str">
        <f aca="false">IF(AE38=0,"",ROUND((AsOfDate-AF38)/365.25,1))</f>
        <v/>
      </c>
      <c r="M38" s="13" t="str">
        <f aca="false">IF(AE38=0,"",IF(AsOfDate&lt;AF38,"-",DATEDIF(AF38,AsOfDate,"y")&amp;"y "&amp;DATEDIF(AF38,AsOfDate,"ym")&amp;"m "&amp;DATEDIF(AF38,AsOfDate,"md")&amp;"d"))</f>
        <v/>
      </c>
      <c r="N38" s="14" t="str">
        <f aca="false">IF(AE38=0,"",O38*HoursPerDay)</f>
        <v/>
      </c>
      <c r="O38" s="14" t="str">
        <f aca="false">IF(AE38=0,"",AX38)</f>
        <v/>
      </c>
      <c r="P38" s="15"/>
      <c r="Q38" s="13"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13"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1" t="str">
        <f aca="false">IF(AE38=0,"",IF(AQ38="None","",EDATE(AF38,AZ38)))</f>
        <v/>
      </c>
      <c r="T38" s="14" t="str">
        <f aca="false">IF(AE38=0,"",IF(NOT(LH_Ready),"",IF(AF38&gt;PFYDate,0,IF(LH_ColPeriod=0,W38-U38+V38,SUMIFS(INDEX(LH_Data,0,LH_ColAcc),INDEX(LH_Data,0,LH_ColFirst),$A38,INDEX(LH_Data,0,LH_ColSur),$B38,INDEX(LH_Data,0,LH_ColCat),BonusCat,INDEX(LH_Data,0,LH_ColPeriod),LH_OpenLabel)*UnitFactor))))</f>
        <v/>
      </c>
      <c r="U38" s="14" t="str">
        <f aca="false">IF(AE38=0,"",IF(NOT(LH_Ready),"",SUMIFS(INDEX(LH_Data,0,LH_ColAcc),INDEX(LH_Data,0,LH_ColFirst),$A38,INDEX(LH_Data,0,LH_ColSur),$B38,INDEX(LH_Data,0,LH_ColCat),BonusCat,INDEX(LH_Data,0,LH_ColStart),"&gt;="&amp;AF38)*UnitFactor))</f>
        <v/>
      </c>
      <c r="V38" s="14" t="str">
        <f aca="false">IF(AE38=0,"",IF(NOT(LH_Ready),"",SUMIFS(INDEX(LH_Data,0,LH_ColTaken),INDEX(LH_Data,0,LH_ColFirst),$A38,INDEX(LH_Data,0,LH_ColSur),$B38,INDEX(LH_Data,0,LH_ColCat),BonusCat,INDEX(LH_Data,0,LH_ColStart),"&gt;="&amp;AF38)*UnitFactor))</f>
        <v/>
      </c>
      <c r="W38" s="14" t="str">
        <f aca="false">IF(AE38=0,"",IF(NOT(LH_Ready),"",IF(BB38=0,0,INDEX(INDEX(LH_Data,0,LH_ColClose),BB38-1)*UnitFactor)))</f>
        <v/>
      </c>
      <c r="X38" s="14" t="str">
        <f aca="false">IF(AE38=0,"",(AX38-AY38)*HoursPerDay)</f>
        <v/>
      </c>
      <c r="Y38" s="14" t="str">
        <f aca="false">IF(AE38=0,"",IF(NOT(LH_Ready),"",IF(BA38=0,N38,IF(PFYDate&lt;$F38,N38-N(T38)-N(U38),X38-N(U38)))))</f>
        <v/>
      </c>
      <c r="Z38" s="13" t="str">
        <f aca="false">IF(OR(AE38=0,Y38=""),"",IF(Y38&gt;0,"Yes","No"))</f>
        <v/>
      </c>
      <c r="AA38" s="13"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 hrs more than policy since commencement",IF(N(W38)&gt;O38*HoursPerDay+0.01,"CHECK - EH balance "&amp;ROUND(W38-O38*HoursPerDay,2)&amp;" hrs more than policy entitlement",IF(O38&gt;0,"OK - nothing to add",IF(AQ38="None",R38,"Not yet - first day on "&amp;TEXT(S38,"dd/mm/yyyy")))))))))</f>
        <v/>
      </c>
      <c r="AB38" s="14" t="str">
        <f aca="false">IF(OR(AE38=0,T38=""),"",AY38*HoursPerDay-T38)</f>
        <v/>
      </c>
      <c r="AC38" s="13" t="str">
        <f aca="false">IF(AE38=0,"",BA38)</f>
        <v/>
      </c>
      <c r="AD38" s="13"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3" t="n">
        <f aca="false">IF(OR(LEN($A38&amp;$B38)=0,$F38=""),0,1)</f>
        <v>0</v>
      </c>
      <c r="AF38" s="11" t="str">
        <f aca="false">IF(AE38=0,"",IF($J38&lt;&gt;"",$J38,IF(OR(CasualCounts="Yes",COUNT($G38:$I38)=0,COUNT($G38:$H38)=0),$F38,MIN($G38:$H38))))</f>
        <v/>
      </c>
      <c r="AG38" s="13" t="str">
        <f aca="false">IF(AE38=0,"",COUNT($G38:$I38))</f>
        <v/>
      </c>
      <c r="AH38" s="11" t="str">
        <f aca="false">IF(AE38=0,"",IFERROR(SMALL($G38:$I38,1),""))</f>
        <v/>
      </c>
      <c r="AI38" s="11" t="str">
        <f aca="false">IF(AE38=0,"",IFERROR(SMALL($G38:$I38,2),""))</f>
        <v/>
      </c>
      <c r="AJ38" s="11" t="str">
        <f aca="false">IF(AE38=0,"",IFERROR(SMALL($G38:$I38,3),""))</f>
        <v/>
      </c>
      <c r="AK38" s="13" t="str">
        <f aca="false">IF(AE38=0,"",IF(AH38="","",IF(AH38=$G38,"Part-Time",IF(AH38=$H38,"Full-Time","Casual"))))</f>
        <v/>
      </c>
      <c r="AL38" s="13" t="str">
        <f aca="false">IF(AE38=0,"",IF(AI38="","",IF(AI38=$G38,"Part-Time",IF(AI38=$H38,"Full-Time","Casual"))))</f>
        <v/>
      </c>
      <c r="AM38" s="13" t="str">
        <f aca="false">IF(AE38=0,"",IF(AJ38="","",IF(AJ38=$G38,"Part-Time",IF(AJ38=$H38,"Full-Time","Casual"))))</f>
        <v/>
      </c>
      <c r="AN38" s="13"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3" t="str">
        <f aca="false">IF(AE38=0,"",IF(AG38&lt;2,"",IF(OR(ISNUMBER(SEARCH("full",AL38)),UPPER(TRIM(AL38))="FT",UPPER(TRIM(AL38))="FTE"),"FT",IF(AND(OR(ISNUMBER(SEARCH("part",AL38)),UPPER(TRIM(AL38))="PT",UPPER(TRIM(AL38))="PTE"),OR($P38="",N($P38)&gt;=PT_MinHours)),"PT","None"))))</f>
        <v/>
      </c>
      <c r="AP38" s="13" t="str">
        <f aca="false">IF(AE38=0,"",IF(AG38&lt;3,"",IF(OR(ISNUMBER(SEARCH("full",AM38)),UPPER(TRIM(AM38))="FT",UPPER(TRIM(AM38))="FTE"),"FT",IF(AND(OR(ISNUMBER(SEARCH("part",AM38)),UPPER(TRIM(AM38))="PT",UPPER(TRIM(AM38))="PTE"),OR($P38="",N($P38)&gt;=PT_MinHours)),"PT","None"))))</f>
        <v/>
      </c>
      <c r="AQ38" s="13" t="str">
        <f aca="false">IF(AE38=0,"",IF(AND(AG38&gt;=3,AJ38&lt;=AsOfDate),AP38,IF(AND(AG38&gt;=2,AI38&lt;=AsOfDate),AO38,AN38)))</f>
        <v/>
      </c>
      <c r="AR38" s="13" t="str">
        <f aca="false">IF(AE38=0,"",IF(AsOfDate&lt;AF38,-1,12*(YEAR(AsOfDate)-YEAR(AF38))+MONTH(AsOfDate)-MONTH(AF38)-IF(DAY(AsOfDate)&lt;MIN(DAY(AF38),DAY(EOMONTH(AsOfDate,0))),1,0)))</f>
        <v/>
      </c>
      <c r="AS38" s="13" t="str">
        <f aca="false">IF(AE38=0,"",IF(OR(AG38&lt;2,AI38&gt;AsOfDate),AR38,IF((AI38-1)&lt;AF38,-1,12*(YEAR((AI38-1))-YEAR(AF38))+MONTH((AI38-1))-MONTH(AF38)-IF(DAY((AI38-1))&lt;MIN(DAY(AF38),DAY(EOMONTH((AI38-1),0))),1,0))))</f>
        <v/>
      </c>
      <c r="AT38" s="13" t="str">
        <f aca="false">IF(AE38=0,"",IF(OR(AG38&lt;3,AJ38&gt;AsOfDate),AR38,IF((AJ38-1)&lt;AF38,-1,12*(YEAR((AJ38-1))-YEAR(AF38))+MONTH((AJ38-1))-MONTH(AF38)-IF(DAY((AJ38-1))&lt;MIN(DAY(AF38),DAY(EOMONTH((AJ38-1),0))),1,0))))</f>
        <v/>
      </c>
      <c r="AU38" s="13" t="str">
        <f aca="false">IF(AE38=0,"",IF(PFYDate&lt;AF38,-1,12*(YEAR(PFYDate)-YEAR(AF38))+MONTH(PFYDate)-MONTH(AF38)-IF(DAY(PFYDate)&lt;MIN(DAY(AF38),DAY(EOMONTH(PFYDate,0))),1,0)))</f>
        <v/>
      </c>
      <c r="AV38" s="13" t="str">
        <f aca="false">IF(AE38=0,"",IF(OR(AG38&lt;2,AI38&gt;PFYDate),AU38,IF((AI38-1)&lt;AF38,-1,12*(YEAR((AI38-1))-YEAR(AF38))+MONTH((AI38-1))-MONTH(AF38)-IF(DAY((AI38-1))&lt;MIN(DAY(AF38),DAY(EOMONTH((AI38-1),0))),1,0))))</f>
        <v/>
      </c>
      <c r="AW38" s="13" t="str">
        <f aca="false">IF(AE38=0,"",IF(OR(AG38&lt;3,AJ38&gt;PFYDate),AU38,IF((AJ38-1)&lt;AF38,-1,12*(YEAR((AJ38-1))-YEAR(AF38))+MONTH((AJ38-1))-MONTH(AF38)-IF(DAY((AJ38-1))&lt;MIN(DAY(AF38),DAY(EOMONTH((AJ38-1),0))),1,0))))</f>
        <v/>
      </c>
      <c r="AX38" s="13"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3"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3" t="str">
        <f aca="false">IF(AE38=0,"",IF(AQ38="FT",IF(AR38&lt;FT_First,FT_First,IF(AR38&lt;FT_Y5,MIN(FT_Y5,FT_First+FT_Int1*(INT((AR38-FT_First)/FT_Int1)+1)),FT_Y5+12*INT((AR38-FT_Y5)/12)+FT_Int2*(INT(MOD(AR38-FT_Y5,12)/FT_Int2)+1))),IF(AQ38="PT",IF(AR38&lt;PT_First,PT_First,PT_First+PT_Int*(INT((AR38-PT_First)/PT_Int)+1)),"")))</f>
        <v/>
      </c>
      <c r="BA38" s="13" t="str">
        <f aca="false">IF(AE38=0,"",IF(NOT(LH_Ready),0,COUNTIFS(INDEX(LH_Data,0,LH_ColFirst),$A38,INDEX(LH_Data,0,LH_ColSur),$B38,INDEX(LH_Data,0,LH_ColCat),BonusCat)))</f>
        <v/>
      </c>
      <c r="BB38" s="13" t="str">
        <f aca="false">IF(AE38=0,"",IF(OR(NOT(LH_Ready),BA38=0),0,SUMPRODUCT(MAX((INDEX(LH_Data,0,LH_ColFirst)=$A38)*(INDEX(LH_Data,0,LH_ColSur)=$B38)*(INDEX(LH_Data,0,LH_ColCat)=BonusCat)*ROW(LH_Data)))))</f>
        <v/>
      </c>
      <c r="BC38" s="0" t="str">
        <f aca="false">IF(LEN($A38&amp;$B38)=0,"",$A38&amp;" "&amp;$B38)</f>
        <v/>
      </c>
    </row>
    <row r="39" customFormat="false" ht="15" hidden="false" customHeight="false" outlineLevel="0" collapsed="false">
      <c r="A39" s="9"/>
      <c r="B39" s="9"/>
      <c r="C39" s="9"/>
      <c r="D39" s="10"/>
      <c r="E39" s="11" t="str">
        <f aca="false">IF(OR(AE39=0,$D39=""),"",DATE(YEAR(AsOfDate)+IF(DATE(YEAR(AsOfDate),MONTH($D39),DAY($D39))&lt;=AsOfDate,1,0),MONTH($D39),DAY($D39)))</f>
        <v/>
      </c>
      <c r="F39" s="10"/>
      <c r="G39" s="10"/>
      <c r="H39" s="10"/>
      <c r="I39" s="10"/>
      <c r="J39" s="10"/>
      <c r="K39" s="11" t="str">
        <f aca="false">IF(AE39=0,"",DATE(YEAR(AsOfDate)+IF(DATE(YEAR(AsOfDate),MONTH(AF39),DAY(AF39))&lt;=AsOfDate,1,0),MONTH(AF39),DAY(AF39)))</f>
        <v/>
      </c>
      <c r="L39" s="12" t="str">
        <f aca="false">IF(AE39=0,"",ROUND((AsOfDate-AF39)/365.25,1))</f>
        <v/>
      </c>
      <c r="M39" s="13" t="str">
        <f aca="false">IF(AE39=0,"",IF(AsOfDate&lt;AF39,"-",DATEDIF(AF39,AsOfDate,"y")&amp;"y "&amp;DATEDIF(AF39,AsOfDate,"ym")&amp;"m "&amp;DATEDIF(AF39,AsOfDate,"md")&amp;"d"))</f>
        <v/>
      </c>
      <c r="N39" s="14" t="str">
        <f aca="false">IF(AE39=0,"",O39*HoursPerDay)</f>
        <v/>
      </c>
      <c r="O39" s="14" t="str">
        <f aca="false">IF(AE39=0,"",AX39)</f>
        <v/>
      </c>
      <c r="P39" s="15"/>
      <c r="Q39" s="13"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13"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1" t="str">
        <f aca="false">IF(AE39=0,"",IF(AQ39="None","",EDATE(AF39,AZ39)))</f>
        <v/>
      </c>
      <c r="T39" s="14" t="str">
        <f aca="false">IF(AE39=0,"",IF(NOT(LH_Ready),"",IF(AF39&gt;PFYDate,0,IF(LH_ColPeriod=0,W39-U39+V39,SUMIFS(INDEX(LH_Data,0,LH_ColAcc),INDEX(LH_Data,0,LH_ColFirst),$A39,INDEX(LH_Data,0,LH_ColSur),$B39,INDEX(LH_Data,0,LH_ColCat),BonusCat,INDEX(LH_Data,0,LH_ColPeriod),LH_OpenLabel)*UnitFactor))))</f>
        <v/>
      </c>
      <c r="U39" s="14" t="str">
        <f aca="false">IF(AE39=0,"",IF(NOT(LH_Ready),"",SUMIFS(INDEX(LH_Data,0,LH_ColAcc),INDEX(LH_Data,0,LH_ColFirst),$A39,INDEX(LH_Data,0,LH_ColSur),$B39,INDEX(LH_Data,0,LH_ColCat),BonusCat,INDEX(LH_Data,0,LH_ColStart),"&gt;="&amp;AF39)*UnitFactor))</f>
        <v/>
      </c>
      <c r="V39" s="14" t="str">
        <f aca="false">IF(AE39=0,"",IF(NOT(LH_Ready),"",SUMIFS(INDEX(LH_Data,0,LH_ColTaken),INDEX(LH_Data,0,LH_ColFirst),$A39,INDEX(LH_Data,0,LH_ColSur),$B39,INDEX(LH_Data,0,LH_ColCat),BonusCat,INDEX(LH_Data,0,LH_ColStart),"&gt;="&amp;AF39)*UnitFactor))</f>
        <v/>
      </c>
      <c r="W39" s="14" t="str">
        <f aca="false">IF(AE39=0,"",IF(NOT(LH_Ready),"",IF(BB39=0,0,INDEX(INDEX(LH_Data,0,LH_ColClose),BB39-1)*UnitFactor)))</f>
        <v/>
      </c>
      <c r="X39" s="14" t="str">
        <f aca="false">IF(AE39=0,"",(AX39-AY39)*HoursPerDay)</f>
        <v/>
      </c>
      <c r="Y39" s="14" t="str">
        <f aca="false">IF(AE39=0,"",IF(NOT(LH_Ready),"",IF(BA39=0,N39,IF(PFYDate&lt;$F39,N39-N(T39)-N(U39),X39-N(U39)))))</f>
        <v/>
      </c>
      <c r="Z39" s="13" t="str">
        <f aca="false">IF(OR(AE39=0,Y39=""),"",IF(Y39&gt;0,"Yes","No"))</f>
        <v/>
      </c>
      <c r="AA39" s="13"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 hrs more than policy since commencement",IF(N(W39)&gt;O39*HoursPerDay+0.01,"CHECK - EH balance "&amp;ROUND(W39-O39*HoursPerDay,2)&amp;" hrs more than policy entitlement",IF(O39&gt;0,"OK - nothing to add",IF(AQ39="None",R39,"Not yet - first day on "&amp;TEXT(S39,"dd/mm/yyyy")))))))))</f>
        <v/>
      </c>
      <c r="AB39" s="14" t="str">
        <f aca="false">IF(OR(AE39=0,T39=""),"",AY39*HoursPerDay-T39)</f>
        <v/>
      </c>
      <c r="AC39" s="13" t="str">
        <f aca="false">IF(AE39=0,"",BA39)</f>
        <v/>
      </c>
      <c r="AD39" s="13"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3" t="n">
        <f aca="false">IF(OR(LEN($A39&amp;$B39)=0,$F39=""),0,1)</f>
        <v>0</v>
      </c>
      <c r="AF39" s="11" t="str">
        <f aca="false">IF(AE39=0,"",IF($J39&lt;&gt;"",$J39,IF(OR(CasualCounts="Yes",COUNT($G39:$I39)=0,COUNT($G39:$H39)=0),$F39,MIN($G39:$H39))))</f>
        <v/>
      </c>
      <c r="AG39" s="13" t="str">
        <f aca="false">IF(AE39=0,"",COUNT($G39:$I39))</f>
        <v/>
      </c>
      <c r="AH39" s="11" t="str">
        <f aca="false">IF(AE39=0,"",IFERROR(SMALL($G39:$I39,1),""))</f>
        <v/>
      </c>
      <c r="AI39" s="11" t="str">
        <f aca="false">IF(AE39=0,"",IFERROR(SMALL($G39:$I39,2),""))</f>
        <v/>
      </c>
      <c r="AJ39" s="11" t="str">
        <f aca="false">IF(AE39=0,"",IFERROR(SMALL($G39:$I39,3),""))</f>
        <v/>
      </c>
      <c r="AK39" s="13" t="str">
        <f aca="false">IF(AE39=0,"",IF(AH39="","",IF(AH39=$G39,"Part-Time",IF(AH39=$H39,"Full-Time","Casual"))))</f>
        <v/>
      </c>
      <c r="AL39" s="13" t="str">
        <f aca="false">IF(AE39=0,"",IF(AI39="","",IF(AI39=$G39,"Part-Time",IF(AI39=$H39,"Full-Time","Casual"))))</f>
        <v/>
      </c>
      <c r="AM39" s="13" t="str">
        <f aca="false">IF(AE39=0,"",IF(AJ39="","",IF(AJ39=$G39,"Part-Time",IF(AJ39=$H39,"Full-Time","Casual"))))</f>
        <v/>
      </c>
      <c r="AN39" s="13"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3" t="str">
        <f aca="false">IF(AE39=0,"",IF(AG39&lt;2,"",IF(OR(ISNUMBER(SEARCH("full",AL39)),UPPER(TRIM(AL39))="FT",UPPER(TRIM(AL39))="FTE"),"FT",IF(AND(OR(ISNUMBER(SEARCH("part",AL39)),UPPER(TRIM(AL39))="PT",UPPER(TRIM(AL39))="PTE"),OR($P39="",N($P39)&gt;=PT_MinHours)),"PT","None"))))</f>
        <v/>
      </c>
      <c r="AP39" s="13" t="str">
        <f aca="false">IF(AE39=0,"",IF(AG39&lt;3,"",IF(OR(ISNUMBER(SEARCH("full",AM39)),UPPER(TRIM(AM39))="FT",UPPER(TRIM(AM39))="FTE"),"FT",IF(AND(OR(ISNUMBER(SEARCH("part",AM39)),UPPER(TRIM(AM39))="PT",UPPER(TRIM(AM39))="PTE"),OR($P39="",N($P39)&gt;=PT_MinHours)),"PT","None"))))</f>
        <v/>
      </c>
      <c r="AQ39" s="13" t="str">
        <f aca="false">IF(AE39=0,"",IF(AND(AG39&gt;=3,AJ39&lt;=AsOfDate),AP39,IF(AND(AG39&gt;=2,AI39&lt;=AsOfDate),AO39,AN39)))</f>
        <v/>
      </c>
      <c r="AR39" s="13" t="str">
        <f aca="false">IF(AE39=0,"",IF(AsOfDate&lt;AF39,-1,12*(YEAR(AsOfDate)-YEAR(AF39))+MONTH(AsOfDate)-MONTH(AF39)-IF(DAY(AsOfDate)&lt;MIN(DAY(AF39),DAY(EOMONTH(AsOfDate,0))),1,0)))</f>
        <v/>
      </c>
      <c r="AS39" s="13" t="str">
        <f aca="false">IF(AE39=0,"",IF(OR(AG39&lt;2,AI39&gt;AsOfDate),AR39,IF((AI39-1)&lt;AF39,-1,12*(YEAR((AI39-1))-YEAR(AF39))+MONTH((AI39-1))-MONTH(AF39)-IF(DAY((AI39-1))&lt;MIN(DAY(AF39),DAY(EOMONTH((AI39-1),0))),1,0))))</f>
        <v/>
      </c>
      <c r="AT39" s="13" t="str">
        <f aca="false">IF(AE39=0,"",IF(OR(AG39&lt;3,AJ39&gt;AsOfDate),AR39,IF((AJ39-1)&lt;AF39,-1,12*(YEAR((AJ39-1))-YEAR(AF39))+MONTH((AJ39-1))-MONTH(AF39)-IF(DAY((AJ39-1))&lt;MIN(DAY(AF39),DAY(EOMONTH((AJ39-1),0))),1,0))))</f>
        <v/>
      </c>
      <c r="AU39" s="13" t="str">
        <f aca="false">IF(AE39=0,"",IF(PFYDate&lt;AF39,-1,12*(YEAR(PFYDate)-YEAR(AF39))+MONTH(PFYDate)-MONTH(AF39)-IF(DAY(PFYDate)&lt;MIN(DAY(AF39),DAY(EOMONTH(PFYDate,0))),1,0)))</f>
        <v/>
      </c>
      <c r="AV39" s="13" t="str">
        <f aca="false">IF(AE39=0,"",IF(OR(AG39&lt;2,AI39&gt;PFYDate),AU39,IF((AI39-1)&lt;AF39,-1,12*(YEAR((AI39-1))-YEAR(AF39))+MONTH((AI39-1))-MONTH(AF39)-IF(DAY((AI39-1))&lt;MIN(DAY(AF39),DAY(EOMONTH((AI39-1),0))),1,0))))</f>
        <v/>
      </c>
      <c r="AW39" s="13" t="str">
        <f aca="false">IF(AE39=0,"",IF(OR(AG39&lt;3,AJ39&gt;PFYDate),AU39,IF((AJ39-1)&lt;AF39,-1,12*(YEAR((AJ39-1))-YEAR(AF39))+MONTH((AJ39-1))-MONTH(AF39)-IF(DAY((AJ39-1))&lt;MIN(DAY(AF39),DAY(EOMONTH((AJ39-1),0))),1,0))))</f>
        <v/>
      </c>
      <c r="AX39" s="13"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3"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3" t="str">
        <f aca="false">IF(AE39=0,"",IF(AQ39="FT",IF(AR39&lt;FT_First,FT_First,IF(AR39&lt;FT_Y5,MIN(FT_Y5,FT_First+FT_Int1*(INT((AR39-FT_First)/FT_Int1)+1)),FT_Y5+12*INT((AR39-FT_Y5)/12)+FT_Int2*(INT(MOD(AR39-FT_Y5,12)/FT_Int2)+1))),IF(AQ39="PT",IF(AR39&lt;PT_First,PT_First,PT_First+PT_Int*(INT((AR39-PT_First)/PT_Int)+1)),"")))</f>
        <v/>
      </c>
      <c r="BA39" s="13" t="str">
        <f aca="false">IF(AE39=0,"",IF(NOT(LH_Ready),0,COUNTIFS(INDEX(LH_Data,0,LH_ColFirst),$A39,INDEX(LH_Data,0,LH_ColSur),$B39,INDEX(LH_Data,0,LH_ColCat),BonusCat)))</f>
        <v/>
      </c>
      <c r="BB39" s="13" t="str">
        <f aca="false">IF(AE39=0,"",IF(OR(NOT(LH_Ready),BA39=0),0,SUMPRODUCT(MAX((INDEX(LH_Data,0,LH_ColFirst)=$A39)*(INDEX(LH_Data,0,LH_ColSur)=$B39)*(INDEX(LH_Data,0,LH_ColCat)=BonusCat)*ROW(LH_Data)))))</f>
        <v/>
      </c>
      <c r="BC39" s="0" t="str">
        <f aca="false">IF(LEN($A39&amp;$B39)=0,"",$A39&amp;" "&amp;$B39)</f>
        <v/>
      </c>
    </row>
    <row r="40" customFormat="false" ht="15" hidden="false" customHeight="false" outlineLevel="0" collapsed="false">
      <c r="A40" s="9"/>
      <c r="B40" s="9"/>
      <c r="C40" s="9"/>
      <c r="D40" s="10"/>
      <c r="E40" s="11" t="str">
        <f aca="false">IF(OR(AE40=0,$D40=""),"",DATE(YEAR(AsOfDate)+IF(DATE(YEAR(AsOfDate),MONTH($D40),DAY($D40))&lt;=AsOfDate,1,0),MONTH($D40),DAY($D40)))</f>
        <v/>
      </c>
      <c r="F40" s="10"/>
      <c r="G40" s="10"/>
      <c r="H40" s="10"/>
      <c r="I40" s="10"/>
      <c r="J40" s="10"/>
      <c r="K40" s="11" t="str">
        <f aca="false">IF(AE40=0,"",DATE(YEAR(AsOfDate)+IF(DATE(YEAR(AsOfDate),MONTH(AF40),DAY(AF40))&lt;=AsOfDate,1,0),MONTH(AF40),DAY(AF40)))</f>
        <v/>
      </c>
      <c r="L40" s="12" t="str">
        <f aca="false">IF(AE40=0,"",ROUND((AsOfDate-AF40)/365.25,1))</f>
        <v/>
      </c>
      <c r="M40" s="13" t="str">
        <f aca="false">IF(AE40=0,"",IF(AsOfDate&lt;AF40,"-",DATEDIF(AF40,AsOfDate,"y")&amp;"y "&amp;DATEDIF(AF40,AsOfDate,"ym")&amp;"m "&amp;DATEDIF(AF40,AsOfDate,"md")&amp;"d"))</f>
        <v/>
      </c>
      <c r="N40" s="14" t="str">
        <f aca="false">IF(AE40=0,"",O40*HoursPerDay)</f>
        <v/>
      </c>
      <c r="O40" s="14" t="str">
        <f aca="false">IF(AE40=0,"",AX40)</f>
        <v/>
      </c>
      <c r="P40" s="15"/>
      <c r="Q40" s="13"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
      </c>
      <c r="R40" s="13"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1" t="str">
        <f aca="false">IF(AE40=0,"",IF(AQ40="None","",EDATE(AF40,AZ40)))</f>
        <v/>
      </c>
      <c r="T40" s="14" t="str">
        <f aca="false">IF(AE40=0,"",IF(NOT(LH_Ready),"",IF(AF40&gt;PFYDate,0,IF(LH_ColPeriod=0,W40-U40+V40,SUMIFS(INDEX(LH_Data,0,LH_ColAcc),INDEX(LH_Data,0,LH_ColFirst),$A40,INDEX(LH_Data,0,LH_ColSur),$B40,INDEX(LH_Data,0,LH_ColCat),BonusCat,INDEX(LH_Data,0,LH_ColPeriod),LH_OpenLabel)*UnitFactor))))</f>
        <v/>
      </c>
      <c r="U40" s="14" t="str">
        <f aca="false">IF(AE40=0,"",IF(NOT(LH_Ready),"",SUMIFS(INDEX(LH_Data,0,LH_ColAcc),INDEX(LH_Data,0,LH_ColFirst),$A40,INDEX(LH_Data,0,LH_ColSur),$B40,INDEX(LH_Data,0,LH_ColCat),BonusCat,INDEX(LH_Data,0,LH_ColStart),"&gt;="&amp;AF40)*UnitFactor))</f>
        <v/>
      </c>
      <c r="V40" s="14" t="str">
        <f aca="false">IF(AE40=0,"",IF(NOT(LH_Ready),"",SUMIFS(INDEX(LH_Data,0,LH_ColTaken),INDEX(LH_Data,0,LH_ColFirst),$A40,INDEX(LH_Data,0,LH_ColSur),$B40,INDEX(LH_Data,0,LH_ColCat),BonusCat,INDEX(LH_Data,0,LH_ColStart),"&gt;="&amp;AF40)*UnitFactor))</f>
        <v/>
      </c>
      <c r="W40" s="14" t="str">
        <f aca="false">IF(AE40=0,"",IF(NOT(LH_Ready),"",IF(BB40=0,0,INDEX(INDEX(LH_Data,0,LH_ColClose),BB40-1)*UnitFactor)))</f>
        <v/>
      </c>
      <c r="X40" s="14" t="str">
        <f aca="false">IF(AE40=0,"",(AX40-AY40)*HoursPerDay)</f>
        <v/>
      </c>
      <c r="Y40" s="14" t="str">
        <f aca="false">IF(AE40=0,"",IF(NOT(LH_Ready),"",IF(BA40=0,N40,IF(PFYDate&lt;$F40,N40-N(T40)-N(U40),X40-N(U40)))))</f>
        <v/>
      </c>
      <c r="Z40" s="13" t="str">
        <f aca="false">IF(OR(AE40=0,Y40=""),"",IF(Y40&gt;0,"Yes","No"))</f>
        <v/>
      </c>
      <c r="AA40" s="13"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 hrs more than policy since commencement",IF(N(W40)&gt;O40*HoursPerDay+0.01,"CHECK - EH balance "&amp;ROUND(W40-O40*HoursPerDay,2)&amp;" hrs more than policy entitlement",IF(O40&gt;0,"OK - nothing to add",IF(AQ40="None",R40,"Not yet - first day on "&amp;TEXT(S40,"dd/mm/yyyy")))))))))</f>
        <v/>
      </c>
      <c r="AB40" s="14" t="str">
        <f aca="false">IF(OR(AE40=0,T40=""),"",AY40*HoursPerDay-T40)</f>
        <v/>
      </c>
      <c r="AC40" s="13" t="str">
        <f aca="false">IF(AE40=0,"",BA40)</f>
        <v/>
      </c>
      <c r="AD40" s="13"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3" t="n">
        <f aca="false">IF(OR(LEN($A40&amp;$B40)=0,$F40=""),0,1)</f>
        <v>0</v>
      </c>
      <c r="AF40" s="11" t="str">
        <f aca="false">IF(AE40=0,"",IF($J40&lt;&gt;"",$J40,IF(OR(CasualCounts="Yes",COUNT($G40:$I40)=0,COUNT($G40:$H40)=0),$F40,MIN($G40:$H40))))</f>
        <v/>
      </c>
      <c r="AG40" s="13" t="str">
        <f aca="false">IF(AE40=0,"",COUNT($G40:$I40))</f>
        <v/>
      </c>
      <c r="AH40" s="11" t="str">
        <f aca="false">IF(AE40=0,"",IFERROR(SMALL($G40:$I40,1),""))</f>
        <v/>
      </c>
      <c r="AI40" s="11" t="str">
        <f aca="false">IF(AE40=0,"",IFERROR(SMALL($G40:$I40,2),""))</f>
        <v/>
      </c>
      <c r="AJ40" s="11" t="str">
        <f aca="false">IF(AE40=0,"",IFERROR(SMALL($G40:$I40,3),""))</f>
        <v/>
      </c>
      <c r="AK40" s="13" t="str">
        <f aca="false">IF(AE40=0,"",IF(AH40="","",IF(AH40=$G40,"Part-Time",IF(AH40=$H40,"Full-Time","Casual"))))</f>
        <v/>
      </c>
      <c r="AL40" s="13" t="str">
        <f aca="false">IF(AE40=0,"",IF(AI40="","",IF(AI40=$G40,"Part-Time",IF(AI40=$H40,"Full-Time","Casual"))))</f>
        <v/>
      </c>
      <c r="AM40" s="13" t="str">
        <f aca="false">IF(AE40=0,"",IF(AJ40="","",IF(AJ40=$G40,"Part-Time",IF(AJ40=$H40,"Full-Time","Casual"))))</f>
        <v/>
      </c>
      <c r="AN40" s="13"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3" t="str">
        <f aca="false">IF(AE40=0,"",IF(AG40&lt;2,"",IF(OR(ISNUMBER(SEARCH("full",AL40)),UPPER(TRIM(AL40))="FT",UPPER(TRIM(AL40))="FTE"),"FT",IF(AND(OR(ISNUMBER(SEARCH("part",AL40)),UPPER(TRIM(AL40))="PT",UPPER(TRIM(AL40))="PTE"),OR($P40="",N($P40)&gt;=PT_MinHours)),"PT","None"))))</f>
        <v/>
      </c>
      <c r="AP40" s="13" t="str">
        <f aca="false">IF(AE40=0,"",IF(AG40&lt;3,"",IF(OR(ISNUMBER(SEARCH("full",AM40)),UPPER(TRIM(AM40))="FT",UPPER(TRIM(AM40))="FTE"),"FT",IF(AND(OR(ISNUMBER(SEARCH("part",AM40)),UPPER(TRIM(AM40))="PT",UPPER(TRIM(AM40))="PTE"),OR($P40="",N($P40)&gt;=PT_MinHours)),"PT","None"))))</f>
        <v/>
      </c>
      <c r="AQ40" s="13" t="str">
        <f aca="false">IF(AE40=0,"",IF(AND(AG40&gt;=3,AJ40&lt;=AsOfDate),AP40,IF(AND(AG40&gt;=2,AI40&lt;=AsOfDate),AO40,AN40)))</f>
        <v/>
      </c>
      <c r="AR40" s="13" t="str">
        <f aca="false">IF(AE40=0,"",IF(AsOfDate&lt;AF40,-1,12*(YEAR(AsOfDate)-YEAR(AF40))+MONTH(AsOfDate)-MONTH(AF40)-IF(DAY(AsOfDate)&lt;MIN(DAY(AF40),DAY(EOMONTH(AsOfDate,0))),1,0)))</f>
        <v/>
      </c>
      <c r="AS40" s="13" t="str">
        <f aca="false">IF(AE40=0,"",IF(OR(AG40&lt;2,AI40&gt;AsOfDate),AR40,IF((AI40-1)&lt;AF40,-1,12*(YEAR((AI40-1))-YEAR(AF40))+MONTH((AI40-1))-MONTH(AF40)-IF(DAY((AI40-1))&lt;MIN(DAY(AF40),DAY(EOMONTH((AI40-1),0))),1,0))))</f>
        <v/>
      </c>
      <c r="AT40" s="13" t="str">
        <f aca="false">IF(AE40=0,"",IF(OR(AG40&lt;3,AJ40&gt;AsOfDate),AR40,IF((AJ40-1)&lt;AF40,-1,12*(YEAR((AJ40-1))-YEAR(AF40))+MONTH((AJ40-1))-MONTH(AF40)-IF(DAY((AJ40-1))&lt;MIN(DAY(AF40),DAY(EOMONTH((AJ40-1),0))),1,0))))</f>
        <v/>
      </c>
      <c r="AU40" s="13" t="str">
        <f aca="false">IF(AE40=0,"",IF(PFYDate&lt;AF40,-1,12*(YEAR(PFYDate)-YEAR(AF40))+MONTH(PFYDate)-MONTH(AF40)-IF(DAY(PFYDate)&lt;MIN(DAY(AF40),DAY(EOMONTH(PFYDate,0))),1,0)))</f>
        <v/>
      </c>
      <c r="AV40" s="13" t="str">
        <f aca="false">IF(AE40=0,"",IF(OR(AG40&lt;2,AI40&gt;PFYDate),AU40,IF((AI40-1)&lt;AF40,-1,12*(YEAR((AI40-1))-YEAR(AF40))+MONTH((AI40-1))-MONTH(AF40)-IF(DAY((AI40-1))&lt;MIN(DAY(AF40),DAY(EOMONTH((AI40-1),0))),1,0))))</f>
        <v/>
      </c>
      <c r="AW40" s="13" t="str">
        <f aca="false">IF(AE40=0,"",IF(OR(AG40&lt;3,AJ40&gt;PFYDate),AU40,IF((AJ40-1)&lt;AF40,-1,12*(YEAR((AJ40-1))-YEAR(AF40))+MONTH((AJ40-1))-MONTH(AF40)-IF(DAY((AJ40-1))&lt;MIN(DAY(AF40),DAY(EOMONTH((AJ40-1),0))),1,0))))</f>
        <v/>
      </c>
      <c r="AX40" s="13"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3"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3" t="str">
        <f aca="false">IF(AE40=0,"",IF(AQ40="FT",IF(AR40&lt;FT_First,FT_First,IF(AR40&lt;FT_Y5,MIN(FT_Y5,FT_First+FT_Int1*(INT((AR40-FT_First)/FT_Int1)+1)),FT_Y5+12*INT((AR40-FT_Y5)/12)+FT_Int2*(INT(MOD(AR40-FT_Y5,12)/FT_Int2)+1))),IF(AQ40="PT",IF(AR40&lt;PT_First,PT_First,PT_First+PT_Int*(INT((AR40-PT_First)/PT_Int)+1)),"")))</f>
        <v/>
      </c>
      <c r="BA40" s="13" t="str">
        <f aca="false">IF(AE40=0,"",IF(NOT(LH_Ready),0,COUNTIFS(INDEX(LH_Data,0,LH_ColFirst),$A40,INDEX(LH_Data,0,LH_ColSur),$B40,INDEX(LH_Data,0,LH_ColCat),BonusCat)))</f>
        <v/>
      </c>
      <c r="BB40" s="13" t="str">
        <f aca="false">IF(AE40=0,"",IF(OR(NOT(LH_Ready),BA40=0),0,SUMPRODUCT(MAX((INDEX(LH_Data,0,LH_ColFirst)=$A40)*(INDEX(LH_Data,0,LH_ColSur)=$B40)*(INDEX(LH_Data,0,LH_ColCat)=BonusCat)*ROW(LH_Data)))))</f>
        <v/>
      </c>
      <c r="BC40" s="0" t="str">
        <f aca="false">IF(LEN($A40&amp;$B40)=0,"",$A40&amp;" "&amp;$B40)</f>
        <v/>
      </c>
    </row>
    <row r="41" customFormat="false" ht="15" hidden="false" customHeight="false" outlineLevel="0" collapsed="false">
      <c r="A41" s="9"/>
      <c r="B41" s="9"/>
      <c r="C41" s="9"/>
      <c r="D41" s="10"/>
      <c r="E41" s="11" t="str">
        <f aca="false">IF(OR(AE41=0,$D41=""),"",DATE(YEAR(AsOfDate)+IF(DATE(YEAR(AsOfDate),MONTH($D41),DAY($D41))&lt;=AsOfDate,1,0),MONTH($D41),DAY($D41)))</f>
        <v/>
      </c>
      <c r="F41" s="10"/>
      <c r="G41" s="10"/>
      <c r="H41" s="10"/>
      <c r="I41" s="10"/>
      <c r="J41" s="10"/>
      <c r="K41" s="11" t="str">
        <f aca="false">IF(AE41=0,"",DATE(YEAR(AsOfDate)+IF(DATE(YEAR(AsOfDate),MONTH(AF41),DAY(AF41))&lt;=AsOfDate,1,0),MONTH(AF41),DAY(AF41)))</f>
        <v/>
      </c>
      <c r="L41" s="12" t="str">
        <f aca="false">IF(AE41=0,"",ROUND((AsOfDate-AF41)/365.25,1))</f>
        <v/>
      </c>
      <c r="M41" s="13" t="str">
        <f aca="false">IF(AE41=0,"",IF(AsOfDate&lt;AF41,"-",DATEDIF(AF41,AsOfDate,"y")&amp;"y "&amp;DATEDIF(AF41,AsOfDate,"ym")&amp;"m "&amp;DATEDIF(AF41,AsOfDate,"md")&amp;"d"))</f>
        <v/>
      </c>
      <c r="N41" s="14" t="str">
        <f aca="false">IF(AE41=0,"",O41*HoursPerDay)</f>
        <v/>
      </c>
      <c r="O41" s="14" t="str">
        <f aca="false">IF(AE41=0,"",AX41)</f>
        <v/>
      </c>
      <c r="P41" s="15"/>
      <c r="Q41" s="13"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13"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1" t="str">
        <f aca="false">IF(AE41=0,"",IF(AQ41="None","",EDATE(AF41,AZ41)))</f>
        <v/>
      </c>
      <c r="T41" s="14" t="str">
        <f aca="false">IF(AE41=0,"",IF(NOT(LH_Ready),"",IF(AF41&gt;PFYDate,0,IF(LH_ColPeriod=0,W41-U41+V41,SUMIFS(INDEX(LH_Data,0,LH_ColAcc),INDEX(LH_Data,0,LH_ColFirst),$A41,INDEX(LH_Data,0,LH_ColSur),$B41,INDEX(LH_Data,0,LH_ColCat),BonusCat,INDEX(LH_Data,0,LH_ColPeriod),LH_OpenLabel)*UnitFactor))))</f>
        <v/>
      </c>
      <c r="U41" s="14" t="str">
        <f aca="false">IF(AE41=0,"",IF(NOT(LH_Ready),"",SUMIFS(INDEX(LH_Data,0,LH_ColAcc),INDEX(LH_Data,0,LH_ColFirst),$A41,INDEX(LH_Data,0,LH_ColSur),$B41,INDEX(LH_Data,0,LH_ColCat),BonusCat,INDEX(LH_Data,0,LH_ColStart),"&gt;="&amp;AF41)*UnitFactor))</f>
        <v/>
      </c>
      <c r="V41" s="14" t="str">
        <f aca="false">IF(AE41=0,"",IF(NOT(LH_Ready),"",SUMIFS(INDEX(LH_Data,0,LH_ColTaken),INDEX(LH_Data,0,LH_ColFirst),$A41,INDEX(LH_Data,0,LH_ColSur),$B41,INDEX(LH_Data,0,LH_ColCat),BonusCat,INDEX(LH_Data,0,LH_ColStart),"&gt;="&amp;AF41)*UnitFactor))</f>
        <v/>
      </c>
      <c r="W41" s="14" t="str">
        <f aca="false">IF(AE41=0,"",IF(NOT(LH_Ready),"",IF(BB41=0,0,INDEX(INDEX(LH_Data,0,LH_ColClose),BB41-1)*UnitFactor)))</f>
        <v/>
      </c>
      <c r="X41" s="14" t="str">
        <f aca="false">IF(AE41=0,"",(AX41-AY41)*HoursPerDay)</f>
        <v/>
      </c>
      <c r="Y41" s="14" t="str">
        <f aca="false">IF(AE41=0,"",IF(NOT(LH_Ready),"",IF(BA41=0,N41,IF(PFYDate&lt;$F41,N41-N(T41)-N(U41),X41-N(U41)))))</f>
        <v/>
      </c>
      <c r="Z41" s="13" t="str">
        <f aca="false">IF(OR(AE41=0,Y41=""),"",IF(Y41&gt;0,"Yes","No"))</f>
        <v/>
      </c>
      <c r="AA41" s="13"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 hrs more than policy since commencement",IF(N(W41)&gt;O41*HoursPerDay+0.01,"CHECK - EH balance "&amp;ROUND(W41-O41*HoursPerDay,2)&amp;" hrs more than policy entitlement",IF(O41&gt;0,"OK - nothing to add",IF(AQ41="None",R41,"Not yet - first day on "&amp;TEXT(S41,"dd/mm/yyyy")))))))))</f>
        <v/>
      </c>
      <c r="AB41" s="14" t="str">
        <f aca="false">IF(OR(AE41=0,T41=""),"",AY41*HoursPerDay-T41)</f>
        <v/>
      </c>
      <c r="AC41" s="13" t="str">
        <f aca="false">IF(AE41=0,"",BA41)</f>
        <v/>
      </c>
      <c r="AD41" s="13"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3" t="n">
        <f aca="false">IF(OR(LEN($A41&amp;$B41)=0,$F41=""),0,1)</f>
        <v>0</v>
      </c>
      <c r="AF41" s="11" t="str">
        <f aca="false">IF(AE41=0,"",IF($J41&lt;&gt;"",$J41,IF(OR(CasualCounts="Yes",COUNT($G41:$I41)=0,COUNT($G41:$H41)=0),$F41,MIN($G41:$H41))))</f>
        <v/>
      </c>
      <c r="AG41" s="13" t="str">
        <f aca="false">IF(AE41=0,"",COUNT($G41:$I41))</f>
        <v/>
      </c>
      <c r="AH41" s="11" t="str">
        <f aca="false">IF(AE41=0,"",IFERROR(SMALL($G41:$I41,1),""))</f>
        <v/>
      </c>
      <c r="AI41" s="11" t="str">
        <f aca="false">IF(AE41=0,"",IFERROR(SMALL($G41:$I41,2),""))</f>
        <v/>
      </c>
      <c r="AJ41" s="11" t="str">
        <f aca="false">IF(AE41=0,"",IFERROR(SMALL($G41:$I41,3),""))</f>
        <v/>
      </c>
      <c r="AK41" s="13" t="str">
        <f aca="false">IF(AE41=0,"",IF(AH41="","",IF(AH41=$G41,"Part-Time",IF(AH41=$H41,"Full-Time","Casual"))))</f>
        <v/>
      </c>
      <c r="AL41" s="13" t="str">
        <f aca="false">IF(AE41=0,"",IF(AI41="","",IF(AI41=$G41,"Part-Time",IF(AI41=$H41,"Full-Time","Casual"))))</f>
        <v/>
      </c>
      <c r="AM41" s="13" t="str">
        <f aca="false">IF(AE41=0,"",IF(AJ41="","",IF(AJ41=$G41,"Part-Time",IF(AJ41=$H41,"Full-Time","Casual"))))</f>
        <v/>
      </c>
      <c r="AN41" s="13"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3" t="str">
        <f aca="false">IF(AE41=0,"",IF(AG41&lt;2,"",IF(OR(ISNUMBER(SEARCH("full",AL41)),UPPER(TRIM(AL41))="FT",UPPER(TRIM(AL41))="FTE"),"FT",IF(AND(OR(ISNUMBER(SEARCH("part",AL41)),UPPER(TRIM(AL41))="PT",UPPER(TRIM(AL41))="PTE"),OR($P41="",N($P41)&gt;=PT_MinHours)),"PT","None"))))</f>
        <v/>
      </c>
      <c r="AP41" s="13" t="str">
        <f aca="false">IF(AE41=0,"",IF(AG41&lt;3,"",IF(OR(ISNUMBER(SEARCH("full",AM41)),UPPER(TRIM(AM41))="FT",UPPER(TRIM(AM41))="FTE"),"FT",IF(AND(OR(ISNUMBER(SEARCH("part",AM41)),UPPER(TRIM(AM41))="PT",UPPER(TRIM(AM41))="PTE"),OR($P41="",N($P41)&gt;=PT_MinHours)),"PT","None"))))</f>
        <v/>
      </c>
      <c r="AQ41" s="13" t="str">
        <f aca="false">IF(AE41=0,"",IF(AND(AG41&gt;=3,AJ41&lt;=AsOfDate),AP41,IF(AND(AG41&gt;=2,AI41&lt;=AsOfDate),AO41,AN41)))</f>
        <v/>
      </c>
      <c r="AR41" s="13" t="str">
        <f aca="false">IF(AE41=0,"",IF(AsOfDate&lt;AF41,-1,12*(YEAR(AsOfDate)-YEAR(AF41))+MONTH(AsOfDate)-MONTH(AF41)-IF(DAY(AsOfDate)&lt;MIN(DAY(AF41),DAY(EOMONTH(AsOfDate,0))),1,0)))</f>
        <v/>
      </c>
      <c r="AS41" s="13" t="str">
        <f aca="false">IF(AE41=0,"",IF(OR(AG41&lt;2,AI41&gt;AsOfDate),AR41,IF((AI41-1)&lt;AF41,-1,12*(YEAR((AI41-1))-YEAR(AF41))+MONTH((AI41-1))-MONTH(AF41)-IF(DAY((AI41-1))&lt;MIN(DAY(AF41),DAY(EOMONTH((AI41-1),0))),1,0))))</f>
        <v/>
      </c>
      <c r="AT41" s="13" t="str">
        <f aca="false">IF(AE41=0,"",IF(OR(AG41&lt;3,AJ41&gt;AsOfDate),AR41,IF((AJ41-1)&lt;AF41,-1,12*(YEAR((AJ41-1))-YEAR(AF41))+MONTH((AJ41-1))-MONTH(AF41)-IF(DAY((AJ41-1))&lt;MIN(DAY(AF41),DAY(EOMONTH((AJ41-1),0))),1,0))))</f>
        <v/>
      </c>
      <c r="AU41" s="13" t="str">
        <f aca="false">IF(AE41=0,"",IF(PFYDate&lt;AF41,-1,12*(YEAR(PFYDate)-YEAR(AF41))+MONTH(PFYDate)-MONTH(AF41)-IF(DAY(PFYDate)&lt;MIN(DAY(AF41),DAY(EOMONTH(PFYDate,0))),1,0)))</f>
        <v/>
      </c>
      <c r="AV41" s="13" t="str">
        <f aca="false">IF(AE41=0,"",IF(OR(AG41&lt;2,AI41&gt;PFYDate),AU41,IF((AI41-1)&lt;AF41,-1,12*(YEAR((AI41-1))-YEAR(AF41))+MONTH((AI41-1))-MONTH(AF41)-IF(DAY((AI41-1))&lt;MIN(DAY(AF41),DAY(EOMONTH((AI41-1),0))),1,0))))</f>
        <v/>
      </c>
      <c r="AW41" s="13" t="str">
        <f aca="false">IF(AE41=0,"",IF(OR(AG41&lt;3,AJ41&gt;PFYDate),AU41,IF((AJ41-1)&lt;AF41,-1,12*(YEAR((AJ41-1))-YEAR(AF41))+MONTH((AJ41-1))-MONTH(AF41)-IF(DAY((AJ41-1))&lt;MIN(DAY(AF41),DAY(EOMONTH((AJ41-1),0))),1,0))))</f>
        <v/>
      </c>
      <c r="AX41" s="13"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3"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3" t="str">
        <f aca="false">IF(AE41=0,"",IF(AQ41="FT",IF(AR41&lt;FT_First,FT_First,IF(AR41&lt;FT_Y5,MIN(FT_Y5,FT_First+FT_Int1*(INT((AR41-FT_First)/FT_Int1)+1)),FT_Y5+12*INT((AR41-FT_Y5)/12)+FT_Int2*(INT(MOD(AR41-FT_Y5,12)/FT_Int2)+1))),IF(AQ41="PT",IF(AR41&lt;PT_First,PT_First,PT_First+PT_Int*(INT((AR41-PT_First)/PT_Int)+1)),"")))</f>
        <v/>
      </c>
      <c r="BA41" s="13" t="str">
        <f aca="false">IF(AE41=0,"",IF(NOT(LH_Ready),0,COUNTIFS(INDEX(LH_Data,0,LH_ColFirst),$A41,INDEX(LH_Data,0,LH_ColSur),$B41,INDEX(LH_Data,0,LH_ColCat),BonusCat)))</f>
        <v/>
      </c>
      <c r="BB41" s="13" t="str">
        <f aca="false">IF(AE41=0,"",IF(OR(NOT(LH_Ready),BA41=0),0,SUMPRODUCT(MAX((INDEX(LH_Data,0,LH_ColFirst)=$A41)*(INDEX(LH_Data,0,LH_ColSur)=$B41)*(INDEX(LH_Data,0,LH_ColCat)=BonusCat)*ROW(LH_Data)))))</f>
        <v/>
      </c>
      <c r="BC41" s="0" t="str">
        <f aca="false">IF(LEN($A41&amp;$B41)=0,"",$A41&amp;" "&amp;$B41)</f>
        <v/>
      </c>
    </row>
    <row r="42" customFormat="false" ht="15" hidden="false" customHeight="false" outlineLevel="0" collapsed="false">
      <c r="A42" s="9"/>
      <c r="B42" s="9"/>
      <c r="C42" s="9"/>
      <c r="D42" s="10"/>
      <c r="E42" s="11" t="str">
        <f aca="false">IF(OR(AE42=0,$D42=""),"",DATE(YEAR(AsOfDate)+IF(DATE(YEAR(AsOfDate),MONTH($D42),DAY($D42))&lt;=AsOfDate,1,0),MONTH($D42),DAY($D42)))</f>
        <v/>
      </c>
      <c r="F42" s="10"/>
      <c r="G42" s="10"/>
      <c r="H42" s="10"/>
      <c r="I42" s="10"/>
      <c r="J42" s="10"/>
      <c r="K42" s="11" t="str">
        <f aca="false">IF(AE42=0,"",DATE(YEAR(AsOfDate)+IF(DATE(YEAR(AsOfDate),MONTH(AF42),DAY(AF42))&lt;=AsOfDate,1,0),MONTH(AF42),DAY(AF42)))</f>
        <v/>
      </c>
      <c r="L42" s="12" t="str">
        <f aca="false">IF(AE42=0,"",ROUND((AsOfDate-AF42)/365.25,1))</f>
        <v/>
      </c>
      <c r="M42" s="13" t="str">
        <f aca="false">IF(AE42=0,"",IF(AsOfDate&lt;AF42,"-",DATEDIF(AF42,AsOfDate,"y")&amp;"y "&amp;DATEDIF(AF42,AsOfDate,"ym")&amp;"m "&amp;DATEDIF(AF42,AsOfDate,"md")&amp;"d"))</f>
        <v/>
      </c>
      <c r="N42" s="14" t="str">
        <f aca="false">IF(AE42=0,"",O42*HoursPerDay)</f>
        <v/>
      </c>
      <c r="O42" s="14" t="str">
        <f aca="false">IF(AE42=0,"",AX42)</f>
        <v/>
      </c>
      <c r="P42" s="15"/>
      <c r="Q42" s="13"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13"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1" t="str">
        <f aca="false">IF(AE42=0,"",IF(AQ42="None","",EDATE(AF42,AZ42)))</f>
        <v/>
      </c>
      <c r="T42" s="14" t="str">
        <f aca="false">IF(AE42=0,"",IF(NOT(LH_Ready),"",IF(AF42&gt;PFYDate,0,IF(LH_ColPeriod=0,W42-U42+V42,SUMIFS(INDEX(LH_Data,0,LH_ColAcc),INDEX(LH_Data,0,LH_ColFirst),$A42,INDEX(LH_Data,0,LH_ColSur),$B42,INDEX(LH_Data,0,LH_ColCat),BonusCat,INDEX(LH_Data,0,LH_ColPeriod),LH_OpenLabel)*UnitFactor))))</f>
        <v/>
      </c>
      <c r="U42" s="14" t="str">
        <f aca="false">IF(AE42=0,"",IF(NOT(LH_Ready),"",SUMIFS(INDEX(LH_Data,0,LH_ColAcc),INDEX(LH_Data,0,LH_ColFirst),$A42,INDEX(LH_Data,0,LH_ColSur),$B42,INDEX(LH_Data,0,LH_ColCat),BonusCat,INDEX(LH_Data,0,LH_ColStart),"&gt;="&amp;AF42)*UnitFactor))</f>
        <v/>
      </c>
      <c r="V42" s="14" t="str">
        <f aca="false">IF(AE42=0,"",IF(NOT(LH_Ready),"",SUMIFS(INDEX(LH_Data,0,LH_ColTaken),INDEX(LH_Data,0,LH_ColFirst),$A42,INDEX(LH_Data,0,LH_ColSur),$B42,INDEX(LH_Data,0,LH_ColCat),BonusCat,INDEX(LH_Data,0,LH_ColStart),"&gt;="&amp;AF42)*UnitFactor))</f>
        <v/>
      </c>
      <c r="W42" s="14" t="str">
        <f aca="false">IF(AE42=0,"",IF(NOT(LH_Ready),"",IF(BB42=0,0,INDEX(INDEX(LH_Data,0,LH_ColClose),BB42-1)*UnitFactor)))</f>
        <v/>
      </c>
      <c r="X42" s="14" t="str">
        <f aca="false">IF(AE42=0,"",(AX42-AY42)*HoursPerDay)</f>
        <v/>
      </c>
      <c r="Y42" s="14" t="str">
        <f aca="false">IF(AE42=0,"",IF(NOT(LH_Ready),"",IF(BA42=0,N42,IF(PFYDate&lt;$F42,N42-N(T42)-N(U42),X42-N(U42)))))</f>
        <v/>
      </c>
      <c r="Z42" s="13" t="str">
        <f aca="false">IF(OR(AE42=0,Y42=""),"",IF(Y42&gt;0,"Yes","No"))</f>
        <v/>
      </c>
      <c r="AA42" s="13"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 hrs more than policy since commencement",IF(N(W42)&gt;O42*HoursPerDay+0.01,"CHECK - EH balance "&amp;ROUND(W42-O42*HoursPerDay,2)&amp;" hrs more than policy entitlement",IF(O42&gt;0,"OK - nothing to add",IF(AQ42="None",R42,"Not yet - first day on "&amp;TEXT(S42,"dd/mm/yyyy")))))))))</f>
        <v/>
      </c>
      <c r="AB42" s="14" t="str">
        <f aca="false">IF(OR(AE42=0,T42=""),"",AY42*HoursPerDay-T42)</f>
        <v/>
      </c>
      <c r="AC42" s="13" t="str">
        <f aca="false">IF(AE42=0,"",BA42)</f>
        <v/>
      </c>
      <c r="AD42" s="13"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3" t="n">
        <f aca="false">IF(OR(LEN($A42&amp;$B42)=0,$F42=""),0,1)</f>
        <v>0</v>
      </c>
      <c r="AF42" s="11" t="str">
        <f aca="false">IF(AE42=0,"",IF($J42&lt;&gt;"",$J42,IF(OR(CasualCounts="Yes",COUNT($G42:$I42)=0,COUNT($G42:$H42)=0),$F42,MIN($G42:$H42))))</f>
        <v/>
      </c>
      <c r="AG42" s="13" t="str">
        <f aca="false">IF(AE42=0,"",COUNT($G42:$I42))</f>
        <v/>
      </c>
      <c r="AH42" s="11" t="str">
        <f aca="false">IF(AE42=0,"",IFERROR(SMALL($G42:$I42,1),""))</f>
        <v/>
      </c>
      <c r="AI42" s="11" t="str">
        <f aca="false">IF(AE42=0,"",IFERROR(SMALL($G42:$I42,2),""))</f>
        <v/>
      </c>
      <c r="AJ42" s="11" t="str">
        <f aca="false">IF(AE42=0,"",IFERROR(SMALL($G42:$I42,3),""))</f>
        <v/>
      </c>
      <c r="AK42" s="13" t="str">
        <f aca="false">IF(AE42=0,"",IF(AH42="","",IF(AH42=$G42,"Part-Time",IF(AH42=$H42,"Full-Time","Casual"))))</f>
        <v/>
      </c>
      <c r="AL42" s="13" t="str">
        <f aca="false">IF(AE42=0,"",IF(AI42="","",IF(AI42=$G42,"Part-Time",IF(AI42=$H42,"Full-Time","Casual"))))</f>
        <v/>
      </c>
      <c r="AM42" s="13" t="str">
        <f aca="false">IF(AE42=0,"",IF(AJ42="","",IF(AJ42=$G42,"Part-Time",IF(AJ42=$H42,"Full-Time","Casual"))))</f>
        <v/>
      </c>
      <c r="AN42" s="13"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3" t="str">
        <f aca="false">IF(AE42=0,"",IF(AG42&lt;2,"",IF(OR(ISNUMBER(SEARCH("full",AL42)),UPPER(TRIM(AL42))="FT",UPPER(TRIM(AL42))="FTE"),"FT",IF(AND(OR(ISNUMBER(SEARCH("part",AL42)),UPPER(TRIM(AL42))="PT",UPPER(TRIM(AL42))="PTE"),OR($P42="",N($P42)&gt;=PT_MinHours)),"PT","None"))))</f>
        <v/>
      </c>
      <c r="AP42" s="13" t="str">
        <f aca="false">IF(AE42=0,"",IF(AG42&lt;3,"",IF(OR(ISNUMBER(SEARCH("full",AM42)),UPPER(TRIM(AM42))="FT",UPPER(TRIM(AM42))="FTE"),"FT",IF(AND(OR(ISNUMBER(SEARCH("part",AM42)),UPPER(TRIM(AM42))="PT",UPPER(TRIM(AM42))="PTE"),OR($P42="",N($P42)&gt;=PT_MinHours)),"PT","None"))))</f>
        <v/>
      </c>
      <c r="AQ42" s="13" t="str">
        <f aca="false">IF(AE42=0,"",IF(AND(AG42&gt;=3,AJ42&lt;=AsOfDate),AP42,IF(AND(AG42&gt;=2,AI42&lt;=AsOfDate),AO42,AN42)))</f>
        <v/>
      </c>
      <c r="AR42" s="13" t="str">
        <f aca="false">IF(AE42=0,"",IF(AsOfDate&lt;AF42,-1,12*(YEAR(AsOfDate)-YEAR(AF42))+MONTH(AsOfDate)-MONTH(AF42)-IF(DAY(AsOfDate)&lt;MIN(DAY(AF42),DAY(EOMONTH(AsOfDate,0))),1,0)))</f>
        <v/>
      </c>
      <c r="AS42" s="13" t="str">
        <f aca="false">IF(AE42=0,"",IF(OR(AG42&lt;2,AI42&gt;AsOfDate),AR42,IF((AI42-1)&lt;AF42,-1,12*(YEAR((AI42-1))-YEAR(AF42))+MONTH((AI42-1))-MONTH(AF42)-IF(DAY((AI42-1))&lt;MIN(DAY(AF42),DAY(EOMONTH((AI42-1),0))),1,0))))</f>
        <v/>
      </c>
      <c r="AT42" s="13" t="str">
        <f aca="false">IF(AE42=0,"",IF(OR(AG42&lt;3,AJ42&gt;AsOfDate),AR42,IF((AJ42-1)&lt;AF42,-1,12*(YEAR((AJ42-1))-YEAR(AF42))+MONTH((AJ42-1))-MONTH(AF42)-IF(DAY((AJ42-1))&lt;MIN(DAY(AF42),DAY(EOMONTH((AJ42-1),0))),1,0))))</f>
        <v/>
      </c>
      <c r="AU42" s="13" t="str">
        <f aca="false">IF(AE42=0,"",IF(PFYDate&lt;AF42,-1,12*(YEAR(PFYDate)-YEAR(AF42))+MONTH(PFYDate)-MONTH(AF42)-IF(DAY(PFYDate)&lt;MIN(DAY(AF42),DAY(EOMONTH(PFYDate,0))),1,0)))</f>
        <v/>
      </c>
      <c r="AV42" s="13" t="str">
        <f aca="false">IF(AE42=0,"",IF(OR(AG42&lt;2,AI42&gt;PFYDate),AU42,IF((AI42-1)&lt;AF42,-1,12*(YEAR((AI42-1))-YEAR(AF42))+MONTH((AI42-1))-MONTH(AF42)-IF(DAY((AI42-1))&lt;MIN(DAY(AF42),DAY(EOMONTH((AI42-1),0))),1,0))))</f>
        <v/>
      </c>
      <c r="AW42" s="13" t="str">
        <f aca="false">IF(AE42=0,"",IF(OR(AG42&lt;3,AJ42&gt;PFYDate),AU42,IF((AJ42-1)&lt;AF42,-1,12*(YEAR((AJ42-1))-YEAR(AF42))+MONTH((AJ42-1))-MONTH(AF42)-IF(DAY((AJ42-1))&lt;MIN(DAY(AF42),DAY(EOMONTH((AJ42-1),0))),1,0))))</f>
        <v/>
      </c>
      <c r="AX42" s="13"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3"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3" t="str">
        <f aca="false">IF(AE42=0,"",IF(AQ42="FT",IF(AR42&lt;FT_First,FT_First,IF(AR42&lt;FT_Y5,MIN(FT_Y5,FT_First+FT_Int1*(INT((AR42-FT_First)/FT_Int1)+1)),FT_Y5+12*INT((AR42-FT_Y5)/12)+FT_Int2*(INT(MOD(AR42-FT_Y5,12)/FT_Int2)+1))),IF(AQ42="PT",IF(AR42&lt;PT_First,PT_First,PT_First+PT_Int*(INT((AR42-PT_First)/PT_Int)+1)),"")))</f>
        <v/>
      </c>
      <c r="BA42" s="13" t="str">
        <f aca="false">IF(AE42=0,"",IF(NOT(LH_Ready),0,COUNTIFS(INDEX(LH_Data,0,LH_ColFirst),$A42,INDEX(LH_Data,0,LH_ColSur),$B42,INDEX(LH_Data,0,LH_ColCat),BonusCat)))</f>
        <v/>
      </c>
      <c r="BB42" s="13" t="str">
        <f aca="false">IF(AE42=0,"",IF(OR(NOT(LH_Ready),BA42=0),0,SUMPRODUCT(MAX((INDEX(LH_Data,0,LH_ColFirst)=$A42)*(INDEX(LH_Data,0,LH_ColSur)=$B42)*(INDEX(LH_Data,0,LH_ColCat)=BonusCat)*ROW(LH_Data)))))</f>
        <v/>
      </c>
      <c r="BC42" s="0" t="str">
        <f aca="false">IF(LEN($A42&amp;$B42)=0,"",$A42&amp;" "&amp;$B42)</f>
        <v/>
      </c>
    </row>
    <row r="43" customFormat="false" ht="15" hidden="false" customHeight="false" outlineLevel="0" collapsed="false">
      <c r="A43" s="9"/>
      <c r="B43" s="9"/>
      <c r="C43" s="9"/>
      <c r="D43" s="10"/>
      <c r="E43" s="11" t="str">
        <f aca="false">IF(OR(AE43=0,$D43=""),"",DATE(YEAR(AsOfDate)+IF(DATE(YEAR(AsOfDate),MONTH($D43),DAY($D43))&lt;=AsOfDate,1,0),MONTH($D43),DAY($D43)))</f>
        <v/>
      </c>
      <c r="F43" s="10"/>
      <c r="G43" s="10"/>
      <c r="H43" s="10"/>
      <c r="I43" s="10"/>
      <c r="J43" s="10"/>
      <c r="K43" s="11" t="str">
        <f aca="false">IF(AE43=0,"",DATE(YEAR(AsOfDate)+IF(DATE(YEAR(AsOfDate),MONTH(AF43),DAY(AF43))&lt;=AsOfDate,1,0),MONTH(AF43),DAY(AF43)))</f>
        <v/>
      </c>
      <c r="L43" s="12" t="str">
        <f aca="false">IF(AE43=0,"",ROUND((AsOfDate-AF43)/365.25,1))</f>
        <v/>
      </c>
      <c r="M43" s="13" t="str">
        <f aca="false">IF(AE43=0,"",IF(AsOfDate&lt;AF43,"-",DATEDIF(AF43,AsOfDate,"y")&amp;"y "&amp;DATEDIF(AF43,AsOfDate,"ym")&amp;"m "&amp;DATEDIF(AF43,AsOfDate,"md")&amp;"d"))</f>
        <v/>
      </c>
      <c r="N43" s="14" t="str">
        <f aca="false">IF(AE43=0,"",O43*HoursPerDay)</f>
        <v/>
      </c>
      <c r="O43" s="14" t="str">
        <f aca="false">IF(AE43=0,"",AX43)</f>
        <v/>
      </c>
      <c r="P43" s="15"/>
      <c r="Q43" s="13"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
      </c>
      <c r="R43" s="13"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1" t="str">
        <f aca="false">IF(AE43=0,"",IF(AQ43="None","",EDATE(AF43,AZ43)))</f>
        <v/>
      </c>
      <c r="T43" s="14" t="str">
        <f aca="false">IF(AE43=0,"",IF(NOT(LH_Ready),"",IF(AF43&gt;PFYDate,0,IF(LH_ColPeriod=0,W43-U43+V43,SUMIFS(INDEX(LH_Data,0,LH_ColAcc),INDEX(LH_Data,0,LH_ColFirst),$A43,INDEX(LH_Data,0,LH_ColSur),$B43,INDEX(LH_Data,0,LH_ColCat),BonusCat,INDEX(LH_Data,0,LH_ColPeriod),LH_OpenLabel)*UnitFactor))))</f>
        <v/>
      </c>
      <c r="U43" s="14" t="str">
        <f aca="false">IF(AE43=0,"",IF(NOT(LH_Ready),"",SUMIFS(INDEX(LH_Data,0,LH_ColAcc),INDEX(LH_Data,0,LH_ColFirst),$A43,INDEX(LH_Data,0,LH_ColSur),$B43,INDEX(LH_Data,0,LH_ColCat),BonusCat,INDEX(LH_Data,0,LH_ColStart),"&gt;="&amp;AF43)*UnitFactor))</f>
        <v/>
      </c>
      <c r="V43" s="14" t="str">
        <f aca="false">IF(AE43=0,"",IF(NOT(LH_Ready),"",SUMIFS(INDEX(LH_Data,0,LH_ColTaken),INDEX(LH_Data,0,LH_ColFirst),$A43,INDEX(LH_Data,0,LH_ColSur),$B43,INDEX(LH_Data,0,LH_ColCat),BonusCat,INDEX(LH_Data,0,LH_ColStart),"&gt;="&amp;AF43)*UnitFactor))</f>
        <v/>
      </c>
      <c r="W43" s="14" t="str">
        <f aca="false">IF(AE43=0,"",IF(NOT(LH_Ready),"",IF(BB43=0,0,INDEX(INDEX(LH_Data,0,LH_ColClose),BB43-1)*UnitFactor)))</f>
        <v/>
      </c>
      <c r="X43" s="14" t="str">
        <f aca="false">IF(AE43=0,"",(AX43-AY43)*HoursPerDay)</f>
        <v/>
      </c>
      <c r="Y43" s="14" t="str">
        <f aca="false">IF(AE43=0,"",IF(NOT(LH_Ready),"",IF(BA43=0,N43,IF(PFYDate&lt;$F43,N43-N(T43)-N(U43),X43-N(U43)))))</f>
        <v/>
      </c>
      <c r="Z43" s="13" t="str">
        <f aca="false">IF(OR(AE43=0,Y43=""),"",IF(Y43&gt;0,"Yes","No"))</f>
        <v/>
      </c>
      <c r="AA43" s="13"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 hrs more than policy since commencement",IF(N(W43)&gt;O43*HoursPerDay+0.01,"CHECK - EH balance "&amp;ROUND(W43-O43*HoursPerDay,2)&amp;" hrs more than policy entitlement",IF(O43&gt;0,"OK - nothing to add",IF(AQ43="None",R43,"Not yet - first day on "&amp;TEXT(S43,"dd/mm/yyyy")))))))))</f>
        <v/>
      </c>
      <c r="AB43" s="14" t="str">
        <f aca="false">IF(OR(AE43=0,T43=""),"",AY43*HoursPerDay-T43)</f>
        <v/>
      </c>
      <c r="AC43" s="13" t="str">
        <f aca="false">IF(AE43=0,"",BA43)</f>
        <v/>
      </c>
      <c r="AD43" s="13"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3" t="n">
        <f aca="false">IF(OR(LEN($A43&amp;$B43)=0,$F43=""),0,1)</f>
        <v>0</v>
      </c>
      <c r="AF43" s="11" t="str">
        <f aca="false">IF(AE43=0,"",IF($J43&lt;&gt;"",$J43,IF(OR(CasualCounts="Yes",COUNT($G43:$I43)=0,COUNT($G43:$H43)=0),$F43,MIN($G43:$H43))))</f>
        <v/>
      </c>
      <c r="AG43" s="13" t="str">
        <f aca="false">IF(AE43=0,"",COUNT($G43:$I43))</f>
        <v/>
      </c>
      <c r="AH43" s="11" t="str">
        <f aca="false">IF(AE43=0,"",IFERROR(SMALL($G43:$I43,1),""))</f>
        <v/>
      </c>
      <c r="AI43" s="11" t="str">
        <f aca="false">IF(AE43=0,"",IFERROR(SMALL($G43:$I43,2),""))</f>
        <v/>
      </c>
      <c r="AJ43" s="11" t="str">
        <f aca="false">IF(AE43=0,"",IFERROR(SMALL($G43:$I43,3),""))</f>
        <v/>
      </c>
      <c r="AK43" s="13" t="str">
        <f aca="false">IF(AE43=0,"",IF(AH43="","",IF(AH43=$G43,"Part-Time",IF(AH43=$H43,"Full-Time","Casual"))))</f>
        <v/>
      </c>
      <c r="AL43" s="13" t="str">
        <f aca="false">IF(AE43=0,"",IF(AI43="","",IF(AI43=$G43,"Part-Time",IF(AI43=$H43,"Full-Time","Casual"))))</f>
        <v/>
      </c>
      <c r="AM43" s="13" t="str">
        <f aca="false">IF(AE43=0,"",IF(AJ43="","",IF(AJ43=$G43,"Part-Time",IF(AJ43=$H43,"Full-Time","Casual"))))</f>
        <v/>
      </c>
      <c r="AN43" s="13"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3" t="str">
        <f aca="false">IF(AE43=0,"",IF(AG43&lt;2,"",IF(OR(ISNUMBER(SEARCH("full",AL43)),UPPER(TRIM(AL43))="FT",UPPER(TRIM(AL43))="FTE"),"FT",IF(AND(OR(ISNUMBER(SEARCH("part",AL43)),UPPER(TRIM(AL43))="PT",UPPER(TRIM(AL43))="PTE"),OR($P43="",N($P43)&gt;=PT_MinHours)),"PT","None"))))</f>
        <v/>
      </c>
      <c r="AP43" s="13" t="str">
        <f aca="false">IF(AE43=0,"",IF(AG43&lt;3,"",IF(OR(ISNUMBER(SEARCH("full",AM43)),UPPER(TRIM(AM43))="FT",UPPER(TRIM(AM43))="FTE"),"FT",IF(AND(OR(ISNUMBER(SEARCH("part",AM43)),UPPER(TRIM(AM43))="PT",UPPER(TRIM(AM43))="PTE"),OR($P43="",N($P43)&gt;=PT_MinHours)),"PT","None"))))</f>
        <v/>
      </c>
      <c r="AQ43" s="13" t="str">
        <f aca="false">IF(AE43=0,"",IF(AND(AG43&gt;=3,AJ43&lt;=AsOfDate),AP43,IF(AND(AG43&gt;=2,AI43&lt;=AsOfDate),AO43,AN43)))</f>
        <v/>
      </c>
      <c r="AR43" s="13" t="str">
        <f aca="false">IF(AE43=0,"",IF(AsOfDate&lt;AF43,-1,12*(YEAR(AsOfDate)-YEAR(AF43))+MONTH(AsOfDate)-MONTH(AF43)-IF(DAY(AsOfDate)&lt;MIN(DAY(AF43),DAY(EOMONTH(AsOfDate,0))),1,0)))</f>
        <v/>
      </c>
      <c r="AS43" s="13" t="str">
        <f aca="false">IF(AE43=0,"",IF(OR(AG43&lt;2,AI43&gt;AsOfDate),AR43,IF((AI43-1)&lt;AF43,-1,12*(YEAR((AI43-1))-YEAR(AF43))+MONTH((AI43-1))-MONTH(AF43)-IF(DAY((AI43-1))&lt;MIN(DAY(AF43),DAY(EOMONTH((AI43-1),0))),1,0))))</f>
        <v/>
      </c>
      <c r="AT43" s="13" t="str">
        <f aca="false">IF(AE43=0,"",IF(OR(AG43&lt;3,AJ43&gt;AsOfDate),AR43,IF((AJ43-1)&lt;AF43,-1,12*(YEAR((AJ43-1))-YEAR(AF43))+MONTH((AJ43-1))-MONTH(AF43)-IF(DAY((AJ43-1))&lt;MIN(DAY(AF43),DAY(EOMONTH((AJ43-1),0))),1,0))))</f>
        <v/>
      </c>
      <c r="AU43" s="13" t="str">
        <f aca="false">IF(AE43=0,"",IF(PFYDate&lt;AF43,-1,12*(YEAR(PFYDate)-YEAR(AF43))+MONTH(PFYDate)-MONTH(AF43)-IF(DAY(PFYDate)&lt;MIN(DAY(AF43),DAY(EOMONTH(PFYDate,0))),1,0)))</f>
        <v/>
      </c>
      <c r="AV43" s="13" t="str">
        <f aca="false">IF(AE43=0,"",IF(OR(AG43&lt;2,AI43&gt;PFYDate),AU43,IF((AI43-1)&lt;AF43,-1,12*(YEAR((AI43-1))-YEAR(AF43))+MONTH((AI43-1))-MONTH(AF43)-IF(DAY((AI43-1))&lt;MIN(DAY(AF43),DAY(EOMONTH((AI43-1),0))),1,0))))</f>
        <v/>
      </c>
      <c r="AW43" s="13" t="str">
        <f aca="false">IF(AE43=0,"",IF(OR(AG43&lt;3,AJ43&gt;PFYDate),AU43,IF((AJ43-1)&lt;AF43,-1,12*(YEAR((AJ43-1))-YEAR(AF43))+MONTH((AJ43-1))-MONTH(AF43)-IF(DAY((AJ43-1))&lt;MIN(DAY(AF43),DAY(EOMONTH((AJ43-1),0))),1,0))))</f>
        <v/>
      </c>
      <c r="AX43" s="13"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3"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3" t="str">
        <f aca="false">IF(AE43=0,"",IF(AQ43="FT",IF(AR43&lt;FT_First,FT_First,IF(AR43&lt;FT_Y5,MIN(FT_Y5,FT_First+FT_Int1*(INT((AR43-FT_First)/FT_Int1)+1)),FT_Y5+12*INT((AR43-FT_Y5)/12)+FT_Int2*(INT(MOD(AR43-FT_Y5,12)/FT_Int2)+1))),IF(AQ43="PT",IF(AR43&lt;PT_First,PT_First,PT_First+PT_Int*(INT((AR43-PT_First)/PT_Int)+1)),"")))</f>
        <v/>
      </c>
      <c r="BA43" s="13" t="str">
        <f aca="false">IF(AE43=0,"",IF(NOT(LH_Ready),0,COUNTIFS(INDEX(LH_Data,0,LH_ColFirst),$A43,INDEX(LH_Data,0,LH_ColSur),$B43,INDEX(LH_Data,0,LH_ColCat),BonusCat)))</f>
        <v/>
      </c>
      <c r="BB43" s="13" t="str">
        <f aca="false">IF(AE43=0,"",IF(OR(NOT(LH_Ready),BA43=0),0,SUMPRODUCT(MAX((INDEX(LH_Data,0,LH_ColFirst)=$A43)*(INDEX(LH_Data,0,LH_ColSur)=$B43)*(INDEX(LH_Data,0,LH_ColCat)=BonusCat)*ROW(LH_Data)))))</f>
        <v/>
      </c>
      <c r="BC43" s="0" t="str">
        <f aca="false">IF(LEN($A43&amp;$B43)=0,"",$A43&amp;" "&amp;$B43)</f>
        <v/>
      </c>
    </row>
    <row r="44" customFormat="false" ht="15" hidden="false" customHeight="false" outlineLevel="0" collapsed="false">
      <c r="A44" s="9"/>
      <c r="B44" s="9"/>
      <c r="C44" s="9"/>
      <c r="D44" s="10"/>
      <c r="E44" s="11" t="str">
        <f aca="false">IF(OR(AE44=0,$D44=""),"",DATE(YEAR(AsOfDate)+IF(DATE(YEAR(AsOfDate),MONTH($D44),DAY($D44))&lt;=AsOfDate,1,0),MONTH($D44),DAY($D44)))</f>
        <v/>
      </c>
      <c r="F44" s="10"/>
      <c r="G44" s="10"/>
      <c r="H44" s="10"/>
      <c r="I44" s="10"/>
      <c r="J44" s="10"/>
      <c r="K44" s="11" t="str">
        <f aca="false">IF(AE44=0,"",DATE(YEAR(AsOfDate)+IF(DATE(YEAR(AsOfDate),MONTH(AF44),DAY(AF44))&lt;=AsOfDate,1,0),MONTH(AF44),DAY(AF44)))</f>
        <v/>
      </c>
      <c r="L44" s="12" t="str">
        <f aca="false">IF(AE44=0,"",ROUND((AsOfDate-AF44)/365.25,1))</f>
        <v/>
      </c>
      <c r="M44" s="13" t="str">
        <f aca="false">IF(AE44=0,"",IF(AsOfDate&lt;AF44,"-",DATEDIF(AF44,AsOfDate,"y")&amp;"y "&amp;DATEDIF(AF44,AsOfDate,"ym")&amp;"m "&amp;DATEDIF(AF44,AsOfDate,"md")&amp;"d"))</f>
        <v/>
      </c>
      <c r="N44" s="14" t="str">
        <f aca="false">IF(AE44=0,"",O44*HoursPerDay)</f>
        <v/>
      </c>
      <c r="O44" s="14" t="str">
        <f aca="false">IF(AE44=0,"",AX44)</f>
        <v/>
      </c>
      <c r="P44" s="15"/>
      <c r="Q44" s="13"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13"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1" t="str">
        <f aca="false">IF(AE44=0,"",IF(AQ44="None","",EDATE(AF44,AZ44)))</f>
        <v/>
      </c>
      <c r="T44" s="14" t="str">
        <f aca="false">IF(AE44=0,"",IF(NOT(LH_Ready),"",IF(AF44&gt;PFYDate,0,IF(LH_ColPeriod=0,W44-U44+V44,SUMIFS(INDEX(LH_Data,0,LH_ColAcc),INDEX(LH_Data,0,LH_ColFirst),$A44,INDEX(LH_Data,0,LH_ColSur),$B44,INDEX(LH_Data,0,LH_ColCat),BonusCat,INDEX(LH_Data,0,LH_ColPeriod),LH_OpenLabel)*UnitFactor))))</f>
        <v/>
      </c>
      <c r="U44" s="14" t="str">
        <f aca="false">IF(AE44=0,"",IF(NOT(LH_Ready),"",SUMIFS(INDEX(LH_Data,0,LH_ColAcc),INDEX(LH_Data,0,LH_ColFirst),$A44,INDEX(LH_Data,0,LH_ColSur),$B44,INDEX(LH_Data,0,LH_ColCat),BonusCat,INDEX(LH_Data,0,LH_ColStart),"&gt;="&amp;AF44)*UnitFactor))</f>
        <v/>
      </c>
      <c r="V44" s="14" t="str">
        <f aca="false">IF(AE44=0,"",IF(NOT(LH_Ready),"",SUMIFS(INDEX(LH_Data,0,LH_ColTaken),INDEX(LH_Data,0,LH_ColFirst),$A44,INDEX(LH_Data,0,LH_ColSur),$B44,INDEX(LH_Data,0,LH_ColCat),BonusCat,INDEX(LH_Data,0,LH_ColStart),"&gt;="&amp;AF44)*UnitFactor))</f>
        <v/>
      </c>
      <c r="W44" s="14" t="str">
        <f aca="false">IF(AE44=0,"",IF(NOT(LH_Ready),"",IF(BB44=0,0,INDEX(INDEX(LH_Data,0,LH_ColClose),BB44-1)*UnitFactor)))</f>
        <v/>
      </c>
      <c r="X44" s="14" t="str">
        <f aca="false">IF(AE44=0,"",(AX44-AY44)*HoursPerDay)</f>
        <v/>
      </c>
      <c r="Y44" s="14" t="str">
        <f aca="false">IF(AE44=0,"",IF(NOT(LH_Ready),"",IF(BA44=0,N44,IF(PFYDate&lt;$F44,N44-N(T44)-N(U44),X44-N(U44)))))</f>
        <v/>
      </c>
      <c r="Z44" s="13" t="str">
        <f aca="false">IF(OR(AE44=0,Y44=""),"",IF(Y44&gt;0,"Yes","No"))</f>
        <v/>
      </c>
      <c r="AA44" s="13"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 hrs more than policy since commencement",IF(N(W44)&gt;O44*HoursPerDay+0.01,"CHECK - EH balance "&amp;ROUND(W44-O44*HoursPerDay,2)&amp;" hrs more than policy entitlement",IF(O44&gt;0,"OK - nothing to add",IF(AQ44="None",R44,"Not yet - first day on "&amp;TEXT(S44,"dd/mm/yyyy")))))))))</f>
        <v/>
      </c>
      <c r="AB44" s="14" t="str">
        <f aca="false">IF(OR(AE44=0,T44=""),"",AY44*HoursPerDay-T44)</f>
        <v/>
      </c>
      <c r="AC44" s="13" t="str">
        <f aca="false">IF(AE44=0,"",BA44)</f>
        <v/>
      </c>
      <c r="AD44" s="13"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3" t="n">
        <f aca="false">IF(OR(LEN($A44&amp;$B44)=0,$F44=""),0,1)</f>
        <v>0</v>
      </c>
      <c r="AF44" s="11" t="str">
        <f aca="false">IF(AE44=0,"",IF($J44&lt;&gt;"",$J44,IF(OR(CasualCounts="Yes",COUNT($G44:$I44)=0,COUNT($G44:$H44)=0),$F44,MIN($G44:$H44))))</f>
        <v/>
      </c>
      <c r="AG44" s="13" t="str">
        <f aca="false">IF(AE44=0,"",COUNT($G44:$I44))</f>
        <v/>
      </c>
      <c r="AH44" s="11" t="str">
        <f aca="false">IF(AE44=0,"",IFERROR(SMALL($G44:$I44,1),""))</f>
        <v/>
      </c>
      <c r="AI44" s="11" t="str">
        <f aca="false">IF(AE44=0,"",IFERROR(SMALL($G44:$I44,2),""))</f>
        <v/>
      </c>
      <c r="AJ44" s="11" t="str">
        <f aca="false">IF(AE44=0,"",IFERROR(SMALL($G44:$I44,3),""))</f>
        <v/>
      </c>
      <c r="AK44" s="13" t="str">
        <f aca="false">IF(AE44=0,"",IF(AH44="","",IF(AH44=$G44,"Part-Time",IF(AH44=$H44,"Full-Time","Casual"))))</f>
        <v/>
      </c>
      <c r="AL44" s="13" t="str">
        <f aca="false">IF(AE44=0,"",IF(AI44="","",IF(AI44=$G44,"Part-Time",IF(AI44=$H44,"Full-Time","Casual"))))</f>
        <v/>
      </c>
      <c r="AM44" s="13" t="str">
        <f aca="false">IF(AE44=0,"",IF(AJ44="","",IF(AJ44=$G44,"Part-Time",IF(AJ44=$H44,"Full-Time","Casual"))))</f>
        <v/>
      </c>
      <c r="AN44" s="13"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3" t="str">
        <f aca="false">IF(AE44=0,"",IF(AG44&lt;2,"",IF(OR(ISNUMBER(SEARCH("full",AL44)),UPPER(TRIM(AL44))="FT",UPPER(TRIM(AL44))="FTE"),"FT",IF(AND(OR(ISNUMBER(SEARCH("part",AL44)),UPPER(TRIM(AL44))="PT",UPPER(TRIM(AL44))="PTE"),OR($P44="",N($P44)&gt;=PT_MinHours)),"PT","None"))))</f>
        <v/>
      </c>
      <c r="AP44" s="13" t="str">
        <f aca="false">IF(AE44=0,"",IF(AG44&lt;3,"",IF(OR(ISNUMBER(SEARCH("full",AM44)),UPPER(TRIM(AM44))="FT",UPPER(TRIM(AM44))="FTE"),"FT",IF(AND(OR(ISNUMBER(SEARCH("part",AM44)),UPPER(TRIM(AM44))="PT",UPPER(TRIM(AM44))="PTE"),OR($P44="",N($P44)&gt;=PT_MinHours)),"PT","None"))))</f>
        <v/>
      </c>
      <c r="AQ44" s="13" t="str">
        <f aca="false">IF(AE44=0,"",IF(AND(AG44&gt;=3,AJ44&lt;=AsOfDate),AP44,IF(AND(AG44&gt;=2,AI44&lt;=AsOfDate),AO44,AN44)))</f>
        <v/>
      </c>
      <c r="AR44" s="13" t="str">
        <f aca="false">IF(AE44=0,"",IF(AsOfDate&lt;AF44,-1,12*(YEAR(AsOfDate)-YEAR(AF44))+MONTH(AsOfDate)-MONTH(AF44)-IF(DAY(AsOfDate)&lt;MIN(DAY(AF44),DAY(EOMONTH(AsOfDate,0))),1,0)))</f>
        <v/>
      </c>
      <c r="AS44" s="13" t="str">
        <f aca="false">IF(AE44=0,"",IF(OR(AG44&lt;2,AI44&gt;AsOfDate),AR44,IF((AI44-1)&lt;AF44,-1,12*(YEAR((AI44-1))-YEAR(AF44))+MONTH((AI44-1))-MONTH(AF44)-IF(DAY((AI44-1))&lt;MIN(DAY(AF44),DAY(EOMONTH((AI44-1),0))),1,0))))</f>
        <v/>
      </c>
      <c r="AT44" s="13" t="str">
        <f aca="false">IF(AE44=0,"",IF(OR(AG44&lt;3,AJ44&gt;AsOfDate),AR44,IF((AJ44-1)&lt;AF44,-1,12*(YEAR((AJ44-1))-YEAR(AF44))+MONTH((AJ44-1))-MONTH(AF44)-IF(DAY((AJ44-1))&lt;MIN(DAY(AF44),DAY(EOMONTH((AJ44-1),0))),1,0))))</f>
        <v/>
      </c>
      <c r="AU44" s="13" t="str">
        <f aca="false">IF(AE44=0,"",IF(PFYDate&lt;AF44,-1,12*(YEAR(PFYDate)-YEAR(AF44))+MONTH(PFYDate)-MONTH(AF44)-IF(DAY(PFYDate)&lt;MIN(DAY(AF44),DAY(EOMONTH(PFYDate,0))),1,0)))</f>
        <v/>
      </c>
      <c r="AV44" s="13" t="str">
        <f aca="false">IF(AE44=0,"",IF(OR(AG44&lt;2,AI44&gt;PFYDate),AU44,IF((AI44-1)&lt;AF44,-1,12*(YEAR((AI44-1))-YEAR(AF44))+MONTH((AI44-1))-MONTH(AF44)-IF(DAY((AI44-1))&lt;MIN(DAY(AF44),DAY(EOMONTH((AI44-1),0))),1,0))))</f>
        <v/>
      </c>
      <c r="AW44" s="13" t="str">
        <f aca="false">IF(AE44=0,"",IF(OR(AG44&lt;3,AJ44&gt;PFYDate),AU44,IF((AJ44-1)&lt;AF44,-1,12*(YEAR((AJ44-1))-YEAR(AF44))+MONTH((AJ44-1))-MONTH(AF44)-IF(DAY((AJ44-1))&lt;MIN(DAY(AF44),DAY(EOMONTH((AJ44-1),0))),1,0))))</f>
        <v/>
      </c>
      <c r="AX44" s="13"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3"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3" t="str">
        <f aca="false">IF(AE44=0,"",IF(AQ44="FT",IF(AR44&lt;FT_First,FT_First,IF(AR44&lt;FT_Y5,MIN(FT_Y5,FT_First+FT_Int1*(INT((AR44-FT_First)/FT_Int1)+1)),FT_Y5+12*INT((AR44-FT_Y5)/12)+FT_Int2*(INT(MOD(AR44-FT_Y5,12)/FT_Int2)+1))),IF(AQ44="PT",IF(AR44&lt;PT_First,PT_First,PT_First+PT_Int*(INT((AR44-PT_First)/PT_Int)+1)),"")))</f>
        <v/>
      </c>
      <c r="BA44" s="13" t="str">
        <f aca="false">IF(AE44=0,"",IF(NOT(LH_Ready),0,COUNTIFS(INDEX(LH_Data,0,LH_ColFirst),$A44,INDEX(LH_Data,0,LH_ColSur),$B44,INDEX(LH_Data,0,LH_ColCat),BonusCat)))</f>
        <v/>
      </c>
      <c r="BB44" s="13" t="str">
        <f aca="false">IF(AE44=0,"",IF(OR(NOT(LH_Ready),BA44=0),0,SUMPRODUCT(MAX((INDEX(LH_Data,0,LH_ColFirst)=$A44)*(INDEX(LH_Data,0,LH_ColSur)=$B44)*(INDEX(LH_Data,0,LH_ColCat)=BonusCat)*ROW(LH_Data)))))</f>
        <v/>
      </c>
      <c r="BC44" s="0" t="str">
        <f aca="false">IF(LEN($A44&amp;$B44)=0,"",$A44&amp;" "&amp;$B44)</f>
        <v/>
      </c>
    </row>
    <row r="45" customFormat="false" ht="15" hidden="false" customHeight="false" outlineLevel="0" collapsed="false">
      <c r="A45" s="9"/>
      <c r="B45" s="9"/>
      <c r="C45" s="9"/>
      <c r="D45" s="10"/>
      <c r="E45" s="11" t="str">
        <f aca="false">IF(OR(AE45=0,$D45=""),"",DATE(YEAR(AsOfDate)+IF(DATE(YEAR(AsOfDate),MONTH($D45),DAY($D45))&lt;=AsOfDate,1,0),MONTH($D45),DAY($D45)))</f>
        <v/>
      </c>
      <c r="F45" s="10"/>
      <c r="G45" s="10"/>
      <c r="H45" s="10"/>
      <c r="I45" s="10"/>
      <c r="J45" s="10"/>
      <c r="K45" s="11" t="str">
        <f aca="false">IF(AE45=0,"",DATE(YEAR(AsOfDate)+IF(DATE(YEAR(AsOfDate),MONTH(AF45),DAY(AF45))&lt;=AsOfDate,1,0),MONTH(AF45),DAY(AF45)))</f>
        <v/>
      </c>
      <c r="L45" s="12" t="str">
        <f aca="false">IF(AE45=0,"",ROUND((AsOfDate-AF45)/365.25,1))</f>
        <v/>
      </c>
      <c r="M45" s="13" t="str">
        <f aca="false">IF(AE45=0,"",IF(AsOfDate&lt;AF45,"-",DATEDIF(AF45,AsOfDate,"y")&amp;"y "&amp;DATEDIF(AF45,AsOfDate,"ym")&amp;"m "&amp;DATEDIF(AF45,AsOfDate,"md")&amp;"d"))</f>
        <v/>
      </c>
      <c r="N45" s="14" t="str">
        <f aca="false">IF(AE45=0,"",O45*HoursPerDay)</f>
        <v/>
      </c>
      <c r="O45" s="14" t="str">
        <f aca="false">IF(AE45=0,"",AX45)</f>
        <v/>
      </c>
      <c r="P45" s="15"/>
      <c r="Q45" s="13"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13"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1" t="str">
        <f aca="false">IF(AE45=0,"",IF(AQ45="None","",EDATE(AF45,AZ45)))</f>
        <v/>
      </c>
      <c r="T45" s="14" t="str">
        <f aca="false">IF(AE45=0,"",IF(NOT(LH_Ready),"",IF(AF45&gt;PFYDate,0,IF(LH_ColPeriod=0,W45-U45+V45,SUMIFS(INDEX(LH_Data,0,LH_ColAcc),INDEX(LH_Data,0,LH_ColFirst),$A45,INDEX(LH_Data,0,LH_ColSur),$B45,INDEX(LH_Data,0,LH_ColCat),BonusCat,INDEX(LH_Data,0,LH_ColPeriod),LH_OpenLabel)*UnitFactor))))</f>
        <v/>
      </c>
      <c r="U45" s="14" t="str">
        <f aca="false">IF(AE45=0,"",IF(NOT(LH_Ready),"",SUMIFS(INDEX(LH_Data,0,LH_ColAcc),INDEX(LH_Data,0,LH_ColFirst),$A45,INDEX(LH_Data,0,LH_ColSur),$B45,INDEX(LH_Data,0,LH_ColCat),BonusCat,INDEX(LH_Data,0,LH_ColStart),"&gt;="&amp;AF45)*UnitFactor))</f>
        <v/>
      </c>
      <c r="V45" s="14" t="str">
        <f aca="false">IF(AE45=0,"",IF(NOT(LH_Ready),"",SUMIFS(INDEX(LH_Data,0,LH_ColTaken),INDEX(LH_Data,0,LH_ColFirst),$A45,INDEX(LH_Data,0,LH_ColSur),$B45,INDEX(LH_Data,0,LH_ColCat),BonusCat,INDEX(LH_Data,0,LH_ColStart),"&gt;="&amp;AF45)*UnitFactor))</f>
        <v/>
      </c>
      <c r="W45" s="14" t="str">
        <f aca="false">IF(AE45=0,"",IF(NOT(LH_Ready),"",IF(BB45=0,0,INDEX(INDEX(LH_Data,0,LH_ColClose),BB45-1)*UnitFactor)))</f>
        <v/>
      </c>
      <c r="X45" s="14" t="str">
        <f aca="false">IF(AE45=0,"",(AX45-AY45)*HoursPerDay)</f>
        <v/>
      </c>
      <c r="Y45" s="14" t="str">
        <f aca="false">IF(AE45=0,"",IF(NOT(LH_Ready),"",IF(BA45=0,N45,IF(PFYDate&lt;$F45,N45-N(T45)-N(U45),X45-N(U45)))))</f>
        <v/>
      </c>
      <c r="Z45" s="13" t="str">
        <f aca="false">IF(OR(AE45=0,Y45=""),"",IF(Y45&gt;0,"Yes","No"))</f>
        <v/>
      </c>
      <c r="AA45" s="13"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 hrs more than policy since commencement",IF(N(W45)&gt;O45*HoursPerDay+0.01,"CHECK - EH balance "&amp;ROUND(W45-O45*HoursPerDay,2)&amp;" hrs more than policy entitlement",IF(O45&gt;0,"OK - nothing to add",IF(AQ45="None",R45,"Not yet - first day on "&amp;TEXT(S45,"dd/mm/yyyy")))))))))</f>
        <v/>
      </c>
      <c r="AB45" s="14" t="str">
        <f aca="false">IF(OR(AE45=0,T45=""),"",AY45*HoursPerDay-T45)</f>
        <v/>
      </c>
      <c r="AC45" s="13" t="str">
        <f aca="false">IF(AE45=0,"",BA45)</f>
        <v/>
      </c>
      <c r="AD45" s="13"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3" t="n">
        <f aca="false">IF(OR(LEN($A45&amp;$B45)=0,$F45=""),0,1)</f>
        <v>0</v>
      </c>
      <c r="AF45" s="11" t="str">
        <f aca="false">IF(AE45=0,"",IF($J45&lt;&gt;"",$J45,IF(OR(CasualCounts="Yes",COUNT($G45:$I45)=0,COUNT($G45:$H45)=0),$F45,MIN($G45:$H45))))</f>
        <v/>
      </c>
      <c r="AG45" s="13" t="str">
        <f aca="false">IF(AE45=0,"",COUNT($G45:$I45))</f>
        <v/>
      </c>
      <c r="AH45" s="11" t="str">
        <f aca="false">IF(AE45=0,"",IFERROR(SMALL($G45:$I45,1),""))</f>
        <v/>
      </c>
      <c r="AI45" s="11" t="str">
        <f aca="false">IF(AE45=0,"",IFERROR(SMALL($G45:$I45,2),""))</f>
        <v/>
      </c>
      <c r="AJ45" s="11" t="str">
        <f aca="false">IF(AE45=0,"",IFERROR(SMALL($G45:$I45,3),""))</f>
        <v/>
      </c>
      <c r="AK45" s="13" t="str">
        <f aca="false">IF(AE45=0,"",IF(AH45="","",IF(AH45=$G45,"Part-Time",IF(AH45=$H45,"Full-Time","Casual"))))</f>
        <v/>
      </c>
      <c r="AL45" s="13" t="str">
        <f aca="false">IF(AE45=0,"",IF(AI45="","",IF(AI45=$G45,"Part-Time",IF(AI45=$H45,"Full-Time","Casual"))))</f>
        <v/>
      </c>
      <c r="AM45" s="13" t="str">
        <f aca="false">IF(AE45=0,"",IF(AJ45="","",IF(AJ45=$G45,"Part-Time",IF(AJ45=$H45,"Full-Time","Casual"))))</f>
        <v/>
      </c>
      <c r="AN45" s="13"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3" t="str">
        <f aca="false">IF(AE45=0,"",IF(AG45&lt;2,"",IF(OR(ISNUMBER(SEARCH("full",AL45)),UPPER(TRIM(AL45))="FT",UPPER(TRIM(AL45))="FTE"),"FT",IF(AND(OR(ISNUMBER(SEARCH("part",AL45)),UPPER(TRIM(AL45))="PT",UPPER(TRIM(AL45))="PTE"),OR($P45="",N($P45)&gt;=PT_MinHours)),"PT","None"))))</f>
        <v/>
      </c>
      <c r="AP45" s="13" t="str">
        <f aca="false">IF(AE45=0,"",IF(AG45&lt;3,"",IF(OR(ISNUMBER(SEARCH("full",AM45)),UPPER(TRIM(AM45))="FT",UPPER(TRIM(AM45))="FTE"),"FT",IF(AND(OR(ISNUMBER(SEARCH("part",AM45)),UPPER(TRIM(AM45))="PT",UPPER(TRIM(AM45))="PTE"),OR($P45="",N($P45)&gt;=PT_MinHours)),"PT","None"))))</f>
        <v/>
      </c>
      <c r="AQ45" s="13" t="str">
        <f aca="false">IF(AE45=0,"",IF(AND(AG45&gt;=3,AJ45&lt;=AsOfDate),AP45,IF(AND(AG45&gt;=2,AI45&lt;=AsOfDate),AO45,AN45)))</f>
        <v/>
      </c>
      <c r="AR45" s="13" t="str">
        <f aca="false">IF(AE45=0,"",IF(AsOfDate&lt;AF45,-1,12*(YEAR(AsOfDate)-YEAR(AF45))+MONTH(AsOfDate)-MONTH(AF45)-IF(DAY(AsOfDate)&lt;MIN(DAY(AF45),DAY(EOMONTH(AsOfDate,0))),1,0)))</f>
        <v/>
      </c>
      <c r="AS45" s="13" t="str">
        <f aca="false">IF(AE45=0,"",IF(OR(AG45&lt;2,AI45&gt;AsOfDate),AR45,IF((AI45-1)&lt;AF45,-1,12*(YEAR((AI45-1))-YEAR(AF45))+MONTH((AI45-1))-MONTH(AF45)-IF(DAY((AI45-1))&lt;MIN(DAY(AF45),DAY(EOMONTH((AI45-1),0))),1,0))))</f>
        <v/>
      </c>
      <c r="AT45" s="13" t="str">
        <f aca="false">IF(AE45=0,"",IF(OR(AG45&lt;3,AJ45&gt;AsOfDate),AR45,IF((AJ45-1)&lt;AF45,-1,12*(YEAR((AJ45-1))-YEAR(AF45))+MONTH((AJ45-1))-MONTH(AF45)-IF(DAY((AJ45-1))&lt;MIN(DAY(AF45),DAY(EOMONTH((AJ45-1),0))),1,0))))</f>
        <v/>
      </c>
      <c r="AU45" s="13" t="str">
        <f aca="false">IF(AE45=0,"",IF(PFYDate&lt;AF45,-1,12*(YEAR(PFYDate)-YEAR(AF45))+MONTH(PFYDate)-MONTH(AF45)-IF(DAY(PFYDate)&lt;MIN(DAY(AF45),DAY(EOMONTH(PFYDate,0))),1,0)))</f>
        <v/>
      </c>
      <c r="AV45" s="13" t="str">
        <f aca="false">IF(AE45=0,"",IF(OR(AG45&lt;2,AI45&gt;PFYDate),AU45,IF((AI45-1)&lt;AF45,-1,12*(YEAR((AI45-1))-YEAR(AF45))+MONTH((AI45-1))-MONTH(AF45)-IF(DAY((AI45-1))&lt;MIN(DAY(AF45),DAY(EOMONTH((AI45-1),0))),1,0))))</f>
        <v/>
      </c>
      <c r="AW45" s="13" t="str">
        <f aca="false">IF(AE45=0,"",IF(OR(AG45&lt;3,AJ45&gt;PFYDate),AU45,IF((AJ45-1)&lt;AF45,-1,12*(YEAR((AJ45-1))-YEAR(AF45))+MONTH((AJ45-1))-MONTH(AF45)-IF(DAY((AJ45-1))&lt;MIN(DAY(AF45),DAY(EOMONTH((AJ45-1),0))),1,0))))</f>
        <v/>
      </c>
      <c r="AX45" s="13"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3"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3" t="str">
        <f aca="false">IF(AE45=0,"",IF(AQ45="FT",IF(AR45&lt;FT_First,FT_First,IF(AR45&lt;FT_Y5,MIN(FT_Y5,FT_First+FT_Int1*(INT((AR45-FT_First)/FT_Int1)+1)),FT_Y5+12*INT((AR45-FT_Y5)/12)+FT_Int2*(INT(MOD(AR45-FT_Y5,12)/FT_Int2)+1))),IF(AQ45="PT",IF(AR45&lt;PT_First,PT_First,PT_First+PT_Int*(INT((AR45-PT_First)/PT_Int)+1)),"")))</f>
        <v/>
      </c>
      <c r="BA45" s="13" t="str">
        <f aca="false">IF(AE45=0,"",IF(NOT(LH_Ready),0,COUNTIFS(INDEX(LH_Data,0,LH_ColFirst),$A45,INDEX(LH_Data,0,LH_ColSur),$B45,INDEX(LH_Data,0,LH_ColCat),BonusCat)))</f>
        <v/>
      </c>
      <c r="BB45" s="13" t="str">
        <f aca="false">IF(AE45=0,"",IF(OR(NOT(LH_Ready),BA45=0),0,SUMPRODUCT(MAX((INDEX(LH_Data,0,LH_ColFirst)=$A45)*(INDEX(LH_Data,0,LH_ColSur)=$B45)*(INDEX(LH_Data,0,LH_ColCat)=BonusCat)*ROW(LH_Data)))))</f>
        <v/>
      </c>
      <c r="BC45" s="0" t="str">
        <f aca="false">IF(LEN($A45&amp;$B45)=0,"",$A45&amp;" "&amp;$B45)</f>
        <v/>
      </c>
    </row>
    <row r="46" customFormat="false" ht="15" hidden="false" customHeight="false" outlineLevel="0" collapsed="false">
      <c r="A46" s="9"/>
      <c r="B46" s="9"/>
      <c r="C46" s="9"/>
      <c r="D46" s="10"/>
      <c r="E46" s="11" t="str">
        <f aca="false">IF(OR(AE46=0,$D46=""),"",DATE(YEAR(AsOfDate)+IF(DATE(YEAR(AsOfDate),MONTH($D46),DAY($D46))&lt;=AsOfDate,1,0),MONTH($D46),DAY($D46)))</f>
        <v/>
      </c>
      <c r="F46" s="10"/>
      <c r="G46" s="10"/>
      <c r="H46" s="10"/>
      <c r="I46" s="10"/>
      <c r="J46" s="10"/>
      <c r="K46" s="11" t="str">
        <f aca="false">IF(AE46=0,"",DATE(YEAR(AsOfDate)+IF(DATE(YEAR(AsOfDate),MONTH(AF46),DAY(AF46))&lt;=AsOfDate,1,0),MONTH(AF46),DAY(AF46)))</f>
        <v/>
      </c>
      <c r="L46" s="12" t="str">
        <f aca="false">IF(AE46=0,"",ROUND((AsOfDate-AF46)/365.25,1))</f>
        <v/>
      </c>
      <c r="M46" s="13" t="str">
        <f aca="false">IF(AE46=0,"",IF(AsOfDate&lt;AF46,"-",DATEDIF(AF46,AsOfDate,"y")&amp;"y "&amp;DATEDIF(AF46,AsOfDate,"ym")&amp;"m "&amp;DATEDIF(AF46,AsOfDate,"md")&amp;"d"))</f>
        <v/>
      </c>
      <c r="N46" s="14" t="str">
        <f aca="false">IF(AE46=0,"",O46*HoursPerDay)</f>
        <v/>
      </c>
      <c r="O46" s="14" t="str">
        <f aca="false">IF(AE46=0,"",AX46)</f>
        <v/>
      </c>
      <c r="P46" s="15"/>
      <c r="Q46" s="13"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13"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1" t="str">
        <f aca="false">IF(AE46=0,"",IF(AQ46="None","",EDATE(AF46,AZ46)))</f>
        <v/>
      </c>
      <c r="T46" s="14" t="str">
        <f aca="false">IF(AE46=0,"",IF(NOT(LH_Ready),"",IF(AF46&gt;PFYDate,0,IF(LH_ColPeriod=0,W46-U46+V46,SUMIFS(INDEX(LH_Data,0,LH_ColAcc),INDEX(LH_Data,0,LH_ColFirst),$A46,INDEX(LH_Data,0,LH_ColSur),$B46,INDEX(LH_Data,0,LH_ColCat),BonusCat,INDEX(LH_Data,0,LH_ColPeriod),LH_OpenLabel)*UnitFactor))))</f>
        <v/>
      </c>
      <c r="U46" s="14" t="str">
        <f aca="false">IF(AE46=0,"",IF(NOT(LH_Ready),"",SUMIFS(INDEX(LH_Data,0,LH_ColAcc),INDEX(LH_Data,0,LH_ColFirst),$A46,INDEX(LH_Data,0,LH_ColSur),$B46,INDEX(LH_Data,0,LH_ColCat),BonusCat,INDEX(LH_Data,0,LH_ColStart),"&gt;="&amp;AF46)*UnitFactor))</f>
        <v/>
      </c>
      <c r="V46" s="14" t="str">
        <f aca="false">IF(AE46=0,"",IF(NOT(LH_Ready),"",SUMIFS(INDEX(LH_Data,0,LH_ColTaken),INDEX(LH_Data,0,LH_ColFirst),$A46,INDEX(LH_Data,0,LH_ColSur),$B46,INDEX(LH_Data,0,LH_ColCat),BonusCat,INDEX(LH_Data,0,LH_ColStart),"&gt;="&amp;AF46)*UnitFactor))</f>
        <v/>
      </c>
      <c r="W46" s="14" t="str">
        <f aca="false">IF(AE46=0,"",IF(NOT(LH_Ready),"",IF(BB46=0,0,INDEX(INDEX(LH_Data,0,LH_ColClose),BB46-1)*UnitFactor)))</f>
        <v/>
      </c>
      <c r="X46" s="14" t="str">
        <f aca="false">IF(AE46=0,"",(AX46-AY46)*HoursPerDay)</f>
        <v/>
      </c>
      <c r="Y46" s="14" t="str">
        <f aca="false">IF(AE46=0,"",IF(NOT(LH_Ready),"",IF(BA46=0,N46,IF(PFYDate&lt;$F46,N46-N(T46)-N(U46),X46-N(U46)))))</f>
        <v/>
      </c>
      <c r="Z46" s="13" t="str">
        <f aca="false">IF(OR(AE46=0,Y46=""),"",IF(Y46&gt;0,"Yes","No"))</f>
        <v/>
      </c>
      <c r="AA46" s="13"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 hrs more than policy since commencement",IF(N(W46)&gt;O46*HoursPerDay+0.01,"CHECK - EH balance "&amp;ROUND(W46-O46*HoursPerDay,2)&amp;" hrs more than policy entitlement",IF(O46&gt;0,"OK - nothing to add",IF(AQ46="None",R46,"Not yet - first day on "&amp;TEXT(S46,"dd/mm/yyyy")))))))))</f>
        <v/>
      </c>
      <c r="AB46" s="14" t="str">
        <f aca="false">IF(OR(AE46=0,T46=""),"",AY46*HoursPerDay-T46)</f>
        <v/>
      </c>
      <c r="AC46" s="13" t="str">
        <f aca="false">IF(AE46=0,"",BA46)</f>
        <v/>
      </c>
      <c r="AD46" s="13"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3" t="n">
        <f aca="false">IF(OR(LEN($A46&amp;$B46)=0,$F46=""),0,1)</f>
        <v>0</v>
      </c>
      <c r="AF46" s="11" t="str">
        <f aca="false">IF(AE46=0,"",IF($J46&lt;&gt;"",$J46,IF(OR(CasualCounts="Yes",COUNT($G46:$I46)=0,COUNT($G46:$H46)=0),$F46,MIN($G46:$H46))))</f>
        <v/>
      </c>
      <c r="AG46" s="13" t="str">
        <f aca="false">IF(AE46=0,"",COUNT($G46:$I46))</f>
        <v/>
      </c>
      <c r="AH46" s="11" t="str">
        <f aca="false">IF(AE46=0,"",IFERROR(SMALL($G46:$I46,1),""))</f>
        <v/>
      </c>
      <c r="AI46" s="11" t="str">
        <f aca="false">IF(AE46=0,"",IFERROR(SMALL($G46:$I46,2),""))</f>
        <v/>
      </c>
      <c r="AJ46" s="11" t="str">
        <f aca="false">IF(AE46=0,"",IFERROR(SMALL($G46:$I46,3),""))</f>
        <v/>
      </c>
      <c r="AK46" s="13" t="str">
        <f aca="false">IF(AE46=0,"",IF(AH46="","",IF(AH46=$G46,"Part-Time",IF(AH46=$H46,"Full-Time","Casual"))))</f>
        <v/>
      </c>
      <c r="AL46" s="13" t="str">
        <f aca="false">IF(AE46=0,"",IF(AI46="","",IF(AI46=$G46,"Part-Time",IF(AI46=$H46,"Full-Time","Casual"))))</f>
        <v/>
      </c>
      <c r="AM46" s="13" t="str">
        <f aca="false">IF(AE46=0,"",IF(AJ46="","",IF(AJ46=$G46,"Part-Time",IF(AJ46=$H46,"Full-Time","Casual"))))</f>
        <v/>
      </c>
      <c r="AN46" s="13"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3" t="str">
        <f aca="false">IF(AE46=0,"",IF(AG46&lt;2,"",IF(OR(ISNUMBER(SEARCH("full",AL46)),UPPER(TRIM(AL46))="FT",UPPER(TRIM(AL46))="FTE"),"FT",IF(AND(OR(ISNUMBER(SEARCH("part",AL46)),UPPER(TRIM(AL46))="PT",UPPER(TRIM(AL46))="PTE"),OR($P46="",N($P46)&gt;=PT_MinHours)),"PT","None"))))</f>
        <v/>
      </c>
      <c r="AP46" s="13" t="str">
        <f aca="false">IF(AE46=0,"",IF(AG46&lt;3,"",IF(OR(ISNUMBER(SEARCH("full",AM46)),UPPER(TRIM(AM46))="FT",UPPER(TRIM(AM46))="FTE"),"FT",IF(AND(OR(ISNUMBER(SEARCH("part",AM46)),UPPER(TRIM(AM46))="PT",UPPER(TRIM(AM46))="PTE"),OR($P46="",N($P46)&gt;=PT_MinHours)),"PT","None"))))</f>
        <v/>
      </c>
      <c r="AQ46" s="13" t="str">
        <f aca="false">IF(AE46=0,"",IF(AND(AG46&gt;=3,AJ46&lt;=AsOfDate),AP46,IF(AND(AG46&gt;=2,AI46&lt;=AsOfDate),AO46,AN46)))</f>
        <v/>
      </c>
      <c r="AR46" s="13" t="str">
        <f aca="false">IF(AE46=0,"",IF(AsOfDate&lt;AF46,-1,12*(YEAR(AsOfDate)-YEAR(AF46))+MONTH(AsOfDate)-MONTH(AF46)-IF(DAY(AsOfDate)&lt;MIN(DAY(AF46),DAY(EOMONTH(AsOfDate,0))),1,0)))</f>
        <v/>
      </c>
      <c r="AS46" s="13" t="str">
        <f aca="false">IF(AE46=0,"",IF(OR(AG46&lt;2,AI46&gt;AsOfDate),AR46,IF((AI46-1)&lt;AF46,-1,12*(YEAR((AI46-1))-YEAR(AF46))+MONTH((AI46-1))-MONTH(AF46)-IF(DAY((AI46-1))&lt;MIN(DAY(AF46),DAY(EOMONTH((AI46-1),0))),1,0))))</f>
        <v/>
      </c>
      <c r="AT46" s="13" t="str">
        <f aca="false">IF(AE46=0,"",IF(OR(AG46&lt;3,AJ46&gt;AsOfDate),AR46,IF((AJ46-1)&lt;AF46,-1,12*(YEAR((AJ46-1))-YEAR(AF46))+MONTH((AJ46-1))-MONTH(AF46)-IF(DAY((AJ46-1))&lt;MIN(DAY(AF46),DAY(EOMONTH((AJ46-1),0))),1,0))))</f>
        <v/>
      </c>
      <c r="AU46" s="13" t="str">
        <f aca="false">IF(AE46=0,"",IF(PFYDate&lt;AF46,-1,12*(YEAR(PFYDate)-YEAR(AF46))+MONTH(PFYDate)-MONTH(AF46)-IF(DAY(PFYDate)&lt;MIN(DAY(AF46),DAY(EOMONTH(PFYDate,0))),1,0)))</f>
        <v/>
      </c>
      <c r="AV46" s="13" t="str">
        <f aca="false">IF(AE46=0,"",IF(OR(AG46&lt;2,AI46&gt;PFYDate),AU46,IF((AI46-1)&lt;AF46,-1,12*(YEAR((AI46-1))-YEAR(AF46))+MONTH((AI46-1))-MONTH(AF46)-IF(DAY((AI46-1))&lt;MIN(DAY(AF46),DAY(EOMONTH((AI46-1),0))),1,0))))</f>
        <v/>
      </c>
      <c r="AW46" s="13" t="str">
        <f aca="false">IF(AE46=0,"",IF(OR(AG46&lt;3,AJ46&gt;PFYDate),AU46,IF((AJ46-1)&lt;AF46,-1,12*(YEAR((AJ46-1))-YEAR(AF46))+MONTH((AJ46-1))-MONTH(AF46)-IF(DAY((AJ46-1))&lt;MIN(DAY(AF46),DAY(EOMONTH((AJ46-1),0))),1,0))))</f>
        <v/>
      </c>
      <c r="AX46" s="13"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3"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3" t="str">
        <f aca="false">IF(AE46=0,"",IF(AQ46="FT",IF(AR46&lt;FT_First,FT_First,IF(AR46&lt;FT_Y5,MIN(FT_Y5,FT_First+FT_Int1*(INT((AR46-FT_First)/FT_Int1)+1)),FT_Y5+12*INT((AR46-FT_Y5)/12)+FT_Int2*(INT(MOD(AR46-FT_Y5,12)/FT_Int2)+1))),IF(AQ46="PT",IF(AR46&lt;PT_First,PT_First,PT_First+PT_Int*(INT((AR46-PT_First)/PT_Int)+1)),"")))</f>
        <v/>
      </c>
      <c r="BA46" s="13" t="str">
        <f aca="false">IF(AE46=0,"",IF(NOT(LH_Ready),0,COUNTIFS(INDEX(LH_Data,0,LH_ColFirst),$A46,INDEX(LH_Data,0,LH_ColSur),$B46,INDEX(LH_Data,0,LH_ColCat),BonusCat)))</f>
        <v/>
      </c>
      <c r="BB46" s="13" t="str">
        <f aca="false">IF(AE46=0,"",IF(OR(NOT(LH_Ready),BA46=0),0,SUMPRODUCT(MAX((INDEX(LH_Data,0,LH_ColFirst)=$A46)*(INDEX(LH_Data,0,LH_ColSur)=$B46)*(INDEX(LH_Data,0,LH_ColCat)=BonusCat)*ROW(LH_Data)))))</f>
        <v/>
      </c>
      <c r="BC46" s="0" t="str">
        <f aca="false">IF(LEN($A46&amp;$B46)=0,"",$A46&amp;" "&amp;$B46)</f>
        <v/>
      </c>
    </row>
    <row r="47" customFormat="false" ht="15" hidden="false" customHeight="false" outlineLevel="0" collapsed="false">
      <c r="A47" s="9"/>
      <c r="B47" s="9"/>
      <c r="C47" s="9"/>
      <c r="D47" s="10"/>
      <c r="E47" s="11" t="str">
        <f aca="false">IF(OR(AE47=0,$D47=""),"",DATE(YEAR(AsOfDate)+IF(DATE(YEAR(AsOfDate),MONTH($D47),DAY($D47))&lt;=AsOfDate,1,0),MONTH($D47),DAY($D47)))</f>
        <v/>
      </c>
      <c r="F47" s="10"/>
      <c r="G47" s="10"/>
      <c r="H47" s="10"/>
      <c r="I47" s="10"/>
      <c r="J47" s="10"/>
      <c r="K47" s="11" t="str">
        <f aca="false">IF(AE47=0,"",DATE(YEAR(AsOfDate)+IF(DATE(YEAR(AsOfDate),MONTH(AF47),DAY(AF47))&lt;=AsOfDate,1,0),MONTH(AF47),DAY(AF47)))</f>
        <v/>
      </c>
      <c r="L47" s="12" t="str">
        <f aca="false">IF(AE47=0,"",ROUND((AsOfDate-AF47)/365.25,1))</f>
        <v/>
      </c>
      <c r="M47" s="13" t="str">
        <f aca="false">IF(AE47=0,"",IF(AsOfDate&lt;AF47,"-",DATEDIF(AF47,AsOfDate,"y")&amp;"y "&amp;DATEDIF(AF47,AsOfDate,"ym")&amp;"m "&amp;DATEDIF(AF47,AsOfDate,"md")&amp;"d"))</f>
        <v/>
      </c>
      <c r="N47" s="14" t="str">
        <f aca="false">IF(AE47=0,"",O47*HoursPerDay)</f>
        <v/>
      </c>
      <c r="O47" s="14" t="str">
        <f aca="false">IF(AE47=0,"",AX47)</f>
        <v/>
      </c>
      <c r="P47" s="15"/>
      <c r="Q47" s="13"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13"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1" t="str">
        <f aca="false">IF(AE47=0,"",IF(AQ47="None","",EDATE(AF47,AZ47)))</f>
        <v/>
      </c>
      <c r="T47" s="14" t="str">
        <f aca="false">IF(AE47=0,"",IF(NOT(LH_Ready),"",IF(AF47&gt;PFYDate,0,IF(LH_ColPeriod=0,W47-U47+V47,SUMIFS(INDEX(LH_Data,0,LH_ColAcc),INDEX(LH_Data,0,LH_ColFirst),$A47,INDEX(LH_Data,0,LH_ColSur),$B47,INDEX(LH_Data,0,LH_ColCat),BonusCat,INDEX(LH_Data,0,LH_ColPeriod),LH_OpenLabel)*UnitFactor))))</f>
        <v/>
      </c>
      <c r="U47" s="14" t="str">
        <f aca="false">IF(AE47=0,"",IF(NOT(LH_Ready),"",SUMIFS(INDEX(LH_Data,0,LH_ColAcc),INDEX(LH_Data,0,LH_ColFirst),$A47,INDEX(LH_Data,0,LH_ColSur),$B47,INDEX(LH_Data,0,LH_ColCat),BonusCat,INDEX(LH_Data,0,LH_ColStart),"&gt;="&amp;AF47)*UnitFactor))</f>
        <v/>
      </c>
      <c r="V47" s="14" t="str">
        <f aca="false">IF(AE47=0,"",IF(NOT(LH_Ready),"",SUMIFS(INDEX(LH_Data,0,LH_ColTaken),INDEX(LH_Data,0,LH_ColFirst),$A47,INDEX(LH_Data,0,LH_ColSur),$B47,INDEX(LH_Data,0,LH_ColCat),BonusCat,INDEX(LH_Data,0,LH_ColStart),"&gt;="&amp;AF47)*UnitFactor))</f>
        <v/>
      </c>
      <c r="W47" s="14" t="str">
        <f aca="false">IF(AE47=0,"",IF(NOT(LH_Ready),"",IF(BB47=0,0,INDEX(INDEX(LH_Data,0,LH_ColClose),BB47-1)*UnitFactor)))</f>
        <v/>
      </c>
      <c r="X47" s="14" t="str">
        <f aca="false">IF(AE47=0,"",(AX47-AY47)*HoursPerDay)</f>
        <v/>
      </c>
      <c r="Y47" s="14" t="str">
        <f aca="false">IF(AE47=0,"",IF(NOT(LH_Ready),"",IF(BA47=0,N47,IF(PFYDate&lt;$F47,N47-N(T47)-N(U47),X47-N(U47)))))</f>
        <v/>
      </c>
      <c r="Z47" s="13" t="str">
        <f aca="false">IF(OR(AE47=0,Y47=""),"",IF(Y47&gt;0,"Yes","No"))</f>
        <v/>
      </c>
      <c r="AA47" s="13"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 hrs more than policy since commencement",IF(N(W47)&gt;O47*HoursPerDay+0.01,"CHECK - EH balance "&amp;ROUND(W47-O47*HoursPerDay,2)&amp;" hrs more than policy entitlement",IF(O47&gt;0,"OK - nothing to add",IF(AQ47="None",R47,"Not yet - first day on "&amp;TEXT(S47,"dd/mm/yyyy")))))))))</f>
        <v/>
      </c>
      <c r="AB47" s="14" t="str">
        <f aca="false">IF(OR(AE47=0,T47=""),"",AY47*HoursPerDay-T47)</f>
        <v/>
      </c>
      <c r="AC47" s="13" t="str">
        <f aca="false">IF(AE47=0,"",BA47)</f>
        <v/>
      </c>
      <c r="AD47" s="13"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3" t="n">
        <f aca="false">IF(OR(LEN($A47&amp;$B47)=0,$F47=""),0,1)</f>
        <v>0</v>
      </c>
      <c r="AF47" s="11" t="str">
        <f aca="false">IF(AE47=0,"",IF($J47&lt;&gt;"",$J47,IF(OR(CasualCounts="Yes",COUNT($G47:$I47)=0,COUNT($G47:$H47)=0),$F47,MIN($G47:$H47))))</f>
        <v/>
      </c>
      <c r="AG47" s="13" t="str">
        <f aca="false">IF(AE47=0,"",COUNT($G47:$I47))</f>
        <v/>
      </c>
      <c r="AH47" s="11" t="str">
        <f aca="false">IF(AE47=0,"",IFERROR(SMALL($G47:$I47,1),""))</f>
        <v/>
      </c>
      <c r="AI47" s="11" t="str">
        <f aca="false">IF(AE47=0,"",IFERROR(SMALL($G47:$I47,2),""))</f>
        <v/>
      </c>
      <c r="AJ47" s="11" t="str">
        <f aca="false">IF(AE47=0,"",IFERROR(SMALL($G47:$I47,3),""))</f>
        <v/>
      </c>
      <c r="AK47" s="13" t="str">
        <f aca="false">IF(AE47=0,"",IF(AH47="","",IF(AH47=$G47,"Part-Time",IF(AH47=$H47,"Full-Time","Casual"))))</f>
        <v/>
      </c>
      <c r="AL47" s="13" t="str">
        <f aca="false">IF(AE47=0,"",IF(AI47="","",IF(AI47=$G47,"Part-Time",IF(AI47=$H47,"Full-Time","Casual"))))</f>
        <v/>
      </c>
      <c r="AM47" s="13" t="str">
        <f aca="false">IF(AE47=0,"",IF(AJ47="","",IF(AJ47=$G47,"Part-Time",IF(AJ47=$H47,"Full-Time","Casual"))))</f>
        <v/>
      </c>
      <c r="AN47" s="13"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3" t="str">
        <f aca="false">IF(AE47=0,"",IF(AG47&lt;2,"",IF(OR(ISNUMBER(SEARCH("full",AL47)),UPPER(TRIM(AL47))="FT",UPPER(TRIM(AL47))="FTE"),"FT",IF(AND(OR(ISNUMBER(SEARCH("part",AL47)),UPPER(TRIM(AL47))="PT",UPPER(TRIM(AL47))="PTE"),OR($P47="",N($P47)&gt;=PT_MinHours)),"PT","None"))))</f>
        <v/>
      </c>
      <c r="AP47" s="13" t="str">
        <f aca="false">IF(AE47=0,"",IF(AG47&lt;3,"",IF(OR(ISNUMBER(SEARCH("full",AM47)),UPPER(TRIM(AM47))="FT",UPPER(TRIM(AM47))="FTE"),"FT",IF(AND(OR(ISNUMBER(SEARCH("part",AM47)),UPPER(TRIM(AM47))="PT",UPPER(TRIM(AM47))="PTE"),OR($P47="",N($P47)&gt;=PT_MinHours)),"PT","None"))))</f>
        <v/>
      </c>
      <c r="AQ47" s="13" t="str">
        <f aca="false">IF(AE47=0,"",IF(AND(AG47&gt;=3,AJ47&lt;=AsOfDate),AP47,IF(AND(AG47&gt;=2,AI47&lt;=AsOfDate),AO47,AN47)))</f>
        <v/>
      </c>
      <c r="AR47" s="13" t="str">
        <f aca="false">IF(AE47=0,"",IF(AsOfDate&lt;AF47,-1,12*(YEAR(AsOfDate)-YEAR(AF47))+MONTH(AsOfDate)-MONTH(AF47)-IF(DAY(AsOfDate)&lt;MIN(DAY(AF47),DAY(EOMONTH(AsOfDate,0))),1,0)))</f>
        <v/>
      </c>
      <c r="AS47" s="13" t="str">
        <f aca="false">IF(AE47=0,"",IF(OR(AG47&lt;2,AI47&gt;AsOfDate),AR47,IF((AI47-1)&lt;AF47,-1,12*(YEAR((AI47-1))-YEAR(AF47))+MONTH((AI47-1))-MONTH(AF47)-IF(DAY((AI47-1))&lt;MIN(DAY(AF47),DAY(EOMONTH((AI47-1),0))),1,0))))</f>
        <v/>
      </c>
      <c r="AT47" s="13" t="str">
        <f aca="false">IF(AE47=0,"",IF(OR(AG47&lt;3,AJ47&gt;AsOfDate),AR47,IF((AJ47-1)&lt;AF47,-1,12*(YEAR((AJ47-1))-YEAR(AF47))+MONTH((AJ47-1))-MONTH(AF47)-IF(DAY((AJ47-1))&lt;MIN(DAY(AF47),DAY(EOMONTH((AJ47-1),0))),1,0))))</f>
        <v/>
      </c>
      <c r="AU47" s="13" t="str">
        <f aca="false">IF(AE47=0,"",IF(PFYDate&lt;AF47,-1,12*(YEAR(PFYDate)-YEAR(AF47))+MONTH(PFYDate)-MONTH(AF47)-IF(DAY(PFYDate)&lt;MIN(DAY(AF47),DAY(EOMONTH(PFYDate,0))),1,0)))</f>
        <v/>
      </c>
      <c r="AV47" s="13" t="str">
        <f aca="false">IF(AE47=0,"",IF(OR(AG47&lt;2,AI47&gt;PFYDate),AU47,IF((AI47-1)&lt;AF47,-1,12*(YEAR((AI47-1))-YEAR(AF47))+MONTH((AI47-1))-MONTH(AF47)-IF(DAY((AI47-1))&lt;MIN(DAY(AF47),DAY(EOMONTH((AI47-1),0))),1,0))))</f>
        <v/>
      </c>
      <c r="AW47" s="13" t="str">
        <f aca="false">IF(AE47=0,"",IF(OR(AG47&lt;3,AJ47&gt;PFYDate),AU47,IF((AJ47-1)&lt;AF47,-1,12*(YEAR((AJ47-1))-YEAR(AF47))+MONTH((AJ47-1))-MONTH(AF47)-IF(DAY((AJ47-1))&lt;MIN(DAY(AF47),DAY(EOMONTH((AJ47-1),0))),1,0))))</f>
        <v/>
      </c>
      <c r="AX47" s="13"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3"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3" t="str">
        <f aca="false">IF(AE47=0,"",IF(AQ47="FT",IF(AR47&lt;FT_First,FT_First,IF(AR47&lt;FT_Y5,MIN(FT_Y5,FT_First+FT_Int1*(INT((AR47-FT_First)/FT_Int1)+1)),FT_Y5+12*INT((AR47-FT_Y5)/12)+FT_Int2*(INT(MOD(AR47-FT_Y5,12)/FT_Int2)+1))),IF(AQ47="PT",IF(AR47&lt;PT_First,PT_First,PT_First+PT_Int*(INT((AR47-PT_First)/PT_Int)+1)),"")))</f>
        <v/>
      </c>
      <c r="BA47" s="13" t="str">
        <f aca="false">IF(AE47=0,"",IF(NOT(LH_Ready),0,COUNTIFS(INDEX(LH_Data,0,LH_ColFirst),$A47,INDEX(LH_Data,0,LH_ColSur),$B47,INDEX(LH_Data,0,LH_ColCat),BonusCat)))</f>
        <v/>
      </c>
      <c r="BB47" s="13" t="str">
        <f aca="false">IF(AE47=0,"",IF(OR(NOT(LH_Ready),BA47=0),0,SUMPRODUCT(MAX((INDEX(LH_Data,0,LH_ColFirst)=$A47)*(INDEX(LH_Data,0,LH_ColSur)=$B47)*(INDEX(LH_Data,0,LH_ColCat)=BonusCat)*ROW(LH_Data)))))</f>
        <v/>
      </c>
      <c r="BC47" s="0" t="str">
        <f aca="false">IF(LEN($A47&amp;$B47)=0,"",$A47&amp;" "&amp;$B47)</f>
        <v/>
      </c>
    </row>
    <row r="48" customFormat="false" ht="15" hidden="false" customHeight="false" outlineLevel="0" collapsed="false">
      <c r="A48" s="9"/>
      <c r="B48" s="9"/>
      <c r="C48" s="9"/>
      <c r="D48" s="10"/>
      <c r="E48" s="11" t="str">
        <f aca="false">IF(OR(AE48=0,$D48=""),"",DATE(YEAR(AsOfDate)+IF(DATE(YEAR(AsOfDate),MONTH($D48),DAY($D48))&lt;=AsOfDate,1,0),MONTH($D48),DAY($D48)))</f>
        <v/>
      </c>
      <c r="F48" s="10"/>
      <c r="G48" s="10"/>
      <c r="H48" s="10"/>
      <c r="I48" s="10"/>
      <c r="J48" s="10"/>
      <c r="K48" s="11" t="str">
        <f aca="false">IF(AE48=0,"",DATE(YEAR(AsOfDate)+IF(DATE(YEAR(AsOfDate),MONTH(AF48),DAY(AF48))&lt;=AsOfDate,1,0),MONTH(AF48),DAY(AF48)))</f>
        <v/>
      </c>
      <c r="L48" s="12" t="str">
        <f aca="false">IF(AE48=0,"",ROUND((AsOfDate-AF48)/365.25,1))</f>
        <v/>
      </c>
      <c r="M48" s="13" t="str">
        <f aca="false">IF(AE48=0,"",IF(AsOfDate&lt;AF48,"-",DATEDIF(AF48,AsOfDate,"y")&amp;"y "&amp;DATEDIF(AF48,AsOfDate,"ym")&amp;"m "&amp;DATEDIF(AF48,AsOfDate,"md")&amp;"d"))</f>
        <v/>
      </c>
      <c r="N48" s="14" t="str">
        <f aca="false">IF(AE48=0,"",O48*HoursPerDay)</f>
        <v/>
      </c>
      <c r="O48" s="14" t="str">
        <f aca="false">IF(AE48=0,"",AX48)</f>
        <v/>
      </c>
      <c r="P48" s="15"/>
      <c r="Q48" s="13"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13"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1" t="str">
        <f aca="false">IF(AE48=0,"",IF(AQ48="None","",EDATE(AF48,AZ48)))</f>
        <v/>
      </c>
      <c r="T48" s="14" t="str">
        <f aca="false">IF(AE48=0,"",IF(NOT(LH_Ready),"",IF(AF48&gt;PFYDate,0,IF(LH_ColPeriod=0,W48-U48+V48,SUMIFS(INDEX(LH_Data,0,LH_ColAcc),INDEX(LH_Data,0,LH_ColFirst),$A48,INDEX(LH_Data,0,LH_ColSur),$B48,INDEX(LH_Data,0,LH_ColCat),BonusCat,INDEX(LH_Data,0,LH_ColPeriod),LH_OpenLabel)*UnitFactor))))</f>
        <v/>
      </c>
      <c r="U48" s="14" t="str">
        <f aca="false">IF(AE48=0,"",IF(NOT(LH_Ready),"",SUMIFS(INDEX(LH_Data,0,LH_ColAcc),INDEX(LH_Data,0,LH_ColFirst),$A48,INDEX(LH_Data,0,LH_ColSur),$B48,INDEX(LH_Data,0,LH_ColCat),BonusCat,INDEX(LH_Data,0,LH_ColStart),"&gt;="&amp;AF48)*UnitFactor))</f>
        <v/>
      </c>
      <c r="V48" s="14" t="str">
        <f aca="false">IF(AE48=0,"",IF(NOT(LH_Ready),"",SUMIFS(INDEX(LH_Data,0,LH_ColTaken),INDEX(LH_Data,0,LH_ColFirst),$A48,INDEX(LH_Data,0,LH_ColSur),$B48,INDEX(LH_Data,0,LH_ColCat),BonusCat,INDEX(LH_Data,0,LH_ColStart),"&gt;="&amp;AF48)*UnitFactor))</f>
        <v/>
      </c>
      <c r="W48" s="14" t="str">
        <f aca="false">IF(AE48=0,"",IF(NOT(LH_Ready),"",IF(BB48=0,0,INDEX(INDEX(LH_Data,0,LH_ColClose),BB48-1)*UnitFactor)))</f>
        <v/>
      </c>
      <c r="X48" s="14" t="str">
        <f aca="false">IF(AE48=0,"",(AX48-AY48)*HoursPerDay)</f>
        <v/>
      </c>
      <c r="Y48" s="14" t="str">
        <f aca="false">IF(AE48=0,"",IF(NOT(LH_Ready),"",IF(BA48=0,N48,IF(PFYDate&lt;$F48,N48-N(T48)-N(U48),X48-N(U48)))))</f>
        <v/>
      </c>
      <c r="Z48" s="13" t="str">
        <f aca="false">IF(OR(AE48=0,Y48=""),"",IF(Y48&gt;0,"Yes","No"))</f>
        <v/>
      </c>
      <c r="AA48" s="13"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 hrs more than policy since commencement",IF(N(W48)&gt;O48*HoursPerDay+0.01,"CHECK - EH balance "&amp;ROUND(W48-O48*HoursPerDay,2)&amp;" hrs more than policy entitlement",IF(O48&gt;0,"OK - nothing to add",IF(AQ48="None",R48,"Not yet - first day on "&amp;TEXT(S48,"dd/mm/yyyy")))))))))</f>
        <v/>
      </c>
      <c r="AB48" s="14" t="str">
        <f aca="false">IF(OR(AE48=0,T48=""),"",AY48*HoursPerDay-T48)</f>
        <v/>
      </c>
      <c r="AC48" s="13" t="str">
        <f aca="false">IF(AE48=0,"",BA48)</f>
        <v/>
      </c>
      <c r="AD48" s="13"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3" t="n">
        <f aca="false">IF(OR(LEN($A48&amp;$B48)=0,$F48=""),0,1)</f>
        <v>0</v>
      </c>
      <c r="AF48" s="11" t="str">
        <f aca="false">IF(AE48=0,"",IF($J48&lt;&gt;"",$J48,IF(OR(CasualCounts="Yes",COUNT($G48:$I48)=0,COUNT($G48:$H48)=0),$F48,MIN($G48:$H48))))</f>
        <v/>
      </c>
      <c r="AG48" s="13" t="str">
        <f aca="false">IF(AE48=0,"",COUNT($G48:$I48))</f>
        <v/>
      </c>
      <c r="AH48" s="11" t="str">
        <f aca="false">IF(AE48=0,"",IFERROR(SMALL($G48:$I48,1),""))</f>
        <v/>
      </c>
      <c r="AI48" s="11" t="str">
        <f aca="false">IF(AE48=0,"",IFERROR(SMALL($G48:$I48,2),""))</f>
        <v/>
      </c>
      <c r="AJ48" s="11" t="str">
        <f aca="false">IF(AE48=0,"",IFERROR(SMALL($G48:$I48,3),""))</f>
        <v/>
      </c>
      <c r="AK48" s="13" t="str">
        <f aca="false">IF(AE48=0,"",IF(AH48="","",IF(AH48=$G48,"Part-Time",IF(AH48=$H48,"Full-Time","Casual"))))</f>
        <v/>
      </c>
      <c r="AL48" s="13" t="str">
        <f aca="false">IF(AE48=0,"",IF(AI48="","",IF(AI48=$G48,"Part-Time",IF(AI48=$H48,"Full-Time","Casual"))))</f>
        <v/>
      </c>
      <c r="AM48" s="13" t="str">
        <f aca="false">IF(AE48=0,"",IF(AJ48="","",IF(AJ48=$G48,"Part-Time",IF(AJ48=$H48,"Full-Time","Casual"))))</f>
        <v/>
      </c>
      <c r="AN48" s="13"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3" t="str">
        <f aca="false">IF(AE48=0,"",IF(AG48&lt;2,"",IF(OR(ISNUMBER(SEARCH("full",AL48)),UPPER(TRIM(AL48))="FT",UPPER(TRIM(AL48))="FTE"),"FT",IF(AND(OR(ISNUMBER(SEARCH("part",AL48)),UPPER(TRIM(AL48))="PT",UPPER(TRIM(AL48))="PTE"),OR($P48="",N($P48)&gt;=PT_MinHours)),"PT","None"))))</f>
        <v/>
      </c>
      <c r="AP48" s="13" t="str">
        <f aca="false">IF(AE48=0,"",IF(AG48&lt;3,"",IF(OR(ISNUMBER(SEARCH("full",AM48)),UPPER(TRIM(AM48))="FT",UPPER(TRIM(AM48))="FTE"),"FT",IF(AND(OR(ISNUMBER(SEARCH("part",AM48)),UPPER(TRIM(AM48))="PT",UPPER(TRIM(AM48))="PTE"),OR($P48="",N($P48)&gt;=PT_MinHours)),"PT","None"))))</f>
        <v/>
      </c>
      <c r="AQ48" s="13" t="str">
        <f aca="false">IF(AE48=0,"",IF(AND(AG48&gt;=3,AJ48&lt;=AsOfDate),AP48,IF(AND(AG48&gt;=2,AI48&lt;=AsOfDate),AO48,AN48)))</f>
        <v/>
      </c>
      <c r="AR48" s="13" t="str">
        <f aca="false">IF(AE48=0,"",IF(AsOfDate&lt;AF48,-1,12*(YEAR(AsOfDate)-YEAR(AF48))+MONTH(AsOfDate)-MONTH(AF48)-IF(DAY(AsOfDate)&lt;MIN(DAY(AF48),DAY(EOMONTH(AsOfDate,0))),1,0)))</f>
        <v/>
      </c>
      <c r="AS48" s="13" t="str">
        <f aca="false">IF(AE48=0,"",IF(OR(AG48&lt;2,AI48&gt;AsOfDate),AR48,IF((AI48-1)&lt;AF48,-1,12*(YEAR((AI48-1))-YEAR(AF48))+MONTH((AI48-1))-MONTH(AF48)-IF(DAY((AI48-1))&lt;MIN(DAY(AF48),DAY(EOMONTH((AI48-1),0))),1,0))))</f>
        <v/>
      </c>
      <c r="AT48" s="13" t="str">
        <f aca="false">IF(AE48=0,"",IF(OR(AG48&lt;3,AJ48&gt;AsOfDate),AR48,IF((AJ48-1)&lt;AF48,-1,12*(YEAR((AJ48-1))-YEAR(AF48))+MONTH((AJ48-1))-MONTH(AF48)-IF(DAY((AJ48-1))&lt;MIN(DAY(AF48),DAY(EOMONTH((AJ48-1),0))),1,0))))</f>
        <v/>
      </c>
      <c r="AU48" s="13" t="str">
        <f aca="false">IF(AE48=0,"",IF(PFYDate&lt;AF48,-1,12*(YEAR(PFYDate)-YEAR(AF48))+MONTH(PFYDate)-MONTH(AF48)-IF(DAY(PFYDate)&lt;MIN(DAY(AF48),DAY(EOMONTH(PFYDate,0))),1,0)))</f>
        <v/>
      </c>
      <c r="AV48" s="13" t="str">
        <f aca="false">IF(AE48=0,"",IF(OR(AG48&lt;2,AI48&gt;PFYDate),AU48,IF((AI48-1)&lt;AF48,-1,12*(YEAR((AI48-1))-YEAR(AF48))+MONTH((AI48-1))-MONTH(AF48)-IF(DAY((AI48-1))&lt;MIN(DAY(AF48),DAY(EOMONTH((AI48-1),0))),1,0))))</f>
        <v/>
      </c>
      <c r="AW48" s="13" t="str">
        <f aca="false">IF(AE48=0,"",IF(OR(AG48&lt;3,AJ48&gt;PFYDate),AU48,IF((AJ48-1)&lt;AF48,-1,12*(YEAR((AJ48-1))-YEAR(AF48))+MONTH((AJ48-1))-MONTH(AF48)-IF(DAY((AJ48-1))&lt;MIN(DAY(AF48),DAY(EOMONTH((AJ48-1),0))),1,0))))</f>
        <v/>
      </c>
      <c r="AX48" s="13"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3"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3" t="str">
        <f aca="false">IF(AE48=0,"",IF(AQ48="FT",IF(AR48&lt;FT_First,FT_First,IF(AR48&lt;FT_Y5,MIN(FT_Y5,FT_First+FT_Int1*(INT((AR48-FT_First)/FT_Int1)+1)),FT_Y5+12*INT((AR48-FT_Y5)/12)+FT_Int2*(INT(MOD(AR48-FT_Y5,12)/FT_Int2)+1))),IF(AQ48="PT",IF(AR48&lt;PT_First,PT_First,PT_First+PT_Int*(INT((AR48-PT_First)/PT_Int)+1)),"")))</f>
        <v/>
      </c>
      <c r="BA48" s="13" t="str">
        <f aca="false">IF(AE48=0,"",IF(NOT(LH_Ready),0,COUNTIFS(INDEX(LH_Data,0,LH_ColFirst),$A48,INDEX(LH_Data,0,LH_ColSur),$B48,INDEX(LH_Data,0,LH_ColCat),BonusCat)))</f>
        <v/>
      </c>
      <c r="BB48" s="13" t="str">
        <f aca="false">IF(AE48=0,"",IF(OR(NOT(LH_Ready),BA48=0),0,SUMPRODUCT(MAX((INDEX(LH_Data,0,LH_ColFirst)=$A48)*(INDEX(LH_Data,0,LH_ColSur)=$B48)*(INDEX(LH_Data,0,LH_ColCat)=BonusCat)*ROW(LH_Data)))))</f>
        <v/>
      </c>
      <c r="BC48" s="0" t="str">
        <f aca="false">IF(LEN($A48&amp;$B48)=0,"",$A48&amp;" "&amp;$B48)</f>
        <v/>
      </c>
    </row>
    <row r="49" customFormat="false" ht="15" hidden="false" customHeight="false" outlineLevel="0" collapsed="false">
      <c r="A49" s="9"/>
      <c r="B49" s="9"/>
      <c r="C49" s="9"/>
      <c r="D49" s="10"/>
      <c r="E49" s="11" t="str">
        <f aca="false">IF(OR(AE49=0,$D49=""),"",DATE(YEAR(AsOfDate)+IF(DATE(YEAR(AsOfDate),MONTH($D49),DAY($D49))&lt;=AsOfDate,1,0),MONTH($D49),DAY($D49)))</f>
        <v/>
      </c>
      <c r="F49" s="10"/>
      <c r="G49" s="10"/>
      <c r="H49" s="10"/>
      <c r="I49" s="10"/>
      <c r="J49" s="10"/>
      <c r="K49" s="11" t="str">
        <f aca="false">IF(AE49=0,"",DATE(YEAR(AsOfDate)+IF(DATE(YEAR(AsOfDate),MONTH(AF49),DAY(AF49))&lt;=AsOfDate,1,0),MONTH(AF49),DAY(AF49)))</f>
        <v/>
      </c>
      <c r="L49" s="12" t="str">
        <f aca="false">IF(AE49=0,"",ROUND((AsOfDate-AF49)/365.25,1))</f>
        <v/>
      </c>
      <c r="M49" s="13" t="str">
        <f aca="false">IF(AE49=0,"",IF(AsOfDate&lt;AF49,"-",DATEDIF(AF49,AsOfDate,"y")&amp;"y "&amp;DATEDIF(AF49,AsOfDate,"ym")&amp;"m "&amp;DATEDIF(AF49,AsOfDate,"md")&amp;"d"))</f>
        <v/>
      </c>
      <c r="N49" s="14" t="str">
        <f aca="false">IF(AE49=0,"",O49*HoursPerDay)</f>
        <v/>
      </c>
      <c r="O49" s="14" t="str">
        <f aca="false">IF(AE49=0,"",AX49)</f>
        <v/>
      </c>
      <c r="P49" s="15"/>
      <c r="Q49" s="13"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13"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1" t="str">
        <f aca="false">IF(AE49=0,"",IF(AQ49="None","",EDATE(AF49,AZ49)))</f>
        <v/>
      </c>
      <c r="T49" s="14" t="str">
        <f aca="false">IF(AE49=0,"",IF(NOT(LH_Ready),"",IF(AF49&gt;PFYDate,0,IF(LH_ColPeriod=0,W49-U49+V49,SUMIFS(INDEX(LH_Data,0,LH_ColAcc),INDEX(LH_Data,0,LH_ColFirst),$A49,INDEX(LH_Data,0,LH_ColSur),$B49,INDEX(LH_Data,0,LH_ColCat),BonusCat,INDEX(LH_Data,0,LH_ColPeriod),LH_OpenLabel)*UnitFactor))))</f>
        <v/>
      </c>
      <c r="U49" s="14" t="str">
        <f aca="false">IF(AE49=0,"",IF(NOT(LH_Ready),"",SUMIFS(INDEX(LH_Data,0,LH_ColAcc),INDEX(LH_Data,0,LH_ColFirst),$A49,INDEX(LH_Data,0,LH_ColSur),$B49,INDEX(LH_Data,0,LH_ColCat),BonusCat,INDEX(LH_Data,0,LH_ColStart),"&gt;="&amp;AF49)*UnitFactor))</f>
        <v/>
      </c>
      <c r="V49" s="14" t="str">
        <f aca="false">IF(AE49=0,"",IF(NOT(LH_Ready),"",SUMIFS(INDEX(LH_Data,0,LH_ColTaken),INDEX(LH_Data,0,LH_ColFirst),$A49,INDEX(LH_Data,0,LH_ColSur),$B49,INDEX(LH_Data,0,LH_ColCat),BonusCat,INDEX(LH_Data,0,LH_ColStart),"&gt;="&amp;AF49)*UnitFactor))</f>
        <v/>
      </c>
      <c r="W49" s="14" t="str">
        <f aca="false">IF(AE49=0,"",IF(NOT(LH_Ready),"",IF(BB49=0,0,INDEX(INDEX(LH_Data,0,LH_ColClose),BB49-1)*UnitFactor)))</f>
        <v/>
      </c>
      <c r="X49" s="14" t="str">
        <f aca="false">IF(AE49=0,"",(AX49-AY49)*HoursPerDay)</f>
        <v/>
      </c>
      <c r="Y49" s="14" t="str">
        <f aca="false">IF(AE49=0,"",IF(NOT(LH_Ready),"",IF(BA49=0,N49,IF(PFYDate&lt;$F49,N49-N(T49)-N(U49),X49-N(U49)))))</f>
        <v/>
      </c>
      <c r="Z49" s="13" t="str">
        <f aca="false">IF(OR(AE49=0,Y49=""),"",IF(Y49&gt;0,"Yes","No"))</f>
        <v/>
      </c>
      <c r="AA49" s="13"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 hrs more than policy since commencement",IF(N(W49)&gt;O49*HoursPerDay+0.01,"CHECK - EH balance "&amp;ROUND(W49-O49*HoursPerDay,2)&amp;" hrs more than policy entitlement",IF(O49&gt;0,"OK - nothing to add",IF(AQ49="None",R49,"Not yet - first day on "&amp;TEXT(S49,"dd/mm/yyyy")))))))))</f>
        <v/>
      </c>
      <c r="AB49" s="14" t="str">
        <f aca="false">IF(OR(AE49=0,T49=""),"",AY49*HoursPerDay-T49)</f>
        <v/>
      </c>
      <c r="AC49" s="13" t="str">
        <f aca="false">IF(AE49=0,"",BA49)</f>
        <v/>
      </c>
      <c r="AD49" s="13"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3" t="n">
        <f aca="false">IF(OR(LEN($A49&amp;$B49)=0,$F49=""),0,1)</f>
        <v>0</v>
      </c>
      <c r="AF49" s="11" t="str">
        <f aca="false">IF(AE49=0,"",IF($J49&lt;&gt;"",$J49,IF(OR(CasualCounts="Yes",COUNT($G49:$I49)=0,COUNT($G49:$H49)=0),$F49,MIN($G49:$H49))))</f>
        <v/>
      </c>
      <c r="AG49" s="13" t="str">
        <f aca="false">IF(AE49=0,"",COUNT($G49:$I49))</f>
        <v/>
      </c>
      <c r="AH49" s="11" t="str">
        <f aca="false">IF(AE49=0,"",IFERROR(SMALL($G49:$I49,1),""))</f>
        <v/>
      </c>
      <c r="AI49" s="11" t="str">
        <f aca="false">IF(AE49=0,"",IFERROR(SMALL($G49:$I49,2),""))</f>
        <v/>
      </c>
      <c r="AJ49" s="11" t="str">
        <f aca="false">IF(AE49=0,"",IFERROR(SMALL($G49:$I49,3),""))</f>
        <v/>
      </c>
      <c r="AK49" s="13" t="str">
        <f aca="false">IF(AE49=0,"",IF(AH49="","",IF(AH49=$G49,"Part-Time",IF(AH49=$H49,"Full-Time","Casual"))))</f>
        <v/>
      </c>
      <c r="AL49" s="13" t="str">
        <f aca="false">IF(AE49=0,"",IF(AI49="","",IF(AI49=$G49,"Part-Time",IF(AI49=$H49,"Full-Time","Casual"))))</f>
        <v/>
      </c>
      <c r="AM49" s="13" t="str">
        <f aca="false">IF(AE49=0,"",IF(AJ49="","",IF(AJ49=$G49,"Part-Time",IF(AJ49=$H49,"Full-Time","Casual"))))</f>
        <v/>
      </c>
      <c r="AN49" s="13"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3" t="str">
        <f aca="false">IF(AE49=0,"",IF(AG49&lt;2,"",IF(OR(ISNUMBER(SEARCH("full",AL49)),UPPER(TRIM(AL49))="FT",UPPER(TRIM(AL49))="FTE"),"FT",IF(AND(OR(ISNUMBER(SEARCH("part",AL49)),UPPER(TRIM(AL49))="PT",UPPER(TRIM(AL49))="PTE"),OR($P49="",N($P49)&gt;=PT_MinHours)),"PT","None"))))</f>
        <v/>
      </c>
      <c r="AP49" s="13" t="str">
        <f aca="false">IF(AE49=0,"",IF(AG49&lt;3,"",IF(OR(ISNUMBER(SEARCH("full",AM49)),UPPER(TRIM(AM49))="FT",UPPER(TRIM(AM49))="FTE"),"FT",IF(AND(OR(ISNUMBER(SEARCH("part",AM49)),UPPER(TRIM(AM49))="PT",UPPER(TRIM(AM49))="PTE"),OR($P49="",N($P49)&gt;=PT_MinHours)),"PT","None"))))</f>
        <v/>
      </c>
      <c r="AQ49" s="13" t="str">
        <f aca="false">IF(AE49=0,"",IF(AND(AG49&gt;=3,AJ49&lt;=AsOfDate),AP49,IF(AND(AG49&gt;=2,AI49&lt;=AsOfDate),AO49,AN49)))</f>
        <v/>
      </c>
      <c r="AR49" s="13" t="str">
        <f aca="false">IF(AE49=0,"",IF(AsOfDate&lt;AF49,-1,12*(YEAR(AsOfDate)-YEAR(AF49))+MONTH(AsOfDate)-MONTH(AF49)-IF(DAY(AsOfDate)&lt;MIN(DAY(AF49),DAY(EOMONTH(AsOfDate,0))),1,0)))</f>
        <v/>
      </c>
      <c r="AS49" s="13" t="str">
        <f aca="false">IF(AE49=0,"",IF(OR(AG49&lt;2,AI49&gt;AsOfDate),AR49,IF((AI49-1)&lt;AF49,-1,12*(YEAR((AI49-1))-YEAR(AF49))+MONTH((AI49-1))-MONTH(AF49)-IF(DAY((AI49-1))&lt;MIN(DAY(AF49),DAY(EOMONTH((AI49-1),0))),1,0))))</f>
        <v/>
      </c>
      <c r="AT49" s="13" t="str">
        <f aca="false">IF(AE49=0,"",IF(OR(AG49&lt;3,AJ49&gt;AsOfDate),AR49,IF((AJ49-1)&lt;AF49,-1,12*(YEAR((AJ49-1))-YEAR(AF49))+MONTH((AJ49-1))-MONTH(AF49)-IF(DAY((AJ49-1))&lt;MIN(DAY(AF49),DAY(EOMONTH((AJ49-1),0))),1,0))))</f>
        <v/>
      </c>
      <c r="AU49" s="13" t="str">
        <f aca="false">IF(AE49=0,"",IF(PFYDate&lt;AF49,-1,12*(YEAR(PFYDate)-YEAR(AF49))+MONTH(PFYDate)-MONTH(AF49)-IF(DAY(PFYDate)&lt;MIN(DAY(AF49),DAY(EOMONTH(PFYDate,0))),1,0)))</f>
        <v/>
      </c>
      <c r="AV49" s="13" t="str">
        <f aca="false">IF(AE49=0,"",IF(OR(AG49&lt;2,AI49&gt;PFYDate),AU49,IF((AI49-1)&lt;AF49,-1,12*(YEAR((AI49-1))-YEAR(AF49))+MONTH((AI49-1))-MONTH(AF49)-IF(DAY((AI49-1))&lt;MIN(DAY(AF49),DAY(EOMONTH((AI49-1),0))),1,0))))</f>
        <v/>
      </c>
      <c r="AW49" s="13" t="str">
        <f aca="false">IF(AE49=0,"",IF(OR(AG49&lt;3,AJ49&gt;PFYDate),AU49,IF((AJ49-1)&lt;AF49,-1,12*(YEAR((AJ49-1))-YEAR(AF49))+MONTH((AJ49-1))-MONTH(AF49)-IF(DAY((AJ49-1))&lt;MIN(DAY(AF49),DAY(EOMONTH((AJ49-1),0))),1,0))))</f>
        <v/>
      </c>
      <c r="AX49" s="13"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3"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3" t="str">
        <f aca="false">IF(AE49=0,"",IF(AQ49="FT",IF(AR49&lt;FT_First,FT_First,IF(AR49&lt;FT_Y5,MIN(FT_Y5,FT_First+FT_Int1*(INT((AR49-FT_First)/FT_Int1)+1)),FT_Y5+12*INT((AR49-FT_Y5)/12)+FT_Int2*(INT(MOD(AR49-FT_Y5,12)/FT_Int2)+1))),IF(AQ49="PT",IF(AR49&lt;PT_First,PT_First,PT_First+PT_Int*(INT((AR49-PT_First)/PT_Int)+1)),"")))</f>
        <v/>
      </c>
      <c r="BA49" s="13" t="str">
        <f aca="false">IF(AE49=0,"",IF(NOT(LH_Ready),0,COUNTIFS(INDEX(LH_Data,0,LH_ColFirst),$A49,INDEX(LH_Data,0,LH_ColSur),$B49,INDEX(LH_Data,0,LH_ColCat),BonusCat)))</f>
        <v/>
      </c>
      <c r="BB49" s="13" t="str">
        <f aca="false">IF(AE49=0,"",IF(OR(NOT(LH_Ready),BA49=0),0,SUMPRODUCT(MAX((INDEX(LH_Data,0,LH_ColFirst)=$A49)*(INDEX(LH_Data,0,LH_ColSur)=$B49)*(INDEX(LH_Data,0,LH_ColCat)=BonusCat)*ROW(LH_Data)))))</f>
        <v/>
      </c>
      <c r="BC49" s="0" t="str">
        <f aca="false">IF(LEN($A49&amp;$B49)=0,"",$A49&amp;" "&amp;$B49)</f>
        <v/>
      </c>
    </row>
    <row r="50" customFormat="false" ht="15" hidden="false" customHeight="false" outlineLevel="0" collapsed="false">
      <c r="A50" s="9"/>
      <c r="B50" s="9"/>
      <c r="C50" s="9"/>
      <c r="D50" s="10"/>
      <c r="E50" s="11" t="str">
        <f aca="false">IF(OR(AE50=0,$D50=""),"",DATE(YEAR(AsOfDate)+IF(DATE(YEAR(AsOfDate),MONTH($D50),DAY($D50))&lt;=AsOfDate,1,0),MONTH($D50),DAY($D50)))</f>
        <v/>
      </c>
      <c r="F50" s="10"/>
      <c r="G50" s="10"/>
      <c r="H50" s="10"/>
      <c r="I50" s="10"/>
      <c r="J50" s="10"/>
      <c r="K50" s="11" t="str">
        <f aca="false">IF(AE50=0,"",DATE(YEAR(AsOfDate)+IF(DATE(YEAR(AsOfDate),MONTH(AF50),DAY(AF50))&lt;=AsOfDate,1,0),MONTH(AF50),DAY(AF50)))</f>
        <v/>
      </c>
      <c r="L50" s="12" t="str">
        <f aca="false">IF(AE50=0,"",ROUND((AsOfDate-AF50)/365.25,1))</f>
        <v/>
      </c>
      <c r="M50" s="13" t="str">
        <f aca="false">IF(AE50=0,"",IF(AsOfDate&lt;AF50,"-",DATEDIF(AF50,AsOfDate,"y")&amp;"y "&amp;DATEDIF(AF50,AsOfDate,"ym")&amp;"m "&amp;DATEDIF(AF50,AsOfDate,"md")&amp;"d"))</f>
        <v/>
      </c>
      <c r="N50" s="14" t="str">
        <f aca="false">IF(AE50=0,"",O50*HoursPerDay)</f>
        <v/>
      </c>
      <c r="O50" s="14" t="str">
        <f aca="false">IF(AE50=0,"",AX50)</f>
        <v/>
      </c>
      <c r="P50" s="15"/>
      <c r="Q50" s="13"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
      </c>
      <c r="R50" s="13"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1" t="str">
        <f aca="false">IF(AE50=0,"",IF(AQ50="None","",EDATE(AF50,AZ50)))</f>
        <v/>
      </c>
      <c r="T50" s="14" t="str">
        <f aca="false">IF(AE50=0,"",IF(NOT(LH_Ready),"",IF(AF50&gt;PFYDate,0,IF(LH_ColPeriod=0,W50-U50+V50,SUMIFS(INDEX(LH_Data,0,LH_ColAcc),INDEX(LH_Data,0,LH_ColFirst),$A50,INDEX(LH_Data,0,LH_ColSur),$B50,INDEX(LH_Data,0,LH_ColCat),BonusCat,INDEX(LH_Data,0,LH_ColPeriod),LH_OpenLabel)*UnitFactor))))</f>
        <v/>
      </c>
      <c r="U50" s="14" t="str">
        <f aca="false">IF(AE50=0,"",IF(NOT(LH_Ready),"",SUMIFS(INDEX(LH_Data,0,LH_ColAcc),INDEX(LH_Data,0,LH_ColFirst),$A50,INDEX(LH_Data,0,LH_ColSur),$B50,INDEX(LH_Data,0,LH_ColCat),BonusCat,INDEX(LH_Data,0,LH_ColStart),"&gt;="&amp;AF50)*UnitFactor))</f>
        <v/>
      </c>
      <c r="V50" s="14" t="str">
        <f aca="false">IF(AE50=0,"",IF(NOT(LH_Ready),"",SUMIFS(INDEX(LH_Data,0,LH_ColTaken),INDEX(LH_Data,0,LH_ColFirst),$A50,INDEX(LH_Data,0,LH_ColSur),$B50,INDEX(LH_Data,0,LH_ColCat),BonusCat,INDEX(LH_Data,0,LH_ColStart),"&gt;="&amp;AF50)*UnitFactor))</f>
        <v/>
      </c>
      <c r="W50" s="14" t="str">
        <f aca="false">IF(AE50=0,"",IF(NOT(LH_Ready),"",IF(BB50=0,0,INDEX(INDEX(LH_Data,0,LH_ColClose),BB50-1)*UnitFactor)))</f>
        <v/>
      </c>
      <c r="X50" s="14" t="str">
        <f aca="false">IF(AE50=0,"",(AX50-AY50)*HoursPerDay)</f>
        <v/>
      </c>
      <c r="Y50" s="14" t="str">
        <f aca="false">IF(AE50=0,"",IF(NOT(LH_Ready),"",IF(BA50=0,N50,IF(PFYDate&lt;$F50,N50-N(T50)-N(U50),X50-N(U50)))))</f>
        <v/>
      </c>
      <c r="Z50" s="13" t="str">
        <f aca="false">IF(OR(AE50=0,Y50=""),"",IF(Y50&gt;0,"Yes","No"))</f>
        <v/>
      </c>
      <c r="AA50" s="13"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 hrs more than policy since commencement",IF(N(W50)&gt;O50*HoursPerDay+0.01,"CHECK - EH balance "&amp;ROUND(W50-O50*HoursPerDay,2)&amp;" hrs more than policy entitlement",IF(O50&gt;0,"OK - nothing to add",IF(AQ50="None",R50,"Not yet - first day on "&amp;TEXT(S50,"dd/mm/yyyy")))))))))</f>
        <v/>
      </c>
      <c r="AB50" s="14" t="str">
        <f aca="false">IF(OR(AE50=0,T50=""),"",AY50*HoursPerDay-T50)</f>
        <v/>
      </c>
      <c r="AC50" s="13" t="str">
        <f aca="false">IF(AE50=0,"",BA50)</f>
        <v/>
      </c>
      <c r="AD50" s="13"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3" t="n">
        <f aca="false">IF(OR(LEN($A50&amp;$B50)=0,$F50=""),0,1)</f>
        <v>0</v>
      </c>
      <c r="AF50" s="11" t="str">
        <f aca="false">IF(AE50=0,"",IF($J50&lt;&gt;"",$J50,IF(OR(CasualCounts="Yes",COUNT($G50:$I50)=0,COUNT($G50:$H50)=0),$F50,MIN($G50:$H50))))</f>
        <v/>
      </c>
      <c r="AG50" s="13" t="str">
        <f aca="false">IF(AE50=0,"",COUNT($G50:$I50))</f>
        <v/>
      </c>
      <c r="AH50" s="11" t="str">
        <f aca="false">IF(AE50=0,"",IFERROR(SMALL($G50:$I50,1),""))</f>
        <v/>
      </c>
      <c r="AI50" s="11" t="str">
        <f aca="false">IF(AE50=0,"",IFERROR(SMALL($G50:$I50,2),""))</f>
        <v/>
      </c>
      <c r="AJ50" s="11" t="str">
        <f aca="false">IF(AE50=0,"",IFERROR(SMALL($G50:$I50,3),""))</f>
        <v/>
      </c>
      <c r="AK50" s="13" t="str">
        <f aca="false">IF(AE50=0,"",IF(AH50="","",IF(AH50=$G50,"Part-Time",IF(AH50=$H50,"Full-Time","Casual"))))</f>
        <v/>
      </c>
      <c r="AL50" s="13" t="str">
        <f aca="false">IF(AE50=0,"",IF(AI50="","",IF(AI50=$G50,"Part-Time",IF(AI50=$H50,"Full-Time","Casual"))))</f>
        <v/>
      </c>
      <c r="AM50" s="13" t="str">
        <f aca="false">IF(AE50=0,"",IF(AJ50="","",IF(AJ50=$G50,"Part-Time",IF(AJ50=$H50,"Full-Time","Casual"))))</f>
        <v/>
      </c>
      <c r="AN50" s="13"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3" t="str">
        <f aca="false">IF(AE50=0,"",IF(AG50&lt;2,"",IF(OR(ISNUMBER(SEARCH("full",AL50)),UPPER(TRIM(AL50))="FT",UPPER(TRIM(AL50))="FTE"),"FT",IF(AND(OR(ISNUMBER(SEARCH("part",AL50)),UPPER(TRIM(AL50))="PT",UPPER(TRIM(AL50))="PTE"),OR($P50="",N($P50)&gt;=PT_MinHours)),"PT","None"))))</f>
        <v/>
      </c>
      <c r="AP50" s="13" t="str">
        <f aca="false">IF(AE50=0,"",IF(AG50&lt;3,"",IF(OR(ISNUMBER(SEARCH("full",AM50)),UPPER(TRIM(AM50))="FT",UPPER(TRIM(AM50))="FTE"),"FT",IF(AND(OR(ISNUMBER(SEARCH("part",AM50)),UPPER(TRIM(AM50))="PT",UPPER(TRIM(AM50))="PTE"),OR($P50="",N($P50)&gt;=PT_MinHours)),"PT","None"))))</f>
        <v/>
      </c>
      <c r="AQ50" s="13" t="str">
        <f aca="false">IF(AE50=0,"",IF(AND(AG50&gt;=3,AJ50&lt;=AsOfDate),AP50,IF(AND(AG50&gt;=2,AI50&lt;=AsOfDate),AO50,AN50)))</f>
        <v/>
      </c>
      <c r="AR50" s="13" t="str">
        <f aca="false">IF(AE50=0,"",IF(AsOfDate&lt;AF50,-1,12*(YEAR(AsOfDate)-YEAR(AF50))+MONTH(AsOfDate)-MONTH(AF50)-IF(DAY(AsOfDate)&lt;MIN(DAY(AF50),DAY(EOMONTH(AsOfDate,0))),1,0)))</f>
        <v/>
      </c>
      <c r="AS50" s="13" t="str">
        <f aca="false">IF(AE50=0,"",IF(OR(AG50&lt;2,AI50&gt;AsOfDate),AR50,IF((AI50-1)&lt;AF50,-1,12*(YEAR((AI50-1))-YEAR(AF50))+MONTH((AI50-1))-MONTH(AF50)-IF(DAY((AI50-1))&lt;MIN(DAY(AF50),DAY(EOMONTH((AI50-1),0))),1,0))))</f>
        <v/>
      </c>
      <c r="AT50" s="13" t="str">
        <f aca="false">IF(AE50=0,"",IF(OR(AG50&lt;3,AJ50&gt;AsOfDate),AR50,IF((AJ50-1)&lt;AF50,-1,12*(YEAR((AJ50-1))-YEAR(AF50))+MONTH((AJ50-1))-MONTH(AF50)-IF(DAY((AJ50-1))&lt;MIN(DAY(AF50),DAY(EOMONTH((AJ50-1),0))),1,0))))</f>
        <v/>
      </c>
      <c r="AU50" s="13" t="str">
        <f aca="false">IF(AE50=0,"",IF(PFYDate&lt;AF50,-1,12*(YEAR(PFYDate)-YEAR(AF50))+MONTH(PFYDate)-MONTH(AF50)-IF(DAY(PFYDate)&lt;MIN(DAY(AF50),DAY(EOMONTH(PFYDate,0))),1,0)))</f>
        <v/>
      </c>
      <c r="AV50" s="13" t="str">
        <f aca="false">IF(AE50=0,"",IF(OR(AG50&lt;2,AI50&gt;PFYDate),AU50,IF((AI50-1)&lt;AF50,-1,12*(YEAR((AI50-1))-YEAR(AF50))+MONTH((AI50-1))-MONTH(AF50)-IF(DAY((AI50-1))&lt;MIN(DAY(AF50),DAY(EOMONTH((AI50-1),0))),1,0))))</f>
        <v/>
      </c>
      <c r="AW50" s="13" t="str">
        <f aca="false">IF(AE50=0,"",IF(OR(AG50&lt;3,AJ50&gt;PFYDate),AU50,IF((AJ50-1)&lt;AF50,-1,12*(YEAR((AJ50-1))-YEAR(AF50))+MONTH((AJ50-1))-MONTH(AF50)-IF(DAY((AJ50-1))&lt;MIN(DAY(AF50),DAY(EOMONTH((AJ50-1),0))),1,0))))</f>
        <v/>
      </c>
      <c r="AX50" s="13"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3"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3" t="str">
        <f aca="false">IF(AE50=0,"",IF(AQ50="FT",IF(AR50&lt;FT_First,FT_First,IF(AR50&lt;FT_Y5,MIN(FT_Y5,FT_First+FT_Int1*(INT((AR50-FT_First)/FT_Int1)+1)),FT_Y5+12*INT((AR50-FT_Y5)/12)+FT_Int2*(INT(MOD(AR50-FT_Y5,12)/FT_Int2)+1))),IF(AQ50="PT",IF(AR50&lt;PT_First,PT_First,PT_First+PT_Int*(INT((AR50-PT_First)/PT_Int)+1)),"")))</f>
        <v/>
      </c>
      <c r="BA50" s="13" t="str">
        <f aca="false">IF(AE50=0,"",IF(NOT(LH_Ready),0,COUNTIFS(INDEX(LH_Data,0,LH_ColFirst),$A50,INDEX(LH_Data,0,LH_ColSur),$B50,INDEX(LH_Data,0,LH_ColCat),BonusCat)))</f>
        <v/>
      </c>
      <c r="BB50" s="13" t="str">
        <f aca="false">IF(AE50=0,"",IF(OR(NOT(LH_Ready),BA50=0),0,SUMPRODUCT(MAX((INDEX(LH_Data,0,LH_ColFirst)=$A50)*(INDEX(LH_Data,0,LH_ColSur)=$B50)*(INDEX(LH_Data,0,LH_ColCat)=BonusCat)*ROW(LH_Data)))))</f>
        <v/>
      </c>
      <c r="BC50" s="0" t="str">
        <f aca="false">IF(LEN($A50&amp;$B50)=0,"",$A50&amp;" "&amp;$B50)</f>
        <v/>
      </c>
    </row>
    <row r="51" customFormat="false" ht="15" hidden="false" customHeight="false" outlineLevel="0" collapsed="false">
      <c r="A51" s="9"/>
      <c r="B51" s="9"/>
      <c r="C51" s="9"/>
      <c r="D51" s="10"/>
      <c r="E51" s="11" t="str">
        <f aca="false">IF(OR(AE51=0,$D51=""),"",DATE(YEAR(AsOfDate)+IF(DATE(YEAR(AsOfDate),MONTH($D51),DAY($D51))&lt;=AsOfDate,1,0),MONTH($D51),DAY($D51)))</f>
        <v/>
      </c>
      <c r="F51" s="10"/>
      <c r="G51" s="10"/>
      <c r="H51" s="10"/>
      <c r="I51" s="10"/>
      <c r="J51" s="10"/>
      <c r="K51" s="11" t="str">
        <f aca="false">IF(AE51=0,"",DATE(YEAR(AsOfDate)+IF(DATE(YEAR(AsOfDate),MONTH(AF51),DAY(AF51))&lt;=AsOfDate,1,0),MONTH(AF51),DAY(AF51)))</f>
        <v/>
      </c>
      <c r="L51" s="12" t="str">
        <f aca="false">IF(AE51=0,"",ROUND((AsOfDate-AF51)/365.25,1))</f>
        <v/>
      </c>
      <c r="M51" s="13" t="str">
        <f aca="false">IF(AE51=0,"",IF(AsOfDate&lt;AF51,"-",DATEDIF(AF51,AsOfDate,"y")&amp;"y "&amp;DATEDIF(AF51,AsOfDate,"ym")&amp;"m "&amp;DATEDIF(AF51,AsOfDate,"md")&amp;"d"))</f>
        <v/>
      </c>
      <c r="N51" s="14" t="str">
        <f aca="false">IF(AE51=0,"",O51*HoursPerDay)</f>
        <v/>
      </c>
      <c r="O51" s="14" t="str">
        <f aca="false">IF(AE51=0,"",AX51)</f>
        <v/>
      </c>
      <c r="P51" s="15"/>
      <c r="Q51" s="13"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
      </c>
      <c r="R51" s="13"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1" t="str">
        <f aca="false">IF(AE51=0,"",IF(AQ51="None","",EDATE(AF51,AZ51)))</f>
        <v/>
      </c>
      <c r="T51" s="14" t="str">
        <f aca="false">IF(AE51=0,"",IF(NOT(LH_Ready),"",IF(AF51&gt;PFYDate,0,IF(LH_ColPeriod=0,W51-U51+V51,SUMIFS(INDEX(LH_Data,0,LH_ColAcc),INDEX(LH_Data,0,LH_ColFirst),$A51,INDEX(LH_Data,0,LH_ColSur),$B51,INDEX(LH_Data,0,LH_ColCat),BonusCat,INDEX(LH_Data,0,LH_ColPeriod),LH_OpenLabel)*UnitFactor))))</f>
        <v/>
      </c>
      <c r="U51" s="14" t="str">
        <f aca="false">IF(AE51=0,"",IF(NOT(LH_Ready),"",SUMIFS(INDEX(LH_Data,0,LH_ColAcc),INDEX(LH_Data,0,LH_ColFirst),$A51,INDEX(LH_Data,0,LH_ColSur),$B51,INDEX(LH_Data,0,LH_ColCat),BonusCat,INDEX(LH_Data,0,LH_ColStart),"&gt;="&amp;AF51)*UnitFactor))</f>
        <v/>
      </c>
      <c r="V51" s="14" t="str">
        <f aca="false">IF(AE51=0,"",IF(NOT(LH_Ready),"",SUMIFS(INDEX(LH_Data,0,LH_ColTaken),INDEX(LH_Data,0,LH_ColFirst),$A51,INDEX(LH_Data,0,LH_ColSur),$B51,INDEX(LH_Data,0,LH_ColCat),BonusCat,INDEX(LH_Data,0,LH_ColStart),"&gt;="&amp;AF51)*UnitFactor))</f>
        <v/>
      </c>
      <c r="W51" s="14" t="str">
        <f aca="false">IF(AE51=0,"",IF(NOT(LH_Ready),"",IF(BB51=0,0,INDEX(INDEX(LH_Data,0,LH_ColClose),BB51-1)*UnitFactor)))</f>
        <v/>
      </c>
      <c r="X51" s="14" t="str">
        <f aca="false">IF(AE51=0,"",(AX51-AY51)*HoursPerDay)</f>
        <v/>
      </c>
      <c r="Y51" s="14" t="str">
        <f aca="false">IF(AE51=0,"",IF(NOT(LH_Ready),"",IF(BA51=0,N51,IF(PFYDate&lt;$F51,N51-N(T51)-N(U51),X51-N(U51)))))</f>
        <v/>
      </c>
      <c r="Z51" s="13" t="str">
        <f aca="false">IF(OR(AE51=0,Y51=""),"",IF(Y51&gt;0,"Yes","No"))</f>
        <v/>
      </c>
      <c r="AA51" s="13"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 hrs more than policy since commencement",IF(N(W51)&gt;O51*HoursPerDay+0.01,"CHECK - EH balance "&amp;ROUND(W51-O51*HoursPerDay,2)&amp;" hrs more than policy entitlement",IF(O51&gt;0,"OK - nothing to add",IF(AQ51="None",R51,"Not yet - first day on "&amp;TEXT(S51,"dd/mm/yyyy")))))))))</f>
        <v/>
      </c>
      <c r="AB51" s="14" t="str">
        <f aca="false">IF(OR(AE51=0,T51=""),"",AY51*HoursPerDay-T51)</f>
        <v/>
      </c>
      <c r="AC51" s="13" t="str">
        <f aca="false">IF(AE51=0,"",BA51)</f>
        <v/>
      </c>
      <c r="AD51" s="13"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3" t="n">
        <f aca="false">IF(OR(LEN($A51&amp;$B51)=0,$F51=""),0,1)</f>
        <v>0</v>
      </c>
      <c r="AF51" s="11" t="str">
        <f aca="false">IF(AE51=0,"",IF($J51&lt;&gt;"",$J51,IF(OR(CasualCounts="Yes",COUNT($G51:$I51)=0,COUNT($G51:$H51)=0),$F51,MIN($G51:$H51))))</f>
        <v/>
      </c>
      <c r="AG51" s="13" t="str">
        <f aca="false">IF(AE51=0,"",COUNT($G51:$I51))</f>
        <v/>
      </c>
      <c r="AH51" s="11" t="str">
        <f aca="false">IF(AE51=0,"",IFERROR(SMALL($G51:$I51,1),""))</f>
        <v/>
      </c>
      <c r="AI51" s="11" t="str">
        <f aca="false">IF(AE51=0,"",IFERROR(SMALL($G51:$I51,2),""))</f>
        <v/>
      </c>
      <c r="AJ51" s="11" t="str">
        <f aca="false">IF(AE51=0,"",IFERROR(SMALL($G51:$I51,3),""))</f>
        <v/>
      </c>
      <c r="AK51" s="13" t="str">
        <f aca="false">IF(AE51=0,"",IF(AH51="","",IF(AH51=$G51,"Part-Time",IF(AH51=$H51,"Full-Time","Casual"))))</f>
        <v/>
      </c>
      <c r="AL51" s="13" t="str">
        <f aca="false">IF(AE51=0,"",IF(AI51="","",IF(AI51=$G51,"Part-Time",IF(AI51=$H51,"Full-Time","Casual"))))</f>
        <v/>
      </c>
      <c r="AM51" s="13" t="str">
        <f aca="false">IF(AE51=0,"",IF(AJ51="","",IF(AJ51=$G51,"Part-Time",IF(AJ51=$H51,"Full-Time","Casual"))))</f>
        <v/>
      </c>
      <c r="AN51" s="13"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3" t="str">
        <f aca="false">IF(AE51=0,"",IF(AG51&lt;2,"",IF(OR(ISNUMBER(SEARCH("full",AL51)),UPPER(TRIM(AL51))="FT",UPPER(TRIM(AL51))="FTE"),"FT",IF(AND(OR(ISNUMBER(SEARCH("part",AL51)),UPPER(TRIM(AL51))="PT",UPPER(TRIM(AL51))="PTE"),OR($P51="",N($P51)&gt;=PT_MinHours)),"PT","None"))))</f>
        <v/>
      </c>
      <c r="AP51" s="13" t="str">
        <f aca="false">IF(AE51=0,"",IF(AG51&lt;3,"",IF(OR(ISNUMBER(SEARCH("full",AM51)),UPPER(TRIM(AM51))="FT",UPPER(TRIM(AM51))="FTE"),"FT",IF(AND(OR(ISNUMBER(SEARCH("part",AM51)),UPPER(TRIM(AM51))="PT",UPPER(TRIM(AM51))="PTE"),OR($P51="",N($P51)&gt;=PT_MinHours)),"PT","None"))))</f>
        <v/>
      </c>
      <c r="AQ51" s="13" t="str">
        <f aca="false">IF(AE51=0,"",IF(AND(AG51&gt;=3,AJ51&lt;=AsOfDate),AP51,IF(AND(AG51&gt;=2,AI51&lt;=AsOfDate),AO51,AN51)))</f>
        <v/>
      </c>
      <c r="AR51" s="13" t="str">
        <f aca="false">IF(AE51=0,"",IF(AsOfDate&lt;AF51,-1,12*(YEAR(AsOfDate)-YEAR(AF51))+MONTH(AsOfDate)-MONTH(AF51)-IF(DAY(AsOfDate)&lt;MIN(DAY(AF51),DAY(EOMONTH(AsOfDate,0))),1,0)))</f>
        <v/>
      </c>
      <c r="AS51" s="13" t="str">
        <f aca="false">IF(AE51=0,"",IF(OR(AG51&lt;2,AI51&gt;AsOfDate),AR51,IF((AI51-1)&lt;AF51,-1,12*(YEAR((AI51-1))-YEAR(AF51))+MONTH((AI51-1))-MONTH(AF51)-IF(DAY((AI51-1))&lt;MIN(DAY(AF51),DAY(EOMONTH((AI51-1),0))),1,0))))</f>
        <v/>
      </c>
      <c r="AT51" s="13" t="str">
        <f aca="false">IF(AE51=0,"",IF(OR(AG51&lt;3,AJ51&gt;AsOfDate),AR51,IF((AJ51-1)&lt;AF51,-1,12*(YEAR((AJ51-1))-YEAR(AF51))+MONTH((AJ51-1))-MONTH(AF51)-IF(DAY((AJ51-1))&lt;MIN(DAY(AF51),DAY(EOMONTH((AJ51-1),0))),1,0))))</f>
        <v/>
      </c>
      <c r="AU51" s="13" t="str">
        <f aca="false">IF(AE51=0,"",IF(PFYDate&lt;AF51,-1,12*(YEAR(PFYDate)-YEAR(AF51))+MONTH(PFYDate)-MONTH(AF51)-IF(DAY(PFYDate)&lt;MIN(DAY(AF51),DAY(EOMONTH(PFYDate,0))),1,0)))</f>
        <v/>
      </c>
      <c r="AV51" s="13" t="str">
        <f aca="false">IF(AE51=0,"",IF(OR(AG51&lt;2,AI51&gt;PFYDate),AU51,IF((AI51-1)&lt;AF51,-1,12*(YEAR((AI51-1))-YEAR(AF51))+MONTH((AI51-1))-MONTH(AF51)-IF(DAY((AI51-1))&lt;MIN(DAY(AF51),DAY(EOMONTH((AI51-1),0))),1,0))))</f>
        <v/>
      </c>
      <c r="AW51" s="13" t="str">
        <f aca="false">IF(AE51=0,"",IF(OR(AG51&lt;3,AJ51&gt;PFYDate),AU51,IF((AJ51-1)&lt;AF51,-1,12*(YEAR((AJ51-1))-YEAR(AF51))+MONTH((AJ51-1))-MONTH(AF51)-IF(DAY((AJ51-1))&lt;MIN(DAY(AF51),DAY(EOMONTH((AJ51-1),0))),1,0))))</f>
        <v/>
      </c>
      <c r="AX51" s="13"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3"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3" t="str">
        <f aca="false">IF(AE51=0,"",IF(AQ51="FT",IF(AR51&lt;FT_First,FT_First,IF(AR51&lt;FT_Y5,MIN(FT_Y5,FT_First+FT_Int1*(INT((AR51-FT_First)/FT_Int1)+1)),FT_Y5+12*INT((AR51-FT_Y5)/12)+FT_Int2*(INT(MOD(AR51-FT_Y5,12)/FT_Int2)+1))),IF(AQ51="PT",IF(AR51&lt;PT_First,PT_First,PT_First+PT_Int*(INT((AR51-PT_First)/PT_Int)+1)),"")))</f>
        <v/>
      </c>
      <c r="BA51" s="13" t="str">
        <f aca="false">IF(AE51=0,"",IF(NOT(LH_Ready),0,COUNTIFS(INDEX(LH_Data,0,LH_ColFirst),$A51,INDEX(LH_Data,0,LH_ColSur),$B51,INDEX(LH_Data,0,LH_ColCat),BonusCat)))</f>
        <v/>
      </c>
      <c r="BB51" s="13" t="str">
        <f aca="false">IF(AE51=0,"",IF(OR(NOT(LH_Ready),BA51=0),0,SUMPRODUCT(MAX((INDEX(LH_Data,0,LH_ColFirst)=$A51)*(INDEX(LH_Data,0,LH_ColSur)=$B51)*(INDEX(LH_Data,0,LH_ColCat)=BonusCat)*ROW(LH_Data)))))</f>
        <v/>
      </c>
      <c r="BC51" s="0" t="str">
        <f aca="false">IF(LEN($A51&amp;$B51)=0,"",$A51&amp;" "&amp;$B51)</f>
        <v/>
      </c>
    </row>
    <row r="52" customFormat="false" ht="15" hidden="false" customHeight="false" outlineLevel="0" collapsed="false">
      <c r="A52" s="9"/>
      <c r="B52" s="9"/>
      <c r="C52" s="9"/>
      <c r="D52" s="10"/>
      <c r="E52" s="11" t="str">
        <f aca="false">IF(OR(AE52=0,$D52=""),"",DATE(YEAR(AsOfDate)+IF(DATE(YEAR(AsOfDate),MONTH($D52),DAY($D52))&lt;=AsOfDate,1,0),MONTH($D52),DAY($D52)))</f>
        <v/>
      </c>
      <c r="F52" s="10"/>
      <c r="G52" s="10"/>
      <c r="H52" s="10"/>
      <c r="I52" s="10"/>
      <c r="J52" s="10"/>
      <c r="K52" s="11" t="str">
        <f aca="false">IF(AE52=0,"",DATE(YEAR(AsOfDate)+IF(DATE(YEAR(AsOfDate),MONTH(AF52),DAY(AF52))&lt;=AsOfDate,1,0),MONTH(AF52),DAY(AF52)))</f>
        <v/>
      </c>
      <c r="L52" s="12" t="str">
        <f aca="false">IF(AE52=0,"",ROUND((AsOfDate-AF52)/365.25,1))</f>
        <v/>
      </c>
      <c r="M52" s="13" t="str">
        <f aca="false">IF(AE52=0,"",IF(AsOfDate&lt;AF52,"-",DATEDIF(AF52,AsOfDate,"y")&amp;"y "&amp;DATEDIF(AF52,AsOfDate,"ym")&amp;"m "&amp;DATEDIF(AF52,AsOfDate,"md")&amp;"d"))</f>
        <v/>
      </c>
      <c r="N52" s="14" t="str">
        <f aca="false">IF(AE52=0,"",O52*HoursPerDay)</f>
        <v/>
      </c>
      <c r="O52" s="14" t="str">
        <f aca="false">IF(AE52=0,"",AX52)</f>
        <v/>
      </c>
      <c r="P52" s="15"/>
      <c r="Q52" s="13"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13"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1" t="str">
        <f aca="false">IF(AE52=0,"",IF(AQ52="None","",EDATE(AF52,AZ52)))</f>
        <v/>
      </c>
      <c r="T52" s="14" t="str">
        <f aca="false">IF(AE52=0,"",IF(NOT(LH_Ready),"",IF(AF52&gt;PFYDate,0,IF(LH_ColPeriod=0,W52-U52+V52,SUMIFS(INDEX(LH_Data,0,LH_ColAcc),INDEX(LH_Data,0,LH_ColFirst),$A52,INDEX(LH_Data,0,LH_ColSur),$B52,INDEX(LH_Data,0,LH_ColCat),BonusCat,INDEX(LH_Data,0,LH_ColPeriod),LH_OpenLabel)*UnitFactor))))</f>
        <v/>
      </c>
      <c r="U52" s="14" t="str">
        <f aca="false">IF(AE52=0,"",IF(NOT(LH_Ready),"",SUMIFS(INDEX(LH_Data,0,LH_ColAcc),INDEX(LH_Data,0,LH_ColFirst),$A52,INDEX(LH_Data,0,LH_ColSur),$B52,INDEX(LH_Data,0,LH_ColCat),BonusCat,INDEX(LH_Data,0,LH_ColStart),"&gt;="&amp;AF52)*UnitFactor))</f>
        <v/>
      </c>
      <c r="V52" s="14" t="str">
        <f aca="false">IF(AE52=0,"",IF(NOT(LH_Ready),"",SUMIFS(INDEX(LH_Data,0,LH_ColTaken),INDEX(LH_Data,0,LH_ColFirst),$A52,INDEX(LH_Data,0,LH_ColSur),$B52,INDEX(LH_Data,0,LH_ColCat),BonusCat,INDEX(LH_Data,0,LH_ColStart),"&gt;="&amp;AF52)*UnitFactor))</f>
        <v/>
      </c>
      <c r="W52" s="14" t="str">
        <f aca="false">IF(AE52=0,"",IF(NOT(LH_Ready),"",IF(BB52=0,0,INDEX(INDEX(LH_Data,0,LH_ColClose),BB52-1)*UnitFactor)))</f>
        <v/>
      </c>
      <c r="X52" s="14" t="str">
        <f aca="false">IF(AE52=0,"",(AX52-AY52)*HoursPerDay)</f>
        <v/>
      </c>
      <c r="Y52" s="14" t="str">
        <f aca="false">IF(AE52=0,"",IF(NOT(LH_Ready),"",IF(BA52=0,N52,IF(PFYDate&lt;$F52,N52-N(T52)-N(U52),X52-N(U52)))))</f>
        <v/>
      </c>
      <c r="Z52" s="13" t="str">
        <f aca="false">IF(OR(AE52=0,Y52=""),"",IF(Y52&gt;0,"Yes","No"))</f>
        <v/>
      </c>
      <c r="AA52" s="13"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 hrs more than policy since commencement",IF(N(W52)&gt;O52*HoursPerDay+0.01,"CHECK - EH balance "&amp;ROUND(W52-O52*HoursPerDay,2)&amp;" hrs more than policy entitlement",IF(O52&gt;0,"OK - nothing to add",IF(AQ52="None",R52,"Not yet - first day on "&amp;TEXT(S52,"dd/mm/yyyy")))))))))</f>
        <v/>
      </c>
      <c r="AB52" s="14" t="str">
        <f aca="false">IF(OR(AE52=0,T52=""),"",AY52*HoursPerDay-T52)</f>
        <v/>
      </c>
      <c r="AC52" s="13" t="str">
        <f aca="false">IF(AE52=0,"",BA52)</f>
        <v/>
      </c>
      <c r="AD52" s="13"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3" t="n">
        <f aca="false">IF(OR(LEN($A52&amp;$B52)=0,$F52=""),0,1)</f>
        <v>0</v>
      </c>
      <c r="AF52" s="11" t="str">
        <f aca="false">IF(AE52=0,"",IF($J52&lt;&gt;"",$J52,IF(OR(CasualCounts="Yes",COUNT($G52:$I52)=0,COUNT($G52:$H52)=0),$F52,MIN($G52:$H52))))</f>
        <v/>
      </c>
      <c r="AG52" s="13" t="str">
        <f aca="false">IF(AE52=0,"",COUNT($G52:$I52))</f>
        <v/>
      </c>
      <c r="AH52" s="11" t="str">
        <f aca="false">IF(AE52=0,"",IFERROR(SMALL($G52:$I52,1),""))</f>
        <v/>
      </c>
      <c r="AI52" s="11" t="str">
        <f aca="false">IF(AE52=0,"",IFERROR(SMALL($G52:$I52,2),""))</f>
        <v/>
      </c>
      <c r="AJ52" s="11" t="str">
        <f aca="false">IF(AE52=0,"",IFERROR(SMALL($G52:$I52,3),""))</f>
        <v/>
      </c>
      <c r="AK52" s="13" t="str">
        <f aca="false">IF(AE52=0,"",IF(AH52="","",IF(AH52=$G52,"Part-Time",IF(AH52=$H52,"Full-Time","Casual"))))</f>
        <v/>
      </c>
      <c r="AL52" s="13" t="str">
        <f aca="false">IF(AE52=0,"",IF(AI52="","",IF(AI52=$G52,"Part-Time",IF(AI52=$H52,"Full-Time","Casual"))))</f>
        <v/>
      </c>
      <c r="AM52" s="13" t="str">
        <f aca="false">IF(AE52=0,"",IF(AJ52="","",IF(AJ52=$G52,"Part-Time",IF(AJ52=$H52,"Full-Time","Casual"))))</f>
        <v/>
      </c>
      <c r="AN52" s="13"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3" t="str">
        <f aca="false">IF(AE52=0,"",IF(AG52&lt;2,"",IF(OR(ISNUMBER(SEARCH("full",AL52)),UPPER(TRIM(AL52))="FT",UPPER(TRIM(AL52))="FTE"),"FT",IF(AND(OR(ISNUMBER(SEARCH("part",AL52)),UPPER(TRIM(AL52))="PT",UPPER(TRIM(AL52))="PTE"),OR($P52="",N($P52)&gt;=PT_MinHours)),"PT","None"))))</f>
        <v/>
      </c>
      <c r="AP52" s="13" t="str">
        <f aca="false">IF(AE52=0,"",IF(AG52&lt;3,"",IF(OR(ISNUMBER(SEARCH("full",AM52)),UPPER(TRIM(AM52))="FT",UPPER(TRIM(AM52))="FTE"),"FT",IF(AND(OR(ISNUMBER(SEARCH("part",AM52)),UPPER(TRIM(AM52))="PT",UPPER(TRIM(AM52))="PTE"),OR($P52="",N($P52)&gt;=PT_MinHours)),"PT","None"))))</f>
        <v/>
      </c>
      <c r="AQ52" s="13" t="str">
        <f aca="false">IF(AE52=0,"",IF(AND(AG52&gt;=3,AJ52&lt;=AsOfDate),AP52,IF(AND(AG52&gt;=2,AI52&lt;=AsOfDate),AO52,AN52)))</f>
        <v/>
      </c>
      <c r="AR52" s="13" t="str">
        <f aca="false">IF(AE52=0,"",IF(AsOfDate&lt;AF52,-1,12*(YEAR(AsOfDate)-YEAR(AF52))+MONTH(AsOfDate)-MONTH(AF52)-IF(DAY(AsOfDate)&lt;MIN(DAY(AF52),DAY(EOMONTH(AsOfDate,0))),1,0)))</f>
        <v/>
      </c>
      <c r="AS52" s="13" t="str">
        <f aca="false">IF(AE52=0,"",IF(OR(AG52&lt;2,AI52&gt;AsOfDate),AR52,IF((AI52-1)&lt;AF52,-1,12*(YEAR((AI52-1))-YEAR(AF52))+MONTH((AI52-1))-MONTH(AF52)-IF(DAY((AI52-1))&lt;MIN(DAY(AF52),DAY(EOMONTH((AI52-1),0))),1,0))))</f>
        <v/>
      </c>
      <c r="AT52" s="13" t="str">
        <f aca="false">IF(AE52=0,"",IF(OR(AG52&lt;3,AJ52&gt;AsOfDate),AR52,IF((AJ52-1)&lt;AF52,-1,12*(YEAR((AJ52-1))-YEAR(AF52))+MONTH((AJ52-1))-MONTH(AF52)-IF(DAY((AJ52-1))&lt;MIN(DAY(AF52),DAY(EOMONTH((AJ52-1),0))),1,0))))</f>
        <v/>
      </c>
      <c r="AU52" s="13" t="str">
        <f aca="false">IF(AE52=0,"",IF(PFYDate&lt;AF52,-1,12*(YEAR(PFYDate)-YEAR(AF52))+MONTH(PFYDate)-MONTH(AF52)-IF(DAY(PFYDate)&lt;MIN(DAY(AF52),DAY(EOMONTH(PFYDate,0))),1,0)))</f>
        <v/>
      </c>
      <c r="AV52" s="13" t="str">
        <f aca="false">IF(AE52=0,"",IF(OR(AG52&lt;2,AI52&gt;PFYDate),AU52,IF((AI52-1)&lt;AF52,-1,12*(YEAR((AI52-1))-YEAR(AF52))+MONTH((AI52-1))-MONTH(AF52)-IF(DAY((AI52-1))&lt;MIN(DAY(AF52),DAY(EOMONTH((AI52-1),0))),1,0))))</f>
        <v/>
      </c>
      <c r="AW52" s="13" t="str">
        <f aca="false">IF(AE52=0,"",IF(OR(AG52&lt;3,AJ52&gt;PFYDate),AU52,IF((AJ52-1)&lt;AF52,-1,12*(YEAR((AJ52-1))-YEAR(AF52))+MONTH((AJ52-1))-MONTH(AF52)-IF(DAY((AJ52-1))&lt;MIN(DAY(AF52),DAY(EOMONTH((AJ52-1),0))),1,0))))</f>
        <v/>
      </c>
      <c r="AX52" s="13"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3"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3" t="str">
        <f aca="false">IF(AE52=0,"",IF(AQ52="FT",IF(AR52&lt;FT_First,FT_First,IF(AR52&lt;FT_Y5,MIN(FT_Y5,FT_First+FT_Int1*(INT((AR52-FT_First)/FT_Int1)+1)),FT_Y5+12*INT((AR52-FT_Y5)/12)+FT_Int2*(INT(MOD(AR52-FT_Y5,12)/FT_Int2)+1))),IF(AQ52="PT",IF(AR52&lt;PT_First,PT_First,PT_First+PT_Int*(INT((AR52-PT_First)/PT_Int)+1)),"")))</f>
        <v/>
      </c>
      <c r="BA52" s="13" t="str">
        <f aca="false">IF(AE52=0,"",IF(NOT(LH_Ready),0,COUNTIFS(INDEX(LH_Data,0,LH_ColFirst),$A52,INDEX(LH_Data,0,LH_ColSur),$B52,INDEX(LH_Data,0,LH_ColCat),BonusCat)))</f>
        <v/>
      </c>
      <c r="BB52" s="13" t="str">
        <f aca="false">IF(AE52=0,"",IF(OR(NOT(LH_Ready),BA52=0),0,SUMPRODUCT(MAX((INDEX(LH_Data,0,LH_ColFirst)=$A52)*(INDEX(LH_Data,0,LH_ColSur)=$B52)*(INDEX(LH_Data,0,LH_ColCat)=BonusCat)*ROW(LH_Data)))))</f>
        <v/>
      </c>
      <c r="BC52" s="0" t="str">
        <f aca="false">IF(LEN($A52&amp;$B52)=0,"",$A52&amp;" "&amp;$B52)</f>
        <v/>
      </c>
    </row>
    <row r="53" customFormat="false" ht="15" hidden="false" customHeight="false" outlineLevel="0" collapsed="false">
      <c r="A53" s="9"/>
      <c r="B53" s="9"/>
      <c r="C53" s="9"/>
      <c r="D53" s="10"/>
      <c r="E53" s="11" t="str">
        <f aca="false">IF(OR(AE53=0,$D53=""),"",DATE(YEAR(AsOfDate)+IF(DATE(YEAR(AsOfDate),MONTH($D53),DAY($D53))&lt;=AsOfDate,1,0),MONTH($D53),DAY($D53)))</f>
        <v/>
      </c>
      <c r="F53" s="10"/>
      <c r="G53" s="10"/>
      <c r="H53" s="10"/>
      <c r="I53" s="10"/>
      <c r="J53" s="10"/>
      <c r="K53" s="11" t="str">
        <f aca="false">IF(AE53=0,"",DATE(YEAR(AsOfDate)+IF(DATE(YEAR(AsOfDate),MONTH(AF53),DAY(AF53))&lt;=AsOfDate,1,0),MONTH(AF53),DAY(AF53)))</f>
        <v/>
      </c>
      <c r="L53" s="12" t="str">
        <f aca="false">IF(AE53=0,"",ROUND((AsOfDate-AF53)/365.25,1))</f>
        <v/>
      </c>
      <c r="M53" s="13" t="str">
        <f aca="false">IF(AE53=0,"",IF(AsOfDate&lt;AF53,"-",DATEDIF(AF53,AsOfDate,"y")&amp;"y "&amp;DATEDIF(AF53,AsOfDate,"ym")&amp;"m "&amp;DATEDIF(AF53,AsOfDate,"md")&amp;"d"))</f>
        <v/>
      </c>
      <c r="N53" s="14" t="str">
        <f aca="false">IF(AE53=0,"",O53*HoursPerDay)</f>
        <v/>
      </c>
      <c r="O53" s="14" t="str">
        <f aca="false">IF(AE53=0,"",AX53)</f>
        <v/>
      </c>
      <c r="P53" s="15"/>
      <c r="Q53" s="13"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13"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1" t="str">
        <f aca="false">IF(AE53=0,"",IF(AQ53="None","",EDATE(AF53,AZ53)))</f>
        <v/>
      </c>
      <c r="T53" s="14" t="str">
        <f aca="false">IF(AE53=0,"",IF(NOT(LH_Ready),"",IF(AF53&gt;PFYDate,0,IF(LH_ColPeriod=0,W53-U53+V53,SUMIFS(INDEX(LH_Data,0,LH_ColAcc),INDEX(LH_Data,0,LH_ColFirst),$A53,INDEX(LH_Data,0,LH_ColSur),$B53,INDEX(LH_Data,0,LH_ColCat),BonusCat,INDEX(LH_Data,0,LH_ColPeriod),LH_OpenLabel)*UnitFactor))))</f>
        <v/>
      </c>
      <c r="U53" s="14" t="str">
        <f aca="false">IF(AE53=0,"",IF(NOT(LH_Ready),"",SUMIFS(INDEX(LH_Data,0,LH_ColAcc),INDEX(LH_Data,0,LH_ColFirst),$A53,INDEX(LH_Data,0,LH_ColSur),$B53,INDEX(LH_Data,0,LH_ColCat),BonusCat,INDEX(LH_Data,0,LH_ColStart),"&gt;="&amp;AF53)*UnitFactor))</f>
        <v/>
      </c>
      <c r="V53" s="14" t="str">
        <f aca="false">IF(AE53=0,"",IF(NOT(LH_Ready),"",SUMIFS(INDEX(LH_Data,0,LH_ColTaken),INDEX(LH_Data,0,LH_ColFirst),$A53,INDEX(LH_Data,0,LH_ColSur),$B53,INDEX(LH_Data,0,LH_ColCat),BonusCat,INDEX(LH_Data,0,LH_ColStart),"&gt;="&amp;AF53)*UnitFactor))</f>
        <v/>
      </c>
      <c r="W53" s="14" t="str">
        <f aca="false">IF(AE53=0,"",IF(NOT(LH_Ready),"",IF(BB53=0,0,INDEX(INDEX(LH_Data,0,LH_ColClose),BB53-1)*UnitFactor)))</f>
        <v/>
      </c>
      <c r="X53" s="14" t="str">
        <f aca="false">IF(AE53=0,"",(AX53-AY53)*HoursPerDay)</f>
        <v/>
      </c>
      <c r="Y53" s="14" t="str">
        <f aca="false">IF(AE53=0,"",IF(NOT(LH_Ready),"",IF(BA53=0,N53,IF(PFYDate&lt;$F53,N53-N(T53)-N(U53),X53-N(U53)))))</f>
        <v/>
      </c>
      <c r="Z53" s="13" t="str">
        <f aca="false">IF(OR(AE53=0,Y53=""),"",IF(Y53&gt;0,"Yes","No"))</f>
        <v/>
      </c>
      <c r="AA53" s="13"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 hrs more than policy since commencement",IF(N(W53)&gt;O53*HoursPerDay+0.01,"CHECK - EH balance "&amp;ROUND(W53-O53*HoursPerDay,2)&amp;" hrs more than policy entitlement",IF(O53&gt;0,"OK - nothing to add",IF(AQ53="None",R53,"Not yet - first day on "&amp;TEXT(S53,"dd/mm/yyyy")))))))))</f>
        <v/>
      </c>
      <c r="AB53" s="14" t="str">
        <f aca="false">IF(OR(AE53=0,T53=""),"",AY53*HoursPerDay-T53)</f>
        <v/>
      </c>
      <c r="AC53" s="13" t="str">
        <f aca="false">IF(AE53=0,"",BA53)</f>
        <v/>
      </c>
      <c r="AD53" s="13"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3" t="n">
        <f aca="false">IF(OR(LEN($A53&amp;$B53)=0,$F53=""),0,1)</f>
        <v>0</v>
      </c>
      <c r="AF53" s="11" t="str">
        <f aca="false">IF(AE53=0,"",IF($J53&lt;&gt;"",$J53,IF(OR(CasualCounts="Yes",COUNT($G53:$I53)=0,COUNT($G53:$H53)=0),$F53,MIN($G53:$H53))))</f>
        <v/>
      </c>
      <c r="AG53" s="13" t="str">
        <f aca="false">IF(AE53=0,"",COUNT($G53:$I53))</f>
        <v/>
      </c>
      <c r="AH53" s="11" t="str">
        <f aca="false">IF(AE53=0,"",IFERROR(SMALL($G53:$I53,1),""))</f>
        <v/>
      </c>
      <c r="AI53" s="11" t="str">
        <f aca="false">IF(AE53=0,"",IFERROR(SMALL($G53:$I53,2),""))</f>
        <v/>
      </c>
      <c r="AJ53" s="11" t="str">
        <f aca="false">IF(AE53=0,"",IFERROR(SMALL($G53:$I53,3),""))</f>
        <v/>
      </c>
      <c r="AK53" s="13" t="str">
        <f aca="false">IF(AE53=0,"",IF(AH53="","",IF(AH53=$G53,"Part-Time",IF(AH53=$H53,"Full-Time","Casual"))))</f>
        <v/>
      </c>
      <c r="AL53" s="13" t="str">
        <f aca="false">IF(AE53=0,"",IF(AI53="","",IF(AI53=$G53,"Part-Time",IF(AI53=$H53,"Full-Time","Casual"))))</f>
        <v/>
      </c>
      <c r="AM53" s="13" t="str">
        <f aca="false">IF(AE53=0,"",IF(AJ53="","",IF(AJ53=$G53,"Part-Time",IF(AJ53=$H53,"Full-Time","Casual"))))</f>
        <v/>
      </c>
      <c r="AN53" s="13"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3" t="str">
        <f aca="false">IF(AE53=0,"",IF(AG53&lt;2,"",IF(OR(ISNUMBER(SEARCH("full",AL53)),UPPER(TRIM(AL53))="FT",UPPER(TRIM(AL53))="FTE"),"FT",IF(AND(OR(ISNUMBER(SEARCH("part",AL53)),UPPER(TRIM(AL53))="PT",UPPER(TRIM(AL53))="PTE"),OR($P53="",N($P53)&gt;=PT_MinHours)),"PT","None"))))</f>
        <v/>
      </c>
      <c r="AP53" s="13" t="str">
        <f aca="false">IF(AE53=0,"",IF(AG53&lt;3,"",IF(OR(ISNUMBER(SEARCH("full",AM53)),UPPER(TRIM(AM53))="FT",UPPER(TRIM(AM53))="FTE"),"FT",IF(AND(OR(ISNUMBER(SEARCH("part",AM53)),UPPER(TRIM(AM53))="PT",UPPER(TRIM(AM53))="PTE"),OR($P53="",N($P53)&gt;=PT_MinHours)),"PT","None"))))</f>
        <v/>
      </c>
      <c r="AQ53" s="13" t="str">
        <f aca="false">IF(AE53=0,"",IF(AND(AG53&gt;=3,AJ53&lt;=AsOfDate),AP53,IF(AND(AG53&gt;=2,AI53&lt;=AsOfDate),AO53,AN53)))</f>
        <v/>
      </c>
      <c r="AR53" s="13" t="str">
        <f aca="false">IF(AE53=0,"",IF(AsOfDate&lt;AF53,-1,12*(YEAR(AsOfDate)-YEAR(AF53))+MONTH(AsOfDate)-MONTH(AF53)-IF(DAY(AsOfDate)&lt;MIN(DAY(AF53),DAY(EOMONTH(AsOfDate,0))),1,0)))</f>
        <v/>
      </c>
      <c r="AS53" s="13" t="str">
        <f aca="false">IF(AE53=0,"",IF(OR(AG53&lt;2,AI53&gt;AsOfDate),AR53,IF((AI53-1)&lt;AF53,-1,12*(YEAR((AI53-1))-YEAR(AF53))+MONTH((AI53-1))-MONTH(AF53)-IF(DAY((AI53-1))&lt;MIN(DAY(AF53),DAY(EOMONTH((AI53-1),0))),1,0))))</f>
        <v/>
      </c>
      <c r="AT53" s="13" t="str">
        <f aca="false">IF(AE53=0,"",IF(OR(AG53&lt;3,AJ53&gt;AsOfDate),AR53,IF((AJ53-1)&lt;AF53,-1,12*(YEAR((AJ53-1))-YEAR(AF53))+MONTH((AJ53-1))-MONTH(AF53)-IF(DAY((AJ53-1))&lt;MIN(DAY(AF53),DAY(EOMONTH((AJ53-1),0))),1,0))))</f>
        <v/>
      </c>
      <c r="AU53" s="13" t="str">
        <f aca="false">IF(AE53=0,"",IF(PFYDate&lt;AF53,-1,12*(YEAR(PFYDate)-YEAR(AF53))+MONTH(PFYDate)-MONTH(AF53)-IF(DAY(PFYDate)&lt;MIN(DAY(AF53),DAY(EOMONTH(PFYDate,0))),1,0)))</f>
        <v/>
      </c>
      <c r="AV53" s="13" t="str">
        <f aca="false">IF(AE53=0,"",IF(OR(AG53&lt;2,AI53&gt;PFYDate),AU53,IF((AI53-1)&lt;AF53,-1,12*(YEAR((AI53-1))-YEAR(AF53))+MONTH((AI53-1))-MONTH(AF53)-IF(DAY((AI53-1))&lt;MIN(DAY(AF53),DAY(EOMONTH((AI53-1),0))),1,0))))</f>
        <v/>
      </c>
      <c r="AW53" s="13" t="str">
        <f aca="false">IF(AE53=0,"",IF(OR(AG53&lt;3,AJ53&gt;PFYDate),AU53,IF((AJ53-1)&lt;AF53,-1,12*(YEAR((AJ53-1))-YEAR(AF53))+MONTH((AJ53-1))-MONTH(AF53)-IF(DAY((AJ53-1))&lt;MIN(DAY(AF53),DAY(EOMONTH((AJ53-1),0))),1,0))))</f>
        <v/>
      </c>
      <c r="AX53" s="13"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3"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3" t="str">
        <f aca="false">IF(AE53=0,"",IF(AQ53="FT",IF(AR53&lt;FT_First,FT_First,IF(AR53&lt;FT_Y5,MIN(FT_Y5,FT_First+FT_Int1*(INT((AR53-FT_First)/FT_Int1)+1)),FT_Y5+12*INT((AR53-FT_Y5)/12)+FT_Int2*(INT(MOD(AR53-FT_Y5,12)/FT_Int2)+1))),IF(AQ53="PT",IF(AR53&lt;PT_First,PT_First,PT_First+PT_Int*(INT((AR53-PT_First)/PT_Int)+1)),"")))</f>
        <v/>
      </c>
      <c r="BA53" s="13" t="str">
        <f aca="false">IF(AE53=0,"",IF(NOT(LH_Ready),0,COUNTIFS(INDEX(LH_Data,0,LH_ColFirst),$A53,INDEX(LH_Data,0,LH_ColSur),$B53,INDEX(LH_Data,0,LH_ColCat),BonusCat)))</f>
        <v/>
      </c>
      <c r="BB53" s="13" t="str">
        <f aca="false">IF(AE53=0,"",IF(OR(NOT(LH_Ready),BA53=0),0,SUMPRODUCT(MAX((INDEX(LH_Data,0,LH_ColFirst)=$A53)*(INDEX(LH_Data,0,LH_ColSur)=$B53)*(INDEX(LH_Data,0,LH_ColCat)=BonusCat)*ROW(LH_Data)))))</f>
        <v/>
      </c>
      <c r="BC53" s="0" t="str">
        <f aca="false">IF(LEN($A53&amp;$B53)=0,"",$A53&amp;" "&amp;$B53)</f>
        <v/>
      </c>
    </row>
    <row r="54" customFormat="false" ht="15" hidden="false" customHeight="false" outlineLevel="0" collapsed="false">
      <c r="A54" s="9"/>
      <c r="B54" s="9"/>
      <c r="C54" s="9"/>
      <c r="D54" s="10"/>
      <c r="E54" s="11" t="str">
        <f aca="false">IF(OR(AE54=0,$D54=""),"",DATE(YEAR(AsOfDate)+IF(DATE(YEAR(AsOfDate),MONTH($D54),DAY($D54))&lt;=AsOfDate,1,0),MONTH($D54),DAY($D54)))</f>
        <v/>
      </c>
      <c r="F54" s="10"/>
      <c r="G54" s="10"/>
      <c r="H54" s="10"/>
      <c r="I54" s="10"/>
      <c r="J54" s="10"/>
      <c r="K54" s="11" t="str">
        <f aca="false">IF(AE54=0,"",DATE(YEAR(AsOfDate)+IF(DATE(YEAR(AsOfDate),MONTH(AF54),DAY(AF54))&lt;=AsOfDate,1,0),MONTH(AF54),DAY(AF54)))</f>
        <v/>
      </c>
      <c r="L54" s="12" t="str">
        <f aca="false">IF(AE54=0,"",ROUND((AsOfDate-AF54)/365.25,1))</f>
        <v/>
      </c>
      <c r="M54" s="13" t="str">
        <f aca="false">IF(AE54=0,"",IF(AsOfDate&lt;AF54,"-",DATEDIF(AF54,AsOfDate,"y")&amp;"y "&amp;DATEDIF(AF54,AsOfDate,"ym")&amp;"m "&amp;DATEDIF(AF54,AsOfDate,"md")&amp;"d"))</f>
        <v/>
      </c>
      <c r="N54" s="14" t="str">
        <f aca="false">IF(AE54=0,"",O54*HoursPerDay)</f>
        <v/>
      </c>
      <c r="O54" s="14" t="str">
        <f aca="false">IF(AE54=0,"",AX54)</f>
        <v/>
      </c>
      <c r="P54" s="15"/>
      <c r="Q54" s="13"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13"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1" t="str">
        <f aca="false">IF(AE54=0,"",IF(AQ54="None","",EDATE(AF54,AZ54)))</f>
        <v/>
      </c>
      <c r="T54" s="14" t="str">
        <f aca="false">IF(AE54=0,"",IF(NOT(LH_Ready),"",IF(AF54&gt;PFYDate,0,IF(LH_ColPeriod=0,W54-U54+V54,SUMIFS(INDEX(LH_Data,0,LH_ColAcc),INDEX(LH_Data,0,LH_ColFirst),$A54,INDEX(LH_Data,0,LH_ColSur),$B54,INDEX(LH_Data,0,LH_ColCat),BonusCat,INDEX(LH_Data,0,LH_ColPeriod),LH_OpenLabel)*UnitFactor))))</f>
        <v/>
      </c>
      <c r="U54" s="14" t="str">
        <f aca="false">IF(AE54=0,"",IF(NOT(LH_Ready),"",SUMIFS(INDEX(LH_Data,0,LH_ColAcc),INDEX(LH_Data,0,LH_ColFirst),$A54,INDEX(LH_Data,0,LH_ColSur),$B54,INDEX(LH_Data,0,LH_ColCat),BonusCat,INDEX(LH_Data,0,LH_ColStart),"&gt;="&amp;AF54)*UnitFactor))</f>
        <v/>
      </c>
      <c r="V54" s="14" t="str">
        <f aca="false">IF(AE54=0,"",IF(NOT(LH_Ready),"",SUMIFS(INDEX(LH_Data,0,LH_ColTaken),INDEX(LH_Data,0,LH_ColFirst),$A54,INDEX(LH_Data,0,LH_ColSur),$B54,INDEX(LH_Data,0,LH_ColCat),BonusCat,INDEX(LH_Data,0,LH_ColStart),"&gt;="&amp;AF54)*UnitFactor))</f>
        <v/>
      </c>
      <c r="W54" s="14" t="str">
        <f aca="false">IF(AE54=0,"",IF(NOT(LH_Ready),"",IF(BB54=0,0,INDEX(INDEX(LH_Data,0,LH_ColClose),BB54-1)*UnitFactor)))</f>
        <v/>
      </c>
      <c r="X54" s="14" t="str">
        <f aca="false">IF(AE54=0,"",(AX54-AY54)*HoursPerDay)</f>
        <v/>
      </c>
      <c r="Y54" s="14" t="str">
        <f aca="false">IF(AE54=0,"",IF(NOT(LH_Ready),"",IF(BA54=0,N54,IF(PFYDate&lt;$F54,N54-N(T54)-N(U54),X54-N(U54)))))</f>
        <v/>
      </c>
      <c r="Z54" s="13" t="str">
        <f aca="false">IF(OR(AE54=0,Y54=""),"",IF(Y54&gt;0,"Yes","No"))</f>
        <v/>
      </c>
      <c r="AA54" s="13"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 hrs more than policy since commencement",IF(N(W54)&gt;O54*HoursPerDay+0.01,"CHECK - EH balance "&amp;ROUND(W54-O54*HoursPerDay,2)&amp;" hrs more than policy entitlement",IF(O54&gt;0,"OK - nothing to add",IF(AQ54="None",R54,"Not yet - first day on "&amp;TEXT(S54,"dd/mm/yyyy")))))))))</f>
        <v/>
      </c>
      <c r="AB54" s="14" t="str">
        <f aca="false">IF(OR(AE54=0,T54=""),"",AY54*HoursPerDay-T54)</f>
        <v/>
      </c>
      <c r="AC54" s="13" t="str">
        <f aca="false">IF(AE54=0,"",BA54)</f>
        <v/>
      </c>
      <c r="AD54" s="13"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3" t="n">
        <f aca="false">IF(OR(LEN($A54&amp;$B54)=0,$F54=""),0,1)</f>
        <v>0</v>
      </c>
      <c r="AF54" s="11" t="str">
        <f aca="false">IF(AE54=0,"",IF($J54&lt;&gt;"",$J54,IF(OR(CasualCounts="Yes",COUNT($G54:$I54)=0,COUNT($G54:$H54)=0),$F54,MIN($G54:$H54))))</f>
        <v/>
      </c>
      <c r="AG54" s="13" t="str">
        <f aca="false">IF(AE54=0,"",COUNT($G54:$I54))</f>
        <v/>
      </c>
      <c r="AH54" s="11" t="str">
        <f aca="false">IF(AE54=0,"",IFERROR(SMALL($G54:$I54,1),""))</f>
        <v/>
      </c>
      <c r="AI54" s="11" t="str">
        <f aca="false">IF(AE54=0,"",IFERROR(SMALL($G54:$I54,2),""))</f>
        <v/>
      </c>
      <c r="AJ54" s="11" t="str">
        <f aca="false">IF(AE54=0,"",IFERROR(SMALL($G54:$I54,3),""))</f>
        <v/>
      </c>
      <c r="AK54" s="13" t="str">
        <f aca="false">IF(AE54=0,"",IF(AH54="","",IF(AH54=$G54,"Part-Time",IF(AH54=$H54,"Full-Time","Casual"))))</f>
        <v/>
      </c>
      <c r="AL54" s="13" t="str">
        <f aca="false">IF(AE54=0,"",IF(AI54="","",IF(AI54=$G54,"Part-Time",IF(AI54=$H54,"Full-Time","Casual"))))</f>
        <v/>
      </c>
      <c r="AM54" s="13" t="str">
        <f aca="false">IF(AE54=0,"",IF(AJ54="","",IF(AJ54=$G54,"Part-Time",IF(AJ54=$H54,"Full-Time","Casual"))))</f>
        <v/>
      </c>
      <c r="AN54" s="13"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3" t="str">
        <f aca="false">IF(AE54=0,"",IF(AG54&lt;2,"",IF(OR(ISNUMBER(SEARCH("full",AL54)),UPPER(TRIM(AL54))="FT",UPPER(TRIM(AL54))="FTE"),"FT",IF(AND(OR(ISNUMBER(SEARCH("part",AL54)),UPPER(TRIM(AL54))="PT",UPPER(TRIM(AL54))="PTE"),OR($P54="",N($P54)&gt;=PT_MinHours)),"PT","None"))))</f>
        <v/>
      </c>
      <c r="AP54" s="13" t="str">
        <f aca="false">IF(AE54=0,"",IF(AG54&lt;3,"",IF(OR(ISNUMBER(SEARCH("full",AM54)),UPPER(TRIM(AM54))="FT",UPPER(TRIM(AM54))="FTE"),"FT",IF(AND(OR(ISNUMBER(SEARCH("part",AM54)),UPPER(TRIM(AM54))="PT",UPPER(TRIM(AM54))="PTE"),OR($P54="",N($P54)&gt;=PT_MinHours)),"PT","None"))))</f>
        <v/>
      </c>
      <c r="AQ54" s="13" t="str">
        <f aca="false">IF(AE54=0,"",IF(AND(AG54&gt;=3,AJ54&lt;=AsOfDate),AP54,IF(AND(AG54&gt;=2,AI54&lt;=AsOfDate),AO54,AN54)))</f>
        <v/>
      </c>
      <c r="AR54" s="13" t="str">
        <f aca="false">IF(AE54=0,"",IF(AsOfDate&lt;AF54,-1,12*(YEAR(AsOfDate)-YEAR(AF54))+MONTH(AsOfDate)-MONTH(AF54)-IF(DAY(AsOfDate)&lt;MIN(DAY(AF54),DAY(EOMONTH(AsOfDate,0))),1,0)))</f>
        <v/>
      </c>
      <c r="AS54" s="13" t="str">
        <f aca="false">IF(AE54=0,"",IF(OR(AG54&lt;2,AI54&gt;AsOfDate),AR54,IF((AI54-1)&lt;AF54,-1,12*(YEAR((AI54-1))-YEAR(AF54))+MONTH((AI54-1))-MONTH(AF54)-IF(DAY((AI54-1))&lt;MIN(DAY(AF54),DAY(EOMONTH((AI54-1),0))),1,0))))</f>
        <v/>
      </c>
      <c r="AT54" s="13" t="str">
        <f aca="false">IF(AE54=0,"",IF(OR(AG54&lt;3,AJ54&gt;AsOfDate),AR54,IF((AJ54-1)&lt;AF54,-1,12*(YEAR((AJ54-1))-YEAR(AF54))+MONTH((AJ54-1))-MONTH(AF54)-IF(DAY((AJ54-1))&lt;MIN(DAY(AF54),DAY(EOMONTH((AJ54-1),0))),1,0))))</f>
        <v/>
      </c>
      <c r="AU54" s="13" t="str">
        <f aca="false">IF(AE54=0,"",IF(PFYDate&lt;AF54,-1,12*(YEAR(PFYDate)-YEAR(AF54))+MONTH(PFYDate)-MONTH(AF54)-IF(DAY(PFYDate)&lt;MIN(DAY(AF54),DAY(EOMONTH(PFYDate,0))),1,0)))</f>
        <v/>
      </c>
      <c r="AV54" s="13" t="str">
        <f aca="false">IF(AE54=0,"",IF(OR(AG54&lt;2,AI54&gt;PFYDate),AU54,IF((AI54-1)&lt;AF54,-1,12*(YEAR((AI54-1))-YEAR(AF54))+MONTH((AI54-1))-MONTH(AF54)-IF(DAY((AI54-1))&lt;MIN(DAY(AF54),DAY(EOMONTH((AI54-1),0))),1,0))))</f>
        <v/>
      </c>
      <c r="AW54" s="13" t="str">
        <f aca="false">IF(AE54=0,"",IF(OR(AG54&lt;3,AJ54&gt;PFYDate),AU54,IF((AJ54-1)&lt;AF54,-1,12*(YEAR((AJ54-1))-YEAR(AF54))+MONTH((AJ54-1))-MONTH(AF54)-IF(DAY((AJ54-1))&lt;MIN(DAY(AF54),DAY(EOMONTH((AJ54-1),0))),1,0))))</f>
        <v/>
      </c>
      <c r="AX54" s="13"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3"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3" t="str">
        <f aca="false">IF(AE54=0,"",IF(AQ54="FT",IF(AR54&lt;FT_First,FT_First,IF(AR54&lt;FT_Y5,MIN(FT_Y5,FT_First+FT_Int1*(INT((AR54-FT_First)/FT_Int1)+1)),FT_Y5+12*INT((AR54-FT_Y5)/12)+FT_Int2*(INT(MOD(AR54-FT_Y5,12)/FT_Int2)+1))),IF(AQ54="PT",IF(AR54&lt;PT_First,PT_First,PT_First+PT_Int*(INT((AR54-PT_First)/PT_Int)+1)),"")))</f>
        <v/>
      </c>
      <c r="BA54" s="13" t="str">
        <f aca="false">IF(AE54=0,"",IF(NOT(LH_Ready),0,COUNTIFS(INDEX(LH_Data,0,LH_ColFirst),$A54,INDEX(LH_Data,0,LH_ColSur),$B54,INDEX(LH_Data,0,LH_ColCat),BonusCat)))</f>
        <v/>
      </c>
      <c r="BB54" s="13" t="str">
        <f aca="false">IF(AE54=0,"",IF(OR(NOT(LH_Ready),BA54=0),0,SUMPRODUCT(MAX((INDEX(LH_Data,0,LH_ColFirst)=$A54)*(INDEX(LH_Data,0,LH_ColSur)=$B54)*(INDEX(LH_Data,0,LH_ColCat)=BonusCat)*ROW(LH_Data)))))</f>
        <v/>
      </c>
      <c r="BC54" s="0" t="str">
        <f aca="false">IF(LEN($A54&amp;$B54)=0,"",$A54&amp;" "&amp;$B54)</f>
        <v/>
      </c>
    </row>
    <row r="55" customFormat="false" ht="15" hidden="false" customHeight="false" outlineLevel="0" collapsed="false">
      <c r="A55" s="9"/>
      <c r="B55" s="9"/>
      <c r="C55" s="9"/>
      <c r="D55" s="10"/>
      <c r="E55" s="11" t="str">
        <f aca="false">IF(OR(AE55=0,$D55=""),"",DATE(YEAR(AsOfDate)+IF(DATE(YEAR(AsOfDate),MONTH($D55),DAY($D55))&lt;=AsOfDate,1,0),MONTH($D55),DAY($D55)))</f>
        <v/>
      </c>
      <c r="F55" s="10"/>
      <c r="G55" s="10"/>
      <c r="H55" s="10"/>
      <c r="I55" s="10"/>
      <c r="J55" s="10"/>
      <c r="K55" s="11" t="str">
        <f aca="false">IF(AE55=0,"",DATE(YEAR(AsOfDate)+IF(DATE(YEAR(AsOfDate),MONTH(AF55),DAY(AF55))&lt;=AsOfDate,1,0),MONTH(AF55),DAY(AF55)))</f>
        <v/>
      </c>
      <c r="L55" s="12" t="str">
        <f aca="false">IF(AE55=0,"",ROUND((AsOfDate-AF55)/365.25,1))</f>
        <v/>
      </c>
      <c r="M55" s="13" t="str">
        <f aca="false">IF(AE55=0,"",IF(AsOfDate&lt;AF55,"-",DATEDIF(AF55,AsOfDate,"y")&amp;"y "&amp;DATEDIF(AF55,AsOfDate,"ym")&amp;"m "&amp;DATEDIF(AF55,AsOfDate,"md")&amp;"d"))</f>
        <v/>
      </c>
      <c r="N55" s="14" t="str">
        <f aca="false">IF(AE55=0,"",O55*HoursPerDay)</f>
        <v/>
      </c>
      <c r="O55" s="14" t="str">
        <f aca="false">IF(AE55=0,"",AX55)</f>
        <v/>
      </c>
      <c r="P55" s="15"/>
      <c r="Q55" s="13"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13"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1" t="str">
        <f aca="false">IF(AE55=0,"",IF(AQ55="None","",EDATE(AF55,AZ55)))</f>
        <v/>
      </c>
      <c r="T55" s="14" t="str">
        <f aca="false">IF(AE55=0,"",IF(NOT(LH_Ready),"",IF(AF55&gt;PFYDate,0,IF(LH_ColPeriod=0,W55-U55+V55,SUMIFS(INDEX(LH_Data,0,LH_ColAcc),INDEX(LH_Data,0,LH_ColFirst),$A55,INDEX(LH_Data,0,LH_ColSur),$B55,INDEX(LH_Data,0,LH_ColCat),BonusCat,INDEX(LH_Data,0,LH_ColPeriod),LH_OpenLabel)*UnitFactor))))</f>
        <v/>
      </c>
      <c r="U55" s="14" t="str">
        <f aca="false">IF(AE55=0,"",IF(NOT(LH_Ready),"",SUMIFS(INDEX(LH_Data,0,LH_ColAcc),INDEX(LH_Data,0,LH_ColFirst),$A55,INDEX(LH_Data,0,LH_ColSur),$B55,INDEX(LH_Data,0,LH_ColCat),BonusCat,INDEX(LH_Data,0,LH_ColStart),"&gt;="&amp;AF55)*UnitFactor))</f>
        <v/>
      </c>
      <c r="V55" s="14" t="str">
        <f aca="false">IF(AE55=0,"",IF(NOT(LH_Ready),"",SUMIFS(INDEX(LH_Data,0,LH_ColTaken),INDEX(LH_Data,0,LH_ColFirst),$A55,INDEX(LH_Data,0,LH_ColSur),$B55,INDEX(LH_Data,0,LH_ColCat),BonusCat,INDEX(LH_Data,0,LH_ColStart),"&gt;="&amp;AF55)*UnitFactor))</f>
        <v/>
      </c>
      <c r="W55" s="14" t="str">
        <f aca="false">IF(AE55=0,"",IF(NOT(LH_Ready),"",IF(BB55=0,0,INDEX(INDEX(LH_Data,0,LH_ColClose),BB55-1)*UnitFactor)))</f>
        <v/>
      </c>
      <c r="X55" s="14" t="str">
        <f aca="false">IF(AE55=0,"",(AX55-AY55)*HoursPerDay)</f>
        <v/>
      </c>
      <c r="Y55" s="14" t="str">
        <f aca="false">IF(AE55=0,"",IF(NOT(LH_Ready),"",IF(BA55=0,N55,IF(PFYDate&lt;$F55,N55-N(T55)-N(U55),X55-N(U55)))))</f>
        <v/>
      </c>
      <c r="Z55" s="13" t="str">
        <f aca="false">IF(OR(AE55=0,Y55=""),"",IF(Y55&gt;0,"Yes","No"))</f>
        <v/>
      </c>
      <c r="AA55" s="13"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 hrs more than policy since commencement",IF(N(W55)&gt;O55*HoursPerDay+0.01,"CHECK - EH balance "&amp;ROUND(W55-O55*HoursPerDay,2)&amp;" hrs more than policy entitlement",IF(O55&gt;0,"OK - nothing to add",IF(AQ55="None",R55,"Not yet - first day on "&amp;TEXT(S55,"dd/mm/yyyy")))))))))</f>
        <v/>
      </c>
      <c r="AB55" s="14" t="str">
        <f aca="false">IF(OR(AE55=0,T55=""),"",AY55*HoursPerDay-T55)</f>
        <v/>
      </c>
      <c r="AC55" s="13" t="str">
        <f aca="false">IF(AE55=0,"",BA55)</f>
        <v/>
      </c>
      <c r="AD55" s="13"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3" t="n">
        <f aca="false">IF(OR(LEN($A55&amp;$B55)=0,$F55=""),0,1)</f>
        <v>0</v>
      </c>
      <c r="AF55" s="11" t="str">
        <f aca="false">IF(AE55=0,"",IF($J55&lt;&gt;"",$J55,IF(OR(CasualCounts="Yes",COUNT($G55:$I55)=0,COUNT($G55:$H55)=0),$F55,MIN($G55:$H55))))</f>
        <v/>
      </c>
      <c r="AG55" s="13" t="str">
        <f aca="false">IF(AE55=0,"",COUNT($G55:$I55))</f>
        <v/>
      </c>
      <c r="AH55" s="11" t="str">
        <f aca="false">IF(AE55=0,"",IFERROR(SMALL($G55:$I55,1),""))</f>
        <v/>
      </c>
      <c r="AI55" s="11" t="str">
        <f aca="false">IF(AE55=0,"",IFERROR(SMALL($G55:$I55,2),""))</f>
        <v/>
      </c>
      <c r="AJ55" s="11" t="str">
        <f aca="false">IF(AE55=0,"",IFERROR(SMALL($G55:$I55,3),""))</f>
        <v/>
      </c>
      <c r="AK55" s="13" t="str">
        <f aca="false">IF(AE55=0,"",IF(AH55="","",IF(AH55=$G55,"Part-Time",IF(AH55=$H55,"Full-Time","Casual"))))</f>
        <v/>
      </c>
      <c r="AL55" s="13" t="str">
        <f aca="false">IF(AE55=0,"",IF(AI55="","",IF(AI55=$G55,"Part-Time",IF(AI55=$H55,"Full-Time","Casual"))))</f>
        <v/>
      </c>
      <c r="AM55" s="13" t="str">
        <f aca="false">IF(AE55=0,"",IF(AJ55="","",IF(AJ55=$G55,"Part-Time",IF(AJ55=$H55,"Full-Time","Casual"))))</f>
        <v/>
      </c>
      <c r="AN55" s="13"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3" t="str">
        <f aca="false">IF(AE55=0,"",IF(AG55&lt;2,"",IF(OR(ISNUMBER(SEARCH("full",AL55)),UPPER(TRIM(AL55))="FT",UPPER(TRIM(AL55))="FTE"),"FT",IF(AND(OR(ISNUMBER(SEARCH("part",AL55)),UPPER(TRIM(AL55))="PT",UPPER(TRIM(AL55))="PTE"),OR($P55="",N($P55)&gt;=PT_MinHours)),"PT","None"))))</f>
        <v/>
      </c>
      <c r="AP55" s="13" t="str">
        <f aca="false">IF(AE55=0,"",IF(AG55&lt;3,"",IF(OR(ISNUMBER(SEARCH("full",AM55)),UPPER(TRIM(AM55))="FT",UPPER(TRIM(AM55))="FTE"),"FT",IF(AND(OR(ISNUMBER(SEARCH("part",AM55)),UPPER(TRIM(AM55))="PT",UPPER(TRIM(AM55))="PTE"),OR($P55="",N($P55)&gt;=PT_MinHours)),"PT","None"))))</f>
        <v/>
      </c>
      <c r="AQ55" s="13" t="str">
        <f aca="false">IF(AE55=0,"",IF(AND(AG55&gt;=3,AJ55&lt;=AsOfDate),AP55,IF(AND(AG55&gt;=2,AI55&lt;=AsOfDate),AO55,AN55)))</f>
        <v/>
      </c>
      <c r="AR55" s="13" t="str">
        <f aca="false">IF(AE55=0,"",IF(AsOfDate&lt;AF55,-1,12*(YEAR(AsOfDate)-YEAR(AF55))+MONTH(AsOfDate)-MONTH(AF55)-IF(DAY(AsOfDate)&lt;MIN(DAY(AF55),DAY(EOMONTH(AsOfDate,0))),1,0)))</f>
        <v/>
      </c>
      <c r="AS55" s="13" t="str">
        <f aca="false">IF(AE55=0,"",IF(OR(AG55&lt;2,AI55&gt;AsOfDate),AR55,IF((AI55-1)&lt;AF55,-1,12*(YEAR((AI55-1))-YEAR(AF55))+MONTH((AI55-1))-MONTH(AF55)-IF(DAY((AI55-1))&lt;MIN(DAY(AF55),DAY(EOMONTH((AI55-1),0))),1,0))))</f>
        <v/>
      </c>
      <c r="AT55" s="13" t="str">
        <f aca="false">IF(AE55=0,"",IF(OR(AG55&lt;3,AJ55&gt;AsOfDate),AR55,IF((AJ55-1)&lt;AF55,-1,12*(YEAR((AJ55-1))-YEAR(AF55))+MONTH((AJ55-1))-MONTH(AF55)-IF(DAY((AJ55-1))&lt;MIN(DAY(AF55),DAY(EOMONTH((AJ55-1),0))),1,0))))</f>
        <v/>
      </c>
      <c r="AU55" s="13" t="str">
        <f aca="false">IF(AE55=0,"",IF(PFYDate&lt;AF55,-1,12*(YEAR(PFYDate)-YEAR(AF55))+MONTH(PFYDate)-MONTH(AF55)-IF(DAY(PFYDate)&lt;MIN(DAY(AF55),DAY(EOMONTH(PFYDate,0))),1,0)))</f>
        <v/>
      </c>
      <c r="AV55" s="13" t="str">
        <f aca="false">IF(AE55=0,"",IF(OR(AG55&lt;2,AI55&gt;PFYDate),AU55,IF((AI55-1)&lt;AF55,-1,12*(YEAR((AI55-1))-YEAR(AF55))+MONTH((AI55-1))-MONTH(AF55)-IF(DAY((AI55-1))&lt;MIN(DAY(AF55),DAY(EOMONTH((AI55-1),0))),1,0))))</f>
        <v/>
      </c>
      <c r="AW55" s="13" t="str">
        <f aca="false">IF(AE55=0,"",IF(OR(AG55&lt;3,AJ55&gt;PFYDate),AU55,IF((AJ55-1)&lt;AF55,-1,12*(YEAR((AJ55-1))-YEAR(AF55))+MONTH((AJ55-1))-MONTH(AF55)-IF(DAY((AJ55-1))&lt;MIN(DAY(AF55),DAY(EOMONTH((AJ55-1),0))),1,0))))</f>
        <v/>
      </c>
      <c r="AX55" s="13"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3"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3" t="str">
        <f aca="false">IF(AE55=0,"",IF(AQ55="FT",IF(AR55&lt;FT_First,FT_First,IF(AR55&lt;FT_Y5,MIN(FT_Y5,FT_First+FT_Int1*(INT((AR55-FT_First)/FT_Int1)+1)),FT_Y5+12*INT((AR55-FT_Y5)/12)+FT_Int2*(INT(MOD(AR55-FT_Y5,12)/FT_Int2)+1))),IF(AQ55="PT",IF(AR55&lt;PT_First,PT_First,PT_First+PT_Int*(INT((AR55-PT_First)/PT_Int)+1)),"")))</f>
        <v/>
      </c>
      <c r="BA55" s="13" t="str">
        <f aca="false">IF(AE55=0,"",IF(NOT(LH_Ready),0,COUNTIFS(INDEX(LH_Data,0,LH_ColFirst),$A55,INDEX(LH_Data,0,LH_ColSur),$B55,INDEX(LH_Data,0,LH_ColCat),BonusCat)))</f>
        <v/>
      </c>
      <c r="BB55" s="13" t="str">
        <f aca="false">IF(AE55=0,"",IF(OR(NOT(LH_Ready),BA55=0),0,SUMPRODUCT(MAX((INDEX(LH_Data,0,LH_ColFirst)=$A55)*(INDEX(LH_Data,0,LH_ColSur)=$B55)*(INDEX(LH_Data,0,LH_ColCat)=BonusCat)*ROW(LH_Data)))))</f>
        <v/>
      </c>
      <c r="BC55" s="0" t="str">
        <f aca="false">IF(LEN($A55&amp;$B55)=0,"",$A55&amp;" "&amp;$B55)</f>
        <v/>
      </c>
    </row>
    <row r="56" customFormat="false" ht="15" hidden="false" customHeight="false" outlineLevel="0" collapsed="false">
      <c r="A56" s="9"/>
      <c r="B56" s="9"/>
      <c r="C56" s="9"/>
      <c r="D56" s="10"/>
      <c r="E56" s="11" t="str">
        <f aca="false">IF(OR(AE56=0,$D56=""),"",DATE(YEAR(AsOfDate)+IF(DATE(YEAR(AsOfDate),MONTH($D56),DAY($D56))&lt;=AsOfDate,1,0),MONTH($D56),DAY($D56)))</f>
        <v/>
      </c>
      <c r="F56" s="10"/>
      <c r="G56" s="10"/>
      <c r="H56" s="10"/>
      <c r="I56" s="10"/>
      <c r="J56" s="10"/>
      <c r="K56" s="11" t="str">
        <f aca="false">IF(AE56=0,"",DATE(YEAR(AsOfDate)+IF(DATE(YEAR(AsOfDate),MONTH(AF56),DAY(AF56))&lt;=AsOfDate,1,0),MONTH(AF56),DAY(AF56)))</f>
        <v/>
      </c>
      <c r="L56" s="12" t="str">
        <f aca="false">IF(AE56=0,"",ROUND((AsOfDate-AF56)/365.25,1))</f>
        <v/>
      </c>
      <c r="M56" s="13" t="str">
        <f aca="false">IF(AE56=0,"",IF(AsOfDate&lt;AF56,"-",DATEDIF(AF56,AsOfDate,"y")&amp;"y "&amp;DATEDIF(AF56,AsOfDate,"ym")&amp;"m "&amp;DATEDIF(AF56,AsOfDate,"md")&amp;"d"))</f>
        <v/>
      </c>
      <c r="N56" s="14" t="str">
        <f aca="false">IF(AE56=0,"",O56*HoursPerDay)</f>
        <v/>
      </c>
      <c r="O56" s="14" t="str">
        <f aca="false">IF(AE56=0,"",AX56)</f>
        <v/>
      </c>
      <c r="P56" s="15"/>
      <c r="Q56" s="13"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13"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1" t="str">
        <f aca="false">IF(AE56=0,"",IF(AQ56="None","",EDATE(AF56,AZ56)))</f>
        <v/>
      </c>
      <c r="T56" s="14" t="str">
        <f aca="false">IF(AE56=0,"",IF(NOT(LH_Ready),"",IF(AF56&gt;PFYDate,0,IF(LH_ColPeriod=0,W56-U56+V56,SUMIFS(INDEX(LH_Data,0,LH_ColAcc),INDEX(LH_Data,0,LH_ColFirst),$A56,INDEX(LH_Data,0,LH_ColSur),$B56,INDEX(LH_Data,0,LH_ColCat),BonusCat,INDEX(LH_Data,0,LH_ColPeriod),LH_OpenLabel)*UnitFactor))))</f>
        <v/>
      </c>
      <c r="U56" s="14" t="str">
        <f aca="false">IF(AE56=0,"",IF(NOT(LH_Ready),"",SUMIFS(INDEX(LH_Data,0,LH_ColAcc),INDEX(LH_Data,0,LH_ColFirst),$A56,INDEX(LH_Data,0,LH_ColSur),$B56,INDEX(LH_Data,0,LH_ColCat),BonusCat,INDEX(LH_Data,0,LH_ColStart),"&gt;="&amp;AF56)*UnitFactor))</f>
        <v/>
      </c>
      <c r="V56" s="14" t="str">
        <f aca="false">IF(AE56=0,"",IF(NOT(LH_Ready),"",SUMIFS(INDEX(LH_Data,0,LH_ColTaken),INDEX(LH_Data,0,LH_ColFirst),$A56,INDEX(LH_Data,0,LH_ColSur),$B56,INDEX(LH_Data,0,LH_ColCat),BonusCat,INDEX(LH_Data,0,LH_ColStart),"&gt;="&amp;AF56)*UnitFactor))</f>
        <v/>
      </c>
      <c r="W56" s="14" t="str">
        <f aca="false">IF(AE56=0,"",IF(NOT(LH_Ready),"",IF(BB56=0,0,INDEX(INDEX(LH_Data,0,LH_ColClose),BB56-1)*UnitFactor)))</f>
        <v/>
      </c>
      <c r="X56" s="14" t="str">
        <f aca="false">IF(AE56=0,"",(AX56-AY56)*HoursPerDay)</f>
        <v/>
      </c>
      <c r="Y56" s="14" t="str">
        <f aca="false">IF(AE56=0,"",IF(NOT(LH_Ready),"",IF(BA56=0,N56,IF(PFYDate&lt;$F56,N56-N(T56)-N(U56),X56-N(U56)))))</f>
        <v/>
      </c>
      <c r="Z56" s="13" t="str">
        <f aca="false">IF(OR(AE56=0,Y56=""),"",IF(Y56&gt;0,"Yes","No"))</f>
        <v/>
      </c>
      <c r="AA56" s="13"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 hrs more than policy since commencement",IF(N(W56)&gt;O56*HoursPerDay+0.01,"CHECK - EH balance "&amp;ROUND(W56-O56*HoursPerDay,2)&amp;" hrs more than policy entitlement",IF(O56&gt;0,"OK - nothing to add",IF(AQ56="None",R56,"Not yet - first day on "&amp;TEXT(S56,"dd/mm/yyyy")))))))))</f>
        <v/>
      </c>
      <c r="AB56" s="14" t="str">
        <f aca="false">IF(OR(AE56=0,T56=""),"",AY56*HoursPerDay-T56)</f>
        <v/>
      </c>
      <c r="AC56" s="13" t="str">
        <f aca="false">IF(AE56=0,"",BA56)</f>
        <v/>
      </c>
      <c r="AD56" s="13"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3" t="n">
        <f aca="false">IF(OR(LEN($A56&amp;$B56)=0,$F56=""),0,1)</f>
        <v>0</v>
      </c>
      <c r="AF56" s="11" t="str">
        <f aca="false">IF(AE56=0,"",IF($J56&lt;&gt;"",$J56,IF(OR(CasualCounts="Yes",COUNT($G56:$I56)=0,COUNT($G56:$H56)=0),$F56,MIN($G56:$H56))))</f>
        <v/>
      </c>
      <c r="AG56" s="13" t="str">
        <f aca="false">IF(AE56=0,"",COUNT($G56:$I56))</f>
        <v/>
      </c>
      <c r="AH56" s="11" t="str">
        <f aca="false">IF(AE56=0,"",IFERROR(SMALL($G56:$I56,1),""))</f>
        <v/>
      </c>
      <c r="AI56" s="11" t="str">
        <f aca="false">IF(AE56=0,"",IFERROR(SMALL($G56:$I56,2),""))</f>
        <v/>
      </c>
      <c r="AJ56" s="11" t="str">
        <f aca="false">IF(AE56=0,"",IFERROR(SMALL($G56:$I56,3),""))</f>
        <v/>
      </c>
      <c r="AK56" s="13" t="str">
        <f aca="false">IF(AE56=0,"",IF(AH56="","",IF(AH56=$G56,"Part-Time",IF(AH56=$H56,"Full-Time","Casual"))))</f>
        <v/>
      </c>
      <c r="AL56" s="13" t="str">
        <f aca="false">IF(AE56=0,"",IF(AI56="","",IF(AI56=$G56,"Part-Time",IF(AI56=$H56,"Full-Time","Casual"))))</f>
        <v/>
      </c>
      <c r="AM56" s="13" t="str">
        <f aca="false">IF(AE56=0,"",IF(AJ56="","",IF(AJ56=$G56,"Part-Time",IF(AJ56=$H56,"Full-Time","Casual"))))</f>
        <v/>
      </c>
      <c r="AN56" s="13"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3" t="str">
        <f aca="false">IF(AE56=0,"",IF(AG56&lt;2,"",IF(OR(ISNUMBER(SEARCH("full",AL56)),UPPER(TRIM(AL56))="FT",UPPER(TRIM(AL56))="FTE"),"FT",IF(AND(OR(ISNUMBER(SEARCH("part",AL56)),UPPER(TRIM(AL56))="PT",UPPER(TRIM(AL56))="PTE"),OR($P56="",N($P56)&gt;=PT_MinHours)),"PT","None"))))</f>
        <v/>
      </c>
      <c r="AP56" s="13" t="str">
        <f aca="false">IF(AE56=0,"",IF(AG56&lt;3,"",IF(OR(ISNUMBER(SEARCH("full",AM56)),UPPER(TRIM(AM56))="FT",UPPER(TRIM(AM56))="FTE"),"FT",IF(AND(OR(ISNUMBER(SEARCH("part",AM56)),UPPER(TRIM(AM56))="PT",UPPER(TRIM(AM56))="PTE"),OR($P56="",N($P56)&gt;=PT_MinHours)),"PT","None"))))</f>
        <v/>
      </c>
      <c r="AQ56" s="13" t="str">
        <f aca="false">IF(AE56=0,"",IF(AND(AG56&gt;=3,AJ56&lt;=AsOfDate),AP56,IF(AND(AG56&gt;=2,AI56&lt;=AsOfDate),AO56,AN56)))</f>
        <v/>
      </c>
      <c r="AR56" s="13" t="str">
        <f aca="false">IF(AE56=0,"",IF(AsOfDate&lt;AF56,-1,12*(YEAR(AsOfDate)-YEAR(AF56))+MONTH(AsOfDate)-MONTH(AF56)-IF(DAY(AsOfDate)&lt;MIN(DAY(AF56),DAY(EOMONTH(AsOfDate,0))),1,0)))</f>
        <v/>
      </c>
      <c r="AS56" s="13" t="str">
        <f aca="false">IF(AE56=0,"",IF(OR(AG56&lt;2,AI56&gt;AsOfDate),AR56,IF((AI56-1)&lt;AF56,-1,12*(YEAR((AI56-1))-YEAR(AF56))+MONTH((AI56-1))-MONTH(AF56)-IF(DAY((AI56-1))&lt;MIN(DAY(AF56),DAY(EOMONTH((AI56-1),0))),1,0))))</f>
        <v/>
      </c>
      <c r="AT56" s="13" t="str">
        <f aca="false">IF(AE56=0,"",IF(OR(AG56&lt;3,AJ56&gt;AsOfDate),AR56,IF((AJ56-1)&lt;AF56,-1,12*(YEAR((AJ56-1))-YEAR(AF56))+MONTH((AJ56-1))-MONTH(AF56)-IF(DAY((AJ56-1))&lt;MIN(DAY(AF56),DAY(EOMONTH((AJ56-1),0))),1,0))))</f>
        <v/>
      </c>
      <c r="AU56" s="13" t="str">
        <f aca="false">IF(AE56=0,"",IF(PFYDate&lt;AF56,-1,12*(YEAR(PFYDate)-YEAR(AF56))+MONTH(PFYDate)-MONTH(AF56)-IF(DAY(PFYDate)&lt;MIN(DAY(AF56),DAY(EOMONTH(PFYDate,0))),1,0)))</f>
        <v/>
      </c>
      <c r="AV56" s="13" t="str">
        <f aca="false">IF(AE56=0,"",IF(OR(AG56&lt;2,AI56&gt;PFYDate),AU56,IF((AI56-1)&lt;AF56,-1,12*(YEAR((AI56-1))-YEAR(AF56))+MONTH((AI56-1))-MONTH(AF56)-IF(DAY((AI56-1))&lt;MIN(DAY(AF56),DAY(EOMONTH((AI56-1),0))),1,0))))</f>
        <v/>
      </c>
      <c r="AW56" s="13" t="str">
        <f aca="false">IF(AE56=0,"",IF(OR(AG56&lt;3,AJ56&gt;PFYDate),AU56,IF((AJ56-1)&lt;AF56,-1,12*(YEAR((AJ56-1))-YEAR(AF56))+MONTH((AJ56-1))-MONTH(AF56)-IF(DAY((AJ56-1))&lt;MIN(DAY(AF56),DAY(EOMONTH((AJ56-1),0))),1,0))))</f>
        <v/>
      </c>
      <c r="AX56" s="13"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3"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3" t="str">
        <f aca="false">IF(AE56=0,"",IF(AQ56="FT",IF(AR56&lt;FT_First,FT_First,IF(AR56&lt;FT_Y5,MIN(FT_Y5,FT_First+FT_Int1*(INT((AR56-FT_First)/FT_Int1)+1)),FT_Y5+12*INT((AR56-FT_Y5)/12)+FT_Int2*(INT(MOD(AR56-FT_Y5,12)/FT_Int2)+1))),IF(AQ56="PT",IF(AR56&lt;PT_First,PT_First,PT_First+PT_Int*(INT((AR56-PT_First)/PT_Int)+1)),"")))</f>
        <v/>
      </c>
      <c r="BA56" s="13" t="str">
        <f aca="false">IF(AE56=0,"",IF(NOT(LH_Ready),0,COUNTIFS(INDEX(LH_Data,0,LH_ColFirst),$A56,INDEX(LH_Data,0,LH_ColSur),$B56,INDEX(LH_Data,0,LH_ColCat),BonusCat)))</f>
        <v/>
      </c>
      <c r="BB56" s="13" t="str">
        <f aca="false">IF(AE56=0,"",IF(OR(NOT(LH_Ready),BA56=0),0,SUMPRODUCT(MAX((INDEX(LH_Data,0,LH_ColFirst)=$A56)*(INDEX(LH_Data,0,LH_ColSur)=$B56)*(INDEX(LH_Data,0,LH_ColCat)=BonusCat)*ROW(LH_Data)))))</f>
        <v/>
      </c>
      <c r="BC56" s="0" t="str">
        <f aca="false">IF(LEN($A56&amp;$B56)=0,"",$A56&amp;" "&amp;$B56)</f>
        <v/>
      </c>
    </row>
    <row r="57" customFormat="false" ht="15" hidden="false" customHeight="false" outlineLevel="0" collapsed="false">
      <c r="A57" s="9"/>
      <c r="B57" s="9"/>
      <c r="C57" s="9"/>
      <c r="D57" s="10"/>
      <c r="E57" s="11" t="str">
        <f aca="false">IF(OR(AE57=0,$D57=""),"",DATE(YEAR(AsOfDate)+IF(DATE(YEAR(AsOfDate),MONTH($D57),DAY($D57))&lt;=AsOfDate,1,0),MONTH($D57),DAY($D57)))</f>
        <v/>
      </c>
      <c r="F57" s="10"/>
      <c r="G57" s="10"/>
      <c r="H57" s="10"/>
      <c r="I57" s="10"/>
      <c r="J57" s="10"/>
      <c r="K57" s="11" t="str">
        <f aca="false">IF(AE57=0,"",DATE(YEAR(AsOfDate)+IF(DATE(YEAR(AsOfDate),MONTH(AF57),DAY(AF57))&lt;=AsOfDate,1,0),MONTH(AF57),DAY(AF57)))</f>
        <v/>
      </c>
      <c r="L57" s="12" t="str">
        <f aca="false">IF(AE57=0,"",ROUND((AsOfDate-AF57)/365.25,1))</f>
        <v/>
      </c>
      <c r="M57" s="13" t="str">
        <f aca="false">IF(AE57=0,"",IF(AsOfDate&lt;AF57,"-",DATEDIF(AF57,AsOfDate,"y")&amp;"y "&amp;DATEDIF(AF57,AsOfDate,"ym")&amp;"m "&amp;DATEDIF(AF57,AsOfDate,"md")&amp;"d"))</f>
        <v/>
      </c>
      <c r="N57" s="14" t="str">
        <f aca="false">IF(AE57=0,"",O57*HoursPerDay)</f>
        <v/>
      </c>
      <c r="O57" s="14" t="str">
        <f aca="false">IF(AE57=0,"",AX57)</f>
        <v/>
      </c>
      <c r="P57" s="15"/>
      <c r="Q57" s="13"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13"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1" t="str">
        <f aca="false">IF(AE57=0,"",IF(AQ57="None","",EDATE(AF57,AZ57)))</f>
        <v/>
      </c>
      <c r="T57" s="14" t="str">
        <f aca="false">IF(AE57=0,"",IF(NOT(LH_Ready),"",IF(AF57&gt;PFYDate,0,IF(LH_ColPeriod=0,W57-U57+V57,SUMIFS(INDEX(LH_Data,0,LH_ColAcc),INDEX(LH_Data,0,LH_ColFirst),$A57,INDEX(LH_Data,0,LH_ColSur),$B57,INDEX(LH_Data,0,LH_ColCat),BonusCat,INDEX(LH_Data,0,LH_ColPeriod),LH_OpenLabel)*UnitFactor))))</f>
        <v/>
      </c>
      <c r="U57" s="14" t="str">
        <f aca="false">IF(AE57=0,"",IF(NOT(LH_Ready),"",SUMIFS(INDEX(LH_Data,0,LH_ColAcc),INDEX(LH_Data,0,LH_ColFirst),$A57,INDEX(LH_Data,0,LH_ColSur),$B57,INDEX(LH_Data,0,LH_ColCat),BonusCat,INDEX(LH_Data,0,LH_ColStart),"&gt;="&amp;AF57)*UnitFactor))</f>
        <v/>
      </c>
      <c r="V57" s="14" t="str">
        <f aca="false">IF(AE57=0,"",IF(NOT(LH_Ready),"",SUMIFS(INDEX(LH_Data,0,LH_ColTaken),INDEX(LH_Data,0,LH_ColFirst),$A57,INDEX(LH_Data,0,LH_ColSur),$B57,INDEX(LH_Data,0,LH_ColCat),BonusCat,INDEX(LH_Data,0,LH_ColStart),"&gt;="&amp;AF57)*UnitFactor))</f>
        <v/>
      </c>
      <c r="W57" s="14" t="str">
        <f aca="false">IF(AE57=0,"",IF(NOT(LH_Ready),"",IF(BB57=0,0,INDEX(INDEX(LH_Data,0,LH_ColClose),BB57-1)*UnitFactor)))</f>
        <v/>
      </c>
      <c r="X57" s="14" t="str">
        <f aca="false">IF(AE57=0,"",(AX57-AY57)*HoursPerDay)</f>
        <v/>
      </c>
      <c r="Y57" s="14" t="str">
        <f aca="false">IF(AE57=0,"",IF(NOT(LH_Ready),"",IF(BA57=0,N57,IF(PFYDate&lt;$F57,N57-N(T57)-N(U57),X57-N(U57)))))</f>
        <v/>
      </c>
      <c r="Z57" s="13" t="str">
        <f aca="false">IF(OR(AE57=0,Y57=""),"",IF(Y57&gt;0,"Yes","No"))</f>
        <v/>
      </c>
      <c r="AA57" s="13"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 hrs more than policy since commencement",IF(N(W57)&gt;O57*HoursPerDay+0.01,"CHECK - EH balance "&amp;ROUND(W57-O57*HoursPerDay,2)&amp;" hrs more than policy entitlement",IF(O57&gt;0,"OK - nothing to add",IF(AQ57="None",R57,"Not yet - first day on "&amp;TEXT(S57,"dd/mm/yyyy")))))))))</f>
        <v/>
      </c>
      <c r="AB57" s="14" t="str">
        <f aca="false">IF(OR(AE57=0,T57=""),"",AY57*HoursPerDay-T57)</f>
        <v/>
      </c>
      <c r="AC57" s="13" t="str">
        <f aca="false">IF(AE57=0,"",BA57)</f>
        <v/>
      </c>
      <c r="AD57" s="13"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3" t="n">
        <f aca="false">IF(OR(LEN($A57&amp;$B57)=0,$F57=""),0,1)</f>
        <v>0</v>
      </c>
      <c r="AF57" s="11" t="str">
        <f aca="false">IF(AE57=0,"",IF($J57&lt;&gt;"",$J57,IF(OR(CasualCounts="Yes",COUNT($G57:$I57)=0,COUNT($G57:$H57)=0),$F57,MIN($G57:$H57))))</f>
        <v/>
      </c>
      <c r="AG57" s="13" t="str">
        <f aca="false">IF(AE57=0,"",COUNT($G57:$I57))</f>
        <v/>
      </c>
      <c r="AH57" s="11" t="str">
        <f aca="false">IF(AE57=0,"",IFERROR(SMALL($G57:$I57,1),""))</f>
        <v/>
      </c>
      <c r="AI57" s="11" t="str">
        <f aca="false">IF(AE57=0,"",IFERROR(SMALL($G57:$I57,2),""))</f>
        <v/>
      </c>
      <c r="AJ57" s="11" t="str">
        <f aca="false">IF(AE57=0,"",IFERROR(SMALL($G57:$I57,3),""))</f>
        <v/>
      </c>
      <c r="AK57" s="13" t="str">
        <f aca="false">IF(AE57=0,"",IF(AH57="","",IF(AH57=$G57,"Part-Time",IF(AH57=$H57,"Full-Time","Casual"))))</f>
        <v/>
      </c>
      <c r="AL57" s="13" t="str">
        <f aca="false">IF(AE57=0,"",IF(AI57="","",IF(AI57=$G57,"Part-Time",IF(AI57=$H57,"Full-Time","Casual"))))</f>
        <v/>
      </c>
      <c r="AM57" s="13" t="str">
        <f aca="false">IF(AE57=0,"",IF(AJ57="","",IF(AJ57=$G57,"Part-Time",IF(AJ57=$H57,"Full-Time","Casual"))))</f>
        <v/>
      </c>
      <c r="AN57" s="13"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3" t="str">
        <f aca="false">IF(AE57=0,"",IF(AG57&lt;2,"",IF(OR(ISNUMBER(SEARCH("full",AL57)),UPPER(TRIM(AL57))="FT",UPPER(TRIM(AL57))="FTE"),"FT",IF(AND(OR(ISNUMBER(SEARCH("part",AL57)),UPPER(TRIM(AL57))="PT",UPPER(TRIM(AL57))="PTE"),OR($P57="",N($P57)&gt;=PT_MinHours)),"PT","None"))))</f>
        <v/>
      </c>
      <c r="AP57" s="13" t="str">
        <f aca="false">IF(AE57=0,"",IF(AG57&lt;3,"",IF(OR(ISNUMBER(SEARCH("full",AM57)),UPPER(TRIM(AM57))="FT",UPPER(TRIM(AM57))="FTE"),"FT",IF(AND(OR(ISNUMBER(SEARCH("part",AM57)),UPPER(TRIM(AM57))="PT",UPPER(TRIM(AM57))="PTE"),OR($P57="",N($P57)&gt;=PT_MinHours)),"PT","None"))))</f>
        <v/>
      </c>
      <c r="AQ57" s="13" t="str">
        <f aca="false">IF(AE57=0,"",IF(AND(AG57&gt;=3,AJ57&lt;=AsOfDate),AP57,IF(AND(AG57&gt;=2,AI57&lt;=AsOfDate),AO57,AN57)))</f>
        <v/>
      </c>
      <c r="AR57" s="13" t="str">
        <f aca="false">IF(AE57=0,"",IF(AsOfDate&lt;AF57,-1,12*(YEAR(AsOfDate)-YEAR(AF57))+MONTH(AsOfDate)-MONTH(AF57)-IF(DAY(AsOfDate)&lt;MIN(DAY(AF57),DAY(EOMONTH(AsOfDate,0))),1,0)))</f>
        <v/>
      </c>
      <c r="AS57" s="13" t="str">
        <f aca="false">IF(AE57=0,"",IF(OR(AG57&lt;2,AI57&gt;AsOfDate),AR57,IF((AI57-1)&lt;AF57,-1,12*(YEAR((AI57-1))-YEAR(AF57))+MONTH((AI57-1))-MONTH(AF57)-IF(DAY((AI57-1))&lt;MIN(DAY(AF57),DAY(EOMONTH((AI57-1),0))),1,0))))</f>
        <v/>
      </c>
      <c r="AT57" s="13" t="str">
        <f aca="false">IF(AE57=0,"",IF(OR(AG57&lt;3,AJ57&gt;AsOfDate),AR57,IF((AJ57-1)&lt;AF57,-1,12*(YEAR((AJ57-1))-YEAR(AF57))+MONTH((AJ57-1))-MONTH(AF57)-IF(DAY((AJ57-1))&lt;MIN(DAY(AF57),DAY(EOMONTH((AJ57-1),0))),1,0))))</f>
        <v/>
      </c>
      <c r="AU57" s="13" t="str">
        <f aca="false">IF(AE57=0,"",IF(PFYDate&lt;AF57,-1,12*(YEAR(PFYDate)-YEAR(AF57))+MONTH(PFYDate)-MONTH(AF57)-IF(DAY(PFYDate)&lt;MIN(DAY(AF57),DAY(EOMONTH(PFYDate,0))),1,0)))</f>
        <v/>
      </c>
      <c r="AV57" s="13" t="str">
        <f aca="false">IF(AE57=0,"",IF(OR(AG57&lt;2,AI57&gt;PFYDate),AU57,IF((AI57-1)&lt;AF57,-1,12*(YEAR((AI57-1))-YEAR(AF57))+MONTH((AI57-1))-MONTH(AF57)-IF(DAY((AI57-1))&lt;MIN(DAY(AF57),DAY(EOMONTH((AI57-1),0))),1,0))))</f>
        <v/>
      </c>
      <c r="AW57" s="13" t="str">
        <f aca="false">IF(AE57=0,"",IF(OR(AG57&lt;3,AJ57&gt;PFYDate),AU57,IF((AJ57-1)&lt;AF57,-1,12*(YEAR((AJ57-1))-YEAR(AF57))+MONTH((AJ57-1))-MONTH(AF57)-IF(DAY((AJ57-1))&lt;MIN(DAY(AF57),DAY(EOMONTH((AJ57-1),0))),1,0))))</f>
        <v/>
      </c>
      <c r="AX57" s="13"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3"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3" t="str">
        <f aca="false">IF(AE57=0,"",IF(AQ57="FT",IF(AR57&lt;FT_First,FT_First,IF(AR57&lt;FT_Y5,MIN(FT_Y5,FT_First+FT_Int1*(INT((AR57-FT_First)/FT_Int1)+1)),FT_Y5+12*INT((AR57-FT_Y5)/12)+FT_Int2*(INT(MOD(AR57-FT_Y5,12)/FT_Int2)+1))),IF(AQ57="PT",IF(AR57&lt;PT_First,PT_First,PT_First+PT_Int*(INT((AR57-PT_First)/PT_Int)+1)),"")))</f>
        <v/>
      </c>
      <c r="BA57" s="13" t="str">
        <f aca="false">IF(AE57=0,"",IF(NOT(LH_Ready),0,COUNTIFS(INDEX(LH_Data,0,LH_ColFirst),$A57,INDEX(LH_Data,0,LH_ColSur),$B57,INDEX(LH_Data,0,LH_ColCat),BonusCat)))</f>
        <v/>
      </c>
      <c r="BB57" s="13" t="str">
        <f aca="false">IF(AE57=0,"",IF(OR(NOT(LH_Ready),BA57=0),0,SUMPRODUCT(MAX((INDEX(LH_Data,0,LH_ColFirst)=$A57)*(INDEX(LH_Data,0,LH_ColSur)=$B57)*(INDEX(LH_Data,0,LH_ColCat)=BonusCat)*ROW(LH_Data)))))</f>
        <v/>
      </c>
      <c r="BC57" s="0" t="str">
        <f aca="false">IF(LEN($A57&amp;$B57)=0,"",$A57&amp;" "&amp;$B57)</f>
        <v/>
      </c>
    </row>
    <row r="58" customFormat="false" ht="15" hidden="false" customHeight="false" outlineLevel="0" collapsed="false">
      <c r="A58" s="9"/>
      <c r="B58" s="9"/>
      <c r="C58" s="9"/>
      <c r="D58" s="10"/>
      <c r="E58" s="11" t="str">
        <f aca="false">IF(OR(AE58=0,$D58=""),"",DATE(YEAR(AsOfDate)+IF(DATE(YEAR(AsOfDate),MONTH($D58),DAY($D58))&lt;=AsOfDate,1,0),MONTH($D58),DAY($D58)))</f>
        <v/>
      </c>
      <c r="F58" s="10"/>
      <c r="G58" s="10"/>
      <c r="H58" s="10"/>
      <c r="I58" s="10"/>
      <c r="J58" s="10"/>
      <c r="K58" s="11" t="str">
        <f aca="false">IF(AE58=0,"",DATE(YEAR(AsOfDate)+IF(DATE(YEAR(AsOfDate),MONTH(AF58),DAY(AF58))&lt;=AsOfDate,1,0),MONTH(AF58),DAY(AF58)))</f>
        <v/>
      </c>
      <c r="L58" s="12" t="str">
        <f aca="false">IF(AE58=0,"",ROUND((AsOfDate-AF58)/365.25,1))</f>
        <v/>
      </c>
      <c r="M58" s="13" t="str">
        <f aca="false">IF(AE58=0,"",IF(AsOfDate&lt;AF58,"-",DATEDIF(AF58,AsOfDate,"y")&amp;"y "&amp;DATEDIF(AF58,AsOfDate,"ym")&amp;"m "&amp;DATEDIF(AF58,AsOfDate,"md")&amp;"d"))</f>
        <v/>
      </c>
      <c r="N58" s="14" t="str">
        <f aca="false">IF(AE58=0,"",O58*HoursPerDay)</f>
        <v/>
      </c>
      <c r="O58" s="14" t="str">
        <f aca="false">IF(AE58=0,"",AX58)</f>
        <v/>
      </c>
      <c r="P58" s="15"/>
      <c r="Q58" s="13"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13"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1" t="str">
        <f aca="false">IF(AE58=0,"",IF(AQ58="None","",EDATE(AF58,AZ58)))</f>
        <v/>
      </c>
      <c r="T58" s="14" t="str">
        <f aca="false">IF(AE58=0,"",IF(NOT(LH_Ready),"",IF(AF58&gt;PFYDate,0,IF(LH_ColPeriod=0,W58-U58+V58,SUMIFS(INDEX(LH_Data,0,LH_ColAcc),INDEX(LH_Data,0,LH_ColFirst),$A58,INDEX(LH_Data,0,LH_ColSur),$B58,INDEX(LH_Data,0,LH_ColCat),BonusCat,INDEX(LH_Data,0,LH_ColPeriod),LH_OpenLabel)*UnitFactor))))</f>
        <v/>
      </c>
      <c r="U58" s="14" t="str">
        <f aca="false">IF(AE58=0,"",IF(NOT(LH_Ready),"",SUMIFS(INDEX(LH_Data,0,LH_ColAcc),INDEX(LH_Data,0,LH_ColFirst),$A58,INDEX(LH_Data,0,LH_ColSur),$B58,INDEX(LH_Data,0,LH_ColCat),BonusCat,INDEX(LH_Data,0,LH_ColStart),"&gt;="&amp;AF58)*UnitFactor))</f>
        <v/>
      </c>
      <c r="V58" s="14" t="str">
        <f aca="false">IF(AE58=0,"",IF(NOT(LH_Ready),"",SUMIFS(INDEX(LH_Data,0,LH_ColTaken),INDEX(LH_Data,0,LH_ColFirst),$A58,INDEX(LH_Data,0,LH_ColSur),$B58,INDEX(LH_Data,0,LH_ColCat),BonusCat,INDEX(LH_Data,0,LH_ColStart),"&gt;="&amp;AF58)*UnitFactor))</f>
        <v/>
      </c>
      <c r="W58" s="14" t="str">
        <f aca="false">IF(AE58=0,"",IF(NOT(LH_Ready),"",IF(BB58=0,0,INDEX(INDEX(LH_Data,0,LH_ColClose),BB58-1)*UnitFactor)))</f>
        <v/>
      </c>
      <c r="X58" s="14" t="str">
        <f aca="false">IF(AE58=0,"",(AX58-AY58)*HoursPerDay)</f>
        <v/>
      </c>
      <c r="Y58" s="14" t="str">
        <f aca="false">IF(AE58=0,"",IF(NOT(LH_Ready),"",IF(BA58=0,N58,IF(PFYDate&lt;$F58,N58-N(T58)-N(U58),X58-N(U58)))))</f>
        <v/>
      </c>
      <c r="Z58" s="13" t="str">
        <f aca="false">IF(OR(AE58=0,Y58=""),"",IF(Y58&gt;0,"Yes","No"))</f>
        <v/>
      </c>
      <c r="AA58" s="13"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 hrs more than policy since commencement",IF(N(W58)&gt;O58*HoursPerDay+0.01,"CHECK - EH balance "&amp;ROUND(W58-O58*HoursPerDay,2)&amp;" hrs more than policy entitlement",IF(O58&gt;0,"OK - nothing to add",IF(AQ58="None",R58,"Not yet - first day on "&amp;TEXT(S58,"dd/mm/yyyy")))))))))</f>
        <v/>
      </c>
      <c r="AB58" s="14" t="str">
        <f aca="false">IF(OR(AE58=0,T58=""),"",AY58*HoursPerDay-T58)</f>
        <v/>
      </c>
      <c r="AC58" s="13" t="str">
        <f aca="false">IF(AE58=0,"",BA58)</f>
        <v/>
      </c>
      <c r="AD58" s="13"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3" t="n">
        <f aca="false">IF(OR(LEN($A58&amp;$B58)=0,$F58=""),0,1)</f>
        <v>0</v>
      </c>
      <c r="AF58" s="11" t="str">
        <f aca="false">IF(AE58=0,"",IF($J58&lt;&gt;"",$J58,IF(OR(CasualCounts="Yes",COUNT($G58:$I58)=0,COUNT($G58:$H58)=0),$F58,MIN($G58:$H58))))</f>
        <v/>
      </c>
      <c r="AG58" s="13" t="str">
        <f aca="false">IF(AE58=0,"",COUNT($G58:$I58))</f>
        <v/>
      </c>
      <c r="AH58" s="11" t="str">
        <f aca="false">IF(AE58=0,"",IFERROR(SMALL($G58:$I58,1),""))</f>
        <v/>
      </c>
      <c r="AI58" s="11" t="str">
        <f aca="false">IF(AE58=0,"",IFERROR(SMALL($G58:$I58,2),""))</f>
        <v/>
      </c>
      <c r="AJ58" s="11" t="str">
        <f aca="false">IF(AE58=0,"",IFERROR(SMALL($G58:$I58,3),""))</f>
        <v/>
      </c>
      <c r="AK58" s="13" t="str">
        <f aca="false">IF(AE58=0,"",IF(AH58="","",IF(AH58=$G58,"Part-Time",IF(AH58=$H58,"Full-Time","Casual"))))</f>
        <v/>
      </c>
      <c r="AL58" s="13" t="str">
        <f aca="false">IF(AE58=0,"",IF(AI58="","",IF(AI58=$G58,"Part-Time",IF(AI58=$H58,"Full-Time","Casual"))))</f>
        <v/>
      </c>
      <c r="AM58" s="13" t="str">
        <f aca="false">IF(AE58=0,"",IF(AJ58="","",IF(AJ58=$G58,"Part-Time",IF(AJ58=$H58,"Full-Time","Casual"))))</f>
        <v/>
      </c>
      <c r="AN58" s="13"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3" t="str">
        <f aca="false">IF(AE58=0,"",IF(AG58&lt;2,"",IF(OR(ISNUMBER(SEARCH("full",AL58)),UPPER(TRIM(AL58))="FT",UPPER(TRIM(AL58))="FTE"),"FT",IF(AND(OR(ISNUMBER(SEARCH("part",AL58)),UPPER(TRIM(AL58))="PT",UPPER(TRIM(AL58))="PTE"),OR($P58="",N($P58)&gt;=PT_MinHours)),"PT","None"))))</f>
        <v/>
      </c>
      <c r="AP58" s="13" t="str">
        <f aca="false">IF(AE58=0,"",IF(AG58&lt;3,"",IF(OR(ISNUMBER(SEARCH("full",AM58)),UPPER(TRIM(AM58))="FT",UPPER(TRIM(AM58))="FTE"),"FT",IF(AND(OR(ISNUMBER(SEARCH("part",AM58)),UPPER(TRIM(AM58))="PT",UPPER(TRIM(AM58))="PTE"),OR($P58="",N($P58)&gt;=PT_MinHours)),"PT","None"))))</f>
        <v/>
      </c>
      <c r="AQ58" s="13" t="str">
        <f aca="false">IF(AE58=0,"",IF(AND(AG58&gt;=3,AJ58&lt;=AsOfDate),AP58,IF(AND(AG58&gt;=2,AI58&lt;=AsOfDate),AO58,AN58)))</f>
        <v/>
      </c>
      <c r="AR58" s="13" t="str">
        <f aca="false">IF(AE58=0,"",IF(AsOfDate&lt;AF58,-1,12*(YEAR(AsOfDate)-YEAR(AF58))+MONTH(AsOfDate)-MONTH(AF58)-IF(DAY(AsOfDate)&lt;MIN(DAY(AF58),DAY(EOMONTH(AsOfDate,0))),1,0)))</f>
        <v/>
      </c>
      <c r="AS58" s="13" t="str">
        <f aca="false">IF(AE58=0,"",IF(OR(AG58&lt;2,AI58&gt;AsOfDate),AR58,IF((AI58-1)&lt;AF58,-1,12*(YEAR((AI58-1))-YEAR(AF58))+MONTH((AI58-1))-MONTH(AF58)-IF(DAY((AI58-1))&lt;MIN(DAY(AF58),DAY(EOMONTH((AI58-1),0))),1,0))))</f>
        <v/>
      </c>
      <c r="AT58" s="13" t="str">
        <f aca="false">IF(AE58=0,"",IF(OR(AG58&lt;3,AJ58&gt;AsOfDate),AR58,IF((AJ58-1)&lt;AF58,-1,12*(YEAR((AJ58-1))-YEAR(AF58))+MONTH((AJ58-1))-MONTH(AF58)-IF(DAY((AJ58-1))&lt;MIN(DAY(AF58),DAY(EOMONTH((AJ58-1),0))),1,0))))</f>
        <v/>
      </c>
      <c r="AU58" s="13" t="str">
        <f aca="false">IF(AE58=0,"",IF(PFYDate&lt;AF58,-1,12*(YEAR(PFYDate)-YEAR(AF58))+MONTH(PFYDate)-MONTH(AF58)-IF(DAY(PFYDate)&lt;MIN(DAY(AF58),DAY(EOMONTH(PFYDate,0))),1,0)))</f>
        <v/>
      </c>
      <c r="AV58" s="13" t="str">
        <f aca="false">IF(AE58=0,"",IF(OR(AG58&lt;2,AI58&gt;PFYDate),AU58,IF((AI58-1)&lt;AF58,-1,12*(YEAR((AI58-1))-YEAR(AF58))+MONTH((AI58-1))-MONTH(AF58)-IF(DAY((AI58-1))&lt;MIN(DAY(AF58),DAY(EOMONTH((AI58-1),0))),1,0))))</f>
        <v/>
      </c>
      <c r="AW58" s="13" t="str">
        <f aca="false">IF(AE58=0,"",IF(OR(AG58&lt;3,AJ58&gt;PFYDate),AU58,IF((AJ58-1)&lt;AF58,-1,12*(YEAR((AJ58-1))-YEAR(AF58))+MONTH((AJ58-1))-MONTH(AF58)-IF(DAY((AJ58-1))&lt;MIN(DAY(AF58),DAY(EOMONTH((AJ58-1),0))),1,0))))</f>
        <v/>
      </c>
      <c r="AX58" s="13"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3"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3" t="str">
        <f aca="false">IF(AE58=0,"",IF(AQ58="FT",IF(AR58&lt;FT_First,FT_First,IF(AR58&lt;FT_Y5,MIN(FT_Y5,FT_First+FT_Int1*(INT((AR58-FT_First)/FT_Int1)+1)),FT_Y5+12*INT((AR58-FT_Y5)/12)+FT_Int2*(INT(MOD(AR58-FT_Y5,12)/FT_Int2)+1))),IF(AQ58="PT",IF(AR58&lt;PT_First,PT_First,PT_First+PT_Int*(INT((AR58-PT_First)/PT_Int)+1)),"")))</f>
        <v/>
      </c>
      <c r="BA58" s="13" t="str">
        <f aca="false">IF(AE58=0,"",IF(NOT(LH_Ready),0,COUNTIFS(INDEX(LH_Data,0,LH_ColFirst),$A58,INDEX(LH_Data,0,LH_ColSur),$B58,INDEX(LH_Data,0,LH_ColCat),BonusCat)))</f>
        <v/>
      </c>
      <c r="BB58" s="13" t="str">
        <f aca="false">IF(AE58=0,"",IF(OR(NOT(LH_Ready),BA58=0),0,SUMPRODUCT(MAX((INDEX(LH_Data,0,LH_ColFirst)=$A58)*(INDEX(LH_Data,0,LH_ColSur)=$B58)*(INDEX(LH_Data,0,LH_ColCat)=BonusCat)*ROW(LH_Data)))))</f>
        <v/>
      </c>
      <c r="BC58" s="0" t="str">
        <f aca="false">IF(LEN($A58&amp;$B58)=0,"",$A58&amp;" "&amp;$B58)</f>
        <v/>
      </c>
    </row>
    <row r="59" customFormat="false" ht="15" hidden="false" customHeight="false" outlineLevel="0" collapsed="false">
      <c r="A59" s="9"/>
      <c r="B59" s="9"/>
      <c r="C59" s="9"/>
      <c r="D59" s="10"/>
      <c r="E59" s="11" t="str">
        <f aca="false">IF(OR(AE59=0,$D59=""),"",DATE(YEAR(AsOfDate)+IF(DATE(YEAR(AsOfDate),MONTH($D59),DAY($D59))&lt;=AsOfDate,1,0),MONTH($D59),DAY($D59)))</f>
        <v/>
      </c>
      <c r="F59" s="10"/>
      <c r="G59" s="10"/>
      <c r="H59" s="10"/>
      <c r="I59" s="10"/>
      <c r="J59" s="10"/>
      <c r="K59" s="11" t="str">
        <f aca="false">IF(AE59=0,"",DATE(YEAR(AsOfDate)+IF(DATE(YEAR(AsOfDate),MONTH(AF59),DAY(AF59))&lt;=AsOfDate,1,0),MONTH(AF59),DAY(AF59)))</f>
        <v/>
      </c>
      <c r="L59" s="12" t="str">
        <f aca="false">IF(AE59=0,"",ROUND((AsOfDate-AF59)/365.25,1))</f>
        <v/>
      </c>
      <c r="M59" s="13" t="str">
        <f aca="false">IF(AE59=0,"",IF(AsOfDate&lt;AF59,"-",DATEDIF(AF59,AsOfDate,"y")&amp;"y "&amp;DATEDIF(AF59,AsOfDate,"ym")&amp;"m "&amp;DATEDIF(AF59,AsOfDate,"md")&amp;"d"))</f>
        <v/>
      </c>
      <c r="N59" s="14" t="str">
        <f aca="false">IF(AE59=0,"",O59*HoursPerDay)</f>
        <v/>
      </c>
      <c r="O59" s="14" t="str">
        <f aca="false">IF(AE59=0,"",AX59)</f>
        <v/>
      </c>
      <c r="P59" s="15"/>
      <c r="Q59" s="13"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
      </c>
      <c r="R59" s="13"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1" t="str">
        <f aca="false">IF(AE59=0,"",IF(AQ59="None","",EDATE(AF59,AZ59)))</f>
        <v/>
      </c>
      <c r="T59" s="14" t="str">
        <f aca="false">IF(AE59=0,"",IF(NOT(LH_Ready),"",IF(AF59&gt;PFYDate,0,IF(LH_ColPeriod=0,W59-U59+V59,SUMIFS(INDEX(LH_Data,0,LH_ColAcc),INDEX(LH_Data,0,LH_ColFirst),$A59,INDEX(LH_Data,0,LH_ColSur),$B59,INDEX(LH_Data,0,LH_ColCat),BonusCat,INDEX(LH_Data,0,LH_ColPeriod),LH_OpenLabel)*UnitFactor))))</f>
        <v/>
      </c>
      <c r="U59" s="14" t="str">
        <f aca="false">IF(AE59=0,"",IF(NOT(LH_Ready),"",SUMIFS(INDEX(LH_Data,0,LH_ColAcc),INDEX(LH_Data,0,LH_ColFirst),$A59,INDEX(LH_Data,0,LH_ColSur),$B59,INDEX(LH_Data,0,LH_ColCat),BonusCat,INDEX(LH_Data,0,LH_ColStart),"&gt;="&amp;AF59)*UnitFactor))</f>
        <v/>
      </c>
      <c r="V59" s="14" t="str">
        <f aca="false">IF(AE59=0,"",IF(NOT(LH_Ready),"",SUMIFS(INDEX(LH_Data,0,LH_ColTaken),INDEX(LH_Data,0,LH_ColFirst),$A59,INDEX(LH_Data,0,LH_ColSur),$B59,INDEX(LH_Data,0,LH_ColCat),BonusCat,INDEX(LH_Data,0,LH_ColStart),"&gt;="&amp;AF59)*UnitFactor))</f>
        <v/>
      </c>
      <c r="W59" s="14" t="str">
        <f aca="false">IF(AE59=0,"",IF(NOT(LH_Ready),"",IF(BB59=0,0,INDEX(INDEX(LH_Data,0,LH_ColClose),BB59-1)*UnitFactor)))</f>
        <v/>
      </c>
      <c r="X59" s="14" t="str">
        <f aca="false">IF(AE59=0,"",(AX59-AY59)*HoursPerDay)</f>
        <v/>
      </c>
      <c r="Y59" s="14" t="str">
        <f aca="false">IF(AE59=0,"",IF(NOT(LH_Ready),"",IF(BA59=0,N59,IF(PFYDate&lt;$F59,N59-N(T59)-N(U59),X59-N(U59)))))</f>
        <v/>
      </c>
      <c r="Z59" s="13" t="str">
        <f aca="false">IF(OR(AE59=0,Y59=""),"",IF(Y59&gt;0,"Yes","No"))</f>
        <v/>
      </c>
      <c r="AA59" s="13"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 hrs more than policy since commencement",IF(N(W59)&gt;O59*HoursPerDay+0.01,"CHECK - EH balance "&amp;ROUND(W59-O59*HoursPerDay,2)&amp;" hrs more than policy entitlement",IF(O59&gt;0,"OK - nothing to add",IF(AQ59="None",R59,"Not yet - first day on "&amp;TEXT(S59,"dd/mm/yyyy")))))))))</f>
        <v/>
      </c>
      <c r="AB59" s="14" t="str">
        <f aca="false">IF(OR(AE59=0,T59=""),"",AY59*HoursPerDay-T59)</f>
        <v/>
      </c>
      <c r="AC59" s="13" t="str">
        <f aca="false">IF(AE59=0,"",BA59)</f>
        <v/>
      </c>
      <c r="AD59" s="13"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3" t="n">
        <f aca="false">IF(OR(LEN($A59&amp;$B59)=0,$F59=""),0,1)</f>
        <v>0</v>
      </c>
      <c r="AF59" s="11" t="str">
        <f aca="false">IF(AE59=0,"",IF($J59&lt;&gt;"",$J59,IF(OR(CasualCounts="Yes",COUNT($G59:$I59)=0,COUNT($G59:$H59)=0),$F59,MIN($G59:$H59))))</f>
        <v/>
      </c>
      <c r="AG59" s="13" t="str">
        <f aca="false">IF(AE59=0,"",COUNT($G59:$I59))</f>
        <v/>
      </c>
      <c r="AH59" s="11" t="str">
        <f aca="false">IF(AE59=0,"",IFERROR(SMALL($G59:$I59,1),""))</f>
        <v/>
      </c>
      <c r="AI59" s="11" t="str">
        <f aca="false">IF(AE59=0,"",IFERROR(SMALL($G59:$I59,2),""))</f>
        <v/>
      </c>
      <c r="AJ59" s="11" t="str">
        <f aca="false">IF(AE59=0,"",IFERROR(SMALL($G59:$I59,3),""))</f>
        <v/>
      </c>
      <c r="AK59" s="13" t="str">
        <f aca="false">IF(AE59=0,"",IF(AH59="","",IF(AH59=$G59,"Part-Time",IF(AH59=$H59,"Full-Time","Casual"))))</f>
        <v/>
      </c>
      <c r="AL59" s="13" t="str">
        <f aca="false">IF(AE59=0,"",IF(AI59="","",IF(AI59=$G59,"Part-Time",IF(AI59=$H59,"Full-Time","Casual"))))</f>
        <v/>
      </c>
      <c r="AM59" s="13" t="str">
        <f aca="false">IF(AE59=0,"",IF(AJ59="","",IF(AJ59=$G59,"Part-Time",IF(AJ59=$H59,"Full-Time","Casual"))))</f>
        <v/>
      </c>
      <c r="AN59" s="13"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3" t="str">
        <f aca="false">IF(AE59=0,"",IF(AG59&lt;2,"",IF(OR(ISNUMBER(SEARCH("full",AL59)),UPPER(TRIM(AL59))="FT",UPPER(TRIM(AL59))="FTE"),"FT",IF(AND(OR(ISNUMBER(SEARCH("part",AL59)),UPPER(TRIM(AL59))="PT",UPPER(TRIM(AL59))="PTE"),OR($P59="",N($P59)&gt;=PT_MinHours)),"PT","None"))))</f>
        <v/>
      </c>
      <c r="AP59" s="13" t="str">
        <f aca="false">IF(AE59=0,"",IF(AG59&lt;3,"",IF(OR(ISNUMBER(SEARCH("full",AM59)),UPPER(TRIM(AM59))="FT",UPPER(TRIM(AM59))="FTE"),"FT",IF(AND(OR(ISNUMBER(SEARCH("part",AM59)),UPPER(TRIM(AM59))="PT",UPPER(TRIM(AM59))="PTE"),OR($P59="",N($P59)&gt;=PT_MinHours)),"PT","None"))))</f>
        <v/>
      </c>
      <c r="AQ59" s="13" t="str">
        <f aca="false">IF(AE59=0,"",IF(AND(AG59&gt;=3,AJ59&lt;=AsOfDate),AP59,IF(AND(AG59&gt;=2,AI59&lt;=AsOfDate),AO59,AN59)))</f>
        <v/>
      </c>
      <c r="AR59" s="13" t="str">
        <f aca="false">IF(AE59=0,"",IF(AsOfDate&lt;AF59,-1,12*(YEAR(AsOfDate)-YEAR(AF59))+MONTH(AsOfDate)-MONTH(AF59)-IF(DAY(AsOfDate)&lt;MIN(DAY(AF59),DAY(EOMONTH(AsOfDate,0))),1,0)))</f>
        <v/>
      </c>
      <c r="AS59" s="13" t="str">
        <f aca="false">IF(AE59=0,"",IF(OR(AG59&lt;2,AI59&gt;AsOfDate),AR59,IF((AI59-1)&lt;AF59,-1,12*(YEAR((AI59-1))-YEAR(AF59))+MONTH((AI59-1))-MONTH(AF59)-IF(DAY((AI59-1))&lt;MIN(DAY(AF59),DAY(EOMONTH((AI59-1),0))),1,0))))</f>
        <v/>
      </c>
      <c r="AT59" s="13" t="str">
        <f aca="false">IF(AE59=0,"",IF(OR(AG59&lt;3,AJ59&gt;AsOfDate),AR59,IF((AJ59-1)&lt;AF59,-1,12*(YEAR((AJ59-1))-YEAR(AF59))+MONTH((AJ59-1))-MONTH(AF59)-IF(DAY((AJ59-1))&lt;MIN(DAY(AF59),DAY(EOMONTH((AJ59-1),0))),1,0))))</f>
        <v/>
      </c>
      <c r="AU59" s="13" t="str">
        <f aca="false">IF(AE59=0,"",IF(PFYDate&lt;AF59,-1,12*(YEAR(PFYDate)-YEAR(AF59))+MONTH(PFYDate)-MONTH(AF59)-IF(DAY(PFYDate)&lt;MIN(DAY(AF59),DAY(EOMONTH(PFYDate,0))),1,0)))</f>
        <v/>
      </c>
      <c r="AV59" s="13" t="str">
        <f aca="false">IF(AE59=0,"",IF(OR(AG59&lt;2,AI59&gt;PFYDate),AU59,IF((AI59-1)&lt;AF59,-1,12*(YEAR((AI59-1))-YEAR(AF59))+MONTH((AI59-1))-MONTH(AF59)-IF(DAY((AI59-1))&lt;MIN(DAY(AF59),DAY(EOMONTH((AI59-1),0))),1,0))))</f>
        <v/>
      </c>
      <c r="AW59" s="13" t="str">
        <f aca="false">IF(AE59=0,"",IF(OR(AG59&lt;3,AJ59&gt;PFYDate),AU59,IF((AJ59-1)&lt;AF59,-1,12*(YEAR((AJ59-1))-YEAR(AF59))+MONTH((AJ59-1))-MONTH(AF59)-IF(DAY((AJ59-1))&lt;MIN(DAY(AF59),DAY(EOMONTH((AJ59-1),0))),1,0))))</f>
        <v/>
      </c>
      <c r="AX59" s="13"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3"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3" t="str">
        <f aca="false">IF(AE59=0,"",IF(AQ59="FT",IF(AR59&lt;FT_First,FT_First,IF(AR59&lt;FT_Y5,MIN(FT_Y5,FT_First+FT_Int1*(INT((AR59-FT_First)/FT_Int1)+1)),FT_Y5+12*INT((AR59-FT_Y5)/12)+FT_Int2*(INT(MOD(AR59-FT_Y5,12)/FT_Int2)+1))),IF(AQ59="PT",IF(AR59&lt;PT_First,PT_First,PT_First+PT_Int*(INT((AR59-PT_First)/PT_Int)+1)),"")))</f>
        <v/>
      </c>
      <c r="BA59" s="13" t="str">
        <f aca="false">IF(AE59=0,"",IF(NOT(LH_Ready),0,COUNTIFS(INDEX(LH_Data,0,LH_ColFirst),$A59,INDEX(LH_Data,0,LH_ColSur),$B59,INDEX(LH_Data,0,LH_ColCat),BonusCat)))</f>
        <v/>
      </c>
      <c r="BB59" s="13" t="str">
        <f aca="false">IF(AE59=0,"",IF(OR(NOT(LH_Ready),BA59=0),0,SUMPRODUCT(MAX((INDEX(LH_Data,0,LH_ColFirst)=$A59)*(INDEX(LH_Data,0,LH_ColSur)=$B59)*(INDEX(LH_Data,0,LH_ColCat)=BonusCat)*ROW(LH_Data)))))</f>
        <v/>
      </c>
      <c r="BC59" s="0" t="str">
        <f aca="false">IF(LEN($A59&amp;$B59)=0,"",$A59&amp;" "&amp;$B59)</f>
        <v/>
      </c>
    </row>
    <row r="60" customFormat="false" ht="15" hidden="false" customHeight="false" outlineLevel="0" collapsed="false">
      <c r="A60" s="9"/>
      <c r="B60" s="9"/>
      <c r="C60" s="9"/>
      <c r="D60" s="10"/>
      <c r="E60" s="11" t="str">
        <f aca="false">IF(OR(AE60=0,$D60=""),"",DATE(YEAR(AsOfDate)+IF(DATE(YEAR(AsOfDate),MONTH($D60),DAY($D60))&lt;=AsOfDate,1,0),MONTH($D60),DAY($D60)))</f>
        <v/>
      </c>
      <c r="F60" s="10"/>
      <c r="G60" s="10"/>
      <c r="H60" s="10"/>
      <c r="I60" s="10"/>
      <c r="J60" s="10"/>
      <c r="K60" s="11" t="str">
        <f aca="false">IF(AE60=0,"",DATE(YEAR(AsOfDate)+IF(DATE(YEAR(AsOfDate),MONTH(AF60),DAY(AF60))&lt;=AsOfDate,1,0),MONTH(AF60),DAY(AF60)))</f>
        <v/>
      </c>
      <c r="L60" s="12" t="str">
        <f aca="false">IF(AE60=0,"",ROUND((AsOfDate-AF60)/365.25,1))</f>
        <v/>
      </c>
      <c r="M60" s="13" t="str">
        <f aca="false">IF(AE60=0,"",IF(AsOfDate&lt;AF60,"-",DATEDIF(AF60,AsOfDate,"y")&amp;"y "&amp;DATEDIF(AF60,AsOfDate,"ym")&amp;"m "&amp;DATEDIF(AF60,AsOfDate,"md")&amp;"d"))</f>
        <v/>
      </c>
      <c r="N60" s="14" t="str">
        <f aca="false">IF(AE60=0,"",O60*HoursPerDay)</f>
        <v/>
      </c>
      <c r="O60" s="14" t="str">
        <f aca="false">IF(AE60=0,"",AX60)</f>
        <v/>
      </c>
      <c r="P60" s="15"/>
      <c r="Q60" s="13"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13"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1" t="str">
        <f aca="false">IF(AE60=0,"",IF(AQ60="None","",EDATE(AF60,AZ60)))</f>
        <v/>
      </c>
      <c r="T60" s="14" t="str">
        <f aca="false">IF(AE60=0,"",IF(NOT(LH_Ready),"",IF(AF60&gt;PFYDate,0,IF(LH_ColPeriod=0,W60-U60+V60,SUMIFS(INDEX(LH_Data,0,LH_ColAcc),INDEX(LH_Data,0,LH_ColFirst),$A60,INDEX(LH_Data,0,LH_ColSur),$B60,INDEX(LH_Data,0,LH_ColCat),BonusCat,INDEX(LH_Data,0,LH_ColPeriod),LH_OpenLabel)*UnitFactor))))</f>
        <v/>
      </c>
      <c r="U60" s="14" t="str">
        <f aca="false">IF(AE60=0,"",IF(NOT(LH_Ready),"",SUMIFS(INDEX(LH_Data,0,LH_ColAcc),INDEX(LH_Data,0,LH_ColFirst),$A60,INDEX(LH_Data,0,LH_ColSur),$B60,INDEX(LH_Data,0,LH_ColCat),BonusCat,INDEX(LH_Data,0,LH_ColStart),"&gt;="&amp;AF60)*UnitFactor))</f>
        <v/>
      </c>
      <c r="V60" s="14" t="str">
        <f aca="false">IF(AE60=0,"",IF(NOT(LH_Ready),"",SUMIFS(INDEX(LH_Data,0,LH_ColTaken),INDEX(LH_Data,0,LH_ColFirst),$A60,INDEX(LH_Data,0,LH_ColSur),$B60,INDEX(LH_Data,0,LH_ColCat),BonusCat,INDEX(LH_Data,0,LH_ColStart),"&gt;="&amp;AF60)*UnitFactor))</f>
        <v/>
      </c>
      <c r="W60" s="14" t="str">
        <f aca="false">IF(AE60=0,"",IF(NOT(LH_Ready),"",IF(BB60=0,0,INDEX(INDEX(LH_Data,0,LH_ColClose),BB60-1)*UnitFactor)))</f>
        <v/>
      </c>
      <c r="X60" s="14" t="str">
        <f aca="false">IF(AE60=0,"",(AX60-AY60)*HoursPerDay)</f>
        <v/>
      </c>
      <c r="Y60" s="14" t="str">
        <f aca="false">IF(AE60=0,"",IF(NOT(LH_Ready),"",IF(BA60=0,N60,IF(PFYDate&lt;$F60,N60-N(T60)-N(U60),X60-N(U60)))))</f>
        <v/>
      </c>
      <c r="Z60" s="13" t="str">
        <f aca="false">IF(OR(AE60=0,Y60=""),"",IF(Y60&gt;0,"Yes","No"))</f>
        <v/>
      </c>
      <c r="AA60" s="13"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 hrs more than policy since commencement",IF(N(W60)&gt;O60*HoursPerDay+0.01,"CHECK - EH balance "&amp;ROUND(W60-O60*HoursPerDay,2)&amp;" hrs more than policy entitlement",IF(O60&gt;0,"OK - nothing to add",IF(AQ60="None",R60,"Not yet - first day on "&amp;TEXT(S60,"dd/mm/yyyy")))))))))</f>
        <v/>
      </c>
      <c r="AB60" s="14" t="str">
        <f aca="false">IF(OR(AE60=0,T60=""),"",AY60*HoursPerDay-T60)</f>
        <v/>
      </c>
      <c r="AC60" s="13" t="str">
        <f aca="false">IF(AE60=0,"",BA60)</f>
        <v/>
      </c>
      <c r="AD60" s="13"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3" t="n">
        <f aca="false">IF(OR(LEN($A60&amp;$B60)=0,$F60=""),0,1)</f>
        <v>0</v>
      </c>
      <c r="AF60" s="11" t="str">
        <f aca="false">IF(AE60=0,"",IF($J60&lt;&gt;"",$J60,IF(OR(CasualCounts="Yes",COUNT($G60:$I60)=0,COUNT($G60:$H60)=0),$F60,MIN($G60:$H60))))</f>
        <v/>
      </c>
      <c r="AG60" s="13" t="str">
        <f aca="false">IF(AE60=0,"",COUNT($G60:$I60))</f>
        <v/>
      </c>
      <c r="AH60" s="11" t="str">
        <f aca="false">IF(AE60=0,"",IFERROR(SMALL($G60:$I60,1),""))</f>
        <v/>
      </c>
      <c r="AI60" s="11" t="str">
        <f aca="false">IF(AE60=0,"",IFERROR(SMALL($G60:$I60,2),""))</f>
        <v/>
      </c>
      <c r="AJ60" s="11" t="str">
        <f aca="false">IF(AE60=0,"",IFERROR(SMALL($G60:$I60,3),""))</f>
        <v/>
      </c>
      <c r="AK60" s="13" t="str">
        <f aca="false">IF(AE60=0,"",IF(AH60="","",IF(AH60=$G60,"Part-Time",IF(AH60=$H60,"Full-Time","Casual"))))</f>
        <v/>
      </c>
      <c r="AL60" s="13" t="str">
        <f aca="false">IF(AE60=0,"",IF(AI60="","",IF(AI60=$G60,"Part-Time",IF(AI60=$H60,"Full-Time","Casual"))))</f>
        <v/>
      </c>
      <c r="AM60" s="13" t="str">
        <f aca="false">IF(AE60=0,"",IF(AJ60="","",IF(AJ60=$G60,"Part-Time",IF(AJ60=$H60,"Full-Time","Casual"))))</f>
        <v/>
      </c>
      <c r="AN60" s="13"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3" t="str">
        <f aca="false">IF(AE60=0,"",IF(AG60&lt;2,"",IF(OR(ISNUMBER(SEARCH("full",AL60)),UPPER(TRIM(AL60))="FT",UPPER(TRIM(AL60))="FTE"),"FT",IF(AND(OR(ISNUMBER(SEARCH("part",AL60)),UPPER(TRIM(AL60))="PT",UPPER(TRIM(AL60))="PTE"),OR($P60="",N($P60)&gt;=PT_MinHours)),"PT","None"))))</f>
        <v/>
      </c>
      <c r="AP60" s="13" t="str">
        <f aca="false">IF(AE60=0,"",IF(AG60&lt;3,"",IF(OR(ISNUMBER(SEARCH("full",AM60)),UPPER(TRIM(AM60))="FT",UPPER(TRIM(AM60))="FTE"),"FT",IF(AND(OR(ISNUMBER(SEARCH("part",AM60)),UPPER(TRIM(AM60))="PT",UPPER(TRIM(AM60))="PTE"),OR($P60="",N($P60)&gt;=PT_MinHours)),"PT","None"))))</f>
        <v/>
      </c>
      <c r="AQ60" s="13" t="str">
        <f aca="false">IF(AE60=0,"",IF(AND(AG60&gt;=3,AJ60&lt;=AsOfDate),AP60,IF(AND(AG60&gt;=2,AI60&lt;=AsOfDate),AO60,AN60)))</f>
        <v/>
      </c>
      <c r="AR60" s="13" t="str">
        <f aca="false">IF(AE60=0,"",IF(AsOfDate&lt;AF60,-1,12*(YEAR(AsOfDate)-YEAR(AF60))+MONTH(AsOfDate)-MONTH(AF60)-IF(DAY(AsOfDate)&lt;MIN(DAY(AF60),DAY(EOMONTH(AsOfDate,0))),1,0)))</f>
        <v/>
      </c>
      <c r="AS60" s="13" t="str">
        <f aca="false">IF(AE60=0,"",IF(OR(AG60&lt;2,AI60&gt;AsOfDate),AR60,IF((AI60-1)&lt;AF60,-1,12*(YEAR((AI60-1))-YEAR(AF60))+MONTH((AI60-1))-MONTH(AF60)-IF(DAY((AI60-1))&lt;MIN(DAY(AF60),DAY(EOMONTH((AI60-1),0))),1,0))))</f>
        <v/>
      </c>
      <c r="AT60" s="13" t="str">
        <f aca="false">IF(AE60=0,"",IF(OR(AG60&lt;3,AJ60&gt;AsOfDate),AR60,IF((AJ60-1)&lt;AF60,-1,12*(YEAR((AJ60-1))-YEAR(AF60))+MONTH((AJ60-1))-MONTH(AF60)-IF(DAY((AJ60-1))&lt;MIN(DAY(AF60),DAY(EOMONTH((AJ60-1),0))),1,0))))</f>
        <v/>
      </c>
      <c r="AU60" s="13" t="str">
        <f aca="false">IF(AE60=0,"",IF(PFYDate&lt;AF60,-1,12*(YEAR(PFYDate)-YEAR(AF60))+MONTH(PFYDate)-MONTH(AF60)-IF(DAY(PFYDate)&lt;MIN(DAY(AF60),DAY(EOMONTH(PFYDate,0))),1,0)))</f>
        <v/>
      </c>
      <c r="AV60" s="13" t="str">
        <f aca="false">IF(AE60=0,"",IF(OR(AG60&lt;2,AI60&gt;PFYDate),AU60,IF((AI60-1)&lt;AF60,-1,12*(YEAR((AI60-1))-YEAR(AF60))+MONTH((AI60-1))-MONTH(AF60)-IF(DAY((AI60-1))&lt;MIN(DAY(AF60),DAY(EOMONTH((AI60-1),0))),1,0))))</f>
        <v/>
      </c>
      <c r="AW60" s="13" t="str">
        <f aca="false">IF(AE60=0,"",IF(OR(AG60&lt;3,AJ60&gt;PFYDate),AU60,IF((AJ60-1)&lt;AF60,-1,12*(YEAR((AJ60-1))-YEAR(AF60))+MONTH((AJ60-1))-MONTH(AF60)-IF(DAY((AJ60-1))&lt;MIN(DAY(AF60),DAY(EOMONTH((AJ60-1),0))),1,0))))</f>
        <v/>
      </c>
      <c r="AX60" s="13"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3"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3" t="str">
        <f aca="false">IF(AE60=0,"",IF(AQ60="FT",IF(AR60&lt;FT_First,FT_First,IF(AR60&lt;FT_Y5,MIN(FT_Y5,FT_First+FT_Int1*(INT((AR60-FT_First)/FT_Int1)+1)),FT_Y5+12*INT((AR60-FT_Y5)/12)+FT_Int2*(INT(MOD(AR60-FT_Y5,12)/FT_Int2)+1))),IF(AQ60="PT",IF(AR60&lt;PT_First,PT_First,PT_First+PT_Int*(INT((AR60-PT_First)/PT_Int)+1)),"")))</f>
        <v/>
      </c>
      <c r="BA60" s="13" t="str">
        <f aca="false">IF(AE60=0,"",IF(NOT(LH_Ready),0,COUNTIFS(INDEX(LH_Data,0,LH_ColFirst),$A60,INDEX(LH_Data,0,LH_ColSur),$B60,INDEX(LH_Data,0,LH_ColCat),BonusCat)))</f>
        <v/>
      </c>
      <c r="BB60" s="13" t="str">
        <f aca="false">IF(AE60=0,"",IF(OR(NOT(LH_Ready),BA60=0),0,SUMPRODUCT(MAX((INDEX(LH_Data,0,LH_ColFirst)=$A60)*(INDEX(LH_Data,0,LH_ColSur)=$B60)*(INDEX(LH_Data,0,LH_ColCat)=BonusCat)*ROW(LH_Data)))))</f>
        <v/>
      </c>
      <c r="BC60" s="0" t="str">
        <f aca="false">IF(LEN($A60&amp;$B60)=0,"",$A60&amp;" "&amp;$B60)</f>
        <v/>
      </c>
    </row>
    <row r="61" customFormat="false" ht="15" hidden="false" customHeight="false" outlineLevel="0" collapsed="false">
      <c r="A61" s="9"/>
      <c r="B61" s="9"/>
      <c r="C61" s="9"/>
      <c r="D61" s="10"/>
      <c r="E61" s="11" t="str">
        <f aca="false">IF(OR(AE61=0,$D61=""),"",DATE(YEAR(AsOfDate)+IF(DATE(YEAR(AsOfDate),MONTH($D61),DAY($D61))&lt;=AsOfDate,1,0),MONTH($D61),DAY($D61)))</f>
        <v/>
      </c>
      <c r="F61" s="10"/>
      <c r="G61" s="10"/>
      <c r="H61" s="10"/>
      <c r="I61" s="10"/>
      <c r="J61" s="10"/>
      <c r="K61" s="11" t="str">
        <f aca="false">IF(AE61=0,"",DATE(YEAR(AsOfDate)+IF(DATE(YEAR(AsOfDate),MONTH(AF61),DAY(AF61))&lt;=AsOfDate,1,0),MONTH(AF61),DAY(AF61)))</f>
        <v/>
      </c>
      <c r="L61" s="12" t="str">
        <f aca="false">IF(AE61=0,"",ROUND((AsOfDate-AF61)/365.25,1))</f>
        <v/>
      </c>
      <c r="M61" s="13" t="str">
        <f aca="false">IF(AE61=0,"",IF(AsOfDate&lt;AF61,"-",DATEDIF(AF61,AsOfDate,"y")&amp;"y "&amp;DATEDIF(AF61,AsOfDate,"ym")&amp;"m "&amp;DATEDIF(AF61,AsOfDate,"md")&amp;"d"))</f>
        <v/>
      </c>
      <c r="N61" s="14" t="str">
        <f aca="false">IF(AE61=0,"",O61*HoursPerDay)</f>
        <v/>
      </c>
      <c r="O61" s="14" t="str">
        <f aca="false">IF(AE61=0,"",AX61)</f>
        <v/>
      </c>
      <c r="P61" s="15"/>
      <c r="Q61" s="13"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13"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1" t="str">
        <f aca="false">IF(AE61=0,"",IF(AQ61="None","",EDATE(AF61,AZ61)))</f>
        <v/>
      </c>
      <c r="T61" s="14" t="str">
        <f aca="false">IF(AE61=0,"",IF(NOT(LH_Ready),"",IF(AF61&gt;PFYDate,0,IF(LH_ColPeriod=0,W61-U61+V61,SUMIFS(INDEX(LH_Data,0,LH_ColAcc),INDEX(LH_Data,0,LH_ColFirst),$A61,INDEX(LH_Data,0,LH_ColSur),$B61,INDEX(LH_Data,0,LH_ColCat),BonusCat,INDEX(LH_Data,0,LH_ColPeriod),LH_OpenLabel)*UnitFactor))))</f>
        <v/>
      </c>
      <c r="U61" s="14" t="str">
        <f aca="false">IF(AE61=0,"",IF(NOT(LH_Ready),"",SUMIFS(INDEX(LH_Data,0,LH_ColAcc),INDEX(LH_Data,0,LH_ColFirst),$A61,INDEX(LH_Data,0,LH_ColSur),$B61,INDEX(LH_Data,0,LH_ColCat),BonusCat,INDEX(LH_Data,0,LH_ColStart),"&gt;="&amp;AF61)*UnitFactor))</f>
        <v/>
      </c>
      <c r="V61" s="14" t="str">
        <f aca="false">IF(AE61=0,"",IF(NOT(LH_Ready),"",SUMIFS(INDEX(LH_Data,0,LH_ColTaken),INDEX(LH_Data,0,LH_ColFirst),$A61,INDEX(LH_Data,0,LH_ColSur),$B61,INDEX(LH_Data,0,LH_ColCat),BonusCat,INDEX(LH_Data,0,LH_ColStart),"&gt;="&amp;AF61)*UnitFactor))</f>
        <v/>
      </c>
      <c r="W61" s="14" t="str">
        <f aca="false">IF(AE61=0,"",IF(NOT(LH_Ready),"",IF(BB61=0,0,INDEX(INDEX(LH_Data,0,LH_ColClose),BB61-1)*UnitFactor)))</f>
        <v/>
      </c>
      <c r="X61" s="14" t="str">
        <f aca="false">IF(AE61=0,"",(AX61-AY61)*HoursPerDay)</f>
        <v/>
      </c>
      <c r="Y61" s="14" t="str">
        <f aca="false">IF(AE61=0,"",IF(NOT(LH_Ready),"",IF(BA61=0,N61,IF(PFYDate&lt;$F61,N61-N(T61)-N(U61),X61-N(U61)))))</f>
        <v/>
      </c>
      <c r="Z61" s="13" t="str">
        <f aca="false">IF(OR(AE61=0,Y61=""),"",IF(Y61&gt;0,"Yes","No"))</f>
        <v/>
      </c>
      <c r="AA61" s="13"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 hrs more than policy since commencement",IF(N(W61)&gt;O61*HoursPerDay+0.01,"CHECK - EH balance "&amp;ROUND(W61-O61*HoursPerDay,2)&amp;" hrs more than policy entitlement",IF(O61&gt;0,"OK - nothing to add",IF(AQ61="None",R61,"Not yet - first day on "&amp;TEXT(S61,"dd/mm/yyyy")))))))))</f>
        <v/>
      </c>
      <c r="AB61" s="14" t="str">
        <f aca="false">IF(OR(AE61=0,T61=""),"",AY61*HoursPerDay-T61)</f>
        <v/>
      </c>
      <c r="AC61" s="13" t="str">
        <f aca="false">IF(AE61=0,"",BA61)</f>
        <v/>
      </c>
      <c r="AD61" s="13"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3" t="n">
        <f aca="false">IF(OR(LEN($A61&amp;$B61)=0,$F61=""),0,1)</f>
        <v>0</v>
      </c>
      <c r="AF61" s="11" t="str">
        <f aca="false">IF(AE61=0,"",IF($J61&lt;&gt;"",$J61,IF(OR(CasualCounts="Yes",COUNT($G61:$I61)=0,COUNT($G61:$H61)=0),$F61,MIN($G61:$H61))))</f>
        <v/>
      </c>
      <c r="AG61" s="13" t="str">
        <f aca="false">IF(AE61=0,"",COUNT($G61:$I61))</f>
        <v/>
      </c>
      <c r="AH61" s="11" t="str">
        <f aca="false">IF(AE61=0,"",IFERROR(SMALL($G61:$I61,1),""))</f>
        <v/>
      </c>
      <c r="AI61" s="11" t="str">
        <f aca="false">IF(AE61=0,"",IFERROR(SMALL($G61:$I61,2),""))</f>
        <v/>
      </c>
      <c r="AJ61" s="11" t="str">
        <f aca="false">IF(AE61=0,"",IFERROR(SMALL($G61:$I61,3),""))</f>
        <v/>
      </c>
      <c r="AK61" s="13" t="str">
        <f aca="false">IF(AE61=0,"",IF(AH61="","",IF(AH61=$G61,"Part-Time",IF(AH61=$H61,"Full-Time","Casual"))))</f>
        <v/>
      </c>
      <c r="AL61" s="13" t="str">
        <f aca="false">IF(AE61=0,"",IF(AI61="","",IF(AI61=$G61,"Part-Time",IF(AI61=$H61,"Full-Time","Casual"))))</f>
        <v/>
      </c>
      <c r="AM61" s="13" t="str">
        <f aca="false">IF(AE61=0,"",IF(AJ61="","",IF(AJ61=$G61,"Part-Time",IF(AJ61=$H61,"Full-Time","Casual"))))</f>
        <v/>
      </c>
      <c r="AN61" s="13"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3" t="str">
        <f aca="false">IF(AE61=0,"",IF(AG61&lt;2,"",IF(OR(ISNUMBER(SEARCH("full",AL61)),UPPER(TRIM(AL61))="FT",UPPER(TRIM(AL61))="FTE"),"FT",IF(AND(OR(ISNUMBER(SEARCH("part",AL61)),UPPER(TRIM(AL61))="PT",UPPER(TRIM(AL61))="PTE"),OR($P61="",N($P61)&gt;=PT_MinHours)),"PT","None"))))</f>
        <v/>
      </c>
      <c r="AP61" s="13" t="str">
        <f aca="false">IF(AE61=0,"",IF(AG61&lt;3,"",IF(OR(ISNUMBER(SEARCH("full",AM61)),UPPER(TRIM(AM61))="FT",UPPER(TRIM(AM61))="FTE"),"FT",IF(AND(OR(ISNUMBER(SEARCH("part",AM61)),UPPER(TRIM(AM61))="PT",UPPER(TRIM(AM61))="PTE"),OR($P61="",N($P61)&gt;=PT_MinHours)),"PT","None"))))</f>
        <v/>
      </c>
      <c r="AQ61" s="13" t="str">
        <f aca="false">IF(AE61=0,"",IF(AND(AG61&gt;=3,AJ61&lt;=AsOfDate),AP61,IF(AND(AG61&gt;=2,AI61&lt;=AsOfDate),AO61,AN61)))</f>
        <v/>
      </c>
      <c r="AR61" s="13" t="str">
        <f aca="false">IF(AE61=0,"",IF(AsOfDate&lt;AF61,-1,12*(YEAR(AsOfDate)-YEAR(AF61))+MONTH(AsOfDate)-MONTH(AF61)-IF(DAY(AsOfDate)&lt;MIN(DAY(AF61),DAY(EOMONTH(AsOfDate,0))),1,0)))</f>
        <v/>
      </c>
      <c r="AS61" s="13" t="str">
        <f aca="false">IF(AE61=0,"",IF(OR(AG61&lt;2,AI61&gt;AsOfDate),AR61,IF((AI61-1)&lt;AF61,-1,12*(YEAR((AI61-1))-YEAR(AF61))+MONTH((AI61-1))-MONTH(AF61)-IF(DAY((AI61-1))&lt;MIN(DAY(AF61),DAY(EOMONTH((AI61-1),0))),1,0))))</f>
        <v/>
      </c>
      <c r="AT61" s="13" t="str">
        <f aca="false">IF(AE61=0,"",IF(OR(AG61&lt;3,AJ61&gt;AsOfDate),AR61,IF((AJ61-1)&lt;AF61,-1,12*(YEAR((AJ61-1))-YEAR(AF61))+MONTH((AJ61-1))-MONTH(AF61)-IF(DAY((AJ61-1))&lt;MIN(DAY(AF61),DAY(EOMONTH((AJ61-1),0))),1,0))))</f>
        <v/>
      </c>
      <c r="AU61" s="13" t="str">
        <f aca="false">IF(AE61=0,"",IF(PFYDate&lt;AF61,-1,12*(YEAR(PFYDate)-YEAR(AF61))+MONTH(PFYDate)-MONTH(AF61)-IF(DAY(PFYDate)&lt;MIN(DAY(AF61),DAY(EOMONTH(PFYDate,0))),1,0)))</f>
        <v/>
      </c>
      <c r="AV61" s="13" t="str">
        <f aca="false">IF(AE61=0,"",IF(OR(AG61&lt;2,AI61&gt;PFYDate),AU61,IF((AI61-1)&lt;AF61,-1,12*(YEAR((AI61-1))-YEAR(AF61))+MONTH((AI61-1))-MONTH(AF61)-IF(DAY((AI61-1))&lt;MIN(DAY(AF61),DAY(EOMONTH((AI61-1),0))),1,0))))</f>
        <v/>
      </c>
      <c r="AW61" s="13" t="str">
        <f aca="false">IF(AE61=0,"",IF(OR(AG61&lt;3,AJ61&gt;PFYDate),AU61,IF((AJ61-1)&lt;AF61,-1,12*(YEAR((AJ61-1))-YEAR(AF61))+MONTH((AJ61-1))-MONTH(AF61)-IF(DAY((AJ61-1))&lt;MIN(DAY(AF61),DAY(EOMONTH((AJ61-1),0))),1,0))))</f>
        <v/>
      </c>
      <c r="AX61" s="13"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3"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3" t="str">
        <f aca="false">IF(AE61=0,"",IF(AQ61="FT",IF(AR61&lt;FT_First,FT_First,IF(AR61&lt;FT_Y5,MIN(FT_Y5,FT_First+FT_Int1*(INT((AR61-FT_First)/FT_Int1)+1)),FT_Y5+12*INT((AR61-FT_Y5)/12)+FT_Int2*(INT(MOD(AR61-FT_Y5,12)/FT_Int2)+1))),IF(AQ61="PT",IF(AR61&lt;PT_First,PT_First,PT_First+PT_Int*(INT((AR61-PT_First)/PT_Int)+1)),"")))</f>
        <v/>
      </c>
      <c r="BA61" s="13" t="str">
        <f aca="false">IF(AE61=0,"",IF(NOT(LH_Ready),0,COUNTIFS(INDEX(LH_Data,0,LH_ColFirst),$A61,INDEX(LH_Data,0,LH_ColSur),$B61,INDEX(LH_Data,0,LH_ColCat),BonusCat)))</f>
        <v/>
      </c>
      <c r="BB61" s="13" t="str">
        <f aca="false">IF(AE61=0,"",IF(OR(NOT(LH_Ready),BA61=0),0,SUMPRODUCT(MAX((INDEX(LH_Data,0,LH_ColFirst)=$A61)*(INDEX(LH_Data,0,LH_ColSur)=$B61)*(INDEX(LH_Data,0,LH_ColCat)=BonusCat)*ROW(LH_Data)))))</f>
        <v/>
      </c>
      <c r="BC61" s="0" t="str">
        <f aca="false">IF(LEN($A61&amp;$B61)=0,"",$A61&amp;" "&amp;$B61)</f>
        <v/>
      </c>
    </row>
    <row r="62" customFormat="false" ht="15" hidden="false" customHeight="false" outlineLevel="0" collapsed="false">
      <c r="A62" s="9"/>
      <c r="B62" s="9"/>
      <c r="C62" s="9"/>
      <c r="D62" s="10"/>
      <c r="E62" s="11" t="str">
        <f aca="false">IF(OR(AE62=0,$D62=""),"",DATE(YEAR(AsOfDate)+IF(DATE(YEAR(AsOfDate),MONTH($D62),DAY($D62))&lt;=AsOfDate,1,0),MONTH($D62),DAY($D62)))</f>
        <v/>
      </c>
      <c r="F62" s="10"/>
      <c r="G62" s="10"/>
      <c r="H62" s="10"/>
      <c r="I62" s="10"/>
      <c r="J62" s="10"/>
      <c r="K62" s="11" t="str">
        <f aca="false">IF(AE62=0,"",DATE(YEAR(AsOfDate)+IF(DATE(YEAR(AsOfDate),MONTH(AF62),DAY(AF62))&lt;=AsOfDate,1,0),MONTH(AF62),DAY(AF62)))</f>
        <v/>
      </c>
      <c r="L62" s="12" t="str">
        <f aca="false">IF(AE62=0,"",ROUND((AsOfDate-AF62)/365.25,1))</f>
        <v/>
      </c>
      <c r="M62" s="13" t="str">
        <f aca="false">IF(AE62=0,"",IF(AsOfDate&lt;AF62,"-",DATEDIF(AF62,AsOfDate,"y")&amp;"y "&amp;DATEDIF(AF62,AsOfDate,"ym")&amp;"m "&amp;DATEDIF(AF62,AsOfDate,"md")&amp;"d"))</f>
        <v/>
      </c>
      <c r="N62" s="14" t="str">
        <f aca="false">IF(AE62=0,"",O62*HoursPerDay)</f>
        <v/>
      </c>
      <c r="O62" s="14" t="str">
        <f aca="false">IF(AE62=0,"",AX62)</f>
        <v/>
      </c>
      <c r="P62" s="15"/>
      <c r="Q62" s="13"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13"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1" t="str">
        <f aca="false">IF(AE62=0,"",IF(AQ62="None","",EDATE(AF62,AZ62)))</f>
        <v/>
      </c>
      <c r="T62" s="14" t="str">
        <f aca="false">IF(AE62=0,"",IF(NOT(LH_Ready),"",IF(AF62&gt;PFYDate,0,IF(LH_ColPeriod=0,W62-U62+V62,SUMIFS(INDEX(LH_Data,0,LH_ColAcc),INDEX(LH_Data,0,LH_ColFirst),$A62,INDEX(LH_Data,0,LH_ColSur),$B62,INDEX(LH_Data,0,LH_ColCat),BonusCat,INDEX(LH_Data,0,LH_ColPeriod),LH_OpenLabel)*UnitFactor))))</f>
        <v/>
      </c>
      <c r="U62" s="14" t="str">
        <f aca="false">IF(AE62=0,"",IF(NOT(LH_Ready),"",SUMIFS(INDEX(LH_Data,0,LH_ColAcc),INDEX(LH_Data,0,LH_ColFirst),$A62,INDEX(LH_Data,0,LH_ColSur),$B62,INDEX(LH_Data,0,LH_ColCat),BonusCat,INDEX(LH_Data,0,LH_ColStart),"&gt;="&amp;AF62)*UnitFactor))</f>
        <v/>
      </c>
      <c r="V62" s="14" t="str">
        <f aca="false">IF(AE62=0,"",IF(NOT(LH_Ready),"",SUMIFS(INDEX(LH_Data,0,LH_ColTaken),INDEX(LH_Data,0,LH_ColFirst),$A62,INDEX(LH_Data,0,LH_ColSur),$B62,INDEX(LH_Data,0,LH_ColCat),BonusCat,INDEX(LH_Data,0,LH_ColStart),"&gt;="&amp;AF62)*UnitFactor))</f>
        <v/>
      </c>
      <c r="W62" s="14" t="str">
        <f aca="false">IF(AE62=0,"",IF(NOT(LH_Ready),"",IF(BB62=0,0,INDEX(INDEX(LH_Data,0,LH_ColClose),BB62-1)*UnitFactor)))</f>
        <v/>
      </c>
      <c r="X62" s="14" t="str">
        <f aca="false">IF(AE62=0,"",(AX62-AY62)*HoursPerDay)</f>
        <v/>
      </c>
      <c r="Y62" s="14" t="str">
        <f aca="false">IF(AE62=0,"",IF(NOT(LH_Ready),"",IF(BA62=0,N62,IF(PFYDate&lt;$F62,N62-N(T62)-N(U62),X62-N(U62)))))</f>
        <v/>
      </c>
      <c r="Z62" s="13" t="str">
        <f aca="false">IF(OR(AE62=0,Y62=""),"",IF(Y62&gt;0,"Yes","No"))</f>
        <v/>
      </c>
      <c r="AA62" s="13"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 hrs more than policy since commencement",IF(N(W62)&gt;O62*HoursPerDay+0.01,"CHECK - EH balance "&amp;ROUND(W62-O62*HoursPerDay,2)&amp;" hrs more than policy entitlement",IF(O62&gt;0,"OK - nothing to add",IF(AQ62="None",R62,"Not yet - first day on "&amp;TEXT(S62,"dd/mm/yyyy")))))))))</f>
        <v/>
      </c>
      <c r="AB62" s="14" t="str">
        <f aca="false">IF(OR(AE62=0,T62=""),"",AY62*HoursPerDay-T62)</f>
        <v/>
      </c>
      <c r="AC62" s="13" t="str">
        <f aca="false">IF(AE62=0,"",BA62)</f>
        <v/>
      </c>
      <c r="AD62" s="13"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3" t="n">
        <f aca="false">IF(OR(LEN($A62&amp;$B62)=0,$F62=""),0,1)</f>
        <v>0</v>
      </c>
      <c r="AF62" s="11" t="str">
        <f aca="false">IF(AE62=0,"",IF($J62&lt;&gt;"",$J62,IF(OR(CasualCounts="Yes",COUNT($G62:$I62)=0,COUNT($G62:$H62)=0),$F62,MIN($G62:$H62))))</f>
        <v/>
      </c>
      <c r="AG62" s="13" t="str">
        <f aca="false">IF(AE62=0,"",COUNT($G62:$I62))</f>
        <v/>
      </c>
      <c r="AH62" s="11" t="str">
        <f aca="false">IF(AE62=0,"",IFERROR(SMALL($G62:$I62,1),""))</f>
        <v/>
      </c>
      <c r="AI62" s="11" t="str">
        <f aca="false">IF(AE62=0,"",IFERROR(SMALL($G62:$I62,2),""))</f>
        <v/>
      </c>
      <c r="AJ62" s="11" t="str">
        <f aca="false">IF(AE62=0,"",IFERROR(SMALL($G62:$I62,3),""))</f>
        <v/>
      </c>
      <c r="AK62" s="13" t="str">
        <f aca="false">IF(AE62=0,"",IF(AH62="","",IF(AH62=$G62,"Part-Time",IF(AH62=$H62,"Full-Time","Casual"))))</f>
        <v/>
      </c>
      <c r="AL62" s="13" t="str">
        <f aca="false">IF(AE62=0,"",IF(AI62="","",IF(AI62=$G62,"Part-Time",IF(AI62=$H62,"Full-Time","Casual"))))</f>
        <v/>
      </c>
      <c r="AM62" s="13" t="str">
        <f aca="false">IF(AE62=0,"",IF(AJ62="","",IF(AJ62=$G62,"Part-Time",IF(AJ62=$H62,"Full-Time","Casual"))))</f>
        <v/>
      </c>
      <c r="AN62" s="13"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3" t="str">
        <f aca="false">IF(AE62=0,"",IF(AG62&lt;2,"",IF(OR(ISNUMBER(SEARCH("full",AL62)),UPPER(TRIM(AL62))="FT",UPPER(TRIM(AL62))="FTE"),"FT",IF(AND(OR(ISNUMBER(SEARCH("part",AL62)),UPPER(TRIM(AL62))="PT",UPPER(TRIM(AL62))="PTE"),OR($P62="",N($P62)&gt;=PT_MinHours)),"PT","None"))))</f>
        <v/>
      </c>
      <c r="AP62" s="13" t="str">
        <f aca="false">IF(AE62=0,"",IF(AG62&lt;3,"",IF(OR(ISNUMBER(SEARCH("full",AM62)),UPPER(TRIM(AM62))="FT",UPPER(TRIM(AM62))="FTE"),"FT",IF(AND(OR(ISNUMBER(SEARCH("part",AM62)),UPPER(TRIM(AM62))="PT",UPPER(TRIM(AM62))="PTE"),OR($P62="",N($P62)&gt;=PT_MinHours)),"PT","None"))))</f>
        <v/>
      </c>
      <c r="AQ62" s="13" t="str">
        <f aca="false">IF(AE62=0,"",IF(AND(AG62&gt;=3,AJ62&lt;=AsOfDate),AP62,IF(AND(AG62&gt;=2,AI62&lt;=AsOfDate),AO62,AN62)))</f>
        <v/>
      </c>
      <c r="AR62" s="13" t="str">
        <f aca="false">IF(AE62=0,"",IF(AsOfDate&lt;AF62,-1,12*(YEAR(AsOfDate)-YEAR(AF62))+MONTH(AsOfDate)-MONTH(AF62)-IF(DAY(AsOfDate)&lt;MIN(DAY(AF62),DAY(EOMONTH(AsOfDate,0))),1,0)))</f>
        <v/>
      </c>
      <c r="AS62" s="13" t="str">
        <f aca="false">IF(AE62=0,"",IF(OR(AG62&lt;2,AI62&gt;AsOfDate),AR62,IF((AI62-1)&lt;AF62,-1,12*(YEAR((AI62-1))-YEAR(AF62))+MONTH((AI62-1))-MONTH(AF62)-IF(DAY((AI62-1))&lt;MIN(DAY(AF62),DAY(EOMONTH((AI62-1),0))),1,0))))</f>
        <v/>
      </c>
      <c r="AT62" s="13" t="str">
        <f aca="false">IF(AE62=0,"",IF(OR(AG62&lt;3,AJ62&gt;AsOfDate),AR62,IF((AJ62-1)&lt;AF62,-1,12*(YEAR((AJ62-1))-YEAR(AF62))+MONTH((AJ62-1))-MONTH(AF62)-IF(DAY((AJ62-1))&lt;MIN(DAY(AF62),DAY(EOMONTH((AJ62-1),0))),1,0))))</f>
        <v/>
      </c>
      <c r="AU62" s="13" t="str">
        <f aca="false">IF(AE62=0,"",IF(PFYDate&lt;AF62,-1,12*(YEAR(PFYDate)-YEAR(AF62))+MONTH(PFYDate)-MONTH(AF62)-IF(DAY(PFYDate)&lt;MIN(DAY(AF62),DAY(EOMONTH(PFYDate,0))),1,0)))</f>
        <v/>
      </c>
      <c r="AV62" s="13" t="str">
        <f aca="false">IF(AE62=0,"",IF(OR(AG62&lt;2,AI62&gt;PFYDate),AU62,IF((AI62-1)&lt;AF62,-1,12*(YEAR((AI62-1))-YEAR(AF62))+MONTH((AI62-1))-MONTH(AF62)-IF(DAY((AI62-1))&lt;MIN(DAY(AF62),DAY(EOMONTH((AI62-1),0))),1,0))))</f>
        <v/>
      </c>
      <c r="AW62" s="13" t="str">
        <f aca="false">IF(AE62=0,"",IF(OR(AG62&lt;3,AJ62&gt;PFYDate),AU62,IF((AJ62-1)&lt;AF62,-1,12*(YEAR((AJ62-1))-YEAR(AF62))+MONTH((AJ62-1))-MONTH(AF62)-IF(DAY((AJ62-1))&lt;MIN(DAY(AF62),DAY(EOMONTH((AJ62-1),0))),1,0))))</f>
        <v/>
      </c>
      <c r="AX62" s="13"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3"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3" t="str">
        <f aca="false">IF(AE62=0,"",IF(AQ62="FT",IF(AR62&lt;FT_First,FT_First,IF(AR62&lt;FT_Y5,MIN(FT_Y5,FT_First+FT_Int1*(INT((AR62-FT_First)/FT_Int1)+1)),FT_Y5+12*INT((AR62-FT_Y5)/12)+FT_Int2*(INT(MOD(AR62-FT_Y5,12)/FT_Int2)+1))),IF(AQ62="PT",IF(AR62&lt;PT_First,PT_First,PT_First+PT_Int*(INT((AR62-PT_First)/PT_Int)+1)),"")))</f>
        <v/>
      </c>
      <c r="BA62" s="13" t="str">
        <f aca="false">IF(AE62=0,"",IF(NOT(LH_Ready),0,COUNTIFS(INDEX(LH_Data,0,LH_ColFirst),$A62,INDEX(LH_Data,0,LH_ColSur),$B62,INDEX(LH_Data,0,LH_ColCat),BonusCat)))</f>
        <v/>
      </c>
      <c r="BB62" s="13" t="str">
        <f aca="false">IF(AE62=0,"",IF(OR(NOT(LH_Ready),BA62=0),0,SUMPRODUCT(MAX((INDEX(LH_Data,0,LH_ColFirst)=$A62)*(INDEX(LH_Data,0,LH_ColSur)=$B62)*(INDEX(LH_Data,0,LH_ColCat)=BonusCat)*ROW(LH_Data)))))</f>
        <v/>
      </c>
      <c r="BC62" s="0" t="str">
        <f aca="false">IF(LEN($A62&amp;$B62)=0,"",$A62&amp;" "&amp;$B62)</f>
        <v/>
      </c>
    </row>
    <row r="63" customFormat="false" ht="15" hidden="false" customHeight="false" outlineLevel="0" collapsed="false">
      <c r="A63" s="9"/>
      <c r="B63" s="9"/>
      <c r="C63" s="9"/>
      <c r="D63" s="10"/>
      <c r="E63" s="11" t="str">
        <f aca="false">IF(OR(AE63=0,$D63=""),"",DATE(YEAR(AsOfDate)+IF(DATE(YEAR(AsOfDate),MONTH($D63),DAY($D63))&lt;=AsOfDate,1,0),MONTH($D63),DAY($D63)))</f>
        <v/>
      </c>
      <c r="F63" s="10"/>
      <c r="G63" s="10"/>
      <c r="H63" s="10"/>
      <c r="I63" s="10"/>
      <c r="J63" s="10"/>
      <c r="K63" s="11" t="str">
        <f aca="false">IF(AE63=0,"",DATE(YEAR(AsOfDate)+IF(DATE(YEAR(AsOfDate),MONTH(AF63),DAY(AF63))&lt;=AsOfDate,1,0),MONTH(AF63),DAY(AF63)))</f>
        <v/>
      </c>
      <c r="L63" s="12" t="str">
        <f aca="false">IF(AE63=0,"",ROUND((AsOfDate-AF63)/365.25,1))</f>
        <v/>
      </c>
      <c r="M63" s="13" t="str">
        <f aca="false">IF(AE63=0,"",IF(AsOfDate&lt;AF63,"-",DATEDIF(AF63,AsOfDate,"y")&amp;"y "&amp;DATEDIF(AF63,AsOfDate,"ym")&amp;"m "&amp;DATEDIF(AF63,AsOfDate,"md")&amp;"d"))</f>
        <v/>
      </c>
      <c r="N63" s="14" t="str">
        <f aca="false">IF(AE63=0,"",O63*HoursPerDay)</f>
        <v/>
      </c>
      <c r="O63" s="14" t="str">
        <f aca="false">IF(AE63=0,"",AX63)</f>
        <v/>
      </c>
      <c r="P63" s="15"/>
      <c r="Q63" s="13"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
      </c>
      <c r="R63" s="13"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1" t="str">
        <f aca="false">IF(AE63=0,"",IF(AQ63="None","",EDATE(AF63,AZ63)))</f>
        <v/>
      </c>
      <c r="T63" s="14" t="str">
        <f aca="false">IF(AE63=0,"",IF(NOT(LH_Ready),"",IF(AF63&gt;PFYDate,0,IF(LH_ColPeriod=0,W63-U63+V63,SUMIFS(INDEX(LH_Data,0,LH_ColAcc),INDEX(LH_Data,0,LH_ColFirst),$A63,INDEX(LH_Data,0,LH_ColSur),$B63,INDEX(LH_Data,0,LH_ColCat),BonusCat,INDEX(LH_Data,0,LH_ColPeriod),LH_OpenLabel)*UnitFactor))))</f>
        <v/>
      </c>
      <c r="U63" s="14" t="str">
        <f aca="false">IF(AE63=0,"",IF(NOT(LH_Ready),"",SUMIFS(INDEX(LH_Data,0,LH_ColAcc),INDEX(LH_Data,0,LH_ColFirst),$A63,INDEX(LH_Data,0,LH_ColSur),$B63,INDEX(LH_Data,0,LH_ColCat),BonusCat,INDEX(LH_Data,0,LH_ColStart),"&gt;="&amp;AF63)*UnitFactor))</f>
        <v/>
      </c>
      <c r="V63" s="14" t="str">
        <f aca="false">IF(AE63=0,"",IF(NOT(LH_Ready),"",SUMIFS(INDEX(LH_Data,0,LH_ColTaken),INDEX(LH_Data,0,LH_ColFirst),$A63,INDEX(LH_Data,0,LH_ColSur),$B63,INDEX(LH_Data,0,LH_ColCat),BonusCat,INDEX(LH_Data,0,LH_ColStart),"&gt;="&amp;AF63)*UnitFactor))</f>
        <v/>
      </c>
      <c r="W63" s="14" t="str">
        <f aca="false">IF(AE63=0,"",IF(NOT(LH_Ready),"",IF(BB63=0,0,INDEX(INDEX(LH_Data,0,LH_ColClose),BB63-1)*UnitFactor)))</f>
        <v/>
      </c>
      <c r="X63" s="14" t="str">
        <f aca="false">IF(AE63=0,"",(AX63-AY63)*HoursPerDay)</f>
        <v/>
      </c>
      <c r="Y63" s="14" t="str">
        <f aca="false">IF(AE63=0,"",IF(NOT(LH_Ready),"",IF(BA63=0,N63,IF(PFYDate&lt;$F63,N63-N(T63)-N(U63),X63-N(U63)))))</f>
        <v/>
      </c>
      <c r="Z63" s="13" t="str">
        <f aca="false">IF(OR(AE63=0,Y63=""),"",IF(Y63&gt;0,"Yes","No"))</f>
        <v/>
      </c>
      <c r="AA63" s="13"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 hrs more than policy since commencement",IF(N(W63)&gt;O63*HoursPerDay+0.01,"CHECK - EH balance "&amp;ROUND(W63-O63*HoursPerDay,2)&amp;" hrs more than policy entitlement",IF(O63&gt;0,"OK - nothing to add",IF(AQ63="None",R63,"Not yet - first day on "&amp;TEXT(S63,"dd/mm/yyyy")))))))))</f>
        <v/>
      </c>
      <c r="AB63" s="14" t="str">
        <f aca="false">IF(OR(AE63=0,T63=""),"",AY63*HoursPerDay-T63)</f>
        <v/>
      </c>
      <c r="AC63" s="13" t="str">
        <f aca="false">IF(AE63=0,"",BA63)</f>
        <v/>
      </c>
      <c r="AD63" s="13"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3" t="n">
        <f aca="false">IF(OR(LEN($A63&amp;$B63)=0,$F63=""),0,1)</f>
        <v>0</v>
      </c>
      <c r="AF63" s="11" t="str">
        <f aca="false">IF(AE63=0,"",IF($J63&lt;&gt;"",$J63,IF(OR(CasualCounts="Yes",COUNT($G63:$I63)=0,COUNT($G63:$H63)=0),$F63,MIN($G63:$H63))))</f>
        <v/>
      </c>
      <c r="AG63" s="13" t="str">
        <f aca="false">IF(AE63=0,"",COUNT($G63:$I63))</f>
        <v/>
      </c>
      <c r="AH63" s="11" t="str">
        <f aca="false">IF(AE63=0,"",IFERROR(SMALL($G63:$I63,1),""))</f>
        <v/>
      </c>
      <c r="AI63" s="11" t="str">
        <f aca="false">IF(AE63=0,"",IFERROR(SMALL($G63:$I63,2),""))</f>
        <v/>
      </c>
      <c r="AJ63" s="11" t="str">
        <f aca="false">IF(AE63=0,"",IFERROR(SMALL($G63:$I63,3),""))</f>
        <v/>
      </c>
      <c r="AK63" s="13" t="str">
        <f aca="false">IF(AE63=0,"",IF(AH63="","",IF(AH63=$G63,"Part-Time",IF(AH63=$H63,"Full-Time","Casual"))))</f>
        <v/>
      </c>
      <c r="AL63" s="13" t="str">
        <f aca="false">IF(AE63=0,"",IF(AI63="","",IF(AI63=$G63,"Part-Time",IF(AI63=$H63,"Full-Time","Casual"))))</f>
        <v/>
      </c>
      <c r="AM63" s="13" t="str">
        <f aca="false">IF(AE63=0,"",IF(AJ63="","",IF(AJ63=$G63,"Part-Time",IF(AJ63=$H63,"Full-Time","Casual"))))</f>
        <v/>
      </c>
      <c r="AN63" s="13"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3" t="str">
        <f aca="false">IF(AE63=0,"",IF(AG63&lt;2,"",IF(OR(ISNUMBER(SEARCH("full",AL63)),UPPER(TRIM(AL63))="FT",UPPER(TRIM(AL63))="FTE"),"FT",IF(AND(OR(ISNUMBER(SEARCH("part",AL63)),UPPER(TRIM(AL63))="PT",UPPER(TRIM(AL63))="PTE"),OR($P63="",N($P63)&gt;=PT_MinHours)),"PT","None"))))</f>
        <v/>
      </c>
      <c r="AP63" s="13" t="str">
        <f aca="false">IF(AE63=0,"",IF(AG63&lt;3,"",IF(OR(ISNUMBER(SEARCH("full",AM63)),UPPER(TRIM(AM63))="FT",UPPER(TRIM(AM63))="FTE"),"FT",IF(AND(OR(ISNUMBER(SEARCH("part",AM63)),UPPER(TRIM(AM63))="PT",UPPER(TRIM(AM63))="PTE"),OR($P63="",N($P63)&gt;=PT_MinHours)),"PT","None"))))</f>
        <v/>
      </c>
      <c r="AQ63" s="13" t="str">
        <f aca="false">IF(AE63=0,"",IF(AND(AG63&gt;=3,AJ63&lt;=AsOfDate),AP63,IF(AND(AG63&gt;=2,AI63&lt;=AsOfDate),AO63,AN63)))</f>
        <v/>
      </c>
      <c r="AR63" s="13" t="str">
        <f aca="false">IF(AE63=0,"",IF(AsOfDate&lt;AF63,-1,12*(YEAR(AsOfDate)-YEAR(AF63))+MONTH(AsOfDate)-MONTH(AF63)-IF(DAY(AsOfDate)&lt;MIN(DAY(AF63),DAY(EOMONTH(AsOfDate,0))),1,0)))</f>
        <v/>
      </c>
      <c r="AS63" s="13" t="str">
        <f aca="false">IF(AE63=0,"",IF(OR(AG63&lt;2,AI63&gt;AsOfDate),AR63,IF((AI63-1)&lt;AF63,-1,12*(YEAR((AI63-1))-YEAR(AF63))+MONTH((AI63-1))-MONTH(AF63)-IF(DAY((AI63-1))&lt;MIN(DAY(AF63),DAY(EOMONTH((AI63-1),0))),1,0))))</f>
        <v/>
      </c>
      <c r="AT63" s="13" t="str">
        <f aca="false">IF(AE63=0,"",IF(OR(AG63&lt;3,AJ63&gt;AsOfDate),AR63,IF((AJ63-1)&lt;AF63,-1,12*(YEAR((AJ63-1))-YEAR(AF63))+MONTH((AJ63-1))-MONTH(AF63)-IF(DAY((AJ63-1))&lt;MIN(DAY(AF63),DAY(EOMONTH((AJ63-1),0))),1,0))))</f>
        <v/>
      </c>
      <c r="AU63" s="13" t="str">
        <f aca="false">IF(AE63=0,"",IF(PFYDate&lt;AF63,-1,12*(YEAR(PFYDate)-YEAR(AF63))+MONTH(PFYDate)-MONTH(AF63)-IF(DAY(PFYDate)&lt;MIN(DAY(AF63),DAY(EOMONTH(PFYDate,0))),1,0)))</f>
        <v/>
      </c>
      <c r="AV63" s="13" t="str">
        <f aca="false">IF(AE63=0,"",IF(OR(AG63&lt;2,AI63&gt;PFYDate),AU63,IF((AI63-1)&lt;AF63,-1,12*(YEAR((AI63-1))-YEAR(AF63))+MONTH((AI63-1))-MONTH(AF63)-IF(DAY((AI63-1))&lt;MIN(DAY(AF63),DAY(EOMONTH((AI63-1),0))),1,0))))</f>
        <v/>
      </c>
      <c r="AW63" s="13" t="str">
        <f aca="false">IF(AE63=0,"",IF(OR(AG63&lt;3,AJ63&gt;PFYDate),AU63,IF((AJ63-1)&lt;AF63,-1,12*(YEAR((AJ63-1))-YEAR(AF63))+MONTH((AJ63-1))-MONTH(AF63)-IF(DAY((AJ63-1))&lt;MIN(DAY(AF63),DAY(EOMONTH((AJ63-1),0))),1,0))))</f>
        <v/>
      </c>
      <c r="AX63" s="13"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3"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3" t="str">
        <f aca="false">IF(AE63=0,"",IF(AQ63="FT",IF(AR63&lt;FT_First,FT_First,IF(AR63&lt;FT_Y5,MIN(FT_Y5,FT_First+FT_Int1*(INT((AR63-FT_First)/FT_Int1)+1)),FT_Y5+12*INT((AR63-FT_Y5)/12)+FT_Int2*(INT(MOD(AR63-FT_Y5,12)/FT_Int2)+1))),IF(AQ63="PT",IF(AR63&lt;PT_First,PT_First,PT_First+PT_Int*(INT((AR63-PT_First)/PT_Int)+1)),"")))</f>
        <v/>
      </c>
      <c r="BA63" s="13" t="str">
        <f aca="false">IF(AE63=0,"",IF(NOT(LH_Ready),0,COUNTIFS(INDEX(LH_Data,0,LH_ColFirst),$A63,INDEX(LH_Data,0,LH_ColSur),$B63,INDEX(LH_Data,0,LH_ColCat),BonusCat)))</f>
        <v/>
      </c>
      <c r="BB63" s="13" t="str">
        <f aca="false">IF(AE63=0,"",IF(OR(NOT(LH_Ready),BA63=0),0,SUMPRODUCT(MAX((INDEX(LH_Data,0,LH_ColFirst)=$A63)*(INDEX(LH_Data,0,LH_ColSur)=$B63)*(INDEX(LH_Data,0,LH_ColCat)=BonusCat)*ROW(LH_Data)))))</f>
        <v/>
      </c>
      <c r="BC63" s="0" t="str">
        <f aca="false">IF(LEN($A63&amp;$B63)=0,"",$A63&amp;" "&amp;$B63)</f>
        <v/>
      </c>
    </row>
    <row r="64" customFormat="false" ht="15" hidden="false" customHeight="false" outlineLevel="0" collapsed="false">
      <c r="A64" s="9"/>
      <c r="B64" s="9"/>
      <c r="C64" s="9"/>
      <c r="D64" s="10"/>
      <c r="E64" s="11" t="str">
        <f aca="false">IF(OR(AE64=0,$D64=""),"",DATE(YEAR(AsOfDate)+IF(DATE(YEAR(AsOfDate),MONTH($D64),DAY($D64))&lt;=AsOfDate,1,0),MONTH($D64),DAY($D64)))</f>
        <v/>
      </c>
      <c r="F64" s="10"/>
      <c r="G64" s="10"/>
      <c r="H64" s="10"/>
      <c r="I64" s="10"/>
      <c r="J64" s="10"/>
      <c r="K64" s="11" t="str">
        <f aca="false">IF(AE64=0,"",DATE(YEAR(AsOfDate)+IF(DATE(YEAR(AsOfDate),MONTH(AF64),DAY(AF64))&lt;=AsOfDate,1,0),MONTH(AF64),DAY(AF64)))</f>
        <v/>
      </c>
      <c r="L64" s="12" t="str">
        <f aca="false">IF(AE64=0,"",ROUND((AsOfDate-AF64)/365.25,1))</f>
        <v/>
      </c>
      <c r="M64" s="13" t="str">
        <f aca="false">IF(AE64=0,"",IF(AsOfDate&lt;AF64,"-",DATEDIF(AF64,AsOfDate,"y")&amp;"y "&amp;DATEDIF(AF64,AsOfDate,"ym")&amp;"m "&amp;DATEDIF(AF64,AsOfDate,"md")&amp;"d"))</f>
        <v/>
      </c>
      <c r="N64" s="14" t="str">
        <f aca="false">IF(AE64=0,"",O64*HoursPerDay)</f>
        <v/>
      </c>
      <c r="O64" s="14" t="str">
        <f aca="false">IF(AE64=0,"",AX64)</f>
        <v/>
      </c>
      <c r="P64" s="15"/>
      <c r="Q64" s="13"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13"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1" t="str">
        <f aca="false">IF(AE64=0,"",IF(AQ64="None","",EDATE(AF64,AZ64)))</f>
        <v/>
      </c>
      <c r="T64" s="14" t="str">
        <f aca="false">IF(AE64=0,"",IF(NOT(LH_Ready),"",IF(AF64&gt;PFYDate,0,IF(LH_ColPeriod=0,W64-U64+V64,SUMIFS(INDEX(LH_Data,0,LH_ColAcc),INDEX(LH_Data,0,LH_ColFirst),$A64,INDEX(LH_Data,0,LH_ColSur),$B64,INDEX(LH_Data,0,LH_ColCat),BonusCat,INDEX(LH_Data,0,LH_ColPeriod),LH_OpenLabel)*UnitFactor))))</f>
        <v/>
      </c>
      <c r="U64" s="14" t="str">
        <f aca="false">IF(AE64=0,"",IF(NOT(LH_Ready),"",SUMIFS(INDEX(LH_Data,0,LH_ColAcc),INDEX(LH_Data,0,LH_ColFirst),$A64,INDEX(LH_Data,0,LH_ColSur),$B64,INDEX(LH_Data,0,LH_ColCat),BonusCat,INDEX(LH_Data,0,LH_ColStart),"&gt;="&amp;AF64)*UnitFactor))</f>
        <v/>
      </c>
      <c r="V64" s="14" t="str">
        <f aca="false">IF(AE64=0,"",IF(NOT(LH_Ready),"",SUMIFS(INDEX(LH_Data,0,LH_ColTaken),INDEX(LH_Data,0,LH_ColFirst),$A64,INDEX(LH_Data,0,LH_ColSur),$B64,INDEX(LH_Data,0,LH_ColCat),BonusCat,INDEX(LH_Data,0,LH_ColStart),"&gt;="&amp;AF64)*UnitFactor))</f>
        <v/>
      </c>
      <c r="W64" s="14" t="str">
        <f aca="false">IF(AE64=0,"",IF(NOT(LH_Ready),"",IF(BB64=0,0,INDEX(INDEX(LH_Data,0,LH_ColClose),BB64-1)*UnitFactor)))</f>
        <v/>
      </c>
      <c r="X64" s="14" t="str">
        <f aca="false">IF(AE64=0,"",(AX64-AY64)*HoursPerDay)</f>
        <v/>
      </c>
      <c r="Y64" s="14" t="str">
        <f aca="false">IF(AE64=0,"",IF(NOT(LH_Ready),"",IF(BA64=0,N64,IF(PFYDate&lt;$F64,N64-N(T64)-N(U64),X64-N(U64)))))</f>
        <v/>
      </c>
      <c r="Z64" s="13" t="str">
        <f aca="false">IF(OR(AE64=0,Y64=""),"",IF(Y64&gt;0,"Yes","No"))</f>
        <v/>
      </c>
      <c r="AA64" s="13"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 hrs more than policy since commencement",IF(N(W64)&gt;O64*HoursPerDay+0.01,"CHECK - EH balance "&amp;ROUND(W64-O64*HoursPerDay,2)&amp;" hrs more than policy entitlement",IF(O64&gt;0,"OK - nothing to add",IF(AQ64="None",R64,"Not yet - first day on "&amp;TEXT(S64,"dd/mm/yyyy")))))))))</f>
        <v/>
      </c>
      <c r="AB64" s="14" t="str">
        <f aca="false">IF(OR(AE64=0,T64=""),"",AY64*HoursPerDay-T64)</f>
        <v/>
      </c>
      <c r="AC64" s="13" t="str">
        <f aca="false">IF(AE64=0,"",BA64)</f>
        <v/>
      </c>
      <c r="AD64" s="13"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3" t="n">
        <f aca="false">IF(OR(LEN($A64&amp;$B64)=0,$F64=""),0,1)</f>
        <v>0</v>
      </c>
      <c r="AF64" s="11" t="str">
        <f aca="false">IF(AE64=0,"",IF($J64&lt;&gt;"",$J64,IF(OR(CasualCounts="Yes",COUNT($G64:$I64)=0,COUNT($G64:$H64)=0),$F64,MIN($G64:$H64))))</f>
        <v/>
      </c>
      <c r="AG64" s="13" t="str">
        <f aca="false">IF(AE64=0,"",COUNT($G64:$I64))</f>
        <v/>
      </c>
      <c r="AH64" s="11" t="str">
        <f aca="false">IF(AE64=0,"",IFERROR(SMALL($G64:$I64,1),""))</f>
        <v/>
      </c>
      <c r="AI64" s="11" t="str">
        <f aca="false">IF(AE64=0,"",IFERROR(SMALL($G64:$I64,2),""))</f>
        <v/>
      </c>
      <c r="AJ64" s="11" t="str">
        <f aca="false">IF(AE64=0,"",IFERROR(SMALL($G64:$I64,3),""))</f>
        <v/>
      </c>
      <c r="AK64" s="13" t="str">
        <f aca="false">IF(AE64=0,"",IF(AH64="","",IF(AH64=$G64,"Part-Time",IF(AH64=$H64,"Full-Time","Casual"))))</f>
        <v/>
      </c>
      <c r="AL64" s="13" t="str">
        <f aca="false">IF(AE64=0,"",IF(AI64="","",IF(AI64=$G64,"Part-Time",IF(AI64=$H64,"Full-Time","Casual"))))</f>
        <v/>
      </c>
      <c r="AM64" s="13" t="str">
        <f aca="false">IF(AE64=0,"",IF(AJ64="","",IF(AJ64=$G64,"Part-Time",IF(AJ64=$H64,"Full-Time","Casual"))))</f>
        <v/>
      </c>
      <c r="AN64" s="13"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3" t="str">
        <f aca="false">IF(AE64=0,"",IF(AG64&lt;2,"",IF(OR(ISNUMBER(SEARCH("full",AL64)),UPPER(TRIM(AL64))="FT",UPPER(TRIM(AL64))="FTE"),"FT",IF(AND(OR(ISNUMBER(SEARCH("part",AL64)),UPPER(TRIM(AL64))="PT",UPPER(TRIM(AL64))="PTE"),OR($P64="",N($P64)&gt;=PT_MinHours)),"PT","None"))))</f>
        <v/>
      </c>
      <c r="AP64" s="13" t="str">
        <f aca="false">IF(AE64=0,"",IF(AG64&lt;3,"",IF(OR(ISNUMBER(SEARCH("full",AM64)),UPPER(TRIM(AM64))="FT",UPPER(TRIM(AM64))="FTE"),"FT",IF(AND(OR(ISNUMBER(SEARCH("part",AM64)),UPPER(TRIM(AM64))="PT",UPPER(TRIM(AM64))="PTE"),OR($P64="",N($P64)&gt;=PT_MinHours)),"PT","None"))))</f>
        <v/>
      </c>
      <c r="AQ64" s="13" t="str">
        <f aca="false">IF(AE64=0,"",IF(AND(AG64&gt;=3,AJ64&lt;=AsOfDate),AP64,IF(AND(AG64&gt;=2,AI64&lt;=AsOfDate),AO64,AN64)))</f>
        <v/>
      </c>
      <c r="AR64" s="13" t="str">
        <f aca="false">IF(AE64=0,"",IF(AsOfDate&lt;AF64,-1,12*(YEAR(AsOfDate)-YEAR(AF64))+MONTH(AsOfDate)-MONTH(AF64)-IF(DAY(AsOfDate)&lt;MIN(DAY(AF64),DAY(EOMONTH(AsOfDate,0))),1,0)))</f>
        <v/>
      </c>
      <c r="AS64" s="13" t="str">
        <f aca="false">IF(AE64=0,"",IF(OR(AG64&lt;2,AI64&gt;AsOfDate),AR64,IF((AI64-1)&lt;AF64,-1,12*(YEAR((AI64-1))-YEAR(AF64))+MONTH((AI64-1))-MONTH(AF64)-IF(DAY((AI64-1))&lt;MIN(DAY(AF64),DAY(EOMONTH((AI64-1),0))),1,0))))</f>
        <v/>
      </c>
      <c r="AT64" s="13" t="str">
        <f aca="false">IF(AE64=0,"",IF(OR(AG64&lt;3,AJ64&gt;AsOfDate),AR64,IF((AJ64-1)&lt;AF64,-1,12*(YEAR((AJ64-1))-YEAR(AF64))+MONTH((AJ64-1))-MONTH(AF64)-IF(DAY((AJ64-1))&lt;MIN(DAY(AF64),DAY(EOMONTH((AJ64-1),0))),1,0))))</f>
        <v/>
      </c>
      <c r="AU64" s="13" t="str">
        <f aca="false">IF(AE64=0,"",IF(PFYDate&lt;AF64,-1,12*(YEAR(PFYDate)-YEAR(AF64))+MONTH(PFYDate)-MONTH(AF64)-IF(DAY(PFYDate)&lt;MIN(DAY(AF64),DAY(EOMONTH(PFYDate,0))),1,0)))</f>
        <v/>
      </c>
      <c r="AV64" s="13" t="str">
        <f aca="false">IF(AE64=0,"",IF(OR(AG64&lt;2,AI64&gt;PFYDate),AU64,IF((AI64-1)&lt;AF64,-1,12*(YEAR((AI64-1))-YEAR(AF64))+MONTH((AI64-1))-MONTH(AF64)-IF(DAY((AI64-1))&lt;MIN(DAY(AF64),DAY(EOMONTH((AI64-1),0))),1,0))))</f>
        <v/>
      </c>
      <c r="AW64" s="13" t="str">
        <f aca="false">IF(AE64=0,"",IF(OR(AG64&lt;3,AJ64&gt;PFYDate),AU64,IF((AJ64-1)&lt;AF64,-1,12*(YEAR((AJ64-1))-YEAR(AF64))+MONTH((AJ64-1))-MONTH(AF64)-IF(DAY((AJ64-1))&lt;MIN(DAY(AF64),DAY(EOMONTH((AJ64-1),0))),1,0))))</f>
        <v/>
      </c>
      <c r="AX64" s="13"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3"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3" t="str">
        <f aca="false">IF(AE64=0,"",IF(AQ64="FT",IF(AR64&lt;FT_First,FT_First,IF(AR64&lt;FT_Y5,MIN(FT_Y5,FT_First+FT_Int1*(INT((AR64-FT_First)/FT_Int1)+1)),FT_Y5+12*INT((AR64-FT_Y5)/12)+FT_Int2*(INT(MOD(AR64-FT_Y5,12)/FT_Int2)+1))),IF(AQ64="PT",IF(AR64&lt;PT_First,PT_First,PT_First+PT_Int*(INT((AR64-PT_First)/PT_Int)+1)),"")))</f>
        <v/>
      </c>
      <c r="BA64" s="13" t="str">
        <f aca="false">IF(AE64=0,"",IF(NOT(LH_Ready),0,COUNTIFS(INDEX(LH_Data,0,LH_ColFirst),$A64,INDEX(LH_Data,0,LH_ColSur),$B64,INDEX(LH_Data,0,LH_ColCat),BonusCat)))</f>
        <v/>
      </c>
      <c r="BB64" s="13" t="str">
        <f aca="false">IF(AE64=0,"",IF(OR(NOT(LH_Ready),BA64=0),0,SUMPRODUCT(MAX((INDEX(LH_Data,0,LH_ColFirst)=$A64)*(INDEX(LH_Data,0,LH_ColSur)=$B64)*(INDEX(LH_Data,0,LH_ColCat)=BonusCat)*ROW(LH_Data)))))</f>
        <v/>
      </c>
      <c r="BC64" s="0" t="str">
        <f aca="false">IF(LEN($A64&amp;$B64)=0,"",$A64&amp;" "&amp;$B64)</f>
        <v/>
      </c>
    </row>
    <row r="65" customFormat="false" ht="15" hidden="false" customHeight="false" outlineLevel="0" collapsed="false">
      <c r="A65" s="9"/>
      <c r="B65" s="9"/>
      <c r="C65" s="9"/>
      <c r="D65" s="10"/>
      <c r="E65" s="11" t="str">
        <f aca="false">IF(OR(AE65=0,$D65=""),"",DATE(YEAR(AsOfDate)+IF(DATE(YEAR(AsOfDate),MONTH($D65),DAY($D65))&lt;=AsOfDate,1,0),MONTH($D65),DAY($D65)))</f>
        <v/>
      </c>
      <c r="F65" s="10"/>
      <c r="G65" s="10"/>
      <c r="H65" s="10"/>
      <c r="I65" s="10"/>
      <c r="J65" s="10"/>
      <c r="K65" s="11" t="str">
        <f aca="false">IF(AE65=0,"",DATE(YEAR(AsOfDate)+IF(DATE(YEAR(AsOfDate),MONTH(AF65),DAY(AF65))&lt;=AsOfDate,1,0),MONTH(AF65),DAY(AF65)))</f>
        <v/>
      </c>
      <c r="L65" s="12" t="str">
        <f aca="false">IF(AE65=0,"",ROUND((AsOfDate-AF65)/365.25,1))</f>
        <v/>
      </c>
      <c r="M65" s="13" t="str">
        <f aca="false">IF(AE65=0,"",IF(AsOfDate&lt;AF65,"-",DATEDIF(AF65,AsOfDate,"y")&amp;"y "&amp;DATEDIF(AF65,AsOfDate,"ym")&amp;"m "&amp;DATEDIF(AF65,AsOfDate,"md")&amp;"d"))</f>
        <v/>
      </c>
      <c r="N65" s="14" t="str">
        <f aca="false">IF(AE65=0,"",O65*HoursPerDay)</f>
        <v/>
      </c>
      <c r="O65" s="14" t="str">
        <f aca="false">IF(AE65=0,"",AX65)</f>
        <v/>
      </c>
      <c r="P65" s="15"/>
      <c r="Q65" s="13"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13"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1" t="str">
        <f aca="false">IF(AE65=0,"",IF(AQ65="None","",EDATE(AF65,AZ65)))</f>
        <v/>
      </c>
      <c r="T65" s="14" t="str">
        <f aca="false">IF(AE65=0,"",IF(NOT(LH_Ready),"",IF(AF65&gt;PFYDate,0,IF(LH_ColPeriod=0,W65-U65+V65,SUMIFS(INDEX(LH_Data,0,LH_ColAcc),INDEX(LH_Data,0,LH_ColFirst),$A65,INDEX(LH_Data,0,LH_ColSur),$B65,INDEX(LH_Data,0,LH_ColCat),BonusCat,INDEX(LH_Data,0,LH_ColPeriod),LH_OpenLabel)*UnitFactor))))</f>
        <v/>
      </c>
      <c r="U65" s="14" t="str">
        <f aca="false">IF(AE65=0,"",IF(NOT(LH_Ready),"",SUMIFS(INDEX(LH_Data,0,LH_ColAcc),INDEX(LH_Data,0,LH_ColFirst),$A65,INDEX(LH_Data,0,LH_ColSur),$B65,INDEX(LH_Data,0,LH_ColCat),BonusCat,INDEX(LH_Data,0,LH_ColStart),"&gt;="&amp;AF65)*UnitFactor))</f>
        <v/>
      </c>
      <c r="V65" s="14" t="str">
        <f aca="false">IF(AE65=0,"",IF(NOT(LH_Ready),"",SUMIFS(INDEX(LH_Data,0,LH_ColTaken),INDEX(LH_Data,0,LH_ColFirst),$A65,INDEX(LH_Data,0,LH_ColSur),$B65,INDEX(LH_Data,0,LH_ColCat),BonusCat,INDEX(LH_Data,0,LH_ColStart),"&gt;="&amp;AF65)*UnitFactor))</f>
        <v/>
      </c>
      <c r="W65" s="14" t="str">
        <f aca="false">IF(AE65=0,"",IF(NOT(LH_Ready),"",IF(BB65=0,0,INDEX(INDEX(LH_Data,0,LH_ColClose),BB65-1)*UnitFactor)))</f>
        <v/>
      </c>
      <c r="X65" s="14" t="str">
        <f aca="false">IF(AE65=0,"",(AX65-AY65)*HoursPerDay)</f>
        <v/>
      </c>
      <c r="Y65" s="14" t="str">
        <f aca="false">IF(AE65=0,"",IF(NOT(LH_Ready),"",IF(BA65=0,N65,IF(PFYDate&lt;$F65,N65-N(T65)-N(U65),X65-N(U65)))))</f>
        <v/>
      </c>
      <c r="Z65" s="13" t="str">
        <f aca="false">IF(OR(AE65=0,Y65=""),"",IF(Y65&gt;0,"Yes","No"))</f>
        <v/>
      </c>
      <c r="AA65" s="13"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 hrs more than policy since commencement",IF(N(W65)&gt;O65*HoursPerDay+0.01,"CHECK - EH balance "&amp;ROUND(W65-O65*HoursPerDay,2)&amp;" hrs more than policy entitlement",IF(O65&gt;0,"OK - nothing to add",IF(AQ65="None",R65,"Not yet - first day on "&amp;TEXT(S65,"dd/mm/yyyy")))))))))</f>
        <v/>
      </c>
      <c r="AB65" s="14" t="str">
        <f aca="false">IF(OR(AE65=0,T65=""),"",AY65*HoursPerDay-T65)</f>
        <v/>
      </c>
      <c r="AC65" s="13" t="str">
        <f aca="false">IF(AE65=0,"",BA65)</f>
        <v/>
      </c>
      <c r="AD65" s="13"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3" t="n">
        <f aca="false">IF(OR(LEN($A65&amp;$B65)=0,$F65=""),0,1)</f>
        <v>0</v>
      </c>
      <c r="AF65" s="11" t="str">
        <f aca="false">IF(AE65=0,"",IF($J65&lt;&gt;"",$J65,IF(OR(CasualCounts="Yes",COUNT($G65:$I65)=0,COUNT($G65:$H65)=0),$F65,MIN($G65:$H65))))</f>
        <v/>
      </c>
      <c r="AG65" s="13" t="str">
        <f aca="false">IF(AE65=0,"",COUNT($G65:$I65))</f>
        <v/>
      </c>
      <c r="AH65" s="11" t="str">
        <f aca="false">IF(AE65=0,"",IFERROR(SMALL($G65:$I65,1),""))</f>
        <v/>
      </c>
      <c r="AI65" s="11" t="str">
        <f aca="false">IF(AE65=0,"",IFERROR(SMALL($G65:$I65,2),""))</f>
        <v/>
      </c>
      <c r="AJ65" s="11" t="str">
        <f aca="false">IF(AE65=0,"",IFERROR(SMALL($G65:$I65,3),""))</f>
        <v/>
      </c>
      <c r="AK65" s="13" t="str">
        <f aca="false">IF(AE65=0,"",IF(AH65="","",IF(AH65=$G65,"Part-Time",IF(AH65=$H65,"Full-Time","Casual"))))</f>
        <v/>
      </c>
      <c r="AL65" s="13" t="str">
        <f aca="false">IF(AE65=0,"",IF(AI65="","",IF(AI65=$G65,"Part-Time",IF(AI65=$H65,"Full-Time","Casual"))))</f>
        <v/>
      </c>
      <c r="AM65" s="13" t="str">
        <f aca="false">IF(AE65=0,"",IF(AJ65="","",IF(AJ65=$G65,"Part-Time",IF(AJ65=$H65,"Full-Time","Casual"))))</f>
        <v/>
      </c>
      <c r="AN65" s="13"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3" t="str">
        <f aca="false">IF(AE65=0,"",IF(AG65&lt;2,"",IF(OR(ISNUMBER(SEARCH("full",AL65)),UPPER(TRIM(AL65))="FT",UPPER(TRIM(AL65))="FTE"),"FT",IF(AND(OR(ISNUMBER(SEARCH("part",AL65)),UPPER(TRIM(AL65))="PT",UPPER(TRIM(AL65))="PTE"),OR($P65="",N($P65)&gt;=PT_MinHours)),"PT","None"))))</f>
        <v/>
      </c>
      <c r="AP65" s="13" t="str">
        <f aca="false">IF(AE65=0,"",IF(AG65&lt;3,"",IF(OR(ISNUMBER(SEARCH("full",AM65)),UPPER(TRIM(AM65))="FT",UPPER(TRIM(AM65))="FTE"),"FT",IF(AND(OR(ISNUMBER(SEARCH("part",AM65)),UPPER(TRIM(AM65))="PT",UPPER(TRIM(AM65))="PTE"),OR($P65="",N($P65)&gt;=PT_MinHours)),"PT","None"))))</f>
        <v/>
      </c>
      <c r="AQ65" s="13" t="str">
        <f aca="false">IF(AE65=0,"",IF(AND(AG65&gt;=3,AJ65&lt;=AsOfDate),AP65,IF(AND(AG65&gt;=2,AI65&lt;=AsOfDate),AO65,AN65)))</f>
        <v/>
      </c>
      <c r="AR65" s="13" t="str">
        <f aca="false">IF(AE65=0,"",IF(AsOfDate&lt;AF65,-1,12*(YEAR(AsOfDate)-YEAR(AF65))+MONTH(AsOfDate)-MONTH(AF65)-IF(DAY(AsOfDate)&lt;MIN(DAY(AF65),DAY(EOMONTH(AsOfDate,0))),1,0)))</f>
        <v/>
      </c>
      <c r="AS65" s="13" t="str">
        <f aca="false">IF(AE65=0,"",IF(OR(AG65&lt;2,AI65&gt;AsOfDate),AR65,IF((AI65-1)&lt;AF65,-1,12*(YEAR((AI65-1))-YEAR(AF65))+MONTH((AI65-1))-MONTH(AF65)-IF(DAY((AI65-1))&lt;MIN(DAY(AF65),DAY(EOMONTH((AI65-1),0))),1,0))))</f>
        <v/>
      </c>
      <c r="AT65" s="13" t="str">
        <f aca="false">IF(AE65=0,"",IF(OR(AG65&lt;3,AJ65&gt;AsOfDate),AR65,IF((AJ65-1)&lt;AF65,-1,12*(YEAR((AJ65-1))-YEAR(AF65))+MONTH((AJ65-1))-MONTH(AF65)-IF(DAY((AJ65-1))&lt;MIN(DAY(AF65),DAY(EOMONTH((AJ65-1),0))),1,0))))</f>
        <v/>
      </c>
      <c r="AU65" s="13" t="str">
        <f aca="false">IF(AE65=0,"",IF(PFYDate&lt;AF65,-1,12*(YEAR(PFYDate)-YEAR(AF65))+MONTH(PFYDate)-MONTH(AF65)-IF(DAY(PFYDate)&lt;MIN(DAY(AF65),DAY(EOMONTH(PFYDate,0))),1,0)))</f>
        <v/>
      </c>
      <c r="AV65" s="13" t="str">
        <f aca="false">IF(AE65=0,"",IF(OR(AG65&lt;2,AI65&gt;PFYDate),AU65,IF((AI65-1)&lt;AF65,-1,12*(YEAR((AI65-1))-YEAR(AF65))+MONTH((AI65-1))-MONTH(AF65)-IF(DAY((AI65-1))&lt;MIN(DAY(AF65),DAY(EOMONTH((AI65-1),0))),1,0))))</f>
        <v/>
      </c>
      <c r="AW65" s="13" t="str">
        <f aca="false">IF(AE65=0,"",IF(OR(AG65&lt;3,AJ65&gt;PFYDate),AU65,IF((AJ65-1)&lt;AF65,-1,12*(YEAR((AJ65-1))-YEAR(AF65))+MONTH((AJ65-1))-MONTH(AF65)-IF(DAY((AJ65-1))&lt;MIN(DAY(AF65),DAY(EOMONTH((AJ65-1),0))),1,0))))</f>
        <v/>
      </c>
      <c r="AX65" s="13"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3"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3" t="str">
        <f aca="false">IF(AE65=0,"",IF(AQ65="FT",IF(AR65&lt;FT_First,FT_First,IF(AR65&lt;FT_Y5,MIN(FT_Y5,FT_First+FT_Int1*(INT((AR65-FT_First)/FT_Int1)+1)),FT_Y5+12*INT((AR65-FT_Y5)/12)+FT_Int2*(INT(MOD(AR65-FT_Y5,12)/FT_Int2)+1))),IF(AQ65="PT",IF(AR65&lt;PT_First,PT_First,PT_First+PT_Int*(INT((AR65-PT_First)/PT_Int)+1)),"")))</f>
        <v/>
      </c>
      <c r="BA65" s="13" t="str">
        <f aca="false">IF(AE65=0,"",IF(NOT(LH_Ready),0,COUNTIFS(INDEX(LH_Data,0,LH_ColFirst),$A65,INDEX(LH_Data,0,LH_ColSur),$B65,INDEX(LH_Data,0,LH_ColCat),BonusCat)))</f>
        <v/>
      </c>
      <c r="BB65" s="13" t="str">
        <f aca="false">IF(AE65=0,"",IF(OR(NOT(LH_Ready),BA65=0),0,SUMPRODUCT(MAX((INDEX(LH_Data,0,LH_ColFirst)=$A65)*(INDEX(LH_Data,0,LH_ColSur)=$B65)*(INDEX(LH_Data,0,LH_ColCat)=BonusCat)*ROW(LH_Data)))))</f>
        <v/>
      </c>
      <c r="BC65" s="0" t="str">
        <f aca="false">IF(LEN($A65&amp;$B65)=0,"",$A65&amp;" "&amp;$B65)</f>
        <v/>
      </c>
    </row>
    <row r="66" customFormat="false" ht="15" hidden="false" customHeight="false" outlineLevel="0" collapsed="false">
      <c r="A66" s="9"/>
      <c r="B66" s="9"/>
      <c r="C66" s="9"/>
      <c r="D66" s="10"/>
      <c r="E66" s="11" t="str">
        <f aca="false">IF(OR(AE66=0,$D66=""),"",DATE(YEAR(AsOfDate)+IF(DATE(YEAR(AsOfDate),MONTH($D66),DAY($D66))&lt;=AsOfDate,1,0),MONTH($D66),DAY($D66)))</f>
        <v/>
      </c>
      <c r="F66" s="10"/>
      <c r="G66" s="10"/>
      <c r="H66" s="10"/>
      <c r="I66" s="10"/>
      <c r="J66" s="10"/>
      <c r="K66" s="11" t="str">
        <f aca="false">IF(AE66=0,"",DATE(YEAR(AsOfDate)+IF(DATE(YEAR(AsOfDate),MONTH(AF66),DAY(AF66))&lt;=AsOfDate,1,0),MONTH(AF66),DAY(AF66)))</f>
        <v/>
      </c>
      <c r="L66" s="12" t="str">
        <f aca="false">IF(AE66=0,"",ROUND((AsOfDate-AF66)/365.25,1))</f>
        <v/>
      </c>
      <c r="M66" s="13" t="str">
        <f aca="false">IF(AE66=0,"",IF(AsOfDate&lt;AF66,"-",DATEDIF(AF66,AsOfDate,"y")&amp;"y "&amp;DATEDIF(AF66,AsOfDate,"ym")&amp;"m "&amp;DATEDIF(AF66,AsOfDate,"md")&amp;"d"))</f>
        <v/>
      </c>
      <c r="N66" s="14" t="str">
        <f aca="false">IF(AE66=0,"",O66*HoursPerDay)</f>
        <v/>
      </c>
      <c r="O66" s="14" t="str">
        <f aca="false">IF(AE66=0,"",AX66)</f>
        <v/>
      </c>
      <c r="P66" s="15"/>
      <c r="Q66" s="13"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13"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1" t="str">
        <f aca="false">IF(AE66=0,"",IF(AQ66="None","",EDATE(AF66,AZ66)))</f>
        <v/>
      </c>
      <c r="T66" s="14" t="str">
        <f aca="false">IF(AE66=0,"",IF(NOT(LH_Ready),"",IF(AF66&gt;PFYDate,0,IF(LH_ColPeriod=0,W66-U66+V66,SUMIFS(INDEX(LH_Data,0,LH_ColAcc),INDEX(LH_Data,0,LH_ColFirst),$A66,INDEX(LH_Data,0,LH_ColSur),$B66,INDEX(LH_Data,0,LH_ColCat),BonusCat,INDEX(LH_Data,0,LH_ColPeriod),LH_OpenLabel)*UnitFactor))))</f>
        <v/>
      </c>
      <c r="U66" s="14" t="str">
        <f aca="false">IF(AE66=0,"",IF(NOT(LH_Ready),"",SUMIFS(INDEX(LH_Data,0,LH_ColAcc),INDEX(LH_Data,0,LH_ColFirst),$A66,INDEX(LH_Data,0,LH_ColSur),$B66,INDEX(LH_Data,0,LH_ColCat),BonusCat,INDEX(LH_Data,0,LH_ColStart),"&gt;="&amp;AF66)*UnitFactor))</f>
        <v/>
      </c>
      <c r="V66" s="14" t="str">
        <f aca="false">IF(AE66=0,"",IF(NOT(LH_Ready),"",SUMIFS(INDEX(LH_Data,0,LH_ColTaken),INDEX(LH_Data,0,LH_ColFirst),$A66,INDEX(LH_Data,0,LH_ColSur),$B66,INDEX(LH_Data,0,LH_ColCat),BonusCat,INDEX(LH_Data,0,LH_ColStart),"&gt;="&amp;AF66)*UnitFactor))</f>
        <v/>
      </c>
      <c r="W66" s="14" t="str">
        <f aca="false">IF(AE66=0,"",IF(NOT(LH_Ready),"",IF(BB66=0,0,INDEX(INDEX(LH_Data,0,LH_ColClose),BB66-1)*UnitFactor)))</f>
        <v/>
      </c>
      <c r="X66" s="14" t="str">
        <f aca="false">IF(AE66=0,"",(AX66-AY66)*HoursPerDay)</f>
        <v/>
      </c>
      <c r="Y66" s="14" t="str">
        <f aca="false">IF(AE66=0,"",IF(NOT(LH_Ready),"",IF(BA66=0,N66,IF(PFYDate&lt;$F66,N66-N(T66)-N(U66),X66-N(U66)))))</f>
        <v/>
      </c>
      <c r="Z66" s="13" t="str">
        <f aca="false">IF(OR(AE66=0,Y66=""),"",IF(Y66&gt;0,"Yes","No"))</f>
        <v/>
      </c>
      <c r="AA66" s="13"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 hrs more than policy since commencement",IF(N(W66)&gt;O66*HoursPerDay+0.01,"CHECK - EH balance "&amp;ROUND(W66-O66*HoursPerDay,2)&amp;" hrs more than policy entitlement",IF(O66&gt;0,"OK - nothing to add",IF(AQ66="None",R66,"Not yet - first day on "&amp;TEXT(S66,"dd/mm/yyyy")))))))))</f>
        <v/>
      </c>
      <c r="AB66" s="14" t="str">
        <f aca="false">IF(OR(AE66=0,T66=""),"",AY66*HoursPerDay-T66)</f>
        <v/>
      </c>
      <c r="AC66" s="13" t="str">
        <f aca="false">IF(AE66=0,"",BA66)</f>
        <v/>
      </c>
      <c r="AD66" s="13"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3" t="n">
        <f aca="false">IF(OR(LEN($A66&amp;$B66)=0,$F66=""),0,1)</f>
        <v>0</v>
      </c>
      <c r="AF66" s="11" t="str">
        <f aca="false">IF(AE66=0,"",IF($J66&lt;&gt;"",$J66,IF(OR(CasualCounts="Yes",COUNT($G66:$I66)=0,COUNT($G66:$H66)=0),$F66,MIN($G66:$H66))))</f>
        <v/>
      </c>
      <c r="AG66" s="13" t="str">
        <f aca="false">IF(AE66=0,"",COUNT($G66:$I66))</f>
        <v/>
      </c>
      <c r="AH66" s="11" t="str">
        <f aca="false">IF(AE66=0,"",IFERROR(SMALL($G66:$I66,1),""))</f>
        <v/>
      </c>
      <c r="AI66" s="11" t="str">
        <f aca="false">IF(AE66=0,"",IFERROR(SMALL($G66:$I66,2),""))</f>
        <v/>
      </c>
      <c r="AJ66" s="11" t="str">
        <f aca="false">IF(AE66=0,"",IFERROR(SMALL($G66:$I66,3),""))</f>
        <v/>
      </c>
      <c r="AK66" s="13" t="str">
        <f aca="false">IF(AE66=0,"",IF(AH66="","",IF(AH66=$G66,"Part-Time",IF(AH66=$H66,"Full-Time","Casual"))))</f>
        <v/>
      </c>
      <c r="AL66" s="13" t="str">
        <f aca="false">IF(AE66=0,"",IF(AI66="","",IF(AI66=$G66,"Part-Time",IF(AI66=$H66,"Full-Time","Casual"))))</f>
        <v/>
      </c>
      <c r="AM66" s="13" t="str">
        <f aca="false">IF(AE66=0,"",IF(AJ66="","",IF(AJ66=$G66,"Part-Time",IF(AJ66=$H66,"Full-Time","Casual"))))</f>
        <v/>
      </c>
      <c r="AN66" s="13"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3" t="str">
        <f aca="false">IF(AE66=0,"",IF(AG66&lt;2,"",IF(OR(ISNUMBER(SEARCH("full",AL66)),UPPER(TRIM(AL66))="FT",UPPER(TRIM(AL66))="FTE"),"FT",IF(AND(OR(ISNUMBER(SEARCH("part",AL66)),UPPER(TRIM(AL66))="PT",UPPER(TRIM(AL66))="PTE"),OR($P66="",N($P66)&gt;=PT_MinHours)),"PT","None"))))</f>
        <v/>
      </c>
      <c r="AP66" s="13" t="str">
        <f aca="false">IF(AE66=0,"",IF(AG66&lt;3,"",IF(OR(ISNUMBER(SEARCH("full",AM66)),UPPER(TRIM(AM66))="FT",UPPER(TRIM(AM66))="FTE"),"FT",IF(AND(OR(ISNUMBER(SEARCH("part",AM66)),UPPER(TRIM(AM66))="PT",UPPER(TRIM(AM66))="PTE"),OR($P66="",N($P66)&gt;=PT_MinHours)),"PT","None"))))</f>
        <v/>
      </c>
      <c r="AQ66" s="13" t="str">
        <f aca="false">IF(AE66=0,"",IF(AND(AG66&gt;=3,AJ66&lt;=AsOfDate),AP66,IF(AND(AG66&gt;=2,AI66&lt;=AsOfDate),AO66,AN66)))</f>
        <v/>
      </c>
      <c r="AR66" s="13" t="str">
        <f aca="false">IF(AE66=0,"",IF(AsOfDate&lt;AF66,-1,12*(YEAR(AsOfDate)-YEAR(AF66))+MONTH(AsOfDate)-MONTH(AF66)-IF(DAY(AsOfDate)&lt;MIN(DAY(AF66),DAY(EOMONTH(AsOfDate,0))),1,0)))</f>
        <v/>
      </c>
      <c r="AS66" s="13" t="str">
        <f aca="false">IF(AE66=0,"",IF(OR(AG66&lt;2,AI66&gt;AsOfDate),AR66,IF((AI66-1)&lt;AF66,-1,12*(YEAR((AI66-1))-YEAR(AF66))+MONTH((AI66-1))-MONTH(AF66)-IF(DAY((AI66-1))&lt;MIN(DAY(AF66),DAY(EOMONTH((AI66-1),0))),1,0))))</f>
        <v/>
      </c>
      <c r="AT66" s="13" t="str">
        <f aca="false">IF(AE66=0,"",IF(OR(AG66&lt;3,AJ66&gt;AsOfDate),AR66,IF((AJ66-1)&lt;AF66,-1,12*(YEAR((AJ66-1))-YEAR(AF66))+MONTH((AJ66-1))-MONTH(AF66)-IF(DAY((AJ66-1))&lt;MIN(DAY(AF66),DAY(EOMONTH((AJ66-1),0))),1,0))))</f>
        <v/>
      </c>
      <c r="AU66" s="13" t="str">
        <f aca="false">IF(AE66=0,"",IF(PFYDate&lt;AF66,-1,12*(YEAR(PFYDate)-YEAR(AF66))+MONTH(PFYDate)-MONTH(AF66)-IF(DAY(PFYDate)&lt;MIN(DAY(AF66),DAY(EOMONTH(PFYDate,0))),1,0)))</f>
        <v/>
      </c>
      <c r="AV66" s="13" t="str">
        <f aca="false">IF(AE66=0,"",IF(OR(AG66&lt;2,AI66&gt;PFYDate),AU66,IF((AI66-1)&lt;AF66,-1,12*(YEAR((AI66-1))-YEAR(AF66))+MONTH((AI66-1))-MONTH(AF66)-IF(DAY((AI66-1))&lt;MIN(DAY(AF66),DAY(EOMONTH((AI66-1),0))),1,0))))</f>
        <v/>
      </c>
      <c r="AW66" s="13" t="str">
        <f aca="false">IF(AE66=0,"",IF(OR(AG66&lt;3,AJ66&gt;PFYDate),AU66,IF((AJ66-1)&lt;AF66,-1,12*(YEAR((AJ66-1))-YEAR(AF66))+MONTH((AJ66-1))-MONTH(AF66)-IF(DAY((AJ66-1))&lt;MIN(DAY(AF66),DAY(EOMONTH((AJ66-1),0))),1,0))))</f>
        <v/>
      </c>
      <c r="AX66" s="13"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3"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3" t="str">
        <f aca="false">IF(AE66=0,"",IF(AQ66="FT",IF(AR66&lt;FT_First,FT_First,IF(AR66&lt;FT_Y5,MIN(FT_Y5,FT_First+FT_Int1*(INT((AR66-FT_First)/FT_Int1)+1)),FT_Y5+12*INT((AR66-FT_Y5)/12)+FT_Int2*(INT(MOD(AR66-FT_Y5,12)/FT_Int2)+1))),IF(AQ66="PT",IF(AR66&lt;PT_First,PT_First,PT_First+PT_Int*(INT((AR66-PT_First)/PT_Int)+1)),"")))</f>
        <v/>
      </c>
      <c r="BA66" s="13" t="str">
        <f aca="false">IF(AE66=0,"",IF(NOT(LH_Ready),0,COUNTIFS(INDEX(LH_Data,0,LH_ColFirst),$A66,INDEX(LH_Data,0,LH_ColSur),$B66,INDEX(LH_Data,0,LH_ColCat),BonusCat)))</f>
        <v/>
      </c>
      <c r="BB66" s="13" t="str">
        <f aca="false">IF(AE66=0,"",IF(OR(NOT(LH_Ready),BA66=0),0,SUMPRODUCT(MAX((INDEX(LH_Data,0,LH_ColFirst)=$A66)*(INDEX(LH_Data,0,LH_ColSur)=$B66)*(INDEX(LH_Data,0,LH_ColCat)=BonusCat)*ROW(LH_Data)))))</f>
        <v/>
      </c>
      <c r="BC66" s="0" t="str">
        <f aca="false">IF(LEN($A66&amp;$B66)=0,"",$A66&amp;" "&amp;$B66)</f>
        <v/>
      </c>
    </row>
    <row r="67" customFormat="false" ht="15" hidden="false" customHeight="false" outlineLevel="0" collapsed="false">
      <c r="A67" s="9"/>
      <c r="B67" s="9"/>
      <c r="C67" s="9"/>
      <c r="D67" s="10"/>
      <c r="E67" s="11" t="str">
        <f aca="false">IF(OR(AE67=0,$D67=""),"",DATE(YEAR(AsOfDate)+IF(DATE(YEAR(AsOfDate),MONTH($D67),DAY($D67))&lt;=AsOfDate,1,0),MONTH($D67),DAY($D67)))</f>
        <v/>
      </c>
      <c r="F67" s="10"/>
      <c r="G67" s="10"/>
      <c r="H67" s="10"/>
      <c r="I67" s="10"/>
      <c r="J67" s="10"/>
      <c r="K67" s="11" t="str">
        <f aca="false">IF(AE67=0,"",DATE(YEAR(AsOfDate)+IF(DATE(YEAR(AsOfDate),MONTH(AF67),DAY(AF67))&lt;=AsOfDate,1,0),MONTH(AF67),DAY(AF67)))</f>
        <v/>
      </c>
      <c r="L67" s="12" t="str">
        <f aca="false">IF(AE67=0,"",ROUND((AsOfDate-AF67)/365.25,1))</f>
        <v/>
      </c>
      <c r="M67" s="13" t="str">
        <f aca="false">IF(AE67=0,"",IF(AsOfDate&lt;AF67,"-",DATEDIF(AF67,AsOfDate,"y")&amp;"y "&amp;DATEDIF(AF67,AsOfDate,"ym")&amp;"m "&amp;DATEDIF(AF67,AsOfDate,"md")&amp;"d"))</f>
        <v/>
      </c>
      <c r="N67" s="14" t="str">
        <f aca="false">IF(AE67=0,"",O67*HoursPerDay)</f>
        <v/>
      </c>
      <c r="O67" s="14" t="str">
        <f aca="false">IF(AE67=0,"",AX67)</f>
        <v/>
      </c>
      <c r="P67" s="15"/>
      <c r="Q67" s="13"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13"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1" t="str">
        <f aca="false">IF(AE67=0,"",IF(AQ67="None","",EDATE(AF67,AZ67)))</f>
        <v/>
      </c>
      <c r="T67" s="14" t="str">
        <f aca="false">IF(AE67=0,"",IF(NOT(LH_Ready),"",IF(AF67&gt;PFYDate,0,IF(LH_ColPeriod=0,W67-U67+V67,SUMIFS(INDEX(LH_Data,0,LH_ColAcc),INDEX(LH_Data,0,LH_ColFirst),$A67,INDEX(LH_Data,0,LH_ColSur),$B67,INDEX(LH_Data,0,LH_ColCat),BonusCat,INDEX(LH_Data,0,LH_ColPeriod),LH_OpenLabel)*UnitFactor))))</f>
        <v/>
      </c>
      <c r="U67" s="14" t="str">
        <f aca="false">IF(AE67=0,"",IF(NOT(LH_Ready),"",SUMIFS(INDEX(LH_Data,0,LH_ColAcc),INDEX(LH_Data,0,LH_ColFirst),$A67,INDEX(LH_Data,0,LH_ColSur),$B67,INDEX(LH_Data,0,LH_ColCat),BonusCat,INDEX(LH_Data,0,LH_ColStart),"&gt;="&amp;AF67)*UnitFactor))</f>
        <v/>
      </c>
      <c r="V67" s="14" t="str">
        <f aca="false">IF(AE67=0,"",IF(NOT(LH_Ready),"",SUMIFS(INDEX(LH_Data,0,LH_ColTaken),INDEX(LH_Data,0,LH_ColFirst),$A67,INDEX(LH_Data,0,LH_ColSur),$B67,INDEX(LH_Data,0,LH_ColCat),BonusCat,INDEX(LH_Data,0,LH_ColStart),"&gt;="&amp;AF67)*UnitFactor))</f>
        <v/>
      </c>
      <c r="W67" s="14" t="str">
        <f aca="false">IF(AE67=0,"",IF(NOT(LH_Ready),"",IF(BB67=0,0,INDEX(INDEX(LH_Data,0,LH_ColClose),BB67-1)*UnitFactor)))</f>
        <v/>
      </c>
      <c r="X67" s="14" t="str">
        <f aca="false">IF(AE67=0,"",(AX67-AY67)*HoursPerDay)</f>
        <v/>
      </c>
      <c r="Y67" s="14" t="str">
        <f aca="false">IF(AE67=0,"",IF(NOT(LH_Ready),"",IF(BA67=0,N67,IF(PFYDate&lt;$F67,N67-N(T67)-N(U67),X67-N(U67)))))</f>
        <v/>
      </c>
      <c r="Z67" s="13" t="str">
        <f aca="false">IF(OR(AE67=0,Y67=""),"",IF(Y67&gt;0,"Yes","No"))</f>
        <v/>
      </c>
      <c r="AA67" s="13"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 hrs more than policy since commencement",IF(N(W67)&gt;O67*HoursPerDay+0.01,"CHECK - EH balance "&amp;ROUND(W67-O67*HoursPerDay,2)&amp;" hrs more than policy entitlement",IF(O67&gt;0,"OK - nothing to add",IF(AQ67="None",R67,"Not yet - first day on "&amp;TEXT(S67,"dd/mm/yyyy")))))))))</f>
        <v/>
      </c>
      <c r="AB67" s="14" t="str">
        <f aca="false">IF(OR(AE67=0,T67=""),"",AY67*HoursPerDay-T67)</f>
        <v/>
      </c>
      <c r="AC67" s="13" t="str">
        <f aca="false">IF(AE67=0,"",BA67)</f>
        <v/>
      </c>
      <c r="AD67" s="13"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3" t="n">
        <f aca="false">IF(OR(LEN($A67&amp;$B67)=0,$F67=""),0,1)</f>
        <v>0</v>
      </c>
      <c r="AF67" s="11" t="str">
        <f aca="false">IF(AE67=0,"",IF($J67&lt;&gt;"",$J67,IF(OR(CasualCounts="Yes",COUNT($G67:$I67)=0,COUNT($G67:$H67)=0),$F67,MIN($G67:$H67))))</f>
        <v/>
      </c>
      <c r="AG67" s="13" t="str">
        <f aca="false">IF(AE67=0,"",COUNT($G67:$I67))</f>
        <v/>
      </c>
      <c r="AH67" s="11" t="str">
        <f aca="false">IF(AE67=0,"",IFERROR(SMALL($G67:$I67,1),""))</f>
        <v/>
      </c>
      <c r="AI67" s="11" t="str">
        <f aca="false">IF(AE67=0,"",IFERROR(SMALL($G67:$I67,2),""))</f>
        <v/>
      </c>
      <c r="AJ67" s="11" t="str">
        <f aca="false">IF(AE67=0,"",IFERROR(SMALL($G67:$I67,3),""))</f>
        <v/>
      </c>
      <c r="AK67" s="13" t="str">
        <f aca="false">IF(AE67=0,"",IF(AH67="","",IF(AH67=$G67,"Part-Time",IF(AH67=$H67,"Full-Time","Casual"))))</f>
        <v/>
      </c>
      <c r="AL67" s="13" t="str">
        <f aca="false">IF(AE67=0,"",IF(AI67="","",IF(AI67=$G67,"Part-Time",IF(AI67=$H67,"Full-Time","Casual"))))</f>
        <v/>
      </c>
      <c r="AM67" s="13" t="str">
        <f aca="false">IF(AE67=0,"",IF(AJ67="","",IF(AJ67=$G67,"Part-Time",IF(AJ67=$H67,"Full-Time","Casual"))))</f>
        <v/>
      </c>
      <c r="AN67" s="13"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3" t="str">
        <f aca="false">IF(AE67=0,"",IF(AG67&lt;2,"",IF(OR(ISNUMBER(SEARCH("full",AL67)),UPPER(TRIM(AL67))="FT",UPPER(TRIM(AL67))="FTE"),"FT",IF(AND(OR(ISNUMBER(SEARCH("part",AL67)),UPPER(TRIM(AL67))="PT",UPPER(TRIM(AL67))="PTE"),OR($P67="",N($P67)&gt;=PT_MinHours)),"PT","None"))))</f>
        <v/>
      </c>
      <c r="AP67" s="13" t="str">
        <f aca="false">IF(AE67=0,"",IF(AG67&lt;3,"",IF(OR(ISNUMBER(SEARCH("full",AM67)),UPPER(TRIM(AM67))="FT",UPPER(TRIM(AM67))="FTE"),"FT",IF(AND(OR(ISNUMBER(SEARCH("part",AM67)),UPPER(TRIM(AM67))="PT",UPPER(TRIM(AM67))="PTE"),OR($P67="",N($P67)&gt;=PT_MinHours)),"PT","None"))))</f>
        <v/>
      </c>
      <c r="AQ67" s="13" t="str">
        <f aca="false">IF(AE67=0,"",IF(AND(AG67&gt;=3,AJ67&lt;=AsOfDate),AP67,IF(AND(AG67&gt;=2,AI67&lt;=AsOfDate),AO67,AN67)))</f>
        <v/>
      </c>
      <c r="AR67" s="13" t="str">
        <f aca="false">IF(AE67=0,"",IF(AsOfDate&lt;AF67,-1,12*(YEAR(AsOfDate)-YEAR(AF67))+MONTH(AsOfDate)-MONTH(AF67)-IF(DAY(AsOfDate)&lt;MIN(DAY(AF67),DAY(EOMONTH(AsOfDate,0))),1,0)))</f>
        <v/>
      </c>
      <c r="AS67" s="13" t="str">
        <f aca="false">IF(AE67=0,"",IF(OR(AG67&lt;2,AI67&gt;AsOfDate),AR67,IF((AI67-1)&lt;AF67,-1,12*(YEAR((AI67-1))-YEAR(AF67))+MONTH((AI67-1))-MONTH(AF67)-IF(DAY((AI67-1))&lt;MIN(DAY(AF67),DAY(EOMONTH((AI67-1),0))),1,0))))</f>
        <v/>
      </c>
      <c r="AT67" s="13" t="str">
        <f aca="false">IF(AE67=0,"",IF(OR(AG67&lt;3,AJ67&gt;AsOfDate),AR67,IF((AJ67-1)&lt;AF67,-1,12*(YEAR((AJ67-1))-YEAR(AF67))+MONTH((AJ67-1))-MONTH(AF67)-IF(DAY((AJ67-1))&lt;MIN(DAY(AF67),DAY(EOMONTH((AJ67-1),0))),1,0))))</f>
        <v/>
      </c>
      <c r="AU67" s="13" t="str">
        <f aca="false">IF(AE67=0,"",IF(PFYDate&lt;AF67,-1,12*(YEAR(PFYDate)-YEAR(AF67))+MONTH(PFYDate)-MONTH(AF67)-IF(DAY(PFYDate)&lt;MIN(DAY(AF67),DAY(EOMONTH(PFYDate,0))),1,0)))</f>
        <v/>
      </c>
      <c r="AV67" s="13" t="str">
        <f aca="false">IF(AE67=0,"",IF(OR(AG67&lt;2,AI67&gt;PFYDate),AU67,IF((AI67-1)&lt;AF67,-1,12*(YEAR((AI67-1))-YEAR(AF67))+MONTH((AI67-1))-MONTH(AF67)-IF(DAY((AI67-1))&lt;MIN(DAY(AF67),DAY(EOMONTH((AI67-1),0))),1,0))))</f>
        <v/>
      </c>
      <c r="AW67" s="13" t="str">
        <f aca="false">IF(AE67=0,"",IF(OR(AG67&lt;3,AJ67&gt;PFYDate),AU67,IF((AJ67-1)&lt;AF67,-1,12*(YEAR((AJ67-1))-YEAR(AF67))+MONTH((AJ67-1))-MONTH(AF67)-IF(DAY((AJ67-1))&lt;MIN(DAY(AF67),DAY(EOMONTH((AJ67-1),0))),1,0))))</f>
        <v/>
      </c>
      <c r="AX67" s="13"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3"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3" t="str">
        <f aca="false">IF(AE67=0,"",IF(AQ67="FT",IF(AR67&lt;FT_First,FT_First,IF(AR67&lt;FT_Y5,MIN(FT_Y5,FT_First+FT_Int1*(INT((AR67-FT_First)/FT_Int1)+1)),FT_Y5+12*INT((AR67-FT_Y5)/12)+FT_Int2*(INT(MOD(AR67-FT_Y5,12)/FT_Int2)+1))),IF(AQ67="PT",IF(AR67&lt;PT_First,PT_First,PT_First+PT_Int*(INT((AR67-PT_First)/PT_Int)+1)),"")))</f>
        <v/>
      </c>
      <c r="BA67" s="13" t="str">
        <f aca="false">IF(AE67=0,"",IF(NOT(LH_Ready),0,COUNTIFS(INDEX(LH_Data,0,LH_ColFirst),$A67,INDEX(LH_Data,0,LH_ColSur),$B67,INDEX(LH_Data,0,LH_ColCat),BonusCat)))</f>
        <v/>
      </c>
      <c r="BB67" s="13" t="str">
        <f aca="false">IF(AE67=0,"",IF(OR(NOT(LH_Ready),BA67=0),0,SUMPRODUCT(MAX((INDEX(LH_Data,0,LH_ColFirst)=$A67)*(INDEX(LH_Data,0,LH_ColSur)=$B67)*(INDEX(LH_Data,0,LH_ColCat)=BonusCat)*ROW(LH_Data)))))</f>
        <v/>
      </c>
      <c r="BC67" s="0" t="str">
        <f aca="false">IF(LEN($A67&amp;$B67)=0,"",$A67&amp;" "&amp;$B67)</f>
        <v/>
      </c>
    </row>
    <row r="68" customFormat="false" ht="15" hidden="false" customHeight="false" outlineLevel="0" collapsed="false">
      <c r="A68" s="9"/>
      <c r="B68" s="9"/>
      <c r="C68" s="9"/>
      <c r="D68" s="10"/>
      <c r="E68" s="11" t="str">
        <f aca="false">IF(OR(AE68=0,$D68=""),"",DATE(YEAR(AsOfDate)+IF(DATE(YEAR(AsOfDate),MONTH($D68),DAY($D68))&lt;=AsOfDate,1,0),MONTH($D68),DAY($D68)))</f>
        <v/>
      </c>
      <c r="F68" s="10"/>
      <c r="G68" s="10"/>
      <c r="H68" s="10"/>
      <c r="I68" s="10"/>
      <c r="J68" s="10"/>
      <c r="K68" s="11" t="str">
        <f aca="false">IF(AE68=0,"",DATE(YEAR(AsOfDate)+IF(DATE(YEAR(AsOfDate),MONTH(AF68),DAY(AF68))&lt;=AsOfDate,1,0),MONTH(AF68),DAY(AF68)))</f>
        <v/>
      </c>
      <c r="L68" s="12" t="str">
        <f aca="false">IF(AE68=0,"",ROUND((AsOfDate-AF68)/365.25,1))</f>
        <v/>
      </c>
      <c r="M68" s="13" t="str">
        <f aca="false">IF(AE68=0,"",IF(AsOfDate&lt;AF68,"-",DATEDIF(AF68,AsOfDate,"y")&amp;"y "&amp;DATEDIF(AF68,AsOfDate,"ym")&amp;"m "&amp;DATEDIF(AF68,AsOfDate,"md")&amp;"d"))</f>
        <v/>
      </c>
      <c r="N68" s="14" t="str">
        <f aca="false">IF(AE68=0,"",O68*HoursPerDay)</f>
        <v/>
      </c>
      <c r="O68" s="14" t="str">
        <f aca="false">IF(AE68=0,"",AX68)</f>
        <v/>
      </c>
      <c r="P68" s="15"/>
      <c r="Q68" s="13"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13"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1" t="str">
        <f aca="false">IF(AE68=0,"",IF(AQ68="None","",EDATE(AF68,AZ68)))</f>
        <v/>
      </c>
      <c r="T68" s="14" t="str">
        <f aca="false">IF(AE68=0,"",IF(NOT(LH_Ready),"",IF(AF68&gt;PFYDate,0,IF(LH_ColPeriod=0,W68-U68+V68,SUMIFS(INDEX(LH_Data,0,LH_ColAcc),INDEX(LH_Data,0,LH_ColFirst),$A68,INDEX(LH_Data,0,LH_ColSur),$B68,INDEX(LH_Data,0,LH_ColCat),BonusCat,INDEX(LH_Data,0,LH_ColPeriod),LH_OpenLabel)*UnitFactor))))</f>
        <v/>
      </c>
      <c r="U68" s="14" t="str">
        <f aca="false">IF(AE68=0,"",IF(NOT(LH_Ready),"",SUMIFS(INDEX(LH_Data,0,LH_ColAcc),INDEX(LH_Data,0,LH_ColFirst),$A68,INDEX(LH_Data,0,LH_ColSur),$B68,INDEX(LH_Data,0,LH_ColCat),BonusCat,INDEX(LH_Data,0,LH_ColStart),"&gt;="&amp;AF68)*UnitFactor))</f>
        <v/>
      </c>
      <c r="V68" s="14" t="str">
        <f aca="false">IF(AE68=0,"",IF(NOT(LH_Ready),"",SUMIFS(INDEX(LH_Data,0,LH_ColTaken),INDEX(LH_Data,0,LH_ColFirst),$A68,INDEX(LH_Data,0,LH_ColSur),$B68,INDEX(LH_Data,0,LH_ColCat),BonusCat,INDEX(LH_Data,0,LH_ColStart),"&gt;="&amp;AF68)*UnitFactor))</f>
        <v/>
      </c>
      <c r="W68" s="14" t="str">
        <f aca="false">IF(AE68=0,"",IF(NOT(LH_Ready),"",IF(BB68=0,0,INDEX(INDEX(LH_Data,0,LH_ColClose),BB68-1)*UnitFactor)))</f>
        <v/>
      </c>
      <c r="X68" s="14" t="str">
        <f aca="false">IF(AE68=0,"",(AX68-AY68)*HoursPerDay)</f>
        <v/>
      </c>
      <c r="Y68" s="14" t="str">
        <f aca="false">IF(AE68=0,"",IF(NOT(LH_Ready),"",IF(BA68=0,N68,IF(PFYDate&lt;$F68,N68-N(T68)-N(U68),X68-N(U68)))))</f>
        <v/>
      </c>
      <c r="Z68" s="13" t="str">
        <f aca="false">IF(OR(AE68=0,Y68=""),"",IF(Y68&gt;0,"Yes","No"))</f>
        <v/>
      </c>
      <c r="AA68" s="13"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 hrs more than policy since commencement",IF(N(W68)&gt;O68*HoursPerDay+0.01,"CHECK - EH balance "&amp;ROUND(W68-O68*HoursPerDay,2)&amp;" hrs more than policy entitlement",IF(O68&gt;0,"OK - nothing to add",IF(AQ68="None",R68,"Not yet - first day on "&amp;TEXT(S68,"dd/mm/yyyy")))))))))</f>
        <v/>
      </c>
      <c r="AB68" s="14" t="str">
        <f aca="false">IF(OR(AE68=0,T68=""),"",AY68*HoursPerDay-T68)</f>
        <v/>
      </c>
      <c r="AC68" s="13" t="str">
        <f aca="false">IF(AE68=0,"",BA68)</f>
        <v/>
      </c>
      <c r="AD68" s="13"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3" t="n">
        <f aca="false">IF(OR(LEN($A68&amp;$B68)=0,$F68=""),0,1)</f>
        <v>0</v>
      </c>
      <c r="AF68" s="11" t="str">
        <f aca="false">IF(AE68=0,"",IF($J68&lt;&gt;"",$J68,IF(OR(CasualCounts="Yes",COUNT($G68:$I68)=0,COUNT($G68:$H68)=0),$F68,MIN($G68:$H68))))</f>
        <v/>
      </c>
      <c r="AG68" s="13" t="str">
        <f aca="false">IF(AE68=0,"",COUNT($G68:$I68))</f>
        <v/>
      </c>
      <c r="AH68" s="11" t="str">
        <f aca="false">IF(AE68=0,"",IFERROR(SMALL($G68:$I68,1),""))</f>
        <v/>
      </c>
      <c r="AI68" s="11" t="str">
        <f aca="false">IF(AE68=0,"",IFERROR(SMALL($G68:$I68,2),""))</f>
        <v/>
      </c>
      <c r="AJ68" s="11" t="str">
        <f aca="false">IF(AE68=0,"",IFERROR(SMALL($G68:$I68,3),""))</f>
        <v/>
      </c>
      <c r="AK68" s="13" t="str">
        <f aca="false">IF(AE68=0,"",IF(AH68="","",IF(AH68=$G68,"Part-Time",IF(AH68=$H68,"Full-Time","Casual"))))</f>
        <v/>
      </c>
      <c r="AL68" s="13" t="str">
        <f aca="false">IF(AE68=0,"",IF(AI68="","",IF(AI68=$G68,"Part-Time",IF(AI68=$H68,"Full-Time","Casual"))))</f>
        <v/>
      </c>
      <c r="AM68" s="13" t="str">
        <f aca="false">IF(AE68=0,"",IF(AJ68="","",IF(AJ68=$G68,"Part-Time",IF(AJ68=$H68,"Full-Time","Casual"))))</f>
        <v/>
      </c>
      <c r="AN68" s="13"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3" t="str">
        <f aca="false">IF(AE68=0,"",IF(AG68&lt;2,"",IF(OR(ISNUMBER(SEARCH("full",AL68)),UPPER(TRIM(AL68))="FT",UPPER(TRIM(AL68))="FTE"),"FT",IF(AND(OR(ISNUMBER(SEARCH("part",AL68)),UPPER(TRIM(AL68))="PT",UPPER(TRIM(AL68))="PTE"),OR($P68="",N($P68)&gt;=PT_MinHours)),"PT","None"))))</f>
        <v/>
      </c>
      <c r="AP68" s="13" t="str">
        <f aca="false">IF(AE68=0,"",IF(AG68&lt;3,"",IF(OR(ISNUMBER(SEARCH("full",AM68)),UPPER(TRIM(AM68))="FT",UPPER(TRIM(AM68))="FTE"),"FT",IF(AND(OR(ISNUMBER(SEARCH("part",AM68)),UPPER(TRIM(AM68))="PT",UPPER(TRIM(AM68))="PTE"),OR($P68="",N($P68)&gt;=PT_MinHours)),"PT","None"))))</f>
        <v/>
      </c>
      <c r="AQ68" s="13" t="str">
        <f aca="false">IF(AE68=0,"",IF(AND(AG68&gt;=3,AJ68&lt;=AsOfDate),AP68,IF(AND(AG68&gt;=2,AI68&lt;=AsOfDate),AO68,AN68)))</f>
        <v/>
      </c>
      <c r="AR68" s="13" t="str">
        <f aca="false">IF(AE68=0,"",IF(AsOfDate&lt;AF68,-1,12*(YEAR(AsOfDate)-YEAR(AF68))+MONTH(AsOfDate)-MONTH(AF68)-IF(DAY(AsOfDate)&lt;MIN(DAY(AF68),DAY(EOMONTH(AsOfDate,0))),1,0)))</f>
        <v/>
      </c>
      <c r="AS68" s="13" t="str">
        <f aca="false">IF(AE68=0,"",IF(OR(AG68&lt;2,AI68&gt;AsOfDate),AR68,IF((AI68-1)&lt;AF68,-1,12*(YEAR((AI68-1))-YEAR(AF68))+MONTH((AI68-1))-MONTH(AF68)-IF(DAY((AI68-1))&lt;MIN(DAY(AF68),DAY(EOMONTH((AI68-1),0))),1,0))))</f>
        <v/>
      </c>
      <c r="AT68" s="13" t="str">
        <f aca="false">IF(AE68=0,"",IF(OR(AG68&lt;3,AJ68&gt;AsOfDate),AR68,IF((AJ68-1)&lt;AF68,-1,12*(YEAR((AJ68-1))-YEAR(AF68))+MONTH((AJ68-1))-MONTH(AF68)-IF(DAY((AJ68-1))&lt;MIN(DAY(AF68),DAY(EOMONTH((AJ68-1),0))),1,0))))</f>
        <v/>
      </c>
      <c r="AU68" s="13" t="str">
        <f aca="false">IF(AE68=0,"",IF(PFYDate&lt;AF68,-1,12*(YEAR(PFYDate)-YEAR(AF68))+MONTH(PFYDate)-MONTH(AF68)-IF(DAY(PFYDate)&lt;MIN(DAY(AF68),DAY(EOMONTH(PFYDate,0))),1,0)))</f>
        <v/>
      </c>
      <c r="AV68" s="13" t="str">
        <f aca="false">IF(AE68=0,"",IF(OR(AG68&lt;2,AI68&gt;PFYDate),AU68,IF((AI68-1)&lt;AF68,-1,12*(YEAR((AI68-1))-YEAR(AF68))+MONTH((AI68-1))-MONTH(AF68)-IF(DAY((AI68-1))&lt;MIN(DAY(AF68),DAY(EOMONTH((AI68-1),0))),1,0))))</f>
        <v/>
      </c>
      <c r="AW68" s="13" t="str">
        <f aca="false">IF(AE68=0,"",IF(OR(AG68&lt;3,AJ68&gt;PFYDate),AU68,IF((AJ68-1)&lt;AF68,-1,12*(YEAR((AJ68-1))-YEAR(AF68))+MONTH((AJ68-1))-MONTH(AF68)-IF(DAY((AJ68-1))&lt;MIN(DAY(AF68),DAY(EOMONTH((AJ68-1),0))),1,0))))</f>
        <v/>
      </c>
      <c r="AX68" s="13"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3"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3" t="str">
        <f aca="false">IF(AE68=0,"",IF(AQ68="FT",IF(AR68&lt;FT_First,FT_First,IF(AR68&lt;FT_Y5,MIN(FT_Y5,FT_First+FT_Int1*(INT((AR68-FT_First)/FT_Int1)+1)),FT_Y5+12*INT((AR68-FT_Y5)/12)+FT_Int2*(INT(MOD(AR68-FT_Y5,12)/FT_Int2)+1))),IF(AQ68="PT",IF(AR68&lt;PT_First,PT_First,PT_First+PT_Int*(INT((AR68-PT_First)/PT_Int)+1)),"")))</f>
        <v/>
      </c>
      <c r="BA68" s="13" t="str">
        <f aca="false">IF(AE68=0,"",IF(NOT(LH_Ready),0,COUNTIFS(INDEX(LH_Data,0,LH_ColFirst),$A68,INDEX(LH_Data,0,LH_ColSur),$B68,INDEX(LH_Data,0,LH_ColCat),BonusCat)))</f>
        <v/>
      </c>
      <c r="BB68" s="13" t="str">
        <f aca="false">IF(AE68=0,"",IF(OR(NOT(LH_Ready),BA68=0),0,SUMPRODUCT(MAX((INDEX(LH_Data,0,LH_ColFirst)=$A68)*(INDEX(LH_Data,0,LH_ColSur)=$B68)*(INDEX(LH_Data,0,LH_ColCat)=BonusCat)*ROW(LH_Data)))))</f>
        <v/>
      </c>
      <c r="BC68" s="0" t="str">
        <f aca="false">IF(LEN($A68&amp;$B68)=0,"",$A68&amp;" "&amp;$B68)</f>
        <v/>
      </c>
    </row>
    <row r="69" customFormat="false" ht="15" hidden="false" customHeight="false" outlineLevel="0" collapsed="false">
      <c r="A69" s="9"/>
      <c r="B69" s="9"/>
      <c r="C69" s="9"/>
      <c r="D69" s="10"/>
      <c r="E69" s="11" t="str">
        <f aca="false">IF(OR(AE69=0,$D69=""),"",DATE(YEAR(AsOfDate)+IF(DATE(YEAR(AsOfDate),MONTH($D69),DAY($D69))&lt;=AsOfDate,1,0),MONTH($D69),DAY($D69)))</f>
        <v/>
      </c>
      <c r="F69" s="10"/>
      <c r="G69" s="10"/>
      <c r="H69" s="10"/>
      <c r="I69" s="10"/>
      <c r="J69" s="10"/>
      <c r="K69" s="11" t="str">
        <f aca="false">IF(AE69=0,"",DATE(YEAR(AsOfDate)+IF(DATE(YEAR(AsOfDate),MONTH(AF69),DAY(AF69))&lt;=AsOfDate,1,0),MONTH(AF69),DAY(AF69)))</f>
        <v/>
      </c>
      <c r="L69" s="12" t="str">
        <f aca="false">IF(AE69=0,"",ROUND((AsOfDate-AF69)/365.25,1))</f>
        <v/>
      </c>
      <c r="M69" s="13" t="str">
        <f aca="false">IF(AE69=0,"",IF(AsOfDate&lt;AF69,"-",DATEDIF(AF69,AsOfDate,"y")&amp;"y "&amp;DATEDIF(AF69,AsOfDate,"ym")&amp;"m "&amp;DATEDIF(AF69,AsOfDate,"md")&amp;"d"))</f>
        <v/>
      </c>
      <c r="N69" s="14" t="str">
        <f aca="false">IF(AE69=0,"",O69*HoursPerDay)</f>
        <v/>
      </c>
      <c r="O69" s="14" t="str">
        <f aca="false">IF(AE69=0,"",AX69)</f>
        <v/>
      </c>
      <c r="P69" s="15"/>
      <c r="Q69" s="13"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13"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1" t="str">
        <f aca="false">IF(AE69=0,"",IF(AQ69="None","",EDATE(AF69,AZ69)))</f>
        <v/>
      </c>
      <c r="T69" s="14" t="str">
        <f aca="false">IF(AE69=0,"",IF(NOT(LH_Ready),"",IF(AF69&gt;PFYDate,0,IF(LH_ColPeriod=0,W69-U69+V69,SUMIFS(INDEX(LH_Data,0,LH_ColAcc),INDEX(LH_Data,0,LH_ColFirst),$A69,INDEX(LH_Data,0,LH_ColSur),$B69,INDEX(LH_Data,0,LH_ColCat),BonusCat,INDEX(LH_Data,0,LH_ColPeriod),LH_OpenLabel)*UnitFactor))))</f>
        <v/>
      </c>
      <c r="U69" s="14" t="str">
        <f aca="false">IF(AE69=0,"",IF(NOT(LH_Ready),"",SUMIFS(INDEX(LH_Data,0,LH_ColAcc),INDEX(LH_Data,0,LH_ColFirst),$A69,INDEX(LH_Data,0,LH_ColSur),$B69,INDEX(LH_Data,0,LH_ColCat),BonusCat,INDEX(LH_Data,0,LH_ColStart),"&gt;="&amp;AF69)*UnitFactor))</f>
        <v/>
      </c>
      <c r="V69" s="14" t="str">
        <f aca="false">IF(AE69=0,"",IF(NOT(LH_Ready),"",SUMIFS(INDEX(LH_Data,0,LH_ColTaken),INDEX(LH_Data,0,LH_ColFirst),$A69,INDEX(LH_Data,0,LH_ColSur),$B69,INDEX(LH_Data,0,LH_ColCat),BonusCat,INDEX(LH_Data,0,LH_ColStart),"&gt;="&amp;AF69)*UnitFactor))</f>
        <v/>
      </c>
      <c r="W69" s="14" t="str">
        <f aca="false">IF(AE69=0,"",IF(NOT(LH_Ready),"",IF(BB69=0,0,INDEX(INDEX(LH_Data,0,LH_ColClose),BB69-1)*UnitFactor)))</f>
        <v/>
      </c>
      <c r="X69" s="14" t="str">
        <f aca="false">IF(AE69=0,"",(AX69-AY69)*HoursPerDay)</f>
        <v/>
      </c>
      <c r="Y69" s="14" t="str">
        <f aca="false">IF(AE69=0,"",IF(NOT(LH_Ready),"",IF(BA69=0,N69,IF(PFYDate&lt;$F69,N69-N(T69)-N(U69),X69-N(U69)))))</f>
        <v/>
      </c>
      <c r="Z69" s="13" t="str">
        <f aca="false">IF(OR(AE69=0,Y69=""),"",IF(Y69&gt;0,"Yes","No"))</f>
        <v/>
      </c>
      <c r="AA69" s="13"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 hrs more than policy since commencement",IF(N(W69)&gt;O69*HoursPerDay+0.01,"CHECK - EH balance "&amp;ROUND(W69-O69*HoursPerDay,2)&amp;" hrs more than policy entitlement",IF(O69&gt;0,"OK - nothing to add",IF(AQ69="None",R69,"Not yet - first day on "&amp;TEXT(S69,"dd/mm/yyyy")))))))))</f>
        <v/>
      </c>
      <c r="AB69" s="14" t="str">
        <f aca="false">IF(OR(AE69=0,T69=""),"",AY69*HoursPerDay-T69)</f>
        <v/>
      </c>
      <c r="AC69" s="13" t="str">
        <f aca="false">IF(AE69=0,"",BA69)</f>
        <v/>
      </c>
      <c r="AD69" s="13"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3" t="n">
        <f aca="false">IF(OR(LEN($A69&amp;$B69)=0,$F69=""),0,1)</f>
        <v>0</v>
      </c>
      <c r="AF69" s="11" t="str">
        <f aca="false">IF(AE69=0,"",IF($J69&lt;&gt;"",$J69,IF(OR(CasualCounts="Yes",COUNT($G69:$I69)=0,COUNT($G69:$H69)=0),$F69,MIN($G69:$H69))))</f>
        <v/>
      </c>
      <c r="AG69" s="13" t="str">
        <f aca="false">IF(AE69=0,"",COUNT($G69:$I69))</f>
        <v/>
      </c>
      <c r="AH69" s="11" t="str">
        <f aca="false">IF(AE69=0,"",IFERROR(SMALL($G69:$I69,1),""))</f>
        <v/>
      </c>
      <c r="AI69" s="11" t="str">
        <f aca="false">IF(AE69=0,"",IFERROR(SMALL($G69:$I69,2),""))</f>
        <v/>
      </c>
      <c r="AJ69" s="11" t="str">
        <f aca="false">IF(AE69=0,"",IFERROR(SMALL($G69:$I69,3),""))</f>
        <v/>
      </c>
      <c r="AK69" s="13" t="str">
        <f aca="false">IF(AE69=0,"",IF(AH69="","",IF(AH69=$G69,"Part-Time",IF(AH69=$H69,"Full-Time","Casual"))))</f>
        <v/>
      </c>
      <c r="AL69" s="13" t="str">
        <f aca="false">IF(AE69=0,"",IF(AI69="","",IF(AI69=$G69,"Part-Time",IF(AI69=$H69,"Full-Time","Casual"))))</f>
        <v/>
      </c>
      <c r="AM69" s="13" t="str">
        <f aca="false">IF(AE69=0,"",IF(AJ69="","",IF(AJ69=$G69,"Part-Time",IF(AJ69=$H69,"Full-Time","Casual"))))</f>
        <v/>
      </c>
      <c r="AN69" s="13"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3" t="str">
        <f aca="false">IF(AE69=0,"",IF(AG69&lt;2,"",IF(OR(ISNUMBER(SEARCH("full",AL69)),UPPER(TRIM(AL69))="FT",UPPER(TRIM(AL69))="FTE"),"FT",IF(AND(OR(ISNUMBER(SEARCH("part",AL69)),UPPER(TRIM(AL69))="PT",UPPER(TRIM(AL69))="PTE"),OR($P69="",N($P69)&gt;=PT_MinHours)),"PT","None"))))</f>
        <v/>
      </c>
      <c r="AP69" s="13" t="str">
        <f aca="false">IF(AE69=0,"",IF(AG69&lt;3,"",IF(OR(ISNUMBER(SEARCH("full",AM69)),UPPER(TRIM(AM69))="FT",UPPER(TRIM(AM69))="FTE"),"FT",IF(AND(OR(ISNUMBER(SEARCH("part",AM69)),UPPER(TRIM(AM69))="PT",UPPER(TRIM(AM69))="PTE"),OR($P69="",N($P69)&gt;=PT_MinHours)),"PT","None"))))</f>
        <v/>
      </c>
      <c r="AQ69" s="13" t="str">
        <f aca="false">IF(AE69=0,"",IF(AND(AG69&gt;=3,AJ69&lt;=AsOfDate),AP69,IF(AND(AG69&gt;=2,AI69&lt;=AsOfDate),AO69,AN69)))</f>
        <v/>
      </c>
      <c r="AR69" s="13" t="str">
        <f aca="false">IF(AE69=0,"",IF(AsOfDate&lt;AF69,-1,12*(YEAR(AsOfDate)-YEAR(AF69))+MONTH(AsOfDate)-MONTH(AF69)-IF(DAY(AsOfDate)&lt;MIN(DAY(AF69),DAY(EOMONTH(AsOfDate,0))),1,0)))</f>
        <v/>
      </c>
      <c r="AS69" s="13" t="str">
        <f aca="false">IF(AE69=0,"",IF(OR(AG69&lt;2,AI69&gt;AsOfDate),AR69,IF((AI69-1)&lt;AF69,-1,12*(YEAR((AI69-1))-YEAR(AF69))+MONTH((AI69-1))-MONTH(AF69)-IF(DAY((AI69-1))&lt;MIN(DAY(AF69),DAY(EOMONTH((AI69-1),0))),1,0))))</f>
        <v/>
      </c>
      <c r="AT69" s="13" t="str">
        <f aca="false">IF(AE69=0,"",IF(OR(AG69&lt;3,AJ69&gt;AsOfDate),AR69,IF((AJ69-1)&lt;AF69,-1,12*(YEAR((AJ69-1))-YEAR(AF69))+MONTH((AJ69-1))-MONTH(AF69)-IF(DAY((AJ69-1))&lt;MIN(DAY(AF69),DAY(EOMONTH((AJ69-1),0))),1,0))))</f>
        <v/>
      </c>
      <c r="AU69" s="13" t="str">
        <f aca="false">IF(AE69=0,"",IF(PFYDate&lt;AF69,-1,12*(YEAR(PFYDate)-YEAR(AF69))+MONTH(PFYDate)-MONTH(AF69)-IF(DAY(PFYDate)&lt;MIN(DAY(AF69),DAY(EOMONTH(PFYDate,0))),1,0)))</f>
        <v/>
      </c>
      <c r="AV69" s="13" t="str">
        <f aca="false">IF(AE69=0,"",IF(OR(AG69&lt;2,AI69&gt;PFYDate),AU69,IF((AI69-1)&lt;AF69,-1,12*(YEAR((AI69-1))-YEAR(AF69))+MONTH((AI69-1))-MONTH(AF69)-IF(DAY((AI69-1))&lt;MIN(DAY(AF69),DAY(EOMONTH((AI69-1),0))),1,0))))</f>
        <v/>
      </c>
      <c r="AW69" s="13" t="str">
        <f aca="false">IF(AE69=0,"",IF(OR(AG69&lt;3,AJ69&gt;PFYDate),AU69,IF((AJ69-1)&lt;AF69,-1,12*(YEAR((AJ69-1))-YEAR(AF69))+MONTH((AJ69-1))-MONTH(AF69)-IF(DAY((AJ69-1))&lt;MIN(DAY(AF69),DAY(EOMONTH((AJ69-1),0))),1,0))))</f>
        <v/>
      </c>
      <c r="AX69" s="13"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3"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3" t="str">
        <f aca="false">IF(AE69=0,"",IF(AQ69="FT",IF(AR69&lt;FT_First,FT_First,IF(AR69&lt;FT_Y5,MIN(FT_Y5,FT_First+FT_Int1*(INT((AR69-FT_First)/FT_Int1)+1)),FT_Y5+12*INT((AR69-FT_Y5)/12)+FT_Int2*(INT(MOD(AR69-FT_Y5,12)/FT_Int2)+1))),IF(AQ69="PT",IF(AR69&lt;PT_First,PT_First,PT_First+PT_Int*(INT((AR69-PT_First)/PT_Int)+1)),"")))</f>
        <v/>
      </c>
      <c r="BA69" s="13" t="str">
        <f aca="false">IF(AE69=0,"",IF(NOT(LH_Ready),0,COUNTIFS(INDEX(LH_Data,0,LH_ColFirst),$A69,INDEX(LH_Data,0,LH_ColSur),$B69,INDEX(LH_Data,0,LH_ColCat),BonusCat)))</f>
        <v/>
      </c>
      <c r="BB69" s="13" t="str">
        <f aca="false">IF(AE69=0,"",IF(OR(NOT(LH_Ready),BA69=0),0,SUMPRODUCT(MAX((INDEX(LH_Data,0,LH_ColFirst)=$A69)*(INDEX(LH_Data,0,LH_ColSur)=$B69)*(INDEX(LH_Data,0,LH_ColCat)=BonusCat)*ROW(LH_Data)))))</f>
        <v/>
      </c>
      <c r="BC69" s="0" t="str">
        <f aca="false">IF(LEN($A69&amp;$B69)=0,"",$A69&amp;" "&amp;$B69)</f>
        <v/>
      </c>
    </row>
    <row r="70" customFormat="false" ht="15" hidden="false" customHeight="false" outlineLevel="0" collapsed="false">
      <c r="A70" s="9"/>
      <c r="B70" s="9"/>
      <c r="C70" s="9"/>
      <c r="D70" s="10"/>
      <c r="E70" s="11" t="str">
        <f aca="false">IF(OR(AE70=0,$D70=""),"",DATE(YEAR(AsOfDate)+IF(DATE(YEAR(AsOfDate),MONTH($D70),DAY($D70))&lt;=AsOfDate,1,0),MONTH($D70),DAY($D70)))</f>
        <v/>
      </c>
      <c r="F70" s="10"/>
      <c r="G70" s="10"/>
      <c r="H70" s="10"/>
      <c r="I70" s="10"/>
      <c r="J70" s="10"/>
      <c r="K70" s="11" t="str">
        <f aca="false">IF(AE70=0,"",DATE(YEAR(AsOfDate)+IF(DATE(YEAR(AsOfDate),MONTH(AF70),DAY(AF70))&lt;=AsOfDate,1,0),MONTH(AF70),DAY(AF70)))</f>
        <v/>
      </c>
      <c r="L70" s="12" t="str">
        <f aca="false">IF(AE70=0,"",ROUND((AsOfDate-AF70)/365.25,1))</f>
        <v/>
      </c>
      <c r="M70" s="13" t="str">
        <f aca="false">IF(AE70=0,"",IF(AsOfDate&lt;AF70,"-",DATEDIF(AF70,AsOfDate,"y")&amp;"y "&amp;DATEDIF(AF70,AsOfDate,"ym")&amp;"m "&amp;DATEDIF(AF70,AsOfDate,"md")&amp;"d"))</f>
        <v/>
      </c>
      <c r="N70" s="14" t="str">
        <f aca="false">IF(AE70=0,"",O70*HoursPerDay)</f>
        <v/>
      </c>
      <c r="O70" s="14" t="str">
        <f aca="false">IF(AE70=0,"",AX70)</f>
        <v/>
      </c>
      <c r="P70" s="15"/>
      <c r="Q70" s="13"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13"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1" t="str">
        <f aca="false">IF(AE70=0,"",IF(AQ70="None","",EDATE(AF70,AZ70)))</f>
        <v/>
      </c>
      <c r="T70" s="14" t="str">
        <f aca="false">IF(AE70=0,"",IF(NOT(LH_Ready),"",IF(AF70&gt;PFYDate,0,IF(LH_ColPeriod=0,W70-U70+V70,SUMIFS(INDEX(LH_Data,0,LH_ColAcc),INDEX(LH_Data,0,LH_ColFirst),$A70,INDEX(LH_Data,0,LH_ColSur),$B70,INDEX(LH_Data,0,LH_ColCat),BonusCat,INDEX(LH_Data,0,LH_ColPeriod),LH_OpenLabel)*UnitFactor))))</f>
        <v/>
      </c>
      <c r="U70" s="14" t="str">
        <f aca="false">IF(AE70=0,"",IF(NOT(LH_Ready),"",SUMIFS(INDEX(LH_Data,0,LH_ColAcc),INDEX(LH_Data,0,LH_ColFirst),$A70,INDEX(LH_Data,0,LH_ColSur),$B70,INDEX(LH_Data,0,LH_ColCat),BonusCat,INDEX(LH_Data,0,LH_ColStart),"&gt;="&amp;AF70)*UnitFactor))</f>
        <v/>
      </c>
      <c r="V70" s="14" t="str">
        <f aca="false">IF(AE70=0,"",IF(NOT(LH_Ready),"",SUMIFS(INDEX(LH_Data,0,LH_ColTaken),INDEX(LH_Data,0,LH_ColFirst),$A70,INDEX(LH_Data,0,LH_ColSur),$B70,INDEX(LH_Data,0,LH_ColCat),BonusCat,INDEX(LH_Data,0,LH_ColStart),"&gt;="&amp;AF70)*UnitFactor))</f>
        <v/>
      </c>
      <c r="W70" s="14" t="str">
        <f aca="false">IF(AE70=0,"",IF(NOT(LH_Ready),"",IF(BB70=0,0,INDEX(INDEX(LH_Data,0,LH_ColClose),BB70-1)*UnitFactor)))</f>
        <v/>
      </c>
      <c r="X70" s="14" t="str">
        <f aca="false">IF(AE70=0,"",(AX70-AY70)*HoursPerDay)</f>
        <v/>
      </c>
      <c r="Y70" s="14" t="str">
        <f aca="false">IF(AE70=0,"",IF(NOT(LH_Ready),"",IF(BA70=0,N70,IF(PFYDate&lt;$F70,N70-N(T70)-N(U70),X70-N(U70)))))</f>
        <v/>
      </c>
      <c r="Z70" s="13" t="str">
        <f aca="false">IF(OR(AE70=0,Y70=""),"",IF(Y70&gt;0,"Yes","No"))</f>
        <v/>
      </c>
      <c r="AA70" s="13"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 hrs more than policy since commencement",IF(N(W70)&gt;O70*HoursPerDay+0.01,"CHECK - EH balance "&amp;ROUND(W70-O70*HoursPerDay,2)&amp;" hrs more than policy entitlement",IF(O70&gt;0,"OK - nothing to add",IF(AQ70="None",R70,"Not yet - first day on "&amp;TEXT(S70,"dd/mm/yyyy")))))))))</f>
        <v/>
      </c>
      <c r="AB70" s="14" t="str">
        <f aca="false">IF(OR(AE70=0,T70=""),"",AY70*HoursPerDay-T70)</f>
        <v/>
      </c>
      <c r="AC70" s="13" t="str">
        <f aca="false">IF(AE70=0,"",BA70)</f>
        <v/>
      </c>
      <c r="AD70" s="13"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3" t="n">
        <f aca="false">IF(OR(LEN($A70&amp;$B70)=0,$F70=""),0,1)</f>
        <v>0</v>
      </c>
      <c r="AF70" s="11" t="str">
        <f aca="false">IF(AE70=0,"",IF($J70&lt;&gt;"",$J70,IF(OR(CasualCounts="Yes",COUNT($G70:$I70)=0,COUNT($G70:$H70)=0),$F70,MIN($G70:$H70))))</f>
        <v/>
      </c>
      <c r="AG70" s="13" t="str">
        <f aca="false">IF(AE70=0,"",COUNT($G70:$I70))</f>
        <v/>
      </c>
      <c r="AH70" s="11" t="str">
        <f aca="false">IF(AE70=0,"",IFERROR(SMALL($G70:$I70,1),""))</f>
        <v/>
      </c>
      <c r="AI70" s="11" t="str">
        <f aca="false">IF(AE70=0,"",IFERROR(SMALL($G70:$I70,2),""))</f>
        <v/>
      </c>
      <c r="AJ70" s="11" t="str">
        <f aca="false">IF(AE70=0,"",IFERROR(SMALL($G70:$I70,3),""))</f>
        <v/>
      </c>
      <c r="AK70" s="13" t="str">
        <f aca="false">IF(AE70=0,"",IF(AH70="","",IF(AH70=$G70,"Part-Time",IF(AH70=$H70,"Full-Time","Casual"))))</f>
        <v/>
      </c>
      <c r="AL70" s="13" t="str">
        <f aca="false">IF(AE70=0,"",IF(AI70="","",IF(AI70=$G70,"Part-Time",IF(AI70=$H70,"Full-Time","Casual"))))</f>
        <v/>
      </c>
      <c r="AM70" s="13" t="str">
        <f aca="false">IF(AE70=0,"",IF(AJ70="","",IF(AJ70=$G70,"Part-Time",IF(AJ70=$H70,"Full-Time","Casual"))))</f>
        <v/>
      </c>
      <c r="AN70" s="13"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3" t="str">
        <f aca="false">IF(AE70=0,"",IF(AG70&lt;2,"",IF(OR(ISNUMBER(SEARCH("full",AL70)),UPPER(TRIM(AL70))="FT",UPPER(TRIM(AL70))="FTE"),"FT",IF(AND(OR(ISNUMBER(SEARCH("part",AL70)),UPPER(TRIM(AL70))="PT",UPPER(TRIM(AL70))="PTE"),OR($P70="",N($P70)&gt;=PT_MinHours)),"PT","None"))))</f>
        <v/>
      </c>
      <c r="AP70" s="13" t="str">
        <f aca="false">IF(AE70=0,"",IF(AG70&lt;3,"",IF(OR(ISNUMBER(SEARCH("full",AM70)),UPPER(TRIM(AM70))="FT",UPPER(TRIM(AM70))="FTE"),"FT",IF(AND(OR(ISNUMBER(SEARCH("part",AM70)),UPPER(TRIM(AM70))="PT",UPPER(TRIM(AM70))="PTE"),OR($P70="",N($P70)&gt;=PT_MinHours)),"PT","None"))))</f>
        <v/>
      </c>
      <c r="AQ70" s="13" t="str">
        <f aca="false">IF(AE70=0,"",IF(AND(AG70&gt;=3,AJ70&lt;=AsOfDate),AP70,IF(AND(AG70&gt;=2,AI70&lt;=AsOfDate),AO70,AN70)))</f>
        <v/>
      </c>
      <c r="AR70" s="13" t="str">
        <f aca="false">IF(AE70=0,"",IF(AsOfDate&lt;AF70,-1,12*(YEAR(AsOfDate)-YEAR(AF70))+MONTH(AsOfDate)-MONTH(AF70)-IF(DAY(AsOfDate)&lt;MIN(DAY(AF70),DAY(EOMONTH(AsOfDate,0))),1,0)))</f>
        <v/>
      </c>
      <c r="AS70" s="13" t="str">
        <f aca="false">IF(AE70=0,"",IF(OR(AG70&lt;2,AI70&gt;AsOfDate),AR70,IF((AI70-1)&lt;AF70,-1,12*(YEAR((AI70-1))-YEAR(AF70))+MONTH((AI70-1))-MONTH(AF70)-IF(DAY((AI70-1))&lt;MIN(DAY(AF70),DAY(EOMONTH((AI70-1),0))),1,0))))</f>
        <v/>
      </c>
      <c r="AT70" s="13" t="str">
        <f aca="false">IF(AE70=0,"",IF(OR(AG70&lt;3,AJ70&gt;AsOfDate),AR70,IF((AJ70-1)&lt;AF70,-1,12*(YEAR((AJ70-1))-YEAR(AF70))+MONTH((AJ70-1))-MONTH(AF70)-IF(DAY((AJ70-1))&lt;MIN(DAY(AF70),DAY(EOMONTH((AJ70-1),0))),1,0))))</f>
        <v/>
      </c>
      <c r="AU70" s="13" t="str">
        <f aca="false">IF(AE70=0,"",IF(PFYDate&lt;AF70,-1,12*(YEAR(PFYDate)-YEAR(AF70))+MONTH(PFYDate)-MONTH(AF70)-IF(DAY(PFYDate)&lt;MIN(DAY(AF70),DAY(EOMONTH(PFYDate,0))),1,0)))</f>
        <v/>
      </c>
      <c r="AV70" s="13" t="str">
        <f aca="false">IF(AE70=0,"",IF(OR(AG70&lt;2,AI70&gt;PFYDate),AU70,IF((AI70-1)&lt;AF70,-1,12*(YEAR((AI70-1))-YEAR(AF70))+MONTH((AI70-1))-MONTH(AF70)-IF(DAY((AI70-1))&lt;MIN(DAY(AF70),DAY(EOMONTH((AI70-1),0))),1,0))))</f>
        <v/>
      </c>
      <c r="AW70" s="13" t="str">
        <f aca="false">IF(AE70=0,"",IF(OR(AG70&lt;3,AJ70&gt;PFYDate),AU70,IF((AJ70-1)&lt;AF70,-1,12*(YEAR((AJ70-1))-YEAR(AF70))+MONTH((AJ70-1))-MONTH(AF70)-IF(DAY((AJ70-1))&lt;MIN(DAY(AF70),DAY(EOMONTH((AJ70-1),0))),1,0))))</f>
        <v/>
      </c>
      <c r="AX70" s="13"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3"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3" t="str">
        <f aca="false">IF(AE70=0,"",IF(AQ70="FT",IF(AR70&lt;FT_First,FT_First,IF(AR70&lt;FT_Y5,MIN(FT_Y5,FT_First+FT_Int1*(INT((AR70-FT_First)/FT_Int1)+1)),FT_Y5+12*INT((AR70-FT_Y5)/12)+FT_Int2*(INT(MOD(AR70-FT_Y5,12)/FT_Int2)+1))),IF(AQ70="PT",IF(AR70&lt;PT_First,PT_First,PT_First+PT_Int*(INT((AR70-PT_First)/PT_Int)+1)),"")))</f>
        <v/>
      </c>
      <c r="BA70" s="13" t="str">
        <f aca="false">IF(AE70=0,"",IF(NOT(LH_Ready),0,COUNTIFS(INDEX(LH_Data,0,LH_ColFirst),$A70,INDEX(LH_Data,0,LH_ColSur),$B70,INDEX(LH_Data,0,LH_ColCat),BonusCat)))</f>
        <v/>
      </c>
      <c r="BB70" s="13" t="str">
        <f aca="false">IF(AE70=0,"",IF(OR(NOT(LH_Ready),BA70=0),0,SUMPRODUCT(MAX((INDEX(LH_Data,0,LH_ColFirst)=$A70)*(INDEX(LH_Data,0,LH_ColSur)=$B70)*(INDEX(LH_Data,0,LH_ColCat)=BonusCat)*ROW(LH_Data)))))</f>
        <v/>
      </c>
      <c r="BC70" s="0" t="str">
        <f aca="false">IF(LEN($A70&amp;$B70)=0,"",$A70&amp;" "&amp;$B70)</f>
        <v/>
      </c>
    </row>
    <row r="71" customFormat="false" ht="15" hidden="false" customHeight="false" outlineLevel="0" collapsed="false">
      <c r="A71" s="9"/>
      <c r="B71" s="9"/>
      <c r="C71" s="9"/>
      <c r="D71" s="10"/>
      <c r="E71" s="11" t="str">
        <f aca="false">IF(OR(AE71=0,$D71=""),"",DATE(YEAR(AsOfDate)+IF(DATE(YEAR(AsOfDate),MONTH($D71),DAY($D71))&lt;=AsOfDate,1,0),MONTH($D71),DAY($D71)))</f>
        <v/>
      </c>
      <c r="F71" s="10"/>
      <c r="G71" s="10"/>
      <c r="H71" s="10"/>
      <c r="I71" s="10"/>
      <c r="J71" s="10"/>
      <c r="K71" s="11" t="str">
        <f aca="false">IF(AE71=0,"",DATE(YEAR(AsOfDate)+IF(DATE(YEAR(AsOfDate),MONTH(AF71),DAY(AF71))&lt;=AsOfDate,1,0),MONTH(AF71),DAY(AF71)))</f>
        <v/>
      </c>
      <c r="L71" s="12" t="str">
        <f aca="false">IF(AE71=0,"",ROUND((AsOfDate-AF71)/365.25,1))</f>
        <v/>
      </c>
      <c r="M71" s="13" t="str">
        <f aca="false">IF(AE71=0,"",IF(AsOfDate&lt;AF71,"-",DATEDIF(AF71,AsOfDate,"y")&amp;"y "&amp;DATEDIF(AF71,AsOfDate,"ym")&amp;"m "&amp;DATEDIF(AF71,AsOfDate,"md")&amp;"d"))</f>
        <v/>
      </c>
      <c r="N71" s="14" t="str">
        <f aca="false">IF(AE71=0,"",O71*HoursPerDay)</f>
        <v/>
      </c>
      <c r="O71" s="14" t="str">
        <f aca="false">IF(AE71=0,"",AX71)</f>
        <v/>
      </c>
      <c r="P71" s="15"/>
      <c r="Q71" s="13"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13"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1" t="str">
        <f aca="false">IF(AE71=0,"",IF(AQ71="None","",EDATE(AF71,AZ71)))</f>
        <v/>
      </c>
      <c r="T71" s="14" t="str">
        <f aca="false">IF(AE71=0,"",IF(NOT(LH_Ready),"",IF(AF71&gt;PFYDate,0,IF(LH_ColPeriod=0,W71-U71+V71,SUMIFS(INDEX(LH_Data,0,LH_ColAcc),INDEX(LH_Data,0,LH_ColFirst),$A71,INDEX(LH_Data,0,LH_ColSur),$B71,INDEX(LH_Data,0,LH_ColCat),BonusCat,INDEX(LH_Data,0,LH_ColPeriod),LH_OpenLabel)*UnitFactor))))</f>
        <v/>
      </c>
      <c r="U71" s="14" t="str">
        <f aca="false">IF(AE71=0,"",IF(NOT(LH_Ready),"",SUMIFS(INDEX(LH_Data,0,LH_ColAcc),INDEX(LH_Data,0,LH_ColFirst),$A71,INDEX(LH_Data,0,LH_ColSur),$B71,INDEX(LH_Data,0,LH_ColCat),BonusCat,INDEX(LH_Data,0,LH_ColStart),"&gt;="&amp;AF71)*UnitFactor))</f>
        <v/>
      </c>
      <c r="V71" s="14" t="str">
        <f aca="false">IF(AE71=0,"",IF(NOT(LH_Ready),"",SUMIFS(INDEX(LH_Data,0,LH_ColTaken),INDEX(LH_Data,0,LH_ColFirst),$A71,INDEX(LH_Data,0,LH_ColSur),$B71,INDEX(LH_Data,0,LH_ColCat),BonusCat,INDEX(LH_Data,0,LH_ColStart),"&gt;="&amp;AF71)*UnitFactor))</f>
        <v/>
      </c>
      <c r="W71" s="14" t="str">
        <f aca="false">IF(AE71=0,"",IF(NOT(LH_Ready),"",IF(BB71=0,0,INDEX(INDEX(LH_Data,0,LH_ColClose),BB71-1)*UnitFactor)))</f>
        <v/>
      </c>
      <c r="X71" s="14" t="str">
        <f aca="false">IF(AE71=0,"",(AX71-AY71)*HoursPerDay)</f>
        <v/>
      </c>
      <c r="Y71" s="14" t="str">
        <f aca="false">IF(AE71=0,"",IF(NOT(LH_Ready),"",IF(BA71=0,N71,IF(PFYDate&lt;$F71,N71-N(T71)-N(U71),X71-N(U71)))))</f>
        <v/>
      </c>
      <c r="Z71" s="13" t="str">
        <f aca="false">IF(OR(AE71=0,Y71=""),"",IF(Y71&gt;0,"Yes","No"))</f>
        <v/>
      </c>
      <c r="AA71" s="13"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 hrs more than policy since commencement",IF(N(W71)&gt;O71*HoursPerDay+0.01,"CHECK - EH balance "&amp;ROUND(W71-O71*HoursPerDay,2)&amp;" hrs more than policy entitlement",IF(O71&gt;0,"OK - nothing to add",IF(AQ71="None",R71,"Not yet - first day on "&amp;TEXT(S71,"dd/mm/yyyy")))))))))</f>
        <v/>
      </c>
      <c r="AB71" s="14" t="str">
        <f aca="false">IF(OR(AE71=0,T71=""),"",AY71*HoursPerDay-T71)</f>
        <v/>
      </c>
      <c r="AC71" s="13" t="str">
        <f aca="false">IF(AE71=0,"",BA71)</f>
        <v/>
      </c>
      <c r="AD71" s="13"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3" t="n">
        <f aca="false">IF(OR(LEN($A71&amp;$B71)=0,$F71=""),0,1)</f>
        <v>0</v>
      </c>
      <c r="AF71" s="11" t="str">
        <f aca="false">IF(AE71=0,"",IF($J71&lt;&gt;"",$J71,IF(OR(CasualCounts="Yes",COUNT($G71:$I71)=0,COUNT($G71:$H71)=0),$F71,MIN($G71:$H71))))</f>
        <v/>
      </c>
      <c r="AG71" s="13" t="str">
        <f aca="false">IF(AE71=0,"",COUNT($G71:$I71))</f>
        <v/>
      </c>
      <c r="AH71" s="11" t="str">
        <f aca="false">IF(AE71=0,"",IFERROR(SMALL($G71:$I71,1),""))</f>
        <v/>
      </c>
      <c r="AI71" s="11" t="str">
        <f aca="false">IF(AE71=0,"",IFERROR(SMALL($G71:$I71,2),""))</f>
        <v/>
      </c>
      <c r="AJ71" s="11" t="str">
        <f aca="false">IF(AE71=0,"",IFERROR(SMALL($G71:$I71,3),""))</f>
        <v/>
      </c>
      <c r="AK71" s="13" t="str">
        <f aca="false">IF(AE71=0,"",IF(AH71="","",IF(AH71=$G71,"Part-Time",IF(AH71=$H71,"Full-Time","Casual"))))</f>
        <v/>
      </c>
      <c r="AL71" s="13" t="str">
        <f aca="false">IF(AE71=0,"",IF(AI71="","",IF(AI71=$G71,"Part-Time",IF(AI71=$H71,"Full-Time","Casual"))))</f>
        <v/>
      </c>
      <c r="AM71" s="13" t="str">
        <f aca="false">IF(AE71=0,"",IF(AJ71="","",IF(AJ71=$G71,"Part-Time",IF(AJ71=$H71,"Full-Time","Casual"))))</f>
        <v/>
      </c>
      <c r="AN71" s="13"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3" t="str">
        <f aca="false">IF(AE71=0,"",IF(AG71&lt;2,"",IF(OR(ISNUMBER(SEARCH("full",AL71)),UPPER(TRIM(AL71))="FT",UPPER(TRIM(AL71))="FTE"),"FT",IF(AND(OR(ISNUMBER(SEARCH("part",AL71)),UPPER(TRIM(AL71))="PT",UPPER(TRIM(AL71))="PTE"),OR($P71="",N($P71)&gt;=PT_MinHours)),"PT","None"))))</f>
        <v/>
      </c>
      <c r="AP71" s="13" t="str">
        <f aca="false">IF(AE71=0,"",IF(AG71&lt;3,"",IF(OR(ISNUMBER(SEARCH("full",AM71)),UPPER(TRIM(AM71))="FT",UPPER(TRIM(AM71))="FTE"),"FT",IF(AND(OR(ISNUMBER(SEARCH("part",AM71)),UPPER(TRIM(AM71))="PT",UPPER(TRIM(AM71))="PTE"),OR($P71="",N($P71)&gt;=PT_MinHours)),"PT","None"))))</f>
        <v/>
      </c>
      <c r="AQ71" s="13" t="str">
        <f aca="false">IF(AE71=0,"",IF(AND(AG71&gt;=3,AJ71&lt;=AsOfDate),AP71,IF(AND(AG71&gt;=2,AI71&lt;=AsOfDate),AO71,AN71)))</f>
        <v/>
      </c>
      <c r="AR71" s="13" t="str">
        <f aca="false">IF(AE71=0,"",IF(AsOfDate&lt;AF71,-1,12*(YEAR(AsOfDate)-YEAR(AF71))+MONTH(AsOfDate)-MONTH(AF71)-IF(DAY(AsOfDate)&lt;MIN(DAY(AF71),DAY(EOMONTH(AsOfDate,0))),1,0)))</f>
        <v/>
      </c>
      <c r="AS71" s="13" t="str">
        <f aca="false">IF(AE71=0,"",IF(OR(AG71&lt;2,AI71&gt;AsOfDate),AR71,IF((AI71-1)&lt;AF71,-1,12*(YEAR((AI71-1))-YEAR(AF71))+MONTH((AI71-1))-MONTH(AF71)-IF(DAY((AI71-1))&lt;MIN(DAY(AF71),DAY(EOMONTH((AI71-1),0))),1,0))))</f>
        <v/>
      </c>
      <c r="AT71" s="13" t="str">
        <f aca="false">IF(AE71=0,"",IF(OR(AG71&lt;3,AJ71&gt;AsOfDate),AR71,IF((AJ71-1)&lt;AF71,-1,12*(YEAR((AJ71-1))-YEAR(AF71))+MONTH((AJ71-1))-MONTH(AF71)-IF(DAY((AJ71-1))&lt;MIN(DAY(AF71),DAY(EOMONTH((AJ71-1),0))),1,0))))</f>
        <v/>
      </c>
      <c r="AU71" s="13" t="str">
        <f aca="false">IF(AE71=0,"",IF(PFYDate&lt;AF71,-1,12*(YEAR(PFYDate)-YEAR(AF71))+MONTH(PFYDate)-MONTH(AF71)-IF(DAY(PFYDate)&lt;MIN(DAY(AF71),DAY(EOMONTH(PFYDate,0))),1,0)))</f>
        <v/>
      </c>
      <c r="AV71" s="13" t="str">
        <f aca="false">IF(AE71=0,"",IF(OR(AG71&lt;2,AI71&gt;PFYDate),AU71,IF((AI71-1)&lt;AF71,-1,12*(YEAR((AI71-1))-YEAR(AF71))+MONTH((AI71-1))-MONTH(AF71)-IF(DAY((AI71-1))&lt;MIN(DAY(AF71),DAY(EOMONTH((AI71-1),0))),1,0))))</f>
        <v/>
      </c>
      <c r="AW71" s="13" t="str">
        <f aca="false">IF(AE71=0,"",IF(OR(AG71&lt;3,AJ71&gt;PFYDate),AU71,IF((AJ71-1)&lt;AF71,-1,12*(YEAR((AJ71-1))-YEAR(AF71))+MONTH((AJ71-1))-MONTH(AF71)-IF(DAY((AJ71-1))&lt;MIN(DAY(AF71),DAY(EOMONTH((AJ71-1),0))),1,0))))</f>
        <v/>
      </c>
      <c r="AX71" s="13"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3"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3" t="str">
        <f aca="false">IF(AE71=0,"",IF(AQ71="FT",IF(AR71&lt;FT_First,FT_First,IF(AR71&lt;FT_Y5,MIN(FT_Y5,FT_First+FT_Int1*(INT((AR71-FT_First)/FT_Int1)+1)),FT_Y5+12*INT((AR71-FT_Y5)/12)+FT_Int2*(INT(MOD(AR71-FT_Y5,12)/FT_Int2)+1))),IF(AQ71="PT",IF(AR71&lt;PT_First,PT_First,PT_First+PT_Int*(INT((AR71-PT_First)/PT_Int)+1)),"")))</f>
        <v/>
      </c>
      <c r="BA71" s="13" t="str">
        <f aca="false">IF(AE71=0,"",IF(NOT(LH_Ready),0,COUNTIFS(INDEX(LH_Data,0,LH_ColFirst),$A71,INDEX(LH_Data,0,LH_ColSur),$B71,INDEX(LH_Data,0,LH_ColCat),BonusCat)))</f>
        <v/>
      </c>
      <c r="BB71" s="13" t="str">
        <f aca="false">IF(AE71=0,"",IF(OR(NOT(LH_Ready),BA71=0),0,SUMPRODUCT(MAX((INDEX(LH_Data,0,LH_ColFirst)=$A71)*(INDEX(LH_Data,0,LH_ColSur)=$B71)*(INDEX(LH_Data,0,LH_ColCat)=BonusCat)*ROW(LH_Data)))))</f>
        <v/>
      </c>
      <c r="BC71" s="0" t="str">
        <f aca="false">IF(LEN($A71&amp;$B71)=0,"",$A71&amp;" "&amp;$B71)</f>
        <v/>
      </c>
    </row>
    <row r="72" customFormat="false" ht="15" hidden="false" customHeight="false" outlineLevel="0" collapsed="false">
      <c r="A72" s="9"/>
      <c r="B72" s="9"/>
      <c r="C72" s="9"/>
      <c r="D72" s="10"/>
      <c r="E72" s="11" t="str">
        <f aca="false">IF(OR(AE72=0,$D72=""),"",DATE(YEAR(AsOfDate)+IF(DATE(YEAR(AsOfDate),MONTH($D72),DAY($D72))&lt;=AsOfDate,1,0),MONTH($D72),DAY($D72)))</f>
        <v/>
      </c>
      <c r="F72" s="10"/>
      <c r="G72" s="10"/>
      <c r="H72" s="10"/>
      <c r="I72" s="10"/>
      <c r="J72" s="10"/>
      <c r="K72" s="11" t="str">
        <f aca="false">IF(AE72=0,"",DATE(YEAR(AsOfDate)+IF(DATE(YEAR(AsOfDate),MONTH(AF72),DAY(AF72))&lt;=AsOfDate,1,0),MONTH(AF72),DAY(AF72)))</f>
        <v/>
      </c>
      <c r="L72" s="12" t="str">
        <f aca="false">IF(AE72=0,"",ROUND((AsOfDate-AF72)/365.25,1))</f>
        <v/>
      </c>
      <c r="M72" s="13" t="str">
        <f aca="false">IF(AE72=0,"",IF(AsOfDate&lt;AF72,"-",DATEDIF(AF72,AsOfDate,"y")&amp;"y "&amp;DATEDIF(AF72,AsOfDate,"ym")&amp;"m "&amp;DATEDIF(AF72,AsOfDate,"md")&amp;"d"))</f>
        <v/>
      </c>
      <c r="N72" s="14" t="str">
        <f aca="false">IF(AE72=0,"",O72*HoursPerDay)</f>
        <v/>
      </c>
      <c r="O72" s="14" t="str">
        <f aca="false">IF(AE72=0,"",AX72)</f>
        <v/>
      </c>
      <c r="P72" s="15"/>
      <c r="Q72" s="13"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13"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1" t="str">
        <f aca="false">IF(AE72=0,"",IF(AQ72="None","",EDATE(AF72,AZ72)))</f>
        <v/>
      </c>
      <c r="T72" s="14" t="str">
        <f aca="false">IF(AE72=0,"",IF(NOT(LH_Ready),"",IF(AF72&gt;PFYDate,0,IF(LH_ColPeriod=0,W72-U72+V72,SUMIFS(INDEX(LH_Data,0,LH_ColAcc),INDEX(LH_Data,0,LH_ColFirst),$A72,INDEX(LH_Data,0,LH_ColSur),$B72,INDEX(LH_Data,0,LH_ColCat),BonusCat,INDEX(LH_Data,0,LH_ColPeriod),LH_OpenLabel)*UnitFactor))))</f>
        <v/>
      </c>
      <c r="U72" s="14" t="str">
        <f aca="false">IF(AE72=0,"",IF(NOT(LH_Ready),"",SUMIFS(INDEX(LH_Data,0,LH_ColAcc),INDEX(LH_Data,0,LH_ColFirst),$A72,INDEX(LH_Data,0,LH_ColSur),$B72,INDEX(LH_Data,0,LH_ColCat),BonusCat,INDEX(LH_Data,0,LH_ColStart),"&gt;="&amp;AF72)*UnitFactor))</f>
        <v/>
      </c>
      <c r="V72" s="14" t="str">
        <f aca="false">IF(AE72=0,"",IF(NOT(LH_Ready),"",SUMIFS(INDEX(LH_Data,0,LH_ColTaken),INDEX(LH_Data,0,LH_ColFirst),$A72,INDEX(LH_Data,0,LH_ColSur),$B72,INDEX(LH_Data,0,LH_ColCat),BonusCat,INDEX(LH_Data,0,LH_ColStart),"&gt;="&amp;AF72)*UnitFactor))</f>
        <v/>
      </c>
      <c r="W72" s="14" t="str">
        <f aca="false">IF(AE72=0,"",IF(NOT(LH_Ready),"",IF(BB72=0,0,INDEX(INDEX(LH_Data,0,LH_ColClose),BB72-1)*UnitFactor)))</f>
        <v/>
      </c>
      <c r="X72" s="14" t="str">
        <f aca="false">IF(AE72=0,"",(AX72-AY72)*HoursPerDay)</f>
        <v/>
      </c>
      <c r="Y72" s="14" t="str">
        <f aca="false">IF(AE72=0,"",IF(NOT(LH_Ready),"",IF(BA72=0,N72,IF(PFYDate&lt;$F72,N72-N(T72)-N(U72),X72-N(U72)))))</f>
        <v/>
      </c>
      <c r="Z72" s="13" t="str">
        <f aca="false">IF(OR(AE72=0,Y72=""),"",IF(Y72&gt;0,"Yes","No"))</f>
        <v/>
      </c>
      <c r="AA72" s="13"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 hrs more than policy since commencement",IF(N(W72)&gt;O72*HoursPerDay+0.01,"CHECK - EH balance "&amp;ROUND(W72-O72*HoursPerDay,2)&amp;" hrs more than policy entitlement",IF(O72&gt;0,"OK - nothing to add",IF(AQ72="None",R72,"Not yet - first day on "&amp;TEXT(S72,"dd/mm/yyyy")))))))))</f>
        <v/>
      </c>
      <c r="AB72" s="14" t="str">
        <f aca="false">IF(OR(AE72=0,T72=""),"",AY72*HoursPerDay-T72)</f>
        <v/>
      </c>
      <c r="AC72" s="13" t="str">
        <f aca="false">IF(AE72=0,"",BA72)</f>
        <v/>
      </c>
      <c r="AD72" s="13"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3" t="n">
        <f aca="false">IF(OR(LEN($A72&amp;$B72)=0,$F72=""),0,1)</f>
        <v>0</v>
      </c>
      <c r="AF72" s="11" t="str">
        <f aca="false">IF(AE72=0,"",IF($J72&lt;&gt;"",$J72,IF(OR(CasualCounts="Yes",COUNT($G72:$I72)=0,COUNT($G72:$H72)=0),$F72,MIN($G72:$H72))))</f>
        <v/>
      </c>
      <c r="AG72" s="13" t="str">
        <f aca="false">IF(AE72=0,"",COUNT($G72:$I72))</f>
        <v/>
      </c>
      <c r="AH72" s="11" t="str">
        <f aca="false">IF(AE72=0,"",IFERROR(SMALL($G72:$I72,1),""))</f>
        <v/>
      </c>
      <c r="AI72" s="11" t="str">
        <f aca="false">IF(AE72=0,"",IFERROR(SMALL($G72:$I72,2),""))</f>
        <v/>
      </c>
      <c r="AJ72" s="11" t="str">
        <f aca="false">IF(AE72=0,"",IFERROR(SMALL($G72:$I72,3),""))</f>
        <v/>
      </c>
      <c r="AK72" s="13" t="str">
        <f aca="false">IF(AE72=0,"",IF(AH72="","",IF(AH72=$G72,"Part-Time",IF(AH72=$H72,"Full-Time","Casual"))))</f>
        <v/>
      </c>
      <c r="AL72" s="13" t="str">
        <f aca="false">IF(AE72=0,"",IF(AI72="","",IF(AI72=$G72,"Part-Time",IF(AI72=$H72,"Full-Time","Casual"))))</f>
        <v/>
      </c>
      <c r="AM72" s="13" t="str">
        <f aca="false">IF(AE72=0,"",IF(AJ72="","",IF(AJ72=$G72,"Part-Time",IF(AJ72=$H72,"Full-Time","Casual"))))</f>
        <v/>
      </c>
      <c r="AN72" s="13"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3" t="str">
        <f aca="false">IF(AE72=0,"",IF(AG72&lt;2,"",IF(OR(ISNUMBER(SEARCH("full",AL72)),UPPER(TRIM(AL72))="FT",UPPER(TRIM(AL72))="FTE"),"FT",IF(AND(OR(ISNUMBER(SEARCH("part",AL72)),UPPER(TRIM(AL72))="PT",UPPER(TRIM(AL72))="PTE"),OR($P72="",N($P72)&gt;=PT_MinHours)),"PT","None"))))</f>
        <v/>
      </c>
      <c r="AP72" s="13" t="str">
        <f aca="false">IF(AE72=0,"",IF(AG72&lt;3,"",IF(OR(ISNUMBER(SEARCH("full",AM72)),UPPER(TRIM(AM72))="FT",UPPER(TRIM(AM72))="FTE"),"FT",IF(AND(OR(ISNUMBER(SEARCH("part",AM72)),UPPER(TRIM(AM72))="PT",UPPER(TRIM(AM72))="PTE"),OR($P72="",N($P72)&gt;=PT_MinHours)),"PT","None"))))</f>
        <v/>
      </c>
      <c r="AQ72" s="13" t="str">
        <f aca="false">IF(AE72=0,"",IF(AND(AG72&gt;=3,AJ72&lt;=AsOfDate),AP72,IF(AND(AG72&gt;=2,AI72&lt;=AsOfDate),AO72,AN72)))</f>
        <v/>
      </c>
      <c r="AR72" s="13" t="str">
        <f aca="false">IF(AE72=0,"",IF(AsOfDate&lt;AF72,-1,12*(YEAR(AsOfDate)-YEAR(AF72))+MONTH(AsOfDate)-MONTH(AF72)-IF(DAY(AsOfDate)&lt;MIN(DAY(AF72),DAY(EOMONTH(AsOfDate,0))),1,0)))</f>
        <v/>
      </c>
      <c r="AS72" s="13" t="str">
        <f aca="false">IF(AE72=0,"",IF(OR(AG72&lt;2,AI72&gt;AsOfDate),AR72,IF((AI72-1)&lt;AF72,-1,12*(YEAR((AI72-1))-YEAR(AF72))+MONTH((AI72-1))-MONTH(AF72)-IF(DAY((AI72-1))&lt;MIN(DAY(AF72),DAY(EOMONTH((AI72-1),0))),1,0))))</f>
        <v/>
      </c>
      <c r="AT72" s="13" t="str">
        <f aca="false">IF(AE72=0,"",IF(OR(AG72&lt;3,AJ72&gt;AsOfDate),AR72,IF((AJ72-1)&lt;AF72,-1,12*(YEAR((AJ72-1))-YEAR(AF72))+MONTH((AJ72-1))-MONTH(AF72)-IF(DAY((AJ72-1))&lt;MIN(DAY(AF72),DAY(EOMONTH((AJ72-1),0))),1,0))))</f>
        <v/>
      </c>
      <c r="AU72" s="13" t="str">
        <f aca="false">IF(AE72=0,"",IF(PFYDate&lt;AF72,-1,12*(YEAR(PFYDate)-YEAR(AF72))+MONTH(PFYDate)-MONTH(AF72)-IF(DAY(PFYDate)&lt;MIN(DAY(AF72),DAY(EOMONTH(PFYDate,0))),1,0)))</f>
        <v/>
      </c>
      <c r="AV72" s="13" t="str">
        <f aca="false">IF(AE72=0,"",IF(OR(AG72&lt;2,AI72&gt;PFYDate),AU72,IF((AI72-1)&lt;AF72,-1,12*(YEAR((AI72-1))-YEAR(AF72))+MONTH((AI72-1))-MONTH(AF72)-IF(DAY((AI72-1))&lt;MIN(DAY(AF72),DAY(EOMONTH((AI72-1),0))),1,0))))</f>
        <v/>
      </c>
      <c r="AW72" s="13" t="str">
        <f aca="false">IF(AE72=0,"",IF(OR(AG72&lt;3,AJ72&gt;PFYDate),AU72,IF((AJ72-1)&lt;AF72,-1,12*(YEAR((AJ72-1))-YEAR(AF72))+MONTH((AJ72-1))-MONTH(AF72)-IF(DAY((AJ72-1))&lt;MIN(DAY(AF72),DAY(EOMONTH((AJ72-1),0))),1,0))))</f>
        <v/>
      </c>
      <c r="AX72" s="13"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3"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3" t="str">
        <f aca="false">IF(AE72=0,"",IF(AQ72="FT",IF(AR72&lt;FT_First,FT_First,IF(AR72&lt;FT_Y5,MIN(FT_Y5,FT_First+FT_Int1*(INT((AR72-FT_First)/FT_Int1)+1)),FT_Y5+12*INT((AR72-FT_Y5)/12)+FT_Int2*(INT(MOD(AR72-FT_Y5,12)/FT_Int2)+1))),IF(AQ72="PT",IF(AR72&lt;PT_First,PT_First,PT_First+PT_Int*(INT((AR72-PT_First)/PT_Int)+1)),"")))</f>
        <v/>
      </c>
      <c r="BA72" s="13" t="str">
        <f aca="false">IF(AE72=0,"",IF(NOT(LH_Ready),0,COUNTIFS(INDEX(LH_Data,0,LH_ColFirst),$A72,INDEX(LH_Data,0,LH_ColSur),$B72,INDEX(LH_Data,0,LH_ColCat),BonusCat)))</f>
        <v/>
      </c>
      <c r="BB72" s="13" t="str">
        <f aca="false">IF(AE72=0,"",IF(OR(NOT(LH_Ready),BA72=0),0,SUMPRODUCT(MAX((INDEX(LH_Data,0,LH_ColFirst)=$A72)*(INDEX(LH_Data,0,LH_ColSur)=$B72)*(INDEX(LH_Data,0,LH_ColCat)=BonusCat)*ROW(LH_Data)))))</f>
        <v/>
      </c>
      <c r="BC72" s="0" t="str">
        <f aca="false">IF(LEN($A72&amp;$B72)=0,"",$A72&amp;" "&amp;$B72)</f>
        <v/>
      </c>
    </row>
    <row r="73" customFormat="false" ht="15" hidden="false" customHeight="false" outlineLevel="0" collapsed="false">
      <c r="A73" s="9"/>
      <c r="B73" s="9"/>
      <c r="C73" s="9"/>
      <c r="D73" s="10"/>
      <c r="E73" s="11" t="str">
        <f aca="false">IF(OR(AE73=0,$D73=""),"",DATE(YEAR(AsOfDate)+IF(DATE(YEAR(AsOfDate),MONTH($D73),DAY($D73))&lt;=AsOfDate,1,0),MONTH($D73),DAY($D73)))</f>
        <v/>
      </c>
      <c r="F73" s="10"/>
      <c r="G73" s="10"/>
      <c r="H73" s="10"/>
      <c r="I73" s="10"/>
      <c r="J73" s="10"/>
      <c r="K73" s="11" t="str">
        <f aca="false">IF(AE73=0,"",DATE(YEAR(AsOfDate)+IF(DATE(YEAR(AsOfDate),MONTH(AF73),DAY(AF73))&lt;=AsOfDate,1,0),MONTH(AF73),DAY(AF73)))</f>
        <v/>
      </c>
      <c r="L73" s="12" t="str">
        <f aca="false">IF(AE73=0,"",ROUND((AsOfDate-AF73)/365.25,1))</f>
        <v/>
      </c>
      <c r="M73" s="13" t="str">
        <f aca="false">IF(AE73=0,"",IF(AsOfDate&lt;AF73,"-",DATEDIF(AF73,AsOfDate,"y")&amp;"y "&amp;DATEDIF(AF73,AsOfDate,"ym")&amp;"m "&amp;DATEDIF(AF73,AsOfDate,"md")&amp;"d"))</f>
        <v/>
      </c>
      <c r="N73" s="14" t="str">
        <f aca="false">IF(AE73=0,"",O73*HoursPerDay)</f>
        <v/>
      </c>
      <c r="O73" s="14" t="str">
        <f aca="false">IF(AE73=0,"",AX73)</f>
        <v/>
      </c>
      <c r="P73" s="15"/>
      <c r="Q73" s="13"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13"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1" t="str">
        <f aca="false">IF(AE73=0,"",IF(AQ73="None","",EDATE(AF73,AZ73)))</f>
        <v/>
      </c>
      <c r="T73" s="14" t="str">
        <f aca="false">IF(AE73=0,"",IF(NOT(LH_Ready),"",IF(AF73&gt;PFYDate,0,IF(LH_ColPeriod=0,W73-U73+V73,SUMIFS(INDEX(LH_Data,0,LH_ColAcc),INDEX(LH_Data,0,LH_ColFirst),$A73,INDEX(LH_Data,0,LH_ColSur),$B73,INDEX(LH_Data,0,LH_ColCat),BonusCat,INDEX(LH_Data,0,LH_ColPeriod),LH_OpenLabel)*UnitFactor))))</f>
        <v/>
      </c>
      <c r="U73" s="14" t="str">
        <f aca="false">IF(AE73=0,"",IF(NOT(LH_Ready),"",SUMIFS(INDEX(LH_Data,0,LH_ColAcc),INDEX(LH_Data,0,LH_ColFirst),$A73,INDEX(LH_Data,0,LH_ColSur),$B73,INDEX(LH_Data,0,LH_ColCat),BonusCat,INDEX(LH_Data,0,LH_ColStart),"&gt;="&amp;AF73)*UnitFactor))</f>
        <v/>
      </c>
      <c r="V73" s="14" t="str">
        <f aca="false">IF(AE73=0,"",IF(NOT(LH_Ready),"",SUMIFS(INDEX(LH_Data,0,LH_ColTaken),INDEX(LH_Data,0,LH_ColFirst),$A73,INDEX(LH_Data,0,LH_ColSur),$B73,INDEX(LH_Data,0,LH_ColCat),BonusCat,INDEX(LH_Data,0,LH_ColStart),"&gt;="&amp;AF73)*UnitFactor))</f>
        <v/>
      </c>
      <c r="W73" s="14" t="str">
        <f aca="false">IF(AE73=0,"",IF(NOT(LH_Ready),"",IF(BB73=0,0,INDEX(INDEX(LH_Data,0,LH_ColClose),BB73-1)*UnitFactor)))</f>
        <v/>
      </c>
      <c r="X73" s="14" t="str">
        <f aca="false">IF(AE73=0,"",(AX73-AY73)*HoursPerDay)</f>
        <v/>
      </c>
      <c r="Y73" s="14" t="str">
        <f aca="false">IF(AE73=0,"",IF(NOT(LH_Ready),"",IF(BA73=0,N73,IF(PFYDate&lt;$F73,N73-N(T73)-N(U73),X73-N(U73)))))</f>
        <v/>
      </c>
      <c r="Z73" s="13" t="str">
        <f aca="false">IF(OR(AE73=0,Y73=""),"",IF(Y73&gt;0,"Yes","No"))</f>
        <v/>
      </c>
      <c r="AA73" s="13"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 hrs more than policy since commencement",IF(N(W73)&gt;O73*HoursPerDay+0.01,"CHECK - EH balance "&amp;ROUND(W73-O73*HoursPerDay,2)&amp;" hrs more than policy entitlement",IF(O73&gt;0,"OK - nothing to add",IF(AQ73="None",R73,"Not yet - first day on "&amp;TEXT(S73,"dd/mm/yyyy")))))))))</f>
        <v/>
      </c>
      <c r="AB73" s="14" t="str">
        <f aca="false">IF(OR(AE73=0,T73=""),"",AY73*HoursPerDay-T73)</f>
        <v/>
      </c>
      <c r="AC73" s="13" t="str">
        <f aca="false">IF(AE73=0,"",BA73)</f>
        <v/>
      </c>
      <c r="AD73" s="13"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3" t="n">
        <f aca="false">IF(OR(LEN($A73&amp;$B73)=0,$F73=""),0,1)</f>
        <v>0</v>
      </c>
      <c r="AF73" s="11" t="str">
        <f aca="false">IF(AE73=0,"",IF($J73&lt;&gt;"",$J73,IF(OR(CasualCounts="Yes",COUNT($G73:$I73)=0,COUNT($G73:$H73)=0),$F73,MIN($G73:$H73))))</f>
        <v/>
      </c>
      <c r="AG73" s="13" t="str">
        <f aca="false">IF(AE73=0,"",COUNT($G73:$I73))</f>
        <v/>
      </c>
      <c r="AH73" s="11" t="str">
        <f aca="false">IF(AE73=0,"",IFERROR(SMALL($G73:$I73,1),""))</f>
        <v/>
      </c>
      <c r="AI73" s="11" t="str">
        <f aca="false">IF(AE73=0,"",IFERROR(SMALL($G73:$I73,2),""))</f>
        <v/>
      </c>
      <c r="AJ73" s="11" t="str">
        <f aca="false">IF(AE73=0,"",IFERROR(SMALL($G73:$I73,3),""))</f>
        <v/>
      </c>
      <c r="AK73" s="13" t="str">
        <f aca="false">IF(AE73=0,"",IF(AH73="","",IF(AH73=$G73,"Part-Time",IF(AH73=$H73,"Full-Time","Casual"))))</f>
        <v/>
      </c>
      <c r="AL73" s="13" t="str">
        <f aca="false">IF(AE73=0,"",IF(AI73="","",IF(AI73=$G73,"Part-Time",IF(AI73=$H73,"Full-Time","Casual"))))</f>
        <v/>
      </c>
      <c r="AM73" s="13" t="str">
        <f aca="false">IF(AE73=0,"",IF(AJ73="","",IF(AJ73=$G73,"Part-Time",IF(AJ73=$H73,"Full-Time","Casual"))))</f>
        <v/>
      </c>
      <c r="AN73" s="13"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3" t="str">
        <f aca="false">IF(AE73=0,"",IF(AG73&lt;2,"",IF(OR(ISNUMBER(SEARCH("full",AL73)),UPPER(TRIM(AL73))="FT",UPPER(TRIM(AL73))="FTE"),"FT",IF(AND(OR(ISNUMBER(SEARCH("part",AL73)),UPPER(TRIM(AL73))="PT",UPPER(TRIM(AL73))="PTE"),OR($P73="",N($P73)&gt;=PT_MinHours)),"PT","None"))))</f>
        <v/>
      </c>
      <c r="AP73" s="13" t="str">
        <f aca="false">IF(AE73=0,"",IF(AG73&lt;3,"",IF(OR(ISNUMBER(SEARCH("full",AM73)),UPPER(TRIM(AM73))="FT",UPPER(TRIM(AM73))="FTE"),"FT",IF(AND(OR(ISNUMBER(SEARCH("part",AM73)),UPPER(TRIM(AM73))="PT",UPPER(TRIM(AM73))="PTE"),OR($P73="",N($P73)&gt;=PT_MinHours)),"PT","None"))))</f>
        <v/>
      </c>
      <c r="AQ73" s="13" t="str">
        <f aca="false">IF(AE73=0,"",IF(AND(AG73&gt;=3,AJ73&lt;=AsOfDate),AP73,IF(AND(AG73&gt;=2,AI73&lt;=AsOfDate),AO73,AN73)))</f>
        <v/>
      </c>
      <c r="AR73" s="13" t="str">
        <f aca="false">IF(AE73=0,"",IF(AsOfDate&lt;AF73,-1,12*(YEAR(AsOfDate)-YEAR(AF73))+MONTH(AsOfDate)-MONTH(AF73)-IF(DAY(AsOfDate)&lt;MIN(DAY(AF73),DAY(EOMONTH(AsOfDate,0))),1,0)))</f>
        <v/>
      </c>
      <c r="AS73" s="13" t="str">
        <f aca="false">IF(AE73=0,"",IF(OR(AG73&lt;2,AI73&gt;AsOfDate),AR73,IF((AI73-1)&lt;AF73,-1,12*(YEAR((AI73-1))-YEAR(AF73))+MONTH((AI73-1))-MONTH(AF73)-IF(DAY((AI73-1))&lt;MIN(DAY(AF73),DAY(EOMONTH((AI73-1),0))),1,0))))</f>
        <v/>
      </c>
      <c r="AT73" s="13" t="str">
        <f aca="false">IF(AE73=0,"",IF(OR(AG73&lt;3,AJ73&gt;AsOfDate),AR73,IF((AJ73-1)&lt;AF73,-1,12*(YEAR((AJ73-1))-YEAR(AF73))+MONTH((AJ73-1))-MONTH(AF73)-IF(DAY((AJ73-1))&lt;MIN(DAY(AF73),DAY(EOMONTH((AJ73-1),0))),1,0))))</f>
        <v/>
      </c>
      <c r="AU73" s="13" t="str">
        <f aca="false">IF(AE73=0,"",IF(PFYDate&lt;AF73,-1,12*(YEAR(PFYDate)-YEAR(AF73))+MONTH(PFYDate)-MONTH(AF73)-IF(DAY(PFYDate)&lt;MIN(DAY(AF73),DAY(EOMONTH(PFYDate,0))),1,0)))</f>
        <v/>
      </c>
      <c r="AV73" s="13" t="str">
        <f aca="false">IF(AE73=0,"",IF(OR(AG73&lt;2,AI73&gt;PFYDate),AU73,IF((AI73-1)&lt;AF73,-1,12*(YEAR((AI73-1))-YEAR(AF73))+MONTH((AI73-1))-MONTH(AF73)-IF(DAY((AI73-1))&lt;MIN(DAY(AF73),DAY(EOMONTH((AI73-1),0))),1,0))))</f>
        <v/>
      </c>
      <c r="AW73" s="13" t="str">
        <f aca="false">IF(AE73=0,"",IF(OR(AG73&lt;3,AJ73&gt;PFYDate),AU73,IF((AJ73-1)&lt;AF73,-1,12*(YEAR((AJ73-1))-YEAR(AF73))+MONTH((AJ73-1))-MONTH(AF73)-IF(DAY((AJ73-1))&lt;MIN(DAY(AF73),DAY(EOMONTH((AJ73-1),0))),1,0))))</f>
        <v/>
      </c>
      <c r="AX73" s="13"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3"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3" t="str">
        <f aca="false">IF(AE73=0,"",IF(AQ73="FT",IF(AR73&lt;FT_First,FT_First,IF(AR73&lt;FT_Y5,MIN(FT_Y5,FT_First+FT_Int1*(INT((AR73-FT_First)/FT_Int1)+1)),FT_Y5+12*INT((AR73-FT_Y5)/12)+FT_Int2*(INT(MOD(AR73-FT_Y5,12)/FT_Int2)+1))),IF(AQ73="PT",IF(AR73&lt;PT_First,PT_First,PT_First+PT_Int*(INT((AR73-PT_First)/PT_Int)+1)),"")))</f>
        <v/>
      </c>
      <c r="BA73" s="13" t="str">
        <f aca="false">IF(AE73=0,"",IF(NOT(LH_Ready),0,COUNTIFS(INDEX(LH_Data,0,LH_ColFirst),$A73,INDEX(LH_Data,0,LH_ColSur),$B73,INDEX(LH_Data,0,LH_ColCat),BonusCat)))</f>
        <v/>
      </c>
      <c r="BB73" s="13" t="str">
        <f aca="false">IF(AE73=0,"",IF(OR(NOT(LH_Ready),BA73=0),0,SUMPRODUCT(MAX((INDEX(LH_Data,0,LH_ColFirst)=$A73)*(INDEX(LH_Data,0,LH_ColSur)=$B73)*(INDEX(LH_Data,0,LH_ColCat)=BonusCat)*ROW(LH_Data)))))</f>
        <v/>
      </c>
      <c r="BC73" s="0" t="str">
        <f aca="false">IF(LEN($A73&amp;$B73)=0,"",$A73&amp;" "&amp;$B73)</f>
        <v/>
      </c>
    </row>
    <row r="74" customFormat="false" ht="15" hidden="false" customHeight="false" outlineLevel="0" collapsed="false">
      <c r="A74" s="9"/>
      <c r="B74" s="9"/>
      <c r="C74" s="9"/>
      <c r="D74" s="10"/>
      <c r="E74" s="11" t="str">
        <f aca="false">IF(OR(AE74=0,$D74=""),"",DATE(YEAR(AsOfDate)+IF(DATE(YEAR(AsOfDate),MONTH($D74),DAY($D74))&lt;=AsOfDate,1,0),MONTH($D74),DAY($D74)))</f>
        <v/>
      </c>
      <c r="F74" s="10"/>
      <c r="G74" s="10"/>
      <c r="H74" s="10"/>
      <c r="I74" s="10"/>
      <c r="J74" s="10"/>
      <c r="K74" s="11" t="str">
        <f aca="false">IF(AE74=0,"",DATE(YEAR(AsOfDate)+IF(DATE(YEAR(AsOfDate),MONTH(AF74),DAY(AF74))&lt;=AsOfDate,1,0),MONTH(AF74),DAY(AF74)))</f>
        <v/>
      </c>
      <c r="L74" s="12" t="str">
        <f aca="false">IF(AE74=0,"",ROUND((AsOfDate-AF74)/365.25,1))</f>
        <v/>
      </c>
      <c r="M74" s="13" t="str">
        <f aca="false">IF(AE74=0,"",IF(AsOfDate&lt;AF74,"-",DATEDIF(AF74,AsOfDate,"y")&amp;"y "&amp;DATEDIF(AF74,AsOfDate,"ym")&amp;"m "&amp;DATEDIF(AF74,AsOfDate,"md")&amp;"d"))</f>
        <v/>
      </c>
      <c r="N74" s="14" t="str">
        <f aca="false">IF(AE74=0,"",O74*HoursPerDay)</f>
        <v/>
      </c>
      <c r="O74" s="14" t="str">
        <f aca="false">IF(AE74=0,"",AX74)</f>
        <v/>
      </c>
      <c r="P74" s="15"/>
      <c r="Q74" s="13"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13"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1" t="str">
        <f aca="false">IF(AE74=0,"",IF(AQ74="None","",EDATE(AF74,AZ74)))</f>
        <v/>
      </c>
      <c r="T74" s="14" t="str">
        <f aca="false">IF(AE74=0,"",IF(NOT(LH_Ready),"",IF(AF74&gt;PFYDate,0,IF(LH_ColPeriod=0,W74-U74+V74,SUMIFS(INDEX(LH_Data,0,LH_ColAcc),INDEX(LH_Data,0,LH_ColFirst),$A74,INDEX(LH_Data,0,LH_ColSur),$B74,INDEX(LH_Data,0,LH_ColCat),BonusCat,INDEX(LH_Data,0,LH_ColPeriod),LH_OpenLabel)*UnitFactor))))</f>
        <v/>
      </c>
      <c r="U74" s="14" t="str">
        <f aca="false">IF(AE74=0,"",IF(NOT(LH_Ready),"",SUMIFS(INDEX(LH_Data,0,LH_ColAcc),INDEX(LH_Data,0,LH_ColFirst),$A74,INDEX(LH_Data,0,LH_ColSur),$B74,INDEX(LH_Data,0,LH_ColCat),BonusCat,INDEX(LH_Data,0,LH_ColStart),"&gt;="&amp;AF74)*UnitFactor))</f>
        <v/>
      </c>
      <c r="V74" s="14" t="str">
        <f aca="false">IF(AE74=0,"",IF(NOT(LH_Ready),"",SUMIFS(INDEX(LH_Data,0,LH_ColTaken),INDEX(LH_Data,0,LH_ColFirst),$A74,INDEX(LH_Data,0,LH_ColSur),$B74,INDEX(LH_Data,0,LH_ColCat),BonusCat,INDEX(LH_Data,0,LH_ColStart),"&gt;="&amp;AF74)*UnitFactor))</f>
        <v/>
      </c>
      <c r="W74" s="14" t="str">
        <f aca="false">IF(AE74=0,"",IF(NOT(LH_Ready),"",IF(BB74=0,0,INDEX(INDEX(LH_Data,0,LH_ColClose),BB74-1)*UnitFactor)))</f>
        <v/>
      </c>
      <c r="X74" s="14" t="str">
        <f aca="false">IF(AE74=0,"",(AX74-AY74)*HoursPerDay)</f>
        <v/>
      </c>
      <c r="Y74" s="14" t="str">
        <f aca="false">IF(AE74=0,"",IF(NOT(LH_Ready),"",IF(BA74=0,N74,IF(PFYDate&lt;$F74,N74-N(T74)-N(U74),X74-N(U74)))))</f>
        <v/>
      </c>
      <c r="Z74" s="13" t="str">
        <f aca="false">IF(OR(AE74=0,Y74=""),"",IF(Y74&gt;0,"Yes","No"))</f>
        <v/>
      </c>
      <c r="AA74" s="13"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 hrs more than policy since commencement",IF(N(W74)&gt;O74*HoursPerDay+0.01,"CHECK - EH balance "&amp;ROUND(W74-O74*HoursPerDay,2)&amp;" hrs more than policy entitlement",IF(O74&gt;0,"OK - nothing to add",IF(AQ74="None",R74,"Not yet - first day on "&amp;TEXT(S74,"dd/mm/yyyy")))))))))</f>
        <v/>
      </c>
      <c r="AB74" s="14" t="str">
        <f aca="false">IF(OR(AE74=0,T74=""),"",AY74*HoursPerDay-T74)</f>
        <v/>
      </c>
      <c r="AC74" s="13" t="str">
        <f aca="false">IF(AE74=0,"",BA74)</f>
        <v/>
      </c>
      <c r="AD74" s="13"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3" t="n">
        <f aca="false">IF(OR(LEN($A74&amp;$B74)=0,$F74=""),0,1)</f>
        <v>0</v>
      </c>
      <c r="AF74" s="11" t="str">
        <f aca="false">IF(AE74=0,"",IF($J74&lt;&gt;"",$J74,IF(OR(CasualCounts="Yes",COUNT($G74:$I74)=0,COUNT($G74:$H74)=0),$F74,MIN($G74:$H74))))</f>
        <v/>
      </c>
      <c r="AG74" s="13" t="str">
        <f aca="false">IF(AE74=0,"",COUNT($G74:$I74))</f>
        <v/>
      </c>
      <c r="AH74" s="11" t="str">
        <f aca="false">IF(AE74=0,"",IFERROR(SMALL($G74:$I74,1),""))</f>
        <v/>
      </c>
      <c r="AI74" s="11" t="str">
        <f aca="false">IF(AE74=0,"",IFERROR(SMALL($G74:$I74,2),""))</f>
        <v/>
      </c>
      <c r="AJ74" s="11" t="str">
        <f aca="false">IF(AE74=0,"",IFERROR(SMALL($G74:$I74,3),""))</f>
        <v/>
      </c>
      <c r="AK74" s="13" t="str">
        <f aca="false">IF(AE74=0,"",IF(AH74="","",IF(AH74=$G74,"Part-Time",IF(AH74=$H74,"Full-Time","Casual"))))</f>
        <v/>
      </c>
      <c r="AL74" s="13" t="str">
        <f aca="false">IF(AE74=0,"",IF(AI74="","",IF(AI74=$G74,"Part-Time",IF(AI74=$H74,"Full-Time","Casual"))))</f>
        <v/>
      </c>
      <c r="AM74" s="13" t="str">
        <f aca="false">IF(AE74=0,"",IF(AJ74="","",IF(AJ74=$G74,"Part-Time",IF(AJ74=$H74,"Full-Time","Casual"))))</f>
        <v/>
      </c>
      <c r="AN74" s="13"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3" t="str">
        <f aca="false">IF(AE74=0,"",IF(AG74&lt;2,"",IF(OR(ISNUMBER(SEARCH("full",AL74)),UPPER(TRIM(AL74))="FT",UPPER(TRIM(AL74))="FTE"),"FT",IF(AND(OR(ISNUMBER(SEARCH("part",AL74)),UPPER(TRIM(AL74))="PT",UPPER(TRIM(AL74))="PTE"),OR($P74="",N($P74)&gt;=PT_MinHours)),"PT","None"))))</f>
        <v/>
      </c>
      <c r="AP74" s="13" t="str">
        <f aca="false">IF(AE74=0,"",IF(AG74&lt;3,"",IF(OR(ISNUMBER(SEARCH("full",AM74)),UPPER(TRIM(AM74))="FT",UPPER(TRIM(AM74))="FTE"),"FT",IF(AND(OR(ISNUMBER(SEARCH("part",AM74)),UPPER(TRIM(AM74))="PT",UPPER(TRIM(AM74))="PTE"),OR($P74="",N($P74)&gt;=PT_MinHours)),"PT","None"))))</f>
        <v/>
      </c>
      <c r="AQ74" s="13" t="str">
        <f aca="false">IF(AE74=0,"",IF(AND(AG74&gt;=3,AJ74&lt;=AsOfDate),AP74,IF(AND(AG74&gt;=2,AI74&lt;=AsOfDate),AO74,AN74)))</f>
        <v/>
      </c>
      <c r="AR74" s="13" t="str">
        <f aca="false">IF(AE74=0,"",IF(AsOfDate&lt;AF74,-1,12*(YEAR(AsOfDate)-YEAR(AF74))+MONTH(AsOfDate)-MONTH(AF74)-IF(DAY(AsOfDate)&lt;MIN(DAY(AF74),DAY(EOMONTH(AsOfDate,0))),1,0)))</f>
        <v/>
      </c>
      <c r="AS74" s="13" t="str">
        <f aca="false">IF(AE74=0,"",IF(OR(AG74&lt;2,AI74&gt;AsOfDate),AR74,IF((AI74-1)&lt;AF74,-1,12*(YEAR((AI74-1))-YEAR(AF74))+MONTH((AI74-1))-MONTH(AF74)-IF(DAY((AI74-1))&lt;MIN(DAY(AF74),DAY(EOMONTH((AI74-1),0))),1,0))))</f>
        <v/>
      </c>
      <c r="AT74" s="13" t="str">
        <f aca="false">IF(AE74=0,"",IF(OR(AG74&lt;3,AJ74&gt;AsOfDate),AR74,IF((AJ74-1)&lt;AF74,-1,12*(YEAR((AJ74-1))-YEAR(AF74))+MONTH((AJ74-1))-MONTH(AF74)-IF(DAY((AJ74-1))&lt;MIN(DAY(AF74),DAY(EOMONTH((AJ74-1),0))),1,0))))</f>
        <v/>
      </c>
      <c r="AU74" s="13" t="str">
        <f aca="false">IF(AE74=0,"",IF(PFYDate&lt;AF74,-1,12*(YEAR(PFYDate)-YEAR(AF74))+MONTH(PFYDate)-MONTH(AF74)-IF(DAY(PFYDate)&lt;MIN(DAY(AF74),DAY(EOMONTH(PFYDate,0))),1,0)))</f>
        <v/>
      </c>
      <c r="AV74" s="13" t="str">
        <f aca="false">IF(AE74=0,"",IF(OR(AG74&lt;2,AI74&gt;PFYDate),AU74,IF((AI74-1)&lt;AF74,-1,12*(YEAR((AI74-1))-YEAR(AF74))+MONTH((AI74-1))-MONTH(AF74)-IF(DAY((AI74-1))&lt;MIN(DAY(AF74),DAY(EOMONTH((AI74-1),0))),1,0))))</f>
        <v/>
      </c>
      <c r="AW74" s="13" t="str">
        <f aca="false">IF(AE74=0,"",IF(OR(AG74&lt;3,AJ74&gt;PFYDate),AU74,IF((AJ74-1)&lt;AF74,-1,12*(YEAR((AJ74-1))-YEAR(AF74))+MONTH((AJ74-1))-MONTH(AF74)-IF(DAY((AJ74-1))&lt;MIN(DAY(AF74),DAY(EOMONTH((AJ74-1),0))),1,0))))</f>
        <v/>
      </c>
      <c r="AX74" s="13"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3"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3" t="str">
        <f aca="false">IF(AE74=0,"",IF(AQ74="FT",IF(AR74&lt;FT_First,FT_First,IF(AR74&lt;FT_Y5,MIN(FT_Y5,FT_First+FT_Int1*(INT((AR74-FT_First)/FT_Int1)+1)),FT_Y5+12*INT((AR74-FT_Y5)/12)+FT_Int2*(INT(MOD(AR74-FT_Y5,12)/FT_Int2)+1))),IF(AQ74="PT",IF(AR74&lt;PT_First,PT_First,PT_First+PT_Int*(INT((AR74-PT_First)/PT_Int)+1)),"")))</f>
        <v/>
      </c>
      <c r="BA74" s="13" t="str">
        <f aca="false">IF(AE74=0,"",IF(NOT(LH_Ready),0,COUNTIFS(INDEX(LH_Data,0,LH_ColFirst),$A74,INDEX(LH_Data,0,LH_ColSur),$B74,INDEX(LH_Data,0,LH_ColCat),BonusCat)))</f>
        <v/>
      </c>
      <c r="BB74" s="13" t="str">
        <f aca="false">IF(AE74=0,"",IF(OR(NOT(LH_Ready),BA74=0),0,SUMPRODUCT(MAX((INDEX(LH_Data,0,LH_ColFirst)=$A74)*(INDEX(LH_Data,0,LH_ColSur)=$B74)*(INDEX(LH_Data,0,LH_ColCat)=BonusCat)*ROW(LH_Data)))))</f>
        <v/>
      </c>
      <c r="BC74" s="0" t="str">
        <f aca="false">IF(LEN($A74&amp;$B74)=0,"",$A74&amp;" "&amp;$B74)</f>
        <v/>
      </c>
    </row>
    <row r="75" customFormat="false" ht="15" hidden="false" customHeight="false" outlineLevel="0" collapsed="false">
      <c r="A75" s="9"/>
      <c r="B75" s="9"/>
      <c r="C75" s="9"/>
      <c r="D75" s="10"/>
      <c r="E75" s="11" t="str">
        <f aca="false">IF(OR(AE75=0,$D75=""),"",DATE(YEAR(AsOfDate)+IF(DATE(YEAR(AsOfDate),MONTH($D75),DAY($D75))&lt;=AsOfDate,1,0),MONTH($D75),DAY($D75)))</f>
        <v/>
      </c>
      <c r="F75" s="10"/>
      <c r="G75" s="10"/>
      <c r="H75" s="10"/>
      <c r="I75" s="10"/>
      <c r="J75" s="10"/>
      <c r="K75" s="11" t="str">
        <f aca="false">IF(AE75=0,"",DATE(YEAR(AsOfDate)+IF(DATE(YEAR(AsOfDate),MONTH(AF75),DAY(AF75))&lt;=AsOfDate,1,0),MONTH(AF75),DAY(AF75)))</f>
        <v/>
      </c>
      <c r="L75" s="12" t="str">
        <f aca="false">IF(AE75=0,"",ROUND((AsOfDate-AF75)/365.25,1))</f>
        <v/>
      </c>
      <c r="M75" s="13" t="str">
        <f aca="false">IF(AE75=0,"",IF(AsOfDate&lt;AF75,"-",DATEDIF(AF75,AsOfDate,"y")&amp;"y "&amp;DATEDIF(AF75,AsOfDate,"ym")&amp;"m "&amp;DATEDIF(AF75,AsOfDate,"md")&amp;"d"))</f>
        <v/>
      </c>
      <c r="N75" s="14" t="str">
        <f aca="false">IF(AE75=0,"",O75*HoursPerDay)</f>
        <v/>
      </c>
      <c r="O75" s="14" t="str">
        <f aca="false">IF(AE75=0,"",AX75)</f>
        <v/>
      </c>
      <c r="P75" s="15"/>
      <c r="Q75" s="13"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13"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1" t="str">
        <f aca="false">IF(AE75=0,"",IF(AQ75="None","",EDATE(AF75,AZ75)))</f>
        <v/>
      </c>
      <c r="T75" s="14" t="str">
        <f aca="false">IF(AE75=0,"",IF(NOT(LH_Ready),"",IF(AF75&gt;PFYDate,0,IF(LH_ColPeriod=0,W75-U75+V75,SUMIFS(INDEX(LH_Data,0,LH_ColAcc),INDEX(LH_Data,0,LH_ColFirst),$A75,INDEX(LH_Data,0,LH_ColSur),$B75,INDEX(LH_Data,0,LH_ColCat),BonusCat,INDEX(LH_Data,0,LH_ColPeriod),LH_OpenLabel)*UnitFactor))))</f>
        <v/>
      </c>
      <c r="U75" s="14" t="str">
        <f aca="false">IF(AE75=0,"",IF(NOT(LH_Ready),"",SUMIFS(INDEX(LH_Data,0,LH_ColAcc),INDEX(LH_Data,0,LH_ColFirst),$A75,INDEX(LH_Data,0,LH_ColSur),$B75,INDEX(LH_Data,0,LH_ColCat),BonusCat,INDEX(LH_Data,0,LH_ColStart),"&gt;="&amp;AF75)*UnitFactor))</f>
        <v/>
      </c>
      <c r="V75" s="14" t="str">
        <f aca="false">IF(AE75=0,"",IF(NOT(LH_Ready),"",SUMIFS(INDEX(LH_Data,0,LH_ColTaken),INDEX(LH_Data,0,LH_ColFirst),$A75,INDEX(LH_Data,0,LH_ColSur),$B75,INDEX(LH_Data,0,LH_ColCat),BonusCat,INDEX(LH_Data,0,LH_ColStart),"&gt;="&amp;AF75)*UnitFactor))</f>
        <v/>
      </c>
      <c r="W75" s="14" t="str">
        <f aca="false">IF(AE75=0,"",IF(NOT(LH_Ready),"",IF(BB75=0,0,INDEX(INDEX(LH_Data,0,LH_ColClose),BB75-1)*UnitFactor)))</f>
        <v/>
      </c>
      <c r="X75" s="14" t="str">
        <f aca="false">IF(AE75=0,"",(AX75-AY75)*HoursPerDay)</f>
        <v/>
      </c>
      <c r="Y75" s="14" t="str">
        <f aca="false">IF(AE75=0,"",IF(NOT(LH_Ready),"",IF(BA75=0,N75,IF(PFYDate&lt;$F75,N75-N(T75)-N(U75),X75-N(U75)))))</f>
        <v/>
      </c>
      <c r="Z75" s="13" t="str">
        <f aca="false">IF(OR(AE75=0,Y75=""),"",IF(Y75&gt;0,"Yes","No"))</f>
        <v/>
      </c>
      <c r="AA75" s="13"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 hrs more than policy since commencement",IF(N(W75)&gt;O75*HoursPerDay+0.01,"CHECK - EH balance "&amp;ROUND(W75-O75*HoursPerDay,2)&amp;" hrs more than policy entitlement",IF(O75&gt;0,"OK - nothing to add",IF(AQ75="None",R75,"Not yet - first day on "&amp;TEXT(S75,"dd/mm/yyyy")))))))))</f>
        <v/>
      </c>
      <c r="AB75" s="14" t="str">
        <f aca="false">IF(OR(AE75=0,T75=""),"",AY75*HoursPerDay-T75)</f>
        <v/>
      </c>
      <c r="AC75" s="13" t="str">
        <f aca="false">IF(AE75=0,"",BA75)</f>
        <v/>
      </c>
      <c r="AD75" s="13"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3" t="n">
        <f aca="false">IF(OR(LEN($A75&amp;$B75)=0,$F75=""),0,1)</f>
        <v>0</v>
      </c>
      <c r="AF75" s="11" t="str">
        <f aca="false">IF(AE75=0,"",IF($J75&lt;&gt;"",$J75,IF(OR(CasualCounts="Yes",COUNT($G75:$I75)=0,COUNT($G75:$H75)=0),$F75,MIN($G75:$H75))))</f>
        <v/>
      </c>
      <c r="AG75" s="13" t="str">
        <f aca="false">IF(AE75=0,"",COUNT($G75:$I75))</f>
        <v/>
      </c>
      <c r="AH75" s="11" t="str">
        <f aca="false">IF(AE75=0,"",IFERROR(SMALL($G75:$I75,1),""))</f>
        <v/>
      </c>
      <c r="AI75" s="11" t="str">
        <f aca="false">IF(AE75=0,"",IFERROR(SMALL($G75:$I75,2),""))</f>
        <v/>
      </c>
      <c r="AJ75" s="11" t="str">
        <f aca="false">IF(AE75=0,"",IFERROR(SMALL($G75:$I75,3),""))</f>
        <v/>
      </c>
      <c r="AK75" s="13" t="str">
        <f aca="false">IF(AE75=0,"",IF(AH75="","",IF(AH75=$G75,"Part-Time",IF(AH75=$H75,"Full-Time","Casual"))))</f>
        <v/>
      </c>
      <c r="AL75" s="13" t="str">
        <f aca="false">IF(AE75=0,"",IF(AI75="","",IF(AI75=$G75,"Part-Time",IF(AI75=$H75,"Full-Time","Casual"))))</f>
        <v/>
      </c>
      <c r="AM75" s="13" t="str">
        <f aca="false">IF(AE75=0,"",IF(AJ75="","",IF(AJ75=$G75,"Part-Time",IF(AJ75=$H75,"Full-Time","Casual"))))</f>
        <v/>
      </c>
      <c r="AN75" s="13"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3" t="str">
        <f aca="false">IF(AE75=0,"",IF(AG75&lt;2,"",IF(OR(ISNUMBER(SEARCH("full",AL75)),UPPER(TRIM(AL75))="FT",UPPER(TRIM(AL75))="FTE"),"FT",IF(AND(OR(ISNUMBER(SEARCH("part",AL75)),UPPER(TRIM(AL75))="PT",UPPER(TRIM(AL75))="PTE"),OR($P75="",N($P75)&gt;=PT_MinHours)),"PT","None"))))</f>
        <v/>
      </c>
      <c r="AP75" s="13" t="str">
        <f aca="false">IF(AE75=0,"",IF(AG75&lt;3,"",IF(OR(ISNUMBER(SEARCH("full",AM75)),UPPER(TRIM(AM75))="FT",UPPER(TRIM(AM75))="FTE"),"FT",IF(AND(OR(ISNUMBER(SEARCH("part",AM75)),UPPER(TRIM(AM75))="PT",UPPER(TRIM(AM75))="PTE"),OR($P75="",N($P75)&gt;=PT_MinHours)),"PT","None"))))</f>
        <v/>
      </c>
      <c r="AQ75" s="13" t="str">
        <f aca="false">IF(AE75=0,"",IF(AND(AG75&gt;=3,AJ75&lt;=AsOfDate),AP75,IF(AND(AG75&gt;=2,AI75&lt;=AsOfDate),AO75,AN75)))</f>
        <v/>
      </c>
      <c r="AR75" s="13" t="str">
        <f aca="false">IF(AE75=0,"",IF(AsOfDate&lt;AF75,-1,12*(YEAR(AsOfDate)-YEAR(AF75))+MONTH(AsOfDate)-MONTH(AF75)-IF(DAY(AsOfDate)&lt;MIN(DAY(AF75),DAY(EOMONTH(AsOfDate,0))),1,0)))</f>
        <v/>
      </c>
      <c r="AS75" s="13" t="str">
        <f aca="false">IF(AE75=0,"",IF(OR(AG75&lt;2,AI75&gt;AsOfDate),AR75,IF((AI75-1)&lt;AF75,-1,12*(YEAR((AI75-1))-YEAR(AF75))+MONTH((AI75-1))-MONTH(AF75)-IF(DAY((AI75-1))&lt;MIN(DAY(AF75),DAY(EOMONTH((AI75-1),0))),1,0))))</f>
        <v/>
      </c>
      <c r="AT75" s="13" t="str">
        <f aca="false">IF(AE75=0,"",IF(OR(AG75&lt;3,AJ75&gt;AsOfDate),AR75,IF((AJ75-1)&lt;AF75,-1,12*(YEAR((AJ75-1))-YEAR(AF75))+MONTH((AJ75-1))-MONTH(AF75)-IF(DAY((AJ75-1))&lt;MIN(DAY(AF75),DAY(EOMONTH((AJ75-1),0))),1,0))))</f>
        <v/>
      </c>
      <c r="AU75" s="13" t="str">
        <f aca="false">IF(AE75=0,"",IF(PFYDate&lt;AF75,-1,12*(YEAR(PFYDate)-YEAR(AF75))+MONTH(PFYDate)-MONTH(AF75)-IF(DAY(PFYDate)&lt;MIN(DAY(AF75),DAY(EOMONTH(PFYDate,0))),1,0)))</f>
        <v/>
      </c>
      <c r="AV75" s="13" t="str">
        <f aca="false">IF(AE75=0,"",IF(OR(AG75&lt;2,AI75&gt;PFYDate),AU75,IF((AI75-1)&lt;AF75,-1,12*(YEAR((AI75-1))-YEAR(AF75))+MONTH((AI75-1))-MONTH(AF75)-IF(DAY((AI75-1))&lt;MIN(DAY(AF75),DAY(EOMONTH((AI75-1),0))),1,0))))</f>
        <v/>
      </c>
      <c r="AW75" s="13" t="str">
        <f aca="false">IF(AE75=0,"",IF(OR(AG75&lt;3,AJ75&gt;PFYDate),AU75,IF((AJ75-1)&lt;AF75,-1,12*(YEAR((AJ75-1))-YEAR(AF75))+MONTH((AJ75-1))-MONTH(AF75)-IF(DAY((AJ75-1))&lt;MIN(DAY(AF75),DAY(EOMONTH((AJ75-1),0))),1,0))))</f>
        <v/>
      </c>
      <c r="AX75" s="13"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3"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3" t="str">
        <f aca="false">IF(AE75=0,"",IF(AQ75="FT",IF(AR75&lt;FT_First,FT_First,IF(AR75&lt;FT_Y5,MIN(FT_Y5,FT_First+FT_Int1*(INT((AR75-FT_First)/FT_Int1)+1)),FT_Y5+12*INT((AR75-FT_Y5)/12)+FT_Int2*(INT(MOD(AR75-FT_Y5,12)/FT_Int2)+1))),IF(AQ75="PT",IF(AR75&lt;PT_First,PT_First,PT_First+PT_Int*(INT((AR75-PT_First)/PT_Int)+1)),"")))</f>
        <v/>
      </c>
      <c r="BA75" s="13" t="str">
        <f aca="false">IF(AE75=0,"",IF(NOT(LH_Ready),0,COUNTIFS(INDEX(LH_Data,0,LH_ColFirst),$A75,INDEX(LH_Data,0,LH_ColSur),$B75,INDEX(LH_Data,0,LH_ColCat),BonusCat)))</f>
        <v/>
      </c>
      <c r="BB75" s="13" t="str">
        <f aca="false">IF(AE75=0,"",IF(OR(NOT(LH_Ready),BA75=0),0,SUMPRODUCT(MAX((INDEX(LH_Data,0,LH_ColFirst)=$A75)*(INDEX(LH_Data,0,LH_ColSur)=$B75)*(INDEX(LH_Data,0,LH_ColCat)=BonusCat)*ROW(LH_Data)))))</f>
        <v/>
      </c>
      <c r="BC75" s="0" t="str">
        <f aca="false">IF(LEN($A75&amp;$B75)=0,"",$A75&amp;" "&amp;$B75)</f>
        <v/>
      </c>
    </row>
    <row r="76" customFormat="false" ht="15" hidden="false" customHeight="false" outlineLevel="0" collapsed="false">
      <c r="A76" s="9"/>
      <c r="B76" s="9"/>
      <c r="C76" s="9"/>
      <c r="D76" s="10"/>
      <c r="E76" s="11" t="str">
        <f aca="false">IF(OR(AE76=0,$D76=""),"",DATE(YEAR(AsOfDate)+IF(DATE(YEAR(AsOfDate),MONTH($D76),DAY($D76))&lt;=AsOfDate,1,0),MONTH($D76),DAY($D76)))</f>
        <v/>
      </c>
      <c r="F76" s="10"/>
      <c r="G76" s="10"/>
      <c r="H76" s="10"/>
      <c r="I76" s="10"/>
      <c r="J76" s="10"/>
      <c r="K76" s="11" t="str">
        <f aca="false">IF(AE76=0,"",DATE(YEAR(AsOfDate)+IF(DATE(YEAR(AsOfDate),MONTH(AF76),DAY(AF76))&lt;=AsOfDate,1,0),MONTH(AF76),DAY(AF76)))</f>
        <v/>
      </c>
      <c r="L76" s="12" t="str">
        <f aca="false">IF(AE76=0,"",ROUND((AsOfDate-AF76)/365.25,1))</f>
        <v/>
      </c>
      <c r="M76" s="13" t="str">
        <f aca="false">IF(AE76=0,"",IF(AsOfDate&lt;AF76,"-",DATEDIF(AF76,AsOfDate,"y")&amp;"y "&amp;DATEDIF(AF76,AsOfDate,"ym")&amp;"m "&amp;DATEDIF(AF76,AsOfDate,"md")&amp;"d"))</f>
        <v/>
      </c>
      <c r="N76" s="14" t="str">
        <f aca="false">IF(AE76=0,"",O76*HoursPerDay)</f>
        <v/>
      </c>
      <c r="O76" s="14" t="str">
        <f aca="false">IF(AE76=0,"",AX76)</f>
        <v/>
      </c>
      <c r="P76" s="15"/>
      <c r="Q76" s="13"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13"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1" t="str">
        <f aca="false">IF(AE76=0,"",IF(AQ76="None","",EDATE(AF76,AZ76)))</f>
        <v/>
      </c>
      <c r="T76" s="14" t="str">
        <f aca="false">IF(AE76=0,"",IF(NOT(LH_Ready),"",IF(AF76&gt;PFYDate,0,IF(LH_ColPeriod=0,W76-U76+V76,SUMIFS(INDEX(LH_Data,0,LH_ColAcc),INDEX(LH_Data,0,LH_ColFirst),$A76,INDEX(LH_Data,0,LH_ColSur),$B76,INDEX(LH_Data,0,LH_ColCat),BonusCat,INDEX(LH_Data,0,LH_ColPeriod),LH_OpenLabel)*UnitFactor))))</f>
        <v/>
      </c>
      <c r="U76" s="14" t="str">
        <f aca="false">IF(AE76=0,"",IF(NOT(LH_Ready),"",SUMIFS(INDEX(LH_Data,0,LH_ColAcc),INDEX(LH_Data,0,LH_ColFirst),$A76,INDEX(LH_Data,0,LH_ColSur),$B76,INDEX(LH_Data,0,LH_ColCat),BonusCat,INDEX(LH_Data,0,LH_ColStart),"&gt;="&amp;AF76)*UnitFactor))</f>
        <v/>
      </c>
      <c r="V76" s="14" t="str">
        <f aca="false">IF(AE76=0,"",IF(NOT(LH_Ready),"",SUMIFS(INDEX(LH_Data,0,LH_ColTaken),INDEX(LH_Data,0,LH_ColFirst),$A76,INDEX(LH_Data,0,LH_ColSur),$B76,INDEX(LH_Data,0,LH_ColCat),BonusCat,INDEX(LH_Data,0,LH_ColStart),"&gt;="&amp;AF76)*UnitFactor))</f>
        <v/>
      </c>
      <c r="W76" s="14" t="str">
        <f aca="false">IF(AE76=0,"",IF(NOT(LH_Ready),"",IF(BB76=0,0,INDEX(INDEX(LH_Data,0,LH_ColClose),BB76-1)*UnitFactor)))</f>
        <v/>
      </c>
      <c r="X76" s="14" t="str">
        <f aca="false">IF(AE76=0,"",(AX76-AY76)*HoursPerDay)</f>
        <v/>
      </c>
      <c r="Y76" s="14" t="str">
        <f aca="false">IF(AE76=0,"",IF(NOT(LH_Ready),"",IF(BA76=0,N76,IF(PFYDate&lt;$F76,N76-N(T76)-N(U76),X76-N(U76)))))</f>
        <v/>
      </c>
      <c r="Z76" s="13" t="str">
        <f aca="false">IF(OR(AE76=0,Y76=""),"",IF(Y76&gt;0,"Yes","No"))</f>
        <v/>
      </c>
      <c r="AA76" s="13"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 hrs more than policy since commencement",IF(N(W76)&gt;O76*HoursPerDay+0.01,"CHECK - EH balance "&amp;ROUND(W76-O76*HoursPerDay,2)&amp;" hrs more than policy entitlement",IF(O76&gt;0,"OK - nothing to add",IF(AQ76="None",R76,"Not yet - first day on "&amp;TEXT(S76,"dd/mm/yyyy")))))))))</f>
        <v/>
      </c>
      <c r="AB76" s="14" t="str">
        <f aca="false">IF(OR(AE76=0,T76=""),"",AY76*HoursPerDay-T76)</f>
        <v/>
      </c>
      <c r="AC76" s="13" t="str">
        <f aca="false">IF(AE76=0,"",BA76)</f>
        <v/>
      </c>
      <c r="AD76" s="13"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3" t="n">
        <f aca="false">IF(OR(LEN($A76&amp;$B76)=0,$F76=""),0,1)</f>
        <v>0</v>
      </c>
      <c r="AF76" s="11" t="str">
        <f aca="false">IF(AE76=0,"",IF($J76&lt;&gt;"",$J76,IF(OR(CasualCounts="Yes",COUNT($G76:$I76)=0,COUNT($G76:$H76)=0),$F76,MIN($G76:$H76))))</f>
        <v/>
      </c>
      <c r="AG76" s="13" t="str">
        <f aca="false">IF(AE76=0,"",COUNT($G76:$I76))</f>
        <v/>
      </c>
      <c r="AH76" s="11" t="str">
        <f aca="false">IF(AE76=0,"",IFERROR(SMALL($G76:$I76,1),""))</f>
        <v/>
      </c>
      <c r="AI76" s="11" t="str">
        <f aca="false">IF(AE76=0,"",IFERROR(SMALL($G76:$I76,2),""))</f>
        <v/>
      </c>
      <c r="AJ76" s="11" t="str">
        <f aca="false">IF(AE76=0,"",IFERROR(SMALL($G76:$I76,3),""))</f>
        <v/>
      </c>
      <c r="AK76" s="13" t="str">
        <f aca="false">IF(AE76=0,"",IF(AH76="","",IF(AH76=$G76,"Part-Time",IF(AH76=$H76,"Full-Time","Casual"))))</f>
        <v/>
      </c>
      <c r="AL76" s="13" t="str">
        <f aca="false">IF(AE76=0,"",IF(AI76="","",IF(AI76=$G76,"Part-Time",IF(AI76=$H76,"Full-Time","Casual"))))</f>
        <v/>
      </c>
      <c r="AM76" s="13" t="str">
        <f aca="false">IF(AE76=0,"",IF(AJ76="","",IF(AJ76=$G76,"Part-Time",IF(AJ76=$H76,"Full-Time","Casual"))))</f>
        <v/>
      </c>
      <c r="AN76" s="13"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3" t="str">
        <f aca="false">IF(AE76=0,"",IF(AG76&lt;2,"",IF(OR(ISNUMBER(SEARCH("full",AL76)),UPPER(TRIM(AL76))="FT",UPPER(TRIM(AL76))="FTE"),"FT",IF(AND(OR(ISNUMBER(SEARCH("part",AL76)),UPPER(TRIM(AL76))="PT",UPPER(TRIM(AL76))="PTE"),OR($P76="",N($P76)&gt;=PT_MinHours)),"PT","None"))))</f>
        <v/>
      </c>
      <c r="AP76" s="13" t="str">
        <f aca="false">IF(AE76=0,"",IF(AG76&lt;3,"",IF(OR(ISNUMBER(SEARCH("full",AM76)),UPPER(TRIM(AM76))="FT",UPPER(TRIM(AM76))="FTE"),"FT",IF(AND(OR(ISNUMBER(SEARCH("part",AM76)),UPPER(TRIM(AM76))="PT",UPPER(TRIM(AM76))="PTE"),OR($P76="",N($P76)&gt;=PT_MinHours)),"PT","None"))))</f>
        <v/>
      </c>
      <c r="AQ76" s="13" t="str">
        <f aca="false">IF(AE76=0,"",IF(AND(AG76&gt;=3,AJ76&lt;=AsOfDate),AP76,IF(AND(AG76&gt;=2,AI76&lt;=AsOfDate),AO76,AN76)))</f>
        <v/>
      </c>
      <c r="AR76" s="13" t="str">
        <f aca="false">IF(AE76=0,"",IF(AsOfDate&lt;AF76,-1,12*(YEAR(AsOfDate)-YEAR(AF76))+MONTH(AsOfDate)-MONTH(AF76)-IF(DAY(AsOfDate)&lt;MIN(DAY(AF76),DAY(EOMONTH(AsOfDate,0))),1,0)))</f>
        <v/>
      </c>
      <c r="AS76" s="13" t="str">
        <f aca="false">IF(AE76=0,"",IF(OR(AG76&lt;2,AI76&gt;AsOfDate),AR76,IF((AI76-1)&lt;AF76,-1,12*(YEAR((AI76-1))-YEAR(AF76))+MONTH((AI76-1))-MONTH(AF76)-IF(DAY((AI76-1))&lt;MIN(DAY(AF76),DAY(EOMONTH((AI76-1),0))),1,0))))</f>
        <v/>
      </c>
      <c r="AT76" s="13" t="str">
        <f aca="false">IF(AE76=0,"",IF(OR(AG76&lt;3,AJ76&gt;AsOfDate),AR76,IF((AJ76-1)&lt;AF76,-1,12*(YEAR((AJ76-1))-YEAR(AF76))+MONTH((AJ76-1))-MONTH(AF76)-IF(DAY((AJ76-1))&lt;MIN(DAY(AF76),DAY(EOMONTH((AJ76-1),0))),1,0))))</f>
        <v/>
      </c>
      <c r="AU76" s="13" t="str">
        <f aca="false">IF(AE76=0,"",IF(PFYDate&lt;AF76,-1,12*(YEAR(PFYDate)-YEAR(AF76))+MONTH(PFYDate)-MONTH(AF76)-IF(DAY(PFYDate)&lt;MIN(DAY(AF76),DAY(EOMONTH(PFYDate,0))),1,0)))</f>
        <v/>
      </c>
      <c r="AV76" s="13" t="str">
        <f aca="false">IF(AE76=0,"",IF(OR(AG76&lt;2,AI76&gt;PFYDate),AU76,IF((AI76-1)&lt;AF76,-1,12*(YEAR((AI76-1))-YEAR(AF76))+MONTH((AI76-1))-MONTH(AF76)-IF(DAY((AI76-1))&lt;MIN(DAY(AF76),DAY(EOMONTH((AI76-1),0))),1,0))))</f>
        <v/>
      </c>
      <c r="AW76" s="13" t="str">
        <f aca="false">IF(AE76=0,"",IF(OR(AG76&lt;3,AJ76&gt;PFYDate),AU76,IF((AJ76-1)&lt;AF76,-1,12*(YEAR((AJ76-1))-YEAR(AF76))+MONTH((AJ76-1))-MONTH(AF76)-IF(DAY((AJ76-1))&lt;MIN(DAY(AF76),DAY(EOMONTH((AJ76-1),0))),1,0))))</f>
        <v/>
      </c>
      <c r="AX76" s="13"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3"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3" t="str">
        <f aca="false">IF(AE76=0,"",IF(AQ76="FT",IF(AR76&lt;FT_First,FT_First,IF(AR76&lt;FT_Y5,MIN(FT_Y5,FT_First+FT_Int1*(INT((AR76-FT_First)/FT_Int1)+1)),FT_Y5+12*INT((AR76-FT_Y5)/12)+FT_Int2*(INT(MOD(AR76-FT_Y5,12)/FT_Int2)+1))),IF(AQ76="PT",IF(AR76&lt;PT_First,PT_First,PT_First+PT_Int*(INT((AR76-PT_First)/PT_Int)+1)),"")))</f>
        <v/>
      </c>
      <c r="BA76" s="13" t="str">
        <f aca="false">IF(AE76=0,"",IF(NOT(LH_Ready),0,COUNTIFS(INDEX(LH_Data,0,LH_ColFirst),$A76,INDEX(LH_Data,0,LH_ColSur),$B76,INDEX(LH_Data,0,LH_ColCat),BonusCat)))</f>
        <v/>
      </c>
      <c r="BB76" s="13" t="str">
        <f aca="false">IF(AE76=0,"",IF(OR(NOT(LH_Ready),BA76=0),0,SUMPRODUCT(MAX((INDEX(LH_Data,0,LH_ColFirst)=$A76)*(INDEX(LH_Data,0,LH_ColSur)=$B76)*(INDEX(LH_Data,0,LH_ColCat)=BonusCat)*ROW(LH_Data)))))</f>
        <v/>
      </c>
      <c r="BC76" s="0" t="str">
        <f aca="false">IF(LEN($A76&amp;$B76)=0,"",$A76&amp;" "&amp;$B76)</f>
        <v/>
      </c>
    </row>
    <row r="77" customFormat="false" ht="15" hidden="false" customHeight="false" outlineLevel="0" collapsed="false">
      <c r="A77" s="9"/>
      <c r="B77" s="9"/>
      <c r="C77" s="9"/>
      <c r="D77" s="10"/>
      <c r="E77" s="11" t="str">
        <f aca="false">IF(OR(AE77=0,$D77=""),"",DATE(YEAR(AsOfDate)+IF(DATE(YEAR(AsOfDate),MONTH($D77),DAY($D77))&lt;=AsOfDate,1,0),MONTH($D77),DAY($D77)))</f>
        <v/>
      </c>
      <c r="F77" s="10"/>
      <c r="G77" s="10"/>
      <c r="H77" s="10"/>
      <c r="I77" s="10"/>
      <c r="J77" s="10"/>
      <c r="K77" s="11" t="str">
        <f aca="false">IF(AE77=0,"",DATE(YEAR(AsOfDate)+IF(DATE(YEAR(AsOfDate),MONTH(AF77),DAY(AF77))&lt;=AsOfDate,1,0),MONTH(AF77),DAY(AF77)))</f>
        <v/>
      </c>
      <c r="L77" s="12" t="str">
        <f aca="false">IF(AE77=0,"",ROUND((AsOfDate-AF77)/365.25,1))</f>
        <v/>
      </c>
      <c r="M77" s="13" t="str">
        <f aca="false">IF(AE77=0,"",IF(AsOfDate&lt;AF77,"-",DATEDIF(AF77,AsOfDate,"y")&amp;"y "&amp;DATEDIF(AF77,AsOfDate,"ym")&amp;"m "&amp;DATEDIF(AF77,AsOfDate,"md")&amp;"d"))</f>
        <v/>
      </c>
      <c r="N77" s="14" t="str">
        <f aca="false">IF(AE77=0,"",O77*HoursPerDay)</f>
        <v/>
      </c>
      <c r="O77" s="14" t="str">
        <f aca="false">IF(AE77=0,"",AX77)</f>
        <v/>
      </c>
      <c r="P77" s="15"/>
      <c r="Q77" s="13"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13"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1" t="str">
        <f aca="false">IF(AE77=0,"",IF(AQ77="None","",EDATE(AF77,AZ77)))</f>
        <v/>
      </c>
      <c r="T77" s="14" t="str">
        <f aca="false">IF(AE77=0,"",IF(NOT(LH_Ready),"",IF(AF77&gt;PFYDate,0,IF(LH_ColPeriod=0,W77-U77+V77,SUMIFS(INDEX(LH_Data,0,LH_ColAcc),INDEX(LH_Data,0,LH_ColFirst),$A77,INDEX(LH_Data,0,LH_ColSur),$B77,INDEX(LH_Data,0,LH_ColCat),BonusCat,INDEX(LH_Data,0,LH_ColPeriod),LH_OpenLabel)*UnitFactor))))</f>
        <v/>
      </c>
      <c r="U77" s="14" t="str">
        <f aca="false">IF(AE77=0,"",IF(NOT(LH_Ready),"",SUMIFS(INDEX(LH_Data,0,LH_ColAcc),INDEX(LH_Data,0,LH_ColFirst),$A77,INDEX(LH_Data,0,LH_ColSur),$B77,INDEX(LH_Data,0,LH_ColCat),BonusCat,INDEX(LH_Data,0,LH_ColStart),"&gt;="&amp;AF77)*UnitFactor))</f>
        <v/>
      </c>
      <c r="V77" s="14" t="str">
        <f aca="false">IF(AE77=0,"",IF(NOT(LH_Ready),"",SUMIFS(INDEX(LH_Data,0,LH_ColTaken),INDEX(LH_Data,0,LH_ColFirst),$A77,INDEX(LH_Data,0,LH_ColSur),$B77,INDEX(LH_Data,0,LH_ColCat),BonusCat,INDEX(LH_Data,0,LH_ColStart),"&gt;="&amp;AF77)*UnitFactor))</f>
        <v/>
      </c>
      <c r="W77" s="14" t="str">
        <f aca="false">IF(AE77=0,"",IF(NOT(LH_Ready),"",IF(BB77=0,0,INDEX(INDEX(LH_Data,0,LH_ColClose),BB77-1)*UnitFactor)))</f>
        <v/>
      </c>
      <c r="X77" s="14" t="str">
        <f aca="false">IF(AE77=0,"",(AX77-AY77)*HoursPerDay)</f>
        <v/>
      </c>
      <c r="Y77" s="14" t="str">
        <f aca="false">IF(AE77=0,"",IF(NOT(LH_Ready),"",IF(BA77=0,N77,IF(PFYDate&lt;$F77,N77-N(T77)-N(U77),X77-N(U77)))))</f>
        <v/>
      </c>
      <c r="Z77" s="13" t="str">
        <f aca="false">IF(OR(AE77=0,Y77=""),"",IF(Y77&gt;0,"Yes","No"))</f>
        <v/>
      </c>
      <c r="AA77" s="13"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 hrs more than policy since commencement",IF(N(W77)&gt;O77*HoursPerDay+0.01,"CHECK - EH balance "&amp;ROUND(W77-O77*HoursPerDay,2)&amp;" hrs more than policy entitlement",IF(O77&gt;0,"OK - nothing to add",IF(AQ77="None",R77,"Not yet - first day on "&amp;TEXT(S77,"dd/mm/yyyy")))))))))</f>
        <v/>
      </c>
      <c r="AB77" s="14" t="str">
        <f aca="false">IF(OR(AE77=0,T77=""),"",AY77*HoursPerDay-T77)</f>
        <v/>
      </c>
      <c r="AC77" s="13" t="str">
        <f aca="false">IF(AE77=0,"",BA77)</f>
        <v/>
      </c>
      <c r="AD77" s="13"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3" t="n">
        <f aca="false">IF(OR(LEN($A77&amp;$B77)=0,$F77=""),0,1)</f>
        <v>0</v>
      </c>
      <c r="AF77" s="11" t="str">
        <f aca="false">IF(AE77=0,"",IF($J77&lt;&gt;"",$J77,IF(OR(CasualCounts="Yes",COUNT($G77:$I77)=0,COUNT($G77:$H77)=0),$F77,MIN($G77:$H77))))</f>
        <v/>
      </c>
      <c r="AG77" s="13" t="str">
        <f aca="false">IF(AE77=0,"",COUNT($G77:$I77))</f>
        <v/>
      </c>
      <c r="AH77" s="11" t="str">
        <f aca="false">IF(AE77=0,"",IFERROR(SMALL($G77:$I77,1),""))</f>
        <v/>
      </c>
      <c r="AI77" s="11" t="str">
        <f aca="false">IF(AE77=0,"",IFERROR(SMALL($G77:$I77,2),""))</f>
        <v/>
      </c>
      <c r="AJ77" s="11" t="str">
        <f aca="false">IF(AE77=0,"",IFERROR(SMALL($G77:$I77,3),""))</f>
        <v/>
      </c>
      <c r="AK77" s="13" t="str">
        <f aca="false">IF(AE77=0,"",IF(AH77="","",IF(AH77=$G77,"Part-Time",IF(AH77=$H77,"Full-Time","Casual"))))</f>
        <v/>
      </c>
      <c r="AL77" s="13" t="str">
        <f aca="false">IF(AE77=0,"",IF(AI77="","",IF(AI77=$G77,"Part-Time",IF(AI77=$H77,"Full-Time","Casual"))))</f>
        <v/>
      </c>
      <c r="AM77" s="13" t="str">
        <f aca="false">IF(AE77=0,"",IF(AJ77="","",IF(AJ77=$G77,"Part-Time",IF(AJ77=$H77,"Full-Time","Casual"))))</f>
        <v/>
      </c>
      <c r="AN77" s="13"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3" t="str">
        <f aca="false">IF(AE77=0,"",IF(AG77&lt;2,"",IF(OR(ISNUMBER(SEARCH("full",AL77)),UPPER(TRIM(AL77))="FT",UPPER(TRIM(AL77))="FTE"),"FT",IF(AND(OR(ISNUMBER(SEARCH("part",AL77)),UPPER(TRIM(AL77))="PT",UPPER(TRIM(AL77))="PTE"),OR($P77="",N($P77)&gt;=PT_MinHours)),"PT","None"))))</f>
        <v/>
      </c>
      <c r="AP77" s="13" t="str">
        <f aca="false">IF(AE77=0,"",IF(AG77&lt;3,"",IF(OR(ISNUMBER(SEARCH("full",AM77)),UPPER(TRIM(AM77))="FT",UPPER(TRIM(AM77))="FTE"),"FT",IF(AND(OR(ISNUMBER(SEARCH("part",AM77)),UPPER(TRIM(AM77))="PT",UPPER(TRIM(AM77))="PTE"),OR($P77="",N($P77)&gt;=PT_MinHours)),"PT","None"))))</f>
        <v/>
      </c>
      <c r="AQ77" s="13" t="str">
        <f aca="false">IF(AE77=0,"",IF(AND(AG77&gt;=3,AJ77&lt;=AsOfDate),AP77,IF(AND(AG77&gt;=2,AI77&lt;=AsOfDate),AO77,AN77)))</f>
        <v/>
      </c>
      <c r="AR77" s="13" t="str">
        <f aca="false">IF(AE77=0,"",IF(AsOfDate&lt;AF77,-1,12*(YEAR(AsOfDate)-YEAR(AF77))+MONTH(AsOfDate)-MONTH(AF77)-IF(DAY(AsOfDate)&lt;MIN(DAY(AF77),DAY(EOMONTH(AsOfDate,0))),1,0)))</f>
        <v/>
      </c>
      <c r="AS77" s="13" t="str">
        <f aca="false">IF(AE77=0,"",IF(OR(AG77&lt;2,AI77&gt;AsOfDate),AR77,IF((AI77-1)&lt;AF77,-1,12*(YEAR((AI77-1))-YEAR(AF77))+MONTH((AI77-1))-MONTH(AF77)-IF(DAY((AI77-1))&lt;MIN(DAY(AF77),DAY(EOMONTH((AI77-1),0))),1,0))))</f>
        <v/>
      </c>
      <c r="AT77" s="13" t="str">
        <f aca="false">IF(AE77=0,"",IF(OR(AG77&lt;3,AJ77&gt;AsOfDate),AR77,IF((AJ77-1)&lt;AF77,-1,12*(YEAR((AJ77-1))-YEAR(AF77))+MONTH((AJ77-1))-MONTH(AF77)-IF(DAY((AJ77-1))&lt;MIN(DAY(AF77),DAY(EOMONTH((AJ77-1),0))),1,0))))</f>
        <v/>
      </c>
      <c r="AU77" s="13" t="str">
        <f aca="false">IF(AE77=0,"",IF(PFYDate&lt;AF77,-1,12*(YEAR(PFYDate)-YEAR(AF77))+MONTH(PFYDate)-MONTH(AF77)-IF(DAY(PFYDate)&lt;MIN(DAY(AF77),DAY(EOMONTH(PFYDate,0))),1,0)))</f>
        <v/>
      </c>
      <c r="AV77" s="13" t="str">
        <f aca="false">IF(AE77=0,"",IF(OR(AG77&lt;2,AI77&gt;PFYDate),AU77,IF((AI77-1)&lt;AF77,-1,12*(YEAR((AI77-1))-YEAR(AF77))+MONTH((AI77-1))-MONTH(AF77)-IF(DAY((AI77-1))&lt;MIN(DAY(AF77),DAY(EOMONTH((AI77-1),0))),1,0))))</f>
        <v/>
      </c>
      <c r="AW77" s="13" t="str">
        <f aca="false">IF(AE77=0,"",IF(OR(AG77&lt;3,AJ77&gt;PFYDate),AU77,IF((AJ77-1)&lt;AF77,-1,12*(YEAR((AJ77-1))-YEAR(AF77))+MONTH((AJ77-1))-MONTH(AF77)-IF(DAY((AJ77-1))&lt;MIN(DAY(AF77),DAY(EOMONTH((AJ77-1),0))),1,0))))</f>
        <v/>
      </c>
      <c r="AX77" s="13"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3"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3" t="str">
        <f aca="false">IF(AE77=0,"",IF(AQ77="FT",IF(AR77&lt;FT_First,FT_First,IF(AR77&lt;FT_Y5,MIN(FT_Y5,FT_First+FT_Int1*(INT((AR77-FT_First)/FT_Int1)+1)),FT_Y5+12*INT((AR77-FT_Y5)/12)+FT_Int2*(INT(MOD(AR77-FT_Y5,12)/FT_Int2)+1))),IF(AQ77="PT",IF(AR77&lt;PT_First,PT_First,PT_First+PT_Int*(INT((AR77-PT_First)/PT_Int)+1)),"")))</f>
        <v/>
      </c>
      <c r="BA77" s="13" t="str">
        <f aca="false">IF(AE77=0,"",IF(NOT(LH_Ready),0,COUNTIFS(INDEX(LH_Data,0,LH_ColFirst),$A77,INDEX(LH_Data,0,LH_ColSur),$B77,INDEX(LH_Data,0,LH_ColCat),BonusCat)))</f>
        <v/>
      </c>
      <c r="BB77" s="13" t="str">
        <f aca="false">IF(AE77=0,"",IF(OR(NOT(LH_Ready),BA77=0),0,SUMPRODUCT(MAX((INDEX(LH_Data,0,LH_ColFirst)=$A77)*(INDEX(LH_Data,0,LH_ColSur)=$B77)*(INDEX(LH_Data,0,LH_ColCat)=BonusCat)*ROW(LH_Data)))))</f>
        <v/>
      </c>
      <c r="BC77" s="0" t="str">
        <f aca="false">IF(LEN($A77&amp;$B77)=0,"",$A77&amp;" "&amp;$B77)</f>
        <v/>
      </c>
    </row>
    <row r="78" customFormat="false" ht="15" hidden="false" customHeight="false" outlineLevel="0" collapsed="false">
      <c r="A78" s="9"/>
      <c r="B78" s="9"/>
      <c r="C78" s="9"/>
      <c r="D78" s="10"/>
      <c r="E78" s="11" t="str">
        <f aca="false">IF(OR(AE78=0,$D78=""),"",DATE(YEAR(AsOfDate)+IF(DATE(YEAR(AsOfDate),MONTH($D78),DAY($D78))&lt;=AsOfDate,1,0),MONTH($D78),DAY($D78)))</f>
        <v/>
      </c>
      <c r="F78" s="10"/>
      <c r="G78" s="10"/>
      <c r="H78" s="10"/>
      <c r="I78" s="10"/>
      <c r="J78" s="10"/>
      <c r="K78" s="11" t="str">
        <f aca="false">IF(AE78=0,"",DATE(YEAR(AsOfDate)+IF(DATE(YEAR(AsOfDate),MONTH(AF78),DAY(AF78))&lt;=AsOfDate,1,0),MONTH(AF78),DAY(AF78)))</f>
        <v/>
      </c>
      <c r="L78" s="12" t="str">
        <f aca="false">IF(AE78=0,"",ROUND((AsOfDate-AF78)/365.25,1))</f>
        <v/>
      </c>
      <c r="M78" s="13" t="str">
        <f aca="false">IF(AE78=0,"",IF(AsOfDate&lt;AF78,"-",DATEDIF(AF78,AsOfDate,"y")&amp;"y "&amp;DATEDIF(AF78,AsOfDate,"ym")&amp;"m "&amp;DATEDIF(AF78,AsOfDate,"md")&amp;"d"))</f>
        <v/>
      </c>
      <c r="N78" s="14" t="str">
        <f aca="false">IF(AE78=0,"",O78*HoursPerDay)</f>
        <v/>
      </c>
      <c r="O78" s="14" t="str">
        <f aca="false">IF(AE78=0,"",AX78)</f>
        <v/>
      </c>
      <c r="P78" s="15"/>
      <c r="Q78" s="13"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13"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1" t="str">
        <f aca="false">IF(AE78=0,"",IF(AQ78="None","",EDATE(AF78,AZ78)))</f>
        <v/>
      </c>
      <c r="T78" s="14" t="str">
        <f aca="false">IF(AE78=0,"",IF(NOT(LH_Ready),"",IF(AF78&gt;PFYDate,0,IF(LH_ColPeriod=0,W78-U78+V78,SUMIFS(INDEX(LH_Data,0,LH_ColAcc),INDEX(LH_Data,0,LH_ColFirst),$A78,INDEX(LH_Data,0,LH_ColSur),$B78,INDEX(LH_Data,0,LH_ColCat),BonusCat,INDEX(LH_Data,0,LH_ColPeriod),LH_OpenLabel)*UnitFactor))))</f>
        <v/>
      </c>
      <c r="U78" s="14" t="str">
        <f aca="false">IF(AE78=0,"",IF(NOT(LH_Ready),"",SUMIFS(INDEX(LH_Data,0,LH_ColAcc),INDEX(LH_Data,0,LH_ColFirst),$A78,INDEX(LH_Data,0,LH_ColSur),$B78,INDEX(LH_Data,0,LH_ColCat),BonusCat,INDEX(LH_Data,0,LH_ColStart),"&gt;="&amp;AF78)*UnitFactor))</f>
        <v/>
      </c>
      <c r="V78" s="14" t="str">
        <f aca="false">IF(AE78=0,"",IF(NOT(LH_Ready),"",SUMIFS(INDEX(LH_Data,0,LH_ColTaken),INDEX(LH_Data,0,LH_ColFirst),$A78,INDEX(LH_Data,0,LH_ColSur),$B78,INDEX(LH_Data,0,LH_ColCat),BonusCat,INDEX(LH_Data,0,LH_ColStart),"&gt;="&amp;AF78)*UnitFactor))</f>
        <v/>
      </c>
      <c r="W78" s="14" t="str">
        <f aca="false">IF(AE78=0,"",IF(NOT(LH_Ready),"",IF(BB78=0,0,INDEX(INDEX(LH_Data,0,LH_ColClose),BB78-1)*UnitFactor)))</f>
        <v/>
      </c>
      <c r="X78" s="14" t="str">
        <f aca="false">IF(AE78=0,"",(AX78-AY78)*HoursPerDay)</f>
        <v/>
      </c>
      <c r="Y78" s="14" t="str">
        <f aca="false">IF(AE78=0,"",IF(NOT(LH_Ready),"",IF(BA78=0,N78,IF(PFYDate&lt;$F78,N78-N(T78)-N(U78),X78-N(U78)))))</f>
        <v/>
      </c>
      <c r="Z78" s="13" t="str">
        <f aca="false">IF(OR(AE78=0,Y78=""),"",IF(Y78&gt;0,"Yes","No"))</f>
        <v/>
      </c>
      <c r="AA78" s="13"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 hrs more than policy since commencement",IF(N(W78)&gt;O78*HoursPerDay+0.01,"CHECK - EH balance "&amp;ROUND(W78-O78*HoursPerDay,2)&amp;" hrs more than policy entitlement",IF(O78&gt;0,"OK - nothing to add",IF(AQ78="None",R78,"Not yet - first day on "&amp;TEXT(S78,"dd/mm/yyyy")))))))))</f>
        <v/>
      </c>
      <c r="AB78" s="14" t="str">
        <f aca="false">IF(OR(AE78=0,T78=""),"",AY78*HoursPerDay-T78)</f>
        <v/>
      </c>
      <c r="AC78" s="13" t="str">
        <f aca="false">IF(AE78=0,"",BA78)</f>
        <v/>
      </c>
      <c r="AD78" s="13"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3" t="n">
        <f aca="false">IF(OR(LEN($A78&amp;$B78)=0,$F78=""),0,1)</f>
        <v>0</v>
      </c>
      <c r="AF78" s="11" t="str">
        <f aca="false">IF(AE78=0,"",IF($J78&lt;&gt;"",$J78,IF(OR(CasualCounts="Yes",COUNT($G78:$I78)=0,COUNT($G78:$H78)=0),$F78,MIN($G78:$H78))))</f>
        <v/>
      </c>
      <c r="AG78" s="13" t="str">
        <f aca="false">IF(AE78=0,"",COUNT($G78:$I78))</f>
        <v/>
      </c>
      <c r="AH78" s="11" t="str">
        <f aca="false">IF(AE78=0,"",IFERROR(SMALL($G78:$I78,1),""))</f>
        <v/>
      </c>
      <c r="AI78" s="11" t="str">
        <f aca="false">IF(AE78=0,"",IFERROR(SMALL($G78:$I78,2),""))</f>
        <v/>
      </c>
      <c r="AJ78" s="11" t="str">
        <f aca="false">IF(AE78=0,"",IFERROR(SMALL($G78:$I78,3),""))</f>
        <v/>
      </c>
      <c r="AK78" s="13" t="str">
        <f aca="false">IF(AE78=0,"",IF(AH78="","",IF(AH78=$G78,"Part-Time",IF(AH78=$H78,"Full-Time","Casual"))))</f>
        <v/>
      </c>
      <c r="AL78" s="13" t="str">
        <f aca="false">IF(AE78=0,"",IF(AI78="","",IF(AI78=$G78,"Part-Time",IF(AI78=$H78,"Full-Time","Casual"))))</f>
        <v/>
      </c>
      <c r="AM78" s="13" t="str">
        <f aca="false">IF(AE78=0,"",IF(AJ78="","",IF(AJ78=$G78,"Part-Time",IF(AJ78=$H78,"Full-Time","Casual"))))</f>
        <v/>
      </c>
      <c r="AN78" s="13"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3" t="str">
        <f aca="false">IF(AE78=0,"",IF(AG78&lt;2,"",IF(OR(ISNUMBER(SEARCH("full",AL78)),UPPER(TRIM(AL78))="FT",UPPER(TRIM(AL78))="FTE"),"FT",IF(AND(OR(ISNUMBER(SEARCH("part",AL78)),UPPER(TRIM(AL78))="PT",UPPER(TRIM(AL78))="PTE"),OR($P78="",N($P78)&gt;=PT_MinHours)),"PT","None"))))</f>
        <v/>
      </c>
      <c r="AP78" s="13" t="str">
        <f aca="false">IF(AE78=0,"",IF(AG78&lt;3,"",IF(OR(ISNUMBER(SEARCH("full",AM78)),UPPER(TRIM(AM78))="FT",UPPER(TRIM(AM78))="FTE"),"FT",IF(AND(OR(ISNUMBER(SEARCH("part",AM78)),UPPER(TRIM(AM78))="PT",UPPER(TRIM(AM78))="PTE"),OR($P78="",N($P78)&gt;=PT_MinHours)),"PT","None"))))</f>
        <v/>
      </c>
      <c r="AQ78" s="13" t="str">
        <f aca="false">IF(AE78=0,"",IF(AND(AG78&gt;=3,AJ78&lt;=AsOfDate),AP78,IF(AND(AG78&gt;=2,AI78&lt;=AsOfDate),AO78,AN78)))</f>
        <v/>
      </c>
      <c r="AR78" s="13" t="str">
        <f aca="false">IF(AE78=0,"",IF(AsOfDate&lt;AF78,-1,12*(YEAR(AsOfDate)-YEAR(AF78))+MONTH(AsOfDate)-MONTH(AF78)-IF(DAY(AsOfDate)&lt;MIN(DAY(AF78),DAY(EOMONTH(AsOfDate,0))),1,0)))</f>
        <v/>
      </c>
      <c r="AS78" s="13" t="str">
        <f aca="false">IF(AE78=0,"",IF(OR(AG78&lt;2,AI78&gt;AsOfDate),AR78,IF((AI78-1)&lt;AF78,-1,12*(YEAR((AI78-1))-YEAR(AF78))+MONTH((AI78-1))-MONTH(AF78)-IF(DAY((AI78-1))&lt;MIN(DAY(AF78),DAY(EOMONTH((AI78-1),0))),1,0))))</f>
        <v/>
      </c>
      <c r="AT78" s="13" t="str">
        <f aca="false">IF(AE78=0,"",IF(OR(AG78&lt;3,AJ78&gt;AsOfDate),AR78,IF((AJ78-1)&lt;AF78,-1,12*(YEAR((AJ78-1))-YEAR(AF78))+MONTH((AJ78-1))-MONTH(AF78)-IF(DAY((AJ78-1))&lt;MIN(DAY(AF78),DAY(EOMONTH((AJ78-1),0))),1,0))))</f>
        <v/>
      </c>
      <c r="AU78" s="13" t="str">
        <f aca="false">IF(AE78=0,"",IF(PFYDate&lt;AF78,-1,12*(YEAR(PFYDate)-YEAR(AF78))+MONTH(PFYDate)-MONTH(AF78)-IF(DAY(PFYDate)&lt;MIN(DAY(AF78),DAY(EOMONTH(PFYDate,0))),1,0)))</f>
        <v/>
      </c>
      <c r="AV78" s="13" t="str">
        <f aca="false">IF(AE78=0,"",IF(OR(AG78&lt;2,AI78&gt;PFYDate),AU78,IF((AI78-1)&lt;AF78,-1,12*(YEAR((AI78-1))-YEAR(AF78))+MONTH((AI78-1))-MONTH(AF78)-IF(DAY((AI78-1))&lt;MIN(DAY(AF78),DAY(EOMONTH((AI78-1),0))),1,0))))</f>
        <v/>
      </c>
      <c r="AW78" s="13" t="str">
        <f aca="false">IF(AE78=0,"",IF(OR(AG78&lt;3,AJ78&gt;PFYDate),AU78,IF((AJ78-1)&lt;AF78,-1,12*(YEAR((AJ78-1))-YEAR(AF78))+MONTH((AJ78-1))-MONTH(AF78)-IF(DAY((AJ78-1))&lt;MIN(DAY(AF78),DAY(EOMONTH((AJ78-1),0))),1,0))))</f>
        <v/>
      </c>
      <c r="AX78" s="13"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3"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3" t="str">
        <f aca="false">IF(AE78=0,"",IF(AQ78="FT",IF(AR78&lt;FT_First,FT_First,IF(AR78&lt;FT_Y5,MIN(FT_Y5,FT_First+FT_Int1*(INT((AR78-FT_First)/FT_Int1)+1)),FT_Y5+12*INT((AR78-FT_Y5)/12)+FT_Int2*(INT(MOD(AR78-FT_Y5,12)/FT_Int2)+1))),IF(AQ78="PT",IF(AR78&lt;PT_First,PT_First,PT_First+PT_Int*(INT((AR78-PT_First)/PT_Int)+1)),"")))</f>
        <v/>
      </c>
      <c r="BA78" s="13" t="str">
        <f aca="false">IF(AE78=0,"",IF(NOT(LH_Ready),0,COUNTIFS(INDEX(LH_Data,0,LH_ColFirst),$A78,INDEX(LH_Data,0,LH_ColSur),$B78,INDEX(LH_Data,0,LH_ColCat),BonusCat)))</f>
        <v/>
      </c>
      <c r="BB78" s="13" t="str">
        <f aca="false">IF(AE78=0,"",IF(OR(NOT(LH_Ready),BA78=0),0,SUMPRODUCT(MAX((INDEX(LH_Data,0,LH_ColFirst)=$A78)*(INDEX(LH_Data,0,LH_ColSur)=$B78)*(INDEX(LH_Data,0,LH_ColCat)=BonusCat)*ROW(LH_Data)))))</f>
        <v/>
      </c>
      <c r="BC78" s="0" t="str">
        <f aca="false">IF(LEN($A78&amp;$B78)=0,"",$A78&amp;" "&amp;$B78)</f>
        <v/>
      </c>
    </row>
    <row r="79" customFormat="false" ht="15" hidden="false" customHeight="false" outlineLevel="0" collapsed="false">
      <c r="A79" s="9"/>
      <c r="B79" s="9"/>
      <c r="C79" s="9"/>
      <c r="D79" s="10"/>
      <c r="E79" s="11" t="str">
        <f aca="false">IF(OR(AE79=0,$D79=""),"",DATE(YEAR(AsOfDate)+IF(DATE(YEAR(AsOfDate),MONTH($D79),DAY($D79))&lt;=AsOfDate,1,0),MONTH($D79),DAY($D79)))</f>
        <v/>
      </c>
      <c r="F79" s="10"/>
      <c r="G79" s="10"/>
      <c r="H79" s="10"/>
      <c r="I79" s="10"/>
      <c r="J79" s="10"/>
      <c r="K79" s="11" t="str">
        <f aca="false">IF(AE79=0,"",DATE(YEAR(AsOfDate)+IF(DATE(YEAR(AsOfDate),MONTH(AF79),DAY(AF79))&lt;=AsOfDate,1,0),MONTH(AF79),DAY(AF79)))</f>
        <v/>
      </c>
      <c r="L79" s="12" t="str">
        <f aca="false">IF(AE79=0,"",ROUND((AsOfDate-AF79)/365.25,1))</f>
        <v/>
      </c>
      <c r="M79" s="13" t="str">
        <f aca="false">IF(AE79=0,"",IF(AsOfDate&lt;AF79,"-",DATEDIF(AF79,AsOfDate,"y")&amp;"y "&amp;DATEDIF(AF79,AsOfDate,"ym")&amp;"m "&amp;DATEDIF(AF79,AsOfDate,"md")&amp;"d"))</f>
        <v/>
      </c>
      <c r="N79" s="14" t="str">
        <f aca="false">IF(AE79=0,"",O79*HoursPerDay)</f>
        <v/>
      </c>
      <c r="O79" s="14" t="str">
        <f aca="false">IF(AE79=0,"",AX79)</f>
        <v/>
      </c>
      <c r="P79" s="15"/>
      <c r="Q79" s="13"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13"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1" t="str">
        <f aca="false">IF(AE79=0,"",IF(AQ79="None","",EDATE(AF79,AZ79)))</f>
        <v/>
      </c>
      <c r="T79" s="14" t="str">
        <f aca="false">IF(AE79=0,"",IF(NOT(LH_Ready),"",IF(AF79&gt;PFYDate,0,IF(LH_ColPeriod=0,W79-U79+V79,SUMIFS(INDEX(LH_Data,0,LH_ColAcc),INDEX(LH_Data,0,LH_ColFirst),$A79,INDEX(LH_Data,0,LH_ColSur),$B79,INDEX(LH_Data,0,LH_ColCat),BonusCat,INDEX(LH_Data,0,LH_ColPeriod),LH_OpenLabel)*UnitFactor))))</f>
        <v/>
      </c>
      <c r="U79" s="14" t="str">
        <f aca="false">IF(AE79=0,"",IF(NOT(LH_Ready),"",SUMIFS(INDEX(LH_Data,0,LH_ColAcc),INDEX(LH_Data,0,LH_ColFirst),$A79,INDEX(LH_Data,0,LH_ColSur),$B79,INDEX(LH_Data,0,LH_ColCat),BonusCat,INDEX(LH_Data,0,LH_ColStart),"&gt;="&amp;AF79)*UnitFactor))</f>
        <v/>
      </c>
      <c r="V79" s="14" t="str">
        <f aca="false">IF(AE79=0,"",IF(NOT(LH_Ready),"",SUMIFS(INDEX(LH_Data,0,LH_ColTaken),INDEX(LH_Data,0,LH_ColFirst),$A79,INDEX(LH_Data,0,LH_ColSur),$B79,INDEX(LH_Data,0,LH_ColCat),BonusCat,INDEX(LH_Data,0,LH_ColStart),"&gt;="&amp;AF79)*UnitFactor))</f>
        <v/>
      </c>
      <c r="W79" s="14" t="str">
        <f aca="false">IF(AE79=0,"",IF(NOT(LH_Ready),"",IF(BB79=0,0,INDEX(INDEX(LH_Data,0,LH_ColClose),BB79-1)*UnitFactor)))</f>
        <v/>
      </c>
      <c r="X79" s="14" t="str">
        <f aca="false">IF(AE79=0,"",(AX79-AY79)*HoursPerDay)</f>
        <v/>
      </c>
      <c r="Y79" s="14" t="str">
        <f aca="false">IF(AE79=0,"",IF(NOT(LH_Ready),"",IF(BA79=0,N79,IF(PFYDate&lt;$F79,N79-N(T79)-N(U79),X79-N(U79)))))</f>
        <v/>
      </c>
      <c r="Z79" s="13" t="str">
        <f aca="false">IF(OR(AE79=0,Y79=""),"",IF(Y79&gt;0,"Yes","No"))</f>
        <v/>
      </c>
      <c r="AA79" s="13"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 hrs more than policy since commencement",IF(N(W79)&gt;O79*HoursPerDay+0.01,"CHECK - EH balance "&amp;ROUND(W79-O79*HoursPerDay,2)&amp;" hrs more than policy entitlement",IF(O79&gt;0,"OK - nothing to add",IF(AQ79="None",R79,"Not yet - first day on "&amp;TEXT(S79,"dd/mm/yyyy")))))))))</f>
        <v/>
      </c>
      <c r="AB79" s="14" t="str">
        <f aca="false">IF(OR(AE79=0,T79=""),"",AY79*HoursPerDay-T79)</f>
        <v/>
      </c>
      <c r="AC79" s="13" t="str">
        <f aca="false">IF(AE79=0,"",BA79)</f>
        <v/>
      </c>
      <c r="AD79" s="13"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3" t="n">
        <f aca="false">IF(OR(LEN($A79&amp;$B79)=0,$F79=""),0,1)</f>
        <v>0</v>
      </c>
      <c r="AF79" s="11" t="str">
        <f aca="false">IF(AE79=0,"",IF($J79&lt;&gt;"",$J79,IF(OR(CasualCounts="Yes",COUNT($G79:$I79)=0,COUNT($G79:$H79)=0),$F79,MIN($G79:$H79))))</f>
        <v/>
      </c>
      <c r="AG79" s="13" t="str">
        <f aca="false">IF(AE79=0,"",COUNT($G79:$I79))</f>
        <v/>
      </c>
      <c r="AH79" s="11" t="str">
        <f aca="false">IF(AE79=0,"",IFERROR(SMALL($G79:$I79,1),""))</f>
        <v/>
      </c>
      <c r="AI79" s="11" t="str">
        <f aca="false">IF(AE79=0,"",IFERROR(SMALL($G79:$I79,2),""))</f>
        <v/>
      </c>
      <c r="AJ79" s="11" t="str">
        <f aca="false">IF(AE79=0,"",IFERROR(SMALL($G79:$I79,3),""))</f>
        <v/>
      </c>
      <c r="AK79" s="13" t="str">
        <f aca="false">IF(AE79=0,"",IF(AH79="","",IF(AH79=$G79,"Part-Time",IF(AH79=$H79,"Full-Time","Casual"))))</f>
        <v/>
      </c>
      <c r="AL79" s="13" t="str">
        <f aca="false">IF(AE79=0,"",IF(AI79="","",IF(AI79=$G79,"Part-Time",IF(AI79=$H79,"Full-Time","Casual"))))</f>
        <v/>
      </c>
      <c r="AM79" s="13" t="str">
        <f aca="false">IF(AE79=0,"",IF(AJ79="","",IF(AJ79=$G79,"Part-Time",IF(AJ79=$H79,"Full-Time","Casual"))))</f>
        <v/>
      </c>
      <c r="AN79" s="13"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3" t="str">
        <f aca="false">IF(AE79=0,"",IF(AG79&lt;2,"",IF(OR(ISNUMBER(SEARCH("full",AL79)),UPPER(TRIM(AL79))="FT",UPPER(TRIM(AL79))="FTE"),"FT",IF(AND(OR(ISNUMBER(SEARCH("part",AL79)),UPPER(TRIM(AL79))="PT",UPPER(TRIM(AL79))="PTE"),OR($P79="",N($P79)&gt;=PT_MinHours)),"PT","None"))))</f>
        <v/>
      </c>
      <c r="AP79" s="13" t="str">
        <f aca="false">IF(AE79=0,"",IF(AG79&lt;3,"",IF(OR(ISNUMBER(SEARCH("full",AM79)),UPPER(TRIM(AM79))="FT",UPPER(TRIM(AM79))="FTE"),"FT",IF(AND(OR(ISNUMBER(SEARCH("part",AM79)),UPPER(TRIM(AM79))="PT",UPPER(TRIM(AM79))="PTE"),OR($P79="",N($P79)&gt;=PT_MinHours)),"PT","None"))))</f>
        <v/>
      </c>
      <c r="AQ79" s="13" t="str">
        <f aca="false">IF(AE79=0,"",IF(AND(AG79&gt;=3,AJ79&lt;=AsOfDate),AP79,IF(AND(AG79&gt;=2,AI79&lt;=AsOfDate),AO79,AN79)))</f>
        <v/>
      </c>
      <c r="AR79" s="13" t="str">
        <f aca="false">IF(AE79=0,"",IF(AsOfDate&lt;AF79,-1,12*(YEAR(AsOfDate)-YEAR(AF79))+MONTH(AsOfDate)-MONTH(AF79)-IF(DAY(AsOfDate)&lt;MIN(DAY(AF79),DAY(EOMONTH(AsOfDate,0))),1,0)))</f>
        <v/>
      </c>
      <c r="AS79" s="13" t="str">
        <f aca="false">IF(AE79=0,"",IF(OR(AG79&lt;2,AI79&gt;AsOfDate),AR79,IF((AI79-1)&lt;AF79,-1,12*(YEAR((AI79-1))-YEAR(AF79))+MONTH((AI79-1))-MONTH(AF79)-IF(DAY((AI79-1))&lt;MIN(DAY(AF79),DAY(EOMONTH((AI79-1),0))),1,0))))</f>
        <v/>
      </c>
      <c r="AT79" s="13" t="str">
        <f aca="false">IF(AE79=0,"",IF(OR(AG79&lt;3,AJ79&gt;AsOfDate),AR79,IF((AJ79-1)&lt;AF79,-1,12*(YEAR((AJ79-1))-YEAR(AF79))+MONTH((AJ79-1))-MONTH(AF79)-IF(DAY((AJ79-1))&lt;MIN(DAY(AF79),DAY(EOMONTH((AJ79-1),0))),1,0))))</f>
        <v/>
      </c>
      <c r="AU79" s="13" t="str">
        <f aca="false">IF(AE79=0,"",IF(PFYDate&lt;AF79,-1,12*(YEAR(PFYDate)-YEAR(AF79))+MONTH(PFYDate)-MONTH(AF79)-IF(DAY(PFYDate)&lt;MIN(DAY(AF79),DAY(EOMONTH(PFYDate,0))),1,0)))</f>
        <v/>
      </c>
      <c r="AV79" s="13" t="str">
        <f aca="false">IF(AE79=0,"",IF(OR(AG79&lt;2,AI79&gt;PFYDate),AU79,IF((AI79-1)&lt;AF79,-1,12*(YEAR((AI79-1))-YEAR(AF79))+MONTH((AI79-1))-MONTH(AF79)-IF(DAY((AI79-1))&lt;MIN(DAY(AF79),DAY(EOMONTH((AI79-1),0))),1,0))))</f>
        <v/>
      </c>
      <c r="AW79" s="13" t="str">
        <f aca="false">IF(AE79=0,"",IF(OR(AG79&lt;3,AJ79&gt;PFYDate),AU79,IF((AJ79-1)&lt;AF79,-1,12*(YEAR((AJ79-1))-YEAR(AF79))+MONTH((AJ79-1))-MONTH(AF79)-IF(DAY((AJ79-1))&lt;MIN(DAY(AF79),DAY(EOMONTH((AJ79-1),0))),1,0))))</f>
        <v/>
      </c>
      <c r="AX79" s="13"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3"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3" t="str">
        <f aca="false">IF(AE79=0,"",IF(AQ79="FT",IF(AR79&lt;FT_First,FT_First,IF(AR79&lt;FT_Y5,MIN(FT_Y5,FT_First+FT_Int1*(INT((AR79-FT_First)/FT_Int1)+1)),FT_Y5+12*INT((AR79-FT_Y5)/12)+FT_Int2*(INT(MOD(AR79-FT_Y5,12)/FT_Int2)+1))),IF(AQ79="PT",IF(AR79&lt;PT_First,PT_First,PT_First+PT_Int*(INT((AR79-PT_First)/PT_Int)+1)),"")))</f>
        <v/>
      </c>
      <c r="BA79" s="13" t="str">
        <f aca="false">IF(AE79=0,"",IF(NOT(LH_Ready),0,COUNTIFS(INDEX(LH_Data,0,LH_ColFirst),$A79,INDEX(LH_Data,0,LH_ColSur),$B79,INDEX(LH_Data,0,LH_ColCat),BonusCat)))</f>
        <v/>
      </c>
      <c r="BB79" s="13" t="str">
        <f aca="false">IF(AE79=0,"",IF(OR(NOT(LH_Ready),BA79=0),0,SUMPRODUCT(MAX((INDEX(LH_Data,0,LH_ColFirst)=$A79)*(INDEX(LH_Data,0,LH_ColSur)=$B79)*(INDEX(LH_Data,0,LH_ColCat)=BonusCat)*ROW(LH_Data)))))</f>
        <v/>
      </c>
      <c r="BC79" s="0" t="str">
        <f aca="false">IF(LEN($A79&amp;$B79)=0,"",$A79&amp;" "&amp;$B79)</f>
        <v/>
      </c>
    </row>
    <row r="80" customFormat="false" ht="15" hidden="false" customHeight="false" outlineLevel="0" collapsed="false">
      <c r="A80" s="9"/>
      <c r="B80" s="9"/>
      <c r="C80" s="9"/>
      <c r="D80" s="10"/>
      <c r="E80" s="11" t="str">
        <f aca="false">IF(OR(AE80=0,$D80=""),"",DATE(YEAR(AsOfDate)+IF(DATE(YEAR(AsOfDate),MONTH($D80),DAY($D80))&lt;=AsOfDate,1,0),MONTH($D80),DAY($D80)))</f>
        <v/>
      </c>
      <c r="F80" s="10"/>
      <c r="G80" s="10"/>
      <c r="H80" s="10"/>
      <c r="I80" s="10"/>
      <c r="J80" s="10"/>
      <c r="K80" s="11" t="str">
        <f aca="false">IF(AE80=0,"",DATE(YEAR(AsOfDate)+IF(DATE(YEAR(AsOfDate),MONTH(AF80),DAY(AF80))&lt;=AsOfDate,1,0),MONTH(AF80),DAY(AF80)))</f>
        <v/>
      </c>
      <c r="L80" s="12" t="str">
        <f aca="false">IF(AE80=0,"",ROUND((AsOfDate-AF80)/365.25,1))</f>
        <v/>
      </c>
      <c r="M80" s="13" t="str">
        <f aca="false">IF(AE80=0,"",IF(AsOfDate&lt;AF80,"-",DATEDIF(AF80,AsOfDate,"y")&amp;"y "&amp;DATEDIF(AF80,AsOfDate,"ym")&amp;"m "&amp;DATEDIF(AF80,AsOfDate,"md")&amp;"d"))</f>
        <v/>
      </c>
      <c r="N80" s="14" t="str">
        <f aca="false">IF(AE80=0,"",O80*HoursPerDay)</f>
        <v/>
      </c>
      <c r="O80" s="14" t="str">
        <f aca="false">IF(AE80=0,"",AX80)</f>
        <v/>
      </c>
      <c r="P80" s="15"/>
      <c r="Q80" s="13"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13"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1" t="str">
        <f aca="false">IF(AE80=0,"",IF(AQ80="None","",EDATE(AF80,AZ80)))</f>
        <v/>
      </c>
      <c r="T80" s="14" t="str">
        <f aca="false">IF(AE80=0,"",IF(NOT(LH_Ready),"",IF(AF80&gt;PFYDate,0,IF(LH_ColPeriod=0,W80-U80+V80,SUMIFS(INDEX(LH_Data,0,LH_ColAcc),INDEX(LH_Data,0,LH_ColFirst),$A80,INDEX(LH_Data,0,LH_ColSur),$B80,INDEX(LH_Data,0,LH_ColCat),BonusCat,INDEX(LH_Data,0,LH_ColPeriod),LH_OpenLabel)*UnitFactor))))</f>
        <v/>
      </c>
      <c r="U80" s="14" t="str">
        <f aca="false">IF(AE80=0,"",IF(NOT(LH_Ready),"",SUMIFS(INDEX(LH_Data,0,LH_ColAcc),INDEX(LH_Data,0,LH_ColFirst),$A80,INDEX(LH_Data,0,LH_ColSur),$B80,INDEX(LH_Data,0,LH_ColCat),BonusCat,INDEX(LH_Data,0,LH_ColStart),"&gt;="&amp;AF80)*UnitFactor))</f>
        <v/>
      </c>
      <c r="V80" s="14" t="str">
        <f aca="false">IF(AE80=0,"",IF(NOT(LH_Ready),"",SUMIFS(INDEX(LH_Data,0,LH_ColTaken),INDEX(LH_Data,0,LH_ColFirst),$A80,INDEX(LH_Data,0,LH_ColSur),$B80,INDEX(LH_Data,0,LH_ColCat),BonusCat,INDEX(LH_Data,0,LH_ColStart),"&gt;="&amp;AF80)*UnitFactor))</f>
        <v/>
      </c>
      <c r="W80" s="14" t="str">
        <f aca="false">IF(AE80=0,"",IF(NOT(LH_Ready),"",IF(BB80=0,0,INDEX(INDEX(LH_Data,0,LH_ColClose),BB80-1)*UnitFactor)))</f>
        <v/>
      </c>
      <c r="X80" s="14" t="str">
        <f aca="false">IF(AE80=0,"",(AX80-AY80)*HoursPerDay)</f>
        <v/>
      </c>
      <c r="Y80" s="14" t="str">
        <f aca="false">IF(AE80=0,"",IF(NOT(LH_Ready),"",IF(BA80=0,N80,IF(PFYDate&lt;$F80,N80-N(T80)-N(U80),X80-N(U80)))))</f>
        <v/>
      </c>
      <c r="Z80" s="13" t="str">
        <f aca="false">IF(OR(AE80=0,Y80=""),"",IF(Y80&gt;0,"Yes","No"))</f>
        <v/>
      </c>
      <c r="AA80" s="13"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 hrs more than policy since commencement",IF(N(W80)&gt;O80*HoursPerDay+0.01,"CHECK - EH balance "&amp;ROUND(W80-O80*HoursPerDay,2)&amp;" hrs more than policy entitlement",IF(O80&gt;0,"OK - nothing to add",IF(AQ80="None",R80,"Not yet - first day on "&amp;TEXT(S80,"dd/mm/yyyy")))))))))</f>
        <v/>
      </c>
      <c r="AB80" s="14" t="str">
        <f aca="false">IF(OR(AE80=0,T80=""),"",AY80*HoursPerDay-T80)</f>
        <v/>
      </c>
      <c r="AC80" s="13" t="str">
        <f aca="false">IF(AE80=0,"",BA80)</f>
        <v/>
      </c>
      <c r="AD80" s="13"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3" t="n">
        <f aca="false">IF(OR(LEN($A80&amp;$B80)=0,$F80=""),0,1)</f>
        <v>0</v>
      </c>
      <c r="AF80" s="11" t="str">
        <f aca="false">IF(AE80=0,"",IF($J80&lt;&gt;"",$J80,IF(OR(CasualCounts="Yes",COUNT($G80:$I80)=0,COUNT($G80:$H80)=0),$F80,MIN($G80:$H80))))</f>
        <v/>
      </c>
      <c r="AG80" s="13" t="str">
        <f aca="false">IF(AE80=0,"",COUNT($G80:$I80))</f>
        <v/>
      </c>
      <c r="AH80" s="11" t="str">
        <f aca="false">IF(AE80=0,"",IFERROR(SMALL($G80:$I80,1),""))</f>
        <v/>
      </c>
      <c r="AI80" s="11" t="str">
        <f aca="false">IF(AE80=0,"",IFERROR(SMALL($G80:$I80,2),""))</f>
        <v/>
      </c>
      <c r="AJ80" s="11" t="str">
        <f aca="false">IF(AE80=0,"",IFERROR(SMALL($G80:$I80,3),""))</f>
        <v/>
      </c>
      <c r="AK80" s="13" t="str">
        <f aca="false">IF(AE80=0,"",IF(AH80="","",IF(AH80=$G80,"Part-Time",IF(AH80=$H80,"Full-Time","Casual"))))</f>
        <v/>
      </c>
      <c r="AL80" s="13" t="str">
        <f aca="false">IF(AE80=0,"",IF(AI80="","",IF(AI80=$G80,"Part-Time",IF(AI80=$H80,"Full-Time","Casual"))))</f>
        <v/>
      </c>
      <c r="AM80" s="13" t="str">
        <f aca="false">IF(AE80=0,"",IF(AJ80="","",IF(AJ80=$G80,"Part-Time",IF(AJ80=$H80,"Full-Time","Casual"))))</f>
        <v/>
      </c>
      <c r="AN80" s="13"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3" t="str">
        <f aca="false">IF(AE80=0,"",IF(AG80&lt;2,"",IF(OR(ISNUMBER(SEARCH("full",AL80)),UPPER(TRIM(AL80))="FT",UPPER(TRIM(AL80))="FTE"),"FT",IF(AND(OR(ISNUMBER(SEARCH("part",AL80)),UPPER(TRIM(AL80))="PT",UPPER(TRIM(AL80))="PTE"),OR($P80="",N($P80)&gt;=PT_MinHours)),"PT","None"))))</f>
        <v/>
      </c>
      <c r="AP80" s="13" t="str">
        <f aca="false">IF(AE80=0,"",IF(AG80&lt;3,"",IF(OR(ISNUMBER(SEARCH("full",AM80)),UPPER(TRIM(AM80))="FT",UPPER(TRIM(AM80))="FTE"),"FT",IF(AND(OR(ISNUMBER(SEARCH("part",AM80)),UPPER(TRIM(AM80))="PT",UPPER(TRIM(AM80))="PTE"),OR($P80="",N($P80)&gt;=PT_MinHours)),"PT","None"))))</f>
        <v/>
      </c>
      <c r="AQ80" s="13" t="str">
        <f aca="false">IF(AE80=0,"",IF(AND(AG80&gt;=3,AJ80&lt;=AsOfDate),AP80,IF(AND(AG80&gt;=2,AI80&lt;=AsOfDate),AO80,AN80)))</f>
        <v/>
      </c>
      <c r="AR80" s="13" t="str">
        <f aca="false">IF(AE80=0,"",IF(AsOfDate&lt;AF80,-1,12*(YEAR(AsOfDate)-YEAR(AF80))+MONTH(AsOfDate)-MONTH(AF80)-IF(DAY(AsOfDate)&lt;MIN(DAY(AF80),DAY(EOMONTH(AsOfDate,0))),1,0)))</f>
        <v/>
      </c>
      <c r="AS80" s="13" t="str">
        <f aca="false">IF(AE80=0,"",IF(OR(AG80&lt;2,AI80&gt;AsOfDate),AR80,IF((AI80-1)&lt;AF80,-1,12*(YEAR((AI80-1))-YEAR(AF80))+MONTH((AI80-1))-MONTH(AF80)-IF(DAY((AI80-1))&lt;MIN(DAY(AF80),DAY(EOMONTH((AI80-1),0))),1,0))))</f>
        <v/>
      </c>
      <c r="AT80" s="13" t="str">
        <f aca="false">IF(AE80=0,"",IF(OR(AG80&lt;3,AJ80&gt;AsOfDate),AR80,IF((AJ80-1)&lt;AF80,-1,12*(YEAR((AJ80-1))-YEAR(AF80))+MONTH((AJ80-1))-MONTH(AF80)-IF(DAY((AJ80-1))&lt;MIN(DAY(AF80),DAY(EOMONTH((AJ80-1),0))),1,0))))</f>
        <v/>
      </c>
      <c r="AU80" s="13" t="str">
        <f aca="false">IF(AE80=0,"",IF(PFYDate&lt;AF80,-1,12*(YEAR(PFYDate)-YEAR(AF80))+MONTH(PFYDate)-MONTH(AF80)-IF(DAY(PFYDate)&lt;MIN(DAY(AF80),DAY(EOMONTH(PFYDate,0))),1,0)))</f>
        <v/>
      </c>
      <c r="AV80" s="13" t="str">
        <f aca="false">IF(AE80=0,"",IF(OR(AG80&lt;2,AI80&gt;PFYDate),AU80,IF((AI80-1)&lt;AF80,-1,12*(YEAR((AI80-1))-YEAR(AF80))+MONTH((AI80-1))-MONTH(AF80)-IF(DAY((AI80-1))&lt;MIN(DAY(AF80),DAY(EOMONTH((AI80-1),0))),1,0))))</f>
        <v/>
      </c>
      <c r="AW80" s="13" t="str">
        <f aca="false">IF(AE80=0,"",IF(OR(AG80&lt;3,AJ80&gt;PFYDate),AU80,IF((AJ80-1)&lt;AF80,-1,12*(YEAR((AJ80-1))-YEAR(AF80))+MONTH((AJ80-1))-MONTH(AF80)-IF(DAY((AJ80-1))&lt;MIN(DAY(AF80),DAY(EOMONTH((AJ80-1),0))),1,0))))</f>
        <v/>
      </c>
      <c r="AX80" s="13"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3"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3" t="str">
        <f aca="false">IF(AE80=0,"",IF(AQ80="FT",IF(AR80&lt;FT_First,FT_First,IF(AR80&lt;FT_Y5,MIN(FT_Y5,FT_First+FT_Int1*(INT((AR80-FT_First)/FT_Int1)+1)),FT_Y5+12*INT((AR80-FT_Y5)/12)+FT_Int2*(INT(MOD(AR80-FT_Y5,12)/FT_Int2)+1))),IF(AQ80="PT",IF(AR80&lt;PT_First,PT_First,PT_First+PT_Int*(INT((AR80-PT_First)/PT_Int)+1)),"")))</f>
        <v/>
      </c>
      <c r="BA80" s="13" t="str">
        <f aca="false">IF(AE80=0,"",IF(NOT(LH_Ready),0,COUNTIFS(INDEX(LH_Data,0,LH_ColFirst),$A80,INDEX(LH_Data,0,LH_ColSur),$B80,INDEX(LH_Data,0,LH_ColCat),BonusCat)))</f>
        <v/>
      </c>
      <c r="BB80" s="13" t="str">
        <f aca="false">IF(AE80=0,"",IF(OR(NOT(LH_Ready),BA80=0),0,SUMPRODUCT(MAX((INDEX(LH_Data,0,LH_ColFirst)=$A80)*(INDEX(LH_Data,0,LH_ColSur)=$B80)*(INDEX(LH_Data,0,LH_ColCat)=BonusCat)*ROW(LH_Data)))))</f>
        <v/>
      </c>
      <c r="BC80" s="0" t="str">
        <f aca="false">IF(LEN($A80&amp;$B80)=0,"",$A80&amp;" "&amp;$B80)</f>
        <v/>
      </c>
    </row>
    <row r="81" customFormat="false" ht="15" hidden="false" customHeight="false" outlineLevel="0" collapsed="false">
      <c r="A81" s="9"/>
      <c r="B81" s="9"/>
      <c r="C81" s="9"/>
      <c r="D81" s="10"/>
      <c r="E81" s="11" t="str">
        <f aca="false">IF(OR(AE81=0,$D81=""),"",DATE(YEAR(AsOfDate)+IF(DATE(YEAR(AsOfDate),MONTH($D81),DAY($D81))&lt;=AsOfDate,1,0),MONTH($D81),DAY($D81)))</f>
        <v/>
      </c>
      <c r="F81" s="10"/>
      <c r="G81" s="10"/>
      <c r="H81" s="10"/>
      <c r="I81" s="10"/>
      <c r="J81" s="10"/>
      <c r="K81" s="11" t="str">
        <f aca="false">IF(AE81=0,"",DATE(YEAR(AsOfDate)+IF(DATE(YEAR(AsOfDate),MONTH(AF81),DAY(AF81))&lt;=AsOfDate,1,0),MONTH(AF81),DAY(AF81)))</f>
        <v/>
      </c>
      <c r="L81" s="12" t="str">
        <f aca="false">IF(AE81=0,"",ROUND((AsOfDate-AF81)/365.25,1))</f>
        <v/>
      </c>
      <c r="M81" s="13" t="str">
        <f aca="false">IF(AE81=0,"",IF(AsOfDate&lt;AF81,"-",DATEDIF(AF81,AsOfDate,"y")&amp;"y "&amp;DATEDIF(AF81,AsOfDate,"ym")&amp;"m "&amp;DATEDIF(AF81,AsOfDate,"md")&amp;"d"))</f>
        <v/>
      </c>
      <c r="N81" s="14" t="str">
        <f aca="false">IF(AE81=0,"",O81*HoursPerDay)</f>
        <v/>
      </c>
      <c r="O81" s="14" t="str">
        <f aca="false">IF(AE81=0,"",AX81)</f>
        <v/>
      </c>
      <c r="P81" s="15"/>
      <c r="Q81" s="13"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13"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1" t="str">
        <f aca="false">IF(AE81=0,"",IF(AQ81="None","",EDATE(AF81,AZ81)))</f>
        <v/>
      </c>
      <c r="T81" s="14" t="str">
        <f aca="false">IF(AE81=0,"",IF(NOT(LH_Ready),"",IF(AF81&gt;PFYDate,0,IF(LH_ColPeriod=0,W81-U81+V81,SUMIFS(INDEX(LH_Data,0,LH_ColAcc),INDEX(LH_Data,0,LH_ColFirst),$A81,INDEX(LH_Data,0,LH_ColSur),$B81,INDEX(LH_Data,0,LH_ColCat),BonusCat,INDEX(LH_Data,0,LH_ColPeriod),LH_OpenLabel)*UnitFactor))))</f>
        <v/>
      </c>
      <c r="U81" s="14" t="str">
        <f aca="false">IF(AE81=0,"",IF(NOT(LH_Ready),"",SUMIFS(INDEX(LH_Data,0,LH_ColAcc),INDEX(LH_Data,0,LH_ColFirst),$A81,INDEX(LH_Data,0,LH_ColSur),$B81,INDEX(LH_Data,0,LH_ColCat),BonusCat,INDEX(LH_Data,0,LH_ColStart),"&gt;="&amp;AF81)*UnitFactor))</f>
        <v/>
      </c>
      <c r="V81" s="14" t="str">
        <f aca="false">IF(AE81=0,"",IF(NOT(LH_Ready),"",SUMIFS(INDEX(LH_Data,0,LH_ColTaken),INDEX(LH_Data,0,LH_ColFirst),$A81,INDEX(LH_Data,0,LH_ColSur),$B81,INDEX(LH_Data,0,LH_ColCat),BonusCat,INDEX(LH_Data,0,LH_ColStart),"&gt;="&amp;AF81)*UnitFactor))</f>
        <v/>
      </c>
      <c r="W81" s="14" t="str">
        <f aca="false">IF(AE81=0,"",IF(NOT(LH_Ready),"",IF(BB81=0,0,INDEX(INDEX(LH_Data,0,LH_ColClose),BB81-1)*UnitFactor)))</f>
        <v/>
      </c>
      <c r="X81" s="14" t="str">
        <f aca="false">IF(AE81=0,"",(AX81-AY81)*HoursPerDay)</f>
        <v/>
      </c>
      <c r="Y81" s="14" t="str">
        <f aca="false">IF(AE81=0,"",IF(NOT(LH_Ready),"",IF(BA81=0,N81,IF(PFYDate&lt;$F81,N81-N(T81)-N(U81),X81-N(U81)))))</f>
        <v/>
      </c>
      <c r="Z81" s="13" t="str">
        <f aca="false">IF(OR(AE81=0,Y81=""),"",IF(Y81&gt;0,"Yes","No"))</f>
        <v/>
      </c>
      <c r="AA81" s="13"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 hrs more than policy since commencement",IF(N(W81)&gt;O81*HoursPerDay+0.01,"CHECK - EH balance "&amp;ROUND(W81-O81*HoursPerDay,2)&amp;" hrs more than policy entitlement",IF(O81&gt;0,"OK - nothing to add",IF(AQ81="None",R81,"Not yet - first day on "&amp;TEXT(S81,"dd/mm/yyyy")))))))))</f>
        <v/>
      </c>
      <c r="AB81" s="14" t="str">
        <f aca="false">IF(OR(AE81=0,T81=""),"",AY81*HoursPerDay-T81)</f>
        <v/>
      </c>
      <c r="AC81" s="13" t="str">
        <f aca="false">IF(AE81=0,"",BA81)</f>
        <v/>
      </c>
      <c r="AD81" s="13"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3" t="n">
        <f aca="false">IF(OR(LEN($A81&amp;$B81)=0,$F81=""),0,1)</f>
        <v>0</v>
      </c>
      <c r="AF81" s="11" t="str">
        <f aca="false">IF(AE81=0,"",IF($J81&lt;&gt;"",$J81,IF(OR(CasualCounts="Yes",COUNT($G81:$I81)=0,COUNT($G81:$H81)=0),$F81,MIN($G81:$H81))))</f>
        <v/>
      </c>
      <c r="AG81" s="13" t="str">
        <f aca="false">IF(AE81=0,"",COUNT($G81:$I81))</f>
        <v/>
      </c>
      <c r="AH81" s="11" t="str">
        <f aca="false">IF(AE81=0,"",IFERROR(SMALL($G81:$I81,1),""))</f>
        <v/>
      </c>
      <c r="AI81" s="11" t="str">
        <f aca="false">IF(AE81=0,"",IFERROR(SMALL($G81:$I81,2),""))</f>
        <v/>
      </c>
      <c r="AJ81" s="11" t="str">
        <f aca="false">IF(AE81=0,"",IFERROR(SMALL($G81:$I81,3),""))</f>
        <v/>
      </c>
      <c r="AK81" s="13" t="str">
        <f aca="false">IF(AE81=0,"",IF(AH81="","",IF(AH81=$G81,"Part-Time",IF(AH81=$H81,"Full-Time","Casual"))))</f>
        <v/>
      </c>
      <c r="AL81" s="13" t="str">
        <f aca="false">IF(AE81=0,"",IF(AI81="","",IF(AI81=$G81,"Part-Time",IF(AI81=$H81,"Full-Time","Casual"))))</f>
        <v/>
      </c>
      <c r="AM81" s="13" t="str">
        <f aca="false">IF(AE81=0,"",IF(AJ81="","",IF(AJ81=$G81,"Part-Time",IF(AJ81=$H81,"Full-Time","Casual"))))</f>
        <v/>
      </c>
      <c r="AN81" s="13"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3" t="str">
        <f aca="false">IF(AE81=0,"",IF(AG81&lt;2,"",IF(OR(ISNUMBER(SEARCH("full",AL81)),UPPER(TRIM(AL81))="FT",UPPER(TRIM(AL81))="FTE"),"FT",IF(AND(OR(ISNUMBER(SEARCH("part",AL81)),UPPER(TRIM(AL81))="PT",UPPER(TRIM(AL81))="PTE"),OR($P81="",N($P81)&gt;=PT_MinHours)),"PT","None"))))</f>
        <v/>
      </c>
      <c r="AP81" s="13" t="str">
        <f aca="false">IF(AE81=0,"",IF(AG81&lt;3,"",IF(OR(ISNUMBER(SEARCH("full",AM81)),UPPER(TRIM(AM81))="FT",UPPER(TRIM(AM81))="FTE"),"FT",IF(AND(OR(ISNUMBER(SEARCH("part",AM81)),UPPER(TRIM(AM81))="PT",UPPER(TRIM(AM81))="PTE"),OR($P81="",N($P81)&gt;=PT_MinHours)),"PT","None"))))</f>
        <v/>
      </c>
      <c r="AQ81" s="13" t="str">
        <f aca="false">IF(AE81=0,"",IF(AND(AG81&gt;=3,AJ81&lt;=AsOfDate),AP81,IF(AND(AG81&gt;=2,AI81&lt;=AsOfDate),AO81,AN81)))</f>
        <v/>
      </c>
      <c r="AR81" s="13" t="str">
        <f aca="false">IF(AE81=0,"",IF(AsOfDate&lt;AF81,-1,12*(YEAR(AsOfDate)-YEAR(AF81))+MONTH(AsOfDate)-MONTH(AF81)-IF(DAY(AsOfDate)&lt;MIN(DAY(AF81),DAY(EOMONTH(AsOfDate,0))),1,0)))</f>
        <v/>
      </c>
      <c r="AS81" s="13" t="str">
        <f aca="false">IF(AE81=0,"",IF(OR(AG81&lt;2,AI81&gt;AsOfDate),AR81,IF((AI81-1)&lt;AF81,-1,12*(YEAR((AI81-1))-YEAR(AF81))+MONTH((AI81-1))-MONTH(AF81)-IF(DAY((AI81-1))&lt;MIN(DAY(AF81),DAY(EOMONTH((AI81-1),0))),1,0))))</f>
        <v/>
      </c>
      <c r="AT81" s="13" t="str">
        <f aca="false">IF(AE81=0,"",IF(OR(AG81&lt;3,AJ81&gt;AsOfDate),AR81,IF((AJ81-1)&lt;AF81,-1,12*(YEAR((AJ81-1))-YEAR(AF81))+MONTH((AJ81-1))-MONTH(AF81)-IF(DAY((AJ81-1))&lt;MIN(DAY(AF81),DAY(EOMONTH((AJ81-1),0))),1,0))))</f>
        <v/>
      </c>
      <c r="AU81" s="13" t="str">
        <f aca="false">IF(AE81=0,"",IF(PFYDate&lt;AF81,-1,12*(YEAR(PFYDate)-YEAR(AF81))+MONTH(PFYDate)-MONTH(AF81)-IF(DAY(PFYDate)&lt;MIN(DAY(AF81),DAY(EOMONTH(PFYDate,0))),1,0)))</f>
        <v/>
      </c>
      <c r="AV81" s="13" t="str">
        <f aca="false">IF(AE81=0,"",IF(OR(AG81&lt;2,AI81&gt;PFYDate),AU81,IF((AI81-1)&lt;AF81,-1,12*(YEAR((AI81-1))-YEAR(AF81))+MONTH((AI81-1))-MONTH(AF81)-IF(DAY((AI81-1))&lt;MIN(DAY(AF81),DAY(EOMONTH((AI81-1),0))),1,0))))</f>
        <v/>
      </c>
      <c r="AW81" s="13" t="str">
        <f aca="false">IF(AE81=0,"",IF(OR(AG81&lt;3,AJ81&gt;PFYDate),AU81,IF((AJ81-1)&lt;AF81,-1,12*(YEAR((AJ81-1))-YEAR(AF81))+MONTH((AJ81-1))-MONTH(AF81)-IF(DAY((AJ81-1))&lt;MIN(DAY(AF81),DAY(EOMONTH((AJ81-1),0))),1,0))))</f>
        <v/>
      </c>
      <c r="AX81" s="13"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3"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3" t="str">
        <f aca="false">IF(AE81=0,"",IF(AQ81="FT",IF(AR81&lt;FT_First,FT_First,IF(AR81&lt;FT_Y5,MIN(FT_Y5,FT_First+FT_Int1*(INT((AR81-FT_First)/FT_Int1)+1)),FT_Y5+12*INT((AR81-FT_Y5)/12)+FT_Int2*(INT(MOD(AR81-FT_Y5,12)/FT_Int2)+1))),IF(AQ81="PT",IF(AR81&lt;PT_First,PT_First,PT_First+PT_Int*(INT((AR81-PT_First)/PT_Int)+1)),"")))</f>
        <v/>
      </c>
      <c r="BA81" s="13" t="str">
        <f aca="false">IF(AE81=0,"",IF(NOT(LH_Ready),0,COUNTIFS(INDEX(LH_Data,0,LH_ColFirst),$A81,INDEX(LH_Data,0,LH_ColSur),$B81,INDEX(LH_Data,0,LH_ColCat),BonusCat)))</f>
        <v/>
      </c>
      <c r="BB81" s="13" t="str">
        <f aca="false">IF(AE81=0,"",IF(OR(NOT(LH_Ready),BA81=0),0,SUMPRODUCT(MAX((INDEX(LH_Data,0,LH_ColFirst)=$A81)*(INDEX(LH_Data,0,LH_ColSur)=$B81)*(INDEX(LH_Data,0,LH_ColCat)=BonusCat)*ROW(LH_Data)))))</f>
        <v/>
      </c>
      <c r="BC81" s="0" t="str">
        <f aca="false">IF(LEN($A81&amp;$B81)=0,"",$A81&amp;" "&amp;$B81)</f>
        <v/>
      </c>
    </row>
    <row r="82" customFormat="false" ht="15" hidden="false" customHeight="false" outlineLevel="0" collapsed="false">
      <c r="A82" s="9"/>
      <c r="B82" s="9"/>
      <c r="C82" s="9"/>
      <c r="D82" s="10"/>
      <c r="E82" s="11" t="str">
        <f aca="false">IF(OR(AE82=0,$D82=""),"",DATE(YEAR(AsOfDate)+IF(DATE(YEAR(AsOfDate),MONTH($D82),DAY($D82))&lt;=AsOfDate,1,0),MONTH($D82),DAY($D82)))</f>
        <v/>
      </c>
      <c r="F82" s="10"/>
      <c r="G82" s="10"/>
      <c r="H82" s="10"/>
      <c r="I82" s="10"/>
      <c r="J82" s="10"/>
      <c r="K82" s="11" t="str">
        <f aca="false">IF(AE82=0,"",DATE(YEAR(AsOfDate)+IF(DATE(YEAR(AsOfDate),MONTH(AF82),DAY(AF82))&lt;=AsOfDate,1,0),MONTH(AF82),DAY(AF82)))</f>
        <v/>
      </c>
      <c r="L82" s="12" t="str">
        <f aca="false">IF(AE82=0,"",ROUND((AsOfDate-AF82)/365.25,1))</f>
        <v/>
      </c>
      <c r="M82" s="13" t="str">
        <f aca="false">IF(AE82=0,"",IF(AsOfDate&lt;AF82,"-",DATEDIF(AF82,AsOfDate,"y")&amp;"y "&amp;DATEDIF(AF82,AsOfDate,"ym")&amp;"m "&amp;DATEDIF(AF82,AsOfDate,"md")&amp;"d"))</f>
        <v/>
      </c>
      <c r="N82" s="14" t="str">
        <f aca="false">IF(AE82=0,"",O82*HoursPerDay)</f>
        <v/>
      </c>
      <c r="O82" s="14" t="str">
        <f aca="false">IF(AE82=0,"",AX82)</f>
        <v/>
      </c>
      <c r="P82" s="15"/>
      <c r="Q82" s="13"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13"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1" t="str">
        <f aca="false">IF(AE82=0,"",IF(AQ82="None","",EDATE(AF82,AZ82)))</f>
        <v/>
      </c>
      <c r="T82" s="14" t="str">
        <f aca="false">IF(AE82=0,"",IF(NOT(LH_Ready),"",IF(AF82&gt;PFYDate,0,IF(LH_ColPeriod=0,W82-U82+V82,SUMIFS(INDEX(LH_Data,0,LH_ColAcc),INDEX(LH_Data,0,LH_ColFirst),$A82,INDEX(LH_Data,0,LH_ColSur),$B82,INDEX(LH_Data,0,LH_ColCat),BonusCat,INDEX(LH_Data,0,LH_ColPeriod),LH_OpenLabel)*UnitFactor))))</f>
        <v/>
      </c>
      <c r="U82" s="14" t="str">
        <f aca="false">IF(AE82=0,"",IF(NOT(LH_Ready),"",SUMIFS(INDEX(LH_Data,0,LH_ColAcc),INDEX(LH_Data,0,LH_ColFirst),$A82,INDEX(LH_Data,0,LH_ColSur),$B82,INDEX(LH_Data,0,LH_ColCat),BonusCat,INDEX(LH_Data,0,LH_ColStart),"&gt;="&amp;AF82)*UnitFactor))</f>
        <v/>
      </c>
      <c r="V82" s="14" t="str">
        <f aca="false">IF(AE82=0,"",IF(NOT(LH_Ready),"",SUMIFS(INDEX(LH_Data,0,LH_ColTaken),INDEX(LH_Data,0,LH_ColFirst),$A82,INDEX(LH_Data,0,LH_ColSur),$B82,INDEX(LH_Data,0,LH_ColCat),BonusCat,INDEX(LH_Data,0,LH_ColStart),"&gt;="&amp;AF82)*UnitFactor))</f>
        <v/>
      </c>
      <c r="W82" s="14" t="str">
        <f aca="false">IF(AE82=0,"",IF(NOT(LH_Ready),"",IF(BB82=0,0,INDEX(INDEX(LH_Data,0,LH_ColClose),BB82-1)*UnitFactor)))</f>
        <v/>
      </c>
      <c r="X82" s="14" t="str">
        <f aca="false">IF(AE82=0,"",(AX82-AY82)*HoursPerDay)</f>
        <v/>
      </c>
      <c r="Y82" s="14" t="str">
        <f aca="false">IF(AE82=0,"",IF(NOT(LH_Ready),"",IF(BA82=0,N82,IF(PFYDate&lt;$F82,N82-N(T82)-N(U82),X82-N(U82)))))</f>
        <v/>
      </c>
      <c r="Z82" s="13" t="str">
        <f aca="false">IF(OR(AE82=0,Y82=""),"",IF(Y82&gt;0,"Yes","No"))</f>
        <v/>
      </c>
      <c r="AA82" s="13"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 hrs more than policy since commencement",IF(N(W82)&gt;O82*HoursPerDay+0.01,"CHECK - EH balance "&amp;ROUND(W82-O82*HoursPerDay,2)&amp;" hrs more than policy entitlement",IF(O82&gt;0,"OK - nothing to add",IF(AQ82="None",R82,"Not yet - first day on "&amp;TEXT(S82,"dd/mm/yyyy")))))))))</f>
        <v/>
      </c>
      <c r="AB82" s="14" t="str">
        <f aca="false">IF(OR(AE82=0,T82=""),"",AY82*HoursPerDay-T82)</f>
        <v/>
      </c>
      <c r="AC82" s="13" t="str">
        <f aca="false">IF(AE82=0,"",BA82)</f>
        <v/>
      </c>
      <c r="AD82" s="13"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3" t="n">
        <f aca="false">IF(OR(LEN($A82&amp;$B82)=0,$F82=""),0,1)</f>
        <v>0</v>
      </c>
      <c r="AF82" s="11" t="str">
        <f aca="false">IF(AE82=0,"",IF($J82&lt;&gt;"",$J82,IF(OR(CasualCounts="Yes",COUNT($G82:$I82)=0,COUNT($G82:$H82)=0),$F82,MIN($G82:$H82))))</f>
        <v/>
      </c>
      <c r="AG82" s="13" t="str">
        <f aca="false">IF(AE82=0,"",COUNT($G82:$I82))</f>
        <v/>
      </c>
      <c r="AH82" s="11" t="str">
        <f aca="false">IF(AE82=0,"",IFERROR(SMALL($G82:$I82,1),""))</f>
        <v/>
      </c>
      <c r="AI82" s="11" t="str">
        <f aca="false">IF(AE82=0,"",IFERROR(SMALL($G82:$I82,2),""))</f>
        <v/>
      </c>
      <c r="AJ82" s="11" t="str">
        <f aca="false">IF(AE82=0,"",IFERROR(SMALL($G82:$I82,3),""))</f>
        <v/>
      </c>
      <c r="AK82" s="13" t="str">
        <f aca="false">IF(AE82=0,"",IF(AH82="","",IF(AH82=$G82,"Part-Time",IF(AH82=$H82,"Full-Time","Casual"))))</f>
        <v/>
      </c>
      <c r="AL82" s="13" t="str">
        <f aca="false">IF(AE82=0,"",IF(AI82="","",IF(AI82=$G82,"Part-Time",IF(AI82=$H82,"Full-Time","Casual"))))</f>
        <v/>
      </c>
      <c r="AM82" s="13" t="str">
        <f aca="false">IF(AE82=0,"",IF(AJ82="","",IF(AJ82=$G82,"Part-Time",IF(AJ82=$H82,"Full-Time","Casual"))))</f>
        <v/>
      </c>
      <c r="AN82" s="13"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3" t="str">
        <f aca="false">IF(AE82=0,"",IF(AG82&lt;2,"",IF(OR(ISNUMBER(SEARCH("full",AL82)),UPPER(TRIM(AL82))="FT",UPPER(TRIM(AL82))="FTE"),"FT",IF(AND(OR(ISNUMBER(SEARCH("part",AL82)),UPPER(TRIM(AL82))="PT",UPPER(TRIM(AL82))="PTE"),OR($P82="",N($P82)&gt;=PT_MinHours)),"PT","None"))))</f>
        <v/>
      </c>
      <c r="AP82" s="13" t="str">
        <f aca="false">IF(AE82=0,"",IF(AG82&lt;3,"",IF(OR(ISNUMBER(SEARCH("full",AM82)),UPPER(TRIM(AM82))="FT",UPPER(TRIM(AM82))="FTE"),"FT",IF(AND(OR(ISNUMBER(SEARCH("part",AM82)),UPPER(TRIM(AM82))="PT",UPPER(TRIM(AM82))="PTE"),OR($P82="",N($P82)&gt;=PT_MinHours)),"PT","None"))))</f>
        <v/>
      </c>
      <c r="AQ82" s="13" t="str">
        <f aca="false">IF(AE82=0,"",IF(AND(AG82&gt;=3,AJ82&lt;=AsOfDate),AP82,IF(AND(AG82&gt;=2,AI82&lt;=AsOfDate),AO82,AN82)))</f>
        <v/>
      </c>
      <c r="AR82" s="13" t="str">
        <f aca="false">IF(AE82=0,"",IF(AsOfDate&lt;AF82,-1,12*(YEAR(AsOfDate)-YEAR(AF82))+MONTH(AsOfDate)-MONTH(AF82)-IF(DAY(AsOfDate)&lt;MIN(DAY(AF82),DAY(EOMONTH(AsOfDate,0))),1,0)))</f>
        <v/>
      </c>
      <c r="AS82" s="13" t="str">
        <f aca="false">IF(AE82=0,"",IF(OR(AG82&lt;2,AI82&gt;AsOfDate),AR82,IF((AI82-1)&lt;AF82,-1,12*(YEAR((AI82-1))-YEAR(AF82))+MONTH((AI82-1))-MONTH(AF82)-IF(DAY((AI82-1))&lt;MIN(DAY(AF82),DAY(EOMONTH((AI82-1),0))),1,0))))</f>
        <v/>
      </c>
      <c r="AT82" s="13" t="str">
        <f aca="false">IF(AE82=0,"",IF(OR(AG82&lt;3,AJ82&gt;AsOfDate),AR82,IF((AJ82-1)&lt;AF82,-1,12*(YEAR((AJ82-1))-YEAR(AF82))+MONTH((AJ82-1))-MONTH(AF82)-IF(DAY((AJ82-1))&lt;MIN(DAY(AF82),DAY(EOMONTH((AJ82-1),0))),1,0))))</f>
        <v/>
      </c>
      <c r="AU82" s="13" t="str">
        <f aca="false">IF(AE82=0,"",IF(PFYDate&lt;AF82,-1,12*(YEAR(PFYDate)-YEAR(AF82))+MONTH(PFYDate)-MONTH(AF82)-IF(DAY(PFYDate)&lt;MIN(DAY(AF82),DAY(EOMONTH(PFYDate,0))),1,0)))</f>
        <v/>
      </c>
      <c r="AV82" s="13" t="str">
        <f aca="false">IF(AE82=0,"",IF(OR(AG82&lt;2,AI82&gt;PFYDate),AU82,IF((AI82-1)&lt;AF82,-1,12*(YEAR((AI82-1))-YEAR(AF82))+MONTH((AI82-1))-MONTH(AF82)-IF(DAY((AI82-1))&lt;MIN(DAY(AF82),DAY(EOMONTH((AI82-1),0))),1,0))))</f>
        <v/>
      </c>
      <c r="AW82" s="13" t="str">
        <f aca="false">IF(AE82=0,"",IF(OR(AG82&lt;3,AJ82&gt;PFYDate),AU82,IF((AJ82-1)&lt;AF82,-1,12*(YEAR((AJ82-1))-YEAR(AF82))+MONTH((AJ82-1))-MONTH(AF82)-IF(DAY((AJ82-1))&lt;MIN(DAY(AF82),DAY(EOMONTH((AJ82-1),0))),1,0))))</f>
        <v/>
      </c>
      <c r="AX82" s="13"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3"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3" t="str">
        <f aca="false">IF(AE82=0,"",IF(AQ82="FT",IF(AR82&lt;FT_First,FT_First,IF(AR82&lt;FT_Y5,MIN(FT_Y5,FT_First+FT_Int1*(INT((AR82-FT_First)/FT_Int1)+1)),FT_Y5+12*INT((AR82-FT_Y5)/12)+FT_Int2*(INT(MOD(AR82-FT_Y5,12)/FT_Int2)+1))),IF(AQ82="PT",IF(AR82&lt;PT_First,PT_First,PT_First+PT_Int*(INT((AR82-PT_First)/PT_Int)+1)),"")))</f>
        <v/>
      </c>
      <c r="BA82" s="13" t="str">
        <f aca="false">IF(AE82=0,"",IF(NOT(LH_Ready),0,COUNTIFS(INDEX(LH_Data,0,LH_ColFirst),$A82,INDEX(LH_Data,0,LH_ColSur),$B82,INDEX(LH_Data,0,LH_ColCat),BonusCat)))</f>
        <v/>
      </c>
      <c r="BB82" s="13" t="str">
        <f aca="false">IF(AE82=0,"",IF(OR(NOT(LH_Ready),BA82=0),0,SUMPRODUCT(MAX((INDEX(LH_Data,0,LH_ColFirst)=$A82)*(INDEX(LH_Data,0,LH_ColSur)=$B82)*(INDEX(LH_Data,0,LH_ColCat)=BonusCat)*ROW(LH_Data)))))</f>
        <v/>
      </c>
      <c r="BC82" s="0" t="str">
        <f aca="false">IF(LEN($A82&amp;$B82)=0,"",$A82&amp;" "&amp;$B82)</f>
        <v/>
      </c>
    </row>
    <row r="83" customFormat="false" ht="15" hidden="false" customHeight="false" outlineLevel="0" collapsed="false">
      <c r="A83" s="9"/>
      <c r="B83" s="9"/>
      <c r="C83" s="9"/>
      <c r="D83" s="10"/>
      <c r="E83" s="11" t="str">
        <f aca="false">IF(OR(AE83=0,$D83=""),"",DATE(YEAR(AsOfDate)+IF(DATE(YEAR(AsOfDate),MONTH($D83),DAY($D83))&lt;=AsOfDate,1,0),MONTH($D83),DAY($D83)))</f>
        <v/>
      </c>
      <c r="F83" s="10"/>
      <c r="G83" s="10"/>
      <c r="H83" s="10"/>
      <c r="I83" s="10"/>
      <c r="J83" s="10"/>
      <c r="K83" s="11" t="str">
        <f aca="false">IF(AE83=0,"",DATE(YEAR(AsOfDate)+IF(DATE(YEAR(AsOfDate),MONTH(AF83),DAY(AF83))&lt;=AsOfDate,1,0),MONTH(AF83),DAY(AF83)))</f>
        <v/>
      </c>
      <c r="L83" s="12" t="str">
        <f aca="false">IF(AE83=0,"",ROUND((AsOfDate-AF83)/365.25,1))</f>
        <v/>
      </c>
      <c r="M83" s="13" t="str">
        <f aca="false">IF(AE83=0,"",IF(AsOfDate&lt;AF83,"-",DATEDIF(AF83,AsOfDate,"y")&amp;"y "&amp;DATEDIF(AF83,AsOfDate,"ym")&amp;"m "&amp;DATEDIF(AF83,AsOfDate,"md")&amp;"d"))</f>
        <v/>
      </c>
      <c r="N83" s="14" t="str">
        <f aca="false">IF(AE83=0,"",O83*HoursPerDay)</f>
        <v/>
      </c>
      <c r="O83" s="14" t="str">
        <f aca="false">IF(AE83=0,"",AX83)</f>
        <v/>
      </c>
      <c r="P83" s="15"/>
      <c r="Q83" s="13"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13"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1" t="str">
        <f aca="false">IF(AE83=0,"",IF(AQ83="None","",EDATE(AF83,AZ83)))</f>
        <v/>
      </c>
      <c r="T83" s="14" t="str">
        <f aca="false">IF(AE83=0,"",IF(NOT(LH_Ready),"",IF(AF83&gt;PFYDate,0,IF(LH_ColPeriod=0,W83-U83+V83,SUMIFS(INDEX(LH_Data,0,LH_ColAcc),INDEX(LH_Data,0,LH_ColFirst),$A83,INDEX(LH_Data,0,LH_ColSur),$B83,INDEX(LH_Data,0,LH_ColCat),BonusCat,INDEX(LH_Data,0,LH_ColPeriod),LH_OpenLabel)*UnitFactor))))</f>
        <v/>
      </c>
      <c r="U83" s="14" t="str">
        <f aca="false">IF(AE83=0,"",IF(NOT(LH_Ready),"",SUMIFS(INDEX(LH_Data,0,LH_ColAcc),INDEX(LH_Data,0,LH_ColFirst),$A83,INDEX(LH_Data,0,LH_ColSur),$B83,INDEX(LH_Data,0,LH_ColCat),BonusCat,INDEX(LH_Data,0,LH_ColStart),"&gt;="&amp;AF83)*UnitFactor))</f>
        <v/>
      </c>
      <c r="V83" s="14" t="str">
        <f aca="false">IF(AE83=0,"",IF(NOT(LH_Ready),"",SUMIFS(INDEX(LH_Data,0,LH_ColTaken),INDEX(LH_Data,0,LH_ColFirst),$A83,INDEX(LH_Data,0,LH_ColSur),$B83,INDEX(LH_Data,0,LH_ColCat),BonusCat,INDEX(LH_Data,0,LH_ColStart),"&gt;="&amp;AF83)*UnitFactor))</f>
        <v/>
      </c>
      <c r="W83" s="14" t="str">
        <f aca="false">IF(AE83=0,"",IF(NOT(LH_Ready),"",IF(BB83=0,0,INDEX(INDEX(LH_Data,0,LH_ColClose),BB83-1)*UnitFactor)))</f>
        <v/>
      </c>
      <c r="X83" s="14" t="str">
        <f aca="false">IF(AE83=0,"",(AX83-AY83)*HoursPerDay)</f>
        <v/>
      </c>
      <c r="Y83" s="14" t="str">
        <f aca="false">IF(AE83=0,"",IF(NOT(LH_Ready),"",IF(BA83=0,N83,IF(PFYDate&lt;$F83,N83-N(T83)-N(U83),X83-N(U83)))))</f>
        <v/>
      </c>
      <c r="Z83" s="13" t="str">
        <f aca="false">IF(OR(AE83=0,Y83=""),"",IF(Y83&gt;0,"Yes","No"))</f>
        <v/>
      </c>
      <c r="AA83" s="13"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 hrs more than policy since commencement",IF(N(W83)&gt;O83*HoursPerDay+0.01,"CHECK - EH balance "&amp;ROUND(W83-O83*HoursPerDay,2)&amp;" hrs more than policy entitlement",IF(O83&gt;0,"OK - nothing to add",IF(AQ83="None",R83,"Not yet - first day on "&amp;TEXT(S83,"dd/mm/yyyy")))))))))</f>
        <v/>
      </c>
      <c r="AB83" s="14" t="str">
        <f aca="false">IF(OR(AE83=0,T83=""),"",AY83*HoursPerDay-T83)</f>
        <v/>
      </c>
      <c r="AC83" s="13" t="str">
        <f aca="false">IF(AE83=0,"",BA83)</f>
        <v/>
      </c>
      <c r="AD83" s="13"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3" t="n">
        <f aca="false">IF(OR(LEN($A83&amp;$B83)=0,$F83=""),0,1)</f>
        <v>0</v>
      </c>
      <c r="AF83" s="11" t="str">
        <f aca="false">IF(AE83=0,"",IF($J83&lt;&gt;"",$J83,IF(OR(CasualCounts="Yes",COUNT($G83:$I83)=0,COUNT($G83:$H83)=0),$F83,MIN($G83:$H83))))</f>
        <v/>
      </c>
      <c r="AG83" s="13" t="str">
        <f aca="false">IF(AE83=0,"",COUNT($G83:$I83))</f>
        <v/>
      </c>
      <c r="AH83" s="11" t="str">
        <f aca="false">IF(AE83=0,"",IFERROR(SMALL($G83:$I83,1),""))</f>
        <v/>
      </c>
      <c r="AI83" s="11" t="str">
        <f aca="false">IF(AE83=0,"",IFERROR(SMALL($G83:$I83,2),""))</f>
        <v/>
      </c>
      <c r="AJ83" s="11" t="str">
        <f aca="false">IF(AE83=0,"",IFERROR(SMALL($G83:$I83,3),""))</f>
        <v/>
      </c>
      <c r="AK83" s="13" t="str">
        <f aca="false">IF(AE83=0,"",IF(AH83="","",IF(AH83=$G83,"Part-Time",IF(AH83=$H83,"Full-Time","Casual"))))</f>
        <v/>
      </c>
      <c r="AL83" s="13" t="str">
        <f aca="false">IF(AE83=0,"",IF(AI83="","",IF(AI83=$G83,"Part-Time",IF(AI83=$H83,"Full-Time","Casual"))))</f>
        <v/>
      </c>
      <c r="AM83" s="13" t="str">
        <f aca="false">IF(AE83=0,"",IF(AJ83="","",IF(AJ83=$G83,"Part-Time",IF(AJ83=$H83,"Full-Time","Casual"))))</f>
        <v/>
      </c>
      <c r="AN83" s="13"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3" t="str">
        <f aca="false">IF(AE83=0,"",IF(AG83&lt;2,"",IF(OR(ISNUMBER(SEARCH("full",AL83)),UPPER(TRIM(AL83))="FT",UPPER(TRIM(AL83))="FTE"),"FT",IF(AND(OR(ISNUMBER(SEARCH("part",AL83)),UPPER(TRIM(AL83))="PT",UPPER(TRIM(AL83))="PTE"),OR($P83="",N($P83)&gt;=PT_MinHours)),"PT","None"))))</f>
        <v/>
      </c>
      <c r="AP83" s="13" t="str">
        <f aca="false">IF(AE83=0,"",IF(AG83&lt;3,"",IF(OR(ISNUMBER(SEARCH("full",AM83)),UPPER(TRIM(AM83))="FT",UPPER(TRIM(AM83))="FTE"),"FT",IF(AND(OR(ISNUMBER(SEARCH("part",AM83)),UPPER(TRIM(AM83))="PT",UPPER(TRIM(AM83))="PTE"),OR($P83="",N($P83)&gt;=PT_MinHours)),"PT","None"))))</f>
        <v/>
      </c>
      <c r="AQ83" s="13" t="str">
        <f aca="false">IF(AE83=0,"",IF(AND(AG83&gt;=3,AJ83&lt;=AsOfDate),AP83,IF(AND(AG83&gt;=2,AI83&lt;=AsOfDate),AO83,AN83)))</f>
        <v/>
      </c>
      <c r="AR83" s="13" t="str">
        <f aca="false">IF(AE83=0,"",IF(AsOfDate&lt;AF83,-1,12*(YEAR(AsOfDate)-YEAR(AF83))+MONTH(AsOfDate)-MONTH(AF83)-IF(DAY(AsOfDate)&lt;MIN(DAY(AF83),DAY(EOMONTH(AsOfDate,0))),1,0)))</f>
        <v/>
      </c>
      <c r="AS83" s="13" t="str">
        <f aca="false">IF(AE83=0,"",IF(OR(AG83&lt;2,AI83&gt;AsOfDate),AR83,IF((AI83-1)&lt;AF83,-1,12*(YEAR((AI83-1))-YEAR(AF83))+MONTH((AI83-1))-MONTH(AF83)-IF(DAY((AI83-1))&lt;MIN(DAY(AF83),DAY(EOMONTH((AI83-1),0))),1,0))))</f>
        <v/>
      </c>
      <c r="AT83" s="13" t="str">
        <f aca="false">IF(AE83=0,"",IF(OR(AG83&lt;3,AJ83&gt;AsOfDate),AR83,IF((AJ83-1)&lt;AF83,-1,12*(YEAR((AJ83-1))-YEAR(AF83))+MONTH((AJ83-1))-MONTH(AF83)-IF(DAY((AJ83-1))&lt;MIN(DAY(AF83),DAY(EOMONTH((AJ83-1),0))),1,0))))</f>
        <v/>
      </c>
      <c r="AU83" s="13" t="str">
        <f aca="false">IF(AE83=0,"",IF(PFYDate&lt;AF83,-1,12*(YEAR(PFYDate)-YEAR(AF83))+MONTH(PFYDate)-MONTH(AF83)-IF(DAY(PFYDate)&lt;MIN(DAY(AF83),DAY(EOMONTH(PFYDate,0))),1,0)))</f>
        <v/>
      </c>
      <c r="AV83" s="13" t="str">
        <f aca="false">IF(AE83=0,"",IF(OR(AG83&lt;2,AI83&gt;PFYDate),AU83,IF((AI83-1)&lt;AF83,-1,12*(YEAR((AI83-1))-YEAR(AF83))+MONTH((AI83-1))-MONTH(AF83)-IF(DAY((AI83-1))&lt;MIN(DAY(AF83),DAY(EOMONTH((AI83-1),0))),1,0))))</f>
        <v/>
      </c>
      <c r="AW83" s="13" t="str">
        <f aca="false">IF(AE83=0,"",IF(OR(AG83&lt;3,AJ83&gt;PFYDate),AU83,IF((AJ83-1)&lt;AF83,-1,12*(YEAR((AJ83-1))-YEAR(AF83))+MONTH((AJ83-1))-MONTH(AF83)-IF(DAY((AJ83-1))&lt;MIN(DAY(AF83),DAY(EOMONTH((AJ83-1),0))),1,0))))</f>
        <v/>
      </c>
      <c r="AX83" s="13"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3"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3" t="str">
        <f aca="false">IF(AE83=0,"",IF(AQ83="FT",IF(AR83&lt;FT_First,FT_First,IF(AR83&lt;FT_Y5,MIN(FT_Y5,FT_First+FT_Int1*(INT((AR83-FT_First)/FT_Int1)+1)),FT_Y5+12*INT((AR83-FT_Y5)/12)+FT_Int2*(INT(MOD(AR83-FT_Y5,12)/FT_Int2)+1))),IF(AQ83="PT",IF(AR83&lt;PT_First,PT_First,PT_First+PT_Int*(INT((AR83-PT_First)/PT_Int)+1)),"")))</f>
        <v/>
      </c>
      <c r="BA83" s="13" t="str">
        <f aca="false">IF(AE83=0,"",IF(NOT(LH_Ready),0,COUNTIFS(INDEX(LH_Data,0,LH_ColFirst),$A83,INDEX(LH_Data,0,LH_ColSur),$B83,INDEX(LH_Data,0,LH_ColCat),BonusCat)))</f>
        <v/>
      </c>
      <c r="BB83" s="13" t="str">
        <f aca="false">IF(AE83=0,"",IF(OR(NOT(LH_Ready),BA83=0),0,SUMPRODUCT(MAX((INDEX(LH_Data,0,LH_ColFirst)=$A83)*(INDEX(LH_Data,0,LH_ColSur)=$B83)*(INDEX(LH_Data,0,LH_ColCat)=BonusCat)*ROW(LH_Data)))))</f>
        <v/>
      </c>
      <c r="BC83" s="0" t="str">
        <f aca="false">IF(LEN($A83&amp;$B83)=0,"",$A83&amp;" "&amp;$B83)</f>
        <v/>
      </c>
    </row>
    <row r="84" customFormat="false" ht="15" hidden="false" customHeight="false" outlineLevel="0" collapsed="false">
      <c r="A84" s="9"/>
      <c r="B84" s="9"/>
      <c r="C84" s="9"/>
      <c r="D84" s="10"/>
      <c r="E84" s="11" t="str">
        <f aca="false">IF(OR(AE84=0,$D84=""),"",DATE(YEAR(AsOfDate)+IF(DATE(YEAR(AsOfDate),MONTH($D84),DAY($D84))&lt;=AsOfDate,1,0),MONTH($D84),DAY($D84)))</f>
        <v/>
      </c>
      <c r="F84" s="10"/>
      <c r="G84" s="10"/>
      <c r="H84" s="10"/>
      <c r="I84" s="10"/>
      <c r="J84" s="10"/>
      <c r="K84" s="11" t="str">
        <f aca="false">IF(AE84=0,"",DATE(YEAR(AsOfDate)+IF(DATE(YEAR(AsOfDate),MONTH(AF84),DAY(AF84))&lt;=AsOfDate,1,0),MONTH(AF84),DAY(AF84)))</f>
        <v/>
      </c>
      <c r="L84" s="12" t="str">
        <f aca="false">IF(AE84=0,"",ROUND((AsOfDate-AF84)/365.25,1))</f>
        <v/>
      </c>
      <c r="M84" s="13" t="str">
        <f aca="false">IF(AE84=0,"",IF(AsOfDate&lt;AF84,"-",DATEDIF(AF84,AsOfDate,"y")&amp;"y "&amp;DATEDIF(AF84,AsOfDate,"ym")&amp;"m "&amp;DATEDIF(AF84,AsOfDate,"md")&amp;"d"))</f>
        <v/>
      </c>
      <c r="N84" s="14" t="str">
        <f aca="false">IF(AE84=0,"",O84*HoursPerDay)</f>
        <v/>
      </c>
      <c r="O84" s="14" t="str">
        <f aca="false">IF(AE84=0,"",AX84)</f>
        <v/>
      </c>
      <c r="P84" s="15"/>
      <c r="Q84" s="13"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13"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1" t="str">
        <f aca="false">IF(AE84=0,"",IF(AQ84="None","",EDATE(AF84,AZ84)))</f>
        <v/>
      </c>
      <c r="T84" s="14" t="str">
        <f aca="false">IF(AE84=0,"",IF(NOT(LH_Ready),"",IF(AF84&gt;PFYDate,0,IF(LH_ColPeriod=0,W84-U84+V84,SUMIFS(INDEX(LH_Data,0,LH_ColAcc),INDEX(LH_Data,0,LH_ColFirst),$A84,INDEX(LH_Data,0,LH_ColSur),$B84,INDEX(LH_Data,0,LH_ColCat),BonusCat,INDEX(LH_Data,0,LH_ColPeriod),LH_OpenLabel)*UnitFactor))))</f>
        <v/>
      </c>
      <c r="U84" s="14" t="str">
        <f aca="false">IF(AE84=0,"",IF(NOT(LH_Ready),"",SUMIFS(INDEX(LH_Data,0,LH_ColAcc),INDEX(LH_Data,0,LH_ColFirst),$A84,INDEX(LH_Data,0,LH_ColSur),$B84,INDEX(LH_Data,0,LH_ColCat),BonusCat,INDEX(LH_Data,0,LH_ColStart),"&gt;="&amp;AF84)*UnitFactor))</f>
        <v/>
      </c>
      <c r="V84" s="14" t="str">
        <f aca="false">IF(AE84=0,"",IF(NOT(LH_Ready),"",SUMIFS(INDEX(LH_Data,0,LH_ColTaken),INDEX(LH_Data,0,LH_ColFirst),$A84,INDEX(LH_Data,0,LH_ColSur),$B84,INDEX(LH_Data,0,LH_ColCat),BonusCat,INDEX(LH_Data,0,LH_ColStart),"&gt;="&amp;AF84)*UnitFactor))</f>
        <v/>
      </c>
      <c r="W84" s="14" t="str">
        <f aca="false">IF(AE84=0,"",IF(NOT(LH_Ready),"",IF(BB84=0,0,INDEX(INDEX(LH_Data,0,LH_ColClose),BB84-1)*UnitFactor)))</f>
        <v/>
      </c>
      <c r="X84" s="14" t="str">
        <f aca="false">IF(AE84=0,"",(AX84-AY84)*HoursPerDay)</f>
        <v/>
      </c>
      <c r="Y84" s="14" t="str">
        <f aca="false">IF(AE84=0,"",IF(NOT(LH_Ready),"",IF(BA84=0,N84,IF(PFYDate&lt;$F84,N84-N(T84)-N(U84),X84-N(U84)))))</f>
        <v/>
      </c>
      <c r="Z84" s="13" t="str">
        <f aca="false">IF(OR(AE84=0,Y84=""),"",IF(Y84&gt;0,"Yes","No"))</f>
        <v/>
      </c>
      <c r="AA84" s="13"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 hrs more than policy since commencement",IF(N(W84)&gt;O84*HoursPerDay+0.01,"CHECK - EH balance "&amp;ROUND(W84-O84*HoursPerDay,2)&amp;" hrs more than policy entitlement",IF(O84&gt;0,"OK - nothing to add",IF(AQ84="None",R84,"Not yet - first day on "&amp;TEXT(S84,"dd/mm/yyyy")))))))))</f>
        <v/>
      </c>
      <c r="AB84" s="14" t="str">
        <f aca="false">IF(OR(AE84=0,T84=""),"",AY84*HoursPerDay-T84)</f>
        <v/>
      </c>
      <c r="AC84" s="13" t="str">
        <f aca="false">IF(AE84=0,"",BA84)</f>
        <v/>
      </c>
      <c r="AD84" s="13"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3" t="n">
        <f aca="false">IF(OR(LEN($A84&amp;$B84)=0,$F84=""),0,1)</f>
        <v>0</v>
      </c>
      <c r="AF84" s="11" t="str">
        <f aca="false">IF(AE84=0,"",IF($J84&lt;&gt;"",$J84,IF(OR(CasualCounts="Yes",COUNT($G84:$I84)=0,COUNT($G84:$H84)=0),$F84,MIN($G84:$H84))))</f>
        <v/>
      </c>
      <c r="AG84" s="13" t="str">
        <f aca="false">IF(AE84=0,"",COUNT($G84:$I84))</f>
        <v/>
      </c>
      <c r="AH84" s="11" t="str">
        <f aca="false">IF(AE84=0,"",IFERROR(SMALL($G84:$I84,1),""))</f>
        <v/>
      </c>
      <c r="AI84" s="11" t="str">
        <f aca="false">IF(AE84=0,"",IFERROR(SMALL($G84:$I84,2),""))</f>
        <v/>
      </c>
      <c r="AJ84" s="11" t="str">
        <f aca="false">IF(AE84=0,"",IFERROR(SMALL($G84:$I84,3),""))</f>
        <v/>
      </c>
      <c r="AK84" s="13" t="str">
        <f aca="false">IF(AE84=0,"",IF(AH84="","",IF(AH84=$G84,"Part-Time",IF(AH84=$H84,"Full-Time","Casual"))))</f>
        <v/>
      </c>
      <c r="AL84" s="13" t="str">
        <f aca="false">IF(AE84=0,"",IF(AI84="","",IF(AI84=$G84,"Part-Time",IF(AI84=$H84,"Full-Time","Casual"))))</f>
        <v/>
      </c>
      <c r="AM84" s="13" t="str">
        <f aca="false">IF(AE84=0,"",IF(AJ84="","",IF(AJ84=$G84,"Part-Time",IF(AJ84=$H84,"Full-Time","Casual"))))</f>
        <v/>
      </c>
      <c r="AN84" s="13"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3" t="str">
        <f aca="false">IF(AE84=0,"",IF(AG84&lt;2,"",IF(OR(ISNUMBER(SEARCH("full",AL84)),UPPER(TRIM(AL84))="FT",UPPER(TRIM(AL84))="FTE"),"FT",IF(AND(OR(ISNUMBER(SEARCH("part",AL84)),UPPER(TRIM(AL84))="PT",UPPER(TRIM(AL84))="PTE"),OR($P84="",N($P84)&gt;=PT_MinHours)),"PT","None"))))</f>
        <v/>
      </c>
      <c r="AP84" s="13" t="str">
        <f aca="false">IF(AE84=0,"",IF(AG84&lt;3,"",IF(OR(ISNUMBER(SEARCH("full",AM84)),UPPER(TRIM(AM84))="FT",UPPER(TRIM(AM84))="FTE"),"FT",IF(AND(OR(ISNUMBER(SEARCH("part",AM84)),UPPER(TRIM(AM84))="PT",UPPER(TRIM(AM84))="PTE"),OR($P84="",N($P84)&gt;=PT_MinHours)),"PT","None"))))</f>
        <v/>
      </c>
      <c r="AQ84" s="13" t="str">
        <f aca="false">IF(AE84=0,"",IF(AND(AG84&gt;=3,AJ84&lt;=AsOfDate),AP84,IF(AND(AG84&gt;=2,AI84&lt;=AsOfDate),AO84,AN84)))</f>
        <v/>
      </c>
      <c r="AR84" s="13" t="str">
        <f aca="false">IF(AE84=0,"",IF(AsOfDate&lt;AF84,-1,12*(YEAR(AsOfDate)-YEAR(AF84))+MONTH(AsOfDate)-MONTH(AF84)-IF(DAY(AsOfDate)&lt;MIN(DAY(AF84),DAY(EOMONTH(AsOfDate,0))),1,0)))</f>
        <v/>
      </c>
      <c r="AS84" s="13" t="str">
        <f aca="false">IF(AE84=0,"",IF(OR(AG84&lt;2,AI84&gt;AsOfDate),AR84,IF((AI84-1)&lt;AF84,-1,12*(YEAR((AI84-1))-YEAR(AF84))+MONTH((AI84-1))-MONTH(AF84)-IF(DAY((AI84-1))&lt;MIN(DAY(AF84),DAY(EOMONTH((AI84-1),0))),1,0))))</f>
        <v/>
      </c>
      <c r="AT84" s="13" t="str">
        <f aca="false">IF(AE84=0,"",IF(OR(AG84&lt;3,AJ84&gt;AsOfDate),AR84,IF((AJ84-1)&lt;AF84,-1,12*(YEAR((AJ84-1))-YEAR(AF84))+MONTH((AJ84-1))-MONTH(AF84)-IF(DAY((AJ84-1))&lt;MIN(DAY(AF84),DAY(EOMONTH((AJ84-1),0))),1,0))))</f>
        <v/>
      </c>
      <c r="AU84" s="13" t="str">
        <f aca="false">IF(AE84=0,"",IF(PFYDate&lt;AF84,-1,12*(YEAR(PFYDate)-YEAR(AF84))+MONTH(PFYDate)-MONTH(AF84)-IF(DAY(PFYDate)&lt;MIN(DAY(AF84),DAY(EOMONTH(PFYDate,0))),1,0)))</f>
        <v/>
      </c>
      <c r="AV84" s="13" t="str">
        <f aca="false">IF(AE84=0,"",IF(OR(AG84&lt;2,AI84&gt;PFYDate),AU84,IF((AI84-1)&lt;AF84,-1,12*(YEAR((AI84-1))-YEAR(AF84))+MONTH((AI84-1))-MONTH(AF84)-IF(DAY((AI84-1))&lt;MIN(DAY(AF84),DAY(EOMONTH((AI84-1),0))),1,0))))</f>
        <v/>
      </c>
      <c r="AW84" s="13" t="str">
        <f aca="false">IF(AE84=0,"",IF(OR(AG84&lt;3,AJ84&gt;PFYDate),AU84,IF((AJ84-1)&lt;AF84,-1,12*(YEAR((AJ84-1))-YEAR(AF84))+MONTH((AJ84-1))-MONTH(AF84)-IF(DAY((AJ84-1))&lt;MIN(DAY(AF84),DAY(EOMONTH((AJ84-1),0))),1,0))))</f>
        <v/>
      </c>
      <c r="AX84" s="13"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3"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3" t="str">
        <f aca="false">IF(AE84=0,"",IF(AQ84="FT",IF(AR84&lt;FT_First,FT_First,IF(AR84&lt;FT_Y5,MIN(FT_Y5,FT_First+FT_Int1*(INT((AR84-FT_First)/FT_Int1)+1)),FT_Y5+12*INT((AR84-FT_Y5)/12)+FT_Int2*(INT(MOD(AR84-FT_Y5,12)/FT_Int2)+1))),IF(AQ84="PT",IF(AR84&lt;PT_First,PT_First,PT_First+PT_Int*(INT((AR84-PT_First)/PT_Int)+1)),"")))</f>
        <v/>
      </c>
      <c r="BA84" s="13" t="str">
        <f aca="false">IF(AE84=0,"",IF(NOT(LH_Ready),0,COUNTIFS(INDEX(LH_Data,0,LH_ColFirst),$A84,INDEX(LH_Data,0,LH_ColSur),$B84,INDEX(LH_Data,0,LH_ColCat),BonusCat)))</f>
        <v/>
      </c>
      <c r="BB84" s="13" t="str">
        <f aca="false">IF(AE84=0,"",IF(OR(NOT(LH_Ready),BA84=0),0,SUMPRODUCT(MAX((INDEX(LH_Data,0,LH_ColFirst)=$A84)*(INDEX(LH_Data,0,LH_ColSur)=$B84)*(INDEX(LH_Data,0,LH_ColCat)=BonusCat)*ROW(LH_Data)))))</f>
        <v/>
      </c>
      <c r="BC84" s="0" t="str">
        <f aca="false">IF(LEN($A84&amp;$B84)=0,"",$A84&amp;" "&amp;$B84)</f>
        <v/>
      </c>
    </row>
    <row r="85" customFormat="false" ht="15" hidden="false" customHeight="false" outlineLevel="0" collapsed="false">
      <c r="A85" s="9"/>
      <c r="B85" s="9"/>
      <c r="C85" s="9"/>
      <c r="D85" s="10"/>
      <c r="E85" s="11" t="str">
        <f aca="false">IF(OR(AE85=0,$D85=""),"",DATE(YEAR(AsOfDate)+IF(DATE(YEAR(AsOfDate),MONTH($D85),DAY($D85))&lt;=AsOfDate,1,0),MONTH($D85),DAY($D85)))</f>
        <v/>
      </c>
      <c r="F85" s="10"/>
      <c r="G85" s="10"/>
      <c r="H85" s="10"/>
      <c r="I85" s="10"/>
      <c r="J85" s="10"/>
      <c r="K85" s="11" t="str">
        <f aca="false">IF(AE85=0,"",DATE(YEAR(AsOfDate)+IF(DATE(YEAR(AsOfDate),MONTH(AF85),DAY(AF85))&lt;=AsOfDate,1,0),MONTH(AF85),DAY(AF85)))</f>
        <v/>
      </c>
      <c r="L85" s="12" t="str">
        <f aca="false">IF(AE85=0,"",ROUND((AsOfDate-AF85)/365.25,1))</f>
        <v/>
      </c>
      <c r="M85" s="13" t="str">
        <f aca="false">IF(AE85=0,"",IF(AsOfDate&lt;AF85,"-",DATEDIF(AF85,AsOfDate,"y")&amp;"y "&amp;DATEDIF(AF85,AsOfDate,"ym")&amp;"m "&amp;DATEDIF(AF85,AsOfDate,"md")&amp;"d"))</f>
        <v/>
      </c>
      <c r="N85" s="14" t="str">
        <f aca="false">IF(AE85=0,"",O85*HoursPerDay)</f>
        <v/>
      </c>
      <c r="O85" s="14" t="str">
        <f aca="false">IF(AE85=0,"",AX85)</f>
        <v/>
      </c>
      <c r="P85" s="15"/>
      <c r="Q85" s="13"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13"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1" t="str">
        <f aca="false">IF(AE85=0,"",IF(AQ85="None","",EDATE(AF85,AZ85)))</f>
        <v/>
      </c>
      <c r="T85" s="14" t="str">
        <f aca="false">IF(AE85=0,"",IF(NOT(LH_Ready),"",IF(AF85&gt;PFYDate,0,IF(LH_ColPeriod=0,W85-U85+V85,SUMIFS(INDEX(LH_Data,0,LH_ColAcc),INDEX(LH_Data,0,LH_ColFirst),$A85,INDEX(LH_Data,0,LH_ColSur),$B85,INDEX(LH_Data,0,LH_ColCat),BonusCat,INDEX(LH_Data,0,LH_ColPeriod),LH_OpenLabel)*UnitFactor))))</f>
        <v/>
      </c>
      <c r="U85" s="14" t="str">
        <f aca="false">IF(AE85=0,"",IF(NOT(LH_Ready),"",SUMIFS(INDEX(LH_Data,0,LH_ColAcc),INDEX(LH_Data,0,LH_ColFirst),$A85,INDEX(LH_Data,0,LH_ColSur),$B85,INDEX(LH_Data,0,LH_ColCat),BonusCat,INDEX(LH_Data,0,LH_ColStart),"&gt;="&amp;AF85)*UnitFactor))</f>
        <v/>
      </c>
      <c r="V85" s="14" t="str">
        <f aca="false">IF(AE85=0,"",IF(NOT(LH_Ready),"",SUMIFS(INDEX(LH_Data,0,LH_ColTaken),INDEX(LH_Data,0,LH_ColFirst),$A85,INDEX(LH_Data,0,LH_ColSur),$B85,INDEX(LH_Data,0,LH_ColCat),BonusCat,INDEX(LH_Data,0,LH_ColStart),"&gt;="&amp;AF85)*UnitFactor))</f>
        <v/>
      </c>
      <c r="W85" s="14" t="str">
        <f aca="false">IF(AE85=0,"",IF(NOT(LH_Ready),"",IF(BB85=0,0,INDEX(INDEX(LH_Data,0,LH_ColClose),BB85-1)*UnitFactor)))</f>
        <v/>
      </c>
      <c r="X85" s="14" t="str">
        <f aca="false">IF(AE85=0,"",(AX85-AY85)*HoursPerDay)</f>
        <v/>
      </c>
      <c r="Y85" s="14" t="str">
        <f aca="false">IF(AE85=0,"",IF(NOT(LH_Ready),"",IF(BA85=0,N85,IF(PFYDate&lt;$F85,N85-N(T85)-N(U85),X85-N(U85)))))</f>
        <v/>
      </c>
      <c r="Z85" s="13" t="str">
        <f aca="false">IF(OR(AE85=0,Y85=""),"",IF(Y85&gt;0,"Yes","No"))</f>
        <v/>
      </c>
      <c r="AA85" s="13"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 hrs more than policy since commencement",IF(N(W85)&gt;O85*HoursPerDay+0.01,"CHECK - EH balance "&amp;ROUND(W85-O85*HoursPerDay,2)&amp;" hrs more than policy entitlement",IF(O85&gt;0,"OK - nothing to add",IF(AQ85="None",R85,"Not yet - first day on "&amp;TEXT(S85,"dd/mm/yyyy")))))))))</f>
        <v/>
      </c>
      <c r="AB85" s="14" t="str">
        <f aca="false">IF(OR(AE85=0,T85=""),"",AY85*HoursPerDay-T85)</f>
        <v/>
      </c>
      <c r="AC85" s="13" t="str">
        <f aca="false">IF(AE85=0,"",BA85)</f>
        <v/>
      </c>
      <c r="AD85" s="13"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3" t="n">
        <f aca="false">IF(OR(LEN($A85&amp;$B85)=0,$F85=""),0,1)</f>
        <v>0</v>
      </c>
      <c r="AF85" s="11" t="str">
        <f aca="false">IF(AE85=0,"",IF($J85&lt;&gt;"",$J85,IF(OR(CasualCounts="Yes",COUNT($G85:$I85)=0,COUNT($G85:$H85)=0),$F85,MIN($G85:$H85))))</f>
        <v/>
      </c>
      <c r="AG85" s="13" t="str">
        <f aca="false">IF(AE85=0,"",COUNT($G85:$I85))</f>
        <v/>
      </c>
      <c r="AH85" s="11" t="str">
        <f aca="false">IF(AE85=0,"",IFERROR(SMALL($G85:$I85,1),""))</f>
        <v/>
      </c>
      <c r="AI85" s="11" t="str">
        <f aca="false">IF(AE85=0,"",IFERROR(SMALL($G85:$I85,2),""))</f>
        <v/>
      </c>
      <c r="AJ85" s="11" t="str">
        <f aca="false">IF(AE85=0,"",IFERROR(SMALL($G85:$I85,3),""))</f>
        <v/>
      </c>
      <c r="AK85" s="13" t="str">
        <f aca="false">IF(AE85=0,"",IF(AH85="","",IF(AH85=$G85,"Part-Time",IF(AH85=$H85,"Full-Time","Casual"))))</f>
        <v/>
      </c>
      <c r="AL85" s="13" t="str">
        <f aca="false">IF(AE85=0,"",IF(AI85="","",IF(AI85=$G85,"Part-Time",IF(AI85=$H85,"Full-Time","Casual"))))</f>
        <v/>
      </c>
      <c r="AM85" s="13" t="str">
        <f aca="false">IF(AE85=0,"",IF(AJ85="","",IF(AJ85=$G85,"Part-Time",IF(AJ85=$H85,"Full-Time","Casual"))))</f>
        <v/>
      </c>
      <c r="AN85" s="13"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3" t="str">
        <f aca="false">IF(AE85=0,"",IF(AG85&lt;2,"",IF(OR(ISNUMBER(SEARCH("full",AL85)),UPPER(TRIM(AL85))="FT",UPPER(TRIM(AL85))="FTE"),"FT",IF(AND(OR(ISNUMBER(SEARCH("part",AL85)),UPPER(TRIM(AL85))="PT",UPPER(TRIM(AL85))="PTE"),OR($P85="",N($P85)&gt;=PT_MinHours)),"PT","None"))))</f>
        <v/>
      </c>
      <c r="AP85" s="13" t="str">
        <f aca="false">IF(AE85=0,"",IF(AG85&lt;3,"",IF(OR(ISNUMBER(SEARCH("full",AM85)),UPPER(TRIM(AM85))="FT",UPPER(TRIM(AM85))="FTE"),"FT",IF(AND(OR(ISNUMBER(SEARCH("part",AM85)),UPPER(TRIM(AM85))="PT",UPPER(TRIM(AM85))="PTE"),OR($P85="",N($P85)&gt;=PT_MinHours)),"PT","None"))))</f>
        <v/>
      </c>
      <c r="AQ85" s="13" t="str">
        <f aca="false">IF(AE85=0,"",IF(AND(AG85&gt;=3,AJ85&lt;=AsOfDate),AP85,IF(AND(AG85&gt;=2,AI85&lt;=AsOfDate),AO85,AN85)))</f>
        <v/>
      </c>
      <c r="AR85" s="13" t="str">
        <f aca="false">IF(AE85=0,"",IF(AsOfDate&lt;AF85,-1,12*(YEAR(AsOfDate)-YEAR(AF85))+MONTH(AsOfDate)-MONTH(AF85)-IF(DAY(AsOfDate)&lt;MIN(DAY(AF85),DAY(EOMONTH(AsOfDate,0))),1,0)))</f>
        <v/>
      </c>
      <c r="AS85" s="13" t="str">
        <f aca="false">IF(AE85=0,"",IF(OR(AG85&lt;2,AI85&gt;AsOfDate),AR85,IF((AI85-1)&lt;AF85,-1,12*(YEAR((AI85-1))-YEAR(AF85))+MONTH((AI85-1))-MONTH(AF85)-IF(DAY((AI85-1))&lt;MIN(DAY(AF85),DAY(EOMONTH((AI85-1),0))),1,0))))</f>
        <v/>
      </c>
      <c r="AT85" s="13" t="str">
        <f aca="false">IF(AE85=0,"",IF(OR(AG85&lt;3,AJ85&gt;AsOfDate),AR85,IF((AJ85-1)&lt;AF85,-1,12*(YEAR((AJ85-1))-YEAR(AF85))+MONTH((AJ85-1))-MONTH(AF85)-IF(DAY((AJ85-1))&lt;MIN(DAY(AF85),DAY(EOMONTH((AJ85-1),0))),1,0))))</f>
        <v/>
      </c>
      <c r="AU85" s="13" t="str">
        <f aca="false">IF(AE85=0,"",IF(PFYDate&lt;AF85,-1,12*(YEAR(PFYDate)-YEAR(AF85))+MONTH(PFYDate)-MONTH(AF85)-IF(DAY(PFYDate)&lt;MIN(DAY(AF85),DAY(EOMONTH(PFYDate,0))),1,0)))</f>
        <v/>
      </c>
      <c r="AV85" s="13" t="str">
        <f aca="false">IF(AE85=0,"",IF(OR(AG85&lt;2,AI85&gt;PFYDate),AU85,IF((AI85-1)&lt;AF85,-1,12*(YEAR((AI85-1))-YEAR(AF85))+MONTH((AI85-1))-MONTH(AF85)-IF(DAY((AI85-1))&lt;MIN(DAY(AF85),DAY(EOMONTH((AI85-1),0))),1,0))))</f>
        <v/>
      </c>
      <c r="AW85" s="13" t="str">
        <f aca="false">IF(AE85=0,"",IF(OR(AG85&lt;3,AJ85&gt;PFYDate),AU85,IF((AJ85-1)&lt;AF85,-1,12*(YEAR((AJ85-1))-YEAR(AF85))+MONTH((AJ85-1))-MONTH(AF85)-IF(DAY((AJ85-1))&lt;MIN(DAY(AF85),DAY(EOMONTH((AJ85-1),0))),1,0))))</f>
        <v/>
      </c>
      <c r="AX85" s="13"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3"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3" t="str">
        <f aca="false">IF(AE85=0,"",IF(AQ85="FT",IF(AR85&lt;FT_First,FT_First,IF(AR85&lt;FT_Y5,MIN(FT_Y5,FT_First+FT_Int1*(INT((AR85-FT_First)/FT_Int1)+1)),FT_Y5+12*INT((AR85-FT_Y5)/12)+FT_Int2*(INT(MOD(AR85-FT_Y5,12)/FT_Int2)+1))),IF(AQ85="PT",IF(AR85&lt;PT_First,PT_First,PT_First+PT_Int*(INT((AR85-PT_First)/PT_Int)+1)),"")))</f>
        <v/>
      </c>
      <c r="BA85" s="13" t="str">
        <f aca="false">IF(AE85=0,"",IF(NOT(LH_Ready),0,COUNTIFS(INDEX(LH_Data,0,LH_ColFirst),$A85,INDEX(LH_Data,0,LH_ColSur),$B85,INDEX(LH_Data,0,LH_ColCat),BonusCat)))</f>
        <v/>
      </c>
      <c r="BB85" s="13" t="str">
        <f aca="false">IF(AE85=0,"",IF(OR(NOT(LH_Ready),BA85=0),0,SUMPRODUCT(MAX((INDEX(LH_Data,0,LH_ColFirst)=$A85)*(INDEX(LH_Data,0,LH_ColSur)=$B85)*(INDEX(LH_Data,0,LH_ColCat)=BonusCat)*ROW(LH_Data)))))</f>
        <v/>
      </c>
      <c r="BC85" s="0" t="str">
        <f aca="false">IF(LEN($A85&amp;$B85)=0,"",$A85&amp;" "&amp;$B85)</f>
        <v/>
      </c>
    </row>
    <row r="86" customFormat="false" ht="15" hidden="false" customHeight="false" outlineLevel="0" collapsed="false">
      <c r="A86" s="9"/>
      <c r="B86" s="9"/>
      <c r="C86" s="9"/>
      <c r="D86" s="10"/>
      <c r="E86" s="11" t="str">
        <f aca="false">IF(OR(AE86=0,$D86=""),"",DATE(YEAR(AsOfDate)+IF(DATE(YEAR(AsOfDate),MONTH($D86),DAY($D86))&lt;=AsOfDate,1,0),MONTH($D86),DAY($D86)))</f>
        <v/>
      </c>
      <c r="F86" s="10"/>
      <c r="G86" s="10"/>
      <c r="H86" s="10"/>
      <c r="I86" s="10"/>
      <c r="J86" s="10"/>
      <c r="K86" s="11" t="str">
        <f aca="false">IF(AE86=0,"",DATE(YEAR(AsOfDate)+IF(DATE(YEAR(AsOfDate),MONTH(AF86),DAY(AF86))&lt;=AsOfDate,1,0),MONTH(AF86),DAY(AF86)))</f>
        <v/>
      </c>
      <c r="L86" s="12" t="str">
        <f aca="false">IF(AE86=0,"",ROUND((AsOfDate-AF86)/365.25,1))</f>
        <v/>
      </c>
      <c r="M86" s="13" t="str">
        <f aca="false">IF(AE86=0,"",IF(AsOfDate&lt;AF86,"-",DATEDIF(AF86,AsOfDate,"y")&amp;"y "&amp;DATEDIF(AF86,AsOfDate,"ym")&amp;"m "&amp;DATEDIF(AF86,AsOfDate,"md")&amp;"d"))</f>
        <v/>
      </c>
      <c r="N86" s="14" t="str">
        <f aca="false">IF(AE86=0,"",O86*HoursPerDay)</f>
        <v/>
      </c>
      <c r="O86" s="14" t="str">
        <f aca="false">IF(AE86=0,"",AX86)</f>
        <v/>
      </c>
      <c r="P86" s="15"/>
      <c r="Q86" s="13"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13"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1" t="str">
        <f aca="false">IF(AE86=0,"",IF(AQ86="None","",EDATE(AF86,AZ86)))</f>
        <v/>
      </c>
      <c r="T86" s="14" t="str">
        <f aca="false">IF(AE86=0,"",IF(NOT(LH_Ready),"",IF(AF86&gt;PFYDate,0,IF(LH_ColPeriod=0,W86-U86+V86,SUMIFS(INDEX(LH_Data,0,LH_ColAcc),INDEX(LH_Data,0,LH_ColFirst),$A86,INDEX(LH_Data,0,LH_ColSur),$B86,INDEX(LH_Data,0,LH_ColCat),BonusCat,INDEX(LH_Data,0,LH_ColPeriod),LH_OpenLabel)*UnitFactor))))</f>
        <v/>
      </c>
      <c r="U86" s="14" t="str">
        <f aca="false">IF(AE86=0,"",IF(NOT(LH_Ready),"",SUMIFS(INDEX(LH_Data,0,LH_ColAcc),INDEX(LH_Data,0,LH_ColFirst),$A86,INDEX(LH_Data,0,LH_ColSur),$B86,INDEX(LH_Data,0,LH_ColCat),BonusCat,INDEX(LH_Data,0,LH_ColStart),"&gt;="&amp;AF86)*UnitFactor))</f>
        <v/>
      </c>
      <c r="V86" s="14" t="str">
        <f aca="false">IF(AE86=0,"",IF(NOT(LH_Ready),"",SUMIFS(INDEX(LH_Data,0,LH_ColTaken),INDEX(LH_Data,0,LH_ColFirst),$A86,INDEX(LH_Data,0,LH_ColSur),$B86,INDEX(LH_Data,0,LH_ColCat),BonusCat,INDEX(LH_Data,0,LH_ColStart),"&gt;="&amp;AF86)*UnitFactor))</f>
        <v/>
      </c>
      <c r="W86" s="14" t="str">
        <f aca="false">IF(AE86=0,"",IF(NOT(LH_Ready),"",IF(BB86=0,0,INDEX(INDEX(LH_Data,0,LH_ColClose),BB86-1)*UnitFactor)))</f>
        <v/>
      </c>
      <c r="X86" s="14" t="str">
        <f aca="false">IF(AE86=0,"",(AX86-AY86)*HoursPerDay)</f>
        <v/>
      </c>
      <c r="Y86" s="14" t="str">
        <f aca="false">IF(AE86=0,"",IF(NOT(LH_Ready),"",IF(BA86=0,N86,IF(PFYDate&lt;$F86,N86-N(T86)-N(U86),X86-N(U86)))))</f>
        <v/>
      </c>
      <c r="Z86" s="13" t="str">
        <f aca="false">IF(OR(AE86=0,Y86=""),"",IF(Y86&gt;0,"Yes","No"))</f>
        <v/>
      </c>
      <c r="AA86" s="13"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 hrs more than policy since commencement",IF(N(W86)&gt;O86*HoursPerDay+0.01,"CHECK - EH balance "&amp;ROUND(W86-O86*HoursPerDay,2)&amp;" hrs more than policy entitlement",IF(O86&gt;0,"OK - nothing to add",IF(AQ86="None",R86,"Not yet - first day on "&amp;TEXT(S86,"dd/mm/yyyy")))))))))</f>
        <v/>
      </c>
      <c r="AB86" s="14" t="str">
        <f aca="false">IF(OR(AE86=0,T86=""),"",AY86*HoursPerDay-T86)</f>
        <v/>
      </c>
      <c r="AC86" s="13" t="str">
        <f aca="false">IF(AE86=0,"",BA86)</f>
        <v/>
      </c>
      <c r="AD86" s="13"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3" t="n">
        <f aca="false">IF(OR(LEN($A86&amp;$B86)=0,$F86=""),0,1)</f>
        <v>0</v>
      </c>
      <c r="AF86" s="11" t="str">
        <f aca="false">IF(AE86=0,"",IF($J86&lt;&gt;"",$J86,IF(OR(CasualCounts="Yes",COUNT($G86:$I86)=0,COUNT($G86:$H86)=0),$F86,MIN($G86:$H86))))</f>
        <v/>
      </c>
      <c r="AG86" s="13" t="str">
        <f aca="false">IF(AE86=0,"",COUNT($G86:$I86))</f>
        <v/>
      </c>
      <c r="AH86" s="11" t="str">
        <f aca="false">IF(AE86=0,"",IFERROR(SMALL($G86:$I86,1),""))</f>
        <v/>
      </c>
      <c r="AI86" s="11" t="str">
        <f aca="false">IF(AE86=0,"",IFERROR(SMALL($G86:$I86,2),""))</f>
        <v/>
      </c>
      <c r="AJ86" s="11" t="str">
        <f aca="false">IF(AE86=0,"",IFERROR(SMALL($G86:$I86,3),""))</f>
        <v/>
      </c>
      <c r="AK86" s="13" t="str">
        <f aca="false">IF(AE86=0,"",IF(AH86="","",IF(AH86=$G86,"Part-Time",IF(AH86=$H86,"Full-Time","Casual"))))</f>
        <v/>
      </c>
      <c r="AL86" s="13" t="str">
        <f aca="false">IF(AE86=0,"",IF(AI86="","",IF(AI86=$G86,"Part-Time",IF(AI86=$H86,"Full-Time","Casual"))))</f>
        <v/>
      </c>
      <c r="AM86" s="13" t="str">
        <f aca="false">IF(AE86=0,"",IF(AJ86="","",IF(AJ86=$G86,"Part-Time",IF(AJ86=$H86,"Full-Time","Casual"))))</f>
        <v/>
      </c>
      <c r="AN86" s="13"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3" t="str">
        <f aca="false">IF(AE86=0,"",IF(AG86&lt;2,"",IF(OR(ISNUMBER(SEARCH("full",AL86)),UPPER(TRIM(AL86))="FT",UPPER(TRIM(AL86))="FTE"),"FT",IF(AND(OR(ISNUMBER(SEARCH("part",AL86)),UPPER(TRIM(AL86))="PT",UPPER(TRIM(AL86))="PTE"),OR($P86="",N($P86)&gt;=PT_MinHours)),"PT","None"))))</f>
        <v/>
      </c>
      <c r="AP86" s="13" t="str">
        <f aca="false">IF(AE86=0,"",IF(AG86&lt;3,"",IF(OR(ISNUMBER(SEARCH("full",AM86)),UPPER(TRIM(AM86))="FT",UPPER(TRIM(AM86))="FTE"),"FT",IF(AND(OR(ISNUMBER(SEARCH("part",AM86)),UPPER(TRIM(AM86))="PT",UPPER(TRIM(AM86))="PTE"),OR($P86="",N($P86)&gt;=PT_MinHours)),"PT","None"))))</f>
        <v/>
      </c>
      <c r="AQ86" s="13" t="str">
        <f aca="false">IF(AE86=0,"",IF(AND(AG86&gt;=3,AJ86&lt;=AsOfDate),AP86,IF(AND(AG86&gt;=2,AI86&lt;=AsOfDate),AO86,AN86)))</f>
        <v/>
      </c>
      <c r="AR86" s="13" t="str">
        <f aca="false">IF(AE86=0,"",IF(AsOfDate&lt;AF86,-1,12*(YEAR(AsOfDate)-YEAR(AF86))+MONTH(AsOfDate)-MONTH(AF86)-IF(DAY(AsOfDate)&lt;MIN(DAY(AF86),DAY(EOMONTH(AsOfDate,0))),1,0)))</f>
        <v/>
      </c>
      <c r="AS86" s="13" t="str">
        <f aca="false">IF(AE86=0,"",IF(OR(AG86&lt;2,AI86&gt;AsOfDate),AR86,IF((AI86-1)&lt;AF86,-1,12*(YEAR((AI86-1))-YEAR(AF86))+MONTH((AI86-1))-MONTH(AF86)-IF(DAY((AI86-1))&lt;MIN(DAY(AF86),DAY(EOMONTH((AI86-1),0))),1,0))))</f>
        <v/>
      </c>
      <c r="AT86" s="13" t="str">
        <f aca="false">IF(AE86=0,"",IF(OR(AG86&lt;3,AJ86&gt;AsOfDate),AR86,IF((AJ86-1)&lt;AF86,-1,12*(YEAR((AJ86-1))-YEAR(AF86))+MONTH((AJ86-1))-MONTH(AF86)-IF(DAY((AJ86-1))&lt;MIN(DAY(AF86),DAY(EOMONTH((AJ86-1),0))),1,0))))</f>
        <v/>
      </c>
      <c r="AU86" s="13" t="str">
        <f aca="false">IF(AE86=0,"",IF(PFYDate&lt;AF86,-1,12*(YEAR(PFYDate)-YEAR(AF86))+MONTH(PFYDate)-MONTH(AF86)-IF(DAY(PFYDate)&lt;MIN(DAY(AF86),DAY(EOMONTH(PFYDate,0))),1,0)))</f>
        <v/>
      </c>
      <c r="AV86" s="13" t="str">
        <f aca="false">IF(AE86=0,"",IF(OR(AG86&lt;2,AI86&gt;PFYDate),AU86,IF((AI86-1)&lt;AF86,-1,12*(YEAR((AI86-1))-YEAR(AF86))+MONTH((AI86-1))-MONTH(AF86)-IF(DAY((AI86-1))&lt;MIN(DAY(AF86),DAY(EOMONTH((AI86-1),0))),1,0))))</f>
        <v/>
      </c>
      <c r="AW86" s="13" t="str">
        <f aca="false">IF(AE86=0,"",IF(OR(AG86&lt;3,AJ86&gt;PFYDate),AU86,IF((AJ86-1)&lt;AF86,-1,12*(YEAR((AJ86-1))-YEAR(AF86))+MONTH((AJ86-1))-MONTH(AF86)-IF(DAY((AJ86-1))&lt;MIN(DAY(AF86),DAY(EOMONTH((AJ86-1),0))),1,0))))</f>
        <v/>
      </c>
      <c r="AX86" s="13"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3"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3" t="str">
        <f aca="false">IF(AE86=0,"",IF(AQ86="FT",IF(AR86&lt;FT_First,FT_First,IF(AR86&lt;FT_Y5,MIN(FT_Y5,FT_First+FT_Int1*(INT((AR86-FT_First)/FT_Int1)+1)),FT_Y5+12*INT((AR86-FT_Y5)/12)+FT_Int2*(INT(MOD(AR86-FT_Y5,12)/FT_Int2)+1))),IF(AQ86="PT",IF(AR86&lt;PT_First,PT_First,PT_First+PT_Int*(INT((AR86-PT_First)/PT_Int)+1)),"")))</f>
        <v/>
      </c>
      <c r="BA86" s="13" t="str">
        <f aca="false">IF(AE86=0,"",IF(NOT(LH_Ready),0,COUNTIFS(INDEX(LH_Data,0,LH_ColFirst),$A86,INDEX(LH_Data,0,LH_ColSur),$B86,INDEX(LH_Data,0,LH_ColCat),BonusCat)))</f>
        <v/>
      </c>
      <c r="BB86" s="13" t="str">
        <f aca="false">IF(AE86=0,"",IF(OR(NOT(LH_Ready),BA86=0),0,SUMPRODUCT(MAX((INDEX(LH_Data,0,LH_ColFirst)=$A86)*(INDEX(LH_Data,0,LH_ColSur)=$B86)*(INDEX(LH_Data,0,LH_ColCat)=BonusCat)*ROW(LH_Data)))))</f>
        <v/>
      </c>
      <c r="BC86" s="0" t="str">
        <f aca="false">IF(LEN($A86&amp;$B86)=0,"",$A86&amp;" "&amp;$B86)</f>
        <v/>
      </c>
    </row>
    <row r="87" customFormat="false" ht="15" hidden="false" customHeight="false" outlineLevel="0" collapsed="false">
      <c r="A87" s="9"/>
      <c r="B87" s="9"/>
      <c r="C87" s="9"/>
      <c r="D87" s="10"/>
      <c r="E87" s="11" t="str">
        <f aca="false">IF(OR(AE87=0,$D87=""),"",DATE(YEAR(AsOfDate)+IF(DATE(YEAR(AsOfDate),MONTH($D87),DAY($D87))&lt;=AsOfDate,1,0),MONTH($D87),DAY($D87)))</f>
        <v/>
      </c>
      <c r="F87" s="10"/>
      <c r="G87" s="10"/>
      <c r="H87" s="10"/>
      <c r="I87" s="10"/>
      <c r="J87" s="10"/>
      <c r="K87" s="11" t="str">
        <f aca="false">IF(AE87=0,"",DATE(YEAR(AsOfDate)+IF(DATE(YEAR(AsOfDate),MONTH(AF87),DAY(AF87))&lt;=AsOfDate,1,0),MONTH(AF87),DAY(AF87)))</f>
        <v/>
      </c>
      <c r="L87" s="12" t="str">
        <f aca="false">IF(AE87=0,"",ROUND((AsOfDate-AF87)/365.25,1))</f>
        <v/>
      </c>
      <c r="M87" s="13" t="str">
        <f aca="false">IF(AE87=0,"",IF(AsOfDate&lt;AF87,"-",DATEDIF(AF87,AsOfDate,"y")&amp;"y "&amp;DATEDIF(AF87,AsOfDate,"ym")&amp;"m "&amp;DATEDIF(AF87,AsOfDate,"md")&amp;"d"))</f>
        <v/>
      </c>
      <c r="N87" s="14" t="str">
        <f aca="false">IF(AE87=0,"",O87*HoursPerDay)</f>
        <v/>
      </c>
      <c r="O87" s="14" t="str">
        <f aca="false">IF(AE87=0,"",AX87)</f>
        <v/>
      </c>
      <c r="P87" s="15"/>
      <c r="Q87" s="13"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13"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1" t="str">
        <f aca="false">IF(AE87=0,"",IF(AQ87="None","",EDATE(AF87,AZ87)))</f>
        <v/>
      </c>
      <c r="T87" s="14" t="str">
        <f aca="false">IF(AE87=0,"",IF(NOT(LH_Ready),"",IF(AF87&gt;PFYDate,0,IF(LH_ColPeriod=0,W87-U87+V87,SUMIFS(INDEX(LH_Data,0,LH_ColAcc),INDEX(LH_Data,0,LH_ColFirst),$A87,INDEX(LH_Data,0,LH_ColSur),$B87,INDEX(LH_Data,0,LH_ColCat),BonusCat,INDEX(LH_Data,0,LH_ColPeriod),LH_OpenLabel)*UnitFactor))))</f>
        <v/>
      </c>
      <c r="U87" s="14" t="str">
        <f aca="false">IF(AE87=0,"",IF(NOT(LH_Ready),"",SUMIFS(INDEX(LH_Data,0,LH_ColAcc),INDEX(LH_Data,0,LH_ColFirst),$A87,INDEX(LH_Data,0,LH_ColSur),$B87,INDEX(LH_Data,0,LH_ColCat),BonusCat,INDEX(LH_Data,0,LH_ColStart),"&gt;="&amp;AF87)*UnitFactor))</f>
        <v/>
      </c>
      <c r="V87" s="14" t="str">
        <f aca="false">IF(AE87=0,"",IF(NOT(LH_Ready),"",SUMIFS(INDEX(LH_Data,0,LH_ColTaken),INDEX(LH_Data,0,LH_ColFirst),$A87,INDEX(LH_Data,0,LH_ColSur),$B87,INDEX(LH_Data,0,LH_ColCat),BonusCat,INDEX(LH_Data,0,LH_ColStart),"&gt;="&amp;AF87)*UnitFactor))</f>
        <v/>
      </c>
      <c r="W87" s="14" t="str">
        <f aca="false">IF(AE87=0,"",IF(NOT(LH_Ready),"",IF(BB87=0,0,INDEX(INDEX(LH_Data,0,LH_ColClose),BB87-1)*UnitFactor)))</f>
        <v/>
      </c>
      <c r="X87" s="14" t="str">
        <f aca="false">IF(AE87=0,"",(AX87-AY87)*HoursPerDay)</f>
        <v/>
      </c>
      <c r="Y87" s="14" t="str">
        <f aca="false">IF(AE87=0,"",IF(NOT(LH_Ready),"",IF(BA87=0,N87,IF(PFYDate&lt;$F87,N87-N(T87)-N(U87),X87-N(U87)))))</f>
        <v/>
      </c>
      <c r="Z87" s="13" t="str">
        <f aca="false">IF(OR(AE87=0,Y87=""),"",IF(Y87&gt;0,"Yes","No"))</f>
        <v/>
      </c>
      <c r="AA87" s="13"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 hrs more than policy since commencement",IF(N(W87)&gt;O87*HoursPerDay+0.01,"CHECK - EH balance "&amp;ROUND(W87-O87*HoursPerDay,2)&amp;" hrs more than policy entitlement",IF(O87&gt;0,"OK - nothing to add",IF(AQ87="None",R87,"Not yet - first day on "&amp;TEXT(S87,"dd/mm/yyyy")))))))))</f>
        <v/>
      </c>
      <c r="AB87" s="14" t="str">
        <f aca="false">IF(OR(AE87=0,T87=""),"",AY87*HoursPerDay-T87)</f>
        <v/>
      </c>
      <c r="AC87" s="13" t="str">
        <f aca="false">IF(AE87=0,"",BA87)</f>
        <v/>
      </c>
      <c r="AD87" s="13"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3" t="n">
        <f aca="false">IF(OR(LEN($A87&amp;$B87)=0,$F87=""),0,1)</f>
        <v>0</v>
      </c>
      <c r="AF87" s="11" t="str">
        <f aca="false">IF(AE87=0,"",IF($J87&lt;&gt;"",$J87,IF(OR(CasualCounts="Yes",COUNT($G87:$I87)=0,COUNT($G87:$H87)=0),$F87,MIN($G87:$H87))))</f>
        <v/>
      </c>
      <c r="AG87" s="13" t="str">
        <f aca="false">IF(AE87=0,"",COUNT($G87:$I87))</f>
        <v/>
      </c>
      <c r="AH87" s="11" t="str">
        <f aca="false">IF(AE87=0,"",IFERROR(SMALL($G87:$I87,1),""))</f>
        <v/>
      </c>
      <c r="AI87" s="11" t="str">
        <f aca="false">IF(AE87=0,"",IFERROR(SMALL($G87:$I87,2),""))</f>
        <v/>
      </c>
      <c r="AJ87" s="11" t="str">
        <f aca="false">IF(AE87=0,"",IFERROR(SMALL($G87:$I87,3),""))</f>
        <v/>
      </c>
      <c r="AK87" s="13" t="str">
        <f aca="false">IF(AE87=0,"",IF(AH87="","",IF(AH87=$G87,"Part-Time",IF(AH87=$H87,"Full-Time","Casual"))))</f>
        <v/>
      </c>
      <c r="AL87" s="13" t="str">
        <f aca="false">IF(AE87=0,"",IF(AI87="","",IF(AI87=$G87,"Part-Time",IF(AI87=$H87,"Full-Time","Casual"))))</f>
        <v/>
      </c>
      <c r="AM87" s="13" t="str">
        <f aca="false">IF(AE87=0,"",IF(AJ87="","",IF(AJ87=$G87,"Part-Time",IF(AJ87=$H87,"Full-Time","Casual"))))</f>
        <v/>
      </c>
      <c r="AN87" s="13"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3" t="str">
        <f aca="false">IF(AE87=0,"",IF(AG87&lt;2,"",IF(OR(ISNUMBER(SEARCH("full",AL87)),UPPER(TRIM(AL87))="FT",UPPER(TRIM(AL87))="FTE"),"FT",IF(AND(OR(ISNUMBER(SEARCH("part",AL87)),UPPER(TRIM(AL87))="PT",UPPER(TRIM(AL87))="PTE"),OR($P87="",N($P87)&gt;=PT_MinHours)),"PT","None"))))</f>
        <v/>
      </c>
      <c r="AP87" s="13" t="str">
        <f aca="false">IF(AE87=0,"",IF(AG87&lt;3,"",IF(OR(ISNUMBER(SEARCH("full",AM87)),UPPER(TRIM(AM87))="FT",UPPER(TRIM(AM87))="FTE"),"FT",IF(AND(OR(ISNUMBER(SEARCH("part",AM87)),UPPER(TRIM(AM87))="PT",UPPER(TRIM(AM87))="PTE"),OR($P87="",N($P87)&gt;=PT_MinHours)),"PT","None"))))</f>
        <v/>
      </c>
      <c r="AQ87" s="13" t="str">
        <f aca="false">IF(AE87=0,"",IF(AND(AG87&gt;=3,AJ87&lt;=AsOfDate),AP87,IF(AND(AG87&gt;=2,AI87&lt;=AsOfDate),AO87,AN87)))</f>
        <v/>
      </c>
      <c r="AR87" s="13" t="str">
        <f aca="false">IF(AE87=0,"",IF(AsOfDate&lt;AF87,-1,12*(YEAR(AsOfDate)-YEAR(AF87))+MONTH(AsOfDate)-MONTH(AF87)-IF(DAY(AsOfDate)&lt;MIN(DAY(AF87),DAY(EOMONTH(AsOfDate,0))),1,0)))</f>
        <v/>
      </c>
      <c r="AS87" s="13" t="str">
        <f aca="false">IF(AE87=0,"",IF(OR(AG87&lt;2,AI87&gt;AsOfDate),AR87,IF((AI87-1)&lt;AF87,-1,12*(YEAR((AI87-1))-YEAR(AF87))+MONTH((AI87-1))-MONTH(AF87)-IF(DAY((AI87-1))&lt;MIN(DAY(AF87),DAY(EOMONTH((AI87-1),0))),1,0))))</f>
        <v/>
      </c>
      <c r="AT87" s="13" t="str">
        <f aca="false">IF(AE87=0,"",IF(OR(AG87&lt;3,AJ87&gt;AsOfDate),AR87,IF((AJ87-1)&lt;AF87,-1,12*(YEAR((AJ87-1))-YEAR(AF87))+MONTH((AJ87-1))-MONTH(AF87)-IF(DAY((AJ87-1))&lt;MIN(DAY(AF87),DAY(EOMONTH((AJ87-1),0))),1,0))))</f>
        <v/>
      </c>
      <c r="AU87" s="13" t="str">
        <f aca="false">IF(AE87=0,"",IF(PFYDate&lt;AF87,-1,12*(YEAR(PFYDate)-YEAR(AF87))+MONTH(PFYDate)-MONTH(AF87)-IF(DAY(PFYDate)&lt;MIN(DAY(AF87),DAY(EOMONTH(PFYDate,0))),1,0)))</f>
        <v/>
      </c>
      <c r="AV87" s="13" t="str">
        <f aca="false">IF(AE87=0,"",IF(OR(AG87&lt;2,AI87&gt;PFYDate),AU87,IF((AI87-1)&lt;AF87,-1,12*(YEAR((AI87-1))-YEAR(AF87))+MONTH((AI87-1))-MONTH(AF87)-IF(DAY((AI87-1))&lt;MIN(DAY(AF87),DAY(EOMONTH((AI87-1),0))),1,0))))</f>
        <v/>
      </c>
      <c r="AW87" s="13" t="str">
        <f aca="false">IF(AE87=0,"",IF(OR(AG87&lt;3,AJ87&gt;PFYDate),AU87,IF((AJ87-1)&lt;AF87,-1,12*(YEAR((AJ87-1))-YEAR(AF87))+MONTH((AJ87-1))-MONTH(AF87)-IF(DAY((AJ87-1))&lt;MIN(DAY(AF87),DAY(EOMONTH((AJ87-1),0))),1,0))))</f>
        <v/>
      </c>
      <c r="AX87" s="13"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3"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3" t="str">
        <f aca="false">IF(AE87=0,"",IF(AQ87="FT",IF(AR87&lt;FT_First,FT_First,IF(AR87&lt;FT_Y5,MIN(FT_Y5,FT_First+FT_Int1*(INT((AR87-FT_First)/FT_Int1)+1)),FT_Y5+12*INT((AR87-FT_Y5)/12)+FT_Int2*(INT(MOD(AR87-FT_Y5,12)/FT_Int2)+1))),IF(AQ87="PT",IF(AR87&lt;PT_First,PT_First,PT_First+PT_Int*(INT((AR87-PT_First)/PT_Int)+1)),"")))</f>
        <v/>
      </c>
      <c r="BA87" s="13" t="str">
        <f aca="false">IF(AE87=0,"",IF(NOT(LH_Ready),0,COUNTIFS(INDEX(LH_Data,0,LH_ColFirst),$A87,INDEX(LH_Data,0,LH_ColSur),$B87,INDEX(LH_Data,0,LH_ColCat),BonusCat)))</f>
        <v/>
      </c>
      <c r="BB87" s="13" t="str">
        <f aca="false">IF(AE87=0,"",IF(OR(NOT(LH_Ready),BA87=0),0,SUMPRODUCT(MAX((INDEX(LH_Data,0,LH_ColFirst)=$A87)*(INDEX(LH_Data,0,LH_ColSur)=$B87)*(INDEX(LH_Data,0,LH_ColCat)=BonusCat)*ROW(LH_Data)))))</f>
        <v/>
      </c>
      <c r="BC87" s="0" t="str">
        <f aca="false">IF(LEN($A87&amp;$B87)=0,"",$A87&amp;" "&amp;$B87)</f>
        <v/>
      </c>
    </row>
    <row r="88" customFormat="false" ht="15" hidden="false" customHeight="false" outlineLevel="0" collapsed="false">
      <c r="A88" s="9"/>
      <c r="B88" s="9"/>
      <c r="C88" s="9"/>
      <c r="D88" s="10"/>
      <c r="E88" s="11" t="str">
        <f aca="false">IF(OR(AE88=0,$D88=""),"",DATE(YEAR(AsOfDate)+IF(DATE(YEAR(AsOfDate),MONTH($D88),DAY($D88))&lt;=AsOfDate,1,0),MONTH($D88),DAY($D88)))</f>
        <v/>
      </c>
      <c r="F88" s="10"/>
      <c r="G88" s="10"/>
      <c r="H88" s="10"/>
      <c r="I88" s="10"/>
      <c r="J88" s="10"/>
      <c r="K88" s="11" t="str">
        <f aca="false">IF(AE88=0,"",DATE(YEAR(AsOfDate)+IF(DATE(YEAR(AsOfDate),MONTH(AF88),DAY(AF88))&lt;=AsOfDate,1,0),MONTH(AF88),DAY(AF88)))</f>
        <v/>
      </c>
      <c r="L88" s="12" t="str">
        <f aca="false">IF(AE88=0,"",ROUND((AsOfDate-AF88)/365.25,1))</f>
        <v/>
      </c>
      <c r="M88" s="13" t="str">
        <f aca="false">IF(AE88=0,"",IF(AsOfDate&lt;AF88,"-",DATEDIF(AF88,AsOfDate,"y")&amp;"y "&amp;DATEDIF(AF88,AsOfDate,"ym")&amp;"m "&amp;DATEDIF(AF88,AsOfDate,"md")&amp;"d"))</f>
        <v/>
      </c>
      <c r="N88" s="14" t="str">
        <f aca="false">IF(AE88=0,"",O88*HoursPerDay)</f>
        <v/>
      </c>
      <c r="O88" s="14" t="str">
        <f aca="false">IF(AE88=0,"",AX88)</f>
        <v/>
      </c>
      <c r="P88" s="15"/>
      <c r="Q88" s="13"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13"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1" t="str">
        <f aca="false">IF(AE88=0,"",IF(AQ88="None","",EDATE(AF88,AZ88)))</f>
        <v/>
      </c>
      <c r="T88" s="14" t="str">
        <f aca="false">IF(AE88=0,"",IF(NOT(LH_Ready),"",IF(AF88&gt;PFYDate,0,IF(LH_ColPeriod=0,W88-U88+V88,SUMIFS(INDEX(LH_Data,0,LH_ColAcc),INDEX(LH_Data,0,LH_ColFirst),$A88,INDEX(LH_Data,0,LH_ColSur),$B88,INDEX(LH_Data,0,LH_ColCat),BonusCat,INDEX(LH_Data,0,LH_ColPeriod),LH_OpenLabel)*UnitFactor))))</f>
        <v/>
      </c>
      <c r="U88" s="14" t="str">
        <f aca="false">IF(AE88=0,"",IF(NOT(LH_Ready),"",SUMIFS(INDEX(LH_Data,0,LH_ColAcc),INDEX(LH_Data,0,LH_ColFirst),$A88,INDEX(LH_Data,0,LH_ColSur),$B88,INDEX(LH_Data,0,LH_ColCat),BonusCat,INDEX(LH_Data,0,LH_ColStart),"&gt;="&amp;AF88)*UnitFactor))</f>
        <v/>
      </c>
      <c r="V88" s="14" t="str">
        <f aca="false">IF(AE88=0,"",IF(NOT(LH_Ready),"",SUMIFS(INDEX(LH_Data,0,LH_ColTaken),INDEX(LH_Data,0,LH_ColFirst),$A88,INDEX(LH_Data,0,LH_ColSur),$B88,INDEX(LH_Data,0,LH_ColCat),BonusCat,INDEX(LH_Data,0,LH_ColStart),"&gt;="&amp;AF88)*UnitFactor))</f>
        <v/>
      </c>
      <c r="W88" s="14" t="str">
        <f aca="false">IF(AE88=0,"",IF(NOT(LH_Ready),"",IF(BB88=0,0,INDEX(INDEX(LH_Data,0,LH_ColClose),BB88-1)*UnitFactor)))</f>
        <v/>
      </c>
      <c r="X88" s="14" t="str">
        <f aca="false">IF(AE88=0,"",(AX88-AY88)*HoursPerDay)</f>
        <v/>
      </c>
      <c r="Y88" s="14" t="str">
        <f aca="false">IF(AE88=0,"",IF(NOT(LH_Ready),"",IF(BA88=0,N88,IF(PFYDate&lt;$F88,N88-N(T88)-N(U88),X88-N(U88)))))</f>
        <v/>
      </c>
      <c r="Z88" s="13" t="str">
        <f aca="false">IF(OR(AE88=0,Y88=""),"",IF(Y88&gt;0,"Yes","No"))</f>
        <v/>
      </c>
      <c r="AA88" s="13"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 hrs more than policy since commencement",IF(N(W88)&gt;O88*HoursPerDay+0.01,"CHECK - EH balance "&amp;ROUND(W88-O88*HoursPerDay,2)&amp;" hrs more than policy entitlement",IF(O88&gt;0,"OK - nothing to add",IF(AQ88="None",R88,"Not yet - first day on "&amp;TEXT(S88,"dd/mm/yyyy")))))))))</f>
        <v/>
      </c>
      <c r="AB88" s="14" t="str">
        <f aca="false">IF(OR(AE88=0,T88=""),"",AY88*HoursPerDay-T88)</f>
        <v/>
      </c>
      <c r="AC88" s="13" t="str">
        <f aca="false">IF(AE88=0,"",BA88)</f>
        <v/>
      </c>
      <c r="AD88" s="13"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3" t="n">
        <f aca="false">IF(OR(LEN($A88&amp;$B88)=0,$F88=""),0,1)</f>
        <v>0</v>
      </c>
      <c r="AF88" s="11" t="str">
        <f aca="false">IF(AE88=0,"",IF($J88&lt;&gt;"",$J88,IF(OR(CasualCounts="Yes",COUNT($G88:$I88)=0,COUNT($G88:$H88)=0),$F88,MIN($G88:$H88))))</f>
        <v/>
      </c>
      <c r="AG88" s="13" t="str">
        <f aca="false">IF(AE88=0,"",COUNT($G88:$I88))</f>
        <v/>
      </c>
      <c r="AH88" s="11" t="str">
        <f aca="false">IF(AE88=0,"",IFERROR(SMALL($G88:$I88,1),""))</f>
        <v/>
      </c>
      <c r="AI88" s="11" t="str">
        <f aca="false">IF(AE88=0,"",IFERROR(SMALL($G88:$I88,2),""))</f>
        <v/>
      </c>
      <c r="AJ88" s="11" t="str">
        <f aca="false">IF(AE88=0,"",IFERROR(SMALL($G88:$I88,3),""))</f>
        <v/>
      </c>
      <c r="AK88" s="13" t="str">
        <f aca="false">IF(AE88=0,"",IF(AH88="","",IF(AH88=$G88,"Part-Time",IF(AH88=$H88,"Full-Time","Casual"))))</f>
        <v/>
      </c>
      <c r="AL88" s="13" t="str">
        <f aca="false">IF(AE88=0,"",IF(AI88="","",IF(AI88=$G88,"Part-Time",IF(AI88=$H88,"Full-Time","Casual"))))</f>
        <v/>
      </c>
      <c r="AM88" s="13" t="str">
        <f aca="false">IF(AE88=0,"",IF(AJ88="","",IF(AJ88=$G88,"Part-Time",IF(AJ88=$H88,"Full-Time","Casual"))))</f>
        <v/>
      </c>
      <c r="AN88" s="13"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3" t="str">
        <f aca="false">IF(AE88=0,"",IF(AG88&lt;2,"",IF(OR(ISNUMBER(SEARCH("full",AL88)),UPPER(TRIM(AL88))="FT",UPPER(TRIM(AL88))="FTE"),"FT",IF(AND(OR(ISNUMBER(SEARCH("part",AL88)),UPPER(TRIM(AL88))="PT",UPPER(TRIM(AL88))="PTE"),OR($P88="",N($P88)&gt;=PT_MinHours)),"PT","None"))))</f>
        <v/>
      </c>
      <c r="AP88" s="13" t="str">
        <f aca="false">IF(AE88=0,"",IF(AG88&lt;3,"",IF(OR(ISNUMBER(SEARCH("full",AM88)),UPPER(TRIM(AM88))="FT",UPPER(TRIM(AM88))="FTE"),"FT",IF(AND(OR(ISNUMBER(SEARCH("part",AM88)),UPPER(TRIM(AM88))="PT",UPPER(TRIM(AM88))="PTE"),OR($P88="",N($P88)&gt;=PT_MinHours)),"PT","None"))))</f>
        <v/>
      </c>
      <c r="AQ88" s="13" t="str">
        <f aca="false">IF(AE88=0,"",IF(AND(AG88&gt;=3,AJ88&lt;=AsOfDate),AP88,IF(AND(AG88&gt;=2,AI88&lt;=AsOfDate),AO88,AN88)))</f>
        <v/>
      </c>
      <c r="AR88" s="13" t="str">
        <f aca="false">IF(AE88=0,"",IF(AsOfDate&lt;AF88,-1,12*(YEAR(AsOfDate)-YEAR(AF88))+MONTH(AsOfDate)-MONTH(AF88)-IF(DAY(AsOfDate)&lt;MIN(DAY(AF88),DAY(EOMONTH(AsOfDate,0))),1,0)))</f>
        <v/>
      </c>
      <c r="AS88" s="13" t="str">
        <f aca="false">IF(AE88=0,"",IF(OR(AG88&lt;2,AI88&gt;AsOfDate),AR88,IF((AI88-1)&lt;AF88,-1,12*(YEAR((AI88-1))-YEAR(AF88))+MONTH((AI88-1))-MONTH(AF88)-IF(DAY((AI88-1))&lt;MIN(DAY(AF88),DAY(EOMONTH((AI88-1),0))),1,0))))</f>
        <v/>
      </c>
      <c r="AT88" s="13" t="str">
        <f aca="false">IF(AE88=0,"",IF(OR(AG88&lt;3,AJ88&gt;AsOfDate),AR88,IF((AJ88-1)&lt;AF88,-1,12*(YEAR((AJ88-1))-YEAR(AF88))+MONTH((AJ88-1))-MONTH(AF88)-IF(DAY((AJ88-1))&lt;MIN(DAY(AF88),DAY(EOMONTH((AJ88-1),0))),1,0))))</f>
        <v/>
      </c>
      <c r="AU88" s="13" t="str">
        <f aca="false">IF(AE88=0,"",IF(PFYDate&lt;AF88,-1,12*(YEAR(PFYDate)-YEAR(AF88))+MONTH(PFYDate)-MONTH(AF88)-IF(DAY(PFYDate)&lt;MIN(DAY(AF88),DAY(EOMONTH(PFYDate,0))),1,0)))</f>
        <v/>
      </c>
      <c r="AV88" s="13" t="str">
        <f aca="false">IF(AE88=0,"",IF(OR(AG88&lt;2,AI88&gt;PFYDate),AU88,IF((AI88-1)&lt;AF88,-1,12*(YEAR((AI88-1))-YEAR(AF88))+MONTH((AI88-1))-MONTH(AF88)-IF(DAY((AI88-1))&lt;MIN(DAY(AF88),DAY(EOMONTH((AI88-1),0))),1,0))))</f>
        <v/>
      </c>
      <c r="AW88" s="13" t="str">
        <f aca="false">IF(AE88=0,"",IF(OR(AG88&lt;3,AJ88&gt;PFYDate),AU88,IF((AJ88-1)&lt;AF88,-1,12*(YEAR((AJ88-1))-YEAR(AF88))+MONTH((AJ88-1))-MONTH(AF88)-IF(DAY((AJ88-1))&lt;MIN(DAY(AF88),DAY(EOMONTH((AJ88-1),0))),1,0))))</f>
        <v/>
      </c>
      <c r="AX88" s="13"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3"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3" t="str">
        <f aca="false">IF(AE88=0,"",IF(AQ88="FT",IF(AR88&lt;FT_First,FT_First,IF(AR88&lt;FT_Y5,MIN(FT_Y5,FT_First+FT_Int1*(INT((AR88-FT_First)/FT_Int1)+1)),FT_Y5+12*INT((AR88-FT_Y5)/12)+FT_Int2*(INT(MOD(AR88-FT_Y5,12)/FT_Int2)+1))),IF(AQ88="PT",IF(AR88&lt;PT_First,PT_First,PT_First+PT_Int*(INT((AR88-PT_First)/PT_Int)+1)),"")))</f>
        <v/>
      </c>
      <c r="BA88" s="13" t="str">
        <f aca="false">IF(AE88=0,"",IF(NOT(LH_Ready),0,COUNTIFS(INDEX(LH_Data,0,LH_ColFirst),$A88,INDEX(LH_Data,0,LH_ColSur),$B88,INDEX(LH_Data,0,LH_ColCat),BonusCat)))</f>
        <v/>
      </c>
      <c r="BB88" s="13" t="str">
        <f aca="false">IF(AE88=0,"",IF(OR(NOT(LH_Ready),BA88=0),0,SUMPRODUCT(MAX((INDEX(LH_Data,0,LH_ColFirst)=$A88)*(INDEX(LH_Data,0,LH_ColSur)=$B88)*(INDEX(LH_Data,0,LH_ColCat)=BonusCat)*ROW(LH_Data)))))</f>
        <v/>
      </c>
      <c r="BC88" s="0" t="str">
        <f aca="false">IF(LEN($A88&amp;$B88)=0,"",$A88&amp;" "&amp;$B88)</f>
        <v/>
      </c>
    </row>
    <row r="89" customFormat="false" ht="15" hidden="false" customHeight="false" outlineLevel="0" collapsed="false">
      <c r="A89" s="9"/>
      <c r="B89" s="9"/>
      <c r="C89" s="9"/>
      <c r="D89" s="10"/>
      <c r="E89" s="11" t="str">
        <f aca="false">IF(OR(AE89=0,$D89=""),"",DATE(YEAR(AsOfDate)+IF(DATE(YEAR(AsOfDate),MONTH($D89),DAY($D89))&lt;=AsOfDate,1,0),MONTH($D89),DAY($D89)))</f>
        <v/>
      </c>
      <c r="F89" s="10"/>
      <c r="G89" s="10"/>
      <c r="H89" s="10"/>
      <c r="I89" s="10"/>
      <c r="J89" s="10"/>
      <c r="K89" s="11" t="str">
        <f aca="false">IF(AE89=0,"",DATE(YEAR(AsOfDate)+IF(DATE(YEAR(AsOfDate),MONTH(AF89),DAY(AF89))&lt;=AsOfDate,1,0),MONTH(AF89),DAY(AF89)))</f>
        <v/>
      </c>
      <c r="L89" s="12" t="str">
        <f aca="false">IF(AE89=0,"",ROUND((AsOfDate-AF89)/365.25,1))</f>
        <v/>
      </c>
      <c r="M89" s="13" t="str">
        <f aca="false">IF(AE89=0,"",IF(AsOfDate&lt;AF89,"-",DATEDIF(AF89,AsOfDate,"y")&amp;"y "&amp;DATEDIF(AF89,AsOfDate,"ym")&amp;"m "&amp;DATEDIF(AF89,AsOfDate,"md")&amp;"d"))</f>
        <v/>
      </c>
      <c r="N89" s="14" t="str">
        <f aca="false">IF(AE89=0,"",O89*HoursPerDay)</f>
        <v/>
      </c>
      <c r="O89" s="14" t="str">
        <f aca="false">IF(AE89=0,"",AX89)</f>
        <v/>
      </c>
      <c r="P89" s="15"/>
      <c r="Q89" s="13"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13"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1" t="str">
        <f aca="false">IF(AE89=0,"",IF(AQ89="None","",EDATE(AF89,AZ89)))</f>
        <v/>
      </c>
      <c r="T89" s="14" t="str">
        <f aca="false">IF(AE89=0,"",IF(NOT(LH_Ready),"",IF(AF89&gt;PFYDate,0,IF(LH_ColPeriod=0,W89-U89+V89,SUMIFS(INDEX(LH_Data,0,LH_ColAcc),INDEX(LH_Data,0,LH_ColFirst),$A89,INDEX(LH_Data,0,LH_ColSur),$B89,INDEX(LH_Data,0,LH_ColCat),BonusCat,INDEX(LH_Data,0,LH_ColPeriod),LH_OpenLabel)*UnitFactor))))</f>
        <v/>
      </c>
      <c r="U89" s="14" t="str">
        <f aca="false">IF(AE89=0,"",IF(NOT(LH_Ready),"",SUMIFS(INDEX(LH_Data,0,LH_ColAcc),INDEX(LH_Data,0,LH_ColFirst),$A89,INDEX(LH_Data,0,LH_ColSur),$B89,INDEX(LH_Data,0,LH_ColCat),BonusCat,INDEX(LH_Data,0,LH_ColStart),"&gt;="&amp;AF89)*UnitFactor))</f>
        <v/>
      </c>
      <c r="V89" s="14" t="str">
        <f aca="false">IF(AE89=0,"",IF(NOT(LH_Ready),"",SUMIFS(INDEX(LH_Data,0,LH_ColTaken),INDEX(LH_Data,0,LH_ColFirst),$A89,INDEX(LH_Data,0,LH_ColSur),$B89,INDEX(LH_Data,0,LH_ColCat),BonusCat,INDEX(LH_Data,0,LH_ColStart),"&gt;="&amp;AF89)*UnitFactor))</f>
        <v/>
      </c>
      <c r="W89" s="14" t="str">
        <f aca="false">IF(AE89=0,"",IF(NOT(LH_Ready),"",IF(BB89=0,0,INDEX(INDEX(LH_Data,0,LH_ColClose),BB89-1)*UnitFactor)))</f>
        <v/>
      </c>
      <c r="X89" s="14" t="str">
        <f aca="false">IF(AE89=0,"",(AX89-AY89)*HoursPerDay)</f>
        <v/>
      </c>
      <c r="Y89" s="14" t="str">
        <f aca="false">IF(AE89=0,"",IF(NOT(LH_Ready),"",IF(BA89=0,N89,IF(PFYDate&lt;$F89,N89-N(T89)-N(U89),X89-N(U89)))))</f>
        <v/>
      </c>
      <c r="Z89" s="13" t="str">
        <f aca="false">IF(OR(AE89=0,Y89=""),"",IF(Y89&gt;0,"Yes","No"))</f>
        <v/>
      </c>
      <c r="AA89" s="13"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 hrs more than policy since commencement",IF(N(W89)&gt;O89*HoursPerDay+0.01,"CHECK - EH balance "&amp;ROUND(W89-O89*HoursPerDay,2)&amp;" hrs more than policy entitlement",IF(O89&gt;0,"OK - nothing to add",IF(AQ89="None",R89,"Not yet - first day on "&amp;TEXT(S89,"dd/mm/yyyy")))))))))</f>
        <v/>
      </c>
      <c r="AB89" s="14" t="str">
        <f aca="false">IF(OR(AE89=0,T89=""),"",AY89*HoursPerDay-T89)</f>
        <v/>
      </c>
      <c r="AC89" s="13" t="str">
        <f aca="false">IF(AE89=0,"",BA89)</f>
        <v/>
      </c>
      <c r="AD89" s="13"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3" t="n">
        <f aca="false">IF(OR(LEN($A89&amp;$B89)=0,$F89=""),0,1)</f>
        <v>0</v>
      </c>
      <c r="AF89" s="11" t="str">
        <f aca="false">IF(AE89=0,"",IF($J89&lt;&gt;"",$J89,IF(OR(CasualCounts="Yes",COUNT($G89:$I89)=0,COUNT($G89:$H89)=0),$F89,MIN($G89:$H89))))</f>
        <v/>
      </c>
      <c r="AG89" s="13" t="str">
        <f aca="false">IF(AE89=0,"",COUNT($G89:$I89))</f>
        <v/>
      </c>
      <c r="AH89" s="11" t="str">
        <f aca="false">IF(AE89=0,"",IFERROR(SMALL($G89:$I89,1),""))</f>
        <v/>
      </c>
      <c r="AI89" s="11" t="str">
        <f aca="false">IF(AE89=0,"",IFERROR(SMALL($G89:$I89,2),""))</f>
        <v/>
      </c>
      <c r="AJ89" s="11" t="str">
        <f aca="false">IF(AE89=0,"",IFERROR(SMALL($G89:$I89,3),""))</f>
        <v/>
      </c>
      <c r="AK89" s="13" t="str">
        <f aca="false">IF(AE89=0,"",IF(AH89="","",IF(AH89=$G89,"Part-Time",IF(AH89=$H89,"Full-Time","Casual"))))</f>
        <v/>
      </c>
      <c r="AL89" s="13" t="str">
        <f aca="false">IF(AE89=0,"",IF(AI89="","",IF(AI89=$G89,"Part-Time",IF(AI89=$H89,"Full-Time","Casual"))))</f>
        <v/>
      </c>
      <c r="AM89" s="13" t="str">
        <f aca="false">IF(AE89=0,"",IF(AJ89="","",IF(AJ89=$G89,"Part-Time",IF(AJ89=$H89,"Full-Time","Casual"))))</f>
        <v/>
      </c>
      <c r="AN89" s="13"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3" t="str">
        <f aca="false">IF(AE89=0,"",IF(AG89&lt;2,"",IF(OR(ISNUMBER(SEARCH("full",AL89)),UPPER(TRIM(AL89))="FT",UPPER(TRIM(AL89))="FTE"),"FT",IF(AND(OR(ISNUMBER(SEARCH("part",AL89)),UPPER(TRIM(AL89))="PT",UPPER(TRIM(AL89))="PTE"),OR($P89="",N($P89)&gt;=PT_MinHours)),"PT","None"))))</f>
        <v/>
      </c>
      <c r="AP89" s="13" t="str">
        <f aca="false">IF(AE89=0,"",IF(AG89&lt;3,"",IF(OR(ISNUMBER(SEARCH("full",AM89)),UPPER(TRIM(AM89))="FT",UPPER(TRIM(AM89))="FTE"),"FT",IF(AND(OR(ISNUMBER(SEARCH("part",AM89)),UPPER(TRIM(AM89))="PT",UPPER(TRIM(AM89))="PTE"),OR($P89="",N($P89)&gt;=PT_MinHours)),"PT","None"))))</f>
        <v/>
      </c>
      <c r="AQ89" s="13" t="str">
        <f aca="false">IF(AE89=0,"",IF(AND(AG89&gt;=3,AJ89&lt;=AsOfDate),AP89,IF(AND(AG89&gt;=2,AI89&lt;=AsOfDate),AO89,AN89)))</f>
        <v/>
      </c>
      <c r="AR89" s="13" t="str">
        <f aca="false">IF(AE89=0,"",IF(AsOfDate&lt;AF89,-1,12*(YEAR(AsOfDate)-YEAR(AF89))+MONTH(AsOfDate)-MONTH(AF89)-IF(DAY(AsOfDate)&lt;MIN(DAY(AF89),DAY(EOMONTH(AsOfDate,0))),1,0)))</f>
        <v/>
      </c>
      <c r="AS89" s="13" t="str">
        <f aca="false">IF(AE89=0,"",IF(OR(AG89&lt;2,AI89&gt;AsOfDate),AR89,IF((AI89-1)&lt;AF89,-1,12*(YEAR((AI89-1))-YEAR(AF89))+MONTH((AI89-1))-MONTH(AF89)-IF(DAY((AI89-1))&lt;MIN(DAY(AF89),DAY(EOMONTH((AI89-1),0))),1,0))))</f>
        <v/>
      </c>
      <c r="AT89" s="13" t="str">
        <f aca="false">IF(AE89=0,"",IF(OR(AG89&lt;3,AJ89&gt;AsOfDate),AR89,IF((AJ89-1)&lt;AF89,-1,12*(YEAR((AJ89-1))-YEAR(AF89))+MONTH((AJ89-1))-MONTH(AF89)-IF(DAY((AJ89-1))&lt;MIN(DAY(AF89),DAY(EOMONTH((AJ89-1),0))),1,0))))</f>
        <v/>
      </c>
      <c r="AU89" s="13" t="str">
        <f aca="false">IF(AE89=0,"",IF(PFYDate&lt;AF89,-1,12*(YEAR(PFYDate)-YEAR(AF89))+MONTH(PFYDate)-MONTH(AF89)-IF(DAY(PFYDate)&lt;MIN(DAY(AF89),DAY(EOMONTH(PFYDate,0))),1,0)))</f>
        <v/>
      </c>
      <c r="AV89" s="13" t="str">
        <f aca="false">IF(AE89=0,"",IF(OR(AG89&lt;2,AI89&gt;PFYDate),AU89,IF((AI89-1)&lt;AF89,-1,12*(YEAR((AI89-1))-YEAR(AF89))+MONTH((AI89-1))-MONTH(AF89)-IF(DAY((AI89-1))&lt;MIN(DAY(AF89),DAY(EOMONTH((AI89-1),0))),1,0))))</f>
        <v/>
      </c>
      <c r="AW89" s="13" t="str">
        <f aca="false">IF(AE89=0,"",IF(OR(AG89&lt;3,AJ89&gt;PFYDate),AU89,IF((AJ89-1)&lt;AF89,-1,12*(YEAR((AJ89-1))-YEAR(AF89))+MONTH((AJ89-1))-MONTH(AF89)-IF(DAY((AJ89-1))&lt;MIN(DAY(AF89),DAY(EOMONTH((AJ89-1),0))),1,0))))</f>
        <v/>
      </c>
      <c r="AX89" s="13"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3"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3" t="str">
        <f aca="false">IF(AE89=0,"",IF(AQ89="FT",IF(AR89&lt;FT_First,FT_First,IF(AR89&lt;FT_Y5,MIN(FT_Y5,FT_First+FT_Int1*(INT((AR89-FT_First)/FT_Int1)+1)),FT_Y5+12*INT((AR89-FT_Y5)/12)+FT_Int2*(INT(MOD(AR89-FT_Y5,12)/FT_Int2)+1))),IF(AQ89="PT",IF(AR89&lt;PT_First,PT_First,PT_First+PT_Int*(INT((AR89-PT_First)/PT_Int)+1)),"")))</f>
        <v/>
      </c>
      <c r="BA89" s="13" t="str">
        <f aca="false">IF(AE89=0,"",IF(NOT(LH_Ready),0,COUNTIFS(INDEX(LH_Data,0,LH_ColFirst),$A89,INDEX(LH_Data,0,LH_ColSur),$B89,INDEX(LH_Data,0,LH_ColCat),BonusCat)))</f>
        <v/>
      </c>
      <c r="BB89" s="13" t="str">
        <f aca="false">IF(AE89=0,"",IF(OR(NOT(LH_Ready),BA89=0),0,SUMPRODUCT(MAX((INDEX(LH_Data,0,LH_ColFirst)=$A89)*(INDEX(LH_Data,0,LH_ColSur)=$B89)*(INDEX(LH_Data,0,LH_ColCat)=BonusCat)*ROW(LH_Data)))))</f>
        <v/>
      </c>
      <c r="BC89" s="0" t="str">
        <f aca="false">IF(LEN($A89&amp;$B89)=0,"",$A89&amp;" "&amp;$B89)</f>
        <v/>
      </c>
    </row>
    <row r="90" customFormat="false" ht="15" hidden="false" customHeight="false" outlineLevel="0" collapsed="false">
      <c r="A90" s="9"/>
      <c r="B90" s="9"/>
      <c r="C90" s="9"/>
      <c r="D90" s="10"/>
      <c r="E90" s="11" t="str">
        <f aca="false">IF(OR(AE90=0,$D90=""),"",DATE(YEAR(AsOfDate)+IF(DATE(YEAR(AsOfDate),MONTH($D90),DAY($D90))&lt;=AsOfDate,1,0),MONTH($D90),DAY($D90)))</f>
        <v/>
      </c>
      <c r="F90" s="10"/>
      <c r="G90" s="10"/>
      <c r="H90" s="10"/>
      <c r="I90" s="10"/>
      <c r="J90" s="10"/>
      <c r="K90" s="11" t="str">
        <f aca="false">IF(AE90=0,"",DATE(YEAR(AsOfDate)+IF(DATE(YEAR(AsOfDate),MONTH(AF90),DAY(AF90))&lt;=AsOfDate,1,0),MONTH(AF90),DAY(AF90)))</f>
        <v/>
      </c>
      <c r="L90" s="12" t="str">
        <f aca="false">IF(AE90=0,"",ROUND((AsOfDate-AF90)/365.25,1))</f>
        <v/>
      </c>
      <c r="M90" s="13" t="str">
        <f aca="false">IF(AE90=0,"",IF(AsOfDate&lt;AF90,"-",DATEDIF(AF90,AsOfDate,"y")&amp;"y "&amp;DATEDIF(AF90,AsOfDate,"ym")&amp;"m "&amp;DATEDIF(AF90,AsOfDate,"md")&amp;"d"))</f>
        <v/>
      </c>
      <c r="N90" s="14" t="str">
        <f aca="false">IF(AE90=0,"",O90*HoursPerDay)</f>
        <v/>
      </c>
      <c r="O90" s="14" t="str">
        <f aca="false">IF(AE90=0,"",AX90)</f>
        <v/>
      </c>
      <c r="P90" s="15"/>
      <c r="Q90" s="13"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13"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1" t="str">
        <f aca="false">IF(AE90=0,"",IF(AQ90="None","",EDATE(AF90,AZ90)))</f>
        <v/>
      </c>
      <c r="T90" s="14" t="str">
        <f aca="false">IF(AE90=0,"",IF(NOT(LH_Ready),"",IF(AF90&gt;PFYDate,0,IF(LH_ColPeriod=0,W90-U90+V90,SUMIFS(INDEX(LH_Data,0,LH_ColAcc),INDEX(LH_Data,0,LH_ColFirst),$A90,INDEX(LH_Data,0,LH_ColSur),$B90,INDEX(LH_Data,0,LH_ColCat),BonusCat,INDEX(LH_Data,0,LH_ColPeriod),LH_OpenLabel)*UnitFactor))))</f>
        <v/>
      </c>
      <c r="U90" s="14" t="str">
        <f aca="false">IF(AE90=0,"",IF(NOT(LH_Ready),"",SUMIFS(INDEX(LH_Data,0,LH_ColAcc),INDEX(LH_Data,0,LH_ColFirst),$A90,INDEX(LH_Data,0,LH_ColSur),$B90,INDEX(LH_Data,0,LH_ColCat),BonusCat,INDEX(LH_Data,0,LH_ColStart),"&gt;="&amp;AF90)*UnitFactor))</f>
        <v/>
      </c>
      <c r="V90" s="14" t="str">
        <f aca="false">IF(AE90=0,"",IF(NOT(LH_Ready),"",SUMIFS(INDEX(LH_Data,0,LH_ColTaken),INDEX(LH_Data,0,LH_ColFirst),$A90,INDEX(LH_Data,0,LH_ColSur),$B90,INDEX(LH_Data,0,LH_ColCat),BonusCat,INDEX(LH_Data,0,LH_ColStart),"&gt;="&amp;AF90)*UnitFactor))</f>
        <v/>
      </c>
      <c r="W90" s="14" t="str">
        <f aca="false">IF(AE90=0,"",IF(NOT(LH_Ready),"",IF(BB90=0,0,INDEX(INDEX(LH_Data,0,LH_ColClose),BB90-1)*UnitFactor)))</f>
        <v/>
      </c>
      <c r="X90" s="14" t="str">
        <f aca="false">IF(AE90=0,"",(AX90-AY90)*HoursPerDay)</f>
        <v/>
      </c>
      <c r="Y90" s="14" t="str">
        <f aca="false">IF(AE90=0,"",IF(NOT(LH_Ready),"",IF(BA90=0,N90,IF(PFYDate&lt;$F90,N90-N(T90)-N(U90),X90-N(U90)))))</f>
        <v/>
      </c>
      <c r="Z90" s="13" t="str">
        <f aca="false">IF(OR(AE90=0,Y90=""),"",IF(Y90&gt;0,"Yes","No"))</f>
        <v/>
      </c>
      <c r="AA90" s="13"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 hrs more than policy since commencement",IF(N(W90)&gt;O90*HoursPerDay+0.01,"CHECK - EH balance "&amp;ROUND(W90-O90*HoursPerDay,2)&amp;" hrs more than policy entitlement",IF(O90&gt;0,"OK - nothing to add",IF(AQ90="None",R90,"Not yet - first day on "&amp;TEXT(S90,"dd/mm/yyyy")))))))))</f>
        <v/>
      </c>
      <c r="AB90" s="14" t="str">
        <f aca="false">IF(OR(AE90=0,T90=""),"",AY90*HoursPerDay-T90)</f>
        <v/>
      </c>
      <c r="AC90" s="13" t="str">
        <f aca="false">IF(AE90=0,"",BA90)</f>
        <v/>
      </c>
      <c r="AD90" s="13"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3" t="n">
        <f aca="false">IF(OR(LEN($A90&amp;$B90)=0,$F90=""),0,1)</f>
        <v>0</v>
      </c>
      <c r="AF90" s="11" t="str">
        <f aca="false">IF(AE90=0,"",IF($J90&lt;&gt;"",$J90,IF(OR(CasualCounts="Yes",COUNT($G90:$I90)=0,COUNT($G90:$H90)=0),$F90,MIN($G90:$H90))))</f>
        <v/>
      </c>
      <c r="AG90" s="13" t="str">
        <f aca="false">IF(AE90=0,"",COUNT($G90:$I90))</f>
        <v/>
      </c>
      <c r="AH90" s="11" t="str">
        <f aca="false">IF(AE90=0,"",IFERROR(SMALL($G90:$I90,1),""))</f>
        <v/>
      </c>
      <c r="AI90" s="11" t="str">
        <f aca="false">IF(AE90=0,"",IFERROR(SMALL($G90:$I90,2),""))</f>
        <v/>
      </c>
      <c r="AJ90" s="11" t="str">
        <f aca="false">IF(AE90=0,"",IFERROR(SMALL($G90:$I90,3),""))</f>
        <v/>
      </c>
      <c r="AK90" s="13" t="str">
        <f aca="false">IF(AE90=0,"",IF(AH90="","",IF(AH90=$G90,"Part-Time",IF(AH90=$H90,"Full-Time","Casual"))))</f>
        <v/>
      </c>
      <c r="AL90" s="13" t="str">
        <f aca="false">IF(AE90=0,"",IF(AI90="","",IF(AI90=$G90,"Part-Time",IF(AI90=$H90,"Full-Time","Casual"))))</f>
        <v/>
      </c>
      <c r="AM90" s="13" t="str">
        <f aca="false">IF(AE90=0,"",IF(AJ90="","",IF(AJ90=$G90,"Part-Time",IF(AJ90=$H90,"Full-Time","Casual"))))</f>
        <v/>
      </c>
      <c r="AN90" s="13"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3" t="str">
        <f aca="false">IF(AE90=0,"",IF(AG90&lt;2,"",IF(OR(ISNUMBER(SEARCH("full",AL90)),UPPER(TRIM(AL90))="FT",UPPER(TRIM(AL90))="FTE"),"FT",IF(AND(OR(ISNUMBER(SEARCH("part",AL90)),UPPER(TRIM(AL90))="PT",UPPER(TRIM(AL90))="PTE"),OR($P90="",N($P90)&gt;=PT_MinHours)),"PT","None"))))</f>
        <v/>
      </c>
      <c r="AP90" s="13" t="str">
        <f aca="false">IF(AE90=0,"",IF(AG90&lt;3,"",IF(OR(ISNUMBER(SEARCH("full",AM90)),UPPER(TRIM(AM90))="FT",UPPER(TRIM(AM90))="FTE"),"FT",IF(AND(OR(ISNUMBER(SEARCH("part",AM90)),UPPER(TRIM(AM90))="PT",UPPER(TRIM(AM90))="PTE"),OR($P90="",N($P90)&gt;=PT_MinHours)),"PT","None"))))</f>
        <v/>
      </c>
      <c r="AQ90" s="13" t="str">
        <f aca="false">IF(AE90=0,"",IF(AND(AG90&gt;=3,AJ90&lt;=AsOfDate),AP90,IF(AND(AG90&gt;=2,AI90&lt;=AsOfDate),AO90,AN90)))</f>
        <v/>
      </c>
      <c r="AR90" s="13" t="str">
        <f aca="false">IF(AE90=0,"",IF(AsOfDate&lt;AF90,-1,12*(YEAR(AsOfDate)-YEAR(AF90))+MONTH(AsOfDate)-MONTH(AF90)-IF(DAY(AsOfDate)&lt;MIN(DAY(AF90),DAY(EOMONTH(AsOfDate,0))),1,0)))</f>
        <v/>
      </c>
      <c r="AS90" s="13" t="str">
        <f aca="false">IF(AE90=0,"",IF(OR(AG90&lt;2,AI90&gt;AsOfDate),AR90,IF((AI90-1)&lt;AF90,-1,12*(YEAR((AI90-1))-YEAR(AF90))+MONTH((AI90-1))-MONTH(AF90)-IF(DAY((AI90-1))&lt;MIN(DAY(AF90),DAY(EOMONTH((AI90-1),0))),1,0))))</f>
        <v/>
      </c>
      <c r="AT90" s="13" t="str">
        <f aca="false">IF(AE90=0,"",IF(OR(AG90&lt;3,AJ90&gt;AsOfDate),AR90,IF((AJ90-1)&lt;AF90,-1,12*(YEAR((AJ90-1))-YEAR(AF90))+MONTH((AJ90-1))-MONTH(AF90)-IF(DAY((AJ90-1))&lt;MIN(DAY(AF90),DAY(EOMONTH((AJ90-1),0))),1,0))))</f>
        <v/>
      </c>
      <c r="AU90" s="13" t="str">
        <f aca="false">IF(AE90=0,"",IF(PFYDate&lt;AF90,-1,12*(YEAR(PFYDate)-YEAR(AF90))+MONTH(PFYDate)-MONTH(AF90)-IF(DAY(PFYDate)&lt;MIN(DAY(AF90),DAY(EOMONTH(PFYDate,0))),1,0)))</f>
        <v/>
      </c>
      <c r="AV90" s="13" t="str">
        <f aca="false">IF(AE90=0,"",IF(OR(AG90&lt;2,AI90&gt;PFYDate),AU90,IF((AI90-1)&lt;AF90,-1,12*(YEAR((AI90-1))-YEAR(AF90))+MONTH((AI90-1))-MONTH(AF90)-IF(DAY((AI90-1))&lt;MIN(DAY(AF90),DAY(EOMONTH((AI90-1),0))),1,0))))</f>
        <v/>
      </c>
      <c r="AW90" s="13" t="str">
        <f aca="false">IF(AE90=0,"",IF(OR(AG90&lt;3,AJ90&gt;PFYDate),AU90,IF((AJ90-1)&lt;AF90,-1,12*(YEAR((AJ90-1))-YEAR(AF90))+MONTH((AJ90-1))-MONTH(AF90)-IF(DAY((AJ90-1))&lt;MIN(DAY(AF90),DAY(EOMONTH((AJ90-1),0))),1,0))))</f>
        <v/>
      </c>
      <c r="AX90" s="13"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3"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3" t="str">
        <f aca="false">IF(AE90=0,"",IF(AQ90="FT",IF(AR90&lt;FT_First,FT_First,IF(AR90&lt;FT_Y5,MIN(FT_Y5,FT_First+FT_Int1*(INT((AR90-FT_First)/FT_Int1)+1)),FT_Y5+12*INT((AR90-FT_Y5)/12)+FT_Int2*(INT(MOD(AR90-FT_Y5,12)/FT_Int2)+1))),IF(AQ90="PT",IF(AR90&lt;PT_First,PT_First,PT_First+PT_Int*(INT((AR90-PT_First)/PT_Int)+1)),"")))</f>
        <v/>
      </c>
      <c r="BA90" s="13" t="str">
        <f aca="false">IF(AE90=0,"",IF(NOT(LH_Ready),0,COUNTIFS(INDEX(LH_Data,0,LH_ColFirst),$A90,INDEX(LH_Data,0,LH_ColSur),$B90,INDEX(LH_Data,0,LH_ColCat),BonusCat)))</f>
        <v/>
      </c>
      <c r="BB90" s="13" t="str">
        <f aca="false">IF(AE90=0,"",IF(OR(NOT(LH_Ready),BA90=0),0,SUMPRODUCT(MAX((INDEX(LH_Data,0,LH_ColFirst)=$A90)*(INDEX(LH_Data,0,LH_ColSur)=$B90)*(INDEX(LH_Data,0,LH_ColCat)=BonusCat)*ROW(LH_Data)))))</f>
        <v/>
      </c>
      <c r="BC90" s="0" t="str">
        <f aca="false">IF(LEN($A90&amp;$B90)=0,"",$A90&amp;" "&amp;$B90)</f>
        <v/>
      </c>
    </row>
    <row r="91" customFormat="false" ht="15" hidden="false" customHeight="false" outlineLevel="0" collapsed="false">
      <c r="A91" s="9"/>
      <c r="B91" s="9"/>
      <c r="C91" s="9"/>
      <c r="D91" s="10"/>
      <c r="E91" s="11" t="str">
        <f aca="false">IF(OR(AE91=0,$D91=""),"",DATE(YEAR(AsOfDate)+IF(DATE(YEAR(AsOfDate),MONTH($D91),DAY($D91))&lt;=AsOfDate,1,0),MONTH($D91),DAY($D91)))</f>
        <v/>
      </c>
      <c r="F91" s="10"/>
      <c r="G91" s="10"/>
      <c r="H91" s="10"/>
      <c r="I91" s="10"/>
      <c r="J91" s="10"/>
      <c r="K91" s="11" t="str">
        <f aca="false">IF(AE91=0,"",DATE(YEAR(AsOfDate)+IF(DATE(YEAR(AsOfDate),MONTH(AF91),DAY(AF91))&lt;=AsOfDate,1,0),MONTH(AF91),DAY(AF91)))</f>
        <v/>
      </c>
      <c r="L91" s="12" t="str">
        <f aca="false">IF(AE91=0,"",ROUND((AsOfDate-AF91)/365.25,1))</f>
        <v/>
      </c>
      <c r="M91" s="13" t="str">
        <f aca="false">IF(AE91=0,"",IF(AsOfDate&lt;AF91,"-",DATEDIF(AF91,AsOfDate,"y")&amp;"y "&amp;DATEDIF(AF91,AsOfDate,"ym")&amp;"m "&amp;DATEDIF(AF91,AsOfDate,"md")&amp;"d"))</f>
        <v/>
      </c>
      <c r="N91" s="14" t="str">
        <f aca="false">IF(AE91=0,"",O91*HoursPerDay)</f>
        <v/>
      </c>
      <c r="O91" s="14" t="str">
        <f aca="false">IF(AE91=0,"",AX91)</f>
        <v/>
      </c>
      <c r="P91" s="15"/>
      <c r="Q91" s="13"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13"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1" t="str">
        <f aca="false">IF(AE91=0,"",IF(AQ91="None","",EDATE(AF91,AZ91)))</f>
        <v/>
      </c>
      <c r="T91" s="14" t="str">
        <f aca="false">IF(AE91=0,"",IF(NOT(LH_Ready),"",IF(AF91&gt;PFYDate,0,IF(LH_ColPeriod=0,W91-U91+V91,SUMIFS(INDEX(LH_Data,0,LH_ColAcc),INDEX(LH_Data,0,LH_ColFirst),$A91,INDEX(LH_Data,0,LH_ColSur),$B91,INDEX(LH_Data,0,LH_ColCat),BonusCat,INDEX(LH_Data,0,LH_ColPeriod),LH_OpenLabel)*UnitFactor))))</f>
        <v/>
      </c>
      <c r="U91" s="14" t="str">
        <f aca="false">IF(AE91=0,"",IF(NOT(LH_Ready),"",SUMIFS(INDEX(LH_Data,0,LH_ColAcc),INDEX(LH_Data,0,LH_ColFirst),$A91,INDEX(LH_Data,0,LH_ColSur),$B91,INDEX(LH_Data,0,LH_ColCat),BonusCat,INDEX(LH_Data,0,LH_ColStart),"&gt;="&amp;AF91)*UnitFactor))</f>
        <v/>
      </c>
      <c r="V91" s="14" t="str">
        <f aca="false">IF(AE91=0,"",IF(NOT(LH_Ready),"",SUMIFS(INDEX(LH_Data,0,LH_ColTaken),INDEX(LH_Data,0,LH_ColFirst),$A91,INDEX(LH_Data,0,LH_ColSur),$B91,INDEX(LH_Data,0,LH_ColCat),BonusCat,INDEX(LH_Data,0,LH_ColStart),"&gt;="&amp;AF91)*UnitFactor))</f>
        <v/>
      </c>
      <c r="W91" s="14" t="str">
        <f aca="false">IF(AE91=0,"",IF(NOT(LH_Ready),"",IF(BB91=0,0,INDEX(INDEX(LH_Data,0,LH_ColClose),BB91-1)*UnitFactor)))</f>
        <v/>
      </c>
      <c r="X91" s="14" t="str">
        <f aca="false">IF(AE91=0,"",(AX91-AY91)*HoursPerDay)</f>
        <v/>
      </c>
      <c r="Y91" s="14" t="str">
        <f aca="false">IF(AE91=0,"",IF(NOT(LH_Ready),"",IF(BA91=0,N91,IF(PFYDate&lt;$F91,N91-N(T91)-N(U91),X91-N(U91)))))</f>
        <v/>
      </c>
      <c r="Z91" s="13" t="str">
        <f aca="false">IF(OR(AE91=0,Y91=""),"",IF(Y91&gt;0,"Yes","No"))</f>
        <v/>
      </c>
      <c r="AA91" s="13"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 hrs more than policy since commencement",IF(N(W91)&gt;O91*HoursPerDay+0.01,"CHECK - EH balance "&amp;ROUND(W91-O91*HoursPerDay,2)&amp;" hrs more than policy entitlement",IF(O91&gt;0,"OK - nothing to add",IF(AQ91="None",R91,"Not yet - first day on "&amp;TEXT(S91,"dd/mm/yyyy")))))))))</f>
        <v/>
      </c>
      <c r="AB91" s="14" t="str">
        <f aca="false">IF(OR(AE91=0,T91=""),"",AY91*HoursPerDay-T91)</f>
        <v/>
      </c>
      <c r="AC91" s="13" t="str">
        <f aca="false">IF(AE91=0,"",BA91)</f>
        <v/>
      </c>
      <c r="AD91" s="13"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3" t="n">
        <f aca="false">IF(OR(LEN($A91&amp;$B91)=0,$F91=""),0,1)</f>
        <v>0</v>
      </c>
      <c r="AF91" s="11" t="str">
        <f aca="false">IF(AE91=0,"",IF($J91&lt;&gt;"",$J91,IF(OR(CasualCounts="Yes",COUNT($G91:$I91)=0,COUNT($G91:$H91)=0),$F91,MIN($G91:$H91))))</f>
        <v/>
      </c>
      <c r="AG91" s="13" t="str">
        <f aca="false">IF(AE91=0,"",COUNT($G91:$I91))</f>
        <v/>
      </c>
      <c r="AH91" s="11" t="str">
        <f aca="false">IF(AE91=0,"",IFERROR(SMALL($G91:$I91,1),""))</f>
        <v/>
      </c>
      <c r="AI91" s="11" t="str">
        <f aca="false">IF(AE91=0,"",IFERROR(SMALL($G91:$I91,2),""))</f>
        <v/>
      </c>
      <c r="AJ91" s="11" t="str">
        <f aca="false">IF(AE91=0,"",IFERROR(SMALL($G91:$I91,3),""))</f>
        <v/>
      </c>
      <c r="AK91" s="13" t="str">
        <f aca="false">IF(AE91=0,"",IF(AH91="","",IF(AH91=$G91,"Part-Time",IF(AH91=$H91,"Full-Time","Casual"))))</f>
        <v/>
      </c>
      <c r="AL91" s="13" t="str">
        <f aca="false">IF(AE91=0,"",IF(AI91="","",IF(AI91=$G91,"Part-Time",IF(AI91=$H91,"Full-Time","Casual"))))</f>
        <v/>
      </c>
      <c r="AM91" s="13" t="str">
        <f aca="false">IF(AE91=0,"",IF(AJ91="","",IF(AJ91=$G91,"Part-Time",IF(AJ91=$H91,"Full-Time","Casual"))))</f>
        <v/>
      </c>
      <c r="AN91" s="13"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3" t="str">
        <f aca="false">IF(AE91=0,"",IF(AG91&lt;2,"",IF(OR(ISNUMBER(SEARCH("full",AL91)),UPPER(TRIM(AL91))="FT",UPPER(TRIM(AL91))="FTE"),"FT",IF(AND(OR(ISNUMBER(SEARCH("part",AL91)),UPPER(TRIM(AL91))="PT",UPPER(TRIM(AL91))="PTE"),OR($P91="",N($P91)&gt;=PT_MinHours)),"PT","None"))))</f>
        <v/>
      </c>
      <c r="AP91" s="13" t="str">
        <f aca="false">IF(AE91=0,"",IF(AG91&lt;3,"",IF(OR(ISNUMBER(SEARCH("full",AM91)),UPPER(TRIM(AM91))="FT",UPPER(TRIM(AM91))="FTE"),"FT",IF(AND(OR(ISNUMBER(SEARCH("part",AM91)),UPPER(TRIM(AM91))="PT",UPPER(TRIM(AM91))="PTE"),OR($P91="",N($P91)&gt;=PT_MinHours)),"PT","None"))))</f>
        <v/>
      </c>
      <c r="AQ91" s="13" t="str">
        <f aca="false">IF(AE91=0,"",IF(AND(AG91&gt;=3,AJ91&lt;=AsOfDate),AP91,IF(AND(AG91&gt;=2,AI91&lt;=AsOfDate),AO91,AN91)))</f>
        <v/>
      </c>
      <c r="AR91" s="13" t="str">
        <f aca="false">IF(AE91=0,"",IF(AsOfDate&lt;AF91,-1,12*(YEAR(AsOfDate)-YEAR(AF91))+MONTH(AsOfDate)-MONTH(AF91)-IF(DAY(AsOfDate)&lt;MIN(DAY(AF91),DAY(EOMONTH(AsOfDate,0))),1,0)))</f>
        <v/>
      </c>
      <c r="AS91" s="13" t="str">
        <f aca="false">IF(AE91=0,"",IF(OR(AG91&lt;2,AI91&gt;AsOfDate),AR91,IF((AI91-1)&lt;AF91,-1,12*(YEAR((AI91-1))-YEAR(AF91))+MONTH((AI91-1))-MONTH(AF91)-IF(DAY((AI91-1))&lt;MIN(DAY(AF91),DAY(EOMONTH((AI91-1),0))),1,0))))</f>
        <v/>
      </c>
      <c r="AT91" s="13" t="str">
        <f aca="false">IF(AE91=0,"",IF(OR(AG91&lt;3,AJ91&gt;AsOfDate),AR91,IF((AJ91-1)&lt;AF91,-1,12*(YEAR((AJ91-1))-YEAR(AF91))+MONTH((AJ91-1))-MONTH(AF91)-IF(DAY((AJ91-1))&lt;MIN(DAY(AF91),DAY(EOMONTH((AJ91-1),0))),1,0))))</f>
        <v/>
      </c>
      <c r="AU91" s="13" t="str">
        <f aca="false">IF(AE91=0,"",IF(PFYDate&lt;AF91,-1,12*(YEAR(PFYDate)-YEAR(AF91))+MONTH(PFYDate)-MONTH(AF91)-IF(DAY(PFYDate)&lt;MIN(DAY(AF91),DAY(EOMONTH(PFYDate,0))),1,0)))</f>
        <v/>
      </c>
      <c r="AV91" s="13" t="str">
        <f aca="false">IF(AE91=0,"",IF(OR(AG91&lt;2,AI91&gt;PFYDate),AU91,IF((AI91-1)&lt;AF91,-1,12*(YEAR((AI91-1))-YEAR(AF91))+MONTH((AI91-1))-MONTH(AF91)-IF(DAY((AI91-1))&lt;MIN(DAY(AF91),DAY(EOMONTH((AI91-1),0))),1,0))))</f>
        <v/>
      </c>
      <c r="AW91" s="13" t="str">
        <f aca="false">IF(AE91=0,"",IF(OR(AG91&lt;3,AJ91&gt;PFYDate),AU91,IF((AJ91-1)&lt;AF91,-1,12*(YEAR((AJ91-1))-YEAR(AF91))+MONTH((AJ91-1))-MONTH(AF91)-IF(DAY((AJ91-1))&lt;MIN(DAY(AF91),DAY(EOMONTH((AJ91-1),0))),1,0))))</f>
        <v/>
      </c>
      <c r="AX91" s="13"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3"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3" t="str">
        <f aca="false">IF(AE91=0,"",IF(AQ91="FT",IF(AR91&lt;FT_First,FT_First,IF(AR91&lt;FT_Y5,MIN(FT_Y5,FT_First+FT_Int1*(INT((AR91-FT_First)/FT_Int1)+1)),FT_Y5+12*INT((AR91-FT_Y5)/12)+FT_Int2*(INT(MOD(AR91-FT_Y5,12)/FT_Int2)+1))),IF(AQ91="PT",IF(AR91&lt;PT_First,PT_First,PT_First+PT_Int*(INT((AR91-PT_First)/PT_Int)+1)),"")))</f>
        <v/>
      </c>
      <c r="BA91" s="13" t="str">
        <f aca="false">IF(AE91=0,"",IF(NOT(LH_Ready),0,COUNTIFS(INDEX(LH_Data,0,LH_ColFirst),$A91,INDEX(LH_Data,0,LH_ColSur),$B91,INDEX(LH_Data,0,LH_ColCat),BonusCat)))</f>
        <v/>
      </c>
      <c r="BB91" s="13" t="str">
        <f aca="false">IF(AE91=0,"",IF(OR(NOT(LH_Ready),BA91=0),0,SUMPRODUCT(MAX((INDEX(LH_Data,0,LH_ColFirst)=$A91)*(INDEX(LH_Data,0,LH_ColSur)=$B91)*(INDEX(LH_Data,0,LH_ColCat)=BonusCat)*ROW(LH_Data)))))</f>
        <v/>
      </c>
      <c r="BC91" s="0" t="str">
        <f aca="false">IF(LEN($A91&amp;$B91)=0,"",$A91&amp;" "&amp;$B91)</f>
        <v/>
      </c>
    </row>
    <row r="92" customFormat="false" ht="15" hidden="false" customHeight="false" outlineLevel="0" collapsed="false">
      <c r="A92" s="9"/>
      <c r="B92" s="9"/>
      <c r="C92" s="9"/>
      <c r="D92" s="10"/>
      <c r="E92" s="11" t="str">
        <f aca="false">IF(OR(AE92=0,$D92=""),"",DATE(YEAR(AsOfDate)+IF(DATE(YEAR(AsOfDate),MONTH($D92),DAY($D92))&lt;=AsOfDate,1,0),MONTH($D92),DAY($D92)))</f>
        <v/>
      </c>
      <c r="F92" s="10"/>
      <c r="G92" s="10"/>
      <c r="H92" s="10"/>
      <c r="I92" s="10"/>
      <c r="J92" s="10"/>
      <c r="K92" s="11" t="str">
        <f aca="false">IF(AE92=0,"",DATE(YEAR(AsOfDate)+IF(DATE(YEAR(AsOfDate),MONTH(AF92),DAY(AF92))&lt;=AsOfDate,1,0),MONTH(AF92),DAY(AF92)))</f>
        <v/>
      </c>
      <c r="L92" s="12" t="str">
        <f aca="false">IF(AE92=0,"",ROUND((AsOfDate-AF92)/365.25,1))</f>
        <v/>
      </c>
      <c r="M92" s="13" t="str">
        <f aca="false">IF(AE92=0,"",IF(AsOfDate&lt;AF92,"-",DATEDIF(AF92,AsOfDate,"y")&amp;"y "&amp;DATEDIF(AF92,AsOfDate,"ym")&amp;"m "&amp;DATEDIF(AF92,AsOfDate,"md")&amp;"d"))</f>
        <v/>
      </c>
      <c r="N92" s="14" t="str">
        <f aca="false">IF(AE92=0,"",O92*HoursPerDay)</f>
        <v/>
      </c>
      <c r="O92" s="14" t="str">
        <f aca="false">IF(AE92=0,"",AX92)</f>
        <v/>
      </c>
      <c r="P92" s="15"/>
      <c r="Q92" s="13"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13"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1" t="str">
        <f aca="false">IF(AE92=0,"",IF(AQ92="None","",EDATE(AF92,AZ92)))</f>
        <v/>
      </c>
      <c r="T92" s="14" t="str">
        <f aca="false">IF(AE92=0,"",IF(NOT(LH_Ready),"",IF(AF92&gt;PFYDate,0,IF(LH_ColPeriod=0,W92-U92+V92,SUMIFS(INDEX(LH_Data,0,LH_ColAcc),INDEX(LH_Data,0,LH_ColFirst),$A92,INDEX(LH_Data,0,LH_ColSur),$B92,INDEX(LH_Data,0,LH_ColCat),BonusCat,INDEX(LH_Data,0,LH_ColPeriod),LH_OpenLabel)*UnitFactor))))</f>
        <v/>
      </c>
      <c r="U92" s="14" t="str">
        <f aca="false">IF(AE92=0,"",IF(NOT(LH_Ready),"",SUMIFS(INDEX(LH_Data,0,LH_ColAcc),INDEX(LH_Data,0,LH_ColFirst),$A92,INDEX(LH_Data,0,LH_ColSur),$B92,INDEX(LH_Data,0,LH_ColCat),BonusCat,INDEX(LH_Data,0,LH_ColStart),"&gt;="&amp;AF92)*UnitFactor))</f>
        <v/>
      </c>
      <c r="V92" s="14" t="str">
        <f aca="false">IF(AE92=0,"",IF(NOT(LH_Ready),"",SUMIFS(INDEX(LH_Data,0,LH_ColTaken),INDEX(LH_Data,0,LH_ColFirst),$A92,INDEX(LH_Data,0,LH_ColSur),$B92,INDEX(LH_Data,0,LH_ColCat),BonusCat,INDEX(LH_Data,0,LH_ColStart),"&gt;="&amp;AF92)*UnitFactor))</f>
        <v/>
      </c>
      <c r="W92" s="14" t="str">
        <f aca="false">IF(AE92=0,"",IF(NOT(LH_Ready),"",IF(BB92=0,0,INDEX(INDEX(LH_Data,0,LH_ColClose),BB92-1)*UnitFactor)))</f>
        <v/>
      </c>
      <c r="X92" s="14" t="str">
        <f aca="false">IF(AE92=0,"",(AX92-AY92)*HoursPerDay)</f>
        <v/>
      </c>
      <c r="Y92" s="14" t="str">
        <f aca="false">IF(AE92=0,"",IF(NOT(LH_Ready),"",IF(BA92=0,N92,IF(PFYDate&lt;$F92,N92-N(T92)-N(U92),X92-N(U92)))))</f>
        <v/>
      </c>
      <c r="Z92" s="13" t="str">
        <f aca="false">IF(OR(AE92=0,Y92=""),"",IF(Y92&gt;0,"Yes","No"))</f>
        <v/>
      </c>
      <c r="AA92" s="13"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 hrs more than policy since commencement",IF(N(W92)&gt;O92*HoursPerDay+0.01,"CHECK - EH balance "&amp;ROUND(W92-O92*HoursPerDay,2)&amp;" hrs more than policy entitlement",IF(O92&gt;0,"OK - nothing to add",IF(AQ92="None",R92,"Not yet - first day on "&amp;TEXT(S92,"dd/mm/yyyy")))))))))</f>
        <v/>
      </c>
      <c r="AB92" s="14" t="str">
        <f aca="false">IF(OR(AE92=0,T92=""),"",AY92*HoursPerDay-T92)</f>
        <v/>
      </c>
      <c r="AC92" s="13" t="str">
        <f aca="false">IF(AE92=0,"",BA92)</f>
        <v/>
      </c>
      <c r="AD92" s="13"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3" t="n">
        <f aca="false">IF(OR(LEN($A92&amp;$B92)=0,$F92=""),0,1)</f>
        <v>0</v>
      </c>
      <c r="AF92" s="11" t="str">
        <f aca="false">IF(AE92=0,"",IF($J92&lt;&gt;"",$J92,IF(OR(CasualCounts="Yes",COUNT($G92:$I92)=0,COUNT($G92:$H92)=0),$F92,MIN($G92:$H92))))</f>
        <v/>
      </c>
      <c r="AG92" s="13" t="str">
        <f aca="false">IF(AE92=0,"",COUNT($G92:$I92))</f>
        <v/>
      </c>
      <c r="AH92" s="11" t="str">
        <f aca="false">IF(AE92=0,"",IFERROR(SMALL($G92:$I92,1),""))</f>
        <v/>
      </c>
      <c r="AI92" s="11" t="str">
        <f aca="false">IF(AE92=0,"",IFERROR(SMALL($G92:$I92,2),""))</f>
        <v/>
      </c>
      <c r="AJ92" s="11" t="str">
        <f aca="false">IF(AE92=0,"",IFERROR(SMALL($G92:$I92,3),""))</f>
        <v/>
      </c>
      <c r="AK92" s="13" t="str">
        <f aca="false">IF(AE92=0,"",IF(AH92="","",IF(AH92=$G92,"Part-Time",IF(AH92=$H92,"Full-Time","Casual"))))</f>
        <v/>
      </c>
      <c r="AL92" s="13" t="str">
        <f aca="false">IF(AE92=0,"",IF(AI92="","",IF(AI92=$G92,"Part-Time",IF(AI92=$H92,"Full-Time","Casual"))))</f>
        <v/>
      </c>
      <c r="AM92" s="13" t="str">
        <f aca="false">IF(AE92=0,"",IF(AJ92="","",IF(AJ92=$G92,"Part-Time",IF(AJ92=$H92,"Full-Time","Casual"))))</f>
        <v/>
      </c>
      <c r="AN92" s="13"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3" t="str">
        <f aca="false">IF(AE92=0,"",IF(AG92&lt;2,"",IF(OR(ISNUMBER(SEARCH("full",AL92)),UPPER(TRIM(AL92))="FT",UPPER(TRIM(AL92))="FTE"),"FT",IF(AND(OR(ISNUMBER(SEARCH("part",AL92)),UPPER(TRIM(AL92))="PT",UPPER(TRIM(AL92))="PTE"),OR($P92="",N($P92)&gt;=PT_MinHours)),"PT","None"))))</f>
        <v/>
      </c>
      <c r="AP92" s="13" t="str">
        <f aca="false">IF(AE92=0,"",IF(AG92&lt;3,"",IF(OR(ISNUMBER(SEARCH("full",AM92)),UPPER(TRIM(AM92))="FT",UPPER(TRIM(AM92))="FTE"),"FT",IF(AND(OR(ISNUMBER(SEARCH("part",AM92)),UPPER(TRIM(AM92))="PT",UPPER(TRIM(AM92))="PTE"),OR($P92="",N($P92)&gt;=PT_MinHours)),"PT","None"))))</f>
        <v/>
      </c>
      <c r="AQ92" s="13" t="str">
        <f aca="false">IF(AE92=0,"",IF(AND(AG92&gt;=3,AJ92&lt;=AsOfDate),AP92,IF(AND(AG92&gt;=2,AI92&lt;=AsOfDate),AO92,AN92)))</f>
        <v/>
      </c>
      <c r="AR92" s="13" t="str">
        <f aca="false">IF(AE92=0,"",IF(AsOfDate&lt;AF92,-1,12*(YEAR(AsOfDate)-YEAR(AF92))+MONTH(AsOfDate)-MONTH(AF92)-IF(DAY(AsOfDate)&lt;MIN(DAY(AF92),DAY(EOMONTH(AsOfDate,0))),1,0)))</f>
        <v/>
      </c>
      <c r="AS92" s="13" t="str">
        <f aca="false">IF(AE92=0,"",IF(OR(AG92&lt;2,AI92&gt;AsOfDate),AR92,IF((AI92-1)&lt;AF92,-1,12*(YEAR((AI92-1))-YEAR(AF92))+MONTH((AI92-1))-MONTH(AF92)-IF(DAY((AI92-1))&lt;MIN(DAY(AF92),DAY(EOMONTH((AI92-1),0))),1,0))))</f>
        <v/>
      </c>
      <c r="AT92" s="13" t="str">
        <f aca="false">IF(AE92=0,"",IF(OR(AG92&lt;3,AJ92&gt;AsOfDate),AR92,IF((AJ92-1)&lt;AF92,-1,12*(YEAR((AJ92-1))-YEAR(AF92))+MONTH((AJ92-1))-MONTH(AF92)-IF(DAY((AJ92-1))&lt;MIN(DAY(AF92),DAY(EOMONTH((AJ92-1),0))),1,0))))</f>
        <v/>
      </c>
      <c r="AU92" s="13" t="str">
        <f aca="false">IF(AE92=0,"",IF(PFYDate&lt;AF92,-1,12*(YEAR(PFYDate)-YEAR(AF92))+MONTH(PFYDate)-MONTH(AF92)-IF(DAY(PFYDate)&lt;MIN(DAY(AF92),DAY(EOMONTH(PFYDate,0))),1,0)))</f>
        <v/>
      </c>
      <c r="AV92" s="13" t="str">
        <f aca="false">IF(AE92=0,"",IF(OR(AG92&lt;2,AI92&gt;PFYDate),AU92,IF((AI92-1)&lt;AF92,-1,12*(YEAR((AI92-1))-YEAR(AF92))+MONTH((AI92-1))-MONTH(AF92)-IF(DAY((AI92-1))&lt;MIN(DAY(AF92),DAY(EOMONTH((AI92-1),0))),1,0))))</f>
        <v/>
      </c>
      <c r="AW92" s="13" t="str">
        <f aca="false">IF(AE92=0,"",IF(OR(AG92&lt;3,AJ92&gt;PFYDate),AU92,IF((AJ92-1)&lt;AF92,-1,12*(YEAR((AJ92-1))-YEAR(AF92))+MONTH((AJ92-1))-MONTH(AF92)-IF(DAY((AJ92-1))&lt;MIN(DAY(AF92),DAY(EOMONTH((AJ92-1),0))),1,0))))</f>
        <v/>
      </c>
      <c r="AX92" s="13"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3"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3" t="str">
        <f aca="false">IF(AE92=0,"",IF(AQ92="FT",IF(AR92&lt;FT_First,FT_First,IF(AR92&lt;FT_Y5,MIN(FT_Y5,FT_First+FT_Int1*(INT((AR92-FT_First)/FT_Int1)+1)),FT_Y5+12*INT((AR92-FT_Y5)/12)+FT_Int2*(INT(MOD(AR92-FT_Y5,12)/FT_Int2)+1))),IF(AQ92="PT",IF(AR92&lt;PT_First,PT_First,PT_First+PT_Int*(INT((AR92-PT_First)/PT_Int)+1)),"")))</f>
        <v/>
      </c>
      <c r="BA92" s="13" t="str">
        <f aca="false">IF(AE92=0,"",IF(NOT(LH_Ready),0,COUNTIFS(INDEX(LH_Data,0,LH_ColFirst),$A92,INDEX(LH_Data,0,LH_ColSur),$B92,INDEX(LH_Data,0,LH_ColCat),BonusCat)))</f>
        <v/>
      </c>
      <c r="BB92" s="13" t="str">
        <f aca="false">IF(AE92=0,"",IF(OR(NOT(LH_Ready),BA92=0),0,SUMPRODUCT(MAX((INDEX(LH_Data,0,LH_ColFirst)=$A92)*(INDEX(LH_Data,0,LH_ColSur)=$B92)*(INDEX(LH_Data,0,LH_ColCat)=BonusCat)*ROW(LH_Data)))))</f>
        <v/>
      </c>
      <c r="BC92" s="0" t="str">
        <f aca="false">IF(LEN($A92&amp;$B92)=0,"",$A92&amp;" "&amp;$B92)</f>
        <v/>
      </c>
    </row>
    <row r="93" customFormat="false" ht="15" hidden="false" customHeight="false" outlineLevel="0" collapsed="false">
      <c r="A93" s="9"/>
      <c r="B93" s="9"/>
      <c r="C93" s="9"/>
      <c r="D93" s="10"/>
      <c r="E93" s="11" t="str">
        <f aca="false">IF(OR(AE93=0,$D93=""),"",DATE(YEAR(AsOfDate)+IF(DATE(YEAR(AsOfDate),MONTH($D93),DAY($D93))&lt;=AsOfDate,1,0),MONTH($D93),DAY($D93)))</f>
        <v/>
      </c>
      <c r="F93" s="10"/>
      <c r="G93" s="10"/>
      <c r="H93" s="10"/>
      <c r="I93" s="10"/>
      <c r="J93" s="10"/>
      <c r="K93" s="11" t="str">
        <f aca="false">IF(AE93=0,"",DATE(YEAR(AsOfDate)+IF(DATE(YEAR(AsOfDate),MONTH(AF93),DAY(AF93))&lt;=AsOfDate,1,0),MONTH(AF93),DAY(AF93)))</f>
        <v/>
      </c>
      <c r="L93" s="12" t="str">
        <f aca="false">IF(AE93=0,"",ROUND((AsOfDate-AF93)/365.25,1))</f>
        <v/>
      </c>
      <c r="M93" s="13" t="str">
        <f aca="false">IF(AE93=0,"",IF(AsOfDate&lt;AF93,"-",DATEDIF(AF93,AsOfDate,"y")&amp;"y "&amp;DATEDIF(AF93,AsOfDate,"ym")&amp;"m "&amp;DATEDIF(AF93,AsOfDate,"md")&amp;"d"))</f>
        <v/>
      </c>
      <c r="N93" s="14" t="str">
        <f aca="false">IF(AE93=0,"",O93*HoursPerDay)</f>
        <v/>
      </c>
      <c r="O93" s="14" t="str">
        <f aca="false">IF(AE93=0,"",AX93)</f>
        <v/>
      </c>
      <c r="P93" s="15"/>
      <c r="Q93" s="13"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13"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1" t="str">
        <f aca="false">IF(AE93=0,"",IF(AQ93="None","",EDATE(AF93,AZ93)))</f>
        <v/>
      </c>
      <c r="T93" s="14" t="str">
        <f aca="false">IF(AE93=0,"",IF(NOT(LH_Ready),"",IF(AF93&gt;PFYDate,0,IF(LH_ColPeriod=0,W93-U93+V93,SUMIFS(INDEX(LH_Data,0,LH_ColAcc),INDEX(LH_Data,0,LH_ColFirst),$A93,INDEX(LH_Data,0,LH_ColSur),$B93,INDEX(LH_Data,0,LH_ColCat),BonusCat,INDEX(LH_Data,0,LH_ColPeriod),LH_OpenLabel)*UnitFactor))))</f>
        <v/>
      </c>
      <c r="U93" s="14" t="str">
        <f aca="false">IF(AE93=0,"",IF(NOT(LH_Ready),"",SUMIFS(INDEX(LH_Data,0,LH_ColAcc),INDEX(LH_Data,0,LH_ColFirst),$A93,INDEX(LH_Data,0,LH_ColSur),$B93,INDEX(LH_Data,0,LH_ColCat),BonusCat,INDEX(LH_Data,0,LH_ColStart),"&gt;="&amp;AF93)*UnitFactor))</f>
        <v/>
      </c>
      <c r="V93" s="14" t="str">
        <f aca="false">IF(AE93=0,"",IF(NOT(LH_Ready),"",SUMIFS(INDEX(LH_Data,0,LH_ColTaken),INDEX(LH_Data,0,LH_ColFirst),$A93,INDEX(LH_Data,0,LH_ColSur),$B93,INDEX(LH_Data,0,LH_ColCat),BonusCat,INDEX(LH_Data,0,LH_ColStart),"&gt;="&amp;AF93)*UnitFactor))</f>
        <v/>
      </c>
      <c r="W93" s="14" t="str">
        <f aca="false">IF(AE93=0,"",IF(NOT(LH_Ready),"",IF(BB93=0,0,INDEX(INDEX(LH_Data,0,LH_ColClose),BB93-1)*UnitFactor)))</f>
        <v/>
      </c>
      <c r="X93" s="14" t="str">
        <f aca="false">IF(AE93=0,"",(AX93-AY93)*HoursPerDay)</f>
        <v/>
      </c>
      <c r="Y93" s="14" t="str">
        <f aca="false">IF(AE93=0,"",IF(NOT(LH_Ready),"",IF(BA93=0,N93,IF(PFYDate&lt;$F93,N93-N(T93)-N(U93),X93-N(U93)))))</f>
        <v/>
      </c>
      <c r="Z93" s="13" t="str">
        <f aca="false">IF(OR(AE93=0,Y93=""),"",IF(Y93&gt;0,"Yes","No"))</f>
        <v/>
      </c>
      <c r="AA93" s="13"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 hrs more than policy since commencement",IF(N(W93)&gt;O93*HoursPerDay+0.01,"CHECK - EH balance "&amp;ROUND(W93-O93*HoursPerDay,2)&amp;" hrs more than policy entitlement",IF(O93&gt;0,"OK - nothing to add",IF(AQ93="None",R93,"Not yet - first day on "&amp;TEXT(S93,"dd/mm/yyyy")))))))))</f>
        <v/>
      </c>
      <c r="AB93" s="14" t="str">
        <f aca="false">IF(OR(AE93=0,T93=""),"",AY93*HoursPerDay-T93)</f>
        <v/>
      </c>
      <c r="AC93" s="13" t="str">
        <f aca="false">IF(AE93=0,"",BA93)</f>
        <v/>
      </c>
      <c r="AD93" s="13"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3" t="n">
        <f aca="false">IF(OR(LEN($A93&amp;$B93)=0,$F93=""),0,1)</f>
        <v>0</v>
      </c>
      <c r="AF93" s="11" t="str">
        <f aca="false">IF(AE93=0,"",IF($J93&lt;&gt;"",$J93,IF(OR(CasualCounts="Yes",COUNT($G93:$I93)=0,COUNT($G93:$H93)=0),$F93,MIN($G93:$H93))))</f>
        <v/>
      </c>
      <c r="AG93" s="13" t="str">
        <f aca="false">IF(AE93=0,"",COUNT($G93:$I93))</f>
        <v/>
      </c>
      <c r="AH93" s="11" t="str">
        <f aca="false">IF(AE93=0,"",IFERROR(SMALL($G93:$I93,1),""))</f>
        <v/>
      </c>
      <c r="AI93" s="11" t="str">
        <f aca="false">IF(AE93=0,"",IFERROR(SMALL($G93:$I93,2),""))</f>
        <v/>
      </c>
      <c r="AJ93" s="11" t="str">
        <f aca="false">IF(AE93=0,"",IFERROR(SMALL($G93:$I93,3),""))</f>
        <v/>
      </c>
      <c r="AK93" s="13" t="str">
        <f aca="false">IF(AE93=0,"",IF(AH93="","",IF(AH93=$G93,"Part-Time",IF(AH93=$H93,"Full-Time","Casual"))))</f>
        <v/>
      </c>
      <c r="AL93" s="13" t="str">
        <f aca="false">IF(AE93=0,"",IF(AI93="","",IF(AI93=$G93,"Part-Time",IF(AI93=$H93,"Full-Time","Casual"))))</f>
        <v/>
      </c>
      <c r="AM93" s="13" t="str">
        <f aca="false">IF(AE93=0,"",IF(AJ93="","",IF(AJ93=$G93,"Part-Time",IF(AJ93=$H93,"Full-Time","Casual"))))</f>
        <v/>
      </c>
      <c r="AN93" s="13"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3" t="str">
        <f aca="false">IF(AE93=0,"",IF(AG93&lt;2,"",IF(OR(ISNUMBER(SEARCH("full",AL93)),UPPER(TRIM(AL93))="FT",UPPER(TRIM(AL93))="FTE"),"FT",IF(AND(OR(ISNUMBER(SEARCH("part",AL93)),UPPER(TRIM(AL93))="PT",UPPER(TRIM(AL93))="PTE"),OR($P93="",N($P93)&gt;=PT_MinHours)),"PT","None"))))</f>
        <v/>
      </c>
      <c r="AP93" s="13" t="str">
        <f aca="false">IF(AE93=0,"",IF(AG93&lt;3,"",IF(OR(ISNUMBER(SEARCH("full",AM93)),UPPER(TRIM(AM93))="FT",UPPER(TRIM(AM93))="FTE"),"FT",IF(AND(OR(ISNUMBER(SEARCH("part",AM93)),UPPER(TRIM(AM93))="PT",UPPER(TRIM(AM93))="PTE"),OR($P93="",N($P93)&gt;=PT_MinHours)),"PT","None"))))</f>
        <v/>
      </c>
      <c r="AQ93" s="13" t="str">
        <f aca="false">IF(AE93=0,"",IF(AND(AG93&gt;=3,AJ93&lt;=AsOfDate),AP93,IF(AND(AG93&gt;=2,AI93&lt;=AsOfDate),AO93,AN93)))</f>
        <v/>
      </c>
      <c r="AR93" s="13" t="str">
        <f aca="false">IF(AE93=0,"",IF(AsOfDate&lt;AF93,-1,12*(YEAR(AsOfDate)-YEAR(AF93))+MONTH(AsOfDate)-MONTH(AF93)-IF(DAY(AsOfDate)&lt;MIN(DAY(AF93),DAY(EOMONTH(AsOfDate,0))),1,0)))</f>
        <v/>
      </c>
      <c r="AS93" s="13" t="str">
        <f aca="false">IF(AE93=0,"",IF(OR(AG93&lt;2,AI93&gt;AsOfDate),AR93,IF((AI93-1)&lt;AF93,-1,12*(YEAR((AI93-1))-YEAR(AF93))+MONTH((AI93-1))-MONTH(AF93)-IF(DAY((AI93-1))&lt;MIN(DAY(AF93),DAY(EOMONTH((AI93-1),0))),1,0))))</f>
        <v/>
      </c>
      <c r="AT93" s="13" t="str">
        <f aca="false">IF(AE93=0,"",IF(OR(AG93&lt;3,AJ93&gt;AsOfDate),AR93,IF((AJ93-1)&lt;AF93,-1,12*(YEAR((AJ93-1))-YEAR(AF93))+MONTH((AJ93-1))-MONTH(AF93)-IF(DAY((AJ93-1))&lt;MIN(DAY(AF93),DAY(EOMONTH((AJ93-1),0))),1,0))))</f>
        <v/>
      </c>
      <c r="AU93" s="13" t="str">
        <f aca="false">IF(AE93=0,"",IF(PFYDate&lt;AF93,-1,12*(YEAR(PFYDate)-YEAR(AF93))+MONTH(PFYDate)-MONTH(AF93)-IF(DAY(PFYDate)&lt;MIN(DAY(AF93),DAY(EOMONTH(PFYDate,0))),1,0)))</f>
        <v/>
      </c>
      <c r="AV93" s="13" t="str">
        <f aca="false">IF(AE93=0,"",IF(OR(AG93&lt;2,AI93&gt;PFYDate),AU93,IF((AI93-1)&lt;AF93,-1,12*(YEAR((AI93-1))-YEAR(AF93))+MONTH((AI93-1))-MONTH(AF93)-IF(DAY((AI93-1))&lt;MIN(DAY(AF93),DAY(EOMONTH((AI93-1),0))),1,0))))</f>
        <v/>
      </c>
      <c r="AW93" s="13" t="str">
        <f aca="false">IF(AE93=0,"",IF(OR(AG93&lt;3,AJ93&gt;PFYDate),AU93,IF((AJ93-1)&lt;AF93,-1,12*(YEAR((AJ93-1))-YEAR(AF93))+MONTH((AJ93-1))-MONTH(AF93)-IF(DAY((AJ93-1))&lt;MIN(DAY(AF93),DAY(EOMONTH((AJ93-1),0))),1,0))))</f>
        <v/>
      </c>
      <c r="AX93" s="13"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3"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3" t="str">
        <f aca="false">IF(AE93=0,"",IF(AQ93="FT",IF(AR93&lt;FT_First,FT_First,IF(AR93&lt;FT_Y5,MIN(FT_Y5,FT_First+FT_Int1*(INT((AR93-FT_First)/FT_Int1)+1)),FT_Y5+12*INT((AR93-FT_Y5)/12)+FT_Int2*(INT(MOD(AR93-FT_Y5,12)/FT_Int2)+1))),IF(AQ93="PT",IF(AR93&lt;PT_First,PT_First,PT_First+PT_Int*(INT((AR93-PT_First)/PT_Int)+1)),"")))</f>
        <v/>
      </c>
      <c r="BA93" s="13" t="str">
        <f aca="false">IF(AE93=0,"",IF(NOT(LH_Ready),0,COUNTIFS(INDEX(LH_Data,0,LH_ColFirst),$A93,INDEX(LH_Data,0,LH_ColSur),$B93,INDEX(LH_Data,0,LH_ColCat),BonusCat)))</f>
        <v/>
      </c>
      <c r="BB93" s="13" t="str">
        <f aca="false">IF(AE93=0,"",IF(OR(NOT(LH_Ready),BA93=0),0,SUMPRODUCT(MAX((INDEX(LH_Data,0,LH_ColFirst)=$A93)*(INDEX(LH_Data,0,LH_ColSur)=$B93)*(INDEX(LH_Data,0,LH_ColCat)=BonusCat)*ROW(LH_Data)))))</f>
        <v/>
      </c>
      <c r="BC93" s="0" t="str">
        <f aca="false">IF(LEN($A93&amp;$B93)=0,"",$A93&amp;" "&amp;$B93)</f>
        <v/>
      </c>
    </row>
    <row r="94" customFormat="false" ht="15" hidden="false" customHeight="false" outlineLevel="0" collapsed="false">
      <c r="A94" s="9"/>
      <c r="B94" s="9"/>
      <c r="C94" s="9"/>
      <c r="D94" s="10"/>
      <c r="E94" s="11" t="str">
        <f aca="false">IF(OR(AE94=0,$D94=""),"",DATE(YEAR(AsOfDate)+IF(DATE(YEAR(AsOfDate),MONTH($D94),DAY($D94))&lt;=AsOfDate,1,0),MONTH($D94),DAY($D94)))</f>
        <v/>
      </c>
      <c r="F94" s="10"/>
      <c r="G94" s="10"/>
      <c r="H94" s="10"/>
      <c r="I94" s="10"/>
      <c r="J94" s="10"/>
      <c r="K94" s="11" t="str">
        <f aca="false">IF(AE94=0,"",DATE(YEAR(AsOfDate)+IF(DATE(YEAR(AsOfDate),MONTH(AF94),DAY(AF94))&lt;=AsOfDate,1,0),MONTH(AF94),DAY(AF94)))</f>
        <v/>
      </c>
      <c r="L94" s="12" t="str">
        <f aca="false">IF(AE94=0,"",ROUND((AsOfDate-AF94)/365.25,1))</f>
        <v/>
      </c>
      <c r="M94" s="13" t="str">
        <f aca="false">IF(AE94=0,"",IF(AsOfDate&lt;AF94,"-",DATEDIF(AF94,AsOfDate,"y")&amp;"y "&amp;DATEDIF(AF94,AsOfDate,"ym")&amp;"m "&amp;DATEDIF(AF94,AsOfDate,"md")&amp;"d"))</f>
        <v/>
      </c>
      <c r="N94" s="14" t="str">
        <f aca="false">IF(AE94=0,"",O94*HoursPerDay)</f>
        <v/>
      </c>
      <c r="O94" s="14" t="str">
        <f aca="false">IF(AE94=0,"",AX94)</f>
        <v/>
      </c>
      <c r="P94" s="15"/>
      <c r="Q94" s="13"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13"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1" t="str">
        <f aca="false">IF(AE94=0,"",IF(AQ94="None","",EDATE(AF94,AZ94)))</f>
        <v/>
      </c>
      <c r="T94" s="14" t="str">
        <f aca="false">IF(AE94=0,"",IF(NOT(LH_Ready),"",IF(AF94&gt;PFYDate,0,IF(LH_ColPeriod=0,W94-U94+V94,SUMIFS(INDEX(LH_Data,0,LH_ColAcc),INDEX(LH_Data,0,LH_ColFirst),$A94,INDEX(LH_Data,0,LH_ColSur),$B94,INDEX(LH_Data,0,LH_ColCat),BonusCat,INDEX(LH_Data,0,LH_ColPeriod),LH_OpenLabel)*UnitFactor))))</f>
        <v/>
      </c>
      <c r="U94" s="14" t="str">
        <f aca="false">IF(AE94=0,"",IF(NOT(LH_Ready),"",SUMIFS(INDEX(LH_Data,0,LH_ColAcc),INDEX(LH_Data,0,LH_ColFirst),$A94,INDEX(LH_Data,0,LH_ColSur),$B94,INDEX(LH_Data,0,LH_ColCat),BonusCat,INDEX(LH_Data,0,LH_ColStart),"&gt;="&amp;AF94)*UnitFactor))</f>
        <v/>
      </c>
      <c r="V94" s="14" t="str">
        <f aca="false">IF(AE94=0,"",IF(NOT(LH_Ready),"",SUMIFS(INDEX(LH_Data,0,LH_ColTaken),INDEX(LH_Data,0,LH_ColFirst),$A94,INDEX(LH_Data,0,LH_ColSur),$B94,INDEX(LH_Data,0,LH_ColCat),BonusCat,INDEX(LH_Data,0,LH_ColStart),"&gt;="&amp;AF94)*UnitFactor))</f>
        <v/>
      </c>
      <c r="W94" s="14" t="str">
        <f aca="false">IF(AE94=0,"",IF(NOT(LH_Ready),"",IF(BB94=0,0,INDEX(INDEX(LH_Data,0,LH_ColClose),BB94-1)*UnitFactor)))</f>
        <v/>
      </c>
      <c r="X94" s="14" t="str">
        <f aca="false">IF(AE94=0,"",(AX94-AY94)*HoursPerDay)</f>
        <v/>
      </c>
      <c r="Y94" s="14" t="str">
        <f aca="false">IF(AE94=0,"",IF(NOT(LH_Ready),"",IF(BA94=0,N94,IF(PFYDate&lt;$F94,N94-N(T94)-N(U94),X94-N(U94)))))</f>
        <v/>
      </c>
      <c r="Z94" s="13" t="str">
        <f aca="false">IF(OR(AE94=0,Y94=""),"",IF(Y94&gt;0,"Yes","No"))</f>
        <v/>
      </c>
      <c r="AA94" s="13"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 hrs more than policy since commencement",IF(N(W94)&gt;O94*HoursPerDay+0.01,"CHECK - EH balance "&amp;ROUND(W94-O94*HoursPerDay,2)&amp;" hrs more than policy entitlement",IF(O94&gt;0,"OK - nothing to add",IF(AQ94="None",R94,"Not yet - first day on "&amp;TEXT(S94,"dd/mm/yyyy")))))))))</f>
        <v/>
      </c>
      <c r="AB94" s="14" t="str">
        <f aca="false">IF(OR(AE94=0,T94=""),"",AY94*HoursPerDay-T94)</f>
        <v/>
      </c>
      <c r="AC94" s="13" t="str">
        <f aca="false">IF(AE94=0,"",BA94)</f>
        <v/>
      </c>
      <c r="AD94" s="13"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3" t="n">
        <f aca="false">IF(OR(LEN($A94&amp;$B94)=0,$F94=""),0,1)</f>
        <v>0</v>
      </c>
      <c r="AF94" s="11" t="str">
        <f aca="false">IF(AE94=0,"",IF($J94&lt;&gt;"",$J94,IF(OR(CasualCounts="Yes",COUNT($G94:$I94)=0,COUNT($G94:$H94)=0),$F94,MIN($G94:$H94))))</f>
        <v/>
      </c>
      <c r="AG94" s="13" t="str">
        <f aca="false">IF(AE94=0,"",COUNT($G94:$I94))</f>
        <v/>
      </c>
      <c r="AH94" s="11" t="str">
        <f aca="false">IF(AE94=0,"",IFERROR(SMALL($G94:$I94,1),""))</f>
        <v/>
      </c>
      <c r="AI94" s="11" t="str">
        <f aca="false">IF(AE94=0,"",IFERROR(SMALL($G94:$I94,2),""))</f>
        <v/>
      </c>
      <c r="AJ94" s="11" t="str">
        <f aca="false">IF(AE94=0,"",IFERROR(SMALL($G94:$I94,3),""))</f>
        <v/>
      </c>
      <c r="AK94" s="13" t="str">
        <f aca="false">IF(AE94=0,"",IF(AH94="","",IF(AH94=$G94,"Part-Time",IF(AH94=$H94,"Full-Time","Casual"))))</f>
        <v/>
      </c>
      <c r="AL94" s="13" t="str">
        <f aca="false">IF(AE94=0,"",IF(AI94="","",IF(AI94=$G94,"Part-Time",IF(AI94=$H94,"Full-Time","Casual"))))</f>
        <v/>
      </c>
      <c r="AM94" s="13" t="str">
        <f aca="false">IF(AE94=0,"",IF(AJ94="","",IF(AJ94=$G94,"Part-Time",IF(AJ94=$H94,"Full-Time","Casual"))))</f>
        <v/>
      </c>
      <c r="AN94" s="13"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3" t="str">
        <f aca="false">IF(AE94=0,"",IF(AG94&lt;2,"",IF(OR(ISNUMBER(SEARCH("full",AL94)),UPPER(TRIM(AL94))="FT",UPPER(TRIM(AL94))="FTE"),"FT",IF(AND(OR(ISNUMBER(SEARCH("part",AL94)),UPPER(TRIM(AL94))="PT",UPPER(TRIM(AL94))="PTE"),OR($P94="",N($P94)&gt;=PT_MinHours)),"PT","None"))))</f>
        <v/>
      </c>
      <c r="AP94" s="13" t="str">
        <f aca="false">IF(AE94=0,"",IF(AG94&lt;3,"",IF(OR(ISNUMBER(SEARCH("full",AM94)),UPPER(TRIM(AM94))="FT",UPPER(TRIM(AM94))="FTE"),"FT",IF(AND(OR(ISNUMBER(SEARCH("part",AM94)),UPPER(TRIM(AM94))="PT",UPPER(TRIM(AM94))="PTE"),OR($P94="",N($P94)&gt;=PT_MinHours)),"PT","None"))))</f>
        <v/>
      </c>
      <c r="AQ94" s="13" t="str">
        <f aca="false">IF(AE94=0,"",IF(AND(AG94&gt;=3,AJ94&lt;=AsOfDate),AP94,IF(AND(AG94&gt;=2,AI94&lt;=AsOfDate),AO94,AN94)))</f>
        <v/>
      </c>
      <c r="AR94" s="13" t="str">
        <f aca="false">IF(AE94=0,"",IF(AsOfDate&lt;AF94,-1,12*(YEAR(AsOfDate)-YEAR(AF94))+MONTH(AsOfDate)-MONTH(AF94)-IF(DAY(AsOfDate)&lt;MIN(DAY(AF94),DAY(EOMONTH(AsOfDate,0))),1,0)))</f>
        <v/>
      </c>
      <c r="AS94" s="13" t="str">
        <f aca="false">IF(AE94=0,"",IF(OR(AG94&lt;2,AI94&gt;AsOfDate),AR94,IF((AI94-1)&lt;AF94,-1,12*(YEAR((AI94-1))-YEAR(AF94))+MONTH((AI94-1))-MONTH(AF94)-IF(DAY((AI94-1))&lt;MIN(DAY(AF94),DAY(EOMONTH((AI94-1),0))),1,0))))</f>
        <v/>
      </c>
      <c r="AT94" s="13" t="str">
        <f aca="false">IF(AE94=0,"",IF(OR(AG94&lt;3,AJ94&gt;AsOfDate),AR94,IF((AJ94-1)&lt;AF94,-1,12*(YEAR((AJ94-1))-YEAR(AF94))+MONTH((AJ94-1))-MONTH(AF94)-IF(DAY((AJ94-1))&lt;MIN(DAY(AF94),DAY(EOMONTH((AJ94-1),0))),1,0))))</f>
        <v/>
      </c>
      <c r="AU94" s="13" t="str">
        <f aca="false">IF(AE94=0,"",IF(PFYDate&lt;AF94,-1,12*(YEAR(PFYDate)-YEAR(AF94))+MONTH(PFYDate)-MONTH(AF94)-IF(DAY(PFYDate)&lt;MIN(DAY(AF94),DAY(EOMONTH(PFYDate,0))),1,0)))</f>
        <v/>
      </c>
      <c r="AV94" s="13" t="str">
        <f aca="false">IF(AE94=0,"",IF(OR(AG94&lt;2,AI94&gt;PFYDate),AU94,IF((AI94-1)&lt;AF94,-1,12*(YEAR((AI94-1))-YEAR(AF94))+MONTH((AI94-1))-MONTH(AF94)-IF(DAY((AI94-1))&lt;MIN(DAY(AF94),DAY(EOMONTH((AI94-1),0))),1,0))))</f>
        <v/>
      </c>
      <c r="AW94" s="13" t="str">
        <f aca="false">IF(AE94=0,"",IF(OR(AG94&lt;3,AJ94&gt;PFYDate),AU94,IF((AJ94-1)&lt;AF94,-1,12*(YEAR((AJ94-1))-YEAR(AF94))+MONTH((AJ94-1))-MONTH(AF94)-IF(DAY((AJ94-1))&lt;MIN(DAY(AF94),DAY(EOMONTH((AJ94-1),0))),1,0))))</f>
        <v/>
      </c>
      <c r="AX94" s="13"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3"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3" t="str">
        <f aca="false">IF(AE94=0,"",IF(AQ94="FT",IF(AR94&lt;FT_First,FT_First,IF(AR94&lt;FT_Y5,MIN(FT_Y5,FT_First+FT_Int1*(INT((AR94-FT_First)/FT_Int1)+1)),FT_Y5+12*INT((AR94-FT_Y5)/12)+FT_Int2*(INT(MOD(AR94-FT_Y5,12)/FT_Int2)+1))),IF(AQ94="PT",IF(AR94&lt;PT_First,PT_First,PT_First+PT_Int*(INT((AR94-PT_First)/PT_Int)+1)),"")))</f>
        <v/>
      </c>
      <c r="BA94" s="13" t="str">
        <f aca="false">IF(AE94=0,"",IF(NOT(LH_Ready),0,COUNTIFS(INDEX(LH_Data,0,LH_ColFirst),$A94,INDEX(LH_Data,0,LH_ColSur),$B94,INDEX(LH_Data,0,LH_ColCat),BonusCat)))</f>
        <v/>
      </c>
      <c r="BB94" s="13" t="str">
        <f aca="false">IF(AE94=0,"",IF(OR(NOT(LH_Ready),BA94=0),0,SUMPRODUCT(MAX((INDEX(LH_Data,0,LH_ColFirst)=$A94)*(INDEX(LH_Data,0,LH_ColSur)=$B94)*(INDEX(LH_Data,0,LH_ColCat)=BonusCat)*ROW(LH_Data)))))</f>
        <v/>
      </c>
      <c r="BC94" s="0" t="str">
        <f aca="false">IF(LEN($A94&amp;$B94)=0,"",$A94&amp;" "&amp;$B94)</f>
        <v/>
      </c>
    </row>
    <row r="95" customFormat="false" ht="15" hidden="false" customHeight="false" outlineLevel="0" collapsed="false">
      <c r="A95" s="9"/>
      <c r="B95" s="9"/>
      <c r="C95" s="9"/>
      <c r="D95" s="10"/>
      <c r="E95" s="11" t="str">
        <f aca="false">IF(OR(AE95=0,$D95=""),"",DATE(YEAR(AsOfDate)+IF(DATE(YEAR(AsOfDate),MONTH($D95),DAY($D95))&lt;=AsOfDate,1,0),MONTH($D95),DAY($D95)))</f>
        <v/>
      </c>
      <c r="F95" s="10"/>
      <c r="G95" s="10"/>
      <c r="H95" s="10"/>
      <c r="I95" s="10"/>
      <c r="J95" s="10"/>
      <c r="K95" s="11" t="str">
        <f aca="false">IF(AE95=0,"",DATE(YEAR(AsOfDate)+IF(DATE(YEAR(AsOfDate),MONTH(AF95),DAY(AF95))&lt;=AsOfDate,1,0),MONTH(AF95),DAY(AF95)))</f>
        <v/>
      </c>
      <c r="L95" s="12" t="str">
        <f aca="false">IF(AE95=0,"",ROUND((AsOfDate-AF95)/365.25,1))</f>
        <v/>
      </c>
      <c r="M95" s="13" t="str">
        <f aca="false">IF(AE95=0,"",IF(AsOfDate&lt;AF95,"-",DATEDIF(AF95,AsOfDate,"y")&amp;"y "&amp;DATEDIF(AF95,AsOfDate,"ym")&amp;"m "&amp;DATEDIF(AF95,AsOfDate,"md")&amp;"d"))</f>
        <v/>
      </c>
      <c r="N95" s="14" t="str">
        <f aca="false">IF(AE95=0,"",O95*HoursPerDay)</f>
        <v/>
      </c>
      <c r="O95" s="14" t="str">
        <f aca="false">IF(AE95=0,"",AX95)</f>
        <v/>
      </c>
      <c r="P95" s="15"/>
      <c r="Q95" s="13"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13"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1" t="str">
        <f aca="false">IF(AE95=0,"",IF(AQ95="None","",EDATE(AF95,AZ95)))</f>
        <v/>
      </c>
      <c r="T95" s="14" t="str">
        <f aca="false">IF(AE95=0,"",IF(NOT(LH_Ready),"",IF(AF95&gt;PFYDate,0,IF(LH_ColPeriod=0,W95-U95+V95,SUMIFS(INDEX(LH_Data,0,LH_ColAcc),INDEX(LH_Data,0,LH_ColFirst),$A95,INDEX(LH_Data,0,LH_ColSur),$B95,INDEX(LH_Data,0,LH_ColCat),BonusCat,INDEX(LH_Data,0,LH_ColPeriod),LH_OpenLabel)*UnitFactor))))</f>
        <v/>
      </c>
      <c r="U95" s="14" t="str">
        <f aca="false">IF(AE95=0,"",IF(NOT(LH_Ready),"",SUMIFS(INDEX(LH_Data,0,LH_ColAcc),INDEX(LH_Data,0,LH_ColFirst),$A95,INDEX(LH_Data,0,LH_ColSur),$B95,INDEX(LH_Data,0,LH_ColCat),BonusCat,INDEX(LH_Data,0,LH_ColStart),"&gt;="&amp;AF95)*UnitFactor))</f>
        <v/>
      </c>
      <c r="V95" s="14" t="str">
        <f aca="false">IF(AE95=0,"",IF(NOT(LH_Ready),"",SUMIFS(INDEX(LH_Data,0,LH_ColTaken),INDEX(LH_Data,0,LH_ColFirst),$A95,INDEX(LH_Data,0,LH_ColSur),$B95,INDEX(LH_Data,0,LH_ColCat),BonusCat,INDEX(LH_Data,0,LH_ColStart),"&gt;="&amp;AF95)*UnitFactor))</f>
        <v/>
      </c>
      <c r="W95" s="14" t="str">
        <f aca="false">IF(AE95=0,"",IF(NOT(LH_Ready),"",IF(BB95=0,0,INDEX(INDEX(LH_Data,0,LH_ColClose),BB95-1)*UnitFactor)))</f>
        <v/>
      </c>
      <c r="X95" s="14" t="str">
        <f aca="false">IF(AE95=0,"",(AX95-AY95)*HoursPerDay)</f>
        <v/>
      </c>
      <c r="Y95" s="14" t="str">
        <f aca="false">IF(AE95=0,"",IF(NOT(LH_Ready),"",IF(BA95=0,N95,IF(PFYDate&lt;$F95,N95-N(T95)-N(U95),X95-N(U95)))))</f>
        <v/>
      </c>
      <c r="Z95" s="13" t="str">
        <f aca="false">IF(OR(AE95=0,Y95=""),"",IF(Y95&gt;0,"Yes","No"))</f>
        <v/>
      </c>
      <c r="AA95" s="13"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 hrs more than policy since commencement",IF(N(W95)&gt;O95*HoursPerDay+0.01,"CHECK - EH balance "&amp;ROUND(W95-O95*HoursPerDay,2)&amp;" hrs more than policy entitlement",IF(O95&gt;0,"OK - nothing to add",IF(AQ95="None",R95,"Not yet - first day on "&amp;TEXT(S95,"dd/mm/yyyy")))))))))</f>
        <v/>
      </c>
      <c r="AB95" s="14" t="str">
        <f aca="false">IF(OR(AE95=0,T95=""),"",AY95*HoursPerDay-T95)</f>
        <v/>
      </c>
      <c r="AC95" s="13" t="str">
        <f aca="false">IF(AE95=0,"",BA95)</f>
        <v/>
      </c>
      <c r="AD95" s="13"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3" t="n">
        <f aca="false">IF(OR(LEN($A95&amp;$B95)=0,$F95=""),0,1)</f>
        <v>0</v>
      </c>
      <c r="AF95" s="11" t="str">
        <f aca="false">IF(AE95=0,"",IF($J95&lt;&gt;"",$J95,IF(OR(CasualCounts="Yes",COUNT($G95:$I95)=0,COUNT($G95:$H95)=0),$F95,MIN($G95:$H95))))</f>
        <v/>
      </c>
      <c r="AG95" s="13" t="str">
        <f aca="false">IF(AE95=0,"",COUNT($G95:$I95))</f>
        <v/>
      </c>
      <c r="AH95" s="11" t="str">
        <f aca="false">IF(AE95=0,"",IFERROR(SMALL($G95:$I95,1),""))</f>
        <v/>
      </c>
      <c r="AI95" s="11" t="str">
        <f aca="false">IF(AE95=0,"",IFERROR(SMALL($G95:$I95,2),""))</f>
        <v/>
      </c>
      <c r="AJ95" s="11" t="str">
        <f aca="false">IF(AE95=0,"",IFERROR(SMALL($G95:$I95,3),""))</f>
        <v/>
      </c>
      <c r="AK95" s="13" t="str">
        <f aca="false">IF(AE95=0,"",IF(AH95="","",IF(AH95=$G95,"Part-Time",IF(AH95=$H95,"Full-Time","Casual"))))</f>
        <v/>
      </c>
      <c r="AL95" s="13" t="str">
        <f aca="false">IF(AE95=0,"",IF(AI95="","",IF(AI95=$G95,"Part-Time",IF(AI95=$H95,"Full-Time","Casual"))))</f>
        <v/>
      </c>
      <c r="AM95" s="13" t="str">
        <f aca="false">IF(AE95=0,"",IF(AJ95="","",IF(AJ95=$G95,"Part-Time",IF(AJ95=$H95,"Full-Time","Casual"))))</f>
        <v/>
      </c>
      <c r="AN95" s="13"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3" t="str">
        <f aca="false">IF(AE95=0,"",IF(AG95&lt;2,"",IF(OR(ISNUMBER(SEARCH("full",AL95)),UPPER(TRIM(AL95))="FT",UPPER(TRIM(AL95))="FTE"),"FT",IF(AND(OR(ISNUMBER(SEARCH("part",AL95)),UPPER(TRIM(AL95))="PT",UPPER(TRIM(AL95))="PTE"),OR($P95="",N($P95)&gt;=PT_MinHours)),"PT","None"))))</f>
        <v/>
      </c>
      <c r="AP95" s="13" t="str">
        <f aca="false">IF(AE95=0,"",IF(AG95&lt;3,"",IF(OR(ISNUMBER(SEARCH("full",AM95)),UPPER(TRIM(AM95))="FT",UPPER(TRIM(AM95))="FTE"),"FT",IF(AND(OR(ISNUMBER(SEARCH("part",AM95)),UPPER(TRIM(AM95))="PT",UPPER(TRIM(AM95))="PTE"),OR($P95="",N($P95)&gt;=PT_MinHours)),"PT","None"))))</f>
        <v/>
      </c>
      <c r="AQ95" s="13" t="str">
        <f aca="false">IF(AE95=0,"",IF(AND(AG95&gt;=3,AJ95&lt;=AsOfDate),AP95,IF(AND(AG95&gt;=2,AI95&lt;=AsOfDate),AO95,AN95)))</f>
        <v/>
      </c>
      <c r="AR95" s="13" t="str">
        <f aca="false">IF(AE95=0,"",IF(AsOfDate&lt;AF95,-1,12*(YEAR(AsOfDate)-YEAR(AF95))+MONTH(AsOfDate)-MONTH(AF95)-IF(DAY(AsOfDate)&lt;MIN(DAY(AF95),DAY(EOMONTH(AsOfDate,0))),1,0)))</f>
        <v/>
      </c>
      <c r="AS95" s="13" t="str">
        <f aca="false">IF(AE95=0,"",IF(OR(AG95&lt;2,AI95&gt;AsOfDate),AR95,IF((AI95-1)&lt;AF95,-1,12*(YEAR((AI95-1))-YEAR(AF95))+MONTH((AI95-1))-MONTH(AF95)-IF(DAY((AI95-1))&lt;MIN(DAY(AF95),DAY(EOMONTH((AI95-1),0))),1,0))))</f>
        <v/>
      </c>
      <c r="AT95" s="13" t="str">
        <f aca="false">IF(AE95=0,"",IF(OR(AG95&lt;3,AJ95&gt;AsOfDate),AR95,IF((AJ95-1)&lt;AF95,-1,12*(YEAR((AJ95-1))-YEAR(AF95))+MONTH((AJ95-1))-MONTH(AF95)-IF(DAY((AJ95-1))&lt;MIN(DAY(AF95),DAY(EOMONTH((AJ95-1),0))),1,0))))</f>
        <v/>
      </c>
      <c r="AU95" s="13" t="str">
        <f aca="false">IF(AE95=0,"",IF(PFYDate&lt;AF95,-1,12*(YEAR(PFYDate)-YEAR(AF95))+MONTH(PFYDate)-MONTH(AF95)-IF(DAY(PFYDate)&lt;MIN(DAY(AF95),DAY(EOMONTH(PFYDate,0))),1,0)))</f>
        <v/>
      </c>
      <c r="AV95" s="13" t="str">
        <f aca="false">IF(AE95=0,"",IF(OR(AG95&lt;2,AI95&gt;PFYDate),AU95,IF((AI95-1)&lt;AF95,-1,12*(YEAR((AI95-1))-YEAR(AF95))+MONTH((AI95-1))-MONTH(AF95)-IF(DAY((AI95-1))&lt;MIN(DAY(AF95),DAY(EOMONTH((AI95-1),0))),1,0))))</f>
        <v/>
      </c>
      <c r="AW95" s="13" t="str">
        <f aca="false">IF(AE95=0,"",IF(OR(AG95&lt;3,AJ95&gt;PFYDate),AU95,IF((AJ95-1)&lt;AF95,-1,12*(YEAR((AJ95-1))-YEAR(AF95))+MONTH((AJ95-1))-MONTH(AF95)-IF(DAY((AJ95-1))&lt;MIN(DAY(AF95),DAY(EOMONTH((AJ95-1),0))),1,0))))</f>
        <v/>
      </c>
      <c r="AX95" s="13"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3"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3" t="str">
        <f aca="false">IF(AE95=0,"",IF(AQ95="FT",IF(AR95&lt;FT_First,FT_First,IF(AR95&lt;FT_Y5,MIN(FT_Y5,FT_First+FT_Int1*(INT((AR95-FT_First)/FT_Int1)+1)),FT_Y5+12*INT((AR95-FT_Y5)/12)+FT_Int2*(INT(MOD(AR95-FT_Y5,12)/FT_Int2)+1))),IF(AQ95="PT",IF(AR95&lt;PT_First,PT_First,PT_First+PT_Int*(INT((AR95-PT_First)/PT_Int)+1)),"")))</f>
        <v/>
      </c>
      <c r="BA95" s="13" t="str">
        <f aca="false">IF(AE95=0,"",IF(NOT(LH_Ready),0,COUNTIFS(INDEX(LH_Data,0,LH_ColFirst),$A95,INDEX(LH_Data,0,LH_ColSur),$B95,INDEX(LH_Data,0,LH_ColCat),BonusCat)))</f>
        <v/>
      </c>
      <c r="BB95" s="13" t="str">
        <f aca="false">IF(AE95=0,"",IF(OR(NOT(LH_Ready),BA95=0),0,SUMPRODUCT(MAX((INDEX(LH_Data,0,LH_ColFirst)=$A95)*(INDEX(LH_Data,0,LH_ColSur)=$B95)*(INDEX(LH_Data,0,LH_ColCat)=BonusCat)*ROW(LH_Data)))))</f>
        <v/>
      </c>
      <c r="BC95" s="0" t="str">
        <f aca="false">IF(LEN($A95&amp;$B95)=0,"",$A95&amp;" "&amp;$B95)</f>
        <v/>
      </c>
    </row>
    <row r="96" customFormat="false" ht="15" hidden="false" customHeight="false" outlineLevel="0" collapsed="false">
      <c r="A96" s="9"/>
      <c r="B96" s="9"/>
      <c r="C96" s="9"/>
      <c r="D96" s="10"/>
      <c r="E96" s="11" t="str">
        <f aca="false">IF(OR(AE96=0,$D96=""),"",DATE(YEAR(AsOfDate)+IF(DATE(YEAR(AsOfDate),MONTH($D96),DAY($D96))&lt;=AsOfDate,1,0),MONTH($D96),DAY($D96)))</f>
        <v/>
      </c>
      <c r="F96" s="10"/>
      <c r="G96" s="10"/>
      <c r="H96" s="10"/>
      <c r="I96" s="10"/>
      <c r="J96" s="10"/>
      <c r="K96" s="11" t="str">
        <f aca="false">IF(AE96=0,"",DATE(YEAR(AsOfDate)+IF(DATE(YEAR(AsOfDate),MONTH(AF96),DAY(AF96))&lt;=AsOfDate,1,0),MONTH(AF96),DAY(AF96)))</f>
        <v/>
      </c>
      <c r="L96" s="12" t="str">
        <f aca="false">IF(AE96=0,"",ROUND((AsOfDate-AF96)/365.25,1))</f>
        <v/>
      </c>
      <c r="M96" s="13" t="str">
        <f aca="false">IF(AE96=0,"",IF(AsOfDate&lt;AF96,"-",DATEDIF(AF96,AsOfDate,"y")&amp;"y "&amp;DATEDIF(AF96,AsOfDate,"ym")&amp;"m "&amp;DATEDIF(AF96,AsOfDate,"md")&amp;"d"))</f>
        <v/>
      </c>
      <c r="N96" s="14" t="str">
        <f aca="false">IF(AE96=0,"",O96*HoursPerDay)</f>
        <v/>
      </c>
      <c r="O96" s="14" t="str">
        <f aca="false">IF(AE96=0,"",AX96)</f>
        <v/>
      </c>
      <c r="P96" s="15"/>
      <c r="Q96" s="13"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13"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1" t="str">
        <f aca="false">IF(AE96=0,"",IF(AQ96="None","",EDATE(AF96,AZ96)))</f>
        <v/>
      </c>
      <c r="T96" s="14" t="str">
        <f aca="false">IF(AE96=0,"",IF(NOT(LH_Ready),"",IF(AF96&gt;PFYDate,0,IF(LH_ColPeriod=0,W96-U96+V96,SUMIFS(INDEX(LH_Data,0,LH_ColAcc),INDEX(LH_Data,0,LH_ColFirst),$A96,INDEX(LH_Data,0,LH_ColSur),$B96,INDEX(LH_Data,0,LH_ColCat),BonusCat,INDEX(LH_Data,0,LH_ColPeriod),LH_OpenLabel)*UnitFactor))))</f>
        <v/>
      </c>
      <c r="U96" s="14" t="str">
        <f aca="false">IF(AE96=0,"",IF(NOT(LH_Ready),"",SUMIFS(INDEX(LH_Data,0,LH_ColAcc),INDEX(LH_Data,0,LH_ColFirst),$A96,INDEX(LH_Data,0,LH_ColSur),$B96,INDEX(LH_Data,0,LH_ColCat),BonusCat,INDEX(LH_Data,0,LH_ColStart),"&gt;="&amp;AF96)*UnitFactor))</f>
        <v/>
      </c>
      <c r="V96" s="14" t="str">
        <f aca="false">IF(AE96=0,"",IF(NOT(LH_Ready),"",SUMIFS(INDEX(LH_Data,0,LH_ColTaken),INDEX(LH_Data,0,LH_ColFirst),$A96,INDEX(LH_Data,0,LH_ColSur),$B96,INDEX(LH_Data,0,LH_ColCat),BonusCat,INDEX(LH_Data,0,LH_ColStart),"&gt;="&amp;AF96)*UnitFactor))</f>
        <v/>
      </c>
      <c r="W96" s="14" t="str">
        <f aca="false">IF(AE96=0,"",IF(NOT(LH_Ready),"",IF(BB96=0,0,INDEX(INDEX(LH_Data,0,LH_ColClose),BB96-1)*UnitFactor)))</f>
        <v/>
      </c>
      <c r="X96" s="14" t="str">
        <f aca="false">IF(AE96=0,"",(AX96-AY96)*HoursPerDay)</f>
        <v/>
      </c>
      <c r="Y96" s="14" t="str">
        <f aca="false">IF(AE96=0,"",IF(NOT(LH_Ready),"",IF(BA96=0,N96,IF(PFYDate&lt;$F96,N96-N(T96)-N(U96),X96-N(U96)))))</f>
        <v/>
      </c>
      <c r="Z96" s="13" t="str">
        <f aca="false">IF(OR(AE96=0,Y96=""),"",IF(Y96&gt;0,"Yes","No"))</f>
        <v/>
      </c>
      <c r="AA96" s="13"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 hrs more than policy since commencement",IF(N(W96)&gt;O96*HoursPerDay+0.01,"CHECK - EH balance "&amp;ROUND(W96-O96*HoursPerDay,2)&amp;" hrs more than policy entitlement",IF(O96&gt;0,"OK - nothing to add",IF(AQ96="None",R96,"Not yet - first day on "&amp;TEXT(S96,"dd/mm/yyyy")))))))))</f>
        <v/>
      </c>
      <c r="AB96" s="14" t="str">
        <f aca="false">IF(OR(AE96=0,T96=""),"",AY96*HoursPerDay-T96)</f>
        <v/>
      </c>
      <c r="AC96" s="13" t="str">
        <f aca="false">IF(AE96=0,"",BA96)</f>
        <v/>
      </c>
      <c r="AD96" s="13"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3" t="n">
        <f aca="false">IF(OR(LEN($A96&amp;$B96)=0,$F96=""),0,1)</f>
        <v>0</v>
      </c>
      <c r="AF96" s="11" t="str">
        <f aca="false">IF(AE96=0,"",IF($J96&lt;&gt;"",$J96,IF(OR(CasualCounts="Yes",COUNT($G96:$I96)=0,COUNT($G96:$H96)=0),$F96,MIN($G96:$H96))))</f>
        <v/>
      </c>
      <c r="AG96" s="13" t="str">
        <f aca="false">IF(AE96=0,"",COUNT($G96:$I96))</f>
        <v/>
      </c>
      <c r="AH96" s="11" t="str">
        <f aca="false">IF(AE96=0,"",IFERROR(SMALL($G96:$I96,1),""))</f>
        <v/>
      </c>
      <c r="AI96" s="11" t="str">
        <f aca="false">IF(AE96=0,"",IFERROR(SMALL($G96:$I96,2),""))</f>
        <v/>
      </c>
      <c r="AJ96" s="11" t="str">
        <f aca="false">IF(AE96=0,"",IFERROR(SMALL($G96:$I96,3),""))</f>
        <v/>
      </c>
      <c r="AK96" s="13" t="str">
        <f aca="false">IF(AE96=0,"",IF(AH96="","",IF(AH96=$G96,"Part-Time",IF(AH96=$H96,"Full-Time","Casual"))))</f>
        <v/>
      </c>
      <c r="AL96" s="13" t="str">
        <f aca="false">IF(AE96=0,"",IF(AI96="","",IF(AI96=$G96,"Part-Time",IF(AI96=$H96,"Full-Time","Casual"))))</f>
        <v/>
      </c>
      <c r="AM96" s="13" t="str">
        <f aca="false">IF(AE96=0,"",IF(AJ96="","",IF(AJ96=$G96,"Part-Time",IF(AJ96=$H96,"Full-Time","Casual"))))</f>
        <v/>
      </c>
      <c r="AN96" s="13"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3" t="str">
        <f aca="false">IF(AE96=0,"",IF(AG96&lt;2,"",IF(OR(ISNUMBER(SEARCH("full",AL96)),UPPER(TRIM(AL96))="FT",UPPER(TRIM(AL96))="FTE"),"FT",IF(AND(OR(ISNUMBER(SEARCH("part",AL96)),UPPER(TRIM(AL96))="PT",UPPER(TRIM(AL96))="PTE"),OR($P96="",N($P96)&gt;=PT_MinHours)),"PT","None"))))</f>
        <v/>
      </c>
      <c r="AP96" s="13" t="str">
        <f aca="false">IF(AE96=0,"",IF(AG96&lt;3,"",IF(OR(ISNUMBER(SEARCH("full",AM96)),UPPER(TRIM(AM96))="FT",UPPER(TRIM(AM96))="FTE"),"FT",IF(AND(OR(ISNUMBER(SEARCH("part",AM96)),UPPER(TRIM(AM96))="PT",UPPER(TRIM(AM96))="PTE"),OR($P96="",N($P96)&gt;=PT_MinHours)),"PT","None"))))</f>
        <v/>
      </c>
      <c r="AQ96" s="13" t="str">
        <f aca="false">IF(AE96=0,"",IF(AND(AG96&gt;=3,AJ96&lt;=AsOfDate),AP96,IF(AND(AG96&gt;=2,AI96&lt;=AsOfDate),AO96,AN96)))</f>
        <v/>
      </c>
      <c r="AR96" s="13" t="str">
        <f aca="false">IF(AE96=0,"",IF(AsOfDate&lt;AF96,-1,12*(YEAR(AsOfDate)-YEAR(AF96))+MONTH(AsOfDate)-MONTH(AF96)-IF(DAY(AsOfDate)&lt;MIN(DAY(AF96),DAY(EOMONTH(AsOfDate,0))),1,0)))</f>
        <v/>
      </c>
      <c r="AS96" s="13" t="str">
        <f aca="false">IF(AE96=0,"",IF(OR(AG96&lt;2,AI96&gt;AsOfDate),AR96,IF((AI96-1)&lt;AF96,-1,12*(YEAR((AI96-1))-YEAR(AF96))+MONTH((AI96-1))-MONTH(AF96)-IF(DAY((AI96-1))&lt;MIN(DAY(AF96),DAY(EOMONTH((AI96-1),0))),1,0))))</f>
        <v/>
      </c>
      <c r="AT96" s="13" t="str">
        <f aca="false">IF(AE96=0,"",IF(OR(AG96&lt;3,AJ96&gt;AsOfDate),AR96,IF((AJ96-1)&lt;AF96,-1,12*(YEAR((AJ96-1))-YEAR(AF96))+MONTH((AJ96-1))-MONTH(AF96)-IF(DAY((AJ96-1))&lt;MIN(DAY(AF96),DAY(EOMONTH((AJ96-1),0))),1,0))))</f>
        <v/>
      </c>
      <c r="AU96" s="13" t="str">
        <f aca="false">IF(AE96=0,"",IF(PFYDate&lt;AF96,-1,12*(YEAR(PFYDate)-YEAR(AF96))+MONTH(PFYDate)-MONTH(AF96)-IF(DAY(PFYDate)&lt;MIN(DAY(AF96),DAY(EOMONTH(PFYDate,0))),1,0)))</f>
        <v/>
      </c>
      <c r="AV96" s="13" t="str">
        <f aca="false">IF(AE96=0,"",IF(OR(AG96&lt;2,AI96&gt;PFYDate),AU96,IF((AI96-1)&lt;AF96,-1,12*(YEAR((AI96-1))-YEAR(AF96))+MONTH((AI96-1))-MONTH(AF96)-IF(DAY((AI96-1))&lt;MIN(DAY(AF96),DAY(EOMONTH((AI96-1),0))),1,0))))</f>
        <v/>
      </c>
      <c r="AW96" s="13" t="str">
        <f aca="false">IF(AE96=0,"",IF(OR(AG96&lt;3,AJ96&gt;PFYDate),AU96,IF((AJ96-1)&lt;AF96,-1,12*(YEAR((AJ96-1))-YEAR(AF96))+MONTH((AJ96-1))-MONTH(AF96)-IF(DAY((AJ96-1))&lt;MIN(DAY(AF96),DAY(EOMONTH((AJ96-1),0))),1,0))))</f>
        <v/>
      </c>
      <c r="AX96" s="13"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3"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3" t="str">
        <f aca="false">IF(AE96=0,"",IF(AQ96="FT",IF(AR96&lt;FT_First,FT_First,IF(AR96&lt;FT_Y5,MIN(FT_Y5,FT_First+FT_Int1*(INT((AR96-FT_First)/FT_Int1)+1)),FT_Y5+12*INT((AR96-FT_Y5)/12)+FT_Int2*(INT(MOD(AR96-FT_Y5,12)/FT_Int2)+1))),IF(AQ96="PT",IF(AR96&lt;PT_First,PT_First,PT_First+PT_Int*(INT((AR96-PT_First)/PT_Int)+1)),"")))</f>
        <v/>
      </c>
      <c r="BA96" s="13" t="str">
        <f aca="false">IF(AE96=0,"",IF(NOT(LH_Ready),0,COUNTIFS(INDEX(LH_Data,0,LH_ColFirst),$A96,INDEX(LH_Data,0,LH_ColSur),$B96,INDEX(LH_Data,0,LH_ColCat),BonusCat)))</f>
        <v/>
      </c>
      <c r="BB96" s="13" t="str">
        <f aca="false">IF(AE96=0,"",IF(OR(NOT(LH_Ready),BA96=0),0,SUMPRODUCT(MAX((INDEX(LH_Data,0,LH_ColFirst)=$A96)*(INDEX(LH_Data,0,LH_ColSur)=$B96)*(INDEX(LH_Data,0,LH_ColCat)=BonusCat)*ROW(LH_Data)))))</f>
        <v/>
      </c>
      <c r="BC96" s="0" t="str">
        <f aca="false">IF(LEN($A96&amp;$B96)=0,"",$A96&amp;" "&amp;$B96)</f>
        <v/>
      </c>
    </row>
    <row r="97" customFormat="false" ht="15" hidden="false" customHeight="false" outlineLevel="0" collapsed="false">
      <c r="A97" s="9"/>
      <c r="B97" s="9"/>
      <c r="C97" s="9"/>
      <c r="D97" s="10"/>
      <c r="E97" s="11" t="str">
        <f aca="false">IF(OR(AE97=0,$D97=""),"",DATE(YEAR(AsOfDate)+IF(DATE(YEAR(AsOfDate),MONTH($D97),DAY($D97))&lt;=AsOfDate,1,0),MONTH($D97),DAY($D97)))</f>
        <v/>
      </c>
      <c r="F97" s="10"/>
      <c r="G97" s="10"/>
      <c r="H97" s="10"/>
      <c r="I97" s="10"/>
      <c r="J97" s="10"/>
      <c r="K97" s="11" t="str">
        <f aca="false">IF(AE97=0,"",DATE(YEAR(AsOfDate)+IF(DATE(YEAR(AsOfDate),MONTH(AF97),DAY(AF97))&lt;=AsOfDate,1,0),MONTH(AF97),DAY(AF97)))</f>
        <v/>
      </c>
      <c r="L97" s="12" t="str">
        <f aca="false">IF(AE97=0,"",ROUND((AsOfDate-AF97)/365.25,1))</f>
        <v/>
      </c>
      <c r="M97" s="13" t="str">
        <f aca="false">IF(AE97=0,"",IF(AsOfDate&lt;AF97,"-",DATEDIF(AF97,AsOfDate,"y")&amp;"y "&amp;DATEDIF(AF97,AsOfDate,"ym")&amp;"m "&amp;DATEDIF(AF97,AsOfDate,"md")&amp;"d"))</f>
        <v/>
      </c>
      <c r="N97" s="14" t="str">
        <f aca="false">IF(AE97=0,"",O97*HoursPerDay)</f>
        <v/>
      </c>
      <c r="O97" s="14" t="str">
        <f aca="false">IF(AE97=0,"",AX97)</f>
        <v/>
      </c>
      <c r="P97" s="15"/>
      <c r="Q97" s="13"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13"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1" t="str">
        <f aca="false">IF(AE97=0,"",IF(AQ97="None","",EDATE(AF97,AZ97)))</f>
        <v/>
      </c>
      <c r="T97" s="14" t="str">
        <f aca="false">IF(AE97=0,"",IF(NOT(LH_Ready),"",IF(AF97&gt;PFYDate,0,IF(LH_ColPeriod=0,W97-U97+V97,SUMIFS(INDEX(LH_Data,0,LH_ColAcc),INDEX(LH_Data,0,LH_ColFirst),$A97,INDEX(LH_Data,0,LH_ColSur),$B97,INDEX(LH_Data,0,LH_ColCat),BonusCat,INDEX(LH_Data,0,LH_ColPeriod),LH_OpenLabel)*UnitFactor))))</f>
        <v/>
      </c>
      <c r="U97" s="14" t="str">
        <f aca="false">IF(AE97=0,"",IF(NOT(LH_Ready),"",SUMIFS(INDEX(LH_Data,0,LH_ColAcc),INDEX(LH_Data,0,LH_ColFirst),$A97,INDEX(LH_Data,0,LH_ColSur),$B97,INDEX(LH_Data,0,LH_ColCat),BonusCat,INDEX(LH_Data,0,LH_ColStart),"&gt;="&amp;AF97)*UnitFactor))</f>
        <v/>
      </c>
      <c r="V97" s="14" t="str">
        <f aca="false">IF(AE97=0,"",IF(NOT(LH_Ready),"",SUMIFS(INDEX(LH_Data,0,LH_ColTaken),INDEX(LH_Data,0,LH_ColFirst),$A97,INDEX(LH_Data,0,LH_ColSur),$B97,INDEX(LH_Data,0,LH_ColCat),BonusCat,INDEX(LH_Data,0,LH_ColStart),"&gt;="&amp;AF97)*UnitFactor))</f>
        <v/>
      </c>
      <c r="W97" s="14" t="str">
        <f aca="false">IF(AE97=0,"",IF(NOT(LH_Ready),"",IF(BB97=0,0,INDEX(INDEX(LH_Data,0,LH_ColClose),BB97-1)*UnitFactor)))</f>
        <v/>
      </c>
      <c r="X97" s="14" t="str">
        <f aca="false">IF(AE97=0,"",(AX97-AY97)*HoursPerDay)</f>
        <v/>
      </c>
      <c r="Y97" s="14" t="str">
        <f aca="false">IF(AE97=0,"",IF(NOT(LH_Ready),"",IF(BA97=0,N97,IF(PFYDate&lt;$F97,N97-N(T97)-N(U97),X97-N(U97)))))</f>
        <v/>
      </c>
      <c r="Z97" s="13" t="str">
        <f aca="false">IF(OR(AE97=0,Y97=""),"",IF(Y97&gt;0,"Yes","No"))</f>
        <v/>
      </c>
      <c r="AA97" s="13"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 hrs more than policy since commencement",IF(N(W97)&gt;O97*HoursPerDay+0.01,"CHECK - EH balance "&amp;ROUND(W97-O97*HoursPerDay,2)&amp;" hrs more than policy entitlement",IF(O97&gt;0,"OK - nothing to add",IF(AQ97="None",R97,"Not yet - first day on "&amp;TEXT(S97,"dd/mm/yyyy")))))))))</f>
        <v/>
      </c>
      <c r="AB97" s="14" t="str">
        <f aca="false">IF(OR(AE97=0,T97=""),"",AY97*HoursPerDay-T97)</f>
        <v/>
      </c>
      <c r="AC97" s="13" t="str">
        <f aca="false">IF(AE97=0,"",BA97)</f>
        <v/>
      </c>
      <c r="AD97" s="13"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3" t="n">
        <f aca="false">IF(OR(LEN($A97&amp;$B97)=0,$F97=""),0,1)</f>
        <v>0</v>
      </c>
      <c r="AF97" s="11" t="str">
        <f aca="false">IF(AE97=0,"",IF($J97&lt;&gt;"",$J97,IF(OR(CasualCounts="Yes",COUNT($G97:$I97)=0,COUNT($G97:$H97)=0),$F97,MIN($G97:$H97))))</f>
        <v/>
      </c>
      <c r="AG97" s="13" t="str">
        <f aca="false">IF(AE97=0,"",COUNT($G97:$I97))</f>
        <v/>
      </c>
      <c r="AH97" s="11" t="str">
        <f aca="false">IF(AE97=0,"",IFERROR(SMALL($G97:$I97,1),""))</f>
        <v/>
      </c>
      <c r="AI97" s="11" t="str">
        <f aca="false">IF(AE97=0,"",IFERROR(SMALL($G97:$I97,2),""))</f>
        <v/>
      </c>
      <c r="AJ97" s="11" t="str">
        <f aca="false">IF(AE97=0,"",IFERROR(SMALL($G97:$I97,3),""))</f>
        <v/>
      </c>
      <c r="AK97" s="13" t="str">
        <f aca="false">IF(AE97=0,"",IF(AH97="","",IF(AH97=$G97,"Part-Time",IF(AH97=$H97,"Full-Time","Casual"))))</f>
        <v/>
      </c>
      <c r="AL97" s="13" t="str">
        <f aca="false">IF(AE97=0,"",IF(AI97="","",IF(AI97=$G97,"Part-Time",IF(AI97=$H97,"Full-Time","Casual"))))</f>
        <v/>
      </c>
      <c r="AM97" s="13" t="str">
        <f aca="false">IF(AE97=0,"",IF(AJ97="","",IF(AJ97=$G97,"Part-Time",IF(AJ97=$H97,"Full-Time","Casual"))))</f>
        <v/>
      </c>
      <c r="AN97" s="13"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3" t="str">
        <f aca="false">IF(AE97=0,"",IF(AG97&lt;2,"",IF(OR(ISNUMBER(SEARCH("full",AL97)),UPPER(TRIM(AL97))="FT",UPPER(TRIM(AL97))="FTE"),"FT",IF(AND(OR(ISNUMBER(SEARCH("part",AL97)),UPPER(TRIM(AL97))="PT",UPPER(TRIM(AL97))="PTE"),OR($P97="",N($P97)&gt;=PT_MinHours)),"PT","None"))))</f>
        <v/>
      </c>
      <c r="AP97" s="13" t="str">
        <f aca="false">IF(AE97=0,"",IF(AG97&lt;3,"",IF(OR(ISNUMBER(SEARCH("full",AM97)),UPPER(TRIM(AM97))="FT",UPPER(TRIM(AM97))="FTE"),"FT",IF(AND(OR(ISNUMBER(SEARCH("part",AM97)),UPPER(TRIM(AM97))="PT",UPPER(TRIM(AM97))="PTE"),OR($P97="",N($P97)&gt;=PT_MinHours)),"PT","None"))))</f>
        <v/>
      </c>
      <c r="AQ97" s="13" t="str">
        <f aca="false">IF(AE97=0,"",IF(AND(AG97&gt;=3,AJ97&lt;=AsOfDate),AP97,IF(AND(AG97&gt;=2,AI97&lt;=AsOfDate),AO97,AN97)))</f>
        <v/>
      </c>
      <c r="AR97" s="13" t="str">
        <f aca="false">IF(AE97=0,"",IF(AsOfDate&lt;AF97,-1,12*(YEAR(AsOfDate)-YEAR(AF97))+MONTH(AsOfDate)-MONTH(AF97)-IF(DAY(AsOfDate)&lt;MIN(DAY(AF97),DAY(EOMONTH(AsOfDate,0))),1,0)))</f>
        <v/>
      </c>
      <c r="AS97" s="13" t="str">
        <f aca="false">IF(AE97=0,"",IF(OR(AG97&lt;2,AI97&gt;AsOfDate),AR97,IF((AI97-1)&lt;AF97,-1,12*(YEAR((AI97-1))-YEAR(AF97))+MONTH((AI97-1))-MONTH(AF97)-IF(DAY((AI97-1))&lt;MIN(DAY(AF97),DAY(EOMONTH((AI97-1),0))),1,0))))</f>
        <v/>
      </c>
      <c r="AT97" s="13" t="str">
        <f aca="false">IF(AE97=0,"",IF(OR(AG97&lt;3,AJ97&gt;AsOfDate),AR97,IF((AJ97-1)&lt;AF97,-1,12*(YEAR((AJ97-1))-YEAR(AF97))+MONTH((AJ97-1))-MONTH(AF97)-IF(DAY((AJ97-1))&lt;MIN(DAY(AF97),DAY(EOMONTH((AJ97-1),0))),1,0))))</f>
        <v/>
      </c>
      <c r="AU97" s="13" t="str">
        <f aca="false">IF(AE97=0,"",IF(PFYDate&lt;AF97,-1,12*(YEAR(PFYDate)-YEAR(AF97))+MONTH(PFYDate)-MONTH(AF97)-IF(DAY(PFYDate)&lt;MIN(DAY(AF97),DAY(EOMONTH(PFYDate,0))),1,0)))</f>
        <v/>
      </c>
      <c r="AV97" s="13" t="str">
        <f aca="false">IF(AE97=0,"",IF(OR(AG97&lt;2,AI97&gt;PFYDate),AU97,IF((AI97-1)&lt;AF97,-1,12*(YEAR((AI97-1))-YEAR(AF97))+MONTH((AI97-1))-MONTH(AF97)-IF(DAY((AI97-1))&lt;MIN(DAY(AF97),DAY(EOMONTH((AI97-1),0))),1,0))))</f>
        <v/>
      </c>
      <c r="AW97" s="13" t="str">
        <f aca="false">IF(AE97=0,"",IF(OR(AG97&lt;3,AJ97&gt;PFYDate),AU97,IF((AJ97-1)&lt;AF97,-1,12*(YEAR((AJ97-1))-YEAR(AF97))+MONTH((AJ97-1))-MONTH(AF97)-IF(DAY((AJ97-1))&lt;MIN(DAY(AF97),DAY(EOMONTH((AJ97-1),0))),1,0))))</f>
        <v/>
      </c>
      <c r="AX97" s="13"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3"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3" t="str">
        <f aca="false">IF(AE97=0,"",IF(AQ97="FT",IF(AR97&lt;FT_First,FT_First,IF(AR97&lt;FT_Y5,MIN(FT_Y5,FT_First+FT_Int1*(INT((AR97-FT_First)/FT_Int1)+1)),FT_Y5+12*INT((AR97-FT_Y5)/12)+FT_Int2*(INT(MOD(AR97-FT_Y5,12)/FT_Int2)+1))),IF(AQ97="PT",IF(AR97&lt;PT_First,PT_First,PT_First+PT_Int*(INT((AR97-PT_First)/PT_Int)+1)),"")))</f>
        <v/>
      </c>
      <c r="BA97" s="13" t="str">
        <f aca="false">IF(AE97=0,"",IF(NOT(LH_Ready),0,COUNTIFS(INDEX(LH_Data,0,LH_ColFirst),$A97,INDEX(LH_Data,0,LH_ColSur),$B97,INDEX(LH_Data,0,LH_ColCat),BonusCat)))</f>
        <v/>
      </c>
      <c r="BB97" s="13" t="str">
        <f aca="false">IF(AE97=0,"",IF(OR(NOT(LH_Ready),BA97=0),0,SUMPRODUCT(MAX((INDEX(LH_Data,0,LH_ColFirst)=$A97)*(INDEX(LH_Data,0,LH_ColSur)=$B97)*(INDEX(LH_Data,0,LH_ColCat)=BonusCat)*ROW(LH_Data)))))</f>
        <v/>
      </c>
      <c r="BC97" s="0" t="str">
        <f aca="false">IF(LEN($A97&amp;$B97)=0,"",$A97&amp;" "&amp;$B97)</f>
        <v/>
      </c>
    </row>
    <row r="98" customFormat="false" ht="15" hidden="false" customHeight="false" outlineLevel="0" collapsed="false">
      <c r="A98" s="9"/>
      <c r="B98" s="9"/>
      <c r="C98" s="9"/>
      <c r="D98" s="10"/>
      <c r="E98" s="11" t="str">
        <f aca="false">IF(OR(AE98=0,$D98=""),"",DATE(YEAR(AsOfDate)+IF(DATE(YEAR(AsOfDate),MONTH($D98),DAY($D98))&lt;=AsOfDate,1,0),MONTH($D98),DAY($D98)))</f>
        <v/>
      </c>
      <c r="F98" s="10"/>
      <c r="G98" s="10"/>
      <c r="H98" s="10"/>
      <c r="I98" s="10"/>
      <c r="J98" s="10"/>
      <c r="K98" s="11" t="str">
        <f aca="false">IF(AE98=0,"",DATE(YEAR(AsOfDate)+IF(DATE(YEAR(AsOfDate),MONTH(AF98),DAY(AF98))&lt;=AsOfDate,1,0),MONTH(AF98),DAY(AF98)))</f>
        <v/>
      </c>
      <c r="L98" s="12" t="str">
        <f aca="false">IF(AE98=0,"",ROUND((AsOfDate-AF98)/365.25,1))</f>
        <v/>
      </c>
      <c r="M98" s="13" t="str">
        <f aca="false">IF(AE98=0,"",IF(AsOfDate&lt;AF98,"-",DATEDIF(AF98,AsOfDate,"y")&amp;"y "&amp;DATEDIF(AF98,AsOfDate,"ym")&amp;"m "&amp;DATEDIF(AF98,AsOfDate,"md")&amp;"d"))</f>
        <v/>
      </c>
      <c r="N98" s="14" t="str">
        <f aca="false">IF(AE98=0,"",O98*HoursPerDay)</f>
        <v/>
      </c>
      <c r="O98" s="14" t="str">
        <f aca="false">IF(AE98=0,"",AX98)</f>
        <v/>
      </c>
      <c r="P98" s="15"/>
      <c r="Q98" s="13"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13"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1" t="str">
        <f aca="false">IF(AE98=0,"",IF(AQ98="None","",EDATE(AF98,AZ98)))</f>
        <v/>
      </c>
      <c r="T98" s="14" t="str">
        <f aca="false">IF(AE98=0,"",IF(NOT(LH_Ready),"",IF(AF98&gt;PFYDate,0,IF(LH_ColPeriod=0,W98-U98+V98,SUMIFS(INDEX(LH_Data,0,LH_ColAcc),INDEX(LH_Data,0,LH_ColFirst),$A98,INDEX(LH_Data,0,LH_ColSur),$B98,INDEX(LH_Data,0,LH_ColCat),BonusCat,INDEX(LH_Data,0,LH_ColPeriod),LH_OpenLabel)*UnitFactor))))</f>
        <v/>
      </c>
      <c r="U98" s="14" t="str">
        <f aca="false">IF(AE98=0,"",IF(NOT(LH_Ready),"",SUMIFS(INDEX(LH_Data,0,LH_ColAcc),INDEX(LH_Data,0,LH_ColFirst),$A98,INDEX(LH_Data,0,LH_ColSur),$B98,INDEX(LH_Data,0,LH_ColCat),BonusCat,INDEX(LH_Data,0,LH_ColStart),"&gt;="&amp;AF98)*UnitFactor))</f>
        <v/>
      </c>
      <c r="V98" s="14" t="str">
        <f aca="false">IF(AE98=0,"",IF(NOT(LH_Ready),"",SUMIFS(INDEX(LH_Data,0,LH_ColTaken),INDEX(LH_Data,0,LH_ColFirst),$A98,INDEX(LH_Data,0,LH_ColSur),$B98,INDEX(LH_Data,0,LH_ColCat),BonusCat,INDEX(LH_Data,0,LH_ColStart),"&gt;="&amp;AF98)*UnitFactor))</f>
        <v/>
      </c>
      <c r="W98" s="14" t="str">
        <f aca="false">IF(AE98=0,"",IF(NOT(LH_Ready),"",IF(BB98=0,0,INDEX(INDEX(LH_Data,0,LH_ColClose),BB98-1)*UnitFactor)))</f>
        <v/>
      </c>
      <c r="X98" s="14" t="str">
        <f aca="false">IF(AE98=0,"",(AX98-AY98)*HoursPerDay)</f>
        <v/>
      </c>
      <c r="Y98" s="14" t="str">
        <f aca="false">IF(AE98=0,"",IF(NOT(LH_Ready),"",IF(BA98=0,N98,IF(PFYDate&lt;$F98,N98-N(T98)-N(U98),X98-N(U98)))))</f>
        <v/>
      </c>
      <c r="Z98" s="13" t="str">
        <f aca="false">IF(OR(AE98=0,Y98=""),"",IF(Y98&gt;0,"Yes","No"))</f>
        <v/>
      </c>
      <c r="AA98" s="13"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 hrs more than policy since commencement",IF(N(W98)&gt;O98*HoursPerDay+0.01,"CHECK - EH balance "&amp;ROUND(W98-O98*HoursPerDay,2)&amp;" hrs more than policy entitlement",IF(O98&gt;0,"OK - nothing to add",IF(AQ98="None",R98,"Not yet - first day on "&amp;TEXT(S98,"dd/mm/yyyy")))))))))</f>
        <v/>
      </c>
      <c r="AB98" s="14" t="str">
        <f aca="false">IF(OR(AE98=0,T98=""),"",AY98*HoursPerDay-T98)</f>
        <v/>
      </c>
      <c r="AC98" s="13" t="str">
        <f aca="false">IF(AE98=0,"",BA98)</f>
        <v/>
      </c>
      <c r="AD98" s="13"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3" t="n">
        <f aca="false">IF(OR(LEN($A98&amp;$B98)=0,$F98=""),0,1)</f>
        <v>0</v>
      </c>
      <c r="AF98" s="11" t="str">
        <f aca="false">IF(AE98=0,"",IF($J98&lt;&gt;"",$J98,IF(OR(CasualCounts="Yes",COUNT($G98:$I98)=0,COUNT($G98:$H98)=0),$F98,MIN($G98:$H98))))</f>
        <v/>
      </c>
      <c r="AG98" s="13" t="str">
        <f aca="false">IF(AE98=0,"",COUNT($G98:$I98))</f>
        <v/>
      </c>
      <c r="AH98" s="11" t="str">
        <f aca="false">IF(AE98=0,"",IFERROR(SMALL($G98:$I98,1),""))</f>
        <v/>
      </c>
      <c r="AI98" s="11" t="str">
        <f aca="false">IF(AE98=0,"",IFERROR(SMALL($G98:$I98,2),""))</f>
        <v/>
      </c>
      <c r="AJ98" s="11" t="str">
        <f aca="false">IF(AE98=0,"",IFERROR(SMALL($G98:$I98,3),""))</f>
        <v/>
      </c>
      <c r="AK98" s="13" t="str">
        <f aca="false">IF(AE98=0,"",IF(AH98="","",IF(AH98=$G98,"Part-Time",IF(AH98=$H98,"Full-Time","Casual"))))</f>
        <v/>
      </c>
      <c r="AL98" s="13" t="str">
        <f aca="false">IF(AE98=0,"",IF(AI98="","",IF(AI98=$G98,"Part-Time",IF(AI98=$H98,"Full-Time","Casual"))))</f>
        <v/>
      </c>
      <c r="AM98" s="13" t="str">
        <f aca="false">IF(AE98=0,"",IF(AJ98="","",IF(AJ98=$G98,"Part-Time",IF(AJ98=$H98,"Full-Time","Casual"))))</f>
        <v/>
      </c>
      <c r="AN98" s="13"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3" t="str">
        <f aca="false">IF(AE98=0,"",IF(AG98&lt;2,"",IF(OR(ISNUMBER(SEARCH("full",AL98)),UPPER(TRIM(AL98))="FT",UPPER(TRIM(AL98))="FTE"),"FT",IF(AND(OR(ISNUMBER(SEARCH("part",AL98)),UPPER(TRIM(AL98))="PT",UPPER(TRIM(AL98))="PTE"),OR($P98="",N($P98)&gt;=PT_MinHours)),"PT","None"))))</f>
        <v/>
      </c>
      <c r="AP98" s="13" t="str">
        <f aca="false">IF(AE98=0,"",IF(AG98&lt;3,"",IF(OR(ISNUMBER(SEARCH("full",AM98)),UPPER(TRIM(AM98))="FT",UPPER(TRIM(AM98))="FTE"),"FT",IF(AND(OR(ISNUMBER(SEARCH("part",AM98)),UPPER(TRIM(AM98))="PT",UPPER(TRIM(AM98))="PTE"),OR($P98="",N($P98)&gt;=PT_MinHours)),"PT","None"))))</f>
        <v/>
      </c>
      <c r="AQ98" s="13" t="str">
        <f aca="false">IF(AE98=0,"",IF(AND(AG98&gt;=3,AJ98&lt;=AsOfDate),AP98,IF(AND(AG98&gt;=2,AI98&lt;=AsOfDate),AO98,AN98)))</f>
        <v/>
      </c>
      <c r="AR98" s="13" t="str">
        <f aca="false">IF(AE98=0,"",IF(AsOfDate&lt;AF98,-1,12*(YEAR(AsOfDate)-YEAR(AF98))+MONTH(AsOfDate)-MONTH(AF98)-IF(DAY(AsOfDate)&lt;MIN(DAY(AF98),DAY(EOMONTH(AsOfDate,0))),1,0)))</f>
        <v/>
      </c>
      <c r="AS98" s="13" t="str">
        <f aca="false">IF(AE98=0,"",IF(OR(AG98&lt;2,AI98&gt;AsOfDate),AR98,IF((AI98-1)&lt;AF98,-1,12*(YEAR((AI98-1))-YEAR(AF98))+MONTH((AI98-1))-MONTH(AF98)-IF(DAY((AI98-1))&lt;MIN(DAY(AF98),DAY(EOMONTH((AI98-1),0))),1,0))))</f>
        <v/>
      </c>
      <c r="AT98" s="13" t="str">
        <f aca="false">IF(AE98=0,"",IF(OR(AG98&lt;3,AJ98&gt;AsOfDate),AR98,IF((AJ98-1)&lt;AF98,-1,12*(YEAR((AJ98-1))-YEAR(AF98))+MONTH((AJ98-1))-MONTH(AF98)-IF(DAY((AJ98-1))&lt;MIN(DAY(AF98),DAY(EOMONTH((AJ98-1),0))),1,0))))</f>
        <v/>
      </c>
      <c r="AU98" s="13" t="str">
        <f aca="false">IF(AE98=0,"",IF(PFYDate&lt;AF98,-1,12*(YEAR(PFYDate)-YEAR(AF98))+MONTH(PFYDate)-MONTH(AF98)-IF(DAY(PFYDate)&lt;MIN(DAY(AF98),DAY(EOMONTH(PFYDate,0))),1,0)))</f>
        <v/>
      </c>
      <c r="AV98" s="13" t="str">
        <f aca="false">IF(AE98=0,"",IF(OR(AG98&lt;2,AI98&gt;PFYDate),AU98,IF((AI98-1)&lt;AF98,-1,12*(YEAR((AI98-1))-YEAR(AF98))+MONTH((AI98-1))-MONTH(AF98)-IF(DAY((AI98-1))&lt;MIN(DAY(AF98),DAY(EOMONTH((AI98-1),0))),1,0))))</f>
        <v/>
      </c>
      <c r="AW98" s="13" t="str">
        <f aca="false">IF(AE98=0,"",IF(OR(AG98&lt;3,AJ98&gt;PFYDate),AU98,IF((AJ98-1)&lt;AF98,-1,12*(YEAR((AJ98-1))-YEAR(AF98))+MONTH((AJ98-1))-MONTH(AF98)-IF(DAY((AJ98-1))&lt;MIN(DAY(AF98),DAY(EOMONTH((AJ98-1),0))),1,0))))</f>
        <v/>
      </c>
      <c r="AX98" s="13"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3"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3" t="str">
        <f aca="false">IF(AE98=0,"",IF(AQ98="FT",IF(AR98&lt;FT_First,FT_First,IF(AR98&lt;FT_Y5,MIN(FT_Y5,FT_First+FT_Int1*(INT((AR98-FT_First)/FT_Int1)+1)),FT_Y5+12*INT((AR98-FT_Y5)/12)+FT_Int2*(INT(MOD(AR98-FT_Y5,12)/FT_Int2)+1))),IF(AQ98="PT",IF(AR98&lt;PT_First,PT_First,PT_First+PT_Int*(INT((AR98-PT_First)/PT_Int)+1)),"")))</f>
        <v/>
      </c>
      <c r="BA98" s="13" t="str">
        <f aca="false">IF(AE98=0,"",IF(NOT(LH_Ready),0,COUNTIFS(INDEX(LH_Data,0,LH_ColFirst),$A98,INDEX(LH_Data,0,LH_ColSur),$B98,INDEX(LH_Data,0,LH_ColCat),BonusCat)))</f>
        <v/>
      </c>
      <c r="BB98" s="13" t="str">
        <f aca="false">IF(AE98=0,"",IF(OR(NOT(LH_Ready),BA98=0),0,SUMPRODUCT(MAX((INDEX(LH_Data,0,LH_ColFirst)=$A98)*(INDEX(LH_Data,0,LH_ColSur)=$B98)*(INDEX(LH_Data,0,LH_ColCat)=BonusCat)*ROW(LH_Data)))))</f>
        <v/>
      </c>
      <c r="BC98" s="0" t="str">
        <f aca="false">IF(LEN($A98&amp;$B98)=0,"",$A98&amp;" "&amp;$B98)</f>
        <v/>
      </c>
    </row>
    <row r="99" customFormat="false" ht="15" hidden="false" customHeight="false" outlineLevel="0" collapsed="false">
      <c r="A99" s="9"/>
      <c r="B99" s="9"/>
      <c r="C99" s="9"/>
      <c r="D99" s="10"/>
      <c r="E99" s="11" t="str">
        <f aca="false">IF(OR(AE99=0,$D99=""),"",DATE(YEAR(AsOfDate)+IF(DATE(YEAR(AsOfDate),MONTH($D99),DAY($D99))&lt;=AsOfDate,1,0),MONTH($D99),DAY($D99)))</f>
        <v/>
      </c>
      <c r="F99" s="10"/>
      <c r="G99" s="10"/>
      <c r="H99" s="10"/>
      <c r="I99" s="10"/>
      <c r="J99" s="10"/>
      <c r="K99" s="11" t="str">
        <f aca="false">IF(AE99=0,"",DATE(YEAR(AsOfDate)+IF(DATE(YEAR(AsOfDate),MONTH(AF99),DAY(AF99))&lt;=AsOfDate,1,0),MONTH(AF99),DAY(AF99)))</f>
        <v/>
      </c>
      <c r="L99" s="12" t="str">
        <f aca="false">IF(AE99=0,"",ROUND((AsOfDate-AF99)/365.25,1))</f>
        <v/>
      </c>
      <c r="M99" s="13" t="str">
        <f aca="false">IF(AE99=0,"",IF(AsOfDate&lt;AF99,"-",DATEDIF(AF99,AsOfDate,"y")&amp;"y "&amp;DATEDIF(AF99,AsOfDate,"ym")&amp;"m "&amp;DATEDIF(AF99,AsOfDate,"md")&amp;"d"))</f>
        <v/>
      </c>
      <c r="N99" s="14" t="str">
        <f aca="false">IF(AE99=0,"",O99*HoursPerDay)</f>
        <v/>
      </c>
      <c r="O99" s="14" t="str">
        <f aca="false">IF(AE99=0,"",AX99)</f>
        <v/>
      </c>
      <c r="P99" s="15"/>
      <c r="Q99" s="13"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13"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1" t="str">
        <f aca="false">IF(AE99=0,"",IF(AQ99="None","",EDATE(AF99,AZ99)))</f>
        <v/>
      </c>
      <c r="T99" s="14" t="str">
        <f aca="false">IF(AE99=0,"",IF(NOT(LH_Ready),"",IF(AF99&gt;PFYDate,0,IF(LH_ColPeriod=0,W99-U99+V99,SUMIFS(INDEX(LH_Data,0,LH_ColAcc),INDEX(LH_Data,0,LH_ColFirst),$A99,INDEX(LH_Data,0,LH_ColSur),$B99,INDEX(LH_Data,0,LH_ColCat),BonusCat,INDEX(LH_Data,0,LH_ColPeriod),LH_OpenLabel)*UnitFactor))))</f>
        <v/>
      </c>
      <c r="U99" s="14" t="str">
        <f aca="false">IF(AE99=0,"",IF(NOT(LH_Ready),"",SUMIFS(INDEX(LH_Data,0,LH_ColAcc),INDEX(LH_Data,0,LH_ColFirst),$A99,INDEX(LH_Data,0,LH_ColSur),$B99,INDEX(LH_Data,0,LH_ColCat),BonusCat,INDEX(LH_Data,0,LH_ColStart),"&gt;="&amp;AF99)*UnitFactor))</f>
        <v/>
      </c>
      <c r="V99" s="14" t="str">
        <f aca="false">IF(AE99=0,"",IF(NOT(LH_Ready),"",SUMIFS(INDEX(LH_Data,0,LH_ColTaken),INDEX(LH_Data,0,LH_ColFirst),$A99,INDEX(LH_Data,0,LH_ColSur),$B99,INDEX(LH_Data,0,LH_ColCat),BonusCat,INDEX(LH_Data,0,LH_ColStart),"&gt;="&amp;AF99)*UnitFactor))</f>
        <v/>
      </c>
      <c r="W99" s="14" t="str">
        <f aca="false">IF(AE99=0,"",IF(NOT(LH_Ready),"",IF(BB99=0,0,INDEX(INDEX(LH_Data,0,LH_ColClose),BB99-1)*UnitFactor)))</f>
        <v/>
      </c>
      <c r="X99" s="14" t="str">
        <f aca="false">IF(AE99=0,"",(AX99-AY99)*HoursPerDay)</f>
        <v/>
      </c>
      <c r="Y99" s="14" t="str">
        <f aca="false">IF(AE99=0,"",IF(NOT(LH_Ready),"",IF(BA99=0,N99,IF(PFYDate&lt;$F99,N99-N(T99)-N(U99),X99-N(U99)))))</f>
        <v/>
      </c>
      <c r="Z99" s="13" t="str">
        <f aca="false">IF(OR(AE99=0,Y99=""),"",IF(Y99&gt;0,"Yes","No"))</f>
        <v/>
      </c>
      <c r="AA99" s="13"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 hrs more than policy since commencement",IF(N(W99)&gt;O99*HoursPerDay+0.01,"CHECK - EH balance "&amp;ROUND(W99-O99*HoursPerDay,2)&amp;" hrs more than policy entitlement",IF(O99&gt;0,"OK - nothing to add",IF(AQ99="None",R99,"Not yet - first day on "&amp;TEXT(S99,"dd/mm/yyyy")))))))))</f>
        <v/>
      </c>
      <c r="AB99" s="14" t="str">
        <f aca="false">IF(OR(AE99=0,T99=""),"",AY99*HoursPerDay-T99)</f>
        <v/>
      </c>
      <c r="AC99" s="13" t="str">
        <f aca="false">IF(AE99=0,"",BA99)</f>
        <v/>
      </c>
      <c r="AD99" s="13"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3" t="n">
        <f aca="false">IF(OR(LEN($A99&amp;$B99)=0,$F99=""),0,1)</f>
        <v>0</v>
      </c>
      <c r="AF99" s="11" t="str">
        <f aca="false">IF(AE99=0,"",IF($J99&lt;&gt;"",$J99,IF(OR(CasualCounts="Yes",COUNT($G99:$I99)=0,COUNT($G99:$H99)=0),$F99,MIN($G99:$H99))))</f>
        <v/>
      </c>
      <c r="AG99" s="13" t="str">
        <f aca="false">IF(AE99=0,"",COUNT($G99:$I99))</f>
        <v/>
      </c>
      <c r="AH99" s="11" t="str">
        <f aca="false">IF(AE99=0,"",IFERROR(SMALL($G99:$I99,1),""))</f>
        <v/>
      </c>
      <c r="AI99" s="11" t="str">
        <f aca="false">IF(AE99=0,"",IFERROR(SMALL($G99:$I99,2),""))</f>
        <v/>
      </c>
      <c r="AJ99" s="11" t="str">
        <f aca="false">IF(AE99=0,"",IFERROR(SMALL($G99:$I99,3),""))</f>
        <v/>
      </c>
      <c r="AK99" s="13" t="str">
        <f aca="false">IF(AE99=0,"",IF(AH99="","",IF(AH99=$G99,"Part-Time",IF(AH99=$H99,"Full-Time","Casual"))))</f>
        <v/>
      </c>
      <c r="AL99" s="13" t="str">
        <f aca="false">IF(AE99=0,"",IF(AI99="","",IF(AI99=$G99,"Part-Time",IF(AI99=$H99,"Full-Time","Casual"))))</f>
        <v/>
      </c>
      <c r="AM99" s="13" t="str">
        <f aca="false">IF(AE99=0,"",IF(AJ99="","",IF(AJ99=$G99,"Part-Time",IF(AJ99=$H99,"Full-Time","Casual"))))</f>
        <v/>
      </c>
      <c r="AN99" s="13"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3" t="str">
        <f aca="false">IF(AE99=0,"",IF(AG99&lt;2,"",IF(OR(ISNUMBER(SEARCH("full",AL99)),UPPER(TRIM(AL99))="FT",UPPER(TRIM(AL99))="FTE"),"FT",IF(AND(OR(ISNUMBER(SEARCH("part",AL99)),UPPER(TRIM(AL99))="PT",UPPER(TRIM(AL99))="PTE"),OR($P99="",N($P99)&gt;=PT_MinHours)),"PT","None"))))</f>
        <v/>
      </c>
      <c r="AP99" s="13" t="str">
        <f aca="false">IF(AE99=0,"",IF(AG99&lt;3,"",IF(OR(ISNUMBER(SEARCH("full",AM99)),UPPER(TRIM(AM99))="FT",UPPER(TRIM(AM99))="FTE"),"FT",IF(AND(OR(ISNUMBER(SEARCH("part",AM99)),UPPER(TRIM(AM99))="PT",UPPER(TRIM(AM99))="PTE"),OR($P99="",N($P99)&gt;=PT_MinHours)),"PT","None"))))</f>
        <v/>
      </c>
      <c r="AQ99" s="13" t="str">
        <f aca="false">IF(AE99=0,"",IF(AND(AG99&gt;=3,AJ99&lt;=AsOfDate),AP99,IF(AND(AG99&gt;=2,AI99&lt;=AsOfDate),AO99,AN99)))</f>
        <v/>
      </c>
      <c r="AR99" s="13" t="str">
        <f aca="false">IF(AE99=0,"",IF(AsOfDate&lt;AF99,-1,12*(YEAR(AsOfDate)-YEAR(AF99))+MONTH(AsOfDate)-MONTH(AF99)-IF(DAY(AsOfDate)&lt;MIN(DAY(AF99),DAY(EOMONTH(AsOfDate,0))),1,0)))</f>
        <v/>
      </c>
      <c r="AS99" s="13" t="str">
        <f aca="false">IF(AE99=0,"",IF(OR(AG99&lt;2,AI99&gt;AsOfDate),AR99,IF((AI99-1)&lt;AF99,-1,12*(YEAR((AI99-1))-YEAR(AF99))+MONTH((AI99-1))-MONTH(AF99)-IF(DAY((AI99-1))&lt;MIN(DAY(AF99),DAY(EOMONTH((AI99-1),0))),1,0))))</f>
        <v/>
      </c>
      <c r="AT99" s="13" t="str">
        <f aca="false">IF(AE99=0,"",IF(OR(AG99&lt;3,AJ99&gt;AsOfDate),AR99,IF((AJ99-1)&lt;AF99,-1,12*(YEAR((AJ99-1))-YEAR(AF99))+MONTH((AJ99-1))-MONTH(AF99)-IF(DAY((AJ99-1))&lt;MIN(DAY(AF99),DAY(EOMONTH((AJ99-1),0))),1,0))))</f>
        <v/>
      </c>
      <c r="AU99" s="13" t="str">
        <f aca="false">IF(AE99=0,"",IF(PFYDate&lt;AF99,-1,12*(YEAR(PFYDate)-YEAR(AF99))+MONTH(PFYDate)-MONTH(AF99)-IF(DAY(PFYDate)&lt;MIN(DAY(AF99),DAY(EOMONTH(PFYDate,0))),1,0)))</f>
        <v/>
      </c>
      <c r="AV99" s="13" t="str">
        <f aca="false">IF(AE99=0,"",IF(OR(AG99&lt;2,AI99&gt;PFYDate),AU99,IF((AI99-1)&lt;AF99,-1,12*(YEAR((AI99-1))-YEAR(AF99))+MONTH((AI99-1))-MONTH(AF99)-IF(DAY((AI99-1))&lt;MIN(DAY(AF99),DAY(EOMONTH((AI99-1),0))),1,0))))</f>
        <v/>
      </c>
      <c r="AW99" s="13" t="str">
        <f aca="false">IF(AE99=0,"",IF(OR(AG99&lt;3,AJ99&gt;PFYDate),AU99,IF((AJ99-1)&lt;AF99,-1,12*(YEAR((AJ99-1))-YEAR(AF99))+MONTH((AJ99-1))-MONTH(AF99)-IF(DAY((AJ99-1))&lt;MIN(DAY(AF99),DAY(EOMONTH((AJ99-1),0))),1,0))))</f>
        <v/>
      </c>
      <c r="AX99" s="13"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3"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3" t="str">
        <f aca="false">IF(AE99=0,"",IF(AQ99="FT",IF(AR99&lt;FT_First,FT_First,IF(AR99&lt;FT_Y5,MIN(FT_Y5,FT_First+FT_Int1*(INT((AR99-FT_First)/FT_Int1)+1)),FT_Y5+12*INT((AR99-FT_Y5)/12)+FT_Int2*(INT(MOD(AR99-FT_Y5,12)/FT_Int2)+1))),IF(AQ99="PT",IF(AR99&lt;PT_First,PT_First,PT_First+PT_Int*(INT((AR99-PT_First)/PT_Int)+1)),"")))</f>
        <v/>
      </c>
      <c r="BA99" s="13" t="str">
        <f aca="false">IF(AE99=0,"",IF(NOT(LH_Ready),0,COUNTIFS(INDEX(LH_Data,0,LH_ColFirst),$A99,INDEX(LH_Data,0,LH_ColSur),$B99,INDEX(LH_Data,0,LH_ColCat),BonusCat)))</f>
        <v/>
      </c>
      <c r="BB99" s="13" t="str">
        <f aca="false">IF(AE99=0,"",IF(OR(NOT(LH_Ready),BA99=0),0,SUMPRODUCT(MAX((INDEX(LH_Data,0,LH_ColFirst)=$A99)*(INDEX(LH_Data,0,LH_ColSur)=$B99)*(INDEX(LH_Data,0,LH_ColCat)=BonusCat)*ROW(LH_Data)))))</f>
        <v/>
      </c>
      <c r="BC99" s="0" t="str">
        <f aca="false">IF(LEN($A99&amp;$B99)=0,"",$A99&amp;" "&amp;$B99)</f>
        <v/>
      </c>
    </row>
    <row r="100" customFormat="false" ht="15" hidden="false" customHeight="false" outlineLevel="0" collapsed="false">
      <c r="A100" s="9"/>
      <c r="B100" s="9"/>
      <c r="C100" s="9"/>
      <c r="D100" s="10"/>
      <c r="E100" s="11" t="str">
        <f aca="false">IF(OR(AE100=0,$D100=""),"",DATE(YEAR(AsOfDate)+IF(DATE(YEAR(AsOfDate),MONTH($D100),DAY($D100))&lt;=AsOfDate,1,0),MONTH($D100),DAY($D100)))</f>
        <v/>
      </c>
      <c r="F100" s="10"/>
      <c r="G100" s="10"/>
      <c r="H100" s="10"/>
      <c r="I100" s="10"/>
      <c r="J100" s="10"/>
      <c r="K100" s="11" t="str">
        <f aca="false">IF(AE100=0,"",DATE(YEAR(AsOfDate)+IF(DATE(YEAR(AsOfDate),MONTH(AF100),DAY(AF100))&lt;=AsOfDate,1,0),MONTH(AF100),DAY(AF100)))</f>
        <v/>
      </c>
      <c r="L100" s="12" t="str">
        <f aca="false">IF(AE100=0,"",ROUND((AsOfDate-AF100)/365.25,1))</f>
        <v/>
      </c>
      <c r="M100" s="13" t="str">
        <f aca="false">IF(AE100=0,"",IF(AsOfDate&lt;AF100,"-",DATEDIF(AF100,AsOfDate,"y")&amp;"y "&amp;DATEDIF(AF100,AsOfDate,"ym")&amp;"m "&amp;DATEDIF(AF100,AsOfDate,"md")&amp;"d"))</f>
        <v/>
      </c>
      <c r="N100" s="14" t="str">
        <f aca="false">IF(AE100=0,"",O100*HoursPerDay)</f>
        <v/>
      </c>
      <c r="O100" s="14" t="str">
        <f aca="false">IF(AE100=0,"",AX100)</f>
        <v/>
      </c>
      <c r="P100" s="15"/>
      <c r="Q100" s="13"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13"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1" t="str">
        <f aca="false">IF(AE100=0,"",IF(AQ100="None","",EDATE(AF100,AZ100)))</f>
        <v/>
      </c>
      <c r="T100" s="14" t="str">
        <f aca="false">IF(AE100=0,"",IF(NOT(LH_Ready),"",IF(AF100&gt;PFYDate,0,IF(LH_ColPeriod=0,W100-U100+V100,SUMIFS(INDEX(LH_Data,0,LH_ColAcc),INDEX(LH_Data,0,LH_ColFirst),$A100,INDEX(LH_Data,0,LH_ColSur),$B100,INDEX(LH_Data,0,LH_ColCat),BonusCat,INDEX(LH_Data,0,LH_ColPeriod),LH_OpenLabel)*UnitFactor))))</f>
        <v/>
      </c>
      <c r="U100" s="14" t="str">
        <f aca="false">IF(AE100=0,"",IF(NOT(LH_Ready),"",SUMIFS(INDEX(LH_Data,0,LH_ColAcc),INDEX(LH_Data,0,LH_ColFirst),$A100,INDEX(LH_Data,0,LH_ColSur),$B100,INDEX(LH_Data,0,LH_ColCat),BonusCat,INDEX(LH_Data,0,LH_ColStart),"&gt;="&amp;AF100)*UnitFactor))</f>
        <v/>
      </c>
      <c r="V100" s="14" t="str">
        <f aca="false">IF(AE100=0,"",IF(NOT(LH_Ready),"",SUMIFS(INDEX(LH_Data,0,LH_ColTaken),INDEX(LH_Data,0,LH_ColFirst),$A100,INDEX(LH_Data,0,LH_ColSur),$B100,INDEX(LH_Data,0,LH_ColCat),BonusCat,INDEX(LH_Data,0,LH_ColStart),"&gt;="&amp;AF100)*UnitFactor))</f>
        <v/>
      </c>
      <c r="W100" s="14" t="str">
        <f aca="false">IF(AE100=0,"",IF(NOT(LH_Ready),"",IF(BB100=0,0,INDEX(INDEX(LH_Data,0,LH_ColClose),BB100-1)*UnitFactor)))</f>
        <v/>
      </c>
      <c r="X100" s="14" t="str">
        <f aca="false">IF(AE100=0,"",(AX100-AY100)*HoursPerDay)</f>
        <v/>
      </c>
      <c r="Y100" s="14" t="str">
        <f aca="false">IF(AE100=0,"",IF(NOT(LH_Ready),"",IF(BA100=0,N100,IF(PFYDate&lt;$F100,N100-N(T100)-N(U100),X100-N(U100)))))</f>
        <v/>
      </c>
      <c r="Z100" s="13" t="str">
        <f aca="false">IF(OR(AE100=0,Y100=""),"",IF(Y100&gt;0,"Yes","No"))</f>
        <v/>
      </c>
      <c r="AA100" s="13"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 hrs more than policy since commencement",IF(N(W100)&gt;O100*HoursPerDay+0.01,"CHECK - EH balance "&amp;ROUND(W100-O100*HoursPerDay,2)&amp;" hrs more than policy entitlement",IF(O100&gt;0,"OK - nothing to add",IF(AQ100="None",R100,"Not yet - first day on "&amp;TEXT(S100,"dd/mm/yyyy")))))))))</f>
        <v/>
      </c>
      <c r="AB100" s="14" t="str">
        <f aca="false">IF(OR(AE100=0,T100=""),"",AY100*HoursPerDay-T100)</f>
        <v/>
      </c>
      <c r="AC100" s="13" t="str">
        <f aca="false">IF(AE100=0,"",BA100)</f>
        <v/>
      </c>
      <c r="AD100" s="13"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3" t="n">
        <f aca="false">IF(OR(LEN($A100&amp;$B100)=0,$F100=""),0,1)</f>
        <v>0</v>
      </c>
      <c r="AF100" s="11" t="str">
        <f aca="false">IF(AE100=0,"",IF($J100&lt;&gt;"",$J100,IF(OR(CasualCounts="Yes",COUNT($G100:$I100)=0,COUNT($G100:$H100)=0),$F100,MIN($G100:$H100))))</f>
        <v/>
      </c>
      <c r="AG100" s="13" t="str">
        <f aca="false">IF(AE100=0,"",COUNT($G100:$I100))</f>
        <v/>
      </c>
      <c r="AH100" s="11" t="str">
        <f aca="false">IF(AE100=0,"",IFERROR(SMALL($G100:$I100,1),""))</f>
        <v/>
      </c>
      <c r="AI100" s="11" t="str">
        <f aca="false">IF(AE100=0,"",IFERROR(SMALL($G100:$I100,2),""))</f>
        <v/>
      </c>
      <c r="AJ100" s="11" t="str">
        <f aca="false">IF(AE100=0,"",IFERROR(SMALL($G100:$I100,3),""))</f>
        <v/>
      </c>
      <c r="AK100" s="13" t="str">
        <f aca="false">IF(AE100=0,"",IF(AH100="","",IF(AH100=$G100,"Part-Time",IF(AH100=$H100,"Full-Time","Casual"))))</f>
        <v/>
      </c>
      <c r="AL100" s="13" t="str">
        <f aca="false">IF(AE100=0,"",IF(AI100="","",IF(AI100=$G100,"Part-Time",IF(AI100=$H100,"Full-Time","Casual"))))</f>
        <v/>
      </c>
      <c r="AM100" s="13" t="str">
        <f aca="false">IF(AE100=0,"",IF(AJ100="","",IF(AJ100=$G100,"Part-Time",IF(AJ100=$H100,"Full-Time","Casual"))))</f>
        <v/>
      </c>
      <c r="AN100" s="13"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3" t="str">
        <f aca="false">IF(AE100=0,"",IF(AG100&lt;2,"",IF(OR(ISNUMBER(SEARCH("full",AL100)),UPPER(TRIM(AL100))="FT",UPPER(TRIM(AL100))="FTE"),"FT",IF(AND(OR(ISNUMBER(SEARCH("part",AL100)),UPPER(TRIM(AL100))="PT",UPPER(TRIM(AL100))="PTE"),OR($P100="",N($P100)&gt;=PT_MinHours)),"PT","None"))))</f>
        <v/>
      </c>
      <c r="AP100" s="13" t="str">
        <f aca="false">IF(AE100=0,"",IF(AG100&lt;3,"",IF(OR(ISNUMBER(SEARCH("full",AM100)),UPPER(TRIM(AM100))="FT",UPPER(TRIM(AM100))="FTE"),"FT",IF(AND(OR(ISNUMBER(SEARCH("part",AM100)),UPPER(TRIM(AM100))="PT",UPPER(TRIM(AM100))="PTE"),OR($P100="",N($P100)&gt;=PT_MinHours)),"PT","None"))))</f>
        <v/>
      </c>
      <c r="AQ100" s="13" t="str">
        <f aca="false">IF(AE100=0,"",IF(AND(AG100&gt;=3,AJ100&lt;=AsOfDate),AP100,IF(AND(AG100&gt;=2,AI100&lt;=AsOfDate),AO100,AN100)))</f>
        <v/>
      </c>
      <c r="AR100" s="13" t="str">
        <f aca="false">IF(AE100=0,"",IF(AsOfDate&lt;AF100,-1,12*(YEAR(AsOfDate)-YEAR(AF100))+MONTH(AsOfDate)-MONTH(AF100)-IF(DAY(AsOfDate)&lt;MIN(DAY(AF100),DAY(EOMONTH(AsOfDate,0))),1,0)))</f>
        <v/>
      </c>
      <c r="AS100" s="13" t="str">
        <f aca="false">IF(AE100=0,"",IF(OR(AG100&lt;2,AI100&gt;AsOfDate),AR100,IF((AI100-1)&lt;AF100,-1,12*(YEAR((AI100-1))-YEAR(AF100))+MONTH((AI100-1))-MONTH(AF100)-IF(DAY((AI100-1))&lt;MIN(DAY(AF100),DAY(EOMONTH((AI100-1),0))),1,0))))</f>
        <v/>
      </c>
      <c r="AT100" s="13" t="str">
        <f aca="false">IF(AE100=0,"",IF(OR(AG100&lt;3,AJ100&gt;AsOfDate),AR100,IF((AJ100-1)&lt;AF100,-1,12*(YEAR((AJ100-1))-YEAR(AF100))+MONTH((AJ100-1))-MONTH(AF100)-IF(DAY((AJ100-1))&lt;MIN(DAY(AF100),DAY(EOMONTH((AJ100-1),0))),1,0))))</f>
        <v/>
      </c>
      <c r="AU100" s="13" t="str">
        <f aca="false">IF(AE100=0,"",IF(PFYDate&lt;AF100,-1,12*(YEAR(PFYDate)-YEAR(AF100))+MONTH(PFYDate)-MONTH(AF100)-IF(DAY(PFYDate)&lt;MIN(DAY(AF100),DAY(EOMONTH(PFYDate,0))),1,0)))</f>
        <v/>
      </c>
      <c r="AV100" s="13" t="str">
        <f aca="false">IF(AE100=0,"",IF(OR(AG100&lt;2,AI100&gt;PFYDate),AU100,IF((AI100-1)&lt;AF100,-1,12*(YEAR((AI100-1))-YEAR(AF100))+MONTH((AI100-1))-MONTH(AF100)-IF(DAY((AI100-1))&lt;MIN(DAY(AF100),DAY(EOMONTH((AI100-1),0))),1,0))))</f>
        <v/>
      </c>
      <c r="AW100" s="13" t="str">
        <f aca="false">IF(AE100=0,"",IF(OR(AG100&lt;3,AJ100&gt;PFYDate),AU100,IF((AJ100-1)&lt;AF100,-1,12*(YEAR((AJ100-1))-YEAR(AF100))+MONTH((AJ100-1))-MONTH(AF100)-IF(DAY((AJ100-1))&lt;MIN(DAY(AF100),DAY(EOMONTH((AJ100-1),0))),1,0))))</f>
        <v/>
      </c>
      <c r="AX100" s="13"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3"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3" t="str">
        <f aca="false">IF(AE100=0,"",IF(AQ100="FT",IF(AR100&lt;FT_First,FT_First,IF(AR100&lt;FT_Y5,MIN(FT_Y5,FT_First+FT_Int1*(INT((AR100-FT_First)/FT_Int1)+1)),FT_Y5+12*INT((AR100-FT_Y5)/12)+FT_Int2*(INT(MOD(AR100-FT_Y5,12)/FT_Int2)+1))),IF(AQ100="PT",IF(AR100&lt;PT_First,PT_First,PT_First+PT_Int*(INT((AR100-PT_First)/PT_Int)+1)),"")))</f>
        <v/>
      </c>
      <c r="BA100" s="13" t="str">
        <f aca="false">IF(AE100=0,"",IF(NOT(LH_Ready),0,COUNTIFS(INDEX(LH_Data,0,LH_ColFirst),$A100,INDEX(LH_Data,0,LH_ColSur),$B100,INDEX(LH_Data,0,LH_ColCat),BonusCat)))</f>
        <v/>
      </c>
      <c r="BB100" s="13" t="str">
        <f aca="false">IF(AE100=0,"",IF(OR(NOT(LH_Ready),BA100=0),0,SUMPRODUCT(MAX((INDEX(LH_Data,0,LH_ColFirst)=$A100)*(INDEX(LH_Data,0,LH_ColSur)=$B100)*(INDEX(LH_Data,0,LH_ColCat)=BonusCat)*ROW(LH_Data)))))</f>
        <v/>
      </c>
      <c r="BC100" s="0" t="str">
        <f aca="false">IF(LEN($A100&amp;$B100)=0,"",$A100&amp;" "&amp;$B100)</f>
        <v/>
      </c>
    </row>
    <row r="101" customFormat="false" ht="15" hidden="false" customHeight="false" outlineLevel="0" collapsed="false">
      <c r="A101" s="9"/>
      <c r="B101" s="9"/>
      <c r="C101" s="9"/>
      <c r="D101" s="10"/>
      <c r="E101" s="11" t="str">
        <f aca="false">IF(OR(AE101=0,$D101=""),"",DATE(YEAR(AsOfDate)+IF(DATE(YEAR(AsOfDate),MONTH($D101),DAY($D101))&lt;=AsOfDate,1,0),MONTH($D101),DAY($D101)))</f>
        <v/>
      </c>
      <c r="F101" s="10"/>
      <c r="G101" s="10"/>
      <c r="H101" s="10"/>
      <c r="I101" s="10"/>
      <c r="J101" s="10"/>
      <c r="K101" s="11" t="str">
        <f aca="false">IF(AE101=0,"",DATE(YEAR(AsOfDate)+IF(DATE(YEAR(AsOfDate),MONTH(AF101),DAY(AF101))&lt;=AsOfDate,1,0),MONTH(AF101),DAY(AF101)))</f>
        <v/>
      </c>
      <c r="L101" s="12" t="str">
        <f aca="false">IF(AE101=0,"",ROUND((AsOfDate-AF101)/365.25,1))</f>
        <v/>
      </c>
      <c r="M101" s="13" t="str">
        <f aca="false">IF(AE101=0,"",IF(AsOfDate&lt;AF101,"-",DATEDIF(AF101,AsOfDate,"y")&amp;"y "&amp;DATEDIF(AF101,AsOfDate,"ym")&amp;"m "&amp;DATEDIF(AF101,AsOfDate,"md")&amp;"d"))</f>
        <v/>
      </c>
      <c r="N101" s="14" t="str">
        <f aca="false">IF(AE101=0,"",O101*HoursPerDay)</f>
        <v/>
      </c>
      <c r="O101" s="14" t="str">
        <f aca="false">IF(AE101=0,"",AX101)</f>
        <v/>
      </c>
      <c r="P101" s="15"/>
      <c r="Q101" s="13"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13"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1" t="str">
        <f aca="false">IF(AE101=0,"",IF(AQ101="None","",EDATE(AF101,AZ101)))</f>
        <v/>
      </c>
      <c r="T101" s="14" t="str">
        <f aca="false">IF(AE101=0,"",IF(NOT(LH_Ready),"",IF(AF101&gt;PFYDate,0,IF(LH_ColPeriod=0,W101-U101+V101,SUMIFS(INDEX(LH_Data,0,LH_ColAcc),INDEX(LH_Data,0,LH_ColFirst),$A101,INDEX(LH_Data,0,LH_ColSur),$B101,INDEX(LH_Data,0,LH_ColCat),BonusCat,INDEX(LH_Data,0,LH_ColPeriod),LH_OpenLabel)*UnitFactor))))</f>
        <v/>
      </c>
      <c r="U101" s="14" t="str">
        <f aca="false">IF(AE101=0,"",IF(NOT(LH_Ready),"",SUMIFS(INDEX(LH_Data,0,LH_ColAcc),INDEX(LH_Data,0,LH_ColFirst),$A101,INDEX(LH_Data,0,LH_ColSur),$B101,INDEX(LH_Data,0,LH_ColCat),BonusCat,INDEX(LH_Data,0,LH_ColStart),"&gt;="&amp;AF101)*UnitFactor))</f>
        <v/>
      </c>
      <c r="V101" s="14" t="str">
        <f aca="false">IF(AE101=0,"",IF(NOT(LH_Ready),"",SUMIFS(INDEX(LH_Data,0,LH_ColTaken),INDEX(LH_Data,0,LH_ColFirst),$A101,INDEX(LH_Data,0,LH_ColSur),$B101,INDEX(LH_Data,0,LH_ColCat),BonusCat,INDEX(LH_Data,0,LH_ColStart),"&gt;="&amp;AF101)*UnitFactor))</f>
        <v/>
      </c>
      <c r="W101" s="14" t="str">
        <f aca="false">IF(AE101=0,"",IF(NOT(LH_Ready),"",IF(BB101=0,0,INDEX(INDEX(LH_Data,0,LH_ColClose),BB101-1)*UnitFactor)))</f>
        <v/>
      </c>
      <c r="X101" s="14" t="str">
        <f aca="false">IF(AE101=0,"",(AX101-AY101)*HoursPerDay)</f>
        <v/>
      </c>
      <c r="Y101" s="14" t="str">
        <f aca="false">IF(AE101=0,"",IF(NOT(LH_Ready),"",IF(BA101=0,N101,IF(PFYDate&lt;$F101,N101-N(T101)-N(U101),X101-N(U101)))))</f>
        <v/>
      </c>
      <c r="Z101" s="13" t="str">
        <f aca="false">IF(OR(AE101=0,Y101=""),"",IF(Y101&gt;0,"Yes","No"))</f>
        <v/>
      </c>
      <c r="AA101" s="13"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 hrs more than policy since commencement",IF(N(W101)&gt;O101*HoursPerDay+0.01,"CHECK - EH balance "&amp;ROUND(W101-O101*HoursPerDay,2)&amp;" hrs more than policy entitlement",IF(O101&gt;0,"OK - nothing to add",IF(AQ101="None",R101,"Not yet - first day on "&amp;TEXT(S101,"dd/mm/yyyy")))))))))</f>
        <v/>
      </c>
      <c r="AB101" s="14" t="str">
        <f aca="false">IF(OR(AE101=0,T101=""),"",AY101*HoursPerDay-T101)</f>
        <v/>
      </c>
      <c r="AC101" s="13" t="str">
        <f aca="false">IF(AE101=0,"",BA101)</f>
        <v/>
      </c>
      <c r="AD101" s="13"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3" t="n">
        <f aca="false">IF(OR(LEN($A101&amp;$B101)=0,$F101=""),0,1)</f>
        <v>0</v>
      </c>
      <c r="AF101" s="11" t="str">
        <f aca="false">IF(AE101=0,"",IF($J101&lt;&gt;"",$J101,IF(OR(CasualCounts="Yes",COUNT($G101:$I101)=0,COUNT($G101:$H101)=0),$F101,MIN($G101:$H101))))</f>
        <v/>
      </c>
      <c r="AG101" s="13" t="str">
        <f aca="false">IF(AE101=0,"",COUNT($G101:$I101))</f>
        <v/>
      </c>
      <c r="AH101" s="11" t="str">
        <f aca="false">IF(AE101=0,"",IFERROR(SMALL($G101:$I101,1),""))</f>
        <v/>
      </c>
      <c r="AI101" s="11" t="str">
        <f aca="false">IF(AE101=0,"",IFERROR(SMALL($G101:$I101,2),""))</f>
        <v/>
      </c>
      <c r="AJ101" s="11" t="str">
        <f aca="false">IF(AE101=0,"",IFERROR(SMALL($G101:$I101,3),""))</f>
        <v/>
      </c>
      <c r="AK101" s="13" t="str">
        <f aca="false">IF(AE101=0,"",IF(AH101="","",IF(AH101=$G101,"Part-Time",IF(AH101=$H101,"Full-Time","Casual"))))</f>
        <v/>
      </c>
      <c r="AL101" s="13" t="str">
        <f aca="false">IF(AE101=0,"",IF(AI101="","",IF(AI101=$G101,"Part-Time",IF(AI101=$H101,"Full-Time","Casual"))))</f>
        <v/>
      </c>
      <c r="AM101" s="13" t="str">
        <f aca="false">IF(AE101=0,"",IF(AJ101="","",IF(AJ101=$G101,"Part-Time",IF(AJ101=$H101,"Full-Time","Casual"))))</f>
        <v/>
      </c>
      <c r="AN101" s="13"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3" t="str">
        <f aca="false">IF(AE101=0,"",IF(AG101&lt;2,"",IF(OR(ISNUMBER(SEARCH("full",AL101)),UPPER(TRIM(AL101))="FT",UPPER(TRIM(AL101))="FTE"),"FT",IF(AND(OR(ISNUMBER(SEARCH("part",AL101)),UPPER(TRIM(AL101))="PT",UPPER(TRIM(AL101))="PTE"),OR($P101="",N($P101)&gt;=PT_MinHours)),"PT","None"))))</f>
        <v/>
      </c>
      <c r="AP101" s="13" t="str">
        <f aca="false">IF(AE101=0,"",IF(AG101&lt;3,"",IF(OR(ISNUMBER(SEARCH("full",AM101)),UPPER(TRIM(AM101))="FT",UPPER(TRIM(AM101))="FTE"),"FT",IF(AND(OR(ISNUMBER(SEARCH("part",AM101)),UPPER(TRIM(AM101))="PT",UPPER(TRIM(AM101))="PTE"),OR($P101="",N($P101)&gt;=PT_MinHours)),"PT","None"))))</f>
        <v/>
      </c>
      <c r="AQ101" s="13" t="str">
        <f aca="false">IF(AE101=0,"",IF(AND(AG101&gt;=3,AJ101&lt;=AsOfDate),AP101,IF(AND(AG101&gt;=2,AI101&lt;=AsOfDate),AO101,AN101)))</f>
        <v/>
      </c>
      <c r="AR101" s="13" t="str">
        <f aca="false">IF(AE101=0,"",IF(AsOfDate&lt;AF101,-1,12*(YEAR(AsOfDate)-YEAR(AF101))+MONTH(AsOfDate)-MONTH(AF101)-IF(DAY(AsOfDate)&lt;MIN(DAY(AF101),DAY(EOMONTH(AsOfDate,0))),1,0)))</f>
        <v/>
      </c>
      <c r="AS101" s="13" t="str">
        <f aca="false">IF(AE101=0,"",IF(OR(AG101&lt;2,AI101&gt;AsOfDate),AR101,IF((AI101-1)&lt;AF101,-1,12*(YEAR((AI101-1))-YEAR(AF101))+MONTH((AI101-1))-MONTH(AF101)-IF(DAY((AI101-1))&lt;MIN(DAY(AF101),DAY(EOMONTH((AI101-1),0))),1,0))))</f>
        <v/>
      </c>
      <c r="AT101" s="13" t="str">
        <f aca="false">IF(AE101=0,"",IF(OR(AG101&lt;3,AJ101&gt;AsOfDate),AR101,IF((AJ101-1)&lt;AF101,-1,12*(YEAR((AJ101-1))-YEAR(AF101))+MONTH((AJ101-1))-MONTH(AF101)-IF(DAY((AJ101-1))&lt;MIN(DAY(AF101),DAY(EOMONTH((AJ101-1),0))),1,0))))</f>
        <v/>
      </c>
      <c r="AU101" s="13" t="str">
        <f aca="false">IF(AE101=0,"",IF(PFYDate&lt;AF101,-1,12*(YEAR(PFYDate)-YEAR(AF101))+MONTH(PFYDate)-MONTH(AF101)-IF(DAY(PFYDate)&lt;MIN(DAY(AF101),DAY(EOMONTH(PFYDate,0))),1,0)))</f>
        <v/>
      </c>
      <c r="AV101" s="13" t="str">
        <f aca="false">IF(AE101=0,"",IF(OR(AG101&lt;2,AI101&gt;PFYDate),AU101,IF((AI101-1)&lt;AF101,-1,12*(YEAR((AI101-1))-YEAR(AF101))+MONTH((AI101-1))-MONTH(AF101)-IF(DAY((AI101-1))&lt;MIN(DAY(AF101),DAY(EOMONTH((AI101-1),0))),1,0))))</f>
        <v/>
      </c>
      <c r="AW101" s="13" t="str">
        <f aca="false">IF(AE101=0,"",IF(OR(AG101&lt;3,AJ101&gt;PFYDate),AU101,IF((AJ101-1)&lt;AF101,-1,12*(YEAR((AJ101-1))-YEAR(AF101))+MONTH((AJ101-1))-MONTH(AF101)-IF(DAY((AJ101-1))&lt;MIN(DAY(AF101),DAY(EOMONTH((AJ101-1),0))),1,0))))</f>
        <v/>
      </c>
      <c r="AX101" s="13"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3"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3" t="str">
        <f aca="false">IF(AE101=0,"",IF(AQ101="FT",IF(AR101&lt;FT_First,FT_First,IF(AR101&lt;FT_Y5,MIN(FT_Y5,FT_First+FT_Int1*(INT((AR101-FT_First)/FT_Int1)+1)),FT_Y5+12*INT((AR101-FT_Y5)/12)+FT_Int2*(INT(MOD(AR101-FT_Y5,12)/FT_Int2)+1))),IF(AQ101="PT",IF(AR101&lt;PT_First,PT_First,PT_First+PT_Int*(INT((AR101-PT_First)/PT_Int)+1)),"")))</f>
        <v/>
      </c>
      <c r="BA101" s="13" t="str">
        <f aca="false">IF(AE101=0,"",IF(NOT(LH_Ready),0,COUNTIFS(INDEX(LH_Data,0,LH_ColFirst),$A101,INDEX(LH_Data,0,LH_ColSur),$B101,INDEX(LH_Data,0,LH_ColCat),BonusCat)))</f>
        <v/>
      </c>
      <c r="BB101" s="13" t="str">
        <f aca="false">IF(AE101=0,"",IF(OR(NOT(LH_Ready),BA101=0),0,SUMPRODUCT(MAX((INDEX(LH_Data,0,LH_ColFirst)=$A101)*(INDEX(LH_Data,0,LH_ColSur)=$B101)*(INDEX(LH_Data,0,LH_ColCat)=BonusCat)*ROW(LH_Data)))))</f>
        <v/>
      </c>
      <c r="BC101" s="0" t="str">
        <f aca="false">IF(LEN($A101&amp;$B101)=0,"",$A101&amp;" "&amp;$B101)</f>
        <v/>
      </c>
    </row>
    <row r="102" customFormat="false" ht="15" hidden="false" customHeight="false" outlineLevel="0" collapsed="false">
      <c r="A102" s="9"/>
      <c r="B102" s="9"/>
      <c r="C102" s="9"/>
      <c r="D102" s="10"/>
      <c r="E102" s="11" t="str">
        <f aca="false">IF(OR(AE102=0,$D102=""),"",DATE(YEAR(AsOfDate)+IF(DATE(YEAR(AsOfDate),MONTH($D102),DAY($D102))&lt;=AsOfDate,1,0),MONTH($D102),DAY($D102)))</f>
        <v/>
      </c>
      <c r="F102" s="10"/>
      <c r="G102" s="10"/>
      <c r="H102" s="10"/>
      <c r="I102" s="10"/>
      <c r="J102" s="10"/>
      <c r="K102" s="11" t="str">
        <f aca="false">IF(AE102=0,"",DATE(YEAR(AsOfDate)+IF(DATE(YEAR(AsOfDate),MONTH(AF102),DAY(AF102))&lt;=AsOfDate,1,0),MONTH(AF102),DAY(AF102)))</f>
        <v/>
      </c>
      <c r="L102" s="12" t="str">
        <f aca="false">IF(AE102=0,"",ROUND((AsOfDate-AF102)/365.25,1))</f>
        <v/>
      </c>
      <c r="M102" s="13" t="str">
        <f aca="false">IF(AE102=0,"",IF(AsOfDate&lt;AF102,"-",DATEDIF(AF102,AsOfDate,"y")&amp;"y "&amp;DATEDIF(AF102,AsOfDate,"ym")&amp;"m "&amp;DATEDIF(AF102,AsOfDate,"md")&amp;"d"))</f>
        <v/>
      </c>
      <c r="N102" s="14" t="str">
        <f aca="false">IF(AE102=0,"",O102*HoursPerDay)</f>
        <v/>
      </c>
      <c r="O102" s="14" t="str">
        <f aca="false">IF(AE102=0,"",AX102)</f>
        <v/>
      </c>
      <c r="P102" s="15"/>
      <c r="Q102" s="13"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13"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1" t="str">
        <f aca="false">IF(AE102=0,"",IF(AQ102="None","",EDATE(AF102,AZ102)))</f>
        <v/>
      </c>
      <c r="T102" s="14" t="str">
        <f aca="false">IF(AE102=0,"",IF(NOT(LH_Ready),"",IF(AF102&gt;PFYDate,0,IF(LH_ColPeriod=0,W102-U102+V102,SUMIFS(INDEX(LH_Data,0,LH_ColAcc),INDEX(LH_Data,0,LH_ColFirst),$A102,INDEX(LH_Data,0,LH_ColSur),$B102,INDEX(LH_Data,0,LH_ColCat),BonusCat,INDEX(LH_Data,0,LH_ColPeriod),LH_OpenLabel)*UnitFactor))))</f>
        <v/>
      </c>
      <c r="U102" s="14" t="str">
        <f aca="false">IF(AE102=0,"",IF(NOT(LH_Ready),"",SUMIFS(INDEX(LH_Data,0,LH_ColAcc),INDEX(LH_Data,0,LH_ColFirst),$A102,INDEX(LH_Data,0,LH_ColSur),$B102,INDEX(LH_Data,0,LH_ColCat),BonusCat,INDEX(LH_Data,0,LH_ColStart),"&gt;="&amp;AF102)*UnitFactor))</f>
        <v/>
      </c>
      <c r="V102" s="14" t="str">
        <f aca="false">IF(AE102=0,"",IF(NOT(LH_Ready),"",SUMIFS(INDEX(LH_Data,0,LH_ColTaken),INDEX(LH_Data,0,LH_ColFirst),$A102,INDEX(LH_Data,0,LH_ColSur),$B102,INDEX(LH_Data,0,LH_ColCat),BonusCat,INDEX(LH_Data,0,LH_ColStart),"&gt;="&amp;AF102)*UnitFactor))</f>
        <v/>
      </c>
      <c r="W102" s="14" t="str">
        <f aca="false">IF(AE102=0,"",IF(NOT(LH_Ready),"",IF(BB102=0,0,INDEX(INDEX(LH_Data,0,LH_ColClose),BB102-1)*UnitFactor)))</f>
        <v/>
      </c>
      <c r="X102" s="14" t="str">
        <f aca="false">IF(AE102=0,"",(AX102-AY102)*HoursPerDay)</f>
        <v/>
      </c>
      <c r="Y102" s="14" t="str">
        <f aca="false">IF(AE102=0,"",IF(NOT(LH_Ready),"",IF(BA102=0,N102,IF(PFYDate&lt;$F102,N102-N(T102)-N(U102),X102-N(U102)))))</f>
        <v/>
      </c>
      <c r="Z102" s="13" t="str">
        <f aca="false">IF(OR(AE102=0,Y102=""),"",IF(Y102&gt;0,"Yes","No"))</f>
        <v/>
      </c>
      <c r="AA102" s="13"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 hrs more than policy since commencement",IF(N(W102)&gt;O102*HoursPerDay+0.01,"CHECK - EH balance "&amp;ROUND(W102-O102*HoursPerDay,2)&amp;" hrs more than policy entitlement",IF(O102&gt;0,"OK - nothing to add",IF(AQ102="None",R102,"Not yet - first day on "&amp;TEXT(S102,"dd/mm/yyyy")))))))))</f>
        <v/>
      </c>
      <c r="AB102" s="14" t="str">
        <f aca="false">IF(OR(AE102=0,T102=""),"",AY102*HoursPerDay-T102)</f>
        <v/>
      </c>
      <c r="AC102" s="13" t="str">
        <f aca="false">IF(AE102=0,"",BA102)</f>
        <v/>
      </c>
      <c r="AD102" s="13"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3" t="n">
        <f aca="false">IF(OR(LEN($A102&amp;$B102)=0,$F102=""),0,1)</f>
        <v>0</v>
      </c>
      <c r="AF102" s="11" t="str">
        <f aca="false">IF(AE102=0,"",IF($J102&lt;&gt;"",$J102,IF(OR(CasualCounts="Yes",COUNT($G102:$I102)=0,COUNT($G102:$H102)=0),$F102,MIN($G102:$H102))))</f>
        <v/>
      </c>
      <c r="AG102" s="13" t="str">
        <f aca="false">IF(AE102=0,"",COUNT($G102:$I102))</f>
        <v/>
      </c>
      <c r="AH102" s="11" t="str">
        <f aca="false">IF(AE102=0,"",IFERROR(SMALL($G102:$I102,1),""))</f>
        <v/>
      </c>
      <c r="AI102" s="11" t="str">
        <f aca="false">IF(AE102=0,"",IFERROR(SMALL($G102:$I102,2),""))</f>
        <v/>
      </c>
      <c r="AJ102" s="11" t="str">
        <f aca="false">IF(AE102=0,"",IFERROR(SMALL($G102:$I102,3),""))</f>
        <v/>
      </c>
      <c r="AK102" s="13" t="str">
        <f aca="false">IF(AE102=0,"",IF(AH102="","",IF(AH102=$G102,"Part-Time",IF(AH102=$H102,"Full-Time","Casual"))))</f>
        <v/>
      </c>
      <c r="AL102" s="13" t="str">
        <f aca="false">IF(AE102=0,"",IF(AI102="","",IF(AI102=$G102,"Part-Time",IF(AI102=$H102,"Full-Time","Casual"))))</f>
        <v/>
      </c>
      <c r="AM102" s="13" t="str">
        <f aca="false">IF(AE102=0,"",IF(AJ102="","",IF(AJ102=$G102,"Part-Time",IF(AJ102=$H102,"Full-Time","Casual"))))</f>
        <v/>
      </c>
      <c r="AN102" s="13"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3" t="str">
        <f aca="false">IF(AE102=0,"",IF(AG102&lt;2,"",IF(OR(ISNUMBER(SEARCH("full",AL102)),UPPER(TRIM(AL102))="FT",UPPER(TRIM(AL102))="FTE"),"FT",IF(AND(OR(ISNUMBER(SEARCH("part",AL102)),UPPER(TRIM(AL102))="PT",UPPER(TRIM(AL102))="PTE"),OR($P102="",N($P102)&gt;=PT_MinHours)),"PT","None"))))</f>
        <v/>
      </c>
      <c r="AP102" s="13" t="str">
        <f aca="false">IF(AE102=0,"",IF(AG102&lt;3,"",IF(OR(ISNUMBER(SEARCH("full",AM102)),UPPER(TRIM(AM102))="FT",UPPER(TRIM(AM102))="FTE"),"FT",IF(AND(OR(ISNUMBER(SEARCH("part",AM102)),UPPER(TRIM(AM102))="PT",UPPER(TRIM(AM102))="PTE"),OR($P102="",N($P102)&gt;=PT_MinHours)),"PT","None"))))</f>
        <v/>
      </c>
      <c r="AQ102" s="13" t="str">
        <f aca="false">IF(AE102=0,"",IF(AND(AG102&gt;=3,AJ102&lt;=AsOfDate),AP102,IF(AND(AG102&gt;=2,AI102&lt;=AsOfDate),AO102,AN102)))</f>
        <v/>
      </c>
      <c r="AR102" s="13" t="str">
        <f aca="false">IF(AE102=0,"",IF(AsOfDate&lt;AF102,-1,12*(YEAR(AsOfDate)-YEAR(AF102))+MONTH(AsOfDate)-MONTH(AF102)-IF(DAY(AsOfDate)&lt;MIN(DAY(AF102),DAY(EOMONTH(AsOfDate,0))),1,0)))</f>
        <v/>
      </c>
      <c r="AS102" s="13" t="str">
        <f aca="false">IF(AE102=0,"",IF(OR(AG102&lt;2,AI102&gt;AsOfDate),AR102,IF((AI102-1)&lt;AF102,-1,12*(YEAR((AI102-1))-YEAR(AF102))+MONTH((AI102-1))-MONTH(AF102)-IF(DAY((AI102-1))&lt;MIN(DAY(AF102),DAY(EOMONTH((AI102-1),0))),1,0))))</f>
        <v/>
      </c>
      <c r="AT102" s="13" t="str">
        <f aca="false">IF(AE102=0,"",IF(OR(AG102&lt;3,AJ102&gt;AsOfDate),AR102,IF((AJ102-1)&lt;AF102,-1,12*(YEAR((AJ102-1))-YEAR(AF102))+MONTH((AJ102-1))-MONTH(AF102)-IF(DAY((AJ102-1))&lt;MIN(DAY(AF102),DAY(EOMONTH((AJ102-1),0))),1,0))))</f>
        <v/>
      </c>
      <c r="AU102" s="13" t="str">
        <f aca="false">IF(AE102=0,"",IF(PFYDate&lt;AF102,-1,12*(YEAR(PFYDate)-YEAR(AF102))+MONTH(PFYDate)-MONTH(AF102)-IF(DAY(PFYDate)&lt;MIN(DAY(AF102),DAY(EOMONTH(PFYDate,0))),1,0)))</f>
        <v/>
      </c>
      <c r="AV102" s="13" t="str">
        <f aca="false">IF(AE102=0,"",IF(OR(AG102&lt;2,AI102&gt;PFYDate),AU102,IF((AI102-1)&lt;AF102,-1,12*(YEAR((AI102-1))-YEAR(AF102))+MONTH((AI102-1))-MONTH(AF102)-IF(DAY((AI102-1))&lt;MIN(DAY(AF102),DAY(EOMONTH((AI102-1),0))),1,0))))</f>
        <v/>
      </c>
      <c r="AW102" s="13" t="str">
        <f aca="false">IF(AE102=0,"",IF(OR(AG102&lt;3,AJ102&gt;PFYDate),AU102,IF((AJ102-1)&lt;AF102,-1,12*(YEAR((AJ102-1))-YEAR(AF102))+MONTH((AJ102-1))-MONTH(AF102)-IF(DAY((AJ102-1))&lt;MIN(DAY(AF102),DAY(EOMONTH((AJ102-1),0))),1,0))))</f>
        <v/>
      </c>
      <c r="AX102" s="13"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3"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3" t="str">
        <f aca="false">IF(AE102=0,"",IF(AQ102="FT",IF(AR102&lt;FT_First,FT_First,IF(AR102&lt;FT_Y5,MIN(FT_Y5,FT_First+FT_Int1*(INT((AR102-FT_First)/FT_Int1)+1)),FT_Y5+12*INT((AR102-FT_Y5)/12)+FT_Int2*(INT(MOD(AR102-FT_Y5,12)/FT_Int2)+1))),IF(AQ102="PT",IF(AR102&lt;PT_First,PT_First,PT_First+PT_Int*(INT((AR102-PT_First)/PT_Int)+1)),"")))</f>
        <v/>
      </c>
      <c r="BA102" s="13" t="str">
        <f aca="false">IF(AE102=0,"",IF(NOT(LH_Ready),0,COUNTIFS(INDEX(LH_Data,0,LH_ColFirst),$A102,INDEX(LH_Data,0,LH_ColSur),$B102,INDEX(LH_Data,0,LH_ColCat),BonusCat)))</f>
        <v/>
      </c>
      <c r="BB102" s="13" t="str">
        <f aca="false">IF(AE102=0,"",IF(OR(NOT(LH_Ready),BA102=0),0,SUMPRODUCT(MAX((INDEX(LH_Data,0,LH_ColFirst)=$A102)*(INDEX(LH_Data,0,LH_ColSur)=$B102)*(INDEX(LH_Data,0,LH_ColCat)=BonusCat)*ROW(LH_Data)))))</f>
        <v/>
      </c>
      <c r="BC102" s="0" t="str">
        <f aca="false">IF(LEN($A102&amp;$B102)=0,"",$A102&amp;" "&amp;$B102)</f>
        <v/>
      </c>
    </row>
    <row r="103" customFormat="false" ht="15" hidden="false" customHeight="false" outlineLevel="0" collapsed="false">
      <c r="A103" s="9"/>
      <c r="B103" s="9"/>
      <c r="C103" s="9"/>
      <c r="D103" s="10"/>
      <c r="E103" s="11" t="str">
        <f aca="false">IF(OR(AE103=0,$D103=""),"",DATE(YEAR(AsOfDate)+IF(DATE(YEAR(AsOfDate),MONTH($D103),DAY($D103))&lt;=AsOfDate,1,0),MONTH($D103),DAY($D103)))</f>
        <v/>
      </c>
      <c r="F103" s="10"/>
      <c r="G103" s="10"/>
      <c r="H103" s="10"/>
      <c r="I103" s="10"/>
      <c r="J103" s="10"/>
      <c r="K103" s="11" t="str">
        <f aca="false">IF(AE103=0,"",DATE(YEAR(AsOfDate)+IF(DATE(YEAR(AsOfDate),MONTH(AF103),DAY(AF103))&lt;=AsOfDate,1,0),MONTH(AF103),DAY(AF103)))</f>
        <v/>
      </c>
      <c r="L103" s="12" t="str">
        <f aca="false">IF(AE103=0,"",ROUND((AsOfDate-AF103)/365.25,1))</f>
        <v/>
      </c>
      <c r="M103" s="13" t="str">
        <f aca="false">IF(AE103=0,"",IF(AsOfDate&lt;AF103,"-",DATEDIF(AF103,AsOfDate,"y")&amp;"y "&amp;DATEDIF(AF103,AsOfDate,"ym")&amp;"m "&amp;DATEDIF(AF103,AsOfDate,"md")&amp;"d"))</f>
        <v/>
      </c>
      <c r="N103" s="14" t="str">
        <f aca="false">IF(AE103=0,"",O103*HoursPerDay)</f>
        <v/>
      </c>
      <c r="O103" s="14" t="str">
        <f aca="false">IF(AE103=0,"",AX103)</f>
        <v/>
      </c>
      <c r="P103" s="15"/>
      <c r="Q103" s="13"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13"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1" t="str">
        <f aca="false">IF(AE103=0,"",IF(AQ103="None","",EDATE(AF103,AZ103)))</f>
        <v/>
      </c>
      <c r="T103" s="14" t="str">
        <f aca="false">IF(AE103=0,"",IF(NOT(LH_Ready),"",IF(AF103&gt;PFYDate,0,IF(LH_ColPeriod=0,W103-U103+V103,SUMIFS(INDEX(LH_Data,0,LH_ColAcc),INDEX(LH_Data,0,LH_ColFirst),$A103,INDEX(LH_Data,0,LH_ColSur),$B103,INDEX(LH_Data,0,LH_ColCat),BonusCat,INDEX(LH_Data,0,LH_ColPeriod),LH_OpenLabel)*UnitFactor))))</f>
        <v/>
      </c>
      <c r="U103" s="14" t="str">
        <f aca="false">IF(AE103=0,"",IF(NOT(LH_Ready),"",SUMIFS(INDEX(LH_Data,0,LH_ColAcc),INDEX(LH_Data,0,LH_ColFirst),$A103,INDEX(LH_Data,0,LH_ColSur),$B103,INDEX(LH_Data,0,LH_ColCat),BonusCat,INDEX(LH_Data,0,LH_ColStart),"&gt;="&amp;AF103)*UnitFactor))</f>
        <v/>
      </c>
      <c r="V103" s="14" t="str">
        <f aca="false">IF(AE103=0,"",IF(NOT(LH_Ready),"",SUMIFS(INDEX(LH_Data,0,LH_ColTaken),INDEX(LH_Data,0,LH_ColFirst),$A103,INDEX(LH_Data,0,LH_ColSur),$B103,INDEX(LH_Data,0,LH_ColCat),BonusCat,INDEX(LH_Data,0,LH_ColStart),"&gt;="&amp;AF103)*UnitFactor))</f>
        <v/>
      </c>
      <c r="W103" s="14" t="str">
        <f aca="false">IF(AE103=0,"",IF(NOT(LH_Ready),"",IF(BB103=0,0,INDEX(INDEX(LH_Data,0,LH_ColClose),BB103-1)*UnitFactor)))</f>
        <v/>
      </c>
      <c r="X103" s="14" t="str">
        <f aca="false">IF(AE103=0,"",(AX103-AY103)*HoursPerDay)</f>
        <v/>
      </c>
      <c r="Y103" s="14" t="str">
        <f aca="false">IF(AE103=0,"",IF(NOT(LH_Ready),"",IF(BA103=0,N103,IF(PFYDate&lt;$F103,N103-N(T103)-N(U103),X103-N(U103)))))</f>
        <v/>
      </c>
      <c r="Z103" s="13" t="str">
        <f aca="false">IF(OR(AE103=0,Y103=""),"",IF(Y103&gt;0,"Yes","No"))</f>
        <v/>
      </c>
      <c r="AA103" s="13"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 hrs more than policy since commencement",IF(N(W103)&gt;O103*HoursPerDay+0.01,"CHECK - EH balance "&amp;ROUND(W103-O103*HoursPerDay,2)&amp;" hrs more than policy entitlement",IF(O103&gt;0,"OK - nothing to add",IF(AQ103="None",R103,"Not yet - first day on "&amp;TEXT(S103,"dd/mm/yyyy")))))))))</f>
        <v/>
      </c>
      <c r="AB103" s="14" t="str">
        <f aca="false">IF(OR(AE103=0,T103=""),"",AY103*HoursPerDay-T103)</f>
        <v/>
      </c>
      <c r="AC103" s="13" t="str">
        <f aca="false">IF(AE103=0,"",BA103)</f>
        <v/>
      </c>
      <c r="AD103" s="13"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3" t="n">
        <f aca="false">IF(OR(LEN($A103&amp;$B103)=0,$F103=""),0,1)</f>
        <v>0</v>
      </c>
      <c r="AF103" s="11" t="str">
        <f aca="false">IF(AE103=0,"",IF($J103&lt;&gt;"",$J103,IF(OR(CasualCounts="Yes",COUNT($G103:$I103)=0,COUNT($G103:$H103)=0),$F103,MIN($G103:$H103))))</f>
        <v/>
      </c>
      <c r="AG103" s="13" t="str">
        <f aca="false">IF(AE103=0,"",COUNT($G103:$I103))</f>
        <v/>
      </c>
      <c r="AH103" s="11" t="str">
        <f aca="false">IF(AE103=0,"",IFERROR(SMALL($G103:$I103,1),""))</f>
        <v/>
      </c>
      <c r="AI103" s="11" t="str">
        <f aca="false">IF(AE103=0,"",IFERROR(SMALL($G103:$I103,2),""))</f>
        <v/>
      </c>
      <c r="AJ103" s="11" t="str">
        <f aca="false">IF(AE103=0,"",IFERROR(SMALL($G103:$I103,3),""))</f>
        <v/>
      </c>
      <c r="AK103" s="13" t="str">
        <f aca="false">IF(AE103=0,"",IF(AH103="","",IF(AH103=$G103,"Part-Time",IF(AH103=$H103,"Full-Time","Casual"))))</f>
        <v/>
      </c>
      <c r="AL103" s="13" t="str">
        <f aca="false">IF(AE103=0,"",IF(AI103="","",IF(AI103=$G103,"Part-Time",IF(AI103=$H103,"Full-Time","Casual"))))</f>
        <v/>
      </c>
      <c r="AM103" s="13" t="str">
        <f aca="false">IF(AE103=0,"",IF(AJ103="","",IF(AJ103=$G103,"Part-Time",IF(AJ103=$H103,"Full-Time","Casual"))))</f>
        <v/>
      </c>
      <c r="AN103" s="13"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3" t="str">
        <f aca="false">IF(AE103=0,"",IF(AG103&lt;2,"",IF(OR(ISNUMBER(SEARCH("full",AL103)),UPPER(TRIM(AL103))="FT",UPPER(TRIM(AL103))="FTE"),"FT",IF(AND(OR(ISNUMBER(SEARCH("part",AL103)),UPPER(TRIM(AL103))="PT",UPPER(TRIM(AL103))="PTE"),OR($P103="",N($P103)&gt;=PT_MinHours)),"PT","None"))))</f>
        <v/>
      </c>
      <c r="AP103" s="13" t="str">
        <f aca="false">IF(AE103=0,"",IF(AG103&lt;3,"",IF(OR(ISNUMBER(SEARCH("full",AM103)),UPPER(TRIM(AM103))="FT",UPPER(TRIM(AM103))="FTE"),"FT",IF(AND(OR(ISNUMBER(SEARCH("part",AM103)),UPPER(TRIM(AM103))="PT",UPPER(TRIM(AM103))="PTE"),OR($P103="",N($P103)&gt;=PT_MinHours)),"PT","None"))))</f>
        <v/>
      </c>
      <c r="AQ103" s="13" t="str">
        <f aca="false">IF(AE103=0,"",IF(AND(AG103&gt;=3,AJ103&lt;=AsOfDate),AP103,IF(AND(AG103&gt;=2,AI103&lt;=AsOfDate),AO103,AN103)))</f>
        <v/>
      </c>
      <c r="AR103" s="13" t="str">
        <f aca="false">IF(AE103=0,"",IF(AsOfDate&lt;AF103,-1,12*(YEAR(AsOfDate)-YEAR(AF103))+MONTH(AsOfDate)-MONTH(AF103)-IF(DAY(AsOfDate)&lt;MIN(DAY(AF103),DAY(EOMONTH(AsOfDate,0))),1,0)))</f>
        <v/>
      </c>
      <c r="AS103" s="13" t="str">
        <f aca="false">IF(AE103=0,"",IF(OR(AG103&lt;2,AI103&gt;AsOfDate),AR103,IF((AI103-1)&lt;AF103,-1,12*(YEAR((AI103-1))-YEAR(AF103))+MONTH((AI103-1))-MONTH(AF103)-IF(DAY((AI103-1))&lt;MIN(DAY(AF103),DAY(EOMONTH((AI103-1),0))),1,0))))</f>
        <v/>
      </c>
      <c r="AT103" s="13" t="str">
        <f aca="false">IF(AE103=0,"",IF(OR(AG103&lt;3,AJ103&gt;AsOfDate),AR103,IF((AJ103-1)&lt;AF103,-1,12*(YEAR((AJ103-1))-YEAR(AF103))+MONTH((AJ103-1))-MONTH(AF103)-IF(DAY((AJ103-1))&lt;MIN(DAY(AF103),DAY(EOMONTH((AJ103-1),0))),1,0))))</f>
        <v/>
      </c>
      <c r="AU103" s="13" t="str">
        <f aca="false">IF(AE103=0,"",IF(PFYDate&lt;AF103,-1,12*(YEAR(PFYDate)-YEAR(AF103))+MONTH(PFYDate)-MONTH(AF103)-IF(DAY(PFYDate)&lt;MIN(DAY(AF103),DAY(EOMONTH(PFYDate,0))),1,0)))</f>
        <v/>
      </c>
      <c r="AV103" s="13" t="str">
        <f aca="false">IF(AE103=0,"",IF(OR(AG103&lt;2,AI103&gt;PFYDate),AU103,IF((AI103-1)&lt;AF103,-1,12*(YEAR((AI103-1))-YEAR(AF103))+MONTH((AI103-1))-MONTH(AF103)-IF(DAY((AI103-1))&lt;MIN(DAY(AF103),DAY(EOMONTH((AI103-1),0))),1,0))))</f>
        <v/>
      </c>
      <c r="AW103" s="13" t="str">
        <f aca="false">IF(AE103=0,"",IF(OR(AG103&lt;3,AJ103&gt;PFYDate),AU103,IF((AJ103-1)&lt;AF103,-1,12*(YEAR((AJ103-1))-YEAR(AF103))+MONTH((AJ103-1))-MONTH(AF103)-IF(DAY((AJ103-1))&lt;MIN(DAY(AF103),DAY(EOMONTH((AJ103-1),0))),1,0))))</f>
        <v/>
      </c>
      <c r="AX103" s="13"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3"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3" t="str">
        <f aca="false">IF(AE103=0,"",IF(AQ103="FT",IF(AR103&lt;FT_First,FT_First,IF(AR103&lt;FT_Y5,MIN(FT_Y5,FT_First+FT_Int1*(INT((AR103-FT_First)/FT_Int1)+1)),FT_Y5+12*INT((AR103-FT_Y5)/12)+FT_Int2*(INT(MOD(AR103-FT_Y5,12)/FT_Int2)+1))),IF(AQ103="PT",IF(AR103&lt;PT_First,PT_First,PT_First+PT_Int*(INT((AR103-PT_First)/PT_Int)+1)),"")))</f>
        <v/>
      </c>
      <c r="BA103" s="13" t="str">
        <f aca="false">IF(AE103=0,"",IF(NOT(LH_Ready),0,COUNTIFS(INDEX(LH_Data,0,LH_ColFirst),$A103,INDEX(LH_Data,0,LH_ColSur),$B103,INDEX(LH_Data,0,LH_ColCat),BonusCat)))</f>
        <v/>
      </c>
      <c r="BB103" s="13" t="str">
        <f aca="false">IF(AE103=0,"",IF(OR(NOT(LH_Ready),BA103=0),0,SUMPRODUCT(MAX((INDEX(LH_Data,0,LH_ColFirst)=$A103)*(INDEX(LH_Data,0,LH_ColSur)=$B103)*(INDEX(LH_Data,0,LH_ColCat)=BonusCat)*ROW(LH_Data)))))</f>
        <v/>
      </c>
      <c r="BC103" s="0" t="str">
        <f aca="false">IF(LEN($A103&amp;$B103)=0,"",$A103&amp;" "&amp;$B103)</f>
        <v/>
      </c>
    </row>
    <row r="104" customFormat="false" ht="15" hidden="false" customHeight="false" outlineLevel="0" collapsed="false">
      <c r="A104" s="9"/>
      <c r="B104" s="9"/>
      <c r="C104" s="9"/>
      <c r="D104" s="10"/>
      <c r="E104" s="11" t="str">
        <f aca="false">IF(OR(AE104=0,$D104=""),"",DATE(YEAR(AsOfDate)+IF(DATE(YEAR(AsOfDate),MONTH($D104),DAY($D104))&lt;=AsOfDate,1,0),MONTH($D104),DAY($D104)))</f>
        <v/>
      </c>
      <c r="F104" s="10"/>
      <c r="G104" s="10"/>
      <c r="H104" s="10"/>
      <c r="I104" s="10"/>
      <c r="J104" s="10"/>
      <c r="K104" s="11" t="str">
        <f aca="false">IF(AE104=0,"",DATE(YEAR(AsOfDate)+IF(DATE(YEAR(AsOfDate),MONTH(AF104),DAY(AF104))&lt;=AsOfDate,1,0),MONTH(AF104),DAY(AF104)))</f>
        <v/>
      </c>
      <c r="L104" s="12" t="str">
        <f aca="false">IF(AE104=0,"",ROUND((AsOfDate-AF104)/365.25,1))</f>
        <v/>
      </c>
      <c r="M104" s="13" t="str">
        <f aca="false">IF(AE104=0,"",IF(AsOfDate&lt;AF104,"-",DATEDIF(AF104,AsOfDate,"y")&amp;"y "&amp;DATEDIF(AF104,AsOfDate,"ym")&amp;"m "&amp;DATEDIF(AF104,AsOfDate,"md")&amp;"d"))</f>
        <v/>
      </c>
      <c r="N104" s="14" t="str">
        <f aca="false">IF(AE104=0,"",O104*HoursPerDay)</f>
        <v/>
      </c>
      <c r="O104" s="14" t="str">
        <f aca="false">IF(AE104=0,"",AX104)</f>
        <v/>
      </c>
      <c r="P104" s="15"/>
      <c r="Q104" s="13"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13"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1" t="str">
        <f aca="false">IF(AE104=0,"",IF(AQ104="None","",EDATE(AF104,AZ104)))</f>
        <v/>
      </c>
      <c r="T104" s="14" t="str">
        <f aca="false">IF(AE104=0,"",IF(NOT(LH_Ready),"",IF(AF104&gt;PFYDate,0,IF(LH_ColPeriod=0,W104-U104+V104,SUMIFS(INDEX(LH_Data,0,LH_ColAcc),INDEX(LH_Data,0,LH_ColFirst),$A104,INDEX(LH_Data,0,LH_ColSur),$B104,INDEX(LH_Data,0,LH_ColCat),BonusCat,INDEX(LH_Data,0,LH_ColPeriod),LH_OpenLabel)*UnitFactor))))</f>
        <v/>
      </c>
      <c r="U104" s="14" t="str">
        <f aca="false">IF(AE104=0,"",IF(NOT(LH_Ready),"",SUMIFS(INDEX(LH_Data,0,LH_ColAcc),INDEX(LH_Data,0,LH_ColFirst),$A104,INDEX(LH_Data,0,LH_ColSur),$B104,INDEX(LH_Data,0,LH_ColCat),BonusCat,INDEX(LH_Data,0,LH_ColStart),"&gt;="&amp;AF104)*UnitFactor))</f>
        <v/>
      </c>
      <c r="V104" s="14" t="str">
        <f aca="false">IF(AE104=0,"",IF(NOT(LH_Ready),"",SUMIFS(INDEX(LH_Data,0,LH_ColTaken),INDEX(LH_Data,0,LH_ColFirst),$A104,INDEX(LH_Data,0,LH_ColSur),$B104,INDEX(LH_Data,0,LH_ColCat),BonusCat,INDEX(LH_Data,0,LH_ColStart),"&gt;="&amp;AF104)*UnitFactor))</f>
        <v/>
      </c>
      <c r="W104" s="14" t="str">
        <f aca="false">IF(AE104=0,"",IF(NOT(LH_Ready),"",IF(BB104=0,0,INDEX(INDEX(LH_Data,0,LH_ColClose),BB104-1)*UnitFactor)))</f>
        <v/>
      </c>
      <c r="X104" s="14" t="str">
        <f aca="false">IF(AE104=0,"",(AX104-AY104)*HoursPerDay)</f>
        <v/>
      </c>
      <c r="Y104" s="14" t="str">
        <f aca="false">IF(AE104=0,"",IF(NOT(LH_Ready),"",IF(BA104=0,N104,IF(PFYDate&lt;$F104,N104-N(T104)-N(U104),X104-N(U104)))))</f>
        <v/>
      </c>
      <c r="Z104" s="13" t="str">
        <f aca="false">IF(OR(AE104=0,Y104=""),"",IF(Y104&gt;0,"Yes","No"))</f>
        <v/>
      </c>
      <c r="AA104" s="13"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 hrs more than policy since commencement",IF(N(W104)&gt;O104*HoursPerDay+0.01,"CHECK - EH balance "&amp;ROUND(W104-O104*HoursPerDay,2)&amp;" hrs more than policy entitlement",IF(O104&gt;0,"OK - nothing to add",IF(AQ104="None",R104,"Not yet - first day on "&amp;TEXT(S104,"dd/mm/yyyy")))))))))</f>
        <v/>
      </c>
      <c r="AB104" s="14" t="str">
        <f aca="false">IF(OR(AE104=0,T104=""),"",AY104*HoursPerDay-T104)</f>
        <v/>
      </c>
      <c r="AC104" s="13" t="str">
        <f aca="false">IF(AE104=0,"",BA104)</f>
        <v/>
      </c>
      <c r="AD104" s="13"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3" t="n">
        <f aca="false">IF(OR(LEN($A104&amp;$B104)=0,$F104=""),0,1)</f>
        <v>0</v>
      </c>
      <c r="AF104" s="11" t="str">
        <f aca="false">IF(AE104=0,"",IF($J104&lt;&gt;"",$J104,IF(OR(CasualCounts="Yes",COUNT($G104:$I104)=0,COUNT($G104:$H104)=0),$F104,MIN($G104:$H104))))</f>
        <v/>
      </c>
      <c r="AG104" s="13" t="str">
        <f aca="false">IF(AE104=0,"",COUNT($G104:$I104))</f>
        <v/>
      </c>
      <c r="AH104" s="11" t="str">
        <f aca="false">IF(AE104=0,"",IFERROR(SMALL($G104:$I104,1),""))</f>
        <v/>
      </c>
      <c r="AI104" s="11" t="str">
        <f aca="false">IF(AE104=0,"",IFERROR(SMALL($G104:$I104,2),""))</f>
        <v/>
      </c>
      <c r="AJ104" s="11" t="str">
        <f aca="false">IF(AE104=0,"",IFERROR(SMALL($G104:$I104,3),""))</f>
        <v/>
      </c>
      <c r="AK104" s="13" t="str">
        <f aca="false">IF(AE104=0,"",IF(AH104="","",IF(AH104=$G104,"Part-Time",IF(AH104=$H104,"Full-Time","Casual"))))</f>
        <v/>
      </c>
      <c r="AL104" s="13" t="str">
        <f aca="false">IF(AE104=0,"",IF(AI104="","",IF(AI104=$G104,"Part-Time",IF(AI104=$H104,"Full-Time","Casual"))))</f>
        <v/>
      </c>
      <c r="AM104" s="13" t="str">
        <f aca="false">IF(AE104=0,"",IF(AJ104="","",IF(AJ104=$G104,"Part-Time",IF(AJ104=$H104,"Full-Time","Casual"))))</f>
        <v/>
      </c>
      <c r="AN104" s="13"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3" t="str">
        <f aca="false">IF(AE104=0,"",IF(AG104&lt;2,"",IF(OR(ISNUMBER(SEARCH("full",AL104)),UPPER(TRIM(AL104))="FT",UPPER(TRIM(AL104))="FTE"),"FT",IF(AND(OR(ISNUMBER(SEARCH("part",AL104)),UPPER(TRIM(AL104))="PT",UPPER(TRIM(AL104))="PTE"),OR($P104="",N($P104)&gt;=PT_MinHours)),"PT","None"))))</f>
        <v/>
      </c>
      <c r="AP104" s="13" t="str">
        <f aca="false">IF(AE104=0,"",IF(AG104&lt;3,"",IF(OR(ISNUMBER(SEARCH("full",AM104)),UPPER(TRIM(AM104))="FT",UPPER(TRIM(AM104))="FTE"),"FT",IF(AND(OR(ISNUMBER(SEARCH("part",AM104)),UPPER(TRIM(AM104))="PT",UPPER(TRIM(AM104))="PTE"),OR($P104="",N($P104)&gt;=PT_MinHours)),"PT","None"))))</f>
        <v/>
      </c>
      <c r="AQ104" s="13" t="str">
        <f aca="false">IF(AE104=0,"",IF(AND(AG104&gt;=3,AJ104&lt;=AsOfDate),AP104,IF(AND(AG104&gt;=2,AI104&lt;=AsOfDate),AO104,AN104)))</f>
        <v/>
      </c>
      <c r="AR104" s="13" t="str">
        <f aca="false">IF(AE104=0,"",IF(AsOfDate&lt;AF104,-1,12*(YEAR(AsOfDate)-YEAR(AF104))+MONTH(AsOfDate)-MONTH(AF104)-IF(DAY(AsOfDate)&lt;MIN(DAY(AF104),DAY(EOMONTH(AsOfDate,0))),1,0)))</f>
        <v/>
      </c>
      <c r="AS104" s="13" t="str">
        <f aca="false">IF(AE104=0,"",IF(OR(AG104&lt;2,AI104&gt;AsOfDate),AR104,IF((AI104-1)&lt;AF104,-1,12*(YEAR((AI104-1))-YEAR(AF104))+MONTH((AI104-1))-MONTH(AF104)-IF(DAY((AI104-1))&lt;MIN(DAY(AF104),DAY(EOMONTH((AI104-1),0))),1,0))))</f>
        <v/>
      </c>
      <c r="AT104" s="13" t="str">
        <f aca="false">IF(AE104=0,"",IF(OR(AG104&lt;3,AJ104&gt;AsOfDate),AR104,IF((AJ104-1)&lt;AF104,-1,12*(YEAR((AJ104-1))-YEAR(AF104))+MONTH((AJ104-1))-MONTH(AF104)-IF(DAY((AJ104-1))&lt;MIN(DAY(AF104),DAY(EOMONTH((AJ104-1),0))),1,0))))</f>
        <v/>
      </c>
      <c r="AU104" s="13" t="str">
        <f aca="false">IF(AE104=0,"",IF(PFYDate&lt;AF104,-1,12*(YEAR(PFYDate)-YEAR(AF104))+MONTH(PFYDate)-MONTH(AF104)-IF(DAY(PFYDate)&lt;MIN(DAY(AF104),DAY(EOMONTH(PFYDate,0))),1,0)))</f>
        <v/>
      </c>
      <c r="AV104" s="13" t="str">
        <f aca="false">IF(AE104=0,"",IF(OR(AG104&lt;2,AI104&gt;PFYDate),AU104,IF((AI104-1)&lt;AF104,-1,12*(YEAR((AI104-1))-YEAR(AF104))+MONTH((AI104-1))-MONTH(AF104)-IF(DAY((AI104-1))&lt;MIN(DAY(AF104),DAY(EOMONTH((AI104-1),0))),1,0))))</f>
        <v/>
      </c>
      <c r="AW104" s="13" t="str">
        <f aca="false">IF(AE104=0,"",IF(OR(AG104&lt;3,AJ104&gt;PFYDate),AU104,IF((AJ104-1)&lt;AF104,-1,12*(YEAR((AJ104-1))-YEAR(AF104))+MONTH((AJ104-1))-MONTH(AF104)-IF(DAY((AJ104-1))&lt;MIN(DAY(AF104),DAY(EOMONTH((AJ104-1),0))),1,0))))</f>
        <v/>
      </c>
      <c r="AX104" s="13"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3"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3" t="str">
        <f aca="false">IF(AE104=0,"",IF(AQ104="FT",IF(AR104&lt;FT_First,FT_First,IF(AR104&lt;FT_Y5,MIN(FT_Y5,FT_First+FT_Int1*(INT((AR104-FT_First)/FT_Int1)+1)),FT_Y5+12*INT((AR104-FT_Y5)/12)+FT_Int2*(INT(MOD(AR104-FT_Y5,12)/FT_Int2)+1))),IF(AQ104="PT",IF(AR104&lt;PT_First,PT_First,PT_First+PT_Int*(INT((AR104-PT_First)/PT_Int)+1)),"")))</f>
        <v/>
      </c>
      <c r="BA104" s="13" t="str">
        <f aca="false">IF(AE104=0,"",IF(NOT(LH_Ready),0,COUNTIFS(INDEX(LH_Data,0,LH_ColFirst),$A104,INDEX(LH_Data,0,LH_ColSur),$B104,INDEX(LH_Data,0,LH_ColCat),BonusCat)))</f>
        <v/>
      </c>
      <c r="BB104" s="13" t="str">
        <f aca="false">IF(AE104=0,"",IF(OR(NOT(LH_Ready),BA104=0),0,SUMPRODUCT(MAX((INDEX(LH_Data,0,LH_ColFirst)=$A104)*(INDEX(LH_Data,0,LH_ColSur)=$B104)*(INDEX(LH_Data,0,LH_ColCat)=BonusCat)*ROW(LH_Data)))))</f>
        <v/>
      </c>
      <c r="BC104" s="0" t="str">
        <f aca="false">IF(LEN($A104&amp;$B104)=0,"",$A104&amp;" "&amp;$B104)</f>
        <v/>
      </c>
    </row>
    <row r="105" customFormat="false" ht="15" hidden="false" customHeight="false" outlineLevel="0" collapsed="false">
      <c r="A105" s="9"/>
      <c r="B105" s="9"/>
      <c r="C105" s="9"/>
      <c r="D105" s="10"/>
      <c r="E105" s="11" t="str">
        <f aca="false">IF(OR(AE105=0,$D105=""),"",DATE(YEAR(AsOfDate)+IF(DATE(YEAR(AsOfDate),MONTH($D105),DAY($D105))&lt;=AsOfDate,1,0),MONTH($D105),DAY($D105)))</f>
        <v/>
      </c>
      <c r="F105" s="10"/>
      <c r="G105" s="10"/>
      <c r="H105" s="10"/>
      <c r="I105" s="10"/>
      <c r="J105" s="10"/>
      <c r="K105" s="11" t="str">
        <f aca="false">IF(AE105=0,"",DATE(YEAR(AsOfDate)+IF(DATE(YEAR(AsOfDate),MONTH(AF105),DAY(AF105))&lt;=AsOfDate,1,0),MONTH(AF105),DAY(AF105)))</f>
        <v/>
      </c>
      <c r="L105" s="12" t="str">
        <f aca="false">IF(AE105=0,"",ROUND((AsOfDate-AF105)/365.25,1))</f>
        <v/>
      </c>
      <c r="M105" s="13" t="str">
        <f aca="false">IF(AE105=0,"",IF(AsOfDate&lt;AF105,"-",DATEDIF(AF105,AsOfDate,"y")&amp;"y "&amp;DATEDIF(AF105,AsOfDate,"ym")&amp;"m "&amp;DATEDIF(AF105,AsOfDate,"md")&amp;"d"))</f>
        <v/>
      </c>
      <c r="N105" s="14" t="str">
        <f aca="false">IF(AE105=0,"",O105*HoursPerDay)</f>
        <v/>
      </c>
      <c r="O105" s="14" t="str">
        <f aca="false">IF(AE105=0,"",AX105)</f>
        <v/>
      </c>
      <c r="P105" s="15"/>
      <c r="Q105" s="13"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13"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1" t="str">
        <f aca="false">IF(AE105=0,"",IF(AQ105="None","",EDATE(AF105,AZ105)))</f>
        <v/>
      </c>
      <c r="T105" s="14" t="str">
        <f aca="false">IF(AE105=0,"",IF(NOT(LH_Ready),"",IF(AF105&gt;PFYDate,0,IF(LH_ColPeriod=0,W105-U105+V105,SUMIFS(INDEX(LH_Data,0,LH_ColAcc),INDEX(LH_Data,0,LH_ColFirst),$A105,INDEX(LH_Data,0,LH_ColSur),$B105,INDEX(LH_Data,0,LH_ColCat),BonusCat,INDEX(LH_Data,0,LH_ColPeriod),LH_OpenLabel)*UnitFactor))))</f>
        <v/>
      </c>
      <c r="U105" s="14" t="str">
        <f aca="false">IF(AE105=0,"",IF(NOT(LH_Ready),"",SUMIFS(INDEX(LH_Data,0,LH_ColAcc),INDEX(LH_Data,0,LH_ColFirst),$A105,INDEX(LH_Data,0,LH_ColSur),$B105,INDEX(LH_Data,0,LH_ColCat),BonusCat,INDEX(LH_Data,0,LH_ColStart),"&gt;="&amp;AF105)*UnitFactor))</f>
        <v/>
      </c>
      <c r="V105" s="14" t="str">
        <f aca="false">IF(AE105=0,"",IF(NOT(LH_Ready),"",SUMIFS(INDEX(LH_Data,0,LH_ColTaken),INDEX(LH_Data,0,LH_ColFirst),$A105,INDEX(LH_Data,0,LH_ColSur),$B105,INDEX(LH_Data,0,LH_ColCat),BonusCat,INDEX(LH_Data,0,LH_ColStart),"&gt;="&amp;AF105)*UnitFactor))</f>
        <v/>
      </c>
      <c r="W105" s="14" t="str">
        <f aca="false">IF(AE105=0,"",IF(NOT(LH_Ready),"",IF(BB105=0,0,INDEX(INDEX(LH_Data,0,LH_ColClose),BB105-1)*UnitFactor)))</f>
        <v/>
      </c>
      <c r="X105" s="14" t="str">
        <f aca="false">IF(AE105=0,"",(AX105-AY105)*HoursPerDay)</f>
        <v/>
      </c>
      <c r="Y105" s="14" t="str">
        <f aca="false">IF(AE105=0,"",IF(NOT(LH_Ready),"",IF(BA105=0,N105,IF(PFYDate&lt;$F105,N105-N(T105)-N(U105),X105-N(U105)))))</f>
        <v/>
      </c>
      <c r="Z105" s="13" t="str">
        <f aca="false">IF(OR(AE105=0,Y105=""),"",IF(Y105&gt;0,"Yes","No"))</f>
        <v/>
      </c>
      <c r="AA105" s="13"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 hrs more than policy since commencement",IF(N(W105)&gt;O105*HoursPerDay+0.01,"CHECK - EH balance "&amp;ROUND(W105-O105*HoursPerDay,2)&amp;" hrs more than policy entitlement",IF(O105&gt;0,"OK - nothing to add",IF(AQ105="None",R105,"Not yet - first day on "&amp;TEXT(S105,"dd/mm/yyyy")))))))))</f>
        <v/>
      </c>
      <c r="AB105" s="14" t="str">
        <f aca="false">IF(OR(AE105=0,T105=""),"",AY105*HoursPerDay-T105)</f>
        <v/>
      </c>
      <c r="AC105" s="13" t="str">
        <f aca="false">IF(AE105=0,"",BA105)</f>
        <v/>
      </c>
      <c r="AD105" s="13"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3" t="n">
        <f aca="false">IF(OR(LEN($A105&amp;$B105)=0,$F105=""),0,1)</f>
        <v>0</v>
      </c>
      <c r="AF105" s="11" t="str">
        <f aca="false">IF(AE105=0,"",IF($J105&lt;&gt;"",$J105,IF(OR(CasualCounts="Yes",COUNT($G105:$I105)=0,COUNT($G105:$H105)=0),$F105,MIN($G105:$H105))))</f>
        <v/>
      </c>
      <c r="AG105" s="13" t="str">
        <f aca="false">IF(AE105=0,"",COUNT($G105:$I105))</f>
        <v/>
      </c>
      <c r="AH105" s="11" t="str">
        <f aca="false">IF(AE105=0,"",IFERROR(SMALL($G105:$I105,1),""))</f>
        <v/>
      </c>
      <c r="AI105" s="11" t="str">
        <f aca="false">IF(AE105=0,"",IFERROR(SMALL($G105:$I105,2),""))</f>
        <v/>
      </c>
      <c r="AJ105" s="11" t="str">
        <f aca="false">IF(AE105=0,"",IFERROR(SMALL($G105:$I105,3),""))</f>
        <v/>
      </c>
      <c r="AK105" s="13" t="str">
        <f aca="false">IF(AE105=0,"",IF(AH105="","",IF(AH105=$G105,"Part-Time",IF(AH105=$H105,"Full-Time","Casual"))))</f>
        <v/>
      </c>
      <c r="AL105" s="13" t="str">
        <f aca="false">IF(AE105=0,"",IF(AI105="","",IF(AI105=$G105,"Part-Time",IF(AI105=$H105,"Full-Time","Casual"))))</f>
        <v/>
      </c>
      <c r="AM105" s="13" t="str">
        <f aca="false">IF(AE105=0,"",IF(AJ105="","",IF(AJ105=$G105,"Part-Time",IF(AJ105=$H105,"Full-Time","Casual"))))</f>
        <v/>
      </c>
      <c r="AN105" s="13"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3" t="str">
        <f aca="false">IF(AE105=0,"",IF(AG105&lt;2,"",IF(OR(ISNUMBER(SEARCH("full",AL105)),UPPER(TRIM(AL105))="FT",UPPER(TRIM(AL105))="FTE"),"FT",IF(AND(OR(ISNUMBER(SEARCH("part",AL105)),UPPER(TRIM(AL105))="PT",UPPER(TRIM(AL105))="PTE"),OR($P105="",N($P105)&gt;=PT_MinHours)),"PT","None"))))</f>
        <v/>
      </c>
      <c r="AP105" s="13" t="str">
        <f aca="false">IF(AE105=0,"",IF(AG105&lt;3,"",IF(OR(ISNUMBER(SEARCH("full",AM105)),UPPER(TRIM(AM105))="FT",UPPER(TRIM(AM105))="FTE"),"FT",IF(AND(OR(ISNUMBER(SEARCH("part",AM105)),UPPER(TRIM(AM105))="PT",UPPER(TRIM(AM105))="PTE"),OR($P105="",N($P105)&gt;=PT_MinHours)),"PT","None"))))</f>
        <v/>
      </c>
      <c r="AQ105" s="13" t="str">
        <f aca="false">IF(AE105=0,"",IF(AND(AG105&gt;=3,AJ105&lt;=AsOfDate),AP105,IF(AND(AG105&gt;=2,AI105&lt;=AsOfDate),AO105,AN105)))</f>
        <v/>
      </c>
      <c r="AR105" s="13" t="str">
        <f aca="false">IF(AE105=0,"",IF(AsOfDate&lt;AF105,-1,12*(YEAR(AsOfDate)-YEAR(AF105))+MONTH(AsOfDate)-MONTH(AF105)-IF(DAY(AsOfDate)&lt;MIN(DAY(AF105),DAY(EOMONTH(AsOfDate,0))),1,0)))</f>
        <v/>
      </c>
      <c r="AS105" s="13" t="str">
        <f aca="false">IF(AE105=0,"",IF(OR(AG105&lt;2,AI105&gt;AsOfDate),AR105,IF((AI105-1)&lt;AF105,-1,12*(YEAR((AI105-1))-YEAR(AF105))+MONTH((AI105-1))-MONTH(AF105)-IF(DAY((AI105-1))&lt;MIN(DAY(AF105),DAY(EOMONTH((AI105-1),0))),1,0))))</f>
        <v/>
      </c>
      <c r="AT105" s="13" t="str">
        <f aca="false">IF(AE105=0,"",IF(OR(AG105&lt;3,AJ105&gt;AsOfDate),AR105,IF((AJ105-1)&lt;AF105,-1,12*(YEAR((AJ105-1))-YEAR(AF105))+MONTH((AJ105-1))-MONTH(AF105)-IF(DAY((AJ105-1))&lt;MIN(DAY(AF105),DAY(EOMONTH((AJ105-1),0))),1,0))))</f>
        <v/>
      </c>
      <c r="AU105" s="13" t="str">
        <f aca="false">IF(AE105=0,"",IF(PFYDate&lt;AF105,-1,12*(YEAR(PFYDate)-YEAR(AF105))+MONTH(PFYDate)-MONTH(AF105)-IF(DAY(PFYDate)&lt;MIN(DAY(AF105),DAY(EOMONTH(PFYDate,0))),1,0)))</f>
        <v/>
      </c>
      <c r="AV105" s="13" t="str">
        <f aca="false">IF(AE105=0,"",IF(OR(AG105&lt;2,AI105&gt;PFYDate),AU105,IF((AI105-1)&lt;AF105,-1,12*(YEAR((AI105-1))-YEAR(AF105))+MONTH((AI105-1))-MONTH(AF105)-IF(DAY((AI105-1))&lt;MIN(DAY(AF105),DAY(EOMONTH((AI105-1),0))),1,0))))</f>
        <v/>
      </c>
      <c r="AW105" s="13" t="str">
        <f aca="false">IF(AE105=0,"",IF(OR(AG105&lt;3,AJ105&gt;PFYDate),AU105,IF((AJ105-1)&lt;AF105,-1,12*(YEAR((AJ105-1))-YEAR(AF105))+MONTH((AJ105-1))-MONTH(AF105)-IF(DAY((AJ105-1))&lt;MIN(DAY(AF105),DAY(EOMONTH((AJ105-1),0))),1,0))))</f>
        <v/>
      </c>
      <c r="AX105" s="13"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3"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3" t="str">
        <f aca="false">IF(AE105=0,"",IF(AQ105="FT",IF(AR105&lt;FT_First,FT_First,IF(AR105&lt;FT_Y5,MIN(FT_Y5,FT_First+FT_Int1*(INT((AR105-FT_First)/FT_Int1)+1)),FT_Y5+12*INT((AR105-FT_Y5)/12)+FT_Int2*(INT(MOD(AR105-FT_Y5,12)/FT_Int2)+1))),IF(AQ105="PT",IF(AR105&lt;PT_First,PT_First,PT_First+PT_Int*(INT((AR105-PT_First)/PT_Int)+1)),"")))</f>
        <v/>
      </c>
      <c r="BA105" s="13" t="str">
        <f aca="false">IF(AE105=0,"",IF(NOT(LH_Ready),0,COUNTIFS(INDEX(LH_Data,0,LH_ColFirst),$A105,INDEX(LH_Data,0,LH_ColSur),$B105,INDEX(LH_Data,0,LH_ColCat),BonusCat)))</f>
        <v/>
      </c>
      <c r="BB105" s="13" t="str">
        <f aca="false">IF(AE105=0,"",IF(OR(NOT(LH_Ready),BA105=0),0,SUMPRODUCT(MAX((INDEX(LH_Data,0,LH_ColFirst)=$A105)*(INDEX(LH_Data,0,LH_ColSur)=$B105)*(INDEX(LH_Data,0,LH_ColCat)=BonusCat)*ROW(LH_Data)))))</f>
        <v/>
      </c>
      <c r="BC105" s="0" t="str">
        <f aca="false">IF(LEN($A105&amp;$B105)=0,"",$A105&amp;" "&amp;$B105)</f>
        <v/>
      </c>
    </row>
    <row r="106" customFormat="false" ht="15" hidden="false" customHeight="false" outlineLevel="0" collapsed="false">
      <c r="A106" s="9"/>
      <c r="B106" s="9"/>
      <c r="C106" s="9"/>
      <c r="D106" s="10"/>
      <c r="E106" s="11" t="str">
        <f aca="false">IF(OR(AE106=0,$D106=""),"",DATE(YEAR(AsOfDate)+IF(DATE(YEAR(AsOfDate),MONTH($D106),DAY($D106))&lt;=AsOfDate,1,0),MONTH($D106),DAY($D106)))</f>
        <v/>
      </c>
      <c r="F106" s="10"/>
      <c r="G106" s="10"/>
      <c r="H106" s="10"/>
      <c r="I106" s="10"/>
      <c r="J106" s="10"/>
      <c r="K106" s="11" t="str">
        <f aca="false">IF(AE106=0,"",DATE(YEAR(AsOfDate)+IF(DATE(YEAR(AsOfDate),MONTH(AF106),DAY(AF106))&lt;=AsOfDate,1,0),MONTH(AF106),DAY(AF106)))</f>
        <v/>
      </c>
      <c r="L106" s="12" t="str">
        <f aca="false">IF(AE106=0,"",ROUND((AsOfDate-AF106)/365.25,1))</f>
        <v/>
      </c>
      <c r="M106" s="13" t="str">
        <f aca="false">IF(AE106=0,"",IF(AsOfDate&lt;AF106,"-",DATEDIF(AF106,AsOfDate,"y")&amp;"y "&amp;DATEDIF(AF106,AsOfDate,"ym")&amp;"m "&amp;DATEDIF(AF106,AsOfDate,"md")&amp;"d"))</f>
        <v/>
      </c>
      <c r="N106" s="14" t="str">
        <f aca="false">IF(AE106=0,"",O106*HoursPerDay)</f>
        <v/>
      </c>
      <c r="O106" s="14" t="str">
        <f aca="false">IF(AE106=0,"",AX106)</f>
        <v/>
      </c>
      <c r="P106" s="15"/>
      <c r="Q106" s="13"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13"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1" t="str">
        <f aca="false">IF(AE106=0,"",IF(AQ106="None","",EDATE(AF106,AZ106)))</f>
        <v/>
      </c>
      <c r="T106" s="14" t="str">
        <f aca="false">IF(AE106=0,"",IF(NOT(LH_Ready),"",IF(AF106&gt;PFYDate,0,IF(LH_ColPeriod=0,W106-U106+V106,SUMIFS(INDEX(LH_Data,0,LH_ColAcc),INDEX(LH_Data,0,LH_ColFirst),$A106,INDEX(LH_Data,0,LH_ColSur),$B106,INDEX(LH_Data,0,LH_ColCat),BonusCat,INDEX(LH_Data,0,LH_ColPeriod),LH_OpenLabel)*UnitFactor))))</f>
        <v/>
      </c>
      <c r="U106" s="14" t="str">
        <f aca="false">IF(AE106=0,"",IF(NOT(LH_Ready),"",SUMIFS(INDEX(LH_Data,0,LH_ColAcc),INDEX(LH_Data,0,LH_ColFirst),$A106,INDEX(LH_Data,0,LH_ColSur),$B106,INDEX(LH_Data,0,LH_ColCat),BonusCat,INDEX(LH_Data,0,LH_ColStart),"&gt;="&amp;AF106)*UnitFactor))</f>
        <v/>
      </c>
      <c r="V106" s="14" t="str">
        <f aca="false">IF(AE106=0,"",IF(NOT(LH_Ready),"",SUMIFS(INDEX(LH_Data,0,LH_ColTaken),INDEX(LH_Data,0,LH_ColFirst),$A106,INDEX(LH_Data,0,LH_ColSur),$B106,INDEX(LH_Data,0,LH_ColCat),BonusCat,INDEX(LH_Data,0,LH_ColStart),"&gt;="&amp;AF106)*UnitFactor))</f>
        <v/>
      </c>
      <c r="W106" s="14" t="str">
        <f aca="false">IF(AE106=0,"",IF(NOT(LH_Ready),"",IF(BB106=0,0,INDEX(INDEX(LH_Data,0,LH_ColClose),BB106-1)*UnitFactor)))</f>
        <v/>
      </c>
      <c r="X106" s="14" t="str">
        <f aca="false">IF(AE106=0,"",(AX106-AY106)*HoursPerDay)</f>
        <v/>
      </c>
      <c r="Y106" s="14" t="str">
        <f aca="false">IF(AE106=0,"",IF(NOT(LH_Ready),"",IF(BA106=0,N106,IF(PFYDate&lt;$F106,N106-N(T106)-N(U106),X106-N(U106)))))</f>
        <v/>
      </c>
      <c r="Z106" s="13" t="str">
        <f aca="false">IF(OR(AE106=0,Y106=""),"",IF(Y106&gt;0,"Yes","No"))</f>
        <v/>
      </c>
      <c r="AA106" s="13"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 hrs more than policy since commencement",IF(N(W106)&gt;O106*HoursPerDay+0.01,"CHECK - EH balance "&amp;ROUND(W106-O106*HoursPerDay,2)&amp;" hrs more than policy entitlement",IF(O106&gt;0,"OK - nothing to add",IF(AQ106="None",R106,"Not yet - first day on "&amp;TEXT(S106,"dd/mm/yyyy")))))))))</f>
        <v/>
      </c>
      <c r="AB106" s="14" t="str">
        <f aca="false">IF(OR(AE106=0,T106=""),"",AY106*HoursPerDay-T106)</f>
        <v/>
      </c>
      <c r="AC106" s="13" t="str">
        <f aca="false">IF(AE106=0,"",BA106)</f>
        <v/>
      </c>
      <c r="AD106" s="13"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3" t="n">
        <f aca="false">IF(OR(LEN($A106&amp;$B106)=0,$F106=""),0,1)</f>
        <v>0</v>
      </c>
      <c r="AF106" s="11" t="str">
        <f aca="false">IF(AE106=0,"",IF($J106&lt;&gt;"",$J106,IF(OR(CasualCounts="Yes",COUNT($G106:$I106)=0,COUNT($G106:$H106)=0),$F106,MIN($G106:$H106))))</f>
        <v/>
      </c>
      <c r="AG106" s="13" t="str">
        <f aca="false">IF(AE106=0,"",COUNT($G106:$I106))</f>
        <v/>
      </c>
      <c r="AH106" s="11" t="str">
        <f aca="false">IF(AE106=0,"",IFERROR(SMALL($G106:$I106,1),""))</f>
        <v/>
      </c>
      <c r="AI106" s="11" t="str">
        <f aca="false">IF(AE106=0,"",IFERROR(SMALL($G106:$I106,2),""))</f>
        <v/>
      </c>
      <c r="AJ106" s="11" t="str">
        <f aca="false">IF(AE106=0,"",IFERROR(SMALL($G106:$I106,3),""))</f>
        <v/>
      </c>
      <c r="AK106" s="13" t="str">
        <f aca="false">IF(AE106=0,"",IF(AH106="","",IF(AH106=$G106,"Part-Time",IF(AH106=$H106,"Full-Time","Casual"))))</f>
        <v/>
      </c>
      <c r="AL106" s="13" t="str">
        <f aca="false">IF(AE106=0,"",IF(AI106="","",IF(AI106=$G106,"Part-Time",IF(AI106=$H106,"Full-Time","Casual"))))</f>
        <v/>
      </c>
      <c r="AM106" s="13" t="str">
        <f aca="false">IF(AE106=0,"",IF(AJ106="","",IF(AJ106=$G106,"Part-Time",IF(AJ106=$H106,"Full-Time","Casual"))))</f>
        <v/>
      </c>
      <c r="AN106" s="13"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3" t="str">
        <f aca="false">IF(AE106=0,"",IF(AG106&lt;2,"",IF(OR(ISNUMBER(SEARCH("full",AL106)),UPPER(TRIM(AL106))="FT",UPPER(TRIM(AL106))="FTE"),"FT",IF(AND(OR(ISNUMBER(SEARCH("part",AL106)),UPPER(TRIM(AL106))="PT",UPPER(TRIM(AL106))="PTE"),OR($P106="",N($P106)&gt;=PT_MinHours)),"PT","None"))))</f>
        <v/>
      </c>
      <c r="AP106" s="13" t="str">
        <f aca="false">IF(AE106=0,"",IF(AG106&lt;3,"",IF(OR(ISNUMBER(SEARCH("full",AM106)),UPPER(TRIM(AM106))="FT",UPPER(TRIM(AM106))="FTE"),"FT",IF(AND(OR(ISNUMBER(SEARCH("part",AM106)),UPPER(TRIM(AM106))="PT",UPPER(TRIM(AM106))="PTE"),OR($P106="",N($P106)&gt;=PT_MinHours)),"PT","None"))))</f>
        <v/>
      </c>
      <c r="AQ106" s="13" t="str">
        <f aca="false">IF(AE106=0,"",IF(AND(AG106&gt;=3,AJ106&lt;=AsOfDate),AP106,IF(AND(AG106&gt;=2,AI106&lt;=AsOfDate),AO106,AN106)))</f>
        <v/>
      </c>
      <c r="AR106" s="13" t="str">
        <f aca="false">IF(AE106=0,"",IF(AsOfDate&lt;AF106,-1,12*(YEAR(AsOfDate)-YEAR(AF106))+MONTH(AsOfDate)-MONTH(AF106)-IF(DAY(AsOfDate)&lt;MIN(DAY(AF106),DAY(EOMONTH(AsOfDate,0))),1,0)))</f>
        <v/>
      </c>
      <c r="AS106" s="13" t="str">
        <f aca="false">IF(AE106=0,"",IF(OR(AG106&lt;2,AI106&gt;AsOfDate),AR106,IF((AI106-1)&lt;AF106,-1,12*(YEAR((AI106-1))-YEAR(AF106))+MONTH((AI106-1))-MONTH(AF106)-IF(DAY((AI106-1))&lt;MIN(DAY(AF106),DAY(EOMONTH((AI106-1),0))),1,0))))</f>
        <v/>
      </c>
      <c r="AT106" s="13" t="str">
        <f aca="false">IF(AE106=0,"",IF(OR(AG106&lt;3,AJ106&gt;AsOfDate),AR106,IF((AJ106-1)&lt;AF106,-1,12*(YEAR((AJ106-1))-YEAR(AF106))+MONTH((AJ106-1))-MONTH(AF106)-IF(DAY((AJ106-1))&lt;MIN(DAY(AF106),DAY(EOMONTH((AJ106-1),0))),1,0))))</f>
        <v/>
      </c>
      <c r="AU106" s="13" t="str">
        <f aca="false">IF(AE106=0,"",IF(PFYDate&lt;AF106,-1,12*(YEAR(PFYDate)-YEAR(AF106))+MONTH(PFYDate)-MONTH(AF106)-IF(DAY(PFYDate)&lt;MIN(DAY(AF106),DAY(EOMONTH(PFYDate,0))),1,0)))</f>
        <v/>
      </c>
      <c r="AV106" s="13" t="str">
        <f aca="false">IF(AE106=0,"",IF(OR(AG106&lt;2,AI106&gt;PFYDate),AU106,IF((AI106-1)&lt;AF106,-1,12*(YEAR((AI106-1))-YEAR(AF106))+MONTH((AI106-1))-MONTH(AF106)-IF(DAY((AI106-1))&lt;MIN(DAY(AF106),DAY(EOMONTH((AI106-1),0))),1,0))))</f>
        <v/>
      </c>
      <c r="AW106" s="13" t="str">
        <f aca="false">IF(AE106=0,"",IF(OR(AG106&lt;3,AJ106&gt;PFYDate),AU106,IF((AJ106-1)&lt;AF106,-1,12*(YEAR((AJ106-1))-YEAR(AF106))+MONTH((AJ106-1))-MONTH(AF106)-IF(DAY((AJ106-1))&lt;MIN(DAY(AF106),DAY(EOMONTH((AJ106-1),0))),1,0))))</f>
        <v/>
      </c>
      <c r="AX106" s="13"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3"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3" t="str">
        <f aca="false">IF(AE106=0,"",IF(AQ106="FT",IF(AR106&lt;FT_First,FT_First,IF(AR106&lt;FT_Y5,MIN(FT_Y5,FT_First+FT_Int1*(INT((AR106-FT_First)/FT_Int1)+1)),FT_Y5+12*INT((AR106-FT_Y5)/12)+FT_Int2*(INT(MOD(AR106-FT_Y5,12)/FT_Int2)+1))),IF(AQ106="PT",IF(AR106&lt;PT_First,PT_First,PT_First+PT_Int*(INT((AR106-PT_First)/PT_Int)+1)),"")))</f>
        <v/>
      </c>
      <c r="BA106" s="13" t="str">
        <f aca="false">IF(AE106=0,"",IF(NOT(LH_Ready),0,COUNTIFS(INDEX(LH_Data,0,LH_ColFirst),$A106,INDEX(LH_Data,0,LH_ColSur),$B106,INDEX(LH_Data,0,LH_ColCat),BonusCat)))</f>
        <v/>
      </c>
      <c r="BB106" s="13" t="str">
        <f aca="false">IF(AE106=0,"",IF(OR(NOT(LH_Ready),BA106=0),0,SUMPRODUCT(MAX((INDEX(LH_Data,0,LH_ColFirst)=$A106)*(INDEX(LH_Data,0,LH_ColSur)=$B106)*(INDEX(LH_Data,0,LH_ColCat)=BonusCat)*ROW(LH_Data)))))</f>
        <v/>
      </c>
      <c r="BC106" s="0" t="str">
        <f aca="false">IF(LEN($A106&amp;$B106)=0,"",$A106&amp;" "&amp;$B106)</f>
        <v/>
      </c>
    </row>
    <row r="107" customFormat="false" ht="15" hidden="false" customHeight="false" outlineLevel="0" collapsed="false">
      <c r="A107" s="9"/>
      <c r="B107" s="9"/>
      <c r="C107" s="9"/>
      <c r="D107" s="10"/>
      <c r="E107" s="11" t="str">
        <f aca="false">IF(OR(AE107=0,$D107=""),"",DATE(YEAR(AsOfDate)+IF(DATE(YEAR(AsOfDate),MONTH($D107),DAY($D107))&lt;=AsOfDate,1,0),MONTH($D107),DAY($D107)))</f>
        <v/>
      </c>
      <c r="F107" s="10"/>
      <c r="G107" s="10"/>
      <c r="H107" s="10"/>
      <c r="I107" s="10"/>
      <c r="J107" s="10"/>
      <c r="K107" s="11" t="str">
        <f aca="false">IF(AE107=0,"",DATE(YEAR(AsOfDate)+IF(DATE(YEAR(AsOfDate),MONTH(AF107),DAY(AF107))&lt;=AsOfDate,1,0),MONTH(AF107),DAY(AF107)))</f>
        <v/>
      </c>
      <c r="L107" s="12" t="str">
        <f aca="false">IF(AE107=0,"",ROUND((AsOfDate-AF107)/365.25,1))</f>
        <v/>
      </c>
      <c r="M107" s="13" t="str">
        <f aca="false">IF(AE107=0,"",IF(AsOfDate&lt;AF107,"-",DATEDIF(AF107,AsOfDate,"y")&amp;"y "&amp;DATEDIF(AF107,AsOfDate,"ym")&amp;"m "&amp;DATEDIF(AF107,AsOfDate,"md")&amp;"d"))</f>
        <v/>
      </c>
      <c r="N107" s="14" t="str">
        <f aca="false">IF(AE107=0,"",O107*HoursPerDay)</f>
        <v/>
      </c>
      <c r="O107" s="14" t="str">
        <f aca="false">IF(AE107=0,"",AX107)</f>
        <v/>
      </c>
      <c r="P107" s="15"/>
      <c r="Q107" s="13"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13"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1" t="str">
        <f aca="false">IF(AE107=0,"",IF(AQ107="None","",EDATE(AF107,AZ107)))</f>
        <v/>
      </c>
      <c r="T107" s="14" t="str">
        <f aca="false">IF(AE107=0,"",IF(NOT(LH_Ready),"",IF(AF107&gt;PFYDate,0,IF(LH_ColPeriod=0,W107-U107+V107,SUMIFS(INDEX(LH_Data,0,LH_ColAcc),INDEX(LH_Data,0,LH_ColFirst),$A107,INDEX(LH_Data,0,LH_ColSur),$B107,INDEX(LH_Data,0,LH_ColCat),BonusCat,INDEX(LH_Data,0,LH_ColPeriod),LH_OpenLabel)*UnitFactor))))</f>
        <v/>
      </c>
      <c r="U107" s="14" t="str">
        <f aca="false">IF(AE107=0,"",IF(NOT(LH_Ready),"",SUMIFS(INDEX(LH_Data,0,LH_ColAcc),INDEX(LH_Data,0,LH_ColFirst),$A107,INDEX(LH_Data,0,LH_ColSur),$B107,INDEX(LH_Data,0,LH_ColCat),BonusCat,INDEX(LH_Data,0,LH_ColStart),"&gt;="&amp;AF107)*UnitFactor))</f>
        <v/>
      </c>
      <c r="V107" s="14" t="str">
        <f aca="false">IF(AE107=0,"",IF(NOT(LH_Ready),"",SUMIFS(INDEX(LH_Data,0,LH_ColTaken),INDEX(LH_Data,0,LH_ColFirst),$A107,INDEX(LH_Data,0,LH_ColSur),$B107,INDEX(LH_Data,0,LH_ColCat),BonusCat,INDEX(LH_Data,0,LH_ColStart),"&gt;="&amp;AF107)*UnitFactor))</f>
        <v/>
      </c>
      <c r="W107" s="14" t="str">
        <f aca="false">IF(AE107=0,"",IF(NOT(LH_Ready),"",IF(BB107=0,0,INDEX(INDEX(LH_Data,0,LH_ColClose),BB107-1)*UnitFactor)))</f>
        <v/>
      </c>
      <c r="X107" s="14" t="str">
        <f aca="false">IF(AE107=0,"",(AX107-AY107)*HoursPerDay)</f>
        <v/>
      </c>
      <c r="Y107" s="14" t="str">
        <f aca="false">IF(AE107=0,"",IF(NOT(LH_Ready),"",IF(BA107=0,N107,IF(PFYDate&lt;$F107,N107-N(T107)-N(U107),X107-N(U107)))))</f>
        <v/>
      </c>
      <c r="Z107" s="13" t="str">
        <f aca="false">IF(OR(AE107=0,Y107=""),"",IF(Y107&gt;0,"Yes","No"))</f>
        <v/>
      </c>
      <c r="AA107" s="13"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 hrs more than policy since commencement",IF(N(W107)&gt;O107*HoursPerDay+0.01,"CHECK - EH balance "&amp;ROUND(W107-O107*HoursPerDay,2)&amp;" hrs more than policy entitlement",IF(O107&gt;0,"OK - nothing to add",IF(AQ107="None",R107,"Not yet - first day on "&amp;TEXT(S107,"dd/mm/yyyy")))))))))</f>
        <v/>
      </c>
      <c r="AB107" s="14" t="str">
        <f aca="false">IF(OR(AE107=0,T107=""),"",AY107*HoursPerDay-T107)</f>
        <v/>
      </c>
      <c r="AC107" s="13" t="str">
        <f aca="false">IF(AE107=0,"",BA107)</f>
        <v/>
      </c>
      <c r="AD107" s="13"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3" t="n">
        <f aca="false">IF(OR(LEN($A107&amp;$B107)=0,$F107=""),0,1)</f>
        <v>0</v>
      </c>
      <c r="AF107" s="11" t="str">
        <f aca="false">IF(AE107=0,"",IF($J107&lt;&gt;"",$J107,IF(OR(CasualCounts="Yes",COUNT($G107:$I107)=0,COUNT($G107:$H107)=0),$F107,MIN($G107:$H107))))</f>
        <v/>
      </c>
      <c r="AG107" s="13" t="str">
        <f aca="false">IF(AE107=0,"",COUNT($G107:$I107))</f>
        <v/>
      </c>
      <c r="AH107" s="11" t="str">
        <f aca="false">IF(AE107=0,"",IFERROR(SMALL($G107:$I107,1),""))</f>
        <v/>
      </c>
      <c r="AI107" s="11" t="str">
        <f aca="false">IF(AE107=0,"",IFERROR(SMALL($G107:$I107,2),""))</f>
        <v/>
      </c>
      <c r="AJ107" s="11" t="str">
        <f aca="false">IF(AE107=0,"",IFERROR(SMALL($G107:$I107,3),""))</f>
        <v/>
      </c>
      <c r="AK107" s="13" t="str">
        <f aca="false">IF(AE107=0,"",IF(AH107="","",IF(AH107=$G107,"Part-Time",IF(AH107=$H107,"Full-Time","Casual"))))</f>
        <v/>
      </c>
      <c r="AL107" s="13" t="str">
        <f aca="false">IF(AE107=0,"",IF(AI107="","",IF(AI107=$G107,"Part-Time",IF(AI107=$H107,"Full-Time","Casual"))))</f>
        <v/>
      </c>
      <c r="AM107" s="13" t="str">
        <f aca="false">IF(AE107=0,"",IF(AJ107="","",IF(AJ107=$G107,"Part-Time",IF(AJ107=$H107,"Full-Time","Casual"))))</f>
        <v/>
      </c>
      <c r="AN107" s="13"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3" t="str">
        <f aca="false">IF(AE107=0,"",IF(AG107&lt;2,"",IF(OR(ISNUMBER(SEARCH("full",AL107)),UPPER(TRIM(AL107))="FT",UPPER(TRIM(AL107))="FTE"),"FT",IF(AND(OR(ISNUMBER(SEARCH("part",AL107)),UPPER(TRIM(AL107))="PT",UPPER(TRIM(AL107))="PTE"),OR($P107="",N($P107)&gt;=PT_MinHours)),"PT","None"))))</f>
        <v/>
      </c>
      <c r="AP107" s="13" t="str">
        <f aca="false">IF(AE107=0,"",IF(AG107&lt;3,"",IF(OR(ISNUMBER(SEARCH("full",AM107)),UPPER(TRIM(AM107))="FT",UPPER(TRIM(AM107))="FTE"),"FT",IF(AND(OR(ISNUMBER(SEARCH("part",AM107)),UPPER(TRIM(AM107))="PT",UPPER(TRIM(AM107))="PTE"),OR($P107="",N($P107)&gt;=PT_MinHours)),"PT","None"))))</f>
        <v/>
      </c>
      <c r="AQ107" s="13" t="str">
        <f aca="false">IF(AE107=0,"",IF(AND(AG107&gt;=3,AJ107&lt;=AsOfDate),AP107,IF(AND(AG107&gt;=2,AI107&lt;=AsOfDate),AO107,AN107)))</f>
        <v/>
      </c>
      <c r="AR107" s="13" t="str">
        <f aca="false">IF(AE107=0,"",IF(AsOfDate&lt;AF107,-1,12*(YEAR(AsOfDate)-YEAR(AF107))+MONTH(AsOfDate)-MONTH(AF107)-IF(DAY(AsOfDate)&lt;MIN(DAY(AF107),DAY(EOMONTH(AsOfDate,0))),1,0)))</f>
        <v/>
      </c>
      <c r="AS107" s="13" t="str">
        <f aca="false">IF(AE107=0,"",IF(OR(AG107&lt;2,AI107&gt;AsOfDate),AR107,IF((AI107-1)&lt;AF107,-1,12*(YEAR((AI107-1))-YEAR(AF107))+MONTH((AI107-1))-MONTH(AF107)-IF(DAY((AI107-1))&lt;MIN(DAY(AF107),DAY(EOMONTH((AI107-1),0))),1,0))))</f>
        <v/>
      </c>
      <c r="AT107" s="13" t="str">
        <f aca="false">IF(AE107=0,"",IF(OR(AG107&lt;3,AJ107&gt;AsOfDate),AR107,IF((AJ107-1)&lt;AF107,-1,12*(YEAR((AJ107-1))-YEAR(AF107))+MONTH((AJ107-1))-MONTH(AF107)-IF(DAY((AJ107-1))&lt;MIN(DAY(AF107),DAY(EOMONTH((AJ107-1),0))),1,0))))</f>
        <v/>
      </c>
      <c r="AU107" s="13" t="str">
        <f aca="false">IF(AE107=0,"",IF(PFYDate&lt;AF107,-1,12*(YEAR(PFYDate)-YEAR(AF107))+MONTH(PFYDate)-MONTH(AF107)-IF(DAY(PFYDate)&lt;MIN(DAY(AF107),DAY(EOMONTH(PFYDate,0))),1,0)))</f>
        <v/>
      </c>
      <c r="AV107" s="13" t="str">
        <f aca="false">IF(AE107=0,"",IF(OR(AG107&lt;2,AI107&gt;PFYDate),AU107,IF((AI107-1)&lt;AF107,-1,12*(YEAR((AI107-1))-YEAR(AF107))+MONTH((AI107-1))-MONTH(AF107)-IF(DAY((AI107-1))&lt;MIN(DAY(AF107),DAY(EOMONTH((AI107-1),0))),1,0))))</f>
        <v/>
      </c>
      <c r="AW107" s="13" t="str">
        <f aca="false">IF(AE107=0,"",IF(OR(AG107&lt;3,AJ107&gt;PFYDate),AU107,IF((AJ107-1)&lt;AF107,-1,12*(YEAR((AJ107-1))-YEAR(AF107))+MONTH((AJ107-1))-MONTH(AF107)-IF(DAY((AJ107-1))&lt;MIN(DAY(AF107),DAY(EOMONTH((AJ107-1),0))),1,0))))</f>
        <v/>
      </c>
      <c r="AX107" s="13"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3"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3" t="str">
        <f aca="false">IF(AE107=0,"",IF(AQ107="FT",IF(AR107&lt;FT_First,FT_First,IF(AR107&lt;FT_Y5,MIN(FT_Y5,FT_First+FT_Int1*(INT((AR107-FT_First)/FT_Int1)+1)),FT_Y5+12*INT((AR107-FT_Y5)/12)+FT_Int2*(INT(MOD(AR107-FT_Y5,12)/FT_Int2)+1))),IF(AQ107="PT",IF(AR107&lt;PT_First,PT_First,PT_First+PT_Int*(INT((AR107-PT_First)/PT_Int)+1)),"")))</f>
        <v/>
      </c>
      <c r="BA107" s="13" t="str">
        <f aca="false">IF(AE107=0,"",IF(NOT(LH_Ready),0,COUNTIFS(INDEX(LH_Data,0,LH_ColFirst),$A107,INDEX(LH_Data,0,LH_ColSur),$B107,INDEX(LH_Data,0,LH_ColCat),BonusCat)))</f>
        <v/>
      </c>
      <c r="BB107" s="13" t="str">
        <f aca="false">IF(AE107=0,"",IF(OR(NOT(LH_Ready),BA107=0),0,SUMPRODUCT(MAX((INDEX(LH_Data,0,LH_ColFirst)=$A107)*(INDEX(LH_Data,0,LH_ColSur)=$B107)*(INDEX(LH_Data,0,LH_ColCat)=BonusCat)*ROW(LH_Data)))))</f>
        <v/>
      </c>
      <c r="BC107" s="0" t="str">
        <f aca="false">IF(LEN($A107&amp;$B107)=0,"",$A107&amp;" "&amp;$B107)</f>
        <v/>
      </c>
    </row>
    <row r="108" customFormat="false" ht="15" hidden="false" customHeight="false" outlineLevel="0" collapsed="false">
      <c r="A108" s="9"/>
      <c r="B108" s="9"/>
      <c r="C108" s="9"/>
      <c r="D108" s="10"/>
      <c r="E108" s="11" t="str">
        <f aca="false">IF(OR(AE108=0,$D108=""),"",DATE(YEAR(AsOfDate)+IF(DATE(YEAR(AsOfDate),MONTH($D108),DAY($D108))&lt;=AsOfDate,1,0),MONTH($D108),DAY($D108)))</f>
        <v/>
      </c>
      <c r="F108" s="10"/>
      <c r="G108" s="10"/>
      <c r="H108" s="10"/>
      <c r="I108" s="10"/>
      <c r="J108" s="10"/>
      <c r="K108" s="11" t="str">
        <f aca="false">IF(AE108=0,"",DATE(YEAR(AsOfDate)+IF(DATE(YEAR(AsOfDate),MONTH(AF108),DAY(AF108))&lt;=AsOfDate,1,0),MONTH(AF108),DAY(AF108)))</f>
        <v/>
      </c>
      <c r="L108" s="12" t="str">
        <f aca="false">IF(AE108=0,"",ROUND((AsOfDate-AF108)/365.25,1))</f>
        <v/>
      </c>
      <c r="M108" s="13" t="str">
        <f aca="false">IF(AE108=0,"",IF(AsOfDate&lt;AF108,"-",DATEDIF(AF108,AsOfDate,"y")&amp;"y "&amp;DATEDIF(AF108,AsOfDate,"ym")&amp;"m "&amp;DATEDIF(AF108,AsOfDate,"md")&amp;"d"))</f>
        <v/>
      </c>
      <c r="N108" s="14" t="str">
        <f aca="false">IF(AE108=0,"",O108*HoursPerDay)</f>
        <v/>
      </c>
      <c r="O108" s="14" t="str">
        <f aca="false">IF(AE108=0,"",AX108)</f>
        <v/>
      </c>
      <c r="P108" s="15"/>
      <c r="Q108" s="13"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13"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1" t="str">
        <f aca="false">IF(AE108=0,"",IF(AQ108="None","",EDATE(AF108,AZ108)))</f>
        <v/>
      </c>
      <c r="T108" s="14" t="str">
        <f aca="false">IF(AE108=0,"",IF(NOT(LH_Ready),"",IF(AF108&gt;PFYDate,0,IF(LH_ColPeriod=0,W108-U108+V108,SUMIFS(INDEX(LH_Data,0,LH_ColAcc),INDEX(LH_Data,0,LH_ColFirst),$A108,INDEX(LH_Data,0,LH_ColSur),$B108,INDEX(LH_Data,0,LH_ColCat),BonusCat,INDEX(LH_Data,0,LH_ColPeriod),LH_OpenLabel)*UnitFactor))))</f>
        <v/>
      </c>
      <c r="U108" s="14" t="str">
        <f aca="false">IF(AE108=0,"",IF(NOT(LH_Ready),"",SUMIFS(INDEX(LH_Data,0,LH_ColAcc),INDEX(LH_Data,0,LH_ColFirst),$A108,INDEX(LH_Data,0,LH_ColSur),$B108,INDEX(LH_Data,0,LH_ColCat),BonusCat,INDEX(LH_Data,0,LH_ColStart),"&gt;="&amp;AF108)*UnitFactor))</f>
        <v/>
      </c>
      <c r="V108" s="14" t="str">
        <f aca="false">IF(AE108=0,"",IF(NOT(LH_Ready),"",SUMIFS(INDEX(LH_Data,0,LH_ColTaken),INDEX(LH_Data,0,LH_ColFirst),$A108,INDEX(LH_Data,0,LH_ColSur),$B108,INDEX(LH_Data,0,LH_ColCat),BonusCat,INDEX(LH_Data,0,LH_ColStart),"&gt;="&amp;AF108)*UnitFactor))</f>
        <v/>
      </c>
      <c r="W108" s="14" t="str">
        <f aca="false">IF(AE108=0,"",IF(NOT(LH_Ready),"",IF(BB108=0,0,INDEX(INDEX(LH_Data,0,LH_ColClose),BB108-1)*UnitFactor)))</f>
        <v/>
      </c>
      <c r="X108" s="14" t="str">
        <f aca="false">IF(AE108=0,"",(AX108-AY108)*HoursPerDay)</f>
        <v/>
      </c>
      <c r="Y108" s="14" t="str">
        <f aca="false">IF(AE108=0,"",IF(NOT(LH_Ready),"",IF(BA108=0,N108,IF(PFYDate&lt;$F108,N108-N(T108)-N(U108),X108-N(U108)))))</f>
        <v/>
      </c>
      <c r="Z108" s="13" t="str">
        <f aca="false">IF(OR(AE108=0,Y108=""),"",IF(Y108&gt;0,"Yes","No"))</f>
        <v/>
      </c>
      <c r="AA108" s="13"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 hrs more than policy since commencement",IF(N(W108)&gt;O108*HoursPerDay+0.01,"CHECK - EH balance "&amp;ROUND(W108-O108*HoursPerDay,2)&amp;" hrs more than policy entitlement",IF(O108&gt;0,"OK - nothing to add",IF(AQ108="None",R108,"Not yet - first day on "&amp;TEXT(S108,"dd/mm/yyyy")))))))))</f>
        <v/>
      </c>
      <c r="AB108" s="14" t="str">
        <f aca="false">IF(OR(AE108=0,T108=""),"",AY108*HoursPerDay-T108)</f>
        <v/>
      </c>
      <c r="AC108" s="13" t="str">
        <f aca="false">IF(AE108=0,"",BA108)</f>
        <v/>
      </c>
      <c r="AD108" s="13"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3" t="n">
        <f aca="false">IF(OR(LEN($A108&amp;$B108)=0,$F108=""),0,1)</f>
        <v>0</v>
      </c>
      <c r="AF108" s="11" t="str">
        <f aca="false">IF(AE108=0,"",IF($J108&lt;&gt;"",$J108,IF(OR(CasualCounts="Yes",COUNT($G108:$I108)=0,COUNT($G108:$H108)=0),$F108,MIN($G108:$H108))))</f>
        <v/>
      </c>
      <c r="AG108" s="13" t="str">
        <f aca="false">IF(AE108=0,"",COUNT($G108:$I108))</f>
        <v/>
      </c>
      <c r="AH108" s="11" t="str">
        <f aca="false">IF(AE108=0,"",IFERROR(SMALL($G108:$I108,1),""))</f>
        <v/>
      </c>
      <c r="AI108" s="11" t="str">
        <f aca="false">IF(AE108=0,"",IFERROR(SMALL($G108:$I108,2),""))</f>
        <v/>
      </c>
      <c r="AJ108" s="11" t="str">
        <f aca="false">IF(AE108=0,"",IFERROR(SMALL($G108:$I108,3),""))</f>
        <v/>
      </c>
      <c r="AK108" s="13" t="str">
        <f aca="false">IF(AE108=0,"",IF(AH108="","",IF(AH108=$G108,"Part-Time",IF(AH108=$H108,"Full-Time","Casual"))))</f>
        <v/>
      </c>
      <c r="AL108" s="13" t="str">
        <f aca="false">IF(AE108=0,"",IF(AI108="","",IF(AI108=$G108,"Part-Time",IF(AI108=$H108,"Full-Time","Casual"))))</f>
        <v/>
      </c>
      <c r="AM108" s="13" t="str">
        <f aca="false">IF(AE108=0,"",IF(AJ108="","",IF(AJ108=$G108,"Part-Time",IF(AJ108=$H108,"Full-Time","Casual"))))</f>
        <v/>
      </c>
      <c r="AN108" s="13"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3" t="str">
        <f aca="false">IF(AE108=0,"",IF(AG108&lt;2,"",IF(OR(ISNUMBER(SEARCH("full",AL108)),UPPER(TRIM(AL108))="FT",UPPER(TRIM(AL108))="FTE"),"FT",IF(AND(OR(ISNUMBER(SEARCH("part",AL108)),UPPER(TRIM(AL108))="PT",UPPER(TRIM(AL108))="PTE"),OR($P108="",N($P108)&gt;=PT_MinHours)),"PT","None"))))</f>
        <v/>
      </c>
      <c r="AP108" s="13" t="str">
        <f aca="false">IF(AE108=0,"",IF(AG108&lt;3,"",IF(OR(ISNUMBER(SEARCH("full",AM108)),UPPER(TRIM(AM108))="FT",UPPER(TRIM(AM108))="FTE"),"FT",IF(AND(OR(ISNUMBER(SEARCH("part",AM108)),UPPER(TRIM(AM108))="PT",UPPER(TRIM(AM108))="PTE"),OR($P108="",N($P108)&gt;=PT_MinHours)),"PT","None"))))</f>
        <v/>
      </c>
      <c r="AQ108" s="13" t="str">
        <f aca="false">IF(AE108=0,"",IF(AND(AG108&gt;=3,AJ108&lt;=AsOfDate),AP108,IF(AND(AG108&gt;=2,AI108&lt;=AsOfDate),AO108,AN108)))</f>
        <v/>
      </c>
      <c r="AR108" s="13" t="str">
        <f aca="false">IF(AE108=0,"",IF(AsOfDate&lt;AF108,-1,12*(YEAR(AsOfDate)-YEAR(AF108))+MONTH(AsOfDate)-MONTH(AF108)-IF(DAY(AsOfDate)&lt;MIN(DAY(AF108),DAY(EOMONTH(AsOfDate,0))),1,0)))</f>
        <v/>
      </c>
      <c r="AS108" s="13" t="str">
        <f aca="false">IF(AE108=0,"",IF(OR(AG108&lt;2,AI108&gt;AsOfDate),AR108,IF((AI108-1)&lt;AF108,-1,12*(YEAR((AI108-1))-YEAR(AF108))+MONTH((AI108-1))-MONTH(AF108)-IF(DAY((AI108-1))&lt;MIN(DAY(AF108),DAY(EOMONTH((AI108-1),0))),1,0))))</f>
        <v/>
      </c>
      <c r="AT108" s="13" t="str">
        <f aca="false">IF(AE108=0,"",IF(OR(AG108&lt;3,AJ108&gt;AsOfDate),AR108,IF((AJ108-1)&lt;AF108,-1,12*(YEAR((AJ108-1))-YEAR(AF108))+MONTH((AJ108-1))-MONTH(AF108)-IF(DAY((AJ108-1))&lt;MIN(DAY(AF108),DAY(EOMONTH((AJ108-1),0))),1,0))))</f>
        <v/>
      </c>
      <c r="AU108" s="13" t="str">
        <f aca="false">IF(AE108=0,"",IF(PFYDate&lt;AF108,-1,12*(YEAR(PFYDate)-YEAR(AF108))+MONTH(PFYDate)-MONTH(AF108)-IF(DAY(PFYDate)&lt;MIN(DAY(AF108),DAY(EOMONTH(PFYDate,0))),1,0)))</f>
        <v/>
      </c>
      <c r="AV108" s="13" t="str">
        <f aca="false">IF(AE108=0,"",IF(OR(AG108&lt;2,AI108&gt;PFYDate),AU108,IF((AI108-1)&lt;AF108,-1,12*(YEAR((AI108-1))-YEAR(AF108))+MONTH((AI108-1))-MONTH(AF108)-IF(DAY((AI108-1))&lt;MIN(DAY(AF108),DAY(EOMONTH((AI108-1),0))),1,0))))</f>
        <v/>
      </c>
      <c r="AW108" s="13" t="str">
        <f aca="false">IF(AE108=0,"",IF(OR(AG108&lt;3,AJ108&gt;PFYDate),AU108,IF((AJ108-1)&lt;AF108,-1,12*(YEAR((AJ108-1))-YEAR(AF108))+MONTH((AJ108-1))-MONTH(AF108)-IF(DAY((AJ108-1))&lt;MIN(DAY(AF108),DAY(EOMONTH((AJ108-1),0))),1,0))))</f>
        <v/>
      </c>
      <c r="AX108" s="13"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3"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3" t="str">
        <f aca="false">IF(AE108=0,"",IF(AQ108="FT",IF(AR108&lt;FT_First,FT_First,IF(AR108&lt;FT_Y5,MIN(FT_Y5,FT_First+FT_Int1*(INT((AR108-FT_First)/FT_Int1)+1)),FT_Y5+12*INT((AR108-FT_Y5)/12)+FT_Int2*(INT(MOD(AR108-FT_Y5,12)/FT_Int2)+1))),IF(AQ108="PT",IF(AR108&lt;PT_First,PT_First,PT_First+PT_Int*(INT((AR108-PT_First)/PT_Int)+1)),"")))</f>
        <v/>
      </c>
      <c r="BA108" s="13" t="str">
        <f aca="false">IF(AE108=0,"",IF(NOT(LH_Ready),0,COUNTIFS(INDEX(LH_Data,0,LH_ColFirst),$A108,INDEX(LH_Data,0,LH_ColSur),$B108,INDEX(LH_Data,0,LH_ColCat),BonusCat)))</f>
        <v/>
      </c>
      <c r="BB108" s="13" t="str">
        <f aca="false">IF(AE108=0,"",IF(OR(NOT(LH_Ready),BA108=0),0,SUMPRODUCT(MAX((INDEX(LH_Data,0,LH_ColFirst)=$A108)*(INDEX(LH_Data,0,LH_ColSur)=$B108)*(INDEX(LH_Data,0,LH_ColCat)=BonusCat)*ROW(LH_Data)))))</f>
        <v/>
      </c>
      <c r="BC108" s="0" t="str">
        <f aca="false">IF(LEN($A108&amp;$B108)=0,"",$A108&amp;" "&amp;$B108)</f>
        <v/>
      </c>
    </row>
    <row r="109" customFormat="false" ht="15" hidden="false" customHeight="false" outlineLevel="0" collapsed="false">
      <c r="A109" s="9"/>
      <c r="B109" s="9"/>
      <c r="C109" s="9"/>
      <c r="D109" s="10"/>
      <c r="E109" s="11" t="str">
        <f aca="false">IF(OR(AE109=0,$D109=""),"",DATE(YEAR(AsOfDate)+IF(DATE(YEAR(AsOfDate),MONTH($D109),DAY($D109))&lt;=AsOfDate,1,0),MONTH($D109),DAY($D109)))</f>
        <v/>
      </c>
      <c r="F109" s="10"/>
      <c r="G109" s="10"/>
      <c r="H109" s="10"/>
      <c r="I109" s="10"/>
      <c r="J109" s="10"/>
      <c r="K109" s="11" t="str">
        <f aca="false">IF(AE109=0,"",DATE(YEAR(AsOfDate)+IF(DATE(YEAR(AsOfDate),MONTH(AF109),DAY(AF109))&lt;=AsOfDate,1,0),MONTH(AF109),DAY(AF109)))</f>
        <v/>
      </c>
      <c r="L109" s="12" t="str">
        <f aca="false">IF(AE109=0,"",ROUND((AsOfDate-AF109)/365.25,1))</f>
        <v/>
      </c>
      <c r="M109" s="13" t="str">
        <f aca="false">IF(AE109=0,"",IF(AsOfDate&lt;AF109,"-",DATEDIF(AF109,AsOfDate,"y")&amp;"y "&amp;DATEDIF(AF109,AsOfDate,"ym")&amp;"m "&amp;DATEDIF(AF109,AsOfDate,"md")&amp;"d"))</f>
        <v/>
      </c>
      <c r="N109" s="14" t="str">
        <f aca="false">IF(AE109=0,"",O109*HoursPerDay)</f>
        <v/>
      </c>
      <c r="O109" s="14" t="str">
        <f aca="false">IF(AE109=0,"",AX109)</f>
        <v/>
      </c>
      <c r="P109" s="15"/>
      <c r="Q109" s="13"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13"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1" t="str">
        <f aca="false">IF(AE109=0,"",IF(AQ109="None","",EDATE(AF109,AZ109)))</f>
        <v/>
      </c>
      <c r="T109" s="14" t="str">
        <f aca="false">IF(AE109=0,"",IF(NOT(LH_Ready),"",IF(AF109&gt;PFYDate,0,IF(LH_ColPeriod=0,W109-U109+V109,SUMIFS(INDEX(LH_Data,0,LH_ColAcc),INDEX(LH_Data,0,LH_ColFirst),$A109,INDEX(LH_Data,0,LH_ColSur),$B109,INDEX(LH_Data,0,LH_ColCat),BonusCat,INDEX(LH_Data,0,LH_ColPeriod),LH_OpenLabel)*UnitFactor))))</f>
        <v/>
      </c>
      <c r="U109" s="14" t="str">
        <f aca="false">IF(AE109=0,"",IF(NOT(LH_Ready),"",SUMIFS(INDEX(LH_Data,0,LH_ColAcc),INDEX(LH_Data,0,LH_ColFirst),$A109,INDEX(LH_Data,0,LH_ColSur),$B109,INDEX(LH_Data,0,LH_ColCat),BonusCat,INDEX(LH_Data,0,LH_ColStart),"&gt;="&amp;AF109)*UnitFactor))</f>
        <v/>
      </c>
      <c r="V109" s="14" t="str">
        <f aca="false">IF(AE109=0,"",IF(NOT(LH_Ready),"",SUMIFS(INDEX(LH_Data,0,LH_ColTaken),INDEX(LH_Data,0,LH_ColFirst),$A109,INDEX(LH_Data,0,LH_ColSur),$B109,INDEX(LH_Data,0,LH_ColCat),BonusCat,INDEX(LH_Data,0,LH_ColStart),"&gt;="&amp;AF109)*UnitFactor))</f>
        <v/>
      </c>
      <c r="W109" s="14" t="str">
        <f aca="false">IF(AE109=0,"",IF(NOT(LH_Ready),"",IF(BB109=0,0,INDEX(INDEX(LH_Data,0,LH_ColClose),BB109-1)*UnitFactor)))</f>
        <v/>
      </c>
      <c r="X109" s="14" t="str">
        <f aca="false">IF(AE109=0,"",(AX109-AY109)*HoursPerDay)</f>
        <v/>
      </c>
      <c r="Y109" s="14" t="str">
        <f aca="false">IF(AE109=0,"",IF(NOT(LH_Ready),"",IF(BA109=0,N109,IF(PFYDate&lt;$F109,N109-N(T109)-N(U109),X109-N(U109)))))</f>
        <v/>
      </c>
      <c r="Z109" s="13" t="str">
        <f aca="false">IF(OR(AE109=0,Y109=""),"",IF(Y109&gt;0,"Yes","No"))</f>
        <v/>
      </c>
      <c r="AA109" s="13"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 hrs more than policy since commencement",IF(N(W109)&gt;O109*HoursPerDay+0.01,"CHECK - EH balance "&amp;ROUND(W109-O109*HoursPerDay,2)&amp;" hrs more than policy entitlement",IF(O109&gt;0,"OK - nothing to add",IF(AQ109="None",R109,"Not yet - first day on "&amp;TEXT(S109,"dd/mm/yyyy")))))))))</f>
        <v/>
      </c>
      <c r="AB109" s="14" t="str">
        <f aca="false">IF(OR(AE109=0,T109=""),"",AY109*HoursPerDay-T109)</f>
        <v/>
      </c>
      <c r="AC109" s="13" t="str">
        <f aca="false">IF(AE109=0,"",BA109)</f>
        <v/>
      </c>
      <c r="AD109" s="13"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3" t="n">
        <f aca="false">IF(OR(LEN($A109&amp;$B109)=0,$F109=""),0,1)</f>
        <v>0</v>
      </c>
      <c r="AF109" s="11" t="str">
        <f aca="false">IF(AE109=0,"",IF($J109&lt;&gt;"",$J109,IF(OR(CasualCounts="Yes",COUNT($G109:$I109)=0,COUNT($G109:$H109)=0),$F109,MIN($G109:$H109))))</f>
        <v/>
      </c>
      <c r="AG109" s="13" t="str">
        <f aca="false">IF(AE109=0,"",COUNT($G109:$I109))</f>
        <v/>
      </c>
      <c r="AH109" s="11" t="str">
        <f aca="false">IF(AE109=0,"",IFERROR(SMALL($G109:$I109,1),""))</f>
        <v/>
      </c>
      <c r="AI109" s="11" t="str">
        <f aca="false">IF(AE109=0,"",IFERROR(SMALL($G109:$I109,2),""))</f>
        <v/>
      </c>
      <c r="AJ109" s="11" t="str">
        <f aca="false">IF(AE109=0,"",IFERROR(SMALL($G109:$I109,3),""))</f>
        <v/>
      </c>
      <c r="AK109" s="13" t="str">
        <f aca="false">IF(AE109=0,"",IF(AH109="","",IF(AH109=$G109,"Part-Time",IF(AH109=$H109,"Full-Time","Casual"))))</f>
        <v/>
      </c>
      <c r="AL109" s="13" t="str">
        <f aca="false">IF(AE109=0,"",IF(AI109="","",IF(AI109=$G109,"Part-Time",IF(AI109=$H109,"Full-Time","Casual"))))</f>
        <v/>
      </c>
      <c r="AM109" s="13" t="str">
        <f aca="false">IF(AE109=0,"",IF(AJ109="","",IF(AJ109=$G109,"Part-Time",IF(AJ109=$H109,"Full-Time","Casual"))))</f>
        <v/>
      </c>
      <c r="AN109" s="13"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3" t="str">
        <f aca="false">IF(AE109=0,"",IF(AG109&lt;2,"",IF(OR(ISNUMBER(SEARCH("full",AL109)),UPPER(TRIM(AL109))="FT",UPPER(TRIM(AL109))="FTE"),"FT",IF(AND(OR(ISNUMBER(SEARCH("part",AL109)),UPPER(TRIM(AL109))="PT",UPPER(TRIM(AL109))="PTE"),OR($P109="",N($P109)&gt;=PT_MinHours)),"PT","None"))))</f>
        <v/>
      </c>
      <c r="AP109" s="13" t="str">
        <f aca="false">IF(AE109=0,"",IF(AG109&lt;3,"",IF(OR(ISNUMBER(SEARCH("full",AM109)),UPPER(TRIM(AM109))="FT",UPPER(TRIM(AM109))="FTE"),"FT",IF(AND(OR(ISNUMBER(SEARCH("part",AM109)),UPPER(TRIM(AM109))="PT",UPPER(TRIM(AM109))="PTE"),OR($P109="",N($P109)&gt;=PT_MinHours)),"PT","None"))))</f>
        <v/>
      </c>
      <c r="AQ109" s="13" t="str">
        <f aca="false">IF(AE109=0,"",IF(AND(AG109&gt;=3,AJ109&lt;=AsOfDate),AP109,IF(AND(AG109&gt;=2,AI109&lt;=AsOfDate),AO109,AN109)))</f>
        <v/>
      </c>
      <c r="AR109" s="13" t="str">
        <f aca="false">IF(AE109=0,"",IF(AsOfDate&lt;AF109,-1,12*(YEAR(AsOfDate)-YEAR(AF109))+MONTH(AsOfDate)-MONTH(AF109)-IF(DAY(AsOfDate)&lt;MIN(DAY(AF109),DAY(EOMONTH(AsOfDate,0))),1,0)))</f>
        <v/>
      </c>
      <c r="AS109" s="13" t="str">
        <f aca="false">IF(AE109=0,"",IF(OR(AG109&lt;2,AI109&gt;AsOfDate),AR109,IF((AI109-1)&lt;AF109,-1,12*(YEAR((AI109-1))-YEAR(AF109))+MONTH((AI109-1))-MONTH(AF109)-IF(DAY((AI109-1))&lt;MIN(DAY(AF109),DAY(EOMONTH((AI109-1),0))),1,0))))</f>
        <v/>
      </c>
      <c r="AT109" s="13" t="str">
        <f aca="false">IF(AE109=0,"",IF(OR(AG109&lt;3,AJ109&gt;AsOfDate),AR109,IF((AJ109-1)&lt;AF109,-1,12*(YEAR((AJ109-1))-YEAR(AF109))+MONTH((AJ109-1))-MONTH(AF109)-IF(DAY((AJ109-1))&lt;MIN(DAY(AF109),DAY(EOMONTH((AJ109-1),0))),1,0))))</f>
        <v/>
      </c>
      <c r="AU109" s="13" t="str">
        <f aca="false">IF(AE109=0,"",IF(PFYDate&lt;AF109,-1,12*(YEAR(PFYDate)-YEAR(AF109))+MONTH(PFYDate)-MONTH(AF109)-IF(DAY(PFYDate)&lt;MIN(DAY(AF109),DAY(EOMONTH(PFYDate,0))),1,0)))</f>
        <v/>
      </c>
      <c r="AV109" s="13" t="str">
        <f aca="false">IF(AE109=0,"",IF(OR(AG109&lt;2,AI109&gt;PFYDate),AU109,IF((AI109-1)&lt;AF109,-1,12*(YEAR((AI109-1))-YEAR(AF109))+MONTH((AI109-1))-MONTH(AF109)-IF(DAY((AI109-1))&lt;MIN(DAY(AF109),DAY(EOMONTH((AI109-1),0))),1,0))))</f>
        <v/>
      </c>
      <c r="AW109" s="13" t="str">
        <f aca="false">IF(AE109=0,"",IF(OR(AG109&lt;3,AJ109&gt;PFYDate),AU109,IF((AJ109-1)&lt;AF109,-1,12*(YEAR((AJ109-1))-YEAR(AF109))+MONTH((AJ109-1))-MONTH(AF109)-IF(DAY((AJ109-1))&lt;MIN(DAY(AF109),DAY(EOMONTH((AJ109-1),0))),1,0))))</f>
        <v/>
      </c>
      <c r="AX109" s="13"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3"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3" t="str">
        <f aca="false">IF(AE109=0,"",IF(AQ109="FT",IF(AR109&lt;FT_First,FT_First,IF(AR109&lt;FT_Y5,MIN(FT_Y5,FT_First+FT_Int1*(INT((AR109-FT_First)/FT_Int1)+1)),FT_Y5+12*INT((AR109-FT_Y5)/12)+FT_Int2*(INT(MOD(AR109-FT_Y5,12)/FT_Int2)+1))),IF(AQ109="PT",IF(AR109&lt;PT_First,PT_First,PT_First+PT_Int*(INT((AR109-PT_First)/PT_Int)+1)),"")))</f>
        <v/>
      </c>
      <c r="BA109" s="13" t="str">
        <f aca="false">IF(AE109=0,"",IF(NOT(LH_Ready),0,COUNTIFS(INDEX(LH_Data,0,LH_ColFirst),$A109,INDEX(LH_Data,0,LH_ColSur),$B109,INDEX(LH_Data,0,LH_ColCat),BonusCat)))</f>
        <v/>
      </c>
      <c r="BB109" s="13" t="str">
        <f aca="false">IF(AE109=0,"",IF(OR(NOT(LH_Ready),BA109=0),0,SUMPRODUCT(MAX((INDEX(LH_Data,0,LH_ColFirst)=$A109)*(INDEX(LH_Data,0,LH_ColSur)=$B109)*(INDEX(LH_Data,0,LH_ColCat)=BonusCat)*ROW(LH_Data)))))</f>
        <v/>
      </c>
      <c r="BC109" s="0" t="str">
        <f aca="false">IF(LEN($A109&amp;$B109)=0,"",$A109&amp;" "&amp;$B109)</f>
        <v/>
      </c>
    </row>
    <row r="110" customFormat="false" ht="15" hidden="false" customHeight="false" outlineLevel="0" collapsed="false">
      <c r="A110" s="9"/>
      <c r="B110" s="9"/>
      <c r="C110" s="9"/>
      <c r="D110" s="10"/>
      <c r="E110" s="11" t="str">
        <f aca="false">IF(OR(AE110=0,$D110=""),"",DATE(YEAR(AsOfDate)+IF(DATE(YEAR(AsOfDate),MONTH($D110),DAY($D110))&lt;=AsOfDate,1,0),MONTH($D110),DAY($D110)))</f>
        <v/>
      </c>
      <c r="F110" s="10"/>
      <c r="G110" s="10"/>
      <c r="H110" s="10"/>
      <c r="I110" s="10"/>
      <c r="J110" s="10"/>
      <c r="K110" s="11" t="str">
        <f aca="false">IF(AE110=0,"",DATE(YEAR(AsOfDate)+IF(DATE(YEAR(AsOfDate),MONTH(AF110),DAY(AF110))&lt;=AsOfDate,1,0),MONTH(AF110),DAY(AF110)))</f>
        <v/>
      </c>
      <c r="L110" s="12" t="str">
        <f aca="false">IF(AE110=0,"",ROUND((AsOfDate-AF110)/365.25,1))</f>
        <v/>
      </c>
      <c r="M110" s="13" t="str">
        <f aca="false">IF(AE110=0,"",IF(AsOfDate&lt;AF110,"-",DATEDIF(AF110,AsOfDate,"y")&amp;"y "&amp;DATEDIF(AF110,AsOfDate,"ym")&amp;"m "&amp;DATEDIF(AF110,AsOfDate,"md")&amp;"d"))</f>
        <v/>
      </c>
      <c r="N110" s="14" t="str">
        <f aca="false">IF(AE110=0,"",O110*HoursPerDay)</f>
        <v/>
      </c>
      <c r="O110" s="14" t="str">
        <f aca="false">IF(AE110=0,"",AX110)</f>
        <v/>
      </c>
      <c r="P110" s="15"/>
      <c r="Q110" s="13"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13"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1" t="str">
        <f aca="false">IF(AE110=0,"",IF(AQ110="None","",EDATE(AF110,AZ110)))</f>
        <v/>
      </c>
      <c r="T110" s="14" t="str">
        <f aca="false">IF(AE110=0,"",IF(NOT(LH_Ready),"",IF(AF110&gt;PFYDate,0,IF(LH_ColPeriod=0,W110-U110+V110,SUMIFS(INDEX(LH_Data,0,LH_ColAcc),INDEX(LH_Data,0,LH_ColFirst),$A110,INDEX(LH_Data,0,LH_ColSur),$B110,INDEX(LH_Data,0,LH_ColCat),BonusCat,INDEX(LH_Data,0,LH_ColPeriod),LH_OpenLabel)*UnitFactor))))</f>
        <v/>
      </c>
      <c r="U110" s="14" t="str">
        <f aca="false">IF(AE110=0,"",IF(NOT(LH_Ready),"",SUMIFS(INDEX(LH_Data,0,LH_ColAcc),INDEX(LH_Data,0,LH_ColFirst),$A110,INDEX(LH_Data,0,LH_ColSur),$B110,INDEX(LH_Data,0,LH_ColCat),BonusCat,INDEX(LH_Data,0,LH_ColStart),"&gt;="&amp;AF110)*UnitFactor))</f>
        <v/>
      </c>
      <c r="V110" s="14" t="str">
        <f aca="false">IF(AE110=0,"",IF(NOT(LH_Ready),"",SUMIFS(INDEX(LH_Data,0,LH_ColTaken),INDEX(LH_Data,0,LH_ColFirst),$A110,INDEX(LH_Data,0,LH_ColSur),$B110,INDEX(LH_Data,0,LH_ColCat),BonusCat,INDEX(LH_Data,0,LH_ColStart),"&gt;="&amp;AF110)*UnitFactor))</f>
        <v/>
      </c>
      <c r="W110" s="14" t="str">
        <f aca="false">IF(AE110=0,"",IF(NOT(LH_Ready),"",IF(BB110=0,0,INDEX(INDEX(LH_Data,0,LH_ColClose),BB110-1)*UnitFactor)))</f>
        <v/>
      </c>
      <c r="X110" s="14" t="str">
        <f aca="false">IF(AE110=0,"",(AX110-AY110)*HoursPerDay)</f>
        <v/>
      </c>
      <c r="Y110" s="14" t="str">
        <f aca="false">IF(AE110=0,"",IF(NOT(LH_Ready),"",IF(BA110=0,N110,IF(PFYDate&lt;$F110,N110-N(T110)-N(U110),X110-N(U110)))))</f>
        <v/>
      </c>
      <c r="Z110" s="13" t="str">
        <f aca="false">IF(OR(AE110=0,Y110=""),"",IF(Y110&gt;0,"Yes","No"))</f>
        <v/>
      </c>
      <c r="AA110" s="13"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 hrs more than policy since commencement",IF(N(W110)&gt;O110*HoursPerDay+0.01,"CHECK - EH balance "&amp;ROUND(W110-O110*HoursPerDay,2)&amp;" hrs more than policy entitlement",IF(O110&gt;0,"OK - nothing to add",IF(AQ110="None",R110,"Not yet - first day on "&amp;TEXT(S110,"dd/mm/yyyy")))))))))</f>
        <v/>
      </c>
      <c r="AB110" s="14" t="str">
        <f aca="false">IF(OR(AE110=0,T110=""),"",AY110*HoursPerDay-T110)</f>
        <v/>
      </c>
      <c r="AC110" s="13" t="str">
        <f aca="false">IF(AE110=0,"",BA110)</f>
        <v/>
      </c>
      <c r="AD110" s="13"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3" t="n">
        <f aca="false">IF(OR(LEN($A110&amp;$B110)=0,$F110=""),0,1)</f>
        <v>0</v>
      </c>
      <c r="AF110" s="11" t="str">
        <f aca="false">IF(AE110=0,"",IF($J110&lt;&gt;"",$J110,IF(OR(CasualCounts="Yes",COUNT($G110:$I110)=0,COUNT($G110:$H110)=0),$F110,MIN($G110:$H110))))</f>
        <v/>
      </c>
      <c r="AG110" s="13" t="str">
        <f aca="false">IF(AE110=0,"",COUNT($G110:$I110))</f>
        <v/>
      </c>
      <c r="AH110" s="11" t="str">
        <f aca="false">IF(AE110=0,"",IFERROR(SMALL($G110:$I110,1),""))</f>
        <v/>
      </c>
      <c r="AI110" s="11" t="str">
        <f aca="false">IF(AE110=0,"",IFERROR(SMALL($G110:$I110,2),""))</f>
        <v/>
      </c>
      <c r="AJ110" s="11" t="str">
        <f aca="false">IF(AE110=0,"",IFERROR(SMALL($G110:$I110,3),""))</f>
        <v/>
      </c>
      <c r="AK110" s="13" t="str">
        <f aca="false">IF(AE110=0,"",IF(AH110="","",IF(AH110=$G110,"Part-Time",IF(AH110=$H110,"Full-Time","Casual"))))</f>
        <v/>
      </c>
      <c r="AL110" s="13" t="str">
        <f aca="false">IF(AE110=0,"",IF(AI110="","",IF(AI110=$G110,"Part-Time",IF(AI110=$H110,"Full-Time","Casual"))))</f>
        <v/>
      </c>
      <c r="AM110" s="13" t="str">
        <f aca="false">IF(AE110=0,"",IF(AJ110="","",IF(AJ110=$G110,"Part-Time",IF(AJ110=$H110,"Full-Time","Casual"))))</f>
        <v/>
      </c>
      <c r="AN110" s="13"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3" t="str">
        <f aca="false">IF(AE110=0,"",IF(AG110&lt;2,"",IF(OR(ISNUMBER(SEARCH("full",AL110)),UPPER(TRIM(AL110))="FT",UPPER(TRIM(AL110))="FTE"),"FT",IF(AND(OR(ISNUMBER(SEARCH("part",AL110)),UPPER(TRIM(AL110))="PT",UPPER(TRIM(AL110))="PTE"),OR($P110="",N($P110)&gt;=PT_MinHours)),"PT","None"))))</f>
        <v/>
      </c>
      <c r="AP110" s="13" t="str">
        <f aca="false">IF(AE110=0,"",IF(AG110&lt;3,"",IF(OR(ISNUMBER(SEARCH("full",AM110)),UPPER(TRIM(AM110))="FT",UPPER(TRIM(AM110))="FTE"),"FT",IF(AND(OR(ISNUMBER(SEARCH("part",AM110)),UPPER(TRIM(AM110))="PT",UPPER(TRIM(AM110))="PTE"),OR($P110="",N($P110)&gt;=PT_MinHours)),"PT","None"))))</f>
        <v/>
      </c>
      <c r="AQ110" s="13" t="str">
        <f aca="false">IF(AE110=0,"",IF(AND(AG110&gt;=3,AJ110&lt;=AsOfDate),AP110,IF(AND(AG110&gt;=2,AI110&lt;=AsOfDate),AO110,AN110)))</f>
        <v/>
      </c>
      <c r="AR110" s="13" t="str">
        <f aca="false">IF(AE110=0,"",IF(AsOfDate&lt;AF110,-1,12*(YEAR(AsOfDate)-YEAR(AF110))+MONTH(AsOfDate)-MONTH(AF110)-IF(DAY(AsOfDate)&lt;MIN(DAY(AF110),DAY(EOMONTH(AsOfDate,0))),1,0)))</f>
        <v/>
      </c>
      <c r="AS110" s="13" t="str">
        <f aca="false">IF(AE110=0,"",IF(OR(AG110&lt;2,AI110&gt;AsOfDate),AR110,IF((AI110-1)&lt;AF110,-1,12*(YEAR((AI110-1))-YEAR(AF110))+MONTH((AI110-1))-MONTH(AF110)-IF(DAY((AI110-1))&lt;MIN(DAY(AF110),DAY(EOMONTH((AI110-1),0))),1,0))))</f>
        <v/>
      </c>
      <c r="AT110" s="13" t="str">
        <f aca="false">IF(AE110=0,"",IF(OR(AG110&lt;3,AJ110&gt;AsOfDate),AR110,IF((AJ110-1)&lt;AF110,-1,12*(YEAR((AJ110-1))-YEAR(AF110))+MONTH((AJ110-1))-MONTH(AF110)-IF(DAY((AJ110-1))&lt;MIN(DAY(AF110),DAY(EOMONTH((AJ110-1),0))),1,0))))</f>
        <v/>
      </c>
      <c r="AU110" s="13" t="str">
        <f aca="false">IF(AE110=0,"",IF(PFYDate&lt;AF110,-1,12*(YEAR(PFYDate)-YEAR(AF110))+MONTH(PFYDate)-MONTH(AF110)-IF(DAY(PFYDate)&lt;MIN(DAY(AF110),DAY(EOMONTH(PFYDate,0))),1,0)))</f>
        <v/>
      </c>
      <c r="AV110" s="13" t="str">
        <f aca="false">IF(AE110=0,"",IF(OR(AG110&lt;2,AI110&gt;PFYDate),AU110,IF((AI110-1)&lt;AF110,-1,12*(YEAR((AI110-1))-YEAR(AF110))+MONTH((AI110-1))-MONTH(AF110)-IF(DAY((AI110-1))&lt;MIN(DAY(AF110),DAY(EOMONTH((AI110-1),0))),1,0))))</f>
        <v/>
      </c>
      <c r="AW110" s="13" t="str">
        <f aca="false">IF(AE110=0,"",IF(OR(AG110&lt;3,AJ110&gt;PFYDate),AU110,IF((AJ110-1)&lt;AF110,-1,12*(YEAR((AJ110-1))-YEAR(AF110))+MONTH((AJ110-1))-MONTH(AF110)-IF(DAY((AJ110-1))&lt;MIN(DAY(AF110),DAY(EOMONTH((AJ110-1),0))),1,0))))</f>
        <v/>
      </c>
      <c r="AX110" s="13"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3"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3" t="str">
        <f aca="false">IF(AE110=0,"",IF(AQ110="FT",IF(AR110&lt;FT_First,FT_First,IF(AR110&lt;FT_Y5,MIN(FT_Y5,FT_First+FT_Int1*(INT((AR110-FT_First)/FT_Int1)+1)),FT_Y5+12*INT((AR110-FT_Y5)/12)+FT_Int2*(INT(MOD(AR110-FT_Y5,12)/FT_Int2)+1))),IF(AQ110="PT",IF(AR110&lt;PT_First,PT_First,PT_First+PT_Int*(INT((AR110-PT_First)/PT_Int)+1)),"")))</f>
        <v/>
      </c>
      <c r="BA110" s="13" t="str">
        <f aca="false">IF(AE110=0,"",IF(NOT(LH_Ready),0,COUNTIFS(INDEX(LH_Data,0,LH_ColFirst),$A110,INDEX(LH_Data,0,LH_ColSur),$B110,INDEX(LH_Data,0,LH_ColCat),BonusCat)))</f>
        <v/>
      </c>
      <c r="BB110" s="13" t="str">
        <f aca="false">IF(AE110=0,"",IF(OR(NOT(LH_Ready),BA110=0),0,SUMPRODUCT(MAX((INDEX(LH_Data,0,LH_ColFirst)=$A110)*(INDEX(LH_Data,0,LH_ColSur)=$B110)*(INDEX(LH_Data,0,LH_ColCat)=BonusCat)*ROW(LH_Data)))))</f>
        <v/>
      </c>
      <c r="BC110" s="0" t="str">
        <f aca="false">IF(LEN($A110&amp;$B110)=0,"",$A110&amp;" "&amp;$B110)</f>
        <v/>
      </c>
    </row>
    <row r="111" customFormat="false" ht="15" hidden="false" customHeight="false" outlineLevel="0" collapsed="false">
      <c r="A111" s="9"/>
      <c r="B111" s="9"/>
      <c r="C111" s="9"/>
      <c r="D111" s="10"/>
      <c r="E111" s="11" t="str">
        <f aca="false">IF(OR(AE111=0,$D111=""),"",DATE(YEAR(AsOfDate)+IF(DATE(YEAR(AsOfDate),MONTH($D111),DAY($D111))&lt;=AsOfDate,1,0),MONTH($D111),DAY($D111)))</f>
        <v/>
      </c>
      <c r="F111" s="10"/>
      <c r="G111" s="10"/>
      <c r="H111" s="10"/>
      <c r="I111" s="10"/>
      <c r="J111" s="10"/>
      <c r="K111" s="11" t="str">
        <f aca="false">IF(AE111=0,"",DATE(YEAR(AsOfDate)+IF(DATE(YEAR(AsOfDate),MONTH(AF111),DAY(AF111))&lt;=AsOfDate,1,0),MONTH(AF111),DAY(AF111)))</f>
        <v/>
      </c>
      <c r="L111" s="12" t="str">
        <f aca="false">IF(AE111=0,"",ROUND((AsOfDate-AF111)/365.25,1))</f>
        <v/>
      </c>
      <c r="M111" s="13" t="str">
        <f aca="false">IF(AE111=0,"",IF(AsOfDate&lt;AF111,"-",DATEDIF(AF111,AsOfDate,"y")&amp;"y "&amp;DATEDIF(AF111,AsOfDate,"ym")&amp;"m "&amp;DATEDIF(AF111,AsOfDate,"md")&amp;"d"))</f>
        <v/>
      </c>
      <c r="N111" s="14" t="str">
        <f aca="false">IF(AE111=0,"",O111*HoursPerDay)</f>
        <v/>
      </c>
      <c r="O111" s="14" t="str">
        <f aca="false">IF(AE111=0,"",AX111)</f>
        <v/>
      </c>
      <c r="P111" s="15"/>
      <c r="Q111" s="13"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13"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1" t="str">
        <f aca="false">IF(AE111=0,"",IF(AQ111="None","",EDATE(AF111,AZ111)))</f>
        <v/>
      </c>
      <c r="T111" s="14" t="str">
        <f aca="false">IF(AE111=0,"",IF(NOT(LH_Ready),"",IF(AF111&gt;PFYDate,0,IF(LH_ColPeriod=0,W111-U111+V111,SUMIFS(INDEX(LH_Data,0,LH_ColAcc),INDEX(LH_Data,0,LH_ColFirst),$A111,INDEX(LH_Data,0,LH_ColSur),$B111,INDEX(LH_Data,0,LH_ColCat),BonusCat,INDEX(LH_Data,0,LH_ColPeriod),LH_OpenLabel)*UnitFactor))))</f>
        <v/>
      </c>
      <c r="U111" s="14" t="str">
        <f aca="false">IF(AE111=0,"",IF(NOT(LH_Ready),"",SUMIFS(INDEX(LH_Data,0,LH_ColAcc),INDEX(LH_Data,0,LH_ColFirst),$A111,INDEX(LH_Data,0,LH_ColSur),$B111,INDEX(LH_Data,0,LH_ColCat),BonusCat,INDEX(LH_Data,0,LH_ColStart),"&gt;="&amp;AF111)*UnitFactor))</f>
        <v/>
      </c>
      <c r="V111" s="14" t="str">
        <f aca="false">IF(AE111=0,"",IF(NOT(LH_Ready),"",SUMIFS(INDEX(LH_Data,0,LH_ColTaken),INDEX(LH_Data,0,LH_ColFirst),$A111,INDEX(LH_Data,0,LH_ColSur),$B111,INDEX(LH_Data,0,LH_ColCat),BonusCat,INDEX(LH_Data,0,LH_ColStart),"&gt;="&amp;AF111)*UnitFactor))</f>
        <v/>
      </c>
      <c r="W111" s="14" t="str">
        <f aca="false">IF(AE111=0,"",IF(NOT(LH_Ready),"",IF(BB111=0,0,INDEX(INDEX(LH_Data,0,LH_ColClose),BB111-1)*UnitFactor)))</f>
        <v/>
      </c>
      <c r="X111" s="14" t="str">
        <f aca="false">IF(AE111=0,"",(AX111-AY111)*HoursPerDay)</f>
        <v/>
      </c>
      <c r="Y111" s="14" t="str">
        <f aca="false">IF(AE111=0,"",IF(NOT(LH_Ready),"",IF(BA111=0,N111,IF(PFYDate&lt;$F111,N111-N(T111)-N(U111),X111-N(U111)))))</f>
        <v/>
      </c>
      <c r="Z111" s="13" t="str">
        <f aca="false">IF(OR(AE111=0,Y111=""),"",IF(Y111&gt;0,"Yes","No"))</f>
        <v/>
      </c>
      <c r="AA111" s="13"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 hrs more than policy since commencement",IF(N(W111)&gt;O111*HoursPerDay+0.01,"CHECK - EH balance "&amp;ROUND(W111-O111*HoursPerDay,2)&amp;" hrs more than policy entitlement",IF(O111&gt;0,"OK - nothing to add",IF(AQ111="None",R111,"Not yet - first day on "&amp;TEXT(S111,"dd/mm/yyyy")))))))))</f>
        <v/>
      </c>
      <c r="AB111" s="14" t="str">
        <f aca="false">IF(OR(AE111=0,T111=""),"",AY111*HoursPerDay-T111)</f>
        <v/>
      </c>
      <c r="AC111" s="13" t="str">
        <f aca="false">IF(AE111=0,"",BA111)</f>
        <v/>
      </c>
      <c r="AD111" s="13"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3" t="n">
        <f aca="false">IF(OR(LEN($A111&amp;$B111)=0,$F111=""),0,1)</f>
        <v>0</v>
      </c>
      <c r="AF111" s="11" t="str">
        <f aca="false">IF(AE111=0,"",IF($J111&lt;&gt;"",$J111,IF(OR(CasualCounts="Yes",COUNT($G111:$I111)=0,COUNT($G111:$H111)=0),$F111,MIN($G111:$H111))))</f>
        <v/>
      </c>
      <c r="AG111" s="13" t="str">
        <f aca="false">IF(AE111=0,"",COUNT($G111:$I111))</f>
        <v/>
      </c>
      <c r="AH111" s="11" t="str">
        <f aca="false">IF(AE111=0,"",IFERROR(SMALL($G111:$I111,1),""))</f>
        <v/>
      </c>
      <c r="AI111" s="11" t="str">
        <f aca="false">IF(AE111=0,"",IFERROR(SMALL($G111:$I111,2),""))</f>
        <v/>
      </c>
      <c r="AJ111" s="11" t="str">
        <f aca="false">IF(AE111=0,"",IFERROR(SMALL($G111:$I111,3),""))</f>
        <v/>
      </c>
      <c r="AK111" s="13" t="str">
        <f aca="false">IF(AE111=0,"",IF(AH111="","",IF(AH111=$G111,"Part-Time",IF(AH111=$H111,"Full-Time","Casual"))))</f>
        <v/>
      </c>
      <c r="AL111" s="13" t="str">
        <f aca="false">IF(AE111=0,"",IF(AI111="","",IF(AI111=$G111,"Part-Time",IF(AI111=$H111,"Full-Time","Casual"))))</f>
        <v/>
      </c>
      <c r="AM111" s="13" t="str">
        <f aca="false">IF(AE111=0,"",IF(AJ111="","",IF(AJ111=$G111,"Part-Time",IF(AJ111=$H111,"Full-Time","Casual"))))</f>
        <v/>
      </c>
      <c r="AN111" s="13"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3" t="str">
        <f aca="false">IF(AE111=0,"",IF(AG111&lt;2,"",IF(OR(ISNUMBER(SEARCH("full",AL111)),UPPER(TRIM(AL111))="FT",UPPER(TRIM(AL111))="FTE"),"FT",IF(AND(OR(ISNUMBER(SEARCH("part",AL111)),UPPER(TRIM(AL111))="PT",UPPER(TRIM(AL111))="PTE"),OR($P111="",N($P111)&gt;=PT_MinHours)),"PT","None"))))</f>
        <v/>
      </c>
      <c r="AP111" s="13" t="str">
        <f aca="false">IF(AE111=0,"",IF(AG111&lt;3,"",IF(OR(ISNUMBER(SEARCH("full",AM111)),UPPER(TRIM(AM111))="FT",UPPER(TRIM(AM111))="FTE"),"FT",IF(AND(OR(ISNUMBER(SEARCH("part",AM111)),UPPER(TRIM(AM111))="PT",UPPER(TRIM(AM111))="PTE"),OR($P111="",N($P111)&gt;=PT_MinHours)),"PT","None"))))</f>
        <v/>
      </c>
      <c r="AQ111" s="13" t="str">
        <f aca="false">IF(AE111=0,"",IF(AND(AG111&gt;=3,AJ111&lt;=AsOfDate),AP111,IF(AND(AG111&gt;=2,AI111&lt;=AsOfDate),AO111,AN111)))</f>
        <v/>
      </c>
      <c r="AR111" s="13" t="str">
        <f aca="false">IF(AE111=0,"",IF(AsOfDate&lt;AF111,-1,12*(YEAR(AsOfDate)-YEAR(AF111))+MONTH(AsOfDate)-MONTH(AF111)-IF(DAY(AsOfDate)&lt;MIN(DAY(AF111),DAY(EOMONTH(AsOfDate,0))),1,0)))</f>
        <v/>
      </c>
      <c r="AS111" s="13" t="str">
        <f aca="false">IF(AE111=0,"",IF(OR(AG111&lt;2,AI111&gt;AsOfDate),AR111,IF((AI111-1)&lt;AF111,-1,12*(YEAR((AI111-1))-YEAR(AF111))+MONTH((AI111-1))-MONTH(AF111)-IF(DAY((AI111-1))&lt;MIN(DAY(AF111),DAY(EOMONTH((AI111-1),0))),1,0))))</f>
        <v/>
      </c>
      <c r="AT111" s="13" t="str">
        <f aca="false">IF(AE111=0,"",IF(OR(AG111&lt;3,AJ111&gt;AsOfDate),AR111,IF((AJ111-1)&lt;AF111,-1,12*(YEAR((AJ111-1))-YEAR(AF111))+MONTH((AJ111-1))-MONTH(AF111)-IF(DAY((AJ111-1))&lt;MIN(DAY(AF111),DAY(EOMONTH((AJ111-1),0))),1,0))))</f>
        <v/>
      </c>
      <c r="AU111" s="13" t="str">
        <f aca="false">IF(AE111=0,"",IF(PFYDate&lt;AF111,-1,12*(YEAR(PFYDate)-YEAR(AF111))+MONTH(PFYDate)-MONTH(AF111)-IF(DAY(PFYDate)&lt;MIN(DAY(AF111),DAY(EOMONTH(PFYDate,0))),1,0)))</f>
        <v/>
      </c>
      <c r="AV111" s="13" t="str">
        <f aca="false">IF(AE111=0,"",IF(OR(AG111&lt;2,AI111&gt;PFYDate),AU111,IF((AI111-1)&lt;AF111,-1,12*(YEAR((AI111-1))-YEAR(AF111))+MONTH((AI111-1))-MONTH(AF111)-IF(DAY((AI111-1))&lt;MIN(DAY(AF111),DAY(EOMONTH((AI111-1),0))),1,0))))</f>
        <v/>
      </c>
      <c r="AW111" s="13" t="str">
        <f aca="false">IF(AE111=0,"",IF(OR(AG111&lt;3,AJ111&gt;PFYDate),AU111,IF((AJ111-1)&lt;AF111,-1,12*(YEAR((AJ111-1))-YEAR(AF111))+MONTH((AJ111-1))-MONTH(AF111)-IF(DAY((AJ111-1))&lt;MIN(DAY(AF111),DAY(EOMONTH((AJ111-1),0))),1,0))))</f>
        <v/>
      </c>
      <c r="AX111" s="13"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3"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3" t="str">
        <f aca="false">IF(AE111=0,"",IF(AQ111="FT",IF(AR111&lt;FT_First,FT_First,IF(AR111&lt;FT_Y5,MIN(FT_Y5,FT_First+FT_Int1*(INT((AR111-FT_First)/FT_Int1)+1)),FT_Y5+12*INT((AR111-FT_Y5)/12)+FT_Int2*(INT(MOD(AR111-FT_Y5,12)/FT_Int2)+1))),IF(AQ111="PT",IF(AR111&lt;PT_First,PT_First,PT_First+PT_Int*(INT((AR111-PT_First)/PT_Int)+1)),"")))</f>
        <v/>
      </c>
      <c r="BA111" s="13" t="str">
        <f aca="false">IF(AE111=0,"",IF(NOT(LH_Ready),0,COUNTIFS(INDEX(LH_Data,0,LH_ColFirst),$A111,INDEX(LH_Data,0,LH_ColSur),$B111,INDEX(LH_Data,0,LH_ColCat),BonusCat)))</f>
        <v/>
      </c>
      <c r="BB111" s="13" t="str">
        <f aca="false">IF(AE111=0,"",IF(OR(NOT(LH_Ready),BA111=0),0,SUMPRODUCT(MAX((INDEX(LH_Data,0,LH_ColFirst)=$A111)*(INDEX(LH_Data,0,LH_ColSur)=$B111)*(INDEX(LH_Data,0,LH_ColCat)=BonusCat)*ROW(LH_Data)))))</f>
        <v/>
      </c>
      <c r="BC111" s="0" t="str">
        <f aca="false">IF(LEN($A111&amp;$B111)=0,"",$A111&amp;" "&amp;$B111)</f>
        <v/>
      </c>
    </row>
    <row r="112" customFormat="false" ht="15" hidden="false" customHeight="false" outlineLevel="0" collapsed="false">
      <c r="A112" s="9"/>
      <c r="B112" s="9"/>
      <c r="C112" s="9"/>
      <c r="D112" s="10"/>
      <c r="E112" s="11" t="str">
        <f aca="false">IF(OR(AE112=0,$D112=""),"",DATE(YEAR(AsOfDate)+IF(DATE(YEAR(AsOfDate),MONTH($D112),DAY($D112))&lt;=AsOfDate,1,0),MONTH($D112),DAY($D112)))</f>
        <v/>
      </c>
      <c r="F112" s="10"/>
      <c r="G112" s="10"/>
      <c r="H112" s="10"/>
      <c r="I112" s="10"/>
      <c r="J112" s="10"/>
      <c r="K112" s="11" t="str">
        <f aca="false">IF(AE112=0,"",DATE(YEAR(AsOfDate)+IF(DATE(YEAR(AsOfDate),MONTH(AF112),DAY(AF112))&lt;=AsOfDate,1,0),MONTH(AF112),DAY(AF112)))</f>
        <v/>
      </c>
      <c r="L112" s="12" t="str">
        <f aca="false">IF(AE112=0,"",ROUND((AsOfDate-AF112)/365.25,1))</f>
        <v/>
      </c>
      <c r="M112" s="13" t="str">
        <f aca="false">IF(AE112=0,"",IF(AsOfDate&lt;AF112,"-",DATEDIF(AF112,AsOfDate,"y")&amp;"y "&amp;DATEDIF(AF112,AsOfDate,"ym")&amp;"m "&amp;DATEDIF(AF112,AsOfDate,"md")&amp;"d"))</f>
        <v/>
      </c>
      <c r="N112" s="14" t="str">
        <f aca="false">IF(AE112=0,"",O112*HoursPerDay)</f>
        <v/>
      </c>
      <c r="O112" s="14" t="str">
        <f aca="false">IF(AE112=0,"",AX112)</f>
        <v/>
      </c>
      <c r="P112" s="15"/>
      <c r="Q112" s="13"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13"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1" t="str">
        <f aca="false">IF(AE112=0,"",IF(AQ112="None","",EDATE(AF112,AZ112)))</f>
        <v/>
      </c>
      <c r="T112" s="14" t="str">
        <f aca="false">IF(AE112=0,"",IF(NOT(LH_Ready),"",IF(AF112&gt;PFYDate,0,IF(LH_ColPeriod=0,W112-U112+V112,SUMIFS(INDEX(LH_Data,0,LH_ColAcc),INDEX(LH_Data,0,LH_ColFirst),$A112,INDEX(LH_Data,0,LH_ColSur),$B112,INDEX(LH_Data,0,LH_ColCat),BonusCat,INDEX(LH_Data,0,LH_ColPeriod),LH_OpenLabel)*UnitFactor))))</f>
        <v/>
      </c>
      <c r="U112" s="14" t="str">
        <f aca="false">IF(AE112=0,"",IF(NOT(LH_Ready),"",SUMIFS(INDEX(LH_Data,0,LH_ColAcc),INDEX(LH_Data,0,LH_ColFirst),$A112,INDEX(LH_Data,0,LH_ColSur),$B112,INDEX(LH_Data,0,LH_ColCat),BonusCat,INDEX(LH_Data,0,LH_ColStart),"&gt;="&amp;AF112)*UnitFactor))</f>
        <v/>
      </c>
      <c r="V112" s="14" t="str">
        <f aca="false">IF(AE112=0,"",IF(NOT(LH_Ready),"",SUMIFS(INDEX(LH_Data,0,LH_ColTaken),INDEX(LH_Data,0,LH_ColFirst),$A112,INDEX(LH_Data,0,LH_ColSur),$B112,INDEX(LH_Data,0,LH_ColCat),BonusCat,INDEX(LH_Data,0,LH_ColStart),"&gt;="&amp;AF112)*UnitFactor))</f>
        <v/>
      </c>
      <c r="W112" s="14" t="str">
        <f aca="false">IF(AE112=0,"",IF(NOT(LH_Ready),"",IF(BB112=0,0,INDEX(INDEX(LH_Data,0,LH_ColClose),BB112-1)*UnitFactor)))</f>
        <v/>
      </c>
      <c r="X112" s="14" t="str">
        <f aca="false">IF(AE112=0,"",(AX112-AY112)*HoursPerDay)</f>
        <v/>
      </c>
      <c r="Y112" s="14" t="str">
        <f aca="false">IF(AE112=0,"",IF(NOT(LH_Ready),"",IF(BA112=0,N112,IF(PFYDate&lt;$F112,N112-N(T112)-N(U112),X112-N(U112)))))</f>
        <v/>
      </c>
      <c r="Z112" s="13" t="str">
        <f aca="false">IF(OR(AE112=0,Y112=""),"",IF(Y112&gt;0,"Yes","No"))</f>
        <v/>
      </c>
      <c r="AA112" s="13"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 hrs more than policy since commencement",IF(N(W112)&gt;O112*HoursPerDay+0.01,"CHECK - EH balance "&amp;ROUND(W112-O112*HoursPerDay,2)&amp;" hrs more than policy entitlement",IF(O112&gt;0,"OK - nothing to add",IF(AQ112="None",R112,"Not yet - first day on "&amp;TEXT(S112,"dd/mm/yyyy")))))))))</f>
        <v/>
      </c>
      <c r="AB112" s="14" t="str">
        <f aca="false">IF(OR(AE112=0,T112=""),"",AY112*HoursPerDay-T112)</f>
        <v/>
      </c>
      <c r="AC112" s="13" t="str">
        <f aca="false">IF(AE112=0,"",BA112)</f>
        <v/>
      </c>
      <c r="AD112" s="13"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3" t="n">
        <f aca="false">IF(OR(LEN($A112&amp;$B112)=0,$F112=""),0,1)</f>
        <v>0</v>
      </c>
      <c r="AF112" s="11" t="str">
        <f aca="false">IF(AE112=0,"",IF($J112&lt;&gt;"",$J112,IF(OR(CasualCounts="Yes",COUNT($G112:$I112)=0,COUNT($G112:$H112)=0),$F112,MIN($G112:$H112))))</f>
        <v/>
      </c>
      <c r="AG112" s="13" t="str">
        <f aca="false">IF(AE112=0,"",COUNT($G112:$I112))</f>
        <v/>
      </c>
      <c r="AH112" s="11" t="str">
        <f aca="false">IF(AE112=0,"",IFERROR(SMALL($G112:$I112,1),""))</f>
        <v/>
      </c>
      <c r="AI112" s="11" t="str">
        <f aca="false">IF(AE112=0,"",IFERROR(SMALL($G112:$I112,2),""))</f>
        <v/>
      </c>
      <c r="AJ112" s="11" t="str">
        <f aca="false">IF(AE112=0,"",IFERROR(SMALL($G112:$I112,3),""))</f>
        <v/>
      </c>
      <c r="AK112" s="13" t="str">
        <f aca="false">IF(AE112=0,"",IF(AH112="","",IF(AH112=$G112,"Part-Time",IF(AH112=$H112,"Full-Time","Casual"))))</f>
        <v/>
      </c>
      <c r="AL112" s="13" t="str">
        <f aca="false">IF(AE112=0,"",IF(AI112="","",IF(AI112=$G112,"Part-Time",IF(AI112=$H112,"Full-Time","Casual"))))</f>
        <v/>
      </c>
      <c r="AM112" s="13" t="str">
        <f aca="false">IF(AE112=0,"",IF(AJ112="","",IF(AJ112=$G112,"Part-Time",IF(AJ112=$H112,"Full-Time","Casual"))))</f>
        <v/>
      </c>
      <c r="AN112" s="13"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3" t="str">
        <f aca="false">IF(AE112=0,"",IF(AG112&lt;2,"",IF(OR(ISNUMBER(SEARCH("full",AL112)),UPPER(TRIM(AL112))="FT",UPPER(TRIM(AL112))="FTE"),"FT",IF(AND(OR(ISNUMBER(SEARCH("part",AL112)),UPPER(TRIM(AL112))="PT",UPPER(TRIM(AL112))="PTE"),OR($P112="",N($P112)&gt;=PT_MinHours)),"PT","None"))))</f>
        <v/>
      </c>
      <c r="AP112" s="13" t="str">
        <f aca="false">IF(AE112=0,"",IF(AG112&lt;3,"",IF(OR(ISNUMBER(SEARCH("full",AM112)),UPPER(TRIM(AM112))="FT",UPPER(TRIM(AM112))="FTE"),"FT",IF(AND(OR(ISNUMBER(SEARCH("part",AM112)),UPPER(TRIM(AM112))="PT",UPPER(TRIM(AM112))="PTE"),OR($P112="",N($P112)&gt;=PT_MinHours)),"PT","None"))))</f>
        <v/>
      </c>
      <c r="AQ112" s="13" t="str">
        <f aca="false">IF(AE112=0,"",IF(AND(AG112&gt;=3,AJ112&lt;=AsOfDate),AP112,IF(AND(AG112&gt;=2,AI112&lt;=AsOfDate),AO112,AN112)))</f>
        <v/>
      </c>
      <c r="AR112" s="13" t="str">
        <f aca="false">IF(AE112=0,"",IF(AsOfDate&lt;AF112,-1,12*(YEAR(AsOfDate)-YEAR(AF112))+MONTH(AsOfDate)-MONTH(AF112)-IF(DAY(AsOfDate)&lt;MIN(DAY(AF112),DAY(EOMONTH(AsOfDate,0))),1,0)))</f>
        <v/>
      </c>
      <c r="AS112" s="13" t="str">
        <f aca="false">IF(AE112=0,"",IF(OR(AG112&lt;2,AI112&gt;AsOfDate),AR112,IF((AI112-1)&lt;AF112,-1,12*(YEAR((AI112-1))-YEAR(AF112))+MONTH((AI112-1))-MONTH(AF112)-IF(DAY((AI112-1))&lt;MIN(DAY(AF112),DAY(EOMONTH((AI112-1),0))),1,0))))</f>
        <v/>
      </c>
      <c r="AT112" s="13" t="str">
        <f aca="false">IF(AE112=0,"",IF(OR(AG112&lt;3,AJ112&gt;AsOfDate),AR112,IF((AJ112-1)&lt;AF112,-1,12*(YEAR((AJ112-1))-YEAR(AF112))+MONTH((AJ112-1))-MONTH(AF112)-IF(DAY((AJ112-1))&lt;MIN(DAY(AF112),DAY(EOMONTH((AJ112-1),0))),1,0))))</f>
        <v/>
      </c>
      <c r="AU112" s="13" t="str">
        <f aca="false">IF(AE112=0,"",IF(PFYDate&lt;AF112,-1,12*(YEAR(PFYDate)-YEAR(AF112))+MONTH(PFYDate)-MONTH(AF112)-IF(DAY(PFYDate)&lt;MIN(DAY(AF112),DAY(EOMONTH(PFYDate,0))),1,0)))</f>
        <v/>
      </c>
      <c r="AV112" s="13" t="str">
        <f aca="false">IF(AE112=0,"",IF(OR(AG112&lt;2,AI112&gt;PFYDate),AU112,IF((AI112-1)&lt;AF112,-1,12*(YEAR((AI112-1))-YEAR(AF112))+MONTH((AI112-1))-MONTH(AF112)-IF(DAY((AI112-1))&lt;MIN(DAY(AF112),DAY(EOMONTH((AI112-1),0))),1,0))))</f>
        <v/>
      </c>
      <c r="AW112" s="13" t="str">
        <f aca="false">IF(AE112=0,"",IF(OR(AG112&lt;3,AJ112&gt;PFYDate),AU112,IF((AJ112-1)&lt;AF112,-1,12*(YEAR((AJ112-1))-YEAR(AF112))+MONTH((AJ112-1))-MONTH(AF112)-IF(DAY((AJ112-1))&lt;MIN(DAY(AF112),DAY(EOMONTH((AJ112-1),0))),1,0))))</f>
        <v/>
      </c>
      <c r="AX112" s="13"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3"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3" t="str">
        <f aca="false">IF(AE112=0,"",IF(AQ112="FT",IF(AR112&lt;FT_First,FT_First,IF(AR112&lt;FT_Y5,MIN(FT_Y5,FT_First+FT_Int1*(INT((AR112-FT_First)/FT_Int1)+1)),FT_Y5+12*INT((AR112-FT_Y5)/12)+FT_Int2*(INT(MOD(AR112-FT_Y5,12)/FT_Int2)+1))),IF(AQ112="PT",IF(AR112&lt;PT_First,PT_First,PT_First+PT_Int*(INT((AR112-PT_First)/PT_Int)+1)),"")))</f>
        <v/>
      </c>
      <c r="BA112" s="13" t="str">
        <f aca="false">IF(AE112=0,"",IF(NOT(LH_Ready),0,COUNTIFS(INDEX(LH_Data,0,LH_ColFirst),$A112,INDEX(LH_Data,0,LH_ColSur),$B112,INDEX(LH_Data,0,LH_ColCat),BonusCat)))</f>
        <v/>
      </c>
      <c r="BB112" s="13" t="str">
        <f aca="false">IF(AE112=0,"",IF(OR(NOT(LH_Ready),BA112=0),0,SUMPRODUCT(MAX((INDEX(LH_Data,0,LH_ColFirst)=$A112)*(INDEX(LH_Data,0,LH_ColSur)=$B112)*(INDEX(LH_Data,0,LH_ColCat)=BonusCat)*ROW(LH_Data)))))</f>
        <v/>
      </c>
      <c r="BC112" s="0" t="str">
        <f aca="false">IF(LEN($A112&amp;$B112)=0,"",$A112&amp;" "&amp;$B112)</f>
        <v/>
      </c>
    </row>
    <row r="113" customFormat="false" ht="15" hidden="false" customHeight="false" outlineLevel="0" collapsed="false">
      <c r="A113" s="9"/>
      <c r="B113" s="9"/>
      <c r="C113" s="9"/>
      <c r="D113" s="10"/>
      <c r="E113" s="11" t="str">
        <f aca="false">IF(OR(AE113=0,$D113=""),"",DATE(YEAR(AsOfDate)+IF(DATE(YEAR(AsOfDate),MONTH($D113),DAY($D113))&lt;=AsOfDate,1,0),MONTH($D113),DAY($D113)))</f>
        <v/>
      </c>
      <c r="F113" s="10"/>
      <c r="G113" s="10"/>
      <c r="H113" s="10"/>
      <c r="I113" s="10"/>
      <c r="J113" s="10"/>
      <c r="K113" s="11" t="str">
        <f aca="false">IF(AE113=0,"",DATE(YEAR(AsOfDate)+IF(DATE(YEAR(AsOfDate),MONTH(AF113),DAY(AF113))&lt;=AsOfDate,1,0),MONTH(AF113),DAY(AF113)))</f>
        <v/>
      </c>
      <c r="L113" s="12" t="str">
        <f aca="false">IF(AE113=0,"",ROUND((AsOfDate-AF113)/365.25,1))</f>
        <v/>
      </c>
      <c r="M113" s="13" t="str">
        <f aca="false">IF(AE113=0,"",IF(AsOfDate&lt;AF113,"-",DATEDIF(AF113,AsOfDate,"y")&amp;"y "&amp;DATEDIF(AF113,AsOfDate,"ym")&amp;"m "&amp;DATEDIF(AF113,AsOfDate,"md")&amp;"d"))</f>
        <v/>
      </c>
      <c r="N113" s="14" t="str">
        <f aca="false">IF(AE113=0,"",O113*HoursPerDay)</f>
        <v/>
      </c>
      <c r="O113" s="14" t="str">
        <f aca="false">IF(AE113=0,"",AX113)</f>
        <v/>
      </c>
      <c r="P113" s="15"/>
      <c r="Q113" s="13"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13"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1" t="str">
        <f aca="false">IF(AE113=0,"",IF(AQ113="None","",EDATE(AF113,AZ113)))</f>
        <v/>
      </c>
      <c r="T113" s="14" t="str">
        <f aca="false">IF(AE113=0,"",IF(NOT(LH_Ready),"",IF(AF113&gt;PFYDate,0,IF(LH_ColPeriod=0,W113-U113+V113,SUMIFS(INDEX(LH_Data,0,LH_ColAcc),INDEX(LH_Data,0,LH_ColFirst),$A113,INDEX(LH_Data,0,LH_ColSur),$B113,INDEX(LH_Data,0,LH_ColCat),BonusCat,INDEX(LH_Data,0,LH_ColPeriod),LH_OpenLabel)*UnitFactor))))</f>
        <v/>
      </c>
      <c r="U113" s="14" t="str">
        <f aca="false">IF(AE113=0,"",IF(NOT(LH_Ready),"",SUMIFS(INDEX(LH_Data,0,LH_ColAcc),INDEX(LH_Data,0,LH_ColFirst),$A113,INDEX(LH_Data,0,LH_ColSur),$B113,INDEX(LH_Data,0,LH_ColCat),BonusCat,INDEX(LH_Data,0,LH_ColStart),"&gt;="&amp;AF113)*UnitFactor))</f>
        <v/>
      </c>
      <c r="V113" s="14" t="str">
        <f aca="false">IF(AE113=0,"",IF(NOT(LH_Ready),"",SUMIFS(INDEX(LH_Data,0,LH_ColTaken),INDEX(LH_Data,0,LH_ColFirst),$A113,INDEX(LH_Data,0,LH_ColSur),$B113,INDEX(LH_Data,0,LH_ColCat),BonusCat,INDEX(LH_Data,0,LH_ColStart),"&gt;="&amp;AF113)*UnitFactor))</f>
        <v/>
      </c>
      <c r="W113" s="14" t="str">
        <f aca="false">IF(AE113=0,"",IF(NOT(LH_Ready),"",IF(BB113=0,0,INDEX(INDEX(LH_Data,0,LH_ColClose),BB113-1)*UnitFactor)))</f>
        <v/>
      </c>
      <c r="X113" s="14" t="str">
        <f aca="false">IF(AE113=0,"",(AX113-AY113)*HoursPerDay)</f>
        <v/>
      </c>
      <c r="Y113" s="14" t="str">
        <f aca="false">IF(AE113=0,"",IF(NOT(LH_Ready),"",IF(BA113=0,N113,IF(PFYDate&lt;$F113,N113-N(T113)-N(U113),X113-N(U113)))))</f>
        <v/>
      </c>
      <c r="Z113" s="13" t="str">
        <f aca="false">IF(OR(AE113=0,Y113=""),"",IF(Y113&gt;0,"Yes","No"))</f>
        <v/>
      </c>
      <c r="AA113" s="13"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 hrs more than policy since commencement",IF(N(W113)&gt;O113*HoursPerDay+0.01,"CHECK - EH balance "&amp;ROUND(W113-O113*HoursPerDay,2)&amp;" hrs more than policy entitlement",IF(O113&gt;0,"OK - nothing to add",IF(AQ113="None",R113,"Not yet - first day on "&amp;TEXT(S113,"dd/mm/yyyy")))))))))</f>
        <v/>
      </c>
      <c r="AB113" s="14" t="str">
        <f aca="false">IF(OR(AE113=0,T113=""),"",AY113*HoursPerDay-T113)</f>
        <v/>
      </c>
      <c r="AC113" s="13" t="str">
        <f aca="false">IF(AE113=0,"",BA113)</f>
        <v/>
      </c>
      <c r="AD113" s="13"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3" t="n">
        <f aca="false">IF(OR(LEN($A113&amp;$B113)=0,$F113=""),0,1)</f>
        <v>0</v>
      </c>
      <c r="AF113" s="11" t="str">
        <f aca="false">IF(AE113=0,"",IF($J113&lt;&gt;"",$J113,IF(OR(CasualCounts="Yes",COUNT($G113:$I113)=0,COUNT($G113:$H113)=0),$F113,MIN($G113:$H113))))</f>
        <v/>
      </c>
      <c r="AG113" s="13" t="str">
        <f aca="false">IF(AE113=0,"",COUNT($G113:$I113))</f>
        <v/>
      </c>
      <c r="AH113" s="11" t="str">
        <f aca="false">IF(AE113=0,"",IFERROR(SMALL($G113:$I113,1),""))</f>
        <v/>
      </c>
      <c r="AI113" s="11" t="str">
        <f aca="false">IF(AE113=0,"",IFERROR(SMALL($G113:$I113,2),""))</f>
        <v/>
      </c>
      <c r="AJ113" s="11" t="str">
        <f aca="false">IF(AE113=0,"",IFERROR(SMALL($G113:$I113,3),""))</f>
        <v/>
      </c>
      <c r="AK113" s="13" t="str">
        <f aca="false">IF(AE113=0,"",IF(AH113="","",IF(AH113=$G113,"Part-Time",IF(AH113=$H113,"Full-Time","Casual"))))</f>
        <v/>
      </c>
      <c r="AL113" s="13" t="str">
        <f aca="false">IF(AE113=0,"",IF(AI113="","",IF(AI113=$G113,"Part-Time",IF(AI113=$H113,"Full-Time","Casual"))))</f>
        <v/>
      </c>
      <c r="AM113" s="13" t="str">
        <f aca="false">IF(AE113=0,"",IF(AJ113="","",IF(AJ113=$G113,"Part-Time",IF(AJ113=$H113,"Full-Time","Casual"))))</f>
        <v/>
      </c>
      <c r="AN113" s="13"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3" t="str">
        <f aca="false">IF(AE113=0,"",IF(AG113&lt;2,"",IF(OR(ISNUMBER(SEARCH("full",AL113)),UPPER(TRIM(AL113))="FT",UPPER(TRIM(AL113))="FTE"),"FT",IF(AND(OR(ISNUMBER(SEARCH("part",AL113)),UPPER(TRIM(AL113))="PT",UPPER(TRIM(AL113))="PTE"),OR($P113="",N($P113)&gt;=PT_MinHours)),"PT","None"))))</f>
        <v/>
      </c>
      <c r="AP113" s="13" t="str">
        <f aca="false">IF(AE113=0,"",IF(AG113&lt;3,"",IF(OR(ISNUMBER(SEARCH("full",AM113)),UPPER(TRIM(AM113))="FT",UPPER(TRIM(AM113))="FTE"),"FT",IF(AND(OR(ISNUMBER(SEARCH("part",AM113)),UPPER(TRIM(AM113))="PT",UPPER(TRIM(AM113))="PTE"),OR($P113="",N($P113)&gt;=PT_MinHours)),"PT","None"))))</f>
        <v/>
      </c>
      <c r="AQ113" s="13" t="str">
        <f aca="false">IF(AE113=0,"",IF(AND(AG113&gt;=3,AJ113&lt;=AsOfDate),AP113,IF(AND(AG113&gt;=2,AI113&lt;=AsOfDate),AO113,AN113)))</f>
        <v/>
      </c>
      <c r="AR113" s="13" t="str">
        <f aca="false">IF(AE113=0,"",IF(AsOfDate&lt;AF113,-1,12*(YEAR(AsOfDate)-YEAR(AF113))+MONTH(AsOfDate)-MONTH(AF113)-IF(DAY(AsOfDate)&lt;MIN(DAY(AF113),DAY(EOMONTH(AsOfDate,0))),1,0)))</f>
        <v/>
      </c>
      <c r="AS113" s="13" t="str">
        <f aca="false">IF(AE113=0,"",IF(OR(AG113&lt;2,AI113&gt;AsOfDate),AR113,IF((AI113-1)&lt;AF113,-1,12*(YEAR((AI113-1))-YEAR(AF113))+MONTH((AI113-1))-MONTH(AF113)-IF(DAY((AI113-1))&lt;MIN(DAY(AF113),DAY(EOMONTH((AI113-1),0))),1,0))))</f>
        <v/>
      </c>
      <c r="AT113" s="13" t="str">
        <f aca="false">IF(AE113=0,"",IF(OR(AG113&lt;3,AJ113&gt;AsOfDate),AR113,IF((AJ113-1)&lt;AF113,-1,12*(YEAR((AJ113-1))-YEAR(AF113))+MONTH((AJ113-1))-MONTH(AF113)-IF(DAY((AJ113-1))&lt;MIN(DAY(AF113),DAY(EOMONTH((AJ113-1),0))),1,0))))</f>
        <v/>
      </c>
      <c r="AU113" s="13" t="str">
        <f aca="false">IF(AE113=0,"",IF(PFYDate&lt;AF113,-1,12*(YEAR(PFYDate)-YEAR(AF113))+MONTH(PFYDate)-MONTH(AF113)-IF(DAY(PFYDate)&lt;MIN(DAY(AF113),DAY(EOMONTH(PFYDate,0))),1,0)))</f>
        <v/>
      </c>
      <c r="AV113" s="13" t="str">
        <f aca="false">IF(AE113=0,"",IF(OR(AG113&lt;2,AI113&gt;PFYDate),AU113,IF((AI113-1)&lt;AF113,-1,12*(YEAR((AI113-1))-YEAR(AF113))+MONTH((AI113-1))-MONTH(AF113)-IF(DAY((AI113-1))&lt;MIN(DAY(AF113),DAY(EOMONTH((AI113-1),0))),1,0))))</f>
        <v/>
      </c>
      <c r="AW113" s="13" t="str">
        <f aca="false">IF(AE113=0,"",IF(OR(AG113&lt;3,AJ113&gt;PFYDate),AU113,IF((AJ113-1)&lt;AF113,-1,12*(YEAR((AJ113-1))-YEAR(AF113))+MONTH((AJ113-1))-MONTH(AF113)-IF(DAY((AJ113-1))&lt;MIN(DAY(AF113),DAY(EOMONTH((AJ113-1),0))),1,0))))</f>
        <v/>
      </c>
      <c r="AX113" s="13"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3"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3" t="str">
        <f aca="false">IF(AE113=0,"",IF(AQ113="FT",IF(AR113&lt;FT_First,FT_First,IF(AR113&lt;FT_Y5,MIN(FT_Y5,FT_First+FT_Int1*(INT((AR113-FT_First)/FT_Int1)+1)),FT_Y5+12*INT((AR113-FT_Y5)/12)+FT_Int2*(INT(MOD(AR113-FT_Y5,12)/FT_Int2)+1))),IF(AQ113="PT",IF(AR113&lt;PT_First,PT_First,PT_First+PT_Int*(INT((AR113-PT_First)/PT_Int)+1)),"")))</f>
        <v/>
      </c>
      <c r="BA113" s="13" t="str">
        <f aca="false">IF(AE113=0,"",IF(NOT(LH_Ready),0,COUNTIFS(INDEX(LH_Data,0,LH_ColFirst),$A113,INDEX(LH_Data,0,LH_ColSur),$B113,INDEX(LH_Data,0,LH_ColCat),BonusCat)))</f>
        <v/>
      </c>
      <c r="BB113" s="13" t="str">
        <f aca="false">IF(AE113=0,"",IF(OR(NOT(LH_Ready),BA113=0),0,SUMPRODUCT(MAX((INDEX(LH_Data,0,LH_ColFirst)=$A113)*(INDEX(LH_Data,0,LH_ColSur)=$B113)*(INDEX(LH_Data,0,LH_ColCat)=BonusCat)*ROW(LH_Data)))))</f>
        <v/>
      </c>
      <c r="BC113" s="0" t="str">
        <f aca="false">IF(LEN($A113&amp;$B113)=0,"",$A113&amp;" "&amp;$B113)</f>
        <v/>
      </c>
    </row>
    <row r="114" customFormat="false" ht="15" hidden="false" customHeight="false" outlineLevel="0" collapsed="false">
      <c r="A114" s="9"/>
      <c r="B114" s="9"/>
      <c r="C114" s="9"/>
      <c r="D114" s="10"/>
      <c r="E114" s="11" t="str">
        <f aca="false">IF(OR(AE114=0,$D114=""),"",DATE(YEAR(AsOfDate)+IF(DATE(YEAR(AsOfDate),MONTH($D114),DAY($D114))&lt;=AsOfDate,1,0),MONTH($D114),DAY($D114)))</f>
        <v/>
      </c>
      <c r="F114" s="10"/>
      <c r="G114" s="10"/>
      <c r="H114" s="10"/>
      <c r="I114" s="10"/>
      <c r="J114" s="10"/>
      <c r="K114" s="11" t="str">
        <f aca="false">IF(AE114=0,"",DATE(YEAR(AsOfDate)+IF(DATE(YEAR(AsOfDate),MONTH(AF114),DAY(AF114))&lt;=AsOfDate,1,0),MONTH(AF114),DAY(AF114)))</f>
        <v/>
      </c>
      <c r="L114" s="12" t="str">
        <f aca="false">IF(AE114=0,"",ROUND((AsOfDate-AF114)/365.25,1))</f>
        <v/>
      </c>
      <c r="M114" s="13" t="str">
        <f aca="false">IF(AE114=0,"",IF(AsOfDate&lt;AF114,"-",DATEDIF(AF114,AsOfDate,"y")&amp;"y "&amp;DATEDIF(AF114,AsOfDate,"ym")&amp;"m "&amp;DATEDIF(AF114,AsOfDate,"md")&amp;"d"))</f>
        <v/>
      </c>
      <c r="N114" s="14" t="str">
        <f aca="false">IF(AE114=0,"",O114*HoursPerDay)</f>
        <v/>
      </c>
      <c r="O114" s="14" t="str">
        <f aca="false">IF(AE114=0,"",AX114)</f>
        <v/>
      </c>
      <c r="P114" s="15"/>
      <c r="Q114" s="13"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13"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1" t="str">
        <f aca="false">IF(AE114=0,"",IF(AQ114="None","",EDATE(AF114,AZ114)))</f>
        <v/>
      </c>
      <c r="T114" s="14" t="str">
        <f aca="false">IF(AE114=0,"",IF(NOT(LH_Ready),"",IF(AF114&gt;PFYDate,0,IF(LH_ColPeriod=0,W114-U114+V114,SUMIFS(INDEX(LH_Data,0,LH_ColAcc),INDEX(LH_Data,0,LH_ColFirst),$A114,INDEX(LH_Data,0,LH_ColSur),$B114,INDEX(LH_Data,0,LH_ColCat),BonusCat,INDEX(LH_Data,0,LH_ColPeriod),LH_OpenLabel)*UnitFactor))))</f>
        <v/>
      </c>
      <c r="U114" s="14" t="str">
        <f aca="false">IF(AE114=0,"",IF(NOT(LH_Ready),"",SUMIFS(INDEX(LH_Data,0,LH_ColAcc),INDEX(LH_Data,0,LH_ColFirst),$A114,INDEX(LH_Data,0,LH_ColSur),$B114,INDEX(LH_Data,0,LH_ColCat),BonusCat,INDEX(LH_Data,0,LH_ColStart),"&gt;="&amp;AF114)*UnitFactor))</f>
        <v/>
      </c>
      <c r="V114" s="14" t="str">
        <f aca="false">IF(AE114=0,"",IF(NOT(LH_Ready),"",SUMIFS(INDEX(LH_Data,0,LH_ColTaken),INDEX(LH_Data,0,LH_ColFirst),$A114,INDEX(LH_Data,0,LH_ColSur),$B114,INDEX(LH_Data,0,LH_ColCat),BonusCat,INDEX(LH_Data,0,LH_ColStart),"&gt;="&amp;AF114)*UnitFactor))</f>
        <v/>
      </c>
      <c r="W114" s="14" t="str">
        <f aca="false">IF(AE114=0,"",IF(NOT(LH_Ready),"",IF(BB114=0,0,INDEX(INDEX(LH_Data,0,LH_ColClose),BB114-1)*UnitFactor)))</f>
        <v/>
      </c>
      <c r="X114" s="14" t="str">
        <f aca="false">IF(AE114=0,"",(AX114-AY114)*HoursPerDay)</f>
        <v/>
      </c>
      <c r="Y114" s="14" t="str">
        <f aca="false">IF(AE114=0,"",IF(NOT(LH_Ready),"",IF(BA114=0,N114,IF(PFYDate&lt;$F114,N114-N(T114)-N(U114),X114-N(U114)))))</f>
        <v/>
      </c>
      <c r="Z114" s="13" t="str">
        <f aca="false">IF(OR(AE114=0,Y114=""),"",IF(Y114&gt;0,"Yes","No"))</f>
        <v/>
      </c>
      <c r="AA114" s="13"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 hrs more than policy since commencement",IF(N(W114)&gt;O114*HoursPerDay+0.01,"CHECK - EH balance "&amp;ROUND(W114-O114*HoursPerDay,2)&amp;" hrs more than policy entitlement",IF(O114&gt;0,"OK - nothing to add",IF(AQ114="None",R114,"Not yet - first day on "&amp;TEXT(S114,"dd/mm/yyyy")))))))))</f>
        <v/>
      </c>
      <c r="AB114" s="14" t="str">
        <f aca="false">IF(OR(AE114=0,T114=""),"",AY114*HoursPerDay-T114)</f>
        <v/>
      </c>
      <c r="AC114" s="13" t="str">
        <f aca="false">IF(AE114=0,"",BA114)</f>
        <v/>
      </c>
      <c r="AD114" s="13"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3" t="n">
        <f aca="false">IF(OR(LEN($A114&amp;$B114)=0,$F114=""),0,1)</f>
        <v>0</v>
      </c>
      <c r="AF114" s="11" t="str">
        <f aca="false">IF(AE114=0,"",IF($J114&lt;&gt;"",$J114,IF(OR(CasualCounts="Yes",COUNT($G114:$I114)=0,COUNT($G114:$H114)=0),$F114,MIN($G114:$H114))))</f>
        <v/>
      </c>
      <c r="AG114" s="13" t="str">
        <f aca="false">IF(AE114=0,"",COUNT($G114:$I114))</f>
        <v/>
      </c>
      <c r="AH114" s="11" t="str">
        <f aca="false">IF(AE114=0,"",IFERROR(SMALL($G114:$I114,1),""))</f>
        <v/>
      </c>
      <c r="AI114" s="11" t="str">
        <f aca="false">IF(AE114=0,"",IFERROR(SMALL($G114:$I114,2),""))</f>
        <v/>
      </c>
      <c r="AJ114" s="11" t="str">
        <f aca="false">IF(AE114=0,"",IFERROR(SMALL($G114:$I114,3),""))</f>
        <v/>
      </c>
      <c r="AK114" s="13" t="str">
        <f aca="false">IF(AE114=0,"",IF(AH114="","",IF(AH114=$G114,"Part-Time",IF(AH114=$H114,"Full-Time","Casual"))))</f>
        <v/>
      </c>
      <c r="AL114" s="13" t="str">
        <f aca="false">IF(AE114=0,"",IF(AI114="","",IF(AI114=$G114,"Part-Time",IF(AI114=$H114,"Full-Time","Casual"))))</f>
        <v/>
      </c>
      <c r="AM114" s="13" t="str">
        <f aca="false">IF(AE114=0,"",IF(AJ114="","",IF(AJ114=$G114,"Part-Time",IF(AJ114=$H114,"Full-Time","Casual"))))</f>
        <v/>
      </c>
      <c r="AN114" s="13"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3" t="str">
        <f aca="false">IF(AE114=0,"",IF(AG114&lt;2,"",IF(OR(ISNUMBER(SEARCH("full",AL114)),UPPER(TRIM(AL114))="FT",UPPER(TRIM(AL114))="FTE"),"FT",IF(AND(OR(ISNUMBER(SEARCH("part",AL114)),UPPER(TRIM(AL114))="PT",UPPER(TRIM(AL114))="PTE"),OR($P114="",N($P114)&gt;=PT_MinHours)),"PT","None"))))</f>
        <v/>
      </c>
      <c r="AP114" s="13" t="str">
        <f aca="false">IF(AE114=0,"",IF(AG114&lt;3,"",IF(OR(ISNUMBER(SEARCH("full",AM114)),UPPER(TRIM(AM114))="FT",UPPER(TRIM(AM114))="FTE"),"FT",IF(AND(OR(ISNUMBER(SEARCH("part",AM114)),UPPER(TRIM(AM114))="PT",UPPER(TRIM(AM114))="PTE"),OR($P114="",N($P114)&gt;=PT_MinHours)),"PT","None"))))</f>
        <v/>
      </c>
      <c r="AQ114" s="13" t="str">
        <f aca="false">IF(AE114=0,"",IF(AND(AG114&gt;=3,AJ114&lt;=AsOfDate),AP114,IF(AND(AG114&gt;=2,AI114&lt;=AsOfDate),AO114,AN114)))</f>
        <v/>
      </c>
      <c r="AR114" s="13" t="str">
        <f aca="false">IF(AE114=0,"",IF(AsOfDate&lt;AF114,-1,12*(YEAR(AsOfDate)-YEAR(AF114))+MONTH(AsOfDate)-MONTH(AF114)-IF(DAY(AsOfDate)&lt;MIN(DAY(AF114),DAY(EOMONTH(AsOfDate,0))),1,0)))</f>
        <v/>
      </c>
      <c r="AS114" s="13" t="str">
        <f aca="false">IF(AE114=0,"",IF(OR(AG114&lt;2,AI114&gt;AsOfDate),AR114,IF((AI114-1)&lt;AF114,-1,12*(YEAR((AI114-1))-YEAR(AF114))+MONTH((AI114-1))-MONTH(AF114)-IF(DAY((AI114-1))&lt;MIN(DAY(AF114),DAY(EOMONTH((AI114-1),0))),1,0))))</f>
        <v/>
      </c>
      <c r="AT114" s="13" t="str">
        <f aca="false">IF(AE114=0,"",IF(OR(AG114&lt;3,AJ114&gt;AsOfDate),AR114,IF((AJ114-1)&lt;AF114,-1,12*(YEAR((AJ114-1))-YEAR(AF114))+MONTH((AJ114-1))-MONTH(AF114)-IF(DAY((AJ114-1))&lt;MIN(DAY(AF114),DAY(EOMONTH((AJ114-1),0))),1,0))))</f>
        <v/>
      </c>
      <c r="AU114" s="13" t="str">
        <f aca="false">IF(AE114=0,"",IF(PFYDate&lt;AF114,-1,12*(YEAR(PFYDate)-YEAR(AF114))+MONTH(PFYDate)-MONTH(AF114)-IF(DAY(PFYDate)&lt;MIN(DAY(AF114),DAY(EOMONTH(PFYDate,0))),1,0)))</f>
        <v/>
      </c>
      <c r="AV114" s="13" t="str">
        <f aca="false">IF(AE114=0,"",IF(OR(AG114&lt;2,AI114&gt;PFYDate),AU114,IF((AI114-1)&lt;AF114,-1,12*(YEAR((AI114-1))-YEAR(AF114))+MONTH((AI114-1))-MONTH(AF114)-IF(DAY((AI114-1))&lt;MIN(DAY(AF114),DAY(EOMONTH((AI114-1),0))),1,0))))</f>
        <v/>
      </c>
      <c r="AW114" s="13" t="str">
        <f aca="false">IF(AE114=0,"",IF(OR(AG114&lt;3,AJ114&gt;PFYDate),AU114,IF((AJ114-1)&lt;AF114,-1,12*(YEAR((AJ114-1))-YEAR(AF114))+MONTH((AJ114-1))-MONTH(AF114)-IF(DAY((AJ114-1))&lt;MIN(DAY(AF114),DAY(EOMONTH((AJ114-1),0))),1,0))))</f>
        <v/>
      </c>
      <c r="AX114" s="13"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3"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3" t="str">
        <f aca="false">IF(AE114=0,"",IF(AQ114="FT",IF(AR114&lt;FT_First,FT_First,IF(AR114&lt;FT_Y5,MIN(FT_Y5,FT_First+FT_Int1*(INT((AR114-FT_First)/FT_Int1)+1)),FT_Y5+12*INT((AR114-FT_Y5)/12)+FT_Int2*(INT(MOD(AR114-FT_Y5,12)/FT_Int2)+1))),IF(AQ114="PT",IF(AR114&lt;PT_First,PT_First,PT_First+PT_Int*(INT((AR114-PT_First)/PT_Int)+1)),"")))</f>
        <v/>
      </c>
      <c r="BA114" s="13" t="str">
        <f aca="false">IF(AE114=0,"",IF(NOT(LH_Ready),0,COUNTIFS(INDEX(LH_Data,0,LH_ColFirst),$A114,INDEX(LH_Data,0,LH_ColSur),$B114,INDEX(LH_Data,0,LH_ColCat),BonusCat)))</f>
        <v/>
      </c>
      <c r="BB114" s="13" t="str">
        <f aca="false">IF(AE114=0,"",IF(OR(NOT(LH_Ready),BA114=0),0,SUMPRODUCT(MAX((INDEX(LH_Data,0,LH_ColFirst)=$A114)*(INDEX(LH_Data,0,LH_ColSur)=$B114)*(INDEX(LH_Data,0,LH_ColCat)=BonusCat)*ROW(LH_Data)))))</f>
        <v/>
      </c>
      <c r="BC114" s="0" t="str">
        <f aca="false">IF(LEN($A114&amp;$B114)=0,"",$A114&amp;" "&amp;$B114)</f>
        <v/>
      </c>
    </row>
    <row r="115" customFormat="false" ht="15" hidden="false" customHeight="false" outlineLevel="0" collapsed="false">
      <c r="A115" s="9"/>
      <c r="B115" s="9"/>
      <c r="C115" s="9"/>
      <c r="D115" s="10"/>
      <c r="E115" s="11" t="str">
        <f aca="false">IF(OR(AE115=0,$D115=""),"",DATE(YEAR(AsOfDate)+IF(DATE(YEAR(AsOfDate),MONTH($D115),DAY($D115))&lt;=AsOfDate,1,0),MONTH($D115),DAY($D115)))</f>
        <v/>
      </c>
      <c r="F115" s="10"/>
      <c r="G115" s="10"/>
      <c r="H115" s="10"/>
      <c r="I115" s="10"/>
      <c r="J115" s="10"/>
      <c r="K115" s="11" t="str">
        <f aca="false">IF(AE115=0,"",DATE(YEAR(AsOfDate)+IF(DATE(YEAR(AsOfDate),MONTH(AF115),DAY(AF115))&lt;=AsOfDate,1,0),MONTH(AF115),DAY(AF115)))</f>
        <v/>
      </c>
      <c r="L115" s="12" t="str">
        <f aca="false">IF(AE115=0,"",ROUND((AsOfDate-AF115)/365.25,1))</f>
        <v/>
      </c>
      <c r="M115" s="13" t="str">
        <f aca="false">IF(AE115=0,"",IF(AsOfDate&lt;AF115,"-",DATEDIF(AF115,AsOfDate,"y")&amp;"y "&amp;DATEDIF(AF115,AsOfDate,"ym")&amp;"m "&amp;DATEDIF(AF115,AsOfDate,"md")&amp;"d"))</f>
        <v/>
      </c>
      <c r="N115" s="14" t="str">
        <f aca="false">IF(AE115=0,"",O115*HoursPerDay)</f>
        <v/>
      </c>
      <c r="O115" s="14" t="str">
        <f aca="false">IF(AE115=0,"",AX115)</f>
        <v/>
      </c>
      <c r="P115" s="15"/>
      <c r="Q115" s="13"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13"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1" t="str">
        <f aca="false">IF(AE115=0,"",IF(AQ115="None","",EDATE(AF115,AZ115)))</f>
        <v/>
      </c>
      <c r="T115" s="14" t="str">
        <f aca="false">IF(AE115=0,"",IF(NOT(LH_Ready),"",IF(AF115&gt;PFYDate,0,IF(LH_ColPeriod=0,W115-U115+V115,SUMIFS(INDEX(LH_Data,0,LH_ColAcc),INDEX(LH_Data,0,LH_ColFirst),$A115,INDEX(LH_Data,0,LH_ColSur),$B115,INDEX(LH_Data,0,LH_ColCat),BonusCat,INDEX(LH_Data,0,LH_ColPeriod),LH_OpenLabel)*UnitFactor))))</f>
        <v/>
      </c>
      <c r="U115" s="14" t="str">
        <f aca="false">IF(AE115=0,"",IF(NOT(LH_Ready),"",SUMIFS(INDEX(LH_Data,0,LH_ColAcc),INDEX(LH_Data,0,LH_ColFirst),$A115,INDEX(LH_Data,0,LH_ColSur),$B115,INDEX(LH_Data,0,LH_ColCat),BonusCat,INDEX(LH_Data,0,LH_ColStart),"&gt;="&amp;AF115)*UnitFactor))</f>
        <v/>
      </c>
      <c r="V115" s="14" t="str">
        <f aca="false">IF(AE115=0,"",IF(NOT(LH_Ready),"",SUMIFS(INDEX(LH_Data,0,LH_ColTaken),INDEX(LH_Data,0,LH_ColFirst),$A115,INDEX(LH_Data,0,LH_ColSur),$B115,INDEX(LH_Data,0,LH_ColCat),BonusCat,INDEX(LH_Data,0,LH_ColStart),"&gt;="&amp;AF115)*UnitFactor))</f>
        <v/>
      </c>
      <c r="W115" s="14" t="str">
        <f aca="false">IF(AE115=0,"",IF(NOT(LH_Ready),"",IF(BB115=0,0,INDEX(INDEX(LH_Data,0,LH_ColClose),BB115-1)*UnitFactor)))</f>
        <v/>
      </c>
      <c r="X115" s="14" t="str">
        <f aca="false">IF(AE115=0,"",(AX115-AY115)*HoursPerDay)</f>
        <v/>
      </c>
      <c r="Y115" s="14" t="str">
        <f aca="false">IF(AE115=0,"",IF(NOT(LH_Ready),"",IF(BA115=0,N115,IF(PFYDate&lt;$F115,N115-N(T115)-N(U115),X115-N(U115)))))</f>
        <v/>
      </c>
      <c r="Z115" s="13" t="str">
        <f aca="false">IF(OR(AE115=0,Y115=""),"",IF(Y115&gt;0,"Yes","No"))</f>
        <v/>
      </c>
      <c r="AA115" s="13"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 hrs more than policy since commencement",IF(N(W115)&gt;O115*HoursPerDay+0.01,"CHECK - EH balance "&amp;ROUND(W115-O115*HoursPerDay,2)&amp;" hrs more than policy entitlement",IF(O115&gt;0,"OK - nothing to add",IF(AQ115="None",R115,"Not yet - first day on "&amp;TEXT(S115,"dd/mm/yyyy")))))))))</f>
        <v/>
      </c>
      <c r="AB115" s="14" t="str">
        <f aca="false">IF(OR(AE115=0,T115=""),"",AY115*HoursPerDay-T115)</f>
        <v/>
      </c>
      <c r="AC115" s="13" t="str">
        <f aca="false">IF(AE115=0,"",BA115)</f>
        <v/>
      </c>
      <c r="AD115" s="13"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3" t="n">
        <f aca="false">IF(OR(LEN($A115&amp;$B115)=0,$F115=""),0,1)</f>
        <v>0</v>
      </c>
      <c r="AF115" s="11" t="str">
        <f aca="false">IF(AE115=0,"",IF($J115&lt;&gt;"",$J115,IF(OR(CasualCounts="Yes",COUNT($G115:$I115)=0,COUNT($G115:$H115)=0),$F115,MIN($G115:$H115))))</f>
        <v/>
      </c>
      <c r="AG115" s="13" t="str">
        <f aca="false">IF(AE115=0,"",COUNT($G115:$I115))</f>
        <v/>
      </c>
      <c r="AH115" s="11" t="str">
        <f aca="false">IF(AE115=0,"",IFERROR(SMALL($G115:$I115,1),""))</f>
        <v/>
      </c>
      <c r="AI115" s="11" t="str">
        <f aca="false">IF(AE115=0,"",IFERROR(SMALL($G115:$I115,2),""))</f>
        <v/>
      </c>
      <c r="AJ115" s="11" t="str">
        <f aca="false">IF(AE115=0,"",IFERROR(SMALL($G115:$I115,3),""))</f>
        <v/>
      </c>
      <c r="AK115" s="13" t="str">
        <f aca="false">IF(AE115=0,"",IF(AH115="","",IF(AH115=$G115,"Part-Time",IF(AH115=$H115,"Full-Time","Casual"))))</f>
        <v/>
      </c>
      <c r="AL115" s="13" t="str">
        <f aca="false">IF(AE115=0,"",IF(AI115="","",IF(AI115=$G115,"Part-Time",IF(AI115=$H115,"Full-Time","Casual"))))</f>
        <v/>
      </c>
      <c r="AM115" s="13" t="str">
        <f aca="false">IF(AE115=0,"",IF(AJ115="","",IF(AJ115=$G115,"Part-Time",IF(AJ115=$H115,"Full-Time","Casual"))))</f>
        <v/>
      </c>
      <c r="AN115" s="13"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3" t="str">
        <f aca="false">IF(AE115=0,"",IF(AG115&lt;2,"",IF(OR(ISNUMBER(SEARCH("full",AL115)),UPPER(TRIM(AL115))="FT",UPPER(TRIM(AL115))="FTE"),"FT",IF(AND(OR(ISNUMBER(SEARCH("part",AL115)),UPPER(TRIM(AL115))="PT",UPPER(TRIM(AL115))="PTE"),OR($P115="",N($P115)&gt;=PT_MinHours)),"PT","None"))))</f>
        <v/>
      </c>
      <c r="AP115" s="13" t="str">
        <f aca="false">IF(AE115=0,"",IF(AG115&lt;3,"",IF(OR(ISNUMBER(SEARCH("full",AM115)),UPPER(TRIM(AM115))="FT",UPPER(TRIM(AM115))="FTE"),"FT",IF(AND(OR(ISNUMBER(SEARCH("part",AM115)),UPPER(TRIM(AM115))="PT",UPPER(TRIM(AM115))="PTE"),OR($P115="",N($P115)&gt;=PT_MinHours)),"PT","None"))))</f>
        <v/>
      </c>
      <c r="AQ115" s="13" t="str">
        <f aca="false">IF(AE115=0,"",IF(AND(AG115&gt;=3,AJ115&lt;=AsOfDate),AP115,IF(AND(AG115&gt;=2,AI115&lt;=AsOfDate),AO115,AN115)))</f>
        <v/>
      </c>
      <c r="AR115" s="13" t="str">
        <f aca="false">IF(AE115=0,"",IF(AsOfDate&lt;AF115,-1,12*(YEAR(AsOfDate)-YEAR(AF115))+MONTH(AsOfDate)-MONTH(AF115)-IF(DAY(AsOfDate)&lt;MIN(DAY(AF115),DAY(EOMONTH(AsOfDate,0))),1,0)))</f>
        <v/>
      </c>
      <c r="AS115" s="13" t="str">
        <f aca="false">IF(AE115=0,"",IF(OR(AG115&lt;2,AI115&gt;AsOfDate),AR115,IF((AI115-1)&lt;AF115,-1,12*(YEAR((AI115-1))-YEAR(AF115))+MONTH((AI115-1))-MONTH(AF115)-IF(DAY((AI115-1))&lt;MIN(DAY(AF115),DAY(EOMONTH((AI115-1),0))),1,0))))</f>
        <v/>
      </c>
      <c r="AT115" s="13" t="str">
        <f aca="false">IF(AE115=0,"",IF(OR(AG115&lt;3,AJ115&gt;AsOfDate),AR115,IF((AJ115-1)&lt;AF115,-1,12*(YEAR((AJ115-1))-YEAR(AF115))+MONTH((AJ115-1))-MONTH(AF115)-IF(DAY((AJ115-1))&lt;MIN(DAY(AF115),DAY(EOMONTH((AJ115-1),0))),1,0))))</f>
        <v/>
      </c>
      <c r="AU115" s="13" t="str">
        <f aca="false">IF(AE115=0,"",IF(PFYDate&lt;AF115,-1,12*(YEAR(PFYDate)-YEAR(AF115))+MONTH(PFYDate)-MONTH(AF115)-IF(DAY(PFYDate)&lt;MIN(DAY(AF115),DAY(EOMONTH(PFYDate,0))),1,0)))</f>
        <v/>
      </c>
      <c r="AV115" s="13" t="str">
        <f aca="false">IF(AE115=0,"",IF(OR(AG115&lt;2,AI115&gt;PFYDate),AU115,IF((AI115-1)&lt;AF115,-1,12*(YEAR((AI115-1))-YEAR(AF115))+MONTH((AI115-1))-MONTH(AF115)-IF(DAY((AI115-1))&lt;MIN(DAY(AF115),DAY(EOMONTH((AI115-1),0))),1,0))))</f>
        <v/>
      </c>
      <c r="AW115" s="13" t="str">
        <f aca="false">IF(AE115=0,"",IF(OR(AG115&lt;3,AJ115&gt;PFYDate),AU115,IF((AJ115-1)&lt;AF115,-1,12*(YEAR((AJ115-1))-YEAR(AF115))+MONTH((AJ115-1))-MONTH(AF115)-IF(DAY((AJ115-1))&lt;MIN(DAY(AF115),DAY(EOMONTH((AJ115-1),0))),1,0))))</f>
        <v/>
      </c>
      <c r="AX115" s="13"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3"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3" t="str">
        <f aca="false">IF(AE115=0,"",IF(AQ115="FT",IF(AR115&lt;FT_First,FT_First,IF(AR115&lt;FT_Y5,MIN(FT_Y5,FT_First+FT_Int1*(INT((AR115-FT_First)/FT_Int1)+1)),FT_Y5+12*INT((AR115-FT_Y5)/12)+FT_Int2*(INT(MOD(AR115-FT_Y5,12)/FT_Int2)+1))),IF(AQ115="PT",IF(AR115&lt;PT_First,PT_First,PT_First+PT_Int*(INT((AR115-PT_First)/PT_Int)+1)),"")))</f>
        <v/>
      </c>
      <c r="BA115" s="13" t="str">
        <f aca="false">IF(AE115=0,"",IF(NOT(LH_Ready),0,COUNTIFS(INDEX(LH_Data,0,LH_ColFirst),$A115,INDEX(LH_Data,0,LH_ColSur),$B115,INDEX(LH_Data,0,LH_ColCat),BonusCat)))</f>
        <v/>
      </c>
      <c r="BB115" s="13" t="str">
        <f aca="false">IF(AE115=0,"",IF(OR(NOT(LH_Ready),BA115=0),0,SUMPRODUCT(MAX((INDEX(LH_Data,0,LH_ColFirst)=$A115)*(INDEX(LH_Data,0,LH_ColSur)=$B115)*(INDEX(LH_Data,0,LH_ColCat)=BonusCat)*ROW(LH_Data)))))</f>
        <v/>
      </c>
      <c r="BC115" s="0" t="str">
        <f aca="false">IF(LEN($A115&amp;$B115)=0,"",$A115&amp;" "&amp;$B115)</f>
        <v/>
      </c>
    </row>
    <row r="116" customFormat="false" ht="15" hidden="false" customHeight="false" outlineLevel="0" collapsed="false">
      <c r="A116" s="9"/>
      <c r="B116" s="9"/>
      <c r="C116" s="9"/>
      <c r="D116" s="10"/>
      <c r="E116" s="11" t="str">
        <f aca="false">IF(OR(AE116=0,$D116=""),"",DATE(YEAR(AsOfDate)+IF(DATE(YEAR(AsOfDate),MONTH($D116),DAY($D116))&lt;=AsOfDate,1,0),MONTH($D116),DAY($D116)))</f>
        <v/>
      </c>
      <c r="F116" s="10"/>
      <c r="G116" s="10"/>
      <c r="H116" s="10"/>
      <c r="I116" s="10"/>
      <c r="J116" s="10"/>
      <c r="K116" s="11" t="str">
        <f aca="false">IF(AE116=0,"",DATE(YEAR(AsOfDate)+IF(DATE(YEAR(AsOfDate),MONTH(AF116),DAY(AF116))&lt;=AsOfDate,1,0),MONTH(AF116),DAY(AF116)))</f>
        <v/>
      </c>
      <c r="L116" s="12" t="str">
        <f aca="false">IF(AE116=0,"",ROUND((AsOfDate-AF116)/365.25,1))</f>
        <v/>
      </c>
      <c r="M116" s="13" t="str">
        <f aca="false">IF(AE116=0,"",IF(AsOfDate&lt;AF116,"-",DATEDIF(AF116,AsOfDate,"y")&amp;"y "&amp;DATEDIF(AF116,AsOfDate,"ym")&amp;"m "&amp;DATEDIF(AF116,AsOfDate,"md")&amp;"d"))</f>
        <v/>
      </c>
      <c r="N116" s="14" t="str">
        <f aca="false">IF(AE116=0,"",O116*HoursPerDay)</f>
        <v/>
      </c>
      <c r="O116" s="14" t="str">
        <f aca="false">IF(AE116=0,"",AX116)</f>
        <v/>
      </c>
      <c r="P116" s="15"/>
      <c r="Q116" s="13"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13"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1" t="str">
        <f aca="false">IF(AE116=0,"",IF(AQ116="None","",EDATE(AF116,AZ116)))</f>
        <v/>
      </c>
      <c r="T116" s="14" t="str">
        <f aca="false">IF(AE116=0,"",IF(NOT(LH_Ready),"",IF(AF116&gt;PFYDate,0,IF(LH_ColPeriod=0,W116-U116+V116,SUMIFS(INDEX(LH_Data,0,LH_ColAcc),INDEX(LH_Data,0,LH_ColFirst),$A116,INDEX(LH_Data,0,LH_ColSur),$B116,INDEX(LH_Data,0,LH_ColCat),BonusCat,INDEX(LH_Data,0,LH_ColPeriod),LH_OpenLabel)*UnitFactor))))</f>
        <v/>
      </c>
      <c r="U116" s="14" t="str">
        <f aca="false">IF(AE116=0,"",IF(NOT(LH_Ready),"",SUMIFS(INDEX(LH_Data,0,LH_ColAcc),INDEX(LH_Data,0,LH_ColFirst),$A116,INDEX(LH_Data,0,LH_ColSur),$B116,INDEX(LH_Data,0,LH_ColCat),BonusCat,INDEX(LH_Data,0,LH_ColStart),"&gt;="&amp;AF116)*UnitFactor))</f>
        <v/>
      </c>
      <c r="V116" s="14" t="str">
        <f aca="false">IF(AE116=0,"",IF(NOT(LH_Ready),"",SUMIFS(INDEX(LH_Data,0,LH_ColTaken),INDEX(LH_Data,0,LH_ColFirst),$A116,INDEX(LH_Data,0,LH_ColSur),$B116,INDEX(LH_Data,0,LH_ColCat),BonusCat,INDEX(LH_Data,0,LH_ColStart),"&gt;="&amp;AF116)*UnitFactor))</f>
        <v/>
      </c>
      <c r="W116" s="14" t="str">
        <f aca="false">IF(AE116=0,"",IF(NOT(LH_Ready),"",IF(BB116=0,0,INDEX(INDEX(LH_Data,0,LH_ColClose),BB116-1)*UnitFactor)))</f>
        <v/>
      </c>
      <c r="X116" s="14" t="str">
        <f aca="false">IF(AE116=0,"",(AX116-AY116)*HoursPerDay)</f>
        <v/>
      </c>
      <c r="Y116" s="14" t="str">
        <f aca="false">IF(AE116=0,"",IF(NOT(LH_Ready),"",IF(BA116=0,N116,IF(PFYDate&lt;$F116,N116-N(T116)-N(U116),X116-N(U116)))))</f>
        <v/>
      </c>
      <c r="Z116" s="13" t="str">
        <f aca="false">IF(OR(AE116=0,Y116=""),"",IF(Y116&gt;0,"Yes","No"))</f>
        <v/>
      </c>
      <c r="AA116" s="13"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 hrs more than policy since commencement",IF(N(W116)&gt;O116*HoursPerDay+0.01,"CHECK - EH balance "&amp;ROUND(W116-O116*HoursPerDay,2)&amp;" hrs more than policy entitlement",IF(O116&gt;0,"OK - nothing to add",IF(AQ116="None",R116,"Not yet - first day on "&amp;TEXT(S116,"dd/mm/yyyy")))))))))</f>
        <v/>
      </c>
      <c r="AB116" s="14" t="str">
        <f aca="false">IF(OR(AE116=0,T116=""),"",AY116*HoursPerDay-T116)</f>
        <v/>
      </c>
      <c r="AC116" s="13" t="str">
        <f aca="false">IF(AE116=0,"",BA116)</f>
        <v/>
      </c>
      <c r="AD116" s="13"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3" t="n">
        <f aca="false">IF(OR(LEN($A116&amp;$B116)=0,$F116=""),0,1)</f>
        <v>0</v>
      </c>
      <c r="AF116" s="11" t="str">
        <f aca="false">IF(AE116=0,"",IF($J116&lt;&gt;"",$J116,IF(OR(CasualCounts="Yes",COUNT($G116:$I116)=0,COUNT($G116:$H116)=0),$F116,MIN($G116:$H116))))</f>
        <v/>
      </c>
      <c r="AG116" s="13" t="str">
        <f aca="false">IF(AE116=0,"",COUNT($G116:$I116))</f>
        <v/>
      </c>
      <c r="AH116" s="11" t="str">
        <f aca="false">IF(AE116=0,"",IFERROR(SMALL($G116:$I116,1),""))</f>
        <v/>
      </c>
      <c r="AI116" s="11" t="str">
        <f aca="false">IF(AE116=0,"",IFERROR(SMALL($G116:$I116,2),""))</f>
        <v/>
      </c>
      <c r="AJ116" s="11" t="str">
        <f aca="false">IF(AE116=0,"",IFERROR(SMALL($G116:$I116,3),""))</f>
        <v/>
      </c>
      <c r="AK116" s="13" t="str">
        <f aca="false">IF(AE116=0,"",IF(AH116="","",IF(AH116=$G116,"Part-Time",IF(AH116=$H116,"Full-Time","Casual"))))</f>
        <v/>
      </c>
      <c r="AL116" s="13" t="str">
        <f aca="false">IF(AE116=0,"",IF(AI116="","",IF(AI116=$G116,"Part-Time",IF(AI116=$H116,"Full-Time","Casual"))))</f>
        <v/>
      </c>
      <c r="AM116" s="13" t="str">
        <f aca="false">IF(AE116=0,"",IF(AJ116="","",IF(AJ116=$G116,"Part-Time",IF(AJ116=$H116,"Full-Time","Casual"))))</f>
        <v/>
      </c>
      <c r="AN116" s="13"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3" t="str">
        <f aca="false">IF(AE116=0,"",IF(AG116&lt;2,"",IF(OR(ISNUMBER(SEARCH("full",AL116)),UPPER(TRIM(AL116))="FT",UPPER(TRIM(AL116))="FTE"),"FT",IF(AND(OR(ISNUMBER(SEARCH("part",AL116)),UPPER(TRIM(AL116))="PT",UPPER(TRIM(AL116))="PTE"),OR($P116="",N($P116)&gt;=PT_MinHours)),"PT","None"))))</f>
        <v/>
      </c>
      <c r="AP116" s="13" t="str">
        <f aca="false">IF(AE116=0,"",IF(AG116&lt;3,"",IF(OR(ISNUMBER(SEARCH("full",AM116)),UPPER(TRIM(AM116))="FT",UPPER(TRIM(AM116))="FTE"),"FT",IF(AND(OR(ISNUMBER(SEARCH("part",AM116)),UPPER(TRIM(AM116))="PT",UPPER(TRIM(AM116))="PTE"),OR($P116="",N($P116)&gt;=PT_MinHours)),"PT","None"))))</f>
        <v/>
      </c>
      <c r="AQ116" s="13" t="str">
        <f aca="false">IF(AE116=0,"",IF(AND(AG116&gt;=3,AJ116&lt;=AsOfDate),AP116,IF(AND(AG116&gt;=2,AI116&lt;=AsOfDate),AO116,AN116)))</f>
        <v/>
      </c>
      <c r="AR116" s="13" t="str">
        <f aca="false">IF(AE116=0,"",IF(AsOfDate&lt;AF116,-1,12*(YEAR(AsOfDate)-YEAR(AF116))+MONTH(AsOfDate)-MONTH(AF116)-IF(DAY(AsOfDate)&lt;MIN(DAY(AF116),DAY(EOMONTH(AsOfDate,0))),1,0)))</f>
        <v/>
      </c>
      <c r="AS116" s="13" t="str">
        <f aca="false">IF(AE116=0,"",IF(OR(AG116&lt;2,AI116&gt;AsOfDate),AR116,IF((AI116-1)&lt;AF116,-1,12*(YEAR((AI116-1))-YEAR(AF116))+MONTH((AI116-1))-MONTH(AF116)-IF(DAY((AI116-1))&lt;MIN(DAY(AF116),DAY(EOMONTH((AI116-1),0))),1,0))))</f>
        <v/>
      </c>
      <c r="AT116" s="13" t="str">
        <f aca="false">IF(AE116=0,"",IF(OR(AG116&lt;3,AJ116&gt;AsOfDate),AR116,IF((AJ116-1)&lt;AF116,-1,12*(YEAR((AJ116-1))-YEAR(AF116))+MONTH((AJ116-1))-MONTH(AF116)-IF(DAY((AJ116-1))&lt;MIN(DAY(AF116),DAY(EOMONTH((AJ116-1),0))),1,0))))</f>
        <v/>
      </c>
      <c r="AU116" s="13" t="str">
        <f aca="false">IF(AE116=0,"",IF(PFYDate&lt;AF116,-1,12*(YEAR(PFYDate)-YEAR(AF116))+MONTH(PFYDate)-MONTH(AF116)-IF(DAY(PFYDate)&lt;MIN(DAY(AF116),DAY(EOMONTH(PFYDate,0))),1,0)))</f>
        <v/>
      </c>
      <c r="AV116" s="13" t="str">
        <f aca="false">IF(AE116=0,"",IF(OR(AG116&lt;2,AI116&gt;PFYDate),AU116,IF((AI116-1)&lt;AF116,-1,12*(YEAR((AI116-1))-YEAR(AF116))+MONTH((AI116-1))-MONTH(AF116)-IF(DAY((AI116-1))&lt;MIN(DAY(AF116),DAY(EOMONTH((AI116-1),0))),1,0))))</f>
        <v/>
      </c>
      <c r="AW116" s="13" t="str">
        <f aca="false">IF(AE116=0,"",IF(OR(AG116&lt;3,AJ116&gt;PFYDate),AU116,IF((AJ116-1)&lt;AF116,-1,12*(YEAR((AJ116-1))-YEAR(AF116))+MONTH((AJ116-1))-MONTH(AF116)-IF(DAY((AJ116-1))&lt;MIN(DAY(AF116),DAY(EOMONTH((AJ116-1),0))),1,0))))</f>
        <v/>
      </c>
      <c r="AX116" s="13"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3"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3" t="str">
        <f aca="false">IF(AE116=0,"",IF(AQ116="FT",IF(AR116&lt;FT_First,FT_First,IF(AR116&lt;FT_Y5,MIN(FT_Y5,FT_First+FT_Int1*(INT((AR116-FT_First)/FT_Int1)+1)),FT_Y5+12*INT((AR116-FT_Y5)/12)+FT_Int2*(INT(MOD(AR116-FT_Y5,12)/FT_Int2)+1))),IF(AQ116="PT",IF(AR116&lt;PT_First,PT_First,PT_First+PT_Int*(INT((AR116-PT_First)/PT_Int)+1)),"")))</f>
        <v/>
      </c>
      <c r="BA116" s="13" t="str">
        <f aca="false">IF(AE116=0,"",IF(NOT(LH_Ready),0,COUNTIFS(INDEX(LH_Data,0,LH_ColFirst),$A116,INDEX(LH_Data,0,LH_ColSur),$B116,INDEX(LH_Data,0,LH_ColCat),BonusCat)))</f>
        <v/>
      </c>
      <c r="BB116" s="13" t="str">
        <f aca="false">IF(AE116=0,"",IF(OR(NOT(LH_Ready),BA116=0),0,SUMPRODUCT(MAX((INDEX(LH_Data,0,LH_ColFirst)=$A116)*(INDEX(LH_Data,0,LH_ColSur)=$B116)*(INDEX(LH_Data,0,LH_ColCat)=BonusCat)*ROW(LH_Data)))))</f>
        <v/>
      </c>
      <c r="BC116" s="0" t="str">
        <f aca="false">IF(LEN($A116&amp;$B116)=0,"",$A116&amp;" "&amp;$B116)</f>
        <v/>
      </c>
    </row>
    <row r="117" customFormat="false" ht="15" hidden="false" customHeight="false" outlineLevel="0" collapsed="false">
      <c r="A117" s="9"/>
      <c r="B117" s="9"/>
      <c r="C117" s="9"/>
      <c r="D117" s="10"/>
      <c r="E117" s="11" t="str">
        <f aca="false">IF(OR(AE117=0,$D117=""),"",DATE(YEAR(AsOfDate)+IF(DATE(YEAR(AsOfDate),MONTH($D117),DAY($D117))&lt;=AsOfDate,1,0),MONTH($D117),DAY($D117)))</f>
        <v/>
      </c>
      <c r="F117" s="10"/>
      <c r="G117" s="10"/>
      <c r="H117" s="10"/>
      <c r="I117" s="10"/>
      <c r="J117" s="10"/>
      <c r="K117" s="11" t="str">
        <f aca="false">IF(AE117=0,"",DATE(YEAR(AsOfDate)+IF(DATE(YEAR(AsOfDate),MONTH(AF117),DAY(AF117))&lt;=AsOfDate,1,0),MONTH(AF117),DAY(AF117)))</f>
        <v/>
      </c>
      <c r="L117" s="12" t="str">
        <f aca="false">IF(AE117=0,"",ROUND((AsOfDate-AF117)/365.25,1))</f>
        <v/>
      </c>
      <c r="M117" s="13" t="str">
        <f aca="false">IF(AE117=0,"",IF(AsOfDate&lt;AF117,"-",DATEDIF(AF117,AsOfDate,"y")&amp;"y "&amp;DATEDIF(AF117,AsOfDate,"ym")&amp;"m "&amp;DATEDIF(AF117,AsOfDate,"md")&amp;"d"))</f>
        <v/>
      </c>
      <c r="N117" s="14" t="str">
        <f aca="false">IF(AE117=0,"",O117*HoursPerDay)</f>
        <v/>
      </c>
      <c r="O117" s="14" t="str">
        <f aca="false">IF(AE117=0,"",AX117)</f>
        <v/>
      </c>
      <c r="P117" s="15"/>
      <c r="Q117" s="13"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13"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1" t="str">
        <f aca="false">IF(AE117=0,"",IF(AQ117="None","",EDATE(AF117,AZ117)))</f>
        <v/>
      </c>
      <c r="T117" s="14" t="str">
        <f aca="false">IF(AE117=0,"",IF(NOT(LH_Ready),"",IF(AF117&gt;PFYDate,0,IF(LH_ColPeriod=0,W117-U117+V117,SUMIFS(INDEX(LH_Data,0,LH_ColAcc),INDEX(LH_Data,0,LH_ColFirst),$A117,INDEX(LH_Data,0,LH_ColSur),$B117,INDEX(LH_Data,0,LH_ColCat),BonusCat,INDEX(LH_Data,0,LH_ColPeriod),LH_OpenLabel)*UnitFactor))))</f>
        <v/>
      </c>
      <c r="U117" s="14" t="str">
        <f aca="false">IF(AE117=0,"",IF(NOT(LH_Ready),"",SUMIFS(INDEX(LH_Data,0,LH_ColAcc),INDEX(LH_Data,0,LH_ColFirst),$A117,INDEX(LH_Data,0,LH_ColSur),$B117,INDEX(LH_Data,0,LH_ColCat),BonusCat,INDEX(LH_Data,0,LH_ColStart),"&gt;="&amp;AF117)*UnitFactor))</f>
        <v/>
      </c>
      <c r="V117" s="14" t="str">
        <f aca="false">IF(AE117=0,"",IF(NOT(LH_Ready),"",SUMIFS(INDEX(LH_Data,0,LH_ColTaken),INDEX(LH_Data,0,LH_ColFirst),$A117,INDEX(LH_Data,0,LH_ColSur),$B117,INDEX(LH_Data,0,LH_ColCat),BonusCat,INDEX(LH_Data,0,LH_ColStart),"&gt;="&amp;AF117)*UnitFactor))</f>
        <v/>
      </c>
      <c r="W117" s="14" t="str">
        <f aca="false">IF(AE117=0,"",IF(NOT(LH_Ready),"",IF(BB117=0,0,INDEX(INDEX(LH_Data,0,LH_ColClose),BB117-1)*UnitFactor)))</f>
        <v/>
      </c>
      <c r="X117" s="14" t="str">
        <f aca="false">IF(AE117=0,"",(AX117-AY117)*HoursPerDay)</f>
        <v/>
      </c>
      <c r="Y117" s="14" t="str">
        <f aca="false">IF(AE117=0,"",IF(NOT(LH_Ready),"",IF(BA117=0,N117,IF(PFYDate&lt;$F117,N117-N(T117)-N(U117),X117-N(U117)))))</f>
        <v/>
      </c>
      <c r="Z117" s="13" t="str">
        <f aca="false">IF(OR(AE117=0,Y117=""),"",IF(Y117&gt;0,"Yes","No"))</f>
        <v/>
      </c>
      <c r="AA117" s="13"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 hrs more than policy since commencement",IF(N(W117)&gt;O117*HoursPerDay+0.01,"CHECK - EH balance "&amp;ROUND(W117-O117*HoursPerDay,2)&amp;" hrs more than policy entitlement",IF(O117&gt;0,"OK - nothing to add",IF(AQ117="None",R117,"Not yet - first day on "&amp;TEXT(S117,"dd/mm/yyyy")))))))))</f>
        <v/>
      </c>
      <c r="AB117" s="14" t="str">
        <f aca="false">IF(OR(AE117=0,T117=""),"",AY117*HoursPerDay-T117)</f>
        <v/>
      </c>
      <c r="AC117" s="13" t="str">
        <f aca="false">IF(AE117=0,"",BA117)</f>
        <v/>
      </c>
      <c r="AD117" s="13"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3" t="n">
        <f aca="false">IF(OR(LEN($A117&amp;$B117)=0,$F117=""),0,1)</f>
        <v>0</v>
      </c>
      <c r="AF117" s="11" t="str">
        <f aca="false">IF(AE117=0,"",IF($J117&lt;&gt;"",$J117,IF(OR(CasualCounts="Yes",COUNT($G117:$I117)=0,COUNT($G117:$H117)=0),$F117,MIN($G117:$H117))))</f>
        <v/>
      </c>
      <c r="AG117" s="13" t="str">
        <f aca="false">IF(AE117=0,"",COUNT($G117:$I117))</f>
        <v/>
      </c>
      <c r="AH117" s="11" t="str">
        <f aca="false">IF(AE117=0,"",IFERROR(SMALL($G117:$I117,1),""))</f>
        <v/>
      </c>
      <c r="AI117" s="11" t="str">
        <f aca="false">IF(AE117=0,"",IFERROR(SMALL($G117:$I117,2),""))</f>
        <v/>
      </c>
      <c r="AJ117" s="11" t="str">
        <f aca="false">IF(AE117=0,"",IFERROR(SMALL($G117:$I117,3),""))</f>
        <v/>
      </c>
      <c r="AK117" s="13" t="str">
        <f aca="false">IF(AE117=0,"",IF(AH117="","",IF(AH117=$G117,"Part-Time",IF(AH117=$H117,"Full-Time","Casual"))))</f>
        <v/>
      </c>
      <c r="AL117" s="13" t="str">
        <f aca="false">IF(AE117=0,"",IF(AI117="","",IF(AI117=$G117,"Part-Time",IF(AI117=$H117,"Full-Time","Casual"))))</f>
        <v/>
      </c>
      <c r="AM117" s="13" t="str">
        <f aca="false">IF(AE117=0,"",IF(AJ117="","",IF(AJ117=$G117,"Part-Time",IF(AJ117=$H117,"Full-Time","Casual"))))</f>
        <v/>
      </c>
      <c r="AN117" s="13"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3" t="str">
        <f aca="false">IF(AE117=0,"",IF(AG117&lt;2,"",IF(OR(ISNUMBER(SEARCH("full",AL117)),UPPER(TRIM(AL117))="FT",UPPER(TRIM(AL117))="FTE"),"FT",IF(AND(OR(ISNUMBER(SEARCH("part",AL117)),UPPER(TRIM(AL117))="PT",UPPER(TRIM(AL117))="PTE"),OR($P117="",N($P117)&gt;=PT_MinHours)),"PT","None"))))</f>
        <v/>
      </c>
      <c r="AP117" s="13" t="str">
        <f aca="false">IF(AE117=0,"",IF(AG117&lt;3,"",IF(OR(ISNUMBER(SEARCH("full",AM117)),UPPER(TRIM(AM117))="FT",UPPER(TRIM(AM117))="FTE"),"FT",IF(AND(OR(ISNUMBER(SEARCH("part",AM117)),UPPER(TRIM(AM117))="PT",UPPER(TRIM(AM117))="PTE"),OR($P117="",N($P117)&gt;=PT_MinHours)),"PT","None"))))</f>
        <v/>
      </c>
      <c r="AQ117" s="13" t="str">
        <f aca="false">IF(AE117=0,"",IF(AND(AG117&gt;=3,AJ117&lt;=AsOfDate),AP117,IF(AND(AG117&gt;=2,AI117&lt;=AsOfDate),AO117,AN117)))</f>
        <v/>
      </c>
      <c r="AR117" s="13" t="str">
        <f aca="false">IF(AE117=0,"",IF(AsOfDate&lt;AF117,-1,12*(YEAR(AsOfDate)-YEAR(AF117))+MONTH(AsOfDate)-MONTH(AF117)-IF(DAY(AsOfDate)&lt;MIN(DAY(AF117),DAY(EOMONTH(AsOfDate,0))),1,0)))</f>
        <v/>
      </c>
      <c r="AS117" s="13" t="str">
        <f aca="false">IF(AE117=0,"",IF(OR(AG117&lt;2,AI117&gt;AsOfDate),AR117,IF((AI117-1)&lt;AF117,-1,12*(YEAR((AI117-1))-YEAR(AF117))+MONTH((AI117-1))-MONTH(AF117)-IF(DAY((AI117-1))&lt;MIN(DAY(AF117),DAY(EOMONTH((AI117-1),0))),1,0))))</f>
        <v/>
      </c>
      <c r="AT117" s="13" t="str">
        <f aca="false">IF(AE117=0,"",IF(OR(AG117&lt;3,AJ117&gt;AsOfDate),AR117,IF((AJ117-1)&lt;AF117,-1,12*(YEAR((AJ117-1))-YEAR(AF117))+MONTH((AJ117-1))-MONTH(AF117)-IF(DAY((AJ117-1))&lt;MIN(DAY(AF117),DAY(EOMONTH((AJ117-1),0))),1,0))))</f>
        <v/>
      </c>
      <c r="AU117" s="13" t="str">
        <f aca="false">IF(AE117=0,"",IF(PFYDate&lt;AF117,-1,12*(YEAR(PFYDate)-YEAR(AF117))+MONTH(PFYDate)-MONTH(AF117)-IF(DAY(PFYDate)&lt;MIN(DAY(AF117),DAY(EOMONTH(PFYDate,0))),1,0)))</f>
        <v/>
      </c>
      <c r="AV117" s="13" t="str">
        <f aca="false">IF(AE117=0,"",IF(OR(AG117&lt;2,AI117&gt;PFYDate),AU117,IF((AI117-1)&lt;AF117,-1,12*(YEAR((AI117-1))-YEAR(AF117))+MONTH((AI117-1))-MONTH(AF117)-IF(DAY((AI117-1))&lt;MIN(DAY(AF117),DAY(EOMONTH((AI117-1),0))),1,0))))</f>
        <v/>
      </c>
      <c r="AW117" s="13" t="str">
        <f aca="false">IF(AE117=0,"",IF(OR(AG117&lt;3,AJ117&gt;PFYDate),AU117,IF((AJ117-1)&lt;AF117,-1,12*(YEAR((AJ117-1))-YEAR(AF117))+MONTH((AJ117-1))-MONTH(AF117)-IF(DAY((AJ117-1))&lt;MIN(DAY(AF117),DAY(EOMONTH((AJ117-1),0))),1,0))))</f>
        <v/>
      </c>
      <c r="AX117" s="13"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3"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3" t="str">
        <f aca="false">IF(AE117=0,"",IF(AQ117="FT",IF(AR117&lt;FT_First,FT_First,IF(AR117&lt;FT_Y5,MIN(FT_Y5,FT_First+FT_Int1*(INT((AR117-FT_First)/FT_Int1)+1)),FT_Y5+12*INT((AR117-FT_Y5)/12)+FT_Int2*(INT(MOD(AR117-FT_Y5,12)/FT_Int2)+1))),IF(AQ117="PT",IF(AR117&lt;PT_First,PT_First,PT_First+PT_Int*(INT((AR117-PT_First)/PT_Int)+1)),"")))</f>
        <v/>
      </c>
      <c r="BA117" s="13" t="str">
        <f aca="false">IF(AE117=0,"",IF(NOT(LH_Ready),0,COUNTIFS(INDEX(LH_Data,0,LH_ColFirst),$A117,INDEX(LH_Data,0,LH_ColSur),$B117,INDEX(LH_Data,0,LH_ColCat),BonusCat)))</f>
        <v/>
      </c>
      <c r="BB117" s="13" t="str">
        <f aca="false">IF(AE117=0,"",IF(OR(NOT(LH_Ready),BA117=0),0,SUMPRODUCT(MAX((INDEX(LH_Data,0,LH_ColFirst)=$A117)*(INDEX(LH_Data,0,LH_ColSur)=$B117)*(INDEX(LH_Data,0,LH_ColCat)=BonusCat)*ROW(LH_Data)))))</f>
        <v/>
      </c>
      <c r="BC117" s="0" t="str">
        <f aca="false">IF(LEN($A117&amp;$B117)=0,"",$A117&amp;" "&amp;$B117)</f>
        <v/>
      </c>
    </row>
    <row r="118" customFormat="false" ht="15" hidden="false" customHeight="false" outlineLevel="0" collapsed="false">
      <c r="A118" s="9"/>
      <c r="B118" s="9"/>
      <c r="C118" s="9"/>
      <c r="D118" s="10"/>
      <c r="E118" s="11" t="str">
        <f aca="false">IF(OR(AE118=0,$D118=""),"",DATE(YEAR(AsOfDate)+IF(DATE(YEAR(AsOfDate),MONTH($D118),DAY($D118))&lt;=AsOfDate,1,0),MONTH($D118),DAY($D118)))</f>
        <v/>
      </c>
      <c r="F118" s="10"/>
      <c r="G118" s="10"/>
      <c r="H118" s="10"/>
      <c r="I118" s="10"/>
      <c r="J118" s="10"/>
      <c r="K118" s="11" t="str">
        <f aca="false">IF(AE118=0,"",DATE(YEAR(AsOfDate)+IF(DATE(YEAR(AsOfDate),MONTH(AF118),DAY(AF118))&lt;=AsOfDate,1,0),MONTH(AF118),DAY(AF118)))</f>
        <v/>
      </c>
      <c r="L118" s="12" t="str">
        <f aca="false">IF(AE118=0,"",ROUND((AsOfDate-AF118)/365.25,1))</f>
        <v/>
      </c>
      <c r="M118" s="13" t="str">
        <f aca="false">IF(AE118=0,"",IF(AsOfDate&lt;AF118,"-",DATEDIF(AF118,AsOfDate,"y")&amp;"y "&amp;DATEDIF(AF118,AsOfDate,"ym")&amp;"m "&amp;DATEDIF(AF118,AsOfDate,"md")&amp;"d"))</f>
        <v/>
      </c>
      <c r="N118" s="14" t="str">
        <f aca="false">IF(AE118=0,"",O118*HoursPerDay)</f>
        <v/>
      </c>
      <c r="O118" s="14" t="str">
        <f aca="false">IF(AE118=0,"",AX118)</f>
        <v/>
      </c>
      <c r="P118" s="15"/>
      <c r="Q118" s="13"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13"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1" t="str">
        <f aca="false">IF(AE118=0,"",IF(AQ118="None","",EDATE(AF118,AZ118)))</f>
        <v/>
      </c>
      <c r="T118" s="14" t="str">
        <f aca="false">IF(AE118=0,"",IF(NOT(LH_Ready),"",IF(AF118&gt;PFYDate,0,IF(LH_ColPeriod=0,W118-U118+V118,SUMIFS(INDEX(LH_Data,0,LH_ColAcc),INDEX(LH_Data,0,LH_ColFirst),$A118,INDEX(LH_Data,0,LH_ColSur),$B118,INDEX(LH_Data,0,LH_ColCat),BonusCat,INDEX(LH_Data,0,LH_ColPeriod),LH_OpenLabel)*UnitFactor))))</f>
        <v/>
      </c>
      <c r="U118" s="14" t="str">
        <f aca="false">IF(AE118=0,"",IF(NOT(LH_Ready),"",SUMIFS(INDEX(LH_Data,0,LH_ColAcc),INDEX(LH_Data,0,LH_ColFirst),$A118,INDEX(LH_Data,0,LH_ColSur),$B118,INDEX(LH_Data,0,LH_ColCat),BonusCat,INDEX(LH_Data,0,LH_ColStart),"&gt;="&amp;AF118)*UnitFactor))</f>
        <v/>
      </c>
      <c r="V118" s="14" t="str">
        <f aca="false">IF(AE118=0,"",IF(NOT(LH_Ready),"",SUMIFS(INDEX(LH_Data,0,LH_ColTaken),INDEX(LH_Data,0,LH_ColFirst),$A118,INDEX(LH_Data,0,LH_ColSur),$B118,INDEX(LH_Data,0,LH_ColCat),BonusCat,INDEX(LH_Data,0,LH_ColStart),"&gt;="&amp;AF118)*UnitFactor))</f>
        <v/>
      </c>
      <c r="W118" s="14" t="str">
        <f aca="false">IF(AE118=0,"",IF(NOT(LH_Ready),"",IF(BB118=0,0,INDEX(INDEX(LH_Data,0,LH_ColClose),BB118-1)*UnitFactor)))</f>
        <v/>
      </c>
      <c r="X118" s="14" t="str">
        <f aca="false">IF(AE118=0,"",(AX118-AY118)*HoursPerDay)</f>
        <v/>
      </c>
      <c r="Y118" s="14" t="str">
        <f aca="false">IF(AE118=0,"",IF(NOT(LH_Ready),"",IF(BA118=0,N118,IF(PFYDate&lt;$F118,N118-N(T118)-N(U118),X118-N(U118)))))</f>
        <v/>
      </c>
      <c r="Z118" s="13" t="str">
        <f aca="false">IF(OR(AE118=0,Y118=""),"",IF(Y118&gt;0,"Yes","No"))</f>
        <v/>
      </c>
      <c r="AA118" s="13"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 hrs more than policy since commencement",IF(N(W118)&gt;O118*HoursPerDay+0.01,"CHECK - EH balance "&amp;ROUND(W118-O118*HoursPerDay,2)&amp;" hrs more than policy entitlement",IF(O118&gt;0,"OK - nothing to add",IF(AQ118="None",R118,"Not yet - first day on "&amp;TEXT(S118,"dd/mm/yyyy")))))))))</f>
        <v/>
      </c>
      <c r="AB118" s="14" t="str">
        <f aca="false">IF(OR(AE118=0,T118=""),"",AY118*HoursPerDay-T118)</f>
        <v/>
      </c>
      <c r="AC118" s="13" t="str">
        <f aca="false">IF(AE118=0,"",BA118)</f>
        <v/>
      </c>
      <c r="AD118" s="13"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3" t="n">
        <f aca="false">IF(OR(LEN($A118&amp;$B118)=0,$F118=""),0,1)</f>
        <v>0</v>
      </c>
      <c r="AF118" s="11" t="str">
        <f aca="false">IF(AE118=0,"",IF($J118&lt;&gt;"",$J118,IF(OR(CasualCounts="Yes",COUNT($G118:$I118)=0,COUNT($G118:$H118)=0),$F118,MIN($G118:$H118))))</f>
        <v/>
      </c>
      <c r="AG118" s="13" t="str">
        <f aca="false">IF(AE118=0,"",COUNT($G118:$I118))</f>
        <v/>
      </c>
      <c r="AH118" s="11" t="str">
        <f aca="false">IF(AE118=0,"",IFERROR(SMALL($G118:$I118,1),""))</f>
        <v/>
      </c>
      <c r="AI118" s="11" t="str">
        <f aca="false">IF(AE118=0,"",IFERROR(SMALL($G118:$I118,2),""))</f>
        <v/>
      </c>
      <c r="AJ118" s="11" t="str">
        <f aca="false">IF(AE118=0,"",IFERROR(SMALL($G118:$I118,3),""))</f>
        <v/>
      </c>
      <c r="AK118" s="13" t="str">
        <f aca="false">IF(AE118=0,"",IF(AH118="","",IF(AH118=$G118,"Part-Time",IF(AH118=$H118,"Full-Time","Casual"))))</f>
        <v/>
      </c>
      <c r="AL118" s="13" t="str">
        <f aca="false">IF(AE118=0,"",IF(AI118="","",IF(AI118=$G118,"Part-Time",IF(AI118=$H118,"Full-Time","Casual"))))</f>
        <v/>
      </c>
      <c r="AM118" s="13" t="str">
        <f aca="false">IF(AE118=0,"",IF(AJ118="","",IF(AJ118=$G118,"Part-Time",IF(AJ118=$H118,"Full-Time","Casual"))))</f>
        <v/>
      </c>
      <c r="AN118" s="13"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3" t="str">
        <f aca="false">IF(AE118=0,"",IF(AG118&lt;2,"",IF(OR(ISNUMBER(SEARCH("full",AL118)),UPPER(TRIM(AL118))="FT",UPPER(TRIM(AL118))="FTE"),"FT",IF(AND(OR(ISNUMBER(SEARCH("part",AL118)),UPPER(TRIM(AL118))="PT",UPPER(TRIM(AL118))="PTE"),OR($P118="",N($P118)&gt;=PT_MinHours)),"PT","None"))))</f>
        <v/>
      </c>
      <c r="AP118" s="13" t="str">
        <f aca="false">IF(AE118=0,"",IF(AG118&lt;3,"",IF(OR(ISNUMBER(SEARCH("full",AM118)),UPPER(TRIM(AM118))="FT",UPPER(TRIM(AM118))="FTE"),"FT",IF(AND(OR(ISNUMBER(SEARCH("part",AM118)),UPPER(TRIM(AM118))="PT",UPPER(TRIM(AM118))="PTE"),OR($P118="",N($P118)&gt;=PT_MinHours)),"PT","None"))))</f>
        <v/>
      </c>
      <c r="AQ118" s="13" t="str">
        <f aca="false">IF(AE118=0,"",IF(AND(AG118&gt;=3,AJ118&lt;=AsOfDate),AP118,IF(AND(AG118&gt;=2,AI118&lt;=AsOfDate),AO118,AN118)))</f>
        <v/>
      </c>
      <c r="AR118" s="13" t="str">
        <f aca="false">IF(AE118=0,"",IF(AsOfDate&lt;AF118,-1,12*(YEAR(AsOfDate)-YEAR(AF118))+MONTH(AsOfDate)-MONTH(AF118)-IF(DAY(AsOfDate)&lt;MIN(DAY(AF118),DAY(EOMONTH(AsOfDate,0))),1,0)))</f>
        <v/>
      </c>
      <c r="AS118" s="13" t="str">
        <f aca="false">IF(AE118=0,"",IF(OR(AG118&lt;2,AI118&gt;AsOfDate),AR118,IF((AI118-1)&lt;AF118,-1,12*(YEAR((AI118-1))-YEAR(AF118))+MONTH((AI118-1))-MONTH(AF118)-IF(DAY((AI118-1))&lt;MIN(DAY(AF118),DAY(EOMONTH((AI118-1),0))),1,0))))</f>
        <v/>
      </c>
      <c r="AT118" s="13" t="str">
        <f aca="false">IF(AE118=0,"",IF(OR(AG118&lt;3,AJ118&gt;AsOfDate),AR118,IF((AJ118-1)&lt;AF118,-1,12*(YEAR((AJ118-1))-YEAR(AF118))+MONTH((AJ118-1))-MONTH(AF118)-IF(DAY((AJ118-1))&lt;MIN(DAY(AF118),DAY(EOMONTH((AJ118-1),0))),1,0))))</f>
        <v/>
      </c>
      <c r="AU118" s="13" t="str">
        <f aca="false">IF(AE118=0,"",IF(PFYDate&lt;AF118,-1,12*(YEAR(PFYDate)-YEAR(AF118))+MONTH(PFYDate)-MONTH(AF118)-IF(DAY(PFYDate)&lt;MIN(DAY(AF118),DAY(EOMONTH(PFYDate,0))),1,0)))</f>
        <v/>
      </c>
      <c r="AV118" s="13" t="str">
        <f aca="false">IF(AE118=0,"",IF(OR(AG118&lt;2,AI118&gt;PFYDate),AU118,IF((AI118-1)&lt;AF118,-1,12*(YEAR((AI118-1))-YEAR(AF118))+MONTH((AI118-1))-MONTH(AF118)-IF(DAY((AI118-1))&lt;MIN(DAY(AF118),DAY(EOMONTH((AI118-1),0))),1,0))))</f>
        <v/>
      </c>
      <c r="AW118" s="13" t="str">
        <f aca="false">IF(AE118=0,"",IF(OR(AG118&lt;3,AJ118&gt;PFYDate),AU118,IF((AJ118-1)&lt;AF118,-1,12*(YEAR((AJ118-1))-YEAR(AF118))+MONTH((AJ118-1))-MONTH(AF118)-IF(DAY((AJ118-1))&lt;MIN(DAY(AF118),DAY(EOMONTH((AJ118-1),0))),1,0))))</f>
        <v/>
      </c>
      <c r="AX118" s="13"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3"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3" t="str">
        <f aca="false">IF(AE118=0,"",IF(AQ118="FT",IF(AR118&lt;FT_First,FT_First,IF(AR118&lt;FT_Y5,MIN(FT_Y5,FT_First+FT_Int1*(INT((AR118-FT_First)/FT_Int1)+1)),FT_Y5+12*INT((AR118-FT_Y5)/12)+FT_Int2*(INT(MOD(AR118-FT_Y5,12)/FT_Int2)+1))),IF(AQ118="PT",IF(AR118&lt;PT_First,PT_First,PT_First+PT_Int*(INT((AR118-PT_First)/PT_Int)+1)),"")))</f>
        <v/>
      </c>
      <c r="BA118" s="13" t="str">
        <f aca="false">IF(AE118=0,"",IF(NOT(LH_Ready),0,COUNTIFS(INDEX(LH_Data,0,LH_ColFirst),$A118,INDEX(LH_Data,0,LH_ColSur),$B118,INDEX(LH_Data,0,LH_ColCat),BonusCat)))</f>
        <v/>
      </c>
      <c r="BB118" s="13" t="str">
        <f aca="false">IF(AE118=0,"",IF(OR(NOT(LH_Ready),BA118=0),0,SUMPRODUCT(MAX((INDEX(LH_Data,0,LH_ColFirst)=$A118)*(INDEX(LH_Data,0,LH_ColSur)=$B118)*(INDEX(LH_Data,0,LH_ColCat)=BonusCat)*ROW(LH_Data)))))</f>
        <v/>
      </c>
      <c r="BC118" s="0" t="str">
        <f aca="false">IF(LEN($A118&amp;$B118)=0,"",$A118&amp;" "&amp;$B118)</f>
        <v/>
      </c>
    </row>
    <row r="119" customFormat="false" ht="15" hidden="false" customHeight="false" outlineLevel="0" collapsed="false">
      <c r="A119" s="9"/>
      <c r="B119" s="9"/>
      <c r="C119" s="9"/>
      <c r="D119" s="10"/>
      <c r="E119" s="11" t="str">
        <f aca="false">IF(OR(AE119=0,$D119=""),"",DATE(YEAR(AsOfDate)+IF(DATE(YEAR(AsOfDate),MONTH($D119),DAY($D119))&lt;=AsOfDate,1,0),MONTH($D119),DAY($D119)))</f>
        <v/>
      </c>
      <c r="F119" s="10"/>
      <c r="G119" s="10"/>
      <c r="H119" s="10"/>
      <c r="I119" s="10"/>
      <c r="J119" s="10"/>
      <c r="K119" s="11" t="str">
        <f aca="false">IF(AE119=0,"",DATE(YEAR(AsOfDate)+IF(DATE(YEAR(AsOfDate),MONTH(AF119),DAY(AF119))&lt;=AsOfDate,1,0),MONTH(AF119),DAY(AF119)))</f>
        <v/>
      </c>
      <c r="L119" s="12" t="str">
        <f aca="false">IF(AE119=0,"",ROUND((AsOfDate-AF119)/365.25,1))</f>
        <v/>
      </c>
      <c r="M119" s="13" t="str">
        <f aca="false">IF(AE119=0,"",IF(AsOfDate&lt;AF119,"-",DATEDIF(AF119,AsOfDate,"y")&amp;"y "&amp;DATEDIF(AF119,AsOfDate,"ym")&amp;"m "&amp;DATEDIF(AF119,AsOfDate,"md")&amp;"d"))</f>
        <v/>
      </c>
      <c r="N119" s="14" t="str">
        <f aca="false">IF(AE119=0,"",O119*HoursPerDay)</f>
        <v/>
      </c>
      <c r="O119" s="14" t="str">
        <f aca="false">IF(AE119=0,"",AX119)</f>
        <v/>
      </c>
      <c r="P119" s="15"/>
      <c r="Q119" s="13"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13"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1" t="str">
        <f aca="false">IF(AE119=0,"",IF(AQ119="None","",EDATE(AF119,AZ119)))</f>
        <v/>
      </c>
      <c r="T119" s="14" t="str">
        <f aca="false">IF(AE119=0,"",IF(NOT(LH_Ready),"",IF(AF119&gt;PFYDate,0,IF(LH_ColPeriod=0,W119-U119+V119,SUMIFS(INDEX(LH_Data,0,LH_ColAcc),INDEX(LH_Data,0,LH_ColFirst),$A119,INDEX(LH_Data,0,LH_ColSur),$B119,INDEX(LH_Data,0,LH_ColCat),BonusCat,INDEX(LH_Data,0,LH_ColPeriod),LH_OpenLabel)*UnitFactor))))</f>
        <v/>
      </c>
      <c r="U119" s="14" t="str">
        <f aca="false">IF(AE119=0,"",IF(NOT(LH_Ready),"",SUMIFS(INDEX(LH_Data,0,LH_ColAcc),INDEX(LH_Data,0,LH_ColFirst),$A119,INDEX(LH_Data,0,LH_ColSur),$B119,INDEX(LH_Data,0,LH_ColCat),BonusCat,INDEX(LH_Data,0,LH_ColStart),"&gt;="&amp;AF119)*UnitFactor))</f>
        <v/>
      </c>
      <c r="V119" s="14" t="str">
        <f aca="false">IF(AE119=0,"",IF(NOT(LH_Ready),"",SUMIFS(INDEX(LH_Data,0,LH_ColTaken),INDEX(LH_Data,0,LH_ColFirst),$A119,INDEX(LH_Data,0,LH_ColSur),$B119,INDEX(LH_Data,0,LH_ColCat),BonusCat,INDEX(LH_Data,0,LH_ColStart),"&gt;="&amp;AF119)*UnitFactor))</f>
        <v/>
      </c>
      <c r="W119" s="14" t="str">
        <f aca="false">IF(AE119=0,"",IF(NOT(LH_Ready),"",IF(BB119=0,0,INDEX(INDEX(LH_Data,0,LH_ColClose),BB119-1)*UnitFactor)))</f>
        <v/>
      </c>
      <c r="X119" s="14" t="str">
        <f aca="false">IF(AE119=0,"",(AX119-AY119)*HoursPerDay)</f>
        <v/>
      </c>
      <c r="Y119" s="14" t="str">
        <f aca="false">IF(AE119=0,"",IF(NOT(LH_Ready),"",IF(BA119=0,N119,IF(PFYDate&lt;$F119,N119-N(T119)-N(U119),X119-N(U119)))))</f>
        <v/>
      </c>
      <c r="Z119" s="13" t="str">
        <f aca="false">IF(OR(AE119=0,Y119=""),"",IF(Y119&gt;0,"Yes","No"))</f>
        <v/>
      </c>
      <c r="AA119" s="13"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 hrs more than policy since commencement",IF(N(W119)&gt;O119*HoursPerDay+0.01,"CHECK - EH balance "&amp;ROUND(W119-O119*HoursPerDay,2)&amp;" hrs more than policy entitlement",IF(O119&gt;0,"OK - nothing to add",IF(AQ119="None",R119,"Not yet - first day on "&amp;TEXT(S119,"dd/mm/yyyy")))))))))</f>
        <v/>
      </c>
      <c r="AB119" s="14" t="str">
        <f aca="false">IF(OR(AE119=0,T119=""),"",AY119*HoursPerDay-T119)</f>
        <v/>
      </c>
      <c r="AC119" s="13" t="str">
        <f aca="false">IF(AE119=0,"",BA119)</f>
        <v/>
      </c>
      <c r="AD119" s="13"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3" t="n">
        <f aca="false">IF(OR(LEN($A119&amp;$B119)=0,$F119=""),0,1)</f>
        <v>0</v>
      </c>
      <c r="AF119" s="11" t="str">
        <f aca="false">IF(AE119=0,"",IF($J119&lt;&gt;"",$J119,IF(OR(CasualCounts="Yes",COUNT($G119:$I119)=0,COUNT($G119:$H119)=0),$F119,MIN($G119:$H119))))</f>
        <v/>
      </c>
      <c r="AG119" s="13" t="str">
        <f aca="false">IF(AE119=0,"",COUNT($G119:$I119))</f>
        <v/>
      </c>
      <c r="AH119" s="11" t="str">
        <f aca="false">IF(AE119=0,"",IFERROR(SMALL($G119:$I119,1),""))</f>
        <v/>
      </c>
      <c r="AI119" s="11" t="str">
        <f aca="false">IF(AE119=0,"",IFERROR(SMALL($G119:$I119,2),""))</f>
        <v/>
      </c>
      <c r="AJ119" s="11" t="str">
        <f aca="false">IF(AE119=0,"",IFERROR(SMALL($G119:$I119,3),""))</f>
        <v/>
      </c>
      <c r="AK119" s="13" t="str">
        <f aca="false">IF(AE119=0,"",IF(AH119="","",IF(AH119=$G119,"Part-Time",IF(AH119=$H119,"Full-Time","Casual"))))</f>
        <v/>
      </c>
      <c r="AL119" s="13" t="str">
        <f aca="false">IF(AE119=0,"",IF(AI119="","",IF(AI119=$G119,"Part-Time",IF(AI119=$H119,"Full-Time","Casual"))))</f>
        <v/>
      </c>
      <c r="AM119" s="13" t="str">
        <f aca="false">IF(AE119=0,"",IF(AJ119="","",IF(AJ119=$G119,"Part-Time",IF(AJ119=$H119,"Full-Time","Casual"))))</f>
        <v/>
      </c>
      <c r="AN119" s="13"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3" t="str">
        <f aca="false">IF(AE119=0,"",IF(AG119&lt;2,"",IF(OR(ISNUMBER(SEARCH("full",AL119)),UPPER(TRIM(AL119))="FT",UPPER(TRIM(AL119))="FTE"),"FT",IF(AND(OR(ISNUMBER(SEARCH("part",AL119)),UPPER(TRIM(AL119))="PT",UPPER(TRIM(AL119))="PTE"),OR($P119="",N($P119)&gt;=PT_MinHours)),"PT","None"))))</f>
        <v/>
      </c>
      <c r="AP119" s="13" t="str">
        <f aca="false">IF(AE119=0,"",IF(AG119&lt;3,"",IF(OR(ISNUMBER(SEARCH("full",AM119)),UPPER(TRIM(AM119))="FT",UPPER(TRIM(AM119))="FTE"),"FT",IF(AND(OR(ISNUMBER(SEARCH("part",AM119)),UPPER(TRIM(AM119))="PT",UPPER(TRIM(AM119))="PTE"),OR($P119="",N($P119)&gt;=PT_MinHours)),"PT","None"))))</f>
        <v/>
      </c>
      <c r="AQ119" s="13" t="str">
        <f aca="false">IF(AE119=0,"",IF(AND(AG119&gt;=3,AJ119&lt;=AsOfDate),AP119,IF(AND(AG119&gt;=2,AI119&lt;=AsOfDate),AO119,AN119)))</f>
        <v/>
      </c>
      <c r="AR119" s="13" t="str">
        <f aca="false">IF(AE119=0,"",IF(AsOfDate&lt;AF119,-1,12*(YEAR(AsOfDate)-YEAR(AF119))+MONTH(AsOfDate)-MONTH(AF119)-IF(DAY(AsOfDate)&lt;MIN(DAY(AF119),DAY(EOMONTH(AsOfDate,0))),1,0)))</f>
        <v/>
      </c>
      <c r="AS119" s="13" t="str">
        <f aca="false">IF(AE119=0,"",IF(OR(AG119&lt;2,AI119&gt;AsOfDate),AR119,IF((AI119-1)&lt;AF119,-1,12*(YEAR((AI119-1))-YEAR(AF119))+MONTH((AI119-1))-MONTH(AF119)-IF(DAY((AI119-1))&lt;MIN(DAY(AF119),DAY(EOMONTH((AI119-1),0))),1,0))))</f>
        <v/>
      </c>
      <c r="AT119" s="13" t="str">
        <f aca="false">IF(AE119=0,"",IF(OR(AG119&lt;3,AJ119&gt;AsOfDate),AR119,IF((AJ119-1)&lt;AF119,-1,12*(YEAR((AJ119-1))-YEAR(AF119))+MONTH((AJ119-1))-MONTH(AF119)-IF(DAY((AJ119-1))&lt;MIN(DAY(AF119),DAY(EOMONTH((AJ119-1),0))),1,0))))</f>
        <v/>
      </c>
      <c r="AU119" s="13" t="str">
        <f aca="false">IF(AE119=0,"",IF(PFYDate&lt;AF119,-1,12*(YEAR(PFYDate)-YEAR(AF119))+MONTH(PFYDate)-MONTH(AF119)-IF(DAY(PFYDate)&lt;MIN(DAY(AF119),DAY(EOMONTH(PFYDate,0))),1,0)))</f>
        <v/>
      </c>
      <c r="AV119" s="13" t="str">
        <f aca="false">IF(AE119=0,"",IF(OR(AG119&lt;2,AI119&gt;PFYDate),AU119,IF((AI119-1)&lt;AF119,-1,12*(YEAR((AI119-1))-YEAR(AF119))+MONTH((AI119-1))-MONTH(AF119)-IF(DAY((AI119-1))&lt;MIN(DAY(AF119),DAY(EOMONTH((AI119-1),0))),1,0))))</f>
        <v/>
      </c>
      <c r="AW119" s="13" t="str">
        <f aca="false">IF(AE119=0,"",IF(OR(AG119&lt;3,AJ119&gt;PFYDate),AU119,IF((AJ119-1)&lt;AF119,-1,12*(YEAR((AJ119-1))-YEAR(AF119))+MONTH((AJ119-1))-MONTH(AF119)-IF(DAY((AJ119-1))&lt;MIN(DAY(AF119),DAY(EOMONTH((AJ119-1),0))),1,0))))</f>
        <v/>
      </c>
      <c r="AX119" s="13"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3"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3" t="str">
        <f aca="false">IF(AE119=0,"",IF(AQ119="FT",IF(AR119&lt;FT_First,FT_First,IF(AR119&lt;FT_Y5,MIN(FT_Y5,FT_First+FT_Int1*(INT((AR119-FT_First)/FT_Int1)+1)),FT_Y5+12*INT((AR119-FT_Y5)/12)+FT_Int2*(INT(MOD(AR119-FT_Y5,12)/FT_Int2)+1))),IF(AQ119="PT",IF(AR119&lt;PT_First,PT_First,PT_First+PT_Int*(INT((AR119-PT_First)/PT_Int)+1)),"")))</f>
        <v/>
      </c>
      <c r="BA119" s="13" t="str">
        <f aca="false">IF(AE119=0,"",IF(NOT(LH_Ready),0,COUNTIFS(INDEX(LH_Data,0,LH_ColFirst),$A119,INDEX(LH_Data,0,LH_ColSur),$B119,INDEX(LH_Data,0,LH_ColCat),BonusCat)))</f>
        <v/>
      </c>
      <c r="BB119" s="13" t="str">
        <f aca="false">IF(AE119=0,"",IF(OR(NOT(LH_Ready),BA119=0),0,SUMPRODUCT(MAX((INDEX(LH_Data,0,LH_ColFirst)=$A119)*(INDEX(LH_Data,0,LH_ColSur)=$B119)*(INDEX(LH_Data,0,LH_ColCat)=BonusCat)*ROW(LH_Data)))))</f>
        <v/>
      </c>
      <c r="BC119" s="0" t="str">
        <f aca="false">IF(LEN($A119&amp;$B119)=0,"",$A119&amp;" "&amp;$B119)</f>
        <v/>
      </c>
    </row>
    <row r="120" customFormat="false" ht="15" hidden="false" customHeight="false" outlineLevel="0" collapsed="false">
      <c r="A120" s="9"/>
      <c r="B120" s="9"/>
      <c r="C120" s="9"/>
      <c r="D120" s="10"/>
      <c r="E120" s="11" t="str">
        <f aca="false">IF(OR(AE120=0,$D120=""),"",DATE(YEAR(AsOfDate)+IF(DATE(YEAR(AsOfDate),MONTH($D120),DAY($D120))&lt;=AsOfDate,1,0),MONTH($D120),DAY($D120)))</f>
        <v/>
      </c>
      <c r="F120" s="10"/>
      <c r="G120" s="10"/>
      <c r="H120" s="10"/>
      <c r="I120" s="10"/>
      <c r="J120" s="10"/>
      <c r="K120" s="11" t="str">
        <f aca="false">IF(AE120=0,"",DATE(YEAR(AsOfDate)+IF(DATE(YEAR(AsOfDate),MONTH(AF120),DAY(AF120))&lt;=AsOfDate,1,0),MONTH(AF120),DAY(AF120)))</f>
        <v/>
      </c>
      <c r="L120" s="12" t="str">
        <f aca="false">IF(AE120=0,"",ROUND((AsOfDate-AF120)/365.25,1))</f>
        <v/>
      </c>
      <c r="M120" s="13" t="str">
        <f aca="false">IF(AE120=0,"",IF(AsOfDate&lt;AF120,"-",DATEDIF(AF120,AsOfDate,"y")&amp;"y "&amp;DATEDIF(AF120,AsOfDate,"ym")&amp;"m "&amp;DATEDIF(AF120,AsOfDate,"md")&amp;"d"))</f>
        <v/>
      </c>
      <c r="N120" s="14" t="str">
        <f aca="false">IF(AE120=0,"",O120*HoursPerDay)</f>
        <v/>
      </c>
      <c r="O120" s="14" t="str">
        <f aca="false">IF(AE120=0,"",AX120)</f>
        <v/>
      </c>
      <c r="P120" s="15"/>
      <c r="Q120" s="13"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13"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1" t="str">
        <f aca="false">IF(AE120=0,"",IF(AQ120="None","",EDATE(AF120,AZ120)))</f>
        <v/>
      </c>
      <c r="T120" s="14" t="str">
        <f aca="false">IF(AE120=0,"",IF(NOT(LH_Ready),"",IF(AF120&gt;PFYDate,0,IF(LH_ColPeriod=0,W120-U120+V120,SUMIFS(INDEX(LH_Data,0,LH_ColAcc),INDEX(LH_Data,0,LH_ColFirst),$A120,INDEX(LH_Data,0,LH_ColSur),$B120,INDEX(LH_Data,0,LH_ColCat),BonusCat,INDEX(LH_Data,0,LH_ColPeriod),LH_OpenLabel)*UnitFactor))))</f>
        <v/>
      </c>
      <c r="U120" s="14" t="str">
        <f aca="false">IF(AE120=0,"",IF(NOT(LH_Ready),"",SUMIFS(INDEX(LH_Data,0,LH_ColAcc),INDEX(LH_Data,0,LH_ColFirst),$A120,INDEX(LH_Data,0,LH_ColSur),$B120,INDEX(LH_Data,0,LH_ColCat),BonusCat,INDEX(LH_Data,0,LH_ColStart),"&gt;="&amp;AF120)*UnitFactor))</f>
        <v/>
      </c>
      <c r="V120" s="14" t="str">
        <f aca="false">IF(AE120=0,"",IF(NOT(LH_Ready),"",SUMIFS(INDEX(LH_Data,0,LH_ColTaken),INDEX(LH_Data,0,LH_ColFirst),$A120,INDEX(LH_Data,0,LH_ColSur),$B120,INDEX(LH_Data,0,LH_ColCat),BonusCat,INDEX(LH_Data,0,LH_ColStart),"&gt;="&amp;AF120)*UnitFactor))</f>
        <v/>
      </c>
      <c r="W120" s="14" t="str">
        <f aca="false">IF(AE120=0,"",IF(NOT(LH_Ready),"",IF(BB120=0,0,INDEX(INDEX(LH_Data,0,LH_ColClose),BB120-1)*UnitFactor)))</f>
        <v/>
      </c>
      <c r="X120" s="14" t="str">
        <f aca="false">IF(AE120=0,"",(AX120-AY120)*HoursPerDay)</f>
        <v/>
      </c>
      <c r="Y120" s="14" t="str">
        <f aca="false">IF(AE120=0,"",IF(NOT(LH_Ready),"",IF(BA120=0,N120,IF(PFYDate&lt;$F120,N120-N(T120)-N(U120),X120-N(U120)))))</f>
        <v/>
      </c>
      <c r="Z120" s="13" t="str">
        <f aca="false">IF(OR(AE120=0,Y120=""),"",IF(Y120&gt;0,"Yes","No"))</f>
        <v/>
      </c>
      <c r="AA120" s="13"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 hrs more than policy since commencement",IF(N(W120)&gt;O120*HoursPerDay+0.01,"CHECK - EH balance "&amp;ROUND(W120-O120*HoursPerDay,2)&amp;" hrs more than policy entitlement",IF(O120&gt;0,"OK - nothing to add",IF(AQ120="None",R120,"Not yet - first day on "&amp;TEXT(S120,"dd/mm/yyyy")))))))))</f>
        <v/>
      </c>
      <c r="AB120" s="14" t="str">
        <f aca="false">IF(OR(AE120=0,T120=""),"",AY120*HoursPerDay-T120)</f>
        <v/>
      </c>
      <c r="AC120" s="13" t="str">
        <f aca="false">IF(AE120=0,"",BA120)</f>
        <v/>
      </c>
      <c r="AD120" s="13"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3" t="n">
        <f aca="false">IF(OR(LEN($A120&amp;$B120)=0,$F120=""),0,1)</f>
        <v>0</v>
      </c>
      <c r="AF120" s="11" t="str">
        <f aca="false">IF(AE120=0,"",IF($J120&lt;&gt;"",$J120,IF(OR(CasualCounts="Yes",COUNT($G120:$I120)=0,COUNT($G120:$H120)=0),$F120,MIN($G120:$H120))))</f>
        <v/>
      </c>
      <c r="AG120" s="13" t="str">
        <f aca="false">IF(AE120=0,"",COUNT($G120:$I120))</f>
        <v/>
      </c>
      <c r="AH120" s="11" t="str">
        <f aca="false">IF(AE120=0,"",IFERROR(SMALL($G120:$I120,1),""))</f>
        <v/>
      </c>
      <c r="AI120" s="11" t="str">
        <f aca="false">IF(AE120=0,"",IFERROR(SMALL($G120:$I120,2),""))</f>
        <v/>
      </c>
      <c r="AJ120" s="11" t="str">
        <f aca="false">IF(AE120=0,"",IFERROR(SMALL($G120:$I120,3),""))</f>
        <v/>
      </c>
      <c r="AK120" s="13" t="str">
        <f aca="false">IF(AE120=0,"",IF(AH120="","",IF(AH120=$G120,"Part-Time",IF(AH120=$H120,"Full-Time","Casual"))))</f>
        <v/>
      </c>
      <c r="AL120" s="13" t="str">
        <f aca="false">IF(AE120=0,"",IF(AI120="","",IF(AI120=$G120,"Part-Time",IF(AI120=$H120,"Full-Time","Casual"))))</f>
        <v/>
      </c>
      <c r="AM120" s="13" t="str">
        <f aca="false">IF(AE120=0,"",IF(AJ120="","",IF(AJ120=$G120,"Part-Time",IF(AJ120=$H120,"Full-Time","Casual"))))</f>
        <v/>
      </c>
      <c r="AN120" s="13"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3" t="str">
        <f aca="false">IF(AE120=0,"",IF(AG120&lt;2,"",IF(OR(ISNUMBER(SEARCH("full",AL120)),UPPER(TRIM(AL120))="FT",UPPER(TRIM(AL120))="FTE"),"FT",IF(AND(OR(ISNUMBER(SEARCH("part",AL120)),UPPER(TRIM(AL120))="PT",UPPER(TRIM(AL120))="PTE"),OR($P120="",N($P120)&gt;=PT_MinHours)),"PT","None"))))</f>
        <v/>
      </c>
      <c r="AP120" s="13" t="str">
        <f aca="false">IF(AE120=0,"",IF(AG120&lt;3,"",IF(OR(ISNUMBER(SEARCH("full",AM120)),UPPER(TRIM(AM120))="FT",UPPER(TRIM(AM120))="FTE"),"FT",IF(AND(OR(ISNUMBER(SEARCH("part",AM120)),UPPER(TRIM(AM120))="PT",UPPER(TRIM(AM120))="PTE"),OR($P120="",N($P120)&gt;=PT_MinHours)),"PT","None"))))</f>
        <v/>
      </c>
      <c r="AQ120" s="13" t="str">
        <f aca="false">IF(AE120=0,"",IF(AND(AG120&gt;=3,AJ120&lt;=AsOfDate),AP120,IF(AND(AG120&gt;=2,AI120&lt;=AsOfDate),AO120,AN120)))</f>
        <v/>
      </c>
      <c r="AR120" s="13" t="str">
        <f aca="false">IF(AE120=0,"",IF(AsOfDate&lt;AF120,-1,12*(YEAR(AsOfDate)-YEAR(AF120))+MONTH(AsOfDate)-MONTH(AF120)-IF(DAY(AsOfDate)&lt;MIN(DAY(AF120),DAY(EOMONTH(AsOfDate,0))),1,0)))</f>
        <v/>
      </c>
      <c r="AS120" s="13" t="str">
        <f aca="false">IF(AE120=0,"",IF(OR(AG120&lt;2,AI120&gt;AsOfDate),AR120,IF((AI120-1)&lt;AF120,-1,12*(YEAR((AI120-1))-YEAR(AF120))+MONTH((AI120-1))-MONTH(AF120)-IF(DAY((AI120-1))&lt;MIN(DAY(AF120),DAY(EOMONTH((AI120-1),0))),1,0))))</f>
        <v/>
      </c>
      <c r="AT120" s="13" t="str">
        <f aca="false">IF(AE120=0,"",IF(OR(AG120&lt;3,AJ120&gt;AsOfDate),AR120,IF((AJ120-1)&lt;AF120,-1,12*(YEAR((AJ120-1))-YEAR(AF120))+MONTH((AJ120-1))-MONTH(AF120)-IF(DAY((AJ120-1))&lt;MIN(DAY(AF120),DAY(EOMONTH((AJ120-1),0))),1,0))))</f>
        <v/>
      </c>
      <c r="AU120" s="13" t="str">
        <f aca="false">IF(AE120=0,"",IF(PFYDate&lt;AF120,-1,12*(YEAR(PFYDate)-YEAR(AF120))+MONTH(PFYDate)-MONTH(AF120)-IF(DAY(PFYDate)&lt;MIN(DAY(AF120),DAY(EOMONTH(PFYDate,0))),1,0)))</f>
        <v/>
      </c>
      <c r="AV120" s="13" t="str">
        <f aca="false">IF(AE120=0,"",IF(OR(AG120&lt;2,AI120&gt;PFYDate),AU120,IF((AI120-1)&lt;AF120,-1,12*(YEAR((AI120-1))-YEAR(AF120))+MONTH((AI120-1))-MONTH(AF120)-IF(DAY((AI120-1))&lt;MIN(DAY(AF120),DAY(EOMONTH((AI120-1),0))),1,0))))</f>
        <v/>
      </c>
      <c r="AW120" s="13" t="str">
        <f aca="false">IF(AE120=0,"",IF(OR(AG120&lt;3,AJ120&gt;PFYDate),AU120,IF((AJ120-1)&lt;AF120,-1,12*(YEAR((AJ120-1))-YEAR(AF120))+MONTH((AJ120-1))-MONTH(AF120)-IF(DAY((AJ120-1))&lt;MIN(DAY(AF120),DAY(EOMONTH((AJ120-1),0))),1,0))))</f>
        <v/>
      </c>
      <c r="AX120" s="13"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3"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3" t="str">
        <f aca="false">IF(AE120=0,"",IF(AQ120="FT",IF(AR120&lt;FT_First,FT_First,IF(AR120&lt;FT_Y5,MIN(FT_Y5,FT_First+FT_Int1*(INT((AR120-FT_First)/FT_Int1)+1)),FT_Y5+12*INT((AR120-FT_Y5)/12)+FT_Int2*(INT(MOD(AR120-FT_Y5,12)/FT_Int2)+1))),IF(AQ120="PT",IF(AR120&lt;PT_First,PT_First,PT_First+PT_Int*(INT((AR120-PT_First)/PT_Int)+1)),"")))</f>
        <v/>
      </c>
      <c r="BA120" s="13" t="str">
        <f aca="false">IF(AE120=0,"",IF(NOT(LH_Ready),0,COUNTIFS(INDEX(LH_Data,0,LH_ColFirst),$A120,INDEX(LH_Data,0,LH_ColSur),$B120,INDEX(LH_Data,0,LH_ColCat),BonusCat)))</f>
        <v/>
      </c>
      <c r="BB120" s="13" t="str">
        <f aca="false">IF(AE120=0,"",IF(OR(NOT(LH_Ready),BA120=0),0,SUMPRODUCT(MAX((INDEX(LH_Data,0,LH_ColFirst)=$A120)*(INDEX(LH_Data,0,LH_ColSur)=$B120)*(INDEX(LH_Data,0,LH_ColCat)=BonusCat)*ROW(LH_Data)))))</f>
        <v/>
      </c>
      <c r="BC120" s="0" t="str">
        <f aca="false">IF(LEN($A120&amp;$B120)=0,"",$A120&amp;" "&amp;$B120)</f>
        <v/>
      </c>
    </row>
    <row r="121" customFormat="false" ht="15" hidden="false" customHeight="false" outlineLevel="0" collapsed="false">
      <c r="A121" s="9"/>
      <c r="B121" s="9"/>
      <c r="C121" s="9"/>
      <c r="D121" s="10"/>
      <c r="E121" s="11" t="str">
        <f aca="false">IF(OR(AE121=0,$D121=""),"",DATE(YEAR(AsOfDate)+IF(DATE(YEAR(AsOfDate),MONTH($D121),DAY($D121))&lt;=AsOfDate,1,0),MONTH($D121),DAY($D121)))</f>
        <v/>
      </c>
      <c r="F121" s="10"/>
      <c r="G121" s="10"/>
      <c r="H121" s="10"/>
      <c r="I121" s="10"/>
      <c r="J121" s="10"/>
      <c r="K121" s="11" t="str">
        <f aca="false">IF(AE121=0,"",DATE(YEAR(AsOfDate)+IF(DATE(YEAR(AsOfDate),MONTH(AF121),DAY(AF121))&lt;=AsOfDate,1,0),MONTH(AF121),DAY(AF121)))</f>
        <v/>
      </c>
      <c r="L121" s="12" t="str">
        <f aca="false">IF(AE121=0,"",ROUND((AsOfDate-AF121)/365.25,1))</f>
        <v/>
      </c>
      <c r="M121" s="13" t="str">
        <f aca="false">IF(AE121=0,"",IF(AsOfDate&lt;AF121,"-",DATEDIF(AF121,AsOfDate,"y")&amp;"y "&amp;DATEDIF(AF121,AsOfDate,"ym")&amp;"m "&amp;DATEDIF(AF121,AsOfDate,"md")&amp;"d"))</f>
        <v/>
      </c>
      <c r="N121" s="14" t="str">
        <f aca="false">IF(AE121=0,"",O121*HoursPerDay)</f>
        <v/>
      </c>
      <c r="O121" s="14" t="str">
        <f aca="false">IF(AE121=0,"",AX121)</f>
        <v/>
      </c>
      <c r="P121" s="15"/>
      <c r="Q121" s="13"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13"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1" t="str">
        <f aca="false">IF(AE121=0,"",IF(AQ121="None","",EDATE(AF121,AZ121)))</f>
        <v/>
      </c>
      <c r="T121" s="14" t="str">
        <f aca="false">IF(AE121=0,"",IF(NOT(LH_Ready),"",IF(AF121&gt;PFYDate,0,IF(LH_ColPeriod=0,W121-U121+V121,SUMIFS(INDEX(LH_Data,0,LH_ColAcc),INDEX(LH_Data,0,LH_ColFirst),$A121,INDEX(LH_Data,0,LH_ColSur),$B121,INDEX(LH_Data,0,LH_ColCat),BonusCat,INDEX(LH_Data,0,LH_ColPeriod),LH_OpenLabel)*UnitFactor))))</f>
        <v/>
      </c>
      <c r="U121" s="14" t="str">
        <f aca="false">IF(AE121=0,"",IF(NOT(LH_Ready),"",SUMIFS(INDEX(LH_Data,0,LH_ColAcc),INDEX(LH_Data,0,LH_ColFirst),$A121,INDEX(LH_Data,0,LH_ColSur),$B121,INDEX(LH_Data,0,LH_ColCat),BonusCat,INDEX(LH_Data,0,LH_ColStart),"&gt;="&amp;AF121)*UnitFactor))</f>
        <v/>
      </c>
      <c r="V121" s="14" t="str">
        <f aca="false">IF(AE121=0,"",IF(NOT(LH_Ready),"",SUMIFS(INDEX(LH_Data,0,LH_ColTaken),INDEX(LH_Data,0,LH_ColFirst),$A121,INDEX(LH_Data,0,LH_ColSur),$B121,INDEX(LH_Data,0,LH_ColCat),BonusCat,INDEX(LH_Data,0,LH_ColStart),"&gt;="&amp;AF121)*UnitFactor))</f>
        <v/>
      </c>
      <c r="W121" s="14" t="str">
        <f aca="false">IF(AE121=0,"",IF(NOT(LH_Ready),"",IF(BB121=0,0,INDEX(INDEX(LH_Data,0,LH_ColClose),BB121-1)*UnitFactor)))</f>
        <v/>
      </c>
      <c r="X121" s="14" t="str">
        <f aca="false">IF(AE121=0,"",(AX121-AY121)*HoursPerDay)</f>
        <v/>
      </c>
      <c r="Y121" s="14" t="str">
        <f aca="false">IF(AE121=0,"",IF(NOT(LH_Ready),"",IF(BA121=0,N121,IF(PFYDate&lt;$F121,N121-N(T121)-N(U121),X121-N(U121)))))</f>
        <v/>
      </c>
      <c r="Z121" s="13" t="str">
        <f aca="false">IF(OR(AE121=0,Y121=""),"",IF(Y121&gt;0,"Yes","No"))</f>
        <v/>
      </c>
      <c r="AA121" s="13"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 hrs more than policy since commencement",IF(N(W121)&gt;O121*HoursPerDay+0.01,"CHECK - EH balance "&amp;ROUND(W121-O121*HoursPerDay,2)&amp;" hrs more than policy entitlement",IF(O121&gt;0,"OK - nothing to add",IF(AQ121="None",R121,"Not yet - first day on "&amp;TEXT(S121,"dd/mm/yyyy")))))))))</f>
        <v/>
      </c>
      <c r="AB121" s="14" t="str">
        <f aca="false">IF(OR(AE121=0,T121=""),"",AY121*HoursPerDay-T121)</f>
        <v/>
      </c>
      <c r="AC121" s="13" t="str">
        <f aca="false">IF(AE121=0,"",BA121)</f>
        <v/>
      </c>
      <c r="AD121" s="13"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3" t="n">
        <f aca="false">IF(OR(LEN($A121&amp;$B121)=0,$F121=""),0,1)</f>
        <v>0</v>
      </c>
      <c r="AF121" s="11" t="str">
        <f aca="false">IF(AE121=0,"",IF($J121&lt;&gt;"",$J121,IF(OR(CasualCounts="Yes",COUNT($G121:$I121)=0,COUNT($G121:$H121)=0),$F121,MIN($G121:$H121))))</f>
        <v/>
      </c>
      <c r="AG121" s="13" t="str">
        <f aca="false">IF(AE121=0,"",COUNT($G121:$I121))</f>
        <v/>
      </c>
      <c r="AH121" s="11" t="str">
        <f aca="false">IF(AE121=0,"",IFERROR(SMALL($G121:$I121,1),""))</f>
        <v/>
      </c>
      <c r="AI121" s="11" t="str">
        <f aca="false">IF(AE121=0,"",IFERROR(SMALL($G121:$I121,2),""))</f>
        <v/>
      </c>
      <c r="AJ121" s="11" t="str">
        <f aca="false">IF(AE121=0,"",IFERROR(SMALL($G121:$I121,3),""))</f>
        <v/>
      </c>
      <c r="AK121" s="13" t="str">
        <f aca="false">IF(AE121=0,"",IF(AH121="","",IF(AH121=$G121,"Part-Time",IF(AH121=$H121,"Full-Time","Casual"))))</f>
        <v/>
      </c>
      <c r="AL121" s="13" t="str">
        <f aca="false">IF(AE121=0,"",IF(AI121="","",IF(AI121=$G121,"Part-Time",IF(AI121=$H121,"Full-Time","Casual"))))</f>
        <v/>
      </c>
      <c r="AM121" s="13" t="str">
        <f aca="false">IF(AE121=0,"",IF(AJ121="","",IF(AJ121=$G121,"Part-Time",IF(AJ121=$H121,"Full-Time","Casual"))))</f>
        <v/>
      </c>
      <c r="AN121" s="13"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3" t="str">
        <f aca="false">IF(AE121=0,"",IF(AG121&lt;2,"",IF(OR(ISNUMBER(SEARCH("full",AL121)),UPPER(TRIM(AL121))="FT",UPPER(TRIM(AL121))="FTE"),"FT",IF(AND(OR(ISNUMBER(SEARCH("part",AL121)),UPPER(TRIM(AL121))="PT",UPPER(TRIM(AL121))="PTE"),OR($P121="",N($P121)&gt;=PT_MinHours)),"PT","None"))))</f>
        <v/>
      </c>
      <c r="AP121" s="13" t="str">
        <f aca="false">IF(AE121=0,"",IF(AG121&lt;3,"",IF(OR(ISNUMBER(SEARCH("full",AM121)),UPPER(TRIM(AM121))="FT",UPPER(TRIM(AM121))="FTE"),"FT",IF(AND(OR(ISNUMBER(SEARCH("part",AM121)),UPPER(TRIM(AM121))="PT",UPPER(TRIM(AM121))="PTE"),OR($P121="",N($P121)&gt;=PT_MinHours)),"PT","None"))))</f>
        <v/>
      </c>
      <c r="AQ121" s="13" t="str">
        <f aca="false">IF(AE121=0,"",IF(AND(AG121&gt;=3,AJ121&lt;=AsOfDate),AP121,IF(AND(AG121&gt;=2,AI121&lt;=AsOfDate),AO121,AN121)))</f>
        <v/>
      </c>
      <c r="AR121" s="13" t="str">
        <f aca="false">IF(AE121=0,"",IF(AsOfDate&lt;AF121,-1,12*(YEAR(AsOfDate)-YEAR(AF121))+MONTH(AsOfDate)-MONTH(AF121)-IF(DAY(AsOfDate)&lt;MIN(DAY(AF121),DAY(EOMONTH(AsOfDate,0))),1,0)))</f>
        <v/>
      </c>
      <c r="AS121" s="13" t="str">
        <f aca="false">IF(AE121=0,"",IF(OR(AG121&lt;2,AI121&gt;AsOfDate),AR121,IF((AI121-1)&lt;AF121,-1,12*(YEAR((AI121-1))-YEAR(AF121))+MONTH((AI121-1))-MONTH(AF121)-IF(DAY((AI121-1))&lt;MIN(DAY(AF121),DAY(EOMONTH((AI121-1),0))),1,0))))</f>
        <v/>
      </c>
      <c r="AT121" s="13" t="str">
        <f aca="false">IF(AE121=0,"",IF(OR(AG121&lt;3,AJ121&gt;AsOfDate),AR121,IF((AJ121-1)&lt;AF121,-1,12*(YEAR((AJ121-1))-YEAR(AF121))+MONTH((AJ121-1))-MONTH(AF121)-IF(DAY((AJ121-1))&lt;MIN(DAY(AF121),DAY(EOMONTH((AJ121-1),0))),1,0))))</f>
        <v/>
      </c>
      <c r="AU121" s="13" t="str">
        <f aca="false">IF(AE121=0,"",IF(PFYDate&lt;AF121,-1,12*(YEAR(PFYDate)-YEAR(AF121))+MONTH(PFYDate)-MONTH(AF121)-IF(DAY(PFYDate)&lt;MIN(DAY(AF121),DAY(EOMONTH(PFYDate,0))),1,0)))</f>
        <v/>
      </c>
      <c r="AV121" s="13" t="str">
        <f aca="false">IF(AE121=0,"",IF(OR(AG121&lt;2,AI121&gt;PFYDate),AU121,IF((AI121-1)&lt;AF121,-1,12*(YEAR((AI121-1))-YEAR(AF121))+MONTH((AI121-1))-MONTH(AF121)-IF(DAY((AI121-1))&lt;MIN(DAY(AF121),DAY(EOMONTH((AI121-1),0))),1,0))))</f>
        <v/>
      </c>
      <c r="AW121" s="13" t="str">
        <f aca="false">IF(AE121=0,"",IF(OR(AG121&lt;3,AJ121&gt;PFYDate),AU121,IF((AJ121-1)&lt;AF121,-1,12*(YEAR((AJ121-1))-YEAR(AF121))+MONTH((AJ121-1))-MONTH(AF121)-IF(DAY((AJ121-1))&lt;MIN(DAY(AF121),DAY(EOMONTH((AJ121-1),0))),1,0))))</f>
        <v/>
      </c>
      <c r="AX121" s="13"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3"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3" t="str">
        <f aca="false">IF(AE121=0,"",IF(AQ121="FT",IF(AR121&lt;FT_First,FT_First,IF(AR121&lt;FT_Y5,MIN(FT_Y5,FT_First+FT_Int1*(INT((AR121-FT_First)/FT_Int1)+1)),FT_Y5+12*INT((AR121-FT_Y5)/12)+FT_Int2*(INT(MOD(AR121-FT_Y5,12)/FT_Int2)+1))),IF(AQ121="PT",IF(AR121&lt;PT_First,PT_First,PT_First+PT_Int*(INT((AR121-PT_First)/PT_Int)+1)),"")))</f>
        <v/>
      </c>
      <c r="BA121" s="13" t="str">
        <f aca="false">IF(AE121=0,"",IF(NOT(LH_Ready),0,COUNTIFS(INDEX(LH_Data,0,LH_ColFirst),$A121,INDEX(LH_Data,0,LH_ColSur),$B121,INDEX(LH_Data,0,LH_ColCat),BonusCat)))</f>
        <v/>
      </c>
      <c r="BB121" s="13" t="str">
        <f aca="false">IF(AE121=0,"",IF(OR(NOT(LH_Ready),BA121=0),0,SUMPRODUCT(MAX((INDEX(LH_Data,0,LH_ColFirst)=$A121)*(INDEX(LH_Data,0,LH_ColSur)=$B121)*(INDEX(LH_Data,0,LH_ColCat)=BonusCat)*ROW(LH_Data)))))</f>
        <v/>
      </c>
      <c r="BC121" s="0" t="str">
        <f aca="false">IF(LEN($A121&amp;$B121)=0,"",$A121&amp;" "&amp;$B121)</f>
        <v/>
      </c>
    </row>
    <row r="122" customFormat="false" ht="15" hidden="false" customHeight="false" outlineLevel="0" collapsed="false">
      <c r="A122" s="9"/>
      <c r="B122" s="9"/>
      <c r="C122" s="9"/>
      <c r="D122" s="10"/>
      <c r="E122" s="11" t="str">
        <f aca="false">IF(OR(AE122=0,$D122=""),"",DATE(YEAR(AsOfDate)+IF(DATE(YEAR(AsOfDate),MONTH($D122),DAY($D122))&lt;=AsOfDate,1,0),MONTH($D122),DAY($D122)))</f>
        <v/>
      </c>
      <c r="F122" s="10"/>
      <c r="G122" s="10"/>
      <c r="H122" s="10"/>
      <c r="I122" s="10"/>
      <c r="J122" s="10"/>
      <c r="K122" s="11" t="str">
        <f aca="false">IF(AE122=0,"",DATE(YEAR(AsOfDate)+IF(DATE(YEAR(AsOfDate),MONTH(AF122),DAY(AF122))&lt;=AsOfDate,1,0),MONTH(AF122),DAY(AF122)))</f>
        <v/>
      </c>
      <c r="L122" s="12" t="str">
        <f aca="false">IF(AE122=0,"",ROUND((AsOfDate-AF122)/365.25,1))</f>
        <v/>
      </c>
      <c r="M122" s="13" t="str">
        <f aca="false">IF(AE122=0,"",IF(AsOfDate&lt;AF122,"-",DATEDIF(AF122,AsOfDate,"y")&amp;"y "&amp;DATEDIF(AF122,AsOfDate,"ym")&amp;"m "&amp;DATEDIF(AF122,AsOfDate,"md")&amp;"d"))</f>
        <v/>
      </c>
      <c r="N122" s="14" t="str">
        <f aca="false">IF(AE122=0,"",O122*HoursPerDay)</f>
        <v/>
      </c>
      <c r="O122" s="14" t="str">
        <f aca="false">IF(AE122=0,"",AX122)</f>
        <v/>
      </c>
      <c r="P122" s="15"/>
      <c r="Q122" s="13"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13"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1" t="str">
        <f aca="false">IF(AE122=0,"",IF(AQ122="None","",EDATE(AF122,AZ122)))</f>
        <v/>
      </c>
      <c r="T122" s="14" t="str">
        <f aca="false">IF(AE122=0,"",IF(NOT(LH_Ready),"",IF(AF122&gt;PFYDate,0,IF(LH_ColPeriod=0,W122-U122+V122,SUMIFS(INDEX(LH_Data,0,LH_ColAcc),INDEX(LH_Data,0,LH_ColFirst),$A122,INDEX(LH_Data,0,LH_ColSur),$B122,INDEX(LH_Data,0,LH_ColCat),BonusCat,INDEX(LH_Data,0,LH_ColPeriod),LH_OpenLabel)*UnitFactor))))</f>
        <v/>
      </c>
      <c r="U122" s="14" t="str">
        <f aca="false">IF(AE122=0,"",IF(NOT(LH_Ready),"",SUMIFS(INDEX(LH_Data,0,LH_ColAcc),INDEX(LH_Data,0,LH_ColFirst),$A122,INDEX(LH_Data,0,LH_ColSur),$B122,INDEX(LH_Data,0,LH_ColCat),BonusCat,INDEX(LH_Data,0,LH_ColStart),"&gt;="&amp;AF122)*UnitFactor))</f>
        <v/>
      </c>
      <c r="V122" s="14" t="str">
        <f aca="false">IF(AE122=0,"",IF(NOT(LH_Ready),"",SUMIFS(INDEX(LH_Data,0,LH_ColTaken),INDEX(LH_Data,0,LH_ColFirst),$A122,INDEX(LH_Data,0,LH_ColSur),$B122,INDEX(LH_Data,0,LH_ColCat),BonusCat,INDEX(LH_Data,0,LH_ColStart),"&gt;="&amp;AF122)*UnitFactor))</f>
        <v/>
      </c>
      <c r="W122" s="14" t="str">
        <f aca="false">IF(AE122=0,"",IF(NOT(LH_Ready),"",IF(BB122=0,0,INDEX(INDEX(LH_Data,0,LH_ColClose),BB122-1)*UnitFactor)))</f>
        <v/>
      </c>
      <c r="X122" s="14" t="str">
        <f aca="false">IF(AE122=0,"",(AX122-AY122)*HoursPerDay)</f>
        <v/>
      </c>
      <c r="Y122" s="14" t="str">
        <f aca="false">IF(AE122=0,"",IF(NOT(LH_Ready),"",IF(BA122=0,N122,IF(PFYDate&lt;$F122,N122-N(T122)-N(U122),X122-N(U122)))))</f>
        <v/>
      </c>
      <c r="Z122" s="13" t="str">
        <f aca="false">IF(OR(AE122=0,Y122=""),"",IF(Y122&gt;0,"Yes","No"))</f>
        <v/>
      </c>
      <c r="AA122" s="13"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 hrs more than policy since commencement",IF(N(W122)&gt;O122*HoursPerDay+0.01,"CHECK - EH balance "&amp;ROUND(W122-O122*HoursPerDay,2)&amp;" hrs more than policy entitlement",IF(O122&gt;0,"OK - nothing to add",IF(AQ122="None",R122,"Not yet - first day on "&amp;TEXT(S122,"dd/mm/yyyy")))))))))</f>
        <v/>
      </c>
      <c r="AB122" s="14" t="str">
        <f aca="false">IF(OR(AE122=0,T122=""),"",AY122*HoursPerDay-T122)</f>
        <v/>
      </c>
      <c r="AC122" s="13" t="str">
        <f aca="false">IF(AE122=0,"",BA122)</f>
        <v/>
      </c>
      <c r="AD122" s="13"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3" t="n">
        <f aca="false">IF(OR(LEN($A122&amp;$B122)=0,$F122=""),0,1)</f>
        <v>0</v>
      </c>
      <c r="AF122" s="11" t="str">
        <f aca="false">IF(AE122=0,"",IF($J122&lt;&gt;"",$J122,IF(OR(CasualCounts="Yes",COUNT($G122:$I122)=0,COUNT($G122:$H122)=0),$F122,MIN($G122:$H122))))</f>
        <v/>
      </c>
      <c r="AG122" s="13" t="str">
        <f aca="false">IF(AE122=0,"",COUNT($G122:$I122))</f>
        <v/>
      </c>
      <c r="AH122" s="11" t="str">
        <f aca="false">IF(AE122=0,"",IFERROR(SMALL($G122:$I122,1),""))</f>
        <v/>
      </c>
      <c r="AI122" s="11" t="str">
        <f aca="false">IF(AE122=0,"",IFERROR(SMALL($G122:$I122,2),""))</f>
        <v/>
      </c>
      <c r="AJ122" s="11" t="str">
        <f aca="false">IF(AE122=0,"",IFERROR(SMALL($G122:$I122,3),""))</f>
        <v/>
      </c>
      <c r="AK122" s="13" t="str">
        <f aca="false">IF(AE122=0,"",IF(AH122="","",IF(AH122=$G122,"Part-Time",IF(AH122=$H122,"Full-Time","Casual"))))</f>
        <v/>
      </c>
      <c r="AL122" s="13" t="str">
        <f aca="false">IF(AE122=0,"",IF(AI122="","",IF(AI122=$G122,"Part-Time",IF(AI122=$H122,"Full-Time","Casual"))))</f>
        <v/>
      </c>
      <c r="AM122" s="13" t="str">
        <f aca="false">IF(AE122=0,"",IF(AJ122="","",IF(AJ122=$G122,"Part-Time",IF(AJ122=$H122,"Full-Time","Casual"))))</f>
        <v/>
      </c>
      <c r="AN122" s="13"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3" t="str">
        <f aca="false">IF(AE122=0,"",IF(AG122&lt;2,"",IF(OR(ISNUMBER(SEARCH("full",AL122)),UPPER(TRIM(AL122))="FT",UPPER(TRIM(AL122))="FTE"),"FT",IF(AND(OR(ISNUMBER(SEARCH("part",AL122)),UPPER(TRIM(AL122))="PT",UPPER(TRIM(AL122))="PTE"),OR($P122="",N($P122)&gt;=PT_MinHours)),"PT","None"))))</f>
        <v/>
      </c>
      <c r="AP122" s="13" t="str">
        <f aca="false">IF(AE122=0,"",IF(AG122&lt;3,"",IF(OR(ISNUMBER(SEARCH("full",AM122)),UPPER(TRIM(AM122))="FT",UPPER(TRIM(AM122))="FTE"),"FT",IF(AND(OR(ISNUMBER(SEARCH("part",AM122)),UPPER(TRIM(AM122))="PT",UPPER(TRIM(AM122))="PTE"),OR($P122="",N($P122)&gt;=PT_MinHours)),"PT","None"))))</f>
        <v/>
      </c>
      <c r="AQ122" s="13" t="str">
        <f aca="false">IF(AE122=0,"",IF(AND(AG122&gt;=3,AJ122&lt;=AsOfDate),AP122,IF(AND(AG122&gt;=2,AI122&lt;=AsOfDate),AO122,AN122)))</f>
        <v/>
      </c>
      <c r="AR122" s="13" t="str">
        <f aca="false">IF(AE122=0,"",IF(AsOfDate&lt;AF122,-1,12*(YEAR(AsOfDate)-YEAR(AF122))+MONTH(AsOfDate)-MONTH(AF122)-IF(DAY(AsOfDate)&lt;MIN(DAY(AF122),DAY(EOMONTH(AsOfDate,0))),1,0)))</f>
        <v/>
      </c>
      <c r="AS122" s="13" t="str">
        <f aca="false">IF(AE122=0,"",IF(OR(AG122&lt;2,AI122&gt;AsOfDate),AR122,IF((AI122-1)&lt;AF122,-1,12*(YEAR((AI122-1))-YEAR(AF122))+MONTH((AI122-1))-MONTH(AF122)-IF(DAY((AI122-1))&lt;MIN(DAY(AF122),DAY(EOMONTH((AI122-1),0))),1,0))))</f>
        <v/>
      </c>
      <c r="AT122" s="13" t="str">
        <f aca="false">IF(AE122=0,"",IF(OR(AG122&lt;3,AJ122&gt;AsOfDate),AR122,IF((AJ122-1)&lt;AF122,-1,12*(YEAR((AJ122-1))-YEAR(AF122))+MONTH((AJ122-1))-MONTH(AF122)-IF(DAY((AJ122-1))&lt;MIN(DAY(AF122),DAY(EOMONTH((AJ122-1),0))),1,0))))</f>
        <v/>
      </c>
      <c r="AU122" s="13" t="str">
        <f aca="false">IF(AE122=0,"",IF(PFYDate&lt;AF122,-1,12*(YEAR(PFYDate)-YEAR(AF122))+MONTH(PFYDate)-MONTH(AF122)-IF(DAY(PFYDate)&lt;MIN(DAY(AF122),DAY(EOMONTH(PFYDate,0))),1,0)))</f>
        <v/>
      </c>
      <c r="AV122" s="13" t="str">
        <f aca="false">IF(AE122=0,"",IF(OR(AG122&lt;2,AI122&gt;PFYDate),AU122,IF((AI122-1)&lt;AF122,-1,12*(YEAR((AI122-1))-YEAR(AF122))+MONTH((AI122-1))-MONTH(AF122)-IF(DAY((AI122-1))&lt;MIN(DAY(AF122),DAY(EOMONTH((AI122-1),0))),1,0))))</f>
        <v/>
      </c>
      <c r="AW122" s="13" t="str">
        <f aca="false">IF(AE122=0,"",IF(OR(AG122&lt;3,AJ122&gt;PFYDate),AU122,IF((AJ122-1)&lt;AF122,-1,12*(YEAR((AJ122-1))-YEAR(AF122))+MONTH((AJ122-1))-MONTH(AF122)-IF(DAY((AJ122-1))&lt;MIN(DAY(AF122),DAY(EOMONTH((AJ122-1),0))),1,0))))</f>
        <v/>
      </c>
      <c r="AX122" s="13"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3"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3" t="str">
        <f aca="false">IF(AE122=0,"",IF(AQ122="FT",IF(AR122&lt;FT_First,FT_First,IF(AR122&lt;FT_Y5,MIN(FT_Y5,FT_First+FT_Int1*(INT((AR122-FT_First)/FT_Int1)+1)),FT_Y5+12*INT((AR122-FT_Y5)/12)+FT_Int2*(INT(MOD(AR122-FT_Y5,12)/FT_Int2)+1))),IF(AQ122="PT",IF(AR122&lt;PT_First,PT_First,PT_First+PT_Int*(INT((AR122-PT_First)/PT_Int)+1)),"")))</f>
        <v/>
      </c>
      <c r="BA122" s="13" t="str">
        <f aca="false">IF(AE122=0,"",IF(NOT(LH_Ready),0,COUNTIFS(INDEX(LH_Data,0,LH_ColFirst),$A122,INDEX(LH_Data,0,LH_ColSur),$B122,INDEX(LH_Data,0,LH_ColCat),BonusCat)))</f>
        <v/>
      </c>
      <c r="BB122" s="13" t="str">
        <f aca="false">IF(AE122=0,"",IF(OR(NOT(LH_Ready),BA122=0),0,SUMPRODUCT(MAX((INDEX(LH_Data,0,LH_ColFirst)=$A122)*(INDEX(LH_Data,0,LH_ColSur)=$B122)*(INDEX(LH_Data,0,LH_ColCat)=BonusCat)*ROW(LH_Data)))))</f>
        <v/>
      </c>
      <c r="BC122" s="0" t="str">
        <f aca="false">IF(LEN($A122&amp;$B122)=0,"",$A122&amp;" "&amp;$B122)</f>
        <v/>
      </c>
    </row>
    <row r="123" customFormat="false" ht="15" hidden="false" customHeight="false" outlineLevel="0" collapsed="false">
      <c r="A123" s="9"/>
      <c r="B123" s="9"/>
      <c r="C123" s="9"/>
      <c r="D123" s="10"/>
      <c r="E123" s="11" t="str">
        <f aca="false">IF(OR(AE123=0,$D123=""),"",DATE(YEAR(AsOfDate)+IF(DATE(YEAR(AsOfDate),MONTH($D123),DAY($D123))&lt;=AsOfDate,1,0),MONTH($D123),DAY($D123)))</f>
        <v/>
      </c>
      <c r="F123" s="10"/>
      <c r="G123" s="10"/>
      <c r="H123" s="10"/>
      <c r="I123" s="10"/>
      <c r="J123" s="10"/>
      <c r="K123" s="11" t="str">
        <f aca="false">IF(AE123=0,"",DATE(YEAR(AsOfDate)+IF(DATE(YEAR(AsOfDate),MONTH(AF123),DAY(AF123))&lt;=AsOfDate,1,0),MONTH(AF123),DAY(AF123)))</f>
        <v/>
      </c>
      <c r="L123" s="12" t="str">
        <f aca="false">IF(AE123=0,"",ROUND((AsOfDate-AF123)/365.25,1))</f>
        <v/>
      </c>
      <c r="M123" s="13" t="str">
        <f aca="false">IF(AE123=0,"",IF(AsOfDate&lt;AF123,"-",DATEDIF(AF123,AsOfDate,"y")&amp;"y "&amp;DATEDIF(AF123,AsOfDate,"ym")&amp;"m "&amp;DATEDIF(AF123,AsOfDate,"md")&amp;"d"))</f>
        <v/>
      </c>
      <c r="N123" s="14" t="str">
        <f aca="false">IF(AE123=0,"",O123*HoursPerDay)</f>
        <v/>
      </c>
      <c r="O123" s="14" t="str">
        <f aca="false">IF(AE123=0,"",AX123)</f>
        <v/>
      </c>
      <c r="P123" s="15"/>
      <c r="Q123" s="13"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13"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1" t="str">
        <f aca="false">IF(AE123=0,"",IF(AQ123="None","",EDATE(AF123,AZ123)))</f>
        <v/>
      </c>
      <c r="T123" s="14" t="str">
        <f aca="false">IF(AE123=0,"",IF(NOT(LH_Ready),"",IF(AF123&gt;PFYDate,0,IF(LH_ColPeriod=0,W123-U123+V123,SUMIFS(INDEX(LH_Data,0,LH_ColAcc),INDEX(LH_Data,0,LH_ColFirst),$A123,INDEX(LH_Data,0,LH_ColSur),$B123,INDEX(LH_Data,0,LH_ColCat),BonusCat,INDEX(LH_Data,0,LH_ColPeriod),LH_OpenLabel)*UnitFactor))))</f>
        <v/>
      </c>
      <c r="U123" s="14" t="str">
        <f aca="false">IF(AE123=0,"",IF(NOT(LH_Ready),"",SUMIFS(INDEX(LH_Data,0,LH_ColAcc),INDEX(LH_Data,0,LH_ColFirst),$A123,INDEX(LH_Data,0,LH_ColSur),$B123,INDEX(LH_Data,0,LH_ColCat),BonusCat,INDEX(LH_Data,0,LH_ColStart),"&gt;="&amp;AF123)*UnitFactor))</f>
        <v/>
      </c>
      <c r="V123" s="14" t="str">
        <f aca="false">IF(AE123=0,"",IF(NOT(LH_Ready),"",SUMIFS(INDEX(LH_Data,0,LH_ColTaken),INDEX(LH_Data,0,LH_ColFirst),$A123,INDEX(LH_Data,0,LH_ColSur),$B123,INDEX(LH_Data,0,LH_ColCat),BonusCat,INDEX(LH_Data,0,LH_ColStart),"&gt;="&amp;AF123)*UnitFactor))</f>
        <v/>
      </c>
      <c r="W123" s="14" t="str">
        <f aca="false">IF(AE123=0,"",IF(NOT(LH_Ready),"",IF(BB123=0,0,INDEX(INDEX(LH_Data,0,LH_ColClose),BB123-1)*UnitFactor)))</f>
        <v/>
      </c>
      <c r="X123" s="14" t="str">
        <f aca="false">IF(AE123=0,"",(AX123-AY123)*HoursPerDay)</f>
        <v/>
      </c>
      <c r="Y123" s="14" t="str">
        <f aca="false">IF(AE123=0,"",IF(NOT(LH_Ready),"",IF(BA123=0,N123,IF(PFYDate&lt;$F123,N123-N(T123)-N(U123),X123-N(U123)))))</f>
        <v/>
      </c>
      <c r="Z123" s="13" t="str">
        <f aca="false">IF(OR(AE123=0,Y123=""),"",IF(Y123&gt;0,"Yes","No"))</f>
        <v/>
      </c>
      <c r="AA123" s="13"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 hrs more than policy since commencement",IF(N(W123)&gt;O123*HoursPerDay+0.01,"CHECK - EH balance "&amp;ROUND(W123-O123*HoursPerDay,2)&amp;" hrs more than policy entitlement",IF(O123&gt;0,"OK - nothing to add",IF(AQ123="None",R123,"Not yet - first day on "&amp;TEXT(S123,"dd/mm/yyyy")))))))))</f>
        <v/>
      </c>
      <c r="AB123" s="14" t="str">
        <f aca="false">IF(OR(AE123=0,T123=""),"",AY123*HoursPerDay-T123)</f>
        <v/>
      </c>
      <c r="AC123" s="13" t="str">
        <f aca="false">IF(AE123=0,"",BA123)</f>
        <v/>
      </c>
      <c r="AD123" s="13"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3" t="n">
        <f aca="false">IF(OR(LEN($A123&amp;$B123)=0,$F123=""),0,1)</f>
        <v>0</v>
      </c>
      <c r="AF123" s="11" t="str">
        <f aca="false">IF(AE123=0,"",IF($J123&lt;&gt;"",$J123,IF(OR(CasualCounts="Yes",COUNT($G123:$I123)=0,COUNT($G123:$H123)=0),$F123,MIN($G123:$H123))))</f>
        <v/>
      </c>
      <c r="AG123" s="13" t="str">
        <f aca="false">IF(AE123=0,"",COUNT($G123:$I123))</f>
        <v/>
      </c>
      <c r="AH123" s="11" t="str">
        <f aca="false">IF(AE123=0,"",IFERROR(SMALL($G123:$I123,1),""))</f>
        <v/>
      </c>
      <c r="AI123" s="11" t="str">
        <f aca="false">IF(AE123=0,"",IFERROR(SMALL($G123:$I123,2),""))</f>
        <v/>
      </c>
      <c r="AJ123" s="11" t="str">
        <f aca="false">IF(AE123=0,"",IFERROR(SMALL($G123:$I123,3),""))</f>
        <v/>
      </c>
      <c r="AK123" s="13" t="str">
        <f aca="false">IF(AE123=0,"",IF(AH123="","",IF(AH123=$G123,"Part-Time",IF(AH123=$H123,"Full-Time","Casual"))))</f>
        <v/>
      </c>
      <c r="AL123" s="13" t="str">
        <f aca="false">IF(AE123=0,"",IF(AI123="","",IF(AI123=$G123,"Part-Time",IF(AI123=$H123,"Full-Time","Casual"))))</f>
        <v/>
      </c>
      <c r="AM123" s="13" t="str">
        <f aca="false">IF(AE123=0,"",IF(AJ123="","",IF(AJ123=$G123,"Part-Time",IF(AJ123=$H123,"Full-Time","Casual"))))</f>
        <v/>
      </c>
      <c r="AN123" s="13"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3" t="str">
        <f aca="false">IF(AE123=0,"",IF(AG123&lt;2,"",IF(OR(ISNUMBER(SEARCH("full",AL123)),UPPER(TRIM(AL123))="FT",UPPER(TRIM(AL123))="FTE"),"FT",IF(AND(OR(ISNUMBER(SEARCH("part",AL123)),UPPER(TRIM(AL123))="PT",UPPER(TRIM(AL123))="PTE"),OR($P123="",N($P123)&gt;=PT_MinHours)),"PT","None"))))</f>
        <v/>
      </c>
      <c r="AP123" s="13" t="str">
        <f aca="false">IF(AE123=0,"",IF(AG123&lt;3,"",IF(OR(ISNUMBER(SEARCH("full",AM123)),UPPER(TRIM(AM123))="FT",UPPER(TRIM(AM123))="FTE"),"FT",IF(AND(OR(ISNUMBER(SEARCH("part",AM123)),UPPER(TRIM(AM123))="PT",UPPER(TRIM(AM123))="PTE"),OR($P123="",N($P123)&gt;=PT_MinHours)),"PT","None"))))</f>
        <v/>
      </c>
      <c r="AQ123" s="13" t="str">
        <f aca="false">IF(AE123=0,"",IF(AND(AG123&gt;=3,AJ123&lt;=AsOfDate),AP123,IF(AND(AG123&gt;=2,AI123&lt;=AsOfDate),AO123,AN123)))</f>
        <v/>
      </c>
      <c r="AR123" s="13" t="str">
        <f aca="false">IF(AE123=0,"",IF(AsOfDate&lt;AF123,-1,12*(YEAR(AsOfDate)-YEAR(AF123))+MONTH(AsOfDate)-MONTH(AF123)-IF(DAY(AsOfDate)&lt;MIN(DAY(AF123),DAY(EOMONTH(AsOfDate,0))),1,0)))</f>
        <v/>
      </c>
      <c r="AS123" s="13" t="str">
        <f aca="false">IF(AE123=0,"",IF(OR(AG123&lt;2,AI123&gt;AsOfDate),AR123,IF((AI123-1)&lt;AF123,-1,12*(YEAR((AI123-1))-YEAR(AF123))+MONTH((AI123-1))-MONTH(AF123)-IF(DAY((AI123-1))&lt;MIN(DAY(AF123),DAY(EOMONTH((AI123-1),0))),1,0))))</f>
        <v/>
      </c>
      <c r="AT123" s="13" t="str">
        <f aca="false">IF(AE123=0,"",IF(OR(AG123&lt;3,AJ123&gt;AsOfDate),AR123,IF((AJ123-1)&lt;AF123,-1,12*(YEAR((AJ123-1))-YEAR(AF123))+MONTH((AJ123-1))-MONTH(AF123)-IF(DAY((AJ123-1))&lt;MIN(DAY(AF123),DAY(EOMONTH((AJ123-1),0))),1,0))))</f>
        <v/>
      </c>
      <c r="AU123" s="13" t="str">
        <f aca="false">IF(AE123=0,"",IF(PFYDate&lt;AF123,-1,12*(YEAR(PFYDate)-YEAR(AF123))+MONTH(PFYDate)-MONTH(AF123)-IF(DAY(PFYDate)&lt;MIN(DAY(AF123),DAY(EOMONTH(PFYDate,0))),1,0)))</f>
        <v/>
      </c>
      <c r="AV123" s="13" t="str">
        <f aca="false">IF(AE123=0,"",IF(OR(AG123&lt;2,AI123&gt;PFYDate),AU123,IF((AI123-1)&lt;AF123,-1,12*(YEAR((AI123-1))-YEAR(AF123))+MONTH((AI123-1))-MONTH(AF123)-IF(DAY((AI123-1))&lt;MIN(DAY(AF123),DAY(EOMONTH((AI123-1),0))),1,0))))</f>
        <v/>
      </c>
      <c r="AW123" s="13" t="str">
        <f aca="false">IF(AE123=0,"",IF(OR(AG123&lt;3,AJ123&gt;PFYDate),AU123,IF((AJ123-1)&lt;AF123,-1,12*(YEAR((AJ123-1))-YEAR(AF123))+MONTH((AJ123-1))-MONTH(AF123)-IF(DAY((AJ123-1))&lt;MIN(DAY(AF123),DAY(EOMONTH((AJ123-1),0))),1,0))))</f>
        <v/>
      </c>
      <c r="AX123" s="13"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3"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3" t="str">
        <f aca="false">IF(AE123=0,"",IF(AQ123="FT",IF(AR123&lt;FT_First,FT_First,IF(AR123&lt;FT_Y5,MIN(FT_Y5,FT_First+FT_Int1*(INT((AR123-FT_First)/FT_Int1)+1)),FT_Y5+12*INT((AR123-FT_Y5)/12)+FT_Int2*(INT(MOD(AR123-FT_Y5,12)/FT_Int2)+1))),IF(AQ123="PT",IF(AR123&lt;PT_First,PT_First,PT_First+PT_Int*(INT((AR123-PT_First)/PT_Int)+1)),"")))</f>
        <v/>
      </c>
      <c r="BA123" s="13" t="str">
        <f aca="false">IF(AE123=0,"",IF(NOT(LH_Ready),0,COUNTIFS(INDEX(LH_Data,0,LH_ColFirst),$A123,INDEX(LH_Data,0,LH_ColSur),$B123,INDEX(LH_Data,0,LH_ColCat),BonusCat)))</f>
        <v/>
      </c>
      <c r="BB123" s="13" t="str">
        <f aca="false">IF(AE123=0,"",IF(OR(NOT(LH_Ready),BA123=0),0,SUMPRODUCT(MAX((INDEX(LH_Data,0,LH_ColFirst)=$A123)*(INDEX(LH_Data,0,LH_ColSur)=$B123)*(INDEX(LH_Data,0,LH_ColCat)=BonusCat)*ROW(LH_Data)))))</f>
        <v/>
      </c>
      <c r="BC123" s="0" t="str">
        <f aca="false">IF(LEN($A123&amp;$B123)=0,"",$A123&amp;" "&amp;$B123)</f>
        <v/>
      </c>
    </row>
    <row r="124" customFormat="false" ht="15" hidden="false" customHeight="false" outlineLevel="0" collapsed="false">
      <c r="A124" s="9"/>
      <c r="B124" s="9"/>
      <c r="C124" s="9"/>
      <c r="D124" s="10"/>
      <c r="E124" s="11" t="str">
        <f aca="false">IF(OR(AE124=0,$D124=""),"",DATE(YEAR(AsOfDate)+IF(DATE(YEAR(AsOfDate),MONTH($D124),DAY($D124))&lt;=AsOfDate,1,0),MONTH($D124),DAY($D124)))</f>
        <v/>
      </c>
      <c r="F124" s="10"/>
      <c r="G124" s="10"/>
      <c r="H124" s="10"/>
      <c r="I124" s="10"/>
      <c r="J124" s="10"/>
      <c r="K124" s="11" t="str">
        <f aca="false">IF(AE124=0,"",DATE(YEAR(AsOfDate)+IF(DATE(YEAR(AsOfDate),MONTH(AF124),DAY(AF124))&lt;=AsOfDate,1,0),MONTH(AF124),DAY(AF124)))</f>
        <v/>
      </c>
      <c r="L124" s="12" t="str">
        <f aca="false">IF(AE124=0,"",ROUND((AsOfDate-AF124)/365.25,1))</f>
        <v/>
      </c>
      <c r="M124" s="13" t="str">
        <f aca="false">IF(AE124=0,"",IF(AsOfDate&lt;AF124,"-",DATEDIF(AF124,AsOfDate,"y")&amp;"y "&amp;DATEDIF(AF124,AsOfDate,"ym")&amp;"m "&amp;DATEDIF(AF124,AsOfDate,"md")&amp;"d"))</f>
        <v/>
      </c>
      <c r="N124" s="14" t="str">
        <f aca="false">IF(AE124=0,"",O124*HoursPerDay)</f>
        <v/>
      </c>
      <c r="O124" s="14" t="str">
        <f aca="false">IF(AE124=0,"",AX124)</f>
        <v/>
      </c>
      <c r="P124" s="15"/>
      <c r="Q124" s="13"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13"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1" t="str">
        <f aca="false">IF(AE124=0,"",IF(AQ124="None","",EDATE(AF124,AZ124)))</f>
        <v/>
      </c>
      <c r="T124" s="14" t="str">
        <f aca="false">IF(AE124=0,"",IF(NOT(LH_Ready),"",IF(AF124&gt;PFYDate,0,IF(LH_ColPeriod=0,W124-U124+V124,SUMIFS(INDEX(LH_Data,0,LH_ColAcc),INDEX(LH_Data,0,LH_ColFirst),$A124,INDEX(LH_Data,0,LH_ColSur),$B124,INDEX(LH_Data,0,LH_ColCat),BonusCat,INDEX(LH_Data,0,LH_ColPeriod),LH_OpenLabel)*UnitFactor))))</f>
        <v/>
      </c>
      <c r="U124" s="14" t="str">
        <f aca="false">IF(AE124=0,"",IF(NOT(LH_Ready),"",SUMIFS(INDEX(LH_Data,0,LH_ColAcc),INDEX(LH_Data,0,LH_ColFirst),$A124,INDEX(LH_Data,0,LH_ColSur),$B124,INDEX(LH_Data,0,LH_ColCat),BonusCat,INDEX(LH_Data,0,LH_ColStart),"&gt;="&amp;AF124)*UnitFactor))</f>
        <v/>
      </c>
      <c r="V124" s="14" t="str">
        <f aca="false">IF(AE124=0,"",IF(NOT(LH_Ready),"",SUMIFS(INDEX(LH_Data,0,LH_ColTaken),INDEX(LH_Data,0,LH_ColFirst),$A124,INDEX(LH_Data,0,LH_ColSur),$B124,INDEX(LH_Data,0,LH_ColCat),BonusCat,INDEX(LH_Data,0,LH_ColStart),"&gt;="&amp;AF124)*UnitFactor))</f>
        <v/>
      </c>
      <c r="W124" s="14" t="str">
        <f aca="false">IF(AE124=0,"",IF(NOT(LH_Ready),"",IF(BB124=0,0,INDEX(INDEX(LH_Data,0,LH_ColClose),BB124-1)*UnitFactor)))</f>
        <v/>
      </c>
      <c r="X124" s="14" t="str">
        <f aca="false">IF(AE124=0,"",(AX124-AY124)*HoursPerDay)</f>
        <v/>
      </c>
      <c r="Y124" s="14" t="str">
        <f aca="false">IF(AE124=0,"",IF(NOT(LH_Ready),"",IF(BA124=0,N124,IF(PFYDate&lt;$F124,N124-N(T124)-N(U124),X124-N(U124)))))</f>
        <v/>
      </c>
      <c r="Z124" s="13" t="str">
        <f aca="false">IF(OR(AE124=0,Y124=""),"",IF(Y124&gt;0,"Yes","No"))</f>
        <v/>
      </c>
      <c r="AA124" s="13"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 hrs more than policy since commencement",IF(N(W124)&gt;O124*HoursPerDay+0.01,"CHECK - EH balance "&amp;ROUND(W124-O124*HoursPerDay,2)&amp;" hrs more than policy entitlement",IF(O124&gt;0,"OK - nothing to add",IF(AQ124="None",R124,"Not yet - first day on "&amp;TEXT(S124,"dd/mm/yyyy")))))))))</f>
        <v/>
      </c>
      <c r="AB124" s="14" t="str">
        <f aca="false">IF(OR(AE124=0,T124=""),"",AY124*HoursPerDay-T124)</f>
        <v/>
      </c>
      <c r="AC124" s="13" t="str">
        <f aca="false">IF(AE124=0,"",BA124)</f>
        <v/>
      </c>
      <c r="AD124" s="13"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3" t="n">
        <f aca="false">IF(OR(LEN($A124&amp;$B124)=0,$F124=""),0,1)</f>
        <v>0</v>
      </c>
      <c r="AF124" s="11" t="str">
        <f aca="false">IF(AE124=0,"",IF($J124&lt;&gt;"",$J124,IF(OR(CasualCounts="Yes",COUNT($G124:$I124)=0,COUNT($G124:$H124)=0),$F124,MIN($G124:$H124))))</f>
        <v/>
      </c>
      <c r="AG124" s="13" t="str">
        <f aca="false">IF(AE124=0,"",COUNT($G124:$I124))</f>
        <v/>
      </c>
      <c r="AH124" s="11" t="str">
        <f aca="false">IF(AE124=0,"",IFERROR(SMALL($G124:$I124,1),""))</f>
        <v/>
      </c>
      <c r="AI124" s="11" t="str">
        <f aca="false">IF(AE124=0,"",IFERROR(SMALL($G124:$I124,2),""))</f>
        <v/>
      </c>
      <c r="AJ124" s="11" t="str">
        <f aca="false">IF(AE124=0,"",IFERROR(SMALL($G124:$I124,3),""))</f>
        <v/>
      </c>
      <c r="AK124" s="13" t="str">
        <f aca="false">IF(AE124=0,"",IF(AH124="","",IF(AH124=$G124,"Part-Time",IF(AH124=$H124,"Full-Time","Casual"))))</f>
        <v/>
      </c>
      <c r="AL124" s="13" t="str">
        <f aca="false">IF(AE124=0,"",IF(AI124="","",IF(AI124=$G124,"Part-Time",IF(AI124=$H124,"Full-Time","Casual"))))</f>
        <v/>
      </c>
      <c r="AM124" s="13" t="str">
        <f aca="false">IF(AE124=0,"",IF(AJ124="","",IF(AJ124=$G124,"Part-Time",IF(AJ124=$H124,"Full-Time","Casual"))))</f>
        <v/>
      </c>
      <c r="AN124" s="13"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3" t="str">
        <f aca="false">IF(AE124=0,"",IF(AG124&lt;2,"",IF(OR(ISNUMBER(SEARCH("full",AL124)),UPPER(TRIM(AL124))="FT",UPPER(TRIM(AL124))="FTE"),"FT",IF(AND(OR(ISNUMBER(SEARCH("part",AL124)),UPPER(TRIM(AL124))="PT",UPPER(TRIM(AL124))="PTE"),OR($P124="",N($P124)&gt;=PT_MinHours)),"PT","None"))))</f>
        <v/>
      </c>
      <c r="AP124" s="13" t="str">
        <f aca="false">IF(AE124=0,"",IF(AG124&lt;3,"",IF(OR(ISNUMBER(SEARCH("full",AM124)),UPPER(TRIM(AM124))="FT",UPPER(TRIM(AM124))="FTE"),"FT",IF(AND(OR(ISNUMBER(SEARCH("part",AM124)),UPPER(TRIM(AM124))="PT",UPPER(TRIM(AM124))="PTE"),OR($P124="",N($P124)&gt;=PT_MinHours)),"PT","None"))))</f>
        <v/>
      </c>
      <c r="AQ124" s="13" t="str">
        <f aca="false">IF(AE124=0,"",IF(AND(AG124&gt;=3,AJ124&lt;=AsOfDate),AP124,IF(AND(AG124&gt;=2,AI124&lt;=AsOfDate),AO124,AN124)))</f>
        <v/>
      </c>
      <c r="AR124" s="13" t="str">
        <f aca="false">IF(AE124=0,"",IF(AsOfDate&lt;AF124,-1,12*(YEAR(AsOfDate)-YEAR(AF124))+MONTH(AsOfDate)-MONTH(AF124)-IF(DAY(AsOfDate)&lt;MIN(DAY(AF124),DAY(EOMONTH(AsOfDate,0))),1,0)))</f>
        <v/>
      </c>
      <c r="AS124" s="13" t="str">
        <f aca="false">IF(AE124=0,"",IF(OR(AG124&lt;2,AI124&gt;AsOfDate),AR124,IF((AI124-1)&lt;AF124,-1,12*(YEAR((AI124-1))-YEAR(AF124))+MONTH((AI124-1))-MONTH(AF124)-IF(DAY((AI124-1))&lt;MIN(DAY(AF124),DAY(EOMONTH((AI124-1),0))),1,0))))</f>
        <v/>
      </c>
      <c r="AT124" s="13" t="str">
        <f aca="false">IF(AE124=0,"",IF(OR(AG124&lt;3,AJ124&gt;AsOfDate),AR124,IF((AJ124-1)&lt;AF124,-1,12*(YEAR((AJ124-1))-YEAR(AF124))+MONTH((AJ124-1))-MONTH(AF124)-IF(DAY((AJ124-1))&lt;MIN(DAY(AF124),DAY(EOMONTH((AJ124-1),0))),1,0))))</f>
        <v/>
      </c>
      <c r="AU124" s="13" t="str">
        <f aca="false">IF(AE124=0,"",IF(PFYDate&lt;AF124,-1,12*(YEAR(PFYDate)-YEAR(AF124))+MONTH(PFYDate)-MONTH(AF124)-IF(DAY(PFYDate)&lt;MIN(DAY(AF124),DAY(EOMONTH(PFYDate,0))),1,0)))</f>
        <v/>
      </c>
      <c r="AV124" s="13" t="str">
        <f aca="false">IF(AE124=0,"",IF(OR(AG124&lt;2,AI124&gt;PFYDate),AU124,IF((AI124-1)&lt;AF124,-1,12*(YEAR((AI124-1))-YEAR(AF124))+MONTH((AI124-1))-MONTH(AF124)-IF(DAY((AI124-1))&lt;MIN(DAY(AF124),DAY(EOMONTH((AI124-1),0))),1,0))))</f>
        <v/>
      </c>
      <c r="AW124" s="13" t="str">
        <f aca="false">IF(AE124=0,"",IF(OR(AG124&lt;3,AJ124&gt;PFYDate),AU124,IF((AJ124-1)&lt;AF124,-1,12*(YEAR((AJ124-1))-YEAR(AF124))+MONTH((AJ124-1))-MONTH(AF124)-IF(DAY((AJ124-1))&lt;MIN(DAY(AF124),DAY(EOMONTH((AJ124-1),0))),1,0))))</f>
        <v/>
      </c>
      <c r="AX124" s="13"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3"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3" t="str">
        <f aca="false">IF(AE124=0,"",IF(AQ124="FT",IF(AR124&lt;FT_First,FT_First,IF(AR124&lt;FT_Y5,MIN(FT_Y5,FT_First+FT_Int1*(INT((AR124-FT_First)/FT_Int1)+1)),FT_Y5+12*INT((AR124-FT_Y5)/12)+FT_Int2*(INT(MOD(AR124-FT_Y5,12)/FT_Int2)+1))),IF(AQ124="PT",IF(AR124&lt;PT_First,PT_First,PT_First+PT_Int*(INT((AR124-PT_First)/PT_Int)+1)),"")))</f>
        <v/>
      </c>
      <c r="BA124" s="13" t="str">
        <f aca="false">IF(AE124=0,"",IF(NOT(LH_Ready),0,COUNTIFS(INDEX(LH_Data,0,LH_ColFirst),$A124,INDEX(LH_Data,0,LH_ColSur),$B124,INDEX(LH_Data,0,LH_ColCat),BonusCat)))</f>
        <v/>
      </c>
      <c r="BB124" s="13" t="str">
        <f aca="false">IF(AE124=0,"",IF(OR(NOT(LH_Ready),BA124=0),0,SUMPRODUCT(MAX((INDEX(LH_Data,0,LH_ColFirst)=$A124)*(INDEX(LH_Data,0,LH_ColSur)=$B124)*(INDEX(LH_Data,0,LH_ColCat)=BonusCat)*ROW(LH_Data)))))</f>
        <v/>
      </c>
      <c r="BC124" s="0" t="str">
        <f aca="false">IF(LEN($A124&amp;$B124)=0,"",$A124&amp;" "&amp;$B124)</f>
        <v/>
      </c>
    </row>
    <row r="125" customFormat="false" ht="15" hidden="false" customHeight="false" outlineLevel="0" collapsed="false">
      <c r="A125" s="9"/>
      <c r="B125" s="9"/>
      <c r="C125" s="9"/>
      <c r="D125" s="10"/>
      <c r="E125" s="11" t="str">
        <f aca="false">IF(OR(AE125=0,$D125=""),"",DATE(YEAR(AsOfDate)+IF(DATE(YEAR(AsOfDate),MONTH($D125),DAY($D125))&lt;=AsOfDate,1,0),MONTH($D125),DAY($D125)))</f>
        <v/>
      </c>
      <c r="F125" s="10"/>
      <c r="G125" s="10"/>
      <c r="H125" s="10"/>
      <c r="I125" s="10"/>
      <c r="J125" s="10"/>
      <c r="K125" s="11" t="str">
        <f aca="false">IF(AE125=0,"",DATE(YEAR(AsOfDate)+IF(DATE(YEAR(AsOfDate),MONTH(AF125),DAY(AF125))&lt;=AsOfDate,1,0),MONTH(AF125),DAY(AF125)))</f>
        <v/>
      </c>
      <c r="L125" s="12" t="str">
        <f aca="false">IF(AE125=0,"",ROUND((AsOfDate-AF125)/365.25,1))</f>
        <v/>
      </c>
      <c r="M125" s="13" t="str">
        <f aca="false">IF(AE125=0,"",IF(AsOfDate&lt;AF125,"-",DATEDIF(AF125,AsOfDate,"y")&amp;"y "&amp;DATEDIF(AF125,AsOfDate,"ym")&amp;"m "&amp;DATEDIF(AF125,AsOfDate,"md")&amp;"d"))</f>
        <v/>
      </c>
      <c r="N125" s="14" t="str">
        <f aca="false">IF(AE125=0,"",O125*HoursPerDay)</f>
        <v/>
      </c>
      <c r="O125" s="14" t="str">
        <f aca="false">IF(AE125=0,"",AX125)</f>
        <v/>
      </c>
      <c r="P125" s="15"/>
      <c r="Q125" s="13"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13"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1" t="str">
        <f aca="false">IF(AE125=0,"",IF(AQ125="None","",EDATE(AF125,AZ125)))</f>
        <v/>
      </c>
      <c r="T125" s="14" t="str">
        <f aca="false">IF(AE125=0,"",IF(NOT(LH_Ready),"",IF(AF125&gt;PFYDate,0,IF(LH_ColPeriod=0,W125-U125+V125,SUMIFS(INDEX(LH_Data,0,LH_ColAcc),INDEX(LH_Data,0,LH_ColFirst),$A125,INDEX(LH_Data,0,LH_ColSur),$B125,INDEX(LH_Data,0,LH_ColCat),BonusCat,INDEX(LH_Data,0,LH_ColPeriod),LH_OpenLabel)*UnitFactor))))</f>
        <v/>
      </c>
      <c r="U125" s="14" t="str">
        <f aca="false">IF(AE125=0,"",IF(NOT(LH_Ready),"",SUMIFS(INDEX(LH_Data,0,LH_ColAcc),INDEX(LH_Data,0,LH_ColFirst),$A125,INDEX(LH_Data,0,LH_ColSur),$B125,INDEX(LH_Data,0,LH_ColCat),BonusCat,INDEX(LH_Data,0,LH_ColStart),"&gt;="&amp;AF125)*UnitFactor))</f>
        <v/>
      </c>
      <c r="V125" s="14" t="str">
        <f aca="false">IF(AE125=0,"",IF(NOT(LH_Ready),"",SUMIFS(INDEX(LH_Data,0,LH_ColTaken),INDEX(LH_Data,0,LH_ColFirst),$A125,INDEX(LH_Data,0,LH_ColSur),$B125,INDEX(LH_Data,0,LH_ColCat),BonusCat,INDEX(LH_Data,0,LH_ColStart),"&gt;="&amp;AF125)*UnitFactor))</f>
        <v/>
      </c>
      <c r="W125" s="14" t="str">
        <f aca="false">IF(AE125=0,"",IF(NOT(LH_Ready),"",IF(BB125=0,0,INDEX(INDEX(LH_Data,0,LH_ColClose),BB125-1)*UnitFactor)))</f>
        <v/>
      </c>
      <c r="X125" s="14" t="str">
        <f aca="false">IF(AE125=0,"",(AX125-AY125)*HoursPerDay)</f>
        <v/>
      </c>
      <c r="Y125" s="14" t="str">
        <f aca="false">IF(AE125=0,"",IF(NOT(LH_Ready),"",IF(BA125=0,N125,IF(PFYDate&lt;$F125,N125-N(T125)-N(U125),X125-N(U125)))))</f>
        <v/>
      </c>
      <c r="Z125" s="13" t="str">
        <f aca="false">IF(OR(AE125=0,Y125=""),"",IF(Y125&gt;0,"Yes","No"))</f>
        <v/>
      </c>
      <c r="AA125" s="13"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 hrs more than policy since commencement",IF(N(W125)&gt;O125*HoursPerDay+0.01,"CHECK - EH balance "&amp;ROUND(W125-O125*HoursPerDay,2)&amp;" hrs more than policy entitlement",IF(O125&gt;0,"OK - nothing to add",IF(AQ125="None",R125,"Not yet - first day on "&amp;TEXT(S125,"dd/mm/yyyy")))))))))</f>
        <v/>
      </c>
      <c r="AB125" s="14" t="str">
        <f aca="false">IF(OR(AE125=0,T125=""),"",AY125*HoursPerDay-T125)</f>
        <v/>
      </c>
      <c r="AC125" s="13" t="str">
        <f aca="false">IF(AE125=0,"",BA125)</f>
        <v/>
      </c>
      <c r="AD125" s="13"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3" t="n">
        <f aca="false">IF(OR(LEN($A125&amp;$B125)=0,$F125=""),0,1)</f>
        <v>0</v>
      </c>
      <c r="AF125" s="11" t="str">
        <f aca="false">IF(AE125=0,"",IF($J125&lt;&gt;"",$J125,IF(OR(CasualCounts="Yes",COUNT($G125:$I125)=0,COUNT($G125:$H125)=0),$F125,MIN($G125:$H125))))</f>
        <v/>
      </c>
      <c r="AG125" s="13" t="str">
        <f aca="false">IF(AE125=0,"",COUNT($G125:$I125))</f>
        <v/>
      </c>
      <c r="AH125" s="11" t="str">
        <f aca="false">IF(AE125=0,"",IFERROR(SMALL($G125:$I125,1),""))</f>
        <v/>
      </c>
      <c r="AI125" s="11" t="str">
        <f aca="false">IF(AE125=0,"",IFERROR(SMALL($G125:$I125,2),""))</f>
        <v/>
      </c>
      <c r="AJ125" s="11" t="str">
        <f aca="false">IF(AE125=0,"",IFERROR(SMALL($G125:$I125,3),""))</f>
        <v/>
      </c>
      <c r="AK125" s="13" t="str">
        <f aca="false">IF(AE125=0,"",IF(AH125="","",IF(AH125=$G125,"Part-Time",IF(AH125=$H125,"Full-Time","Casual"))))</f>
        <v/>
      </c>
      <c r="AL125" s="13" t="str">
        <f aca="false">IF(AE125=0,"",IF(AI125="","",IF(AI125=$G125,"Part-Time",IF(AI125=$H125,"Full-Time","Casual"))))</f>
        <v/>
      </c>
      <c r="AM125" s="13" t="str">
        <f aca="false">IF(AE125=0,"",IF(AJ125="","",IF(AJ125=$G125,"Part-Time",IF(AJ125=$H125,"Full-Time","Casual"))))</f>
        <v/>
      </c>
      <c r="AN125" s="13"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3" t="str">
        <f aca="false">IF(AE125=0,"",IF(AG125&lt;2,"",IF(OR(ISNUMBER(SEARCH("full",AL125)),UPPER(TRIM(AL125))="FT",UPPER(TRIM(AL125))="FTE"),"FT",IF(AND(OR(ISNUMBER(SEARCH("part",AL125)),UPPER(TRIM(AL125))="PT",UPPER(TRIM(AL125))="PTE"),OR($P125="",N($P125)&gt;=PT_MinHours)),"PT","None"))))</f>
        <v/>
      </c>
      <c r="AP125" s="13" t="str">
        <f aca="false">IF(AE125=0,"",IF(AG125&lt;3,"",IF(OR(ISNUMBER(SEARCH("full",AM125)),UPPER(TRIM(AM125))="FT",UPPER(TRIM(AM125))="FTE"),"FT",IF(AND(OR(ISNUMBER(SEARCH("part",AM125)),UPPER(TRIM(AM125))="PT",UPPER(TRIM(AM125))="PTE"),OR($P125="",N($P125)&gt;=PT_MinHours)),"PT","None"))))</f>
        <v/>
      </c>
      <c r="AQ125" s="13" t="str">
        <f aca="false">IF(AE125=0,"",IF(AND(AG125&gt;=3,AJ125&lt;=AsOfDate),AP125,IF(AND(AG125&gt;=2,AI125&lt;=AsOfDate),AO125,AN125)))</f>
        <v/>
      </c>
      <c r="AR125" s="13" t="str">
        <f aca="false">IF(AE125=0,"",IF(AsOfDate&lt;AF125,-1,12*(YEAR(AsOfDate)-YEAR(AF125))+MONTH(AsOfDate)-MONTH(AF125)-IF(DAY(AsOfDate)&lt;MIN(DAY(AF125),DAY(EOMONTH(AsOfDate,0))),1,0)))</f>
        <v/>
      </c>
      <c r="AS125" s="13" t="str">
        <f aca="false">IF(AE125=0,"",IF(OR(AG125&lt;2,AI125&gt;AsOfDate),AR125,IF((AI125-1)&lt;AF125,-1,12*(YEAR((AI125-1))-YEAR(AF125))+MONTH((AI125-1))-MONTH(AF125)-IF(DAY((AI125-1))&lt;MIN(DAY(AF125),DAY(EOMONTH((AI125-1),0))),1,0))))</f>
        <v/>
      </c>
      <c r="AT125" s="13" t="str">
        <f aca="false">IF(AE125=0,"",IF(OR(AG125&lt;3,AJ125&gt;AsOfDate),AR125,IF((AJ125-1)&lt;AF125,-1,12*(YEAR((AJ125-1))-YEAR(AF125))+MONTH((AJ125-1))-MONTH(AF125)-IF(DAY((AJ125-1))&lt;MIN(DAY(AF125),DAY(EOMONTH((AJ125-1),0))),1,0))))</f>
        <v/>
      </c>
      <c r="AU125" s="13" t="str">
        <f aca="false">IF(AE125=0,"",IF(PFYDate&lt;AF125,-1,12*(YEAR(PFYDate)-YEAR(AF125))+MONTH(PFYDate)-MONTH(AF125)-IF(DAY(PFYDate)&lt;MIN(DAY(AF125),DAY(EOMONTH(PFYDate,0))),1,0)))</f>
        <v/>
      </c>
      <c r="AV125" s="13" t="str">
        <f aca="false">IF(AE125=0,"",IF(OR(AG125&lt;2,AI125&gt;PFYDate),AU125,IF((AI125-1)&lt;AF125,-1,12*(YEAR((AI125-1))-YEAR(AF125))+MONTH((AI125-1))-MONTH(AF125)-IF(DAY((AI125-1))&lt;MIN(DAY(AF125),DAY(EOMONTH((AI125-1),0))),1,0))))</f>
        <v/>
      </c>
      <c r="AW125" s="13" t="str">
        <f aca="false">IF(AE125=0,"",IF(OR(AG125&lt;3,AJ125&gt;PFYDate),AU125,IF((AJ125-1)&lt;AF125,-1,12*(YEAR((AJ125-1))-YEAR(AF125))+MONTH((AJ125-1))-MONTH(AF125)-IF(DAY((AJ125-1))&lt;MIN(DAY(AF125),DAY(EOMONTH((AJ125-1),0))),1,0))))</f>
        <v/>
      </c>
      <c r="AX125" s="13"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3"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3" t="str">
        <f aca="false">IF(AE125=0,"",IF(AQ125="FT",IF(AR125&lt;FT_First,FT_First,IF(AR125&lt;FT_Y5,MIN(FT_Y5,FT_First+FT_Int1*(INT((AR125-FT_First)/FT_Int1)+1)),FT_Y5+12*INT((AR125-FT_Y5)/12)+FT_Int2*(INT(MOD(AR125-FT_Y5,12)/FT_Int2)+1))),IF(AQ125="PT",IF(AR125&lt;PT_First,PT_First,PT_First+PT_Int*(INT((AR125-PT_First)/PT_Int)+1)),"")))</f>
        <v/>
      </c>
      <c r="BA125" s="13" t="str">
        <f aca="false">IF(AE125=0,"",IF(NOT(LH_Ready),0,COUNTIFS(INDEX(LH_Data,0,LH_ColFirst),$A125,INDEX(LH_Data,0,LH_ColSur),$B125,INDEX(LH_Data,0,LH_ColCat),BonusCat)))</f>
        <v/>
      </c>
      <c r="BB125" s="13" t="str">
        <f aca="false">IF(AE125=0,"",IF(OR(NOT(LH_Ready),BA125=0),0,SUMPRODUCT(MAX((INDEX(LH_Data,0,LH_ColFirst)=$A125)*(INDEX(LH_Data,0,LH_ColSur)=$B125)*(INDEX(LH_Data,0,LH_ColCat)=BonusCat)*ROW(LH_Data)))))</f>
        <v/>
      </c>
      <c r="BC125" s="0" t="str">
        <f aca="false">IF(LEN($A125&amp;$B125)=0,"",$A125&amp;" "&amp;$B125)</f>
        <v/>
      </c>
    </row>
    <row r="126" customFormat="false" ht="15" hidden="false" customHeight="false" outlineLevel="0" collapsed="false">
      <c r="A126" s="9"/>
      <c r="B126" s="9"/>
      <c r="C126" s="9"/>
      <c r="D126" s="10"/>
      <c r="E126" s="11" t="str">
        <f aca="false">IF(OR(AE126=0,$D126=""),"",DATE(YEAR(AsOfDate)+IF(DATE(YEAR(AsOfDate),MONTH($D126),DAY($D126))&lt;=AsOfDate,1,0),MONTH($D126),DAY($D126)))</f>
        <v/>
      </c>
      <c r="F126" s="10"/>
      <c r="G126" s="10"/>
      <c r="H126" s="10"/>
      <c r="I126" s="10"/>
      <c r="J126" s="10"/>
      <c r="K126" s="11" t="str">
        <f aca="false">IF(AE126=0,"",DATE(YEAR(AsOfDate)+IF(DATE(YEAR(AsOfDate),MONTH(AF126),DAY(AF126))&lt;=AsOfDate,1,0),MONTH(AF126),DAY(AF126)))</f>
        <v/>
      </c>
      <c r="L126" s="12" t="str">
        <f aca="false">IF(AE126=0,"",ROUND((AsOfDate-AF126)/365.25,1))</f>
        <v/>
      </c>
      <c r="M126" s="13" t="str">
        <f aca="false">IF(AE126=0,"",IF(AsOfDate&lt;AF126,"-",DATEDIF(AF126,AsOfDate,"y")&amp;"y "&amp;DATEDIF(AF126,AsOfDate,"ym")&amp;"m "&amp;DATEDIF(AF126,AsOfDate,"md")&amp;"d"))</f>
        <v/>
      </c>
      <c r="N126" s="14" t="str">
        <f aca="false">IF(AE126=0,"",O126*HoursPerDay)</f>
        <v/>
      </c>
      <c r="O126" s="14" t="str">
        <f aca="false">IF(AE126=0,"",AX126)</f>
        <v/>
      </c>
      <c r="P126" s="15"/>
      <c r="Q126" s="13"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13"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1" t="str">
        <f aca="false">IF(AE126=0,"",IF(AQ126="None","",EDATE(AF126,AZ126)))</f>
        <v/>
      </c>
      <c r="T126" s="14" t="str">
        <f aca="false">IF(AE126=0,"",IF(NOT(LH_Ready),"",IF(AF126&gt;PFYDate,0,IF(LH_ColPeriod=0,W126-U126+V126,SUMIFS(INDEX(LH_Data,0,LH_ColAcc),INDEX(LH_Data,0,LH_ColFirst),$A126,INDEX(LH_Data,0,LH_ColSur),$B126,INDEX(LH_Data,0,LH_ColCat),BonusCat,INDEX(LH_Data,0,LH_ColPeriod),LH_OpenLabel)*UnitFactor))))</f>
        <v/>
      </c>
      <c r="U126" s="14" t="str">
        <f aca="false">IF(AE126=0,"",IF(NOT(LH_Ready),"",SUMIFS(INDEX(LH_Data,0,LH_ColAcc),INDEX(LH_Data,0,LH_ColFirst),$A126,INDEX(LH_Data,0,LH_ColSur),$B126,INDEX(LH_Data,0,LH_ColCat),BonusCat,INDEX(LH_Data,0,LH_ColStart),"&gt;="&amp;AF126)*UnitFactor))</f>
        <v/>
      </c>
      <c r="V126" s="14" t="str">
        <f aca="false">IF(AE126=0,"",IF(NOT(LH_Ready),"",SUMIFS(INDEX(LH_Data,0,LH_ColTaken),INDEX(LH_Data,0,LH_ColFirst),$A126,INDEX(LH_Data,0,LH_ColSur),$B126,INDEX(LH_Data,0,LH_ColCat),BonusCat,INDEX(LH_Data,0,LH_ColStart),"&gt;="&amp;AF126)*UnitFactor))</f>
        <v/>
      </c>
      <c r="W126" s="14" t="str">
        <f aca="false">IF(AE126=0,"",IF(NOT(LH_Ready),"",IF(BB126=0,0,INDEX(INDEX(LH_Data,0,LH_ColClose),BB126-1)*UnitFactor)))</f>
        <v/>
      </c>
      <c r="X126" s="14" t="str">
        <f aca="false">IF(AE126=0,"",(AX126-AY126)*HoursPerDay)</f>
        <v/>
      </c>
      <c r="Y126" s="14" t="str">
        <f aca="false">IF(AE126=0,"",IF(NOT(LH_Ready),"",IF(BA126=0,N126,IF(PFYDate&lt;$F126,N126-N(T126)-N(U126),X126-N(U126)))))</f>
        <v/>
      </c>
      <c r="Z126" s="13" t="str">
        <f aca="false">IF(OR(AE126=0,Y126=""),"",IF(Y126&gt;0,"Yes","No"))</f>
        <v/>
      </c>
      <c r="AA126" s="13"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 hrs more than policy since commencement",IF(N(W126)&gt;O126*HoursPerDay+0.01,"CHECK - EH balance "&amp;ROUND(W126-O126*HoursPerDay,2)&amp;" hrs more than policy entitlement",IF(O126&gt;0,"OK - nothing to add",IF(AQ126="None",R126,"Not yet - first day on "&amp;TEXT(S126,"dd/mm/yyyy")))))))))</f>
        <v/>
      </c>
      <c r="AB126" s="14" t="str">
        <f aca="false">IF(OR(AE126=0,T126=""),"",AY126*HoursPerDay-T126)</f>
        <v/>
      </c>
      <c r="AC126" s="13" t="str">
        <f aca="false">IF(AE126=0,"",BA126)</f>
        <v/>
      </c>
      <c r="AD126" s="13"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3" t="n">
        <f aca="false">IF(OR(LEN($A126&amp;$B126)=0,$F126=""),0,1)</f>
        <v>0</v>
      </c>
      <c r="AF126" s="11" t="str">
        <f aca="false">IF(AE126=0,"",IF($J126&lt;&gt;"",$J126,IF(OR(CasualCounts="Yes",COUNT($G126:$I126)=0,COUNT($G126:$H126)=0),$F126,MIN($G126:$H126))))</f>
        <v/>
      </c>
      <c r="AG126" s="13" t="str">
        <f aca="false">IF(AE126=0,"",COUNT($G126:$I126))</f>
        <v/>
      </c>
      <c r="AH126" s="11" t="str">
        <f aca="false">IF(AE126=0,"",IFERROR(SMALL($G126:$I126,1),""))</f>
        <v/>
      </c>
      <c r="AI126" s="11" t="str">
        <f aca="false">IF(AE126=0,"",IFERROR(SMALL($G126:$I126,2),""))</f>
        <v/>
      </c>
      <c r="AJ126" s="11" t="str">
        <f aca="false">IF(AE126=0,"",IFERROR(SMALL($G126:$I126,3),""))</f>
        <v/>
      </c>
      <c r="AK126" s="13" t="str">
        <f aca="false">IF(AE126=0,"",IF(AH126="","",IF(AH126=$G126,"Part-Time",IF(AH126=$H126,"Full-Time","Casual"))))</f>
        <v/>
      </c>
      <c r="AL126" s="13" t="str">
        <f aca="false">IF(AE126=0,"",IF(AI126="","",IF(AI126=$G126,"Part-Time",IF(AI126=$H126,"Full-Time","Casual"))))</f>
        <v/>
      </c>
      <c r="AM126" s="13" t="str">
        <f aca="false">IF(AE126=0,"",IF(AJ126="","",IF(AJ126=$G126,"Part-Time",IF(AJ126=$H126,"Full-Time","Casual"))))</f>
        <v/>
      </c>
      <c r="AN126" s="13"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3" t="str">
        <f aca="false">IF(AE126=0,"",IF(AG126&lt;2,"",IF(OR(ISNUMBER(SEARCH("full",AL126)),UPPER(TRIM(AL126))="FT",UPPER(TRIM(AL126))="FTE"),"FT",IF(AND(OR(ISNUMBER(SEARCH("part",AL126)),UPPER(TRIM(AL126))="PT",UPPER(TRIM(AL126))="PTE"),OR($P126="",N($P126)&gt;=PT_MinHours)),"PT","None"))))</f>
        <v/>
      </c>
      <c r="AP126" s="13" t="str">
        <f aca="false">IF(AE126=0,"",IF(AG126&lt;3,"",IF(OR(ISNUMBER(SEARCH("full",AM126)),UPPER(TRIM(AM126))="FT",UPPER(TRIM(AM126))="FTE"),"FT",IF(AND(OR(ISNUMBER(SEARCH("part",AM126)),UPPER(TRIM(AM126))="PT",UPPER(TRIM(AM126))="PTE"),OR($P126="",N($P126)&gt;=PT_MinHours)),"PT","None"))))</f>
        <v/>
      </c>
      <c r="AQ126" s="13" t="str">
        <f aca="false">IF(AE126=0,"",IF(AND(AG126&gt;=3,AJ126&lt;=AsOfDate),AP126,IF(AND(AG126&gt;=2,AI126&lt;=AsOfDate),AO126,AN126)))</f>
        <v/>
      </c>
      <c r="AR126" s="13" t="str">
        <f aca="false">IF(AE126=0,"",IF(AsOfDate&lt;AF126,-1,12*(YEAR(AsOfDate)-YEAR(AF126))+MONTH(AsOfDate)-MONTH(AF126)-IF(DAY(AsOfDate)&lt;MIN(DAY(AF126),DAY(EOMONTH(AsOfDate,0))),1,0)))</f>
        <v/>
      </c>
      <c r="AS126" s="13" t="str">
        <f aca="false">IF(AE126=0,"",IF(OR(AG126&lt;2,AI126&gt;AsOfDate),AR126,IF((AI126-1)&lt;AF126,-1,12*(YEAR((AI126-1))-YEAR(AF126))+MONTH((AI126-1))-MONTH(AF126)-IF(DAY((AI126-1))&lt;MIN(DAY(AF126),DAY(EOMONTH((AI126-1),0))),1,0))))</f>
        <v/>
      </c>
      <c r="AT126" s="13" t="str">
        <f aca="false">IF(AE126=0,"",IF(OR(AG126&lt;3,AJ126&gt;AsOfDate),AR126,IF((AJ126-1)&lt;AF126,-1,12*(YEAR((AJ126-1))-YEAR(AF126))+MONTH((AJ126-1))-MONTH(AF126)-IF(DAY((AJ126-1))&lt;MIN(DAY(AF126),DAY(EOMONTH((AJ126-1),0))),1,0))))</f>
        <v/>
      </c>
      <c r="AU126" s="13" t="str">
        <f aca="false">IF(AE126=0,"",IF(PFYDate&lt;AF126,-1,12*(YEAR(PFYDate)-YEAR(AF126))+MONTH(PFYDate)-MONTH(AF126)-IF(DAY(PFYDate)&lt;MIN(DAY(AF126),DAY(EOMONTH(PFYDate,0))),1,0)))</f>
        <v/>
      </c>
      <c r="AV126" s="13" t="str">
        <f aca="false">IF(AE126=0,"",IF(OR(AG126&lt;2,AI126&gt;PFYDate),AU126,IF((AI126-1)&lt;AF126,-1,12*(YEAR((AI126-1))-YEAR(AF126))+MONTH((AI126-1))-MONTH(AF126)-IF(DAY((AI126-1))&lt;MIN(DAY(AF126),DAY(EOMONTH((AI126-1),0))),1,0))))</f>
        <v/>
      </c>
      <c r="AW126" s="13" t="str">
        <f aca="false">IF(AE126=0,"",IF(OR(AG126&lt;3,AJ126&gt;PFYDate),AU126,IF((AJ126-1)&lt;AF126,-1,12*(YEAR((AJ126-1))-YEAR(AF126))+MONTH((AJ126-1))-MONTH(AF126)-IF(DAY((AJ126-1))&lt;MIN(DAY(AF126),DAY(EOMONTH((AJ126-1),0))),1,0))))</f>
        <v/>
      </c>
      <c r="AX126" s="13"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3"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3" t="str">
        <f aca="false">IF(AE126=0,"",IF(AQ126="FT",IF(AR126&lt;FT_First,FT_First,IF(AR126&lt;FT_Y5,MIN(FT_Y5,FT_First+FT_Int1*(INT((AR126-FT_First)/FT_Int1)+1)),FT_Y5+12*INT((AR126-FT_Y5)/12)+FT_Int2*(INT(MOD(AR126-FT_Y5,12)/FT_Int2)+1))),IF(AQ126="PT",IF(AR126&lt;PT_First,PT_First,PT_First+PT_Int*(INT((AR126-PT_First)/PT_Int)+1)),"")))</f>
        <v/>
      </c>
      <c r="BA126" s="13" t="str">
        <f aca="false">IF(AE126=0,"",IF(NOT(LH_Ready),0,COUNTIFS(INDEX(LH_Data,0,LH_ColFirst),$A126,INDEX(LH_Data,0,LH_ColSur),$B126,INDEX(LH_Data,0,LH_ColCat),BonusCat)))</f>
        <v/>
      </c>
      <c r="BB126" s="13" t="str">
        <f aca="false">IF(AE126=0,"",IF(OR(NOT(LH_Ready),BA126=0),0,SUMPRODUCT(MAX((INDEX(LH_Data,0,LH_ColFirst)=$A126)*(INDEX(LH_Data,0,LH_ColSur)=$B126)*(INDEX(LH_Data,0,LH_ColCat)=BonusCat)*ROW(LH_Data)))))</f>
        <v/>
      </c>
      <c r="BC126" s="0" t="str">
        <f aca="false">IF(LEN($A126&amp;$B126)=0,"",$A126&amp;" "&amp;$B126)</f>
        <v/>
      </c>
    </row>
    <row r="127" customFormat="false" ht="15" hidden="false" customHeight="false" outlineLevel="0" collapsed="false">
      <c r="A127" s="9"/>
      <c r="B127" s="9"/>
      <c r="C127" s="9"/>
      <c r="D127" s="10"/>
      <c r="E127" s="11" t="str">
        <f aca="false">IF(OR(AE127=0,$D127=""),"",DATE(YEAR(AsOfDate)+IF(DATE(YEAR(AsOfDate),MONTH($D127),DAY($D127))&lt;=AsOfDate,1,0),MONTH($D127),DAY($D127)))</f>
        <v/>
      </c>
      <c r="F127" s="10"/>
      <c r="G127" s="10"/>
      <c r="H127" s="10"/>
      <c r="I127" s="10"/>
      <c r="J127" s="10"/>
      <c r="K127" s="11" t="str">
        <f aca="false">IF(AE127=0,"",DATE(YEAR(AsOfDate)+IF(DATE(YEAR(AsOfDate),MONTH(AF127),DAY(AF127))&lt;=AsOfDate,1,0),MONTH(AF127),DAY(AF127)))</f>
        <v/>
      </c>
      <c r="L127" s="12" t="str">
        <f aca="false">IF(AE127=0,"",ROUND((AsOfDate-AF127)/365.25,1))</f>
        <v/>
      </c>
      <c r="M127" s="13" t="str">
        <f aca="false">IF(AE127=0,"",IF(AsOfDate&lt;AF127,"-",DATEDIF(AF127,AsOfDate,"y")&amp;"y "&amp;DATEDIF(AF127,AsOfDate,"ym")&amp;"m "&amp;DATEDIF(AF127,AsOfDate,"md")&amp;"d"))</f>
        <v/>
      </c>
      <c r="N127" s="14" t="str">
        <f aca="false">IF(AE127=0,"",O127*HoursPerDay)</f>
        <v/>
      </c>
      <c r="O127" s="14" t="str">
        <f aca="false">IF(AE127=0,"",AX127)</f>
        <v/>
      </c>
      <c r="P127" s="15"/>
      <c r="Q127" s="13"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13"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1" t="str">
        <f aca="false">IF(AE127=0,"",IF(AQ127="None","",EDATE(AF127,AZ127)))</f>
        <v/>
      </c>
      <c r="T127" s="14" t="str">
        <f aca="false">IF(AE127=0,"",IF(NOT(LH_Ready),"",IF(AF127&gt;PFYDate,0,IF(LH_ColPeriod=0,W127-U127+V127,SUMIFS(INDEX(LH_Data,0,LH_ColAcc),INDEX(LH_Data,0,LH_ColFirst),$A127,INDEX(LH_Data,0,LH_ColSur),$B127,INDEX(LH_Data,0,LH_ColCat),BonusCat,INDEX(LH_Data,0,LH_ColPeriod),LH_OpenLabel)*UnitFactor))))</f>
        <v/>
      </c>
      <c r="U127" s="14" t="str">
        <f aca="false">IF(AE127=0,"",IF(NOT(LH_Ready),"",SUMIFS(INDEX(LH_Data,0,LH_ColAcc),INDEX(LH_Data,0,LH_ColFirst),$A127,INDEX(LH_Data,0,LH_ColSur),$B127,INDEX(LH_Data,0,LH_ColCat),BonusCat,INDEX(LH_Data,0,LH_ColStart),"&gt;="&amp;AF127)*UnitFactor))</f>
        <v/>
      </c>
      <c r="V127" s="14" t="str">
        <f aca="false">IF(AE127=0,"",IF(NOT(LH_Ready),"",SUMIFS(INDEX(LH_Data,0,LH_ColTaken),INDEX(LH_Data,0,LH_ColFirst),$A127,INDEX(LH_Data,0,LH_ColSur),$B127,INDEX(LH_Data,0,LH_ColCat),BonusCat,INDEX(LH_Data,0,LH_ColStart),"&gt;="&amp;AF127)*UnitFactor))</f>
        <v/>
      </c>
      <c r="W127" s="14" t="str">
        <f aca="false">IF(AE127=0,"",IF(NOT(LH_Ready),"",IF(BB127=0,0,INDEX(INDEX(LH_Data,0,LH_ColClose),BB127-1)*UnitFactor)))</f>
        <v/>
      </c>
      <c r="X127" s="14" t="str">
        <f aca="false">IF(AE127=0,"",(AX127-AY127)*HoursPerDay)</f>
        <v/>
      </c>
      <c r="Y127" s="14" t="str">
        <f aca="false">IF(AE127=0,"",IF(NOT(LH_Ready),"",IF(BA127=0,N127,IF(PFYDate&lt;$F127,N127-N(T127)-N(U127),X127-N(U127)))))</f>
        <v/>
      </c>
      <c r="Z127" s="13" t="str">
        <f aca="false">IF(OR(AE127=0,Y127=""),"",IF(Y127&gt;0,"Yes","No"))</f>
        <v/>
      </c>
      <c r="AA127" s="13"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 hrs more than policy since commencement",IF(N(W127)&gt;O127*HoursPerDay+0.01,"CHECK - EH balance "&amp;ROUND(W127-O127*HoursPerDay,2)&amp;" hrs more than policy entitlement",IF(O127&gt;0,"OK - nothing to add",IF(AQ127="None",R127,"Not yet - first day on "&amp;TEXT(S127,"dd/mm/yyyy")))))))))</f>
        <v/>
      </c>
      <c r="AB127" s="14" t="str">
        <f aca="false">IF(OR(AE127=0,T127=""),"",AY127*HoursPerDay-T127)</f>
        <v/>
      </c>
      <c r="AC127" s="13" t="str">
        <f aca="false">IF(AE127=0,"",BA127)</f>
        <v/>
      </c>
      <c r="AD127" s="13"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3" t="n">
        <f aca="false">IF(OR(LEN($A127&amp;$B127)=0,$F127=""),0,1)</f>
        <v>0</v>
      </c>
      <c r="AF127" s="11" t="str">
        <f aca="false">IF(AE127=0,"",IF($J127&lt;&gt;"",$J127,IF(OR(CasualCounts="Yes",COUNT($G127:$I127)=0,COUNT($G127:$H127)=0),$F127,MIN($G127:$H127))))</f>
        <v/>
      </c>
      <c r="AG127" s="13" t="str">
        <f aca="false">IF(AE127=0,"",COUNT($G127:$I127))</f>
        <v/>
      </c>
      <c r="AH127" s="11" t="str">
        <f aca="false">IF(AE127=0,"",IFERROR(SMALL($G127:$I127,1),""))</f>
        <v/>
      </c>
      <c r="AI127" s="11" t="str">
        <f aca="false">IF(AE127=0,"",IFERROR(SMALL($G127:$I127,2),""))</f>
        <v/>
      </c>
      <c r="AJ127" s="11" t="str">
        <f aca="false">IF(AE127=0,"",IFERROR(SMALL($G127:$I127,3),""))</f>
        <v/>
      </c>
      <c r="AK127" s="13" t="str">
        <f aca="false">IF(AE127=0,"",IF(AH127="","",IF(AH127=$G127,"Part-Time",IF(AH127=$H127,"Full-Time","Casual"))))</f>
        <v/>
      </c>
      <c r="AL127" s="13" t="str">
        <f aca="false">IF(AE127=0,"",IF(AI127="","",IF(AI127=$G127,"Part-Time",IF(AI127=$H127,"Full-Time","Casual"))))</f>
        <v/>
      </c>
      <c r="AM127" s="13" t="str">
        <f aca="false">IF(AE127=0,"",IF(AJ127="","",IF(AJ127=$G127,"Part-Time",IF(AJ127=$H127,"Full-Time","Casual"))))</f>
        <v/>
      </c>
      <c r="AN127" s="13"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3" t="str">
        <f aca="false">IF(AE127=0,"",IF(AG127&lt;2,"",IF(OR(ISNUMBER(SEARCH("full",AL127)),UPPER(TRIM(AL127))="FT",UPPER(TRIM(AL127))="FTE"),"FT",IF(AND(OR(ISNUMBER(SEARCH("part",AL127)),UPPER(TRIM(AL127))="PT",UPPER(TRIM(AL127))="PTE"),OR($P127="",N($P127)&gt;=PT_MinHours)),"PT","None"))))</f>
        <v/>
      </c>
      <c r="AP127" s="13" t="str">
        <f aca="false">IF(AE127=0,"",IF(AG127&lt;3,"",IF(OR(ISNUMBER(SEARCH("full",AM127)),UPPER(TRIM(AM127))="FT",UPPER(TRIM(AM127))="FTE"),"FT",IF(AND(OR(ISNUMBER(SEARCH("part",AM127)),UPPER(TRIM(AM127))="PT",UPPER(TRIM(AM127))="PTE"),OR($P127="",N($P127)&gt;=PT_MinHours)),"PT","None"))))</f>
        <v/>
      </c>
      <c r="AQ127" s="13" t="str">
        <f aca="false">IF(AE127=0,"",IF(AND(AG127&gt;=3,AJ127&lt;=AsOfDate),AP127,IF(AND(AG127&gt;=2,AI127&lt;=AsOfDate),AO127,AN127)))</f>
        <v/>
      </c>
      <c r="AR127" s="13" t="str">
        <f aca="false">IF(AE127=0,"",IF(AsOfDate&lt;AF127,-1,12*(YEAR(AsOfDate)-YEAR(AF127))+MONTH(AsOfDate)-MONTH(AF127)-IF(DAY(AsOfDate)&lt;MIN(DAY(AF127),DAY(EOMONTH(AsOfDate,0))),1,0)))</f>
        <v/>
      </c>
      <c r="AS127" s="13" t="str">
        <f aca="false">IF(AE127=0,"",IF(OR(AG127&lt;2,AI127&gt;AsOfDate),AR127,IF((AI127-1)&lt;AF127,-1,12*(YEAR((AI127-1))-YEAR(AF127))+MONTH((AI127-1))-MONTH(AF127)-IF(DAY((AI127-1))&lt;MIN(DAY(AF127),DAY(EOMONTH((AI127-1),0))),1,0))))</f>
        <v/>
      </c>
      <c r="AT127" s="13" t="str">
        <f aca="false">IF(AE127=0,"",IF(OR(AG127&lt;3,AJ127&gt;AsOfDate),AR127,IF((AJ127-1)&lt;AF127,-1,12*(YEAR((AJ127-1))-YEAR(AF127))+MONTH((AJ127-1))-MONTH(AF127)-IF(DAY((AJ127-1))&lt;MIN(DAY(AF127),DAY(EOMONTH((AJ127-1),0))),1,0))))</f>
        <v/>
      </c>
      <c r="AU127" s="13" t="str">
        <f aca="false">IF(AE127=0,"",IF(PFYDate&lt;AF127,-1,12*(YEAR(PFYDate)-YEAR(AF127))+MONTH(PFYDate)-MONTH(AF127)-IF(DAY(PFYDate)&lt;MIN(DAY(AF127),DAY(EOMONTH(PFYDate,0))),1,0)))</f>
        <v/>
      </c>
      <c r="AV127" s="13" t="str">
        <f aca="false">IF(AE127=0,"",IF(OR(AG127&lt;2,AI127&gt;PFYDate),AU127,IF((AI127-1)&lt;AF127,-1,12*(YEAR((AI127-1))-YEAR(AF127))+MONTH((AI127-1))-MONTH(AF127)-IF(DAY((AI127-1))&lt;MIN(DAY(AF127),DAY(EOMONTH((AI127-1),0))),1,0))))</f>
        <v/>
      </c>
      <c r="AW127" s="13" t="str">
        <f aca="false">IF(AE127=0,"",IF(OR(AG127&lt;3,AJ127&gt;PFYDate),AU127,IF((AJ127-1)&lt;AF127,-1,12*(YEAR((AJ127-1))-YEAR(AF127))+MONTH((AJ127-1))-MONTH(AF127)-IF(DAY((AJ127-1))&lt;MIN(DAY(AF127),DAY(EOMONTH((AJ127-1),0))),1,0))))</f>
        <v/>
      </c>
      <c r="AX127" s="13"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3"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3" t="str">
        <f aca="false">IF(AE127=0,"",IF(AQ127="FT",IF(AR127&lt;FT_First,FT_First,IF(AR127&lt;FT_Y5,MIN(FT_Y5,FT_First+FT_Int1*(INT((AR127-FT_First)/FT_Int1)+1)),FT_Y5+12*INT((AR127-FT_Y5)/12)+FT_Int2*(INT(MOD(AR127-FT_Y5,12)/FT_Int2)+1))),IF(AQ127="PT",IF(AR127&lt;PT_First,PT_First,PT_First+PT_Int*(INT((AR127-PT_First)/PT_Int)+1)),"")))</f>
        <v/>
      </c>
      <c r="BA127" s="13" t="str">
        <f aca="false">IF(AE127=0,"",IF(NOT(LH_Ready),0,COUNTIFS(INDEX(LH_Data,0,LH_ColFirst),$A127,INDEX(LH_Data,0,LH_ColSur),$B127,INDEX(LH_Data,0,LH_ColCat),BonusCat)))</f>
        <v/>
      </c>
      <c r="BB127" s="13" t="str">
        <f aca="false">IF(AE127=0,"",IF(OR(NOT(LH_Ready),BA127=0),0,SUMPRODUCT(MAX((INDEX(LH_Data,0,LH_ColFirst)=$A127)*(INDEX(LH_Data,0,LH_ColSur)=$B127)*(INDEX(LH_Data,0,LH_ColCat)=BonusCat)*ROW(LH_Data)))))</f>
        <v/>
      </c>
      <c r="BC127" s="0" t="str">
        <f aca="false">IF(LEN($A127&amp;$B127)=0,"",$A127&amp;" "&amp;$B127)</f>
        <v/>
      </c>
    </row>
    <row r="128" customFormat="false" ht="15" hidden="false" customHeight="false" outlineLevel="0" collapsed="false">
      <c r="A128" s="9"/>
      <c r="B128" s="9"/>
      <c r="C128" s="9"/>
      <c r="D128" s="10"/>
      <c r="E128" s="11" t="str">
        <f aca="false">IF(OR(AE128=0,$D128=""),"",DATE(YEAR(AsOfDate)+IF(DATE(YEAR(AsOfDate),MONTH($D128),DAY($D128))&lt;=AsOfDate,1,0),MONTH($D128),DAY($D128)))</f>
        <v/>
      </c>
      <c r="F128" s="10"/>
      <c r="G128" s="10"/>
      <c r="H128" s="10"/>
      <c r="I128" s="10"/>
      <c r="J128" s="10"/>
      <c r="K128" s="11" t="str">
        <f aca="false">IF(AE128=0,"",DATE(YEAR(AsOfDate)+IF(DATE(YEAR(AsOfDate),MONTH(AF128),DAY(AF128))&lt;=AsOfDate,1,0),MONTH(AF128),DAY(AF128)))</f>
        <v/>
      </c>
      <c r="L128" s="12" t="str">
        <f aca="false">IF(AE128=0,"",ROUND((AsOfDate-AF128)/365.25,1))</f>
        <v/>
      </c>
      <c r="M128" s="13" t="str">
        <f aca="false">IF(AE128=0,"",IF(AsOfDate&lt;AF128,"-",DATEDIF(AF128,AsOfDate,"y")&amp;"y "&amp;DATEDIF(AF128,AsOfDate,"ym")&amp;"m "&amp;DATEDIF(AF128,AsOfDate,"md")&amp;"d"))</f>
        <v/>
      </c>
      <c r="N128" s="14" t="str">
        <f aca="false">IF(AE128=0,"",O128*HoursPerDay)</f>
        <v/>
      </c>
      <c r="O128" s="14" t="str">
        <f aca="false">IF(AE128=0,"",AX128)</f>
        <v/>
      </c>
      <c r="P128" s="15"/>
      <c r="Q128" s="13"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13"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1" t="str">
        <f aca="false">IF(AE128=0,"",IF(AQ128="None","",EDATE(AF128,AZ128)))</f>
        <v/>
      </c>
      <c r="T128" s="14" t="str">
        <f aca="false">IF(AE128=0,"",IF(NOT(LH_Ready),"",IF(AF128&gt;PFYDate,0,IF(LH_ColPeriod=0,W128-U128+V128,SUMIFS(INDEX(LH_Data,0,LH_ColAcc),INDEX(LH_Data,0,LH_ColFirst),$A128,INDEX(LH_Data,0,LH_ColSur),$B128,INDEX(LH_Data,0,LH_ColCat),BonusCat,INDEX(LH_Data,0,LH_ColPeriod),LH_OpenLabel)*UnitFactor))))</f>
        <v/>
      </c>
      <c r="U128" s="14" t="str">
        <f aca="false">IF(AE128=0,"",IF(NOT(LH_Ready),"",SUMIFS(INDEX(LH_Data,0,LH_ColAcc),INDEX(LH_Data,0,LH_ColFirst),$A128,INDEX(LH_Data,0,LH_ColSur),$B128,INDEX(LH_Data,0,LH_ColCat),BonusCat,INDEX(LH_Data,0,LH_ColStart),"&gt;="&amp;AF128)*UnitFactor))</f>
        <v/>
      </c>
      <c r="V128" s="14" t="str">
        <f aca="false">IF(AE128=0,"",IF(NOT(LH_Ready),"",SUMIFS(INDEX(LH_Data,0,LH_ColTaken),INDEX(LH_Data,0,LH_ColFirst),$A128,INDEX(LH_Data,0,LH_ColSur),$B128,INDEX(LH_Data,0,LH_ColCat),BonusCat,INDEX(LH_Data,0,LH_ColStart),"&gt;="&amp;AF128)*UnitFactor))</f>
        <v/>
      </c>
      <c r="W128" s="14" t="str">
        <f aca="false">IF(AE128=0,"",IF(NOT(LH_Ready),"",IF(BB128=0,0,INDEX(INDEX(LH_Data,0,LH_ColClose),BB128-1)*UnitFactor)))</f>
        <v/>
      </c>
      <c r="X128" s="14" t="str">
        <f aca="false">IF(AE128=0,"",(AX128-AY128)*HoursPerDay)</f>
        <v/>
      </c>
      <c r="Y128" s="14" t="str">
        <f aca="false">IF(AE128=0,"",IF(NOT(LH_Ready),"",IF(BA128=0,N128,IF(PFYDate&lt;$F128,N128-N(T128)-N(U128),X128-N(U128)))))</f>
        <v/>
      </c>
      <c r="Z128" s="13" t="str">
        <f aca="false">IF(OR(AE128=0,Y128=""),"",IF(Y128&gt;0,"Yes","No"))</f>
        <v/>
      </c>
      <c r="AA128" s="13"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 hrs more than policy since commencement",IF(N(W128)&gt;O128*HoursPerDay+0.01,"CHECK - EH balance "&amp;ROUND(W128-O128*HoursPerDay,2)&amp;" hrs more than policy entitlement",IF(O128&gt;0,"OK - nothing to add",IF(AQ128="None",R128,"Not yet - first day on "&amp;TEXT(S128,"dd/mm/yyyy")))))))))</f>
        <v/>
      </c>
      <c r="AB128" s="14" t="str">
        <f aca="false">IF(OR(AE128=0,T128=""),"",AY128*HoursPerDay-T128)</f>
        <v/>
      </c>
      <c r="AC128" s="13" t="str">
        <f aca="false">IF(AE128=0,"",BA128)</f>
        <v/>
      </c>
      <c r="AD128" s="13"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3" t="n">
        <f aca="false">IF(OR(LEN($A128&amp;$B128)=0,$F128=""),0,1)</f>
        <v>0</v>
      </c>
      <c r="AF128" s="11" t="str">
        <f aca="false">IF(AE128=0,"",IF($J128&lt;&gt;"",$J128,IF(OR(CasualCounts="Yes",COUNT($G128:$I128)=0,COUNT($G128:$H128)=0),$F128,MIN($G128:$H128))))</f>
        <v/>
      </c>
      <c r="AG128" s="13" t="str">
        <f aca="false">IF(AE128=0,"",COUNT($G128:$I128))</f>
        <v/>
      </c>
      <c r="AH128" s="11" t="str">
        <f aca="false">IF(AE128=0,"",IFERROR(SMALL($G128:$I128,1),""))</f>
        <v/>
      </c>
      <c r="AI128" s="11" t="str">
        <f aca="false">IF(AE128=0,"",IFERROR(SMALL($G128:$I128,2),""))</f>
        <v/>
      </c>
      <c r="AJ128" s="11" t="str">
        <f aca="false">IF(AE128=0,"",IFERROR(SMALL($G128:$I128,3),""))</f>
        <v/>
      </c>
      <c r="AK128" s="13" t="str">
        <f aca="false">IF(AE128=0,"",IF(AH128="","",IF(AH128=$G128,"Part-Time",IF(AH128=$H128,"Full-Time","Casual"))))</f>
        <v/>
      </c>
      <c r="AL128" s="13" t="str">
        <f aca="false">IF(AE128=0,"",IF(AI128="","",IF(AI128=$G128,"Part-Time",IF(AI128=$H128,"Full-Time","Casual"))))</f>
        <v/>
      </c>
      <c r="AM128" s="13" t="str">
        <f aca="false">IF(AE128=0,"",IF(AJ128="","",IF(AJ128=$G128,"Part-Time",IF(AJ128=$H128,"Full-Time","Casual"))))</f>
        <v/>
      </c>
      <c r="AN128" s="13"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3" t="str">
        <f aca="false">IF(AE128=0,"",IF(AG128&lt;2,"",IF(OR(ISNUMBER(SEARCH("full",AL128)),UPPER(TRIM(AL128))="FT",UPPER(TRIM(AL128))="FTE"),"FT",IF(AND(OR(ISNUMBER(SEARCH("part",AL128)),UPPER(TRIM(AL128))="PT",UPPER(TRIM(AL128))="PTE"),OR($P128="",N($P128)&gt;=PT_MinHours)),"PT","None"))))</f>
        <v/>
      </c>
      <c r="AP128" s="13" t="str">
        <f aca="false">IF(AE128=0,"",IF(AG128&lt;3,"",IF(OR(ISNUMBER(SEARCH("full",AM128)),UPPER(TRIM(AM128))="FT",UPPER(TRIM(AM128))="FTE"),"FT",IF(AND(OR(ISNUMBER(SEARCH("part",AM128)),UPPER(TRIM(AM128))="PT",UPPER(TRIM(AM128))="PTE"),OR($P128="",N($P128)&gt;=PT_MinHours)),"PT","None"))))</f>
        <v/>
      </c>
      <c r="AQ128" s="13" t="str">
        <f aca="false">IF(AE128=0,"",IF(AND(AG128&gt;=3,AJ128&lt;=AsOfDate),AP128,IF(AND(AG128&gt;=2,AI128&lt;=AsOfDate),AO128,AN128)))</f>
        <v/>
      </c>
      <c r="AR128" s="13" t="str">
        <f aca="false">IF(AE128=0,"",IF(AsOfDate&lt;AF128,-1,12*(YEAR(AsOfDate)-YEAR(AF128))+MONTH(AsOfDate)-MONTH(AF128)-IF(DAY(AsOfDate)&lt;MIN(DAY(AF128),DAY(EOMONTH(AsOfDate,0))),1,0)))</f>
        <v/>
      </c>
      <c r="AS128" s="13" t="str">
        <f aca="false">IF(AE128=0,"",IF(OR(AG128&lt;2,AI128&gt;AsOfDate),AR128,IF((AI128-1)&lt;AF128,-1,12*(YEAR((AI128-1))-YEAR(AF128))+MONTH((AI128-1))-MONTH(AF128)-IF(DAY((AI128-1))&lt;MIN(DAY(AF128),DAY(EOMONTH((AI128-1),0))),1,0))))</f>
        <v/>
      </c>
      <c r="AT128" s="13" t="str">
        <f aca="false">IF(AE128=0,"",IF(OR(AG128&lt;3,AJ128&gt;AsOfDate),AR128,IF((AJ128-1)&lt;AF128,-1,12*(YEAR((AJ128-1))-YEAR(AF128))+MONTH((AJ128-1))-MONTH(AF128)-IF(DAY((AJ128-1))&lt;MIN(DAY(AF128),DAY(EOMONTH((AJ128-1),0))),1,0))))</f>
        <v/>
      </c>
      <c r="AU128" s="13" t="str">
        <f aca="false">IF(AE128=0,"",IF(PFYDate&lt;AF128,-1,12*(YEAR(PFYDate)-YEAR(AF128))+MONTH(PFYDate)-MONTH(AF128)-IF(DAY(PFYDate)&lt;MIN(DAY(AF128),DAY(EOMONTH(PFYDate,0))),1,0)))</f>
        <v/>
      </c>
      <c r="AV128" s="13" t="str">
        <f aca="false">IF(AE128=0,"",IF(OR(AG128&lt;2,AI128&gt;PFYDate),AU128,IF((AI128-1)&lt;AF128,-1,12*(YEAR((AI128-1))-YEAR(AF128))+MONTH((AI128-1))-MONTH(AF128)-IF(DAY((AI128-1))&lt;MIN(DAY(AF128),DAY(EOMONTH((AI128-1),0))),1,0))))</f>
        <v/>
      </c>
      <c r="AW128" s="13" t="str">
        <f aca="false">IF(AE128=0,"",IF(OR(AG128&lt;3,AJ128&gt;PFYDate),AU128,IF((AJ128-1)&lt;AF128,-1,12*(YEAR((AJ128-1))-YEAR(AF128))+MONTH((AJ128-1))-MONTH(AF128)-IF(DAY((AJ128-1))&lt;MIN(DAY(AF128),DAY(EOMONTH((AJ128-1),0))),1,0))))</f>
        <v/>
      </c>
      <c r="AX128" s="13"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3"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3" t="str">
        <f aca="false">IF(AE128=0,"",IF(AQ128="FT",IF(AR128&lt;FT_First,FT_First,IF(AR128&lt;FT_Y5,MIN(FT_Y5,FT_First+FT_Int1*(INT((AR128-FT_First)/FT_Int1)+1)),FT_Y5+12*INT((AR128-FT_Y5)/12)+FT_Int2*(INT(MOD(AR128-FT_Y5,12)/FT_Int2)+1))),IF(AQ128="PT",IF(AR128&lt;PT_First,PT_First,PT_First+PT_Int*(INT((AR128-PT_First)/PT_Int)+1)),"")))</f>
        <v/>
      </c>
      <c r="BA128" s="13" t="str">
        <f aca="false">IF(AE128=0,"",IF(NOT(LH_Ready),0,COUNTIFS(INDEX(LH_Data,0,LH_ColFirst),$A128,INDEX(LH_Data,0,LH_ColSur),$B128,INDEX(LH_Data,0,LH_ColCat),BonusCat)))</f>
        <v/>
      </c>
      <c r="BB128" s="13" t="str">
        <f aca="false">IF(AE128=0,"",IF(OR(NOT(LH_Ready),BA128=0),0,SUMPRODUCT(MAX((INDEX(LH_Data,0,LH_ColFirst)=$A128)*(INDEX(LH_Data,0,LH_ColSur)=$B128)*(INDEX(LH_Data,0,LH_ColCat)=BonusCat)*ROW(LH_Data)))))</f>
        <v/>
      </c>
      <c r="BC128" s="0" t="str">
        <f aca="false">IF(LEN($A128&amp;$B128)=0,"",$A128&amp;" "&amp;$B128)</f>
        <v/>
      </c>
    </row>
    <row r="129" customFormat="false" ht="15" hidden="false" customHeight="false" outlineLevel="0" collapsed="false">
      <c r="A129" s="9"/>
      <c r="B129" s="9"/>
      <c r="C129" s="9"/>
      <c r="D129" s="10"/>
      <c r="E129" s="11" t="str">
        <f aca="false">IF(OR(AE129=0,$D129=""),"",DATE(YEAR(AsOfDate)+IF(DATE(YEAR(AsOfDate),MONTH($D129),DAY($D129))&lt;=AsOfDate,1,0),MONTH($D129),DAY($D129)))</f>
        <v/>
      </c>
      <c r="F129" s="10"/>
      <c r="G129" s="10"/>
      <c r="H129" s="10"/>
      <c r="I129" s="10"/>
      <c r="J129" s="10"/>
      <c r="K129" s="11" t="str">
        <f aca="false">IF(AE129=0,"",DATE(YEAR(AsOfDate)+IF(DATE(YEAR(AsOfDate),MONTH(AF129),DAY(AF129))&lt;=AsOfDate,1,0),MONTH(AF129),DAY(AF129)))</f>
        <v/>
      </c>
      <c r="L129" s="12" t="str">
        <f aca="false">IF(AE129=0,"",ROUND((AsOfDate-AF129)/365.25,1))</f>
        <v/>
      </c>
      <c r="M129" s="13" t="str">
        <f aca="false">IF(AE129=0,"",IF(AsOfDate&lt;AF129,"-",DATEDIF(AF129,AsOfDate,"y")&amp;"y "&amp;DATEDIF(AF129,AsOfDate,"ym")&amp;"m "&amp;DATEDIF(AF129,AsOfDate,"md")&amp;"d"))</f>
        <v/>
      </c>
      <c r="N129" s="14" t="str">
        <f aca="false">IF(AE129=0,"",O129*HoursPerDay)</f>
        <v/>
      </c>
      <c r="O129" s="14" t="str">
        <f aca="false">IF(AE129=0,"",AX129)</f>
        <v/>
      </c>
      <c r="P129" s="15"/>
      <c r="Q129" s="13"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13"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1" t="str">
        <f aca="false">IF(AE129=0,"",IF(AQ129="None","",EDATE(AF129,AZ129)))</f>
        <v/>
      </c>
      <c r="T129" s="14" t="str">
        <f aca="false">IF(AE129=0,"",IF(NOT(LH_Ready),"",IF(AF129&gt;PFYDate,0,IF(LH_ColPeriod=0,W129-U129+V129,SUMIFS(INDEX(LH_Data,0,LH_ColAcc),INDEX(LH_Data,0,LH_ColFirst),$A129,INDEX(LH_Data,0,LH_ColSur),$B129,INDEX(LH_Data,0,LH_ColCat),BonusCat,INDEX(LH_Data,0,LH_ColPeriod),LH_OpenLabel)*UnitFactor))))</f>
        <v/>
      </c>
      <c r="U129" s="14" t="str">
        <f aca="false">IF(AE129=0,"",IF(NOT(LH_Ready),"",SUMIFS(INDEX(LH_Data,0,LH_ColAcc),INDEX(LH_Data,0,LH_ColFirst),$A129,INDEX(LH_Data,0,LH_ColSur),$B129,INDEX(LH_Data,0,LH_ColCat),BonusCat,INDEX(LH_Data,0,LH_ColStart),"&gt;="&amp;AF129)*UnitFactor))</f>
        <v/>
      </c>
      <c r="V129" s="14" t="str">
        <f aca="false">IF(AE129=0,"",IF(NOT(LH_Ready),"",SUMIFS(INDEX(LH_Data,0,LH_ColTaken),INDEX(LH_Data,0,LH_ColFirst),$A129,INDEX(LH_Data,0,LH_ColSur),$B129,INDEX(LH_Data,0,LH_ColCat),BonusCat,INDEX(LH_Data,0,LH_ColStart),"&gt;="&amp;AF129)*UnitFactor))</f>
        <v/>
      </c>
      <c r="W129" s="14" t="str">
        <f aca="false">IF(AE129=0,"",IF(NOT(LH_Ready),"",IF(BB129=0,0,INDEX(INDEX(LH_Data,0,LH_ColClose),BB129-1)*UnitFactor)))</f>
        <v/>
      </c>
      <c r="X129" s="14" t="str">
        <f aca="false">IF(AE129=0,"",(AX129-AY129)*HoursPerDay)</f>
        <v/>
      </c>
      <c r="Y129" s="14" t="str">
        <f aca="false">IF(AE129=0,"",IF(NOT(LH_Ready),"",IF(BA129=0,N129,IF(PFYDate&lt;$F129,N129-N(T129)-N(U129),X129-N(U129)))))</f>
        <v/>
      </c>
      <c r="Z129" s="13" t="str">
        <f aca="false">IF(OR(AE129=0,Y129=""),"",IF(Y129&gt;0,"Yes","No"))</f>
        <v/>
      </c>
      <c r="AA129" s="13"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 hrs more than policy since commencement",IF(N(W129)&gt;O129*HoursPerDay+0.01,"CHECK - EH balance "&amp;ROUND(W129-O129*HoursPerDay,2)&amp;" hrs more than policy entitlement",IF(O129&gt;0,"OK - nothing to add",IF(AQ129="None",R129,"Not yet - first day on "&amp;TEXT(S129,"dd/mm/yyyy")))))))))</f>
        <v/>
      </c>
      <c r="AB129" s="14" t="str">
        <f aca="false">IF(OR(AE129=0,T129=""),"",AY129*HoursPerDay-T129)</f>
        <v/>
      </c>
      <c r="AC129" s="13" t="str">
        <f aca="false">IF(AE129=0,"",BA129)</f>
        <v/>
      </c>
      <c r="AD129" s="13"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3" t="n">
        <f aca="false">IF(OR(LEN($A129&amp;$B129)=0,$F129=""),0,1)</f>
        <v>0</v>
      </c>
      <c r="AF129" s="11" t="str">
        <f aca="false">IF(AE129=0,"",IF($J129&lt;&gt;"",$J129,IF(OR(CasualCounts="Yes",COUNT($G129:$I129)=0,COUNT($G129:$H129)=0),$F129,MIN($G129:$H129))))</f>
        <v/>
      </c>
      <c r="AG129" s="13" t="str">
        <f aca="false">IF(AE129=0,"",COUNT($G129:$I129))</f>
        <v/>
      </c>
      <c r="AH129" s="11" t="str">
        <f aca="false">IF(AE129=0,"",IFERROR(SMALL($G129:$I129,1),""))</f>
        <v/>
      </c>
      <c r="AI129" s="11" t="str">
        <f aca="false">IF(AE129=0,"",IFERROR(SMALL($G129:$I129,2),""))</f>
        <v/>
      </c>
      <c r="AJ129" s="11" t="str">
        <f aca="false">IF(AE129=0,"",IFERROR(SMALL($G129:$I129,3),""))</f>
        <v/>
      </c>
      <c r="AK129" s="13" t="str">
        <f aca="false">IF(AE129=0,"",IF(AH129="","",IF(AH129=$G129,"Part-Time",IF(AH129=$H129,"Full-Time","Casual"))))</f>
        <v/>
      </c>
      <c r="AL129" s="13" t="str">
        <f aca="false">IF(AE129=0,"",IF(AI129="","",IF(AI129=$G129,"Part-Time",IF(AI129=$H129,"Full-Time","Casual"))))</f>
        <v/>
      </c>
      <c r="AM129" s="13" t="str">
        <f aca="false">IF(AE129=0,"",IF(AJ129="","",IF(AJ129=$G129,"Part-Time",IF(AJ129=$H129,"Full-Time","Casual"))))</f>
        <v/>
      </c>
      <c r="AN129" s="13"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3" t="str">
        <f aca="false">IF(AE129=0,"",IF(AG129&lt;2,"",IF(OR(ISNUMBER(SEARCH("full",AL129)),UPPER(TRIM(AL129))="FT",UPPER(TRIM(AL129))="FTE"),"FT",IF(AND(OR(ISNUMBER(SEARCH("part",AL129)),UPPER(TRIM(AL129))="PT",UPPER(TRIM(AL129))="PTE"),OR($P129="",N($P129)&gt;=PT_MinHours)),"PT","None"))))</f>
        <v/>
      </c>
      <c r="AP129" s="13" t="str">
        <f aca="false">IF(AE129=0,"",IF(AG129&lt;3,"",IF(OR(ISNUMBER(SEARCH("full",AM129)),UPPER(TRIM(AM129))="FT",UPPER(TRIM(AM129))="FTE"),"FT",IF(AND(OR(ISNUMBER(SEARCH("part",AM129)),UPPER(TRIM(AM129))="PT",UPPER(TRIM(AM129))="PTE"),OR($P129="",N($P129)&gt;=PT_MinHours)),"PT","None"))))</f>
        <v/>
      </c>
      <c r="AQ129" s="13" t="str">
        <f aca="false">IF(AE129=0,"",IF(AND(AG129&gt;=3,AJ129&lt;=AsOfDate),AP129,IF(AND(AG129&gt;=2,AI129&lt;=AsOfDate),AO129,AN129)))</f>
        <v/>
      </c>
      <c r="AR129" s="13" t="str">
        <f aca="false">IF(AE129=0,"",IF(AsOfDate&lt;AF129,-1,12*(YEAR(AsOfDate)-YEAR(AF129))+MONTH(AsOfDate)-MONTH(AF129)-IF(DAY(AsOfDate)&lt;MIN(DAY(AF129),DAY(EOMONTH(AsOfDate,0))),1,0)))</f>
        <v/>
      </c>
      <c r="AS129" s="13" t="str">
        <f aca="false">IF(AE129=0,"",IF(OR(AG129&lt;2,AI129&gt;AsOfDate),AR129,IF((AI129-1)&lt;AF129,-1,12*(YEAR((AI129-1))-YEAR(AF129))+MONTH((AI129-1))-MONTH(AF129)-IF(DAY((AI129-1))&lt;MIN(DAY(AF129),DAY(EOMONTH((AI129-1),0))),1,0))))</f>
        <v/>
      </c>
      <c r="AT129" s="13" t="str">
        <f aca="false">IF(AE129=0,"",IF(OR(AG129&lt;3,AJ129&gt;AsOfDate),AR129,IF((AJ129-1)&lt;AF129,-1,12*(YEAR((AJ129-1))-YEAR(AF129))+MONTH((AJ129-1))-MONTH(AF129)-IF(DAY((AJ129-1))&lt;MIN(DAY(AF129),DAY(EOMONTH((AJ129-1),0))),1,0))))</f>
        <v/>
      </c>
      <c r="AU129" s="13" t="str">
        <f aca="false">IF(AE129=0,"",IF(PFYDate&lt;AF129,-1,12*(YEAR(PFYDate)-YEAR(AF129))+MONTH(PFYDate)-MONTH(AF129)-IF(DAY(PFYDate)&lt;MIN(DAY(AF129),DAY(EOMONTH(PFYDate,0))),1,0)))</f>
        <v/>
      </c>
      <c r="AV129" s="13" t="str">
        <f aca="false">IF(AE129=0,"",IF(OR(AG129&lt;2,AI129&gt;PFYDate),AU129,IF((AI129-1)&lt;AF129,-1,12*(YEAR((AI129-1))-YEAR(AF129))+MONTH((AI129-1))-MONTH(AF129)-IF(DAY((AI129-1))&lt;MIN(DAY(AF129),DAY(EOMONTH((AI129-1),0))),1,0))))</f>
        <v/>
      </c>
      <c r="AW129" s="13" t="str">
        <f aca="false">IF(AE129=0,"",IF(OR(AG129&lt;3,AJ129&gt;PFYDate),AU129,IF((AJ129-1)&lt;AF129,-1,12*(YEAR((AJ129-1))-YEAR(AF129))+MONTH((AJ129-1))-MONTH(AF129)-IF(DAY((AJ129-1))&lt;MIN(DAY(AF129),DAY(EOMONTH((AJ129-1),0))),1,0))))</f>
        <v/>
      </c>
      <c r="AX129" s="13"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3"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3" t="str">
        <f aca="false">IF(AE129=0,"",IF(AQ129="FT",IF(AR129&lt;FT_First,FT_First,IF(AR129&lt;FT_Y5,MIN(FT_Y5,FT_First+FT_Int1*(INT((AR129-FT_First)/FT_Int1)+1)),FT_Y5+12*INT((AR129-FT_Y5)/12)+FT_Int2*(INT(MOD(AR129-FT_Y5,12)/FT_Int2)+1))),IF(AQ129="PT",IF(AR129&lt;PT_First,PT_First,PT_First+PT_Int*(INT((AR129-PT_First)/PT_Int)+1)),"")))</f>
        <v/>
      </c>
      <c r="BA129" s="13" t="str">
        <f aca="false">IF(AE129=0,"",IF(NOT(LH_Ready),0,COUNTIFS(INDEX(LH_Data,0,LH_ColFirst),$A129,INDEX(LH_Data,0,LH_ColSur),$B129,INDEX(LH_Data,0,LH_ColCat),BonusCat)))</f>
        <v/>
      </c>
      <c r="BB129" s="13" t="str">
        <f aca="false">IF(AE129=0,"",IF(OR(NOT(LH_Ready),BA129=0),0,SUMPRODUCT(MAX((INDEX(LH_Data,0,LH_ColFirst)=$A129)*(INDEX(LH_Data,0,LH_ColSur)=$B129)*(INDEX(LH_Data,0,LH_ColCat)=BonusCat)*ROW(LH_Data)))))</f>
        <v/>
      </c>
      <c r="BC129" s="0" t="str">
        <f aca="false">IF(LEN($A129&amp;$B129)=0,"",$A129&amp;" "&amp;$B129)</f>
        <v/>
      </c>
    </row>
    <row r="130" customFormat="false" ht="15" hidden="false" customHeight="false" outlineLevel="0" collapsed="false">
      <c r="A130" s="9"/>
      <c r="B130" s="9"/>
      <c r="C130" s="9"/>
      <c r="D130" s="10"/>
      <c r="E130" s="11" t="str">
        <f aca="false">IF(OR(AE130=0,$D130=""),"",DATE(YEAR(AsOfDate)+IF(DATE(YEAR(AsOfDate),MONTH($D130),DAY($D130))&lt;=AsOfDate,1,0),MONTH($D130),DAY($D130)))</f>
        <v/>
      </c>
      <c r="F130" s="10"/>
      <c r="G130" s="10"/>
      <c r="H130" s="10"/>
      <c r="I130" s="10"/>
      <c r="J130" s="10"/>
      <c r="K130" s="11" t="str">
        <f aca="false">IF(AE130=0,"",DATE(YEAR(AsOfDate)+IF(DATE(YEAR(AsOfDate),MONTH(AF130),DAY(AF130))&lt;=AsOfDate,1,0),MONTH(AF130),DAY(AF130)))</f>
        <v/>
      </c>
      <c r="L130" s="12" t="str">
        <f aca="false">IF(AE130=0,"",ROUND((AsOfDate-AF130)/365.25,1))</f>
        <v/>
      </c>
      <c r="M130" s="13" t="str">
        <f aca="false">IF(AE130=0,"",IF(AsOfDate&lt;AF130,"-",DATEDIF(AF130,AsOfDate,"y")&amp;"y "&amp;DATEDIF(AF130,AsOfDate,"ym")&amp;"m "&amp;DATEDIF(AF130,AsOfDate,"md")&amp;"d"))</f>
        <v/>
      </c>
      <c r="N130" s="14" t="str">
        <f aca="false">IF(AE130=0,"",O130*HoursPerDay)</f>
        <v/>
      </c>
      <c r="O130" s="14" t="str">
        <f aca="false">IF(AE130=0,"",AX130)</f>
        <v/>
      </c>
      <c r="P130" s="15"/>
      <c r="Q130" s="13"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13"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1" t="str">
        <f aca="false">IF(AE130=0,"",IF(AQ130="None","",EDATE(AF130,AZ130)))</f>
        <v/>
      </c>
      <c r="T130" s="14" t="str">
        <f aca="false">IF(AE130=0,"",IF(NOT(LH_Ready),"",IF(AF130&gt;PFYDate,0,IF(LH_ColPeriod=0,W130-U130+V130,SUMIFS(INDEX(LH_Data,0,LH_ColAcc),INDEX(LH_Data,0,LH_ColFirst),$A130,INDEX(LH_Data,0,LH_ColSur),$B130,INDEX(LH_Data,0,LH_ColCat),BonusCat,INDEX(LH_Data,0,LH_ColPeriod),LH_OpenLabel)*UnitFactor))))</f>
        <v/>
      </c>
      <c r="U130" s="14" t="str">
        <f aca="false">IF(AE130=0,"",IF(NOT(LH_Ready),"",SUMIFS(INDEX(LH_Data,0,LH_ColAcc),INDEX(LH_Data,0,LH_ColFirst),$A130,INDEX(LH_Data,0,LH_ColSur),$B130,INDEX(LH_Data,0,LH_ColCat),BonusCat,INDEX(LH_Data,0,LH_ColStart),"&gt;="&amp;AF130)*UnitFactor))</f>
        <v/>
      </c>
      <c r="V130" s="14" t="str">
        <f aca="false">IF(AE130=0,"",IF(NOT(LH_Ready),"",SUMIFS(INDEX(LH_Data,0,LH_ColTaken),INDEX(LH_Data,0,LH_ColFirst),$A130,INDEX(LH_Data,0,LH_ColSur),$B130,INDEX(LH_Data,0,LH_ColCat),BonusCat,INDEX(LH_Data,0,LH_ColStart),"&gt;="&amp;AF130)*UnitFactor))</f>
        <v/>
      </c>
      <c r="W130" s="14" t="str">
        <f aca="false">IF(AE130=0,"",IF(NOT(LH_Ready),"",IF(BB130=0,0,INDEX(INDEX(LH_Data,0,LH_ColClose),BB130-1)*UnitFactor)))</f>
        <v/>
      </c>
      <c r="X130" s="14" t="str">
        <f aca="false">IF(AE130=0,"",(AX130-AY130)*HoursPerDay)</f>
        <v/>
      </c>
      <c r="Y130" s="14" t="str">
        <f aca="false">IF(AE130=0,"",IF(NOT(LH_Ready),"",IF(BA130=0,N130,IF(PFYDate&lt;$F130,N130-N(T130)-N(U130),X130-N(U130)))))</f>
        <v/>
      </c>
      <c r="Z130" s="13" t="str">
        <f aca="false">IF(OR(AE130=0,Y130=""),"",IF(Y130&gt;0,"Yes","No"))</f>
        <v/>
      </c>
      <c r="AA130" s="13"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 hrs more than policy since commencement",IF(N(W130)&gt;O130*HoursPerDay+0.01,"CHECK - EH balance "&amp;ROUND(W130-O130*HoursPerDay,2)&amp;" hrs more than policy entitlement",IF(O130&gt;0,"OK - nothing to add",IF(AQ130="None",R130,"Not yet - first day on "&amp;TEXT(S130,"dd/mm/yyyy")))))))))</f>
        <v/>
      </c>
      <c r="AB130" s="14" t="str">
        <f aca="false">IF(OR(AE130=0,T130=""),"",AY130*HoursPerDay-T130)</f>
        <v/>
      </c>
      <c r="AC130" s="13" t="str">
        <f aca="false">IF(AE130=0,"",BA130)</f>
        <v/>
      </c>
      <c r="AD130" s="13"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3" t="n">
        <f aca="false">IF(OR(LEN($A130&amp;$B130)=0,$F130=""),0,1)</f>
        <v>0</v>
      </c>
      <c r="AF130" s="11" t="str">
        <f aca="false">IF(AE130=0,"",IF($J130&lt;&gt;"",$J130,IF(OR(CasualCounts="Yes",COUNT($G130:$I130)=0,COUNT($G130:$H130)=0),$F130,MIN($G130:$H130))))</f>
        <v/>
      </c>
      <c r="AG130" s="13" t="str">
        <f aca="false">IF(AE130=0,"",COUNT($G130:$I130))</f>
        <v/>
      </c>
      <c r="AH130" s="11" t="str">
        <f aca="false">IF(AE130=0,"",IFERROR(SMALL($G130:$I130,1),""))</f>
        <v/>
      </c>
      <c r="AI130" s="11" t="str">
        <f aca="false">IF(AE130=0,"",IFERROR(SMALL($G130:$I130,2),""))</f>
        <v/>
      </c>
      <c r="AJ130" s="11" t="str">
        <f aca="false">IF(AE130=0,"",IFERROR(SMALL($G130:$I130,3),""))</f>
        <v/>
      </c>
      <c r="AK130" s="13" t="str">
        <f aca="false">IF(AE130=0,"",IF(AH130="","",IF(AH130=$G130,"Part-Time",IF(AH130=$H130,"Full-Time","Casual"))))</f>
        <v/>
      </c>
      <c r="AL130" s="13" t="str">
        <f aca="false">IF(AE130=0,"",IF(AI130="","",IF(AI130=$G130,"Part-Time",IF(AI130=$H130,"Full-Time","Casual"))))</f>
        <v/>
      </c>
      <c r="AM130" s="13" t="str">
        <f aca="false">IF(AE130=0,"",IF(AJ130="","",IF(AJ130=$G130,"Part-Time",IF(AJ130=$H130,"Full-Time","Casual"))))</f>
        <v/>
      </c>
      <c r="AN130" s="13"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3" t="str">
        <f aca="false">IF(AE130=0,"",IF(AG130&lt;2,"",IF(OR(ISNUMBER(SEARCH("full",AL130)),UPPER(TRIM(AL130))="FT",UPPER(TRIM(AL130))="FTE"),"FT",IF(AND(OR(ISNUMBER(SEARCH("part",AL130)),UPPER(TRIM(AL130))="PT",UPPER(TRIM(AL130))="PTE"),OR($P130="",N($P130)&gt;=PT_MinHours)),"PT","None"))))</f>
        <v/>
      </c>
      <c r="AP130" s="13" t="str">
        <f aca="false">IF(AE130=0,"",IF(AG130&lt;3,"",IF(OR(ISNUMBER(SEARCH("full",AM130)),UPPER(TRIM(AM130))="FT",UPPER(TRIM(AM130))="FTE"),"FT",IF(AND(OR(ISNUMBER(SEARCH("part",AM130)),UPPER(TRIM(AM130))="PT",UPPER(TRIM(AM130))="PTE"),OR($P130="",N($P130)&gt;=PT_MinHours)),"PT","None"))))</f>
        <v/>
      </c>
      <c r="AQ130" s="13" t="str">
        <f aca="false">IF(AE130=0,"",IF(AND(AG130&gt;=3,AJ130&lt;=AsOfDate),AP130,IF(AND(AG130&gt;=2,AI130&lt;=AsOfDate),AO130,AN130)))</f>
        <v/>
      </c>
      <c r="AR130" s="13" t="str">
        <f aca="false">IF(AE130=0,"",IF(AsOfDate&lt;AF130,-1,12*(YEAR(AsOfDate)-YEAR(AF130))+MONTH(AsOfDate)-MONTH(AF130)-IF(DAY(AsOfDate)&lt;MIN(DAY(AF130),DAY(EOMONTH(AsOfDate,0))),1,0)))</f>
        <v/>
      </c>
      <c r="AS130" s="13" t="str">
        <f aca="false">IF(AE130=0,"",IF(OR(AG130&lt;2,AI130&gt;AsOfDate),AR130,IF((AI130-1)&lt;AF130,-1,12*(YEAR((AI130-1))-YEAR(AF130))+MONTH((AI130-1))-MONTH(AF130)-IF(DAY((AI130-1))&lt;MIN(DAY(AF130),DAY(EOMONTH((AI130-1),0))),1,0))))</f>
        <v/>
      </c>
      <c r="AT130" s="13" t="str">
        <f aca="false">IF(AE130=0,"",IF(OR(AG130&lt;3,AJ130&gt;AsOfDate),AR130,IF((AJ130-1)&lt;AF130,-1,12*(YEAR((AJ130-1))-YEAR(AF130))+MONTH((AJ130-1))-MONTH(AF130)-IF(DAY((AJ130-1))&lt;MIN(DAY(AF130),DAY(EOMONTH((AJ130-1),0))),1,0))))</f>
        <v/>
      </c>
      <c r="AU130" s="13" t="str">
        <f aca="false">IF(AE130=0,"",IF(PFYDate&lt;AF130,-1,12*(YEAR(PFYDate)-YEAR(AF130))+MONTH(PFYDate)-MONTH(AF130)-IF(DAY(PFYDate)&lt;MIN(DAY(AF130),DAY(EOMONTH(PFYDate,0))),1,0)))</f>
        <v/>
      </c>
      <c r="AV130" s="13" t="str">
        <f aca="false">IF(AE130=0,"",IF(OR(AG130&lt;2,AI130&gt;PFYDate),AU130,IF((AI130-1)&lt;AF130,-1,12*(YEAR((AI130-1))-YEAR(AF130))+MONTH((AI130-1))-MONTH(AF130)-IF(DAY((AI130-1))&lt;MIN(DAY(AF130),DAY(EOMONTH((AI130-1),0))),1,0))))</f>
        <v/>
      </c>
      <c r="AW130" s="13" t="str">
        <f aca="false">IF(AE130=0,"",IF(OR(AG130&lt;3,AJ130&gt;PFYDate),AU130,IF((AJ130-1)&lt;AF130,-1,12*(YEAR((AJ130-1))-YEAR(AF130))+MONTH((AJ130-1))-MONTH(AF130)-IF(DAY((AJ130-1))&lt;MIN(DAY(AF130),DAY(EOMONTH((AJ130-1),0))),1,0))))</f>
        <v/>
      </c>
      <c r="AX130" s="13"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3"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3" t="str">
        <f aca="false">IF(AE130=0,"",IF(AQ130="FT",IF(AR130&lt;FT_First,FT_First,IF(AR130&lt;FT_Y5,MIN(FT_Y5,FT_First+FT_Int1*(INT((AR130-FT_First)/FT_Int1)+1)),FT_Y5+12*INT((AR130-FT_Y5)/12)+FT_Int2*(INT(MOD(AR130-FT_Y5,12)/FT_Int2)+1))),IF(AQ130="PT",IF(AR130&lt;PT_First,PT_First,PT_First+PT_Int*(INT((AR130-PT_First)/PT_Int)+1)),"")))</f>
        <v/>
      </c>
      <c r="BA130" s="13" t="str">
        <f aca="false">IF(AE130=0,"",IF(NOT(LH_Ready),0,COUNTIFS(INDEX(LH_Data,0,LH_ColFirst),$A130,INDEX(LH_Data,0,LH_ColSur),$B130,INDEX(LH_Data,0,LH_ColCat),BonusCat)))</f>
        <v/>
      </c>
      <c r="BB130" s="13" t="str">
        <f aca="false">IF(AE130=0,"",IF(OR(NOT(LH_Ready),BA130=0),0,SUMPRODUCT(MAX((INDEX(LH_Data,0,LH_ColFirst)=$A130)*(INDEX(LH_Data,0,LH_ColSur)=$B130)*(INDEX(LH_Data,0,LH_ColCat)=BonusCat)*ROW(LH_Data)))))</f>
        <v/>
      </c>
      <c r="BC130" s="0" t="str">
        <f aca="false">IF(LEN($A130&amp;$B130)=0,"",$A130&amp;" "&amp;$B130)</f>
        <v/>
      </c>
    </row>
    <row r="131" customFormat="false" ht="15" hidden="false" customHeight="false" outlineLevel="0" collapsed="false">
      <c r="A131" s="9"/>
      <c r="B131" s="9"/>
      <c r="C131" s="9"/>
      <c r="D131" s="10"/>
      <c r="E131" s="11" t="str">
        <f aca="false">IF(OR(AE131=0,$D131=""),"",DATE(YEAR(AsOfDate)+IF(DATE(YEAR(AsOfDate),MONTH($D131),DAY($D131))&lt;=AsOfDate,1,0),MONTH($D131),DAY($D131)))</f>
        <v/>
      </c>
      <c r="F131" s="10"/>
      <c r="G131" s="10"/>
      <c r="H131" s="10"/>
      <c r="I131" s="10"/>
      <c r="J131" s="10"/>
      <c r="K131" s="11" t="str">
        <f aca="false">IF(AE131=0,"",DATE(YEAR(AsOfDate)+IF(DATE(YEAR(AsOfDate),MONTH(AF131),DAY(AF131))&lt;=AsOfDate,1,0),MONTH(AF131),DAY(AF131)))</f>
        <v/>
      </c>
      <c r="L131" s="12" t="str">
        <f aca="false">IF(AE131=0,"",ROUND((AsOfDate-AF131)/365.25,1))</f>
        <v/>
      </c>
      <c r="M131" s="13" t="str">
        <f aca="false">IF(AE131=0,"",IF(AsOfDate&lt;AF131,"-",DATEDIF(AF131,AsOfDate,"y")&amp;"y "&amp;DATEDIF(AF131,AsOfDate,"ym")&amp;"m "&amp;DATEDIF(AF131,AsOfDate,"md")&amp;"d"))</f>
        <v/>
      </c>
      <c r="N131" s="14" t="str">
        <f aca="false">IF(AE131=0,"",O131*HoursPerDay)</f>
        <v/>
      </c>
      <c r="O131" s="14" t="str">
        <f aca="false">IF(AE131=0,"",AX131)</f>
        <v/>
      </c>
      <c r="P131" s="15"/>
      <c r="Q131" s="13"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13"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1" t="str">
        <f aca="false">IF(AE131=0,"",IF(AQ131="None","",EDATE(AF131,AZ131)))</f>
        <v/>
      </c>
      <c r="T131" s="14" t="str">
        <f aca="false">IF(AE131=0,"",IF(NOT(LH_Ready),"",IF(AF131&gt;PFYDate,0,IF(LH_ColPeriod=0,W131-U131+V131,SUMIFS(INDEX(LH_Data,0,LH_ColAcc),INDEX(LH_Data,0,LH_ColFirst),$A131,INDEX(LH_Data,0,LH_ColSur),$B131,INDEX(LH_Data,0,LH_ColCat),BonusCat,INDEX(LH_Data,0,LH_ColPeriod),LH_OpenLabel)*UnitFactor))))</f>
        <v/>
      </c>
      <c r="U131" s="14" t="str">
        <f aca="false">IF(AE131=0,"",IF(NOT(LH_Ready),"",SUMIFS(INDEX(LH_Data,0,LH_ColAcc),INDEX(LH_Data,0,LH_ColFirst),$A131,INDEX(LH_Data,0,LH_ColSur),$B131,INDEX(LH_Data,0,LH_ColCat),BonusCat,INDEX(LH_Data,0,LH_ColStart),"&gt;="&amp;AF131)*UnitFactor))</f>
        <v/>
      </c>
      <c r="V131" s="14" t="str">
        <f aca="false">IF(AE131=0,"",IF(NOT(LH_Ready),"",SUMIFS(INDEX(LH_Data,0,LH_ColTaken),INDEX(LH_Data,0,LH_ColFirst),$A131,INDEX(LH_Data,0,LH_ColSur),$B131,INDEX(LH_Data,0,LH_ColCat),BonusCat,INDEX(LH_Data,0,LH_ColStart),"&gt;="&amp;AF131)*UnitFactor))</f>
        <v/>
      </c>
      <c r="W131" s="14" t="str">
        <f aca="false">IF(AE131=0,"",IF(NOT(LH_Ready),"",IF(BB131=0,0,INDEX(INDEX(LH_Data,0,LH_ColClose),BB131-1)*UnitFactor)))</f>
        <v/>
      </c>
      <c r="X131" s="14" t="str">
        <f aca="false">IF(AE131=0,"",(AX131-AY131)*HoursPerDay)</f>
        <v/>
      </c>
      <c r="Y131" s="14" t="str">
        <f aca="false">IF(AE131=0,"",IF(NOT(LH_Ready),"",IF(BA131=0,N131,IF(PFYDate&lt;$F131,N131-N(T131)-N(U131),X131-N(U131)))))</f>
        <v/>
      </c>
      <c r="Z131" s="13" t="str">
        <f aca="false">IF(OR(AE131=0,Y131=""),"",IF(Y131&gt;0,"Yes","No"))</f>
        <v/>
      </c>
      <c r="AA131" s="13"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 hrs more than policy since commencement",IF(N(W131)&gt;O131*HoursPerDay+0.01,"CHECK - EH balance "&amp;ROUND(W131-O131*HoursPerDay,2)&amp;" hrs more than policy entitlement",IF(O131&gt;0,"OK - nothing to add",IF(AQ131="None",R131,"Not yet - first day on "&amp;TEXT(S131,"dd/mm/yyyy")))))))))</f>
        <v/>
      </c>
      <c r="AB131" s="14" t="str">
        <f aca="false">IF(OR(AE131=0,T131=""),"",AY131*HoursPerDay-T131)</f>
        <v/>
      </c>
      <c r="AC131" s="13" t="str">
        <f aca="false">IF(AE131=0,"",BA131)</f>
        <v/>
      </c>
      <c r="AD131" s="13"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3" t="n">
        <f aca="false">IF(OR(LEN($A131&amp;$B131)=0,$F131=""),0,1)</f>
        <v>0</v>
      </c>
      <c r="AF131" s="11" t="str">
        <f aca="false">IF(AE131=0,"",IF($J131&lt;&gt;"",$J131,IF(OR(CasualCounts="Yes",COUNT($G131:$I131)=0,COUNT($G131:$H131)=0),$F131,MIN($G131:$H131))))</f>
        <v/>
      </c>
      <c r="AG131" s="13" t="str">
        <f aca="false">IF(AE131=0,"",COUNT($G131:$I131))</f>
        <v/>
      </c>
      <c r="AH131" s="11" t="str">
        <f aca="false">IF(AE131=0,"",IFERROR(SMALL($G131:$I131,1),""))</f>
        <v/>
      </c>
      <c r="AI131" s="11" t="str">
        <f aca="false">IF(AE131=0,"",IFERROR(SMALL($G131:$I131,2),""))</f>
        <v/>
      </c>
      <c r="AJ131" s="11" t="str">
        <f aca="false">IF(AE131=0,"",IFERROR(SMALL($G131:$I131,3),""))</f>
        <v/>
      </c>
      <c r="AK131" s="13" t="str">
        <f aca="false">IF(AE131=0,"",IF(AH131="","",IF(AH131=$G131,"Part-Time",IF(AH131=$H131,"Full-Time","Casual"))))</f>
        <v/>
      </c>
      <c r="AL131" s="13" t="str">
        <f aca="false">IF(AE131=0,"",IF(AI131="","",IF(AI131=$G131,"Part-Time",IF(AI131=$H131,"Full-Time","Casual"))))</f>
        <v/>
      </c>
      <c r="AM131" s="13" t="str">
        <f aca="false">IF(AE131=0,"",IF(AJ131="","",IF(AJ131=$G131,"Part-Time",IF(AJ131=$H131,"Full-Time","Casual"))))</f>
        <v/>
      </c>
      <c r="AN131" s="13"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3" t="str">
        <f aca="false">IF(AE131=0,"",IF(AG131&lt;2,"",IF(OR(ISNUMBER(SEARCH("full",AL131)),UPPER(TRIM(AL131))="FT",UPPER(TRIM(AL131))="FTE"),"FT",IF(AND(OR(ISNUMBER(SEARCH("part",AL131)),UPPER(TRIM(AL131))="PT",UPPER(TRIM(AL131))="PTE"),OR($P131="",N($P131)&gt;=PT_MinHours)),"PT","None"))))</f>
        <v/>
      </c>
      <c r="AP131" s="13" t="str">
        <f aca="false">IF(AE131=0,"",IF(AG131&lt;3,"",IF(OR(ISNUMBER(SEARCH("full",AM131)),UPPER(TRIM(AM131))="FT",UPPER(TRIM(AM131))="FTE"),"FT",IF(AND(OR(ISNUMBER(SEARCH("part",AM131)),UPPER(TRIM(AM131))="PT",UPPER(TRIM(AM131))="PTE"),OR($P131="",N($P131)&gt;=PT_MinHours)),"PT","None"))))</f>
        <v/>
      </c>
      <c r="AQ131" s="13" t="str">
        <f aca="false">IF(AE131=0,"",IF(AND(AG131&gt;=3,AJ131&lt;=AsOfDate),AP131,IF(AND(AG131&gt;=2,AI131&lt;=AsOfDate),AO131,AN131)))</f>
        <v/>
      </c>
      <c r="AR131" s="13" t="str">
        <f aca="false">IF(AE131=0,"",IF(AsOfDate&lt;AF131,-1,12*(YEAR(AsOfDate)-YEAR(AF131))+MONTH(AsOfDate)-MONTH(AF131)-IF(DAY(AsOfDate)&lt;MIN(DAY(AF131),DAY(EOMONTH(AsOfDate,0))),1,0)))</f>
        <v/>
      </c>
      <c r="AS131" s="13" t="str">
        <f aca="false">IF(AE131=0,"",IF(OR(AG131&lt;2,AI131&gt;AsOfDate),AR131,IF((AI131-1)&lt;AF131,-1,12*(YEAR((AI131-1))-YEAR(AF131))+MONTH((AI131-1))-MONTH(AF131)-IF(DAY((AI131-1))&lt;MIN(DAY(AF131),DAY(EOMONTH((AI131-1),0))),1,0))))</f>
        <v/>
      </c>
      <c r="AT131" s="13" t="str">
        <f aca="false">IF(AE131=0,"",IF(OR(AG131&lt;3,AJ131&gt;AsOfDate),AR131,IF((AJ131-1)&lt;AF131,-1,12*(YEAR((AJ131-1))-YEAR(AF131))+MONTH((AJ131-1))-MONTH(AF131)-IF(DAY((AJ131-1))&lt;MIN(DAY(AF131),DAY(EOMONTH((AJ131-1),0))),1,0))))</f>
        <v/>
      </c>
      <c r="AU131" s="13" t="str">
        <f aca="false">IF(AE131=0,"",IF(PFYDate&lt;AF131,-1,12*(YEAR(PFYDate)-YEAR(AF131))+MONTH(PFYDate)-MONTH(AF131)-IF(DAY(PFYDate)&lt;MIN(DAY(AF131),DAY(EOMONTH(PFYDate,0))),1,0)))</f>
        <v/>
      </c>
      <c r="AV131" s="13" t="str">
        <f aca="false">IF(AE131=0,"",IF(OR(AG131&lt;2,AI131&gt;PFYDate),AU131,IF((AI131-1)&lt;AF131,-1,12*(YEAR((AI131-1))-YEAR(AF131))+MONTH((AI131-1))-MONTH(AF131)-IF(DAY((AI131-1))&lt;MIN(DAY(AF131),DAY(EOMONTH((AI131-1),0))),1,0))))</f>
        <v/>
      </c>
      <c r="AW131" s="13" t="str">
        <f aca="false">IF(AE131=0,"",IF(OR(AG131&lt;3,AJ131&gt;PFYDate),AU131,IF((AJ131-1)&lt;AF131,-1,12*(YEAR((AJ131-1))-YEAR(AF131))+MONTH((AJ131-1))-MONTH(AF131)-IF(DAY((AJ131-1))&lt;MIN(DAY(AF131),DAY(EOMONTH((AJ131-1),0))),1,0))))</f>
        <v/>
      </c>
      <c r="AX131" s="13"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3"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3" t="str">
        <f aca="false">IF(AE131=0,"",IF(AQ131="FT",IF(AR131&lt;FT_First,FT_First,IF(AR131&lt;FT_Y5,MIN(FT_Y5,FT_First+FT_Int1*(INT((AR131-FT_First)/FT_Int1)+1)),FT_Y5+12*INT((AR131-FT_Y5)/12)+FT_Int2*(INT(MOD(AR131-FT_Y5,12)/FT_Int2)+1))),IF(AQ131="PT",IF(AR131&lt;PT_First,PT_First,PT_First+PT_Int*(INT((AR131-PT_First)/PT_Int)+1)),"")))</f>
        <v/>
      </c>
      <c r="BA131" s="13" t="str">
        <f aca="false">IF(AE131=0,"",IF(NOT(LH_Ready),0,COUNTIFS(INDEX(LH_Data,0,LH_ColFirst),$A131,INDEX(LH_Data,0,LH_ColSur),$B131,INDEX(LH_Data,0,LH_ColCat),BonusCat)))</f>
        <v/>
      </c>
      <c r="BB131" s="13" t="str">
        <f aca="false">IF(AE131=0,"",IF(OR(NOT(LH_Ready),BA131=0),0,SUMPRODUCT(MAX((INDEX(LH_Data,0,LH_ColFirst)=$A131)*(INDEX(LH_Data,0,LH_ColSur)=$B131)*(INDEX(LH_Data,0,LH_ColCat)=BonusCat)*ROW(LH_Data)))))</f>
        <v/>
      </c>
      <c r="BC131" s="0" t="str">
        <f aca="false">IF(LEN($A131&amp;$B131)=0,"",$A131&amp;" "&amp;$B131)</f>
        <v/>
      </c>
    </row>
    <row r="132" customFormat="false" ht="15" hidden="false" customHeight="false" outlineLevel="0" collapsed="false">
      <c r="A132" s="9"/>
      <c r="B132" s="9"/>
      <c r="C132" s="9"/>
      <c r="D132" s="10"/>
      <c r="E132" s="11" t="str">
        <f aca="false">IF(OR(AE132=0,$D132=""),"",DATE(YEAR(AsOfDate)+IF(DATE(YEAR(AsOfDate),MONTH($D132),DAY($D132))&lt;=AsOfDate,1,0),MONTH($D132),DAY($D132)))</f>
        <v/>
      </c>
      <c r="F132" s="10"/>
      <c r="G132" s="10"/>
      <c r="H132" s="10"/>
      <c r="I132" s="10"/>
      <c r="J132" s="10"/>
      <c r="K132" s="11" t="str">
        <f aca="false">IF(AE132=0,"",DATE(YEAR(AsOfDate)+IF(DATE(YEAR(AsOfDate),MONTH(AF132),DAY(AF132))&lt;=AsOfDate,1,0),MONTH(AF132),DAY(AF132)))</f>
        <v/>
      </c>
      <c r="L132" s="12" t="str">
        <f aca="false">IF(AE132=0,"",ROUND((AsOfDate-AF132)/365.25,1))</f>
        <v/>
      </c>
      <c r="M132" s="13" t="str">
        <f aca="false">IF(AE132=0,"",IF(AsOfDate&lt;AF132,"-",DATEDIF(AF132,AsOfDate,"y")&amp;"y "&amp;DATEDIF(AF132,AsOfDate,"ym")&amp;"m "&amp;DATEDIF(AF132,AsOfDate,"md")&amp;"d"))</f>
        <v/>
      </c>
      <c r="N132" s="14" t="str">
        <f aca="false">IF(AE132=0,"",O132*HoursPerDay)</f>
        <v/>
      </c>
      <c r="O132" s="14" t="str">
        <f aca="false">IF(AE132=0,"",AX132)</f>
        <v/>
      </c>
      <c r="P132" s="15"/>
      <c r="Q132" s="13"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13"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1" t="str">
        <f aca="false">IF(AE132=0,"",IF(AQ132="None","",EDATE(AF132,AZ132)))</f>
        <v/>
      </c>
      <c r="T132" s="14" t="str">
        <f aca="false">IF(AE132=0,"",IF(NOT(LH_Ready),"",IF(AF132&gt;PFYDate,0,IF(LH_ColPeriod=0,W132-U132+V132,SUMIFS(INDEX(LH_Data,0,LH_ColAcc),INDEX(LH_Data,0,LH_ColFirst),$A132,INDEX(LH_Data,0,LH_ColSur),$B132,INDEX(LH_Data,0,LH_ColCat),BonusCat,INDEX(LH_Data,0,LH_ColPeriod),LH_OpenLabel)*UnitFactor))))</f>
        <v/>
      </c>
      <c r="U132" s="14" t="str">
        <f aca="false">IF(AE132=0,"",IF(NOT(LH_Ready),"",SUMIFS(INDEX(LH_Data,0,LH_ColAcc),INDEX(LH_Data,0,LH_ColFirst),$A132,INDEX(LH_Data,0,LH_ColSur),$B132,INDEX(LH_Data,0,LH_ColCat),BonusCat,INDEX(LH_Data,0,LH_ColStart),"&gt;="&amp;AF132)*UnitFactor))</f>
        <v/>
      </c>
      <c r="V132" s="14" t="str">
        <f aca="false">IF(AE132=0,"",IF(NOT(LH_Ready),"",SUMIFS(INDEX(LH_Data,0,LH_ColTaken),INDEX(LH_Data,0,LH_ColFirst),$A132,INDEX(LH_Data,0,LH_ColSur),$B132,INDEX(LH_Data,0,LH_ColCat),BonusCat,INDEX(LH_Data,0,LH_ColStart),"&gt;="&amp;AF132)*UnitFactor))</f>
        <v/>
      </c>
      <c r="W132" s="14" t="str">
        <f aca="false">IF(AE132=0,"",IF(NOT(LH_Ready),"",IF(BB132=0,0,INDEX(INDEX(LH_Data,0,LH_ColClose),BB132-1)*UnitFactor)))</f>
        <v/>
      </c>
      <c r="X132" s="14" t="str">
        <f aca="false">IF(AE132=0,"",(AX132-AY132)*HoursPerDay)</f>
        <v/>
      </c>
      <c r="Y132" s="14" t="str">
        <f aca="false">IF(AE132=0,"",IF(NOT(LH_Ready),"",IF(BA132=0,N132,IF(PFYDate&lt;$F132,N132-N(T132)-N(U132),X132-N(U132)))))</f>
        <v/>
      </c>
      <c r="Z132" s="13" t="str">
        <f aca="false">IF(OR(AE132=0,Y132=""),"",IF(Y132&gt;0,"Yes","No"))</f>
        <v/>
      </c>
      <c r="AA132" s="13"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 hrs more than policy since commencement",IF(N(W132)&gt;O132*HoursPerDay+0.01,"CHECK - EH balance "&amp;ROUND(W132-O132*HoursPerDay,2)&amp;" hrs more than policy entitlement",IF(O132&gt;0,"OK - nothing to add",IF(AQ132="None",R132,"Not yet - first day on "&amp;TEXT(S132,"dd/mm/yyyy")))))))))</f>
        <v/>
      </c>
      <c r="AB132" s="14" t="str">
        <f aca="false">IF(OR(AE132=0,T132=""),"",AY132*HoursPerDay-T132)</f>
        <v/>
      </c>
      <c r="AC132" s="13" t="str">
        <f aca="false">IF(AE132=0,"",BA132)</f>
        <v/>
      </c>
      <c r="AD132" s="13"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3" t="n">
        <f aca="false">IF(OR(LEN($A132&amp;$B132)=0,$F132=""),0,1)</f>
        <v>0</v>
      </c>
      <c r="AF132" s="11" t="str">
        <f aca="false">IF(AE132=0,"",IF($J132&lt;&gt;"",$J132,IF(OR(CasualCounts="Yes",COUNT($G132:$I132)=0,COUNT($G132:$H132)=0),$F132,MIN($G132:$H132))))</f>
        <v/>
      </c>
      <c r="AG132" s="13" t="str">
        <f aca="false">IF(AE132=0,"",COUNT($G132:$I132))</f>
        <v/>
      </c>
      <c r="AH132" s="11" t="str">
        <f aca="false">IF(AE132=0,"",IFERROR(SMALL($G132:$I132,1),""))</f>
        <v/>
      </c>
      <c r="AI132" s="11" t="str">
        <f aca="false">IF(AE132=0,"",IFERROR(SMALL($G132:$I132,2),""))</f>
        <v/>
      </c>
      <c r="AJ132" s="11" t="str">
        <f aca="false">IF(AE132=0,"",IFERROR(SMALL($G132:$I132,3),""))</f>
        <v/>
      </c>
      <c r="AK132" s="13" t="str">
        <f aca="false">IF(AE132=0,"",IF(AH132="","",IF(AH132=$G132,"Part-Time",IF(AH132=$H132,"Full-Time","Casual"))))</f>
        <v/>
      </c>
      <c r="AL132" s="13" t="str">
        <f aca="false">IF(AE132=0,"",IF(AI132="","",IF(AI132=$G132,"Part-Time",IF(AI132=$H132,"Full-Time","Casual"))))</f>
        <v/>
      </c>
      <c r="AM132" s="13" t="str">
        <f aca="false">IF(AE132=0,"",IF(AJ132="","",IF(AJ132=$G132,"Part-Time",IF(AJ132=$H132,"Full-Time","Casual"))))</f>
        <v/>
      </c>
      <c r="AN132" s="13"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3" t="str">
        <f aca="false">IF(AE132=0,"",IF(AG132&lt;2,"",IF(OR(ISNUMBER(SEARCH("full",AL132)),UPPER(TRIM(AL132))="FT",UPPER(TRIM(AL132))="FTE"),"FT",IF(AND(OR(ISNUMBER(SEARCH("part",AL132)),UPPER(TRIM(AL132))="PT",UPPER(TRIM(AL132))="PTE"),OR($P132="",N($P132)&gt;=PT_MinHours)),"PT","None"))))</f>
        <v/>
      </c>
      <c r="AP132" s="13" t="str">
        <f aca="false">IF(AE132=0,"",IF(AG132&lt;3,"",IF(OR(ISNUMBER(SEARCH("full",AM132)),UPPER(TRIM(AM132))="FT",UPPER(TRIM(AM132))="FTE"),"FT",IF(AND(OR(ISNUMBER(SEARCH("part",AM132)),UPPER(TRIM(AM132))="PT",UPPER(TRIM(AM132))="PTE"),OR($P132="",N($P132)&gt;=PT_MinHours)),"PT","None"))))</f>
        <v/>
      </c>
      <c r="AQ132" s="13" t="str">
        <f aca="false">IF(AE132=0,"",IF(AND(AG132&gt;=3,AJ132&lt;=AsOfDate),AP132,IF(AND(AG132&gt;=2,AI132&lt;=AsOfDate),AO132,AN132)))</f>
        <v/>
      </c>
      <c r="AR132" s="13" t="str">
        <f aca="false">IF(AE132=0,"",IF(AsOfDate&lt;AF132,-1,12*(YEAR(AsOfDate)-YEAR(AF132))+MONTH(AsOfDate)-MONTH(AF132)-IF(DAY(AsOfDate)&lt;MIN(DAY(AF132),DAY(EOMONTH(AsOfDate,0))),1,0)))</f>
        <v/>
      </c>
      <c r="AS132" s="13" t="str">
        <f aca="false">IF(AE132=0,"",IF(OR(AG132&lt;2,AI132&gt;AsOfDate),AR132,IF((AI132-1)&lt;AF132,-1,12*(YEAR((AI132-1))-YEAR(AF132))+MONTH((AI132-1))-MONTH(AF132)-IF(DAY((AI132-1))&lt;MIN(DAY(AF132),DAY(EOMONTH((AI132-1),0))),1,0))))</f>
        <v/>
      </c>
      <c r="AT132" s="13" t="str">
        <f aca="false">IF(AE132=0,"",IF(OR(AG132&lt;3,AJ132&gt;AsOfDate),AR132,IF((AJ132-1)&lt;AF132,-1,12*(YEAR((AJ132-1))-YEAR(AF132))+MONTH((AJ132-1))-MONTH(AF132)-IF(DAY((AJ132-1))&lt;MIN(DAY(AF132),DAY(EOMONTH((AJ132-1),0))),1,0))))</f>
        <v/>
      </c>
      <c r="AU132" s="13" t="str">
        <f aca="false">IF(AE132=0,"",IF(PFYDate&lt;AF132,-1,12*(YEAR(PFYDate)-YEAR(AF132))+MONTH(PFYDate)-MONTH(AF132)-IF(DAY(PFYDate)&lt;MIN(DAY(AF132),DAY(EOMONTH(PFYDate,0))),1,0)))</f>
        <v/>
      </c>
      <c r="AV132" s="13" t="str">
        <f aca="false">IF(AE132=0,"",IF(OR(AG132&lt;2,AI132&gt;PFYDate),AU132,IF((AI132-1)&lt;AF132,-1,12*(YEAR((AI132-1))-YEAR(AF132))+MONTH((AI132-1))-MONTH(AF132)-IF(DAY((AI132-1))&lt;MIN(DAY(AF132),DAY(EOMONTH((AI132-1),0))),1,0))))</f>
        <v/>
      </c>
      <c r="AW132" s="13" t="str">
        <f aca="false">IF(AE132=0,"",IF(OR(AG132&lt;3,AJ132&gt;PFYDate),AU132,IF((AJ132-1)&lt;AF132,-1,12*(YEAR((AJ132-1))-YEAR(AF132))+MONTH((AJ132-1))-MONTH(AF132)-IF(DAY((AJ132-1))&lt;MIN(DAY(AF132),DAY(EOMONTH((AJ132-1),0))),1,0))))</f>
        <v/>
      </c>
      <c r="AX132" s="13"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3"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3" t="str">
        <f aca="false">IF(AE132=0,"",IF(AQ132="FT",IF(AR132&lt;FT_First,FT_First,IF(AR132&lt;FT_Y5,MIN(FT_Y5,FT_First+FT_Int1*(INT((AR132-FT_First)/FT_Int1)+1)),FT_Y5+12*INT((AR132-FT_Y5)/12)+FT_Int2*(INT(MOD(AR132-FT_Y5,12)/FT_Int2)+1))),IF(AQ132="PT",IF(AR132&lt;PT_First,PT_First,PT_First+PT_Int*(INT((AR132-PT_First)/PT_Int)+1)),"")))</f>
        <v/>
      </c>
      <c r="BA132" s="13" t="str">
        <f aca="false">IF(AE132=0,"",IF(NOT(LH_Ready),0,COUNTIFS(INDEX(LH_Data,0,LH_ColFirst),$A132,INDEX(LH_Data,0,LH_ColSur),$B132,INDEX(LH_Data,0,LH_ColCat),BonusCat)))</f>
        <v/>
      </c>
      <c r="BB132" s="13" t="str">
        <f aca="false">IF(AE132=0,"",IF(OR(NOT(LH_Ready),BA132=0),0,SUMPRODUCT(MAX((INDEX(LH_Data,0,LH_ColFirst)=$A132)*(INDEX(LH_Data,0,LH_ColSur)=$B132)*(INDEX(LH_Data,0,LH_ColCat)=BonusCat)*ROW(LH_Data)))))</f>
        <v/>
      </c>
      <c r="BC132" s="0" t="str">
        <f aca="false">IF(LEN($A132&amp;$B132)=0,"",$A132&amp;" "&amp;$B132)</f>
        <v/>
      </c>
    </row>
    <row r="133" customFormat="false" ht="15" hidden="false" customHeight="false" outlineLevel="0" collapsed="false">
      <c r="A133" s="9"/>
      <c r="B133" s="9"/>
      <c r="C133" s="9"/>
      <c r="D133" s="10"/>
      <c r="E133" s="11" t="str">
        <f aca="false">IF(OR(AE133=0,$D133=""),"",DATE(YEAR(AsOfDate)+IF(DATE(YEAR(AsOfDate),MONTH($D133),DAY($D133))&lt;=AsOfDate,1,0),MONTH($D133),DAY($D133)))</f>
        <v/>
      </c>
      <c r="F133" s="10"/>
      <c r="G133" s="10"/>
      <c r="H133" s="10"/>
      <c r="I133" s="10"/>
      <c r="J133" s="10"/>
      <c r="K133" s="11" t="str">
        <f aca="false">IF(AE133=0,"",DATE(YEAR(AsOfDate)+IF(DATE(YEAR(AsOfDate),MONTH(AF133),DAY(AF133))&lt;=AsOfDate,1,0),MONTH(AF133),DAY(AF133)))</f>
        <v/>
      </c>
      <c r="L133" s="12" t="str">
        <f aca="false">IF(AE133=0,"",ROUND((AsOfDate-AF133)/365.25,1))</f>
        <v/>
      </c>
      <c r="M133" s="13" t="str">
        <f aca="false">IF(AE133=0,"",IF(AsOfDate&lt;AF133,"-",DATEDIF(AF133,AsOfDate,"y")&amp;"y "&amp;DATEDIF(AF133,AsOfDate,"ym")&amp;"m "&amp;DATEDIF(AF133,AsOfDate,"md")&amp;"d"))</f>
        <v/>
      </c>
      <c r="N133" s="14" t="str">
        <f aca="false">IF(AE133=0,"",O133*HoursPerDay)</f>
        <v/>
      </c>
      <c r="O133" s="14" t="str">
        <f aca="false">IF(AE133=0,"",AX133)</f>
        <v/>
      </c>
      <c r="P133" s="15"/>
      <c r="Q133" s="13"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13"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1" t="str">
        <f aca="false">IF(AE133=0,"",IF(AQ133="None","",EDATE(AF133,AZ133)))</f>
        <v/>
      </c>
      <c r="T133" s="14" t="str">
        <f aca="false">IF(AE133=0,"",IF(NOT(LH_Ready),"",IF(AF133&gt;PFYDate,0,IF(LH_ColPeriod=0,W133-U133+V133,SUMIFS(INDEX(LH_Data,0,LH_ColAcc),INDEX(LH_Data,0,LH_ColFirst),$A133,INDEX(LH_Data,0,LH_ColSur),$B133,INDEX(LH_Data,0,LH_ColCat),BonusCat,INDEX(LH_Data,0,LH_ColPeriod),LH_OpenLabel)*UnitFactor))))</f>
        <v/>
      </c>
      <c r="U133" s="14" t="str">
        <f aca="false">IF(AE133=0,"",IF(NOT(LH_Ready),"",SUMIFS(INDEX(LH_Data,0,LH_ColAcc),INDEX(LH_Data,0,LH_ColFirst),$A133,INDEX(LH_Data,0,LH_ColSur),$B133,INDEX(LH_Data,0,LH_ColCat),BonusCat,INDEX(LH_Data,0,LH_ColStart),"&gt;="&amp;AF133)*UnitFactor))</f>
        <v/>
      </c>
      <c r="V133" s="14" t="str">
        <f aca="false">IF(AE133=0,"",IF(NOT(LH_Ready),"",SUMIFS(INDEX(LH_Data,0,LH_ColTaken),INDEX(LH_Data,0,LH_ColFirst),$A133,INDEX(LH_Data,0,LH_ColSur),$B133,INDEX(LH_Data,0,LH_ColCat),BonusCat,INDEX(LH_Data,0,LH_ColStart),"&gt;="&amp;AF133)*UnitFactor))</f>
        <v/>
      </c>
      <c r="W133" s="14" t="str">
        <f aca="false">IF(AE133=0,"",IF(NOT(LH_Ready),"",IF(BB133=0,0,INDEX(INDEX(LH_Data,0,LH_ColClose),BB133-1)*UnitFactor)))</f>
        <v/>
      </c>
      <c r="X133" s="14" t="str">
        <f aca="false">IF(AE133=0,"",(AX133-AY133)*HoursPerDay)</f>
        <v/>
      </c>
      <c r="Y133" s="14" t="str">
        <f aca="false">IF(AE133=0,"",IF(NOT(LH_Ready),"",IF(BA133=0,N133,IF(PFYDate&lt;$F133,N133-N(T133)-N(U133),X133-N(U133)))))</f>
        <v/>
      </c>
      <c r="Z133" s="13" t="str">
        <f aca="false">IF(OR(AE133=0,Y133=""),"",IF(Y133&gt;0,"Yes","No"))</f>
        <v/>
      </c>
      <c r="AA133" s="13"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 hrs more than policy since commencement",IF(N(W133)&gt;O133*HoursPerDay+0.01,"CHECK - EH balance "&amp;ROUND(W133-O133*HoursPerDay,2)&amp;" hrs more than policy entitlement",IF(O133&gt;0,"OK - nothing to add",IF(AQ133="None",R133,"Not yet - first day on "&amp;TEXT(S133,"dd/mm/yyyy")))))))))</f>
        <v/>
      </c>
      <c r="AB133" s="14" t="str">
        <f aca="false">IF(OR(AE133=0,T133=""),"",AY133*HoursPerDay-T133)</f>
        <v/>
      </c>
      <c r="AC133" s="13" t="str">
        <f aca="false">IF(AE133=0,"",BA133)</f>
        <v/>
      </c>
      <c r="AD133" s="13"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3" t="n">
        <f aca="false">IF(OR(LEN($A133&amp;$B133)=0,$F133=""),0,1)</f>
        <v>0</v>
      </c>
      <c r="AF133" s="11" t="str">
        <f aca="false">IF(AE133=0,"",IF($J133&lt;&gt;"",$J133,IF(OR(CasualCounts="Yes",COUNT($G133:$I133)=0,COUNT($G133:$H133)=0),$F133,MIN($G133:$H133))))</f>
        <v/>
      </c>
      <c r="AG133" s="13" t="str">
        <f aca="false">IF(AE133=0,"",COUNT($G133:$I133))</f>
        <v/>
      </c>
      <c r="AH133" s="11" t="str">
        <f aca="false">IF(AE133=0,"",IFERROR(SMALL($G133:$I133,1),""))</f>
        <v/>
      </c>
      <c r="AI133" s="11" t="str">
        <f aca="false">IF(AE133=0,"",IFERROR(SMALL($G133:$I133,2),""))</f>
        <v/>
      </c>
      <c r="AJ133" s="11" t="str">
        <f aca="false">IF(AE133=0,"",IFERROR(SMALL($G133:$I133,3),""))</f>
        <v/>
      </c>
      <c r="AK133" s="13" t="str">
        <f aca="false">IF(AE133=0,"",IF(AH133="","",IF(AH133=$G133,"Part-Time",IF(AH133=$H133,"Full-Time","Casual"))))</f>
        <v/>
      </c>
      <c r="AL133" s="13" t="str">
        <f aca="false">IF(AE133=0,"",IF(AI133="","",IF(AI133=$G133,"Part-Time",IF(AI133=$H133,"Full-Time","Casual"))))</f>
        <v/>
      </c>
      <c r="AM133" s="13" t="str">
        <f aca="false">IF(AE133=0,"",IF(AJ133="","",IF(AJ133=$G133,"Part-Time",IF(AJ133=$H133,"Full-Time","Casual"))))</f>
        <v/>
      </c>
      <c r="AN133" s="13"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3" t="str">
        <f aca="false">IF(AE133=0,"",IF(AG133&lt;2,"",IF(OR(ISNUMBER(SEARCH("full",AL133)),UPPER(TRIM(AL133))="FT",UPPER(TRIM(AL133))="FTE"),"FT",IF(AND(OR(ISNUMBER(SEARCH("part",AL133)),UPPER(TRIM(AL133))="PT",UPPER(TRIM(AL133))="PTE"),OR($P133="",N($P133)&gt;=PT_MinHours)),"PT","None"))))</f>
        <v/>
      </c>
      <c r="AP133" s="13" t="str">
        <f aca="false">IF(AE133=0,"",IF(AG133&lt;3,"",IF(OR(ISNUMBER(SEARCH("full",AM133)),UPPER(TRIM(AM133))="FT",UPPER(TRIM(AM133))="FTE"),"FT",IF(AND(OR(ISNUMBER(SEARCH("part",AM133)),UPPER(TRIM(AM133))="PT",UPPER(TRIM(AM133))="PTE"),OR($P133="",N($P133)&gt;=PT_MinHours)),"PT","None"))))</f>
        <v/>
      </c>
      <c r="AQ133" s="13" t="str">
        <f aca="false">IF(AE133=0,"",IF(AND(AG133&gt;=3,AJ133&lt;=AsOfDate),AP133,IF(AND(AG133&gt;=2,AI133&lt;=AsOfDate),AO133,AN133)))</f>
        <v/>
      </c>
      <c r="AR133" s="13" t="str">
        <f aca="false">IF(AE133=0,"",IF(AsOfDate&lt;AF133,-1,12*(YEAR(AsOfDate)-YEAR(AF133))+MONTH(AsOfDate)-MONTH(AF133)-IF(DAY(AsOfDate)&lt;MIN(DAY(AF133),DAY(EOMONTH(AsOfDate,0))),1,0)))</f>
        <v/>
      </c>
      <c r="AS133" s="13" t="str">
        <f aca="false">IF(AE133=0,"",IF(OR(AG133&lt;2,AI133&gt;AsOfDate),AR133,IF((AI133-1)&lt;AF133,-1,12*(YEAR((AI133-1))-YEAR(AF133))+MONTH((AI133-1))-MONTH(AF133)-IF(DAY((AI133-1))&lt;MIN(DAY(AF133),DAY(EOMONTH((AI133-1),0))),1,0))))</f>
        <v/>
      </c>
      <c r="AT133" s="13" t="str">
        <f aca="false">IF(AE133=0,"",IF(OR(AG133&lt;3,AJ133&gt;AsOfDate),AR133,IF((AJ133-1)&lt;AF133,-1,12*(YEAR((AJ133-1))-YEAR(AF133))+MONTH((AJ133-1))-MONTH(AF133)-IF(DAY((AJ133-1))&lt;MIN(DAY(AF133),DAY(EOMONTH((AJ133-1),0))),1,0))))</f>
        <v/>
      </c>
      <c r="AU133" s="13" t="str">
        <f aca="false">IF(AE133=0,"",IF(PFYDate&lt;AF133,-1,12*(YEAR(PFYDate)-YEAR(AF133))+MONTH(PFYDate)-MONTH(AF133)-IF(DAY(PFYDate)&lt;MIN(DAY(AF133),DAY(EOMONTH(PFYDate,0))),1,0)))</f>
        <v/>
      </c>
      <c r="AV133" s="13" t="str">
        <f aca="false">IF(AE133=0,"",IF(OR(AG133&lt;2,AI133&gt;PFYDate),AU133,IF((AI133-1)&lt;AF133,-1,12*(YEAR((AI133-1))-YEAR(AF133))+MONTH((AI133-1))-MONTH(AF133)-IF(DAY((AI133-1))&lt;MIN(DAY(AF133),DAY(EOMONTH((AI133-1),0))),1,0))))</f>
        <v/>
      </c>
      <c r="AW133" s="13" t="str">
        <f aca="false">IF(AE133=0,"",IF(OR(AG133&lt;3,AJ133&gt;PFYDate),AU133,IF((AJ133-1)&lt;AF133,-1,12*(YEAR((AJ133-1))-YEAR(AF133))+MONTH((AJ133-1))-MONTH(AF133)-IF(DAY((AJ133-1))&lt;MIN(DAY(AF133),DAY(EOMONTH((AJ133-1),0))),1,0))))</f>
        <v/>
      </c>
      <c r="AX133" s="13"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3"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3" t="str">
        <f aca="false">IF(AE133=0,"",IF(AQ133="FT",IF(AR133&lt;FT_First,FT_First,IF(AR133&lt;FT_Y5,MIN(FT_Y5,FT_First+FT_Int1*(INT((AR133-FT_First)/FT_Int1)+1)),FT_Y5+12*INT((AR133-FT_Y5)/12)+FT_Int2*(INT(MOD(AR133-FT_Y5,12)/FT_Int2)+1))),IF(AQ133="PT",IF(AR133&lt;PT_First,PT_First,PT_First+PT_Int*(INT((AR133-PT_First)/PT_Int)+1)),"")))</f>
        <v/>
      </c>
      <c r="BA133" s="13" t="str">
        <f aca="false">IF(AE133=0,"",IF(NOT(LH_Ready),0,COUNTIFS(INDEX(LH_Data,0,LH_ColFirst),$A133,INDEX(LH_Data,0,LH_ColSur),$B133,INDEX(LH_Data,0,LH_ColCat),BonusCat)))</f>
        <v/>
      </c>
      <c r="BB133" s="13" t="str">
        <f aca="false">IF(AE133=0,"",IF(OR(NOT(LH_Ready),BA133=0),0,SUMPRODUCT(MAX((INDEX(LH_Data,0,LH_ColFirst)=$A133)*(INDEX(LH_Data,0,LH_ColSur)=$B133)*(INDEX(LH_Data,0,LH_ColCat)=BonusCat)*ROW(LH_Data)))))</f>
        <v/>
      </c>
      <c r="BC133" s="0" t="str">
        <f aca="false">IF(LEN($A133&amp;$B133)=0,"",$A133&amp;" "&amp;$B133)</f>
        <v/>
      </c>
    </row>
    <row r="134" customFormat="false" ht="15" hidden="false" customHeight="false" outlineLevel="0" collapsed="false">
      <c r="A134" s="9"/>
      <c r="B134" s="9"/>
      <c r="C134" s="9"/>
      <c r="D134" s="10"/>
      <c r="E134" s="11" t="str">
        <f aca="false">IF(OR(AE134=0,$D134=""),"",DATE(YEAR(AsOfDate)+IF(DATE(YEAR(AsOfDate),MONTH($D134),DAY($D134))&lt;=AsOfDate,1,0),MONTH($D134),DAY($D134)))</f>
        <v/>
      </c>
      <c r="F134" s="10"/>
      <c r="G134" s="10"/>
      <c r="H134" s="10"/>
      <c r="I134" s="10"/>
      <c r="J134" s="10"/>
      <c r="K134" s="11" t="str">
        <f aca="false">IF(AE134=0,"",DATE(YEAR(AsOfDate)+IF(DATE(YEAR(AsOfDate),MONTH(AF134),DAY(AF134))&lt;=AsOfDate,1,0),MONTH(AF134),DAY(AF134)))</f>
        <v/>
      </c>
      <c r="L134" s="12" t="str">
        <f aca="false">IF(AE134=0,"",ROUND((AsOfDate-AF134)/365.25,1))</f>
        <v/>
      </c>
      <c r="M134" s="13" t="str">
        <f aca="false">IF(AE134=0,"",IF(AsOfDate&lt;AF134,"-",DATEDIF(AF134,AsOfDate,"y")&amp;"y "&amp;DATEDIF(AF134,AsOfDate,"ym")&amp;"m "&amp;DATEDIF(AF134,AsOfDate,"md")&amp;"d"))</f>
        <v/>
      </c>
      <c r="N134" s="14" t="str">
        <f aca="false">IF(AE134=0,"",O134*HoursPerDay)</f>
        <v/>
      </c>
      <c r="O134" s="14" t="str">
        <f aca="false">IF(AE134=0,"",AX134)</f>
        <v/>
      </c>
      <c r="P134" s="15"/>
      <c r="Q134" s="13"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13"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1" t="str">
        <f aca="false">IF(AE134=0,"",IF(AQ134="None","",EDATE(AF134,AZ134)))</f>
        <v/>
      </c>
      <c r="T134" s="14" t="str">
        <f aca="false">IF(AE134=0,"",IF(NOT(LH_Ready),"",IF(AF134&gt;PFYDate,0,IF(LH_ColPeriod=0,W134-U134+V134,SUMIFS(INDEX(LH_Data,0,LH_ColAcc),INDEX(LH_Data,0,LH_ColFirst),$A134,INDEX(LH_Data,0,LH_ColSur),$B134,INDEX(LH_Data,0,LH_ColCat),BonusCat,INDEX(LH_Data,0,LH_ColPeriod),LH_OpenLabel)*UnitFactor))))</f>
        <v/>
      </c>
      <c r="U134" s="14" t="str">
        <f aca="false">IF(AE134=0,"",IF(NOT(LH_Ready),"",SUMIFS(INDEX(LH_Data,0,LH_ColAcc),INDEX(LH_Data,0,LH_ColFirst),$A134,INDEX(LH_Data,0,LH_ColSur),$B134,INDEX(LH_Data,0,LH_ColCat),BonusCat,INDEX(LH_Data,0,LH_ColStart),"&gt;="&amp;AF134)*UnitFactor))</f>
        <v/>
      </c>
      <c r="V134" s="14" t="str">
        <f aca="false">IF(AE134=0,"",IF(NOT(LH_Ready),"",SUMIFS(INDEX(LH_Data,0,LH_ColTaken),INDEX(LH_Data,0,LH_ColFirst),$A134,INDEX(LH_Data,0,LH_ColSur),$B134,INDEX(LH_Data,0,LH_ColCat),BonusCat,INDEX(LH_Data,0,LH_ColStart),"&gt;="&amp;AF134)*UnitFactor))</f>
        <v/>
      </c>
      <c r="W134" s="14" t="str">
        <f aca="false">IF(AE134=0,"",IF(NOT(LH_Ready),"",IF(BB134=0,0,INDEX(INDEX(LH_Data,0,LH_ColClose),BB134-1)*UnitFactor)))</f>
        <v/>
      </c>
      <c r="X134" s="14" t="str">
        <f aca="false">IF(AE134=0,"",(AX134-AY134)*HoursPerDay)</f>
        <v/>
      </c>
      <c r="Y134" s="14" t="str">
        <f aca="false">IF(AE134=0,"",IF(NOT(LH_Ready),"",IF(BA134=0,N134,IF(PFYDate&lt;$F134,N134-N(T134)-N(U134),X134-N(U134)))))</f>
        <v/>
      </c>
      <c r="Z134" s="13" t="str">
        <f aca="false">IF(OR(AE134=0,Y134=""),"",IF(Y134&gt;0,"Yes","No"))</f>
        <v/>
      </c>
      <c r="AA134" s="13"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 hrs more than policy since commencement",IF(N(W134)&gt;O134*HoursPerDay+0.01,"CHECK - EH balance "&amp;ROUND(W134-O134*HoursPerDay,2)&amp;" hrs more than policy entitlement",IF(O134&gt;0,"OK - nothing to add",IF(AQ134="None",R134,"Not yet - first day on "&amp;TEXT(S134,"dd/mm/yyyy")))))))))</f>
        <v/>
      </c>
      <c r="AB134" s="14" t="str">
        <f aca="false">IF(OR(AE134=0,T134=""),"",AY134*HoursPerDay-T134)</f>
        <v/>
      </c>
      <c r="AC134" s="13" t="str">
        <f aca="false">IF(AE134=0,"",BA134)</f>
        <v/>
      </c>
      <c r="AD134" s="13"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3" t="n">
        <f aca="false">IF(OR(LEN($A134&amp;$B134)=0,$F134=""),0,1)</f>
        <v>0</v>
      </c>
      <c r="AF134" s="11" t="str">
        <f aca="false">IF(AE134=0,"",IF($J134&lt;&gt;"",$J134,IF(OR(CasualCounts="Yes",COUNT($G134:$I134)=0,COUNT($G134:$H134)=0),$F134,MIN($G134:$H134))))</f>
        <v/>
      </c>
      <c r="AG134" s="13" t="str">
        <f aca="false">IF(AE134=0,"",COUNT($G134:$I134))</f>
        <v/>
      </c>
      <c r="AH134" s="11" t="str">
        <f aca="false">IF(AE134=0,"",IFERROR(SMALL($G134:$I134,1),""))</f>
        <v/>
      </c>
      <c r="AI134" s="11" t="str">
        <f aca="false">IF(AE134=0,"",IFERROR(SMALL($G134:$I134,2),""))</f>
        <v/>
      </c>
      <c r="AJ134" s="11" t="str">
        <f aca="false">IF(AE134=0,"",IFERROR(SMALL($G134:$I134,3),""))</f>
        <v/>
      </c>
      <c r="AK134" s="13" t="str">
        <f aca="false">IF(AE134=0,"",IF(AH134="","",IF(AH134=$G134,"Part-Time",IF(AH134=$H134,"Full-Time","Casual"))))</f>
        <v/>
      </c>
      <c r="AL134" s="13" t="str">
        <f aca="false">IF(AE134=0,"",IF(AI134="","",IF(AI134=$G134,"Part-Time",IF(AI134=$H134,"Full-Time","Casual"))))</f>
        <v/>
      </c>
      <c r="AM134" s="13" t="str">
        <f aca="false">IF(AE134=0,"",IF(AJ134="","",IF(AJ134=$G134,"Part-Time",IF(AJ134=$H134,"Full-Time","Casual"))))</f>
        <v/>
      </c>
      <c r="AN134" s="13"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3" t="str">
        <f aca="false">IF(AE134=0,"",IF(AG134&lt;2,"",IF(OR(ISNUMBER(SEARCH("full",AL134)),UPPER(TRIM(AL134))="FT",UPPER(TRIM(AL134))="FTE"),"FT",IF(AND(OR(ISNUMBER(SEARCH("part",AL134)),UPPER(TRIM(AL134))="PT",UPPER(TRIM(AL134))="PTE"),OR($P134="",N($P134)&gt;=PT_MinHours)),"PT","None"))))</f>
        <v/>
      </c>
      <c r="AP134" s="13" t="str">
        <f aca="false">IF(AE134=0,"",IF(AG134&lt;3,"",IF(OR(ISNUMBER(SEARCH("full",AM134)),UPPER(TRIM(AM134))="FT",UPPER(TRIM(AM134))="FTE"),"FT",IF(AND(OR(ISNUMBER(SEARCH("part",AM134)),UPPER(TRIM(AM134))="PT",UPPER(TRIM(AM134))="PTE"),OR($P134="",N($P134)&gt;=PT_MinHours)),"PT","None"))))</f>
        <v/>
      </c>
      <c r="AQ134" s="13" t="str">
        <f aca="false">IF(AE134=0,"",IF(AND(AG134&gt;=3,AJ134&lt;=AsOfDate),AP134,IF(AND(AG134&gt;=2,AI134&lt;=AsOfDate),AO134,AN134)))</f>
        <v/>
      </c>
      <c r="AR134" s="13" t="str">
        <f aca="false">IF(AE134=0,"",IF(AsOfDate&lt;AF134,-1,12*(YEAR(AsOfDate)-YEAR(AF134))+MONTH(AsOfDate)-MONTH(AF134)-IF(DAY(AsOfDate)&lt;MIN(DAY(AF134),DAY(EOMONTH(AsOfDate,0))),1,0)))</f>
        <v/>
      </c>
      <c r="AS134" s="13" t="str">
        <f aca="false">IF(AE134=0,"",IF(OR(AG134&lt;2,AI134&gt;AsOfDate),AR134,IF((AI134-1)&lt;AF134,-1,12*(YEAR((AI134-1))-YEAR(AF134))+MONTH((AI134-1))-MONTH(AF134)-IF(DAY((AI134-1))&lt;MIN(DAY(AF134),DAY(EOMONTH((AI134-1),0))),1,0))))</f>
        <v/>
      </c>
      <c r="AT134" s="13" t="str">
        <f aca="false">IF(AE134=0,"",IF(OR(AG134&lt;3,AJ134&gt;AsOfDate),AR134,IF((AJ134-1)&lt;AF134,-1,12*(YEAR((AJ134-1))-YEAR(AF134))+MONTH((AJ134-1))-MONTH(AF134)-IF(DAY((AJ134-1))&lt;MIN(DAY(AF134),DAY(EOMONTH((AJ134-1),0))),1,0))))</f>
        <v/>
      </c>
      <c r="AU134" s="13" t="str">
        <f aca="false">IF(AE134=0,"",IF(PFYDate&lt;AF134,-1,12*(YEAR(PFYDate)-YEAR(AF134))+MONTH(PFYDate)-MONTH(AF134)-IF(DAY(PFYDate)&lt;MIN(DAY(AF134),DAY(EOMONTH(PFYDate,0))),1,0)))</f>
        <v/>
      </c>
      <c r="AV134" s="13" t="str">
        <f aca="false">IF(AE134=0,"",IF(OR(AG134&lt;2,AI134&gt;PFYDate),AU134,IF((AI134-1)&lt;AF134,-1,12*(YEAR((AI134-1))-YEAR(AF134))+MONTH((AI134-1))-MONTH(AF134)-IF(DAY((AI134-1))&lt;MIN(DAY(AF134),DAY(EOMONTH((AI134-1),0))),1,0))))</f>
        <v/>
      </c>
      <c r="AW134" s="13" t="str">
        <f aca="false">IF(AE134=0,"",IF(OR(AG134&lt;3,AJ134&gt;PFYDate),AU134,IF((AJ134-1)&lt;AF134,-1,12*(YEAR((AJ134-1))-YEAR(AF134))+MONTH((AJ134-1))-MONTH(AF134)-IF(DAY((AJ134-1))&lt;MIN(DAY(AF134),DAY(EOMONTH((AJ134-1),0))),1,0))))</f>
        <v/>
      </c>
      <c r="AX134" s="13"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3"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3" t="str">
        <f aca="false">IF(AE134=0,"",IF(AQ134="FT",IF(AR134&lt;FT_First,FT_First,IF(AR134&lt;FT_Y5,MIN(FT_Y5,FT_First+FT_Int1*(INT((AR134-FT_First)/FT_Int1)+1)),FT_Y5+12*INT((AR134-FT_Y5)/12)+FT_Int2*(INT(MOD(AR134-FT_Y5,12)/FT_Int2)+1))),IF(AQ134="PT",IF(AR134&lt;PT_First,PT_First,PT_First+PT_Int*(INT((AR134-PT_First)/PT_Int)+1)),"")))</f>
        <v/>
      </c>
      <c r="BA134" s="13" t="str">
        <f aca="false">IF(AE134=0,"",IF(NOT(LH_Ready),0,COUNTIFS(INDEX(LH_Data,0,LH_ColFirst),$A134,INDEX(LH_Data,0,LH_ColSur),$B134,INDEX(LH_Data,0,LH_ColCat),BonusCat)))</f>
        <v/>
      </c>
      <c r="BB134" s="13" t="str">
        <f aca="false">IF(AE134=0,"",IF(OR(NOT(LH_Ready),BA134=0),0,SUMPRODUCT(MAX((INDEX(LH_Data,0,LH_ColFirst)=$A134)*(INDEX(LH_Data,0,LH_ColSur)=$B134)*(INDEX(LH_Data,0,LH_ColCat)=BonusCat)*ROW(LH_Data)))))</f>
        <v/>
      </c>
      <c r="BC134" s="0" t="str">
        <f aca="false">IF(LEN($A134&amp;$B134)=0,"",$A134&amp;" "&amp;$B134)</f>
        <v/>
      </c>
    </row>
    <row r="135" customFormat="false" ht="15" hidden="false" customHeight="false" outlineLevel="0" collapsed="false">
      <c r="A135" s="9"/>
      <c r="B135" s="9"/>
      <c r="C135" s="9"/>
      <c r="D135" s="10"/>
      <c r="E135" s="11" t="str">
        <f aca="false">IF(OR(AE135=0,$D135=""),"",DATE(YEAR(AsOfDate)+IF(DATE(YEAR(AsOfDate),MONTH($D135),DAY($D135))&lt;=AsOfDate,1,0),MONTH($D135),DAY($D135)))</f>
        <v/>
      </c>
      <c r="F135" s="10"/>
      <c r="G135" s="10"/>
      <c r="H135" s="10"/>
      <c r="I135" s="10"/>
      <c r="J135" s="10"/>
      <c r="K135" s="11" t="str">
        <f aca="false">IF(AE135=0,"",DATE(YEAR(AsOfDate)+IF(DATE(YEAR(AsOfDate),MONTH(AF135),DAY(AF135))&lt;=AsOfDate,1,0),MONTH(AF135),DAY(AF135)))</f>
        <v/>
      </c>
      <c r="L135" s="12" t="str">
        <f aca="false">IF(AE135=0,"",ROUND((AsOfDate-AF135)/365.25,1))</f>
        <v/>
      </c>
      <c r="M135" s="13" t="str">
        <f aca="false">IF(AE135=0,"",IF(AsOfDate&lt;AF135,"-",DATEDIF(AF135,AsOfDate,"y")&amp;"y "&amp;DATEDIF(AF135,AsOfDate,"ym")&amp;"m "&amp;DATEDIF(AF135,AsOfDate,"md")&amp;"d"))</f>
        <v/>
      </c>
      <c r="N135" s="14" t="str">
        <f aca="false">IF(AE135=0,"",O135*HoursPerDay)</f>
        <v/>
      </c>
      <c r="O135" s="14" t="str">
        <f aca="false">IF(AE135=0,"",AX135)</f>
        <v/>
      </c>
      <c r="P135" s="15"/>
      <c r="Q135" s="13"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13"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1" t="str">
        <f aca="false">IF(AE135=0,"",IF(AQ135="None","",EDATE(AF135,AZ135)))</f>
        <v/>
      </c>
      <c r="T135" s="14" t="str">
        <f aca="false">IF(AE135=0,"",IF(NOT(LH_Ready),"",IF(AF135&gt;PFYDate,0,IF(LH_ColPeriod=0,W135-U135+V135,SUMIFS(INDEX(LH_Data,0,LH_ColAcc),INDEX(LH_Data,0,LH_ColFirst),$A135,INDEX(LH_Data,0,LH_ColSur),$B135,INDEX(LH_Data,0,LH_ColCat),BonusCat,INDEX(LH_Data,0,LH_ColPeriod),LH_OpenLabel)*UnitFactor))))</f>
        <v/>
      </c>
      <c r="U135" s="14" t="str">
        <f aca="false">IF(AE135=0,"",IF(NOT(LH_Ready),"",SUMIFS(INDEX(LH_Data,0,LH_ColAcc),INDEX(LH_Data,0,LH_ColFirst),$A135,INDEX(LH_Data,0,LH_ColSur),$B135,INDEX(LH_Data,0,LH_ColCat),BonusCat,INDEX(LH_Data,0,LH_ColStart),"&gt;="&amp;AF135)*UnitFactor))</f>
        <v/>
      </c>
      <c r="V135" s="14" t="str">
        <f aca="false">IF(AE135=0,"",IF(NOT(LH_Ready),"",SUMIFS(INDEX(LH_Data,0,LH_ColTaken),INDEX(LH_Data,0,LH_ColFirst),$A135,INDEX(LH_Data,0,LH_ColSur),$B135,INDEX(LH_Data,0,LH_ColCat),BonusCat,INDEX(LH_Data,0,LH_ColStart),"&gt;="&amp;AF135)*UnitFactor))</f>
        <v/>
      </c>
      <c r="W135" s="14" t="str">
        <f aca="false">IF(AE135=0,"",IF(NOT(LH_Ready),"",IF(BB135=0,0,INDEX(INDEX(LH_Data,0,LH_ColClose),BB135-1)*UnitFactor)))</f>
        <v/>
      </c>
      <c r="X135" s="14" t="str">
        <f aca="false">IF(AE135=0,"",(AX135-AY135)*HoursPerDay)</f>
        <v/>
      </c>
      <c r="Y135" s="14" t="str">
        <f aca="false">IF(AE135=0,"",IF(NOT(LH_Ready),"",IF(BA135=0,N135,IF(PFYDate&lt;$F135,N135-N(T135)-N(U135),X135-N(U135)))))</f>
        <v/>
      </c>
      <c r="Z135" s="13" t="str">
        <f aca="false">IF(OR(AE135=0,Y135=""),"",IF(Y135&gt;0,"Yes","No"))</f>
        <v/>
      </c>
      <c r="AA135" s="13"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 hrs more than policy since commencement",IF(N(W135)&gt;O135*HoursPerDay+0.01,"CHECK - EH balance "&amp;ROUND(W135-O135*HoursPerDay,2)&amp;" hrs more than policy entitlement",IF(O135&gt;0,"OK - nothing to add",IF(AQ135="None",R135,"Not yet - first day on "&amp;TEXT(S135,"dd/mm/yyyy")))))))))</f>
        <v/>
      </c>
      <c r="AB135" s="14" t="str">
        <f aca="false">IF(OR(AE135=0,T135=""),"",AY135*HoursPerDay-T135)</f>
        <v/>
      </c>
      <c r="AC135" s="13" t="str">
        <f aca="false">IF(AE135=0,"",BA135)</f>
        <v/>
      </c>
      <c r="AD135" s="13"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3" t="n">
        <f aca="false">IF(OR(LEN($A135&amp;$B135)=0,$F135=""),0,1)</f>
        <v>0</v>
      </c>
      <c r="AF135" s="11" t="str">
        <f aca="false">IF(AE135=0,"",IF($J135&lt;&gt;"",$J135,IF(OR(CasualCounts="Yes",COUNT($G135:$I135)=0,COUNT($G135:$H135)=0),$F135,MIN($G135:$H135))))</f>
        <v/>
      </c>
      <c r="AG135" s="13" t="str">
        <f aca="false">IF(AE135=0,"",COUNT($G135:$I135))</f>
        <v/>
      </c>
      <c r="AH135" s="11" t="str">
        <f aca="false">IF(AE135=0,"",IFERROR(SMALL($G135:$I135,1),""))</f>
        <v/>
      </c>
      <c r="AI135" s="11" t="str">
        <f aca="false">IF(AE135=0,"",IFERROR(SMALL($G135:$I135,2),""))</f>
        <v/>
      </c>
      <c r="AJ135" s="11" t="str">
        <f aca="false">IF(AE135=0,"",IFERROR(SMALL($G135:$I135,3),""))</f>
        <v/>
      </c>
      <c r="AK135" s="13" t="str">
        <f aca="false">IF(AE135=0,"",IF(AH135="","",IF(AH135=$G135,"Part-Time",IF(AH135=$H135,"Full-Time","Casual"))))</f>
        <v/>
      </c>
      <c r="AL135" s="13" t="str">
        <f aca="false">IF(AE135=0,"",IF(AI135="","",IF(AI135=$G135,"Part-Time",IF(AI135=$H135,"Full-Time","Casual"))))</f>
        <v/>
      </c>
      <c r="AM135" s="13" t="str">
        <f aca="false">IF(AE135=0,"",IF(AJ135="","",IF(AJ135=$G135,"Part-Time",IF(AJ135=$H135,"Full-Time","Casual"))))</f>
        <v/>
      </c>
      <c r="AN135" s="13"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3" t="str">
        <f aca="false">IF(AE135=0,"",IF(AG135&lt;2,"",IF(OR(ISNUMBER(SEARCH("full",AL135)),UPPER(TRIM(AL135))="FT",UPPER(TRIM(AL135))="FTE"),"FT",IF(AND(OR(ISNUMBER(SEARCH("part",AL135)),UPPER(TRIM(AL135))="PT",UPPER(TRIM(AL135))="PTE"),OR($P135="",N($P135)&gt;=PT_MinHours)),"PT","None"))))</f>
        <v/>
      </c>
      <c r="AP135" s="13" t="str">
        <f aca="false">IF(AE135=0,"",IF(AG135&lt;3,"",IF(OR(ISNUMBER(SEARCH("full",AM135)),UPPER(TRIM(AM135))="FT",UPPER(TRIM(AM135))="FTE"),"FT",IF(AND(OR(ISNUMBER(SEARCH("part",AM135)),UPPER(TRIM(AM135))="PT",UPPER(TRIM(AM135))="PTE"),OR($P135="",N($P135)&gt;=PT_MinHours)),"PT","None"))))</f>
        <v/>
      </c>
      <c r="AQ135" s="13" t="str">
        <f aca="false">IF(AE135=0,"",IF(AND(AG135&gt;=3,AJ135&lt;=AsOfDate),AP135,IF(AND(AG135&gt;=2,AI135&lt;=AsOfDate),AO135,AN135)))</f>
        <v/>
      </c>
      <c r="AR135" s="13" t="str">
        <f aca="false">IF(AE135=0,"",IF(AsOfDate&lt;AF135,-1,12*(YEAR(AsOfDate)-YEAR(AF135))+MONTH(AsOfDate)-MONTH(AF135)-IF(DAY(AsOfDate)&lt;MIN(DAY(AF135),DAY(EOMONTH(AsOfDate,0))),1,0)))</f>
        <v/>
      </c>
      <c r="AS135" s="13" t="str">
        <f aca="false">IF(AE135=0,"",IF(OR(AG135&lt;2,AI135&gt;AsOfDate),AR135,IF((AI135-1)&lt;AF135,-1,12*(YEAR((AI135-1))-YEAR(AF135))+MONTH((AI135-1))-MONTH(AF135)-IF(DAY((AI135-1))&lt;MIN(DAY(AF135),DAY(EOMONTH((AI135-1),0))),1,0))))</f>
        <v/>
      </c>
      <c r="AT135" s="13" t="str">
        <f aca="false">IF(AE135=0,"",IF(OR(AG135&lt;3,AJ135&gt;AsOfDate),AR135,IF((AJ135-1)&lt;AF135,-1,12*(YEAR((AJ135-1))-YEAR(AF135))+MONTH((AJ135-1))-MONTH(AF135)-IF(DAY((AJ135-1))&lt;MIN(DAY(AF135),DAY(EOMONTH((AJ135-1),0))),1,0))))</f>
        <v/>
      </c>
      <c r="AU135" s="13" t="str">
        <f aca="false">IF(AE135=0,"",IF(PFYDate&lt;AF135,-1,12*(YEAR(PFYDate)-YEAR(AF135))+MONTH(PFYDate)-MONTH(AF135)-IF(DAY(PFYDate)&lt;MIN(DAY(AF135),DAY(EOMONTH(PFYDate,0))),1,0)))</f>
        <v/>
      </c>
      <c r="AV135" s="13" t="str">
        <f aca="false">IF(AE135=0,"",IF(OR(AG135&lt;2,AI135&gt;PFYDate),AU135,IF((AI135-1)&lt;AF135,-1,12*(YEAR((AI135-1))-YEAR(AF135))+MONTH((AI135-1))-MONTH(AF135)-IF(DAY((AI135-1))&lt;MIN(DAY(AF135),DAY(EOMONTH((AI135-1),0))),1,0))))</f>
        <v/>
      </c>
      <c r="AW135" s="13" t="str">
        <f aca="false">IF(AE135=0,"",IF(OR(AG135&lt;3,AJ135&gt;PFYDate),AU135,IF((AJ135-1)&lt;AF135,-1,12*(YEAR((AJ135-1))-YEAR(AF135))+MONTH((AJ135-1))-MONTH(AF135)-IF(DAY((AJ135-1))&lt;MIN(DAY(AF135),DAY(EOMONTH((AJ135-1),0))),1,0))))</f>
        <v/>
      </c>
      <c r="AX135" s="13"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3"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3" t="str">
        <f aca="false">IF(AE135=0,"",IF(AQ135="FT",IF(AR135&lt;FT_First,FT_First,IF(AR135&lt;FT_Y5,MIN(FT_Y5,FT_First+FT_Int1*(INT((AR135-FT_First)/FT_Int1)+1)),FT_Y5+12*INT((AR135-FT_Y5)/12)+FT_Int2*(INT(MOD(AR135-FT_Y5,12)/FT_Int2)+1))),IF(AQ135="PT",IF(AR135&lt;PT_First,PT_First,PT_First+PT_Int*(INT((AR135-PT_First)/PT_Int)+1)),"")))</f>
        <v/>
      </c>
      <c r="BA135" s="13" t="str">
        <f aca="false">IF(AE135=0,"",IF(NOT(LH_Ready),0,COUNTIFS(INDEX(LH_Data,0,LH_ColFirst),$A135,INDEX(LH_Data,0,LH_ColSur),$B135,INDEX(LH_Data,0,LH_ColCat),BonusCat)))</f>
        <v/>
      </c>
      <c r="BB135" s="13" t="str">
        <f aca="false">IF(AE135=0,"",IF(OR(NOT(LH_Ready),BA135=0),0,SUMPRODUCT(MAX((INDEX(LH_Data,0,LH_ColFirst)=$A135)*(INDEX(LH_Data,0,LH_ColSur)=$B135)*(INDEX(LH_Data,0,LH_ColCat)=BonusCat)*ROW(LH_Data)))))</f>
        <v/>
      </c>
      <c r="BC135" s="0" t="str">
        <f aca="false">IF(LEN($A135&amp;$B135)=0,"",$A135&amp;" "&amp;$B135)</f>
        <v/>
      </c>
    </row>
    <row r="136" customFormat="false" ht="15" hidden="false" customHeight="false" outlineLevel="0" collapsed="false">
      <c r="A136" s="9"/>
      <c r="B136" s="9"/>
      <c r="C136" s="9"/>
      <c r="D136" s="10"/>
      <c r="E136" s="11" t="str">
        <f aca="false">IF(OR(AE136=0,$D136=""),"",DATE(YEAR(AsOfDate)+IF(DATE(YEAR(AsOfDate),MONTH($D136),DAY($D136))&lt;=AsOfDate,1,0),MONTH($D136),DAY($D136)))</f>
        <v/>
      </c>
      <c r="F136" s="10"/>
      <c r="G136" s="10"/>
      <c r="H136" s="10"/>
      <c r="I136" s="10"/>
      <c r="J136" s="10"/>
      <c r="K136" s="11" t="str">
        <f aca="false">IF(AE136=0,"",DATE(YEAR(AsOfDate)+IF(DATE(YEAR(AsOfDate),MONTH(AF136),DAY(AF136))&lt;=AsOfDate,1,0),MONTH(AF136),DAY(AF136)))</f>
        <v/>
      </c>
      <c r="L136" s="12" t="str">
        <f aca="false">IF(AE136=0,"",ROUND((AsOfDate-AF136)/365.25,1))</f>
        <v/>
      </c>
      <c r="M136" s="13" t="str">
        <f aca="false">IF(AE136=0,"",IF(AsOfDate&lt;AF136,"-",DATEDIF(AF136,AsOfDate,"y")&amp;"y "&amp;DATEDIF(AF136,AsOfDate,"ym")&amp;"m "&amp;DATEDIF(AF136,AsOfDate,"md")&amp;"d"))</f>
        <v/>
      </c>
      <c r="N136" s="14" t="str">
        <f aca="false">IF(AE136=0,"",O136*HoursPerDay)</f>
        <v/>
      </c>
      <c r="O136" s="14" t="str">
        <f aca="false">IF(AE136=0,"",AX136)</f>
        <v/>
      </c>
      <c r="P136" s="15"/>
      <c r="Q136" s="13"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13"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1" t="str">
        <f aca="false">IF(AE136=0,"",IF(AQ136="None","",EDATE(AF136,AZ136)))</f>
        <v/>
      </c>
      <c r="T136" s="14" t="str">
        <f aca="false">IF(AE136=0,"",IF(NOT(LH_Ready),"",IF(AF136&gt;PFYDate,0,IF(LH_ColPeriod=0,W136-U136+V136,SUMIFS(INDEX(LH_Data,0,LH_ColAcc),INDEX(LH_Data,0,LH_ColFirst),$A136,INDEX(LH_Data,0,LH_ColSur),$B136,INDEX(LH_Data,0,LH_ColCat),BonusCat,INDEX(LH_Data,0,LH_ColPeriod),LH_OpenLabel)*UnitFactor))))</f>
        <v/>
      </c>
      <c r="U136" s="14" t="str">
        <f aca="false">IF(AE136=0,"",IF(NOT(LH_Ready),"",SUMIFS(INDEX(LH_Data,0,LH_ColAcc),INDEX(LH_Data,0,LH_ColFirst),$A136,INDEX(LH_Data,0,LH_ColSur),$B136,INDEX(LH_Data,0,LH_ColCat),BonusCat,INDEX(LH_Data,0,LH_ColStart),"&gt;="&amp;AF136)*UnitFactor))</f>
        <v/>
      </c>
      <c r="V136" s="14" t="str">
        <f aca="false">IF(AE136=0,"",IF(NOT(LH_Ready),"",SUMIFS(INDEX(LH_Data,0,LH_ColTaken),INDEX(LH_Data,0,LH_ColFirst),$A136,INDEX(LH_Data,0,LH_ColSur),$B136,INDEX(LH_Data,0,LH_ColCat),BonusCat,INDEX(LH_Data,0,LH_ColStart),"&gt;="&amp;AF136)*UnitFactor))</f>
        <v/>
      </c>
      <c r="W136" s="14" t="str">
        <f aca="false">IF(AE136=0,"",IF(NOT(LH_Ready),"",IF(BB136=0,0,INDEX(INDEX(LH_Data,0,LH_ColClose),BB136-1)*UnitFactor)))</f>
        <v/>
      </c>
      <c r="X136" s="14" t="str">
        <f aca="false">IF(AE136=0,"",(AX136-AY136)*HoursPerDay)</f>
        <v/>
      </c>
      <c r="Y136" s="14" t="str">
        <f aca="false">IF(AE136=0,"",IF(NOT(LH_Ready),"",IF(BA136=0,N136,IF(PFYDate&lt;$F136,N136-N(T136)-N(U136),X136-N(U136)))))</f>
        <v/>
      </c>
      <c r="Z136" s="13" t="str">
        <f aca="false">IF(OR(AE136=0,Y136=""),"",IF(Y136&gt;0,"Yes","No"))</f>
        <v/>
      </c>
      <c r="AA136" s="13"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 hrs more than policy since commencement",IF(N(W136)&gt;O136*HoursPerDay+0.01,"CHECK - EH balance "&amp;ROUND(W136-O136*HoursPerDay,2)&amp;" hrs more than policy entitlement",IF(O136&gt;0,"OK - nothing to add",IF(AQ136="None",R136,"Not yet - first day on "&amp;TEXT(S136,"dd/mm/yyyy")))))))))</f>
        <v/>
      </c>
      <c r="AB136" s="14" t="str">
        <f aca="false">IF(OR(AE136=0,T136=""),"",AY136*HoursPerDay-T136)</f>
        <v/>
      </c>
      <c r="AC136" s="13" t="str">
        <f aca="false">IF(AE136=0,"",BA136)</f>
        <v/>
      </c>
      <c r="AD136" s="13"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3" t="n">
        <f aca="false">IF(OR(LEN($A136&amp;$B136)=0,$F136=""),0,1)</f>
        <v>0</v>
      </c>
      <c r="AF136" s="11" t="str">
        <f aca="false">IF(AE136=0,"",IF($J136&lt;&gt;"",$J136,IF(OR(CasualCounts="Yes",COUNT($G136:$I136)=0,COUNT($G136:$H136)=0),$F136,MIN($G136:$H136))))</f>
        <v/>
      </c>
      <c r="AG136" s="13" t="str">
        <f aca="false">IF(AE136=0,"",COUNT($G136:$I136))</f>
        <v/>
      </c>
      <c r="AH136" s="11" t="str">
        <f aca="false">IF(AE136=0,"",IFERROR(SMALL($G136:$I136,1),""))</f>
        <v/>
      </c>
      <c r="AI136" s="11" t="str">
        <f aca="false">IF(AE136=0,"",IFERROR(SMALL($G136:$I136,2),""))</f>
        <v/>
      </c>
      <c r="AJ136" s="11" t="str">
        <f aca="false">IF(AE136=0,"",IFERROR(SMALL($G136:$I136,3),""))</f>
        <v/>
      </c>
      <c r="AK136" s="13" t="str">
        <f aca="false">IF(AE136=0,"",IF(AH136="","",IF(AH136=$G136,"Part-Time",IF(AH136=$H136,"Full-Time","Casual"))))</f>
        <v/>
      </c>
      <c r="AL136" s="13" t="str">
        <f aca="false">IF(AE136=0,"",IF(AI136="","",IF(AI136=$G136,"Part-Time",IF(AI136=$H136,"Full-Time","Casual"))))</f>
        <v/>
      </c>
      <c r="AM136" s="13" t="str">
        <f aca="false">IF(AE136=0,"",IF(AJ136="","",IF(AJ136=$G136,"Part-Time",IF(AJ136=$H136,"Full-Time","Casual"))))</f>
        <v/>
      </c>
      <c r="AN136" s="13"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3" t="str">
        <f aca="false">IF(AE136=0,"",IF(AG136&lt;2,"",IF(OR(ISNUMBER(SEARCH("full",AL136)),UPPER(TRIM(AL136))="FT",UPPER(TRIM(AL136))="FTE"),"FT",IF(AND(OR(ISNUMBER(SEARCH("part",AL136)),UPPER(TRIM(AL136))="PT",UPPER(TRIM(AL136))="PTE"),OR($P136="",N($P136)&gt;=PT_MinHours)),"PT","None"))))</f>
        <v/>
      </c>
      <c r="AP136" s="13" t="str">
        <f aca="false">IF(AE136=0,"",IF(AG136&lt;3,"",IF(OR(ISNUMBER(SEARCH("full",AM136)),UPPER(TRIM(AM136))="FT",UPPER(TRIM(AM136))="FTE"),"FT",IF(AND(OR(ISNUMBER(SEARCH("part",AM136)),UPPER(TRIM(AM136))="PT",UPPER(TRIM(AM136))="PTE"),OR($P136="",N($P136)&gt;=PT_MinHours)),"PT","None"))))</f>
        <v/>
      </c>
      <c r="AQ136" s="13" t="str">
        <f aca="false">IF(AE136=0,"",IF(AND(AG136&gt;=3,AJ136&lt;=AsOfDate),AP136,IF(AND(AG136&gt;=2,AI136&lt;=AsOfDate),AO136,AN136)))</f>
        <v/>
      </c>
      <c r="AR136" s="13" t="str">
        <f aca="false">IF(AE136=0,"",IF(AsOfDate&lt;AF136,-1,12*(YEAR(AsOfDate)-YEAR(AF136))+MONTH(AsOfDate)-MONTH(AF136)-IF(DAY(AsOfDate)&lt;MIN(DAY(AF136),DAY(EOMONTH(AsOfDate,0))),1,0)))</f>
        <v/>
      </c>
      <c r="AS136" s="13" t="str">
        <f aca="false">IF(AE136=0,"",IF(OR(AG136&lt;2,AI136&gt;AsOfDate),AR136,IF((AI136-1)&lt;AF136,-1,12*(YEAR((AI136-1))-YEAR(AF136))+MONTH((AI136-1))-MONTH(AF136)-IF(DAY((AI136-1))&lt;MIN(DAY(AF136),DAY(EOMONTH((AI136-1),0))),1,0))))</f>
        <v/>
      </c>
      <c r="AT136" s="13" t="str">
        <f aca="false">IF(AE136=0,"",IF(OR(AG136&lt;3,AJ136&gt;AsOfDate),AR136,IF((AJ136-1)&lt;AF136,-1,12*(YEAR((AJ136-1))-YEAR(AF136))+MONTH((AJ136-1))-MONTH(AF136)-IF(DAY((AJ136-1))&lt;MIN(DAY(AF136),DAY(EOMONTH((AJ136-1),0))),1,0))))</f>
        <v/>
      </c>
      <c r="AU136" s="13" t="str">
        <f aca="false">IF(AE136=0,"",IF(PFYDate&lt;AF136,-1,12*(YEAR(PFYDate)-YEAR(AF136))+MONTH(PFYDate)-MONTH(AF136)-IF(DAY(PFYDate)&lt;MIN(DAY(AF136),DAY(EOMONTH(PFYDate,0))),1,0)))</f>
        <v/>
      </c>
      <c r="AV136" s="13" t="str">
        <f aca="false">IF(AE136=0,"",IF(OR(AG136&lt;2,AI136&gt;PFYDate),AU136,IF((AI136-1)&lt;AF136,-1,12*(YEAR((AI136-1))-YEAR(AF136))+MONTH((AI136-1))-MONTH(AF136)-IF(DAY((AI136-1))&lt;MIN(DAY(AF136),DAY(EOMONTH((AI136-1),0))),1,0))))</f>
        <v/>
      </c>
      <c r="AW136" s="13" t="str">
        <f aca="false">IF(AE136=0,"",IF(OR(AG136&lt;3,AJ136&gt;PFYDate),AU136,IF((AJ136-1)&lt;AF136,-1,12*(YEAR((AJ136-1))-YEAR(AF136))+MONTH((AJ136-1))-MONTH(AF136)-IF(DAY((AJ136-1))&lt;MIN(DAY(AF136),DAY(EOMONTH((AJ136-1),0))),1,0))))</f>
        <v/>
      </c>
      <c r="AX136" s="13"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3"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3" t="str">
        <f aca="false">IF(AE136=0,"",IF(AQ136="FT",IF(AR136&lt;FT_First,FT_First,IF(AR136&lt;FT_Y5,MIN(FT_Y5,FT_First+FT_Int1*(INT((AR136-FT_First)/FT_Int1)+1)),FT_Y5+12*INT((AR136-FT_Y5)/12)+FT_Int2*(INT(MOD(AR136-FT_Y5,12)/FT_Int2)+1))),IF(AQ136="PT",IF(AR136&lt;PT_First,PT_First,PT_First+PT_Int*(INT((AR136-PT_First)/PT_Int)+1)),"")))</f>
        <v/>
      </c>
      <c r="BA136" s="13" t="str">
        <f aca="false">IF(AE136=0,"",IF(NOT(LH_Ready),0,COUNTIFS(INDEX(LH_Data,0,LH_ColFirst),$A136,INDEX(LH_Data,0,LH_ColSur),$B136,INDEX(LH_Data,0,LH_ColCat),BonusCat)))</f>
        <v/>
      </c>
      <c r="BB136" s="13" t="str">
        <f aca="false">IF(AE136=0,"",IF(OR(NOT(LH_Ready),BA136=0),0,SUMPRODUCT(MAX((INDEX(LH_Data,0,LH_ColFirst)=$A136)*(INDEX(LH_Data,0,LH_ColSur)=$B136)*(INDEX(LH_Data,0,LH_ColCat)=BonusCat)*ROW(LH_Data)))))</f>
        <v/>
      </c>
      <c r="BC136" s="0" t="str">
        <f aca="false">IF(LEN($A136&amp;$B136)=0,"",$A136&amp;" "&amp;$B136)</f>
        <v/>
      </c>
    </row>
    <row r="137" customFormat="false" ht="15" hidden="false" customHeight="false" outlineLevel="0" collapsed="false">
      <c r="A137" s="9"/>
      <c r="B137" s="9"/>
      <c r="C137" s="9"/>
      <c r="D137" s="10"/>
      <c r="E137" s="11" t="str">
        <f aca="false">IF(OR(AE137=0,$D137=""),"",DATE(YEAR(AsOfDate)+IF(DATE(YEAR(AsOfDate),MONTH($D137),DAY($D137))&lt;=AsOfDate,1,0),MONTH($D137),DAY($D137)))</f>
        <v/>
      </c>
      <c r="F137" s="10"/>
      <c r="G137" s="10"/>
      <c r="H137" s="10"/>
      <c r="I137" s="10"/>
      <c r="J137" s="10"/>
      <c r="K137" s="11" t="str">
        <f aca="false">IF(AE137=0,"",DATE(YEAR(AsOfDate)+IF(DATE(YEAR(AsOfDate),MONTH(AF137),DAY(AF137))&lt;=AsOfDate,1,0),MONTH(AF137),DAY(AF137)))</f>
        <v/>
      </c>
      <c r="L137" s="12" t="str">
        <f aca="false">IF(AE137=0,"",ROUND((AsOfDate-AF137)/365.25,1))</f>
        <v/>
      </c>
      <c r="M137" s="13" t="str">
        <f aca="false">IF(AE137=0,"",IF(AsOfDate&lt;AF137,"-",DATEDIF(AF137,AsOfDate,"y")&amp;"y "&amp;DATEDIF(AF137,AsOfDate,"ym")&amp;"m "&amp;DATEDIF(AF137,AsOfDate,"md")&amp;"d"))</f>
        <v/>
      </c>
      <c r="N137" s="14" t="str">
        <f aca="false">IF(AE137=0,"",O137*HoursPerDay)</f>
        <v/>
      </c>
      <c r="O137" s="14" t="str">
        <f aca="false">IF(AE137=0,"",AX137)</f>
        <v/>
      </c>
      <c r="P137" s="15"/>
      <c r="Q137" s="13"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13"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1" t="str">
        <f aca="false">IF(AE137=0,"",IF(AQ137="None","",EDATE(AF137,AZ137)))</f>
        <v/>
      </c>
      <c r="T137" s="14" t="str">
        <f aca="false">IF(AE137=0,"",IF(NOT(LH_Ready),"",IF(AF137&gt;PFYDate,0,IF(LH_ColPeriod=0,W137-U137+V137,SUMIFS(INDEX(LH_Data,0,LH_ColAcc),INDEX(LH_Data,0,LH_ColFirst),$A137,INDEX(LH_Data,0,LH_ColSur),$B137,INDEX(LH_Data,0,LH_ColCat),BonusCat,INDEX(LH_Data,0,LH_ColPeriod),LH_OpenLabel)*UnitFactor))))</f>
        <v/>
      </c>
      <c r="U137" s="14" t="str">
        <f aca="false">IF(AE137=0,"",IF(NOT(LH_Ready),"",SUMIFS(INDEX(LH_Data,0,LH_ColAcc),INDEX(LH_Data,0,LH_ColFirst),$A137,INDEX(LH_Data,0,LH_ColSur),$B137,INDEX(LH_Data,0,LH_ColCat),BonusCat,INDEX(LH_Data,0,LH_ColStart),"&gt;="&amp;AF137)*UnitFactor))</f>
        <v/>
      </c>
      <c r="V137" s="14" t="str">
        <f aca="false">IF(AE137=0,"",IF(NOT(LH_Ready),"",SUMIFS(INDEX(LH_Data,0,LH_ColTaken),INDEX(LH_Data,0,LH_ColFirst),$A137,INDEX(LH_Data,0,LH_ColSur),$B137,INDEX(LH_Data,0,LH_ColCat),BonusCat,INDEX(LH_Data,0,LH_ColStart),"&gt;="&amp;AF137)*UnitFactor))</f>
        <v/>
      </c>
      <c r="W137" s="14" t="str">
        <f aca="false">IF(AE137=0,"",IF(NOT(LH_Ready),"",IF(BB137=0,0,INDEX(INDEX(LH_Data,0,LH_ColClose),BB137-1)*UnitFactor)))</f>
        <v/>
      </c>
      <c r="X137" s="14" t="str">
        <f aca="false">IF(AE137=0,"",(AX137-AY137)*HoursPerDay)</f>
        <v/>
      </c>
      <c r="Y137" s="14" t="str">
        <f aca="false">IF(AE137=0,"",IF(NOT(LH_Ready),"",IF(BA137=0,N137,IF(PFYDate&lt;$F137,N137-N(T137)-N(U137),X137-N(U137)))))</f>
        <v/>
      </c>
      <c r="Z137" s="13" t="str">
        <f aca="false">IF(OR(AE137=0,Y137=""),"",IF(Y137&gt;0,"Yes","No"))</f>
        <v/>
      </c>
      <c r="AA137" s="13"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 hrs more than policy since commencement",IF(N(W137)&gt;O137*HoursPerDay+0.01,"CHECK - EH balance "&amp;ROUND(W137-O137*HoursPerDay,2)&amp;" hrs more than policy entitlement",IF(O137&gt;0,"OK - nothing to add",IF(AQ137="None",R137,"Not yet - first day on "&amp;TEXT(S137,"dd/mm/yyyy")))))))))</f>
        <v/>
      </c>
      <c r="AB137" s="14" t="str">
        <f aca="false">IF(OR(AE137=0,T137=""),"",AY137*HoursPerDay-T137)</f>
        <v/>
      </c>
      <c r="AC137" s="13" t="str">
        <f aca="false">IF(AE137=0,"",BA137)</f>
        <v/>
      </c>
      <c r="AD137" s="13"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3" t="n">
        <f aca="false">IF(OR(LEN($A137&amp;$B137)=0,$F137=""),0,1)</f>
        <v>0</v>
      </c>
      <c r="AF137" s="11" t="str">
        <f aca="false">IF(AE137=0,"",IF($J137&lt;&gt;"",$J137,IF(OR(CasualCounts="Yes",COUNT($G137:$I137)=0,COUNT($G137:$H137)=0),$F137,MIN($G137:$H137))))</f>
        <v/>
      </c>
      <c r="AG137" s="13" t="str">
        <f aca="false">IF(AE137=0,"",COUNT($G137:$I137))</f>
        <v/>
      </c>
      <c r="AH137" s="11" t="str">
        <f aca="false">IF(AE137=0,"",IFERROR(SMALL($G137:$I137,1),""))</f>
        <v/>
      </c>
      <c r="AI137" s="11" t="str">
        <f aca="false">IF(AE137=0,"",IFERROR(SMALL($G137:$I137,2),""))</f>
        <v/>
      </c>
      <c r="AJ137" s="11" t="str">
        <f aca="false">IF(AE137=0,"",IFERROR(SMALL($G137:$I137,3),""))</f>
        <v/>
      </c>
      <c r="AK137" s="13" t="str">
        <f aca="false">IF(AE137=0,"",IF(AH137="","",IF(AH137=$G137,"Part-Time",IF(AH137=$H137,"Full-Time","Casual"))))</f>
        <v/>
      </c>
      <c r="AL137" s="13" t="str">
        <f aca="false">IF(AE137=0,"",IF(AI137="","",IF(AI137=$G137,"Part-Time",IF(AI137=$H137,"Full-Time","Casual"))))</f>
        <v/>
      </c>
      <c r="AM137" s="13" t="str">
        <f aca="false">IF(AE137=0,"",IF(AJ137="","",IF(AJ137=$G137,"Part-Time",IF(AJ137=$H137,"Full-Time","Casual"))))</f>
        <v/>
      </c>
      <c r="AN137" s="13"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3" t="str">
        <f aca="false">IF(AE137=0,"",IF(AG137&lt;2,"",IF(OR(ISNUMBER(SEARCH("full",AL137)),UPPER(TRIM(AL137))="FT",UPPER(TRIM(AL137))="FTE"),"FT",IF(AND(OR(ISNUMBER(SEARCH("part",AL137)),UPPER(TRIM(AL137))="PT",UPPER(TRIM(AL137))="PTE"),OR($P137="",N($P137)&gt;=PT_MinHours)),"PT","None"))))</f>
        <v/>
      </c>
      <c r="AP137" s="13" t="str">
        <f aca="false">IF(AE137=0,"",IF(AG137&lt;3,"",IF(OR(ISNUMBER(SEARCH("full",AM137)),UPPER(TRIM(AM137))="FT",UPPER(TRIM(AM137))="FTE"),"FT",IF(AND(OR(ISNUMBER(SEARCH("part",AM137)),UPPER(TRIM(AM137))="PT",UPPER(TRIM(AM137))="PTE"),OR($P137="",N($P137)&gt;=PT_MinHours)),"PT","None"))))</f>
        <v/>
      </c>
      <c r="AQ137" s="13" t="str">
        <f aca="false">IF(AE137=0,"",IF(AND(AG137&gt;=3,AJ137&lt;=AsOfDate),AP137,IF(AND(AG137&gt;=2,AI137&lt;=AsOfDate),AO137,AN137)))</f>
        <v/>
      </c>
      <c r="AR137" s="13" t="str">
        <f aca="false">IF(AE137=0,"",IF(AsOfDate&lt;AF137,-1,12*(YEAR(AsOfDate)-YEAR(AF137))+MONTH(AsOfDate)-MONTH(AF137)-IF(DAY(AsOfDate)&lt;MIN(DAY(AF137),DAY(EOMONTH(AsOfDate,0))),1,0)))</f>
        <v/>
      </c>
      <c r="AS137" s="13" t="str">
        <f aca="false">IF(AE137=0,"",IF(OR(AG137&lt;2,AI137&gt;AsOfDate),AR137,IF((AI137-1)&lt;AF137,-1,12*(YEAR((AI137-1))-YEAR(AF137))+MONTH((AI137-1))-MONTH(AF137)-IF(DAY((AI137-1))&lt;MIN(DAY(AF137),DAY(EOMONTH((AI137-1),0))),1,0))))</f>
        <v/>
      </c>
      <c r="AT137" s="13" t="str">
        <f aca="false">IF(AE137=0,"",IF(OR(AG137&lt;3,AJ137&gt;AsOfDate),AR137,IF((AJ137-1)&lt;AF137,-1,12*(YEAR((AJ137-1))-YEAR(AF137))+MONTH((AJ137-1))-MONTH(AF137)-IF(DAY((AJ137-1))&lt;MIN(DAY(AF137),DAY(EOMONTH((AJ137-1),0))),1,0))))</f>
        <v/>
      </c>
      <c r="AU137" s="13" t="str">
        <f aca="false">IF(AE137=0,"",IF(PFYDate&lt;AF137,-1,12*(YEAR(PFYDate)-YEAR(AF137))+MONTH(PFYDate)-MONTH(AF137)-IF(DAY(PFYDate)&lt;MIN(DAY(AF137),DAY(EOMONTH(PFYDate,0))),1,0)))</f>
        <v/>
      </c>
      <c r="AV137" s="13" t="str">
        <f aca="false">IF(AE137=0,"",IF(OR(AG137&lt;2,AI137&gt;PFYDate),AU137,IF((AI137-1)&lt;AF137,-1,12*(YEAR((AI137-1))-YEAR(AF137))+MONTH((AI137-1))-MONTH(AF137)-IF(DAY((AI137-1))&lt;MIN(DAY(AF137),DAY(EOMONTH((AI137-1),0))),1,0))))</f>
        <v/>
      </c>
      <c r="AW137" s="13" t="str">
        <f aca="false">IF(AE137=0,"",IF(OR(AG137&lt;3,AJ137&gt;PFYDate),AU137,IF((AJ137-1)&lt;AF137,-1,12*(YEAR((AJ137-1))-YEAR(AF137))+MONTH((AJ137-1))-MONTH(AF137)-IF(DAY((AJ137-1))&lt;MIN(DAY(AF137),DAY(EOMONTH((AJ137-1),0))),1,0))))</f>
        <v/>
      </c>
      <c r="AX137" s="13"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3"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3" t="str">
        <f aca="false">IF(AE137=0,"",IF(AQ137="FT",IF(AR137&lt;FT_First,FT_First,IF(AR137&lt;FT_Y5,MIN(FT_Y5,FT_First+FT_Int1*(INT((AR137-FT_First)/FT_Int1)+1)),FT_Y5+12*INT((AR137-FT_Y5)/12)+FT_Int2*(INT(MOD(AR137-FT_Y5,12)/FT_Int2)+1))),IF(AQ137="PT",IF(AR137&lt;PT_First,PT_First,PT_First+PT_Int*(INT((AR137-PT_First)/PT_Int)+1)),"")))</f>
        <v/>
      </c>
      <c r="BA137" s="13" t="str">
        <f aca="false">IF(AE137=0,"",IF(NOT(LH_Ready),0,COUNTIFS(INDEX(LH_Data,0,LH_ColFirst),$A137,INDEX(LH_Data,0,LH_ColSur),$B137,INDEX(LH_Data,0,LH_ColCat),BonusCat)))</f>
        <v/>
      </c>
      <c r="BB137" s="13" t="str">
        <f aca="false">IF(AE137=0,"",IF(OR(NOT(LH_Ready),BA137=0),0,SUMPRODUCT(MAX((INDEX(LH_Data,0,LH_ColFirst)=$A137)*(INDEX(LH_Data,0,LH_ColSur)=$B137)*(INDEX(LH_Data,0,LH_ColCat)=BonusCat)*ROW(LH_Data)))))</f>
        <v/>
      </c>
      <c r="BC137" s="0" t="str">
        <f aca="false">IF(LEN($A137&amp;$B137)=0,"",$A137&amp;" "&amp;$B137)</f>
        <v/>
      </c>
    </row>
    <row r="138" customFormat="false" ht="15" hidden="false" customHeight="false" outlineLevel="0" collapsed="false">
      <c r="A138" s="9"/>
      <c r="B138" s="9"/>
      <c r="C138" s="9"/>
      <c r="D138" s="10"/>
      <c r="E138" s="11" t="str">
        <f aca="false">IF(OR(AE138=0,$D138=""),"",DATE(YEAR(AsOfDate)+IF(DATE(YEAR(AsOfDate),MONTH($D138),DAY($D138))&lt;=AsOfDate,1,0),MONTH($D138),DAY($D138)))</f>
        <v/>
      </c>
      <c r="F138" s="10"/>
      <c r="G138" s="10"/>
      <c r="H138" s="10"/>
      <c r="I138" s="10"/>
      <c r="J138" s="10"/>
      <c r="K138" s="11" t="str">
        <f aca="false">IF(AE138=0,"",DATE(YEAR(AsOfDate)+IF(DATE(YEAR(AsOfDate),MONTH(AF138),DAY(AF138))&lt;=AsOfDate,1,0),MONTH(AF138),DAY(AF138)))</f>
        <v/>
      </c>
      <c r="L138" s="12" t="str">
        <f aca="false">IF(AE138=0,"",ROUND((AsOfDate-AF138)/365.25,1))</f>
        <v/>
      </c>
      <c r="M138" s="13" t="str">
        <f aca="false">IF(AE138=0,"",IF(AsOfDate&lt;AF138,"-",DATEDIF(AF138,AsOfDate,"y")&amp;"y "&amp;DATEDIF(AF138,AsOfDate,"ym")&amp;"m "&amp;DATEDIF(AF138,AsOfDate,"md")&amp;"d"))</f>
        <v/>
      </c>
      <c r="N138" s="14" t="str">
        <f aca="false">IF(AE138=0,"",O138*HoursPerDay)</f>
        <v/>
      </c>
      <c r="O138" s="14" t="str">
        <f aca="false">IF(AE138=0,"",AX138)</f>
        <v/>
      </c>
      <c r="P138" s="15"/>
      <c r="Q138" s="13"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13"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1" t="str">
        <f aca="false">IF(AE138=0,"",IF(AQ138="None","",EDATE(AF138,AZ138)))</f>
        <v/>
      </c>
      <c r="T138" s="14" t="str">
        <f aca="false">IF(AE138=0,"",IF(NOT(LH_Ready),"",IF(AF138&gt;PFYDate,0,IF(LH_ColPeriod=0,W138-U138+V138,SUMIFS(INDEX(LH_Data,0,LH_ColAcc),INDEX(LH_Data,0,LH_ColFirst),$A138,INDEX(LH_Data,0,LH_ColSur),$B138,INDEX(LH_Data,0,LH_ColCat),BonusCat,INDEX(LH_Data,0,LH_ColPeriod),LH_OpenLabel)*UnitFactor))))</f>
        <v/>
      </c>
      <c r="U138" s="14" t="str">
        <f aca="false">IF(AE138=0,"",IF(NOT(LH_Ready),"",SUMIFS(INDEX(LH_Data,0,LH_ColAcc),INDEX(LH_Data,0,LH_ColFirst),$A138,INDEX(LH_Data,0,LH_ColSur),$B138,INDEX(LH_Data,0,LH_ColCat),BonusCat,INDEX(LH_Data,0,LH_ColStart),"&gt;="&amp;AF138)*UnitFactor))</f>
        <v/>
      </c>
      <c r="V138" s="14" t="str">
        <f aca="false">IF(AE138=0,"",IF(NOT(LH_Ready),"",SUMIFS(INDEX(LH_Data,0,LH_ColTaken),INDEX(LH_Data,0,LH_ColFirst),$A138,INDEX(LH_Data,0,LH_ColSur),$B138,INDEX(LH_Data,0,LH_ColCat),BonusCat,INDEX(LH_Data,0,LH_ColStart),"&gt;="&amp;AF138)*UnitFactor))</f>
        <v/>
      </c>
      <c r="W138" s="14" t="str">
        <f aca="false">IF(AE138=0,"",IF(NOT(LH_Ready),"",IF(BB138=0,0,INDEX(INDEX(LH_Data,0,LH_ColClose),BB138-1)*UnitFactor)))</f>
        <v/>
      </c>
      <c r="X138" s="14" t="str">
        <f aca="false">IF(AE138=0,"",(AX138-AY138)*HoursPerDay)</f>
        <v/>
      </c>
      <c r="Y138" s="14" t="str">
        <f aca="false">IF(AE138=0,"",IF(NOT(LH_Ready),"",IF(BA138=0,N138,IF(PFYDate&lt;$F138,N138-N(T138)-N(U138),X138-N(U138)))))</f>
        <v/>
      </c>
      <c r="Z138" s="13" t="str">
        <f aca="false">IF(OR(AE138=0,Y138=""),"",IF(Y138&gt;0,"Yes","No"))</f>
        <v/>
      </c>
      <c r="AA138" s="13"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 hrs more than policy since commencement",IF(N(W138)&gt;O138*HoursPerDay+0.01,"CHECK - EH balance "&amp;ROUND(W138-O138*HoursPerDay,2)&amp;" hrs more than policy entitlement",IF(O138&gt;0,"OK - nothing to add",IF(AQ138="None",R138,"Not yet - first day on "&amp;TEXT(S138,"dd/mm/yyyy")))))))))</f>
        <v/>
      </c>
      <c r="AB138" s="14" t="str">
        <f aca="false">IF(OR(AE138=0,T138=""),"",AY138*HoursPerDay-T138)</f>
        <v/>
      </c>
      <c r="AC138" s="13" t="str">
        <f aca="false">IF(AE138=0,"",BA138)</f>
        <v/>
      </c>
      <c r="AD138" s="13"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3" t="n">
        <f aca="false">IF(OR(LEN($A138&amp;$B138)=0,$F138=""),0,1)</f>
        <v>0</v>
      </c>
      <c r="AF138" s="11" t="str">
        <f aca="false">IF(AE138=0,"",IF($J138&lt;&gt;"",$J138,IF(OR(CasualCounts="Yes",COUNT($G138:$I138)=0,COUNT($G138:$H138)=0),$F138,MIN($G138:$H138))))</f>
        <v/>
      </c>
      <c r="AG138" s="13" t="str">
        <f aca="false">IF(AE138=0,"",COUNT($G138:$I138))</f>
        <v/>
      </c>
      <c r="AH138" s="11" t="str">
        <f aca="false">IF(AE138=0,"",IFERROR(SMALL($G138:$I138,1),""))</f>
        <v/>
      </c>
      <c r="AI138" s="11" t="str">
        <f aca="false">IF(AE138=0,"",IFERROR(SMALL($G138:$I138,2),""))</f>
        <v/>
      </c>
      <c r="AJ138" s="11" t="str">
        <f aca="false">IF(AE138=0,"",IFERROR(SMALL($G138:$I138,3),""))</f>
        <v/>
      </c>
      <c r="AK138" s="13" t="str">
        <f aca="false">IF(AE138=0,"",IF(AH138="","",IF(AH138=$G138,"Part-Time",IF(AH138=$H138,"Full-Time","Casual"))))</f>
        <v/>
      </c>
      <c r="AL138" s="13" t="str">
        <f aca="false">IF(AE138=0,"",IF(AI138="","",IF(AI138=$G138,"Part-Time",IF(AI138=$H138,"Full-Time","Casual"))))</f>
        <v/>
      </c>
      <c r="AM138" s="13" t="str">
        <f aca="false">IF(AE138=0,"",IF(AJ138="","",IF(AJ138=$G138,"Part-Time",IF(AJ138=$H138,"Full-Time","Casual"))))</f>
        <v/>
      </c>
      <c r="AN138" s="13"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3" t="str">
        <f aca="false">IF(AE138=0,"",IF(AG138&lt;2,"",IF(OR(ISNUMBER(SEARCH("full",AL138)),UPPER(TRIM(AL138))="FT",UPPER(TRIM(AL138))="FTE"),"FT",IF(AND(OR(ISNUMBER(SEARCH("part",AL138)),UPPER(TRIM(AL138))="PT",UPPER(TRIM(AL138))="PTE"),OR($P138="",N($P138)&gt;=PT_MinHours)),"PT","None"))))</f>
        <v/>
      </c>
      <c r="AP138" s="13" t="str">
        <f aca="false">IF(AE138=0,"",IF(AG138&lt;3,"",IF(OR(ISNUMBER(SEARCH("full",AM138)),UPPER(TRIM(AM138))="FT",UPPER(TRIM(AM138))="FTE"),"FT",IF(AND(OR(ISNUMBER(SEARCH("part",AM138)),UPPER(TRIM(AM138))="PT",UPPER(TRIM(AM138))="PTE"),OR($P138="",N($P138)&gt;=PT_MinHours)),"PT","None"))))</f>
        <v/>
      </c>
      <c r="AQ138" s="13" t="str">
        <f aca="false">IF(AE138=0,"",IF(AND(AG138&gt;=3,AJ138&lt;=AsOfDate),AP138,IF(AND(AG138&gt;=2,AI138&lt;=AsOfDate),AO138,AN138)))</f>
        <v/>
      </c>
      <c r="AR138" s="13" t="str">
        <f aca="false">IF(AE138=0,"",IF(AsOfDate&lt;AF138,-1,12*(YEAR(AsOfDate)-YEAR(AF138))+MONTH(AsOfDate)-MONTH(AF138)-IF(DAY(AsOfDate)&lt;MIN(DAY(AF138),DAY(EOMONTH(AsOfDate,0))),1,0)))</f>
        <v/>
      </c>
      <c r="AS138" s="13" t="str">
        <f aca="false">IF(AE138=0,"",IF(OR(AG138&lt;2,AI138&gt;AsOfDate),AR138,IF((AI138-1)&lt;AF138,-1,12*(YEAR((AI138-1))-YEAR(AF138))+MONTH((AI138-1))-MONTH(AF138)-IF(DAY((AI138-1))&lt;MIN(DAY(AF138),DAY(EOMONTH((AI138-1),0))),1,0))))</f>
        <v/>
      </c>
      <c r="AT138" s="13" t="str">
        <f aca="false">IF(AE138=0,"",IF(OR(AG138&lt;3,AJ138&gt;AsOfDate),AR138,IF((AJ138-1)&lt;AF138,-1,12*(YEAR((AJ138-1))-YEAR(AF138))+MONTH((AJ138-1))-MONTH(AF138)-IF(DAY((AJ138-1))&lt;MIN(DAY(AF138),DAY(EOMONTH((AJ138-1),0))),1,0))))</f>
        <v/>
      </c>
      <c r="AU138" s="13" t="str">
        <f aca="false">IF(AE138=0,"",IF(PFYDate&lt;AF138,-1,12*(YEAR(PFYDate)-YEAR(AF138))+MONTH(PFYDate)-MONTH(AF138)-IF(DAY(PFYDate)&lt;MIN(DAY(AF138),DAY(EOMONTH(PFYDate,0))),1,0)))</f>
        <v/>
      </c>
      <c r="AV138" s="13" t="str">
        <f aca="false">IF(AE138=0,"",IF(OR(AG138&lt;2,AI138&gt;PFYDate),AU138,IF((AI138-1)&lt;AF138,-1,12*(YEAR((AI138-1))-YEAR(AF138))+MONTH((AI138-1))-MONTH(AF138)-IF(DAY((AI138-1))&lt;MIN(DAY(AF138),DAY(EOMONTH((AI138-1),0))),1,0))))</f>
        <v/>
      </c>
      <c r="AW138" s="13" t="str">
        <f aca="false">IF(AE138=0,"",IF(OR(AG138&lt;3,AJ138&gt;PFYDate),AU138,IF((AJ138-1)&lt;AF138,-1,12*(YEAR((AJ138-1))-YEAR(AF138))+MONTH((AJ138-1))-MONTH(AF138)-IF(DAY((AJ138-1))&lt;MIN(DAY(AF138),DAY(EOMONTH((AJ138-1),0))),1,0))))</f>
        <v/>
      </c>
      <c r="AX138" s="13"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3"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3" t="str">
        <f aca="false">IF(AE138=0,"",IF(AQ138="FT",IF(AR138&lt;FT_First,FT_First,IF(AR138&lt;FT_Y5,MIN(FT_Y5,FT_First+FT_Int1*(INT((AR138-FT_First)/FT_Int1)+1)),FT_Y5+12*INT((AR138-FT_Y5)/12)+FT_Int2*(INT(MOD(AR138-FT_Y5,12)/FT_Int2)+1))),IF(AQ138="PT",IF(AR138&lt;PT_First,PT_First,PT_First+PT_Int*(INT((AR138-PT_First)/PT_Int)+1)),"")))</f>
        <v/>
      </c>
      <c r="BA138" s="13" t="str">
        <f aca="false">IF(AE138=0,"",IF(NOT(LH_Ready),0,COUNTIFS(INDEX(LH_Data,0,LH_ColFirst),$A138,INDEX(LH_Data,0,LH_ColSur),$B138,INDEX(LH_Data,0,LH_ColCat),BonusCat)))</f>
        <v/>
      </c>
      <c r="BB138" s="13" t="str">
        <f aca="false">IF(AE138=0,"",IF(OR(NOT(LH_Ready),BA138=0),0,SUMPRODUCT(MAX((INDEX(LH_Data,0,LH_ColFirst)=$A138)*(INDEX(LH_Data,0,LH_ColSur)=$B138)*(INDEX(LH_Data,0,LH_ColCat)=BonusCat)*ROW(LH_Data)))))</f>
        <v/>
      </c>
      <c r="BC138" s="0" t="str">
        <f aca="false">IF(LEN($A138&amp;$B138)=0,"",$A138&amp;" "&amp;$B138)</f>
        <v/>
      </c>
    </row>
    <row r="139" customFormat="false" ht="15" hidden="false" customHeight="false" outlineLevel="0" collapsed="false">
      <c r="A139" s="9"/>
      <c r="B139" s="9"/>
      <c r="C139" s="9"/>
      <c r="D139" s="10"/>
      <c r="E139" s="11" t="str">
        <f aca="false">IF(OR(AE139=0,$D139=""),"",DATE(YEAR(AsOfDate)+IF(DATE(YEAR(AsOfDate),MONTH($D139),DAY($D139))&lt;=AsOfDate,1,0),MONTH($D139),DAY($D139)))</f>
        <v/>
      </c>
      <c r="F139" s="10"/>
      <c r="G139" s="10"/>
      <c r="H139" s="10"/>
      <c r="I139" s="10"/>
      <c r="J139" s="10"/>
      <c r="K139" s="11" t="str">
        <f aca="false">IF(AE139=0,"",DATE(YEAR(AsOfDate)+IF(DATE(YEAR(AsOfDate),MONTH(AF139),DAY(AF139))&lt;=AsOfDate,1,0),MONTH(AF139),DAY(AF139)))</f>
        <v/>
      </c>
      <c r="L139" s="12" t="str">
        <f aca="false">IF(AE139=0,"",ROUND((AsOfDate-AF139)/365.25,1))</f>
        <v/>
      </c>
      <c r="M139" s="13" t="str">
        <f aca="false">IF(AE139=0,"",IF(AsOfDate&lt;AF139,"-",DATEDIF(AF139,AsOfDate,"y")&amp;"y "&amp;DATEDIF(AF139,AsOfDate,"ym")&amp;"m "&amp;DATEDIF(AF139,AsOfDate,"md")&amp;"d"))</f>
        <v/>
      </c>
      <c r="N139" s="14" t="str">
        <f aca="false">IF(AE139=0,"",O139*HoursPerDay)</f>
        <v/>
      </c>
      <c r="O139" s="14" t="str">
        <f aca="false">IF(AE139=0,"",AX139)</f>
        <v/>
      </c>
      <c r="P139" s="15"/>
      <c r="Q139" s="13"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13"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1" t="str">
        <f aca="false">IF(AE139=0,"",IF(AQ139="None","",EDATE(AF139,AZ139)))</f>
        <v/>
      </c>
      <c r="T139" s="14" t="str">
        <f aca="false">IF(AE139=0,"",IF(NOT(LH_Ready),"",IF(AF139&gt;PFYDate,0,IF(LH_ColPeriod=0,W139-U139+V139,SUMIFS(INDEX(LH_Data,0,LH_ColAcc),INDEX(LH_Data,0,LH_ColFirst),$A139,INDEX(LH_Data,0,LH_ColSur),$B139,INDEX(LH_Data,0,LH_ColCat),BonusCat,INDEX(LH_Data,0,LH_ColPeriod),LH_OpenLabel)*UnitFactor))))</f>
        <v/>
      </c>
      <c r="U139" s="14" t="str">
        <f aca="false">IF(AE139=0,"",IF(NOT(LH_Ready),"",SUMIFS(INDEX(LH_Data,0,LH_ColAcc),INDEX(LH_Data,0,LH_ColFirst),$A139,INDEX(LH_Data,0,LH_ColSur),$B139,INDEX(LH_Data,0,LH_ColCat),BonusCat,INDEX(LH_Data,0,LH_ColStart),"&gt;="&amp;AF139)*UnitFactor))</f>
        <v/>
      </c>
      <c r="V139" s="14" t="str">
        <f aca="false">IF(AE139=0,"",IF(NOT(LH_Ready),"",SUMIFS(INDEX(LH_Data,0,LH_ColTaken),INDEX(LH_Data,0,LH_ColFirst),$A139,INDEX(LH_Data,0,LH_ColSur),$B139,INDEX(LH_Data,0,LH_ColCat),BonusCat,INDEX(LH_Data,0,LH_ColStart),"&gt;="&amp;AF139)*UnitFactor))</f>
        <v/>
      </c>
      <c r="W139" s="14" t="str">
        <f aca="false">IF(AE139=0,"",IF(NOT(LH_Ready),"",IF(BB139=0,0,INDEX(INDEX(LH_Data,0,LH_ColClose),BB139-1)*UnitFactor)))</f>
        <v/>
      </c>
      <c r="X139" s="14" t="str">
        <f aca="false">IF(AE139=0,"",(AX139-AY139)*HoursPerDay)</f>
        <v/>
      </c>
      <c r="Y139" s="14" t="str">
        <f aca="false">IF(AE139=0,"",IF(NOT(LH_Ready),"",IF(BA139=0,N139,IF(PFYDate&lt;$F139,N139-N(T139)-N(U139),X139-N(U139)))))</f>
        <v/>
      </c>
      <c r="Z139" s="13" t="str">
        <f aca="false">IF(OR(AE139=0,Y139=""),"",IF(Y139&gt;0,"Yes","No"))</f>
        <v/>
      </c>
      <c r="AA139" s="13"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 hrs more than policy since commencement",IF(N(W139)&gt;O139*HoursPerDay+0.01,"CHECK - EH balance "&amp;ROUND(W139-O139*HoursPerDay,2)&amp;" hrs more than policy entitlement",IF(O139&gt;0,"OK - nothing to add",IF(AQ139="None",R139,"Not yet - first day on "&amp;TEXT(S139,"dd/mm/yyyy")))))))))</f>
        <v/>
      </c>
      <c r="AB139" s="14" t="str">
        <f aca="false">IF(OR(AE139=0,T139=""),"",AY139*HoursPerDay-T139)</f>
        <v/>
      </c>
      <c r="AC139" s="13" t="str">
        <f aca="false">IF(AE139=0,"",BA139)</f>
        <v/>
      </c>
      <c r="AD139" s="13"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3" t="n">
        <f aca="false">IF(OR(LEN($A139&amp;$B139)=0,$F139=""),0,1)</f>
        <v>0</v>
      </c>
      <c r="AF139" s="11" t="str">
        <f aca="false">IF(AE139=0,"",IF($J139&lt;&gt;"",$J139,IF(OR(CasualCounts="Yes",COUNT($G139:$I139)=0,COUNT($G139:$H139)=0),$F139,MIN($G139:$H139))))</f>
        <v/>
      </c>
      <c r="AG139" s="13" t="str">
        <f aca="false">IF(AE139=0,"",COUNT($G139:$I139))</f>
        <v/>
      </c>
      <c r="AH139" s="11" t="str">
        <f aca="false">IF(AE139=0,"",IFERROR(SMALL($G139:$I139,1),""))</f>
        <v/>
      </c>
      <c r="AI139" s="11" t="str">
        <f aca="false">IF(AE139=0,"",IFERROR(SMALL($G139:$I139,2),""))</f>
        <v/>
      </c>
      <c r="AJ139" s="11" t="str">
        <f aca="false">IF(AE139=0,"",IFERROR(SMALL($G139:$I139,3),""))</f>
        <v/>
      </c>
      <c r="AK139" s="13" t="str">
        <f aca="false">IF(AE139=0,"",IF(AH139="","",IF(AH139=$G139,"Part-Time",IF(AH139=$H139,"Full-Time","Casual"))))</f>
        <v/>
      </c>
      <c r="AL139" s="13" t="str">
        <f aca="false">IF(AE139=0,"",IF(AI139="","",IF(AI139=$G139,"Part-Time",IF(AI139=$H139,"Full-Time","Casual"))))</f>
        <v/>
      </c>
      <c r="AM139" s="13" t="str">
        <f aca="false">IF(AE139=0,"",IF(AJ139="","",IF(AJ139=$G139,"Part-Time",IF(AJ139=$H139,"Full-Time","Casual"))))</f>
        <v/>
      </c>
      <c r="AN139" s="13"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3" t="str">
        <f aca="false">IF(AE139=0,"",IF(AG139&lt;2,"",IF(OR(ISNUMBER(SEARCH("full",AL139)),UPPER(TRIM(AL139))="FT",UPPER(TRIM(AL139))="FTE"),"FT",IF(AND(OR(ISNUMBER(SEARCH("part",AL139)),UPPER(TRIM(AL139))="PT",UPPER(TRIM(AL139))="PTE"),OR($P139="",N($P139)&gt;=PT_MinHours)),"PT","None"))))</f>
        <v/>
      </c>
      <c r="AP139" s="13" t="str">
        <f aca="false">IF(AE139=0,"",IF(AG139&lt;3,"",IF(OR(ISNUMBER(SEARCH("full",AM139)),UPPER(TRIM(AM139))="FT",UPPER(TRIM(AM139))="FTE"),"FT",IF(AND(OR(ISNUMBER(SEARCH("part",AM139)),UPPER(TRIM(AM139))="PT",UPPER(TRIM(AM139))="PTE"),OR($P139="",N($P139)&gt;=PT_MinHours)),"PT","None"))))</f>
        <v/>
      </c>
      <c r="AQ139" s="13" t="str">
        <f aca="false">IF(AE139=0,"",IF(AND(AG139&gt;=3,AJ139&lt;=AsOfDate),AP139,IF(AND(AG139&gt;=2,AI139&lt;=AsOfDate),AO139,AN139)))</f>
        <v/>
      </c>
      <c r="AR139" s="13" t="str">
        <f aca="false">IF(AE139=0,"",IF(AsOfDate&lt;AF139,-1,12*(YEAR(AsOfDate)-YEAR(AF139))+MONTH(AsOfDate)-MONTH(AF139)-IF(DAY(AsOfDate)&lt;MIN(DAY(AF139),DAY(EOMONTH(AsOfDate,0))),1,0)))</f>
        <v/>
      </c>
      <c r="AS139" s="13" t="str">
        <f aca="false">IF(AE139=0,"",IF(OR(AG139&lt;2,AI139&gt;AsOfDate),AR139,IF((AI139-1)&lt;AF139,-1,12*(YEAR((AI139-1))-YEAR(AF139))+MONTH((AI139-1))-MONTH(AF139)-IF(DAY((AI139-1))&lt;MIN(DAY(AF139),DAY(EOMONTH((AI139-1),0))),1,0))))</f>
        <v/>
      </c>
      <c r="AT139" s="13" t="str">
        <f aca="false">IF(AE139=0,"",IF(OR(AG139&lt;3,AJ139&gt;AsOfDate),AR139,IF((AJ139-1)&lt;AF139,-1,12*(YEAR((AJ139-1))-YEAR(AF139))+MONTH((AJ139-1))-MONTH(AF139)-IF(DAY((AJ139-1))&lt;MIN(DAY(AF139),DAY(EOMONTH((AJ139-1),0))),1,0))))</f>
        <v/>
      </c>
      <c r="AU139" s="13" t="str">
        <f aca="false">IF(AE139=0,"",IF(PFYDate&lt;AF139,-1,12*(YEAR(PFYDate)-YEAR(AF139))+MONTH(PFYDate)-MONTH(AF139)-IF(DAY(PFYDate)&lt;MIN(DAY(AF139),DAY(EOMONTH(PFYDate,0))),1,0)))</f>
        <v/>
      </c>
      <c r="AV139" s="13" t="str">
        <f aca="false">IF(AE139=0,"",IF(OR(AG139&lt;2,AI139&gt;PFYDate),AU139,IF((AI139-1)&lt;AF139,-1,12*(YEAR((AI139-1))-YEAR(AF139))+MONTH((AI139-1))-MONTH(AF139)-IF(DAY((AI139-1))&lt;MIN(DAY(AF139),DAY(EOMONTH((AI139-1),0))),1,0))))</f>
        <v/>
      </c>
      <c r="AW139" s="13" t="str">
        <f aca="false">IF(AE139=0,"",IF(OR(AG139&lt;3,AJ139&gt;PFYDate),AU139,IF((AJ139-1)&lt;AF139,-1,12*(YEAR((AJ139-1))-YEAR(AF139))+MONTH((AJ139-1))-MONTH(AF139)-IF(DAY((AJ139-1))&lt;MIN(DAY(AF139),DAY(EOMONTH((AJ139-1),0))),1,0))))</f>
        <v/>
      </c>
      <c r="AX139" s="13"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3"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3" t="str">
        <f aca="false">IF(AE139=0,"",IF(AQ139="FT",IF(AR139&lt;FT_First,FT_First,IF(AR139&lt;FT_Y5,MIN(FT_Y5,FT_First+FT_Int1*(INT((AR139-FT_First)/FT_Int1)+1)),FT_Y5+12*INT((AR139-FT_Y5)/12)+FT_Int2*(INT(MOD(AR139-FT_Y5,12)/FT_Int2)+1))),IF(AQ139="PT",IF(AR139&lt;PT_First,PT_First,PT_First+PT_Int*(INT((AR139-PT_First)/PT_Int)+1)),"")))</f>
        <v/>
      </c>
      <c r="BA139" s="13" t="str">
        <f aca="false">IF(AE139=0,"",IF(NOT(LH_Ready),0,COUNTIFS(INDEX(LH_Data,0,LH_ColFirst),$A139,INDEX(LH_Data,0,LH_ColSur),$B139,INDEX(LH_Data,0,LH_ColCat),BonusCat)))</f>
        <v/>
      </c>
      <c r="BB139" s="13" t="str">
        <f aca="false">IF(AE139=0,"",IF(OR(NOT(LH_Ready),BA139=0),0,SUMPRODUCT(MAX((INDEX(LH_Data,0,LH_ColFirst)=$A139)*(INDEX(LH_Data,0,LH_ColSur)=$B139)*(INDEX(LH_Data,0,LH_ColCat)=BonusCat)*ROW(LH_Data)))))</f>
        <v/>
      </c>
      <c r="BC139" s="0" t="str">
        <f aca="false">IF(LEN($A139&amp;$B139)=0,"",$A139&amp;" "&amp;$B139)</f>
        <v/>
      </c>
    </row>
    <row r="140" customFormat="false" ht="15" hidden="false" customHeight="false" outlineLevel="0" collapsed="false">
      <c r="A140" s="9"/>
      <c r="B140" s="9"/>
      <c r="C140" s="9"/>
      <c r="D140" s="10"/>
      <c r="E140" s="11" t="str">
        <f aca="false">IF(OR(AE140=0,$D140=""),"",DATE(YEAR(AsOfDate)+IF(DATE(YEAR(AsOfDate),MONTH($D140),DAY($D140))&lt;=AsOfDate,1,0),MONTH($D140),DAY($D140)))</f>
        <v/>
      </c>
      <c r="F140" s="10"/>
      <c r="G140" s="10"/>
      <c r="H140" s="10"/>
      <c r="I140" s="10"/>
      <c r="J140" s="10"/>
      <c r="K140" s="11" t="str">
        <f aca="false">IF(AE140=0,"",DATE(YEAR(AsOfDate)+IF(DATE(YEAR(AsOfDate),MONTH(AF140),DAY(AF140))&lt;=AsOfDate,1,0),MONTH(AF140),DAY(AF140)))</f>
        <v/>
      </c>
      <c r="L140" s="12" t="str">
        <f aca="false">IF(AE140=0,"",ROUND((AsOfDate-AF140)/365.25,1))</f>
        <v/>
      </c>
      <c r="M140" s="13" t="str">
        <f aca="false">IF(AE140=0,"",IF(AsOfDate&lt;AF140,"-",DATEDIF(AF140,AsOfDate,"y")&amp;"y "&amp;DATEDIF(AF140,AsOfDate,"ym")&amp;"m "&amp;DATEDIF(AF140,AsOfDate,"md")&amp;"d"))</f>
        <v/>
      </c>
      <c r="N140" s="14" t="str">
        <f aca="false">IF(AE140=0,"",O140*HoursPerDay)</f>
        <v/>
      </c>
      <c r="O140" s="14" t="str">
        <f aca="false">IF(AE140=0,"",AX140)</f>
        <v/>
      </c>
      <c r="P140" s="15"/>
      <c r="Q140" s="13"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13"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1" t="str">
        <f aca="false">IF(AE140=0,"",IF(AQ140="None","",EDATE(AF140,AZ140)))</f>
        <v/>
      </c>
      <c r="T140" s="14" t="str">
        <f aca="false">IF(AE140=0,"",IF(NOT(LH_Ready),"",IF(AF140&gt;PFYDate,0,IF(LH_ColPeriod=0,W140-U140+V140,SUMIFS(INDEX(LH_Data,0,LH_ColAcc),INDEX(LH_Data,0,LH_ColFirst),$A140,INDEX(LH_Data,0,LH_ColSur),$B140,INDEX(LH_Data,0,LH_ColCat),BonusCat,INDEX(LH_Data,0,LH_ColPeriod),LH_OpenLabel)*UnitFactor))))</f>
        <v/>
      </c>
      <c r="U140" s="14" t="str">
        <f aca="false">IF(AE140=0,"",IF(NOT(LH_Ready),"",SUMIFS(INDEX(LH_Data,0,LH_ColAcc),INDEX(LH_Data,0,LH_ColFirst),$A140,INDEX(LH_Data,0,LH_ColSur),$B140,INDEX(LH_Data,0,LH_ColCat),BonusCat,INDEX(LH_Data,0,LH_ColStart),"&gt;="&amp;AF140)*UnitFactor))</f>
        <v/>
      </c>
      <c r="V140" s="14" t="str">
        <f aca="false">IF(AE140=0,"",IF(NOT(LH_Ready),"",SUMIFS(INDEX(LH_Data,0,LH_ColTaken),INDEX(LH_Data,0,LH_ColFirst),$A140,INDEX(LH_Data,0,LH_ColSur),$B140,INDEX(LH_Data,0,LH_ColCat),BonusCat,INDEX(LH_Data,0,LH_ColStart),"&gt;="&amp;AF140)*UnitFactor))</f>
        <v/>
      </c>
      <c r="W140" s="14" t="str">
        <f aca="false">IF(AE140=0,"",IF(NOT(LH_Ready),"",IF(BB140=0,0,INDEX(INDEX(LH_Data,0,LH_ColClose),BB140-1)*UnitFactor)))</f>
        <v/>
      </c>
      <c r="X140" s="14" t="str">
        <f aca="false">IF(AE140=0,"",(AX140-AY140)*HoursPerDay)</f>
        <v/>
      </c>
      <c r="Y140" s="14" t="str">
        <f aca="false">IF(AE140=0,"",IF(NOT(LH_Ready),"",IF(BA140=0,N140,IF(PFYDate&lt;$F140,N140-N(T140)-N(U140),X140-N(U140)))))</f>
        <v/>
      </c>
      <c r="Z140" s="13" t="str">
        <f aca="false">IF(OR(AE140=0,Y140=""),"",IF(Y140&gt;0,"Yes","No"))</f>
        <v/>
      </c>
      <c r="AA140" s="13"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 hrs more than policy since commencement",IF(N(W140)&gt;O140*HoursPerDay+0.01,"CHECK - EH balance "&amp;ROUND(W140-O140*HoursPerDay,2)&amp;" hrs more than policy entitlement",IF(O140&gt;0,"OK - nothing to add",IF(AQ140="None",R140,"Not yet - first day on "&amp;TEXT(S140,"dd/mm/yyyy")))))))))</f>
        <v/>
      </c>
      <c r="AB140" s="14" t="str">
        <f aca="false">IF(OR(AE140=0,T140=""),"",AY140*HoursPerDay-T140)</f>
        <v/>
      </c>
      <c r="AC140" s="13" t="str">
        <f aca="false">IF(AE140=0,"",BA140)</f>
        <v/>
      </c>
      <c r="AD140" s="13"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3" t="n">
        <f aca="false">IF(OR(LEN($A140&amp;$B140)=0,$F140=""),0,1)</f>
        <v>0</v>
      </c>
      <c r="AF140" s="11" t="str">
        <f aca="false">IF(AE140=0,"",IF($J140&lt;&gt;"",$J140,IF(OR(CasualCounts="Yes",COUNT($G140:$I140)=0,COUNT($G140:$H140)=0),$F140,MIN($G140:$H140))))</f>
        <v/>
      </c>
      <c r="AG140" s="13" t="str">
        <f aca="false">IF(AE140=0,"",COUNT($G140:$I140))</f>
        <v/>
      </c>
      <c r="AH140" s="11" t="str">
        <f aca="false">IF(AE140=0,"",IFERROR(SMALL($G140:$I140,1),""))</f>
        <v/>
      </c>
      <c r="AI140" s="11" t="str">
        <f aca="false">IF(AE140=0,"",IFERROR(SMALL($G140:$I140,2),""))</f>
        <v/>
      </c>
      <c r="AJ140" s="11" t="str">
        <f aca="false">IF(AE140=0,"",IFERROR(SMALL($G140:$I140,3),""))</f>
        <v/>
      </c>
      <c r="AK140" s="13" t="str">
        <f aca="false">IF(AE140=0,"",IF(AH140="","",IF(AH140=$G140,"Part-Time",IF(AH140=$H140,"Full-Time","Casual"))))</f>
        <v/>
      </c>
      <c r="AL140" s="13" t="str">
        <f aca="false">IF(AE140=0,"",IF(AI140="","",IF(AI140=$G140,"Part-Time",IF(AI140=$H140,"Full-Time","Casual"))))</f>
        <v/>
      </c>
      <c r="AM140" s="13" t="str">
        <f aca="false">IF(AE140=0,"",IF(AJ140="","",IF(AJ140=$G140,"Part-Time",IF(AJ140=$H140,"Full-Time","Casual"))))</f>
        <v/>
      </c>
      <c r="AN140" s="13"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3" t="str">
        <f aca="false">IF(AE140=0,"",IF(AG140&lt;2,"",IF(OR(ISNUMBER(SEARCH("full",AL140)),UPPER(TRIM(AL140))="FT",UPPER(TRIM(AL140))="FTE"),"FT",IF(AND(OR(ISNUMBER(SEARCH("part",AL140)),UPPER(TRIM(AL140))="PT",UPPER(TRIM(AL140))="PTE"),OR($P140="",N($P140)&gt;=PT_MinHours)),"PT","None"))))</f>
        <v/>
      </c>
      <c r="AP140" s="13" t="str">
        <f aca="false">IF(AE140=0,"",IF(AG140&lt;3,"",IF(OR(ISNUMBER(SEARCH("full",AM140)),UPPER(TRIM(AM140))="FT",UPPER(TRIM(AM140))="FTE"),"FT",IF(AND(OR(ISNUMBER(SEARCH("part",AM140)),UPPER(TRIM(AM140))="PT",UPPER(TRIM(AM140))="PTE"),OR($P140="",N($P140)&gt;=PT_MinHours)),"PT","None"))))</f>
        <v/>
      </c>
      <c r="AQ140" s="13" t="str">
        <f aca="false">IF(AE140=0,"",IF(AND(AG140&gt;=3,AJ140&lt;=AsOfDate),AP140,IF(AND(AG140&gt;=2,AI140&lt;=AsOfDate),AO140,AN140)))</f>
        <v/>
      </c>
      <c r="AR140" s="13" t="str">
        <f aca="false">IF(AE140=0,"",IF(AsOfDate&lt;AF140,-1,12*(YEAR(AsOfDate)-YEAR(AF140))+MONTH(AsOfDate)-MONTH(AF140)-IF(DAY(AsOfDate)&lt;MIN(DAY(AF140),DAY(EOMONTH(AsOfDate,0))),1,0)))</f>
        <v/>
      </c>
      <c r="AS140" s="13" t="str">
        <f aca="false">IF(AE140=0,"",IF(OR(AG140&lt;2,AI140&gt;AsOfDate),AR140,IF((AI140-1)&lt;AF140,-1,12*(YEAR((AI140-1))-YEAR(AF140))+MONTH((AI140-1))-MONTH(AF140)-IF(DAY((AI140-1))&lt;MIN(DAY(AF140),DAY(EOMONTH((AI140-1),0))),1,0))))</f>
        <v/>
      </c>
      <c r="AT140" s="13" t="str">
        <f aca="false">IF(AE140=0,"",IF(OR(AG140&lt;3,AJ140&gt;AsOfDate),AR140,IF((AJ140-1)&lt;AF140,-1,12*(YEAR((AJ140-1))-YEAR(AF140))+MONTH((AJ140-1))-MONTH(AF140)-IF(DAY((AJ140-1))&lt;MIN(DAY(AF140),DAY(EOMONTH((AJ140-1),0))),1,0))))</f>
        <v/>
      </c>
      <c r="AU140" s="13" t="str">
        <f aca="false">IF(AE140=0,"",IF(PFYDate&lt;AF140,-1,12*(YEAR(PFYDate)-YEAR(AF140))+MONTH(PFYDate)-MONTH(AF140)-IF(DAY(PFYDate)&lt;MIN(DAY(AF140),DAY(EOMONTH(PFYDate,0))),1,0)))</f>
        <v/>
      </c>
      <c r="AV140" s="13" t="str">
        <f aca="false">IF(AE140=0,"",IF(OR(AG140&lt;2,AI140&gt;PFYDate),AU140,IF((AI140-1)&lt;AF140,-1,12*(YEAR((AI140-1))-YEAR(AF140))+MONTH((AI140-1))-MONTH(AF140)-IF(DAY((AI140-1))&lt;MIN(DAY(AF140),DAY(EOMONTH((AI140-1),0))),1,0))))</f>
        <v/>
      </c>
      <c r="AW140" s="13" t="str">
        <f aca="false">IF(AE140=0,"",IF(OR(AG140&lt;3,AJ140&gt;PFYDate),AU140,IF((AJ140-1)&lt;AF140,-1,12*(YEAR((AJ140-1))-YEAR(AF140))+MONTH((AJ140-1))-MONTH(AF140)-IF(DAY((AJ140-1))&lt;MIN(DAY(AF140),DAY(EOMONTH((AJ140-1),0))),1,0))))</f>
        <v/>
      </c>
      <c r="AX140" s="13"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3"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3" t="str">
        <f aca="false">IF(AE140=0,"",IF(AQ140="FT",IF(AR140&lt;FT_First,FT_First,IF(AR140&lt;FT_Y5,MIN(FT_Y5,FT_First+FT_Int1*(INT((AR140-FT_First)/FT_Int1)+1)),FT_Y5+12*INT((AR140-FT_Y5)/12)+FT_Int2*(INT(MOD(AR140-FT_Y5,12)/FT_Int2)+1))),IF(AQ140="PT",IF(AR140&lt;PT_First,PT_First,PT_First+PT_Int*(INT((AR140-PT_First)/PT_Int)+1)),"")))</f>
        <v/>
      </c>
      <c r="BA140" s="13" t="str">
        <f aca="false">IF(AE140=0,"",IF(NOT(LH_Ready),0,COUNTIFS(INDEX(LH_Data,0,LH_ColFirst),$A140,INDEX(LH_Data,0,LH_ColSur),$B140,INDEX(LH_Data,0,LH_ColCat),BonusCat)))</f>
        <v/>
      </c>
      <c r="BB140" s="13" t="str">
        <f aca="false">IF(AE140=0,"",IF(OR(NOT(LH_Ready),BA140=0),0,SUMPRODUCT(MAX((INDEX(LH_Data,0,LH_ColFirst)=$A140)*(INDEX(LH_Data,0,LH_ColSur)=$B140)*(INDEX(LH_Data,0,LH_ColCat)=BonusCat)*ROW(LH_Data)))))</f>
        <v/>
      </c>
      <c r="BC140" s="0" t="str">
        <f aca="false">IF(LEN($A140&amp;$B140)=0,"",$A140&amp;" "&amp;$B140)</f>
        <v/>
      </c>
    </row>
    <row r="141" customFormat="false" ht="15" hidden="false" customHeight="false" outlineLevel="0" collapsed="false">
      <c r="A141" s="9"/>
      <c r="B141" s="9"/>
      <c r="C141" s="9"/>
      <c r="D141" s="10"/>
      <c r="E141" s="11" t="str">
        <f aca="false">IF(OR(AE141=0,$D141=""),"",DATE(YEAR(AsOfDate)+IF(DATE(YEAR(AsOfDate),MONTH($D141),DAY($D141))&lt;=AsOfDate,1,0),MONTH($D141),DAY($D141)))</f>
        <v/>
      </c>
      <c r="F141" s="10"/>
      <c r="G141" s="10"/>
      <c r="H141" s="10"/>
      <c r="I141" s="10"/>
      <c r="J141" s="10"/>
      <c r="K141" s="11" t="str">
        <f aca="false">IF(AE141=0,"",DATE(YEAR(AsOfDate)+IF(DATE(YEAR(AsOfDate),MONTH(AF141),DAY(AF141))&lt;=AsOfDate,1,0),MONTH(AF141),DAY(AF141)))</f>
        <v/>
      </c>
      <c r="L141" s="12" t="str">
        <f aca="false">IF(AE141=0,"",ROUND((AsOfDate-AF141)/365.25,1))</f>
        <v/>
      </c>
      <c r="M141" s="13" t="str">
        <f aca="false">IF(AE141=0,"",IF(AsOfDate&lt;AF141,"-",DATEDIF(AF141,AsOfDate,"y")&amp;"y "&amp;DATEDIF(AF141,AsOfDate,"ym")&amp;"m "&amp;DATEDIF(AF141,AsOfDate,"md")&amp;"d"))</f>
        <v/>
      </c>
      <c r="N141" s="14" t="str">
        <f aca="false">IF(AE141=0,"",O141*HoursPerDay)</f>
        <v/>
      </c>
      <c r="O141" s="14" t="str">
        <f aca="false">IF(AE141=0,"",AX141)</f>
        <v/>
      </c>
      <c r="P141" s="15"/>
      <c r="Q141" s="13"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13"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1" t="str">
        <f aca="false">IF(AE141=0,"",IF(AQ141="None","",EDATE(AF141,AZ141)))</f>
        <v/>
      </c>
      <c r="T141" s="14" t="str">
        <f aca="false">IF(AE141=0,"",IF(NOT(LH_Ready),"",IF(AF141&gt;PFYDate,0,IF(LH_ColPeriod=0,W141-U141+V141,SUMIFS(INDEX(LH_Data,0,LH_ColAcc),INDEX(LH_Data,0,LH_ColFirst),$A141,INDEX(LH_Data,0,LH_ColSur),$B141,INDEX(LH_Data,0,LH_ColCat),BonusCat,INDEX(LH_Data,0,LH_ColPeriod),LH_OpenLabel)*UnitFactor))))</f>
        <v/>
      </c>
      <c r="U141" s="14" t="str">
        <f aca="false">IF(AE141=0,"",IF(NOT(LH_Ready),"",SUMIFS(INDEX(LH_Data,0,LH_ColAcc),INDEX(LH_Data,0,LH_ColFirst),$A141,INDEX(LH_Data,0,LH_ColSur),$B141,INDEX(LH_Data,0,LH_ColCat),BonusCat,INDEX(LH_Data,0,LH_ColStart),"&gt;="&amp;AF141)*UnitFactor))</f>
        <v/>
      </c>
      <c r="V141" s="14" t="str">
        <f aca="false">IF(AE141=0,"",IF(NOT(LH_Ready),"",SUMIFS(INDEX(LH_Data,0,LH_ColTaken),INDEX(LH_Data,0,LH_ColFirst),$A141,INDEX(LH_Data,0,LH_ColSur),$B141,INDEX(LH_Data,0,LH_ColCat),BonusCat,INDEX(LH_Data,0,LH_ColStart),"&gt;="&amp;AF141)*UnitFactor))</f>
        <v/>
      </c>
      <c r="W141" s="14" t="str">
        <f aca="false">IF(AE141=0,"",IF(NOT(LH_Ready),"",IF(BB141=0,0,INDEX(INDEX(LH_Data,0,LH_ColClose),BB141-1)*UnitFactor)))</f>
        <v/>
      </c>
      <c r="X141" s="14" t="str">
        <f aca="false">IF(AE141=0,"",(AX141-AY141)*HoursPerDay)</f>
        <v/>
      </c>
      <c r="Y141" s="14" t="str">
        <f aca="false">IF(AE141=0,"",IF(NOT(LH_Ready),"",IF(BA141=0,N141,IF(PFYDate&lt;$F141,N141-N(T141)-N(U141),X141-N(U141)))))</f>
        <v/>
      </c>
      <c r="Z141" s="13" t="str">
        <f aca="false">IF(OR(AE141=0,Y141=""),"",IF(Y141&gt;0,"Yes","No"))</f>
        <v/>
      </c>
      <c r="AA141" s="13"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 hrs more than policy since commencement",IF(N(W141)&gt;O141*HoursPerDay+0.01,"CHECK - EH balance "&amp;ROUND(W141-O141*HoursPerDay,2)&amp;" hrs more than policy entitlement",IF(O141&gt;0,"OK - nothing to add",IF(AQ141="None",R141,"Not yet - first day on "&amp;TEXT(S141,"dd/mm/yyyy")))))))))</f>
        <v/>
      </c>
      <c r="AB141" s="14" t="str">
        <f aca="false">IF(OR(AE141=0,T141=""),"",AY141*HoursPerDay-T141)</f>
        <v/>
      </c>
      <c r="AC141" s="13" t="str">
        <f aca="false">IF(AE141=0,"",BA141)</f>
        <v/>
      </c>
      <c r="AD141" s="13"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3" t="n">
        <f aca="false">IF(OR(LEN($A141&amp;$B141)=0,$F141=""),0,1)</f>
        <v>0</v>
      </c>
      <c r="AF141" s="11" t="str">
        <f aca="false">IF(AE141=0,"",IF($J141&lt;&gt;"",$J141,IF(OR(CasualCounts="Yes",COUNT($G141:$I141)=0,COUNT($G141:$H141)=0),$F141,MIN($G141:$H141))))</f>
        <v/>
      </c>
      <c r="AG141" s="13" t="str">
        <f aca="false">IF(AE141=0,"",COUNT($G141:$I141))</f>
        <v/>
      </c>
      <c r="AH141" s="11" t="str">
        <f aca="false">IF(AE141=0,"",IFERROR(SMALL($G141:$I141,1),""))</f>
        <v/>
      </c>
      <c r="AI141" s="11" t="str">
        <f aca="false">IF(AE141=0,"",IFERROR(SMALL($G141:$I141,2),""))</f>
        <v/>
      </c>
      <c r="AJ141" s="11" t="str">
        <f aca="false">IF(AE141=0,"",IFERROR(SMALL($G141:$I141,3),""))</f>
        <v/>
      </c>
      <c r="AK141" s="13" t="str">
        <f aca="false">IF(AE141=0,"",IF(AH141="","",IF(AH141=$G141,"Part-Time",IF(AH141=$H141,"Full-Time","Casual"))))</f>
        <v/>
      </c>
      <c r="AL141" s="13" t="str">
        <f aca="false">IF(AE141=0,"",IF(AI141="","",IF(AI141=$G141,"Part-Time",IF(AI141=$H141,"Full-Time","Casual"))))</f>
        <v/>
      </c>
      <c r="AM141" s="13" t="str">
        <f aca="false">IF(AE141=0,"",IF(AJ141="","",IF(AJ141=$G141,"Part-Time",IF(AJ141=$H141,"Full-Time","Casual"))))</f>
        <v/>
      </c>
      <c r="AN141" s="13"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3" t="str">
        <f aca="false">IF(AE141=0,"",IF(AG141&lt;2,"",IF(OR(ISNUMBER(SEARCH("full",AL141)),UPPER(TRIM(AL141))="FT",UPPER(TRIM(AL141))="FTE"),"FT",IF(AND(OR(ISNUMBER(SEARCH("part",AL141)),UPPER(TRIM(AL141))="PT",UPPER(TRIM(AL141))="PTE"),OR($P141="",N($P141)&gt;=PT_MinHours)),"PT","None"))))</f>
        <v/>
      </c>
      <c r="AP141" s="13" t="str">
        <f aca="false">IF(AE141=0,"",IF(AG141&lt;3,"",IF(OR(ISNUMBER(SEARCH("full",AM141)),UPPER(TRIM(AM141))="FT",UPPER(TRIM(AM141))="FTE"),"FT",IF(AND(OR(ISNUMBER(SEARCH("part",AM141)),UPPER(TRIM(AM141))="PT",UPPER(TRIM(AM141))="PTE"),OR($P141="",N($P141)&gt;=PT_MinHours)),"PT","None"))))</f>
        <v/>
      </c>
      <c r="AQ141" s="13" t="str">
        <f aca="false">IF(AE141=0,"",IF(AND(AG141&gt;=3,AJ141&lt;=AsOfDate),AP141,IF(AND(AG141&gt;=2,AI141&lt;=AsOfDate),AO141,AN141)))</f>
        <v/>
      </c>
      <c r="AR141" s="13" t="str">
        <f aca="false">IF(AE141=0,"",IF(AsOfDate&lt;AF141,-1,12*(YEAR(AsOfDate)-YEAR(AF141))+MONTH(AsOfDate)-MONTH(AF141)-IF(DAY(AsOfDate)&lt;MIN(DAY(AF141),DAY(EOMONTH(AsOfDate,0))),1,0)))</f>
        <v/>
      </c>
      <c r="AS141" s="13" t="str">
        <f aca="false">IF(AE141=0,"",IF(OR(AG141&lt;2,AI141&gt;AsOfDate),AR141,IF((AI141-1)&lt;AF141,-1,12*(YEAR((AI141-1))-YEAR(AF141))+MONTH((AI141-1))-MONTH(AF141)-IF(DAY((AI141-1))&lt;MIN(DAY(AF141),DAY(EOMONTH((AI141-1),0))),1,0))))</f>
        <v/>
      </c>
      <c r="AT141" s="13" t="str">
        <f aca="false">IF(AE141=0,"",IF(OR(AG141&lt;3,AJ141&gt;AsOfDate),AR141,IF((AJ141-1)&lt;AF141,-1,12*(YEAR((AJ141-1))-YEAR(AF141))+MONTH((AJ141-1))-MONTH(AF141)-IF(DAY((AJ141-1))&lt;MIN(DAY(AF141),DAY(EOMONTH((AJ141-1),0))),1,0))))</f>
        <v/>
      </c>
      <c r="AU141" s="13" t="str">
        <f aca="false">IF(AE141=0,"",IF(PFYDate&lt;AF141,-1,12*(YEAR(PFYDate)-YEAR(AF141))+MONTH(PFYDate)-MONTH(AF141)-IF(DAY(PFYDate)&lt;MIN(DAY(AF141),DAY(EOMONTH(PFYDate,0))),1,0)))</f>
        <v/>
      </c>
      <c r="AV141" s="13" t="str">
        <f aca="false">IF(AE141=0,"",IF(OR(AG141&lt;2,AI141&gt;PFYDate),AU141,IF((AI141-1)&lt;AF141,-1,12*(YEAR((AI141-1))-YEAR(AF141))+MONTH((AI141-1))-MONTH(AF141)-IF(DAY((AI141-1))&lt;MIN(DAY(AF141),DAY(EOMONTH((AI141-1),0))),1,0))))</f>
        <v/>
      </c>
      <c r="AW141" s="13" t="str">
        <f aca="false">IF(AE141=0,"",IF(OR(AG141&lt;3,AJ141&gt;PFYDate),AU141,IF((AJ141-1)&lt;AF141,-1,12*(YEAR((AJ141-1))-YEAR(AF141))+MONTH((AJ141-1))-MONTH(AF141)-IF(DAY((AJ141-1))&lt;MIN(DAY(AF141),DAY(EOMONTH((AJ141-1),0))),1,0))))</f>
        <v/>
      </c>
      <c r="AX141" s="13"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3"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3" t="str">
        <f aca="false">IF(AE141=0,"",IF(AQ141="FT",IF(AR141&lt;FT_First,FT_First,IF(AR141&lt;FT_Y5,MIN(FT_Y5,FT_First+FT_Int1*(INT((AR141-FT_First)/FT_Int1)+1)),FT_Y5+12*INT((AR141-FT_Y5)/12)+FT_Int2*(INT(MOD(AR141-FT_Y5,12)/FT_Int2)+1))),IF(AQ141="PT",IF(AR141&lt;PT_First,PT_First,PT_First+PT_Int*(INT((AR141-PT_First)/PT_Int)+1)),"")))</f>
        <v/>
      </c>
      <c r="BA141" s="13" t="str">
        <f aca="false">IF(AE141=0,"",IF(NOT(LH_Ready),0,COUNTIFS(INDEX(LH_Data,0,LH_ColFirst),$A141,INDEX(LH_Data,0,LH_ColSur),$B141,INDEX(LH_Data,0,LH_ColCat),BonusCat)))</f>
        <v/>
      </c>
      <c r="BB141" s="13" t="str">
        <f aca="false">IF(AE141=0,"",IF(OR(NOT(LH_Ready),BA141=0),0,SUMPRODUCT(MAX((INDEX(LH_Data,0,LH_ColFirst)=$A141)*(INDEX(LH_Data,0,LH_ColSur)=$B141)*(INDEX(LH_Data,0,LH_ColCat)=BonusCat)*ROW(LH_Data)))))</f>
        <v/>
      </c>
      <c r="BC141" s="0" t="str">
        <f aca="false">IF(LEN($A141&amp;$B141)=0,"",$A141&amp;" "&amp;$B141)</f>
        <v/>
      </c>
    </row>
    <row r="142" customFormat="false" ht="15" hidden="false" customHeight="false" outlineLevel="0" collapsed="false">
      <c r="A142" s="9"/>
      <c r="B142" s="9"/>
      <c r="C142" s="9"/>
      <c r="D142" s="10"/>
      <c r="E142" s="11" t="str">
        <f aca="false">IF(OR(AE142=0,$D142=""),"",DATE(YEAR(AsOfDate)+IF(DATE(YEAR(AsOfDate),MONTH($D142),DAY($D142))&lt;=AsOfDate,1,0),MONTH($D142),DAY($D142)))</f>
        <v/>
      </c>
      <c r="F142" s="10"/>
      <c r="G142" s="10"/>
      <c r="H142" s="10"/>
      <c r="I142" s="10"/>
      <c r="J142" s="10"/>
      <c r="K142" s="11" t="str">
        <f aca="false">IF(AE142=0,"",DATE(YEAR(AsOfDate)+IF(DATE(YEAR(AsOfDate),MONTH(AF142),DAY(AF142))&lt;=AsOfDate,1,0),MONTH(AF142),DAY(AF142)))</f>
        <v/>
      </c>
      <c r="L142" s="12" t="str">
        <f aca="false">IF(AE142=0,"",ROUND((AsOfDate-AF142)/365.25,1))</f>
        <v/>
      </c>
      <c r="M142" s="13" t="str">
        <f aca="false">IF(AE142=0,"",IF(AsOfDate&lt;AF142,"-",DATEDIF(AF142,AsOfDate,"y")&amp;"y "&amp;DATEDIF(AF142,AsOfDate,"ym")&amp;"m "&amp;DATEDIF(AF142,AsOfDate,"md")&amp;"d"))</f>
        <v/>
      </c>
      <c r="N142" s="14" t="str">
        <f aca="false">IF(AE142=0,"",O142*HoursPerDay)</f>
        <v/>
      </c>
      <c r="O142" s="14" t="str">
        <f aca="false">IF(AE142=0,"",AX142)</f>
        <v/>
      </c>
      <c r="P142" s="15"/>
      <c r="Q142" s="13"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13"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1" t="str">
        <f aca="false">IF(AE142=0,"",IF(AQ142="None","",EDATE(AF142,AZ142)))</f>
        <v/>
      </c>
      <c r="T142" s="14" t="str">
        <f aca="false">IF(AE142=0,"",IF(NOT(LH_Ready),"",IF(AF142&gt;PFYDate,0,IF(LH_ColPeriod=0,W142-U142+V142,SUMIFS(INDEX(LH_Data,0,LH_ColAcc),INDEX(LH_Data,0,LH_ColFirst),$A142,INDEX(LH_Data,0,LH_ColSur),$B142,INDEX(LH_Data,0,LH_ColCat),BonusCat,INDEX(LH_Data,0,LH_ColPeriod),LH_OpenLabel)*UnitFactor))))</f>
        <v/>
      </c>
      <c r="U142" s="14" t="str">
        <f aca="false">IF(AE142=0,"",IF(NOT(LH_Ready),"",SUMIFS(INDEX(LH_Data,0,LH_ColAcc),INDEX(LH_Data,0,LH_ColFirst),$A142,INDEX(LH_Data,0,LH_ColSur),$B142,INDEX(LH_Data,0,LH_ColCat),BonusCat,INDEX(LH_Data,0,LH_ColStart),"&gt;="&amp;AF142)*UnitFactor))</f>
        <v/>
      </c>
      <c r="V142" s="14" t="str">
        <f aca="false">IF(AE142=0,"",IF(NOT(LH_Ready),"",SUMIFS(INDEX(LH_Data,0,LH_ColTaken),INDEX(LH_Data,0,LH_ColFirst),$A142,INDEX(LH_Data,0,LH_ColSur),$B142,INDEX(LH_Data,0,LH_ColCat),BonusCat,INDEX(LH_Data,0,LH_ColStart),"&gt;="&amp;AF142)*UnitFactor))</f>
        <v/>
      </c>
      <c r="W142" s="14" t="str">
        <f aca="false">IF(AE142=0,"",IF(NOT(LH_Ready),"",IF(BB142=0,0,INDEX(INDEX(LH_Data,0,LH_ColClose),BB142-1)*UnitFactor)))</f>
        <v/>
      </c>
      <c r="X142" s="14" t="str">
        <f aca="false">IF(AE142=0,"",(AX142-AY142)*HoursPerDay)</f>
        <v/>
      </c>
      <c r="Y142" s="14" t="str">
        <f aca="false">IF(AE142=0,"",IF(NOT(LH_Ready),"",IF(BA142=0,N142,IF(PFYDate&lt;$F142,N142-N(T142)-N(U142),X142-N(U142)))))</f>
        <v/>
      </c>
      <c r="Z142" s="13" t="str">
        <f aca="false">IF(OR(AE142=0,Y142=""),"",IF(Y142&gt;0,"Yes","No"))</f>
        <v/>
      </c>
      <c r="AA142" s="13"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 hrs more than policy since commencement",IF(N(W142)&gt;O142*HoursPerDay+0.01,"CHECK - EH balance "&amp;ROUND(W142-O142*HoursPerDay,2)&amp;" hrs more than policy entitlement",IF(O142&gt;0,"OK - nothing to add",IF(AQ142="None",R142,"Not yet - first day on "&amp;TEXT(S142,"dd/mm/yyyy")))))))))</f>
        <v/>
      </c>
      <c r="AB142" s="14" t="str">
        <f aca="false">IF(OR(AE142=0,T142=""),"",AY142*HoursPerDay-T142)</f>
        <v/>
      </c>
      <c r="AC142" s="13" t="str">
        <f aca="false">IF(AE142=0,"",BA142)</f>
        <v/>
      </c>
      <c r="AD142" s="13"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3" t="n">
        <f aca="false">IF(OR(LEN($A142&amp;$B142)=0,$F142=""),0,1)</f>
        <v>0</v>
      </c>
      <c r="AF142" s="11" t="str">
        <f aca="false">IF(AE142=0,"",IF($J142&lt;&gt;"",$J142,IF(OR(CasualCounts="Yes",COUNT($G142:$I142)=0,COUNT($G142:$H142)=0),$F142,MIN($G142:$H142))))</f>
        <v/>
      </c>
      <c r="AG142" s="13" t="str">
        <f aca="false">IF(AE142=0,"",COUNT($G142:$I142))</f>
        <v/>
      </c>
      <c r="AH142" s="11" t="str">
        <f aca="false">IF(AE142=0,"",IFERROR(SMALL($G142:$I142,1),""))</f>
        <v/>
      </c>
      <c r="AI142" s="11" t="str">
        <f aca="false">IF(AE142=0,"",IFERROR(SMALL($G142:$I142,2),""))</f>
        <v/>
      </c>
      <c r="AJ142" s="11" t="str">
        <f aca="false">IF(AE142=0,"",IFERROR(SMALL($G142:$I142,3),""))</f>
        <v/>
      </c>
      <c r="AK142" s="13" t="str">
        <f aca="false">IF(AE142=0,"",IF(AH142="","",IF(AH142=$G142,"Part-Time",IF(AH142=$H142,"Full-Time","Casual"))))</f>
        <v/>
      </c>
      <c r="AL142" s="13" t="str">
        <f aca="false">IF(AE142=0,"",IF(AI142="","",IF(AI142=$G142,"Part-Time",IF(AI142=$H142,"Full-Time","Casual"))))</f>
        <v/>
      </c>
      <c r="AM142" s="13" t="str">
        <f aca="false">IF(AE142=0,"",IF(AJ142="","",IF(AJ142=$G142,"Part-Time",IF(AJ142=$H142,"Full-Time","Casual"))))</f>
        <v/>
      </c>
      <c r="AN142" s="13"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3" t="str">
        <f aca="false">IF(AE142=0,"",IF(AG142&lt;2,"",IF(OR(ISNUMBER(SEARCH("full",AL142)),UPPER(TRIM(AL142))="FT",UPPER(TRIM(AL142))="FTE"),"FT",IF(AND(OR(ISNUMBER(SEARCH("part",AL142)),UPPER(TRIM(AL142))="PT",UPPER(TRIM(AL142))="PTE"),OR($P142="",N($P142)&gt;=PT_MinHours)),"PT","None"))))</f>
        <v/>
      </c>
      <c r="AP142" s="13" t="str">
        <f aca="false">IF(AE142=0,"",IF(AG142&lt;3,"",IF(OR(ISNUMBER(SEARCH("full",AM142)),UPPER(TRIM(AM142))="FT",UPPER(TRIM(AM142))="FTE"),"FT",IF(AND(OR(ISNUMBER(SEARCH("part",AM142)),UPPER(TRIM(AM142))="PT",UPPER(TRIM(AM142))="PTE"),OR($P142="",N($P142)&gt;=PT_MinHours)),"PT","None"))))</f>
        <v/>
      </c>
      <c r="AQ142" s="13" t="str">
        <f aca="false">IF(AE142=0,"",IF(AND(AG142&gt;=3,AJ142&lt;=AsOfDate),AP142,IF(AND(AG142&gt;=2,AI142&lt;=AsOfDate),AO142,AN142)))</f>
        <v/>
      </c>
      <c r="AR142" s="13" t="str">
        <f aca="false">IF(AE142=0,"",IF(AsOfDate&lt;AF142,-1,12*(YEAR(AsOfDate)-YEAR(AF142))+MONTH(AsOfDate)-MONTH(AF142)-IF(DAY(AsOfDate)&lt;MIN(DAY(AF142),DAY(EOMONTH(AsOfDate,0))),1,0)))</f>
        <v/>
      </c>
      <c r="AS142" s="13" t="str">
        <f aca="false">IF(AE142=0,"",IF(OR(AG142&lt;2,AI142&gt;AsOfDate),AR142,IF((AI142-1)&lt;AF142,-1,12*(YEAR((AI142-1))-YEAR(AF142))+MONTH((AI142-1))-MONTH(AF142)-IF(DAY((AI142-1))&lt;MIN(DAY(AF142),DAY(EOMONTH((AI142-1),0))),1,0))))</f>
        <v/>
      </c>
      <c r="AT142" s="13" t="str">
        <f aca="false">IF(AE142=0,"",IF(OR(AG142&lt;3,AJ142&gt;AsOfDate),AR142,IF((AJ142-1)&lt;AF142,-1,12*(YEAR((AJ142-1))-YEAR(AF142))+MONTH((AJ142-1))-MONTH(AF142)-IF(DAY((AJ142-1))&lt;MIN(DAY(AF142),DAY(EOMONTH((AJ142-1),0))),1,0))))</f>
        <v/>
      </c>
      <c r="AU142" s="13" t="str">
        <f aca="false">IF(AE142=0,"",IF(PFYDate&lt;AF142,-1,12*(YEAR(PFYDate)-YEAR(AF142))+MONTH(PFYDate)-MONTH(AF142)-IF(DAY(PFYDate)&lt;MIN(DAY(AF142),DAY(EOMONTH(PFYDate,0))),1,0)))</f>
        <v/>
      </c>
      <c r="AV142" s="13" t="str">
        <f aca="false">IF(AE142=0,"",IF(OR(AG142&lt;2,AI142&gt;PFYDate),AU142,IF((AI142-1)&lt;AF142,-1,12*(YEAR((AI142-1))-YEAR(AF142))+MONTH((AI142-1))-MONTH(AF142)-IF(DAY((AI142-1))&lt;MIN(DAY(AF142),DAY(EOMONTH((AI142-1),0))),1,0))))</f>
        <v/>
      </c>
      <c r="AW142" s="13" t="str">
        <f aca="false">IF(AE142=0,"",IF(OR(AG142&lt;3,AJ142&gt;PFYDate),AU142,IF((AJ142-1)&lt;AF142,-1,12*(YEAR((AJ142-1))-YEAR(AF142))+MONTH((AJ142-1))-MONTH(AF142)-IF(DAY((AJ142-1))&lt;MIN(DAY(AF142),DAY(EOMONTH((AJ142-1),0))),1,0))))</f>
        <v/>
      </c>
      <c r="AX142" s="13"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3"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3" t="str">
        <f aca="false">IF(AE142=0,"",IF(AQ142="FT",IF(AR142&lt;FT_First,FT_First,IF(AR142&lt;FT_Y5,MIN(FT_Y5,FT_First+FT_Int1*(INT((AR142-FT_First)/FT_Int1)+1)),FT_Y5+12*INT((AR142-FT_Y5)/12)+FT_Int2*(INT(MOD(AR142-FT_Y5,12)/FT_Int2)+1))),IF(AQ142="PT",IF(AR142&lt;PT_First,PT_First,PT_First+PT_Int*(INT((AR142-PT_First)/PT_Int)+1)),"")))</f>
        <v/>
      </c>
      <c r="BA142" s="13" t="str">
        <f aca="false">IF(AE142=0,"",IF(NOT(LH_Ready),0,COUNTIFS(INDEX(LH_Data,0,LH_ColFirst),$A142,INDEX(LH_Data,0,LH_ColSur),$B142,INDEX(LH_Data,0,LH_ColCat),BonusCat)))</f>
        <v/>
      </c>
      <c r="BB142" s="13" t="str">
        <f aca="false">IF(AE142=0,"",IF(OR(NOT(LH_Ready),BA142=0),0,SUMPRODUCT(MAX((INDEX(LH_Data,0,LH_ColFirst)=$A142)*(INDEX(LH_Data,0,LH_ColSur)=$B142)*(INDEX(LH_Data,0,LH_ColCat)=BonusCat)*ROW(LH_Data)))))</f>
        <v/>
      </c>
      <c r="BC142" s="0" t="str">
        <f aca="false">IF(LEN($A142&amp;$B142)=0,"",$A142&amp;" "&amp;$B142)</f>
        <v/>
      </c>
    </row>
    <row r="143" customFormat="false" ht="15" hidden="false" customHeight="false" outlineLevel="0" collapsed="false">
      <c r="A143" s="9"/>
      <c r="B143" s="9"/>
      <c r="C143" s="9"/>
      <c r="D143" s="10"/>
      <c r="E143" s="11" t="str">
        <f aca="false">IF(OR(AE143=0,$D143=""),"",DATE(YEAR(AsOfDate)+IF(DATE(YEAR(AsOfDate),MONTH($D143),DAY($D143))&lt;=AsOfDate,1,0),MONTH($D143),DAY($D143)))</f>
        <v/>
      </c>
      <c r="F143" s="10"/>
      <c r="G143" s="10"/>
      <c r="H143" s="10"/>
      <c r="I143" s="10"/>
      <c r="J143" s="10"/>
      <c r="K143" s="11" t="str">
        <f aca="false">IF(AE143=0,"",DATE(YEAR(AsOfDate)+IF(DATE(YEAR(AsOfDate),MONTH(AF143),DAY(AF143))&lt;=AsOfDate,1,0),MONTH(AF143),DAY(AF143)))</f>
        <v/>
      </c>
      <c r="L143" s="12" t="str">
        <f aca="false">IF(AE143=0,"",ROUND((AsOfDate-AF143)/365.25,1))</f>
        <v/>
      </c>
      <c r="M143" s="13" t="str">
        <f aca="false">IF(AE143=0,"",IF(AsOfDate&lt;AF143,"-",DATEDIF(AF143,AsOfDate,"y")&amp;"y "&amp;DATEDIF(AF143,AsOfDate,"ym")&amp;"m "&amp;DATEDIF(AF143,AsOfDate,"md")&amp;"d"))</f>
        <v/>
      </c>
      <c r="N143" s="14" t="str">
        <f aca="false">IF(AE143=0,"",O143*HoursPerDay)</f>
        <v/>
      </c>
      <c r="O143" s="14" t="str">
        <f aca="false">IF(AE143=0,"",AX143)</f>
        <v/>
      </c>
      <c r="P143" s="15"/>
      <c r="Q143" s="13"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13"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1" t="str">
        <f aca="false">IF(AE143=0,"",IF(AQ143="None","",EDATE(AF143,AZ143)))</f>
        <v/>
      </c>
      <c r="T143" s="14" t="str">
        <f aca="false">IF(AE143=0,"",IF(NOT(LH_Ready),"",IF(AF143&gt;PFYDate,0,IF(LH_ColPeriod=0,W143-U143+V143,SUMIFS(INDEX(LH_Data,0,LH_ColAcc),INDEX(LH_Data,0,LH_ColFirst),$A143,INDEX(LH_Data,0,LH_ColSur),$B143,INDEX(LH_Data,0,LH_ColCat),BonusCat,INDEX(LH_Data,0,LH_ColPeriod),LH_OpenLabel)*UnitFactor))))</f>
        <v/>
      </c>
      <c r="U143" s="14" t="str">
        <f aca="false">IF(AE143=0,"",IF(NOT(LH_Ready),"",SUMIFS(INDEX(LH_Data,0,LH_ColAcc),INDEX(LH_Data,0,LH_ColFirst),$A143,INDEX(LH_Data,0,LH_ColSur),$B143,INDEX(LH_Data,0,LH_ColCat),BonusCat,INDEX(LH_Data,0,LH_ColStart),"&gt;="&amp;AF143)*UnitFactor))</f>
        <v/>
      </c>
      <c r="V143" s="14" t="str">
        <f aca="false">IF(AE143=0,"",IF(NOT(LH_Ready),"",SUMIFS(INDEX(LH_Data,0,LH_ColTaken),INDEX(LH_Data,0,LH_ColFirst),$A143,INDEX(LH_Data,0,LH_ColSur),$B143,INDEX(LH_Data,0,LH_ColCat),BonusCat,INDEX(LH_Data,0,LH_ColStart),"&gt;="&amp;AF143)*UnitFactor))</f>
        <v/>
      </c>
      <c r="W143" s="14" t="str">
        <f aca="false">IF(AE143=0,"",IF(NOT(LH_Ready),"",IF(BB143=0,0,INDEX(INDEX(LH_Data,0,LH_ColClose),BB143-1)*UnitFactor)))</f>
        <v/>
      </c>
      <c r="X143" s="14" t="str">
        <f aca="false">IF(AE143=0,"",(AX143-AY143)*HoursPerDay)</f>
        <v/>
      </c>
      <c r="Y143" s="14" t="str">
        <f aca="false">IF(AE143=0,"",IF(NOT(LH_Ready),"",IF(BA143=0,N143,IF(PFYDate&lt;$F143,N143-N(T143)-N(U143),X143-N(U143)))))</f>
        <v/>
      </c>
      <c r="Z143" s="13" t="str">
        <f aca="false">IF(OR(AE143=0,Y143=""),"",IF(Y143&gt;0,"Yes","No"))</f>
        <v/>
      </c>
      <c r="AA143" s="13"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 hrs more than policy since commencement",IF(N(W143)&gt;O143*HoursPerDay+0.01,"CHECK - EH balance "&amp;ROUND(W143-O143*HoursPerDay,2)&amp;" hrs more than policy entitlement",IF(O143&gt;0,"OK - nothing to add",IF(AQ143="None",R143,"Not yet - first day on "&amp;TEXT(S143,"dd/mm/yyyy")))))))))</f>
        <v/>
      </c>
      <c r="AB143" s="14" t="str">
        <f aca="false">IF(OR(AE143=0,T143=""),"",AY143*HoursPerDay-T143)</f>
        <v/>
      </c>
      <c r="AC143" s="13" t="str">
        <f aca="false">IF(AE143=0,"",BA143)</f>
        <v/>
      </c>
      <c r="AD143" s="13"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3" t="n">
        <f aca="false">IF(OR(LEN($A143&amp;$B143)=0,$F143=""),0,1)</f>
        <v>0</v>
      </c>
      <c r="AF143" s="11" t="str">
        <f aca="false">IF(AE143=0,"",IF($J143&lt;&gt;"",$J143,IF(OR(CasualCounts="Yes",COUNT($G143:$I143)=0,COUNT($G143:$H143)=0),$F143,MIN($G143:$H143))))</f>
        <v/>
      </c>
      <c r="AG143" s="13" t="str">
        <f aca="false">IF(AE143=0,"",COUNT($G143:$I143))</f>
        <v/>
      </c>
      <c r="AH143" s="11" t="str">
        <f aca="false">IF(AE143=0,"",IFERROR(SMALL($G143:$I143,1),""))</f>
        <v/>
      </c>
      <c r="AI143" s="11" t="str">
        <f aca="false">IF(AE143=0,"",IFERROR(SMALL($G143:$I143,2),""))</f>
        <v/>
      </c>
      <c r="AJ143" s="11" t="str">
        <f aca="false">IF(AE143=0,"",IFERROR(SMALL($G143:$I143,3),""))</f>
        <v/>
      </c>
      <c r="AK143" s="13" t="str">
        <f aca="false">IF(AE143=0,"",IF(AH143="","",IF(AH143=$G143,"Part-Time",IF(AH143=$H143,"Full-Time","Casual"))))</f>
        <v/>
      </c>
      <c r="AL143" s="13" t="str">
        <f aca="false">IF(AE143=0,"",IF(AI143="","",IF(AI143=$G143,"Part-Time",IF(AI143=$H143,"Full-Time","Casual"))))</f>
        <v/>
      </c>
      <c r="AM143" s="13" t="str">
        <f aca="false">IF(AE143=0,"",IF(AJ143="","",IF(AJ143=$G143,"Part-Time",IF(AJ143=$H143,"Full-Time","Casual"))))</f>
        <v/>
      </c>
      <c r="AN143" s="13"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3" t="str">
        <f aca="false">IF(AE143=0,"",IF(AG143&lt;2,"",IF(OR(ISNUMBER(SEARCH("full",AL143)),UPPER(TRIM(AL143))="FT",UPPER(TRIM(AL143))="FTE"),"FT",IF(AND(OR(ISNUMBER(SEARCH("part",AL143)),UPPER(TRIM(AL143))="PT",UPPER(TRIM(AL143))="PTE"),OR($P143="",N($P143)&gt;=PT_MinHours)),"PT","None"))))</f>
        <v/>
      </c>
      <c r="AP143" s="13" t="str">
        <f aca="false">IF(AE143=0,"",IF(AG143&lt;3,"",IF(OR(ISNUMBER(SEARCH("full",AM143)),UPPER(TRIM(AM143))="FT",UPPER(TRIM(AM143))="FTE"),"FT",IF(AND(OR(ISNUMBER(SEARCH("part",AM143)),UPPER(TRIM(AM143))="PT",UPPER(TRIM(AM143))="PTE"),OR($P143="",N($P143)&gt;=PT_MinHours)),"PT","None"))))</f>
        <v/>
      </c>
      <c r="AQ143" s="13" t="str">
        <f aca="false">IF(AE143=0,"",IF(AND(AG143&gt;=3,AJ143&lt;=AsOfDate),AP143,IF(AND(AG143&gt;=2,AI143&lt;=AsOfDate),AO143,AN143)))</f>
        <v/>
      </c>
      <c r="AR143" s="13" t="str">
        <f aca="false">IF(AE143=0,"",IF(AsOfDate&lt;AF143,-1,12*(YEAR(AsOfDate)-YEAR(AF143))+MONTH(AsOfDate)-MONTH(AF143)-IF(DAY(AsOfDate)&lt;MIN(DAY(AF143),DAY(EOMONTH(AsOfDate,0))),1,0)))</f>
        <v/>
      </c>
      <c r="AS143" s="13" t="str">
        <f aca="false">IF(AE143=0,"",IF(OR(AG143&lt;2,AI143&gt;AsOfDate),AR143,IF((AI143-1)&lt;AF143,-1,12*(YEAR((AI143-1))-YEAR(AF143))+MONTH((AI143-1))-MONTH(AF143)-IF(DAY((AI143-1))&lt;MIN(DAY(AF143),DAY(EOMONTH((AI143-1),0))),1,0))))</f>
        <v/>
      </c>
      <c r="AT143" s="13" t="str">
        <f aca="false">IF(AE143=0,"",IF(OR(AG143&lt;3,AJ143&gt;AsOfDate),AR143,IF((AJ143-1)&lt;AF143,-1,12*(YEAR((AJ143-1))-YEAR(AF143))+MONTH((AJ143-1))-MONTH(AF143)-IF(DAY((AJ143-1))&lt;MIN(DAY(AF143),DAY(EOMONTH((AJ143-1),0))),1,0))))</f>
        <v/>
      </c>
      <c r="AU143" s="13" t="str">
        <f aca="false">IF(AE143=0,"",IF(PFYDate&lt;AF143,-1,12*(YEAR(PFYDate)-YEAR(AF143))+MONTH(PFYDate)-MONTH(AF143)-IF(DAY(PFYDate)&lt;MIN(DAY(AF143),DAY(EOMONTH(PFYDate,0))),1,0)))</f>
        <v/>
      </c>
      <c r="AV143" s="13" t="str">
        <f aca="false">IF(AE143=0,"",IF(OR(AG143&lt;2,AI143&gt;PFYDate),AU143,IF((AI143-1)&lt;AF143,-1,12*(YEAR((AI143-1))-YEAR(AF143))+MONTH((AI143-1))-MONTH(AF143)-IF(DAY((AI143-1))&lt;MIN(DAY(AF143),DAY(EOMONTH((AI143-1),0))),1,0))))</f>
        <v/>
      </c>
      <c r="AW143" s="13" t="str">
        <f aca="false">IF(AE143=0,"",IF(OR(AG143&lt;3,AJ143&gt;PFYDate),AU143,IF((AJ143-1)&lt;AF143,-1,12*(YEAR((AJ143-1))-YEAR(AF143))+MONTH((AJ143-1))-MONTH(AF143)-IF(DAY((AJ143-1))&lt;MIN(DAY(AF143),DAY(EOMONTH((AJ143-1),0))),1,0))))</f>
        <v/>
      </c>
      <c r="AX143" s="13"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3"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3" t="str">
        <f aca="false">IF(AE143=0,"",IF(AQ143="FT",IF(AR143&lt;FT_First,FT_First,IF(AR143&lt;FT_Y5,MIN(FT_Y5,FT_First+FT_Int1*(INT((AR143-FT_First)/FT_Int1)+1)),FT_Y5+12*INT((AR143-FT_Y5)/12)+FT_Int2*(INT(MOD(AR143-FT_Y5,12)/FT_Int2)+1))),IF(AQ143="PT",IF(AR143&lt;PT_First,PT_First,PT_First+PT_Int*(INT((AR143-PT_First)/PT_Int)+1)),"")))</f>
        <v/>
      </c>
      <c r="BA143" s="13" t="str">
        <f aca="false">IF(AE143=0,"",IF(NOT(LH_Ready),0,COUNTIFS(INDEX(LH_Data,0,LH_ColFirst),$A143,INDEX(LH_Data,0,LH_ColSur),$B143,INDEX(LH_Data,0,LH_ColCat),BonusCat)))</f>
        <v/>
      </c>
      <c r="BB143" s="13" t="str">
        <f aca="false">IF(AE143=0,"",IF(OR(NOT(LH_Ready),BA143=0),0,SUMPRODUCT(MAX((INDEX(LH_Data,0,LH_ColFirst)=$A143)*(INDEX(LH_Data,0,LH_ColSur)=$B143)*(INDEX(LH_Data,0,LH_ColCat)=BonusCat)*ROW(LH_Data)))))</f>
        <v/>
      </c>
      <c r="BC143" s="0" t="str">
        <f aca="false">IF(LEN($A143&amp;$B143)=0,"",$A143&amp;" "&amp;$B143)</f>
        <v/>
      </c>
    </row>
    <row r="144" customFormat="false" ht="15" hidden="false" customHeight="false" outlineLevel="0" collapsed="false">
      <c r="A144" s="9"/>
      <c r="B144" s="9"/>
      <c r="C144" s="9"/>
      <c r="D144" s="10"/>
      <c r="E144" s="11" t="str">
        <f aca="false">IF(OR(AE144=0,$D144=""),"",DATE(YEAR(AsOfDate)+IF(DATE(YEAR(AsOfDate),MONTH($D144),DAY($D144))&lt;=AsOfDate,1,0),MONTH($D144),DAY($D144)))</f>
        <v/>
      </c>
      <c r="F144" s="10"/>
      <c r="G144" s="10"/>
      <c r="H144" s="10"/>
      <c r="I144" s="10"/>
      <c r="J144" s="10"/>
      <c r="K144" s="11" t="str">
        <f aca="false">IF(AE144=0,"",DATE(YEAR(AsOfDate)+IF(DATE(YEAR(AsOfDate),MONTH(AF144),DAY(AF144))&lt;=AsOfDate,1,0),MONTH(AF144),DAY(AF144)))</f>
        <v/>
      </c>
      <c r="L144" s="12" t="str">
        <f aca="false">IF(AE144=0,"",ROUND((AsOfDate-AF144)/365.25,1))</f>
        <v/>
      </c>
      <c r="M144" s="13" t="str">
        <f aca="false">IF(AE144=0,"",IF(AsOfDate&lt;AF144,"-",DATEDIF(AF144,AsOfDate,"y")&amp;"y "&amp;DATEDIF(AF144,AsOfDate,"ym")&amp;"m "&amp;DATEDIF(AF144,AsOfDate,"md")&amp;"d"))</f>
        <v/>
      </c>
      <c r="N144" s="14" t="str">
        <f aca="false">IF(AE144=0,"",O144*HoursPerDay)</f>
        <v/>
      </c>
      <c r="O144" s="14" t="str">
        <f aca="false">IF(AE144=0,"",AX144)</f>
        <v/>
      </c>
      <c r="P144" s="15"/>
      <c r="Q144" s="13"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13"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1" t="str">
        <f aca="false">IF(AE144=0,"",IF(AQ144="None","",EDATE(AF144,AZ144)))</f>
        <v/>
      </c>
      <c r="T144" s="14" t="str">
        <f aca="false">IF(AE144=0,"",IF(NOT(LH_Ready),"",IF(AF144&gt;PFYDate,0,IF(LH_ColPeriod=0,W144-U144+V144,SUMIFS(INDEX(LH_Data,0,LH_ColAcc),INDEX(LH_Data,0,LH_ColFirst),$A144,INDEX(LH_Data,0,LH_ColSur),$B144,INDEX(LH_Data,0,LH_ColCat),BonusCat,INDEX(LH_Data,0,LH_ColPeriod),LH_OpenLabel)*UnitFactor))))</f>
        <v/>
      </c>
      <c r="U144" s="14" t="str">
        <f aca="false">IF(AE144=0,"",IF(NOT(LH_Ready),"",SUMIFS(INDEX(LH_Data,0,LH_ColAcc),INDEX(LH_Data,0,LH_ColFirst),$A144,INDEX(LH_Data,0,LH_ColSur),$B144,INDEX(LH_Data,0,LH_ColCat),BonusCat,INDEX(LH_Data,0,LH_ColStart),"&gt;="&amp;AF144)*UnitFactor))</f>
        <v/>
      </c>
      <c r="V144" s="14" t="str">
        <f aca="false">IF(AE144=0,"",IF(NOT(LH_Ready),"",SUMIFS(INDEX(LH_Data,0,LH_ColTaken),INDEX(LH_Data,0,LH_ColFirst),$A144,INDEX(LH_Data,0,LH_ColSur),$B144,INDEX(LH_Data,0,LH_ColCat),BonusCat,INDEX(LH_Data,0,LH_ColStart),"&gt;="&amp;AF144)*UnitFactor))</f>
        <v/>
      </c>
      <c r="W144" s="14" t="str">
        <f aca="false">IF(AE144=0,"",IF(NOT(LH_Ready),"",IF(BB144=0,0,INDEX(INDEX(LH_Data,0,LH_ColClose),BB144-1)*UnitFactor)))</f>
        <v/>
      </c>
      <c r="X144" s="14" t="str">
        <f aca="false">IF(AE144=0,"",(AX144-AY144)*HoursPerDay)</f>
        <v/>
      </c>
      <c r="Y144" s="14" t="str">
        <f aca="false">IF(AE144=0,"",IF(NOT(LH_Ready),"",IF(BA144=0,N144,IF(PFYDate&lt;$F144,N144-N(T144)-N(U144),X144-N(U144)))))</f>
        <v/>
      </c>
      <c r="Z144" s="13" t="str">
        <f aca="false">IF(OR(AE144=0,Y144=""),"",IF(Y144&gt;0,"Yes","No"))</f>
        <v/>
      </c>
      <c r="AA144" s="13"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 hrs more than policy since commencement",IF(N(W144)&gt;O144*HoursPerDay+0.01,"CHECK - EH balance "&amp;ROUND(W144-O144*HoursPerDay,2)&amp;" hrs more than policy entitlement",IF(O144&gt;0,"OK - nothing to add",IF(AQ144="None",R144,"Not yet - first day on "&amp;TEXT(S144,"dd/mm/yyyy")))))))))</f>
        <v/>
      </c>
      <c r="AB144" s="14" t="str">
        <f aca="false">IF(OR(AE144=0,T144=""),"",AY144*HoursPerDay-T144)</f>
        <v/>
      </c>
      <c r="AC144" s="13" t="str">
        <f aca="false">IF(AE144=0,"",BA144)</f>
        <v/>
      </c>
      <c r="AD144" s="13"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3" t="n">
        <f aca="false">IF(OR(LEN($A144&amp;$B144)=0,$F144=""),0,1)</f>
        <v>0</v>
      </c>
      <c r="AF144" s="11" t="str">
        <f aca="false">IF(AE144=0,"",IF($J144&lt;&gt;"",$J144,IF(OR(CasualCounts="Yes",COUNT($G144:$I144)=0,COUNT($G144:$H144)=0),$F144,MIN($G144:$H144))))</f>
        <v/>
      </c>
      <c r="AG144" s="13" t="str">
        <f aca="false">IF(AE144=0,"",COUNT($G144:$I144))</f>
        <v/>
      </c>
      <c r="AH144" s="11" t="str">
        <f aca="false">IF(AE144=0,"",IFERROR(SMALL($G144:$I144,1),""))</f>
        <v/>
      </c>
      <c r="AI144" s="11" t="str">
        <f aca="false">IF(AE144=0,"",IFERROR(SMALL($G144:$I144,2),""))</f>
        <v/>
      </c>
      <c r="AJ144" s="11" t="str">
        <f aca="false">IF(AE144=0,"",IFERROR(SMALL($G144:$I144,3),""))</f>
        <v/>
      </c>
      <c r="AK144" s="13" t="str">
        <f aca="false">IF(AE144=0,"",IF(AH144="","",IF(AH144=$G144,"Part-Time",IF(AH144=$H144,"Full-Time","Casual"))))</f>
        <v/>
      </c>
      <c r="AL144" s="13" t="str">
        <f aca="false">IF(AE144=0,"",IF(AI144="","",IF(AI144=$G144,"Part-Time",IF(AI144=$H144,"Full-Time","Casual"))))</f>
        <v/>
      </c>
      <c r="AM144" s="13" t="str">
        <f aca="false">IF(AE144=0,"",IF(AJ144="","",IF(AJ144=$G144,"Part-Time",IF(AJ144=$H144,"Full-Time","Casual"))))</f>
        <v/>
      </c>
      <c r="AN144" s="13"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3" t="str">
        <f aca="false">IF(AE144=0,"",IF(AG144&lt;2,"",IF(OR(ISNUMBER(SEARCH("full",AL144)),UPPER(TRIM(AL144))="FT",UPPER(TRIM(AL144))="FTE"),"FT",IF(AND(OR(ISNUMBER(SEARCH("part",AL144)),UPPER(TRIM(AL144))="PT",UPPER(TRIM(AL144))="PTE"),OR($P144="",N($P144)&gt;=PT_MinHours)),"PT","None"))))</f>
        <v/>
      </c>
      <c r="AP144" s="13" t="str">
        <f aca="false">IF(AE144=0,"",IF(AG144&lt;3,"",IF(OR(ISNUMBER(SEARCH("full",AM144)),UPPER(TRIM(AM144))="FT",UPPER(TRIM(AM144))="FTE"),"FT",IF(AND(OR(ISNUMBER(SEARCH("part",AM144)),UPPER(TRIM(AM144))="PT",UPPER(TRIM(AM144))="PTE"),OR($P144="",N($P144)&gt;=PT_MinHours)),"PT","None"))))</f>
        <v/>
      </c>
      <c r="AQ144" s="13" t="str">
        <f aca="false">IF(AE144=0,"",IF(AND(AG144&gt;=3,AJ144&lt;=AsOfDate),AP144,IF(AND(AG144&gt;=2,AI144&lt;=AsOfDate),AO144,AN144)))</f>
        <v/>
      </c>
      <c r="AR144" s="13" t="str">
        <f aca="false">IF(AE144=0,"",IF(AsOfDate&lt;AF144,-1,12*(YEAR(AsOfDate)-YEAR(AF144))+MONTH(AsOfDate)-MONTH(AF144)-IF(DAY(AsOfDate)&lt;MIN(DAY(AF144),DAY(EOMONTH(AsOfDate,0))),1,0)))</f>
        <v/>
      </c>
      <c r="AS144" s="13" t="str">
        <f aca="false">IF(AE144=0,"",IF(OR(AG144&lt;2,AI144&gt;AsOfDate),AR144,IF((AI144-1)&lt;AF144,-1,12*(YEAR((AI144-1))-YEAR(AF144))+MONTH((AI144-1))-MONTH(AF144)-IF(DAY((AI144-1))&lt;MIN(DAY(AF144),DAY(EOMONTH((AI144-1),0))),1,0))))</f>
        <v/>
      </c>
      <c r="AT144" s="13" t="str">
        <f aca="false">IF(AE144=0,"",IF(OR(AG144&lt;3,AJ144&gt;AsOfDate),AR144,IF((AJ144-1)&lt;AF144,-1,12*(YEAR((AJ144-1))-YEAR(AF144))+MONTH((AJ144-1))-MONTH(AF144)-IF(DAY((AJ144-1))&lt;MIN(DAY(AF144),DAY(EOMONTH((AJ144-1),0))),1,0))))</f>
        <v/>
      </c>
      <c r="AU144" s="13" t="str">
        <f aca="false">IF(AE144=0,"",IF(PFYDate&lt;AF144,-1,12*(YEAR(PFYDate)-YEAR(AF144))+MONTH(PFYDate)-MONTH(AF144)-IF(DAY(PFYDate)&lt;MIN(DAY(AF144),DAY(EOMONTH(PFYDate,0))),1,0)))</f>
        <v/>
      </c>
      <c r="AV144" s="13" t="str">
        <f aca="false">IF(AE144=0,"",IF(OR(AG144&lt;2,AI144&gt;PFYDate),AU144,IF((AI144-1)&lt;AF144,-1,12*(YEAR((AI144-1))-YEAR(AF144))+MONTH((AI144-1))-MONTH(AF144)-IF(DAY((AI144-1))&lt;MIN(DAY(AF144),DAY(EOMONTH((AI144-1),0))),1,0))))</f>
        <v/>
      </c>
      <c r="AW144" s="13" t="str">
        <f aca="false">IF(AE144=0,"",IF(OR(AG144&lt;3,AJ144&gt;PFYDate),AU144,IF((AJ144-1)&lt;AF144,-1,12*(YEAR((AJ144-1))-YEAR(AF144))+MONTH((AJ144-1))-MONTH(AF144)-IF(DAY((AJ144-1))&lt;MIN(DAY(AF144),DAY(EOMONTH((AJ144-1),0))),1,0))))</f>
        <v/>
      </c>
      <c r="AX144" s="13"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3"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3" t="str">
        <f aca="false">IF(AE144=0,"",IF(AQ144="FT",IF(AR144&lt;FT_First,FT_First,IF(AR144&lt;FT_Y5,MIN(FT_Y5,FT_First+FT_Int1*(INT((AR144-FT_First)/FT_Int1)+1)),FT_Y5+12*INT((AR144-FT_Y5)/12)+FT_Int2*(INT(MOD(AR144-FT_Y5,12)/FT_Int2)+1))),IF(AQ144="PT",IF(AR144&lt;PT_First,PT_First,PT_First+PT_Int*(INT((AR144-PT_First)/PT_Int)+1)),"")))</f>
        <v/>
      </c>
      <c r="BA144" s="13" t="str">
        <f aca="false">IF(AE144=0,"",IF(NOT(LH_Ready),0,COUNTIFS(INDEX(LH_Data,0,LH_ColFirst),$A144,INDEX(LH_Data,0,LH_ColSur),$B144,INDEX(LH_Data,0,LH_ColCat),BonusCat)))</f>
        <v/>
      </c>
      <c r="BB144" s="13" t="str">
        <f aca="false">IF(AE144=0,"",IF(OR(NOT(LH_Ready),BA144=0),0,SUMPRODUCT(MAX((INDEX(LH_Data,0,LH_ColFirst)=$A144)*(INDEX(LH_Data,0,LH_ColSur)=$B144)*(INDEX(LH_Data,0,LH_ColCat)=BonusCat)*ROW(LH_Data)))))</f>
        <v/>
      </c>
      <c r="BC144" s="0" t="str">
        <f aca="false">IF(LEN($A144&amp;$B144)=0,"",$A144&amp;" "&amp;$B144)</f>
        <v/>
      </c>
    </row>
    <row r="145" customFormat="false" ht="15" hidden="false" customHeight="false" outlineLevel="0" collapsed="false">
      <c r="A145" s="9"/>
      <c r="B145" s="9"/>
      <c r="C145" s="9"/>
      <c r="D145" s="10"/>
      <c r="E145" s="11" t="str">
        <f aca="false">IF(OR(AE145=0,$D145=""),"",DATE(YEAR(AsOfDate)+IF(DATE(YEAR(AsOfDate),MONTH($D145),DAY($D145))&lt;=AsOfDate,1,0),MONTH($D145),DAY($D145)))</f>
        <v/>
      </c>
      <c r="F145" s="10"/>
      <c r="G145" s="10"/>
      <c r="H145" s="10"/>
      <c r="I145" s="10"/>
      <c r="J145" s="10"/>
      <c r="K145" s="11" t="str">
        <f aca="false">IF(AE145=0,"",DATE(YEAR(AsOfDate)+IF(DATE(YEAR(AsOfDate),MONTH(AF145),DAY(AF145))&lt;=AsOfDate,1,0),MONTH(AF145),DAY(AF145)))</f>
        <v/>
      </c>
      <c r="L145" s="12" t="str">
        <f aca="false">IF(AE145=0,"",ROUND((AsOfDate-AF145)/365.25,1))</f>
        <v/>
      </c>
      <c r="M145" s="13" t="str">
        <f aca="false">IF(AE145=0,"",IF(AsOfDate&lt;AF145,"-",DATEDIF(AF145,AsOfDate,"y")&amp;"y "&amp;DATEDIF(AF145,AsOfDate,"ym")&amp;"m "&amp;DATEDIF(AF145,AsOfDate,"md")&amp;"d"))</f>
        <v/>
      </c>
      <c r="N145" s="14" t="str">
        <f aca="false">IF(AE145=0,"",O145*HoursPerDay)</f>
        <v/>
      </c>
      <c r="O145" s="14" t="str">
        <f aca="false">IF(AE145=0,"",AX145)</f>
        <v/>
      </c>
      <c r="P145" s="15"/>
      <c r="Q145" s="13"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13"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1" t="str">
        <f aca="false">IF(AE145=0,"",IF(AQ145="None","",EDATE(AF145,AZ145)))</f>
        <v/>
      </c>
      <c r="T145" s="14" t="str">
        <f aca="false">IF(AE145=0,"",IF(NOT(LH_Ready),"",IF(AF145&gt;PFYDate,0,IF(LH_ColPeriod=0,W145-U145+V145,SUMIFS(INDEX(LH_Data,0,LH_ColAcc),INDEX(LH_Data,0,LH_ColFirst),$A145,INDEX(LH_Data,0,LH_ColSur),$B145,INDEX(LH_Data,0,LH_ColCat),BonusCat,INDEX(LH_Data,0,LH_ColPeriod),LH_OpenLabel)*UnitFactor))))</f>
        <v/>
      </c>
      <c r="U145" s="14" t="str">
        <f aca="false">IF(AE145=0,"",IF(NOT(LH_Ready),"",SUMIFS(INDEX(LH_Data,0,LH_ColAcc),INDEX(LH_Data,0,LH_ColFirst),$A145,INDEX(LH_Data,0,LH_ColSur),$B145,INDEX(LH_Data,0,LH_ColCat),BonusCat,INDEX(LH_Data,0,LH_ColStart),"&gt;="&amp;AF145)*UnitFactor))</f>
        <v/>
      </c>
      <c r="V145" s="14" t="str">
        <f aca="false">IF(AE145=0,"",IF(NOT(LH_Ready),"",SUMIFS(INDEX(LH_Data,0,LH_ColTaken),INDEX(LH_Data,0,LH_ColFirst),$A145,INDEX(LH_Data,0,LH_ColSur),$B145,INDEX(LH_Data,0,LH_ColCat),BonusCat,INDEX(LH_Data,0,LH_ColStart),"&gt;="&amp;AF145)*UnitFactor))</f>
        <v/>
      </c>
      <c r="W145" s="14" t="str">
        <f aca="false">IF(AE145=0,"",IF(NOT(LH_Ready),"",IF(BB145=0,0,INDEX(INDEX(LH_Data,0,LH_ColClose),BB145-1)*UnitFactor)))</f>
        <v/>
      </c>
      <c r="X145" s="14" t="str">
        <f aca="false">IF(AE145=0,"",(AX145-AY145)*HoursPerDay)</f>
        <v/>
      </c>
      <c r="Y145" s="14" t="str">
        <f aca="false">IF(AE145=0,"",IF(NOT(LH_Ready),"",IF(BA145=0,N145,IF(PFYDate&lt;$F145,N145-N(T145)-N(U145),X145-N(U145)))))</f>
        <v/>
      </c>
      <c r="Z145" s="13" t="str">
        <f aca="false">IF(OR(AE145=0,Y145=""),"",IF(Y145&gt;0,"Yes","No"))</f>
        <v/>
      </c>
      <c r="AA145" s="13"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 hrs more than policy since commencement",IF(N(W145)&gt;O145*HoursPerDay+0.01,"CHECK - EH balance "&amp;ROUND(W145-O145*HoursPerDay,2)&amp;" hrs more than policy entitlement",IF(O145&gt;0,"OK - nothing to add",IF(AQ145="None",R145,"Not yet - first day on "&amp;TEXT(S145,"dd/mm/yyyy")))))))))</f>
        <v/>
      </c>
      <c r="AB145" s="14" t="str">
        <f aca="false">IF(OR(AE145=0,T145=""),"",AY145*HoursPerDay-T145)</f>
        <v/>
      </c>
      <c r="AC145" s="13" t="str">
        <f aca="false">IF(AE145=0,"",BA145)</f>
        <v/>
      </c>
      <c r="AD145" s="13"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3" t="n">
        <f aca="false">IF(OR(LEN($A145&amp;$B145)=0,$F145=""),0,1)</f>
        <v>0</v>
      </c>
      <c r="AF145" s="11" t="str">
        <f aca="false">IF(AE145=0,"",IF($J145&lt;&gt;"",$J145,IF(OR(CasualCounts="Yes",COUNT($G145:$I145)=0,COUNT($G145:$H145)=0),$F145,MIN($G145:$H145))))</f>
        <v/>
      </c>
      <c r="AG145" s="13" t="str">
        <f aca="false">IF(AE145=0,"",COUNT($G145:$I145))</f>
        <v/>
      </c>
      <c r="AH145" s="11" t="str">
        <f aca="false">IF(AE145=0,"",IFERROR(SMALL($G145:$I145,1),""))</f>
        <v/>
      </c>
      <c r="AI145" s="11" t="str">
        <f aca="false">IF(AE145=0,"",IFERROR(SMALL($G145:$I145,2),""))</f>
        <v/>
      </c>
      <c r="AJ145" s="11" t="str">
        <f aca="false">IF(AE145=0,"",IFERROR(SMALL($G145:$I145,3),""))</f>
        <v/>
      </c>
      <c r="AK145" s="13" t="str">
        <f aca="false">IF(AE145=0,"",IF(AH145="","",IF(AH145=$G145,"Part-Time",IF(AH145=$H145,"Full-Time","Casual"))))</f>
        <v/>
      </c>
      <c r="AL145" s="13" t="str">
        <f aca="false">IF(AE145=0,"",IF(AI145="","",IF(AI145=$G145,"Part-Time",IF(AI145=$H145,"Full-Time","Casual"))))</f>
        <v/>
      </c>
      <c r="AM145" s="13" t="str">
        <f aca="false">IF(AE145=0,"",IF(AJ145="","",IF(AJ145=$G145,"Part-Time",IF(AJ145=$H145,"Full-Time","Casual"))))</f>
        <v/>
      </c>
      <c r="AN145" s="13"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3" t="str">
        <f aca="false">IF(AE145=0,"",IF(AG145&lt;2,"",IF(OR(ISNUMBER(SEARCH("full",AL145)),UPPER(TRIM(AL145))="FT",UPPER(TRIM(AL145))="FTE"),"FT",IF(AND(OR(ISNUMBER(SEARCH("part",AL145)),UPPER(TRIM(AL145))="PT",UPPER(TRIM(AL145))="PTE"),OR($P145="",N($P145)&gt;=PT_MinHours)),"PT","None"))))</f>
        <v/>
      </c>
      <c r="AP145" s="13" t="str">
        <f aca="false">IF(AE145=0,"",IF(AG145&lt;3,"",IF(OR(ISNUMBER(SEARCH("full",AM145)),UPPER(TRIM(AM145))="FT",UPPER(TRIM(AM145))="FTE"),"FT",IF(AND(OR(ISNUMBER(SEARCH("part",AM145)),UPPER(TRIM(AM145))="PT",UPPER(TRIM(AM145))="PTE"),OR($P145="",N($P145)&gt;=PT_MinHours)),"PT","None"))))</f>
        <v/>
      </c>
      <c r="AQ145" s="13" t="str">
        <f aca="false">IF(AE145=0,"",IF(AND(AG145&gt;=3,AJ145&lt;=AsOfDate),AP145,IF(AND(AG145&gt;=2,AI145&lt;=AsOfDate),AO145,AN145)))</f>
        <v/>
      </c>
      <c r="AR145" s="13" t="str">
        <f aca="false">IF(AE145=0,"",IF(AsOfDate&lt;AF145,-1,12*(YEAR(AsOfDate)-YEAR(AF145))+MONTH(AsOfDate)-MONTH(AF145)-IF(DAY(AsOfDate)&lt;MIN(DAY(AF145),DAY(EOMONTH(AsOfDate,0))),1,0)))</f>
        <v/>
      </c>
      <c r="AS145" s="13" t="str">
        <f aca="false">IF(AE145=0,"",IF(OR(AG145&lt;2,AI145&gt;AsOfDate),AR145,IF((AI145-1)&lt;AF145,-1,12*(YEAR((AI145-1))-YEAR(AF145))+MONTH((AI145-1))-MONTH(AF145)-IF(DAY((AI145-1))&lt;MIN(DAY(AF145),DAY(EOMONTH((AI145-1),0))),1,0))))</f>
        <v/>
      </c>
      <c r="AT145" s="13" t="str">
        <f aca="false">IF(AE145=0,"",IF(OR(AG145&lt;3,AJ145&gt;AsOfDate),AR145,IF((AJ145-1)&lt;AF145,-1,12*(YEAR((AJ145-1))-YEAR(AF145))+MONTH((AJ145-1))-MONTH(AF145)-IF(DAY((AJ145-1))&lt;MIN(DAY(AF145),DAY(EOMONTH((AJ145-1),0))),1,0))))</f>
        <v/>
      </c>
      <c r="AU145" s="13" t="str">
        <f aca="false">IF(AE145=0,"",IF(PFYDate&lt;AF145,-1,12*(YEAR(PFYDate)-YEAR(AF145))+MONTH(PFYDate)-MONTH(AF145)-IF(DAY(PFYDate)&lt;MIN(DAY(AF145),DAY(EOMONTH(PFYDate,0))),1,0)))</f>
        <v/>
      </c>
      <c r="AV145" s="13" t="str">
        <f aca="false">IF(AE145=0,"",IF(OR(AG145&lt;2,AI145&gt;PFYDate),AU145,IF((AI145-1)&lt;AF145,-1,12*(YEAR((AI145-1))-YEAR(AF145))+MONTH((AI145-1))-MONTH(AF145)-IF(DAY((AI145-1))&lt;MIN(DAY(AF145),DAY(EOMONTH((AI145-1),0))),1,0))))</f>
        <v/>
      </c>
      <c r="AW145" s="13" t="str">
        <f aca="false">IF(AE145=0,"",IF(OR(AG145&lt;3,AJ145&gt;PFYDate),AU145,IF((AJ145-1)&lt;AF145,-1,12*(YEAR((AJ145-1))-YEAR(AF145))+MONTH((AJ145-1))-MONTH(AF145)-IF(DAY((AJ145-1))&lt;MIN(DAY(AF145),DAY(EOMONTH((AJ145-1),0))),1,0))))</f>
        <v/>
      </c>
      <c r="AX145" s="13"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3"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3" t="str">
        <f aca="false">IF(AE145=0,"",IF(AQ145="FT",IF(AR145&lt;FT_First,FT_First,IF(AR145&lt;FT_Y5,MIN(FT_Y5,FT_First+FT_Int1*(INT((AR145-FT_First)/FT_Int1)+1)),FT_Y5+12*INT((AR145-FT_Y5)/12)+FT_Int2*(INT(MOD(AR145-FT_Y5,12)/FT_Int2)+1))),IF(AQ145="PT",IF(AR145&lt;PT_First,PT_First,PT_First+PT_Int*(INT((AR145-PT_First)/PT_Int)+1)),"")))</f>
        <v/>
      </c>
      <c r="BA145" s="13" t="str">
        <f aca="false">IF(AE145=0,"",IF(NOT(LH_Ready),0,COUNTIFS(INDEX(LH_Data,0,LH_ColFirst),$A145,INDEX(LH_Data,0,LH_ColSur),$B145,INDEX(LH_Data,0,LH_ColCat),BonusCat)))</f>
        <v/>
      </c>
      <c r="BB145" s="13" t="str">
        <f aca="false">IF(AE145=0,"",IF(OR(NOT(LH_Ready),BA145=0),0,SUMPRODUCT(MAX((INDEX(LH_Data,0,LH_ColFirst)=$A145)*(INDEX(LH_Data,0,LH_ColSur)=$B145)*(INDEX(LH_Data,0,LH_ColCat)=BonusCat)*ROW(LH_Data)))))</f>
        <v/>
      </c>
      <c r="BC145" s="0" t="str">
        <f aca="false">IF(LEN($A145&amp;$B145)=0,"",$A145&amp;" "&amp;$B145)</f>
        <v/>
      </c>
    </row>
    <row r="146" customFormat="false" ht="15" hidden="false" customHeight="false" outlineLevel="0" collapsed="false">
      <c r="A146" s="9"/>
      <c r="B146" s="9"/>
      <c r="C146" s="9"/>
      <c r="D146" s="10"/>
      <c r="E146" s="11" t="str">
        <f aca="false">IF(OR(AE146=0,$D146=""),"",DATE(YEAR(AsOfDate)+IF(DATE(YEAR(AsOfDate),MONTH($D146),DAY($D146))&lt;=AsOfDate,1,0),MONTH($D146),DAY($D146)))</f>
        <v/>
      </c>
      <c r="F146" s="10"/>
      <c r="G146" s="10"/>
      <c r="H146" s="10"/>
      <c r="I146" s="10"/>
      <c r="J146" s="10"/>
      <c r="K146" s="11" t="str">
        <f aca="false">IF(AE146=0,"",DATE(YEAR(AsOfDate)+IF(DATE(YEAR(AsOfDate),MONTH(AF146),DAY(AF146))&lt;=AsOfDate,1,0),MONTH(AF146),DAY(AF146)))</f>
        <v/>
      </c>
      <c r="L146" s="12" t="str">
        <f aca="false">IF(AE146=0,"",ROUND((AsOfDate-AF146)/365.25,1))</f>
        <v/>
      </c>
      <c r="M146" s="13" t="str">
        <f aca="false">IF(AE146=0,"",IF(AsOfDate&lt;AF146,"-",DATEDIF(AF146,AsOfDate,"y")&amp;"y "&amp;DATEDIF(AF146,AsOfDate,"ym")&amp;"m "&amp;DATEDIF(AF146,AsOfDate,"md")&amp;"d"))</f>
        <v/>
      </c>
      <c r="N146" s="14" t="str">
        <f aca="false">IF(AE146=0,"",O146*HoursPerDay)</f>
        <v/>
      </c>
      <c r="O146" s="14" t="str">
        <f aca="false">IF(AE146=0,"",AX146)</f>
        <v/>
      </c>
      <c r="P146" s="15"/>
      <c r="Q146" s="13"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13"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1" t="str">
        <f aca="false">IF(AE146=0,"",IF(AQ146="None","",EDATE(AF146,AZ146)))</f>
        <v/>
      </c>
      <c r="T146" s="14" t="str">
        <f aca="false">IF(AE146=0,"",IF(NOT(LH_Ready),"",IF(AF146&gt;PFYDate,0,IF(LH_ColPeriod=0,W146-U146+V146,SUMIFS(INDEX(LH_Data,0,LH_ColAcc),INDEX(LH_Data,0,LH_ColFirst),$A146,INDEX(LH_Data,0,LH_ColSur),$B146,INDEX(LH_Data,0,LH_ColCat),BonusCat,INDEX(LH_Data,0,LH_ColPeriod),LH_OpenLabel)*UnitFactor))))</f>
        <v/>
      </c>
      <c r="U146" s="14" t="str">
        <f aca="false">IF(AE146=0,"",IF(NOT(LH_Ready),"",SUMIFS(INDEX(LH_Data,0,LH_ColAcc),INDEX(LH_Data,0,LH_ColFirst),$A146,INDEX(LH_Data,0,LH_ColSur),$B146,INDEX(LH_Data,0,LH_ColCat),BonusCat,INDEX(LH_Data,0,LH_ColStart),"&gt;="&amp;AF146)*UnitFactor))</f>
        <v/>
      </c>
      <c r="V146" s="14" t="str">
        <f aca="false">IF(AE146=0,"",IF(NOT(LH_Ready),"",SUMIFS(INDEX(LH_Data,0,LH_ColTaken),INDEX(LH_Data,0,LH_ColFirst),$A146,INDEX(LH_Data,0,LH_ColSur),$B146,INDEX(LH_Data,0,LH_ColCat),BonusCat,INDEX(LH_Data,0,LH_ColStart),"&gt;="&amp;AF146)*UnitFactor))</f>
        <v/>
      </c>
      <c r="W146" s="14" t="str">
        <f aca="false">IF(AE146=0,"",IF(NOT(LH_Ready),"",IF(BB146=0,0,INDEX(INDEX(LH_Data,0,LH_ColClose),BB146-1)*UnitFactor)))</f>
        <v/>
      </c>
      <c r="X146" s="14" t="str">
        <f aca="false">IF(AE146=0,"",(AX146-AY146)*HoursPerDay)</f>
        <v/>
      </c>
      <c r="Y146" s="14" t="str">
        <f aca="false">IF(AE146=0,"",IF(NOT(LH_Ready),"",IF(BA146=0,N146,IF(PFYDate&lt;$F146,N146-N(T146)-N(U146),X146-N(U146)))))</f>
        <v/>
      </c>
      <c r="Z146" s="13" t="str">
        <f aca="false">IF(OR(AE146=0,Y146=""),"",IF(Y146&gt;0,"Yes","No"))</f>
        <v/>
      </c>
      <c r="AA146" s="13"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 hrs more than policy since commencement",IF(N(W146)&gt;O146*HoursPerDay+0.01,"CHECK - EH balance "&amp;ROUND(W146-O146*HoursPerDay,2)&amp;" hrs more than policy entitlement",IF(O146&gt;0,"OK - nothing to add",IF(AQ146="None",R146,"Not yet - first day on "&amp;TEXT(S146,"dd/mm/yyyy")))))))))</f>
        <v/>
      </c>
      <c r="AB146" s="14" t="str">
        <f aca="false">IF(OR(AE146=0,T146=""),"",AY146*HoursPerDay-T146)</f>
        <v/>
      </c>
      <c r="AC146" s="13" t="str">
        <f aca="false">IF(AE146=0,"",BA146)</f>
        <v/>
      </c>
      <c r="AD146" s="13"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3" t="n">
        <f aca="false">IF(OR(LEN($A146&amp;$B146)=0,$F146=""),0,1)</f>
        <v>0</v>
      </c>
      <c r="AF146" s="11" t="str">
        <f aca="false">IF(AE146=0,"",IF($J146&lt;&gt;"",$J146,IF(OR(CasualCounts="Yes",COUNT($G146:$I146)=0,COUNT($G146:$H146)=0),$F146,MIN($G146:$H146))))</f>
        <v/>
      </c>
      <c r="AG146" s="13" t="str">
        <f aca="false">IF(AE146=0,"",COUNT($G146:$I146))</f>
        <v/>
      </c>
      <c r="AH146" s="11" t="str">
        <f aca="false">IF(AE146=0,"",IFERROR(SMALL($G146:$I146,1),""))</f>
        <v/>
      </c>
      <c r="AI146" s="11" t="str">
        <f aca="false">IF(AE146=0,"",IFERROR(SMALL($G146:$I146,2),""))</f>
        <v/>
      </c>
      <c r="AJ146" s="11" t="str">
        <f aca="false">IF(AE146=0,"",IFERROR(SMALL($G146:$I146,3),""))</f>
        <v/>
      </c>
      <c r="AK146" s="13" t="str">
        <f aca="false">IF(AE146=0,"",IF(AH146="","",IF(AH146=$G146,"Part-Time",IF(AH146=$H146,"Full-Time","Casual"))))</f>
        <v/>
      </c>
      <c r="AL146" s="13" t="str">
        <f aca="false">IF(AE146=0,"",IF(AI146="","",IF(AI146=$G146,"Part-Time",IF(AI146=$H146,"Full-Time","Casual"))))</f>
        <v/>
      </c>
      <c r="AM146" s="13" t="str">
        <f aca="false">IF(AE146=0,"",IF(AJ146="","",IF(AJ146=$G146,"Part-Time",IF(AJ146=$H146,"Full-Time","Casual"))))</f>
        <v/>
      </c>
      <c r="AN146" s="13"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3" t="str">
        <f aca="false">IF(AE146=0,"",IF(AG146&lt;2,"",IF(OR(ISNUMBER(SEARCH("full",AL146)),UPPER(TRIM(AL146))="FT",UPPER(TRIM(AL146))="FTE"),"FT",IF(AND(OR(ISNUMBER(SEARCH("part",AL146)),UPPER(TRIM(AL146))="PT",UPPER(TRIM(AL146))="PTE"),OR($P146="",N($P146)&gt;=PT_MinHours)),"PT","None"))))</f>
        <v/>
      </c>
      <c r="AP146" s="13" t="str">
        <f aca="false">IF(AE146=0,"",IF(AG146&lt;3,"",IF(OR(ISNUMBER(SEARCH("full",AM146)),UPPER(TRIM(AM146))="FT",UPPER(TRIM(AM146))="FTE"),"FT",IF(AND(OR(ISNUMBER(SEARCH("part",AM146)),UPPER(TRIM(AM146))="PT",UPPER(TRIM(AM146))="PTE"),OR($P146="",N($P146)&gt;=PT_MinHours)),"PT","None"))))</f>
        <v/>
      </c>
      <c r="AQ146" s="13" t="str">
        <f aca="false">IF(AE146=0,"",IF(AND(AG146&gt;=3,AJ146&lt;=AsOfDate),AP146,IF(AND(AG146&gt;=2,AI146&lt;=AsOfDate),AO146,AN146)))</f>
        <v/>
      </c>
      <c r="AR146" s="13" t="str">
        <f aca="false">IF(AE146=0,"",IF(AsOfDate&lt;AF146,-1,12*(YEAR(AsOfDate)-YEAR(AF146))+MONTH(AsOfDate)-MONTH(AF146)-IF(DAY(AsOfDate)&lt;MIN(DAY(AF146),DAY(EOMONTH(AsOfDate,0))),1,0)))</f>
        <v/>
      </c>
      <c r="AS146" s="13" t="str">
        <f aca="false">IF(AE146=0,"",IF(OR(AG146&lt;2,AI146&gt;AsOfDate),AR146,IF((AI146-1)&lt;AF146,-1,12*(YEAR((AI146-1))-YEAR(AF146))+MONTH((AI146-1))-MONTH(AF146)-IF(DAY((AI146-1))&lt;MIN(DAY(AF146),DAY(EOMONTH((AI146-1),0))),1,0))))</f>
        <v/>
      </c>
      <c r="AT146" s="13" t="str">
        <f aca="false">IF(AE146=0,"",IF(OR(AG146&lt;3,AJ146&gt;AsOfDate),AR146,IF((AJ146-1)&lt;AF146,-1,12*(YEAR((AJ146-1))-YEAR(AF146))+MONTH((AJ146-1))-MONTH(AF146)-IF(DAY((AJ146-1))&lt;MIN(DAY(AF146),DAY(EOMONTH((AJ146-1),0))),1,0))))</f>
        <v/>
      </c>
      <c r="AU146" s="13" t="str">
        <f aca="false">IF(AE146=0,"",IF(PFYDate&lt;AF146,-1,12*(YEAR(PFYDate)-YEAR(AF146))+MONTH(PFYDate)-MONTH(AF146)-IF(DAY(PFYDate)&lt;MIN(DAY(AF146),DAY(EOMONTH(PFYDate,0))),1,0)))</f>
        <v/>
      </c>
      <c r="AV146" s="13" t="str">
        <f aca="false">IF(AE146=0,"",IF(OR(AG146&lt;2,AI146&gt;PFYDate),AU146,IF((AI146-1)&lt;AF146,-1,12*(YEAR((AI146-1))-YEAR(AF146))+MONTH((AI146-1))-MONTH(AF146)-IF(DAY((AI146-1))&lt;MIN(DAY(AF146),DAY(EOMONTH((AI146-1),0))),1,0))))</f>
        <v/>
      </c>
      <c r="AW146" s="13" t="str">
        <f aca="false">IF(AE146=0,"",IF(OR(AG146&lt;3,AJ146&gt;PFYDate),AU146,IF((AJ146-1)&lt;AF146,-1,12*(YEAR((AJ146-1))-YEAR(AF146))+MONTH((AJ146-1))-MONTH(AF146)-IF(DAY((AJ146-1))&lt;MIN(DAY(AF146),DAY(EOMONTH((AJ146-1),0))),1,0))))</f>
        <v/>
      </c>
      <c r="AX146" s="13"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3"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3" t="str">
        <f aca="false">IF(AE146=0,"",IF(AQ146="FT",IF(AR146&lt;FT_First,FT_First,IF(AR146&lt;FT_Y5,MIN(FT_Y5,FT_First+FT_Int1*(INT((AR146-FT_First)/FT_Int1)+1)),FT_Y5+12*INT((AR146-FT_Y5)/12)+FT_Int2*(INT(MOD(AR146-FT_Y5,12)/FT_Int2)+1))),IF(AQ146="PT",IF(AR146&lt;PT_First,PT_First,PT_First+PT_Int*(INT((AR146-PT_First)/PT_Int)+1)),"")))</f>
        <v/>
      </c>
      <c r="BA146" s="13" t="str">
        <f aca="false">IF(AE146=0,"",IF(NOT(LH_Ready),0,COUNTIFS(INDEX(LH_Data,0,LH_ColFirst),$A146,INDEX(LH_Data,0,LH_ColSur),$B146,INDEX(LH_Data,0,LH_ColCat),BonusCat)))</f>
        <v/>
      </c>
      <c r="BB146" s="13" t="str">
        <f aca="false">IF(AE146=0,"",IF(OR(NOT(LH_Ready),BA146=0),0,SUMPRODUCT(MAX((INDEX(LH_Data,0,LH_ColFirst)=$A146)*(INDEX(LH_Data,0,LH_ColSur)=$B146)*(INDEX(LH_Data,0,LH_ColCat)=BonusCat)*ROW(LH_Data)))))</f>
        <v/>
      </c>
      <c r="BC146" s="0" t="str">
        <f aca="false">IF(LEN($A146&amp;$B146)=0,"",$A146&amp;" "&amp;$B146)</f>
        <v/>
      </c>
    </row>
    <row r="147" customFormat="false" ht="15" hidden="false" customHeight="false" outlineLevel="0" collapsed="false">
      <c r="A147" s="9"/>
      <c r="B147" s="9"/>
      <c r="C147" s="9"/>
      <c r="D147" s="10"/>
      <c r="E147" s="11" t="str">
        <f aca="false">IF(OR(AE147=0,$D147=""),"",DATE(YEAR(AsOfDate)+IF(DATE(YEAR(AsOfDate),MONTH($D147),DAY($D147))&lt;=AsOfDate,1,0),MONTH($D147),DAY($D147)))</f>
        <v/>
      </c>
      <c r="F147" s="10"/>
      <c r="G147" s="10"/>
      <c r="H147" s="10"/>
      <c r="I147" s="10"/>
      <c r="J147" s="10"/>
      <c r="K147" s="11" t="str">
        <f aca="false">IF(AE147=0,"",DATE(YEAR(AsOfDate)+IF(DATE(YEAR(AsOfDate),MONTH(AF147),DAY(AF147))&lt;=AsOfDate,1,0),MONTH(AF147),DAY(AF147)))</f>
        <v/>
      </c>
      <c r="L147" s="12" t="str">
        <f aca="false">IF(AE147=0,"",ROUND((AsOfDate-AF147)/365.25,1))</f>
        <v/>
      </c>
      <c r="M147" s="13" t="str">
        <f aca="false">IF(AE147=0,"",IF(AsOfDate&lt;AF147,"-",DATEDIF(AF147,AsOfDate,"y")&amp;"y "&amp;DATEDIF(AF147,AsOfDate,"ym")&amp;"m "&amp;DATEDIF(AF147,AsOfDate,"md")&amp;"d"))</f>
        <v/>
      </c>
      <c r="N147" s="14" t="str">
        <f aca="false">IF(AE147=0,"",O147*HoursPerDay)</f>
        <v/>
      </c>
      <c r="O147" s="14" t="str">
        <f aca="false">IF(AE147=0,"",AX147)</f>
        <v/>
      </c>
      <c r="P147" s="15"/>
      <c r="Q147" s="13"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13"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1" t="str">
        <f aca="false">IF(AE147=0,"",IF(AQ147="None","",EDATE(AF147,AZ147)))</f>
        <v/>
      </c>
      <c r="T147" s="14" t="str">
        <f aca="false">IF(AE147=0,"",IF(NOT(LH_Ready),"",IF(AF147&gt;PFYDate,0,IF(LH_ColPeriod=0,W147-U147+V147,SUMIFS(INDEX(LH_Data,0,LH_ColAcc),INDEX(LH_Data,0,LH_ColFirst),$A147,INDEX(LH_Data,0,LH_ColSur),$B147,INDEX(LH_Data,0,LH_ColCat),BonusCat,INDEX(LH_Data,0,LH_ColPeriod),LH_OpenLabel)*UnitFactor))))</f>
        <v/>
      </c>
      <c r="U147" s="14" t="str">
        <f aca="false">IF(AE147=0,"",IF(NOT(LH_Ready),"",SUMIFS(INDEX(LH_Data,0,LH_ColAcc),INDEX(LH_Data,0,LH_ColFirst),$A147,INDEX(LH_Data,0,LH_ColSur),$B147,INDEX(LH_Data,0,LH_ColCat),BonusCat,INDEX(LH_Data,0,LH_ColStart),"&gt;="&amp;AF147)*UnitFactor))</f>
        <v/>
      </c>
      <c r="V147" s="14" t="str">
        <f aca="false">IF(AE147=0,"",IF(NOT(LH_Ready),"",SUMIFS(INDEX(LH_Data,0,LH_ColTaken),INDEX(LH_Data,0,LH_ColFirst),$A147,INDEX(LH_Data,0,LH_ColSur),$B147,INDEX(LH_Data,0,LH_ColCat),BonusCat,INDEX(LH_Data,0,LH_ColStart),"&gt;="&amp;AF147)*UnitFactor))</f>
        <v/>
      </c>
      <c r="W147" s="14" t="str">
        <f aca="false">IF(AE147=0,"",IF(NOT(LH_Ready),"",IF(BB147=0,0,INDEX(INDEX(LH_Data,0,LH_ColClose),BB147-1)*UnitFactor)))</f>
        <v/>
      </c>
      <c r="X147" s="14" t="str">
        <f aca="false">IF(AE147=0,"",(AX147-AY147)*HoursPerDay)</f>
        <v/>
      </c>
      <c r="Y147" s="14" t="str">
        <f aca="false">IF(AE147=0,"",IF(NOT(LH_Ready),"",IF(BA147=0,N147,IF(PFYDate&lt;$F147,N147-N(T147)-N(U147),X147-N(U147)))))</f>
        <v/>
      </c>
      <c r="Z147" s="13" t="str">
        <f aca="false">IF(OR(AE147=0,Y147=""),"",IF(Y147&gt;0,"Yes","No"))</f>
        <v/>
      </c>
      <c r="AA147" s="13"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 hrs more than policy since commencement",IF(N(W147)&gt;O147*HoursPerDay+0.01,"CHECK - EH balance "&amp;ROUND(W147-O147*HoursPerDay,2)&amp;" hrs more than policy entitlement",IF(O147&gt;0,"OK - nothing to add",IF(AQ147="None",R147,"Not yet - first day on "&amp;TEXT(S147,"dd/mm/yyyy")))))))))</f>
        <v/>
      </c>
      <c r="AB147" s="14" t="str">
        <f aca="false">IF(OR(AE147=0,T147=""),"",AY147*HoursPerDay-T147)</f>
        <v/>
      </c>
      <c r="AC147" s="13" t="str">
        <f aca="false">IF(AE147=0,"",BA147)</f>
        <v/>
      </c>
      <c r="AD147" s="13"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3" t="n">
        <f aca="false">IF(OR(LEN($A147&amp;$B147)=0,$F147=""),0,1)</f>
        <v>0</v>
      </c>
      <c r="AF147" s="11" t="str">
        <f aca="false">IF(AE147=0,"",IF($J147&lt;&gt;"",$J147,IF(OR(CasualCounts="Yes",COUNT($G147:$I147)=0,COUNT($G147:$H147)=0),$F147,MIN($G147:$H147))))</f>
        <v/>
      </c>
      <c r="AG147" s="13" t="str">
        <f aca="false">IF(AE147=0,"",COUNT($G147:$I147))</f>
        <v/>
      </c>
      <c r="AH147" s="11" t="str">
        <f aca="false">IF(AE147=0,"",IFERROR(SMALL($G147:$I147,1),""))</f>
        <v/>
      </c>
      <c r="AI147" s="11" t="str">
        <f aca="false">IF(AE147=0,"",IFERROR(SMALL($G147:$I147,2),""))</f>
        <v/>
      </c>
      <c r="AJ147" s="11" t="str">
        <f aca="false">IF(AE147=0,"",IFERROR(SMALL($G147:$I147,3),""))</f>
        <v/>
      </c>
      <c r="AK147" s="13" t="str">
        <f aca="false">IF(AE147=0,"",IF(AH147="","",IF(AH147=$G147,"Part-Time",IF(AH147=$H147,"Full-Time","Casual"))))</f>
        <v/>
      </c>
      <c r="AL147" s="13" t="str">
        <f aca="false">IF(AE147=0,"",IF(AI147="","",IF(AI147=$G147,"Part-Time",IF(AI147=$H147,"Full-Time","Casual"))))</f>
        <v/>
      </c>
      <c r="AM147" s="13" t="str">
        <f aca="false">IF(AE147=0,"",IF(AJ147="","",IF(AJ147=$G147,"Part-Time",IF(AJ147=$H147,"Full-Time","Casual"))))</f>
        <v/>
      </c>
      <c r="AN147" s="13"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3" t="str">
        <f aca="false">IF(AE147=0,"",IF(AG147&lt;2,"",IF(OR(ISNUMBER(SEARCH("full",AL147)),UPPER(TRIM(AL147))="FT",UPPER(TRIM(AL147))="FTE"),"FT",IF(AND(OR(ISNUMBER(SEARCH("part",AL147)),UPPER(TRIM(AL147))="PT",UPPER(TRIM(AL147))="PTE"),OR($P147="",N($P147)&gt;=PT_MinHours)),"PT","None"))))</f>
        <v/>
      </c>
      <c r="AP147" s="13" t="str">
        <f aca="false">IF(AE147=0,"",IF(AG147&lt;3,"",IF(OR(ISNUMBER(SEARCH("full",AM147)),UPPER(TRIM(AM147))="FT",UPPER(TRIM(AM147))="FTE"),"FT",IF(AND(OR(ISNUMBER(SEARCH("part",AM147)),UPPER(TRIM(AM147))="PT",UPPER(TRIM(AM147))="PTE"),OR($P147="",N($P147)&gt;=PT_MinHours)),"PT","None"))))</f>
        <v/>
      </c>
      <c r="AQ147" s="13" t="str">
        <f aca="false">IF(AE147=0,"",IF(AND(AG147&gt;=3,AJ147&lt;=AsOfDate),AP147,IF(AND(AG147&gt;=2,AI147&lt;=AsOfDate),AO147,AN147)))</f>
        <v/>
      </c>
      <c r="AR147" s="13" t="str">
        <f aca="false">IF(AE147=0,"",IF(AsOfDate&lt;AF147,-1,12*(YEAR(AsOfDate)-YEAR(AF147))+MONTH(AsOfDate)-MONTH(AF147)-IF(DAY(AsOfDate)&lt;MIN(DAY(AF147),DAY(EOMONTH(AsOfDate,0))),1,0)))</f>
        <v/>
      </c>
      <c r="AS147" s="13" t="str">
        <f aca="false">IF(AE147=0,"",IF(OR(AG147&lt;2,AI147&gt;AsOfDate),AR147,IF((AI147-1)&lt;AF147,-1,12*(YEAR((AI147-1))-YEAR(AF147))+MONTH((AI147-1))-MONTH(AF147)-IF(DAY((AI147-1))&lt;MIN(DAY(AF147),DAY(EOMONTH((AI147-1),0))),1,0))))</f>
        <v/>
      </c>
      <c r="AT147" s="13" t="str">
        <f aca="false">IF(AE147=0,"",IF(OR(AG147&lt;3,AJ147&gt;AsOfDate),AR147,IF((AJ147-1)&lt;AF147,-1,12*(YEAR((AJ147-1))-YEAR(AF147))+MONTH((AJ147-1))-MONTH(AF147)-IF(DAY((AJ147-1))&lt;MIN(DAY(AF147),DAY(EOMONTH((AJ147-1),0))),1,0))))</f>
        <v/>
      </c>
      <c r="AU147" s="13" t="str">
        <f aca="false">IF(AE147=0,"",IF(PFYDate&lt;AF147,-1,12*(YEAR(PFYDate)-YEAR(AF147))+MONTH(PFYDate)-MONTH(AF147)-IF(DAY(PFYDate)&lt;MIN(DAY(AF147),DAY(EOMONTH(PFYDate,0))),1,0)))</f>
        <v/>
      </c>
      <c r="AV147" s="13" t="str">
        <f aca="false">IF(AE147=0,"",IF(OR(AG147&lt;2,AI147&gt;PFYDate),AU147,IF((AI147-1)&lt;AF147,-1,12*(YEAR((AI147-1))-YEAR(AF147))+MONTH((AI147-1))-MONTH(AF147)-IF(DAY((AI147-1))&lt;MIN(DAY(AF147),DAY(EOMONTH((AI147-1),0))),1,0))))</f>
        <v/>
      </c>
      <c r="AW147" s="13" t="str">
        <f aca="false">IF(AE147=0,"",IF(OR(AG147&lt;3,AJ147&gt;PFYDate),AU147,IF((AJ147-1)&lt;AF147,-1,12*(YEAR((AJ147-1))-YEAR(AF147))+MONTH((AJ147-1))-MONTH(AF147)-IF(DAY((AJ147-1))&lt;MIN(DAY(AF147),DAY(EOMONTH((AJ147-1),0))),1,0))))</f>
        <v/>
      </c>
      <c r="AX147" s="13"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3"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3" t="str">
        <f aca="false">IF(AE147=0,"",IF(AQ147="FT",IF(AR147&lt;FT_First,FT_First,IF(AR147&lt;FT_Y5,MIN(FT_Y5,FT_First+FT_Int1*(INT((AR147-FT_First)/FT_Int1)+1)),FT_Y5+12*INT((AR147-FT_Y5)/12)+FT_Int2*(INT(MOD(AR147-FT_Y5,12)/FT_Int2)+1))),IF(AQ147="PT",IF(AR147&lt;PT_First,PT_First,PT_First+PT_Int*(INT((AR147-PT_First)/PT_Int)+1)),"")))</f>
        <v/>
      </c>
      <c r="BA147" s="13" t="str">
        <f aca="false">IF(AE147=0,"",IF(NOT(LH_Ready),0,COUNTIFS(INDEX(LH_Data,0,LH_ColFirst),$A147,INDEX(LH_Data,0,LH_ColSur),$B147,INDEX(LH_Data,0,LH_ColCat),BonusCat)))</f>
        <v/>
      </c>
      <c r="BB147" s="13" t="str">
        <f aca="false">IF(AE147=0,"",IF(OR(NOT(LH_Ready),BA147=0),0,SUMPRODUCT(MAX((INDEX(LH_Data,0,LH_ColFirst)=$A147)*(INDEX(LH_Data,0,LH_ColSur)=$B147)*(INDEX(LH_Data,0,LH_ColCat)=BonusCat)*ROW(LH_Data)))))</f>
        <v/>
      </c>
      <c r="BC147" s="0" t="str">
        <f aca="false">IF(LEN($A147&amp;$B147)=0,"",$A147&amp;" "&amp;$B147)</f>
        <v/>
      </c>
    </row>
    <row r="148" customFormat="false" ht="15" hidden="false" customHeight="false" outlineLevel="0" collapsed="false">
      <c r="A148" s="9"/>
      <c r="B148" s="9"/>
      <c r="C148" s="9"/>
      <c r="D148" s="10"/>
      <c r="E148" s="11" t="str">
        <f aca="false">IF(OR(AE148=0,$D148=""),"",DATE(YEAR(AsOfDate)+IF(DATE(YEAR(AsOfDate),MONTH($D148),DAY($D148))&lt;=AsOfDate,1,0),MONTH($D148),DAY($D148)))</f>
        <v/>
      </c>
      <c r="F148" s="10"/>
      <c r="G148" s="10"/>
      <c r="H148" s="10"/>
      <c r="I148" s="10"/>
      <c r="J148" s="10"/>
      <c r="K148" s="11" t="str">
        <f aca="false">IF(AE148=0,"",DATE(YEAR(AsOfDate)+IF(DATE(YEAR(AsOfDate),MONTH(AF148),DAY(AF148))&lt;=AsOfDate,1,0),MONTH(AF148),DAY(AF148)))</f>
        <v/>
      </c>
      <c r="L148" s="12" t="str">
        <f aca="false">IF(AE148=0,"",ROUND((AsOfDate-AF148)/365.25,1))</f>
        <v/>
      </c>
      <c r="M148" s="13" t="str">
        <f aca="false">IF(AE148=0,"",IF(AsOfDate&lt;AF148,"-",DATEDIF(AF148,AsOfDate,"y")&amp;"y "&amp;DATEDIF(AF148,AsOfDate,"ym")&amp;"m "&amp;DATEDIF(AF148,AsOfDate,"md")&amp;"d"))</f>
        <v/>
      </c>
      <c r="N148" s="14" t="str">
        <f aca="false">IF(AE148=0,"",O148*HoursPerDay)</f>
        <v/>
      </c>
      <c r="O148" s="14" t="str">
        <f aca="false">IF(AE148=0,"",AX148)</f>
        <v/>
      </c>
      <c r="P148" s="15"/>
      <c r="Q148" s="13"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13"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1" t="str">
        <f aca="false">IF(AE148=0,"",IF(AQ148="None","",EDATE(AF148,AZ148)))</f>
        <v/>
      </c>
      <c r="T148" s="14" t="str">
        <f aca="false">IF(AE148=0,"",IF(NOT(LH_Ready),"",IF(AF148&gt;PFYDate,0,IF(LH_ColPeriod=0,W148-U148+V148,SUMIFS(INDEX(LH_Data,0,LH_ColAcc),INDEX(LH_Data,0,LH_ColFirst),$A148,INDEX(LH_Data,0,LH_ColSur),$B148,INDEX(LH_Data,0,LH_ColCat),BonusCat,INDEX(LH_Data,0,LH_ColPeriod),LH_OpenLabel)*UnitFactor))))</f>
        <v/>
      </c>
      <c r="U148" s="14" t="str">
        <f aca="false">IF(AE148=0,"",IF(NOT(LH_Ready),"",SUMIFS(INDEX(LH_Data,0,LH_ColAcc),INDEX(LH_Data,0,LH_ColFirst),$A148,INDEX(LH_Data,0,LH_ColSur),$B148,INDEX(LH_Data,0,LH_ColCat),BonusCat,INDEX(LH_Data,0,LH_ColStart),"&gt;="&amp;AF148)*UnitFactor))</f>
        <v/>
      </c>
      <c r="V148" s="14" t="str">
        <f aca="false">IF(AE148=0,"",IF(NOT(LH_Ready),"",SUMIFS(INDEX(LH_Data,0,LH_ColTaken),INDEX(LH_Data,0,LH_ColFirst),$A148,INDEX(LH_Data,0,LH_ColSur),$B148,INDEX(LH_Data,0,LH_ColCat),BonusCat,INDEX(LH_Data,0,LH_ColStart),"&gt;="&amp;AF148)*UnitFactor))</f>
        <v/>
      </c>
      <c r="W148" s="14" t="str">
        <f aca="false">IF(AE148=0,"",IF(NOT(LH_Ready),"",IF(BB148=0,0,INDEX(INDEX(LH_Data,0,LH_ColClose),BB148-1)*UnitFactor)))</f>
        <v/>
      </c>
      <c r="X148" s="14" t="str">
        <f aca="false">IF(AE148=0,"",(AX148-AY148)*HoursPerDay)</f>
        <v/>
      </c>
      <c r="Y148" s="14" t="str">
        <f aca="false">IF(AE148=0,"",IF(NOT(LH_Ready),"",IF(BA148=0,N148,IF(PFYDate&lt;$F148,N148-N(T148)-N(U148),X148-N(U148)))))</f>
        <v/>
      </c>
      <c r="Z148" s="13" t="str">
        <f aca="false">IF(OR(AE148=0,Y148=""),"",IF(Y148&gt;0,"Yes","No"))</f>
        <v/>
      </c>
      <c r="AA148" s="13"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 hrs more than policy since commencement",IF(N(W148)&gt;O148*HoursPerDay+0.01,"CHECK - EH balance "&amp;ROUND(W148-O148*HoursPerDay,2)&amp;" hrs more than policy entitlement",IF(O148&gt;0,"OK - nothing to add",IF(AQ148="None",R148,"Not yet - first day on "&amp;TEXT(S148,"dd/mm/yyyy")))))))))</f>
        <v/>
      </c>
      <c r="AB148" s="14" t="str">
        <f aca="false">IF(OR(AE148=0,T148=""),"",AY148*HoursPerDay-T148)</f>
        <v/>
      </c>
      <c r="AC148" s="13" t="str">
        <f aca="false">IF(AE148=0,"",BA148)</f>
        <v/>
      </c>
      <c r="AD148" s="13"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3" t="n">
        <f aca="false">IF(OR(LEN($A148&amp;$B148)=0,$F148=""),0,1)</f>
        <v>0</v>
      </c>
      <c r="AF148" s="11" t="str">
        <f aca="false">IF(AE148=0,"",IF($J148&lt;&gt;"",$J148,IF(OR(CasualCounts="Yes",COUNT($G148:$I148)=0,COUNT($G148:$H148)=0),$F148,MIN($G148:$H148))))</f>
        <v/>
      </c>
      <c r="AG148" s="13" t="str">
        <f aca="false">IF(AE148=0,"",COUNT($G148:$I148))</f>
        <v/>
      </c>
      <c r="AH148" s="11" t="str">
        <f aca="false">IF(AE148=0,"",IFERROR(SMALL($G148:$I148,1),""))</f>
        <v/>
      </c>
      <c r="AI148" s="11" t="str">
        <f aca="false">IF(AE148=0,"",IFERROR(SMALL($G148:$I148,2),""))</f>
        <v/>
      </c>
      <c r="AJ148" s="11" t="str">
        <f aca="false">IF(AE148=0,"",IFERROR(SMALL($G148:$I148,3),""))</f>
        <v/>
      </c>
      <c r="AK148" s="13" t="str">
        <f aca="false">IF(AE148=0,"",IF(AH148="","",IF(AH148=$G148,"Part-Time",IF(AH148=$H148,"Full-Time","Casual"))))</f>
        <v/>
      </c>
      <c r="AL148" s="13" t="str">
        <f aca="false">IF(AE148=0,"",IF(AI148="","",IF(AI148=$G148,"Part-Time",IF(AI148=$H148,"Full-Time","Casual"))))</f>
        <v/>
      </c>
      <c r="AM148" s="13" t="str">
        <f aca="false">IF(AE148=0,"",IF(AJ148="","",IF(AJ148=$G148,"Part-Time",IF(AJ148=$H148,"Full-Time","Casual"))))</f>
        <v/>
      </c>
      <c r="AN148" s="13"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3" t="str">
        <f aca="false">IF(AE148=0,"",IF(AG148&lt;2,"",IF(OR(ISNUMBER(SEARCH("full",AL148)),UPPER(TRIM(AL148))="FT",UPPER(TRIM(AL148))="FTE"),"FT",IF(AND(OR(ISNUMBER(SEARCH("part",AL148)),UPPER(TRIM(AL148))="PT",UPPER(TRIM(AL148))="PTE"),OR($P148="",N($P148)&gt;=PT_MinHours)),"PT","None"))))</f>
        <v/>
      </c>
      <c r="AP148" s="13" t="str">
        <f aca="false">IF(AE148=0,"",IF(AG148&lt;3,"",IF(OR(ISNUMBER(SEARCH("full",AM148)),UPPER(TRIM(AM148))="FT",UPPER(TRIM(AM148))="FTE"),"FT",IF(AND(OR(ISNUMBER(SEARCH("part",AM148)),UPPER(TRIM(AM148))="PT",UPPER(TRIM(AM148))="PTE"),OR($P148="",N($P148)&gt;=PT_MinHours)),"PT","None"))))</f>
        <v/>
      </c>
      <c r="AQ148" s="13" t="str">
        <f aca="false">IF(AE148=0,"",IF(AND(AG148&gt;=3,AJ148&lt;=AsOfDate),AP148,IF(AND(AG148&gt;=2,AI148&lt;=AsOfDate),AO148,AN148)))</f>
        <v/>
      </c>
      <c r="AR148" s="13" t="str">
        <f aca="false">IF(AE148=0,"",IF(AsOfDate&lt;AF148,-1,12*(YEAR(AsOfDate)-YEAR(AF148))+MONTH(AsOfDate)-MONTH(AF148)-IF(DAY(AsOfDate)&lt;MIN(DAY(AF148),DAY(EOMONTH(AsOfDate,0))),1,0)))</f>
        <v/>
      </c>
      <c r="AS148" s="13" t="str">
        <f aca="false">IF(AE148=0,"",IF(OR(AG148&lt;2,AI148&gt;AsOfDate),AR148,IF((AI148-1)&lt;AF148,-1,12*(YEAR((AI148-1))-YEAR(AF148))+MONTH((AI148-1))-MONTH(AF148)-IF(DAY((AI148-1))&lt;MIN(DAY(AF148),DAY(EOMONTH((AI148-1),0))),1,0))))</f>
        <v/>
      </c>
      <c r="AT148" s="13" t="str">
        <f aca="false">IF(AE148=0,"",IF(OR(AG148&lt;3,AJ148&gt;AsOfDate),AR148,IF((AJ148-1)&lt;AF148,-1,12*(YEAR((AJ148-1))-YEAR(AF148))+MONTH((AJ148-1))-MONTH(AF148)-IF(DAY((AJ148-1))&lt;MIN(DAY(AF148),DAY(EOMONTH((AJ148-1),0))),1,0))))</f>
        <v/>
      </c>
      <c r="AU148" s="13" t="str">
        <f aca="false">IF(AE148=0,"",IF(PFYDate&lt;AF148,-1,12*(YEAR(PFYDate)-YEAR(AF148))+MONTH(PFYDate)-MONTH(AF148)-IF(DAY(PFYDate)&lt;MIN(DAY(AF148),DAY(EOMONTH(PFYDate,0))),1,0)))</f>
        <v/>
      </c>
      <c r="AV148" s="13" t="str">
        <f aca="false">IF(AE148=0,"",IF(OR(AG148&lt;2,AI148&gt;PFYDate),AU148,IF((AI148-1)&lt;AF148,-1,12*(YEAR((AI148-1))-YEAR(AF148))+MONTH((AI148-1))-MONTH(AF148)-IF(DAY((AI148-1))&lt;MIN(DAY(AF148),DAY(EOMONTH((AI148-1),0))),1,0))))</f>
        <v/>
      </c>
      <c r="AW148" s="13" t="str">
        <f aca="false">IF(AE148=0,"",IF(OR(AG148&lt;3,AJ148&gt;PFYDate),AU148,IF((AJ148-1)&lt;AF148,-1,12*(YEAR((AJ148-1))-YEAR(AF148))+MONTH((AJ148-1))-MONTH(AF148)-IF(DAY((AJ148-1))&lt;MIN(DAY(AF148),DAY(EOMONTH((AJ148-1),0))),1,0))))</f>
        <v/>
      </c>
      <c r="AX148" s="13"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3"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3" t="str">
        <f aca="false">IF(AE148=0,"",IF(AQ148="FT",IF(AR148&lt;FT_First,FT_First,IF(AR148&lt;FT_Y5,MIN(FT_Y5,FT_First+FT_Int1*(INT((AR148-FT_First)/FT_Int1)+1)),FT_Y5+12*INT((AR148-FT_Y5)/12)+FT_Int2*(INT(MOD(AR148-FT_Y5,12)/FT_Int2)+1))),IF(AQ148="PT",IF(AR148&lt;PT_First,PT_First,PT_First+PT_Int*(INT((AR148-PT_First)/PT_Int)+1)),"")))</f>
        <v/>
      </c>
      <c r="BA148" s="13" t="str">
        <f aca="false">IF(AE148=0,"",IF(NOT(LH_Ready),0,COUNTIFS(INDEX(LH_Data,0,LH_ColFirst),$A148,INDEX(LH_Data,0,LH_ColSur),$B148,INDEX(LH_Data,0,LH_ColCat),BonusCat)))</f>
        <v/>
      </c>
      <c r="BB148" s="13" t="str">
        <f aca="false">IF(AE148=0,"",IF(OR(NOT(LH_Ready),BA148=0),0,SUMPRODUCT(MAX((INDEX(LH_Data,0,LH_ColFirst)=$A148)*(INDEX(LH_Data,0,LH_ColSur)=$B148)*(INDEX(LH_Data,0,LH_ColCat)=BonusCat)*ROW(LH_Data)))))</f>
        <v/>
      </c>
      <c r="BC148" s="0" t="str">
        <f aca="false">IF(LEN($A148&amp;$B148)=0,"",$A148&amp;" "&amp;$B148)</f>
        <v/>
      </c>
    </row>
    <row r="149" customFormat="false" ht="15" hidden="false" customHeight="false" outlineLevel="0" collapsed="false">
      <c r="A149" s="9"/>
      <c r="B149" s="9"/>
      <c r="C149" s="9"/>
      <c r="D149" s="10"/>
      <c r="E149" s="11" t="str">
        <f aca="false">IF(OR(AE149=0,$D149=""),"",DATE(YEAR(AsOfDate)+IF(DATE(YEAR(AsOfDate),MONTH($D149),DAY($D149))&lt;=AsOfDate,1,0),MONTH($D149),DAY($D149)))</f>
        <v/>
      </c>
      <c r="F149" s="10"/>
      <c r="G149" s="10"/>
      <c r="H149" s="10"/>
      <c r="I149" s="10"/>
      <c r="J149" s="10"/>
      <c r="K149" s="11" t="str">
        <f aca="false">IF(AE149=0,"",DATE(YEAR(AsOfDate)+IF(DATE(YEAR(AsOfDate),MONTH(AF149),DAY(AF149))&lt;=AsOfDate,1,0),MONTH(AF149),DAY(AF149)))</f>
        <v/>
      </c>
      <c r="L149" s="12" t="str">
        <f aca="false">IF(AE149=0,"",ROUND((AsOfDate-AF149)/365.25,1))</f>
        <v/>
      </c>
      <c r="M149" s="13" t="str">
        <f aca="false">IF(AE149=0,"",IF(AsOfDate&lt;AF149,"-",DATEDIF(AF149,AsOfDate,"y")&amp;"y "&amp;DATEDIF(AF149,AsOfDate,"ym")&amp;"m "&amp;DATEDIF(AF149,AsOfDate,"md")&amp;"d"))</f>
        <v/>
      </c>
      <c r="N149" s="14" t="str">
        <f aca="false">IF(AE149=0,"",O149*HoursPerDay)</f>
        <v/>
      </c>
      <c r="O149" s="14" t="str">
        <f aca="false">IF(AE149=0,"",AX149)</f>
        <v/>
      </c>
      <c r="P149" s="15"/>
      <c r="Q149" s="13"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13"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1" t="str">
        <f aca="false">IF(AE149=0,"",IF(AQ149="None","",EDATE(AF149,AZ149)))</f>
        <v/>
      </c>
      <c r="T149" s="14" t="str">
        <f aca="false">IF(AE149=0,"",IF(NOT(LH_Ready),"",IF(AF149&gt;PFYDate,0,IF(LH_ColPeriod=0,W149-U149+V149,SUMIFS(INDEX(LH_Data,0,LH_ColAcc),INDEX(LH_Data,0,LH_ColFirst),$A149,INDEX(LH_Data,0,LH_ColSur),$B149,INDEX(LH_Data,0,LH_ColCat),BonusCat,INDEX(LH_Data,0,LH_ColPeriod),LH_OpenLabel)*UnitFactor))))</f>
        <v/>
      </c>
      <c r="U149" s="14" t="str">
        <f aca="false">IF(AE149=0,"",IF(NOT(LH_Ready),"",SUMIFS(INDEX(LH_Data,0,LH_ColAcc),INDEX(LH_Data,0,LH_ColFirst),$A149,INDEX(LH_Data,0,LH_ColSur),$B149,INDEX(LH_Data,0,LH_ColCat),BonusCat,INDEX(LH_Data,0,LH_ColStart),"&gt;="&amp;AF149)*UnitFactor))</f>
        <v/>
      </c>
      <c r="V149" s="14" t="str">
        <f aca="false">IF(AE149=0,"",IF(NOT(LH_Ready),"",SUMIFS(INDEX(LH_Data,0,LH_ColTaken),INDEX(LH_Data,0,LH_ColFirst),$A149,INDEX(LH_Data,0,LH_ColSur),$B149,INDEX(LH_Data,0,LH_ColCat),BonusCat,INDEX(LH_Data,0,LH_ColStart),"&gt;="&amp;AF149)*UnitFactor))</f>
        <v/>
      </c>
      <c r="W149" s="14" t="str">
        <f aca="false">IF(AE149=0,"",IF(NOT(LH_Ready),"",IF(BB149=0,0,INDEX(INDEX(LH_Data,0,LH_ColClose),BB149-1)*UnitFactor)))</f>
        <v/>
      </c>
      <c r="X149" s="14" t="str">
        <f aca="false">IF(AE149=0,"",(AX149-AY149)*HoursPerDay)</f>
        <v/>
      </c>
      <c r="Y149" s="14" t="str">
        <f aca="false">IF(AE149=0,"",IF(NOT(LH_Ready),"",IF(BA149=0,N149,IF(PFYDate&lt;$F149,N149-N(T149)-N(U149),X149-N(U149)))))</f>
        <v/>
      </c>
      <c r="Z149" s="13" t="str">
        <f aca="false">IF(OR(AE149=0,Y149=""),"",IF(Y149&gt;0,"Yes","No"))</f>
        <v/>
      </c>
      <c r="AA149" s="13"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 hrs more than policy since commencement",IF(N(W149)&gt;O149*HoursPerDay+0.01,"CHECK - EH balance "&amp;ROUND(W149-O149*HoursPerDay,2)&amp;" hrs more than policy entitlement",IF(O149&gt;0,"OK - nothing to add",IF(AQ149="None",R149,"Not yet - first day on "&amp;TEXT(S149,"dd/mm/yyyy")))))))))</f>
        <v/>
      </c>
      <c r="AB149" s="14" t="str">
        <f aca="false">IF(OR(AE149=0,T149=""),"",AY149*HoursPerDay-T149)</f>
        <v/>
      </c>
      <c r="AC149" s="13" t="str">
        <f aca="false">IF(AE149=0,"",BA149)</f>
        <v/>
      </c>
      <c r="AD149" s="13"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3" t="n">
        <f aca="false">IF(OR(LEN($A149&amp;$B149)=0,$F149=""),0,1)</f>
        <v>0</v>
      </c>
      <c r="AF149" s="11" t="str">
        <f aca="false">IF(AE149=0,"",IF($J149&lt;&gt;"",$J149,IF(OR(CasualCounts="Yes",COUNT($G149:$I149)=0,COUNT($G149:$H149)=0),$F149,MIN($G149:$H149))))</f>
        <v/>
      </c>
      <c r="AG149" s="13" t="str">
        <f aca="false">IF(AE149=0,"",COUNT($G149:$I149))</f>
        <v/>
      </c>
      <c r="AH149" s="11" t="str">
        <f aca="false">IF(AE149=0,"",IFERROR(SMALL($G149:$I149,1),""))</f>
        <v/>
      </c>
      <c r="AI149" s="11" t="str">
        <f aca="false">IF(AE149=0,"",IFERROR(SMALL($G149:$I149,2),""))</f>
        <v/>
      </c>
      <c r="AJ149" s="11" t="str">
        <f aca="false">IF(AE149=0,"",IFERROR(SMALL($G149:$I149,3),""))</f>
        <v/>
      </c>
      <c r="AK149" s="13" t="str">
        <f aca="false">IF(AE149=0,"",IF(AH149="","",IF(AH149=$G149,"Part-Time",IF(AH149=$H149,"Full-Time","Casual"))))</f>
        <v/>
      </c>
      <c r="AL149" s="13" t="str">
        <f aca="false">IF(AE149=0,"",IF(AI149="","",IF(AI149=$G149,"Part-Time",IF(AI149=$H149,"Full-Time","Casual"))))</f>
        <v/>
      </c>
      <c r="AM149" s="13" t="str">
        <f aca="false">IF(AE149=0,"",IF(AJ149="","",IF(AJ149=$G149,"Part-Time",IF(AJ149=$H149,"Full-Time","Casual"))))</f>
        <v/>
      </c>
      <c r="AN149" s="13"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3" t="str">
        <f aca="false">IF(AE149=0,"",IF(AG149&lt;2,"",IF(OR(ISNUMBER(SEARCH("full",AL149)),UPPER(TRIM(AL149))="FT",UPPER(TRIM(AL149))="FTE"),"FT",IF(AND(OR(ISNUMBER(SEARCH("part",AL149)),UPPER(TRIM(AL149))="PT",UPPER(TRIM(AL149))="PTE"),OR($P149="",N($P149)&gt;=PT_MinHours)),"PT","None"))))</f>
        <v/>
      </c>
      <c r="AP149" s="13" t="str">
        <f aca="false">IF(AE149=0,"",IF(AG149&lt;3,"",IF(OR(ISNUMBER(SEARCH("full",AM149)),UPPER(TRIM(AM149))="FT",UPPER(TRIM(AM149))="FTE"),"FT",IF(AND(OR(ISNUMBER(SEARCH("part",AM149)),UPPER(TRIM(AM149))="PT",UPPER(TRIM(AM149))="PTE"),OR($P149="",N($P149)&gt;=PT_MinHours)),"PT","None"))))</f>
        <v/>
      </c>
      <c r="AQ149" s="13" t="str">
        <f aca="false">IF(AE149=0,"",IF(AND(AG149&gt;=3,AJ149&lt;=AsOfDate),AP149,IF(AND(AG149&gt;=2,AI149&lt;=AsOfDate),AO149,AN149)))</f>
        <v/>
      </c>
      <c r="AR149" s="13" t="str">
        <f aca="false">IF(AE149=0,"",IF(AsOfDate&lt;AF149,-1,12*(YEAR(AsOfDate)-YEAR(AF149))+MONTH(AsOfDate)-MONTH(AF149)-IF(DAY(AsOfDate)&lt;MIN(DAY(AF149),DAY(EOMONTH(AsOfDate,0))),1,0)))</f>
        <v/>
      </c>
      <c r="AS149" s="13" t="str">
        <f aca="false">IF(AE149=0,"",IF(OR(AG149&lt;2,AI149&gt;AsOfDate),AR149,IF((AI149-1)&lt;AF149,-1,12*(YEAR((AI149-1))-YEAR(AF149))+MONTH((AI149-1))-MONTH(AF149)-IF(DAY((AI149-1))&lt;MIN(DAY(AF149),DAY(EOMONTH((AI149-1),0))),1,0))))</f>
        <v/>
      </c>
      <c r="AT149" s="13" t="str">
        <f aca="false">IF(AE149=0,"",IF(OR(AG149&lt;3,AJ149&gt;AsOfDate),AR149,IF((AJ149-1)&lt;AF149,-1,12*(YEAR((AJ149-1))-YEAR(AF149))+MONTH((AJ149-1))-MONTH(AF149)-IF(DAY((AJ149-1))&lt;MIN(DAY(AF149),DAY(EOMONTH((AJ149-1),0))),1,0))))</f>
        <v/>
      </c>
      <c r="AU149" s="13" t="str">
        <f aca="false">IF(AE149=0,"",IF(PFYDate&lt;AF149,-1,12*(YEAR(PFYDate)-YEAR(AF149))+MONTH(PFYDate)-MONTH(AF149)-IF(DAY(PFYDate)&lt;MIN(DAY(AF149),DAY(EOMONTH(PFYDate,0))),1,0)))</f>
        <v/>
      </c>
      <c r="AV149" s="13" t="str">
        <f aca="false">IF(AE149=0,"",IF(OR(AG149&lt;2,AI149&gt;PFYDate),AU149,IF((AI149-1)&lt;AF149,-1,12*(YEAR((AI149-1))-YEAR(AF149))+MONTH((AI149-1))-MONTH(AF149)-IF(DAY((AI149-1))&lt;MIN(DAY(AF149),DAY(EOMONTH((AI149-1),0))),1,0))))</f>
        <v/>
      </c>
      <c r="AW149" s="13" t="str">
        <f aca="false">IF(AE149=0,"",IF(OR(AG149&lt;3,AJ149&gt;PFYDate),AU149,IF((AJ149-1)&lt;AF149,-1,12*(YEAR((AJ149-1))-YEAR(AF149))+MONTH((AJ149-1))-MONTH(AF149)-IF(DAY((AJ149-1))&lt;MIN(DAY(AF149),DAY(EOMONTH((AJ149-1),0))),1,0))))</f>
        <v/>
      </c>
      <c r="AX149" s="13"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3"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3" t="str">
        <f aca="false">IF(AE149=0,"",IF(AQ149="FT",IF(AR149&lt;FT_First,FT_First,IF(AR149&lt;FT_Y5,MIN(FT_Y5,FT_First+FT_Int1*(INT((AR149-FT_First)/FT_Int1)+1)),FT_Y5+12*INT((AR149-FT_Y5)/12)+FT_Int2*(INT(MOD(AR149-FT_Y5,12)/FT_Int2)+1))),IF(AQ149="PT",IF(AR149&lt;PT_First,PT_First,PT_First+PT_Int*(INT((AR149-PT_First)/PT_Int)+1)),"")))</f>
        <v/>
      </c>
      <c r="BA149" s="13" t="str">
        <f aca="false">IF(AE149=0,"",IF(NOT(LH_Ready),0,COUNTIFS(INDEX(LH_Data,0,LH_ColFirst),$A149,INDEX(LH_Data,0,LH_ColSur),$B149,INDEX(LH_Data,0,LH_ColCat),BonusCat)))</f>
        <v/>
      </c>
      <c r="BB149" s="13" t="str">
        <f aca="false">IF(AE149=0,"",IF(OR(NOT(LH_Ready),BA149=0),0,SUMPRODUCT(MAX((INDEX(LH_Data,0,LH_ColFirst)=$A149)*(INDEX(LH_Data,0,LH_ColSur)=$B149)*(INDEX(LH_Data,0,LH_ColCat)=BonusCat)*ROW(LH_Data)))))</f>
        <v/>
      </c>
      <c r="BC149" s="0" t="str">
        <f aca="false">IF(LEN($A149&amp;$B149)=0,"",$A149&amp;" "&amp;$B149)</f>
        <v/>
      </c>
    </row>
    <row r="150" customFormat="false" ht="15" hidden="false" customHeight="false" outlineLevel="0" collapsed="false">
      <c r="A150" s="9"/>
      <c r="B150" s="9"/>
      <c r="C150" s="9"/>
      <c r="D150" s="10"/>
      <c r="E150" s="11" t="str">
        <f aca="false">IF(OR(AE150=0,$D150=""),"",DATE(YEAR(AsOfDate)+IF(DATE(YEAR(AsOfDate),MONTH($D150),DAY($D150))&lt;=AsOfDate,1,0),MONTH($D150),DAY($D150)))</f>
        <v/>
      </c>
      <c r="F150" s="10"/>
      <c r="G150" s="10"/>
      <c r="H150" s="10"/>
      <c r="I150" s="10"/>
      <c r="J150" s="10"/>
      <c r="K150" s="11" t="str">
        <f aca="false">IF(AE150=0,"",DATE(YEAR(AsOfDate)+IF(DATE(YEAR(AsOfDate),MONTH(AF150),DAY(AF150))&lt;=AsOfDate,1,0),MONTH(AF150),DAY(AF150)))</f>
        <v/>
      </c>
      <c r="L150" s="12" t="str">
        <f aca="false">IF(AE150=0,"",ROUND((AsOfDate-AF150)/365.25,1))</f>
        <v/>
      </c>
      <c r="M150" s="13" t="str">
        <f aca="false">IF(AE150=0,"",IF(AsOfDate&lt;AF150,"-",DATEDIF(AF150,AsOfDate,"y")&amp;"y "&amp;DATEDIF(AF150,AsOfDate,"ym")&amp;"m "&amp;DATEDIF(AF150,AsOfDate,"md")&amp;"d"))</f>
        <v/>
      </c>
      <c r="N150" s="14" t="str">
        <f aca="false">IF(AE150=0,"",O150*HoursPerDay)</f>
        <v/>
      </c>
      <c r="O150" s="14" t="str">
        <f aca="false">IF(AE150=0,"",AX150)</f>
        <v/>
      </c>
      <c r="P150" s="15"/>
      <c r="Q150" s="13"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13"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1" t="str">
        <f aca="false">IF(AE150=0,"",IF(AQ150="None","",EDATE(AF150,AZ150)))</f>
        <v/>
      </c>
      <c r="T150" s="14" t="str">
        <f aca="false">IF(AE150=0,"",IF(NOT(LH_Ready),"",IF(AF150&gt;PFYDate,0,IF(LH_ColPeriod=0,W150-U150+V150,SUMIFS(INDEX(LH_Data,0,LH_ColAcc),INDEX(LH_Data,0,LH_ColFirst),$A150,INDEX(LH_Data,0,LH_ColSur),$B150,INDEX(LH_Data,0,LH_ColCat),BonusCat,INDEX(LH_Data,0,LH_ColPeriod),LH_OpenLabel)*UnitFactor))))</f>
        <v/>
      </c>
      <c r="U150" s="14" t="str">
        <f aca="false">IF(AE150=0,"",IF(NOT(LH_Ready),"",SUMIFS(INDEX(LH_Data,0,LH_ColAcc),INDEX(LH_Data,0,LH_ColFirst),$A150,INDEX(LH_Data,0,LH_ColSur),$B150,INDEX(LH_Data,0,LH_ColCat),BonusCat,INDEX(LH_Data,0,LH_ColStart),"&gt;="&amp;AF150)*UnitFactor))</f>
        <v/>
      </c>
      <c r="V150" s="14" t="str">
        <f aca="false">IF(AE150=0,"",IF(NOT(LH_Ready),"",SUMIFS(INDEX(LH_Data,0,LH_ColTaken),INDEX(LH_Data,0,LH_ColFirst),$A150,INDEX(LH_Data,0,LH_ColSur),$B150,INDEX(LH_Data,0,LH_ColCat),BonusCat,INDEX(LH_Data,0,LH_ColStart),"&gt;="&amp;AF150)*UnitFactor))</f>
        <v/>
      </c>
      <c r="W150" s="14" t="str">
        <f aca="false">IF(AE150=0,"",IF(NOT(LH_Ready),"",IF(BB150=0,0,INDEX(INDEX(LH_Data,0,LH_ColClose),BB150-1)*UnitFactor)))</f>
        <v/>
      </c>
      <c r="X150" s="14" t="str">
        <f aca="false">IF(AE150=0,"",(AX150-AY150)*HoursPerDay)</f>
        <v/>
      </c>
      <c r="Y150" s="14" t="str">
        <f aca="false">IF(AE150=0,"",IF(NOT(LH_Ready),"",IF(BA150=0,N150,IF(PFYDate&lt;$F150,N150-N(T150)-N(U150),X150-N(U150)))))</f>
        <v/>
      </c>
      <c r="Z150" s="13" t="str">
        <f aca="false">IF(OR(AE150=0,Y150=""),"",IF(Y150&gt;0,"Yes","No"))</f>
        <v/>
      </c>
      <c r="AA150" s="13"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 hrs more than policy since commencement",IF(N(W150)&gt;O150*HoursPerDay+0.01,"CHECK - EH balance "&amp;ROUND(W150-O150*HoursPerDay,2)&amp;" hrs more than policy entitlement",IF(O150&gt;0,"OK - nothing to add",IF(AQ150="None",R150,"Not yet - first day on "&amp;TEXT(S150,"dd/mm/yyyy")))))))))</f>
        <v/>
      </c>
      <c r="AB150" s="14" t="str">
        <f aca="false">IF(OR(AE150=0,T150=""),"",AY150*HoursPerDay-T150)</f>
        <v/>
      </c>
      <c r="AC150" s="13" t="str">
        <f aca="false">IF(AE150=0,"",BA150)</f>
        <v/>
      </c>
      <c r="AD150" s="13"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3" t="n">
        <f aca="false">IF(OR(LEN($A150&amp;$B150)=0,$F150=""),0,1)</f>
        <v>0</v>
      </c>
      <c r="AF150" s="11" t="str">
        <f aca="false">IF(AE150=0,"",IF($J150&lt;&gt;"",$J150,IF(OR(CasualCounts="Yes",COUNT($G150:$I150)=0,COUNT($G150:$H150)=0),$F150,MIN($G150:$H150))))</f>
        <v/>
      </c>
      <c r="AG150" s="13" t="str">
        <f aca="false">IF(AE150=0,"",COUNT($G150:$I150))</f>
        <v/>
      </c>
      <c r="AH150" s="11" t="str">
        <f aca="false">IF(AE150=0,"",IFERROR(SMALL($G150:$I150,1),""))</f>
        <v/>
      </c>
      <c r="AI150" s="11" t="str">
        <f aca="false">IF(AE150=0,"",IFERROR(SMALL($G150:$I150,2),""))</f>
        <v/>
      </c>
      <c r="AJ150" s="11" t="str">
        <f aca="false">IF(AE150=0,"",IFERROR(SMALL($G150:$I150,3),""))</f>
        <v/>
      </c>
      <c r="AK150" s="13" t="str">
        <f aca="false">IF(AE150=0,"",IF(AH150="","",IF(AH150=$G150,"Part-Time",IF(AH150=$H150,"Full-Time","Casual"))))</f>
        <v/>
      </c>
      <c r="AL150" s="13" t="str">
        <f aca="false">IF(AE150=0,"",IF(AI150="","",IF(AI150=$G150,"Part-Time",IF(AI150=$H150,"Full-Time","Casual"))))</f>
        <v/>
      </c>
      <c r="AM150" s="13" t="str">
        <f aca="false">IF(AE150=0,"",IF(AJ150="","",IF(AJ150=$G150,"Part-Time",IF(AJ150=$H150,"Full-Time","Casual"))))</f>
        <v/>
      </c>
      <c r="AN150" s="13"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3" t="str">
        <f aca="false">IF(AE150=0,"",IF(AG150&lt;2,"",IF(OR(ISNUMBER(SEARCH("full",AL150)),UPPER(TRIM(AL150))="FT",UPPER(TRIM(AL150))="FTE"),"FT",IF(AND(OR(ISNUMBER(SEARCH("part",AL150)),UPPER(TRIM(AL150))="PT",UPPER(TRIM(AL150))="PTE"),OR($P150="",N($P150)&gt;=PT_MinHours)),"PT","None"))))</f>
        <v/>
      </c>
      <c r="AP150" s="13" t="str">
        <f aca="false">IF(AE150=0,"",IF(AG150&lt;3,"",IF(OR(ISNUMBER(SEARCH("full",AM150)),UPPER(TRIM(AM150))="FT",UPPER(TRIM(AM150))="FTE"),"FT",IF(AND(OR(ISNUMBER(SEARCH("part",AM150)),UPPER(TRIM(AM150))="PT",UPPER(TRIM(AM150))="PTE"),OR($P150="",N($P150)&gt;=PT_MinHours)),"PT","None"))))</f>
        <v/>
      </c>
      <c r="AQ150" s="13" t="str">
        <f aca="false">IF(AE150=0,"",IF(AND(AG150&gt;=3,AJ150&lt;=AsOfDate),AP150,IF(AND(AG150&gt;=2,AI150&lt;=AsOfDate),AO150,AN150)))</f>
        <v/>
      </c>
      <c r="AR150" s="13" t="str">
        <f aca="false">IF(AE150=0,"",IF(AsOfDate&lt;AF150,-1,12*(YEAR(AsOfDate)-YEAR(AF150))+MONTH(AsOfDate)-MONTH(AF150)-IF(DAY(AsOfDate)&lt;MIN(DAY(AF150),DAY(EOMONTH(AsOfDate,0))),1,0)))</f>
        <v/>
      </c>
      <c r="AS150" s="13" t="str">
        <f aca="false">IF(AE150=0,"",IF(OR(AG150&lt;2,AI150&gt;AsOfDate),AR150,IF((AI150-1)&lt;AF150,-1,12*(YEAR((AI150-1))-YEAR(AF150))+MONTH((AI150-1))-MONTH(AF150)-IF(DAY((AI150-1))&lt;MIN(DAY(AF150),DAY(EOMONTH((AI150-1),0))),1,0))))</f>
        <v/>
      </c>
      <c r="AT150" s="13" t="str">
        <f aca="false">IF(AE150=0,"",IF(OR(AG150&lt;3,AJ150&gt;AsOfDate),AR150,IF((AJ150-1)&lt;AF150,-1,12*(YEAR((AJ150-1))-YEAR(AF150))+MONTH((AJ150-1))-MONTH(AF150)-IF(DAY((AJ150-1))&lt;MIN(DAY(AF150),DAY(EOMONTH((AJ150-1),0))),1,0))))</f>
        <v/>
      </c>
      <c r="AU150" s="13" t="str">
        <f aca="false">IF(AE150=0,"",IF(PFYDate&lt;AF150,-1,12*(YEAR(PFYDate)-YEAR(AF150))+MONTH(PFYDate)-MONTH(AF150)-IF(DAY(PFYDate)&lt;MIN(DAY(AF150),DAY(EOMONTH(PFYDate,0))),1,0)))</f>
        <v/>
      </c>
      <c r="AV150" s="13" t="str">
        <f aca="false">IF(AE150=0,"",IF(OR(AG150&lt;2,AI150&gt;PFYDate),AU150,IF((AI150-1)&lt;AF150,-1,12*(YEAR((AI150-1))-YEAR(AF150))+MONTH((AI150-1))-MONTH(AF150)-IF(DAY((AI150-1))&lt;MIN(DAY(AF150),DAY(EOMONTH((AI150-1),0))),1,0))))</f>
        <v/>
      </c>
      <c r="AW150" s="13" t="str">
        <f aca="false">IF(AE150=0,"",IF(OR(AG150&lt;3,AJ150&gt;PFYDate),AU150,IF((AJ150-1)&lt;AF150,-1,12*(YEAR((AJ150-1))-YEAR(AF150))+MONTH((AJ150-1))-MONTH(AF150)-IF(DAY((AJ150-1))&lt;MIN(DAY(AF150),DAY(EOMONTH((AJ150-1),0))),1,0))))</f>
        <v/>
      </c>
      <c r="AX150" s="13"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3"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3" t="str">
        <f aca="false">IF(AE150=0,"",IF(AQ150="FT",IF(AR150&lt;FT_First,FT_First,IF(AR150&lt;FT_Y5,MIN(FT_Y5,FT_First+FT_Int1*(INT((AR150-FT_First)/FT_Int1)+1)),FT_Y5+12*INT((AR150-FT_Y5)/12)+FT_Int2*(INT(MOD(AR150-FT_Y5,12)/FT_Int2)+1))),IF(AQ150="PT",IF(AR150&lt;PT_First,PT_First,PT_First+PT_Int*(INT((AR150-PT_First)/PT_Int)+1)),"")))</f>
        <v/>
      </c>
      <c r="BA150" s="13" t="str">
        <f aca="false">IF(AE150=0,"",IF(NOT(LH_Ready),0,COUNTIFS(INDEX(LH_Data,0,LH_ColFirst),$A150,INDEX(LH_Data,0,LH_ColSur),$B150,INDEX(LH_Data,0,LH_ColCat),BonusCat)))</f>
        <v/>
      </c>
      <c r="BB150" s="13" t="str">
        <f aca="false">IF(AE150=0,"",IF(OR(NOT(LH_Ready),BA150=0),0,SUMPRODUCT(MAX((INDEX(LH_Data,0,LH_ColFirst)=$A150)*(INDEX(LH_Data,0,LH_ColSur)=$B150)*(INDEX(LH_Data,0,LH_ColCat)=BonusCat)*ROW(LH_Data)))))</f>
        <v/>
      </c>
      <c r="BC150" s="0" t="str">
        <f aca="false">IF(LEN($A150&amp;$B150)=0,"",$A150&amp;" "&amp;$B150)</f>
        <v/>
      </c>
    </row>
    <row r="151" customFormat="false" ht="15" hidden="false" customHeight="false" outlineLevel="0" collapsed="false">
      <c r="A151" s="9"/>
      <c r="B151" s="9"/>
      <c r="C151" s="9"/>
      <c r="D151" s="10"/>
      <c r="E151" s="11" t="str">
        <f aca="false">IF(OR(AE151=0,$D151=""),"",DATE(YEAR(AsOfDate)+IF(DATE(YEAR(AsOfDate),MONTH($D151),DAY($D151))&lt;=AsOfDate,1,0),MONTH($D151),DAY($D151)))</f>
        <v/>
      </c>
      <c r="F151" s="10"/>
      <c r="G151" s="10"/>
      <c r="H151" s="10"/>
      <c r="I151" s="10"/>
      <c r="J151" s="10"/>
      <c r="K151" s="11" t="str">
        <f aca="false">IF(AE151=0,"",DATE(YEAR(AsOfDate)+IF(DATE(YEAR(AsOfDate),MONTH(AF151),DAY(AF151))&lt;=AsOfDate,1,0),MONTH(AF151),DAY(AF151)))</f>
        <v/>
      </c>
      <c r="L151" s="12" t="str">
        <f aca="false">IF(AE151=0,"",ROUND((AsOfDate-AF151)/365.25,1))</f>
        <v/>
      </c>
      <c r="M151" s="13" t="str">
        <f aca="false">IF(AE151=0,"",IF(AsOfDate&lt;AF151,"-",DATEDIF(AF151,AsOfDate,"y")&amp;"y "&amp;DATEDIF(AF151,AsOfDate,"ym")&amp;"m "&amp;DATEDIF(AF151,AsOfDate,"md")&amp;"d"))</f>
        <v/>
      </c>
      <c r="N151" s="14" t="str">
        <f aca="false">IF(AE151=0,"",O151*HoursPerDay)</f>
        <v/>
      </c>
      <c r="O151" s="14" t="str">
        <f aca="false">IF(AE151=0,"",AX151)</f>
        <v/>
      </c>
      <c r="P151" s="15"/>
      <c r="Q151" s="13"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13"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1" t="str">
        <f aca="false">IF(AE151=0,"",IF(AQ151="None","",EDATE(AF151,AZ151)))</f>
        <v/>
      </c>
      <c r="T151" s="14" t="str">
        <f aca="false">IF(AE151=0,"",IF(NOT(LH_Ready),"",IF(AF151&gt;PFYDate,0,IF(LH_ColPeriod=0,W151-U151+V151,SUMIFS(INDEX(LH_Data,0,LH_ColAcc),INDEX(LH_Data,0,LH_ColFirst),$A151,INDEX(LH_Data,0,LH_ColSur),$B151,INDEX(LH_Data,0,LH_ColCat),BonusCat,INDEX(LH_Data,0,LH_ColPeriod),LH_OpenLabel)*UnitFactor))))</f>
        <v/>
      </c>
      <c r="U151" s="14" t="str">
        <f aca="false">IF(AE151=0,"",IF(NOT(LH_Ready),"",SUMIFS(INDEX(LH_Data,0,LH_ColAcc),INDEX(LH_Data,0,LH_ColFirst),$A151,INDEX(LH_Data,0,LH_ColSur),$B151,INDEX(LH_Data,0,LH_ColCat),BonusCat,INDEX(LH_Data,0,LH_ColStart),"&gt;="&amp;AF151)*UnitFactor))</f>
        <v/>
      </c>
      <c r="V151" s="14" t="str">
        <f aca="false">IF(AE151=0,"",IF(NOT(LH_Ready),"",SUMIFS(INDEX(LH_Data,0,LH_ColTaken),INDEX(LH_Data,0,LH_ColFirst),$A151,INDEX(LH_Data,0,LH_ColSur),$B151,INDEX(LH_Data,0,LH_ColCat),BonusCat,INDEX(LH_Data,0,LH_ColStart),"&gt;="&amp;AF151)*UnitFactor))</f>
        <v/>
      </c>
      <c r="W151" s="14" t="str">
        <f aca="false">IF(AE151=0,"",IF(NOT(LH_Ready),"",IF(BB151=0,0,INDEX(INDEX(LH_Data,0,LH_ColClose),BB151-1)*UnitFactor)))</f>
        <v/>
      </c>
      <c r="X151" s="14" t="str">
        <f aca="false">IF(AE151=0,"",(AX151-AY151)*HoursPerDay)</f>
        <v/>
      </c>
      <c r="Y151" s="14" t="str">
        <f aca="false">IF(AE151=0,"",IF(NOT(LH_Ready),"",IF(BA151=0,N151,IF(PFYDate&lt;$F151,N151-N(T151)-N(U151),X151-N(U151)))))</f>
        <v/>
      </c>
      <c r="Z151" s="13" t="str">
        <f aca="false">IF(OR(AE151=0,Y151=""),"",IF(Y151&gt;0,"Yes","No"))</f>
        <v/>
      </c>
      <c r="AA151" s="13"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 hrs more than policy since commencement",IF(N(W151)&gt;O151*HoursPerDay+0.01,"CHECK - EH balance "&amp;ROUND(W151-O151*HoursPerDay,2)&amp;" hrs more than policy entitlement",IF(O151&gt;0,"OK - nothing to add",IF(AQ151="None",R151,"Not yet - first day on "&amp;TEXT(S151,"dd/mm/yyyy")))))))))</f>
        <v/>
      </c>
      <c r="AB151" s="14" t="str">
        <f aca="false">IF(OR(AE151=0,T151=""),"",AY151*HoursPerDay-T151)</f>
        <v/>
      </c>
      <c r="AC151" s="13" t="str">
        <f aca="false">IF(AE151=0,"",BA151)</f>
        <v/>
      </c>
      <c r="AD151" s="13"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3" t="n">
        <f aca="false">IF(OR(LEN($A151&amp;$B151)=0,$F151=""),0,1)</f>
        <v>0</v>
      </c>
      <c r="AF151" s="11" t="str">
        <f aca="false">IF(AE151=0,"",IF($J151&lt;&gt;"",$J151,IF(OR(CasualCounts="Yes",COUNT($G151:$I151)=0,COUNT($G151:$H151)=0),$F151,MIN($G151:$H151))))</f>
        <v/>
      </c>
      <c r="AG151" s="13" t="str">
        <f aca="false">IF(AE151=0,"",COUNT($G151:$I151))</f>
        <v/>
      </c>
      <c r="AH151" s="11" t="str">
        <f aca="false">IF(AE151=0,"",IFERROR(SMALL($G151:$I151,1),""))</f>
        <v/>
      </c>
      <c r="AI151" s="11" t="str">
        <f aca="false">IF(AE151=0,"",IFERROR(SMALL($G151:$I151,2),""))</f>
        <v/>
      </c>
      <c r="AJ151" s="11" t="str">
        <f aca="false">IF(AE151=0,"",IFERROR(SMALL($G151:$I151,3),""))</f>
        <v/>
      </c>
      <c r="AK151" s="13" t="str">
        <f aca="false">IF(AE151=0,"",IF(AH151="","",IF(AH151=$G151,"Part-Time",IF(AH151=$H151,"Full-Time","Casual"))))</f>
        <v/>
      </c>
      <c r="AL151" s="13" t="str">
        <f aca="false">IF(AE151=0,"",IF(AI151="","",IF(AI151=$G151,"Part-Time",IF(AI151=$H151,"Full-Time","Casual"))))</f>
        <v/>
      </c>
      <c r="AM151" s="13" t="str">
        <f aca="false">IF(AE151=0,"",IF(AJ151="","",IF(AJ151=$G151,"Part-Time",IF(AJ151=$H151,"Full-Time","Casual"))))</f>
        <v/>
      </c>
      <c r="AN151" s="13"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3" t="str">
        <f aca="false">IF(AE151=0,"",IF(AG151&lt;2,"",IF(OR(ISNUMBER(SEARCH("full",AL151)),UPPER(TRIM(AL151))="FT",UPPER(TRIM(AL151))="FTE"),"FT",IF(AND(OR(ISNUMBER(SEARCH("part",AL151)),UPPER(TRIM(AL151))="PT",UPPER(TRIM(AL151))="PTE"),OR($P151="",N($P151)&gt;=PT_MinHours)),"PT","None"))))</f>
        <v/>
      </c>
      <c r="AP151" s="13" t="str">
        <f aca="false">IF(AE151=0,"",IF(AG151&lt;3,"",IF(OR(ISNUMBER(SEARCH("full",AM151)),UPPER(TRIM(AM151))="FT",UPPER(TRIM(AM151))="FTE"),"FT",IF(AND(OR(ISNUMBER(SEARCH("part",AM151)),UPPER(TRIM(AM151))="PT",UPPER(TRIM(AM151))="PTE"),OR($P151="",N($P151)&gt;=PT_MinHours)),"PT","None"))))</f>
        <v/>
      </c>
      <c r="AQ151" s="13" t="str">
        <f aca="false">IF(AE151=0,"",IF(AND(AG151&gt;=3,AJ151&lt;=AsOfDate),AP151,IF(AND(AG151&gt;=2,AI151&lt;=AsOfDate),AO151,AN151)))</f>
        <v/>
      </c>
      <c r="AR151" s="13" t="str">
        <f aca="false">IF(AE151=0,"",IF(AsOfDate&lt;AF151,-1,12*(YEAR(AsOfDate)-YEAR(AF151))+MONTH(AsOfDate)-MONTH(AF151)-IF(DAY(AsOfDate)&lt;MIN(DAY(AF151),DAY(EOMONTH(AsOfDate,0))),1,0)))</f>
        <v/>
      </c>
      <c r="AS151" s="13" t="str">
        <f aca="false">IF(AE151=0,"",IF(OR(AG151&lt;2,AI151&gt;AsOfDate),AR151,IF((AI151-1)&lt;AF151,-1,12*(YEAR((AI151-1))-YEAR(AF151))+MONTH((AI151-1))-MONTH(AF151)-IF(DAY((AI151-1))&lt;MIN(DAY(AF151),DAY(EOMONTH((AI151-1),0))),1,0))))</f>
        <v/>
      </c>
      <c r="AT151" s="13" t="str">
        <f aca="false">IF(AE151=0,"",IF(OR(AG151&lt;3,AJ151&gt;AsOfDate),AR151,IF((AJ151-1)&lt;AF151,-1,12*(YEAR((AJ151-1))-YEAR(AF151))+MONTH((AJ151-1))-MONTH(AF151)-IF(DAY((AJ151-1))&lt;MIN(DAY(AF151),DAY(EOMONTH((AJ151-1),0))),1,0))))</f>
        <v/>
      </c>
      <c r="AU151" s="13" t="str">
        <f aca="false">IF(AE151=0,"",IF(PFYDate&lt;AF151,-1,12*(YEAR(PFYDate)-YEAR(AF151))+MONTH(PFYDate)-MONTH(AF151)-IF(DAY(PFYDate)&lt;MIN(DAY(AF151),DAY(EOMONTH(PFYDate,0))),1,0)))</f>
        <v/>
      </c>
      <c r="AV151" s="13" t="str">
        <f aca="false">IF(AE151=0,"",IF(OR(AG151&lt;2,AI151&gt;PFYDate),AU151,IF((AI151-1)&lt;AF151,-1,12*(YEAR((AI151-1))-YEAR(AF151))+MONTH((AI151-1))-MONTH(AF151)-IF(DAY((AI151-1))&lt;MIN(DAY(AF151),DAY(EOMONTH((AI151-1),0))),1,0))))</f>
        <v/>
      </c>
      <c r="AW151" s="13" t="str">
        <f aca="false">IF(AE151=0,"",IF(OR(AG151&lt;3,AJ151&gt;PFYDate),AU151,IF((AJ151-1)&lt;AF151,-1,12*(YEAR((AJ151-1))-YEAR(AF151))+MONTH((AJ151-1))-MONTH(AF151)-IF(DAY((AJ151-1))&lt;MIN(DAY(AF151),DAY(EOMONTH((AJ151-1),0))),1,0))))</f>
        <v/>
      </c>
      <c r="AX151" s="13"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3"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3" t="str">
        <f aca="false">IF(AE151=0,"",IF(AQ151="FT",IF(AR151&lt;FT_First,FT_First,IF(AR151&lt;FT_Y5,MIN(FT_Y5,FT_First+FT_Int1*(INT((AR151-FT_First)/FT_Int1)+1)),FT_Y5+12*INT((AR151-FT_Y5)/12)+FT_Int2*(INT(MOD(AR151-FT_Y5,12)/FT_Int2)+1))),IF(AQ151="PT",IF(AR151&lt;PT_First,PT_First,PT_First+PT_Int*(INT((AR151-PT_First)/PT_Int)+1)),"")))</f>
        <v/>
      </c>
      <c r="BA151" s="13" t="str">
        <f aca="false">IF(AE151=0,"",IF(NOT(LH_Ready),0,COUNTIFS(INDEX(LH_Data,0,LH_ColFirst),$A151,INDEX(LH_Data,0,LH_ColSur),$B151,INDEX(LH_Data,0,LH_ColCat),BonusCat)))</f>
        <v/>
      </c>
      <c r="BB151" s="13" t="str">
        <f aca="false">IF(AE151=0,"",IF(OR(NOT(LH_Ready),BA151=0),0,SUMPRODUCT(MAX((INDEX(LH_Data,0,LH_ColFirst)=$A151)*(INDEX(LH_Data,0,LH_ColSur)=$B151)*(INDEX(LH_Data,0,LH_ColCat)=BonusCat)*ROW(LH_Data)))))</f>
        <v/>
      </c>
      <c r="BC151" s="0" t="str">
        <f aca="false">IF(LEN($A151&amp;$B151)=0,"",$A151&amp;" "&amp;$B151)</f>
        <v/>
      </c>
    </row>
    <row r="152" customFormat="false" ht="15" hidden="false" customHeight="false" outlineLevel="0" collapsed="false">
      <c r="A152" s="9"/>
      <c r="B152" s="9"/>
      <c r="C152" s="9"/>
      <c r="D152" s="10"/>
      <c r="E152" s="11" t="str">
        <f aca="false">IF(OR(AE152=0,$D152=""),"",DATE(YEAR(AsOfDate)+IF(DATE(YEAR(AsOfDate),MONTH($D152),DAY($D152))&lt;=AsOfDate,1,0),MONTH($D152),DAY($D152)))</f>
        <v/>
      </c>
      <c r="F152" s="10"/>
      <c r="G152" s="10"/>
      <c r="H152" s="10"/>
      <c r="I152" s="10"/>
      <c r="J152" s="10"/>
      <c r="K152" s="11" t="str">
        <f aca="false">IF(AE152=0,"",DATE(YEAR(AsOfDate)+IF(DATE(YEAR(AsOfDate),MONTH(AF152),DAY(AF152))&lt;=AsOfDate,1,0),MONTH(AF152),DAY(AF152)))</f>
        <v/>
      </c>
      <c r="L152" s="12" t="str">
        <f aca="false">IF(AE152=0,"",ROUND((AsOfDate-AF152)/365.25,1))</f>
        <v/>
      </c>
      <c r="M152" s="13" t="str">
        <f aca="false">IF(AE152=0,"",IF(AsOfDate&lt;AF152,"-",DATEDIF(AF152,AsOfDate,"y")&amp;"y "&amp;DATEDIF(AF152,AsOfDate,"ym")&amp;"m "&amp;DATEDIF(AF152,AsOfDate,"md")&amp;"d"))</f>
        <v/>
      </c>
      <c r="N152" s="14" t="str">
        <f aca="false">IF(AE152=0,"",O152*HoursPerDay)</f>
        <v/>
      </c>
      <c r="O152" s="14" t="str">
        <f aca="false">IF(AE152=0,"",AX152)</f>
        <v/>
      </c>
      <c r="P152" s="15"/>
      <c r="Q152" s="13"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13"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1" t="str">
        <f aca="false">IF(AE152=0,"",IF(AQ152="None","",EDATE(AF152,AZ152)))</f>
        <v/>
      </c>
      <c r="T152" s="14" t="str">
        <f aca="false">IF(AE152=0,"",IF(NOT(LH_Ready),"",IF(AF152&gt;PFYDate,0,IF(LH_ColPeriod=0,W152-U152+V152,SUMIFS(INDEX(LH_Data,0,LH_ColAcc),INDEX(LH_Data,0,LH_ColFirst),$A152,INDEX(LH_Data,0,LH_ColSur),$B152,INDEX(LH_Data,0,LH_ColCat),BonusCat,INDEX(LH_Data,0,LH_ColPeriod),LH_OpenLabel)*UnitFactor))))</f>
        <v/>
      </c>
      <c r="U152" s="14" t="str">
        <f aca="false">IF(AE152=0,"",IF(NOT(LH_Ready),"",SUMIFS(INDEX(LH_Data,0,LH_ColAcc),INDEX(LH_Data,0,LH_ColFirst),$A152,INDEX(LH_Data,0,LH_ColSur),$B152,INDEX(LH_Data,0,LH_ColCat),BonusCat,INDEX(LH_Data,0,LH_ColStart),"&gt;="&amp;AF152)*UnitFactor))</f>
        <v/>
      </c>
      <c r="V152" s="14" t="str">
        <f aca="false">IF(AE152=0,"",IF(NOT(LH_Ready),"",SUMIFS(INDEX(LH_Data,0,LH_ColTaken),INDEX(LH_Data,0,LH_ColFirst),$A152,INDEX(LH_Data,0,LH_ColSur),$B152,INDEX(LH_Data,0,LH_ColCat),BonusCat,INDEX(LH_Data,0,LH_ColStart),"&gt;="&amp;AF152)*UnitFactor))</f>
        <v/>
      </c>
      <c r="W152" s="14" t="str">
        <f aca="false">IF(AE152=0,"",IF(NOT(LH_Ready),"",IF(BB152=0,0,INDEX(INDEX(LH_Data,0,LH_ColClose),BB152-1)*UnitFactor)))</f>
        <v/>
      </c>
      <c r="X152" s="14" t="str">
        <f aca="false">IF(AE152=0,"",(AX152-AY152)*HoursPerDay)</f>
        <v/>
      </c>
      <c r="Y152" s="14" t="str">
        <f aca="false">IF(AE152=0,"",IF(NOT(LH_Ready),"",IF(BA152=0,N152,IF(PFYDate&lt;$F152,N152-N(T152)-N(U152),X152-N(U152)))))</f>
        <v/>
      </c>
      <c r="Z152" s="13" t="str">
        <f aca="false">IF(OR(AE152=0,Y152=""),"",IF(Y152&gt;0,"Yes","No"))</f>
        <v/>
      </c>
      <c r="AA152" s="13"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 hrs more than policy since commencement",IF(N(W152)&gt;O152*HoursPerDay+0.01,"CHECK - EH balance "&amp;ROUND(W152-O152*HoursPerDay,2)&amp;" hrs more than policy entitlement",IF(O152&gt;0,"OK - nothing to add",IF(AQ152="None",R152,"Not yet - first day on "&amp;TEXT(S152,"dd/mm/yyyy")))))))))</f>
        <v/>
      </c>
      <c r="AB152" s="14" t="str">
        <f aca="false">IF(OR(AE152=0,T152=""),"",AY152*HoursPerDay-T152)</f>
        <v/>
      </c>
      <c r="AC152" s="13" t="str">
        <f aca="false">IF(AE152=0,"",BA152)</f>
        <v/>
      </c>
      <c r="AD152" s="13"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3" t="n">
        <f aca="false">IF(OR(LEN($A152&amp;$B152)=0,$F152=""),0,1)</f>
        <v>0</v>
      </c>
      <c r="AF152" s="11" t="str">
        <f aca="false">IF(AE152=0,"",IF($J152&lt;&gt;"",$J152,IF(OR(CasualCounts="Yes",COUNT($G152:$I152)=0,COUNT($G152:$H152)=0),$F152,MIN($G152:$H152))))</f>
        <v/>
      </c>
      <c r="AG152" s="13" t="str">
        <f aca="false">IF(AE152=0,"",COUNT($G152:$I152))</f>
        <v/>
      </c>
      <c r="AH152" s="11" t="str">
        <f aca="false">IF(AE152=0,"",IFERROR(SMALL($G152:$I152,1),""))</f>
        <v/>
      </c>
      <c r="AI152" s="11" t="str">
        <f aca="false">IF(AE152=0,"",IFERROR(SMALL($G152:$I152,2),""))</f>
        <v/>
      </c>
      <c r="AJ152" s="11" t="str">
        <f aca="false">IF(AE152=0,"",IFERROR(SMALL($G152:$I152,3),""))</f>
        <v/>
      </c>
      <c r="AK152" s="13" t="str">
        <f aca="false">IF(AE152=0,"",IF(AH152="","",IF(AH152=$G152,"Part-Time",IF(AH152=$H152,"Full-Time","Casual"))))</f>
        <v/>
      </c>
      <c r="AL152" s="13" t="str">
        <f aca="false">IF(AE152=0,"",IF(AI152="","",IF(AI152=$G152,"Part-Time",IF(AI152=$H152,"Full-Time","Casual"))))</f>
        <v/>
      </c>
      <c r="AM152" s="13" t="str">
        <f aca="false">IF(AE152=0,"",IF(AJ152="","",IF(AJ152=$G152,"Part-Time",IF(AJ152=$H152,"Full-Time","Casual"))))</f>
        <v/>
      </c>
      <c r="AN152" s="13"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3" t="str">
        <f aca="false">IF(AE152=0,"",IF(AG152&lt;2,"",IF(OR(ISNUMBER(SEARCH("full",AL152)),UPPER(TRIM(AL152))="FT",UPPER(TRIM(AL152))="FTE"),"FT",IF(AND(OR(ISNUMBER(SEARCH("part",AL152)),UPPER(TRIM(AL152))="PT",UPPER(TRIM(AL152))="PTE"),OR($P152="",N($P152)&gt;=PT_MinHours)),"PT","None"))))</f>
        <v/>
      </c>
      <c r="AP152" s="13" t="str">
        <f aca="false">IF(AE152=0,"",IF(AG152&lt;3,"",IF(OR(ISNUMBER(SEARCH("full",AM152)),UPPER(TRIM(AM152))="FT",UPPER(TRIM(AM152))="FTE"),"FT",IF(AND(OR(ISNUMBER(SEARCH("part",AM152)),UPPER(TRIM(AM152))="PT",UPPER(TRIM(AM152))="PTE"),OR($P152="",N($P152)&gt;=PT_MinHours)),"PT","None"))))</f>
        <v/>
      </c>
      <c r="AQ152" s="13" t="str">
        <f aca="false">IF(AE152=0,"",IF(AND(AG152&gt;=3,AJ152&lt;=AsOfDate),AP152,IF(AND(AG152&gt;=2,AI152&lt;=AsOfDate),AO152,AN152)))</f>
        <v/>
      </c>
      <c r="AR152" s="13" t="str">
        <f aca="false">IF(AE152=0,"",IF(AsOfDate&lt;AF152,-1,12*(YEAR(AsOfDate)-YEAR(AF152))+MONTH(AsOfDate)-MONTH(AF152)-IF(DAY(AsOfDate)&lt;MIN(DAY(AF152),DAY(EOMONTH(AsOfDate,0))),1,0)))</f>
        <v/>
      </c>
      <c r="AS152" s="13" t="str">
        <f aca="false">IF(AE152=0,"",IF(OR(AG152&lt;2,AI152&gt;AsOfDate),AR152,IF((AI152-1)&lt;AF152,-1,12*(YEAR((AI152-1))-YEAR(AF152))+MONTH((AI152-1))-MONTH(AF152)-IF(DAY((AI152-1))&lt;MIN(DAY(AF152),DAY(EOMONTH((AI152-1),0))),1,0))))</f>
        <v/>
      </c>
      <c r="AT152" s="13" t="str">
        <f aca="false">IF(AE152=0,"",IF(OR(AG152&lt;3,AJ152&gt;AsOfDate),AR152,IF((AJ152-1)&lt;AF152,-1,12*(YEAR((AJ152-1))-YEAR(AF152))+MONTH((AJ152-1))-MONTH(AF152)-IF(DAY((AJ152-1))&lt;MIN(DAY(AF152),DAY(EOMONTH((AJ152-1),0))),1,0))))</f>
        <v/>
      </c>
      <c r="AU152" s="13" t="str">
        <f aca="false">IF(AE152=0,"",IF(PFYDate&lt;AF152,-1,12*(YEAR(PFYDate)-YEAR(AF152))+MONTH(PFYDate)-MONTH(AF152)-IF(DAY(PFYDate)&lt;MIN(DAY(AF152),DAY(EOMONTH(PFYDate,0))),1,0)))</f>
        <v/>
      </c>
      <c r="AV152" s="13" t="str">
        <f aca="false">IF(AE152=0,"",IF(OR(AG152&lt;2,AI152&gt;PFYDate),AU152,IF((AI152-1)&lt;AF152,-1,12*(YEAR((AI152-1))-YEAR(AF152))+MONTH((AI152-1))-MONTH(AF152)-IF(DAY((AI152-1))&lt;MIN(DAY(AF152),DAY(EOMONTH((AI152-1),0))),1,0))))</f>
        <v/>
      </c>
      <c r="AW152" s="13" t="str">
        <f aca="false">IF(AE152=0,"",IF(OR(AG152&lt;3,AJ152&gt;PFYDate),AU152,IF((AJ152-1)&lt;AF152,-1,12*(YEAR((AJ152-1))-YEAR(AF152))+MONTH((AJ152-1))-MONTH(AF152)-IF(DAY((AJ152-1))&lt;MIN(DAY(AF152),DAY(EOMONTH((AJ152-1),0))),1,0))))</f>
        <v/>
      </c>
      <c r="AX152" s="13"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3"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3" t="str">
        <f aca="false">IF(AE152=0,"",IF(AQ152="FT",IF(AR152&lt;FT_First,FT_First,IF(AR152&lt;FT_Y5,MIN(FT_Y5,FT_First+FT_Int1*(INT((AR152-FT_First)/FT_Int1)+1)),FT_Y5+12*INT((AR152-FT_Y5)/12)+FT_Int2*(INT(MOD(AR152-FT_Y5,12)/FT_Int2)+1))),IF(AQ152="PT",IF(AR152&lt;PT_First,PT_First,PT_First+PT_Int*(INT((AR152-PT_First)/PT_Int)+1)),"")))</f>
        <v/>
      </c>
      <c r="BA152" s="13" t="str">
        <f aca="false">IF(AE152=0,"",IF(NOT(LH_Ready),0,COUNTIFS(INDEX(LH_Data,0,LH_ColFirst),$A152,INDEX(LH_Data,0,LH_ColSur),$B152,INDEX(LH_Data,0,LH_ColCat),BonusCat)))</f>
        <v/>
      </c>
      <c r="BB152" s="13" t="str">
        <f aca="false">IF(AE152=0,"",IF(OR(NOT(LH_Ready),BA152=0),0,SUMPRODUCT(MAX((INDEX(LH_Data,0,LH_ColFirst)=$A152)*(INDEX(LH_Data,0,LH_ColSur)=$B152)*(INDEX(LH_Data,0,LH_ColCat)=BonusCat)*ROW(LH_Data)))))</f>
        <v/>
      </c>
      <c r="BC152" s="0" t="str">
        <f aca="false">IF(LEN($A152&amp;$B152)=0,"",$A152&amp;" "&amp;$B152)</f>
        <v/>
      </c>
    </row>
    <row r="153" customFormat="false" ht="15" hidden="false" customHeight="false" outlineLevel="0" collapsed="false">
      <c r="A153" s="9"/>
      <c r="B153" s="9"/>
      <c r="C153" s="9"/>
      <c r="D153" s="10"/>
      <c r="E153" s="11" t="str">
        <f aca="false">IF(OR(AE153=0,$D153=""),"",DATE(YEAR(AsOfDate)+IF(DATE(YEAR(AsOfDate),MONTH($D153),DAY($D153))&lt;=AsOfDate,1,0),MONTH($D153),DAY($D153)))</f>
        <v/>
      </c>
      <c r="F153" s="10"/>
      <c r="G153" s="10"/>
      <c r="H153" s="10"/>
      <c r="I153" s="10"/>
      <c r="J153" s="10"/>
      <c r="K153" s="11" t="str">
        <f aca="false">IF(AE153=0,"",DATE(YEAR(AsOfDate)+IF(DATE(YEAR(AsOfDate),MONTH(AF153),DAY(AF153))&lt;=AsOfDate,1,0),MONTH(AF153),DAY(AF153)))</f>
        <v/>
      </c>
      <c r="L153" s="12" t="str">
        <f aca="false">IF(AE153=0,"",ROUND((AsOfDate-AF153)/365.25,1))</f>
        <v/>
      </c>
      <c r="M153" s="13" t="str">
        <f aca="false">IF(AE153=0,"",IF(AsOfDate&lt;AF153,"-",DATEDIF(AF153,AsOfDate,"y")&amp;"y "&amp;DATEDIF(AF153,AsOfDate,"ym")&amp;"m "&amp;DATEDIF(AF153,AsOfDate,"md")&amp;"d"))</f>
        <v/>
      </c>
      <c r="N153" s="14" t="str">
        <f aca="false">IF(AE153=0,"",O153*HoursPerDay)</f>
        <v/>
      </c>
      <c r="O153" s="14" t="str">
        <f aca="false">IF(AE153=0,"",AX153)</f>
        <v/>
      </c>
      <c r="P153" s="15"/>
      <c r="Q153" s="13"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13"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1" t="str">
        <f aca="false">IF(AE153=0,"",IF(AQ153="None","",EDATE(AF153,AZ153)))</f>
        <v/>
      </c>
      <c r="T153" s="14" t="str">
        <f aca="false">IF(AE153=0,"",IF(NOT(LH_Ready),"",IF(AF153&gt;PFYDate,0,IF(LH_ColPeriod=0,W153-U153+V153,SUMIFS(INDEX(LH_Data,0,LH_ColAcc),INDEX(LH_Data,0,LH_ColFirst),$A153,INDEX(LH_Data,0,LH_ColSur),$B153,INDEX(LH_Data,0,LH_ColCat),BonusCat,INDEX(LH_Data,0,LH_ColPeriod),LH_OpenLabel)*UnitFactor))))</f>
        <v/>
      </c>
      <c r="U153" s="14" t="str">
        <f aca="false">IF(AE153=0,"",IF(NOT(LH_Ready),"",SUMIFS(INDEX(LH_Data,0,LH_ColAcc),INDEX(LH_Data,0,LH_ColFirst),$A153,INDEX(LH_Data,0,LH_ColSur),$B153,INDEX(LH_Data,0,LH_ColCat),BonusCat,INDEX(LH_Data,0,LH_ColStart),"&gt;="&amp;AF153)*UnitFactor))</f>
        <v/>
      </c>
      <c r="V153" s="14" t="str">
        <f aca="false">IF(AE153=0,"",IF(NOT(LH_Ready),"",SUMIFS(INDEX(LH_Data,0,LH_ColTaken),INDEX(LH_Data,0,LH_ColFirst),$A153,INDEX(LH_Data,0,LH_ColSur),$B153,INDEX(LH_Data,0,LH_ColCat),BonusCat,INDEX(LH_Data,0,LH_ColStart),"&gt;="&amp;AF153)*UnitFactor))</f>
        <v/>
      </c>
      <c r="W153" s="14" t="str">
        <f aca="false">IF(AE153=0,"",IF(NOT(LH_Ready),"",IF(BB153=0,0,INDEX(INDEX(LH_Data,0,LH_ColClose),BB153-1)*UnitFactor)))</f>
        <v/>
      </c>
      <c r="X153" s="14" t="str">
        <f aca="false">IF(AE153=0,"",(AX153-AY153)*HoursPerDay)</f>
        <v/>
      </c>
      <c r="Y153" s="14" t="str">
        <f aca="false">IF(AE153=0,"",IF(NOT(LH_Ready),"",IF(BA153=0,N153,IF(PFYDate&lt;$F153,N153-N(T153)-N(U153),X153-N(U153)))))</f>
        <v/>
      </c>
      <c r="Z153" s="13" t="str">
        <f aca="false">IF(OR(AE153=0,Y153=""),"",IF(Y153&gt;0,"Yes","No"))</f>
        <v/>
      </c>
      <c r="AA153" s="13"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 hrs more than policy since commencement",IF(N(W153)&gt;O153*HoursPerDay+0.01,"CHECK - EH balance "&amp;ROUND(W153-O153*HoursPerDay,2)&amp;" hrs more than policy entitlement",IF(O153&gt;0,"OK - nothing to add",IF(AQ153="None",R153,"Not yet - first day on "&amp;TEXT(S153,"dd/mm/yyyy")))))))))</f>
        <v/>
      </c>
      <c r="AB153" s="14" t="str">
        <f aca="false">IF(OR(AE153=0,T153=""),"",AY153*HoursPerDay-T153)</f>
        <v/>
      </c>
      <c r="AC153" s="13" t="str">
        <f aca="false">IF(AE153=0,"",BA153)</f>
        <v/>
      </c>
      <c r="AD153" s="13"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3" t="n">
        <f aca="false">IF(OR(LEN($A153&amp;$B153)=0,$F153=""),0,1)</f>
        <v>0</v>
      </c>
      <c r="AF153" s="11" t="str">
        <f aca="false">IF(AE153=0,"",IF($J153&lt;&gt;"",$J153,IF(OR(CasualCounts="Yes",COUNT($G153:$I153)=0,COUNT($G153:$H153)=0),$F153,MIN($G153:$H153))))</f>
        <v/>
      </c>
      <c r="AG153" s="13" t="str">
        <f aca="false">IF(AE153=0,"",COUNT($G153:$I153))</f>
        <v/>
      </c>
      <c r="AH153" s="11" t="str">
        <f aca="false">IF(AE153=0,"",IFERROR(SMALL($G153:$I153,1),""))</f>
        <v/>
      </c>
      <c r="AI153" s="11" t="str">
        <f aca="false">IF(AE153=0,"",IFERROR(SMALL($G153:$I153,2),""))</f>
        <v/>
      </c>
      <c r="AJ153" s="11" t="str">
        <f aca="false">IF(AE153=0,"",IFERROR(SMALL($G153:$I153,3),""))</f>
        <v/>
      </c>
      <c r="AK153" s="13" t="str">
        <f aca="false">IF(AE153=0,"",IF(AH153="","",IF(AH153=$G153,"Part-Time",IF(AH153=$H153,"Full-Time","Casual"))))</f>
        <v/>
      </c>
      <c r="AL153" s="13" t="str">
        <f aca="false">IF(AE153=0,"",IF(AI153="","",IF(AI153=$G153,"Part-Time",IF(AI153=$H153,"Full-Time","Casual"))))</f>
        <v/>
      </c>
      <c r="AM153" s="13" t="str">
        <f aca="false">IF(AE153=0,"",IF(AJ153="","",IF(AJ153=$G153,"Part-Time",IF(AJ153=$H153,"Full-Time","Casual"))))</f>
        <v/>
      </c>
      <c r="AN153" s="13"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3" t="str">
        <f aca="false">IF(AE153=0,"",IF(AG153&lt;2,"",IF(OR(ISNUMBER(SEARCH("full",AL153)),UPPER(TRIM(AL153))="FT",UPPER(TRIM(AL153))="FTE"),"FT",IF(AND(OR(ISNUMBER(SEARCH("part",AL153)),UPPER(TRIM(AL153))="PT",UPPER(TRIM(AL153))="PTE"),OR($P153="",N($P153)&gt;=PT_MinHours)),"PT","None"))))</f>
        <v/>
      </c>
      <c r="AP153" s="13" t="str">
        <f aca="false">IF(AE153=0,"",IF(AG153&lt;3,"",IF(OR(ISNUMBER(SEARCH("full",AM153)),UPPER(TRIM(AM153))="FT",UPPER(TRIM(AM153))="FTE"),"FT",IF(AND(OR(ISNUMBER(SEARCH("part",AM153)),UPPER(TRIM(AM153))="PT",UPPER(TRIM(AM153))="PTE"),OR($P153="",N($P153)&gt;=PT_MinHours)),"PT","None"))))</f>
        <v/>
      </c>
      <c r="AQ153" s="13" t="str">
        <f aca="false">IF(AE153=0,"",IF(AND(AG153&gt;=3,AJ153&lt;=AsOfDate),AP153,IF(AND(AG153&gt;=2,AI153&lt;=AsOfDate),AO153,AN153)))</f>
        <v/>
      </c>
      <c r="AR153" s="13" t="str">
        <f aca="false">IF(AE153=0,"",IF(AsOfDate&lt;AF153,-1,12*(YEAR(AsOfDate)-YEAR(AF153))+MONTH(AsOfDate)-MONTH(AF153)-IF(DAY(AsOfDate)&lt;MIN(DAY(AF153),DAY(EOMONTH(AsOfDate,0))),1,0)))</f>
        <v/>
      </c>
      <c r="AS153" s="13" t="str">
        <f aca="false">IF(AE153=0,"",IF(OR(AG153&lt;2,AI153&gt;AsOfDate),AR153,IF((AI153-1)&lt;AF153,-1,12*(YEAR((AI153-1))-YEAR(AF153))+MONTH((AI153-1))-MONTH(AF153)-IF(DAY((AI153-1))&lt;MIN(DAY(AF153),DAY(EOMONTH((AI153-1),0))),1,0))))</f>
        <v/>
      </c>
      <c r="AT153" s="13" t="str">
        <f aca="false">IF(AE153=0,"",IF(OR(AG153&lt;3,AJ153&gt;AsOfDate),AR153,IF((AJ153-1)&lt;AF153,-1,12*(YEAR((AJ153-1))-YEAR(AF153))+MONTH((AJ153-1))-MONTH(AF153)-IF(DAY((AJ153-1))&lt;MIN(DAY(AF153),DAY(EOMONTH((AJ153-1),0))),1,0))))</f>
        <v/>
      </c>
      <c r="AU153" s="13" t="str">
        <f aca="false">IF(AE153=0,"",IF(PFYDate&lt;AF153,-1,12*(YEAR(PFYDate)-YEAR(AF153))+MONTH(PFYDate)-MONTH(AF153)-IF(DAY(PFYDate)&lt;MIN(DAY(AF153),DAY(EOMONTH(PFYDate,0))),1,0)))</f>
        <v/>
      </c>
      <c r="AV153" s="13" t="str">
        <f aca="false">IF(AE153=0,"",IF(OR(AG153&lt;2,AI153&gt;PFYDate),AU153,IF((AI153-1)&lt;AF153,-1,12*(YEAR((AI153-1))-YEAR(AF153))+MONTH((AI153-1))-MONTH(AF153)-IF(DAY((AI153-1))&lt;MIN(DAY(AF153),DAY(EOMONTH((AI153-1),0))),1,0))))</f>
        <v/>
      </c>
      <c r="AW153" s="13" t="str">
        <f aca="false">IF(AE153=0,"",IF(OR(AG153&lt;3,AJ153&gt;PFYDate),AU153,IF((AJ153-1)&lt;AF153,-1,12*(YEAR((AJ153-1))-YEAR(AF153))+MONTH((AJ153-1))-MONTH(AF153)-IF(DAY((AJ153-1))&lt;MIN(DAY(AF153),DAY(EOMONTH((AJ153-1),0))),1,0))))</f>
        <v/>
      </c>
      <c r="AX153" s="13"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3"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3" t="str">
        <f aca="false">IF(AE153=0,"",IF(AQ153="FT",IF(AR153&lt;FT_First,FT_First,IF(AR153&lt;FT_Y5,MIN(FT_Y5,FT_First+FT_Int1*(INT((AR153-FT_First)/FT_Int1)+1)),FT_Y5+12*INT((AR153-FT_Y5)/12)+FT_Int2*(INT(MOD(AR153-FT_Y5,12)/FT_Int2)+1))),IF(AQ153="PT",IF(AR153&lt;PT_First,PT_First,PT_First+PT_Int*(INT((AR153-PT_First)/PT_Int)+1)),"")))</f>
        <v/>
      </c>
      <c r="BA153" s="13" t="str">
        <f aca="false">IF(AE153=0,"",IF(NOT(LH_Ready),0,COUNTIFS(INDEX(LH_Data,0,LH_ColFirst),$A153,INDEX(LH_Data,0,LH_ColSur),$B153,INDEX(LH_Data,0,LH_ColCat),BonusCat)))</f>
        <v/>
      </c>
      <c r="BB153" s="13" t="str">
        <f aca="false">IF(AE153=0,"",IF(OR(NOT(LH_Ready),BA153=0),0,SUMPRODUCT(MAX((INDEX(LH_Data,0,LH_ColFirst)=$A153)*(INDEX(LH_Data,0,LH_ColSur)=$B153)*(INDEX(LH_Data,0,LH_ColCat)=BonusCat)*ROW(LH_Data)))))</f>
        <v/>
      </c>
      <c r="BC153" s="0" t="str">
        <f aca="false">IF(LEN($A153&amp;$B153)=0,"",$A153&amp;" "&amp;$B153)</f>
        <v/>
      </c>
    </row>
    <row r="154" customFormat="false" ht="15" hidden="false" customHeight="false" outlineLevel="0" collapsed="false">
      <c r="A154" s="9"/>
      <c r="B154" s="9"/>
      <c r="C154" s="9"/>
      <c r="D154" s="10"/>
      <c r="E154" s="11" t="str">
        <f aca="false">IF(OR(AE154=0,$D154=""),"",DATE(YEAR(AsOfDate)+IF(DATE(YEAR(AsOfDate),MONTH($D154),DAY($D154))&lt;=AsOfDate,1,0),MONTH($D154),DAY($D154)))</f>
        <v/>
      </c>
      <c r="F154" s="10"/>
      <c r="G154" s="10"/>
      <c r="H154" s="10"/>
      <c r="I154" s="10"/>
      <c r="J154" s="10"/>
      <c r="K154" s="11" t="str">
        <f aca="false">IF(AE154=0,"",DATE(YEAR(AsOfDate)+IF(DATE(YEAR(AsOfDate),MONTH(AF154),DAY(AF154))&lt;=AsOfDate,1,0),MONTH(AF154),DAY(AF154)))</f>
        <v/>
      </c>
      <c r="L154" s="12" t="str">
        <f aca="false">IF(AE154=0,"",ROUND((AsOfDate-AF154)/365.25,1))</f>
        <v/>
      </c>
      <c r="M154" s="13" t="str">
        <f aca="false">IF(AE154=0,"",IF(AsOfDate&lt;AF154,"-",DATEDIF(AF154,AsOfDate,"y")&amp;"y "&amp;DATEDIF(AF154,AsOfDate,"ym")&amp;"m "&amp;DATEDIF(AF154,AsOfDate,"md")&amp;"d"))</f>
        <v/>
      </c>
      <c r="N154" s="14" t="str">
        <f aca="false">IF(AE154=0,"",O154*HoursPerDay)</f>
        <v/>
      </c>
      <c r="O154" s="14" t="str">
        <f aca="false">IF(AE154=0,"",AX154)</f>
        <v/>
      </c>
      <c r="P154" s="15"/>
      <c r="Q154" s="13"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13"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1" t="str">
        <f aca="false">IF(AE154=0,"",IF(AQ154="None","",EDATE(AF154,AZ154)))</f>
        <v/>
      </c>
      <c r="T154" s="14" t="str">
        <f aca="false">IF(AE154=0,"",IF(NOT(LH_Ready),"",IF(AF154&gt;PFYDate,0,IF(LH_ColPeriod=0,W154-U154+V154,SUMIFS(INDEX(LH_Data,0,LH_ColAcc),INDEX(LH_Data,0,LH_ColFirst),$A154,INDEX(LH_Data,0,LH_ColSur),$B154,INDEX(LH_Data,0,LH_ColCat),BonusCat,INDEX(LH_Data,0,LH_ColPeriod),LH_OpenLabel)*UnitFactor))))</f>
        <v/>
      </c>
      <c r="U154" s="14" t="str">
        <f aca="false">IF(AE154=0,"",IF(NOT(LH_Ready),"",SUMIFS(INDEX(LH_Data,0,LH_ColAcc),INDEX(LH_Data,0,LH_ColFirst),$A154,INDEX(LH_Data,0,LH_ColSur),$B154,INDEX(LH_Data,0,LH_ColCat),BonusCat,INDEX(LH_Data,0,LH_ColStart),"&gt;="&amp;AF154)*UnitFactor))</f>
        <v/>
      </c>
      <c r="V154" s="14" t="str">
        <f aca="false">IF(AE154=0,"",IF(NOT(LH_Ready),"",SUMIFS(INDEX(LH_Data,0,LH_ColTaken),INDEX(LH_Data,0,LH_ColFirst),$A154,INDEX(LH_Data,0,LH_ColSur),$B154,INDEX(LH_Data,0,LH_ColCat),BonusCat,INDEX(LH_Data,0,LH_ColStart),"&gt;="&amp;AF154)*UnitFactor))</f>
        <v/>
      </c>
      <c r="W154" s="14" t="str">
        <f aca="false">IF(AE154=0,"",IF(NOT(LH_Ready),"",IF(BB154=0,0,INDEX(INDEX(LH_Data,0,LH_ColClose),BB154-1)*UnitFactor)))</f>
        <v/>
      </c>
      <c r="X154" s="14" t="str">
        <f aca="false">IF(AE154=0,"",(AX154-AY154)*HoursPerDay)</f>
        <v/>
      </c>
      <c r="Y154" s="14" t="str">
        <f aca="false">IF(AE154=0,"",IF(NOT(LH_Ready),"",IF(BA154=0,N154,IF(PFYDate&lt;$F154,N154-N(T154)-N(U154),X154-N(U154)))))</f>
        <v/>
      </c>
      <c r="Z154" s="13" t="str">
        <f aca="false">IF(OR(AE154=0,Y154=""),"",IF(Y154&gt;0,"Yes","No"))</f>
        <v/>
      </c>
      <c r="AA154" s="13"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 hrs more than policy since commencement",IF(N(W154)&gt;O154*HoursPerDay+0.01,"CHECK - EH balance "&amp;ROUND(W154-O154*HoursPerDay,2)&amp;" hrs more than policy entitlement",IF(O154&gt;0,"OK - nothing to add",IF(AQ154="None",R154,"Not yet - first day on "&amp;TEXT(S154,"dd/mm/yyyy")))))))))</f>
        <v/>
      </c>
      <c r="AB154" s="14" t="str">
        <f aca="false">IF(OR(AE154=0,T154=""),"",AY154*HoursPerDay-T154)</f>
        <v/>
      </c>
      <c r="AC154" s="13" t="str">
        <f aca="false">IF(AE154=0,"",BA154)</f>
        <v/>
      </c>
      <c r="AD154" s="13"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3" t="n">
        <f aca="false">IF(OR(LEN($A154&amp;$B154)=0,$F154=""),0,1)</f>
        <v>0</v>
      </c>
      <c r="AF154" s="11" t="str">
        <f aca="false">IF(AE154=0,"",IF($J154&lt;&gt;"",$J154,IF(OR(CasualCounts="Yes",COUNT($G154:$I154)=0,COUNT($G154:$H154)=0),$F154,MIN($G154:$H154))))</f>
        <v/>
      </c>
      <c r="AG154" s="13" t="str">
        <f aca="false">IF(AE154=0,"",COUNT($G154:$I154))</f>
        <v/>
      </c>
      <c r="AH154" s="11" t="str">
        <f aca="false">IF(AE154=0,"",IFERROR(SMALL($G154:$I154,1),""))</f>
        <v/>
      </c>
      <c r="AI154" s="11" t="str">
        <f aca="false">IF(AE154=0,"",IFERROR(SMALL($G154:$I154,2),""))</f>
        <v/>
      </c>
      <c r="AJ154" s="11" t="str">
        <f aca="false">IF(AE154=0,"",IFERROR(SMALL($G154:$I154,3),""))</f>
        <v/>
      </c>
      <c r="AK154" s="13" t="str">
        <f aca="false">IF(AE154=0,"",IF(AH154="","",IF(AH154=$G154,"Part-Time",IF(AH154=$H154,"Full-Time","Casual"))))</f>
        <v/>
      </c>
      <c r="AL154" s="13" t="str">
        <f aca="false">IF(AE154=0,"",IF(AI154="","",IF(AI154=$G154,"Part-Time",IF(AI154=$H154,"Full-Time","Casual"))))</f>
        <v/>
      </c>
      <c r="AM154" s="13" t="str">
        <f aca="false">IF(AE154=0,"",IF(AJ154="","",IF(AJ154=$G154,"Part-Time",IF(AJ154=$H154,"Full-Time","Casual"))))</f>
        <v/>
      </c>
      <c r="AN154" s="13"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3" t="str">
        <f aca="false">IF(AE154=0,"",IF(AG154&lt;2,"",IF(OR(ISNUMBER(SEARCH("full",AL154)),UPPER(TRIM(AL154))="FT",UPPER(TRIM(AL154))="FTE"),"FT",IF(AND(OR(ISNUMBER(SEARCH("part",AL154)),UPPER(TRIM(AL154))="PT",UPPER(TRIM(AL154))="PTE"),OR($P154="",N($P154)&gt;=PT_MinHours)),"PT","None"))))</f>
        <v/>
      </c>
      <c r="AP154" s="13" t="str">
        <f aca="false">IF(AE154=0,"",IF(AG154&lt;3,"",IF(OR(ISNUMBER(SEARCH("full",AM154)),UPPER(TRIM(AM154))="FT",UPPER(TRIM(AM154))="FTE"),"FT",IF(AND(OR(ISNUMBER(SEARCH("part",AM154)),UPPER(TRIM(AM154))="PT",UPPER(TRIM(AM154))="PTE"),OR($P154="",N($P154)&gt;=PT_MinHours)),"PT","None"))))</f>
        <v/>
      </c>
      <c r="AQ154" s="13" t="str">
        <f aca="false">IF(AE154=0,"",IF(AND(AG154&gt;=3,AJ154&lt;=AsOfDate),AP154,IF(AND(AG154&gt;=2,AI154&lt;=AsOfDate),AO154,AN154)))</f>
        <v/>
      </c>
      <c r="AR154" s="13" t="str">
        <f aca="false">IF(AE154=0,"",IF(AsOfDate&lt;AF154,-1,12*(YEAR(AsOfDate)-YEAR(AF154))+MONTH(AsOfDate)-MONTH(AF154)-IF(DAY(AsOfDate)&lt;MIN(DAY(AF154),DAY(EOMONTH(AsOfDate,0))),1,0)))</f>
        <v/>
      </c>
      <c r="AS154" s="13" t="str">
        <f aca="false">IF(AE154=0,"",IF(OR(AG154&lt;2,AI154&gt;AsOfDate),AR154,IF((AI154-1)&lt;AF154,-1,12*(YEAR((AI154-1))-YEAR(AF154))+MONTH((AI154-1))-MONTH(AF154)-IF(DAY((AI154-1))&lt;MIN(DAY(AF154),DAY(EOMONTH((AI154-1),0))),1,0))))</f>
        <v/>
      </c>
      <c r="AT154" s="13" t="str">
        <f aca="false">IF(AE154=0,"",IF(OR(AG154&lt;3,AJ154&gt;AsOfDate),AR154,IF((AJ154-1)&lt;AF154,-1,12*(YEAR((AJ154-1))-YEAR(AF154))+MONTH((AJ154-1))-MONTH(AF154)-IF(DAY((AJ154-1))&lt;MIN(DAY(AF154),DAY(EOMONTH((AJ154-1),0))),1,0))))</f>
        <v/>
      </c>
      <c r="AU154" s="13" t="str">
        <f aca="false">IF(AE154=0,"",IF(PFYDate&lt;AF154,-1,12*(YEAR(PFYDate)-YEAR(AF154))+MONTH(PFYDate)-MONTH(AF154)-IF(DAY(PFYDate)&lt;MIN(DAY(AF154),DAY(EOMONTH(PFYDate,0))),1,0)))</f>
        <v/>
      </c>
      <c r="AV154" s="13" t="str">
        <f aca="false">IF(AE154=0,"",IF(OR(AG154&lt;2,AI154&gt;PFYDate),AU154,IF((AI154-1)&lt;AF154,-1,12*(YEAR((AI154-1))-YEAR(AF154))+MONTH((AI154-1))-MONTH(AF154)-IF(DAY((AI154-1))&lt;MIN(DAY(AF154),DAY(EOMONTH((AI154-1),0))),1,0))))</f>
        <v/>
      </c>
      <c r="AW154" s="13" t="str">
        <f aca="false">IF(AE154=0,"",IF(OR(AG154&lt;3,AJ154&gt;PFYDate),AU154,IF((AJ154-1)&lt;AF154,-1,12*(YEAR((AJ154-1))-YEAR(AF154))+MONTH((AJ154-1))-MONTH(AF154)-IF(DAY((AJ154-1))&lt;MIN(DAY(AF154),DAY(EOMONTH((AJ154-1),0))),1,0))))</f>
        <v/>
      </c>
      <c r="AX154" s="13"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3"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3" t="str">
        <f aca="false">IF(AE154=0,"",IF(AQ154="FT",IF(AR154&lt;FT_First,FT_First,IF(AR154&lt;FT_Y5,MIN(FT_Y5,FT_First+FT_Int1*(INT((AR154-FT_First)/FT_Int1)+1)),FT_Y5+12*INT((AR154-FT_Y5)/12)+FT_Int2*(INT(MOD(AR154-FT_Y5,12)/FT_Int2)+1))),IF(AQ154="PT",IF(AR154&lt;PT_First,PT_First,PT_First+PT_Int*(INT((AR154-PT_First)/PT_Int)+1)),"")))</f>
        <v/>
      </c>
      <c r="BA154" s="13" t="str">
        <f aca="false">IF(AE154=0,"",IF(NOT(LH_Ready),0,COUNTIFS(INDEX(LH_Data,0,LH_ColFirst),$A154,INDEX(LH_Data,0,LH_ColSur),$B154,INDEX(LH_Data,0,LH_ColCat),BonusCat)))</f>
        <v/>
      </c>
      <c r="BB154" s="13" t="str">
        <f aca="false">IF(AE154=0,"",IF(OR(NOT(LH_Ready),BA154=0),0,SUMPRODUCT(MAX((INDEX(LH_Data,0,LH_ColFirst)=$A154)*(INDEX(LH_Data,0,LH_ColSur)=$B154)*(INDEX(LH_Data,0,LH_ColCat)=BonusCat)*ROW(LH_Data)))))</f>
        <v/>
      </c>
      <c r="BC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2" t="s">
        <v>80</v>
      </c>
      <c r="B1" s="2" t="s">
        <v>81</v>
      </c>
      <c r="C1" s="2" t="s">
        <v>82</v>
      </c>
      <c r="D1" s="2" t="s">
        <v>26</v>
      </c>
      <c r="E1" s="2" t="s">
        <v>83</v>
      </c>
      <c r="F1" s="2" t="s">
        <v>84</v>
      </c>
      <c r="G1" s="2" t="s">
        <v>85</v>
      </c>
      <c r="H1" s="2" t="s">
        <v>86</v>
      </c>
      <c r="I1" s="2" t="s">
        <v>87</v>
      </c>
      <c r="J1" s="2" t="s">
        <v>88</v>
      </c>
      <c r="K1" s="2" t="s">
        <v>89</v>
      </c>
      <c r="L1" s="2" t="s">
        <v>90</v>
      </c>
      <c r="N1" s="16" t="s">
        <v>91</v>
      </c>
      <c r="O1" s="16" t="s">
        <v>92</v>
      </c>
    </row>
    <row r="2" customFormat="false" ht="15" hidden="false" customHeight="false" outlineLevel="0" collapsed="false">
      <c r="N2" s="17" t="str">
        <f aca="false">IF(H2="","",IFERROR(LEFT(H2,FIND(" ",H2)-1),H2))</f>
        <v/>
      </c>
      <c r="O2" s="18" t="n">
        <f aca="false">IFERROR(DATE(VALUE(MID(N2,FIND("/",N2,FIND("/",N2)+1)+1,4)),VALUE(MID(N2,FIND("/",N2)+1,FIND("/",N2,FIND("/",N2)+1)-FIND("/",N2)-1)),VALUE(LEFT(N2,FIND("/",N2)-1))),0)</f>
        <v>0</v>
      </c>
      <c r="Q2" s="17" t="s">
        <v>93</v>
      </c>
    </row>
    <row r="3" customFormat="false" ht="15" hidden="false" customHeight="false" outlineLevel="0" collapsed="false">
      <c r="N3" s="0" t="str">
        <f aca="false">IF(H3="","",IFERROR(LEFT(H3,FIND(" ",H3)-1),H3))</f>
        <v/>
      </c>
      <c r="O3" s="18" t="n">
        <f aca="false">IFERROR(DATE(VALUE(MID(N3,FIND("/",N3,FIND("/",N3)+1)+1,4)),VALUE(MID(N3,FIND("/",N3)+1,FIND("/",N3,FIND("/",N3)+1)-FIND("/",N3)-1)),VALUE(LEFT(N3,FIND("/",N3)-1))),0)</f>
        <v>0</v>
      </c>
    </row>
    <row r="4" customFormat="false" ht="15" hidden="false" customHeight="false" outlineLevel="0" collapsed="false">
      <c r="N4" s="0" t="str">
        <f aca="false">IF(H4="","",IFERROR(LEFT(H4,FIND(" ",H4)-1),H4))</f>
        <v/>
      </c>
      <c r="O4" s="18" t="n">
        <f aca="false">IFERROR(DATE(VALUE(MID(N4,FIND("/",N4,FIND("/",N4)+1)+1,4)),VALUE(MID(N4,FIND("/",N4)+1,FIND("/",N4,FIND("/",N4)+1)-FIND("/",N4)-1)),VALUE(LEFT(N4,FIND("/",N4)-1))),0)</f>
        <v>0</v>
      </c>
    </row>
    <row r="5" customFormat="false" ht="15" hidden="false" customHeight="false" outlineLevel="0" collapsed="false">
      <c r="N5" s="0" t="str">
        <f aca="false">IF(H5="","",IFERROR(LEFT(H5,FIND(" ",H5)-1),H5))</f>
        <v/>
      </c>
      <c r="O5" s="18" t="n">
        <f aca="false">IFERROR(DATE(VALUE(MID(N5,FIND("/",N5,FIND("/",N5)+1)+1,4)),VALUE(MID(N5,FIND("/",N5)+1,FIND("/",N5,FIND("/",N5)+1)-FIND("/",N5)-1)),VALUE(LEFT(N5,FIND("/",N5)-1))),0)</f>
        <v>0</v>
      </c>
    </row>
    <row r="6" customFormat="false" ht="15" hidden="false" customHeight="false" outlineLevel="0" collapsed="false">
      <c r="N6" s="0" t="str">
        <f aca="false">IF(H6="","",IFERROR(LEFT(H6,FIND(" ",H6)-1),H6))</f>
        <v/>
      </c>
      <c r="O6" s="18" t="n">
        <f aca="false">IFERROR(DATE(VALUE(MID(N6,FIND("/",N6,FIND("/",N6)+1)+1,4)),VALUE(MID(N6,FIND("/",N6)+1,FIND("/",N6,FIND("/",N6)+1)-FIND("/",N6)-1)),VALUE(LEFT(N6,FIND("/",N6)-1))),0)</f>
        <v>0</v>
      </c>
    </row>
    <row r="7" customFormat="false" ht="15" hidden="false" customHeight="false" outlineLevel="0" collapsed="false">
      <c r="N7" s="0" t="str">
        <f aca="false">IF(H7="","",IFERROR(LEFT(H7,FIND(" ",H7)-1),H7))</f>
        <v/>
      </c>
      <c r="O7" s="18" t="n">
        <f aca="false">IFERROR(DATE(VALUE(MID(N7,FIND("/",N7,FIND("/",N7)+1)+1,4)),VALUE(MID(N7,FIND("/",N7)+1,FIND("/",N7,FIND("/",N7)+1)-FIND("/",N7)-1)),VALUE(LEFT(N7,FIND("/",N7)-1))),0)</f>
        <v>0</v>
      </c>
    </row>
    <row r="8" customFormat="false" ht="15" hidden="false" customHeight="false" outlineLevel="0" collapsed="false">
      <c r="N8" s="0" t="str">
        <f aca="false">IF(H8="","",IFERROR(LEFT(H8,FIND(" ",H8)-1),H8))</f>
        <v/>
      </c>
      <c r="O8" s="18" t="n">
        <f aca="false">IFERROR(DATE(VALUE(MID(N8,FIND("/",N8,FIND("/",N8)+1)+1,4)),VALUE(MID(N8,FIND("/",N8)+1,FIND("/",N8,FIND("/",N8)+1)-FIND("/",N8)-1)),VALUE(LEFT(N8,FIND("/",N8)-1))),0)</f>
        <v>0</v>
      </c>
    </row>
    <row r="9" customFormat="false" ht="15" hidden="false" customHeight="false" outlineLevel="0" collapsed="false">
      <c r="N9" s="0" t="str">
        <f aca="false">IF(H9="","",IFERROR(LEFT(H9,FIND(" ",H9)-1),H9))</f>
        <v/>
      </c>
      <c r="O9" s="18" t="n">
        <f aca="false">IFERROR(DATE(VALUE(MID(N9,FIND("/",N9,FIND("/",N9)+1)+1,4)),VALUE(MID(N9,FIND("/",N9)+1,FIND("/",N9,FIND("/",N9)+1)-FIND("/",N9)-1)),VALUE(LEFT(N9,FIND("/",N9)-1))),0)</f>
        <v>0</v>
      </c>
    </row>
    <row r="10" customFormat="false" ht="15" hidden="false" customHeight="false" outlineLevel="0" collapsed="false">
      <c r="N10" s="0" t="str">
        <f aca="false">IF(H10="","",IFERROR(LEFT(H10,FIND(" ",H10)-1),H10))</f>
        <v/>
      </c>
      <c r="O10" s="18"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8"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8"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8"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8"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8"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8"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8"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8"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8"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8"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8"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8"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8"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8"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8"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8"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8"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8"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8"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8"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8"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8"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8"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8"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8"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8"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8"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8"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8"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8"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8"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8"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8"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8"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8"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8"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8"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8"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8"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8"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8"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8"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8"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8"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8"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8"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8"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8"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8"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8"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8"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8"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8"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8"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8"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8"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8"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8"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8"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8"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8"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8"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8"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8"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8"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8"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8"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8"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8"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8"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8"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8"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8"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8"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8"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8"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8"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8"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8"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8"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8"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8"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8"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8"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8"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8"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8"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8"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8"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8"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8"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8"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8"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8"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8"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8"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8"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8"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8"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8"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8"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8"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8"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8"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8"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8"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8"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8"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8"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8"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8"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8"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8"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8"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8"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8"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8"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8"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8"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8"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8"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8"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8"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8"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8"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8"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8"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8"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8"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8"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8"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8"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8"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8"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8"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8"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8"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8"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8"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8"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8"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8"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8"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8"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8"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8"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8"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8"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8"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8"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8"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8"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8"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8"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8"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8"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8"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8"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8"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8"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8"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8"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8"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8"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8"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8"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8"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8"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8"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8"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8"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8"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8"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8"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8"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8"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8"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8"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8"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8"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8"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8"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8"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8"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8"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8"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8"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8"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8"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8"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8"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8"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8"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8"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8"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8"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8"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8"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8"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8"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8"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8"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8"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8"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8"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8"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8"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8"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8"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8"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8"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8"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8"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8"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8"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8"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8"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8"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8"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8"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8"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8"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8"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8"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8"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8"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8"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8"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8"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8"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8"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8"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8"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8"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8"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8"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8"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8"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8"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8"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8"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8"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8"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8"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8"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8"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8"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8"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8"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8"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8"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8"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8"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8"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8"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8"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8"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8"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8"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8"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8"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8"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8"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8"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8"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8"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8"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8"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8"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8"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8"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8"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8"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8"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8"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8"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8"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8"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8"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8"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8"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8"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94</v>
      </c>
    </row>
    <row r="3" customFormat="false" ht="15" hidden="false" customHeight="false" outlineLevel="0" collapsed="false">
      <c r="B3" s="17" t="s">
        <v>95</v>
      </c>
    </row>
    <row r="5" customFormat="false" ht="15" hidden="false" customHeight="false" outlineLevel="0" collapsed="false">
      <c r="B5" s="2" t="s">
        <v>96</v>
      </c>
      <c r="C5" s="19" t="str">
        <f aca="false">Staff!BC5</f>
        <v/>
      </c>
    </row>
    <row r="6" customFormat="false" ht="15" hidden="false" customHeight="false" outlineLevel="0" collapsed="false">
      <c r="B6" s="20" t="s">
        <v>97</v>
      </c>
      <c r="C6" s="21" t="str">
        <f aca="false">IF(ISNUMBER(MATCH($C$5,Staff!$BC$5:$BC$154,0)),"Yes","NO - pick from the list")</f>
        <v>Yes</v>
      </c>
    </row>
    <row r="8" customFormat="false" ht="15" hidden="false" customHeight="false" outlineLevel="0" collapsed="false">
      <c r="B8" s="22" t="s">
        <v>98</v>
      </c>
      <c r="C8" s="11" t="str">
        <f aca="false">IF($C$6&lt;&gt;"Yes","",INDEX(Staff!$AF$5:$AF$154,MATCH($C$5,Staff!$BC$5:$BC$154,0)))</f>
        <v/>
      </c>
      <c r="E8" s="22" t="s">
        <v>99</v>
      </c>
      <c r="F8" s="11" t="n">
        <f aca="false">AsOfDate</f>
        <v>46300</v>
      </c>
    </row>
    <row r="9" customFormat="false" ht="15" hidden="false" customHeight="false" outlineLevel="0" collapsed="false">
      <c r="B9" s="22" t="s">
        <v>100</v>
      </c>
      <c r="C9" s="13" t="n">
        <f aca="false">IF($C$6&lt;&gt;"Yes","",INDEX(Staff!$C$5:$C$154,MATCH($C$5,Staff!$BC$5:$BC$154,0)))</f>
        <v>0</v>
      </c>
      <c r="E9" s="22" t="s">
        <v>101</v>
      </c>
      <c r="F9" s="23" t="str">
        <f aca="false">IF($C$6&lt;&gt;"Yes","",INDEX(Staff!$O$5:$O$154,MATCH($C$5,Staff!$BC$5:$BC$154,0)))</f>
        <v/>
      </c>
    </row>
    <row r="10" customFormat="false" ht="15" hidden="false" customHeight="false" outlineLevel="0" collapsed="false">
      <c r="B10" s="22" t="s">
        <v>102</v>
      </c>
      <c r="C10" s="14" t="n">
        <f aca="false">IF($C$6&lt;&gt;"Yes","",INDEX(Staff!$P$5:$P$154,MATCH($C$5,Staff!$BC$5:$BC$154,0)))</f>
        <v>0</v>
      </c>
      <c r="E10" s="22" t="s">
        <v>103</v>
      </c>
      <c r="F10" s="23" t="n">
        <f aca="false">IF($C$6&lt;&gt;"Yes","",SUM($O$20:$O$109)+SUM($X$20:$X$109))</f>
        <v>0</v>
      </c>
    </row>
    <row r="11" customFormat="false" ht="15" hidden="false" customHeight="false" outlineLevel="0" collapsed="false">
      <c r="B11" s="22" t="s">
        <v>104</v>
      </c>
      <c r="C11" s="13" t="str">
        <f aca="false">IF($C$6&lt;&gt;"Yes","",INDEX(Staff!$AK$5:$AK$154,MATCH($C$5,Staff!$BC$5:$BC$154,0)))</f>
        <v/>
      </c>
      <c r="E11" s="22" t="s">
        <v>105</v>
      </c>
      <c r="F11" s="23" t="str">
        <f aca="false">IF($C$6&lt;&gt;"Yes","",IF(ABS(N(F9)-N(F10))&lt;0.001,"Yes","NO - check inputs"))</f>
        <v>Yes</v>
      </c>
    </row>
    <row r="12" customFormat="false" ht="15" hidden="false" customHeight="false" outlineLevel="0" collapsed="false">
      <c r="B12" s="22" t="s">
        <v>106</v>
      </c>
      <c r="C12" s="11" t="str">
        <f aca="false">IF($C$6&lt;&gt;"Yes","",INDEX(Staff!$AI$5:$AI$154,MATCH($C$5,Staff!$BC$5:$BC$154,0)))</f>
        <v/>
      </c>
      <c r="E12" s="22" t="s">
        <v>107</v>
      </c>
      <c r="F12" s="13" t="n">
        <f aca="false">HoursPerDay</f>
        <v>8</v>
      </c>
    </row>
    <row r="13" customFormat="false" ht="15" hidden="false" customHeight="false" outlineLevel="0" collapsed="false">
      <c r="B13" s="22" t="s">
        <v>108</v>
      </c>
      <c r="C13" s="13" t="str">
        <f aca="false">IF($C$6&lt;&gt;"Yes","",INDEX(Staff!$AL$5:$AL$154,MATCH($C$5,Staff!$BC$5:$BC$154,0)))</f>
        <v/>
      </c>
      <c r="E13" s="22" t="s">
        <v>109</v>
      </c>
      <c r="F13" s="23" t="n">
        <f aca="false">IF($C$6&lt;&gt;"Yes","",F10*HoursPerDay)</f>
        <v>0</v>
      </c>
    </row>
    <row r="14" customFormat="false" ht="15" hidden="false" customHeight="false" outlineLevel="0" collapsed="false">
      <c r="B14" s="22" t="s">
        <v>110</v>
      </c>
      <c r="C14" s="11" t="str">
        <f aca="false">IF($C$6&lt;&gt;"Yes","",INDEX(Staff!$AJ$5:$AJ$154,MATCH($C$5,Staff!$BC$5:$BC$154,0)))</f>
        <v/>
      </c>
    </row>
    <row r="15" customFormat="false" ht="15" hidden="false" customHeight="false" outlineLevel="0" collapsed="false">
      <c r="B15" s="22" t="s">
        <v>111</v>
      </c>
      <c r="C15" s="13" t="str">
        <f aca="false">IF($C$6&lt;&gt;"Yes","",INDEX(Staff!$AM$5:$AM$154,MATCH($C$5,Staff!$BC$5:$BC$154,0)))</f>
        <v/>
      </c>
    </row>
    <row r="16" customFormat="false" ht="15" hidden="false" customHeight="false" outlineLevel="0" collapsed="false">
      <c r="B16" s="22" t="s">
        <v>112</v>
      </c>
      <c r="C16" s="13" t="str">
        <f aca="false">IF($C$6&lt;&gt;"Yes","",INDEX(Staff!$AG$5:$AG$154,MATCH($C$5,Staff!$BC$5:$BC$154,0)))</f>
        <v/>
      </c>
    </row>
    <row r="18" customFormat="false" ht="15" hidden="false" customHeight="true" outlineLevel="0" collapsed="false">
      <c r="H18" s="24" t="s">
        <v>113</v>
      </c>
      <c r="I18" s="24"/>
      <c r="J18" s="24"/>
      <c r="K18" s="24"/>
      <c r="L18" s="24"/>
      <c r="M18" s="24"/>
      <c r="N18" s="24"/>
      <c r="O18" s="24"/>
      <c r="Q18" s="24" t="s">
        <v>114</v>
      </c>
      <c r="R18" s="24"/>
      <c r="S18" s="24"/>
      <c r="T18" s="24"/>
      <c r="U18" s="24"/>
      <c r="V18" s="24"/>
      <c r="W18" s="24"/>
      <c r="X18" s="24"/>
      <c r="Z18" s="17" t="s">
        <v>115</v>
      </c>
    </row>
    <row r="19" customFormat="false" ht="39.75" hidden="false" customHeight="true" outlineLevel="0" collapsed="false">
      <c r="H19" s="5" t="s">
        <v>116</v>
      </c>
      <c r="I19" s="5" t="s">
        <v>117</v>
      </c>
      <c r="J19" s="5" t="s">
        <v>118</v>
      </c>
      <c r="K19" s="5" t="s">
        <v>119</v>
      </c>
      <c r="L19" s="5" t="s">
        <v>120</v>
      </c>
      <c r="M19" s="5" t="s">
        <v>121</v>
      </c>
      <c r="N19" s="5" t="s">
        <v>122</v>
      </c>
      <c r="O19" s="5" t="s">
        <v>123</v>
      </c>
      <c r="Q19" s="5" t="s">
        <v>116</v>
      </c>
      <c r="R19" s="5" t="s">
        <v>117</v>
      </c>
      <c r="S19" s="5" t="s">
        <v>118</v>
      </c>
      <c r="T19" s="5" t="s">
        <v>119</v>
      </c>
      <c r="U19" s="5" t="s">
        <v>120</v>
      </c>
      <c r="V19" s="5" t="s">
        <v>121</v>
      </c>
      <c r="W19" s="5" t="s">
        <v>122</v>
      </c>
      <c r="X19" s="5" t="s">
        <v>123</v>
      </c>
      <c r="Z19" s="25" t="s">
        <v>124</v>
      </c>
      <c r="AA19" s="25" t="s">
        <v>125</v>
      </c>
      <c r="AB19" s="25" t="s">
        <v>121</v>
      </c>
      <c r="AC19" s="25" t="s">
        <v>39</v>
      </c>
    </row>
    <row r="20" customFormat="false" ht="15" hidden="false" customHeight="false" outlineLevel="0" collapsed="false">
      <c r="H20" s="13" t="n">
        <v>1</v>
      </c>
      <c r="I20" s="13" t="n">
        <f aca="false">IF(0&lt;FT_PreY5,FT_First+FT_Int1*0,FT_Y5+FT_Int2*(0-FT_PreY5))</f>
        <v>36</v>
      </c>
      <c r="J20" s="13" t="str">
        <f aca="false">INT(I20/12)&amp;"y "&amp;MOD(I20,12)&amp;"m"</f>
        <v>3y 0m</v>
      </c>
      <c r="K20" s="11" t="str">
        <f aca="false">IF(OR($C$6&lt;&gt;"Yes",$C$8=""),"",EDATE($C$8,I20))</f>
        <v/>
      </c>
      <c r="L20" s="13" t="str">
        <f aca="false">IF(K20="","",IF($C$16=0,$C$9,IF(AND($C$14&lt;&gt;"",K20&gt;=$C$14),$C$15,IF(AND($C$12&lt;&gt;"",K20&gt;=$C$12),$C$13,$C$11))))</f>
        <v/>
      </c>
      <c r="M20" s="13" t="str">
        <f aca="false">IF(K20="","",IF(OR(ISNUMBER(SEARCH("full",L20)),UPPER(TRIM(L20))="FT",UPPER(TRIM(L20))="FTE"),"FT",IF(AND(OR(ISNUMBER(SEARCH("part",L20)),UPPER(TRIM(L20))="PT",UPPER(TRIM(L20))="PTE"),OR($C$10="",N($C$10)&gt;=PT_MinHours)),"PT","None")))</f>
        <v/>
      </c>
      <c r="N20" s="13" t="n">
        <f aca="false">IF(I20&lt;FT_Y5,1,IF(MOD(I20-FT_Y5,12)=0,FT_AnnivDays,1))</f>
        <v>1</v>
      </c>
      <c r="O20" s="13" t="str">
        <f aca="false">IF(K20="","",IF(AND(M20="FT",K20&lt;=AsOfDate),N20,0))</f>
        <v/>
      </c>
      <c r="Q20" s="13" t="n">
        <v>1</v>
      </c>
      <c r="R20" s="13" t="n">
        <f aca="false">PT_First+PT_Int*0</f>
        <v>60</v>
      </c>
      <c r="S20" s="13" t="str">
        <f aca="false">INT(R20/12)&amp;"y "&amp;MOD(R20,12)&amp;"m"</f>
        <v>5y 0m</v>
      </c>
      <c r="T20" s="11" t="str">
        <f aca="false">IF(OR($C$6&lt;&gt;"Yes",$C$8=""),"",EDATE($C$8,R20))</f>
        <v/>
      </c>
      <c r="U20" s="13" t="str">
        <f aca="false">IF(T20="","",IF($C$16=0,$C$9,IF(AND($C$14&lt;&gt;"",T20&gt;=$C$14),$C$15,IF(AND($C$12&lt;&gt;"",T20&gt;=$C$12),$C$13,$C$11))))</f>
        <v/>
      </c>
      <c r="V20" s="13" t="str">
        <f aca="false">IF(T20="","",IF(OR(ISNUMBER(SEARCH("full",U20)),UPPER(TRIM(U20))="FT",UPPER(TRIM(U20))="FTE"),"FT",IF(AND(OR(ISNUMBER(SEARCH("part",U20)),UPPER(TRIM(U20))="PT",UPPER(TRIM(U20))="PTE"),OR($C$10="",N($C$10)&gt;=PT_MinHours)),"PT","None")))</f>
        <v/>
      </c>
      <c r="W20" s="13" t="n">
        <v>1</v>
      </c>
      <c r="X20" s="13" t="str">
        <f aca="false">IF(T20="","",IF(AND(V20="PT",T20&lt;=AsOfDate),W20,0))</f>
        <v/>
      </c>
      <c r="Z20" s="16" t="n">
        <f aca="false">I20</f>
        <v>36</v>
      </c>
      <c r="AA20" s="16" t="n">
        <f aca="false">SMALL($Z$20:$Z$199,1)</f>
        <v>36</v>
      </c>
      <c r="AB20" s="16" t="str">
        <f aca="false">IF(1-COUNTIF($Z$20:$Z$199,"&lt;"&amp;AA20)=1,IF(COUNTIF($I$20:$I$109,AA20)&gt;0,"FT","PT"),"PT")</f>
        <v>FT</v>
      </c>
      <c r="AC20" s="16" t="n">
        <f aca="false">IF(AB20="FT",INDEX($N$20:$N$109,MATCH(AA20,$I$20:$I$109,0)),1)</f>
        <v>1</v>
      </c>
    </row>
    <row r="21" customFormat="false" ht="15" hidden="false" customHeight="false" outlineLevel="0" collapsed="false">
      <c r="H21" s="13" t="n">
        <v>2</v>
      </c>
      <c r="I21" s="13" t="n">
        <f aca="false">IF(1&lt;FT_PreY5,FT_First+FT_Int1*1,FT_Y5+FT_Int2*(1-FT_PreY5))</f>
        <v>40</v>
      </c>
      <c r="J21" s="13" t="str">
        <f aca="false">INT(I21/12)&amp;"y "&amp;MOD(I21,12)&amp;"m"</f>
        <v>3y 4m</v>
      </c>
      <c r="K21" s="11" t="str">
        <f aca="false">IF(OR($C$6&lt;&gt;"Yes",$C$8=""),"",EDATE($C$8,I21))</f>
        <v/>
      </c>
      <c r="L21" s="13" t="str">
        <f aca="false">IF(K21="","",IF($C$16=0,$C$9,IF(AND($C$14&lt;&gt;"",K21&gt;=$C$14),$C$15,IF(AND($C$12&lt;&gt;"",K21&gt;=$C$12),$C$13,$C$11))))</f>
        <v/>
      </c>
      <c r="M21" s="13" t="str">
        <f aca="false">IF(K21="","",IF(OR(ISNUMBER(SEARCH("full",L21)),UPPER(TRIM(L21))="FT",UPPER(TRIM(L21))="FTE"),"FT",IF(AND(OR(ISNUMBER(SEARCH("part",L21)),UPPER(TRIM(L21))="PT",UPPER(TRIM(L21))="PTE"),OR($C$10="",N($C$10)&gt;=PT_MinHours)),"PT","None")))</f>
        <v/>
      </c>
      <c r="N21" s="13" t="n">
        <f aca="false">IF(I21&lt;FT_Y5,1,IF(MOD(I21-FT_Y5,12)=0,FT_AnnivDays,1))</f>
        <v>1</v>
      </c>
      <c r="O21" s="13" t="str">
        <f aca="false">IF(K21="","",IF(AND(M21="FT",K21&lt;=AsOfDate),N21,0))</f>
        <v/>
      </c>
      <c r="Q21" s="13" t="n">
        <v>2</v>
      </c>
      <c r="R21" s="13" t="n">
        <f aca="false">PT_First+PT_Int*1</f>
        <v>64</v>
      </c>
      <c r="S21" s="13" t="str">
        <f aca="false">INT(R21/12)&amp;"y "&amp;MOD(R21,12)&amp;"m"</f>
        <v>5y 4m</v>
      </c>
      <c r="T21" s="11" t="str">
        <f aca="false">IF(OR($C$6&lt;&gt;"Yes",$C$8=""),"",EDATE($C$8,R21))</f>
        <v/>
      </c>
      <c r="U21" s="13" t="str">
        <f aca="false">IF(T21="","",IF($C$16=0,$C$9,IF(AND($C$14&lt;&gt;"",T21&gt;=$C$14),$C$15,IF(AND($C$12&lt;&gt;"",T21&gt;=$C$12),$C$13,$C$11))))</f>
        <v/>
      </c>
      <c r="V21" s="13" t="str">
        <f aca="false">IF(T21="","",IF(OR(ISNUMBER(SEARCH("full",U21)),UPPER(TRIM(U21))="FT",UPPER(TRIM(U21))="FTE"),"FT",IF(AND(OR(ISNUMBER(SEARCH("part",U21)),UPPER(TRIM(U21))="PT",UPPER(TRIM(U21))="PTE"),OR($C$10="",N($C$10)&gt;=PT_MinHours)),"PT","None")))</f>
        <v/>
      </c>
      <c r="W21" s="13" t="n">
        <v>1</v>
      </c>
      <c r="X21" s="13" t="str">
        <f aca="false">IF(T21="","",IF(AND(V21="PT",T21&lt;=AsOfDate),W21,0))</f>
        <v/>
      </c>
      <c r="Z21" s="16" t="n">
        <f aca="false">I21</f>
        <v>40</v>
      </c>
      <c r="AA21" s="16" t="n">
        <f aca="false">SMALL($Z$20:$Z$199,2)</f>
        <v>40</v>
      </c>
      <c r="AB21" s="16" t="str">
        <f aca="false">IF(2-COUNTIF($Z$20:$Z$199,"&lt;"&amp;AA21)=1,IF(COUNTIF($I$20:$I$109,AA21)&gt;0,"FT","PT"),"PT")</f>
        <v>FT</v>
      </c>
      <c r="AC21" s="16" t="n">
        <f aca="false">IF(AB21="FT",INDEX($N$20:$N$109,MATCH(AA21,$I$20:$I$109,0)),1)</f>
        <v>1</v>
      </c>
    </row>
    <row r="22" customFormat="false" ht="15" hidden="false" customHeight="false" outlineLevel="0" collapsed="false">
      <c r="H22" s="13" t="n">
        <v>3</v>
      </c>
      <c r="I22" s="13" t="n">
        <f aca="false">IF(2&lt;FT_PreY5,FT_First+FT_Int1*2,FT_Y5+FT_Int2*(2-FT_PreY5))</f>
        <v>44</v>
      </c>
      <c r="J22" s="13" t="str">
        <f aca="false">INT(I22/12)&amp;"y "&amp;MOD(I22,12)&amp;"m"</f>
        <v>3y 8m</v>
      </c>
      <c r="K22" s="11" t="str">
        <f aca="false">IF(OR($C$6&lt;&gt;"Yes",$C$8=""),"",EDATE($C$8,I22))</f>
        <v/>
      </c>
      <c r="L22" s="13" t="str">
        <f aca="false">IF(K22="","",IF($C$16=0,$C$9,IF(AND($C$14&lt;&gt;"",K22&gt;=$C$14),$C$15,IF(AND($C$12&lt;&gt;"",K22&gt;=$C$12),$C$13,$C$11))))</f>
        <v/>
      </c>
      <c r="M22" s="13" t="str">
        <f aca="false">IF(K22="","",IF(OR(ISNUMBER(SEARCH("full",L22)),UPPER(TRIM(L22))="FT",UPPER(TRIM(L22))="FTE"),"FT",IF(AND(OR(ISNUMBER(SEARCH("part",L22)),UPPER(TRIM(L22))="PT",UPPER(TRIM(L22))="PTE"),OR($C$10="",N($C$10)&gt;=PT_MinHours)),"PT","None")))</f>
        <v/>
      </c>
      <c r="N22" s="13" t="n">
        <f aca="false">IF(I22&lt;FT_Y5,1,IF(MOD(I22-FT_Y5,12)=0,FT_AnnivDays,1))</f>
        <v>1</v>
      </c>
      <c r="O22" s="13" t="str">
        <f aca="false">IF(K22="","",IF(AND(M22="FT",K22&lt;=AsOfDate),N22,0))</f>
        <v/>
      </c>
      <c r="Q22" s="13" t="n">
        <v>3</v>
      </c>
      <c r="R22" s="13" t="n">
        <f aca="false">PT_First+PT_Int*2</f>
        <v>68</v>
      </c>
      <c r="S22" s="13" t="str">
        <f aca="false">INT(R22/12)&amp;"y "&amp;MOD(R22,12)&amp;"m"</f>
        <v>5y 8m</v>
      </c>
      <c r="T22" s="11" t="str">
        <f aca="false">IF(OR($C$6&lt;&gt;"Yes",$C$8=""),"",EDATE($C$8,R22))</f>
        <v/>
      </c>
      <c r="U22" s="13" t="str">
        <f aca="false">IF(T22="","",IF($C$16=0,$C$9,IF(AND($C$14&lt;&gt;"",T22&gt;=$C$14),$C$15,IF(AND($C$12&lt;&gt;"",T22&gt;=$C$12),$C$13,$C$11))))</f>
        <v/>
      </c>
      <c r="V22" s="13" t="str">
        <f aca="false">IF(T22="","",IF(OR(ISNUMBER(SEARCH("full",U22)),UPPER(TRIM(U22))="FT",UPPER(TRIM(U22))="FTE"),"FT",IF(AND(OR(ISNUMBER(SEARCH("part",U22)),UPPER(TRIM(U22))="PT",UPPER(TRIM(U22))="PTE"),OR($C$10="",N($C$10)&gt;=PT_MinHours)),"PT","None")))</f>
        <v/>
      </c>
      <c r="W22" s="13" t="n">
        <v>1</v>
      </c>
      <c r="X22" s="13" t="str">
        <f aca="false">IF(T22="","",IF(AND(V22="PT",T22&lt;=AsOfDate),W22,0))</f>
        <v/>
      </c>
      <c r="Z22" s="16" t="n">
        <f aca="false">I22</f>
        <v>44</v>
      </c>
      <c r="AA22" s="16" t="n">
        <f aca="false">SMALL($Z$20:$Z$199,3)</f>
        <v>44</v>
      </c>
      <c r="AB22" s="16" t="str">
        <f aca="false">IF(3-COUNTIF($Z$20:$Z$199,"&lt;"&amp;AA22)=1,IF(COUNTIF($I$20:$I$109,AA22)&gt;0,"FT","PT"),"PT")</f>
        <v>FT</v>
      </c>
      <c r="AC22" s="16" t="n">
        <f aca="false">IF(AB22="FT",INDEX($N$20:$N$109,MATCH(AA22,$I$20:$I$109,0)),1)</f>
        <v>1</v>
      </c>
    </row>
    <row r="23" customFormat="false" ht="15" hidden="false" customHeight="false" outlineLevel="0" collapsed="false">
      <c r="H23" s="13" t="n">
        <v>4</v>
      </c>
      <c r="I23" s="13" t="n">
        <f aca="false">IF(3&lt;FT_PreY5,FT_First+FT_Int1*3,FT_Y5+FT_Int2*(3-FT_PreY5))</f>
        <v>48</v>
      </c>
      <c r="J23" s="13" t="str">
        <f aca="false">INT(I23/12)&amp;"y "&amp;MOD(I23,12)&amp;"m"</f>
        <v>4y 0m</v>
      </c>
      <c r="K23" s="11" t="str">
        <f aca="false">IF(OR($C$6&lt;&gt;"Yes",$C$8=""),"",EDATE($C$8,I23))</f>
        <v/>
      </c>
      <c r="L23" s="13" t="str">
        <f aca="false">IF(K23="","",IF($C$16=0,$C$9,IF(AND($C$14&lt;&gt;"",K23&gt;=$C$14),$C$15,IF(AND($C$12&lt;&gt;"",K23&gt;=$C$12),$C$13,$C$11))))</f>
        <v/>
      </c>
      <c r="M23" s="13" t="str">
        <f aca="false">IF(K23="","",IF(OR(ISNUMBER(SEARCH("full",L23)),UPPER(TRIM(L23))="FT",UPPER(TRIM(L23))="FTE"),"FT",IF(AND(OR(ISNUMBER(SEARCH("part",L23)),UPPER(TRIM(L23))="PT",UPPER(TRIM(L23))="PTE"),OR($C$10="",N($C$10)&gt;=PT_MinHours)),"PT","None")))</f>
        <v/>
      </c>
      <c r="N23" s="13" t="n">
        <f aca="false">IF(I23&lt;FT_Y5,1,IF(MOD(I23-FT_Y5,12)=0,FT_AnnivDays,1))</f>
        <v>1</v>
      </c>
      <c r="O23" s="13" t="str">
        <f aca="false">IF(K23="","",IF(AND(M23="FT",K23&lt;=AsOfDate),N23,0))</f>
        <v/>
      </c>
      <c r="Q23" s="13" t="n">
        <v>4</v>
      </c>
      <c r="R23" s="13" t="n">
        <f aca="false">PT_First+PT_Int*3</f>
        <v>72</v>
      </c>
      <c r="S23" s="13" t="str">
        <f aca="false">INT(R23/12)&amp;"y "&amp;MOD(R23,12)&amp;"m"</f>
        <v>6y 0m</v>
      </c>
      <c r="T23" s="11" t="str">
        <f aca="false">IF(OR($C$6&lt;&gt;"Yes",$C$8=""),"",EDATE($C$8,R23))</f>
        <v/>
      </c>
      <c r="U23" s="13" t="str">
        <f aca="false">IF(T23="","",IF($C$16=0,$C$9,IF(AND($C$14&lt;&gt;"",T23&gt;=$C$14),$C$15,IF(AND($C$12&lt;&gt;"",T23&gt;=$C$12),$C$13,$C$11))))</f>
        <v/>
      </c>
      <c r="V23" s="13" t="str">
        <f aca="false">IF(T23="","",IF(OR(ISNUMBER(SEARCH("full",U23)),UPPER(TRIM(U23))="FT",UPPER(TRIM(U23))="FTE"),"FT",IF(AND(OR(ISNUMBER(SEARCH("part",U23)),UPPER(TRIM(U23))="PT",UPPER(TRIM(U23))="PTE"),OR($C$10="",N($C$10)&gt;=PT_MinHours)),"PT","None")))</f>
        <v/>
      </c>
      <c r="W23" s="13" t="n">
        <v>1</v>
      </c>
      <c r="X23" s="13" t="str">
        <f aca="false">IF(T23="","",IF(AND(V23="PT",T23&lt;=AsOfDate),W23,0))</f>
        <v/>
      </c>
      <c r="Z23" s="16" t="n">
        <f aca="false">I23</f>
        <v>48</v>
      </c>
      <c r="AA23" s="16" t="n">
        <f aca="false">SMALL($Z$20:$Z$199,4)</f>
        <v>48</v>
      </c>
      <c r="AB23" s="16" t="str">
        <f aca="false">IF(4-COUNTIF($Z$20:$Z$199,"&lt;"&amp;AA23)=1,IF(COUNTIF($I$20:$I$109,AA23)&gt;0,"FT","PT"),"PT")</f>
        <v>FT</v>
      </c>
      <c r="AC23" s="16" t="n">
        <f aca="false">IF(AB23="FT",INDEX($N$20:$N$109,MATCH(AA23,$I$20:$I$109,0)),1)</f>
        <v>1</v>
      </c>
    </row>
    <row r="24" customFormat="false" ht="15" hidden="false" customHeight="false" outlineLevel="0" collapsed="false">
      <c r="H24" s="13" t="n">
        <v>5</v>
      </c>
      <c r="I24" s="13" t="n">
        <f aca="false">IF(4&lt;FT_PreY5,FT_First+FT_Int1*4,FT_Y5+FT_Int2*(4-FT_PreY5))</f>
        <v>52</v>
      </c>
      <c r="J24" s="13" t="str">
        <f aca="false">INT(I24/12)&amp;"y "&amp;MOD(I24,12)&amp;"m"</f>
        <v>4y 4m</v>
      </c>
      <c r="K24" s="11" t="str">
        <f aca="false">IF(OR($C$6&lt;&gt;"Yes",$C$8=""),"",EDATE($C$8,I24))</f>
        <v/>
      </c>
      <c r="L24" s="13" t="str">
        <f aca="false">IF(K24="","",IF($C$16=0,$C$9,IF(AND($C$14&lt;&gt;"",K24&gt;=$C$14),$C$15,IF(AND($C$12&lt;&gt;"",K24&gt;=$C$12),$C$13,$C$11))))</f>
        <v/>
      </c>
      <c r="M24" s="13" t="str">
        <f aca="false">IF(K24="","",IF(OR(ISNUMBER(SEARCH("full",L24)),UPPER(TRIM(L24))="FT",UPPER(TRIM(L24))="FTE"),"FT",IF(AND(OR(ISNUMBER(SEARCH("part",L24)),UPPER(TRIM(L24))="PT",UPPER(TRIM(L24))="PTE"),OR($C$10="",N($C$10)&gt;=PT_MinHours)),"PT","None")))</f>
        <v/>
      </c>
      <c r="N24" s="13" t="n">
        <f aca="false">IF(I24&lt;FT_Y5,1,IF(MOD(I24-FT_Y5,12)=0,FT_AnnivDays,1))</f>
        <v>1</v>
      </c>
      <c r="O24" s="13" t="str">
        <f aca="false">IF(K24="","",IF(AND(M24="FT",K24&lt;=AsOfDate),N24,0))</f>
        <v/>
      </c>
      <c r="Q24" s="13" t="n">
        <v>5</v>
      </c>
      <c r="R24" s="13" t="n">
        <f aca="false">PT_First+PT_Int*4</f>
        <v>76</v>
      </c>
      <c r="S24" s="13" t="str">
        <f aca="false">INT(R24/12)&amp;"y "&amp;MOD(R24,12)&amp;"m"</f>
        <v>6y 4m</v>
      </c>
      <c r="T24" s="11" t="str">
        <f aca="false">IF(OR($C$6&lt;&gt;"Yes",$C$8=""),"",EDATE($C$8,R24))</f>
        <v/>
      </c>
      <c r="U24" s="13" t="str">
        <f aca="false">IF(T24="","",IF($C$16=0,$C$9,IF(AND($C$14&lt;&gt;"",T24&gt;=$C$14),$C$15,IF(AND($C$12&lt;&gt;"",T24&gt;=$C$12),$C$13,$C$11))))</f>
        <v/>
      </c>
      <c r="V24" s="13" t="str">
        <f aca="false">IF(T24="","",IF(OR(ISNUMBER(SEARCH("full",U24)),UPPER(TRIM(U24))="FT",UPPER(TRIM(U24))="FTE"),"FT",IF(AND(OR(ISNUMBER(SEARCH("part",U24)),UPPER(TRIM(U24))="PT",UPPER(TRIM(U24))="PTE"),OR($C$10="",N($C$10)&gt;=PT_MinHours)),"PT","None")))</f>
        <v/>
      </c>
      <c r="W24" s="13" t="n">
        <v>1</v>
      </c>
      <c r="X24" s="13" t="str">
        <f aca="false">IF(T24="","",IF(AND(V24="PT",T24&lt;=AsOfDate),W24,0))</f>
        <v/>
      </c>
      <c r="Z24" s="16" t="n">
        <f aca="false">I24</f>
        <v>52</v>
      </c>
      <c r="AA24" s="16" t="n">
        <f aca="false">SMALL($Z$20:$Z$199,5)</f>
        <v>52</v>
      </c>
      <c r="AB24" s="16" t="str">
        <f aca="false">IF(5-COUNTIF($Z$20:$Z$199,"&lt;"&amp;AA24)=1,IF(COUNTIF($I$20:$I$109,AA24)&gt;0,"FT","PT"),"PT")</f>
        <v>FT</v>
      </c>
      <c r="AC24" s="16" t="n">
        <f aca="false">IF(AB24="FT",INDEX($N$20:$N$109,MATCH(AA24,$I$20:$I$109,0)),1)</f>
        <v>1</v>
      </c>
    </row>
    <row r="25" customFormat="false" ht="15" hidden="false" customHeight="false" outlineLevel="0" collapsed="false">
      <c r="H25" s="13" t="n">
        <v>6</v>
      </c>
      <c r="I25" s="13" t="n">
        <f aca="false">IF(5&lt;FT_PreY5,FT_First+FT_Int1*5,FT_Y5+FT_Int2*(5-FT_PreY5))</f>
        <v>56</v>
      </c>
      <c r="J25" s="13" t="str">
        <f aca="false">INT(I25/12)&amp;"y "&amp;MOD(I25,12)&amp;"m"</f>
        <v>4y 8m</v>
      </c>
      <c r="K25" s="11" t="str">
        <f aca="false">IF(OR($C$6&lt;&gt;"Yes",$C$8=""),"",EDATE($C$8,I25))</f>
        <v/>
      </c>
      <c r="L25" s="13" t="str">
        <f aca="false">IF(K25="","",IF($C$16=0,$C$9,IF(AND($C$14&lt;&gt;"",K25&gt;=$C$14),$C$15,IF(AND($C$12&lt;&gt;"",K25&gt;=$C$12),$C$13,$C$11))))</f>
        <v/>
      </c>
      <c r="M25" s="13" t="str">
        <f aca="false">IF(K25="","",IF(OR(ISNUMBER(SEARCH("full",L25)),UPPER(TRIM(L25))="FT",UPPER(TRIM(L25))="FTE"),"FT",IF(AND(OR(ISNUMBER(SEARCH("part",L25)),UPPER(TRIM(L25))="PT",UPPER(TRIM(L25))="PTE"),OR($C$10="",N($C$10)&gt;=PT_MinHours)),"PT","None")))</f>
        <v/>
      </c>
      <c r="N25" s="13" t="n">
        <f aca="false">IF(I25&lt;FT_Y5,1,IF(MOD(I25-FT_Y5,12)=0,FT_AnnivDays,1))</f>
        <v>1</v>
      </c>
      <c r="O25" s="13" t="str">
        <f aca="false">IF(K25="","",IF(AND(M25="FT",K25&lt;=AsOfDate),N25,0))</f>
        <v/>
      </c>
      <c r="Q25" s="13" t="n">
        <v>6</v>
      </c>
      <c r="R25" s="13" t="n">
        <f aca="false">PT_First+PT_Int*5</f>
        <v>80</v>
      </c>
      <c r="S25" s="13" t="str">
        <f aca="false">INT(R25/12)&amp;"y "&amp;MOD(R25,12)&amp;"m"</f>
        <v>6y 8m</v>
      </c>
      <c r="T25" s="11" t="str">
        <f aca="false">IF(OR($C$6&lt;&gt;"Yes",$C$8=""),"",EDATE($C$8,R25))</f>
        <v/>
      </c>
      <c r="U25" s="13" t="str">
        <f aca="false">IF(T25="","",IF($C$16=0,$C$9,IF(AND($C$14&lt;&gt;"",T25&gt;=$C$14),$C$15,IF(AND($C$12&lt;&gt;"",T25&gt;=$C$12),$C$13,$C$11))))</f>
        <v/>
      </c>
      <c r="V25" s="13" t="str">
        <f aca="false">IF(T25="","",IF(OR(ISNUMBER(SEARCH("full",U25)),UPPER(TRIM(U25))="FT",UPPER(TRIM(U25))="FTE"),"FT",IF(AND(OR(ISNUMBER(SEARCH("part",U25)),UPPER(TRIM(U25))="PT",UPPER(TRIM(U25))="PTE"),OR($C$10="",N($C$10)&gt;=PT_MinHours)),"PT","None")))</f>
        <v/>
      </c>
      <c r="W25" s="13" t="n">
        <v>1</v>
      </c>
      <c r="X25" s="13" t="str">
        <f aca="false">IF(T25="","",IF(AND(V25="PT",T25&lt;=AsOfDate),W25,0))</f>
        <v/>
      </c>
      <c r="Z25" s="16" t="n">
        <f aca="false">I25</f>
        <v>56</v>
      </c>
      <c r="AA25" s="16" t="n">
        <f aca="false">SMALL($Z$20:$Z$199,6)</f>
        <v>56</v>
      </c>
      <c r="AB25" s="16" t="str">
        <f aca="false">IF(6-COUNTIF($Z$20:$Z$199,"&lt;"&amp;AA25)=1,IF(COUNTIF($I$20:$I$109,AA25)&gt;0,"FT","PT"),"PT")</f>
        <v>FT</v>
      </c>
      <c r="AC25" s="16" t="n">
        <f aca="false">IF(AB25="FT",INDEX($N$20:$N$109,MATCH(AA25,$I$20:$I$109,0)),1)</f>
        <v>1</v>
      </c>
    </row>
    <row r="26" customFormat="false" ht="15" hidden="false" customHeight="false" outlineLevel="0" collapsed="false">
      <c r="H26" s="13" t="n">
        <v>7</v>
      </c>
      <c r="I26" s="13" t="n">
        <f aca="false">IF(6&lt;FT_PreY5,FT_First+FT_Int1*6,FT_Y5+FT_Int2*(6-FT_PreY5))</f>
        <v>60</v>
      </c>
      <c r="J26" s="13" t="str">
        <f aca="false">INT(I26/12)&amp;"y "&amp;MOD(I26,12)&amp;"m"</f>
        <v>5y 0m</v>
      </c>
      <c r="K26" s="11" t="str">
        <f aca="false">IF(OR($C$6&lt;&gt;"Yes",$C$8=""),"",EDATE($C$8,I26))</f>
        <v/>
      </c>
      <c r="L26" s="13" t="str">
        <f aca="false">IF(K26="","",IF($C$16=0,$C$9,IF(AND($C$14&lt;&gt;"",K26&gt;=$C$14),$C$15,IF(AND($C$12&lt;&gt;"",K26&gt;=$C$12),$C$13,$C$11))))</f>
        <v/>
      </c>
      <c r="M26" s="13" t="str">
        <f aca="false">IF(K26="","",IF(OR(ISNUMBER(SEARCH("full",L26)),UPPER(TRIM(L26))="FT",UPPER(TRIM(L26))="FTE"),"FT",IF(AND(OR(ISNUMBER(SEARCH("part",L26)),UPPER(TRIM(L26))="PT",UPPER(TRIM(L26))="PTE"),OR($C$10="",N($C$10)&gt;=PT_MinHours)),"PT","None")))</f>
        <v/>
      </c>
      <c r="N26" s="13" t="n">
        <f aca="false">IF(I26&lt;FT_Y5,1,IF(MOD(I26-FT_Y5,12)=0,FT_AnnivDays,1))</f>
        <v>2</v>
      </c>
      <c r="O26" s="13" t="str">
        <f aca="false">IF(K26="","",IF(AND(M26="FT",K26&lt;=AsOfDate),N26,0))</f>
        <v/>
      </c>
      <c r="Q26" s="13" t="n">
        <v>7</v>
      </c>
      <c r="R26" s="13" t="n">
        <f aca="false">PT_First+PT_Int*6</f>
        <v>84</v>
      </c>
      <c r="S26" s="13" t="str">
        <f aca="false">INT(R26/12)&amp;"y "&amp;MOD(R26,12)&amp;"m"</f>
        <v>7y 0m</v>
      </c>
      <c r="T26" s="11" t="str">
        <f aca="false">IF(OR($C$6&lt;&gt;"Yes",$C$8=""),"",EDATE($C$8,R26))</f>
        <v/>
      </c>
      <c r="U26" s="13" t="str">
        <f aca="false">IF(T26="","",IF($C$16=0,$C$9,IF(AND($C$14&lt;&gt;"",T26&gt;=$C$14),$C$15,IF(AND($C$12&lt;&gt;"",T26&gt;=$C$12),$C$13,$C$11))))</f>
        <v/>
      </c>
      <c r="V26" s="13" t="str">
        <f aca="false">IF(T26="","",IF(OR(ISNUMBER(SEARCH("full",U26)),UPPER(TRIM(U26))="FT",UPPER(TRIM(U26))="FTE"),"FT",IF(AND(OR(ISNUMBER(SEARCH("part",U26)),UPPER(TRIM(U26))="PT",UPPER(TRIM(U26))="PTE"),OR($C$10="",N($C$10)&gt;=PT_MinHours)),"PT","None")))</f>
        <v/>
      </c>
      <c r="W26" s="13" t="n">
        <v>1</v>
      </c>
      <c r="X26" s="13" t="str">
        <f aca="false">IF(T26="","",IF(AND(V26="PT",T26&lt;=AsOfDate),W26,0))</f>
        <v/>
      </c>
      <c r="Z26" s="16" t="n">
        <f aca="false">I26</f>
        <v>60</v>
      </c>
      <c r="AA26" s="16" t="n">
        <f aca="false">SMALL($Z$20:$Z$199,7)</f>
        <v>60</v>
      </c>
      <c r="AB26" s="16" t="str">
        <f aca="false">IF(7-COUNTIF($Z$20:$Z$199,"&lt;"&amp;AA26)=1,IF(COUNTIF($I$20:$I$109,AA26)&gt;0,"FT","PT"),"PT")</f>
        <v>FT</v>
      </c>
      <c r="AC26" s="16" t="n">
        <f aca="false">IF(AB26="FT",INDEX($N$20:$N$109,MATCH(AA26,$I$20:$I$109,0)),1)</f>
        <v>2</v>
      </c>
    </row>
    <row r="27" customFormat="false" ht="15" hidden="false" customHeight="false" outlineLevel="0" collapsed="false">
      <c r="H27" s="13" t="n">
        <v>8</v>
      </c>
      <c r="I27" s="13" t="n">
        <f aca="false">IF(7&lt;FT_PreY5,FT_First+FT_Int1*7,FT_Y5+FT_Int2*(7-FT_PreY5))</f>
        <v>63</v>
      </c>
      <c r="J27" s="13" t="str">
        <f aca="false">INT(I27/12)&amp;"y "&amp;MOD(I27,12)&amp;"m"</f>
        <v>5y 3m</v>
      </c>
      <c r="K27" s="11" t="str">
        <f aca="false">IF(OR($C$6&lt;&gt;"Yes",$C$8=""),"",EDATE($C$8,I27))</f>
        <v/>
      </c>
      <c r="L27" s="13" t="str">
        <f aca="false">IF(K27="","",IF($C$16=0,$C$9,IF(AND($C$14&lt;&gt;"",K27&gt;=$C$14),$C$15,IF(AND($C$12&lt;&gt;"",K27&gt;=$C$12),$C$13,$C$11))))</f>
        <v/>
      </c>
      <c r="M27" s="13" t="str">
        <f aca="false">IF(K27="","",IF(OR(ISNUMBER(SEARCH("full",L27)),UPPER(TRIM(L27))="FT",UPPER(TRIM(L27))="FTE"),"FT",IF(AND(OR(ISNUMBER(SEARCH("part",L27)),UPPER(TRIM(L27))="PT",UPPER(TRIM(L27))="PTE"),OR($C$10="",N($C$10)&gt;=PT_MinHours)),"PT","None")))</f>
        <v/>
      </c>
      <c r="N27" s="13" t="n">
        <f aca="false">IF(I27&lt;FT_Y5,1,IF(MOD(I27-FT_Y5,12)=0,FT_AnnivDays,1))</f>
        <v>1</v>
      </c>
      <c r="O27" s="13" t="str">
        <f aca="false">IF(K27="","",IF(AND(M27="FT",K27&lt;=AsOfDate),N27,0))</f>
        <v/>
      </c>
      <c r="Q27" s="13" t="n">
        <v>8</v>
      </c>
      <c r="R27" s="13" t="n">
        <f aca="false">PT_First+PT_Int*7</f>
        <v>88</v>
      </c>
      <c r="S27" s="13" t="str">
        <f aca="false">INT(R27/12)&amp;"y "&amp;MOD(R27,12)&amp;"m"</f>
        <v>7y 4m</v>
      </c>
      <c r="T27" s="11" t="str">
        <f aca="false">IF(OR($C$6&lt;&gt;"Yes",$C$8=""),"",EDATE($C$8,R27))</f>
        <v/>
      </c>
      <c r="U27" s="13" t="str">
        <f aca="false">IF(T27="","",IF($C$16=0,$C$9,IF(AND($C$14&lt;&gt;"",T27&gt;=$C$14),$C$15,IF(AND($C$12&lt;&gt;"",T27&gt;=$C$12),$C$13,$C$11))))</f>
        <v/>
      </c>
      <c r="V27" s="13" t="str">
        <f aca="false">IF(T27="","",IF(OR(ISNUMBER(SEARCH("full",U27)),UPPER(TRIM(U27))="FT",UPPER(TRIM(U27))="FTE"),"FT",IF(AND(OR(ISNUMBER(SEARCH("part",U27)),UPPER(TRIM(U27))="PT",UPPER(TRIM(U27))="PTE"),OR($C$10="",N($C$10)&gt;=PT_MinHours)),"PT","None")))</f>
        <v/>
      </c>
      <c r="W27" s="13" t="n">
        <v>1</v>
      </c>
      <c r="X27" s="13" t="str">
        <f aca="false">IF(T27="","",IF(AND(V27="PT",T27&lt;=AsOfDate),W27,0))</f>
        <v/>
      </c>
      <c r="Z27" s="16" t="n">
        <f aca="false">I27</f>
        <v>63</v>
      </c>
      <c r="AA27" s="16" t="n">
        <f aca="false">SMALL($Z$20:$Z$199,8)</f>
        <v>60</v>
      </c>
      <c r="AB27" s="16" t="str">
        <f aca="false">IF(8-COUNTIF($Z$20:$Z$199,"&lt;"&amp;AA27)=1,IF(COUNTIF($I$20:$I$109,AA27)&gt;0,"FT","PT"),"PT")</f>
        <v>PT</v>
      </c>
      <c r="AC27" s="16" t="n">
        <f aca="false">IF(AB27="FT",INDEX($N$20:$N$109,MATCH(AA27,$I$20:$I$109,0)),1)</f>
        <v>1</v>
      </c>
    </row>
    <row r="28" customFormat="false" ht="15" hidden="false" customHeight="false" outlineLevel="0" collapsed="false">
      <c r="H28" s="13" t="n">
        <v>9</v>
      </c>
      <c r="I28" s="13" t="n">
        <f aca="false">IF(8&lt;FT_PreY5,FT_First+FT_Int1*8,FT_Y5+FT_Int2*(8-FT_PreY5))</f>
        <v>66</v>
      </c>
      <c r="J28" s="13" t="str">
        <f aca="false">INT(I28/12)&amp;"y "&amp;MOD(I28,12)&amp;"m"</f>
        <v>5y 6m</v>
      </c>
      <c r="K28" s="11" t="str">
        <f aca="false">IF(OR($C$6&lt;&gt;"Yes",$C$8=""),"",EDATE($C$8,I28))</f>
        <v/>
      </c>
      <c r="L28" s="13" t="str">
        <f aca="false">IF(K28="","",IF($C$16=0,$C$9,IF(AND($C$14&lt;&gt;"",K28&gt;=$C$14),$C$15,IF(AND($C$12&lt;&gt;"",K28&gt;=$C$12),$C$13,$C$11))))</f>
        <v/>
      </c>
      <c r="M28" s="13" t="str">
        <f aca="false">IF(K28="","",IF(OR(ISNUMBER(SEARCH("full",L28)),UPPER(TRIM(L28))="FT",UPPER(TRIM(L28))="FTE"),"FT",IF(AND(OR(ISNUMBER(SEARCH("part",L28)),UPPER(TRIM(L28))="PT",UPPER(TRIM(L28))="PTE"),OR($C$10="",N($C$10)&gt;=PT_MinHours)),"PT","None")))</f>
        <v/>
      </c>
      <c r="N28" s="13" t="n">
        <f aca="false">IF(I28&lt;FT_Y5,1,IF(MOD(I28-FT_Y5,12)=0,FT_AnnivDays,1))</f>
        <v>1</v>
      </c>
      <c r="O28" s="13" t="str">
        <f aca="false">IF(K28="","",IF(AND(M28="FT",K28&lt;=AsOfDate),N28,0))</f>
        <v/>
      </c>
      <c r="Q28" s="13" t="n">
        <v>9</v>
      </c>
      <c r="R28" s="13" t="n">
        <f aca="false">PT_First+PT_Int*8</f>
        <v>92</v>
      </c>
      <c r="S28" s="13" t="str">
        <f aca="false">INT(R28/12)&amp;"y "&amp;MOD(R28,12)&amp;"m"</f>
        <v>7y 8m</v>
      </c>
      <c r="T28" s="11" t="str">
        <f aca="false">IF(OR($C$6&lt;&gt;"Yes",$C$8=""),"",EDATE($C$8,R28))</f>
        <v/>
      </c>
      <c r="U28" s="13" t="str">
        <f aca="false">IF(T28="","",IF($C$16=0,$C$9,IF(AND($C$14&lt;&gt;"",T28&gt;=$C$14),$C$15,IF(AND($C$12&lt;&gt;"",T28&gt;=$C$12),$C$13,$C$11))))</f>
        <v/>
      </c>
      <c r="V28" s="13" t="str">
        <f aca="false">IF(T28="","",IF(OR(ISNUMBER(SEARCH("full",U28)),UPPER(TRIM(U28))="FT",UPPER(TRIM(U28))="FTE"),"FT",IF(AND(OR(ISNUMBER(SEARCH("part",U28)),UPPER(TRIM(U28))="PT",UPPER(TRIM(U28))="PTE"),OR($C$10="",N($C$10)&gt;=PT_MinHours)),"PT","None")))</f>
        <v/>
      </c>
      <c r="W28" s="13" t="n">
        <v>1</v>
      </c>
      <c r="X28" s="13" t="str">
        <f aca="false">IF(T28="","",IF(AND(V28="PT",T28&lt;=AsOfDate),W28,0))</f>
        <v/>
      </c>
      <c r="Z28" s="16" t="n">
        <f aca="false">I28</f>
        <v>66</v>
      </c>
      <c r="AA28" s="16" t="n">
        <f aca="false">SMALL($Z$20:$Z$199,9)</f>
        <v>63</v>
      </c>
      <c r="AB28" s="16" t="str">
        <f aca="false">IF(9-COUNTIF($Z$20:$Z$199,"&lt;"&amp;AA28)=1,IF(COUNTIF($I$20:$I$109,AA28)&gt;0,"FT","PT"),"PT")</f>
        <v>FT</v>
      </c>
      <c r="AC28" s="16" t="n">
        <f aca="false">IF(AB28="FT",INDEX($N$20:$N$109,MATCH(AA28,$I$20:$I$109,0)),1)</f>
        <v>1</v>
      </c>
    </row>
    <row r="29" customFormat="false" ht="15" hidden="false" customHeight="false" outlineLevel="0" collapsed="false">
      <c r="H29" s="13" t="n">
        <v>10</v>
      </c>
      <c r="I29" s="13" t="n">
        <f aca="false">IF(9&lt;FT_PreY5,FT_First+FT_Int1*9,FT_Y5+FT_Int2*(9-FT_PreY5))</f>
        <v>69</v>
      </c>
      <c r="J29" s="13" t="str">
        <f aca="false">INT(I29/12)&amp;"y "&amp;MOD(I29,12)&amp;"m"</f>
        <v>5y 9m</v>
      </c>
      <c r="K29" s="11" t="str">
        <f aca="false">IF(OR($C$6&lt;&gt;"Yes",$C$8=""),"",EDATE($C$8,I29))</f>
        <v/>
      </c>
      <c r="L29" s="13" t="str">
        <f aca="false">IF(K29="","",IF($C$16=0,$C$9,IF(AND($C$14&lt;&gt;"",K29&gt;=$C$14),$C$15,IF(AND($C$12&lt;&gt;"",K29&gt;=$C$12),$C$13,$C$11))))</f>
        <v/>
      </c>
      <c r="M29" s="13" t="str">
        <f aca="false">IF(K29="","",IF(OR(ISNUMBER(SEARCH("full",L29)),UPPER(TRIM(L29))="FT",UPPER(TRIM(L29))="FTE"),"FT",IF(AND(OR(ISNUMBER(SEARCH("part",L29)),UPPER(TRIM(L29))="PT",UPPER(TRIM(L29))="PTE"),OR($C$10="",N($C$10)&gt;=PT_MinHours)),"PT","None")))</f>
        <v/>
      </c>
      <c r="N29" s="13" t="n">
        <f aca="false">IF(I29&lt;FT_Y5,1,IF(MOD(I29-FT_Y5,12)=0,FT_AnnivDays,1))</f>
        <v>1</v>
      </c>
      <c r="O29" s="13" t="str">
        <f aca="false">IF(K29="","",IF(AND(M29="FT",K29&lt;=AsOfDate),N29,0))</f>
        <v/>
      </c>
      <c r="Q29" s="13" t="n">
        <v>10</v>
      </c>
      <c r="R29" s="13" t="n">
        <f aca="false">PT_First+PT_Int*9</f>
        <v>96</v>
      </c>
      <c r="S29" s="13" t="str">
        <f aca="false">INT(R29/12)&amp;"y "&amp;MOD(R29,12)&amp;"m"</f>
        <v>8y 0m</v>
      </c>
      <c r="T29" s="11" t="str">
        <f aca="false">IF(OR($C$6&lt;&gt;"Yes",$C$8=""),"",EDATE($C$8,R29))</f>
        <v/>
      </c>
      <c r="U29" s="13" t="str">
        <f aca="false">IF(T29="","",IF($C$16=0,$C$9,IF(AND($C$14&lt;&gt;"",T29&gt;=$C$14),$C$15,IF(AND($C$12&lt;&gt;"",T29&gt;=$C$12),$C$13,$C$11))))</f>
        <v/>
      </c>
      <c r="V29" s="13" t="str">
        <f aca="false">IF(T29="","",IF(OR(ISNUMBER(SEARCH("full",U29)),UPPER(TRIM(U29))="FT",UPPER(TRIM(U29))="FTE"),"FT",IF(AND(OR(ISNUMBER(SEARCH("part",U29)),UPPER(TRIM(U29))="PT",UPPER(TRIM(U29))="PTE"),OR($C$10="",N($C$10)&gt;=PT_MinHours)),"PT","None")))</f>
        <v/>
      </c>
      <c r="W29" s="13" t="n">
        <v>1</v>
      </c>
      <c r="X29" s="13" t="str">
        <f aca="false">IF(T29="","",IF(AND(V29="PT",T29&lt;=AsOfDate),W29,0))</f>
        <v/>
      </c>
      <c r="Z29" s="16" t="n">
        <f aca="false">I29</f>
        <v>69</v>
      </c>
      <c r="AA29" s="16" t="n">
        <f aca="false">SMALL($Z$20:$Z$199,10)</f>
        <v>64</v>
      </c>
      <c r="AB29" s="16" t="str">
        <f aca="false">IF(10-COUNTIF($Z$20:$Z$199,"&lt;"&amp;AA29)=1,IF(COUNTIF($I$20:$I$109,AA29)&gt;0,"FT","PT"),"PT")</f>
        <v>PT</v>
      </c>
      <c r="AC29" s="16" t="n">
        <f aca="false">IF(AB29="FT",INDEX($N$20:$N$109,MATCH(AA29,$I$20:$I$109,0)),1)</f>
        <v>1</v>
      </c>
    </row>
    <row r="30" customFormat="false" ht="15" hidden="false" customHeight="false" outlineLevel="0" collapsed="false">
      <c r="H30" s="13" t="n">
        <v>11</v>
      </c>
      <c r="I30" s="13" t="n">
        <f aca="false">IF(10&lt;FT_PreY5,FT_First+FT_Int1*10,FT_Y5+FT_Int2*(10-FT_PreY5))</f>
        <v>72</v>
      </c>
      <c r="J30" s="13" t="str">
        <f aca="false">INT(I30/12)&amp;"y "&amp;MOD(I30,12)&amp;"m"</f>
        <v>6y 0m</v>
      </c>
      <c r="K30" s="11" t="str">
        <f aca="false">IF(OR($C$6&lt;&gt;"Yes",$C$8=""),"",EDATE($C$8,I30))</f>
        <v/>
      </c>
      <c r="L30" s="13" t="str">
        <f aca="false">IF(K30="","",IF($C$16=0,$C$9,IF(AND($C$14&lt;&gt;"",K30&gt;=$C$14),$C$15,IF(AND($C$12&lt;&gt;"",K30&gt;=$C$12),$C$13,$C$11))))</f>
        <v/>
      </c>
      <c r="M30" s="13" t="str">
        <f aca="false">IF(K30="","",IF(OR(ISNUMBER(SEARCH("full",L30)),UPPER(TRIM(L30))="FT",UPPER(TRIM(L30))="FTE"),"FT",IF(AND(OR(ISNUMBER(SEARCH("part",L30)),UPPER(TRIM(L30))="PT",UPPER(TRIM(L30))="PTE"),OR($C$10="",N($C$10)&gt;=PT_MinHours)),"PT","None")))</f>
        <v/>
      </c>
      <c r="N30" s="13" t="n">
        <f aca="false">IF(I30&lt;FT_Y5,1,IF(MOD(I30-FT_Y5,12)=0,FT_AnnivDays,1))</f>
        <v>2</v>
      </c>
      <c r="O30" s="13" t="str">
        <f aca="false">IF(K30="","",IF(AND(M30="FT",K30&lt;=AsOfDate),N30,0))</f>
        <v/>
      </c>
      <c r="Q30" s="13" t="n">
        <v>11</v>
      </c>
      <c r="R30" s="13" t="n">
        <f aca="false">PT_First+PT_Int*10</f>
        <v>100</v>
      </c>
      <c r="S30" s="13" t="str">
        <f aca="false">INT(R30/12)&amp;"y "&amp;MOD(R30,12)&amp;"m"</f>
        <v>8y 4m</v>
      </c>
      <c r="T30" s="11" t="str">
        <f aca="false">IF(OR($C$6&lt;&gt;"Yes",$C$8=""),"",EDATE($C$8,R30))</f>
        <v/>
      </c>
      <c r="U30" s="13" t="str">
        <f aca="false">IF(T30="","",IF($C$16=0,$C$9,IF(AND($C$14&lt;&gt;"",T30&gt;=$C$14),$C$15,IF(AND($C$12&lt;&gt;"",T30&gt;=$C$12),$C$13,$C$11))))</f>
        <v/>
      </c>
      <c r="V30" s="13" t="str">
        <f aca="false">IF(T30="","",IF(OR(ISNUMBER(SEARCH("full",U30)),UPPER(TRIM(U30))="FT",UPPER(TRIM(U30))="FTE"),"FT",IF(AND(OR(ISNUMBER(SEARCH("part",U30)),UPPER(TRIM(U30))="PT",UPPER(TRIM(U30))="PTE"),OR($C$10="",N($C$10)&gt;=PT_MinHours)),"PT","None")))</f>
        <v/>
      </c>
      <c r="W30" s="13" t="n">
        <v>1</v>
      </c>
      <c r="X30" s="13" t="str">
        <f aca="false">IF(T30="","",IF(AND(V30="PT",T30&lt;=AsOfDate),W30,0))</f>
        <v/>
      </c>
      <c r="Z30" s="16" t="n">
        <f aca="false">I30</f>
        <v>72</v>
      </c>
      <c r="AA30" s="16" t="n">
        <f aca="false">SMALL($Z$20:$Z$199,11)</f>
        <v>66</v>
      </c>
      <c r="AB30" s="16" t="str">
        <f aca="false">IF(11-COUNTIF($Z$20:$Z$199,"&lt;"&amp;AA30)=1,IF(COUNTIF($I$20:$I$109,AA30)&gt;0,"FT","PT"),"PT")</f>
        <v>FT</v>
      </c>
      <c r="AC30" s="16" t="n">
        <f aca="false">IF(AB30="FT",INDEX($N$20:$N$109,MATCH(AA30,$I$20:$I$109,0)),1)</f>
        <v>1</v>
      </c>
    </row>
    <row r="31" customFormat="false" ht="15" hidden="false" customHeight="false" outlineLevel="0" collapsed="false">
      <c r="H31" s="13" t="n">
        <v>12</v>
      </c>
      <c r="I31" s="13" t="n">
        <f aca="false">IF(11&lt;FT_PreY5,FT_First+FT_Int1*11,FT_Y5+FT_Int2*(11-FT_PreY5))</f>
        <v>75</v>
      </c>
      <c r="J31" s="13" t="str">
        <f aca="false">INT(I31/12)&amp;"y "&amp;MOD(I31,12)&amp;"m"</f>
        <v>6y 3m</v>
      </c>
      <c r="K31" s="11" t="str">
        <f aca="false">IF(OR($C$6&lt;&gt;"Yes",$C$8=""),"",EDATE($C$8,I31))</f>
        <v/>
      </c>
      <c r="L31" s="13" t="str">
        <f aca="false">IF(K31="","",IF($C$16=0,$C$9,IF(AND($C$14&lt;&gt;"",K31&gt;=$C$14),$C$15,IF(AND($C$12&lt;&gt;"",K31&gt;=$C$12),$C$13,$C$11))))</f>
        <v/>
      </c>
      <c r="M31" s="13" t="str">
        <f aca="false">IF(K31="","",IF(OR(ISNUMBER(SEARCH("full",L31)),UPPER(TRIM(L31))="FT",UPPER(TRIM(L31))="FTE"),"FT",IF(AND(OR(ISNUMBER(SEARCH("part",L31)),UPPER(TRIM(L31))="PT",UPPER(TRIM(L31))="PTE"),OR($C$10="",N($C$10)&gt;=PT_MinHours)),"PT","None")))</f>
        <v/>
      </c>
      <c r="N31" s="13" t="n">
        <f aca="false">IF(I31&lt;FT_Y5,1,IF(MOD(I31-FT_Y5,12)=0,FT_AnnivDays,1))</f>
        <v>1</v>
      </c>
      <c r="O31" s="13" t="str">
        <f aca="false">IF(K31="","",IF(AND(M31="FT",K31&lt;=AsOfDate),N31,0))</f>
        <v/>
      </c>
      <c r="Q31" s="13" t="n">
        <v>12</v>
      </c>
      <c r="R31" s="13" t="n">
        <f aca="false">PT_First+PT_Int*11</f>
        <v>104</v>
      </c>
      <c r="S31" s="13" t="str">
        <f aca="false">INT(R31/12)&amp;"y "&amp;MOD(R31,12)&amp;"m"</f>
        <v>8y 8m</v>
      </c>
      <c r="T31" s="11" t="str">
        <f aca="false">IF(OR($C$6&lt;&gt;"Yes",$C$8=""),"",EDATE($C$8,R31))</f>
        <v/>
      </c>
      <c r="U31" s="13" t="str">
        <f aca="false">IF(T31="","",IF($C$16=0,$C$9,IF(AND($C$14&lt;&gt;"",T31&gt;=$C$14),$C$15,IF(AND($C$12&lt;&gt;"",T31&gt;=$C$12),$C$13,$C$11))))</f>
        <v/>
      </c>
      <c r="V31" s="13" t="str">
        <f aca="false">IF(T31="","",IF(OR(ISNUMBER(SEARCH("full",U31)),UPPER(TRIM(U31))="FT",UPPER(TRIM(U31))="FTE"),"FT",IF(AND(OR(ISNUMBER(SEARCH("part",U31)),UPPER(TRIM(U31))="PT",UPPER(TRIM(U31))="PTE"),OR($C$10="",N($C$10)&gt;=PT_MinHours)),"PT","None")))</f>
        <v/>
      </c>
      <c r="W31" s="13" t="n">
        <v>1</v>
      </c>
      <c r="X31" s="13" t="str">
        <f aca="false">IF(T31="","",IF(AND(V31="PT",T31&lt;=AsOfDate),W31,0))</f>
        <v/>
      </c>
      <c r="Z31" s="16" t="n">
        <f aca="false">I31</f>
        <v>75</v>
      </c>
      <c r="AA31" s="16" t="n">
        <f aca="false">SMALL($Z$20:$Z$199,12)</f>
        <v>68</v>
      </c>
      <c r="AB31" s="16" t="str">
        <f aca="false">IF(12-COUNTIF($Z$20:$Z$199,"&lt;"&amp;AA31)=1,IF(COUNTIF($I$20:$I$109,AA31)&gt;0,"FT","PT"),"PT")</f>
        <v>PT</v>
      </c>
      <c r="AC31" s="16" t="n">
        <f aca="false">IF(AB31="FT",INDEX($N$20:$N$109,MATCH(AA31,$I$20:$I$109,0)),1)</f>
        <v>1</v>
      </c>
    </row>
    <row r="32" customFormat="false" ht="15" hidden="false" customHeight="false" outlineLevel="0" collapsed="false">
      <c r="H32" s="13" t="n">
        <v>13</v>
      </c>
      <c r="I32" s="13" t="n">
        <f aca="false">IF(12&lt;FT_PreY5,FT_First+FT_Int1*12,FT_Y5+FT_Int2*(12-FT_PreY5))</f>
        <v>78</v>
      </c>
      <c r="J32" s="13" t="str">
        <f aca="false">INT(I32/12)&amp;"y "&amp;MOD(I32,12)&amp;"m"</f>
        <v>6y 6m</v>
      </c>
      <c r="K32" s="11" t="str">
        <f aca="false">IF(OR($C$6&lt;&gt;"Yes",$C$8=""),"",EDATE($C$8,I32))</f>
        <v/>
      </c>
      <c r="L32" s="13" t="str">
        <f aca="false">IF(K32="","",IF($C$16=0,$C$9,IF(AND($C$14&lt;&gt;"",K32&gt;=$C$14),$C$15,IF(AND($C$12&lt;&gt;"",K32&gt;=$C$12),$C$13,$C$11))))</f>
        <v/>
      </c>
      <c r="M32" s="13" t="str">
        <f aca="false">IF(K32="","",IF(OR(ISNUMBER(SEARCH("full",L32)),UPPER(TRIM(L32))="FT",UPPER(TRIM(L32))="FTE"),"FT",IF(AND(OR(ISNUMBER(SEARCH("part",L32)),UPPER(TRIM(L32))="PT",UPPER(TRIM(L32))="PTE"),OR($C$10="",N($C$10)&gt;=PT_MinHours)),"PT","None")))</f>
        <v/>
      </c>
      <c r="N32" s="13" t="n">
        <f aca="false">IF(I32&lt;FT_Y5,1,IF(MOD(I32-FT_Y5,12)=0,FT_AnnivDays,1))</f>
        <v>1</v>
      </c>
      <c r="O32" s="13" t="str">
        <f aca="false">IF(K32="","",IF(AND(M32="FT",K32&lt;=AsOfDate),N32,0))</f>
        <v/>
      </c>
      <c r="Q32" s="13" t="n">
        <v>13</v>
      </c>
      <c r="R32" s="13" t="n">
        <f aca="false">PT_First+PT_Int*12</f>
        <v>108</v>
      </c>
      <c r="S32" s="13" t="str">
        <f aca="false">INT(R32/12)&amp;"y "&amp;MOD(R32,12)&amp;"m"</f>
        <v>9y 0m</v>
      </c>
      <c r="T32" s="11" t="str">
        <f aca="false">IF(OR($C$6&lt;&gt;"Yes",$C$8=""),"",EDATE($C$8,R32))</f>
        <v/>
      </c>
      <c r="U32" s="13" t="str">
        <f aca="false">IF(T32="","",IF($C$16=0,$C$9,IF(AND($C$14&lt;&gt;"",T32&gt;=$C$14),$C$15,IF(AND($C$12&lt;&gt;"",T32&gt;=$C$12),$C$13,$C$11))))</f>
        <v/>
      </c>
      <c r="V32" s="13" t="str">
        <f aca="false">IF(T32="","",IF(OR(ISNUMBER(SEARCH("full",U32)),UPPER(TRIM(U32))="FT",UPPER(TRIM(U32))="FTE"),"FT",IF(AND(OR(ISNUMBER(SEARCH("part",U32)),UPPER(TRIM(U32))="PT",UPPER(TRIM(U32))="PTE"),OR($C$10="",N($C$10)&gt;=PT_MinHours)),"PT","None")))</f>
        <v/>
      </c>
      <c r="W32" s="13" t="n">
        <v>1</v>
      </c>
      <c r="X32" s="13" t="str">
        <f aca="false">IF(T32="","",IF(AND(V32="PT",T32&lt;=AsOfDate),W32,0))</f>
        <v/>
      </c>
      <c r="Z32" s="16" t="n">
        <f aca="false">I32</f>
        <v>78</v>
      </c>
      <c r="AA32" s="16" t="n">
        <f aca="false">SMALL($Z$20:$Z$199,13)</f>
        <v>69</v>
      </c>
      <c r="AB32" s="16" t="str">
        <f aca="false">IF(13-COUNTIF($Z$20:$Z$199,"&lt;"&amp;AA32)=1,IF(COUNTIF($I$20:$I$109,AA32)&gt;0,"FT","PT"),"PT")</f>
        <v>FT</v>
      </c>
      <c r="AC32" s="16" t="n">
        <f aca="false">IF(AB32="FT",INDEX($N$20:$N$109,MATCH(AA32,$I$20:$I$109,0)),1)</f>
        <v>1</v>
      </c>
    </row>
    <row r="33" customFormat="false" ht="15" hidden="false" customHeight="false" outlineLevel="0" collapsed="false">
      <c r="H33" s="13" t="n">
        <v>14</v>
      </c>
      <c r="I33" s="13" t="n">
        <f aca="false">IF(13&lt;FT_PreY5,FT_First+FT_Int1*13,FT_Y5+FT_Int2*(13-FT_PreY5))</f>
        <v>81</v>
      </c>
      <c r="J33" s="13" t="str">
        <f aca="false">INT(I33/12)&amp;"y "&amp;MOD(I33,12)&amp;"m"</f>
        <v>6y 9m</v>
      </c>
      <c r="K33" s="11" t="str">
        <f aca="false">IF(OR($C$6&lt;&gt;"Yes",$C$8=""),"",EDATE($C$8,I33))</f>
        <v/>
      </c>
      <c r="L33" s="13" t="str">
        <f aca="false">IF(K33="","",IF($C$16=0,$C$9,IF(AND($C$14&lt;&gt;"",K33&gt;=$C$14),$C$15,IF(AND($C$12&lt;&gt;"",K33&gt;=$C$12),$C$13,$C$11))))</f>
        <v/>
      </c>
      <c r="M33" s="13" t="str">
        <f aca="false">IF(K33="","",IF(OR(ISNUMBER(SEARCH("full",L33)),UPPER(TRIM(L33))="FT",UPPER(TRIM(L33))="FTE"),"FT",IF(AND(OR(ISNUMBER(SEARCH("part",L33)),UPPER(TRIM(L33))="PT",UPPER(TRIM(L33))="PTE"),OR($C$10="",N($C$10)&gt;=PT_MinHours)),"PT","None")))</f>
        <v/>
      </c>
      <c r="N33" s="13" t="n">
        <f aca="false">IF(I33&lt;FT_Y5,1,IF(MOD(I33-FT_Y5,12)=0,FT_AnnivDays,1))</f>
        <v>1</v>
      </c>
      <c r="O33" s="13" t="str">
        <f aca="false">IF(K33="","",IF(AND(M33="FT",K33&lt;=AsOfDate),N33,0))</f>
        <v/>
      </c>
      <c r="Q33" s="13" t="n">
        <v>14</v>
      </c>
      <c r="R33" s="13" t="n">
        <f aca="false">PT_First+PT_Int*13</f>
        <v>112</v>
      </c>
      <c r="S33" s="13" t="str">
        <f aca="false">INT(R33/12)&amp;"y "&amp;MOD(R33,12)&amp;"m"</f>
        <v>9y 4m</v>
      </c>
      <c r="T33" s="11" t="str">
        <f aca="false">IF(OR($C$6&lt;&gt;"Yes",$C$8=""),"",EDATE($C$8,R33))</f>
        <v/>
      </c>
      <c r="U33" s="13" t="str">
        <f aca="false">IF(T33="","",IF($C$16=0,$C$9,IF(AND($C$14&lt;&gt;"",T33&gt;=$C$14),$C$15,IF(AND($C$12&lt;&gt;"",T33&gt;=$C$12),$C$13,$C$11))))</f>
        <v/>
      </c>
      <c r="V33" s="13" t="str">
        <f aca="false">IF(T33="","",IF(OR(ISNUMBER(SEARCH("full",U33)),UPPER(TRIM(U33))="FT",UPPER(TRIM(U33))="FTE"),"FT",IF(AND(OR(ISNUMBER(SEARCH("part",U33)),UPPER(TRIM(U33))="PT",UPPER(TRIM(U33))="PTE"),OR($C$10="",N($C$10)&gt;=PT_MinHours)),"PT","None")))</f>
        <v/>
      </c>
      <c r="W33" s="13" t="n">
        <v>1</v>
      </c>
      <c r="X33" s="13" t="str">
        <f aca="false">IF(T33="","",IF(AND(V33="PT",T33&lt;=AsOfDate),W33,0))</f>
        <v/>
      </c>
      <c r="Z33" s="16" t="n">
        <f aca="false">I33</f>
        <v>81</v>
      </c>
      <c r="AA33" s="16" t="n">
        <f aca="false">SMALL($Z$20:$Z$199,14)</f>
        <v>72</v>
      </c>
      <c r="AB33" s="16" t="str">
        <f aca="false">IF(14-COUNTIF($Z$20:$Z$199,"&lt;"&amp;AA33)=1,IF(COUNTIF($I$20:$I$109,AA33)&gt;0,"FT","PT"),"PT")</f>
        <v>FT</v>
      </c>
      <c r="AC33" s="16" t="n">
        <f aca="false">IF(AB33="FT",INDEX($N$20:$N$109,MATCH(AA33,$I$20:$I$109,0)),1)</f>
        <v>2</v>
      </c>
    </row>
    <row r="34" customFormat="false" ht="15" hidden="false" customHeight="false" outlineLevel="0" collapsed="false">
      <c r="H34" s="13" t="n">
        <v>15</v>
      </c>
      <c r="I34" s="13" t="n">
        <f aca="false">IF(14&lt;FT_PreY5,FT_First+FT_Int1*14,FT_Y5+FT_Int2*(14-FT_PreY5))</f>
        <v>84</v>
      </c>
      <c r="J34" s="13" t="str">
        <f aca="false">INT(I34/12)&amp;"y "&amp;MOD(I34,12)&amp;"m"</f>
        <v>7y 0m</v>
      </c>
      <c r="K34" s="11" t="str">
        <f aca="false">IF(OR($C$6&lt;&gt;"Yes",$C$8=""),"",EDATE($C$8,I34))</f>
        <v/>
      </c>
      <c r="L34" s="13" t="str">
        <f aca="false">IF(K34="","",IF($C$16=0,$C$9,IF(AND($C$14&lt;&gt;"",K34&gt;=$C$14),$C$15,IF(AND($C$12&lt;&gt;"",K34&gt;=$C$12),$C$13,$C$11))))</f>
        <v/>
      </c>
      <c r="M34" s="13" t="str">
        <f aca="false">IF(K34="","",IF(OR(ISNUMBER(SEARCH("full",L34)),UPPER(TRIM(L34))="FT",UPPER(TRIM(L34))="FTE"),"FT",IF(AND(OR(ISNUMBER(SEARCH("part",L34)),UPPER(TRIM(L34))="PT",UPPER(TRIM(L34))="PTE"),OR($C$10="",N($C$10)&gt;=PT_MinHours)),"PT","None")))</f>
        <v/>
      </c>
      <c r="N34" s="13" t="n">
        <f aca="false">IF(I34&lt;FT_Y5,1,IF(MOD(I34-FT_Y5,12)=0,FT_AnnivDays,1))</f>
        <v>2</v>
      </c>
      <c r="O34" s="13" t="str">
        <f aca="false">IF(K34="","",IF(AND(M34="FT",K34&lt;=AsOfDate),N34,0))</f>
        <v/>
      </c>
      <c r="Q34" s="13" t="n">
        <v>15</v>
      </c>
      <c r="R34" s="13" t="n">
        <f aca="false">PT_First+PT_Int*14</f>
        <v>116</v>
      </c>
      <c r="S34" s="13" t="str">
        <f aca="false">INT(R34/12)&amp;"y "&amp;MOD(R34,12)&amp;"m"</f>
        <v>9y 8m</v>
      </c>
      <c r="T34" s="11" t="str">
        <f aca="false">IF(OR($C$6&lt;&gt;"Yes",$C$8=""),"",EDATE($C$8,R34))</f>
        <v/>
      </c>
      <c r="U34" s="13" t="str">
        <f aca="false">IF(T34="","",IF($C$16=0,$C$9,IF(AND($C$14&lt;&gt;"",T34&gt;=$C$14),$C$15,IF(AND($C$12&lt;&gt;"",T34&gt;=$C$12),$C$13,$C$11))))</f>
        <v/>
      </c>
      <c r="V34" s="13" t="str">
        <f aca="false">IF(T34="","",IF(OR(ISNUMBER(SEARCH("full",U34)),UPPER(TRIM(U34))="FT",UPPER(TRIM(U34))="FTE"),"FT",IF(AND(OR(ISNUMBER(SEARCH("part",U34)),UPPER(TRIM(U34))="PT",UPPER(TRIM(U34))="PTE"),OR($C$10="",N($C$10)&gt;=PT_MinHours)),"PT","None")))</f>
        <v/>
      </c>
      <c r="W34" s="13" t="n">
        <v>1</v>
      </c>
      <c r="X34" s="13" t="str">
        <f aca="false">IF(T34="","",IF(AND(V34="PT",T34&lt;=AsOfDate),W34,0))</f>
        <v/>
      </c>
      <c r="Z34" s="16" t="n">
        <f aca="false">I34</f>
        <v>84</v>
      </c>
      <c r="AA34" s="16" t="n">
        <f aca="false">SMALL($Z$20:$Z$199,15)</f>
        <v>72</v>
      </c>
      <c r="AB34" s="16" t="str">
        <f aca="false">IF(15-COUNTIF($Z$20:$Z$199,"&lt;"&amp;AA34)=1,IF(COUNTIF($I$20:$I$109,AA34)&gt;0,"FT","PT"),"PT")</f>
        <v>PT</v>
      </c>
      <c r="AC34" s="16" t="n">
        <f aca="false">IF(AB34="FT",INDEX($N$20:$N$109,MATCH(AA34,$I$20:$I$109,0)),1)</f>
        <v>1</v>
      </c>
    </row>
    <row r="35" customFormat="false" ht="15" hidden="false" customHeight="false" outlineLevel="0" collapsed="false">
      <c r="H35" s="13" t="n">
        <v>16</v>
      </c>
      <c r="I35" s="13" t="n">
        <f aca="false">IF(15&lt;FT_PreY5,FT_First+FT_Int1*15,FT_Y5+FT_Int2*(15-FT_PreY5))</f>
        <v>87</v>
      </c>
      <c r="J35" s="13" t="str">
        <f aca="false">INT(I35/12)&amp;"y "&amp;MOD(I35,12)&amp;"m"</f>
        <v>7y 3m</v>
      </c>
      <c r="K35" s="11" t="str">
        <f aca="false">IF(OR($C$6&lt;&gt;"Yes",$C$8=""),"",EDATE($C$8,I35))</f>
        <v/>
      </c>
      <c r="L35" s="13" t="str">
        <f aca="false">IF(K35="","",IF($C$16=0,$C$9,IF(AND($C$14&lt;&gt;"",K35&gt;=$C$14),$C$15,IF(AND($C$12&lt;&gt;"",K35&gt;=$C$12),$C$13,$C$11))))</f>
        <v/>
      </c>
      <c r="M35" s="13" t="str">
        <f aca="false">IF(K35="","",IF(OR(ISNUMBER(SEARCH("full",L35)),UPPER(TRIM(L35))="FT",UPPER(TRIM(L35))="FTE"),"FT",IF(AND(OR(ISNUMBER(SEARCH("part",L35)),UPPER(TRIM(L35))="PT",UPPER(TRIM(L35))="PTE"),OR($C$10="",N($C$10)&gt;=PT_MinHours)),"PT","None")))</f>
        <v/>
      </c>
      <c r="N35" s="13" t="n">
        <f aca="false">IF(I35&lt;FT_Y5,1,IF(MOD(I35-FT_Y5,12)=0,FT_AnnivDays,1))</f>
        <v>1</v>
      </c>
      <c r="O35" s="13" t="str">
        <f aca="false">IF(K35="","",IF(AND(M35="FT",K35&lt;=AsOfDate),N35,0))</f>
        <v/>
      </c>
      <c r="Q35" s="13" t="n">
        <v>16</v>
      </c>
      <c r="R35" s="13" t="n">
        <f aca="false">PT_First+PT_Int*15</f>
        <v>120</v>
      </c>
      <c r="S35" s="13" t="str">
        <f aca="false">INT(R35/12)&amp;"y "&amp;MOD(R35,12)&amp;"m"</f>
        <v>10y 0m</v>
      </c>
      <c r="T35" s="11" t="str">
        <f aca="false">IF(OR($C$6&lt;&gt;"Yes",$C$8=""),"",EDATE($C$8,R35))</f>
        <v/>
      </c>
      <c r="U35" s="13" t="str">
        <f aca="false">IF(T35="","",IF($C$16=0,$C$9,IF(AND($C$14&lt;&gt;"",T35&gt;=$C$14),$C$15,IF(AND($C$12&lt;&gt;"",T35&gt;=$C$12),$C$13,$C$11))))</f>
        <v/>
      </c>
      <c r="V35" s="13" t="str">
        <f aca="false">IF(T35="","",IF(OR(ISNUMBER(SEARCH("full",U35)),UPPER(TRIM(U35))="FT",UPPER(TRIM(U35))="FTE"),"FT",IF(AND(OR(ISNUMBER(SEARCH("part",U35)),UPPER(TRIM(U35))="PT",UPPER(TRIM(U35))="PTE"),OR($C$10="",N($C$10)&gt;=PT_MinHours)),"PT","None")))</f>
        <v/>
      </c>
      <c r="W35" s="13" t="n">
        <v>1</v>
      </c>
      <c r="X35" s="13" t="str">
        <f aca="false">IF(T35="","",IF(AND(V35="PT",T35&lt;=AsOfDate),W35,0))</f>
        <v/>
      </c>
      <c r="Z35" s="16" t="n">
        <f aca="false">I35</f>
        <v>87</v>
      </c>
      <c r="AA35" s="16" t="n">
        <f aca="false">SMALL($Z$20:$Z$199,16)</f>
        <v>75</v>
      </c>
      <c r="AB35" s="16" t="str">
        <f aca="false">IF(16-COUNTIF($Z$20:$Z$199,"&lt;"&amp;AA35)=1,IF(COUNTIF($I$20:$I$109,AA35)&gt;0,"FT","PT"),"PT")</f>
        <v>FT</v>
      </c>
      <c r="AC35" s="16" t="n">
        <f aca="false">IF(AB35="FT",INDEX($N$20:$N$109,MATCH(AA35,$I$20:$I$109,0)),1)</f>
        <v>1</v>
      </c>
    </row>
    <row r="36" customFormat="false" ht="15" hidden="false" customHeight="false" outlineLevel="0" collapsed="false">
      <c r="H36" s="13" t="n">
        <v>17</v>
      </c>
      <c r="I36" s="13" t="n">
        <f aca="false">IF(16&lt;FT_PreY5,FT_First+FT_Int1*16,FT_Y5+FT_Int2*(16-FT_PreY5))</f>
        <v>90</v>
      </c>
      <c r="J36" s="13" t="str">
        <f aca="false">INT(I36/12)&amp;"y "&amp;MOD(I36,12)&amp;"m"</f>
        <v>7y 6m</v>
      </c>
      <c r="K36" s="11" t="str">
        <f aca="false">IF(OR($C$6&lt;&gt;"Yes",$C$8=""),"",EDATE($C$8,I36))</f>
        <v/>
      </c>
      <c r="L36" s="13" t="str">
        <f aca="false">IF(K36="","",IF($C$16=0,$C$9,IF(AND($C$14&lt;&gt;"",K36&gt;=$C$14),$C$15,IF(AND($C$12&lt;&gt;"",K36&gt;=$C$12),$C$13,$C$11))))</f>
        <v/>
      </c>
      <c r="M36" s="13" t="str">
        <f aca="false">IF(K36="","",IF(OR(ISNUMBER(SEARCH("full",L36)),UPPER(TRIM(L36))="FT",UPPER(TRIM(L36))="FTE"),"FT",IF(AND(OR(ISNUMBER(SEARCH("part",L36)),UPPER(TRIM(L36))="PT",UPPER(TRIM(L36))="PTE"),OR($C$10="",N($C$10)&gt;=PT_MinHours)),"PT","None")))</f>
        <v/>
      </c>
      <c r="N36" s="13" t="n">
        <f aca="false">IF(I36&lt;FT_Y5,1,IF(MOD(I36-FT_Y5,12)=0,FT_AnnivDays,1))</f>
        <v>1</v>
      </c>
      <c r="O36" s="13" t="str">
        <f aca="false">IF(K36="","",IF(AND(M36="FT",K36&lt;=AsOfDate),N36,0))</f>
        <v/>
      </c>
      <c r="Q36" s="13" t="n">
        <v>17</v>
      </c>
      <c r="R36" s="13" t="n">
        <f aca="false">PT_First+PT_Int*16</f>
        <v>124</v>
      </c>
      <c r="S36" s="13" t="str">
        <f aca="false">INT(R36/12)&amp;"y "&amp;MOD(R36,12)&amp;"m"</f>
        <v>10y 4m</v>
      </c>
      <c r="T36" s="11" t="str">
        <f aca="false">IF(OR($C$6&lt;&gt;"Yes",$C$8=""),"",EDATE($C$8,R36))</f>
        <v/>
      </c>
      <c r="U36" s="13" t="str">
        <f aca="false">IF(T36="","",IF($C$16=0,$C$9,IF(AND($C$14&lt;&gt;"",T36&gt;=$C$14),$C$15,IF(AND($C$12&lt;&gt;"",T36&gt;=$C$12),$C$13,$C$11))))</f>
        <v/>
      </c>
      <c r="V36" s="13" t="str">
        <f aca="false">IF(T36="","",IF(OR(ISNUMBER(SEARCH("full",U36)),UPPER(TRIM(U36))="FT",UPPER(TRIM(U36))="FTE"),"FT",IF(AND(OR(ISNUMBER(SEARCH("part",U36)),UPPER(TRIM(U36))="PT",UPPER(TRIM(U36))="PTE"),OR($C$10="",N($C$10)&gt;=PT_MinHours)),"PT","None")))</f>
        <v/>
      </c>
      <c r="W36" s="13" t="n">
        <v>1</v>
      </c>
      <c r="X36" s="13" t="str">
        <f aca="false">IF(T36="","",IF(AND(V36="PT",T36&lt;=AsOfDate),W36,0))</f>
        <v/>
      </c>
      <c r="Z36" s="16" t="n">
        <f aca="false">I36</f>
        <v>90</v>
      </c>
      <c r="AA36" s="16" t="n">
        <f aca="false">SMALL($Z$20:$Z$199,17)</f>
        <v>76</v>
      </c>
      <c r="AB36" s="16" t="str">
        <f aca="false">IF(17-COUNTIF($Z$20:$Z$199,"&lt;"&amp;AA36)=1,IF(COUNTIF($I$20:$I$109,AA36)&gt;0,"FT","PT"),"PT")</f>
        <v>PT</v>
      </c>
      <c r="AC36" s="16" t="n">
        <f aca="false">IF(AB36="FT",INDEX($N$20:$N$109,MATCH(AA36,$I$20:$I$109,0)),1)</f>
        <v>1</v>
      </c>
    </row>
    <row r="37" customFormat="false" ht="15" hidden="false" customHeight="false" outlineLevel="0" collapsed="false">
      <c r="H37" s="13" t="n">
        <v>18</v>
      </c>
      <c r="I37" s="13" t="n">
        <f aca="false">IF(17&lt;FT_PreY5,FT_First+FT_Int1*17,FT_Y5+FT_Int2*(17-FT_PreY5))</f>
        <v>93</v>
      </c>
      <c r="J37" s="13" t="str">
        <f aca="false">INT(I37/12)&amp;"y "&amp;MOD(I37,12)&amp;"m"</f>
        <v>7y 9m</v>
      </c>
      <c r="K37" s="11" t="str">
        <f aca="false">IF(OR($C$6&lt;&gt;"Yes",$C$8=""),"",EDATE($C$8,I37))</f>
        <v/>
      </c>
      <c r="L37" s="13" t="str">
        <f aca="false">IF(K37="","",IF($C$16=0,$C$9,IF(AND($C$14&lt;&gt;"",K37&gt;=$C$14),$C$15,IF(AND($C$12&lt;&gt;"",K37&gt;=$C$12),$C$13,$C$11))))</f>
        <v/>
      </c>
      <c r="M37" s="13" t="str">
        <f aca="false">IF(K37="","",IF(OR(ISNUMBER(SEARCH("full",L37)),UPPER(TRIM(L37))="FT",UPPER(TRIM(L37))="FTE"),"FT",IF(AND(OR(ISNUMBER(SEARCH("part",L37)),UPPER(TRIM(L37))="PT",UPPER(TRIM(L37))="PTE"),OR($C$10="",N($C$10)&gt;=PT_MinHours)),"PT","None")))</f>
        <v/>
      </c>
      <c r="N37" s="13" t="n">
        <f aca="false">IF(I37&lt;FT_Y5,1,IF(MOD(I37-FT_Y5,12)=0,FT_AnnivDays,1))</f>
        <v>1</v>
      </c>
      <c r="O37" s="13" t="str">
        <f aca="false">IF(K37="","",IF(AND(M37="FT",K37&lt;=AsOfDate),N37,0))</f>
        <v/>
      </c>
      <c r="Q37" s="13" t="n">
        <v>18</v>
      </c>
      <c r="R37" s="13" t="n">
        <f aca="false">PT_First+PT_Int*17</f>
        <v>128</v>
      </c>
      <c r="S37" s="13" t="str">
        <f aca="false">INT(R37/12)&amp;"y "&amp;MOD(R37,12)&amp;"m"</f>
        <v>10y 8m</v>
      </c>
      <c r="T37" s="11" t="str">
        <f aca="false">IF(OR($C$6&lt;&gt;"Yes",$C$8=""),"",EDATE($C$8,R37))</f>
        <v/>
      </c>
      <c r="U37" s="13" t="str">
        <f aca="false">IF(T37="","",IF($C$16=0,$C$9,IF(AND($C$14&lt;&gt;"",T37&gt;=$C$14),$C$15,IF(AND($C$12&lt;&gt;"",T37&gt;=$C$12),$C$13,$C$11))))</f>
        <v/>
      </c>
      <c r="V37" s="13" t="str">
        <f aca="false">IF(T37="","",IF(OR(ISNUMBER(SEARCH("full",U37)),UPPER(TRIM(U37))="FT",UPPER(TRIM(U37))="FTE"),"FT",IF(AND(OR(ISNUMBER(SEARCH("part",U37)),UPPER(TRIM(U37))="PT",UPPER(TRIM(U37))="PTE"),OR($C$10="",N($C$10)&gt;=PT_MinHours)),"PT","None")))</f>
        <v/>
      </c>
      <c r="W37" s="13" t="n">
        <v>1</v>
      </c>
      <c r="X37" s="13" t="str">
        <f aca="false">IF(T37="","",IF(AND(V37="PT",T37&lt;=AsOfDate),W37,0))</f>
        <v/>
      </c>
      <c r="Z37" s="16" t="n">
        <f aca="false">I37</f>
        <v>93</v>
      </c>
      <c r="AA37" s="16" t="n">
        <f aca="false">SMALL($Z$20:$Z$199,18)</f>
        <v>78</v>
      </c>
      <c r="AB37" s="16" t="str">
        <f aca="false">IF(18-COUNTIF($Z$20:$Z$199,"&lt;"&amp;AA37)=1,IF(COUNTIF($I$20:$I$109,AA37)&gt;0,"FT","PT"),"PT")</f>
        <v>FT</v>
      </c>
      <c r="AC37" s="16" t="n">
        <f aca="false">IF(AB37="FT",INDEX($N$20:$N$109,MATCH(AA37,$I$20:$I$109,0)),1)</f>
        <v>1</v>
      </c>
    </row>
    <row r="38" customFormat="false" ht="15" hidden="false" customHeight="false" outlineLevel="0" collapsed="false">
      <c r="H38" s="13" t="n">
        <v>19</v>
      </c>
      <c r="I38" s="13" t="n">
        <f aca="false">IF(18&lt;FT_PreY5,FT_First+FT_Int1*18,FT_Y5+FT_Int2*(18-FT_PreY5))</f>
        <v>96</v>
      </c>
      <c r="J38" s="13" t="str">
        <f aca="false">INT(I38/12)&amp;"y "&amp;MOD(I38,12)&amp;"m"</f>
        <v>8y 0m</v>
      </c>
      <c r="K38" s="11" t="str">
        <f aca="false">IF(OR($C$6&lt;&gt;"Yes",$C$8=""),"",EDATE($C$8,I38))</f>
        <v/>
      </c>
      <c r="L38" s="13" t="str">
        <f aca="false">IF(K38="","",IF($C$16=0,$C$9,IF(AND($C$14&lt;&gt;"",K38&gt;=$C$14),$C$15,IF(AND($C$12&lt;&gt;"",K38&gt;=$C$12),$C$13,$C$11))))</f>
        <v/>
      </c>
      <c r="M38" s="13" t="str">
        <f aca="false">IF(K38="","",IF(OR(ISNUMBER(SEARCH("full",L38)),UPPER(TRIM(L38))="FT",UPPER(TRIM(L38))="FTE"),"FT",IF(AND(OR(ISNUMBER(SEARCH("part",L38)),UPPER(TRIM(L38))="PT",UPPER(TRIM(L38))="PTE"),OR($C$10="",N($C$10)&gt;=PT_MinHours)),"PT","None")))</f>
        <v/>
      </c>
      <c r="N38" s="13" t="n">
        <f aca="false">IF(I38&lt;FT_Y5,1,IF(MOD(I38-FT_Y5,12)=0,FT_AnnivDays,1))</f>
        <v>2</v>
      </c>
      <c r="O38" s="13" t="str">
        <f aca="false">IF(K38="","",IF(AND(M38="FT",K38&lt;=AsOfDate),N38,0))</f>
        <v/>
      </c>
      <c r="Q38" s="13" t="n">
        <v>19</v>
      </c>
      <c r="R38" s="13" t="n">
        <f aca="false">PT_First+PT_Int*18</f>
        <v>132</v>
      </c>
      <c r="S38" s="13" t="str">
        <f aca="false">INT(R38/12)&amp;"y "&amp;MOD(R38,12)&amp;"m"</f>
        <v>11y 0m</v>
      </c>
      <c r="T38" s="11" t="str">
        <f aca="false">IF(OR($C$6&lt;&gt;"Yes",$C$8=""),"",EDATE($C$8,R38))</f>
        <v/>
      </c>
      <c r="U38" s="13" t="str">
        <f aca="false">IF(T38="","",IF($C$16=0,$C$9,IF(AND($C$14&lt;&gt;"",T38&gt;=$C$14),$C$15,IF(AND($C$12&lt;&gt;"",T38&gt;=$C$12),$C$13,$C$11))))</f>
        <v/>
      </c>
      <c r="V38" s="13" t="str">
        <f aca="false">IF(T38="","",IF(OR(ISNUMBER(SEARCH("full",U38)),UPPER(TRIM(U38))="FT",UPPER(TRIM(U38))="FTE"),"FT",IF(AND(OR(ISNUMBER(SEARCH("part",U38)),UPPER(TRIM(U38))="PT",UPPER(TRIM(U38))="PTE"),OR($C$10="",N($C$10)&gt;=PT_MinHours)),"PT","None")))</f>
        <v/>
      </c>
      <c r="W38" s="13" t="n">
        <v>1</v>
      </c>
      <c r="X38" s="13" t="str">
        <f aca="false">IF(T38="","",IF(AND(V38="PT",T38&lt;=AsOfDate),W38,0))</f>
        <v/>
      </c>
      <c r="Z38" s="16" t="n">
        <f aca="false">I38</f>
        <v>96</v>
      </c>
      <c r="AA38" s="16" t="n">
        <f aca="false">SMALL($Z$20:$Z$199,19)</f>
        <v>80</v>
      </c>
      <c r="AB38" s="16" t="str">
        <f aca="false">IF(19-COUNTIF($Z$20:$Z$199,"&lt;"&amp;AA38)=1,IF(COUNTIF($I$20:$I$109,AA38)&gt;0,"FT","PT"),"PT")</f>
        <v>PT</v>
      </c>
      <c r="AC38" s="16" t="n">
        <f aca="false">IF(AB38="FT",INDEX($N$20:$N$109,MATCH(AA38,$I$20:$I$109,0)),1)</f>
        <v>1</v>
      </c>
    </row>
    <row r="39" customFormat="false" ht="15" hidden="false" customHeight="false" outlineLevel="0" collapsed="false">
      <c r="H39" s="13" t="n">
        <v>20</v>
      </c>
      <c r="I39" s="13" t="n">
        <f aca="false">IF(19&lt;FT_PreY5,FT_First+FT_Int1*19,FT_Y5+FT_Int2*(19-FT_PreY5))</f>
        <v>99</v>
      </c>
      <c r="J39" s="13" t="str">
        <f aca="false">INT(I39/12)&amp;"y "&amp;MOD(I39,12)&amp;"m"</f>
        <v>8y 3m</v>
      </c>
      <c r="K39" s="11" t="str">
        <f aca="false">IF(OR($C$6&lt;&gt;"Yes",$C$8=""),"",EDATE($C$8,I39))</f>
        <v/>
      </c>
      <c r="L39" s="13" t="str">
        <f aca="false">IF(K39="","",IF($C$16=0,$C$9,IF(AND($C$14&lt;&gt;"",K39&gt;=$C$14),$C$15,IF(AND($C$12&lt;&gt;"",K39&gt;=$C$12),$C$13,$C$11))))</f>
        <v/>
      </c>
      <c r="M39" s="13" t="str">
        <f aca="false">IF(K39="","",IF(OR(ISNUMBER(SEARCH("full",L39)),UPPER(TRIM(L39))="FT",UPPER(TRIM(L39))="FTE"),"FT",IF(AND(OR(ISNUMBER(SEARCH("part",L39)),UPPER(TRIM(L39))="PT",UPPER(TRIM(L39))="PTE"),OR($C$10="",N($C$10)&gt;=PT_MinHours)),"PT","None")))</f>
        <v/>
      </c>
      <c r="N39" s="13" t="n">
        <f aca="false">IF(I39&lt;FT_Y5,1,IF(MOD(I39-FT_Y5,12)=0,FT_AnnivDays,1))</f>
        <v>1</v>
      </c>
      <c r="O39" s="13" t="str">
        <f aca="false">IF(K39="","",IF(AND(M39="FT",K39&lt;=AsOfDate),N39,0))</f>
        <v/>
      </c>
      <c r="Q39" s="13" t="n">
        <v>20</v>
      </c>
      <c r="R39" s="13" t="n">
        <f aca="false">PT_First+PT_Int*19</f>
        <v>136</v>
      </c>
      <c r="S39" s="13" t="str">
        <f aca="false">INT(R39/12)&amp;"y "&amp;MOD(R39,12)&amp;"m"</f>
        <v>11y 4m</v>
      </c>
      <c r="T39" s="11" t="str">
        <f aca="false">IF(OR($C$6&lt;&gt;"Yes",$C$8=""),"",EDATE($C$8,R39))</f>
        <v/>
      </c>
      <c r="U39" s="13" t="str">
        <f aca="false">IF(T39="","",IF($C$16=0,$C$9,IF(AND($C$14&lt;&gt;"",T39&gt;=$C$14),$C$15,IF(AND($C$12&lt;&gt;"",T39&gt;=$C$12),$C$13,$C$11))))</f>
        <v/>
      </c>
      <c r="V39" s="13" t="str">
        <f aca="false">IF(T39="","",IF(OR(ISNUMBER(SEARCH("full",U39)),UPPER(TRIM(U39))="FT",UPPER(TRIM(U39))="FTE"),"FT",IF(AND(OR(ISNUMBER(SEARCH("part",U39)),UPPER(TRIM(U39))="PT",UPPER(TRIM(U39))="PTE"),OR($C$10="",N($C$10)&gt;=PT_MinHours)),"PT","None")))</f>
        <v/>
      </c>
      <c r="W39" s="13" t="n">
        <v>1</v>
      </c>
      <c r="X39" s="13" t="str">
        <f aca="false">IF(T39="","",IF(AND(V39="PT",T39&lt;=AsOfDate),W39,0))</f>
        <v/>
      </c>
      <c r="Z39" s="16" t="n">
        <f aca="false">I39</f>
        <v>99</v>
      </c>
      <c r="AA39" s="16" t="n">
        <f aca="false">SMALL($Z$20:$Z$199,20)</f>
        <v>81</v>
      </c>
      <c r="AB39" s="16" t="str">
        <f aca="false">IF(20-COUNTIF($Z$20:$Z$199,"&lt;"&amp;AA39)=1,IF(COUNTIF($I$20:$I$109,AA39)&gt;0,"FT","PT"),"PT")</f>
        <v>FT</v>
      </c>
      <c r="AC39" s="16" t="n">
        <f aca="false">IF(AB39="FT",INDEX($N$20:$N$109,MATCH(AA39,$I$20:$I$109,0)),1)</f>
        <v>1</v>
      </c>
    </row>
    <row r="40" customFormat="false" ht="15" hidden="false" customHeight="false" outlineLevel="0" collapsed="false">
      <c r="H40" s="13" t="n">
        <v>21</v>
      </c>
      <c r="I40" s="13" t="n">
        <f aca="false">IF(20&lt;FT_PreY5,FT_First+FT_Int1*20,FT_Y5+FT_Int2*(20-FT_PreY5))</f>
        <v>102</v>
      </c>
      <c r="J40" s="13" t="str">
        <f aca="false">INT(I40/12)&amp;"y "&amp;MOD(I40,12)&amp;"m"</f>
        <v>8y 6m</v>
      </c>
      <c r="K40" s="11" t="str">
        <f aca="false">IF(OR($C$6&lt;&gt;"Yes",$C$8=""),"",EDATE($C$8,I40))</f>
        <v/>
      </c>
      <c r="L40" s="13" t="str">
        <f aca="false">IF(K40="","",IF($C$16=0,$C$9,IF(AND($C$14&lt;&gt;"",K40&gt;=$C$14),$C$15,IF(AND($C$12&lt;&gt;"",K40&gt;=$C$12),$C$13,$C$11))))</f>
        <v/>
      </c>
      <c r="M40" s="13" t="str">
        <f aca="false">IF(K40="","",IF(OR(ISNUMBER(SEARCH("full",L40)),UPPER(TRIM(L40))="FT",UPPER(TRIM(L40))="FTE"),"FT",IF(AND(OR(ISNUMBER(SEARCH("part",L40)),UPPER(TRIM(L40))="PT",UPPER(TRIM(L40))="PTE"),OR($C$10="",N($C$10)&gt;=PT_MinHours)),"PT","None")))</f>
        <v/>
      </c>
      <c r="N40" s="13" t="n">
        <f aca="false">IF(I40&lt;FT_Y5,1,IF(MOD(I40-FT_Y5,12)=0,FT_AnnivDays,1))</f>
        <v>1</v>
      </c>
      <c r="O40" s="13" t="str">
        <f aca="false">IF(K40="","",IF(AND(M40="FT",K40&lt;=AsOfDate),N40,0))</f>
        <v/>
      </c>
      <c r="Q40" s="13" t="n">
        <v>21</v>
      </c>
      <c r="R40" s="13" t="n">
        <f aca="false">PT_First+PT_Int*20</f>
        <v>140</v>
      </c>
      <c r="S40" s="13" t="str">
        <f aca="false">INT(R40/12)&amp;"y "&amp;MOD(R40,12)&amp;"m"</f>
        <v>11y 8m</v>
      </c>
      <c r="T40" s="11" t="str">
        <f aca="false">IF(OR($C$6&lt;&gt;"Yes",$C$8=""),"",EDATE($C$8,R40))</f>
        <v/>
      </c>
      <c r="U40" s="13" t="str">
        <f aca="false">IF(T40="","",IF($C$16=0,$C$9,IF(AND($C$14&lt;&gt;"",T40&gt;=$C$14),$C$15,IF(AND($C$12&lt;&gt;"",T40&gt;=$C$12),$C$13,$C$11))))</f>
        <v/>
      </c>
      <c r="V40" s="13" t="str">
        <f aca="false">IF(T40="","",IF(OR(ISNUMBER(SEARCH("full",U40)),UPPER(TRIM(U40))="FT",UPPER(TRIM(U40))="FTE"),"FT",IF(AND(OR(ISNUMBER(SEARCH("part",U40)),UPPER(TRIM(U40))="PT",UPPER(TRIM(U40))="PTE"),OR($C$10="",N($C$10)&gt;=PT_MinHours)),"PT","None")))</f>
        <v/>
      </c>
      <c r="W40" s="13" t="n">
        <v>1</v>
      </c>
      <c r="X40" s="13" t="str">
        <f aca="false">IF(T40="","",IF(AND(V40="PT",T40&lt;=AsOfDate),W40,0))</f>
        <v/>
      </c>
      <c r="Z40" s="16" t="n">
        <f aca="false">I40</f>
        <v>102</v>
      </c>
      <c r="AA40" s="16" t="n">
        <f aca="false">SMALL($Z$20:$Z$199,21)</f>
        <v>84</v>
      </c>
      <c r="AB40" s="16" t="str">
        <f aca="false">IF(21-COUNTIF($Z$20:$Z$199,"&lt;"&amp;AA40)=1,IF(COUNTIF($I$20:$I$109,AA40)&gt;0,"FT","PT"),"PT")</f>
        <v>FT</v>
      </c>
      <c r="AC40" s="16" t="n">
        <f aca="false">IF(AB40="FT",INDEX($N$20:$N$109,MATCH(AA40,$I$20:$I$109,0)),1)</f>
        <v>2</v>
      </c>
    </row>
    <row r="41" customFormat="false" ht="15" hidden="false" customHeight="false" outlineLevel="0" collapsed="false">
      <c r="H41" s="13" t="n">
        <v>22</v>
      </c>
      <c r="I41" s="13" t="n">
        <f aca="false">IF(21&lt;FT_PreY5,FT_First+FT_Int1*21,FT_Y5+FT_Int2*(21-FT_PreY5))</f>
        <v>105</v>
      </c>
      <c r="J41" s="13" t="str">
        <f aca="false">INT(I41/12)&amp;"y "&amp;MOD(I41,12)&amp;"m"</f>
        <v>8y 9m</v>
      </c>
      <c r="K41" s="11" t="str">
        <f aca="false">IF(OR($C$6&lt;&gt;"Yes",$C$8=""),"",EDATE($C$8,I41))</f>
        <v/>
      </c>
      <c r="L41" s="13" t="str">
        <f aca="false">IF(K41="","",IF($C$16=0,$C$9,IF(AND($C$14&lt;&gt;"",K41&gt;=$C$14),$C$15,IF(AND($C$12&lt;&gt;"",K41&gt;=$C$12),$C$13,$C$11))))</f>
        <v/>
      </c>
      <c r="M41" s="13" t="str">
        <f aca="false">IF(K41="","",IF(OR(ISNUMBER(SEARCH("full",L41)),UPPER(TRIM(L41))="FT",UPPER(TRIM(L41))="FTE"),"FT",IF(AND(OR(ISNUMBER(SEARCH("part",L41)),UPPER(TRIM(L41))="PT",UPPER(TRIM(L41))="PTE"),OR($C$10="",N($C$10)&gt;=PT_MinHours)),"PT","None")))</f>
        <v/>
      </c>
      <c r="N41" s="13" t="n">
        <f aca="false">IF(I41&lt;FT_Y5,1,IF(MOD(I41-FT_Y5,12)=0,FT_AnnivDays,1))</f>
        <v>1</v>
      </c>
      <c r="O41" s="13" t="str">
        <f aca="false">IF(K41="","",IF(AND(M41="FT",K41&lt;=AsOfDate),N41,0))</f>
        <v/>
      </c>
      <c r="Q41" s="13" t="n">
        <v>22</v>
      </c>
      <c r="R41" s="13" t="n">
        <f aca="false">PT_First+PT_Int*21</f>
        <v>144</v>
      </c>
      <c r="S41" s="13" t="str">
        <f aca="false">INT(R41/12)&amp;"y "&amp;MOD(R41,12)&amp;"m"</f>
        <v>12y 0m</v>
      </c>
      <c r="T41" s="11" t="str">
        <f aca="false">IF(OR($C$6&lt;&gt;"Yes",$C$8=""),"",EDATE($C$8,R41))</f>
        <v/>
      </c>
      <c r="U41" s="13" t="str">
        <f aca="false">IF(T41="","",IF($C$16=0,$C$9,IF(AND($C$14&lt;&gt;"",T41&gt;=$C$14),$C$15,IF(AND($C$12&lt;&gt;"",T41&gt;=$C$12),$C$13,$C$11))))</f>
        <v/>
      </c>
      <c r="V41" s="13" t="str">
        <f aca="false">IF(T41="","",IF(OR(ISNUMBER(SEARCH("full",U41)),UPPER(TRIM(U41))="FT",UPPER(TRIM(U41))="FTE"),"FT",IF(AND(OR(ISNUMBER(SEARCH("part",U41)),UPPER(TRIM(U41))="PT",UPPER(TRIM(U41))="PTE"),OR($C$10="",N($C$10)&gt;=PT_MinHours)),"PT","None")))</f>
        <v/>
      </c>
      <c r="W41" s="13" t="n">
        <v>1</v>
      </c>
      <c r="X41" s="13" t="str">
        <f aca="false">IF(T41="","",IF(AND(V41="PT",T41&lt;=AsOfDate),W41,0))</f>
        <v/>
      </c>
      <c r="Z41" s="16" t="n">
        <f aca="false">I41</f>
        <v>105</v>
      </c>
      <c r="AA41" s="16" t="n">
        <f aca="false">SMALL($Z$20:$Z$199,22)</f>
        <v>84</v>
      </c>
      <c r="AB41" s="16" t="str">
        <f aca="false">IF(22-COUNTIF($Z$20:$Z$199,"&lt;"&amp;AA41)=1,IF(COUNTIF($I$20:$I$109,AA41)&gt;0,"FT","PT"),"PT")</f>
        <v>PT</v>
      </c>
      <c r="AC41" s="16" t="n">
        <f aca="false">IF(AB41="FT",INDEX($N$20:$N$109,MATCH(AA41,$I$20:$I$109,0)),1)</f>
        <v>1</v>
      </c>
    </row>
    <row r="42" customFormat="false" ht="15" hidden="false" customHeight="false" outlineLevel="0" collapsed="false">
      <c r="H42" s="13" t="n">
        <v>23</v>
      </c>
      <c r="I42" s="13" t="n">
        <f aca="false">IF(22&lt;FT_PreY5,FT_First+FT_Int1*22,FT_Y5+FT_Int2*(22-FT_PreY5))</f>
        <v>108</v>
      </c>
      <c r="J42" s="13" t="str">
        <f aca="false">INT(I42/12)&amp;"y "&amp;MOD(I42,12)&amp;"m"</f>
        <v>9y 0m</v>
      </c>
      <c r="K42" s="11" t="str">
        <f aca="false">IF(OR($C$6&lt;&gt;"Yes",$C$8=""),"",EDATE($C$8,I42))</f>
        <v/>
      </c>
      <c r="L42" s="13" t="str">
        <f aca="false">IF(K42="","",IF($C$16=0,$C$9,IF(AND($C$14&lt;&gt;"",K42&gt;=$C$14),$C$15,IF(AND($C$12&lt;&gt;"",K42&gt;=$C$12),$C$13,$C$11))))</f>
        <v/>
      </c>
      <c r="M42" s="13" t="str">
        <f aca="false">IF(K42="","",IF(OR(ISNUMBER(SEARCH("full",L42)),UPPER(TRIM(L42))="FT",UPPER(TRIM(L42))="FTE"),"FT",IF(AND(OR(ISNUMBER(SEARCH("part",L42)),UPPER(TRIM(L42))="PT",UPPER(TRIM(L42))="PTE"),OR($C$10="",N($C$10)&gt;=PT_MinHours)),"PT","None")))</f>
        <v/>
      </c>
      <c r="N42" s="13" t="n">
        <f aca="false">IF(I42&lt;FT_Y5,1,IF(MOD(I42-FT_Y5,12)=0,FT_AnnivDays,1))</f>
        <v>2</v>
      </c>
      <c r="O42" s="13" t="str">
        <f aca="false">IF(K42="","",IF(AND(M42="FT",K42&lt;=AsOfDate),N42,0))</f>
        <v/>
      </c>
      <c r="Q42" s="13" t="n">
        <v>23</v>
      </c>
      <c r="R42" s="13" t="n">
        <f aca="false">PT_First+PT_Int*22</f>
        <v>148</v>
      </c>
      <c r="S42" s="13" t="str">
        <f aca="false">INT(R42/12)&amp;"y "&amp;MOD(R42,12)&amp;"m"</f>
        <v>12y 4m</v>
      </c>
      <c r="T42" s="11" t="str">
        <f aca="false">IF(OR($C$6&lt;&gt;"Yes",$C$8=""),"",EDATE($C$8,R42))</f>
        <v/>
      </c>
      <c r="U42" s="13" t="str">
        <f aca="false">IF(T42="","",IF($C$16=0,$C$9,IF(AND($C$14&lt;&gt;"",T42&gt;=$C$14),$C$15,IF(AND($C$12&lt;&gt;"",T42&gt;=$C$12),$C$13,$C$11))))</f>
        <v/>
      </c>
      <c r="V42" s="13" t="str">
        <f aca="false">IF(T42="","",IF(OR(ISNUMBER(SEARCH("full",U42)),UPPER(TRIM(U42))="FT",UPPER(TRIM(U42))="FTE"),"FT",IF(AND(OR(ISNUMBER(SEARCH("part",U42)),UPPER(TRIM(U42))="PT",UPPER(TRIM(U42))="PTE"),OR($C$10="",N($C$10)&gt;=PT_MinHours)),"PT","None")))</f>
        <v/>
      </c>
      <c r="W42" s="13" t="n">
        <v>1</v>
      </c>
      <c r="X42" s="13" t="str">
        <f aca="false">IF(T42="","",IF(AND(V42="PT",T42&lt;=AsOfDate),W42,0))</f>
        <v/>
      </c>
      <c r="Z42" s="16" t="n">
        <f aca="false">I42</f>
        <v>108</v>
      </c>
      <c r="AA42" s="16" t="n">
        <f aca="false">SMALL($Z$20:$Z$199,23)</f>
        <v>87</v>
      </c>
      <c r="AB42" s="16" t="str">
        <f aca="false">IF(23-COUNTIF($Z$20:$Z$199,"&lt;"&amp;AA42)=1,IF(COUNTIF($I$20:$I$109,AA42)&gt;0,"FT","PT"),"PT")</f>
        <v>FT</v>
      </c>
      <c r="AC42" s="16" t="n">
        <f aca="false">IF(AB42="FT",INDEX($N$20:$N$109,MATCH(AA42,$I$20:$I$109,0)),1)</f>
        <v>1</v>
      </c>
    </row>
    <row r="43" customFormat="false" ht="15" hidden="false" customHeight="false" outlineLevel="0" collapsed="false">
      <c r="H43" s="13" t="n">
        <v>24</v>
      </c>
      <c r="I43" s="13" t="n">
        <f aca="false">IF(23&lt;FT_PreY5,FT_First+FT_Int1*23,FT_Y5+FT_Int2*(23-FT_PreY5))</f>
        <v>111</v>
      </c>
      <c r="J43" s="13" t="str">
        <f aca="false">INT(I43/12)&amp;"y "&amp;MOD(I43,12)&amp;"m"</f>
        <v>9y 3m</v>
      </c>
      <c r="K43" s="11" t="str">
        <f aca="false">IF(OR($C$6&lt;&gt;"Yes",$C$8=""),"",EDATE($C$8,I43))</f>
        <v/>
      </c>
      <c r="L43" s="13" t="str">
        <f aca="false">IF(K43="","",IF($C$16=0,$C$9,IF(AND($C$14&lt;&gt;"",K43&gt;=$C$14),$C$15,IF(AND($C$12&lt;&gt;"",K43&gt;=$C$12),$C$13,$C$11))))</f>
        <v/>
      </c>
      <c r="M43" s="13" t="str">
        <f aca="false">IF(K43="","",IF(OR(ISNUMBER(SEARCH("full",L43)),UPPER(TRIM(L43))="FT",UPPER(TRIM(L43))="FTE"),"FT",IF(AND(OR(ISNUMBER(SEARCH("part",L43)),UPPER(TRIM(L43))="PT",UPPER(TRIM(L43))="PTE"),OR($C$10="",N($C$10)&gt;=PT_MinHours)),"PT","None")))</f>
        <v/>
      </c>
      <c r="N43" s="13" t="n">
        <f aca="false">IF(I43&lt;FT_Y5,1,IF(MOD(I43-FT_Y5,12)=0,FT_AnnivDays,1))</f>
        <v>1</v>
      </c>
      <c r="O43" s="13" t="str">
        <f aca="false">IF(K43="","",IF(AND(M43="FT",K43&lt;=AsOfDate),N43,0))</f>
        <v/>
      </c>
      <c r="Q43" s="13" t="n">
        <v>24</v>
      </c>
      <c r="R43" s="13" t="n">
        <f aca="false">PT_First+PT_Int*23</f>
        <v>152</v>
      </c>
      <c r="S43" s="13" t="str">
        <f aca="false">INT(R43/12)&amp;"y "&amp;MOD(R43,12)&amp;"m"</f>
        <v>12y 8m</v>
      </c>
      <c r="T43" s="11" t="str">
        <f aca="false">IF(OR($C$6&lt;&gt;"Yes",$C$8=""),"",EDATE($C$8,R43))</f>
        <v/>
      </c>
      <c r="U43" s="13" t="str">
        <f aca="false">IF(T43="","",IF($C$16=0,$C$9,IF(AND($C$14&lt;&gt;"",T43&gt;=$C$14),$C$15,IF(AND($C$12&lt;&gt;"",T43&gt;=$C$12),$C$13,$C$11))))</f>
        <v/>
      </c>
      <c r="V43" s="13" t="str">
        <f aca="false">IF(T43="","",IF(OR(ISNUMBER(SEARCH("full",U43)),UPPER(TRIM(U43))="FT",UPPER(TRIM(U43))="FTE"),"FT",IF(AND(OR(ISNUMBER(SEARCH("part",U43)),UPPER(TRIM(U43))="PT",UPPER(TRIM(U43))="PTE"),OR($C$10="",N($C$10)&gt;=PT_MinHours)),"PT","None")))</f>
        <v/>
      </c>
      <c r="W43" s="13" t="n">
        <v>1</v>
      </c>
      <c r="X43" s="13" t="str">
        <f aca="false">IF(T43="","",IF(AND(V43="PT",T43&lt;=AsOfDate),W43,0))</f>
        <v/>
      </c>
      <c r="Z43" s="16" t="n">
        <f aca="false">I43</f>
        <v>111</v>
      </c>
      <c r="AA43" s="16" t="n">
        <f aca="false">SMALL($Z$20:$Z$199,24)</f>
        <v>88</v>
      </c>
      <c r="AB43" s="16" t="str">
        <f aca="false">IF(24-COUNTIF($Z$20:$Z$199,"&lt;"&amp;AA43)=1,IF(COUNTIF($I$20:$I$109,AA43)&gt;0,"FT","PT"),"PT")</f>
        <v>PT</v>
      </c>
      <c r="AC43" s="16" t="n">
        <f aca="false">IF(AB43="FT",INDEX($N$20:$N$109,MATCH(AA43,$I$20:$I$109,0)),1)</f>
        <v>1</v>
      </c>
    </row>
    <row r="44" customFormat="false" ht="15" hidden="false" customHeight="false" outlineLevel="0" collapsed="false">
      <c r="H44" s="13" t="n">
        <v>25</v>
      </c>
      <c r="I44" s="13" t="n">
        <f aca="false">IF(24&lt;FT_PreY5,FT_First+FT_Int1*24,FT_Y5+FT_Int2*(24-FT_PreY5))</f>
        <v>114</v>
      </c>
      <c r="J44" s="13" t="str">
        <f aca="false">INT(I44/12)&amp;"y "&amp;MOD(I44,12)&amp;"m"</f>
        <v>9y 6m</v>
      </c>
      <c r="K44" s="11" t="str">
        <f aca="false">IF(OR($C$6&lt;&gt;"Yes",$C$8=""),"",EDATE($C$8,I44))</f>
        <v/>
      </c>
      <c r="L44" s="13" t="str">
        <f aca="false">IF(K44="","",IF($C$16=0,$C$9,IF(AND($C$14&lt;&gt;"",K44&gt;=$C$14),$C$15,IF(AND($C$12&lt;&gt;"",K44&gt;=$C$12),$C$13,$C$11))))</f>
        <v/>
      </c>
      <c r="M44" s="13" t="str">
        <f aca="false">IF(K44="","",IF(OR(ISNUMBER(SEARCH("full",L44)),UPPER(TRIM(L44))="FT",UPPER(TRIM(L44))="FTE"),"FT",IF(AND(OR(ISNUMBER(SEARCH("part",L44)),UPPER(TRIM(L44))="PT",UPPER(TRIM(L44))="PTE"),OR($C$10="",N($C$10)&gt;=PT_MinHours)),"PT","None")))</f>
        <v/>
      </c>
      <c r="N44" s="13" t="n">
        <f aca="false">IF(I44&lt;FT_Y5,1,IF(MOD(I44-FT_Y5,12)=0,FT_AnnivDays,1))</f>
        <v>1</v>
      </c>
      <c r="O44" s="13" t="str">
        <f aca="false">IF(K44="","",IF(AND(M44="FT",K44&lt;=AsOfDate),N44,0))</f>
        <v/>
      </c>
      <c r="Q44" s="13" t="n">
        <v>25</v>
      </c>
      <c r="R44" s="13" t="n">
        <f aca="false">PT_First+PT_Int*24</f>
        <v>156</v>
      </c>
      <c r="S44" s="13" t="str">
        <f aca="false">INT(R44/12)&amp;"y "&amp;MOD(R44,12)&amp;"m"</f>
        <v>13y 0m</v>
      </c>
      <c r="T44" s="11" t="str">
        <f aca="false">IF(OR($C$6&lt;&gt;"Yes",$C$8=""),"",EDATE($C$8,R44))</f>
        <v/>
      </c>
      <c r="U44" s="13" t="str">
        <f aca="false">IF(T44="","",IF($C$16=0,$C$9,IF(AND($C$14&lt;&gt;"",T44&gt;=$C$14),$C$15,IF(AND($C$12&lt;&gt;"",T44&gt;=$C$12),$C$13,$C$11))))</f>
        <v/>
      </c>
      <c r="V44" s="13" t="str">
        <f aca="false">IF(T44="","",IF(OR(ISNUMBER(SEARCH("full",U44)),UPPER(TRIM(U44))="FT",UPPER(TRIM(U44))="FTE"),"FT",IF(AND(OR(ISNUMBER(SEARCH("part",U44)),UPPER(TRIM(U44))="PT",UPPER(TRIM(U44))="PTE"),OR($C$10="",N($C$10)&gt;=PT_MinHours)),"PT","None")))</f>
        <v/>
      </c>
      <c r="W44" s="13" t="n">
        <v>1</v>
      </c>
      <c r="X44" s="13" t="str">
        <f aca="false">IF(T44="","",IF(AND(V44="PT",T44&lt;=AsOfDate),W44,0))</f>
        <v/>
      </c>
      <c r="Z44" s="16" t="n">
        <f aca="false">I44</f>
        <v>114</v>
      </c>
      <c r="AA44" s="16" t="n">
        <f aca="false">SMALL($Z$20:$Z$199,25)</f>
        <v>90</v>
      </c>
      <c r="AB44" s="16" t="str">
        <f aca="false">IF(25-COUNTIF($Z$20:$Z$199,"&lt;"&amp;AA44)=1,IF(COUNTIF($I$20:$I$109,AA44)&gt;0,"FT","PT"),"PT")</f>
        <v>FT</v>
      </c>
      <c r="AC44" s="16" t="n">
        <f aca="false">IF(AB44="FT",INDEX($N$20:$N$109,MATCH(AA44,$I$20:$I$109,0)),1)</f>
        <v>1</v>
      </c>
    </row>
    <row r="45" customFormat="false" ht="15" hidden="false" customHeight="false" outlineLevel="0" collapsed="false">
      <c r="H45" s="13" t="n">
        <v>26</v>
      </c>
      <c r="I45" s="13" t="n">
        <f aca="false">IF(25&lt;FT_PreY5,FT_First+FT_Int1*25,FT_Y5+FT_Int2*(25-FT_PreY5))</f>
        <v>117</v>
      </c>
      <c r="J45" s="13" t="str">
        <f aca="false">INT(I45/12)&amp;"y "&amp;MOD(I45,12)&amp;"m"</f>
        <v>9y 9m</v>
      </c>
      <c r="K45" s="11" t="str">
        <f aca="false">IF(OR($C$6&lt;&gt;"Yes",$C$8=""),"",EDATE($C$8,I45))</f>
        <v/>
      </c>
      <c r="L45" s="13" t="str">
        <f aca="false">IF(K45="","",IF($C$16=0,$C$9,IF(AND($C$14&lt;&gt;"",K45&gt;=$C$14),$C$15,IF(AND($C$12&lt;&gt;"",K45&gt;=$C$12),$C$13,$C$11))))</f>
        <v/>
      </c>
      <c r="M45" s="13" t="str">
        <f aca="false">IF(K45="","",IF(OR(ISNUMBER(SEARCH("full",L45)),UPPER(TRIM(L45))="FT",UPPER(TRIM(L45))="FTE"),"FT",IF(AND(OR(ISNUMBER(SEARCH("part",L45)),UPPER(TRIM(L45))="PT",UPPER(TRIM(L45))="PTE"),OR($C$10="",N($C$10)&gt;=PT_MinHours)),"PT","None")))</f>
        <v/>
      </c>
      <c r="N45" s="13" t="n">
        <f aca="false">IF(I45&lt;FT_Y5,1,IF(MOD(I45-FT_Y5,12)=0,FT_AnnivDays,1))</f>
        <v>1</v>
      </c>
      <c r="O45" s="13" t="str">
        <f aca="false">IF(K45="","",IF(AND(M45="FT",K45&lt;=AsOfDate),N45,0))</f>
        <v/>
      </c>
      <c r="Q45" s="13" t="n">
        <v>26</v>
      </c>
      <c r="R45" s="13" t="n">
        <f aca="false">PT_First+PT_Int*25</f>
        <v>160</v>
      </c>
      <c r="S45" s="13" t="str">
        <f aca="false">INT(R45/12)&amp;"y "&amp;MOD(R45,12)&amp;"m"</f>
        <v>13y 4m</v>
      </c>
      <c r="T45" s="11" t="str">
        <f aca="false">IF(OR($C$6&lt;&gt;"Yes",$C$8=""),"",EDATE($C$8,R45))</f>
        <v/>
      </c>
      <c r="U45" s="13" t="str">
        <f aca="false">IF(T45="","",IF($C$16=0,$C$9,IF(AND($C$14&lt;&gt;"",T45&gt;=$C$14),$C$15,IF(AND($C$12&lt;&gt;"",T45&gt;=$C$12),$C$13,$C$11))))</f>
        <v/>
      </c>
      <c r="V45" s="13" t="str">
        <f aca="false">IF(T45="","",IF(OR(ISNUMBER(SEARCH("full",U45)),UPPER(TRIM(U45))="FT",UPPER(TRIM(U45))="FTE"),"FT",IF(AND(OR(ISNUMBER(SEARCH("part",U45)),UPPER(TRIM(U45))="PT",UPPER(TRIM(U45))="PTE"),OR($C$10="",N($C$10)&gt;=PT_MinHours)),"PT","None")))</f>
        <v/>
      </c>
      <c r="W45" s="13" t="n">
        <v>1</v>
      </c>
      <c r="X45" s="13" t="str">
        <f aca="false">IF(T45="","",IF(AND(V45="PT",T45&lt;=AsOfDate),W45,0))</f>
        <v/>
      </c>
      <c r="Z45" s="16" t="n">
        <f aca="false">I45</f>
        <v>117</v>
      </c>
      <c r="AA45" s="16" t="n">
        <f aca="false">SMALL($Z$20:$Z$199,26)</f>
        <v>92</v>
      </c>
      <c r="AB45" s="16" t="str">
        <f aca="false">IF(26-COUNTIF($Z$20:$Z$199,"&lt;"&amp;AA45)=1,IF(COUNTIF($I$20:$I$109,AA45)&gt;0,"FT","PT"),"PT")</f>
        <v>PT</v>
      </c>
      <c r="AC45" s="16" t="n">
        <f aca="false">IF(AB45="FT",INDEX($N$20:$N$109,MATCH(AA45,$I$20:$I$109,0)),1)</f>
        <v>1</v>
      </c>
    </row>
    <row r="46" customFormat="false" ht="15" hidden="false" customHeight="false" outlineLevel="0" collapsed="false">
      <c r="H46" s="13" t="n">
        <v>27</v>
      </c>
      <c r="I46" s="13" t="n">
        <f aca="false">IF(26&lt;FT_PreY5,FT_First+FT_Int1*26,FT_Y5+FT_Int2*(26-FT_PreY5))</f>
        <v>120</v>
      </c>
      <c r="J46" s="13" t="str">
        <f aca="false">INT(I46/12)&amp;"y "&amp;MOD(I46,12)&amp;"m"</f>
        <v>10y 0m</v>
      </c>
      <c r="K46" s="11" t="str">
        <f aca="false">IF(OR($C$6&lt;&gt;"Yes",$C$8=""),"",EDATE($C$8,I46))</f>
        <v/>
      </c>
      <c r="L46" s="13" t="str">
        <f aca="false">IF(K46="","",IF($C$16=0,$C$9,IF(AND($C$14&lt;&gt;"",K46&gt;=$C$14),$C$15,IF(AND($C$12&lt;&gt;"",K46&gt;=$C$12),$C$13,$C$11))))</f>
        <v/>
      </c>
      <c r="M46" s="13" t="str">
        <f aca="false">IF(K46="","",IF(OR(ISNUMBER(SEARCH("full",L46)),UPPER(TRIM(L46))="FT",UPPER(TRIM(L46))="FTE"),"FT",IF(AND(OR(ISNUMBER(SEARCH("part",L46)),UPPER(TRIM(L46))="PT",UPPER(TRIM(L46))="PTE"),OR($C$10="",N($C$10)&gt;=PT_MinHours)),"PT","None")))</f>
        <v/>
      </c>
      <c r="N46" s="13" t="n">
        <f aca="false">IF(I46&lt;FT_Y5,1,IF(MOD(I46-FT_Y5,12)=0,FT_AnnivDays,1))</f>
        <v>2</v>
      </c>
      <c r="O46" s="13" t="str">
        <f aca="false">IF(K46="","",IF(AND(M46="FT",K46&lt;=AsOfDate),N46,0))</f>
        <v/>
      </c>
      <c r="Q46" s="13" t="n">
        <v>27</v>
      </c>
      <c r="R46" s="13" t="n">
        <f aca="false">PT_First+PT_Int*26</f>
        <v>164</v>
      </c>
      <c r="S46" s="13" t="str">
        <f aca="false">INT(R46/12)&amp;"y "&amp;MOD(R46,12)&amp;"m"</f>
        <v>13y 8m</v>
      </c>
      <c r="T46" s="11" t="str">
        <f aca="false">IF(OR($C$6&lt;&gt;"Yes",$C$8=""),"",EDATE($C$8,R46))</f>
        <v/>
      </c>
      <c r="U46" s="13" t="str">
        <f aca="false">IF(T46="","",IF($C$16=0,$C$9,IF(AND($C$14&lt;&gt;"",T46&gt;=$C$14),$C$15,IF(AND($C$12&lt;&gt;"",T46&gt;=$C$12),$C$13,$C$11))))</f>
        <v/>
      </c>
      <c r="V46" s="13" t="str">
        <f aca="false">IF(T46="","",IF(OR(ISNUMBER(SEARCH("full",U46)),UPPER(TRIM(U46))="FT",UPPER(TRIM(U46))="FTE"),"FT",IF(AND(OR(ISNUMBER(SEARCH("part",U46)),UPPER(TRIM(U46))="PT",UPPER(TRIM(U46))="PTE"),OR($C$10="",N($C$10)&gt;=PT_MinHours)),"PT","None")))</f>
        <v/>
      </c>
      <c r="W46" s="13" t="n">
        <v>1</v>
      </c>
      <c r="X46" s="13" t="str">
        <f aca="false">IF(T46="","",IF(AND(V46="PT",T46&lt;=AsOfDate),W46,0))</f>
        <v/>
      </c>
      <c r="Z46" s="16" t="n">
        <f aca="false">I46</f>
        <v>120</v>
      </c>
      <c r="AA46" s="16" t="n">
        <f aca="false">SMALL($Z$20:$Z$199,27)</f>
        <v>93</v>
      </c>
      <c r="AB46" s="16" t="str">
        <f aca="false">IF(27-COUNTIF($Z$20:$Z$199,"&lt;"&amp;AA46)=1,IF(COUNTIF($I$20:$I$109,AA46)&gt;0,"FT","PT"),"PT")</f>
        <v>FT</v>
      </c>
      <c r="AC46" s="16" t="n">
        <f aca="false">IF(AB46="FT",INDEX($N$20:$N$109,MATCH(AA46,$I$20:$I$109,0)),1)</f>
        <v>1</v>
      </c>
    </row>
    <row r="47" customFormat="false" ht="15" hidden="false" customHeight="false" outlineLevel="0" collapsed="false">
      <c r="H47" s="13" t="n">
        <v>28</v>
      </c>
      <c r="I47" s="13" t="n">
        <f aca="false">IF(27&lt;FT_PreY5,FT_First+FT_Int1*27,FT_Y5+FT_Int2*(27-FT_PreY5))</f>
        <v>123</v>
      </c>
      <c r="J47" s="13" t="str">
        <f aca="false">INT(I47/12)&amp;"y "&amp;MOD(I47,12)&amp;"m"</f>
        <v>10y 3m</v>
      </c>
      <c r="K47" s="11" t="str">
        <f aca="false">IF(OR($C$6&lt;&gt;"Yes",$C$8=""),"",EDATE($C$8,I47))</f>
        <v/>
      </c>
      <c r="L47" s="13" t="str">
        <f aca="false">IF(K47="","",IF($C$16=0,$C$9,IF(AND($C$14&lt;&gt;"",K47&gt;=$C$14),$C$15,IF(AND($C$12&lt;&gt;"",K47&gt;=$C$12),$C$13,$C$11))))</f>
        <v/>
      </c>
      <c r="M47" s="13" t="str">
        <f aca="false">IF(K47="","",IF(OR(ISNUMBER(SEARCH("full",L47)),UPPER(TRIM(L47))="FT",UPPER(TRIM(L47))="FTE"),"FT",IF(AND(OR(ISNUMBER(SEARCH("part",L47)),UPPER(TRIM(L47))="PT",UPPER(TRIM(L47))="PTE"),OR($C$10="",N($C$10)&gt;=PT_MinHours)),"PT","None")))</f>
        <v/>
      </c>
      <c r="N47" s="13" t="n">
        <f aca="false">IF(I47&lt;FT_Y5,1,IF(MOD(I47-FT_Y5,12)=0,FT_AnnivDays,1))</f>
        <v>1</v>
      </c>
      <c r="O47" s="13" t="str">
        <f aca="false">IF(K47="","",IF(AND(M47="FT",K47&lt;=AsOfDate),N47,0))</f>
        <v/>
      </c>
      <c r="Q47" s="13" t="n">
        <v>28</v>
      </c>
      <c r="R47" s="13" t="n">
        <f aca="false">PT_First+PT_Int*27</f>
        <v>168</v>
      </c>
      <c r="S47" s="13" t="str">
        <f aca="false">INT(R47/12)&amp;"y "&amp;MOD(R47,12)&amp;"m"</f>
        <v>14y 0m</v>
      </c>
      <c r="T47" s="11" t="str">
        <f aca="false">IF(OR($C$6&lt;&gt;"Yes",$C$8=""),"",EDATE($C$8,R47))</f>
        <v/>
      </c>
      <c r="U47" s="13" t="str">
        <f aca="false">IF(T47="","",IF($C$16=0,$C$9,IF(AND($C$14&lt;&gt;"",T47&gt;=$C$14),$C$15,IF(AND($C$12&lt;&gt;"",T47&gt;=$C$12),$C$13,$C$11))))</f>
        <v/>
      </c>
      <c r="V47" s="13" t="str">
        <f aca="false">IF(T47="","",IF(OR(ISNUMBER(SEARCH("full",U47)),UPPER(TRIM(U47))="FT",UPPER(TRIM(U47))="FTE"),"FT",IF(AND(OR(ISNUMBER(SEARCH("part",U47)),UPPER(TRIM(U47))="PT",UPPER(TRIM(U47))="PTE"),OR($C$10="",N($C$10)&gt;=PT_MinHours)),"PT","None")))</f>
        <v/>
      </c>
      <c r="W47" s="13" t="n">
        <v>1</v>
      </c>
      <c r="X47" s="13" t="str">
        <f aca="false">IF(T47="","",IF(AND(V47="PT",T47&lt;=AsOfDate),W47,0))</f>
        <v/>
      </c>
      <c r="Z47" s="16" t="n">
        <f aca="false">I47</f>
        <v>123</v>
      </c>
      <c r="AA47" s="16" t="n">
        <f aca="false">SMALL($Z$20:$Z$199,28)</f>
        <v>96</v>
      </c>
      <c r="AB47" s="16" t="str">
        <f aca="false">IF(28-COUNTIF($Z$20:$Z$199,"&lt;"&amp;AA47)=1,IF(COUNTIF($I$20:$I$109,AA47)&gt;0,"FT","PT"),"PT")</f>
        <v>FT</v>
      </c>
      <c r="AC47" s="16" t="n">
        <f aca="false">IF(AB47="FT",INDEX($N$20:$N$109,MATCH(AA47,$I$20:$I$109,0)),1)</f>
        <v>2</v>
      </c>
    </row>
    <row r="48" customFormat="false" ht="15" hidden="false" customHeight="false" outlineLevel="0" collapsed="false">
      <c r="H48" s="13" t="n">
        <v>29</v>
      </c>
      <c r="I48" s="13" t="n">
        <f aca="false">IF(28&lt;FT_PreY5,FT_First+FT_Int1*28,FT_Y5+FT_Int2*(28-FT_PreY5))</f>
        <v>126</v>
      </c>
      <c r="J48" s="13" t="str">
        <f aca="false">INT(I48/12)&amp;"y "&amp;MOD(I48,12)&amp;"m"</f>
        <v>10y 6m</v>
      </c>
      <c r="K48" s="11" t="str">
        <f aca="false">IF(OR($C$6&lt;&gt;"Yes",$C$8=""),"",EDATE($C$8,I48))</f>
        <v/>
      </c>
      <c r="L48" s="13" t="str">
        <f aca="false">IF(K48="","",IF($C$16=0,$C$9,IF(AND($C$14&lt;&gt;"",K48&gt;=$C$14),$C$15,IF(AND($C$12&lt;&gt;"",K48&gt;=$C$12),$C$13,$C$11))))</f>
        <v/>
      </c>
      <c r="M48" s="13" t="str">
        <f aca="false">IF(K48="","",IF(OR(ISNUMBER(SEARCH("full",L48)),UPPER(TRIM(L48))="FT",UPPER(TRIM(L48))="FTE"),"FT",IF(AND(OR(ISNUMBER(SEARCH("part",L48)),UPPER(TRIM(L48))="PT",UPPER(TRIM(L48))="PTE"),OR($C$10="",N($C$10)&gt;=PT_MinHours)),"PT","None")))</f>
        <v/>
      </c>
      <c r="N48" s="13" t="n">
        <f aca="false">IF(I48&lt;FT_Y5,1,IF(MOD(I48-FT_Y5,12)=0,FT_AnnivDays,1))</f>
        <v>1</v>
      </c>
      <c r="O48" s="13" t="str">
        <f aca="false">IF(K48="","",IF(AND(M48="FT",K48&lt;=AsOfDate),N48,0))</f>
        <v/>
      </c>
      <c r="Q48" s="13" t="n">
        <v>29</v>
      </c>
      <c r="R48" s="13" t="n">
        <f aca="false">PT_First+PT_Int*28</f>
        <v>172</v>
      </c>
      <c r="S48" s="13" t="str">
        <f aca="false">INT(R48/12)&amp;"y "&amp;MOD(R48,12)&amp;"m"</f>
        <v>14y 4m</v>
      </c>
      <c r="T48" s="11" t="str">
        <f aca="false">IF(OR($C$6&lt;&gt;"Yes",$C$8=""),"",EDATE($C$8,R48))</f>
        <v/>
      </c>
      <c r="U48" s="13" t="str">
        <f aca="false">IF(T48="","",IF($C$16=0,$C$9,IF(AND($C$14&lt;&gt;"",T48&gt;=$C$14),$C$15,IF(AND($C$12&lt;&gt;"",T48&gt;=$C$12),$C$13,$C$11))))</f>
        <v/>
      </c>
      <c r="V48" s="13" t="str">
        <f aca="false">IF(T48="","",IF(OR(ISNUMBER(SEARCH("full",U48)),UPPER(TRIM(U48))="FT",UPPER(TRIM(U48))="FTE"),"FT",IF(AND(OR(ISNUMBER(SEARCH("part",U48)),UPPER(TRIM(U48))="PT",UPPER(TRIM(U48))="PTE"),OR($C$10="",N($C$10)&gt;=PT_MinHours)),"PT","None")))</f>
        <v/>
      </c>
      <c r="W48" s="13" t="n">
        <v>1</v>
      </c>
      <c r="X48" s="13" t="str">
        <f aca="false">IF(T48="","",IF(AND(V48="PT",T48&lt;=AsOfDate),W48,0))</f>
        <v/>
      </c>
      <c r="Z48" s="16" t="n">
        <f aca="false">I48</f>
        <v>126</v>
      </c>
      <c r="AA48" s="16" t="n">
        <f aca="false">SMALL($Z$20:$Z$199,29)</f>
        <v>96</v>
      </c>
      <c r="AB48" s="16" t="str">
        <f aca="false">IF(29-COUNTIF($Z$20:$Z$199,"&lt;"&amp;AA48)=1,IF(COUNTIF($I$20:$I$109,AA48)&gt;0,"FT","PT"),"PT")</f>
        <v>PT</v>
      </c>
      <c r="AC48" s="16" t="n">
        <f aca="false">IF(AB48="FT",INDEX($N$20:$N$109,MATCH(AA48,$I$20:$I$109,0)),1)</f>
        <v>1</v>
      </c>
    </row>
    <row r="49" customFormat="false" ht="15" hidden="false" customHeight="false" outlineLevel="0" collapsed="false">
      <c r="H49" s="13" t="n">
        <v>30</v>
      </c>
      <c r="I49" s="13" t="n">
        <f aca="false">IF(29&lt;FT_PreY5,FT_First+FT_Int1*29,FT_Y5+FT_Int2*(29-FT_PreY5))</f>
        <v>129</v>
      </c>
      <c r="J49" s="13" t="str">
        <f aca="false">INT(I49/12)&amp;"y "&amp;MOD(I49,12)&amp;"m"</f>
        <v>10y 9m</v>
      </c>
      <c r="K49" s="11" t="str">
        <f aca="false">IF(OR($C$6&lt;&gt;"Yes",$C$8=""),"",EDATE($C$8,I49))</f>
        <v/>
      </c>
      <c r="L49" s="13" t="str">
        <f aca="false">IF(K49="","",IF($C$16=0,$C$9,IF(AND($C$14&lt;&gt;"",K49&gt;=$C$14),$C$15,IF(AND($C$12&lt;&gt;"",K49&gt;=$C$12),$C$13,$C$11))))</f>
        <v/>
      </c>
      <c r="M49" s="13" t="str">
        <f aca="false">IF(K49="","",IF(OR(ISNUMBER(SEARCH("full",L49)),UPPER(TRIM(L49))="FT",UPPER(TRIM(L49))="FTE"),"FT",IF(AND(OR(ISNUMBER(SEARCH("part",L49)),UPPER(TRIM(L49))="PT",UPPER(TRIM(L49))="PTE"),OR($C$10="",N($C$10)&gt;=PT_MinHours)),"PT","None")))</f>
        <v/>
      </c>
      <c r="N49" s="13" t="n">
        <f aca="false">IF(I49&lt;FT_Y5,1,IF(MOD(I49-FT_Y5,12)=0,FT_AnnivDays,1))</f>
        <v>1</v>
      </c>
      <c r="O49" s="13" t="str">
        <f aca="false">IF(K49="","",IF(AND(M49="FT",K49&lt;=AsOfDate),N49,0))</f>
        <v/>
      </c>
      <c r="Q49" s="13" t="n">
        <v>30</v>
      </c>
      <c r="R49" s="13" t="n">
        <f aca="false">PT_First+PT_Int*29</f>
        <v>176</v>
      </c>
      <c r="S49" s="13" t="str">
        <f aca="false">INT(R49/12)&amp;"y "&amp;MOD(R49,12)&amp;"m"</f>
        <v>14y 8m</v>
      </c>
      <c r="T49" s="11" t="str">
        <f aca="false">IF(OR($C$6&lt;&gt;"Yes",$C$8=""),"",EDATE($C$8,R49))</f>
        <v/>
      </c>
      <c r="U49" s="13" t="str">
        <f aca="false">IF(T49="","",IF($C$16=0,$C$9,IF(AND($C$14&lt;&gt;"",T49&gt;=$C$14),$C$15,IF(AND($C$12&lt;&gt;"",T49&gt;=$C$12),$C$13,$C$11))))</f>
        <v/>
      </c>
      <c r="V49" s="13" t="str">
        <f aca="false">IF(T49="","",IF(OR(ISNUMBER(SEARCH("full",U49)),UPPER(TRIM(U49))="FT",UPPER(TRIM(U49))="FTE"),"FT",IF(AND(OR(ISNUMBER(SEARCH("part",U49)),UPPER(TRIM(U49))="PT",UPPER(TRIM(U49))="PTE"),OR($C$10="",N($C$10)&gt;=PT_MinHours)),"PT","None")))</f>
        <v/>
      </c>
      <c r="W49" s="13" t="n">
        <v>1</v>
      </c>
      <c r="X49" s="13" t="str">
        <f aca="false">IF(T49="","",IF(AND(V49="PT",T49&lt;=AsOfDate),W49,0))</f>
        <v/>
      </c>
      <c r="Z49" s="16" t="n">
        <f aca="false">I49</f>
        <v>129</v>
      </c>
      <c r="AA49" s="16" t="n">
        <f aca="false">SMALL($Z$20:$Z$199,30)</f>
        <v>99</v>
      </c>
      <c r="AB49" s="16" t="str">
        <f aca="false">IF(30-COUNTIF($Z$20:$Z$199,"&lt;"&amp;AA49)=1,IF(COUNTIF($I$20:$I$109,AA49)&gt;0,"FT","PT"),"PT")</f>
        <v>FT</v>
      </c>
      <c r="AC49" s="16" t="n">
        <f aca="false">IF(AB49="FT",INDEX($N$20:$N$109,MATCH(AA49,$I$20:$I$109,0)),1)</f>
        <v>1</v>
      </c>
    </row>
    <row r="50" customFormat="false" ht="15" hidden="false" customHeight="false" outlineLevel="0" collapsed="false">
      <c r="H50" s="13" t="n">
        <v>31</v>
      </c>
      <c r="I50" s="13" t="n">
        <f aca="false">IF(30&lt;FT_PreY5,FT_First+FT_Int1*30,FT_Y5+FT_Int2*(30-FT_PreY5))</f>
        <v>132</v>
      </c>
      <c r="J50" s="13" t="str">
        <f aca="false">INT(I50/12)&amp;"y "&amp;MOD(I50,12)&amp;"m"</f>
        <v>11y 0m</v>
      </c>
      <c r="K50" s="11" t="str">
        <f aca="false">IF(OR($C$6&lt;&gt;"Yes",$C$8=""),"",EDATE($C$8,I50))</f>
        <v/>
      </c>
      <c r="L50" s="13" t="str">
        <f aca="false">IF(K50="","",IF($C$16=0,$C$9,IF(AND($C$14&lt;&gt;"",K50&gt;=$C$14),$C$15,IF(AND($C$12&lt;&gt;"",K50&gt;=$C$12),$C$13,$C$11))))</f>
        <v/>
      </c>
      <c r="M50" s="13" t="str">
        <f aca="false">IF(K50="","",IF(OR(ISNUMBER(SEARCH("full",L50)),UPPER(TRIM(L50))="FT",UPPER(TRIM(L50))="FTE"),"FT",IF(AND(OR(ISNUMBER(SEARCH("part",L50)),UPPER(TRIM(L50))="PT",UPPER(TRIM(L50))="PTE"),OR($C$10="",N($C$10)&gt;=PT_MinHours)),"PT","None")))</f>
        <v/>
      </c>
      <c r="N50" s="13" t="n">
        <f aca="false">IF(I50&lt;FT_Y5,1,IF(MOD(I50-FT_Y5,12)=0,FT_AnnivDays,1))</f>
        <v>2</v>
      </c>
      <c r="O50" s="13" t="str">
        <f aca="false">IF(K50="","",IF(AND(M50="FT",K50&lt;=AsOfDate),N50,0))</f>
        <v/>
      </c>
      <c r="Q50" s="13" t="n">
        <v>31</v>
      </c>
      <c r="R50" s="13" t="n">
        <f aca="false">PT_First+PT_Int*30</f>
        <v>180</v>
      </c>
      <c r="S50" s="13" t="str">
        <f aca="false">INT(R50/12)&amp;"y "&amp;MOD(R50,12)&amp;"m"</f>
        <v>15y 0m</v>
      </c>
      <c r="T50" s="11" t="str">
        <f aca="false">IF(OR($C$6&lt;&gt;"Yes",$C$8=""),"",EDATE($C$8,R50))</f>
        <v/>
      </c>
      <c r="U50" s="13" t="str">
        <f aca="false">IF(T50="","",IF($C$16=0,$C$9,IF(AND($C$14&lt;&gt;"",T50&gt;=$C$14),$C$15,IF(AND($C$12&lt;&gt;"",T50&gt;=$C$12),$C$13,$C$11))))</f>
        <v/>
      </c>
      <c r="V50" s="13" t="str">
        <f aca="false">IF(T50="","",IF(OR(ISNUMBER(SEARCH("full",U50)),UPPER(TRIM(U50))="FT",UPPER(TRIM(U50))="FTE"),"FT",IF(AND(OR(ISNUMBER(SEARCH("part",U50)),UPPER(TRIM(U50))="PT",UPPER(TRIM(U50))="PTE"),OR($C$10="",N($C$10)&gt;=PT_MinHours)),"PT","None")))</f>
        <v/>
      </c>
      <c r="W50" s="13" t="n">
        <v>1</v>
      </c>
      <c r="X50" s="13" t="str">
        <f aca="false">IF(T50="","",IF(AND(V50="PT",T50&lt;=AsOfDate),W50,0))</f>
        <v/>
      </c>
      <c r="Z50" s="16" t="n">
        <f aca="false">I50</f>
        <v>132</v>
      </c>
      <c r="AA50" s="16" t="n">
        <f aca="false">SMALL($Z$20:$Z$199,31)</f>
        <v>100</v>
      </c>
      <c r="AB50" s="16" t="str">
        <f aca="false">IF(31-COUNTIF($Z$20:$Z$199,"&lt;"&amp;AA50)=1,IF(COUNTIF($I$20:$I$109,AA50)&gt;0,"FT","PT"),"PT")</f>
        <v>PT</v>
      </c>
      <c r="AC50" s="16" t="n">
        <f aca="false">IF(AB50="FT",INDEX($N$20:$N$109,MATCH(AA50,$I$20:$I$109,0)),1)</f>
        <v>1</v>
      </c>
    </row>
    <row r="51" customFormat="false" ht="15" hidden="false" customHeight="false" outlineLevel="0" collapsed="false">
      <c r="H51" s="13" t="n">
        <v>32</v>
      </c>
      <c r="I51" s="13" t="n">
        <f aca="false">IF(31&lt;FT_PreY5,FT_First+FT_Int1*31,FT_Y5+FT_Int2*(31-FT_PreY5))</f>
        <v>135</v>
      </c>
      <c r="J51" s="13" t="str">
        <f aca="false">INT(I51/12)&amp;"y "&amp;MOD(I51,12)&amp;"m"</f>
        <v>11y 3m</v>
      </c>
      <c r="K51" s="11" t="str">
        <f aca="false">IF(OR($C$6&lt;&gt;"Yes",$C$8=""),"",EDATE($C$8,I51))</f>
        <v/>
      </c>
      <c r="L51" s="13" t="str">
        <f aca="false">IF(K51="","",IF($C$16=0,$C$9,IF(AND($C$14&lt;&gt;"",K51&gt;=$C$14),$C$15,IF(AND($C$12&lt;&gt;"",K51&gt;=$C$12),$C$13,$C$11))))</f>
        <v/>
      </c>
      <c r="M51" s="13" t="str">
        <f aca="false">IF(K51="","",IF(OR(ISNUMBER(SEARCH("full",L51)),UPPER(TRIM(L51))="FT",UPPER(TRIM(L51))="FTE"),"FT",IF(AND(OR(ISNUMBER(SEARCH("part",L51)),UPPER(TRIM(L51))="PT",UPPER(TRIM(L51))="PTE"),OR($C$10="",N($C$10)&gt;=PT_MinHours)),"PT","None")))</f>
        <v/>
      </c>
      <c r="N51" s="13" t="n">
        <f aca="false">IF(I51&lt;FT_Y5,1,IF(MOD(I51-FT_Y5,12)=0,FT_AnnivDays,1))</f>
        <v>1</v>
      </c>
      <c r="O51" s="13" t="str">
        <f aca="false">IF(K51="","",IF(AND(M51="FT",K51&lt;=AsOfDate),N51,0))</f>
        <v/>
      </c>
      <c r="Q51" s="13" t="n">
        <v>32</v>
      </c>
      <c r="R51" s="13" t="n">
        <f aca="false">PT_First+PT_Int*31</f>
        <v>184</v>
      </c>
      <c r="S51" s="13" t="str">
        <f aca="false">INT(R51/12)&amp;"y "&amp;MOD(R51,12)&amp;"m"</f>
        <v>15y 4m</v>
      </c>
      <c r="T51" s="11" t="str">
        <f aca="false">IF(OR($C$6&lt;&gt;"Yes",$C$8=""),"",EDATE($C$8,R51))</f>
        <v/>
      </c>
      <c r="U51" s="13" t="str">
        <f aca="false">IF(T51="","",IF($C$16=0,$C$9,IF(AND($C$14&lt;&gt;"",T51&gt;=$C$14),$C$15,IF(AND($C$12&lt;&gt;"",T51&gt;=$C$12),$C$13,$C$11))))</f>
        <v/>
      </c>
      <c r="V51" s="13" t="str">
        <f aca="false">IF(T51="","",IF(OR(ISNUMBER(SEARCH("full",U51)),UPPER(TRIM(U51))="FT",UPPER(TRIM(U51))="FTE"),"FT",IF(AND(OR(ISNUMBER(SEARCH("part",U51)),UPPER(TRIM(U51))="PT",UPPER(TRIM(U51))="PTE"),OR($C$10="",N($C$10)&gt;=PT_MinHours)),"PT","None")))</f>
        <v/>
      </c>
      <c r="W51" s="13" t="n">
        <v>1</v>
      </c>
      <c r="X51" s="13" t="str">
        <f aca="false">IF(T51="","",IF(AND(V51="PT",T51&lt;=AsOfDate),W51,0))</f>
        <v/>
      </c>
      <c r="Z51" s="16" t="n">
        <f aca="false">I51</f>
        <v>135</v>
      </c>
      <c r="AA51" s="16" t="n">
        <f aca="false">SMALL($Z$20:$Z$199,32)</f>
        <v>102</v>
      </c>
      <c r="AB51" s="16" t="str">
        <f aca="false">IF(32-COUNTIF($Z$20:$Z$199,"&lt;"&amp;AA51)=1,IF(COUNTIF($I$20:$I$109,AA51)&gt;0,"FT","PT"),"PT")</f>
        <v>FT</v>
      </c>
      <c r="AC51" s="16" t="n">
        <f aca="false">IF(AB51="FT",INDEX($N$20:$N$109,MATCH(AA51,$I$20:$I$109,0)),1)</f>
        <v>1</v>
      </c>
    </row>
    <row r="52" customFormat="false" ht="15" hidden="false" customHeight="false" outlineLevel="0" collapsed="false">
      <c r="H52" s="13" t="n">
        <v>33</v>
      </c>
      <c r="I52" s="13" t="n">
        <f aca="false">IF(32&lt;FT_PreY5,FT_First+FT_Int1*32,FT_Y5+FT_Int2*(32-FT_PreY5))</f>
        <v>138</v>
      </c>
      <c r="J52" s="13" t="str">
        <f aca="false">INT(I52/12)&amp;"y "&amp;MOD(I52,12)&amp;"m"</f>
        <v>11y 6m</v>
      </c>
      <c r="K52" s="11" t="str">
        <f aca="false">IF(OR($C$6&lt;&gt;"Yes",$C$8=""),"",EDATE($C$8,I52))</f>
        <v/>
      </c>
      <c r="L52" s="13" t="str">
        <f aca="false">IF(K52="","",IF($C$16=0,$C$9,IF(AND($C$14&lt;&gt;"",K52&gt;=$C$14),$C$15,IF(AND($C$12&lt;&gt;"",K52&gt;=$C$12),$C$13,$C$11))))</f>
        <v/>
      </c>
      <c r="M52" s="13" t="str">
        <f aca="false">IF(K52="","",IF(OR(ISNUMBER(SEARCH("full",L52)),UPPER(TRIM(L52))="FT",UPPER(TRIM(L52))="FTE"),"FT",IF(AND(OR(ISNUMBER(SEARCH("part",L52)),UPPER(TRIM(L52))="PT",UPPER(TRIM(L52))="PTE"),OR($C$10="",N($C$10)&gt;=PT_MinHours)),"PT","None")))</f>
        <v/>
      </c>
      <c r="N52" s="13" t="n">
        <f aca="false">IF(I52&lt;FT_Y5,1,IF(MOD(I52-FT_Y5,12)=0,FT_AnnivDays,1))</f>
        <v>1</v>
      </c>
      <c r="O52" s="13" t="str">
        <f aca="false">IF(K52="","",IF(AND(M52="FT",K52&lt;=AsOfDate),N52,0))</f>
        <v/>
      </c>
      <c r="Q52" s="13" t="n">
        <v>33</v>
      </c>
      <c r="R52" s="13" t="n">
        <f aca="false">PT_First+PT_Int*32</f>
        <v>188</v>
      </c>
      <c r="S52" s="13" t="str">
        <f aca="false">INT(R52/12)&amp;"y "&amp;MOD(R52,12)&amp;"m"</f>
        <v>15y 8m</v>
      </c>
      <c r="T52" s="11" t="str">
        <f aca="false">IF(OR($C$6&lt;&gt;"Yes",$C$8=""),"",EDATE($C$8,R52))</f>
        <v/>
      </c>
      <c r="U52" s="13" t="str">
        <f aca="false">IF(T52="","",IF($C$16=0,$C$9,IF(AND($C$14&lt;&gt;"",T52&gt;=$C$14),$C$15,IF(AND($C$12&lt;&gt;"",T52&gt;=$C$12),$C$13,$C$11))))</f>
        <v/>
      </c>
      <c r="V52" s="13" t="str">
        <f aca="false">IF(T52="","",IF(OR(ISNUMBER(SEARCH("full",U52)),UPPER(TRIM(U52))="FT",UPPER(TRIM(U52))="FTE"),"FT",IF(AND(OR(ISNUMBER(SEARCH("part",U52)),UPPER(TRIM(U52))="PT",UPPER(TRIM(U52))="PTE"),OR($C$10="",N($C$10)&gt;=PT_MinHours)),"PT","None")))</f>
        <v/>
      </c>
      <c r="W52" s="13" t="n">
        <v>1</v>
      </c>
      <c r="X52" s="13" t="str">
        <f aca="false">IF(T52="","",IF(AND(V52="PT",T52&lt;=AsOfDate),W52,0))</f>
        <v/>
      </c>
      <c r="Z52" s="16" t="n">
        <f aca="false">I52</f>
        <v>138</v>
      </c>
      <c r="AA52" s="16" t="n">
        <f aca="false">SMALL($Z$20:$Z$199,33)</f>
        <v>104</v>
      </c>
      <c r="AB52" s="16" t="str">
        <f aca="false">IF(33-COUNTIF($Z$20:$Z$199,"&lt;"&amp;AA52)=1,IF(COUNTIF($I$20:$I$109,AA52)&gt;0,"FT","PT"),"PT")</f>
        <v>PT</v>
      </c>
      <c r="AC52" s="16" t="n">
        <f aca="false">IF(AB52="FT",INDEX($N$20:$N$109,MATCH(AA52,$I$20:$I$109,0)),1)</f>
        <v>1</v>
      </c>
    </row>
    <row r="53" customFormat="false" ht="15" hidden="false" customHeight="false" outlineLevel="0" collapsed="false">
      <c r="H53" s="13" t="n">
        <v>34</v>
      </c>
      <c r="I53" s="13" t="n">
        <f aca="false">IF(33&lt;FT_PreY5,FT_First+FT_Int1*33,FT_Y5+FT_Int2*(33-FT_PreY5))</f>
        <v>141</v>
      </c>
      <c r="J53" s="13" t="str">
        <f aca="false">INT(I53/12)&amp;"y "&amp;MOD(I53,12)&amp;"m"</f>
        <v>11y 9m</v>
      </c>
      <c r="K53" s="11" t="str">
        <f aca="false">IF(OR($C$6&lt;&gt;"Yes",$C$8=""),"",EDATE($C$8,I53))</f>
        <v/>
      </c>
      <c r="L53" s="13" t="str">
        <f aca="false">IF(K53="","",IF($C$16=0,$C$9,IF(AND($C$14&lt;&gt;"",K53&gt;=$C$14),$C$15,IF(AND($C$12&lt;&gt;"",K53&gt;=$C$12),$C$13,$C$11))))</f>
        <v/>
      </c>
      <c r="M53" s="13" t="str">
        <f aca="false">IF(K53="","",IF(OR(ISNUMBER(SEARCH("full",L53)),UPPER(TRIM(L53))="FT",UPPER(TRIM(L53))="FTE"),"FT",IF(AND(OR(ISNUMBER(SEARCH("part",L53)),UPPER(TRIM(L53))="PT",UPPER(TRIM(L53))="PTE"),OR($C$10="",N($C$10)&gt;=PT_MinHours)),"PT","None")))</f>
        <v/>
      </c>
      <c r="N53" s="13" t="n">
        <f aca="false">IF(I53&lt;FT_Y5,1,IF(MOD(I53-FT_Y5,12)=0,FT_AnnivDays,1))</f>
        <v>1</v>
      </c>
      <c r="O53" s="13" t="str">
        <f aca="false">IF(K53="","",IF(AND(M53="FT",K53&lt;=AsOfDate),N53,0))</f>
        <v/>
      </c>
      <c r="Q53" s="13" t="n">
        <v>34</v>
      </c>
      <c r="R53" s="13" t="n">
        <f aca="false">PT_First+PT_Int*33</f>
        <v>192</v>
      </c>
      <c r="S53" s="13" t="str">
        <f aca="false">INT(R53/12)&amp;"y "&amp;MOD(R53,12)&amp;"m"</f>
        <v>16y 0m</v>
      </c>
      <c r="T53" s="11" t="str">
        <f aca="false">IF(OR($C$6&lt;&gt;"Yes",$C$8=""),"",EDATE($C$8,R53))</f>
        <v/>
      </c>
      <c r="U53" s="13" t="str">
        <f aca="false">IF(T53="","",IF($C$16=0,$C$9,IF(AND($C$14&lt;&gt;"",T53&gt;=$C$14),$C$15,IF(AND($C$12&lt;&gt;"",T53&gt;=$C$12),$C$13,$C$11))))</f>
        <v/>
      </c>
      <c r="V53" s="13" t="str">
        <f aca="false">IF(T53="","",IF(OR(ISNUMBER(SEARCH("full",U53)),UPPER(TRIM(U53))="FT",UPPER(TRIM(U53))="FTE"),"FT",IF(AND(OR(ISNUMBER(SEARCH("part",U53)),UPPER(TRIM(U53))="PT",UPPER(TRIM(U53))="PTE"),OR($C$10="",N($C$10)&gt;=PT_MinHours)),"PT","None")))</f>
        <v/>
      </c>
      <c r="W53" s="13" t="n">
        <v>1</v>
      </c>
      <c r="X53" s="13" t="str">
        <f aca="false">IF(T53="","",IF(AND(V53="PT",T53&lt;=AsOfDate),W53,0))</f>
        <v/>
      </c>
      <c r="Z53" s="16" t="n">
        <f aca="false">I53</f>
        <v>141</v>
      </c>
      <c r="AA53" s="16" t="n">
        <f aca="false">SMALL($Z$20:$Z$199,34)</f>
        <v>105</v>
      </c>
      <c r="AB53" s="16" t="str">
        <f aca="false">IF(34-COUNTIF($Z$20:$Z$199,"&lt;"&amp;AA53)=1,IF(COUNTIF($I$20:$I$109,AA53)&gt;0,"FT","PT"),"PT")</f>
        <v>FT</v>
      </c>
      <c r="AC53" s="16" t="n">
        <f aca="false">IF(AB53="FT",INDEX($N$20:$N$109,MATCH(AA53,$I$20:$I$109,0)),1)</f>
        <v>1</v>
      </c>
    </row>
    <row r="54" customFormat="false" ht="15" hidden="false" customHeight="false" outlineLevel="0" collapsed="false">
      <c r="H54" s="13" t="n">
        <v>35</v>
      </c>
      <c r="I54" s="13" t="n">
        <f aca="false">IF(34&lt;FT_PreY5,FT_First+FT_Int1*34,FT_Y5+FT_Int2*(34-FT_PreY5))</f>
        <v>144</v>
      </c>
      <c r="J54" s="13" t="str">
        <f aca="false">INT(I54/12)&amp;"y "&amp;MOD(I54,12)&amp;"m"</f>
        <v>12y 0m</v>
      </c>
      <c r="K54" s="11" t="str">
        <f aca="false">IF(OR($C$6&lt;&gt;"Yes",$C$8=""),"",EDATE($C$8,I54))</f>
        <v/>
      </c>
      <c r="L54" s="13" t="str">
        <f aca="false">IF(K54="","",IF($C$16=0,$C$9,IF(AND($C$14&lt;&gt;"",K54&gt;=$C$14),$C$15,IF(AND($C$12&lt;&gt;"",K54&gt;=$C$12),$C$13,$C$11))))</f>
        <v/>
      </c>
      <c r="M54" s="13" t="str">
        <f aca="false">IF(K54="","",IF(OR(ISNUMBER(SEARCH("full",L54)),UPPER(TRIM(L54))="FT",UPPER(TRIM(L54))="FTE"),"FT",IF(AND(OR(ISNUMBER(SEARCH("part",L54)),UPPER(TRIM(L54))="PT",UPPER(TRIM(L54))="PTE"),OR($C$10="",N($C$10)&gt;=PT_MinHours)),"PT","None")))</f>
        <v/>
      </c>
      <c r="N54" s="13" t="n">
        <f aca="false">IF(I54&lt;FT_Y5,1,IF(MOD(I54-FT_Y5,12)=0,FT_AnnivDays,1))</f>
        <v>2</v>
      </c>
      <c r="O54" s="13" t="str">
        <f aca="false">IF(K54="","",IF(AND(M54="FT",K54&lt;=AsOfDate),N54,0))</f>
        <v/>
      </c>
      <c r="Q54" s="13" t="n">
        <v>35</v>
      </c>
      <c r="R54" s="13" t="n">
        <f aca="false">PT_First+PT_Int*34</f>
        <v>196</v>
      </c>
      <c r="S54" s="13" t="str">
        <f aca="false">INT(R54/12)&amp;"y "&amp;MOD(R54,12)&amp;"m"</f>
        <v>16y 4m</v>
      </c>
      <c r="T54" s="11" t="str">
        <f aca="false">IF(OR($C$6&lt;&gt;"Yes",$C$8=""),"",EDATE($C$8,R54))</f>
        <v/>
      </c>
      <c r="U54" s="13" t="str">
        <f aca="false">IF(T54="","",IF($C$16=0,$C$9,IF(AND($C$14&lt;&gt;"",T54&gt;=$C$14),$C$15,IF(AND($C$12&lt;&gt;"",T54&gt;=$C$12),$C$13,$C$11))))</f>
        <v/>
      </c>
      <c r="V54" s="13" t="str">
        <f aca="false">IF(T54="","",IF(OR(ISNUMBER(SEARCH("full",U54)),UPPER(TRIM(U54))="FT",UPPER(TRIM(U54))="FTE"),"FT",IF(AND(OR(ISNUMBER(SEARCH("part",U54)),UPPER(TRIM(U54))="PT",UPPER(TRIM(U54))="PTE"),OR($C$10="",N($C$10)&gt;=PT_MinHours)),"PT","None")))</f>
        <v/>
      </c>
      <c r="W54" s="13" t="n">
        <v>1</v>
      </c>
      <c r="X54" s="13" t="str">
        <f aca="false">IF(T54="","",IF(AND(V54="PT",T54&lt;=AsOfDate),W54,0))</f>
        <v/>
      </c>
      <c r="Z54" s="16" t="n">
        <f aca="false">I54</f>
        <v>144</v>
      </c>
      <c r="AA54" s="16" t="n">
        <f aca="false">SMALL($Z$20:$Z$199,35)</f>
        <v>108</v>
      </c>
      <c r="AB54" s="16" t="str">
        <f aca="false">IF(35-COUNTIF($Z$20:$Z$199,"&lt;"&amp;AA54)=1,IF(COUNTIF($I$20:$I$109,AA54)&gt;0,"FT","PT"),"PT")</f>
        <v>FT</v>
      </c>
      <c r="AC54" s="16" t="n">
        <f aca="false">IF(AB54="FT",INDEX($N$20:$N$109,MATCH(AA54,$I$20:$I$109,0)),1)</f>
        <v>2</v>
      </c>
    </row>
    <row r="55" customFormat="false" ht="15" hidden="false" customHeight="false" outlineLevel="0" collapsed="false">
      <c r="H55" s="13" t="n">
        <v>36</v>
      </c>
      <c r="I55" s="13" t="n">
        <f aca="false">IF(35&lt;FT_PreY5,FT_First+FT_Int1*35,FT_Y5+FT_Int2*(35-FT_PreY5))</f>
        <v>147</v>
      </c>
      <c r="J55" s="13" t="str">
        <f aca="false">INT(I55/12)&amp;"y "&amp;MOD(I55,12)&amp;"m"</f>
        <v>12y 3m</v>
      </c>
      <c r="K55" s="11" t="str">
        <f aca="false">IF(OR($C$6&lt;&gt;"Yes",$C$8=""),"",EDATE($C$8,I55))</f>
        <v/>
      </c>
      <c r="L55" s="13" t="str">
        <f aca="false">IF(K55="","",IF($C$16=0,$C$9,IF(AND($C$14&lt;&gt;"",K55&gt;=$C$14),$C$15,IF(AND($C$12&lt;&gt;"",K55&gt;=$C$12),$C$13,$C$11))))</f>
        <v/>
      </c>
      <c r="M55" s="13" t="str">
        <f aca="false">IF(K55="","",IF(OR(ISNUMBER(SEARCH("full",L55)),UPPER(TRIM(L55))="FT",UPPER(TRIM(L55))="FTE"),"FT",IF(AND(OR(ISNUMBER(SEARCH("part",L55)),UPPER(TRIM(L55))="PT",UPPER(TRIM(L55))="PTE"),OR($C$10="",N($C$10)&gt;=PT_MinHours)),"PT","None")))</f>
        <v/>
      </c>
      <c r="N55" s="13" t="n">
        <f aca="false">IF(I55&lt;FT_Y5,1,IF(MOD(I55-FT_Y5,12)=0,FT_AnnivDays,1))</f>
        <v>1</v>
      </c>
      <c r="O55" s="13" t="str">
        <f aca="false">IF(K55="","",IF(AND(M55="FT",K55&lt;=AsOfDate),N55,0))</f>
        <v/>
      </c>
      <c r="Q55" s="13" t="n">
        <v>36</v>
      </c>
      <c r="R55" s="13" t="n">
        <f aca="false">PT_First+PT_Int*35</f>
        <v>200</v>
      </c>
      <c r="S55" s="13" t="str">
        <f aca="false">INT(R55/12)&amp;"y "&amp;MOD(R55,12)&amp;"m"</f>
        <v>16y 8m</v>
      </c>
      <c r="T55" s="11" t="str">
        <f aca="false">IF(OR($C$6&lt;&gt;"Yes",$C$8=""),"",EDATE($C$8,R55))</f>
        <v/>
      </c>
      <c r="U55" s="13" t="str">
        <f aca="false">IF(T55="","",IF($C$16=0,$C$9,IF(AND($C$14&lt;&gt;"",T55&gt;=$C$14),$C$15,IF(AND($C$12&lt;&gt;"",T55&gt;=$C$12),$C$13,$C$11))))</f>
        <v/>
      </c>
      <c r="V55" s="13" t="str">
        <f aca="false">IF(T55="","",IF(OR(ISNUMBER(SEARCH("full",U55)),UPPER(TRIM(U55))="FT",UPPER(TRIM(U55))="FTE"),"FT",IF(AND(OR(ISNUMBER(SEARCH("part",U55)),UPPER(TRIM(U55))="PT",UPPER(TRIM(U55))="PTE"),OR($C$10="",N($C$10)&gt;=PT_MinHours)),"PT","None")))</f>
        <v/>
      </c>
      <c r="W55" s="13" t="n">
        <v>1</v>
      </c>
      <c r="X55" s="13" t="str">
        <f aca="false">IF(T55="","",IF(AND(V55="PT",T55&lt;=AsOfDate),W55,0))</f>
        <v/>
      </c>
      <c r="Z55" s="16" t="n">
        <f aca="false">I55</f>
        <v>147</v>
      </c>
      <c r="AA55" s="16" t="n">
        <f aca="false">SMALL($Z$20:$Z$199,36)</f>
        <v>108</v>
      </c>
      <c r="AB55" s="16" t="str">
        <f aca="false">IF(36-COUNTIF($Z$20:$Z$199,"&lt;"&amp;AA55)=1,IF(COUNTIF($I$20:$I$109,AA55)&gt;0,"FT","PT"),"PT")</f>
        <v>PT</v>
      </c>
      <c r="AC55" s="16" t="n">
        <f aca="false">IF(AB55="FT",INDEX($N$20:$N$109,MATCH(AA55,$I$20:$I$109,0)),1)</f>
        <v>1</v>
      </c>
    </row>
    <row r="56" customFormat="false" ht="15" hidden="false" customHeight="false" outlineLevel="0" collapsed="false">
      <c r="H56" s="13" t="n">
        <v>37</v>
      </c>
      <c r="I56" s="13" t="n">
        <f aca="false">IF(36&lt;FT_PreY5,FT_First+FT_Int1*36,FT_Y5+FT_Int2*(36-FT_PreY5))</f>
        <v>150</v>
      </c>
      <c r="J56" s="13" t="str">
        <f aca="false">INT(I56/12)&amp;"y "&amp;MOD(I56,12)&amp;"m"</f>
        <v>12y 6m</v>
      </c>
      <c r="K56" s="11" t="str">
        <f aca="false">IF(OR($C$6&lt;&gt;"Yes",$C$8=""),"",EDATE($C$8,I56))</f>
        <v/>
      </c>
      <c r="L56" s="13" t="str">
        <f aca="false">IF(K56="","",IF($C$16=0,$C$9,IF(AND($C$14&lt;&gt;"",K56&gt;=$C$14),$C$15,IF(AND($C$12&lt;&gt;"",K56&gt;=$C$12),$C$13,$C$11))))</f>
        <v/>
      </c>
      <c r="M56" s="13" t="str">
        <f aca="false">IF(K56="","",IF(OR(ISNUMBER(SEARCH("full",L56)),UPPER(TRIM(L56))="FT",UPPER(TRIM(L56))="FTE"),"FT",IF(AND(OR(ISNUMBER(SEARCH("part",L56)),UPPER(TRIM(L56))="PT",UPPER(TRIM(L56))="PTE"),OR($C$10="",N($C$10)&gt;=PT_MinHours)),"PT","None")))</f>
        <v/>
      </c>
      <c r="N56" s="13" t="n">
        <f aca="false">IF(I56&lt;FT_Y5,1,IF(MOD(I56-FT_Y5,12)=0,FT_AnnivDays,1))</f>
        <v>1</v>
      </c>
      <c r="O56" s="13" t="str">
        <f aca="false">IF(K56="","",IF(AND(M56="FT",K56&lt;=AsOfDate),N56,0))</f>
        <v/>
      </c>
      <c r="Q56" s="13" t="n">
        <v>37</v>
      </c>
      <c r="R56" s="13" t="n">
        <f aca="false">PT_First+PT_Int*36</f>
        <v>204</v>
      </c>
      <c r="S56" s="13" t="str">
        <f aca="false">INT(R56/12)&amp;"y "&amp;MOD(R56,12)&amp;"m"</f>
        <v>17y 0m</v>
      </c>
      <c r="T56" s="11" t="str">
        <f aca="false">IF(OR($C$6&lt;&gt;"Yes",$C$8=""),"",EDATE($C$8,R56))</f>
        <v/>
      </c>
      <c r="U56" s="13" t="str">
        <f aca="false">IF(T56="","",IF($C$16=0,$C$9,IF(AND($C$14&lt;&gt;"",T56&gt;=$C$14),$C$15,IF(AND($C$12&lt;&gt;"",T56&gt;=$C$12),$C$13,$C$11))))</f>
        <v/>
      </c>
      <c r="V56" s="13" t="str">
        <f aca="false">IF(T56="","",IF(OR(ISNUMBER(SEARCH("full",U56)),UPPER(TRIM(U56))="FT",UPPER(TRIM(U56))="FTE"),"FT",IF(AND(OR(ISNUMBER(SEARCH("part",U56)),UPPER(TRIM(U56))="PT",UPPER(TRIM(U56))="PTE"),OR($C$10="",N($C$10)&gt;=PT_MinHours)),"PT","None")))</f>
        <v/>
      </c>
      <c r="W56" s="13" t="n">
        <v>1</v>
      </c>
      <c r="X56" s="13" t="str">
        <f aca="false">IF(T56="","",IF(AND(V56="PT",T56&lt;=AsOfDate),W56,0))</f>
        <v/>
      </c>
      <c r="Z56" s="16" t="n">
        <f aca="false">I56</f>
        <v>150</v>
      </c>
      <c r="AA56" s="16" t="n">
        <f aca="false">SMALL($Z$20:$Z$199,37)</f>
        <v>111</v>
      </c>
      <c r="AB56" s="16" t="str">
        <f aca="false">IF(37-COUNTIF($Z$20:$Z$199,"&lt;"&amp;AA56)=1,IF(COUNTIF($I$20:$I$109,AA56)&gt;0,"FT","PT"),"PT")</f>
        <v>FT</v>
      </c>
      <c r="AC56" s="16" t="n">
        <f aca="false">IF(AB56="FT",INDEX($N$20:$N$109,MATCH(AA56,$I$20:$I$109,0)),1)</f>
        <v>1</v>
      </c>
    </row>
    <row r="57" customFormat="false" ht="15" hidden="false" customHeight="false" outlineLevel="0" collapsed="false">
      <c r="H57" s="13" t="n">
        <v>38</v>
      </c>
      <c r="I57" s="13" t="n">
        <f aca="false">IF(37&lt;FT_PreY5,FT_First+FT_Int1*37,FT_Y5+FT_Int2*(37-FT_PreY5))</f>
        <v>153</v>
      </c>
      <c r="J57" s="13" t="str">
        <f aca="false">INT(I57/12)&amp;"y "&amp;MOD(I57,12)&amp;"m"</f>
        <v>12y 9m</v>
      </c>
      <c r="K57" s="11" t="str">
        <f aca="false">IF(OR($C$6&lt;&gt;"Yes",$C$8=""),"",EDATE($C$8,I57))</f>
        <v/>
      </c>
      <c r="L57" s="13" t="str">
        <f aca="false">IF(K57="","",IF($C$16=0,$C$9,IF(AND($C$14&lt;&gt;"",K57&gt;=$C$14),$C$15,IF(AND($C$12&lt;&gt;"",K57&gt;=$C$12),$C$13,$C$11))))</f>
        <v/>
      </c>
      <c r="M57" s="13" t="str">
        <f aca="false">IF(K57="","",IF(OR(ISNUMBER(SEARCH("full",L57)),UPPER(TRIM(L57))="FT",UPPER(TRIM(L57))="FTE"),"FT",IF(AND(OR(ISNUMBER(SEARCH("part",L57)),UPPER(TRIM(L57))="PT",UPPER(TRIM(L57))="PTE"),OR($C$10="",N($C$10)&gt;=PT_MinHours)),"PT","None")))</f>
        <v/>
      </c>
      <c r="N57" s="13" t="n">
        <f aca="false">IF(I57&lt;FT_Y5,1,IF(MOD(I57-FT_Y5,12)=0,FT_AnnivDays,1))</f>
        <v>1</v>
      </c>
      <c r="O57" s="13" t="str">
        <f aca="false">IF(K57="","",IF(AND(M57="FT",K57&lt;=AsOfDate),N57,0))</f>
        <v/>
      </c>
      <c r="Q57" s="13" t="n">
        <v>38</v>
      </c>
      <c r="R57" s="13" t="n">
        <f aca="false">PT_First+PT_Int*37</f>
        <v>208</v>
      </c>
      <c r="S57" s="13" t="str">
        <f aca="false">INT(R57/12)&amp;"y "&amp;MOD(R57,12)&amp;"m"</f>
        <v>17y 4m</v>
      </c>
      <c r="T57" s="11" t="str">
        <f aca="false">IF(OR($C$6&lt;&gt;"Yes",$C$8=""),"",EDATE($C$8,R57))</f>
        <v/>
      </c>
      <c r="U57" s="13" t="str">
        <f aca="false">IF(T57="","",IF($C$16=0,$C$9,IF(AND($C$14&lt;&gt;"",T57&gt;=$C$14),$C$15,IF(AND($C$12&lt;&gt;"",T57&gt;=$C$12),$C$13,$C$11))))</f>
        <v/>
      </c>
      <c r="V57" s="13" t="str">
        <f aca="false">IF(T57="","",IF(OR(ISNUMBER(SEARCH("full",U57)),UPPER(TRIM(U57))="FT",UPPER(TRIM(U57))="FTE"),"FT",IF(AND(OR(ISNUMBER(SEARCH("part",U57)),UPPER(TRIM(U57))="PT",UPPER(TRIM(U57))="PTE"),OR($C$10="",N($C$10)&gt;=PT_MinHours)),"PT","None")))</f>
        <v/>
      </c>
      <c r="W57" s="13" t="n">
        <v>1</v>
      </c>
      <c r="X57" s="13" t="str">
        <f aca="false">IF(T57="","",IF(AND(V57="PT",T57&lt;=AsOfDate),W57,0))</f>
        <v/>
      </c>
      <c r="Z57" s="16" t="n">
        <f aca="false">I57</f>
        <v>153</v>
      </c>
      <c r="AA57" s="16" t="n">
        <f aca="false">SMALL($Z$20:$Z$199,38)</f>
        <v>112</v>
      </c>
      <c r="AB57" s="16" t="str">
        <f aca="false">IF(38-COUNTIF($Z$20:$Z$199,"&lt;"&amp;AA57)=1,IF(COUNTIF($I$20:$I$109,AA57)&gt;0,"FT","PT"),"PT")</f>
        <v>PT</v>
      </c>
      <c r="AC57" s="16" t="n">
        <f aca="false">IF(AB57="FT",INDEX($N$20:$N$109,MATCH(AA57,$I$20:$I$109,0)),1)</f>
        <v>1</v>
      </c>
    </row>
    <row r="58" customFormat="false" ht="15" hidden="false" customHeight="false" outlineLevel="0" collapsed="false">
      <c r="H58" s="13" t="n">
        <v>39</v>
      </c>
      <c r="I58" s="13" t="n">
        <f aca="false">IF(38&lt;FT_PreY5,FT_First+FT_Int1*38,FT_Y5+FT_Int2*(38-FT_PreY5))</f>
        <v>156</v>
      </c>
      <c r="J58" s="13" t="str">
        <f aca="false">INT(I58/12)&amp;"y "&amp;MOD(I58,12)&amp;"m"</f>
        <v>13y 0m</v>
      </c>
      <c r="K58" s="11" t="str">
        <f aca="false">IF(OR($C$6&lt;&gt;"Yes",$C$8=""),"",EDATE($C$8,I58))</f>
        <v/>
      </c>
      <c r="L58" s="13" t="str">
        <f aca="false">IF(K58="","",IF($C$16=0,$C$9,IF(AND($C$14&lt;&gt;"",K58&gt;=$C$14),$C$15,IF(AND($C$12&lt;&gt;"",K58&gt;=$C$12),$C$13,$C$11))))</f>
        <v/>
      </c>
      <c r="M58" s="13" t="str">
        <f aca="false">IF(K58="","",IF(OR(ISNUMBER(SEARCH("full",L58)),UPPER(TRIM(L58))="FT",UPPER(TRIM(L58))="FTE"),"FT",IF(AND(OR(ISNUMBER(SEARCH("part",L58)),UPPER(TRIM(L58))="PT",UPPER(TRIM(L58))="PTE"),OR($C$10="",N($C$10)&gt;=PT_MinHours)),"PT","None")))</f>
        <v/>
      </c>
      <c r="N58" s="13" t="n">
        <f aca="false">IF(I58&lt;FT_Y5,1,IF(MOD(I58-FT_Y5,12)=0,FT_AnnivDays,1))</f>
        <v>2</v>
      </c>
      <c r="O58" s="13" t="str">
        <f aca="false">IF(K58="","",IF(AND(M58="FT",K58&lt;=AsOfDate),N58,0))</f>
        <v/>
      </c>
      <c r="Q58" s="13" t="n">
        <v>39</v>
      </c>
      <c r="R58" s="13" t="n">
        <f aca="false">PT_First+PT_Int*38</f>
        <v>212</v>
      </c>
      <c r="S58" s="13" t="str">
        <f aca="false">INT(R58/12)&amp;"y "&amp;MOD(R58,12)&amp;"m"</f>
        <v>17y 8m</v>
      </c>
      <c r="T58" s="11" t="str">
        <f aca="false">IF(OR($C$6&lt;&gt;"Yes",$C$8=""),"",EDATE($C$8,R58))</f>
        <v/>
      </c>
      <c r="U58" s="13" t="str">
        <f aca="false">IF(T58="","",IF($C$16=0,$C$9,IF(AND($C$14&lt;&gt;"",T58&gt;=$C$14),$C$15,IF(AND($C$12&lt;&gt;"",T58&gt;=$C$12),$C$13,$C$11))))</f>
        <v/>
      </c>
      <c r="V58" s="13" t="str">
        <f aca="false">IF(T58="","",IF(OR(ISNUMBER(SEARCH("full",U58)),UPPER(TRIM(U58))="FT",UPPER(TRIM(U58))="FTE"),"FT",IF(AND(OR(ISNUMBER(SEARCH("part",U58)),UPPER(TRIM(U58))="PT",UPPER(TRIM(U58))="PTE"),OR($C$10="",N($C$10)&gt;=PT_MinHours)),"PT","None")))</f>
        <v/>
      </c>
      <c r="W58" s="13" t="n">
        <v>1</v>
      </c>
      <c r="X58" s="13" t="str">
        <f aca="false">IF(T58="","",IF(AND(V58="PT",T58&lt;=AsOfDate),W58,0))</f>
        <v/>
      </c>
      <c r="Z58" s="16" t="n">
        <f aca="false">I58</f>
        <v>156</v>
      </c>
      <c r="AA58" s="16" t="n">
        <f aca="false">SMALL($Z$20:$Z$199,39)</f>
        <v>114</v>
      </c>
      <c r="AB58" s="16" t="str">
        <f aca="false">IF(39-COUNTIF($Z$20:$Z$199,"&lt;"&amp;AA58)=1,IF(COUNTIF($I$20:$I$109,AA58)&gt;0,"FT","PT"),"PT")</f>
        <v>FT</v>
      </c>
      <c r="AC58" s="16" t="n">
        <f aca="false">IF(AB58="FT",INDEX($N$20:$N$109,MATCH(AA58,$I$20:$I$109,0)),1)</f>
        <v>1</v>
      </c>
    </row>
    <row r="59" customFormat="false" ht="15" hidden="false" customHeight="false" outlineLevel="0" collapsed="false">
      <c r="H59" s="13" t="n">
        <v>40</v>
      </c>
      <c r="I59" s="13" t="n">
        <f aca="false">IF(39&lt;FT_PreY5,FT_First+FT_Int1*39,FT_Y5+FT_Int2*(39-FT_PreY5))</f>
        <v>159</v>
      </c>
      <c r="J59" s="13" t="str">
        <f aca="false">INT(I59/12)&amp;"y "&amp;MOD(I59,12)&amp;"m"</f>
        <v>13y 3m</v>
      </c>
      <c r="K59" s="11" t="str">
        <f aca="false">IF(OR($C$6&lt;&gt;"Yes",$C$8=""),"",EDATE($C$8,I59))</f>
        <v/>
      </c>
      <c r="L59" s="13" t="str">
        <f aca="false">IF(K59="","",IF($C$16=0,$C$9,IF(AND($C$14&lt;&gt;"",K59&gt;=$C$14),$C$15,IF(AND($C$12&lt;&gt;"",K59&gt;=$C$12),$C$13,$C$11))))</f>
        <v/>
      </c>
      <c r="M59" s="13" t="str">
        <f aca="false">IF(K59="","",IF(OR(ISNUMBER(SEARCH("full",L59)),UPPER(TRIM(L59))="FT",UPPER(TRIM(L59))="FTE"),"FT",IF(AND(OR(ISNUMBER(SEARCH("part",L59)),UPPER(TRIM(L59))="PT",UPPER(TRIM(L59))="PTE"),OR($C$10="",N($C$10)&gt;=PT_MinHours)),"PT","None")))</f>
        <v/>
      </c>
      <c r="N59" s="13" t="n">
        <f aca="false">IF(I59&lt;FT_Y5,1,IF(MOD(I59-FT_Y5,12)=0,FT_AnnivDays,1))</f>
        <v>1</v>
      </c>
      <c r="O59" s="13" t="str">
        <f aca="false">IF(K59="","",IF(AND(M59="FT",K59&lt;=AsOfDate),N59,0))</f>
        <v/>
      </c>
      <c r="Q59" s="13" t="n">
        <v>40</v>
      </c>
      <c r="R59" s="13" t="n">
        <f aca="false">PT_First+PT_Int*39</f>
        <v>216</v>
      </c>
      <c r="S59" s="13" t="str">
        <f aca="false">INT(R59/12)&amp;"y "&amp;MOD(R59,12)&amp;"m"</f>
        <v>18y 0m</v>
      </c>
      <c r="T59" s="11" t="str">
        <f aca="false">IF(OR($C$6&lt;&gt;"Yes",$C$8=""),"",EDATE($C$8,R59))</f>
        <v/>
      </c>
      <c r="U59" s="13" t="str">
        <f aca="false">IF(T59="","",IF($C$16=0,$C$9,IF(AND($C$14&lt;&gt;"",T59&gt;=$C$14),$C$15,IF(AND($C$12&lt;&gt;"",T59&gt;=$C$12),$C$13,$C$11))))</f>
        <v/>
      </c>
      <c r="V59" s="13" t="str">
        <f aca="false">IF(T59="","",IF(OR(ISNUMBER(SEARCH("full",U59)),UPPER(TRIM(U59))="FT",UPPER(TRIM(U59))="FTE"),"FT",IF(AND(OR(ISNUMBER(SEARCH("part",U59)),UPPER(TRIM(U59))="PT",UPPER(TRIM(U59))="PTE"),OR($C$10="",N($C$10)&gt;=PT_MinHours)),"PT","None")))</f>
        <v/>
      </c>
      <c r="W59" s="13" t="n">
        <v>1</v>
      </c>
      <c r="X59" s="13" t="str">
        <f aca="false">IF(T59="","",IF(AND(V59="PT",T59&lt;=AsOfDate),W59,0))</f>
        <v/>
      </c>
      <c r="Z59" s="16" t="n">
        <f aca="false">I59</f>
        <v>159</v>
      </c>
      <c r="AA59" s="16" t="n">
        <f aca="false">SMALL($Z$20:$Z$199,40)</f>
        <v>116</v>
      </c>
      <c r="AB59" s="16" t="str">
        <f aca="false">IF(40-COUNTIF($Z$20:$Z$199,"&lt;"&amp;AA59)=1,IF(COUNTIF($I$20:$I$109,AA59)&gt;0,"FT","PT"),"PT")</f>
        <v>PT</v>
      </c>
      <c r="AC59" s="16" t="n">
        <f aca="false">IF(AB59="FT",INDEX($N$20:$N$109,MATCH(AA59,$I$20:$I$109,0)),1)</f>
        <v>1</v>
      </c>
    </row>
    <row r="60" customFormat="false" ht="15" hidden="false" customHeight="false" outlineLevel="0" collapsed="false">
      <c r="H60" s="13" t="n">
        <v>41</v>
      </c>
      <c r="I60" s="13" t="n">
        <f aca="false">IF(40&lt;FT_PreY5,FT_First+FT_Int1*40,FT_Y5+FT_Int2*(40-FT_PreY5))</f>
        <v>162</v>
      </c>
      <c r="J60" s="13" t="str">
        <f aca="false">INT(I60/12)&amp;"y "&amp;MOD(I60,12)&amp;"m"</f>
        <v>13y 6m</v>
      </c>
      <c r="K60" s="11" t="str">
        <f aca="false">IF(OR($C$6&lt;&gt;"Yes",$C$8=""),"",EDATE($C$8,I60))</f>
        <v/>
      </c>
      <c r="L60" s="13" t="str">
        <f aca="false">IF(K60="","",IF($C$16=0,$C$9,IF(AND($C$14&lt;&gt;"",K60&gt;=$C$14),$C$15,IF(AND($C$12&lt;&gt;"",K60&gt;=$C$12),$C$13,$C$11))))</f>
        <v/>
      </c>
      <c r="M60" s="13" t="str">
        <f aca="false">IF(K60="","",IF(OR(ISNUMBER(SEARCH("full",L60)),UPPER(TRIM(L60))="FT",UPPER(TRIM(L60))="FTE"),"FT",IF(AND(OR(ISNUMBER(SEARCH("part",L60)),UPPER(TRIM(L60))="PT",UPPER(TRIM(L60))="PTE"),OR($C$10="",N($C$10)&gt;=PT_MinHours)),"PT","None")))</f>
        <v/>
      </c>
      <c r="N60" s="13" t="n">
        <f aca="false">IF(I60&lt;FT_Y5,1,IF(MOD(I60-FT_Y5,12)=0,FT_AnnivDays,1))</f>
        <v>1</v>
      </c>
      <c r="O60" s="13" t="str">
        <f aca="false">IF(K60="","",IF(AND(M60="FT",K60&lt;=AsOfDate),N60,0))</f>
        <v/>
      </c>
      <c r="Q60" s="13" t="n">
        <v>41</v>
      </c>
      <c r="R60" s="13" t="n">
        <f aca="false">PT_First+PT_Int*40</f>
        <v>220</v>
      </c>
      <c r="S60" s="13" t="str">
        <f aca="false">INT(R60/12)&amp;"y "&amp;MOD(R60,12)&amp;"m"</f>
        <v>18y 4m</v>
      </c>
      <c r="T60" s="11" t="str">
        <f aca="false">IF(OR($C$6&lt;&gt;"Yes",$C$8=""),"",EDATE($C$8,R60))</f>
        <v/>
      </c>
      <c r="U60" s="13" t="str">
        <f aca="false">IF(T60="","",IF($C$16=0,$C$9,IF(AND($C$14&lt;&gt;"",T60&gt;=$C$14),$C$15,IF(AND($C$12&lt;&gt;"",T60&gt;=$C$12),$C$13,$C$11))))</f>
        <v/>
      </c>
      <c r="V60" s="13" t="str">
        <f aca="false">IF(T60="","",IF(OR(ISNUMBER(SEARCH("full",U60)),UPPER(TRIM(U60))="FT",UPPER(TRIM(U60))="FTE"),"FT",IF(AND(OR(ISNUMBER(SEARCH("part",U60)),UPPER(TRIM(U60))="PT",UPPER(TRIM(U60))="PTE"),OR($C$10="",N($C$10)&gt;=PT_MinHours)),"PT","None")))</f>
        <v/>
      </c>
      <c r="W60" s="13" t="n">
        <v>1</v>
      </c>
      <c r="X60" s="13" t="str">
        <f aca="false">IF(T60="","",IF(AND(V60="PT",T60&lt;=AsOfDate),W60,0))</f>
        <v/>
      </c>
      <c r="Z60" s="16" t="n">
        <f aca="false">I60</f>
        <v>162</v>
      </c>
      <c r="AA60" s="16" t="n">
        <f aca="false">SMALL($Z$20:$Z$199,41)</f>
        <v>117</v>
      </c>
      <c r="AB60" s="16" t="str">
        <f aca="false">IF(41-COUNTIF($Z$20:$Z$199,"&lt;"&amp;AA60)=1,IF(COUNTIF($I$20:$I$109,AA60)&gt;0,"FT","PT"),"PT")</f>
        <v>FT</v>
      </c>
      <c r="AC60" s="16" t="n">
        <f aca="false">IF(AB60="FT",INDEX($N$20:$N$109,MATCH(AA60,$I$20:$I$109,0)),1)</f>
        <v>1</v>
      </c>
    </row>
    <row r="61" customFormat="false" ht="15" hidden="false" customHeight="false" outlineLevel="0" collapsed="false">
      <c r="H61" s="13" t="n">
        <v>42</v>
      </c>
      <c r="I61" s="13" t="n">
        <f aca="false">IF(41&lt;FT_PreY5,FT_First+FT_Int1*41,FT_Y5+FT_Int2*(41-FT_PreY5))</f>
        <v>165</v>
      </c>
      <c r="J61" s="13" t="str">
        <f aca="false">INT(I61/12)&amp;"y "&amp;MOD(I61,12)&amp;"m"</f>
        <v>13y 9m</v>
      </c>
      <c r="K61" s="11" t="str">
        <f aca="false">IF(OR($C$6&lt;&gt;"Yes",$C$8=""),"",EDATE($C$8,I61))</f>
        <v/>
      </c>
      <c r="L61" s="13" t="str">
        <f aca="false">IF(K61="","",IF($C$16=0,$C$9,IF(AND($C$14&lt;&gt;"",K61&gt;=$C$14),$C$15,IF(AND($C$12&lt;&gt;"",K61&gt;=$C$12),$C$13,$C$11))))</f>
        <v/>
      </c>
      <c r="M61" s="13" t="str">
        <f aca="false">IF(K61="","",IF(OR(ISNUMBER(SEARCH("full",L61)),UPPER(TRIM(L61))="FT",UPPER(TRIM(L61))="FTE"),"FT",IF(AND(OR(ISNUMBER(SEARCH("part",L61)),UPPER(TRIM(L61))="PT",UPPER(TRIM(L61))="PTE"),OR($C$10="",N($C$10)&gt;=PT_MinHours)),"PT","None")))</f>
        <v/>
      </c>
      <c r="N61" s="13" t="n">
        <f aca="false">IF(I61&lt;FT_Y5,1,IF(MOD(I61-FT_Y5,12)=0,FT_AnnivDays,1))</f>
        <v>1</v>
      </c>
      <c r="O61" s="13" t="str">
        <f aca="false">IF(K61="","",IF(AND(M61="FT",K61&lt;=AsOfDate),N61,0))</f>
        <v/>
      </c>
      <c r="Q61" s="13" t="n">
        <v>42</v>
      </c>
      <c r="R61" s="13" t="n">
        <f aca="false">PT_First+PT_Int*41</f>
        <v>224</v>
      </c>
      <c r="S61" s="13" t="str">
        <f aca="false">INT(R61/12)&amp;"y "&amp;MOD(R61,12)&amp;"m"</f>
        <v>18y 8m</v>
      </c>
      <c r="T61" s="11" t="str">
        <f aca="false">IF(OR($C$6&lt;&gt;"Yes",$C$8=""),"",EDATE($C$8,R61))</f>
        <v/>
      </c>
      <c r="U61" s="13" t="str">
        <f aca="false">IF(T61="","",IF($C$16=0,$C$9,IF(AND($C$14&lt;&gt;"",T61&gt;=$C$14),$C$15,IF(AND($C$12&lt;&gt;"",T61&gt;=$C$12),$C$13,$C$11))))</f>
        <v/>
      </c>
      <c r="V61" s="13" t="str">
        <f aca="false">IF(T61="","",IF(OR(ISNUMBER(SEARCH("full",U61)),UPPER(TRIM(U61))="FT",UPPER(TRIM(U61))="FTE"),"FT",IF(AND(OR(ISNUMBER(SEARCH("part",U61)),UPPER(TRIM(U61))="PT",UPPER(TRIM(U61))="PTE"),OR($C$10="",N($C$10)&gt;=PT_MinHours)),"PT","None")))</f>
        <v/>
      </c>
      <c r="W61" s="13" t="n">
        <v>1</v>
      </c>
      <c r="X61" s="13" t="str">
        <f aca="false">IF(T61="","",IF(AND(V61="PT",T61&lt;=AsOfDate),W61,0))</f>
        <v/>
      </c>
      <c r="Z61" s="16" t="n">
        <f aca="false">I61</f>
        <v>165</v>
      </c>
      <c r="AA61" s="16" t="n">
        <f aca="false">SMALL($Z$20:$Z$199,42)</f>
        <v>120</v>
      </c>
      <c r="AB61" s="16" t="str">
        <f aca="false">IF(42-COUNTIF($Z$20:$Z$199,"&lt;"&amp;AA61)=1,IF(COUNTIF($I$20:$I$109,AA61)&gt;0,"FT","PT"),"PT")</f>
        <v>FT</v>
      </c>
      <c r="AC61" s="16" t="n">
        <f aca="false">IF(AB61="FT",INDEX($N$20:$N$109,MATCH(AA61,$I$20:$I$109,0)),1)</f>
        <v>2</v>
      </c>
    </row>
    <row r="62" customFormat="false" ht="15" hidden="false" customHeight="false" outlineLevel="0" collapsed="false">
      <c r="H62" s="13" t="n">
        <v>43</v>
      </c>
      <c r="I62" s="13" t="n">
        <f aca="false">IF(42&lt;FT_PreY5,FT_First+FT_Int1*42,FT_Y5+FT_Int2*(42-FT_PreY5))</f>
        <v>168</v>
      </c>
      <c r="J62" s="13" t="str">
        <f aca="false">INT(I62/12)&amp;"y "&amp;MOD(I62,12)&amp;"m"</f>
        <v>14y 0m</v>
      </c>
      <c r="K62" s="11" t="str">
        <f aca="false">IF(OR($C$6&lt;&gt;"Yes",$C$8=""),"",EDATE($C$8,I62))</f>
        <v/>
      </c>
      <c r="L62" s="13" t="str">
        <f aca="false">IF(K62="","",IF($C$16=0,$C$9,IF(AND($C$14&lt;&gt;"",K62&gt;=$C$14),$C$15,IF(AND($C$12&lt;&gt;"",K62&gt;=$C$12),$C$13,$C$11))))</f>
        <v/>
      </c>
      <c r="M62" s="13" t="str">
        <f aca="false">IF(K62="","",IF(OR(ISNUMBER(SEARCH("full",L62)),UPPER(TRIM(L62))="FT",UPPER(TRIM(L62))="FTE"),"FT",IF(AND(OR(ISNUMBER(SEARCH("part",L62)),UPPER(TRIM(L62))="PT",UPPER(TRIM(L62))="PTE"),OR($C$10="",N($C$10)&gt;=PT_MinHours)),"PT","None")))</f>
        <v/>
      </c>
      <c r="N62" s="13" t="n">
        <f aca="false">IF(I62&lt;FT_Y5,1,IF(MOD(I62-FT_Y5,12)=0,FT_AnnivDays,1))</f>
        <v>2</v>
      </c>
      <c r="O62" s="13" t="str">
        <f aca="false">IF(K62="","",IF(AND(M62="FT",K62&lt;=AsOfDate),N62,0))</f>
        <v/>
      </c>
      <c r="Q62" s="13" t="n">
        <v>43</v>
      </c>
      <c r="R62" s="13" t="n">
        <f aca="false">PT_First+PT_Int*42</f>
        <v>228</v>
      </c>
      <c r="S62" s="13" t="str">
        <f aca="false">INT(R62/12)&amp;"y "&amp;MOD(R62,12)&amp;"m"</f>
        <v>19y 0m</v>
      </c>
      <c r="T62" s="11" t="str">
        <f aca="false">IF(OR($C$6&lt;&gt;"Yes",$C$8=""),"",EDATE($C$8,R62))</f>
        <v/>
      </c>
      <c r="U62" s="13" t="str">
        <f aca="false">IF(T62="","",IF($C$16=0,$C$9,IF(AND($C$14&lt;&gt;"",T62&gt;=$C$14),$C$15,IF(AND($C$12&lt;&gt;"",T62&gt;=$C$12),$C$13,$C$11))))</f>
        <v/>
      </c>
      <c r="V62" s="13" t="str">
        <f aca="false">IF(T62="","",IF(OR(ISNUMBER(SEARCH("full",U62)),UPPER(TRIM(U62))="FT",UPPER(TRIM(U62))="FTE"),"FT",IF(AND(OR(ISNUMBER(SEARCH("part",U62)),UPPER(TRIM(U62))="PT",UPPER(TRIM(U62))="PTE"),OR($C$10="",N($C$10)&gt;=PT_MinHours)),"PT","None")))</f>
        <v/>
      </c>
      <c r="W62" s="13" t="n">
        <v>1</v>
      </c>
      <c r="X62" s="13" t="str">
        <f aca="false">IF(T62="","",IF(AND(V62="PT",T62&lt;=AsOfDate),W62,0))</f>
        <v/>
      </c>
      <c r="Z62" s="16" t="n">
        <f aca="false">I62</f>
        <v>168</v>
      </c>
      <c r="AA62" s="16" t="n">
        <f aca="false">SMALL($Z$20:$Z$199,43)</f>
        <v>120</v>
      </c>
      <c r="AB62" s="16" t="str">
        <f aca="false">IF(43-COUNTIF($Z$20:$Z$199,"&lt;"&amp;AA62)=1,IF(COUNTIF($I$20:$I$109,AA62)&gt;0,"FT","PT"),"PT")</f>
        <v>PT</v>
      </c>
      <c r="AC62" s="16" t="n">
        <f aca="false">IF(AB62="FT",INDEX($N$20:$N$109,MATCH(AA62,$I$20:$I$109,0)),1)</f>
        <v>1</v>
      </c>
    </row>
    <row r="63" customFormat="false" ht="15" hidden="false" customHeight="false" outlineLevel="0" collapsed="false">
      <c r="H63" s="13" t="n">
        <v>44</v>
      </c>
      <c r="I63" s="13" t="n">
        <f aca="false">IF(43&lt;FT_PreY5,FT_First+FT_Int1*43,FT_Y5+FT_Int2*(43-FT_PreY5))</f>
        <v>171</v>
      </c>
      <c r="J63" s="13" t="str">
        <f aca="false">INT(I63/12)&amp;"y "&amp;MOD(I63,12)&amp;"m"</f>
        <v>14y 3m</v>
      </c>
      <c r="K63" s="11" t="str">
        <f aca="false">IF(OR($C$6&lt;&gt;"Yes",$C$8=""),"",EDATE($C$8,I63))</f>
        <v/>
      </c>
      <c r="L63" s="13" t="str">
        <f aca="false">IF(K63="","",IF($C$16=0,$C$9,IF(AND($C$14&lt;&gt;"",K63&gt;=$C$14),$C$15,IF(AND($C$12&lt;&gt;"",K63&gt;=$C$12),$C$13,$C$11))))</f>
        <v/>
      </c>
      <c r="M63" s="13" t="str">
        <f aca="false">IF(K63="","",IF(OR(ISNUMBER(SEARCH("full",L63)),UPPER(TRIM(L63))="FT",UPPER(TRIM(L63))="FTE"),"FT",IF(AND(OR(ISNUMBER(SEARCH("part",L63)),UPPER(TRIM(L63))="PT",UPPER(TRIM(L63))="PTE"),OR($C$10="",N($C$10)&gt;=PT_MinHours)),"PT","None")))</f>
        <v/>
      </c>
      <c r="N63" s="13" t="n">
        <f aca="false">IF(I63&lt;FT_Y5,1,IF(MOD(I63-FT_Y5,12)=0,FT_AnnivDays,1))</f>
        <v>1</v>
      </c>
      <c r="O63" s="13" t="str">
        <f aca="false">IF(K63="","",IF(AND(M63="FT",K63&lt;=AsOfDate),N63,0))</f>
        <v/>
      </c>
      <c r="Q63" s="13" t="n">
        <v>44</v>
      </c>
      <c r="R63" s="13" t="n">
        <f aca="false">PT_First+PT_Int*43</f>
        <v>232</v>
      </c>
      <c r="S63" s="13" t="str">
        <f aca="false">INT(R63/12)&amp;"y "&amp;MOD(R63,12)&amp;"m"</f>
        <v>19y 4m</v>
      </c>
      <c r="T63" s="11" t="str">
        <f aca="false">IF(OR($C$6&lt;&gt;"Yes",$C$8=""),"",EDATE($C$8,R63))</f>
        <v/>
      </c>
      <c r="U63" s="13" t="str">
        <f aca="false">IF(T63="","",IF($C$16=0,$C$9,IF(AND($C$14&lt;&gt;"",T63&gt;=$C$14),$C$15,IF(AND($C$12&lt;&gt;"",T63&gt;=$C$12),$C$13,$C$11))))</f>
        <v/>
      </c>
      <c r="V63" s="13" t="str">
        <f aca="false">IF(T63="","",IF(OR(ISNUMBER(SEARCH("full",U63)),UPPER(TRIM(U63))="FT",UPPER(TRIM(U63))="FTE"),"FT",IF(AND(OR(ISNUMBER(SEARCH("part",U63)),UPPER(TRIM(U63))="PT",UPPER(TRIM(U63))="PTE"),OR($C$10="",N($C$10)&gt;=PT_MinHours)),"PT","None")))</f>
        <v/>
      </c>
      <c r="W63" s="13" t="n">
        <v>1</v>
      </c>
      <c r="X63" s="13" t="str">
        <f aca="false">IF(T63="","",IF(AND(V63="PT",T63&lt;=AsOfDate),W63,0))</f>
        <v/>
      </c>
      <c r="Z63" s="16" t="n">
        <f aca="false">I63</f>
        <v>171</v>
      </c>
      <c r="AA63" s="16" t="n">
        <f aca="false">SMALL($Z$20:$Z$199,44)</f>
        <v>123</v>
      </c>
      <c r="AB63" s="16" t="str">
        <f aca="false">IF(44-COUNTIF($Z$20:$Z$199,"&lt;"&amp;AA63)=1,IF(COUNTIF($I$20:$I$109,AA63)&gt;0,"FT","PT"),"PT")</f>
        <v>FT</v>
      </c>
      <c r="AC63" s="16" t="n">
        <f aca="false">IF(AB63="FT",INDEX($N$20:$N$109,MATCH(AA63,$I$20:$I$109,0)),1)</f>
        <v>1</v>
      </c>
    </row>
    <row r="64" customFormat="false" ht="15" hidden="false" customHeight="false" outlineLevel="0" collapsed="false">
      <c r="H64" s="13" t="n">
        <v>45</v>
      </c>
      <c r="I64" s="13" t="n">
        <f aca="false">IF(44&lt;FT_PreY5,FT_First+FT_Int1*44,FT_Y5+FT_Int2*(44-FT_PreY5))</f>
        <v>174</v>
      </c>
      <c r="J64" s="13" t="str">
        <f aca="false">INT(I64/12)&amp;"y "&amp;MOD(I64,12)&amp;"m"</f>
        <v>14y 6m</v>
      </c>
      <c r="K64" s="11" t="str">
        <f aca="false">IF(OR($C$6&lt;&gt;"Yes",$C$8=""),"",EDATE($C$8,I64))</f>
        <v/>
      </c>
      <c r="L64" s="13" t="str">
        <f aca="false">IF(K64="","",IF($C$16=0,$C$9,IF(AND($C$14&lt;&gt;"",K64&gt;=$C$14),$C$15,IF(AND($C$12&lt;&gt;"",K64&gt;=$C$12),$C$13,$C$11))))</f>
        <v/>
      </c>
      <c r="M64" s="13" t="str">
        <f aca="false">IF(K64="","",IF(OR(ISNUMBER(SEARCH("full",L64)),UPPER(TRIM(L64))="FT",UPPER(TRIM(L64))="FTE"),"FT",IF(AND(OR(ISNUMBER(SEARCH("part",L64)),UPPER(TRIM(L64))="PT",UPPER(TRIM(L64))="PTE"),OR($C$10="",N($C$10)&gt;=PT_MinHours)),"PT","None")))</f>
        <v/>
      </c>
      <c r="N64" s="13" t="n">
        <f aca="false">IF(I64&lt;FT_Y5,1,IF(MOD(I64-FT_Y5,12)=0,FT_AnnivDays,1))</f>
        <v>1</v>
      </c>
      <c r="O64" s="13" t="str">
        <f aca="false">IF(K64="","",IF(AND(M64="FT",K64&lt;=AsOfDate),N64,0))</f>
        <v/>
      </c>
      <c r="Q64" s="13" t="n">
        <v>45</v>
      </c>
      <c r="R64" s="13" t="n">
        <f aca="false">PT_First+PT_Int*44</f>
        <v>236</v>
      </c>
      <c r="S64" s="13" t="str">
        <f aca="false">INT(R64/12)&amp;"y "&amp;MOD(R64,12)&amp;"m"</f>
        <v>19y 8m</v>
      </c>
      <c r="T64" s="11" t="str">
        <f aca="false">IF(OR($C$6&lt;&gt;"Yes",$C$8=""),"",EDATE($C$8,R64))</f>
        <v/>
      </c>
      <c r="U64" s="13" t="str">
        <f aca="false">IF(T64="","",IF($C$16=0,$C$9,IF(AND($C$14&lt;&gt;"",T64&gt;=$C$14),$C$15,IF(AND($C$12&lt;&gt;"",T64&gt;=$C$12),$C$13,$C$11))))</f>
        <v/>
      </c>
      <c r="V64" s="13" t="str">
        <f aca="false">IF(T64="","",IF(OR(ISNUMBER(SEARCH("full",U64)),UPPER(TRIM(U64))="FT",UPPER(TRIM(U64))="FTE"),"FT",IF(AND(OR(ISNUMBER(SEARCH("part",U64)),UPPER(TRIM(U64))="PT",UPPER(TRIM(U64))="PTE"),OR($C$10="",N($C$10)&gt;=PT_MinHours)),"PT","None")))</f>
        <v/>
      </c>
      <c r="W64" s="13" t="n">
        <v>1</v>
      </c>
      <c r="X64" s="13" t="str">
        <f aca="false">IF(T64="","",IF(AND(V64="PT",T64&lt;=AsOfDate),W64,0))</f>
        <v/>
      </c>
      <c r="Z64" s="16" t="n">
        <f aca="false">I64</f>
        <v>174</v>
      </c>
      <c r="AA64" s="16" t="n">
        <f aca="false">SMALL($Z$20:$Z$199,45)</f>
        <v>124</v>
      </c>
      <c r="AB64" s="16" t="str">
        <f aca="false">IF(45-COUNTIF($Z$20:$Z$199,"&lt;"&amp;AA64)=1,IF(COUNTIF($I$20:$I$109,AA64)&gt;0,"FT","PT"),"PT")</f>
        <v>PT</v>
      </c>
      <c r="AC64" s="16" t="n">
        <f aca="false">IF(AB64="FT",INDEX($N$20:$N$109,MATCH(AA64,$I$20:$I$109,0)),1)</f>
        <v>1</v>
      </c>
    </row>
    <row r="65" customFormat="false" ht="15" hidden="false" customHeight="false" outlineLevel="0" collapsed="false">
      <c r="H65" s="13" t="n">
        <v>46</v>
      </c>
      <c r="I65" s="13" t="n">
        <f aca="false">IF(45&lt;FT_PreY5,FT_First+FT_Int1*45,FT_Y5+FT_Int2*(45-FT_PreY5))</f>
        <v>177</v>
      </c>
      <c r="J65" s="13" t="str">
        <f aca="false">INT(I65/12)&amp;"y "&amp;MOD(I65,12)&amp;"m"</f>
        <v>14y 9m</v>
      </c>
      <c r="K65" s="11" t="str">
        <f aca="false">IF(OR($C$6&lt;&gt;"Yes",$C$8=""),"",EDATE($C$8,I65))</f>
        <v/>
      </c>
      <c r="L65" s="13" t="str">
        <f aca="false">IF(K65="","",IF($C$16=0,$C$9,IF(AND($C$14&lt;&gt;"",K65&gt;=$C$14),$C$15,IF(AND($C$12&lt;&gt;"",K65&gt;=$C$12),$C$13,$C$11))))</f>
        <v/>
      </c>
      <c r="M65" s="13" t="str">
        <f aca="false">IF(K65="","",IF(OR(ISNUMBER(SEARCH("full",L65)),UPPER(TRIM(L65))="FT",UPPER(TRIM(L65))="FTE"),"FT",IF(AND(OR(ISNUMBER(SEARCH("part",L65)),UPPER(TRIM(L65))="PT",UPPER(TRIM(L65))="PTE"),OR($C$10="",N($C$10)&gt;=PT_MinHours)),"PT","None")))</f>
        <v/>
      </c>
      <c r="N65" s="13" t="n">
        <f aca="false">IF(I65&lt;FT_Y5,1,IF(MOD(I65-FT_Y5,12)=0,FT_AnnivDays,1))</f>
        <v>1</v>
      </c>
      <c r="O65" s="13" t="str">
        <f aca="false">IF(K65="","",IF(AND(M65="FT",K65&lt;=AsOfDate),N65,0))</f>
        <v/>
      </c>
      <c r="Q65" s="13" t="n">
        <v>46</v>
      </c>
      <c r="R65" s="13" t="n">
        <f aca="false">PT_First+PT_Int*45</f>
        <v>240</v>
      </c>
      <c r="S65" s="13" t="str">
        <f aca="false">INT(R65/12)&amp;"y "&amp;MOD(R65,12)&amp;"m"</f>
        <v>20y 0m</v>
      </c>
      <c r="T65" s="11" t="str">
        <f aca="false">IF(OR($C$6&lt;&gt;"Yes",$C$8=""),"",EDATE($C$8,R65))</f>
        <v/>
      </c>
      <c r="U65" s="13" t="str">
        <f aca="false">IF(T65="","",IF($C$16=0,$C$9,IF(AND($C$14&lt;&gt;"",T65&gt;=$C$14),$C$15,IF(AND($C$12&lt;&gt;"",T65&gt;=$C$12),$C$13,$C$11))))</f>
        <v/>
      </c>
      <c r="V65" s="13" t="str">
        <f aca="false">IF(T65="","",IF(OR(ISNUMBER(SEARCH("full",U65)),UPPER(TRIM(U65))="FT",UPPER(TRIM(U65))="FTE"),"FT",IF(AND(OR(ISNUMBER(SEARCH("part",U65)),UPPER(TRIM(U65))="PT",UPPER(TRIM(U65))="PTE"),OR($C$10="",N($C$10)&gt;=PT_MinHours)),"PT","None")))</f>
        <v/>
      </c>
      <c r="W65" s="13" t="n">
        <v>1</v>
      </c>
      <c r="X65" s="13" t="str">
        <f aca="false">IF(T65="","",IF(AND(V65="PT",T65&lt;=AsOfDate),W65,0))</f>
        <v/>
      </c>
      <c r="Z65" s="16" t="n">
        <f aca="false">I65</f>
        <v>177</v>
      </c>
      <c r="AA65" s="16" t="n">
        <f aca="false">SMALL($Z$20:$Z$199,46)</f>
        <v>126</v>
      </c>
      <c r="AB65" s="16" t="str">
        <f aca="false">IF(46-COUNTIF($Z$20:$Z$199,"&lt;"&amp;AA65)=1,IF(COUNTIF($I$20:$I$109,AA65)&gt;0,"FT","PT"),"PT")</f>
        <v>FT</v>
      </c>
      <c r="AC65" s="16" t="n">
        <f aca="false">IF(AB65="FT",INDEX($N$20:$N$109,MATCH(AA65,$I$20:$I$109,0)),1)</f>
        <v>1</v>
      </c>
    </row>
    <row r="66" customFormat="false" ht="15" hidden="false" customHeight="false" outlineLevel="0" collapsed="false">
      <c r="H66" s="13" t="n">
        <v>47</v>
      </c>
      <c r="I66" s="13" t="n">
        <f aca="false">IF(46&lt;FT_PreY5,FT_First+FT_Int1*46,FT_Y5+FT_Int2*(46-FT_PreY5))</f>
        <v>180</v>
      </c>
      <c r="J66" s="13" t="str">
        <f aca="false">INT(I66/12)&amp;"y "&amp;MOD(I66,12)&amp;"m"</f>
        <v>15y 0m</v>
      </c>
      <c r="K66" s="11" t="str">
        <f aca="false">IF(OR($C$6&lt;&gt;"Yes",$C$8=""),"",EDATE($C$8,I66))</f>
        <v/>
      </c>
      <c r="L66" s="13" t="str">
        <f aca="false">IF(K66="","",IF($C$16=0,$C$9,IF(AND($C$14&lt;&gt;"",K66&gt;=$C$14),$C$15,IF(AND($C$12&lt;&gt;"",K66&gt;=$C$12),$C$13,$C$11))))</f>
        <v/>
      </c>
      <c r="M66" s="13" t="str">
        <f aca="false">IF(K66="","",IF(OR(ISNUMBER(SEARCH("full",L66)),UPPER(TRIM(L66))="FT",UPPER(TRIM(L66))="FTE"),"FT",IF(AND(OR(ISNUMBER(SEARCH("part",L66)),UPPER(TRIM(L66))="PT",UPPER(TRIM(L66))="PTE"),OR($C$10="",N($C$10)&gt;=PT_MinHours)),"PT","None")))</f>
        <v/>
      </c>
      <c r="N66" s="13" t="n">
        <f aca="false">IF(I66&lt;FT_Y5,1,IF(MOD(I66-FT_Y5,12)=0,FT_AnnivDays,1))</f>
        <v>2</v>
      </c>
      <c r="O66" s="13" t="str">
        <f aca="false">IF(K66="","",IF(AND(M66="FT",K66&lt;=AsOfDate),N66,0))</f>
        <v/>
      </c>
      <c r="Q66" s="13" t="n">
        <v>47</v>
      </c>
      <c r="R66" s="13" t="n">
        <f aca="false">PT_First+PT_Int*46</f>
        <v>244</v>
      </c>
      <c r="S66" s="13" t="str">
        <f aca="false">INT(R66/12)&amp;"y "&amp;MOD(R66,12)&amp;"m"</f>
        <v>20y 4m</v>
      </c>
      <c r="T66" s="11" t="str">
        <f aca="false">IF(OR($C$6&lt;&gt;"Yes",$C$8=""),"",EDATE($C$8,R66))</f>
        <v/>
      </c>
      <c r="U66" s="13" t="str">
        <f aca="false">IF(T66="","",IF($C$16=0,$C$9,IF(AND($C$14&lt;&gt;"",T66&gt;=$C$14),$C$15,IF(AND($C$12&lt;&gt;"",T66&gt;=$C$12),$C$13,$C$11))))</f>
        <v/>
      </c>
      <c r="V66" s="13" t="str">
        <f aca="false">IF(T66="","",IF(OR(ISNUMBER(SEARCH("full",U66)),UPPER(TRIM(U66))="FT",UPPER(TRIM(U66))="FTE"),"FT",IF(AND(OR(ISNUMBER(SEARCH("part",U66)),UPPER(TRIM(U66))="PT",UPPER(TRIM(U66))="PTE"),OR($C$10="",N($C$10)&gt;=PT_MinHours)),"PT","None")))</f>
        <v/>
      </c>
      <c r="W66" s="13" t="n">
        <v>1</v>
      </c>
      <c r="X66" s="13" t="str">
        <f aca="false">IF(T66="","",IF(AND(V66="PT",T66&lt;=AsOfDate),W66,0))</f>
        <v/>
      </c>
      <c r="Z66" s="16" t="n">
        <f aca="false">I66</f>
        <v>180</v>
      </c>
      <c r="AA66" s="16" t="n">
        <f aca="false">SMALL($Z$20:$Z$199,47)</f>
        <v>128</v>
      </c>
      <c r="AB66" s="16" t="str">
        <f aca="false">IF(47-COUNTIF($Z$20:$Z$199,"&lt;"&amp;AA66)=1,IF(COUNTIF($I$20:$I$109,AA66)&gt;0,"FT","PT"),"PT")</f>
        <v>PT</v>
      </c>
      <c r="AC66" s="16" t="n">
        <f aca="false">IF(AB66="FT",INDEX($N$20:$N$109,MATCH(AA66,$I$20:$I$109,0)),1)</f>
        <v>1</v>
      </c>
    </row>
    <row r="67" customFormat="false" ht="15" hidden="false" customHeight="false" outlineLevel="0" collapsed="false">
      <c r="H67" s="13" t="n">
        <v>48</v>
      </c>
      <c r="I67" s="13" t="n">
        <f aca="false">IF(47&lt;FT_PreY5,FT_First+FT_Int1*47,FT_Y5+FT_Int2*(47-FT_PreY5))</f>
        <v>183</v>
      </c>
      <c r="J67" s="13" t="str">
        <f aca="false">INT(I67/12)&amp;"y "&amp;MOD(I67,12)&amp;"m"</f>
        <v>15y 3m</v>
      </c>
      <c r="K67" s="11" t="str">
        <f aca="false">IF(OR($C$6&lt;&gt;"Yes",$C$8=""),"",EDATE($C$8,I67))</f>
        <v/>
      </c>
      <c r="L67" s="13" t="str">
        <f aca="false">IF(K67="","",IF($C$16=0,$C$9,IF(AND($C$14&lt;&gt;"",K67&gt;=$C$14),$C$15,IF(AND($C$12&lt;&gt;"",K67&gt;=$C$12),$C$13,$C$11))))</f>
        <v/>
      </c>
      <c r="M67" s="13" t="str">
        <f aca="false">IF(K67="","",IF(OR(ISNUMBER(SEARCH("full",L67)),UPPER(TRIM(L67))="FT",UPPER(TRIM(L67))="FTE"),"FT",IF(AND(OR(ISNUMBER(SEARCH("part",L67)),UPPER(TRIM(L67))="PT",UPPER(TRIM(L67))="PTE"),OR($C$10="",N($C$10)&gt;=PT_MinHours)),"PT","None")))</f>
        <v/>
      </c>
      <c r="N67" s="13" t="n">
        <f aca="false">IF(I67&lt;FT_Y5,1,IF(MOD(I67-FT_Y5,12)=0,FT_AnnivDays,1))</f>
        <v>1</v>
      </c>
      <c r="O67" s="13" t="str">
        <f aca="false">IF(K67="","",IF(AND(M67="FT",K67&lt;=AsOfDate),N67,0))</f>
        <v/>
      </c>
      <c r="Q67" s="13" t="n">
        <v>48</v>
      </c>
      <c r="R67" s="13" t="n">
        <f aca="false">PT_First+PT_Int*47</f>
        <v>248</v>
      </c>
      <c r="S67" s="13" t="str">
        <f aca="false">INT(R67/12)&amp;"y "&amp;MOD(R67,12)&amp;"m"</f>
        <v>20y 8m</v>
      </c>
      <c r="T67" s="11" t="str">
        <f aca="false">IF(OR($C$6&lt;&gt;"Yes",$C$8=""),"",EDATE($C$8,R67))</f>
        <v/>
      </c>
      <c r="U67" s="13" t="str">
        <f aca="false">IF(T67="","",IF($C$16=0,$C$9,IF(AND($C$14&lt;&gt;"",T67&gt;=$C$14),$C$15,IF(AND($C$12&lt;&gt;"",T67&gt;=$C$12),$C$13,$C$11))))</f>
        <v/>
      </c>
      <c r="V67" s="13" t="str">
        <f aca="false">IF(T67="","",IF(OR(ISNUMBER(SEARCH("full",U67)),UPPER(TRIM(U67))="FT",UPPER(TRIM(U67))="FTE"),"FT",IF(AND(OR(ISNUMBER(SEARCH("part",U67)),UPPER(TRIM(U67))="PT",UPPER(TRIM(U67))="PTE"),OR($C$10="",N($C$10)&gt;=PT_MinHours)),"PT","None")))</f>
        <v/>
      </c>
      <c r="W67" s="13" t="n">
        <v>1</v>
      </c>
      <c r="X67" s="13" t="str">
        <f aca="false">IF(T67="","",IF(AND(V67="PT",T67&lt;=AsOfDate),W67,0))</f>
        <v/>
      </c>
      <c r="Z67" s="16" t="n">
        <f aca="false">I67</f>
        <v>183</v>
      </c>
      <c r="AA67" s="16" t="n">
        <f aca="false">SMALL($Z$20:$Z$199,48)</f>
        <v>129</v>
      </c>
      <c r="AB67" s="16" t="str">
        <f aca="false">IF(48-COUNTIF($Z$20:$Z$199,"&lt;"&amp;AA67)=1,IF(COUNTIF($I$20:$I$109,AA67)&gt;0,"FT","PT"),"PT")</f>
        <v>FT</v>
      </c>
      <c r="AC67" s="16" t="n">
        <f aca="false">IF(AB67="FT",INDEX($N$20:$N$109,MATCH(AA67,$I$20:$I$109,0)),1)</f>
        <v>1</v>
      </c>
    </row>
    <row r="68" customFormat="false" ht="15" hidden="false" customHeight="false" outlineLevel="0" collapsed="false">
      <c r="H68" s="13" t="n">
        <v>49</v>
      </c>
      <c r="I68" s="13" t="n">
        <f aca="false">IF(48&lt;FT_PreY5,FT_First+FT_Int1*48,FT_Y5+FT_Int2*(48-FT_PreY5))</f>
        <v>186</v>
      </c>
      <c r="J68" s="13" t="str">
        <f aca="false">INT(I68/12)&amp;"y "&amp;MOD(I68,12)&amp;"m"</f>
        <v>15y 6m</v>
      </c>
      <c r="K68" s="11" t="str">
        <f aca="false">IF(OR($C$6&lt;&gt;"Yes",$C$8=""),"",EDATE($C$8,I68))</f>
        <v/>
      </c>
      <c r="L68" s="13" t="str">
        <f aca="false">IF(K68="","",IF($C$16=0,$C$9,IF(AND($C$14&lt;&gt;"",K68&gt;=$C$14),$C$15,IF(AND($C$12&lt;&gt;"",K68&gt;=$C$12),$C$13,$C$11))))</f>
        <v/>
      </c>
      <c r="M68" s="13" t="str">
        <f aca="false">IF(K68="","",IF(OR(ISNUMBER(SEARCH("full",L68)),UPPER(TRIM(L68))="FT",UPPER(TRIM(L68))="FTE"),"FT",IF(AND(OR(ISNUMBER(SEARCH("part",L68)),UPPER(TRIM(L68))="PT",UPPER(TRIM(L68))="PTE"),OR($C$10="",N($C$10)&gt;=PT_MinHours)),"PT","None")))</f>
        <v/>
      </c>
      <c r="N68" s="13" t="n">
        <f aca="false">IF(I68&lt;FT_Y5,1,IF(MOD(I68-FT_Y5,12)=0,FT_AnnivDays,1))</f>
        <v>1</v>
      </c>
      <c r="O68" s="13" t="str">
        <f aca="false">IF(K68="","",IF(AND(M68="FT",K68&lt;=AsOfDate),N68,0))</f>
        <v/>
      </c>
      <c r="Q68" s="13" t="n">
        <v>49</v>
      </c>
      <c r="R68" s="13" t="n">
        <f aca="false">PT_First+PT_Int*48</f>
        <v>252</v>
      </c>
      <c r="S68" s="13" t="str">
        <f aca="false">INT(R68/12)&amp;"y "&amp;MOD(R68,12)&amp;"m"</f>
        <v>21y 0m</v>
      </c>
      <c r="T68" s="11" t="str">
        <f aca="false">IF(OR($C$6&lt;&gt;"Yes",$C$8=""),"",EDATE($C$8,R68))</f>
        <v/>
      </c>
      <c r="U68" s="13" t="str">
        <f aca="false">IF(T68="","",IF($C$16=0,$C$9,IF(AND($C$14&lt;&gt;"",T68&gt;=$C$14),$C$15,IF(AND($C$12&lt;&gt;"",T68&gt;=$C$12),$C$13,$C$11))))</f>
        <v/>
      </c>
      <c r="V68" s="13" t="str">
        <f aca="false">IF(T68="","",IF(OR(ISNUMBER(SEARCH("full",U68)),UPPER(TRIM(U68))="FT",UPPER(TRIM(U68))="FTE"),"FT",IF(AND(OR(ISNUMBER(SEARCH("part",U68)),UPPER(TRIM(U68))="PT",UPPER(TRIM(U68))="PTE"),OR($C$10="",N($C$10)&gt;=PT_MinHours)),"PT","None")))</f>
        <v/>
      </c>
      <c r="W68" s="13" t="n">
        <v>1</v>
      </c>
      <c r="X68" s="13" t="str">
        <f aca="false">IF(T68="","",IF(AND(V68="PT",T68&lt;=AsOfDate),W68,0))</f>
        <v/>
      </c>
      <c r="Z68" s="16" t="n">
        <f aca="false">I68</f>
        <v>186</v>
      </c>
      <c r="AA68" s="16" t="n">
        <f aca="false">SMALL($Z$20:$Z$199,49)</f>
        <v>132</v>
      </c>
      <c r="AB68" s="16" t="str">
        <f aca="false">IF(49-COUNTIF($Z$20:$Z$199,"&lt;"&amp;AA68)=1,IF(COUNTIF($I$20:$I$109,AA68)&gt;0,"FT","PT"),"PT")</f>
        <v>FT</v>
      </c>
      <c r="AC68" s="16" t="n">
        <f aca="false">IF(AB68="FT",INDEX($N$20:$N$109,MATCH(AA68,$I$20:$I$109,0)),1)</f>
        <v>2</v>
      </c>
    </row>
    <row r="69" customFormat="false" ht="15" hidden="false" customHeight="false" outlineLevel="0" collapsed="false">
      <c r="H69" s="13" t="n">
        <v>50</v>
      </c>
      <c r="I69" s="13" t="n">
        <f aca="false">IF(49&lt;FT_PreY5,FT_First+FT_Int1*49,FT_Y5+FT_Int2*(49-FT_PreY5))</f>
        <v>189</v>
      </c>
      <c r="J69" s="13" t="str">
        <f aca="false">INT(I69/12)&amp;"y "&amp;MOD(I69,12)&amp;"m"</f>
        <v>15y 9m</v>
      </c>
      <c r="K69" s="11" t="str">
        <f aca="false">IF(OR($C$6&lt;&gt;"Yes",$C$8=""),"",EDATE($C$8,I69))</f>
        <v/>
      </c>
      <c r="L69" s="13" t="str">
        <f aca="false">IF(K69="","",IF($C$16=0,$C$9,IF(AND($C$14&lt;&gt;"",K69&gt;=$C$14),$C$15,IF(AND($C$12&lt;&gt;"",K69&gt;=$C$12),$C$13,$C$11))))</f>
        <v/>
      </c>
      <c r="M69" s="13" t="str">
        <f aca="false">IF(K69="","",IF(OR(ISNUMBER(SEARCH("full",L69)),UPPER(TRIM(L69))="FT",UPPER(TRIM(L69))="FTE"),"FT",IF(AND(OR(ISNUMBER(SEARCH("part",L69)),UPPER(TRIM(L69))="PT",UPPER(TRIM(L69))="PTE"),OR($C$10="",N($C$10)&gt;=PT_MinHours)),"PT","None")))</f>
        <v/>
      </c>
      <c r="N69" s="13" t="n">
        <f aca="false">IF(I69&lt;FT_Y5,1,IF(MOD(I69-FT_Y5,12)=0,FT_AnnivDays,1))</f>
        <v>1</v>
      </c>
      <c r="O69" s="13" t="str">
        <f aca="false">IF(K69="","",IF(AND(M69="FT",K69&lt;=AsOfDate),N69,0))</f>
        <v/>
      </c>
      <c r="Q69" s="13" t="n">
        <v>50</v>
      </c>
      <c r="R69" s="13" t="n">
        <f aca="false">PT_First+PT_Int*49</f>
        <v>256</v>
      </c>
      <c r="S69" s="13" t="str">
        <f aca="false">INT(R69/12)&amp;"y "&amp;MOD(R69,12)&amp;"m"</f>
        <v>21y 4m</v>
      </c>
      <c r="T69" s="11" t="str">
        <f aca="false">IF(OR($C$6&lt;&gt;"Yes",$C$8=""),"",EDATE($C$8,R69))</f>
        <v/>
      </c>
      <c r="U69" s="13" t="str">
        <f aca="false">IF(T69="","",IF($C$16=0,$C$9,IF(AND($C$14&lt;&gt;"",T69&gt;=$C$14),$C$15,IF(AND($C$12&lt;&gt;"",T69&gt;=$C$12),$C$13,$C$11))))</f>
        <v/>
      </c>
      <c r="V69" s="13" t="str">
        <f aca="false">IF(T69="","",IF(OR(ISNUMBER(SEARCH("full",U69)),UPPER(TRIM(U69))="FT",UPPER(TRIM(U69))="FTE"),"FT",IF(AND(OR(ISNUMBER(SEARCH("part",U69)),UPPER(TRIM(U69))="PT",UPPER(TRIM(U69))="PTE"),OR($C$10="",N($C$10)&gt;=PT_MinHours)),"PT","None")))</f>
        <v/>
      </c>
      <c r="W69" s="13" t="n">
        <v>1</v>
      </c>
      <c r="X69" s="13" t="str">
        <f aca="false">IF(T69="","",IF(AND(V69="PT",T69&lt;=AsOfDate),W69,0))</f>
        <v/>
      </c>
      <c r="Z69" s="16" t="n">
        <f aca="false">I69</f>
        <v>189</v>
      </c>
      <c r="AA69" s="16" t="n">
        <f aca="false">SMALL($Z$20:$Z$199,50)</f>
        <v>132</v>
      </c>
      <c r="AB69" s="16" t="str">
        <f aca="false">IF(50-COUNTIF($Z$20:$Z$199,"&lt;"&amp;AA69)=1,IF(COUNTIF($I$20:$I$109,AA69)&gt;0,"FT","PT"),"PT")</f>
        <v>PT</v>
      </c>
      <c r="AC69" s="16" t="n">
        <f aca="false">IF(AB69="FT",INDEX($N$20:$N$109,MATCH(AA69,$I$20:$I$109,0)),1)</f>
        <v>1</v>
      </c>
    </row>
    <row r="70" customFormat="false" ht="15" hidden="false" customHeight="false" outlineLevel="0" collapsed="false">
      <c r="H70" s="13" t="n">
        <v>51</v>
      </c>
      <c r="I70" s="13" t="n">
        <f aca="false">IF(50&lt;FT_PreY5,FT_First+FT_Int1*50,FT_Y5+FT_Int2*(50-FT_PreY5))</f>
        <v>192</v>
      </c>
      <c r="J70" s="13" t="str">
        <f aca="false">INT(I70/12)&amp;"y "&amp;MOD(I70,12)&amp;"m"</f>
        <v>16y 0m</v>
      </c>
      <c r="K70" s="11" t="str">
        <f aca="false">IF(OR($C$6&lt;&gt;"Yes",$C$8=""),"",EDATE($C$8,I70))</f>
        <v/>
      </c>
      <c r="L70" s="13" t="str">
        <f aca="false">IF(K70="","",IF($C$16=0,$C$9,IF(AND($C$14&lt;&gt;"",K70&gt;=$C$14),$C$15,IF(AND($C$12&lt;&gt;"",K70&gt;=$C$12),$C$13,$C$11))))</f>
        <v/>
      </c>
      <c r="M70" s="13" t="str">
        <f aca="false">IF(K70="","",IF(OR(ISNUMBER(SEARCH("full",L70)),UPPER(TRIM(L70))="FT",UPPER(TRIM(L70))="FTE"),"FT",IF(AND(OR(ISNUMBER(SEARCH("part",L70)),UPPER(TRIM(L70))="PT",UPPER(TRIM(L70))="PTE"),OR($C$10="",N($C$10)&gt;=PT_MinHours)),"PT","None")))</f>
        <v/>
      </c>
      <c r="N70" s="13" t="n">
        <f aca="false">IF(I70&lt;FT_Y5,1,IF(MOD(I70-FT_Y5,12)=0,FT_AnnivDays,1))</f>
        <v>2</v>
      </c>
      <c r="O70" s="13" t="str">
        <f aca="false">IF(K70="","",IF(AND(M70="FT",K70&lt;=AsOfDate),N70,0))</f>
        <v/>
      </c>
      <c r="Q70" s="13" t="n">
        <v>51</v>
      </c>
      <c r="R70" s="13" t="n">
        <f aca="false">PT_First+PT_Int*50</f>
        <v>260</v>
      </c>
      <c r="S70" s="13" t="str">
        <f aca="false">INT(R70/12)&amp;"y "&amp;MOD(R70,12)&amp;"m"</f>
        <v>21y 8m</v>
      </c>
      <c r="T70" s="11" t="str">
        <f aca="false">IF(OR($C$6&lt;&gt;"Yes",$C$8=""),"",EDATE($C$8,R70))</f>
        <v/>
      </c>
      <c r="U70" s="13" t="str">
        <f aca="false">IF(T70="","",IF($C$16=0,$C$9,IF(AND($C$14&lt;&gt;"",T70&gt;=$C$14),$C$15,IF(AND($C$12&lt;&gt;"",T70&gt;=$C$12),$C$13,$C$11))))</f>
        <v/>
      </c>
      <c r="V70" s="13" t="str">
        <f aca="false">IF(T70="","",IF(OR(ISNUMBER(SEARCH("full",U70)),UPPER(TRIM(U70))="FT",UPPER(TRIM(U70))="FTE"),"FT",IF(AND(OR(ISNUMBER(SEARCH("part",U70)),UPPER(TRIM(U70))="PT",UPPER(TRIM(U70))="PTE"),OR($C$10="",N($C$10)&gt;=PT_MinHours)),"PT","None")))</f>
        <v/>
      </c>
      <c r="W70" s="13" t="n">
        <v>1</v>
      </c>
      <c r="X70" s="13" t="str">
        <f aca="false">IF(T70="","",IF(AND(V70="PT",T70&lt;=AsOfDate),W70,0))</f>
        <v/>
      </c>
      <c r="Z70" s="16" t="n">
        <f aca="false">I70</f>
        <v>192</v>
      </c>
      <c r="AA70" s="16" t="n">
        <f aca="false">SMALL($Z$20:$Z$199,51)</f>
        <v>135</v>
      </c>
      <c r="AB70" s="16" t="str">
        <f aca="false">IF(51-COUNTIF($Z$20:$Z$199,"&lt;"&amp;AA70)=1,IF(COUNTIF($I$20:$I$109,AA70)&gt;0,"FT","PT"),"PT")</f>
        <v>FT</v>
      </c>
      <c r="AC70" s="16" t="n">
        <f aca="false">IF(AB70="FT",INDEX($N$20:$N$109,MATCH(AA70,$I$20:$I$109,0)),1)</f>
        <v>1</v>
      </c>
    </row>
    <row r="71" customFormat="false" ht="15" hidden="false" customHeight="false" outlineLevel="0" collapsed="false">
      <c r="H71" s="13" t="n">
        <v>52</v>
      </c>
      <c r="I71" s="13" t="n">
        <f aca="false">IF(51&lt;FT_PreY5,FT_First+FT_Int1*51,FT_Y5+FT_Int2*(51-FT_PreY5))</f>
        <v>195</v>
      </c>
      <c r="J71" s="13" t="str">
        <f aca="false">INT(I71/12)&amp;"y "&amp;MOD(I71,12)&amp;"m"</f>
        <v>16y 3m</v>
      </c>
      <c r="K71" s="11" t="str">
        <f aca="false">IF(OR($C$6&lt;&gt;"Yes",$C$8=""),"",EDATE($C$8,I71))</f>
        <v/>
      </c>
      <c r="L71" s="13" t="str">
        <f aca="false">IF(K71="","",IF($C$16=0,$C$9,IF(AND($C$14&lt;&gt;"",K71&gt;=$C$14),$C$15,IF(AND($C$12&lt;&gt;"",K71&gt;=$C$12),$C$13,$C$11))))</f>
        <v/>
      </c>
      <c r="M71" s="13" t="str">
        <f aca="false">IF(K71="","",IF(OR(ISNUMBER(SEARCH("full",L71)),UPPER(TRIM(L71))="FT",UPPER(TRIM(L71))="FTE"),"FT",IF(AND(OR(ISNUMBER(SEARCH("part",L71)),UPPER(TRIM(L71))="PT",UPPER(TRIM(L71))="PTE"),OR($C$10="",N($C$10)&gt;=PT_MinHours)),"PT","None")))</f>
        <v/>
      </c>
      <c r="N71" s="13" t="n">
        <f aca="false">IF(I71&lt;FT_Y5,1,IF(MOD(I71-FT_Y5,12)=0,FT_AnnivDays,1))</f>
        <v>1</v>
      </c>
      <c r="O71" s="13" t="str">
        <f aca="false">IF(K71="","",IF(AND(M71="FT",K71&lt;=AsOfDate),N71,0))</f>
        <v/>
      </c>
      <c r="Q71" s="13" t="n">
        <v>52</v>
      </c>
      <c r="R71" s="13" t="n">
        <f aca="false">PT_First+PT_Int*51</f>
        <v>264</v>
      </c>
      <c r="S71" s="13" t="str">
        <f aca="false">INT(R71/12)&amp;"y "&amp;MOD(R71,12)&amp;"m"</f>
        <v>22y 0m</v>
      </c>
      <c r="T71" s="11" t="str">
        <f aca="false">IF(OR($C$6&lt;&gt;"Yes",$C$8=""),"",EDATE($C$8,R71))</f>
        <v/>
      </c>
      <c r="U71" s="13" t="str">
        <f aca="false">IF(T71="","",IF($C$16=0,$C$9,IF(AND($C$14&lt;&gt;"",T71&gt;=$C$14),$C$15,IF(AND($C$12&lt;&gt;"",T71&gt;=$C$12),$C$13,$C$11))))</f>
        <v/>
      </c>
      <c r="V71" s="13" t="str">
        <f aca="false">IF(T71="","",IF(OR(ISNUMBER(SEARCH("full",U71)),UPPER(TRIM(U71))="FT",UPPER(TRIM(U71))="FTE"),"FT",IF(AND(OR(ISNUMBER(SEARCH("part",U71)),UPPER(TRIM(U71))="PT",UPPER(TRIM(U71))="PTE"),OR($C$10="",N($C$10)&gt;=PT_MinHours)),"PT","None")))</f>
        <v/>
      </c>
      <c r="W71" s="13" t="n">
        <v>1</v>
      </c>
      <c r="X71" s="13" t="str">
        <f aca="false">IF(T71="","",IF(AND(V71="PT",T71&lt;=AsOfDate),W71,0))</f>
        <v/>
      </c>
      <c r="Z71" s="16" t="n">
        <f aca="false">I71</f>
        <v>195</v>
      </c>
      <c r="AA71" s="16" t="n">
        <f aca="false">SMALL($Z$20:$Z$199,52)</f>
        <v>136</v>
      </c>
      <c r="AB71" s="16" t="str">
        <f aca="false">IF(52-COUNTIF($Z$20:$Z$199,"&lt;"&amp;AA71)=1,IF(COUNTIF($I$20:$I$109,AA71)&gt;0,"FT","PT"),"PT")</f>
        <v>PT</v>
      </c>
      <c r="AC71" s="16" t="n">
        <f aca="false">IF(AB71="FT",INDEX($N$20:$N$109,MATCH(AA71,$I$20:$I$109,0)),1)</f>
        <v>1</v>
      </c>
    </row>
    <row r="72" customFormat="false" ht="15" hidden="false" customHeight="false" outlineLevel="0" collapsed="false">
      <c r="H72" s="13" t="n">
        <v>53</v>
      </c>
      <c r="I72" s="13" t="n">
        <f aca="false">IF(52&lt;FT_PreY5,FT_First+FT_Int1*52,FT_Y5+FT_Int2*(52-FT_PreY5))</f>
        <v>198</v>
      </c>
      <c r="J72" s="13" t="str">
        <f aca="false">INT(I72/12)&amp;"y "&amp;MOD(I72,12)&amp;"m"</f>
        <v>16y 6m</v>
      </c>
      <c r="K72" s="11" t="str">
        <f aca="false">IF(OR($C$6&lt;&gt;"Yes",$C$8=""),"",EDATE($C$8,I72))</f>
        <v/>
      </c>
      <c r="L72" s="13" t="str">
        <f aca="false">IF(K72="","",IF($C$16=0,$C$9,IF(AND($C$14&lt;&gt;"",K72&gt;=$C$14),$C$15,IF(AND($C$12&lt;&gt;"",K72&gt;=$C$12),$C$13,$C$11))))</f>
        <v/>
      </c>
      <c r="M72" s="13" t="str">
        <f aca="false">IF(K72="","",IF(OR(ISNUMBER(SEARCH("full",L72)),UPPER(TRIM(L72))="FT",UPPER(TRIM(L72))="FTE"),"FT",IF(AND(OR(ISNUMBER(SEARCH("part",L72)),UPPER(TRIM(L72))="PT",UPPER(TRIM(L72))="PTE"),OR($C$10="",N($C$10)&gt;=PT_MinHours)),"PT","None")))</f>
        <v/>
      </c>
      <c r="N72" s="13" t="n">
        <f aca="false">IF(I72&lt;FT_Y5,1,IF(MOD(I72-FT_Y5,12)=0,FT_AnnivDays,1))</f>
        <v>1</v>
      </c>
      <c r="O72" s="13" t="str">
        <f aca="false">IF(K72="","",IF(AND(M72="FT",K72&lt;=AsOfDate),N72,0))</f>
        <v/>
      </c>
      <c r="Q72" s="13" t="n">
        <v>53</v>
      </c>
      <c r="R72" s="13" t="n">
        <f aca="false">PT_First+PT_Int*52</f>
        <v>268</v>
      </c>
      <c r="S72" s="13" t="str">
        <f aca="false">INT(R72/12)&amp;"y "&amp;MOD(R72,12)&amp;"m"</f>
        <v>22y 4m</v>
      </c>
      <c r="T72" s="11" t="str">
        <f aca="false">IF(OR($C$6&lt;&gt;"Yes",$C$8=""),"",EDATE($C$8,R72))</f>
        <v/>
      </c>
      <c r="U72" s="13" t="str">
        <f aca="false">IF(T72="","",IF($C$16=0,$C$9,IF(AND($C$14&lt;&gt;"",T72&gt;=$C$14),$C$15,IF(AND($C$12&lt;&gt;"",T72&gt;=$C$12),$C$13,$C$11))))</f>
        <v/>
      </c>
      <c r="V72" s="13" t="str">
        <f aca="false">IF(T72="","",IF(OR(ISNUMBER(SEARCH("full",U72)),UPPER(TRIM(U72))="FT",UPPER(TRIM(U72))="FTE"),"FT",IF(AND(OR(ISNUMBER(SEARCH("part",U72)),UPPER(TRIM(U72))="PT",UPPER(TRIM(U72))="PTE"),OR($C$10="",N($C$10)&gt;=PT_MinHours)),"PT","None")))</f>
        <v/>
      </c>
      <c r="W72" s="13" t="n">
        <v>1</v>
      </c>
      <c r="X72" s="13" t="str">
        <f aca="false">IF(T72="","",IF(AND(V72="PT",T72&lt;=AsOfDate),W72,0))</f>
        <v/>
      </c>
      <c r="Z72" s="16" t="n">
        <f aca="false">I72</f>
        <v>198</v>
      </c>
      <c r="AA72" s="16" t="n">
        <f aca="false">SMALL($Z$20:$Z$199,53)</f>
        <v>138</v>
      </c>
      <c r="AB72" s="16" t="str">
        <f aca="false">IF(53-COUNTIF($Z$20:$Z$199,"&lt;"&amp;AA72)=1,IF(COUNTIF($I$20:$I$109,AA72)&gt;0,"FT","PT"),"PT")</f>
        <v>FT</v>
      </c>
      <c r="AC72" s="16" t="n">
        <f aca="false">IF(AB72="FT",INDEX($N$20:$N$109,MATCH(AA72,$I$20:$I$109,0)),1)</f>
        <v>1</v>
      </c>
    </row>
    <row r="73" customFormat="false" ht="15" hidden="false" customHeight="false" outlineLevel="0" collapsed="false">
      <c r="H73" s="13" t="n">
        <v>54</v>
      </c>
      <c r="I73" s="13" t="n">
        <f aca="false">IF(53&lt;FT_PreY5,FT_First+FT_Int1*53,FT_Y5+FT_Int2*(53-FT_PreY5))</f>
        <v>201</v>
      </c>
      <c r="J73" s="13" t="str">
        <f aca="false">INT(I73/12)&amp;"y "&amp;MOD(I73,12)&amp;"m"</f>
        <v>16y 9m</v>
      </c>
      <c r="K73" s="11" t="str">
        <f aca="false">IF(OR($C$6&lt;&gt;"Yes",$C$8=""),"",EDATE($C$8,I73))</f>
        <v/>
      </c>
      <c r="L73" s="13" t="str">
        <f aca="false">IF(K73="","",IF($C$16=0,$C$9,IF(AND($C$14&lt;&gt;"",K73&gt;=$C$14),$C$15,IF(AND($C$12&lt;&gt;"",K73&gt;=$C$12),$C$13,$C$11))))</f>
        <v/>
      </c>
      <c r="M73" s="13" t="str">
        <f aca="false">IF(K73="","",IF(OR(ISNUMBER(SEARCH("full",L73)),UPPER(TRIM(L73))="FT",UPPER(TRIM(L73))="FTE"),"FT",IF(AND(OR(ISNUMBER(SEARCH("part",L73)),UPPER(TRIM(L73))="PT",UPPER(TRIM(L73))="PTE"),OR($C$10="",N($C$10)&gt;=PT_MinHours)),"PT","None")))</f>
        <v/>
      </c>
      <c r="N73" s="13" t="n">
        <f aca="false">IF(I73&lt;FT_Y5,1,IF(MOD(I73-FT_Y5,12)=0,FT_AnnivDays,1))</f>
        <v>1</v>
      </c>
      <c r="O73" s="13" t="str">
        <f aca="false">IF(K73="","",IF(AND(M73="FT",K73&lt;=AsOfDate),N73,0))</f>
        <v/>
      </c>
      <c r="Q73" s="13" t="n">
        <v>54</v>
      </c>
      <c r="R73" s="13" t="n">
        <f aca="false">PT_First+PT_Int*53</f>
        <v>272</v>
      </c>
      <c r="S73" s="13" t="str">
        <f aca="false">INT(R73/12)&amp;"y "&amp;MOD(R73,12)&amp;"m"</f>
        <v>22y 8m</v>
      </c>
      <c r="T73" s="11" t="str">
        <f aca="false">IF(OR($C$6&lt;&gt;"Yes",$C$8=""),"",EDATE($C$8,R73))</f>
        <v/>
      </c>
      <c r="U73" s="13" t="str">
        <f aca="false">IF(T73="","",IF($C$16=0,$C$9,IF(AND($C$14&lt;&gt;"",T73&gt;=$C$14),$C$15,IF(AND($C$12&lt;&gt;"",T73&gt;=$C$12),$C$13,$C$11))))</f>
        <v/>
      </c>
      <c r="V73" s="13" t="str">
        <f aca="false">IF(T73="","",IF(OR(ISNUMBER(SEARCH("full",U73)),UPPER(TRIM(U73))="FT",UPPER(TRIM(U73))="FTE"),"FT",IF(AND(OR(ISNUMBER(SEARCH("part",U73)),UPPER(TRIM(U73))="PT",UPPER(TRIM(U73))="PTE"),OR($C$10="",N($C$10)&gt;=PT_MinHours)),"PT","None")))</f>
        <v/>
      </c>
      <c r="W73" s="13" t="n">
        <v>1</v>
      </c>
      <c r="X73" s="13" t="str">
        <f aca="false">IF(T73="","",IF(AND(V73="PT",T73&lt;=AsOfDate),W73,0))</f>
        <v/>
      </c>
      <c r="Z73" s="16" t="n">
        <f aca="false">I73</f>
        <v>201</v>
      </c>
      <c r="AA73" s="16" t="n">
        <f aca="false">SMALL($Z$20:$Z$199,54)</f>
        <v>140</v>
      </c>
      <c r="AB73" s="16" t="str">
        <f aca="false">IF(54-COUNTIF($Z$20:$Z$199,"&lt;"&amp;AA73)=1,IF(COUNTIF($I$20:$I$109,AA73)&gt;0,"FT","PT"),"PT")</f>
        <v>PT</v>
      </c>
      <c r="AC73" s="16" t="n">
        <f aca="false">IF(AB73="FT",INDEX($N$20:$N$109,MATCH(AA73,$I$20:$I$109,0)),1)</f>
        <v>1</v>
      </c>
    </row>
    <row r="74" customFormat="false" ht="15" hidden="false" customHeight="false" outlineLevel="0" collapsed="false">
      <c r="H74" s="13" t="n">
        <v>55</v>
      </c>
      <c r="I74" s="13" t="n">
        <f aca="false">IF(54&lt;FT_PreY5,FT_First+FT_Int1*54,FT_Y5+FT_Int2*(54-FT_PreY5))</f>
        <v>204</v>
      </c>
      <c r="J74" s="13" t="str">
        <f aca="false">INT(I74/12)&amp;"y "&amp;MOD(I74,12)&amp;"m"</f>
        <v>17y 0m</v>
      </c>
      <c r="K74" s="11" t="str">
        <f aca="false">IF(OR($C$6&lt;&gt;"Yes",$C$8=""),"",EDATE($C$8,I74))</f>
        <v/>
      </c>
      <c r="L74" s="13" t="str">
        <f aca="false">IF(K74="","",IF($C$16=0,$C$9,IF(AND($C$14&lt;&gt;"",K74&gt;=$C$14),$C$15,IF(AND($C$12&lt;&gt;"",K74&gt;=$C$12),$C$13,$C$11))))</f>
        <v/>
      </c>
      <c r="M74" s="13" t="str">
        <f aca="false">IF(K74="","",IF(OR(ISNUMBER(SEARCH("full",L74)),UPPER(TRIM(L74))="FT",UPPER(TRIM(L74))="FTE"),"FT",IF(AND(OR(ISNUMBER(SEARCH("part",L74)),UPPER(TRIM(L74))="PT",UPPER(TRIM(L74))="PTE"),OR($C$10="",N($C$10)&gt;=PT_MinHours)),"PT","None")))</f>
        <v/>
      </c>
      <c r="N74" s="13" t="n">
        <f aca="false">IF(I74&lt;FT_Y5,1,IF(MOD(I74-FT_Y5,12)=0,FT_AnnivDays,1))</f>
        <v>2</v>
      </c>
      <c r="O74" s="13" t="str">
        <f aca="false">IF(K74="","",IF(AND(M74="FT",K74&lt;=AsOfDate),N74,0))</f>
        <v/>
      </c>
      <c r="Q74" s="13" t="n">
        <v>55</v>
      </c>
      <c r="R74" s="13" t="n">
        <f aca="false">PT_First+PT_Int*54</f>
        <v>276</v>
      </c>
      <c r="S74" s="13" t="str">
        <f aca="false">INT(R74/12)&amp;"y "&amp;MOD(R74,12)&amp;"m"</f>
        <v>23y 0m</v>
      </c>
      <c r="T74" s="11" t="str">
        <f aca="false">IF(OR($C$6&lt;&gt;"Yes",$C$8=""),"",EDATE($C$8,R74))</f>
        <v/>
      </c>
      <c r="U74" s="13" t="str">
        <f aca="false">IF(T74="","",IF($C$16=0,$C$9,IF(AND($C$14&lt;&gt;"",T74&gt;=$C$14),$C$15,IF(AND($C$12&lt;&gt;"",T74&gt;=$C$12),$C$13,$C$11))))</f>
        <v/>
      </c>
      <c r="V74" s="13" t="str">
        <f aca="false">IF(T74="","",IF(OR(ISNUMBER(SEARCH("full",U74)),UPPER(TRIM(U74))="FT",UPPER(TRIM(U74))="FTE"),"FT",IF(AND(OR(ISNUMBER(SEARCH("part",U74)),UPPER(TRIM(U74))="PT",UPPER(TRIM(U74))="PTE"),OR($C$10="",N($C$10)&gt;=PT_MinHours)),"PT","None")))</f>
        <v/>
      </c>
      <c r="W74" s="13" t="n">
        <v>1</v>
      </c>
      <c r="X74" s="13" t="str">
        <f aca="false">IF(T74="","",IF(AND(V74="PT",T74&lt;=AsOfDate),W74,0))</f>
        <v/>
      </c>
      <c r="Z74" s="16" t="n">
        <f aca="false">I74</f>
        <v>204</v>
      </c>
      <c r="AA74" s="16" t="n">
        <f aca="false">SMALL($Z$20:$Z$199,55)</f>
        <v>141</v>
      </c>
      <c r="AB74" s="16" t="str">
        <f aca="false">IF(55-COUNTIF($Z$20:$Z$199,"&lt;"&amp;AA74)=1,IF(COUNTIF($I$20:$I$109,AA74)&gt;0,"FT","PT"),"PT")</f>
        <v>FT</v>
      </c>
      <c r="AC74" s="16" t="n">
        <f aca="false">IF(AB74="FT",INDEX($N$20:$N$109,MATCH(AA74,$I$20:$I$109,0)),1)</f>
        <v>1</v>
      </c>
    </row>
    <row r="75" customFormat="false" ht="15" hidden="false" customHeight="false" outlineLevel="0" collapsed="false">
      <c r="H75" s="13" t="n">
        <v>56</v>
      </c>
      <c r="I75" s="13" t="n">
        <f aca="false">IF(55&lt;FT_PreY5,FT_First+FT_Int1*55,FT_Y5+FT_Int2*(55-FT_PreY5))</f>
        <v>207</v>
      </c>
      <c r="J75" s="13" t="str">
        <f aca="false">INT(I75/12)&amp;"y "&amp;MOD(I75,12)&amp;"m"</f>
        <v>17y 3m</v>
      </c>
      <c r="K75" s="11" t="str">
        <f aca="false">IF(OR($C$6&lt;&gt;"Yes",$C$8=""),"",EDATE($C$8,I75))</f>
        <v/>
      </c>
      <c r="L75" s="13" t="str">
        <f aca="false">IF(K75="","",IF($C$16=0,$C$9,IF(AND($C$14&lt;&gt;"",K75&gt;=$C$14),$C$15,IF(AND($C$12&lt;&gt;"",K75&gt;=$C$12),$C$13,$C$11))))</f>
        <v/>
      </c>
      <c r="M75" s="13" t="str">
        <f aca="false">IF(K75="","",IF(OR(ISNUMBER(SEARCH("full",L75)),UPPER(TRIM(L75))="FT",UPPER(TRIM(L75))="FTE"),"FT",IF(AND(OR(ISNUMBER(SEARCH("part",L75)),UPPER(TRIM(L75))="PT",UPPER(TRIM(L75))="PTE"),OR($C$10="",N($C$10)&gt;=PT_MinHours)),"PT","None")))</f>
        <v/>
      </c>
      <c r="N75" s="13" t="n">
        <f aca="false">IF(I75&lt;FT_Y5,1,IF(MOD(I75-FT_Y5,12)=0,FT_AnnivDays,1))</f>
        <v>1</v>
      </c>
      <c r="O75" s="13" t="str">
        <f aca="false">IF(K75="","",IF(AND(M75="FT",K75&lt;=AsOfDate),N75,0))</f>
        <v/>
      </c>
      <c r="Q75" s="13" t="n">
        <v>56</v>
      </c>
      <c r="R75" s="13" t="n">
        <f aca="false">PT_First+PT_Int*55</f>
        <v>280</v>
      </c>
      <c r="S75" s="13" t="str">
        <f aca="false">INT(R75/12)&amp;"y "&amp;MOD(R75,12)&amp;"m"</f>
        <v>23y 4m</v>
      </c>
      <c r="T75" s="11" t="str">
        <f aca="false">IF(OR($C$6&lt;&gt;"Yes",$C$8=""),"",EDATE($C$8,R75))</f>
        <v/>
      </c>
      <c r="U75" s="13" t="str">
        <f aca="false">IF(T75="","",IF($C$16=0,$C$9,IF(AND($C$14&lt;&gt;"",T75&gt;=$C$14),$C$15,IF(AND($C$12&lt;&gt;"",T75&gt;=$C$12),$C$13,$C$11))))</f>
        <v/>
      </c>
      <c r="V75" s="13" t="str">
        <f aca="false">IF(T75="","",IF(OR(ISNUMBER(SEARCH("full",U75)),UPPER(TRIM(U75))="FT",UPPER(TRIM(U75))="FTE"),"FT",IF(AND(OR(ISNUMBER(SEARCH("part",U75)),UPPER(TRIM(U75))="PT",UPPER(TRIM(U75))="PTE"),OR($C$10="",N($C$10)&gt;=PT_MinHours)),"PT","None")))</f>
        <v/>
      </c>
      <c r="W75" s="13" t="n">
        <v>1</v>
      </c>
      <c r="X75" s="13" t="str">
        <f aca="false">IF(T75="","",IF(AND(V75="PT",T75&lt;=AsOfDate),W75,0))</f>
        <v/>
      </c>
      <c r="Z75" s="16" t="n">
        <f aca="false">I75</f>
        <v>207</v>
      </c>
      <c r="AA75" s="16" t="n">
        <f aca="false">SMALL($Z$20:$Z$199,56)</f>
        <v>144</v>
      </c>
      <c r="AB75" s="16" t="str">
        <f aca="false">IF(56-COUNTIF($Z$20:$Z$199,"&lt;"&amp;AA75)=1,IF(COUNTIF($I$20:$I$109,AA75)&gt;0,"FT","PT"),"PT")</f>
        <v>FT</v>
      </c>
      <c r="AC75" s="16" t="n">
        <f aca="false">IF(AB75="FT",INDEX($N$20:$N$109,MATCH(AA75,$I$20:$I$109,0)),1)</f>
        <v>2</v>
      </c>
    </row>
    <row r="76" customFormat="false" ht="15" hidden="false" customHeight="false" outlineLevel="0" collapsed="false">
      <c r="H76" s="13" t="n">
        <v>57</v>
      </c>
      <c r="I76" s="13" t="n">
        <f aca="false">IF(56&lt;FT_PreY5,FT_First+FT_Int1*56,FT_Y5+FT_Int2*(56-FT_PreY5))</f>
        <v>210</v>
      </c>
      <c r="J76" s="13" t="str">
        <f aca="false">INT(I76/12)&amp;"y "&amp;MOD(I76,12)&amp;"m"</f>
        <v>17y 6m</v>
      </c>
      <c r="K76" s="11" t="str">
        <f aca="false">IF(OR($C$6&lt;&gt;"Yes",$C$8=""),"",EDATE($C$8,I76))</f>
        <v/>
      </c>
      <c r="L76" s="13" t="str">
        <f aca="false">IF(K76="","",IF($C$16=0,$C$9,IF(AND($C$14&lt;&gt;"",K76&gt;=$C$14),$C$15,IF(AND($C$12&lt;&gt;"",K76&gt;=$C$12),$C$13,$C$11))))</f>
        <v/>
      </c>
      <c r="M76" s="13" t="str">
        <f aca="false">IF(K76="","",IF(OR(ISNUMBER(SEARCH("full",L76)),UPPER(TRIM(L76))="FT",UPPER(TRIM(L76))="FTE"),"FT",IF(AND(OR(ISNUMBER(SEARCH("part",L76)),UPPER(TRIM(L76))="PT",UPPER(TRIM(L76))="PTE"),OR($C$10="",N($C$10)&gt;=PT_MinHours)),"PT","None")))</f>
        <v/>
      </c>
      <c r="N76" s="13" t="n">
        <f aca="false">IF(I76&lt;FT_Y5,1,IF(MOD(I76-FT_Y5,12)=0,FT_AnnivDays,1))</f>
        <v>1</v>
      </c>
      <c r="O76" s="13" t="str">
        <f aca="false">IF(K76="","",IF(AND(M76="FT",K76&lt;=AsOfDate),N76,0))</f>
        <v/>
      </c>
      <c r="Q76" s="13" t="n">
        <v>57</v>
      </c>
      <c r="R76" s="13" t="n">
        <f aca="false">PT_First+PT_Int*56</f>
        <v>284</v>
      </c>
      <c r="S76" s="13" t="str">
        <f aca="false">INT(R76/12)&amp;"y "&amp;MOD(R76,12)&amp;"m"</f>
        <v>23y 8m</v>
      </c>
      <c r="T76" s="11" t="str">
        <f aca="false">IF(OR($C$6&lt;&gt;"Yes",$C$8=""),"",EDATE($C$8,R76))</f>
        <v/>
      </c>
      <c r="U76" s="13" t="str">
        <f aca="false">IF(T76="","",IF($C$16=0,$C$9,IF(AND($C$14&lt;&gt;"",T76&gt;=$C$14),$C$15,IF(AND($C$12&lt;&gt;"",T76&gt;=$C$12),$C$13,$C$11))))</f>
        <v/>
      </c>
      <c r="V76" s="13" t="str">
        <f aca="false">IF(T76="","",IF(OR(ISNUMBER(SEARCH("full",U76)),UPPER(TRIM(U76))="FT",UPPER(TRIM(U76))="FTE"),"FT",IF(AND(OR(ISNUMBER(SEARCH("part",U76)),UPPER(TRIM(U76))="PT",UPPER(TRIM(U76))="PTE"),OR($C$10="",N($C$10)&gt;=PT_MinHours)),"PT","None")))</f>
        <v/>
      </c>
      <c r="W76" s="13" t="n">
        <v>1</v>
      </c>
      <c r="X76" s="13" t="str">
        <f aca="false">IF(T76="","",IF(AND(V76="PT",T76&lt;=AsOfDate),W76,0))</f>
        <v/>
      </c>
      <c r="Z76" s="16" t="n">
        <f aca="false">I76</f>
        <v>210</v>
      </c>
      <c r="AA76" s="16" t="n">
        <f aca="false">SMALL($Z$20:$Z$199,57)</f>
        <v>144</v>
      </c>
      <c r="AB76" s="16" t="str">
        <f aca="false">IF(57-COUNTIF($Z$20:$Z$199,"&lt;"&amp;AA76)=1,IF(COUNTIF($I$20:$I$109,AA76)&gt;0,"FT","PT"),"PT")</f>
        <v>PT</v>
      </c>
      <c r="AC76" s="16" t="n">
        <f aca="false">IF(AB76="FT",INDEX($N$20:$N$109,MATCH(AA76,$I$20:$I$109,0)),1)</f>
        <v>1</v>
      </c>
    </row>
    <row r="77" customFormat="false" ht="15" hidden="false" customHeight="false" outlineLevel="0" collapsed="false">
      <c r="H77" s="13" t="n">
        <v>58</v>
      </c>
      <c r="I77" s="13" t="n">
        <f aca="false">IF(57&lt;FT_PreY5,FT_First+FT_Int1*57,FT_Y5+FT_Int2*(57-FT_PreY5))</f>
        <v>213</v>
      </c>
      <c r="J77" s="13" t="str">
        <f aca="false">INT(I77/12)&amp;"y "&amp;MOD(I77,12)&amp;"m"</f>
        <v>17y 9m</v>
      </c>
      <c r="K77" s="11" t="str">
        <f aca="false">IF(OR($C$6&lt;&gt;"Yes",$C$8=""),"",EDATE($C$8,I77))</f>
        <v/>
      </c>
      <c r="L77" s="13" t="str">
        <f aca="false">IF(K77="","",IF($C$16=0,$C$9,IF(AND($C$14&lt;&gt;"",K77&gt;=$C$14),$C$15,IF(AND($C$12&lt;&gt;"",K77&gt;=$C$12),$C$13,$C$11))))</f>
        <v/>
      </c>
      <c r="M77" s="13" t="str">
        <f aca="false">IF(K77="","",IF(OR(ISNUMBER(SEARCH("full",L77)),UPPER(TRIM(L77))="FT",UPPER(TRIM(L77))="FTE"),"FT",IF(AND(OR(ISNUMBER(SEARCH("part",L77)),UPPER(TRIM(L77))="PT",UPPER(TRIM(L77))="PTE"),OR($C$10="",N($C$10)&gt;=PT_MinHours)),"PT","None")))</f>
        <v/>
      </c>
      <c r="N77" s="13" t="n">
        <f aca="false">IF(I77&lt;FT_Y5,1,IF(MOD(I77-FT_Y5,12)=0,FT_AnnivDays,1))</f>
        <v>1</v>
      </c>
      <c r="O77" s="13" t="str">
        <f aca="false">IF(K77="","",IF(AND(M77="FT",K77&lt;=AsOfDate),N77,0))</f>
        <v/>
      </c>
      <c r="Q77" s="13" t="n">
        <v>58</v>
      </c>
      <c r="R77" s="13" t="n">
        <f aca="false">PT_First+PT_Int*57</f>
        <v>288</v>
      </c>
      <c r="S77" s="13" t="str">
        <f aca="false">INT(R77/12)&amp;"y "&amp;MOD(R77,12)&amp;"m"</f>
        <v>24y 0m</v>
      </c>
      <c r="T77" s="11" t="str">
        <f aca="false">IF(OR($C$6&lt;&gt;"Yes",$C$8=""),"",EDATE($C$8,R77))</f>
        <v/>
      </c>
      <c r="U77" s="13" t="str">
        <f aca="false">IF(T77="","",IF($C$16=0,$C$9,IF(AND($C$14&lt;&gt;"",T77&gt;=$C$14),$C$15,IF(AND($C$12&lt;&gt;"",T77&gt;=$C$12),$C$13,$C$11))))</f>
        <v/>
      </c>
      <c r="V77" s="13" t="str">
        <f aca="false">IF(T77="","",IF(OR(ISNUMBER(SEARCH("full",U77)),UPPER(TRIM(U77))="FT",UPPER(TRIM(U77))="FTE"),"FT",IF(AND(OR(ISNUMBER(SEARCH("part",U77)),UPPER(TRIM(U77))="PT",UPPER(TRIM(U77))="PTE"),OR($C$10="",N($C$10)&gt;=PT_MinHours)),"PT","None")))</f>
        <v/>
      </c>
      <c r="W77" s="13" t="n">
        <v>1</v>
      </c>
      <c r="X77" s="13" t="str">
        <f aca="false">IF(T77="","",IF(AND(V77="PT",T77&lt;=AsOfDate),W77,0))</f>
        <v/>
      </c>
      <c r="Z77" s="16" t="n">
        <f aca="false">I77</f>
        <v>213</v>
      </c>
      <c r="AA77" s="16" t="n">
        <f aca="false">SMALL($Z$20:$Z$199,58)</f>
        <v>147</v>
      </c>
      <c r="AB77" s="16" t="str">
        <f aca="false">IF(58-COUNTIF($Z$20:$Z$199,"&lt;"&amp;AA77)=1,IF(COUNTIF($I$20:$I$109,AA77)&gt;0,"FT","PT"),"PT")</f>
        <v>FT</v>
      </c>
      <c r="AC77" s="16" t="n">
        <f aca="false">IF(AB77="FT",INDEX($N$20:$N$109,MATCH(AA77,$I$20:$I$109,0)),1)</f>
        <v>1</v>
      </c>
    </row>
    <row r="78" customFormat="false" ht="15" hidden="false" customHeight="false" outlineLevel="0" collapsed="false">
      <c r="H78" s="13" t="n">
        <v>59</v>
      </c>
      <c r="I78" s="13" t="n">
        <f aca="false">IF(58&lt;FT_PreY5,FT_First+FT_Int1*58,FT_Y5+FT_Int2*(58-FT_PreY5))</f>
        <v>216</v>
      </c>
      <c r="J78" s="13" t="str">
        <f aca="false">INT(I78/12)&amp;"y "&amp;MOD(I78,12)&amp;"m"</f>
        <v>18y 0m</v>
      </c>
      <c r="K78" s="11" t="str">
        <f aca="false">IF(OR($C$6&lt;&gt;"Yes",$C$8=""),"",EDATE($C$8,I78))</f>
        <v/>
      </c>
      <c r="L78" s="13" t="str">
        <f aca="false">IF(K78="","",IF($C$16=0,$C$9,IF(AND($C$14&lt;&gt;"",K78&gt;=$C$14),$C$15,IF(AND($C$12&lt;&gt;"",K78&gt;=$C$12),$C$13,$C$11))))</f>
        <v/>
      </c>
      <c r="M78" s="13" t="str">
        <f aca="false">IF(K78="","",IF(OR(ISNUMBER(SEARCH("full",L78)),UPPER(TRIM(L78))="FT",UPPER(TRIM(L78))="FTE"),"FT",IF(AND(OR(ISNUMBER(SEARCH("part",L78)),UPPER(TRIM(L78))="PT",UPPER(TRIM(L78))="PTE"),OR($C$10="",N($C$10)&gt;=PT_MinHours)),"PT","None")))</f>
        <v/>
      </c>
      <c r="N78" s="13" t="n">
        <f aca="false">IF(I78&lt;FT_Y5,1,IF(MOD(I78-FT_Y5,12)=0,FT_AnnivDays,1))</f>
        <v>2</v>
      </c>
      <c r="O78" s="13" t="str">
        <f aca="false">IF(K78="","",IF(AND(M78="FT",K78&lt;=AsOfDate),N78,0))</f>
        <v/>
      </c>
      <c r="Q78" s="13" t="n">
        <v>59</v>
      </c>
      <c r="R78" s="13" t="n">
        <f aca="false">PT_First+PT_Int*58</f>
        <v>292</v>
      </c>
      <c r="S78" s="13" t="str">
        <f aca="false">INT(R78/12)&amp;"y "&amp;MOD(R78,12)&amp;"m"</f>
        <v>24y 4m</v>
      </c>
      <c r="T78" s="11" t="str">
        <f aca="false">IF(OR($C$6&lt;&gt;"Yes",$C$8=""),"",EDATE($C$8,R78))</f>
        <v/>
      </c>
      <c r="U78" s="13" t="str">
        <f aca="false">IF(T78="","",IF($C$16=0,$C$9,IF(AND($C$14&lt;&gt;"",T78&gt;=$C$14),$C$15,IF(AND($C$12&lt;&gt;"",T78&gt;=$C$12),$C$13,$C$11))))</f>
        <v/>
      </c>
      <c r="V78" s="13" t="str">
        <f aca="false">IF(T78="","",IF(OR(ISNUMBER(SEARCH("full",U78)),UPPER(TRIM(U78))="FT",UPPER(TRIM(U78))="FTE"),"FT",IF(AND(OR(ISNUMBER(SEARCH("part",U78)),UPPER(TRIM(U78))="PT",UPPER(TRIM(U78))="PTE"),OR($C$10="",N($C$10)&gt;=PT_MinHours)),"PT","None")))</f>
        <v/>
      </c>
      <c r="W78" s="13" t="n">
        <v>1</v>
      </c>
      <c r="X78" s="13" t="str">
        <f aca="false">IF(T78="","",IF(AND(V78="PT",T78&lt;=AsOfDate),W78,0))</f>
        <v/>
      </c>
      <c r="Z78" s="16" t="n">
        <f aca="false">I78</f>
        <v>216</v>
      </c>
      <c r="AA78" s="16" t="n">
        <f aca="false">SMALL($Z$20:$Z$199,59)</f>
        <v>148</v>
      </c>
      <c r="AB78" s="16" t="str">
        <f aca="false">IF(59-COUNTIF($Z$20:$Z$199,"&lt;"&amp;AA78)=1,IF(COUNTIF($I$20:$I$109,AA78)&gt;0,"FT","PT"),"PT")</f>
        <v>PT</v>
      </c>
      <c r="AC78" s="16" t="n">
        <f aca="false">IF(AB78="FT",INDEX($N$20:$N$109,MATCH(AA78,$I$20:$I$109,0)),1)</f>
        <v>1</v>
      </c>
    </row>
    <row r="79" customFormat="false" ht="15" hidden="false" customHeight="false" outlineLevel="0" collapsed="false">
      <c r="H79" s="13" t="n">
        <v>60</v>
      </c>
      <c r="I79" s="13" t="n">
        <f aca="false">IF(59&lt;FT_PreY5,FT_First+FT_Int1*59,FT_Y5+FT_Int2*(59-FT_PreY5))</f>
        <v>219</v>
      </c>
      <c r="J79" s="13" t="str">
        <f aca="false">INT(I79/12)&amp;"y "&amp;MOD(I79,12)&amp;"m"</f>
        <v>18y 3m</v>
      </c>
      <c r="K79" s="11" t="str">
        <f aca="false">IF(OR($C$6&lt;&gt;"Yes",$C$8=""),"",EDATE($C$8,I79))</f>
        <v/>
      </c>
      <c r="L79" s="13" t="str">
        <f aca="false">IF(K79="","",IF($C$16=0,$C$9,IF(AND($C$14&lt;&gt;"",K79&gt;=$C$14),$C$15,IF(AND($C$12&lt;&gt;"",K79&gt;=$C$12),$C$13,$C$11))))</f>
        <v/>
      </c>
      <c r="M79" s="13" t="str">
        <f aca="false">IF(K79="","",IF(OR(ISNUMBER(SEARCH("full",L79)),UPPER(TRIM(L79))="FT",UPPER(TRIM(L79))="FTE"),"FT",IF(AND(OR(ISNUMBER(SEARCH("part",L79)),UPPER(TRIM(L79))="PT",UPPER(TRIM(L79))="PTE"),OR($C$10="",N($C$10)&gt;=PT_MinHours)),"PT","None")))</f>
        <v/>
      </c>
      <c r="N79" s="13" t="n">
        <f aca="false">IF(I79&lt;FT_Y5,1,IF(MOD(I79-FT_Y5,12)=0,FT_AnnivDays,1))</f>
        <v>1</v>
      </c>
      <c r="O79" s="13" t="str">
        <f aca="false">IF(K79="","",IF(AND(M79="FT",K79&lt;=AsOfDate),N79,0))</f>
        <v/>
      </c>
      <c r="Q79" s="13" t="n">
        <v>60</v>
      </c>
      <c r="R79" s="13" t="n">
        <f aca="false">PT_First+PT_Int*59</f>
        <v>296</v>
      </c>
      <c r="S79" s="13" t="str">
        <f aca="false">INT(R79/12)&amp;"y "&amp;MOD(R79,12)&amp;"m"</f>
        <v>24y 8m</v>
      </c>
      <c r="T79" s="11" t="str">
        <f aca="false">IF(OR($C$6&lt;&gt;"Yes",$C$8=""),"",EDATE($C$8,R79))</f>
        <v/>
      </c>
      <c r="U79" s="13" t="str">
        <f aca="false">IF(T79="","",IF($C$16=0,$C$9,IF(AND($C$14&lt;&gt;"",T79&gt;=$C$14),$C$15,IF(AND($C$12&lt;&gt;"",T79&gt;=$C$12),$C$13,$C$11))))</f>
        <v/>
      </c>
      <c r="V79" s="13" t="str">
        <f aca="false">IF(T79="","",IF(OR(ISNUMBER(SEARCH("full",U79)),UPPER(TRIM(U79))="FT",UPPER(TRIM(U79))="FTE"),"FT",IF(AND(OR(ISNUMBER(SEARCH("part",U79)),UPPER(TRIM(U79))="PT",UPPER(TRIM(U79))="PTE"),OR($C$10="",N($C$10)&gt;=PT_MinHours)),"PT","None")))</f>
        <v/>
      </c>
      <c r="W79" s="13" t="n">
        <v>1</v>
      </c>
      <c r="X79" s="13" t="str">
        <f aca="false">IF(T79="","",IF(AND(V79="PT",T79&lt;=AsOfDate),W79,0))</f>
        <v/>
      </c>
      <c r="Z79" s="16" t="n">
        <f aca="false">I79</f>
        <v>219</v>
      </c>
      <c r="AA79" s="16" t="n">
        <f aca="false">SMALL($Z$20:$Z$199,60)</f>
        <v>150</v>
      </c>
      <c r="AB79" s="16" t="str">
        <f aca="false">IF(60-COUNTIF($Z$20:$Z$199,"&lt;"&amp;AA79)=1,IF(COUNTIF($I$20:$I$109,AA79)&gt;0,"FT","PT"),"PT")</f>
        <v>FT</v>
      </c>
      <c r="AC79" s="16" t="n">
        <f aca="false">IF(AB79="FT",INDEX($N$20:$N$109,MATCH(AA79,$I$20:$I$109,0)),1)</f>
        <v>1</v>
      </c>
    </row>
    <row r="80" customFormat="false" ht="15" hidden="false" customHeight="false" outlineLevel="0" collapsed="false">
      <c r="H80" s="13" t="n">
        <v>61</v>
      </c>
      <c r="I80" s="13" t="n">
        <f aca="false">IF(60&lt;FT_PreY5,FT_First+FT_Int1*60,FT_Y5+FT_Int2*(60-FT_PreY5))</f>
        <v>222</v>
      </c>
      <c r="J80" s="13" t="str">
        <f aca="false">INT(I80/12)&amp;"y "&amp;MOD(I80,12)&amp;"m"</f>
        <v>18y 6m</v>
      </c>
      <c r="K80" s="11" t="str">
        <f aca="false">IF(OR($C$6&lt;&gt;"Yes",$C$8=""),"",EDATE($C$8,I80))</f>
        <v/>
      </c>
      <c r="L80" s="13" t="str">
        <f aca="false">IF(K80="","",IF($C$16=0,$C$9,IF(AND($C$14&lt;&gt;"",K80&gt;=$C$14),$C$15,IF(AND($C$12&lt;&gt;"",K80&gt;=$C$12),$C$13,$C$11))))</f>
        <v/>
      </c>
      <c r="M80" s="13" t="str">
        <f aca="false">IF(K80="","",IF(OR(ISNUMBER(SEARCH("full",L80)),UPPER(TRIM(L80))="FT",UPPER(TRIM(L80))="FTE"),"FT",IF(AND(OR(ISNUMBER(SEARCH("part",L80)),UPPER(TRIM(L80))="PT",UPPER(TRIM(L80))="PTE"),OR($C$10="",N($C$10)&gt;=PT_MinHours)),"PT","None")))</f>
        <v/>
      </c>
      <c r="N80" s="13" t="n">
        <f aca="false">IF(I80&lt;FT_Y5,1,IF(MOD(I80-FT_Y5,12)=0,FT_AnnivDays,1))</f>
        <v>1</v>
      </c>
      <c r="O80" s="13" t="str">
        <f aca="false">IF(K80="","",IF(AND(M80="FT",K80&lt;=AsOfDate),N80,0))</f>
        <v/>
      </c>
      <c r="Q80" s="13" t="n">
        <v>61</v>
      </c>
      <c r="R80" s="13" t="n">
        <f aca="false">PT_First+PT_Int*60</f>
        <v>300</v>
      </c>
      <c r="S80" s="13" t="str">
        <f aca="false">INT(R80/12)&amp;"y "&amp;MOD(R80,12)&amp;"m"</f>
        <v>25y 0m</v>
      </c>
      <c r="T80" s="11" t="str">
        <f aca="false">IF(OR($C$6&lt;&gt;"Yes",$C$8=""),"",EDATE($C$8,R80))</f>
        <v/>
      </c>
      <c r="U80" s="13" t="str">
        <f aca="false">IF(T80="","",IF($C$16=0,$C$9,IF(AND($C$14&lt;&gt;"",T80&gt;=$C$14),$C$15,IF(AND($C$12&lt;&gt;"",T80&gt;=$C$12),$C$13,$C$11))))</f>
        <v/>
      </c>
      <c r="V80" s="13" t="str">
        <f aca="false">IF(T80="","",IF(OR(ISNUMBER(SEARCH("full",U80)),UPPER(TRIM(U80))="FT",UPPER(TRIM(U80))="FTE"),"FT",IF(AND(OR(ISNUMBER(SEARCH("part",U80)),UPPER(TRIM(U80))="PT",UPPER(TRIM(U80))="PTE"),OR($C$10="",N($C$10)&gt;=PT_MinHours)),"PT","None")))</f>
        <v/>
      </c>
      <c r="W80" s="13" t="n">
        <v>1</v>
      </c>
      <c r="X80" s="13" t="str">
        <f aca="false">IF(T80="","",IF(AND(V80="PT",T80&lt;=AsOfDate),W80,0))</f>
        <v/>
      </c>
      <c r="Z80" s="16" t="n">
        <f aca="false">I80</f>
        <v>222</v>
      </c>
      <c r="AA80" s="16" t="n">
        <f aca="false">SMALL($Z$20:$Z$199,61)</f>
        <v>152</v>
      </c>
      <c r="AB80" s="16" t="str">
        <f aca="false">IF(61-COUNTIF($Z$20:$Z$199,"&lt;"&amp;AA80)=1,IF(COUNTIF($I$20:$I$109,AA80)&gt;0,"FT","PT"),"PT")</f>
        <v>PT</v>
      </c>
      <c r="AC80" s="16" t="n">
        <f aca="false">IF(AB80="FT",INDEX($N$20:$N$109,MATCH(AA80,$I$20:$I$109,0)),1)</f>
        <v>1</v>
      </c>
    </row>
    <row r="81" customFormat="false" ht="15" hidden="false" customHeight="false" outlineLevel="0" collapsed="false">
      <c r="H81" s="13" t="n">
        <v>62</v>
      </c>
      <c r="I81" s="13" t="n">
        <f aca="false">IF(61&lt;FT_PreY5,FT_First+FT_Int1*61,FT_Y5+FT_Int2*(61-FT_PreY5))</f>
        <v>225</v>
      </c>
      <c r="J81" s="13" t="str">
        <f aca="false">INT(I81/12)&amp;"y "&amp;MOD(I81,12)&amp;"m"</f>
        <v>18y 9m</v>
      </c>
      <c r="K81" s="11" t="str">
        <f aca="false">IF(OR($C$6&lt;&gt;"Yes",$C$8=""),"",EDATE($C$8,I81))</f>
        <v/>
      </c>
      <c r="L81" s="13" t="str">
        <f aca="false">IF(K81="","",IF($C$16=0,$C$9,IF(AND($C$14&lt;&gt;"",K81&gt;=$C$14),$C$15,IF(AND($C$12&lt;&gt;"",K81&gt;=$C$12),$C$13,$C$11))))</f>
        <v/>
      </c>
      <c r="M81" s="13" t="str">
        <f aca="false">IF(K81="","",IF(OR(ISNUMBER(SEARCH("full",L81)),UPPER(TRIM(L81))="FT",UPPER(TRIM(L81))="FTE"),"FT",IF(AND(OR(ISNUMBER(SEARCH("part",L81)),UPPER(TRIM(L81))="PT",UPPER(TRIM(L81))="PTE"),OR($C$10="",N($C$10)&gt;=PT_MinHours)),"PT","None")))</f>
        <v/>
      </c>
      <c r="N81" s="13" t="n">
        <f aca="false">IF(I81&lt;FT_Y5,1,IF(MOD(I81-FT_Y5,12)=0,FT_AnnivDays,1))</f>
        <v>1</v>
      </c>
      <c r="O81" s="13" t="str">
        <f aca="false">IF(K81="","",IF(AND(M81="FT",K81&lt;=AsOfDate),N81,0))</f>
        <v/>
      </c>
      <c r="Q81" s="13" t="n">
        <v>62</v>
      </c>
      <c r="R81" s="13" t="n">
        <f aca="false">PT_First+PT_Int*61</f>
        <v>304</v>
      </c>
      <c r="S81" s="13" t="str">
        <f aca="false">INT(R81/12)&amp;"y "&amp;MOD(R81,12)&amp;"m"</f>
        <v>25y 4m</v>
      </c>
      <c r="T81" s="11" t="str">
        <f aca="false">IF(OR($C$6&lt;&gt;"Yes",$C$8=""),"",EDATE($C$8,R81))</f>
        <v/>
      </c>
      <c r="U81" s="13" t="str">
        <f aca="false">IF(T81="","",IF($C$16=0,$C$9,IF(AND($C$14&lt;&gt;"",T81&gt;=$C$14),$C$15,IF(AND($C$12&lt;&gt;"",T81&gt;=$C$12),$C$13,$C$11))))</f>
        <v/>
      </c>
      <c r="V81" s="13" t="str">
        <f aca="false">IF(T81="","",IF(OR(ISNUMBER(SEARCH("full",U81)),UPPER(TRIM(U81))="FT",UPPER(TRIM(U81))="FTE"),"FT",IF(AND(OR(ISNUMBER(SEARCH("part",U81)),UPPER(TRIM(U81))="PT",UPPER(TRIM(U81))="PTE"),OR($C$10="",N($C$10)&gt;=PT_MinHours)),"PT","None")))</f>
        <v/>
      </c>
      <c r="W81" s="13" t="n">
        <v>1</v>
      </c>
      <c r="X81" s="13" t="str">
        <f aca="false">IF(T81="","",IF(AND(V81="PT",T81&lt;=AsOfDate),W81,0))</f>
        <v/>
      </c>
      <c r="Z81" s="16" t="n">
        <f aca="false">I81</f>
        <v>225</v>
      </c>
      <c r="AA81" s="16" t="n">
        <f aca="false">SMALL($Z$20:$Z$199,62)</f>
        <v>153</v>
      </c>
      <c r="AB81" s="16" t="str">
        <f aca="false">IF(62-COUNTIF($Z$20:$Z$199,"&lt;"&amp;AA81)=1,IF(COUNTIF($I$20:$I$109,AA81)&gt;0,"FT","PT"),"PT")</f>
        <v>FT</v>
      </c>
      <c r="AC81" s="16" t="n">
        <f aca="false">IF(AB81="FT",INDEX($N$20:$N$109,MATCH(AA81,$I$20:$I$109,0)),1)</f>
        <v>1</v>
      </c>
    </row>
    <row r="82" customFormat="false" ht="15" hidden="false" customHeight="false" outlineLevel="0" collapsed="false">
      <c r="H82" s="13" t="n">
        <v>63</v>
      </c>
      <c r="I82" s="13" t="n">
        <f aca="false">IF(62&lt;FT_PreY5,FT_First+FT_Int1*62,FT_Y5+FT_Int2*(62-FT_PreY5))</f>
        <v>228</v>
      </c>
      <c r="J82" s="13" t="str">
        <f aca="false">INT(I82/12)&amp;"y "&amp;MOD(I82,12)&amp;"m"</f>
        <v>19y 0m</v>
      </c>
      <c r="K82" s="11" t="str">
        <f aca="false">IF(OR($C$6&lt;&gt;"Yes",$C$8=""),"",EDATE($C$8,I82))</f>
        <v/>
      </c>
      <c r="L82" s="13" t="str">
        <f aca="false">IF(K82="","",IF($C$16=0,$C$9,IF(AND($C$14&lt;&gt;"",K82&gt;=$C$14),$C$15,IF(AND($C$12&lt;&gt;"",K82&gt;=$C$12),$C$13,$C$11))))</f>
        <v/>
      </c>
      <c r="M82" s="13" t="str">
        <f aca="false">IF(K82="","",IF(OR(ISNUMBER(SEARCH("full",L82)),UPPER(TRIM(L82))="FT",UPPER(TRIM(L82))="FTE"),"FT",IF(AND(OR(ISNUMBER(SEARCH("part",L82)),UPPER(TRIM(L82))="PT",UPPER(TRIM(L82))="PTE"),OR($C$10="",N($C$10)&gt;=PT_MinHours)),"PT","None")))</f>
        <v/>
      </c>
      <c r="N82" s="13" t="n">
        <f aca="false">IF(I82&lt;FT_Y5,1,IF(MOD(I82-FT_Y5,12)=0,FT_AnnivDays,1))</f>
        <v>2</v>
      </c>
      <c r="O82" s="13" t="str">
        <f aca="false">IF(K82="","",IF(AND(M82="FT",K82&lt;=AsOfDate),N82,0))</f>
        <v/>
      </c>
      <c r="Q82" s="13" t="n">
        <v>63</v>
      </c>
      <c r="R82" s="13" t="n">
        <f aca="false">PT_First+PT_Int*62</f>
        <v>308</v>
      </c>
      <c r="S82" s="13" t="str">
        <f aca="false">INT(R82/12)&amp;"y "&amp;MOD(R82,12)&amp;"m"</f>
        <v>25y 8m</v>
      </c>
      <c r="T82" s="11" t="str">
        <f aca="false">IF(OR($C$6&lt;&gt;"Yes",$C$8=""),"",EDATE($C$8,R82))</f>
        <v/>
      </c>
      <c r="U82" s="13" t="str">
        <f aca="false">IF(T82="","",IF($C$16=0,$C$9,IF(AND($C$14&lt;&gt;"",T82&gt;=$C$14),$C$15,IF(AND($C$12&lt;&gt;"",T82&gt;=$C$12),$C$13,$C$11))))</f>
        <v/>
      </c>
      <c r="V82" s="13" t="str">
        <f aca="false">IF(T82="","",IF(OR(ISNUMBER(SEARCH("full",U82)),UPPER(TRIM(U82))="FT",UPPER(TRIM(U82))="FTE"),"FT",IF(AND(OR(ISNUMBER(SEARCH("part",U82)),UPPER(TRIM(U82))="PT",UPPER(TRIM(U82))="PTE"),OR($C$10="",N($C$10)&gt;=PT_MinHours)),"PT","None")))</f>
        <v/>
      </c>
      <c r="W82" s="13" t="n">
        <v>1</v>
      </c>
      <c r="X82" s="13" t="str">
        <f aca="false">IF(T82="","",IF(AND(V82="PT",T82&lt;=AsOfDate),W82,0))</f>
        <v/>
      </c>
      <c r="Z82" s="16" t="n">
        <f aca="false">I82</f>
        <v>228</v>
      </c>
      <c r="AA82" s="16" t="n">
        <f aca="false">SMALL($Z$20:$Z$199,63)</f>
        <v>156</v>
      </c>
      <c r="AB82" s="16" t="str">
        <f aca="false">IF(63-COUNTIF($Z$20:$Z$199,"&lt;"&amp;AA82)=1,IF(COUNTIF($I$20:$I$109,AA82)&gt;0,"FT","PT"),"PT")</f>
        <v>FT</v>
      </c>
      <c r="AC82" s="16" t="n">
        <f aca="false">IF(AB82="FT",INDEX($N$20:$N$109,MATCH(AA82,$I$20:$I$109,0)),1)</f>
        <v>2</v>
      </c>
    </row>
    <row r="83" customFormat="false" ht="15" hidden="false" customHeight="false" outlineLevel="0" collapsed="false">
      <c r="H83" s="13" t="n">
        <v>64</v>
      </c>
      <c r="I83" s="13" t="n">
        <f aca="false">IF(63&lt;FT_PreY5,FT_First+FT_Int1*63,FT_Y5+FT_Int2*(63-FT_PreY5))</f>
        <v>231</v>
      </c>
      <c r="J83" s="13" t="str">
        <f aca="false">INT(I83/12)&amp;"y "&amp;MOD(I83,12)&amp;"m"</f>
        <v>19y 3m</v>
      </c>
      <c r="K83" s="11" t="str">
        <f aca="false">IF(OR($C$6&lt;&gt;"Yes",$C$8=""),"",EDATE($C$8,I83))</f>
        <v/>
      </c>
      <c r="L83" s="13" t="str">
        <f aca="false">IF(K83="","",IF($C$16=0,$C$9,IF(AND($C$14&lt;&gt;"",K83&gt;=$C$14),$C$15,IF(AND($C$12&lt;&gt;"",K83&gt;=$C$12),$C$13,$C$11))))</f>
        <v/>
      </c>
      <c r="M83" s="13" t="str">
        <f aca="false">IF(K83="","",IF(OR(ISNUMBER(SEARCH("full",L83)),UPPER(TRIM(L83))="FT",UPPER(TRIM(L83))="FTE"),"FT",IF(AND(OR(ISNUMBER(SEARCH("part",L83)),UPPER(TRIM(L83))="PT",UPPER(TRIM(L83))="PTE"),OR($C$10="",N($C$10)&gt;=PT_MinHours)),"PT","None")))</f>
        <v/>
      </c>
      <c r="N83" s="13" t="n">
        <f aca="false">IF(I83&lt;FT_Y5,1,IF(MOD(I83-FT_Y5,12)=0,FT_AnnivDays,1))</f>
        <v>1</v>
      </c>
      <c r="O83" s="13" t="str">
        <f aca="false">IF(K83="","",IF(AND(M83="FT",K83&lt;=AsOfDate),N83,0))</f>
        <v/>
      </c>
      <c r="Q83" s="13" t="n">
        <v>64</v>
      </c>
      <c r="R83" s="13" t="n">
        <f aca="false">PT_First+PT_Int*63</f>
        <v>312</v>
      </c>
      <c r="S83" s="13" t="str">
        <f aca="false">INT(R83/12)&amp;"y "&amp;MOD(R83,12)&amp;"m"</f>
        <v>26y 0m</v>
      </c>
      <c r="T83" s="11" t="str">
        <f aca="false">IF(OR($C$6&lt;&gt;"Yes",$C$8=""),"",EDATE($C$8,R83))</f>
        <v/>
      </c>
      <c r="U83" s="13" t="str">
        <f aca="false">IF(T83="","",IF($C$16=0,$C$9,IF(AND($C$14&lt;&gt;"",T83&gt;=$C$14),$C$15,IF(AND($C$12&lt;&gt;"",T83&gt;=$C$12),$C$13,$C$11))))</f>
        <v/>
      </c>
      <c r="V83" s="13" t="str">
        <f aca="false">IF(T83="","",IF(OR(ISNUMBER(SEARCH("full",U83)),UPPER(TRIM(U83))="FT",UPPER(TRIM(U83))="FTE"),"FT",IF(AND(OR(ISNUMBER(SEARCH("part",U83)),UPPER(TRIM(U83))="PT",UPPER(TRIM(U83))="PTE"),OR($C$10="",N($C$10)&gt;=PT_MinHours)),"PT","None")))</f>
        <v/>
      </c>
      <c r="W83" s="13" t="n">
        <v>1</v>
      </c>
      <c r="X83" s="13" t="str">
        <f aca="false">IF(T83="","",IF(AND(V83="PT",T83&lt;=AsOfDate),W83,0))</f>
        <v/>
      </c>
      <c r="Z83" s="16" t="n">
        <f aca="false">I83</f>
        <v>231</v>
      </c>
      <c r="AA83" s="16" t="n">
        <f aca="false">SMALL($Z$20:$Z$199,64)</f>
        <v>156</v>
      </c>
      <c r="AB83" s="16" t="str">
        <f aca="false">IF(64-COUNTIF($Z$20:$Z$199,"&lt;"&amp;AA83)=1,IF(COUNTIF($I$20:$I$109,AA83)&gt;0,"FT","PT"),"PT")</f>
        <v>PT</v>
      </c>
      <c r="AC83" s="16" t="n">
        <f aca="false">IF(AB83="FT",INDEX($N$20:$N$109,MATCH(AA83,$I$20:$I$109,0)),1)</f>
        <v>1</v>
      </c>
    </row>
    <row r="84" customFormat="false" ht="15" hidden="false" customHeight="false" outlineLevel="0" collapsed="false">
      <c r="H84" s="13" t="n">
        <v>65</v>
      </c>
      <c r="I84" s="13" t="n">
        <f aca="false">IF(64&lt;FT_PreY5,FT_First+FT_Int1*64,FT_Y5+FT_Int2*(64-FT_PreY5))</f>
        <v>234</v>
      </c>
      <c r="J84" s="13" t="str">
        <f aca="false">INT(I84/12)&amp;"y "&amp;MOD(I84,12)&amp;"m"</f>
        <v>19y 6m</v>
      </c>
      <c r="K84" s="11" t="str">
        <f aca="false">IF(OR($C$6&lt;&gt;"Yes",$C$8=""),"",EDATE($C$8,I84))</f>
        <v/>
      </c>
      <c r="L84" s="13" t="str">
        <f aca="false">IF(K84="","",IF($C$16=0,$C$9,IF(AND($C$14&lt;&gt;"",K84&gt;=$C$14),$C$15,IF(AND($C$12&lt;&gt;"",K84&gt;=$C$12),$C$13,$C$11))))</f>
        <v/>
      </c>
      <c r="M84" s="13" t="str">
        <f aca="false">IF(K84="","",IF(OR(ISNUMBER(SEARCH("full",L84)),UPPER(TRIM(L84))="FT",UPPER(TRIM(L84))="FTE"),"FT",IF(AND(OR(ISNUMBER(SEARCH("part",L84)),UPPER(TRIM(L84))="PT",UPPER(TRIM(L84))="PTE"),OR($C$10="",N($C$10)&gt;=PT_MinHours)),"PT","None")))</f>
        <v/>
      </c>
      <c r="N84" s="13" t="n">
        <f aca="false">IF(I84&lt;FT_Y5,1,IF(MOD(I84-FT_Y5,12)=0,FT_AnnivDays,1))</f>
        <v>1</v>
      </c>
      <c r="O84" s="13" t="str">
        <f aca="false">IF(K84="","",IF(AND(M84="FT",K84&lt;=AsOfDate),N84,0))</f>
        <v/>
      </c>
      <c r="Q84" s="13" t="n">
        <v>65</v>
      </c>
      <c r="R84" s="13" t="n">
        <f aca="false">PT_First+PT_Int*64</f>
        <v>316</v>
      </c>
      <c r="S84" s="13" t="str">
        <f aca="false">INT(R84/12)&amp;"y "&amp;MOD(R84,12)&amp;"m"</f>
        <v>26y 4m</v>
      </c>
      <c r="T84" s="11" t="str">
        <f aca="false">IF(OR($C$6&lt;&gt;"Yes",$C$8=""),"",EDATE($C$8,R84))</f>
        <v/>
      </c>
      <c r="U84" s="13" t="str">
        <f aca="false">IF(T84="","",IF($C$16=0,$C$9,IF(AND($C$14&lt;&gt;"",T84&gt;=$C$14),$C$15,IF(AND($C$12&lt;&gt;"",T84&gt;=$C$12),$C$13,$C$11))))</f>
        <v/>
      </c>
      <c r="V84" s="13" t="str">
        <f aca="false">IF(T84="","",IF(OR(ISNUMBER(SEARCH("full",U84)),UPPER(TRIM(U84))="FT",UPPER(TRIM(U84))="FTE"),"FT",IF(AND(OR(ISNUMBER(SEARCH("part",U84)),UPPER(TRIM(U84))="PT",UPPER(TRIM(U84))="PTE"),OR($C$10="",N($C$10)&gt;=PT_MinHours)),"PT","None")))</f>
        <v/>
      </c>
      <c r="W84" s="13" t="n">
        <v>1</v>
      </c>
      <c r="X84" s="13" t="str">
        <f aca="false">IF(T84="","",IF(AND(V84="PT",T84&lt;=AsOfDate),W84,0))</f>
        <v/>
      </c>
      <c r="Z84" s="16" t="n">
        <f aca="false">I84</f>
        <v>234</v>
      </c>
      <c r="AA84" s="16" t="n">
        <f aca="false">SMALL($Z$20:$Z$199,65)</f>
        <v>159</v>
      </c>
      <c r="AB84" s="16" t="str">
        <f aca="false">IF(65-COUNTIF($Z$20:$Z$199,"&lt;"&amp;AA84)=1,IF(COUNTIF($I$20:$I$109,AA84)&gt;0,"FT","PT"),"PT")</f>
        <v>FT</v>
      </c>
      <c r="AC84" s="16" t="n">
        <f aca="false">IF(AB84="FT",INDEX($N$20:$N$109,MATCH(AA84,$I$20:$I$109,0)),1)</f>
        <v>1</v>
      </c>
    </row>
    <row r="85" customFormat="false" ht="15" hidden="false" customHeight="false" outlineLevel="0" collapsed="false">
      <c r="H85" s="13" t="n">
        <v>66</v>
      </c>
      <c r="I85" s="13" t="n">
        <f aca="false">IF(65&lt;FT_PreY5,FT_First+FT_Int1*65,FT_Y5+FT_Int2*(65-FT_PreY5))</f>
        <v>237</v>
      </c>
      <c r="J85" s="13" t="str">
        <f aca="false">INT(I85/12)&amp;"y "&amp;MOD(I85,12)&amp;"m"</f>
        <v>19y 9m</v>
      </c>
      <c r="K85" s="11" t="str">
        <f aca="false">IF(OR($C$6&lt;&gt;"Yes",$C$8=""),"",EDATE($C$8,I85))</f>
        <v/>
      </c>
      <c r="L85" s="13" t="str">
        <f aca="false">IF(K85="","",IF($C$16=0,$C$9,IF(AND($C$14&lt;&gt;"",K85&gt;=$C$14),$C$15,IF(AND($C$12&lt;&gt;"",K85&gt;=$C$12),$C$13,$C$11))))</f>
        <v/>
      </c>
      <c r="M85" s="13" t="str">
        <f aca="false">IF(K85="","",IF(OR(ISNUMBER(SEARCH("full",L85)),UPPER(TRIM(L85))="FT",UPPER(TRIM(L85))="FTE"),"FT",IF(AND(OR(ISNUMBER(SEARCH("part",L85)),UPPER(TRIM(L85))="PT",UPPER(TRIM(L85))="PTE"),OR($C$10="",N($C$10)&gt;=PT_MinHours)),"PT","None")))</f>
        <v/>
      </c>
      <c r="N85" s="13" t="n">
        <f aca="false">IF(I85&lt;FT_Y5,1,IF(MOD(I85-FT_Y5,12)=0,FT_AnnivDays,1))</f>
        <v>1</v>
      </c>
      <c r="O85" s="13" t="str">
        <f aca="false">IF(K85="","",IF(AND(M85="FT",K85&lt;=AsOfDate),N85,0))</f>
        <v/>
      </c>
      <c r="Q85" s="13" t="n">
        <v>66</v>
      </c>
      <c r="R85" s="13" t="n">
        <f aca="false">PT_First+PT_Int*65</f>
        <v>320</v>
      </c>
      <c r="S85" s="13" t="str">
        <f aca="false">INT(R85/12)&amp;"y "&amp;MOD(R85,12)&amp;"m"</f>
        <v>26y 8m</v>
      </c>
      <c r="T85" s="11" t="str">
        <f aca="false">IF(OR($C$6&lt;&gt;"Yes",$C$8=""),"",EDATE($C$8,R85))</f>
        <v/>
      </c>
      <c r="U85" s="13" t="str">
        <f aca="false">IF(T85="","",IF($C$16=0,$C$9,IF(AND($C$14&lt;&gt;"",T85&gt;=$C$14),$C$15,IF(AND($C$12&lt;&gt;"",T85&gt;=$C$12),$C$13,$C$11))))</f>
        <v/>
      </c>
      <c r="V85" s="13" t="str">
        <f aca="false">IF(T85="","",IF(OR(ISNUMBER(SEARCH("full",U85)),UPPER(TRIM(U85))="FT",UPPER(TRIM(U85))="FTE"),"FT",IF(AND(OR(ISNUMBER(SEARCH("part",U85)),UPPER(TRIM(U85))="PT",UPPER(TRIM(U85))="PTE"),OR($C$10="",N($C$10)&gt;=PT_MinHours)),"PT","None")))</f>
        <v/>
      </c>
      <c r="W85" s="13" t="n">
        <v>1</v>
      </c>
      <c r="X85" s="13" t="str">
        <f aca="false">IF(T85="","",IF(AND(V85="PT",T85&lt;=AsOfDate),W85,0))</f>
        <v/>
      </c>
      <c r="Z85" s="16" t="n">
        <f aca="false">I85</f>
        <v>237</v>
      </c>
      <c r="AA85" s="16" t="n">
        <f aca="false">SMALL($Z$20:$Z$199,66)</f>
        <v>160</v>
      </c>
      <c r="AB85" s="16" t="str">
        <f aca="false">IF(66-COUNTIF($Z$20:$Z$199,"&lt;"&amp;AA85)=1,IF(COUNTIF($I$20:$I$109,AA85)&gt;0,"FT","PT"),"PT")</f>
        <v>PT</v>
      </c>
      <c r="AC85" s="16" t="n">
        <f aca="false">IF(AB85="FT",INDEX($N$20:$N$109,MATCH(AA85,$I$20:$I$109,0)),1)</f>
        <v>1</v>
      </c>
    </row>
    <row r="86" customFormat="false" ht="15" hidden="false" customHeight="false" outlineLevel="0" collapsed="false">
      <c r="H86" s="13" t="n">
        <v>67</v>
      </c>
      <c r="I86" s="13" t="n">
        <f aca="false">IF(66&lt;FT_PreY5,FT_First+FT_Int1*66,FT_Y5+FT_Int2*(66-FT_PreY5))</f>
        <v>240</v>
      </c>
      <c r="J86" s="13" t="str">
        <f aca="false">INT(I86/12)&amp;"y "&amp;MOD(I86,12)&amp;"m"</f>
        <v>20y 0m</v>
      </c>
      <c r="K86" s="11" t="str">
        <f aca="false">IF(OR($C$6&lt;&gt;"Yes",$C$8=""),"",EDATE($C$8,I86))</f>
        <v/>
      </c>
      <c r="L86" s="13" t="str">
        <f aca="false">IF(K86="","",IF($C$16=0,$C$9,IF(AND($C$14&lt;&gt;"",K86&gt;=$C$14),$C$15,IF(AND($C$12&lt;&gt;"",K86&gt;=$C$12),$C$13,$C$11))))</f>
        <v/>
      </c>
      <c r="M86" s="13" t="str">
        <f aca="false">IF(K86="","",IF(OR(ISNUMBER(SEARCH("full",L86)),UPPER(TRIM(L86))="FT",UPPER(TRIM(L86))="FTE"),"FT",IF(AND(OR(ISNUMBER(SEARCH("part",L86)),UPPER(TRIM(L86))="PT",UPPER(TRIM(L86))="PTE"),OR($C$10="",N($C$10)&gt;=PT_MinHours)),"PT","None")))</f>
        <v/>
      </c>
      <c r="N86" s="13" t="n">
        <f aca="false">IF(I86&lt;FT_Y5,1,IF(MOD(I86-FT_Y5,12)=0,FT_AnnivDays,1))</f>
        <v>2</v>
      </c>
      <c r="O86" s="13" t="str">
        <f aca="false">IF(K86="","",IF(AND(M86="FT",K86&lt;=AsOfDate),N86,0))</f>
        <v/>
      </c>
      <c r="Q86" s="13" t="n">
        <v>67</v>
      </c>
      <c r="R86" s="13" t="n">
        <f aca="false">PT_First+PT_Int*66</f>
        <v>324</v>
      </c>
      <c r="S86" s="13" t="str">
        <f aca="false">INT(R86/12)&amp;"y "&amp;MOD(R86,12)&amp;"m"</f>
        <v>27y 0m</v>
      </c>
      <c r="T86" s="11" t="str">
        <f aca="false">IF(OR($C$6&lt;&gt;"Yes",$C$8=""),"",EDATE($C$8,R86))</f>
        <v/>
      </c>
      <c r="U86" s="13" t="str">
        <f aca="false">IF(T86="","",IF($C$16=0,$C$9,IF(AND($C$14&lt;&gt;"",T86&gt;=$C$14),$C$15,IF(AND($C$12&lt;&gt;"",T86&gt;=$C$12),$C$13,$C$11))))</f>
        <v/>
      </c>
      <c r="V86" s="13" t="str">
        <f aca="false">IF(T86="","",IF(OR(ISNUMBER(SEARCH("full",U86)),UPPER(TRIM(U86))="FT",UPPER(TRIM(U86))="FTE"),"FT",IF(AND(OR(ISNUMBER(SEARCH("part",U86)),UPPER(TRIM(U86))="PT",UPPER(TRIM(U86))="PTE"),OR($C$10="",N($C$10)&gt;=PT_MinHours)),"PT","None")))</f>
        <v/>
      </c>
      <c r="W86" s="13" t="n">
        <v>1</v>
      </c>
      <c r="X86" s="13" t="str">
        <f aca="false">IF(T86="","",IF(AND(V86="PT",T86&lt;=AsOfDate),W86,0))</f>
        <v/>
      </c>
      <c r="Z86" s="16" t="n">
        <f aca="false">I86</f>
        <v>240</v>
      </c>
      <c r="AA86" s="16" t="n">
        <f aca="false">SMALL($Z$20:$Z$199,67)</f>
        <v>162</v>
      </c>
      <c r="AB86" s="16" t="str">
        <f aca="false">IF(67-COUNTIF($Z$20:$Z$199,"&lt;"&amp;AA86)=1,IF(COUNTIF($I$20:$I$109,AA86)&gt;0,"FT","PT"),"PT")</f>
        <v>FT</v>
      </c>
      <c r="AC86" s="16" t="n">
        <f aca="false">IF(AB86="FT",INDEX($N$20:$N$109,MATCH(AA86,$I$20:$I$109,0)),1)</f>
        <v>1</v>
      </c>
    </row>
    <row r="87" customFormat="false" ht="15" hidden="false" customHeight="false" outlineLevel="0" collapsed="false">
      <c r="H87" s="13" t="n">
        <v>68</v>
      </c>
      <c r="I87" s="13" t="n">
        <f aca="false">IF(67&lt;FT_PreY5,FT_First+FT_Int1*67,FT_Y5+FT_Int2*(67-FT_PreY5))</f>
        <v>243</v>
      </c>
      <c r="J87" s="13" t="str">
        <f aca="false">INT(I87/12)&amp;"y "&amp;MOD(I87,12)&amp;"m"</f>
        <v>20y 3m</v>
      </c>
      <c r="K87" s="11" t="str">
        <f aca="false">IF(OR($C$6&lt;&gt;"Yes",$C$8=""),"",EDATE($C$8,I87))</f>
        <v/>
      </c>
      <c r="L87" s="13" t="str">
        <f aca="false">IF(K87="","",IF($C$16=0,$C$9,IF(AND($C$14&lt;&gt;"",K87&gt;=$C$14),$C$15,IF(AND($C$12&lt;&gt;"",K87&gt;=$C$12),$C$13,$C$11))))</f>
        <v/>
      </c>
      <c r="M87" s="13" t="str">
        <f aca="false">IF(K87="","",IF(OR(ISNUMBER(SEARCH("full",L87)),UPPER(TRIM(L87))="FT",UPPER(TRIM(L87))="FTE"),"FT",IF(AND(OR(ISNUMBER(SEARCH("part",L87)),UPPER(TRIM(L87))="PT",UPPER(TRIM(L87))="PTE"),OR($C$10="",N($C$10)&gt;=PT_MinHours)),"PT","None")))</f>
        <v/>
      </c>
      <c r="N87" s="13" t="n">
        <f aca="false">IF(I87&lt;FT_Y5,1,IF(MOD(I87-FT_Y5,12)=0,FT_AnnivDays,1))</f>
        <v>1</v>
      </c>
      <c r="O87" s="13" t="str">
        <f aca="false">IF(K87="","",IF(AND(M87="FT",K87&lt;=AsOfDate),N87,0))</f>
        <v/>
      </c>
      <c r="Q87" s="13" t="n">
        <v>68</v>
      </c>
      <c r="R87" s="13" t="n">
        <f aca="false">PT_First+PT_Int*67</f>
        <v>328</v>
      </c>
      <c r="S87" s="13" t="str">
        <f aca="false">INT(R87/12)&amp;"y "&amp;MOD(R87,12)&amp;"m"</f>
        <v>27y 4m</v>
      </c>
      <c r="T87" s="11" t="str">
        <f aca="false">IF(OR($C$6&lt;&gt;"Yes",$C$8=""),"",EDATE($C$8,R87))</f>
        <v/>
      </c>
      <c r="U87" s="13" t="str">
        <f aca="false">IF(T87="","",IF($C$16=0,$C$9,IF(AND($C$14&lt;&gt;"",T87&gt;=$C$14),$C$15,IF(AND($C$12&lt;&gt;"",T87&gt;=$C$12),$C$13,$C$11))))</f>
        <v/>
      </c>
      <c r="V87" s="13" t="str">
        <f aca="false">IF(T87="","",IF(OR(ISNUMBER(SEARCH("full",U87)),UPPER(TRIM(U87))="FT",UPPER(TRIM(U87))="FTE"),"FT",IF(AND(OR(ISNUMBER(SEARCH("part",U87)),UPPER(TRIM(U87))="PT",UPPER(TRIM(U87))="PTE"),OR($C$10="",N($C$10)&gt;=PT_MinHours)),"PT","None")))</f>
        <v/>
      </c>
      <c r="W87" s="13" t="n">
        <v>1</v>
      </c>
      <c r="X87" s="13" t="str">
        <f aca="false">IF(T87="","",IF(AND(V87="PT",T87&lt;=AsOfDate),W87,0))</f>
        <v/>
      </c>
      <c r="Z87" s="16" t="n">
        <f aca="false">I87</f>
        <v>243</v>
      </c>
      <c r="AA87" s="16" t="n">
        <f aca="false">SMALL($Z$20:$Z$199,68)</f>
        <v>164</v>
      </c>
      <c r="AB87" s="16" t="str">
        <f aca="false">IF(68-COUNTIF($Z$20:$Z$199,"&lt;"&amp;AA87)=1,IF(COUNTIF($I$20:$I$109,AA87)&gt;0,"FT","PT"),"PT")</f>
        <v>PT</v>
      </c>
      <c r="AC87" s="16" t="n">
        <f aca="false">IF(AB87="FT",INDEX($N$20:$N$109,MATCH(AA87,$I$20:$I$109,0)),1)</f>
        <v>1</v>
      </c>
    </row>
    <row r="88" customFormat="false" ht="15" hidden="false" customHeight="false" outlineLevel="0" collapsed="false">
      <c r="H88" s="13" t="n">
        <v>69</v>
      </c>
      <c r="I88" s="13" t="n">
        <f aca="false">IF(68&lt;FT_PreY5,FT_First+FT_Int1*68,FT_Y5+FT_Int2*(68-FT_PreY5))</f>
        <v>246</v>
      </c>
      <c r="J88" s="13" t="str">
        <f aca="false">INT(I88/12)&amp;"y "&amp;MOD(I88,12)&amp;"m"</f>
        <v>20y 6m</v>
      </c>
      <c r="K88" s="11" t="str">
        <f aca="false">IF(OR($C$6&lt;&gt;"Yes",$C$8=""),"",EDATE($C$8,I88))</f>
        <v/>
      </c>
      <c r="L88" s="13" t="str">
        <f aca="false">IF(K88="","",IF($C$16=0,$C$9,IF(AND($C$14&lt;&gt;"",K88&gt;=$C$14),$C$15,IF(AND($C$12&lt;&gt;"",K88&gt;=$C$12),$C$13,$C$11))))</f>
        <v/>
      </c>
      <c r="M88" s="13" t="str">
        <f aca="false">IF(K88="","",IF(OR(ISNUMBER(SEARCH("full",L88)),UPPER(TRIM(L88))="FT",UPPER(TRIM(L88))="FTE"),"FT",IF(AND(OR(ISNUMBER(SEARCH("part",L88)),UPPER(TRIM(L88))="PT",UPPER(TRIM(L88))="PTE"),OR($C$10="",N($C$10)&gt;=PT_MinHours)),"PT","None")))</f>
        <v/>
      </c>
      <c r="N88" s="13" t="n">
        <f aca="false">IF(I88&lt;FT_Y5,1,IF(MOD(I88-FT_Y5,12)=0,FT_AnnivDays,1))</f>
        <v>1</v>
      </c>
      <c r="O88" s="13" t="str">
        <f aca="false">IF(K88="","",IF(AND(M88="FT",K88&lt;=AsOfDate),N88,0))</f>
        <v/>
      </c>
      <c r="Q88" s="13" t="n">
        <v>69</v>
      </c>
      <c r="R88" s="13" t="n">
        <f aca="false">PT_First+PT_Int*68</f>
        <v>332</v>
      </c>
      <c r="S88" s="13" t="str">
        <f aca="false">INT(R88/12)&amp;"y "&amp;MOD(R88,12)&amp;"m"</f>
        <v>27y 8m</v>
      </c>
      <c r="T88" s="11" t="str">
        <f aca="false">IF(OR($C$6&lt;&gt;"Yes",$C$8=""),"",EDATE($C$8,R88))</f>
        <v/>
      </c>
      <c r="U88" s="13" t="str">
        <f aca="false">IF(T88="","",IF($C$16=0,$C$9,IF(AND($C$14&lt;&gt;"",T88&gt;=$C$14),$C$15,IF(AND($C$12&lt;&gt;"",T88&gt;=$C$12),$C$13,$C$11))))</f>
        <v/>
      </c>
      <c r="V88" s="13" t="str">
        <f aca="false">IF(T88="","",IF(OR(ISNUMBER(SEARCH("full",U88)),UPPER(TRIM(U88))="FT",UPPER(TRIM(U88))="FTE"),"FT",IF(AND(OR(ISNUMBER(SEARCH("part",U88)),UPPER(TRIM(U88))="PT",UPPER(TRIM(U88))="PTE"),OR($C$10="",N($C$10)&gt;=PT_MinHours)),"PT","None")))</f>
        <v/>
      </c>
      <c r="W88" s="13" t="n">
        <v>1</v>
      </c>
      <c r="X88" s="13" t="str">
        <f aca="false">IF(T88="","",IF(AND(V88="PT",T88&lt;=AsOfDate),W88,0))</f>
        <v/>
      </c>
      <c r="Z88" s="16" t="n">
        <f aca="false">I88</f>
        <v>246</v>
      </c>
      <c r="AA88" s="16" t="n">
        <f aca="false">SMALL($Z$20:$Z$199,69)</f>
        <v>165</v>
      </c>
      <c r="AB88" s="16" t="str">
        <f aca="false">IF(69-COUNTIF($Z$20:$Z$199,"&lt;"&amp;AA88)=1,IF(COUNTIF($I$20:$I$109,AA88)&gt;0,"FT","PT"),"PT")</f>
        <v>FT</v>
      </c>
      <c r="AC88" s="16" t="n">
        <f aca="false">IF(AB88="FT",INDEX($N$20:$N$109,MATCH(AA88,$I$20:$I$109,0)),1)</f>
        <v>1</v>
      </c>
    </row>
    <row r="89" customFormat="false" ht="15" hidden="false" customHeight="false" outlineLevel="0" collapsed="false">
      <c r="H89" s="13" t="n">
        <v>70</v>
      </c>
      <c r="I89" s="13" t="n">
        <f aca="false">IF(69&lt;FT_PreY5,FT_First+FT_Int1*69,FT_Y5+FT_Int2*(69-FT_PreY5))</f>
        <v>249</v>
      </c>
      <c r="J89" s="13" t="str">
        <f aca="false">INT(I89/12)&amp;"y "&amp;MOD(I89,12)&amp;"m"</f>
        <v>20y 9m</v>
      </c>
      <c r="K89" s="11" t="str">
        <f aca="false">IF(OR($C$6&lt;&gt;"Yes",$C$8=""),"",EDATE($C$8,I89))</f>
        <v/>
      </c>
      <c r="L89" s="13" t="str">
        <f aca="false">IF(K89="","",IF($C$16=0,$C$9,IF(AND($C$14&lt;&gt;"",K89&gt;=$C$14),$C$15,IF(AND($C$12&lt;&gt;"",K89&gt;=$C$12),$C$13,$C$11))))</f>
        <v/>
      </c>
      <c r="M89" s="13" t="str">
        <f aca="false">IF(K89="","",IF(OR(ISNUMBER(SEARCH("full",L89)),UPPER(TRIM(L89))="FT",UPPER(TRIM(L89))="FTE"),"FT",IF(AND(OR(ISNUMBER(SEARCH("part",L89)),UPPER(TRIM(L89))="PT",UPPER(TRIM(L89))="PTE"),OR($C$10="",N($C$10)&gt;=PT_MinHours)),"PT","None")))</f>
        <v/>
      </c>
      <c r="N89" s="13" t="n">
        <f aca="false">IF(I89&lt;FT_Y5,1,IF(MOD(I89-FT_Y5,12)=0,FT_AnnivDays,1))</f>
        <v>1</v>
      </c>
      <c r="O89" s="13" t="str">
        <f aca="false">IF(K89="","",IF(AND(M89="FT",K89&lt;=AsOfDate),N89,0))</f>
        <v/>
      </c>
      <c r="Q89" s="13" t="n">
        <v>70</v>
      </c>
      <c r="R89" s="13" t="n">
        <f aca="false">PT_First+PT_Int*69</f>
        <v>336</v>
      </c>
      <c r="S89" s="13" t="str">
        <f aca="false">INT(R89/12)&amp;"y "&amp;MOD(R89,12)&amp;"m"</f>
        <v>28y 0m</v>
      </c>
      <c r="T89" s="11" t="str">
        <f aca="false">IF(OR($C$6&lt;&gt;"Yes",$C$8=""),"",EDATE($C$8,R89))</f>
        <v/>
      </c>
      <c r="U89" s="13" t="str">
        <f aca="false">IF(T89="","",IF($C$16=0,$C$9,IF(AND($C$14&lt;&gt;"",T89&gt;=$C$14),$C$15,IF(AND($C$12&lt;&gt;"",T89&gt;=$C$12),$C$13,$C$11))))</f>
        <v/>
      </c>
      <c r="V89" s="13" t="str">
        <f aca="false">IF(T89="","",IF(OR(ISNUMBER(SEARCH("full",U89)),UPPER(TRIM(U89))="FT",UPPER(TRIM(U89))="FTE"),"FT",IF(AND(OR(ISNUMBER(SEARCH("part",U89)),UPPER(TRIM(U89))="PT",UPPER(TRIM(U89))="PTE"),OR($C$10="",N($C$10)&gt;=PT_MinHours)),"PT","None")))</f>
        <v/>
      </c>
      <c r="W89" s="13" t="n">
        <v>1</v>
      </c>
      <c r="X89" s="13" t="str">
        <f aca="false">IF(T89="","",IF(AND(V89="PT",T89&lt;=AsOfDate),W89,0))</f>
        <v/>
      </c>
      <c r="Z89" s="16" t="n">
        <f aca="false">I89</f>
        <v>249</v>
      </c>
      <c r="AA89" s="16" t="n">
        <f aca="false">SMALL($Z$20:$Z$199,70)</f>
        <v>168</v>
      </c>
      <c r="AB89" s="16" t="str">
        <f aca="false">IF(70-COUNTIF($Z$20:$Z$199,"&lt;"&amp;AA89)=1,IF(COUNTIF($I$20:$I$109,AA89)&gt;0,"FT","PT"),"PT")</f>
        <v>FT</v>
      </c>
      <c r="AC89" s="16" t="n">
        <f aca="false">IF(AB89="FT",INDEX($N$20:$N$109,MATCH(AA89,$I$20:$I$109,0)),1)</f>
        <v>2</v>
      </c>
    </row>
    <row r="90" customFormat="false" ht="15" hidden="false" customHeight="false" outlineLevel="0" collapsed="false">
      <c r="H90" s="13" t="n">
        <v>71</v>
      </c>
      <c r="I90" s="13" t="n">
        <f aca="false">IF(70&lt;FT_PreY5,FT_First+FT_Int1*70,FT_Y5+FT_Int2*(70-FT_PreY5))</f>
        <v>252</v>
      </c>
      <c r="J90" s="13" t="str">
        <f aca="false">INT(I90/12)&amp;"y "&amp;MOD(I90,12)&amp;"m"</f>
        <v>21y 0m</v>
      </c>
      <c r="K90" s="11" t="str">
        <f aca="false">IF(OR($C$6&lt;&gt;"Yes",$C$8=""),"",EDATE($C$8,I90))</f>
        <v/>
      </c>
      <c r="L90" s="13" t="str">
        <f aca="false">IF(K90="","",IF($C$16=0,$C$9,IF(AND($C$14&lt;&gt;"",K90&gt;=$C$14),$C$15,IF(AND($C$12&lt;&gt;"",K90&gt;=$C$12),$C$13,$C$11))))</f>
        <v/>
      </c>
      <c r="M90" s="13" t="str">
        <f aca="false">IF(K90="","",IF(OR(ISNUMBER(SEARCH("full",L90)),UPPER(TRIM(L90))="FT",UPPER(TRIM(L90))="FTE"),"FT",IF(AND(OR(ISNUMBER(SEARCH("part",L90)),UPPER(TRIM(L90))="PT",UPPER(TRIM(L90))="PTE"),OR($C$10="",N($C$10)&gt;=PT_MinHours)),"PT","None")))</f>
        <v/>
      </c>
      <c r="N90" s="13" t="n">
        <f aca="false">IF(I90&lt;FT_Y5,1,IF(MOD(I90-FT_Y5,12)=0,FT_AnnivDays,1))</f>
        <v>2</v>
      </c>
      <c r="O90" s="13" t="str">
        <f aca="false">IF(K90="","",IF(AND(M90="FT",K90&lt;=AsOfDate),N90,0))</f>
        <v/>
      </c>
      <c r="Q90" s="13" t="n">
        <v>71</v>
      </c>
      <c r="R90" s="13" t="n">
        <f aca="false">PT_First+PT_Int*70</f>
        <v>340</v>
      </c>
      <c r="S90" s="13" t="str">
        <f aca="false">INT(R90/12)&amp;"y "&amp;MOD(R90,12)&amp;"m"</f>
        <v>28y 4m</v>
      </c>
      <c r="T90" s="11" t="str">
        <f aca="false">IF(OR($C$6&lt;&gt;"Yes",$C$8=""),"",EDATE($C$8,R90))</f>
        <v/>
      </c>
      <c r="U90" s="13" t="str">
        <f aca="false">IF(T90="","",IF($C$16=0,$C$9,IF(AND($C$14&lt;&gt;"",T90&gt;=$C$14),$C$15,IF(AND($C$12&lt;&gt;"",T90&gt;=$C$12),$C$13,$C$11))))</f>
        <v/>
      </c>
      <c r="V90" s="13" t="str">
        <f aca="false">IF(T90="","",IF(OR(ISNUMBER(SEARCH("full",U90)),UPPER(TRIM(U90))="FT",UPPER(TRIM(U90))="FTE"),"FT",IF(AND(OR(ISNUMBER(SEARCH("part",U90)),UPPER(TRIM(U90))="PT",UPPER(TRIM(U90))="PTE"),OR($C$10="",N($C$10)&gt;=PT_MinHours)),"PT","None")))</f>
        <v/>
      </c>
      <c r="W90" s="13" t="n">
        <v>1</v>
      </c>
      <c r="X90" s="13" t="str">
        <f aca="false">IF(T90="","",IF(AND(V90="PT",T90&lt;=AsOfDate),W90,0))</f>
        <v/>
      </c>
      <c r="Z90" s="16" t="n">
        <f aca="false">I90</f>
        <v>252</v>
      </c>
      <c r="AA90" s="16" t="n">
        <f aca="false">SMALL($Z$20:$Z$199,71)</f>
        <v>168</v>
      </c>
      <c r="AB90" s="16" t="str">
        <f aca="false">IF(71-COUNTIF($Z$20:$Z$199,"&lt;"&amp;AA90)=1,IF(COUNTIF($I$20:$I$109,AA90)&gt;0,"FT","PT"),"PT")</f>
        <v>PT</v>
      </c>
      <c r="AC90" s="16" t="n">
        <f aca="false">IF(AB90="FT",INDEX($N$20:$N$109,MATCH(AA90,$I$20:$I$109,0)),1)</f>
        <v>1</v>
      </c>
    </row>
    <row r="91" customFormat="false" ht="15" hidden="false" customHeight="false" outlineLevel="0" collapsed="false">
      <c r="H91" s="13" t="n">
        <v>72</v>
      </c>
      <c r="I91" s="13" t="n">
        <f aca="false">IF(71&lt;FT_PreY5,FT_First+FT_Int1*71,FT_Y5+FT_Int2*(71-FT_PreY5))</f>
        <v>255</v>
      </c>
      <c r="J91" s="13" t="str">
        <f aca="false">INT(I91/12)&amp;"y "&amp;MOD(I91,12)&amp;"m"</f>
        <v>21y 3m</v>
      </c>
      <c r="K91" s="11" t="str">
        <f aca="false">IF(OR($C$6&lt;&gt;"Yes",$C$8=""),"",EDATE($C$8,I91))</f>
        <v/>
      </c>
      <c r="L91" s="13" t="str">
        <f aca="false">IF(K91="","",IF($C$16=0,$C$9,IF(AND($C$14&lt;&gt;"",K91&gt;=$C$14),$C$15,IF(AND($C$12&lt;&gt;"",K91&gt;=$C$12),$C$13,$C$11))))</f>
        <v/>
      </c>
      <c r="M91" s="13" t="str">
        <f aca="false">IF(K91="","",IF(OR(ISNUMBER(SEARCH("full",L91)),UPPER(TRIM(L91))="FT",UPPER(TRIM(L91))="FTE"),"FT",IF(AND(OR(ISNUMBER(SEARCH("part",L91)),UPPER(TRIM(L91))="PT",UPPER(TRIM(L91))="PTE"),OR($C$10="",N($C$10)&gt;=PT_MinHours)),"PT","None")))</f>
        <v/>
      </c>
      <c r="N91" s="13" t="n">
        <f aca="false">IF(I91&lt;FT_Y5,1,IF(MOD(I91-FT_Y5,12)=0,FT_AnnivDays,1))</f>
        <v>1</v>
      </c>
      <c r="O91" s="13" t="str">
        <f aca="false">IF(K91="","",IF(AND(M91="FT",K91&lt;=AsOfDate),N91,0))</f>
        <v/>
      </c>
      <c r="Q91" s="13" t="n">
        <v>72</v>
      </c>
      <c r="R91" s="13" t="n">
        <f aca="false">PT_First+PT_Int*71</f>
        <v>344</v>
      </c>
      <c r="S91" s="13" t="str">
        <f aca="false">INT(R91/12)&amp;"y "&amp;MOD(R91,12)&amp;"m"</f>
        <v>28y 8m</v>
      </c>
      <c r="T91" s="11" t="str">
        <f aca="false">IF(OR($C$6&lt;&gt;"Yes",$C$8=""),"",EDATE($C$8,R91))</f>
        <v/>
      </c>
      <c r="U91" s="13" t="str">
        <f aca="false">IF(T91="","",IF($C$16=0,$C$9,IF(AND($C$14&lt;&gt;"",T91&gt;=$C$14),$C$15,IF(AND($C$12&lt;&gt;"",T91&gt;=$C$12),$C$13,$C$11))))</f>
        <v/>
      </c>
      <c r="V91" s="13" t="str">
        <f aca="false">IF(T91="","",IF(OR(ISNUMBER(SEARCH("full",U91)),UPPER(TRIM(U91))="FT",UPPER(TRIM(U91))="FTE"),"FT",IF(AND(OR(ISNUMBER(SEARCH("part",U91)),UPPER(TRIM(U91))="PT",UPPER(TRIM(U91))="PTE"),OR($C$10="",N($C$10)&gt;=PT_MinHours)),"PT","None")))</f>
        <v/>
      </c>
      <c r="W91" s="13" t="n">
        <v>1</v>
      </c>
      <c r="X91" s="13" t="str">
        <f aca="false">IF(T91="","",IF(AND(V91="PT",T91&lt;=AsOfDate),W91,0))</f>
        <v/>
      </c>
      <c r="Z91" s="16" t="n">
        <f aca="false">I91</f>
        <v>255</v>
      </c>
      <c r="AA91" s="16" t="n">
        <f aca="false">SMALL($Z$20:$Z$199,72)</f>
        <v>171</v>
      </c>
      <c r="AB91" s="16" t="str">
        <f aca="false">IF(72-COUNTIF($Z$20:$Z$199,"&lt;"&amp;AA91)=1,IF(COUNTIF($I$20:$I$109,AA91)&gt;0,"FT","PT"),"PT")</f>
        <v>FT</v>
      </c>
      <c r="AC91" s="16" t="n">
        <f aca="false">IF(AB91="FT",INDEX($N$20:$N$109,MATCH(AA91,$I$20:$I$109,0)),1)</f>
        <v>1</v>
      </c>
    </row>
    <row r="92" customFormat="false" ht="15" hidden="false" customHeight="false" outlineLevel="0" collapsed="false">
      <c r="H92" s="13" t="n">
        <v>73</v>
      </c>
      <c r="I92" s="13" t="n">
        <f aca="false">IF(72&lt;FT_PreY5,FT_First+FT_Int1*72,FT_Y5+FT_Int2*(72-FT_PreY5))</f>
        <v>258</v>
      </c>
      <c r="J92" s="13" t="str">
        <f aca="false">INT(I92/12)&amp;"y "&amp;MOD(I92,12)&amp;"m"</f>
        <v>21y 6m</v>
      </c>
      <c r="K92" s="11" t="str">
        <f aca="false">IF(OR($C$6&lt;&gt;"Yes",$C$8=""),"",EDATE($C$8,I92))</f>
        <v/>
      </c>
      <c r="L92" s="13" t="str">
        <f aca="false">IF(K92="","",IF($C$16=0,$C$9,IF(AND($C$14&lt;&gt;"",K92&gt;=$C$14),$C$15,IF(AND($C$12&lt;&gt;"",K92&gt;=$C$12),$C$13,$C$11))))</f>
        <v/>
      </c>
      <c r="M92" s="13" t="str">
        <f aca="false">IF(K92="","",IF(OR(ISNUMBER(SEARCH("full",L92)),UPPER(TRIM(L92))="FT",UPPER(TRIM(L92))="FTE"),"FT",IF(AND(OR(ISNUMBER(SEARCH("part",L92)),UPPER(TRIM(L92))="PT",UPPER(TRIM(L92))="PTE"),OR($C$10="",N($C$10)&gt;=PT_MinHours)),"PT","None")))</f>
        <v/>
      </c>
      <c r="N92" s="13" t="n">
        <f aca="false">IF(I92&lt;FT_Y5,1,IF(MOD(I92-FT_Y5,12)=0,FT_AnnivDays,1))</f>
        <v>1</v>
      </c>
      <c r="O92" s="13" t="str">
        <f aca="false">IF(K92="","",IF(AND(M92="FT",K92&lt;=AsOfDate),N92,0))</f>
        <v/>
      </c>
      <c r="Q92" s="13" t="n">
        <v>73</v>
      </c>
      <c r="R92" s="13" t="n">
        <f aca="false">PT_First+PT_Int*72</f>
        <v>348</v>
      </c>
      <c r="S92" s="13" t="str">
        <f aca="false">INT(R92/12)&amp;"y "&amp;MOD(R92,12)&amp;"m"</f>
        <v>29y 0m</v>
      </c>
      <c r="T92" s="11" t="str">
        <f aca="false">IF(OR($C$6&lt;&gt;"Yes",$C$8=""),"",EDATE($C$8,R92))</f>
        <v/>
      </c>
      <c r="U92" s="13" t="str">
        <f aca="false">IF(T92="","",IF($C$16=0,$C$9,IF(AND($C$14&lt;&gt;"",T92&gt;=$C$14),$C$15,IF(AND($C$12&lt;&gt;"",T92&gt;=$C$12),$C$13,$C$11))))</f>
        <v/>
      </c>
      <c r="V92" s="13" t="str">
        <f aca="false">IF(T92="","",IF(OR(ISNUMBER(SEARCH("full",U92)),UPPER(TRIM(U92))="FT",UPPER(TRIM(U92))="FTE"),"FT",IF(AND(OR(ISNUMBER(SEARCH("part",U92)),UPPER(TRIM(U92))="PT",UPPER(TRIM(U92))="PTE"),OR($C$10="",N($C$10)&gt;=PT_MinHours)),"PT","None")))</f>
        <v/>
      </c>
      <c r="W92" s="13" t="n">
        <v>1</v>
      </c>
      <c r="X92" s="13" t="str">
        <f aca="false">IF(T92="","",IF(AND(V92="PT",T92&lt;=AsOfDate),W92,0))</f>
        <v/>
      </c>
      <c r="Z92" s="16" t="n">
        <f aca="false">I92</f>
        <v>258</v>
      </c>
      <c r="AA92" s="16" t="n">
        <f aca="false">SMALL($Z$20:$Z$199,73)</f>
        <v>172</v>
      </c>
      <c r="AB92" s="16" t="str">
        <f aca="false">IF(73-COUNTIF($Z$20:$Z$199,"&lt;"&amp;AA92)=1,IF(COUNTIF($I$20:$I$109,AA92)&gt;0,"FT","PT"),"PT")</f>
        <v>PT</v>
      </c>
      <c r="AC92" s="16" t="n">
        <f aca="false">IF(AB92="FT",INDEX($N$20:$N$109,MATCH(AA92,$I$20:$I$109,0)),1)</f>
        <v>1</v>
      </c>
    </row>
    <row r="93" customFormat="false" ht="15" hidden="false" customHeight="false" outlineLevel="0" collapsed="false">
      <c r="H93" s="13" t="n">
        <v>74</v>
      </c>
      <c r="I93" s="13" t="n">
        <f aca="false">IF(73&lt;FT_PreY5,FT_First+FT_Int1*73,FT_Y5+FT_Int2*(73-FT_PreY5))</f>
        <v>261</v>
      </c>
      <c r="J93" s="13" t="str">
        <f aca="false">INT(I93/12)&amp;"y "&amp;MOD(I93,12)&amp;"m"</f>
        <v>21y 9m</v>
      </c>
      <c r="K93" s="11" t="str">
        <f aca="false">IF(OR($C$6&lt;&gt;"Yes",$C$8=""),"",EDATE($C$8,I93))</f>
        <v/>
      </c>
      <c r="L93" s="13" t="str">
        <f aca="false">IF(K93="","",IF($C$16=0,$C$9,IF(AND($C$14&lt;&gt;"",K93&gt;=$C$14),$C$15,IF(AND($C$12&lt;&gt;"",K93&gt;=$C$12),$C$13,$C$11))))</f>
        <v/>
      </c>
      <c r="M93" s="13" t="str">
        <f aca="false">IF(K93="","",IF(OR(ISNUMBER(SEARCH("full",L93)),UPPER(TRIM(L93))="FT",UPPER(TRIM(L93))="FTE"),"FT",IF(AND(OR(ISNUMBER(SEARCH("part",L93)),UPPER(TRIM(L93))="PT",UPPER(TRIM(L93))="PTE"),OR($C$10="",N($C$10)&gt;=PT_MinHours)),"PT","None")))</f>
        <v/>
      </c>
      <c r="N93" s="13" t="n">
        <f aca="false">IF(I93&lt;FT_Y5,1,IF(MOD(I93-FT_Y5,12)=0,FT_AnnivDays,1))</f>
        <v>1</v>
      </c>
      <c r="O93" s="13" t="str">
        <f aca="false">IF(K93="","",IF(AND(M93="FT",K93&lt;=AsOfDate),N93,0))</f>
        <v/>
      </c>
      <c r="Q93" s="13" t="n">
        <v>74</v>
      </c>
      <c r="R93" s="13" t="n">
        <f aca="false">PT_First+PT_Int*73</f>
        <v>352</v>
      </c>
      <c r="S93" s="13" t="str">
        <f aca="false">INT(R93/12)&amp;"y "&amp;MOD(R93,12)&amp;"m"</f>
        <v>29y 4m</v>
      </c>
      <c r="T93" s="11" t="str">
        <f aca="false">IF(OR($C$6&lt;&gt;"Yes",$C$8=""),"",EDATE($C$8,R93))</f>
        <v/>
      </c>
      <c r="U93" s="13" t="str">
        <f aca="false">IF(T93="","",IF($C$16=0,$C$9,IF(AND($C$14&lt;&gt;"",T93&gt;=$C$14),$C$15,IF(AND($C$12&lt;&gt;"",T93&gt;=$C$12),$C$13,$C$11))))</f>
        <v/>
      </c>
      <c r="V93" s="13" t="str">
        <f aca="false">IF(T93="","",IF(OR(ISNUMBER(SEARCH("full",U93)),UPPER(TRIM(U93))="FT",UPPER(TRIM(U93))="FTE"),"FT",IF(AND(OR(ISNUMBER(SEARCH("part",U93)),UPPER(TRIM(U93))="PT",UPPER(TRIM(U93))="PTE"),OR($C$10="",N($C$10)&gt;=PT_MinHours)),"PT","None")))</f>
        <v/>
      </c>
      <c r="W93" s="13" t="n">
        <v>1</v>
      </c>
      <c r="X93" s="13" t="str">
        <f aca="false">IF(T93="","",IF(AND(V93="PT",T93&lt;=AsOfDate),W93,0))</f>
        <v/>
      </c>
      <c r="Z93" s="16" t="n">
        <f aca="false">I93</f>
        <v>261</v>
      </c>
      <c r="AA93" s="16" t="n">
        <f aca="false">SMALL($Z$20:$Z$199,74)</f>
        <v>174</v>
      </c>
      <c r="AB93" s="16" t="str">
        <f aca="false">IF(74-COUNTIF($Z$20:$Z$199,"&lt;"&amp;AA93)=1,IF(COUNTIF($I$20:$I$109,AA93)&gt;0,"FT","PT"),"PT")</f>
        <v>FT</v>
      </c>
      <c r="AC93" s="16" t="n">
        <f aca="false">IF(AB93="FT",INDEX($N$20:$N$109,MATCH(AA93,$I$20:$I$109,0)),1)</f>
        <v>1</v>
      </c>
    </row>
    <row r="94" customFormat="false" ht="15" hidden="false" customHeight="false" outlineLevel="0" collapsed="false">
      <c r="H94" s="13" t="n">
        <v>75</v>
      </c>
      <c r="I94" s="13" t="n">
        <f aca="false">IF(74&lt;FT_PreY5,FT_First+FT_Int1*74,FT_Y5+FT_Int2*(74-FT_PreY5))</f>
        <v>264</v>
      </c>
      <c r="J94" s="13" t="str">
        <f aca="false">INT(I94/12)&amp;"y "&amp;MOD(I94,12)&amp;"m"</f>
        <v>22y 0m</v>
      </c>
      <c r="K94" s="11" t="str">
        <f aca="false">IF(OR($C$6&lt;&gt;"Yes",$C$8=""),"",EDATE($C$8,I94))</f>
        <v/>
      </c>
      <c r="L94" s="13" t="str">
        <f aca="false">IF(K94="","",IF($C$16=0,$C$9,IF(AND($C$14&lt;&gt;"",K94&gt;=$C$14),$C$15,IF(AND($C$12&lt;&gt;"",K94&gt;=$C$12),$C$13,$C$11))))</f>
        <v/>
      </c>
      <c r="M94" s="13" t="str">
        <f aca="false">IF(K94="","",IF(OR(ISNUMBER(SEARCH("full",L94)),UPPER(TRIM(L94))="FT",UPPER(TRIM(L94))="FTE"),"FT",IF(AND(OR(ISNUMBER(SEARCH("part",L94)),UPPER(TRIM(L94))="PT",UPPER(TRIM(L94))="PTE"),OR($C$10="",N($C$10)&gt;=PT_MinHours)),"PT","None")))</f>
        <v/>
      </c>
      <c r="N94" s="13" t="n">
        <f aca="false">IF(I94&lt;FT_Y5,1,IF(MOD(I94-FT_Y5,12)=0,FT_AnnivDays,1))</f>
        <v>2</v>
      </c>
      <c r="O94" s="13" t="str">
        <f aca="false">IF(K94="","",IF(AND(M94="FT",K94&lt;=AsOfDate),N94,0))</f>
        <v/>
      </c>
      <c r="Q94" s="13" t="n">
        <v>75</v>
      </c>
      <c r="R94" s="13" t="n">
        <f aca="false">PT_First+PT_Int*74</f>
        <v>356</v>
      </c>
      <c r="S94" s="13" t="str">
        <f aca="false">INT(R94/12)&amp;"y "&amp;MOD(R94,12)&amp;"m"</f>
        <v>29y 8m</v>
      </c>
      <c r="T94" s="11" t="str">
        <f aca="false">IF(OR($C$6&lt;&gt;"Yes",$C$8=""),"",EDATE($C$8,R94))</f>
        <v/>
      </c>
      <c r="U94" s="13" t="str">
        <f aca="false">IF(T94="","",IF($C$16=0,$C$9,IF(AND($C$14&lt;&gt;"",T94&gt;=$C$14),$C$15,IF(AND($C$12&lt;&gt;"",T94&gt;=$C$12),$C$13,$C$11))))</f>
        <v/>
      </c>
      <c r="V94" s="13" t="str">
        <f aca="false">IF(T94="","",IF(OR(ISNUMBER(SEARCH("full",U94)),UPPER(TRIM(U94))="FT",UPPER(TRIM(U94))="FTE"),"FT",IF(AND(OR(ISNUMBER(SEARCH("part",U94)),UPPER(TRIM(U94))="PT",UPPER(TRIM(U94))="PTE"),OR($C$10="",N($C$10)&gt;=PT_MinHours)),"PT","None")))</f>
        <v/>
      </c>
      <c r="W94" s="13" t="n">
        <v>1</v>
      </c>
      <c r="X94" s="13" t="str">
        <f aca="false">IF(T94="","",IF(AND(V94="PT",T94&lt;=AsOfDate),W94,0))</f>
        <v/>
      </c>
      <c r="Z94" s="16" t="n">
        <f aca="false">I94</f>
        <v>264</v>
      </c>
      <c r="AA94" s="16" t="n">
        <f aca="false">SMALL($Z$20:$Z$199,75)</f>
        <v>176</v>
      </c>
      <c r="AB94" s="16" t="str">
        <f aca="false">IF(75-COUNTIF($Z$20:$Z$199,"&lt;"&amp;AA94)=1,IF(COUNTIF($I$20:$I$109,AA94)&gt;0,"FT","PT"),"PT")</f>
        <v>PT</v>
      </c>
      <c r="AC94" s="16" t="n">
        <f aca="false">IF(AB94="FT",INDEX($N$20:$N$109,MATCH(AA94,$I$20:$I$109,0)),1)</f>
        <v>1</v>
      </c>
    </row>
    <row r="95" customFormat="false" ht="15" hidden="false" customHeight="false" outlineLevel="0" collapsed="false">
      <c r="H95" s="13" t="n">
        <v>76</v>
      </c>
      <c r="I95" s="13" t="n">
        <f aca="false">IF(75&lt;FT_PreY5,FT_First+FT_Int1*75,FT_Y5+FT_Int2*(75-FT_PreY5))</f>
        <v>267</v>
      </c>
      <c r="J95" s="13" t="str">
        <f aca="false">INT(I95/12)&amp;"y "&amp;MOD(I95,12)&amp;"m"</f>
        <v>22y 3m</v>
      </c>
      <c r="K95" s="11" t="str">
        <f aca="false">IF(OR($C$6&lt;&gt;"Yes",$C$8=""),"",EDATE($C$8,I95))</f>
        <v/>
      </c>
      <c r="L95" s="13" t="str">
        <f aca="false">IF(K95="","",IF($C$16=0,$C$9,IF(AND($C$14&lt;&gt;"",K95&gt;=$C$14),$C$15,IF(AND($C$12&lt;&gt;"",K95&gt;=$C$12),$C$13,$C$11))))</f>
        <v/>
      </c>
      <c r="M95" s="13" t="str">
        <f aca="false">IF(K95="","",IF(OR(ISNUMBER(SEARCH("full",L95)),UPPER(TRIM(L95))="FT",UPPER(TRIM(L95))="FTE"),"FT",IF(AND(OR(ISNUMBER(SEARCH("part",L95)),UPPER(TRIM(L95))="PT",UPPER(TRIM(L95))="PTE"),OR($C$10="",N($C$10)&gt;=PT_MinHours)),"PT","None")))</f>
        <v/>
      </c>
      <c r="N95" s="13" t="n">
        <f aca="false">IF(I95&lt;FT_Y5,1,IF(MOD(I95-FT_Y5,12)=0,FT_AnnivDays,1))</f>
        <v>1</v>
      </c>
      <c r="O95" s="13" t="str">
        <f aca="false">IF(K95="","",IF(AND(M95="FT",K95&lt;=AsOfDate),N95,0))</f>
        <v/>
      </c>
      <c r="Q95" s="13" t="n">
        <v>76</v>
      </c>
      <c r="R95" s="13" t="n">
        <f aca="false">PT_First+PT_Int*75</f>
        <v>360</v>
      </c>
      <c r="S95" s="13" t="str">
        <f aca="false">INT(R95/12)&amp;"y "&amp;MOD(R95,12)&amp;"m"</f>
        <v>30y 0m</v>
      </c>
      <c r="T95" s="11" t="str">
        <f aca="false">IF(OR($C$6&lt;&gt;"Yes",$C$8=""),"",EDATE($C$8,R95))</f>
        <v/>
      </c>
      <c r="U95" s="13" t="str">
        <f aca="false">IF(T95="","",IF($C$16=0,$C$9,IF(AND($C$14&lt;&gt;"",T95&gt;=$C$14),$C$15,IF(AND($C$12&lt;&gt;"",T95&gt;=$C$12),$C$13,$C$11))))</f>
        <v/>
      </c>
      <c r="V95" s="13" t="str">
        <f aca="false">IF(T95="","",IF(OR(ISNUMBER(SEARCH("full",U95)),UPPER(TRIM(U95))="FT",UPPER(TRIM(U95))="FTE"),"FT",IF(AND(OR(ISNUMBER(SEARCH("part",U95)),UPPER(TRIM(U95))="PT",UPPER(TRIM(U95))="PTE"),OR($C$10="",N($C$10)&gt;=PT_MinHours)),"PT","None")))</f>
        <v/>
      </c>
      <c r="W95" s="13" t="n">
        <v>1</v>
      </c>
      <c r="X95" s="13" t="str">
        <f aca="false">IF(T95="","",IF(AND(V95="PT",T95&lt;=AsOfDate),W95,0))</f>
        <v/>
      </c>
      <c r="Z95" s="16" t="n">
        <f aca="false">I95</f>
        <v>267</v>
      </c>
      <c r="AA95" s="16" t="n">
        <f aca="false">SMALL($Z$20:$Z$199,76)</f>
        <v>177</v>
      </c>
      <c r="AB95" s="16" t="str">
        <f aca="false">IF(76-COUNTIF($Z$20:$Z$199,"&lt;"&amp;AA95)=1,IF(COUNTIF($I$20:$I$109,AA95)&gt;0,"FT","PT"),"PT")</f>
        <v>FT</v>
      </c>
      <c r="AC95" s="16" t="n">
        <f aca="false">IF(AB95="FT",INDEX($N$20:$N$109,MATCH(AA95,$I$20:$I$109,0)),1)</f>
        <v>1</v>
      </c>
    </row>
    <row r="96" customFormat="false" ht="15" hidden="false" customHeight="false" outlineLevel="0" collapsed="false">
      <c r="H96" s="13" t="n">
        <v>77</v>
      </c>
      <c r="I96" s="13" t="n">
        <f aca="false">IF(76&lt;FT_PreY5,FT_First+FT_Int1*76,FT_Y5+FT_Int2*(76-FT_PreY5))</f>
        <v>270</v>
      </c>
      <c r="J96" s="13" t="str">
        <f aca="false">INT(I96/12)&amp;"y "&amp;MOD(I96,12)&amp;"m"</f>
        <v>22y 6m</v>
      </c>
      <c r="K96" s="11" t="str">
        <f aca="false">IF(OR($C$6&lt;&gt;"Yes",$C$8=""),"",EDATE($C$8,I96))</f>
        <v/>
      </c>
      <c r="L96" s="13" t="str">
        <f aca="false">IF(K96="","",IF($C$16=0,$C$9,IF(AND($C$14&lt;&gt;"",K96&gt;=$C$14),$C$15,IF(AND($C$12&lt;&gt;"",K96&gt;=$C$12),$C$13,$C$11))))</f>
        <v/>
      </c>
      <c r="M96" s="13" t="str">
        <f aca="false">IF(K96="","",IF(OR(ISNUMBER(SEARCH("full",L96)),UPPER(TRIM(L96))="FT",UPPER(TRIM(L96))="FTE"),"FT",IF(AND(OR(ISNUMBER(SEARCH("part",L96)),UPPER(TRIM(L96))="PT",UPPER(TRIM(L96))="PTE"),OR($C$10="",N($C$10)&gt;=PT_MinHours)),"PT","None")))</f>
        <v/>
      </c>
      <c r="N96" s="13" t="n">
        <f aca="false">IF(I96&lt;FT_Y5,1,IF(MOD(I96-FT_Y5,12)=0,FT_AnnivDays,1))</f>
        <v>1</v>
      </c>
      <c r="O96" s="13" t="str">
        <f aca="false">IF(K96="","",IF(AND(M96="FT",K96&lt;=AsOfDate),N96,0))</f>
        <v/>
      </c>
      <c r="Q96" s="13" t="n">
        <v>77</v>
      </c>
      <c r="R96" s="13" t="n">
        <f aca="false">PT_First+PT_Int*76</f>
        <v>364</v>
      </c>
      <c r="S96" s="13" t="str">
        <f aca="false">INT(R96/12)&amp;"y "&amp;MOD(R96,12)&amp;"m"</f>
        <v>30y 4m</v>
      </c>
      <c r="T96" s="11" t="str">
        <f aca="false">IF(OR($C$6&lt;&gt;"Yes",$C$8=""),"",EDATE($C$8,R96))</f>
        <v/>
      </c>
      <c r="U96" s="13" t="str">
        <f aca="false">IF(T96="","",IF($C$16=0,$C$9,IF(AND($C$14&lt;&gt;"",T96&gt;=$C$14),$C$15,IF(AND($C$12&lt;&gt;"",T96&gt;=$C$12),$C$13,$C$11))))</f>
        <v/>
      </c>
      <c r="V96" s="13" t="str">
        <f aca="false">IF(T96="","",IF(OR(ISNUMBER(SEARCH("full",U96)),UPPER(TRIM(U96))="FT",UPPER(TRIM(U96))="FTE"),"FT",IF(AND(OR(ISNUMBER(SEARCH("part",U96)),UPPER(TRIM(U96))="PT",UPPER(TRIM(U96))="PTE"),OR($C$10="",N($C$10)&gt;=PT_MinHours)),"PT","None")))</f>
        <v/>
      </c>
      <c r="W96" s="13" t="n">
        <v>1</v>
      </c>
      <c r="X96" s="13" t="str">
        <f aca="false">IF(T96="","",IF(AND(V96="PT",T96&lt;=AsOfDate),W96,0))</f>
        <v/>
      </c>
      <c r="Z96" s="16" t="n">
        <f aca="false">I96</f>
        <v>270</v>
      </c>
      <c r="AA96" s="16" t="n">
        <f aca="false">SMALL($Z$20:$Z$199,77)</f>
        <v>180</v>
      </c>
      <c r="AB96" s="16" t="str">
        <f aca="false">IF(77-COUNTIF($Z$20:$Z$199,"&lt;"&amp;AA96)=1,IF(COUNTIF($I$20:$I$109,AA96)&gt;0,"FT","PT"),"PT")</f>
        <v>FT</v>
      </c>
      <c r="AC96" s="16" t="n">
        <f aca="false">IF(AB96="FT",INDEX($N$20:$N$109,MATCH(AA96,$I$20:$I$109,0)),1)</f>
        <v>2</v>
      </c>
    </row>
    <row r="97" customFormat="false" ht="15" hidden="false" customHeight="false" outlineLevel="0" collapsed="false">
      <c r="H97" s="13" t="n">
        <v>78</v>
      </c>
      <c r="I97" s="13" t="n">
        <f aca="false">IF(77&lt;FT_PreY5,FT_First+FT_Int1*77,FT_Y5+FT_Int2*(77-FT_PreY5))</f>
        <v>273</v>
      </c>
      <c r="J97" s="13" t="str">
        <f aca="false">INT(I97/12)&amp;"y "&amp;MOD(I97,12)&amp;"m"</f>
        <v>22y 9m</v>
      </c>
      <c r="K97" s="11" t="str">
        <f aca="false">IF(OR($C$6&lt;&gt;"Yes",$C$8=""),"",EDATE($C$8,I97))</f>
        <v/>
      </c>
      <c r="L97" s="13" t="str">
        <f aca="false">IF(K97="","",IF($C$16=0,$C$9,IF(AND($C$14&lt;&gt;"",K97&gt;=$C$14),$C$15,IF(AND($C$12&lt;&gt;"",K97&gt;=$C$12),$C$13,$C$11))))</f>
        <v/>
      </c>
      <c r="M97" s="13" t="str">
        <f aca="false">IF(K97="","",IF(OR(ISNUMBER(SEARCH("full",L97)),UPPER(TRIM(L97))="FT",UPPER(TRIM(L97))="FTE"),"FT",IF(AND(OR(ISNUMBER(SEARCH("part",L97)),UPPER(TRIM(L97))="PT",UPPER(TRIM(L97))="PTE"),OR($C$10="",N($C$10)&gt;=PT_MinHours)),"PT","None")))</f>
        <v/>
      </c>
      <c r="N97" s="13" t="n">
        <f aca="false">IF(I97&lt;FT_Y5,1,IF(MOD(I97-FT_Y5,12)=0,FT_AnnivDays,1))</f>
        <v>1</v>
      </c>
      <c r="O97" s="13" t="str">
        <f aca="false">IF(K97="","",IF(AND(M97="FT",K97&lt;=AsOfDate),N97,0))</f>
        <v/>
      </c>
      <c r="Q97" s="13" t="n">
        <v>78</v>
      </c>
      <c r="R97" s="13" t="n">
        <f aca="false">PT_First+PT_Int*77</f>
        <v>368</v>
      </c>
      <c r="S97" s="13" t="str">
        <f aca="false">INT(R97/12)&amp;"y "&amp;MOD(R97,12)&amp;"m"</f>
        <v>30y 8m</v>
      </c>
      <c r="T97" s="11" t="str">
        <f aca="false">IF(OR($C$6&lt;&gt;"Yes",$C$8=""),"",EDATE($C$8,R97))</f>
        <v/>
      </c>
      <c r="U97" s="13" t="str">
        <f aca="false">IF(T97="","",IF($C$16=0,$C$9,IF(AND($C$14&lt;&gt;"",T97&gt;=$C$14),$C$15,IF(AND($C$12&lt;&gt;"",T97&gt;=$C$12),$C$13,$C$11))))</f>
        <v/>
      </c>
      <c r="V97" s="13" t="str">
        <f aca="false">IF(T97="","",IF(OR(ISNUMBER(SEARCH("full",U97)),UPPER(TRIM(U97))="FT",UPPER(TRIM(U97))="FTE"),"FT",IF(AND(OR(ISNUMBER(SEARCH("part",U97)),UPPER(TRIM(U97))="PT",UPPER(TRIM(U97))="PTE"),OR($C$10="",N($C$10)&gt;=PT_MinHours)),"PT","None")))</f>
        <v/>
      </c>
      <c r="W97" s="13" t="n">
        <v>1</v>
      </c>
      <c r="X97" s="13" t="str">
        <f aca="false">IF(T97="","",IF(AND(V97="PT",T97&lt;=AsOfDate),W97,0))</f>
        <v/>
      </c>
      <c r="Z97" s="16" t="n">
        <f aca="false">I97</f>
        <v>273</v>
      </c>
      <c r="AA97" s="16" t="n">
        <f aca="false">SMALL($Z$20:$Z$199,78)</f>
        <v>180</v>
      </c>
      <c r="AB97" s="16" t="str">
        <f aca="false">IF(78-COUNTIF($Z$20:$Z$199,"&lt;"&amp;AA97)=1,IF(COUNTIF($I$20:$I$109,AA97)&gt;0,"FT","PT"),"PT")</f>
        <v>PT</v>
      </c>
      <c r="AC97" s="16" t="n">
        <f aca="false">IF(AB97="FT",INDEX($N$20:$N$109,MATCH(AA97,$I$20:$I$109,0)),1)</f>
        <v>1</v>
      </c>
    </row>
    <row r="98" customFormat="false" ht="15" hidden="false" customHeight="false" outlineLevel="0" collapsed="false">
      <c r="H98" s="13" t="n">
        <v>79</v>
      </c>
      <c r="I98" s="13" t="n">
        <f aca="false">IF(78&lt;FT_PreY5,FT_First+FT_Int1*78,FT_Y5+FT_Int2*(78-FT_PreY5))</f>
        <v>276</v>
      </c>
      <c r="J98" s="13" t="str">
        <f aca="false">INT(I98/12)&amp;"y "&amp;MOD(I98,12)&amp;"m"</f>
        <v>23y 0m</v>
      </c>
      <c r="K98" s="11" t="str">
        <f aca="false">IF(OR($C$6&lt;&gt;"Yes",$C$8=""),"",EDATE($C$8,I98))</f>
        <v/>
      </c>
      <c r="L98" s="13" t="str">
        <f aca="false">IF(K98="","",IF($C$16=0,$C$9,IF(AND($C$14&lt;&gt;"",K98&gt;=$C$14),$C$15,IF(AND($C$12&lt;&gt;"",K98&gt;=$C$12),$C$13,$C$11))))</f>
        <v/>
      </c>
      <c r="M98" s="13" t="str">
        <f aca="false">IF(K98="","",IF(OR(ISNUMBER(SEARCH("full",L98)),UPPER(TRIM(L98))="FT",UPPER(TRIM(L98))="FTE"),"FT",IF(AND(OR(ISNUMBER(SEARCH("part",L98)),UPPER(TRIM(L98))="PT",UPPER(TRIM(L98))="PTE"),OR($C$10="",N($C$10)&gt;=PT_MinHours)),"PT","None")))</f>
        <v/>
      </c>
      <c r="N98" s="13" t="n">
        <f aca="false">IF(I98&lt;FT_Y5,1,IF(MOD(I98-FT_Y5,12)=0,FT_AnnivDays,1))</f>
        <v>2</v>
      </c>
      <c r="O98" s="13" t="str">
        <f aca="false">IF(K98="","",IF(AND(M98="FT",K98&lt;=AsOfDate),N98,0))</f>
        <v/>
      </c>
      <c r="Q98" s="13" t="n">
        <v>79</v>
      </c>
      <c r="R98" s="13" t="n">
        <f aca="false">PT_First+PT_Int*78</f>
        <v>372</v>
      </c>
      <c r="S98" s="13" t="str">
        <f aca="false">INT(R98/12)&amp;"y "&amp;MOD(R98,12)&amp;"m"</f>
        <v>31y 0m</v>
      </c>
      <c r="T98" s="11" t="str">
        <f aca="false">IF(OR($C$6&lt;&gt;"Yes",$C$8=""),"",EDATE($C$8,R98))</f>
        <v/>
      </c>
      <c r="U98" s="13" t="str">
        <f aca="false">IF(T98="","",IF($C$16=0,$C$9,IF(AND($C$14&lt;&gt;"",T98&gt;=$C$14),$C$15,IF(AND($C$12&lt;&gt;"",T98&gt;=$C$12),$C$13,$C$11))))</f>
        <v/>
      </c>
      <c r="V98" s="13" t="str">
        <f aca="false">IF(T98="","",IF(OR(ISNUMBER(SEARCH("full",U98)),UPPER(TRIM(U98))="FT",UPPER(TRIM(U98))="FTE"),"FT",IF(AND(OR(ISNUMBER(SEARCH("part",U98)),UPPER(TRIM(U98))="PT",UPPER(TRIM(U98))="PTE"),OR($C$10="",N($C$10)&gt;=PT_MinHours)),"PT","None")))</f>
        <v/>
      </c>
      <c r="W98" s="13" t="n">
        <v>1</v>
      </c>
      <c r="X98" s="13" t="str">
        <f aca="false">IF(T98="","",IF(AND(V98="PT",T98&lt;=AsOfDate),W98,0))</f>
        <v/>
      </c>
      <c r="Z98" s="16" t="n">
        <f aca="false">I98</f>
        <v>276</v>
      </c>
      <c r="AA98" s="16" t="n">
        <f aca="false">SMALL($Z$20:$Z$199,79)</f>
        <v>183</v>
      </c>
      <c r="AB98" s="16" t="str">
        <f aca="false">IF(79-COUNTIF($Z$20:$Z$199,"&lt;"&amp;AA98)=1,IF(COUNTIF($I$20:$I$109,AA98)&gt;0,"FT","PT"),"PT")</f>
        <v>FT</v>
      </c>
      <c r="AC98" s="16" t="n">
        <f aca="false">IF(AB98="FT",INDEX($N$20:$N$109,MATCH(AA98,$I$20:$I$109,0)),1)</f>
        <v>1</v>
      </c>
    </row>
    <row r="99" customFormat="false" ht="15" hidden="false" customHeight="false" outlineLevel="0" collapsed="false">
      <c r="H99" s="13" t="n">
        <v>80</v>
      </c>
      <c r="I99" s="13" t="n">
        <f aca="false">IF(79&lt;FT_PreY5,FT_First+FT_Int1*79,FT_Y5+FT_Int2*(79-FT_PreY5))</f>
        <v>279</v>
      </c>
      <c r="J99" s="13" t="str">
        <f aca="false">INT(I99/12)&amp;"y "&amp;MOD(I99,12)&amp;"m"</f>
        <v>23y 3m</v>
      </c>
      <c r="K99" s="11" t="str">
        <f aca="false">IF(OR($C$6&lt;&gt;"Yes",$C$8=""),"",EDATE($C$8,I99))</f>
        <v/>
      </c>
      <c r="L99" s="13" t="str">
        <f aca="false">IF(K99="","",IF($C$16=0,$C$9,IF(AND($C$14&lt;&gt;"",K99&gt;=$C$14),$C$15,IF(AND($C$12&lt;&gt;"",K99&gt;=$C$12),$C$13,$C$11))))</f>
        <v/>
      </c>
      <c r="M99" s="13" t="str">
        <f aca="false">IF(K99="","",IF(OR(ISNUMBER(SEARCH("full",L99)),UPPER(TRIM(L99))="FT",UPPER(TRIM(L99))="FTE"),"FT",IF(AND(OR(ISNUMBER(SEARCH("part",L99)),UPPER(TRIM(L99))="PT",UPPER(TRIM(L99))="PTE"),OR($C$10="",N($C$10)&gt;=PT_MinHours)),"PT","None")))</f>
        <v/>
      </c>
      <c r="N99" s="13" t="n">
        <f aca="false">IF(I99&lt;FT_Y5,1,IF(MOD(I99-FT_Y5,12)=0,FT_AnnivDays,1))</f>
        <v>1</v>
      </c>
      <c r="O99" s="13" t="str">
        <f aca="false">IF(K99="","",IF(AND(M99="FT",K99&lt;=AsOfDate),N99,0))</f>
        <v/>
      </c>
      <c r="Q99" s="13" t="n">
        <v>80</v>
      </c>
      <c r="R99" s="13" t="n">
        <f aca="false">PT_First+PT_Int*79</f>
        <v>376</v>
      </c>
      <c r="S99" s="13" t="str">
        <f aca="false">INT(R99/12)&amp;"y "&amp;MOD(R99,12)&amp;"m"</f>
        <v>31y 4m</v>
      </c>
      <c r="T99" s="11" t="str">
        <f aca="false">IF(OR($C$6&lt;&gt;"Yes",$C$8=""),"",EDATE($C$8,R99))</f>
        <v/>
      </c>
      <c r="U99" s="13" t="str">
        <f aca="false">IF(T99="","",IF($C$16=0,$C$9,IF(AND($C$14&lt;&gt;"",T99&gt;=$C$14),$C$15,IF(AND($C$12&lt;&gt;"",T99&gt;=$C$12),$C$13,$C$11))))</f>
        <v/>
      </c>
      <c r="V99" s="13" t="str">
        <f aca="false">IF(T99="","",IF(OR(ISNUMBER(SEARCH("full",U99)),UPPER(TRIM(U99))="FT",UPPER(TRIM(U99))="FTE"),"FT",IF(AND(OR(ISNUMBER(SEARCH("part",U99)),UPPER(TRIM(U99))="PT",UPPER(TRIM(U99))="PTE"),OR($C$10="",N($C$10)&gt;=PT_MinHours)),"PT","None")))</f>
        <v/>
      </c>
      <c r="W99" s="13" t="n">
        <v>1</v>
      </c>
      <c r="X99" s="13" t="str">
        <f aca="false">IF(T99="","",IF(AND(V99="PT",T99&lt;=AsOfDate),W99,0))</f>
        <v/>
      </c>
      <c r="Z99" s="16" t="n">
        <f aca="false">I99</f>
        <v>279</v>
      </c>
      <c r="AA99" s="16" t="n">
        <f aca="false">SMALL($Z$20:$Z$199,80)</f>
        <v>184</v>
      </c>
      <c r="AB99" s="16" t="str">
        <f aca="false">IF(80-COUNTIF($Z$20:$Z$199,"&lt;"&amp;AA99)=1,IF(COUNTIF($I$20:$I$109,AA99)&gt;0,"FT","PT"),"PT")</f>
        <v>PT</v>
      </c>
      <c r="AC99" s="16" t="n">
        <f aca="false">IF(AB99="FT",INDEX($N$20:$N$109,MATCH(AA99,$I$20:$I$109,0)),1)</f>
        <v>1</v>
      </c>
    </row>
    <row r="100" customFormat="false" ht="15" hidden="false" customHeight="false" outlineLevel="0" collapsed="false">
      <c r="H100" s="13" t="n">
        <v>81</v>
      </c>
      <c r="I100" s="13" t="n">
        <f aca="false">IF(80&lt;FT_PreY5,FT_First+FT_Int1*80,FT_Y5+FT_Int2*(80-FT_PreY5))</f>
        <v>282</v>
      </c>
      <c r="J100" s="13" t="str">
        <f aca="false">INT(I100/12)&amp;"y "&amp;MOD(I100,12)&amp;"m"</f>
        <v>23y 6m</v>
      </c>
      <c r="K100" s="11" t="str">
        <f aca="false">IF(OR($C$6&lt;&gt;"Yes",$C$8=""),"",EDATE($C$8,I100))</f>
        <v/>
      </c>
      <c r="L100" s="13" t="str">
        <f aca="false">IF(K100="","",IF($C$16=0,$C$9,IF(AND($C$14&lt;&gt;"",K100&gt;=$C$14),$C$15,IF(AND($C$12&lt;&gt;"",K100&gt;=$C$12),$C$13,$C$11))))</f>
        <v/>
      </c>
      <c r="M100" s="13" t="str">
        <f aca="false">IF(K100="","",IF(OR(ISNUMBER(SEARCH("full",L100)),UPPER(TRIM(L100))="FT",UPPER(TRIM(L100))="FTE"),"FT",IF(AND(OR(ISNUMBER(SEARCH("part",L100)),UPPER(TRIM(L100))="PT",UPPER(TRIM(L100))="PTE"),OR($C$10="",N($C$10)&gt;=PT_MinHours)),"PT","None")))</f>
        <v/>
      </c>
      <c r="N100" s="13" t="n">
        <f aca="false">IF(I100&lt;FT_Y5,1,IF(MOD(I100-FT_Y5,12)=0,FT_AnnivDays,1))</f>
        <v>1</v>
      </c>
      <c r="O100" s="13" t="str">
        <f aca="false">IF(K100="","",IF(AND(M100="FT",K100&lt;=AsOfDate),N100,0))</f>
        <v/>
      </c>
      <c r="Q100" s="13" t="n">
        <v>81</v>
      </c>
      <c r="R100" s="13" t="n">
        <f aca="false">PT_First+PT_Int*80</f>
        <v>380</v>
      </c>
      <c r="S100" s="13" t="str">
        <f aca="false">INT(R100/12)&amp;"y "&amp;MOD(R100,12)&amp;"m"</f>
        <v>31y 8m</v>
      </c>
      <c r="T100" s="11" t="str">
        <f aca="false">IF(OR($C$6&lt;&gt;"Yes",$C$8=""),"",EDATE($C$8,R100))</f>
        <v/>
      </c>
      <c r="U100" s="13" t="str">
        <f aca="false">IF(T100="","",IF($C$16=0,$C$9,IF(AND($C$14&lt;&gt;"",T100&gt;=$C$14),$C$15,IF(AND($C$12&lt;&gt;"",T100&gt;=$C$12),$C$13,$C$11))))</f>
        <v/>
      </c>
      <c r="V100" s="13" t="str">
        <f aca="false">IF(T100="","",IF(OR(ISNUMBER(SEARCH("full",U100)),UPPER(TRIM(U100))="FT",UPPER(TRIM(U100))="FTE"),"FT",IF(AND(OR(ISNUMBER(SEARCH("part",U100)),UPPER(TRIM(U100))="PT",UPPER(TRIM(U100))="PTE"),OR($C$10="",N($C$10)&gt;=PT_MinHours)),"PT","None")))</f>
        <v/>
      </c>
      <c r="W100" s="13" t="n">
        <v>1</v>
      </c>
      <c r="X100" s="13" t="str">
        <f aca="false">IF(T100="","",IF(AND(V100="PT",T100&lt;=AsOfDate),W100,0))</f>
        <v/>
      </c>
      <c r="Z100" s="16" t="n">
        <f aca="false">I100</f>
        <v>282</v>
      </c>
      <c r="AA100" s="16" t="n">
        <f aca="false">SMALL($Z$20:$Z$199,81)</f>
        <v>186</v>
      </c>
      <c r="AB100" s="16" t="str">
        <f aca="false">IF(81-COUNTIF($Z$20:$Z$199,"&lt;"&amp;AA100)=1,IF(COUNTIF($I$20:$I$109,AA100)&gt;0,"FT","PT"),"PT")</f>
        <v>FT</v>
      </c>
      <c r="AC100" s="16" t="n">
        <f aca="false">IF(AB100="FT",INDEX($N$20:$N$109,MATCH(AA100,$I$20:$I$109,0)),1)</f>
        <v>1</v>
      </c>
    </row>
    <row r="101" customFormat="false" ht="15" hidden="false" customHeight="false" outlineLevel="0" collapsed="false">
      <c r="H101" s="13" t="n">
        <v>82</v>
      </c>
      <c r="I101" s="13" t="n">
        <f aca="false">IF(81&lt;FT_PreY5,FT_First+FT_Int1*81,FT_Y5+FT_Int2*(81-FT_PreY5))</f>
        <v>285</v>
      </c>
      <c r="J101" s="13" t="str">
        <f aca="false">INT(I101/12)&amp;"y "&amp;MOD(I101,12)&amp;"m"</f>
        <v>23y 9m</v>
      </c>
      <c r="K101" s="11" t="str">
        <f aca="false">IF(OR($C$6&lt;&gt;"Yes",$C$8=""),"",EDATE($C$8,I101))</f>
        <v/>
      </c>
      <c r="L101" s="13" t="str">
        <f aca="false">IF(K101="","",IF($C$16=0,$C$9,IF(AND($C$14&lt;&gt;"",K101&gt;=$C$14),$C$15,IF(AND($C$12&lt;&gt;"",K101&gt;=$C$12),$C$13,$C$11))))</f>
        <v/>
      </c>
      <c r="M101" s="13" t="str">
        <f aca="false">IF(K101="","",IF(OR(ISNUMBER(SEARCH("full",L101)),UPPER(TRIM(L101))="FT",UPPER(TRIM(L101))="FTE"),"FT",IF(AND(OR(ISNUMBER(SEARCH("part",L101)),UPPER(TRIM(L101))="PT",UPPER(TRIM(L101))="PTE"),OR($C$10="",N($C$10)&gt;=PT_MinHours)),"PT","None")))</f>
        <v/>
      </c>
      <c r="N101" s="13" t="n">
        <f aca="false">IF(I101&lt;FT_Y5,1,IF(MOD(I101-FT_Y5,12)=0,FT_AnnivDays,1))</f>
        <v>1</v>
      </c>
      <c r="O101" s="13" t="str">
        <f aca="false">IF(K101="","",IF(AND(M101="FT",K101&lt;=AsOfDate),N101,0))</f>
        <v/>
      </c>
      <c r="Q101" s="13" t="n">
        <v>82</v>
      </c>
      <c r="R101" s="13" t="n">
        <f aca="false">PT_First+PT_Int*81</f>
        <v>384</v>
      </c>
      <c r="S101" s="13" t="str">
        <f aca="false">INT(R101/12)&amp;"y "&amp;MOD(R101,12)&amp;"m"</f>
        <v>32y 0m</v>
      </c>
      <c r="T101" s="11" t="str">
        <f aca="false">IF(OR($C$6&lt;&gt;"Yes",$C$8=""),"",EDATE($C$8,R101))</f>
        <v/>
      </c>
      <c r="U101" s="13" t="str">
        <f aca="false">IF(T101="","",IF($C$16=0,$C$9,IF(AND($C$14&lt;&gt;"",T101&gt;=$C$14),$C$15,IF(AND($C$12&lt;&gt;"",T101&gt;=$C$12),$C$13,$C$11))))</f>
        <v/>
      </c>
      <c r="V101" s="13" t="str">
        <f aca="false">IF(T101="","",IF(OR(ISNUMBER(SEARCH("full",U101)),UPPER(TRIM(U101))="FT",UPPER(TRIM(U101))="FTE"),"FT",IF(AND(OR(ISNUMBER(SEARCH("part",U101)),UPPER(TRIM(U101))="PT",UPPER(TRIM(U101))="PTE"),OR($C$10="",N($C$10)&gt;=PT_MinHours)),"PT","None")))</f>
        <v/>
      </c>
      <c r="W101" s="13" t="n">
        <v>1</v>
      </c>
      <c r="X101" s="13" t="str">
        <f aca="false">IF(T101="","",IF(AND(V101="PT",T101&lt;=AsOfDate),W101,0))</f>
        <v/>
      </c>
      <c r="Z101" s="16" t="n">
        <f aca="false">I101</f>
        <v>285</v>
      </c>
      <c r="AA101" s="16" t="n">
        <f aca="false">SMALL($Z$20:$Z$199,82)</f>
        <v>188</v>
      </c>
      <c r="AB101" s="16" t="str">
        <f aca="false">IF(82-COUNTIF($Z$20:$Z$199,"&lt;"&amp;AA101)=1,IF(COUNTIF($I$20:$I$109,AA101)&gt;0,"FT","PT"),"PT")</f>
        <v>PT</v>
      </c>
      <c r="AC101" s="16" t="n">
        <f aca="false">IF(AB101="FT",INDEX($N$20:$N$109,MATCH(AA101,$I$20:$I$109,0)),1)</f>
        <v>1</v>
      </c>
    </row>
    <row r="102" customFormat="false" ht="15" hidden="false" customHeight="false" outlineLevel="0" collapsed="false">
      <c r="H102" s="13" t="n">
        <v>83</v>
      </c>
      <c r="I102" s="13" t="n">
        <f aca="false">IF(82&lt;FT_PreY5,FT_First+FT_Int1*82,FT_Y5+FT_Int2*(82-FT_PreY5))</f>
        <v>288</v>
      </c>
      <c r="J102" s="13" t="str">
        <f aca="false">INT(I102/12)&amp;"y "&amp;MOD(I102,12)&amp;"m"</f>
        <v>24y 0m</v>
      </c>
      <c r="K102" s="11" t="str">
        <f aca="false">IF(OR($C$6&lt;&gt;"Yes",$C$8=""),"",EDATE($C$8,I102))</f>
        <v/>
      </c>
      <c r="L102" s="13" t="str">
        <f aca="false">IF(K102="","",IF($C$16=0,$C$9,IF(AND($C$14&lt;&gt;"",K102&gt;=$C$14),$C$15,IF(AND($C$12&lt;&gt;"",K102&gt;=$C$12),$C$13,$C$11))))</f>
        <v/>
      </c>
      <c r="M102" s="13" t="str">
        <f aca="false">IF(K102="","",IF(OR(ISNUMBER(SEARCH("full",L102)),UPPER(TRIM(L102))="FT",UPPER(TRIM(L102))="FTE"),"FT",IF(AND(OR(ISNUMBER(SEARCH("part",L102)),UPPER(TRIM(L102))="PT",UPPER(TRIM(L102))="PTE"),OR($C$10="",N($C$10)&gt;=PT_MinHours)),"PT","None")))</f>
        <v/>
      </c>
      <c r="N102" s="13" t="n">
        <f aca="false">IF(I102&lt;FT_Y5,1,IF(MOD(I102-FT_Y5,12)=0,FT_AnnivDays,1))</f>
        <v>2</v>
      </c>
      <c r="O102" s="13" t="str">
        <f aca="false">IF(K102="","",IF(AND(M102="FT",K102&lt;=AsOfDate),N102,0))</f>
        <v/>
      </c>
      <c r="Q102" s="13" t="n">
        <v>83</v>
      </c>
      <c r="R102" s="13" t="n">
        <f aca="false">PT_First+PT_Int*82</f>
        <v>388</v>
      </c>
      <c r="S102" s="13" t="str">
        <f aca="false">INT(R102/12)&amp;"y "&amp;MOD(R102,12)&amp;"m"</f>
        <v>32y 4m</v>
      </c>
      <c r="T102" s="11" t="str">
        <f aca="false">IF(OR($C$6&lt;&gt;"Yes",$C$8=""),"",EDATE($C$8,R102))</f>
        <v/>
      </c>
      <c r="U102" s="13" t="str">
        <f aca="false">IF(T102="","",IF($C$16=0,$C$9,IF(AND($C$14&lt;&gt;"",T102&gt;=$C$14),$C$15,IF(AND($C$12&lt;&gt;"",T102&gt;=$C$12),$C$13,$C$11))))</f>
        <v/>
      </c>
      <c r="V102" s="13" t="str">
        <f aca="false">IF(T102="","",IF(OR(ISNUMBER(SEARCH("full",U102)),UPPER(TRIM(U102))="FT",UPPER(TRIM(U102))="FTE"),"FT",IF(AND(OR(ISNUMBER(SEARCH("part",U102)),UPPER(TRIM(U102))="PT",UPPER(TRIM(U102))="PTE"),OR($C$10="",N($C$10)&gt;=PT_MinHours)),"PT","None")))</f>
        <v/>
      </c>
      <c r="W102" s="13" t="n">
        <v>1</v>
      </c>
      <c r="X102" s="13" t="str">
        <f aca="false">IF(T102="","",IF(AND(V102="PT",T102&lt;=AsOfDate),W102,0))</f>
        <v/>
      </c>
      <c r="Z102" s="16" t="n">
        <f aca="false">I102</f>
        <v>288</v>
      </c>
      <c r="AA102" s="16" t="n">
        <f aca="false">SMALL($Z$20:$Z$199,83)</f>
        <v>189</v>
      </c>
      <c r="AB102" s="16" t="str">
        <f aca="false">IF(83-COUNTIF($Z$20:$Z$199,"&lt;"&amp;AA102)=1,IF(COUNTIF($I$20:$I$109,AA102)&gt;0,"FT","PT"),"PT")</f>
        <v>FT</v>
      </c>
      <c r="AC102" s="16" t="n">
        <f aca="false">IF(AB102="FT",INDEX($N$20:$N$109,MATCH(AA102,$I$20:$I$109,0)),1)</f>
        <v>1</v>
      </c>
    </row>
    <row r="103" customFormat="false" ht="15" hidden="false" customHeight="false" outlineLevel="0" collapsed="false">
      <c r="H103" s="13" t="n">
        <v>84</v>
      </c>
      <c r="I103" s="13" t="n">
        <f aca="false">IF(83&lt;FT_PreY5,FT_First+FT_Int1*83,FT_Y5+FT_Int2*(83-FT_PreY5))</f>
        <v>291</v>
      </c>
      <c r="J103" s="13" t="str">
        <f aca="false">INT(I103/12)&amp;"y "&amp;MOD(I103,12)&amp;"m"</f>
        <v>24y 3m</v>
      </c>
      <c r="K103" s="11" t="str">
        <f aca="false">IF(OR($C$6&lt;&gt;"Yes",$C$8=""),"",EDATE($C$8,I103))</f>
        <v/>
      </c>
      <c r="L103" s="13" t="str">
        <f aca="false">IF(K103="","",IF($C$16=0,$C$9,IF(AND($C$14&lt;&gt;"",K103&gt;=$C$14),$C$15,IF(AND($C$12&lt;&gt;"",K103&gt;=$C$12),$C$13,$C$11))))</f>
        <v/>
      </c>
      <c r="M103" s="13" t="str">
        <f aca="false">IF(K103="","",IF(OR(ISNUMBER(SEARCH("full",L103)),UPPER(TRIM(L103))="FT",UPPER(TRIM(L103))="FTE"),"FT",IF(AND(OR(ISNUMBER(SEARCH("part",L103)),UPPER(TRIM(L103))="PT",UPPER(TRIM(L103))="PTE"),OR($C$10="",N($C$10)&gt;=PT_MinHours)),"PT","None")))</f>
        <v/>
      </c>
      <c r="N103" s="13" t="n">
        <f aca="false">IF(I103&lt;FT_Y5,1,IF(MOD(I103-FT_Y5,12)=0,FT_AnnivDays,1))</f>
        <v>1</v>
      </c>
      <c r="O103" s="13" t="str">
        <f aca="false">IF(K103="","",IF(AND(M103="FT",K103&lt;=AsOfDate),N103,0))</f>
        <v/>
      </c>
      <c r="Q103" s="13" t="n">
        <v>84</v>
      </c>
      <c r="R103" s="13" t="n">
        <f aca="false">PT_First+PT_Int*83</f>
        <v>392</v>
      </c>
      <c r="S103" s="13" t="str">
        <f aca="false">INT(R103/12)&amp;"y "&amp;MOD(R103,12)&amp;"m"</f>
        <v>32y 8m</v>
      </c>
      <c r="T103" s="11" t="str">
        <f aca="false">IF(OR($C$6&lt;&gt;"Yes",$C$8=""),"",EDATE($C$8,R103))</f>
        <v/>
      </c>
      <c r="U103" s="13" t="str">
        <f aca="false">IF(T103="","",IF($C$16=0,$C$9,IF(AND($C$14&lt;&gt;"",T103&gt;=$C$14),$C$15,IF(AND($C$12&lt;&gt;"",T103&gt;=$C$12),$C$13,$C$11))))</f>
        <v/>
      </c>
      <c r="V103" s="13" t="str">
        <f aca="false">IF(T103="","",IF(OR(ISNUMBER(SEARCH("full",U103)),UPPER(TRIM(U103))="FT",UPPER(TRIM(U103))="FTE"),"FT",IF(AND(OR(ISNUMBER(SEARCH("part",U103)),UPPER(TRIM(U103))="PT",UPPER(TRIM(U103))="PTE"),OR($C$10="",N($C$10)&gt;=PT_MinHours)),"PT","None")))</f>
        <v/>
      </c>
      <c r="W103" s="13" t="n">
        <v>1</v>
      </c>
      <c r="X103" s="13" t="str">
        <f aca="false">IF(T103="","",IF(AND(V103="PT",T103&lt;=AsOfDate),W103,0))</f>
        <v/>
      </c>
      <c r="Z103" s="16" t="n">
        <f aca="false">I103</f>
        <v>291</v>
      </c>
      <c r="AA103" s="16" t="n">
        <f aca="false">SMALL($Z$20:$Z$199,84)</f>
        <v>192</v>
      </c>
      <c r="AB103" s="16" t="str">
        <f aca="false">IF(84-COUNTIF($Z$20:$Z$199,"&lt;"&amp;AA103)=1,IF(COUNTIF($I$20:$I$109,AA103)&gt;0,"FT","PT"),"PT")</f>
        <v>FT</v>
      </c>
      <c r="AC103" s="16" t="n">
        <f aca="false">IF(AB103="FT",INDEX($N$20:$N$109,MATCH(AA103,$I$20:$I$109,0)),1)</f>
        <v>2</v>
      </c>
    </row>
    <row r="104" customFormat="false" ht="15" hidden="false" customHeight="false" outlineLevel="0" collapsed="false">
      <c r="H104" s="13" t="n">
        <v>85</v>
      </c>
      <c r="I104" s="13" t="n">
        <f aca="false">IF(84&lt;FT_PreY5,FT_First+FT_Int1*84,FT_Y5+FT_Int2*(84-FT_PreY5))</f>
        <v>294</v>
      </c>
      <c r="J104" s="13" t="str">
        <f aca="false">INT(I104/12)&amp;"y "&amp;MOD(I104,12)&amp;"m"</f>
        <v>24y 6m</v>
      </c>
      <c r="K104" s="11" t="str">
        <f aca="false">IF(OR($C$6&lt;&gt;"Yes",$C$8=""),"",EDATE($C$8,I104))</f>
        <v/>
      </c>
      <c r="L104" s="13" t="str">
        <f aca="false">IF(K104="","",IF($C$16=0,$C$9,IF(AND($C$14&lt;&gt;"",K104&gt;=$C$14),$C$15,IF(AND($C$12&lt;&gt;"",K104&gt;=$C$12),$C$13,$C$11))))</f>
        <v/>
      </c>
      <c r="M104" s="13" t="str">
        <f aca="false">IF(K104="","",IF(OR(ISNUMBER(SEARCH("full",L104)),UPPER(TRIM(L104))="FT",UPPER(TRIM(L104))="FTE"),"FT",IF(AND(OR(ISNUMBER(SEARCH("part",L104)),UPPER(TRIM(L104))="PT",UPPER(TRIM(L104))="PTE"),OR($C$10="",N($C$10)&gt;=PT_MinHours)),"PT","None")))</f>
        <v/>
      </c>
      <c r="N104" s="13" t="n">
        <f aca="false">IF(I104&lt;FT_Y5,1,IF(MOD(I104-FT_Y5,12)=0,FT_AnnivDays,1))</f>
        <v>1</v>
      </c>
      <c r="O104" s="13" t="str">
        <f aca="false">IF(K104="","",IF(AND(M104="FT",K104&lt;=AsOfDate),N104,0))</f>
        <v/>
      </c>
      <c r="Q104" s="13" t="n">
        <v>85</v>
      </c>
      <c r="R104" s="13" t="n">
        <f aca="false">PT_First+PT_Int*84</f>
        <v>396</v>
      </c>
      <c r="S104" s="13" t="str">
        <f aca="false">INT(R104/12)&amp;"y "&amp;MOD(R104,12)&amp;"m"</f>
        <v>33y 0m</v>
      </c>
      <c r="T104" s="11" t="str">
        <f aca="false">IF(OR($C$6&lt;&gt;"Yes",$C$8=""),"",EDATE($C$8,R104))</f>
        <v/>
      </c>
      <c r="U104" s="13" t="str">
        <f aca="false">IF(T104="","",IF($C$16=0,$C$9,IF(AND($C$14&lt;&gt;"",T104&gt;=$C$14),$C$15,IF(AND($C$12&lt;&gt;"",T104&gt;=$C$12),$C$13,$C$11))))</f>
        <v/>
      </c>
      <c r="V104" s="13" t="str">
        <f aca="false">IF(T104="","",IF(OR(ISNUMBER(SEARCH("full",U104)),UPPER(TRIM(U104))="FT",UPPER(TRIM(U104))="FTE"),"FT",IF(AND(OR(ISNUMBER(SEARCH("part",U104)),UPPER(TRIM(U104))="PT",UPPER(TRIM(U104))="PTE"),OR($C$10="",N($C$10)&gt;=PT_MinHours)),"PT","None")))</f>
        <v/>
      </c>
      <c r="W104" s="13" t="n">
        <v>1</v>
      </c>
      <c r="X104" s="13" t="str">
        <f aca="false">IF(T104="","",IF(AND(V104="PT",T104&lt;=AsOfDate),W104,0))</f>
        <v/>
      </c>
      <c r="Z104" s="16" t="n">
        <f aca="false">I104</f>
        <v>294</v>
      </c>
      <c r="AA104" s="16" t="n">
        <f aca="false">SMALL($Z$20:$Z$199,85)</f>
        <v>192</v>
      </c>
      <c r="AB104" s="16" t="str">
        <f aca="false">IF(85-COUNTIF($Z$20:$Z$199,"&lt;"&amp;AA104)=1,IF(COUNTIF($I$20:$I$109,AA104)&gt;0,"FT","PT"),"PT")</f>
        <v>PT</v>
      </c>
      <c r="AC104" s="16" t="n">
        <f aca="false">IF(AB104="FT",INDEX($N$20:$N$109,MATCH(AA104,$I$20:$I$109,0)),1)</f>
        <v>1</v>
      </c>
    </row>
    <row r="105" customFormat="false" ht="15" hidden="false" customHeight="false" outlineLevel="0" collapsed="false">
      <c r="H105" s="13" t="n">
        <v>86</v>
      </c>
      <c r="I105" s="13" t="n">
        <f aca="false">IF(85&lt;FT_PreY5,FT_First+FT_Int1*85,FT_Y5+FT_Int2*(85-FT_PreY5))</f>
        <v>297</v>
      </c>
      <c r="J105" s="13" t="str">
        <f aca="false">INT(I105/12)&amp;"y "&amp;MOD(I105,12)&amp;"m"</f>
        <v>24y 9m</v>
      </c>
      <c r="K105" s="11" t="str">
        <f aca="false">IF(OR($C$6&lt;&gt;"Yes",$C$8=""),"",EDATE($C$8,I105))</f>
        <v/>
      </c>
      <c r="L105" s="13" t="str">
        <f aca="false">IF(K105="","",IF($C$16=0,$C$9,IF(AND($C$14&lt;&gt;"",K105&gt;=$C$14),$C$15,IF(AND($C$12&lt;&gt;"",K105&gt;=$C$12),$C$13,$C$11))))</f>
        <v/>
      </c>
      <c r="M105" s="13" t="str">
        <f aca="false">IF(K105="","",IF(OR(ISNUMBER(SEARCH("full",L105)),UPPER(TRIM(L105))="FT",UPPER(TRIM(L105))="FTE"),"FT",IF(AND(OR(ISNUMBER(SEARCH("part",L105)),UPPER(TRIM(L105))="PT",UPPER(TRIM(L105))="PTE"),OR($C$10="",N($C$10)&gt;=PT_MinHours)),"PT","None")))</f>
        <v/>
      </c>
      <c r="N105" s="13" t="n">
        <f aca="false">IF(I105&lt;FT_Y5,1,IF(MOD(I105-FT_Y5,12)=0,FT_AnnivDays,1))</f>
        <v>1</v>
      </c>
      <c r="O105" s="13" t="str">
        <f aca="false">IF(K105="","",IF(AND(M105="FT",K105&lt;=AsOfDate),N105,0))</f>
        <v/>
      </c>
      <c r="Q105" s="13" t="n">
        <v>86</v>
      </c>
      <c r="R105" s="13" t="n">
        <f aca="false">PT_First+PT_Int*85</f>
        <v>400</v>
      </c>
      <c r="S105" s="13" t="str">
        <f aca="false">INT(R105/12)&amp;"y "&amp;MOD(R105,12)&amp;"m"</f>
        <v>33y 4m</v>
      </c>
      <c r="T105" s="11" t="str">
        <f aca="false">IF(OR($C$6&lt;&gt;"Yes",$C$8=""),"",EDATE($C$8,R105))</f>
        <v/>
      </c>
      <c r="U105" s="13" t="str">
        <f aca="false">IF(T105="","",IF($C$16=0,$C$9,IF(AND($C$14&lt;&gt;"",T105&gt;=$C$14),$C$15,IF(AND($C$12&lt;&gt;"",T105&gt;=$C$12),$C$13,$C$11))))</f>
        <v/>
      </c>
      <c r="V105" s="13" t="str">
        <f aca="false">IF(T105="","",IF(OR(ISNUMBER(SEARCH("full",U105)),UPPER(TRIM(U105))="FT",UPPER(TRIM(U105))="FTE"),"FT",IF(AND(OR(ISNUMBER(SEARCH("part",U105)),UPPER(TRIM(U105))="PT",UPPER(TRIM(U105))="PTE"),OR($C$10="",N($C$10)&gt;=PT_MinHours)),"PT","None")))</f>
        <v/>
      </c>
      <c r="W105" s="13" t="n">
        <v>1</v>
      </c>
      <c r="X105" s="13" t="str">
        <f aca="false">IF(T105="","",IF(AND(V105="PT",T105&lt;=AsOfDate),W105,0))</f>
        <v/>
      </c>
      <c r="Z105" s="16" t="n">
        <f aca="false">I105</f>
        <v>297</v>
      </c>
      <c r="AA105" s="16" t="n">
        <f aca="false">SMALL($Z$20:$Z$199,86)</f>
        <v>195</v>
      </c>
      <c r="AB105" s="16" t="str">
        <f aca="false">IF(86-COUNTIF($Z$20:$Z$199,"&lt;"&amp;AA105)=1,IF(COUNTIF($I$20:$I$109,AA105)&gt;0,"FT","PT"),"PT")</f>
        <v>FT</v>
      </c>
      <c r="AC105" s="16" t="n">
        <f aca="false">IF(AB105="FT",INDEX($N$20:$N$109,MATCH(AA105,$I$20:$I$109,0)),1)</f>
        <v>1</v>
      </c>
    </row>
    <row r="106" customFormat="false" ht="15" hidden="false" customHeight="false" outlineLevel="0" collapsed="false">
      <c r="H106" s="13" t="n">
        <v>87</v>
      </c>
      <c r="I106" s="13" t="n">
        <f aca="false">IF(86&lt;FT_PreY5,FT_First+FT_Int1*86,FT_Y5+FT_Int2*(86-FT_PreY5))</f>
        <v>300</v>
      </c>
      <c r="J106" s="13" t="str">
        <f aca="false">INT(I106/12)&amp;"y "&amp;MOD(I106,12)&amp;"m"</f>
        <v>25y 0m</v>
      </c>
      <c r="K106" s="11" t="str">
        <f aca="false">IF(OR($C$6&lt;&gt;"Yes",$C$8=""),"",EDATE($C$8,I106))</f>
        <v/>
      </c>
      <c r="L106" s="13" t="str">
        <f aca="false">IF(K106="","",IF($C$16=0,$C$9,IF(AND($C$14&lt;&gt;"",K106&gt;=$C$14),$C$15,IF(AND($C$12&lt;&gt;"",K106&gt;=$C$12),$C$13,$C$11))))</f>
        <v/>
      </c>
      <c r="M106" s="13" t="str">
        <f aca="false">IF(K106="","",IF(OR(ISNUMBER(SEARCH("full",L106)),UPPER(TRIM(L106))="FT",UPPER(TRIM(L106))="FTE"),"FT",IF(AND(OR(ISNUMBER(SEARCH("part",L106)),UPPER(TRIM(L106))="PT",UPPER(TRIM(L106))="PTE"),OR($C$10="",N($C$10)&gt;=PT_MinHours)),"PT","None")))</f>
        <v/>
      </c>
      <c r="N106" s="13" t="n">
        <f aca="false">IF(I106&lt;FT_Y5,1,IF(MOD(I106-FT_Y5,12)=0,FT_AnnivDays,1))</f>
        <v>2</v>
      </c>
      <c r="O106" s="13" t="str">
        <f aca="false">IF(K106="","",IF(AND(M106="FT",K106&lt;=AsOfDate),N106,0))</f>
        <v/>
      </c>
      <c r="Q106" s="13" t="n">
        <v>87</v>
      </c>
      <c r="R106" s="13" t="n">
        <f aca="false">PT_First+PT_Int*86</f>
        <v>404</v>
      </c>
      <c r="S106" s="13" t="str">
        <f aca="false">INT(R106/12)&amp;"y "&amp;MOD(R106,12)&amp;"m"</f>
        <v>33y 8m</v>
      </c>
      <c r="T106" s="11" t="str">
        <f aca="false">IF(OR($C$6&lt;&gt;"Yes",$C$8=""),"",EDATE($C$8,R106))</f>
        <v/>
      </c>
      <c r="U106" s="13" t="str">
        <f aca="false">IF(T106="","",IF($C$16=0,$C$9,IF(AND($C$14&lt;&gt;"",T106&gt;=$C$14),$C$15,IF(AND($C$12&lt;&gt;"",T106&gt;=$C$12),$C$13,$C$11))))</f>
        <v/>
      </c>
      <c r="V106" s="13" t="str">
        <f aca="false">IF(T106="","",IF(OR(ISNUMBER(SEARCH("full",U106)),UPPER(TRIM(U106))="FT",UPPER(TRIM(U106))="FTE"),"FT",IF(AND(OR(ISNUMBER(SEARCH("part",U106)),UPPER(TRIM(U106))="PT",UPPER(TRIM(U106))="PTE"),OR($C$10="",N($C$10)&gt;=PT_MinHours)),"PT","None")))</f>
        <v/>
      </c>
      <c r="W106" s="13" t="n">
        <v>1</v>
      </c>
      <c r="X106" s="13" t="str">
        <f aca="false">IF(T106="","",IF(AND(V106="PT",T106&lt;=AsOfDate),W106,0))</f>
        <v/>
      </c>
      <c r="Z106" s="16" t="n">
        <f aca="false">I106</f>
        <v>300</v>
      </c>
      <c r="AA106" s="16" t="n">
        <f aca="false">SMALL($Z$20:$Z$199,87)</f>
        <v>196</v>
      </c>
      <c r="AB106" s="16" t="str">
        <f aca="false">IF(87-COUNTIF($Z$20:$Z$199,"&lt;"&amp;AA106)=1,IF(COUNTIF($I$20:$I$109,AA106)&gt;0,"FT","PT"),"PT")</f>
        <v>PT</v>
      </c>
      <c r="AC106" s="16" t="n">
        <f aca="false">IF(AB106="FT",INDEX($N$20:$N$109,MATCH(AA106,$I$20:$I$109,0)),1)</f>
        <v>1</v>
      </c>
    </row>
    <row r="107" customFormat="false" ht="15" hidden="false" customHeight="false" outlineLevel="0" collapsed="false">
      <c r="H107" s="13" t="n">
        <v>88</v>
      </c>
      <c r="I107" s="13" t="n">
        <f aca="false">IF(87&lt;FT_PreY5,FT_First+FT_Int1*87,FT_Y5+FT_Int2*(87-FT_PreY5))</f>
        <v>303</v>
      </c>
      <c r="J107" s="13" t="str">
        <f aca="false">INT(I107/12)&amp;"y "&amp;MOD(I107,12)&amp;"m"</f>
        <v>25y 3m</v>
      </c>
      <c r="K107" s="11" t="str">
        <f aca="false">IF(OR($C$6&lt;&gt;"Yes",$C$8=""),"",EDATE($C$8,I107))</f>
        <v/>
      </c>
      <c r="L107" s="13" t="str">
        <f aca="false">IF(K107="","",IF($C$16=0,$C$9,IF(AND($C$14&lt;&gt;"",K107&gt;=$C$14),$C$15,IF(AND($C$12&lt;&gt;"",K107&gt;=$C$12),$C$13,$C$11))))</f>
        <v/>
      </c>
      <c r="M107" s="13" t="str">
        <f aca="false">IF(K107="","",IF(OR(ISNUMBER(SEARCH("full",L107)),UPPER(TRIM(L107))="FT",UPPER(TRIM(L107))="FTE"),"FT",IF(AND(OR(ISNUMBER(SEARCH("part",L107)),UPPER(TRIM(L107))="PT",UPPER(TRIM(L107))="PTE"),OR($C$10="",N($C$10)&gt;=PT_MinHours)),"PT","None")))</f>
        <v/>
      </c>
      <c r="N107" s="13" t="n">
        <f aca="false">IF(I107&lt;FT_Y5,1,IF(MOD(I107-FT_Y5,12)=0,FT_AnnivDays,1))</f>
        <v>1</v>
      </c>
      <c r="O107" s="13" t="str">
        <f aca="false">IF(K107="","",IF(AND(M107="FT",K107&lt;=AsOfDate),N107,0))</f>
        <v/>
      </c>
      <c r="Q107" s="13" t="n">
        <v>88</v>
      </c>
      <c r="R107" s="13" t="n">
        <f aca="false">PT_First+PT_Int*87</f>
        <v>408</v>
      </c>
      <c r="S107" s="13" t="str">
        <f aca="false">INT(R107/12)&amp;"y "&amp;MOD(R107,12)&amp;"m"</f>
        <v>34y 0m</v>
      </c>
      <c r="T107" s="11" t="str">
        <f aca="false">IF(OR($C$6&lt;&gt;"Yes",$C$8=""),"",EDATE($C$8,R107))</f>
        <v/>
      </c>
      <c r="U107" s="13" t="str">
        <f aca="false">IF(T107="","",IF($C$16=0,$C$9,IF(AND($C$14&lt;&gt;"",T107&gt;=$C$14),$C$15,IF(AND($C$12&lt;&gt;"",T107&gt;=$C$12),$C$13,$C$11))))</f>
        <v/>
      </c>
      <c r="V107" s="13" t="str">
        <f aca="false">IF(T107="","",IF(OR(ISNUMBER(SEARCH("full",U107)),UPPER(TRIM(U107))="FT",UPPER(TRIM(U107))="FTE"),"FT",IF(AND(OR(ISNUMBER(SEARCH("part",U107)),UPPER(TRIM(U107))="PT",UPPER(TRIM(U107))="PTE"),OR($C$10="",N($C$10)&gt;=PT_MinHours)),"PT","None")))</f>
        <v/>
      </c>
      <c r="W107" s="13" t="n">
        <v>1</v>
      </c>
      <c r="X107" s="13" t="str">
        <f aca="false">IF(T107="","",IF(AND(V107="PT",T107&lt;=AsOfDate),W107,0))</f>
        <v/>
      </c>
      <c r="Z107" s="16" t="n">
        <f aca="false">I107</f>
        <v>303</v>
      </c>
      <c r="AA107" s="16" t="n">
        <f aca="false">SMALL($Z$20:$Z$199,88)</f>
        <v>198</v>
      </c>
      <c r="AB107" s="16" t="str">
        <f aca="false">IF(88-COUNTIF($Z$20:$Z$199,"&lt;"&amp;AA107)=1,IF(COUNTIF($I$20:$I$109,AA107)&gt;0,"FT","PT"),"PT")</f>
        <v>FT</v>
      </c>
      <c r="AC107" s="16" t="n">
        <f aca="false">IF(AB107="FT",INDEX($N$20:$N$109,MATCH(AA107,$I$20:$I$109,0)),1)</f>
        <v>1</v>
      </c>
    </row>
    <row r="108" customFormat="false" ht="15" hidden="false" customHeight="false" outlineLevel="0" collapsed="false">
      <c r="H108" s="13" t="n">
        <v>89</v>
      </c>
      <c r="I108" s="13" t="n">
        <f aca="false">IF(88&lt;FT_PreY5,FT_First+FT_Int1*88,FT_Y5+FT_Int2*(88-FT_PreY5))</f>
        <v>306</v>
      </c>
      <c r="J108" s="13" t="str">
        <f aca="false">INT(I108/12)&amp;"y "&amp;MOD(I108,12)&amp;"m"</f>
        <v>25y 6m</v>
      </c>
      <c r="K108" s="11" t="str">
        <f aca="false">IF(OR($C$6&lt;&gt;"Yes",$C$8=""),"",EDATE($C$8,I108))</f>
        <v/>
      </c>
      <c r="L108" s="13" t="str">
        <f aca="false">IF(K108="","",IF($C$16=0,$C$9,IF(AND($C$14&lt;&gt;"",K108&gt;=$C$14),$C$15,IF(AND($C$12&lt;&gt;"",K108&gt;=$C$12),$C$13,$C$11))))</f>
        <v/>
      </c>
      <c r="M108" s="13" t="str">
        <f aca="false">IF(K108="","",IF(OR(ISNUMBER(SEARCH("full",L108)),UPPER(TRIM(L108))="FT",UPPER(TRIM(L108))="FTE"),"FT",IF(AND(OR(ISNUMBER(SEARCH("part",L108)),UPPER(TRIM(L108))="PT",UPPER(TRIM(L108))="PTE"),OR($C$10="",N($C$10)&gt;=PT_MinHours)),"PT","None")))</f>
        <v/>
      </c>
      <c r="N108" s="13" t="n">
        <f aca="false">IF(I108&lt;FT_Y5,1,IF(MOD(I108-FT_Y5,12)=0,FT_AnnivDays,1))</f>
        <v>1</v>
      </c>
      <c r="O108" s="13" t="str">
        <f aca="false">IF(K108="","",IF(AND(M108="FT",K108&lt;=AsOfDate),N108,0))</f>
        <v/>
      </c>
      <c r="Q108" s="13" t="n">
        <v>89</v>
      </c>
      <c r="R108" s="13" t="n">
        <f aca="false">PT_First+PT_Int*88</f>
        <v>412</v>
      </c>
      <c r="S108" s="13" t="str">
        <f aca="false">INT(R108/12)&amp;"y "&amp;MOD(R108,12)&amp;"m"</f>
        <v>34y 4m</v>
      </c>
      <c r="T108" s="11" t="str">
        <f aca="false">IF(OR($C$6&lt;&gt;"Yes",$C$8=""),"",EDATE($C$8,R108))</f>
        <v/>
      </c>
      <c r="U108" s="13" t="str">
        <f aca="false">IF(T108="","",IF($C$16=0,$C$9,IF(AND($C$14&lt;&gt;"",T108&gt;=$C$14),$C$15,IF(AND($C$12&lt;&gt;"",T108&gt;=$C$12),$C$13,$C$11))))</f>
        <v/>
      </c>
      <c r="V108" s="13" t="str">
        <f aca="false">IF(T108="","",IF(OR(ISNUMBER(SEARCH("full",U108)),UPPER(TRIM(U108))="FT",UPPER(TRIM(U108))="FTE"),"FT",IF(AND(OR(ISNUMBER(SEARCH("part",U108)),UPPER(TRIM(U108))="PT",UPPER(TRIM(U108))="PTE"),OR($C$10="",N($C$10)&gt;=PT_MinHours)),"PT","None")))</f>
        <v/>
      </c>
      <c r="W108" s="13" t="n">
        <v>1</v>
      </c>
      <c r="X108" s="13" t="str">
        <f aca="false">IF(T108="","",IF(AND(V108="PT",T108&lt;=AsOfDate),W108,0))</f>
        <v/>
      </c>
      <c r="Z108" s="16" t="n">
        <f aca="false">I108</f>
        <v>306</v>
      </c>
      <c r="AA108" s="16" t="n">
        <f aca="false">SMALL($Z$20:$Z$199,89)</f>
        <v>200</v>
      </c>
      <c r="AB108" s="16" t="str">
        <f aca="false">IF(89-COUNTIF($Z$20:$Z$199,"&lt;"&amp;AA108)=1,IF(COUNTIF($I$20:$I$109,AA108)&gt;0,"FT","PT"),"PT")</f>
        <v>PT</v>
      </c>
      <c r="AC108" s="16" t="n">
        <f aca="false">IF(AB108="FT",INDEX($N$20:$N$109,MATCH(AA108,$I$20:$I$109,0)),1)</f>
        <v>1</v>
      </c>
    </row>
    <row r="109" customFormat="false" ht="15" hidden="false" customHeight="false" outlineLevel="0" collapsed="false">
      <c r="H109" s="13" t="n">
        <v>90</v>
      </c>
      <c r="I109" s="13" t="n">
        <f aca="false">IF(89&lt;FT_PreY5,FT_First+FT_Int1*89,FT_Y5+FT_Int2*(89-FT_PreY5))</f>
        <v>309</v>
      </c>
      <c r="J109" s="13" t="str">
        <f aca="false">INT(I109/12)&amp;"y "&amp;MOD(I109,12)&amp;"m"</f>
        <v>25y 9m</v>
      </c>
      <c r="K109" s="11" t="str">
        <f aca="false">IF(OR($C$6&lt;&gt;"Yes",$C$8=""),"",EDATE($C$8,I109))</f>
        <v/>
      </c>
      <c r="L109" s="13" t="str">
        <f aca="false">IF(K109="","",IF($C$16=0,$C$9,IF(AND($C$14&lt;&gt;"",K109&gt;=$C$14),$C$15,IF(AND($C$12&lt;&gt;"",K109&gt;=$C$12),$C$13,$C$11))))</f>
        <v/>
      </c>
      <c r="M109" s="13" t="str">
        <f aca="false">IF(K109="","",IF(OR(ISNUMBER(SEARCH("full",L109)),UPPER(TRIM(L109))="FT",UPPER(TRIM(L109))="FTE"),"FT",IF(AND(OR(ISNUMBER(SEARCH("part",L109)),UPPER(TRIM(L109))="PT",UPPER(TRIM(L109))="PTE"),OR($C$10="",N($C$10)&gt;=PT_MinHours)),"PT","None")))</f>
        <v/>
      </c>
      <c r="N109" s="13" t="n">
        <f aca="false">IF(I109&lt;FT_Y5,1,IF(MOD(I109-FT_Y5,12)=0,FT_AnnivDays,1))</f>
        <v>1</v>
      </c>
      <c r="O109" s="13" t="str">
        <f aca="false">IF(K109="","",IF(AND(M109="FT",K109&lt;=AsOfDate),N109,0))</f>
        <v/>
      </c>
      <c r="Q109" s="13" t="n">
        <v>90</v>
      </c>
      <c r="R109" s="13" t="n">
        <f aca="false">PT_First+PT_Int*89</f>
        <v>416</v>
      </c>
      <c r="S109" s="13" t="str">
        <f aca="false">INT(R109/12)&amp;"y "&amp;MOD(R109,12)&amp;"m"</f>
        <v>34y 8m</v>
      </c>
      <c r="T109" s="11" t="str">
        <f aca="false">IF(OR($C$6&lt;&gt;"Yes",$C$8=""),"",EDATE($C$8,R109))</f>
        <v/>
      </c>
      <c r="U109" s="13" t="str">
        <f aca="false">IF(T109="","",IF($C$16=0,$C$9,IF(AND($C$14&lt;&gt;"",T109&gt;=$C$14),$C$15,IF(AND($C$12&lt;&gt;"",T109&gt;=$C$12),$C$13,$C$11))))</f>
        <v/>
      </c>
      <c r="V109" s="13" t="str">
        <f aca="false">IF(T109="","",IF(OR(ISNUMBER(SEARCH("full",U109)),UPPER(TRIM(U109))="FT",UPPER(TRIM(U109))="FTE"),"FT",IF(AND(OR(ISNUMBER(SEARCH("part",U109)),UPPER(TRIM(U109))="PT",UPPER(TRIM(U109))="PTE"),OR($C$10="",N($C$10)&gt;=PT_MinHours)),"PT","None")))</f>
        <v/>
      </c>
      <c r="W109" s="13" t="n">
        <v>1</v>
      </c>
      <c r="X109" s="13" t="str">
        <f aca="false">IF(T109="","",IF(AND(V109="PT",T109&lt;=AsOfDate),W109,0))</f>
        <v/>
      </c>
      <c r="Z109" s="16" t="n">
        <f aca="false">I109</f>
        <v>309</v>
      </c>
      <c r="AA109" s="16" t="n">
        <f aca="false">SMALL($Z$20:$Z$199,90)</f>
        <v>201</v>
      </c>
      <c r="AB109" s="16" t="str">
        <f aca="false">IF(90-COUNTIF($Z$20:$Z$199,"&lt;"&amp;AA109)=1,IF(COUNTIF($I$20:$I$109,AA109)&gt;0,"FT","PT"),"PT")</f>
        <v>FT</v>
      </c>
      <c r="AC109" s="16" t="n">
        <f aca="false">IF(AB109="FT",INDEX($N$20:$N$109,MATCH(AA109,$I$20:$I$109,0)),1)</f>
        <v>1</v>
      </c>
    </row>
    <row r="110" customFormat="false" ht="15" hidden="false" customHeight="false" outlineLevel="0" collapsed="false">
      <c r="Z110" s="16" t="n">
        <f aca="false">R20</f>
        <v>60</v>
      </c>
      <c r="AA110" s="16" t="n">
        <f aca="false">SMALL($Z$20:$Z$199,91)</f>
        <v>204</v>
      </c>
      <c r="AB110" s="16" t="str">
        <f aca="false">IF(91-COUNTIF($Z$20:$Z$199,"&lt;"&amp;AA110)=1,IF(COUNTIF($I$20:$I$109,AA110)&gt;0,"FT","PT"),"PT")</f>
        <v>FT</v>
      </c>
      <c r="AC110" s="16" t="n">
        <f aca="false">IF(AB110="FT",INDEX($N$20:$N$109,MATCH(AA110,$I$20:$I$109,0)),1)</f>
        <v>2</v>
      </c>
    </row>
    <row r="111" customFormat="false" ht="15" hidden="false" customHeight="false" outlineLevel="0" collapsed="false">
      <c r="Z111" s="16" t="n">
        <f aca="false">R21</f>
        <v>64</v>
      </c>
      <c r="AA111" s="16" t="n">
        <f aca="false">SMALL($Z$20:$Z$199,92)</f>
        <v>204</v>
      </c>
      <c r="AB111" s="16" t="str">
        <f aca="false">IF(92-COUNTIF($Z$20:$Z$199,"&lt;"&amp;AA111)=1,IF(COUNTIF($I$20:$I$109,AA111)&gt;0,"FT","PT"),"PT")</f>
        <v>PT</v>
      </c>
      <c r="AC111" s="16" t="n">
        <f aca="false">IF(AB111="FT",INDEX($N$20:$N$109,MATCH(AA111,$I$20:$I$109,0)),1)</f>
        <v>1</v>
      </c>
    </row>
    <row r="112" customFormat="false" ht="15" hidden="false" customHeight="false" outlineLevel="0" collapsed="false">
      <c r="Z112" s="16" t="n">
        <f aca="false">R22</f>
        <v>68</v>
      </c>
      <c r="AA112" s="16" t="n">
        <f aca="false">SMALL($Z$20:$Z$199,93)</f>
        <v>207</v>
      </c>
      <c r="AB112" s="16" t="str">
        <f aca="false">IF(93-COUNTIF($Z$20:$Z$199,"&lt;"&amp;AA112)=1,IF(COUNTIF($I$20:$I$109,AA112)&gt;0,"FT","PT"),"PT")</f>
        <v>FT</v>
      </c>
      <c r="AC112" s="16" t="n">
        <f aca="false">IF(AB112="FT",INDEX($N$20:$N$109,MATCH(AA112,$I$20:$I$109,0)),1)</f>
        <v>1</v>
      </c>
    </row>
    <row r="113" customFormat="false" ht="15" hidden="false" customHeight="false" outlineLevel="0" collapsed="false">
      <c r="Z113" s="16" t="n">
        <f aca="false">R23</f>
        <v>72</v>
      </c>
      <c r="AA113" s="16" t="n">
        <f aca="false">SMALL($Z$20:$Z$199,94)</f>
        <v>208</v>
      </c>
      <c r="AB113" s="16" t="str">
        <f aca="false">IF(94-COUNTIF($Z$20:$Z$199,"&lt;"&amp;AA113)=1,IF(COUNTIF($I$20:$I$109,AA113)&gt;0,"FT","PT"),"PT")</f>
        <v>PT</v>
      </c>
      <c r="AC113" s="16" t="n">
        <f aca="false">IF(AB113="FT",INDEX($N$20:$N$109,MATCH(AA113,$I$20:$I$109,0)),1)</f>
        <v>1</v>
      </c>
    </row>
    <row r="114" customFormat="false" ht="15" hidden="false" customHeight="false" outlineLevel="0" collapsed="false">
      <c r="Z114" s="16" t="n">
        <f aca="false">R24</f>
        <v>76</v>
      </c>
      <c r="AA114" s="16" t="n">
        <f aca="false">SMALL($Z$20:$Z$199,95)</f>
        <v>210</v>
      </c>
      <c r="AB114" s="16" t="str">
        <f aca="false">IF(95-COUNTIF($Z$20:$Z$199,"&lt;"&amp;AA114)=1,IF(COUNTIF($I$20:$I$109,AA114)&gt;0,"FT","PT"),"PT")</f>
        <v>FT</v>
      </c>
      <c r="AC114" s="16" t="n">
        <f aca="false">IF(AB114="FT",INDEX($N$20:$N$109,MATCH(AA114,$I$20:$I$109,0)),1)</f>
        <v>1</v>
      </c>
    </row>
    <row r="115" customFormat="false" ht="15" hidden="false" customHeight="false" outlineLevel="0" collapsed="false">
      <c r="Z115" s="16" t="n">
        <f aca="false">R25</f>
        <v>80</v>
      </c>
      <c r="AA115" s="16" t="n">
        <f aca="false">SMALL($Z$20:$Z$199,96)</f>
        <v>212</v>
      </c>
      <c r="AB115" s="16" t="str">
        <f aca="false">IF(96-COUNTIF($Z$20:$Z$199,"&lt;"&amp;AA115)=1,IF(COUNTIF($I$20:$I$109,AA115)&gt;0,"FT","PT"),"PT")</f>
        <v>PT</v>
      </c>
      <c r="AC115" s="16" t="n">
        <f aca="false">IF(AB115="FT",INDEX($N$20:$N$109,MATCH(AA115,$I$20:$I$109,0)),1)</f>
        <v>1</v>
      </c>
    </row>
    <row r="116" customFormat="false" ht="15" hidden="false" customHeight="false" outlineLevel="0" collapsed="false">
      <c r="Z116" s="16" t="n">
        <f aca="false">R26</f>
        <v>84</v>
      </c>
      <c r="AA116" s="16" t="n">
        <f aca="false">SMALL($Z$20:$Z$199,97)</f>
        <v>213</v>
      </c>
      <c r="AB116" s="16" t="str">
        <f aca="false">IF(97-COUNTIF($Z$20:$Z$199,"&lt;"&amp;AA116)=1,IF(COUNTIF($I$20:$I$109,AA116)&gt;0,"FT","PT"),"PT")</f>
        <v>FT</v>
      </c>
      <c r="AC116" s="16" t="n">
        <f aca="false">IF(AB116="FT",INDEX($N$20:$N$109,MATCH(AA116,$I$20:$I$109,0)),1)</f>
        <v>1</v>
      </c>
    </row>
    <row r="117" customFormat="false" ht="15" hidden="false" customHeight="false" outlineLevel="0" collapsed="false">
      <c r="Z117" s="16" t="n">
        <f aca="false">R27</f>
        <v>88</v>
      </c>
      <c r="AA117" s="16" t="n">
        <f aca="false">SMALL($Z$20:$Z$199,98)</f>
        <v>216</v>
      </c>
      <c r="AB117" s="16" t="str">
        <f aca="false">IF(98-COUNTIF($Z$20:$Z$199,"&lt;"&amp;AA117)=1,IF(COUNTIF($I$20:$I$109,AA117)&gt;0,"FT","PT"),"PT")</f>
        <v>FT</v>
      </c>
      <c r="AC117" s="16" t="n">
        <f aca="false">IF(AB117="FT",INDEX($N$20:$N$109,MATCH(AA117,$I$20:$I$109,0)),1)</f>
        <v>2</v>
      </c>
    </row>
    <row r="118" customFormat="false" ht="15" hidden="false" customHeight="false" outlineLevel="0" collapsed="false">
      <c r="Z118" s="16" t="n">
        <f aca="false">R28</f>
        <v>92</v>
      </c>
      <c r="AA118" s="16" t="n">
        <f aca="false">SMALL($Z$20:$Z$199,99)</f>
        <v>216</v>
      </c>
      <c r="AB118" s="16" t="str">
        <f aca="false">IF(99-COUNTIF($Z$20:$Z$199,"&lt;"&amp;AA118)=1,IF(COUNTIF($I$20:$I$109,AA118)&gt;0,"FT","PT"),"PT")</f>
        <v>PT</v>
      </c>
      <c r="AC118" s="16" t="n">
        <f aca="false">IF(AB118="FT",INDEX($N$20:$N$109,MATCH(AA118,$I$20:$I$109,0)),1)</f>
        <v>1</v>
      </c>
    </row>
    <row r="119" customFormat="false" ht="15" hidden="false" customHeight="false" outlineLevel="0" collapsed="false">
      <c r="Z119" s="16" t="n">
        <f aca="false">R29</f>
        <v>96</v>
      </c>
      <c r="AA119" s="16" t="n">
        <f aca="false">SMALL($Z$20:$Z$199,100)</f>
        <v>219</v>
      </c>
      <c r="AB119" s="16" t="str">
        <f aca="false">IF(100-COUNTIF($Z$20:$Z$199,"&lt;"&amp;AA119)=1,IF(COUNTIF($I$20:$I$109,AA119)&gt;0,"FT","PT"),"PT")</f>
        <v>FT</v>
      </c>
      <c r="AC119" s="16" t="n">
        <f aca="false">IF(AB119="FT",INDEX($N$20:$N$109,MATCH(AA119,$I$20:$I$109,0)),1)</f>
        <v>1</v>
      </c>
    </row>
    <row r="120" customFormat="false" ht="15" hidden="false" customHeight="false" outlineLevel="0" collapsed="false">
      <c r="Z120" s="16" t="n">
        <f aca="false">R30</f>
        <v>100</v>
      </c>
      <c r="AA120" s="16" t="n">
        <f aca="false">SMALL($Z$20:$Z$199,101)</f>
        <v>220</v>
      </c>
      <c r="AB120" s="16" t="str">
        <f aca="false">IF(101-COUNTIF($Z$20:$Z$199,"&lt;"&amp;AA120)=1,IF(COUNTIF($I$20:$I$109,AA120)&gt;0,"FT","PT"),"PT")</f>
        <v>PT</v>
      </c>
      <c r="AC120" s="16" t="n">
        <f aca="false">IF(AB120="FT",INDEX($N$20:$N$109,MATCH(AA120,$I$20:$I$109,0)),1)</f>
        <v>1</v>
      </c>
    </row>
    <row r="121" customFormat="false" ht="15" hidden="false" customHeight="false" outlineLevel="0" collapsed="false">
      <c r="Z121" s="16" t="n">
        <f aca="false">R31</f>
        <v>104</v>
      </c>
      <c r="AA121" s="16" t="n">
        <f aca="false">SMALL($Z$20:$Z$199,102)</f>
        <v>222</v>
      </c>
      <c r="AB121" s="16" t="str">
        <f aca="false">IF(102-COUNTIF($Z$20:$Z$199,"&lt;"&amp;AA121)=1,IF(COUNTIF($I$20:$I$109,AA121)&gt;0,"FT","PT"),"PT")</f>
        <v>FT</v>
      </c>
      <c r="AC121" s="16" t="n">
        <f aca="false">IF(AB121="FT",INDEX($N$20:$N$109,MATCH(AA121,$I$20:$I$109,0)),1)</f>
        <v>1</v>
      </c>
    </row>
    <row r="122" customFormat="false" ht="15" hidden="false" customHeight="false" outlineLevel="0" collapsed="false">
      <c r="Z122" s="16" t="n">
        <f aca="false">R32</f>
        <v>108</v>
      </c>
      <c r="AA122" s="16" t="n">
        <f aca="false">SMALL($Z$20:$Z$199,103)</f>
        <v>224</v>
      </c>
      <c r="AB122" s="16" t="str">
        <f aca="false">IF(103-COUNTIF($Z$20:$Z$199,"&lt;"&amp;AA122)=1,IF(COUNTIF($I$20:$I$109,AA122)&gt;0,"FT","PT"),"PT")</f>
        <v>PT</v>
      </c>
      <c r="AC122" s="16" t="n">
        <f aca="false">IF(AB122="FT",INDEX($N$20:$N$109,MATCH(AA122,$I$20:$I$109,0)),1)</f>
        <v>1</v>
      </c>
    </row>
    <row r="123" customFormat="false" ht="15" hidden="false" customHeight="false" outlineLevel="0" collapsed="false">
      <c r="Z123" s="16" t="n">
        <f aca="false">R33</f>
        <v>112</v>
      </c>
      <c r="AA123" s="16" t="n">
        <f aca="false">SMALL($Z$20:$Z$199,104)</f>
        <v>225</v>
      </c>
      <c r="AB123" s="16" t="str">
        <f aca="false">IF(104-COUNTIF($Z$20:$Z$199,"&lt;"&amp;AA123)=1,IF(COUNTIF($I$20:$I$109,AA123)&gt;0,"FT","PT"),"PT")</f>
        <v>FT</v>
      </c>
      <c r="AC123" s="16" t="n">
        <f aca="false">IF(AB123="FT",INDEX($N$20:$N$109,MATCH(AA123,$I$20:$I$109,0)),1)</f>
        <v>1</v>
      </c>
    </row>
    <row r="124" customFormat="false" ht="15" hidden="false" customHeight="false" outlineLevel="0" collapsed="false">
      <c r="Z124" s="16" t="n">
        <f aca="false">R34</f>
        <v>116</v>
      </c>
      <c r="AA124" s="16" t="n">
        <f aca="false">SMALL($Z$20:$Z$199,105)</f>
        <v>228</v>
      </c>
      <c r="AB124" s="16" t="str">
        <f aca="false">IF(105-COUNTIF($Z$20:$Z$199,"&lt;"&amp;AA124)=1,IF(COUNTIF($I$20:$I$109,AA124)&gt;0,"FT","PT"),"PT")</f>
        <v>FT</v>
      </c>
      <c r="AC124" s="16" t="n">
        <f aca="false">IF(AB124="FT",INDEX($N$20:$N$109,MATCH(AA124,$I$20:$I$109,0)),1)</f>
        <v>2</v>
      </c>
    </row>
    <row r="125" customFormat="false" ht="15" hidden="false" customHeight="false" outlineLevel="0" collapsed="false">
      <c r="Z125" s="16" t="n">
        <f aca="false">R35</f>
        <v>120</v>
      </c>
      <c r="AA125" s="16" t="n">
        <f aca="false">SMALL($Z$20:$Z$199,106)</f>
        <v>228</v>
      </c>
      <c r="AB125" s="16" t="str">
        <f aca="false">IF(106-COUNTIF($Z$20:$Z$199,"&lt;"&amp;AA125)=1,IF(COUNTIF($I$20:$I$109,AA125)&gt;0,"FT","PT"),"PT")</f>
        <v>PT</v>
      </c>
      <c r="AC125" s="16" t="n">
        <f aca="false">IF(AB125="FT",INDEX($N$20:$N$109,MATCH(AA125,$I$20:$I$109,0)),1)</f>
        <v>1</v>
      </c>
    </row>
    <row r="126" customFormat="false" ht="15" hidden="false" customHeight="false" outlineLevel="0" collapsed="false">
      <c r="Z126" s="16" t="n">
        <f aca="false">R36</f>
        <v>124</v>
      </c>
      <c r="AA126" s="16" t="n">
        <f aca="false">SMALL($Z$20:$Z$199,107)</f>
        <v>231</v>
      </c>
      <c r="AB126" s="16" t="str">
        <f aca="false">IF(107-COUNTIF($Z$20:$Z$199,"&lt;"&amp;AA126)=1,IF(COUNTIF($I$20:$I$109,AA126)&gt;0,"FT","PT"),"PT")</f>
        <v>FT</v>
      </c>
      <c r="AC126" s="16" t="n">
        <f aca="false">IF(AB126="FT",INDEX($N$20:$N$109,MATCH(AA126,$I$20:$I$109,0)),1)</f>
        <v>1</v>
      </c>
    </row>
    <row r="127" customFormat="false" ht="15" hidden="false" customHeight="false" outlineLevel="0" collapsed="false">
      <c r="Z127" s="16" t="n">
        <f aca="false">R37</f>
        <v>128</v>
      </c>
      <c r="AA127" s="16" t="n">
        <f aca="false">SMALL($Z$20:$Z$199,108)</f>
        <v>232</v>
      </c>
      <c r="AB127" s="16" t="str">
        <f aca="false">IF(108-COUNTIF($Z$20:$Z$199,"&lt;"&amp;AA127)=1,IF(COUNTIF($I$20:$I$109,AA127)&gt;0,"FT","PT"),"PT")</f>
        <v>PT</v>
      </c>
      <c r="AC127" s="16" t="n">
        <f aca="false">IF(AB127="FT",INDEX($N$20:$N$109,MATCH(AA127,$I$20:$I$109,0)),1)</f>
        <v>1</v>
      </c>
    </row>
    <row r="128" customFormat="false" ht="15" hidden="false" customHeight="false" outlineLevel="0" collapsed="false">
      <c r="Z128" s="16" t="n">
        <f aca="false">R38</f>
        <v>132</v>
      </c>
      <c r="AA128" s="16" t="n">
        <f aca="false">SMALL($Z$20:$Z$199,109)</f>
        <v>234</v>
      </c>
      <c r="AB128" s="16" t="str">
        <f aca="false">IF(109-COUNTIF($Z$20:$Z$199,"&lt;"&amp;AA128)=1,IF(COUNTIF($I$20:$I$109,AA128)&gt;0,"FT","PT"),"PT")</f>
        <v>FT</v>
      </c>
      <c r="AC128" s="16" t="n">
        <f aca="false">IF(AB128="FT",INDEX($N$20:$N$109,MATCH(AA128,$I$20:$I$109,0)),1)</f>
        <v>1</v>
      </c>
    </row>
    <row r="129" customFormat="false" ht="15" hidden="false" customHeight="false" outlineLevel="0" collapsed="false">
      <c r="Z129" s="16" t="n">
        <f aca="false">R39</f>
        <v>136</v>
      </c>
      <c r="AA129" s="16" t="n">
        <f aca="false">SMALL($Z$20:$Z$199,110)</f>
        <v>236</v>
      </c>
      <c r="AB129" s="16" t="str">
        <f aca="false">IF(110-COUNTIF($Z$20:$Z$199,"&lt;"&amp;AA129)=1,IF(COUNTIF($I$20:$I$109,AA129)&gt;0,"FT","PT"),"PT")</f>
        <v>PT</v>
      </c>
      <c r="AC129" s="16" t="n">
        <f aca="false">IF(AB129="FT",INDEX($N$20:$N$109,MATCH(AA129,$I$20:$I$109,0)),1)</f>
        <v>1</v>
      </c>
    </row>
    <row r="130" customFormat="false" ht="15" hidden="false" customHeight="false" outlineLevel="0" collapsed="false">
      <c r="Z130" s="16" t="n">
        <f aca="false">R40</f>
        <v>140</v>
      </c>
      <c r="AA130" s="16" t="n">
        <f aca="false">SMALL($Z$20:$Z$199,111)</f>
        <v>237</v>
      </c>
      <c r="AB130" s="16" t="str">
        <f aca="false">IF(111-COUNTIF($Z$20:$Z$199,"&lt;"&amp;AA130)=1,IF(COUNTIF($I$20:$I$109,AA130)&gt;0,"FT","PT"),"PT")</f>
        <v>FT</v>
      </c>
      <c r="AC130" s="16" t="n">
        <f aca="false">IF(AB130="FT",INDEX($N$20:$N$109,MATCH(AA130,$I$20:$I$109,0)),1)</f>
        <v>1</v>
      </c>
    </row>
    <row r="131" customFormat="false" ht="15" hidden="false" customHeight="false" outlineLevel="0" collapsed="false">
      <c r="Z131" s="16" t="n">
        <f aca="false">R41</f>
        <v>144</v>
      </c>
      <c r="AA131" s="16" t="n">
        <f aca="false">SMALL($Z$20:$Z$199,112)</f>
        <v>240</v>
      </c>
      <c r="AB131" s="16" t="str">
        <f aca="false">IF(112-COUNTIF($Z$20:$Z$199,"&lt;"&amp;AA131)=1,IF(COUNTIF($I$20:$I$109,AA131)&gt;0,"FT","PT"),"PT")</f>
        <v>FT</v>
      </c>
      <c r="AC131" s="16" t="n">
        <f aca="false">IF(AB131="FT",INDEX($N$20:$N$109,MATCH(AA131,$I$20:$I$109,0)),1)</f>
        <v>2</v>
      </c>
    </row>
    <row r="132" customFormat="false" ht="15" hidden="false" customHeight="false" outlineLevel="0" collapsed="false">
      <c r="Z132" s="16" t="n">
        <f aca="false">R42</f>
        <v>148</v>
      </c>
      <c r="AA132" s="16" t="n">
        <f aca="false">SMALL($Z$20:$Z$199,113)</f>
        <v>240</v>
      </c>
      <c r="AB132" s="16" t="str">
        <f aca="false">IF(113-COUNTIF($Z$20:$Z$199,"&lt;"&amp;AA132)=1,IF(COUNTIF($I$20:$I$109,AA132)&gt;0,"FT","PT"),"PT")</f>
        <v>PT</v>
      </c>
      <c r="AC132" s="16" t="n">
        <f aca="false">IF(AB132="FT",INDEX($N$20:$N$109,MATCH(AA132,$I$20:$I$109,0)),1)</f>
        <v>1</v>
      </c>
    </row>
    <row r="133" customFormat="false" ht="15" hidden="false" customHeight="false" outlineLevel="0" collapsed="false">
      <c r="Z133" s="16" t="n">
        <f aca="false">R43</f>
        <v>152</v>
      </c>
      <c r="AA133" s="16" t="n">
        <f aca="false">SMALL($Z$20:$Z$199,114)</f>
        <v>243</v>
      </c>
      <c r="AB133" s="16" t="str">
        <f aca="false">IF(114-COUNTIF($Z$20:$Z$199,"&lt;"&amp;AA133)=1,IF(COUNTIF($I$20:$I$109,AA133)&gt;0,"FT","PT"),"PT")</f>
        <v>FT</v>
      </c>
      <c r="AC133" s="16" t="n">
        <f aca="false">IF(AB133="FT",INDEX($N$20:$N$109,MATCH(AA133,$I$20:$I$109,0)),1)</f>
        <v>1</v>
      </c>
    </row>
    <row r="134" customFormat="false" ht="15" hidden="false" customHeight="false" outlineLevel="0" collapsed="false">
      <c r="Z134" s="16" t="n">
        <f aca="false">R44</f>
        <v>156</v>
      </c>
      <c r="AA134" s="16" t="n">
        <f aca="false">SMALL($Z$20:$Z$199,115)</f>
        <v>244</v>
      </c>
      <c r="AB134" s="16" t="str">
        <f aca="false">IF(115-COUNTIF($Z$20:$Z$199,"&lt;"&amp;AA134)=1,IF(COUNTIF($I$20:$I$109,AA134)&gt;0,"FT","PT"),"PT")</f>
        <v>PT</v>
      </c>
      <c r="AC134" s="16" t="n">
        <f aca="false">IF(AB134="FT",INDEX($N$20:$N$109,MATCH(AA134,$I$20:$I$109,0)),1)</f>
        <v>1</v>
      </c>
    </row>
    <row r="135" customFormat="false" ht="15" hidden="false" customHeight="false" outlineLevel="0" collapsed="false">
      <c r="Z135" s="16" t="n">
        <f aca="false">R45</f>
        <v>160</v>
      </c>
      <c r="AA135" s="16" t="n">
        <f aca="false">SMALL($Z$20:$Z$199,116)</f>
        <v>246</v>
      </c>
      <c r="AB135" s="16" t="str">
        <f aca="false">IF(116-COUNTIF($Z$20:$Z$199,"&lt;"&amp;AA135)=1,IF(COUNTIF($I$20:$I$109,AA135)&gt;0,"FT","PT"),"PT")</f>
        <v>FT</v>
      </c>
      <c r="AC135" s="16" t="n">
        <f aca="false">IF(AB135="FT",INDEX($N$20:$N$109,MATCH(AA135,$I$20:$I$109,0)),1)</f>
        <v>1</v>
      </c>
    </row>
    <row r="136" customFormat="false" ht="15" hidden="false" customHeight="false" outlineLevel="0" collapsed="false">
      <c r="Z136" s="16" t="n">
        <f aca="false">R46</f>
        <v>164</v>
      </c>
      <c r="AA136" s="16" t="n">
        <f aca="false">SMALL($Z$20:$Z$199,117)</f>
        <v>248</v>
      </c>
      <c r="AB136" s="16" t="str">
        <f aca="false">IF(117-COUNTIF($Z$20:$Z$199,"&lt;"&amp;AA136)=1,IF(COUNTIF($I$20:$I$109,AA136)&gt;0,"FT","PT"),"PT")</f>
        <v>PT</v>
      </c>
      <c r="AC136" s="16" t="n">
        <f aca="false">IF(AB136="FT",INDEX($N$20:$N$109,MATCH(AA136,$I$20:$I$109,0)),1)</f>
        <v>1</v>
      </c>
    </row>
    <row r="137" customFormat="false" ht="15" hidden="false" customHeight="false" outlineLevel="0" collapsed="false">
      <c r="Z137" s="16" t="n">
        <f aca="false">R47</f>
        <v>168</v>
      </c>
      <c r="AA137" s="16" t="n">
        <f aca="false">SMALL($Z$20:$Z$199,118)</f>
        <v>249</v>
      </c>
      <c r="AB137" s="16" t="str">
        <f aca="false">IF(118-COUNTIF($Z$20:$Z$199,"&lt;"&amp;AA137)=1,IF(COUNTIF($I$20:$I$109,AA137)&gt;0,"FT","PT"),"PT")</f>
        <v>FT</v>
      </c>
      <c r="AC137" s="16" t="n">
        <f aca="false">IF(AB137="FT",INDEX($N$20:$N$109,MATCH(AA137,$I$20:$I$109,0)),1)</f>
        <v>1</v>
      </c>
    </row>
    <row r="138" customFormat="false" ht="15" hidden="false" customHeight="false" outlineLevel="0" collapsed="false">
      <c r="Z138" s="16" t="n">
        <f aca="false">R48</f>
        <v>172</v>
      </c>
      <c r="AA138" s="16" t="n">
        <f aca="false">SMALL($Z$20:$Z$199,119)</f>
        <v>252</v>
      </c>
      <c r="AB138" s="16" t="str">
        <f aca="false">IF(119-COUNTIF($Z$20:$Z$199,"&lt;"&amp;AA138)=1,IF(COUNTIF($I$20:$I$109,AA138)&gt;0,"FT","PT"),"PT")</f>
        <v>FT</v>
      </c>
      <c r="AC138" s="16" t="n">
        <f aca="false">IF(AB138="FT",INDEX($N$20:$N$109,MATCH(AA138,$I$20:$I$109,0)),1)</f>
        <v>2</v>
      </c>
    </row>
    <row r="139" customFormat="false" ht="15" hidden="false" customHeight="false" outlineLevel="0" collapsed="false">
      <c r="Z139" s="16" t="n">
        <f aca="false">R49</f>
        <v>176</v>
      </c>
      <c r="AA139" s="16" t="n">
        <f aca="false">SMALL($Z$20:$Z$199,120)</f>
        <v>252</v>
      </c>
      <c r="AB139" s="16" t="str">
        <f aca="false">IF(120-COUNTIF($Z$20:$Z$199,"&lt;"&amp;AA139)=1,IF(COUNTIF($I$20:$I$109,AA139)&gt;0,"FT","PT"),"PT")</f>
        <v>PT</v>
      </c>
      <c r="AC139" s="16" t="n">
        <f aca="false">IF(AB139="FT",INDEX($N$20:$N$109,MATCH(AA139,$I$20:$I$109,0)),1)</f>
        <v>1</v>
      </c>
    </row>
    <row r="140" customFormat="false" ht="15" hidden="false" customHeight="false" outlineLevel="0" collapsed="false">
      <c r="Z140" s="16" t="n">
        <f aca="false">R50</f>
        <v>180</v>
      </c>
      <c r="AA140" s="16" t="n">
        <f aca="false">SMALL($Z$20:$Z$199,121)</f>
        <v>255</v>
      </c>
      <c r="AB140" s="16" t="str">
        <f aca="false">IF(121-COUNTIF($Z$20:$Z$199,"&lt;"&amp;AA140)=1,IF(COUNTIF($I$20:$I$109,AA140)&gt;0,"FT","PT"),"PT")</f>
        <v>FT</v>
      </c>
      <c r="AC140" s="16" t="n">
        <f aca="false">IF(AB140="FT",INDEX($N$20:$N$109,MATCH(AA140,$I$20:$I$109,0)),1)</f>
        <v>1</v>
      </c>
    </row>
    <row r="141" customFormat="false" ht="15" hidden="false" customHeight="false" outlineLevel="0" collapsed="false">
      <c r="Z141" s="16" t="n">
        <f aca="false">R51</f>
        <v>184</v>
      </c>
      <c r="AA141" s="16" t="n">
        <f aca="false">SMALL($Z$20:$Z$199,122)</f>
        <v>256</v>
      </c>
      <c r="AB141" s="16" t="str">
        <f aca="false">IF(122-COUNTIF($Z$20:$Z$199,"&lt;"&amp;AA141)=1,IF(COUNTIF($I$20:$I$109,AA141)&gt;0,"FT","PT"),"PT")</f>
        <v>PT</v>
      </c>
      <c r="AC141" s="16" t="n">
        <f aca="false">IF(AB141="FT",INDEX($N$20:$N$109,MATCH(AA141,$I$20:$I$109,0)),1)</f>
        <v>1</v>
      </c>
    </row>
    <row r="142" customFormat="false" ht="15" hidden="false" customHeight="false" outlineLevel="0" collapsed="false">
      <c r="Z142" s="16" t="n">
        <f aca="false">R52</f>
        <v>188</v>
      </c>
      <c r="AA142" s="16" t="n">
        <f aca="false">SMALL($Z$20:$Z$199,123)</f>
        <v>258</v>
      </c>
      <c r="AB142" s="16" t="str">
        <f aca="false">IF(123-COUNTIF($Z$20:$Z$199,"&lt;"&amp;AA142)=1,IF(COUNTIF($I$20:$I$109,AA142)&gt;0,"FT","PT"),"PT")</f>
        <v>FT</v>
      </c>
      <c r="AC142" s="16" t="n">
        <f aca="false">IF(AB142="FT",INDEX($N$20:$N$109,MATCH(AA142,$I$20:$I$109,0)),1)</f>
        <v>1</v>
      </c>
    </row>
    <row r="143" customFormat="false" ht="15" hidden="false" customHeight="false" outlineLevel="0" collapsed="false">
      <c r="Z143" s="16" t="n">
        <f aca="false">R53</f>
        <v>192</v>
      </c>
      <c r="AA143" s="16" t="n">
        <f aca="false">SMALL($Z$20:$Z$199,124)</f>
        <v>260</v>
      </c>
      <c r="AB143" s="16" t="str">
        <f aca="false">IF(124-COUNTIF($Z$20:$Z$199,"&lt;"&amp;AA143)=1,IF(COUNTIF($I$20:$I$109,AA143)&gt;0,"FT","PT"),"PT")</f>
        <v>PT</v>
      </c>
      <c r="AC143" s="16" t="n">
        <f aca="false">IF(AB143="FT",INDEX($N$20:$N$109,MATCH(AA143,$I$20:$I$109,0)),1)</f>
        <v>1</v>
      </c>
    </row>
    <row r="144" customFormat="false" ht="15" hidden="false" customHeight="false" outlineLevel="0" collapsed="false">
      <c r="Z144" s="16" t="n">
        <f aca="false">R54</f>
        <v>196</v>
      </c>
      <c r="AA144" s="16" t="n">
        <f aca="false">SMALL($Z$20:$Z$199,125)</f>
        <v>261</v>
      </c>
      <c r="AB144" s="16" t="str">
        <f aca="false">IF(125-COUNTIF($Z$20:$Z$199,"&lt;"&amp;AA144)=1,IF(COUNTIF($I$20:$I$109,AA144)&gt;0,"FT","PT"),"PT")</f>
        <v>FT</v>
      </c>
      <c r="AC144" s="16" t="n">
        <f aca="false">IF(AB144="FT",INDEX($N$20:$N$109,MATCH(AA144,$I$20:$I$109,0)),1)</f>
        <v>1</v>
      </c>
    </row>
    <row r="145" customFormat="false" ht="15" hidden="false" customHeight="false" outlineLevel="0" collapsed="false">
      <c r="Z145" s="16" t="n">
        <f aca="false">R55</f>
        <v>200</v>
      </c>
      <c r="AA145" s="16" t="n">
        <f aca="false">SMALL($Z$20:$Z$199,126)</f>
        <v>264</v>
      </c>
      <c r="AB145" s="16" t="str">
        <f aca="false">IF(126-COUNTIF($Z$20:$Z$199,"&lt;"&amp;AA145)=1,IF(COUNTIF($I$20:$I$109,AA145)&gt;0,"FT","PT"),"PT")</f>
        <v>FT</v>
      </c>
      <c r="AC145" s="16" t="n">
        <f aca="false">IF(AB145="FT",INDEX($N$20:$N$109,MATCH(AA145,$I$20:$I$109,0)),1)</f>
        <v>2</v>
      </c>
    </row>
    <row r="146" customFormat="false" ht="15" hidden="false" customHeight="false" outlineLevel="0" collapsed="false">
      <c r="Z146" s="16" t="n">
        <f aca="false">R56</f>
        <v>204</v>
      </c>
      <c r="AA146" s="16" t="n">
        <f aca="false">SMALL($Z$20:$Z$199,127)</f>
        <v>264</v>
      </c>
      <c r="AB146" s="16" t="str">
        <f aca="false">IF(127-COUNTIF($Z$20:$Z$199,"&lt;"&amp;AA146)=1,IF(COUNTIF($I$20:$I$109,AA146)&gt;0,"FT","PT"),"PT")</f>
        <v>PT</v>
      </c>
      <c r="AC146" s="16" t="n">
        <f aca="false">IF(AB146="FT",INDEX($N$20:$N$109,MATCH(AA146,$I$20:$I$109,0)),1)</f>
        <v>1</v>
      </c>
    </row>
    <row r="147" customFormat="false" ht="15" hidden="false" customHeight="false" outlineLevel="0" collapsed="false">
      <c r="Z147" s="16" t="n">
        <f aca="false">R57</f>
        <v>208</v>
      </c>
      <c r="AA147" s="16" t="n">
        <f aca="false">SMALL($Z$20:$Z$199,128)</f>
        <v>267</v>
      </c>
      <c r="AB147" s="16" t="str">
        <f aca="false">IF(128-COUNTIF($Z$20:$Z$199,"&lt;"&amp;AA147)=1,IF(COUNTIF($I$20:$I$109,AA147)&gt;0,"FT","PT"),"PT")</f>
        <v>FT</v>
      </c>
      <c r="AC147" s="16" t="n">
        <f aca="false">IF(AB147="FT",INDEX($N$20:$N$109,MATCH(AA147,$I$20:$I$109,0)),1)</f>
        <v>1</v>
      </c>
    </row>
    <row r="148" customFormat="false" ht="15" hidden="false" customHeight="false" outlineLevel="0" collapsed="false">
      <c r="Z148" s="16" t="n">
        <f aca="false">R58</f>
        <v>212</v>
      </c>
      <c r="AA148" s="16" t="n">
        <f aca="false">SMALL($Z$20:$Z$199,129)</f>
        <v>268</v>
      </c>
      <c r="AB148" s="16" t="str">
        <f aca="false">IF(129-COUNTIF($Z$20:$Z$199,"&lt;"&amp;AA148)=1,IF(COUNTIF($I$20:$I$109,AA148)&gt;0,"FT","PT"),"PT")</f>
        <v>PT</v>
      </c>
      <c r="AC148" s="16" t="n">
        <f aca="false">IF(AB148="FT",INDEX($N$20:$N$109,MATCH(AA148,$I$20:$I$109,0)),1)</f>
        <v>1</v>
      </c>
    </row>
    <row r="149" customFormat="false" ht="15" hidden="false" customHeight="false" outlineLevel="0" collapsed="false">
      <c r="Z149" s="16" t="n">
        <f aca="false">R59</f>
        <v>216</v>
      </c>
      <c r="AA149" s="16" t="n">
        <f aca="false">SMALL($Z$20:$Z$199,130)</f>
        <v>270</v>
      </c>
      <c r="AB149" s="16" t="str">
        <f aca="false">IF(130-COUNTIF($Z$20:$Z$199,"&lt;"&amp;AA149)=1,IF(COUNTIF($I$20:$I$109,AA149)&gt;0,"FT","PT"),"PT")</f>
        <v>FT</v>
      </c>
      <c r="AC149" s="16" t="n">
        <f aca="false">IF(AB149="FT",INDEX($N$20:$N$109,MATCH(AA149,$I$20:$I$109,0)),1)</f>
        <v>1</v>
      </c>
    </row>
    <row r="150" customFormat="false" ht="15" hidden="false" customHeight="false" outlineLevel="0" collapsed="false">
      <c r="Z150" s="16" t="n">
        <f aca="false">R60</f>
        <v>220</v>
      </c>
      <c r="AA150" s="16" t="n">
        <f aca="false">SMALL($Z$20:$Z$199,131)</f>
        <v>272</v>
      </c>
      <c r="AB150" s="16" t="str">
        <f aca="false">IF(131-COUNTIF($Z$20:$Z$199,"&lt;"&amp;AA150)=1,IF(COUNTIF($I$20:$I$109,AA150)&gt;0,"FT","PT"),"PT")</f>
        <v>PT</v>
      </c>
      <c r="AC150" s="16" t="n">
        <f aca="false">IF(AB150="FT",INDEX($N$20:$N$109,MATCH(AA150,$I$20:$I$109,0)),1)</f>
        <v>1</v>
      </c>
    </row>
    <row r="151" customFormat="false" ht="15" hidden="false" customHeight="false" outlineLevel="0" collapsed="false">
      <c r="Z151" s="16" t="n">
        <f aca="false">R61</f>
        <v>224</v>
      </c>
      <c r="AA151" s="16" t="n">
        <f aca="false">SMALL($Z$20:$Z$199,132)</f>
        <v>273</v>
      </c>
      <c r="AB151" s="16" t="str">
        <f aca="false">IF(132-COUNTIF($Z$20:$Z$199,"&lt;"&amp;AA151)=1,IF(COUNTIF($I$20:$I$109,AA151)&gt;0,"FT","PT"),"PT")</f>
        <v>FT</v>
      </c>
      <c r="AC151" s="16" t="n">
        <f aca="false">IF(AB151="FT",INDEX($N$20:$N$109,MATCH(AA151,$I$20:$I$109,0)),1)</f>
        <v>1</v>
      </c>
    </row>
    <row r="152" customFormat="false" ht="15" hidden="false" customHeight="false" outlineLevel="0" collapsed="false">
      <c r="Z152" s="16" t="n">
        <f aca="false">R62</f>
        <v>228</v>
      </c>
      <c r="AA152" s="16" t="n">
        <f aca="false">SMALL($Z$20:$Z$199,133)</f>
        <v>276</v>
      </c>
      <c r="AB152" s="16" t="str">
        <f aca="false">IF(133-COUNTIF($Z$20:$Z$199,"&lt;"&amp;AA152)=1,IF(COUNTIF($I$20:$I$109,AA152)&gt;0,"FT","PT"),"PT")</f>
        <v>FT</v>
      </c>
      <c r="AC152" s="16" t="n">
        <f aca="false">IF(AB152="FT",INDEX($N$20:$N$109,MATCH(AA152,$I$20:$I$109,0)),1)</f>
        <v>2</v>
      </c>
    </row>
    <row r="153" customFormat="false" ht="15" hidden="false" customHeight="false" outlineLevel="0" collapsed="false">
      <c r="Z153" s="16" t="n">
        <f aca="false">R63</f>
        <v>232</v>
      </c>
      <c r="AA153" s="16" t="n">
        <f aca="false">SMALL($Z$20:$Z$199,134)</f>
        <v>276</v>
      </c>
      <c r="AB153" s="16" t="str">
        <f aca="false">IF(134-COUNTIF($Z$20:$Z$199,"&lt;"&amp;AA153)=1,IF(COUNTIF($I$20:$I$109,AA153)&gt;0,"FT","PT"),"PT")</f>
        <v>PT</v>
      </c>
      <c r="AC153" s="16" t="n">
        <f aca="false">IF(AB153="FT",INDEX($N$20:$N$109,MATCH(AA153,$I$20:$I$109,0)),1)</f>
        <v>1</v>
      </c>
    </row>
    <row r="154" customFormat="false" ht="15" hidden="false" customHeight="false" outlineLevel="0" collapsed="false">
      <c r="Z154" s="16" t="n">
        <f aca="false">R64</f>
        <v>236</v>
      </c>
      <c r="AA154" s="16" t="n">
        <f aca="false">SMALL($Z$20:$Z$199,135)</f>
        <v>279</v>
      </c>
      <c r="AB154" s="16" t="str">
        <f aca="false">IF(135-COUNTIF($Z$20:$Z$199,"&lt;"&amp;AA154)=1,IF(COUNTIF($I$20:$I$109,AA154)&gt;0,"FT","PT"),"PT")</f>
        <v>FT</v>
      </c>
      <c r="AC154" s="16" t="n">
        <f aca="false">IF(AB154="FT",INDEX($N$20:$N$109,MATCH(AA154,$I$20:$I$109,0)),1)</f>
        <v>1</v>
      </c>
    </row>
    <row r="155" customFormat="false" ht="15" hidden="false" customHeight="false" outlineLevel="0" collapsed="false">
      <c r="Z155" s="16" t="n">
        <f aca="false">R65</f>
        <v>240</v>
      </c>
      <c r="AA155" s="16" t="n">
        <f aca="false">SMALL($Z$20:$Z$199,136)</f>
        <v>280</v>
      </c>
      <c r="AB155" s="16" t="str">
        <f aca="false">IF(136-COUNTIF($Z$20:$Z$199,"&lt;"&amp;AA155)=1,IF(COUNTIF($I$20:$I$109,AA155)&gt;0,"FT","PT"),"PT")</f>
        <v>PT</v>
      </c>
      <c r="AC155" s="16" t="n">
        <f aca="false">IF(AB155="FT",INDEX($N$20:$N$109,MATCH(AA155,$I$20:$I$109,0)),1)</f>
        <v>1</v>
      </c>
    </row>
    <row r="156" customFormat="false" ht="15" hidden="false" customHeight="false" outlineLevel="0" collapsed="false">
      <c r="Z156" s="16" t="n">
        <f aca="false">R66</f>
        <v>244</v>
      </c>
      <c r="AA156" s="16" t="n">
        <f aca="false">SMALL($Z$20:$Z$199,137)</f>
        <v>282</v>
      </c>
      <c r="AB156" s="16" t="str">
        <f aca="false">IF(137-COUNTIF($Z$20:$Z$199,"&lt;"&amp;AA156)=1,IF(COUNTIF($I$20:$I$109,AA156)&gt;0,"FT","PT"),"PT")</f>
        <v>FT</v>
      </c>
      <c r="AC156" s="16" t="n">
        <f aca="false">IF(AB156="FT",INDEX($N$20:$N$109,MATCH(AA156,$I$20:$I$109,0)),1)</f>
        <v>1</v>
      </c>
    </row>
    <row r="157" customFormat="false" ht="15" hidden="false" customHeight="false" outlineLevel="0" collapsed="false">
      <c r="Z157" s="16" t="n">
        <f aca="false">R67</f>
        <v>248</v>
      </c>
      <c r="AA157" s="16" t="n">
        <f aca="false">SMALL($Z$20:$Z$199,138)</f>
        <v>284</v>
      </c>
      <c r="AB157" s="16" t="str">
        <f aca="false">IF(138-COUNTIF($Z$20:$Z$199,"&lt;"&amp;AA157)=1,IF(COUNTIF($I$20:$I$109,AA157)&gt;0,"FT","PT"),"PT")</f>
        <v>PT</v>
      </c>
      <c r="AC157" s="16" t="n">
        <f aca="false">IF(AB157="FT",INDEX($N$20:$N$109,MATCH(AA157,$I$20:$I$109,0)),1)</f>
        <v>1</v>
      </c>
    </row>
    <row r="158" customFormat="false" ht="15" hidden="false" customHeight="false" outlineLevel="0" collapsed="false">
      <c r="Z158" s="16" t="n">
        <f aca="false">R68</f>
        <v>252</v>
      </c>
      <c r="AA158" s="16" t="n">
        <f aca="false">SMALL($Z$20:$Z$199,139)</f>
        <v>285</v>
      </c>
      <c r="AB158" s="16" t="str">
        <f aca="false">IF(139-COUNTIF($Z$20:$Z$199,"&lt;"&amp;AA158)=1,IF(COUNTIF($I$20:$I$109,AA158)&gt;0,"FT","PT"),"PT")</f>
        <v>FT</v>
      </c>
      <c r="AC158" s="16" t="n">
        <f aca="false">IF(AB158="FT",INDEX($N$20:$N$109,MATCH(AA158,$I$20:$I$109,0)),1)</f>
        <v>1</v>
      </c>
    </row>
    <row r="159" customFormat="false" ht="15" hidden="false" customHeight="false" outlineLevel="0" collapsed="false">
      <c r="Z159" s="16" t="n">
        <f aca="false">R69</f>
        <v>256</v>
      </c>
      <c r="AA159" s="16" t="n">
        <f aca="false">SMALL($Z$20:$Z$199,140)</f>
        <v>288</v>
      </c>
      <c r="AB159" s="16" t="str">
        <f aca="false">IF(140-COUNTIF($Z$20:$Z$199,"&lt;"&amp;AA159)=1,IF(COUNTIF($I$20:$I$109,AA159)&gt;0,"FT","PT"),"PT")</f>
        <v>FT</v>
      </c>
      <c r="AC159" s="16" t="n">
        <f aca="false">IF(AB159="FT",INDEX($N$20:$N$109,MATCH(AA159,$I$20:$I$109,0)),1)</f>
        <v>2</v>
      </c>
    </row>
    <row r="160" customFormat="false" ht="15" hidden="false" customHeight="false" outlineLevel="0" collapsed="false">
      <c r="Z160" s="16" t="n">
        <f aca="false">R70</f>
        <v>260</v>
      </c>
      <c r="AA160" s="16" t="n">
        <f aca="false">SMALL($Z$20:$Z$199,141)</f>
        <v>288</v>
      </c>
      <c r="AB160" s="16" t="str">
        <f aca="false">IF(141-COUNTIF($Z$20:$Z$199,"&lt;"&amp;AA160)=1,IF(COUNTIF($I$20:$I$109,AA160)&gt;0,"FT","PT"),"PT")</f>
        <v>PT</v>
      </c>
      <c r="AC160" s="16" t="n">
        <f aca="false">IF(AB160="FT",INDEX($N$20:$N$109,MATCH(AA160,$I$20:$I$109,0)),1)</f>
        <v>1</v>
      </c>
    </row>
    <row r="161" customFormat="false" ht="15" hidden="false" customHeight="false" outlineLevel="0" collapsed="false">
      <c r="Z161" s="16" t="n">
        <f aca="false">R71</f>
        <v>264</v>
      </c>
      <c r="AA161" s="16" t="n">
        <f aca="false">SMALL($Z$20:$Z$199,142)</f>
        <v>291</v>
      </c>
      <c r="AB161" s="16" t="str">
        <f aca="false">IF(142-COUNTIF($Z$20:$Z$199,"&lt;"&amp;AA161)=1,IF(COUNTIF($I$20:$I$109,AA161)&gt;0,"FT","PT"),"PT")</f>
        <v>FT</v>
      </c>
      <c r="AC161" s="16" t="n">
        <f aca="false">IF(AB161="FT",INDEX($N$20:$N$109,MATCH(AA161,$I$20:$I$109,0)),1)</f>
        <v>1</v>
      </c>
    </row>
    <row r="162" customFormat="false" ht="15" hidden="false" customHeight="false" outlineLevel="0" collapsed="false">
      <c r="Z162" s="16" t="n">
        <f aca="false">R72</f>
        <v>268</v>
      </c>
      <c r="AA162" s="16" t="n">
        <f aca="false">SMALL($Z$20:$Z$199,143)</f>
        <v>292</v>
      </c>
      <c r="AB162" s="16" t="str">
        <f aca="false">IF(143-COUNTIF($Z$20:$Z$199,"&lt;"&amp;AA162)=1,IF(COUNTIF($I$20:$I$109,AA162)&gt;0,"FT","PT"),"PT")</f>
        <v>PT</v>
      </c>
      <c r="AC162" s="16" t="n">
        <f aca="false">IF(AB162="FT",INDEX($N$20:$N$109,MATCH(AA162,$I$20:$I$109,0)),1)</f>
        <v>1</v>
      </c>
    </row>
    <row r="163" customFormat="false" ht="15" hidden="false" customHeight="false" outlineLevel="0" collapsed="false">
      <c r="Z163" s="16" t="n">
        <f aca="false">R73</f>
        <v>272</v>
      </c>
      <c r="AA163" s="16" t="n">
        <f aca="false">SMALL($Z$20:$Z$199,144)</f>
        <v>294</v>
      </c>
      <c r="AB163" s="16" t="str">
        <f aca="false">IF(144-COUNTIF($Z$20:$Z$199,"&lt;"&amp;AA163)=1,IF(COUNTIF($I$20:$I$109,AA163)&gt;0,"FT","PT"),"PT")</f>
        <v>FT</v>
      </c>
      <c r="AC163" s="16" t="n">
        <f aca="false">IF(AB163="FT",INDEX($N$20:$N$109,MATCH(AA163,$I$20:$I$109,0)),1)</f>
        <v>1</v>
      </c>
    </row>
    <row r="164" customFormat="false" ht="15" hidden="false" customHeight="false" outlineLevel="0" collapsed="false">
      <c r="Z164" s="16" t="n">
        <f aca="false">R74</f>
        <v>276</v>
      </c>
      <c r="AA164" s="16" t="n">
        <f aca="false">SMALL($Z$20:$Z$199,145)</f>
        <v>296</v>
      </c>
      <c r="AB164" s="16" t="str">
        <f aca="false">IF(145-COUNTIF($Z$20:$Z$199,"&lt;"&amp;AA164)=1,IF(COUNTIF($I$20:$I$109,AA164)&gt;0,"FT","PT"),"PT")</f>
        <v>PT</v>
      </c>
      <c r="AC164" s="16" t="n">
        <f aca="false">IF(AB164="FT",INDEX($N$20:$N$109,MATCH(AA164,$I$20:$I$109,0)),1)</f>
        <v>1</v>
      </c>
    </row>
    <row r="165" customFormat="false" ht="15" hidden="false" customHeight="false" outlineLevel="0" collapsed="false">
      <c r="Z165" s="16" t="n">
        <f aca="false">R75</f>
        <v>280</v>
      </c>
      <c r="AA165" s="16" t="n">
        <f aca="false">SMALL($Z$20:$Z$199,146)</f>
        <v>297</v>
      </c>
      <c r="AB165" s="16" t="str">
        <f aca="false">IF(146-COUNTIF($Z$20:$Z$199,"&lt;"&amp;AA165)=1,IF(COUNTIF($I$20:$I$109,AA165)&gt;0,"FT","PT"),"PT")</f>
        <v>FT</v>
      </c>
      <c r="AC165" s="16" t="n">
        <f aca="false">IF(AB165="FT",INDEX($N$20:$N$109,MATCH(AA165,$I$20:$I$109,0)),1)</f>
        <v>1</v>
      </c>
    </row>
    <row r="166" customFormat="false" ht="15" hidden="false" customHeight="false" outlineLevel="0" collapsed="false">
      <c r="Z166" s="16" t="n">
        <f aca="false">R76</f>
        <v>284</v>
      </c>
      <c r="AA166" s="16" t="n">
        <f aca="false">SMALL($Z$20:$Z$199,147)</f>
        <v>300</v>
      </c>
      <c r="AB166" s="16" t="str">
        <f aca="false">IF(147-COUNTIF($Z$20:$Z$199,"&lt;"&amp;AA166)=1,IF(COUNTIF($I$20:$I$109,AA166)&gt;0,"FT","PT"),"PT")</f>
        <v>FT</v>
      </c>
      <c r="AC166" s="16" t="n">
        <f aca="false">IF(AB166="FT",INDEX($N$20:$N$109,MATCH(AA166,$I$20:$I$109,0)),1)</f>
        <v>2</v>
      </c>
    </row>
    <row r="167" customFormat="false" ht="15" hidden="false" customHeight="false" outlineLevel="0" collapsed="false">
      <c r="Z167" s="16" t="n">
        <f aca="false">R77</f>
        <v>288</v>
      </c>
      <c r="AA167" s="16" t="n">
        <f aca="false">SMALL($Z$20:$Z$199,148)</f>
        <v>300</v>
      </c>
      <c r="AB167" s="16" t="str">
        <f aca="false">IF(148-COUNTIF($Z$20:$Z$199,"&lt;"&amp;AA167)=1,IF(COUNTIF($I$20:$I$109,AA167)&gt;0,"FT","PT"),"PT")</f>
        <v>PT</v>
      </c>
      <c r="AC167" s="16" t="n">
        <f aca="false">IF(AB167="FT",INDEX($N$20:$N$109,MATCH(AA167,$I$20:$I$109,0)),1)</f>
        <v>1</v>
      </c>
    </row>
    <row r="168" customFormat="false" ht="15" hidden="false" customHeight="false" outlineLevel="0" collapsed="false">
      <c r="Z168" s="16" t="n">
        <f aca="false">R78</f>
        <v>292</v>
      </c>
      <c r="AA168" s="16" t="n">
        <f aca="false">SMALL($Z$20:$Z$199,149)</f>
        <v>303</v>
      </c>
      <c r="AB168" s="16" t="str">
        <f aca="false">IF(149-COUNTIF($Z$20:$Z$199,"&lt;"&amp;AA168)=1,IF(COUNTIF($I$20:$I$109,AA168)&gt;0,"FT","PT"),"PT")</f>
        <v>FT</v>
      </c>
      <c r="AC168" s="16" t="n">
        <f aca="false">IF(AB168="FT",INDEX($N$20:$N$109,MATCH(AA168,$I$20:$I$109,0)),1)</f>
        <v>1</v>
      </c>
    </row>
    <row r="169" customFormat="false" ht="15" hidden="false" customHeight="false" outlineLevel="0" collapsed="false">
      <c r="Z169" s="16" t="n">
        <f aca="false">R79</f>
        <v>296</v>
      </c>
      <c r="AA169" s="16" t="n">
        <f aca="false">SMALL($Z$20:$Z$199,150)</f>
        <v>304</v>
      </c>
      <c r="AB169" s="16" t="str">
        <f aca="false">IF(150-COUNTIF($Z$20:$Z$199,"&lt;"&amp;AA169)=1,IF(COUNTIF($I$20:$I$109,AA169)&gt;0,"FT","PT"),"PT")</f>
        <v>PT</v>
      </c>
      <c r="AC169" s="16" t="n">
        <f aca="false">IF(AB169="FT",INDEX($N$20:$N$109,MATCH(AA169,$I$20:$I$109,0)),1)</f>
        <v>1</v>
      </c>
    </row>
    <row r="170" customFormat="false" ht="15" hidden="false" customHeight="false" outlineLevel="0" collapsed="false">
      <c r="Z170" s="16" t="n">
        <f aca="false">R80</f>
        <v>300</v>
      </c>
      <c r="AA170" s="16" t="n">
        <f aca="false">SMALL($Z$20:$Z$199,151)</f>
        <v>306</v>
      </c>
      <c r="AB170" s="16" t="str">
        <f aca="false">IF(151-COUNTIF($Z$20:$Z$199,"&lt;"&amp;AA170)=1,IF(COUNTIF($I$20:$I$109,AA170)&gt;0,"FT","PT"),"PT")</f>
        <v>FT</v>
      </c>
      <c r="AC170" s="16" t="n">
        <f aca="false">IF(AB170="FT",INDEX($N$20:$N$109,MATCH(AA170,$I$20:$I$109,0)),1)</f>
        <v>1</v>
      </c>
    </row>
    <row r="171" customFormat="false" ht="15" hidden="false" customHeight="false" outlineLevel="0" collapsed="false">
      <c r="Z171" s="16" t="n">
        <f aca="false">R81</f>
        <v>304</v>
      </c>
      <c r="AA171" s="16" t="n">
        <f aca="false">SMALL($Z$20:$Z$199,152)</f>
        <v>308</v>
      </c>
      <c r="AB171" s="16" t="str">
        <f aca="false">IF(152-COUNTIF($Z$20:$Z$199,"&lt;"&amp;AA171)=1,IF(COUNTIF($I$20:$I$109,AA171)&gt;0,"FT","PT"),"PT")</f>
        <v>PT</v>
      </c>
      <c r="AC171" s="16" t="n">
        <f aca="false">IF(AB171="FT",INDEX($N$20:$N$109,MATCH(AA171,$I$20:$I$109,0)),1)</f>
        <v>1</v>
      </c>
    </row>
    <row r="172" customFormat="false" ht="15" hidden="false" customHeight="false" outlineLevel="0" collapsed="false">
      <c r="Z172" s="16" t="n">
        <f aca="false">R82</f>
        <v>308</v>
      </c>
      <c r="AA172" s="16" t="n">
        <f aca="false">SMALL($Z$20:$Z$199,153)</f>
        <v>309</v>
      </c>
      <c r="AB172" s="16" t="str">
        <f aca="false">IF(153-COUNTIF($Z$20:$Z$199,"&lt;"&amp;AA172)=1,IF(COUNTIF($I$20:$I$109,AA172)&gt;0,"FT","PT"),"PT")</f>
        <v>FT</v>
      </c>
      <c r="AC172" s="16" t="n">
        <f aca="false">IF(AB172="FT",INDEX($N$20:$N$109,MATCH(AA172,$I$20:$I$109,0)),1)</f>
        <v>1</v>
      </c>
    </row>
    <row r="173" customFormat="false" ht="15" hidden="false" customHeight="false" outlineLevel="0" collapsed="false">
      <c r="Z173" s="16" t="n">
        <f aca="false">R83</f>
        <v>312</v>
      </c>
      <c r="AA173" s="16" t="n">
        <f aca="false">SMALL($Z$20:$Z$199,154)</f>
        <v>312</v>
      </c>
      <c r="AB173" s="16" t="str">
        <f aca="false">IF(154-COUNTIF($Z$20:$Z$199,"&lt;"&amp;AA173)=1,IF(COUNTIF($I$20:$I$109,AA173)&gt;0,"FT","PT"),"PT")</f>
        <v>PT</v>
      </c>
      <c r="AC173" s="16" t="n">
        <f aca="false">IF(AB173="FT",INDEX($N$20:$N$109,MATCH(AA173,$I$20:$I$109,0)),1)</f>
        <v>1</v>
      </c>
    </row>
    <row r="174" customFormat="false" ht="15" hidden="false" customHeight="false" outlineLevel="0" collapsed="false">
      <c r="Z174" s="16" t="n">
        <f aca="false">R84</f>
        <v>316</v>
      </c>
      <c r="AA174" s="16" t="n">
        <f aca="false">SMALL($Z$20:$Z$199,155)</f>
        <v>316</v>
      </c>
      <c r="AB174" s="16" t="str">
        <f aca="false">IF(155-COUNTIF($Z$20:$Z$199,"&lt;"&amp;AA174)=1,IF(COUNTIF($I$20:$I$109,AA174)&gt;0,"FT","PT"),"PT")</f>
        <v>PT</v>
      </c>
      <c r="AC174" s="16" t="n">
        <f aca="false">IF(AB174="FT",INDEX($N$20:$N$109,MATCH(AA174,$I$20:$I$109,0)),1)</f>
        <v>1</v>
      </c>
    </row>
    <row r="175" customFormat="false" ht="15" hidden="false" customHeight="false" outlineLevel="0" collapsed="false">
      <c r="Z175" s="16" t="n">
        <f aca="false">R85</f>
        <v>320</v>
      </c>
      <c r="AA175" s="16" t="n">
        <f aca="false">SMALL($Z$20:$Z$199,156)</f>
        <v>320</v>
      </c>
      <c r="AB175" s="16" t="str">
        <f aca="false">IF(156-COUNTIF($Z$20:$Z$199,"&lt;"&amp;AA175)=1,IF(COUNTIF($I$20:$I$109,AA175)&gt;0,"FT","PT"),"PT")</f>
        <v>PT</v>
      </c>
      <c r="AC175" s="16" t="n">
        <f aca="false">IF(AB175="FT",INDEX($N$20:$N$109,MATCH(AA175,$I$20:$I$109,0)),1)</f>
        <v>1</v>
      </c>
    </row>
    <row r="176" customFormat="false" ht="15" hidden="false" customHeight="false" outlineLevel="0" collapsed="false">
      <c r="Z176" s="16" t="n">
        <f aca="false">R86</f>
        <v>324</v>
      </c>
      <c r="AA176" s="16" t="n">
        <f aca="false">SMALL($Z$20:$Z$199,157)</f>
        <v>324</v>
      </c>
      <c r="AB176" s="16" t="str">
        <f aca="false">IF(157-COUNTIF($Z$20:$Z$199,"&lt;"&amp;AA176)=1,IF(COUNTIF($I$20:$I$109,AA176)&gt;0,"FT","PT"),"PT")</f>
        <v>PT</v>
      </c>
      <c r="AC176" s="16" t="n">
        <f aca="false">IF(AB176="FT",INDEX($N$20:$N$109,MATCH(AA176,$I$20:$I$109,0)),1)</f>
        <v>1</v>
      </c>
    </row>
    <row r="177" customFormat="false" ht="15" hidden="false" customHeight="false" outlineLevel="0" collapsed="false">
      <c r="Z177" s="16" t="n">
        <f aca="false">R87</f>
        <v>328</v>
      </c>
      <c r="AA177" s="16" t="n">
        <f aca="false">SMALL($Z$20:$Z$199,158)</f>
        <v>328</v>
      </c>
      <c r="AB177" s="16" t="str">
        <f aca="false">IF(158-COUNTIF($Z$20:$Z$199,"&lt;"&amp;AA177)=1,IF(COUNTIF($I$20:$I$109,AA177)&gt;0,"FT","PT"),"PT")</f>
        <v>PT</v>
      </c>
      <c r="AC177" s="16" t="n">
        <f aca="false">IF(AB177="FT",INDEX($N$20:$N$109,MATCH(AA177,$I$20:$I$109,0)),1)</f>
        <v>1</v>
      </c>
    </row>
    <row r="178" customFormat="false" ht="15" hidden="false" customHeight="false" outlineLevel="0" collapsed="false">
      <c r="Z178" s="16" t="n">
        <f aca="false">R88</f>
        <v>332</v>
      </c>
      <c r="AA178" s="16" t="n">
        <f aca="false">SMALL($Z$20:$Z$199,159)</f>
        <v>332</v>
      </c>
      <c r="AB178" s="16" t="str">
        <f aca="false">IF(159-COUNTIF($Z$20:$Z$199,"&lt;"&amp;AA178)=1,IF(COUNTIF($I$20:$I$109,AA178)&gt;0,"FT","PT"),"PT")</f>
        <v>PT</v>
      </c>
      <c r="AC178" s="16" t="n">
        <f aca="false">IF(AB178="FT",INDEX($N$20:$N$109,MATCH(AA178,$I$20:$I$109,0)),1)</f>
        <v>1</v>
      </c>
    </row>
    <row r="179" customFormat="false" ht="15" hidden="false" customHeight="false" outlineLevel="0" collapsed="false">
      <c r="Z179" s="16" t="n">
        <f aca="false">R89</f>
        <v>336</v>
      </c>
      <c r="AA179" s="16" t="n">
        <f aca="false">SMALL($Z$20:$Z$199,160)</f>
        <v>336</v>
      </c>
      <c r="AB179" s="16" t="str">
        <f aca="false">IF(160-COUNTIF($Z$20:$Z$199,"&lt;"&amp;AA179)=1,IF(COUNTIF($I$20:$I$109,AA179)&gt;0,"FT","PT"),"PT")</f>
        <v>PT</v>
      </c>
      <c r="AC179" s="16" t="n">
        <f aca="false">IF(AB179="FT",INDEX($N$20:$N$109,MATCH(AA179,$I$20:$I$109,0)),1)</f>
        <v>1</v>
      </c>
    </row>
    <row r="180" customFormat="false" ht="15" hidden="false" customHeight="false" outlineLevel="0" collapsed="false">
      <c r="Z180" s="16" t="n">
        <f aca="false">R90</f>
        <v>340</v>
      </c>
      <c r="AA180" s="16" t="n">
        <f aca="false">SMALL($Z$20:$Z$199,161)</f>
        <v>340</v>
      </c>
      <c r="AB180" s="16" t="str">
        <f aca="false">IF(161-COUNTIF($Z$20:$Z$199,"&lt;"&amp;AA180)=1,IF(COUNTIF($I$20:$I$109,AA180)&gt;0,"FT","PT"),"PT")</f>
        <v>PT</v>
      </c>
      <c r="AC180" s="16" t="n">
        <f aca="false">IF(AB180="FT",INDEX($N$20:$N$109,MATCH(AA180,$I$20:$I$109,0)),1)</f>
        <v>1</v>
      </c>
    </row>
    <row r="181" customFormat="false" ht="15" hidden="false" customHeight="false" outlineLevel="0" collapsed="false">
      <c r="Z181" s="16" t="n">
        <f aca="false">R91</f>
        <v>344</v>
      </c>
      <c r="AA181" s="16" t="n">
        <f aca="false">SMALL($Z$20:$Z$199,162)</f>
        <v>344</v>
      </c>
      <c r="AB181" s="16" t="str">
        <f aca="false">IF(162-COUNTIF($Z$20:$Z$199,"&lt;"&amp;AA181)=1,IF(COUNTIF($I$20:$I$109,AA181)&gt;0,"FT","PT"),"PT")</f>
        <v>PT</v>
      </c>
      <c r="AC181" s="16" t="n">
        <f aca="false">IF(AB181="FT",INDEX($N$20:$N$109,MATCH(AA181,$I$20:$I$109,0)),1)</f>
        <v>1</v>
      </c>
    </row>
    <row r="182" customFormat="false" ht="15" hidden="false" customHeight="false" outlineLevel="0" collapsed="false">
      <c r="Z182" s="16" t="n">
        <f aca="false">R92</f>
        <v>348</v>
      </c>
      <c r="AA182" s="16" t="n">
        <f aca="false">SMALL($Z$20:$Z$199,163)</f>
        <v>348</v>
      </c>
      <c r="AB182" s="16" t="str">
        <f aca="false">IF(163-COUNTIF($Z$20:$Z$199,"&lt;"&amp;AA182)=1,IF(COUNTIF($I$20:$I$109,AA182)&gt;0,"FT","PT"),"PT")</f>
        <v>PT</v>
      </c>
      <c r="AC182" s="16" t="n">
        <f aca="false">IF(AB182="FT",INDEX($N$20:$N$109,MATCH(AA182,$I$20:$I$109,0)),1)</f>
        <v>1</v>
      </c>
    </row>
    <row r="183" customFormat="false" ht="15" hidden="false" customHeight="false" outlineLevel="0" collapsed="false">
      <c r="Z183" s="16" t="n">
        <f aca="false">R93</f>
        <v>352</v>
      </c>
      <c r="AA183" s="16" t="n">
        <f aca="false">SMALL($Z$20:$Z$199,164)</f>
        <v>352</v>
      </c>
      <c r="AB183" s="16" t="str">
        <f aca="false">IF(164-COUNTIF($Z$20:$Z$199,"&lt;"&amp;AA183)=1,IF(COUNTIF($I$20:$I$109,AA183)&gt;0,"FT","PT"),"PT")</f>
        <v>PT</v>
      </c>
      <c r="AC183" s="16" t="n">
        <f aca="false">IF(AB183="FT",INDEX($N$20:$N$109,MATCH(AA183,$I$20:$I$109,0)),1)</f>
        <v>1</v>
      </c>
    </row>
    <row r="184" customFormat="false" ht="15" hidden="false" customHeight="false" outlineLevel="0" collapsed="false">
      <c r="Z184" s="16" t="n">
        <f aca="false">R94</f>
        <v>356</v>
      </c>
      <c r="AA184" s="16" t="n">
        <f aca="false">SMALL($Z$20:$Z$199,165)</f>
        <v>356</v>
      </c>
      <c r="AB184" s="16" t="str">
        <f aca="false">IF(165-COUNTIF($Z$20:$Z$199,"&lt;"&amp;AA184)=1,IF(COUNTIF($I$20:$I$109,AA184)&gt;0,"FT","PT"),"PT")</f>
        <v>PT</v>
      </c>
      <c r="AC184" s="16" t="n">
        <f aca="false">IF(AB184="FT",INDEX($N$20:$N$109,MATCH(AA184,$I$20:$I$109,0)),1)</f>
        <v>1</v>
      </c>
    </row>
    <row r="185" customFormat="false" ht="15" hidden="false" customHeight="false" outlineLevel="0" collapsed="false">
      <c r="Z185" s="16" t="n">
        <f aca="false">R95</f>
        <v>360</v>
      </c>
      <c r="AA185" s="16" t="n">
        <f aca="false">SMALL($Z$20:$Z$199,166)</f>
        <v>360</v>
      </c>
      <c r="AB185" s="16" t="str">
        <f aca="false">IF(166-COUNTIF($Z$20:$Z$199,"&lt;"&amp;AA185)=1,IF(COUNTIF($I$20:$I$109,AA185)&gt;0,"FT","PT"),"PT")</f>
        <v>PT</v>
      </c>
      <c r="AC185" s="16" t="n">
        <f aca="false">IF(AB185="FT",INDEX($N$20:$N$109,MATCH(AA185,$I$20:$I$109,0)),1)</f>
        <v>1</v>
      </c>
    </row>
    <row r="186" customFormat="false" ht="15" hidden="false" customHeight="false" outlineLevel="0" collapsed="false">
      <c r="Z186" s="16" t="n">
        <f aca="false">R96</f>
        <v>364</v>
      </c>
      <c r="AA186" s="16" t="n">
        <f aca="false">SMALL($Z$20:$Z$199,167)</f>
        <v>364</v>
      </c>
      <c r="AB186" s="16" t="str">
        <f aca="false">IF(167-COUNTIF($Z$20:$Z$199,"&lt;"&amp;AA186)=1,IF(COUNTIF($I$20:$I$109,AA186)&gt;0,"FT","PT"),"PT")</f>
        <v>PT</v>
      </c>
      <c r="AC186" s="16" t="n">
        <f aca="false">IF(AB186="FT",INDEX($N$20:$N$109,MATCH(AA186,$I$20:$I$109,0)),1)</f>
        <v>1</v>
      </c>
    </row>
    <row r="187" customFormat="false" ht="15" hidden="false" customHeight="false" outlineLevel="0" collapsed="false">
      <c r="Z187" s="16" t="n">
        <f aca="false">R97</f>
        <v>368</v>
      </c>
      <c r="AA187" s="16" t="n">
        <f aca="false">SMALL($Z$20:$Z$199,168)</f>
        <v>368</v>
      </c>
      <c r="AB187" s="16" t="str">
        <f aca="false">IF(168-COUNTIF($Z$20:$Z$199,"&lt;"&amp;AA187)=1,IF(COUNTIF($I$20:$I$109,AA187)&gt;0,"FT","PT"),"PT")</f>
        <v>PT</v>
      </c>
      <c r="AC187" s="16" t="n">
        <f aca="false">IF(AB187="FT",INDEX($N$20:$N$109,MATCH(AA187,$I$20:$I$109,0)),1)</f>
        <v>1</v>
      </c>
    </row>
    <row r="188" customFormat="false" ht="15" hidden="false" customHeight="false" outlineLevel="0" collapsed="false">
      <c r="Z188" s="16" t="n">
        <f aca="false">R98</f>
        <v>372</v>
      </c>
      <c r="AA188" s="16" t="n">
        <f aca="false">SMALL($Z$20:$Z$199,169)</f>
        <v>372</v>
      </c>
      <c r="AB188" s="16" t="str">
        <f aca="false">IF(169-COUNTIF($Z$20:$Z$199,"&lt;"&amp;AA188)=1,IF(COUNTIF($I$20:$I$109,AA188)&gt;0,"FT","PT"),"PT")</f>
        <v>PT</v>
      </c>
      <c r="AC188" s="16" t="n">
        <f aca="false">IF(AB188="FT",INDEX($N$20:$N$109,MATCH(AA188,$I$20:$I$109,0)),1)</f>
        <v>1</v>
      </c>
    </row>
    <row r="189" customFormat="false" ht="15" hidden="false" customHeight="false" outlineLevel="0" collapsed="false">
      <c r="Z189" s="16" t="n">
        <f aca="false">R99</f>
        <v>376</v>
      </c>
      <c r="AA189" s="16" t="n">
        <f aca="false">SMALL($Z$20:$Z$199,170)</f>
        <v>376</v>
      </c>
      <c r="AB189" s="16" t="str">
        <f aca="false">IF(170-COUNTIF($Z$20:$Z$199,"&lt;"&amp;AA189)=1,IF(COUNTIF($I$20:$I$109,AA189)&gt;0,"FT","PT"),"PT")</f>
        <v>PT</v>
      </c>
      <c r="AC189" s="16" t="n">
        <f aca="false">IF(AB189="FT",INDEX($N$20:$N$109,MATCH(AA189,$I$20:$I$109,0)),1)</f>
        <v>1</v>
      </c>
    </row>
    <row r="190" customFormat="false" ht="15" hidden="false" customHeight="false" outlineLevel="0" collapsed="false">
      <c r="Z190" s="16" t="n">
        <f aca="false">R100</f>
        <v>380</v>
      </c>
      <c r="AA190" s="16" t="n">
        <f aca="false">SMALL($Z$20:$Z$199,171)</f>
        <v>380</v>
      </c>
      <c r="AB190" s="16" t="str">
        <f aca="false">IF(171-COUNTIF($Z$20:$Z$199,"&lt;"&amp;AA190)=1,IF(COUNTIF($I$20:$I$109,AA190)&gt;0,"FT","PT"),"PT")</f>
        <v>PT</v>
      </c>
      <c r="AC190" s="16" t="n">
        <f aca="false">IF(AB190="FT",INDEX($N$20:$N$109,MATCH(AA190,$I$20:$I$109,0)),1)</f>
        <v>1</v>
      </c>
    </row>
    <row r="191" customFormat="false" ht="15" hidden="false" customHeight="false" outlineLevel="0" collapsed="false">
      <c r="Z191" s="16" t="n">
        <f aca="false">R101</f>
        <v>384</v>
      </c>
      <c r="AA191" s="16" t="n">
        <f aca="false">SMALL($Z$20:$Z$199,172)</f>
        <v>384</v>
      </c>
      <c r="AB191" s="16" t="str">
        <f aca="false">IF(172-COUNTIF($Z$20:$Z$199,"&lt;"&amp;AA191)=1,IF(COUNTIF($I$20:$I$109,AA191)&gt;0,"FT","PT"),"PT")</f>
        <v>PT</v>
      </c>
      <c r="AC191" s="16" t="n">
        <f aca="false">IF(AB191="FT",INDEX($N$20:$N$109,MATCH(AA191,$I$20:$I$109,0)),1)</f>
        <v>1</v>
      </c>
    </row>
    <row r="192" customFormat="false" ht="15" hidden="false" customHeight="false" outlineLevel="0" collapsed="false">
      <c r="Z192" s="16" t="n">
        <f aca="false">R102</f>
        <v>388</v>
      </c>
      <c r="AA192" s="16" t="n">
        <f aca="false">SMALL($Z$20:$Z$199,173)</f>
        <v>388</v>
      </c>
      <c r="AB192" s="16" t="str">
        <f aca="false">IF(173-COUNTIF($Z$20:$Z$199,"&lt;"&amp;AA192)=1,IF(COUNTIF($I$20:$I$109,AA192)&gt;0,"FT","PT"),"PT")</f>
        <v>PT</v>
      </c>
      <c r="AC192" s="16" t="n">
        <f aca="false">IF(AB192="FT",INDEX($N$20:$N$109,MATCH(AA192,$I$20:$I$109,0)),1)</f>
        <v>1</v>
      </c>
    </row>
    <row r="193" customFormat="false" ht="15" hidden="false" customHeight="false" outlineLevel="0" collapsed="false">
      <c r="Z193" s="16" t="n">
        <f aca="false">R103</f>
        <v>392</v>
      </c>
      <c r="AA193" s="16" t="n">
        <f aca="false">SMALL($Z$20:$Z$199,174)</f>
        <v>392</v>
      </c>
      <c r="AB193" s="16" t="str">
        <f aca="false">IF(174-COUNTIF($Z$20:$Z$199,"&lt;"&amp;AA193)=1,IF(COUNTIF($I$20:$I$109,AA193)&gt;0,"FT","PT"),"PT")</f>
        <v>PT</v>
      </c>
      <c r="AC193" s="16" t="n">
        <f aca="false">IF(AB193="FT",INDEX($N$20:$N$109,MATCH(AA193,$I$20:$I$109,0)),1)</f>
        <v>1</v>
      </c>
    </row>
    <row r="194" customFormat="false" ht="15" hidden="false" customHeight="false" outlineLevel="0" collapsed="false">
      <c r="Z194" s="16" t="n">
        <f aca="false">R104</f>
        <v>396</v>
      </c>
      <c r="AA194" s="16" t="n">
        <f aca="false">SMALL($Z$20:$Z$199,175)</f>
        <v>396</v>
      </c>
      <c r="AB194" s="16" t="str">
        <f aca="false">IF(175-COUNTIF($Z$20:$Z$199,"&lt;"&amp;AA194)=1,IF(COUNTIF($I$20:$I$109,AA194)&gt;0,"FT","PT"),"PT")</f>
        <v>PT</v>
      </c>
      <c r="AC194" s="16" t="n">
        <f aca="false">IF(AB194="FT",INDEX($N$20:$N$109,MATCH(AA194,$I$20:$I$109,0)),1)</f>
        <v>1</v>
      </c>
    </row>
    <row r="195" customFormat="false" ht="15" hidden="false" customHeight="false" outlineLevel="0" collapsed="false">
      <c r="Z195" s="16" t="n">
        <f aca="false">R105</f>
        <v>400</v>
      </c>
      <c r="AA195" s="16" t="n">
        <f aca="false">SMALL($Z$20:$Z$199,176)</f>
        <v>400</v>
      </c>
      <c r="AB195" s="16" t="str">
        <f aca="false">IF(176-COUNTIF($Z$20:$Z$199,"&lt;"&amp;AA195)=1,IF(COUNTIF($I$20:$I$109,AA195)&gt;0,"FT","PT"),"PT")</f>
        <v>PT</v>
      </c>
      <c r="AC195" s="16" t="n">
        <f aca="false">IF(AB195="FT",INDEX($N$20:$N$109,MATCH(AA195,$I$20:$I$109,0)),1)</f>
        <v>1</v>
      </c>
    </row>
    <row r="196" customFormat="false" ht="15" hidden="false" customHeight="false" outlineLevel="0" collapsed="false">
      <c r="Z196" s="16" t="n">
        <f aca="false">R106</f>
        <v>404</v>
      </c>
      <c r="AA196" s="16" t="n">
        <f aca="false">SMALL($Z$20:$Z$199,177)</f>
        <v>404</v>
      </c>
      <c r="AB196" s="16" t="str">
        <f aca="false">IF(177-COUNTIF($Z$20:$Z$199,"&lt;"&amp;AA196)=1,IF(COUNTIF($I$20:$I$109,AA196)&gt;0,"FT","PT"),"PT")</f>
        <v>PT</v>
      </c>
      <c r="AC196" s="16" t="n">
        <f aca="false">IF(AB196="FT",INDEX($N$20:$N$109,MATCH(AA196,$I$20:$I$109,0)),1)</f>
        <v>1</v>
      </c>
    </row>
    <row r="197" customFormat="false" ht="15" hidden="false" customHeight="false" outlineLevel="0" collapsed="false">
      <c r="Z197" s="16" t="n">
        <f aca="false">R107</f>
        <v>408</v>
      </c>
      <c r="AA197" s="16" t="n">
        <f aca="false">SMALL($Z$20:$Z$199,178)</f>
        <v>408</v>
      </c>
      <c r="AB197" s="16" t="str">
        <f aca="false">IF(178-COUNTIF($Z$20:$Z$199,"&lt;"&amp;AA197)=1,IF(COUNTIF($I$20:$I$109,AA197)&gt;0,"FT","PT"),"PT")</f>
        <v>PT</v>
      </c>
      <c r="AC197" s="16" t="n">
        <f aca="false">IF(AB197="FT",INDEX($N$20:$N$109,MATCH(AA197,$I$20:$I$109,0)),1)</f>
        <v>1</v>
      </c>
    </row>
    <row r="198" customFormat="false" ht="15" hidden="false" customHeight="false" outlineLevel="0" collapsed="false">
      <c r="Z198" s="16" t="n">
        <f aca="false">R108</f>
        <v>412</v>
      </c>
      <c r="AA198" s="16" t="n">
        <f aca="false">SMALL($Z$20:$Z$199,179)</f>
        <v>412</v>
      </c>
      <c r="AB198" s="16" t="str">
        <f aca="false">IF(179-COUNTIF($Z$20:$Z$199,"&lt;"&amp;AA198)=1,IF(COUNTIF($I$20:$I$109,AA198)&gt;0,"FT","PT"),"PT")</f>
        <v>PT</v>
      </c>
      <c r="AC198" s="16" t="n">
        <f aca="false">IF(AB198="FT",INDEX($N$20:$N$109,MATCH(AA198,$I$20:$I$109,0)),1)</f>
        <v>1</v>
      </c>
    </row>
    <row r="199" customFormat="false" ht="15" hidden="false" customHeight="false" outlineLevel="0" collapsed="false">
      <c r="Z199" s="16" t="n">
        <f aca="false">R109</f>
        <v>416</v>
      </c>
      <c r="AA199" s="16" t="n">
        <f aca="false">SMALL($Z$20:$Z$199,180)</f>
        <v>416</v>
      </c>
      <c r="AB199" s="16" t="str">
        <f aca="false">IF(180-COUNTIF($Z$20:$Z$199,"&lt;"&amp;AA199)=1,IF(COUNTIF($I$20:$I$109,AA199)&gt;0,"FT","PT"),"PT")</f>
        <v>PT</v>
      </c>
      <c r="AC199" s="16"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Staff!$BC$5:$BC$154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W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20"/>
    <col collapsed="false" customWidth="true" hidden="true" outlineLevel="1" max="23" min="8" style="0" width="13"/>
  </cols>
  <sheetData>
    <row r="1" customFormat="false" ht="17.35" hidden="false" customHeight="false" outlineLevel="0" collapsed="false">
      <c r="A1" s="1" t="s">
        <v>126</v>
      </c>
    </row>
    <row r="2" customFormat="false" ht="15" hidden="false" customHeight="false" outlineLevel="0" collapsed="false">
      <c r="A2" s="17" t="str">
        <f aca="false">"As at "&amp;TEXT(AsOfDate,"dd/mm/yyyy")&amp;". Each entry is: milestone date, pathway on that date (FT or PT), days earned. Only milestones already reached are listed. Casual time and milestones that fell while casual or under 24 hrs earn nothing and are not shown."</f>
        <v>As at 05/10/2026. Each entry is: milestone date, pathway on that date (FT or PT), days earned. Only milestones already reached are listed. Casual time and milestones that fell while casual or under 24 hrs earn nothing and are not shown.</v>
      </c>
    </row>
    <row r="4" customFormat="false" ht="23.85" hidden="false" customHeight="false" outlineLevel="0" collapsed="false">
      <c r="A4" s="5" t="s">
        <v>25</v>
      </c>
      <c r="B4" s="5" t="s">
        <v>26</v>
      </c>
      <c r="C4" s="5" t="s">
        <v>127</v>
      </c>
      <c r="D4" s="5" t="s">
        <v>128</v>
      </c>
      <c r="E4" s="5" t="s">
        <v>39</v>
      </c>
      <c r="F4" s="5" t="s">
        <v>129</v>
      </c>
      <c r="G4" s="5" t="s">
        <v>130</v>
      </c>
      <c r="H4" s="8" t="s">
        <v>131</v>
      </c>
      <c r="I4" s="8" t="s">
        <v>131</v>
      </c>
      <c r="J4" s="8" t="s">
        <v>131</v>
      </c>
      <c r="K4" s="8" t="s">
        <v>131</v>
      </c>
      <c r="L4" s="8" t="s">
        <v>131</v>
      </c>
      <c r="M4" s="8" t="s">
        <v>131</v>
      </c>
      <c r="N4" s="8" t="s">
        <v>131</v>
      </c>
      <c r="O4" s="8" t="s">
        <v>131</v>
      </c>
      <c r="P4" s="8" t="s">
        <v>131</v>
      </c>
      <c r="Q4" s="8" t="s">
        <v>57</v>
      </c>
      <c r="R4" s="8" t="s">
        <v>59</v>
      </c>
      <c r="S4" s="8" t="s">
        <v>60</v>
      </c>
      <c r="T4" s="8" t="s">
        <v>64</v>
      </c>
      <c r="U4" s="8" t="s">
        <v>65</v>
      </c>
      <c r="V4" s="8" t="s">
        <v>66</v>
      </c>
      <c r="W4" s="8" t="s">
        <v>67</v>
      </c>
    </row>
    <row r="5" customFormat="false" ht="15" hidden="false" customHeight="false" outlineLevel="0" collapsed="false">
      <c r="A5" s="13" t="str">
        <f aca="false">IF(Staff!$A5="","",Staff!$A5)</f>
        <v/>
      </c>
      <c r="B5" s="13" t="str">
        <f aca="false">IF(Staff!$A5="","",Staff!$B5)</f>
        <v/>
      </c>
      <c r="C5" s="13" t="str">
        <f aca="false">IF(Staff!$A5="","",Staff!$C5)</f>
        <v/>
      </c>
      <c r="D5" s="11" t="str">
        <f aca="false">IF(Staff!$A5="","",Staff!$AF5)</f>
        <v/>
      </c>
      <c r="E5" s="13" t="str">
        <f aca="false">IF(Staff!$A5="","",Staff!$O5)</f>
        <v/>
      </c>
      <c r="F5" s="13" t="str">
        <f aca="false">IF(E5="","",E5*HoursPerDay)</f>
        <v/>
      </c>
      <c r="G5" s="26" t="str">
        <f aca="false">IF($A5="","",H5&amp;I5&amp;J5&amp;K5&amp;L5&amp;M5&amp;N5&amp;O5&amp;P5)</f>
        <v/>
      </c>
      <c r="H5" s="0" t="str">
        <f aca="false">IF(OR($A5="",$D5=""),"",IF(AND(EDATE($D5,Milestones!$AA$20)&lt;=AsOfDate,IF($Q5=0,$W5,IF(AND($S5&lt;&gt;"",EDATE($D5,Milestones!$AA$20)&gt;=$S5),$V5,IF(AND($R5&lt;&gt;"",EDATE($D5,Milestones!$AA$20)&gt;=$R5),$U5,$T5)))=Milestones!$AB$20),TEXT(EDATE($D5,Milestones!$AA$20),"dd/mm/yy")&amp;" "&amp;Milestones!$AB$20&amp;" "&amp;Milestones!$AC$20&amp;";  ","")&amp;IF(AND(EDATE($D5,Milestones!$AA$21)&lt;=AsOfDate,IF($Q5=0,$W5,IF(AND($S5&lt;&gt;"",EDATE($D5,Milestones!$AA$21)&gt;=$S5),$V5,IF(AND($R5&lt;&gt;"",EDATE($D5,Milestones!$AA$21)&gt;=$R5),$U5,$T5)))=Milestones!$AB$21),TEXT(EDATE($D5,Milestones!$AA$21),"dd/mm/yy")&amp;" "&amp;Milestones!$AB$21&amp;" "&amp;Milestones!$AC$21&amp;";  ","")&amp;IF(AND(EDATE($D5,Milestones!$AA$22)&lt;=AsOfDate,IF($Q5=0,$W5,IF(AND($S5&lt;&gt;"",EDATE($D5,Milestones!$AA$22)&gt;=$S5),$V5,IF(AND($R5&lt;&gt;"",EDATE($D5,Milestones!$AA$22)&gt;=$R5),$U5,$T5)))=Milestones!$AB$22),TEXT(EDATE($D5,Milestones!$AA$22),"dd/mm/yy")&amp;" "&amp;Milestones!$AB$22&amp;" "&amp;Milestones!$AC$22&amp;";  ","")&amp;IF(AND(EDATE($D5,Milestones!$AA$23)&lt;=AsOfDate,IF($Q5=0,$W5,IF(AND($S5&lt;&gt;"",EDATE($D5,Milestones!$AA$23)&gt;=$S5),$V5,IF(AND($R5&lt;&gt;"",EDATE($D5,Milestones!$AA$23)&gt;=$R5),$U5,$T5)))=Milestones!$AB$23),TEXT(EDATE($D5,Milestones!$AA$23),"dd/mm/yy")&amp;" "&amp;Milestones!$AB$23&amp;" "&amp;Milestones!$AC$23&amp;";  ","")&amp;IF(AND(EDATE($D5,Milestones!$AA$24)&lt;=AsOfDate,IF($Q5=0,$W5,IF(AND($S5&lt;&gt;"",EDATE($D5,Milestones!$AA$24)&gt;=$S5),$V5,IF(AND($R5&lt;&gt;"",EDATE($D5,Milestones!$AA$24)&gt;=$R5),$U5,$T5)))=Milestones!$AB$24),TEXT(EDATE($D5,Milestones!$AA$24),"dd/mm/yy")&amp;" "&amp;Milestones!$AB$24&amp;" "&amp;Milestones!$AC$24&amp;";  ","")&amp;IF(AND(EDATE($D5,Milestones!$AA$25)&lt;=AsOfDate,IF($Q5=0,$W5,IF(AND($S5&lt;&gt;"",EDATE($D5,Milestones!$AA$25)&gt;=$S5),$V5,IF(AND($R5&lt;&gt;"",EDATE($D5,Milestones!$AA$25)&gt;=$R5),$U5,$T5)))=Milestones!$AB$25),TEXT(EDATE($D5,Milestones!$AA$25),"dd/mm/yy")&amp;" "&amp;Milestones!$AB$25&amp;" "&amp;Milestones!$AC$25&amp;";  ","")&amp;IF(AND(EDATE($D5,Milestones!$AA$26)&lt;=AsOfDate,IF($Q5=0,$W5,IF(AND($S5&lt;&gt;"",EDATE($D5,Milestones!$AA$26)&gt;=$S5),$V5,IF(AND($R5&lt;&gt;"",EDATE($D5,Milestones!$AA$26)&gt;=$R5),$U5,$T5)))=Milestones!$AB$26),TEXT(EDATE($D5,Milestones!$AA$26),"dd/mm/yy")&amp;" "&amp;Milestones!$AB$26&amp;" "&amp;Milestones!$AC$26&amp;";  ","")&amp;IF(AND(EDATE($D5,Milestones!$AA$27)&lt;=AsOfDate,IF($Q5=0,$W5,IF(AND($S5&lt;&gt;"",EDATE($D5,Milestones!$AA$27)&gt;=$S5),$V5,IF(AND($R5&lt;&gt;"",EDATE($D5,Milestones!$AA$27)&gt;=$R5),$U5,$T5)))=Milestones!$AB$27),TEXT(EDATE($D5,Milestones!$AA$27),"dd/mm/yy")&amp;" "&amp;Milestones!$AB$27&amp;" "&amp;Milestones!$AC$27&amp;";  ","")&amp;IF(AND(EDATE($D5,Milestones!$AA$28)&lt;=AsOfDate,IF($Q5=0,$W5,IF(AND($S5&lt;&gt;"",EDATE($D5,Milestones!$AA$28)&gt;=$S5),$V5,IF(AND($R5&lt;&gt;"",EDATE($D5,Milestones!$AA$28)&gt;=$R5),$U5,$T5)))=Milestones!$AB$28),TEXT(EDATE($D5,Milestones!$AA$28),"dd/mm/yy")&amp;" "&amp;Milestones!$AB$28&amp;" "&amp;Milestones!$AC$28&amp;";  ","")&amp;IF(AND(EDATE($D5,Milestones!$AA$29)&lt;=AsOfDate,IF($Q5=0,$W5,IF(AND($S5&lt;&gt;"",EDATE($D5,Milestones!$AA$29)&gt;=$S5),$V5,IF(AND($R5&lt;&gt;"",EDATE($D5,Milestones!$AA$29)&gt;=$R5),$U5,$T5)))=Milestones!$AB$29),TEXT(EDATE($D5,Milestones!$AA$29),"dd/mm/yy")&amp;" "&amp;Milestones!$AB$29&amp;" "&amp;Milestones!$AC$29&amp;";  ","")&amp;IF(AND(EDATE($D5,Milestones!$AA$30)&lt;=AsOfDate,IF($Q5=0,$W5,IF(AND($S5&lt;&gt;"",EDATE($D5,Milestones!$AA$30)&gt;=$S5),$V5,IF(AND($R5&lt;&gt;"",EDATE($D5,Milestones!$AA$30)&gt;=$R5),$U5,$T5)))=Milestones!$AB$30),TEXT(EDATE($D5,Milestones!$AA$30),"dd/mm/yy")&amp;" "&amp;Milestones!$AB$30&amp;" "&amp;Milestones!$AC$30&amp;";  ","")&amp;IF(AND(EDATE($D5,Milestones!$AA$31)&lt;=AsOfDate,IF($Q5=0,$W5,IF(AND($S5&lt;&gt;"",EDATE($D5,Milestones!$AA$31)&gt;=$S5),$V5,IF(AND($R5&lt;&gt;"",EDATE($D5,Milestones!$AA$31)&gt;=$R5),$U5,$T5)))=Milestones!$AB$31),TEXT(EDATE($D5,Milestones!$AA$31),"dd/mm/yy")&amp;" "&amp;Milestones!$AB$31&amp;" "&amp;Milestones!$AC$31&amp;";  ","")&amp;IF(AND(EDATE($D5,Milestones!$AA$32)&lt;=AsOfDate,IF($Q5=0,$W5,IF(AND($S5&lt;&gt;"",EDATE($D5,Milestones!$AA$32)&gt;=$S5),$V5,IF(AND($R5&lt;&gt;"",EDATE($D5,Milestones!$AA$32)&gt;=$R5),$U5,$T5)))=Milestones!$AB$32),TEXT(EDATE($D5,Milestones!$AA$32),"dd/mm/yy")&amp;" "&amp;Milestones!$AB$32&amp;" "&amp;Milestones!$AC$32&amp;";  ","")&amp;IF(AND(EDATE($D5,Milestones!$AA$33)&lt;=AsOfDate,IF($Q5=0,$W5,IF(AND($S5&lt;&gt;"",EDATE($D5,Milestones!$AA$33)&gt;=$S5),$V5,IF(AND($R5&lt;&gt;"",EDATE($D5,Milestones!$AA$33)&gt;=$R5),$U5,$T5)))=Milestones!$AB$33),TEXT(EDATE($D5,Milestones!$AA$33),"dd/mm/yy")&amp;" "&amp;Milestones!$AB$33&amp;" "&amp;Milestones!$AC$33&amp;";  ","")&amp;IF(AND(EDATE($D5,Milestones!$AA$34)&lt;=AsOfDate,IF($Q5=0,$W5,IF(AND($S5&lt;&gt;"",EDATE($D5,Milestones!$AA$34)&gt;=$S5),$V5,IF(AND($R5&lt;&gt;"",EDATE($D5,Milestones!$AA$34)&gt;=$R5),$U5,$T5)))=Milestones!$AB$34),TEXT(EDATE($D5,Milestones!$AA$34),"dd/mm/yy")&amp;" "&amp;Milestones!$AB$34&amp;" "&amp;Milestones!$AC$34&amp;";  ","")&amp;IF(AND(EDATE($D5,Milestones!$AA$35)&lt;=AsOfDate,IF($Q5=0,$W5,IF(AND($S5&lt;&gt;"",EDATE($D5,Milestones!$AA$35)&gt;=$S5),$V5,IF(AND($R5&lt;&gt;"",EDATE($D5,Milestones!$AA$35)&gt;=$R5),$U5,$T5)))=Milestones!$AB$35),TEXT(EDATE($D5,Milestones!$AA$35),"dd/mm/yy")&amp;" "&amp;Milestones!$AB$35&amp;" "&amp;Milestones!$AC$35&amp;";  ","")&amp;IF(AND(EDATE($D5,Milestones!$AA$36)&lt;=AsOfDate,IF($Q5=0,$W5,IF(AND($S5&lt;&gt;"",EDATE($D5,Milestones!$AA$36)&gt;=$S5),$V5,IF(AND($R5&lt;&gt;"",EDATE($D5,Milestones!$AA$36)&gt;=$R5),$U5,$T5)))=Milestones!$AB$36),TEXT(EDATE($D5,Milestones!$AA$36),"dd/mm/yy")&amp;" "&amp;Milestones!$AB$36&amp;" "&amp;Milestones!$AC$36&amp;";  ","")&amp;IF(AND(EDATE($D5,Milestones!$AA$37)&lt;=AsOfDate,IF($Q5=0,$W5,IF(AND($S5&lt;&gt;"",EDATE($D5,Milestones!$AA$37)&gt;=$S5),$V5,IF(AND($R5&lt;&gt;"",EDATE($D5,Milestones!$AA$37)&gt;=$R5),$U5,$T5)))=Milestones!$AB$37),TEXT(EDATE($D5,Milestones!$AA$37),"dd/mm/yy")&amp;" "&amp;Milestones!$AB$37&amp;" "&amp;Milestones!$AC$37&amp;";  ","")&amp;IF(AND(EDATE($D5,Milestones!$AA$38)&lt;=AsOfDate,IF($Q5=0,$W5,IF(AND($S5&lt;&gt;"",EDATE($D5,Milestones!$AA$38)&gt;=$S5),$V5,IF(AND($R5&lt;&gt;"",EDATE($D5,Milestones!$AA$38)&gt;=$R5),$U5,$T5)))=Milestones!$AB$38),TEXT(EDATE($D5,Milestones!$AA$38),"dd/mm/yy")&amp;" "&amp;Milestones!$AB$38&amp;" "&amp;Milestones!$AC$38&amp;";  ","")&amp;IF(AND(EDATE($D5,Milestones!$AA$39)&lt;=AsOfDate,IF($Q5=0,$W5,IF(AND($S5&lt;&gt;"",EDATE($D5,Milestones!$AA$39)&gt;=$S5),$V5,IF(AND($R5&lt;&gt;"",EDATE($D5,Milestones!$AA$39)&gt;=$R5),$U5,$T5)))=Milestones!$AB$39),TEXT(EDATE($D5,Milestones!$AA$39),"dd/mm/yy")&amp;" "&amp;Milestones!$AB$39&amp;" "&amp;Milestones!$AC$39&amp;";  ",""))</f>
        <v/>
      </c>
      <c r="I5" s="0" t="str">
        <f aca="false">IF(OR($A5="",$D5=""),"",IF(AND(EDATE($D5,Milestones!$AA$40)&lt;=AsOfDate,IF($Q5=0,$W5,IF(AND($S5&lt;&gt;"",EDATE($D5,Milestones!$AA$40)&gt;=$S5),$V5,IF(AND($R5&lt;&gt;"",EDATE($D5,Milestones!$AA$40)&gt;=$R5),$U5,$T5)))=Milestones!$AB$40),TEXT(EDATE($D5,Milestones!$AA$40),"dd/mm/yy")&amp;" "&amp;Milestones!$AB$40&amp;" "&amp;Milestones!$AC$40&amp;";  ","")&amp;IF(AND(EDATE($D5,Milestones!$AA$41)&lt;=AsOfDate,IF($Q5=0,$W5,IF(AND($S5&lt;&gt;"",EDATE($D5,Milestones!$AA$41)&gt;=$S5),$V5,IF(AND($R5&lt;&gt;"",EDATE($D5,Milestones!$AA$41)&gt;=$R5),$U5,$T5)))=Milestones!$AB$41),TEXT(EDATE($D5,Milestones!$AA$41),"dd/mm/yy")&amp;" "&amp;Milestones!$AB$41&amp;" "&amp;Milestones!$AC$41&amp;";  ","")&amp;IF(AND(EDATE($D5,Milestones!$AA$42)&lt;=AsOfDate,IF($Q5=0,$W5,IF(AND($S5&lt;&gt;"",EDATE($D5,Milestones!$AA$42)&gt;=$S5),$V5,IF(AND($R5&lt;&gt;"",EDATE($D5,Milestones!$AA$42)&gt;=$R5),$U5,$T5)))=Milestones!$AB$42),TEXT(EDATE($D5,Milestones!$AA$42),"dd/mm/yy")&amp;" "&amp;Milestones!$AB$42&amp;" "&amp;Milestones!$AC$42&amp;";  ","")&amp;IF(AND(EDATE($D5,Milestones!$AA$43)&lt;=AsOfDate,IF($Q5=0,$W5,IF(AND($S5&lt;&gt;"",EDATE($D5,Milestones!$AA$43)&gt;=$S5),$V5,IF(AND($R5&lt;&gt;"",EDATE($D5,Milestones!$AA$43)&gt;=$R5),$U5,$T5)))=Milestones!$AB$43),TEXT(EDATE($D5,Milestones!$AA$43),"dd/mm/yy")&amp;" "&amp;Milestones!$AB$43&amp;" "&amp;Milestones!$AC$43&amp;";  ","")&amp;IF(AND(EDATE($D5,Milestones!$AA$44)&lt;=AsOfDate,IF($Q5=0,$W5,IF(AND($S5&lt;&gt;"",EDATE($D5,Milestones!$AA$44)&gt;=$S5),$V5,IF(AND($R5&lt;&gt;"",EDATE($D5,Milestones!$AA$44)&gt;=$R5),$U5,$T5)))=Milestones!$AB$44),TEXT(EDATE($D5,Milestones!$AA$44),"dd/mm/yy")&amp;" "&amp;Milestones!$AB$44&amp;" "&amp;Milestones!$AC$44&amp;";  ","")&amp;IF(AND(EDATE($D5,Milestones!$AA$45)&lt;=AsOfDate,IF($Q5=0,$W5,IF(AND($S5&lt;&gt;"",EDATE($D5,Milestones!$AA$45)&gt;=$S5),$V5,IF(AND($R5&lt;&gt;"",EDATE($D5,Milestones!$AA$45)&gt;=$R5),$U5,$T5)))=Milestones!$AB$45),TEXT(EDATE($D5,Milestones!$AA$45),"dd/mm/yy")&amp;" "&amp;Milestones!$AB$45&amp;" "&amp;Milestones!$AC$45&amp;";  ","")&amp;IF(AND(EDATE($D5,Milestones!$AA$46)&lt;=AsOfDate,IF($Q5=0,$W5,IF(AND($S5&lt;&gt;"",EDATE($D5,Milestones!$AA$46)&gt;=$S5),$V5,IF(AND($R5&lt;&gt;"",EDATE($D5,Milestones!$AA$46)&gt;=$R5),$U5,$T5)))=Milestones!$AB$46),TEXT(EDATE($D5,Milestones!$AA$46),"dd/mm/yy")&amp;" "&amp;Milestones!$AB$46&amp;" "&amp;Milestones!$AC$46&amp;";  ","")&amp;IF(AND(EDATE($D5,Milestones!$AA$47)&lt;=AsOfDate,IF($Q5=0,$W5,IF(AND($S5&lt;&gt;"",EDATE($D5,Milestones!$AA$47)&gt;=$S5),$V5,IF(AND($R5&lt;&gt;"",EDATE($D5,Milestones!$AA$47)&gt;=$R5),$U5,$T5)))=Milestones!$AB$47),TEXT(EDATE($D5,Milestones!$AA$47),"dd/mm/yy")&amp;" "&amp;Milestones!$AB$47&amp;" "&amp;Milestones!$AC$47&amp;";  ","")&amp;IF(AND(EDATE($D5,Milestones!$AA$48)&lt;=AsOfDate,IF($Q5=0,$W5,IF(AND($S5&lt;&gt;"",EDATE($D5,Milestones!$AA$48)&gt;=$S5),$V5,IF(AND($R5&lt;&gt;"",EDATE($D5,Milestones!$AA$48)&gt;=$R5),$U5,$T5)))=Milestones!$AB$48),TEXT(EDATE($D5,Milestones!$AA$48),"dd/mm/yy")&amp;" "&amp;Milestones!$AB$48&amp;" "&amp;Milestones!$AC$48&amp;";  ","")&amp;IF(AND(EDATE($D5,Milestones!$AA$49)&lt;=AsOfDate,IF($Q5=0,$W5,IF(AND($S5&lt;&gt;"",EDATE($D5,Milestones!$AA$49)&gt;=$S5),$V5,IF(AND($R5&lt;&gt;"",EDATE($D5,Milestones!$AA$49)&gt;=$R5),$U5,$T5)))=Milestones!$AB$49),TEXT(EDATE($D5,Milestones!$AA$49),"dd/mm/yy")&amp;" "&amp;Milestones!$AB$49&amp;" "&amp;Milestones!$AC$49&amp;";  ","")&amp;IF(AND(EDATE($D5,Milestones!$AA$50)&lt;=AsOfDate,IF($Q5=0,$W5,IF(AND($S5&lt;&gt;"",EDATE($D5,Milestones!$AA$50)&gt;=$S5),$V5,IF(AND($R5&lt;&gt;"",EDATE($D5,Milestones!$AA$50)&gt;=$R5),$U5,$T5)))=Milestones!$AB$50),TEXT(EDATE($D5,Milestones!$AA$50),"dd/mm/yy")&amp;" "&amp;Milestones!$AB$50&amp;" "&amp;Milestones!$AC$50&amp;";  ","")&amp;IF(AND(EDATE($D5,Milestones!$AA$51)&lt;=AsOfDate,IF($Q5=0,$W5,IF(AND($S5&lt;&gt;"",EDATE($D5,Milestones!$AA$51)&gt;=$S5),$V5,IF(AND($R5&lt;&gt;"",EDATE($D5,Milestones!$AA$51)&gt;=$R5),$U5,$T5)))=Milestones!$AB$51),TEXT(EDATE($D5,Milestones!$AA$51),"dd/mm/yy")&amp;" "&amp;Milestones!$AB$51&amp;" "&amp;Milestones!$AC$51&amp;";  ","")&amp;IF(AND(EDATE($D5,Milestones!$AA$52)&lt;=AsOfDate,IF($Q5=0,$W5,IF(AND($S5&lt;&gt;"",EDATE($D5,Milestones!$AA$52)&gt;=$S5),$V5,IF(AND($R5&lt;&gt;"",EDATE($D5,Milestones!$AA$52)&gt;=$R5),$U5,$T5)))=Milestones!$AB$52),TEXT(EDATE($D5,Milestones!$AA$52),"dd/mm/yy")&amp;" "&amp;Milestones!$AB$52&amp;" "&amp;Milestones!$AC$52&amp;";  ","")&amp;IF(AND(EDATE($D5,Milestones!$AA$53)&lt;=AsOfDate,IF($Q5=0,$W5,IF(AND($S5&lt;&gt;"",EDATE($D5,Milestones!$AA$53)&gt;=$S5),$V5,IF(AND($R5&lt;&gt;"",EDATE($D5,Milestones!$AA$53)&gt;=$R5),$U5,$T5)))=Milestones!$AB$53),TEXT(EDATE($D5,Milestones!$AA$53),"dd/mm/yy")&amp;" "&amp;Milestones!$AB$53&amp;" "&amp;Milestones!$AC$53&amp;";  ","")&amp;IF(AND(EDATE($D5,Milestones!$AA$54)&lt;=AsOfDate,IF($Q5=0,$W5,IF(AND($S5&lt;&gt;"",EDATE($D5,Milestones!$AA$54)&gt;=$S5),$V5,IF(AND($R5&lt;&gt;"",EDATE($D5,Milestones!$AA$54)&gt;=$R5),$U5,$T5)))=Milestones!$AB$54),TEXT(EDATE($D5,Milestones!$AA$54),"dd/mm/yy")&amp;" "&amp;Milestones!$AB$54&amp;" "&amp;Milestones!$AC$54&amp;";  ","")&amp;IF(AND(EDATE($D5,Milestones!$AA$55)&lt;=AsOfDate,IF($Q5=0,$W5,IF(AND($S5&lt;&gt;"",EDATE($D5,Milestones!$AA$55)&gt;=$S5),$V5,IF(AND($R5&lt;&gt;"",EDATE($D5,Milestones!$AA$55)&gt;=$R5),$U5,$T5)))=Milestones!$AB$55),TEXT(EDATE($D5,Milestones!$AA$55),"dd/mm/yy")&amp;" "&amp;Milestones!$AB$55&amp;" "&amp;Milestones!$AC$55&amp;";  ","")&amp;IF(AND(EDATE($D5,Milestones!$AA$56)&lt;=AsOfDate,IF($Q5=0,$W5,IF(AND($S5&lt;&gt;"",EDATE($D5,Milestones!$AA$56)&gt;=$S5),$V5,IF(AND($R5&lt;&gt;"",EDATE($D5,Milestones!$AA$56)&gt;=$R5),$U5,$T5)))=Milestones!$AB$56),TEXT(EDATE($D5,Milestones!$AA$56),"dd/mm/yy")&amp;" "&amp;Milestones!$AB$56&amp;" "&amp;Milestones!$AC$56&amp;";  ","")&amp;IF(AND(EDATE($D5,Milestones!$AA$57)&lt;=AsOfDate,IF($Q5=0,$W5,IF(AND($S5&lt;&gt;"",EDATE($D5,Milestones!$AA$57)&gt;=$S5),$V5,IF(AND($R5&lt;&gt;"",EDATE($D5,Milestones!$AA$57)&gt;=$R5),$U5,$T5)))=Milestones!$AB$57),TEXT(EDATE($D5,Milestones!$AA$57),"dd/mm/yy")&amp;" "&amp;Milestones!$AB$57&amp;" "&amp;Milestones!$AC$57&amp;";  ","")&amp;IF(AND(EDATE($D5,Milestones!$AA$58)&lt;=AsOfDate,IF($Q5=0,$W5,IF(AND($S5&lt;&gt;"",EDATE($D5,Milestones!$AA$58)&gt;=$S5),$V5,IF(AND($R5&lt;&gt;"",EDATE($D5,Milestones!$AA$58)&gt;=$R5),$U5,$T5)))=Milestones!$AB$58),TEXT(EDATE($D5,Milestones!$AA$58),"dd/mm/yy")&amp;" "&amp;Milestones!$AB$58&amp;" "&amp;Milestones!$AC$58&amp;";  ","")&amp;IF(AND(EDATE($D5,Milestones!$AA$59)&lt;=AsOfDate,IF($Q5=0,$W5,IF(AND($S5&lt;&gt;"",EDATE($D5,Milestones!$AA$59)&gt;=$S5),$V5,IF(AND($R5&lt;&gt;"",EDATE($D5,Milestones!$AA$59)&gt;=$R5),$U5,$T5)))=Milestones!$AB$59),TEXT(EDATE($D5,Milestones!$AA$59),"dd/mm/yy")&amp;" "&amp;Milestones!$AB$59&amp;" "&amp;Milestones!$AC$59&amp;";  ",""))</f>
        <v/>
      </c>
      <c r="J5" s="0" t="str">
        <f aca="false">IF(OR($A5="",$D5=""),"",IF(AND(EDATE($D5,Milestones!$AA$60)&lt;=AsOfDate,IF($Q5=0,$W5,IF(AND($S5&lt;&gt;"",EDATE($D5,Milestones!$AA$60)&gt;=$S5),$V5,IF(AND($R5&lt;&gt;"",EDATE($D5,Milestones!$AA$60)&gt;=$R5),$U5,$T5)))=Milestones!$AB$60),TEXT(EDATE($D5,Milestones!$AA$60),"dd/mm/yy")&amp;" "&amp;Milestones!$AB$60&amp;" "&amp;Milestones!$AC$60&amp;";  ","")&amp;IF(AND(EDATE($D5,Milestones!$AA$61)&lt;=AsOfDate,IF($Q5=0,$W5,IF(AND($S5&lt;&gt;"",EDATE($D5,Milestones!$AA$61)&gt;=$S5),$V5,IF(AND($R5&lt;&gt;"",EDATE($D5,Milestones!$AA$61)&gt;=$R5),$U5,$T5)))=Milestones!$AB$61),TEXT(EDATE($D5,Milestones!$AA$61),"dd/mm/yy")&amp;" "&amp;Milestones!$AB$61&amp;" "&amp;Milestones!$AC$61&amp;";  ","")&amp;IF(AND(EDATE($D5,Milestones!$AA$62)&lt;=AsOfDate,IF($Q5=0,$W5,IF(AND($S5&lt;&gt;"",EDATE($D5,Milestones!$AA$62)&gt;=$S5),$V5,IF(AND($R5&lt;&gt;"",EDATE($D5,Milestones!$AA$62)&gt;=$R5),$U5,$T5)))=Milestones!$AB$62),TEXT(EDATE($D5,Milestones!$AA$62),"dd/mm/yy")&amp;" "&amp;Milestones!$AB$62&amp;" "&amp;Milestones!$AC$62&amp;";  ","")&amp;IF(AND(EDATE($D5,Milestones!$AA$63)&lt;=AsOfDate,IF($Q5=0,$W5,IF(AND($S5&lt;&gt;"",EDATE($D5,Milestones!$AA$63)&gt;=$S5),$V5,IF(AND($R5&lt;&gt;"",EDATE($D5,Milestones!$AA$63)&gt;=$R5),$U5,$T5)))=Milestones!$AB$63),TEXT(EDATE($D5,Milestones!$AA$63),"dd/mm/yy")&amp;" "&amp;Milestones!$AB$63&amp;" "&amp;Milestones!$AC$63&amp;";  ","")&amp;IF(AND(EDATE($D5,Milestones!$AA$64)&lt;=AsOfDate,IF($Q5=0,$W5,IF(AND($S5&lt;&gt;"",EDATE($D5,Milestones!$AA$64)&gt;=$S5),$V5,IF(AND($R5&lt;&gt;"",EDATE($D5,Milestones!$AA$64)&gt;=$R5),$U5,$T5)))=Milestones!$AB$64),TEXT(EDATE($D5,Milestones!$AA$64),"dd/mm/yy")&amp;" "&amp;Milestones!$AB$64&amp;" "&amp;Milestones!$AC$64&amp;";  ","")&amp;IF(AND(EDATE($D5,Milestones!$AA$65)&lt;=AsOfDate,IF($Q5=0,$W5,IF(AND($S5&lt;&gt;"",EDATE($D5,Milestones!$AA$65)&gt;=$S5),$V5,IF(AND($R5&lt;&gt;"",EDATE($D5,Milestones!$AA$65)&gt;=$R5),$U5,$T5)))=Milestones!$AB$65),TEXT(EDATE($D5,Milestones!$AA$65),"dd/mm/yy")&amp;" "&amp;Milestones!$AB$65&amp;" "&amp;Milestones!$AC$65&amp;";  ","")&amp;IF(AND(EDATE($D5,Milestones!$AA$66)&lt;=AsOfDate,IF($Q5=0,$W5,IF(AND($S5&lt;&gt;"",EDATE($D5,Milestones!$AA$66)&gt;=$S5),$V5,IF(AND($R5&lt;&gt;"",EDATE($D5,Milestones!$AA$66)&gt;=$R5),$U5,$T5)))=Milestones!$AB$66),TEXT(EDATE($D5,Milestones!$AA$66),"dd/mm/yy")&amp;" "&amp;Milestones!$AB$66&amp;" "&amp;Milestones!$AC$66&amp;";  ","")&amp;IF(AND(EDATE($D5,Milestones!$AA$67)&lt;=AsOfDate,IF($Q5=0,$W5,IF(AND($S5&lt;&gt;"",EDATE($D5,Milestones!$AA$67)&gt;=$S5),$V5,IF(AND($R5&lt;&gt;"",EDATE($D5,Milestones!$AA$67)&gt;=$R5),$U5,$T5)))=Milestones!$AB$67),TEXT(EDATE($D5,Milestones!$AA$67),"dd/mm/yy")&amp;" "&amp;Milestones!$AB$67&amp;" "&amp;Milestones!$AC$67&amp;";  ","")&amp;IF(AND(EDATE($D5,Milestones!$AA$68)&lt;=AsOfDate,IF($Q5=0,$W5,IF(AND($S5&lt;&gt;"",EDATE($D5,Milestones!$AA$68)&gt;=$S5),$V5,IF(AND($R5&lt;&gt;"",EDATE($D5,Milestones!$AA$68)&gt;=$R5),$U5,$T5)))=Milestones!$AB$68),TEXT(EDATE($D5,Milestones!$AA$68),"dd/mm/yy")&amp;" "&amp;Milestones!$AB$68&amp;" "&amp;Milestones!$AC$68&amp;";  ","")&amp;IF(AND(EDATE($D5,Milestones!$AA$69)&lt;=AsOfDate,IF($Q5=0,$W5,IF(AND($S5&lt;&gt;"",EDATE($D5,Milestones!$AA$69)&gt;=$S5),$V5,IF(AND($R5&lt;&gt;"",EDATE($D5,Milestones!$AA$69)&gt;=$R5),$U5,$T5)))=Milestones!$AB$69),TEXT(EDATE($D5,Milestones!$AA$69),"dd/mm/yy")&amp;" "&amp;Milestones!$AB$69&amp;" "&amp;Milestones!$AC$69&amp;";  ","")&amp;IF(AND(EDATE($D5,Milestones!$AA$70)&lt;=AsOfDate,IF($Q5=0,$W5,IF(AND($S5&lt;&gt;"",EDATE($D5,Milestones!$AA$70)&gt;=$S5),$V5,IF(AND($R5&lt;&gt;"",EDATE($D5,Milestones!$AA$70)&gt;=$R5),$U5,$T5)))=Milestones!$AB$70),TEXT(EDATE($D5,Milestones!$AA$70),"dd/mm/yy")&amp;" "&amp;Milestones!$AB$70&amp;" "&amp;Milestones!$AC$70&amp;";  ","")&amp;IF(AND(EDATE($D5,Milestones!$AA$71)&lt;=AsOfDate,IF($Q5=0,$W5,IF(AND($S5&lt;&gt;"",EDATE($D5,Milestones!$AA$71)&gt;=$S5),$V5,IF(AND($R5&lt;&gt;"",EDATE($D5,Milestones!$AA$71)&gt;=$R5),$U5,$T5)))=Milestones!$AB$71),TEXT(EDATE($D5,Milestones!$AA$71),"dd/mm/yy")&amp;" "&amp;Milestones!$AB$71&amp;" "&amp;Milestones!$AC$71&amp;";  ","")&amp;IF(AND(EDATE($D5,Milestones!$AA$72)&lt;=AsOfDate,IF($Q5=0,$W5,IF(AND($S5&lt;&gt;"",EDATE($D5,Milestones!$AA$72)&gt;=$S5),$V5,IF(AND($R5&lt;&gt;"",EDATE($D5,Milestones!$AA$72)&gt;=$R5),$U5,$T5)))=Milestones!$AB$72),TEXT(EDATE($D5,Milestones!$AA$72),"dd/mm/yy")&amp;" "&amp;Milestones!$AB$72&amp;" "&amp;Milestones!$AC$72&amp;";  ","")&amp;IF(AND(EDATE($D5,Milestones!$AA$73)&lt;=AsOfDate,IF($Q5=0,$W5,IF(AND($S5&lt;&gt;"",EDATE($D5,Milestones!$AA$73)&gt;=$S5),$V5,IF(AND($R5&lt;&gt;"",EDATE($D5,Milestones!$AA$73)&gt;=$R5),$U5,$T5)))=Milestones!$AB$73),TEXT(EDATE($D5,Milestones!$AA$73),"dd/mm/yy")&amp;" "&amp;Milestones!$AB$73&amp;" "&amp;Milestones!$AC$73&amp;";  ","")&amp;IF(AND(EDATE($D5,Milestones!$AA$74)&lt;=AsOfDate,IF($Q5=0,$W5,IF(AND($S5&lt;&gt;"",EDATE($D5,Milestones!$AA$74)&gt;=$S5),$V5,IF(AND($R5&lt;&gt;"",EDATE($D5,Milestones!$AA$74)&gt;=$R5),$U5,$T5)))=Milestones!$AB$74),TEXT(EDATE($D5,Milestones!$AA$74),"dd/mm/yy")&amp;" "&amp;Milestones!$AB$74&amp;" "&amp;Milestones!$AC$74&amp;";  ","")&amp;IF(AND(EDATE($D5,Milestones!$AA$75)&lt;=AsOfDate,IF($Q5=0,$W5,IF(AND($S5&lt;&gt;"",EDATE($D5,Milestones!$AA$75)&gt;=$S5),$V5,IF(AND($R5&lt;&gt;"",EDATE($D5,Milestones!$AA$75)&gt;=$R5),$U5,$T5)))=Milestones!$AB$75),TEXT(EDATE($D5,Milestones!$AA$75),"dd/mm/yy")&amp;" "&amp;Milestones!$AB$75&amp;" "&amp;Milestones!$AC$75&amp;";  ","")&amp;IF(AND(EDATE($D5,Milestones!$AA$76)&lt;=AsOfDate,IF($Q5=0,$W5,IF(AND($S5&lt;&gt;"",EDATE($D5,Milestones!$AA$76)&gt;=$S5),$V5,IF(AND($R5&lt;&gt;"",EDATE($D5,Milestones!$AA$76)&gt;=$R5),$U5,$T5)))=Milestones!$AB$76),TEXT(EDATE($D5,Milestones!$AA$76),"dd/mm/yy")&amp;" "&amp;Milestones!$AB$76&amp;" "&amp;Milestones!$AC$76&amp;";  ","")&amp;IF(AND(EDATE($D5,Milestones!$AA$77)&lt;=AsOfDate,IF($Q5=0,$W5,IF(AND($S5&lt;&gt;"",EDATE($D5,Milestones!$AA$77)&gt;=$S5),$V5,IF(AND($R5&lt;&gt;"",EDATE($D5,Milestones!$AA$77)&gt;=$R5),$U5,$T5)))=Milestones!$AB$77),TEXT(EDATE($D5,Milestones!$AA$77),"dd/mm/yy")&amp;" "&amp;Milestones!$AB$77&amp;" "&amp;Milestones!$AC$77&amp;";  ","")&amp;IF(AND(EDATE($D5,Milestones!$AA$78)&lt;=AsOfDate,IF($Q5=0,$W5,IF(AND($S5&lt;&gt;"",EDATE($D5,Milestones!$AA$78)&gt;=$S5),$V5,IF(AND($R5&lt;&gt;"",EDATE($D5,Milestones!$AA$78)&gt;=$R5),$U5,$T5)))=Milestones!$AB$78),TEXT(EDATE($D5,Milestones!$AA$78),"dd/mm/yy")&amp;" "&amp;Milestones!$AB$78&amp;" "&amp;Milestones!$AC$78&amp;";  ","")&amp;IF(AND(EDATE($D5,Milestones!$AA$79)&lt;=AsOfDate,IF($Q5=0,$W5,IF(AND($S5&lt;&gt;"",EDATE($D5,Milestones!$AA$79)&gt;=$S5),$V5,IF(AND($R5&lt;&gt;"",EDATE($D5,Milestones!$AA$79)&gt;=$R5),$U5,$T5)))=Milestones!$AB$79),TEXT(EDATE($D5,Milestones!$AA$79),"dd/mm/yy")&amp;" "&amp;Milestones!$AB$79&amp;" "&amp;Milestones!$AC$79&amp;";  ",""))</f>
        <v/>
      </c>
      <c r="K5" s="0" t="str">
        <f aca="false">IF(OR($A5="",$D5=""),"",IF(AND(EDATE($D5,Milestones!$AA$80)&lt;=AsOfDate,IF($Q5=0,$W5,IF(AND($S5&lt;&gt;"",EDATE($D5,Milestones!$AA$80)&gt;=$S5),$V5,IF(AND($R5&lt;&gt;"",EDATE($D5,Milestones!$AA$80)&gt;=$R5),$U5,$T5)))=Milestones!$AB$80),TEXT(EDATE($D5,Milestones!$AA$80),"dd/mm/yy")&amp;" "&amp;Milestones!$AB$80&amp;" "&amp;Milestones!$AC$80&amp;";  ","")&amp;IF(AND(EDATE($D5,Milestones!$AA$81)&lt;=AsOfDate,IF($Q5=0,$W5,IF(AND($S5&lt;&gt;"",EDATE($D5,Milestones!$AA$81)&gt;=$S5),$V5,IF(AND($R5&lt;&gt;"",EDATE($D5,Milestones!$AA$81)&gt;=$R5),$U5,$T5)))=Milestones!$AB$81),TEXT(EDATE($D5,Milestones!$AA$81),"dd/mm/yy")&amp;" "&amp;Milestones!$AB$81&amp;" "&amp;Milestones!$AC$81&amp;";  ","")&amp;IF(AND(EDATE($D5,Milestones!$AA$82)&lt;=AsOfDate,IF($Q5=0,$W5,IF(AND($S5&lt;&gt;"",EDATE($D5,Milestones!$AA$82)&gt;=$S5),$V5,IF(AND($R5&lt;&gt;"",EDATE($D5,Milestones!$AA$82)&gt;=$R5),$U5,$T5)))=Milestones!$AB$82),TEXT(EDATE($D5,Milestones!$AA$82),"dd/mm/yy")&amp;" "&amp;Milestones!$AB$82&amp;" "&amp;Milestones!$AC$82&amp;";  ","")&amp;IF(AND(EDATE($D5,Milestones!$AA$83)&lt;=AsOfDate,IF($Q5=0,$W5,IF(AND($S5&lt;&gt;"",EDATE($D5,Milestones!$AA$83)&gt;=$S5),$V5,IF(AND($R5&lt;&gt;"",EDATE($D5,Milestones!$AA$83)&gt;=$R5),$U5,$T5)))=Milestones!$AB$83),TEXT(EDATE($D5,Milestones!$AA$83),"dd/mm/yy")&amp;" "&amp;Milestones!$AB$83&amp;" "&amp;Milestones!$AC$83&amp;";  ","")&amp;IF(AND(EDATE($D5,Milestones!$AA$84)&lt;=AsOfDate,IF($Q5=0,$W5,IF(AND($S5&lt;&gt;"",EDATE($D5,Milestones!$AA$84)&gt;=$S5),$V5,IF(AND($R5&lt;&gt;"",EDATE($D5,Milestones!$AA$84)&gt;=$R5),$U5,$T5)))=Milestones!$AB$84),TEXT(EDATE($D5,Milestones!$AA$84),"dd/mm/yy")&amp;" "&amp;Milestones!$AB$84&amp;" "&amp;Milestones!$AC$84&amp;";  ","")&amp;IF(AND(EDATE($D5,Milestones!$AA$85)&lt;=AsOfDate,IF($Q5=0,$W5,IF(AND($S5&lt;&gt;"",EDATE($D5,Milestones!$AA$85)&gt;=$S5),$V5,IF(AND($R5&lt;&gt;"",EDATE($D5,Milestones!$AA$85)&gt;=$R5),$U5,$T5)))=Milestones!$AB$85),TEXT(EDATE($D5,Milestones!$AA$85),"dd/mm/yy")&amp;" "&amp;Milestones!$AB$85&amp;" "&amp;Milestones!$AC$85&amp;";  ","")&amp;IF(AND(EDATE($D5,Milestones!$AA$86)&lt;=AsOfDate,IF($Q5=0,$W5,IF(AND($S5&lt;&gt;"",EDATE($D5,Milestones!$AA$86)&gt;=$S5),$V5,IF(AND($R5&lt;&gt;"",EDATE($D5,Milestones!$AA$86)&gt;=$R5),$U5,$T5)))=Milestones!$AB$86),TEXT(EDATE($D5,Milestones!$AA$86),"dd/mm/yy")&amp;" "&amp;Milestones!$AB$86&amp;" "&amp;Milestones!$AC$86&amp;";  ","")&amp;IF(AND(EDATE($D5,Milestones!$AA$87)&lt;=AsOfDate,IF($Q5=0,$W5,IF(AND($S5&lt;&gt;"",EDATE($D5,Milestones!$AA$87)&gt;=$S5),$V5,IF(AND($R5&lt;&gt;"",EDATE($D5,Milestones!$AA$87)&gt;=$R5),$U5,$T5)))=Milestones!$AB$87),TEXT(EDATE($D5,Milestones!$AA$87),"dd/mm/yy")&amp;" "&amp;Milestones!$AB$87&amp;" "&amp;Milestones!$AC$87&amp;";  ","")&amp;IF(AND(EDATE($D5,Milestones!$AA$88)&lt;=AsOfDate,IF($Q5=0,$W5,IF(AND($S5&lt;&gt;"",EDATE($D5,Milestones!$AA$88)&gt;=$S5),$V5,IF(AND($R5&lt;&gt;"",EDATE($D5,Milestones!$AA$88)&gt;=$R5),$U5,$T5)))=Milestones!$AB$88),TEXT(EDATE($D5,Milestones!$AA$88),"dd/mm/yy")&amp;" "&amp;Milestones!$AB$88&amp;" "&amp;Milestones!$AC$88&amp;";  ","")&amp;IF(AND(EDATE($D5,Milestones!$AA$89)&lt;=AsOfDate,IF($Q5=0,$W5,IF(AND($S5&lt;&gt;"",EDATE($D5,Milestones!$AA$89)&gt;=$S5),$V5,IF(AND($R5&lt;&gt;"",EDATE($D5,Milestones!$AA$89)&gt;=$R5),$U5,$T5)))=Milestones!$AB$89),TEXT(EDATE($D5,Milestones!$AA$89),"dd/mm/yy")&amp;" "&amp;Milestones!$AB$89&amp;" "&amp;Milestones!$AC$89&amp;";  ","")&amp;IF(AND(EDATE($D5,Milestones!$AA$90)&lt;=AsOfDate,IF($Q5=0,$W5,IF(AND($S5&lt;&gt;"",EDATE($D5,Milestones!$AA$90)&gt;=$S5),$V5,IF(AND($R5&lt;&gt;"",EDATE($D5,Milestones!$AA$90)&gt;=$R5),$U5,$T5)))=Milestones!$AB$90),TEXT(EDATE($D5,Milestones!$AA$90),"dd/mm/yy")&amp;" "&amp;Milestones!$AB$90&amp;" "&amp;Milestones!$AC$90&amp;";  ","")&amp;IF(AND(EDATE($D5,Milestones!$AA$91)&lt;=AsOfDate,IF($Q5=0,$W5,IF(AND($S5&lt;&gt;"",EDATE($D5,Milestones!$AA$91)&gt;=$S5),$V5,IF(AND($R5&lt;&gt;"",EDATE($D5,Milestones!$AA$91)&gt;=$R5),$U5,$T5)))=Milestones!$AB$91),TEXT(EDATE($D5,Milestones!$AA$91),"dd/mm/yy")&amp;" "&amp;Milestones!$AB$91&amp;" "&amp;Milestones!$AC$91&amp;";  ","")&amp;IF(AND(EDATE($D5,Milestones!$AA$92)&lt;=AsOfDate,IF($Q5=0,$W5,IF(AND($S5&lt;&gt;"",EDATE($D5,Milestones!$AA$92)&gt;=$S5),$V5,IF(AND($R5&lt;&gt;"",EDATE($D5,Milestones!$AA$92)&gt;=$R5),$U5,$T5)))=Milestones!$AB$92),TEXT(EDATE($D5,Milestones!$AA$92),"dd/mm/yy")&amp;" "&amp;Milestones!$AB$92&amp;" "&amp;Milestones!$AC$92&amp;";  ","")&amp;IF(AND(EDATE($D5,Milestones!$AA$93)&lt;=AsOfDate,IF($Q5=0,$W5,IF(AND($S5&lt;&gt;"",EDATE($D5,Milestones!$AA$93)&gt;=$S5),$V5,IF(AND($R5&lt;&gt;"",EDATE($D5,Milestones!$AA$93)&gt;=$R5),$U5,$T5)))=Milestones!$AB$93),TEXT(EDATE($D5,Milestones!$AA$93),"dd/mm/yy")&amp;" "&amp;Milestones!$AB$93&amp;" "&amp;Milestones!$AC$93&amp;";  ","")&amp;IF(AND(EDATE($D5,Milestones!$AA$94)&lt;=AsOfDate,IF($Q5=0,$W5,IF(AND($S5&lt;&gt;"",EDATE($D5,Milestones!$AA$94)&gt;=$S5),$V5,IF(AND($R5&lt;&gt;"",EDATE($D5,Milestones!$AA$94)&gt;=$R5),$U5,$T5)))=Milestones!$AB$94),TEXT(EDATE($D5,Milestones!$AA$94),"dd/mm/yy")&amp;" "&amp;Milestones!$AB$94&amp;" "&amp;Milestones!$AC$94&amp;";  ","")&amp;IF(AND(EDATE($D5,Milestones!$AA$95)&lt;=AsOfDate,IF($Q5=0,$W5,IF(AND($S5&lt;&gt;"",EDATE($D5,Milestones!$AA$95)&gt;=$S5),$V5,IF(AND($R5&lt;&gt;"",EDATE($D5,Milestones!$AA$95)&gt;=$R5),$U5,$T5)))=Milestones!$AB$95),TEXT(EDATE($D5,Milestones!$AA$95),"dd/mm/yy")&amp;" "&amp;Milestones!$AB$95&amp;" "&amp;Milestones!$AC$95&amp;";  ","")&amp;IF(AND(EDATE($D5,Milestones!$AA$96)&lt;=AsOfDate,IF($Q5=0,$W5,IF(AND($S5&lt;&gt;"",EDATE($D5,Milestones!$AA$96)&gt;=$S5),$V5,IF(AND($R5&lt;&gt;"",EDATE($D5,Milestones!$AA$96)&gt;=$R5),$U5,$T5)))=Milestones!$AB$96),TEXT(EDATE($D5,Milestones!$AA$96),"dd/mm/yy")&amp;" "&amp;Milestones!$AB$96&amp;" "&amp;Milestones!$AC$96&amp;";  ","")&amp;IF(AND(EDATE($D5,Milestones!$AA$97)&lt;=AsOfDate,IF($Q5=0,$W5,IF(AND($S5&lt;&gt;"",EDATE($D5,Milestones!$AA$97)&gt;=$S5),$V5,IF(AND($R5&lt;&gt;"",EDATE($D5,Milestones!$AA$97)&gt;=$R5),$U5,$T5)))=Milestones!$AB$97),TEXT(EDATE($D5,Milestones!$AA$97),"dd/mm/yy")&amp;" "&amp;Milestones!$AB$97&amp;" "&amp;Milestones!$AC$97&amp;";  ","")&amp;IF(AND(EDATE($D5,Milestones!$AA$98)&lt;=AsOfDate,IF($Q5=0,$W5,IF(AND($S5&lt;&gt;"",EDATE($D5,Milestones!$AA$98)&gt;=$S5),$V5,IF(AND($R5&lt;&gt;"",EDATE($D5,Milestones!$AA$98)&gt;=$R5),$U5,$T5)))=Milestones!$AB$98),TEXT(EDATE($D5,Milestones!$AA$98),"dd/mm/yy")&amp;" "&amp;Milestones!$AB$98&amp;" "&amp;Milestones!$AC$98&amp;";  ","")&amp;IF(AND(EDATE($D5,Milestones!$AA$99)&lt;=AsOfDate,IF($Q5=0,$W5,IF(AND($S5&lt;&gt;"",EDATE($D5,Milestones!$AA$99)&gt;=$S5),$V5,IF(AND($R5&lt;&gt;"",EDATE($D5,Milestones!$AA$99)&gt;=$R5),$U5,$T5)))=Milestones!$AB$99),TEXT(EDATE($D5,Milestones!$AA$99),"dd/mm/yy")&amp;" "&amp;Milestones!$AB$99&amp;" "&amp;Milestones!$AC$99&amp;";  ",""))</f>
        <v/>
      </c>
      <c r="L5" s="0" t="str">
        <f aca="false">IF(OR($A5="",$D5=""),"",IF(AND(EDATE($D5,Milestones!$AA$100)&lt;=AsOfDate,IF($Q5=0,$W5,IF(AND($S5&lt;&gt;"",EDATE($D5,Milestones!$AA$100)&gt;=$S5),$V5,IF(AND($R5&lt;&gt;"",EDATE($D5,Milestones!$AA$100)&gt;=$R5),$U5,$T5)))=Milestones!$AB$100),TEXT(EDATE($D5,Milestones!$AA$100),"dd/mm/yy")&amp;" "&amp;Milestones!$AB$100&amp;" "&amp;Milestones!$AC$100&amp;";  ","")&amp;IF(AND(EDATE($D5,Milestones!$AA$101)&lt;=AsOfDate,IF($Q5=0,$W5,IF(AND($S5&lt;&gt;"",EDATE($D5,Milestones!$AA$101)&gt;=$S5),$V5,IF(AND($R5&lt;&gt;"",EDATE($D5,Milestones!$AA$101)&gt;=$R5),$U5,$T5)))=Milestones!$AB$101),TEXT(EDATE($D5,Milestones!$AA$101),"dd/mm/yy")&amp;" "&amp;Milestones!$AB$101&amp;" "&amp;Milestones!$AC$101&amp;";  ","")&amp;IF(AND(EDATE($D5,Milestones!$AA$102)&lt;=AsOfDate,IF($Q5=0,$W5,IF(AND($S5&lt;&gt;"",EDATE($D5,Milestones!$AA$102)&gt;=$S5),$V5,IF(AND($R5&lt;&gt;"",EDATE($D5,Milestones!$AA$102)&gt;=$R5),$U5,$T5)))=Milestones!$AB$102),TEXT(EDATE($D5,Milestones!$AA$102),"dd/mm/yy")&amp;" "&amp;Milestones!$AB$102&amp;" "&amp;Milestones!$AC$102&amp;";  ","")&amp;IF(AND(EDATE($D5,Milestones!$AA$103)&lt;=AsOfDate,IF($Q5=0,$W5,IF(AND($S5&lt;&gt;"",EDATE($D5,Milestones!$AA$103)&gt;=$S5),$V5,IF(AND($R5&lt;&gt;"",EDATE($D5,Milestones!$AA$103)&gt;=$R5),$U5,$T5)))=Milestones!$AB$103),TEXT(EDATE($D5,Milestones!$AA$103),"dd/mm/yy")&amp;" "&amp;Milestones!$AB$103&amp;" "&amp;Milestones!$AC$103&amp;";  ","")&amp;IF(AND(EDATE($D5,Milestones!$AA$104)&lt;=AsOfDate,IF($Q5=0,$W5,IF(AND($S5&lt;&gt;"",EDATE($D5,Milestones!$AA$104)&gt;=$S5),$V5,IF(AND($R5&lt;&gt;"",EDATE($D5,Milestones!$AA$104)&gt;=$R5),$U5,$T5)))=Milestones!$AB$104),TEXT(EDATE($D5,Milestones!$AA$104),"dd/mm/yy")&amp;" "&amp;Milestones!$AB$104&amp;" "&amp;Milestones!$AC$104&amp;";  ","")&amp;IF(AND(EDATE($D5,Milestones!$AA$105)&lt;=AsOfDate,IF($Q5=0,$W5,IF(AND($S5&lt;&gt;"",EDATE($D5,Milestones!$AA$105)&gt;=$S5),$V5,IF(AND($R5&lt;&gt;"",EDATE($D5,Milestones!$AA$105)&gt;=$R5),$U5,$T5)))=Milestones!$AB$105),TEXT(EDATE($D5,Milestones!$AA$105),"dd/mm/yy")&amp;" "&amp;Milestones!$AB$105&amp;" "&amp;Milestones!$AC$105&amp;";  ","")&amp;IF(AND(EDATE($D5,Milestones!$AA$106)&lt;=AsOfDate,IF($Q5=0,$W5,IF(AND($S5&lt;&gt;"",EDATE($D5,Milestones!$AA$106)&gt;=$S5),$V5,IF(AND($R5&lt;&gt;"",EDATE($D5,Milestones!$AA$106)&gt;=$R5),$U5,$T5)))=Milestones!$AB$106),TEXT(EDATE($D5,Milestones!$AA$106),"dd/mm/yy")&amp;" "&amp;Milestones!$AB$106&amp;" "&amp;Milestones!$AC$106&amp;";  ","")&amp;IF(AND(EDATE($D5,Milestones!$AA$107)&lt;=AsOfDate,IF($Q5=0,$W5,IF(AND($S5&lt;&gt;"",EDATE($D5,Milestones!$AA$107)&gt;=$S5),$V5,IF(AND($R5&lt;&gt;"",EDATE($D5,Milestones!$AA$107)&gt;=$R5),$U5,$T5)))=Milestones!$AB$107),TEXT(EDATE($D5,Milestones!$AA$107),"dd/mm/yy")&amp;" "&amp;Milestones!$AB$107&amp;" "&amp;Milestones!$AC$107&amp;";  ","")&amp;IF(AND(EDATE($D5,Milestones!$AA$108)&lt;=AsOfDate,IF($Q5=0,$W5,IF(AND($S5&lt;&gt;"",EDATE($D5,Milestones!$AA$108)&gt;=$S5),$V5,IF(AND($R5&lt;&gt;"",EDATE($D5,Milestones!$AA$108)&gt;=$R5),$U5,$T5)))=Milestones!$AB$108),TEXT(EDATE($D5,Milestones!$AA$108),"dd/mm/yy")&amp;" "&amp;Milestones!$AB$108&amp;" "&amp;Milestones!$AC$108&amp;";  ","")&amp;IF(AND(EDATE($D5,Milestones!$AA$109)&lt;=AsOfDate,IF($Q5=0,$W5,IF(AND($S5&lt;&gt;"",EDATE($D5,Milestones!$AA$109)&gt;=$S5),$V5,IF(AND($R5&lt;&gt;"",EDATE($D5,Milestones!$AA$109)&gt;=$R5),$U5,$T5)))=Milestones!$AB$109),TEXT(EDATE($D5,Milestones!$AA$109),"dd/mm/yy")&amp;" "&amp;Milestones!$AB$109&amp;" "&amp;Milestones!$AC$109&amp;";  ","")&amp;IF(AND(EDATE($D5,Milestones!$AA$110)&lt;=AsOfDate,IF($Q5=0,$W5,IF(AND($S5&lt;&gt;"",EDATE($D5,Milestones!$AA$110)&gt;=$S5),$V5,IF(AND($R5&lt;&gt;"",EDATE($D5,Milestones!$AA$110)&gt;=$R5),$U5,$T5)))=Milestones!$AB$110),TEXT(EDATE($D5,Milestones!$AA$110),"dd/mm/yy")&amp;" "&amp;Milestones!$AB$110&amp;" "&amp;Milestones!$AC$110&amp;";  ","")&amp;IF(AND(EDATE($D5,Milestones!$AA$111)&lt;=AsOfDate,IF($Q5=0,$W5,IF(AND($S5&lt;&gt;"",EDATE($D5,Milestones!$AA$111)&gt;=$S5),$V5,IF(AND($R5&lt;&gt;"",EDATE($D5,Milestones!$AA$111)&gt;=$R5),$U5,$T5)))=Milestones!$AB$111),TEXT(EDATE($D5,Milestones!$AA$111),"dd/mm/yy")&amp;" "&amp;Milestones!$AB$111&amp;" "&amp;Milestones!$AC$111&amp;";  ","")&amp;IF(AND(EDATE($D5,Milestones!$AA$112)&lt;=AsOfDate,IF($Q5=0,$W5,IF(AND($S5&lt;&gt;"",EDATE($D5,Milestones!$AA$112)&gt;=$S5),$V5,IF(AND($R5&lt;&gt;"",EDATE($D5,Milestones!$AA$112)&gt;=$R5),$U5,$T5)))=Milestones!$AB$112),TEXT(EDATE($D5,Milestones!$AA$112),"dd/mm/yy")&amp;" "&amp;Milestones!$AB$112&amp;" "&amp;Milestones!$AC$112&amp;";  ","")&amp;IF(AND(EDATE($D5,Milestones!$AA$113)&lt;=AsOfDate,IF($Q5=0,$W5,IF(AND($S5&lt;&gt;"",EDATE($D5,Milestones!$AA$113)&gt;=$S5),$V5,IF(AND($R5&lt;&gt;"",EDATE($D5,Milestones!$AA$113)&gt;=$R5),$U5,$T5)))=Milestones!$AB$113),TEXT(EDATE($D5,Milestones!$AA$113),"dd/mm/yy")&amp;" "&amp;Milestones!$AB$113&amp;" "&amp;Milestones!$AC$113&amp;";  ","")&amp;IF(AND(EDATE($D5,Milestones!$AA$114)&lt;=AsOfDate,IF($Q5=0,$W5,IF(AND($S5&lt;&gt;"",EDATE($D5,Milestones!$AA$114)&gt;=$S5),$V5,IF(AND($R5&lt;&gt;"",EDATE($D5,Milestones!$AA$114)&gt;=$R5),$U5,$T5)))=Milestones!$AB$114),TEXT(EDATE($D5,Milestones!$AA$114),"dd/mm/yy")&amp;" "&amp;Milestones!$AB$114&amp;" "&amp;Milestones!$AC$114&amp;";  ","")&amp;IF(AND(EDATE($D5,Milestones!$AA$115)&lt;=AsOfDate,IF($Q5=0,$W5,IF(AND($S5&lt;&gt;"",EDATE($D5,Milestones!$AA$115)&gt;=$S5),$V5,IF(AND($R5&lt;&gt;"",EDATE($D5,Milestones!$AA$115)&gt;=$R5),$U5,$T5)))=Milestones!$AB$115),TEXT(EDATE($D5,Milestones!$AA$115),"dd/mm/yy")&amp;" "&amp;Milestones!$AB$115&amp;" "&amp;Milestones!$AC$115&amp;";  ","")&amp;IF(AND(EDATE($D5,Milestones!$AA$116)&lt;=AsOfDate,IF($Q5=0,$W5,IF(AND($S5&lt;&gt;"",EDATE($D5,Milestones!$AA$116)&gt;=$S5),$V5,IF(AND($R5&lt;&gt;"",EDATE($D5,Milestones!$AA$116)&gt;=$R5),$U5,$T5)))=Milestones!$AB$116),TEXT(EDATE($D5,Milestones!$AA$116),"dd/mm/yy")&amp;" "&amp;Milestones!$AB$116&amp;" "&amp;Milestones!$AC$116&amp;";  ","")&amp;IF(AND(EDATE($D5,Milestones!$AA$117)&lt;=AsOfDate,IF($Q5=0,$W5,IF(AND($S5&lt;&gt;"",EDATE($D5,Milestones!$AA$117)&gt;=$S5),$V5,IF(AND($R5&lt;&gt;"",EDATE($D5,Milestones!$AA$117)&gt;=$R5),$U5,$T5)))=Milestones!$AB$117),TEXT(EDATE($D5,Milestones!$AA$117),"dd/mm/yy")&amp;" "&amp;Milestones!$AB$117&amp;" "&amp;Milestones!$AC$117&amp;";  ","")&amp;IF(AND(EDATE($D5,Milestones!$AA$118)&lt;=AsOfDate,IF($Q5=0,$W5,IF(AND($S5&lt;&gt;"",EDATE($D5,Milestones!$AA$118)&gt;=$S5),$V5,IF(AND($R5&lt;&gt;"",EDATE($D5,Milestones!$AA$118)&gt;=$R5),$U5,$T5)))=Milestones!$AB$118),TEXT(EDATE($D5,Milestones!$AA$118),"dd/mm/yy")&amp;" "&amp;Milestones!$AB$118&amp;" "&amp;Milestones!$AC$118&amp;";  ","")&amp;IF(AND(EDATE($D5,Milestones!$AA$119)&lt;=AsOfDate,IF($Q5=0,$W5,IF(AND($S5&lt;&gt;"",EDATE($D5,Milestones!$AA$119)&gt;=$S5),$V5,IF(AND($R5&lt;&gt;"",EDATE($D5,Milestones!$AA$119)&gt;=$R5),$U5,$T5)))=Milestones!$AB$119),TEXT(EDATE($D5,Milestones!$AA$119),"dd/mm/yy")&amp;" "&amp;Milestones!$AB$119&amp;" "&amp;Milestones!$AC$119&amp;";  ",""))</f>
        <v/>
      </c>
      <c r="M5" s="0" t="str">
        <f aca="false">IF(OR($A5="",$D5=""),"",IF(AND(EDATE($D5,Milestones!$AA$120)&lt;=AsOfDate,IF($Q5=0,$W5,IF(AND($S5&lt;&gt;"",EDATE($D5,Milestones!$AA$120)&gt;=$S5),$V5,IF(AND($R5&lt;&gt;"",EDATE($D5,Milestones!$AA$120)&gt;=$R5),$U5,$T5)))=Milestones!$AB$120),TEXT(EDATE($D5,Milestones!$AA$120),"dd/mm/yy")&amp;" "&amp;Milestones!$AB$120&amp;" "&amp;Milestones!$AC$120&amp;";  ","")&amp;IF(AND(EDATE($D5,Milestones!$AA$121)&lt;=AsOfDate,IF($Q5=0,$W5,IF(AND($S5&lt;&gt;"",EDATE($D5,Milestones!$AA$121)&gt;=$S5),$V5,IF(AND($R5&lt;&gt;"",EDATE($D5,Milestones!$AA$121)&gt;=$R5),$U5,$T5)))=Milestones!$AB$121),TEXT(EDATE($D5,Milestones!$AA$121),"dd/mm/yy")&amp;" "&amp;Milestones!$AB$121&amp;" "&amp;Milestones!$AC$121&amp;";  ","")&amp;IF(AND(EDATE($D5,Milestones!$AA$122)&lt;=AsOfDate,IF($Q5=0,$W5,IF(AND($S5&lt;&gt;"",EDATE($D5,Milestones!$AA$122)&gt;=$S5),$V5,IF(AND($R5&lt;&gt;"",EDATE($D5,Milestones!$AA$122)&gt;=$R5),$U5,$T5)))=Milestones!$AB$122),TEXT(EDATE($D5,Milestones!$AA$122),"dd/mm/yy")&amp;" "&amp;Milestones!$AB$122&amp;" "&amp;Milestones!$AC$122&amp;";  ","")&amp;IF(AND(EDATE($D5,Milestones!$AA$123)&lt;=AsOfDate,IF($Q5=0,$W5,IF(AND($S5&lt;&gt;"",EDATE($D5,Milestones!$AA$123)&gt;=$S5),$V5,IF(AND($R5&lt;&gt;"",EDATE($D5,Milestones!$AA$123)&gt;=$R5),$U5,$T5)))=Milestones!$AB$123),TEXT(EDATE($D5,Milestones!$AA$123),"dd/mm/yy")&amp;" "&amp;Milestones!$AB$123&amp;" "&amp;Milestones!$AC$123&amp;";  ","")&amp;IF(AND(EDATE($D5,Milestones!$AA$124)&lt;=AsOfDate,IF($Q5=0,$W5,IF(AND($S5&lt;&gt;"",EDATE($D5,Milestones!$AA$124)&gt;=$S5),$V5,IF(AND($R5&lt;&gt;"",EDATE($D5,Milestones!$AA$124)&gt;=$R5),$U5,$T5)))=Milestones!$AB$124),TEXT(EDATE($D5,Milestones!$AA$124),"dd/mm/yy")&amp;" "&amp;Milestones!$AB$124&amp;" "&amp;Milestones!$AC$124&amp;";  ","")&amp;IF(AND(EDATE($D5,Milestones!$AA$125)&lt;=AsOfDate,IF($Q5=0,$W5,IF(AND($S5&lt;&gt;"",EDATE($D5,Milestones!$AA$125)&gt;=$S5),$V5,IF(AND($R5&lt;&gt;"",EDATE($D5,Milestones!$AA$125)&gt;=$R5),$U5,$T5)))=Milestones!$AB$125),TEXT(EDATE($D5,Milestones!$AA$125),"dd/mm/yy")&amp;" "&amp;Milestones!$AB$125&amp;" "&amp;Milestones!$AC$125&amp;";  ","")&amp;IF(AND(EDATE($D5,Milestones!$AA$126)&lt;=AsOfDate,IF($Q5=0,$W5,IF(AND($S5&lt;&gt;"",EDATE($D5,Milestones!$AA$126)&gt;=$S5),$V5,IF(AND($R5&lt;&gt;"",EDATE($D5,Milestones!$AA$126)&gt;=$R5),$U5,$T5)))=Milestones!$AB$126),TEXT(EDATE($D5,Milestones!$AA$126),"dd/mm/yy")&amp;" "&amp;Milestones!$AB$126&amp;" "&amp;Milestones!$AC$126&amp;";  ","")&amp;IF(AND(EDATE($D5,Milestones!$AA$127)&lt;=AsOfDate,IF($Q5=0,$W5,IF(AND($S5&lt;&gt;"",EDATE($D5,Milestones!$AA$127)&gt;=$S5),$V5,IF(AND($R5&lt;&gt;"",EDATE($D5,Milestones!$AA$127)&gt;=$R5),$U5,$T5)))=Milestones!$AB$127),TEXT(EDATE($D5,Milestones!$AA$127),"dd/mm/yy")&amp;" "&amp;Milestones!$AB$127&amp;" "&amp;Milestones!$AC$127&amp;";  ","")&amp;IF(AND(EDATE($D5,Milestones!$AA$128)&lt;=AsOfDate,IF($Q5=0,$W5,IF(AND($S5&lt;&gt;"",EDATE($D5,Milestones!$AA$128)&gt;=$S5),$V5,IF(AND($R5&lt;&gt;"",EDATE($D5,Milestones!$AA$128)&gt;=$R5),$U5,$T5)))=Milestones!$AB$128),TEXT(EDATE($D5,Milestones!$AA$128),"dd/mm/yy")&amp;" "&amp;Milestones!$AB$128&amp;" "&amp;Milestones!$AC$128&amp;";  ","")&amp;IF(AND(EDATE($D5,Milestones!$AA$129)&lt;=AsOfDate,IF($Q5=0,$W5,IF(AND($S5&lt;&gt;"",EDATE($D5,Milestones!$AA$129)&gt;=$S5),$V5,IF(AND($R5&lt;&gt;"",EDATE($D5,Milestones!$AA$129)&gt;=$R5),$U5,$T5)))=Milestones!$AB$129),TEXT(EDATE($D5,Milestones!$AA$129),"dd/mm/yy")&amp;" "&amp;Milestones!$AB$129&amp;" "&amp;Milestones!$AC$129&amp;";  ","")&amp;IF(AND(EDATE($D5,Milestones!$AA$130)&lt;=AsOfDate,IF($Q5=0,$W5,IF(AND($S5&lt;&gt;"",EDATE($D5,Milestones!$AA$130)&gt;=$S5),$V5,IF(AND($R5&lt;&gt;"",EDATE($D5,Milestones!$AA$130)&gt;=$R5),$U5,$T5)))=Milestones!$AB$130),TEXT(EDATE($D5,Milestones!$AA$130),"dd/mm/yy")&amp;" "&amp;Milestones!$AB$130&amp;" "&amp;Milestones!$AC$130&amp;";  ","")&amp;IF(AND(EDATE($D5,Milestones!$AA$131)&lt;=AsOfDate,IF($Q5=0,$W5,IF(AND($S5&lt;&gt;"",EDATE($D5,Milestones!$AA$131)&gt;=$S5),$V5,IF(AND($R5&lt;&gt;"",EDATE($D5,Milestones!$AA$131)&gt;=$R5),$U5,$T5)))=Milestones!$AB$131),TEXT(EDATE($D5,Milestones!$AA$131),"dd/mm/yy")&amp;" "&amp;Milestones!$AB$131&amp;" "&amp;Milestones!$AC$131&amp;";  ","")&amp;IF(AND(EDATE($D5,Milestones!$AA$132)&lt;=AsOfDate,IF($Q5=0,$W5,IF(AND($S5&lt;&gt;"",EDATE($D5,Milestones!$AA$132)&gt;=$S5),$V5,IF(AND($R5&lt;&gt;"",EDATE($D5,Milestones!$AA$132)&gt;=$R5),$U5,$T5)))=Milestones!$AB$132),TEXT(EDATE($D5,Milestones!$AA$132),"dd/mm/yy")&amp;" "&amp;Milestones!$AB$132&amp;" "&amp;Milestones!$AC$132&amp;";  ","")&amp;IF(AND(EDATE($D5,Milestones!$AA$133)&lt;=AsOfDate,IF($Q5=0,$W5,IF(AND($S5&lt;&gt;"",EDATE($D5,Milestones!$AA$133)&gt;=$S5),$V5,IF(AND($R5&lt;&gt;"",EDATE($D5,Milestones!$AA$133)&gt;=$R5),$U5,$T5)))=Milestones!$AB$133),TEXT(EDATE($D5,Milestones!$AA$133),"dd/mm/yy")&amp;" "&amp;Milestones!$AB$133&amp;" "&amp;Milestones!$AC$133&amp;";  ","")&amp;IF(AND(EDATE($D5,Milestones!$AA$134)&lt;=AsOfDate,IF($Q5=0,$W5,IF(AND($S5&lt;&gt;"",EDATE($D5,Milestones!$AA$134)&gt;=$S5),$V5,IF(AND($R5&lt;&gt;"",EDATE($D5,Milestones!$AA$134)&gt;=$R5),$U5,$T5)))=Milestones!$AB$134),TEXT(EDATE($D5,Milestones!$AA$134),"dd/mm/yy")&amp;" "&amp;Milestones!$AB$134&amp;" "&amp;Milestones!$AC$134&amp;";  ","")&amp;IF(AND(EDATE($D5,Milestones!$AA$135)&lt;=AsOfDate,IF($Q5=0,$W5,IF(AND($S5&lt;&gt;"",EDATE($D5,Milestones!$AA$135)&gt;=$S5),$V5,IF(AND($R5&lt;&gt;"",EDATE($D5,Milestones!$AA$135)&gt;=$R5),$U5,$T5)))=Milestones!$AB$135),TEXT(EDATE($D5,Milestones!$AA$135),"dd/mm/yy")&amp;" "&amp;Milestones!$AB$135&amp;" "&amp;Milestones!$AC$135&amp;";  ","")&amp;IF(AND(EDATE($D5,Milestones!$AA$136)&lt;=AsOfDate,IF($Q5=0,$W5,IF(AND($S5&lt;&gt;"",EDATE($D5,Milestones!$AA$136)&gt;=$S5),$V5,IF(AND($R5&lt;&gt;"",EDATE($D5,Milestones!$AA$136)&gt;=$R5),$U5,$T5)))=Milestones!$AB$136),TEXT(EDATE($D5,Milestones!$AA$136),"dd/mm/yy")&amp;" "&amp;Milestones!$AB$136&amp;" "&amp;Milestones!$AC$136&amp;";  ","")&amp;IF(AND(EDATE($D5,Milestones!$AA$137)&lt;=AsOfDate,IF($Q5=0,$W5,IF(AND($S5&lt;&gt;"",EDATE($D5,Milestones!$AA$137)&gt;=$S5),$V5,IF(AND($R5&lt;&gt;"",EDATE($D5,Milestones!$AA$137)&gt;=$R5),$U5,$T5)))=Milestones!$AB$137),TEXT(EDATE($D5,Milestones!$AA$137),"dd/mm/yy")&amp;" "&amp;Milestones!$AB$137&amp;" "&amp;Milestones!$AC$137&amp;";  ","")&amp;IF(AND(EDATE($D5,Milestones!$AA$138)&lt;=AsOfDate,IF($Q5=0,$W5,IF(AND($S5&lt;&gt;"",EDATE($D5,Milestones!$AA$138)&gt;=$S5),$V5,IF(AND($R5&lt;&gt;"",EDATE($D5,Milestones!$AA$138)&gt;=$R5),$U5,$T5)))=Milestones!$AB$138),TEXT(EDATE($D5,Milestones!$AA$138),"dd/mm/yy")&amp;" "&amp;Milestones!$AB$138&amp;" "&amp;Milestones!$AC$138&amp;";  ","")&amp;IF(AND(EDATE($D5,Milestones!$AA$139)&lt;=AsOfDate,IF($Q5=0,$W5,IF(AND($S5&lt;&gt;"",EDATE($D5,Milestones!$AA$139)&gt;=$S5),$V5,IF(AND($R5&lt;&gt;"",EDATE($D5,Milestones!$AA$139)&gt;=$R5),$U5,$T5)))=Milestones!$AB$139),TEXT(EDATE($D5,Milestones!$AA$139),"dd/mm/yy")&amp;" "&amp;Milestones!$AB$139&amp;" "&amp;Milestones!$AC$139&amp;";  ",""))</f>
        <v/>
      </c>
      <c r="N5" s="0" t="str">
        <f aca="false">IF(OR($A5="",$D5=""),"",IF(AND(EDATE($D5,Milestones!$AA$140)&lt;=AsOfDate,IF($Q5=0,$W5,IF(AND($S5&lt;&gt;"",EDATE($D5,Milestones!$AA$140)&gt;=$S5),$V5,IF(AND($R5&lt;&gt;"",EDATE($D5,Milestones!$AA$140)&gt;=$R5),$U5,$T5)))=Milestones!$AB$140),TEXT(EDATE($D5,Milestones!$AA$140),"dd/mm/yy")&amp;" "&amp;Milestones!$AB$140&amp;" "&amp;Milestones!$AC$140&amp;";  ","")&amp;IF(AND(EDATE($D5,Milestones!$AA$141)&lt;=AsOfDate,IF($Q5=0,$W5,IF(AND($S5&lt;&gt;"",EDATE($D5,Milestones!$AA$141)&gt;=$S5),$V5,IF(AND($R5&lt;&gt;"",EDATE($D5,Milestones!$AA$141)&gt;=$R5),$U5,$T5)))=Milestones!$AB$141),TEXT(EDATE($D5,Milestones!$AA$141),"dd/mm/yy")&amp;" "&amp;Milestones!$AB$141&amp;" "&amp;Milestones!$AC$141&amp;";  ","")&amp;IF(AND(EDATE($D5,Milestones!$AA$142)&lt;=AsOfDate,IF($Q5=0,$W5,IF(AND($S5&lt;&gt;"",EDATE($D5,Milestones!$AA$142)&gt;=$S5),$V5,IF(AND($R5&lt;&gt;"",EDATE($D5,Milestones!$AA$142)&gt;=$R5),$U5,$T5)))=Milestones!$AB$142),TEXT(EDATE($D5,Milestones!$AA$142),"dd/mm/yy")&amp;" "&amp;Milestones!$AB$142&amp;" "&amp;Milestones!$AC$142&amp;";  ","")&amp;IF(AND(EDATE($D5,Milestones!$AA$143)&lt;=AsOfDate,IF($Q5=0,$W5,IF(AND($S5&lt;&gt;"",EDATE($D5,Milestones!$AA$143)&gt;=$S5),$V5,IF(AND($R5&lt;&gt;"",EDATE($D5,Milestones!$AA$143)&gt;=$R5),$U5,$T5)))=Milestones!$AB$143),TEXT(EDATE($D5,Milestones!$AA$143),"dd/mm/yy")&amp;" "&amp;Milestones!$AB$143&amp;" "&amp;Milestones!$AC$143&amp;";  ","")&amp;IF(AND(EDATE($D5,Milestones!$AA$144)&lt;=AsOfDate,IF($Q5=0,$W5,IF(AND($S5&lt;&gt;"",EDATE($D5,Milestones!$AA$144)&gt;=$S5),$V5,IF(AND($R5&lt;&gt;"",EDATE($D5,Milestones!$AA$144)&gt;=$R5),$U5,$T5)))=Milestones!$AB$144),TEXT(EDATE($D5,Milestones!$AA$144),"dd/mm/yy")&amp;" "&amp;Milestones!$AB$144&amp;" "&amp;Milestones!$AC$144&amp;";  ","")&amp;IF(AND(EDATE($D5,Milestones!$AA$145)&lt;=AsOfDate,IF($Q5=0,$W5,IF(AND($S5&lt;&gt;"",EDATE($D5,Milestones!$AA$145)&gt;=$S5),$V5,IF(AND($R5&lt;&gt;"",EDATE($D5,Milestones!$AA$145)&gt;=$R5),$U5,$T5)))=Milestones!$AB$145),TEXT(EDATE($D5,Milestones!$AA$145),"dd/mm/yy")&amp;" "&amp;Milestones!$AB$145&amp;" "&amp;Milestones!$AC$145&amp;";  ","")&amp;IF(AND(EDATE($D5,Milestones!$AA$146)&lt;=AsOfDate,IF($Q5=0,$W5,IF(AND($S5&lt;&gt;"",EDATE($D5,Milestones!$AA$146)&gt;=$S5),$V5,IF(AND($R5&lt;&gt;"",EDATE($D5,Milestones!$AA$146)&gt;=$R5),$U5,$T5)))=Milestones!$AB$146),TEXT(EDATE($D5,Milestones!$AA$146),"dd/mm/yy")&amp;" "&amp;Milestones!$AB$146&amp;" "&amp;Milestones!$AC$146&amp;";  ","")&amp;IF(AND(EDATE($D5,Milestones!$AA$147)&lt;=AsOfDate,IF($Q5=0,$W5,IF(AND($S5&lt;&gt;"",EDATE($D5,Milestones!$AA$147)&gt;=$S5),$V5,IF(AND($R5&lt;&gt;"",EDATE($D5,Milestones!$AA$147)&gt;=$R5),$U5,$T5)))=Milestones!$AB$147),TEXT(EDATE($D5,Milestones!$AA$147),"dd/mm/yy")&amp;" "&amp;Milestones!$AB$147&amp;" "&amp;Milestones!$AC$147&amp;";  ","")&amp;IF(AND(EDATE($D5,Milestones!$AA$148)&lt;=AsOfDate,IF($Q5=0,$W5,IF(AND($S5&lt;&gt;"",EDATE($D5,Milestones!$AA$148)&gt;=$S5),$V5,IF(AND($R5&lt;&gt;"",EDATE($D5,Milestones!$AA$148)&gt;=$R5),$U5,$T5)))=Milestones!$AB$148),TEXT(EDATE($D5,Milestones!$AA$148),"dd/mm/yy")&amp;" "&amp;Milestones!$AB$148&amp;" "&amp;Milestones!$AC$148&amp;";  ","")&amp;IF(AND(EDATE($D5,Milestones!$AA$149)&lt;=AsOfDate,IF($Q5=0,$W5,IF(AND($S5&lt;&gt;"",EDATE($D5,Milestones!$AA$149)&gt;=$S5),$V5,IF(AND($R5&lt;&gt;"",EDATE($D5,Milestones!$AA$149)&gt;=$R5),$U5,$T5)))=Milestones!$AB$149),TEXT(EDATE($D5,Milestones!$AA$149),"dd/mm/yy")&amp;" "&amp;Milestones!$AB$149&amp;" "&amp;Milestones!$AC$149&amp;";  ","")&amp;IF(AND(EDATE($D5,Milestones!$AA$150)&lt;=AsOfDate,IF($Q5=0,$W5,IF(AND($S5&lt;&gt;"",EDATE($D5,Milestones!$AA$150)&gt;=$S5),$V5,IF(AND($R5&lt;&gt;"",EDATE($D5,Milestones!$AA$150)&gt;=$R5),$U5,$T5)))=Milestones!$AB$150),TEXT(EDATE($D5,Milestones!$AA$150),"dd/mm/yy")&amp;" "&amp;Milestones!$AB$150&amp;" "&amp;Milestones!$AC$150&amp;";  ","")&amp;IF(AND(EDATE($D5,Milestones!$AA$151)&lt;=AsOfDate,IF($Q5=0,$W5,IF(AND($S5&lt;&gt;"",EDATE($D5,Milestones!$AA$151)&gt;=$S5),$V5,IF(AND($R5&lt;&gt;"",EDATE($D5,Milestones!$AA$151)&gt;=$R5),$U5,$T5)))=Milestones!$AB$151),TEXT(EDATE($D5,Milestones!$AA$151),"dd/mm/yy")&amp;" "&amp;Milestones!$AB$151&amp;" "&amp;Milestones!$AC$151&amp;";  ","")&amp;IF(AND(EDATE($D5,Milestones!$AA$152)&lt;=AsOfDate,IF($Q5=0,$W5,IF(AND($S5&lt;&gt;"",EDATE($D5,Milestones!$AA$152)&gt;=$S5),$V5,IF(AND($R5&lt;&gt;"",EDATE($D5,Milestones!$AA$152)&gt;=$R5),$U5,$T5)))=Milestones!$AB$152),TEXT(EDATE($D5,Milestones!$AA$152),"dd/mm/yy")&amp;" "&amp;Milestones!$AB$152&amp;" "&amp;Milestones!$AC$152&amp;";  ","")&amp;IF(AND(EDATE($D5,Milestones!$AA$153)&lt;=AsOfDate,IF($Q5=0,$W5,IF(AND($S5&lt;&gt;"",EDATE($D5,Milestones!$AA$153)&gt;=$S5),$V5,IF(AND($R5&lt;&gt;"",EDATE($D5,Milestones!$AA$153)&gt;=$R5),$U5,$T5)))=Milestones!$AB$153),TEXT(EDATE($D5,Milestones!$AA$153),"dd/mm/yy")&amp;" "&amp;Milestones!$AB$153&amp;" "&amp;Milestones!$AC$153&amp;";  ","")&amp;IF(AND(EDATE($D5,Milestones!$AA$154)&lt;=AsOfDate,IF($Q5=0,$W5,IF(AND($S5&lt;&gt;"",EDATE($D5,Milestones!$AA$154)&gt;=$S5),$V5,IF(AND($R5&lt;&gt;"",EDATE($D5,Milestones!$AA$154)&gt;=$R5),$U5,$T5)))=Milestones!$AB$154),TEXT(EDATE($D5,Milestones!$AA$154),"dd/mm/yy")&amp;" "&amp;Milestones!$AB$154&amp;" "&amp;Milestones!$AC$154&amp;";  ","")&amp;IF(AND(EDATE($D5,Milestones!$AA$155)&lt;=AsOfDate,IF($Q5=0,$W5,IF(AND($S5&lt;&gt;"",EDATE($D5,Milestones!$AA$155)&gt;=$S5),$V5,IF(AND($R5&lt;&gt;"",EDATE($D5,Milestones!$AA$155)&gt;=$R5),$U5,$T5)))=Milestones!$AB$155),TEXT(EDATE($D5,Milestones!$AA$155),"dd/mm/yy")&amp;" "&amp;Milestones!$AB$155&amp;" "&amp;Milestones!$AC$155&amp;";  ","")&amp;IF(AND(EDATE($D5,Milestones!$AA$156)&lt;=AsOfDate,IF($Q5=0,$W5,IF(AND($S5&lt;&gt;"",EDATE($D5,Milestones!$AA$156)&gt;=$S5),$V5,IF(AND($R5&lt;&gt;"",EDATE($D5,Milestones!$AA$156)&gt;=$R5),$U5,$T5)))=Milestones!$AB$156),TEXT(EDATE($D5,Milestones!$AA$156),"dd/mm/yy")&amp;" "&amp;Milestones!$AB$156&amp;" "&amp;Milestones!$AC$156&amp;";  ","")&amp;IF(AND(EDATE($D5,Milestones!$AA$157)&lt;=AsOfDate,IF($Q5=0,$W5,IF(AND($S5&lt;&gt;"",EDATE($D5,Milestones!$AA$157)&gt;=$S5),$V5,IF(AND($R5&lt;&gt;"",EDATE($D5,Milestones!$AA$157)&gt;=$R5),$U5,$T5)))=Milestones!$AB$157),TEXT(EDATE($D5,Milestones!$AA$157),"dd/mm/yy")&amp;" "&amp;Milestones!$AB$157&amp;" "&amp;Milestones!$AC$157&amp;";  ","")&amp;IF(AND(EDATE($D5,Milestones!$AA$158)&lt;=AsOfDate,IF($Q5=0,$W5,IF(AND($S5&lt;&gt;"",EDATE($D5,Milestones!$AA$158)&gt;=$S5),$V5,IF(AND($R5&lt;&gt;"",EDATE($D5,Milestones!$AA$158)&gt;=$R5),$U5,$T5)))=Milestones!$AB$158),TEXT(EDATE($D5,Milestones!$AA$158),"dd/mm/yy")&amp;" "&amp;Milestones!$AB$158&amp;" "&amp;Milestones!$AC$158&amp;";  ","")&amp;IF(AND(EDATE($D5,Milestones!$AA$159)&lt;=AsOfDate,IF($Q5=0,$W5,IF(AND($S5&lt;&gt;"",EDATE($D5,Milestones!$AA$159)&gt;=$S5),$V5,IF(AND($R5&lt;&gt;"",EDATE($D5,Milestones!$AA$159)&gt;=$R5),$U5,$T5)))=Milestones!$AB$159),TEXT(EDATE($D5,Milestones!$AA$159),"dd/mm/yy")&amp;" "&amp;Milestones!$AB$159&amp;" "&amp;Milestones!$AC$159&amp;";  ",""))</f>
        <v/>
      </c>
      <c r="O5" s="0" t="str">
        <f aca="false">IF(OR($A5="",$D5=""),"",IF(AND(EDATE($D5,Milestones!$AA$160)&lt;=AsOfDate,IF($Q5=0,$W5,IF(AND($S5&lt;&gt;"",EDATE($D5,Milestones!$AA$160)&gt;=$S5),$V5,IF(AND($R5&lt;&gt;"",EDATE($D5,Milestones!$AA$160)&gt;=$R5),$U5,$T5)))=Milestones!$AB$160),TEXT(EDATE($D5,Milestones!$AA$160),"dd/mm/yy")&amp;" "&amp;Milestones!$AB$160&amp;" "&amp;Milestones!$AC$160&amp;";  ","")&amp;IF(AND(EDATE($D5,Milestones!$AA$161)&lt;=AsOfDate,IF($Q5=0,$W5,IF(AND($S5&lt;&gt;"",EDATE($D5,Milestones!$AA$161)&gt;=$S5),$V5,IF(AND($R5&lt;&gt;"",EDATE($D5,Milestones!$AA$161)&gt;=$R5),$U5,$T5)))=Milestones!$AB$161),TEXT(EDATE($D5,Milestones!$AA$161),"dd/mm/yy")&amp;" "&amp;Milestones!$AB$161&amp;" "&amp;Milestones!$AC$161&amp;";  ","")&amp;IF(AND(EDATE($D5,Milestones!$AA$162)&lt;=AsOfDate,IF($Q5=0,$W5,IF(AND($S5&lt;&gt;"",EDATE($D5,Milestones!$AA$162)&gt;=$S5),$V5,IF(AND($R5&lt;&gt;"",EDATE($D5,Milestones!$AA$162)&gt;=$R5),$U5,$T5)))=Milestones!$AB$162),TEXT(EDATE($D5,Milestones!$AA$162),"dd/mm/yy")&amp;" "&amp;Milestones!$AB$162&amp;" "&amp;Milestones!$AC$162&amp;";  ","")&amp;IF(AND(EDATE($D5,Milestones!$AA$163)&lt;=AsOfDate,IF($Q5=0,$W5,IF(AND($S5&lt;&gt;"",EDATE($D5,Milestones!$AA$163)&gt;=$S5),$V5,IF(AND($R5&lt;&gt;"",EDATE($D5,Milestones!$AA$163)&gt;=$R5),$U5,$T5)))=Milestones!$AB$163),TEXT(EDATE($D5,Milestones!$AA$163),"dd/mm/yy")&amp;" "&amp;Milestones!$AB$163&amp;" "&amp;Milestones!$AC$163&amp;";  ","")&amp;IF(AND(EDATE($D5,Milestones!$AA$164)&lt;=AsOfDate,IF($Q5=0,$W5,IF(AND($S5&lt;&gt;"",EDATE($D5,Milestones!$AA$164)&gt;=$S5),$V5,IF(AND($R5&lt;&gt;"",EDATE($D5,Milestones!$AA$164)&gt;=$R5),$U5,$T5)))=Milestones!$AB$164),TEXT(EDATE($D5,Milestones!$AA$164),"dd/mm/yy")&amp;" "&amp;Milestones!$AB$164&amp;" "&amp;Milestones!$AC$164&amp;";  ","")&amp;IF(AND(EDATE($D5,Milestones!$AA$165)&lt;=AsOfDate,IF($Q5=0,$W5,IF(AND($S5&lt;&gt;"",EDATE($D5,Milestones!$AA$165)&gt;=$S5),$V5,IF(AND($R5&lt;&gt;"",EDATE($D5,Milestones!$AA$165)&gt;=$R5),$U5,$T5)))=Milestones!$AB$165),TEXT(EDATE($D5,Milestones!$AA$165),"dd/mm/yy")&amp;" "&amp;Milestones!$AB$165&amp;" "&amp;Milestones!$AC$165&amp;";  ","")&amp;IF(AND(EDATE($D5,Milestones!$AA$166)&lt;=AsOfDate,IF($Q5=0,$W5,IF(AND($S5&lt;&gt;"",EDATE($D5,Milestones!$AA$166)&gt;=$S5),$V5,IF(AND($R5&lt;&gt;"",EDATE($D5,Milestones!$AA$166)&gt;=$R5),$U5,$T5)))=Milestones!$AB$166),TEXT(EDATE($D5,Milestones!$AA$166),"dd/mm/yy")&amp;" "&amp;Milestones!$AB$166&amp;" "&amp;Milestones!$AC$166&amp;";  ","")&amp;IF(AND(EDATE($D5,Milestones!$AA$167)&lt;=AsOfDate,IF($Q5=0,$W5,IF(AND($S5&lt;&gt;"",EDATE($D5,Milestones!$AA$167)&gt;=$S5),$V5,IF(AND($R5&lt;&gt;"",EDATE($D5,Milestones!$AA$167)&gt;=$R5),$U5,$T5)))=Milestones!$AB$167),TEXT(EDATE($D5,Milestones!$AA$167),"dd/mm/yy")&amp;" "&amp;Milestones!$AB$167&amp;" "&amp;Milestones!$AC$167&amp;";  ","")&amp;IF(AND(EDATE($D5,Milestones!$AA$168)&lt;=AsOfDate,IF($Q5=0,$W5,IF(AND($S5&lt;&gt;"",EDATE($D5,Milestones!$AA$168)&gt;=$S5),$V5,IF(AND($R5&lt;&gt;"",EDATE($D5,Milestones!$AA$168)&gt;=$R5),$U5,$T5)))=Milestones!$AB$168),TEXT(EDATE($D5,Milestones!$AA$168),"dd/mm/yy")&amp;" "&amp;Milestones!$AB$168&amp;" "&amp;Milestones!$AC$168&amp;";  ","")&amp;IF(AND(EDATE($D5,Milestones!$AA$169)&lt;=AsOfDate,IF($Q5=0,$W5,IF(AND($S5&lt;&gt;"",EDATE($D5,Milestones!$AA$169)&gt;=$S5),$V5,IF(AND($R5&lt;&gt;"",EDATE($D5,Milestones!$AA$169)&gt;=$R5),$U5,$T5)))=Milestones!$AB$169),TEXT(EDATE($D5,Milestones!$AA$169),"dd/mm/yy")&amp;" "&amp;Milestones!$AB$169&amp;" "&amp;Milestones!$AC$169&amp;";  ","")&amp;IF(AND(EDATE($D5,Milestones!$AA$170)&lt;=AsOfDate,IF($Q5=0,$W5,IF(AND($S5&lt;&gt;"",EDATE($D5,Milestones!$AA$170)&gt;=$S5),$V5,IF(AND($R5&lt;&gt;"",EDATE($D5,Milestones!$AA$170)&gt;=$R5),$U5,$T5)))=Milestones!$AB$170),TEXT(EDATE($D5,Milestones!$AA$170),"dd/mm/yy")&amp;" "&amp;Milestones!$AB$170&amp;" "&amp;Milestones!$AC$170&amp;";  ","")&amp;IF(AND(EDATE($D5,Milestones!$AA$171)&lt;=AsOfDate,IF($Q5=0,$W5,IF(AND($S5&lt;&gt;"",EDATE($D5,Milestones!$AA$171)&gt;=$S5),$V5,IF(AND($R5&lt;&gt;"",EDATE($D5,Milestones!$AA$171)&gt;=$R5),$U5,$T5)))=Milestones!$AB$171),TEXT(EDATE($D5,Milestones!$AA$171),"dd/mm/yy")&amp;" "&amp;Milestones!$AB$171&amp;" "&amp;Milestones!$AC$171&amp;";  ","")&amp;IF(AND(EDATE($D5,Milestones!$AA$172)&lt;=AsOfDate,IF($Q5=0,$W5,IF(AND($S5&lt;&gt;"",EDATE($D5,Milestones!$AA$172)&gt;=$S5),$V5,IF(AND($R5&lt;&gt;"",EDATE($D5,Milestones!$AA$172)&gt;=$R5),$U5,$T5)))=Milestones!$AB$172),TEXT(EDATE($D5,Milestones!$AA$172),"dd/mm/yy")&amp;" "&amp;Milestones!$AB$172&amp;" "&amp;Milestones!$AC$172&amp;";  ","")&amp;IF(AND(EDATE($D5,Milestones!$AA$173)&lt;=AsOfDate,IF($Q5=0,$W5,IF(AND($S5&lt;&gt;"",EDATE($D5,Milestones!$AA$173)&gt;=$S5),$V5,IF(AND($R5&lt;&gt;"",EDATE($D5,Milestones!$AA$173)&gt;=$R5),$U5,$T5)))=Milestones!$AB$173),TEXT(EDATE($D5,Milestones!$AA$173),"dd/mm/yy")&amp;" "&amp;Milestones!$AB$173&amp;" "&amp;Milestones!$AC$173&amp;";  ","")&amp;IF(AND(EDATE($D5,Milestones!$AA$174)&lt;=AsOfDate,IF($Q5=0,$W5,IF(AND($S5&lt;&gt;"",EDATE($D5,Milestones!$AA$174)&gt;=$S5),$V5,IF(AND($R5&lt;&gt;"",EDATE($D5,Milestones!$AA$174)&gt;=$R5),$U5,$T5)))=Milestones!$AB$174),TEXT(EDATE($D5,Milestones!$AA$174),"dd/mm/yy")&amp;" "&amp;Milestones!$AB$174&amp;" "&amp;Milestones!$AC$174&amp;";  ","")&amp;IF(AND(EDATE($D5,Milestones!$AA$175)&lt;=AsOfDate,IF($Q5=0,$W5,IF(AND($S5&lt;&gt;"",EDATE($D5,Milestones!$AA$175)&gt;=$S5),$V5,IF(AND($R5&lt;&gt;"",EDATE($D5,Milestones!$AA$175)&gt;=$R5),$U5,$T5)))=Milestones!$AB$175),TEXT(EDATE($D5,Milestones!$AA$175),"dd/mm/yy")&amp;" "&amp;Milestones!$AB$175&amp;" "&amp;Milestones!$AC$175&amp;";  ","")&amp;IF(AND(EDATE($D5,Milestones!$AA$176)&lt;=AsOfDate,IF($Q5=0,$W5,IF(AND($S5&lt;&gt;"",EDATE($D5,Milestones!$AA$176)&gt;=$S5),$V5,IF(AND($R5&lt;&gt;"",EDATE($D5,Milestones!$AA$176)&gt;=$R5),$U5,$T5)))=Milestones!$AB$176),TEXT(EDATE($D5,Milestones!$AA$176),"dd/mm/yy")&amp;" "&amp;Milestones!$AB$176&amp;" "&amp;Milestones!$AC$176&amp;";  ","")&amp;IF(AND(EDATE($D5,Milestones!$AA$177)&lt;=AsOfDate,IF($Q5=0,$W5,IF(AND($S5&lt;&gt;"",EDATE($D5,Milestones!$AA$177)&gt;=$S5),$V5,IF(AND($R5&lt;&gt;"",EDATE($D5,Milestones!$AA$177)&gt;=$R5),$U5,$T5)))=Milestones!$AB$177),TEXT(EDATE($D5,Milestones!$AA$177),"dd/mm/yy")&amp;" "&amp;Milestones!$AB$177&amp;" "&amp;Milestones!$AC$177&amp;";  ","")&amp;IF(AND(EDATE($D5,Milestones!$AA$178)&lt;=AsOfDate,IF($Q5=0,$W5,IF(AND($S5&lt;&gt;"",EDATE($D5,Milestones!$AA$178)&gt;=$S5),$V5,IF(AND($R5&lt;&gt;"",EDATE($D5,Milestones!$AA$178)&gt;=$R5),$U5,$T5)))=Milestones!$AB$178),TEXT(EDATE($D5,Milestones!$AA$178),"dd/mm/yy")&amp;" "&amp;Milestones!$AB$178&amp;" "&amp;Milestones!$AC$178&amp;";  ","")&amp;IF(AND(EDATE($D5,Milestones!$AA$179)&lt;=AsOfDate,IF($Q5=0,$W5,IF(AND($S5&lt;&gt;"",EDATE($D5,Milestones!$AA$179)&gt;=$S5),$V5,IF(AND($R5&lt;&gt;"",EDATE($D5,Milestones!$AA$179)&gt;=$R5),$U5,$T5)))=Milestones!$AB$179),TEXT(EDATE($D5,Milestones!$AA$179),"dd/mm/yy")&amp;" "&amp;Milestones!$AB$179&amp;" "&amp;Milestones!$AC$179&amp;";  ",""))</f>
        <v/>
      </c>
      <c r="P5" s="0" t="str">
        <f aca="false">IF(OR($A5="",$D5=""),"",IF(AND(EDATE($D5,Milestones!$AA$180)&lt;=AsOfDate,IF($Q5=0,$W5,IF(AND($S5&lt;&gt;"",EDATE($D5,Milestones!$AA$180)&gt;=$S5),$V5,IF(AND($R5&lt;&gt;"",EDATE($D5,Milestones!$AA$180)&gt;=$R5),$U5,$T5)))=Milestones!$AB$180),TEXT(EDATE($D5,Milestones!$AA$180),"dd/mm/yy")&amp;" "&amp;Milestones!$AB$180&amp;" "&amp;Milestones!$AC$180&amp;";  ","")&amp;IF(AND(EDATE($D5,Milestones!$AA$181)&lt;=AsOfDate,IF($Q5=0,$W5,IF(AND($S5&lt;&gt;"",EDATE($D5,Milestones!$AA$181)&gt;=$S5),$V5,IF(AND($R5&lt;&gt;"",EDATE($D5,Milestones!$AA$181)&gt;=$R5),$U5,$T5)))=Milestones!$AB$181),TEXT(EDATE($D5,Milestones!$AA$181),"dd/mm/yy")&amp;" "&amp;Milestones!$AB$181&amp;" "&amp;Milestones!$AC$181&amp;";  ","")&amp;IF(AND(EDATE($D5,Milestones!$AA$182)&lt;=AsOfDate,IF($Q5=0,$W5,IF(AND($S5&lt;&gt;"",EDATE($D5,Milestones!$AA$182)&gt;=$S5),$V5,IF(AND($R5&lt;&gt;"",EDATE($D5,Milestones!$AA$182)&gt;=$R5),$U5,$T5)))=Milestones!$AB$182),TEXT(EDATE($D5,Milestones!$AA$182),"dd/mm/yy")&amp;" "&amp;Milestones!$AB$182&amp;" "&amp;Milestones!$AC$182&amp;";  ","")&amp;IF(AND(EDATE($D5,Milestones!$AA$183)&lt;=AsOfDate,IF($Q5=0,$W5,IF(AND($S5&lt;&gt;"",EDATE($D5,Milestones!$AA$183)&gt;=$S5),$V5,IF(AND($R5&lt;&gt;"",EDATE($D5,Milestones!$AA$183)&gt;=$R5),$U5,$T5)))=Milestones!$AB$183),TEXT(EDATE($D5,Milestones!$AA$183),"dd/mm/yy")&amp;" "&amp;Milestones!$AB$183&amp;" "&amp;Milestones!$AC$183&amp;";  ","")&amp;IF(AND(EDATE($D5,Milestones!$AA$184)&lt;=AsOfDate,IF($Q5=0,$W5,IF(AND($S5&lt;&gt;"",EDATE($D5,Milestones!$AA$184)&gt;=$S5),$V5,IF(AND($R5&lt;&gt;"",EDATE($D5,Milestones!$AA$184)&gt;=$R5),$U5,$T5)))=Milestones!$AB$184),TEXT(EDATE($D5,Milestones!$AA$184),"dd/mm/yy")&amp;" "&amp;Milestones!$AB$184&amp;" "&amp;Milestones!$AC$184&amp;";  ","")&amp;IF(AND(EDATE($D5,Milestones!$AA$185)&lt;=AsOfDate,IF($Q5=0,$W5,IF(AND($S5&lt;&gt;"",EDATE($D5,Milestones!$AA$185)&gt;=$S5),$V5,IF(AND($R5&lt;&gt;"",EDATE($D5,Milestones!$AA$185)&gt;=$R5),$U5,$T5)))=Milestones!$AB$185),TEXT(EDATE($D5,Milestones!$AA$185),"dd/mm/yy")&amp;" "&amp;Milestones!$AB$185&amp;" "&amp;Milestones!$AC$185&amp;";  ","")&amp;IF(AND(EDATE($D5,Milestones!$AA$186)&lt;=AsOfDate,IF($Q5=0,$W5,IF(AND($S5&lt;&gt;"",EDATE($D5,Milestones!$AA$186)&gt;=$S5),$V5,IF(AND($R5&lt;&gt;"",EDATE($D5,Milestones!$AA$186)&gt;=$R5),$U5,$T5)))=Milestones!$AB$186),TEXT(EDATE($D5,Milestones!$AA$186),"dd/mm/yy")&amp;" "&amp;Milestones!$AB$186&amp;" "&amp;Milestones!$AC$186&amp;";  ","")&amp;IF(AND(EDATE($D5,Milestones!$AA$187)&lt;=AsOfDate,IF($Q5=0,$W5,IF(AND($S5&lt;&gt;"",EDATE($D5,Milestones!$AA$187)&gt;=$S5),$V5,IF(AND($R5&lt;&gt;"",EDATE($D5,Milestones!$AA$187)&gt;=$R5),$U5,$T5)))=Milestones!$AB$187),TEXT(EDATE($D5,Milestones!$AA$187),"dd/mm/yy")&amp;" "&amp;Milestones!$AB$187&amp;" "&amp;Milestones!$AC$187&amp;";  ","")&amp;IF(AND(EDATE($D5,Milestones!$AA$188)&lt;=AsOfDate,IF($Q5=0,$W5,IF(AND($S5&lt;&gt;"",EDATE($D5,Milestones!$AA$188)&gt;=$S5),$V5,IF(AND($R5&lt;&gt;"",EDATE($D5,Milestones!$AA$188)&gt;=$R5),$U5,$T5)))=Milestones!$AB$188),TEXT(EDATE($D5,Milestones!$AA$188),"dd/mm/yy")&amp;" "&amp;Milestones!$AB$188&amp;" "&amp;Milestones!$AC$188&amp;";  ","")&amp;IF(AND(EDATE($D5,Milestones!$AA$189)&lt;=AsOfDate,IF($Q5=0,$W5,IF(AND($S5&lt;&gt;"",EDATE($D5,Milestones!$AA$189)&gt;=$S5),$V5,IF(AND($R5&lt;&gt;"",EDATE($D5,Milestones!$AA$189)&gt;=$R5),$U5,$T5)))=Milestones!$AB$189),TEXT(EDATE($D5,Milestones!$AA$189),"dd/mm/yy")&amp;" "&amp;Milestones!$AB$189&amp;" "&amp;Milestones!$AC$189&amp;";  ","")&amp;IF(AND(EDATE($D5,Milestones!$AA$190)&lt;=AsOfDate,IF($Q5=0,$W5,IF(AND($S5&lt;&gt;"",EDATE($D5,Milestones!$AA$190)&gt;=$S5),$V5,IF(AND($R5&lt;&gt;"",EDATE($D5,Milestones!$AA$190)&gt;=$R5),$U5,$T5)))=Milestones!$AB$190),TEXT(EDATE($D5,Milestones!$AA$190),"dd/mm/yy")&amp;" "&amp;Milestones!$AB$190&amp;" "&amp;Milestones!$AC$190&amp;";  ","")&amp;IF(AND(EDATE($D5,Milestones!$AA$191)&lt;=AsOfDate,IF($Q5=0,$W5,IF(AND($S5&lt;&gt;"",EDATE($D5,Milestones!$AA$191)&gt;=$S5),$V5,IF(AND($R5&lt;&gt;"",EDATE($D5,Milestones!$AA$191)&gt;=$R5),$U5,$T5)))=Milestones!$AB$191),TEXT(EDATE($D5,Milestones!$AA$191),"dd/mm/yy")&amp;" "&amp;Milestones!$AB$191&amp;" "&amp;Milestones!$AC$191&amp;";  ","")&amp;IF(AND(EDATE($D5,Milestones!$AA$192)&lt;=AsOfDate,IF($Q5=0,$W5,IF(AND($S5&lt;&gt;"",EDATE($D5,Milestones!$AA$192)&gt;=$S5),$V5,IF(AND($R5&lt;&gt;"",EDATE($D5,Milestones!$AA$192)&gt;=$R5),$U5,$T5)))=Milestones!$AB$192),TEXT(EDATE($D5,Milestones!$AA$192),"dd/mm/yy")&amp;" "&amp;Milestones!$AB$192&amp;" "&amp;Milestones!$AC$192&amp;";  ","")&amp;IF(AND(EDATE($D5,Milestones!$AA$193)&lt;=AsOfDate,IF($Q5=0,$W5,IF(AND($S5&lt;&gt;"",EDATE($D5,Milestones!$AA$193)&gt;=$S5),$V5,IF(AND($R5&lt;&gt;"",EDATE($D5,Milestones!$AA$193)&gt;=$R5),$U5,$T5)))=Milestones!$AB$193),TEXT(EDATE($D5,Milestones!$AA$193),"dd/mm/yy")&amp;" "&amp;Milestones!$AB$193&amp;" "&amp;Milestones!$AC$193&amp;";  ","")&amp;IF(AND(EDATE($D5,Milestones!$AA$194)&lt;=AsOfDate,IF($Q5=0,$W5,IF(AND($S5&lt;&gt;"",EDATE($D5,Milestones!$AA$194)&gt;=$S5),$V5,IF(AND($R5&lt;&gt;"",EDATE($D5,Milestones!$AA$194)&gt;=$R5),$U5,$T5)))=Milestones!$AB$194),TEXT(EDATE($D5,Milestones!$AA$194),"dd/mm/yy")&amp;" "&amp;Milestones!$AB$194&amp;" "&amp;Milestones!$AC$194&amp;";  ","")&amp;IF(AND(EDATE($D5,Milestones!$AA$195)&lt;=AsOfDate,IF($Q5=0,$W5,IF(AND($S5&lt;&gt;"",EDATE($D5,Milestones!$AA$195)&gt;=$S5),$V5,IF(AND($R5&lt;&gt;"",EDATE($D5,Milestones!$AA$195)&gt;=$R5),$U5,$T5)))=Milestones!$AB$195),TEXT(EDATE($D5,Milestones!$AA$195),"dd/mm/yy")&amp;" "&amp;Milestones!$AB$195&amp;" "&amp;Milestones!$AC$195&amp;";  ","")&amp;IF(AND(EDATE($D5,Milestones!$AA$196)&lt;=AsOfDate,IF($Q5=0,$W5,IF(AND($S5&lt;&gt;"",EDATE($D5,Milestones!$AA$196)&gt;=$S5),$V5,IF(AND($R5&lt;&gt;"",EDATE($D5,Milestones!$AA$196)&gt;=$R5),$U5,$T5)))=Milestones!$AB$196),TEXT(EDATE($D5,Milestones!$AA$196),"dd/mm/yy")&amp;" "&amp;Milestones!$AB$196&amp;" "&amp;Milestones!$AC$196&amp;";  ","")&amp;IF(AND(EDATE($D5,Milestones!$AA$197)&lt;=AsOfDate,IF($Q5=0,$W5,IF(AND($S5&lt;&gt;"",EDATE($D5,Milestones!$AA$197)&gt;=$S5),$V5,IF(AND($R5&lt;&gt;"",EDATE($D5,Milestones!$AA$197)&gt;=$R5),$U5,$T5)))=Milestones!$AB$197),TEXT(EDATE($D5,Milestones!$AA$197),"dd/mm/yy")&amp;" "&amp;Milestones!$AB$197&amp;" "&amp;Milestones!$AC$197&amp;";  ","")&amp;IF(AND(EDATE($D5,Milestones!$AA$198)&lt;=AsOfDate,IF($Q5=0,$W5,IF(AND($S5&lt;&gt;"",EDATE($D5,Milestones!$AA$198)&gt;=$S5),$V5,IF(AND($R5&lt;&gt;"",EDATE($D5,Milestones!$AA$198)&gt;=$R5),$U5,$T5)))=Milestones!$AB$198),TEXT(EDATE($D5,Milestones!$AA$198),"dd/mm/yy")&amp;" "&amp;Milestones!$AB$198&amp;" "&amp;Milestones!$AC$198&amp;";  ","")&amp;IF(AND(EDATE($D5,Milestones!$AA$199)&lt;=AsOfDate,IF($Q5=0,$W5,IF(AND($S5&lt;&gt;"",EDATE($D5,Milestones!$AA$199)&gt;=$S5),$V5,IF(AND($R5&lt;&gt;"",EDATE($D5,Milestones!$AA$199)&gt;=$R5),$U5,$T5)))=Milestones!$AB$199),TEXT(EDATE($D5,Milestones!$AA$199),"dd/mm/yy")&amp;" "&amp;Milestones!$AB$199&amp;" "&amp;Milestones!$AC$199&amp;";  ",""))</f>
        <v/>
      </c>
      <c r="Q5" s="0" t="str">
        <f aca="false">IF(Staff!$A5="","",Staff!$AG5)</f>
        <v/>
      </c>
      <c r="R5" s="0" t="str">
        <f aca="false">IF(Staff!$A5="","",Staff!$AI5)</f>
        <v/>
      </c>
      <c r="S5" s="0" t="str">
        <f aca="false">IF(Staff!$A5="","",Staff!$AJ5)</f>
        <v/>
      </c>
      <c r="T5" s="0" t="str">
        <f aca="false">IF(Staff!$A5="","",Staff!$AN5)</f>
        <v/>
      </c>
      <c r="U5" s="0" t="str">
        <f aca="false">IF(Staff!$A5="","",Staff!$AO5)</f>
        <v/>
      </c>
      <c r="V5" s="0" t="str">
        <f aca="false">IF(Staff!$A5="","",Staff!$AP5)</f>
        <v/>
      </c>
      <c r="W5" s="0" t="str">
        <f aca="false">IF(Staff!$A5="","",Staff!$AQ5)</f>
        <v/>
      </c>
    </row>
    <row r="6" customFormat="false" ht="15" hidden="false" customHeight="false" outlineLevel="0" collapsed="false">
      <c r="A6" s="13" t="str">
        <f aca="false">IF(Staff!$A6="","",Staff!$A6)</f>
        <v/>
      </c>
      <c r="B6" s="13" t="str">
        <f aca="false">IF(Staff!$A6="","",Staff!$B6)</f>
        <v/>
      </c>
      <c r="C6" s="13" t="str">
        <f aca="false">IF(Staff!$A6="","",Staff!$C6)</f>
        <v/>
      </c>
      <c r="D6" s="11" t="str">
        <f aca="false">IF(Staff!$A6="","",Staff!$AF6)</f>
        <v/>
      </c>
      <c r="E6" s="13" t="str">
        <f aca="false">IF(Staff!$A6="","",Staff!$O6)</f>
        <v/>
      </c>
      <c r="F6" s="13" t="str">
        <f aca="false">IF(E6="","",E6*HoursPerDay)</f>
        <v/>
      </c>
      <c r="G6" s="26" t="str">
        <f aca="false">IF($A6="","",H6&amp;I6&amp;J6&amp;K6&amp;L6&amp;M6&amp;N6&amp;O6&amp;P6)</f>
        <v/>
      </c>
      <c r="H6" s="0" t="str">
        <f aca="false">IF(OR($A6="",$D6=""),"",IF(AND(EDATE($D6,Milestones!$AA$20)&lt;=AsOfDate,IF($Q6=0,$W6,IF(AND($S6&lt;&gt;"",EDATE($D6,Milestones!$AA$20)&gt;=$S6),$V6,IF(AND($R6&lt;&gt;"",EDATE($D6,Milestones!$AA$20)&gt;=$R6),$U6,$T6)))=Milestones!$AB$20),TEXT(EDATE($D6,Milestones!$AA$20),"dd/mm/yy")&amp;" "&amp;Milestones!$AB$20&amp;" "&amp;Milestones!$AC$20&amp;";  ","")&amp;IF(AND(EDATE($D6,Milestones!$AA$21)&lt;=AsOfDate,IF($Q6=0,$W6,IF(AND($S6&lt;&gt;"",EDATE($D6,Milestones!$AA$21)&gt;=$S6),$V6,IF(AND($R6&lt;&gt;"",EDATE($D6,Milestones!$AA$21)&gt;=$R6),$U6,$T6)))=Milestones!$AB$21),TEXT(EDATE($D6,Milestones!$AA$21),"dd/mm/yy")&amp;" "&amp;Milestones!$AB$21&amp;" "&amp;Milestones!$AC$21&amp;";  ","")&amp;IF(AND(EDATE($D6,Milestones!$AA$22)&lt;=AsOfDate,IF($Q6=0,$W6,IF(AND($S6&lt;&gt;"",EDATE($D6,Milestones!$AA$22)&gt;=$S6),$V6,IF(AND($R6&lt;&gt;"",EDATE($D6,Milestones!$AA$22)&gt;=$R6),$U6,$T6)))=Milestones!$AB$22),TEXT(EDATE($D6,Milestones!$AA$22),"dd/mm/yy")&amp;" "&amp;Milestones!$AB$22&amp;" "&amp;Milestones!$AC$22&amp;";  ","")&amp;IF(AND(EDATE($D6,Milestones!$AA$23)&lt;=AsOfDate,IF($Q6=0,$W6,IF(AND($S6&lt;&gt;"",EDATE($D6,Milestones!$AA$23)&gt;=$S6),$V6,IF(AND($R6&lt;&gt;"",EDATE($D6,Milestones!$AA$23)&gt;=$R6),$U6,$T6)))=Milestones!$AB$23),TEXT(EDATE($D6,Milestones!$AA$23),"dd/mm/yy")&amp;" "&amp;Milestones!$AB$23&amp;" "&amp;Milestones!$AC$23&amp;";  ","")&amp;IF(AND(EDATE($D6,Milestones!$AA$24)&lt;=AsOfDate,IF($Q6=0,$W6,IF(AND($S6&lt;&gt;"",EDATE($D6,Milestones!$AA$24)&gt;=$S6),$V6,IF(AND($R6&lt;&gt;"",EDATE($D6,Milestones!$AA$24)&gt;=$R6),$U6,$T6)))=Milestones!$AB$24),TEXT(EDATE($D6,Milestones!$AA$24),"dd/mm/yy")&amp;" "&amp;Milestones!$AB$24&amp;" "&amp;Milestones!$AC$24&amp;";  ","")&amp;IF(AND(EDATE($D6,Milestones!$AA$25)&lt;=AsOfDate,IF($Q6=0,$W6,IF(AND($S6&lt;&gt;"",EDATE($D6,Milestones!$AA$25)&gt;=$S6),$V6,IF(AND($R6&lt;&gt;"",EDATE($D6,Milestones!$AA$25)&gt;=$R6),$U6,$T6)))=Milestones!$AB$25),TEXT(EDATE($D6,Milestones!$AA$25),"dd/mm/yy")&amp;" "&amp;Milestones!$AB$25&amp;" "&amp;Milestones!$AC$25&amp;";  ","")&amp;IF(AND(EDATE($D6,Milestones!$AA$26)&lt;=AsOfDate,IF($Q6=0,$W6,IF(AND($S6&lt;&gt;"",EDATE($D6,Milestones!$AA$26)&gt;=$S6),$V6,IF(AND($R6&lt;&gt;"",EDATE($D6,Milestones!$AA$26)&gt;=$R6),$U6,$T6)))=Milestones!$AB$26),TEXT(EDATE($D6,Milestones!$AA$26),"dd/mm/yy")&amp;" "&amp;Milestones!$AB$26&amp;" "&amp;Milestones!$AC$26&amp;";  ","")&amp;IF(AND(EDATE($D6,Milestones!$AA$27)&lt;=AsOfDate,IF($Q6=0,$W6,IF(AND($S6&lt;&gt;"",EDATE($D6,Milestones!$AA$27)&gt;=$S6),$V6,IF(AND($R6&lt;&gt;"",EDATE($D6,Milestones!$AA$27)&gt;=$R6),$U6,$T6)))=Milestones!$AB$27),TEXT(EDATE($D6,Milestones!$AA$27),"dd/mm/yy")&amp;" "&amp;Milestones!$AB$27&amp;" "&amp;Milestones!$AC$27&amp;";  ","")&amp;IF(AND(EDATE($D6,Milestones!$AA$28)&lt;=AsOfDate,IF($Q6=0,$W6,IF(AND($S6&lt;&gt;"",EDATE($D6,Milestones!$AA$28)&gt;=$S6),$V6,IF(AND($R6&lt;&gt;"",EDATE($D6,Milestones!$AA$28)&gt;=$R6),$U6,$T6)))=Milestones!$AB$28),TEXT(EDATE($D6,Milestones!$AA$28),"dd/mm/yy")&amp;" "&amp;Milestones!$AB$28&amp;" "&amp;Milestones!$AC$28&amp;";  ","")&amp;IF(AND(EDATE($D6,Milestones!$AA$29)&lt;=AsOfDate,IF($Q6=0,$W6,IF(AND($S6&lt;&gt;"",EDATE($D6,Milestones!$AA$29)&gt;=$S6),$V6,IF(AND($R6&lt;&gt;"",EDATE($D6,Milestones!$AA$29)&gt;=$R6),$U6,$T6)))=Milestones!$AB$29),TEXT(EDATE($D6,Milestones!$AA$29),"dd/mm/yy")&amp;" "&amp;Milestones!$AB$29&amp;" "&amp;Milestones!$AC$29&amp;";  ","")&amp;IF(AND(EDATE($D6,Milestones!$AA$30)&lt;=AsOfDate,IF($Q6=0,$W6,IF(AND($S6&lt;&gt;"",EDATE($D6,Milestones!$AA$30)&gt;=$S6),$V6,IF(AND($R6&lt;&gt;"",EDATE($D6,Milestones!$AA$30)&gt;=$R6),$U6,$T6)))=Milestones!$AB$30),TEXT(EDATE($D6,Milestones!$AA$30),"dd/mm/yy")&amp;" "&amp;Milestones!$AB$30&amp;" "&amp;Milestones!$AC$30&amp;";  ","")&amp;IF(AND(EDATE($D6,Milestones!$AA$31)&lt;=AsOfDate,IF($Q6=0,$W6,IF(AND($S6&lt;&gt;"",EDATE($D6,Milestones!$AA$31)&gt;=$S6),$V6,IF(AND($R6&lt;&gt;"",EDATE($D6,Milestones!$AA$31)&gt;=$R6),$U6,$T6)))=Milestones!$AB$31),TEXT(EDATE($D6,Milestones!$AA$31),"dd/mm/yy")&amp;" "&amp;Milestones!$AB$31&amp;" "&amp;Milestones!$AC$31&amp;";  ","")&amp;IF(AND(EDATE($D6,Milestones!$AA$32)&lt;=AsOfDate,IF($Q6=0,$W6,IF(AND($S6&lt;&gt;"",EDATE($D6,Milestones!$AA$32)&gt;=$S6),$V6,IF(AND($R6&lt;&gt;"",EDATE($D6,Milestones!$AA$32)&gt;=$R6),$U6,$T6)))=Milestones!$AB$32),TEXT(EDATE($D6,Milestones!$AA$32),"dd/mm/yy")&amp;" "&amp;Milestones!$AB$32&amp;" "&amp;Milestones!$AC$32&amp;";  ","")&amp;IF(AND(EDATE($D6,Milestones!$AA$33)&lt;=AsOfDate,IF($Q6=0,$W6,IF(AND($S6&lt;&gt;"",EDATE($D6,Milestones!$AA$33)&gt;=$S6),$V6,IF(AND($R6&lt;&gt;"",EDATE($D6,Milestones!$AA$33)&gt;=$R6),$U6,$T6)))=Milestones!$AB$33),TEXT(EDATE($D6,Milestones!$AA$33),"dd/mm/yy")&amp;" "&amp;Milestones!$AB$33&amp;" "&amp;Milestones!$AC$33&amp;";  ","")&amp;IF(AND(EDATE($D6,Milestones!$AA$34)&lt;=AsOfDate,IF($Q6=0,$W6,IF(AND($S6&lt;&gt;"",EDATE($D6,Milestones!$AA$34)&gt;=$S6),$V6,IF(AND($R6&lt;&gt;"",EDATE($D6,Milestones!$AA$34)&gt;=$R6),$U6,$T6)))=Milestones!$AB$34),TEXT(EDATE($D6,Milestones!$AA$34),"dd/mm/yy")&amp;" "&amp;Milestones!$AB$34&amp;" "&amp;Milestones!$AC$34&amp;";  ","")&amp;IF(AND(EDATE($D6,Milestones!$AA$35)&lt;=AsOfDate,IF($Q6=0,$W6,IF(AND($S6&lt;&gt;"",EDATE($D6,Milestones!$AA$35)&gt;=$S6),$V6,IF(AND($R6&lt;&gt;"",EDATE($D6,Milestones!$AA$35)&gt;=$R6),$U6,$T6)))=Milestones!$AB$35),TEXT(EDATE($D6,Milestones!$AA$35),"dd/mm/yy")&amp;" "&amp;Milestones!$AB$35&amp;" "&amp;Milestones!$AC$35&amp;";  ","")&amp;IF(AND(EDATE($D6,Milestones!$AA$36)&lt;=AsOfDate,IF($Q6=0,$W6,IF(AND($S6&lt;&gt;"",EDATE($D6,Milestones!$AA$36)&gt;=$S6),$V6,IF(AND($R6&lt;&gt;"",EDATE($D6,Milestones!$AA$36)&gt;=$R6),$U6,$T6)))=Milestones!$AB$36),TEXT(EDATE($D6,Milestones!$AA$36),"dd/mm/yy")&amp;" "&amp;Milestones!$AB$36&amp;" "&amp;Milestones!$AC$36&amp;";  ","")&amp;IF(AND(EDATE($D6,Milestones!$AA$37)&lt;=AsOfDate,IF($Q6=0,$W6,IF(AND($S6&lt;&gt;"",EDATE($D6,Milestones!$AA$37)&gt;=$S6),$V6,IF(AND($R6&lt;&gt;"",EDATE($D6,Milestones!$AA$37)&gt;=$R6),$U6,$T6)))=Milestones!$AB$37),TEXT(EDATE($D6,Milestones!$AA$37),"dd/mm/yy")&amp;" "&amp;Milestones!$AB$37&amp;" "&amp;Milestones!$AC$37&amp;";  ","")&amp;IF(AND(EDATE($D6,Milestones!$AA$38)&lt;=AsOfDate,IF($Q6=0,$W6,IF(AND($S6&lt;&gt;"",EDATE($D6,Milestones!$AA$38)&gt;=$S6),$V6,IF(AND($R6&lt;&gt;"",EDATE($D6,Milestones!$AA$38)&gt;=$R6),$U6,$T6)))=Milestones!$AB$38),TEXT(EDATE($D6,Milestones!$AA$38),"dd/mm/yy")&amp;" "&amp;Milestones!$AB$38&amp;" "&amp;Milestones!$AC$38&amp;";  ","")&amp;IF(AND(EDATE($D6,Milestones!$AA$39)&lt;=AsOfDate,IF($Q6=0,$W6,IF(AND($S6&lt;&gt;"",EDATE($D6,Milestones!$AA$39)&gt;=$S6),$V6,IF(AND($R6&lt;&gt;"",EDATE($D6,Milestones!$AA$39)&gt;=$R6),$U6,$T6)))=Milestones!$AB$39),TEXT(EDATE($D6,Milestones!$AA$39),"dd/mm/yy")&amp;" "&amp;Milestones!$AB$39&amp;" "&amp;Milestones!$AC$39&amp;";  ",""))</f>
        <v/>
      </c>
      <c r="I6" s="0" t="str">
        <f aca="false">IF(OR($A6="",$D6=""),"",IF(AND(EDATE($D6,Milestones!$AA$40)&lt;=AsOfDate,IF($Q6=0,$W6,IF(AND($S6&lt;&gt;"",EDATE($D6,Milestones!$AA$40)&gt;=$S6),$V6,IF(AND($R6&lt;&gt;"",EDATE($D6,Milestones!$AA$40)&gt;=$R6),$U6,$T6)))=Milestones!$AB$40),TEXT(EDATE($D6,Milestones!$AA$40),"dd/mm/yy")&amp;" "&amp;Milestones!$AB$40&amp;" "&amp;Milestones!$AC$40&amp;";  ","")&amp;IF(AND(EDATE($D6,Milestones!$AA$41)&lt;=AsOfDate,IF($Q6=0,$W6,IF(AND($S6&lt;&gt;"",EDATE($D6,Milestones!$AA$41)&gt;=$S6),$V6,IF(AND($R6&lt;&gt;"",EDATE($D6,Milestones!$AA$41)&gt;=$R6),$U6,$T6)))=Milestones!$AB$41),TEXT(EDATE($D6,Milestones!$AA$41),"dd/mm/yy")&amp;" "&amp;Milestones!$AB$41&amp;" "&amp;Milestones!$AC$41&amp;";  ","")&amp;IF(AND(EDATE($D6,Milestones!$AA$42)&lt;=AsOfDate,IF($Q6=0,$W6,IF(AND($S6&lt;&gt;"",EDATE($D6,Milestones!$AA$42)&gt;=$S6),$V6,IF(AND($R6&lt;&gt;"",EDATE($D6,Milestones!$AA$42)&gt;=$R6),$U6,$T6)))=Milestones!$AB$42),TEXT(EDATE($D6,Milestones!$AA$42),"dd/mm/yy")&amp;" "&amp;Milestones!$AB$42&amp;" "&amp;Milestones!$AC$42&amp;";  ","")&amp;IF(AND(EDATE($D6,Milestones!$AA$43)&lt;=AsOfDate,IF($Q6=0,$W6,IF(AND($S6&lt;&gt;"",EDATE($D6,Milestones!$AA$43)&gt;=$S6),$V6,IF(AND($R6&lt;&gt;"",EDATE($D6,Milestones!$AA$43)&gt;=$R6),$U6,$T6)))=Milestones!$AB$43),TEXT(EDATE($D6,Milestones!$AA$43),"dd/mm/yy")&amp;" "&amp;Milestones!$AB$43&amp;" "&amp;Milestones!$AC$43&amp;";  ","")&amp;IF(AND(EDATE($D6,Milestones!$AA$44)&lt;=AsOfDate,IF($Q6=0,$W6,IF(AND($S6&lt;&gt;"",EDATE($D6,Milestones!$AA$44)&gt;=$S6),$V6,IF(AND($R6&lt;&gt;"",EDATE($D6,Milestones!$AA$44)&gt;=$R6),$U6,$T6)))=Milestones!$AB$44),TEXT(EDATE($D6,Milestones!$AA$44),"dd/mm/yy")&amp;" "&amp;Milestones!$AB$44&amp;" "&amp;Milestones!$AC$44&amp;";  ","")&amp;IF(AND(EDATE($D6,Milestones!$AA$45)&lt;=AsOfDate,IF($Q6=0,$W6,IF(AND($S6&lt;&gt;"",EDATE($D6,Milestones!$AA$45)&gt;=$S6),$V6,IF(AND($R6&lt;&gt;"",EDATE($D6,Milestones!$AA$45)&gt;=$R6),$U6,$T6)))=Milestones!$AB$45),TEXT(EDATE($D6,Milestones!$AA$45),"dd/mm/yy")&amp;" "&amp;Milestones!$AB$45&amp;" "&amp;Milestones!$AC$45&amp;";  ","")&amp;IF(AND(EDATE($D6,Milestones!$AA$46)&lt;=AsOfDate,IF($Q6=0,$W6,IF(AND($S6&lt;&gt;"",EDATE($D6,Milestones!$AA$46)&gt;=$S6),$V6,IF(AND($R6&lt;&gt;"",EDATE($D6,Milestones!$AA$46)&gt;=$R6),$U6,$T6)))=Milestones!$AB$46),TEXT(EDATE($D6,Milestones!$AA$46),"dd/mm/yy")&amp;" "&amp;Milestones!$AB$46&amp;" "&amp;Milestones!$AC$46&amp;";  ","")&amp;IF(AND(EDATE($D6,Milestones!$AA$47)&lt;=AsOfDate,IF($Q6=0,$W6,IF(AND($S6&lt;&gt;"",EDATE($D6,Milestones!$AA$47)&gt;=$S6),$V6,IF(AND($R6&lt;&gt;"",EDATE($D6,Milestones!$AA$47)&gt;=$R6),$U6,$T6)))=Milestones!$AB$47),TEXT(EDATE($D6,Milestones!$AA$47),"dd/mm/yy")&amp;" "&amp;Milestones!$AB$47&amp;" "&amp;Milestones!$AC$47&amp;";  ","")&amp;IF(AND(EDATE($D6,Milestones!$AA$48)&lt;=AsOfDate,IF($Q6=0,$W6,IF(AND($S6&lt;&gt;"",EDATE($D6,Milestones!$AA$48)&gt;=$S6),$V6,IF(AND($R6&lt;&gt;"",EDATE($D6,Milestones!$AA$48)&gt;=$R6),$U6,$T6)))=Milestones!$AB$48),TEXT(EDATE($D6,Milestones!$AA$48),"dd/mm/yy")&amp;" "&amp;Milestones!$AB$48&amp;" "&amp;Milestones!$AC$48&amp;";  ","")&amp;IF(AND(EDATE($D6,Milestones!$AA$49)&lt;=AsOfDate,IF($Q6=0,$W6,IF(AND($S6&lt;&gt;"",EDATE($D6,Milestones!$AA$49)&gt;=$S6),$V6,IF(AND($R6&lt;&gt;"",EDATE($D6,Milestones!$AA$49)&gt;=$R6),$U6,$T6)))=Milestones!$AB$49),TEXT(EDATE($D6,Milestones!$AA$49),"dd/mm/yy")&amp;" "&amp;Milestones!$AB$49&amp;" "&amp;Milestones!$AC$49&amp;";  ","")&amp;IF(AND(EDATE($D6,Milestones!$AA$50)&lt;=AsOfDate,IF($Q6=0,$W6,IF(AND($S6&lt;&gt;"",EDATE($D6,Milestones!$AA$50)&gt;=$S6),$V6,IF(AND($R6&lt;&gt;"",EDATE($D6,Milestones!$AA$50)&gt;=$R6),$U6,$T6)))=Milestones!$AB$50),TEXT(EDATE($D6,Milestones!$AA$50),"dd/mm/yy")&amp;" "&amp;Milestones!$AB$50&amp;" "&amp;Milestones!$AC$50&amp;";  ","")&amp;IF(AND(EDATE($D6,Milestones!$AA$51)&lt;=AsOfDate,IF($Q6=0,$W6,IF(AND($S6&lt;&gt;"",EDATE($D6,Milestones!$AA$51)&gt;=$S6),$V6,IF(AND($R6&lt;&gt;"",EDATE($D6,Milestones!$AA$51)&gt;=$R6),$U6,$T6)))=Milestones!$AB$51),TEXT(EDATE($D6,Milestones!$AA$51),"dd/mm/yy")&amp;" "&amp;Milestones!$AB$51&amp;" "&amp;Milestones!$AC$51&amp;";  ","")&amp;IF(AND(EDATE($D6,Milestones!$AA$52)&lt;=AsOfDate,IF($Q6=0,$W6,IF(AND($S6&lt;&gt;"",EDATE($D6,Milestones!$AA$52)&gt;=$S6),$V6,IF(AND($R6&lt;&gt;"",EDATE($D6,Milestones!$AA$52)&gt;=$R6),$U6,$T6)))=Milestones!$AB$52),TEXT(EDATE($D6,Milestones!$AA$52),"dd/mm/yy")&amp;" "&amp;Milestones!$AB$52&amp;" "&amp;Milestones!$AC$52&amp;";  ","")&amp;IF(AND(EDATE($D6,Milestones!$AA$53)&lt;=AsOfDate,IF($Q6=0,$W6,IF(AND($S6&lt;&gt;"",EDATE($D6,Milestones!$AA$53)&gt;=$S6),$V6,IF(AND($R6&lt;&gt;"",EDATE($D6,Milestones!$AA$53)&gt;=$R6),$U6,$T6)))=Milestones!$AB$53),TEXT(EDATE($D6,Milestones!$AA$53),"dd/mm/yy")&amp;" "&amp;Milestones!$AB$53&amp;" "&amp;Milestones!$AC$53&amp;";  ","")&amp;IF(AND(EDATE($D6,Milestones!$AA$54)&lt;=AsOfDate,IF($Q6=0,$W6,IF(AND($S6&lt;&gt;"",EDATE($D6,Milestones!$AA$54)&gt;=$S6),$V6,IF(AND($R6&lt;&gt;"",EDATE($D6,Milestones!$AA$54)&gt;=$R6),$U6,$T6)))=Milestones!$AB$54),TEXT(EDATE($D6,Milestones!$AA$54),"dd/mm/yy")&amp;" "&amp;Milestones!$AB$54&amp;" "&amp;Milestones!$AC$54&amp;";  ","")&amp;IF(AND(EDATE($D6,Milestones!$AA$55)&lt;=AsOfDate,IF($Q6=0,$W6,IF(AND($S6&lt;&gt;"",EDATE($D6,Milestones!$AA$55)&gt;=$S6),$V6,IF(AND($R6&lt;&gt;"",EDATE($D6,Milestones!$AA$55)&gt;=$R6),$U6,$T6)))=Milestones!$AB$55),TEXT(EDATE($D6,Milestones!$AA$55),"dd/mm/yy")&amp;" "&amp;Milestones!$AB$55&amp;" "&amp;Milestones!$AC$55&amp;";  ","")&amp;IF(AND(EDATE($D6,Milestones!$AA$56)&lt;=AsOfDate,IF($Q6=0,$W6,IF(AND($S6&lt;&gt;"",EDATE($D6,Milestones!$AA$56)&gt;=$S6),$V6,IF(AND($R6&lt;&gt;"",EDATE($D6,Milestones!$AA$56)&gt;=$R6),$U6,$T6)))=Milestones!$AB$56),TEXT(EDATE($D6,Milestones!$AA$56),"dd/mm/yy")&amp;" "&amp;Milestones!$AB$56&amp;" "&amp;Milestones!$AC$56&amp;";  ","")&amp;IF(AND(EDATE($D6,Milestones!$AA$57)&lt;=AsOfDate,IF($Q6=0,$W6,IF(AND($S6&lt;&gt;"",EDATE($D6,Milestones!$AA$57)&gt;=$S6),$V6,IF(AND($R6&lt;&gt;"",EDATE($D6,Milestones!$AA$57)&gt;=$R6),$U6,$T6)))=Milestones!$AB$57),TEXT(EDATE($D6,Milestones!$AA$57),"dd/mm/yy")&amp;" "&amp;Milestones!$AB$57&amp;" "&amp;Milestones!$AC$57&amp;";  ","")&amp;IF(AND(EDATE($D6,Milestones!$AA$58)&lt;=AsOfDate,IF($Q6=0,$W6,IF(AND($S6&lt;&gt;"",EDATE($D6,Milestones!$AA$58)&gt;=$S6),$V6,IF(AND($R6&lt;&gt;"",EDATE($D6,Milestones!$AA$58)&gt;=$R6),$U6,$T6)))=Milestones!$AB$58),TEXT(EDATE($D6,Milestones!$AA$58),"dd/mm/yy")&amp;" "&amp;Milestones!$AB$58&amp;" "&amp;Milestones!$AC$58&amp;";  ","")&amp;IF(AND(EDATE($D6,Milestones!$AA$59)&lt;=AsOfDate,IF($Q6=0,$W6,IF(AND($S6&lt;&gt;"",EDATE($D6,Milestones!$AA$59)&gt;=$S6),$V6,IF(AND($R6&lt;&gt;"",EDATE($D6,Milestones!$AA$59)&gt;=$R6),$U6,$T6)))=Milestones!$AB$59),TEXT(EDATE($D6,Milestones!$AA$59),"dd/mm/yy")&amp;" "&amp;Milestones!$AB$59&amp;" "&amp;Milestones!$AC$59&amp;";  ",""))</f>
        <v/>
      </c>
      <c r="J6" s="0" t="str">
        <f aca="false">IF(OR($A6="",$D6=""),"",IF(AND(EDATE($D6,Milestones!$AA$60)&lt;=AsOfDate,IF($Q6=0,$W6,IF(AND($S6&lt;&gt;"",EDATE($D6,Milestones!$AA$60)&gt;=$S6),$V6,IF(AND($R6&lt;&gt;"",EDATE($D6,Milestones!$AA$60)&gt;=$R6),$U6,$T6)))=Milestones!$AB$60),TEXT(EDATE($D6,Milestones!$AA$60),"dd/mm/yy")&amp;" "&amp;Milestones!$AB$60&amp;" "&amp;Milestones!$AC$60&amp;";  ","")&amp;IF(AND(EDATE($D6,Milestones!$AA$61)&lt;=AsOfDate,IF($Q6=0,$W6,IF(AND($S6&lt;&gt;"",EDATE($D6,Milestones!$AA$61)&gt;=$S6),$V6,IF(AND($R6&lt;&gt;"",EDATE($D6,Milestones!$AA$61)&gt;=$R6),$U6,$T6)))=Milestones!$AB$61),TEXT(EDATE($D6,Milestones!$AA$61),"dd/mm/yy")&amp;" "&amp;Milestones!$AB$61&amp;" "&amp;Milestones!$AC$61&amp;";  ","")&amp;IF(AND(EDATE($D6,Milestones!$AA$62)&lt;=AsOfDate,IF($Q6=0,$W6,IF(AND($S6&lt;&gt;"",EDATE($D6,Milestones!$AA$62)&gt;=$S6),$V6,IF(AND($R6&lt;&gt;"",EDATE($D6,Milestones!$AA$62)&gt;=$R6),$U6,$T6)))=Milestones!$AB$62),TEXT(EDATE($D6,Milestones!$AA$62),"dd/mm/yy")&amp;" "&amp;Milestones!$AB$62&amp;" "&amp;Milestones!$AC$62&amp;";  ","")&amp;IF(AND(EDATE($D6,Milestones!$AA$63)&lt;=AsOfDate,IF($Q6=0,$W6,IF(AND($S6&lt;&gt;"",EDATE($D6,Milestones!$AA$63)&gt;=$S6),$V6,IF(AND($R6&lt;&gt;"",EDATE($D6,Milestones!$AA$63)&gt;=$R6),$U6,$T6)))=Milestones!$AB$63),TEXT(EDATE($D6,Milestones!$AA$63),"dd/mm/yy")&amp;" "&amp;Milestones!$AB$63&amp;" "&amp;Milestones!$AC$63&amp;";  ","")&amp;IF(AND(EDATE($D6,Milestones!$AA$64)&lt;=AsOfDate,IF($Q6=0,$W6,IF(AND($S6&lt;&gt;"",EDATE($D6,Milestones!$AA$64)&gt;=$S6),$V6,IF(AND($R6&lt;&gt;"",EDATE($D6,Milestones!$AA$64)&gt;=$R6),$U6,$T6)))=Milestones!$AB$64),TEXT(EDATE($D6,Milestones!$AA$64),"dd/mm/yy")&amp;" "&amp;Milestones!$AB$64&amp;" "&amp;Milestones!$AC$64&amp;";  ","")&amp;IF(AND(EDATE($D6,Milestones!$AA$65)&lt;=AsOfDate,IF($Q6=0,$W6,IF(AND($S6&lt;&gt;"",EDATE($D6,Milestones!$AA$65)&gt;=$S6),$V6,IF(AND($R6&lt;&gt;"",EDATE($D6,Milestones!$AA$65)&gt;=$R6),$U6,$T6)))=Milestones!$AB$65),TEXT(EDATE($D6,Milestones!$AA$65),"dd/mm/yy")&amp;" "&amp;Milestones!$AB$65&amp;" "&amp;Milestones!$AC$65&amp;";  ","")&amp;IF(AND(EDATE($D6,Milestones!$AA$66)&lt;=AsOfDate,IF($Q6=0,$W6,IF(AND($S6&lt;&gt;"",EDATE($D6,Milestones!$AA$66)&gt;=$S6),$V6,IF(AND($R6&lt;&gt;"",EDATE($D6,Milestones!$AA$66)&gt;=$R6),$U6,$T6)))=Milestones!$AB$66),TEXT(EDATE($D6,Milestones!$AA$66),"dd/mm/yy")&amp;" "&amp;Milestones!$AB$66&amp;" "&amp;Milestones!$AC$66&amp;";  ","")&amp;IF(AND(EDATE($D6,Milestones!$AA$67)&lt;=AsOfDate,IF($Q6=0,$W6,IF(AND($S6&lt;&gt;"",EDATE($D6,Milestones!$AA$67)&gt;=$S6),$V6,IF(AND($R6&lt;&gt;"",EDATE($D6,Milestones!$AA$67)&gt;=$R6),$U6,$T6)))=Milestones!$AB$67),TEXT(EDATE($D6,Milestones!$AA$67),"dd/mm/yy")&amp;" "&amp;Milestones!$AB$67&amp;" "&amp;Milestones!$AC$67&amp;";  ","")&amp;IF(AND(EDATE($D6,Milestones!$AA$68)&lt;=AsOfDate,IF($Q6=0,$W6,IF(AND($S6&lt;&gt;"",EDATE($D6,Milestones!$AA$68)&gt;=$S6),$V6,IF(AND($R6&lt;&gt;"",EDATE($D6,Milestones!$AA$68)&gt;=$R6),$U6,$T6)))=Milestones!$AB$68),TEXT(EDATE($D6,Milestones!$AA$68),"dd/mm/yy")&amp;" "&amp;Milestones!$AB$68&amp;" "&amp;Milestones!$AC$68&amp;";  ","")&amp;IF(AND(EDATE($D6,Milestones!$AA$69)&lt;=AsOfDate,IF($Q6=0,$W6,IF(AND($S6&lt;&gt;"",EDATE($D6,Milestones!$AA$69)&gt;=$S6),$V6,IF(AND($R6&lt;&gt;"",EDATE($D6,Milestones!$AA$69)&gt;=$R6),$U6,$T6)))=Milestones!$AB$69),TEXT(EDATE($D6,Milestones!$AA$69),"dd/mm/yy")&amp;" "&amp;Milestones!$AB$69&amp;" "&amp;Milestones!$AC$69&amp;";  ","")&amp;IF(AND(EDATE($D6,Milestones!$AA$70)&lt;=AsOfDate,IF($Q6=0,$W6,IF(AND($S6&lt;&gt;"",EDATE($D6,Milestones!$AA$70)&gt;=$S6),$V6,IF(AND($R6&lt;&gt;"",EDATE($D6,Milestones!$AA$70)&gt;=$R6),$U6,$T6)))=Milestones!$AB$70),TEXT(EDATE($D6,Milestones!$AA$70),"dd/mm/yy")&amp;" "&amp;Milestones!$AB$70&amp;" "&amp;Milestones!$AC$70&amp;";  ","")&amp;IF(AND(EDATE($D6,Milestones!$AA$71)&lt;=AsOfDate,IF($Q6=0,$W6,IF(AND($S6&lt;&gt;"",EDATE($D6,Milestones!$AA$71)&gt;=$S6),$V6,IF(AND($R6&lt;&gt;"",EDATE($D6,Milestones!$AA$71)&gt;=$R6),$U6,$T6)))=Milestones!$AB$71),TEXT(EDATE($D6,Milestones!$AA$71),"dd/mm/yy")&amp;" "&amp;Milestones!$AB$71&amp;" "&amp;Milestones!$AC$71&amp;";  ","")&amp;IF(AND(EDATE($D6,Milestones!$AA$72)&lt;=AsOfDate,IF($Q6=0,$W6,IF(AND($S6&lt;&gt;"",EDATE($D6,Milestones!$AA$72)&gt;=$S6),$V6,IF(AND($R6&lt;&gt;"",EDATE($D6,Milestones!$AA$72)&gt;=$R6),$U6,$T6)))=Milestones!$AB$72),TEXT(EDATE($D6,Milestones!$AA$72),"dd/mm/yy")&amp;" "&amp;Milestones!$AB$72&amp;" "&amp;Milestones!$AC$72&amp;";  ","")&amp;IF(AND(EDATE($D6,Milestones!$AA$73)&lt;=AsOfDate,IF($Q6=0,$W6,IF(AND($S6&lt;&gt;"",EDATE($D6,Milestones!$AA$73)&gt;=$S6),$V6,IF(AND($R6&lt;&gt;"",EDATE($D6,Milestones!$AA$73)&gt;=$R6),$U6,$T6)))=Milestones!$AB$73),TEXT(EDATE($D6,Milestones!$AA$73),"dd/mm/yy")&amp;" "&amp;Milestones!$AB$73&amp;" "&amp;Milestones!$AC$73&amp;";  ","")&amp;IF(AND(EDATE($D6,Milestones!$AA$74)&lt;=AsOfDate,IF($Q6=0,$W6,IF(AND($S6&lt;&gt;"",EDATE($D6,Milestones!$AA$74)&gt;=$S6),$V6,IF(AND($R6&lt;&gt;"",EDATE($D6,Milestones!$AA$74)&gt;=$R6),$U6,$T6)))=Milestones!$AB$74),TEXT(EDATE($D6,Milestones!$AA$74),"dd/mm/yy")&amp;" "&amp;Milestones!$AB$74&amp;" "&amp;Milestones!$AC$74&amp;";  ","")&amp;IF(AND(EDATE($D6,Milestones!$AA$75)&lt;=AsOfDate,IF($Q6=0,$W6,IF(AND($S6&lt;&gt;"",EDATE($D6,Milestones!$AA$75)&gt;=$S6),$V6,IF(AND($R6&lt;&gt;"",EDATE($D6,Milestones!$AA$75)&gt;=$R6),$U6,$T6)))=Milestones!$AB$75),TEXT(EDATE($D6,Milestones!$AA$75),"dd/mm/yy")&amp;" "&amp;Milestones!$AB$75&amp;" "&amp;Milestones!$AC$75&amp;";  ","")&amp;IF(AND(EDATE($D6,Milestones!$AA$76)&lt;=AsOfDate,IF($Q6=0,$W6,IF(AND($S6&lt;&gt;"",EDATE($D6,Milestones!$AA$76)&gt;=$S6),$V6,IF(AND($R6&lt;&gt;"",EDATE($D6,Milestones!$AA$76)&gt;=$R6),$U6,$T6)))=Milestones!$AB$76),TEXT(EDATE($D6,Milestones!$AA$76),"dd/mm/yy")&amp;" "&amp;Milestones!$AB$76&amp;" "&amp;Milestones!$AC$76&amp;";  ","")&amp;IF(AND(EDATE($D6,Milestones!$AA$77)&lt;=AsOfDate,IF($Q6=0,$W6,IF(AND($S6&lt;&gt;"",EDATE($D6,Milestones!$AA$77)&gt;=$S6),$V6,IF(AND($R6&lt;&gt;"",EDATE($D6,Milestones!$AA$77)&gt;=$R6),$U6,$T6)))=Milestones!$AB$77),TEXT(EDATE($D6,Milestones!$AA$77),"dd/mm/yy")&amp;" "&amp;Milestones!$AB$77&amp;" "&amp;Milestones!$AC$77&amp;";  ","")&amp;IF(AND(EDATE($D6,Milestones!$AA$78)&lt;=AsOfDate,IF($Q6=0,$W6,IF(AND($S6&lt;&gt;"",EDATE($D6,Milestones!$AA$78)&gt;=$S6),$V6,IF(AND($R6&lt;&gt;"",EDATE($D6,Milestones!$AA$78)&gt;=$R6),$U6,$T6)))=Milestones!$AB$78),TEXT(EDATE($D6,Milestones!$AA$78),"dd/mm/yy")&amp;" "&amp;Milestones!$AB$78&amp;" "&amp;Milestones!$AC$78&amp;";  ","")&amp;IF(AND(EDATE($D6,Milestones!$AA$79)&lt;=AsOfDate,IF($Q6=0,$W6,IF(AND($S6&lt;&gt;"",EDATE($D6,Milestones!$AA$79)&gt;=$S6),$V6,IF(AND($R6&lt;&gt;"",EDATE($D6,Milestones!$AA$79)&gt;=$R6),$U6,$T6)))=Milestones!$AB$79),TEXT(EDATE($D6,Milestones!$AA$79),"dd/mm/yy")&amp;" "&amp;Milestones!$AB$79&amp;" "&amp;Milestones!$AC$79&amp;";  ",""))</f>
        <v/>
      </c>
      <c r="K6" s="0" t="str">
        <f aca="false">IF(OR($A6="",$D6=""),"",IF(AND(EDATE($D6,Milestones!$AA$80)&lt;=AsOfDate,IF($Q6=0,$W6,IF(AND($S6&lt;&gt;"",EDATE($D6,Milestones!$AA$80)&gt;=$S6),$V6,IF(AND($R6&lt;&gt;"",EDATE($D6,Milestones!$AA$80)&gt;=$R6),$U6,$T6)))=Milestones!$AB$80),TEXT(EDATE($D6,Milestones!$AA$80),"dd/mm/yy")&amp;" "&amp;Milestones!$AB$80&amp;" "&amp;Milestones!$AC$80&amp;";  ","")&amp;IF(AND(EDATE($D6,Milestones!$AA$81)&lt;=AsOfDate,IF($Q6=0,$W6,IF(AND($S6&lt;&gt;"",EDATE($D6,Milestones!$AA$81)&gt;=$S6),$V6,IF(AND($R6&lt;&gt;"",EDATE($D6,Milestones!$AA$81)&gt;=$R6),$U6,$T6)))=Milestones!$AB$81),TEXT(EDATE($D6,Milestones!$AA$81),"dd/mm/yy")&amp;" "&amp;Milestones!$AB$81&amp;" "&amp;Milestones!$AC$81&amp;";  ","")&amp;IF(AND(EDATE($D6,Milestones!$AA$82)&lt;=AsOfDate,IF($Q6=0,$W6,IF(AND($S6&lt;&gt;"",EDATE($D6,Milestones!$AA$82)&gt;=$S6),$V6,IF(AND($R6&lt;&gt;"",EDATE($D6,Milestones!$AA$82)&gt;=$R6),$U6,$T6)))=Milestones!$AB$82),TEXT(EDATE($D6,Milestones!$AA$82),"dd/mm/yy")&amp;" "&amp;Milestones!$AB$82&amp;" "&amp;Milestones!$AC$82&amp;";  ","")&amp;IF(AND(EDATE($D6,Milestones!$AA$83)&lt;=AsOfDate,IF($Q6=0,$W6,IF(AND($S6&lt;&gt;"",EDATE($D6,Milestones!$AA$83)&gt;=$S6),$V6,IF(AND($R6&lt;&gt;"",EDATE($D6,Milestones!$AA$83)&gt;=$R6),$U6,$T6)))=Milestones!$AB$83),TEXT(EDATE($D6,Milestones!$AA$83),"dd/mm/yy")&amp;" "&amp;Milestones!$AB$83&amp;" "&amp;Milestones!$AC$83&amp;";  ","")&amp;IF(AND(EDATE($D6,Milestones!$AA$84)&lt;=AsOfDate,IF($Q6=0,$W6,IF(AND($S6&lt;&gt;"",EDATE($D6,Milestones!$AA$84)&gt;=$S6),$V6,IF(AND($R6&lt;&gt;"",EDATE($D6,Milestones!$AA$84)&gt;=$R6),$U6,$T6)))=Milestones!$AB$84),TEXT(EDATE($D6,Milestones!$AA$84),"dd/mm/yy")&amp;" "&amp;Milestones!$AB$84&amp;" "&amp;Milestones!$AC$84&amp;";  ","")&amp;IF(AND(EDATE($D6,Milestones!$AA$85)&lt;=AsOfDate,IF($Q6=0,$W6,IF(AND($S6&lt;&gt;"",EDATE($D6,Milestones!$AA$85)&gt;=$S6),$V6,IF(AND($R6&lt;&gt;"",EDATE($D6,Milestones!$AA$85)&gt;=$R6),$U6,$T6)))=Milestones!$AB$85),TEXT(EDATE($D6,Milestones!$AA$85),"dd/mm/yy")&amp;" "&amp;Milestones!$AB$85&amp;" "&amp;Milestones!$AC$85&amp;";  ","")&amp;IF(AND(EDATE($D6,Milestones!$AA$86)&lt;=AsOfDate,IF($Q6=0,$W6,IF(AND($S6&lt;&gt;"",EDATE($D6,Milestones!$AA$86)&gt;=$S6),$V6,IF(AND($R6&lt;&gt;"",EDATE($D6,Milestones!$AA$86)&gt;=$R6),$U6,$T6)))=Milestones!$AB$86),TEXT(EDATE($D6,Milestones!$AA$86),"dd/mm/yy")&amp;" "&amp;Milestones!$AB$86&amp;" "&amp;Milestones!$AC$86&amp;";  ","")&amp;IF(AND(EDATE($D6,Milestones!$AA$87)&lt;=AsOfDate,IF($Q6=0,$W6,IF(AND($S6&lt;&gt;"",EDATE($D6,Milestones!$AA$87)&gt;=$S6),$V6,IF(AND($R6&lt;&gt;"",EDATE($D6,Milestones!$AA$87)&gt;=$R6),$U6,$T6)))=Milestones!$AB$87),TEXT(EDATE($D6,Milestones!$AA$87),"dd/mm/yy")&amp;" "&amp;Milestones!$AB$87&amp;" "&amp;Milestones!$AC$87&amp;";  ","")&amp;IF(AND(EDATE($D6,Milestones!$AA$88)&lt;=AsOfDate,IF($Q6=0,$W6,IF(AND($S6&lt;&gt;"",EDATE($D6,Milestones!$AA$88)&gt;=$S6),$V6,IF(AND($R6&lt;&gt;"",EDATE($D6,Milestones!$AA$88)&gt;=$R6),$U6,$T6)))=Milestones!$AB$88),TEXT(EDATE($D6,Milestones!$AA$88),"dd/mm/yy")&amp;" "&amp;Milestones!$AB$88&amp;" "&amp;Milestones!$AC$88&amp;";  ","")&amp;IF(AND(EDATE($D6,Milestones!$AA$89)&lt;=AsOfDate,IF($Q6=0,$W6,IF(AND($S6&lt;&gt;"",EDATE($D6,Milestones!$AA$89)&gt;=$S6),$V6,IF(AND($R6&lt;&gt;"",EDATE($D6,Milestones!$AA$89)&gt;=$R6),$U6,$T6)))=Milestones!$AB$89),TEXT(EDATE($D6,Milestones!$AA$89),"dd/mm/yy")&amp;" "&amp;Milestones!$AB$89&amp;" "&amp;Milestones!$AC$89&amp;";  ","")&amp;IF(AND(EDATE($D6,Milestones!$AA$90)&lt;=AsOfDate,IF($Q6=0,$W6,IF(AND($S6&lt;&gt;"",EDATE($D6,Milestones!$AA$90)&gt;=$S6),$V6,IF(AND($R6&lt;&gt;"",EDATE($D6,Milestones!$AA$90)&gt;=$R6),$U6,$T6)))=Milestones!$AB$90),TEXT(EDATE($D6,Milestones!$AA$90),"dd/mm/yy")&amp;" "&amp;Milestones!$AB$90&amp;" "&amp;Milestones!$AC$90&amp;";  ","")&amp;IF(AND(EDATE($D6,Milestones!$AA$91)&lt;=AsOfDate,IF($Q6=0,$W6,IF(AND($S6&lt;&gt;"",EDATE($D6,Milestones!$AA$91)&gt;=$S6),$V6,IF(AND($R6&lt;&gt;"",EDATE($D6,Milestones!$AA$91)&gt;=$R6),$U6,$T6)))=Milestones!$AB$91),TEXT(EDATE($D6,Milestones!$AA$91),"dd/mm/yy")&amp;" "&amp;Milestones!$AB$91&amp;" "&amp;Milestones!$AC$91&amp;";  ","")&amp;IF(AND(EDATE($D6,Milestones!$AA$92)&lt;=AsOfDate,IF($Q6=0,$W6,IF(AND($S6&lt;&gt;"",EDATE($D6,Milestones!$AA$92)&gt;=$S6),$V6,IF(AND($R6&lt;&gt;"",EDATE($D6,Milestones!$AA$92)&gt;=$R6),$U6,$T6)))=Milestones!$AB$92),TEXT(EDATE($D6,Milestones!$AA$92),"dd/mm/yy")&amp;" "&amp;Milestones!$AB$92&amp;" "&amp;Milestones!$AC$92&amp;";  ","")&amp;IF(AND(EDATE($D6,Milestones!$AA$93)&lt;=AsOfDate,IF($Q6=0,$W6,IF(AND($S6&lt;&gt;"",EDATE($D6,Milestones!$AA$93)&gt;=$S6),$V6,IF(AND($R6&lt;&gt;"",EDATE($D6,Milestones!$AA$93)&gt;=$R6),$U6,$T6)))=Milestones!$AB$93),TEXT(EDATE($D6,Milestones!$AA$93),"dd/mm/yy")&amp;" "&amp;Milestones!$AB$93&amp;" "&amp;Milestones!$AC$93&amp;";  ","")&amp;IF(AND(EDATE($D6,Milestones!$AA$94)&lt;=AsOfDate,IF($Q6=0,$W6,IF(AND($S6&lt;&gt;"",EDATE($D6,Milestones!$AA$94)&gt;=$S6),$V6,IF(AND($R6&lt;&gt;"",EDATE($D6,Milestones!$AA$94)&gt;=$R6),$U6,$T6)))=Milestones!$AB$94),TEXT(EDATE($D6,Milestones!$AA$94),"dd/mm/yy")&amp;" "&amp;Milestones!$AB$94&amp;" "&amp;Milestones!$AC$94&amp;";  ","")&amp;IF(AND(EDATE($D6,Milestones!$AA$95)&lt;=AsOfDate,IF($Q6=0,$W6,IF(AND($S6&lt;&gt;"",EDATE($D6,Milestones!$AA$95)&gt;=$S6),$V6,IF(AND($R6&lt;&gt;"",EDATE($D6,Milestones!$AA$95)&gt;=$R6),$U6,$T6)))=Milestones!$AB$95),TEXT(EDATE($D6,Milestones!$AA$95),"dd/mm/yy")&amp;" "&amp;Milestones!$AB$95&amp;" "&amp;Milestones!$AC$95&amp;";  ","")&amp;IF(AND(EDATE($D6,Milestones!$AA$96)&lt;=AsOfDate,IF($Q6=0,$W6,IF(AND($S6&lt;&gt;"",EDATE($D6,Milestones!$AA$96)&gt;=$S6),$V6,IF(AND($R6&lt;&gt;"",EDATE($D6,Milestones!$AA$96)&gt;=$R6),$U6,$T6)))=Milestones!$AB$96),TEXT(EDATE($D6,Milestones!$AA$96),"dd/mm/yy")&amp;" "&amp;Milestones!$AB$96&amp;" "&amp;Milestones!$AC$96&amp;";  ","")&amp;IF(AND(EDATE($D6,Milestones!$AA$97)&lt;=AsOfDate,IF($Q6=0,$W6,IF(AND($S6&lt;&gt;"",EDATE($D6,Milestones!$AA$97)&gt;=$S6),$V6,IF(AND($R6&lt;&gt;"",EDATE($D6,Milestones!$AA$97)&gt;=$R6),$U6,$T6)))=Milestones!$AB$97),TEXT(EDATE($D6,Milestones!$AA$97),"dd/mm/yy")&amp;" "&amp;Milestones!$AB$97&amp;" "&amp;Milestones!$AC$97&amp;";  ","")&amp;IF(AND(EDATE($D6,Milestones!$AA$98)&lt;=AsOfDate,IF($Q6=0,$W6,IF(AND($S6&lt;&gt;"",EDATE($D6,Milestones!$AA$98)&gt;=$S6),$V6,IF(AND($R6&lt;&gt;"",EDATE($D6,Milestones!$AA$98)&gt;=$R6),$U6,$T6)))=Milestones!$AB$98),TEXT(EDATE($D6,Milestones!$AA$98),"dd/mm/yy")&amp;" "&amp;Milestones!$AB$98&amp;" "&amp;Milestones!$AC$98&amp;";  ","")&amp;IF(AND(EDATE($D6,Milestones!$AA$99)&lt;=AsOfDate,IF($Q6=0,$W6,IF(AND($S6&lt;&gt;"",EDATE($D6,Milestones!$AA$99)&gt;=$S6),$V6,IF(AND($R6&lt;&gt;"",EDATE($D6,Milestones!$AA$99)&gt;=$R6),$U6,$T6)))=Milestones!$AB$99),TEXT(EDATE($D6,Milestones!$AA$99),"dd/mm/yy")&amp;" "&amp;Milestones!$AB$99&amp;" "&amp;Milestones!$AC$99&amp;";  ",""))</f>
        <v/>
      </c>
      <c r="L6" s="0" t="str">
        <f aca="false">IF(OR($A6="",$D6=""),"",IF(AND(EDATE($D6,Milestones!$AA$100)&lt;=AsOfDate,IF($Q6=0,$W6,IF(AND($S6&lt;&gt;"",EDATE($D6,Milestones!$AA$100)&gt;=$S6),$V6,IF(AND($R6&lt;&gt;"",EDATE($D6,Milestones!$AA$100)&gt;=$R6),$U6,$T6)))=Milestones!$AB$100),TEXT(EDATE($D6,Milestones!$AA$100),"dd/mm/yy")&amp;" "&amp;Milestones!$AB$100&amp;" "&amp;Milestones!$AC$100&amp;";  ","")&amp;IF(AND(EDATE($D6,Milestones!$AA$101)&lt;=AsOfDate,IF($Q6=0,$W6,IF(AND($S6&lt;&gt;"",EDATE($D6,Milestones!$AA$101)&gt;=$S6),$V6,IF(AND($R6&lt;&gt;"",EDATE($D6,Milestones!$AA$101)&gt;=$R6),$U6,$T6)))=Milestones!$AB$101),TEXT(EDATE($D6,Milestones!$AA$101),"dd/mm/yy")&amp;" "&amp;Milestones!$AB$101&amp;" "&amp;Milestones!$AC$101&amp;";  ","")&amp;IF(AND(EDATE($D6,Milestones!$AA$102)&lt;=AsOfDate,IF($Q6=0,$W6,IF(AND($S6&lt;&gt;"",EDATE($D6,Milestones!$AA$102)&gt;=$S6),$V6,IF(AND($R6&lt;&gt;"",EDATE($D6,Milestones!$AA$102)&gt;=$R6),$U6,$T6)))=Milestones!$AB$102),TEXT(EDATE($D6,Milestones!$AA$102),"dd/mm/yy")&amp;" "&amp;Milestones!$AB$102&amp;" "&amp;Milestones!$AC$102&amp;";  ","")&amp;IF(AND(EDATE($D6,Milestones!$AA$103)&lt;=AsOfDate,IF($Q6=0,$W6,IF(AND($S6&lt;&gt;"",EDATE($D6,Milestones!$AA$103)&gt;=$S6),$V6,IF(AND($R6&lt;&gt;"",EDATE($D6,Milestones!$AA$103)&gt;=$R6),$U6,$T6)))=Milestones!$AB$103),TEXT(EDATE($D6,Milestones!$AA$103),"dd/mm/yy")&amp;" "&amp;Milestones!$AB$103&amp;" "&amp;Milestones!$AC$103&amp;";  ","")&amp;IF(AND(EDATE($D6,Milestones!$AA$104)&lt;=AsOfDate,IF($Q6=0,$W6,IF(AND($S6&lt;&gt;"",EDATE($D6,Milestones!$AA$104)&gt;=$S6),$V6,IF(AND($R6&lt;&gt;"",EDATE($D6,Milestones!$AA$104)&gt;=$R6),$U6,$T6)))=Milestones!$AB$104),TEXT(EDATE($D6,Milestones!$AA$104),"dd/mm/yy")&amp;" "&amp;Milestones!$AB$104&amp;" "&amp;Milestones!$AC$104&amp;";  ","")&amp;IF(AND(EDATE($D6,Milestones!$AA$105)&lt;=AsOfDate,IF($Q6=0,$W6,IF(AND($S6&lt;&gt;"",EDATE($D6,Milestones!$AA$105)&gt;=$S6),$V6,IF(AND($R6&lt;&gt;"",EDATE($D6,Milestones!$AA$105)&gt;=$R6),$U6,$T6)))=Milestones!$AB$105),TEXT(EDATE($D6,Milestones!$AA$105),"dd/mm/yy")&amp;" "&amp;Milestones!$AB$105&amp;" "&amp;Milestones!$AC$105&amp;";  ","")&amp;IF(AND(EDATE($D6,Milestones!$AA$106)&lt;=AsOfDate,IF($Q6=0,$W6,IF(AND($S6&lt;&gt;"",EDATE($D6,Milestones!$AA$106)&gt;=$S6),$V6,IF(AND($R6&lt;&gt;"",EDATE($D6,Milestones!$AA$106)&gt;=$R6),$U6,$T6)))=Milestones!$AB$106),TEXT(EDATE($D6,Milestones!$AA$106),"dd/mm/yy")&amp;" "&amp;Milestones!$AB$106&amp;" "&amp;Milestones!$AC$106&amp;";  ","")&amp;IF(AND(EDATE($D6,Milestones!$AA$107)&lt;=AsOfDate,IF($Q6=0,$W6,IF(AND($S6&lt;&gt;"",EDATE($D6,Milestones!$AA$107)&gt;=$S6),$V6,IF(AND($R6&lt;&gt;"",EDATE($D6,Milestones!$AA$107)&gt;=$R6),$U6,$T6)))=Milestones!$AB$107),TEXT(EDATE($D6,Milestones!$AA$107),"dd/mm/yy")&amp;" "&amp;Milestones!$AB$107&amp;" "&amp;Milestones!$AC$107&amp;";  ","")&amp;IF(AND(EDATE($D6,Milestones!$AA$108)&lt;=AsOfDate,IF($Q6=0,$W6,IF(AND($S6&lt;&gt;"",EDATE($D6,Milestones!$AA$108)&gt;=$S6),$V6,IF(AND($R6&lt;&gt;"",EDATE($D6,Milestones!$AA$108)&gt;=$R6),$U6,$T6)))=Milestones!$AB$108),TEXT(EDATE($D6,Milestones!$AA$108),"dd/mm/yy")&amp;" "&amp;Milestones!$AB$108&amp;" "&amp;Milestones!$AC$108&amp;";  ","")&amp;IF(AND(EDATE($D6,Milestones!$AA$109)&lt;=AsOfDate,IF($Q6=0,$W6,IF(AND($S6&lt;&gt;"",EDATE($D6,Milestones!$AA$109)&gt;=$S6),$V6,IF(AND($R6&lt;&gt;"",EDATE($D6,Milestones!$AA$109)&gt;=$R6),$U6,$T6)))=Milestones!$AB$109),TEXT(EDATE($D6,Milestones!$AA$109),"dd/mm/yy")&amp;" "&amp;Milestones!$AB$109&amp;" "&amp;Milestones!$AC$109&amp;";  ","")&amp;IF(AND(EDATE($D6,Milestones!$AA$110)&lt;=AsOfDate,IF($Q6=0,$W6,IF(AND($S6&lt;&gt;"",EDATE($D6,Milestones!$AA$110)&gt;=$S6),$V6,IF(AND($R6&lt;&gt;"",EDATE($D6,Milestones!$AA$110)&gt;=$R6),$U6,$T6)))=Milestones!$AB$110),TEXT(EDATE($D6,Milestones!$AA$110),"dd/mm/yy")&amp;" "&amp;Milestones!$AB$110&amp;" "&amp;Milestones!$AC$110&amp;";  ","")&amp;IF(AND(EDATE($D6,Milestones!$AA$111)&lt;=AsOfDate,IF($Q6=0,$W6,IF(AND($S6&lt;&gt;"",EDATE($D6,Milestones!$AA$111)&gt;=$S6),$V6,IF(AND($R6&lt;&gt;"",EDATE($D6,Milestones!$AA$111)&gt;=$R6),$U6,$T6)))=Milestones!$AB$111),TEXT(EDATE($D6,Milestones!$AA$111),"dd/mm/yy")&amp;" "&amp;Milestones!$AB$111&amp;" "&amp;Milestones!$AC$111&amp;";  ","")&amp;IF(AND(EDATE($D6,Milestones!$AA$112)&lt;=AsOfDate,IF($Q6=0,$W6,IF(AND($S6&lt;&gt;"",EDATE($D6,Milestones!$AA$112)&gt;=$S6),$V6,IF(AND($R6&lt;&gt;"",EDATE($D6,Milestones!$AA$112)&gt;=$R6),$U6,$T6)))=Milestones!$AB$112),TEXT(EDATE($D6,Milestones!$AA$112),"dd/mm/yy")&amp;" "&amp;Milestones!$AB$112&amp;" "&amp;Milestones!$AC$112&amp;";  ","")&amp;IF(AND(EDATE($D6,Milestones!$AA$113)&lt;=AsOfDate,IF($Q6=0,$W6,IF(AND($S6&lt;&gt;"",EDATE($D6,Milestones!$AA$113)&gt;=$S6),$V6,IF(AND($R6&lt;&gt;"",EDATE($D6,Milestones!$AA$113)&gt;=$R6),$U6,$T6)))=Milestones!$AB$113),TEXT(EDATE($D6,Milestones!$AA$113),"dd/mm/yy")&amp;" "&amp;Milestones!$AB$113&amp;" "&amp;Milestones!$AC$113&amp;";  ","")&amp;IF(AND(EDATE($D6,Milestones!$AA$114)&lt;=AsOfDate,IF($Q6=0,$W6,IF(AND($S6&lt;&gt;"",EDATE($D6,Milestones!$AA$114)&gt;=$S6),$V6,IF(AND($R6&lt;&gt;"",EDATE($D6,Milestones!$AA$114)&gt;=$R6),$U6,$T6)))=Milestones!$AB$114),TEXT(EDATE($D6,Milestones!$AA$114),"dd/mm/yy")&amp;" "&amp;Milestones!$AB$114&amp;" "&amp;Milestones!$AC$114&amp;";  ","")&amp;IF(AND(EDATE($D6,Milestones!$AA$115)&lt;=AsOfDate,IF($Q6=0,$W6,IF(AND($S6&lt;&gt;"",EDATE($D6,Milestones!$AA$115)&gt;=$S6),$V6,IF(AND($R6&lt;&gt;"",EDATE($D6,Milestones!$AA$115)&gt;=$R6),$U6,$T6)))=Milestones!$AB$115),TEXT(EDATE($D6,Milestones!$AA$115),"dd/mm/yy")&amp;" "&amp;Milestones!$AB$115&amp;" "&amp;Milestones!$AC$115&amp;";  ","")&amp;IF(AND(EDATE($D6,Milestones!$AA$116)&lt;=AsOfDate,IF($Q6=0,$W6,IF(AND($S6&lt;&gt;"",EDATE($D6,Milestones!$AA$116)&gt;=$S6),$V6,IF(AND($R6&lt;&gt;"",EDATE($D6,Milestones!$AA$116)&gt;=$R6),$U6,$T6)))=Milestones!$AB$116),TEXT(EDATE($D6,Milestones!$AA$116),"dd/mm/yy")&amp;" "&amp;Milestones!$AB$116&amp;" "&amp;Milestones!$AC$116&amp;";  ","")&amp;IF(AND(EDATE($D6,Milestones!$AA$117)&lt;=AsOfDate,IF($Q6=0,$W6,IF(AND($S6&lt;&gt;"",EDATE($D6,Milestones!$AA$117)&gt;=$S6),$V6,IF(AND($R6&lt;&gt;"",EDATE($D6,Milestones!$AA$117)&gt;=$R6),$U6,$T6)))=Milestones!$AB$117),TEXT(EDATE($D6,Milestones!$AA$117),"dd/mm/yy")&amp;" "&amp;Milestones!$AB$117&amp;" "&amp;Milestones!$AC$117&amp;";  ","")&amp;IF(AND(EDATE($D6,Milestones!$AA$118)&lt;=AsOfDate,IF($Q6=0,$W6,IF(AND($S6&lt;&gt;"",EDATE($D6,Milestones!$AA$118)&gt;=$S6),$V6,IF(AND($R6&lt;&gt;"",EDATE($D6,Milestones!$AA$118)&gt;=$R6),$U6,$T6)))=Milestones!$AB$118),TEXT(EDATE($D6,Milestones!$AA$118),"dd/mm/yy")&amp;" "&amp;Milestones!$AB$118&amp;" "&amp;Milestones!$AC$118&amp;";  ","")&amp;IF(AND(EDATE($D6,Milestones!$AA$119)&lt;=AsOfDate,IF($Q6=0,$W6,IF(AND($S6&lt;&gt;"",EDATE($D6,Milestones!$AA$119)&gt;=$S6),$V6,IF(AND($R6&lt;&gt;"",EDATE($D6,Milestones!$AA$119)&gt;=$R6),$U6,$T6)))=Milestones!$AB$119),TEXT(EDATE($D6,Milestones!$AA$119),"dd/mm/yy")&amp;" "&amp;Milestones!$AB$119&amp;" "&amp;Milestones!$AC$119&amp;";  ",""))</f>
        <v/>
      </c>
      <c r="M6" s="0" t="str">
        <f aca="false">IF(OR($A6="",$D6=""),"",IF(AND(EDATE($D6,Milestones!$AA$120)&lt;=AsOfDate,IF($Q6=0,$W6,IF(AND($S6&lt;&gt;"",EDATE($D6,Milestones!$AA$120)&gt;=$S6),$V6,IF(AND($R6&lt;&gt;"",EDATE($D6,Milestones!$AA$120)&gt;=$R6),$U6,$T6)))=Milestones!$AB$120),TEXT(EDATE($D6,Milestones!$AA$120),"dd/mm/yy")&amp;" "&amp;Milestones!$AB$120&amp;" "&amp;Milestones!$AC$120&amp;";  ","")&amp;IF(AND(EDATE($D6,Milestones!$AA$121)&lt;=AsOfDate,IF($Q6=0,$W6,IF(AND($S6&lt;&gt;"",EDATE($D6,Milestones!$AA$121)&gt;=$S6),$V6,IF(AND($R6&lt;&gt;"",EDATE($D6,Milestones!$AA$121)&gt;=$R6),$U6,$T6)))=Milestones!$AB$121),TEXT(EDATE($D6,Milestones!$AA$121),"dd/mm/yy")&amp;" "&amp;Milestones!$AB$121&amp;" "&amp;Milestones!$AC$121&amp;";  ","")&amp;IF(AND(EDATE($D6,Milestones!$AA$122)&lt;=AsOfDate,IF($Q6=0,$W6,IF(AND($S6&lt;&gt;"",EDATE($D6,Milestones!$AA$122)&gt;=$S6),$V6,IF(AND($R6&lt;&gt;"",EDATE($D6,Milestones!$AA$122)&gt;=$R6),$U6,$T6)))=Milestones!$AB$122),TEXT(EDATE($D6,Milestones!$AA$122),"dd/mm/yy")&amp;" "&amp;Milestones!$AB$122&amp;" "&amp;Milestones!$AC$122&amp;";  ","")&amp;IF(AND(EDATE($D6,Milestones!$AA$123)&lt;=AsOfDate,IF($Q6=0,$W6,IF(AND($S6&lt;&gt;"",EDATE($D6,Milestones!$AA$123)&gt;=$S6),$V6,IF(AND($R6&lt;&gt;"",EDATE($D6,Milestones!$AA$123)&gt;=$R6),$U6,$T6)))=Milestones!$AB$123),TEXT(EDATE($D6,Milestones!$AA$123),"dd/mm/yy")&amp;" "&amp;Milestones!$AB$123&amp;" "&amp;Milestones!$AC$123&amp;";  ","")&amp;IF(AND(EDATE($D6,Milestones!$AA$124)&lt;=AsOfDate,IF($Q6=0,$W6,IF(AND($S6&lt;&gt;"",EDATE($D6,Milestones!$AA$124)&gt;=$S6),$V6,IF(AND($R6&lt;&gt;"",EDATE($D6,Milestones!$AA$124)&gt;=$R6),$U6,$T6)))=Milestones!$AB$124),TEXT(EDATE($D6,Milestones!$AA$124),"dd/mm/yy")&amp;" "&amp;Milestones!$AB$124&amp;" "&amp;Milestones!$AC$124&amp;";  ","")&amp;IF(AND(EDATE($D6,Milestones!$AA$125)&lt;=AsOfDate,IF($Q6=0,$W6,IF(AND($S6&lt;&gt;"",EDATE($D6,Milestones!$AA$125)&gt;=$S6),$V6,IF(AND($R6&lt;&gt;"",EDATE($D6,Milestones!$AA$125)&gt;=$R6),$U6,$T6)))=Milestones!$AB$125),TEXT(EDATE($D6,Milestones!$AA$125),"dd/mm/yy")&amp;" "&amp;Milestones!$AB$125&amp;" "&amp;Milestones!$AC$125&amp;";  ","")&amp;IF(AND(EDATE($D6,Milestones!$AA$126)&lt;=AsOfDate,IF($Q6=0,$W6,IF(AND($S6&lt;&gt;"",EDATE($D6,Milestones!$AA$126)&gt;=$S6),$V6,IF(AND($R6&lt;&gt;"",EDATE($D6,Milestones!$AA$126)&gt;=$R6),$U6,$T6)))=Milestones!$AB$126),TEXT(EDATE($D6,Milestones!$AA$126),"dd/mm/yy")&amp;" "&amp;Milestones!$AB$126&amp;" "&amp;Milestones!$AC$126&amp;";  ","")&amp;IF(AND(EDATE($D6,Milestones!$AA$127)&lt;=AsOfDate,IF($Q6=0,$W6,IF(AND($S6&lt;&gt;"",EDATE($D6,Milestones!$AA$127)&gt;=$S6),$V6,IF(AND($R6&lt;&gt;"",EDATE($D6,Milestones!$AA$127)&gt;=$R6),$U6,$T6)))=Milestones!$AB$127),TEXT(EDATE($D6,Milestones!$AA$127),"dd/mm/yy")&amp;" "&amp;Milestones!$AB$127&amp;" "&amp;Milestones!$AC$127&amp;";  ","")&amp;IF(AND(EDATE($D6,Milestones!$AA$128)&lt;=AsOfDate,IF($Q6=0,$W6,IF(AND($S6&lt;&gt;"",EDATE($D6,Milestones!$AA$128)&gt;=$S6),$V6,IF(AND($R6&lt;&gt;"",EDATE($D6,Milestones!$AA$128)&gt;=$R6),$U6,$T6)))=Milestones!$AB$128),TEXT(EDATE($D6,Milestones!$AA$128),"dd/mm/yy")&amp;" "&amp;Milestones!$AB$128&amp;" "&amp;Milestones!$AC$128&amp;";  ","")&amp;IF(AND(EDATE($D6,Milestones!$AA$129)&lt;=AsOfDate,IF($Q6=0,$W6,IF(AND($S6&lt;&gt;"",EDATE($D6,Milestones!$AA$129)&gt;=$S6),$V6,IF(AND($R6&lt;&gt;"",EDATE($D6,Milestones!$AA$129)&gt;=$R6),$U6,$T6)))=Milestones!$AB$129),TEXT(EDATE($D6,Milestones!$AA$129),"dd/mm/yy")&amp;" "&amp;Milestones!$AB$129&amp;" "&amp;Milestones!$AC$129&amp;";  ","")&amp;IF(AND(EDATE($D6,Milestones!$AA$130)&lt;=AsOfDate,IF($Q6=0,$W6,IF(AND($S6&lt;&gt;"",EDATE($D6,Milestones!$AA$130)&gt;=$S6),$V6,IF(AND($R6&lt;&gt;"",EDATE($D6,Milestones!$AA$130)&gt;=$R6),$U6,$T6)))=Milestones!$AB$130),TEXT(EDATE($D6,Milestones!$AA$130),"dd/mm/yy")&amp;" "&amp;Milestones!$AB$130&amp;" "&amp;Milestones!$AC$130&amp;";  ","")&amp;IF(AND(EDATE($D6,Milestones!$AA$131)&lt;=AsOfDate,IF($Q6=0,$W6,IF(AND($S6&lt;&gt;"",EDATE($D6,Milestones!$AA$131)&gt;=$S6),$V6,IF(AND($R6&lt;&gt;"",EDATE($D6,Milestones!$AA$131)&gt;=$R6),$U6,$T6)))=Milestones!$AB$131),TEXT(EDATE($D6,Milestones!$AA$131),"dd/mm/yy")&amp;" "&amp;Milestones!$AB$131&amp;" "&amp;Milestones!$AC$131&amp;";  ","")&amp;IF(AND(EDATE($D6,Milestones!$AA$132)&lt;=AsOfDate,IF($Q6=0,$W6,IF(AND($S6&lt;&gt;"",EDATE($D6,Milestones!$AA$132)&gt;=$S6),$V6,IF(AND($R6&lt;&gt;"",EDATE($D6,Milestones!$AA$132)&gt;=$R6),$U6,$T6)))=Milestones!$AB$132),TEXT(EDATE($D6,Milestones!$AA$132),"dd/mm/yy")&amp;" "&amp;Milestones!$AB$132&amp;" "&amp;Milestones!$AC$132&amp;";  ","")&amp;IF(AND(EDATE($D6,Milestones!$AA$133)&lt;=AsOfDate,IF($Q6=0,$W6,IF(AND($S6&lt;&gt;"",EDATE($D6,Milestones!$AA$133)&gt;=$S6),$V6,IF(AND($R6&lt;&gt;"",EDATE($D6,Milestones!$AA$133)&gt;=$R6),$U6,$T6)))=Milestones!$AB$133),TEXT(EDATE($D6,Milestones!$AA$133),"dd/mm/yy")&amp;" "&amp;Milestones!$AB$133&amp;" "&amp;Milestones!$AC$133&amp;";  ","")&amp;IF(AND(EDATE($D6,Milestones!$AA$134)&lt;=AsOfDate,IF($Q6=0,$W6,IF(AND($S6&lt;&gt;"",EDATE($D6,Milestones!$AA$134)&gt;=$S6),$V6,IF(AND($R6&lt;&gt;"",EDATE($D6,Milestones!$AA$134)&gt;=$R6),$U6,$T6)))=Milestones!$AB$134),TEXT(EDATE($D6,Milestones!$AA$134),"dd/mm/yy")&amp;" "&amp;Milestones!$AB$134&amp;" "&amp;Milestones!$AC$134&amp;";  ","")&amp;IF(AND(EDATE($D6,Milestones!$AA$135)&lt;=AsOfDate,IF($Q6=0,$W6,IF(AND($S6&lt;&gt;"",EDATE($D6,Milestones!$AA$135)&gt;=$S6),$V6,IF(AND($R6&lt;&gt;"",EDATE($D6,Milestones!$AA$135)&gt;=$R6),$U6,$T6)))=Milestones!$AB$135),TEXT(EDATE($D6,Milestones!$AA$135),"dd/mm/yy")&amp;" "&amp;Milestones!$AB$135&amp;" "&amp;Milestones!$AC$135&amp;";  ","")&amp;IF(AND(EDATE($D6,Milestones!$AA$136)&lt;=AsOfDate,IF($Q6=0,$W6,IF(AND($S6&lt;&gt;"",EDATE($D6,Milestones!$AA$136)&gt;=$S6),$V6,IF(AND($R6&lt;&gt;"",EDATE($D6,Milestones!$AA$136)&gt;=$R6),$U6,$T6)))=Milestones!$AB$136),TEXT(EDATE($D6,Milestones!$AA$136),"dd/mm/yy")&amp;" "&amp;Milestones!$AB$136&amp;" "&amp;Milestones!$AC$136&amp;";  ","")&amp;IF(AND(EDATE($D6,Milestones!$AA$137)&lt;=AsOfDate,IF($Q6=0,$W6,IF(AND($S6&lt;&gt;"",EDATE($D6,Milestones!$AA$137)&gt;=$S6),$V6,IF(AND($R6&lt;&gt;"",EDATE($D6,Milestones!$AA$137)&gt;=$R6),$U6,$T6)))=Milestones!$AB$137),TEXT(EDATE($D6,Milestones!$AA$137),"dd/mm/yy")&amp;" "&amp;Milestones!$AB$137&amp;" "&amp;Milestones!$AC$137&amp;";  ","")&amp;IF(AND(EDATE($D6,Milestones!$AA$138)&lt;=AsOfDate,IF($Q6=0,$W6,IF(AND($S6&lt;&gt;"",EDATE($D6,Milestones!$AA$138)&gt;=$S6),$V6,IF(AND($R6&lt;&gt;"",EDATE($D6,Milestones!$AA$138)&gt;=$R6),$U6,$T6)))=Milestones!$AB$138),TEXT(EDATE($D6,Milestones!$AA$138),"dd/mm/yy")&amp;" "&amp;Milestones!$AB$138&amp;" "&amp;Milestones!$AC$138&amp;";  ","")&amp;IF(AND(EDATE($D6,Milestones!$AA$139)&lt;=AsOfDate,IF($Q6=0,$W6,IF(AND($S6&lt;&gt;"",EDATE($D6,Milestones!$AA$139)&gt;=$S6),$V6,IF(AND($R6&lt;&gt;"",EDATE($D6,Milestones!$AA$139)&gt;=$R6),$U6,$T6)))=Milestones!$AB$139),TEXT(EDATE($D6,Milestones!$AA$139),"dd/mm/yy")&amp;" "&amp;Milestones!$AB$139&amp;" "&amp;Milestones!$AC$139&amp;";  ",""))</f>
        <v/>
      </c>
      <c r="N6" s="0" t="str">
        <f aca="false">IF(OR($A6="",$D6=""),"",IF(AND(EDATE($D6,Milestones!$AA$140)&lt;=AsOfDate,IF($Q6=0,$W6,IF(AND($S6&lt;&gt;"",EDATE($D6,Milestones!$AA$140)&gt;=$S6),$V6,IF(AND($R6&lt;&gt;"",EDATE($D6,Milestones!$AA$140)&gt;=$R6),$U6,$T6)))=Milestones!$AB$140),TEXT(EDATE($D6,Milestones!$AA$140),"dd/mm/yy")&amp;" "&amp;Milestones!$AB$140&amp;" "&amp;Milestones!$AC$140&amp;";  ","")&amp;IF(AND(EDATE($D6,Milestones!$AA$141)&lt;=AsOfDate,IF($Q6=0,$W6,IF(AND($S6&lt;&gt;"",EDATE($D6,Milestones!$AA$141)&gt;=$S6),$V6,IF(AND($R6&lt;&gt;"",EDATE($D6,Milestones!$AA$141)&gt;=$R6),$U6,$T6)))=Milestones!$AB$141),TEXT(EDATE($D6,Milestones!$AA$141),"dd/mm/yy")&amp;" "&amp;Milestones!$AB$141&amp;" "&amp;Milestones!$AC$141&amp;";  ","")&amp;IF(AND(EDATE($D6,Milestones!$AA$142)&lt;=AsOfDate,IF($Q6=0,$W6,IF(AND($S6&lt;&gt;"",EDATE($D6,Milestones!$AA$142)&gt;=$S6),$V6,IF(AND($R6&lt;&gt;"",EDATE($D6,Milestones!$AA$142)&gt;=$R6),$U6,$T6)))=Milestones!$AB$142),TEXT(EDATE($D6,Milestones!$AA$142),"dd/mm/yy")&amp;" "&amp;Milestones!$AB$142&amp;" "&amp;Milestones!$AC$142&amp;";  ","")&amp;IF(AND(EDATE($D6,Milestones!$AA$143)&lt;=AsOfDate,IF($Q6=0,$W6,IF(AND($S6&lt;&gt;"",EDATE($D6,Milestones!$AA$143)&gt;=$S6),$V6,IF(AND($R6&lt;&gt;"",EDATE($D6,Milestones!$AA$143)&gt;=$R6),$U6,$T6)))=Milestones!$AB$143),TEXT(EDATE($D6,Milestones!$AA$143),"dd/mm/yy")&amp;" "&amp;Milestones!$AB$143&amp;" "&amp;Milestones!$AC$143&amp;";  ","")&amp;IF(AND(EDATE($D6,Milestones!$AA$144)&lt;=AsOfDate,IF($Q6=0,$W6,IF(AND($S6&lt;&gt;"",EDATE($D6,Milestones!$AA$144)&gt;=$S6),$V6,IF(AND($R6&lt;&gt;"",EDATE($D6,Milestones!$AA$144)&gt;=$R6),$U6,$T6)))=Milestones!$AB$144),TEXT(EDATE($D6,Milestones!$AA$144),"dd/mm/yy")&amp;" "&amp;Milestones!$AB$144&amp;" "&amp;Milestones!$AC$144&amp;";  ","")&amp;IF(AND(EDATE($D6,Milestones!$AA$145)&lt;=AsOfDate,IF($Q6=0,$W6,IF(AND($S6&lt;&gt;"",EDATE($D6,Milestones!$AA$145)&gt;=$S6),$V6,IF(AND($R6&lt;&gt;"",EDATE($D6,Milestones!$AA$145)&gt;=$R6),$U6,$T6)))=Milestones!$AB$145),TEXT(EDATE($D6,Milestones!$AA$145),"dd/mm/yy")&amp;" "&amp;Milestones!$AB$145&amp;" "&amp;Milestones!$AC$145&amp;";  ","")&amp;IF(AND(EDATE($D6,Milestones!$AA$146)&lt;=AsOfDate,IF($Q6=0,$W6,IF(AND($S6&lt;&gt;"",EDATE($D6,Milestones!$AA$146)&gt;=$S6),$V6,IF(AND($R6&lt;&gt;"",EDATE($D6,Milestones!$AA$146)&gt;=$R6),$U6,$T6)))=Milestones!$AB$146),TEXT(EDATE($D6,Milestones!$AA$146),"dd/mm/yy")&amp;" "&amp;Milestones!$AB$146&amp;" "&amp;Milestones!$AC$146&amp;";  ","")&amp;IF(AND(EDATE($D6,Milestones!$AA$147)&lt;=AsOfDate,IF($Q6=0,$W6,IF(AND($S6&lt;&gt;"",EDATE($D6,Milestones!$AA$147)&gt;=$S6),$V6,IF(AND($R6&lt;&gt;"",EDATE($D6,Milestones!$AA$147)&gt;=$R6),$U6,$T6)))=Milestones!$AB$147),TEXT(EDATE($D6,Milestones!$AA$147),"dd/mm/yy")&amp;" "&amp;Milestones!$AB$147&amp;" "&amp;Milestones!$AC$147&amp;";  ","")&amp;IF(AND(EDATE($D6,Milestones!$AA$148)&lt;=AsOfDate,IF($Q6=0,$W6,IF(AND($S6&lt;&gt;"",EDATE($D6,Milestones!$AA$148)&gt;=$S6),$V6,IF(AND($R6&lt;&gt;"",EDATE($D6,Milestones!$AA$148)&gt;=$R6),$U6,$T6)))=Milestones!$AB$148),TEXT(EDATE($D6,Milestones!$AA$148),"dd/mm/yy")&amp;" "&amp;Milestones!$AB$148&amp;" "&amp;Milestones!$AC$148&amp;";  ","")&amp;IF(AND(EDATE($D6,Milestones!$AA$149)&lt;=AsOfDate,IF($Q6=0,$W6,IF(AND($S6&lt;&gt;"",EDATE($D6,Milestones!$AA$149)&gt;=$S6),$V6,IF(AND($R6&lt;&gt;"",EDATE($D6,Milestones!$AA$149)&gt;=$R6),$U6,$T6)))=Milestones!$AB$149),TEXT(EDATE($D6,Milestones!$AA$149),"dd/mm/yy")&amp;" "&amp;Milestones!$AB$149&amp;" "&amp;Milestones!$AC$149&amp;";  ","")&amp;IF(AND(EDATE($D6,Milestones!$AA$150)&lt;=AsOfDate,IF($Q6=0,$W6,IF(AND($S6&lt;&gt;"",EDATE($D6,Milestones!$AA$150)&gt;=$S6),$V6,IF(AND($R6&lt;&gt;"",EDATE($D6,Milestones!$AA$150)&gt;=$R6),$U6,$T6)))=Milestones!$AB$150),TEXT(EDATE($D6,Milestones!$AA$150),"dd/mm/yy")&amp;" "&amp;Milestones!$AB$150&amp;" "&amp;Milestones!$AC$150&amp;";  ","")&amp;IF(AND(EDATE($D6,Milestones!$AA$151)&lt;=AsOfDate,IF($Q6=0,$W6,IF(AND($S6&lt;&gt;"",EDATE($D6,Milestones!$AA$151)&gt;=$S6),$V6,IF(AND($R6&lt;&gt;"",EDATE($D6,Milestones!$AA$151)&gt;=$R6),$U6,$T6)))=Milestones!$AB$151),TEXT(EDATE($D6,Milestones!$AA$151),"dd/mm/yy")&amp;" "&amp;Milestones!$AB$151&amp;" "&amp;Milestones!$AC$151&amp;";  ","")&amp;IF(AND(EDATE($D6,Milestones!$AA$152)&lt;=AsOfDate,IF($Q6=0,$W6,IF(AND($S6&lt;&gt;"",EDATE($D6,Milestones!$AA$152)&gt;=$S6),$V6,IF(AND($R6&lt;&gt;"",EDATE($D6,Milestones!$AA$152)&gt;=$R6),$U6,$T6)))=Milestones!$AB$152),TEXT(EDATE($D6,Milestones!$AA$152),"dd/mm/yy")&amp;" "&amp;Milestones!$AB$152&amp;" "&amp;Milestones!$AC$152&amp;";  ","")&amp;IF(AND(EDATE($D6,Milestones!$AA$153)&lt;=AsOfDate,IF($Q6=0,$W6,IF(AND($S6&lt;&gt;"",EDATE($D6,Milestones!$AA$153)&gt;=$S6),$V6,IF(AND($R6&lt;&gt;"",EDATE($D6,Milestones!$AA$153)&gt;=$R6),$U6,$T6)))=Milestones!$AB$153),TEXT(EDATE($D6,Milestones!$AA$153),"dd/mm/yy")&amp;" "&amp;Milestones!$AB$153&amp;" "&amp;Milestones!$AC$153&amp;";  ","")&amp;IF(AND(EDATE($D6,Milestones!$AA$154)&lt;=AsOfDate,IF($Q6=0,$W6,IF(AND($S6&lt;&gt;"",EDATE($D6,Milestones!$AA$154)&gt;=$S6),$V6,IF(AND($R6&lt;&gt;"",EDATE($D6,Milestones!$AA$154)&gt;=$R6),$U6,$T6)))=Milestones!$AB$154),TEXT(EDATE($D6,Milestones!$AA$154),"dd/mm/yy")&amp;" "&amp;Milestones!$AB$154&amp;" "&amp;Milestones!$AC$154&amp;";  ","")&amp;IF(AND(EDATE($D6,Milestones!$AA$155)&lt;=AsOfDate,IF($Q6=0,$W6,IF(AND($S6&lt;&gt;"",EDATE($D6,Milestones!$AA$155)&gt;=$S6),$V6,IF(AND($R6&lt;&gt;"",EDATE($D6,Milestones!$AA$155)&gt;=$R6),$U6,$T6)))=Milestones!$AB$155),TEXT(EDATE($D6,Milestones!$AA$155),"dd/mm/yy")&amp;" "&amp;Milestones!$AB$155&amp;" "&amp;Milestones!$AC$155&amp;";  ","")&amp;IF(AND(EDATE($D6,Milestones!$AA$156)&lt;=AsOfDate,IF($Q6=0,$W6,IF(AND($S6&lt;&gt;"",EDATE($D6,Milestones!$AA$156)&gt;=$S6),$V6,IF(AND($R6&lt;&gt;"",EDATE($D6,Milestones!$AA$156)&gt;=$R6),$U6,$T6)))=Milestones!$AB$156),TEXT(EDATE($D6,Milestones!$AA$156),"dd/mm/yy")&amp;" "&amp;Milestones!$AB$156&amp;" "&amp;Milestones!$AC$156&amp;";  ","")&amp;IF(AND(EDATE($D6,Milestones!$AA$157)&lt;=AsOfDate,IF($Q6=0,$W6,IF(AND($S6&lt;&gt;"",EDATE($D6,Milestones!$AA$157)&gt;=$S6),$V6,IF(AND($R6&lt;&gt;"",EDATE($D6,Milestones!$AA$157)&gt;=$R6),$U6,$T6)))=Milestones!$AB$157),TEXT(EDATE($D6,Milestones!$AA$157),"dd/mm/yy")&amp;" "&amp;Milestones!$AB$157&amp;" "&amp;Milestones!$AC$157&amp;";  ","")&amp;IF(AND(EDATE($D6,Milestones!$AA$158)&lt;=AsOfDate,IF($Q6=0,$W6,IF(AND($S6&lt;&gt;"",EDATE($D6,Milestones!$AA$158)&gt;=$S6),$V6,IF(AND($R6&lt;&gt;"",EDATE($D6,Milestones!$AA$158)&gt;=$R6),$U6,$T6)))=Milestones!$AB$158),TEXT(EDATE($D6,Milestones!$AA$158),"dd/mm/yy")&amp;" "&amp;Milestones!$AB$158&amp;" "&amp;Milestones!$AC$158&amp;";  ","")&amp;IF(AND(EDATE($D6,Milestones!$AA$159)&lt;=AsOfDate,IF($Q6=0,$W6,IF(AND($S6&lt;&gt;"",EDATE($D6,Milestones!$AA$159)&gt;=$S6),$V6,IF(AND($R6&lt;&gt;"",EDATE($D6,Milestones!$AA$159)&gt;=$R6),$U6,$T6)))=Milestones!$AB$159),TEXT(EDATE($D6,Milestones!$AA$159),"dd/mm/yy")&amp;" "&amp;Milestones!$AB$159&amp;" "&amp;Milestones!$AC$159&amp;";  ",""))</f>
        <v/>
      </c>
      <c r="O6" s="0" t="str">
        <f aca="false">IF(OR($A6="",$D6=""),"",IF(AND(EDATE($D6,Milestones!$AA$160)&lt;=AsOfDate,IF($Q6=0,$W6,IF(AND($S6&lt;&gt;"",EDATE($D6,Milestones!$AA$160)&gt;=$S6),$V6,IF(AND($R6&lt;&gt;"",EDATE($D6,Milestones!$AA$160)&gt;=$R6),$U6,$T6)))=Milestones!$AB$160),TEXT(EDATE($D6,Milestones!$AA$160),"dd/mm/yy")&amp;" "&amp;Milestones!$AB$160&amp;" "&amp;Milestones!$AC$160&amp;";  ","")&amp;IF(AND(EDATE($D6,Milestones!$AA$161)&lt;=AsOfDate,IF($Q6=0,$W6,IF(AND($S6&lt;&gt;"",EDATE($D6,Milestones!$AA$161)&gt;=$S6),$V6,IF(AND($R6&lt;&gt;"",EDATE($D6,Milestones!$AA$161)&gt;=$R6),$U6,$T6)))=Milestones!$AB$161),TEXT(EDATE($D6,Milestones!$AA$161),"dd/mm/yy")&amp;" "&amp;Milestones!$AB$161&amp;" "&amp;Milestones!$AC$161&amp;";  ","")&amp;IF(AND(EDATE($D6,Milestones!$AA$162)&lt;=AsOfDate,IF($Q6=0,$W6,IF(AND($S6&lt;&gt;"",EDATE($D6,Milestones!$AA$162)&gt;=$S6),$V6,IF(AND($R6&lt;&gt;"",EDATE($D6,Milestones!$AA$162)&gt;=$R6),$U6,$T6)))=Milestones!$AB$162),TEXT(EDATE($D6,Milestones!$AA$162),"dd/mm/yy")&amp;" "&amp;Milestones!$AB$162&amp;" "&amp;Milestones!$AC$162&amp;";  ","")&amp;IF(AND(EDATE($D6,Milestones!$AA$163)&lt;=AsOfDate,IF($Q6=0,$W6,IF(AND($S6&lt;&gt;"",EDATE($D6,Milestones!$AA$163)&gt;=$S6),$V6,IF(AND($R6&lt;&gt;"",EDATE($D6,Milestones!$AA$163)&gt;=$R6),$U6,$T6)))=Milestones!$AB$163),TEXT(EDATE($D6,Milestones!$AA$163),"dd/mm/yy")&amp;" "&amp;Milestones!$AB$163&amp;" "&amp;Milestones!$AC$163&amp;";  ","")&amp;IF(AND(EDATE($D6,Milestones!$AA$164)&lt;=AsOfDate,IF($Q6=0,$W6,IF(AND($S6&lt;&gt;"",EDATE($D6,Milestones!$AA$164)&gt;=$S6),$V6,IF(AND($R6&lt;&gt;"",EDATE($D6,Milestones!$AA$164)&gt;=$R6),$U6,$T6)))=Milestones!$AB$164),TEXT(EDATE($D6,Milestones!$AA$164),"dd/mm/yy")&amp;" "&amp;Milestones!$AB$164&amp;" "&amp;Milestones!$AC$164&amp;";  ","")&amp;IF(AND(EDATE($D6,Milestones!$AA$165)&lt;=AsOfDate,IF($Q6=0,$W6,IF(AND($S6&lt;&gt;"",EDATE($D6,Milestones!$AA$165)&gt;=$S6),$V6,IF(AND($R6&lt;&gt;"",EDATE($D6,Milestones!$AA$165)&gt;=$R6),$U6,$T6)))=Milestones!$AB$165),TEXT(EDATE($D6,Milestones!$AA$165),"dd/mm/yy")&amp;" "&amp;Milestones!$AB$165&amp;" "&amp;Milestones!$AC$165&amp;";  ","")&amp;IF(AND(EDATE($D6,Milestones!$AA$166)&lt;=AsOfDate,IF($Q6=0,$W6,IF(AND($S6&lt;&gt;"",EDATE($D6,Milestones!$AA$166)&gt;=$S6),$V6,IF(AND($R6&lt;&gt;"",EDATE($D6,Milestones!$AA$166)&gt;=$R6),$U6,$T6)))=Milestones!$AB$166),TEXT(EDATE($D6,Milestones!$AA$166),"dd/mm/yy")&amp;" "&amp;Milestones!$AB$166&amp;" "&amp;Milestones!$AC$166&amp;";  ","")&amp;IF(AND(EDATE($D6,Milestones!$AA$167)&lt;=AsOfDate,IF($Q6=0,$W6,IF(AND($S6&lt;&gt;"",EDATE($D6,Milestones!$AA$167)&gt;=$S6),$V6,IF(AND($R6&lt;&gt;"",EDATE($D6,Milestones!$AA$167)&gt;=$R6),$U6,$T6)))=Milestones!$AB$167),TEXT(EDATE($D6,Milestones!$AA$167),"dd/mm/yy")&amp;" "&amp;Milestones!$AB$167&amp;" "&amp;Milestones!$AC$167&amp;";  ","")&amp;IF(AND(EDATE($D6,Milestones!$AA$168)&lt;=AsOfDate,IF($Q6=0,$W6,IF(AND($S6&lt;&gt;"",EDATE($D6,Milestones!$AA$168)&gt;=$S6),$V6,IF(AND($R6&lt;&gt;"",EDATE($D6,Milestones!$AA$168)&gt;=$R6),$U6,$T6)))=Milestones!$AB$168),TEXT(EDATE($D6,Milestones!$AA$168),"dd/mm/yy")&amp;" "&amp;Milestones!$AB$168&amp;" "&amp;Milestones!$AC$168&amp;";  ","")&amp;IF(AND(EDATE($D6,Milestones!$AA$169)&lt;=AsOfDate,IF($Q6=0,$W6,IF(AND($S6&lt;&gt;"",EDATE($D6,Milestones!$AA$169)&gt;=$S6),$V6,IF(AND($R6&lt;&gt;"",EDATE($D6,Milestones!$AA$169)&gt;=$R6),$U6,$T6)))=Milestones!$AB$169),TEXT(EDATE($D6,Milestones!$AA$169),"dd/mm/yy")&amp;" "&amp;Milestones!$AB$169&amp;" "&amp;Milestones!$AC$169&amp;";  ","")&amp;IF(AND(EDATE($D6,Milestones!$AA$170)&lt;=AsOfDate,IF($Q6=0,$W6,IF(AND($S6&lt;&gt;"",EDATE($D6,Milestones!$AA$170)&gt;=$S6),$V6,IF(AND($R6&lt;&gt;"",EDATE($D6,Milestones!$AA$170)&gt;=$R6),$U6,$T6)))=Milestones!$AB$170),TEXT(EDATE($D6,Milestones!$AA$170),"dd/mm/yy")&amp;" "&amp;Milestones!$AB$170&amp;" "&amp;Milestones!$AC$170&amp;";  ","")&amp;IF(AND(EDATE($D6,Milestones!$AA$171)&lt;=AsOfDate,IF($Q6=0,$W6,IF(AND($S6&lt;&gt;"",EDATE($D6,Milestones!$AA$171)&gt;=$S6),$V6,IF(AND($R6&lt;&gt;"",EDATE($D6,Milestones!$AA$171)&gt;=$R6),$U6,$T6)))=Milestones!$AB$171),TEXT(EDATE($D6,Milestones!$AA$171),"dd/mm/yy")&amp;" "&amp;Milestones!$AB$171&amp;" "&amp;Milestones!$AC$171&amp;";  ","")&amp;IF(AND(EDATE($D6,Milestones!$AA$172)&lt;=AsOfDate,IF($Q6=0,$W6,IF(AND($S6&lt;&gt;"",EDATE($D6,Milestones!$AA$172)&gt;=$S6),$V6,IF(AND($R6&lt;&gt;"",EDATE($D6,Milestones!$AA$172)&gt;=$R6),$U6,$T6)))=Milestones!$AB$172),TEXT(EDATE($D6,Milestones!$AA$172),"dd/mm/yy")&amp;" "&amp;Milestones!$AB$172&amp;" "&amp;Milestones!$AC$172&amp;";  ","")&amp;IF(AND(EDATE($D6,Milestones!$AA$173)&lt;=AsOfDate,IF($Q6=0,$W6,IF(AND($S6&lt;&gt;"",EDATE($D6,Milestones!$AA$173)&gt;=$S6),$V6,IF(AND($R6&lt;&gt;"",EDATE($D6,Milestones!$AA$173)&gt;=$R6),$U6,$T6)))=Milestones!$AB$173),TEXT(EDATE($D6,Milestones!$AA$173),"dd/mm/yy")&amp;" "&amp;Milestones!$AB$173&amp;" "&amp;Milestones!$AC$173&amp;";  ","")&amp;IF(AND(EDATE($D6,Milestones!$AA$174)&lt;=AsOfDate,IF($Q6=0,$W6,IF(AND($S6&lt;&gt;"",EDATE($D6,Milestones!$AA$174)&gt;=$S6),$V6,IF(AND($R6&lt;&gt;"",EDATE($D6,Milestones!$AA$174)&gt;=$R6),$U6,$T6)))=Milestones!$AB$174),TEXT(EDATE($D6,Milestones!$AA$174),"dd/mm/yy")&amp;" "&amp;Milestones!$AB$174&amp;" "&amp;Milestones!$AC$174&amp;";  ","")&amp;IF(AND(EDATE($D6,Milestones!$AA$175)&lt;=AsOfDate,IF($Q6=0,$W6,IF(AND($S6&lt;&gt;"",EDATE($D6,Milestones!$AA$175)&gt;=$S6),$V6,IF(AND($R6&lt;&gt;"",EDATE($D6,Milestones!$AA$175)&gt;=$R6),$U6,$T6)))=Milestones!$AB$175),TEXT(EDATE($D6,Milestones!$AA$175),"dd/mm/yy")&amp;" "&amp;Milestones!$AB$175&amp;" "&amp;Milestones!$AC$175&amp;";  ","")&amp;IF(AND(EDATE($D6,Milestones!$AA$176)&lt;=AsOfDate,IF($Q6=0,$W6,IF(AND($S6&lt;&gt;"",EDATE($D6,Milestones!$AA$176)&gt;=$S6),$V6,IF(AND($R6&lt;&gt;"",EDATE($D6,Milestones!$AA$176)&gt;=$R6),$U6,$T6)))=Milestones!$AB$176),TEXT(EDATE($D6,Milestones!$AA$176),"dd/mm/yy")&amp;" "&amp;Milestones!$AB$176&amp;" "&amp;Milestones!$AC$176&amp;";  ","")&amp;IF(AND(EDATE($D6,Milestones!$AA$177)&lt;=AsOfDate,IF($Q6=0,$W6,IF(AND($S6&lt;&gt;"",EDATE($D6,Milestones!$AA$177)&gt;=$S6),$V6,IF(AND($R6&lt;&gt;"",EDATE($D6,Milestones!$AA$177)&gt;=$R6),$U6,$T6)))=Milestones!$AB$177),TEXT(EDATE($D6,Milestones!$AA$177),"dd/mm/yy")&amp;" "&amp;Milestones!$AB$177&amp;" "&amp;Milestones!$AC$177&amp;";  ","")&amp;IF(AND(EDATE($D6,Milestones!$AA$178)&lt;=AsOfDate,IF($Q6=0,$W6,IF(AND($S6&lt;&gt;"",EDATE($D6,Milestones!$AA$178)&gt;=$S6),$V6,IF(AND($R6&lt;&gt;"",EDATE($D6,Milestones!$AA$178)&gt;=$R6),$U6,$T6)))=Milestones!$AB$178),TEXT(EDATE($D6,Milestones!$AA$178),"dd/mm/yy")&amp;" "&amp;Milestones!$AB$178&amp;" "&amp;Milestones!$AC$178&amp;";  ","")&amp;IF(AND(EDATE($D6,Milestones!$AA$179)&lt;=AsOfDate,IF($Q6=0,$W6,IF(AND($S6&lt;&gt;"",EDATE($D6,Milestones!$AA$179)&gt;=$S6),$V6,IF(AND($R6&lt;&gt;"",EDATE($D6,Milestones!$AA$179)&gt;=$R6),$U6,$T6)))=Milestones!$AB$179),TEXT(EDATE($D6,Milestones!$AA$179),"dd/mm/yy")&amp;" "&amp;Milestones!$AB$179&amp;" "&amp;Milestones!$AC$179&amp;";  ",""))</f>
        <v/>
      </c>
      <c r="P6" s="0" t="str">
        <f aca="false">IF(OR($A6="",$D6=""),"",IF(AND(EDATE($D6,Milestones!$AA$180)&lt;=AsOfDate,IF($Q6=0,$W6,IF(AND($S6&lt;&gt;"",EDATE($D6,Milestones!$AA$180)&gt;=$S6),$V6,IF(AND($R6&lt;&gt;"",EDATE($D6,Milestones!$AA$180)&gt;=$R6),$U6,$T6)))=Milestones!$AB$180),TEXT(EDATE($D6,Milestones!$AA$180),"dd/mm/yy")&amp;" "&amp;Milestones!$AB$180&amp;" "&amp;Milestones!$AC$180&amp;";  ","")&amp;IF(AND(EDATE($D6,Milestones!$AA$181)&lt;=AsOfDate,IF($Q6=0,$W6,IF(AND($S6&lt;&gt;"",EDATE($D6,Milestones!$AA$181)&gt;=$S6),$V6,IF(AND($R6&lt;&gt;"",EDATE($D6,Milestones!$AA$181)&gt;=$R6),$U6,$T6)))=Milestones!$AB$181),TEXT(EDATE($D6,Milestones!$AA$181),"dd/mm/yy")&amp;" "&amp;Milestones!$AB$181&amp;" "&amp;Milestones!$AC$181&amp;";  ","")&amp;IF(AND(EDATE($D6,Milestones!$AA$182)&lt;=AsOfDate,IF($Q6=0,$W6,IF(AND($S6&lt;&gt;"",EDATE($D6,Milestones!$AA$182)&gt;=$S6),$V6,IF(AND($R6&lt;&gt;"",EDATE($D6,Milestones!$AA$182)&gt;=$R6),$U6,$T6)))=Milestones!$AB$182),TEXT(EDATE($D6,Milestones!$AA$182),"dd/mm/yy")&amp;" "&amp;Milestones!$AB$182&amp;" "&amp;Milestones!$AC$182&amp;";  ","")&amp;IF(AND(EDATE($D6,Milestones!$AA$183)&lt;=AsOfDate,IF($Q6=0,$W6,IF(AND($S6&lt;&gt;"",EDATE($D6,Milestones!$AA$183)&gt;=$S6),$V6,IF(AND($R6&lt;&gt;"",EDATE($D6,Milestones!$AA$183)&gt;=$R6),$U6,$T6)))=Milestones!$AB$183),TEXT(EDATE($D6,Milestones!$AA$183),"dd/mm/yy")&amp;" "&amp;Milestones!$AB$183&amp;" "&amp;Milestones!$AC$183&amp;";  ","")&amp;IF(AND(EDATE($D6,Milestones!$AA$184)&lt;=AsOfDate,IF($Q6=0,$W6,IF(AND($S6&lt;&gt;"",EDATE($D6,Milestones!$AA$184)&gt;=$S6),$V6,IF(AND($R6&lt;&gt;"",EDATE($D6,Milestones!$AA$184)&gt;=$R6),$U6,$T6)))=Milestones!$AB$184),TEXT(EDATE($D6,Milestones!$AA$184),"dd/mm/yy")&amp;" "&amp;Milestones!$AB$184&amp;" "&amp;Milestones!$AC$184&amp;";  ","")&amp;IF(AND(EDATE($D6,Milestones!$AA$185)&lt;=AsOfDate,IF($Q6=0,$W6,IF(AND($S6&lt;&gt;"",EDATE($D6,Milestones!$AA$185)&gt;=$S6),$V6,IF(AND($R6&lt;&gt;"",EDATE($D6,Milestones!$AA$185)&gt;=$R6),$U6,$T6)))=Milestones!$AB$185),TEXT(EDATE($D6,Milestones!$AA$185),"dd/mm/yy")&amp;" "&amp;Milestones!$AB$185&amp;" "&amp;Milestones!$AC$185&amp;";  ","")&amp;IF(AND(EDATE($D6,Milestones!$AA$186)&lt;=AsOfDate,IF($Q6=0,$W6,IF(AND($S6&lt;&gt;"",EDATE($D6,Milestones!$AA$186)&gt;=$S6),$V6,IF(AND($R6&lt;&gt;"",EDATE($D6,Milestones!$AA$186)&gt;=$R6),$U6,$T6)))=Milestones!$AB$186),TEXT(EDATE($D6,Milestones!$AA$186),"dd/mm/yy")&amp;" "&amp;Milestones!$AB$186&amp;" "&amp;Milestones!$AC$186&amp;";  ","")&amp;IF(AND(EDATE($D6,Milestones!$AA$187)&lt;=AsOfDate,IF($Q6=0,$W6,IF(AND($S6&lt;&gt;"",EDATE($D6,Milestones!$AA$187)&gt;=$S6),$V6,IF(AND($R6&lt;&gt;"",EDATE($D6,Milestones!$AA$187)&gt;=$R6),$U6,$T6)))=Milestones!$AB$187),TEXT(EDATE($D6,Milestones!$AA$187),"dd/mm/yy")&amp;" "&amp;Milestones!$AB$187&amp;" "&amp;Milestones!$AC$187&amp;";  ","")&amp;IF(AND(EDATE($D6,Milestones!$AA$188)&lt;=AsOfDate,IF($Q6=0,$W6,IF(AND($S6&lt;&gt;"",EDATE($D6,Milestones!$AA$188)&gt;=$S6),$V6,IF(AND($R6&lt;&gt;"",EDATE($D6,Milestones!$AA$188)&gt;=$R6),$U6,$T6)))=Milestones!$AB$188),TEXT(EDATE($D6,Milestones!$AA$188),"dd/mm/yy")&amp;" "&amp;Milestones!$AB$188&amp;" "&amp;Milestones!$AC$188&amp;";  ","")&amp;IF(AND(EDATE($D6,Milestones!$AA$189)&lt;=AsOfDate,IF($Q6=0,$W6,IF(AND($S6&lt;&gt;"",EDATE($D6,Milestones!$AA$189)&gt;=$S6),$V6,IF(AND($R6&lt;&gt;"",EDATE($D6,Milestones!$AA$189)&gt;=$R6),$U6,$T6)))=Milestones!$AB$189),TEXT(EDATE($D6,Milestones!$AA$189),"dd/mm/yy")&amp;" "&amp;Milestones!$AB$189&amp;" "&amp;Milestones!$AC$189&amp;";  ","")&amp;IF(AND(EDATE($D6,Milestones!$AA$190)&lt;=AsOfDate,IF($Q6=0,$W6,IF(AND($S6&lt;&gt;"",EDATE($D6,Milestones!$AA$190)&gt;=$S6),$V6,IF(AND($R6&lt;&gt;"",EDATE($D6,Milestones!$AA$190)&gt;=$R6),$U6,$T6)))=Milestones!$AB$190),TEXT(EDATE($D6,Milestones!$AA$190),"dd/mm/yy")&amp;" "&amp;Milestones!$AB$190&amp;" "&amp;Milestones!$AC$190&amp;";  ","")&amp;IF(AND(EDATE($D6,Milestones!$AA$191)&lt;=AsOfDate,IF($Q6=0,$W6,IF(AND($S6&lt;&gt;"",EDATE($D6,Milestones!$AA$191)&gt;=$S6),$V6,IF(AND($R6&lt;&gt;"",EDATE($D6,Milestones!$AA$191)&gt;=$R6),$U6,$T6)))=Milestones!$AB$191),TEXT(EDATE($D6,Milestones!$AA$191),"dd/mm/yy")&amp;" "&amp;Milestones!$AB$191&amp;" "&amp;Milestones!$AC$191&amp;";  ","")&amp;IF(AND(EDATE($D6,Milestones!$AA$192)&lt;=AsOfDate,IF($Q6=0,$W6,IF(AND($S6&lt;&gt;"",EDATE($D6,Milestones!$AA$192)&gt;=$S6),$V6,IF(AND($R6&lt;&gt;"",EDATE($D6,Milestones!$AA$192)&gt;=$R6),$U6,$T6)))=Milestones!$AB$192),TEXT(EDATE($D6,Milestones!$AA$192),"dd/mm/yy")&amp;" "&amp;Milestones!$AB$192&amp;" "&amp;Milestones!$AC$192&amp;";  ","")&amp;IF(AND(EDATE($D6,Milestones!$AA$193)&lt;=AsOfDate,IF($Q6=0,$W6,IF(AND($S6&lt;&gt;"",EDATE($D6,Milestones!$AA$193)&gt;=$S6),$V6,IF(AND($R6&lt;&gt;"",EDATE($D6,Milestones!$AA$193)&gt;=$R6),$U6,$T6)))=Milestones!$AB$193),TEXT(EDATE($D6,Milestones!$AA$193),"dd/mm/yy")&amp;" "&amp;Milestones!$AB$193&amp;" "&amp;Milestones!$AC$193&amp;";  ","")&amp;IF(AND(EDATE($D6,Milestones!$AA$194)&lt;=AsOfDate,IF($Q6=0,$W6,IF(AND($S6&lt;&gt;"",EDATE($D6,Milestones!$AA$194)&gt;=$S6),$V6,IF(AND($R6&lt;&gt;"",EDATE($D6,Milestones!$AA$194)&gt;=$R6),$U6,$T6)))=Milestones!$AB$194),TEXT(EDATE($D6,Milestones!$AA$194),"dd/mm/yy")&amp;" "&amp;Milestones!$AB$194&amp;" "&amp;Milestones!$AC$194&amp;";  ","")&amp;IF(AND(EDATE($D6,Milestones!$AA$195)&lt;=AsOfDate,IF($Q6=0,$W6,IF(AND($S6&lt;&gt;"",EDATE($D6,Milestones!$AA$195)&gt;=$S6),$V6,IF(AND($R6&lt;&gt;"",EDATE($D6,Milestones!$AA$195)&gt;=$R6),$U6,$T6)))=Milestones!$AB$195),TEXT(EDATE($D6,Milestones!$AA$195),"dd/mm/yy")&amp;" "&amp;Milestones!$AB$195&amp;" "&amp;Milestones!$AC$195&amp;";  ","")&amp;IF(AND(EDATE($D6,Milestones!$AA$196)&lt;=AsOfDate,IF($Q6=0,$W6,IF(AND($S6&lt;&gt;"",EDATE($D6,Milestones!$AA$196)&gt;=$S6),$V6,IF(AND($R6&lt;&gt;"",EDATE($D6,Milestones!$AA$196)&gt;=$R6),$U6,$T6)))=Milestones!$AB$196),TEXT(EDATE($D6,Milestones!$AA$196),"dd/mm/yy")&amp;" "&amp;Milestones!$AB$196&amp;" "&amp;Milestones!$AC$196&amp;";  ","")&amp;IF(AND(EDATE($D6,Milestones!$AA$197)&lt;=AsOfDate,IF($Q6=0,$W6,IF(AND($S6&lt;&gt;"",EDATE($D6,Milestones!$AA$197)&gt;=$S6),$V6,IF(AND($R6&lt;&gt;"",EDATE($D6,Milestones!$AA$197)&gt;=$R6),$U6,$T6)))=Milestones!$AB$197),TEXT(EDATE($D6,Milestones!$AA$197),"dd/mm/yy")&amp;" "&amp;Milestones!$AB$197&amp;" "&amp;Milestones!$AC$197&amp;";  ","")&amp;IF(AND(EDATE($D6,Milestones!$AA$198)&lt;=AsOfDate,IF($Q6=0,$W6,IF(AND($S6&lt;&gt;"",EDATE($D6,Milestones!$AA$198)&gt;=$S6),$V6,IF(AND($R6&lt;&gt;"",EDATE($D6,Milestones!$AA$198)&gt;=$R6),$U6,$T6)))=Milestones!$AB$198),TEXT(EDATE($D6,Milestones!$AA$198),"dd/mm/yy")&amp;" "&amp;Milestones!$AB$198&amp;" "&amp;Milestones!$AC$198&amp;";  ","")&amp;IF(AND(EDATE($D6,Milestones!$AA$199)&lt;=AsOfDate,IF($Q6=0,$W6,IF(AND($S6&lt;&gt;"",EDATE($D6,Milestones!$AA$199)&gt;=$S6),$V6,IF(AND($R6&lt;&gt;"",EDATE($D6,Milestones!$AA$199)&gt;=$R6),$U6,$T6)))=Milestones!$AB$199),TEXT(EDATE($D6,Milestones!$AA$199),"dd/mm/yy")&amp;" "&amp;Milestones!$AB$199&amp;" "&amp;Milestones!$AC$199&amp;";  ",""))</f>
        <v/>
      </c>
      <c r="Q6" s="0" t="str">
        <f aca="false">IF(Staff!$A6="","",Staff!$AG6)</f>
        <v/>
      </c>
      <c r="R6" s="0" t="str">
        <f aca="false">IF(Staff!$A6="","",Staff!$AI6)</f>
        <v/>
      </c>
      <c r="S6" s="0" t="str">
        <f aca="false">IF(Staff!$A6="","",Staff!$AJ6)</f>
        <v/>
      </c>
      <c r="T6" s="0" t="str">
        <f aca="false">IF(Staff!$A6="","",Staff!$AN6)</f>
        <v/>
      </c>
      <c r="U6" s="0" t="str">
        <f aca="false">IF(Staff!$A6="","",Staff!$AO6)</f>
        <v/>
      </c>
      <c r="V6" s="0" t="str">
        <f aca="false">IF(Staff!$A6="","",Staff!$AP6)</f>
        <v/>
      </c>
      <c r="W6" s="0" t="str">
        <f aca="false">IF(Staff!$A6="","",Staff!$AQ6)</f>
        <v/>
      </c>
    </row>
    <row r="7" customFormat="false" ht="15" hidden="false" customHeight="false" outlineLevel="0" collapsed="false">
      <c r="A7" s="13" t="str">
        <f aca="false">IF(Staff!$A7="","",Staff!$A7)</f>
        <v/>
      </c>
      <c r="B7" s="13" t="str">
        <f aca="false">IF(Staff!$A7="","",Staff!$B7)</f>
        <v/>
      </c>
      <c r="C7" s="13" t="str">
        <f aca="false">IF(Staff!$A7="","",Staff!$C7)</f>
        <v/>
      </c>
      <c r="D7" s="11" t="str">
        <f aca="false">IF(Staff!$A7="","",Staff!$AF7)</f>
        <v/>
      </c>
      <c r="E7" s="13" t="str">
        <f aca="false">IF(Staff!$A7="","",Staff!$O7)</f>
        <v/>
      </c>
      <c r="F7" s="13" t="str">
        <f aca="false">IF(E7="","",E7*HoursPerDay)</f>
        <v/>
      </c>
      <c r="G7" s="26" t="str">
        <f aca="false">IF($A7="","",H7&amp;I7&amp;J7&amp;K7&amp;L7&amp;M7&amp;N7&amp;O7&amp;P7)</f>
        <v/>
      </c>
      <c r="H7" s="0" t="str">
        <f aca="false">IF(OR($A7="",$D7=""),"",IF(AND(EDATE($D7,Milestones!$AA$20)&lt;=AsOfDate,IF($Q7=0,$W7,IF(AND($S7&lt;&gt;"",EDATE($D7,Milestones!$AA$20)&gt;=$S7),$V7,IF(AND($R7&lt;&gt;"",EDATE($D7,Milestones!$AA$20)&gt;=$R7),$U7,$T7)))=Milestones!$AB$20),TEXT(EDATE($D7,Milestones!$AA$20),"dd/mm/yy")&amp;" "&amp;Milestones!$AB$20&amp;" "&amp;Milestones!$AC$20&amp;";  ","")&amp;IF(AND(EDATE($D7,Milestones!$AA$21)&lt;=AsOfDate,IF($Q7=0,$W7,IF(AND($S7&lt;&gt;"",EDATE($D7,Milestones!$AA$21)&gt;=$S7),$V7,IF(AND($R7&lt;&gt;"",EDATE($D7,Milestones!$AA$21)&gt;=$R7),$U7,$T7)))=Milestones!$AB$21),TEXT(EDATE($D7,Milestones!$AA$21),"dd/mm/yy")&amp;" "&amp;Milestones!$AB$21&amp;" "&amp;Milestones!$AC$21&amp;";  ","")&amp;IF(AND(EDATE($D7,Milestones!$AA$22)&lt;=AsOfDate,IF($Q7=0,$W7,IF(AND($S7&lt;&gt;"",EDATE($D7,Milestones!$AA$22)&gt;=$S7),$V7,IF(AND($R7&lt;&gt;"",EDATE($D7,Milestones!$AA$22)&gt;=$R7),$U7,$T7)))=Milestones!$AB$22),TEXT(EDATE($D7,Milestones!$AA$22),"dd/mm/yy")&amp;" "&amp;Milestones!$AB$22&amp;" "&amp;Milestones!$AC$22&amp;";  ","")&amp;IF(AND(EDATE($D7,Milestones!$AA$23)&lt;=AsOfDate,IF($Q7=0,$W7,IF(AND($S7&lt;&gt;"",EDATE($D7,Milestones!$AA$23)&gt;=$S7),$V7,IF(AND($R7&lt;&gt;"",EDATE($D7,Milestones!$AA$23)&gt;=$R7),$U7,$T7)))=Milestones!$AB$23),TEXT(EDATE($D7,Milestones!$AA$23),"dd/mm/yy")&amp;" "&amp;Milestones!$AB$23&amp;" "&amp;Milestones!$AC$23&amp;";  ","")&amp;IF(AND(EDATE($D7,Milestones!$AA$24)&lt;=AsOfDate,IF($Q7=0,$W7,IF(AND($S7&lt;&gt;"",EDATE($D7,Milestones!$AA$24)&gt;=$S7),$V7,IF(AND($R7&lt;&gt;"",EDATE($D7,Milestones!$AA$24)&gt;=$R7),$U7,$T7)))=Milestones!$AB$24),TEXT(EDATE($D7,Milestones!$AA$24),"dd/mm/yy")&amp;" "&amp;Milestones!$AB$24&amp;" "&amp;Milestones!$AC$24&amp;";  ","")&amp;IF(AND(EDATE($D7,Milestones!$AA$25)&lt;=AsOfDate,IF($Q7=0,$W7,IF(AND($S7&lt;&gt;"",EDATE($D7,Milestones!$AA$25)&gt;=$S7),$V7,IF(AND($R7&lt;&gt;"",EDATE($D7,Milestones!$AA$25)&gt;=$R7),$U7,$T7)))=Milestones!$AB$25),TEXT(EDATE($D7,Milestones!$AA$25),"dd/mm/yy")&amp;" "&amp;Milestones!$AB$25&amp;" "&amp;Milestones!$AC$25&amp;";  ","")&amp;IF(AND(EDATE($D7,Milestones!$AA$26)&lt;=AsOfDate,IF($Q7=0,$W7,IF(AND($S7&lt;&gt;"",EDATE($D7,Milestones!$AA$26)&gt;=$S7),$V7,IF(AND($R7&lt;&gt;"",EDATE($D7,Milestones!$AA$26)&gt;=$R7),$U7,$T7)))=Milestones!$AB$26),TEXT(EDATE($D7,Milestones!$AA$26),"dd/mm/yy")&amp;" "&amp;Milestones!$AB$26&amp;" "&amp;Milestones!$AC$26&amp;";  ","")&amp;IF(AND(EDATE($D7,Milestones!$AA$27)&lt;=AsOfDate,IF($Q7=0,$W7,IF(AND($S7&lt;&gt;"",EDATE($D7,Milestones!$AA$27)&gt;=$S7),$V7,IF(AND($R7&lt;&gt;"",EDATE($D7,Milestones!$AA$27)&gt;=$R7),$U7,$T7)))=Milestones!$AB$27),TEXT(EDATE($D7,Milestones!$AA$27),"dd/mm/yy")&amp;" "&amp;Milestones!$AB$27&amp;" "&amp;Milestones!$AC$27&amp;";  ","")&amp;IF(AND(EDATE($D7,Milestones!$AA$28)&lt;=AsOfDate,IF($Q7=0,$W7,IF(AND($S7&lt;&gt;"",EDATE($D7,Milestones!$AA$28)&gt;=$S7),$V7,IF(AND($R7&lt;&gt;"",EDATE($D7,Milestones!$AA$28)&gt;=$R7),$U7,$T7)))=Milestones!$AB$28),TEXT(EDATE($D7,Milestones!$AA$28),"dd/mm/yy")&amp;" "&amp;Milestones!$AB$28&amp;" "&amp;Milestones!$AC$28&amp;";  ","")&amp;IF(AND(EDATE($D7,Milestones!$AA$29)&lt;=AsOfDate,IF($Q7=0,$W7,IF(AND($S7&lt;&gt;"",EDATE($D7,Milestones!$AA$29)&gt;=$S7),$V7,IF(AND($R7&lt;&gt;"",EDATE($D7,Milestones!$AA$29)&gt;=$R7),$U7,$T7)))=Milestones!$AB$29),TEXT(EDATE($D7,Milestones!$AA$29),"dd/mm/yy")&amp;" "&amp;Milestones!$AB$29&amp;" "&amp;Milestones!$AC$29&amp;";  ","")&amp;IF(AND(EDATE($D7,Milestones!$AA$30)&lt;=AsOfDate,IF($Q7=0,$W7,IF(AND($S7&lt;&gt;"",EDATE($D7,Milestones!$AA$30)&gt;=$S7),$V7,IF(AND($R7&lt;&gt;"",EDATE($D7,Milestones!$AA$30)&gt;=$R7),$U7,$T7)))=Milestones!$AB$30),TEXT(EDATE($D7,Milestones!$AA$30),"dd/mm/yy")&amp;" "&amp;Milestones!$AB$30&amp;" "&amp;Milestones!$AC$30&amp;";  ","")&amp;IF(AND(EDATE($D7,Milestones!$AA$31)&lt;=AsOfDate,IF($Q7=0,$W7,IF(AND($S7&lt;&gt;"",EDATE($D7,Milestones!$AA$31)&gt;=$S7),$V7,IF(AND($R7&lt;&gt;"",EDATE($D7,Milestones!$AA$31)&gt;=$R7),$U7,$T7)))=Milestones!$AB$31),TEXT(EDATE($D7,Milestones!$AA$31),"dd/mm/yy")&amp;" "&amp;Milestones!$AB$31&amp;" "&amp;Milestones!$AC$31&amp;";  ","")&amp;IF(AND(EDATE($D7,Milestones!$AA$32)&lt;=AsOfDate,IF($Q7=0,$W7,IF(AND($S7&lt;&gt;"",EDATE($D7,Milestones!$AA$32)&gt;=$S7),$V7,IF(AND($R7&lt;&gt;"",EDATE($D7,Milestones!$AA$32)&gt;=$R7),$U7,$T7)))=Milestones!$AB$32),TEXT(EDATE($D7,Milestones!$AA$32),"dd/mm/yy")&amp;" "&amp;Milestones!$AB$32&amp;" "&amp;Milestones!$AC$32&amp;";  ","")&amp;IF(AND(EDATE($D7,Milestones!$AA$33)&lt;=AsOfDate,IF($Q7=0,$W7,IF(AND($S7&lt;&gt;"",EDATE($D7,Milestones!$AA$33)&gt;=$S7),$V7,IF(AND($R7&lt;&gt;"",EDATE($D7,Milestones!$AA$33)&gt;=$R7),$U7,$T7)))=Milestones!$AB$33),TEXT(EDATE($D7,Milestones!$AA$33),"dd/mm/yy")&amp;" "&amp;Milestones!$AB$33&amp;" "&amp;Milestones!$AC$33&amp;";  ","")&amp;IF(AND(EDATE($D7,Milestones!$AA$34)&lt;=AsOfDate,IF($Q7=0,$W7,IF(AND($S7&lt;&gt;"",EDATE($D7,Milestones!$AA$34)&gt;=$S7),$V7,IF(AND($R7&lt;&gt;"",EDATE($D7,Milestones!$AA$34)&gt;=$R7),$U7,$T7)))=Milestones!$AB$34),TEXT(EDATE($D7,Milestones!$AA$34),"dd/mm/yy")&amp;" "&amp;Milestones!$AB$34&amp;" "&amp;Milestones!$AC$34&amp;";  ","")&amp;IF(AND(EDATE($D7,Milestones!$AA$35)&lt;=AsOfDate,IF($Q7=0,$W7,IF(AND($S7&lt;&gt;"",EDATE($D7,Milestones!$AA$35)&gt;=$S7),$V7,IF(AND($R7&lt;&gt;"",EDATE($D7,Milestones!$AA$35)&gt;=$R7),$U7,$T7)))=Milestones!$AB$35),TEXT(EDATE($D7,Milestones!$AA$35),"dd/mm/yy")&amp;" "&amp;Milestones!$AB$35&amp;" "&amp;Milestones!$AC$35&amp;";  ","")&amp;IF(AND(EDATE($D7,Milestones!$AA$36)&lt;=AsOfDate,IF($Q7=0,$W7,IF(AND($S7&lt;&gt;"",EDATE($D7,Milestones!$AA$36)&gt;=$S7),$V7,IF(AND($R7&lt;&gt;"",EDATE($D7,Milestones!$AA$36)&gt;=$R7),$U7,$T7)))=Milestones!$AB$36),TEXT(EDATE($D7,Milestones!$AA$36),"dd/mm/yy")&amp;" "&amp;Milestones!$AB$36&amp;" "&amp;Milestones!$AC$36&amp;";  ","")&amp;IF(AND(EDATE($D7,Milestones!$AA$37)&lt;=AsOfDate,IF($Q7=0,$W7,IF(AND($S7&lt;&gt;"",EDATE($D7,Milestones!$AA$37)&gt;=$S7),$V7,IF(AND($R7&lt;&gt;"",EDATE($D7,Milestones!$AA$37)&gt;=$R7),$U7,$T7)))=Milestones!$AB$37),TEXT(EDATE($D7,Milestones!$AA$37),"dd/mm/yy")&amp;" "&amp;Milestones!$AB$37&amp;" "&amp;Milestones!$AC$37&amp;";  ","")&amp;IF(AND(EDATE($D7,Milestones!$AA$38)&lt;=AsOfDate,IF($Q7=0,$W7,IF(AND($S7&lt;&gt;"",EDATE($D7,Milestones!$AA$38)&gt;=$S7),$V7,IF(AND($R7&lt;&gt;"",EDATE($D7,Milestones!$AA$38)&gt;=$R7),$U7,$T7)))=Milestones!$AB$38),TEXT(EDATE($D7,Milestones!$AA$38),"dd/mm/yy")&amp;" "&amp;Milestones!$AB$38&amp;" "&amp;Milestones!$AC$38&amp;";  ","")&amp;IF(AND(EDATE($D7,Milestones!$AA$39)&lt;=AsOfDate,IF($Q7=0,$W7,IF(AND($S7&lt;&gt;"",EDATE($D7,Milestones!$AA$39)&gt;=$S7),$V7,IF(AND($R7&lt;&gt;"",EDATE($D7,Milestones!$AA$39)&gt;=$R7),$U7,$T7)))=Milestones!$AB$39),TEXT(EDATE($D7,Milestones!$AA$39),"dd/mm/yy")&amp;" "&amp;Milestones!$AB$39&amp;" "&amp;Milestones!$AC$39&amp;";  ",""))</f>
        <v/>
      </c>
      <c r="I7" s="0" t="str">
        <f aca="false">IF(OR($A7="",$D7=""),"",IF(AND(EDATE($D7,Milestones!$AA$40)&lt;=AsOfDate,IF($Q7=0,$W7,IF(AND($S7&lt;&gt;"",EDATE($D7,Milestones!$AA$40)&gt;=$S7),$V7,IF(AND($R7&lt;&gt;"",EDATE($D7,Milestones!$AA$40)&gt;=$R7),$U7,$T7)))=Milestones!$AB$40),TEXT(EDATE($D7,Milestones!$AA$40),"dd/mm/yy")&amp;" "&amp;Milestones!$AB$40&amp;" "&amp;Milestones!$AC$40&amp;";  ","")&amp;IF(AND(EDATE($D7,Milestones!$AA$41)&lt;=AsOfDate,IF($Q7=0,$W7,IF(AND($S7&lt;&gt;"",EDATE($D7,Milestones!$AA$41)&gt;=$S7),$V7,IF(AND($R7&lt;&gt;"",EDATE($D7,Milestones!$AA$41)&gt;=$R7),$U7,$T7)))=Milestones!$AB$41),TEXT(EDATE($D7,Milestones!$AA$41),"dd/mm/yy")&amp;" "&amp;Milestones!$AB$41&amp;" "&amp;Milestones!$AC$41&amp;";  ","")&amp;IF(AND(EDATE($D7,Milestones!$AA$42)&lt;=AsOfDate,IF($Q7=0,$W7,IF(AND($S7&lt;&gt;"",EDATE($D7,Milestones!$AA$42)&gt;=$S7),$V7,IF(AND($R7&lt;&gt;"",EDATE($D7,Milestones!$AA$42)&gt;=$R7),$U7,$T7)))=Milestones!$AB$42),TEXT(EDATE($D7,Milestones!$AA$42),"dd/mm/yy")&amp;" "&amp;Milestones!$AB$42&amp;" "&amp;Milestones!$AC$42&amp;";  ","")&amp;IF(AND(EDATE($D7,Milestones!$AA$43)&lt;=AsOfDate,IF($Q7=0,$W7,IF(AND($S7&lt;&gt;"",EDATE($D7,Milestones!$AA$43)&gt;=$S7),$V7,IF(AND($R7&lt;&gt;"",EDATE($D7,Milestones!$AA$43)&gt;=$R7),$U7,$T7)))=Milestones!$AB$43),TEXT(EDATE($D7,Milestones!$AA$43),"dd/mm/yy")&amp;" "&amp;Milestones!$AB$43&amp;" "&amp;Milestones!$AC$43&amp;";  ","")&amp;IF(AND(EDATE($D7,Milestones!$AA$44)&lt;=AsOfDate,IF($Q7=0,$W7,IF(AND($S7&lt;&gt;"",EDATE($D7,Milestones!$AA$44)&gt;=$S7),$V7,IF(AND($R7&lt;&gt;"",EDATE($D7,Milestones!$AA$44)&gt;=$R7),$U7,$T7)))=Milestones!$AB$44),TEXT(EDATE($D7,Milestones!$AA$44),"dd/mm/yy")&amp;" "&amp;Milestones!$AB$44&amp;" "&amp;Milestones!$AC$44&amp;";  ","")&amp;IF(AND(EDATE($D7,Milestones!$AA$45)&lt;=AsOfDate,IF($Q7=0,$W7,IF(AND($S7&lt;&gt;"",EDATE($D7,Milestones!$AA$45)&gt;=$S7),$V7,IF(AND($R7&lt;&gt;"",EDATE($D7,Milestones!$AA$45)&gt;=$R7),$U7,$T7)))=Milestones!$AB$45),TEXT(EDATE($D7,Milestones!$AA$45),"dd/mm/yy")&amp;" "&amp;Milestones!$AB$45&amp;" "&amp;Milestones!$AC$45&amp;";  ","")&amp;IF(AND(EDATE($D7,Milestones!$AA$46)&lt;=AsOfDate,IF($Q7=0,$W7,IF(AND($S7&lt;&gt;"",EDATE($D7,Milestones!$AA$46)&gt;=$S7),$V7,IF(AND($R7&lt;&gt;"",EDATE($D7,Milestones!$AA$46)&gt;=$R7),$U7,$T7)))=Milestones!$AB$46),TEXT(EDATE($D7,Milestones!$AA$46),"dd/mm/yy")&amp;" "&amp;Milestones!$AB$46&amp;" "&amp;Milestones!$AC$46&amp;";  ","")&amp;IF(AND(EDATE($D7,Milestones!$AA$47)&lt;=AsOfDate,IF($Q7=0,$W7,IF(AND($S7&lt;&gt;"",EDATE($D7,Milestones!$AA$47)&gt;=$S7),$V7,IF(AND($R7&lt;&gt;"",EDATE($D7,Milestones!$AA$47)&gt;=$R7),$U7,$T7)))=Milestones!$AB$47),TEXT(EDATE($D7,Milestones!$AA$47),"dd/mm/yy")&amp;" "&amp;Milestones!$AB$47&amp;" "&amp;Milestones!$AC$47&amp;";  ","")&amp;IF(AND(EDATE($D7,Milestones!$AA$48)&lt;=AsOfDate,IF($Q7=0,$W7,IF(AND($S7&lt;&gt;"",EDATE($D7,Milestones!$AA$48)&gt;=$S7),$V7,IF(AND($R7&lt;&gt;"",EDATE($D7,Milestones!$AA$48)&gt;=$R7),$U7,$T7)))=Milestones!$AB$48),TEXT(EDATE($D7,Milestones!$AA$48),"dd/mm/yy")&amp;" "&amp;Milestones!$AB$48&amp;" "&amp;Milestones!$AC$48&amp;";  ","")&amp;IF(AND(EDATE($D7,Milestones!$AA$49)&lt;=AsOfDate,IF($Q7=0,$W7,IF(AND($S7&lt;&gt;"",EDATE($D7,Milestones!$AA$49)&gt;=$S7),$V7,IF(AND($R7&lt;&gt;"",EDATE($D7,Milestones!$AA$49)&gt;=$R7),$U7,$T7)))=Milestones!$AB$49),TEXT(EDATE($D7,Milestones!$AA$49),"dd/mm/yy")&amp;" "&amp;Milestones!$AB$49&amp;" "&amp;Milestones!$AC$49&amp;";  ","")&amp;IF(AND(EDATE($D7,Milestones!$AA$50)&lt;=AsOfDate,IF($Q7=0,$W7,IF(AND($S7&lt;&gt;"",EDATE($D7,Milestones!$AA$50)&gt;=$S7),$V7,IF(AND($R7&lt;&gt;"",EDATE($D7,Milestones!$AA$50)&gt;=$R7),$U7,$T7)))=Milestones!$AB$50),TEXT(EDATE($D7,Milestones!$AA$50),"dd/mm/yy")&amp;" "&amp;Milestones!$AB$50&amp;" "&amp;Milestones!$AC$50&amp;";  ","")&amp;IF(AND(EDATE($D7,Milestones!$AA$51)&lt;=AsOfDate,IF($Q7=0,$W7,IF(AND($S7&lt;&gt;"",EDATE($D7,Milestones!$AA$51)&gt;=$S7),$V7,IF(AND($R7&lt;&gt;"",EDATE($D7,Milestones!$AA$51)&gt;=$R7),$U7,$T7)))=Milestones!$AB$51),TEXT(EDATE($D7,Milestones!$AA$51),"dd/mm/yy")&amp;" "&amp;Milestones!$AB$51&amp;" "&amp;Milestones!$AC$51&amp;";  ","")&amp;IF(AND(EDATE($D7,Milestones!$AA$52)&lt;=AsOfDate,IF($Q7=0,$W7,IF(AND($S7&lt;&gt;"",EDATE($D7,Milestones!$AA$52)&gt;=$S7),$V7,IF(AND($R7&lt;&gt;"",EDATE($D7,Milestones!$AA$52)&gt;=$R7),$U7,$T7)))=Milestones!$AB$52),TEXT(EDATE($D7,Milestones!$AA$52),"dd/mm/yy")&amp;" "&amp;Milestones!$AB$52&amp;" "&amp;Milestones!$AC$52&amp;";  ","")&amp;IF(AND(EDATE($D7,Milestones!$AA$53)&lt;=AsOfDate,IF($Q7=0,$W7,IF(AND($S7&lt;&gt;"",EDATE($D7,Milestones!$AA$53)&gt;=$S7),$V7,IF(AND($R7&lt;&gt;"",EDATE($D7,Milestones!$AA$53)&gt;=$R7),$U7,$T7)))=Milestones!$AB$53),TEXT(EDATE($D7,Milestones!$AA$53),"dd/mm/yy")&amp;" "&amp;Milestones!$AB$53&amp;" "&amp;Milestones!$AC$53&amp;";  ","")&amp;IF(AND(EDATE($D7,Milestones!$AA$54)&lt;=AsOfDate,IF($Q7=0,$W7,IF(AND($S7&lt;&gt;"",EDATE($D7,Milestones!$AA$54)&gt;=$S7),$V7,IF(AND($R7&lt;&gt;"",EDATE($D7,Milestones!$AA$54)&gt;=$R7),$U7,$T7)))=Milestones!$AB$54),TEXT(EDATE($D7,Milestones!$AA$54),"dd/mm/yy")&amp;" "&amp;Milestones!$AB$54&amp;" "&amp;Milestones!$AC$54&amp;";  ","")&amp;IF(AND(EDATE($D7,Milestones!$AA$55)&lt;=AsOfDate,IF($Q7=0,$W7,IF(AND($S7&lt;&gt;"",EDATE($D7,Milestones!$AA$55)&gt;=$S7),$V7,IF(AND($R7&lt;&gt;"",EDATE($D7,Milestones!$AA$55)&gt;=$R7),$U7,$T7)))=Milestones!$AB$55),TEXT(EDATE($D7,Milestones!$AA$55),"dd/mm/yy")&amp;" "&amp;Milestones!$AB$55&amp;" "&amp;Milestones!$AC$55&amp;";  ","")&amp;IF(AND(EDATE($D7,Milestones!$AA$56)&lt;=AsOfDate,IF($Q7=0,$W7,IF(AND($S7&lt;&gt;"",EDATE($D7,Milestones!$AA$56)&gt;=$S7),$V7,IF(AND($R7&lt;&gt;"",EDATE($D7,Milestones!$AA$56)&gt;=$R7),$U7,$T7)))=Milestones!$AB$56),TEXT(EDATE($D7,Milestones!$AA$56),"dd/mm/yy")&amp;" "&amp;Milestones!$AB$56&amp;" "&amp;Milestones!$AC$56&amp;";  ","")&amp;IF(AND(EDATE($D7,Milestones!$AA$57)&lt;=AsOfDate,IF($Q7=0,$W7,IF(AND($S7&lt;&gt;"",EDATE($D7,Milestones!$AA$57)&gt;=$S7),$V7,IF(AND($R7&lt;&gt;"",EDATE($D7,Milestones!$AA$57)&gt;=$R7),$U7,$T7)))=Milestones!$AB$57),TEXT(EDATE($D7,Milestones!$AA$57),"dd/mm/yy")&amp;" "&amp;Milestones!$AB$57&amp;" "&amp;Milestones!$AC$57&amp;";  ","")&amp;IF(AND(EDATE($D7,Milestones!$AA$58)&lt;=AsOfDate,IF($Q7=0,$W7,IF(AND($S7&lt;&gt;"",EDATE($D7,Milestones!$AA$58)&gt;=$S7),$V7,IF(AND($R7&lt;&gt;"",EDATE($D7,Milestones!$AA$58)&gt;=$R7),$U7,$T7)))=Milestones!$AB$58),TEXT(EDATE($D7,Milestones!$AA$58),"dd/mm/yy")&amp;" "&amp;Milestones!$AB$58&amp;" "&amp;Milestones!$AC$58&amp;";  ","")&amp;IF(AND(EDATE($D7,Milestones!$AA$59)&lt;=AsOfDate,IF($Q7=0,$W7,IF(AND($S7&lt;&gt;"",EDATE($D7,Milestones!$AA$59)&gt;=$S7),$V7,IF(AND($R7&lt;&gt;"",EDATE($D7,Milestones!$AA$59)&gt;=$R7),$U7,$T7)))=Milestones!$AB$59),TEXT(EDATE($D7,Milestones!$AA$59),"dd/mm/yy")&amp;" "&amp;Milestones!$AB$59&amp;" "&amp;Milestones!$AC$59&amp;";  ",""))</f>
        <v/>
      </c>
      <c r="J7" s="0" t="str">
        <f aca="false">IF(OR($A7="",$D7=""),"",IF(AND(EDATE($D7,Milestones!$AA$60)&lt;=AsOfDate,IF($Q7=0,$W7,IF(AND($S7&lt;&gt;"",EDATE($D7,Milestones!$AA$60)&gt;=$S7),$V7,IF(AND($R7&lt;&gt;"",EDATE($D7,Milestones!$AA$60)&gt;=$R7),$U7,$T7)))=Milestones!$AB$60),TEXT(EDATE($D7,Milestones!$AA$60),"dd/mm/yy")&amp;" "&amp;Milestones!$AB$60&amp;" "&amp;Milestones!$AC$60&amp;";  ","")&amp;IF(AND(EDATE($D7,Milestones!$AA$61)&lt;=AsOfDate,IF($Q7=0,$W7,IF(AND($S7&lt;&gt;"",EDATE($D7,Milestones!$AA$61)&gt;=$S7),$V7,IF(AND($R7&lt;&gt;"",EDATE($D7,Milestones!$AA$61)&gt;=$R7),$U7,$T7)))=Milestones!$AB$61),TEXT(EDATE($D7,Milestones!$AA$61),"dd/mm/yy")&amp;" "&amp;Milestones!$AB$61&amp;" "&amp;Milestones!$AC$61&amp;";  ","")&amp;IF(AND(EDATE($D7,Milestones!$AA$62)&lt;=AsOfDate,IF($Q7=0,$W7,IF(AND($S7&lt;&gt;"",EDATE($D7,Milestones!$AA$62)&gt;=$S7),$V7,IF(AND($R7&lt;&gt;"",EDATE($D7,Milestones!$AA$62)&gt;=$R7),$U7,$T7)))=Milestones!$AB$62),TEXT(EDATE($D7,Milestones!$AA$62),"dd/mm/yy")&amp;" "&amp;Milestones!$AB$62&amp;" "&amp;Milestones!$AC$62&amp;";  ","")&amp;IF(AND(EDATE($D7,Milestones!$AA$63)&lt;=AsOfDate,IF($Q7=0,$W7,IF(AND($S7&lt;&gt;"",EDATE($D7,Milestones!$AA$63)&gt;=$S7),$V7,IF(AND($R7&lt;&gt;"",EDATE($D7,Milestones!$AA$63)&gt;=$R7),$U7,$T7)))=Milestones!$AB$63),TEXT(EDATE($D7,Milestones!$AA$63),"dd/mm/yy")&amp;" "&amp;Milestones!$AB$63&amp;" "&amp;Milestones!$AC$63&amp;";  ","")&amp;IF(AND(EDATE($D7,Milestones!$AA$64)&lt;=AsOfDate,IF($Q7=0,$W7,IF(AND($S7&lt;&gt;"",EDATE($D7,Milestones!$AA$64)&gt;=$S7),$V7,IF(AND($R7&lt;&gt;"",EDATE($D7,Milestones!$AA$64)&gt;=$R7),$U7,$T7)))=Milestones!$AB$64),TEXT(EDATE($D7,Milestones!$AA$64),"dd/mm/yy")&amp;" "&amp;Milestones!$AB$64&amp;" "&amp;Milestones!$AC$64&amp;";  ","")&amp;IF(AND(EDATE($D7,Milestones!$AA$65)&lt;=AsOfDate,IF($Q7=0,$W7,IF(AND($S7&lt;&gt;"",EDATE($D7,Milestones!$AA$65)&gt;=$S7),$V7,IF(AND($R7&lt;&gt;"",EDATE($D7,Milestones!$AA$65)&gt;=$R7),$U7,$T7)))=Milestones!$AB$65),TEXT(EDATE($D7,Milestones!$AA$65),"dd/mm/yy")&amp;" "&amp;Milestones!$AB$65&amp;" "&amp;Milestones!$AC$65&amp;";  ","")&amp;IF(AND(EDATE($D7,Milestones!$AA$66)&lt;=AsOfDate,IF($Q7=0,$W7,IF(AND($S7&lt;&gt;"",EDATE($D7,Milestones!$AA$66)&gt;=$S7),$V7,IF(AND($R7&lt;&gt;"",EDATE($D7,Milestones!$AA$66)&gt;=$R7),$U7,$T7)))=Milestones!$AB$66),TEXT(EDATE($D7,Milestones!$AA$66),"dd/mm/yy")&amp;" "&amp;Milestones!$AB$66&amp;" "&amp;Milestones!$AC$66&amp;";  ","")&amp;IF(AND(EDATE($D7,Milestones!$AA$67)&lt;=AsOfDate,IF($Q7=0,$W7,IF(AND($S7&lt;&gt;"",EDATE($D7,Milestones!$AA$67)&gt;=$S7),$V7,IF(AND($R7&lt;&gt;"",EDATE($D7,Milestones!$AA$67)&gt;=$R7),$U7,$T7)))=Milestones!$AB$67),TEXT(EDATE($D7,Milestones!$AA$67),"dd/mm/yy")&amp;" "&amp;Milestones!$AB$67&amp;" "&amp;Milestones!$AC$67&amp;";  ","")&amp;IF(AND(EDATE($D7,Milestones!$AA$68)&lt;=AsOfDate,IF($Q7=0,$W7,IF(AND($S7&lt;&gt;"",EDATE($D7,Milestones!$AA$68)&gt;=$S7),$V7,IF(AND($R7&lt;&gt;"",EDATE($D7,Milestones!$AA$68)&gt;=$R7),$U7,$T7)))=Milestones!$AB$68),TEXT(EDATE($D7,Milestones!$AA$68),"dd/mm/yy")&amp;" "&amp;Milestones!$AB$68&amp;" "&amp;Milestones!$AC$68&amp;";  ","")&amp;IF(AND(EDATE($D7,Milestones!$AA$69)&lt;=AsOfDate,IF($Q7=0,$W7,IF(AND($S7&lt;&gt;"",EDATE($D7,Milestones!$AA$69)&gt;=$S7),$V7,IF(AND($R7&lt;&gt;"",EDATE($D7,Milestones!$AA$69)&gt;=$R7),$U7,$T7)))=Milestones!$AB$69),TEXT(EDATE($D7,Milestones!$AA$69),"dd/mm/yy")&amp;" "&amp;Milestones!$AB$69&amp;" "&amp;Milestones!$AC$69&amp;";  ","")&amp;IF(AND(EDATE($D7,Milestones!$AA$70)&lt;=AsOfDate,IF($Q7=0,$W7,IF(AND($S7&lt;&gt;"",EDATE($D7,Milestones!$AA$70)&gt;=$S7),$V7,IF(AND($R7&lt;&gt;"",EDATE($D7,Milestones!$AA$70)&gt;=$R7),$U7,$T7)))=Milestones!$AB$70),TEXT(EDATE($D7,Milestones!$AA$70),"dd/mm/yy")&amp;" "&amp;Milestones!$AB$70&amp;" "&amp;Milestones!$AC$70&amp;";  ","")&amp;IF(AND(EDATE($D7,Milestones!$AA$71)&lt;=AsOfDate,IF($Q7=0,$W7,IF(AND($S7&lt;&gt;"",EDATE($D7,Milestones!$AA$71)&gt;=$S7),$V7,IF(AND($R7&lt;&gt;"",EDATE($D7,Milestones!$AA$71)&gt;=$R7),$U7,$T7)))=Milestones!$AB$71),TEXT(EDATE($D7,Milestones!$AA$71),"dd/mm/yy")&amp;" "&amp;Milestones!$AB$71&amp;" "&amp;Milestones!$AC$71&amp;";  ","")&amp;IF(AND(EDATE($D7,Milestones!$AA$72)&lt;=AsOfDate,IF($Q7=0,$W7,IF(AND($S7&lt;&gt;"",EDATE($D7,Milestones!$AA$72)&gt;=$S7),$V7,IF(AND($R7&lt;&gt;"",EDATE($D7,Milestones!$AA$72)&gt;=$R7),$U7,$T7)))=Milestones!$AB$72),TEXT(EDATE($D7,Milestones!$AA$72),"dd/mm/yy")&amp;" "&amp;Milestones!$AB$72&amp;" "&amp;Milestones!$AC$72&amp;";  ","")&amp;IF(AND(EDATE($D7,Milestones!$AA$73)&lt;=AsOfDate,IF($Q7=0,$W7,IF(AND($S7&lt;&gt;"",EDATE($D7,Milestones!$AA$73)&gt;=$S7),$V7,IF(AND($R7&lt;&gt;"",EDATE($D7,Milestones!$AA$73)&gt;=$R7),$U7,$T7)))=Milestones!$AB$73),TEXT(EDATE($D7,Milestones!$AA$73),"dd/mm/yy")&amp;" "&amp;Milestones!$AB$73&amp;" "&amp;Milestones!$AC$73&amp;";  ","")&amp;IF(AND(EDATE($D7,Milestones!$AA$74)&lt;=AsOfDate,IF($Q7=0,$W7,IF(AND($S7&lt;&gt;"",EDATE($D7,Milestones!$AA$74)&gt;=$S7),$V7,IF(AND($R7&lt;&gt;"",EDATE($D7,Milestones!$AA$74)&gt;=$R7),$U7,$T7)))=Milestones!$AB$74),TEXT(EDATE($D7,Milestones!$AA$74),"dd/mm/yy")&amp;" "&amp;Milestones!$AB$74&amp;" "&amp;Milestones!$AC$74&amp;";  ","")&amp;IF(AND(EDATE($D7,Milestones!$AA$75)&lt;=AsOfDate,IF($Q7=0,$W7,IF(AND($S7&lt;&gt;"",EDATE($D7,Milestones!$AA$75)&gt;=$S7),$V7,IF(AND($R7&lt;&gt;"",EDATE($D7,Milestones!$AA$75)&gt;=$R7),$U7,$T7)))=Milestones!$AB$75),TEXT(EDATE($D7,Milestones!$AA$75),"dd/mm/yy")&amp;" "&amp;Milestones!$AB$75&amp;" "&amp;Milestones!$AC$75&amp;";  ","")&amp;IF(AND(EDATE($D7,Milestones!$AA$76)&lt;=AsOfDate,IF($Q7=0,$W7,IF(AND($S7&lt;&gt;"",EDATE($D7,Milestones!$AA$76)&gt;=$S7),$V7,IF(AND($R7&lt;&gt;"",EDATE($D7,Milestones!$AA$76)&gt;=$R7),$U7,$T7)))=Milestones!$AB$76),TEXT(EDATE($D7,Milestones!$AA$76),"dd/mm/yy")&amp;" "&amp;Milestones!$AB$76&amp;" "&amp;Milestones!$AC$76&amp;";  ","")&amp;IF(AND(EDATE($D7,Milestones!$AA$77)&lt;=AsOfDate,IF($Q7=0,$W7,IF(AND($S7&lt;&gt;"",EDATE($D7,Milestones!$AA$77)&gt;=$S7),$V7,IF(AND($R7&lt;&gt;"",EDATE($D7,Milestones!$AA$77)&gt;=$R7),$U7,$T7)))=Milestones!$AB$77),TEXT(EDATE($D7,Milestones!$AA$77),"dd/mm/yy")&amp;" "&amp;Milestones!$AB$77&amp;" "&amp;Milestones!$AC$77&amp;";  ","")&amp;IF(AND(EDATE($D7,Milestones!$AA$78)&lt;=AsOfDate,IF($Q7=0,$W7,IF(AND($S7&lt;&gt;"",EDATE($D7,Milestones!$AA$78)&gt;=$S7),$V7,IF(AND($R7&lt;&gt;"",EDATE($D7,Milestones!$AA$78)&gt;=$R7),$U7,$T7)))=Milestones!$AB$78),TEXT(EDATE($D7,Milestones!$AA$78),"dd/mm/yy")&amp;" "&amp;Milestones!$AB$78&amp;" "&amp;Milestones!$AC$78&amp;";  ","")&amp;IF(AND(EDATE($D7,Milestones!$AA$79)&lt;=AsOfDate,IF($Q7=0,$W7,IF(AND($S7&lt;&gt;"",EDATE($D7,Milestones!$AA$79)&gt;=$S7),$V7,IF(AND($R7&lt;&gt;"",EDATE($D7,Milestones!$AA$79)&gt;=$R7),$U7,$T7)))=Milestones!$AB$79),TEXT(EDATE($D7,Milestones!$AA$79),"dd/mm/yy")&amp;" "&amp;Milestones!$AB$79&amp;" "&amp;Milestones!$AC$79&amp;";  ",""))</f>
        <v/>
      </c>
      <c r="K7" s="0" t="str">
        <f aca="false">IF(OR($A7="",$D7=""),"",IF(AND(EDATE($D7,Milestones!$AA$80)&lt;=AsOfDate,IF($Q7=0,$W7,IF(AND($S7&lt;&gt;"",EDATE($D7,Milestones!$AA$80)&gt;=$S7),$V7,IF(AND($R7&lt;&gt;"",EDATE($D7,Milestones!$AA$80)&gt;=$R7),$U7,$T7)))=Milestones!$AB$80),TEXT(EDATE($D7,Milestones!$AA$80),"dd/mm/yy")&amp;" "&amp;Milestones!$AB$80&amp;" "&amp;Milestones!$AC$80&amp;";  ","")&amp;IF(AND(EDATE($D7,Milestones!$AA$81)&lt;=AsOfDate,IF($Q7=0,$W7,IF(AND($S7&lt;&gt;"",EDATE($D7,Milestones!$AA$81)&gt;=$S7),$V7,IF(AND($R7&lt;&gt;"",EDATE($D7,Milestones!$AA$81)&gt;=$R7),$U7,$T7)))=Milestones!$AB$81),TEXT(EDATE($D7,Milestones!$AA$81),"dd/mm/yy")&amp;" "&amp;Milestones!$AB$81&amp;" "&amp;Milestones!$AC$81&amp;";  ","")&amp;IF(AND(EDATE($D7,Milestones!$AA$82)&lt;=AsOfDate,IF($Q7=0,$W7,IF(AND($S7&lt;&gt;"",EDATE($D7,Milestones!$AA$82)&gt;=$S7),$V7,IF(AND($R7&lt;&gt;"",EDATE($D7,Milestones!$AA$82)&gt;=$R7),$U7,$T7)))=Milestones!$AB$82),TEXT(EDATE($D7,Milestones!$AA$82),"dd/mm/yy")&amp;" "&amp;Milestones!$AB$82&amp;" "&amp;Milestones!$AC$82&amp;";  ","")&amp;IF(AND(EDATE($D7,Milestones!$AA$83)&lt;=AsOfDate,IF($Q7=0,$W7,IF(AND($S7&lt;&gt;"",EDATE($D7,Milestones!$AA$83)&gt;=$S7),$V7,IF(AND($R7&lt;&gt;"",EDATE($D7,Milestones!$AA$83)&gt;=$R7),$U7,$T7)))=Milestones!$AB$83),TEXT(EDATE($D7,Milestones!$AA$83),"dd/mm/yy")&amp;" "&amp;Milestones!$AB$83&amp;" "&amp;Milestones!$AC$83&amp;";  ","")&amp;IF(AND(EDATE($D7,Milestones!$AA$84)&lt;=AsOfDate,IF($Q7=0,$W7,IF(AND($S7&lt;&gt;"",EDATE($D7,Milestones!$AA$84)&gt;=$S7),$V7,IF(AND($R7&lt;&gt;"",EDATE($D7,Milestones!$AA$84)&gt;=$R7),$U7,$T7)))=Milestones!$AB$84),TEXT(EDATE($D7,Milestones!$AA$84),"dd/mm/yy")&amp;" "&amp;Milestones!$AB$84&amp;" "&amp;Milestones!$AC$84&amp;";  ","")&amp;IF(AND(EDATE($D7,Milestones!$AA$85)&lt;=AsOfDate,IF($Q7=0,$W7,IF(AND($S7&lt;&gt;"",EDATE($D7,Milestones!$AA$85)&gt;=$S7),$V7,IF(AND($R7&lt;&gt;"",EDATE($D7,Milestones!$AA$85)&gt;=$R7),$U7,$T7)))=Milestones!$AB$85),TEXT(EDATE($D7,Milestones!$AA$85),"dd/mm/yy")&amp;" "&amp;Milestones!$AB$85&amp;" "&amp;Milestones!$AC$85&amp;";  ","")&amp;IF(AND(EDATE($D7,Milestones!$AA$86)&lt;=AsOfDate,IF($Q7=0,$W7,IF(AND($S7&lt;&gt;"",EDATE($D7,Milestones!$AA$86)&gt;=$S7),$V7,IF(AND($R7&lt;&gt;"",EDATE($D7,Milestones!$AA$86)&gt;=$R7),$U7,$T7)))=Milestones!$AB$86),TEXT(EDATE($D7,Milestones!$AA$86),"dd/mm/yy")&amp;" "&amp;Milestones!$AB$86&amp;" "&amp;Milestones!$AC$86&amp;";  ","")&amp;IF(AND(EDATE($D7,Milestones!$AA$87)&lt;=AsOfDate,IF($Q7=0,$W7,IF(AND($S7&lt;&gt;"",EDATE($D7,Milestones!$AA$87)&gt;=$S7),$V7,IF(AND($R7&lt;&gt;"",EDATE($D7,Milestones!$AA$87)&gt;=$R7),$U7,$T7)))=Milestones!$AB$87),TEXT(EDATE($D7,Milestones!$AA$87),"dd/mm/yy")&amp;" "&amp;Milestones!$AB$87&amp;" "&amp;Milestones!$AC$87&amp;";  ","")&amp;IF(AND(EDATE($D7,Milestones!$AA$88)&lt;=AsOfDate,IF($Q7=0,$W7,IF(AND($S7&lt;&gt;"",EDATE($D7,Milestones!$AA$88)&gt;=$S7),$V7,IF(AND($R7&lt;&gt;"",EDATE($D7,Milestones!$AA$88)&gt;=$R7),$U7,$T7)))=Milestones!$AB$88),TEXT(EDATE($D7,Milestones!$AA$88),"dd/mm/yy")&amp;" "&amp;Milestones!$AB$88&amp;" "&amp;Milestones!$AC$88&amp;";  ","")&amp;IF(AND(EDATE($D7,Milestones!$AA$89)&lt;=AsOfDate,IF($Q7=0,$W7,IF(AND($S7&lt;&gt;"",EDATE($D7,Milestones!$AA$89)&gt;=$S7),$V7,IF(AND($R7&lt;&gt;"",EDATE($D7,Milestones!$AA$89)&gt;=$R7),$U7,$T7)))=Milestones!$AB$89),TEXT(EDATE($D7,Milestones!$AA$89),"dd/mm/yy")&amp;" "&amp;Milestones!$AB$89&amp;" "&amp;Milestones!$AC$89&amp;";  ","")&amp;IF(AND(EDATE($D7,Milestones!$AA$90)&lt;=AsOfDate,IF($Q7=0,$W7,IF(AND($S7&lt;&gt;"",EDATE($D7,Milestones!$AA$90)&gt;=$S7),$V7,IF(AND($R7&lt;&gt;"",EDATE($D7,Milestones!$AA$90)&gt;=$R7),$U7,$T7)))=Milestones!$AB$90),TEXT(EDATE($D7,Milestones!$AA$90),"dd/mm/yy")&amp;" "&amp;Milestones!$AB$90&amp;" "&amp;Milestones!$AC$90&amp;";  ","")&amp;IF(AND(EDATE($D7,Milestones!$AA$91)&lt;=AsOfDate,IF($Q7=0,$W7,IF(AND($S7&lt;&gt;"",EDATE($D7,Milestones!$AA$91)&gt;=$S7),$V7,IF(AND($R7&lt;&gt;"",EDATE($D7,Milestones!$AA$91)&gt;=$R7),$U7,$T7)))=Milestones!$AB$91),TEXT(EDATE($D7,Milestones!$AA$91),"dd/mm/yy")&amp;" "&amp;Milestones!$AB$91&amp;" "&amp;Milestones!$AC$91&amp;";  ","")&amp;IF(AND(EDATE($D7,Milestones!$AA$92)&lt;=AsOfDate,IF($Q7=0,$W7,IF(AND($S7&lt;&gt;"",EDATE($D7,Milestones!$AA$92)&gt;=$S7),$V7,IF(AND($R7&lt;&gt;"",EDATE($D7,Milestones!$AA$92)&gt;=$R7),$U7,$T7)))=Milestones!$AB$92),TEXT(EDATE($D7,Milestones!$AA$92),"dd/mm/yy")&amp;" "&amp;Milestones!$AB$92&amp;" "&amp;Milestones!$AC$92&amp;";  ","")&amp;IF(AND(EDATE($D7,Milestones!$AA$93)&lt;=AsOfDate,IF($Q7=0,$W7,IF(AND($S7&lt;&gt;"",EDATE($D7,Milestones!$AA$93)&gt;=$S7),$V7,IF(AND($R7&lt;&gt;"",EDATE($D7,Milestones!$AA$93)&gt;=$R7),$U7,$T7)))=Milestones!$AB$93),TEXT(EDATE($D7,Milestones!$AA$93),"dd/mm/yy")&amp;" "&amp;Milestones!$AB$93&amp;" "&amp;Milestones!$AC$93&amp;";  ","")&amp;IF(AND(EDATE($D7,Milestones!$AA$94)&lt;=AsOfDate,IF($Q7=0,$W7,IF(AND($S7&lt;&gt;"",EDATE($D7,Milestones!$AA$94)&gt;=$S7),$V7,IF(AND($R7&lt;&gt;"",EDATE($D7,Milestones!$AA$94)&gt;=$R7),$U7,$T7)))=Milestones!$AB$94),TEXT(EDATE($D7,Milestones!$AA$94),"dd/mm/yy")&amp;" "&amp;Milestones!$AB$94&amp;" "&amp;Milestones!$AC$94&amp;";  ","")&amp;IF(AND(EDATE($D7,Milestones!$AA$95)&lt;=AsOfDate,IF($Q7=0,$W7,IF(AND($S7&lt;&gt;"",EDATE($D7,Milestones!$AA$95)&gt;=$S7),$V7,IF(AND($R7&lt;&gt;"",EDATE($D7,Milestones!$AA$95)&gt;=$R7),$U7,$T7)))=Milestones!$AB$95),TEXT(EDATE($D7,Milestones!$AA$95),"dd/mm/yy")&amp;" "&amp;Milestones!$AB$95&amp;" "&amp;Milestones!$AC$95&amp;";  ","")&amp;IF(AND(EDATE($D7,Milestones!$AA$96)&lt;=AsOfDate,IF($Q7=0,$W7,IF(AND($S7&lt;&gt;"",EDATE($D7,Milestones!$AA$96)&gt;=$S7),$V7,IF(AND($R7&lt;&gt;"",EDATE($D7,Milestones!$AA$96)&gt;=$R7),$U7,$T7)))=Milestones!$AB$96),TEXT(EDATE($D7,Milestones!$AA$96),"dd/mm/yy")&amp;" "&amp;Milestones!$AB$96&amp;" "&amp;Milestones!$AC$96&amp;";  ","")&amp;IF(AND(EDATE($D7,Milestones!$AA$97)&lt;=AsOfDate,IF($Q7=0,$W7,IF(AND($S7&lt;&gt;"",EDATE($D7,Milestones!$AA$97)&gt;=$S7),$V7,IF(AND($R7&lt;&gt;"",EDATE($D7,Milestones!$AA$97)&gt;=$R7),$U7,$T7)))=Milestones!$AB$97),TEXT(EDATE($D7,Milestones!$AA$97),"dd/mm/yy")&amp;" "&amp;Milestones!$AB$97&amp;" "&amp;Milestones!$AC$97&amp;";  ","")&amp;IF(AND(EDATE($D7,Milestones!$AA$98)&lt;=AsOfDate,IF($Q7=0,$W7,IF(AND($S7&lt;&gt;"",EDATE($D7,Milestones!$AA$98)&gt;=$S7),$V7,IF(AND($R7&lt;&gt;"",EDATE($D7,Milestones!$AA$98)&gt;=$R7),$U7,$T7)))=Milestones!$AB$98),TEXT(EDATE($D7,Milestones!$AA$98),"dd/mm/yy")&amp;" "&amp;Milestones!$AB$98&amp;" "&amp;Milestones!$AC$98&amp;";  ","")&amp;IF(AND(EDATE($D7,Milestones!$AA$99)&lt;=AsOfDate,IF($Q7=0,$W7,IF(AND($S7&lt;&gt;"",EDATE($D7,Milestones!$AA$99)&gt;=$S7),$V7,IF(AND($R7&lt;&gt;"",EDATE($D7,Milestones!$AA$99)&gt;=$R7),$U7,$T7)))=Milestones!$AB$99),TEXT(EDATE($D7,Milestones!$AA$99),"dd/mm/yy")&amp;" "&amp;Milestones!$AB$99&amp;" "&amp;Milestones!$AC$99&amp;";  ",""))</f>
        <v/>
      </c>
      <c r="L7" s="0" t="str">
        <f aca="false">IF(OR($A7="",$D7=""),"",IF(AND(EDATE($D7,Milestones!$AA$100)&lt;=AsOfDate,IF($Q7=0,$W7,IF(AND($S7&lt;&gt;"",EDATE($D7,Milestones!$AA$100)&gt;=$S7),$V7,IF(AND($R7&lt;&gt;"",EDATE($D7,Milestones!$AA$100)&gt;=$R7),$U7,$T7)))=Milestones!$AB$100),TEXT(EDATE($D7,Milestones!$AA$100),"dd/mm/yy")&amp;" "&amp;Milestones!$AB$100&amp;" "&amp;Milestones!$AC$100&amp;";  ","")&amp;IF(AND(EDATE($D7,Milestones!$AA$101)&lt;=AsOfDate,IF($Q7=0,$W7,IF(AND($S7&lt;&gt;"",EDATE($D7,Milestones!$AA$101)&gt;=$S7),$V7,IF(AND($R7&lt;&gt;"",EDATE($D7,Milestones!$AA$101)&gt;=$R7),$U7,$T7)))=Milestones!$AB$101),TEXT(EDATE($D7,Milestones!$AA$101),"dd/mm/yy")&amp;" "&amp;Milestones!$AB$101&amp;" "&amp;Milestones!$AC$101&amp;";  ","")&amp;IF(AND(EDATE($D7,Milestones!$AA$102)&lt;=AsOfDate,IF($Q7=0,$W7,IF(AND($S7&lt;&gt;"",EDATE($D7,Milestones!$AA$102)&gt;=$S7),$V7,IF(AND($R7&lt;&gt;"",EDATE($D7,Milestones!$AA$102)&gt;=$R7),$U7,$T7)))=Milestones!$AB$102),TEXT(EDATE($D7,Milestones!$AA$102),"dd/mm/yy")&amp;" "&amp;Milestones!$AB$102&amp;" "&amp;Milestones!$AC$102&amp;";  ","")&amp;IF(AND(EDATE($D7,Milestones!$AA$103)&lt;=AsOfDate,IF($Q7=0,$W7,IF(AND($S7&lt;&gt;"",EDATE($D7,Milestones!$AA$103)&gt;=$S7),$V7,IF(AND($R7&lt;&gt;"",EDATE($D7,Milestones!$AA$103)&gt;=$R7),$U7,$T7)))=Milestones!$AB$103),TEXT(EDATE($D7,Milestones!$AA$103),"dd/mm/yy")&amp;" "&amp;Milestones!$AB$103&amp;" "&amp;Milestones!$AC$103&amp;";  ","")&amp;IF(AND(EDATE($D7,Milestones!$AA$104)&lt;=AsOfDate,IF($Q7=0,$W7,IF(AND($S7&lt;&gt;"",EDATE($D7,Milestones!$AA$104)&gt;=$S7),$V7,IF(AND($R7&lt;&gt;"",EDATE($D7,Milestones!$AA$104)&gt;=$R7),$U7,$T7)))=Milestones!$AB$104),TEXT(EDATE($D7,Milestones!$AA$104),"dd/mm/yy")&amp;" "&amp;Milestones!$AB$104&amp;" "&amp;Milestones!$AC$104&amp;";  ","")&amp;IF(AND(EDATE($D7,Milestones!$AA$105)&lt;=AsOfDate,IF($Q7=0,$W7,IF(AND($S7&lt;&gt;"",EDATE($D7,Milestones!$AA$105)&gt;=$S7),$V7,IF(AND($R7&lt;&gt;"",EDATE($D7,Milestones!$AA$105)&gt;=$R7),$U7,$T7)))=Milestones!$AB$105),TEXT(EDATE($D7,Milestones!$AA$105),"dd/mm/yy")&amp;" "&amp;Milestones!$AB$105&amp;" "&amp;Milestones!$AC$105&amp;";  ","")&amp;IF(AND(EDATE($D7,Milestones!$AA$106)&lt;=AsOfDate,IF($Q7=0,$W7,IF(AND($S7&lt;&gt;"",EDATE($D7,Milestones!$AA$106)&gt;=$S7),$V7,IF(AND($R7&lt;&gt;"",EDATE($D7,Milestones!$AA$106)&gt;=$R7),$U7,$T7)))=Milestones!$AB$106),TEXT(EDATE($D7,Milestones!$AA$106),"dd/mm/yy")&amp;" "&amp;Milestones!$AB$106&amp;" "&amp;Milestones!$AC$106&amp;";  ","")&amp;IF(AND(EDATE($D7,Milestones!$AA$107)&lt;=AsOfDate,IF($Q7=0,$W7,IF(AND($S7&lt;&gt;"",EDATE($D7,Milestones!$AA$107)&gt;=$S7),$V7,IF(AND($R7&lt;&gt;"",EDATE($D7,Milestones!$AA$107)&gt;=$R7),$U7,$T7)))=Milestones!$AB$107),TEXT(EDATE($D7,Milestones!$AA$107),"dd/mm/yy")&amp;" "&amp;Milestones!$AB$107&amp;" "&amp;Milestones!$AC$107&amp;";  ","")&amp;IF(AND(EDATE($D7,Milestones!$AA$108)&lt;=AsOfDate,IF($Q7=0,$W7,IF(AND($S7&lt;&gt;"",EDATE($D7,Milestones!$AA$108)&gt;=$S7),$V7,IF(AND($R7&lt;&gt;"",EDATE($D7,Milestones!$AA$108)&gt;=$R7),$U7,$T7)))=Milestones!$AB$108),TEXT(EDATE($D7,Milestones!$AA$108),"dd/mm/yy")&amp;" "&amp;Milestones!$AB$108&amp;" "&amp;Milestones!$AC$108&amp;";  ","")&amp;IF(AND(EDATE($D7,Milestones!$AA$109)&lt;=AsOfDate,IF($Q7=0,$W7,IF(AND($S7&lt;&gt;"",EDATE($D7,Milestones!$AA$109)&gt;=$S7),$V7,IF(AND($R7&lt;&gt;"",EDATE($D7,Milestones!$AA$109)&gt;=$R7),$U7,$T7)))=Milestones!$AB$109),TEXT(EDATE($D7,Milestones!$AA$109),"dd/mm/yy")&amp;" "&amp;Milestones!$AB$109&amp;" "&amp;Milestones!$AC$109&amp;";  ","")&amp;IF(AND(EDATE($D7,Milestones!$AA$110)&lt;=AsOfDate,IF($Q7=0,$W7,IF(AND($S7&lt;&gt;"",EDATE($D7,Milestones!$AA$110)&gt;=$S7),$V7,IF(AND($R7&lt;&gt;"",EDATE($D7,Milestones!$AA$110)&gt;=$R7),$U7,$T7)))=Milestones!$AB$110),TEXT(EDATE($D7,Milestones!$AA$110),"dd/mm/yy")&amp;" "&amp;Milestones!$AB$110&amp;" "&amp;Milestones!$AC$110&amp;";  ","")&amp;IF(AND(EDATE($D7,Milestones!$AA$111)&lt;=AsOfDate,IF($Q7=0,$W7,IF(AND($S7&lt;&gt;"",EDATE($D7,Milestones!$AA$111)&gt;=$S7),$V7,IF(AND($R7&lt;&gt;"",EDATE($D7,Milestones!$AA$111)&gt;=$R7),$U7,$T7)))=Milestones!$AB$111),TEXT(EDATE($D7,Milestones!$AA$111),"dd/mm/yy")&amp;" "&amp;Milestones!$AB$111&amp;" "&amp;Milestones!$AC$111&amp;";  ","")&amp;IF(AND(EDATE($D7,Milestones!$AA$112)&lt;=AsOfDate,IF($Q7=0,$W7,IF(AND($S7&lt;&gt;"",EDATE($D7,Milestones!$AA$112)&gt;=$S7),$V7,IF(AND($R7&lt;&gt;"",EDATE($D7,Milestones!$AA$112)&gt;=$R7),$U7,$T7)))=Milestones!$AB$112),TEXT(EDATE($D7,Milestones!$AA$112),"dd/mm/yy")&amp;" "&amp;Milestones!$AB$112&amp;" "&amp;Milestones!$AC$112&amp;";  ","")&amp;IF(AND(EDATE($D7,Milestones!$AA$113)&lt;=AsOfDate,IF($Q7=0,$W7,IF(AND($S7&lt;&gt;"",EDATE($D7,Milestones!$AA$113)&gt;=$S7),$V7,IF(AND($R7&lt;&gt;"",EDATE($D7,Milestones!$AA$113)&gt;=$R7),$U7,$T7)))=Milestones!$AB$113),TEXT(EDATE($D7,Milestones!$AA$113),"dd/mm/yy")&amp;" "&amp;Milestones!$AB$113&amp;" "&amp;Milestones!$AC$113&amp;";  ","")&amp;IF(AND(EDATE($D7,Milestones!$AA$114)&lt;=AsOfDate,IF($Q7=0,$W7,IF(AND($S7&lt;&gt;"",EDATE($D7,Milestones!$AA$114)&gt;=$S7),$V7,IF(AND($R7&lt;&gt;"",EDATE($D7,Milestones!$AA$114)&gt;=$R7),$U7,$T7)))=Milestones!$AB$114),TEXT(EDATE($D7,Milestones!$AA$114),"dd/mm/yy")&amp;" "&amp;Milestones!$AB$114&amp;" "&amp;Milestones!$AC$114&amp;";  ","")&amp;IF(AND(EDATE($D7,Milestones!$AA$115)&lt;=AsOfDate,IF($Q7=0,$W7,IF(AND($S7&lt;&gt;"",EDATE($D7,Milestones!$AA$115)&gt;=$S7),$V7,IF(AND($R7&lt;&gt;"",EDATE($D7,Milestones!$AA$115)&gt;=$R7),$U7,$T7)))=Milestones!$AB$115),TEXT(EDATE($D7,Milestones!$AA$115),"dd/mm/yy")&amp;" "&amp;Milestones!$AB$115&amp;" "&amp;Milestones!$AC$115&amp;";  ","")&amp;IF(AND(EDATE($D7,Milestones!$AA$116)&lt;=AsOfDate,IF($Q7=0,$W7,IF(AND($S7&lt;&gt;"",EDATE($D7,Milestones!$AA$116)&gt;=$S7),$V7,IF(AND($R7&lt;&gt;"",EDATE($D7,Milestones!$AA$116)&gt;=$R7),$U7,$T7)))=Milestones!$AB$116),TEXT(EDATE($D7,Milestones!$AA$116),"dd/mm/yy")&amp;" "&amp;Milestones!$AB$116&amp;" "&amp;Milestones!$AC$116&amp;";  ","")&amp;IF(AND(EDATE($D7,Milestones!$AA$117)&lt;=AsOfDate,IF($Q7=0,$W7,IF(AND($S7&lt;&gt;"",EDATE($D7,Milestones!$AA$117)&gt;=$S7),$V7,IF(AND($R7&lt;&gt;"",EDATE($D7,Milestones!$AA$117)&gt;=$R7),$U7,$T7)))=Milestones!$AB$117),TEXT(EDATE($D7,Milestones!$AA$117),"dd/mm/yy")&amp;" "&amp;Milestones!$AB$117&amp;" "&amp;Milestones!$AC$117&amp;";  ","")&amp;IF(AND(EDATE($D7,Milestones!$AA$118)&lt;=AsOfDate,IF($Q7=0,$W7,IF(AND($S7&lt;&gt;"",EDATE($D7,Milestones!$AA$118)&gt;=$S7),$V7,IF(AND($R7&lt;&gt;"",EDATE($D7,Milestones!$AA$118)&gt;=$R7),$U7,$T7)))=Milestones!$AB$118),TEXT(EDATE($D7,Milestones!$AA$118),"dd/mm/yy")&amp;" "&amp;Milestones!$AB$118&amp;" "&amp;Milestones!$AC$118&amp;";  ","")&amp;IF(AND(EDATE($D7,Milestones!$AA$119)&lt;=AsOfDate,IF($Q7=0,$W7,IF(AND($S7&lt;&gt;"",EDATE($D7,Milestones!$AA$119)&gt;=$S7),$V7,IF(AND($R7&lt;&gt;"",EDATE($D7,Milestones!$AA$119)&gt;=$R7),$U7,$T7)))=Milestones!$AB$119),TEXT(EDATE($D7,Milestones!$AA$119),"dd/mm/yy")&amp;" "&amp;Milestones!$AB$119&amp;" "&amp;Milestones!$AC$119&amp;";  ",""))</f>
        <v/>
      </c>
      <c r="M7" s="0" t="str">
        <f aca="false">IF(OR($A7="",$D7=""),"",IF(AND(EDATE($D7,Milestones!$AA$120)&lt;=AsOfDate,IF($Q7=0,$W7,IF(AND($S7&lt;&gt;"",EDATE($D7,Milestones!$AA$120)&gt;=$S7),$V7,IF(AND($R7&lt;&gt;"",EDATE($D7,Milestones!$AA$120)&gt;=$R7),$U7,$T7)))=Milestones!$AB$120),TEXT(EDATE($D7,Milestones!$AA$120),"dd/mm/yy")&amp;" "&amp;Milestones!$AB$120&amp;" "&amp;Milestones!$AC$120&amp;";  ","")&amp;IF(AND(EDATE($D7,Milestones!$AA$121)&lt;=AsOfDate,IF($Q7=0,$W7,IF(AND($S7&lt;&gt;"",EDATE($D7,Milestones!$AA$121)&gt;=$S7),$V7,IF(AND($R7&lt;&gt;"",EDATE($D7,Milestones!$AA$121)&gt;=$R7),$U7,$T7)))=Milestones!$AB$121),TEXT(EDATE($D7,Milestones!$AA$121),"dd/mm/yy")&amp;" "&amp;Milestones!$AB$121&amp;" "&amp;Milestones!$AC$121&amp;";  ","")&amp;IF(AND(EDATE($D7,Milestones!$AA$122)&lt;=AsOfDate,IF($Q7=0,$W7,IF(AND($S7&lt;&gt;"",EDATE($D7,Milestones!$AA$122)&gt;=$S7),$V7,IF(AND($R7&lt;&gt;"",EDATE($D7,Milestones!$AA$122)&gt;=$R7),$U7,$T7)))=Milestones!$AB$122),TEXT(EDATE($D7,Milestones!$AA$122),"dd/mm/yy")&amp;" "&amp;Milestones!$AB$122&amp;" "&amp;Milestones!$AC$122&amp;";  ","")&amp;IF(AND(EDATE($D7,Milestones!$AA$123)&lt;=AsOfDate,IF($Q7=0,$W7,IF(AND($S7&lt;&gt;"",EDATE($D7,Milestones!$AA$123)&gt;=$S7),$V7,IF(AND($R7&lt;&gt;"",EDATE($D7,Milestones!$AA$123)&gt;=$R7),$U7,$T7)))=Milestones!$AB$123),TEXT(EDATE($D7,Milestones!$AA$123),"dd/mm/yy")&amp;" "&amp;Milestones!$AB$123&amp;" "&amp;Milestones!$AC$123&amp;";  ","")&amp;IF(AND(EDATE($D7,Milestones!$AA$124)&lt;=AsOfDate,IF($Q7=0,$W7,IF(AND($S7&lt;&gt;"",EDATE($D7,Milestones!$AA$124)&gt;=$S7),$V7,IF(AND($R7&lt;&gt;"",EDATE($D7,Milestones!$AA$124)&gt;=$R7),$U7,$T7)))=Milestones!$AB$124),TEXT(EDATE($D7,Milestones!$AA$124),"dd/mm/yy")&amp;" "&amp;Milestones!$AB$124&amp;" "&amp;Milestones!$AC$124&amp;";  ","")&amp;IF(AND(EDATE($D7,Milestones!$AA$125)&lt;=AsOfDate,IF($Q7=0,$W7,IF(AND($S7&lt;&gt;"",EDATE($D7,Milestones!$AA$125)&gt;=$S7),$V7,IF(AND($R7&lt;&gt;"",EDATE($D7,Milestones!$AA$125)&gt;=$R7),$U7,$T7)))=Milestones!$AB$125),TEXT(EDATE($D7,Milestones!$AA$125),"dd/mm/yy")&amp;" "&amp;Milestones!$AB$125&amp;" "&amp;Milestones!$AC$125&amp;";  ","")&amp;IF(AND(EDATE($D7,Milestones!$AA$126)&lt;=AsOfDate,IF($Q7=0,$W7,IF(AND($S7&lt;&gt;"",EDATE($D7,Milestones!$AA$126)&gt;=$S7),$V7,IF(AND($R7&lt;&gt;"",EDATE($D7,Milestones!$AA$126)&gt;=$R7),$U7,$T7)))=Milestones!$AB$126),TEXT(EDATE($D7,Milestones!$AA$126),"dd/mm/yy")&amp;" "&amp;Milestones!$AB$126&amp;" "&amp;Milestones!$AC$126&amp;";  ","")&amp;IF(AND(EDATE($D7,Milestones!$AA$127)&lt;=AsOfDate,IF($Q7=0,$W7,IF(AND($S7&lt;&gt;"",EDATE($D7,Milestones!$AA$127)&gt;=$S7),$V7,IF(AND($R7&lt;&gt;"",EDATE($D7,Milestones!$AA$127)&gt;=$R7),$U7,$T7)))=Milestones!$AB$127),TEXT(EDATE($D7,Milestones!$AA$127),"dd/mm/yy")&amp;" "&amp;Milestones!$AB$127&amp;" "&amp;Milestones!$AC$127&amp;";  ","")&amp;IF(AND(EDATE($D7,Milestones!$AA$128)&lt;=AsOfDate,IF($Q7=0,$W7,IF(AND($S7&lt;&gt;"",EDATE($D7,Milestones!$AA$128)&gt;=$S7),$V7,IF(AND($R7&lt;&gt;"",EDATE($D7,Milestones!$AA$128)&gt;=$R7),$U7,$T7)))=Milestones!$AB$128),TEXT(EDATE($D7,Milestones!$AA$128),"dd/mm/yy")&amp;" "&amp;Milestones!$AB$128&amp;" "&amp;Milestones!$AC$128&amp;";  ","")&amp;IF(AND(EDATE($D7,Milestones!$AA$129)&lt;=AsOfDate,IF($Q7=0,$W7,IF(AND($S7&lt;&gt;"",EDATE($D7,Milestones!$AA$129)&gt;=$S7),$V7,IF(AND($R7&lt;&gt;"",EDATE($D7,Milestones!$AA$129)&gt;=$R7),$U7,$T7)))=Milestones!$AB$129),TEXT(EDATE($D7,Milestones!$AA$129),"dd/mm/yy")&amp;" "&amp;Milestones!$AB$129&amp;" "&amp;Milestones!$AC$129&amp;";  ","")&amp;IF(AND(EDATE($D7,Milestones!$AA$130)&lt;=AsOfDate,IF($Q7=0,$W7,IF(AND($S7&lt;&gt;"",EDATE($D7,Milestones!$AA$130)&gt;=$S7),$V7,IF(AND($R7&lt;&gt;"",EDATE($D7,Milestones!$AA$130)&gt;=$R7),$U7,$T7)))=Milestones!$AB$130),TEXT(EDATE($D7,Milestones!$AA$130),"dd/mm/yy")&amp;" "&amp;Milestones!$AB$130&amp;" "&amp;Milestones!$AC$130&amp;";  ","")&amp;IF(AND(EDATE($D7,Milestones!$AA$131)&lt;=AsOfDate,IF($Q7=0,$W7,IF(AND($S7&lt;&gt;"",EDATE($D7,Milestones!$AA$131)&gt;=$S7),$V7,IF(AND($R7&lt;&gt;"",EDATE($D7,Milestones!$AA$131)&gt;=$R7),$U7,$T7)))=Milestones!$AB$131),TEXT(EDATE($D7,Milestones!$AA$131),"dd/mm/yy")&amp;" "&amp;Milestones!$AB$131&amp;" "&amp;Milestones!$AC$131&amp;";  ","")&amp;IF(AND(EDATE($D7,Milestones!$AA$132)&lt;=AsOfDate,IF($Q7=0,$W7,IF(AND($S7&lt;&gt;"",EDATE($D7,Milestones!$AA$132)&gt;=$S7),$V7,IF(AND($R7&lt;&gt;"",EDATE($D7,Milestones!$AA$132)&gt;=$R7),$U7,$T7)))=Milestones!$AB$132),TEXT(EDATE($D7,Milestones!$AA$132),"dd/mm/yy")&amp;" "&amp;Milestones!$AB$132&amp;" "&amp;Milestones!$AC$132&amp;";  ","")&amp;IF(AND(EDATE($D7,Milestones!$AA$133)&lt;=AsOfDate,IF($Q7=0,$W7,IF(AND($S7&lt;&gt;"",EDATE($D7,Milestones!$AA$133)&gt;=$S7),$V7,IF(AND($R7&lt;&gt;"",EDATE($D7,Milestones!$AA$133)&gt;=$R7),$U7,$T7)))=Milestones!$AB$133),TEXT(EDATE($D7,Milestones!$AA$133),"dd/mm/yy")&amp;" "&amp;Milestones!$AB$133&amp;" "&amp;Milestones!$AC$133&amp;";  ","")&amp;IF(AND(EDATE($D7,Milestones!$AA$134)&lt;=AsOfDate,IF($Q7=0,$W7,IF(AND($S7&lt;&gt;"",EDATE($D7,Milestones!$AA$134)&gt;=$S7),$V7,IF(AND($R7&lt;&gt;"",EDATE($D7,Milestones!$AA$134)&gt;=$R7),$U7,$T7)))=Milestones!$AB$134),TEXT(EDATE($D7,Milestones!$AA$134),"dd/mm/yy")&amp;" "&amp;Milestones!$AB$134&amp;" "&amp;Milestones!$AC$134&amp;";  ","")&amp;IF(AND(EDATE($D7,Milestones!$AA$135)&lt;=AsOfDate,IF($Q7=0,$W7,IF(AND($S7&lt;&gt;"",EDATE($D7,Milestones!$AA$135)&gt;=$S7),$V7,IF(AND($R7&lt;&gt;"",EDATE($D7,Milestones!$AA$135)&gt;=$R7),$U7,$T7)))=Milestones!$AB$135),TEXT(EDATE($D7,Milestones!$AA$135),"dd/mm/yy")&amp;" "&amp;Milestones!$AB$135&amp;" "&amp;Milestones!$AC$135&amp;";  ","")&amp;IF(AND(EDATE($D7,Milestones!$AA$136)&lt;=AsOfDate,IF($Q7=0,$W7,IF(AND($S7&lt;&gt;"",EDATE($D7,Milestones!$AA$136)&gt;=$S7),$V7,IF(AND($R7&lt;&gt;"",EDATE($D7,Milestones!$AA$136)&gt;=$R7),$U7,$T7)))=Milestones!$AB$136),TEXT(EDATE($D7,Milestones!$AA$136),"dd/mm/yy")&amp;" "&amp;Milestones!$AB$136&amp;" "&amp;Milestones!$AC$136&amp;";  ","")&amp;IF(AND(EDATE($D7,Milestones!$AA$137)&lt;=AsOfDate,IF($Q7=0,$W7,IF(AND($S7&lt;&gt;"",EDATE($D7,Milestones!$AA$137)&gt;=$S7),$V7,IF(AND($R7&lt;&gt;"",EDATE($D7,Milestones!$AA$137)&gt;=$R7),$U7,$T7)))=Milestones!$AB$137),TEXT(EDATE($D7,Milestones!$AA$137),"dd/mm/yy")&amp;" "&amp;Milestones!$AB$137&amp;" "&amp;Milestones!$AC$137&amp;";  ","")&amp;IF(AND(EDATE($D7,Milestones!$AA$138)&lt;=AsOfDate,IF($Q7=0,$W7,IF(AND($S7&lt;&gt;"",EDATE($D7,Milestones!$AA$138)&gt;=$S7),$V7,IF(AND($R7&lt;&gt;"",EDATE($D7,Milestones!$AA$138)&gt;=$R7),$U7,$T7)))=Milestones!$AB$138),TEXT(EDATE($D7,Milestones!$AA$138),"dd/mm/yy")&amp;" "&amp;Milestones!$AB$138&amp;" "&amp;Milestones!$AC$138&amp;";  ","")&amp;IF(AND(EDATE($D7,Milestones!$AA$139)&lt;=AsOfDate,IF($Q7=0,$W7,IF(AND($S7&lt;&gt;"",EDATE($D7,Milestones!$AA$139)&gt;=$S7),$V7,IF(AND($R7&lt;&gt;"",EDATE($D7,Milestones!$AA$139)&gt;=$R7),$U7,$T7)))=Milestones!$AB$139),TEXT(EDATE($D7,Milestones!$AA$139),"dd/mm/yy")&amp;" "&amp;Milestones!$AB$139&amp;" "&amp;Milestones!$AC$139&amp;";  ",""))</f>
        <v/>
      </c>
      <c r="N7" s="0" t="str">
        <f aca="false">IF(OR($A7="",$D7=""),"",IF(AND(EDATE($D7,Milestones!$AA$140)&lt;=AsOfDate,IF($Q7=0,$W7,IF(AND($S7&lt;&gt;"",EDATE($D7,Milestones!$AA$140)&gt;=$S7),$V7,IF(AND($R7&lt;&gt;"",EDATE($D7,Milestones!$AA$140)&gt;=$R7),$U7,$T7)))=Milestones!$AB$140),TEXT(EDATE($D7,Milestones!$AA$140),"dd/mm/yy")&amp;" "&amp;Milestones!$AB$140&amp;" "&amp;Milestones!$AC$140&amp;";  ","")&amp;IF(AND(EDATE($D7,Milestones!$AA$141)&lt;=AsOfDate,IF($Q7=0,$W7,IF(AND($S7&lt;&gt;"",EDATE($D7,Milestones!$AA$141)&gt;=$S7),$V7,IF(AND($R7&lt;&gt;"",EDATE($D7,Milestones!$AA$141)&gt;=$R7),$U7,$T7)))=Milestones!$AB$141),TEXT(EDATE($D7,Milestones!$AA$141),"dd/mm/yy")&amp;" "&amp;Milestones!$AB$141&amp;" "&amp;Milestones!$AC$141&amp;";  ","")&amp;IF(AND(EDATE($D7,Milestones!$AA$142)&lt;=AsOfDate,IF($Q7=0,$W7,IF(AND($S7&lt;&gt;"",EDATE($D7,Milestones!$AA$142)&gt;=$S7),$V7,IF(AND($R7&lt;&gt;"",EDATE($D7,Milestones!$AA$142)&gt;=$R7),$U7,$T7)))=Milestones!$AB$142),TEXT(EDATE($D7,Milestones!$AA$142),"dd/mm/yy")&amp;" "&amp;Milestones!$AB$142&amp;" "&amp;Milestones!$AC$142&amp;";  ","")&amp;IF(AND(EDATE($D7,Milestones!$AA$143)&lt;=AsOfDate,IF($Q7=0,$W7,IF(AND($S7&lt;&gt;"",EDATE($D7,Milestones!$AA$143)&gt;=$S7),$V7,IF(AND($R7&lt;&gt;"",EDATE($D7,Milestones!$AA$143)&gt;=$R7),$U7,$T7)))=Milestones!$AB$143),TEXT(EDATE($D7,Milestones!$AA$143),"dd/mm/yy")&amp;" "&amp;Milestones!$AB$143&amp;" "&amp;Milestones!$AC$143&amp;";  ","")&amp;IF(AND(EDATE($D7,Milestones!$AA$144)&lt;=AsOfDate,IF($Q7=0,$W7,IF(AND($S7&lt;&gt;"",EDATE($D7,Milestones!$AA$144)&gt;=$S7),$V7,IF(AND($R7&lt;&gt;"",EDATE($D7,Milestones!$AA$144)&gt;=$R7),$U7,$T7)))=Milestones!$AB$144),TEXT(EDATE($D7,Milestones!$AA$144),"dd/mm/yy")&amp;" "&amp;Milestones!$AB$144&amp;" "&amp;Milestones!$AC$144&amp;";  ","")&amp;IF(AND(EDATE($D7,Milestones!$AA$145)&lt;=AsOfDate,IF($Q7=0,$W7,IF(AND($S7&lt;&gt;"",EDATE($D7,Milestones!$AA$145)&gt;=$S7),$V7,IF(AND($R7&lt;&gt;"",EDATE($D7,Milestones!$AA$145)&gt;=$R7),$U7,$T7)))=Milestones!$AB$145),TEXT(EDATE($D7,Milestones!$AA$145),"dd/mm/yy")&amp;" "&amp;Milestones!$AB$145&amp;" "&amp;Milestones!$AC$145&amp;";  ","")&amp;IF(AND(EDATE($D7,Milestones!$AA$146)&lt;=AsOfDate,IF($Q7=0,$W7,IF(AND($S7&lt;&gt;"",EDATE($D7,Milestones!$AA$146)&gt;=$S7),$V7,IF(AND($R7&lt;&gt;"",EDATE($D7,Milestones!$AA$146)&gt;=$R7),$U7,$T7)))=Milestones!$AB$146),TEXT(EDATE($D7,Milestones!$AA$146),"dd/mm/yy")&amp;" "&amp;Milestones!$AB$146&amp;" "&amp;Milestones!$AC$146&amp;";  ","")&amp;IF(AND(EDATE($D7,Milestones!$AA$147)&lt;=AsOfDate,IF($Q7=0,$W7,IF(AND($S7&lt;&gt;"",EDATE($D7,Milestones!$AA$147)&gt;=$S7),$V7,IF(AND($R7&lt;&gt;"",EDATE($D7,Milestones!$AA$147)&gt;=$R7),$U7,$T7)))=Milestones!$AB$147),TEXT(EDATE($D7,Milestones!$AA$147),"dd/mm/yy")&amp;" "&amp;Milestones!$AB$147&amp;" "&amp;Milestones!$AC$147&amp;";  ","")&amp;IF(AND(EDATE($D7,Milestones!$AA$148)&lt;=AsOfDate,IF($Q7=0,$W7,IF(AND($S7&lt;&gt;"",EDATE($D7,Milestones!$AA$148)&gt;=$S7),$V7,IF(AND($R7&lt;&gt;"",EDATE($D7,Milestones!$AA$148)&gt;=$R7),$U7,$T7)))=Milestones!$AB$148),TEXT(EDATE($D7,Milestones!$AA$148),"dd/mm/yy")&amp;" "&amp;Milestones!$AB$148&amp;" "&amp;Milestones!$AC$148&amp;";  ","")&amp;IF(AND(EDATE($D7,Milestones!$AA$149)&lt;=AsOfDate,IF($Q7=0,$W7,IF(AND($S7&lt;&gt;"",EDATE($D7,Milestones!$AA$149)&gt;=$S7),$V7,IF(AND($R7&lt;&gt;"",EDATE($D7,Milestones!$AA$149)&gt;=$R7),$U7,$T7)))=Milestones!$AB$149),TEXT(EDATE($D7,Milestones!$AA$149),"dd/mm/yy")&amp;" "&amp;Milestones!$AB$149&amp;" "&amp;Milestones!$AC$149&amp;";  ","")&amp;IF(AND(EDATE($D7,Milestones!$AA$150)&lt;=AsOfDate,IF($Q7=0,$W7,IF(AND($S7&lt;&gt;"",EDATE($D7,Milestones!$AA$150)&gt;=$S7),$V7,IF(AND($R7&lt;&gt;"",EDATE($D7,Milestones!$AA$150)&gt;=$R7),$U7,$T7)))=Milestones!$AB$150),TEXT(EDATE($D7,Milestones!$AA$150),"dd/mm/yy")&amp;" "&amp;Milestones!$AB$150&amp;" "&amp;Milestones!$AC$150&amp;";  ","")&amp;IF(AND(EDATE($D7,Milestones!$AA$151)&lt;=AsOfDate,IF($Q7=0,$W7,IF(AND($S7&lt;&gt;"",EDATE($D7,Milestones!$AA$151)&gt;=$S7),$V7,IF(AND($R7&lt;&gt;"",EDATE($D7,Milestones!$AA$151)&gt;=$R7),$U7,$T7)))=Milestones!$AB$151),TEXT(EDATE($D7,Milestones!$AA$151),"dd/mm/yy")&amp;" "&amp;Milestones!$AB$151&amp;" "&amp;Milestones!$AC$151&amp;";  ","")&amp;IF(AND(EDATE($D7,Milestones!$AA$152)&lt;=AsOfDate,IF($Q7=0,$W7,IF(AND($S7&lt;&gt;"",EDATE($D7,Milestones!$AA$152)&gt;=$S7),$V7,IF(AND($R7&lt;&gt;"",EDATE($D7,Milestones!$AA$152)&gt;=$R7),$U7,$T7)))=Milestones!$AB$152),TEXT(EDATE($D7,Milestones!$AA$152),"dd/mm/yy")&amp;" "&amp;Milestones!$AB$152&amp;" "&amp;Milestones!$AC$152&amp;";  ","")&amp;IF(AND(EDATE($D7,Milestones!$AA$153)&lt;=AsOfDate,IF($Q7=0,$W7,IF(AND($S7&lt;&gt;"",EDATE($D7,Milestones!$AA$153)&gt;=$S7),$V7,IF(AND($R7&lt;&gt;"",EDATE($D7,Milestones!$AA$153)&gt;=$R7),$U7,$T7)))=Milestones!$AB$153),TEXT(EDATE($D7,Milestones!$AA$153),"dd/mm/yy")&amp;" "&amp;Milestones!$AB$153&amp;" "&amp;Milestones!$AC$153&amp;";  ","")&amp;IF(AND(EDATE($D7,Milestones!$AA$154)&lt;=AsOfDate,IF($Q7=0,$W7,IF(AND($S7&lt;&gt;"",EDATE($D7,Milestones!$AA$154)&gt;=$S7),$V7,IF(AND($R7&lt;&gt;"",EDATE($D7,Milestones!$AA$154)&gt;=$R7),$U7,$T7)))=Milestones!$AB$154),TEXT(EDATE($D7,Milestones!$AA$154),"dd/mm/yy")&amp;" "&amp;Milestones!$AB$154&amp;" "&amp;Milestones!$AC$154&amp;";  ","")&amp;IF(AND(EDATE($D7,Milestones!$AA$155)&lt;=AsOfDate,IF($Q7=0,$W7,IF(AND($S7&lt;&gt;"",EDATE($D7,Milestones!$AA$155)&gt;=$S7),$V7,IF(AND($R7&lt;&gt;"",EDATE($D7,Milestones!$AA$155)&gt;=$R7),$U7,$T7)))=Milestones!$AB$155),TEXT(EDATE($D7,Milestones!$AA$155),"dd/mm/yy")&amp;" "&amp;Milestones!$AB$155&amp;" "&amp;Milestones!$AC$155&amp;";  ","")&amp;IF(AND(EDATE($D7,Milestones!$AA$156)&lt;=AsOfDate,IF($Q7=0,$W7,IF(AND($S7&lt;&gt;"",EDATE($D7,Milestones!$AA$156)&gt;=$S7),$V7,IF(AND($R7&lt;&gt;"",EDATE($D7,Milestones!$AA$156)&gt;=$R7),$U7,$T7)))=Milestones!$AB$156),TEXT(EDATE($D7,Milestones!$AA$156),"dd/mm/yy")&amp;" "&amp;Milestones!$AB$156&amp;" "&amp;Milestones!$AC$156&amp;";  ","")&amp;IF(AND(EDATE($D7,Milestones!$AA$157)&lt;=AsOfDate,IF($Q7=0,$W7,IF(AND($S7&lt;&gt;"",EDATE($D7,Milestones!$AA$157)&gt;=$S7),$V7,IF(AND($R7&lt;&gt;"",EDATE($D7,Milestones!$AA$157)&gt;=$R7),$U7,$T7)))=Milestones!$AB$157),TEXT(EDATE($D7,Milestones!$AA$157),"dd/mm/yy")&amp;" "&amp;Milestones!$AB$157&amp;" "&amp;Milestones!$AC$157&amp;";  ","")&amp;IF(AND(EDATE($D7,Milestones!$AA$158)&lt;=AsOfDate,IF($Q7=0,$W7,IF(AND($S7&lt;&gt;"",EDATE($D7,Milestones!$AA$158)&gt;=$S7),$V7,IF(AND($R7&lt;&gt;"",EDATE($D7,Milestones!$AA$158)&gt;=$R7),$U7,$T7)))=Milestones!$AB$158),TEXT(EDATE($D7,Milestones!$AA$158),"dd/mm/yy")&amp;" "&amp;Milestones!$AB$158&amp;" "&amp;Milestones!$AC$158&amp;";  ","")&amp;IF(AND(EDATE($D7,Milestones!$AA$159)&lt;=AsOfDate,IF($Q7=0,$W7,IF(AND($S7&lt;&gt;"",EDATE($D7,Milestones!$AA$159)&gt;=$S7),$V7,IF(AND($R7&lt;&gt;"",EDATE($D7,Milestones!$AA$159)&gt;=$R7),$U7,$T7)))=Milestones!$AB$159),TEXT(EDATE($D7,Milestones!$AA$159),"dd/mm/yy")&amp;" "&amp;Milestones!$AB$159&amp;" "&amp;Milestones!$AC$159&amp;";  ",""))</f>
        <v/>
      </c>
      <c r="O7" s="0" t="str">
        <f aca="false">IF(OR($A7="",$D7=""),"",IF(AND(EDATE($D7,Milestones!$AA$160)&lt;=AsOfDate,IF($Q7=0,$W7,IF(AND($S7&lt;&gt;"",EDATE($D7,Milestones!$AA$160)&gt;=$S7),$V7,IF(AND($R7&lt;&gt;"",EDATE($D7,Milestones!$AA$160)&gt;=$R7),$U7,$T7)))=Milestones!$AB$160),TEXT(EDATE($D7,Milestones!$AA$160),"dd/mm/yy")&amp;" "&amp;Milestones!$AB$160&amp;" "&amp;Milestones!$AC$160&amp;";  ","")&amp;IF(AND(EDATE($D7,Milestones!$AA$161)&lt;=AsOfDate,IF($Q7=0,$W7,IF(AND($S7&lt;&gt;"",EDATE($D7,Milestones!$AA$161)&gt;=$S7),$V7,IF(AND($R7&lt;&gt;"",EDATE($D7,Milestones!$AA$161)&gt;=$R7),$U7,$T7)))=Milestones!$AB$161),TEXT(EDATE($D7,Milestones!$AA$161),"dd/mm/yy")&amp;" "&amp;Milestones!$AB$161&amp;" "&amp;Milestones!$AC$161&amp;";  ","")&amp;IF(AND(EDATE($D7,Milestones!$AA$162)&lt;=AsOfDate,IF($Q7=0,$W7,IF(AND($S7&lt;&gt;"",EDATE($D7,Milestones!$AA$162)&gt;=$S7),$V7,IF(AND($R7&lt;&gt;"",EDATE($D7,Milestones!$AA$162)&gt;=$R7),$U7,$T7)))=Milestones!$AB$162),TEXT(EDATE($D7,Milestones!$AA$162),"dd/mm/yy")&amp;" "&amp;Milestones!$AB$162&amp;" "&amp;Milestones!$AC$162&amp;";  ","")&amp;IF(AND(EDATE($D7,Milestones!$AA$163)&lt;=AsOfDate,IF($Q7=0,$W7,IF(AND($S7&lt;&gt;"",EDATE($D7,Milestones!$AA$163)&gt;=$S7),$V7,IF(AND($R7&lt;&gt;"",EDATE($D7,Milestones!$AA$163)&gt;=$R7),$U7,$T7)))=Milestones!$AB$163),TEXT(EDATE($D7,Milestones!$AA$163),"dd/mm/yy")&amp;" "&amp;Milestones!$AB$163&amp;" "&amp;Milestones!$AC$163&amp;";  ","")&amp;IF(AND(EDATE($D7,Milestones!$AA$164)&lt;=AsOfDate,IF($Q7=0,$W7,IF(AND($S7&lt;&gt;"",EDATE($D7,Milestones!$AA$164)&gt;=$S7),$V7,IF(AND($R7&lt;&gt;"",EDATE($D7,Milestones!$AA$164)&gt;=$R7),$U7,$T7)))=Milestones!$AB$164),TEXT(EDATE($D7,Milestones!$AA$164),"dd/mm/yy")&amp;" "&amp;Milestones!$AB$164&amp;" "&amp;Milestones!$AC$164&amp;";  ","")&amp;IF(AND(EDATE($D7,Milestones!$AA$165)&lt;=AsOfDate,IF($Q7=0,$W7,IF(AND($S7&lt;&gt;"",EDATE($D7,Milestones!$AA$165)&gt;=$S7),$V7,IF(AND($R7&lt;&gt;"",EDATE($D7,Milestones!$AA$165)&gt;=$R7),$U7,$T7)))=Milestones!$AB$165),TEXT(EDATE($D7,Milestones!$AA$165),"dd/mm/yy")&amp;" "&amp;Milestones!$AB$165&amp;" "&amp;Milestones!$AC$165&amp;";  ","")&amp;IF(AND(EDATE($D7,Milestones!$AA$166)&lt;=AsOfDate,IF($Q7=0,$W7,IF(AND($S7&lt;&gt;"",EDATE($D7,Milestones!$AA$166)&gt;=$S7),$V7,IF(AND($R7&lt;&gt;"",EDATE($D7,Milestones!$AA$166)&gt;=$R7),$U7,$T7)))=Milestones!$AB$166),TEXT(EDATE($D7,Milestones!$AA$166),"dd/mm/yy")&amp;" "&amp;Milestones!$AB$166&amp;" "&amp;Milestones!$AC$166&amp;";  ","")&amp;IF(AND(EDATE($D7,Milestones!$AA$167)&lt;=AsOfDate,IF($Q7=0,$W7,IF(AND($S7&lt;&gt;"",EDATE($D7,Milestones!$AA$167)&gt;=$S7),$V7,IF(AND($R7&lt;&gt;"",EDATE($D7,Milestones!$AA$167)&gt;=$R7),$U7,$T7)))=Milestones!$AB$167),TEXT(EDATE($D7,Milestones!$AA$167),"dd/mm/yy")&amp;" "&amp;Milestones!$AB$167&amp;" "&amp;Milestones!$AC$167&amp;";  ","")&amp;IF(AND(EDATE($D7,Milestones!$AA$168)&lt;=AsOfDate,IF($Q7=0,$W7,IF(AND($S7&lt;&gt;"",EDATE($D7,Milestones!$AA$168)&gt;=$S7),$V7,IF(AND($R7&lt;&gt;"",EDATE($D7,Milestones!$AA$168)&gt;=$R7),$U7,$T7)))=Milestones!$AB$168),TEXT(EDATE($D7,Milestones!$AA$168),"dd/mm/yy")&amp;" "&amp;Milestones!$AB$168&amp;" "&amp;Milestones!$AC$168&amp;";  ","")&amp;IF(AND(EDATE($D7,Milestones!$AA$169)&lt;=AsOfDate,IF($Q7=0,$W7,IF(AND($S7&lt;&gt;"",EDATE($D7,Milestones!$AA$169)&gt;=$S7),$V7,IF(AND($R7&lt;&gt;"",EDATE($D7,Milestones!$AA$169)&gt;=$R7),$U7,$T7)))=Milestones!$AB$169),TEXT(EDATE($D7,Milestones!$AA$169),"dd/mm/yy")&amp;" "&amp;Milestones!$AB$169&amp;" "&amp;Milestones!$AC$169&amp;";  ","")&amp;IF(AND(EDATE($D7,Milestones!$AA$170)&lt;=AsOfDate,IF($Q7=0,$W7,IF(AND($S7&lt;&gt;"",EDATE($D7,Milestones!$AA$170)&gt;=$S7),$V7,IF(AND($R7&lt;&gt;"",EDATE($D7,Milestones!$AA$170)&gt;=$R7),$U7,$T7)))=Milestones!$AB$170),TEXT(EDATE($D7,Milestones!$AA$170),"dd/mm/yy")&amp;" "&amp;Milestones!$AB$170&amp;" "&amp;Milestones!$AC$170&amp;";  ","")&amp;IF(AND(EDATE($D7,Milestones!$AA$171)&lt;=AsOfDate,IF($Q7=0,$W7,IF(AND($S7&lt;&gt;"",EDATE($D7,Milestones!$AA$171)&gt;=$S7),$V7,IF(AND($R7&lt;&gt;"",EDATE($D7,Milestones!$AA$171)&gt;=$R7),$U7,$T7)))=Milestones!$AB$171),TEXT(EDATE($D7,Milestones!$AA$171),"dd/mm/yy")&amp;" "&amp;Milestones!$AB$171&amp;" "&amp;Milestones!$AC$171&amp;";  ","")&amp;IF(AND(EDATE($D7,Milestones!$AA$172)&lt;=AsOfDate,IF($Q7=0,$W7,IF(AND($S7&lt;&gt;"",EDATE($D7,Milestones!$AA$172)&gt;=$S7),$V7,IF(AND($R7&lt;&gt;"",EDATE($D7,Milestones!$AA$172)&gt;=$R7),$U7,$T7)))=Milestones!$AB$172),TEXT(EDATE($D7,Milestones!$AA$172),"dd/mm/yy")&amp;" "&amp;Milestones!$AB$172&amp;" "&amp;Milestones!$AC$172&amp;";  ","")&amp;IF(AND(EDATE($D7,Milestones!$AA$173)&lt;=AsOfDate,IF($Q7=0,$W7,IF(AND($S7&lt;&gt;"",EDATE($D7,Milestones!$AA$173)&gt;=$S7),$V7,IF(AND($R7&lt;&gt;"",EDATE($D7,Milestones!$AA$173)&gt;=$R7),$U7,$T7)))=Milestones!$AB$173),TEXT(EDATE($D7,Milestones!$AA$173),"dd/mm/yy")&amp;" "&amp;Milestones!$AB$173&amp;" "&amp;Milestones!$AC$173&amp;";  ","")&amp;IF(AND(EDATE($D7,Milestones!$AA$174)&lt;=AsOfDate,IF($Q7=0,$W7,IF(AND($S7&lt;&gt;"",EDATE($D7,Milestones!$AA$174)&gt;=$S7),$V7,IF(AND($R7&lt;&gt;"",EDATE($D7,Milestones!$AA$174)&gt;=$R7),$U7,$T7)))=Milestones!$AB$174),TEXT(EDATE($D7,Milestones!$AA$174),"dd/mm/yy")&amp;" "&amp;Milestones!$AB$174&amp;" "&amp;Milestones!$AC$174&amp;";  ","")&amp;IF(AND(EDATE($D7,Milestones!$AA$175)&lt;=AsOfDate,IF($Q7=0,$W7,IF(AND($S7&lt;&gt;"",EDATE($D7,Milestones!$AA$175)&gt;=$S7),$V7,IF(AND($R7&lt;&gt;"",EDATE($D7,Milestones!$AA$175)&gt;=$R7),$U7,$T7)))=Milestones!$AB$175),TEXT(EDATE($D7,Milestones!$AA$175),"dd/mm/yy")&amp;" "&amp;Milestones!$AB$175&amp;" "&amp;Milestones!$AC$175&amp;";  ","")&amp;IF(AND(EDATE($D7,Milestones!$AA$176)&lt;=AsOfDate,IF($Q7=0,$W7,IF(AND($S7&lt;&gt;"",EDATE($D7,Milestones!$AA$176)&gt;=$S7),$V7,IF(AND($R7&lt;&gt;"",EDATE($D7,Milestones!$AA$176)&gt;=$R7),$U7,$T7)))=Milestones!$AB$176),TEXT(EDATE($D7,Milestones!$AA$176),"dd/mm/yy")&amp;" "&amp;Milestones!$AB$176&amp;" "&amp;Milestones!$AC$176&amp;";  ","")&amp;IF(AND(EDATE($D7,Milestones!$AA$177)&lt;=AsOfDate,IF($Q7=0,$W7,IF(AND($S7&lt;&gt;"",EDATE($D7,Milestones!$AA$177)&gt;=$S7),$V7,IF(AND($R7&lt;&gt;"",EDATE($D7,Milestones!$AA$177)&gt;=$R7),$U7,$T7)))=Milestones!$AB$177),TEXT(EDATE($D7,Milestones!$AA$177),"dd/mm/yy")&amp;" "&amp;Milestones!$AB$177&amp;" "&amp;Milestones!$AC$177&amp;";  ","")&amp;IF(AND(EDATE($D7,Milestones!$AA$178)&lt;=AsOfDate,IF($Q7=0,$W7,IF(AND($S7&lt;&gt;"",EDATE($D7,Milestones!$AA$178)&gt;=$S7),$V7,IF(AND($R7&lt;&gt;"",EDATE($D7,Milestones!$AA$178)&gt;=$R7),$U7,$T7)))=Milestones!$AB$178),TEXT(EDATE($D7,Milestones!$AA$178),"dd/mm/yy")&amp;" "&amp;Milestones!$AB$178&amp;" "&amp;Milestones!$AC$178&amp;";  ","")&amp;IF(AND(EDATE($D7,Milestones!$AA$179)&lt;=AsOfDate,IF($Q7=0,$W7,IF(AND($S7&lt;&gt;"",EDATE($D7,Milestones!$AA$179)&gt;=$S7),$V7,IF(AND($R7&lt;&gt;"",EDATE($D7,Milestones!$AA$179)&gt;=$R7),$U7,$T7)))=Milestones!$AB$179),TEXT(EDATE($D7,Milestones!$AA$179),"dd/mm/yy")&amp;" "&amp;Milestones!$AB$179&amp;" "&amp;Milestones!$AC$179&amp;";  ",""))</f>
        <v/>
      </c>
      <c r="P7" s="0" t="str">
        <f aca="false">IF(OR($A7="",$D7=""),"",IF(AND(EDATE($D7,Milestones!$AA$180)&lt;=AsOfDate,IF($Q7=0,$W7,IF(AND($S7&lt;&gt;"",EDATE($D7,Milestones!$AA$180)&gt;=$S7),$V7,IF(AND($R7&lt;&gt;"",EDATE($D7,Milestones!$AA$180)&gt;=$R7),$U7,$T7)))=Milestones!$AB$180),TEXT(EDATE($D7,Milestones!$AA$180),"dd/mm/yy")&amp;" "&amp;Milestones!$AB$180&amp;" "&amp;Milestones!$AC$180&amp;";  ","")&amp;IF(AND(EDATE($D7,Milestones!$AA$181)&lt;=AsOfDate,IF($Q7=0,$W7,IF(AND($S7&lt;&gt;"",EDATE($D7,Milestones!$AA$181)&gt;=$S7),$V7,IF(AND($R7&lt;&gt;"",EDATE($D7,Milestones!$AA$181)&gt;=$R7),$U7,$T7)))=Milestones!$AB$181),TEXT(EDATE($D7,Milestones!$AA$181),"dd/mm/yy")&amp;" "&amp;Milestones!$AB$181&amp;" "&amp;Milestones!$AC$181&amp;";  ","")&amp;IF(AND(EDATE($D7,Milestones!$AA$182)&lt;=AsOfDate,IF($Q7=0,$W7,IF(AND($S7&lt;&gt;"",EDATE($D7,Milestones!$AA$182)&gt;=$S7),$V7,IF(AND($R7&lt;&gt;"",EDATE($D7,Milestones!$AA$182)&gt;=$R7),$U7,$T7)))=Milestones!$AB$182),TEXT(EDATE($D7,Milestones!$AA$182),"dd/mm/yy")&amp;" "&amp;Milestones!$AB$182&amp;" "&amp;Milestones!$AC$182&amp;";  ","")&amp;IF(AND(EDATE($D7,Milestones!$AA$183)&lt;=AsOfDate,IF($Q7=0,$W7,IF(AND($S7&lt;&gt;"",EDATE($D7,Milestones!$AA$183)&gt;=$S7),$V7,IF(AND($R7&lt;&gt;"",EDATE($D7,Milestones!$AA$183)&gt;=$R7),$U7,$T7)))=Milestones!$AB$183),TEXT(EDATE($D7,Milestones!$AA$183),"dd/mm/yy")&amp;" "&amp;Milestones!$AB$183&amp;" "&amp;Milestones!$AC$183&amp;";  ","")&amp;IF(AND(EDATE($D7,Milestones!$AA$184)&lt;=AsOfDate,IF($Q7=0,$W7,IF(AND($S7&lt;&gt;"",EDATE($D7,Milestones!$AA$184)&gt;=$S7),$V7,IF(AND($R7&lt;&gt;"",EDATE($D7,Milestones!$AA$184)&gt;=$R7),$U7,$T7)))=Milestones!$AB$184),TEXT(EDATE($D7,Milestones!$AA$184),"dd/mm/yy")&amp;" "&amp;Milestones!$AB$184&amp;" "&amp;Milestones!$AC$184&amp;";  ","")&amp;IF(AND(EDATE($D7,Milestones!$AA$185)&lt;=AsOfDate,IF($Q7=0,$W7,IF(AND($S7&lt;&gt;"",EDATE($D7,Milestones!$AA$185)&gt;=$S7),$V7,IF(AND($R7&lt;&gt;"",EDATE($D7,Milestones!$AA$185)&gt;=$R7),$U7,$T7)))=Milestones!$AB$185),TEXT(EDATE($D7,Milestones!$AA$185),"dd/mm/yy")&amp;" "&amp;Milestones!$AB$185&amp;" "&amp;Milestones!$AC$185&amp;";  ","")&amp;IF(AND(EDATE($D7,Milestones!$AA$186)&lt;=AsOfDate,IF($Q7=0,$W7,IF(AND($S7&lt;&gt;"",EDATE($D7,Milestones!$AA$186)&gt;=$S7),$V7,IF(AND($R7&lt;&gt;"",EDATE($D7,Milestones!$AA$186)&gt;=$R7),$U7,$T7)))=Milestones!$AB$186),TEXT(EDATE($D7,Milestones!$AA$186),"dd/mm/yy")&amp;" "&amp;Milestones!$AB$186&amp;" "&amp;Milestones!$AC$186&amp;";  ","")&amp;IF(AND(EDATE($D7,Milestones!$AA$187)&lt;=AsOfDate,IF($Q7=0,$W7,IF(AND($S7&lt;&gt;"",EDATE($D7,Milestones!$AA$187)&gt;=$S7),$V7,IF(AND($R7&lt;&gt;"",EDATE($D7,Milestones!$AA$187)&gt;=$R7),$U7,$T7)))=Milestones!$AB$187),TEXT(EDATE($D7,Milestones!$AA$187),"dd/mm/yy")&amp;" "&amp;Milestones!$AB$187&amp;" "&amp;Milestones!$AC$187&amp;";  ","")&amp;IF(AND(EDATE($D7,Milestones!$AA$188)&lt;=AsOfDate,IF($Q7=0,$W7,IF(AND($S7&lt;&gt;"",EDATE($D7,Milestones!$AA$188)&gt;=$S7),$V7,IF(AND($R7&lt;&gt;"",EDATE($D7,Milestones!$AA$188)&gt;=$R7),$U7,$T7)))=Milestones!$AB$188),TEXT(EDATE($D7,Milestones!$AA$188),"dd/mm/yy")&amp;" "&amp;Milestones!$AB$188&amp;" "&amp;Milestones!$AC$188&amp;";  ","")&amp;IF(AND(EDATE($D7,Milestones!$AA$189)&lt;=AsOfDate,IF($Q7=0,$W7,IF(AND($S7&lt;&gt;"",EDATE($D7,Milestones!$AA$189)&gt;=$S7),$V7,IF(AND($R7&lt;&gt;"",EDATE($D7,Milestones!$AA$189)&gt;=$R7),$U7,$T7)))=Milestones!$AB$189),TEXT(EDATE($D7,Milestones!$AA$189),"dd/mm/yy")&amp;" "&amp;Milestones!$AB$189&amp;" "&amp;Milestones!$AC$189&amp;";  ","")&amp;IF(AND(EDATE($D7,Milestones!$AA$190)&lt;=AsOfDate,IF($Q7=0,$W7,IF(AND($S7&lt;&gt;"",EDATE($D7,Milestones!$AA$190)&gt;=$S7),$V7,IF(AND($R7&lt;&gt;"",EDATE($D7,Milestones!$AA$190)&gt;=$R7),$U7,$T7)))=Milestones!$AB$190),TEXT(EDATE($D7,Milestones!$AA$190),"dd/mm/yy")&amp;" "&amp;Milestones!$AB$190&amp;" "&amp;Milestones!$AC$190&amp;";  ","")&amp;IF(AND(EDATE($D7,Milestones!$AA$191)&lt;=AsOfDate,IF($Q7=0,$W7,IF(AND($S7&lt;&gt;"",EDATE($D7,Milestones!$AA$191)&gt;=$S7),$V7,IF(AND($R7&lt;&gt;"",EDATE($D7,Milestones!$AA$191)&gt;=$R7),$U7,$T7)))=Milestones!$AB$191),TEXT(EDATE($D7,Milestones!$AA$191),"dd/mm/yy")&amp;" "&amp;Milestones!$AB$191&amp;" "&amp;Milestones!$AC$191&amp;";  ","")&amp;IF(AND(EDATE($D7,Milestones!$AA$192)&lt;=AsOfDate,IF($Q7=0,$W7,IF(AND($S7&lt;&gt;"",EDATE($D7,Milestones!$AA$192)&gt;=$S7),$V7,IF(AND($R7&lt;&gt;"",EDATE($D7,Milestones!$AA$192)&gt;=$R7),$U7,$T7)))=Milestones!$AB$192),TEXT(EDATE($D7,Milestones!$AA$192),"dd/mm/yy")&amp;" "&amp;Milestones!$AB$192&amp;" "&amp;Milestones!$AC$192&amp;";  ","")&amp;IF(AND(EDATE($D7,Milestones!$AA$193)&lt;=AsOfDate,IF($Q7=0,$W7,IF(AND($S7&lt;&gt;"",EDATE($D7,Milestones!$AA$193)&gt;=$S7),$V7,IF(AND($R7&lt;&gt;"",EDATE($D7,Milestones!$AA$193)&gt;=$R7),$U7,$T7)))=Milestones!$AB$193),TEXT(EDATE($D7,Milestones!$AA$193),"dd/mm/yy")&amp;" "&amp;Milestones!$AB$193&amp;" "&amp;Milestones!$AC$193&amp;";  ","")&amp;IF(AND(EDATE($D7,Milestones!$AA$194)&lt;=AsOfDate,IF($Q7=0,$W7,IF(AND($S7&lt;&gt;"",EDATE($D7,Milestones!$AA$194)&gt;=$S7),$V7,IF(AND($R7&lt;&gt;"",EDATE($D7,Milestones!$AA$194)&gt;=$R7),$U7,$T7)))=Milestones!$AB$194),TEXT(EDATE($D7,Milestones!$AA$194),"dd/mm/yy")&amp;" "&amp;Milestones!$AB$194&amp;" "&amp;Milestones!$AC$194&amp;";  ","")&amp;IF(AND(EDATE($D7,Milestones!$AA$195)&lt;=AsOfDate,IF($Q7=0,$W7,IF(AND($S7&lt;&gt;"",EDATE($D7,Milestones!$AA$195)&gt;=$S7),$V7,IF(AND($R7&lt;&gt;"",EDATE($D7,Milestones!$AA$195)&gt;=$R7),$U7,$T7)))=Milestones!$AB$195),TEXT(EDATE($D7,Milestones!$AA$195),"dd/mm/yy")&amp;" "&amp;Milestones!$AB$195&amp;" "&amp;Milestones!$AC$195&amp;";  ","")&amp;IF(AND(EDATE($D7,Milestones!$AA$196)&lt;=AsOfDate,IF($Q7=0,$W7,IF(AND($S7&lt;&gt;"",EDATE($D7,Milestones!$AA$196)&gt;=$S7),$V7,IF(AND($R7&lt;&gt;"",EDATE($D7,Milestones!$AA$196)&gt;=$R7),$U7,$T7)))=Milestones!$AB$196),TEXT(EDATE($D7,Milestones!$AA$196),"dd/mm/yy")&amp;" "&amp;Milestones!$AB$196&amp;" "&amp;Milestones!$AC$196&amp;";  ","")&amp;IF(AND(EDATE($D7,Milestones!$AA$197)&lt;=AsOfDate,IF($Q7=0,$W7,IF(AND($S7&lt;&gt;"",EDATE($D7,Milestones!$AA$197)&gt;=$S7),$V7,IF(AND($R7&lt;&gt;"",EDATE($D7,Milestones!$AA$197)&gt;=$R7),$U7,$T7)))=Milestones!$AB$197),TEXT(EDATE($D7,Milestones!$AA$197),"dd/mm/yy")&amp;" "&amp;Milestones!$AB$197&amp;" "&amp;Milestones!$AC$197&amp;";  ","")&amp;IF(AND(EDATE($D7,Milestones!$AA$198)&lt;=AsOfDate,IF($Q7=0,$W7,IF(AND($S7&lt;&gt;"",EDATE($D7,Milestones!$AA$198)&gt;=$S7),$V7,IF(AND($R7&lt;&gt;"",EDATE($D7,Milestones!$AA$198)&gt;=$R7),$U7,$T7)))=Milestones!$AB$198),TEXT(EDATE($D7,Milestones!$AA$198),"dd/mm/yy")&amp;" "&amp;Milestones!$AB$198&amp;" "&amp;Milestones!$AC$198&amp;";  ","")&amp;IF(AND(EDATE($D7,Milestones!$AA$199)&lt;=AsOfDate,IF($Q7=0,$W7,IF(AND($S7&lt;&gt;"",EDATE($D7,Milestones!$AA$199)&gt;=$S7),$V7,IF(AND($R7&lt;&gt;"",EDATE($D7,Milestones!$AA$199)&gt;=$R7),$U7,$T7)))=Milestones!$AB$199),TEXT(EDATE($D7,Milestones!$AA$199),"dd/mm/yy")&amp;" "&amp;Milestones!$AB$199&amp;" "&amp;Milestones!$AC$199&amp;";  ",""))</f>
        <v/>
      </c>
      <c r="Q7" s="0" t="str">
        <f aca="false">IF(Staff!$A7="","",Staff!$AG7)</f>
        <v/>
      </c>
      <c r="R7" s="0" t="str">
        <f aca="false">IF(Staff!$A7="","",Staff!$AI7)</f>
        <v/>
      </c>
      <c r="S7" s="0" t="str">
        <f aca="false">IF(Staff!$A7="","",Staff!$AJ7)</f>
        <v/>
      </c>
      <c r="T7" s="0" t="str">
        <f aca="false">IF(Staff!$A7="","",Staff!$AN7)</f>
        <v/>
      </c>
      <c r="U7" s="0" t="str">
        <f aca="false">IF(Staff!$A7="","",Staff!$AO7)</f>
        <v/>
      </c>
      <c r="V7" s="0" t="str">
        <f aca="false">IF(Staff!$A7="","",Staff!$AP7)</f>
        <v/>
      </c>
      <c r="W7" s="0" t="str">
        <f aca="false">IF(Staff!$A7="","",Staff!$AQ7)</f>
        <v/>
      </c>
    </row>
    <row r="8" customFormat="false" ht="15" hidden="false" customHeight="false" outlineLevel="0" collapsed="false">
      <c r="A8" s="13" t="str">
        <f aca="false">IF(Staff!$A8="","",Staff!$A8)</f>
        <v/>
      </c>
      <c r="B8" s="13" t="str">
        <f aca="false">IF(Staff!$A8="","",Staff!$B8)</f>
        <v/>
      </c>
      <c r="C8" s="13" t="str">
        <f aca="false">IF(Staff!$A8="","",Staff!$C8)</f>
        <v/>
      </c>
      <c r="D8" s="11" t="str">
        <f aca="false">IF(Staff!$A8="","",Staff!$AF8)</f>
        <v/>
      </c>
      <c r="E8" s="13" t="str">
        <f aca="false">IF(Staff!$A8="","",Staff!$O8)</f>
        <v/>
      </c>
      <c r="F8" s="13" t="str">
        <f aca="false">IF(E8="","",E8*HoursPerDay)</f>
        <v/>
      </c>
      <c r="G8" s="26" t="str">
        <f aca="false">IF($A8="","",H8&amp;I8&amp;J8&amp;K8&amp;L8&amp;M8&amp;N8&amp;O8&amp;P8)</f>
        <v/>
      </c>
      <c r="H8" s="0" t="str">
        <f aca="false">IF(OR($A8="",$D8=""),"",IF(AND(EDATE($D8,Milestones!$AA$20)&lt;=AsOfDate,IF($Q8=0,$W8,IF(AND($S8&lt;&gt;"",EDATE($D8,Milestones!$AA$20)&gt;=$S8),$V8,IF(AND($R8&lt;&gt;"",EDATE($D8,Milestones!$AA$20)&gt;=$R8),$U8,$T8)))=Milestones!$AB$20),TEXT(EDATE($D8,Milestones!$AA$20),"dd/mm/yy")&amp;" "&amp;Milestones!$AB$20&amp;" "&amp;Milestones!$AC$20&amp;";  ","")&amp;IF(AND(EDATE($D8,Milestones!$AA$21)&lt;=AsOfDate,IF($Q8=0,$W8,IF(AND($S8&lt;&gt;"",EDATE($D8,Milestones!$AA$21)&gt;=$S8),$V8,IF(AND($R8&lt;&gt;"",EDATE($D8,Milestones!$AA$21)&gt;=$R8),$U8,$T8)))=Milestones!$AB$21),TEXT(EDATE($D8,Milestones!$AA$21),"dd/mm/yy")&amp;" "&amp;Milestones!$AB$21&amp;" "&amp;Milestones!$AC$21&amp;";  ","")&amp;IF(AND(EDATE($D8,Milestones!$AA$22)&lt;=AsOfDate,IF($Q8=0,$W8,IF(AND($S8&lt;&gt;"",EDATE($D8,Milestones!$AA$22)&gt;=$S8),$V8,IF(AND($R8&lt;&gt;"",EDATE($D8,Milestones!$AA$22)&gt;=$R8),$U8,$T8)))=Milestones!$AB$22),TEXT(EDATE($D8,Milestones!$AA$22),"dd/mm/yy")&amp;" "&amp;Milestones!$AB$22&amp;" "&amp;Milestones!$AC$22&amp;";  ","")&amp;IF(AND(EDATE($D8,Milestones!$AA$23)&lt;=AsOfDate,IF($Q8=0,$W8,IF(AND($S8&lt;&gt;"",EDATE($D8,Milestones!$AA$23)&gt;=$S8),$V8,IF(AND($R8&lt;&gt;"",EDATE($D8,Milestones!$AA$23)&gt;=$R8),$U8,$T8)))=Milestones!$AB$23),TEXT(EDATE($D8,Milestones!$AA$23),"dd/mm/yy")&amp;" "&amp;Milestones!$AB$23&amp;" "&amp;Milestones!$AC$23&amp;";  ","")&amp;IF(AND(EDATE($D8,Milestones!$AA$24)&lt;=AsOfDate,IF($Q8=0,$W8,IF(AND($S8&lt;&gt;"",EDATE($D8,Milestones!$AA$24)&gt;=$S8),$V8,IF(AND($R8&lt;&gt;"",EDATE($D8,Milestones!$AA$24)&gt;=$R8),$U8,$T8)))=Milestones!$AB$24),TEXT(EDATE($D8,Milestones!$AA$24),"dd/mm/yy")&amp;" "&amp;Milestones!$AB$24&amp;" "&amp;Milestones!$AC$24&amp;";  ","")&amp;IF(AND(EDATE($D8,Milestones!$AA$25)&lt;=AsOfDate,IF($Q8=0,$W8,IF(AND($S8&lt;&gt;"",EDATE($D8,Milestones!$AA$25)&gt;=$S8),$V8,IF(AND($R8&lt;&gt;"",EDATE($D8,Milestones!$AA$25)&gt;=$R8),$U8,$T8)))=Milestones!$AB$25),TEXT(EDATE($D8,Milestones!$AA$25),"dd/mm/yy")&amp;" "&amp;Milestones!$AB$25&amp;" "&amp;Milestones!$AC$25&amp;";  ","")&amp;IF(AND(EDATE($D8,Milestones!$AA$26)&lt;=AsOfDate,IF($Q8=0,$W8,IF(AND($S8&lt;&gt;"",EDATE($D8,Milestones!$AA$26)&gt;=$S8),$V8,IF(AND($R8&lt;&gt;"",EDATE($D8,Milestones!$AA$26)&gt;=$R8),$U8,$T8)))=Milestones!$AB$26),TEXT(EDATE($D8,Milestones!$AA$26),"dd/mm/yy")&amp;" "&amp;Milestones!$AB$26&amp;" "&amp;Milestones!$AC$26&amp;";  ","")&amp;IF(AND(EDATE($D8,Milestones!$AA$27)&lt;=AsOfDate,IF($Q8=0,$W8,IF(AND($S8&lt;&gt;"",EDATE($D8,Milestones!$AA$27)&gt;=$S8),$V8,IF(AND($R8&lt;&gt;"",EDATE($D8,Milestones!$AA$27)&gt;=$R8),$U8,$T8)))=Milestones!$AB$27),TEXT(EDATE($D8,Milestones!$AA$27),"dd/mm/yy")&amp;" "&amp;Milestones!$AB$27&amp;" "&amp;Milestones!$AC$27&amp;";  ","")&amp;IF(AND(EDATE($D8,Milestones!$AA$28)&lt;=AsOfDate,IF($Q8=0,$W8,IF(AND($S8&lt;&gt;"",EDATE($D8,Milestones!$AA$28)&gt;=$S8),$V8,IF(AND($R8&lt;&gt;"",EDATE($D8,Milestones!$AA$28)&gt;=$R8),$U8,$T8)))=Milestones!$AB$28),TEXT(EDATE($D8,Milestones!$AA$28),"dd/mm/yy")&amp;" "&amp;Milestones!$AB$28&amp;" "&amp;Milestones!$AC$28&amp;";  ","")&amp;IF(AND(EDATE($D8,Milestones!$AA$29)&lt;=AsOfDate,IF($Q8=0,$W8,IF(AND($S8&lt;&gt;"",EDATE($D8,Milestones!$AA$29)&gt;=$S8),$V8,IF(AND($R8&lt;&gt;"",EDATE($D8,Milestones!$AA$29)&gt;=$R8),$U8,$T8)))=Milestones!$AB$29),TEXT(EDATE($D8,Milestones!$AA$29),"dd/mm/yy")&amp;" "&amp;Milestones!$AB$29&amp;" "&amp;Milestones!$AC$29&amp;";  ","")&amp;IF(AND(EDATE($D8,Milestones!$AA$30)&lt;=AsOfDate,IF($Q8=0,$W8,IF(AND($S8&lt;&gt;"",EDATE($D8,Milestones!$AA$30)&gt;=$S8),$V8,IF(AND($R8&lt;&gt;"",EDATE($D8,Milestones!$AA$30)&gt;=$R8),$U8,$T8)))=Milestones!$AB$30),TEXT(EDATE($D8,Milestones!$AA$30),"dd/mm/yy")&amp;" "&amp;Milestones!$AB$30&amp;" "&amp;Milestones!$AC$30&amp;";  ","")&amp;IF(AND(EDATE($D8,Milestones!$AA$31)&lt;=AsOfDate,IF($Q8=0,$W8,IF(AND($S8&lt;&gt;"",EDATE($D8,Milestones!$AA$31)&gt;=$S8),$V8,IF(AND($R8&lt;&gt;"",EDATE($D8,Milestones!$AA$31)&gt;=$R8),$U8,$T8)))=Milestones!$AB$31),TEXT(EDATE($D8,Milestones!$AA$31),"dd/mm/yy")&amp;" "&amp;Milestones!$AB$31&amp;" "&amp;Milestones!$AC$31&amp;";  ","")&amp;IF(AND(EDATE($D8,Milestones!$AA$32)&lt;=AsOfDate,IF($Q8=0,$W8,IF(AND($S8&lt;&gt;"",EDATE($D8,Milestones!$AA$32)&gt;=$S8),$V8,IF(AND($R8&lt;&gt;"",EDATE($D8,Milestones!$AA$32)&gt;=$R8),$U8,$T8)))=Milestones!$AB$32),TEXT(EDATE($D8,Milestones!$AA$32),"dd/mm/yy")&amp;" "&amp;Milestones!$AB$32&amp;" "&amp;Milestones!$AC$32&amp;";  ","")&amp;IF(AND(EDATE($D8,Milestones!$AA$33)&lt;=AsOfDate,IF($Q8=0,$W8,IF(AND($S8&lt;&gt;"",EDATE($D8,Milestones!$AA$33)&gt;=$S8),$V8,IF(AND($R8&lt;&gt;"",EDATE($D8,Milestones!$AA$33)&gt;=$R8),$U8,$T8)))=Milestones!$AB$33),TEXT(EDATE($D8,Milestones!$AA$33),"dd/mm/yy")&amp;" "&amp;Milestones!$AB$33&amp;" "&amp;Milestones!$AC$33&amp;";  ","")&amp;IF(AND(EDATE($D8,Milestones!$AA$34)&lt;=AsOfDate,IF($Q8=0,$W8,IF(AND($S8&lt;&gt;"",EDATE($D8,Milestones!$AA$34)&gt;=$S8),$V8,IF(AND($R8&lt;&gt;"",EDATE($D8,Milestones!$AA$34)&gt;=$R8),$U8,$T8)))=Milestones!$AB$34),TEXT(EDATE($D8,Milestones!$AA$34),"dd/mm/yy")&amp;" "&amp;Milestones!$AB$34&amp;" "&amp;Milestones!$AC$34&amp;";  ","")&amp;IF(AND(EDATE($D8,Milestones!$AA$35)&lt;=AsOfDate,IF($Q8=0,$W8,IF(AND($S8&lt;&gt;"",EDATE($D8,Milestones!$AA$35)&gt;=$S8),$V8,IF(AND($R8&lt;&gt;"",EDATE($D8,Milestones!$AA$35)&gt;=$R8),$U8,$T8)))=Milestones!$AB$35),TEXT(EDATE($D8,Milestones!$AA$35),"dd/mm/yy")&amp;" "&amp;Milestones!$AB$35&amp;" "&amp;Milestones!$AC$35&amp;";  ","")&amp;IF(AND(EDATE($D8,Milestones!$AA$36)&lt;=AsOfDate,IF($Q8=0,$W8,IF(AND($S8&lt;&gt;"",EDATE($D8,Milestones!$AA$36)&gt;=$S8),$V8,IF(AND($R8&lt;&gt;"",EDATE($D8,Milestones!$AA$36)&gt;=$R8),$U8,$T8)))=Milestones!$AB$36),TEXT(EDATE($D8,Milestones!$AA$36),"dd/mm/yy")&amp;" "&amp;Milestones!$AB$36&amp;" "&amp;Milestones!$AC$36&amp;";  ","")&amp;IF(AND(EDATE($D8,Milestones!$AA$37)&lt;=AsOfDate,IF($Q8=0,$W8,IF(AND($S8&lt;&gt;"",EDATE($D8,Milestones!$AA$37)&gt;=$S8),$V8,IF(AND($R8&lt;&gt;"",EDATE($D8,Milestones!$AA$37)&gt;=$R8),$U8,$T8)))=Milestones!$AB$37),TEXT(EDATE($D8,Milestones!$AA$37),"dd/mm/yy")&amp;" "&amp;Milestones!$AB$37&amp;" "&amp;Milestones!$AC$37&amp;";  ","")&amp;IF(AND(EDATE($D8,Milestones!$AA$38)&lt;=AsOfDate,IF($Q8=0,$W8,IF(AND($S8&lt;&gt;"",EDATE($D8,Milestones!$AA$38)&gt;=$S8),$V8,IF(AND($R8&lt;&gt;"",EDATE($D8,Milestones!$AA$38)&gt;=$R8),$U8,$T8)))=Milestones!$AB$38),TEXT(EDATE($D8,Milestones!$AA$38),"dd/mm/yy")&amp;" "&amp;Milestones!$AB$38&amp;" "&amp;Milestones!$AC$38&amp;";  ","")&amp;IF(AND(EDATE($D8,Milestones!$AA$39)&lt;=AsOfDate,IF($Q8=0,$W8,IF(AND($S8&lt;&gt;"",EDATE($D8,Milestones!$AA$39)&gt;=$S8),$V8,IF(AND($R8&lt;&gt;"",EDATE($D8,Milestones!$AA$39)&gt;=$R8),$U8,$T8)))=Milestones!$AB$39),TEXT(EDATE($D8,Milestones!$AA$39),"dd/mm/yy")&amp;" "&amp;Milestones!$AB$39&amp;" "&amp;Milestones!$AC$39&amp;";  ",""))</f>
        <v/>
      </c>
      <c r="I8" s="0" t="str">
        <f aca="false">IF(OR($A8="",$D8=""),"",IF(AND(EDATE($D8,Milestones!$AA$40)&lt;=AsOfDate,IF($Q8=0,$W8,IF(AND($S8&lt;&gt;"",EDATE($D8,Milestones!$AA$40)&gt;=$S8),$V8,IF(AND($R8&lt;&gt;"",EDATE($D8,Milestones!$AA$40)&gt;=$R8),$U8,$T8)))=Milestones!$AB$40),TEXT(EDATE($D8,Milestones!$AA$40),"dd/mm/yy")&amp;" "&amp;Milestones!$AB$40&amp;" "&amp;Milestones!$AC$40&amp;";  ","")&amp;IF(AND(EDATE($D8,Milestones!$AA$41)&lt;=AsOfDate,IF($Q8=0,$W8,IF(AND($S8&lt;&gt;"",EDATE($D8,Milestones!$AA$41)&gt;=$S8),$V8,IF(AND($R8&lt;&gt;"",EDATE($D8,Milestones!$AA$41)&gt;=$R8),$U8,$T8)))=Milestones!$AB$41),TEXT(EDATE($D8,Milestones!$AA$41),"dd/mm/yy")&amp;" "&amp;Milestones!$AB$41&amp;" "&amp;Milestones!$AC$41&amp;";  ","")&amp;IF(AND(EDATE($D8,Milestones!$AA$42)&lt;=AsOfDate,IF($Q8=0,$W8,IF(AND($S8&lt;&gt;"",EDATE($D8,Milestones!$AA$42)&gt;=$S8),$V8,IF(AND($R8&lt;&gt;"",EDATE($D8,Milestones!$AA$42)&gt;=$R8),$U8,$T8)))=Milestones!$AB$42),TEXT(EDATE($D8,Milestones!$AA$42),"dd/mm/yy")&amp;" "&amp;Milestones!$AB$42&amp;" "&amp;Milestones!$AC$42&amp;";  ","")&amp;IF(AND(EDATE($D8,Milestones!$AA$43)&lt;=AsOfDate,IF($Q8=0,$W8,IF(AND($S8&lt;&gt;"",EDATE($D8,Milestones!$AA$43)&gt;=$S8),$V8,IF(AND($R8&lt;&gt;"",EDATE($D8,Milestones!$AA$43)&gt;=$R8),$U8,$T8)))=Milestones!$AB$43),TEXT(EDATE($D8,Milestones!$AA$43),"dd/mm/yy")&amp;" "&amp;Milestones!$AB$43&amp;" "&amp;Milestones!$AC$43&amp;";  ","")&amp;IF(AND(EDATE($D8,Milestones!$AA$44)&lt;=AsOfDate,IF($Q8=0,$W8,IF(AND($S8&lt;&gt;"",EDATE($D8,Milestones!$AA$44)&gt;=$S8),$V8,IF(AND($R8&lt;&gt;"",EDATE($D8,Milestones!$AA$44)&gt;=$R8),$U8,$T8)))=Milestones!$AB$44),TEXT(EDATE($D8,Milestones!$AA$44),"dd/mm/yy")&amp;" "&amp;Milestones!$AB$44&amp;" "&amp;Milestones!$AC$44&amp;";  ","")&amp;IF(AND(EDATE($D8,Milestones!$AA$45)&lt;=AsOfDate,IF($Q8=0,$W8,IF(AND($S8&lt;&gt;"",EDATE($D8,Milestones!$AA$45)&gt;=$S8),$V8,IF(AND($R8&lt;&gt;"",EDATE($D8,Milestones!$AA$45)&gt;=$R8),$U8,$T8)))=Milestones!$AB$45),TEXT(EDATE($D8,Milestones!$AA$45),"dd/mm/yy")&amp;" "&amp;Milestones!$AB$45&amp;" "&amp;Milestones!$AC$45&amp;";  ","")&amp;IF(AND(EDATE($D8,Milestones!$AA$46)&lt;=AsOfDate,IF($Q8=0,$W8,IF(AND($S8&lt;&gt;"",EDATE($D8,Milestones!$AA$46)&gt;=$S8),$V8,IF(AND($R8&lt;&gt;"",EDATE($D8,Milestones!$AA$46)&gt;=$R8),$U8,$T8)))=Milestones!$AB$46),TEXT(EDATE($D8,Milestones!$AA$46),"dd/mm/yy")&amp;" "&amp;Milestones!$AB$46&amp;" "&amp;Milestones!$AC$46&amp;";  ","")&amp;IF(AND(EDATE($D8,Milestones!$AA$47)&lt;=AsOfDate,IF($Q8=0,$W8,IF(AND($S8&lt;&gt;"",EDATE($D8,Milestones!$AA$47)&gt;=$S8),$V8,IF(AND($R8&lt;&gt;"",EDATE($D8,Milestones!$AA$47)&gt;=$R8),$U8,$T8)))=Milestones!$AB$47),TEXT(EDATE($D8,Milestones!$AA$47),"dd/mm/yy")&amp;" "&amp;Milestones!$AB$47&amp;" "&amp;Milestones!$AC$47&amp;";  ","")&amp;IF(AND(EDATE($D8,Milestones!$AA$48)&lt;=AsOfDate,IF($Q8=0,$W8,IF(AND($S8&lt;&gt;"",EDATE($D8,Milestones!$AA$48)&gt;=$S8),$V8,IF(AND($R8&lt;&gt;"",EDATE($D8,Milestones!$AA$48)&gt;=$R8),$U8,$T8)))=Milestones!$AB$48),TEXT(EDATE($D8,Milestones!$AA$48),"dd/mm/yy")&amp;" "&amp;Milestones!$AB$48&amp;" "&amp;Milestones!$AC$48&amp;";  ","")&amp;IF(AND(EDATE($D8,Milestones!$AA$49)&lt;=AsOfDate,IF($Q8=0,$W8,IF(AND($S8&lt;&gt;"",EDATE($D8,Milestones!$AA$49)&gt;=$S8),$V8,IF(AND($R8&lt;&gt;"",EDATE($D8,Milestones!$AA$49)&gt;=$R8),$U8,$T8)))=Milestones!$AB$49),TEXT(EDATE($D8,Milestones!$AA$49),"dd/mm/yy")&amp;" "&amp;Milestones!$AB$49&amp;" "&amp;Milestones!$AC$49&amp;";  ","")&amp;IF(AND(EDATE($D8,Milestones!$AA$50)&lt;=AsOfDate,IF($Q8=0,$W8,IF(AND($S8&lt;&gt;"",EDATE($D8,Milestones!$AA$50)&gt;=$S8),$V8,IF(AND($R8&lt;&gt;"",EDATE($D8,Milestones!$AA$50)&gt;=$R8),$U8,$T8)))=Milestones!$AB$50),TEXT(EDATE($D8,Milestones!$AA$50),"dd/mm/yy")&amp;" "&amp;Milestones!$AB$50&amp;" "&amp;Milestones!$AC$50&amp;";  ","")&amp;IF(AND(EDATE($D8,Milestones!$AA$51)&lt;=AsOfDate,IF($Q8=0,$W8,IF(AND($S8&lt;&gt;"",EDATE($D8,Milestones!$AA$51)&gt;=$S8),$V8,IF(AND($R8&lt;&gt;"",EDATE($D8,Milestones!$AA$51)&gt;=$R8),$U8,$T8)))=Milestones!$AB$51),TEXT(EDATE($D8,Milestones!$AA$51),"dd/mm/yy")&amp;" "&amp;Milestones!$AB$51&amp;" "&amp;Milestones!$AC$51&amp;";  ","")&amp;IF(AND(EDATE($D8,Milestones!$AA$52)&lt;=AsOfDate,IF($Q8=0,$W8,IF(AND($S8&lt;&gt;"",EDATE($D8,Milestones!$AA$52)&gt;=$S8),$V8,IF(AND($R8&lt;&gt;"",EDATE($D8,Milestones!$AA$52)&gt;=$R8),$U8,$T8)))=Milestones!$AB$52),TEXT(EDATE($D8,Milestones!$AA$52),"dd/mm/yy")&amp;" "&amp;Milestones!$AB$52&amp;" "&amp;Milestones!$AC$52&amp;";  ","")&amp;IF(AND(EDATE($D8,Milestones!$AA$53)&lt;=AsOfDate,IF($Q8=0,$W8,IF(AND($S8&lt;&gt;"",EDATE($D8,Milestones!$AA$53)&gt;=$S8),$V8,IF(AND($R8&lt;&gt;"",EDATE($D8,Milestones!$AA$53)&gt;=$R8),$U8,$T8)))=Milestones!$AB$53),TEXT(EDATE($D8,Milestones!$AA$53),"dd/mm/yy")&amp;" "&amp;Milestones!$AB$53&amp;" "&amp;Milestones!$AC$53&amp;";  ","")&amp;IF(AND(EDATE($D8,Milestones!$AA$54)&lt;=AsOfDate,IF($Q8=0,$W8,IF(AND($S8&lt;&gt;"",EDATE($D8,Milestones!$AA$54)&gt;=$S8),$V8,IF(AND($R8&lt;&gt;"",EDATE($D8,Milestones!$AA$54)&gt;=$R8),$U8,$T8)))=Milestones!$AB$54),TEXT(EDATE($D8,Milestones!$AA$54),"dd/mm/yy")&amp;" "&amp;Milestones!$AB$54&amp;" "&amp;Milestones!$AC$54&amp;";  ","")&amp;IF(AND(EDATE($D8,Milestones!$AA$55)&lt;=AsOfDate,IF($Q8=0,$W8,IF(AND($S8&lt;&gt;"",EDATE($D8,Milestones!$AA$55)&gt;=$S8),$V8,IF(AND($R8&lt;&gt;"",EDATE($D8,Milestones!$AA$55)&gt;=$R8),$U8,$T8)))=Milestones!$AB$55),TEXT(EDATE($D8,Milestones!$AA$55),"dd/mm/yy")&amp;" "&amp;Milestones!$AB$55&amp;" "&amp;Milestones!$AC$55&amp;";  ","")&amp;IF(AND(EDATE($D8,Milestones!$AA$56)&lt;=AsOfDate,IF($Q8=0,$W8,IF(AND($S8&lt;&gt;"",EDATE($D8,Milestones!$AA$56)&gt;=$S8),$V8,IF(AND($R8&lt;&gt;"",EDATE($D8,Milestones!$AA$56)&gt;=$R8),$U8,$T8)))=Milestones!$AB$56),TEXT(EDATE($D8,Milestones!$AA$56),"dd/mm/yy")&amp;" "&amp;Milestones!$AB$56&amp;" "&amp;Milestones!$AC$56&amp;";  ","")&amp;IF(AND(EDATE($D8,Milestones!$AA$57)&lt;=AsOfDate,IF($Q8=0,$W8,IF(AND($S8&lt;&gt;"",EDATE($D8,Milestones!$AA$57)&gt;=$S8),$V8,IF(AND($R8&lt;&gt;"",EDATE($D8,Milestones!$AA$57)&gt;=$R8),$U8,$T8)))=Milestones!$AB$57),TEXT(EDATE($D8,Milestones!$AA$57),"dd/mm/yy")&amp;" "&amp;Milestones!$AB$57&amp;" "&amp;Milestones!$AC$57&amp;";  ","")&amp;IF(AND(EDATE($D8,Milestones!$AA$58)&lt;=AsOfDate,IF($Q8=0,$W8,IF(AND($S8&lt;&gt;"",EDATE($D8,Milestones!$AA$58)&gt;=$S8),$V8,IF(AND($R8&lt;&gt;"",EDATE($D8,Milestones!$AA$58)&gt;=$R8),$U8,$T8)))=Milestones!$AB$58),TEXT(EDATE($D8,Milestones!$AA$58),"dd/mm/yy")&amp;" "&amp;Milestones!$AB$58&amp;" "&amp;Milestones!$AC$58&amp;";  ","")&amp;IF(AND(EDATE($D8,Milestones!$AA$59)&lt;=AsOfDate,IF($Q8=0,$W8,IF(AND($S8&lt;&gt;"",EDATE($D8,Milestones!$AA$59)&gt;=$S8),$V8,IF(AND($R8&lt;&gt;"",EDATE($D8,Milestones!$AA$59)&gt;=$R8),$U8,$T8)))=Milestones!$AB$59),TEXT(EDATE($D8,Milestones!$AA$59),"dd/mm/yy")&amp;" "&amp;Milestones!$AB$59&amp;" "&amp;Milestones!$AC$59&amp;";  ",""))</f>
        <v/>
      </c>
      <c r="J8" s="0" t="str">
        <f aca="false">IF(OR($A8="",$D8=""),"",IF(AND(EDATE($D8,Milestones!$AA$60)&lt;=AsOfDate,IF($Q8=0,$W8,IF(AND($S8&lt;&gt;"",EDATE($D8,Milestones!$AA$60)&gt;=$S8),$V8,IF(AND($R8&lt;&gt;"",EDATE($D8,Milestones!$AA$60)&gt;=$R8),$U8,$T8)))=Milestones!$AB$60),TEXT(EDATE($D8,Milestones!$AA$60),"dd/mm/yy")&amp;" "&amp;Milestones!$AB$60&amp;" "&amp;Milestones!$AC$60&amp;";  ","")&amp;IF(AND(EDATE($D8,Milestones!$AA$61)&lt;=AsOfDate,IF($Q8=0,$W8,IF(AND($S8&lt;&gt;"",EDATE($D8,Milestones!$AA$61)&gt;=$S8),$V8,IF(AND($R8&lt;&gt;"",EDATE($D8,Milestones!$AA$61)&gt;=$R8),$U8,$T8)))=Milestones!$AB$61),TEXT(EDATE($D8,Milestones!$AA$61),"dd/mm/yy")&amp;" "&amp;Milestones!$AB$61&amp;" "&amp;Milestones!$AC$61&amp;";  ","")&amp;IF(AND(EDATE($D8,Milestones!$AA$62)&lt;=AsOfDate,IF($Q8=0,$W8,IF(AND($S8&lt;&gt;"",EDATE($D8,Milestones!$AA$62)&gt;=$S8),$V8,IF(AND($R8&lt;&gt;"",EDATE($D8,Milestones!$AA$62)&gt;=$R8),$U8,$T8)))=Milestones!$AB$62),TEXT(EDATE($D8,Milestones!$AA$62),"dd/mm/yy")&amp;" "&amp;Milestones!$AB$62&amp;" "&amp;Milestones!$AC$62&amp;";  ","")&amp;IF(AND(EDATE($D8,Milestones!$AA$63)&lt;=AsOfDate,IF($Q8=0,$W8,IF(AND($S8&lt;&gt;"",EDATE($D8,Milestones!$AA$63)&gt;=$S8),$V8,IF(AND($R8&lt;&gt;"",EDATE($D8,Milestones!$AA$63)&gt;=$R8),$U8,$T8)))=Milestones!$AB$63),TEXT(EDATE($D8,Milestones!$AA$63),"dd/mm/yy")&amp;" "&amp;Milestones!$AB$63&amp;" "&amp;Milestones!$AC$63&amp;";  ","")&amp;IF(AND(EDATE($D8,Milestones!$AA$64)&lt;=AsOfDate,IF($Q8=0,$W8,IF(AND($S8&lt;&gt;"",EDATE($D8,Milestones!$AA$64)&gt;=$S8),$V8,IF(AND($R8&lt;&gt;"",EDATE($D8,Milestones!$AA$64)&gt;=$R8),$U8,$T8)))=Milestones!$AB$64),TEXT(EDATE($D8,Milestones!$AA$64),"dd/mm/yy")&amp;" "&amp;Milestones!$AB$64&amp;" "&amp;Milestones!$AC$64&amp;";  ","")&amp;IF(AND(EDATE($D8,Milestones!$AA$65)&lt;=AsOfDate,IF($Q8=0,$W8,IF(AND($S8&lt;&gt;"",EDATE($D8,Milestones!$AA$65)&gt;=$S8),$V8,IF(AND($R8&lt;&gt;"",EDATE($D8,Milestones!$AA$65)&gt;=$R8),$U8,$T8)))=Milestones!$AB$65),TEXT(EDATE($D8,Milestones!$AA$65),"dd/mm/yy")&amp;" "&amp;Milestones!$AB$65&amp;" "&amp;Milestones!$AC$65&amp;";  ","")&amp;IF(AND(EDATE($D8,Milestones!$AA$66)&lt;=AsOfDate,IF($Q8=0,$W8,IF(AND($S8&lt;&gt;"",EDATE($D8,Milestones!$AA$66)&gt;=$S8),$V8,IF(AND($R8&lt;&gt;"",EDATE($D8,Milestones!$AA$66)&gt;=$R8),$U8,$T8)))=Milestones!$AB$66),TEXT(EDATE($D8,Milestones!$AA$66),"dd/mm/yy")&amp;" "&amp;Milestones!$AB$66&amp;" "&amp;Milestones!$AC$66&amp;";  ","")&amp;IF(AND(EDATE($D8,Milestones!$AA$67)&lt;=AsOfDate,IF($Q8=0,$W8,IF(AND($S8&lt;&gt;"",EDATE($D8,Milestones!$AA$67)&gt;=$S8),$V8,IF(AND($R8&lt;&gt;"",EDATE($D8,Milestones!$AA$67)&gt;=$R8),$U8,$T8)))=Milestones!$AB$67),TEXT(EDATE($D8,Milestones!$AA$67),"dd/mm/yy")&amp;" "&amp;Milestones!$AB$67&amp;" "&amp;Milestones!$AC$67&amp;";  ","")&amp;IF(AND(EDATE($D8,Milestones!$AA$68)&lt;=AsOfDate,IF($Q8=0,$W8,IF(AND($S8&lt;&gt;"",EDATE($D8,Milestones!$AA$68)&gt;=$S8),$V8,IF(AND($R8&lt;&gt;"",EDATE($D8,Milestones!$AA$68)&gt;=$R8),$U8,$T8)))=Milestones!$AB$68),TEXT(EDATE($D8,Milestones!$AA$68),"dd/mm/yy")&amp;" "&amp;Milestones!$AB$68&amp;" "&amp;Milestones!$AC$68&amp;";  ","")&amp;IF(AND(EDATE($D8,Milestones!$AA$69)&lt;=AsOfDate,IF($Q8=0,$W8,IF(AND($S8&lt;&gt;"",EDATE($D8,Milestones!$AA$69)&gt;=$S8),$V8,IF(AND($R8&lt;&gt;"",EDATE($D8,Milestones!$AA$69)&gt;=$R8),$U8,$T8)))=Milestones!$AB$69),TEXT(EDATE($D8,Milestones!$AA$69),"dd/mm/yy")&amp;" "&amp;Milestones!$AB$69&amp;" "&amp;Milestones!$AC$69&amp;";  ","")&amp;IF(AND(EDATE($D8,Milestones!$AA$70)&lt;=AsOfDate,IF($Q8=0,$W8,IF(AND($S8&lt;&gt;"",EDATE($D8,Milestones!$AA$70)&gt;=$S8),$V8,IF(AND($R8&lt;&gt;"",EDATE($D8,Milestones!$AA$70)&gt;=$R8),$U8,$T8)))=Milestones!$AB$70),TEXT(EDATE($D8,Milestones!$AA$70),"dd/mm/yy")&amp;" "&amp;Milestones!$AB$70&amp;" "&amp;Milestones!$AC$70&amp;";  ","")&amp;IF(AND(EDATE($D8,Milestones!$AA$71)&lt;=AsOfDate,IF($Q8=0,$W8,IF(AND($S8&lt;&gt;"",EDATE($D8,Milestones!$AA$71)&gt;=$S8),$V8,IF(AND($R8&lt;&gt;"",EDATE($D8,Milestones!$AA$71)&gt;=$R8),$U8,$T8)))=Milestones!$AB$71),TEXT(EDATE($D8,Milestones!$AA$71),"dd/mm/yy")&amp;" "&amp;Milestones!$AB$71&amp;" "&amp;Milestones!$AC$71&amp;";  ","")&amp;IF(AND(EDATE($D8,Milestones!$AA$72)&lt;=AsOfDate,IF($Q8=0,$W8,IF(AND($S8&lt;&gt;"",EDATE($D8,Milestones!$AA$72)&gt;=$S8),$V8,IF(AND($R8&lt;&gt;"",EDATE($D8,Milestones!$AA$72)&gt;=$R8),$U8,$T8)))=Milestones!$AB$72),TEXT(EDATE($D8,Milestones!$AA$72),"dd/mm/yy")&amp;" "&amp;Milestones!$AB$72&amp;" "&amp;Milestones!$AC$72&amp;";  ","")&amp;IF(AND(EDATE($D8,Milestones!$AA$73)&lt;=AsOfDate,IF($Q8=0,$W8,IF(AND($S8&lt;&gt;"",EDATE($D8,Milestones!$AA$73)&gt;=$S8),$V8,IF(AND($R8&lt;&gt;"",EDATE($D8,Milestones!$AA$73)&gt;=$R8),$U8,$T8)))=Milestones!$AB$73),TEXT(EDATE($D8,Milestones!$AA$73),"dd/mm/yy")&amp;" "&amp;Milestones!$AB$73&amp;" "&amp;Milestones!$AC$73&amp;";  ","")&amp;IF(AND(EDATE($D8,Milestones!$AA$74)&lt;=AsOfDate,IF($Q8=0,$W8,IF(AND($S8&lt;&gt;"",EDATE($D8,Milestones!$AA$74)&gt;=$S8),$V8,IF(AND($R8&lt;&gt;"",EDATE($D8,Milestones!$AA$74)&gt;=$R8),$U8,$T8)))=Milestones!$AB$74),TEXT(EDATE($D8,Milestones!$AA$74),"dd/mm/yy")&amp;" "&amp;Milestones!$AB$74&amp;" "&amp;Milestones!$AC$74&amp;";  ","")&amp;IF(AND(EDATE($D8,Milestones!$AA$75)&lt;=AsOfDate,IF($Q8=0,$W8,IF(AND($S8&lt;&gt;"",EDATE($D8,Milestones!$AA$75)&gt;=$S8),$V8,IF(AND($R8&lt;&gt;"",EDATE($D8,Milestones!$AA$75)&gt;=$R8),$U8,$T8)))=Milestones!$AB$75),TEXT(EDATE($D8,Milestones!$AA$75),"dd/mm/yy")&amp;" "&amp;Milestones!$AB$75&amp;" "&amp;Milestones!$AC$75&amp;";  ","")&amp;IF(AND(EDATE($D8,Milestones!$AA$76)&lt;=AsOfDate,IF($Q8=0,$W8,IF(AND($S8&lt;&gt;"",EDATE($D8,Milestones!$AA$76)&gt;=$S8),$V8,IF(AND($R8&lt;&gt;"",EDATE($D8,Milestones!$AA$76)&gt;=$R8),$U8,$T8)))=Milestones!$AB$76),TEXT(EDATE($D8,Milestones!$AA$76),"dd/mm/yy")&amp;" "&amp;Milestones!$AB$76&amp;" "&amp;Milestones!$AC$76&amp;";  ","")&amp;IF(AND(EDATE($D8,Milestones!$AA$77)&lt;=AsOfDate,IF($Q8=0,$W8,IF(AND($S8&lt;&gt;"",EDATE($D8,Milestones!$AA$77)&gt;=$S8),$V8,IF(AND($R8&lt;&gt;"",EDATE($D8,Milestones!$AA$77)&gt;=$R8),$U8,$T8)))=Milestones!$AB$77),TEXT(EDATE($D8,Milestones!$AA$77),"dd/mm/yy")&amp;" "&amp;Milestones!$AB$77&amp;" "&amp;Milestones!$AC$77&amp;";  ","")&amp;IF(AND(EDATE($D8,Milestones!$AA$78)&lt;=AsOfDate,IF($Q8=0,$W8,IF(AND($S8&lt;&gt;"",EDATE($D8,Milestones!$AA$78)&gt;=$S8),$V8,IF(AND($R8&lt;&gt;"",EDATE($D8,Milestones!$AA$78)&gt;=$R8),$U8,$T8)))=Milestones!$AB$78),TEXT(EDATE($D8,Milestones!$AA$78),"dd/mm/yy")&amp;" "&amp;Milestones!$AB$78&amp;" "&amp;Milestones!$AC$78&amp;";  ","")&amp;IF(AND(EDATE($D8,Milestones!$AA$79)&lt;=AsOfDate,IF($Q8=0,$W8,IF(AND($S8&lt;&gt;"",EDATE($D8,Milestones!$AA$79)&gt;=$S8),$V8,IF(AND($R8&lt;&gt;"",EDATE($D8,Milestones!$AA$79)&gt;=$R8),$U8,$T8)))=Milestones!$AB$79),TEXT(EDATE($D8,Milestones!$AA$79),"dd/mm/yy")&amp;" "&amp;Milestones!$AB$79&amp;" "&amp;Milestones!$AC$79&amp;";  ",""))</f>
        <v/>
      </c>
      <c r="K8" s="0" t="str">
        <f aca="false">IF(OR($A8="",$D8=""),"",IF(AND(EDATE($D8,Milestones!$AA$80)&lt;=AsOfDate,IF($Q8=0,$W8,IF(AND($S8&lt;&gt;"",EDATE($D8,Milestones!$AA$80)&gt;=$S8),$V8,IF(AND($R8&lt;&gt;"",EDATE($D8,Milestones!$AA$80)&gt;=$R8),$U8,$T8)))=Milestones!$AB$80),TEXT(EDATE($D8,Milestones!$AA$80),"dd/mm/yy")&amp;" "&amp;Milestones!$AB$80&amp;" "&amp;Milestones!$AC$80&amp;";  ","")&amp;IF(AND(EDATE($D8,Milestones!$AA$81)&lt;=AsOfDate,IF($Q8=0,$W8,IF(AND($S8&lt;&gt;"",EDATE($D8,Milestones!$AA$81)&gt;=$S8),$V8,IF(AND($R8&lt;&gt;"",EDATE($D8,Milestones!$AA$81)&gt;=$R8),$U8,$T8)))=Milestones!$AB$81),TEXT(EDATE($D8,Milestones!$AA$81),"dd/mm/yy")&amp;" "&amp;Milestones!$AB$81&amp;" "&amp;Milestones!$AC$81&amp;";  ","")&amp;IF(AND(EDATE($D8,Milestones!$AA$82)&lt;=AsOfDate,IF($Q8=0,$W8,IF(AND($S8&lt;&gt;"",EDATE($D8,Milestones!$AA$82)&gt;=$S8),$V8,IF(AND($R8&lt;&gt;"",EDATE($D8,Milestones!$AA$82)&gt;=$R8),$U8,$T8)))=Milestones!$AB$82),TEXT(EDATE($D8,Milestones!$AA$82),"dd/mm/yy")&amp;" "&amp;Milestones!$AB$82&amp;" "&amp;Milestones!$AC$82&amp;";  ","")&amp;IF(AND(EDATE($D8,Milestones!$AA$83)&lt;=AsOfDate,IF($Q8=0,$W8,IF(AND($S8&lt;&gt;"",EDATE($D8,Milestones!$AA$83)&gt;=$S8),$V8,IF(AND($R8&lt;&gt;"",EDATE($D8,Milestones!$AA$83)&gt;=$R8),$U8,$T8)))=Milestones!$AB$83),TEXT(EDATE($D8,Milestones!$AA$83),"dd/mm/yy")&amp;" "&amp;Milestones!$AB$83&amp;" "&amp;Milestones!$AC$83&amp;";  ","")&amp;IF(AND(EDATE($D8,Milestones!$AA$84)&lt;=AsOfDate,IF($Q8=0,$W8,IF(AND($S8&lt;&gt;"",EDATE($D8,Milestones!$AA$84)&gt;=$S8),$V8,IF(AND($R8&lt;&gt;"",EDATE($D8,Milestones!$AA$84)&gt;=$R8),$U8,$T8)))=Milestones!$AB$84),TEXT(EDATE($D8,Milestones!$AA$84),"dd/mm/yy")&amp;" "&amp;Milestones!$AB$84&amp;" "&amp;Milestones!$AC$84&amp;";  ","")&amp;IF(AND(EDATE($D8,Milestones!$AA$85)&lt;=AsOfDate,IF($Q8=0,$W8,IF(AND($S8&lt;&gt;"",EDATE($D8,Milestones!$AA$85)&gt;=$S8),$V8,IF(AND($R8&lt;&gt;"",EDATE($D8,Milestones!$AA$85)&gt;=$R8),$U8,$T8)))=Milestones!$AB$85),TEXT(EDATE($D8,Milestones!$AA$85),"dd/mm/yy")&amp;" "&amp;Milestones!$AB$85&amp;" "&amp;Milestones!$AC$85&amp;";  ","")&amp;IF(AND(EDATE($D8,Milestones!$AA$86)&lt;=AsOfDate,IF($Q8=0,$W8,IF(AND($S8&lt;&gt;"",EDATE($D8,Milestones!$AA$86)&gt;=$S8),$V8,IF(AND($R8&lt;&gt;"",EDATE($D8,Milestones!$AA$86)&gt;=$R8),$U8,$T8)))=Milestones!$AB$86),TEXT(EDATE($D8,Milestones!$AA$86),"dd/mm/yy")&amp;" "&amp;Milestones!$AB$86&amp;" "&amp;Milestones!$AC$86&amp;";  ","")&amp;IF(AND(EDATE($D8,Milestones!$AA$87)&lt;=AsOfDate,IF($Q8=0,$W8,IF(AND($S8&lt;&gt;"",EDATE($D8,Milestones!$AA$87)&gt;=$S8),$V8,IF(AND($R8&lt;&gt;"",EDATE($D8,Milestones!$AA$87)&gt;=$R8),$U8,$T8)))=Milestones!$AB$87),TEXT(EDATE($D8,Milestones!$AA$87),"dd/mm/yy")&amp;" "&amp;Milestones!$AB$87&amp;" "&amp;Milestones!$AC$87&amp;";  ","")&amp;IF(AND(EDATE($D8,Milestones!$AA$88)&lt;=AsOfDate,IF($Q8=0,$W8,IF(AND($S8&lt;&gt;"",EDATE($D8,Milestones!$AA$88)&gt;=$S8),$V8,IF(AND($R8&lt;&gt;"",EDATE($D8,Milestones!$AA$88)&gt;=$R8),$U8,$T8)))=Milestones!$AB$88),TEXT(EDATE($D8,Milestones!$AA$88),"dd/mm/yy")&amp;" "&amp;Milestones!$AB$88&amp;" "&amp;Milestones!$AC$88&amp;";  ","")&amp;IF(AND(EDATE($D8,Milestones!$AA$89)&lt;=AsOfDate,IF($Q8=0,$W8,IF(AND($S8&lt;&gt;"",EDATE($D8,Milestones!$AA$89)&gt;=$S8),$V8,IF(AND($R8&lt;&gt;"",EDATE($D8,Milestones!$AA$89)&gt;=$R8),$U8,$T8)))=Milestones!$AB$89),TEXT(EDATE($D8,Milestones!$AA$89),"dd/mm/yy")&amp;" "&amp;Milestones!$AB$89&amp;" "&amp;Milestones!$AC$89&amp;";  ","")&amp;IF(AND(EDATE($D8,Milestones!$AA$90)&lt;=AsOfDate,IF($Q8=0,$W8,IF(AND($S8&lt;&gt;"",EDATE($D8,Milestones!$AA$90)&gt;=$S8),$V8,IF(AND($R8&lt;&gt;"",EDATE($D8,Milestones!$AA$90)&gt;=$R8),$U8,$T8)))=Milestones!$AB$90),TEXT(EDATE($D8,Milestones!$AA$90),"dd/mm/yy")&amp;" "&amp;Milestones!$AB$90&amp;" "&amp;Milestones!$AC$90&amp;";  ","")&amp;IF(AND(EDATE($D8,Milestones!$AA$91)&lt;=AsOfDate,IF($Q8=0,$W8,IF(AND($S8&lt;&gt;"",EDATE($D8,Milestones!$AA$91)&gt;=$S8),$V8,IF(AND($R8&lt;&gt;"",EDATE($D8,Milestones!$AA$91)&gt;=$R8),$U8,$T8)))=Milestones!$AB$91),TEXT(EDATE($D8,Milestones!$AA$91),"dd/mm/yy")&amp;" "&amp;Milestones!$AB$91&amp;" "&amp;Milestones!$AC$91&amp;";  ","")&amp;IF(AND(EDATE($D8,Milestones!$AA$92)&lt;=AsOfDate,IF($Q8=0,$W8,IF(AND($S8&lt;&gt;"",EDATE($D8,Milestones!$AA$92)&gt;=$S8),$V8,IF(AND($R8&lt;&gt;"",EDATE($D8,Milestones!$AA$92)&gt;=$R8),$U8,$T8)))=Milestones!$AB$92),TEXT(EDATE($D8,Milestones!$AA$92),"dd/mm/yy")&amp;" "&amp;Milestones!$AB$92&amp;" "&amp;Milestones!$AC$92&amp;";  ","")&amp;IF(AND(EDATE($D8,Milestones!$AA$93)&lt;=AsOfDate,IF($Q8=0,$W8,IF(AND($S8&lt;&gt;"",EDATE($D8,Milestones!$AA$93)&gt;=$S8),$V8,IF(AND($R8&lt;&gt;"",EDATE($D8,Milestones!$AA$93)&gt;=$R8),$U8,$T8)))=Milestones!$AB$93),TEXT(EDATE($D8,Milestones!$AA$93),"dd/mm/yy")&amp;" "&amp;Milestones!$AB$93&amp;" "&amp;Milestones!$AC$93&amp;";  ","")&amp;IF(AND(EDATE($D8,Milestones!$AA$94)&lt;=AsOfDate,IF($Q8=0,$W8,IF(AND($S8&lt;&gt;"",EDATE($D8,Milestones!$AA$94)&gt;=$S8),$V8,IF(AND($R8&lt;&gt;"",EDATE($D8,Milestones!$AA$94)&gt;=$R8),$U8,$T8)))=Milestones!$AB$94),TEXT(EDATE($D8,Milestones!$AA$94),"dd/mm/yy")&amp;" "&amp;Milestones!$AB$94&amp;" "&amp;Milestones!$AC$94&amp;";  ","")&amp;IF(AND(EDATE($D8,Milestones!$AA$95)&lt;=AsOfDate,IF($Q8=0,$W8,IF(AND($S8&lt;&gt;"",EDATE($D8,Milestones!$AA$95)&gt;=$S8),$V8,IF(AND($R8&lt;&gt;"",EDATE($D8,Milestones!$AA$95)&gt;=$R8),$U8,$T8)))=Milestones!$AB$95),TEXT(EDATE($D8,Milestones!$AA$95),"dd/mm/yy")&amp;" "&amp;Milestones!$AB$95&amp;" "&amp;Milestones!$AC$95&amp;";  ","")&amp;IF(AND(EDATE($D8,Milestones!$AA$96)&lt;=AsOfDate,IF($Q8=0,$W8,IF(AND($S8&lt;&gt;"",EDATE($D8,Milestones!$AA$96)&gt;=$S8),$V8,IF(AND($R8&lt;&gt;"",EDATE($D8,Milestones!$AA$96)&gt;=$R8),$U8,$T8)))=Milestones!$AB$96),TEXT(EDATE($D8,Milestones!$AA$96),"dd/mm/yy")&amp;" "&amp;Milestones!$AB$96&amp;" "&amp;Milestones!$AC$96&amp;";  ","")&amp;IF(AND(EDATE($D8,Milestones!$AA$97)&lt;=AsOfDate,IF($Q8=0,$W8,IF(AND($S8&lt;&gt;"",EDATE($D8,Milestones!$AA$97)&gt;=$S8),$V8,IF(AND($R8&lt;&gt;"",EDATE($D8,Milestones!$AA$97)&gt;=$R8),$U8,$T8)))=Milestones!$AB$97),TEXT(EDATE($D8,Milestones!$AA$97),"dd/mm/yy")&amp;" "&amp;Milestones!$AB$97&amp;" "&amp;Milestones!$AC$97&amp;";  ","")&amp;IF(AND(EDATE($D8,Milestones!$AA$98)&lt;=AsOfDate,IF($Q8=0,$W8,IF(AND($S8&lt;&gt;"",EDATE($D8,Milestones!$AA$98)&gt;=$S8),$V8,IF(AND($R8&lt;&gt;"",EDATE($D8,Milestones!$AA$98)&gt;=$R8),$U8,$T8)))=Milestones!$AB$98),TEXT(EDATE($D8,Milestones!$AA$98),"dd/mm/yy")&amp;" "&amp;Milestones!$AB$98&amp;" "&amp;Milestones!$AC$98&amp;";  ","")&amp;IF(AND(EDATE($D8,Milestones!$AA$99)&lt;=AsOfDate,IF($Q8=0,$W8,IF(AND($S8&lt;&gt;"",EDATE($D8,Milestones!$AA$99)&gt;=$S8),$V8,IF(AND($R8&lt;&gt;"",EDATE($D8,Milestones!$AA$99)&gt;=$R8),$U8,$T8)))=Milestones!$AB$99),TEXT(EDATE($D8,Milestones!$AA$99),"dd/mm/yy")&amp;" "&amp;Milestones!$AB$99&amp;" "&amp;Milestones!$AC$99&amp;";  ",""))</f>
        <v/>
      </c>
      <c r="L8" s="0" t="str">
        <f aca="false">IF(OR($A8="",$D8=""),"",IF(AND(EDATE($D8,Milestones!$AA$100)&lt;=AsOfDate,IF($Q8=0,$W8,IF(AND($S8&lt;&gt;"",EDATE($D8,Milestones!$AA$100)&gt;=$S8),$V8,IF(AND($R8&lt;&gt;"",EDATE($D8,Milestones!$AA$100)&gt;=$R8),$U8,$T8)))=Milestones!$AB$100),TEXT(EDATE($D8,Milestones!$AA$100),"dd/mm/yy")&amp;" "&amp;Milestones!$AB$100&amp;" "&amp;Milestones!$AC$100&amp;";  ","")&amp;IF(AND(EDATE($D8,Milestones!$AA$101)&lt;=AsOfDate,IF($Q8=0,$W8,IF(AND($S8&lt;&gt;"",EDATE($D8,Milestones!$AA$101)&gt;=$S8),$V8,IF(AND($R8&lt;&gt;"",EDATE($D8,Milestones!$AA$101)&gt;=$R8),$U8,$T8)))=Milestones!$AB$101),TEXT(EDATE($D8,Milestones!$AA$101),"dd/mm/yy")&amp;" "&amp;Milestones!$AB$101&amp;" "&amp;Milestones!$AC$101&amp;";  ","")&amp;IF(AND(EDATE($D8,Milestones!$AA$102)&lt;=AsOfDate,IF($Q8=0,$W8,IF(AND($S8&lt;&gt;"",EDATE($D8,Milestones!$AA$102)&gt;=$S8),$V8,IF(AND($R8&lt;&gt;"",EDATE($D8,Milestones!$AA$102)&gt;=$R8),$U8,$T8)))=Milestones!$AB$102),TEXT(EDATE($D8,Milestones!$AA$102),"dd/mm/yy")&amp;" "&amp;Milestones!$AB$102&amp;" "&amp;Milestones!$AC$102&amp;";  ","")&amp;IF(AND(EDATE($D8,Milestones!$AA$103)&lt;=AsOfDate,IF($Q8=0,$W8,IF(AND($S8&lt;&gt;"",EDATE($D8,Milestones!$AA$103)&gt;=$S8),$V8,IF(AND($R8&lt;&gt;"",EDATE($D8,Milestones!$AA$103)&gt;=$R8),$U8,$T8)))=Milestones!$AB$103),TEXT(EDATE($D8,Milestones!$AA$103),"dd/mm/yy")&amp;" "&amp;Milestones!$AB$103&amp;" "&amp;Milestones!$AC$103&amp;";  ","")&amp;IF(AND(EDATE($D8,Milestones!$AA$104)&lt;=AsOfDate,IF($Q8=0,$W8,IF(AND($S8&lt;&gt;"",EDATE($D8,Milestones!$AA$104)&gt;=$S8),$V8,IF(AND($R8&lt;&gt;"",EDATE($D8,Milestones!$AA$104)&gt;=$R8),$U8,$T8)))=Milestones!$AB$104),TEXT(EDATE($D8,Milestones!$AA$104),"dd/mm/yy")&amp;" "&amp;Milestones!$AB$104&amp;" "&amp;Milestones!$AC$104&amp;";  ","")&amp;IF(AND(EDATE($D8,Milestones!$AA$105)&lt;=AsOfDate,IF($Q8=0,$W8,IF(AND($S8&lt;&gt;"",EDATE($D8,Milestones!$AA$105)&gt;=$S8),$V8,IF(AND($R8&lt;&gt;"",EDATE($D8,Milestones!$AA$105)&gt;=$R8),$U8,$T8)))=Milestones!$AB$105),TEXT(EDATE($D8,Milestones!$AA$105),"dd/mm/yy")&amp;" "&amp;Milestones!$AB$105&amp;" "&amp;Milestones!$AC$105&amp;";  ","")&amp;IF(AND(EDATE($D8,Milestones!$AA$106)&lt;=AsOfDate,IF($Q8=0,$W8,IF(AND($S8&lt;&gt;"",EDATE($D8,Milestones!$AA$106)&gt;=$S8),$V8,IF(AND($R8&lt;&gt;"",EDATE($D8,Milestones!$AA$106)&gt;=$R8),$U8,$T8)))=Milestones!$AB$106),TEXT(EDATE($D8,Milestones!$AA$106),"dd/mm/yy")&amp;" "&amp;Milestones!$AB$106&amp;" "&amp;Milestones!$AC$106&amp;";  ","")&amp;IF(AND(EDATE($D8,Milestones!$AA$107)&lt;=AsOfDate,IF($Q8=0,$W8,IF(AND($S8&lt;&gt;"",EDATE($D8,Milestones!$AA$107)&gt;=$S8),$V8,IF(AND($R8&lt;&gt;"",EDATE($D8,Milestones!$AA$107)&gt;=$R8),$U8,$T8)))=Milestones!$AB$107),TEXT(EDATE($D8,Milestones!$AA$107),"dd/mm/yy")&amp;" "&amp;Milestones!$AB$107&amp;" "&amp;Milestones!$AC$107&amp;";  ","")&amp;IF(AND(EDATE($D8,Milestones!$AA$108)&lt;=AsOfDate,IF($Q8=0,$W8,IF(AND($S8&lt;&gt;"",EDATE($D8,Milestones!$AA$108)&gt;=$S8),$V8,IF(AND($R8&lt;&gt;"",EDATE($D8,Milestones!$AA$108)&gt;=$R8),$U8,$T8)))=Milestones!$AB$108),TEXT(EDATE($D8,Milestones!$AA$108),"dd/mm/yy")&amp;" "&amp;Milestones!$AB$108&amp;" "&amp;Milestones!$AC$108&amp;";  ","")&amp;IF(AND(EDATE($D8,Milestones!$AA$109)&lt;=AsOfDate,IF($Q8=0,$W8,IF(AND($S8&lt;&gt;"",EDATE($D8,Milestones!$AA$109)&gt;=$S8),$V8,IF(AND($R8&lt;&gt;"",EDATE($D8,Milestones!$AA$109)&gt;=$R8),$U8,$T8)))=Milestones!$AB$109),TEXT(EDATE($D8,Milestones!$AA$109),"dd/mm/yy")&amp;" "&amp;Milestones!$AB$109&amp;" "&amp;Milestones!$AC$109&amp;";  ","")&amp;IF(AND(EDATE($D8,Milestones!$AA$110)&lt;=AsOfDate,IF($Q8=0,$W8,IF(AND($S8&lt;&gt;"",EDATE($D8,Milestones!$AA$110)&gt;=$S8),$V8,IF(AND($R8&lt;&gt;"",EDATE($D8,Milestones!$AA$110)&gt;=$R8),$U8,$T8)))=Milestones!$AB$110),TEXT(EDATE($D8,Milestones!$AA$110),"dd/mm/yy")&amp;" "&amp;Milestones!$AB$110&amp;" "&amp;Milestones!$AC$110&amp;";  ","")&amp;IF(AND(EDATE($D8,Milestones!$AA$111)&lt;=AsOfDate,IF($Q8=0,$W8,IF(AND($S8&lt;&gt;"",EDATE($D8,Milestones!$AA$111)&gt;=$S8),$V8,IF(AND($R8&lt;&gt;"",EDATE($D8,Milestones!$AA$111)&gt;=$R8),$U8,$T8)))=Milestones!$AB$111),TEXT(EDATE($D8,Milestones!$AA$111),"dd/mm/yy")&amp;" "&amp;Milestones!$AB$111&amp;" "&amp;Milestones!$AC$111&amp;";  ","")&amp;IF(AND(EDATE($D8,Milestones!$AA$112)&lt;=AsOfDate,IF($Q8=0,$W8,IF(AND($S8&lt;&gt;"",EDATE($D8,Milestones!$AA$112)&gt;=$S8),$V8,IF(AND($R8&lt;&gt;"",EDATE($D8,Milestones!$AA$112)&gt;=$R8),$U8,$T8)))=Milestones!$AB$112),TEXT(EDATE($D8,Milestones!$AA$112),"dd/mm/yy")&amp;" "&amp;Milestones!$AB$112&amp;" "&amp;Milestones!$AC$112&amp;";  ","")&amp;IF(AND(EDATE($D8,Milestones!$AA$113)&lt;=AsOfDate,IF($Q8=0,$W8,IF(AND($S8&lt;&gt;"",EDATE($D8,Milestones!$AA$113)&gt;=$S8),$V8,IF(AND($R8&lt;&gt;"",EDATE($D8,Milestones!$AA$113)&gt;=$R8),$U8,$T8)))=Milestones!$AB$113),TEXT(EDATE($D8,Milestones!$AA$113),"dd/mm/yy")&amp;" "&amp;Milestones!$AB$113&amp;" "&amp;Milestones!$AC$113&amp;";  ","")&amp;IF(AND(EDATE($D8,Milestones!$AA$114)&lt;=AsOfDate,IF($Q8=0,$W8,IF(AND($S8&lt;&gt;"",EDATE($D8,Milestones!$AA$114)&gt;=$S8),$V8,IF(AND($R8&lt;&gt;"",EDATE($D8,Milestones!$AA$114)&gt;=$R8),$U8,$T8)))=Milestones!$AB$114),TEXT(EDATE($D8,Milestones!$AA$114),"dd/mm/yy")&amp;" "&amp;Milestones!$AB$114&amp;" "&amp;Milestones!$AC$114&amp;";  ","")&amp;IF(AND(EDATE($D8,Milestones!$AA$115)&lt;=AsOfDate,IF($Q8=0,$W8,IF(AND($S8&lt;&gt;"",EDATE($D8,Milestones!$AA$115)&gt;=$S8),$V8,IF(AND($R8&lt;&gt;"",EDATE($D8,Milestones!$AA$115)&gt;=$R8),$U8,$T8)))=Milestones!$AB$115),TEXT(EDATE($D8,Milestones!$AA$115),"dd/mm/yy")&amp;" "&amp;Milestones!$AB$115&amp;" "&amp;Milestones!$AC$115&amp;";  ","")&amp;IF(AND(EDATE($D8,Milestones!$AA$116)&lt;=AsOfDate,IF($Q8=0,$W8,IF(AND($S8&lt;&gt;"",EDATE($D8,Milestones!$AA$116)&gt;=$S8),$V8,IF(AND($R8&lt;&gt;"",EDATE($D8,Milestones!$AA$116)&gt;=$R8),$U8,$T8)))=Milestones!$AB$116),TEXT(EDATE($D8,Milestones!$AA$116),"dd/mm/yy")&amp;" "&amp;Milestones!$AB$116&amp;" "&amp;Milestones!$AC$116&amp;";  ","")&amp;IF(AND(EDATE($D8,Milestones!$AA$117)&lt;=AsOfDate,IF($Q8=0,$W8,IF(AND($S8&lt;&gt;"",EDATE($D8,Milestones!$AA$117)&gt;=$S8),$V8,IF(AND($R8&lt;&gt;"",EDATE($D8,Milestones!$AA$117)&gt;=$R8),$U8,$T8)))=Milestones!$AB$117),TEXT(EDATE($D8,Milestones!$AA$117),"dd/mm/yy")&amp;" "&amp;Milestones!$AB$117&amp;" "&amp;Milestones!$AC$117&amp;";  ","")&amp;IF(AND(EDATE($D8,Milestones!$AA$118)&lt;=AsOfDate,IF($Q8=0,$W8,IF(AND($S8&lt;&gt;"",EDATE($D8,Milestones!$AA$118)&gt;=$S8),$V8,IF(AND($R8&lt;&gt;"",EDATE($D8,Milestones!$AA$118)&gt;=$R8),$U8,$T8)))=Milestones!$AB$118),TEXT(EDATE($D8,Milestones!$AA$118),"dd/mm/yy")&amp;" "&amp;Milestones!$AB$118&amp;" "&amp;Milestones!$AC$118&amp;";  ","")&amp;IF(AND(EDATE($D8,Milestones!$AA$119)&lt;=AsOfDate,IF($Q8=0,$W8,IF(AND($S8&lt;&gt;"",EDATE($D8,Milestones!$AA$119)&gt;=$S8),$V8,IF(AND($R8&lt;&gt;"",EDATE($D8,Milestones!$AA$119)&gt;=$R8),$U8,$T8)))=Milestones!$AB$119),TEXT(EDATE($D8,Milestones!$AA$119),"dd/mm/yy")&amp;" "&amp;Milestones!$AB$119&amp;" "&amp;Milestones!$AC$119&amp;";  ",""))</f>
        <v/>
      </c>
      <c r="M8" s="0" t="str">
        <f aca="false">IF(OR($A8="",$D8=""),"",IF(AND(EDATE($D8,Milestones!$AA$120)&lt;=AsOfDate,IF($Q8=0,$W8,IF(AND($S8&lt;&gt;"",EDATE($D8,Milestones!$AA$120)&gt;=$S8),$V8,IF(AND($R8&lt;&gt;"",EDATE($D8,Milestones!$AA$120)&gt;=$R8),$U8,$T8)))=Milestones!$AB$120),TEXT(EDATE($D8,Milestones!$AA$120),"dd/mm/yy")&amp;" "&amp;Milestones!$AB$120&amp;" "&amp;Milestones!$AC$120&amp;";  ","")&amp;IF(AND(EDATE($D8,Milestones!$AA$121)&lt;=AsOfDate,IF($Q8=0,$W8,IF(AND($S8&lt;&gt;"",EDATE($D8,Milestones!$AA$121)&gt;=$S8),$V8,IF(AND($R8&lt;&gt;"",EDATE($D8,Milestones!$AA$121)&gt;=$R8),$U8,$T8)))=Milestones!$AB$121),TEXT(EDATE($D8,Milestones!$AA$121),"dd/mm/yy")&amp;" "&amp;Milestones!$AB$121&amp;" "&amp;Milestones!$AC$121&amp;";  ","")&amp;IF(AND(EDATE($D8,Milestones!$AA$122)&lt;=AsOfDate,IF($Q8=0,$W8,IF(AND($S8&lt;&gt;"",EDATE($D8,Milestones!$AA$122)&gt;=$S8),$V8,IF(AND($R8&lt;&gt;"",EDATE($D8,Milestones!$AA$122)&gt;=$R8),$U8,$T8)))=Milestones!$AB$122),TEXT(EDATE($D8,Milestones!$AA$122),"dd/mm/yy")&amp;" "&amp;Milestones!$AB$122&amp;" "&amp;Milestones!$AC$122&amp;";  ","")&amp;IF(AND(EDATE($D8,Milestones!$AA$123)&lt;=AsOfDate,IF($Q8=0,$W8,IF(AND($S8&lt;&gt;"",EDATE($D8,Milestones!$AA$123)&gt;=$S8),$V8,IF(AND($R8&lt;&gt;"",EDATE($D8,Milestones!$AA$123)&gt;=$R8),$U8,$T8)))=Milestones!$AB$123),TEXT(EDATE($D8,Milestones!$AA$123),"dd/mm/yy")&amp;" "&amp;Milestones!$AB$123&amp;" "&amp;Milestones!$AC$123&amp;";  ","")&amp;IF(AND(EDATE($D8,Milestones!$AA$124)&lt;=AsOfDate,IF($Q8=0,$W8,IF(AND($S8&lt;&gt;"",EDATE($D8,Milestones!$AA$124)&gt;=$S8),$V8,IF(AND($R8&lt;&gt;"",EDATE($D8,Milestones!$AA$124)&gt;=$R8),$U8,$T8)))=Milestones!$AB$124),TEXT(EDATE($D8,Milestones!$AA$124),"dd/mm/yy")&amp;" "&amp;Milestones!$AB$124&amp;" "&amp;Milestones!$AC$124&amp;";  ","")&amp;IF(AND(EDATE($D8,Milestones!$AA$125)&lt;=AsOfDate,IF($Q8=0,$W8,IF(AND($S8&lt;&gt;"",EDATE($D8,Milestones!$AA$125)&gt;=$S8),$V8,IF(AND($R8&lt;&gt;"",EDATE($D8,Milestones!$AA$125)&gt;=$R8),$U8,$T8)))=Milestones!$AB$125),TEXT(EDATE($D8,Milestones!$AA$125),"dd/mm/yy")&amp;" "&amp;Milestones!$AB$125&amp;" "&amp;Milestones!$AC$125&amp;";  ","")&amp;IF(AND(EDATE($D8,Milestones!$AA$126)&lt;=AsOfDate,IF($Q8=0,$W8,IF(AND($S8&lt;&gt;"",EDATE($D8,Milestones!$AA$126)&gt;=$S8),$V8,IF(AND($R8&lt;&gt;"",EDATE($D8,Milestones!$AA$126)&gt;=$R8),$U8,$T8)))=Milestones!$AB$126),TEXT(EDATE($D8,Milestones!$AA$126),"dd/mm/yy")&amp;" "&amp;Milestones!$AB$126&amp;" "&amp;Milestones!$AC$126&amp;";  ","")&amp;IF(AND(EDATE($D8,Milestones!$AA$127)&lt;=AsOfDate,IF($Q8=0,$W8,IF(AND($S8&lt;&gt;"",EDATE($D8,Milestones!$AA$127)&gt;=$S8),$V8,IF(AND($R8&lt;&gt;"",EDATE($D8,Milestones!$AA$127)&gt;=$R8),$U8,$T8)))=Milestones!$AB$127),TEXT(EDATE($D8,Milestones!$AA$127),"dd/mm/yy")&amp;" "&amp;Milestones!$AB$127&amp;" "&amp;Milestones!$AC$127&amp;";  ","")&amp;IF(AND(EDATE($D8,Milestones!$AA$128)&lt;=AsOfDate,IF($Q8=0,$W8,IF(AND($S8&lt;&gt;"",EDATE($D8,Milestones!$AA$128)&gt;=$S8),$V8,IF(AND($R8&lt;&gt;"",EDATE($D8,Milestones!$AA$128)&gt;=$R8),$U8,$T8)))=Milestones!$AB$128),TEXT(EDATE($D8,Milestones!$AA$128),"dd/mm/yy")&amp;" "&amp;Milestones!$AB$128&amp;" "&amp;Milestones!$AC$128&amp;";  ","")&amp;IF(AND(EDATE($D8,Milestones!$AA$129)&lt;=AsOfDate,IF($Q8=0,$W8,IF(AND($S8&lt;&gt;"",EDATE($D8,Milestones!$AA$129)&gt;=$S8),$V8,IF(AND($R8&lt;&gt;"",EDATE($D8,Milestones!$AA$129)&gt;=$R8),$U8,$T8)))=Milestones!$AB$129),TEXT(EDATE($D8,Milestones!$AA$129),"dd/mm/yy")&amp;" "&amp;Milestones!$AB$129&amp;" "&amp;Milestones!$AC$129&amp;";  ","")&amp;IF(AND(EDATE($D8,Milestones!$AA$130)&lt;=AsOfDate,IF($Q8=0,$W8,IF(AND($S8&lt;&gt;"",EDATE($D8,Milestones!$AA$130)&gt;=$S8),$V8,IF(AND($R8&lt;&gt;"",EDATE($D8,Milestones!$AA$130)&gt;=$R8),$U8,$T8)))=Milestones!$AB$130),TEXT(EDATE($D8,Milestones!$AA$130),"dd/mm/yy")&amp;" "&amp;Milestones!$AB$130&amp;" "&amp;Milestones!$AC$130&amp;";  ","")&amp;IF(AND(EDATE($D8,Milestones!$AA$131)&lt;=AsOfDate,IF($Q8=0,$W8,IF(AND($S8&lt;&gt;"",EDATE($D8,Milestones!$AA$131)&gt;=$S8),$V8,IF(AND($R8&lt;&gt;"",EDATE($D8,Milestones!$AA$131)&gt;=$R8),$U8,$T8)))=Milestones!$AB$131),TEXT(EDATE($D8,Milestones!$AA$131),"dd/mm/yy")&amp;" "&amp;Milestones!$AB$131&amp;" "&amp;Milestones!$AC$131&amp;";  ","")&amp;IF(AND(EDATE($D8,Milestones!$AA$132)&lt;=AsOfDate,IF($Q8=0,$W8,IF(AND($S8&lt;&gt;"",EDATE($D8,Milestones!$AA$132)&gt;=$S8),$V8,IF(AND($R8&lt;&gt;"",EDATE($D8,Milestones!$AA$132)&gt;=$R8),$U8,$T8)))=Milestones!$AB$132),TEXT(EDATE($D8,Milestones!$AA$132),"dd/mm/yy")&amp;" "&amp;Milestones!$AB$132&amp;" "&amp;Milestones!$AC$132&amp;";  ","")&amp;IF(AND(EDATE($D8,Milestones!$AA$133)&lt;=AsOfDate,IF($Q8=0,$W8,IF(AND($S8&lt;&gt;"",EDATE($D8,Milestones!$AA$133)&gt;=$S8),$V8,IF(AND($R8&lt;&gt;"",EDATE($D8,Milestones!$AA$133)&gt;=$R8),$U8,$T8)))=Milestones!$AB$133),TEXT(EDATE($D8,Milestones!$AA$133),"dd/mm/yy")&amp;" "&amp;Milestones!$AB$133&amp;" "&amp;Milestones!$AC$133&amp;";  ","")&amp;IF(AND(EDATE($D8,Milestones!$AA$134)&lt;=AsOfDate,IF($Q8=0,$W8,IF(AND($S8&lt;&gt;"",EDATE($D8,Milestones!$AA$134)&gt;=$S8),$V8,IF(AND($R8&lt;&gt;"",EDATE($D8,Milestones!$AA$134)&gt;=$R8),$U8,$T8)))=Milestones!$AB$134),TEXT(EDATE($D8,Milestones!$AA$134),"dd/mm/yy")&amp;" "&amp;Milestones!$AB$134&amp;" "&amp;Milestones!$AC$134&amp;";  ","")&amp;IF(AND(EDATE($D8,Milestones!$AA$135)&lt;=AsOfDate,IF($Q8=0,$W8,IF(AND($S8&lt;&gt;"",EDATE($D8,Milestones!$AA$135)&gt;=$S8),$V8,IF(AND($R8&lt;&gt;"",EDATE($D8,Milestones!$AA$135)&gt;=$R8),$U8,$T8)))=Milestones!$AB$135),TEXT(EDATE($D8,Milestones!$AA$135),"dd/mm/yy")&amp;" "&amp;Milestones!$AB$135&amp;" "&amp;Milestones!$AC$135&amp;";  ","")&amp;IF(AND(EDATE($D8,Milestones!$AA$136)&lt;=AsOfDate,IF($Q8=0,$W8,IF(AND($S8&lt;&gt;"",EDATE($D8,Milestones!$AA$136)&gt;=$S8),$V8,IF(AND($R8&lt;&gt;"",EDATE($D8,Milestones!$AA$136)&gt;=$R8),$U8,$T8)))=Milestones!$AB$136),TEXT(EDATE($D8,Milestones!$AA$136),"dd/mm/yy")&amp;" "&amp;Milestones!$AB$136&amp;" "&amp;Milestones!$AC$136&amp;";  ","")&amp;IF(AND(EDATE($D8,Milestones!$AA$137)&lt;=AsOfDate,IF($Q8=0,$W8,IF(AND($S8&lt;&gt;"",EDATE($D8,Milestones!$AA$137)&gt;=$S8),$V8,IF(AND($R8&lt;&gt;"",EDATE($D8,Milestones!$AA$137)&gt;=$R8),$U8,$T8)))=Milestones!$AB$137),TEXT(EDATE($D8,Milestones!$AA$137),"dd/mm/yy")&amp;" "&amp;Milestones!$AB$137&amp;" "&amp;Milestones!$AC$137&amp;";  ","")&amp;IF(AND(EDATE($D8,Milestones!$AA$138)&lt;=AsOfDate,IF($Q8=0,$W8,IF(AND($S8&lt;&gt;"",EDATE($D8,Milestones!$AA$138)&gt;=$S8),$V8,IF(AND($R8&lt;&gt;"",EDATE($D8,Milestones!$AA$138)&gt;=$R8),$U8,$T8)))=Milestones!$AB$138),TEXT(EDATE($D8,Milestones!$AA$138),"dd/mm/yy")&amp;" "&amp;Milestones!$AB$138&amp;" "&amp;Milestones!$AC$138&amp;";  ","")&amp;IF(AND(EDATE($D8,Milestones!$AA$139)&lt;=AsOfDate,IF($Q8=0,$W8,IF(AND($S8&lt;&gt;"",EDATE($D8,Milestones!$AA$139)&gt;=$S8),$V8,IF(AND($R8&lt;&gt;"",EDATE($D8,Milestones!$AA$139)&gt;=$R8),$U8,$T8)))=Milestones!$AB$139),TEXT(EDATE($D8,Milestones!$AA$139),"dd/mm/yy")&amp;" "&amp;Milestones!$AB$139&amp;" "&amp;Milestones!$AC$139&amp;";  ",""))</f>
        <v/>
      </c>
      <c r="N8" s="0" t="str">
        <f aca="false">IF(OR($A8="",$D8=""),"",IF(AND(EDATE($D8,Milestones!$AA$140)&lt;=AsOfDate,IF($Q8=0,$W8,IF(AND($S8&lt;&gt;"",EDATE($D8,Milestones!$AA$140)&gt;=$S8),$V8,IF(AND($R8&lt;&gt;"",EDATE($D8,Milestones!$AA$140)&gt;=$R8),$U8,$T8)))=Milestones!$AB$140),TEXT(EDATE($D8,Milestones!$AA$140),"dd/mm/yy")&amp;" "&amp;Milestones!$AB$140&amp;" "&amp;Milestones!$AC$140&amp;";  ","")&amp;IF(AND(EDATE($D8,Milestones!$AA$141)&lt;=AsOfDate,IF($Q8=0,$W8,IF(AND($S8&lt;&gt;"",EDATE($D8,Milestones!$AA$141)&gt;=$S8),$V8,IF(AND($R8&lt;&gt;"",EDATE($D8,Milestones!$AA$141)&gt;=$R8),$U8,$T8)))=Milestones!$AB$141),TEXT(EDATE($D8,Milestones!$AA$141),"dd/mm/yy")&amp;" "&amp;Milestones!$AB$141&amp;" "&amp;Milestones!$AC$141&amp;";  ","")&amp;IF(AND(EDATE($D8,Milestones!$AA$142)&lt;=AsOfDate,IF($Q8=0,$W8,IF(AND($S8&lt;&gt;"",EDATE($D8,Milestones!$AA$142)&gt;=$S8),$V8,IF(AND($R8&lt;&gt;"",EDATE($D8,Milestones!$AA$142)&gt;=$R8),$U8,$T8)))=Milestones!$AB$142),TEXT(EDATE($D8,Milestones!$AA$142),"dd/mm/yy")&amp;" "&amp;Milestones!$AB$142&amp;" "&amp;Milestones!$AC$142&amp;";  ","")&amp;IF(AND(EDATE($D8,Milestones!$AA$143)&lt;=AsOfDate,IF($Q8=0,$W8,IF(AND($S8&lt;&gt;"",EDATE($D8,Milestones!$AA$143)&gt;=$S8),$V8,IF(AND($R8&lt;&gt;"",EDATE($D8,Milestones!$AA$143)&gt;=$R8),$U8,$T8)))=Milestones!$AB$143),TEXT(EDATE($D8,Milestones!$AA$143),"dd/mm/yy")&amp;" "&amp;Milestones!$AB$143&amp;" "&amp;Milestones!$AC$143&amp;";  ","")&amp;IF(AND(EDATE($D8,Milestones!$AA$144)&lt;=AsOfDate,IF($Q8=0,$W8,IF(AND($S8&lt;&gt;"",EDATE($D8,Milestones!$AA$144)&gt;=$S8),$V8,IF(AND($R8&lt;&gt;"",EDATE($D8,Milestones!$AA$144)&gt;=$R8),$U8,$T8)))=Milestones!$AB$144),TEXT(EDATE($D8,Milestones!$AA$144),"dd/mm/yy")&amp;" "&amp;Milestones!$AB$144&amp;" "&amp;Milestones!$AC$144&amp;";  ","")&amp;IF(AND(EDATE($D8,Milestones!$AA$145)&lt;=AsOfDate,IF($Q8=0,$W8,IF(AND($S8&lt;&gt;"",EDATE($D8,Milestones!$AA$145)&gt;=$S8),$V8,IF(AND($R8&lt;&gt;"",EDATE($D8,Milestones!$AA$145)&gt;=$R8),$U8,$T8)))=Milestones!$AB$145),TEXT(EDATE($D8,Milestones!$AA$145),"dd/mm/yy")&amp;" "&amp;Milestones!$AB$145&amp;" "&amp;Milestones!$AC$145&amp;";  ","")&amp;IF(AND(EDATE($D8,Milestones!$AA$146)&lt;=AsOfDate,IF($Q8=0,$W8,IF(AND($S8&lt;&gt;"",EDATE($D8,Milestones!$AA$146)&gt;=$S8),$V8,IF(AND($R8&lt;&gt;"",EDATE($D8,Milestones!$AA$146)&gt;=$R8),$U8,$T8)))=Milestones!$AB$146),TEXT(EDATE($D8,Milestones!$AA$146),"dd/mm/yy")&amp;" "&amp;Milestones!$AB$146&amp;" "&amp;Milestones!$AC$146&amp;";  ","")&amp;IF(AND(EDATE($D8,Milestones!$AA$147)&lt;=AsOfDate,IF($Q8=0,$W8,IF(AND($S8&lt;&gt;"",EDATE($D8,Milestones!$AA$147)&gt;=$S8),$V8,IF(AND($R8&lt;&gt;"",EDATE($D8,Milestones!$AA$147)&gt;=$R8),$U8,$T8)))=Milestones!$AB$147),TEXT(EDATE($D8,Milestones!$AA$147),"dd/mm/yy")&amp;" "&amp;Milestones!$AB$147&amp;" "&amp;Milestones!$AC$147&amp;";  ","")&amp;IF(AND(EDATE($D8,Milestones!$AA$148)&lt;=AsOfDate,IF($Q8=0,$W8,IF(AND($S8&lt;&gt;"",EDATE($D8,Milestones!$AA$148)&gt;=$S8),$V8,IF(AND($R8&lt;&gt;"",EDATE($D8,Milestones!$AA$148)&gt;=$R8),$U8,$T8)))=Milestones!$AB$148),TEXT(EDATE($D8,Milestones!$AA$148),"dd/mm/yy")&amp;" "&amp;Milestones!$AB$148&amp;" "&amp;Milestones!$AC$148&amp;";  ","")&amp;IF(AND(EDATE($D8,Milestones!$AA$149)&lt;=AsOfDate,IF($Q8=0,$W8,IF(AND($S8&lt;&gt;"",EDATE($D8,Milestones!$AA$149)&gt;=$S8),$V8,IF(AND($R8&lt;&gt;"",EDATE($D8,Milestones!$AA$149)&gt;=$R8),$U8,$T8)))=Milestones!$AB$149),TEXT(EDATE($D8,Milestones!$AA$149),"dd/mm/yy")&amp;" "&amp;Milestones!$AB$149&amp;" "&amp;Milestones!$AC$149&amp;";  ","")&amp;IF(AND(EDATE($D8,Milestones!$AA$150)&lt;=AsOfDate,IF($Q8=0,$W8,IF(AND($S8&lt;&gt;"",EDATE($D8,Milestones!$AA$150)&gt;=$S8),$V8,IF(AND($R8&lt;&gt;"",EDATE($D8,Milestones!$AA$150)&gt;=$R8),$U8,$T8)))=Milestones!$AB$150),TEXT(EDATE($D8,Milestones!$AA$150),"dd/mm/yy")&amp;" "&amp;Milestones!$AB$150&amp;" "&amp;Milestones!$AC$150&amp;";  ","")&amp;IF(AND(EDATE($D8,Milestones!$AA$151)&lt;=AsOfDate,IF($Q8=0,$W8,IF(AND($S8&lt;&gt;"",EDATE($D8,Milestones!$AA$151)&gt;=$S8),$V8,IF(AND($R8&lt;&gt;"",EDATE($D8,Milestones!$AA$151)&gt;=$R8),$U8,$T8)))=Milestones!$AB$151),TEXT(EDATE($D8,Milestones!$AA$151),"dd/mm/yy")&amp;" "&amp;Milestones!$AB$151&amp;" "&amp;Milestones!$AC$151&amp;";  ","")&amp;IF(AND(EDATE($D8,Milestones!$AA$152)&lt;=AsOfDate,IF($Q8=0,$W8,IF(AND($S8&lt;&gt;"",EDATE($D8,Milestones!$AA$152)&gt;=$S8),$V8,IF(AND($R8&lt;&gt;"",EDATE($D8,Milestones!$AA$152)&gt;=$R8),$U8,$T8)))=Milestones!$AB$152),TEXT(EDATE($D8,Milestones!$AA$152),"dd/mm/yy")&amp;" "&amp;Milestones!$AB$152&amp;" "&amp;Milestones!$AC$152&amp;";  ","")&amp;IF(AND(EDATE($D8,Milestones!$AA$153)&lt;=AsOfDate,IF($Q8=0,$W8,IF(AND($S8&lt;&gt;"",EDATE($D8,Milestones!$AA$153)&gt;=$S8),$V8,IF(AND($R8&lt;&gt;"",EDATE($D8,Milestones!$AA$153)&gt;=$R8),$U8,$T8)))=Milestones!$AB$153),TEXT(EDATE($D8,Milestones!$AA$153),"dd/mm/yy")&amp;" "&amp;Milestones!$AB$153&amp;" "&amp;Milestones!$AC$153&amp;";  ","")&amp;IF(AND(EDATE($D8,Milestones!$AA$154)&lt;=AsOfDate,IF($Q8=0,$W8,IF(AND($S8&lt;&gt;"",EDATE($D8,Milestones!$AA$154)&gt;=$S8),$V8,IF(AND($R8&lt;&gt;"",EDATE($D8,Milestones!$AA$154)&gt;=$R8),$U8,$T8)))=Milestones!$AB$154),TEXT(EDATE($D8,Milestones!$AA$154),"dd/mm/yy")&amp;" "&amp;Milestones!$AB$154&amp;" "&amp;Milestones!$AC$154&amp;";  ","")&amp;IF(AND(EDATE($D8,Milestones!$AA$155)&lt;=AsOfDate,IF($Q8=0,$W8,IF(AND($S8&lt;&gt;"",EDATE($D8,Milestones!$AA$155)&gt;=$S8),$V8,IF(AND($R8&lt;&gt;"",EDATE($D8,Milestones!$AA$155)&gt;=$R8),$U8,$T8)))=Milestones!$AB$155),TEXT(EDATE($D8,Milestones!$AA$155),"dd/mm/yy")&amp;" "&amp;Milestones!$AB$155&amp;" "&amp;Milestones!$AC$155&amp;";  ","")&amp;IF(AND(EDATE($D8,Milestones!$AA$156)&lt;=AsOfDate,IF($Q8=0,$W8,IF(AND($S8&lt;&gt;"",EDATE($D8,Milestones!$AA$156)&gt;=$S8),$V8,IF(AND($R8&lt;&gt;"",EDATE($D8,Milestones!$AA$156)&gt;=$R8),$U8,$T8)))=Milestones!$AB$156),TEXT(EDATE($D8,Milestones!$AA$156),"dd/mm/yy")&amp;" "&amp;Milestones!$AB$156&amp;" "&amp;Milestones!$AC$156&amp;";  ","")&amp;IF(AND(EDATE($D8,Milestones!$AA$157)&lt;=AsOfDate,IF($Q8=0,$W8,IF(AND($S8&lt;&gt;"",EDATE($D8,Milestones!$AA$157)&gt;=$S8),$V8,IF(AND($R8&lt;&gt;"",EDATE($D8,Milestones!$AA$157)&gt;=$R8),$U8,$T8)))=Milestones!$AB$157),TEXT(EDATE($D8,Milestones!$AA$157),"dd/mm/yy")&amp;" "&amp;Milestones!$AB$157&amp;" "&amp;Milestones!$AC$157&amp;";  ","")&amp;IF(AND(EDATE($D8,Milestones!$AA$158)&lt;=AsOfDate,IF($Q8=0,$W8,IF(AND($S8&lt;&gt;"",EDATE($D8,Milestones!$AA$158)&gt;=$S8),$V8,IF(AND($R8&lt;&gt;"",EDATE($D8,Milestones!$AA$158)&gt;=$R8),$U8,$T8)))=Milestones!$AB$158),TEXT(EDATE($D8,Milestones!$AA$158),"dd/mm/yy")&amp;" "&amp;Milestones!$AB$158&amp;" "&amp;Milestones!$AC$158&amp;";  ","")&amp;IF(AND(EDATE($D8,Milestones!$AA$159)&lt;=AsOfDate,IF($Q8=0,$W8,IF(AND($S8&lt;&gt;"",EDATE($D8,Milestones!$AA$159)&gt;=$S8),$V8,IF(AND($R8&lt;&gt;"",EDATE($D8,Milestones!$AA$159)&gt;=$R8),$U8,$T8)))=Milestones!$AB$159),TEXT(EDATE($D8,Milestones!$AA$159),"dd/mm/yy")&amp;" "&amp;Milestones!$AB$159&amp;" "&amp;Milestones!$AC$159&amp;";  ",""))</f>
        <v/>
      </c>
      <c r="O8" s="0" t="str">
        <f aca="false">IF(OR($A8="",$D8=""),"",IF(AND(EDATE($D8,Milestones!$AA$160)&lt;=AsOfDate,IF($Q8=0,$W8,IF(AND($S8&lt;&gt;"",EDATE($D8,Milestones!$AA$160)&gt;=$S8),$V8,IF(AND($R8&lt;&gt;"",EDATE($D8,Milestones!$AA$160)&gt;=$R8),$U8,$T8)))=Milestones!$AB$160),TEXT(EDATE($D8,Milestones!$AA$160),"dd/mm/yy")&amp;" "&amp;Milestones!$AB$160&amp;" "&amp;Milestones!$AC$160&amp;";  ","")&amp;IF(AND(EDATE($D8,Milestones!$AA$161)&lt;=AsOfDate,IF($Q8=0,$W8,IF(AND($S8&lt;&gt;"",EDATE($D8,Milestones!$AA$161)&gt;=$S8),$V8,IF(AND($R8&lt;&gt;"",EDATE($D8,Milestones!$AA$161)&gt;=$R8),$U8,$T8)))=Milestones!$AB$161),TEXT(EDATE($D8,Milestones!$AA$161),"dd/mm/yy")&amp;" "&amp;Milestones!$AB$161&amp;" "&amp;Milestones!$AC$161&amp;";  ","")&amp;IF(AND(EDATE($D8,Milestones!$AA$162)&lt;=AsOfDate,IF($Q8=0,$W8,IF(AND($S8&lt;&gt;"",EDATE($D8,Milestones!$AA$162)&gt;=$S8),$V8,IF(AND($R8&lt;&gt;"",EDATE($D8,Milestones!$AA$162)&gt;=$R8),$U8,$T8)))=Milestones!$AB$162),TEXT(EDATE($D8,Milestones!$AA$162),"dd/mm/yy")&amp;" "&amp;Milestones!$AB$162&amp;" "&amp;Milestones!$AC$162&amp;";  ","")&amp;IF(AND(EDATE($D8,Milestones!$AA$163)&lt;=AsOfDate,IF($Q8=0,$W8,IF(AND($S8&lt;&gt;"",EDATE($D8,Milestones!$AA$163)&gt;=$S8),$V8,IF(AND($R8&lt;&gt;"",EDATE($D8,Milestones!$AA$163)&gt;=$R8),$U8,$T8)))=Milestones!$AB$163),TEXT(EDATE($D8,Milestones!$AA$163),"dd/mm/yy")&amp;" "&amp;Milestones!$AB$163&amp;" "&amp;Milestones!$AC$163&amp;";  ","")&amp;IF(AND(EDATE($D8,Milestones!$AA$164)&lt;=AsOfDate,IF($Q8=0,$W8,IF(AND($S8&lt;&gt;"",EDATE($D8,Milestones!$AA$164)&gt;=$S8),$V8,IF(AND($R8&lt;&gt;"",EDATE($D8,Milestones!$AA$164)&gt;=$R8),$U8,$T8)))=Milestones!$AB$164),TEXT(EDATE($D8,Milestones!$AA$164),"dd/mm/yy")&amp;" "&amp;Milestones!$AB$164&amp;" "&amp;Milestones!$AC$164&amp;";  ","")&amp;IF(AND(EDATE($D8,Milestones!$AA$165)&lt;=AsOfDate,IF($Q8=0,$W8,IF(AND($S8&lt;&gt;"",EDATE($D8,Milestones!$AA$165)&gt;=$S8),$V8,IF(AND($R8&lt;&gt;"",EDATE($D8,Milestones!$AA$165)&gt;=$R8),$U8,$T8)))=Milestones!$AB$165),TEXT(EDATE($D8,Milestones!$AA$165),"dd/mm/yy")&amp;" "&amp;Milestones!$AB$165&amp;" "&amp;Milestones!$AC$165&amp;";  ","")&amp;IF(AND(EDATE($D8,Milestones!$AA$166)&lt;=AsOfDate,IF($Q8=0,$W8,IF(AND($S8&lt;&gt;"",EDATE($D8,Milestones!$AA$166)&gt;=$S8),$V8,IF(AND($R8&lt;&gt;"",EDATE($D8,Milestones!$AA$166)&gt;=$R8),$U8,$T8)))=Milestones!$AB$166),TEXT(EDATE($D8,Milestones!$AA$166),"dd/mm/yy")&amp;" "&amp;Milestones!$AB$166&amp;" "&amp;Milestones!$AC$166&amp;";  ","")&amp;IF(AND(EDATE($D8,Milestones!$AA$167)&lt;=AsOfDate,IF($Q8=0,$W8,IF(AND($S8&lt;&gt;"",EDATE($D8,Milestones!$AA$167)&gt;=$S8),$V8,IF(AND($R8&lt;&gt;"",EDATE($D8,Milestones!$AA$167)&gt;=$R8),$U8,$T8)))=Milestones!$AB$167),TEXT(EDATE($D8,Milestones!$AA$167),"dd/mm/yy")&amp;" "&amp;Milestones!$AB$167&amp;" "&amp;Milestones!$AC$167&amp;";  ","")&amp;IF(AND(EDATE($D8,Milestones!$AA$168)&lt;=AsOfDate,IF($Q8=0,$W8,IF(AND($S8&lt;&gt;"",EDATE($D8,Milestones!$AA$168)&gt;=$S8),$V8,IF(AND($R8&lt;&gt;"",EDATE($D8,Milestones!$AA$168)&gt;=$R8),$U8,$T8)))=Milestones!$AB$168),TEXT(EDATE($D8,Milestones!$AA$168),"dd/mm/yy")&amp;" "&amp;Milestones!$AB$168&amp;" "&amp;Milestones!$AC$168&amp;";  ","")&amp;IF(AND(EDATE($D8,Milestones!$AA$169)&lt;=AsOfDate,IF($Q8=0,$W8,IF(AND($S8&lt;&gt;"",EDATE($D8,Milestones!$AA$169)&gt;=$S8),$V8,IF(AND($R8&lt;&gt;"",EDATE($D8,Milestones!$AA$169)&gt;=$R8),$U8,$T8)))=Milestones!$AB$169),TEXT(EDATE($D8,Milestones!$AA$169),"dd/mm/yy")&amp;" "&amp;Milestones!$AB$169&amp;" "&amp;Milestones!$AC$169&amp;";  ","")&amp;IF(AND(EDATE($D8,Milestones!$AA$170)&lt;=AsOfDate,IF($Q8=0,$W8,IF(AND($S8&lt;&gt;"",EDATE($D8,Milestones!$AA$170)&gt;=$S8),$V8,IF(AND($R8&lt;&gt;"",EDATE($D8,Milestones!$AA$170)&gt;=$R8),$U8,$T8)))=Milestones!$AB$170),TEXT(EDATE($D8,Milestones!$AA$170),"dd/mm/yy")&amp;" "&amp;Milestones!$AB$170&amp;" "&amp;Milestones!$AC$170&amp;";  ","")&amp;IF(AND(EDATE($D8,Milestones!$AA$171)&lt;=AsOfDate,IF($Q8=0,$W8,IF(AND($S8&lt;&gt;"",EDATE($D8,Milestones!$AA$171)&gt;=$S8),$V8,IF(AND($R8&lt;&gt;"",EDATE($D8,Milestones!$AA$171)&gt;=$R8),$U8,$T8)))=Milestones!$AB$171),TEXT(EDATE($D8,Milestones!$AA$171),"dd/mm/yy")&amp;" "&amp;Milestones!$AB$171&amp;" "&amp;Milestones!$AC$171&amp;";  ","")&amp;IF(AND(EDATE($D8,Milestones!$AA$172)&lt;=AsOfDate,IF($Q8=0,$W8,IF(AND($S8&lt;&gt;"",EDATE($D8,Milestones!$AA$172)&gt;=$S8),$V8,IF(AND($R8&lt;&gt;"",EDATE($D8,Milestones!$AA$172)&gt;=$R8),$U8,$T8)))=Milestones!$AB$172),TEXT(EDATE($D8,Milestones!$AA$172),"dd/mm/yy")&amp;" "&amp;Milestones!$AB$172&amp;" "&amp;Milestones!$AC$172&amp;";  ","")&amp;IF(AND(EDATE($D8,Milestones!$AA$173)&lt;=AsOfDate,IF($Q8=0,$W8,IF(AND($S8&lt;&gt;"",EDATE($D8,Milestones!$AA$173)&gt;=$S8),$V8,IF(AND($R8&lt;&gt;"",EDATE($D8,Milestones!$AA$173)&gt;=$R8),$U8,$T8)))=Milestones!$AB$173),TEXT(EDATE($D8,Milestones!$AA$173),"dd/mm/yy")&amp;" "&amp;Milestones!$AB$173&amp;" "&amp;Milestones!$AC$173&amp;";  ","")&amp;IF(AND(EDATE($D8,Milestones!$AA$174)&lt;=AsOfDate,IF($Q8=0,$W8,IF(AND($S8&lt;&gt;"",EDATE($D8,Milestones!$AA$174)&gt;=$S8),$V8,IF(AND($R8&lt;&gt;"",EDATE($D8,Milestones!$AA$174)&gt;=$R8),$U8,$T8)))=Milestones!$AB$174),TEXT(EDATE($D8,Milestones!$AA$174),"dd/mm/yy")&amp;" "&amp;Milestones!$AB$174&amp;" "&amp;Milestones!$AC$174&amp;";  ","")&amp;IF(AND(EDATE($D8,Milestones!$AA$175)&lt;=AsOfDate,IF($Q8=0,$W8,IF(AND($S8&lt;&gt;"",EDATE($D8,Milestones!$AA$175)&gt;=$S8),$V8,IF(AND($R8&lt;&gt;"",EDATE($D8,Milestones!$AA$175)&gt;=$R8),$U8,$T8)))=Milestones!$AB$175),TEXT(EDATE($D8,Milestones!$AA$175),"dd/mm/yy")&amp;" "&amp;Milestones!$AB$175&amp;" "&amp;Milestones!$AC$175&amp;";  ","")&amp;IF(AND(EDATE($D8,Milestones!$AA$176)&lt;=AsOfDate,IF($Q8=0,$W8,IF(AND($S8&lt;&gt;"",EDATE($D8,Milestones!$AA$176)&gt;=$S8),$V8,IF(AND($R8&lt;&gt;"",EDATE($D8,Milestones!$AA$176)&gt;=$R8),$U8,$T8)))=Milestones!$AB$176),TEXT(EDATE($D8,Milestones!$AA$176),"dd/mm/yy")&amp;" "&amp;Milestones!$AB$176&amp;" "&amp;Milestones!$AC$176&amp;";  ","")&amp;IF(AND(EDATE($D8,Milestones!$AA$177)&lt;=AsOfDate,IF($Q8=0,$W8,IF(AND($S8&lt;&gt;"",EDATE($D8,Milestones!$AA$177)&gt;=$S8),$V8,IF(AND($R8&lt;&gt;"",EDATE($D8,Milestones!$AA$177)&gt;=$R8),$U8,$T8)))=Milestones!$AB$177),TEXT(EDATE($D8,Milestones!$AA$177),"dd/mm/yy")&amp;" "&amp;Milestones!$AB$177&amp;" "&amp;Milestones!$AC$177&amp;";  ","")&amp;IF(AND(EDATE($D8,Milestones!$AA$178)&lt;=AsOfDate,IF($Q8=0,$W8,IF(AND($S8&lt;&gt;"",EDATE($D8,Milestones!$AA$178)&gt;=$S8),$V8,IF(AND($R8&lt;&gt;"",EDATE($D8,Milestones!$AA$178)&gt;=$R8),$U8,$T8)))=Milestones!$AB$178),TEXT(EDATE($D8,Milestones!$AA$178),"dd/mm/yy")&amp;" "&amp;Milestones!$AB$178&amp;" "&amp;Milestones!$AC$178&amp;";  ","")&amp;IF(AND(EDATE($D8,Milestones!$AA$179)&lt;=AsOfDate,IF($Q8=0,$W8,IF(AND($S8&lt;&gt;"",EDATE($D8,Milestones!$AA$179)&gt;=$S8),$V8,IF(AND($R8&lt;&gt;"",EDATE($D8,Milestones!$AA$179)&gt;=$R8),$U8,$T8)))=Milestones!$AB$179),TEXT(EDATE($D8,Milestones!$AA$179),"dd/mm/yy")&amp;" "&amp;Milestones!$AB$179&amp;" "&amp;Milestones!$AC$179&amp;";  ",""))</f>
        <v/>
      </c>
      <c r="P8" s="0" t="str">
        <f aca="false">IF(OR($A8="",$D8=""),"",IF(AND(EDATE($D8,Milestones!$AA$180)&lt;=AsOfDate,IF($Q8=0,$W8,IF(AND($S8&lt;&gt;"",EDATE($D8,Milestones!$AA$180)&gt;=$S8),$V8,IF(AND($R8&lt;&gt;"",EDATE($D8,Milestones!$AA$180)&gt;=$R8),$U8,$T8)))=Milestones!$AB$180),TEXT(EDATE($D8,Milestones!$AA$180),"dd/mm/yy")&amp;" "&amp;Milestones!$AB$180&amp;" "&amp;Milestones!$AC$180&amp;";  ","")&amp;IF(AND(EDATE($D8,Milestones!$AA$181)&lt;=AsOfDate,IF($Q8=0,$W8,IF(AND($S8&lt;&gt;"",EDATE($D8,Milestones!$AA$181)&gt;=$S8),$V8,IF(AND($R8&lt;&gt;"",EDATE($D8,Milestones!$AA$181)&gt;=$R8),$U8,$T8)))=Milestones!$AB$181),TEXT(EDATE($D8,Milestones!$AA$181),"dd/mm/yy")&amp;" "&amp;Milestones!$AB$181&amp;" "&amp;Milestones!$AC$181&amp;";  ","")&amp;IF(AND(EDATE($D8,Milestones!$AA$182)&lt;=AsOfDate,IF($Q8=0,$W8,IF(AND($S8&lt;&gt;"",EDATE($D8,Milestones!$AA$182)&gt;=$S8),$V8,IF(AND($R8&lt;&gt;"",EDATE($D8,Milestones!$AA$182)&gt;=$R8),$U8,$T8)))=Milestones!$AB$182),TEXT(EDATE($D8,Milestones!$AA$182),"dd/mm/yy")&amp;" "&amp;Milestones!$AB$182&amp;" "&amp;Milestones!$AC$182&amp;";  ","")&amp;IF(AND(EDATE($D8,Milestones!$AA$183)&lt;=AsOfDate,IF($Q8=0,$W8,IF(AND($S8&lt;&gt;"",EDATE($D8,Milestones!$AA$183)&gt;=$S8),$V8,IF(AND($R8&lt;&gt;"",EDATE($D8,Milestones!$AA$183)&gt;=$R8),$U8,$T8)))=Milestones!$AB$183),TEXT(EDATE($D8,Milestones!$AA$183),"dd/mm/yy")&amp;" "&amp;Milestones!$AB$183&amp;" "&amp;Milestones!$AC$183&amp;";  ","")&amp;IF(AND(EDATE($D8,Milestones!$AA$184)&lt;=AsOfDate,IF($Q8=0,$W8,IF(AND($S8&lt;&gt;"",EDATE($D8,Milestones!$AA$184)&gt;=$S8),$V8,IF(AND($R8&lt;&gt;"",EDATE($D8,Milestones!$AA$184)&gt;=$R8),$U8,$T8)))=Milestones!$AB$184),TEXT(EDATE($D8,Milestones!$AA$184),"dd/mm/yy")&amp;" "&amp;Milestones!$AB$184&amp;" "&amp;Milestones!$AC$184&amp;";  ","")&amp;IF(AND(EDATE($D8,Milestones!$AA$185)&lt;=AsOfDate,IF($Q8=0,$W8,IF(AND($S8&lt;&gt;"",EDATE($D8,Milestones!$AA$185)&gt;=$S8),$V8,IF(AND($R8&lt;&gt;"",EDATE($D8,Milestones!$AA$185)&gt;=$R8),$U8,$T8)))=Milestones!$AB$185),TEXT(EDATE($D8,Milestones!$AA$185),"dd/mm/yy")&amp;" "&amp;Milestones!$AB$185&amp;" "&amp;Milestones!$AC$185&amp;";  ","")&amp;IF(AND(EDATE($D8,Milestones!$AA$186)&lt;=AsOfDate,IF($Q8=0,$W8,IF(AND($S8&lt;&gt;"",EDATE($D8,Milestones!$AA$186)&gt;=$S8),$V8,IF(AND($R8&lt;&gt;"",EDATE($D8,Milestones!$AA$186)&gt;=$R8),$U8,$T8)))=Milestones!$AB$186),TEXT(EDATE($D8,Milestones!$AA$186),"dd/mm/yy")&amp;" "&amp;Milestones!$AB$186&amp;" "&amp;Milestones!$AC$186&amp;";  ","")&amp;IF(AND(EDATE($D8,Milestones!$AA$187)&lt;=AsOfDate,IF($Q8=0,$W8,IF(AND($S8&lt;&gt;"",EDATE($D8,Milestones!$AA$187)&gt;=$S8),$V8,IF(AND($R8&lt;&gt;"",EDATE($D8,Milestones!$AA$187)&gt;=$R8),$U8,$T8)))=Milestones!$AB$187),TEXT(EDATE($D8,Milestones!$AA$187),"dd/mm/yy")&amp;" "&amp;Milestones!$AB$187&amp;" "&amp;Milestones!$AC$187&amp;";  ","")&amp;IF(AND(EDATE($D8,Milestones!$AA$188)&lt;=AsOfDate,IF($Q8=0,$W8,IF(AND($S8&lt;&gt;"",EDATE($D8,Milestones!$AA$188)&gt;=$S8),$V8,IF(AND($R8&lt;&gt;"",EDATE($D8,Milestones!$AA$188)&gt;=$R8),$U8,$T8)))=Milestones!$AB$188),TEXT(EDATE($D8,Milestones!$AA$188),"dd/mm/yy")&amp;" "&amp;Milestones!$AB$188&amp;" "&amp;Milestones!$AC$188&amp;";  ","")&amp;IF(AND(EDATE($D8,Milestones!$AA$189)&lt;=AsOfDate,IF($Q8=0,$W8,IF(AND($S8&lt;&gt;"",EDATE($D8,Milestones!$AA$189)&gt;=$S8),$V8,IF(AND($R8&lt;&gt;"",EDATE($D8,Milestones!$AA$189)&gt;=$R8),$U8,$T8)))=Milestones!$AB$189),TEXT(EDATE($D8,Milestones!$AA$189),"dd/mm/yy")&amp;" "&amp;Milestones!$AB$189&amp;" "&amp;Milestones!$AC$189&amp;";  ","")&amp;IF(AND(EDATE($D8,Milestones!$AA$190)&lt;=AsOfDate,IF($Q8=0,$W8,IF(AND($S8&lt;&gt;"",EDATE($D8,Milestones!$AA$190)&gt;=$S8),$V8,IF(AND($R8&lt;&gt;"",EDATE($D8,Milestones!$AA$190)&gt;=$R8),$U8,$T8)))=Milestones!$AB$190),TEXT(EDATE($D8,Milestones!$AA$190),"dd/mm/yy")&amp;" "&amp;Milestones!$AB$190&amp;" "&amp;Milestones!$AC$190&amp;";  ","")&amp;IF(AND(EDATE($D8,Milestones!$AA$191)&lt;=AsOfDate,IF($Q8=0,$W8,IF(AND($S8&lt;&gt;"",EDATE($D8,Milestones!$AA$191)&gt;=$S8),$V8,IF(AND($R8&lt;&gt;"",EDATE($D8,Milestones!$AA$191)&gt;=$R8),$U8,$T8)))=Milestones!$AB$191),TEXT(EDATE($D8,Milestones!$AA$191),"dd/mm/yy")&amp;" "&amp;Milestones!$AB$191&amp;" "&amp;Milestones!$AC$191&amp;";  ","")&amp;IF(AND(EDATE($D8,Milestones!$AA$192)&lt;=AsOfDate,IF($Q8=0,$W8,IF(AND($S8&lt;&gt;"",EDATE($D8,Milestones!$AA$192)&gt;=$S8),$V8,IF(AND($R8&lt;&gt;"",EDATE($D8,Milestones!$AA$192)&gt;=$R8),$U8,$T8)))=Milestones!$AB$192),TEXT(EDATE($D8,Milestones!$AA$192),"dd/mm/yy")&amp;" "&amp;Milestones!$AB$192&amp;" "&amp;Milestones!$AC$192&amp;";  ","")&amp;IF(AND(EDATE($D8,Milestones!$AA$193)&lt;=AsOfDate,IF($Q8=0,$W8,IF(AND($S8&lt;&gt;"",EDATE($D8,Milestones!$AA$193)&gt;=$S8),$V8,IF(AND($R8&lt;&gt;"",EDATE($D8,Milestones!$AA$193)&gt;=$R8),$U8,$T8)))=Milestones!$AB$193),TEXT(EDATE($D8,Milestones!$AA$193),"dd/mm/yy")&amp;" "&amp;Milestones!$AB$193&amp;" "&amp;Milestones!$AC$193&amp;";  ","")&amp;IF(AND(EDATE($D8,Milestones!$AA$194)&lt;=AsOfDate,IF($Q8=0,$W8,IF(AND($S8&lt;&gt;"",EDATE($D8,Milestones!$AA$194)&gt;=$S8),$V8,IF(AND($R8&lt;&gt;"",EDATE($D8,Milestones!$AA$194)&gt;=$R8),$U8,$T8)))=Milestones!$AB$194),TEXT(EDATE($D8,Milestones!$AA$194),"dd/mm/yy")&amp;" "&amp;Milestones!$AB$194&amp;" "&amp;Milestones!$AC$194&amp;";  ","")&amp;IF(AND(EDATE($D8,Milestones!$AA$195)&lt;=AsOfDate,IF($Q8=0,$W8,IF(AND($S8&lt;&gt;"",EDATE($D8,Milestones!$AA$195)&gt;=$S8),$V8,IF(AND($R8&lt;&gt;"",EDATE($D8,Milestones!$AA$195)&gt;=$R8),$U8,$T8)))=Milestones!$AB$195),TEXT(EDATE($D8,Milestones!$AA$195),"dd/mm/yy")&amp;" "&amp;Milestones!$AB$195&amp;" "&amp;Milestones!$AC$195&amp;";  ","")&amp;IF(AND(EDATE($D8,Milestones!$AA$196)&lt;=AsOfDate,IF($Q8=0,$W8,IF(AND($S8&lt;&gt;"",EDATE($D8,Milestones!$AA$196)&gt;=$S8),$V8,IF(AND($R8&lt;&gt;"",EDATE($D8,Milestones!$AA$196)&gt;=$R8),$U8,$T8)))=Milestones!$AB$196),TEXT(EDATE($D8,Milestones!$AA$196),"dd/mm/yy")&amp;" "&amp;Milestones!$AB$196&amp;" "&amp;Milestones!$AC$196&amp;";  ","")&amp;IF(AND(EDATE($D8,Milestones!$AA$197)&lt;=AsOfDate,IF($Q8=0,$W8,IF(AND($S8&lt;&gt;"",EDATE($D8,Milestones!$AA$197)&gt;=$S8),$V8,IF(AND($R8&lt;&gt;"",EDATE($D8,Milestones!$AA$197)&gt;=$R8),$U8,$T8)))=Milestones!$AB$197),TEXT(EDATE($D8,Milestones!$AA$197),"dd/mm/yy")&amp;" "&amp;Milestones!$AB$197&amp;" "&amp;Milestones!$AC$197&amp;";  ","")&amp;IF(AND(EDATE($D8,Milestones!$AA$198)&lt;=AsOfDate,IF($Q8=0,$W8,IF(AND($S8&lt;&gt;"",EDATE($D8,Milestones!$AA$198)&gt;=$S8),$V8,IF(AND($R8&lt;&gt;"",EDATE($D8,Milestones!$AA$198)&gt;=$R8),$U8,$T8)))=Milestones!$AB$198),TEXT(EDATE($D8,Milestones!$AA$198),"dd/mm/yy")&amp;" "&amp;Milestones!$AB$198&amp;" "&amp;Milestones!$AC$198&amp;";  ","")&amp;IF(AND(EDATE($D8,Milestones!$AA$199)&lt;=AsOfDate,IF($Q8=0,$W8,IF(AND($S8&lt;&gt;"",EDATE($D8,Milestones!$AA$199)&gt;=$S8),$V8,IF(AND($R8&lt;&gt;"",EDATE($D8,Milestones!$AA$199)&gt;=$R8),$U8,$T8)))=Milestones!$AB$199),TEXT(EDATE($D8,Milestones!$AA$199),"dd/mm/yy")&amp;" "&amp;Milestones!$AB$199&amp;" "&amp;Milestones!$AC$199&amp;";  ",""))</f>
        <v/>
      </c>
      <c r="Q8" s="0" t="str">
        <f aca="false">IF(Staff!$A8="","",Staff!$AG8)</f>
        <v/>
      </c>
      <c r="R8" s="0" t="str">
        <f aca="false">IF(Staff!$A8="","",Staff!$AI8)</f>
        <v/>
      </c>
      <c r="S8" s="0" t="str">
        <f aca="false">IF(Staff!$A8="","",Staff!$AJ8)</f>
        <v/>
      </c>
      <c r="T8" s="0" t="str">
        <f aca="false">IF(Staff!$A8="","",Staff!$AN8)</f>
        <v/>
      </c>
      <c r="U8" s="0" t="str">
        <f aca="false">IF(Staff!$A8="","",Staff!$AO8)</f>
        <v/>
      </c>
      <c r="V8" s="0" t="str">
        <f aca="false">IF(Staff!$A8="","",Staff!$AP8)</f>
        <v/>
      </c>
      <c r="W8" s="0" t="str">
        <f aca="false">IF(Staff!$A8="","",Staff!$AQ8)</f>
        <v/>
      </c>
    </row>
    <row r="9" customFormat="false" ht="15" hidden="false" customHeight="false" outlineLevel="0" collapsed="false">
      <c r="A9" s="13" t="str">
        <f aca="false">IF(Staff!$A9="","",Staff!$A9)</f>
        <v/>
      </c>
      <c r="B9" s="13" t="str">
        <f aca="false">IF(Staff!$A9="","",Staff!$B9)</f>
        <v/>
      </c>
      <c r="C9" s="13" t="str">
        <f aca="false">IF(Staff!$A9="","",Staff!$C9)</f>
        <v/>
      </c>
      <c r="D9" s="11" t="str">
        <f aca="false">IF(Staff!$A9="","",Staff!$AF9)</f>
        <v/>
      </c>
      <c r="E9" s="13" t="str">
        <f aca="false">IF(Staff!$A9="","",Staff!$O9)</f>
        <v/>
      </c>
      <c r="F9" s="13" t="str">
        <f aca="false">IF(E9="","",E9*HoursPerDay)</f>
        <v/>
      </c>
      <c r="G9" s="26" t="str">
        <f aca="false">IF($A9="","",H9&amp;I9&amp;J9&amp;K9&amp;L9&amp;M9&amp;N9&amp;O9&amp;P9)</f>
        <v/>
      </c>
      <c r="H9" s="0" t="str">
        <f aca="false">IF(OR($A9="",$D9=""),"",IF(AND(EDATE($D9,Milestones!$AA$20)&lt;=AsOfDate,IF($Q9=0,$W9,IF(AND($S9&lt;&gt;"",EDATE($D9,Milestones!$AA$20)&gt;=$S9),$V9,IF(AND($R9&lt;&gt;"",EDATE($D9,Milestones!$AA$20)&gt;=$R9),$U9,$T9)))=Milestones!$AB$20),TEXT(EDATE($D9,Milestones!$AA$20),"dd/mm/yy")&amp;" "&amp;Milestones!$AB$20&amp;" "&amp;Milestones!$AC$20&amp;";  ","")&amp;IF(AND(EDATE($D9,Milestones!$AA$21)&lt;=AsOfDate,IF($Q9=0,$W9,IF(AND($S9&lt;&gt;"",EDATE($D9,Milestones!$AA$21)&gt;=$S9),$V9,IF(AND($R9&lt;&gt;"",EDATE($D9,Milestones!$AA$21)&gt;=$R9),$U9,$T9)))=Milestones!$AB$21),TEXT(EDATE($D9,Milestones!$AA$21),"dd/mm/yy")&amp;" "&amp;Milestones!$AB$21&amp;" "&amp;Milestones!$AC$21&amp;";  ","")&amp;IF(AND(EDATE($D9,Milestones!$AA$22)&lt;=AsOfDate,IF($Q9=0,$W9,IF(AND($S9&lt;&gt;"",EDATE($D9,Milestones!$AA$22)&gt;=$S9),$V9,IF(AND($R9&lt;&gt;"",EDATE($D9,Milestones!$AA$22)&gt;=$R9),$U9,$T9)))=Milestones!$AB$22),TEXT(EDATE($D9,Milestones!$AA$22),"dd/mm/yy")&amp;" "&amp;Milestones!$AB$22&amp;" "&amp;Milestones!$AC$22&amp;";  ","")&amp;IF(AND(EDATE($D9,Milestones!$AA$23)&lt;=AsOfDate,IF($Q9=0,$W9,IF(AND($S9&lt;&gt;"",EDATE($D9,Milestones!$AA$23)&gt;=$S9),$V9,IF(AND($R9&lt;&gt;"",EDATE($D9,Milestones!$AA$23)&gt;=$R9),$U9,$T9)))=Milestones!$AB$23),TEXT(EDATE($D9,Milestones!$AA$23),"dd/mm/yy")&amp;" "&amp;Milestones!$AB$23&amp;" "&amp;Milestones!$AC$23&amp;";  ","")&amp;IF(AND(EDATE($D9,Milestones!$AA$24)&lt;=AsOfDate,IF($Q9=0,$W9,IF(AND($S9&lt;&gt;"",EDATE($D9,Milestones!$AA$24)&gt;=$S9),$V9,IF(AND($R9&lt;&gt;"",EDATE($D9,Milestones!$AA$24)&gt;=$R9),$U9,$T9)))=Milestones!$AB$24),TEXT(EDATE($D9,Milestones!$AA$24),"dd/mm/yy")&amp;" "&amp;Milestones!$AB$24&amp;" "&amp;Milestones!$AC$24&amp;";  ","")&amp;IF(AND(EDATE($D9,Milestones!$AA$25)&lt;=AsOfDate,IF($Q9=0,$W9,IF(AND($S9&lt;&gt;"",EDATE($D9,Milestones!$AA$25)&gt;=$S9),$V9,IF(AND($R9&lt;&gt;"",EDATE($D9,Milestones!$AA$25)&gt;=$R9),$U9,$T9)))=Milestones!$AB$25),TEXT(EDATE($D9,Milestones!$AA$25),"dd/mm/yy")&amp;" "&amp;Milestones!$AB$25&amp;" "&amp;Milestones!$AC$25&amp;";  ","")&amp;IF(AND(EDATE($D9,Milestones!$AA$26)&lt;=AsOfDate,IF($Q9=0,$W9,IF(AND($S9&lt;&gt;"",EDATE($D9,Milestones!$AA$26)&gt;=$S9),$V9,IF(AND($R9&lt;&gt;"",EDATE($D9,Milestones!$AA$26)&gt;=$R9),$U9,$T9)))=Milestones!$AB$26),TEXT(EDATE($D9,Milestones!$AA$26),"dd/mm/yy")&amp;" "&amp;Milestones!$AB$26&amp;" "&amp;Milestones!$AC$26&amp;";  ","")&amp;IF(AND(EDATE($D9,Milestones!$AA$27)&lt;=AsOfDate,IF($Q9=0,$W9,IF(AND($S9&lt;&gt;"",EDATE($D9,Milestones!$AA$27)&gt;=$S9),$V9,IF(AND($R9&lt;&gt;"",EDATE($D9,Milestones!$AA$27)&gt;=$R9),$U9,$T9)))=Milestones!$AB$27),TEXT(EDATE($D9,Milestones!$AA$27),"dd/mm/yy")&amp;" "&amp;Milestones!$AB$27&amp;" "&amp;Milestones!$AC$27&amp;";  ","")&amp;IF(AND(EDATE($D9,Milestones!$AA$28)&lt;=AsOfDate,IF($Q9=0,$W9,IF(AND($S9&lt;&gt;"",EDATE($D9,Milestones!$AA$28)&gt;=$S9),$V9,IF(AND($R9&lt;&gt;"",EDATE($D9,Milestones!$AA$28)&gt;=$R9),$U9,$T9)))=Milestones!$AB$28),TEXT(EDATE($D9,Milestones!$AA$28),"dd/mm/yy")&amp;" "&amp;Milestones!$AB$28&amp;" "&amp;Milestones!$AC$28&amp;";  ","")&amp;IF(AND(EDATE($D9,Milestones!$AA$29)&lt;=AsOfDate,IF($Q9=0,$W9,IF(AND($S9&lt;&gt;"",EDATE($D9,Milestones!$AA$29)&gt;=$S9),$V9,IF(AND($R9&lt;&gt;"",EDATE($D9,Milestones!$AA$29)&gt;=$R9),$U9,$T9)))=Milestones!$AB$29),TEXT(EDATE($D9,Milestones!$AA$29),"dd/mm/yy")&amp;" "&amp;Milestones!$AB$29&amp;" "&amp;Milestones!$AC$29&amp;";  ","")&amp;IF(AND(EDATE($D9,Milestones!$AA$30)&lt;=AsOfDate,IF($Q9=0,$W9,IF(AND($S9&lt;&gt;"",EDATE($D9,Milestones!$AA$30)&gt;=$S9),$V9,IF(AND($R9&lt;&gt;"",EDATE($D9,Milestones!$AA$30)&gt;=$R9),$U9,$T9)))=Milestones!$AB$30),TEXT(EDATE($D9,Milestones!$AA$30),"dd/mm/yy")&amp;" "&amp;Milestones!$AB$30&amp;" "&amp;Milestones!$AC$30&amp;";  ","")&amp;IF(AND(EDATE($D9,Milestones!$AA$31)&lt;=AsOfDate,IF($Q9=0,$W9,IF(AND($S9&lt;&gt;"",EDATE($D9,Milestones!$AA$31)&gt;=$S9),$V9,IF(AND($R9&lt;&gt;"",EDATE($D9,Milestones!$AA$31)&gt;=$R9),$U9,$T9)))=Milestones!$AB$31),TEXT(EDATE($D9,Milestones!$AA$31),"dd/mm/yy")&amp;" "&amp;Milestones!$AB$31&amp;" "&amp;Milestones!$AC$31&amp;";  ","")&amp;IF(AND(EDATE($D9,Milestones!$AA$32)&lt;=AsOfDate,IF($Q9=0,$W9,IF(AND($S9&lt;&gt;"",EDATE($D9,Milestones!$AA$32)&gt;=$S9),$V9,IF(AND($R9&lt;&gt;"",EDATE($D9,Milestones!$AA$32)&gt;=$R9),$U9,$T9)))=Milestones!$AB$32),TEXT(EDATE($D9,Milestones!$AA$32),"dd/mm/yy")&amp;" "&amp;Milestones!$AB$32&amp;" "&amp;Milestones!$AC$32&amp;";  ","")&amp;IF(AND(EDATE($D9,Milestones!$AA$33)&lt;=AsOfDate,IF($Q9=0,$W9,IF(AND($S9&lt;&gt;"",EDATE($D9,Milestones!$AA$33)&gt;=$S9),$V9,IF(AND($R9&lt;&gt;"",EDATE($D9,Milestones!$AA$33)&gt;=$R9),$U9,$T9)))=Milestones!$AB$33),TEXT(EDATE($D9,Milestones!$AA$33),"dd/mm/yy")&amp;" "&amp;Milestones!$AB$33&amp;" "&amp;Milestones!$AC$33&amp;";  ","")&amp;IF(AND(EDATE($D9,Milestones!$AA$34)&lt;=AsOfDate,IF($Q9=0,$W9,IF(AND($S9&lt;&gt;"",EDATE($D9,Milestones!$AA$34)&gt;=$S9),$V9,IF(AND($R9&lt;&gt;"",EDATE($D9,Milestones!$AA$34)&gt;=$R9),$U9,$T9)))=Milestones!$AB$34),TEXT(EDATE($D9,Milestones!$AA$34),"dd/mm/yy")&amp;" "&amp;Milestones!$AB$34&amp;" "&amp;Milestones!$AC$34&amp;";  ","")&amp;IF(AND(EDATE($D9,Milestones!$AA$35)&lt;=AsOfDate,IF($Q9=0,$W9,IF(AND($S9&lt;&gt;"",EDATE($D9,Milestones!$AA$35)&gt;=$S9),$V9,IF(AND($R9&lt;&gt;"",EDATE($D9,Milestones!$AA$35)&gt;=$R9),$U9,$T9)))=Milestones!$AB$35),TEXT(EDATE($D9,Milestones!$AA$35),"dd/mm/yy")&amp;" "&amp;Milestones!$AB$35&amp;" "&amp;Milestones!$AC$35&amp;";  ","")&amp;IF(AND(EDATE($D9,Milestones!$AA$36)&lt;=AsOfDate,IF($Q9=0,$W9,IF(AND($S9&lt;&gt;"",EDATE($D9,Milestones!$AA$36)&gt;=$S9),$V9,IF(AND($R9&lt;&gt;"",EDATE($D9,Milestones!$AA$36)&gt;=$R9),$U9,$T9)))=Milestones!$AB$36),TEXT(EDATE($D9,Milestones!$AA$36),"dd/mm/yy")&amp;" "&amp;Milestones!$AB$36&amp;" "&amp;Milestones!$AC$36&amp;";  ","")&amp;IF(AND(EDATE($D9,Milestones!$AA$37)&lt;=AsOfDate,IF($Q9=0,$W9,IF(AND($S9&lt;&gt;"",EDATE($D9,Milestones!$AA$37)&gt;=$S9),$V9,IF(AND($R9&lt;&gt;"",EDATE($D9,Milestones!$AA$37)&gt;=$R9),$U9,$T9)))=Milestones!$AB$37),TEXT(EDATE($D9,Milestones!$AA$37),"dd/mm/yy")&amp;" "&amp;Milestones!$AB$37&amp;" "&amp;Milestones!$AC$37&amp;";  ","")&amp;IF(AND(EDATE($D9,Milestones!$AA$38)&lt;=AsOfDate,IF($Q9=0,$W9,IF(AND($S9&lt;&gt;"",EDATE($D9,Milestones!$AA$38)&gt;=$S9),$V9,IF(AND($R9&lt;&gt;"",EDATE($D9,Milestones!$AA$38)&gt;=$R9),$U9,$T9)))=Milestones!$AB$38),TEXT(EDATE($D9,Milestones!$AA$38),"dd/mm/yy")&amp;" "&amp;Milestones!$AB$38&amp;" "&amp;Milestones!$AC$38&amp;";  ","")&amp;IF(AND(EDATE($D9,Milestones!$AA$39)&lt;=AsOfDate,IF($Q9=0,$W9,IF(AND($S9&lt;&gt;"",EDATE($D9,Milestones!$AA$39)&gt;=$S9),$V9,IF(AND($R9&lt;&gt;"",EDATE($D9,Milestones!$AA$39)&gt;=$R9),$U9,$T9)))=Milestones!$AB$39),TEXT(EDATE($D9,Milestones!$AA$39),"dd/mm/yy")&amp;" "&amp;Milestones!$AB$39&amp;" "&amp;Milestones!$AC$39&amp;";  ",""))</f>
        <v/>
      </c>
      <c r="I9" s="0" t="str">
        <f aca="false">IF(OR($A9="",$D9=""),"",IF(AND(EDATE($D9,Milestones!$AA$40)&lt;=AsOfDate,IF($Q9=0,$W9,IF(AND($S9&lt;&gt;"",EDATE($D9,Milestones!$AA$40)&gt;=$S9),$V9,IF(AND($R9&lt;&gt;"",EDATE($D9,Milestones!$AA$40)&gt;=$R9),$U9,$T9)))=Milestones!$AB$40),TEXT(EDATE($D9,Milestones!$AA$40),"dd/mm/yy")&amp;" "&amp;Milestones!$AB$40&amp;" "&amp;Milestones!$AC$40&amp;";  ","")&amp;IF(AND(EDATE($D9,Milestones!$AA$41)&lt;=AsOfDate,IF($Q9=0,$W9,IF(AND($S9&lt;&gt;"",EDATE($D9,Milestones!$AA$41)&gt;=$S9),$V9,IF(AND($R9&lt;&gt;"",EDATE($D9,Milestones!$AA$41)&gt;=$R9),$U9,$T9)))=Milestones!$AB$41),TEXT(EDATE($D9,Milestones!$AA$41),"dd/mm/yy")&amp;" "&amp;Milestones!$AB$41&amp;" "&amp;Milestones!$AC$41&amp;";  ","")&amp;IF(AND(EDATE($D9,Milestones!$AA$42)&lt;=AsOfDate,IF($Q9=0,$W9,IF(AND($S9&lt;&gt;"",EDATE($D9,Milestones!$AA$42)&gt;=$S9),$V9,IF(AND($R9&lt;&gt;"",EDATE($D9,Milestones!$AA$42)&gt;=$R9),$U9,$T9)))=Milestones!$AB$42),TEXT(EDATE($D9,Milestones!$AA$42),"dd/mm/yy")&amp;" "&amp;Milestones!$AB$42&amp;" "&amp;Milestones!$AC$42&amp;";  ","")&amp;IF(AND(EDATE($D9,Milestones!$AA$43)&lt;=AsOfDate,IF($Q9=0,$W9,IF(AND($S9&lt;&gt;"",EDATE($D9,Milestones!$AA$43)&gt;=$S9),$V9,IF(AND($R9&lt;&gt;"",EDATE($D9,Milestones!$AA$43)&gt;=$R9),$U9,$T9)))=Milestones!$AB$43),TEXT(EDATE($D9,Milestones!$AA$43),"dd/mm/yy")&amp;" "&amp;Milestones!$AB$43&amp;" "&amp;Milestones!$AC$43&amp;";  ","")&amp;IF(AND(EDATE($D9,Milestones!$AA$44)&lt;=AsOfDate,IF($Q9=0,$W9,IF(AND($S9&lt;&gt;"",EDATE($D9,Milestones!$AA$44)&gt;=$S9),$V9,IF(AND($R9&lt;&gt;"",EDATE($D9,Milestones!$AA$44)&gt;=$R9),$U9,$T9)))=Milestones!$AB$44),TEXT(EDATE($D9,Milestones!$AA$44),"dd/mm/yy")&amp;" "&amp;Milestones!$AB$44&amp;" "&amp;Milestones!$AC$44&amp;";  ","")&amp;IF(AND(EDATE($D9,Milestones!$AA$45)&lt;=AsOfDate,IF($Q9=0,$W9,IF(AND($S9&lt;&gt;"",EDATE($D9,Milestones!$AA$45)&gt;=$S9),$V9,IF(AND($R9&lt;&gt;"",EDATE($D9,Milestones!$AA$45)&gt;=$R9),$U9,$T9)))=Milestones!$AB$45),TEXT(EDATE($D9,Milestones!$AA$45),"dd/mm/yy")&amp;" "&amp;Milestones!$AB$45&amp;" "&amp;Milestones!$AC$45&amp;";  ","")&amp;IF(AND(EDATE($D9,Milestones!$AA$46)&lt;=AsOfDate,IF($Q9=0,$W9,IF(AND($S9&lt;&gt;"",EDATE($D9,Milestones!$AA$46)&gt;=$S9),$V9,IF(AND($R9&lt;&gt;"",EDATE($D9,Milestones!$AA$46)&gt;=$R9),$U9,$T9)))=Milestones!$AB$46),TEXT(EDATE($D9,Milestones!$AA$46),"dd/mm/yy")&amp;" "&amp;Milestones!$AB$46&amp;" "&amp;Milestones!$AC$46&amp;";  ","")&amp;IF(AND(EDATE($D9,Milestones!$AA$47)&lt;=AsOfDate,IF($Q9=0,$W9,IF(AND($S9&lt;&gt;"",EDATE($D9,Milestones!$AA$47)&gt;=$S9),$V9,IF(AND($R9&lt;&gt;"",EDATE($D9,Milestones!$AA$47)&gt;=$R9),$U9,$T9)))=Milestones!$AB$47),TEXT(EDATE($D9,Milestones!$AA$47),"dd/mm/yy")&amp;" "&amp;Milestones!$AB$47&amp;" "&amp;Milestones!$AC$47&amp;";  ","")&amp;IF(AND(EDATE($D9,Milestones!$AA$48)&lt;=AsOfDate,IF($Q9=0,$W9,IF(AND($S9&lt;&gt;"",EDATE($D9,Milestones!$AA$48)&gt;=$S9),$V9,IF(AND($R9&lt;&gt;"",EDATE($D9,Milestones!$AA$48)&gt;=$R9),$U9,$T9)))=Milestones!$AB$48),TEXT(EDATE($D9,Milestones!$AA$48),"dd/mm/yy")&amp;" "&amp;Milestones!$AB$48&amp;" "&amp;Milestones!$AC$48&amp;";  ","")&amp;IF(AND(EDATE($D9,Milestones!$AA$49)&lt;=AsOfDate,IF($Q9=0,$W9,IF(AND($S9&lt;&gt;"",EDATE($D9,Milestones!$AA$49)&gt;=$S9),$V9,IF(AND($R9&lt;&gt;"",EDATE($D9,Milestones!$AA$49)&gt;=$R9),$U9,$T9)))=Milestones!$AB$49),TEXT(EDATE($D9,Milestones!$AA$49),"dd/mm/yy")&amp;" "&amp;Milestones!$AB$49&amp;" "&amp;Milestones!$AC$49&amp;";  ","")&amp;IF(AND(EDATE($D9,Milestones!$AA$50)&lt;=AsOfDate,IF($Q9=0,$W9,IF(AND($S9&lt;&gt;"",EDATE($D9,Milestones!$AA$50)&gt;=$S9),$V9,IF(AND($R9&lt;&gt;"",EDATE($D9,Milestones!$AA$50)&gt;=$R9),$U9,$T9)))=Milestones!$AB$50),TEXT(EDATE($D9,Milestones!$AA$50),"dd/mm/yy")&amp;" "&amp;Milestones!$AB$50&amp;" "&amp;Milestones!$AC$50&amp;";  ","")&amp;IF(AND(EDATE($D9,Milestones!$AA$51)&lt;=AsOfDate,IF($Q9=0,$W9,IF(AND($S9&lt;&gt;"",EDATE($D9,Milestones!$AA$51)&gt;=$S9),$V9,IF(AND($R9&lt;&gt;"",EDATE($D9,Milestones!$AA$51)&gt;=$R9),$U9,$T9)))=Milestones!$AB$51),TEXT(EDATE($D9,Milestones!$AA$51),"dd/mm/yy")&amp;" "&amp;Milestones!$AB$51&amp;" "&amp;Milestones!$AC$51&amp;";  ","")&amp;IF(AND(EDATE($D9,Milestones!$AA$52)&lt;=AsOfDate,IF($Q9=0,$W9,IF(AND($S9&lt;&gt;"",EDATE($D9,Milestones!$AA$52)&gt;=$S9),$V9,IF(AND($R9&lt;&gt;"",EDATE($D9,Milestones!$AA$52)&gt;=$R9),$U9,$T9)))=Milestones!$AB$52),TEXT(EDATE($D9,Milestones!$AA$52),"dd/mm/yy")&amp;" "&amp;Milestones!$AB$52&amp;" "&amp;Milestones!$AC$52&amp;";  ","")&amp;IF(AND(EDATE($D9,Milestones!$AA$53)&lt;=AsOfDate,IF($Q9=0,$W9,IF(AND($S9&lt;&gt;"",EDATE($D9,Milestones!$AA$53)&gt;=$S9),$V9,IF(AND($R9&lt;&gt;"",EDATE($D9,Milestones!$AA$53)&gt;=$R9),$U9,$T9)))=Milestones!$AB$53),TEXT(EDATE($D9,Milestones!$AA$53),"dd/mm/yy")&amp;" "&amp;Milestones!$AB$53&amp;" "&amp;Milestones!$AC$53&amp;";  ","")&amp;IF(AND(EDATE($D9,Milestones!$AA$54)&lt;=AsOfDate,IF($Q9=0,$W9,IF(AND($S9&lt;&gt;"",EDATE($D9,Milestones!$AA$54)&gt;=$S9),$V9,IF(AND($R9&lt;&gt;"",EDATE($D9,Milestones!$AA$54)&gt;=$R9),$U9,$T9)))=Milestones!$AB$54),TEXT(EDATE($D9,Milestones!$AA$54),"dd/mm/yy")&amp;" "&amp;Milestones!$AB$54&amp;" "&amp;Milestones!$AC$54&amp;";  ","")&amp;IF(AND(EDATE($D9,Milestones!$AA$55)&lt;=AsOfDate,IF($Q9=0,$W9,IF(AND($S9&lt;&gt;"",EDATE($D9,Milestones!$AA$55)&gt;=$S9),$V9,IF(AND($R9&lt;&gt;"",EDATE($D9,Milestones!$AA$55)&gt;=$R9),$U9,$T9)))=Milestones!$AB$55),TEXT(EDATE($D9,Milestones!$AA$55),"dd/mm/yy")&amp;" "&amp;Milestones!$AB$55&amp;" "&amp;Milestones!$AC$55&amp;";  ","")&amp;IF(AND(EDATE($D9,Milestones!$AA$56)&lt;=AsOfDate,IF($Q9=0,$W9,IF(AND($S9&lt;&gt;"",EDATE($D9,Milestones!$AA$56)&gt;=$S9),$V9,IF(AND($R9&lt;&gt;"",EDATE($D9,Milestones!$AA$56)&gt;=$R9),$U9,$T9)))=Milestones!$AB$56),TEXT(EDATE($D9,Milestones!$AA$56),"dd/mm/yy")&amp;" "&amp;Milestones!$AB$56&amp;" "&amp;Milestones!$AC$56&amp;";  ","")&amp;IF(AND(EDATE($D9,Milestones!$AA$57)&lt;=AsOfDate,IF($Q9=0,$W9,IF(AND($S9&lt;&gt;"",EDATE($D9,Milestones!$AA$57)&gt;=$S9),$V9,IF(AND($R9&lt;&gt;"",EDATE($D9,Milestones!$AA$57)&gt;=$R9),$U9,$T9)))=Milestones!$AB$57),TEXT(EDATE($D9,Milestones!$AA$57),"dd/mm/yy")&amp;" "&amp;Milestones!$AB$57&amp;" "&amp;Milestones!$AC$57&amp;";  ","")&amp;IF(AND(EDATE($D9,Milestones!$AA$58)&lt;=AsOfDate,IF($Q9=0,$W9,IF(AND($S9&lt;&gt;"",EDATE($D9,Milestones!$AA$58)&gt;=$S9),$V9,IF(AND($R9&lt;&gt;"",EDATE($D9,Milestones!$AA$58)&gt;=$R9),$U9,$T9)))=Milestones!$AB$58),TEXT(EDATE($D9,Milestones!$AA$58),"dd/mm/yy")&amp;" "&amp;Milestones!$AB$58&amp;" "&amp;Milestones!$AC$58&amp;";  ","")&amp;IF(AND(EDATE($D9,Milestones!$AA$59)&lt;=AsOfDate,IF($Q9=0,$W9,IF(AND($S9&lt;&gt;"",EDATE($D9,Milestones!$AA$59)&gt;=$S9),$V9,IF(AND($R9&lt;&gt;"",EDATE($D9,Milestones!$AA$59)&gt;=$R9),$U9,$T9)))=Milestones!$AB$59),TEXT(EDATE($D9,Milestones!$AA$59),"dd/mm/yy")&amp;" "&amp;Milestones!$AB$59&amp;" "&amp;Milestones!$AC$59&amp;";  ",""))</f>
        <v/>
      </c>
      <c r="J9" s="0" t="str">
        <f aca="false">IF(OR($A9="",$D9=""),"",IF(AND(EDATE($D9,Milestones!$AA$60)&lt;=AsOfDate,IF($Q9=0,$W9,IF(AND($S9&lt;&gt;"",EDATE($D9,Milestones!$AA$60)&gt;=$S9),$V9,IF(AND($R9&lt;&gt;"",EDATE($D9,Milestones!$AA$60)&gt;=$R9),$U9,$T9)))=Milestones!$AB$60),TEXT(EDATE($D9,Milestones!$AA$60),"dd/mm/yy")&amp;" "&amp;Milestones!$AB$60&amp;" "&amp;Milestones!$AC$60&amp;";  ","")&amp;IF(AND(EDATE($D9,Milestones!$AA$61)&lt;=AsOfDate,IF($Q9=0,$W9,IF(AND($S9&lt;&gt;"",EDATE($D9,Milestones!$AA$61)&gt;=$S9),$V9,IF(AND($R9&lt;&gt;"",EDATE($D9,Milestones!$AA$61)&gt;=$R9),$U9,$T9)))=Milestones!$AB$61),TEXT(EDATE($D9,Milestones!$AA$61),"dd/mm/yy")&amp;" "&amp;Milestones!$AB$61&amp;" "&amp;Milestones!$AC$61&amp;";  ","")&amp;IF(AND(EDATE($D9,Milestones!$AA$62)&lt;=AsOfDate,IF($Q9=0,$W9,IF(AND($S9&lt;&gt;"",EDATE($D9,Milestones!$AA$62)&gt;=$S9),$V9,IF(AND($R9&lt;&gt;"",EDATE($D9,Milestones!$AA$62)&gt;=$R9),$U9,$T9)))=Milestones!$AB$62),TEXT(EDATE($D9,Milestones!$AA$62),"dd/mm/yy")&amp;" "&amp;Milestones!$AB$62&amp;" "&amp;Milestones!$AC$62&amp;";  ","")&amp;IF(AND(EDATE($D9,Milestones!$AA$63)&lt;=AsOfDate,IF($Q9=0,$W9,IF(AND($S9&lt;&gt;"",EDATE($D9,Milestones!$AA$63)&gt;=$S9),$V9,IF(AND($R9&lt;&gt;"",EDATE($D9,Milestones!$AA$63)&gt;=$R9),$U9,$T9)))=Milestones!$AB$63),TEXT(EDATE($D9,Milestones!$AA$63),"dd/mm/yy")&amp;" "&amp;Milestones!$AB$63&amp;" "&amp;Milestones!$AC$63&amp;";  ","")&amp;IF(AND(EDATE($D9,Milestones!$AA$64)&lt;=AsOfDate,IF($Q9=0,$W9,IF(AND($S9&lt;&gt;"",EDATE($D9,Milestones!$AA$64)&gt;=$S9),$V9,IF(AND($R9&lt;&gt;"",EDATE($D9,Milestones!$AA$64)&gt;=$R9),$U9,$T9)))=Milestones!$AB$64),TEXT(EDATE($D9,Milestones!$AA$64),"dd/mm/yy")&amp;" "&amp;Milestones!$AB$64&amp;" "&amp;Milestones!$AC$64&amp;";  ","")&amp;IF(AND(EDATE($D9,Milestones!$AA$65)&lt;=AsOfDate,IF($Q9=0,$W9,IF(AND($S9&lt;&gt;"",EDATE($D9,Milestones!$AA$65)&gt;=$S9),$V9,IF(AND($R9&lt;&gt;"",EDATE($D9,Milestones!$AA$65)&gt;=$R9),$U9,$T9)))=Milestones!$AB$65),TEXT(EDATE($D9,Milestones!$AA$65),"dd/mm/yy")&amp;" "&amp;Milestones!$AB$65&amp;" "&amp;Milestones!$AC$65&amp;";  ","")&amp;IF(AND(EDATE($D9,Milestones!$AA$66)&lt;=AsOfDate,IF($Q9=0,$W9,IF(AND($S9&lt;&gt;"",EDATE($D9,Milestones!$AA$66)&gt;=$S9),$V9,IF(AND($R9&lt;&gt;"",EDATE($D9,Milestones!$AA$66)&gt;=$R9),$U9,$T9)))=Milestones!$AB$66),TEXT(EDATE($D9,Milestones!$AA$66),"dd/mm/yy")&amp;" "&amp;Milestones!$AB$66&amp;" "&amp;Milestones!$AC$66&amp;";  ","")&amp;IF(AND(EDATE($D9,Milestones!$AA$67)&lt;=AsOfDate,IF($Q9=0,$W9,IF(AND($S9&lt;&gt;"",EDATE($D9,Milestones!$AA$67)&gt;=$S9),$V9,IF(AND($R9&lt;&gt;"",EDATE($D9,Milestones!$AA$67)&gt;=$R9),$U9,$T9)))=Milestones!$AB$67),TEXT(EDATE($D9,Milestones!$AA$67),"dd/mm/yy")&amp;" "&amp;Milestones!$AB$67&amp;" "&amp;Milestones!$AC$67&amp;";  ","")&amp;IF(AND(EDATE($D9,Milestones!$AA$68)&lt;=AsOfDate,IF($Q9=0,$W9,IF(AND($S9&lt;&gt;"",EDATE($D9,Milestones!$AA$68)&gt;=$S9),$V9,IF(AND($R9&lt;&gt;"",EDATE($D9,Milestones!$AA$68)&gt;=$R9),$U9,$T9)))=Milestones!$AB$68),TEXT(EDATE($D9,Milestones!$AA$68),"dd/mm/yy")&amp;" "&amp;Milestones!$AB$68&amp;" "&amp;Milestones!$AC$68&amp;";  ","")&amp;IF(AND(EDATE($D9,Milestones!$AA$69)&lt;=AsOfDate,IF($Q9=0,$W9,IF(AND($S9&lt;&gt;"",EDATE($D9,Milestones!$AA$69)&gt;=$S9),$V9,IF(AND($R9&lt;&gt;"",EDATE($D9,Milestones!$AA$69)&gt;=$R9),$U9,$T9)))=Milestones!$AB$69),TEXT(EDATE($D9,Milestones!$AA$69),"dd/mm/yy")&amp;" "&amp;Milestones!$AB$69&amp;" "&amp;Milestones!$AC$69&amp;";  ","")&amp;IF(AND(EDATE($D9,Milestones!$AA$70)&lt;=AsOfDate,IF($Q9=0,$W9,IF(AND($S9&lt;&gt;"",EDATE($D9,Milestones!$AA$70)&gt;=$S9),$V9,IF(AND($R9&lt;&gt;"",EDATE($D9,Milestones!$AA$70)&gt;=$R9),$U9,$T9)))=Milestones!$AB$70),TEXT(EDATE($D9,Milestones!$AA$70),"dd/mm/yy")&amp;" "&amp;Milestones!$AB$70&amp;" "&amp;Milestones!$AC$70&amp;";  ","")&amp;IF(AND(EDATE($D9,Milestones!$AA$71)&lt;=AsOfDate,IF($Q9=0,$W9,IF(AND($S9&lt;&gt;"",EDATE($D9,Milestones!$AA$71)&gt;=$S9),$V9,IF(AND($R9&lt;&gt;"",EDATE($D9,Milestones!$AA$71)&gt;=$R9),$U9,$T9)))=Milestones!$AB$71),TEXT(EDATE($D9,Milestones!$AA$71),"dd/mm/yy")&amp;" "&amp;Milestones!$AB$71&amp;" "&amp;Milestones!$AC$71&amp;";  ","")&amp;IF(AND(EDATE($D9,Milestones!$AA$72)&lt;=AsOfDate,IF($Q9=0,$W9,IF(AND($S9&lt;&gt;"",EDATE($D9,Milestones!$AA$72)&gt;=$S9),$V9,IF(AND($R9&lt;&gt;"",EDATE($D9,Milestones!$AA$72)&gt;=$R9),$U9,$T9)))=Milestones!$AB$72),TEXT(EDATE($D9,Milestones!$AA$72),"dd/mm/yy")&amp;" "&amp;Milestones!$AB$72&amp;" "&amp;Milestones!$AC$72&amp;";  ","")&amp;IF(AND(EDATE($D9,Milestones!$AA$73)&lt;=AsOfDate,IF($Q9=0,$W9,IF(AND($S9&lt;&gt;"",EDATE($D9,Milestones!$AA$73)&gt;=$S9),$V9,IF(AND($R9&lt;&gt;"",EDATE($D9,Milestones!$AA$73)&gt;=$R9),$U9,$T9)))=Milestones!$AB$73),TEXT(EDATE($D9,Milestones!$AA$73),"dd/mm/yy")&amp;" "&amp;Milestones!$AB$73&amp;" "&amp;Milestones!$AC$73&amp;";  ","")&amp;IF(AND(EDATE($D9,Milestones!$AA$74)&lt;=AsOfDate,IF($Q9=0,$W9,IF(AND($S9&lt;&gt;"",EDATE($D9,Milestones!$AA$74)&gt;=$S9),$V9,IF(AND($R9&lt;&gt;"",EDATE($D9,Milestones!$AA$74)&gt;=$R9),$U9,$T9)))=Milestones!$AB$74),TEXT(EDATE($D9,Milestones!$AA$74),"dd/mm/yy")&amp;" "&amp;Milestones!$AB$74&amp;" "&amp;Milestones!$AC$74&amp;";  ","")&amp;IF(AND(EDATE($D9,Milestones!$AA$75)&lt;=AsOfDate,IF($Q9=0,$W9,IF(AND($S9&lt;&gt;"",EDATE($D9,Milestones!$AA$75)&gt;=$S9),$V9,IF(AND($R9&lt;&gt;"",EDATE($D9,Milestones!$AA$75)&gt;=$R9),$U9,$T9)))=Milestones!$AB$75),TEXT(EDATE($D9,Milestones!$AA$75),"dd/mm/yy")&amp;" "&amp;Milestones!$AB$75&amp;" "&amp;Milestones!$AC$75&amp;";  ","")&amp;IF(AND(EDATE($D9,Milestones!$AA$76)&lt;=AsOfDate,IF($Q9=0,$W9,IF(AND($S9&lt;&gt;"",EDATE($D9,Milestones!$AA$76)&gt;=$S9),$V9,IF(AND($R9&lt;&gt;"",EDATE($D9,Milestones!$AA$76)&gt;=$R9),$U9,$T9)))=Milestones!$AB$76),TEXT(EDATE($D9,Milestones!$AA$76),"dd/mm/yy")&amp;" "&amp;Milestones!$AB$76&amp;" "&amp;Milestones!$AC$76&amp;";  ","")&amp;IF(AND(EDATE($D9,Milestones!$AA$77)&lt;=AsOfDate,IF($Q9=0,$W9,IF(AND($S9&lt;&gt;"",EDATE($D9,Milestones!$AA$77)&gt;=$S9),$V9,IF(AND($R9&lt;&gt;"",EDATE($D9,Milestones!$AA$77)&gt;=$R9),$U9,$T9)))=Milestones!$AB$77),TEXT(EDATE($D9,Milestones!$AA$77),"dd/mm/yy")&amp;" "&amp;Milestones!$AB$77&amp;" "&amp;Milestones!$AC$77&amp;";  ","")&amp;IF(AND(EDATE($D9,Milestones!$AA$78)&lt;=AsOfDate,IF($Q9=0,$W9,IF(AND($S9&lt;&gt;"",EDATE($D9,Milestones!$AA$78)&gt;=$S9),$V9,IF(AND($R9&lt;&gt;"",EDATE($D9,Milestones!$AA$78)&gt;=$R9),$U9,$T9)))=Milestones!$AB$78),TEXT(EDATE($D9,Milestones!$AA$78),"dd/mm/yy")&amp;" "&amp;Milestones!$AB$78&amp;" "&amp;Milestones!$AC$78&amp;";  ","")&amp;IF(AND(EDATE($D9,Milestones!$AA$79)&lt;=AsOfDate,IF($Q9=0,$W9,IF(AND($S9&lt;&gt;"",EDATE($D9,Milestones!$AA$79)&gt;=$S9),$V9,IF(AND($R9&lt;&gt;"",EDATE($D9,Milestones!$AA$79)&gt;=$R9),$U9,$T9)))=Milestones!$AB$79),TEXT(EDATE($D9,Milestones!$AA$79),"dd/mm/yy")&amp;" "&amp;Milestones!$AB$79&amp;" "&amp;Milestones!$AC$79&amp;";  ",""))</f>
        <v/>
      </c>
      <c r="K9" s="0" t="str">
        <f aca="false">IF(OR($A9="",$D9=""),"",IF(AND(EDATE($D9,Milestones!$AA$80)&lt;=AsOfDate,IF($Q9=0,$W9,IF(AND($S9&lt;&gt;"",EDATE($D9,Milestones!$AA$80)&gt;=$S9),$V9,IF(AND($R9&lt;&gt;"",EDATE($D9,Milestones!$AA$80)&gt;=$R9),$U9,$T9)))=Milestones!$AB$80),TEXT(EDATE($D9,Milestones!$AA$80),"dd/mm/yy")&amp;" "&amp;Milestones!$AB$80&amp;" "&amp;Milestones!$AC$80&amp;";  ","")&amp;IF(AND(EDATE($D9,Milestones!$AA$81)&lt;=AsOfDate,IF($Q9=0,$W9,IF(AND($S9&lt;&gt;"",EDATE($D9,Milestones!$AA$81)&gt;=$S9),$V9,IF(AND($R9&lt;&gt;"",EDATE($D9,Milestones!$AA$81)&gt;=$R9),$U9,$T9)))=Milestones!$AB$81),TEXT(EDATE($D9,Milestones!$AA$81),"dd/mm/yy")&amp;" "&amp;Milestones!$AB$81&amp;" "&amp;Milestones!$AC$81&amp;";  ","")&amp;IF(AND(EDATE($D9,Milestones!$AA$82)&lt;=AsOfDate,IF($Q9=0,$W9,IF(AND($S9&lt;&gt;"",EDATE($D9,Milestones!$AA$82)&gt;=$S9),$V9,IF(AND($R9&lt;&gt;"",EDATE($D9,Milestones!$AA$82)&gt;=$R9),$U9,$T9)))=Milestones!$AB$82),TEXT(EDATE($D9,Milestones!$AA$82),"dd/mm/yy")&amp;" "&amp;Milestones!$AB$82&amp;" "&amp;Milestones!$AC$82&amp;";  ","")&amp;IF(AND(EDATE($D9,Milestones!$AA$83)&lt;=AsOfDate,IF($Q9=0,$W9,IF(AND($S9&lt;&gt;"",EDATE($D9,Milestones!$AA$83)&gt;=$S9),$V9,IF(AND($R9&lt;&gt;"",EDATE($D9,Milestones!$AA$83)&gt;=$R9),$U9,$T9)))=Milestones!$AB$83),TEXT(EDATE($D9,Milestones!$AA$83),"dd/mm/yy")&amp;" "&amp;Milestones!$AB$83&amp;" "&amp;Milestones!$AC$83&amp;";  ","")&amp;IF(AND(EDATE($D9,Milestones!$AA$84)&lt;=AsOfDate,IF($Q9=0,$W9,IF(AND($S9&lt;&gt;"",EDATE($D9,Milestones!$AA$84)&gt;=$S9),$V9,IF(AND($R9&lt;&gt;"",EDATE($D9,Milestones!$AA$84)&gt;=$R9),$U9,$T9)))=Milestones!$AB$84),TEXT(EDATE($D9,Milestones!$AA$84),"dd/mm/yy")&amp;" "&amp;Milestones!$AB$84&amp;" "&amp;Milestones!$AC$84&amp;";  ","")&amp;IF(AND(EDATE($D9,Milestones!$AA$85)&lt;=AsOfDate,IF($Q9=0,$W9,IF(AND($S9&lt;&gt;"",EDATE($D9,Milestones!$AA$85)&gt;=$S9),$V9,IF(AND($R9&lt;&gt;"",EDATE($D9,Milestones!$AA$85)&gt;=$R9),$U9,$T9)))=Milestones!$AB$85),TEXT(EDATE($D9,Milestones!$AA$85),"dd/mm/yy")&amp;" "&amp;Milestones!$AB$85&amp;" "&amp;Milestones!$AC$85&amp;";  ","")&amp;IF(AND(EDATE($D9,Milestones!$AA$86)&lt;=AsOfDate,IF($Q9=0,$W9,IF(AND($S9&lt;&gt;"",EDATE($D9,Milestones!$AA$86)&gt;=$S9),$V9,IF(AND($R9&lt;&gt;"",EDATE($D9,Milestones!$AA$86)&gt;=$R9),$U9,$T9)))=Milestones!$AB$86),TEXT(EDATE($D9,Milestones!$AA$86),"dd/mm/yy")&amp;" "&amp;Milestones!$AB$86&amp;" "&amp;Milestones!$AC$86&amp;";  ","")&amp;IF(AND(EDATE($D9,Milestones!$AA$87)&lt;=AsOfDate,IF($Q9=0,$W9,IF(AND($S9&lt;&gt;"",EDATE($D9,Milestones!$AA$87)&gt;=$S9),$V9,IF(AND($R9&lt;&gt;"",EDATE($D9,Milestones!$AA$87)&gt;=$R9),$U9,$T9)))=Milestones!$AB$87),TEXT(EDATE($D9,Milestones!$AA$87),"dd/mm/yy")&amp;" "&amp;Milestones!$AB$87&amp;" "&amp;Milestones!$AC$87&amp;";  ","")&amp;IF(AND(EDATE($D9,Milestones!$AA$88)&lt;=AsOfDate,IF($Q9=0,$W9,IF(AND($S9&lt;&gt;"",EDATE($D9,Milestones!$AA$88)&gt;=$S9),$V9,IF(AND($R9&lt;&gt;"",EDATE($D9,Milestones!$AA$88)&gt;=$R9),$U9,$T9)))=Milestones!$AB$88),TEXT(EDATE($D9,Milestones!$AA$88),"dd/mm/yy")&amp;" "&amp;Milestones!$AB$88&amp;" "&amp;Milestones!$AC$88&amp;";  ","")&amp;IF(AND(EDATE($D9,Milestones!$AA$89)&lt;=AsOfDate,IF($Q9=0,$W9,IF(AND($S9&lt;&gt;"",EDATE($D9,Milestones!$AA$89)&gt;=$S9),$V9,IF(AND($R9&lt;&gt;"",EDATE($D9,Milestones!$AA$89)&gt;=$R9),$U9,$T9)))=Milestones!$AB$89),TEXT(EDATE($D9,Milestones!$AA$89),"dd/mm/yy")&amp;" "&amp;Milestones!$AB$89&amp;" "&amp;Milestones!$AC$89&amp;";  ","")&amp;IF(AND(EDATE($D9,Milestones!$AA$90)&lt;=AsOfDate,IF($Q9=0,$W9,IF(AND($S9&lt;&gt;"",EDATE($D9,Milestones!$AA$90)&gt;=$S9),$V9,IF(AND($R9&lt;&gt;"",EDATE($D9,Milestones!$AA$90)&gt;=$R9),$U9,$T9)))=Milestones!$AB$90),TEXT(EDATE($D9,Milestones!$AA$90),"dd/mm/yy")&amp;" "&amp;Milestones!$AB$90&amp;" "&amp;Milestones!$AC$90&amp;";  ","")&amp;IF(AND(EDATE($D9,Milestones!$AA$91)&lt;=AsOfDate,IF($Q9=0,$W9,IF(AND($S9&lt;&gt;"",EDATE($D9,Milestones!$AA$91)&gt;=$S9),$V9,IF(AND($R9&lt;&gt;"",EDATE($D9,Milestones!$AA$91)&gt;=$R9),$U9,$T9)))=Milestones!$AB$91),TEXT(EDATE($D9,Milestones!$AA$91),"dd/mm/yy")&amp;" "&amp;Milestones!$AB$91&amp;" "&amp;Milestones!$AC$91&amp;";  ","")&amp;IF(AND(EDATE($D9,Milestones!$AA$92)&lt;=AsOfDate,IF($Q9=0,$W9,IF(AND($S9&lt;&gt;"",EDATE($D9,Milestones!$AA$92)&gt;=$S9),$V9,IF(AND($R9&lt;&gt;"",EDATE($D9,Milestones!$AA$92)&gt;=$R9),$U9,$T9)))=Milestones!$AB$92),TEXT(EDATE($D9,Milestones!$AA$92),"dd/mm/yy")&amp;" "&amp;Milestones!$AB$92&amp;" "&amp;Milestones!$AC$92&amp;";  ","")&amp;IF(AND(EDATE($D9,Milestones!$AA$93)&lt;=AsOfDate,IF($Q9=0,$W9,IF(AND($S9&lt;&gt;"",EDATE($D9,Milestones!$AA$93)&gt;=$S9),$V9,IF(AND($R9&lt;&gt;"",EDATE($D9,Milestones!$AA$93)&gt;=$R9),$U9,$T9)))=Milestones!$AB$93),TEXT(EDATE($D9,Milestones!$AA$93),"dd/mm/yy")&amp;" "&amp;Milestones!$AB$93&amp;" "&amp;Milestones!$AC$93&amp;";  ","")&amp;IF(AND(EDATE($D9,Milestones!$AA$94)&lt;=AsOfDate,IF($Q9=0,$W9,IF(AND($S9&lt;&gt;"",EDATE($D9,Milestones!$AA$94)&gt;=$S9),$V9,IF(AND($R9&lt;&gt;"",EDATE($D9,Milestones!$AA$94)&gt;=$R9),$U9,$T9)))=Milestones!$AB$94),TEXT(EDATE($D9,Milestones!$AA$94),"dd/mm/yy")&amp;" "&amp;Milestones!$AB$94&amp;" "&amp;Milestones!$AC$94&amp;";  ","")&amp;IF(AND(EDATE($D9,Milestones!$AA$95)&lt;=AsOfDate,IF($Q9=0,$W9,IF(AND($S9&lt;&gt;"",EDATE($D9,Milestones!$AA$95)&gt;=$S9),$V9,IF(AND($R9&lt;&gt;"",EDATE($D9,Milestones!$AA$95)&gt;=$R9),$U9,$T9)))=Milestones!$AB$95),TEXT(EDATE($D9,Milestones!$AA$95),"dd/mm/yy")&amp;" "&amp;Milestones!$AB$95&amp;" "&amp;Milestones!$AC$95&amp;";  ","")&amp;IF(AND(EDATE($D9,Milestones!$AA$96)&lt;=AsOfDate,IF($Q9=0,$W9,IF(AND($S9&lt;&gt;"",EDATE($D9,Milestones!$AA$96)&gt;=$S9),$V9,IF(AND($R9&lt;&gt;"",EDATE($D9,Milestones!$AA$96)&gt;=$R9),$U9,$T9)))=Milestones!$AB$96),TEXT(EDATE($D9,Milestones!$AA$96),"dd/mm/yy")&amp;" "&amp;Milestones!$AB$96&amp;" "&amp;Milestones!$AC$96&amp;";  ","")&amp;IF(AND(EDATE($D9,Milestones!$AA$97)&lt;=AsOfDate,IF($Q9=0,$W9,IF(AND($S9&lt;&gt;"",EDATE($D9,Milestones!$AA$97)&gt;=$S9),$V9,IF(AND($R9&lt;&gt;"",EDATE($D9,Milestones!$AA$97)&gt;=$R9),$U9,$T9)))=Milestones!$AB$97),TEXT(EDATE($D9,Milestones!$AA$97),"dd/mm/yy")&amp;" "&amp;Milestones!$AB$97&amp;" "&amp;Milestones!$AC$97&amp;";  ","")&amp;IF(AND(EDATE($D9,Milestones!$AA$98)&lt;=AsOfDate,IF($Q9=0,$W9,IF(AND($S9&lt;&gt;"",EDATE($D9,Milestones!$AA$98)&gt;=$S9),$V9,IF(AND($R9&lt;&gt;"",EDATE($D9,Milestones!$AA$98)&gt;=$R9),$U9,$T9)))=Milestones!$AB$98),TEXT(EDATE($D9,Milestones!$AA$98),"dd/mm/yy")&amp;" "&amp;Milestones!$AB$98&amp;" "&amp;Milestones!$AC$98&amp;";  ","")&amp;IF(AND(EDATE($D9,Milestones!$AA$99)&lt;=AsOfDate,IF($Q9=0,$W9,IF(AND($S9&lt;&gt;"",EDATE($D9,Milestones!$AA$99)&gt;=$S9),$V9,IF(AND($R9&lt;&gt;"",EDATE($D9,Milestones!$AA$99)&gt;=$R9),$U9,$T9)))=Milestones!$AB$99),TEXT(EDATE($D9,Milestones!$AA$99),"dd/mm/yy")&amp;" "&amp;Milestones!$AB$99&amp;" "&amp;Milestones!$AC$99&amp;";  ",""))</f>
        <v/>
      </c>
      <c r="L9" s="0" t="str">
        <f aca="false">IF(OR($A9="",$D9=""),"",IF(AND(EDATE($D9,Milestones!$AA$100)&lt;=AsOfDate,IF($Q9=0,$W9,IF(AND($S9&lt;&gt;"",EDATE($D9,Milestones!$AA$100)&gt;=$S9),$V9,IF(AND($R9&lt;&gt;"",EDATE($D9,Milestones!$AA$100)&gt;=$R9),$U9,$T9)))=Milestones!$AB$100),TEXT(EDATE($D9,Milestones!$AA$100),"dd/mm/yy")&amp;" "&amp;Milestones!$AB$100&amp;" "&amp;Milestones!$AC$100&amp;";  ","")&amp;IF(AND(EDATE($D9,Milestones!$AA$101)&lt;=AsOfDate,IF($Q9=0,$W9,IF(AND($S9&lt;&gt;"",EDATE($D9,Milestones!$AA$101)&gt;=$S9),$V9,IF(AND($R9&lt;&gt;"",EDATE($D9,Milestones!$AA$101)&gt;=$R9),$U9,$T9)))=Milestones!$AB$101),TEXT(EDATE($D9,Milestones!$AA$101),"dd/mm/yy")&amp;" "&amp;Milestones!$AB$101&amp;" "&amp;Milestones!$AC$101&amp;";  ","")&amp;IF(AND(EDATE($D9,Milestones!$AA$102)&lt;=AsOfDate,IF($Q9=0,$W9,IF(AND($S9&lt;&gt;"",EDATE($D9,Milestones!$AA$102)&gt;=$S9),$V9,IF(AND($R9&lt;&gt;"",EDATE($D9,Milestones!$AA$102)&gt;=$R9),$U9,$T9)))=Milestones!$AB$102),TEXT(EDATE($D9,Milestones!$AA$102),"dd/mm/yy")&amp;" "&amp;Milestones!$AB$102&amp;" "&amp;Milestones!$AC$102&amp;";  ","")&amp;IF(AND(EDATE($D9,Milestones!$AA$103)&lt;=AsOfDate,IF($Q9=0,$W9,IF(AND($S9&lt;&gt;"",EDATE($D9,Milestones!$AA$103)&gt;=$S9),$V9,IF(AND($R9&lt;&gt;"",EDATE($D9,Milestones!$AA$103)&gt;=$R9),$U9,$T9)))=Milestones!$AB$103),TEXT(EDATE($D9,Milestones!$AA$103),"dd/mm/yy")&amp;" "&amp;Milestones!$AB$103&amp;" "&amp;Milestones!$AC$103&amp;";  ","")&amp;IF(AND(EDATE($D9,Milestones!$AA$104)&lt;=AsOfDate,IF($Q9=0,$W9,IF(AND($S9&lt;&gt;"",EDATE($D9,Milestones!$AA$104)&gt;=$S9),$V9,IF(AND($R9&lt;&gt;"",EDATE($D9,Milestones!$AA$104)&gt;=$R9),$U9,$T9)))=Milestones!$AB$104),TEXT(EDATE($D9,Milestones!$AA$104),"dd/mm/yy")&amp;" "&amp;Milestones!$AB$104&amp;" "&amp;Milestones!$AC$104&amp;";  ","")&amp;IF(AND(EDATE($D9,Milestones!$AA$105)&lt;=AsOfDate,IF($Q9=0,$W9,IF(AND($S9&lt;&gt;"",EDATE($D9,Milestones!$AA$105)&gt;=$S9),$V9,IF(AND($R9&lt;&gt;"",EDATE($D9,Milestones!$AA$105)&gt;=$R9),$U9,$T9)))=Milestones!$AB$105),TEXT(EDATE($D9,Milestones!$AA$105),"dd/mm/yy")&amp;" "&amp;Milestones!$AB$105&amp;" "&amp;Milestones!$AC$105&amp;";  ","")&amp;IF(AND(EDATE($D9,Milestones!$AA$106)&lt;=AsOfDate,IF($Q9=0,$W9,IF(AND($S9&lt;&gt;"",EDATE($D9,Milestones!$AA$106)&gt;=$S9),$V9,IF(AND($R9&lt;&gt;"",EDATE($D9,Milestones!$AA$106)&gt;=$R9),$U9,$T9)))=Milestones!$AB$106),TEXT(EDATE($D9,Milestones!$AA$106),"dd/mm/yy")&amp;" "&amp;Milestones!$AB$106&amp;" "&amp;Milestones!$AC$106&amp;";  ","")&amp;IF(AND(EDATE($D9,Milestones!$AA$107)&lt;=AsOfDate,IF($Q9=0,$W9,IF(AND($S9&lt;&gt;"",EDATE($D9,Milestones!$AA$107)&gt;=$S9),$V9,IF(AND($R9&lt;&gt;"",EDATE($D9,Milestones!$AA$107)&gt;=$R9),$U9,$T9)))=Milestones!$AB$107),TEXT(EDATE($D9,Milestones!$AA$107),"dd/mm/yy")&amp;" "&amp;Milestones!$AB$107&amp;" "&amp;Milestones!$AC$107&amp;";  ","")&amp;IF(AND(EDATE($D9,Milestones!$AA$108)&lt;=AsOfDate,IF($Q9=0,$W9,IF(AND($S9&lt;&gt;"",EDATE($D9,Milestones!$AA$108)&gt;=$S9),$V9,IF(AND($R9&lt;&gt;"",EDATE($D9,Milestones!$AA$108)&gt;=$R9),$U9,$T9)))=Milestones!$AB$108),TEXT(EDATE($D9,Milestones!$AA$108),"dd/mm/yy")&amp;" "&amp;Milestones!$AB$108&amp;" "&amp;Milestones!$AC$108&amp;";  ","")&amp;IF(AND(EDATE($D9,Milestones!$AA$109)&lt;=AsOfDate,IF($Q9=0,$W9,IF(AND($S9&lt;&gt;"",EDATE($D9,Milestones!$AA$109)&gt;=$S9),$V9,IF(AND($R9&lt;&gt;"",EDATE($D9,Milestones!$AA$109)&gt;=$R9),$U9,$T9)))=Milestones!$AB$109),TEXT(EDATE($D9,Milestones!$AA$109),"dd/mm/yy")&amp;" "&amp;Milestones!$AB$109&amp;" "&amp;Milestones!$AC$109&amp;";  ","")&amp;IF(AND(EDATE($D9,Milestones!$AA$110)&lt;=AsOfDate,IF($Q9=0,$W9,IF(AND($S9&lt;&gt;"",EDATE($D9,Milestones!$AA$110)&gt;=$S9),$V9,IF(AND($R9&lt;&gt;"",EDATE($D9,Milestones!$AA$110)&gt;=$R9),$U9,$T9)))=Milestones!$AB$110),TEXT(EDATE($D9,Milestones!$AA$110),"dd/mm/yy")&amp;" "&amp;Milestones!$AB$110&amp;" "&amp;Milestones!$AC$110&amp;";  ","")&amp;IF(AND(EDATE($D9,Milestones!$AA$111)&lt;=AsOfDate,IF($Q9=0,$W9,IF(AND($S9&lt;&gt;"",EDATE($D9,Milestones!$AA$111)&gt;=$S9),$V9,IF(AND($R9&lt;&gt;"",EDATE($D9,Milestones!$AA$111)&gt;=$R9),$U9,$T9)))=Milestones!$AB$111),TEXT(EDATE($D9,Milestones!$AA$111),"dd/mm/yy")&amp;" "&amp;Milestones!$AB$111&amp;" "&amp;Milestones!$AC$111&amp;";  ","")&amp;IF(AND(EDATE($D9,Milestones!$AA$112)&lt;=AsOfDate,IF($Q9=0,$W9,IF(AND($S9&lt;&gt;"",EDATE($D9,Milestones!$AA$112)&gt;=$S9),$V9,IF(AND($R9&lt;&gt;"",EDATE($D9,Milestones!$AA$112)&gt;=$R9),$U9,$T9)))=Milestones!$AB$112),TEXT(EDATE($D9,Milestones!$AA$112),"dd/mm/yy")&amp;" "&amp;Milestones!$AB$112&amp;" "&amp;Milestones!$AC$112&amp;";  ","")&amp;IF(AND(EDATE($D9,Milestones!$AA$113)&lt;=AsOfDate,IF($Q9=0,$W9,IF(AND($S9&lt;&gt;"",EDATE($D9,Milestones!$AA$113)&gt;=$S9),$V9,IF(AND($R9&lt;&gt;"",EDATE($D9,Milestones!$AA$113)&gt;=$R9),$U9,$T9)))=Milestones!$AB$113),TEXT(EDATE($D9,Milestones!$AA$113),"dd/mm/yy")&amp;" "&amp;Milestones!$AB$113&amp;" "&amp;Milestones!$AC$113&amp;";  ","")&amp;IF(AND(EDATE($D9,Milestones!$AA$114)&lt;=AsOfDate,IF($Q9=0,$W9,IF(AND($S9&lt;&gt;"",EDATE($D9,Milestones!$AA$114)&gt;=$S9),$V9,IF(AND($R9&lt;&gt;"",EDATE($D9,Milestones!$AA$114)&gt;=$R9),$U9,$T9)))=Milestones!$AB$114),TEXT(EDATE($D9,Milestones!$AA$114),"dd/mm/yy")&amp;" "&amp;Milestones!$AB$114&amp;" "&amp;Milestones!$AC$114&amp;";  ","")&amp;IF(AND(EDATE($D9,Milestones!$AA$115)&lt;=AsOfDate,IF($Q9=0,$W9,IF(AND($S9&lt;&gt;"",EDATE($D9,Milestones!$AA$115)&gt;=$S9),$V9,IF(AND($R9&lt;&gt;"",EDATE($D9,Milestones!$AA$115)&gt;=$R9),$U9,$T9)))=Milestones!$AB$115),TEXT(EDATE($D9,Milestones!$AA$115),"dd/mm/yy")&amp;" "&amp;Milestones!$AB$115&amp;" "&amp;Milestones!$AC$115&amp;";  ","")&amp;IF(AND(EDATE($D9,Milestones!$AA$116)&lt;=AsOfDate,IF($Q9=0,$W9,IF(AND($S9&lt;&gt;"",EDATE($D9,Milestones!$AA$116)&gt;=$S9),$V9,IF(AND($R9&lt;&gt;"",EDATE($D9,Milestones!$AA$116)&gt;=$R9),$U9,$T9)))=Milestones!$AB$116),TEXT(EDATE($D9,Milestones!$AA$116),"dd/mm/yy")&amp;" "&amp;Milestones!$AB$116&amp;" "&amp;Milestones!$AC$116&amp;";  ","")&amp;IF(AND(EDATE($D9,Milestones!$AA$117)&lt;=AsOfDate,IF($Q9=0,$W9,IF(AND($S9&lt;&gt;"",EDATE($D9,Milestones!$AA$117)&gt;=$S9),$V9,IF(AND($R9&lt;&gt;"",EDATE($D9,Milestones!$AA$117)&gt;=$R9),$U9,$T9)))=Milestones!$AB$117),TEXT(EDATE($D9,Milestones!$AA$117),"dd/mm/yy")&amp;" "&amp;Milestones!$AB$117&amp;" "&amp;Milestones!$AC$117&amp;";  ","")&amp;IF(AND(EDATE($D9,Milestones!$AA$118)&lt;=AsOfDate,IF($Q9=0,$W9,IF(AND($S9&lt;&gt;"",EDATE($D9,Milestones!$AA$118)&gt;=$S9),$V9,IF(AND($R9&lt;&gt;"",EDATE($D9,Milestones!$AA$118)&gt;=$R9),$U9,$T9)))=Milestones!$AB$118),TEXT(EDATE($D9,Milestones!$AA$118),"dd/mm/yy")&amp;" "&amp;Milestones!$AB$118&amp;" "&amp;Milestones!$AC$118&amp;";  ","")&amp;IF(AND(EDATE($D9,Milestones!$AA$119)&lt;=AsOfDate,IF($Q9=0,$W9,IF(AND($S9&lt;&gt;"",EDATE($D9,Milestones!$AA$119)&gt;=$S9),$V9,IF(AND($R9&lt;&gt;"",EDATE($D9,Milestones!$AA$119)&gt;=$R9),$U9,$T9)))=Milestones!$AB$119),TEXT(EDATE($D9,Milestones!$AA$119),"dd/mm/yy")&amp;" "&amp;Milestones!$AB$119&amp;" "&amp;Milestones!$AC$119&amp;";  ",""))</f>
        <v/>
      </c>
      <c r="M9" s="0" t="str">
        <f aca="false">IF(OR($A9="",$D9=""),"",IF(AND(EDATE($D9,Milestones!$AA$120)&lt;=AsOfDate,IF($Q9=0,$W9,IF(AND($S9&lt;&gt;"",EDATE($D9,Milestones!$AA$120)&gt;=$S9),$V9,IF(AND($R9&lt;&gt;"",EDATE($D9,Milestones!$AA$120)&gt;=$R9),$U9,$T9)))=Milestones!$AB$120),TEXT(EDATE($D9,Milestones!$AA$120),"dd/mm/yy")&amp;" "&amp;Milestones!$AB$120&amp;" "&amp;Milestones!$AC$120&amp;";  ","")&amp;IF(AND(EDATE($D9,Milestones!$AA$121)&lt;=AsOfDate,IF($Q9=0,$W9,IF(AND($S9&lt;&gt;"",EDATE($D9,Milestones!$AA$121)&gt;=$S9),$V9,IF(AND($R9&lt;&gt;"",EDATE($D9,Milestones!$AA$121)&gt;=$R9),$U9,$T9)))=Milestones!$AB$121),TEXT(EDATE($D9,Milestones!$AA$121),"dd/mm/yy")&amp;" "&amp;Milestones!$AB$121&amp;" "&amp;Milestones!$AC$121&amp;";  ","")&amp;IF(AND(EDATE($D9,Milestones!$AA$122)&lt;=AsOfDate,IF($Q9=0,$W9,IF(AND($S9&lt;&gt;"",EDATE($D9,Milestones!$AA$122)&gt;=$S9),$V9,IF(AND($R9&lt;&gt;"",EDATE($D9,Milestones!$AA$122)&gt;=$R9),$U9,$T9)))=Milestones!$AB$122),TEXT(EDATE($D9,Milestones!$AA$122),"dd/mm/yy")&amp;" "&amp;Milestones!$AB$122&amp;" "&amp;Milestones!$AC$122&amp;";  ","")&amp;IF(AND(EDATE($D9,Milestones!$AA$123)&lt;=AsOfDate,IF($Q9=0,$W9,IF(AND($S9&lt;&gt;"",EDATE($D9,Milestones!$AA$123)&gt;=$S9),$V9,IF(AND($R9&lt;&gt;"",EDATE($D9,Milestones!$AA$123)&gt;=$R9),$U9,$T9)))=Milestones!$AB$123),TEXT(EDATE($D9,Milestones!$AA$123),"dd/mm/yy")&amp;" "&amp;Milestones!$AB$123&amp;" "&amp;Milestones!$AC$123&amp;";  ","")&amp;IF(AND(EDATE($D9,Milestones!$AA$124)&lt;=AsOfDate,IF($Q9=0,$W9,IF(AND($S9&lt;&gt;"",EDATE($D9,Milestones!$AA$124)&gt;=$S9),$V9,IF(AND($R9&lt;&gt;"",EDATE($D9,Milestones!$AA$124)&gt;=$R9),$U9,$T9)))=Milestones!$AB$124),TEXT(EDATE($D9,Milestones!$AA$124),"dd/mm/yy")&amp;" "&amp;Milestones!$AB$124&amp;" "&amp;Milestones!$AC$124&amp;";  ","")&amp;IF(AND(EDATE($D9,Milestones!$AA$125)&lt;=AsOfDate,IF($Q9=0,$W9,IF(AND($S9&lt;&gt;"",EDATE($D9,Milestones!$AA$125)&gt;=$S9),$V9,IF(AND($R9&lt;&gt;"",EDATE($D9,Milestones!$AA$125)&gt;=$R9),$U9,$T9)))=Milestones!$AB$125),TEXT(EDATE($D9,Milestones!$AA$125),"dd/mm/yy")&amp;" "&amp;Milestones!$AB$125&amp;" "&amp;Milestones!$AC$125&amp;";  ","")&amp;IF(AND(EDATE($D9,Milestones!$AA$126)&lt;=AsOfDate,IF($Q9=0,$W9,IF(AND($S9&lt;&gt;"",EDATE($D9,Milestones!$AA$126)&gt;=$S9),$V9,IF(AND($R9&lt;&gt;"",EDATE($D9,Milestones!$AA$126)&gt;=$R9),$U9,$T9)))=Milestones!$AB$126),TEXT(EDATE($D9,Milestones!$AA$126),"dd/mm/yy")&amp;" "&amp;Milestones!$AB$126&amp;" "&amp;Milestones!$AC$126&amp;";  ","")&amp;IF(AND(EDATE($D9,Milestones!$AA$127)&lt;=AsOfDate,IF($Q9=0,$W9,IF(AND($S9&lt;&gt;"",EDATE($D9,Milestones!$AA$127)&gt;=$S9),$V9,IF(AND($R9&lt;&gt;"",EDATE($D9,Milestones!$AA$127)&gt;=$R9),$U9,$T9)))=Milestones!$AB$127),TEXT(EDATE($D9,Milestones!$AA$127),"dd/mm/yy")&amp;" "&amp;Milestones!$AB$127&amp;" "&amp;Milestones!$AC$127&amp;";  ","")&amp;IF(AND(EDATE($D9,Milestones!$AA$128)&lt;=AsOfDate,IF($Q9=0,$W9,IF(AND($S9&lt;&gt;"",EDATE($D9,Milestones!$AA$128)&gt;=$S9),$V9,IF(AND($R9&lt;&gt;"",EDATE($D9,Milestones!$AA$128)&gt;=$R9),$U9,$T9)))=Milestones!$AB$128),TEXT(EDATE($D9,Milestones!$AA$128),"dd/mm/yy")&amp;" "&amp;Milestones!$AB$128&amp;" "&amp;Milestones!$AC$128&amp;";  ","")&amp;IF(AND(EDATE($D9,Milestones!$AA$129)&lt;=AsOfDate,IF($Q9=0,$W9,IF(AND($S9&lt;&gt;"",EDATE($D9,Milestones!$AA$129)&gt;=$S9),$V9,IF(AND($R9&lt;&gt;"",EDATE($D9,Milestones!$AA$129)&gt;=$R9),$U9,$T9)))=Milestones!$AB$129),TEXT(EDATE($D9,Milestones!$AA$129),"dd/mm/yy")&amp;" "&amp;Milestones!$AB$129&amp;" "&amp;Milestones!$AC$129&amp;";  ","")&amp;IF(AND(EDATE($D9,Milestones!$AA$130)&lt;=AsOfDate,IF($Q9=0,$W9,IF(AND($S9&lt;&gt;"",EDATE($D9,Milestones!$AA$130)&gt;=$S9),$V9,IF(AND($R9&lt;&gt;"",EDATE($D9,Milestones!$AA$130)&gt;=$R9),$U9,$T9)))=Milestones!$AB$130),TEXT(EDATE($D9,Milestones!$AA$130),"dd/mm/yy")&amp;" "&amp;Milestones!$AB$130&amp;" "&amp;Milestones!$AC$130&amp;";  ","")&amp;IF(AND(EDATE($D9,Milestones!$AA$131)&lt;=AsOfDate,IF($Q9=0,$W9,IF(AND($S9&lt;&gt;"",EDATE($D9,Milestones!$AA$131)&gt;=$S9),$V9,IF(AND($R9&lt;&gt;"",EDATE($D9,Milestones!$AA$131)&gt;=$R9),$U9,$T9)))=Milestones!$AB$131),TEXT(EDATE($D9,Milestones!$AA$131),"dd/mm/yy")&amp;" "&amp;Milestones!$AB$131&amp;" "&amp;Milestones!$AC$131&amp;";  ","")&amp;IF(AND(EDATE($D9,Milestones!$AA$132)&lt;=AsOfDate,IF($Q9=0,$W9,IF(AND($S9&lt;&gt;"",EDATE($D9,Milestones!$AA$132)&gt;=$S9),$V9,IF(AND($R9&lt;&gt;"",EDATE($D9,Milestones!$AA$132)&gt;=$R9),$U9,$T9)))=Milestones!$AB$132),TEXT(EDATE($D9,Milestones!$AA$132),"dd/mm/yy")&amp;" "&amp;Milestones!$AB$132&amp;" "&amp;Milestones!$AC$132&amp;";  ","")&amp;IF(AND(EDATE($D9,Milestones!$AA$133)&lt;=AsOfDate,IF($Q9=0,$W9,IF(AND($S9&lt;&gt;"",EDATE($D9,Milestones!$AA$133)&gt;=$S9),$V9,IF(AND($R9&lt;&gt;"",EDATE($D9,Milestones!$AA$133)&gt;=$R9),$U9,$T9)))=Milestones!$AB$133),TEXT(EDATE($D9,Milestones!$AA$133),"dd/mm/yy")&amp;" "&amp;Milestones!$AB$133&amp;" "&amp;Milestones!$AC$133&amp;";  ","")&amp;IF(AND(EDATE($D9,Milestones!$AA$134)&lt;=AsOfDate,IF($Q9=0,$W9,IF(AND($S9&lt;&gt;"",EDATE($D9,Milestones!$AA$134)&gt;=$S9),$V9,IF(AND($R9&lt;&gt;"",EDATE($D9,Milestones!$AA$134)&gt;=$R9),$U9,$T9)))=Milestones!$AB$134),TEXT(EDATE($D9,Milestones!$AA$134),"dd/mm/yy")&amp;" "&amp;Milestones!$AB$134&amp;" "&amp;Milestones!$AC$134&amp;";  ","")&amp;IF(AND(EDATE($D9,Milestones!$AA$135)&lt;=AsOfDate,IF($Q9=0,$W9,IF(AND($S9&lt;&gt;"",EDATE($D9,Milestones!$AA$135)&gt;=$S9),$V9,IF(AND($R9&lt;&gt;"",EDATE($D9,Milestones!$AA$135)&gt;=$R9),$U9,$T9)))=Milestones!$AB$135),TEXT(EDATE($D9,Milestones!$AA$135),"dd/mm/yy")&amp;" "&amp;Milestones!$AB$135&amp;" "&amp;Milestones!$AC$135&amp;";  ","")&amp;IF(AND(EDATE($D9,Milestones!$AA$136)&lt;=AsOfDate,IF($Q9=0,$W9,IF(AND($S9&lt;&gt;"",EDATE($D9,Milestones!$AA$136)&gt;=$S9),$V9,IF(AND($R9&lt;&gt;"",EDATE($D9,Milestones!$AA$136)&gt;=$R9),$U9,$T9)))=Milestones!$AB$136),TEXT(EDATE($D9,Milestones!$AA$136),"dd/mm/yy")&amp;" "&amp;Milestones!$AB$136&amp;" "&amp;Milestones!$AC$136&amp;";  ","")&amp;IF(AND(EDATE($D9,Milestones!$AA$137)&lt;=AsOfDate,IF($Q9=0,$W9,IF(AND($S9&lt;&gt;"",EDATE($D9,Milestones!$AA$137)&gt;=$S9),$V9,IF(AND($R9&lt;&gt;"",EDATE($D9,Milestones!$AA$137)&gt;=$R9),$U9,$T9)))=Milestones!$AB$137),TEXT(EDATE($D9,Milestones!$AA$137),"dd/mm/yy")&amp;" "&amp;Milestones!$AB$137&amp;" "&amp;Milestones!$AC$137&amp;";  ","")&amp;IF(AND(EDATE($D9,Milestones!$AA$138)&lt;=AsOfDate,IF($Q9=0,$W9,IF(AND($S9&lt;&gt;"",EDATE($D9,Milestones!$AA$138)&gt;=$S9),$V9,IF(AND($R9&lt;&gt;"",EDATE($D9,Milestones!$AA$138)&gt;=$R9),$U9,$T9)))=Milestones!$AB$138),TEXT(EDATE($D9,Milestones!$AA$138),"dd/mm/yy")&amp;" "&amp;Milestones!$AB$138&amp;" "&amp;Milestones!$AC$138&amp;";  ","")&amp;IF(AND(EDATE($D9,Milestones!$AA$139)&lt;=AsOfDate,IF($Q9=0,$W9,IF(AND($S9&lt;&gt;"",EDATE($D9,Milestones!$AA$139)&gt;=$S9),$V9,IF(AND($R9&lt;&gt;"",EDATE($D9,Milestones!$AA$139)&gt;=$R9),$U9,$T9)))=Milestones!$AB$139),TEXT(EDATE($D9,Milestones!$AA$139),"dd/mm/yy")&amp;" "&amp;Milestones!$AB$139&amp;" "&amp;Milestones!$AC$139&amp;";  ",""))</f>
        <v/>
      </c>
      <c r="N9" s="0" t="str">
        <f aca="false">IF(OR($A9="",$D9=""),"",IF(AND(EDATE($D9,Milestones!$AA$140)&lt;=AsOfDate,IF($Q9=0,$W9,IF(AND($S9&lt;&gt;"",EDATE($D9,Milestones!$AA$140)&gt;=$S9),$V9,IF(AND($R9&lt;&gt;"",EDATE($D9,Milestones!$AA$140)&gt;=$R9),$U9,$T9)))=Milestones!$AB$140),TEXT(EDATE($D9,Milestones!$AA$140),"dd/mm/yy")&amp;" "&amp;Milestones!$AB$140&amp;" "&amp;Milestones!$AC$140&amp;";  ","")&amp;IF(AND(EDATE($D9,Milestones!$AA$141)&lt;=AsOfDate,IF($Q9=0,$W9,IF(AND($S9&lt;&gt;"",EDATE($D9,Milestones!$AA$141)&gt;=$S9),$V9,IF(AND($R9&lt;&gt;"",EDATE($D9,Milestones!$AA$141)&gt;=$R9),$U9,$T9)))=Milestones!$AB$141),TEXT(EDATE($D9,Milestones!$AA$141),"dd/mm/yy")&amp;" "&amp;Milestones!$AB$141&amp;" "&amp;Milestones!$AC$141&amp;";  ","")&amp;IF(AND(EDATE($D9,Milestones!$AA$142)&lt;=AsOfDate,IF($Q9=0,$W9,IF(AND($S9&lt;&gt;"",EDATE($D9,Milestones!$AA$142)&gt;=$S9),$V9,IF(AND($R9&lt;&gt;"",EDATE($D9,Milestones!$AA$142)&gt;=$R9),$U9,$T9)))=Milestones!$AB$142),TEXT(EDATE($D9,Milestones!$AA$142),"dd/mm/yy")&amp;" "&amp;Milestones!$AB$142&amp;" "&amp;Milestones!$AC$142&amp;";  ","")&amp;IF(AND(EDATE($D9,Milestones!$AA$143)&lt;=AsOfDate,IF($Q9=0,$W9,IF(AND($S9&lt;&gt;"",EDATE($D9,Milestones!$AA$143)&gt;=$S9),$V9,IF(AND($R9&lt;&gt;"",EDATE($D9,Milestones!$AA$143)&gt;=$R9),$U9,$T9)))=Milestones!$AB$143),TEXT(EDATE($D9,Milestones!$AA$143),"dd/mm/yy")&amp;" "&amp;Milestones!$AB$143&amp;" "&amp;Milestones!$AC$143&amp;";  ","")&amp;IF(AND(EDATE($D9,Milestones!$AA$144)&lt;=AsOfDate,IF($Q9=0,$W9,IF(AND($S9&lt;&gt;"",EDATE($D9,Milestones!$AA$144)&gt;=$S9),$V9,IF(AND($R9&lt;&gt;"",EDATE($D9,Milestones!$AA$144)&gt;=$R9),$U9,$T9)))=Milestones!$AB$144),TEXT(EDATE($D9,Milestones!$AA$144),"dd/mm/yy")&amp;" "&amp;Milestones!$AB$144&amp;" "&amp;Milestones!$AC$144&amp;";  ","")&amp;IF(AND(EDATE($D9,Milestones!$AA$145)&lt;=AsOfDate,IF($Q9=0,$W9,IF(AND($S9&lt;&gt;"",EDATE($D9,Milestones!$AA$145)&gt;=$S9),$V9,IF(AND($R9&lt;&gt;"",EDATE($D9,Milestones!$AA$145)&gt;=$R9),$U9,$T9)))=Milestones!$AB$145),TEXT(EDATE($D9,Milestones!$AA$145),"dd/mm/yy")&amp;" "&amp;Milestones!$AB$145&amp;" "&amp;Milestones!$AC$145&amp;";  ","")&amp;IF(AND(EDATE($D9,Milestones!$AA$146)&lt;=AsOfDate,IF($Q9=0,$W9,IF(AND($S9&lt;&gt;"",EDATE($D9,Milestones!$AA$146)&gt;=$S9),$V9,IF(AND($R9&lt;&gt;"",EDATE($D9,Milestones!$AA$146)&gt;=$R9),$U9,$T9)))=Milestones!$AB$146),TEXT(EDATE($D9,Milestones!$AA$146),"dd/mm/yy")&amp;" "&amp;Milestones!$AB$146&amp;" "&amp;Milestones!$AC$146&amp;";  ","")&amp;IF(AND(EDATE($D9,Milestones!$AA$147)&lt;=AsOfDate,IF($Q9=0,$W9,IF(AND($S9&lt;&gt;"",EDATE($D9,Milestones!$AA$147)&gt;=$S9),$V9,IF(AND($R9&lt;&gt;"",EDATE($D9,Milestones!$AA$147)&gt;=$R9),$U9,$T9)))=Milestones!$AB$147),TEXT(EDATE($D9,Milestones!$AA$147),"dd/mm/yy")&amp;" "&amp;Milestones!$AB$147&amp;" "&amp;Milestones!$AC$147&amp;";  ","")&amp;IF(AND(EDATE($D9,Milestones!$AA$148)&lt;=AsOfDate,IF($Q9=0,$W9,IF(AND($S9&lt;&gt;"",EDATE($D9,Milestones!$AA$148)&gt;=$S9),$V9,IF(AND($R9&lt;&gt;"",EDATE($D9,Milestones!$AA$148)&gt;=$R9),$U9,$T9)))=Milestones!$AB$148),TEXT(EDATE($D9,Milestones!$AA$148),"dd/mm/yy")&amp;" "&amp;Milestones!$AB$148&amp;" "&amp;Milestones!$AC$148&amp;";  ","")&amp;IF(AND(EDATE($D9,Milestones!$AA$149)&lt;=AsOfDate,IF($Q9=0,$W9,IF(AND($S9&lt;&gt;"",EDATE($D9,Milestones!$AA$149)&gt;=$S9),$V9,IF(AND($R9&lt;&gt;"",EDATE($D9,Milestones!$AA$149)&gt;=$R9),$U9,$T9)))=Milestones!$AB$149),TEXT(EDATE($D9,Milestones!$AA$149),"dd/mm/yy")&amp;" "&amp;Milestones!$AB$149&amp;" "&amp;Milestones!$AC$149&amp;";  ","")&amp;IF(AND(EDATE($D9,Milestones!$AA$150)&lt;=AsOfDate,IF($Q9=0,$W9,IF(AND($S9&lt;&gt;"",EDATE($D9,Milestones!$AA$150)&gt;=$S9),$V9,IF(AND($R9&lt;&gt;"",EDATE($D9,Milestones!$AA$150)&gt;=$R9),$U9,$T9)))=Milestones!$AB$150),TEXT(EDATE($D9,Milestones!$AA$150),"dd/mm/yy")&amp;" "&amp;Milestones!$AB$150&amp;" "&amp;Milestones!$AC$150&amp;";  ","")&amp;IF(AND(EDATE($D9,Milestones!$AA$151)&lt;=AsOfDate,IF($Q9=0,$W9,IF(AND($S9&lt;&gt;"",EDATE($D9,Milestones!$AA$151)&gt;=$S9),$V9,IF(AND($R9&lt;&gt;"",EDATE($D9,Milestones!$AA$151)&gt;=$R9),$U9,$T9)))=Milestones!$AB$151),TEXT(EDATE($D9,Milestones!$AA$151),"dd/mm/yy")&amp;" "&amp;Milestones!$AB$151&amp;" "&amp;Milestones!$AC$151&amp;";  ","")&amp;IF(AND(EDATE($D9,Milestones!$AA$152)&lt;=AsOfDate,IF($Q9=0,$W9,IF(AND($S9&lt;&gt;"",EDATE($D9,Milestones!$AA$152)&gt;=$S9),$V9,IF(AND($R9&lt;&gt;"",EDATE($D9,Milestones!$AA$152)&gt;=$R9),$U9,$T9)))=Milestones!$AB$152),TEXT(EDATE($D9,Milestones!$AA$152),"dd/mm/yy")&amp;" "&amp;Milestones!$AB$152&amp;" "&amp;Milestones!$AC$152&amp;";  ","")&amp;IF(AND(EDATE($D9,Milestones!$AA$153)&lt;=AsOfDate,IF($Q9=0,$W9,IF(AND($S9&lt;&gt;"",EDATE($D9,Milestones!$AA$153)&gt;=$S9),$V9,IF(AND($R9&lt;&gt;"",EDATE($D9,Milestones!$AA$153)&gt;=$R9),$U9,$T9)))=Milestones!$AB$153),TEXT(EDATE($D9,Milestones!$AA$153),"dd/mm/yy")&amp;" "&amp;Milestones!$AB$153&amp;" "&amp;Milestones!$AC$153&amp;";  ","")&amp;IF(AND(EDATE($D9,Milestones!$AA$154)&lt;=AsOfDate,IF($Q9=0,$W9,IF(AND($S9&lt;&gt;"",EDATE($D9,Milestones!$AA$154)&gt;=$S9),$V9,IF(AND($R9&lt;&gt;"",EDATE($D9,Milestones!$AA$154)&gt;=$R9),$U9,$T9)))=Milestones!$AB$154),TEXT(EDATE($D9,Milestones!$AA$154),"dd/mm/yy")&amp;" "&amp;Milestones!$AB$154&amp;" "&amp;Milestones!$AC$154&amp;";  ","")&amp;IF(AND(EDATE($D9,Milestones!$AA$155)&lt;=AsOfDate,IF($Q9=0,$W9,IF(AND($S9&lt;&gt;"",EDATE($D9,Milestones!$AA$155)&gt;=$S9),$V9,IF(AND($R9&lt;&gt;"",EDATE($D9,Milestones!$AA$155)&gt;=$R9),$U9,$T9)))=Milestones!$AB$155),TEXT(EDATE($D9,Milestones!$AA$155),"dd/mm/yy")&amp;" "&amp;Milestones!$AB$155&amp;" "&amp;Milestones!$AC$155&amp;";  ","")&amp;IF(AND(EDATE($D9,Milestones!$AA$156)&lt;=AsOfDate,IF($Q9=0,$W9,IF(AND($S9&lt;&gt;"",EDATE($D9,Milestones!$AA$156)&gt;=$S9),$V9,IF(AND($R9&lt;&gt;"",EDATE($D9,Milestones!$AA$156)&gt;=$R9),$U9,$T9)))=Milestones!$AB$156),TEXT(EDATE($D9,Milestones!$AA$156),"dd/mm/yy")&amp;" "&amp;Milestones!$AB$156&amp;" "&amp;Milestones!$AC$156&amp;";  ","")&amp;IF(AND(EDATE($D9,Milestones!$AA$157)&lt;=AsOfDate,IF($Q9=0,$W9,IF(AND($S9&lt;&gt;"",EDATE($D9,Milestones!$AA$157)&gt;=$S9),$V9,IF(AND($R9&lt;&gt;"",EDATE($D9,Milestones!$AA$157)&gt;=$R9),$U9,$T9)))=Milestones!$AB$157),TEXT(EDATE($D9,Milestones!$AA$157),"dd/mm/yy")&amp;" "&amp;Milestones!$AB$157&amp;" "&amp;Milestones!$AC$157&amp;";  ","")&amp;IF(AND(EDATE($D9,Milestones!$AA$158)&lt;=AsOfDate,IF($Q9=0,$W9,IF(AND($S9&lt;&gt;"",EDATE($D9,Milestones!$AA$158)&gt;=$S9),$V9,IF(AND($R9&lt;&gt;"",EDATE($D9,Milestones!$AA$158)&gt;=$R9),$U9,$T9)))=Milestones!$AB$158),TEXT(EDATE($D9,Milestones!$AA$158),"dd/mm/yy")&amp;" "&amp;Milestones!$AB$158&amp;" "&amp;Milestones!$AC$158&amp;";  ","")&amp;IF(AND(EDATE($D9,Milestones!$AA$159)&lt;=AsOfDate,IF($Q9=0,$W9,IF(AND($S9&lt;&gt;"",EDATE($D9,Milestones!$AA$159)&gt;=$S9),$V9,IF(AND($R9&lt;&gt;"",EDATE($D9,Milestones!$AA$159)&gt;=$R9),$U9,$T9)))=Milestones!$AB$159),TEXT(EDATE($D9,Milestones!$AA$159),"dd/mm/yy")&amp;" "&amp;Milestones!$AB$159&amp;" "&amp;Milestones!$AC$159&amp;";  ",""))</f>
        <v/>
      </c>
      <c r="O9" s="0" t="str">
        <f aca="false">IF(OR($A9="",$D9=""),"",IF(AND(EDATE($D9,Milestones!$AA$160)&lt;=AsOfDate,IF($Q9=0,$W9,IF(AND($S9&lt;&gt;"",EDATE($D9,Milestones!$AA$160)&gt;=$S9),$V9,IF(AND($R9&lt;&gt;"",EDATE($D9,Milestones!$AA$160)&gt;=$R9),$U9,$T9)))=Milestones!$AB$160),TEXT(EDATE($D9,Milestones!$AA$160),"dd/mm/yy")&amp;" "&amp;Milestones!$AB$160&amp;" "&amp;Milestones!$AC$160&amp;";  ","")&amp;IF(AND(EDATE($D9,Milestones!$AA$161)&lt;=AsOfDate,IF($Q9=0,$W9,IF(AND($S9&lt;&gt;"",EDATE($D9,Milestones!$AA$161)&gt;=$S9),$V9,IF(AND($R9&lt;&gt;"",EDATE($D9,Milestones!$AA$161)&gt;=$R9),$U9,$T9)))=Milestones!$AB$161),TEXT(EDATE($D9,Milestones!$AA$161),"dd/mm/yy")&amp;" "&amp;Milestones!$AB$161&amp;" "&amp;Milestones!$AC$161&amp;";  ","")&amp;IF(AND(EDATE($D9,Milestones!$AA$162)&lt;=AsOfDate,IF($Q9=0,$W9,IF(AND($S9&lt;&gt;"",EDATE($D9,Milestones!$AA$162)&gt;=$S9),$V9,IF(AND($R9&lt;&gt;"",EDATE($D9,Milestones!$AA$162)&gt;=$R9),$U9,$T9)))=Milestones!$AB$162),TEXT(EDATE($D9,Milestones!$AA$162),"dd/mm/yy")&amp;" "&amp;Milestones!$AB$162&amp;" "&amp;Milestones!$AC$162&amp;";  ","")&amp;IF(AND(EDATE($D9,Milestones!$AA$163)&lt;=AsOfDate,IF($Q9=0,$W9,IF(AND($S9&lt;&gt;"",EDATE($D9,Milestones!$AA$163)&gt;=$S9),$V9,IF(AND($R9&lt;&gt;"",EDATE($D9,Milestones!$AA$163)&gt;=$R9),$U9,$T9)))=Milestones!$AB$163),TEXT(EDATE($D9,Milestones!$AA$163),"dd/mm/yy")&amp;" "&amp;Milestones!$AB$163&amp;" "&amp;Milestones!$AC$163&amp;";  ","")&amp;IF(AND(EDATE($D9,Milestones!$AA$164)&lt;=AsOfDate,IF($Q9=0,$W9,IF(AND($S9&lt;&gt;"",EDATE($D9,Milestones!$AA$164)&gt;=$S9),$V9,IF(AND($R9&lt;&gt;"",EDATE($D9,Milestones!$AA$164)&gt;=$R9),$U9,$T9)))=Milestones!$AB$164),TEXT(EDATE($D9,Milestones!$AA$164),"dd/mm/yy")&amp;" "&amp;Milestones!$AB$164&amp;" "&amp;Milestones!$AC$164&amp;";  ","")&amp;IF(AND(EDATE($D9,Milestones!$AA$165)&lt;=AsOfDate,IF($Q9=0,$W9,IF(AND($S9&lt;&gt;"",EDATE($D9,Milestones!$AA$165)&gt;=$S9),$V9,IF(AND($R9&lt;&gt;"",EDATE($D9,Milestones!$AA$165)&gt;=$R9),$U9,$T9)))=Milestones!$AB$165),TEXT(EDATE($D9,Milestones!$AA$165),"dd/mm/yy")&amp;" "&amp;Milestones!$AB$165&amp;" "&amp;Milestones!$AC$165&amp;";  ","")&amp;IF(AND(EDATE($D9,Milestones!$AA$166)&lt;=AsOfDate,IF($Q9=0,$W9,IF(AND($S9&lt;&gt;"",EDATE($D9,Milestones!$AA$166)&gt;=$S9),$V9,IF(AND($R9&lt;&gt;"",EDATE($D9,Milestones!$AA$166)&gt;=$R9),$U9,$T9)))=Milestones!$AB$166),TEXT(EDATE($D9,Milestones!$AA$166),"dd/mm/yy")&amp;" "&amp;Milestones!$AB$166&amp;" "&amp;Milestones!$AC$166&amp;";  ","")&amp;IF(AND(EDATE($D9,Milestones!$AA$167)&lt;=AsOfDate,IF($Q9=0,$W9,IF(AND($S9&lt;&gt;"",EDATE($D9,Milestones!$AA$167)&gt;=$S9),$V9,IF(AND($R9&lt;&gt;"",EDATE($D9,Milestones!$AA$167)&gt;=$R9),$U9,$T9)))=Milestones!$AB$167),TEXT(EDATE($D9,Milestones!$AA$167),"dd/mm/yy")&amp;" "&amp;Milestones!$AB$167&amp;" "&amp;Milestones!$AC$167&amp;";  ","")&amp;IF(AND(EDATE($D9,Milestones!$AA$168)&lt;=AsOfDate,IF($Q9=0,$W9,IF(AND($S9&lt;&gt;"",EDATE($D9,Milestones!$AA$168)&gt;=$S9),$V9,IF(AND($R9&lt;&gt;"",EDATE($D9,Milestones!$AA$168)&gt;=$R9),$U9,$T9)))=Milestones!$AB$168),TEXT(EDATE($D9,Milestones!$AA$168),"dd/mm/yy")&amp;" "&amp;Milestones!$AB$168&amp;" "&amp;Milestones!$AC$168&amp;";  ","")&amp;IF(AND(EDATE($D9,Milestones!$AA$169)&lt;=AsOfDate,IF($Q9=0,$W9,IF(AND($S9&lt;&gt;"",EDATE($D9,Milestones!$AA$169)&gt;=$S9),$V9,IF(AND($R9&lt;&gt;"",EDATE($D9,Milestones!$AA$169)&gt;=$R9),$U9,$T9)))=Milestones!$AB$169),TEXT(EDATE($D9,Milestones!$AA$169),"dd/mm/yy")&amp;" "&amp;Milestones!$AB$169&amp;" "&amp;Milestones!$AC$169&amp;";  ","")&amp;IF(AND(EDATE($D9,Milestones!$AA$170)&lt;=AsOfDate,IF($Q9=0,$W9,IF(AND($S9&lt;&gt;"",EDATE($D9,Milestones!$AA$170)&gt;=$S9),$V9,IF(AND($R9&lt;&gt;"",EDATE($D9,Milestones!$AA$170)&gt;=$R9),$U9,$T9)))=Milestones!$AB$170),TEXT(EDATE($D9,Milestones!$AA$170),"dd/mm/yy")&amp;" "&amp;Milestones!$AB$170&amp;" "&amp;Milestones!$AC$170&amp;";  ","")&amp;IF(AND(EDATE($D9,Milestones!$AA$171)&lt;=AsOfDate,IF($Q9=0,$W9,IF(AND($S9&lt;&gt;"",EDATE($D9,Milestones!$AA$171)&gt;=$S9),$V9,IF(AND($R9&lt;&gt;"",EDATE($D9,Milestones!$AA$171)&gt;=$R9),$U9,$T9)))=Milestones!$AB$171),TEXT(EDATE($D9,Milestones!$AA$171),"dd/mm/yy")&amp;" "&amp;Milestones!$AB$171&amp;" "&amp;Milestones!$AC$171&amp;";  ","")&amp;IF(AND(EDATE($D9,Milestones!$AA$172)&lt;=AsOfDate,IF($Q9=0,$W9,IF(AND($S9&lt;&gt;"",EDATE($D9,Milestones!$AA$172)&gt;=$S9),$V9,IF(AND($R9&lt;&gt;"",EDATE($D9,Milestones!$AA$172)&gt;=$R9),$U9,$T9)))=Milestones!$AB$172),TEXT(EDATE($D9,Milestones!$AA$172),"dd/mm/yy")&amp;" "&amp;Milestones!$AB$172&amp;" "&amp;Milestones!$AC$172&amp;";  ","")&amp;IF(AND(EDATE($D9,Milestones!$AA$173)&lt;=AsOfDate,IF($Q9=0,$W9,IF(AND($S9&lt;&gt;"",EDATE($D9,Milestones!$AA$173)&gt;=$S9),$V9,IF(AND($R9&lt;&gt;"",EDATE($D9,Milestones!$AA$173)&gt;=$R9),$U9,$T9)))=Milestones!$AB$173),TEXT(EDATE($D9,Milestones!$AA$173),"dd/mm/yy")&amp;" "&amp;Milestones!$AB$173&amp;" "&amp;Milestones!$AC$173&amp;";  ","")&amp;IF(AND(EDATE($D9,Milestones!$AA$174)&lt;=AsOfDate,IF($Q9=0,$W9,IF(AND($S9&lt;&gt;"",EDATE($D9,Milestones!$AA$174)&gt;=$S9),$V9,IF(AND($R9&lt;&gt;"",EDATE($D9,Milestones!$AA$174)&gt;=$R9),$U9,$T9)))=Milestones!$AB$174),TEXT(EDATE($D9,Milestones!$AA$174),"dd/mm/yy")&amp;" "&amp;Milestones!$AB$174&amp;" "&amp;Milestones!$AC$174&amp;";  ","")&amp;IF(AND(EDATE($D9,Milestones!$AA$175)&lt;=AsOfDate,IF($Q9=0,$W9,IF(AND($S9&lt;&gt;"",EDATE($D9,Milestones!$AA$175)&gt;=$S9),$V9,IF(AND($R9&lt;&gt;"",EDATE($D9,Milestones!$AA$175)&gt;=$R9),$U9,$T9)))=Milestones!$AB$175),TEXT(EDATE($D9,Milestones!$AA$175),"dd/mm/yy")&amp;" "&amp;Milestones!$AB$175&amp;" "&amp;Milestones!$AC$175&amp;";  ","")&amp;IF(AND(EDATE($D9,Milestones!$AA$176)&lt;=AsOfDate,IF($Q9=0,$W9,IF(AND($S9&lt;&gt;"",EDATE($D9,Milestones!$AA$176)&gt;=$S9),$V9,IF(AND($R9&lt;&gt;"",EDATE($D9,Milestones!$AA$176)&gt;=$R9),$U9,$T9)))=Milestones!$AB$176),TEXT(EDATE($D9,Milestones!$AA$176),"dd/mm/yy")&amp;" "&amp;Milestones!$AB$176&amp;" "&amp;Milestones!$AC$176&amp;";  ","")&amp;IF(AND(EDATE($D9,Milestones!$AA$177)&lt;=AsOfDate,IF($Q9=0,$W9,IF(AND($S9&lt;&gt;"",EDATE($D9,Milestones!$AA$177)&gt;=$S9),$V9,IF(AND($R9&lt;&gt;"",EDATE($D9,Milestones!$AA$177)&gt;=$R9),$U9,$T9)))=Milestones!$AB$177),TEXT(EDATE($D9,Milestones!$AA$177),"dd/mm/yy")&amp;" "&amp;Milestones!$AB$177&amp;" "&amp;Milestones!$AC$177&amp;";  ","")&amp;IF(AND(EDATE($D9,Milestones!$AA$178)&lt;=AsOfDate,IF($Q9=0,$W9,IF(AND($S9&lt;&gt;"",EDATE($D9,Milestones!$AA$178)&gt;=$S9),$V9,IF(AND($R9&lt;&gt;"",EDATE($D9,Milestones!$AA$178)&gt;=$R9),$U9,$T9)))=Milestones!$AB$178),TEXT(EDATE($D9,Milestones!$AA$178),"dd/mm/yy")&amp;" "&amp;Milestones!$AB$178&amp;" "&amp;Milestones!$AC$178&amp;";  ","")&amp;IF(AND(EDATE($D9,Milestones!$AA$179)&lt;=AsOfDate,IF($Q9=0,$W9,IF(AND($S9&lt;&gt;"",EDATE($D9,Milestones!$AA$179)&gt;=$S9),$V9,IF(AND($R9&lt;&gt;"",EDATE($D9,Milestones!$AA$179)&gt;=$R9),$U9,$T9)))=Milestones!$AB$179),TEXT(EDATE($D9,Milestones!$AA$179),"dd/mm/yy")&amp;" "&amp;Milestones!$AB$179&amp;" "&amp;Milestones!$AC$179&amp;";  ",""))</f>
        <v/>
      </c>
      <c r="P9" s="0" t="str">
        <f aca="false">IF(OR($A9="",$D9=""),"",IF(AND(EDATE($D9,Milestones!$AA$180)&lt;=AsOfDate,IF($Q9=0,$W9,IF(AND($S9&lt;&gt;"",EDATE($D9,Milestones!$AA$180)&gt;=$S9),$V9,IF(AND($R9&lt;&gt;"",EDATE($D9,Milestones!$AA$180)&gt;=$R9),$U9,$T9)))=Milestones!$AB$180),TEXT(EDATE($D9,Milestones!$AA$180),"dd/mm/yy")&amp;" "&amp;Milestones!$AB$180&amp;" "&amp;Milestones!$AC$180&amp;";  ","")&amp;IF(AND(EDATE($D9,Milestones!$AA$181)&lt;=AsOfDate,IF($Q9=0,$W9,IF(AND($S9&lt;&gt;"",EDATE($D9,Milestones!$AA$181)&gt;=$S9),$V9,IF(AND($R9&lt;&gt;"",EDATE($D9,Milestones!$AA$181)&gt;=$R9),$U9,$T9)))=Milestones!$AB$181),TEXT(EDATE($D9,Milestones!$AA$181),"dd/mm/yy")&amp;" "&amp;Milestones!$AB$181&amp;" "&amp;Milestones!$AC$181&amp;";  ","")&amp;IF(AND(EDATE($D9,Milestones!$AA$182)&lt;=AsOfDate,IF($Q9=0,$W9,IF(AND($S9&lt;&gt;"",EDATE($D9,Milestones!$AA$182)&gt;=$S9),$V9,IF(AND($R9&lt;&gt;"",EDATE($D9,Milestones!$AA$182)&gt;=$R9),$U9,$T9)))=Milestones!$AB$182),TEXT(EDATE($D9,Milestones!$AA$182),"dd/mm/yy")&amp;" "&amp;Milestones!$AB$182&amp;" "&amp;Milestones!$AC$182&amp;";  ","")&amp;IF(AND(EDATE($D9,Milestones!$AA$183)&lt;=AsOfDate,IF($Q9=0,$W9,IF(AND($S9&lt;&gt;"",EDATE($D9,Milestones!$AA$183)&gt;=$S9),$V9,IF(AND($R9&lt;&gt;"",EDATE($D9,Milestones!$AA$183)&gt;=$R9),$U9,$T9)))=Milestones!$AB$183),TEXT(EDATE($D9,Milestones!$AA$183),"dd/mm/yy")&amp;" "&amp;Milestones!$AB$183&amp;" "&amp;Milestones!$AC$183&amp;";  ","")&amp;IF(AND(EDATE($D9,Milestones!$AA$184)&lt;=AsOfDate,IF($Q9=0,$W9,IF(AND($S9&lt;&gt;"",EDATE($D9,Milestones!$AA$184)&gt;=$S9),$V9,IF(AND($R9&lt;&gt;"",EDATE($D9,Milestones!$AA$184)&gt;=$R9),$U9,$T9)))=Milestones!$AB$184),TEXT(EDATE($D9,Milestones!$AA$184),"dd/mm/yy")&amp;" "&amp;Milestones!$AB$184&amp;" "&amp;Milestones!$AC$184&amp;";  ","")&amp;IF(AND(EDATE($D9,Milestones!$AA$185)&lt;=AsOfDate,IF($Q9=0,$W9,IF(AND($S9&lt;&gt;"",EDATE($D9,Milestones!$AA$185)&gt;=$S9),$V9,IF(AND($R9&lt;&gt;"",EDATE($D9,Milestones!$AA$185)&gt;=$R9),$U9,$T9)))=Milestones!$AB$185),TEXT(EDATE($D9,Milestones!$AA$185),"dd/mm/yy")&amp;" "&amp;Milestones!$AB$185&amp;" "&amp;Milestones!$AC$185&amp;";  ","")&amp;IF(AND(EDATE($D9,Milestones!$AA$186)&lt;=AsOfDate,IF($Q9=0,$W9,IF(AND($S9&lt;&gt;"",EDATE($D9,Milestones!$AA$186)&gt;=$S9),$V9,IF(AND($R9&lt;&gt;"",EDATE($D9,Milestones!$AA$186)&gt;=$R9),$U9,$T9)))=Milestones!$AB$186),TEXT(EDATE($D9,Milestones!$AA$186),"dd/mm/yy")&amp;" "&amp;Milestones!$AB$186&amp;" "&amp;Milestones!$AC$186&amp;";  ","")&amp;IF(AND(EDATE($D9,Milestones!$AA$187)&lt;=AsOfDate,IF($Q9=0,$W9,IF(AND($S9&lt;&gt;"",EDATE($D9,Milestones!$AA$187)&gt;=$S9),$V9,IF(AND($R9&lt;&gt;"",EDATE($D9,Milestones!$AA$187)&gt;=$R9),$U9,$T9)))=Milestones!$AB$187),TEXT(EDATE($D9,Milestones!$AA$187),"dd/mm/yy")&amp;" "&amp;Milestones!$AB$187&amp;" "&amp;Milestones!$AC$187&amp;";  ","")&amp;IF(AND(EDATE($D9,Milestones!$AA$188)&lt;=AsOfDate,IF($Q9=0,$W9,IF(AND($S9&lt;&gt;"",EDATE($D9,Milestones!$AA$188)&gt;=$S9),$V9,IF(AND($R9&lt;&gt;"",EDATE($D9,Milestones!$AA$188)&gt;=$R9),$U9,$T9)))=Milestones!$AB$188),TEXT(EDATE($D9,Milestones!$AA$188),"dd/mm/yy")&amp;" "&amp;Milestones!$AB$188&amp;" "&amp;Milestones!$AC$188&amp;";  ","")&amp;IF(AND(EDATE($D9,Milestones!$AA$189)&lt;=AsOfDate,IF($Q9=0,$W9,IF(AND($S9&lt;&gt;"",EDATE($D9,Milestones!$AA$189)&gt;=$S9),$V9,IF(AND($R9&lt;&gt;"",EDATE($D9,Milestones!$AA$189)&gt;=$R9),$U9,$T9)))=Milestones!$AB$189),TEXT(EDATE($D9,Milestones!$AA$189),"dd/mm/yy")&amp;" "&amp;Milestones!$AB$189&amp;" "&amp;Milestones!$AC$189&amp;";  ","")&amp;IF(AND(EDATE($D9,Milestones!$AA$190)&lt;=AsOfDate,IF($Q9=0,$W9,IF(AND($S9&lt;&gt;"",EDATE($D9,Milestones!$AA$190)&gt;=$S9),$V9,IF(AND($R9&lt;&gt;"",EDATE($D9,Milestones!$AA$190)&gt;=$R9),$U9,$T9)))=Milestones!$AB$190),TEXT(EDATE($D9,Milestones!$AA$190),"dd/mm/yy")&amp;" "&amp;Milestones!$AB$190&amp;" "&amp;Milestones!$AC$190&amp;";  ","")&amp;IF(AND(EDATE($D9,Milestones!$AA$191)&lt;=AsOfDate,IF($Q9=0,$W9,IF(AND($S9&lt;&gt;"",EDATE($D9,Milestones!$AA$191)&gt;=$S9),$V9,IF(AND($R9&lt;&gt;"",EDATE($D9,Milestones!$AA$191)&gt;=$R9),$U9,$T9)))=Milestones!$AB$191),TEXT(EDATE($D9,Milestones!$AA$191),"dd/mm/yy")&amp;" "&amp;Milestones!$AB$191&amp;" "&amp;Milestones!$AC$191&amp;";  ","")&amp;IF(AND(EDATE($D9,Milestones!$AA$192)&lt;=AsOfDate,IF($Q9=0,$W9,IF(AND($S9&lt;&gt;"",EDATE($D9,Milestones!$AA$192)&gt;=$S9),$V9,IF(AND($R9&lt;&gt;"",EDATE($D9,Milestones!$AA$192)&gt;=$R9),$U9,$T9)))=Milestones!$AB$192),TEXT(EDATE($D9,Milestones!$AA$192),"dd/mm/yy")&amp;" "&amp;Milestones!$AB$192&amp;" "&amp;Milestones!$AC$192&amp;";  ","")&amp;IF(AND(EDATE($D9,Milestones!$AA$193)&lt;=AsOfDate,IF($Q9=0,$W9,IF(AND($S9&lt;&gt;"",EDATE($D9,Milestones!$AA$193)&gt;=$S9),$V9,IF(AND($R9&lt;&gt;"",EDATE($D9,Milestones!$AA$193)&gt;=$R9),$U9,$T9)))=Milestones!$AB$193),TEXT(EDATE($D9,Milestones!$AA$193),"dd/mm/yy")&amp;" "&amp;Milestones!$AB$193&amp;" "&amp;Milestones!$AC$193&amp;";  ","")&amp;IF(AND(EDATE($D9,Milestones!$AA$194)&lt;=AsOfDate,IF($Q9=0,$W9,IF(AND($S9&lt;&gt;"",EDATE($D9,Milestones!$AA$194)&gt;=$S9),$V9,IF(AND($R9&lt;&gt;"",EDATE($D9,Milestones!$AA$194)&gt;=$R9),$U9,$T9)))=Milestones!$AB$194),TEXT(EDATE($D9,Milestones!$AA$194),"dd/mm/yy")&amp;" "&amp;Milestones!$AB$194&amp;" "&amp;Milestones!$AC$194&amp;";  ","")&amp;IF(AND(EDATE($D9,Milestones!$AA$195)&lt;=AsOfDate,IF($Q9=0,$W9,IF(AND($S9&lt;&gt;"",EDATE($D9,Milestones!$AA$195)&gt;=$S9),$V9,IF(AND($R9&lt;&gt;"",EDATE($D9,Milestones!$AA$195)&gt;=$R9),$U9,$T9)))=Milestones!$AB$195),TEXT(EDATE($D9,Milestones!$AA$195),"dd/mm/yy")&amp;" "&amp;Milestones!$AB$195&amp;" "&amp;Milestones!$AC$195&amp;";  ","")&amp;IF(AND(EDATE($D9,Milestones!$AA$196)&lt;=AsOfDate,IF($Q9=0,$W9,IF(AND($S9&lt;&gt;"",EDATE($D9,Milestones!$AA$196)&gt;=$S9),$V9,IF(AND($R9&lt;&gt;"",EDATE($D9,Milestones!$AA$196)&gt;=$R9),$U9,$T9)))=Milestones!$AB$196),TEXT(EDATE($D9,Milestones!$AA$196),"dd/mm/yy")&amp;" "&amp;Milestones!$AB$196&amp;" "&amp;Milestones!$AC$196&amp;";  ","")&amp;IF(AND(EDATE($D9,Milestones!$AA$197)&lt;=AsOfDate,IF($Q9=0,$W9,IF(AND($S9&lt;&gt;"",EDATE($D9,Milestones!$AA$197)&gt;=$S9),$V9,IF(AND($R9&lt;&gt;"",EDATE($D9,Milestones!$AA$197)&gt;=$R9),$U9,$T9)))=Milestones!$AB$197),TEXT(EDATE($D9,Milestones!$AA$197),"dd/mm/yy")&amp;" "&amp;Milestones!$AB$197&amp;" "&amp;Milestones!$AC$197&amp;";  ","")&amp;IF(AND(EDATE($D9,Milestones!$AA$198)&lt;=AsOfDate,IF($Q9=0,$W9,IF(AND($S9&lt;&gt;"",EDATE($D9,Milestones!$AA$198)&gt;=$S9),$V9,IF(AND($R9&lt;&gt;"",EDATE($D9,Milestones!$AA$198)&gt;=$R9),$U9,$T9)))=Milestones!$AB$198),TEXT(EDATE($D9,Milestones!$AA$198),"dd/mm/yy")&amp;" "&amp;Milestones!$AB$198&amp;" "&amp;Milestones!$AC$198&amp;";  ","")&amp;IF(AND(EDATE($D9,Milestones!$AA$199)&lt;=AsOfDate,IF($Q9=0,$W9,IF(AND($S9&lt;&gt;"",EDATE($D9,Milestones!$AA$199)&gt;=$S9),$V9,IF(AND($R9&lt;&gt;"",EDATE($D9,Milestones!$AA$199)&gt;=$R9),$U9,$T9)))=Milestones!$AB$199),TEXT(EDATE($D9,Milestones!$AA$199),"dd/mm/yy")&amp;" "&amp;Milestones!$AB$199&amp;" "&amp;Milestones!$AC$199&amp;";  ",""))</f>
        <v/>
      </c>
      <c r="Q9" s="0" t="str">
        <f aca="false">IF(Staff!$A9="","",Staff!$AG9)</f>
        <v/>
      </c>
      <c r="R9" s="0" t="str">
        <f aca="false">IF(Staff!$A9="","",Staff!$AI9)</f>
        <v/>
      </c>
      <c r="S9" s="0" t="str">
        <f aca="false">IF(Staff!$A9="","",Staff!$AJ9)</f>
        <v/>
      </c>
      <c r="T9" s="0" t="str">
        <f aca="false">IF(Staff!$A9="","",Staff!$AN9)</f>
        <v/>
      </c>
      <c r="U9" s="0" t="str">
        <f aca="false">IF(Staff!$A9="","",Staff!$AO9)</f>
        <v/>
      </c>
      <c r="V9" s="0" t="str">
        <f aca="false">IF(Staff!$A9="","",Staff!$AP9)</f>
        <v/>
      </c>
      <c r="W9" s="0" t="str">
        <f aca="false">IF(Staff!$A9="","",Staff!$AQ9)</f>
        <v/>
      </c>
    </row>
    <row r="10" customFormat="false" ht="15" hidden="false" customHeight="false" outlineLevel="0" collapsed="false">
      <c r="A10" s="13" t="str">
        <f aca="false">IF(Staff!$A10="","",Staff!$A10)</f>
        <v/>
      </c>
      <c r="B10" s="13" t="str">
        <f aca="false">IF(Staff!$A10="","",Staff!$B10)</f>
        <v/>
      </c>
      <c r="C10" s="13" t="str">
        <f aca="false">IF(Staff!$A10="","",Staff!$C10)</f>
        <v/>
      </c>
      <c r="D10" s="11" t="str">
        <f aca="false">IF(Staff!$A10="","",Staff!$AF10)</f>
        <v/>
      </c>
      <c r="E10" s="13" t="str">
        <f aca="false">IF(Staff!$A10="","",Staff!$O10)</f>
        <v/>
      </c>
      <c r="F10" s="13" t="str">
        <f aca="false">IF(E10="","",E10*HoursPerDay)</f>
        <v/>
      </c>
      <c r="G10" s="26" t="str">
        <f aca="false">IF($A10="","",H10&amp;I10&amp;J10&amp;K10&amp;L10&amp;M10&amp;N10&amp;O10&amp;P10)</f>
        <v/>
      </c>
      <c r="H10" s="0" t="str">
        <f aca="false">IF(OR($A10="",$D10=""),"",IF(AND(EDATE($D10,Milestones!$AA$20)&lt;=AsOfDate,IF($Q10=0,$W10,IF(AND($S10&lt;&gt;"",EDATE($D10,Milestones!$AA$20)&gt;=$S10),$V10,IF(AND($R10&lt;&gt;"",EDATE($D10,Milestones!$AA$20)&gt;=$R10),$U10,$T10)))=Milestones!$AB$20),TEXT(EDATE($D10,Milestones!$AA$20),"dd/mm/yy")&amp;" "&amp;Milestones!$AB$20&amp;" "&amp;Milestones!$AC$20&amp;";  ","")&amp;IF(AND(EDATE($D10,Milestones!$AA$21)&lt;=AsOfDate,IF($Q10=0,$W10,IF(AND($S10&lt;&gt;"",EDATE($D10,Milestones!$AA$21)&gt;=$S10),$V10,IF(AND($R10&lt;&gt;"",EDATE($D10,Milestones!$AA$21)&gt;=$R10),$U10,$T10)))=Milestones!$AB$21),TEXT(EDATE($D10,Milestones!$AA$21),"dd/mm/yy")&amp;" "&amp;Milestones!$AB$21&amp;" "&amp;Milestones!$AC$21&amp;";  ","")&amp;IF(AND(EDATE($D10,Milestones!$AA$22)&lt;=AsOfDate,IF($Q10=0,$W10,IF(AND($S10&lt;&gt;"",EDATE($D10,Milestones!$AA$22)&gt;=$S10),$V10,IF(AND($R10&lt;&gt;"",EDATE($D10,Milestones!$AA$22)&gt;=$R10),$U10,$T10)))=Milestones!$AB$22),TEXT(EDATE($D10,Milestones!$AA$22),"dd/mm/yy")&amp;" "&amp;Milestones!$AB$22&amp;" "&amp;Milestones!$AC$22&amp;";  ","")&amp;IF(AND(EDATE($D10,Milestones!$AA$23)&lt;=AsOfDate,IF($Q10=0,$W10,IF(AND($S10&lt;&gt;"",EDATE($D10,Milestones!$AA$23)&gt;=$S10),$V10,IF(AND($R10&lt;&gt;"",EDATE($D10,Milestones!$AA$23)&gt;=$R10),$U10,$T10)))=Milestones!$AB$23),TEXT(EDATE($D10,Milestones!$AA$23),"dd/mm/yy")&amp;" "&amp;Milestones!$AB$23&amp;" "&amp;Milestones!$AC$23&amp;";  ","")&amp;IF(AND(EDATE($D10,Milestones!$AA$24)&lt;=AsOfDate,IF($Q10=0,$W10,IF(AND($S10&lt;&gt;"",EDATE($D10,Milestones!$AA$24)&gt;=$S10),$V10,IF(AND($R10&lt;&gt;"",EDATE($D10,Milestones!$AA$24)&gt;=$R10),$U10,$T10)))=Milestones!$AB$24),TEXT(EDATE($D10,Milestones!$AA$24),"dd/mm/yy")&amp;" "&amp;Milestones!$AB$24&amp;" "&amp;Milestones!$AC$24&amp;";  ","")&amp;IF(AND(EDATE($D10,Milestones!$AA$25)&lt;=AsOfDate,IF($Q10=0,$W10,IF(AND($S10&lt;&gt;"",EDATE($D10,Milestones!$AA$25)&gt;=$S10),$V10,IF(AND($R10&lt;&gt;"",EDATE($D10,Milestones!$AA$25)&gt;=$R10),$U10,$T10)))=Milestones!$AB$25),TEXT(EDATE($D10,Milestones!$AA$25),"dd/mm/yy")&amp;" "&amp;Milestones!$AB$25&amp;" "&amp;Milestones!$AC$25&amp;";  ","")&amp;IF(AND(EDATE($D10,Milestones!$AA$26)&lt;=AsOfDate,IF($Q10=0,$W10,IF(AND($S10&lt;&gt;"",EDATE($D10,Milestones!$AA$26)&gt;=$S10),$V10,IF(AND($R10&lt;&gt;"",EDATE($D10,Milestones!$AA$26)&gt;=$R10),$U10,$T10)))=Milestones!$AB$26),TEXT(EDATE($D10,Milestones!$AA$26),"dd/mm/yy")&amp;" "&amp;Milestones!$AB$26&amp;" "&amp;Milestones!$AC$26&amp;";  ","")&amp;IF(AND(EDATE($D10,Milestones!$AA$27)&lt;=AsOfDate,IF($Q10=0,$W10,IF(AND($S10&lt;&gt;"",EDATE($D10,Milestones!$AA$27)&gt;=$S10),$V10,IF(AND($R10&lt;&gt;"",EDATE($D10,Milestones!$AA$27)&gt;=$R10),$U10,$T10)))=Milestones!$AB$27),TEXT(EDATE($D10,Milestones!$AA$27),"dd/mm/yy")&amp;" "&amp;Milestones!$AB$27&amp;" "&amp;Milestones!$AC$27&amp;";  ","")&amp;IF(AND(EDATE($D10,Milestones!$AA$28)&lt;=AsOfDate,IF($Q10=0,$W10,IF(AND($S10&lt;&gt;"",EDATE($D10,Milestones!$AA$28)&gt;=$S10),$V10,IF(AND($R10&lt;&gt;"",EDATE($D10,Milestones!$AA$28)&gt;=$R10),$U10,$T10)))=Milestones!$AB$28),TEXT(EDATE($D10,Milestones!$AA$28),"dd/mm/yy")&amp;" "&amp;Milestones!$AB$28&amp;" "&amp;Milestones!$AC$28&amp;";  ","")&amp;IF(AND(EDATE($D10,Milestones!$AA$29)&lt;=AsOfDate,IF($Q10=0,$W10,IF(AND($S10&lt;&gt;"",EDATE($D10,Milestones!$AA$29)&gt;=$S10),$V10,IF(AND($R10&lt;&gt;"",EDATE($D10,Milestones!$AA$29)&gt;=$R10),$U10,$T10)))=Milestones!$AB$29),TEXT(EDATE($D10,Milestones!$AA$29),"dd/mm/yy")&amp;" "&amp;Milestones!$AB$29&amp;" "&amp;Milestones!$AC$29&amp;";  ","")&amp;IF(AND(EDATE($D10,Milestones!$AA$30)&lt;=AsOfDate,IF($Q10=0,$W10,IF(AND($S10&lt;&gt;"",EDATE($D10,Milestones!$AA$30)&gt;=$S10),$V10,IF(AND($R10&lt;&gt;"",EDATE($D10,Milestones!$AA$30)&gt;=$R10),$U10,$T10)))=Milestones!$AB$30),TEXT(EDATE($D10,Milestones!$AA$30),"dd/mm/yy")&amp;" "&amp;Milestones!$AB$30&amp;" "&amp;Milestones!$AC$30&amp;";  ","")&amp;IF(AND(EDATE($D10,Milestones!$AA$31)&lt;=AsOfDate,IF($Q10=0,$W10,IF(AND($S10&lt;&gt;"",EDATE($D10,Milestones!$AA$31)&gt;=$S10),$V10,IF(AND($R10&lt;&gt;"",EDATE($D10,Milestones!$AA$31)&gt;=$R10),$U10,$T10)))=Milestones!$AB$31),TEXT(EDATE($D10,Milestones!$AA$31),"dd/mm/yy")&amp;" "&amp;Milestones!$AB$31&amp;" "&amp;Milestones!$AC$31&amp;";  ","")&amp;IF(AND(EDATE($D10,Milestones!$AA$32)&lt;=AsOfDate,IF($Q10=0,$W10,IF(AND($S10&lt;&gt;"",EDATE($D10,Milestones!$AA$32)&gt;=$S10),$V10,IF(AND($R10&lt;&gt;"",EDATE($D10,Milestones!$AA$32)&gt;=$R10),$U10,$T10)))=Milestones!$AB$32),TEXT(EDATE($D10,Milestones!$AA$32),"dd/mm/yy")&amp;" "&amp;Milestones!$AB$32&amp;" "&amp;Milestones!$AC$32&amp;";  ","")&amp;IF(AND(EDATE($D10,Milestones!$AA$33)&lt;=AsOfDate,IF($Q10=0,$W10,IF(AND($S10&lt;&gt;"",EDATE($D10,Milestones!$AA$33)&gt;=$S10),$V10,IF(AND($R10&lt;&gt;"",EDATE($D10,Milestones!$AA$33)&gt;=$R10),$U10,$T10)))=Milestones!$AB$33),TEXT(EDATE($D10,Milestones!$AA$33),"dd/mm/yy")&amp;" "&amp;Milestones!$AB$33&amp;" "&amp;Milestones!$AC$33&amp;";  ","")&amp;IF(AND(EDATE($D10,Milestones!$AA$34)&lt;=AsOfDate,IF($Q10=0,$W10,IF(AND($S10&lt;&gt;"",EDATE($D10,Milestones!$AA$34)&gt;=$S10),$V10,IF(AND($R10&lt;&gt;"",EDATE($D10,Milestones!$AA$34)&gt;=$R10),$U10,$T10)))=Milestones!$AB$34),TEXT(EDATE($D10,Milestones!$AA$34),"dd/mm/yy")&amp;" "&amp;Milestones!$AB$34&amp;" "&amp;Milestones!$AC$34&amp;";  ","")&amp;IF(AND(EDATE($D10,Milestones!$AA$35)&lt;=AsOfDate,IF($Q10=0,$W10,IF(AND($S10&lt;&gt;"",EDATE($D10,Milestones!$AA$35)&gt;=$S10),$V10,IF(AND($R10&lt;&gt;"",EDATE($D10,Milestones!$AA$35)&gt;=$R10),$U10,$T10)))=Milestones!$AB$35),TEXT(EDATE($D10,Milestones!$AA$35),"dd/mm/yy")&amp;" "&amp;Milestones!$AB$35&amp;" "&amp;Milestones!$AC$35&amp;";  ","")&amp;IF(AND(EDATE($D10,Milestones!$AA$36)&lt;=AsOfDate,IF($Q10=0,$W10,IF(AND($S10&lt;&gt;"",EDATE($D10,Milestones!$AA$36)&gt;=$S10),$V10,IF(AND($R10&lt;&gt;"",EDATE($D10,Milestones!$AA$36)&gt;=$R10),$U10,$T10)))=Milestones!$AB$36),TEXT(EDATE($D10,Milestones!$AA$36),"dd/mm/yy")&amp;" "&amp;Milestones!$AB$36&amp;" "&amp;Milestones!$AC$36&amp;";  ","")&amp;IF(AND(EDATE($D10,Milestones!$AA$37)&lt;=AsOfDate,IF($Q10=0,$W10,IF(AND($S10&lt;&gt;"",EDATE($D10,Milestones!$AA$37)&gt;=$S10),$V10,IF(AND($R10&lt;&gt;"",EDATE($D10,Milestones!$AA$37)&gt;=$R10),$U10,$T10)))=Milestones!$AB$37),TEXT(EDATE($D10,Milestones!$AA$37),"dd/mm/yy")&amp;" "&amp;Milestones!$AB$37&amp;" "&amp;Milestones!$AC$37&amp;";  ","")&amp;IF(AND(EDATE($D10,Milestones!$AA$38)&lt;=AsOfDate,IF($Q10=0,$W10,IF(AND($S10&lt;&gt;"",EDATE($D10,Milestones!$AA$38)&gt;=$S10),$V10,IF(AND($R10&lt;&gt;"",EDATE($D10,Milestones!$AA$38)&gt;=$R10),$U10,$T10)))=Milestones!$AB$38),TEXT(EDATE($D10,Milestones!$AA$38),"dd/mm/yy")&amp;" "&amp;Milestones!$AB$38&amp;" "&amp;Milestones!$AC$38&amp;";  ","")&amp;IF(AND(EDATE($D10,Milestones!$AA$39)&lt;=AsOfDate,IF($Q10=0,$W10,IF(AND($S10&lt;&gt;"",EDATE($D10,Milestones!$AA$39)&gt;=$S10),$V10,IF(AND($R10&lt;&gt;"",EDATE($D10,Milestones!$AA$39)&gt;=$R10),$U10,$T10)))=Milestones!$AB$39),TEXT(EDATE($D10,Milestones!$AA$39),"dd/mm/yy")&amp;" "&amp;Milestones!$AB$39&amp;" "&amp;Milestones!$AC$39&amp;";  ",""))</f>
        <v/>
      </c>
      <c r="I10" s="0" t="str">
        <f aca="false">IF(OR($A10="",$D10=""),"",IF(AND(EDATE($D10,Milestones!$AA$40)&lt;=AsOfDate,IF($Q10=0,$W10,IF(AND($S10&lt;&gt;"",EDATE($D10,Milestones!$AA$40)&gt;=$S10),$V10,IF(AND($R10&lt;&gt;"",EDATE($D10,Milestones!$AA$40)&gt;=$R10),$U10,$T10)))=Milestones!$AB$40),TEXT(EDATE($D10,Milestones!$AA$40),"dd/mm/yy")&amp;" "&amp;Milestones!$AB$40&amp;" "&amp;Milestones!$AC$40&amp;";  ","")&amp;IF(AND(EDATE($D10,Milestones!$AA$41)&lt;=AsOfDate,IF($Q10=0,$W10,IF(AND($S10&lt;&gt;"",EDATE($D10,Milestones!$AA$41)&gt;=$S10),$V10,IF(AND($R10&lt;&gt;"",EDATE($D10,Milestones!$AA$41)&gt;=$R10),$U10,$T10)))=Milestones!$AB$41),TEXT(EDATE($D10,Milestones!$AA$41),"dd/mm/yy")&amp;" "&amp;Milestones!$AB$41&amp;" "&amp;Milestones!$AC$41&amp;";  ","")&amp;IF(AND(EDATE($D10,Milestones!$AA$42)&lt;=AsOfDate,IF($Q10=0,$W10,IF(AND($S10&lt;&gt;"",EDATE($D10,Milestones!$AA$42)&gt;=$S10),$V10,IF(AND($R10&lt;&gt;"",EDATE($D10,Milestones!$AA$42)&gt;=$R10),$U10,$T10)))=Milestones!$AB$42),TEXT(EDATE($D10,Milestones!$AA$42),"dd/mm/yy")&amp;" "&amp;Milestones!$AB$42&amp;" "&amp;Milestones!$AC$42&amp;";  ","")&amp;IF(AND(EDATE($D10,Milestones!$AA$43)&lt;=AsOfDate,IF($Q10=0,$W10,IF(AND($S10&lt;&gt;"",EDATE($D10,Milestones!$AA$43)&gt;=$S10),$V10,IF(AND($R10&lt;&gt;"",EDATE($D10,Milestones!$AA$43)&gt;=$R10),$U10,$T10)))=Milestones!$AB$43),TEXT(EDATE($D10,Milestones!$AA$43),"dd/mm/yy")&amp;" "&amp;Milestones!$AB$43&amp;" "&amp;Milestones!$AC$43&amp;";  ","")&amp;IF(AND(EDATE($D10,Milestones!$AA$44)&lt;=AsOfDate,IF($Q10=0,$W10,IF(AND($S10&lt;&gt;"",EDATE($D10,Milestones!$AA$44)&gt;=$S10),$V10,IF(AND($R10&lt;&gt;"",EDATE($D10,Milestones!$AA$44)&gt;=$R10),$U10,$T10)))=Milestones!$AB$44),TEXT(EDATE($D10,Milestones!$AA$44),"dd/mm/yy")&amp;" "&amp;Milestones!$AB$44&amp;" "&amp;Milestones!$AC$44&amp;";  ","")&amp;IF(AND(EDATE($D10,Milestones!$AA$45)&lt;=AsOfDate,IF($Q10=0,$W10,IF(AND($S10&lt;&gt;"",EDATE($D10,Milestones!$AA$45)&gt;=$S10),$V10,IF(AND($R10&lt;&gt;"",EDATE($D10,Milestones!$AA$45)&gt;=$R10),$U10,$T10)))=Milestones!$AB$45),TEXT(EDATE($D10,Milestones!$AA$45),"dd/mm/yy")&amp;" "&amp;Milestones!$AB$45&amp;" "&amp;Milestones!$AC$45&amp;";  ","")&amp;IF(AND(EDATE($D10,Milestones!$AA$46)&lt;=AsOfDate,IF($Q10=0,$W10,IF(AND($S10&lt;&gt;"",EDATE($D10,Milestones!$AA$46)&gt;=$S10),$V10,IF(AND($R10&lt;&gt;"",EDATE($D10,Milestones!$AA$46)&gt;=$R10),$U10,$T10)))=Milestones!$AB$46),TEXT(EDATE($D10,Milestones!$AA$46),"dd/mm/yy")&amp;" "&amp;Milestones!$AB$46&amp;" "&amp;Milestones!$AC$46&amp;";  ","")&amp;IF(AND(EDATE($D10,Milestones!$AA$47)&lt;=AsOfDate,IF($Q10=0,$W10,IF(AND($S10&lt;&gt;"",EDATE($D10,Milestones!$AA$47)&gt;=$S10),$V10,IF(AND($R10&lt;&gt;"",EDATE($D10,Milestones!$AA$47)&gt;=$R10),$U10,$T10)))=Milestones!$AB$47),TEXT(EDATE($D10,Milestones!$AA$47),"dd/mm/yy")&amp;" "&amp;Milestones!$AB$47&amp;" "&amp;Milestones!$AC$47&amp;";  ","")&amp;IF(AND(EDATE($D10,Milestones!$AA$48)&lt;=AsOfDate,IF($Q10=0,$W10,IF(AND($S10&lt;&gt;"",EDATE($D10,Milestones!$AA$48)&gt;=$S10),$V10,IF(AND($R10&lt;&gt;"",EDATE($D10,Milestones!$AA$48)&gt;=$R10),$U10,$T10)))=Milestones!$AB$48),TEXT(EDATE($D10,Milestones!$AA$48),"dd/mm/yy")&amp;" "&amp;Milestones!$AB$48&amp;" "&amp;Milestones!$AC$48&amp;";  ","")&amp;IF(AND(EDATE($D10,Milestones!$AA$49)&lt;=AsOfDate,IF($Q10=0,$W10,IF(AND($S10&lt;&gt;"",EDATE($D10,Milestones!$AA$49)&gt;=$S10),$V10,IF(AND($R10&lt;&gt;"",EDATE($D10,Milestones!$AA$49)&gt;=$R10),$U10,$T10)))=Milestones!$AB$49),TEXT(EDATE($D10,Milestones!$AA$49),"dd/mm/yy")&amp;" "&amp;Milestones!$AB$49&amp;" "&amp;Milestones!$AC$49&amp;";  ","")&amp;IF(AND(EDATE($D10,Milestones!$AA$50)&lt;=AsOfDate,IF($Q10=0,$W10,IF(AND($S10&lt;&gt;"",EDATE($D10,Milestones!$AA$50)&gt;=$S10),$V10,IF(AND($R10&lt;&gt;"",EDATE($D10,Milestones!$AA$50)&gt;=$R10),$U10,$T10)))=Milestones!$AB$50),TEXT(EDATE($D10,Milestones!$AA$50),"dd/mm/yy")&amp;" "&amp;Milestones!$AB$50&amp;" "&amp;Milestones!$AC$50&amp;";  ","")&amp;IF(AND(EDATE($D10,Milestones!$AA$51)&lt;=AsOfDate,IF($Q10=0,$W10,IF(AND($S10&lt;&gt;"",EDATE($D10,Milestones!$AA$51)&gt;=$S10),$V10,IF(AND($R10&lt;&gt;"",EDATE($D10,Milestones!$AA$51)&gt;=$R10),$U10,$T10)))=Milestones!$AB$51),TEXT(EDATE($D10,Milestones!$AA$51),"dd/mm/yy")&amp;" "&amp;Milestones!$AB$51&amp;" "&amp;Milestones!$AC$51&amp;";  ","")&amp;IF(AND(EDATE($D10,Milestones!$AA$52)&lt;=AsOfDate,IF($Q10=0,$W10,IF(AND($S10&lt;&gt;"",EDATE($D10,Milestones!$AA$52)&gt;=$S10),$V10,IF(AND($R10&lt;&gt;"",EDATE($D10,Milestones!$AA$52)&gt;=$R10),$U10,$T10)))=Milestones!$AB$52),TEXT(EDATE($D10,Milestones!$AA$52),"dd/mm/yy")&amp;" "&amp;Milestones!$AB$52&amp;" "&amp;Milestones!$AC$52&amp;";  ","")&amp;IF(AND(EDATE($D10,Milestones!$AA$53)&lt;=AsOfDate,IF($Q10=0,$W10,IF(AND($S10&lt;&gt;"",EDATE($D10,Milestones!$AA$53)&gt;=$S10),$V10,IF(AND($R10&lt;&gt;"",EDATE($D10,Milestones!$AA$53)&gt;=$R10),$U10,$T10)))=Milestones!$AB$53),TEXT(EDATE($D10,Milestones!$AA$53),"dd/mm/yy")&amp;" "&amp;Milestones!$AB$53&amp;" "&amp;Milestones!$AC$53&amp;";  ","")&amp;IF(AND(EDATE($D10,Milestones!$AA$54)&lt;=AsOfDate,IF($Q10=0,$W10,IF(AND($S10&lt;&gt;"",EDATE($D10,Milestones!$AA$54)&gt;=$S10),$V10,IF(AND($R10&lt;&gt;"",EDATE($D10,Milestones!$AA$54)&gt;=$R10),$U10,$T10)))=Milestones!$AB$54),TEXT(EDATE($D10,Milestones!$AA$54),"dd/mm/yy")&amp;" "&amp;Milestones!$AB$54&amp;" "&amp;Milestones!$AC$54&amp;";  ","")&amp;IF(AND(EDATE($D10,Milestones!$AA$55)&lt;=AsOfDate,IF($Q10=0,$W10,IF(AND($S10&lt;&gt;"",EDATE($D10,Milestones!$AA$55)&gt;=$S10),$V10,IF(AND($R10&lt;&gt;"",EDATE($D10,Milestones!$AA$55)&gt;=$R10),$U10,$T10)))=Milestones!$AB$55),TEXT(EDATE($D10,Milestones!$AA$55),"dd/mm/yy")&amp;" "&amp;Milestones!$AB$55&amp;" "&amp;Milestones!$AC$55&amp;";  ","")&amp;IF(AND(EDATE($D10,Milestones!$AA$56)&lt;=AsOfDate,IF($Q10=0,$W10,IF(AND($S10&lt;&gt;"",EDATE($D10,Milestones!$AA$56)&gt;=$S10),$V10,IF(AND($R10&lt;&gt;"",EDATE($D10,Milestones!$AA$56)&gt;=$R10),$U10,$T10)))=Milestones!$AB$56),TEXT(EDATE($D10,Milestones!$AA$56),"dd/mm/yy")&amp;" "&amp;Milestones!$AB$56&amp;" "&amp;Milestones!$AC$56&amp;";  ","")&amp;IF(AND(EDATE($D10,Milestones!$AA$57)&lt;=AsOfDate,IF($Q10=0,$W10,IF(AND($S10&lt;&gt;"",EDATE($D10,Milestones!$AA$57)&gt;=$S10),$V10,IF(AND($R10&lt;&gt;"",EDATE($D10,Milestones!$AA$57)&gt;=$R10),$U10,$T10)))=Milestones!$AB$57),TEXT(EDATE($D10,Milestones!$AA$57),"dd/mm/yy")&amp;" "&amp;Milestones!$AB$57&amp;" "&amp;Milestones!$AC$57&amp;";  ","")&amp;IF(AND(EDATE($D10,Milestones!$AA$58)&lt;=AsOfDate,IF($Q10=0,$W10,IF(AND($S10&lt;&gt;"",EDATE($D10,Milestones!$AA$58)&gt;=$S10),$V10,IF(AND($R10&lt;&gt;"",EDATE($D10,Milestones!$AA$58)&gt;=$R10),$U10,$T10)))=Milestones!$AB$58),TEXT(EDATE($D10,Milestones!$AA$58),"dd/mm/yy")&amp;" "&amp;Milestones!$AB$58&amp;" "&amp;Milestones!$AC$58&amp;";  ","")&amp;IF(AND(EDATE($D10,Milestones!$AA$59)&lt;=AsOfDate,IF($Q10=0,$W10,IF(AND($S10&lt;&gt;"",EDATE($D10,Milestones!$AA$59)&gt;=$S10),$V10,IF(AND($R10&lt;&gt;"",EDATE($D10,Milestones!$AA$59)&gt;=$R10),$U10,$T10)))=Milestones!$AB$59),TEXT(EDATE($D10,Milestones!$AA$59),"dd/mm/yy")&amp;" "&amp;Milestones!$AB$59&amp;" "&amp;Milestones!$AC$59&amp;";  ",""))</f>
        <v/>
      </c>
      <c r="J10" s="0" t="str">
        <f aca="false">IF(OR($A10="",$D10=""),"",IF(AND(EDATE($D10,Milestones!$AA$60)&lt;=AsOfDate,IF($Q10=0,$W10,IF(AND($S10&lt;&gt;"",EDATE($D10,Milestones!$AA$60)&gt;=$S10),$V10,IF(AND($R10&lt;&gt;"",EDATE($D10,Milestones!$AA$60)&gt;=$R10),$U10,$T10)))=Milestones!$AB$60),TEXT(EDATE($D10,Milestones!$AA$60),"dd/mm/yy")&amp;" "&amp;Milestones!$AB$60&amp;" "&amp;Milestones!$AC$60&amp;";  ","")&amp;IF(AND(EDATE($D10,Milestones!$AA$61)&lt;=AsOfDate,IF($Q10=0,$W10,IF(AND($S10&lt;&gt;"",EDATE($D10,Milestones!$AA$61)&gt;=$S10),$V10,IF(AND($R10&lt;&gt;"",EDATE($D10,Milestones!$AA$61)&gt;=$R10),$U10,$T10)))=Milestones!$AB$61),TEXT(EDATE($D10,Milestones!$AA$61),"dd/mm/yy")&amp;" "&amp;Milestones!$AB$61&amp;" "&amp;Milestones!$AC$61&amp;";  ","")&amp;IF(AND(EDATE($D10,Milestones!$AA$62)&lt;=AsOfDate,IF($Q10=0,$W10,IF(AND($S10&lt;&gt;"",EDATE($D10,Milestones!$AA$62)&gt;=$S10),$V10,IF(AND($R10&lt;&gt;"",EDATE($D10,Milestones!$AA$62)&gt;=$R10),$U10,$T10)))=Milestones!$AB$62),TEXT(EDATE($D10,Milestones!$AA$62),"dd/mm/yy")&amp;" "&amp;Milestones!$AB$62&amp;" "&amp;Milestones!$AC$62&amp;";  ","")&amp;IF(AND(EDATE($D10,Milestones!$AA$63)&lt;=AsOfDate,IF($Q10=0,$W10,IF(AND($S10&lt;&gt;"",EDATE($D10,Milestones!$AA$63)&gt;=$S10),$V10,IF(AND($R10&lt;&gt;"",EDATE($D10,Milestones!$AA$63)&gt;=$R10),$U10,$T10)))=Milestones!$AB$63),TEXT(EDATE($D10,Milestones!$AA$63),"dd/mm/yy")&amp;" "&amp;Milestones!$AB$63&amp;" "&amp;Milestones!$AC$63&amp;";  ","")&amp;IF(AND(EDATE($D10,Milestones!$AA$64)&lt;=AsOfDate,IF($Q10=0,$W10,IF(AND($S10&lt;&gt;"",EDATE($D10,Milestones!$AA$64)&gt;=$S10),$V10,IF(AND($R10&lt;&gt;"",EDATE($D10,Milestones!$AA$64)&gt;=$R10),$U10,$T10)))=Milestones!$AB$64),TEXT(EDATE($D10,Milestones!$AA$64),"dd/mm/yy")&amp;" "&amp;Milestones!$AB$64&amp;" "&amp;Milestones!$AC$64&amp;";  ","")&amp;IF(AND(EDATE($D10,Milestones!$AA$65)&lt;=AsOfDate,IF($Q10=0,$W10,IF(AND($S10&lt;&gt;"",EDATE($D10,Milestones!$AA$65)&gt;=$S10),$V10,IF(AND($R10&lt;&gt;"",EDATE($D10,Milestones!$AA$65)&gt;=$R10),$U10,$T10)))=Milestones!$AB$65),TEXT(EDATE($D10,Milestones!$AA$65),"dd/mm/yy")&amp;" "&amp;Milestones!$AB$65&amp;" "&amp;Milestones!$AC$65&amp;";  ","")&amp;IF(AND(EDATE($D10,Milestones!$AA$66)&lt;=AsOfDate,IF($Q10=0,$W10,IF(AND($S10&lt;&gt;"",EDATE($D10,Milestones!$AA$66)&gt;=$S10),$V10,IF(AND($R10&lt;&gt;"",EDATE($D10,Milestones!$AA$66)&gt;=$R10),$U10,$T10)))=Milestones!$AB$66),TEXT(EDATE($D10,Milestones!$AA$66),"dd/mm/yy")&amp;" "&amp;Milestones!$AB$66&amp;" "&amp;Milestones!$AC$66&amp;";  ","")&amp;IF(AND(EDATE($D10,Milestones!$AA$67)&lt;=AsOfDate,IF($Q10=0,$W10,IF(AND($S10&lt;&gt;"",EDATE($D10,Milestones!$AA$67)&gt;=$S10),$V10,IF(AND($R10&lt;&gt;"",EDATE($D10,Milestones!$AA$67)&gt;=$R10),$U10,$T10)))=Milestones!$AB$67),TEXT(EDATE($D10,Milestones!$AA$67),"dd/mm/yy")&amp;" "&amp;Milestones!$AB$67&amp;" "&amp;Milestones!$AC$67&amp;";  ","")&amp;IF(AND(EDATE($D10,Milestones!$AA$68)&lt;=AsOfDate,IF($Q10=0,$W10,IF(AND($S10&lt;&gt;"",EDATE($D10,Milestones!$AA$68)&gt;=$S10),$V10,IF(AND($R10&lt;&gt;"",EDATE($D10,Milestones!$AA$68)&gt;=$R10),$U10,$T10)))=Milestones!$AB$68),TEXT(EDATE($D10,Milestones!$AA$68),"dd/mm/yy")&amp;" "&amp;Milestones!$AB$68&amp;" "&amp;Milestones!$AC$68&amp;";  ","")&amp;IF(AND(EDATE($D10,Milestones!$AA$69)&lt;=AsOfDate,IF($Q10=0,$W10,IF(AND($S10&lt;&gt;"",EDATE($D10,Milestones!$AA$69)&gt;=$S10),$V10,IF(AND($R10&lt;&gt;"",EDATE($D10,Milestones!$AA$69)&gt;=$R10),$U10,$T10)))=Milestones!$AB$69),TEXT(EDATE($D10,Milestones!$AA$69),"dd/mm/yy")&amp;" "&amp;Milestones!$AB$69&amp;" "&amp;Milestones!$AC$69&amp;";  ","")&amp;IF(AND(EDATE($D10,Milestones!$AA$70)&lt;=AsOfDate,IF($Q10=0,$W10,IF(AND($S10&lt;&gt;"",EDATE($D10,Milestones!$AA$70)&gt;=$S10),$V10,IF(AND($R10&lt;&gt;"",EDATE($D10,Milestones!$AA$70)&gt;=$R10),$U10,$T10)))=Milestones!$AB$70),TEXT(EDATE($D10,Milestones!$AA$70),"dd/mm/yy")&amp;" "&amp;Milestones!$AB$70&amp;" "&amp;Milestones!$AC$70&amp;";  ","")&amp;IF(AND(EDATE($D10,Milestones!$AA$71)&lt;=AsOfDate,IF($Q10=0,$W10,IF(AND($S10&lt;&gt;"",EDATE($D10,Milestones!$AA$71)&gt;=$S10),$V10,IF(AND($R10&lt;&gt;"",EDATE($D10,Milestones!$AA$71)&gt;=$R10),$U10,$T10)))=Milestones!$AB$71),TEXT(EDATE($D10,Milestones!$AA$71),"dd/mm/yy")&amp;" "&amp;Milestones!$AB$71&amp;" "&amp;Milestones!$AC$71&amp;";  ","")&amp;IF(AND(EDATE($D10,Milestones!$AA$72)&lt;=AsOfDate,IF($Q10=0,$W10,IF(AND($S10&lt;&gt;"",EDATE($D10,Milestones!$AA$72)&gt;=$S10),$V10,IF(AND($R10&lt;&gt;"",EDATE($D10,Milestones!$AA$72)&gt;=$R10),$U10,$T10)))=Milestones!$AB$72),TEXT(EDATE($D10,Milestones!$AA$72),"dd/mm/yy")&amp;" "&amp;Milestones!$AB$72&amp;" "&amp;Milestones!$AC$72&amp;";  ","")&amp;IF(AND(EDATE($D10,Milestones!$AA$73)&lt;=AsOfDate,IF($Q10=0,$W10,IF(AND($S10&lt;&gt;"",EDATE($D10,Milestones!$AA$73)&gt;=$S10),$V10,IF(AND($R10&lt;&gt;"",EDATE($D10,Milestones!$AA$73)&gt;=$R10),$U10,$T10)))=Milestones!$AB$73),TEXT(EDATE($D10,Milestones!$AA$73),"dd/mm/yy")&amp;" "&amp;Milestones!$AB$73&amp;" "&amp;Milestones!$AC$73&amp;";  ","")&amp;IF(AND(EDATE($D10,Milestones!$AA$74)&lt;=AsOfDate,IF($Q10=0,$W10,IF(AND($S10&lt;&gt;"",EDATE($D10,Milestones!$AA$74)&gt;=$S10),$V10,IF(AND($R10&lt;&gt;"",EDATE($D10,Milestones!$AA$74)&gt;=$R10),$U10,$T10)))=Milestones!$AB$74),TEXT(EDATE($D10,Milestones!$AA$74),"dd/mm/yy")&amp;" "&amp;Milestones!$AB$74&amp;" "&amp;Milestones!$AC$74&amp;";  ","")&amp;IF(AND(EDATE($D10,Milestones!$AA$75)&lt;=AsOfDate,IF($Q10=0,$W10,IF(AND($S10&lt;&gt;"",EDATE($D10,Milestones!$AA$75)&gt;=$S10),$V10,IF(AND($R10&lt;&gt;"",EDATE($D10,Milestones!$AA$75)&gt;=$R10),$U10,$T10)))=Milestones!$AB$75),TEXT(EDATE($D10,Milestones!$AA$75),"dd/mm/yy")&amp;" "&amp;Milestones!$AB$75&amp;" "&amp;Milestones!$AC$75&amp;";  ","")&amp;IF(AND(EDATE($D10,Milestones!$AA$76)&lt;=AsOfDate,IF($Q10=0,$W10,IF(AND($S10&lt;&gt;"",EDATE($D10,Milestones!$AA$76)&gt;=$S10),$V10,IF(AND($R10&lt;&gt;"",EDATE($D10,Milestones!$AA$76)&gt;=$R10),$U10,$T10)))=Milestones!$AB$76),TEXT(EDATE($D10,Milestones!$AA$76),"dd/mm/yy")&amp;" "&amp;Milestones!$AB$76&amp;" "&amp;Milestones!$AC$76&amp;";  ","")&amp;IF(AND(EDATE($D10,Milestones!$AA$77)&lt;=AsOfDate,IF($Q10=0,$W10,IF(AND($S10&lt;&gt;"",EDATE($D10,Milestones!$AA$77)&gt;=$S10),$V10,IF(AND($R10&lt;&gt;"",EDATE($D10,Milestones!$AA$77)&gt;=$R10),$U10,$T10)))=Milestones!$AB$77),TEXT(EDATE($D10,Milestones!$AA$77),"dd/mm/yy")&amp;" "&amp;Milestones!$AB$77&amp;" "&amp;Milestones!$AC$77&amp;";  ","")&amp;IF(AND(EDATE($D10,Milestones!$AA$78)&lt;=AsOfDate,IF($Q10=0,$W10,IF(AND($S10&lt;&gt;"",EDATE($D10,Milestones!$AA$78)&gt;=$S10),$V10,IF(AND($R10&lt;&gt;"",EDATE($D10,Milestones!$AA$78)&gt;=$R10),$U10,$T10)))=Milestones!$AB$78),TEXT(EDATE($D10,Milestones!$AA$78),"dd/mm/yy")&amp;" "&amp;Milestones!$AB$78&amp;" "&amp;Milestones!$AC$78&amp;";  ","")&amp;IF(AND(EDATE($D10,Milestones!$AA$79)&lt;=AsOfDate,IF($Q10=0,$W10,IF(AND($S10&lt;&gt;"",EDATE($D10,Milestones!$AA$79)&gt;=$S10),$V10,IF(AND($R10&lt;&gt;"",EDATE($D10,Milestones!$AA$79)&gt;=$R10),$U10,$T10)))=Milestones!$AB$79),TEXT(EDATE($D10,Milestones!$AA$79),"dd/mm/yy")&amp;" "&amp;Milestones!$AB$79&amp;" "&amp;Milestones!$AC$79&amp;";  ",""))</f>
        <v/>
      </c>
      <c r="K10" s="0" t="str">
        <f aca="false">IF(OR($A10="",$D10=""),"",IF(AND(EDATE($D10,Milestones!$AA$80)&lt;=AsOfDate,IF($Q10=0,$W10,IF(AND($S10&lt;&gt;"",EDATE($D10,Milestones!$AA$80)&gt;=$S10),$V10,IF(AND($R10&lt;&gt;"",EDATE($D10,Milestones!$AA$80)&gt;=$R10),$U10,$T10)))=Milestones!$AB$80),TEXT(EDATE($D10,Milestones!$AA$80),"dd/mm/yy")&amp;" "&amp;Milestones!$AB$80&amp;" "&amp;Milestones!$AC$80&amp;";  ","")&amp;IF(AND(EDATE($D10,Milestones!$AA$81)&lt;=AsOfDate,IF($Q10=0,$W10,IF(AND($S10&lt;&gt;"",EDATE($D10,Milestones!$AA$81)&gt;=$S10),$V10,IF(AND($R10&lt;&gt;"",EDATE($D10,Milestones!$AA$81)&gt;=$R10),$U10,$T10)))=Milestones!$AB$81),TEXT(EDATE($D10,Milestones!$AA$81),"dd/mm/yy")&amp;" "&amp;Milestones!$AB$81&amp;" "&amp;Milestones!$AC$81&amp;";  ","")&amp;IF(AND(EDATE($D10,Milestones!$AA$82)&lt;=AsOfDate,IF($Q10=0,$W10,IF(AND($S10&lt;&gt;"",EDATE($D10,Milestones!$AA$82)&gt;=$S10),$V10,IF(AND($R10&lt;&gt;"",EDATE($D10,Milestones!$AA$82)&gt;=$R10),$U10,$T10)))=Milestones!$AB$82),TEXT(EDATE($D10,Milestones!$AA$82),"dd/mm/yy")&amp;" "&amp;Milestones!$AB$82&amp;" "&amp;Milestones!$AC$82&amp;";  ","")&amp;IF(AND(EDATE($D10,Milestones!$AA$83)&lt;=AsOfDate,IF($Q10=0,$W10,IF(AND($S10&lt;&gt;"",EDATE($D10,Milestones!$AA$83)&gt;=$S10),$V10,IF(AND($R10&lt;&gt;"",EDATE($D10,Milestones!$AA$83)&gt;=$R10),$U10,$T10)))=Milestones!$AB$83),TEXT(EDATE($D10,Milestones!$AA$83),"dd/mm/yy")&amp;" "&amp;Milestones!$AB$83&amp;" "&amp;Milestones!$AC$83&amp;";  ","")&amp;IF(AND(EDATE($D10,Milestones!$AA$84)&lt;=AsOfDate,IF($Q10=0,$W10,IF(AND($S10&lt;&gt;"",EDATE($D10,Milestones!$AA$84)&gt;=$S10),$V10,IF(AND($R10&lt;&gt;"",EDATE($D10,Milestones!$AA$84)&gt;=$R10),$U10,$T10)))=Milestones!$AB$84),TEXT(EDATE($D10,Milestones!$AA$84),"dd/mm/yy")&amp;" "&amp;Milestones!$AB$84&amp;" "&amp;Milestones!$AC$84&amp;";  ","")&amp;IF(AND(EDATE($D10,Milestones!$AA$85)&lt;=AsOfDate,IF($Q10=0,$W10,IF(AND($S10&lt;&gt;"",EDATE($D10,Milestones!$AA$85)&gt;=$S10),$V10,IF(AND($R10&lt;&gt;"",EDATE($D10,Milestones!$AA$85)&gt;=$R10),$U10,$T10)))=Milestones!$AB$85),TEXT(EDATE($D10,Milestones!$AA$85),"dd/mm/yy")&amp;" "&amp;Milestones!$AB$85&amp;" "&amp;Milestones!$AC$85&amp;";  ","")&amp;IF(AND(EDATE($D10,Milestones!$AA$86)&lt;=AsOfDate,IF($Q10=0,$W10,IF(AND($S10&lt;&gt;"",EDATE($D10,Milestones!$AA$86)&gt;=$S10),$V10,IF(AND($R10&lt;&gt;"",EDATE($D10,Milestones!$AA$86)&gt;=$R10),$U10,$T10)))=Milestones!$AB$86),TEXT(EDATE($D10,Milestones!$AA$86),"dd/mm/yy")&amp;" "&amp;Milestones!$AB$86&amp;" "&amp;Milestones!$AC$86&amp;";  ","")&amp;IF(AND(EDATE($D10,Milestones!$AA$87)&lt;=AsOfDate,IF($Q10=0,$W10,IF(AND($S10&lt;&gt;"",EDATE($D10,Milestones!$AA$87)&gt;=$S10),$V10,IF(AND($R10&lt;&gt;"",EDATE($D10,Milestones!$AA$87)&gt;=$R10),$U10,$T10)))=Milestones!$AB$87),TEXT(EDATE($D10,Milestones!$AA$87),"dd/mm/yy")&amp;" "&amp;Milestones!$AB$87&amp;" "&amp;Milestones!$AC$87&amp;";  ","")&amp;IF(AND(EDATE($D10,Milestones!$AA$88)&lt;=AsOfDate,IF($Q10=0,$W10,IF(AND($S10&lt;&gt;"",EDATE($D10,Milestones!$AA$88)&gt;=$S10),$V10,IF(AND($R10&lt;&gt;"",EDATE($D10,Milestones!$AA$88)&gt;=$R10),$U10,$T10)))=Milestones!$AB$88),TEXT(EDATE($D10,Milestones!$AA$88),"dd/mm/yy")&amp;" "&amp;Milestones!$AB$88&amp;" "&amp;Milestones!$AC$88&amp;";  ","")&amp;IF(AND(EDATE($D10,Milestones!$AA$89)&lt;=AsOfDate,IF($Q10=0,$W10,IF(AND($S10&lt;&gt;"",EDATE($D10,Milestones!$AA$89)&gt;=$S10),$V10,IF(AND($R10&lt;&gt;"",EDATE($D10,Milestones!$AA$89)&gt;=$R10),$U10,$T10)))=Milestones!$AB$89),TEXT(EDATE($D10,Milestones!$AA$89),"dd/mm/yy")&amp;" "&amp;Milestones!$AB$89&amp;" "&amp;Milestones!$AC$89&amp;";  ","")&amp;IF(AND(EDATE($D10,Milestones!$AA$90)&lt;=AsOfDate,IF($Q10=0,$W10,IF(AND($S10&lt;&gt;"",EDATE($D10,Milestones!$AA$90)&gt;=$S10),$V10,IF(AND($R10&lt;&gt;"",EDATE($D10,Milestones!$AA$90)&gt;=$R10),$U10,$T10)))=Milestones!$AB$90),TEXT(EDATE($D10,Milestones!$AA$90),"dd/mm/yy")&amp;" "&amp;Milestones!$AB$90&amp;" "&amp;Milestones!$AC$90&amp;";  ","")&amp;IF(AND(EDATE($D10,Milestones!$AA$91)&lt;=AsOfDate,IF($Q10=0,$W10,IF(AND($S10&lt;&gt;"",EDATE($D10,Milestones!$AA$91)&gt;=$S10),$V10,IF(AND($R10&lt;&gt;"",EDATE($D10,Milestones!$AA$91)&gt;=$R10),$U10,$T10)))=Milestones!$AB$91),TEXT(EDATE($D10,Milestones!$AA$91),"dd/mm/yy")&amp;" "&amp;Milestones!$AB$91&amp;" "&amp;Milestones!$AC$91&amp;";  ","")&amp;IF(AND(EDATE($D10,Milestones!$AA$92)&lt;=AsOfDate,IF($Q10=0,$W10,IF(AND($S10&lt;&gt;"",EDATE($D10,Milestones!$AA$92)&gt;=$S10),$V10,IF(AND($R10&lt;&gt;"",EDATE($D10,Milestones!$AA$92)&gt;=$R10),$U10,$T10)))=Milestones!$AB$92),TEXT(EDATE($D10,Milestones!$AA$92),"dd/mm/yy")&amp;" "&amp;Milestones!$AB$92&amp;" "&amp;Milestones!$AC$92&amp;";  ","")&amp;IF(AND(EDATE($D10,Milestones!$AA$93)&lt;=AsOfDate,IF($Q10=0,$W10,IF(AND($S10&lt;&gt;"",EDATE($D10,Milestones!$AA$93)&gt;=$S10),$V10,IF(AND($R10&lt;&gt;"",EDATE($D10,Milestones!$AA$93)&gt;=$R10),$U10,$T10)))=Milestones!$AB$93),TEXT(EDATE($D10,Milestones!$AA$93),"dd/mm/yy")&amp;" "&amp;Milestones!$AB$93&amp;" "&amp;Milestones!$AC$93&amp;";  ","")&amp;IF(AND(EDATE($D10,Milestones!$AA$94)&lt;=AsOfDate,IF($Q10=0,$W10,IF(AND($S10&lt;&gt;"",EDATE($D10,Milestones!$AA$94)&gt;=$S10),$V10,IF(AND($R10&lt;&gt;"",EDATE($D10,Milestones!$AA$94)&gt;=$R10),$U10,$T10)))=Milestones!$AB$94),TEXT(EDATE($D10,Milestones!$AA$94),"dd/mm/yy")&amp;" "&amp;Milestones!$AB$94&amp;" "&amp;Milestones!$AC$94&amp;";  ","")&amp;IF(AND(EDATE($D10,Milestones!$AA$95)&lt;=AsOfDate,IF($Q10=0,$W10,IF(AND($S10&lt;&gt;"",EDATE($D10,Milestones!$AA$95)&gt;=$S10),$V10,IF(AND($R10&lt;&gt;"",EDATE($D10,Milestones!$AA$95)&gt;=$R10),$U10,$T10)))=Milestones!$AB$95),TEXT(EDATE($D10,Milestones!$AA$95),"dd/mm/yy")&amp;" "&amp;Milestones!$AB$95&amp;" "&amp;Milestones!$AC$95&amp;";  ","")&amp;IF(AND(EDATE($D10,Milestones!$AA$96)&lt;=AsOfDate,IF($Q10=0,$W10,IF(AND($S10&lt;&gt;"",EDATE($D10,Milestones!$AA$96)&gt;=$S10),$V10,IF(AND($R10&lt;&gt;"",EDATE($D10,Milestones!$AA$96)&gt;=$R10),$U10,$T10)))=Milestones!$AB$96),TEXT(EDATE($D10,Milestones!$AA$96),"dd/mm/yy")&amp;" "&amp;Milestones!$AB$96&amp;" "&amp;Milestones!$AC$96&amp;";  ","")&amp;IF(AND(EDATE($D10,Milestones!$AA$97)&lt;=AsOfDate,IF($Q10=0,$W10,IF(AND($S10&lt;&gt;"",EDATE($D10,Milestones!$AA$97)&gt;=$S10),$V10,IF(AND($R10&lt;&gt;"",EDATE($D10,Milestones!$AA$97)&gt;=$R10),$U10,$T10)))=Milestones!$AB$97),TEXT(EDATE($D10,Milestones!$AA$97),"dd/mm/yy")&amp;" "&amp;Milestones!$AB$97&amp;" "&amp;Milestones!$AC$97&amp;";  ","")&amp;IF(AND(EDATE($D10,Milestones!$AA$98)&lt;=AsOfDate,IF($Q10=0,$W10,IF(AND($S10&lt;&gt;"",EDATE($D10,Milestones!$AA$98)&gt;=$S10),$V10,IF(AND($R10&lt;&gt;"",EDATE($D10,Milestones!$AA$98)&gt;=$R10),$U10,$T10)))=Milestones!$AB$98),TEXT(EDATE($D10,Milestones!$AA$98),"dd/mm/yy")&amp;" "&amp;Milestones!$AB$98&amp;" "&amp;Milestones!$AC$98&amp;";  ","")&amp;IF(AND(EDATE($D10,Milestones!$AA$99)&lt;=AsOfDate,IF($Q10=0,$W10,IF(AND($S10&lt;&gt;"",EDATE($D10,Milestones!$AA$99)&gt;=$S10),$V10,IF(AND($R10&lt;&gt;"",EDATE($D10,Milestones!$AA$99)&gt;=$R10),$U10,$T10)))=Milestones!$AB$99),TEXT(EDATE($D10,Milestones!$AA$99),"dd/mm/yy")&amp;" "&amp;Milestones!$AB$99&amp;" "&amp;Milestones!$AC$99&amp;";  ",""))</f>
        <v/>
      </c>
      <c r="L10" s="0" t="str">
        <f aca="false">IF(OR($A10="",$D10=""),"",IF(AND(EDATE($D10,Milestones!$AA$100)&lt;=AsOfDate,IF($Q10=0,$W10,IF(AND($S10&lt;&gt;"",EDATE($D10,Milestones!$AA$100)&gt;=$S10),$V10,IF(AND($R10&lt;&gt;"",EDATE($D10,Milestones!$AA$100)&gt;=$R10),$U10,$T10)))=Milestones!$AB$100),TEXT(EDATE($D10,Milestones!$AA$100),"dd/mm/yy")&amp;" "&amp;Milestones!$AB$100&amp;" "&amp;Milestones!$AC$100&amp;";  ","")&amp;IF(AND(EDATE($D10,Milestones!$AA$101)&lt;=AsOfDate,IF($Q10=0,$W10,IF(AND($S10&lt;&gt;"",EDATE($D10,Milestones!$AA$101)&gt;=$S10),$V10,IF(AND($R10&lt;&gt;"",EDATE($D10,Milestones!$AA$101)&gt;=$R10),$U10,$T10)))=Milestones!$AB$101),TEXT(EDATE($D10,Milestones!$AA$101),"dd/mm/yy")&amp;" "&amp;Milestones!$AB$101&amp;" "&amp;Milestones!$AC$101&amp;";  ","")&amp;IF(AND(EDATE($D10,Milestones!$AA$102)&lt;=AsOfDate,IF($Q10=0,$W10,IF(AND($S10&lt;&gt;"",EDATE($D10,Milestones!$AA$102)&gt;=$S10),$V10,IF(AND($R10&lt;&gt;"",EDATE($D10,Milestones!$AA$102)&gt;=$R10),$U10,$T10)))=Milestones!$AB$102),TEXT(EDATE($D10,Milestones!$AA$102),"dd/mm/yy")&amp;" "&amp;Milestones!$AB$102&amp;" "&amp;Milestones!$AC$102&amp;";  ","")&amp;IF(AND(EDATE($D10,Milestones!$AA$103)&lt;=AsOfDate,IF($Q10=0,$W10,IF(AND($S10&lt;&gt;"",EDATE($D10,Milestones!$AA$103)&gt;=$S10),$V10,IF(AND($R10&lt;&gt;"",EDATE($D10,Milestones!$AA$103)&gt;=$R10),$U10,$T10)))=Milestones!$AB$103),TEXT(EDATE($D10,Milestones!$AA$103),"dd/mm/yy")&amp;" "&amp;Milestones!$AB$103&amp;" "&amp;Milestones!$AC$103&amp;";  ","")&amp;IF(AND(EDATE($D10,Milestones!$AA$104)&lt;=AsOfDate,IF($Q10=0,$W10,IF(AND($S10&lt;&gt;"",EDATE($D10,Milestones!$AA$104)&gt;=$S10),$V10,IF(AND($R10&lt;&gt;"",EDATE($D10,Milestones!$AA$104)&gt;=$R10),$U10,$T10)))=Milestones!$AB$104),TEXT(EDATE($D10,Milestones!$AA$104),"dd/mm/yy")&amp;" "&amp;Milestones!$AB$104&amp;" "&amp;Milestones!$AC$104&amp;";  ","")&amp;IF(AND(EDATE($D10,Milestones!$AA$105)&lt;=AsOfDate,IF($Q10=0,$W10,IF(AND($S10&lt;&gt;"",EDATE($D10,Milestones!$AA$105)&gt;=$S10),$V10,IF(AND($R10&lt;&gt;"",EDATE($D10,Milestones!$AA$105)&gt;=$R10),$U10,$T10)))=Milestones!$AB$105),TEXT(EDATE($D10,Milestones!$AA$105),"dd/mm/yy")&amp;" "&amp;Milestones!$AB$105&amp;" "&amp;Milestones!$AC$105&amp;";  ","")&amp;IF(AND(EDATE($D10,Milestones!$AA$106)&lt;=AsOfDate,IF($Q10=0,$W10,IF(AND($S10&lt;&gt;"",EDATE($D10,Milestones!$AA$106)&gt;=$S10),$V10,IF(AND($R10&lt;&gt;"",EDATE($D10,Milestones!$AA$106)&gt;=$R10),$U10,$T10)))=Milestones!$AB$106),TEXT(EDATE($D10,Milestones!$AA$106),"dd/mm/yy")&amp;" "&amp;Milestones!$AB$106&amp;" "&amp;Milestones!$AC$106&amp;";  ","")&amp;IF(AND(EDATE($D10,Milestones!$AA$107)&lt;=AsOfDate,IF($Q10=0,$W10,IF(AND($S10&lt;&gt;"",EDATE($D10,Milestones!$AA$107)&gt;=$S10),$V10,IF(AND($R10&lt;&gt;"",EDATE($D10,Milestones!$AA$107)&gt;=$R10),$U10,$T10)))=Milestones!$AB$107),TEXT(EDATE($D10,Milestones!$AA$107),"dd/mm/yy")&amp;" "&amp;Milestones!$AB$107&amp;" "&amp;Milestones!$AC$107&amp;";  ","")&amp;IF(AND(EDATE($D10,Milestones!$AA$108)&lt;=AsOfDate,IF($Q10=0,$W10,IF(AND($S10&lt;&gt;"",EDATE($D10,Milestones!$AA$108)&gt;=$S10),$V10,IF(AND($R10&lt;&gt;"",EDATE($D10,Milestones!$AA$108)&gt;=$R10),$U10,$T10)))=Milestones!$AB$108),TEXT(EDATE($D10,Milestones!$AA$108),"dd/mm/yy")&amp;" "&amp;Milestones!$AB$108&amp;" "&amp;Milestones!$AC$108&amp;";  ","")&amp;IF(AND(EDATE($D10,Milestones!$AA$109)&lt;=AsOfDate,IF($Q10=0,$W10,IF(AND($S10&lt;&gt;"",EDATE($D10,Milestones!$AA$109)&gt;=$S10),$V10,IF(AND($R10&lt;&gt;"",EDATE($D10,Milestones!$AA$109)&gt;=$R10),$U10,$T10)))=Milestones!$AB$109),TEXT(EDATE($D10,Milestones!$AA$109),"dd/mm/yy")&amp;" "&amp;Milestones!$AB$109&amp;" "&amp;Milestones!$AC$109&amp;";  ","")&amp;IF(AND(EDATE($D10,Milestones!$AA$110)&lt;=AsOfDate,IF($Q10=0,$W10,IF(AND($S10&lt;&gt;"",EDATE($D10,Milestones!$AA$110)&gt;=$S10),$V10,IF(AND($R10&lt;&gt;"",EDATE($D10,Milestones!$AA$110)&gt;=$R10),$U10,$T10)))=Milestones!$AB$110),TEXT(EDATE($D10,Milestones!$AA$110),"dd/mm/yy")&amp;" "&amp;Milestones!$AB$110&amp;" "&amp;Milestones!$AC$110&amp;";  ","")&amp;IF(AND(EDATE($D10,Milestones!$AA$111)&lt;=AsOfDate,IF($Q10=0,$W10,IF(AND($S10&lt;&gt;"",EDATE($D10,Milestones!$AA$111)&gt;=$S10),$V10,IF(AND($R10&lt;&gt;"",EDATE($D10,Milestones!$AA$111)&gt;=$R10),$U10,$T10)))=Milestones!$AB$111),TEXT(EDATE($D10,Milestones!$AA$111),"dd/mm/yy")&amp;" "&amp;Milestones!$AB$111&amp;" "&amp;Milestones!$AC$111&amp;";  ","")&amp;IF(AND(EDATE($D10,Milestones!$AA$112)&lt;=AsOfDate,IF($Q10=0,$W10,IF(AND($S10&lt;&gt;"",EDATE($D10,Milestones!$AA$112)&gt;=$S10),$V10,IF(AND($R10&lt;&gt;"",EDATE($D10,Milestones!$AA$112)&gt;=$R10),$U10,$T10)))=Milestones!$AB$112),TEXT(EDATE($D10,Milestones!$AA$112),"dd/mm/yy")&amp;" "&amp;Milestones!$AB$112&amp;" "&amp;Milestones!$AC$112&amp;";  ","")&amp;IF(AND(EDATE($D10,Milestones!$AA$113)&lt;=AsOfDate,IF($Q10=0,$W10,IF(AND($S10&lt;&gt;"",EDATE($D10,Milestones!$AA$113)&gt;=$S10),$V10,IF(AND($R10&lt;&gt;"",EDATE($D10,Milestones!$AA$113)&gt;=$R10),$U10,$T10)))=Milestones!$AB$113),TEXT(EDATE($D10,Milestones!$AA$113),"dd/mm/yy")&amp;" "&amp;Milestones!$AB$113&amp;" "&amp;Milestones!$AC$113&amp;";  ","")&amp;IF(AND(EDATE($D10,Milestones!$AA$114)&lt;=AsOfDate,IF($Q10=0,$W10,IF(AND($S10&lt;&gt;"",EDATE($D10,Milestones!$AA$114)&gt;=$S10),$V10,IF(AND($R10&lt;&gt;"",EDATE($D10,Milestones!$AA$114)&gt;=$R10),$U10,$T10)))=Milestones!$AB$114),TEXT(EDATE($D10,Milestones!$AA$114),"dd/mm/yy")&amp;" "&amp;Milestones!$AB$114&amp;" "&amp;Milestones!$AC$114&amp;";  ","")&amp;IF(AND(EDATE($D10,Milestones!$AA$115)&lt;=AsOfDate,IF($Q10=0,$W10,IF(AND($S10&lt;&gt;"",EDATE($D10,Milestones!$AA$115)&gt;=$S10),$V10,IF(AND($R10&lt;&gt;"",EDATE($D10,Milestones!$AA$115)&gt;=$R10),$U10,$T10)))=Milestones!$AB$115),TEXT(EDATE($D10,Milestones!$AA$115),"dd/mm/yy")&amp;" "&amp;Milestones!$AB$115&amp;" "&amp;Milestones!$AC$115&amp;";  ","")&amp;IF(AND(EDATE($D10,Milestones!$AA$116)&lt;=AsOfDate,IF($Q10=0,$W10,IF(AND($S10&lt;&gt;"",EDATE($D10,Milestones!$AA$116)&gt;=$S10),$V10,IF(AND($R10&lt;&gt;"",EDATE($D10,Milestones!$AA$116)&gt;=$R10),$U10,$T10)))=Milestones!$AB$116),TEXT(EDATE($D10,Milestones!$AA$116),"dd/mm/yy")&amp;" "&amp;Milestones!$AB$116&amp;" "&amp;Milestones!$AC$116&amp;";  ","")&amp;IF(AND(EDATE($D10,Milestones!$AA$117)&lt;=AsOfDate,IF($Q10=0,$W10,IF(AND($S10&lt;&gt;"",EDATE($D10,Milestones!$AA$117)&gt;=$S10),$V10,IF(AND($R10&lt;&gt;"",EDATE($D10,Milestones!$AA$117)&gt;=$R10),$U10,$T10)))=Milestones!$AB$117),TEXT(EDATE($D10,Milestones!$AA$117),"dd/mm/yy")&amp;" "&amp;Milestones!$AB$117&amp;" "&amp;Milestones!$AC$117&amp;";  ","")&amp;IF(AND(EDATE($D10,Milestones!$AA$118)&lt;=AsOfDate,IF($Q10=0,$W10,IF(AND($S10&lt;&gt;"",EDATE($D10,Milestones!$AA$118)&gt;=$S10),$V10,IF(AND($R10&lt;&gt;"",EDATE($D10,Milestones!$AA$118)&gt;=$R10),$U10,$T10)))=Milestones!$AB$118),TEXT(EDATE($D10,Milestones!$AA$118),"dd/mm/yy")&amp;" "&amp;Milestones!$AB$118&amp;" "&amp;Milestones!$AC$118&amp;";  ","")&amp;IF(AND(EDATE($D10,Milestones!$AA$119)&lt;=AsOfDate,IF($Q10=0,$W10,IF(AND($S10&lt;&gt;"",EDATE($D10,Milestones!$AA$119)&gt;=$S10),$V10,IF(AND($R10&lt;&gt;"",EDATE($D10,Milestones!$AA$119)&gt;=$R10),$U10,$T10)))=Milestones!$AB$119),TEXT(EDATE($D10,Milestones!$AA$119),"dd/mm/yy")&amp;" "&amp;Milestones!$AB$119&amp;" "&amp;Milestones!$AC$119&amp;";  ",""))</f>
        <v/>
      </c>
      <c r="M10" s="0" t="str">
        <f aca="false">IF(OR($A10="",$D10=""),"",IF(AND(EDATE($D10,Milestones!$AA$120)&lt;=AsOfDate,IF($Q10=0,$W10,IF(AND($S10&lt;&gt;"",EDATE($D10,Milestones!$AA$120)&gt;=$S10),$V10,IF(AND($R10&lt;&gt;"",EDATE($D10,Milestones!$AA$120)&gt;=$R10),$U10,$T10)))=Milestones!$AB$120),TEXT(EDATE($D10,Milestones!$AA$120),"dd/mm/yy")&amp;" "&amp;Milestones!$AB$120&amp;" "&amp;Milestones!$AC$120&amp;";  ","")&amp;IF(AND(EDATE($D10,Milestones!$AA$121)&lt;=AsOfDate,IF($Q10=0,$W10,IF(AND($S10&lt;&gt;"",EDATE($D10,Milestones!$AA$121)&gt;=$S10),$V10,IF(AND($R10&lt;&gt;"",EDATE($D10,Milestones!$AA$121)&gt;=$R10),$U10,$T10)))=Milestones!$AB$121),TEXT(EDATE($D10,Milestones!$AA$121),"dd/mm/yy")&amp;" "&amp;Milestones!$AB$121&amp;" "&amp;Milestones!$AC$121&amp;";  ","")&amp;IF(AND(EDATE($D10,Milestones!$AA$122)&lt;=AsOfDate,IF($Q10=0,$W10,IF(AND($S10&lt;&gt;"",EDATE($D10,Milestones!$AA$122)&gt;=$S10),$V10,IF(AND($R10&lt;&gt;"",EDATE($D10,Milestones!$AA$122)&gt;=$R10),$U10,$T10)))=Milestones!$AB$122),TEXT(EDATE($D10,Milestones!$AA$122),"dd/mm/yy")&amp;" "&amp;Milestones!$AB$122&amp;" "&amp;Milestones!$AC$122&amp;";  ","")&amp;IF(AND(EDATE($D10,Milestones!$AA$123)&lt;=AsOfDate,IF($Q10=0,$W10,IF(AND($S10&lt;&gt;"",EDATE($D10,Milestones!$AA$123)&gt;=$S10),$V10,IF(AND($R10&lt;&gt;"",EDATE($D10,Milestones!$AA$123)&gt;=$R10),$U10,$T10)))=Milestones!$AB$123),TEXT(EDATE($D10,Milestones!$AA$123),"dd/mm/yy")&amp;" "&amp;Milestones!$AB$123&amp;" "&amp;Milestones!$AC$123&amp;";  ","")&amp;IF(AND(EDATE($D10,Milestones!$AA$124)&lt;=AsOfDate,IF($Q10=0,$W10,IF(AND($S10&lt;&gt;"",EDATE($D10,Milestones!$AA$124)&gt;=$S10),$V10,IF(AND($R10&lt;&gt;"",EDATE($D10,Milestones!$AA$124)&gt;=$R10),$U10,$T10)))=Milestones!$AB$124),TEXT(EDATE($D10,Milestones!$AA$124),"dd/mm/yy")&amp;" "&amp;Milestones!$AB$124&amp;" "&amp;Milestones!$AC$124&amp;";  ","")&amp;IF(AND(EDATE($D10,Milestones!$AA$125)&lt;=AsOfDate,IF($Q10=0,$W10,IF(AND($S10&lt;&gt;"",EDATE($D10,Milestones!$AA$125)&gt;=$S10),$V10,IF(AND($R10&lt;&gt;"",EDATE($D10,Milestones!$AA$125)&gt;=$R10),$U10,$T10)))=Milestones!$AB$125),TEXT(EDATE($D10,Milestones!$AA$125),"dd/mm/yy")&amp;" "&amp;Milestones!$AB$125&amp;" "&amp;Milestones!$AC$125&amp;";  ","")&amp;IF(AND(EDATE($D10,Milestones!$AA$126)&lt;=AsOfDate,IF($Q10=0,$W10,IF(AND($S10&lt;&gt;"",EDATE($D10,Milestones!$AA$126)&gt;=$S10),$V10,IF(AND($R10&lt;&gt;"",EDATE($D10,Milestones!$AA$126)&gt;=$R10),$U10,$T10)))=Milestones!$AB$126),TEXT(EDATE($D10,Milestones!$AA$126),"dd/mm/yy")&amp;" "&amp;Milestones!$AB$126&amp;" "&amp;Milestones!$AC$126&amp;";  ","")&amp;IF(AND(EDATE($D10,Milestones!$AA$127)&lt;=AsOfDate,IF($Q10=0,$W10,IF(AND($S10&lt;&gt;"",EDATE($D10,Milestones!$AA$127)&gt;=$S10),$V10,IF(AND($R10&lt;&gt;"",EDATE($D10,Milestones!$AA$127)&gt;=$R10),$U10,$T10)))=Milestones!$AB$127),TEXT(EDATE($D10,Milestones!$AA$127),"dd/mm/yy")&amp;" "&amp;Milestones!$AB$127&amp;" "&amp;Milestones!$AC$127&amp;";  ","")&amp;IF(AND(EDATE($D10,Milestones!$AA$128)&lt;=AsOfDate,IF($Q10=0,$W10,IF(AND($S10&lt;&gt;"",EDATE($D10,Milestones!$AA$128)&gt;=$S10),$V10,IF(AND($R10&lt;&gt;"",EDATE($D10,Milestones!$AA$128)&gt;=$R10),$U10,$T10)))=Milestones!$AB$128),TEXT(EDATE($D10,Milestones!$AA$128),"dd/mm/yy")&amp;" "&amp;Milestones!$AB$128&amp;" "&amp;Milestones!$AC$128&amp;";  ","")&amp;IF(AND(EDATE($D10,Milestones!$AA$129)&lt;=AsOfDate,IF($Q10=0,$W10,IF(AND($S10&lt;&gt;"",EDATE($D10,Milestones!$AA$129)&gt;=$S10),$V10,IF(AND($R10&lt;&gt;"",EDATE($D10,Milestones!$AA$129)&gt;=$R10),$U10,$T10)))=Milestones!$AB$129),TEXT(EDATE($D10,Milestones!$AA$129),"dd/mm/yy")&amp;" "&amp;Milestones!$AB$129&amp;" "&amp;Milestones!$AC$129&amp;";  ","")&amp;IF(AND(EDATE($D10,Milestones!$AA$130)&lt;=AsOfDate,IF($Q10=0,$W10,IF(AND($S10&lt;&gt;"",EDATE($D10,Milestones!$AA$130)&gt;=$S10),$V10,IF(AND($R10&lt;&gt;"",EDATE($D10,Milestones!$AA$130)&gt;=$R10),$U10,$T10)))=Milestones!$AB$130),TEXT(EDATE($D10,Milestones!$AA$130),"dd/mm/yy")&amp;" "&amp;Milestones!$AB$130&amp;" "&amp;Milestones!$AC$130&amp;";  ","")&amp;IF(AND(EDATE($D10,Milestones!$AA$131)&lt;=AsOfDate,IF($Q10=0,$W10,IF(AND($S10&lt;&gt;"",EDATE($D10,Milestones!$AA$131)&gt;=$S10),$V10,IF(AND($R10&lt;&gt;"",EDATE($D10,Milestones!$AA$131)&gt;=$R10),$U10,$T10)))=Milestones!$AB$131),TEXT(EDATE($D10,Milestones!$AA$131),"dd/mm/yy")&amp;" "&amp;Milestones!$AB$131&amp;" "&amp;Milestones!$AC$131&amp;";  ","")&amp;IF(AND(EDATE($D10,Milestones!$AA$132)&lt;=AsOfDate,IF($Q10=0,$W10,IF(AND($S10&lt;&gt;"",EDATE($D10,Milestones!$AA$132)&gt;=$S10),$V10,IF(AND($R10&lt;&gt;"",EDATE($D10,Milestones!$AA$132)&gt;=$R10),$U10,$T10)))=Milestones!$AB$132),TEXT(EDATE($D10,Milestones!$AA$132),"dd/mm/yy")&amp;" "&amp;Milestones!$AB$132&amp;" "&amp;Milestones!$AC$132&amp;";  ","")&amp;IF(AND(EDATE($D10,Milestones!$AA$133)&lt;=AsOfDate,IF($Q10=0,$W10,IF(AND($S10&lt;&gt;"",EDATE($D10,Milestones!$AA$133)&gt;=$S10),$V10,IF(AND($R10&lt;&gt;"",EDATE($D10,Milestones!$AA$133)&gt;=$R10),$U10,$T10)))=Milestones!$AB$133),TEXT(EDATE($D10,Milestones!$AA$133),"dd/mm/yy")&amp;" "&amp;Milestones!$AB$133&amp;" "&amp;Milestones!$AC$133&amp;";  ","")&amp;IF(AND(EDATE($D10,Milestones!$AA$134)&lt;=AsOfDate,IF($Q10=0,$W10,IF(AND($S10&lt;&gt;"",EDATE($D10,Milestones!$AA$134)&gt;=$S10),$V10,IF(AND($R10&lt;&gt;"",EDATE($D10,Milestones!$AA$134)&gt;=$R10),$U10,$T10)))=Milestones!$AB$134),TEXT(EDATE($D10,Milestones!$AA$134),"dd/mm/yy")&amp;" "&amp;Milestones!$AB$134&amp;" "&amp;Milestones!$AC$134&amp;";  ","")&amp;IF(AND(EDATE($D10,Milestones!$AA$135)&lt;=AsOfDate,IF($Q10=0,$W10,IF(AND($S10&lt;&gt;"",EDATE($D10,Milestones!$AA$135)&gt;=$S10),$V10,IF(AND($R10&lt;&gt;"",EDATE($D10,Milestones!$AA$135)&gt;=$R10),$U10,$T10)))=Milestones!$AB$135),TEXT(EDATE($D10,Milestones!$AA$135),"dd/mm/yy")&amp;" "&amp;Milestones!$AB$135&amp;" "&amp;Milestones!$AC$135&amp;";  ","")&amp;IF(AND(EDATE($D10,Milestones!$AA$136)&lt;=AsOfDate,IF($Q10=0,$W10,IF(AND($S10&lt;&gt;"",EDATE($D10,Milestones!$AA$136)&gt;=$S10),$V10,IF(AND($R10&lt;&gt;"",EDATE($D10,Milestones!$AA$136)&gt;=$R10),$U10,$T10)))=Milestones!$AB$136),TEXT(EDATE($D10,Milestones!$AA$136),"dd/mm/yy")&amp;" "&amp;Milestones!$AB$136&amp;" "&amp;Milestones!$AC$136&amp;";  ","")&amp;IF(AND(EDATE($D10,Milestones!$AA$137)&lt;=AsOfDate,IF($Q10=0,$W10,IF(AND($S10&lt;&gt;"",EDATE($D10,Milestones!$AA$137)&gt;=$S10),$V10,IF(AND($R10&lt;&gt;"",EDATE($D10,Milestones!$AA$137)&gt;=$R10),$U10,$T10)))=Milestones!$AB$137),TEXT(EDATE($D10,Milestones!$AA$137),"dd/mm/yy")&amp;" "&amp;Milestones!$AB$137&amp;" "&amp;Milestones!$AC$137&amp;";  ","")&amp;IF(AND(EDATE($D10,Milestones!$AA$138)&lt;=AsOfDate,IF($Q10=0,$W10,IF(AND($S10&lt;&gt;"",EDATE($D10,Milestones!$AA$138)&gt;=$S10),$V10,IF(AND($R10&lt;&gt;"",EDATE($D10,Milestones!$AA$138)&gt;=$R10),$U10,$T10)))=Milestones!$AB$138),TEXT(EDATE($D10,Milestones!$AA$138),"dd/mm/yy")&amp;" "&amp;Milestones!$AB$138&amp;" "&amp;Milestones!$AC$138&amp;";  ","")&amp;IF(AND(EDATE($D10,Milestones!$AA$139)&lt;=AsOfDate,IF($Q10=0,$W10,IF(AND($S10&lt;&gt;"",EDATE($D10,Milestones!$AA$139)&gt;=$S10),$V10,IF(AND($R10&lt;&gt;"",EDATE($D10,Milestones!$AA$139)&gt;=$R10),$U10,$T10)))=Milestones!$AB$139),TEXT(EDATE($D10,Milestones!$AA$139),"dd/mm/yy")&amp;" "&amp;Milestones!$AB$139&amp;" "&amp;Milestones!$AC$139&amp;";  ",""))</f>
        <v/>
      </c>
      <c r="N10" s="0" t="str">
        <f aca="false">IF(OR($A10="",$D10=""),"",IF(AND(EDATE($D10,Milestones!$AA$140)&lt;=AsOfDate,IF($Q10=0,$W10,IF(AND($S10&lt;&gt;"",EDATE($D10,Milestones!$AA$140)&gt;=$S10),$V10,IF(AND($R10&lt;&gt;"",EDATE($D10,Milestones!$AA$140)&gt;=$R10),$U10,$T10)))=Milestones!$AB$140),TEXT(EDATE($D10,Milestones!$AA$140),"dd/mm/yy")&amp;" "&amp;Milestones!$AB$140&amp;" "&amp;Milestones!$AC$140&amp;";  ","")&amp;IF(AND(EDATE($D10,Milestones!$AA$141)&lt;=AsOfDate,IF($Q10=0,$W10,IF(AND($S10&lt;&gt;"",EDATE($D10,Milestones!$AA$141)&gt;=$S10),$V10,IF(AND($R10&lt;&gt;"",EDATE($D10,Milestones!$AA$141)&gt;=$R10),$U10,$T10)))=Milestones!$AB$141),TEXT(EDATE($D10,Milestones!$AA$141),"dd/mm/yy")&amp;" "&amp;Milestones!$AB$141&amp;" "&amp;Milestones!$AC$141&amp;";  ","")&amp;IF(AND(EDATE($D10,Milestones!$AA$142)&lt;=AsOfDate,IF($Q10=0,$W10,IF(AND($S10&lt;&gt;"",EDATE($D10,Milestones!$AA$142)&gt;=$S10),$V10,IF(AND($R10&lt;&gt;"",EDATE($D10,Milestones!$AA$142)&gt;=$R10),$U10,$T10)))=Milestones!$AB$142),TEXT(EDATE($D10,Milestones!$AA$142),"dd/mm/yy")&amp;" "&amp;Milestones!$AB$142&amp;" "&amp;Milestones!$AC$142&amp;";  ","")&amp;IF(AND(EDATE($D10,Milestones!$AA$143)&lt;=AsOfDate,IF($Q10=0,$W10,IF(AND($S10&lt;&gt;"",EDATE($D10,Milestones!$AA$143)&gt;=$S10),$V10,IF(AND($R10&lt;&gt;"",EDATE($D10,Milestones!$AA$143)&gt;=$R10),$U10,$T10)))=Milestones!$AB$143),TEXT(EDATE($D10,Milestones!$AA$143),"dd/mm/yy")&amp;" "&amp;Milestones!$AB$143&amp;" "&amp;Milestones!$AC$143&amp;";  ","")&amp;IF(AND(EDATE($D10,Milestones!$AA$144)&lt;=AsOfDate,IF($Q10=0,$W10,IF(AND($S10&lt;&gt;"",EDATE($D10,Milestones!$AA$144)&gt;=$S10),$V10,IF(AND($R10&lt;&gt;"",EDATE($D10,Milestones!$AA$144)&gt;=$R10),$U10,$T10)))=Milestones!$AB$144),TEXT(EDATE($D10,Milestones!$AA$144),"dd/mm/yy")&amp;" "&amp;Milestones!$AB$144&amp;" "&amp;Milestones!$AC$144&amp;";  ","")&amp;IF(AND(EDATE($D10,Milestones!$AA$145)&lt;=AsOfDate,IF($Q10=0,$W10,IF(AND($S10&lt;&gt;"",EDATE($D10,Milestones!$AA$145)&gt;=$S10),$V10,IF(AND($R10&lt;&gt;"",EDATE($D10,Milestones!$AA$145)&gt;=$R10),$U10,$T10)))=Milestones!$AB$145),TEXT(EDATE($D10,Milestones!$AA$145),"dd/mm/yy")&amp;" "&amp;Milestones!$AB$145&amp;" "&amp;Milestones!$AC$145&amp;";  ","")&amp;IF(AND(EDATE($D10,Milestones!$AA$146)&lt;=AsOfDate,IF($Q10=0,$W10,IF(AND($S10&lt;&gt;"",EDATE($D10,Milestones!$AA$146)&gt;=$S10),$V10,IF(AND($R10&lt;&gt;"",EDATE($D10,Milestones!$AA$146)&gt;=$R10),$U10,$T10)))=Milestones!$AB$146),TEXT(EDATE($D10,Milestones!$AA$146),"dd/mm/yy")&amp;" "&amp;Milestones!$AB$146&amp;" "&amp;Milestones!$AC$146&amp;";  ","")&amp;IF(AND(EDATE($D10,Milestones!$AA$147)&lt;=AsOfDate,IF($Q10=0,$W10,IF(AND($S10&lt;&gt;"",EDATE($D10,Milestones!$AA$147)&gt;=$S10),$V10,IF(AND($R10&lt;&gt;"",EDATE($D10,Milestones!$AA$147)&gt;=$R10),$U10,$T10)))=Milestones!$AB$147),TEXT(EDATE($D10,Milestones!$AA$147),"dd/mm/yy")&amp;" "&amp;Milestones!$AB$147&amp;" "&amp;Milestones!$AC$147&amp;";  ","")&amp;IF(AND(EDATE($D10,Milestones!$AA$148)&lt;=AsOfDate,IF($Q10=0,$W10,IF(AND($S10&lt;&gt;"",EDATE($D10,Milestones!$AA$148)&gt;=$S10),$V10,IF(AND($R10&lt;&gt;"",EDATE($D10,Milestones!$AA$148)&gt;=$R10),$U10,$T10)))=Milestones!$AB$148),TEXT(EDATE($D10,Milestones!$AA$148),"dd/mm/yy")&amp;" "&amp;Milestones!$AB$148&amp;" "&amp;Milestones!$AC$148&amp;";  ","")&amp;IF(AND(EDATE($D10,Milestones!$AA$149)&lt;=AsOfDate,IF($Q10=0,$W10,IF(AND($S10&lt;&gt;"",EDATE($D10,Milestones!$AA$149)&gt;=$S10),$V10,IF(AND($R10&lt;&gt;"",EDATE($D10,Milestones!$AA$149)&gt;=$R10),$U10,$T10)))=Milestones!$AB$149),TEXT(EDATE($D10,Milestones!$AA$149),"dd/mm/yy")&amp;" "&amp;Milestones!$AB$149&amp;" "&amp;Milestones!$AC$149&amp;";  ","")&amp;IF(AND(EDATE($D10,Milestones!$AA$150)&lt;=AsOfDate,IF($Q10=0,$W10,IF(AND($S10&lt;&gt;"",EDATE($D10,Milestones!$AA$150)&gt;=$S10),$V10,IF(AND($R10&lt;&gt;"",EDATE($D10,Milestones!$AA$150)&gt;=$R10),$U10,$T10)))=Milestones!$AB$150),TEXT(EDATE($D10,Milestones!$AA$150),"dd/mm/yy")&amp;" "&amp;Milestones!$AB$150&amp;" "&amp;Milestones!$AC$150&amp;";  ","")&amp;IF(AND(EDATE($D10,Milestones!$AA$151)&lt;=AsOfDate,IF($Q10=0,$W10,IF(AND($S10&lt;&gt;"",EDATE($D10,Milestones!$AA$151)&gt;=$S10),$V10,IF(AND($R10&lt;&gt;"",EDATE($D10,Milestones!$AA$151)&gt;=$R10),$U10,$T10)))=Milestones!$AB$151),TEXT(EDATE($D10,Milestones!$AA$151),"dd/mm/yy")&amp;" "&amp;Milestones!$AB$151&amp;" "&amp;Milestones!$AC$151&amp;";  ","")&amp;IF(AND(EDATE($D10,Milestones!$AA$152)&lt;=AsOfDate,IF($Q10=0,$W10,IF(AND($S10&lt;&gt;"",EDATE($D10,Milestones!$AA$152)&gt;=$S10),$V10,IF(AND($R10&lt;&gt;"",EDATE($D10,Milestones!$AA$152)&gt;=$R10),$U10,$T10)))=Milestones!$AB$152),TEXT(EDATE($D10,Milestones!$AA$152),"dd/mm/yy")&amp;" "&amp;Milestones!$AB$152&amp;" "&amp;Milestones!$AC$152&amp;";  ","")&amp;IF(AND(EDATE($D10,Milestones!$AA$153)&lt;=AsOfDate,IF($Q10=0,$W10,IF(AND($S10&lt;&gt;"",EDATE($D10,Milestones!$AA$153)&gt;=$S10),$V10,IF(AND($R10&lt;&gt;"",EDATE($D10,Milestones!$AA$153)&gt;=$R10),$U10,$T10)))=Milestones!$AB$153),TEXT(EDATE($D10,Milestones!$AA$153),"dd/mm/yy")&amp;" "&amp;Milestones!$AB$153&amp;" "&amp;Milestones!$AC$153&amp;";  ","")&amp;IF(AND(EDATE($D10,Milestones!$AA$154)&lt;=AsOfDate,IF($Q10=0,$W10,IF(AND($S10&lt;&gt;"",EDATE($D10,Milestones!$AA$154)&gt;=$S10),$V10,IF(AND($R10&lt;&gt;"",EDATE($D10,Milestones!$AA$154)&gt;=$R10),$U10,$T10)))=Milestones!$AB$154),TEXT(EDATE($D10,Milestones!$AA$154),"dd/mm/yy")&amp;" "&amp;Milestones!$AB$154&amp;" "&amp;Milestones!$AC$154&amp;";  ","")&amp;IF(AND(EDATE($D10,Milestones!$AA$155)&lt;=AsOfDate,IF($Q10=0,$W10,IF(AND($S10&lt;&gt;"",EDATE($D10,Milestones!$AA$155)&gt;=$S10),$V10,IF(AND($R10&lt;&gt;"",EDATE($D10,Milestones!$AA$155)&gt;=$R10),$U10,$T10)))=Milestones!$AB$155),TEXT(EDATE($D10,Milestones!$AA$155),"dd/mm/yy")&amp;" "&amp;Milestones!$AB$155&amp;" "&amp;Milestones!$AC$155&amp;";  ","")&amp;IF(AND(EDATE($D10,Milestones!$AA$156)&lt;=AsOfDate,IF($Q10=0,$W10,IF(AND($S10&lt;&gt;"",EDATE($D10,Milestones!$AA$156)&gt;=$S10),$V10,IF(AND($R10&lt;&gt;"",EDATE($D10,Milestones!$AA$156)&gt;=$R10),$U10,$T10)))=Milestones!$AB$156),TEXT(EDATE($D10,Milestones!$AA$156),"dd/mm/yy")&amp;" "&amp;Milestones!$AB$156&amp;" "&amp;Milestones!$AC$156&amp;";  ","")&amp;IF(AND(EDATE($D10,Milestones!$AA$157)&lt;=AsOfDate,IF($Q10=0,$W10,IF(AND($S10&lt;&gt;"",EDATE($D10,Milestones!$AA$157)&gt;=$S10),$V10,IF(AND($R10&lt;&gt;"",EDATE($D10,Milestones!$AA$157)&gt;=$R10),$U10,$T10)))=Milestones!$AB$157),TEXT(EDATE($D10,Milestones!$AA$157),"dd/mm/yy")&amp;" "&amp;Milestones!$AB$157&amp;" "&amp;Milestones!$AC$157&amp;";  ","")&amp;IF(AND(EDATE($D10,Milestones!$AA$158)&lt;=AsOfDate,IF($Q10=0,$W10,IF(AND($S10&lt;&gt;"",EDATE($D10,Milestones!$AA$158)&gt;=$S10),$V10,IF(AND($R10&lt;&gt;"",EDATE($D10,Milestones!$AA$158)&gt;=$R10),$U10,$T10)))=Milestones!$AB$158),TEXT(EDATE($D10,Milestones!$AA$158),"dd/mm/yy")&amp;" "&amp;Milestones!$AB$158&amp;" "&amp;Milestones!$AC$158&amp;";  ","")&amp;IF(AND(EDATE($D10,Milestones!$AA$159)&lt;=AsOfDate,IF($Q10=0,$W10,IF(AND($S10&lt;&gt;"",EDATE($D10,Milestones!$AA$159)&gt;=$S10),$V10,IF(AND($R10&lt;&gt;"",EDATE($D10,Milestones!$AA$159)&gt;=$R10),$U10,$T10)))=Milestones!$AB$159),TEXT(EDATE($D10,Milestones!$AA$159),"dd/mm/yy")&amp;" "&amp;Milestones!$AB$159&amp;" "&amp;Milestones!$AC$159&amp;";  ",""))</f>
        <v/>
      </c>
      <c r="O10" s="0" t="str">
        <f aca="false">IF(OR($A10="",$D10=""),"",IF(AND(EDATE($D10,Milestones!$AA$160)&lt;=AsOfDate,IF($Q10=0,$W10,IF(AND($S10&lt;&gt;"",EDATE($D10,Milestones!$AA$160)&gt;=$S10),$V10,IF(AND($R10&lt;&gt;"",EDATE($D10,Milestones!$AA$160)&gt;=$R10),$U10,$T10)))=Milestones!$AB$160),TEXT(EDATE($D10,Milestones!$AA$160),"dd/mm/yy")&amp;" "&amp;Milestones!$AB$160&amp;" "&amp;Milestones!$AC$160&amp;";  ","")&amp;IF(AND(EDATE($D10,Milestones!$AA$161)&lt;=AsOfDate,IF($Q10=0,$W10,IF(AND($S10&lt;&gt;"",EDATE($D10,Milestones!$AA$161)&gt;=$S10),$V10,IF(AND($R10&lt;&gt;"",EDATE($D10,Milestones!$AA$161)&gt;=$R10),$U10,$T10)))=Milestones!$AB$161),TEXT(EDATE($D10,Milestones!$AA$161),"dd/mm/yy")&amp;" "&amp;Milestones!$AB$161&amp;" "&amp;Milestones!$AC$161&amp;";  ","")&amp;IF(AND(EDATE($D10,Milestones!$AA$162)&lt;=AsOfDate,IF($Q10=0,$W10,IF(AND($S10&lt;&gt;"",EDATE($D10,Milestones!$AA$162)&gt;=$S10),$V10,IF(AND($R10&lt;&gt;"",EDATE($D10,Milestones!$AA$162)&gt;=$R10),$U10,$T10)))=Milestones!$AB$162),TEXT(EDATE($D10,Milestones!$AA$162),"dd/mm/yy")&amp;" "&amp;Milestones!$AB$162&amp;" "&amp;Milestones!$AC$162&amp;";  ","")&amp;IF(AND(EDATE($D10,Milestones!$AA$163)&lt;=AsOfDate,IF($Q10=0,$W10,IF(AND($S10&lt;&gt;"",EDATE($D10,Milestones!$AA$163)&gt;=$S10),$V10,IF(AND($R10&lt;&gt;"",EDATE($D10,Milestones!$AA$163)&gt;=$R10),$U10,$T10)))=Milestones!$AB$163),TEXT(EDATE($D10,Milestones!$AA$163),"dd/mm/yy")&amp;" "&amp;Milestones!$AB$163&amp;" "&amp;Milestones!$AC$163&amp;";  ","")&amp;IF(AND(EDATE($D10,Milestones!$AA$164)&lt;=AsOfDate,IF($Q10=0,$W10,IF(AND($S10&lt;&gt;"",EDATE($D10,Milestones!$AA$164)&gt;=$S10),$V10,IF(AND($R10&lt;&gt;"",EDATE($D10,Milestones!$AA$164)&gt;=$R10),$U10,$T10)))=Milestones!$AB$164),TEXT(EDATE($D10,Milestones!$AA$164),"dd/mm/yy")&amp;" "&amp;Milestones!$AB$164&amp;" "&amp;Milestones!$AC$164&amp;";  ","")&amp;IF(AND(EDATE($D10,Milestones!$AA$165)&lt;=AsOfDate,IF($Q10=0,$W10,IF(AND($S10&lt;&gt;"",EDATE($D10,Milestones!$AA$165)&gt;=$S10),$V10,IF(AND($R10&lt;&gt;"",EDATE($D10,Milestones!$AA$165)&gt;=$R10),$U10,$T10)))=Milestones!$AB$165),TEXT(EDATE($D10,Milestones!$AA$165),"dd/mm/yy")&amp;" "&amp;Milestones!$AB$165&amp;" "&amp;Milestones!$AC$165&amp;";  ","")&amp;IF(AND(EDATE($D10,Milestones!$AA$166)&lt;=AsOfDate,IF($Q10=0,$W10,IF(AND($S10&lt;&gt;"",EDATE($D10,Milestones!$AA$166)&gt;=$S10),$V10,IF(AND($R10&lt;&gt;"",EDATE($D10,Milestones!$AA$166)&gt;=$R10),$U10,$T10)))=Milestones!$AB$166),TEXT(EDATE($D10,Milestones!$AA$166),"dd/mm/yy")&amp;" "&amp;Milestones!$AB$166&amp;" "&amp;Milestones!$AC$166&amp;";  ","")&amp;IF(AND(EDATE($D10,Milestones!$AA$167)&lt;=AsOfDate,IF($Q10=0,$W10,IF(AND($S10&lt;&gt;"",EDATE($D10,Milestones!$AA$167)&gt;=$S10),$V10,IF(AND($R10&lt;&gt;"",EDATE($D10,Milestones!$AA$167)&gt;=$R10),$U10,$T10)))=Milestones!$AB$167),TEXT(EDATE($D10,Milestones!$AA$167),"dd/mm/yy")&amp;" "&amp;Milestones!$AB$167&amp;" "&amp;Milestones!$AC$167&amp;";  ","")&amp;IF(AND(EDATE($D10,Milestones!$AA$168)&lt;=AsOfDate,IF($Q10=0,$W10,IF(AND($S10&lt;&gt;"",EDATE($D10,Milestones!$AA$168)&gt;=$S10),$V10,IF(AND($R10&lt;&gt;"",EDATE($D10,Milestones!$AA$168)&gt;=$R10),$U10,$T10)))=Milestones!$AB$168),TEXT(EDATE($D10,Milestones!$AA$168),"dd/mm/yy")&amp;" "&amp;Milestones!$AB$168&amp;" "&amp;Milestones!$AC$168&amp;";  ","")&amp;IF(AND(EDATE($D10,Milestones!$AA$169)&lt;=AsOfDate,IF($Q10=0,$W10,IF(AND($S10&lt;&gt;"",EDATE($D10,Milestones!$AA$169)&gt;=$S10),$V10,IF(AND($R10&lt;&gt;"",EDATE($D10,Milestones!$AA$169)&gt;=$R10),$U10,$T10)))=Milestones!$AB$169),TEXT(EDATE($D10,Milestones!$AA$169),"dd/mm/yy")&amp;" "&amp;Milestones!$AB$169&amp;" "&amp;Milestones!$AC$169&amp;";  ","")&amp;IF(AND(EDATE($D10,Milestones!$AA$170)&lt;=AsOfDate,IF($Q10=0,$W10,IF(AND($S10&lt;&gt;"",EDATE($D10,Milestones!$AA$170)&gt;=$S10),$V10,IF(AND($R10&lt;&gt;"",EDATE($D10,Milestones!$AA$170)&gt;=$R10),$U10,$T10)))=Milestones!$AB$170),TEXT(EDATE($D10,Milestones!$AA$170),"dd/mm/yy")&amp;" "&amp;Milestones!$AB$170&amp;" "&amp;Milestones!$AC$170&amp;";  ","")&amp;IF(AND(EDATE($D10,Milestones!$AA$171)&lt;=AsOfDate,IF($Q10=0,$W10,IF(AND($S10&lt;&gt;"",EDATE($D10,Milestones!$AA$171)&gt;=$S10),$V10,IF(AND($R10&lt;&gt;"",EDATE($D10,Milestones!$AA$171)&gt;=$R10),$U10,$T10)))=Milestones!$AB$171),TEXT(EDATE($D10,Milestones!$AA$171),"dd/mm/yy")&amp;" "&amp;Milestones!$AB$171&amp;" "&amp;Milestones!$AC$171&amp;";  ","")&amp;IF(AND(EDATE($D10,Milestones!$AA$172)&lt;=AsOfDate,IF($Q10=0,$W10,IF(AND($S10&lt;&gt;"",EDATE($D10,Milestones!$AA$172)&gt;=$S10),$V10,IF(AND($R10&lt;&gt;"",EDATE($D10,Milestones!$AA$172)&gt;=$R10),$U10,$T10)))=Milestones!$AB$172),TEXT(EDATE($D10,Milestones!$AA$172),"dd/mm/yy")&amp;" "&amp;Milestones!$AB$172&amp;" "&amp;Milestones!$AC$172&amp;";  ","")&amp;IF(AND(EDATE($D10,Milestones!$AA$173)&lt;=AsOfDate,IF($Q10=0,$W10,IF(AND($S10&lt;&gt;"",EDATE($D10,Milestones!$AA$173)&gt;=$S10),$V10,IF(AND($R10&lt;&gt;"",EDATE($D10,Milestones!$AA$173)&gt;=$R10),$U10,$T10)))=Milestones!$AB$173),TEXT(EDATE($D10,Milestones!$AA$173),"dd/mm/yy")&amp;" "&amp;Milestones!$AB$173&amp;" "&amp;Milestones!$AC$173&amp;";  ","")&amp;IF(AND(EDATE($D10,Milestones!$AA$174)&lt;=AsOfDate,IF($Q10=0,$W10,IF(AND($S10&lt;&gt;"",EDATE($D10,Milestones!$AA$174)&gt;=$S10),$V10,IF(AND($R10&lt;&gt;"",EDATE($D10,Milestones!$AA$174)&gt;=$R10),$U10,$T10)))=Milestones!$AB$174),TEXT(EDATE($D10,Milestones!$AA$174),"dd/mm/yy")&amp;" "&amp;Milestones!$AB$174&amp;" "&amp;Milestones!$AC$174&amp;";  ","")&amp;IF(AND(EDATE($D10,Milestones!$AA$175)&lt;=AsOfDate,IF($Q10=0,$W10,IF(AND($S10&lt;&gt;"",EDATE($D10,Milestones!$AA$175)&gt;=$S10),$V10,IF(AND($R10&lt;&gt;"",EDATE($D10,Milestones!$AA$175)&gt;=$R10),$U10,$T10)))=Milestones!$AB$175),TEXT(EDATE($D10,Milestones!$AA$175),"dd/mm/yy")&amp;" "&amp;Milestones!$AB$175&amp;" "&amp;Milestones!$AC$175&amp;";  ","")&amp;IF(AND(EDATE($D10,Milestones!$AA$176)&lt;=AsOfDate,IF($Q10=0,$W10,IF(AND($S10&lt;&gt;"",EDATE($D10,Milestones!$AA$176)&gt;=$S10),$V10,IF(AND($R10&lt;&gt;"",EDATE($D10,Milestones!$AA$176)&gt;=$R10),$U10,$T10)))=Milestones!$AB$176),TEXT(EDATE($D10,Milestones!$AA$176),"dd/mm/yy")&amp;" "&amp;Milestones!$AB$176&amp;" "&amp;Milestones!$AC$176&amp;";  ","")&amp;IF(AND(EDATE($D10,Milestones!$AA$177)&lt;=AsOfDate,IF($Q10=0,$W10,IF(AND($S10&lt;&gt;"",EDATE($D10,Milestones!$AA$177)&gt;=$S10),$V10,IF(AND($R10&lt;&gt;"",EDATE($D10,Milestones!$AA$177)&gt;=$R10),$U10,$T10)))=Milestones!$AB$177),TEXT(EDATE($D10,Milestones!$AA$177),"dd/mm/yy")&amp;" "&amp;Milestones!$AB$177&amp;" "&amp;Milestones!$AC$177&amp;";  ","")&amp;IF(AND(EDATE($D10,Milestones!$AA$178)&lt;=AsOfDate,IF($Q10=0,$W10,IF(AND($S10&lt;&gt;"",EDATE($D10,Milestones!$AA$178)&gt;=$S10),$V10,IF(AND($R10&lt;&gt;"",EDATE($D10,Milestones!$AA$178)&gt;=$R10),$U10,$T10)))=Milestones!$AB$178),TEXT(EDATE($D10,Milestones!$AA$178),"dd/mm/yy")&amp;" "&amp;Milestones!$AB$178&amp;" "&amp;Milestones!$AC$178&amp;";  ","")&amp;IF(AND(EDATE($D10,Milestones!$AA$179)&lt;=AsOfDate,IF($Q10=0,$W10,IF(AND($S10&lt;&gt;"",EDATE($D10,Milestones!$AA$179)&gt;=$S10),$V10,IF(AND($R10&lt;&gt;"",EDATE($D10,Milestones!$AA$179)&gt;=$R10),$U10,$T10)))=Milestones!$AB$179),TEXT(EDATE($D10,Milestones!$AA$179),"dd/mm/yy")&amp;" "&amp;Milestones!$AB$179&amp;" "&amp;Milestones!$AC$179&amp;";  ",""))</f>
        <v/>
      </c>
      <c r="P10" s="0" t="str">
        <f aca="false">IF(OR($A10="",$D10=""),"",IF(AND(EDATE($D10,Milestones!$AA$180)&lt;=AsOfDate,IF($Q10=0,$W10,IF(AND($S10&lt;&gt;"",EDATE($D10,Milestones!$AA$180)&gt;=$S10),$V10,IF(AND($R10&lt;&gt;"",EDATE($D10,Milestones!$AA$180)&gt;=$R10),$U10,$T10)))=Milestones!$AB$180),TEXT(EDATE($D10,Milestones!$AA$180),"dd/mm/yy")&amp;" "&amp;Milestones!$AB$180&amp;" "&amp;Milestones!$AC$180&amp;";  ","")&amp;IF(AND(EDATE($D10,Milestones!$AA$181)&lt;=AsOfDate,IF($Q10=0,$W10,IF(AND($S10&lt;&gt;"",EDATE($D10,Milestones!$AA$181)&gt;=$S10),$V10,IF(AND($R10&lt;&gt;"",EDATE($D10,Milestones!$AA$181)&gt;=$R10),$U10,$T10)))=Milestones!$AB$181),TEXT(EDATE($D10,Milestones!$AA$181),"dd/mm/yy")&amp;" "&amp;Milestones!$AB$181&amp;" "&amp;Milestones!$AC$181&amp;";  ","")&amp;IF(AND(EDATE($D10,Milestones!$AA$182)&lt;=AsOfDate,IF($Q10=0,$W10,IF(AND($S10&lt;&gt;"",EDATE($D10,Milestones!$AA$182)&gt;=$S10),$V10,IF(AND($R10&lt;&gt;"",EDATE($D10,Milestones!$AA$182)&gt;=$R10),$U10,$T10)))=Milestones!$AB$182),TEXT(EDATE($D10,Milestones!$AA$182),"dd/mm/yy")&amp;" "&amp;Milestones!$AB$182&amp;" "&amp;Milestones!$AC$182&amp;";  ","")&amp;IF(AND(EDATE($D10,Milestones!$AA$183)&lt;=AsOfDate,IF($Q10=0,$W10,IF(AND($S10&lt;&gt;"",EDATE($D10,Milestones!$AA$183)&gt;=$S10),$V10,IF(AND($R10&lt;&gt;"",EDATE($D10,Milestones!$AA$183)&gt;=$R10),$U10,$T10)))=Milestones!$AB$183),TEXT(EDATE($D10,Milestones!$AA$183),"dd/mm/yy")&amp;" "&amp;Milestones!$AB$183&amp;" "&amp;Milestones!$AC$183&amp;";  ","")&amp;IF(AND(EDATE($D10,Milestones!$AA$184)&lt;=AsOfDate,IF($Q10=0,$W10,IF(AND($S10&lt;&gt;"",EDATE($D10,Milestones!$AA$184)&gt;=$S10),$V10,IF(AND($R10&lt;&gt;"",EDATE($D10,Milestones!$AA$184)&gt;=$R10),$U10,$T10)))=Milestones!$AB$184),TEXT(EDATE($D10,Milestones!$AA$184),"dd/mm/yy")&amp;" "&amp;Milestones!$AB$184&amp;" "&amp;Milestones!$AC$184&amp;";  ","")&amp;IF(AND(EDATE($D10,Milestones!$AA$185)&lt;=AsOfDate,IF($Q10=0,$W10,IF(AND($S10&lt;&gt;"",EDATE($D10,Milestones!$AA$185)&gt;=$S10),$V10,IF(AND($R10&lt;&gt;"",EDATE($D10,Milestones!$AA$185)&gt;=$R10),$U10,$T10)))=Milestones!$AB$185),TEXT(EDATE($D10,Milestones!$AA$185),"dd/mm/yy")&amp;" "&amp;Milestones!$AB$185&amp;" "&amp;Milestones!$AC$185&amp;";  ","")&amp;IF(AND(EDATE($D10,Milestones!$AA$186)&lt;=AsOfDate,IF($Q10=0,$W10,IF(AND($S10&lt;&gt;"",EDATE($D10,Milestones!$AA$186)&gt;=$S10),$V10,IF(AND($R10&lt;&gt;"",EDATE($D10,Milestones!$AA$186)&gt;=$R10),$U10,$T10)))=Milestones!$AB$186),TEXT(EDATE($D10,Milestones!$AA$186),"dd/mm/yy")&amp;" "&amp;Milestones!$AB$186&amp;" "&amp;Milestones!$AC$186&amp;";  ","")&amp;IF(AND(EDATE($D10,Milestones!$AA$187)&lt;=AsOfDate,IF($Q10=0,$W10,IF(AND($S10&lt;&gt;"",EDATE($D10,Milestones!$AA$187)&gt;=$S10),$V10,IF(AND($R10&lt;&gt;"",EDATE($D10,Milestones!$AA$187)&gt;=$R10),$U10,$T10)))=Milestones!$AB$187),TEXT(EDATE($D10,Milestones!$AA$187),"dd/mm/yy")&amp;" "&amp;Milestones!$AB$187&amp;" "&amp;Milestones!$AC$187&amp;";  ","")&amp;IF(AND(EDATE($D10,Milestones!$AA$188)&lt;=AsOfDate,IF($Q10=0,$W10,IF(AND($S10&lt;&gt;"",EDATE($D10,Milestones!$AA$188)&gt;=$S10),$V10,IF(AND($R10&lt;&gt;"",EDATE($D10,Milestones!$AA$188)&gt;=$R10),$U10,$T10)))=Milestones!$AB$188),TEXT(EDATE($D10,Milestones!$AA$188),"dd/mm/yy")&amp;" "&amp;Milestones!$AB$188&amp;" "&amp;Milestones!$AC$188&amp;";  ","")&amp;IF(AND(EDATE($D10,Milestones!$AA$189)&lt;=AsOfDate,IF($Q10=0,$W10,IF(AND($S10&lt;&gt;"",EDATE($D10,Milestones!$AA$189)&gt;=$S10),$V10,IF(AND($R10&lt;&gt;"",EDATE($D10,Milestones!$AA$189)&gt;=$R10),$U10,$T10)))=Milestones!$AB$189),TEXT(EDATE($D10,Milestones!$AA$189),"dd/mm/yy")&amp;" "&amp;Milestones!$AB$189&amp;" "&amp;Milestones!$AC$189&amp;";  ","")&amp;IF(AND(EDATE($D10,Milestones!$AA$190)&lt;=AsOfDate,IF($Q10=0,$W10,IF(AND($S10&lt;&gt;"",EDATE($D10,Milestones!$AA$190)&gt;=$S10),$V10,IF(AND($R10&lt;&gt;"",EDATE($D10,Milestones!$AA$190)&gt;=$R10),$U10,$T10)))=Milestones!$AB$190),TEXT(EDATE($D10,Milestones!$AA$190),"dd/mm/yy")&amp;" "&amp;Milestones!$AB$190&amp;" "&amp;Milestones!$AC$190&amp;";  ","")&amp;IF(AND(EDATE($D10,Milestones!$AA$191)&lt;=AsOfDate,IF($Q10=0,$W10,IF(AND($S10&lt;&gt;"",EDATE($D10,Milestones!$AA$191)&gt;=$S10),$V10,IF(AND($R10&lt;&gt;"",EDATE($D10,Milestones!$AA$191)&gt;=$R10),$U10,$T10)))=Milestones!$AB$191),TEXT(EDATE($D10,Milestones!$AA$191),"dd/mm/yy")&amp;" "&amp;Milestones!$AB$191&amp;" "&amp;Milestones!$AC$191&amp;";  ","")&amp;IF(AND(EDATE($D10,Milestones!$AA$192)&lt;=AsOfDate,IF($Q10=0,$W10,IF(AND($S10&lt;&gt;"",EDATE($D10,Milestones!$AA$192)&gt;=$S10),$V10,IF(AND($R10&lt;&gt;"",EDATE($D10,Milestones!$AA$192)&gt;=$R10),$U10,$T10)))=Milestones!$AB$192),TEXT(EDATE($D10,Milestones!$AA$192),"dd/mm/yy")&amp;" "&amp;Milestones!$AB$192&amp;" "&amp;Milestones!$AC$192&amp;";  ","")&amp;IF(AND(EDATE($D10,Milestones!$AA$193)&lt;=AsOfDate,IF($Q10=0,$W10,IF(AND($S10&lt;&gt;"",EDATE($D10,Milestones!$AA$193)&gt;=$S10),$V10,IF(AND($R10&lt;&gt;"",EDATE($D10,Milestones!$AA$193)&gt;=$R10),$U10,$T10)))=Milestones!$AB$193),TEXT(EDATE($D10,Milestones!$AA$193),"dd/mm/yy")&amp;" "&amp;Milestones!$AB$193&amp;" "&amp;Milestones!$AC$193&amp;";  ","")&amp;IF(AND(EDATE($D10,Milestones!$AA$194)&lt;=AsOfDate,IF($Q10=0,$W10,IF(AND($S10&lt;&gt;"",EDATE($D10,Milestones!$AA$194)&gt;=$S10),$V10,IF(AND($R10&lt;&gt;"",EDATE($D10,Milestones!$AA$194)&gt;=$R10),$U10,$T10)))=Milestones!$AB$194),TEXT(EDATE($D10,Milestones!$AA$194),"dd/mm/yy")&amp;" "&amp;Milestones!$AB$194&amp;" "&amp;Milestones!$AC$194&amp;";  ","")&amp;IF(AND(EDATE($D10,Milestones!$AA$195)&lt;=AsOfDate,IF($Q10=0,$W10,IF(AND($S10&lt;&gt;"",EDATE($D10,Milestones!$AA$195)&gt;=$S10),$V10,IF(AND($R10&lt;&gt;"",EDATE($D10,Milestones!$AA$195)&gt;=$R10),$U10,$T10)))=Milestones!$AB$195),TEXT(EDATE($D10,Milestones!$AA$195),"dd/mm/yy")&amp;" "&amp;Milestones!$AB$195&amp;" "&amp;Milestones!$AC$195&amp;";  ","")&amp;IF(AND(EDATE($D10,Milestones!$AA$196)&lt;=AsOfDate,IF($Q10=0,$W10,IF(AND($S10&lt;&gt;"",EDATE($D10,Milestones!$AA$196)&gt;=$S10),$V10,IF(AND($R10&lt;&gt;"",EDATE($D10,Milestones!$AA$196)&gt;=$R10),$U10,$T10)))=Milestones!$AB$196),TEXT(EDATE($D10,Milestones!$AA$196),"dd/mm/yy")&amp;" "&amp;Milestones!$AB$196&amp;" "&amp;Milestones!$AC$196&amp;";  ","")&amp;IF(AND(EDATE($D10,Milestones!$AA$197)&lt;=AsOfDate,IF($Q10=0,$W10,IF(AND($S10&lt;&gt;"",EDATE($D10,Milestones!$AA$197)&gt;=$S10),$V10,IF(AND($R10&lt;&gt;"",EDATE($D10,Milestones!$AA$197)&gt;=$R10),$U10,$T10)))=Milestones!$AB$197),TEXT(EDATE($D10,Milestones!$AA$197),"dd/mm/yy")&amp;" "&amp;Milestones!$AB$197&amp;" "&amp;Milestones!$AC$197&amp;";  ","")&amp;IF(AND(EDATE($D10,Milestones!$AA$198)&lt;=AsOfDate,IF($Q10=0,$W10,IF(AND($S10&lt;&gt;"",EDATE($D10,Milestones!$AA$198)&gt;=$S10),$V10,IF(AND($R10&lt;&gt;"",EDATE($D10,Milestones!$AA$198)&gt;=$R10),$U10,$T10)))=Milestones!$AB$198),TEXT(EDATE($D10,Milestones!$AA$198),"dd/mm/yy")&amp;" "&amp;Milestones!$AB$198&amp;" "&amp;Milestones!$AC$198&amp;";  ","")&amp;IF(AND(EDATE($D10,Milestones!$AA$199)&lt;=AsOfDate,IF($Q10=0,$W10,IF(AND($S10&lt;&gt;"",EDATE($D10,Milestones!$AA$199)&gt;=$S10),$V10,IF(AND($R10&lt;&gt;"",EDATE($D10,Milestones!$AA$199)&gt;=$R10),$U10,$T10)))=Milestones!$AB$199),TEXT(EDATE($D10,Milestones!$AA$199),"dd/mm/yy")&amp;" "&amp;Milestones!$AB$199&amp;" "&amp;Milestones!$AC$199&amp;";  ",""))</f>
        <v/>
      </c>
      <c r="Q10" s="0" t="str">
        <f aca="false">IF(Staff!$A10="","",Staff!$AG10)</f>
        <v/>
      </c>
      <c r="R10" s="0" t="str">
        <f aca="false">IF(Staff!$A10="","",Staff!$AI10)</f>
        <v/>
      </c>
      <c r="S10" s="0" t="str">
        <f aca="false">IF(Staff!$A10="","",Staff!$AJ10)</f>
        <v/>
      </c>
      <c r="T10" s="0" t="str">
        <f aca="false">IF(Staff!$A10="","",Staff!$AN10)</f>
        <v/>
      </c>
      <c r="U10" s="0" t="str">
        <f aca="false">IF(Staff!$A10="","",Staff!$AO10)</f>
        <v/>
      </c>
      <c r="V10" s="0" t="str">
        <f aca="false">IF(Staff!$A10="","",Staff!$AP10)</f>
        <v/>
      </c>
      <c r="W10" s="0" t="str">
        <f aca="false">IF(Staff!$A10="","",Staff!$AQ10)</f>
        <v/>
      </c>
    </row>
    <row r="11" customFormat="false" ht="15" hidden="false" customHeight="false" outlineLevel="0" collapsed="false">
      <c r="A11" s="13" t="str">
        <f aca="false">IF(Staff!$A11="","",Staff!$A11)</f>
        <v/>
      </c>
      <c r="B11" s="13" t="str">
        <f aca="false">IF(Staff!$A11="","",Staff!$B11)</f>
        <v/>
      </c>
      <c r="C11" s="13" t="str">
        <f aca="false">IF(Staff!$A11="","",Staff!$C11)</f>
        <v/>
      </c>
      <c r="D11" s="11" t="str">
        <f aca="false">IF(Staff!$A11="","",Staff!$AF11)</f>
        <v/>
      </c>
      <c r="E11" s="13" t="str">
        <f aca="false">IF(Staff!$A11="","",Staff!$O11)</f>
        <v/>
      </c>
      <c r="F11" s="13" t="str">
        <f aca="false">IF(E11="","",E11*HoursPerDay)</f>
        <v/>
      </c>
      <c r="G11" s="26" t="str">
        <f aca="false">IF($A11="","",H11&amp;I11&amp;J11&amp;K11&amp;L11&amp;M11&amp;N11&amp;O11&amp;P11)</f>
        <v/>
      </c>
      <c r="H11" s="0" t="str">
        <f aca="false">IF(OR($A11="",$D11=""),"",IF(AND(EDATE($D11,Milestones!$AA$20)&lt;=AsOfDate,IF($Q11=0,$W11,IF(AND($S11&lt;&gt;"",EDATE($D11,Milestones!$AA$20)&gt;=$S11),$V11,IF(AND($R11&lt;&gt;"",EDATE($D11,Milestones!$AA$20)&gt;=$R11),$U11,$T11)))=Milestones!$AB$20),TEXT(EDATE($D11,Milestones!$AA$20),"dd/mm/yy")&amp;" "&amp;Milestones!$AB$20&amp;" "&amp;Milestones!$AC$20&amp;";  ","")&amp;IF(AND(EDATE($D11,Milestones!$AA$21)&lt;=AsOfDate,IF($Q11=0,$W11,IF(AND($S11&lt;&gt;"",EDATE($D11,Milestones!$AA$21)&gt;=$S11),$V11,IF(AND($R11&lt;&gt;"",EDATE($D11,Milestones!$AA$21)&gt;=$R11),$U11,$T11)))=Milestones!$AB$21),TEXT(EDATE($D11,Milestones!$AA$21),"dd/mm/yy")&amp;" "&amp;Milestones!$AB$21&amp;" "&amp;Milestones!$AC$21&amp;";  ","")&amp;IF(AND(EDATE($D11,Milestones!$AA$22)&lt;=AsOfDate,IF($Q11=0,$W11,IF(AND($S11&lt;&gt;"",EDATE($D11,Milestones!$AA$22)&gt;=$S11),$V11,IF(AND($R11&lt;&gt;"",EDATE($D11,Milestones!$AA$22)&gt;=$R11),$U11,$T11)))=Milestones!$AB$22),TEXT(EDATE($D11,Milestones!$AA$22),"dd/mm/yy")&amp;" "&amp;Milestones!$AB$22&amp;" "&amp;Milestones!$AC$22&amp;";  ","")&amp;IF(AND(EDATE($D11,Milestones!$AA$23)&lt;=AsOfDate,IF($Q11=0,$W11,IF(AND($S11&lt;&gt;"",EDATE($D11,Milestones!$AA$23)&gt;=$S11),$V11,IF(AND($R11&lt;&gt;"",EDATE($D11,Milestones!$AA$23)&gt;=$R11),$U11,$T11)))=Milestones!$AB$23),TEXT(EDATE($D11,Milestones!$AA$23),"dd/mm/yy")&amp;" "&amp;Milestones!$AB$23&amp;" "&amp;Milestones!$AC$23&amp;";  ","")&amp;IF(AND(EDATE($D11,Milestones!$AA$24)&lt;=AsOfDate,IF($Q11=0,$W11,IF(AND($S11&lt;&gt;"",EDATE($D11,Milestones!$AA$24)&gt;=$S11),$V11,IF(AND($R11&lt;&gt;"",EDATE($D11,Milestones!$AA$24)&gt;=$R11),$U11,$T11)))=Milestones!$AB$24),TEXT(EDATE($D11,Milestones!$AA$24),"dd/mm/yy")&amp;" "&amp;Milestones!$AB$24&amp;" "&amp;Milestones!$AC$24&amp;";  ","")&amp;IF(AND(EDATE($D11,Milestones!$AA$25)&lt;=AsOfDate,IF($Q11=0,$W11,IF(AND($S11&lt;&gt;"",EDATE($D11,Milestones!$AA$25)&gt;=$S11),$V11,IF(AND($R11&lt;&gt;"",EDATE($D11,Milestones!$AA$25)&gt;=$R11),$U11,$T11)))=Milestones!$AB$25),TEXT(EDATE($D11,Milestones!$AA$25),"dd/mm/yy")&amp;" "&amp;Milestones!$AB$25&amp;" "&amp;Milestones!$AC$25&amp;";  ","")&amp;IF(AND(EDATE($D11,Milestones!$AA$26)&lt;=AsOfDate,IF($Q11=0,$W11,IF(AND($S11&lt;&gt;"",EDATE($D11,Milestones!$AA$26)&gt;=$S11),$V11,IF(AND($R11&lt;&gt;"",EDATE($D11,Milestones!$AA$26)&gt;=$R11),$U11,$T11)))=Milestones!$AB$26),TEXT(EDATE($D11,Milestones!$AA$26),"dd/mm/yy")&amp;" "&amp;Milestones!$AB$26&amp;" "&amp;Milestones!$AC$26&amp;";  ","")&amp;IF(AND(EDATE($D11,Milestones!$AA$27)&lt;=AsOfDate,IF($Q11=0,$W11,IF(AND($S11&lt;&gt;"",EDATE($D11,Milestones!$AA$27)&gt;=$S11),$V11,IF(AND($R11&lt;&gt;"",EDATE($D11,Milestones!$AA$27)&gt;=$R11),$U11,$T11)))=Milestones!$AB$27),TEXT(EDATE($D11,Milestones!$AA$27),"dd/mm/yy")&amp;" "&amp;Milestones!$AB$27&amp;" "&amp;Milestones!$AC$27&amp;";  ","")&amp;IF(AND(EDATE($D11,Milestones!$AA$28)&lt;=AsOfDate,IF($Q11=0,$W11,IF(AND($S11&lt;&gt;"",EDATE($D11,Milestones!$AA$28)&gt;=$S11),$V11,IF(AND($R11&lt;&gt;"",EDATE($D11,Milestones!$AA$28)&gt;=$R11),$U11,$T11)))=Milestones!$AB$28),TEXT(EDATE($D11,Milestones!$AA$28),"dd/mm/yy")&amp;" "&amp;Milestones!$AB$28&amp;" "&amp;Milestones!$AC$28&amp;";  ","")&amp;IF(AND(EDATE($D11,Milestones!$AA$29)&lt;=AsOfDate,IF($Q11=0,$W11,IF(AND($S11&lt;&gt;"",EDATE($D11,Milestones!$AA$29)&gt;=$S11),$V11,IF(AND($R11&lt;&gt;"",EDATE($D11,Milestones!$AA$29)&gt;=$R11),$U11,$T11)))=Milestones!$AB$29),TEXT(EDATE($D11,Milestones!$AA$29),"dd/mm/yy")&amp;" "&amp;Milestones!$AB$29&amp;" "&amp;Milestones!$AC$29&amp;";  ","")&amp;IF(AND(EDATE($D11,Milestones!$AA$30)&lt;=AsOfDate,IF($Q11=0,$W11,IF(AND($S11&lt;&gt;"",EDATE($D11,Milestones!$AA$30)&gt;=$S11),$V11,IF(AND($R11&lt;&gt;"",EDATE($D11,Milestones!$AA$30)&gt;=$R11),$U11,$T11)))=Milestones!$AB$30),TEXT(EDATE($D11,Milestones!$AA$30),"dd/mm/yy")&amp;" "&amp;Milestones!$AB$30&amp;" "&amp;Milestones!$AC$30&amp;";  ","")&amp;IF(AND(EDATE($D11,Milestones!$AA$31)&lt;=AsOfDate,IF($Q11=0,$W11,IF(AND($S11&lt;&gt;"",EDATE($D11,Milestones!$AA$31)&gt;=$S11),$V11,IF(AND($R11&lt;&gt;"",EDATE($D11,Milestones!$AA$31)&gt;=$R11),$U11,$T11)))=Milestones!$AB$31),TEXT(EDATE($D11,Milestones!$AA$31),"dd/mm/yy")&amp;" "&amp;Milestones!$AB$31&amp;" "&amp;Milestones!$AC$31&amp;";  ","")&amp;IF(AND(EDATE($D11,Milestones!$AA$32)&lt;=AsOfDate,IF($Q11=0,$W11,IF(AND($S11&lt;&gt;"",EDATE($D11,Milestones!$AA$32)&gt;=$S11),$V11,IF(AND($R11&lt;&gt;"",EDATE($D11,Milestones!$AA$32)&gt;=$R11),$U11,$T11)))=Milestones!$AB$32),TEXT(EDATE($D11,Milestones!$AA$32),"dd/mm/yy")&amp;" "&amp;Milestones!$AB$32&amp;" "&amp;Milestones!$AC$32&amp;";  ","")&amp;IF(AND(EDATE($D11,Milestones!$AA$33)&lt;=AsOfDate,IF($Q11=0,$W11,IF(AND($S11&lt;&gt;"",EDATE($D11,Milestones!$AA$33)&gt;=$S11),$V11,IF(AND($R11&lt;&gt;"",EDATE($D11,Milestones!$AA$33)&gt;=$R11),$U11,$T11)))=Milestones!$AB$33),TEXT(EDATE($D11,Milestones!$AA$33),"dd/mm/yy")&amp;" "&amp;Milestones!$AB$33&amp;" "&amp;Milestones!$AC$33&amp;";  ","")&amp;IF(AND(EDATE($D11,Milestones!$AA$34)&lt;=AsOfDate,IF($Q11=0,$W11,IF(AND($S11&lt;&gt;"",EDATE($D11,Milestones!$AA$34)&gt;=$S11),$V11,IF(AND($R11&lt;&gt;"",EDATE($D11,Milestones!$AA$34)&gt;=$R11),$U11,$T11)))=Milestones!$AB$34),TEXT(EDATE($D11,Milestones!$AA$34),"dd/mm/yy")&amp;" "&amp;Milestones!$AB$34&amp;" "&amp;Milestones!$AC$34&amp;";  ","")&amp;IF(AND(EDATE($D11,Milestones!$AA$35)&lt;=AsOfDate,IF($Q11=0,$W11,IF(AND($S11&lt;&gt;"",EDATE($D11,Milestones!$AA$35)&gt;=$S11),$V11,IF(AND($R11&lt;&gt;"",EDATE($D11,Milestones!$AA$35)&gt;=$R11),$U11,$T11)))=Milestones!$AB$35),TEXT(EDATE($D11,Milestones!$AA$35),"dd/mm/yy")&amp;" "&amp;Milestones!$AB$35&amp;" "&amp;Milestones!$AC$35&amp;";  ","")&amp;IF(AND(EDATE($D11,Milestones!$AA$36)&lt;=AsOfDate,IF($Q11=0,$W11,IF(AND($S11&lt;&gt;"",EDATE($D11,Milestones!$AA$36)&gt;=$S11),$V11,IF(AND($R11&lt;&gt;"",EDATE($D11,Milestones!$AA$36)&gt;=$R11),$U11,$T11)))=Milestones!$AB$36),TEXT(EDATE($D11,Milestones!$AA$36),"dd/mm/yy")&amp;" "&amp;Milestones!$AB$36&amp;" "&amp;Milestones!$AC$36&amp;";  ","")&amp;IF(AND(EDATE($D11,Milestones!$AA$37)&lt;=AsOfDate,IF($Q11=0,$W11,IF(AND($S11&lt;&gt;"",EDATE($D11,Milestones!$AA$37)&gt;=$S11),$V11,IF(AND($R11&lt;&gt;"",EDATE($D11,Milestones!$AA$37)&gt;=$R11),$U11,$T11)))=Milestones!$AB$37),TEXT(EDATE($D11,Milestones!$AA$37),"dd/mm/yy")&amp;" "&amp;Milestones!$AB$37&amp;" "&amp;Milestones!$AC$37&amp;";  ","")&amp;IF(AND(EDATE($D11,Milestones!$AA$38)&lt;=AsOfDate,IF($Q11=0,$W11,IF(AND($S11&lt;&gt;"",EDATE($D11,Milestones!$AA$38)&gt;=$S11),$V11,IF(AND($R11&lt;&gt;"",EDATE($D11,Milestones!$AA$38)&gt;=$R11),$U11,$T11)))=Milestones!$AB$38),TEXT(EDATE($D11,Milestones!$AA$38),"dd/mm/yy")&amp;" "&amp;Milestones!$AB$38&amp;" "&amp;Milestones!$AC$38&amp;";  ","")&amp;IF(AND(EDATE($D11,Milestones!$AA$39)&lt;=AsOfDate,IF($Q11=0,$W11,IF(AND($S11&lt;&gt;"",EDATE($D11,Milestones!$AA$39)&gt;=$S11),$V11,IF(AND($R11&lt;&gt;"",EDATE($D11,Milestones!$AA$39)&gt;=$R11),$U11,$T11)))=Milestones!$AB$39),TEXT(EDATE($D11,Milestones!$AA$39),"dd/mm/yy")&amp;" "&amp;Milestones!$AB$39&amp;" "&amp;Milestones!$AC$39&amp;";  ",""))</f>
        <v/>
      </c>
      <c r="I11" s="0" t="str">
        <f aca="false">IF(OR($A11="",$D11=""),"",IF(AND(EDATE($D11,Milestones!$AA$40)&lt;=AsOfDate,IF($Q11=0,$W11,IF(AND($S11&lt;&gt;"",EDATE($D11,Milestones!$AA$40)&gt;=$S11),$V11,IF(AND($R11&lt;&gt;"",EDATE($D11,Milestones!$AA$40)&gt;=$R11),$U11,$T11)))=Milestones!$AB$40),TEXT(EDATE($D11,Milestones!$AA$40),"dd/mm/yy")&amp;" "&amp;Milestones!$AB$40&amp;" "&amp;Milestones!$AC$40&amp;";  ","")&amp;IF(AND(EDATE($D11,Milestones!$AA$41)&lt;=AsOfDate,IF($Q11=0,$W11,IF(AND($S11&lt;&gt;"",EDATE($D11,Milestones!$AA$41)&gt;=$S11),$V11,IF(AND($R11&lt;&gt;"",EDATE($D11,Milestones!$AA$41)&gt;=$R11),$U11,$T11)))=Milestones!$AB$41),TEXT(EDATE($D11,Milestones!$AA$41),"dd/mm/yy")&amp;" "&amp;Milestones!$AB$41&amp;" "&amp;Milestones!$AC$41&amp;";  ","")&amp;IF(AND(EDATE($D11,Milestones!$AA$42)&lt;=AsOfDate,IF($Q11=0,$W11,IF(AND($S11&lt;&gt;"",EDATE($D11,Milestones!$AA$42)&gt;=$S11),$V11,IF(AND($R11&lt;&gt;"",EDATE($D11,Milestones!$AA$42)&gt;=$R11),$U11,$T11)))=Milestones!$AB$42),TEXT(EDATE($D11,Milestones!$AA$42),"dd/mm/yy")&amp;" "&amp;Milestones!$AB$42&amp;" "&amp;Milestones!$AC$42&amp;";  ","")&amp;IF(AND(EDATE($D11,Milestones!$AA$43)&lt;=AsOfDate,IF($Q11=0,$W11,IF(AND($S11&lt;&gt;"",EDATE($D11,Milestones!$AA$43)&gt;=$S11),$V11,IF(AND($R11&lt;&gt;"",EDATE($D11,Milestones!$AA$43)&gt;=$R11),$U11,$T11)))=Milestones!$AB$43),TEXT(EDATE($D11,Milestones!$AA$43),"dd/mm/yy")&amp;" "&amp;Milestones!$AB$43&amp;" "&amp;Milestones!$AC$43&amp;";  ","")&amp;IF(AND(EDATE($D11,Milestones!$AA$44)&lt;=AsOfDate,IF($Q11=0,$W11,IF(AND($S11&lt;&gt;"",EDATE($D11,Milestones!$AA$44)&gt;=$S11),$V11,IF(AND($R11&lt;&gt;"",EDATE($D11,Milestones!$AA$44)&gt;=$R11),$U11,$T11)))=Milestones!$AB$44),TEXT(EDATE($D11,Milestones!$AA$44),"dd/mm/yy")&amp;" "&amp;Milestones!$AB$44&amp;" "&amp;Milestones!$AC$44&amp;";  ","")&amp;IF(AND(EDATE($D11,Milestones!$AA$45)&lt;=AsOfDate,IF($Q11=0,$W11,IF(AND($S11&lt;&gt;"",EDATE($D11,Milestones!$AA$45)&gt;=$S11),$V11,IF(AND($R11&lt;&gt;"",EDATE($D11,Milestones!$AA$45)&gt;=$R11),$U11,$T11)))=Milestones!$AB$45),TEXT(EDATE($D11,Milestones!$AA$45),"dd/mm/yy")&amp;" "&amp;Milestones!$AB$45&amp;" "&amp;Milestones!$AC$45&amp;";  ","")&amp;IF(AND(EDATE($D11,Milestones!$AA$46)&lt;=AsOfDate,IF($Q11=0,$W11,IF(AND($S11&lt;&gt;"",EDATE($D11,Milestones!$AA$46)&gt;=$S11),$V11,IF(AND($R11&lt;&gt;"",EDATE($D11,Milestones!$AA$46)&gt;=$R11),$U11,$T11)))=Milestones!$AB$46),TEXT(EDATE($D11,Milestones!$AA$46),"dd/mm/yy")&amp;" "&amp;Milestones!$AB$46&amp;" "&amp;Milestones!$AC$46&amp;";  ","")&amp;IF(AND(EDATE($D11,Milestones!$AA$47)&lt;=AsOfDate,IF($Q11=0,$W11,IF(AND($S11&lt;&gt;"",EDATE($D11,Milestones!$AA$47)&gt;=$S11),$V11,IF(AND($R11&lt;&gt;"",EDATE($D11,Milestones!$AA$47)&gt;=$R11),$U11,$T11)))=Milestones!$AB$47),TEXT(EDATE($D11,Milestones!$AA$47),"dd/mm/yy")&amp;" "&amp;Milestones!$AB$47&amp;" "&amp;Milestones!$AC$47&amp;";  ","")&amp;IF(AND(EDATE($D11,Milestones!$AA$48)&lt;=AsOfDate,IF($Q11=0,$W11,IF(AND($S11&lt;&gt;"",EDATE($D11,Milestones!$AA$48)&gt;=$S11),$V11,IF(AND($R11&lt;&gt;"",EDATE($D11,Milestones!$AA$48)&gt;=$R11),$U11,$T11)))=Milestones!$AB$48),TEXT(EDATE($D11,Milestones!$AA$48),"dd/mm/yy")&amp;" "&amp;Milestones!$AB$48&amp;" "&amp;Milestones!$AC$48&amp;";  ","")&amp;IF(AND(EDATE($D11,Milestones!$AA$49)&lt;=AsOfDate,IF($Q11=0,$W11,IF(AND($S11&lt;&gt;"",EDATE($D11,Milestones!$AA$49)&gt;=$S11),$V11,IF(AND($R11&lt;&gt;"",EDATE($D11,Milestones!$AA$49)&gt;=$R11),$U11,$T11)))=Milestones!$AB$49),TEXT(EDATE($D11,Milestones!$AA$49),"dd/mm/yy")&amp;" "&amp;Milestones!$AB$49&amp;" "&amp;Milestones!$AC$49&amp;";  ","")&amp;IF(AND(EDATE($D11,Milestones!$AA$50)&lt;=AsOfDate,IF($Q11=0,$W11,IF(AND($S11&lt;&gt;"",EDATE($D11,Milestones!$AA$50)&gt;=$S11),$V11,IF(AND($R11&lt;&gt;"",EDATE($D11,Milestones!$AA$50)&gt;=$R11),$U11,$T11)))=Milestones!$AB$50),TEXT(EDATE($D11,Milestones!$AA$50),"dd/mm/yy")&amp;" "&amp;Milestones!$AB$50&amp;" "&amp;Milestones!$AC$50&amp;";  ","")&amp;IF(AND(EDATE($D11,Milestones!$AA$51)&lt;=AsOfDate,IF($Q11=0,$W11,IF(AND($S11&lt;&gt;"",EDATE($D11,Milestones!$AA$51)&gt;=$S11),$V11,IF(AND($R11&lt;&gt;"",EDATE($D11,Milestones!$AA$51)&gt;=$R11),$U11,$T11)))=Milestones!$AB$51),TEXT(EDATE($D11,Milestones!$AA$51),"dd/mm/yy")&amp;" "&amp;Milestones!$AB$51&amp;" "&amp;Milestones!$AC$51&amp;";  ","")&amp;IF(AND(EDATE($D11,Milestones!$AA$52)&lt;=AsOfDate,IF($Q11=0,$W11,IF(AND($S11&lt;&gt;"",EDATE($D11,Milestones!$AA$52)&gt;=$S11),$V11,IF(AND($R11&lt;&gt;"",EDATE($D11,Milestones!$AA$52)&gt;=$R11),$U11,$T11)))=Milestones!$AB$52),TEXT(EDATE($D11,Milestones!$AA$52),"dd/mm/yy")&amp;" "&amp;Milestones!$AB$52&amp;" "&amp;Milestones!$AC$52&amp;";  ","")&amp;IF(AND(EDATE($D11,Milestones!$AA$53)&lt;=AsOfDate,IF($Q11=0,$W11,IF(AND($S11&lt;&gt;"",EDATE($D11,Milestones!$AA$53)&gt;=$S11),$V11,IF(AND($R11&lt;&gt;"",EDATE($D11,Milestones!$AA$53)&gt;=$R11),$U11,$T11)))=Milestones!$AB$53),TEXT(EDATE($D11,Milestones!$AA$53),"dd/mm/yy")&amp;" "&amp;Milestones!$AB$53&amp;" "&amp;Milestones!$AC$53&amp;";  ","")&amp;IF(AND(EDATE($D11,Milestones!$AA$54)&lt;=AsOfDate,IF($Q11=0,$W11,IF(AND($S11&lt;&gt;"",EDATE($D11,Milestones!$AA$54)&gt;=$S11),$V11,IF(AND($R11&lt;&gt;"",EDATE($D11,Milestones!$AA$54)&gt;=$R11),$U11,$T11)))=Milestones!$AB$54),TEXT(EDATE($D11,Milestones!$AA$54),"dd/mm/yy")&amp;" "&amp;Milestones!$AB$54&amp;" "&amp;Milestones!$AC$54&amp;";  ","")&amp;IF(AND(EDATE($D11,Milestones!$AA$55)&lt;=AsOfDate,IF($Q11=0,$W11,IF(AND($S11&lt;&gt;"",EDATE($D11,Milestones!$AA$55)&gt;=$S11),$V11,IF(AND($R11&lt;&gt;"",EDATE($D11,Milestones!$AA$55)&gt;=$R11),$U11,$T11)))=Milestones!$AB$55),TEXT(EDATE($D11,Milestones!$AA$55),"dd/mm/yy")&amp;" "&amp;Milestones!$AB$55&amp;" "&amp;Milestones!$AC$55&amp;";  ","")&amp;IF(AND(EDATE($D11,Milestones!$AA$56)&lt;=AsOfDate,IF($Q11=0,$W11,IF(AND($S11&lt;&gt;"",EDATE($D11,Milestones!$AA$56)&gt;=$S11),$V11,IF(AND($R11&lt;&gt;"",EDATE($D11,Milestones!$AA$56)&gt;=$R11),$U11,$T11)))=Milestones!$AB$56),TEXT(EDATE($D11,Milestones!$AA$56),"dd/mm/yy")&amp;" "&amp;Milestones!$AB$56&amp;" "&amp;Milestones!$AC$56&amp;";  ","")&amp;IF(AND(EDATE($D11,Milestones!$AA$57)&lt;=AsOfDate,IF($Q11=0,$W11,IF(AND($S11&lt;&gt;"",EDATE($D11,Milestones!$AA$57)&gt;=$S11),$V11,IF(AND($R11&lt;&gt;"",EDATE($D11,Milestones!$AA$57)&gt;=$R11),$U11,$T11)))=Milestones!$AB$57),TEXT(EDATE($D11,Milestones!$AA$57),"dd/mm/yy")&amp;" "&amp;Milestones!$AB$57&amp;" "&amp;Milestones!$AC$57&amp;";  ","")&amp;IF(AND(EDATE($D11,Milestones!$AA$58)&lt;=AsOfDate,IF($Q11=0,$W11,IF(AND($S11&lt;&gt;"",EDATE($D11,Milestones!$AA$58)&gt;=$S11),$V11,IF(AND($R11&lt;&gt;"",EDATE($D11,Milestones!$AA$58)&gt;=$R11),$U11,$T11)))=Milestones!$AB$58),TEXT(EDATE($D11,Milestones!$AA$58),"dd/mm/yy")&amp;" "&amp;Milestones!$AB$58&amp;" "&amp;Milestones!$AC$58&amp;";  ","")&amp;IF(AND(EDATE($D11,Milestones!$AA$59)&lt;=AsOfDate,IF($Q11=0,$W11,IF(AND($S11&lt;&gt;"",EDATE($D11,Milestones!$AA$59)&gt;=$S11),$V11,IF(AND($R11&lt;&gt;"",EDATE($D11,Milestones!$AA$59)&gt;=$R11),$U11,$T11)))=Milestones!$AB$59),TEXT(EDATE($D11,Milestones!$AA$59),"dd/mm/yy")&amp;" "&amp;Milestones!$AB$59&amp;" "&amp;Milestones!$AC$59&amp;";  ",""))</f>
        <v/>
      </c>
      <c r="J11" s="0" t="str">
        <f aca="false">IF(OR($A11="",$D11=""),"",IF(AND(EDATE($D11,Milestones!$AA$60)&lt;=AsOfDate,IF($Q11=0,$W11,IF(AND($S11&lt;&gt;"",EDATE($D11,Milestones!$AA$60)&gt;=$S11),$V11,IF(AND($R11&lt;&gt;"",EDATE($D11,Milestones!$AA$60)&gt;=$R11),$U11,$T11)))=Milestones!$AB$60),TEXT(EDATE($D11,Milestones!$AA$60),"dd/mm/yy")&amp;" "&amp;Milestones!$AB$60&amp;" "&amp;Milestones!$AC$60&amp;";  ","")&amp;IF(AND(EDATE($D11,Milestones!$AA$61)&lt;=AsOfDate,IF($Q11=0,$W11,IF(AND($S11&lt;&gt;"",EDATE($D11,Milestones!$AA$61)&gt;=$S11),$V11,IF(AND($R11&lt;&gt;"",EDATE($D11,Milestones!$AA$61)&gt;=$R11),$U11,$T11)))=Milestones!$AB$61),TEXT(EDATE($D11,Milestones!$AA$61),"dd/mm/yy")&amp;" "&amp;Milestones!$AB$61&amp;" "&amp;Milestones!$AC$61&amp;";  ","")&amp;IF(AND(EDATE($D11,Milestones!$AA$62)&lt;=AsOfDate,IF($Q11=0,$W11,IF(AND($S11&lt;&gt;"",EDATE($D11,Milestones!$AA$62)&gt;=$S11),$V11,IF(AND($R11&lt;&gt;"",EDATE($D11,Milestones!$AA$62)&gt;=$R11),$U11,$T11)))=Milestones!$AB$62),TEXT(EDATE($D11,Milestones!$AA$62),"dd/mm/yy")&amp;" "&amp;Milestones!$AB$62&amp;" "&amp;Milestones!$AC$62&amp;";  ","")&amp;IF(AND(EDATE($D11,Milestones!$AA$63)&lt;=AsOfDate,IF($Q11=0,$W11,IF(AND($S11&lt;&gt;"",EDATE($D11,Milestones!$AA$63)&gt;=$S11),$V11,IF(AND($R11&lt;&gt;"",EDATE($D11,Milestones!$AA$63)&gt;=$R11),$U11,$T11)))=Milestones!$AB$63),TEXT(EDATE($D11,Milestones!$AA$63),"dd/mm/yy")&amp;" "&amp;Milestones!$AB$63&amp;" "&amp;Milestones!$AC$63&amp;";  ","")&amp;IF(AND(EDATE($D11,Milestones!$AA$64)&lt;=AsOfDate,IF($Q11=0,$W11,IF(AND($S11&lt;&gt;"",EDATE($D11,Milestones!$AA$64)&gt;=$S11),$V11,IF(AND($R11&lt;&gt;"",EDATE($D11,Milestones!$AA$64)&gt;=$R11),$U11,$T11)))=Milestones!$AB$64),TEXT(EDATE($D11,Milestones!$AA$64),"dd/mm/yy")&amp;" "&amp;Milestones!$AB$64&amp;" "&amp;Milestones!$AC$64&amp;";  ","")&amp;IF(AND(EDATE($D11,Milestones!$AA$65)&lt;=AsOfDate,IF($Q11=0,$W11,IF(AND($S11&lt;&gt;"",EDATE($D11,Milestones!$AA$65)&gt;=$S11),$V11,IF(AND($R11&lt;&gt;"",EDATE($D11,Milestones!$AA$65)&gt;=$R11),$U11,$T11)))=Milestones!$AB$65),TEXT(EDATE($D11,Milestones!$AA$65),"dd/mm/yy")&amp;" "&amp;Milestones!$AB$65&amp;" "&amp;Milestones!$AC$65&amp;";  ","")&amp;IF(AND(EDATE($D11,Milestones!$AA$66)&lt;=AsOfDate,IF($Q11=0,$W11,IF(AND($S11&lt;&gt;"",EDATE($D11,Milestones!$AA$66)&gt;=$S11),$V11,IF(AND($R11&lt;&gt;"",EDATE($D11,Milestones!$AA$66)&gt;=$R11),$U11,$T11)))=Milestones!$AB$66),TEXT(EDATE($D11,Milestones!$AA$66),"dd/mm/yy")&amp;" "&amp;Milestones!$AB$66&amp;" "&amp;Milestones!$AC$66&amp;";  ","")&amp;IF(AND(EDATE($D11,Milestones!$AA$67)&lt;=AsOfDate,IF($Q11=0,$W11,IF(AND($S11&lt;&gt;"",EDATE($D11,Milestones!$AA$67)&gt;=$S11),$V11,IF(AND($R11&lt;&gt;"",EDATE($D11,Milestones!$AA$67)&gt;=$R11),$U11,$T11)))=Milestones!$AB$67),TEXT(EDATE($D11,Milestones!$AA$67),"dd/mm/yy")&amp;" "&amp;Milestones!$AB$67&amp;" "&amp;Milestones!$AC$67&amp;";  ","")&amp;IF(AND(EDATE($D11,Milestones!$AA$68)&lt;=AsOfDate,IF($Q11=0,$W11,IF(AND($S11&lt;&gt;"",EDATE($D11,Milestones!$AA$68)&gt;=$S11),$V11,IF(AND($R11&lt;&gt;"",EDATE($D11,Milestones!$AA$68)&gt;=$R11),$U11,$T11)))=Milestones!$AB$68),TEXT(EDATE($D11,Milestones!$AA$68),"dd/mm/yy")&amp;" "&amp;Milestones!$AB$68&amp;" "&amp;Milestones!$AC$68&amp;";  ","")&amp;IF(AND(EDATE($D11,Milestones!$AA$69)&lt;=AsOfDate,IF($Q11=0,$W11,IF(AND($S11&lt;&gt;"",EDATE($D11,Milestones!$AA$69)&gt;=$S11),$V11,IF(AND($R11&lt;&gt;"",EDATE($D11,Milestones!$AA$69)&gt;=$R11),$U11,$T11)))=Milestones!$AB$69),TEXT(EDATE($D11,Milestones!$AA$69),"dd/mm/yy")&amp;" "&amp;Milestones!$AB$69&amp;" "&amp;Milestones!$AC$69&amp;";  ","")&amp;IF(AND(EDATE($D11,Milestones!$AA$70)&lt;=AsOfDate,IF($Q11=0,$W11,IF(AND($S11&lt;&gt;"",EDATE($D11,Milestones!$AA$70)&gt;=$S11),$V11,IF(AND($R11&lt;&gt;"",EDATE($D11,Milestones!$AA$70)&gt;=$R11),$U11,$T11)))=Milestones!$AB$70),TEXT(EDATE($D11,Milestones!$AA$70),"dd/mm/yy")&amp;" "&amp;Milestones!$AB$70&amp;" "&amp;Milestones!$AC$70&amp;";  ","")&amp;IF(AND(EDATE($D11,Milestones!$AA$71)&lt;=AsOfDate,IF($Q11=0,$W11,IF(AND($S11&lt;&gt;"",EDATE($D11,Milestones!$AA$71)&gt;=$S11),$V11,IF(AND($R11&lt;&gt;"",EDATE($D11,Milestones!$AA$71)&gt;=$R11),$U11,$T11)))=Milestones!$AB$71),TEXT(EDATE($D11,Milestones!$AA$71),"dd/mm/yy")&amp;" "&amp;Milestones!$AB$71&amp;" "&amp;Milestones!$AC$71&amp;";  ","")&amp;IF(AND(EDATE($D11,Milestones!$AA$72)&lt;=AsOfDate,IF($Q11=0,$W11,IF(AND($S11&lt;&gt;"",EDATE($D11,Milestones!$AA$72)&gt;=$S11),$V11,IF(AND($R11&lt;&gt;"",EDATE($D11,Milestones!$AA$72)&gt;=$R11),$U11,$T11)))=Milestones!$AB$72),TEXT(EDATE($D11,Milestones!$AA$72),"dd/mm/yy")&amp;" "&amp;Milestones!$AB$72&amp;" "&amp;Milestones!$AC$72&amp;";  ","")&amp;IF(AND(EDATE($D11,Milestones!$AA$73)&lt;=AsOfDate,IF($Q11=0,$W11,IF(AND($S11&lt;&gt;"",EDATE($D11,Milestones!$AA$73)&gt;=$S11),$V11,IF(AND($R11&lt;&gt;"",EDATE($D11,Milestones!$AA$73)&gt;=$R11),$U11,$T11)))=Milestones!$AB$73),TEXT(EDATE($D11,Milestones!$AA$73),"dd/mm/yy")&amp;" "&amp;Milestones!$AB$73&amp;" "&amp;Milestones!$AC$73&amp;";  ","")&amp;IF(AND(EDATE($D11,Milestones!$AA$74)&lt;=AsOfDate,IF($Q11=0,$W11,IF(AND($S11&lt;&gt;"",EDATE($D11,Milestones!$AA$74)&gt;=$S11),$V11,IF(AND($R11&lt;&gt;"",EDATE($D11,Milestones!$AA$74)&gt;=$R11),$U11,$T11)))=Milestones!$AB$74),TEXT(EDATE($D11,Milestones!$AA$74),"dd/mm/yy")&amp;" "&amp;Milestones!$AB$74&amp;" "&amp;Milestones!$AC$74&amp;";  ","")&amp;IF(AND(EDATE($D11,Milestones!$AA$75)&lt;=AsOfDate,IF($Q11=0,$W11,IF(AND($S11&lt;&gt;"",EDATE($D11,Milestones!$AA$75)&gt;=$S11),$V11,IF(AND($R11&lt;&gt;"",EDATE($D11,Milestones!$AA$75)&gt;=$R11),$U11,$T11)))=Milestones!$AB$75),TEXT(EDATE($D11,Milestones!$AA$75),"dd/mm/yy")&amp;" "&amp;Milestones!$AB$75&amp;" "&amp;Milestones!$AC$75&amp;";  ","")&amp;IF(AND(EDATE($D11,Milestones!$AA$76)&lt;=AsOfDate,IF($Q11=0,$W11,IF(AND($S11&lt;&gt;"",EDATE($D11,Milestones!$AA$76)&gt;=$S11),$V11,IF(AND($R11&lt;&gt;"",EDATE($D11,Milestones!$AA$76)&gt;=$R11),$U11,$T11)))=Milestones!$AB$76),TEXT(EDATE($D11,Milestones!$AA$76),"dd/mm/yy")&amp;" "&amp;Milestones!$AB$76&amp;" "&amp;Milestones!$AC$76&amp;";  ","")&amp;IF(AND(EDATE($D11,Milestones!$AA$77)&lt;=AsOfDate,IF($Q11=0,$W11,IF(AND($S11&lt;&gt;"",EDATE($D11,Milestones!$AA$77)&gt;=$S11),$V11,IF(AND($R11&lt;&gt;"",EDATE($D11,Milestones!$AA$77)&gt;=$R11),$U11,$T11)))=Milestones!$AB$77),TEXT(EDATE($D11,Milestones!$AA$77),"dd/mm/yy")&amp;" "&amp;Milestones!$AB$77&amp;" "&amp;Milestones!$AC$77&amp;";  ","")&amp;IF(AND(EDATE($D11,Milestones!$AA$78)&lt;=AsOfDate,IF($Q11=0,$W11,IF(AND($S11&lt;&gt;"",EDATE($D11,Milestones!$AA$78)&gt;=$S11),$V11,IF(AND($R11&lt;&gt;"",EDATE($D11,Milestones!$AA$78)&gt;=$R11),$U11,$T11)))=Milestones!$AB$78),TEXT(EDATE($D11,Milestones!$AA$78),"dd/mm/yy")&amp;" "&amp;Milestones!$AB$78&amp;" "&amp;Milestones!$AC$78&amp;";  ","")&amp;IF(AND(EDATE($D11,Milestones!$AA$79)&lt;=AsOfDate,IF($Q11=0,$W11,IF(AND($S11&lt;&gt;"",EDATE($D11,Milestones!$AA$79)&gt;=$S11),$V11,IF(AND($R11&lt;&gt;"",EDATE($D11,Milestones!$AA$79)&gt;=$R11),$U11,$T11)))=Milestones!$AB$79),TEXT(EDATE($D11,Milestones!$AA$79),"dd/mm/yy")&amp;" "&amp;Milestones!$AB$79&amp;" "&amp;Milestones!$AC$79&amp;";  ",""))</f>
        <v/>
      </c>
      <c r="K11" s="0" t="str">
        <f aca="false">IF(OR($A11="",$D11=""),"",IF(AND(EDATE($D11,Milestones!$AA$80)&lt;=AsOfDate,IF($Q11=0,$W11,IF(AND($S11&lt;&gt;"",EDATE($D11,Milestones!$AA$80)&gt;=$S11),$V11,IF(AND($R11&lt;&gt;"",EDATE($D11,Milestones!$AA$80)&gt;=$R11),$U11,$T11)))=Milestones!$AB$80),TEXT(EDATE($D11,Milestones!$AA$80),"dd/mm/yy")&amp;" "&amp;Milestones!$AB$80&amp;" "&amp;Milestones!$AC$80&amp;";  ","")&amp;IF(AND(EDATE($D11,Milestones!$AA$81)&lt;=AsOfDate,IF($Q11=0,$W11,IF(AND($S11&lt;&gt;"",EDATE($D11,Milestones!$AA$81)&gt;=$S11),$V11,IF(AND($R11&lt;&gt;"",EDATE($D11,Milestones!$AA$81)&gt;=$R11),$U11,$T11)))=Milestones!$AB$81),TEXT(EDATE($D11,Milestones!$AA$81),"dd/mm/yy")&amp;" "&amp;Milestones!$AB$81&amp;" "&amp;Milestones!$AC$81&amp;";  ","")&amp;IF(AND(EDATE($D11,Milestones!$AA$82)&lt;=AsOfDate,IF($Q11=0,$W11,IF(AND($S11&lt;&gt;"",EDATE($D11,Milestones!$AA$82)&gt;=$S11),$V11,IF(AND($R11&lt;&gt;"",EDATE($D11,Milestones!$AA$82)&gt;=$R11),$U11,$T11)))=Milestones!$AB$82),TEXT(EDATE($D11,Milestones!$AA$82),"dd/mm/yy")&amp;" "&amp;Milestones!$AB$82&amp;" "&amp;Milestones!$AC$82&amp;";  ","")&amp;IF(AND(EDATE($D11,Milestones!$AA$83)&lt;=AsOfDate,IF($Q11=0,$W11,IF(AND($S11&lt;&gt;"",EDATE($D11,Milestones!$AA$83)&gt;=$S11),$V11,IF(AND($R11&lt;&gt;"",EDATE($D11,Milestones!$AA$83)&gt;=$R11),$U11,$T11)))=Milestones!$AB$83),TEXT(EDATE($D11,Milestones!$AA$83),"dd/mm/yy")&amp;" "&amp;Milestones!$AB$83&amp;" "&amp;Milestones!$AC$83&amp;";  ","")&amp;IF(AND(EDATE($D11,Milestones!$AA$84)&lt;=AsOfDate,IF($Q11=0,$W11,IF(AND($S11&lt;&gt;"",EDATE($D11,Milestones!$AA$84)&gt;=$S11),$V11,IF(AND($R11&lt;&gt;"",EDATE($D11,Milestones!$AA$84)&gt;=$R11),$U11,$T11)))=Milestones!$AB$84),TEXT(EDATE($D11,Milestones!$AA$84),"dd/mm/yy")&amp;" "&amp;Milestones!$AB$84&amp;" "&amp;Milestones!$AC$84&amp;";  ","")&amp;IF(AND(EDATE($D11,Milestones!$AA$85)&lt;=AsOfDate,IF($Q11=0,$W11,IF(AND($S11&lt;&gt;"",EDATE($D11,Milestones!$AA$85)&gt;=$S11),$V11,IF(AND($R11&lt;&gt;"",EDATE($D11,Milestones!$AA$85)&gt;=$R11),$U11,$T11)))=Milestones!$AB$85),TEXT(EDATE($D11,Milestones!$AA$85),"dd/mm/yy")&amp;" "&amp;Milestones!$AB$85&amp;" "&amp;Milestones!$AC$85&amp;";  ","")&amp;IF(AND(EDATE($D11,Milestones!$AA$86)&lt;=AsOfDate,IF($Q11=0,$W11,IF(AND($S11&lt;&gt;"",EDATE($D11,Milestones!$AA$86)&gt;=$S11),$V11,IF(AND($R11&lt;&gt;"",EDATE($D11,Milestones!$AA$86)&gt;=$R11),$U11,$T11)))=Milestones!$AB$86),TEXT(EDATE($D11,Milestones!$AA$86),"dd/mm/yy")&amp;" "&amp;Milestones!$AB$86&amp;" "&amp;Milestones!$AC$86&amp;";  ","")&amp;IF(AND(EDATE($D11,Milestones!$AA$87)&lt;=AsOfDate,IF($Q11=0,$W11,IF(AND($S11&lt;&gt;"",EDATE($D11,Milestones!$AA$87)&gt;=$S11),$V11,IF(AND($R11&lt;&gt;"",EDATE($D11,Milestones!$AA$87)&gt;=$R11),$U11,$T11)))=Milestones!$AB$87),TEXT(EDATE($D11,Milestones!$AA$87),"dd/mm/yy")&amp;" "&amp;Milestones!$AB$87&amp;" "&amp;Milestones!$AC$87&amp;";  ","")&amp;IF(AND(EDATE($D11,Milestones!$AA$88)&lt;=AsOfDate,IF($Q11=0,$W11,IF(AND($S11&lt;&gt;"",EDATE($D11,Milestones!$AA$88)&gt;=$S11),$V11,IF(AND($R11&lt;&gt;"",EDATE($D11,Milestones!$AA$88)&gt;=$R11),$U11,$T11)))=Milestones!$AB$88),TEXT(EDATE($D11,Milestones!$AA$88),"dd/mm/yy")&amp;" "&amp;Milestones!$AB$88&amp;" "&amp;Milestones!$AC$88&amp;";  ","")&amp;IF(AND(EDATE($D11,Milestones!$AA$89)&lt;=AsOfDate,IF($Q11=0,$W11,IF(AND($S11&lt;&gt;"",EDATE($D11,Milestones!$AA$89)&gt;=$S11),$V11,IF(AND($R11&lt;&gt;"",EDATE($D11,Milestones!$AA$89)&gt;=$R11),$U11,$T11)))=Milestones!$AB$89),TEXT(EDATE($D11,Milestones!$AA$89),"dd/mm/yy")&amp;" "&amp;Milestones!$AB$89&amp;" "&amp;Milestones!$AC$89&amp;";  ","")&amp;IF(AND(EDATE($D11,Milestones!$AA$90)&lt;=AsOfDate,IF($Q11=0,$W11,IF(AND($S11&lt;&gt;"",EDATE($D11,Milestones!$AA$90)&gt;=$S11),$V11,IF(AND($R11&lt;&gt;"",EDATE($D11,Milestones!$AA$90)&gt;=$R11),$U11,$T11)))=Milestones!$AB$90),TEXT(EDATE($D11,Milestones!$AA$90),"dd/mm/yy")&amp;" "&amp;Milestones!$AB$90&amp;" "&amp;Milestones!$AC$90&amp;";  ","")&amp;IF(AND(EDATE($D11,Milestones!$AA$91)&lt;=AsOfDate,IF($Q11=0,$W11,IF(AND($S11&lt;&gt;"",EDATE($D11,Milestones!$AA$91)&gt;=$S11),$V11,IF(AND($R11&lt;&gt;"",EDATE($D11,Milestones!$AA$91)&gt;=$R11),$U11,$T11)))=Milestones!$AB$91),TEXT(EDATE($D11,Milestones!$AA$91),"dd/mm/yy")&amp;" "&amp;Milestones!$AB$91&amp;" "&amp;Milestones!$AC$91&amp;";  ","")&amp;IF(AND(EDATE($D11,Milestones!$AA$92)&lt;=AsOfDate,IF($Q11=0,$W11,IF(AND($S11&lt;&gt;"",EDATE($D11,Milestones!$AA$92)&gt;=$S11),$V11,IF(AND($R11&lt;&gt;"",EDATE($D11,Milestones!$AA$92)&gt;=$R11),$U11,$T11)))=Milestones!$AB$92),TEXT(EDATE($D11,Milestones!$AA$92),"dd/mm/yy")&amp;" "&amp;Milestones!$AB$92&amp;" "&amp;Milestones!$AC$92&amp;";  ","")&amp;IF(AND(EDATE($D11,Milestones!$AA$93)&lt;=AsOfDate,IF($Q11=0,$W11,IF(AND($S11&lt;&gt;"",EDATE($D11,Milestones!$AA$93)&gt;=$S11),$V11,IF(AND($R11&lt;&gt;"",EDATE($D11,Milestones!$AA$93)&gt;=$R11),$U11,$T11)))=Milestones!$AB$93),TEXT(EDATE($D11,Milestones!$AA$93),"dd/mm/yy")&amp;" "&amp;Milestones!$AB$93&amp;" "&amp;Milestones!$AC$93&amp;";  ","")&amp;IF(AND(EDATE($D11,Milestones!$AA$94)&lt;=AsOfDate,IF($Q11=0,$W11,IF(AND($S11&lt;&gt;"",EDATE($D11,Milestones!$AA$94)&gt;=$S11),$V11,IF(AND($R11&lt;&gt;"",EDATE($D11,Milestones!$AA$94)&gt;=$R11),$U11,$T11)))=Milestones!$AB$94),TEXT(EDATE($D11,Milestones!$AA$94),"dd/mm/yy")&amp;" "&amp;Milestones!$AB$94&amp;" "&amp;Milestones!$AC$94&amp;";  ","")&amp;IF(AND(EDATE($D11,Milestones!$AA$95)&lt;=AsOfDate,IF($Q11=0,$W11,IF(AND($S11&lt;&gt;"",EDATE($D11,Milestones!$AA$95)&gt;=$S11),$V11,IF(AND($R11&lt;&gt;"",EDATE($D11,Milestones!$AA$95)&gt;=$R11),$U11,$T11)))=Milestones!$AB$95),TEXT(EDATE($D11,Milestones!$AA$95),"dd/mm/yy")&amp;" "&amp;Milestones!$AB$95&amp;" "&amp;Milestones!$AC$95&amp;";  ","")&amp;IF(AND(EDATE($D11,Milestones!$AA$96)&lt;=AsOfDate,IF($Q11=0,$W11,IF(AND($S11&lt;&gt;"",EDATE($D11,Milestones!$AA$96)&gt;=$S11),$V11,IF(AND($R11&lt;&gt;"",EDATE($D11,Milestones!$AA$96)&gt;=$R11),$U11,$T11)))=Milestones!$AB$96),TEXT(EDATE($D11,Milestones!$AA$96),"dd/mm/yy")&amp;" "&amp;Milestones!$AB$96&amp;" "&amp;Milestones!$AC$96&amp;";  ","")&amp;IF(AND(EDATE($D11,Milestones!$AA$97)&lt;=AsOfDate,IF($Q11=0,$W11,IF(AND($S11&lt;&gt;"",EDATE($D11,Milestones!$AA$97)&gt;=$S11),$V11,IF(AND($R11&lt;&gt;"",EDATE($D11,Milestones!$AA$97)&gt;=$R11),$U11,$T11)))=Milestones!$AB$97),TEXT(EDATE($D11,Milestones!$AA$97),"dd/mm/yy")&amp;" "&amp;Milestones!$AB$97&amp;" "&amp;Milestones!$AC$97&amp;";  ","")&amp;IF(AND(EDATE($D11,Milestones!$AA$98)&lt;=AsOfDate,IF($Q11=0,$W11,IF(AND($S11&lt;&gt;"",EDATE($D11,Milestones!$AA$98)&gt;=$S11),$V11,IF(AND($R11&lt;&gt;"",EDATE($D11,Milestones!$AA$98)&gt;=$R11),$U11,$T11)))=Milestones!$AB$98),TEXT(EDATE($D11,Milestones!$AA$98),"dd/mm/yy")&amp;" "&amp;Milestones!$AB$98&amp;" "&amp;Milestones!$AC$98&amp;";  ","")&amp;IF(AND(EDATE($D11,Milestones!$AA$99)&lt;=AsOfDate,IF($Q11=0,$W11,IF(AND($S11&lt;&gt;"",EDATE($D11,Milestones!$AA$99)&gt;=$S11),$V11,IF(AND($R11&lt;&gt;"",EDATE($D11,Milestones!$AA$99)&gt;=$R11),$U11,$T11)))=Milestones!$AB$99),TEXT(EDATE($D11,Milestones!$AA$99),"dd/mm/yy")&amp;" "&amp;Milestones!$AB$99&amp;" "&amp;Milestones!$AC$99&amp;";  ",""))</f>
        <v/>
      </c>
      <c r="L11" s="0" t="str">
        <f aca="false">IF(OR($A11="",$D11=""),"",IF(AND(EDATE($D11,Milestones!$AA$100)&lt;=AsOfDate,IF($Q11=0,$W11,IF(AND($S11&lt;&gt;"",EDATE($D11,Milestones!$AA$100)&gt;=$S11),$V11,IF(AND($R11&lt;&gt;"",EDATE($D11,Milestones!$AA$100)&gt;=$R11),$U11,$T11)))=Milestones!$AB$100),TEXT(EDATE($D11,Milestones!$AA$100),"dd/mm/yy")&amp;" "&amp;Milestones!$AB$100&amp;" "&amp;Milestones!$AC$100&amp;";  ","")&amp;IF(AND(EDATE($D11,Milestones!$AA$101)&lt;=AsOfDate,IF($Q11=0,$W11,IF(AND($S11&lt;&gt;"",EDATE($D11,Milestones!$AA$101)&gt;=$S11),$V11,IF(AND($R11&lt;&gt;"",EDATE($D11,Milestones!$AA$101)&gt;=$R11),$U11,$T11)))=Milestones!$AB$101),TEXT(EDATE($D11,Milestones!$AA$101),"dd/mm/yy")&amp;" "&amp;Milestones!$AB$101&amp;" "&amp;Milestones!$AC$101&amp;";  ","")&amp;IF(AND(EDATE($D11,Milestones!$AA$102)&lt;=AsOfDate,IF($Q11=0,$W11,IF(AND($S11&lt;&gt;"",EDATE($D11,Milestones!$AA$102)&gt;=$S11),$V11,IF(AND($R11&lt;&gt;"",EDATE($D11,Milestones!$AA$102)&gt;=$R11),$U11,$T11)))=Milestones!$AB$102),TEXT(EDATE($D11,Milestones!$AA$102),"dd/mm/yy")&amp;" "&amp;Milestones!$AB$102&amp;" "&amp;Milestones!$AC$102&amp;";  ","")&amp;IF(AND(EDATE($D11,Milestones!$AA$103)&lt;=AsOfDate,IF($Q11=0,$W11,IF(AND($S11&lt;&gt;"",EDATE($D11,Milestones!$AA$103)&gt;=$S11),$V11,IF(AND($R11&lt;&gt;"",EDATE($D11,Milestones!$AA$103)&gt;=$R11),$U11,$T11)))=Milestones!$AB$103),TEXT(EDATE($D11,Milestones!$AA$103),"dd/mm/yy")&amp;" "&amp;Milestones!$AB$103&amp;" "&amp;Milestones!$AC$103&amp;";  ","")&amp;IF(AND(EDATE($D11,Milestones!$AA$104)&lt;=AsOfDate,IF($Q11=0,$W11,IF(AND($S11&lt;&gt;"",EDATE($D11,Milestones!$AA$104)&gt;=$S11),$V11,IF(AND($R11&lt;&gt;"",EDATE($D11,Milestones!$AA$104)&gt;=$R11),$U11,$T11)))=Milestones!$AB$104),TEXT(EDATE($D11,Milestones!$AA$104),"dd/mm/yy")&amp;" "&amp;Milestones!$AB$104&amp;" "&amp;Milestones!$AC$104&amp;";  ","")&amp;IF(AND(EDATE($D11,Milestones!$AA$105)&lt;=AsOfDate,IF($Q11=0,$W11,IF(AND($S11&lt;&gt;"",EDATE($D11,Milestones!$AA$105)&gt;=$S11),$V11,IF(AND($R11&lt;&gt;"",EDATE($D11,Milestones!$AA$105)&gt;=$R11),$U11,$T11)))=Milestones!$AB$105),TEXT(EDATE($D11,Milestones!$AA$105),"dd/mm/yy")&amp;" "&amp;Milestones!$AB$105&amp;" "&amp;Milestones!$AC$105&amp;";  ","")&amp;IF(AND(EDATE($D11,Milestones!$AA$106)&lt;=AsOfDate,IF($Q11=0,$W11,IF(AND($S11&lt;&gt;"",EDATE($D11,Milestones!$AA$106)&gt;=$S11),$V11,IF(AND($R11&lt;&gt;"",EDATE($D11,Milestones!$AA$106)&gt;=$R11),$U11,$T11)))=Milestones!$AB$106),TEXT(EDATE($D11,Milestones!$AA$106),"dd/mm/yy")&amp;" "&amp;Milestones!$AB$106&amp;" "&amp;Milestones!$AC$106&amp;";  ","")&amp;IF(AND(EDATE($D11,Milestones!$AA$107)&lt;=AsOfDate,IF($Q11=0,$W11,IF(AND($S11&lt;&gt;"",EDATE($D11,Milestones!$AA$107)&gt;=$S11),$V11,IF(AND($R11&lt;&gt;"",EDATE($D11,Milestones!$AA$107)&gt;=$R11),$U11,$T11)))=Milestones!$AB$107),TEXT(EDATE($D11,Milestones!$AA$107),"dd/mm/yy")&amp;" "&amp;Milestones!$AB$107&amp;" "&amp;Milestones!$AC$107&amp;";  ","")&amp;IF(AND(EDATE($D11,Milestones!$AA$108)&lt;=AsOfDate,IF($Q11=0,$W11,IF(AND($S11&lt;&gt;"",EDATE($D11,Milestones!$AA$108)&gt;=$S11),$V11,IF(AND($R11&lt;&gt;"",EDATE($D11,Milestones!$AA$108)&gt;=$R11),$U11,$T11)))=Milestones!$AB$108),TEXT(EDATE($D11,Milestones!$AA$108),"dd/mm/yy")&amp;" "&amp;Milestones!$AB$108&amp;" "&amp;Milestones!$AC$108&amp;";  ","")&amp;IF(AND(EDATE($D11,Milestones!$AA$109)&lt;=AsOfDate,IF($Q11=0,$W11,IF(AND($S11&lt;&gt;"",EDATE($D11,Milestones!$AA$109)&gt;=$S11),$V11,IF(AND($R11&lt;&gt;"",EDATE($D11,Milestones!$AA$109)&gt;=$R11),$U11,$T11)))=Milestones!$AB$109),TEXT(EDATE($D11,Milestones!$AA$109),"dd/mm/yy")&amp;" "&amp;Milestones!$AB$109&amp;" "&amp;Milestones!$AC$109&amp;";  ","")&amp;IF(AND(EDATE($D11,Milestones!$AA$110)&lt;=AsOfDate,IF($Q11=0,$W11,IF(AND($S11&lt;&gt;"",EDATE($D11,Milestones!$AA$110)&gt;=$S11),$V11,IF(AND($R11&lt;&gt;"",EDATE($D11,Milestones!$AA$110)&gt;=$R11),$U11,$T11)))=Milestones!$AB$110),TEXT(EDATE($D11,Milestones!$AA$110),"dd/mm/yy")&amp;" "&amp;Milestones!$AB$110&amp;" "&amp;Milestones!$AC$110&amp;";  ","")&amp;IF(AND(EDATE($D11,Milestones!$AA$111)&lt;=AsOfDate,IF($Q11=0,$W11,IF(AND($S11&lt;&gt;"",EDATE($D11,Milestones!$AA$111)&gt;=$S11),$V11,IF(AND($R11&lt;&gt;"",EDATE($D11,Milestones!$AA$111)&gt;=$R11),$U11,$T11)))=Milestones!$AB$111),TEXT(EDATE($D11,Milestones!$AA$111),"dd/mm/yy")&amp;" "&amp;Milestones!$AB$111&amp;" "&amp;Milestones!$AC$111&amp;";  ","")&amp;IF(AND(EDATE($D11,Milestones!$AA$112)&lt;=AsOfDate,IF($Q11=0,$W11,IF(AND($S11&lt;&gt;"",EDATE($D11,Milestones!$AA$112)&gt;=$S11),$V11,IF(AND($R11&lt;&gt;"",EDATE($D11,Milestones!$AA$112)&gt;=$R11),$U11,$T11)))=Milestones!$AB$112),TEXT(EDATE($D11,Milestones!$AA$112),"dd/mm/yy")&amp;" "&amp;Milestones!$AB$112&amp;" "&amp;Milestones!$AC$112&amp;";  ","")&amp;IF(AND(EDATE($D11,Milestones!$AA$113)&lt;=AsOfDate,IF($Q11=0,$W11,IF(AND($S11&lt;&gt;"",EDATE($D11,Milestones!$AA$113)&gt;=$S11),$V11,IF(AND($R11&lt;&gt;"",EDATE($D11,Milestones!$AA$113)&gt;=$R11),$U11,$T11)))=Milestones!$AB$113),TEXT(EDATE($D11,Milestones!$AA$113),"dd/mm/yy")&amp;" "&amp;Milestones!$AB$113&amp;" "&amp;Milestones!$AC$113&amp;";  ","")&amp;IF(AND(EDATE($D11,Milestones!$AA$114)&lt;=AsOfDate,IF($Q11=0,$W11,IF(AND($S11&lt;&gt;"",EDATE($D11,Milestones!$AA$114)&gt;=$S11),$V11,IF(AND($R11&lt;&gt;"",EDATE($D11,Milestones!$AA$114)&gt;=$R11),$U11,$T11)))=Milestones!$AB$114),TEXT(EDATE($D11,Milestones!$AA$114),"dd/mm/yy")&amp;" "&amp;Milestones!$AB$114&amp;" "&amp;Milestones!$AC$114&amp;";  ","")&amp;IF(AND(EDATE($D11,Milestones!$AA$115)&lt;=AsOfDate,IF($Q11=0,$W11,IF(AND($S11&lt;&gt;"",EDATE($D11,Milestones!$AA$115)&gt;=$S11),$V11,IF(AND($R11&lt;&gt;"",EDATE($D11,Milestones!$AA$115)&gt;=$R11),$U11,$T11)))=Milestones!$AB$115),TEXT(EDATE($D11,Milestones!$AA$115),"dd/mm/yy")&amp;" "&amp;Milestones!$AB$115&amp;" "&amp;Milestones!$AC$115&amp;";  ","")&amp;IF(AND(EDATE($D11,Milestones!$AA$116)&lt;=AsOfDate,IF($Q11=0,$W11,IF(AND($S11&lt;&gt;"",EDATE($D11,Milestones!$AA$116)&gt;=$S11),$V11,IF(AND($R11&lt;&gt;"",EDATE($D11,Milestones!$AA$116)&gt;=$R11),$U11,$T11)))=Milestones!$AB$116),TEXT(EDATE($D11,Milestones!$AA$116),"dd/mm/yy")&amp;" "&amp;Milestones!$AB$116&amp;" "&amp;Milestones!$AC$116&amp;";  ","")&amp;IF(AND(EDATE($D11,Milestones!$AA$117)&lt;=AsOfDate,IF($Q11=0,$W11,IF(AND($S11&lt;&gt;"",EDATE($D11,Milestones!$AA$117)&gt;=$S11),$V11,IF(AND($R11&lt;&gt;"",EDATE($D11,Milestones!$AA$117)&gt;=$R11),$U11,$T11)))=Milestones!$AB$117),TEXT(EDATE($D11,Milestones!$AA$117),"dd/mm/yy")&amp;" "&amp;Milestones!$AB$117&amp;" "&amp;Milestones!$AC$117&amp;";  ","")&amp;IF(AND(EDATE($D11,Milestones!$AA$118)&lt;=AsOfDate,IF($Q11=0,$W11,IF(AND($S11&lt;&gt;"",EDATE($D11,Milestones!$AA$118)&gt;=$S11),$V11,IF(AND($R11&lt;&gt;"",EDATE($D11,Milestones!$AA$118)&gt;=$R11),$U11,$T11)))=Milestones!$AB$118),TEXT(EDATE($D11,Milestones!$AA$118),"dd/mm/yy")&amp;" "&amp;Milestones!$AB$118&amp;" "&amp;Milestones!$AC$118&amp;";  ","")&amp;IF(AND(EDATE($D11,Milestones!$AA$119)&lt;=AsOfDate,IF($Q11=0,$W11,IF(AND($S11&lt;&gt;"",EDATE($D11,Milestones!$AA$119)&gt;=$S11),$V11,IF(AND($R11&lt;&gt;"",EDATE($D11,Milestones!$AA$119)&gt;=$R11),$U11,$T11)))=Milestones!$AB$119),TEXT(EDATE($D11,Milestones!$AA$119),"dd/mm/yy")&amp;" "&amp;Milestones!$AB$119&amp;" "&amp;Milestones!$AC$119&amp;";  ",""))</f>
        <v/>
      </c>
      <c r="M11" s="0" t="str">
        <f aca="false">IF(OR($A11="",$D11=""),"",IF(AND(EDATE($D11,Milestones!$AA$120)&lt;=AsOfDate,IF($Q11=0,$W11,IF(AND($S11&lt;&gt;"",EDATE($D11,Milestones!$AA$120)&gt;=$S11),$V11,IF(AND($R11&lt;&gt;"",EDATE($D11,Milestones!$AA$120)&gt;=$R11),$U11,$T11)))=Milestones!$AB$120),TEXT(EDATE($D11,Milestones!$AA$120),"dd/mm/yy")&amp;" "&amp;Milestones!$AB$120&amp;" "&amp;Milestones!$AC$120&amp;";  ","")&amp;IF(AND(EDATE($D11,Milestones!$AA$121)&lt;=AsOfDate,IF($Q11=0,$W11,IF(AND($S11&lt;&gt;"",EDATE($D11,Milestones!$AA$121)&gt;=$S11),$V11,IF(AND($R11&lt;&gt;"",EDATE($D11,Milestones!$AA$121)&gt;=$R11),$U11,$T11)))=Milestones!$AB$121),TEXT(EDATE($D11,Milestones!$AA$121),"dd/mm/yy")&amp;" "&amp;Milestones!$AB$121&amp;" "&amp;Milestones!$AC$121&amp;";  ","")&amp;IF(AND(EDATE($D11,Milestones!$AA$122)&lt;=AsOfDate,IF($Q11=0,$W11,IF(AND($S11&lt;&gt;"",EDATE($D11,Milestones!$AA$122)&gt;=$S11),$V11,IF(AND($R11&lt;&gt;"",EDATE($D11,Milestones!$AA$122)&gt;=$R11),$U11,$T11)))=Milestones!$AB$122),TEXT(EDATE($D11,Milestones!$AA$122),"dd/mm/yy")&amp;" "&amp;Milestones!$AB$122&amp;" "&amp;Milestones!$AC$122&amp;";  ","")&amp;IF(AND(EDATE($D11,Milestones!$AA$123)&lt;=AsOfDate,IF($Q11=0,$W11,IF(AND($S11&lt;&gt;"",EDATE($D11,Milestones!$AA$123)&gt;=$S11),$V11,IF(AND($R11&lt;&gt;"",EDATE($D11,Milestones!$AA$123)&gt;=$R11),$U11,$T11)))=Milestones!$AB$123),TEXT(EDATE($D11,Milestones!$AA$123),"dd/mm/yy")&amp;" "&amp;Milestones!$AB$123&amp;" "&amp;Milestones!$AC$123&amp;";  ","")&amp;IF(AND(EDATE($D11,Milestones!$AA$124)&lt;=AsOfDate,IF($Q11=0,$W11,IF(AND($S11&lt;&gt;"",EDATE($D11,Milestones!$AA$124)&gt;=$S11),$V11,IF(AND($R11&lt;&gt;"",EDATE($D11,Milestones!$AA$124)&gt;=$R11),$U11,$T11)))=Milestones!$AB$124),TEXT(EDATE($D11,Milestones!$AA$124),"dd/mm/yy")&amp;" "&amp;Milestones!$AB$124&amp;" "&amp;Milestones!$AC$124&amp;";  ","")&amp;IF(AND(EDATE($D11,Milestones!$AA$125)&lt;=AsOfDate,IF($Q11=0,$W11,IF(AND($S11&lt;&gt;"",EDATE($D11,Milestones!$AA$125)&gt;=$S11),$V11,IF(AND($R11&lt;&gt;"",EDATE($D11,Milestones!$AA$125)&gt;=$R11),$U11,$T11)))=Milestones!$AB$125),TEXT(EDATE($D11,Milestones!$AA$125),"dd/mm/yy")&amp;" "&amp;Milestones!$AB$125&amp;" "&amp;Milestones!$AC$125&amp;";  ","")&amp;IF(AND(EDATE($D11,Milestones!$AA$126)&lt;=AsOfDate,IF($Q11=0,$W11,IF(AND($S11&lt;&gt;"",EDATE($D11,Milestones!$AA$126)&gt;=$S11),$V11,IF(AND($R11&lt;&gt;"",EDATE($D11,Milestones!$AA$126)&gt;=$R11),$U11,$T11)))=Milestones!$AB$126),TEXT(EDATE($D11,Milestones!$AA$126),"dd/mm/yy")&amp;" "&amp;Milestones!$AB$126&amp;" "&amp;Milestones!$AC$126&amp;";  ","")&amp;IF(AND(EDATE($D11,Milestones!$AA$127)&lt;=AsOfDate,IF($Q11=0,$W11,IF(AND($S11&lt;&gt;"",EDATE($D11,Milestones!$AA$127)&gt;=$S11),$V11,IF(AND($R11&lt;&gt;"",EDATE($D11,Milestones!$AA$127)&gt;=$R11),$U11,$T11)))=Milestones!$AB$127),TEXT(EDATE($D11,Milestones!$AA$127),"dd/mm/yy")&amp;" "&amp;Milestones!$AB$127&amp;" "&amp;Milestones!$AC$127&amp;";  ","")&amp;IF(AND(EDATE($D11,Milestones!$AA$128)&lt;=AsOfDate,IF($Q11=0,$W11,IF(AND($S11&lt;&gt;"",EDATE($D11,Milestones!$AA$128)&gt;=$S11),$V11,IF(AND($R11&lt;&gt;"",EDATE($D11,Milestones!$AA$128)&gt;=$R11),$U11,$T11)))=Milestones!$AB$128),TEXT(EDATE($D11,Milestones!$AA$128),"dd/mm/yy")&amp;" "&amp;Milestones!$AB$128&amp;" "&amp;Milestones!$AC$128&amp;";  ","")&amp;IF(AND(EDATE($D11,Milestones!$AA$129)&lt;=AsOfDate,IF($Q11=0,$W11,IF(AND($S11&lt;&gt;"",EDATE($D11,Milestones!$AA$129)&gt;=$S11),$V11,IF(AND($R11&lt;&gt;"",EDATE($D11,Milestones!$AA$129)&gt;=$R11),$U11,$T11)))=Milestones!$AB$129),TEXT(EDATE($D11,Milestones!$AA$129),"dd/mm/yy")&amp;" "&amp;Milestones!$AB$129&amp;" "&amp;Milestones!$AC$129&amp;";  ","")&amp;IF(AND(EDATE($D11,Milestones!$AA$130)&lt;=AsOfDate,IF($Q11=0,$W11,IF(AND($S11&lt;&gt;"",EDATE($D11,Milestones!$AA$130)&gt;=$S11),$V11,IF(AND($R11&lt;&gt;"",EDATE($D11,Milestones!$AA$130)&gt;=$R11),$U11,$T11)))=Milestones!$AB$130),TEXT(EDATE($D11,Milestones!$AA$130),"dd/mm/yy")&amp;" "&amp;Milestones!$AB$130&amp;" "&amp;Milestones!$AC$130&amp;";  ","")&amp;IF(AND(EDATE($D11,Milestones!$AA$131)&lt;=AsOfDate,IF($Q11=0,$W11,IF(AND($S11&lt;&gt;"",EDATE($D11,Milestones!$AA$131)&gt;=$S11),$V11,IF(AND($R11&lt;&gt;"",EDATE($D11,Milestones!$AA$131)&gt;=$R11),$U11,$T11)))=Milestones!$AB$131),TEXT(EDATE($D11,Milestones!$AA$131),"dd/mm/yy")&amp;" "&amp;Milestones!$AB$131&amp;" "&amp;Milestones!$AC$131&amp;";  ","")&amp;IF(AND(EDATE($D11,Milestones!$AA$132)&lt;=AsOfDate,IF($Q11=0,$W11,IF(AND($S11&lt;&gt;"",EDATE($D11,Milestones!$AA$132)&gt;=$S11),$V11,IF(AND($R11&lt;&gt;"",EDATE($D11,Milestones!$AA$132)&gt;=$R11),$U11,$T11)))=Milestones!$AB$132),TEXT(EDATE($D11,Milestones!$AA$132),"dd/mm/yy")&amp;" "&amp;Milestones!$AB$132&amp;" "&amp;Milestones!$AC$132&amp;";  ","")&amp;IF(AND(EDATE($D11,Milestones!$AA$133)&lt;=AsOfDate,IF($Q11=0,$W11,IF(AND($S11&lt;&gt;"",EDATE($D11,Milestones!$AA$133)&gt;=$S11),$V11,IF(AND($R11&lt;&gt;"",EDATE($D11,Milestones!$AA$133)&gt;=$R11),$U11,$T11)))=Milestones!$AB$133),TEXT(EDATE($D11,Milestones!$AA$133),"dd/mm/yy")&amp;" "&amp;Milestones!$AB$133&amp;" "&amp;Milestones!$AC$133&amp;";  ","")&amp;IF(AND(EDATE($D11,Milestones!$AA$134)&lt;=AsOfDate,IF($Q11=0,$W11,IF(AND($S11&lt;&gt;"",EDATE($D11,Milestones!$AA$134)&gt;=$S11),$V11,IF(AND($R11&lt;&gt;"",EDATE($D11,Milestones!$AA$134)&gt;=$R11),$U11,$T11)))=Milestones!$AB$134),TEXT(EDATE($D11,Milestones!$AA$134),"dd/mm/yy")&amp;" "&amp;Milestones!$AB$134&amp;" "&amp;Milestones!$AC$134&amp;";  ","")&amp;IF(AND(EDATE($D11,Milestones!$AA$135)&lt;=AsOfDate,IF($Q11=0,$W11,IF(AND($S11&lt;&gt;"",EDATE($D11,Milestones!$AA$135)&gt;=$S11),$V11,IF(AND($R11&lt;&gt;"",EDATE($D11,Milestones!$AA$135)&gt;=$R11),$U11,$T11)))=Milestones!$AB$135),TEXT(EDATE($D11,Milestones!$AA$135),"dd/mm/yy")&amp;" "&amp;Milestones!$AB$135&amp;" "&amp;Milestones!$AC$135&amp;";  ","")&amp;IF(AND(EDATE($D11,Milestones!$AA$136)&lt;=AsOfDate,IF($Q11=0,$W11,IF(AND($S11&lt;&gt;"",EDATE($D11,Milestones!$AA$136)&gt;=$S11),$V11,IF(AND($R11&lt;&gt;"",EDATE($D11,Milestones!$AA$136)&gt;=$R11),$U11,$T11)))=Milestones!$AB$136),TEXT(EDATE($D11,Milestones!$AA$136),"dd/mm/yy")&amp;" "&amp;Milestones!$AB$136&amp;" "&amp;Milestones!$AC$136&amp;";  ","")&amp;IF(AND(EDATE($D11,Milestones!$AA$137)&lt;=AsOfDate,IF($Q11=0,$W11,IF(AND($S11&lt;&gt;"",EDATE($D11,Milestones!$AA$137)&gt;=$S11),$V11,IF(AND($R11&lt;&gt;"",EDATE($D11,Milestones!$AA$137)&gt;=$R11),$U11,$T11)))=Milestones!$AB$137),TEXT(EDATE($D11,Milestones!$AA$137),"dd/mm/yy")&amp;" "&amp;Milestones!$AB$137&amp;" "&amp;Milestones!$AC$137&amp;";  ","")&amp;IF(AND(EDATE($D11,Milestones!$AA$138)&lt;=AsOfDate,IF($Q11=0,$W11,IF(AND($S11&lt;&gt;"",EDATE($D11,Milestones!$AA$138)&gt;=$S11),$V11,IF(AND($R11&lt;&gt;"",EDATE($D11,Milestones!$AA$138)&gt;=$R11),$U11,$T11)))=Milestones!$AB$138),TEXT(EDATE($D11,Milestones!$AA$138),"dd/mm/yy")&amp;" "&amp;Milestones!$AB$138&amp;" "&amp;Milestones!$AC$138&amp;";  ","")&amp;IF(AND(EDATE($D11,Milestones!$AA$139)&lt;=AsOfDate,IF($Q11=0,$W11,IF(AND($S11&lt;&gt;"",EDATE($D11,Milestones!$AA$139)&gt;=$S11),$V11,IF(AND($R11&lt;&gt;"",EDATE($D11,Milestones!$AA$139)&gt;=$R11),$U11,$T11)))=Milestones!$AB$139),TEXT(EDATE($D11,Milestones!$AA$139),"dd/mm/yy")&amp;" "&amp;Milestones!$AB$139&amp;" "&amp;Milestones!$AC$139&amp;";  ",""))</f>
        <v/>
      </c>
      <c r="N11" s="0" t="str">
        <f aca="false">IF(OR($A11="",$D11=""),"",IF(AND(EDATE($D11,Milestones!$AA$140)&lt;=AsOfDate,IF($Q11=0,$W11,IF(AND($S11&lt;&gt;"",EDATE($D11,Milestones!$AA$140)&gt;=$S11),$V11,IF(AND($R11&lt;&gt;"",EDATE($D11,Milestones!$AA$140)&gt;=$R11),$U11,$T11)))=Milestones!$AB$140),TEXT(EDATE($D11,Milestones!$AA$140),"dd/mm/yy")&amp;" "&amp;Milestones!$AB$140&amp;" "&amp;Milestones!$AC$140&amp;";  ","")&amp;IF(AND(EDATE($D11,Milestones!$AA$141)&lt;=AsOfDate,IF($Q11=0,$W11,IF(AND($S11&lt;&gt;"",EDATE($D11,Milestones!$AA$141)&gt;=$S11),$V11,IF(AND($R11&lt;&gt;"",EDATE($D11,Milestones!$AA$141)&gt;=$R11),$U11,$T11)))=Milestones!$AB$141),TEXT(EDATE($D11,Milestones!$AA$141),"dd/mm/yy")&amp;" "&amp;Milestones!$AB$141&amp;" "&amp;Milestones!$AC$141&amp;";  ","")&amp;IF(AND(EDATE($D11,Milestones!$AA$142)&lt;=AsOfDate,IF($Q11=0,$W11,IF(AND($S11&lt;&gt;"",EDATE($D11,Milestones!$AA$142)&gt;=$S11),$V11,IF(AND($R11&lt;&gt;"",EDATE($D11,Milestones!$AA$142)&gt;=$R11),$U11,$T11)))=Milestones!$AB$142),TEXT(EDATE($D11,Milestones!$AA$142),"dd/mm/yy")&amp;" "&amp;Milestones!$AB$142&amp;" "&amp;Milestones!$AC$142&amp;";  ","")&amp;IF(AND(EDATE($D11,Milestones!$AA$143)&lt;=AsOfDate,IF($Q11=0,$W11,IF(AND($S11&lt;&gt;"",EDATE($D11,Milestones!$AA$143)&gt;=$S11),$V11,IF(AND($R11&lt;&gt;"",EDATE($D11,Milestones!$AA$143)&gt;=$R11),$U11,$T11)))=Milestones!$AB$143),TEXT(EDATE($D11,Milestones!$AA$143),"dd/mm/yy")&amp;" "&amp;Milestones!$AB$143&amp;" "&amp;Milestones!$AC$143&amp;";  ","")&amp;IF(AND(EDATE($D11,Milestones!$AA$144)&lt;=AsOfDate,IF($Q11=0,$W11,IF(AND($S11&lt;&gt;"",EDATE($D11,Milestones!$AA$144)&gt;=$S11),$V11,IF(AND($R11&lt;&gt;"",EDATE($D11,Milestones!$AA$144)&gt;=$R11),$U11,$T11)))=Milestones!$AB$144),TEXT(EDATE($D11,Milestones!$AA$144),"dd/mm/yy")&amp;" "&amp;Milestones!$AB$144&amp;" "&amp;Milestones!$AC$144&amp;";  ","")&amp;IF(AND(EDATE($D11,Milestones!$AA$145)&lt;=AsOfDate,IF($Q11=0,$W11,IF(AND($S11&lt;&gt;"",EDATE($D11,Milestones!$AA$145)&gt;=$S11),$V11,IF(AND($R11&lt;&gt;"",EDATE($D11,Milestones!$AA$145)&gt;=$R11),$U11,$T11)))=Milestones!$AB$145),TEXT(EDATE($D11,Milestones!$AA$145),"dd/mm/yy")&amp;" "&amp;Milestones!$AB$145&amp;" "&amp;Milestones!$AC$145&amp;";  ","")&amp;IF(AND(EDATE($D11,Milestones!$AA$146)&lt;=AsOfDate,IF($Q11=0,$W11,IF(AND($S11&lt;&gt;"",EDATE($D11,Milestones!$AA$146)&gt;=$S11),$V11,IF(AND($R11&lt;&gt;"",EDATE($D11,Milestones!$AA$146)&gt;=$R11),$U11,$T11)))=Milestones!$AB$146),TEXT(EDATE($D11,Milestones!$AA$146),"dd/mm/yy")&amp;" "&amp;Milestones!$AB$146&amp;" "&amp;Milestones!$AC$146&amp;";  ","")&amp;IF(AND(EDATE($D11,Milestones!$AA$147)&lt;=AsOfDate,IF($Q11=0,$W11,IF(AND($S11&lt;&gt;"",EDATE($D11,Milestones!$AA$147)&gt;=$S11),$V11,IF(AND($R11&lt;&gt;"",EDATE($D11,Milestones!$AA$147)&gt;=$R11),$U11,$T11)))=Milestones!$AB$147),TEXT(EDATE($D11,Milestones!$AA$147),"dd/mm/yy")&amp;" "&amp;Milestones!$AB$147&amp;" "&amp;Milestones!$AC$147&amp;";  ","")&amp;IF(AND(EDATE($D11,Milestones!$AA$148)&lt;=AsOfDate,IF($Q11=0,$W11,IF(AND($S11&lt;&gt;"",EDATE($D11,Milestones!$AA$148)&gt;=$S11),$V11,IF(AND($R11&lt;&gt;"",EDATE($D11,Milestones!$AA$148)&gt;=$R11),$U11,$T11)))=Milestones!$AB$148),TEXT(EDATE($D11,Milestones!$AA$148),"dd/mm/yy")&amp;" "&amp;Milestones!$AB$148&amp;" "&amp;Milestones!$AC$148&amp;";  ","")&amp;IF(AND(EDATE($D11,Milestones!$AA$149)&lt;=AsOfDate,IF($Q11=0,$W11,IF(AND($S11&lt;&gt;"",EDATE($D11,Milestones!$AA$149)&gt;=$S11),$V11,IF(AND($R11&lt;&gt;"",EDATE($D11,Milestones!$AA$149)&gt;=$R11),$U11,$T11)))=Milestones!$AB$149),TEXT(EDATE($D11,Milestones!$AA$149),"dd/mm/yy")&amp;" "&amp;Milestones!$AB$149&amp;" "&amp;Milestones!$AC$149&amp;";  ","")&amp;IF(AND(EDATE($D11,Milestones!$AA$150)&lt;=AsOfDate,IF($Q11=0,$W11,IF(AND($S11&lt;&gt;"",EDATE($D11,Milestones!$AA$150)&gt;=$S11),$V11,IF(AND($R11&lt;&gt;"",EDATE($D11,Milestones!$AA$150)&gt;=$R11),$U11,$T11)))=Milestones!$AB$150),TEXT(EDATE($D11,Milestones!$AA$150),"dd/mm/yy")&amp;" "&amp;Milestones!$AB$150&amp;" "&amp;Milestones!$AC$150&amp;";  ","")&amp;IF(AND(EDATE($D11,Milestones!$AA$151)&lt;=AsOfDate,IF($Q11=0,$W11,IF(AND($S11&lt;&gt;"",EDATE($D11,Milestones!$AA$151)&gt;=$S11),$V11,IF(AND($R11&lt;&gt;"",EDATE($D11,Milestones!$AA$151)&gt;=$R11),$U11,$T11)))=Milestones!$AB$151),TEXT(EDATE($D11,Milestones!$AA$151),"dd/mm/yy")&amp;" "&amp;Milestones!$AB$151&amp;" "&amp;Milestones!$AC$151&amp;";  ","")&amp;IF(AND(EDATE($D11,Milestones!$AA$152)&lt;=AsOfDate,IF($Q11=0,$W11,IF(AND($S11&lt;&gt;"",EDATE($D11,Milestones!$AA$152)&gt;=$S11),$V11,IF(AND($R11&lt;&gt;"",EDATE($D11,Milestones!$AA$152)&gt;=$R11),$U11,$T11)))=Milestones!$AB$152),TEXT(EDATE($D11,Milestones!$AA$152),"dd/mm/yy")&amp;" "&amp;Milestones!$AB$152&amp;" "&amp;Milestones!$AC$152&amp;";  ","")&amp;IF(AND(EDATE($D11,Milestones!$AA$153)&lt;=AsOfDate,IF($Q11=0,$W11,IF(AND($S11&lt;&gt;"",EDATE($D11,Milestones!$AA$153)&gt;=$S11),$V11,IF(AND($R11&lt;&gt;"",EDATE($D11,Milestones!$AA$153)&gt;=$R11),$U11,$T11)))=Milestones!$AB$153),TEXT(EDATE($D11,Milestones!$AA$153),"dd/mm/yy")&amp;" "&amp;Milestones!$AB$153&amp;" "&amp;Milestones!$AC$153&amp;";  ","")&amp;IF(AND(EDATE($D11,Milestones!$AA$154)&lt;=AsOfDate,IF($Q11=0,$W11,IF(AND($S11&lt;&gt;"",EDATE($D11,Milestones!$AA$154)&gt;=$S11),$V11,IF(AND($R11&lt;&gt;"",EDATE($D11,Milestones!$AA$154)&gt;=$R11),$U11,$T11)))=Milestones!$AB$154),TEXT(EDATE($D11,Milestones!$AA$154),"dd/mm/yy")&amp;" "&amp;Milestones!$AB$154&amp;" "&amp;Milestones!$AC$154&amp;";  ","")&amp;IF(AND(EDATE($D11,Milestones!$AA$155)&lt;=AsOfDate,IF($Q11=0,$W11,IF(AND($S11&lt;&gt;"",EDATE($D11,Milestones!$AA$155)&gt;=$S11),$V11,IF(AND($R11&lt;&gt;"",EDATE($D11,Milestones!$AA$155)&gt;=$R11),$U11,$T11)))=Milestones!$AB$155),TEXT(EDATE($D11,Milestones!$AA$155),"dd/mm/yy")&amp;" "&amp;Milestones!$AB$155&amp;" "&amp;Milestones!$AC$155&amp;";  ","")&amp;IF(AND(EDATE($D11,Milestones!$AA$156)&lt;=AsOfDate,IF($Q11=0,$W11,IF(AND($S11&lt;&gt;"",EDATE($D11,Milestones!$AA$156)&gt;=$S11),$V11,IF(AND($R11&lt;&gt;"",EDATE($D11,Milestones!$AA$156)&gt;=$R11),$U11,$T11)))=Milestones!$AB$156),TEXT(EDATE($D11,Milestones!$AA$156),"dd/mm/yy")&amp;" "&amp;Milestones!$AB$156&amp;" "&amp;Milestones!$AC$156&amp;";  ","")&amp;IF(AND(EDATE($D11,Milestones!$AA$157)&lt;=AsOfDate,IF($Q11=0,$W11,IF(AND($S11&lt;&gt;"",EDATE($D11,Milestones!$AA$157)&gt;=$S11),$V11,IF(AND($R11&lt;&gt;"",EDATE($D11,Milestones!$AA$157)&gt;=$R11),$U11,$T11)))=Milestones!$AB$157),TEXT(EDATE($D11,Milestones!$AA$157),"dd/mm/yy")&amp;" "&amp;Milestones!$AB$157&amp;" "&amp;Milestones!$AC$157&amp;";  ","")&amp;IF(AND(EDATE($D11,Milestones!$AA$158)&lt;=AsOfDate,IF($Q11=0,$W11,IF(AND($S11&lt;&gt;"",EDATE($D11,Milestones!$AA$158)&gt;=$S11),$V11,IF(AND($R11&lt;&gt;"",EDATE($D11,Milestones!$AA$158)&gt;=$R11),$U11,$T11)))=Milestones!$AB$158),TEXT(EDATE($D11,Milestones!$AA$158),"dd/mm/yy")&amp;" "&amp;Milestones!$AB$158&amp;" "&amp;Milestones!$AC$158&amp;";  ","")&amp;IF(AND(EDATE($D11,Milestones!$AA$159)&lt;=AsOfDate,IF($Q11=0,$W11,IF(AND($S11&lt;&gt;"",EDATE($D11,Milestones!$AA$159)&gt;=$S11),$V11,IF(AND($R11&lt;&gt;"",EDATE($D11,Milestones!$AA$159)&gt;=$R11),$U11,$T11)))=Milestones!$AB$159),TEXT(EDATE($D11,Milestones!$AA$159),"dd/mm/yy")&amp;" "&amp;Milestones!$AB$159&amp;" "&amp;Milestones!$AC$159&amp;";  ",""))</f>
        <v/>
      </c>
      <c r="O11" s="0" t="str">
        <f aca="false">IF(OR($A11="",$D11=""),"",IF(AND(EDATE($D11,Milestones!$AA$160)&lt;=AsOfDate,IF($Q11=0,$W11,IF(AND($S11&lt;&gt;"",EDATE($D11,Milestones!$AA$160)&gt;=$S11),$V11,IF(AND($R11&lt;&gt;"",EDATE($D11,Milestones!$AA$160)&gt;=$R11),$U11,$T11)))=Milestones!$AB$160),TEXT(EDATE($D11,Milestones!$AA$160),"dd/mm/yy")&amp;" "&amp;Milestones!$AB$160&amp;" "&amp;Milestones!$AC$160&amp;";  ","")&amp;IF(AND(EDATE($D11,Milestones!$AA$161)&lt;=AsOfDate,IF($Q11=0,$W11,IF(AND($S11&lt;&gt;"",EDATE($D11,Milestones!$AA$161)&gt;=$S11),$V11,IF(AND($R11&lt;&gt;"",EDATE($D11,Milestones!$AA$161)&gt;=$R11),$U11,$T11)))=Milestones!$AB$161),TEXT(EDATE($D11,Milestones!$AA$161),"dd/mm/yy")&amp;" "&amp;Milestones!$AB$161&amp;" "&amp;Milestones!$AC$161&amp;";  ","")&amp;IF(AND(EDATE($D11,Milestones!$AA$162)&lt;=AsOfDate,IF($Q11=0,$W11,IF(AND($S11&lt;&gt;"",EDATE($D11,Milestones!$AA$162)&gt;=$S11),$V11,IF(AND($R11&lt;&gt;"",EDATE($D11,Milestones!$AA$162)&gt;=$R11),$U11,$T11)))=Milestones!$AB$162),TEXT(EDATE($D11,Milestones!$AA$162),"dd/mm/yy")&amp;" "&amp;Milestones!$AB$162&amp;" "&amp;Milestones!$AC$162&amp;";  ","")&amp;IF(AND(EDATE($D11,Milestones!$AA$163)&lt;=AsOfDate,IF($Q11=0,$W11,IF(AND($S11&lt;&gt;"",EDATE($D11,Milestones!$AA$163)&gt;=$S11),$V11,IF(AND($R11&lt;&gt;"",EDATE($D11,Milestones!$AA$163)&gt;=$R11),$U11,$T11)))=Milestones!$AB$163),TEXT(EDATE($D11,Milestones!$AA$163),"dd/mm/yy")&amp;" "&amp;Milestones!$AB$163&amp;" "&amp;Milestones!$AC$163&amp;";  ","")&amp;IF(AND(EDATE($D11,Milestones!$AA$164)&lt;=AsOfDate,IF($Q11=0,$W11,IF(AND($S11&lt;&gt;"",EDATE($D11,Milestones!$AA$164)&gt;=$S11),$V11,IF(AND($R11&lt;&gt;"",EDATE($D11,Milestones!$AA$164)&gt;=$R11),$U11,$T11)))=Milestones!$AB$164),TEXT(EDATE($D11,Milestones!$AA$164),"dd/mm/yy")&amp;" "&amp;Milestones!$AB$164&amp;" "&amp;Milestones!$AC$164&amp;";  ","")&amp;IF(AND(EDATE($D11,Milestones!$AA$165)&lt;=AsOfDate,IF($Q11=0,$W11,IF(AND($S11&lt;&gt;"",EDATE($D11,Milestones!$AA$165)&gt;=$S11),$V11,IF(AND($R11&lt;&gt;"",EDATE($D11,Milestones!$AA$165)&gt;=$R11),$U11,$T11)))=Milestones!$AB$165),TEXT(EDATE($D11,Milestones!$AA$165),"dd/mm/yy")&amp;" "&amp;Milestones!$AB$165&amp;" "&amp;Milestones!$AC$165&amp;";  ","")&amp;IF(AND(EDATE($D11,Milestones!$AA$166)&lt;=AsOfDate,IF($Q11=0,$W11,IF(AND($S11&lt;&gt;"",EDATE($D11,Milestones!$AA$166)&gt;=$S11),$V11,IF(AND($R11&lt;&gt;"",EDATE($D11,Milestones!$AA$166)&gt;=$R11),$U11,$T11)))=Milestones!$AB$166),TEXT(EDATE($D11,Milestones!$AA$166),"dd/mm/yy")&amp;" "&amp;Milestones!$AB$166&amp;" "&amp;Milestones!$AC$166&amp;";  ","")&amp;IF(AND(EDATE($D11,Milestones!$AA$167)&lt;=AsOfDate,IF($Q11=0,$W11,IF(AND($S11&lt;&gt;"",EDATE($D11,Milestones!$AA$167)&gt;=$S11),$V11,IF(AND($R11&lt;&gt;"",EDATE($D11,Milestones!$AA$167)&gt;=$R11),$U11,$T11)))=Milestones!$AB$167),TEXT(EDATE($D11,Milestones!$AA$167),"dd/mm/yy")&amp;" "&amp;Milestones!$AB$167&amp;" "&amp;Milestones!$AC$167&amp;";  ","")&amp;IF(AND(EDATE($D11,Milestones!$AA$168)&lt;=AsOfDate,IF($Q11=0,$W11,IF(AND($S11&lt;&gt;"",EDATE($D11,Milestones!$AA$168)&gt;=$S11),$V11,IF(AND($R11&lt;&gt;"",EDATE($D11,Milestones!$AA$168)&gt;=$R11),$U11,$T11)))=Milestones!$AB$168),TEXT(EDATE($D11,Milestones!$AA$168),"dd/mm/yy")&amp;" "&amp;Milestones!$AB$168&amp;" "&amp;Milestones!$AC$168&amp;";  ","")&amp;IF(AND(EDATE($D11,Milestones!$AA$169)&lt;=AsOfDate,IF($Q11=0,$W11,IF(AND($S11&lt;&gt;"",EDATE($D11,Milestones!$AA$169)&gt;=$S11),$V11,IF(AND($R11&lt;&gt;"",EDATE($D11,Milestones!$AA$169)&gt;=$R11),$U11,$T11)))=Milestones!$AB$169),TEXT(EDATE($D11,Milestones!$AA$169),"dd/mm/yy")&amp;" "&amp;Milestones!$AB$169&amp;" "&amp;Milestones!$AC$169&amp;";  ","")&amp;IF(AND(EDATE($D11,Milestones!$AA$170)&lt;=AsOfDate,IF($Q11=0,$W11,IF(AND($S11&lt;&gt;"",EDATE($D11,Milestones!$AA$170)&gt;=$S11),$V11,IF(AND($R11&lt;&gt;"",EDATE($D11,Milestones!$AA$170)&gt;=$R11),$U11,$T11)))=Milestones!$AB$170),TEXT(EDATE($D11,Milestones!$AA$170),"dd/mm/yy")&amp;" "&amp;Milestones!$AB$170&amp;" "&amp;Milestones!$AC$170&amp;";  ","")&amp;IF(AND(EDATE($D11,Milestones!$AA$171)&lt;=AsOfDate,IF($Q11=0,$W11,IF(AND($S11&lt;&gt;"",EDATE($D11,Milestones!$AA$171)&gt;=$S11),$V11,IF(AND($R11&lt;&gt;"",EDATE($D11,Milestones!$AA$171)&gt;=$R11),$U11,$T11)))=Milestones!$AB$171),TEXT(EDATE($D11,Milestones!$AA$171),"dd/mm/yy")&amp;" "&amp;Milestones!$AB$171&amp;" "&amp;Milestones!$AC$171&amp;";  ","")&amp;IF(AND(EDATE($D11,Milestones!$AA$172)&lt;=AsOfDate,IF($Q11=0,$W11,IF(AND($S11&lt;&gt;"",EDATE($D11,Milestones!$AA$172)&gt;=$S11),$V11,IF(AND($R11&lt;&gt;"",EDATE($D11,Milestones!$AA$172)&gt;=$R11),$U11,$T11)))=Milestones!$AB$172),TEXT(EDATE($D11,Milestones!$AA$172),"dd/mm/yy")&amp;" "&amp;Milestones!$AB$172&amp;" "&amp;Milestones!$AC$172&amp;";  ","")&amp;IF(AND(EDATE($D11,Milestones!$AA$173)&lt;=AsOfDate,IF($Q11=0,$W11,IF(AND($S11&lt;&gt;"",EDATE($D11,Milestones!$AA$173)&gt;=$S11),$V11,IF(AND($R11&lt;&gt;"",EDATE($D11,Milestones!$AA$173)&gt;=$R11),$U11,$T11)))=Milestones!$AB$173),TEXT(EDATE($D11,Milestones!$AA$173),"dd/mm/yy")&amp;" "&amp;Milestones!$AB$173&amp;" "&amp;Milestones!$AC$173&amp;";  ","")&amp;IF(AND(EDATE($D11,Milestones!$AA$174)&lt;=AsOfDate,IF($Q11=0,$W11,IF(AND($S11&lt;&gt;"",EDATE($D11,Milestones!$AA$174)&gt;=$S11),$V11,IF(AND($R11&lt;&gt;"",EDATE($D11,Milestones!$AA$174)&gt;=$R11),$U11,$T11)))=Milestones!$AB$174),TEXT(EDATE($D11,Milestones!$AA$174),"dd/mm/yy")&amp;" "&amp;Milestones!$AB$174&amp;" "&amp;Milestones!$AC$174&amp;";  ","")&amp;IF(AND(EDATE($D11,Milestones!$AA$175)&lt;=AsOfDate,IF($Q11=0,$W11,IF(AND($S11&lt;&gt;"",EDATE($D11,Milestones!$AA$175)&gt;=$S11),$V11,IF(AND($R11&lt;&gt;"",EDATE($D11,Milestones!$AA$175)&gt;=$R11),$U11,$T11)))=Milestones!$AB$175),TEXT(EDATE($D11,Milestones!$AA$175),"dd/mm/yy")&amp;" "&amp;Milestones!$AB$175&amp;" "&amp;Milestones!$AC$175&amp;";  ","")&amp;IF(AND(EDATE($D11,Milestones!$AA$176)&lt;=AsOfDate,IF($Q11=0,$W11,IF(AND($S11&lt;&gt;"",EDATE($D11,Milestones!$AA$176)&gt;=$S11),$V11,IF(AND($R11&lt;&gt;"",EDATE($D11,Milestones!$AA$176)&gt;=$R11),$U11,$T11)))=Milestones!$AB$176),TEXT(EDATE($D11,Milestones!$AA$176),"dd/mm/yy")&amp;" "&amp;Milestones!$AB$176&amp;" "&amp;Milestones!$AC$176&amp;";  ","")&amp;IF(AND(EDATE($D11,Milestones!$AA$177)&lt;=AsOfDate,IF($Q11=0,$W11,IF(AND($S11&lt;&gt;"",EDATE($D11,Milestones!$AA$177)&gt;=$S11),$V11,IF(AND($R11&lt;&gt;"",EDATE($D11,Milestones!$AA$177)&gt;=$R11),$U11,$T11)))=Milestones!$AB$177),TEXT(EDATE($D11,Milestones!$AA$177),"dd/mm/yy")&amp;" "&amp;Milestones!$AB$177&amp;" "&amp;Milestones!$AC$177&amp;";  ","")&amp;IF(AND(EDATE($D11,Milestones!$AA$178)&lt;=AsOfDate,IF($Q11=0,$W11,IF(AND($S11&lt;&gt;"",EDATE($D11,Milestones!$AA$178)&gt;=$S11),$V11,IF(AND($R11&lt;&gt;"",EDATE($D11,Milestones!$AA$178)&gt;=$R11),$U11,$T11)))=Milestones!$AB$178),TEXT(EDATE($D11,Milestones!$AA$178),"dd/mm/yy")&amp;" "&amp;Milestones!$AB$178&amp;" "&amp;Milestones!$AC$178&amp;";  ","")&amp;IF(AND(EDATE($D11,Milestones!$AA$179)&lt;=AsOfDate,IF($Q11=0,$W11,IF(AND($S11&lt;&gt;"",EDATE($D11,Milestones!$AA$179)&gt;=$S11),$V11,IF(AND($R11&lt;&gt;"",EDATE($D11,Milestones!$AA$179)&gt;=$R11),$U11,$T11)))=Milestones!$AB$179),TEXT(EDATE($D11,Milestones!$AA$179),"dd/mm/yy")&amp;" "&amp;Milestones!$AB$179&amp;" "&amp;Milestones!$AC$179&amp;";  ",""))</f>
        <v/>
      </c>
      <c r="P11" s="0" t="str">
        <f aca="false">IF(OR($A11="",$D11=""),"",IF(AND(EDATE($D11,Milestones!$AA$180)&lt;=AsOfDate,IF($Q11=0,$W11,IF(AND($S11&lt;&gt;"",EDATE($D11,Milestones!$AA$180)&gt;=$S11),$V11,IF(AND($R11&lt;&gt;"",EDATE($D11,Milestones!$AA$180)&gt;=$R11),$U11,$T11)))=Milestones!$AB$180),TEXT(EDATE($D11,Milestones!$AA$180),"dd/mm/yy")&amp;" "&amp;Milestones!$AB$180&amp;" "&amp;Milestones!$AC$180&amp;";  ","")&amp;IF(AND(EDATE($D11,Milestones!$AA$181)&lt;=AsOfDate,IF($Q11=0,$W11,IF(AND($S11&lt;&gt;"",EDATE($D11,Milestones!$AA$181)&gt;=$S11),$V11,IF(AND($R11&lt;&gt;"",EDATE($D11,Milestones!$AA$181)&gt;=$R11),$U11,$T11)))=Milestones!$AB$181),TEXT(EDATE($D11,Milestones!$AA$181),"dd/mm/yy")&amp;" "&amp;Milestones!$AB$181&amp;" "&amp;Milestones!$AC$181&amp;";  ","")&amp;IF(AND(EDATE($D11,Milestones!$AA$182)&lt;=AsOfDate,IF($Q11=0,$W11,IF(AND($S11&lt;&gt;"",EDATE($D11,Milestones!$AA$182)&gt;=$S11),$V11,IF(AND($R11&lt;&gt;"",EDATE($D11,Milestones!$AA$182)&gt;=$R11),$U11,$T11)))=Milestones!$AB$182),TEXT(EDATE($D11,Milestones!$AA$182),"dd/mm/yy")&amp;" "&amp;Milestones!$AB$182&amp;" "&amp;Milestones!$AC$182&amp;";  ","")&amp;IF(AND(EDATE($D11,Milestones!$AA$183)&lt;=AsOfDate,IF($Q11=0,$W11,IF(AND($S11&lt;&gt;"",EDATE($D11,Milestones!$AA$183)&gt;=$S11),$V11,IF(AND($R11&lt;&gt;"",EDATE($D11,Milestones!$AA$183)&gt;=$R11),$U11,$T11)))=Milestones!$AB$183),TEXT(EDATE($D11,Milestones!$AA$183),"dd/mm/yy")&amp;" "&amp;Milestones!$AB$183&amp;" "&amp;Milestones!$AC$183&amp;";  ","")&amp;IF(AND(EDATE($D11,Milestones!$AA$184)&lt;=AsOfDate,IF($Q11=0,$W11,IF(AND($S11&lt;&gt;"",EDATE($D11,Milestones!$AA$184)&gt;=$S11),$V11,IF(AND($R11&lt;&gt;"",EDATE($D11,Milestones!$AA$184)&gt;=$R11),$U11,$T11)))=Milestones!$AB$184),TEXT(EDATE($D11,Milestones!$AA$184),"dd/mm/yy")&amp;" "&amp;Milestones!$AB$184&amp;" "&amp;Milestones!$AC$184&amp;";  ","")&amp;IF(AND(EDATE($D11,Milestones!$AA$185)&lt;=AsOfDate,IF($Q11=0,$W11,IF(AND($S11&lt;&gt;"",EDATE($D11,Milestones!$AA$185)&gt;=$S11),$V11,IF(AND($R11&lt;&gt;"",EDATE($D11,Milestones!$AA$185)&gt;=$R11),$U11,$T11)))=Milestones!$AB$185),TEXT(EDATE($D11,Milestones!$AA$185),"dd/mm/yy")&amp;" "&amp;Milestones!$AB$185&amp;" "&amp;Milestones!$AC$185&amp;";  ","")&amp;IF(AND(EDATE($D11,Milestones!$AA$186)&lt;=AsOfDate,IF($Q11=0,$W11,IF(AND($S11&lt;&gt;"",EDATE($D11,Milestones!$AA$186)&gt;=$S11),$V11,IF(AND($R11&lt;&gt;"",EDATE($D11,Milestones!$AA$186)&gt;=$R11),$U11,$T11)))=Milestones!$AB$186),TEXT(EDATE($D11,Milestones!$AA$186),"dd/mm/yy")&amp;" "&amp;Milestones!$AB$186&amp;" "&amp;Milestones!$AC$186&amp;";  ","")&amp;IF(AND(EDATE($D11,Milestones!$AA$187)&lt;=AsOfDate,IF($Q11=0,$W11,IF(AND($S11&lt;&gt;"",EDATE($D11,Milestones!$AA$187)&gt;=$S11),$V11,IF(AND($R11&lt;&gt;"",EDATE($D11,Milestones!$AA$187)&gt;=$R11),$U11,$T11)))=Milestones!$AB$187),TEXT(EDATE($D11,Milestones!$AA$187),"dd/mm/yy")&amp;" "&amp;Milestones!$AB$187&amp;" "&amp;Milestones!$AC$187&amp;";  ","")&amp;IF(AND(EDATE($D11,Milestones!$AA$188)&lt;=AsOfDate,IF($Q11=0,$W11,IF(AND($S11&lt;&gt;"",EDATE($D11,Milestones!$AA$188)&gt;=$S11),$V11,IF(AND($R11&lt;&gt;"",EDATE($D11,Milestones!$AA$188)&gt;=$R11),$U11,$T11)))=Milestones!$AB$188),TEXT(EDATE($D11,Milestones!$AA$188),"dd/mm/yy")&amp;" "&amp;Milestones!$AB$188&amp;" "&amp;Milestones!$AC$188&amp;";  ","")&amp;IF(AND(EDATE($D11,Milestones!$AA$189)&lt;=AsOfDate,IF($Q11=0,$W11,IF(AND($S11&lt;&gt;"",EDATE($D11,Milestones!$AA$189)&gt;=$S11),$V11,IF(AND($R11&lt;&gt;"",EDATE($D11,Milestones!$AA$189)&gt;=$R11),$U11,$T11)))=Milestones!$AB$189),TEXT(EDATE($D11,Milestones!$AA$189),"dd/mm/yy")&amp;" "&amp;Milestones!$AB$189&amp;" "&amp;Milestones!$AC$189&amp;";  ","")&amp;IF(AND(EDATE($D11,Milestones!$AA$190)&lt;=AsOfDate,IF($Q11=0,$W11,IF(AND($S11&lt;&gt;"",EDATE($D11,Milestones!$AA$190)&gt;=$S11),$V11,IF(AND($R11&lt;&gt;"",EDATE($D11,Milestones!$AA$190)&gt;=$R11),$U11,$T11)))=Milestones!$AB$190),TEXT(EDATE($D11,Milestones!$AA$190),"dd/mm/yy")&amp;" "&amp;Milestones!$AB$190&amp;" "&amp;Milestones!$AC$190&amp;";  ","")&amp;IF(AND(EDATE($D11,Milestones!$AA$191)&lt;=AsOfDate,IF($Q11=0,$W11,IF(AND($S11&lt;&gt;"",EDATE($D11,Milestones!$AA$191)&gt;=$S11),$V11,IF(AND($R11&lt;&gt;"",EDATE($D11,Milestones!$AA$191)&gt;=$R11),$U11,$T11)))=Milestones!$AB$191),TEXT(EDATE($D11,Milestones!$AA$191),"dd/mm/yy")&amp;" "&amp;Milestones!$AB$191&amp;" "&amp;Milestones!$AC$191&amp;";  ","")&amp;IF(AND(EDATE($D11,Milestones!$AA$192)&lt;=AsOfDate,IF($Q11=0,$W11,IF(AND($S11&lt;&gt;"",EDATE($D11,Milestones!$AA$192)&gt;=$S11),$V11,IF(AND($R11&lt;&gt;"",EDATE($D11,Milestones!$AA$192)&gt;=$R11),$U11,$T11)))=Milestones!$AB$192),TEXT(EDATE($D11,Milestones!$AA$192),"dd/mm/yy")&amp;" "&amp;Milestones!$AB$192&amp;" "&amp;Milestones!$AC$192&amp;";  ","")&amp;IF(AND(EDATE($D11,Milestones!$AA$193)&lt;=AsOfDate,IF($Q11=0,$W11,IF(AND($S11&lt;&gt;"",EDATE($D11,Milestones!$AA$193)&gt;=$S11),$V11,IF(AND($R11&lt;&gt;"",EDATE($D11,Milestones!$AA$193)&gt;=$R11),$U11,$T11)))=Milestones!$AB$193),TEXT(EDATE($D11,Milestones!$AA$193),"dd/mm/yy")&amp;" "&amp;Milestones!$AB$193&amp;" "&amp;Milestones!$AC$193&amp;";  ","")&amp;IF(AND(EDATE($D11,Milestones!$AA$194)&lt;=AsOfDate,IF($Q11=0,$W11,IF(AND($S11&lt;&gt;"",EDATE($D11,Milestones!$AA$194)&gt;=$S11),$V11,IF(AND($R11&lt;&gt;"",EDATE($D11,Milestones!$AA$194)&gt;=$R11),$U11,$T11)))=Milestones!$AB$194),TEXT(EDATE($D11,Milestones!$AA$194),"dd/mm/yy")&amp;" "&amp;Milestones!$AB$194&amp;" "&amp;Milestones!$AC$194&amp;";  ","")&amp;IF(AND(EDATE($D11,Milestones!$AA$195)&lt;=AsOfDate,IF($Q11=0,$W11,IF(AND($S11&lt;&gt;"",EDATE($D11,Milestones!$AA$195)&gt;=$S11),$V11,IF(AND($R11&lt;&gt;"",EDATE($D11,Milestones!$AA$195)&gt;=$R11),$U11,$T11)))=Milestones!$AB$195),TEXT(EDATE($D11,Milestones!$AA$195),"dd/mm/yy")&amp;" "&amp;Milestones!$AB$195&amp;" "&amp;Milestones!$AC$195&amp;";  ","")&amp;IF(AND(EDATE($D11,Milestones!$AA$196)&lt;=AsOfDate,IF($Q11=0,$W11,IF(AND($S11&lt;&gt;"",EDATE($D11,Milestones!$AA$196)&gt;=$S11),$V11,IF(AND($R11&lt;&gt;"",EDATE($D11,Milestones!$AA$196)&gt;=$R11),$U11,$T11)))=Milestones!$AB$196),TEXT(EDATE($D11,Milestones!$AA$196),"dd/mm/yy")&amp;" "&amp;Milestones!$AB$196&amp;" "&amp;Milestones!$AC$196&amp;";  ","")&amp;IF(AND(EDATE($D11,Milestones!$AA$197)&lt;=AsOfDate,IF($Q11=0,$W11,IF(AND($S11&lt;&gt;"",EDATE($D11,Milestones!$AA$197)&gt;=$S11),$V11,IF(AND($R11&lt;&gt;"",EDATE($D11,Milestones!$AA$197)&gt;=$R11),$U11,$T11)))=Milestones!$AB$197),TEXT(EDATE($D11,Milestones!$AA$197),"dd/mm/yy")&amp;" "&amp;Milestones!$AB$197&amp;" "&amp;Milestones!$AC$197&amp;";  ","")&amp;IF(AND(EDATE($D11,Milestones!$AA$198)&lt;=AsOfDate,IF($Q11=0,$W11,IF(AND($S11&lt;&gt;"",EDATE($D11,Milestones!$AA$198)&gt;=$S11),$V11,IF(AND($R11&lt;&gt;"",EDATE($D11,Milestones!$AA$198)&gt;=$R11),$U11,$T11)))=Milestones!$AB$198),TEXT(EDATE($D11,Milestones!$AA$198),"dd/mm/yy")&amp;" "&amp;Milestones!$AB$198&amp;" "&amp;Milestones!$AC$198&amp;";  ","")&amp;IF(AND(EDATE($D11,Milestones!$AA$199)&lt;=AsOfDate,IF($Q11=0,$W11,IF(AND($S11&lt;&gt;"",EDATE($D11,Milestones!$AA$199)&gt;=$S11),$V11,IF(AND($R11&lt;&gt;"",EDATE($D11,Milestones!$AA$199)&gt;=$R11),$U11,$T11)))=Milestones!$AB$199),TEXT(EDATE($D11,Milestones!$AA$199),"dd/mm/yy")&amp;" "&amp;Milestones!$AB$199&amp;" "&amp;Milestones!$AC$199&amp;";  ",""))</f>
        <v/>
      </c>
      <c r="Q11" s="0" t="str">
        <f aca="false">IF(Staff!$A11="","",Staff!$AG11)</f>
        <v/>
      </c>
      <c r="R11" s="0" t="str">
        <f aca="false">IF(Staff!$A11="","",Staff!$AI11)</f>
        <v/>
      </c>
      <c r="S11" s="0" t="str">
        <f aca="false">IF(Staff!$A11="","",Staff!$AJ11)</f>
        <v/>
      </c>
      <c r="T11" s="0" t="str">
        <f aca="false">IF(Staff!$A11="","",Staff!$AN11)</f>
        <v/>
      </c>
      <c r="U11" s="0" t="str">
        <f aca="false">IF(Staff!$A11="","",Staff!$AO11)</f>
        <v/>
      </c>
      <c r="V11" s="0" t="str">
        <f aca="false">IF(Staff!$A11="","",Staff!$AP11)</f>
        <v/>
      </c>
      <c r="W11" s="0" t="str">
        <f aca="false">IF(Staff!$A11="","",Staff!$AQ11)</f>
        <v/>
      </c>
    </row>
    <row r="12" customFormat="false" ht="15" hidden="false" customHeight="false" outlineLevel="0" collapsed="false">
      <c r="A12" s="13" t="str">
        <f aca="false">IF(Staff!$A12="","",Staff!$A12)</f>
        <v/>
      </c>
      <c r="B12" s="13" t="str">
        <f aca="false">IF(Staff!$A12="","",Staff!$B12)</f>
        <v/>
      </c>
      <c r="C12" s="13" t="str">
        <f aca="false">IF(Staff!$A12="","",Staff!$C12)</f>
        <v/>
      </c>
      <c r="D12" s="11" t="str">
        <f aca="false">IF(Staff!$A12="","",Staff!$AF12)</f>
        <v/>
      </c>
      <c r="E12" s="13" t="str">
        <f aca="false">IF(Staff!$A12="","",Staff!$O12)</f>
        <v/>
      </c>
      <c r="F12" s="13" t="str">
        <f aca="false">IF(E12="","",E12*HoursPerDay)</f>
        <v/>
      </c>
      <c r="G12" s="26" t="str">
        <f aca="false">IF($A12="","",H12&amp;I12&amp;J12&amp;K12&amp;L12&amp;M12&amp;N12&amp;O12&amp;P12)</f>
        <v/>
      </c>
      <c r="H12" s="0" t="str">
        <f aca="false">IF(OR($A12="",$D12=""),"",IF(AND(EDATE($D12,Milestones!$AA$20)&lt;=AsOfDate,IF($Q12=0,$W12,IF(AND($S12&lt;&gt;"",EDATE($D12,Milestones!$AA$20)&gt;=$S12),$V12,IF(AND($R12&lt;&gt;"",EDATE($D12,Milestones!$AA$20)&gt;=$R12),$U12,$T12)))=Milestones!$AB$20),TEXT(EDATE($D12,Milestones!$AA$20),"dd/mm/yy")&amp;" "&amp;Milestones!$AB$20&amp;" "&amp;Milestones!$AC$20&amp;";  ","")&amp;IF(AND(EDATE($D12,Milestones!$AA$21)&lt;=AsOfDate,IF($Q12=0,$W12,IF(AND($S12&lt;&gt;"",EDATE($D12,Milestones!$AA$21)&gt;=$S12),$V12,IF(AND($R12&lt;&gt;"",EDATE($D12,Milestones!$AA$21)&gt;=$R12),$U12,$T12)))=Milestones!$AB$21),TEXT(EDATE($D12,Milestones!$AA$21),"dd/mm/yy")&amp;" "&amp;Milestones!$AB$21&amp;" "&amp;Milestones!$AC$21&amp;";  ","")&amp;IF(AND(EDATE($D12,Milestones!$AA$22)&lt;=AsOfDate,IF($Q12=0,$W12,IF(AND($S12&lt;&gt;"",EDATE($D12,Milestones!$AA$22)&gt;=$S12),$V12,IF(AND($R12&lt;&gt;"",EDATE($D12,Milestones!$AA$22)&gt;=$R12),$U12,$T12)))=Milestones!$AB$22),TEXT(EDATE($D12,Milestones!$AA$22),"dd/mm/yy")&amp;" "&amp;Milestones!$AB$22&amp;" "&amp;Milestones!$AC$22&amp;";  ","")&amp;IF(AND(EDATE($D12,Milestones!$AA$23)&lt;=AsOfDate,IF($Q12=0,$W12,IF(AND($S12&lt;&gt;"",EDATE($D12,Milestones!$AA$23)&gt;=$S12),$V12,IF(AND($R12&lt;&gt;"",EDATE($D12,Milestones!$AA$23)&gt;=$R12),$U12,$T12)))=Milestones!$AB$23),TEXT(EDATE($D12,Milestones!$AA$23),"dd/mm/yy")&amp;" "&amp;Milestones!$AB$23&amp;" "&amp;Milestones!$AC$23&amp;";  ","")&amp;IF(AND(EDATE($D12,Milestones!$AA$24)&lt;=AsOfDate,IF($Q12=0,$W12,IF(AND($S12&lt;&gt;"",EDATE($D12,Milestones!$AA$24)&gt;=$S12),$V12,IF(AND($R12&lt;&gt;"",EDATE($D12,Milestones!$AA$24)&gt;=$R12),$U12,$T12)))=Milestones!$AB$24),TEXT(EDATE($D12,Milestones!$AA$24),"dd/mm/yy")&amp;" "&amp;Milestones!$AB$24&amp;" "&amp;Milestones!$AC$24&amp;";  ","")&amp;IF(AND(EDATE($D12,Milestones!$AA$25)&lt;=AsOfDate,IF($Q12=0,$W12,IF(AND($S12&lt;&gt;"",EDATE($D12,Milestones!$AA$25)&gt;=$S12),$V12,IF(AND($R12&lt;&gt;"",EDATE($D12,Milestones!$AA$25)&gt;=$R12),$U12,$T12)))=Milestones!$AB$25),TEXT(EDATE($D12,Milestones!$AA$25),"dd/mm/yy")&amp;" "&amp;Milestones!$AB$25&amp;" "&amp;Milestones!$AC$25&amp;";  ","")&amp;IF(AND(EDATE($D12,Milestones!$AA$26)&lt;=AsOfDate,IF($Q12=0,$W12,IF(AND($S12&lt;&gt;"",EDATE($D12,Milestones!$AA$26)&gt;=$S12),$V12,IF(AND($R12&lt;&gt;"",EDATE($D12,Milestones!$AA$26)&gt;=$R12),$U12,$T12)))=Milestones!$AB$26),TEXT(EDATE($D12,Milestones!$AA$26),"dd/mm/yy")&amp;" "&amp;Milestones!$AB$26&amp;" "&amp;Milestones!$AC$26&amp;";  ","")&amp;IF(AND(EDATE($D12,Milestones!$AA$27)&lt;=AsOfDate,IF($Q12=0,$W12,IF(AND($S12&lt;&gt;"",EDATE($D12,Milestones!$AA$27)&gt;=$S12),$V12,IF(AND($R12&lt;&gt;"",EDATE($D12,Milestones!$AA$27)&gt;=$R12),$U12,$T12)))=Milestones!$AB$27),TEXT(EDATE($D12,Milestones!$AA$27),"dd/mm/yy")&amp;" "&amp;Milestones!$AB$27&amp;" "&amp;Milestones!$AC$27&amp;";  ","")&amp;IF(AND(EDATE($D12,Milestones!$AA$28)&lt;=AsOfDate,IF($Q12=0,$W12,IF(AND($S12&lt;&gt;"",EDATE($D12,Milestones!$AA$28)&gt;=$S12),$V12,IF(AND($R12&lt;&gt;"",EDATE($D12,Milestones!$AA$28)&gt;=$R12),$U12,$T12)))=Milestones!$AB$28),TEXT(EDATE($D12,Milestones!$AA$28),"dd/mm/yy")&amp;" "&amp;Milestones!$AB$28&amp;" "&amp;Milestones!$AC$28&amp;";  ","")&amp;IF(AND(EDATE($D12,Milestones!$AA$29)&lt;=AsOfDate,IF($Q12=0,$W12,IF(AND($S12&lt;&gt;"",EDATE($D12,Milestones!$AA$29)&gt;=$S12),$V12,IF(AND($R12&lt;&gt;"",EDATE($D12,Milestones!$AA$29)&gt;=$R12),$U12,$T12)))=Milestones!$AB$29),TEXT(EDATE($D12,Milestones!$AA$29),"dd/mm/yy")&amp;" "&amp;Milestones!$AB$29&amp;" "&amp;Milestones!$AC$29&amp;";  ","")&amp;IF(AND(EDATE($D12,Milestones!$AA$30)&lt;=AsOfDate,IF($Q12=0,$W12,IF(AND($S12&lt;&gt;"",EDATE($D12,Milestones!$AA$30)&gt;=$S12),$V12,IF(AND($R12&lt;&gt;"",EDATE($D12,Milestones!$AA$30)&gt;=$R12),$U12,$T12)))=Milestones!$AB$30),TEXT(EDATE($D12,Milestones!$AA$30),"dd/mm/yy")&amp;" "&amp;Milestones!$AB$30&amp;" "&amp;Milestones!$AC$30&amp;";  ","")&amp;IF(AND(EDATE($D12,Milestones!$AA$31)&lt;=AsOfDate,IF($Q12=0,$W12,IF(AND($S12&lt;&gt;"",EDATE($D12,Milestones!$AA$31)&gt;=$S12),$V12,IF(AND($R12&lt;&gt;"",EDATE($D12,Milestones!$AA$31)&gt;=$R12),$U12,$T12)))=Milestones!$AB$31),TEXT(EDATE($D12,Milestones!$AA$31),"dd/mm/yy")&amp;" "&amp;Milestones!$AB$31&amp;" "&amp;Milestones!$AC$31&amp;";  ","")&amp;IF(AND(EDATE($D12,Milestones!$AA$32)&lt;=AsOfDate,IF($Q12=0,$W12,IF(AND($S12&lt;&gt;"",EDATE($D12,Milestones!$AA$32)&gt;=$S12),$V12,IF(AND($R12&lt;&gt;"",EDATE($D12,Milestones!$AA$32)&gt;=$R12),$U12,$T12)))=Milestones!$AB$32),TEXT(EDATE($D12,Milestones!$AA$32),"dd/mm/yy")&amp;" "&amp;Milestones!$AB$32&amp;" "&amp;Milestones!$AC$32&amp;";  ","")&amp;IF(AND(EDATE($D12,Milestones!$AA$33)&lt;=AsOfDate,IF($Q12=0,$W12,IF(AND($S12&lt;&gt;"",EDATE($D12,Milestones!$AA$33)&gt;=$S12),$V12,IF(AND($R12&lt;&gt;"",EDATE($D12,Milestones!$AA$33)&gt;=$R12),$U12,$T12)))=Milestones!$AB$33),TEXT(EDATE($D12,Milestones!$AA$33),"dd/mm/yy")&amp;" "&amp;Milestones!$AB$33&amp;" "&amp;Milestones!$AC$33&amp;";  ","")&amp;IF(AND(EDATE($D12,Milestones!$AA$34)&lt;=AsOfDate,IF($Q12=0,$W12,IF(AND($S12&lt;&gt;"",EDATE($D12,Milestones!$AA$34)&gt;=$S12),$V12,IF(AND($R12&lt;&gt;"",EDATE($D12,Milestones!$AA$34)&gt;=$R12),$U12,$T12)))=Milestones!$AB$34),TEXT(EDATE($D12,Milestones!$AA$34),"dd/mm/yy")&amp;" "&amp;Milestones!$AB$34&amp;" "&amp;Milestones!$AC$34&amp;";  ","")&amp;IF(AND(EDATE($D12,Milestones!$AA$35)&lt;=AsOfDate,IF($Q12=0,$W12,IF(AND($S12&lt;&gt;"",EDATE($D12,Milestones!$AA$35)&gt;=$S12),$V12,IF(AND($R12&lt;&gt;"",EDATE($D12,Milestones!$AA$35)&gt;=$R12),$U12,$T12)))=Milestones!$AB$35),TEXT(EDATE($D12,Milestones!$AA$35),"dd/mm/yy")&amp;" "&amp;Milestones!$AB$35&amp;" "&amp;Milestones!$AC$35&amp;";  ","")&amp;IF(AND(EDATE($D12,Milestones!$AA$36)&lt;=AsOfDate,IF($Q12=0,$W12,IF(AND($S12&lt;&gt;"",EDATE($D12,Milestones!$AA$36)&gt;=$S12),$V12,IF(AND($R12&lt;&gt;"",EDATE($D12,Milestones!$AA$36)&gt;=$R12),$U12,$T12)))=Milestones!$AB$36),TEXT(EDATE($D12,Milestones!$AA$36),"dd/mm/yy")&amp;" "&amp;Milestones!$AB$36&amp;" "&amp;Milestones!$AC$36&amp;";  ","")&amp;IF(AND(EDATE($D12,Milestones!$AA$37)&lt;=AsOfDate,IF($Q12=0,$W12,IF(AND($S12&lt;&gt;"",EDATE($D12,Milestones!$AA$37)&gt;=$S12),$V12,IF(AND($R12&lt;&gt;"",EDATE($D12,Milestones!$AA$37)&gt;=$R12),$U12,$T12)))=Milestones!$AB$37),TEXT(EDATE($D12,Milestones!$AA$37),"dd/mm/yy")&amp;" "&amp;Milestones!$AB$37&amp;" "&amp;Milestones!$AC$37&amp;";  ","")&amp;IF(AND(EDATE($D12,Milestones!$AA$38)&lt;=AsOfDate,IF($Q12=0,$W12,IF(AND($S12&lt;&gt;"",EDATE($D12,Milestones!$AA$38)&gt;=$S12),$V12,IF(AND($R12&lt;&gt;"",EDATE($D12,Milestones!$AA$38)&gt;=$R12),$U12,$T12)))=Milestones!$AB$38),TEXT(EDATE($D12,Milestones!$AA$38),"dd/mm/yy")&amp;" "&amp;Milestones!$AB$38&amp;" "&amp;Milestones!$AC$38&amp;";  ","")&amp;IF(AND(EDATE($D12,Milestones!$AA$39)&lt;=AsOfDate,IF($Q12=0,$W12,IF(AND($S12&lt;&gt;"",EDATE($D12,Milestones!$AA$39)&gt;=$S12),$V12,IF(AND($R12&lt;&gt;"",EDATE($D12,Milestones!$AA$39)&gt;=$R12),$U12,$T12)))=Milestones!$AB$39),TEXT(EDATE($D12,Milestones!$AA$39),"dd/mm/yy")&amp;" "&amp;Milestones!$AB$39&amp;" "&amp;Milestones!$AC$39&amp;";  ",""))</f>
        <v/>
      </c>
      <c r="I12" s="0" t="str">
        <f aca="false">IF(OR($A12="",$D12=""),"",IF(AND(EDATE($D12,Milestones!$AA$40)&lt;=AsOfDate,IF($Q12=0,$W12,IF(AND($S12&lt;&gt;"",EDATE($D12,Milestones!$AA$40)&gt;=$S12),$V12,IF(AND($R12&lt;&gt;"",EDATE($D12,Milestones!$AA$40)&gt;=$R12),$U12,$T12)))=Milestones!$AB$40),TEXT(EDATE($D12,Milestones!$AA$40),"dd/mm/yy")&amp;" "&amp;Milestones!$AB$40&amp;" "&amp;Milestones!$AC$40&amp;";  ","")&amp;IF(AND(EDATE($D12,Milestones!$AA$41)&lt;=AsOfDate,IF($Q12=0,$W12,IF(AND($S12&lt;&gt;"",EDATE($D12,Milestones!$AA$41)&gt;=$S12),$V12,IF(AND($R12&lt;&gt;"",EDATE($D12,Milestones!$AA$41)&gt;=$R12),$U12,$T12)))=Milestones!$AB$41),TEXT(EDATE($D12,Milestones!$AA$41),"dd/mm/yy")&amp;" "&amp;Milestones!$AB$41&amp;" "&amp;Milestones!$AC$41&amp;";  ","")&amp;IF(AND(EDATE($D12,Milestones!$AA$42)&lt;=AsOfDate,IF($Q12=0,$W12,IF(AND($S12&lt;&gt;"",EDATE($D12,Milestones!$AA$42)&gt;=$S12),$V12,IF(AND($R12&lt;&gt;"",EDATE($D12,Milestones!$AA$42)&gt;=$R12),$U12,$T12)))=Milestones!$AB$42),TEXT(EDATE($D12,Milestones!$AA$42),"dd/mm/yy")&amp;" "&amp;Milestones!$AB$42&amp;" "&amp;Milestones!$AC$42&amp;";  ","")&amp;IF(AND(EDATE($D12,Milestones!$AA$43)&lt;=AsOfDate,IF($Q12=0,$W12,IF(AND($S12&lt;&gt;"",EDATE($D12,Milestones!$AA$43)&gt;=$S12),$V12,IF(AND($R12&lt;&gt;"",EDATE($D12,Milestones!$AA$43)&gt;=$R12),$U12,$T12)))=Milestones!$AB$43),TEXT(EDATE($D12,Milestones!$AA$43),"dd/mm/yy")&amp;" "&amp;Milestones!$AB$43&amp;" "&amp;Milestones!$AC$43&amp;";  ","")&amp;IF(AND(EDATE($D12,Milestones!$AA$44)&lt;=AsOfDate,IF($Q12=0,$W12,IF(AND($S12&lt;&gt;"",EDATE($D12,Milestones!$AA$44)&gt;=$S12),$V12,IF(AND($R12&lt;&gt;"",EDATE($D12,Milestones!$AA$44)&gt;=$R12),$U12,$T12)))=Milestones!$AB$44),TEXT(EDATE($D12,Milestones!$AA$44),"dd/mm/yy")&amp;" "&amp;Milestones!$AB$44&amp;" "&amp;Milestones!$AC$44&amp;";  ","")&amp;IF(AND(EDATE($D12,Milestones!$AA$45)&lt;=AsOfDate,IF($Q12=0,$W12,IF(AND($S12&lt;&gt;"",EDATE($D12,Milestones!$AA$45)&gt;=$S12),$V12,IF(AND($R12&lt;&gt;"",EDATE($D12,Milestones!$AA$45)&gt;=$R12),$U12,$T12)))=Milestones!$AB$45),TEXT(EDATE($D12,Milestones!$AA$45),"dd/mm/yy")&amp;" "&amp;Milestones!$AB$45&amp;" "&amp;Milestones!$AC$45&amp;";  ","")&amp;IF(AND(EDATE($D12,Milestones!$AA$46)&lt;=AsOfDate,IF($Q12=0,$W12,IF(AND($S12&lt;&gt;"",EDATE($D12,Milestones!$AA$46)&gt;=$S12),$V12,IF(AND($R12&lt;&gt;"",EDATE($D12,Milestones!$AA$46)&gt;=$R12),$U12,$T12)))=Milestones!$AB$46),TEXT(EDATE($D12,Milestones!$AA$46),"dd/mm/yy")&amp;" "&amp;Milestones!$AB$46&amp;" "&amp;Milestones!$AC$46&amp;";  ","")&amp;IF(AND(EDATE($D12,Milestones!$AA$47)&lt;=AsOfDate,IF($Q12=0,$W12,IF(AND($S12&lt;&gt;"",EDATE($D12,Milestones!$AA$47)&gt;=$S12),$V12,IF(AND($R12&lt;&gt;"",EDATE($D12,Milestones!$AA$47)&gt;=$R12),$U12,$T12)))=Milestones!$AB$47),TEXT(EDATE($D12,Milestones!$AA$47),"dd/mm/yy")&amp;" "&amp;Milestones!$AB$47&amp;" "&amp;Milestones!$AC$47&amp;";  ","")&amp;IF(AND(EDATE($D12,Milestones!$AA$48)&lt;=AsOfDate,IF($Q12=0,$W12,IF(AND($S12&lt;&gt;"",EDATE($D12,Milestones!$AA$48)&gt;=$S12),$V12,IF(AND($R12&lt;&gt;"",EDATE($D12,Milestones!$AA$48)&gt;=$R12),$U12,$T12)))=Milestones!$AB$48),TEXT(EDATE($D12,Milestones!$AA$48),"dd/mm/yy")&amp;" "&amp;Milestones!$AB$48&amp;" "&amp;Milestones!$AC$48&amp;";  ","")&amp;IF(AND(EDATE($D12,Milestones!$AA$49)&lt;=AsOfDate,IF($Q12=0,$W12,IF(AND($S12&lt;&gt;"",EDATE($D12,Milestones!$AA$49)&gt;=$S12),$V12,IF(AND($R12&lt;&gt;"",EDATE($D12,Milestones!$AA$49)&gt;=$R12),$U12,$T12)))=Milestones!$AB$49),TEXT(EDATE($D12,Milestones!$AA$49),"dd/mm/yy")&amp;" "&amp;Milestones!$AB$49&amp;" "&amp;Milestones!$AC$49&amp;";  ","")&amp;IF(AND(EDATE($D12,Milestones!$AA$50)&lt;=AsOfDate,IF($Q12=0,$W12,IF(AND($S12&lt;&gt;"",EDATE($D12,Milestones!$AA$50)&gt;=$S12),$V12,IF(AND($R12&lt;&gt;"",EDATE($D12,Milestones!$AA$50)&gt;=$R12),$U12,$T12)))=Milestones!$AB$50),TEXT(EDATE($D12,Milestones!$AA$50),"dd/mm/yy")&amp;" "&amp;Milestones!$AB$50&amp;" "&amp;Milestones!$AC$50&amp;";  ","")&amp;IF(AND(EDATE($D12,Milestones!$AA$51)&lt;=AsOfDate,IF($Q12=0,$W12,IF(AND($S12&lt;&gt;"",EDATE($D12,Milestones!$AA$51)&gt;=$S12),$V12,IF(AND($R12&lt;&gt;"",EDATE($D12,Milestones!$AA$51)&gt;=$R12),$U12,$T12)))=Milestones!$AB$51),TEXT(EDATE($D12,Milestones!$AA$51),"dd/mm/yy")&amp;" "&amp;Milestones!$AB$51&amp;" "&amp;Milestones!$AC$51&amp;";  ","")&amp;IF(AND(EDATE($D12,Milestones!$AA$52)&lt;=AsOfDate,IF($Q12=0,$W12,IF(AND($S12&lt;&gt;"",EDATE($D12,Milestones!$AA$52)&gt;=$S12),$V12,IF(AND($R12&lt;&gt;"",EDATE($D12,Milestones!$AA$52)&gt;=$R12),$U12,$T12)))=Milestones!$AB$52),TEXT(EDATE($D12,Milestones!$AA$52),"dd/mm/yy")&amp;" "&amp;Milestones!$AB$52&amp;" "&amp;Milestones!$AC$52&amp;";  ","")&amp;IF(AND(EDATE($D12,Milestones!$AA$53)&lt;=AsOfDate,IF($Q12=0,$W12,IF(AND($S12&lt;&gt;"",EDATE($D12,Milestones!$AA$53)&gt;=$S12),$V12,IF(AND($R12&lt;&gt;"",EDATE($D12,Milestones!$AA$53)&gt;=$R12),$U12,$T12)))=Milestones!$AB$53),TEXT(EDATE($D12,Milestones!$AA$53),"dd/mm/yy")&amp;" "&amp;Milestones!$AB$53&amp;" "&amp;Milestones!$AC$53&amp;";  ","")&amp;IF(AND(EDATE($D12,Milestones!$AA$54)&lt;=AsOfDate,IF($Q12=0,$W12,IF(AND($S12&lt;&gt;"",EDATE($D12,Milestones!$AA$54)&gt;=$S12),$V12,IF(AND($R12&lt;&gt;"",EDATE($D12,Milestones!$AA$54)&gt;=$R12),$U12,$T12)))=Milestones!$AB$54),TEXT(EDATE($D12,Milestones!$AA$54),"dd/mm/yy")&amp;" "&amp;Milestones!$AB$54&amp;" "&amp;Milestones!$AC$54&amp;";  ","")&amp;IF(AND(EDATE($D12,Milestones!$AA$55)&lt;=AsOfDate,IF($Q12=0,$W12,IF(AND($S12&lt;&gt;"",EDATE($D12,Milestones!$AA$55)&gt;=$S12),$V12,IF(AND($R12&lt;&gt;"",EDATE($D12,Milestones!$AA$55)&gt;=$R12),$U12,$T12)))=Milestones!$AB$55),TEXT(EDATE($D12,Milestones!$AA$55),"dd/mm/yy")&amp;" "&amp;Milestones!$AB$55&amp;" "&amp;Milestones!$AC$55&amp;";  ","")&amp;IF(AND(EDATE($D12,Milestones!$AA$56)&lt;=AsOfDate,IF($Q12=0,$W12,IF(AND($S12&lt;&gt;"",EDATE($D12,Milestones!$AA$56)&gt;=$S12),$V12,IF(AND($R12&lt;&gt;"",EDATE($D12,Milestones!$AA$56)&gt;=$R12),$U12,$T12)))=Milestones!$AB$56),TEXT(EDATE($D12,Milestones!$AA$56),"dd/mm/yy")&amp;" "&amp;Milestones!$AB$56&amp;" "&amp;Milestones!$AC$56&amp;";  ","")&amp;IF(AND(EDATE($D12,Milestones!$AA$57)&lt;=AsOfDate,IF($Q12=0,$W12,IF(AND($S12&lt;&gt;"",EDATE($D12,Milestones!$AA$57)&gt;=$S12),$V12,IF(AND($R12&lt;&gt;"",EDATE($D12,Milestones!$AA$57)&gt;=$R12),$U12,$T12)))=Milestones!$AB$57),TEXT(EDATE($D12,Milestones!$AA$57),"dd/mm/yy")&amp;" "&amp;Milestones!$AB$57&amp;" "&amp;Milestones!$AC$57&amp;";  ","")&amp;IF(AND(EDATE($D12,Milestones!$AA$58)&lt;=AsOfDate,IF($Q12=0,$W12,IF(AND($S12&lt;&gt;"",EDATE($D12,Milestones!$AA$58)&gt;=$S12),$V12,IF(AND($R12&lt;&gt;"",EDATE($D12,Milestones!$AA$58)&gt;=$R12),$U12,$T12)))=Milestones!$AB$58),TEXT(EDATE($D12,Milestones!$AA$58),"dd/mm/yy")&amp;" "&amp;Milestones!$AB$58&amp;" "&amp;Milestones!$AC$58&amp;";  ","")&amp;IF(AND(EDATE($D12,Milestones!$AA$59)&lt;=AsOfDate,IF($Q12=0,$W12,IF(AND($S12&lt;&gt;"",EDATE($D12,Milestones!$AA$59)&gt;=$S12),$V12,IF(AND($R12&lt;&gt;"",EDATE($D12,Milestones!$AA$59)&gt;=$R12),$U12,$T12)))=Milestones!$AB$59),TEXT(EDATE($D12,Milestones!$AA$59),"dd/mm/yy")&amp;" "&amp;Milestones!$AB$59&amp;" "&amp;Milestones!$AC$59&amp;";  ",""))</f>
        <v/>
      </c>
      <c r="J12" s="0" t="str">
        <f aca="false">IF(OR($A12="",$D12=""),"",IF(AND(EDATE($D12,Milestones!$AA$60)&lt;=AsOfDate,IF($Q12=0,$W12,IF(AND($S12&lt;&gt;"",EDATE($D12,Milestones!$AA$60)&gt;=$S12),$V12,IF(AND($R12&lt;&gt;"",EDATE($D12,Milestones!$AA$60)&gt;=$R12),$U12,$T12)))=Milestones!$AB$60),TEXT(EDATE($D12,Milestones!$AA$60),"dd/mm/yy")&amp;" "&amp;Milestones!$AB$60&amp;" "&amp;Milestones!$AC$60&amp;";  ","")&amp;IF(AND(EDATE($D12,Milestones!$AA$61)&lt;=AsOfDate,IF($Q12=0,$W12,IF(AND($S12&lt;&gt;"",EDATE($D12,Milestones!$AA$61)&gt;=$S12),$V12,IF(AND($R12&lt;&gt;"",EDATE($D12,Milestones!$AA$61)&gt;=$R12),$U12,$T12)))=Milestones!$AB$61),TEXT(EDATE($D12,Milestones!$AA$61),"dd/mm/yy")&amp;" "&amp;Milestones!$AB$61&amp;" "&amp;Milestones!$AC$61&amp;";  ","")&amp;IF(AND(EDATE($D12,Milestones!$AA$62)&lt;=AsOfDate,IF($Q12=0,$W12,IF(AND($S12&lt;&gt;"",EDATE($D12,Milestones!$AA$62)&gt;=$S12),$V12,IF(AND($R12&lt;&gt;"",EDATE($D12,Milestones!$AA$62)&gt;=$R12),$U12,$T12)))=Milestones!$AB$62),TEXT(EDATE($D12,Milestones!$AA$62),"dd/mm/yy")&amp;" "&amp;Milestones!$AB$62&amp;" "&amp;Milestones!$AC$62&amp;";  ","")&amp;IF(AND(EDATE($D12,Milestones!$AA$63)&lt;=AsOfDate,IF($Q12=0,$W12,IF(AND($S12&lt;&gt;"",EDATE($D12,Milestones!$AA$63)&gt;=$S12),$V12,IF(AND($R12&lt;&gt;"",EDATE($D12,Milestones!$AA$63)&gt;=$R12),$U12,$T12)))=Milestones!$AB$63),TEXT(EDATE($D12,Milestones!$AA$63),"dd/mm/yy")&amp;" "&amp;Milestones!$AB$63&amp;" "&amp;Milestones!$AC$63&amp;";  ","")&amp;IF(AND(EDATE($D12,Milestones!$AA$64)&lt;=AsOfDate,IF($Q12=0,$W12,IF(AND($S12&lt;&gt;"",EDATE($D12,Milestones!$AA$64)&gt;=$S12),$V12,IF(AND($R12&lt;&gt;"",EDATE($D12,Milestones!$AA$64)&gt;=$R12),$U12,$T12)))=Milestones!$AB$64),TEXT(EDATE($D12,Milestones!$AA$64),"dd/mm/yy")&amp;" "&amp;Milestones!$AB$64&amp;" "&amp;Milestones!$AC$64&amp;";  ","")&amp;IF(AND(EDATE($D12,Milestones!$AA$65)&lt;=AsOfDate,IF($Q12=0,$W12,IF(AND($S12&lt;&gt;"",EDATE($D12,Milestones!$AA$65)&gt;=$S12),$V12,IF(AND($R12&lt;&gt;"",EDATE($D12,Milestones!$AA$65)&gt;=$R12),$U12,$T12)))=Milestones!$AB$65),TEXT(EDATE($D12,Milestones!$AA$65),"dd/mm/yy")&amp;" "&amp;Milestones!$AB$65&amp;" "&amp;Milestones!$AC$65&amp;";  ","")&amp;IF(AND(EDATE($D12,Milestones!$AA$66)&lt;=AsOfDate,IF($Q12=0,$W12,IF(AND($S12&lt;&gt;"",EDATE($D12,Milestones!$AA$66)&gt;=$S12),$V12,IF(AND($R12&lt;&gt;"",EDATE($D12,Milestones!$AA$66)&gt;=$R12),$U12,$T12)))=Milestones!$AB$66),TEXT(EDATE($D12,Milestones!$AA$66),"dd/mm/yy")&amp;" "&amp;Milestones!$AB$66&amp;" "&amp;Milestones!$AC$66&amp;";  ","")&amp;IF(AND(EDATE($D12,Milestones!$AA$67)&lt;=AsOfDate,IF($Q12=0,$W12,IF(AND($S12&lt;&gt;"",EDATE($D12,Milestones!$AA$67)&gt;=$S12),$V12,IF(AND($R12&lt;&gt;"",EDATE($D12,Milestones!$AA$67)&gt;=$R12),$U12,$T12)))=Milestones!$AB$67),TEXT(EDATE($D12,Milestones!$AA$67),"dd/mm/yy")&amp;" "&amp;Milestones!$AB$67&amp;" "&amp;Milestones!$AC$67&amp;";  ","")&amp;IF(AND(EDATE($D12,Milestones!$AA$68)&lt;=AsOfDate,IF($Q12=0,$W12,IF(AND($S12&lt;&gt;"",EDATE($D12,Milestones!$AA$68)&gt;=$S12),$V12,IF(AND($R12&lt;&gt;"",EDATE($D12,Milestones!$AA$68)&gt;=$R12),$U12,$T12)))=Milestones!$AB$68),TEXT(EDATE($D12,Milestones!$AA$68),"dd/mm/yy")&amp;" "&amp;Milestones!$AB$68&amp;" "&amp;Milestones!$AC$68&amp;";  ","")&amp;IF(AND(EDATE($D12,Milestones!$AA$69)&lt;=AsOfDate,IF($Q12=0,$W12,IF(AND($S12&lt;&gt;"",EDATE($D12,Milestones!$AA$69)&gt;=$S12),$V12,IF(AND($R12&lt;&gt;"",EDATE($D12,Milestones!$AA$69)&gt;=$R12),$U12,$T12)))=Milestones!$AB$69),TEXT(EDATE($D12,Milestones!$AA$69),"dd/mm/yy")&amp;" "&amp;Milestones!$AB$69&amp;" "&amp;Milestones!$AC$69&amp;";  ","")&amp;IF(AND(EDATE($D12,Milestones!$AA$70)&lt;=AsOfDate,IF($Q12=0,$W12,IF(AND($S12&lt;&gt;"",EDATE($D12,Milestones!$AA$70)&gt;=$S12),$V12,IF(AND($R12&lt;&gt;"",EDATE($D12,Milestones!$AA$70)&gt;=$R12),$U12,$T12)))=Milestones!$AB$70),TEXT(EDATE($D12,Milestones!$AA$70),"dd/mm/yy")&amp;" "&amp;Milestones!$AB$70&amp;" "&amp;Milestones!$AC$70&amp;";  ","")&amp;IF(AND(EDATE($D12,Milestones!$AA$71)&lt;=AsOfDate,IF($Q12=0,$W12,IF(AND($S12&lt;&gt;"",EDATE($D12,Milestones!$AA$71)&gt;=$S12),$V12,IF(AND($R12&lt;&gt;"",EDATE($D12,Milestones!$AA$71)&gt;=$R12),$U12,$T12)))=Milestones!$AB$71),TEXT(EDATE($D12,Milestones!$AA$71),"dd/mm/yy")&amp;" "&amp;Milestones!$AB$71&amp;" "&amp;Milestones!$AC$71&amp;";  ","")&amp;IF(AND(EDATE($D12,Milestones!$AA$72)&lt;=AsOfDate,IF($Q12=0,$W12,IF(AND($S12&lt;&gt;"",EDATE($D12,Milestones!$AA$72)&gt;=$S12),$V12,IF(AND($R12&lt;&gt;"",EDATE($D12,Milestones!$AA$72)&gt;=$R12),$U12,$T12)))=Milestones!$AB$72),TEXT(EDATE($D12,Milestones!$AA$72),"dd/mm/yy")&amp;" "&amp;Milestones!$AB$72&amp;" "&amp;Milestones!$AC$72&amp;";  ","")&amp;IF(AND(EDATE($D12,Milestones!$AA$73)&lt;=AsOfDate,IF($Q12=0,$W12,IF(AND($S12&lt;&gt;"",EDATE($D12,Milestones!$AA$73)&gt;=$S12),$V12,IF(AND($R12&lt;&gt;"",EDATE($D12,Milestones!$AA$73)&gt;=$R12),$U12,$T12)))=Milestones!$AB$73),TEXT(EDATE($D12,Milestones!$AA$73),"dd/mm/yy")&amp;" "&amp;Milestones!$AB$73&amp;" "&amp;Milestones!$AC$73&amp;";  ","")&amp;IF(AND(EDATE($D12,Milestones!$AA$74)&lt;=AsOfDate,IF($Q12=0,$W12,IF(AND($S12&lt;&gt;"",EDATE($D12,Milestones!$AA$74)&gt;=$S12),$V12,IF(AND($R12&lt;&gt;"",EDATE($D12,Milestones!$AA$74)&gt;=$R12),$U12,$T12)))=Milestones!$AB$74),TEXT(EDATE($D12,Milestones!$AA$74),"dd/mm/yy")&amp;" "&amp;Milestones!$AB$74&amp;" "&amp;Milestones!$AC$74&amp;";  ","")&amp;IF(AND(EDATE($D12,Milestones!$AA$75)&lt;=AsOfDate,IF($Q12=0,$W12,IF(AND($S12&lt;&gt;"",EDATE($D12,Milestones!$AA$75)&gt;=$S12),$V12,IF(AND($R12&lt;&gt;"",EDATE($D12,Milestones!$AA$75)&gt;=$R12),$U12,$T12)))=Milestones!$AB$75),TEXT(EDATE($D12,Milestones!$AA$75),"dd/mm/yy")&amp;" "&amp;Milestones!$AB$75&amp;" "&amp;Milestones!$AC$75&amp;";  ","")&amp;IF(AND(EDATE($D12,Milestones!$AA$76)&lt;=AsOfDate,IF($Q12=0,$W12,IF(AND($S12&lt;&gt;"",EDATE($D12,Milestones!$AA$76)&gt;=$S12),$V12,IF(AND($R12&lt;&gt;"",EDATE($D12,Milestones!$AA$76)&gt;=$R12),$U12,$T12)))=Milestones!$AB$76),TEXT(EDATE($D12,Milestones!$AA$76),"dd/mm/yy")&amp;" "&amp;Milestones!$AB$76&amp;" "&amp;Milestones!$AC$76&amp;";  ","")&amp;IF(AND(EDATE($D12,Milestones!$AA$77)&lt;=AsOfDate,IF($Q12=0,$W12,IF(AND($S12&lt;&gt;"",EDATE($D12,Milestones!$AA$77)&gt;=$S12),$V12,IF(AND($R12&lt;&gt;"",EDATE($D12,Milestones!$AA$77)&gt;=$R12),$U12,$T12)))=Milestones!$AB$77),TEXT(EDATE($D12,Milestones!$AA$77),"dd/mm/yy")&amp;" "&amp;Milestones!$AB$77&amp;" "&amp;Milestones!$AC$77&amp;";  ","")&amp;IF(AND(EDATE($D12,Milestones!$AA$78)&lt;=AsOfDate,IF($Q12=0,$W12,IF(AND($S12&lt;&gt;"",EDATE($D12,Milestones!$AA$78)&gt;=$S12),$V12,IF(AND($R12&lt;&gt;"",EDATE($D12,Milestones!$AA$78)&gt;=$R12),$U12,$T12)))=Milestones!$AB$78),TEXT(EDATE($D12,Milestones!$AA$78),"dd/mm/yy")&amp;" "&amp;Milestones!$AB$78&amp;" "&amp;Milestones!$AC$78&amp;";  ","")&amp;IF(AND(EDATE($D12,Milestones!$AA$79)&lt;=AsOfDate,IF($Q12=0,$W12,IF(AND($S12&lt;&gt;"",EDATE($D12,Milestones!$AA$79)&gt;=$S12),$V12,IF(AND($R12&lt;&gt;"",EDATE($D12,Milestones!$AA$79)&gt;=$R12),$U12,$T12)))=Milestones!$AB$79),TEXT(EDATE($D12,Milestones!$AA$79),"dd/mm/yy")&amp;" "&amp;Milestones!$AB$79&amp;" "&amp;Milestones!$AC$79&amp;";  ",""))</f>
        <v/>
      </c>
      <c r="K12" s="0" t="str">
        <f aca="false">IF(OR($A12="",$D12=""),"",IF(AND(EDATE($D12,Milestones!$AA$80)&lt;=AsOfDate,IF($Q12=0,$W12,IF(AND($S12&lt;&gt;"",EDATE($D12,Milestones!$AA$80)&gt;=$S12),$V12,IF(AND($R12&lt;&gt;"",EDATE($D12,Milestones!$AA$80)&gt;=$R12),$U12,$T12)))=Milestones!$AB$80),TEXT(EDATE($D12,Milestones!$AA$80),"dd/mm/yy")&amp;" "&amp;Milestones!$AB$80&amp;" "&amp;Milestones!$AC$80&amp;";  ","")&amp;IF(AND(EDATE($D12,Milestones!$AA$81)&lt;=AsOfDate,IF($Q12=0,$W12,IF(AND($S12&lt;&gt;"",EDATE($D12,Milestones!$AA$81)&gt;=$S12),$V12,IF(AND($R12&lt;&gt;"",EDATE($D12,Milestones!$AA$81)&gt;=$R12),$U12,$T12)))=Milestones!$AB$81),TEXT(EDATE($D12,Milestones!$AA$81),"dd/mm/yy")&amp;" "&amp;Milestones!$AB$81&amp;" "&amp;Milestones!$AC$81&amp;";  ","")&amp;IF(AND(EDATE($D12,Milestones!$AA$82)&lt;=AsOfDate,IF($Q12=0,$W12,IF(AND($S12&lt;&gt;"",EDATE($D12,Milestones!$AA$82)&gt;=$S12),$V12,IF(AND($R12&lt;&gt;"",EDATE($D12,Milestones!$AA$82)&gt;=$R12),$U12,$T12)))=Milestones!$AB$82),TEXT(EDATE($D12,Milestones!$AA$82),"dd/mm/yy")&amp;" "&amp;Milestones!$AB$82&amp;" "&amp;Milestones!$AC$82&amp;";  ","")&amp;IF(AND(EDATE($D12,Milestones!$AA$83)&lt;=AsOfDate,IF($Q12=0,$W12,IF(AND($S12&lt;&gt;"",EDATE($D12,Milestones!$AA$83)&gt;=$S12),$V12,IF(AND($R12&lt;&gt;"",EDATE($D12,Milestones!$AA$83)&gt;=$R12),$U12,$T12)))=Milestones!$AB$83),TEXT(EDATE($D12,Milestones!$AA$83),"dd/mm/yy")&amp;" "&amp;Milestones!$AB$83&amp;" "&amp;Milestones!$AC$83&amp;";  ","")&amp;IF(AND(EDATE($D12,Milestones!$AA$84)&lt;=AsOfDate,IF($Q12=0,$W12,IF(AND($S12&lt;&gt;"",EDATE($D12,Milestones!$AA$84)&gt;=$S12),$V12,IF(AND($R12&lt;&gt;"",EDATE($D12,Milestones!$AA$84)&gt;=$R12),$U12,$T12)))=Milestones!$AB$84),TEXT(EDATE($D12,Milestones!$AA$84),"dd/mm/yy")&amp;" "&amp;Milestones!$AB$84&amp;" "&amp;Milestones!$AC$84&amp;";  ","")&amp;IF(AND(EDATE($D12,Milestones!$AA$85)&lt;=AsOfDate,IF($Q12=0,$W12,IF(AND($S12&lt;&gt;"",EDATE($D12,Milestones!$AA$85)&gt;=$S12),$V12,IF(AND($R12&lt;&gt;"",EDATE($D12,Milestones!$AA$85)&gt;=$R12),$U12,$T12)))=Milestones!$AB$85),TEXT(EDATE($D12,Milestones!$AA$85),"dd/mm/yy")&amp;" "&amp;Milestones!$AB$85&amp;" "&amp;Milestones!$AC$85&amp;";  ","")&amp;IF(AND(EDATE($D12,Milestones!$AA$86)&lt;=AsOfDate,IF($Q12=0,$W12,IF(AND($S12&lt;&gt;"",EDATE($D12,Milestones!$AA$86)&gt;=$S12),$V12,IF(AND($R12&lt;&gt;"",EDATE($D12,Milestones!$AA$86)&gt;=$R12),$U12,$T12)))=Milestones!$AB$86),TEXT(EDATE($D12,Milestones!$AA$86),"dd/mm/yy")&amp;" "&amp;Milestones!$AB$86&amp;" "&amp;Milestones!$AC$86&amp;";  ","")&amp;IF(AND(EDATE($D12,Milestones!$AA$87)&lt;=AsOfDate,IF($Q12=0,$W12,IF(AND($S12&lt;&gt;"",EDATE($D12,Milestones!$AA$87)&gt;=$S12),$V12,IF(AND($R12&lt;&gt;"",EDATE($D12,Milestones!$AA$87)&gt;=$R12),$U12,$T12)))=Milestones!$AB$87),TEXT(EDATE($D12,Milestones!$AA$87),"dd/mm/yy")&amp;" "&amp;Milestones!$AB$87&amp;" "&amp;Milestones!$AC$87&amp;";  ","")&amp;IF(AND(EDATE($D12,Milestones!$AA$88)&lt;=AsOfDate,IF($Q12=0,$W12,IF(AND($S12&lt;&gt;"",EDATE($D12,Milestones!$AA$88)&gt;=$S12),$V12,IF(AND($R12&lt;&gt;"",EDATE($D12,Milestones!$AA$88)&gt;=$R12),$U12,$T12)))=Milestones!$AB$88),TEXT(EDATE($D12,Milestones!$AA$88),"dd/mm/yy")&amp;" "&amp;Milestones!$AB$88&amp;" "&amp;Milestones!$AC$88&amp;";  ","")&amp;IF(AND(EDATE($D12,Milestones!$AA$89)&lt;=AsOfDate,IF($Q12=0,$W12,IF(AND($S12&lt;&gt;"",EDATE($D12,Milestones!$AA$89)&gt;=$S12),$V12,IF(AND($R12&lt;&gt;"",EDATE($D12,Milestones!$AA$89)&gt;=$R12),$U12,$T12)))=Milestones!$AB$89),TEXT(EDATE($D12,Milestones!$AA$89),"dd/mm/yy")&amp;" "&amp;Milestones!$AB$89&amp;" "&amp;Milestones!$AC$89&amp;";  ","")&amp;IF(AND(EDATE($D12,Milestones!$AA$90)&lt;=AsOfDate,IF($Q12=0,$W12,IF(AND($S12&lt;&gt;"",EDATE($D12,Milestones!$AA$90)&gt;=$S12),$V12,IF(AND($R12&lt;&gt;"",EDATE($D12,Milestones!$AA$90)&gt;=$R12),$U12,$T12)))=Milestones!$AB$90),TEXT(EDATE($D12,Milestones!$AA$90),"dd/mm/yy")&amp;" "&amp;Milestones!$AB$90&amp;" "&amp;Milestones!$AC$90&amp;";  ","")&amp;IF(AND(EDATE($D12,Milestones!$AA$91)&lt;=AsOfDate,IF($Q12=0,$W12,IF(AND($S12&lt;&gt;"",EDATE($D12,Milestones!$AA$91)&gt;=$S12),$V12,IF(AND($R12&lt;&gt;"",EDATE($D12,Milestones!$AA$91)&gt;=$R12),$U12,$T12)))=Milestones!$AB$91),TEXT(EDATE($D12,Milestones!$AA$91),"dd/mm/yy")&amp;" "&amp;Milestones!$AB$91&amp;" "&amp;Milestones!$AC$91&amp;";  ","")&amp;IF(AND(EDATE($D12,Milestones!$AA$92)&lt;=AsOfDate,IF($Q12=0,$W12,IF(AND($S12&lt;&gt;"",EDATE($D12,Milestones!$AA$92)&gt;=$S12),$V12,IF(AND($R12&lt;&gt;"",EDATE($D12,Milestones!$AA$92)&gt;=$R12),$U12,$T12)))=Milestones!$AB$92),TEXT(EDATE($D12,Milestones!$AA$92),"dd/mm/yy")&amp;" "&amp;Milestones!$AB$92&amp;" "&amp;Milestones!$AC$92&amp;";  ","")&amp;IF(AND(EDATE($D12,Milestones!$AA$93)&lt;=AsOfDate,IF($Q12=0,$W12,IF(AND($S12&lt;&gt;"",EDATE($D12,Milestones!$AA$93)&gt;=$S12),$V12,IF(AND($R12&lt;&gt;"",EDATE($D12,Milestones!$AA$93)&gt;=$R12),$U12,$T12)))=Milestones!$AB$93),TEXT(EDATE($D12,Milestones!$AA$93),"dd/mm/yy")&amp;" "&amp;Milestones!$AB$93&amp;" "&amp;Milestones!$AC$93&amp;";  ","")&amp;IF(AND(EDATE($D12,Milestones!$AA$94)&lt;=AsOfDate,IF($Q12=0,$W12,IF(AND($S12&lt;&gt;"",EDATE($D12,Milestones!$AA$94)&gt;=$S12),$V12,IF(AND($R12&lt;&gt;"",EDATE($D12,Milestones!$AA$94)&gt;=$R12),$U12,$T12)))=Milestones!$AB$94),TEXT(EDATE($D12,Milestones!$AA$94),"dd/mm/yy")&amp;" "&amp;Milestones!$AB$94&amp;" "&amp;Milestones!$AC$94&amp;";  ","")&amp;IF(AND(EDATE($D12,Milestones!$AA$95)&lt;=AsOfDate,IF($Q12=0,$W12,IF(AND($S12&lt;&gt;"",EDATE($D12,Milestones!$AA$95)&gt;=$S12),$V12,IF(AND($R12&lt;&gt;"",EDATE($D12,Milestones!$AA$95)&gt;=$R12),$U12,$T12)))=Milestones!$AB$95),TEXT(EDATE($D12,Milestones!$AA$95),"dd/mm/yy")&amp;" "&amp;Milestones!$AB$95&amp;" "&amp;Milestones!$AC$95&amp;";  ","")&amp;IF(AND(EDATE($D12,Milestones!$AA$96)&lt;=AsOfDate,IF($Q12=0,$W12,IF(AND($S12&lt;&gt;"",EDATE($D12,Milestones!$AA$96)&gt;=$S12),$V12,IF(AND($R12&lt;&gt;"",EDATE($D12,Milestones!$AA$96)&gt;=$R12),$U12,$T12)))=Milestones!$AB$96),TEXT(EDATE($D12,Milestones!$AA$96),"dd/mm/yy")&amp;" "&amp;Milestones!$AB$96&amp;" "&amp;Milestones!$AC$96&amp;";  ","")&amp;IF(AND(EDATE($D12,Milestones!$AA$97)&lt;=AsOfDate,IF($Q12=0,$W12,IF(AND($S12&lt;&gt;"",EDATE($D12,Milestones!$AA$97)&gt;=$S12),$V12,IF(AND($R12&lt;&gt;"",EDATE($D12,Milestones!$AA$97)&gt;=$R12),$U12,$T12)))=Milestones!$AB$97),TEXT(EDATE($D12,Milestones!$AA$97),"dd/mm/yy")&amp;" "&amp;Milestones!$AB$97&amp;" "&amp;Milestones!$AC$97&amp;";  ","")&amp;IF(AND(EDATE($D12,Milestones!$AA$98)&lt;=AsOfDate,IF($Q12=0,$W12,IF(AND($S12&lt;&gt;"",EDATE($D12,Milestones!$AA$98)&gt;=$S12),$V12,IF(AND($R12&lt;&gt;"",EDATE($D12,Milestones!$AA$98)&gt;=$R12),$U12,$T12)))=Milestones!$AB$98),TEXT(EDATE($D12,Milestones!$AA$98),"dd/mm/yy")&amp;" "&amp;Milestones!$AB$98&amp;" "&amp;Milestones!$AC$98&amp;";  ","")&amp;IF(AND(EDATE($D12,Milestones!$AA$99)&lt;=AsOfDate,IF($Q12=0,$W12,IF(AND($S12&lt;&gt;"",EDATE($D12,Milestones!$AA$99)&gt;=$S12),$V12,IF(AND($R12&lt;&gt;"",EDATE($D12,Milestones!$AA$99)&gt;=$R12),$U12,$T12)))=Milestones!$AB$99),TEXT(EDATE($D12,Milestones!$AA$99),"dd/mm/yy")&amp;" "&amp;Milestones!$AB$99&amp;" "&amp;Milestones!$AC$99&amp;";  ",""))</f>
        <v/>
      </c>
      <c r="L12" s="0" t="str">
        <f aca="false">IF(OR($A12="",$D12=""),"",IF(AND(EDATE($D12,Milestones!$AA$100)&lt;=AsOfDate,IF($Q12=0,$W12,IF(AND($S12&lt;&gt;"",EDATE($D12,Milestones!$AA$100)&gt;=$S12),$V12,IF(AND($R12&lt;&gt;"",EDATE($D12,Milestones!$AA$100)&gt;=$R12),$U12,$T12)))=Milestones!$AB$100),TEXT(EDATE($D12,Milestones!$AA$100),"dd/mm/yy")&amp;" "&amp;Milestones!$AB$100&amp;" "&amp;Milestones!$AC$100&amp;";  ","")&amp;IF(AND(EDATE($D12,Milestones!$AA$101)&lt;=AsOfDate,IF($Q12=0,$W12,IF(AND($S12&lt;&gt;"",EDATE($D12,Milestones!$AA$101)&gt;=$S12),$V12,IF(AND($R12&lt;&gt;"",EDATE($D12,Milestones!$AA$101)&gt;=$R12),$U12,$T12)))=Milestones!$AB$101),TEXT(EDATE($D12,Milestones!$AA$101),"dd/mm/yy")&amp;" "&amp;Milestones!$AB$101&amp;" "&amp;Milestones!$AC$101&amp;";  ","")&amp;IF(AND(EDATE($D12,Milestones!$AA$102)&lt;=AsOfDate,IF($Q12=0,$W12,IF(AND($S12&lt;&gt;"",EDATE($D12,Milestones!$AA$102)&gt;=$S12),$V12,IF(AND($R12&lt;&gt;"",EDATE($D12,Milestones!$AA$102)&gt;=$R12),$U12,$T12)))=Milestones!$AB$102),TEXT(EDATE($D12,Milestones!$AA$102),"dd/mm/yy")&amp;" "&amp;Milestones!$AB$102&amp;" "&amp;Milestones!$AC$102&amp;";  ","")&amp;IF(AND(EDATE($D12,Milestones!$AA$103)&lt;=AsOfDate,IF($Q12=0,$W12,IF(AND($S12&lt;&gt;"",EDATE($D12,Milestones!$AA$103)&gt;=$S12),$V12,IF(AND($R12&lt;&gt;"",EDATE($D12,Milestones!$AA$103)&gt;=$R12),$U12,$T12)))=Milestones!$AB$103),TEXT(EDATE($D12,Milestones!$AA$103),"dd/mm/yy")&amp;" "&amp;Milestones!$AB$103&amp;" "&amp;Milestones!$AC$103&amp;";  ","")&amp;IF(AND(EDATE($D12,Milestones!$AA$104)&lt;=AsOfDate,IF($Q12=0,$W12,IF(AND($S12&lt;&gt;"",EDATE($D12,Milestones!$AA$104)&gt;=$S12),$V12,IF(AND($R12&lt;&gt;"",EDATE($D12,Milestones!$AA$104)&gt;=$R12),$U12,$T12)))=Milestones!$AB$104),TEXT(EDATE($D12,Milestones!$AA$104),"dd/mm/yy")&amp;" "&amp;Milestones!$AB$104&amp;" "&amp;Milestones!$AC$104&amp;";  ","")&amp;IF(AND(EDATE($D12,Milestones!$AA$105)&lt;=AsOfDate,IF($Q12=0,$W12,IF(AND($S12&lt;&gt;"",EDATE($D12,Milestones!$AA$105)&gt;=$S12),$V12,IF(AND($R12&lt;&gt;"",EDATE($D12,Milestones!$AA$105)&gt;=$R12),$U12,$T12)))=Milestones!$AB$105),TEXT(EDATE($D12,Milestones!$AA$105),"dd/mm/yy")&amp;" "&amp;Milestones!$AB$105&amp;" "&amp;Milestones!$AC$105&amp;";  ","")&amp;IF(AND(EDATE($D12,Milestones!$AA$106)&lt;=AsOfDate,IF($Q12=0,$W12,IF(AND($S12&lt;&gt;"",EDATE($D12,Milestones!$AA$106)&gt;=$S12),$V12,IF(AND($R12&lt;&gt;"",EDATE($D12,Milestones!$AA$106)&gt;=$R12),$U12,$T12)))=Milestones!$AB$106),TEXT(EDATE($D12,Milestones!$AA$106),"dd/mm/yy")&amp;" "&amp;Milestones!$AB$106&amp;" "&amp;Milestones!$AC$106&amp;";  ","")&amp;IF(AND(EDATE($D12,Milestones!$AA$107)&lt;=AsOfDate,IF($Q12=0,$W12,IF(AND($S12&lt;&gt;"",EDATE($D12,Milestones!$AA$107)&gt;=$S12),$V12,IF(AND($R12&lt;&gt;"",EDATE($D12,Milestones!$AA$107)&gt;=$R12),$U12,$T12)))=Milestones!$AB$107),TEXT(EDATE($D12,Milestones!$AA$107),"dd/mm/yy")&amp;" "&amp;Milestones!$AB$107&amp;" "&amp;Milestones!$AC$107&amp;";  ","")&amp;IF(AND(EDATE($D12,Milestones!$AA$108)&lt;=AsOfDate,IF($Q12=0,$W12,IF(AND($S12&lt;&gt;"",EDATE($D12,Milestones!$AA$108)&gt;=$S12),$V12,IF(AND($R12&lt;&gt;"",EDATE($D12,Milestones!$AA$108)&gt;=$R12),$U12,$T12)))=Milestones!$AB$108),TEXT(EDATE($D12,Milestones!$AA$108),"dd/mm/yy")&amp;" "&amp;Milestones!$AB$108&amp;" "&amp;Milestones!$AC$108&amp;";  ","")&amp;IF(AND(EDATE($D12,Milestones!$AA$109)&lt;=AsOfDate,IF($Q12=0,$W12,IF(AND($S12&lt;&gt;"",EDATE($D12,Milestones!$AA$109)&gt;=$S12),$V12,IF(AND($R12&lt;&gt;"",EDATE($D12,Milestones!$AA$109)&gt;=$R12),$U12,$T12)))=Milestones!$AB$109),TEXT(EDATE($D12,Milestones!$AA$109),"dd/mm/yy")&amp;" "&amp;Milestones!$AB$109&amp;" "&amp;Milestones!$AC$109&amp;";  ","")&amp;IF(AND(EDATE($D12,Milestones!$AA$110)&lt;=AsOfDate,IF($Q12=0,$W12,IF(AND($S12&lt;&gt;"",EDATE($D12,Milestones!$AA$110)&gt;=$S12),$V12,IF(AND($R12&lt;&gt;"",EDATE($D12,Milestones!$AA$110)&gt;=$R12),$U12,$T12)))=Milestones!$AB$110),TEXT(EDATE($D12,Milestones!$AA$110),"dd/mm/yy")&amp;" "&amp;Milestones!$AB$110&amp;" "&amp;Milestones!$AC$110&amp;";  ","")&amp;IF(AND(EDATE($D12,Milestones!$AA$111)&lt;=AsOfDate,IF($Q12=0,$W12,IF(AND($S12&lt;&gt;"",EDATE($D12,Milestones!$AA$111)&gt;=$S12),$V12,IF(AND($R12&lt;&gt;"",EDATE($D12,Milestones!$AA$111)&gt;=$R12),$U12,$T12)))=Milestones!$AB$111),TEXT(EDATE($D12,Milestones!$AA$111),"dd/mm/yy")&amp;" "&amp;Milestones!$AB$111&amp;" "&amp;Milestones!$AC$111&amp;";  ","")&amp;IF(AND(EDATE($D12,Milestones!$AA$112)&lt;=AsOfDate,IF($Q12=0,$W12,IF(AND($S12&lt;&gt;"",EDATE($D12,Milestones!$AA$112)&gt;=$S12),$V12,IF(AND($R12&lt;&gt;"",EDATE($D12,Milestones!$AA$112)&gt;=$R12),$U12,$T12)))=Milestones!$AB$112),TEXT(EDATE($D12,Milestones!$AA$112),"dd/mm/yy")&amp;" "&amp;Milestones!$AB$112&amp;" "&amp;Milestones!$AC$112&amp;";  ","")&amp;IF(AND(EDATE($D12,Milestones!$AA$113)&lt;=AsOfDate,IF($Q12=0,$W12,IF(AND($S12&lt;&gt;"",EDATE($D12,Milestones!$AA$113)&gt;=$S12),$V12,IF(AND($R12&lt;&gt;"",EDATE($D12,Milestones!$AA$113)&gt;=$R12),$U12,$T12)))=Milestones!$AB$113),TEXT(EDATE($D12,Milestones!$AA$113),"dd/mm/yy")&amp;" "&amp;Milestones!$AB$113&amp;" "&amp;Milestones!$AC$113&amp;";  ","")&amp;IF(AND(EDATE($D12,Milestones!$AA$114)&lt;=AsOfDate,IF($Q12=0,$W12,IF(AND($S12&lt;&gt;"",EDATE($D12,Milestones!$AA$114)&gt;=$S12),$V12,IF(AND($R12&lt;&gt;"",EDATE($D12,Milestones!$AA$114)&gt;=$R12),$U12,$T12)))=Milestones!$AB$114),TEXT(EDATE($D12,Milestones!$AA$114),"dd/mm/yy")&amp;" "&amp;Milestones!$AB$114&amp;" "&amp;Milestones!$AC$114&amp;";  ","")&amp;IF(AND(EDATE($D12,Milestones!$AA$115)&lt;=AsOfDate,IF($Q12=0,$W12,IF(AND($S12&lt;&gt;"",EDATE($D12,Milestones!$AA$115)&gt;=$S12),$V12,IF(AND($R12&lt;&gt;"",EDATE($D12,Milestones!$AA$115)&gt;=$R12),$U12,$T12)))=Milestones!$AB$115),TEXT(EDATE($D12,Milestones!$AA$115),"dd/mm/yy")&amp;" "&amp;Milestones!$AB$115&amp;" "&amp;Milestones!$AC$115&amp;";  ","")&amp;IF(AND(EDATE($D12,Milestones!$AA$116)&lt;=AsOfDate,IF($Q12=0,$W12,IF(AND($S12&lt;&gt;"",EDATE($D12,Milestones!$AA$116)&gt;=$S12),$V12,IF(AND($R12&lt;&gt;"",EDATE($D12,Milestones!$AA$116)&gt;=$R12),$U12,$T12)))=Milestones!$AB$116),TEXT(EDATE($D12,Milestones!$AA$116),"dd/mm/yy")&amp;" "&amp;Milestones!$AB$116&amp;" "&amp;Milestones!$AC$116&amp;";  ","")&amp;IF(AND(EDATE($D12,Milestones!$AA$117)&lt;=AsOfDate,IF($Q12=0,$W12,IF(AND($S12&lt;&gt;"",EDATE($D12,Milestones!$AA$117)&gt;=$S12),$V12,IF(AND($R12&lt;&gt;"",EDATE($D12,Milestones!$AA$117)&gt;=$R12),$U12,$T12)))=Milestones!$AB$117),TEXT(EDATE($D12,Milestones!$AA$117),"dd/mm/yy")&amp;" "&amp;Milestones!$AB$117&amp;" "&amp;Milestones!$AC$117&amp;";  ","")&amp;IF(AND(EDATE($D12,Milestones!$AA$118)&lt;=AsOfDate,IF($Q12=0,$W12,IF(AND($S12&lt;&gt;"",EDATE($D12,Milestones!$AA$118)&gt;=$S12),$V12,IF(AND($R12&lt;&gt;"",EDATE($D12,Milestones!$AA$118)&gt;=$R12),$U12,$T12)))=Milestones!$AB$118),TEXT(EDATE($D12,Milestones!$AA$118),"dd/mm/yy")&amp;" "&amp;Milestones!$AB$118&amp;" "&amp;Milestones!$AC$118&amp;";  ","")&amp;IF(AND(EDATE($D12,Milestones!$AA$119)&lt;=AsOfDate,IF($Q12=0,$W12,IF(AND($S12&lt;&gt;"",EDATE($D12,Milestones!$AA$119)&gt;=$S12),$V12,IF(AND($R12&lt;&gt;"",EDATE($D12,Milestones!$AA$119)&gt;=$R12),$U12,$T12)))=Milestones!$AB$119),TEXT(EDATE($D12,Milestones!$AA$119),"dd/mm/yy")&amp;" "&amp;Milestones!$AB$119&amp;" "&amp;Milestones!$AC$119&amp;";  ",""))</f>
        <v/>
      </c>
      <c r="M12" s="0" t="str">
        <f aca="false">IF(OR($A12="",$D12=""),"",IF(AND(EDATE($D12,Milestones!$AA$120)&lt;=AsOfDate,IF($Q12=0,$W12,IF(AND($S12&lt;&gt;"",EDATE($D12,Milestones!$AA$120)&gt;=$S12),$V12,IF(AND($R12&lt;&gt;"",EDATE($D12,Milestones!$AA$120)&gt;=$R12),$U12,$T12)))=Milestones!$AB$120),TEXT(EDATE($D12,Milestones!$AA$120),"dd/mm/yy")&amp;" "&amp;Milestones!$AB$120&amp;" "&amp;Milestones!$AC$120&amp;";  ","")&amp;IF(AND(EDATE($D12,Milestones!$AA$121)&lt;=AsOfDate,IF($Q12=0,$W12,IF(AND($S12&lt;&gt;"",EDATE($D12,Milestones!$AA$121)&gt;=$S12),$V12,IF(AND($R12&lt;&gt;"",EDATE($D12,Milestones!$AA$121)&gt;=$R12),$U12,$T12)))=Milestones!$AB$121),TEXT(EDATE($D12,Milestones!$AA$121),"dd/mm/yy")&amp;" "&amp;Milestones!$AB$121&amp;" "&amp;Milestones!$AC$121&amp;";  ","")&amp;IF(AND(EDATE($D12,Milestones!$AA$122)&lt;=AsOfDate,IF($Q12=0,$W12,IF(AND($S12&lt;&gt;"",EDATE($D12,Milestones!$AA$122)&gt;=$S12),$V12,IF(AND($R12&lt;&gt;"",EDATE($D12,Milestones!$AA$122)&gt;=$R12),$U12,$T12)))=Milestones!$AB$122),TEXT(EDATE($D12,Milestones!$AA$122),"dd/mm/yy")&amp;" "&amp;Milestones!$AB$122&amp;" "&amp;Milestones!$AC$122&amp;";  ","")&amp;IF(AND(EDATE($D12,Milestones!$AA$123)&lt;=AsOfDate,IF($Q12=0,$W12,IF(AND($S12&lt;&gt;"",EDATE($D12,Milestones!$AA$123)&gt;=$S12),$V12,IF(AND($R12&lt;&gt;"",EDATE($D12,Milestones!$AA$123)&gt;=$R12),$U12,$T12)))=Milestones!$AB$123),TEXT(EDATE($D12,Milestones!$AA$123),"dd/mm/yy")&amp;" "&amp;Milestones!$AB$123&amp;" "&amp;Milestones!$AC$123&amp;";  ","")&amp;IF(AND(EDATE($D12,Milestones!$AA$124)&lt;=AsOfDate,IF($Q12=0,$W12,IF(AND($S12&lt;&gt;"",EDATE($D12,Milestones!$AA$124)&gt;=$S12),$V12,IF(AND($R12&lt;&gt;"",EDATE($D12,Milestones!$AA$124)&gt;=$R12),$U12,$T12)))=Milestones!$AB$124),TEXT(EDATE($D12,Milestones!$AA$124),"dd/mm/yy")&amp;" "&amp;Milestones!$AB$124&amp;" "&amp;Milestones!$AC$124&amp;";  ","")&amp;IF(AND(EDATE($D12,Milestones!$AA$125)&lt;=AsOfDate,IF($Q12=0,$W12,IF(AND($S12&lt;&gt;"",EDATE($D12,Milestones!$AA$125)&gt;=$S12),$V12,IF(AND($R12&lt;&gt;"",EDATE($D12,Milestones!$AA$125)&gt;=$R12),$U12,$T12)))=Milestones!$AB$125),TEXT(EDATE($D12,Milestones!$AA$125),"dd/mm/yy")&amp;" "&amp;Milestones!$AB$125&amp;" "&amp;Milestones!$AC$125&amp;";  ","")&amp;IF(AND(EDATE($D12,Milestones!$AA$126)&lt;=AsOfDate,IF($Q12=0,$W12,IF(AND($S12&lt;&gt;"",EDATE($D12,Milestones!$AA$126)&gt;=$S12),$V12,IF(AND($R12&lt;&gt;"",EDATE($D12,Milestones!$AA$126)&gt;=$R12),$U12,$T12)))=Milestones!$AB$126),TEXT(EDATE($D12,Milestones!$AA$126),"dd/mm/yy")&amp;" "&amp;Milestones!$AB$126&amp;" "&amp;Milestones!$AC$126&amp;";  ","")&amp;IF(AND(EDATE($D12,Milestones!$AA$127)&lt;=AsOfDate,IF($Q12=0,$W12,IF(AND($S12&lt;&gt;"",EDATE($D12,Milestones!$AA$127)&gt;=$S12),$V12,IF(AND($R12&lt;&gt;"",EDATE($D12,Milestones!$AA$127)&gt;=$R12),$U12,$T12)))=Milestones!$AB$127),TEXT(EDATE($D12,Milestones!$AA$127),"dd/mm/yy")&amp;" "&amp;Milestones!$AB$127&amp;" "&amp;Milestones!$AC$127&amp;";  ","")&amp;IF(AND(EDATE($D12,Milestones!$AA$128)&lt;=AsOfDate,IF($Q12=0,$W12,IF(AND($S12&lt;&gt;"",EDATE($D12,Milestones!$AA$128)&gt;=$S12),$V12,IF(AND($R12&lt;&gt;"",EDATE($D12,Milestones!$AA$128)&gt;=$R12),$U12,$T12)))=Milestones!$AB$128),TEXT(EDATE($D12,Milestones!$AA$128),"dd/mm/yy")&amp;" "&amp;Milestones!$AB$128&amp;" "&amp;Milestones!$AC$128&amp;";  ","")&amp;IF(AND(EDATE($D12,Milestones!$AA$129)&lt;=AsOfDate,IF($Q12=0,$W12,IF(AND($S12&lt;&gt;"",EDATE($D12,Milestones!$AA$129)&gt;=$S12),$V12,IF(AND($R12&lt;&gt;"",EDATE($D12,Milestones!$AA$129)&gt;=$R12),$U12,$T12)))=Milestones!$AB$129),TEXT(EDATE($D12,Milestones!$AA$129),"dd/mm/yy")&amp;" "&amp;Milestones!$AB$129&amp;" "&amp;Milestones!$AC$129&amp;";  ","")&amp;IF(AND(EDATE($D12,Milestones!$AA$130)&lt;=AsOfDate,IF($Q12=0,$W12,IF(AND($S12&lt;&gt;"",EDATE($D12,Milestones!$AA$130)&gt;=$S12),$V12,IF(AND($R12&lt;&gt;"",EDATE($D12,Milestones!$AA$130)&gt;=$R12),$U12,$T12)))=Milestones!$AB$130),TEXT(EDATE($D12,Milestones!$AA$130),"dd/mm/yy")&amp;" "&amp;Milestones!$AB$130&amp;" "&amp;Milestones!$AC$130&amp;";  ","")&amp;IF(AND(EDATE($D12,Milestones!$AA$131)&lt;=AsOfDate,IF($Q12=0,$W12,IF(AND($S12&lt;&gt;"",EDATE($D12,Milestones!$AA$131)&gt;=$S12),$V12,IF(AND($R12&lt;&gt;"",EDATE($D12,Milestones!$AA$131)&gt;=$R12),$U12,$T12)))=Milestones!$AB$131),TEXT(EDATE($D12,Milestones!$AA$131),"dd/mm/yy")&amp;" "&amp;Milestones!$AB$131&amp;" "&amp;Milestones!$AC$131&amp;";  ","")&amp;IF(AND(EDATE($D12,Milestones!$AA$132)&lt;=AsOfDate,IF($Q12=0,$W12,IF(AND($S12&lt;&gt;"",EDATE($D12,Milestones!$AA$132)&gt;=$S12),$V12,IF(AND($R12&lt;&gt;"",EDATE($D12,Milestones!$AA$132)&gt;=$R12),$U12,$T12)))=Milestones!$AB$132),TEXT(EDATE($D12,Milestones!$AA$132),"dd/mm/yy")&amp;" "&amp;Milestones!$AB$132&amp;" "&amp;Milestones!$AC$132&amp;";  ","")&amp;IF(AND(EDATE($D12,Milestones!$AA$133)&lt;=AsOfDate,IF($Q12=0,$W12,IF(AND($S12&lt;&gt;"",EDATE($D12,Milestones!$AA$133)&gt;=$S12),$V12,IF(AND($R12&lt;&gt;"",EDATE($D12,Milestones!$AA$133)&gt;=$R12),$U12,$T12)))=Milestones!$AB$133),TEXT(EDATE($D12,Milestones!$AA$133),"dd/mm/yy")&amp;" "&amp;Milestones!$AB$133&amp;" "&amp;Milestones!$AC$133&amp;";  ","")&amp;IF(AND(EDATE($D12,Milestones!$AA$134)&lt;=AsOfDate,IF($Q12=0,$W12,IF(AND($S12&lt;&gt;"",EDATE($D12,Milestones!$AA$134)&gt;=$S12),$V12,IF(AND($R12&lt;&gt;"",EDATE($D12,Milestones!$AA$134)&gt;=$R12),$U12,$T12)))=Milestones!$AB$134),TEXT(EDATE($D12,Milestones!$AA$134),"dd/mm/yy")&amp;" "&amp;Milestones!$AB$134&amp;" "&amp;Milestones!$AC$134&amp;";  ","")&amp;IF(AND(EDATE($D12,Milestones!$AA$135)&lt;=AsOfDate,IF($Q12=0,$W12,IF(AND($S12&lt;&gt;"",EDATE($D12,Milestones!$AA$135)&gt;=$S12),$V12,IF(AND($R12&lt;&gt;"",EDATE($D12,Milestones!$AA$135)&gt;=$R12),$U12,$T12)))=Milestones!$AB$135),TEXT(EDATE($D12,Milestones!$AA$135),"dd/mm/yy")&amp;" "&amp;Milestones!$AB$135&amp;" "&amp;Milestones!$AC$135&amp;";  ","")&amp;IF(AND(EDATE($D12,Milestones!$AA$136)&lt;=AsOfDate,IF($Q12=0,$W12,IF(AND($S12&lt;&gt;"",EDATE($D12,Milestones!$AA$136)&gt;=$S12),$V12,IF(AND($R12&lt;&gt;"",EDATE($D12,Milestones!$AA$136)&gt;=$R12),$U12,$T12)))=Milestones!$AB$136),TEXT(EDATE($D12,Milestones!$AA$136),"dd/mm/yy")&amp;" "&amp;Milestones!$AB$136&amp;" "&amp;Milestones!$AC$136&amp;";  ","")&amp;IF(AND(EDATE($D12,Milestones!$AA$137)&lt;=AsOfDate,IF($Q12=0,$W12,IF(AND($S12&lt;&gt;"",EDATE($D12,Milestones!$AA$137)&gt;=$S12),$V12,IF(AND($R12&lt;&gt;"",EDATE($D12,Milestones!$AA$137)&gt;=$R12),$U12,$T12)))=Milestones!$AB$137),TEXT(EDATE($D12,Milestones!$AA$137),"dd/mm/yy")&amp;" "&amp;Milestones!$AB$137&amp;" "&amp;Milestones!$AC$137&amp;";  ","")&amp;IF(AND(EDATE($D12,Milestones!$AA$138)&lt;=AsOfDate,IF($Q12=0,$W12,IF(AND($S12&lt;&gt;"",EDATE($D12,Milestones!$AA$138)&gt;=$S12),$V12,IF(AND($R12&lt;&gt;"",EDATE($D12,Milestones!$AA$138)&gt;=$R12),$U12,$T12)))=Milestones!$AB$138),TEXT(EDATE($D12,Milestones!$AA$138),"dd/mm/yy")&amp;" "&amp;Milestones!$AB$138&amp;" "&amp;Milestones!$AC$138&amp;";  ","")&amp;IF(AND(EDATE($D12,Milestones!$AA$139)&lt;=AsOfDate,IF($Q12=0,$W12,IF(AND($S12&lt;&gt;"",EDATE($D12,Milestones!$AA$139)&gt;=$S12),$V12,IF(AND($R12&lt;&gt;"",EDATE($D12,Milestones!$AA$139)&gt;=$R12),$U12,$T12)))=Milestones!$AB$139),TEXT(EDATE($D12,Milestones!$AA$139),"dd/mm/yy")&amp;" "&amp;Milestones!$AB$139&amp;" "&amp;Milestones!$AC$139&amp;";  ",""))</f>
        <v/>
      </c>
      <c r="N12" s="0" t="str">
        <f aca="false">IF(OR($A12="",$D12=""),"",IF(AND(EDATE($D12,Milestones!$AA$140)&lt;=AsOfDate,IF($Q12=0,$W12,IF(AND($S12&lt;&gt;"",EDATE($D12,Milestones!$AA$140)&gt;=$S12),$V12,IF(AND($R12&lt;&gt;"",EDATE($D12,Milestones!$AA$140)&gt;=$R12),$U12,$T12)))=Milestones!$AB$140),TEXT(EDATE($D12,Milestones!$AA$140),"dd/mm/yy")&amp;" "&amp;Milestones!$AB$140&amp;" "&amp;Milestones!$AC$140&amp;";  ","")&amp;IF(AND(EDATE($D12,Milestones!$AA$141)&lt;=AsOfDate,IF($Q12=0,$W12,IF(AND($S12&lt;&gt;"",EDATE($D12,Milestones!$AA$141)&gt;=$S12),$V12,IF(AND($R12&lt;&gt;"",EDATE($D12,Milestones!$AA$141)&gt;=$R12),$U12,$T12)))=Milestones!$AB$141),TEXT(EDATE($D12,Milestones!$AA$141),"dd/mm/yy")&amp;" "&amp;Milestones!$AB$141&amp;" "&amp;Milestones!$AC$141&amp;";  ","")&amp;IF(AND(EDATE($D12,Milestones!$AA$142)&lt;=AsOfDate,IF($Q12=0,$W12,IF(AND($S12&lt;&gt;"",EDATE($D12,Milestones!$AA$142)&gt;=$S12),$V12,IF(AND($R12&lt;&gt;"",EDATE($D12,Milestones!$AA$142)&gt;=$R12),$U12,$T12)))=Milestones!$AB$142),TEXT(EDATE($D12,Milestones!$AA$142),"dd/mm/yy")&amp;" "&amp;Milestones!$AB$142&amp;" "&amp;Milestones!$AC$142&amp;";  ","")&amp;IF(AND(EDATE($D12,Milestones!$AA$143)&lt;=AsOfDate,IF($Q12=0,$W12,IF(AND($S12&lt;&gt;"",EDATE($D12,Milestones!$AA$143)&gt;=$S12),$V12,IF(AND($R12&lt;&gt;"",EDATE($D12,Milestones!$AA$143)&gt;=$R12),$U12,$T12)))=Milestones!$AB$143),TEXT(EDATE($D12,Milestones!$AA$143),"dd/mm/yy")&amp;" "&amp;Milestones!$AB$143&amp;" "&amp;Milestones!$AC$143&amp;";  ","")&amp;IF(AND(EDATE($D12,Milestones!$AA$144)&lt;=AsOfDate,IF($Q12=0,$W12,IF(AND($S12&lt;&gt;"",EDATE($D12,Milestones!$AA$144)&gt;=$S12),$V12,IF(AND($R12&lt;&gt;"",EDATE($D12,Milestones!$AA$144)&gt;=$R12),$U12,$T12)))=Milestones!$AB$144),TEXT(EDATE($D12,Milestones!$AA$144),"dd/mm/yy")&amp;" "&amp;Milestones!$AB$144&amp;" "&amp;Milestones!$AC$144&amp;";  ","")&amp;IF(AND(EDATE($D12,Milestones!$AA$145)&lt;=AsOfDate,IF($Q12=0,$W12,IF(AND($S12&lt;&gt;"",EDATE($D12,Milestones!$AA$145)&gt;=$S12),$V12,IF(AND($R12&lt;&gt;"",EDATE($D12,Milestones!$AA$145)&gt;=$R12),$U12,$T12)))=Milestones!$AB$145),TEXT(EDATE($D12,Milestones!$AA$145),"dd/mm/yy")&amp;" "&amp;Milestones!$AB$145&amp;" "&amp;Milestones!$AC$145&amp;";  ","")&amp;IF(AND(EDATE($D12,Milestones!$AA$146)&lt;=AsOfDate,IF($Q12=0,$W12,IF(AND($S12&lt;&gt;"",EDATE($D12,Milestones!$AA$146)&gt;=$S12),$V12,IF(AND($R12&lt;&gt;"",EDATE($D12,Milestones!$AA$146)&gt;=$R12),$U12,$T12)))=Milestones!$AB$146),TEXT(EDATE($D12,Milestones!$AA$146),"dd/mm/yy")&amp;" "&amp;Milestones!$AB$146&amp;" "&amp;Milestones!$AC$146&amp;";  ","")&amp;IF(AND(EDATE($D12,Milestones!$AA$147)&lt;=AsOfDate,IF($Q12=0,$W12,IF(AND($S12&lt;&gt;"",EDATE($D12,Milestones!$AA$147)&gt;=$S12),$V12,IF(AND($R12&lt;&gt;"",EDATE($D12,Milestones!$AA$147)&gt;=$R12),$U12,$T12)))=Milestones!$AB$147),TEXT(EDATE($D12,Milestones!$AA$147),"dd/mm/yy")&amp;" "&amp;Milestones!$AB$147&amp;" "&amp;Milestones!$AC$147&amp;";  ","")&amp;IF(AND(EDATE($D12,Milestones!$AA$148)&lt;=AsOfDate,IF($Q12=0,$W12,IF(AND($S12&lt;&gt;"",EDATE($D12,Milestones!$AA$148)&gt;=$S12),$V12,IF(AND($R12&lt;&gt;"",EDATE($D12,Milestones!$AA$148)&gt;=$R12),$U12,$T12)))=Milestones!$AB$148),TEXT(EDATE($D12,Milestones!$AA$148),"dd/mm/yy")&amp;" "&amp;Milestones!$AB$148&amp;" "&amp;Milestones!$AC$148&amp;";  ","")&amp;IF(AND(EDATE($D12,Milestones!$AA$149)&lt;=AsOfDate,IF($Q12=0,$W12,IF(AND($S12&lt;&gt;"",EDATE($D12,Milestones!$AA$149)&gt;=$S12),$V12,IF(AND($R12&lt;&gt;"",EDATE($D12,Milestones!$AA$149)&gt;=$R12),$U12,$T12)))=Milestones!$AB$149),TEXT(EDATE($D12,Milestones!$AA$149),"dd/mm/yy")&amp;" "&amp;Milestones!$AB$149&amp;" "&amp;Milestones!$AC$149&amp;";  ","")&amp;IF(AND(EDATE($D12,Milestones!$AA$150)&lt;=AsOfDate,IF($Q12=0,$W12,IF(AND($S12&lt;&gt;"",EDATE($D12,Milestones!$AA$150)&gt;=$S12),$V12,IF(AND($R12&lt;&gt;"",EDATE($D12,Milestones!$AA$150)&gt;=$R12),$U12,$T12)))=Milestones!$AB$150),TEXT(EDATE($D12,Milestones!$AA$150),"dd/mm/yy")&amp;" "&amp;Milestones!$AB$150&amp;" "&amp;Milestones!$AC$150&amp;";  ","")&amp;IF(AND(EDATE($D12,Milestones!$AA$151)&lt;=AsOfDate,IF($Q12=0,$W12,IF(AND($S12&lt;&gt;"",EDATE($D12,Milestones!$AA$151)&gt;=$S12),$V12,IF(AND($R12&lt;&gt;"",EDATE($D12,Milestones!$AA$151)&gt;=$R12),$U12,$T12)))=Milestones!$AB$151),TEXT(EDATE($D12,Milestones!$AA$151),"dd/mm/yy")&amp;" "&amp;Milestones!$AB$151&amp;" "&amp;Milestones!$AC$151&amp;";  ","")&amp;IF(AND(EDATE($D12,Milestones!$AA$152)&lt;=AsOfDate,IF($Q12=0,$W12,IF(AND($S12&lt;&gt;"",EDATE($D12,Milestones!$AA$152)&gt;=$S12),$V12,IF(AND($R12&lt;&gt;"",EDATE($D12,Milestones!$AA$152)&gt;=$R12),$U12,$T12)))=Milestones!$AB$152),TEXT(EDATE($D12,Milestones!$AA$152),"dd/mm/yy")&amp;" "&amp;Milestones!$AB$152&amp;" "&amp;Milestones!$AC$152&amp;";  ","")&amp;IF(AND(EDATE($D12,Milestones!$AA$153)&lt;=AsOfDate,IF($Q12=0,$W12,IF(AND($S12&lt;&gt;"",EDATE($D12,Milestones!$AA$153)&gt;=$S12),$V12,IF(AND($R12&lt;&gt;"",EDATE($D12,Milestones!$AA$153)&gt;=$R12),$U12,$T12)))=Milestones!$AB$153),TEXT(EDATE($D12,Milestones!$AA$153),"dd/mm/yy")&amp;" "&amp;Milestones!$AB$153&amp;" "&amp;Milestones!$AC$153&amp;";  ","")&amp;IF(AND(EDATE($D12,Milestones!$AA$154)&lt;=AsOfDate,IF($Q12=0,$W12,IF(AND($S12&lt;&gt;"",EDATE($D12,Milestones!$AA$154)&gt;=$S12),$V12,IF(AND($R12&lt;&gt;"",EDATE($D12,Milestones!$AA$154)&gt;=$R12),$U12,$T12)))=Milestones!$AB$154),TEXT(EDATE($D12,Milestones!$AA$154),"dd/mm/yy")&amp;" "&amp;Milestones!$AB$154&amp;" "&amp;Milestones!$AC$154&amp;";  ","")&amp;IF(AND(EDATE($D12,Milestones!$AA$155)&lt;=AsOfDate,IF($Q12=0,$W12,IF(AND($S12&lt;&gt;"",EDATE($D12,Milestones!$AA$155)&gt;=$S12),$V12,IF(AND($R12&lt;&gt;"",EDATE($D12,Milestones!$AA$155)&gt;=$R12),$U12,$T12)))=Milestones!$AB$155),TEXT(EDATE($D12,Milestones!$AA$155),"dd/mm/yy")&amp;" "&amp;Milestones!$AB$155&amp;" "&amp;Milestones!$AC$155&amp;";  ","")&amp;IF(AND(EDATE($D12,Milestones!$AA$156)&lt;=AsOfDate,IF($Q12=0,$W12,IF(AND($S12&lt;&gt;"",EDATE($D12,Milestones!$AA$156)&gt;=$S12),$V12,IF(AND($R12&lt;&gt;"",EDATE($D12,Milestones!$AA$156)&gt;=$R12),$U12,$T12)))=Milestones!$AB$156),TEXT(EDATE($D12,Milestones!$AA$156),"dd/mm/yy")&amp;" "&amp;Milestones!$AB$156&amp;" "&amp;Milestones!$AC$156&amp;";  ","")&amp;IF(AND(EDATE($D12,Milestones!$AA$157)&lt;=AsOfDate,IF($Q12=0,$W12,IF(AND($S12&lt;&gt;"",EDATE($D12,Milestones!$AA$157)&gt;=$S12),$V12,IF(AND($R12&lt;&gt;"",EDATE($D12,Milestones!$AA$157)&gt;=$R12),$U12,$T12)))=Milestones!$AB$157),TEXT(EDATE($D12,Milestones!$AA$157),"dd/mm/yy")&amp;" "&amp;Milestones!$AB$157&amp;" "&amp;Milestones!$AC$157&amp;";  ","")&amp;IF(AND(EDATE($D12,Milestones!$AA$158)&lt;=AsOfDate,IF($Q12=0,$W12,IF(AND($S12&lt;&gt;"",EDATE($D12,Milestones!$AA$158)&gt;=$S12),$V12,IF(AND($R12&lt;&gt;"",EDATE($D12,Milestones!$AA$158)&gt;=$R12),$U12,$T12)))=Milestones!$AB$158),TEXT(EDATE($D12,Milestones!$AA$158),"dd/mm/yy")&amp;" "&amp;Milestones!$AB$158&amp;" "&amp;Milestones!$AC$158&amp;";  ","")&amp;IF(AND(EDATE($D12,Milestones!$AA$159)&lt;=AsOfDate,IF($Q12=0,$W12,IF(AND($S12&lt;&gt;"",EDATE($D12,Milestones!$AA$159)&gt;=$S12),$V12,IF(AND($R12&lt;&gt;"",EDATE($D12,Milestones!$AA$159)&gt;=$R12),$U12,$T12)))=Milestones!$AB$159),TEXT(EDATE($D12,Milestones!$AA$159),"dd/mm/yy")&amp;" "&amp;Milestones!$AB$159&amp;" "&amp;Milestones!$AC$159&amp;";  ",""))</f>
        <v/>
      </c>
      <c r="O12" s="0" t="str">
        <f aca="false">IF(OR($A12="",$D12=""),"",IF(AND(EDATE($D12,Milestones!$AA$160)&lt;=AsOfDate,IF($Q12=0,$W12,IF(AND($S12&lt;&gt;"",EDATE($D12,Milestones!$AA$160)&gt;=$S12),$V12,IF(AND($R12&lt;&gt;"",EDATE($D12,Milestones!$AA$160)&gt;=$R12),$U12,$T12)))=Milestones!$AB$160),TEXT(EDATE($D12,Milestones!$AA$160),"dd/mm/yy")&amp;" "&amp;Milestones!$AB$160&amp;" "&amp;Milestones!$AC$160&amp;";  ","")&amp;IF(AND(EDATE($D12,Milestones!$AA$161)&lt;=AsOfDate,IF($Q12=0,$W12,IF(AND($S12&lt;&gt;"",EDATE($D12,Milestones!$AA$161)&gt;=$S12),$V12,IF(AND($R12&lt;&gt;"",EDATE($D12,Milestones!$AA$161)&gt;=$R12),$U12,$T12)))=Milestones!$AB$161),TEXT(EDATE($D12,Milestones!$AA$161),"dd/mm/yy")&amp;" "&amp;Milestones!$AB$161&amp;" "&amp;Milestones!$AC$161&amp;";  ","")&amp;IF(AND(EDATE($D12,Milestones!$AA$162)&lt;=AsOfDate,IF($Q12=0,$W12,IF(AND($S12&lt;&gt;"",EDATE($D12,Milestones!$AA$162)&gt;=$S12),$V12,IF(AND($R12&lt;&gt;"",EDATE($D12,Milestones!$AA$162)&gt;=$R12),$U12,$T12)))=Milestones!$AB$162),TEXT(EDATE($D12,Milestones!$AA$162),"dd/mm/yy")&amp;" "&amp;Milestones!$AB$162&amp;" "&amp;Milestones!$AC$162&amp;";  ","")&amp;IF(AND(EDATE($D12,Milestones!$AA$163)&lt;=AsOfDate,IF($Q12=0,$W12,IF(AND($S12&lt;&gt;"",EDATE($D12,Milestones!$AA$163)&gt;=$S12),$V12,IF(AND($R12&lt;&gt;"",EDATE($D12,Milestones!$AA$163)&gt;=$R12),$U12,$T12)))=Milestones!$AB$163),TEXT(EDATE($D12,Milestones!$AA$163),"dd/mm/yy")&amp;" "&amp;Milestones!$AB$163&amp;" "&amp;Milestones!$AC$163&amp;";  ","")&amp;IF(AND(EDATE($D12,Milestones!$AA$164)&lt;=AsOfDate,IF($Q12=0,$W12,IF(AND($S12&lt;&gt;"",EDATE($D12,Milestones!$AA$164)&gt;=$S12),$V12,IF(AND($R12&lt;&gt;"",EDATE($D12,Milestones!$AA$164)&gt;=$R12),$U12,$T12)))=Milestones!$AB$164),TEXT(EDATE($D12,Milestones!$AA$164),"dd/mm/yy")&amp;" "&amp;Milestones!$AB$164&amp;" "&amp;Milestones!$AC$164&amp;";  ","")&amp;IF(AND(EDATE($D12,Milestones!$AA$165)&lt;=AsOfDate,IF($Q12=0,$W12,IF(AND($S12&lt;&gt;"",EDATE($D12,Milestones!$AA$165)&gt;=$S12),$V12,IF(AND($R12&lt;&gt;"",EDATE($D12,Milestones!$AA$165)&gt;=$R12),$U12,$T12)))=Milestones!$AB$165),TEXT(EDATE($D12,Milestones!$AA$165),"dd/mm/yy")&amp;" "&amp;Milestones!$AB$165&amp;" "&amp;Milestones!$AC$165&amp;";  ","")&amp;IF(AND(EDATE($D12,Milestones!$AA$166)&lt;=AsOfDate,IF($Q12=0,$W12,IF(AND($S12&lt;&gt;"",EDATE($D12,Milestones!$AA$166)&gt;=$S12),$V12,IF(AND($R12&lt;&gt;"",EDATE($D12,Milestones!$AA$166)&gt;=$R12),$U12,$T12)))=Milestones!$AB$166),TEXT(EDATE($D12,Milestones!$AA$166),"dd/mm/yy")&amp;" "&amp;Milestones!$AB$166&amp;" "&amp;Milestones!$AC$166&amp;";  ","")&amp;IF(AND(EDATE($D12,Milestones!$AA$167)&lt;=AsOfDate,IF($Q12=0,$W12,IF(AND($S12&lt;&gt;"",EDATE($D12,Milestones!$AA$167)&gt;=$S12),$V12,IF(AND($R12&lt;&gt;"",EDATE($D12,Milestones!$AA$167)&gt;=$R12),$U12,$T12)))=Milestones!$AB$167),TEXT(EDATE($D12,Milestones!$AA$167),"dd/mm/yy")&amp;" "&amp;Milestones!$AB$167&amp;" "&amp;Milestones!$AC$167&amp;";  ","")&amp;IF(AND(EDATE($D12,Milestones!$AA$168)&lt;=AsOfDate,IF($Q12=0,$W12,IF(AND($S12&lt;&gt;"",EDATE($D12,Milestones!$AA$168)&gt;=$S12),$V12,IF(AND($R12&lt;&gt;"",EDATE($D12,Milestones!$AA$168)&gt;=$R12),$U12,$T12)))=Milestones!$AB$168),TEXT(EDATE($D12,Milestones!$AA$168),"dd/mm/yy")&amp;" "&amp;Milestones!$AB$168&amp;" "&amp;Milestones!$AC$168&amp;";  ","")&amp;IF(AND(EDATE($D12,Milestones!$AA$169)&lt;=AsOfDate,IF($Q12=0,$W12,IF(AND($S12&lt;&gt;"",EDATE($D12,Milestones!$AA$169)&gt;=$S12),$V12,IF(AND($R12&lt;&gt;"",EDATE($D12,Milestones!$AA$169)&gt;=$R12),$U12,$T12)))=Milestones!$AB$169),TEXT(EDATE($D12,Milestones!$AA$169),"dd/mm/yy")&amp;" "&amp;Milestones!$AB$169&amp;" "&amp;Milestones!$AC$169&amp;";  ","")&amp;IF(AND(EDATE($D12,Milestones!$AA$170)&lt;=AsOfDate,IF($Q12=0,$W12,IF(AND($S12&lt;&gt;"",EDATE($D12,Milestones!$AA$170)&gt;=$S12),$V12,IF(AND($R12&lt;&gt;"",EDATE($D12,Milestones!$AA$170)&gt;=$R12),$U12,$T12)))=Milestones!$AB$170),TEXT(EDATE($D12,Milestones!$AA$170),"dd/mm/yy")&amp;" "&amp;Milestones!$AB$170&amp;" "&amp;Milestones!$AC$170&amp;";  ","")&amp;IF(AND(EDATE($D12,Milestones!$AA$171)&lt;=AsOfDate,IF($Q12=0,$W12,IF(AND($S12&lt;&gt;"",EDATE($D12,Milestones!$AA$171)&gt;=$S12),$V12,IF(AND($R12&lt;&gt;"",EDATE($D12,Milestones!$AA$171)&gt;=$R12),$U12,$T12)))=Milestones!$AB$171),TEXT(EDATE($D12,Milestones!$AA$171),"dd/mm/yy")&amp;" "&amp;Milestones!$AB$171&amp;" "&amp;Milestones!$AC$171&amp;";  ","")&amp;IF(AND(EDATE($D12,Milestones!$AA$172)&lt;=AsOfDate,IF($Q12=0,$W12,IF(AND($S12&lt;&gt;"",EDATE($D12,Milestones!$AA$172)&gt;=$S12),$V12,IF(AND($R12&lt;&gt;"",EDATE($D12,Milestones!$AA$172)&gt;=$R12),$U12,$T12)))=Milestones!$AB$172),TEXT(EDATE($D12,Milestones!$AA$172),"dd/mm/yy")&amp;" "&amp;Milestones!$AB$172&amp;" "&amp;Milestones!$AC$172&amp;";  ","")&amp;IF(AND(EDATE($D12,Milestones!$AA$173)&lt;=AsOfDate,IF($Q12=0,$W12,IF(AND($S12&lt;&gt;"",EDATE($D12,Milestones!$AA$173)&gt;=$S12),$V12,IF(AND($R12&lt;&gt;"",EDATE($D12,Milestones!$AA$173)&gt;=$R12),$U12,$T12)))=Milestones!$AB$173),TEXT(EDATE($D12,Milestones!$AA$173),"dd/mm/yy")&amp;" "&amp;Milestones!$AB$173&amp;" "&amp;Milestones!$AC$173&amp;";  ","")&amp;IF(AND(EDATE($D12,Milestones!$AA$174)&lt;=AsOfDate,IF($Q12=0,$W12,IF(AND($S12&lt;&gt;"",EDATE($D12,Milestones!$AA$174)&gt;=$S12),$V12,IF(AND($R12&lt;&gt;"",EDATE($D12,Milestones!$AA$174)&gt;=$R12),$U12,$T12)))=Milestones!$AB$174),TEXT(EDATE($D12,Milestones!$AA$174),"dd/mm/yy")&amp;" "&amp;Milestones!$AB$174&amp;" "&amp;Milestones!$AC$174&amp;";  ","")&amp;IF(AND(EDATE($D12,Milestones!$AA$175)&lt;=AsOfDate,IF($Q12=0,$W12,IF(AND($S12&lt;&gt;"",EDATE($D12,Milestones!$AA$175)&gt;=$S12),$V12,IF(AND($R12&lt;&gt;"",EDATE($D12,Milestones!$AA$175)&gt;=$R12),$U12,$T12)))=Milestones!$AB$175),TEXT(EDATE($D12,Milestones!$AA$175),"dd/mm/yy")&amp;" "&amp;Milestones!$AB$175&amp;" "&amp;Milestones!$AC$175&amp;";  ","")&amp;IF(AND(EDATE($D12,Milestones!$AA$176)&lt;=AsOfDate,IF($Q12=0,$W12,IF(AND($S12&lt;&gt;"",EDATE($D12,Milestones!$AA$176)&gt;=$S12),$V12,IF(AND($R12&lt;&gt;"",EDATE($D12,Milestones!$AA$176)&gt;=$R12),$U12,$T12)))=Milestones!$AB$176),TEXT(EDATE($D12,Milestones!$AA$176),"dd/mm/yy")&amp;" "&amp;Milestones!$AB$176&amp;" "&amp;Milestones!$AC$176&amp;";  ","")&amp;IF(AND(EDATE($D12,Milestones!$AA$177)&lt;=AsOfDate,IF($Q12=0,$W12,IF(AND($S12&lt;&gt;"",EDATE($D12,Milestones!$AA$177)&gt;=$S12),$V12,IF(AND($R12&lt;&gt;"",EDATE($D12,Milestones!$AA$177)&gt;=$R12),$U12,$T12)))=Milestones!$AB$177),TEXT(EDATE($D12,Milestones!$AA$177),"dd/mm/yy")&amp;" "&amp;Milestones!$AB$177&amp;" "&amp;Milestones!$AC$177&amp;";  ","")&amp;IF(AND(EDATE($D12,Milestones!$AA$178)&lt;=AsOfDate,IF($Q12=0,$W12,IF(AND($S12&lt;&gt;"",EDATE($D12,Milestones!$AA$178)&gt;=$S12),$V12,IF(AND($R12&lt;&gt;"",EDATE($D12,Milestones!$AA$178)&gt;=$R12),$U12,$T12)))=Milestones!$AB$178),TEXT(EDATE($D12,Milestones!$AA$178),"dd/mm/yy")&amp;" "&amp;Milestones!$AB$178&amp;" "&amp;Milestones!$AC$178&amp;";  ","")&amp;IF(AND(EDATE($D12,Milestones!$AA$179)&lt;=AsOfDate,IF($Q12=0,$W12,IF(AND($S12&lt;&gt;"",EDATE($D12,Milestones!$AA$179)&gt;=$S12),$V12,IF(AND($R12&lt;&gt;"",EDATE($D12,Milestones!$AA$179)&gt;=$R12),$U12,$T12)))=Milestones!$AB$179),TEXT(EDATE($D12,Milestones!$AA$179),"dd/mm/yy")&amp;" "&amp;Milestones!$AB$179&amp;" "&amp;Milestones!$AC$179&amp;";  ",""))</f>
        <v/>
      </c>
      <c r="P12" s="0" t="str">
        <f aca="false">IF(OR($A12="",$D12=""),"",IF(AND(EDATE($D12,Milestones!$AA$180)&lt;=AsOfDate,IF($Q12=0,$W12,IF(AND($S12&lt;&gt;"",EDATE($D12,Milestones!$AA$180)&gt;=$S12),$V12,IF(AND($R12&lt;&gt;"",EDATE($D12,Milestones!$AA$180)&gt;=$R12),$U12,$T12)))=Milestones!$AB$180),TEXT(EDATE($D12,Milestones!$AA$180),"dd/mm/yy")&amp;" "&amp;Milestones!$AB$180&amp;" "&amp;Milestones!$AC$180&amp;";  ","")&amp;IF(AND(EDATE($D12,Milestones!$AA$181)&lt;=AsOfDate,IF($Q12=0,$W12,IF(AND($S12&lt;&gt;"",EDATE($D12,Milestones!$AA$181)&gt;=$S12),$V12,IF(AND($R12&lt;&gt;"",EDATE($D12,Milestones!$AA$181)&gt;=$R12),$U12,$T12)))=Milestones!$AB$181),TEXT(EDATE($D12,Milestones!$AA$181),"dd/mm/yy")&amp;" "&amp;Milestones!$AB$181&amp;" "&amp;Milestones!$AC$181&amp;";  ","")&amp;IF(AND(EDATE($D12,Milestones!$AA$182)&lt;=AsOfDate,IF($Q12=0,$W12,IF(AND($S12&lt;&gt;"",EDATE($D12,Milestones!$AA$182)&gt;=$S12),$V12,IF(AND($R12&lt;&gt;"",EDATE($D12,Milestones!$AA$182)&gt;=$R12),$U12,$T12)))=Milestones!$AB$182),TEXT(EDATE($D12,Milestones!$AA$182),"dd/mm/yy")&amp;" "&amp;Milestones!$AB$182&amp;" "&amp;Milestones!$AC$182&amp;";  ","")&amp;IF(AND(EDATE($D12,Milestones!$AA$183)&lt;=AsOfDate,IF($Q12=0,$W12,IF(AND($S12&lt;&gt;"",EDATE($D12,Milestones!$AA$183)&gt;=$S12),$V12,IF(AND($R12&lt;&gt;"",EDATE($D12,Milestones!$AA$183)&gt;=$R12),$U12,$T12)))=Milestones!$AB$183),TEXT(EDATE($D12,Milestones!$AA$183),"dd/mm/yy")&amp;" "&amp;Milestones!$AB$183&amp;" "&amp;Milestones!$AC$183&amp;";  ","")&amp;IF(AND(EDATE($D12,Milestones!$AA$184)&lt;=AsOfDate,IF($Q12=0,$W12,IF(AND($S12&lt;&gt;"",EDATE($D12,Milestones!$AA$184)&gt;=$S12),$V12,IF(AND($R12&lt;&gt;"",EDATE($D12,Milestones!$AA$184)&gt;=$R12),$U12,$T12)))=Milestones!$AB$184),TEXT(EDATE($D12,Milestones!$AA$184),"dd/mm/yy")&amp;" "&amp;Milestones!$AB$184&amp;" "&amp;Milestones!$AC$184&amp;";  ","")&amp;IF(AND(EDATE($D12,Milestones!$AA$185)&lt;=AsOfDate,IF($Q12=0,$W12,IF(AND($S12&lt;&gt;"",EDATE($D12,Milestones!$AA$185)&gt;=$S12),$V12,IF(AND($R12&lt;&gt;"",EDATE($D12,Milestones!$AA$185)&gt;=$R12),$U12,$T12)))=Milestones!$AB$185),TEXT(EDATE($D12,Milestones!$AA$185),"dd/mm/yy")&amp;" "&amp;Milestones!$AB$185&amp;" "&amp;Milestones!$AC$185&amp;";  ","")&amp;IF(AND(EDATE($D12,Milestones!$AA$186)&lt;=AsOfDate,IF($Q12=0,$W12,IF(AND($S12&lt;&gt;"",EDATE($D12,Milestones!$AA$186)&gt;=$S12),$V12,IF(AND($R12&lt;&gt;"",EDATE($D12,Milestones!$AA$186)&gt;=$R12),$U12,$T12)))=Milestones!$AB$186),TEXT(EDATE($D12,Milestones!$AA$186),"dd/mm/yy")&amp;" "&amp;Milestones!$AB$186&amp;" "&amp;Milestones!$AC$186&amp;";  ","")&amp;IF(AND(EDATE($D12,Milestones!$AA$187)&lt;=AsOfDate,IF($Q12=0,$W12,IF(AND($S12&lt;&gt;"",EDATE($D12,Milestones!$AA$187)&gt;=$S12),$V12,IF(AND($R12&lt;&gt;"",EDATE($D12,Milestones!$AA$187)&gt;=$R12),$U12,$T12)))=Milestones!$AB$187),TEXT(EDATE($D12,Milestones!$AA$187),"dd/mm/yy")&amp;" "&amp;Milestones!$AB$187&amp;" "&amp;Milestones!$AC$187&amp;";  ","")&amp;IF(AND(EDATE($D12,Milestones!$AA$188)&lt;=AsOfDate,IF($Q12=0,$W12,IF(AND($S12&lt;&gt;"",EDATE($D12,Milestones!$AA$188)&gt;=$S12),$V12,IF(AND($R12&lt;&gt;"",EDATE($D12,Milestones!$AA$188)&gt;=$R12),$U12,$T12)))=Milestones!$AB$188),TEXT(EDATE($D12,Milestones!$AA$188),"dd/mm/yy")&amp;" "&amp;Milestones!$AB$188&amp;" "&amp;Milestones!$AC$188&amp;";  ","")&amp;IF(AND(EDATE($D12,Milestones!$AA$189)&lt;=AsOfDate,IF($Q12=0,$W12,IF(AND($S12&lt;&gt;"",EDATE($D12,Milestones!$AA$189)&gt;=$S12),$V12,IF(AND($R12&lt;&gt;"",EDATE($D12,Milestones!$AA$189)&gt;=$R12),$U12,$T12)))=Milestones!$AB$189),TEXT(EDATE($D12,Milestones!$AA$189),"dd/mm/yy")&amp;" "&amp;Milestones!$AB$189&amp;" "&amp;Milestones!$AC$189&amp;";  ","")&amp;IF(AND(EDATE($D12,Milestones!$AA$190)&lt;=AsOfDate,IF($Q12=0,$W12,IF(AND($S12&lt;&gt;"",EDATE($D12,Milestones!$AA$190)&gt;=$S12),$V12,IF(AND($R12&lt;&gt;"",EDATE($D12,Milestones!$AA$190)&gt;=$R12),$U12,$T12)))=Milestones!$AB$190),TEXT(EDATE($D12,Milestones!$AA$190),"dd/mm/yy")&amp;" "&amp;Milestones!$AB$190&amp;" "&amp;Milestones!$AC$190&amp;";  ","")&amp;IF(AND(EDATE($D12,Milestones!$AA$191)&lt;=AsOfDate,IF($Q12=0,$W12,IF(AND($S12&lt;&gt;"",EDATE($D12,Milestones!$AA$191)&gt;=$S12),$V12,IF(AND($R12&lt;&gt;"",EDATE($D12,Milestones!$AA$191)&gt;=$R12),$U12,$T12)))=Milestones!$AB$191),TEXT(EDATE($D12,Milestones!$AA$191),"dd/mm/yy")&amp;" "&amp;Milestones!$AB$191&amp;" "&amp;Milestones!$AC$191&amp;";  ","")&amp;IF(AND(EDATE($D12,Milestones!$AA$192)&lt;=AsOfDate,IF($Q12=0,$W12,IF(AND($S12&lt;&gt;"",EDATE($D12,Milestones!$AA$192)&gt;=$S12),$V12,IF(AND($R12&lt;&gt;"",EDATE($D12,Milestones!$AA$192)&gt;=$R12),$U12,$T12)))=Milestones!$AB$192),TEXT(EDATE($D12,Milestones!$AA$192),"dd/mm/yy")&amp;" "&amp;Milestones!$AB$192&amp;" "&amp;Milestones!$AC$192&amp;";  ","")&amp;IF(AND(EDATE($D12,Milestones!$AA$193)&lt;=AsOfDate,IF($Q12=0,$W12,IF(AND($S12&lt;&gt;"",EDATE($D12,Milestones!$AA$193)&gt;=$S12),$V12,IF(AND($R12&lt;&gt;"",EDATE($D12,Milestones!$AA$193)&gt;=$R12),$U12,$T12)))=Milestones!$AB$193),TEXT(EDATE($D12,Milestones!$AA$193),"dd/mm/yy")&amp;" "&amp;Milestones!$AB$193&amp;" "&amp;Milestones!$AC$193&amp;";  ","")&amp;IF(AND(EDATE($D12,Milestones!$AA$194)&lt;=AsOfDate,IF($Q12=0,$W12,IF(AND($S12&lt;&gt;"",EDATE($D12,Milestones!$AA$194)&gt;=$S12),$V12,IF(AND($R12&lt;&gt;"",EDATE($D12,Milestones!$AA$194)&gt;=$R12),$U12,$T12)))=Milestones!$AB$194),TEXT(EDATE($D12,Milestones!$AA$194),"dd/mm/yy")&amp;" "&amp;Milestones!$AB$194&amp;" "&amp;Milestones!$AC$194&amp;";  ","")&amp;IF(AND(EDATE($D12,Milestones!$AA$195)&lt;=AsOfDate,IF($Q12=0,$W12,IF(AND($S12&lt;&gt;"",EDATE($D12,Milestones!$AA$195)&gt;=$S12),$V12,IF(AND($R12&lt;&gt;"",EDATE($D12,Milestones!$AA$195)&gt;=$R12),$U12,$T12)))=Milestones!$AB$195),TEXT(EDATE($D12,Milestones!$AA$195),"dd/mm/yy")&amp;" "&amp;Milestones!$AB$195&amp;" "&amp;Milestones!$AC$195&amp;";  ","")&amp;IF(AND(EDATE($D12,Milestones!$AA$196)&lt;=AsOfDate,IF($Q12=0,$W12,IF(AND($S12&lt;&gt;"",EDATE($D12,Milestones!$AA$196)&gt;=$S12),$V12,IF(AND($R12&lt;&gt;"",EDATE($D12,Milestones!$AA$196)&gt;=$R12),$U12,$T12)))=Milestones!$AB$196),TEXT(EDATE($D12,Milestones!$AA$196),"dd/mm/yy")&amp;" "&amp;Milestones!$AB$196&amp;" "&amp;Milestones!$AC$196&amp;";  ","")&amp;IF(AND(EDATE($D12,Milestones!$AA$197)&lt;=AsOfDate,IF($Q12=0,$W12,IF(AND($S12&lt;&gt;"",EDATE($D12,Milestones!$AA$197)&gt;=$S12),$V12,IF(AND($R12&lt;&gt;"",EDATE($D12,Milestones!$AA$197)&gt;=$R12),$U12,$T12)))=Milestones!$AB$197),TEXT(EDATE($D12,Milestones!$AA$197),"dd/mm/yy")&amp;" "&amp;Milestones!$AB$197&amp;" "&amp;Milestones!$AC$197&amp;";  ","")&amp;IF(AND(EDATE($D12,Milestones!$AA$198)&lt;=AsOfDate,IF($Q12=0,$W12,IF(AND($S12&lt;&gt;"",EDATE($D12,Milestones!$AA$198)&gt;=$S12),$V12,IF(AND($R12&lt;&gt;"",EDATE($D12,Milestones!$AA$198)&gt;=$R12),$U12,$T12)))=Milestones!$AB$198),TEXT(EDATE($D12,Milestones!$AA$198),"dd/mm/yy")&amp;" "&amp;Milestones!$AB$198&amp;" "&amp;Milestones!$AC$198&amp;";  ","")&amp;IF(AND(EDATE($D12,Milestones!$AA$199)&lt;=AsOfDate,IF($Q12=0,$W12,IF(AND($S12&lt;&gt;"",EDATE($D12,Milestones!$AA$199)&gt;=$S12),$V12,IF(AND($R12&lt;&gt;"",EDATE($D12,Milestones!$AA$199)&gt;=$R12),$U12,$T12)))=Milestones!$AB$199),TEXT(EDATE($D12,Milestones!$AA$199),"dd/mm/yy")&amp;" "&amp;Milestones!$AB$199&amp;" "&amp;Milestones!$AC$199&amp;";  ",""))</f>
        <v/>
      </c>
      <c r="Q12" s="0" t="str">
        <f aca="false">IF(Staff!$A12="","",Staff!$AG12)</f>
        <v/>
      </c>
      <c r="R12" s="0" t="str">
        <f aca="false">IF(Staff!$A12="","",Staff!$AI12)</f>
        <v/>
      </c>
      <c r="S12" s="0" t="str">
        <f aca="false">IF(Staff!$A12="","",Staff!$AJ12)</f>
        <v/>
      </c>
      <c r="T12" s="0" t="str">
        <f aca="false">IF(Staff!$A12="","",Staff!$AN12)</f>
        <v/>
      </c>
      <c r="U12" s="0" t="str">
        <f aca="false">IF(Staff!$A12="","",Staff!$AO12)</f>
        <v/>
      </c>
      <c r="V12" s="0" t="str">
        <f aca="false">IF(Staff!$A12="","",Staff!$AP12)</f>
        <v/>
      </c>
      <c r="W12" s="0" t="str">
        <f aca="false">IF(Staff!$A12="","",Staff!$AQ12)</f>
        <v/>
      </c>
    </row>
    <row r="13" customFormat="false" ht="15" hidden="false" customHeight="false" outlineLevel="0" collapsed="false">
      <c r="A13" s="13" t="str">
        <f aca="false">IF(Staff!$A13="","",Staff!$A13)</f>
        <v/>
      </c>
      <c r="B13" s="13" t="str">
        <f aca="false">IF(Staff!$A13="","",Staff!$B13)</f>
        <v/>
      </c>
      <c r="C13" s="13" t="str">
        <f aca="false">IF(Staff!$A13="","",Staff!$C13)</f>
        <v/>
      </c>
      <c r="D13" s="11" t="str">
        <f aca="false">IF(Staff!$A13="","",Staff!$AF13)</f>
        <v/>
      </c>
      <c r="E13" s="13" t="str">
        <f aca="false">IF(Staff!$A13="","",Staff!$O13)</f>
        <v/>
      </c>
      <c r="F13" s="13" t="str">
        <f aca="false">IF(E13="","",E13*HoursPerDay)</f>
        <v/>
      </c>
      <c r="G13" s="26" t="str">
        <f aca="false">IF($A13="","",H13&amp;I13&amp;J13&amp;K13&amp;L13&amp;M13&amp;N13&amp;O13&amp;P13)</f>
        <v/>
      </c>
      <c r="H13" s="0" t="str">
        <f aca="false">IF(OR($A13="",$D13=""),"",IF(AND(EDATE($D13,Milestones!$AA$20)&lt;=AsOfDate,IF($Q13=0,$W13,IF(AND($S13&lt;&gt;"",EDATE($D13,Milestones!$AA$20)&gt;=$S13),$V13,IF(AND($R13&lt;&gt;"",EDATE($D13,Milestones!$AA$20)&gt;=$R13),$U13,$T13)))=Milestones!$AB$20),TEXT(EDATE($D13,Milestones!$AA$20),"dd/mm/yy")&amp;" "&amp;Milestones!$AB$20&amp;" "&amp;Milestones!$AC$20&amp;";  ","")&amp;IF(AND(EDATE($D13,Milestones!$AA$21)&lt;=AsOfDate,IF($Q13=0,$W13,IF(AND($S13&lt;&gt;"",EDATE($D13,Milestones!$AA$21)&gt;=$S13),$V13,IF(AND($R13&lt;&gt;"",EDATE($D13,Milestones!$AA$21)&gt;=$R13),$U13,$T13)))=Milestones!$AB$21),TEXT(EDATE($D13,Milestones!$AA$21),"dd/mm/yy")&amp;" "&amp;Milestones!$AB$21&amp;" "&amp;Milestones!$AC$21&amp;";  ","")&amp;IF(AND(EDATE($D13,Milestones!$AA$22)&lt;=AsOfDate,IF($Q13=0,$W13,IF(AND($S13&lt;&gt;"",EDATE($D13,Milestones!$AA$22)&gt;=$S13),$V13,IF(AND($R13&lt;&gt;"",EDATE($D13,Milestones!$AA$22)&gt;=$R13),$U13,$T13)))=Milestones!$AB$22),TEXT(EDATE($D13,Milestones!$AA$22),"dd/mm/yy")&amp;" "&amp;Milestones!$AB$22&amp;" "&amp;Milestones!$AC$22&amp;";  ","")&amp;IF(AND(EDATE($D13,Milestones!$AA$23)&lt;=AsOfDate,IF($Q13=0,$W13,IF(AND($S13&lt;&gt;"",EDATE($D13,Milestones!$AA$23)&gt;=$S13),$V13,IF(AND($R13&lt;&gt;"",EDATE($D13,Milestones!$AA$23)&gt;=$R13),$U13,$T13)))=Milestones!$AB$23),TEXT(EDATE($D13,Milestones!$AA$23),"dd/mm/yy")&amp;" "&amp;Milestones!$AB$23&amp;" "&amp;Milestones!$AC$23&amp;";  ","")&amp;IF(AND(EDATE($D13,Milestones!$AA$24)&lt;=AsOfDate,IF($Q13=0,$W13,IF(AND($S13&lt;&gt;"",EDATE($D13,Milestones!$AA$24)&gt;=$S13),$V13,IF(AND($R13&lt;&gt;"",EDATE($D13,Milestones!$AA$24)&gt;=$R13),$U13,$T13)))=Milestones!$AB$24),TEXT(EDATE($D13,Milestones!$AA$24),"dd/mm/yy")&amp;" "&amp;Milestones!$AB$24&amp;" "&amp;Milestones!$AC$24&amp;";  ","")&amp;IF(AND(EDATE($D13,Milestones!$AA$25)&lt;=AsOfDate,IF($Q13=0,$W13,IF(AND($S13&lt;&gt;"",EDATE($D13,Milestones!$AA$25)&gt;=$S13),$V13,IF(AND($R13&lt;&gt;"",EDATE($D13,Milestones!$AA$25)&gt;=$R13),$U13,$T13)))=Milestones!$AB$25),TEXT(EDATE($D13,Milestones!$AA$25),"dd/mm/yy")&amp;" "&amp;Milestones!$AB$25&amp;" "&amp;Milestones!$AC$25&amp;";  ","")&amp;IF(AND(EDATE($D13,Milestones!$AA$26)&lt;=AsOfDate,IF($Q13=0,$W13,IF(AND($S13&lt;&gt;"",EDATE($D13,Milestones!$AA$26)&gt;=$S13),$V13,IF(AND($R13&lt;&gt;"",EDATE($D13,Milestones!$AA$26)&gt;=$R13),$U13,$T13)))=Milestones!$AB$26),TEXT(EDATE($D13,Milestones!$AA$26),"dd/mm/yy")&amp;" "&amp;Milestones!$AB$26&amp;" "&amp;Milestones!$AC$26&amp;";  ","")&amp;IF(AND(EDATE($D13,Milestones!$AA$27)&lt;=AsOfDate,IF($Q13=0,$W13,IF(AND($S13&lt;&gt;"",EDATE($D13,Milestones!$AA$27)&gt;=$S13),$V13,IF(AND($R13&lt;&gt;"",EDATE($D13,Milestones!$AA$27)&gt;=$R13),$U13,$T13)))=Milestones!$AB$27),TEXT(EDATE($D13,Milestones!$AA$27),"dd/mm/yy")&amp;" "&amp;Milestones!$AB$27&amp;" "&amp;Milestones!$AC$27&amp;";  ","")&amp;IF(AND(EDATE($D13,Milestones!$AA$28)&lt;=AsOfDate,IF($Q13=0,$W13,IF(AND($S13&lt;&gt;"",EDATE($D13,Milestones!$AA$28)&gt;=$S13),$V13,IF(AND($R13&lt;&gt;"",EDATE($D13,Milestones!$AA$28)&gt;=$R13),$U13,$T13)))=Milestones!$AB$28),TEXT(EDATE($D13,Milestones!$AA$28),"dd/mm/yy")&amp;" "&amp;Milestones!$AB$28&amp;" "&amp;Milestones!$AC$28&amp;";  ","")&amp;IF(AND(EDATE($D13,Milestones!$AA$29)&lt;=AsOfDate,IF($Q13=0,$W13,IF(AND($S13&lt;&gt;"",EDATE($D13,Milestones!$AA$29)&gt;=$S13),$V13,IF(AND($R13&lt;&gt;"",EDATE($D13,Milestones!$AA$29)&gt;=$R13),$U13,$T13)))=Milestones!$AB$29),TEXT(EDATE($D13,Milestones!$AA$29),"dd/mm/yy")&amp;" "&amp;Milestones!$AB$29&amp;" "&amp;Milestones!$AC$29&amp;";  ","")&amp;IF(AND(EDATE($D13,Milestones!$AA$30)&lt;=AsOfDate,IF($Q13=0,$W13,IF(AND($S13&lt;&gt;"",EDATE($D13,Milestones!$AA$30)&gt;=$S13),$V13,IF(AND($R13&lt;&gt;"",EDATE($D13,Milestones!$AA$30)&gt;=$R13),$U13,$T13)))=Milestones!$AB$30),TEXT(EDATE($D13,Milestones!$AA$30),"dd/mm/yy")&amp;" "&amp;Milestones!$AB$30&amp;" "&amp;Milestones!$AC$30&amp;";  ","")&amp;IF(AND(EDATE($D13,Milestones!$AA$31)&lt;=AsOfDate,IF($Q13=0,$W13,IF(AND($S13&lt;&gt;"",EDATE($D13,Milestones!$AA$31)&gt;=$S13),$V13,IF(AND($R13&lt;&gt;"",EDATE($D13,Milestones!$AA$31)&gt;=$R13),$U13,$T13)))=Milestones!$AB$31),TEXT(EDATE($D13,Milestones!$AA$31),"dd/mm/yy")&amp;" "&amp;Milestones!$AB$31&amp;" "&amp;Milestones!$AC$31&amp;";  ","")&amp;IF(AND(EDATE($D13,Milestones!$AA$32)&lt;=AsOfDate,IF($Q13=0,$W13,IF(AND($S13&lt;&gt;"",EDATE($D13,Milestones!$AA$32)&gt;=$S13),$V13,IF(AND($R13&lt;&gt;"",EDATE($D13,Milestones!$AA$32)&gt;=$R13),$U13,$T13)))=Milestones!$AB$32),TEXT(EDATE($D13,Milestones!$AA$32),"dd/mm/yy")&amp;" "&amp;Milestones!$AB$32&amp;" "&amp;Milestones!$AC$32&amp;";  ","")&amp;IF(AND(EDATE($D13,Milestones!$AA$33)&lt;=AsOfDate,IF($Q13=0,$W13,IF(AND($S13&lt;&gt;"",EDATE($D13,Milestones!$AA$33)&gt;=$S13),$V13,IF(AND($R13&lt;&gt;"",EDATE($D13,Milestones!$AA$33)&gt;=$R13),$U13,$T13)))=Milestones!$AB$33),TEXT(EDATE($D13,Milestones!$AA$33),"dd/mm/yy")&amp;" "&amp;Milestones!$AB$33&amp;" "&amp;Milestones!$AC$33&amp;";  ","")&amp;IF(AND(EDATE($D13,Milestones!$AA$34)&lt;=AsOfDate,IF($Q13=0,$W13,IF(AND($S13&lt;&gt;"",EDATE($D13,Milestones!$AA$34)&gt;=$S13),$V13,IF(AND($R13&lt;&gt;"",EDATE($D13,Milestones!$AA$34)&gt;=$R13),$U13,$T13)))=Milestones!$AB$34),TEXT(EDATE($D13,Milestones!$AA$34),"dd/mm/yy")&amp;" "&amp;Milestones!$AB$34&amp;" "&amp;Milestones!$AC$34&amp;";  ","")&amp;IF(AND(EDATE($D13,Milestones!$AA$35)&lt;=AsOfDate,IF($Q13=0,$W13,IF(AND($S13&lt;&gt;"",EDATE($D13,Milestones!$AA$35)&gt;=$S13),$V13,IF(AND($R13&lt;&gt;"",EDATE($D13,Milestones!$AA$35)&gt;=$R13),$U13,$T13)))=Milestones!$AB$35),TEXT(EDATE($D13,Milestones!$AA$35),"dd/mm/yy")&amp;" "&amp;Milestones!$AB$35&amp;" "&amp;Milestones!$AC$35&amp;";  ","")&amp;IF(AND(EDATE($D13,Milestones!$AA$36)&lt;=AsOfDate,IF($Q13=0,$W13,IF(AND($S13&lt;&gt;"",EDATE($D13,Milestones!$AA$36)&gt;=$S13),$V13,IF(AND($R13&lt;&gt;"",EDATE($D13,Milestones!$AA$36)&gt;=$R13),$U13,$T13)))=Milestones!$AB$36),TEXT(EDATE($D13,Milestones!$AA$36),"dd/mm/yy")&amp;" "&amp;Milestones!$AB$36&amp;" "&amp;Milestones!$AC$36&amp;";  ","")&amp;IF(AND(EDATE($D13,Milestones!$AA$37)&lt;=AsOfDate,IF($Q13=0,$W13,IF(AND($S13&lt;&gt;"",EDATE($D13,Milestones!$AA$37)&gt;=$S13),$V13,IF(AND($R13&lt;&gt;"",EDATE($D13,Milestones!$AA$37)&gt;=$R13),$U13,$T13)))=Milestones!$AB$37),TEXT(EDATE($D13,Milestones!$AA$37),"dd/mm/yy")&amp;" "&amp;Milestones!$AB$37&amp;" "&amp;Milestones!$AC$37&amp;";  ","")&amp;IF(AND(EDATE($D13,Milestones!$AA$38)&lt;=AsOfDate,IF($Q13=0,$W13,IF(AND($S13&lt;&gt;"",EDATE($D13,Milestones!$AA$38)&gt;=$S13),$V13,IF(AND($R13&lt;&gt;"",EDATE($D13,Milestones!$AA$38)&gt;=$R13),$U13,$T13)))=Milestones!$AB$38),TEXT(EDATE($D13,Milestones!$AA$38),"dd/mm/yy")&amp;" "&amp;Milestones!$AB$38&amp;" "&amp;Milestones!$AC$38&amp;";  ","")&amp;IF(AND(EDATE($D13,Milestones!$AA$39)&lt;=AsOfDate,IF($Q13=0,$W13,IF(AND($S13&lt;&gt;"",EDATE($D13,Milestones!$AA$39)&gt;=$S13),$V13,IF(AND($R13&lt;&gt;"",EDATE($D13,Milestones!$AA$39)&gt;=$R13),$U13,$T13)))=Milestones!$AB$39),TEXT(EDATE($D13,Milestones!$AA$39),"dd/mm/yy")&amp;" "&amp;Milestones!$AB$39&amp;" "&amp;Milestones!$AC$39&amp;";  ",""))</f>
        <v/>
      </c>
      <c r="I13" s="0" t="str">
        <f aca="false">IF(OR($A13="",$D13=""),"",IF(AND(EDATE($D13,Milestones!$AA$40)&lt;=AsOfDate,IF($Q13=0,$W13,IF(AND($S13&lt;&gt;"",EDATE($D13,Milestones!$AA$40)&gt;=$S13),$V13,IF(AND($R13&lt;&gt;"",EDATE($D13,Milestones!$AA$40)&gt;=$R13),$U13,$T13)))=Milestones!$AB$40),TEXT(EDATE($D13,Milestones!$AA$40),"dd/mm/yy")&amp;" "&amp;Milestones!$AB$40&amp;" "&amp;Milestones!$AC$40&amp;";  ","")&amp;IF(AND(EDATE($D13,Milestones!$AA$41)&lt;=AsOfDate,IF($Q13=0,$W13,IF(AND($S13&lt;&gt;"",EDATE($D13,Milestones!$AA$41)&gt;=$S13),$V13,IF(AND($R13&lt;&gt;"",EDATE($D13,Milestones!$AA$41)&gt;=$R13),$U13,$T13)))=Milestones!$AB$41),TEXT(EDATE($D13,Milestones!$AA$41),"dd/mm/yy")&amp;" "&amp;Milestones!$AB$41&amp;" "&amp;Milestones!$AC$41&amp;";  ","")&amp;IF(AND(EDATE($D13,Milestones!$AA$42)&lt;=AsOfDate,IF($Q13=0,$W13,IF(AND($S13&lt;&gt;"",EDATE($D13,Milestones!$AA$42)&gt;=$S13),$V13,IF(AND($R13&lt;&gt;"",EDATE($D13,Milestones!$AA$42)&gt;=$R13),$U13,$T13)))=Milestones!$AB$42),TEXT(EDATE($D13,Milestones!$AA$42),"dd/mm/yy")&amp;" "&amp;Milestones!$AB$42&amp;" "&amp;Milestones!$AC$42&amp;";  ","")&amp;IF(AND(EDATE($D13,Milestones!$AA$43)&lt;=AsOfDate,IF($Q13=0,$W13,IF(AND($S13&lt;&gt;"",EDATE($D13,Milestones!$AA$43)&gt;=$S13),$V13,IF(AND($R13&lt;&gt;"",EDATE($D13,Milestones!$AA$43)&gt;=$R13),$U13,$T13)))=Milestones!$AB$43),TEXT(EDATE($D13,Milestones!$AA$43),"dd/mm/yy")&amp;" "&amp;Milestones!$AB$43&amp;" "&amp;Milestones!$AC$43&amp;";  ","")&amp;IF(AND(EDATE($D13,Milestones!$AA$44)&lt;=AsOfDate,IF($Q13=0,$W13,IF(AND($S13&lt;&gt;"",EDATE($D13,Milestones!$AA$44)&gt;=$S13),$V13,IF(AND($R13&lt;&gt;"",EDATE($D13,Milestones!$AA$44)&gt;=$R13),$U13,$T13)))=Milestones!$AB$44),TEXT(EDATE($D13,Milestones!$AA$44),"dd/mm/yy")&amp;" "&amp;Milestones!$AB$44&amp;" "&amp;Milestones!$AC$44&amp;";  ","")&amp;IF(AND(EDATE($D13,Milestones!$AA$45)&lt;=AsOfDate,IF($Q13=0,$W13,IF(AND($S13&lt;&gt;"",EDATE($D13,Milestones!$AA$45)&gt;=$S13),$V13,IF(AND($R13&lt;&gt;"",EDATE($D13,Milestones!$AA$45)&gt;=$R13),$U13,$T13)))=Milestones!$AB$45),TEXT(EDATE($D13,Milestones!$AA$45),"dd/mm/yy")&amp;" "&amp;Milestones!$AB$45&amp;" "&amp;Milestones!$AC$45&amp;";  ","")&amp;IF(AND(EDATE($D13,Milestones!$AA$46)&lt;=AsOfDate,IF($Q13=0,$W13,IF(AND($S13&lt;&gt;"",EDATE($D13,Milestones!$AA$46)&gt;=$S13),$V13,IF(AND($R13&lt;&gt;"",EDATE($D13,Milestones!$AA$46)&gt;=$R13),$U13,$T13)))=Milestones!$AB$46),TEXT(EDATE($D13,Milestones!$AA$46),"dd/mm/yy")&amp;" "&amp;Milestones!$AB$46&amp;" "&amp;Milestones!$AC$46&amp;";  ","")&amp;IF(AND(EDATE($D13,Milestones!$AA$47)&lt;=AsOfDate,IF($Q13=0,$W13,IF(AND($S13&lt;&gt;"",EDATE($D13,Milestones!$AA$47)&gt;=$S13),$V13,IF(AND($R13&lt;&gt;"",EDATE($D13,Milestones!$AA$47)&gt;=$R13),$U13,$T13)))=Milestones!$AB$47),TEXT(EDATE($D13,Milestones!$AA$47),"dd/mm/yy")&amp;" "&amp;Milestones!$AB$47&amp;" "&amp;Milestones!$AC$47&amp;";  ","")&amp;IF(AND(EDATE($D13,Milestones!$AA$48)&lt;=AsOfDate,IF($Q13=0,$W13,IF(AND($S13&lt;&gt;"",EDATE($D13,Milestones!$AA$48)&gt;=$S13),$V13,IF(AND($R13&lt;&gt;"",EDATE($D13,Milestones!$AA$48)&gt;=$R13),$U13,$T13)))=Milestones!$AB$48),TEXT(EDATE($D13,Milestones!$AA$48),"dd/mm/yy")&amp;" "&amp;Milestones!$AB$48&amp;" "&amp;Milestones!$AC$48&amp;";  ","")&amp;IF(AND(EDATE($D13,Milestones!$AA$49)&lt;=AsOfDate,IF($Q13=0,$W13,IF(AND($S13&lt;&gt;"",EDATE($D13,Milestones!$AA$49)&gt;=$S13),$V13,IF(AND($R13&lt;&gt;"",EDATE($D13,Milestones!$AA$49)&gt;=$R13),$U13,$T13)))=Milestones!$AB$49),TEXT(EDATE($D13,Milestones!$AA$49),"dd/mm/yy")&amp;" "&amp;Milestones!$AB$49&amp;" "&amp;Milestones!$AC$49&amp;";  ","")&amp;IF(AND(EDATE($D13,Milestones!$AA$50)&lt;=AsOfDate,IF($Q13=0,$W13,IF(AND($S13&lt;&gt;"",EDATE($D13,Milestones!$AA$50)&gt;=$S13),$V13,IF(AND($R13&lt;&gt;"",EDATE($D13,Milestones!$AA$50)&gt;=$R13),$U13,$T13)))=Milestones!$AB$50),TEXT(EDATE($D13,Milestones!$AA$50),"dd/mm/yy")&amp;" "&amp;Milestones!$AB$50&amp;" "&amp;Milestones!$AC$50&amp;";  ","")&amp;IF(AND(EDATE($D13,Milestones!$AA$51)&lt;=AsOfDate,IF($Q13=0,$W13,IF(AND($S13&lt;&gt;"",EDATE($D13,Milestones!$AA$51)&gt;=$S13),$V13,IF(AND($R13&lt;&gt;"",EDATE($D13,Milestones!$AA$51)&gt;=$R13),$U13,$T13)))=Milestones!$AB$51),TEXT(EDATE($D13,Milestones!$AA$51),"dd/mm/yy")&amp;" "&amp;Milestones!$AB$51&amp;" "&amp;Milestones!$AC$51&amp;";  ","")&amp;IF(AND(EDATE($D13,Milestones!$AA$52)&lt;=AsOfDate,IF($Q13=0,$W13,IF(AND($S13&lt;&gt;"",EDATE($D13,Milestones!$AA$52)&gt;=$S13),$V13,IF(AND($R13&lt;&gt;"",EDATE($D13,Milestones!$AA$52)&gt;=$R13),$U13,$T13)))=Milestones!$AB$52),TEXT(EDATE($D13,Milestones!$AA$52),"dd/mm/yy")&amp;" "&amp;Milestones!$AB$52&amp;" "&amp;Milestones!$AC$52&amp;";  ","")&amp;IF(AND(EDATE($D13,Milestones!$AA$53)&lt;=AsOfDate,IF($Q13=0,$W13,IF(AND($S13&lt;&gt;"",EDATE($D13,Milestones!$AA$53)&gt;=$S13),$V13,IF(AND($R13&lt;&gt;"",EDATE($D13,Milestones!$AA$53)&gt;=$R13),$U13,$T13)))=Milestones!$AB$53),TEXT(EDATE($D13,Milestones!$AA$53),"dd/mm/yy")&amp;" "&amp;Milestones!$AB$53&amp;" "&amp;Milestones!$AC$53&amp;";  ","")&amp;IF(AND(EDATE($D13,Milestones!$AA$54)&lt;=AsOfDate,IF($Q13=0,$W13,IF(AND($S13&lt;&gt;"",EDATE($D13,Milestones!$AA$54)&gt;=$S13),$V13,IF(AND($R13&lt;&gt;"",EDATE($D13,Milestones!$AA$54)&gt;=$R13),$U13,$T13)))=Milestones!$AB$54),TEXT(EDATE($D13,Milestones!$AA$54),"dd/mm/yy")&amp;" "&amp;Milestones!$AB$54&amp;" "&amp;Milestones!$AC$54&amp;";  ","")&amp;IF(AND(EDATE($D13,Milestones!$AA$55)&lt;=AsOfDate,IF($Q13=0,$W13,IF(AND($S13&lt;&gt;"",EDATE($D13,Milestones!$AA$55)&gt;=$S13),$V13,IF(AND($R13&lt;&gt;"",EDATE($D13,Milestones!$AA$55)&gt;=$R13),$U13,$T13)))=Milestones!$AB$55),TEXT(EDATE($D13,Milestones!$AA$55),"dd/mm/yy")&amp;" "&amp;Milestones!$AB$55&amp;" "&amp;Milestones!$AC$55&amp;";  ","")&amp;IF(AND(EDATE($D13,Milestones!$AA$56)&lt;=AsOfDate,IF($Q13=0,$W13,IF(AND($S13&lt;&gt;"",EDATE($D13,Milestones!$AA$56)&gt;=$S13),$V13,IF(AND($R13&lt;&gt;"",EDATE($D13,Milestones!$AA$56)&gt;=$R13),$U13,$T13)))=Milestones!$AB$56),TEXT(EDATE($D13,Milestones!$AA$56),"dd/mm/yy")&amp;" "&amp;Milestones!$AB$56&amp;" "&amp;Milestones!$AC$56&amp;";  ","")&amp;IF(AND(EDATE($D13,Milestones!$AA$57)&lt;=AsOfDate,IF($Q13=0,$W13,IF(AND($S13&lt;&gt;"",EDATE($D13,Milestones!$AA$57)&gt;=$S13),$V13,IF(AND($R13&lt;&gt;"",EDATE($D13,Milestones!$AA$57)&gt;=$R13),$U13,$T13)))=Milestones!$AB$57),TEXT(EDATE($D13,Milestones!$AA$57),"dd/mm/yy")&amp;" "&amp;Milestones!$AB$57&amp;" "&amp;Milestones!$AC$57&amp;";  ","")&amp;IF(AND(EDATE($D13,Milestones!$AA$58)&lt;=AsOfDate,IF($Q13=0,$W13,IF(AND($S13&lt;&gt;"",EDATE($D13,Milestones!$AA$58)&gt;=$S13),$V13,IF(AND($R13&lt;&gt;"",EDATE($D13,Milestones!$AA$58)&gt;=$R13),$U13,$T13)))=Milestones!$AB$58),TEXT(EDATE($D13,Milestones!$AA$58),"dd/mm/yy")&amp;" "&amp;Milestones!$AB$58&amp;" "&amp;Milestones!$AC$58&amp;";  ","")&amp;IF(AND(EDATE($D13,Milestones!$AA$59)&lt;=AsOfDate,IF($Q13=0,$W13,IF(AND($S13&lt;&gt;"",EDATE($D13,Milestones!$AA$59)&gt;=$S13),$V13,IF(AND($R13&lt;&gt;"",EDATE($D13,Milestones!$AA$59)&gt;=$R13),$U13,$T13)))=Milestones!$AB$59),TEXT(EDATE($D13,Milestones!$AA$59),"dd/mm/yy")&amp;" "&amp;Milestones!$AB$59&amp;" "&amp;Milestones!$AC$59&amp;";  ",""))</f>
        <v/>
      </c>
      <c r="J13" s="0" t="str">
        <f aca="false">IF(OR($A13="",$D13=""),"",IF(AND(EDATE($D13,Milestones!$AA$60)&lt;=AsOfDate,IF($Q13=0,$W13,IF(AND($S13&lt;&gt;"",EDATE($D13,Milestones!$AA$60)&gt;=$S13),$V13,IF(AND($R13&lt;&gt;"",EDATE($D13,Milestones!$AA$60)&gt;=$R13),$U13,$T13)))=Milestones!$AB$60),TEXT(EDATE($D13,Milestones!$AA$60),"dd/mm/yy")&amp;" "&amp;Milestones!$AB$60&amp;" "&amp;Milestones!$AC$60&amp;";  ","")&amp;IF(AND(EDATE($D13,Milestones!$AA$61)&lt;=AsOfDate,IF($Q13=0,$W13,IF(AND($S13&lt;&gt;"",EDATE($D13,Milestones!$AA$61)&gt;=$S13),$V13,IF(AND($R13&lt;&gt;"",EDATE($D13,Milestones!$AA$61)&gt;=$R13),$U13,$T13)))=Milestones!$AB$61),TEXT(EDATE($D13,Milestones!$AA$61),"dd/mm/yy")&amp;" "&amp;Milestones!$AB$61&amp;" "&amp;Milestones!$AC$61&amp;";  ","")&amp;IF(AND(EDATE($D13,Milestones!$AA$62)&lt;=AsOfDate,IF($Q13=0,$W13,IF(AND($S13&lt;&gt;"",EDATE($D13,Milestones!$AA$62)&gt;=$S13),$V13,IF(AND($R13&lt;&gt;"",EDATE($D13,Milestones!$AA$62)&gt;=$R13),$U13,$T13)))=Milestones!$AB$62),TEXT(EDATE($D13,Milestones!$AA$62),"dd/mm/yy")&amp;" "&amp;Milestones!$AB$62&amp;" "&amp;Milestones!$AC$62&amp;";  ","")&amp;IF(AND(EDATE($D13,Milestones!$AA$63)&lt;=AsOfDate,IF($Q13=0,$W13,IF(AND($S13&lt;&gt;"",EDATE($D13,Milestones!$AA$63)&gt;=$S13),$V13,IF(AND($R13&lt;&gt;"",EDATE($D13,Milestones!$AA$63)&gt;=$R13),$U13,$T13)))=Milestones!$AB$63),TEXT(EDATE($D13,Milestones!$AA$63),"dd/mm/yy")&amp;" "&amp;Milestones!$AB$63&amp;" "&amp;Milestones!$AC$63&amp;";  ","")&amp;IF(AND(EDATE($D13,Milestones!$AA$64)&lt;=AsOfDate,IF($Q13=0,$W13,IF(AND($S13&lt;&gt;"",EDATE($D13,Milestones!$AA$64)&gt;=$S13),$V13,IF(AND($R13&lt;&gt;"",EDATE($D13,Milestones!$AA$64)&gt;=$R13),$U13,$T13)))=Milestones!$AB$64),TEXT(EDATE($D13,Milestones!$AA$64),"dd/mm/yy")&amp;" "&amp;Milestones!$AB$64&amp;" "&amp;Milestones!$AC$64&amp;";  ","")&amp;IF(AND(EDATE($D13,Milestones!$AA$65)&lt;=AsOfDate,IF($Q13=0,$W13,IF(AND($S13&lt;&gt;"",EDATE($D13,Milestones!$AA$65)&gt;=$S13),$V13,IF(AND($R13&lt;&gt;"",EDATE($D13,Milestones!$AA$65)&gt;=$R13),$U13,$T13)))=Milestones!$AB$65),TEXT(EDATE($D13,Milestones!$AA$65),"dd/mm/yy")&amp;" "&amp;Milestones!$AB$65&amp;" "&amp;Milestones!$AC$65&amp;";  ","")&amp;IF(AND(EDATE($D13,Milestones!$AA$66)&lt;=AsOfDate,IF($Q13=0,$W13,IF(AND($S13&lt;&gt;"",EDATE($D13,Milestones!$AA$66)&gt;=$S13),$V13,IF(AND($R13&lt;&gt;"",EDATE($D13,Milestones!$AA$66)&gt;=$R13),$U13,$T13)))=Milestones!$AB$66),TEXT(EDATE($D13,Milestones!$AA$66),"dd/mm/yy")&amp;" "&amp;Milestones!$AB$66&amp;" "&amp;Milestones!$AC$66&amp;";  ","")&amp;IF(AND(EDATE($D13,Milestones!$AA$67)&lt;=AsOfDate,IF($Q13=0,$W13,IF(AND($S13&lt;&gt;"",EDATE($D13,Milestones!$AA$67)&gt;=$S13),$V13,IF(AND($R13&lt;&gt;"",EDATE($D13,Milestones!$AA$67)&gt;=$R13),$U13,$T13)))=Milestones!$AB$67),TEXT(EDATE($D13,Milestones!$AA$67),"dd/mm/yy")&amp;" "&amp;Milestones!$AB$67&amp;" "&amp;Milestones!$AC$67&amp;";  ","")&amp;IF(AND(EDATE($D13,Milestones!$AA$68)&lt;=AsOfDate,IF($Q13=0,$W13,IF(AND($S13&lt;&gt;"",EDATE($D13,Milestones!$AA$68)&gt;=$S13),$V13,IF(AND($R13&lt;&gt;"",EDATE($D13,Milestones!$AA$68)&gt;=$R13),$U13,$T13)))=Milestones!$AB$68),TEXT(EDATE($D13,Milestones!$AA$68),"dd/mm/yy")&amp;" "&amp;Milestones!$AB$68&amp;" "&amp;Milestones!$AC$68&amp;";  ","")&amp;IF(AND(EDATE($D13,Milestones!$AA$69)&lt;=AsOfDate,IF($Q13=0,$W13,IF(AND($S13&lt;&gt;"",EDATE($D13,Milestones!$AA$69)&gt;=$S13),$V13,IF(AND($R13&lt;&gt;"",EDATE($D13,Milestones!$AA$69)&gt;=$R13),$U13,$T13)))=Milestones!$AB$69),TEXT(EDATE($D13,Milestones!$AA$69),"dd/mm/yy")&amp;" "&amp;Milestones!$AB$69&amp;" "&amp;Milestones!$AC$69&amp;";  ","")&amp;IF(AND(EDATE($D13,Milestones!$AA$70)&lt;=AsOfDate,IF($Q13=0,$W13,IF(AND($S13&lt;&gt;"",EDATE($D13,Milestones!$AA$70)&gt;=$S13),$V13,IF(AND($R13&lt;&gt;"",EDATE($D13,Milestones!$AA$70)&gt;=$R13),$U13,$T13)))=Milestones!$AB$70),TEXT(EDATE($D13,Milestones!$AA$70),"dd/mm/yy")&amp;" "&amp;Milestones!$AB$70&amp;" "&amp;Milestones!$AC$70&amp;";  ","")&amp;IF(AND(EDATE($D13,Milestones!$AA$71)&lt;=AsOfDate,IF($Q13=0,$W13,IF(AND($S13&lt;&gt;"",EDATE($D13,Milestones!$AA$71)&gt;=$S13),$V13,IF(AND($R13&lt;&gt;"",EDATE($D13,Milestones!$AA$71)&gt;=$R13),$U13,$T13)))=Milestones!$AB$71),TEXT(EDATE($D13,Milestones!$AA$71),"dd/mm/yy")&amp;" "&amp;Milestones!$AB$71&amp;" "&amp;Milestones!$AC$71&amp;";  ","")&amp;IF(AND(EDATE($D13,Milestones!$AA$72)&lt;=AsOfDate,IF($Q13=0,$W13,IF(AND($S13&lt;&gt;"",EDATE($D13,Milestones!$AA$72)&gt;=$S13),$V13,IF(AND($R13&lt;&gt;"",EDATE($D13,Milestones!$AA$72)&gt;=$R13),$U13,$T13)))=Milestones!$AB$72),TEXT(EDATE($D13,Milestones!$AA$72),"dd/mm/yy")&amp;" "&amp;Milestones!$AB$72&amp;" "&amp;Milestones!$AC$72&amp;";  ","")&amp;IF(AND(EDATE($D13,Milestones!$AA$73)&lt;=AsOfDate,IF($Q13=0,$W13,IF(AND($S13&lt;&gt;"",EDATE($D13,Milestones!$AA$73)&gt;=$S13),$V13,IF(AND($R13&lt;&gt;"",EDATE($D13,Milestones!$AA$73)&gt;=$R13),$U13,$T13)))=Milestones!$AB$73),TEXT(EDATE($D13,Milestones!$AA$73),"dd/mm/yy")&amp;" "&amp;Milestones!$AB$73&amp;" "&amp;Milestones!$AC$73&amp;";  ","")&amp;IF(AND(EDATE($D13,Milestones!$AA$74)&lt;=AsOfDate,IF($Q13=0,$W13,IF(AND($S13&lt;&gt;"",EDATE($D13,Milestones!$AA$74)&gt;=$S13),$V13,IF(AND($R13&lt;&gt;"",EDATE($D13,Milestones!$AA$74)&gt;=$R13),$U13,$T13)))=Milestones!$AB$74),TEXT(EDATE($D13,Milestones!$AA$74),"dd/mm/yy")&amp;" "&amp;Milestones!$AB$74&amp;" "&amp;Milestones!$AC$74&amp;";  ","")&amp;IF(AND(EDATE($D13,Milestones!$AA$75)&lt;=AsOfDate,IF($Q13=0,$W13,IF(AND($S13&lt;&gt;"",EDATE($D13,Milestones!$AA$75)&gt;=$S13),$V13,IF(AND($R13&lt;&gt;"",EDATE($D13,Milestones!$AA$75)&gt;=$R13),$U13,$T13)))=Milestones!$AB$75),TEXT(EDATE($D13,Milestones!$AA$75),"dd/mm/yy")&amp;" "&amp;Milestones!$AB$75&amp;" "&amp;Milestones!$AC$75&amp;";  ","")&amp;IF(AND(EDATE($D13,Milestones!$AA$76)&lt;=AsOfDate,IF($Q13=0,$W13,IF(AND($S13&lt;&gt;"",EDATE($D13,Milestones!$AA$76)&gt;=$S13),$V13,IF(AND($R13&lt;&gt;"",EDATE($D13,Milestones!$AA$76)&gt;=$R13),$U13,$T13)))=Milestones!$AB$76),TEXT(EDATE($D13,Milestones!$AA$76),"dd/mm/yy")&amp;" "&amp;Milestones!$AB$76&amp;" "&amp;Milestones!$AC$76&amp;";  ","")&amp;IF(AND(EDATE($D13,Milestones!$AA$77)&lt;=AsOfDate,IF($Q13=0,$W13,IF(AND($S13&lt;&gt;"",EDATE($D13,Milestones!$AA$77)&gt;=$S13),$V13,IF(AND($R13&lt;&gt;"",EDATE($D13,Milestones!$AA$77)&gt;=$R13),$U13,$T13)))=Milestones!$AB$77),TEXT(EDATE($D13,Milestones!$AA$77),"dd/mm/yy")&amp;" "&amp;Milestones!$AB$77&amp;" "&amp;Milestones!$AC$77&amp;";  ","")&amp;IF(AND(EDATE($D13,Milestones!$AA$78)&lt;=AsOfDate,IF($Q13=0,$W13,IF(AND($S13&lt;&gt;"",EDATE($D13,Milestones!$AA$78)&gt;=$S13),$V13,IF(AND($R13&lt;&gt;"",EDATE($D13,Milestones!$AA$78)&gt;=$R13),$U13,$T13)))=Milestones!$AB$78),TEXT(EDATE($D13,Milestones!$AA$78),"dd/mm/yy")&amp;" "&amp;Milestones!$AB$78&amp;" "&amp;Milestones!$AC$78&amp;";  ","")&amp;IF(AND(EDATE($D13,Milestones!$AA$79)&lt;=AsOfDate,IF($Q13=0,$W13,IF(AND($S13&lt;&gt;"",EDATE($D13,Milestones!$AA$79)&gt;=$S13),$V13,IF(AND($R13&lt;&gt;"",EDATE($D13,Milestones!$AA$79)&gt;=$R13),$U13,$T13)))=Milestones!$AB$79),TEXT(EDATE($D13,Milestones!$AA$79),"dd/mm/yy")&amp;" "&amp;Milestones!$AB$79&amp;" "&amp;Milestones!$AC$79&amp;";  ",""))</f>
        <v/>
      </c>
      <c r="K13" s="0" t="str">
        <f aca="false">IF(OR($A13="",$D13=""),"",IF(AND(EDATE($D13,Milestones!$AA$80)&lt;=AsOfDate,IF($Q13=0,$W13,IF(AND($S13&lt;&gt;"",EDATE($D13,Milestones!$AA$80)&gt;=$S13),$V13,IF(AND($R13&lt;&gt;"",EDATE($D13,Milestones!$AA$80)&gt;=$R13),$U13,$T13)))=Milestones!$AB$80),TEXT(EDATE($D13,Milestones!$AA$80),"dd/mm/yy")&amp;" "&amp;Milestones!$AB$80&amp;" "&amp;Milestones!$AC$80&amp;";  ","")&amp;IF(AND(EDATE($D13,Milestones!$AA$81)&lt;=AsOfDate,IF($Q13=0,$W13,IF(AND($S13&lt;&gt;"",EDATE($D13,Milestones!$AA$81)&gt;=$S13),$V13,IF(AND($R13&lt;&gt;"",EDATE($D13,Milestones!$AA$81)&gt;=$R13),$U13,$T13)))=Milestones!$AB$81),TEXT(EDATE($D13,Milestones!$AA$81),"dd/mm/yy")&amp;" "&amp;Milestones!$AB$81&amp;" "&amp;Milestones!$AC$81&amp;";  ","")&amp;IF(AND(EDATE($D13,Milestones!$AA$82)&lt;=AsOfDate,IF($Q13=0,$W13,IF(AND($S13&lt;&gt;"",EDATE($D13,Milestones!$AA$82)&gt;=$S13),$V13,IF(AND($R13&lt;&gt;"",EDATE($D13,Milestones!$AA$82)&gt;=$R13),$U13,$T13)))=Milestones!$AB$82),TEXT(EDATE($D13,Milestones!$AA$82),"dd/mm/yy")&amp;" "&amp;Milestones!$AB$82&amp;" "&amp;Milestones!$AC$82&amp;";  ","")&amp;IF(AND(EDATE($D13,Milestones!$AA$83)&lt;=AsOfDate,IF($Q13=0,$W13,IF(AND($S13&lt;&gt;"",EDATE($D13,Milestones!$AA$83)&gt;=$S13),$V13,IF(AND($R13&lt;&gt;"",EDATE($D13,Milestones!$AA$83)&gt;=$R13),$U13,$T13)))=Milestones!$AB$83),TEXT(EDATE($D13,Milestones!$AA$83),"dd/mm/yy")&amp;" "&amp;Milestones!$AB$83&amp;" "&amp;Milestones!$AC$83&amp;";  ","")&amp;IF(AND(EDATE($D13,Milestones!$AA$84)&lt;=AsOfDate,IF($Q13=0,$W13,IF(AND($S13&lt;&gt;"",EDATE($D13,Milestones!$AA$84)&gt;=$S13),$V13,IF(AND($R13&lt;&gt;"",EDATE($D13,Milestones!$AA$84)&gt;=$R13),$U13,$T13)))=Milestones!$AB$84),TEXT(EDATE($D13,Milestones!$AA$84),"dd/mm/yy")&amp;" "&amp;Milestones!$AB$84&amp;" "&amp;Milestones!$AC$84&amp;";  ","")&amp;IF(AND(EDATE($D13,Milestones!$AA$85)&lt;=AsOfDate,IF($Q13=0,$W13,IF(AND($S13&lt;&gt;"",EDATE($D13,Milestones!$AA$85)&gt;=$S13),$V13,IF(AND($R13&lt;&gt;"",EDATE($D13,Milestones!$AA$85)&gt;=$R13),$U13,$T13)))=Milestones!$AB$85),TEXT(EDATE($D13,Milestones!$AA$85),"dd/mm/yy")&amp;" "&amp;Milestones!$AB$85&amp;" "&amp;Milestones!$AC$85&amp;";  ","")&amp;IF(AND(EDATE($D13,Milestones!$AA$86)&lt;=AsOfDate,IF($Q13=0,$W13,IF(AND($S13&lt;&gt;"",EDATE($D13,Milestones!$AA$86)&gt;=$S13),$V13,IF(AND($R13&lt;&gt;"",EDATE($D13,Milestones!$AA$86)&gt;=$R13),$U13,$T13)))=Milestones!$AB$86),TEXT(EDATE($D13,Milestones!$AA$86),"dd/mm/yy")&amp;" "&amp;Milestones!$AB$86&amp;" "&amp;Milestones!$AC$86&amp;";  ","")&amp;IF(AND(EDATE($D13,Milestones!$AA$87)&lt;=AsOfDate,IF($Q13=0,$W13,IF(AND($S13&lt;&gt;"",EDATE($D13,Milestones!$AA$87)&gt;=$S13),$V13,IF(AND($R13&lt;&gt;"",EDATE($D13,Milestones!$AA$87)&gt;=$R13),$U13,$T13)))=Milestones!$AB$87),TEXT(EDATE($D13,Milestones!$AA$87),"dd/mm/yy")&amp;" "&amp;Milestones!$AB$87&amp;" "&amp;Milestones!$AC$87&amp;";  ","")&amp;IF(AND(EDATE($D13,Milestones!$AA$88)&lt;=AsOfDate,IF($Q13=0,$W13,IF(AND($S13&lt;&gt;"",EDATE($D13,Milestones!$AA$88)&gt;=$S13),$V13,IF(AND($R13&lt;&gt;"",EDATE($D13,Milestones!$AA$88)&gt;=$R13),$U13,$T13)))=Milestones!$AB$88),TEXT(EDATE($D13,Milestones!$AA$88),"dd/mm/yy")&amp;" "&amp;Milestones!$AB$88&amp;" "&amp;Milestones!$AC$88&amp;";  ","")&amp;IF(AND(EDATE($D13,Milestones!$AA$89)&lt;=AsOfDate,IF($Q13=0,$W13,IF(AND($S13&lt;&gt;"",EDATE($D13,Milestones!$AA$89)&gt;=$S13),$V13,IF(AND($R13&lt;&gt;"",EDATE($D13,Milestones!$AA$89)&gt;=$R13),$U13,$T13)))=Milestones!$AB$89),TEXT(EDATE($D13,Milestones!$AA$89),"dd/mm/yy")&amp;" "&amp;Milestones!$AB$89&amp;" "&amp;Milestones!$AC$89&amp;";  ","")&amp;IF(AND(EDATE($D13,Milestones!$AA$90)&lt;=AsOfDate,IF($Q13=0,$W13,IF(AND($S13&lt;&gt;"",EDATE($D13,Milestones!$AA$90)&gt;=$S13),$V13,IF(AND($R13&lt;&gt;"",EDATE($D13,Milestones!$AA$90)&gt;=$R13),$U13,$T13)))=Milestones!$AB$90),TEXT(EDATE($D13,Milestones!$AA$90),"dd/mm/yy")&amp;" "&amp;Milestones!$AB$90&amp;" "&amp;Milestones!$AC$90&amp;";  ","")&amp;IF(AND(EDATE($D13,Milestones!$AA$91)&lt;=AsOfDate,IF($Q13=0,$W13,IF(AND($S13&lt;&gt;"",EDATE($D13,Milestones!$AA$91)&gt;=$S13),$V13,IF(AND($R13&lt;&gt;"",EDATE($D13,Milestones!$AA$91)&gt;=$R13),$U13,$T13)))=Milestones!$AB$91),TEXT(EDATE($D13,Milestones!$AA$91),"dd/mm/yy")&amp;" "&amp;Milestones!$AB$91&amp;" "&amp;Milestones!$AC$91&amp;";  ","")&amp;IF(AND(EDATE($D13,Milestones!$AA$92)&lt;=AsOfDate,IF($Q13=0,$W13,IF(AND($S13&lt;&gt;"",EDATE($D13,Milestones!$AA$92)&gt;=$S13),$V13,IF(AND($R13&lt;&gt;"",EDATE($D13,Milestones!$AA$92)&gt;=$R13),$U13,$T13)))=Milestones!$AB$92),TEXT(EDATE($D13,Milestones!$AA$92),"dd/mm/yy")&amp;" "&amp;Milestones!$AB$92&amp;" "&amp;Milestones!$AC$92&amp;";  ","")&amp;IF(AND(EDATE($D13,Milestones!$AA$93)&lt;=AsOfDate,IF($Q13=0,$W13,IF(AND($S13&lt;&gt;"",EDATE($D13,Milestones!$AA$93)&gt;=$S13),$V13,IF(AND($R13&lt;&gt;"",EDATE($D13,Milestones!$AA$93)&gt;=$R13),$U13,$T13)))=Milestones!$AB$93),TEXT(EDATE($D13,Milestones!$AA$93),"dd/mm/yy")&amp;" "&amp;Milestones!$AB$93&amp;" "&amp;Milestones!$AC$93&amp;";  ","")&amp;IF(AND(EDATE($D13,Milestones!$AA$94)&lt;=AsOfDate,IF($Q13=0,$W13,IF(AND($S13&lt;&gt;"",EDATE($D13,Milestones!$AA$94)&gt;=$S13),$V13,IF(AND($R13&lt;&gt;"",EDATE($D13,Milestones!$AA$94)&gt;=$R13),$U13,$T13)))=Milestones!$AB$94),TEXT(EDATE($D13,Milestones!$AA$94),"dd/mm/yy")&amp;" "&amp;Milestones!$AB$94&amp;" "&amp;Milestones!$AC$94&amp;";  ","")&amp;IF(AND(EDATE($D13,Milestones!$AA$95)&lt;=AsOfDate,IF($Q13=0,$W13,IF(AND($S13&lt;&gt;"",EDATE($D13,Milestones!$AA$95)&gt;=$S13),$V13,IF(AND($R13&lt;&gt;"",EDATE($D13,Milestones!$AA$95)&gt;=$R13),$U13,$T13)))=Milestones!$AB$95),TEXT(EDATE($D13,Milestones!$AA$95),"dd/mm/yy")&amp;" "&amp;Milestones!$AB$95&amp;" "&amp;Milestones!$AC$95&amp;";  ","")&amp;IF(AND(EDATE($D13,Milestones!$AA$96)&lt;=AsOfDate,IF($Q13=0,$W13,IF(AND($S13&lt;&gt;"",EDATE($D13,Milestones!$AA$96)&gt;=$S13),$V13,IF(AND($R13&lt;&gt;"",EDATE($D13,Milestones!$AA$96)&gt;=$R13),$U13,$T13)))=Milestones!$AB$96),TEXT(EDATE($D13,Milestones!$AA$96),"dd/mm/yy")&amp;" "&amp;Milestones!$AB$96&amp;" "&amp;Milestones!$AC$96&amp;";  ","")&amp;IF(AND(EDATE($D13,Milestones!$AA$97)&lt;=AsOfDate,IF($Q13=0,$W13,IF(AND($S13&lt;&gt;"",EDATE($D13,Milestones!$AA$97)&gt;=$S13),$V13,IF(AND($R13&lt;&gt;"",EDATE($D13,Milestones!$AA$97)&gt;=$R13),$U13,$T13)))=Milestones!$AB$97),TEXT(EDATE($D13,Milestones!$AA$97),"dd/mm/yy")&amp;" "&amp;Milestones!$AB$97&amp;" "&amp;Milestones!$AC$97&amp;";  ","")&amp;IF(AND(EDATE($D13,Milestones!$AA$98)&lt;=AsOfDate,IF($Q13=0,$W13,IF(AND($S13&lt;&gt;"",EDATE($D13,Milestones!$AA$98)&gt;=$S13),$V13,IF(AND($R13&lt;&gt;"",EDATE($D13,Milestones!$AA$98)&gt;=$R13),$U13,$T13)))=Milestones!$AB$98),TEXT(EDATE($D13,Milestones!$AA$98),"dd/mm/yy")&amp;" "&amp;Milestones!$AB$98&amp;" "&amp;Milestones!$AC$98&amp;";  ","")&amp;IF(AND(EDATE($D13,Milestones!$AA$99)&lt;=AsOfDate,IF($Q13=0,$W13,IF(AND($S13&lt;&gt;"",EDATE($D13,Milestones!$AA$99)&gt;=$S13),$V13,IF(AND($R13&lt;&gt;"",EDATE($D13,Milestones!$AA$99)&gt;=$R13),$U13,$T13)))=Milestones!$AB$99),TEXT(EDATE($D13,Milestones!$AA$99),"dd/mm/yy")&amp;" "&amp;Milestones!$AB$99&amp;" "&amp;Milestones!$AC$99&amp;";  ",""))</f>
        <v/>
      </c>
      <c r="L13" s="0" t="str">
        <f aca="false">IF(OR($A13="",$D13=""),"",IF(AND(EDATE($D13,Milestones!$AA$100)&lt;=AsOfDate,IF($Q13=0,$W13,IF(AND($S13&lt;&gt;"",EDATE($D13,Milestones!$AA$100)&gt;=$S13),$V13,IF(AND($R13&lt;&gt;"",EDATE($D13,Milestones!$AA$100)&gt;=$R13),$U13,$T13)))=Milestones!$AB$100),TEXT(EDATE($D13,Milestones!$AA$100),"dd/mm/yy")&amp;" "&amp;Milestones!$AB$100&amp;" "&amp;Milestones!$AC$100&amp;";  ","")&amp;IF(AND(EDATE($D13,Milestones!$AA$101)&lt;=AsOfDate,IF($Q13=0,$W13,IF(AND($S13&lt;&gt;"",EDATE($D13,Milestones!$AA$101)&gt;=$S13),$V13,IF(AND($R13&lt;&gt;"",EDATE($D13,Milestones!$AA$101)&gt;=$R13),$U13,$T13)))=Milestones!$AB$101),TEXT(EDATE($D13,Milestones!$AA$101),"dd/mm/yy")&amp;" "&amp;Milestones!$AB$101&amp;" "&amp;Milestones!$AC$101&amp;";  ","")&amp;IF(AND(EDATE($D13,Milestones!$AA$102)&lt;=AsOfDate,IF($Q13=0,$W13,IF(AND($S13&lt;&gt;"",EDATE($D13,Milestones!$AA$102)&gt;=$S13),$V13,IF(AND($R13&lt;&gt;"",EDATE($D13,Milestones!$AA$102)&gt;=$R13),$U13,$T13)))=Milestones!$AB$102),TEXT(EDATE($D13,Milestones!$AA$102),"dd/mm/yy")&amp;" "&amp;Milestones!$AB$102&amp;" "&amp;Milestones!$AC$102&amp;";  ","")&amp;IF(AND(EDATE($D13,Milestones!$AA$103)&lt;=AsOfDate,IF($Q13=0,$W13,IF(AND($S13&lt;&gt;"",EDATE($D13,Milestones!$AA$103)&gt;=$S13),$V13,IF(AND($R13&lt;&gt;"",EDATE($D13,Milestones!$AA$103)&gt;=$R13),$U13,$T13)))=Milestones!$AB$103),TEXT(EDATE($D13,Milestones!$AA$103),"dd/mm/yy")&amp;" "&amp;Milestones!$AB$103&amp;" "&amp;Milestones!$AC$103&amp;";  ","")&amp;IF(AND(EDATE($D13,Milestones!$AA$104)&lt;=AsOfDate,IF($Q13=0,$W13,IF(AND($S13&lt;&gt;"",EDATE($D13,Milestones!$AA$104)&gt;=$S13),$V13,IF(AND($R13&lt;&gt;"",EDATE($D13,Milestones!$AA$104)&gt;=$R13),$U13,$T13)))=Milestones!$AB$104),TEXT(EDATE($D13,Milestones!$AA$104),"dd/mm/yy")&amp;" "&amp;Milestones!$AB$104&amp;" "&amp;Milestones!$AC$104&amp;";  ","")&amp;IF(AND(EDATE($D13,Milestones!$AA$105)&lt;=AsOfDate,IF($Q13=0,$W13,IF(AND($S13&lt;&gt;"",EDATE($D13,Milestones!$AA$105)&gt;=$S13),$V13,IF(AND($R13&lt;&gt;"",EDATE($D13,Milestones!$AA$105)&gt;=$R13),$U13,$T13)))=Milestones!$AB$105),TEXT(EDATE($D13,Milestones!$AA$105),"dd/mm/yy")&amp;" "&amp;Milestones!$AB$105&amp;" "&amp;Milestones!$AC$105&amp;";  ","")&amp;IF(AND(EDATE($D13,Milestones!$AA$106)&lt;=AsOfDate,IF($Q13=0,$W13,IF(AND($S13&lt;&gt;"",EDATE($D13,Milestones!$AA$106)&gt;=$S13),$V13,IF(AND($R13&lt;&gt;"",EDATE($D13,Milestones!$AA$106)&gt;=$R13),$U13,$T13)))=Milestones!$AB$106),TEXT(EDATE($D13,Milestones!$AA$106),"dd/mm/yy")&amp;" "&amp;Milestones!$AB$106&amp;" "&amp;Milestones!$AC$106&amp;";  ","")&amp;IF(AND(EDATE($D13,Milestones!$AA$107)&lt;=AsOfDate,IF($Q13=0,$W13,IF(AND($S13&lt;&gt;"",EDATE($D13,Milestones!$AA$107)&gt;=$S13),$V13,IF(AND($R13&lt;&gt;"",EDATE($D13,Milestones!$AA$107)&gt;=$R13),$U13,$T13)))=Milestones!$AB$107),TEXT(EDATE($D13,Milestones!$AA$107),"dd/mm/yy")&amp;" "&amp;Milestones!$AB$107&amp;" "&amp;Milestones!$AC$107&amp;";  ","")&amp;IF(AND(EDATE($D13,Milestones!$AA$108)&lt;=AsOfDate,IF($Q13=0,$W13,IF(AND($S13&lt;&gt;"",EDATE($D13,Milestones!$AA$108)&gt;=$S13),$V13,IF(AND($R13&lt;&gt;"",EDATE($D13,Milestones!$AA$108)&gt;=$R13),$U13,$T13)))=Milestones!$AB$108),TEXT(EDATE($D13,Milestones!$AA$108),"dd/mm/yy")&amp;" "&amp;Milestones!$AB$108&amp;" "&amp;Milestones!$AC$108&amp;";  ","")&amp;IF(AND(EDATE($D13,Milestones!$AA$109)&lt;=AsOfDate,IF($Q13=0,$W13,IF(AND($S13&lt;&gt;"",EDATE($D13,Milestones!$AA$109)&gt;=$S13),$V13,IF(AND($R13&lt;&gt;"",EDATE($D13,Milestones!$AA$109)&gt;=$R13),$U13,$T13)))=Milestones!$AB$109),TEXT(EDATE($D13,Milestones!$AA$109),"dd/mm/yy")&amp;" "&amp;Milestones!$AB$109&amp;" "&amp;Milestones!$AC$109&amp;";  ","")&amp;IF(AND(EDATE($D13,Milestones!$AA$110)&lt;=AsOfDate,IF($Q13=0,$W13,IF(AND($S13&lt;&gt;"",EDATE($D13,Milestones!$AA$110)&gt;=$S13),$V13,IF(AND($R13&lt;&gt;"",EDATE($D13,Milestones!$AA$110)&gt;=$R13),$U13,$T13)))=Milestones!$AB$110),TEXT(EDATE($D13,Milestones!$AA$110),"dd/mm/yy")&amp;" "&amp;Milestones!$AB$110&amp;" "&amp;Milestones!$AC$110&amp;";  ","")&amp;IF(AND(EDATE($D13,Milestones!$AA$111)&lt;=AsOfDate,IF($Q13=0,$W13,IF(AND($S13&lt;&gt;"",EDATE($D13,Milestones!$AA$111)&gt;=$S13),$V13,IF(AND($R13&lt;&gt;"",EDATE($D13,Milestones!$AA$111)&gt;=$R13),$U13,$T13)))=Milestones!$AB$111),TEXT(EDATE($D13,Milestones!$AA$111),"dd/mm/yy")&amp;" "&amp;Milestones!$AB$111&amp;" "&amp;Milestones!$AC$111&amp;";  ","")&amp;IF(AND(EDATE($D13,Milestones!$AA$112)&lt;=AsOfDate,IF($Q13=0,$W13,IF(AND($S13&lt;&gt;"",EDATE($D13,Milestones!$AA$112)&gt;=$S13),$V13,IF(AND($R13&lt;&gt;"",EDATE($D13,Milestones!$AA$112)&gt;=$R13),$U13,$T13)))=Milestones!$AB$112),TEXT(EDATE($D13,Milestones!$AA$112),"dd/mm/yy")&amp;" "&amp;Milestones!$AB$112&amp;" "&amp;Milestones!$AC$112&amp;";  ","")&amp;IF(AND(EDATE($D13,Milestones!$AA$113)&lt;=AsOfDate,IF($Q13=0,$W13,IF(AND($S13&lt;&gt;"",EDATE($D13,Milestones!$AA$113)&gt;=$S13),$V13,IF(AND($R13&lt;&gt;"",EDATE($D13,Milestones!$AA$113)&gt;=$R13),$U13,$T13)))=Milestones!$AB$113),TEXT(EDATE($D13,Milestones!$AA$113),"dd/mm/yy")&amp;" "&amp;Milestones!$AB$113&amp;" "&amp;Milestones!$AC$113&amp;";  ","")&amp;IF(AND(EDATE($D13,Milestones!$AA$114)&lt;=AsOfDate,IF($Q13=0,$W13,IF(AND($S13&lt;&gt;"",EDATE($D13,Milestones!$AA$114)&gt;=$S13),$V13,IF(AND($R13&lt;&gt;"",EDATE($D13,Milestones!$AA$114)&gt;=$R13),$U13,$T13)))=Milestones!$AB$114),TEXT(EDATE($D13,Milestones!$AA$114),"dd/mm/yy")&amp;" "&amp;Milestones!$AB$114&amp;" "&amp;Milestones!$AC$114&amp;";  ","")&amp;IF(AND(EDATE($D13,Milestones!$AA$115)&lt;=AsOfDate,IF($Q13=0,$W13,IF(AND($S13&lt;&gt;"",EDATE($D13,Milestones!$AA$115)&gt;=$S13),$V13,IF(AND($R13&lt;&gt;"",EDATE($D13,Milestones!$AA$115)&gt;=$R13),$U13,$T13)))=Milestones!$AB$115),TEXT(EDATE($D13,Milestones!$AA$115),"dd/mm/yy")&amp;" "&amp;Milestones!$AB$115&amp;" "&amp;Milestones!$AC$115&amp;";  ","")&amp;IF(AND(EDATE($D13,Milestones!$AA$116)&lt;=AsOfDate,IF($Q13=0,$W13,IF(AND($S13&lt;&gt;"",EDATE($D13,Milestones!$AA$116)&gt;=$S13),$V13,IF(AND($R13&lt;&gt;"",EDATE($D13,Milestones!$AA$116)&gt;=$R13),$U13,$T13)))=Milestones!$AB$116),TEXT(EDATE($D13,Milestones!$AA$116),"dd/mm/yy")&amp;" "&amp;Milestones!$AB$116&amp;" "&amp;Milestones!$AC$116&amp;";  ","")&amp;IF(AND(EDATE($D13,Milestones!$AA$117)&lt;=AsOfDate,IF($Q13=0,$W13,IF(AND($S13&lt;&gt;"",EDATE($D13,Milestones!$AA$117)&gt;=$S13),$V13,IF(AND($R13&lt;&gt;"",EDATE($D13,Milestones!$AA$117)&gt;=$R13),$U13,$T13)))=Milestones!$AB$117),TEXT(EDATE($D13,Milestones!$AA$117),"dd/mm/yy")&amp;" "&amp;Milestones!$AB$117&amp;" "&amp;Milestones!$AC$117&amp;";  ","")&amp;IF(AND(EDATE($D13,Milestones!$AA$118)&lt;=AsOfDate,IF($Q13=0,$W13,IF(AND($S13&lt;&gt;"",EDATE($D13,Milestones!$AA$118)&gt;=$S13),$V13,IF(AND($R13&lt;&gt;"",EDATE($D13,Milestones!$AA$118)&gt;=$R13),$U13,$T13)))=Milestones!$AB$118),TEXT(EDATE($D13,Milestones!$AA$118),"dd/mm/yy")&amp;" "&amp;Milestones!$AB$118&amp;" "&amp;Milestones!$AC$118&amp;";  ","")&amp;IF(AND(EDATE($D13,Milestones!$AA$119)&lt;=AsOfDate,IF($Q13=0,$W13,IF(AND($S13&lt;&gt;"",EDATE($D13,Milestones!$AA$119)&gt;=$S13),$V13,IF(AND($R13&lt;&gt;"",EDATE($D13,Milestones!$AA$119)&gt;=$R13),$U13,$T13)))=Milestones!$AB$119),TEXT(EDATE($D13,Milestones!$AA$119),"dd/mm/yy")&amp;" "&amp;Milestones!$AB$119&amp;" "&amp;Milestones!$AC$119&amp;";  ",""))</f>
        <v/>
      </c>
      <c r="M13" s="0" t="str">
        <f aca="false">IF(OR($A13="",$D13=""),"",IF(AND(EDATE($D13,Milestones!$AA$120)&lt;=AsOfDate,IF($Q13=0,$W13,IF(AND($S13&lt;&gt;"",EDATE($D13,Milestones!$AA$120)&gt;=$S13),$V13,IF(AND($R13&lt;&gt;"",EDATE($D13,Milestones!$AA$120)&gt;=$R13),$U13,$T13)))=Milestones!$AB$120),TEXT(EDATE($D13,Milestones!$AA$120),"dd/mm/yy")&amp;" "&amp;Milestones!$AB$120&amp;" "&amp;Milestones!$AC$120&amp;";  ","")&amp;IF(AND(EDATE($D13,Milestones!$AA$121)&lt;=AsOfDate,IF($Q13=0,$W13,IF(AND($S13&lt;&gt;"",EDATE($D13,Milestones!$AA$121)&gt;=$S13),$V13,IF(AND($R13&lt;&gt;"",EDATE($D13,Milestones!$AA$121)&gt;=$R13),$U13,$T13)))=Milestones!$AB$121),TEXT(EDATE($D13,Milestones!$AA$121),"dd/mm/yy")&amp;" "&amp;Milestones!$AB$121&amp;" "&amp;Milestones!$AC$121&amp;";  ","")&amp;IF(AND(EDATE($D13,Milestones!$AA$122)&lt;=AsOfDate,IF($Q13=0,$W13,IF(AND($S13&lt;&gt;"",EDATE($D13,Milestones!$AA$122)&gt;=$S13),$V13,IF(AND($R13&lt;&gt;"",EDATE($D13,Milestones!$AA$122)&gt;=$R13),$U13,$T13)))=Milestones!$AB$122),TEXT(EDATE($D13,Milestones!$AA$122),"dd/mm/yy")&amp;" "&amp;Milestones!$AB$122&amp;" "&amp;Milestones!$AC$122&amp;";  ","")&amp;IF(AND(EDATE($D13,Milestones!$AA$123)&lt;=AsOfDate,IF($Q13=0,$W13,IF(AND($S13&lt;&gt;"",EDATE($D13,Milestones!$AA$123)&gt;=$S13),$V13,IF(AND($R13&lt;&gt;"",EDATE($D13,Milestones!$AA$123)&gt;=$R13),$U13,$T13)))=Milestones!$AB$123),TEXT(EDATE($D13,Milestones!$AA$123),"dd/mm/yy")&amp;" "&amp;Milestones!$AB$123&amp;" "&amp;Milestones!$AC$123&amp;";  ","")&amp;IF(AND(EDATE($D13,Milestones!$AA$124)&lt;=AsOfDate,IF($Q13=0,$W13,IF(AND($S13&lt;&gt;"",EDATE($D13,Milestones!$AA$124)&gt;=$S13),$V13,IF(AND($R13&lt;&gt;"",EDATE($D13,Milestones!$AA$124)&gt;=$R13),$U13,$T13)))=Milestones!$AB$124),TEXT(EDATE($D13,Milestones!$AA$124),"dd/mm/yy")&amp;" "&amp;Milestones!$AB$124&amp;" "&amp;Milestones!$AC$124&amp;";  ","")&amp;IF(AND(EDATE($D13,Milestones!$AA$125)&lt;=AsOfDate,IF($Q13=0,$W13,IF(AND($S13&lt;&gt;"",EDATE($D13,Milestones!$AA$125)&gt;=$S13),$V13,IF(AND($R13&lt;&gt;"",EDATE($D13,Milestones!$AA$125)&gt;=$R13),$U13,$T13)))=Milestones!$AB$125),TEXT(EDATE($D13,Milestones!$AA$125),"dd/mm/yy")&amp;" "&amp;Milestones!$AB$125&amp;" "&amp;Milestones!$AC$125&amp;";  ","")&amp;IF(AND(EDATE($D13,Milestones!$AA$126)&lt;=AsOfDate,IF($Q13=0,$W13,IF(AND($S13&lt;&gt;"",EDATE($D13,Milestones!$AA$126)&gt;=$S13),$V13,IF(AND($R13&lt;&gt;"",EDATE($D13,Milestones!$AA$126)&gt;=$R13),$U13,$T13)))=Milestones!$AB$126),TEXT(EDATE($D13,Milestones!$AA$126),"dd/mm/yy")&amp;" "&amp;Milestones!$AB$126&amp;" "&amp;Milestones!$AC$126&amp;";  ","")&amp;IF(AND(EDATE($D13,Milestones!$AA$127)&lt;=AsOfDate,IF($Q13=0,$W13,IF(AND($S13&lt;&gt;"",EDATE($D13,Milestones!$AA$127)&gt;=$S13),$V13,IF(AND($R13&lt;&gt;"",EDATE($D13,Milestones!$AA$127)&gt;=$R13),$U13,$T13)))=Milestones!$AB$127),TEXT(EDATE($D13,Milestones!$AA$127),"dd/mm/yy")&amp;" "&amp;Milestones!$AB$127&amp;" "&amp;Milestones!$AC$127&amp;";  ","")&amp;IF(AND(EDATE($D13,Milestones!$AA$128)&lt;=AsOfDate,IF($Q13=0,$W13,IF(AND($S13&lt;&gt;"",EDATE($D13,Milestones!$AA$128)&gt;=$S13),$V13,IF(AND($R13&lt;&gt;"",EDATE($D13,Milestones!$AA$128)&gt;=$R13),$U13,$T13)))=Milestones!$AB$128),TEXT(EDATE($D13,Milestones!$AA$128),"dd/mm/yy")&amp;" "&amp;Milestones!$AB$128&amp;" "&amp;Milestones!$AC$128&amp;";  ","")&amp;IF(AND(EDATE($D13,Milestones!$AA$129)&lt;=AsOfDate,IF($Q13=0,$W13,IF(AND($S13&lt;&gt;"",EDATE($D13,Milestones!$AA$129)&gt;=$S13),$V13,IF(AND($R13&lt;&gt;"",EDATE($D13,Milestones!$AA$129)&gt;=$R13),$U13,$T13)))=Milestones!$AB$129),TEXT(EDATE($D13,Milestones!$AA$129),"dd/mm/yy")&amp;" "&amp;Milestones!$AB$129&amp;" "&amp;Milestones!$AC$129&amp;";  ","")&amp;IF(AND(EDATE($D13,Milestones!$AA$130)&lt;=AsOfDate,IF($Q13=0,$W13,IF(AND($S13&lt;&gt;"",EDATE($D13,Milestones!$AA$130)&gt;=$S13),$V13,IF(AND($R13&lt;&gt;"",EDATE($D13,Milestones!$AA$130)&gt;=$R13),$U13,$T13)))=Milestones!$AB$130),TEXT(EDATE($D13,Milestones!$AA$130),"dd/mm/yy")&amp;" "&amp;Milestones!$AB$130&amp;" "&amp;Milestones!$AC$130&amp;";  ","")&amp;IF(AND(EDATE($D13,Milestones!$AA$131)&lt;=AsOfDate,IF($Q13=0,$W13,IF(AND($S13&lt;&gt;"",EDATE($D13,Milestones!$AA$131)&gt;=$S13),$V13,IF(AND($R13&lt;&gt;"",EDATE($D13,Milestones!$AA$131)&gt;=$R13),$U13,$T13)))=Milestones!$AB$131),TEXT(EDATE($D13,Milestones!$AA$131),"dd/mm/yy")&amp;" "&amp;Milestones!$AB$131&amp;" "&amp;Milestones!$AC$131&amp;";  ","")&amp;IF(AND(EDATE($D13,Milestones!$AA$132)&lt;=AsOfDate,IF($Q13=0,$W13,IF(AND($S13&lt;&gt;"",EDATE($D13,Milestones!$AA$132)&gt;=$S13),$V13,IF(AND($R13&lt;&gt;"",EDATE($D13,Milestones!$AA$132)&gt;=$R13),$U13,$T13)))=Milestones!$AB$132),TEXT(EDATE($D13,Milestones!$AA$132),"dd/mm/yy")&amp;" "&amp;Milestones!$AB$132&amp;" "&amp;Milestones!$AC$132&amp;";  ","")&amp;IF(AND(EDATE($D13,Milestones!$AA$133)&lt;=AsOfDate,IF($Q13=0,$W13,IF(AND($S13&lt;&gt;"",EDATE($D13,Milestones!$AA$133)&gt;=$S13),$V13,IF(AND($R13&lt;&gt;"",EDATE($D13,Milestones!$AA$133)&gt;=$R13),$U13,$T13)))=Milestones!$AB$133),TEXT(EDATE($D13,Milestones!$AA$133),"dd/mm/yy")&amp;" "&amp;Milestones!$AB$133&amp;" "&amp;Milestones!$AC$133&amp;";  ","")&amp;IF(AND(EDATE($D13,Milestones!$AA$134)&lt;=AsOfDate,IF($Q13=0,$W13,IF(AND($S13&lt;&gt;"",EDATE($D13,Milestones!$AA$134)&gt;=$S13),$V13,IF(AND($R13&lt;&gt;"",EDATE($D13,Milestones!$AA$134)&gt;=$R13),$U13,$T13)))=Milestones!$AB$134),TEXT(EDATE($D13,Milestones!$AA$134),"dd/mm/yy")&amp;" "&amp;Milestones!$AB$134&amp;" "&amp;Milestones!$AC$134&amp;";  ","")&amp;IF(AND(EDATE($D13,Milestones!$AA$135)&lt;=AsOfDate,IF($Q13=0,$W13,IF(AND($S13&lt;&gt;"",EDATE($D13,Milestones!$AA$135)&gt;=$S13),$V13,IF(AND($R13&lt;&gt;"",EDATE($D13,Milestones!$AA$135)&gt;=$R13),$U13,$T13)))=Milestones!$AB$135),TEXT(EDATE($D13,Milestones!$AA$135),"dd/mm/yy")&amp;" "&amp;Milestones!$AB$135&amp;" "&amp;Milestones!$AC$135&amp;";  ","")&amp;IF(AND(EDATE($D13,Milestones!$AA$136)&lt;=AsOfDate,IF($Q13=0,$W13,IF(AND($S13&lt;&gt;"",EDATE($D13,Milestones!$AA$136)&gt;=$S13),$V13,IF(AND($R13&lt;&gt;"",EDATE($D13,Milestones!$AA$136)&gt;=$R13),$U13,$T13)))=Milestones!$AB$136),TEXT(EDATE($D13,Milestones!$AA$136),"dd/mm/yy")&amp;" "&amp;Milestones!$AB$136&amp;" "&amp;Milestones!$AC$136&amp;";  ","")&amp;IF(AND(EDATE($D13,Milestones!$AA$137)&lt;=AsOfDate,IF($Q13=0,$W13,IF(AND($S13&lt;&gt;"",EDATE($D13,Milestones!$AA$137)&gt;=$S13),$V13,IF(AND($R13&lt;&gt;"",EDATE($D13,Milestones!$AA$137)&gt;=$R13),$U13,$T13)))=Milestones!$AB$137),TEXT(EDATE($D13,Milestones!$AA$137),"dd/mm/yy")&amp;" "&amp;Milestones!$AB$137&amp;" "&amp;Milestones!$AC$137&amp;";  ","")&amp;IF(AND(EDATE($D13,Milestones!$AA$138)&lt;=AsOfDate,IF($Q13=0,$W13,IF(AND($S13&lt;&gt;"",EDATE($D13,Milestones!$AA$138)&gt;=$S13),$V13,IF(AND($R13&lt;&gt;"",EDATE($D13,Milestones!$AA$138)&gt;=$R13),$U13,$T13)))=Milestones!$AB$138),TEXT(EDATE($D13,Milestones!$AA$138),"dd/mm/yy")&amp;" "&amp;Milestones!$AB$138&amp;" "&amp;Milestones!$AC$138&amp;";  ","")&amp;IF(AND(EDATE($D13,Milestones!$AA$139)&lt;=AsOfDate,IF($Q13=0,$W13,IF(AND($S13&lt;&gt;"",EDATE($D13,Milestones!$AA$139)&gt;=$S13),$V13,IF(AND($R13&lt;&gt;"",EDATE($D13,Milestones!$AA$139)&gt;=$R13),$U13,$T13)))=Milestones!$AB$139),TEXT(EDATE($D13,Milestones!$AA$139),"dd/mm/yy")&amp;" "&amp;Milestones!$AB$139&amp;" "&amp;Milestones!$AC$139&amp;";  ",""))</f>
        <v/>
      </c>
      <c r="N13" s="0" t="str">
        <f aca="false">IF(OR($A13="",$D13=""),"",IF(AND(EDATE($D13,Milestones!$AA$140)&lt;=AsOfDate,IF($Q13=0,$W13,IF(AND($S13&lt;&gt;"",EDATE($D13,Milestones!$AA$140)&gt;=$S13),$V13,IF(AND($R13&lt;&gt;"",EDATE($D13,Milestones!$AA$140)&gt;=$R13),$U13,$T13)))=Milestones!$AB$140),TEXT(EDATE($D13,Milestones!$AA$140),"dd/mm/yy")&amp;" "&amp;Milestones!$AB$140&amp;" "&amp;Milestones!$AC$140&amp;";  ","")&amp;IF(AND(EDATE($D13,Milestones!$AA$141)&lt;=AsOfDate,IF($Q13=0,$W13,IF(AND($S13&lt;&gt;"",EDATE($D13,Milestones!$AA$141)&gt;=$S13),$V13,IF(AND($R13&lt;&gt;"",EDATE($D13,Milestones!$AA$141)&gt;=$R13),$U13,$T13)))=Milestones!$AB$141),TEXT(EDATE($D13,Milestones!$AA$141),"dd/mm/yy")&amp;" "&amp;Milestones!$AB$141&amp;" "&amp;Milestones!$AC$141&amp;";  ","")&amp;IF(AND(EDATE($D13,Milestones!$AA$142)&lt;=AsOfDate,IF($Q13=0,$W13,IF(AND($S13&lt;&gt;"",EDATE($D13,Milestones!$AA$142)&gt;=$S13),$V13,IF(AND($R13&lt;&gt;"",EDATE($D13,Milestones!$AA$142)&gt;=$R13),$U13,$T13)))=Milestones!$AB$142),TEXT(EDATE($D13,Milestones!$AA$142),"dd/mm/yy")&amp;" "&amp;Milestones!$AB$142&amp;" "&amp;Milestones!$AC$142&amp;";  ","")&amp;IF(AND(EDATE($D13,Milestones!$AA$143)&lt;=AsOfDate,IF($Q13=0,$W13,IF(AND($S13&lt;&gt;"",EDATE($D13,Milestones!$AA$143)&gt;=$S13),$V13,IF(AND($R13&lt;&gt;"",EDATE($D13,Milestones!$AA$143)&gt;=$R13),$U13,$T13)))=Milestones!$AB$143),TEXT(EDATE($D13,Milestones!$AA$143),"dd/mm/yy")&amp;" "&amp;Milestones!$AB$143&amp;" "&amp;Milestones!$AC$143&amp;";  ","")&amp;IF(AND(EDATE($D13,Milestones!$AA$144)&lt;=AsOfDate,IF($Q13=0,$W13,IF(AND($S13&lt;&gt;"",EDATE($D13,Milestones!$AA$144)&gt;=$S13),$V13,IF(AND($R13&lt;&gt;"",EDATE($D13,Milestones!$AA$144)&gt;=$R13),$U13,$T13)))=Milestones!$AB$144),TEXT(EDATE($D13,Milestones!$AA$144),"dd/mm/yy")&amp;" "&amp;Milestones!$AB$144&amp;" "&amp;Milestones!$AC$144&amp;";  ","")&amp;IF(AND(EDATE($D13,Milestones!$AA$145)&lt;=AsOfDate,IF($Q13=0,$W13,IF(AND($S13&lt;&gt;"",EDATE($D13,Milestones!$AA$145)&gt;=$S13),$V13,IF(AND($R13&lt;&gt;"",EDATE($D13,Milestones!$AA$145)&gt;=$R13),$U13,$T13)))=Milestones!$AB$145),TEXT(EDATE($D13,Milestones!$AA$145),"dd/mm/yy")&amp;" "&amp;Milestones!$AB$145&amp;" "&amp;Milestones!$AC$145&amp;";  ","")&amp;IF(AND(EDATE($D13,Milestones!$AA$146)&lt;=AsOfDate,IF($Q13=0,$W13,IF(AND($S13&lt;&gt;"",EDATE($D13,Milestones!$AA$146)&gt;=$S13),$V13,IF(AND($R13&lt;&gt;"",EDATE($D13,Milestones!$AA$146)&gt;=$R13),$U13,$T13)))=Milestones!$AB$146),TEXT(EDATE($D13,Milestones!$AA$146),"dd/mm/yy")&amp;" "&amp;Milestones!$AB$146&amp;" "&amp;Milestones!$AC$146&amp;";  ","")&amp;IF(AND(EDATE($D13,Milestones!$AA$147)&lt;=AsOfDate,IF($Q13=0,$W13,IF(AND($S13&lt;&gt;"",EDATE($D13,Milestones!$AA$147)&gt;=$S13),$V13,IF(AND($R13&lt;&gt;"",EDATE($D13,Milestones!$AA$147)&gt;=$R13),$U13,$T13)))=Milestones!$AB$147),TEXT(EDATE($D13,Milestones!$AA$147),"dd/mm/yy")&amp;" "&amp;Milestones!$AB$147&amp;" "&amp;Milestones!$AC$147&amp;";  ","")&amp;IF(AND(EDATE($D13,Milestones!$AA$148)&lt;=AsOfDate,IF($Q13=0,$W13,IF(AND($S13&lt;&gt;"",EDATE($D13,Milestones!$AA$148)&gt;=$S13),$V13,IF(AND($R13&lt;&gt;"",EDATE($D13,Milestones!$AA$148)&gt;=$R13),$U13,$T13)))=Milestones!$AB$148),TEXT(EDATE($D13,Milestones!$AA$148),"dd/mm/yy")&amp;" "&amp;Milestones!$AB$148&amp;" "&amp;Milestones!$AC$148&amp;";  ","")&amp;IF(AND(EDATE($D13,Milestones!$AA$149)&lt;=AsOfDate,IF($Q13=0,$W13,IF(AND($S13&lt;&gt;"",EDATE($D13,Milestones!$AA$149)&gt;=$S13),$V13,IF(AND($R13&lt;&gt;"",EDATE($D13,Milestones!$AA$149)&gt;=$R13),$U13,$T13)))=Milestones!$AB$149),TEXT(EDATE($D13,Milestones!$AA$149),"dd/mm/yy")&amp;" "&amp;Milestones!$AB$149&amp;" "&amp;Milestones!$AC$149&amp;";  ","")&amp;IF(AND(EDATE($D13,Milestones!$AA$150)&lt;=AsOfDate,IF($Q13=0,$W13,IF(AND($S13&lt;&gt;"",EDATE($D13,Milestones!$AA$150)&gt;=$S13),$V13,IF(AND($R13&lt;&gt;"",EDATE($D13,Milestones!$AA$150)&gt;=$R13),$U13,$T13)))=Milestones!$AB$150),TEXT(EDATE($D13,Milestones!$AA$150),"dd/mm/yy")&amp;" "&amp;Milestones!$AB$150&amp;" "&amp;Milestones!$AC$150&amp;";  ","")&amp;IF(AND(EDATE($D13,Milestones!$AA$151)&lt;=AsOfDate,IF($Q13=0,$W13,IF(AND($S13&lt;&gt;"",EDATE($D13,Milestones!$AA$151)&gt;=$S13),$V13,IF(AND($R13&lt;&gt;"",EDATE($D13,Milestones!$AA$151)&gt;=$R13),$U13,$T13)))=Milestones!$AB$151),TEXT(EDATE($D13,Milestones!$AA$151),"dd/mm/yy")&amp;" "&amp;Milestones!$AB$151&amp;" "&amp;Milestones!$AC$151&amp;";  ","")&amp;IF(AND(EDATE($D13,Milestones!$AA$152)&lt;=AsOfDate,IF($Q13=0,$W13,IF(AND($S13&lt;&gt;"",EDATE($D13,Milestones!$AA$152)&gt;=$S13),$V13,IF(AND($R13&lt;&gt;"",EDATE($D13,Milestones!$AA$152)&gt;=$R13),$U13,$T13)))=Milestones!$AB$152),TEXT(EDATE($D13,Milestones!$AA$152),"dd/mm/yy")&amp;" "&amp;Milestones!$AB$152&amp;" "&amp;Milestones!$AC$152&amp;";  ","")&amp;IF(AND(EDATE($D13,Milestones!$AA$153)&lt;=AsOfDate,IF($Q13=0,$W13,IF(AND($S13&lt;&gt;"",EDATE($D13,Milestones!$AA$153)&gt;=$S13),$V13,IF(AND($R13&lt;&gt;"",EDATE($D13,Milestones!$AA$153)&gt;=$R13),$U13,$T13)))=Milestones!$AB$153),TEXT(EDATE($D13,Milestones!$AA$153),"dd/mm/yy")&amp;" "&amp;Milestones!$AB$153&amp;" "&amp;Milestones!$AC$153&amp;";  ","")&amp;IF(AND(EDATE($D13,Milestones!$AA$154)&lt;=AsOfDate,IF($Q13=0,$W13,IF(AND($S13&lt;&gt;"",EDATE($D13,Milestones!$AA$154)&gt;=$S13),$V13,IF(AND($R13&lt;&gt;"",EDATE($D13,Milestones!$AA$154)&gt;=$R13),$U13,$T13)))=Milestones!$AB$154),TEXT(EDATE($D13,Milestones!$AA$154),"dd/mm/yy")&amp;" "&amp;Milestones!$AB$154&amp;" "&amp;Milestones!$AC$154&amp;";  ","")&amp;IF(AND(EDATE($D13,Milestones!$AA$155)&lt;=AsOfDate,IF($Q13=0,$W13,IF(AND($S13&lt;&gt;"",EDATE($D13,Milestones!$AA$155)&gt;=$S13),$V13,IF(AND($R13&lt;&gt;"",EDATE($D13,Milestones!$AA$155)&gt;=$R13),$U13,$T13)))=Milestones!$AB$155),TEXT(EDATE($D13,Milestones!$AA$155),"dd/mm/yy")&amp;" "&amp;Milestones!$AB$155&amp;" "&amp;Milestones!$AC$155&amp;";  ","")&amp;IF(AND(EDATE($D13,Milestones!$AA$156)&lt;=AsOfDate,IF($Q13=0,$W13,IF(AND($S13&lt;&gt;"",EDATE($D13,Milestones!$AA$156)&gt;=$S13),$V13,IF(AND($R13&lt;&gt;"",EDATE($D13,Milestones!$AA$156)&gt;=$R13),$U13,$T13)))=Milestones!$AB$156),TEXT(EDATE($D13,Milestones!$AA$156),"dd/mm/yy")&amp;" "&amp;Milestones!$AB$156&amp;" "&amp;Milestones!$AC$156&amp;";  ","")&amp;IF(AND(EDATE($D13,Milestones!$AA$157)&lt;=AsOfDate,IF($Q13=0,$W13,IF(AND($S13&lt;&gt;"",EDATE($D13,Milestones!$AA$157)&gt;=$S13),$V13,IF(AND($R13&lt;&gt;"",EDATE($D13,Milestones!$AA$157)&gt;=$R13),$U13,$T13)))=Milestones!$AB$157),TEXT(EDATE($D13,Milestones!$AA$157),"dd/mm/yy")&amp;" "&amp;Milestones!$AB$157&amp;" "&amp;Milestones!$AC$157&amp;";  ","")&amp;IF(AND(EDATE($D13,Milestones!$AA$158)&lt;=AsOfDate,IF($Q13=0,$W13,IF(AND($S13&lt;&gt;"",EDATE($D13,Milestones!$AA$158)&gt;=$S13),$V13,IF(AND($R13&lt;&gt;"",EDATE($D13,Milestones!$AA$158)&gt;=$R13),$U13,$T13)))=Milestones!$AB$158),TEXT(EDATE($D13,Milestones!$AA$158),"dd/mm/yy")&amp;" "&amp;Milestones!$AB$158&amp;" "&amp;Milestones!$AC$158&amp;";  ","")&amp;IF(AND(EDATE($D13,Milestones!$AA$159)&lt;=AsOfDate,IF($Q13=0,$W13,IF(AND($S13&lt;&gt;"",EDATE($D13,Milestones!$AA$159)&gt;=$S13),$V13,IF(AND($R13&lt;&gt;"",EDATE($D13,Milestones!$AA$159)&gt;=$R13),$U13,$T13)))=Milestones!$AB$159),TEXT(EDATE($D13,Milestones!$AA$159),"dd/mm/yy")&amp;" "&amp;Milestones!$AB$159&amp;" "&amp;Milestones!$AC$159&amp;";  ",""))</f>
        <v/>
      </c>
      <c r="O13" s="0" t="str">
        <f aca="false">IF(OR($A13="",$D13=""),"",IF(AND(EDATE($D13,Milestones!$AA$160)&lt;=AsOfDate,IF($Q13=0,$W13,IF(AND($S13&lt;&gt;"",EDATE($D13,Milestones!$AA$160)&gt;=$S13),$V13,IF(AND($R13&lt;&gt;"",EDATE($D13,Milestones!$AA$160)&gt;=$R13),$U13,$T13)))=Milestones!$AB$160),TEXT(EDATE($D13,Milestones!$AA$160),"dd/mm/yy")&amp;" "&amp;Milestones!$AB$160&amp;" "&amp;Milestones!$AC$160&amp;";  ","")&amp;IF(AND(EDATE($D13,Milestones!$AA$161)&lt;=AsOfDate,IF($Q13=0,$W13,IF(AND($S13&lt;&gt;"",EDATE($D13,Milestones!$AA$161)&gt;=$S13),$V13,IF(AND($R13&lt;&gt;"",EDATE($D13,Milestones!$AA$161)&gt;=$R13),$U13,$T13)))=Milestones!$AB$161),TEXT(EDATE($D13,Milestones!$AA$161),"dd/mm/yy")&amp;" "&amp;Milestones!$AB$161&amp;" "&amp;Milestones!$AC$161&amp;";  ","")&amp;IF(AND(EDATE($D13,Milestones!$AA$162)&lt;=AsOfDate,IF($Q13=0,$W13,IF(AND($S13&lt;&gt;"",EDATE($D13,Milestones!$AA$162)&gt;=$S13),$V13,IF(AND($R13&lt;&gt;"",EDATE($D13,Milestones!$AA$162)&gt;=$R13),$U13,$T13)))=Milestones!$AB$162),TEXT(EDATE($D13,Milestones!$AA$162),"dd/mm/yy")&amp;" "&amp;Milestones!$AB$162&amp;" "&amp;Milestones!$AC$162&amp;";  ","")&amp;IF(AND(EDATE($D13,Milestones!$AA$163)&lt;=AsOfDate,IF($Q13=0,$W13,IF(AND($S13&lt;&gt;"",EDATE($D13,Milestones!$AA$163)&gt;=$S13),$V13,IF(AND($R13&lt;&gt;"",EDATE($D13,Milestones!$AA$163)&gt;=$R13),$U13,$T13)))=Milestones!$AB$163),TEXT(EDATE($D13,Milestones!$AA$163),"dd/mm/yy")&amp;" "&amp;Milestones!$AB$163&amp;" "&amp;Milestones!$AC$163&amp;";  ","")&amp;IF(AND(EDATE($D13,Milestones!$AA$164)&lt;=AsOfDate,IF($Q13=0,$W13,IF(AND($S13&lt;&gt;"",EDATE($D13,Milestones!$AA$164)&gt;=$S13),$V13,IF(AND($R13&lt;&gt;"",EDATE($D13,Milestones!$AA$164)&gt;=$R13),$U13,$T13)))=Milestones!$AB$164),TEXT(EDATE($D13,Milestones!$AA$164),"dd/mm/yy")&amp;" "&amp;Milestones!$AB$164&amp;" "&amp;Milestones!$AC$164&amp;";  ","")&amp;IF(AND(EDATE($D13,Milestones!$AA$165)&lt;=AsOfDate,IF($Q13=0,$W13,IF(AND($S13&lt;&gt;"",EDATE($D13,Milestones!$AA$165)&gt;=$S13),$V13,IF(AND($R13&lt;&gt;"",EDATE($D13,Milestones!$AA$165)&gt;=$R13),$U13,$T13)))=Milestones!$AB$165),TEXT(EDATE($D13,Milestones!$AA$165),"dd/mm/yy")&amp;" "&amp;Milestones!$AB$165&amp;" "&amp;Milestones!$AC$165&amp;";  ","")&amp;IF(AND(EDATE($D13,Milestones!$AA$166)&lt;=AsOfDate,IF($Q13=0,$W13,IF(AND($S13&lt;&gt;"",EDATE($D13,Milestones!$AA$166)&gt;=$S13),$V13,IF(AND($R13&lt;&gt;"",EDATE($D13,Milestones!$AA$166)&gt;=$R13),$U13,$T13)))=Milestones!$AB$166),TEXT(EDATE($D13,Milestones!$AA$166),"dd/mm/yy")&amp;" "&amp;Milestones!$AB$166&amp;" "&amp;Milestones!$AC$166&amp;";  ","")&amp;IF(AND(EDATE($D13,Milestones!$AA$167)&lt;=AsOfDate,IF($Q13=0,$W13,IF(AND($S13&lt;&gt;"",EDATE($D13,Milestones!$AA$167)&gt;=$S13),$V13,IF(AND($R13&lt;&gt;"",EDATE($D13,Milestones!$AA$167)&gt;=$R13),$U13,$T13)))=Milestones!$AB$167),TEXT(EDATE($D13,Milestones!$AA$167),"dd/mm/yy")&amp;" "&amp;Milestones!$AB$167&amp;" "&amp;Milestones!$AC$167&amp;";  ","")&amp;IF(AND(EDATE($D13,Milestones!$AA$168)&lt;=AsOfDate,IF($Q13=0,$W13,IF(AND($S13&lt;&gt;"",EDATE($D13,Milestones!$AA$168)&gt;=$S13),$V13,IF(AND($R13&lt;&gt;"",EDATE($D13,Milestones!$AA$168)&gt;=$R13),$U13,$T13)))=Milestones!$AB$168),TEXT(EDATE($D13,Milestones!$AA$168),"dd/mm/yy")&amp;" "&amp;Milestones!$AB$168&amp;" "&amp;Milestones!$AC$168&amp;";  ","")&amp;IF(AND(EDATE($D13,Milestones!$AA$169)&lt;=AsOfDate,IF($Q13=0,$W13,IF(AND($S13&lt;&gt;"",EDATE($D13,Milestones!$AA$169)&gt;=$S13),$V13,IF(AND($R13&lt;&gt;"",EDATE($D13,Milestones!$AA$169)&gt;=$R13),$U13,$T13)))=Milestones!$AB$169),TEXT(EDATE($D13,Milestones!$AA$169),"dd/mm/yy")&amp;" "&amp;Milestones!$AB$169&amp;" "&amp;Milestones!$AC$169&amp;";  ","")&amp;IF(AND(EDATE($D13,Milestones!$AA$170)&lt;=AsOfDate,IF($Q13=0,$W13,IF(AND($S13&lt;&gt;"",EDATE($D13,Milestones!$AA$170)&gt;=$S13),$V13,IF(AND($R13&lt;&gt;"",EDATE($D13,Milestones!$AA$170)&gt;=$R13),$U13,$T13)))=Milestones!$AB$170),TEXT(EDATE($D13,Milestones!$AA$170),"dd/mm/yy")&amp;" "&amp;Milestones!$AB$170&amp;" "&amp;Milestones!$AC$170&amp;";  ","")&amp;IF(AND(EDATE($D13,Milestones!$AA$171)&lt;=AsOfDate,IF($Q13=0,$W13,IF(AND($S13&lt;&gt;"",EDATE($D13,Milestones!$AA$171)&gt;=$S13),$V13,IF(AND($R13&lt;&gt;"",EDATE($D13,Milestones!$AA$171)&gt;=$R13),$U13,$T13)))=Milestones!$AB$171),TEXT(EDATE($D13,Milestones!$AA$171),"dd/mm/yy")&amp;" "&amp;Milestones!$AB$171&amp;" "&amp;Milestones!$AC$171&amp;";  ","")&amp;IF(AND(EDATE($D13,Milestones!$AA$172)&lt;=AsOfDate,IF($Q13=0,$W13,IF(AND($S13&lt;&gt;"",EDATE($D13,Milestones!$AA$172)&gt;=$S13),$V13,IF(AND($R13&lt;&gt;"",EDATE($D13,Milestones!$AA$172)&gt;=$R13),$U13,$T13)))=Milestones!$AB$172),TEXT(EDATE($D13,Milestones!$AA$172),"dd/mm/yy")&amp;" "&amp;Milestones!$AB$172&amp;" "&amp;Milestones!$AC$172&amp;";  ","")&amp;IF(AND(EDATE($D13,Milestones!$AA$173)&lt;=AsOfDate,IF($Q13=0,$W13,IF(AND($S13&lt;&gt;"",EDATE($D13,Milestones!$AA$173)&gt;=$S13),$V13,IF(AND($R13&lt;&gt;"",EDATE($D13,Milestones!$AA$173)&gt;=$R13),$U13,$T13)))=Milestones!$AB$173),TEXT(EDATE($D13,Milestones!$AA$173),"dd/mm/yy")&amp;" "&amp;Milestones!$AB$173&amp;" "&amp;Milestones!$AC$173&amp;";  ","")&amp;IF(AND(EDATE($D13,Milestones!$AA$174)&lt;=AsOfDate,IF($Q13=0,$W13,IF(AND($S13&lt;&gt;"",EDATE($D13,Milestones!$AA$174)&gt;=$S13),$V13,IF(AND($R13&lt;&gt;"",EDATE($D13,Milestones!$AA$174)&gt;=$R13),$U13,$T13)))=Milestones!$AB$174),TEXT(EDATE($D13,Milestones!$AA$174),"dd/mm/yy")&amp;" "&amp;Milestones!$AB$174&amp;" "&amp;Milestones!$AC$174&amp;";  ","")&amp;IF(AND(EDATE($D13,Milestones!$AA$175)&lt;=AsOfDate,IF($Q13=0,$W13,IF(AND($S13&lt;&gt;"",EDATE($D13,Milestones!$AA$175)&gt;=$S13),$V13,IF(AND($R13&lt;&gt;"",EDATE($D13,Milestones!$AA$175)&gt;=$R13),$U13,$T13)))=Milestones!$AB$175),TEXT(EDATE($D13,Milestones!$AA$175),"dd/mm/yy")&amp;" "&amp;Milestones!$AB$175&amp;" "&amp;Milestones!$AC$175&amp;";  ","")&amp;IF(AND(EDATE($D13,Milestones!$AA$176)&lt;=AsOfDate,IF($Q13=0,$W13,IF(AND($S13&lt;&gt;"",EDATE($D13,Milestones!$AA$176)&gt;=$S13),$V13,IF(AND($R13&lt;&gt;"",EDATE($D13,Milestones!$AA$176)&gt;=$R13),$U13,$T13)))=Milestones!$AB$176),TEXT(EDATE($D13,Milestones!$AA$176),"dd/mm/yy")&amp;" "&amp;Milestones!$AB$176&amp;" "&amp;Milestones!$AC$176&amp;";  ","")&amp;IF(AND(EDATE($D13,Milestones!$AA$177)&lt;=AsOfDate,IF($Q13=0,$W13,IF(AND($S13&lt;&gt;"",EDATE($D13,Milestones!$AA$177)&gt;=$S13),$V13,IF(AND($R13&lt;&gt;"",EDATE($D13,Milestones!$AA$177)&gt;=$R13),$U13,$T13)))=Milestones!$AB$177),TEXT(EDATE($D13,Milestones!$AA$177),"dd/mm/yy")&amp;" "&amp;Milestones!$AB$177&amp;" "&amp;Milestones!$AC$177&amp;";  ","")&amp;IF(AND(EDATE($D13,Milestones!$AA$178)&lt;=AsOfDate,IF($Q13=0,$W13,IF(AND($S13&lt;&gt;"",EDATE($D13,Milestones!$AA$178)&gt;=$S13),$V13,IF(AND($R13&lt;&gt;"",EDATE($D13,Milestones!$AA$178)&gt;=$R13),$U13,$T13)))=Milestones!$AB$178),TEXT(EDATE($D13,Milestones!$AA$178),"dd/mm/yy")&amp;" "&amp;Milestones!$AB$178&amp;" "&amp;Milestones!$AC$178&amp;";  ","")&amp;IF(AND(EDATE($D13,Milestones!$AA$179)&lt;=AsOfDate,IF($Q13=0,$W13,IF(AND($S13&lt;&gt;"",EDATE($D13,Milestones!$AA$179)&gt;=$S13),$V13,IF(AND($R13&lt;&gt;"",EDATE($D13,Milestones!$AA$179)&gt;=$R13),$U13,$T13)))=Milestones!$AB$179),TEXT(EDATE($D13,Milestones!$AA$179),"dd/mm/yy")&amp;" "&amp;Milestones!$AB$179&amp;" "&amp;Milestones!$AC$179&amp;";  ",""))</f>
        <v/>
      </c>
      <c r="P13" s="0" t="str">
        <f aca="false">IF(OR($A13="",$D13=""),"",IF(AND(EDATE($D13,Milestones!$AA$180)&lt;=AsOfDate,IF($Q13=0,$W13,IF(AND($S13&lt;&gt;"",EDATE($D13,Milestones!$AA$180)&gt;=$S13),$V13,IF(AND($R13&lt;&gt;"",EDATE($D13,Milestones!$AA$180)&gt;=$R13),$U13,$T13)))=Milestones!$AB$180),TEXT(EDATE($D13,Milestones!$AA$180),"dd/mm/yy")&amp;" "&amp;Milestones!$AB$180&amp;" "&amp;Milestones!$AC$180&amp;";  ","")&amp;IF(AND(EDATE($D13,Milestones!$AA$181)&lt;=AsOfDate,IF($Q13=0,$W13,IF(AND($S13&lt;&gt;"",EDATE($D13,Milestones!$AA$181)&gt;=$S13),$V13,IF(AND($R13&lt;&gt;"",EDATE($D13,Milestones!$AA$181)&gt;=$R13),$U13,$T13)))=Milestones!$AB$181),TEXT(EDATE($D13,Milestones!$AA$181),"dd/mm/yy")&amp;" "&amp;Milestones!$AB$181&amp;" "&amp;Milestones!$AC$181&amp;";  ","")&amp;IF(AND(EDATE($D13,Milestones!$AA$182)&lt;=AsOfDate,IF($Q13=0,$W13,IF(AND($S13&lt;&gt;"",EDATE($D13,Milestones!$AA$182)&gt;=$S13),$V13,IF(AND($R13&lt;&gt;"",EDATE($D13,Milestones!$AA$182)&gt;=$R13),$U13,$T13)))=Milestones!$AB$182),TEXT(EDATE($D13,Milestones!$AA$182),"dd/mm/yy")&amp;" "&amp;Milestones!$AB$182&amp;" "&amp;Milestones!$AC$182&amp;";  ","")&amp;IF(AND(EDATE($D13,Milestones!$AA$183)&lt;=AsOfDate,IF($Q13=0,$W13,IF(AND($S13&lt;&gt;"",EDATE($D13,Milestones!$AA$183)&gt;=$S13),$V13,IF(AND($R13&lt;&gt;"",EDATE($D13,Milestones!$AA$183)&gt;=$R13),$U13,$T13)))=Milestones!$AB$183),TEXT(EDATE($D13,Milestones!$AA$183),"dd/mm/yy")&amp;" "&amp;Milestones!$AB$183&amp;" "&amp;Milestones!$AC$183&amp;";  ","")&amp;IF(AND(EDATE($D13,Milestones!$AA$184)&lt;=AsOfDate,IF($Q13=0,$W13,IF(AND($S13&lt;&gt;"",EDATE($D13,Milestones!$AA$184)&gt;=$S13),$V13,IF(AND($R13&lt;&gt;"",EDATE($D13,Milestones!$AA$184)&gt;=$R13),$U13,$T13)))=Milestones!$AB$184),TEXT(EDATE($D13,Milestones!$AA$184),"dd/mm/yy")&amp;" "&amp;Milestones!$AB$184&amp;" "&amp;Milestones!$AC$184&amp;";  ","")&amp;IF(AND(EDATE($D13,Milestones!$AA$185)&lt;=AsOfDate,IF($Q13=0,$W13,IF(AND($S13&lt;&gt;"",EDATE($D13,Milestones!$AA$185)&gt;=$S13),$V13,IF(AND($R13&lt;&gt;"",EDATE($D13,Milestones!$AA$185)&gt;=$R13),$U13,$T13)))=Milestones!$AB$185),TEXT(EDATE($D13,Milestones!$AA$185),"dd/mm/yy")&amp;" "&amp;Milestones!$AB$185&amp;" "&amp;Milestones!$AC$185&amp;";  ","")&amp;IF(AND(EDATE($D13,Milestones!$AA$186)&lt;=AsOfDate,IF($Q13=0,$W13,IF(AND($S13&lt;&gt;"",EDATE($D13,Milestones!$AA$186)&gt;=$S13),$V13,IF(AND($R13&lt;&gt;"",EDATE($D13,Milestones!$AA$186)&gt;=$R13),$U13,$T13)))=Milestones!$AB$186),TEXT(EDATE($D13,Milestones!$AA$186),"dd/mm/yy")&amp;" "&amp;Milestones!$AB$186&amp;" "&amp;Milestones!$AC$186&amp;";  ","")&amp;IF(AND(EDATE($D13,Milestones!$AA$187)&lt;=AsOfDate,IF($Q13=0,$W13,IF(AND($S13&lt;&gt;"",EDATE($D13,Milestones!$AA$187)&gt;=$S13),$V13,IF(AND($R13&lt;&gt;"",EDATE($D13,Milestones!$AA$187)&gt;=$R13),$U13,$T13)))=Milestones!$AB$187),TEXT(EDATE($D13,Milestones!$AA$187),"dd/mm/yy")&amp;" "&amp;Milestones!$AB$187&amp;" "&amp;Milestones!$AC$187&amp;";  ","")&amp;IF(AND(EDATE($D13,Milestones!$AA$188)&lt;=AsOfDate,IF($Q13=0,$W13,IF(AND($S13&lt;&gt;"",EDATE($D13,Milestones!$AA$188)&gt;=$S13),$V13,IF(AND($R13&lt;&gt;"",EDATE($D13,Milestones!$AA$188)&gt;=$R13),$U13,$T13)))=Milestones!$AB$188),TEXT(EDATE($D13,Milestones!$AA$188),"dd/mm/yy")&amp;" "&amp;Milestones!$AB$188&amp;" "&amp;Milestones!$AC$188&amp;";  ","")&amp;IF(AND(EDATE($D13,Milestones!$AA$189)&lt;=AsOfDate,IF($Q13=0,$W13,IF(AND($S13&lt;&gt;"",EDATE($D13,Milestones!$AA$189)&gt;=$S13),$V13,IF(AND($R13&lt;&gt;"",EDATE($D13,Milestones!$AA$189)&gt;=$R13),$U13,$T13)))=Milestones!$AB$189),TEXT(EDATE($D13,Milestones!$AA$189),"dd/mm/yy")&amp;" "&amp;Milestones!$AB$189&amp;" "&amp;Milestones!$AC$189&amp;";  ","")&amp;IF(AND(EDATE($D13,Milestones!$AA$190)&lt;=AsOfDate,IF($Q13=0,$W13,IF(AND($S13&lt;&gt;"",EDATE($D13,Milestones!$AA$190)&gt;=$S13),$V13,IF(AND($R13&lt;&gt;"",EDATE($D13,Milestones!$AA$190)&gt;=$R13),$U13,$T13)))=Milestones!$AB$190),TEXT(EDATE($D13,Milestones!$AA$190),"dd/mm/yy")&amp;" "&amp;Milestones!$AB$190&amp;" "&amp;Milestones!$AC$190&amp;";  ","")&amp;IF(AND(EDATE($D13,Milestones!$AA$191)&lt;=AsOfDate,IF($Q13=0,$W13,IF(AND($S13&lt;&gt;"",EDATE($D13,Milestones!$AA$191)&gt;=$S13),$V13,IF(AND($R13&lt;&gt;"",EDATE($D13,Milestones!$AA$191)&gt;=$R13),$U13,$T13)))=Milestones!$AB$191),TEXT(EDATE($D13,Milestones!$AA$191),"dd/mm/yy")&amp;" "&amp;Milestones!$AB$191&amp;" "&amp;Milestones!$AC$191&amp;";  ","")&amp;IF(AND(EDATE($D13,Milestones!$AA$192)&lt;=AsOfDate,IF($Q13=0,$W13,IF(AND($S13&lt;&gt;"",EDATE($D13,Milestones!$AA$192)&gt;=$S13),$V13,IF(AND($R13&lt;&gt;"",EDATE($D13,Milestones!$AA$192)&gt;=$R13),$U13,$T13)))=Milestones!$AB$192),TEXT(EDATE($D13,Milestones!$AA$192),"dd/mm/yy")&amp;" "&amp;Milestones!$AB$192&amp;" "&amp;Milestones!$AC$192&amp;";  ","")&amp;IF(AND(EDATE($D13,Milestones!$AA$193)&lt;=AsOfDate,IF($Q13=0,$W13,IF(AND($S13&lt;&gt;"",EDATE($D13,Milestones!$AA$193)&gt;=$S13),$V13,IF(AND($R13&lt;&gt;"",EDATE($D13,Milestones!$AA$193)&gt;=$R13),$U13,$T13)))=Milestones!$AB$193),TEXT(EDATE($D13,Milestones!$AA$193),"dd/mm/yy")&amp;" "&amp;Milestones!$AB$193&amp;" "&amp;Milestones!$AC$193&amp;";  ","")&amp;IF(AND(EDATE($D13,Milestones!$AA$194)&lt;=AsOfDate,IF($Q13=0,$W13,IF(AND($S13&lt;&gt;"",EDATE($D13,Milestones!$AA$194)&gt;=$S13),$V13,IF(AND($R13&lt;&gt;"",EDATE($D13,Milestones!$AA$194)&gt;=$R13),$U13,$T13)))=Milestones!$AB$194),TEXT(EDATE($D13,Milestones!$AA$194),"dd/mm/yy")&amp;" "&amp;Milestones!$AB$194&amp;" "&amp;Milestones!$AC$194&amp;";  ","")&amp;IF(AND(EDATE($D13,Milestones!$AA$195)&lt;=AsOfDate,IF($Q13=0,$W13,IF(AND($S13&lt;&gt;"",EDATE($D13,Milestones!$AA$195)&gt;=$S13),$V13,IF(AND($R13&lt;&gt;"",EDATE($D13,Milestones!$AA$195)&gt;=$R13),$U13,$T13)))=Milestones!$AB$195),TEXT(EDATE($D13,Milestones!$AA$195),"dd/mm/yy")&amp;" "&amp;Milestones!$AB$195&amp;" "&amp;Milestones!$AC$195&amp;";  ","")&amp;IF(AND(EDATE($D13,Milestones!$AA$196)&lt;=AsOfDate,IF($Q13=0,$W13,IF(AND($S13&lt;&gt;"",EDATE($D13,Milestones!$AA$196)&gt;=$S13),$V13,IF(AND($R13&lt;&gt;"",EDATE($D13,Milestones!$AA$196)&gt;=$R13),$U13,$T13)))=Milestones!$AB$196),TEXT(EDATE($D13,Milestones!$AA$196),"dd/mm/yy")&amp;" "&amp;Milestones!$AB$196&amp;" "&amp;Milestones!$AC$196&amp;";  ","")&amp;IF(AND(EDATE($D13,Milestones!$AA$197)&lt;=AsOfDate,IF($Q13=0,$W13,IF(AND($S13&lt;&gt;"",EDATE($D13,Milestones!$AA$197)&gt;=$S13),$V13,IF(AND($R13&lt;&gt;"",EDATE($D13,Milestones!$AA$197)&gt;=$R13),$U13,$T13)))=Milestones!$AB$197),TEXT(EDATE($D13,Milestones!$AA$197),"dd/mm/yy")&amp;" "&amp;Milestones!$AB$197&amp;" "&amp;Milestones!$AC$197&amp;";  ","")&amp;IF(AND(EDATE($D13,Milestones!$AA$198)&lt;=AsOfDate,IF($Q13=0,$W13,IF(AND($S13&lt;&gt;"",EDATE($D13,Milestones!$AA$198)&gt;=$S13),$V13,IF(AND($R13&lt;&gt;"",EDATE($D13,Milestones!$AA$198)&gt;=$R13),$U13,$T13)))=Milestones!$AB$198),TEXT(EDATE($D13,Milestones!$AA$198),"dd/mm/yy")&amp;" "&amp;Milestones!$AB$198&amp;" "&amp;Milestones!$AC$198&amp;";  ","")&amp;IF(AND(EDATE($D13,Milestones!$AA$199)&lt;=AsOfDate,IF($Q13=0,$W13,IF(AND($S13&lt;&gt;"",EDATE($D13,Milestones!$AA$199)&gt;=$S13),$V13,IF(AND($R13&lt;&gt;"",EDATE($D13,Milestones!$AA$199)&gt;=$R13),$U13,$T13)))=Milestones!$AB$199),TEXT(EDATE($D13,Milestones!$AA$199),"dd/mm/yy")&amp;" "&amp;Milestones!$AB$199&amp;" "&amp;Milestones!$AC$199&amp;";  ",""))</f>
        <v/>
      </c>
      <c r="Q13" s="0" t="str">
        <f aca="false">IF(Staff!$A13="","",Staff!$AG13)</f>
        <v/>
      </c>
      <c r="R13" s="0" t="str">
        <f aca="false">IF(Staff!$A13="","",Staff!$AI13)</f>
        <v/>
      </c>
      <c r="S13" s="0" t="str">
        <f aca="false">IF(Staff!$A13="","",Staff!$AJ13)</f>
        <v/>
      </c>
      <c r="T13" s="0" t="str">
        <f aca="false">IF(Staff!$A13="","",Staff!$AN13)</f>
        <v/>
      </c>
      <c r="U13" s="0" t="str">
        <f aca="false">IF(Staff!$A13="","",Staff!$AO13)</f>
        <v/>
      </c>
      <c r="V13" s="0" t="str">
        <f aca="false">IF(Staff!$A13="","",Staff!$AP13)</f>
        <v/>
      </c>
      <c r="W13" s="0" t="str">
        <f aca="false">IF(Staff!$A13="","",Staff!$AQ13)</f>
        <v/>
      </c>
    </row>
    <row r="14" customFormat="false" ht="15" hidden="false" customHeight="false" outlineLevel="0" collapsed="false">
      <c r="A14" s="13" t="str">
        <f aca="false">IF(Staff!$A14="","",Staff!$A14)</f>
        <v/>
      </c>
      <c r="B14" s="13" t="str">
        <f aca="false">IF(Staff!$A14="","",Staff!$B14)</f>
        <v/>
      </c>
      <c r="C14" s="13" t="str">
        <f aca="false">IF(Staff!$A14="","",Staff!$C14)</f>
        <v/>
      </c>
      <c r="D14" s="11" t="str">
        <f aca="false">IF(Staff!$A14="","",Staff!$AF14)</f>
        <v/>
      </c>
      <c r="E14" s="13" t="str">
        <f aca="false">IF(Staff!$A14="","",Staff!$O14)</f>
        <v/>
      </c>
      <c r="F14" s="13" t="str">
        <f aca="false">IF(E14="","",E14*HoursPerDay)</f>
        <v/>
      </c>
      <c r="G14" s="26" t="str">
        <f aca="false">IF($A14="","",H14&amp;I14&amp;J14&amp;K14&amp;L14&amp;M14&amp;N14&amp;O14&amp;P14)</f>
        <v/>
      </c>
      <c r="H14" s="0" t="str">
        <f aca="false">IF(OR($A14="",$D14=""),"",IF(AND(EDATE($D14,Milestones!$AA$20)&lt;=AsOfDate,IF($Q14=0,$W14,IF(AND($S14&lt;&gt;"",EDATE($D14,Milestones!$AA$20)&gt;=$S14),$V14,IF(AND($R14&lt;&gt;"",EDATE($D14,Milestones!$AA$20)&gt;=$R14),$U14,$T14)))=Milestones!$AB$20),TEXT(EDATE($D14,Milestones!$AA$20),"dd/mm/yy")&amp;" "&amp;Milestones!$AB$20&amp;" "&amp;Milestones!$AC$20&amp;";  ","")&amp;IF(AND(EDATE($D14,Milestones!$AA$21)&lt;=AsOfDate,IF($Q14=0,$W14,IF(AND($S14&lt;&gt;"",EDATE($D14,Milestones!$AA$21)&gt;=$S14),$V14,IF(AND($R14&lt;&gt;"",EDATE($D14,Milestones!$AA$21)&gt;=$R14),$U14,$T14)))=Milestones!$AB$21),TEXT(EDATE($D14,Milestones!$AA$21),"dd/mm/yy")&amp;" "&amp;Milestones!$AB$21&amp;" "&amp;Milestones!$AC$21&amp;";  ","")&amp;IF(AND(EDATE($D14,Milestones!$AA$22)&lt;=AsOfDate,IF($Q14=0,$W14,IF(AND($S14&lt;&gt;"",EDATE($D14,Milestones!$AA$22)&gt;=$S14),$V14,IF(AND($R14&lt;&gt;"",EDATE($D14,Milestones!$AA$22)&gt;=$R14),$U14,$T14)))=Milestones!$AB$22),TEXT(EDATE($D14,Milestones!$AA$22),"dd/mm/yy")&amp;" "&amp;Milestones!$AB$22&amp;" "&amp;Milestones!$AC$22&amp;";  ","")&amp;IF(AND(EDATE($D14,Milestones!$AA$23)&lt;=AsOfDate,IF($Q14=0,$W14,IF(AND($S14&lt;&gt;"",EDATE($D14,Milestones!$AA$23)&gt;=$S14),$V14,IF(AND($R14&lt;&gt;"",EDATE($D14,Milestones!$AA$23)&gt;=$R14),$U14,$T14)))=Milestones!$AB$23),TEXT(EDATE($D14,Milestones!$AA$23),"dd/mm/yy")&amp;" "&amp;Milestones!$AB$23&amp;" "&amp;Milestones!$AC$23&amp;";  ","")&amp;IF(AND(EDATE($D14,Milestones!$AA$24)&lt;=AsOfDate,IF($Q14=0,$W14,IF(AND($S14&lt;&gt;"",EDATE($D14,Milestones!$AA$24)&gt;=$S14),$V14,IF(AND($R14&lt;&gt;"",EDATE($D14,Milestones!$AA$24)&gt;=$R14),$U14,$T14)))=Milestones!$AB$24),TEXT(EDATE($D14,Milestones!$AA$24),"dd/mm/yy")&amp;" "&amp;Milestones!$AB$24&amp;" "&amp;Milestones!$AC$24&amp;";  ","")&amp;IF(AND(EDATE($D14,Milestones!$AA$25)&lt;=AsOfDate,IF($Q14=0,$W14,IF(AND($S14&lt;&gt;"",EDATE($D14,Milestones!$AA$25)&gt;=$S14),$V14,IF(AND($R14&lt;&gt;"",EDATE($D14,Milestones!$AA$25)&gt;=$R14),$U14,$T14)))=Milestones!$AB$25),TEXT(EDATE($D14,Milestones!$AA$25),"dd/mm/yy")&amp;" "&amp;Milestones!$AB$25&amp;" "&amp;Milestones!$AC$25&amp;";  ","")&amp;IF(AND(EDATE($D14,Milestones!$AA$26)&lt;=AsOfDate,IF($Q14=0,$W14,IF(AND($S14&lt;&gt;"",EDATE($D14,Milestones!$AA$26)&gt;=$S14),$V14,IF(AND($R14&lt;&gt;"",EDATE($D14,Milestones!$AA$26)&gt;=$R14),$U14,$T14)))=Milestones!$AB$26),TEXT(EDATE($D14,Milestones!$AA$26),"dd/mm/yy")&amp;" "&amp;Milestones!$AB$26&amp;" "&amp;Milestones!$AC$26&amp;";  ","")&amp;IF(AND(EDATE($D14,Milestones!$AA$27)&lt;=AsOfDate,IF($Q14=0,$W14,IF(AND($S14&lt;&gt;"",EDATE($D14,Milestones!$AA$27)&gt;=$S14),$V14,IF(AND($R14&lt;&gt;"",EDATE($D14,Milestones!$AA$27)&gt;=$R14),$U14,$T14)))=Milestones!$AB$27),TEXT(EDATE($D14,Milestones!$AA$27),"dd/mm/yy")&amp;" "&amp;Milestones!$AB$27&amp;" "&amp;Milestones!$AC$27&amp;";  ","")&amp;IF(AND(EDATE($D14,Milestones!$AA$28)&lt;=AsOfDate,IF($Q14=0,$W14,IF(AND($S14&lt;&gt;"",EDATE($D14,Milestones!$AA$28)&gt;=$S14),$V14,IF(AND($R14&lt;&gt;"",EDATE($D14,Milestones!$AA$28)&gt;=$R14),$U14,$T14)))=Milestones!$AB$28),TEXT(EDATE($D14,Milestones!$AA$28),"dd/mm/yy")&amp;" "&amp;Milestones!$AB$28&amp;" "&amp;Milestones!$AC$28&amp;";  ","")&amp;IF(AND(EDATE($D14,Milestones!$AA$29)&lt;=AsOfDate,IF($Q14=0,$W14,IF(AND($S14&lt;&gt;"",EDATE($D14,Milestones!$AA$29)&gt;=$S14),$V14,IF(AND($R14&lt;&gt;"",EDATE($D14,Milestones!$AA$29)&gt;=$R14),$U14,$T14)))=Milestones!$AB$29),TEXT(EDATE($D14,Milestones!$AA$29),"dd/mm/yy")&amp;" "&amp;Milestones!$AB$29&amp;" "&amp;Milestones!$AC$29&amp;";  ","")&amp;IF(AND(EDATE($D14,Milestones!$AA$30)&lt;=AsOfDate,IF($Q14=0,$W14,IF(AND($S14&lt;&gt;"",EDATE($D14,Milestones!$AA$30)&gt;=$S14),$V14,IF(AND($R14&lt;&gt;"",EDATE($D14,Milestones!$AA$30)&gt;=$R14),$U14,$T14)))=Milestones!$AB$30),TEXT(EDATE($D14,Milestones!$AA$30),"dd/mm/yy")&amp;" "&amp;Milestones!$AB$30&amp;" "&amp;Milestones!$AC$30&amp;";  ","")&amp;IF(AND(EDATE($D14,Milestones!$AA$31)&lt;=AsOfDate,IF($Q14=0,$W14,IF(AND($S14&lt;&gt;"",EDATE($D14,Milestones!$AA$31)&gt;=$S14),$V14,IF(AND($R14&lt;&gt;"",EDATE($D14,Milestones!$AA$31)&gt;=$R14),$U14,$T14)))=Milestones!$AB$31),TEXT(EDATE($D14,Milestones!$AA$31),"dd/mm/yy")&amp;" "&amp;Milestones!$AB$31&amp;" "&amp;Milestones!$AC$31&amp;";  ","")&amp;IF(AND(EDATE($D14,Milestones!$AA$32)&lt;=AsOfDate,IF($Q14=0,$W14,IF(AND($S14&lt;&gt;"",EDATE($D14,Milestones!$AA$32)&gt;=$S14),$V14,IF(AND($R14&lt;&gt;"",EDATE($D14,Milestones!$AA$32)&gt;=$R14),$U14,$T14)))=Milestones!$AB$32),TEXT(EDATE($D14,Milestones!$AA$32),"dd/mm/yy")&amp;" "&amp;Milestones!$AB$32&amp;" "&amp;Milestones!$AC$32&amp;";  ","")&amp;IF(AND(EDATE($D14,Milestones!$AA$33)&lt;=AsOfDate,IF($Q14=0,$W14,IF(AND($S14&lt;&gt;"",EDATE($D14,Milestones!$AA$33)&gt;=$S14),$V14,IF(AND($R14&lt;&gt;"",EDATE($D14,Milestones!$AA$33)&gt;=$R14),$U14,$T14)))=Milestones!$AB$33),TEXT(EDATE($D14,Milestones!$AA$33),"dd/mm/yy")&amp;" "&amp;Milestones!$AB$33&amp;" "&amp;Milestones!$AC$33&amp;";  ","")&amp;IF(AND(EDATE($D14,Milestones!$AA$34)&lt;=AsOfDate,IF($Q14=0,$W14,IF(AND($S14&lt;&gt;"",EDATE($D14,Milestones!$AA$34)&gt;=$S14),$V14,IF(AND($R14&lt;&gt;"",EDATE($D14,Milestones!$AA$34)&gt;=$R14),$U14,$T14)))=Milestones!$AB$34),TEXT(EDATE($D14,Milestones!$AA$34),"dd/mm/yy")&amp;" "&amp;Milestones!$AB$34&amp;" "&amp;Milestones!$AC$34&amp;";  ","")&amp;IF(AND(EDATE($D14,Milestones!$AA$35)&lt;=AsOfDate,IF($Q14=0,$W14,IF(AND($S14&lt;&gt;"",EDATE($D14,Milestones!$AA$35)&gt;=$S14),$V14,IF(AND($R14&lt;&gt;"",EDATE($D14,Milestones!$AA$35)&gt;=$R14),$U14,$T14)))=Milestones!$AB$35),TEXT(EDATE($D14,Milestones!$AA$35),"dd/mm/yy")&amp;" "&amp;Milestones!$AB$35&amp;" "&amp;Milestones!$AC$35&amp;";  ","")&amp;IF(AND(EDATE($D14,Milestones!$AA$36)&lt;=AsOfDate,IF($Q14=0,$W14,IF(AND($S14&lt;&gt;"",EDATE($D14,Milestones!$AA$36)&gt;=$S14),$V14,IF(AND($R14&lt;&gt;"",EDATE($D14,Milestones!$AA$36)&gt;=$R14),$U14,$T14)))=Milestones!$AB$36),TEXT(EDATE($D14,Milestones!$AA$36),"dd/mm/yy")&amp;" "&amp;Milestones!$AB$36&amp;" "&amp;Milestones!$AC$36&amp;";  ","")&amp;IF(AND(EDATE($D14,Milestones!$AA$37)&lt;=AsOfDate,IF($Q14=0,$W14,IF(AND($S14&lt;&gt;"",EDATE($D14,Milestones!$AA$37)&gt;=$S14),$V14,IF(AND($R14&lt;&gt;"",EDATE($D14,Milestones!$AA$37)&gt;=$R14),$U14,$T14)))=Milestones!$AB$37),TEXT(EDATE($D14,Milestones!$AA$37),"dd/mm/yy")&amp;" "&amp;Milestones!$AB$37&amp;" "&amp;Milestones!$AC$37&amp;";  ","")&amp;IF(AND(EDATE($D14,Milestones!$AA$38)&lt;=AsOfDate,IF($Q14=0,$W14,IF(AND($S14&lt;&gt;"",EDATE($D14,Milestones!$AA$38)&gt;=$S14),$V14,IF(AND($R14&lt;&gt;"",EDATE($D14,Milestones!$AA$38)&gt;=$R14),$U14,$T14)))=Milestones!$AB$38),TEXT(EDATE($D14,Milestones!$AA$38),"dd/mm/yy")&amp;" "&amp;Milestones!$AB$38&amp;" "&amp;Milestones!$AC$38&amp;";  ","")&amp;IF(AND(EDATE($D14,Milestones!$AA$39)&lt;=AsOfDate,IF($Q14=0,$W14,IF(AND($S14&lt;&gt;"",EDATE($D14,Milestones!$AA$39)&gt;=$S14),$V14,IF(AND($R14&lt;&gt;"",EDATE($D14,Milestones!$AA$39)&gt;=$R14),$U14,$T14)))=Milestones!$AB$39),TEXT(EDATE($D14,Milestones!$AA$39),"dd/mm/yy")&amp;" "&amp;Milestones!$AB$39&amp;" "&amp;Milestones!$AC$39&amp;";  ",""))</f>
        <v/>
      </c>
      <c r="I14" s="0" t="str">
        <f aca="false">IF(OR($A14="",$D14=""),"",IF(AND(EDATE($D14,Milestones!$AA$40)&lt;=AsOfDate,IF($Q14=0,$W14,IF(AND($S14&lt;&gt;"",EDATE($D14,Milestones!$AA$40)&gt;=$S14),$V14,IF(AND($R14&lt;&gt;"",EDATE($D14,Milestones!$AA$40)&gt;=$R14),$U14,$T14)))=Milestones!$AB$40),TEXT(EDATE($D14,Milestones!$AA$40),"dd/mm/yy")&amp;" "&amp;Milestones!$AB$40&amp;" "&amp;Milestones!$AC$40&amp;";  ","")&amp;IF(AND(EDATE($D14,Milestones!$AA$41)&lt;=AsOfDate,IF($Q14=0,$W14,IF(AND($S14&lt;&gt;"",EDATE($D14,Milestones!$AA$41)&gt;=$S14),$V14,IF(AND($R14&lt;&gt;"",EDATE($D14,Milestones!$AA$41)&gt;=$R14),$U14,$T14)))=Milestones!$AB$41),TEXT(EDATE($D14,Milestones!$AA$41),"dd/mm/yy")&amp;" "&amp;Milestones!$AB$41&amp;" "&amp;Milestones!$AC$41&amp;";  ","")&amp;IF(AND(EDATE($D14,Milestones!$AA$42)&lt;=AsOfDate,IF($Q14=0,$W14,IF(AND($S14&lt;&gt;"",EDATE($D14,Milestones!$AA$42)&gt;=$S14),$V14,IF(AND($R14&lt;&gt;"",EDATE($D14,Milestones!$AA$42)&gt;=$R14),$U14,$T14)))=Milestones!$AB$42),TEXT(EDATE($D14,Milestones!$AA$42),"dd/mm/yy")&amp;" "&amp;Milestones!$AB$42&amp;" "&amp;Milestones!$AC$42&amp;";  ","")&amp;IF(AND(EDATE($D14,Milestones!$AA$43)&lt;=AsOfDate,IF($Q14=0,$W14,IF(AND($S14&lt;&gt;"",EDATE($D14,Milestones!$AA$43)&gt;=$S14),$V14,IF(AND($R14&lt;&gt;"",EDATE($D14,Milestones!$AA$43)&gt;=$R14),$U14,$T14)))=Milestones!$AB$43),TEXT(EDATE($D14,Milestones!$AA$43),"dd/mm/yy")&amp;" "&amp;Milestones!$AB$43&amp;" "&amp;Milestones!$AC$43&amp;";  ","")&amp;IF(AND(EDATE($D14,Milestones!$AA$44)&lt;=AsOfDate,IF($Q14=0,$W14,IF(AND($S14&lt;&gt;"",EDATE($D14,Milestones!$AA$44)&gt;=$S14),$V14,IF(AND($R14&lt;&gt;"",EDATE($D14,Milestones!$AA$44)&gt;=$R14),$U14,$T14)))=Milestones!$AB$44),TEXT(EDATE($D14,Milestones!$AA$44),"dd/mm/yy")&amp;" "&amp;Milestones!$AB$44&amp;" "&amp;Milestones!$AC$44&amp;";  ","")&amp;IF(AND(EDATE($D14,Milestones!$AA$45)&lt;=AsOfDate,IF($Q14=0,$W14,IF(AND($S14&lt;&gt;"",EDATE($D14,Milestones!$AA$45)&gt;=$S14),$V14,IF(AND($R14&lt;&gt;"",EDATE($D14,Milestones!$AA$45)&gt;=$R14),$U14,$T14)))=Milestones!$AB$45),TEXT(EDATE($D14,Milestones!$AA$45),"dd/mm/yy")&amp;" "&amp;Milestones!$AB$45&amp;" "&amp;Milestones!$AC$45&amp;";  ","")&amp;IF(AND(EDATE($D14,Milestones!$AA$46)&lt;=AsOfDate,IF($Q14=0,$W14,IF(AND($S14&lt;&gt;"",EDATE($D14,Milestones!$AA$46)&gt;=$S14),$V14,IF(AND($R14&lt;&gt;"",EDATE($D14,Milestones!$AA$46)&gt;=$R14),$U14,$T14)))=Milestones!$AB$46),TEXT(EDATE($D14,Milestones!$AA$46),"dd/mm/yy")&amp;" "&amp;Milestones!$AB$46&amp;" "&amp;Milestones!$AC$46&amp;";  ","")&amp;IF(AND(EDATE($D14,Milestones!$AA$47)&lt;=AsOfDate,IF($Q14=0,$W14,IF(AND($S14&lt;&gt;"",EDATE($D14,Milestones!$AA$47)&gt;=$S14),$V14,IF(AND($R14&lt;&gt;"",EDATE($D14,Milestones!$AA$47)&gt;=$R14),$U14,$T14)))=Milestones!$AB$47),TEXT(EDATE($D14,Milestones!$AA$47),"dd/mm/yy")&amp;" "&amp;Milestones!$AB$47&amp;" "&amp;Milestones!$AC$47&amp;";  ","")&amp;IF(AND(EDATE($D14,Milestones!$AA$48)&lt;=AsOfDate,IF($Q14=0,$W14,IF(AND($S14&lt;&gt;"",EDATE($D14,Milestones!$AA$48)&gt;=$S14),$V14,IF(AND($R14&lt;&gt;"",EDATE($D14,Milestones!$AA$48)&gt;=$R14),$U14,$T14)))=Milestones!$AB$48),TEXT(EDATE($D14,Milestones!$AA$48),"dd/mm/yy")&amp;" "&amp;Milestones!$AB$48&amp;" "&amp;Milestones!$AC$48&amp;";  ","")&amp;IF(AND(EDATE($D14,Milestones!$AA$49)&lt;=AsOfDate,IF($Q14=0,$W14,IF(AND($S14&lt;&gt;"",EDATE($D14,Milestones!$AA$49)&gt;=$S14),$V14,IF(AND($R14&lt;&gt;"",EDATE($D14,Milestones!$AA$49)&gt;=$R14),$U14,$T14)))=Milestones!$AB$49),TEXT(EDATE($D14,Milestones!$AA$49),"dd/mm/yy")&amp;" "&amp;Milestones!$AB$49&amp;" "&amp;Milestones!$AC$49&amp;";  ","")&amp;IF(AND(EDATE($D14,Milestones!$AA$50)&lt;=AsOfDate,IF($Q14=0,$W14,IF(AND($S14&lt;&gt;"",EDATE($D14,Milestones!$AA$50)&gt;=$S14),$V14,IF(AND($R14&lt;&gt;"",EDATE($D14,Milestones!$AA$50)&gt;=$R14),$U14,$T14)))=Milestones!$AB$50),TEXT(EDATE($D14,Milestones!$AA$50),"dd/mm/yy")&amp;" "&amp;Milestones!$AB$50&amp;" "&amp;Milestones!$AC$50&amp;";  ","")&amp;IF(AND(EDATE($D14,Milestones!$AA$51)&lt;=AsOfDate,IF($Q14=0,$W14,IF(AND($S14&lt;&gt;"",EDATE($D14,Milestones!$AA$51)&gt;=$S14),$V14,IF(AND($R14&lt;&gt;"",EDATE($D14,Milestones!$AA$51)&gt;=$R14),$U14,$T14)))=Milestones!$AB$51),TEXT(EDATE($D14,Milestones!$AA$51),"dd/mm/yy")&amp;" "&amp;Milestones!$AB$51&amp;" "&amp;Milestones!$AC$51&amp;";  ","")&amp;IF(AND(EDATE($D14,Milestones!$AA$52)&lt;=AsOfDate,IF($Q14=0,$W14,IF(AND($S14&lt;&gt;"",EDATE($D14,Milestones!$AA$52)&gt;=$S14),$V14,IF(AND($R14&lt;&gt;"",EDATE($D14,Milestones!$AA$52)&gt;=$R14),$U14,$T14)))=Milestones!$AB$52),TEXT(EDATE($D14,Milestones!$AA$52),"dd/mm/yy")&amp;" "&amp;Milestones!$AB$52&amp;" "&amp;Milestones!$AC$52&amp;";  ","")&amp;IF(AND(EDATE($D14,Milestones!$AA$53)&lt;=AsOfDate,IF($Q14=0,$W14,IF(AND($S14&lt;&gt;"",EDATE($D14,Milestones!$AA$53)&gt;=$S14),$V14,IF(AND($R14&lt;&gt;"",EDATE($D14,Milestones!$AA$53)&gt;=$R14),$U14,$T14)))=Milestones!$AB$53),TEXT(EDATE($D14,Milestones!$AA$53),"dd/mm/yy")&amp;" "&amp;Milestones!$AB$53&amp;" "&amp;Milestones!$AC$53&amp;";  ","")&amp;IF(AND(EDATE($D14,Milestones!$AA$54)&lt;=AsOfDate,IF($Q14=0,$W14,IF(AND($S14&lt;&gt;"",EDATE($D14,Milestones!$AA$54)&gt;=$S14),$V14,IF(AND($R14&lt;&gt;"",EDATE($D14,Milestones!$AA$54)&gt;=$R14),$U14,$T14)))=Milestones!$AB$54),TEXT(EDATE($D14,Milestones!$AA$54),"dd/mm/yy")&amp;" "&amp;Milestones!$AB$54&amp;" "&amp;Milestones!$AC$54&amp;";  ","")&amp;IF(AND(EDATE($D14,Milestones!$AA$55)&lt;=AsOfDate,IF($Q14=0,$W14,IF(AND($S14&lt;&gt;"",EDATE($D14,Milestones!$AA$55)&gt;=$S14),$V14,IF(AND($R14&lt;&gt;"",EDATE($D14,Milestones!$AA$55)&gt;=$R14),$U14,$T14)))=Milestones!$AB$55),TEXT(EDATE($D14,Milestones!$AA$55),"dd/mm/yy")&amp;" "&amp;Milestones!$AB$55&amp;" "&amp;Milestones!$AC$55&amp;";  ","")&amp;IF(AND(EDATE($D14,Milestones!$AA$56)&lt;=AsOfDate,IF($Q14=0,$W14,IF(AND($S14&lt;&gt;"",EDATE($D14,Milestones!$AA$56)&gt;=$S14),$V14,IF(AND($R14&lt;&gt;"",EDATE($D14,Milestones!$AA$56)&gt;=$R14),$U14,$T14)))=Milestones!$AB$56),TEXT(EDATE($D14,Milestones!$AA$56),"dd/mm/yy")&amp;" "&amp;Milestones!$AB$56&amp;" "&amp;Milestones!$AC$56&amp;";  ","")&amp;IF(AND(EDATE($D14,Milestones!$AA$57)&lt;=AsOfDate,IF($Q14=0,$W14,IF(AND($S14&lt;&gt;"",EDATE($D14,Milestones!$AA$57)&gt;=$S14),$V14,IF(AND($R14&lt;&gt;"",EDATE($D14,Milestones!$AA$57)&gt;=$R14),$U14,$T14)))=Milestones!$AB$57),TEXT(EDATE($D14,Milestones!$AA$57),"dd/mm/yy")&amp;" "&amp;Milestones!$AB$57&amp;" "&amp;Milestones!$AC$57&amp;";  ","")&amp;IF(AND(EDATE($D14,Milestones!$AA$58)&lt;=AsOfDate,IF($Q14=0,$W14,IF(AND($S14&lt;&gt;"",EDATE($D14,Milestones!$AA$58)&gt;=$S14),$V14,IF(AND($R14&lt;&gt;"",EDATE($D14,Milestones!$AA$58)&gt;=$R14),$U14,$T14)))=Milestones!$AB$58),TEXT(EDATE($D14,Milestones!$AA$58),"dd/mm/yy")&amp;" "&amp;Milestones!$AB$58&amp;" "&amp;Milestones!$AC$58&amp;";  ","")&amp;IF(AND(EDATE($D14,Milestones!$AA$59)&lt;=AsOfDate,IF($Q14=0,$W14,IF(AND($S14&lt;&gt;"",EDATE($D14,Milestones!$AA$59)&gt;=$S14),$V14,IF(AND($R14&lt;&gt;"",EDATE($D14,Milestones!$AA$59)&gt;=$R14),$U14,$T14)))=Milestones!$AB$59),TEXT(EDATE($D14,Milestones!$AA$59),"dd/mm/yy")&amp;" "&amp;Milestones!$AB$59&amp;" "&amp;Milestones!$AC$59&amp;";  ",""))</f>
        <v/>
      </c>
      <c r="J14" s="0" t="str">
        <f aca="false">IF(OR($A14="",$D14=""),"",IF(AND(EDATE($D14,Milestones!$AA$60)&lt;=AsOfDate,IF($Q14=0,$W14,IF(AND($S14&lt;&gt;"",EDATE($D14,Milestones!$AA$60)&gt;=$S14),$V14,IF(AND($R14&lt;&gt;"",EDATE($D14,Milestones!$AA$60)&gt;=$R14),$U14,$T14)))=Milestones!$AB$60),TEXT(EDATE($D14,Milestones!$AA$60),"dd/mm/yy")&amp;" "&amp;Milestones!$AB$60&amp;" "&amp;Milestones!$AC$60&amp;";  ","")&amp;IF(AND(EDATE($D14,Milestones!$AA$61)&lt;=AsOfDate,IF($Q14=0,$W14,IF(AND($S14&lt;&gt;"",EDATE($D14,Milestones!$AA$61)&gt;=$S14),$V14,IF(AND($R14&lt;&gt;"",EDATE($D14,Milestones!$AA$61)&gt;=$R14),$U14,$T14)))=Milestones!$AB$61),TEXT(EDATE($D14,Milestones!$AA$61),"dd/mm/yy")&amp;" "&amp;Milestones!$AB$61&amp;" "&amp;Milestones!$AC$61&amp;";  ","")&amp;IF(AND(EDATE($D14,Milestones!$AA$62)&lt;=AsOfDate,IF($Q14=0,$W14,IF(AND($S14&lt;&gt;"",EDATE($D14,Milestones!$AA$62)&gt;=$S14),$V14,IF(AND($R14&lt;&gt;"",EDATE($D14,Milestones!$AA$62)&gt;=$R14),$U14,$T14)))=Milestones!$AB$62),TEXT(EDATE($D14,Milestones!$AA$62),"dd/mm/yy")&amp;" "&amp;Milestones!$AB$62&amp;" "&amp;Milestones!$AC$62&amp;";  ","")&amp;IF(AND(EDATE($D14,Milestones!$AA$63)&lt;=AsOfDate,IF($Q14=0,$W14,IF(AND($S14&lt;&gt;"",EDATE($D14,Milestones!$AA$63)&gt;=$S14),$V14,IF(AND($R14&lt;&gt;"",EDATE($D14,Milestones!$AA$63)&gt;=$R14),$U14,$T14)))=Milestones!$AB$63),TEXT(EDATE($D14,Milestones!$AA$63),"dd/mm/yy")&amp;" "&amp;Milestones!$AB$63&amp;" "&amp;Milestones!$AC$63&amp;";  ","")&amp;IF(AND(EDATE($D14,Milestones!$AA$64)&lt;=AsOfDate,IF($Q14=0,$W14,IF(AND($S14&lt;&gt;"",EDATE($D14,Milestones!$AA$64)&gt;=$S14),$V14,IF(AND($R14&lt;&gt;"",EDATE($D14,Milestones!$AA$64)&gt;=$R14),$U14,$T14)))=Milestones!$AB$64),TEXT(EDATE($D14,Milestones!$AA$64),"dd/mm/yy")&amp;" "&amp;Milestones!$AB$64&amp;" "&amp;Milestones!$AC$64&amp;";  ","")&amp;IF(AND(EDATE($D14,Milestones!$AA$65)&lt;=AsOfDate,IF($Q14=0,$W14,IF(AND($S14&lt;&gt;"",EDATE($D14,Milestones!$AA$65)&gt;=$S14),$V14,IF(AND($R14&lt;&gt;"",EDATE($D14,Milestones!$AA$65)&gt;=$R14),$U14,$T14)))=Milestones!$AB$65),TEXT(EDATE($D14,Milestones!$AA$65),"dd/mm/yy")&amp;" "&amp;Milestones!$AB$65&amp;" "&amp;Milestones!$AC$65&amp;";  ","")&amp;IF(AND(EDATE($D14,Milestones!$AA$66)&lt;=AsOfDate,IF($Q14=0,$W14,IF(AND($S14&lt;&gt;"",EDATE($D14,Milestones!$AA$66)&gt;=$S14),$V14,IF(AND($R14&lt;&gt;"",EDATE($D14,Milestones!$AA$66)&gt;=$R14),$U14,$T14)))=Milestones!$AB$66),TEXT(EDATE($D14,Milestones!$AA$66),"dd/mm/yy")&amp;" "&amp;Milestones!$AB$66&amp;" "&amp;Milestones!$AC$66&amp;";  ","")&amp;IF(AND(EDATE($D14,Milestones!$AA$67)&lt;=AsOfDate,IF($Q14=0,$W14,IF(AND($S14&lt;&gt;"",EDATE($D14,Milestones!$AA$67)&gt;=$S14),$V14,IF(AND($R14&lt;&gt;"",EDATE($D14,Milestones!$AA$67)&gt;=$R14),$U14,$T14)))=Milestones!$AB$67),TEXT(EDATE($D14,Milestones!$AA$67),"dd/mm/yy")&amp;" "&amp;Milestones!$AB$67&amp;" "&amp;Milestones!$AC$67&amp;";  ","")&amp;IF(AND(EDATE($D14,Milestones!$AA$68)&lt;=AsOfDate,IF($Q14=0,$W14,IF(AND($S14&lt;&gt;"",EDATE($D14,Milestones!$AA$68)&gt;=$S14),$V14,IF(AND($R14&lt;&gt;"",EDATE($D14,Milestones!$AA$68)&gt;=$R14),$U14,$T14)))=Milestones!$AB$68),TEXT(EDATE($D14,Milestones!$AA$68),"dd/mm/yy")&amp;" "&amp;Milestones!$AB$68&amp;" "&amp;Milestones!$AC$68&amp;";  ","")&amp;IF(AND(EDATE($D14,Milestones!$AA$69)&lt;=AsOfDate,IF($Q14=0,$W14,IF(AND($S14&lt;&gt;"",EDATE($D14,Milestones!$AA$69)&gt;=$S14),$V14,IF(AND($R14&lt;&gt;"",EDATE($D14,Milestones!$AA$69)&gt;=$R14),$U14,$T14)))=Milestones!$AB$69),TEXT(EDATE($D14,Milestones!$AA$69),"dd/mm/yy")&amp;" "&amp;Milestones!$AB$69&amp;" "&amp;Milestones!$AC$69&amp;";  ","")&amp;IF(AND(EDATE($D14,Milestones!$AA$70)&lt;=AsOfDate,IF($Q14=0,$W14,IF(AND($S14&lt;&gt;"",EDATE($D14,Milestones!$AA$70)&gt;=$S14),$V14,IF(AND($R14&lt;&gt;"",EDATE($D14,Milestones!$AA$70)&gt;=$R14),$U14,$T14)))=Milestones!$AB$70),TEXT(EDATE($D14,Milestones!$AA$70),"dd/mm/yy")&amp;" "&amp;Milestones!$AB$70&amp;" "&amp;Milestones!$AC$70&amp;";  ","")&amp;IF(AND(EDATE($D14,Milestones!$AA$71)&lt;=AsOfDate,IF($Q14=0,$W14,IF(AND($S14&lt;&gt;"",EDATE($D14,Milestones!$AA$71)&gt;=$S14),$V14,IF(AND($R14&lt;&gt;"",EDATE($D14,Milestones!$AA$71)&gt;=$R14),$U14,$T14)))=Milestones!$AB$71),TEXT(EDATE($D14,Milestones!$AA$71),"dd/mm/yy")&amp;" "&amp;Milestones!$AB$71&amp;" "&amp;Milestones!$AC$71&amp;";  ","")&amp;IF(AND(EDATE($D14,Milestones!$AA$72)&lt;=AsOfDate,IF($Q14=0,$W14,IF(AND($S14&lt;&gt;"",EDATE($D14,Milestones!$AA$72)&gt;=$S14),$V14,IF(AND($R14&lt;&gt;"",EDATE($D14,Milestones!$AA$72)&gt;=$R14),$U14,$T14)))=Milestones!$AB$72),TEXT(EDATE($D14,Milestones!$AA$72),"dd/mm/yy")&amp;" "&amp;Milestones!$AB$72&amp;" "&amp;Milestones!$AC$72&amp;";  ","")&amp;IF(AND(EDATE($D14,Milestones!$AA$73)&lt;=AsOfDate,IF($Q14=0,$W14,IF(AND($S14&lt;&gt;"",EDATE($D14,Milestones!$AA$73)&gt;=$S14),$V14,IF(AND($R14&lt;&gt;"",EDATE($D14,Milestones!$AA$73)&gt;=$R14),$U14,$T14)))=Milestones!$AB$73),TEXT(EDATE($D14,Milestones!$AA$73),"dd/mm/yy")&amp;" "&amp;Milestones!$AB$73&amp;" "&amp;Milestones!$AC$73&amp;";  ","")&amp;IF(AND(EDATE($D14,Milestones!$AA$74)&lt;=AsOfDate,IF($Q14=0,$W14,IF(AND($S14&lt;&gt;"",EDATE($D14,Milestones!$AA$74)&gt;=$S14),$V14,IF(AND($R14&lt;&gt;"",EDATE($D14,Milestones!$AA$74)&gt;=$R14),$U14,$T14)))=Milestones!$AB$74),TEXT(EDATE($D14,Milestones!$AA$74),"dd/mm/yy")&amp;" "&amp;Milestones!$AB$74&amp;" "&amp;Milestones!$AC$74&amp;";  ","")&amp;IF(AND(EDATE($D14,Milestones!$AA$75)&lt;=AsOfDate,IF($Q14=0,$W14,IF(AND($S14&lt;&gt;"",EDATE($D14,Milestones!$AA$75)&gt;=$S14),$V14,IF(AND($R14&lt;&gt;"",EDATE($D14,Milestones!$AA$75)&gt;=$R14),$U14,$T14)))=Milestones!$AB$75),TEXT(EDATE($D14,Milestones!$AA$75),"dd/mm/yy")&amp;" "&amp;Milestones!$AB$75&amp;" "&amp;Milestones!$AC$75&amp;";  ","")&amp;IF(AND(EDATE($D14,Milestones!$AA$76)&lt;=AsOfDate,IF($Q14=0,$W14,IF(AND($S14&lt;&gt;"",EDATE($D14,Milestones!$AA$76)&gt;=$S14),$V14,IF(AND($R14&lt;&gt;"",EDATE($D14,Milestones!$AA$76)&gt;=$R14),$U14,$T14)))=Milestones!$AB$76),TEXT(EDATE($D14,Milestones!$AA$76),"dd/mm/yy")&amp;" "&amp;Milestones!$AB$76&amp;" "&amp;Milestones!$AC$76&amp;";  ","")&amp;IF(AND(EDATE($D14,Milestones!$AA$77)&lt;=AsOfDate,IF($Q14=0,$W14,IF(AND($S14&lt;&gt;"",EDATE($D14,Milestones!$AA$77)&gt;=$S14),$V14,IF(AND($R14&lt;&gt;"",EDATE($D14,Milestones!$AA$77)&gt;=$R14),$U14,$T14)))=Milestones!$AB$77),TEXT(EDATE($D14,Milestones!$AA$77),"dd/mm/yy")&amp;" "&amp;Milestones!$AB$77&amp;" "&amp;Milestones!$AC$77&amp;";  ","")&amp;IF(AND(EDATE($D14,Milestones!$AA$78)&lt;=AsOfDate,IF($Q14=0,$W14,IF(AND($S14&lt;&gt;"",EDATE($D14,Milestones!$AA$78)&gt;=$S14),$V14,IF(AND($R14&lt;&gt;"",EDATE($D14,Milestones!$AA$78)&gt;=$R14),$U14,$T14)))=Milestones!$AB$78),TEXT(EDATE($D14,Milestones!$AA$78),"dd/mm/yy")&amp;" "&amp;Milestones!$AB$78&amp;" "&amp;Milestones!$AC$78&amp;";  ","")&amp;IF(AND(EDATE($D14,Milestones!$AA$79)&lt;=AsOfDate,IF($Q14=0,$W14,IF(AND($S14&lt;&gt;"",EDATE($D14,Milestones!$AA$79)&gt;=$S14),$V14,IF(AND($R14&lt;&gt;"",EDATE($D14,Milestones!$AA$79)&gt;=$R14),$U14,$T14)))=Milestones!$AB$79),TEXT(EDATE($D14,Milestones!$AA$79),"dd/mm/yy")&amp;" "&amp;Milestones!$AB$79&amp;" "&amp;Milestones!$AC$79&amp;";  ",""))</f>
        <v/>
      </c>
      <c r="K14" s="0" t="str">
        <f aca="false">IF(OR($A14="",$D14=""),"",IF(AND(EDATE($D14,Milestones!$AA$80)&lt;=AsOfDate,IF($Q14=0,$W14,IF(AND($S14&lt;&gt;"",EDATE($D14,Milestones!$AA$80)&gt;=$S14),$V14,IF(AND($R14&lt;&gt;"",EDATE($D14,Milestones!$AA$80)&gt;=$R14),$U14,$T14)))=Milestones!$AB$80),TEXT(EDATE($D14,Milestones!$AA$80),"dd/mm/yy")&amp;" "&amp;Milestones!$AB$80&amp;" "&amp;Milestones!$AC$80&amp;";  ","")&amp;IF(AND(EDATE($D14,Milestones!$AA$81)&lt;=AsOfDate,IF($Q14=0,$W14,IF(AND($S14&lt;&gt;"",EDATE($D14,Milestones!$AA$81)&gt;=$S14),$V14,IF(AND($R14&lt;&gt;"",EDATE($D14,Milestones!$AA$81)&gt;=$R14),$U14,$T14)))=Milestones!$AB$81),TEXT(EDATE($D14,Milestones!$AA$81),"dd/mm/yy")&amp;" "&amp;Milestones!$AB$81&amp;" "&amp;Milestones!$AC$81&amp;";  ","")&amp;IF(AND(EDATE($D14,Milestones!$AA$82)&lt;=AsOfDate,IF($Q14=0,$W14,IF(AND($S14&lt;&gt;"",EDATE($D14,Milestones!$AA$82)&gt;=$S14),$V14,IF(AND($R14&lt;&gt;"",EDATE($D14,Milestones!$AA$82)&gt;=$R14),$U14,$T14)))=Milestones!$AB$82),TEXT(EDATE($D14,Milestones!$AA$82),"dd/mm/yy")&amp;" "&amp;Milestones!$AB$82&amp;" "&amp;Milestones!$AC$82&amp;";  ","")&amp;IF(AND(EDATE($D14,Milestones!$AA$83)&lt;=AsOfDate,IF($Q14=0,$W14,IF(AND($S14&lt;&gt;"",EDATE($D14,Milestones!$AA$83)&gt;=$S14),$V14,IF(AND($R14&lt;&gt;"",EDATE($D14,Milestones!$AA$83)&gt;=$R14),$U14,$T14)))=Milestones!$AB$83),TEXT(EDATE($D14,Milestones!$AA$83),"dd/mm/yy")&amp;" "&amp;Milestones!$AB$83&amp;" "&amp;Milestones!$AC$83&amp;";  ","")&amp;IF(AND(EDATE($D14,Milestones!$AA$84)&lt;=AsOfDate,IF($Q14=0,$W14,IF(AND($S14&lt;&gt;"",EDATE($D14,Milestones!$AA$84)&gt;=$S14),$V14,IF(AND($R14&lt;&gt;"",EDATE($D14,Milestones!$AA$84)&gt;=$R14),$U14,$T14)))=Milestones!$AB$84),TEXT(EDATE($D14,Milestones!$AA$84),"dd/mm/yy")&amp;" "&amp;Milestones!$AB$84&amp;" "&amp;Milestones!$AC$84&amp;";  ","")&amp;IF(AND(EDATE($D14,Milestones!$AA$85)&lt;=AsOfDate,IF($Q14=0,$W14,IF(AND($S14&lt;&gt;"",EDATE($D14,Milestones!$AA$85)&gt;=$S14),$V14,IF(AND($R14&lt;&gt;"",EDATE($D14,Milestones!$AA$85)&gt;=$R14),$U14,$T14)))=Milestones!$AB$85),TEXT(EDATE($D14,Milestones!$AA$85),"dd/mm/yy")&amp;" "&amp;Milestones!$AB$85&amp;" "&amp;Milestones!$AC$85&amp;";  ","")&amp;IF(AND(EDATE($D14,Milestones!$AA$86)&lt;=AsOfDate,IF($Q14=0,$W14,IF(AND($S14&lt;&gt;"",EDATE($D14,Milestones!$AA$86)&gt;=$S14),$V14,IF(AND($R14&lt;&gt;"",EDATE($D14,Milestones!$AA$86)&gt;=$R14),$U14,$T14)))=Milestones!$AB$86),TEXT(EDATE($D14,Milestones!$AA$86),"dd/mm/yy")&amp;" "&amp;Milestones!$AB$86&amp;" "&amp;Milestones!$AC$86&amp;";  ","")&amp;IF(AND(EDATE($D14,Milestones!$AA$87)&lt;=AsOfDate,IF($Q14=0,$W14,IF(AND($S14&lt;&gt;"",EDATE($D14,Milestones!$AA$87)&gt;=$S14),$V14,IF(AND($R14&lt;&gt;"",EDATE($D14,Milestones!$AA$87)&gt;=$R14),$U14,$T14)))=Milestones!$AB$87),TEXT(EDATE($D14,Milestones!$AA$87),"dd/mm/yy")&amp;" "&amp;Milestones!$AB$87&amp;" "&amp;Milestones!$AC$87&amp;";  ","")&amp;IF(AND(EDATE($D14,Milestones!$AA$88)&lt;=AsOfDate,IF($Q14=0,$W14,IF(AND($S14&lt;&gt;"",EDATE($D14,Milestones!$AA$88)&gt;=$S14),$V14,IF(AND($R14&lt;&gt;"",EDATE($D14,Milestones!$AA$88)&gt;=$R14),$U14,$T14)))=Milestones!$AB$88),TEXT(EDATE($D14,Milestones!$AA$88),"dd/mm/yy")&amp;" "&amp;Milestones!$AB$88&amp;" "&amp;Milestones!$AC$88&amp;";  ","")&amp;IF(AND(EDATE($D14,Milestones!$AA$89)&lt;=AsOfDate,IF($Q14=0,$W14,IF(AND($S14&lt;&gt;"",EDATE($D14,Milestones!$AA$89)&gt;=$S14),$V14,IF(AND($R14&lt;&gt;"",EDATE($D14,Milestones!$AA$89)&gt;=$R14),$U14,$T14)))=Milestones!$AB$89),TEXT(EDATE($D14,Milestones!$AA$89),"dd/mm/yy")&amp;" "&amp;Milestones!$AB$89&amp;" "&amp;Milestones!$AC$89&amp;";  ","")&amp;IF(AND(EDATE($D14,Milestones!$AA$90)&lt;=AsOfDate,IF($Q14=0,$W14,IF(AND($S14&lt;&gt;"",EDATE($D14,Milestones!$AA$90)&gt;=$S14),$V14,IF(AND($R14&lt;&gt;"",EDATE($D14,Milestones!$AA$90)&gt;=$R14),$U14,$T14)))=Milestones!$AB$90),TEXT(EDATE($D14,Milestones!$AA$90),"dd/mm/yy")&amp;" "&amp;Milestones!$AB$90&amp;" "&amp;Milestones!$AC$90&amp;";  ","")&amp;IF(AND(EDATE($D14,Milestones!$AA$91)&lt;=AsOfDate,IF($Q14=0,$W14,IF(AND($S14&lt;&gt;"",EDATE($D14,Milestones!$AA$91)&gt;=$S14),$V14,IF(AND($R14&lt;&gt;"",EDATE($D14,Milestones!$AA$91)&gt;=$R14),$U14,$T14)))=Milestones!$AB$91),TEXT(EDATE($D14,Milestones!$AA$91),"dd/mm/yy")&amp;" "&amp;Milestones!$AB$91&amp;" "&amp;Milestones!$AC$91&amp;";  ","")&amp;IF(AND(EDATE($D14,Milestones!$AA$92)&lt;=AsOfDate,IF($Q14=0,$W14,IF(AND($S14&lt;&gt;"",EDATE($D14,Milestones!$AA$92)&gt;=$S14),$V14,IF(AND($R14&lt;&gt;"",EDATE($D14,Milestones!$AA$92)&gt;=$R14),$U14,$T14)))=Milestones!$AB$92),TEXT(EDATE($D14,Milestones!$AA$92),"dd/mm/yy")&amp;" "&amp;Milestones!$AB$92&amp;" "&amp;Milestones!$AC$92&amp;";  ","")&amp;IF(AND(EDATE($D14,Milestones!$AA$93)&lt;=AsOfDate,IF($Q14=0,$W14,IF(AND($S14&lt;&gt;"",EDATE($D14,Milestones!$AA$93)&gt;=$S14),$V14,IF(AND($R14&lt;&gt;"",EDATE($D14,Milestones!$AA$93)&gt;=$R14),$U14,$T14)))=Milestones!$AB$93),TEXT(EDATE($D14,Milestones!$AA$93),"dd/mm/yy")&amp;" "&amp;Milestones!$AB$93&amp;" "&amp;Milestones!$AC$93&amp;";  ","")&amp;IF(AND(EDATE($D14,Milestones!$AA$94)&lt;=AsOfDate,IF($Q14=0,$W14,IF(AND($S14&lt;&gt;"",EDATE($D14,Milestones!$AA$94)&gt;=$S14),$V14,IF(AND($R14&lt;&gt;"",EDATE($D14,Milestones!$AA$94)&gt;=$R14),$U14,$T14)))=Milestones!$AB$94),TEXT(EDATE($D14,Milestones!$AA$94),"dd/mm/yy")&amp;" "&amp;Milestones!$AB$94&amp;" "&amp;Milestones!$AC$94&amp;";  ","")&amp;IF(AND(EDATE($D14,Milestones!$AA$95)&lt;=AsOfDate,IF($Q14=0,$W14,IF(AND($S14&lt;&gt;"",EDATE($D14,Milestones!$AA$95)&gt;=$S14),$V14,IF(AND($R14&lt;&gt;"",EDATE($D14,Milestones!$AA$95)&gt;=$R14),$U14,$T14)))=Milestones!$AB$95),TEXT(EDATE($D14,Milestones!$AA$95),"dd/mm/yy")&amp;" "&amp;Milestones!$AB$95&amp;" "&amp;Milestones!$AC$95&amp;";  ","")&amp;IF(AND(EDATE($D14,Milestones!$AA$96)&lt;=AsOfDate,IF($Q14=0,$W14,IF(AND($S14&lt;&gt;"",EDATE($D14,Milestones!$AA$96)&gt;=$S14),$V14,IF(AND($R14&lt;&gt;"",EDATE($D14,Milestones!$AA$96)&gt;=$R14),$U14,$T14)))=Milestones!$AB$96),TEXT(EDATE($D14,Milestones!$AA$96),"dd/mm/yy")&amp;" "&amp;Milestones!$AB$96&amp;" "&amp;Milestones!$AC$96&amp;";  ","")&amp;IF(AND(EDATE($D14,Milestones!$AA$97)&lt;=AsOfDate,IF($Q14=0,$W14,IF(AND($S14&lt;&gt;"",EDATE($D14,Milestones!$AA$97)&gt;=$S14),$V14,IF(AND($R14&lt;&gt;"",EDATE($D14,Milestones!$AA$97)&gt;=$R14),$U14,$T14)))=Milestones!$AB$97),TEXT(EDATE($D14,Milestones!$AA$97),"dd/mm/yy")&amp;" "&amp;Milestones!$AB$97&amp;" "&amp;Milestones!$AC$97&amp;";  ","")&amp;IF(AND(EDATE($D14,Milestones!$AA$98)&lt;=AsOfDate,IF($Q14=0,$W14,IF(AND($S14&lt;&gt;"",EDATE($D14,Milestones!$AA$98)&gt;=$S14),$V14,IF(AND($R14&lt;&gt;"",EDATE($D14,Milestones!$AA$98)&gt;=$R14),$U14,$T14)))=Milestones!$AB$98),TEXT(EDATE($D14,Milestones!$AA$98),"dd/mm/yy")&amp;" "&amp;Milestones!$AB$98&amp;" "&amp;Milestones!$AC$98&amp;";  ","")&amp;IF(AND(EDATE($D14,Milestones!$AA$99)&lt;=AsOfDate,IF($Q14=0,$W14,IF(AND($S14&lt;&gt;"",EDATE($D14,Milestones!$AA$99)&gt;=$S14),$V14,IF(AND($R14&lt;&gt;"",EDATE($D14,Milestones!$AA$99)&gt;=$R14),$U14,$T14)))=Milestones!$AB$99),TEXT(EDATE($D14,Milestones!$AA$99),"dd/mm/yy")&amp;" "&amp;Milestones!$AB$99&amp;" "&amp;Milestones!$AC$99&amp;";  ",""))</f>
        <v/>
      </c>
      <c r="L14" s="0" t="str">
        <f aca="false">IF(OR($A14="",$D14=""),"",IF(AND(EDATE($D14,Milestones!$AA$100)&lt;=AsOfDate,IF($Q14=0,$W14,IF(AND($S14&lt;&gt;"",EDATE($D14,Milestones!$AA$100)&gt;=$S14),$V14,IF(AND($R14&lt;&gt;"",EDATE($D14,Milestones!$AA$100)&gt;=$R14),$U14,$T14)))=Milestones!$AB$100),TEXT(EDATE($D14,Milestones!$AA$100),"dd/mm/yy")&amp;" "&amp;Milestones!$AB$100&amp;" "&amp;Milestones!$AC$100&amp;";  ","")&amp;IF(AND(EDATE($D14,Milestones!$AA$101)&lt;=AsOfDate,IF($Q14=0,$W14,IF(AND($S14&lt;&gt;"",EDATE($D14,Milestones!$AA$101)&gt;=$S14),$V14,IF(AND($R14&lt;&gt;"",EDATE($D14,Milestones!$AA$101)&gt;=$R14),$U14,$T14)))=Milestones!$AB$101),TEXT(EDATE($D14,Milestones!$AA$101),"dd/mm/yy")&amp;" "&amp;Milestones!$AB$101&amp;" "&amp;Milestones!$AC$101&amp;";  ","")&amp;IF(AND(EDATE($D14,Milestones!$AA$102)&lt;=AsOfDate,IF($Q14=0,$W14,IF(AND($S14&lt;&gt;"",EDATE($D14,Milestones!$AA$102)&gt;=$S14),$V14,IF(AND($R14&lt;&gt;"",EDATE($D14,Milestones!$AA$102)&gt;=$R14),$U14,$T14)))=Milestones!$AB$102),TEXT(EDATE($D14,Milestones!$AA$102),"dd/mm/yy")&amp;" "&amp;Milestones!$AB$102&amp;" "&amp;Milestones!$AC$102&amp;";  ","")&amp;IF(AND(EDATE($D14,Milestones!$AA$103)&lt;=AsOfDate,IF($Q14=0,$W14,IF(AND($S14&lt;&gt;"",EDATE($D14,Milestones!$AA$103)&gt;=$S14),$V14,IF(AND($R14&lt;&gt;"",EDATE($D14,Milestones!$AA$103)&gt;=$R14),$U14,$T14)))=Milestones!$AB$103),TEXT(EDATE($D14,Milestones!$AA$103),"dd/mm/yy")&amp;" "&amp;Milestones!$AB$103&amp;" "&amp;Milestones!$AC$103&amp;";  ","")&amp;IF(AND(EDATE($D14,Milestones!$AA$104)&lt;=AsOfDate,IF($Q14=0,$W14,IF(AND($S14&lt;&gt;"",EDATE($D14,Milestones!$AA$104)&gt;=$S14),$V14,IF(AND($R14&lt;&gt;"",EDATE($D14,Milestones!$AA$104)&gt;=$R14),$U14,$T14)))=Milestones!$AB$104),TEXT(EDATE($D14,Milestones!$AA$104),"dd/mm/yy")&amp;" "&amp;Milestones!$AB$104&amp;" "&amp;Milestones!$AC$104&amp;";  ","")&amp;IF(AND(EDATE($D14,Milestones!$AA$105)&lt;=AsOfDate,IF($Q14=0,$W14,IF(AND($S14&lt;&gt;"",EDATE($D14,Milestones!$AA$105)&gt;=$S14),$V14,IF(AND($R14&lt;&gt;"",EDATE($D14,Milestones!$AA$105)&gt;=$R14),$U14,$T14)))=Milestones!$AB$105),TEXT(EDATE($D14,Milestones!$AA$105),"dd/mm/yy")&amp;" "&amp;Milestones!$AB$105&amp;" "&amp;Milestones!$AC$105&amp;";  ","")&amp;IF(AND(EDATE($D14,Milestones!$AA$106)&lt;=AsOfDate,IF($Q14=0,$W14,IF(AND($S14&lt;&gt;"",EDATE($D14,Milestones!$AA$106)&gt;=$S14),$V14,IF(AND($R14&lt;&gt;"",EDATE($D14,Milestones!$AA$106)&gt;=$R14),$U14,$T14)))=Milestones!$AB$106),TEXT(EDATE($D14,Milestones!$AA$106),"dd/mm/yy")&amp;" "&amp;Milestones!$AB$106&amp;" "&amp;Milestones!$AC$106&amp;";  ","")&amp;IF(AND(EDATE($D14,Milestones!$AA$107)&lt;=AsOfDate,IF($Q14=0,$W14,IF(AND($S14&lt;&gt;"",EDATE($D14,Milestones!$AA$107)&gt;=$S14),$V14,IF(AND($R14&lt;&gt;"",EDATE($D14,Milestones!$AA$107)&gt;=$R14),$U14,$T14)))=Milestones!$AB$107),TEXT(EDATE($D14,Milestones!$AA$107),"dd/mm/yy")&amp;" "&amp;Milestones!$AB$107&amp;" "&amp;Milestones!$AC$107&amp;";  ","")&amp;IF(AND(EDATE($D14,Milestones!$AA$108)&lt;=AsOfDate,IF($Q14=0,$W14,IF(AND($S14&lt;&gt;"",EDATE($D14,Milestones!$AA$108)&gt;=$S14),$V14,IF(AND($R14&lt;&gt;"",EDATE($D14,Milestones!$AA$108)&gt;=$R14),$U14,$T14)))=Milestones!$AB$108),TEXT(EDATE($D14,Milestones!$AA$108),"dd/mm/yy")&amp;" "&amp;Milestones!$AB$108&amp;" "&amp;Milestones!$AC$108&amp;";  ","")&amp;IF(AND(EDATE($D14,Milestones!$AA$109)&lt;=AsOfDate,IF($Q14=0,$W14,IF(AND($S14&lt;&gt;"",EDATE($D14,Milestones!$AA$109)&gt;=$S14),$V14,IF(AND($R14&lt;&gt;"",EDATE($D14,Milestones!$AA$109)&gt;=$R14),$U14,$T14)))=Milestones!$AB$109),TEXT(EDATE($D14,Milestones!$AA$109),"dd/mm/yy")&amp;" "&amp;Milestones!$AB$109&amp;" "&amp;Milestones!$AC$109&amp;";  ","")&amp;IF(AND(EDATE($D14,Milestones!$AA$110)&lt;=AsOfDate,IF($Q14=0,$W14,IF(AND($S14&lt;&gt;"",EDATE($D14,Milestones!$AA$110)&gt;=$S14),$V14,IF(AND($R14&lt;&gt;"",EDATE($D14,Milestones!$AA$110)&gt;=$R14),$U14,$T14)))=Milestones!$AB$110),TEXT(EDATE($D14,Milestones!$AA$110),"dd/mm/yy")&amp;" "&amp;Milestones!$AB$110&amp;" "&amp;Milestones!$AC$110&amp;";  ","")&amp;IF(AND(EDATE($D14,Milestones!$AA$111)&lt;=AsOfDate,IF($Q14=0,$W14,IF(AND($S14&lt;&gt;"",EDATE($D14,Milestones!$AA$111)&gt;=$S14),$V14,IF(AND($R14&lt;&gt;"",EDATE($D14,Milestones!$AA$111)&gt;=$R14),$U14,$T14)))=Milestones!$AB$111),TEXT(EDATE($D14,Milestones!$AA$111),"dd/mm/yy")&amp;" "&amp;Milestones!$AB$111&amp;" "&amp;Milestones!$AC$111&amp;";  ","")&amp;IF(AND(EDATE($D14,Milestones!$AA$112)&lt;=AsOfDate,IF($Q14=0,$W14,IF(AND($S14&lt;&gt;"",EDATE($D14,Milestones!$AA$112)&gt;=$S14),$V14,IF(AND($R14&lt;&gt;"",EDATE($D14,Milestones!$AA$112)&gt;=$R14),$U14,$T14)))=Milestones!$AB$112),TEXT(EDATE($D14,Milestones!$AA$112),"dd/mm/yy")&amp;" "&amp;Milestones!$AB$112&amp;" "&amp;Milestones!$AC$112&amp;";  ","")&amp;IF(AND(EDATE($D14,Milestones!$AA$113)&lt;=AsOfDate,IF($Q14=0,$W14,IF(AND($S14&lt;&gt;"",EDATE($D14,Milestones!$AA$113)&gt;=$S14),$V14,IF(AND($R14&lt;&gt;"",EDATE($D14,Milestones!$AA$113)&gt;=$R14),$U14,$T14)))=Milestones!$AB$113),TEXT(EDATE($D14,Milestones!$AA$113),"dd/mm/yy")&amp;" "&amp;Milestones!$AB$113&amp;" "&amp;Milestones!$AC$113&amp;";  ","")&amp;IF(AND(EDATE($D14,Milestones!$AA$114)&lt;=AsOfDate,IF($Q14=0,$W14,IF(AND($S14&lt;&gt;"",EDATE($D14,Milestones!$AA$114)&gt;=$S14),$V14,IF(AND($R14&lt;&gt;"",EDATE($D14,Milestones!$AA$114)&gt;=$R14),$U14,$T14)))=Milestones!$AB$114),TEXT(EDATE($D14,Milestones!$AA$114),"dd/mm/yy")&amp;" "&amp;Milestones!$AB$114&amp;" "&amp;Milestones!$AC$114&amp;";  ","")&amp;IF(AND(EDATE($D14,Milestones!$AA$115)&lt;=AsOfDate,IF($Q14=0,$W14,IF(AND($S14&lt;&gt;"",EDATE($D14,Milestones!$AA$115)&gt;=$S14),$V14,IF(AND($R14&lt;&gt;"",EDATE($D14,Milestones!$AA$115)&gt;=$R14),$U14,$T14)))=Milestones!$AB$115),TEXT(EDATE($D14,Milestones!$AA$115),"dd/mm/yy")&amp;" "&amp;Milestones!$AB$115&amp;" "&amp;Milestones!$AC$115&amp;";  ","")&amp;IF(AND(EDATE($D14,Milestones!$AA$116)&lt;=AsOfDate,IF($Q14=0,$W14,IF(AND($S14&lt;&gt;"",EDATE($D14,Milestones!$AA$116)&gt;=$S14),$V14,IF(AND($R14&lt;&gt;"",EDATE($D14,Milestones!$AA$116)&gt;=$R14),$U14,$T14)))=Milestones!$AB$116),TEXT(EDATE($D14,Milestones!$AA$116),"dd/mm/yy")&amp;" "&amp;Milestones!$AB$116&amp;" "&amp;Milestones!$AC$116&amp;";  ","")&amp;IF(AND(EDATE($D14,Milestones!$AA$117)&lt;=AsOfDate,IF($Q14=0,$W14,IF(AND($S14&lt;&gt;"",EDATE($D14,Milestones!$AA$117)&gt;=$S14),$V14,IF(AND($R14&lt;&gt;"",EDATE($D14,Milestones!$AA$117)&gt;=$R14),$U14,$T14)))=Milestones!$AB$117),TEXT(EDATE($D14,Milestones!$AA$117),"dd/mm/yy")&amp;" "&amp;Milestones!$AB$117&amp;" "&amp;Milestones!$AC$117&amp;";  ","")&amp;IF(AND(EDATE($D14,Milestones!$AA$118)&lt;=AsOfDate,IF($Q14=0,$W14,IF(AND($S14&lt;&gt;"",EDATE($D14,Milestones!$AA$118)&gt;=$S14),$V14,IF(AND($R14&lt;&gt;"",EDATE($D14,Milestones!$AA$118)&gt;=$R14),$U14,$T14)))=Milestones!$AB$118),TEXT(EDATE($D14,Milestones!$AA$118),"dd/mm/yy")&amp;" "&amp;Milestones!$AB$118&amp;" "&amp;Milestones!$AC$118&amp;";  ","")&amp;IF(AND(EDATE($D14,Milestones!$AA$119)&lt;=AsOfDate,IF($Q14=0,$W14,IF(AND($S14&lt;&gt;"",EDATE($D14,Milestones!$AA$119)&gt;=$S14),$V14,IF(AND($R14&lt;&gt;"",EDATE($D14,Milestones!$AA$119)&gt;=$R14),$U14,$T14)))=Milestones!$AB$119),TEXT(EDATE($D14,Milestones!$AA$119),"dd/mm/yy")&amp;" "&amp;Milestones!$AB$119&amp;" "&amp;Milestones!$AC$119&amp;";  ",""))</f>
        <v/>
      </c>
      <c r="M14" s="0" t="str">
        <f aca="false">IF(OR($A14="",$D14=""),"",IF(AND(EDATE($D14,Milestones!$AA$120)&lt;=AsOfDate,IF($Q14=0,$W14,IF(AND($S14&lt;&gt;"",EDATE($D14,Milestones!$AA$120)&gt;=$S14),$V14,IF(AND($R14&lt;&gt;"",EDATE($D14,Milestones!$AA$120)&gt;=$R14),$U14,$T14)))=Milestones!$AB$120),TEXT(EDATE($D14,Milestones!$AA$120),"dd/mm/yy")&amp;" "&amp;Milestones!$AB$120&amp;" "&amp;Milestones!$AC$120&amp;";  ","")&amp;IF(AND(EDATE($D14,Milestones!$AA$121)&lt;=AsOfDate,IF($Q14=0,$W14,IF(AND($S14&lt;&gt;"",EDATE($D14,Milestones!$AA$121)&gt;=$S14),$V14,IF(AND($R14&lt;&gt;"",EDATE($D14,Milestones!$AA$121)&gt;=$R14),$U14,$T14)))=Milestones!$AB$121),TEXT(EDATE($D14,Milestones!$AA$121),"dd/mm/yy")&amp;" "&amp;Milestones!$AB$121&amp;" "&amp;Milestones!$AC$121&amp;";  ","")&amp;IF(AND(EDATE($D14,Milestones!$AA$122)&lt;=AsOfDate,IF($Q14=0,$W14,IF(AND($S14&lt;&gt;"",EDATE($D14,Milestones!$AA$122)&gt;=$S14),$V14,IF(AND($R14&lt;&gt;"",EDATE($D14,Milestones!$AA$122)&gt;=$R14),$U14,$T14)))=Milestones!$AB$122),TEXT(EDATE($D14,Milestones!$AA$122),"dd/mm/yy")&amp;" "&amp;Milestones!$AB$122&amp;" "&amp;Milestones!$AC$122&amp;";  ","")&amp;IF(AND(EDATE($D14,Milestones!$AA$123)&lt;=AsOfDate,IF($Q14=0,$W14,IF(AND($S14&lt;&gt;"",EDATE($D14,Milestones!$AA$123)&gt;=$S14),$V14,IF(AND($R14&lt;&gt;"",EDATE($D14,Milestones!$AA$123)&gt;=$R14),$U14,$T14)))=Milestones!$AB$123),TEXT(EDATE($D14,Milestones!$AA$123),"dd/mm/yy")&amp;" "&amp;Milestones!$AB$123&amp;" "&amp;Milestones!$AC$123&amp;";  ","")&amp;IF(AND(EDATE($D14,Milestones!$AA$124)&lt;=AsOfDate,IF($Q14=0,$W14,IF(AND($S14&lt;&gt;"",EDATE($D14,Milestones!$AA$124)&gt;=$S14),$V14,IF(AND($R14&lt;&gt;"",EDATE($D14,Milestones!$AA$124)&gt;=$R14),$U14,$T14)))=Milestones!$AB$124),TEXT(EDATE($D14,Milestones!$AA$124),"dd/mm/yy")&amp;" "&amp;Milestones!$AB$124&amp;" "&amp;Milestones!$AC$124&amp;";  ","")&amp;IF(AND(EDATE($D14,Milestones!$AA$125)&lt;=AsOfDate,IF($Q14=0,$W14,IF(AND($S14&lt;&gt;"",EDATE($D14,Milestones!$AA$125)&gt;=$S14),$V14,IF(AND($R14&lt;&gt;"",EDATE($D14,Milestones!$AA$125)&gt;=$R14),$U14,$T14)))=Milestones!$AB$125),TEXT(EDATE($D14,Milestones!$AA$125),"dd/mm/yy")&amp;" "&amp;Milestones!$AB$125&amp;" "&amp;Milestones!$AC$125&amp;";  ","")&amp;IF(AND(EDATE($D14,Milestones!$AA$126)&lt;=AsOfDate,IF($Q14=0,$W14,IF(AND($S14&lt;&gt;"",EDATE($D14,Milestones!$AA$126)&gt;=$S14),$V14,IF(AND($R14&lt;&gt;"",EDATE($D14,Milestones!$AA$126)&gt;=$R14),$U14,$T14)))=Milestones!$AB$126),TEXT(EDATE($D14,Milestones!$AA$126),"dd/mm/yy")&amp;" "&amp;Milestones!$AB$126&amp;" "&amp;Milestones!$AC$126&amp;";  ","")&amp;IF(AND(EDATE($D14,Milestones!$AA$127)&lt;=AsOfDate,IF($Q14=0,$W14,IF(AND($S14&lt;&gt;"",EDATE($D14,Milestones!$AA$127)&gt;=$S14),$V14,IF(AND($R14&lt;&gt;"",EDATE($D14,Milestones!$AA$127)&gt;=$R14),$U14,$T14)))=Milestones!$AB$127),TEXT(EDATE($D14,Milestones!$AA$127),"dd/mm/yy")&amp;" "&amp;Milestones!$AB$127&amp;" "&amp;Milestones!$AC$127&amp;";  ","")&amp;IF(AND(EDATE($D14,Milestones!$AA$128)&lt;=AsOfDate,IF($Q14=0,$W14,IF(AND($S14&lt;&gt;"",EDATE($D14,Milestones!$AA$128)&gt;=$S14),$V14,IF(AND($R14&lt;&gt;"",EDATE($D14,Milestones!$AA$128)&gt;=$R14),$U14,$T14)))=Milestones!$AB$128),TEXT(EDATE($D14,Milestones!$AA$128),"dd/mm/yy")&amp;" "&amp;Milestones!$AB$128&amp;" "&amp;Milestones!$AC$128&amp;";  ","")&amp;IF(AND(EDATE($D14,Milestones!$AA$129)&lt;=AsOfDate,IF($Q14=0,$W14,IF(AND($S14&lt;&gt;"",EDATE($D14,Milestones!$AA$129)&gt;=$S14),$V14,IF(AND($R14&lt;&gt;"",EDATE($D14,Milestones!$AA$129)&gt;=$R14),$U14,$T14)))=Milestones!$AB$129),TEXT(EDATE($D14,Milestones!$AA$129),"dd/mm/yy")&amp;" "&amp;Milestones!$AB$129&amp;" "&amp;Milestones!$AC$129&amp;";  ","")&amp;IF(AND(EDATE($D14,Milestones!$AA$130)&lt;=AsOfDate,IF($Q14=0,$W14,IF(AND($S14&lt;&gt;"",EDATE($D14,Milestones!$AA$130)&gt;=$S14),$V14,IF(AND($R14&lt;&gt;"",EDATE($D14,Milestones!$AA$130)&gt;=$R14),$U14,$T14)))=Milestones!$AB$130),TEXT(EDATE($D14,Milestones!$AA$130),"dd/mm/yy")&amp;" "&amp;Milestones!$AB$130&amp;" "&amp;Milestones!$AC$130&amp;";  ","")&amp;IF(AND(EDATE($D14,Milestones!$AA$131)&lt;=AsOfDate,IF($Q14=0,$W14,IF(AND($S14&lt;&gt;"",EDATE($D14,Milestones!$AA$131)&gt;=$S14),$V14,IF(AND($R14&lt;&gt;"",EDATE($D14,Milestones!$AA$131)&gt;=$R14),$U14,$T14)))=Milestones!$AB$131),TEXT(EDATE($D14,Milestones!$AA$131),"dd/mm/yy")&amp;" "&amp;Milestones!$AB$131&amp;" "&amp;Milestones!$AC$131&amp;";  ","")&amp;IF(AND(EDATE($D14,Milestones!$AA$132)&lt;=AsOfDate,IF($Q14=0,$W14,IF(AND($S14&lt;&gt;"",EDATE($D14,Milestones!$AA$132)&gt;=$S14),$V14,IF(AND($R14&lt;&gt;"",EDATE($D14,Milestones!$AA$132)&gt;=$R14),$U14,$T14)))=Milestones!$AB$132),TEXT(EDATE($D14,Milestones!$AA$132),"dd/mm/yy")&amp;" "&amp;Milestones!$AB$132&amp;" "&amp;Milestones!$AC$132&amp;";  ","")&amp;IF(AND(EDATE($D14,Milestones!$AA$133)&lt;=AsOfDate,IF($Q14=0,$W14,IF(AND($S14&lt;&gt;"",EDATE($D14,Milestones!$AA$133)&gt;=$S14),$V14,IF(AND($R14&lt;&gt;"",EDATE($D14,Milestones!$AA$133)&gt;=$R14),$U14,$T14)))=Milestones!$AB$133),TEXT(EDATE($D14,Milestones!$AA$133),"dd/mm/yy")&amp;" "&amp;Milestones!$AB$133&amp;" "&amp;Milestones!$AC$133&amp;";  ","")&amp;IF(AND(EDATE($D14,Milestones!$AA$134)&lt;=AsOfDate,IF($Q14=0,$W14,IF(AND($S14&lt;&gt;"",EDATE($D14,Milestones!$AA$134)&gt;=$S14),$V14,IF(AND($R14&lt;&gt;"",EDATE($D14,Milestones!$AA$134)&gt;=$R14),$U14,$T14)))=Milestones!$AB$134),TEXT(EDATE($D14,Milestones!$AA$134),"dd/mm/yy")&amp;" "&amp;Milestones!$AB$134&amp;" "&amp;Milestones!$AC$134&amp;";  ","")&amp;IF(AND(EDATE($D14,Milestones!$AA$135)&lt;=AsOfDate,IF($Q14=0,$W14,IF(AND($S14&lt;&gt;"",EDATE($D14,Milestones!$AA$135)&gt;=$S14),$V14,IF(AND($R14&lt;&gt;"",EDATE($D14,Milestones!$AA$135)&gt;=$R14),$U14,$T14)))=Milestones!$AB$135),TEXT(EDATE($D14,Milestones!$AA$135),"dd/mm/yy")&amp;" "&amp;Milestones!$AB$135&amp;" "&amp;Milestones!$AC$135&amp;";  ","")&amp;IF(AND(EDATE($D14,Milestones!$AA$136)&lt;=AsOfDate,IF($Q14=0,$W14,IF(AND($S14&lt;&gt;"",EDATE($D14,Milestones!$AA$136)&gt;=$S14),$V14,IF(AND($R14&lt;&gt;"",EDATE($D14,Milestones!$AA$136)&gt;=$R14),$U14,$T14)))=Milestones!$AB$136),TEXT(EDATE($D14,Milestones!$AA$136),"dd/mm/yy")&amp;" "&amp;Milestones!$AB$136&amp;" "&amp;Milestones!$AC$136&amp;";  ","")&amp;IF(AND(EDATE($D14,Milestones!$AA$137)&lt;=AsOfDate,IF($Q14=0,$W14,IF(AND($S14&lt;&gt;"",EDATE($D14,Milestones!$AA$137)&gt;=$S14),$V14,IF(AND($R14&lt;&gt;"",EDATE($D14,Milestones!$AA$137)&gt;=$R14),$U14,$T14)))=Milestones!$AB$137),TEXT(EDATE($D14,Milestones!$AA$137),"dd/mm/yy")&amp;" "&amp;Milestones!$AB$137&amp;" "&amp;Milestones!$AC$137&amp;";  ","")&amp;IF(AND(EDATE($D14,Milestones!$AA$138)&lt;=AsOfDate,IF($Q14=0,$W14,IF(AND($S14&lt;&gt;"",EDATE($D14,Milestones!$AA$138)&gt;=$S14),$V14,IF(AND($R14&lt;&gt;"",EDATE($D14,Milestones!$AA$138)&gt;=$R14),$U14,$T14)))=Milestones!$AB$138),TEXT(EDATE($D14,Milestones!$AA$138),"dd/mm/yy")&amp;" "&amp;Milestones!$AB$138&amp;" "&amp;Milestones!$AC$138&amp;";  ","")&amp;IF(AND(EDATE($D14,Milestones!$AA$139)&lt;=AsOfDate,IF($Q14=0,$W14,IF(AND($S14&lt;&gt;"",EDATE($D14,Milestones!$AA$139)&gt;=$S14),$V14,IF(AND($R14&lt;&gt;"",EDATE($D14,Milestones!$AA$139)&gt;=$R14),$U14,$T14)))=Milestones!$AB$139),TEXT(EDATE($D14,Milestones!$AA$139),"dd/mm/yy")&amp;" "&amp;Milestones!$AB$139&amp;" "&amp;Milestones!$AC$139&amp;";  ",""))</f>
        <v/>
      </c>
      <c r="N14" s="0" t="str">
        <f aca="false">IF(OR($A14="",$D14=""),"",IF(AND(EDATE($D14,Milestones!$AA$140)&lt;=AsOfDate,IF($Q14=0,$W14,IF(AND($S14&lt;&gt;"",EDATE($D14,Milestones!$AA$140)&gt;=$S14),$V14,IF(AND($R14&lt;&gt;"",EDATE($D14,Milestones!$AA$140)&gt;=$R14),$U14,$T14)))=Milestones!$AB$140),TEXT(EDATE($D14,Milestones!$AA$140),"dd/mm/yy")&amp;" "&amp;Milestones!$AB$140&amp;" "&amp;Milestones!$AC$140&amp;";  ","")&amp;IF(AND(EDATE($D14,Milestones!$AA$141)&lt;=AsOfDate,IF($Q14=0,$W14,IF(AND($S14&lt;&gt;"",EDATE($D14,Milestones!$AA$141)&gt;=$S14),$V14,IF(AND($R14&lt;&gt;"",EDATE($D14,Milestones!$AA$141)&gt;=$R14),$U14,$T14)))=Milestones!$AB$141),TEXT(EDATE($D14,Milestones!$AA$141),"dd/mm/yy")&amp;" "&amp;Milestones!$AB$141&amp;" "&amp;Milestones!$AC$141&amp;";  ","")&amp;IF(AND(EDATE($D14,Milestones!$AA$142)&lt;=AsOfDate,IF($Q14=0,$W14,IF(AND($S14&lt;&gt;"",EDATE($D14,Milestones!$AA$142)&gt;=$S14),$V14,IF(AND($R14&lt;&gt;"",EDATE($D14,Milestones!$AA$142)&gt;=$R14),$U14,$T14)))=Milestones!$AB$142),TEXT(EDATE($D14,Milestones!$AA$142),"dd/mm/yy")&amp;" "&amp;Milestones!$AB$142&amp;" "&amp;Milestones!$AC$142&amp;";  ","")&amp;IF(AND(EDATE($D14,Milestones!$AA$143)&lt;=AsOfDate,IF($Q14=0,$W14,IF(AND($S14&lt;&gt;"",EDATE($D14,Milestones!$AA$143)&gt;=$S14),$V14,IF(AND($R14&lt;&gt;"",EDATE($D14,Milestones!$AA$143)&gt;=$R14),$U14,$T14)))=Milestones!$AB$143),TEXT(EDATE($D14,Milestones!$AA$143),"dd/mm/yy")&amp;" "&amp;Milestones!$AB$143&amp;" "&amp;Milestones!$AC$143&amp;";  ","")&amp;IF(AND(EDATE($D14,Milestones!$AA$144)&lt;=AsOfDate,IF($Q14=0,$W14,IF(AND($S14&lt;&gt;"",EDATE($D14,Milestones!$AA$144)&gt;=$S14),$V14,IF(AND($R14&lt;&gt;"",EDATE($D14,Milestones!$AA$144)&gt;=$R14),$U14,$T14)))=Milestones!$AB$144),TEXT(EDATE($D14,Milestones!$AA$144),"dd/mm/yy")&amp;" "&amp;Milestones!$AB$144&amp;" "&amp;Milestones!$AC$144&amp;";  ","")&amp;IF(AND(EDATE($D14,Milestones!$AA$145)&lt;=AsOfDate,IF($Q14=0,$W14,IF(AND($S14&lt;&gt;"",EDATE($D14,Milestones!$AA$145)&gt;=$S14),$V14,IF(AND($R14&lt;&gt;"",EDATE($D14,Milestones!$AA$145)&gt;=$R14),$U14,$T14)))=Milestones!$AB$145),TEXT(EDATE($D14,Milestones!$AA$145),"dd/mm/yy")&amp;" "&amp;Milestones!$AB$145&amp;" "&amp;Milestones!$AC$145&amp;";  ","")&amp;IF(AND(EDATE($D14,Milestones!$AA$146)&lt;=AsOfDate,IF($Q14=0,$W14,IF(AND($S14&lt;&gt;"",EDATE($D14,Milestones!$AA$146)&gt;=$S14),$V14,IF(AND($R14&lt;&gt;"",EDATE($D14,Milestones!$AA$146)&gt;=$R14),$U14,$T14)))=Milestones!$AB$146),TEXT(EDATE($D14,Milestones!$AA$146),"dd/mm/yy")&amp;" "&amp;Milestones!$AB$146&amp;" "&amp;Milestones!$AC$146&amp;";  ","")&amp;IF(AND(EDATE($D14,Milestones!$AA$147)&lt;=AsOfDate,IF($Q14=0,$W14,IF(AND($S14&lt;&gt;"",EDATE($D14,Milestones!$AA$147)&gt;=$S14),$V14,IF(AND($R14&lt;&gt;"",EDATE($D14,Milestones!$AA$147)&gt;=$R14),$U14,$T14)))=Milestones!$AB$147),TEXT(EDATE($D14,Milestones!$AA$147),"dd/mm/yy")&amp;" "&amp;Milestones!$AB$147&amp;" "&amp;Milestones!$AC$147&amp;";  ","")&amp;IF(AND(EDATE($D14,Milestones!$AA$148)&lt;=AsOfDate,IF($Q14=0,$W14,IF(AND($S14&lt;&gt;"",EDATE($D14,Milestones!$AA$148)&gt;=$S14),$V14,IF(AND($R14&lt;&gt;"",EDATE($D14,Milestones!$AA$148)&gt;=$R14),$U14,$T14)))=Milestones!$AB$148),TEXT(EDATE($D14,Milestones!$AA$148),"dd/mm/yy")&amp;" "&amp;Milestones!$AB$148&amp;" "&amp;Milestones!$AC$148&amp;";  ","")&amp;IF(AND(EDATE($D14,Milestones!$AA$149)&lt;=AsOfDate,IF($Q14=0,$W14,IF(AND($S14&lt;&gt;"",EDATE($D14,Milestones!$AA$149)&gt;=$S14),$V14,IF(AND($R14&lt;&gt;"",EDATE($D14,Milestones!$AA$149)&gt;=$R14),$U14,$T14)))=Milestones!$AB$149),TEXT(EDATE($D14,Milestones!$AA$149),"dd/mm/yy")&amp;" "&amp;Milestones!$AB$149&amp;" "&amp;Milestones!$AC$149&amp;";  ","")&amp;IF(AND(EDATE($D14,Milestones!$AA$150)&lt;=AsOfDate,IF($Q14=0,$W14,IF(AND($S14&lt;&gt;"",EDATE($D14,Milestones!$AA$150)&gt;=$S14),$V14,IF(AND($R14&lt;&gt;"",EDATE($D14,Milestones!$AA$150)&gt;=$R14),$U14,$T14)))=Milestones!$AB$150),TEXT(EDATE($D14,Milestones!$AA$150),"dd/mm/yy")&amp;" "&amp;Milestones!$AB$150&amp;" "&amp;Milestones!$AC$150&amp;";  ","")&amp;IF(AND(EDATE($D14,Milestones!$AA$151)&lt;=AsOfDate,IF($Q14=0,$W14,IF(AND($S14&lt;&gt;"",EDATE($D14,Milestones!$AA$151)&gt;=$S14),$V14,IF(AND($R14&lt;&gt;"",EDATE($D14,Milestones!$AA$151)&gt;=$R14),$U14,$T14)))=Milestones!$AB$151),TEXT(EDATE($D14,Milestones!$AA$151),"dd/mm/yy")&amp;" "&amp;Milestones!$AB$151&amp;" "&amp;Milestones!$AC$151&amp;";  ","")&amp;IF(AND(EDATE($D14,Milestones!$AA$152)&lt;=AsOfDate,IF($Q14=0,$W14,IF(AND($S14&lt;&gt;"",EDATE($D14,Milestones!$AA$152)&gt;=$S14),$V14,IF(AND($R14&lt;&gt;"",EDATE($D14,Milestones!$AA$152)&gt;=$R14),$U14,$T14)))=Milestones!$AB$152),TEXT(EDATE($D14,Milestones!$AA$152),"dd/mm/yy")&amp;" "&amp;Milestones!$AB$152&amp;" "&amp;Milestones!$AC$152&amp;";  ","")&amp;IF(AND(EDATE($D14,Milestones!$AA$153)&lt;=AsOfDate,IF($Q14=0,$W14,IF(AND($S14&lt;&gt;"",EDATE($D14,Milestones!$AA$153)&gt;=$S14),$V14,IF(AND($R14&lt;&gt;"",EDATE($D14,Milestones!$AA$153)&gt;=$R14),$U14,$T14)))=Milestones!$AB$153),TEXT(EDATE($D14,Milestones!$AA$153),"dd/mm/yy")&amp;" "&amp;Milestones!$AB$153&amp;" "&amp;Milestones!$AC$153&amp;";  ","")&amp;IF(AND(EDATE($D14,Milestones!$AA$154)&lt;=AsOfDate,IF($Q14=0,$W14,IF(AND($S14&lt;&gt;"",EDATE($D14,Milestones!$AA$154)&gt;=$S14),$V14,IF(AND($R14&lt;&gt;"",EDATE($D14,Milestones!$AA$154)&gt;=$R14),$U14,$T14)))=Milestones!$AB$154),TEXT(EDATE($D14,Milestones!$AA$154),"dd/mm/yy")&amp;" "&amp;Milestones!$AB$154&amp;" "&amp;Milestones!$AC$154&amp;";  ","")&amp;IF(AND(EDATE($D14,Milestones!$AA$155)&lt;=AsOfDate,IF($Q14=0,$W14,IF(AND($S14&lt;&gt;"",EDATE($D14,Milestones!$AA$155)&gt;=$S14),$V14,IF(AND($R14&lt;&gt;"",EDATE($D14,Milestones!$AA$155)&gt;=$R14),$U14,$T14)))=Milestones!$AB$155),TEXT(EDATE($D14,Milestones!$AA$155),"dd/mm/yy")&amp;" "&amp;Milestones!$AB$155&amp;" "&amp;Milestones!$AC$155&amp;";  ","")&amp;IF(AND(EDATE($D14,Milestones!$AA$156)&lt;=AsOfDate,IF($Q14=0,$W14,IF(AND($S14&lt;&gt;"",EDATE($D14,Milestones!$AA$156)&gt;=$S14),$V14,IF(AND($R14&lt;&gt;"",EDATE($D14,Milestones!$AA$156)&gt;=$R14),$U14,$T14)))=Milestones!$AB$156),TEXT(EDATE($D14,Milestones!$AA$156),"dd/mm/yy")&amp;" "&amp;Milestones!$AB$156&amp;" "&amp;Milestones!$AC$156&amp;";  ","")&amp;IF(AND(EDATE($D14,Milestones!$AA$157)&lt;=AsOfDate,IF($Q14=0,$W14,IF(AND($S14&lt;&gt;"",EDATE($D14,Milestones!$AA$157)&gt;=$S14),$V14,IF(AND($R14&lt;&gt;"",EDATE($D14,Milestones!$AA$157)&gt;=$R14),$U14,$T14)))=Milestones!$AB$157),TEXT(EDATE($D14,Milestones!$AA$157),"dd/mm/yy")&amp;" "&amp;Milestones!$AB$157&amp;" "&amp;Milestones!$AC$157&amp;";  ","")&amp;IF(AND(EDATE($D14,Milestones!$AA$158)&lt;=AsOfDate,IF($Q14=0,$W14,IF(AND($S14&lt;&gt;"",EDATE($D14,Milestones!$AA$158)&gt;=$S14),$V14,IF(AND($R14&lt;&gt;"",EDATE($D14,Milestones!$AA$158)&gt;=$R14),$U14,$T14)))=Milestones!$AB$158),TEXT(EDATE($D14,Milestones!$AA$158),"dd/mm/yy")&amp;" "&amp;Milestones!$AB$158&amp;" "&amp;Milestones!$AC$158&amp;";  ","")&amp;IF(AND(EDATE($D14,Milestones!$AA$159)&lt;=AsOfDate,IF($Q14=0,$W14,IF(AND($S14&lt;&gt;"",EDATE($D14,Milestones!$AA$159)&gt;=$S14),$V14,IF(AND($R14&lt;&gt;"",EDATE($D14,Milestones!$AA$159)&gt;=$R14),$U14,$T14)))=Milestones!$AB$159),TEXT(EDATE($D14,Milestones!$AA$159),"dd/mm/yy")&amp;" "&amp;Milestones!$AB$159&amp;" "&amp;Milestones!$AC$159&amp;";  ",""))</f>
        <v/>
      </c>
      <c r="O14" s="0" t="str">
        <f aca="false">IF(OR($A14="",$D14=""),"",IF(AND(EDATE($D14,Milestones!$AA$160)&lt;=AsOfDate,IF($Q14=0,$W14,IF(AND($S14&lt;&gt;"",EDATE($D14,Milestones!$AA$160)&gt;=$S14),$V14,IF(AND($R14&lt;&gt;"",EDATE($D14,Milestones!$AA$160)&gt;=$R14),$U14,$T14)))=Milestones!$AB$160),TEXT(EDATE($D14,Milestones!$AA$160),"dd/mm/yy")&amp;" "&amp;Milestones!$AB$160&amp;" "&amp;Milestones!$AC$160&amp;";  ","")&amp;IF(AND(EDATE($D14,Milestones!$AA$161)&lt;=AsOfDate,IF($Q14=0,$W14,IF(AND($S14&lt;&gt;"",EDATE($D14,Milestones!$AA$161)&gt;=$S14),$V14,IF(AND($R14&lt;&gt;"",EDATE($D14,Milestones!$AA$161)&gt;=$R14),$U14,$T14)))=Milestones!$AB$161),TEXT(EDATE($D14,Milestones!$AA$161),"dd/mm/yy")&amp;" "&amp;Milestones!$AB$161&amp;" "&amp;Milestones!$AC$161&amp;";  ","")&amp;IF(AND(EDATE($D14,Milestones!$AA$162)&lt;=AsOfDate,IF($Q14=0,$W14,IF(AND($S14&lt;&gt;"",EDATE($D14,Milestones!$AA$162)&gt;=$S14),$V14,IF(AND($R14&lt;&gt;"",EDATE($D14,Milestones!$AA$162)&gt;=$R14),$U14,$T14)))=Milestones!$AB$162),TEXT(EDATE($D14,Milestones!$AA$162),"dd/mm/yy")&amp;" "&amp;Milestones!$AB$162&amp;" "&amp;Milestones!$AC$162&amp;";  ","")&amp;IF(AND(EDATE($D14,Milestones!$AA$163)&lt;=AsOfDate,IF($Q14=0,$W14,IF(AND($S14&lt;&gt;"",EDATE($D14,Milestones!$AA$163)&gt;=$S14),$V14,IF(AND($R14&lt;&gt;"",EDATE($D14,Milestones!$AA$163)&gt;=$R14),$U14,$T14)))=Milestones!$AB$163),TEXT(EDATE($D14,Milestones!$AA$163),"dd/mm/yy")&amp;" "&amp;Milestones!$AB$163&amp;" "&amp;Milestones!$AC$163&amp;";  ","")&amp;IF(AND(EDATE($D14,Milestones!$AA$164)&lt;=AsOfDate,IF($Q14=0,$W14,IF(AND($S14&lt;&gt;"",EDATE($D14,Milestones!$AA$164)&gt;=$S14),$V14,IF(AND($R14&lt;&gt;"",EDATE($D14,Milestones!$AA$164)&gt;=$R14),$U14,$T14)))=Milestones!$AB$164),TEXT(EDATE($D14,Milestones!$AA$164),"dd/mm/yy")&amp;" "&amp;Milestones!$AB$164&amp;" "&amp;Milestones!$AC$164&amp;";  ","")&amp;IF(AND(EDATE($D14,Milestones!$AA$165)&lt;=AsOfDate,IF($Q14=0,$W14,IF(AND($S14&lt;&gt;"",EDATE($D14,Milestones!$AA$165)&gt;=$S14),$V14,IF(AND($R14&lt;&gt;"",EDATE($D14,Milestones!$AA$165)&gt;=$R14),$U14,$T14)))=Milestones!$AB$165),TEXT(EDATE($D14,Milestones!$AA$165),"dd/mm/yy")&amp;" "&amp;Milestones!$AB$165&amp;" "&amp;Milestones!$AC$165&amp;";  ","")&amp;IF(AND(EDATE($D14,Milestones!$AA$166)&lt;=AsOfDate,IF($Q14=0,$W14,IF(AND($S14&lt;&gt;"",EDATE($D14,Milestones!$AA$166)&gt;=$S14),$V14,IF(AND($R14&lt;&gt;"",EDATE($D14,Milestones!$AA$166)&gt;=$R14),$U14,$T14)))=Milestones!$AB$166),TEXT(EDATE($D14,Milestones!$AA$166),"dd/mm/yy")&amp;" "&amp;Milestones!$AB$166&amp;" "&amp;Milestones!$AC$166&amp;";  ","")&amp;IF(AND(EDATE($D14,Milestones!$AA$167)&lt;=AsOfDate,IF($Q14=0,$W14,IF(AND($S14&lt;&gt;"",EDATE($D14,Milestones!$AA$167)&gt;=$S14),$V14,IF(AND($R14&lt;&gt;"",EDATE($D14,Milestones!$AA$167)&gt;=$R14),$U14,$T14)))=Milestones!$AB$167),TEXT(EDATE($D14,Milestones!$AA$167),"dd/mm/yy")&amp;" "&amp;Milestones!$AB$167&amp;" "&amp;Milestones!$AC$167&amp;";  ","")&amp;IF(AND(EDATE($D14,Milestones!$AA$168)&lt;=AsOfDate,IF($Q14=0,$W14,IF(AND($S14&lt;&gt;"",EDATE($D14,Milestones!$AA$168)&gt;=$S14),$V14,IF(AND($R14&lt;&gt;"",EDATE($D14,Milestones!$AA$168)&gt;=$R14),$U14,$T14)))=Milestones!$AB$168),TEXT(EDATE($D14,Milestones!$AA$168),"dd/mm/yy")&amp;" "&amp;Milestones!$AB$168&amp;" "&amp;Milestones!$AC$168&amp;";  ","")&amp;IF(AND(EDATE($D14,Milestones!$AA$169)&lt;=AsOfDate,IF($Q14=0,$W14,IF(AND($S14&lt;&gt;"",EDATE($D14,Milestones!$AA$169)&gt;=$S14),$V14,IF(AND($R14&lt;&gt;"",EDATE($D14,Milestones!$AA$169)&gt;=$R14),$U14,$T14)))=Milestones!$AB$169),TEXT(EDATE($D14,Milestones!$AA$169),"dd/mm/yy")&amp;" "&amp;Milestones!$AB$169&amp;" "&amp;Milestones!$AC$169&amp;";  ","")&amp;IF(AND(EDATE($D14,Milestones!$AA$170)&lt;=AsOfDate,IF($Q14=0,$W14,IF(AND($S14&lt;&gt;"",EDATE($D14,Milestones!$AA$170)&gt;=$S14),$V14,IF(AND($R14&lt;&gt;"",EDATE($D14,Milestones!$AA$170)&gt;=$R14),$U14,$T14)))=Milestones!$AB$170),TEXT(EDATE($D14,Milestones!$AA$170),"dd/mm/yy")&amp;" "&amp;Milestones!$AB$170&amp;" "&amp;Milestones!$AC$170&amp;";  ","")&amp;IF(AND(EDATE($D14,Milestones!$AA$171)&lt;=AsOfDate,IF($Q14=0,$W14,IF(AND($S14&lt;&gt;"",EDATE($D14,Milestones!$AA$171)&gt;=$S14),$V14,IF(AND($R14&lt;&gt;"",EDATE($D14,Milestones!$AA$171)&gt;=$R14),$U14,$T14)))=Milestones!$AB$171),TEXT(EDATE($D14,Milestones!$AA$171),"dd/mm/yy")&amp;" "&amp;Milestones!$AB$171&amp;" "&amp;Milestones!$AC$171&amp;";  ","")&amp;IF(AND(EDATE($D14,Milestones!$AA$172)&lt;=AsOfDate,IF($Q14=0,$W14,IF(AND($S14&lt;&gt;"",EDATE($D14,Milestones!$AA$172)&gt;=$S14),$V14,IF(AND($R14&lt;&gt;"",EDATE($D14,Milestones!$AA$172)&gt;=$R14),$U14,$T14)))=Milestones!$AB$172),TEXT(EDATE($D14,Milestones!$AA$172),"dd/mm/yy")&amp;" "&amp;Milestones!$AB$172&amp;" "&amp;Milestones!$AC$172&amp;";  ","")&amp;IF(AND(EDATE($D14,Milestones!$AA$173)&lt;=AsOfDate,IF($Q14=0,$W14,IF(AND($S14&lt;&gt;"",EDATE($D14,Milestones!$AA$173)&gt;=$S14),$V14,IF(AND($R14&lt;&gt;"",EDATE($D14,Milestones!$AA$173)&gt;=$R14),$U14,$T14)))=Milestones!$AB$173),TEXT(EDATE($D14,Milestones!$AA$173),"dd/mm/yy")&amp;" "&amp;Milestones!$AB$173&amp;" "&amp;Milestones!$AC$173&amp;";  ","")&amp;IF(AND(EDATE($D14,Milestones!$AA$174)&lt;=AsOfDate,IF($Q14=0,$W14,IF(AND($S14&lt;&gt;"",EDATE($D14,Milestones!$AA$174)&gt;=$S14),$V14,IF(AND($R14&lt;&gt;"",EDATE($D14,Milestones!$AA$174)&gt;=$R14),$U14,$T14)))=Milestones!$AB$174),TEXT(EDATE($D14,Milestones!$AA$174),"dd/mm/yy")&amp;" "&amp;Milestones!$AB$174&amp;" "&amp;Milestones!$AC$174&amp;";  ","")&amp;IF(AND(EDATE($D14,Milestones!$AA$175)&lt;=AsOfDate,IF($Q14=0,$W14,IF(AND($S14&lt;&gt;"",EDATE($D14,Milestones!$AA$175)&gt;=$S14),$V14,IF(AND($R14&lt;&gt;"",EDATE($D14,Milestones!$AA$175)&gt;=$R14),$U14,$T14)))=Milestones!$AB$175),TEXT(EDATE($D14,Milestones!$AA$175),"dd/mm/yy")&amp;" "&amp;Milestones!$AB$175&amp;" "&amp;Milestones!$AC$175&amp;";  ","")&amp;IF(AND(EDATE($D14,Milestones!$AA$176)&lt;=AsOfDate,IF($Q14=0,$W14,IF(AND($S14&lt;&gt;"",EDATE($D14,Milestones!$AA$176)&gt;=$S14),$V14,IF(AND($R14&lt;&gt;"",EDATE($D14,Milestones!$AA$176)&gt;=$R14),$U14,$T14)))=Milestones!$AB$176),TEXT(EDATE($D14,Milestones!$AA$176),"dd/mm/yy")&amp;" "&amp;Milestones!$AB$176&amp;" "&amp;Milestones!$AC$176&amp;";  ","")&amp;IF(AND(EDATE($D14,Milestones!$AA$177)&lt;=AsOfDate,IF($Q14=0,$W14,IF(AND($S14&lt;&gt;"",EDATE($D14,Milestones!$AA$177)&gt;=$S14),$V14,IF(AND($R14&lt;&gt;"",EDATE($D14,Milestones!$AA$177)&gt;=$R14),$U14,$T14)))=Milestones!$AB$177),TEXT(EDATE($D14,Milestones!$AA$177),"dd/mm/yy")&amp;" "&amp;Milestones!$AB$177&amp;" "&amp;Milestones!$AC$177&amp;";  ","")&amp;IF(AND(EDATE($D14,Milestones!$AA$178)&lt;=AsOfDate,IF($Q14=0,$W14,IF(AND($S14&lt;&gt;"",EDATE($D14,Milestones!$AA$178)&gt;=$S14),$V14,IF(AND($R14&lt;&gt;"",EDATE($D14,Milestones!$AA$178)&gt;=$R14),$U14,$T14)))=Milestones!$AB$178),TEXT(EDATE($D14,Milestones!$AA$178),"dd/mm/yy")&amp;" "&amp;Milestones!$AB$178&amp;" "&amp;Milestones!$AC$178&amp;";  ","")&amp;IF(AND(EDATE($D14,Milestones!$AA$179)&lt;=AsOfDate,IF($Q14=0,$W14,IF(AND($S14&lt;&gt;"",EDATE($D14,Milestones!$AA$179)&gt;=$S14),$V14,IF(AND($R14&lt;&gt;"",EDATE($D14,Milestones!$AA$179)&gt;=$R14),$U14,$T14)))=Milestones!$AB$179),TEXT(EDATE($D14,Milestones!$AA$179),"dd/mm/yy")&amp;" "&amp;Milestones!$AB$179&amp;" "&amp;Milestones!$AC$179&amp;";  ",""))</f>
        <v/>
      </c>
      <c r="P14" s="0" t="str">
        <f aca="false">IF(OR($A14="",$D14=""),"",IF(AND(EDATE($D14,Milestones!$AA$180)&lt;=AsOfDate,IF($Q14=0,$W14,IF(AND($S14&lt;&gt;"",EDATE($D14,Milestones!$AA$180)&gt;=$S14),$V14,IF(AND($R14&lt;&gt;"",EDATE($D14,Milestones!$AA$180)&gt;=$R14),$U14,$T14)))=Milestones!$AB$180),TEXT(EDATE($D14,Milestones!$AA$180),"dd/mm/yy")&amp;" "&amp;Milestones!$AB$180&amp;" "&amp;Milestones!$AC$180&amp;";  ","")&amp;IF(AND(EDATE($D14,Milestones!$AA$181)&lt;=AsOfDate,IF($Q14=0,$W14,IF(AND($S14&lt;&gt;"",EDATE($D14,Milestones!$AA$181)&gt;=$S14),$V14,IF(AND($R14&lt;&gt;"",EDATE($D14,Milestones!$AA$181)&gt;=$R14),$U14,$T14)))=Milestones!$AB$181),TEXT(EDATE($D14,Milestones!$AA$181),"dd/mm/yy")&amp;" "&amp;Milestones!$AB$181&amp;" "&amp;Milestones!$AC$181&amp;";  ","")&amp;IF(AND(EDATE($D14,Milestones!$AA$182)&lt;=AsOfDate,IF($Q14=0,$W14,IF(AND($S14&lt;&gt;"",EDATE($D14,Milestones!$AA$182)&gt;=$S14),$V14,IF(AND($R14&lt;&gt;"",EDATE($D14,Milestones!$AA$182)&gt;=$R14),$U14,$T14)))=Milestones!$AB$182),TEXT(EDATE($D14,Milestones!$AA$182),"dd/mm/yy")&amp;" "&amp;Milestones!$AB$182&amp;" "&amp;Milestones!$AC$182&amp;";  ","")&amp;IF(AND(EDATE($D14,Milestones!$AA$183)&lt;=AsOfDate,IF($Q14=0,$W14,IF(AND($S14&lt;&gt;"",EDATE($D14,Milestones!$AA$183)&gt;=$S14),$V14,IF(AND($R14&lt;&gt;"",EDATE($D14,Milestones!$AA$183)&gt;=$R14),$U14,$T14)))=Milestones!$AB$183),TEXT(EDATE($D14,Milestones!$AA$183),"dd/mm/yy")&amp;" "&amp;Milestones!$AB$183&amp;" "&amp;Milestones!$AC$183&amp;";  ","")&amp;IF(AND(EDATE($D14,Milestones!$AA$184)&lt;=AsOfDate,IF($Q14=0,$W14,IF(AND($S14&lt;&gt;"",EDATE($D14,Milestones!$AA$184)&gt;=$S14),$V14,IF(AND($R14&lt;&gt;"",EDATE($D14,Milestones!$AA$184)&gt;=$R14),$U14,$T14)))=Milestones!$AB$184),TEXT(EDATE($D14,Milestones!$AA$184),"dd/mm/yy")&amp;" "&amp;Milestones!$AB$184&amp;" "&amp;Milestones!$AC$184&amp;";  ","")&amp;IF(AND(EDATE($D14,Milestones!$AA$185)&lt;=AsOfDate,IF($Q14=0,$W14,IF(AND($S14&lt;&gt;"",EDATE($D14,Milestones!$AA$185)&gt;=$S14),$V14,IF(AND($R14&lt;&gt;"",EDATE($D14,Milestones!$AA$185)&gt;=$R14),$U14,$T14)))=Milestones!$AB$185),TEXT(EDATE($D14,Milestones!$AA$185),"dd/mm/yy")&amp;" "&amp;Milestones!$AB$185&amp;" "&amp;Milestones!$AC$185&amp;";  ","")&amp;IF(AND(EDATE($D14,Milestones!$AA$186)&lt;=AsOfDate,IF($Q14=0,$W14,IF(AND($S14&lt;&gt;"",EDATE($D14,Milestones!$AA$186)&gt;=$S14),$V14,IF(AND($R14&lt;&gt;"",EDATE($D14,Milestones!$AA$186)&gt;=$R14),$U14,$T14)))=Milestones!$AB$186),TEXT(EDATE($D14,Milestones!$AA$186),"dd/mm/yy")&amp;" "&amp;Milestones!$AB$186&amp;" "&amp;Milestones!$AC$186&amp;";  ","")&amp;IF(AND(EDATE($D14,Milestones!$AA$187)&lt;=AsOfDate,IF($Q14=0,$W14,IF(AND($S14&lt;&gt;"",EDATE($D14,Milestones!$AA$187)&gt;=$S14),$V14,IF(AND($R14&lt;&gt;"",EDATE($D14,Milestones!$AA$187)&gt;=$R14),$U14,$T14)))=Milestones!$AB$187),TEXT(EDATE($D14,Milestones!$AA$187),"dd/mm/yy")&amp;" "&amp;Milestones!$AB$187&amp;" "&amp;Milestones!$AC$187&amp;";  ","")&amp;IF(AND(EDATE($D14,Milestones!$AA$188)&lt;=AsOfDate,IF($Q14=0,$W14,IF(AND($S14&lt;&gt;"",EDATE($D14,Milestones!$AA$188)&gt;=$S14),$V14,IF(AND($R14&lt;&gt;"",EDATE($D14,Milestones!$AA$188)&gt;=$R14),$U14,$T14)))=Milestones!$AB$188),TEXT(EDATE($D14,Milestones!$AA$188),"dd/mm/yy")&amp;" "&amp;Milestones!$AB$188&amp;" "&amp;Milestones!$AC$188&amp;";  ","")&amp;IF(AND(EDATE($D14,Milestones!$AA$189)&lt;=AsOfDate,IF($Q14=0,$W14,IF(AND($S14&lt;&gt;"",EDATE($D14,Milestones!$AA$189)&gt;=$S14),$V14,IF(AND($R14&lt;&gt;"",EDATE($D14,Milestones!$AA$189)&gt;=$R14),$U14,$T14)))=Milestones!$AB$189),TEXT(EDATE($D14,Milestones!$AA$189),"dd/mm/yy")&amp;" "&amp;Milestones!$AB$189&amp;" "&amp;Milestones!$AC$189&amp;";  ","")&amp;IF(AND(EDATE($D14,Milestones!$AA$190)&lt;=AsOfDate,IF($Q14=0,$W14,IF(AND($S14&lt;&gt;"",EDATE($D14,Milestones!$AA$190)&gt;=$S14),$V14,IF(AND($R14&lt;&gt;"",EDATE($D14,Milestones!$AA$190)&gt;=$R14),$U14,$T14)))=Milestones!$AB$190),TEXT(EDATE($D14,Milestones!$AA$190),"dd/mm/yy")&amp;" "&amp;Milestones!$AB$190&amp;" "&amp;Milestones!$AC$190&amp;";  ","")&amp;IF(AND(EDATE($D14,Milestones!$AA$191)&lt;=AsOfDate,IF($Q14=0,$W14,IF(AND($S14&lt;&gt;"",EDATE($D14,Milestones!$AA$191)&gt;=$S14),$V14,IF(AND($R14&lt;&gt;"",EDATE($D14,Milestones!$AA$191)&gt;=$R14),$U14,$T14)))=Milestones!$AB$191),TEXT(EDATE($D14,Milestones!$AA$191),"dd/mm/yy")&amp;" "&amp;Milestones!$AB$191&amp;" "&amp;Milestones!$AC$191&amp;";  ","")&amp;IF(AND(EDATE($D14,Milestones!$AA$192)&lt;=AsOfDate,IF($Q14=0,$W14,IF(AND($S14&lt;&gt;"",EDATE($D14,Milestones!$AA$192)&gt;=$S14),$V14,IF(AND($R14&lt;&gt;"",EDATE($D14,Milestones!$AA$192)&gt;=$R14),$U14,$T14)))=Milestones!$AB$192),TEXT(EDATE($D14,Milestones!$AA$192),"dd/mm/yy")&amp;" "&amp;Milestones!$AB$192&amp;" "&amp;Milestones!$AC$192&amp;";  ","")&amp;IF(AND(EDATE($D14,Milestones!$AA$193)&lt;=AsOfDate,IF($Q14=0,$W14,IF(AND($S14&lt;&gt;"",EDATE($D14,Milestones!$AA$193)&gt;=$S14),$V14,IF(AND($R14&lt;&gt;"",EDATE($D14,Milestones!$AA$193)&gt;=$R14),$U14,$T14)))=Milestones!$AB$193),TEXT(EDATE($D14,Milestones!$AA$193),"dd/mm/yy")&amp;" "&amp;Milestones!$AB$193&amp;" "&amp;Milestones!$AC$193&amp;";  ","")&amp;IF(AND(EDATE($D14,Milestones!$AA$194)&lt;=AsOfDate,IF($Q14=0,$W14,IF(AND($S14&lt;&gt;"",EDATE($D14,Milestones!$AA$194)&gt;=$S14),$V14,IF(AND($R14&lt;&gt;"",EDATE($D14,Milestones!$AA$194)&gt;=$R14),$U14,$T14)))=Milestones!$AB$194),TEXT(EDATE($D14,Milestones!$AA$194),"dd/mm/yy")&amp;" "&amp;Milestones!$AB$194&amp;" "&amp;Milestones!$AC$194&amp;";  ","")&amp;IF(AND(EDATE($D14,Milestones!$AA$195)&lt;=AsOfDate,IF($Q14=0,$W14,IF(AND($S14&lt;&gt;"",EDATE($D14,Milestones!$AA$195)&gt;=$S14),$V14,IF(AND($R14&lt;&gt;"",EDATE($D14,Milestones!$AA$195)&gt;=$R14),$U14,$T14)))=Milestones!$AB$195),TEXT(EDATE($D14,Milestones!$AA$195),"dd/mm/yy")&amp;" "&amp;Milestones!$AB$195&amp;" "&amp;Milestones!$AC$195&amp;";  ","")&amp;IF(AND(EDATE($D14,Milestones!$AA$196)&lt;=AsOfDate,IF($Q14=0,$W14,IF(AND($S14&lt;&gt;"",EDATE($D14,Milestones!$AA$196)&gt;=$S14),$V14,IF(AND($R14&lt;&gt;"",EDATE($D14,Milestones!$AA$196)&gt;=$R14),$U14,$T14)))=Milestones!$AB$196),TEXT(EDATE($D14,Milestones!$AA$196),"dd/mm/yy")&amp;" "&amp;Milestones!$AB$196&amp;" "&amp;Milestones!$AC$196&amp;";  ","")&amp;IF(AND(EDATE($D14,Milestones!$AA$197)&lt;=AsOfDate,IF($Q14=0,$W14,IF(AND($S14&lt;&gt;"",EDATE($D14,Milestones!$AA$197)&gt;=$S14),$V14,IF(AND($R14&lt;&gt;"",EDATE($D14,Milestones!$AA$197)&gt;=$R14),$U14,$T14)))=Milestones!$AB$197),TEXT(EDATE($D14,Milestones!$AA$197),"dd/mm/yy")&amp;" "&amp;Milestones!$AB$197&amp;" "&amp;Milestones!$AC$197&amp;";  ","")&amp;IF(AND(EDATE($D14,Milestones!$AA$198)&lt;=AsOfDate,IF($Q14=0,$W14,IF(AND($S14&lt;&gt;"",EDATE($D14,Milestones!$AA$198)&gt;=$S14),$V14,IF(AND($R14&lt;&gt;"",EDATE($D14,Milestones!$AA$198)&gt;=$R14),$U14,$T14)))=Milestones!$AB$198),TEXT(EDATE($D14,Milestones!$AA$198),"dd/mm/yy")&amp;" "&amp;Milestones!$AB$198&amp;" "&amp;Milestones!$AC$198&amp;";  ","")&amp;IF(AND(EDATE($D14,Milestones!$AA$199)&lt;=AsOfDate,IF($Q14=0,$W14,IF(AND($S14&lt;&gt;"",EDATE($D14,Milestones!$AA$199)&gt;=$S14),$V14,IF(AND($R14&lt;&gt;"",EDATE($D14,Milestones!$AA$199)&gt;=$R14),$U14,$T14)))=Milestones!$AB$199),TEXT(EDATE($D14,Milestones!$AA$199),"dd/mm/yy")&amp;" "&amp;Milestones!$AB$199&amp;" "&amp;Milestones!$AC$199&amp;";  ",""))</f>
        <v/>
      </c>
      <c r="Q14" s="0" t="str">
        <f aca="false">IF(Staff!$A14="","",Staff!$AG14)</f>
        <v/>
      </c>
      <c r="R14" s="0" t="str">
        <f aca="false">IF(Staff!$A14="","",Staff!$AI14)</f>
        <v/>
      </c>
      <c r="S14" s="0" t="str">
        <f aca="false">IF(Staff!$A14="","",Staff!$AJ14)</f>
        <v/>
      </c>
      <c r="T14" s="0" t="str">
        <f aca="false">IF(Staff!$A14="","",Staff!$AN14)</f>
        <v/>
      </c>
      <c r="U14" s="0" t="str">
        <f aca="false">IF(Staff!$A14="","",Staff!$AO14)</f>
        <v/>
      </c>
      <c r="V14" s="0" t="str">
        <f aca="false">IF(Staff!$A14="","",Staff!$AP14)</f>
        <v/>
      </c>
      <c r="W14" s="0" t="str">
        <f aca="false">IF(Staff!$A14="","",Staff!$AQ14)</f>
        <v/>
      </c>
    </row>
    <row r="15" customFormat="false" ht="15" hidden="false" customHeight="false" outlineLevel="0" collapsed="false">
      <c r="A15" s="13" t="str">
        <f aca="false">IF(Staff!$A15="","",Staff!$A15)</f>
        <v/>
      </c>
      <c r="B15" s="13" t="str">
        <f aca="false">IF(Staff!$A15="","",Staff!$B15)</f>
        <v/>
      </c>
      <c r="C15" s="13" t="str">
        <f aca="false">IF(Staff!$A15="","",Staff!$C15)</f>
        <v/>
      </c>
      <c r="D15" s="11" t="str">
        <f aca="false">IF(Staff!$A15="","",Staff!$AF15)</f>
        <v/>
      </c>
      <c r="E15" s="13" t="str">
        <f aca="false">IF(Staff!$A15="","",Staff!$O15)</f>
        <v/>
      </c>
      <c r="F15" s="13" t="str">
        <f aca="false">IF(E15="","",E15*HoursPerDay)</f>
        <v/>
      </c>
      <c r="G15" s="26" t="str">
        <f aca="false">IF($A15="","",H15&amp;I15&amp;J15&amp;K15&amp;L15&amp;M15&amp;N15&amp;O15&amp;P15)</f>
        <v/>
      </c>
      <c r="H15" s="0" t="str">
        <f aca="false">IF(OR($A15="",$D15=""),"",IF(AND(EDATE($D15,Milestones!$AA$20)&lt;=AsOfDate,IF($Q15=0,$W15,IF(AND($S15&lt;&gt;"",EDATE($D15,Milestones!$AA$20)&gt;=$S15),$V15,IF(AND($R15&lt;&gt;"",EDATE($D15,Milestones!$AA$20)&gt;=$R15),$U15,$T15)))=Milestones!$AB$20),TEXT(EDATE($D15,Milestones!$AA$20),"dd/mm/yy")&amp;" "&amp;Milestones!$AB$20&amp;" "&amp;Milestones!$AC$20&amp;";  ","")&amp;IF(AND(EDATE($D15,Milestones!$AA$21)&lt;=AsOfDate,IF($Q15=0,$W15,IF(AND($S15&lt;&gt;"",EDATE($D15,Milestones!$AA$21)&gt;=$S15),$V15,IF(AND($R15&lt;&gt;"",EDATE($D15,Milestones!$AA$21)&gt;=$R15),$U15,$T15)))=Milestones!$AB$21),TEXT(EDATE($D15,Milestones!$AA$21),"dd/mm/yy")&amp;" "&amp;Milestones!$AB$21&amp;" "&amp;Milestones!$AC$21&amp;";  ","")&amp;IF(AND(EDATE($D15,Milestones!$AA$22)&lt;=AsOfDate,IF($Q15=0,$W15,IF(AND($S15&lt;&gt;"",EDATE($D15,Milestones!$AA$22)&gt;=$S15),$V15,IF(AND($R15&lt;&gt;"",EDATE($D15,Milestones!$AA$22)&gt;=$R15),$U15,$T15)))=Milestones!$AB$22),TEXT(EDATE($D15,Milestones!$AA$22),"dd/mm/yy")&amp;" "&amp;Milestones!$AB$22&amp;" "&amp;Milestones!$AC$22&amp;";  ","")&amp;IF(AND(EDATE($D15,Milestones!$AA$23)&lt;=AsOfDate,IF($Q15=0,$W15,IF(AND($S15&lt;&gt;"",EDATE($D15,Milestones!$AA$23)&gt;=$S15),$V15,IF(AND($R15&lt;&gt;"",EDATE($D15,Milestones!$AA$23)&gt;=$R15),$U15,$T15)))=Milestones!$AB$23),TEXT(EDATE($D15,Milestones!$AA$23),"dd/mm/yy")&amp;" "&amp;Milestones!$AB$23&amp;" "&amp;Milestones!$AC$23&amp;";  ","")&amp;IF(AND(EDATE($D15,Milestones!$AA$24)&lt;=AsOfDate,IF($Q15=0,$W15,IF(AND($S15&lt;&gt;"",EDATE($D15,Milestones!$AA$24)&gt;=$S15),$V15,IF(AND($R15&lt;&gt;"",EDATE($D15,Milestones!$AA$24)&gt;=$R15),$U15,$T15)))=Milestones!$AB$24),TEXT(EDATE($D15,Milestones!$AA$24),"dd/mm/yy")&amp;" "&amp;Milestones!$AB$24&amp;" "&amp;Milestones!$AC$24&amp;";  ","")&amp;IF(AND(EDATE($D15,Milestones!$AA$25)&lt;=AsOfDate,IF($Q15=0,$W15,IF(AND($S15&lt;&gt;"",EDATE($D15,Milestones!$AA$25)&gt;=$S15),$V15,IF(AND($R15&lt;&gt;"",EDATE($D15,Milestones!$AA$25)&gt;=$R15),$U15,$T15)))=Milestones!$AB$25),TEXT(EDATE($D15,Milestones!$AA$25),"dd/mm/yy")&amp;" "&amp;Milestones!$AB$25&amp;" "&amp;Milestones!$AC$25&amp;";  ","")&amp;IF(AND(EDATE($D15,Milestones!$AA$26)&lt;=AsOfDate,IF($Q15=0,$W15,IF(AND($S15&lt;&gt;"",EDATE($D15,Milestones!$AA$26)&gt;=$S15),$V15,IF(AND($R15&lt;&gt;"",EDATE($D15,Milestones!$AA$26)&gt;=$R15),$U15,$T15)))=Milestones!$AB$26),TEXT(EDATE($D15,Milestones!$AA$26),"dd/mm/yy")&amp;" "&amp;Milestones!$AB$26&amp;" "&amp;Milestones!$AC$26&amp;";  ","")&amp;IF(AND(EDATE($D15,Milestones!$AA$27)&lt;=AsOfDate,IF($Q15=0,$W15,IF(AND($S15&lt;&gt;"",EDATE($D15,Milestones!$AA$27)&gt;=$S15),$V15,IF(AND($R15&lt;&gt;"",EDATE($D15,Milestones!$AA$27)&gt;=$R15),$U15,$T15)))=Milestones!$AB$27),TEXT(EDATE($D15,Milestones!$AA$27),"dd/mm/yy")&amp;" "&amp;Milestones!$AB$27&amp;" "&amp;Milestones!$AC$27&amp;";  ","")&amp;IF(AND(EDATE($D15,Milestones!$AA$28)&lt;=AsOfDate,IF($Q15=0,$W15,IF(AND($S15&lt;&gt;"",EDATE($D15,Milestones!$AA$28)&gt;=$S15),$V15,IF(AND($R15&lt;&gt;"",EDATE($D15,Milestones!$AA$28)&gt;=$R15),$U15,$T15)))=Milestones!$AB$28),TEXT(EDATE($D15,Milestones!$AA$28),"dd/mm/yy")&amp;" "&amp;Milestones!$AB$28&amp;" "&amp;Milestones!$AC$28&amp;";  ","")&amp;IF(AND(EDATE($D15,Milestones!$AA$29)&lt;=AsOfDate,IF($Q15=0,$W15,IF(AND($S15&lt;&gt;"",EDATE($D15,Milestones!$AA$29)&gt;=$S15),$V15,IF(AND($R15&lt;&gt;"",EDATE($D15,Milestones!$AA$29)&gt;=$R15),$U15,$T15)))=Milestones!$AB$29),TEXT(EDATE($D15,Milestones!$AA$29),"dd/mm/yy")&amp;" "&amp;Milestones!$AB$29&amp;" "&amp;Milestones!$AC$29&amp;";  ","")&amp;IF(AND(EDATE($D15,Milestones!$AA$30)&lt;=AsOfDate,IF($Q15=0,$W15,IF(AND($S15&lt;&gt;"",EDATE($D15,Milestones!$AA$30)&gt;=$S15),$V15,IF(AND($R15&lt;&gt;"",EDATE($D15,Milestones!$AA$30)&gt;=$R15),$U15,$T15)))=Milestones!$AB$30),TEXT(EDATE($D15,Milestones!$AA$30),"dd/mm/yy")&amp;" "&amp;Milestones!$AB$30&amp;" "&amp;Milestones!$AC$30&amp;";  ","")&amp;IF(AND(EDATE($D15,Milestones!$AA$31)&lt;=AsOfDate,IF($Q15=0,$W15,IF(AND($S15&lt;&gt;"",EDATE($D15,Milestones!$AA$31)&gt;=$S15),$V15,IF(AND($R15&lt;&gt;"",EDATE($D15,Milestones!$AA$31)&gt;=$R15),$U15,$T15)))=Milestones!$AB$31),TEXT(EDATE($D15,Milestones!$AA$31),"dd/mm/yy")&amp;" "&amp;Milestones!$AB$31&amp;" "&amp;Milestones!$AC$31&amp;";  ","")&amp;IF(AND(EDATE($D15,Milestones!$AA$32)&lt;=AsOfDate,IF($Q15=0,$W15,IF(AND($S15&lt;&gt;"",EDATE($D15,Milestones!$AA$32)&gt;=$S15),$V15,IF(AND($R15&lt;&gt;"",EDATE($D15,Milestones!$AA$32)&gt;=$R15),$U15,$T15)))=Milestones!$AB$32),TEXT(EDATE($D15,Milestones!$AA$32),"dd/mm/yy")&amp;" "&amp;Milestones!$AB$32&amp;" "&amp;Milestones!$AC$32&amp;";  ","")&amp;IF(AND(EDATE($D15,Milestones!$AA$33)&lt;=AsOfDate,IF($Q15=0,$W15,IF(AND($S15&lt;&gt;"",EDATE($D15,Milestones!$AA$33)&gt;=$S15),$V15,IF(AND($R15&lt;&gt;"",EDATE($D15,Milestones!$AA$33)&gt;=$R15),$U15,$T15)))=Milestones!$AB$33),TEXT(EDATE($D15,Milestones!$AA$33),"dd/mm/yy")&amp;" "&amp;Milestones!$AB$33&amp;" "&amp;Milestones!$AC$33&amp;";  ","")&amp;IF(AND(EDATE($D15,Milestones!$AA$34)&lt;=AsOfDate,IF($Q15=0,$W15,IF(AND($S15&lt;&gt;"",EDATE($D15,Milestones!$AA$34)&gt;=$S15),$V15,IF(AND($R15&lt;&gt;"",EDATE($D15,Milestones!$AA$34)&gt;=$R15),$U15,$T15)))=Milestones!$AB$34),TEXT(EDATE($D15,Milestones!$AA$34),"dd/mm/yy")&amp;" "&amp;Milestones!$AB$34&amp;" "&amp;Milestones!$AC$34&amp;";  ","")&amp;IF(AND(EDATE($D15,Milestones!$AA$35)&lt;=AsOfDate,IF($Q15=0,$W15,IF(AND($S15&lt;&gt;"",EDATE($D15,Milestones!$AA$35)&gt;=$S15),$V15,IF(AND($R15&lt;&gt;"",EDATE($D15,Milestones!$AA$35)&gt;=$R15),$U15,$T15)))=Milestones!$AB$35),TEXT(EDATE($D15,Milestones!$AA$35),"dd/mm/yy")&amp;" "&amp;Milestones!$AB$35&amp;" "&amp;Milestones!$AC$35&amp;";  ","")&amp;IF(AND(EDATE($D15,Milestones!$AA$36)&lt;=AsOfDate,IF($Q15=0,$W15,IF(AND($S15&lt;&gt;"",EDATE($D15,Milestones!$AA$36)&gt;=$S15),$V15,IF(AND($R15&lt;&gt;"",EDATE($D15,Milestones!$AA$36)&gt;=$R15),$U15,$T15)))=Milestones!$AB$36),TEXT(EDATE($D15,Milestones!$AA$36),"dd/mm/yy")&amp;" "&amp;Milestones!$AB$36&amp;" "&amp;Milestones!$AC$36&amp;";  ","")&amp;IF(AND(EDATE($D15,Milestones!$AA$37)&lt;=AsOfDate,IF($Q15=0,$W15,IF(AND($S15&lt;&gt;"",EDATE($D15,Milestones!$AA$37)&gt;=$S15),$V15,IF(AND($R15&lt;&gt;"",EDATE($D15,Milestones!$AA$37)&gt;=$R15),$U15,$T15)))=Milestones!$AB$37),TEXT(EDATE($D15,Milestones!$AA$37),"dd/mm/yy")&amp;" "&amp;Milestones!$AB$37&amp;" "&amp;Milestones!$AC$37&amp;";  ","")&amp;IF(AND(EDATE($D15,Milestones!$AA$38)&lt;=AsOfDate,IF($Q15=0,$W15,IF(AND($S15&lt;&gt;"",EDATE($D15,Milestones!$AA$38)&gt;=$S15),$V15,IF(AND($R15&lt;&gt;"",EDATE($D15,Milestones!$AA$38)&gt;=$R15),$U15,$T15)))=Milestones!$AB$38),TEXT(EDATE($D15,Milestones!$AA$38),"dd/mm/yy")&amp;" "&amp;Milestones!$AB$38&amp;" "&amp;Milestones!$AC$38&amp;";  ","")&amp;IF(AND(EDATE($D15,Milestones!$AA$39)&lt;=AsOfDate,IF($Q15=0,$W15,IF(AND($S15&lt;&gt;"",EDATE($D15,Milestones!$AA$39)&gt;=$S15),$V15,IF(AND($R15&lt;&gt;"",EDATE($D15,Milestones!$AA$39)&gt;=$R15),$U15,$T15)))=Milestones!$AB$39),TEXT(EDATE($D15,Milestones!$AA$39),"dd/mm/yy")&amp;" "&amp;Milestones!$AB$39&amp;" "&amp;Milestones!$AC$39&amp;";  ",""))</f>
        <v/>
      </c>
      <c r="I15" s="0" t="str">
        <f aca="false">IF(OR($A15="",$D15=""),"",IF(AND(EDATE($D15,Milestones!$AA$40)&lt;=AsOfDate,IF($Q15=0,$W15,IF(AND($S15&lt;&gt;"",EDATE($D15,Milestones!$AA$40)&gt;=$S15),$V15,IF(AND($R15&lt;&gt;"",EDATE($D15,Milestones!$AA$40)&gt;=$R15),$U15,$T15)))=Milestones!$AB$40),TEXT(EDATE($D15,Milestones!$AA$40),"dd/mm/yy")&amp;" "&amp;Milestones!$AB$40&amp;" "&amp;Milestones!$AC$40&amp;";  ","")&amp;IF(AND(EDATE($D15,Milestones!$AA$41)&lt;=AsOfDate,IF($Q15=0,$W15,IF(AND($S15&lt;&gt;"",EDATE($D15,Milestones!$AA$41)&gt;=$S15),$V15,IF(AND($R15&lt;&gt;"",EDATE($D15,Milestones!$AA$41)&gt;=$R15),$U15,$T15)))=Milestones!$AB$41),TEXT(EDATE($D15,Milestones!$AA$41),"dd/mm/yy")&amp;" "&amp;Milestones!$AB$41&amp;" "&amp;Milestones!$AC$41&amp;";  ","")&amp;IF(AND(EDATE($D15,Milestones!$AA$42)&lt;=AsOfDate,IF($Q15=0,$W15,IF(AND($S15&lt;&gt;"",EDATE($D15,Milestones!$AA$42)&gt;=$S15),$V15,IF(AND($R15&lt;&gt;"",EDATE($D15,Milestones!$AA$42)&gt;=$R15),$U15,$T15)))=Milestones!$AB$42),TEXT(EDATE($D15,Milestones!$AA$42),"dd/mm/yy")&amp;" "&amp;Milestones!$AB$42&amp;" "&amp;Milestones!$AC$42&amp;";  ","")&amp;IF(AND(EDATE($D15,Milestones!$AA$43)&lt;=AsOfDate,IF($Q15=0,$W15,IF(AND($S15&lt;&gt;"",EDATE($D15,Milestones!$AA$43)&gt;=$S15),$V15,IF(AND($R15&lt;&gt;"",EDATE($D15,Milestones!$AA$43)&gt;=$R15),$U15,$T15)))=Milestones!$AB$43),TEXT(EDATE($D15,Milestones!$AA$43),"dd/mm/yy")&amp;" "&amp;Milestones!$AB$43&amp;" "&amp;Milestones!$AC$43&amp;";  ","")&amp;IF(AND(EDATE($D15,Milestones!$AA$44)&lt;=AsOfDate,IF($Q15=0,$W15,IF(AND($S15&lt;&gt;"",EDATE($D15,Milestones!$AA$44)&gt;=$S15),$V15,IF(AND($R15&lt;&gt;"",EDATE($D15,Milestones!$AA$44)&gt;=$R15),$U15,$T15)))=Milestones!$AB$44),TEXT(EDATE($D15,Milestones!$AA$44),"dd/mm/yy")&amp;" "&amp;Milestones!$AB$44&amp;" "&amp;Milestones!$AC$44&amp;";  ","")&amp;IF(AND(EDATE($D15,Milestones!$AA$45)&lt;=AsOfDate,IF($Q15=0,$W15,IF(AND($S15&lt;&gt;"",EDATE($D15,Milestones!$AA$45)&gt;=$S15),$V15,IF(AND($R15&lt;&gt;"",EDATE($D15,Milestones!$AA$45)&gt;=$R15),$U15,$T15)))=Milestones!$AB$45),TEXT(EDATE($D15,Milestones!$AA$45),"dd/mm/yy")&amp;" "&amp;Milestones!$AB$45&amp;" "&amp;Milestones!$AC$45&amp;";  ","")&amp;IF(AND(EDATE($D15,Milestones!$AA$46)&lt;=AsOfDate,IF($Q15=0,$W15,IF(AND($S15&lt;&gt;"",EDATE($D15,Milestones!$AA$46)&gt;=$S15),$V15,IF(AND($R15&lt;&gt;"",EDATE($D15,Milestones!$AA$46)&gt;=$R15),$U15,$T15)))=Milestones!$AB$46),TEXT(EDATE($D15,Milestones!$AA$46),"dd/mm/yy")&amp;" "&amp;Milestones!$AB$46&amp;" "&amp;Milestones!$AC$46&amp;";  ","")&amp;IF(AND(EDATE($D15,Milestones!$AA$47)&lt;=AsOfDate,IF($Q15=0,$W15,IF(AND($S15&lt;&gt;"",EDATE($D15,Milestones!$AA$47)&gt;=$S15),$V15,IF(AND($R15&lt;&gt;"",EDATE($D15,Milestones!$AA$47)&gt;=$R15),$U15,$T15)))=Milestones!$AB$47),TEXT(EDATE($D15,Milestones!$AA$47),"dd/mm/yy")&amp;" "&amp;Milestones!$AB$47&amp;" "&amp;Milestones!$AC$47&amp;";  ","")&amp;IF(AND(EDATE($D15,Milestones!$AA$48)&lt;=AsOfDate,IF($Q15=0,$W15,IF(AND($S15&lt;&gt;"",EDATE($D15,Milestones!$AA$48)&gt;=$S15),$V15,IF(AND($R15&lt;&gt;"",EDATE($D15,Milestones!$AA$48)&gt;=$R15),$U15,$T15)))=Milestones!$AB$48),TEXT(EDATE($D15,Milestones!$AA$48),"dd/mm/yy")&amp;" "&amp;Milestones!$AB$48&amp;" "&amp;Milestones!$AC$48&amp;";  ","")&amp;IF(AND(EDATE($D15,Milestones!$AA$49)&lt;=AsOfDate,IF($Q15=0,$W15,IF(AND($S15&lt;&gt;"",EDATE($D15,Milestones!$AA$49)&gt;=$S15),$V15,IF(AND($R15&lt;&gt;"",EDATE($D15,Milestones!$AA$49)&gt;=$R15),$U15,$T15)))=Milestones!$AB$49),TEXT(EDATE($D15,Milestones!$AA$49),"dd/mm/yy")&amp;" "&amp;Milestones!$AB$49&amp;" "&amp;Milestones!$AC$49&amp;";  ","")&amp;IF(AND(EDATE($D15,Milestones!$AA$50)&lt;=AsOfDate,IF($Q15=0,$W15,IF(AND($S15&lt;&gt;"",EDATE($D15,Milestones!$AA$50)&gt;=$S15),$V15,IF(AND($R15&lt;&gt;"",EDATE($D15,Milestones!$AA$50)&gt;=$R15),$U15,$T15)))=Milestones!$AB$50),TEXT(EDATE($D15,Milestones!$AA$50),"dd/mm/yy")&amp;" "&amp;Milestones!$AB$50&amp;" "&amp;Milestones!$AC$50&amp;";  ","")&amp;IF(AND(EDATE($D15,Milestones!$AA$51)&lt;=AsOfDate,IF($Q15=0,$W15,IF(AND($S15&lt;&gt;"",EDATE($D15,Milestones!$AA$51)&gt;=$S15),$V15,IF(AND($R15&lt;&gt;"",EDATE($D15,Milestones!$AA$51)&gt;=$R15),$U15,$T15)))=Milestones!$AB$51),TEXT(EDATE($D15,Milestones!$AA$51),"dd/mm/yy")&amp;" "&amp;Milestones!$AB$51&amp;" "&amp;Milestones!$AC$51&amp;";  ","")&amp;IF(AND(EDATE($D15,Milestones!$AA$52)&lt;=AsOfDate,IF($Q15=0,$W15,IF(AND($S15&lt;&gt;"",EDATE($D15,Milestones!$AA$52)&gt;=$S15),$V15,IF(AND($R15&lt;&gt;"",EDATE($D15,Milestones!$AA$52)&gt;=$R15),$U15,$T15)))=Milestones!$AB$52),TEXT(EDATE($D15,Milestones!$AA$52),"dd/mm/yy")&amp;" "&amp;Milestones!$AB$52&amp;" "&amp;Milestones!$AC$52&amp;";  ","")&amp;IF(AND(EDATE($D15,Milestones!$AA$53)&lt;=AsOfDate,IF($Q15=0,$W15,IF(AND($S15&lt;&gt;"",EDATE($D15,Milestones!$AA$53)&gt;=$S15),$V15,IF(AND($R15&lt;&gt;"",EDATE($D15,Milestones!$AA$53)&gt;=$R15),$U15,$T15)))=Milestones!$AB$53),TEXT(EDATE($D15,Milestones!$AA$53),"dd/mm/yy")&amp;" "&amp;Milestones!$AB$53&amp;" "&amp;Milestones!$AC$53&amp;";  ","")&amp;IF(AND(EDATE($D15,Milestones!$AA$54)&lt;=AsOfDate,IF($Q15=0,$W15,IF(AND($S15&lt;&gt;"",EDATE($D15,Milestones!$AA$54)&gt;=$S15),$V15,IF(AND($R15&lt;&gt;"",EDATE($D15,Milestones!$AA$54)&gt;=$R15),$U15,$T15)))=Milestones!$AB$54),TEXT(EDATE($D15,Milestones!$AA$54),"dd/mm/yy")&amp;" "&amp;Milestones!$AB$54&amp;" "&amp;Milestones!$AC$54&amp;";  ","")&amp;IF(AND(EDATE($D15,Milestones!$AA$55)&lt;=AsOfDate,IF($Q15=0,$W15,IF(AND($S15&lt;&gt;"",EDATE($D15,Milestones!$AA$55)&gt;=$S15),$V15,IF(AND($R15&lt;&gt;"",EDATE($D15,Milestones!$AA$55)&gt;=$R15),$U15,$T15)))=Milestones!$AB$55),TEXT(EDATE($D15,Milestones!$AA$55),"dd/mm/yy")&amp;" "&amp;Milestones!$AB$55&amp;" "&amp;Milestones!$AC$55&amp;";  ","")&amp;IF(AND(EDATE($D15,Milestones!$AA$56)&lt;=AsOfDate,IF($Q15=0,$W15,IF(AND($S15&lt;&gt;"",EDATE($D15,Milestones!$AA$56)&gt;=$S15),$V15,IF(AND($R15&lt;&gt;"",EDATE($D15,Milestones!$AA$56)&gt;=$R15),$U15,$T15)))=Milestones!$AB$56),TEXT(EDATE($D15,Milestones!$AA$56),"dd/mm/yy")&amp;" "&amp;Milestones!$AB$56&amp;" "&amp;Milestones!$AC$56&amp;";  ","")&amp;IF(AND(EDATE($D15,Milestones!$AA$57)&lt;=AsOfDate,IF($Q15=0,$W15,IF(AND($S15&lt;&gt;"",EDATE($D15,Milestones!$AA$57)&gt;=$S15),$V15,IF(AND($R15&lt;&gt;"",EDATE($D15,Milestones!$AA$57)&gt;=$R15),$U15,$T15)))=Milestones!$AB$57),TEXT(EDATE($D15,Milestones!$AA$57),"dd/mm/yy")&amp;" "&amp;Milestones!$AB$57&amp;" "&amp;Milestones!$AC$57&amp;";  ","")&amp;IF(AND(EDATE($D15,Milestones!$AA$58)&lt;=AsOfDate,IF($Q15=0,$W15,IF(AND($S15&lt;&gt;"",EDATE($D15,Milestones!$AA$58)&gt;=$S15),$V15,IF(AND($R15&lt;&gt;"",EDATE($D15,Milestones!$AA$58)&gt;=$R15),$U15,$T15)))=Milestones!$AB$58),TEXT(EDATE($D15,Milestones!$AA$58),"dd/mm/yy")&amp;" "&amp;Milestones!$AB$58&amp;" "&amp;Milestones!$AC$58&amp;";  ","")&amp;IF(AND(EDATE($D15,Milestones!$AA$59)&lt;=AsOfDate,IF($Q15=0,$W15,IF(AND($S15&lt;&gt;"",EDATE($D15,Milestones!$AA$59)&gt;=$S15),$V15,IF(AND($R15&lt;&gt;"",EDATE($D15,Milestones!$AA$59)&gt;=$R15),$U15,$T15)))=Milestones!$AB$59),TEXT(EDATE($D15,Milestones!$AA$59),"dd/mm/yy")&amp;" "&amp;Milestones!$AB$59&amp;" "&amp;Milestones!$AC$59&amp;";  ",""))</f>
        <v/>
      </c>
      <c r="J15" s="0" t="str">
        <f aca="false">IF(OR($A15="",$D15=""),"",IF(AND(EDATE($D15,Milestones!$AA$60)&lt;=AsOfDate,IF($Q15=0,$W15,IF(AND($S15&lt;&gt;"",EDATE($D15,Milestones!$AA$60)&gt;=$S15),$V15,IF(AND($R15&lt;&gt;"",EDATE($D15,Milestones!$AA$60)&gt;=$R15),$U15,$T15)))=Milestones!$AB$60),TEXT(EDATE($D15,Milestones!$AA$60),"dd/mm/yy")&amp;" "&amp;Milestones!$AB$60&amp;" "&amp;Milestones!$AC$60&amp;";  ","")&amp;IF(AND(EDATE($D15,Milestones!$AA$61)&lt;=AsOfDate,IF($Q15=0,$W15,IF(AND($S15&lt;&gt;"",EDATE($D15,Milestones!$AA$61)&gt;=$S15),$V15,IF(AND($R15&lt;&gt;"",EDATE($D15,Milestones!$AA$61)&gt;=$R15),$U15,$T15)))=Milestones!$AB$61),TEXT(EDATE($D15,Milestones!$AA$61),"dd/mm/yy")&amp;" "&amp;Milestones!$AB$61&amp;" "&amp;Milestones!$AC$61&amp;";  ","")&amp;IF(AND(EDATE($D15,Milestones!$AA$62)&lt;=AsOfDate,IF($Q15=0,$W15,IF(AND($S15&lt;&gt;"",EDATE($D15,Milestones!$AA$62)&gt;=$S15),$V15,IF(AND($R15&lt;&gt;"",EDATE($D15,Milestones!$AA$62)&gt;=$R15),$U15,$T15)))=Milestones!$AB$62),TEXT(EDATE($D15,Milestones!$AA$62),"dd/mm/yy")&amp;" "&amp;Milestones!$AB$62&amp;" "&amp;Milestones!$AC$62&amp;";  ","")&amp;IF(AND(EDATE($D15,Milestones!$AA$63)&lt;=AsOfDate,IF($Q15=0,$W15,IF(AND($S15&lt;&gt;"",EDATE($D15,Milestones!$AA$63)&gt;=$S15),$V15,IF(AND($R15&lt;&gt;"",EDATE($D15,Milestones!$AA$63)&gt;=$R15),$U15,$T15)))=Milestones!$AB$63),TEXT(EDATE($D15,Milestones!$AA$63),"dd/mm/yy")&amp;" "&amp;Milestones!$AB$63&amp;" "&amp;Milestones!$AC$63&amp;";  ","")&amp;IF(AND(EDATE($D15,Milestones!$AA$64)&lt;=AsOfDate,IF($Q15=0,$W15,IF(AND($S15&lt;&gt;"",EDATE($D15,Milestones!$AA$64)&gt;=$S15),$V15,IF(AND($R15&lt;&gt;"",EDATE($D15,Milestones!$AA$64)&gt;=$R15),$U15,$T15)))=Milestones!$AB$64),TEXT(EDATE($D15,Milestones!$AA$64),"dd/mm/yy")&amp;" "&amp;Milestones!$AB$64&amp;" "&amp;Milestones!$AC$64&amp;";  ","")&amp;IF(AND(EDATE($D15,Milestones!$AA$65)&lt;=AsOfDate,IF($Q15=0,$W15,IF(AND($S15&lt;&gt;"",EDATE($D15,Milestones!$AA$65)&gt;=$S15),$V15,IF(AND($R15&lt;&gt;"",EDATE($D15,Milestones!$AA$65)&gt;=$R15),$U15,$T15)))=Milestones!$AB$65),TEXT(EDATE($D15,Milestones!$AA$65),"dd/mm/yy")&amp;" "&amp;Milestones!$AB$65&amp;" "&amp;Milestones!$AC$65&amp;";  ","")&amp;IF(AND(EDATE($D15,Milestones!$AA$66)&lt;=AsOfDate,IF($Q15=0,$W15,IF(AND($S15&lt;&gt;"",EDATE($D15,Milestones!$AA$66)&gt;=$S15),$V15,IF(AND($R15&lt;&gt;"",EDATE($D15,Milestones!$AA$66)&gt;=$R15),$U15,$T15)))=Milestones!$AB$66),TEXT(EDATE($D15,Milestones!$AA$66),"dd/mm/yy")&amp;" "&amp;Milestones!$AB$66&amp;" "&amp;Milestones!$AC$66&amp;";  ","")&amp;IF(AND(EDATE($D15,Milestones!$AA$67)&lt;=AsOfDate,IF($Q15=0,$W15,IF(AND($S15&lt;&gt;"",EDATE($D15,Milestones!$AA$67)&gt;=$S15),$V15,IF(AND($R15&lt;&gt;"",EDATE($D15,Milestones!$AA$67)&gt;=$R15),$U15,$T15)))=Milestones!$AB$67),TEXT(EDATE($D15,Milestones!$AA$67),"dd/mm/yy")&amp;" "&amp;Milestones!$AB$67&amp;" "&amp;Milestones!$AC$67&amp;";  ","")&amp;IF(AND(EDATE($D15,Milestones!$AA$68)&lt;=AsOfDate,IF($Q15=0,$W15,IF(AND($S15&lt;&gt;"",EDATE($D15,Milestones!$AA$68)&gt;=$S15),$V15,IF(AND($R15&lt;&gt;"",EDATE($D15,Milestones!$AA$68)&gt;=$R15),$U15,$T15)))=Milestones!$AB$68),TEXT(EDATE($D15,Milestones!$AA$68),"dd/mm/yy")&amp;" "&amp;Milestones!$AB$68&amp;" "&amp;Milestones!$AC$68&amp;";  ","")&amp;IF(AND(EDATE($D15,Milestones!$AA$69)&lt;=AsOfDate,IF($Q15=0,$W15,IF(AND($S15&lt;&gt;"",EDATE($D15,Milestones!$AA$69)&gt;=$S15),$V15,IF(AND($R15&lt;&gt;"",EDATE($D15,Milestones!$AA$69)&gt;=$R15),$U15,$T15)))=Milestones!$AB$69),TEXT(EDATE($D15,Milestones!$AA$69),"dd/mm/yy")&amp;" "&amp;Milestones!$AB$69&amp;" "&amp;Milestones!$AC$69&amp;";  ","")&amp;IF(AND(EDATE($D15,Milestones!$AA$70)&lt;=AsOfDate,IF($Q15=0,$W15,IF(AND($S15&lt;&gt;"",EDATE($D15,Milestones!$AA$70)&gt;=$S15),$V15,IF(AND($R15&lt;&gt;"",EDATE($D15,Milestones!$AA$70)&gt;=$R15),$U15,$T15)))=Milestones!$AB$70),TEXT(EDATE($D15,Milestones!$AA$70),"dd/mm/yy")&amp;" "&amp;Milestones!$AB$70&amp;" "&amp;Milestones!$AC$70&amp;";  ","")&amp;IF(AND(EDATE($D15,Milestones!$AA$71)&lt;=AsOfDate,IF($Q15=0,$W15,IF(AND($S15&lt;&gt;"",EDATE($D15,Milestones!$AA$71)&gt;=$S15),$V15,IF(AND($R15&lt;&gt;"",EDATE($D15,Milestones!$AA$71)&gt;=$R15),$U15,$T15)))=Milestones!$AB$71),TEXT(EDATE($D15,Milestones!$AA$71),"dd/mm/yy")&amp;" "&amp;Milestones!$AB$71&amp;" "&amp;Milestones!$AC$71&amp;";  ","")&amp;IF(AND(EDATE($D15,Milestones!$AA$72)&lt;=AsOfDate,IF($Q15=0,$W15,IF(AND($S15&lt;&gt;"",EDATE($D15,Milestones!$AA$72)&gt;=$S15),$V15,IF(AND($R15&lt;&gt;"",EDATE($D15,Milestones!$AA$72)&gt;=$R15),$U15,$T15)))=Milestones!$AB$72),TEXT(EDATE($D15,Milestones!$AA$72),"dd/mm/yy")&amp;" "&amp;Milestones!$AB$72&amp;" "&amp;Milestones!$AC$72&amp;";  ","")&amp;IF(AND(EDATE($D15,Milestones!$AA$73)&lt;=AsOfDate,IF($Q15=0,$W15,IF(AND($S15&lt;&gt;"",EDATE($D15,Milestones!$AA$73)&gt;=$S15),$V15,IF(AND($R15&lt;&gt;"",EDATE($D15,Milestones!$AA$73)&gt;=$R15),$U15,$T15)))=Milestones!$AB$73),TEXT(EDATE($D15,Milestones!$AA$73),"dd/mm/yy")&amp;" "&amp;Milestones!$AB$73&amp;" "&amp;Milestones!$AC$73&amp;";  ","")&amp;IF(AND(EDATE($D15,Milestones!$AA$74)&lt;=AsOfDate,IF($Q15=0,$W15,IF(AND($S15&lt;&gt;"",EDATE($D15,Milestones!$AA$74)&gt;=$S15),$V15,IF(AND($R15&lt;&gt;"",EDATE($D15,Milestones!$AA$74)&gt;=$R15),$U15,$T15)))=Milestones!$AB$74),TEXT(EDATE($D15,Milestones!$AA$74),"dd/mm/yy")&amp;" "&amp;Milestones!$AB$74&amp;" "&amp;Milestones!$AC$74&amp;";  ","")&amp;IF(AND(EDATE($D15,Milestones!$AA$75)&lt;=AsOfDate,IF($Q15=0,$W15,IF(AND($S15&lt;&gt;"",EDATE($D15,Milestones!$AA$75)&gt;=$S15),$V15,IF(AND($R15&lt;&gt;"",EDATE($D15,Milestones!$AA$75)&gt;=$R15),$U15,$T15)))=Milestones!$AB$75),TEXT(EDATE($D15,Milestones!$AA$75),"dd/mm/yy")&amp;" "&amp;Milestones!$AB$75&amp;" "&amp;Milestones!$AC$75&amp;";  ","")&amp;IF(AND(EDATE($D15,Milestones!$AA$76)&lt;=AsOfDate,IF($Q15=0,$W15,IF(AND($S15&lt;&gt;"",EDATE($D15,Milestones!$AA$76)&gt;=$S15),$V15,IF(AND($R15&lt;&gt;"",EDATE($D15,Milestones!$AA$76)&gt;=$R15),$U15,$T15)))=Milestones!$AB$76),TEXT(EDATE($D15,Milestones!$AA$76),"dd/mm/yy")&amp;" "&amp;Milestones!$AB$76&amp;" "&amp;Milestones!$AC$76&amp;";  ","")&amp;IF(AND(EDATE($D15,Milestones!$AA$77)&lt;=AsOfDate,IF($Q15=0,$W15,IF(AND($S15&lt;&gt;"",EDATE($D15,Milestones!$AA$77)&gt;=$S15),$V15,IF(AND($R15&lt;&gt;"",EDATE($D15,Milestones!$AA$77)&gt;=$R15),$U15,$T15)))=Milestones!$AB$77),TEXT(EDATE($D15,Milestones!$AA$77),"dd/mm/yy")&amp;" "&amp;Milestones!$AB$77&amp;" "&amp;Milestones!$AC$77&amp;";  ","")&amp;IF(AND(EDATE($D15,Milestones!$AA$78)&lt;=AsOfDate,IF($Q15=0,$W15,IF(AND($S15&lt;&gt;"",EDATE($D15,Milestones!$AA$78)&gt;=$S15),$V15,IF(AND($R15&lt;&gt;"",EDATE($D15,Milestones!$AA$78)&gt;=$R15),$U15,$T15)))=Milestones!$AB$78),TEXT(EDATE($D15,Milestones!$AA$78),"dd/mm/yy")&amp;" "&amp;Milestones!$AB$78&amp;" "&amp;Milestones!$AC$78&amp;";  ","")&amp;IF(AND(EDATE($D15,Milestones!$AA$79)&lt;=AsOfDate,IF($Q15=0,$W15,IF(AND($S15&lt;&gt;"",EDATE($D15,Milestones!$AA$79)&gt;=$S15),$V15,IF(AND($R15&lt;&gt;"",EDATE($D15,Milestones!$AA$79)&gt;=$R15),$U15,$T15)))=Milestones!$AB$79),TEXT(EDATE($D15,Milestones!$AA$79),"dd/mm/yy")&amp;" "&amp;Milestones!$AB$79&amp;" "&amp;Milestones!$AC$79&amp;";  ",""))</f>
        <v/>
      </c>
      <c r="K15" s="0" t="str">
        <f aca="false">IF(OR($A15="",$D15=""),"",IF(AND(EDATE($D15,Milestones!$AA$80)&lt;=AsOfDate,IF($Q15=0,$W15,IF(AND($S15&lt;&gt;"",EDATE($D15,Milestones!$AA$80)&gt;=$S15),$V15,IF(AND($R15&lt;&gt;"",EDATE($D15,Milestones!$AA$80)&gt;=$R15),$U15,$T15)))=Milestones!$AB$80),TEXT(EDATE($D15,Milestones!$AA$80),"dd/mm/yy")&amp;" "&amp;Milestones!$AB$80&amp;" "&amp;Milestones!$AC$80&amp;";  ","")&amp;IF(AND(EDATE($D15,Milestones!$AA$81)&lt;=AsOfDate,IF($Q15=0,$W15,IF(AND($S15&lt;&gt;"",EDATE($D15,Milestones!$AA$81)&gt;=$S15),$V15,IF(AND($R15&lt;&gt;"",EDATE($D15,Milestones!$AA$81)&gt;=$R15),$U15,$T15)))=Milestones!$AB$81),TEXT(EDATE($D15,Milestones!$AA$81),"dd/mm/yy")&amp;" "&amp;Milestones!$AB$81&amp;" "&amp;Milestones!$AC$81&amp;";  ","")&amp;IF(AND(EDATE($D15,Milestones!$AA$82)&lt;=AsOfDate,IF($Q15=0,$W15,IF(AND($S15&lt;&gt;"",EDATE($D15,Milestones!$AA$82)&gt;=$S15),$V15,IF(AND($R15&lt;&gt;"",EDATE($D15,Milestones!$AA$82)&gt;=$R15),$U15,$T15)))=Milestones!$AB$82),TEXT(EDATE($D15,Milestones!$AA$82),"dd/mm/yy")&amp;" "&amp;Milestones!$AB$82&amp;" "&amp;Milestones!$AC$82&amp;";  ","")&amp;IF(AND(EDATE($D15,Milestones!$AA$83)&lt;=AsOfDate,IF($Q15=0,$W15,IF(AND($S15&lt;&gt;"",EDATE($D15,Milestones!$AA$83)&gt;=$S15),$V15,IF(AND($R15&lt;&gt;"",EDATE($D15,Milestones!$AA$83)&gt;=$R15),$U15,$T15)))=Milestones!$AB$83),TEXT(EDATE($D15,Milestones!$AA$83),"dd/mm/yy")&amp;" "&amp;Milestones!$AB$83&amp;" "&amp;Milestones!$AC$83&amp;";  ","")&amp;IF(AND(EDATE($D15,Milestones!$AA$84)&lt;=AsOfDate,IF($Q15=0,$W15,IF(AND($S15&lt;&gt;"",EDATE($D15,Milestones!$AA$84)&gt;=$S15),$V15,IF(AND($R15&lt;&gt;"",EDATE($D15,Milestones!$AA$84)&gt;=$R15),$U15,$T15)))=Milestones!$AB$84),TEXT(EDATE($D15,Milestones!$AA$84),"dd/mm/yy")&amp;" "&amp;Milestones!$AB$84&amp;" "&amp;Milestones!$AC$84&amp;";  ","")&amp;IF(AND(EDATE($D15,Milestones!$AA$85)&lt;=AsOfDate,IF($Q15=0,$W15,IF(AND($S15&lt;&gt;"",EDATE($D15,Milestones!$AA$85)&gt;=$S15),$V15,IF(AND($R15&lt;&gt;"",EDATE($D15,Milestones!$AA$85)&gt;=$R15),$U15,$T15)))=Milestones!$AB$85),TEXT(EDATE($D15,Milestones!$AA$85),"dd/mm/yy")&amp;" "&amp;Milestones!$AB$85&amp;" "&amp;Milestones!$AC$85&amp;";  ","")&amp;IF(AND(EDATE($D15,Milestones!$AA$86)&lt;=AsOfDate,IF($Q15=0,$W15,IF(AND($S15&lt;&gt;"",EDATE($D15,Milestones!$AA$86)&gt;=$S15),$V15,IF(AND($R15&lt;&gt;"",EDATE($D15,Milestones!$AA$86)&gt;=$R15),$U15,$T15)))=Milestones!$AB$86),TEXT(EDATE($D15,Milestones!$AA$86),"dd/mm/yy")&amp;" "&amp;Milestones!$AB$86&amp;" "&amp;Milestones!$AC$86&amp;";  ","")&amp;IF(AND(EDATE($D15,Milestones!$AA$87)&lt;=AsOfDate,IF($Q15=0,$W15,IF(AND($S15&lt;&gt;"",EDATE($D15,Milestones!$AA$87)&gt;=$S15),$V15,IF(AND($R15&lt;&gt;"",EDATE($D15,Milestones!$AA$87)&gt;=$R15),$U15,$T15)))=Milestones!$AB$87),TEXT(EDATE($D15,Milestones!$AA$87),"dd/mm/yy")&amp;" "&amp;Milestones!$AB$87&amp;" "&amp;Milestones!$AC$87&amp;";  ","")&amp;IF(AND(EDATE($D15,Milestones!$AA$88)&lt;=AsOfDate,IF($Q15=0,$W15,IF(AND($S15&lt;&gt;"",EDATE($D15,Milestones!$AA$88)&gt;=$S15),$V15,IF(AND($R15&lt;&gt;"",EDATE($D15,Milestones!$AA$88)&gt;=$R15),$U15,$T15)))=Milestones!$AB$88),TEXT(EDATE($D15,Milestones!$AA$88),"dd/mm/yy")&amp;" "&amp;Milestones!$AB$88&amp;" "&amp;Milestones!$AC$88&amp;";  ","")&amp;IF(AND(EDATE($D15,Milestones!$AA$89)&lt;=AsOfDate,IF($Q15=0,$W15,IF(AND($S15&lt;&gt;"",EDATE($D15,Milestones!$AA$89)&gt;=$S15),$V15,IF(AND($R15&lt;&gt;"",EDATE($D15,Milestones!$AA$89)&gt;=$R15),$U15,$T15)))=Milestones!$AB$89),TEXT(EDATE($D15,Milestones!$AA$89),"dd/mm/yy")&amp;" "&amp;Milestones!$AB$89&amp;" "&amp;Milestones!$AC$89&amp;";  ","")&amp;IF(AND(EDATE($D15,Milestones!$AA$90)&lt;=AsOfDate,IF($Q15=0,$W15,IF(AND($S15&lt;&gt;"",EDATE($D15,Milestones!$AA$90)&gt;=$S15),$V15,IF(AND($R15&lt;&gt;"",EDATE($D15,Milestones!$AA$90)&gt;=$R15),$U15,$T15)))=Milestones!$AB$90),TEXT(EDATE($D15,Milestones!$AA$90),"dd/mm/yy")&amp;" "&amp;Milestones!$AB$90&amp;" "&amp;Milestones!$AC$90&amp;";  ","")&amp;IF(AND(EDATE($D15,Milestones!$AA$91)&lt;=AsOfDate,IF($Q15=0,$W15,IF(AND($S15&lt;&gt;"",EDATE($D15,Milestones!$AA$91)&gt;=$S15),$V15,IF(AND($R15&lt;&gt;"",EDATE($D15,Milestones!$AA$91)&gt;=$R15),$U15,$T15)))=Milestones!$AB$91),TEXT(EDATE($D15,Milestones!$AA$91),"dd/mm/yy")&amp;" "&amp;Milestones!$AB$91&amp;" "&amp;Milestones!$AC$91&amp;";  ","")&amp;IF(AND(EDATE($D15,Milestones!$AA$92)&lt;=AsOfDate,IF($Q15=0,$W15,IF(AND($S15&lt;&gt;"",EDATE($D15,Milestones!$AA$92)&gt;=$S15),$V15,IF(AND($R15&lt;&gt;"",EDATE($D15,Milestones!$AA$92)&gt;=$R15),$U15,$T15)))=Milestones!$AB$92),TEXT(EDATE($D15,Milestones!$AA$92),"dd/mm/yy")&amp;" "&amp;Milestones!$AB$92&amp;" "&amp;Milestones!$AC$92&amp;";  ","")&amp;IF(AND(EDATE($D15,Milestones!$AA$93)&lt;=AsOfDate,IF($Q15=0,$W15,IF(AND($S15&lt;&gt;"",EDATE($D15,Milestones!$AA$93)&gt;=$S15),$V15,IF(AND($R15&lt;&gt;"",EDATE($D15,Milestones!$AA$93)&gt;=$R15),$U15,$T15)))=Milestones!$AB$93),TEXT(EDATE($D15,Milestones!$AA$93),"dd/mm/yy")&amp;" "&amp;Milestones!$AB$93&amp;" "&amp;Milestones!$AC$93&amp;";  ","")&amp;IF(AND(EDATE($D15,Milestones!$AA$94)&lt;=AsOfDate,IF($Q15=0,$W15,IF(AND($S15&lt;&gt;"",EDATE($D15,Milestones!$AA$94)&gt;=$S15),$V15,IF(AND($R15&lt;&gt;"",EDATE($D15,Milestones!$AA$94)&gt;=$R15),$U15,$T15)))=Milestones!$AB$94),TEXT(EDATE($D15,Milestones!$AA$94),"dd/mm/yy")&amp;" "&amp;Milestones!$AB$94&amp;" "&amp;Milestones!$AC$94&amp;";  ","")&amp;IF(AND(EDATE($D15,Milestones!$AA$95)&lt;=AsOfDate,IF($Q15=0,$W15,IF(AND($S15&lt;&gt;"",EDATE($D15,Milestones!$AA$95)&gt;=$S15),$V15,IF(AND($R15&lt;&gt;"",EDATE($D15,Milestones!$AA$95)&gt;=$R15),$U15,$T15)))=Milestones!$AB$95),TEXT(EDATE($D15,Milestones!$AA$95),"dd/mm/yy")&amp;" "&amp;Milestones!$AB$95&amp;" "&amp;Milestones!$AC$95&amp;";  ","")&amp;IF(AND(EDATE($D15,Milestones!$AA$96)&lt;=AsOfDate,IF($Q15=0,$W15,IF(AND($S15&lt;&gt;"",EDATE($D15,Milestones!$AA$96)&gt;=$S15),$V15,IF(AND($R15&lt;&gt;"",EDATE($D15,Milestones!$AA$96)&gt;=$R15),$U15,$T15)))=Milestones!$AB$96),TEXT(EDATE($D15,Milestones!$AA$96),"dd/mm/yy")&amp;" "&amp;Milestones!$AB$96&amp;" "&amp;Milestones!$AC$96&amp;";  ","")&amp;IF(AND(EDATE($D15,Milestones!$AA$97)&lt;=AsOfDate,IF($Q15=0,$W15,IF(AND($S15&lt;&gt;"",EDATE($D15,Milestones!$AA$97)&gt;=$S15),$V15,IF(AND($R15&lt;&gt;"",EDATE($D15,Milestones!$AA$97)&gt;=$R15),$U15,$T15)))=Milestones!$AB$97),TEXT(EDATE($D15,Milestones!$AA$97),"dd/mm/yy")&amp;" "&amp;Milestones!$AB$97&amp;" "&amp;Milestones!$AC$97&amp;";  ","")&amp;IF(AND(EDATE($D15,Milestones!$AA$98)&lt;=AsOfDate,IF($Q15=0,$W15,IF(AND($S15&lt;&gt;"",EDATE($D15,Milestones!$AA$98)&gt;=$S15),$V15,IF(AND($R15&lt;&gt;"",EDATE($D15,Milestones!$AA$98)&gt;=$R15),$U15,$T15)))=Milestones!$AB$98),TEXT(EDATE($D15,Milestones!$AA$98),"dd/mm/yy")&amp;" "&amp;Milestones!$AB$98&amp;" "&amp;Milestones!$AC$98&amp;";  ","")&amp;IF(AND(EDATE($D15,Milestones!$AA$99)&lt;=AsOfDate,IF($Q15=0,$W15,IF(AND($S15&lt;&gt;"",EDATE($D15,Milestones!$AA$99)&gt;=$S15),$V15,IF(AND($R15&lt;&gt;"",EDATE($D15,Milestones!$AA$99)&gt;=$R15),$U15,$T15)))=Milestones!$AB$99),TEXT(EDATE($D15,Milestones!$AA$99),"dd/mm/yy")&amp;" "&amp;Milestones!$AB$99&amp;" "&amp;Milestones!$AC$99&amp;";  ",""))</f>
        <v/>
      </c>
      <c r="L15" s="0" t="str">
        <f aca="false">IF(OR($A15="",$D15=""),"",IF(AND(EDATE($D15,Milestones!$AA$100)&lt;=AsOfDate,IF($Q15=0,$W15,IF(AND($S15&lt;&gt;"",EDATE($D15,Milestones!$AA$100)&gt;=$S15),$V15,IF(AND($R15&lt;&gt;"",EDATE($D15,Milestones!$AA$100)&gt;=$R15),$U15,$T15)))=Milestones!$AB$100),TEXT(EDATE($D15,Milestones!$AA$100),"dd/mm/yy")&amp;" "&amp;Milestones!$AB$100&amp;" "&amp;Milestones!$AC$100&amp;";  ","")&amp;IF(AND(EDATE($D15,Milestones!$AA$101)&lt;=AsOfDate,IF($Q15=0,$W15,IF(AND($S15&lt;&gt;"",EDATE($D15,Milestones!$AA$101)&gt;=$S15),$V15,IF(AND($R15&lt;&gt;"",EDATE($D15,Milestones!$AA$101)&gt;=$R15),$U15,$T15)))=Milestones!$AB$101),TEXT(EDATE($D15,Milestones!$AA$101),"dd/mm/yy")&amp;" "&amp;Milestones!$AB$101&amp;" "&amp;Milestones!$AC$101&amp;";  ","")&amp;IF(AND(EDATE($D15,Milestones!$AA$102)&lt;=AsOfDate,IF($Q15=0,$W15,IF(AND($S15&lt;&gt;"",EDATE($D15,Milestones!$AA$102)&gt;=$S15),$V15,IF(AND($R15&lt;&gt;"",EDATE($D15,Milestones!$AA$102)&gt;=$R15),$U15,$T15)))=Milestones!$AB$102),TEXT(EDATE($D15,Milestones!$AA$102),"dd/mm/yy")&amp;" "&amp;Milestones!$AB$102&amp;" "&amp;Milestones!$AC$102&amp;";  ","")&amp;IF(AND(EDATE($D15,Milestones!$AA$103)&lt;=AsOfDate,IF($Q15=0,$W15,IF(AND($S15&lt;&gt;"",EDATE($D15,Milestones!$AA$103)&gt;=$S15),$V15,IF(AND($R15&lt;&gt;"",EDATE($D15,Milestones!$AA$103)&gt;=$R15),$U15,$T15)))=Milestones!$AB$103),TEXT(EDATE($D15,Milestones!$AA$103),"dd/mm/yy")&amp;" "&amp;Milestones!$AB$103&amp;" "&amp;Milestones!$AC$103&amp;";  ","")&amp;IF(AND(EDATE($D15,Milestones!$AA$104)&lt;=AsOfDate,IF($Q15=0,$W15,IF(AND($S15&lt;&gt;"",EDATE($D15,Milestones!$AA$104)&gt;=$S15),$V15,IF(AND($R15&lt;&gt;"",EDATE($D15,Milestones!$AA$104)&gt;=$R15),$U15,$T15)))=Milestones!$AB$104),TEXT(EDATE($D15,Milestones!$AA$104),"dd/mm/yy")&amp;" "&amp;Milestones!$AB$104&amp;" "&amp;Milestones!$AC$104&amp;";  ","")&amp;IF(AND(EDATE($D15,Milestones!$AA$105)&lt;=AsOfDate,IF($Q15=0,$W15,IF(AND($S15&lt;&gt;"",EDATE($D15,Milestones!$AA$105)&gt;=$S15),$V15,IF(AND($R15&lt;&gt;"",EDATE($D15,Milestones!$AA$105)&gt;=$R15),$U15,$T15)))=Milestones!$AB$105),TEXT(EDATE($D15,Milestones!$AA$105),"dd/mm/yy")&amp;" "&amp;Milestones!$AB$105&amp;" "&amp;Milestones!$AC$105&amp;";  ","")&amp;IF(AND(EDATE($D15,Milestones!$AA$106)&lt;=AsOfDate,IF($Q15=0,$W15,IF(AND($S15&lt;&gt;"",EDATE($D15,Milestones!$AA$106)&gt;=$S15),$V15,IF(AND($R15&lt;&gt;"",EDATE($D15,Milestones!$AA$106)&gt;=$R15),$U15,$T15)))=Milestones!$AB$106),TEXT(EDATE($D15,Milestones!$AA$106),"dd/mm/yy")&amp;" "&amp;Milestones!$AB$106&amp;" "&amp;Milestones!$AC$106&amp;";  ","")&amp;IF(AND(EDATE($D15,Milestones!$AA$107)&lt;=AsOfDate,IF($Q15=0,$W15,IF(AND($S15&lt;&gt;"",EDATE($D15,Milestones!$AA$107)&gt;=$S15),$V15,IF(AND($R15&lt;&gt;"",EDATE($D15,Milestones!$AA$107)&gt;=$R15),$U15,$T15)))=Milestones!$AB$107),TEXT(EDATE($D15,Milestones!$AA$107),"dd/mm/yy")&amp;" "&amp;Milestones!$AB$107&amp;" "&amp;Milestones!$AC$107&amp;";  ","")&amp;IF(AND(EDATE($D15,Milestones!$AA$108)&lt;=AsOfDate,IF($Q15=0,$W15,IF(AND($S15&lt;&gt;"",EDATE($D15,Milestones!$AA$108)&gt;=$S15),$V15,IF(AND($R15&lt;&gt;"",EDATE($D15,Milestones!$AA$108)&gt;=$R15),$U15,$T15)))=Milestones!$AB$108),TEXT(EDATE($D15,Milestones!$AA$108),"dd/mm/yy")&amp;" "&amp;Milestones!$AB$108&amp;" "&amp;Milestones!$AC$108&amp;";  ","")&amp;IF(AND(EDATE($D15,Milestones!$AA$109)&lt;=AsOfDate,IF($Q15=0,$W15,IF(AND($S15&lt;&gt;"",EDATE($D15,Milestones!$AA$109)&gt;=$S15),$V15,IF(AND($R15&lt;&gt;"",EDATE($D15,Milestones!$AA$109)&gt;=$R15),$U15,$T15)))=Milestones!$AB$109),TEXT(EDATE($D15,Milestones!$AA$109),"dd/mm/yy")&amp;" "&amp;Milestones!$AB$109&amp;" "&amp;Milestones!$AC$109&amp;";  ","")&amp;IF(AND(EDATE($D15,Milestones!$AA$110)&lt;=AsOfDate,IF($Q15=0,$W15,IF(AND($S15&lt;&gt;"",EDATE($D15,Milestones!$AA$110)&gt;=$S15),$V15,IF(AND($R15&lt;&gt;"",EDATE($D15,Milestones!$AA$110)&gt;=$R15),$U15,$T15)))=Milestones!$AB$110),TEXT(EDATE($D15,Milestones!$AA$110),"dd/mm/yy")&amp;" "&amp;Milestones!$AB$110&amp;" "&amp;Milestones!$AC$110&amp;";  ","")&amp;IF(AND(EDATE($D15,Milestones!$AA$111)&lt;=AsOfDate,IF($Q15=0,$W15,IF(AND($S15&lt;&gt;"",EDATE($D15,Milestones!$AA$111)&gt;=$S15),$V15,IF(AND($R15&lt;&gt;"",EDATE($D15,Milestones!$AA$111)&gt;=$R15),$U15,$T15)))=Milestones!$AB$111),TEXT(EDATE($D15,Milestones!$AA$111),"dd/mm/yy")&amp;" "&amp;Milestones!$AB$111&amp;" "&amp;Milestones!$AC$111&amp;";  ","")&amp;IF(AND(EDATE($D15,Milestones!$AA$112)&lt;=AsOfDate,IF($Q15=0,$W15,IF(AND($S15&lt;&gt;"",EDATE($D15,Milestones!$AA$112)&gt;=$S15),$V15,IF(AND($R15&lt;&gt;"",EDATE($D15,Milestones!$AA$112)&gt;=$R15),$U15,$T15)))=Milestones!$AB$112),TEXT(EDATE($D15,Milestones!$AA$112),"dd/mm/yy")&amp;" "&amp;Milestones!$AB$112&amp;" "&amp;Milestones!$AC$112&amp;";  ","")&amp;IF(AND(EDATE($D15,Milestones!$AA$113)&lt;=AsOfDate,IF($Q15=0,$W15,IF(AND($S15&lt;&gt;"",EDATE($D15,Milestones!$AA$113)&gt;=$S15),$V15,IF(AND($R15&lt;&gt;"",EDATE($D15,Milestones!$AA$113)&gt;=$R15),$U15,$T15)))=Milestones!$AB$113),TEXT(EDATE($D15,Milestones!$AA$113),"dd/mm/yy")&amp;" "&amp;Milestones!$AB$113&amp;" "&amp;Milestones!$AC$113&amp;";  ","")&amp;IF(AND(EDATE($D15,Milestones!$AA$114)&lt;=AsOfDate,IF($Q15=0,$W15,IF(AND($S15&lt;&gt;"",EDATE($D15,Milestones!$AA$114)&gt;=$S15),$V15,IF(AND($R15&lt;&gt;"",EDATE($D15,Milestones!$AA$114)&gt;=$R15),$U15,$T15)))=Milestones!$AB$114),TEXT(EDATE($D15,Milestones!$AA$114),"dd/mm/yy")&amp;" "&amp;Milestones!$AB$114&amp;" "&amp;Milestones!$AC$114&amp;";  ","")&amp;IF(AND(EDATE($D15,Milestones!$AA$115)&lt;=AsOfDate,IF($Q15=0,$W15,IF(AND($S15&lt;&gt;"",EDATE($D15,Milestones!$AA$115)&gt;=$S15),$V15,IF(AND($R15&lt;&gt;"",EDATE($D15,Milestones!$AA$115)&gt;=$R15),$U15,$T15)))=Milestones!$AB$115),TEXT(EDATE($D15,Milestones!$AA$115),"dd/mm/yy")&amp;" "&amp;Milestones!$AB$115&amp;" "&amp;Milestones!$AC$115&amp;";  ","")&amp;IF(AND(EDATE($D15,Milestones!$AA$116)&lt;=AsOfDate,IF($Q15=0,$W15,IF(AND($S15&lt;&gt;"",EDATE($D15,Milestones!$AA$116)&gt;=$S15),$V15,IF(AND($R15&lt;&gt;"",EDATE($D15,Milestones!$AA$116)&gt;=$R15),$U15,$T15)))=Milestones!$AB$116),TEXT(EDATE($D15,Milestones!$AA$116),"dd/mm/yy")&amp;" "&amp;Milestones!$AB$116&amp;" "&amp;Milestones!$AC$116&amp;";  ","")&amp;IF(AND(EDATE($D15,Milestones!$AA$117)&lt;=AsOfDate,IF($Q15=0,$W15,IF(AND($S15&lt;&gt;"",EDATE($D15,Milestones!$AA$117)&gt;=$S15),$V15,IF(AND($R15&lt;&gt;"",EDATE($D15,Milestones!$AA$117)&gt;=$R15),$U15,$T15)))=Milestones!$AB$117),TEXT(EDATE($D15,Milestones!$AA$117),"dd/mm/yy")&amp;" "&amp;Milestones!$AB$117&amp;" "&amp;Milestones!$AC$117&amp;";  ","")&amp;IF(AND(EDATE($D15,Milestones!$AA$118)&lt;=AsOfDate,IF($Q15=0,$W15,IF(AND($S15&lt;&gt;"",EDATE($D15,Milestones!$AA$118)&gt;=$S15),$V15,IF(AND($R15&lt;&gt;"",EDATE($D15,Milestones!$AA$118)&gt;=$R15),$U15,$T15)))=Milestones!$AB$118),TEXT(EDATE($D15,Milestones!$AA$118),"dd/mm/yy")&amp;" "&amp;Milestones!$AB$118&amp;" "&amp;Milestones!$AC$118&amp;";  ","")&amp;IF(AND(EDATE($D15,Milestones!$AA$119)&lt;=AsOfDate,IF($Q15=0,$W15,IF(AND($S15&lt;&gt;"",EDATE($D15,Milestones!$AA$119)&gt;=$S15),$V15,IF(AND($R15&lt;&gt;"",EDATE($D15,Milestones!$AA$119)&gt;=$R15),$U15,$T15)))=Milestones!$AB$119),TEXT(EDATE($D15,Milestones!$AA$119),"dd/mm/yy")&amp;" "&amp;Milestones!$AB$119&amp;" "&amp;Milestones!$AC$119&amp;";  ",""))</f>
        <v/>
      </c>
      <c r="M15" s="0" t="str">
        <f aca="false">IF(OR($A15="",$D15=""),"",IF(AND(EDATE($D15,Milestones!$AA$120)&lt;=AsOfDate,IF($Q15=0,$W15,IF(AND($S15&lt;&gt;"",EDATE($D15,Milestones!$AA$120)&gt;=$S15),$V15,IF(AND($R15&lt;&gt;"",EDATE($D15,Milestones!$AA$120)&gt;=$R15),$U15,$T15)))=Milestones!$AB$120),TEXT(EDATE($D15,Milestones!$AA$120),"dd/mm/yy")&amp;" "&amp;Milestones!$AB$120&amp;" "&amp;Milestones!$AC$120&amp;";  ","")&amp;IF(AND(EDATE($D15,Milestones!$AA$121)&lt;=AsOfDate,IF($Q15=0,$W15,IF(AND($S15&lt;&gt;"",EDATE($D15,Milestones!$AA$121)&gt;=$S15),$V15,IF(AND($R15&lt;&gt;"",EDATE($D15,Milestones!$AA$121)&gt;=$R15),$U15,$T15)))=Milestones!$AB$121),TEXT(EDATE($D15,Milestones!$AA$121),"dd/mm/yy")&amp;" "&amp;Milestones!$AB$121&amp;" "&amp;Milestones!$AC$121&amp;";  ","")&amp;IF(AND(EDATE($D15,Milestones!$AA$122)&lt;=AsOfDate,IF($Q15=0,$W15,IF(AND($S15&lt;&gt;"",EDATE($D15,Milestones!$AA$122)&gt;=$S15),$V15,IF(AND($R15&lt;&gt;"",EDATE($D15,Milestones!$AA$122)&gt;=$R15),$U15,$T15)))=Milestones!$AB$122),TEXT(EDATE($D15,Milestones!$AA$122),"dd/mm/yy")&amp;" "&amp;Milestones!$AB$122&amp;" "&amp;Milestones!$AC$122&amp;";  ","")&amp;IF(AND(EDATE($D15,Milestones!$AA$123)&lt;=AsOfDate,IF($Q15=0,$W15,IF(AND($S15&lt;&gt;"",EDATE($D15,Milestones!$AA$123)&gt;=$S15),$V15,IF(AND($R15&lt;&gt;"",EDATE($D15,Milestones!$AA$123)&gt;=$R15),$U15,$T15)))=Milestones!$AB$123),TEXT(EDATE($D15,Milestones!$AA$123),"dd/mm/yy")&amp;" "&amp;Milestones!$AB$123&amp;" "&amp;Milestones!$AC$123&amp;";  ","")&amp;IF(AND(EDATE($D15,Milestones!$AA$124)&lt;=AsOfDate,IF($Q15=0,$W15,IF(AND($S15&lt;&gt;"",EDATE($D15,Milestones!$AA$124)&gt;=$S15),$V15,IF(AND($R15&lt;&gt;"",EDATE($D15,Milestones!$AA$124)&gt;=$R15),$U15,$T15)))=Milestones!$AB$124),TEXT(EDATE($D15,Milestones!$AA$124),"dd/mm/yy")&amp;" "&amp;Milestones!$AB$124&amp;" "&amp;Milestones!$AC$124&amp;";  ","")&amp;IF(AND(EDATE($D15,Milestones!$AA$125)&lt;=AsOfDate,IF($Q15=0,$W15,IF(AND($S15&lt;&gt;"",EDATE($D15,Milestones!$AA$125)&gt;=$S15),$V15,IF(AND($R15&lt;&gt;"",EDATE($D15,Milestones!$AA$125)&gt;=$R15),$U15,$T15)))=Milestones!$AB$125),TEXT(EDATE($D15,Milestones!$AA$125),"dd/mm/yy")&amp;" "&amp;Milestones!$AB$125&amp;" "&amp;Milestones!$AC$125&amp;";  ","")&amp;IF(AND(EDATE($D15,Milestones!$AA$126)&lt;=AsOfDate,IF($Q15=0,$W15,IF(AND($S15&lt;&gt;"",EDATE($D15,Milestones!$AA$126)&gt;=$S15),$V15,IF(AND($R15&lt;&gt;"",EDATE($D15,Milestones!$AA$126)&gt;=$R15),$U15,$T15)))=Milestones!$AB$126),TEXT(EDATE($D15,Milestones!$AA$126),"dd/mm/yy")&amp;" "&amp;Milestones!$AB$126&amp;" "&amp;Milestones!$AC$126&amp;";  ","")&amp;IF(AND(EDATE($D15,Milestones!$AA$127)&lt;=AsOfDate,IF($Q15=0,$W15,IF(AND($S15&lt;&gt;"",EDATE($D15,Milestones!$AA$127)&gt;=$S15),$V15,IF(AND($R15&lt;&gt;"",EDATE($D15,Milestones!$AA$127)&gt;=$R15),$U15,$T15)))=Milestones!$AB$127),TEXT(EDATE($D15,Milestones!$AA$127),"dd/mm/yy")&amp;" "&amp;Milestones!$AB$127&amp;" "&amp;Milestones!$AC$127&amp;";  ","")&amp;IF(AND(EDATE($D15,Milestones!$AA$128)&lt;=AsOfDate,IF($Q15=0,$W15,IF(AND($S15&lt;&gt;"",EDATE($D15,Milestones!$AA$128)&gt;=$S15),$V15,IF(AND($R15&lt;&gt;"",EDATE($D15,Milestones!$AA$128)&gt;=$R15),$U15,$T15)))=Milestones!$AB$128),TEXT(EDATE($D15,Milestones!$AA$128),"dd/mm/yy")&amp;" "&amp;Milestones!$AB$128&amp;" "&amp;Milestones!$AC$128&amp;";  ","")&amp;IF(AND(EDATE($D15,Milestones!$AA$129)&lt;=AsOfDate,IF($Q15=0,$W15,IF(AND($S15&lt;&gt;"",EDATE($D15,Milestones!$AA$129)&gt;=$S15),$V15,IF(AND($R15&lt;&gt;"",EDATE($D15,Milestones!$AA$129)&gt;=$R15),$U15,$T15)))=Milestones!$AB$129),TEXT(EDATE($D15,Milestones!$AA$129),"dd/mm/yy")&amp;" "&amp;Milestones!$AB$129&amp;" "&amp;Milestones!$AC$129&amp;";  ","")&amp;IF(AND(EDATE($D15,Milestones!$AA$130)&lt;=AsOfDate,IF($Q15=0,$W15,IF(AND($S15&lt;&gt;"",EDATE($D15,Milestones!$AA$130)&gt;=$S15),$V15,IF(AND($R15&lt;&gt;"",EDATE($D15,Milestones!$AA$130)&gt;=$R15),$U15,$T15)))=Milestones!$AB$130),TEXT(EDATE($D15,Milestones!$AA$130),"dd/mm/yy")&amp;" "&amp;Milestones!$AB$130&amp;" "&amp;Milestones!$AC$130&amp;";  ","")&amp;IF(AND(EDATE($D15,Milestones!$AA$131)&lt;=AsOfDate,IF($Q15=0,$W15,IF(AND($S15&lt;&gt;"",EDATE($D15,Milestones!$AA$131)&gt;=$S15),$V15,IF(AND($R15&lt;&gt;"",EDATE($D15,Milestones!$AA$131)&gt;=$R15),$U15,$T15)))=Milestones!$AB$131),TEXT(EDATE($D15,Milestones!$AA$131),"dd/mm/yy")&amp;" "&amp;Milestones!$AB$131&amp;" "&amp;Milestones!$AC$131&amp;";  ","")&amp;IF(AND(EDATE($D15,Milestones!$AA$132)&lt;=AsOfDate,IF($Q15=0,$W15,IF(AND($S15&lt;&gt;"",EDATE($D15,Milestones!$AA$132)&gt;=$S15),$V15,IF(AND($R15&lt;&gt;"",EDATE($D15,Milestones!$AA$132)&gt;=$R15),$U15,$T15)))=Milestones!$AB$132),TEXT(EDATE($D15,Milestones!$AA$132),"dd/mm/yy")&amp;" "&amp;Milestones!$AB$132&amp;" "&amp;Milestones!$AC$132&amp;";  ","")&amp;IF(AND(EDATE($D15,Milestones!$AA$133)&lt;=AsOfDate,IF($Q15=0,$W15,IF(AND($S15&lt;&gt;"",EDATE($D15,Milestones!$AA$133)&gt;=$S15),$V15,IF(AND($R15&lt;&gt;"",EDATE($D15,Milestones!$AA$133)&gt;=$R15),$U15,$T15)))=Milestones!$AB$133),TEXT(EDATE($D15,Milestones!$AA$133),"dd/mm/yy")&amp;" "&amp;Milestones!$AB$133&amp;" "&amp;Milestones!$AC$133&amp;";  ","")&amp;IF(AND(EDATE($D15,Milestones!$AA$134)&lt;=AsOfDate,IF($Q15=0,$W15,IF(AND($S15&lt;&gt;"",EDATE($D15,Milestones!$AA$134)&gt;=$S15),$V15,IF(AND($R15&lt;&gt;"",EDATE($D15,Milestones!$AA$134)&gt;=$R15),$U15,$T15)))=Milestones!$AB$134),TEXT(EDATE($D15,Milestones!$AA$134),"dd/mm/yy")&amp;" "&amp;Milestones!$AB$134&amp;" "&amp;Milestones!$AC$134&amp;";  ","")&amp;IF(AND(EDATE($D15,Milestones!$AA$135)&lt;=AsOfDate,IF($Q15=0,$W15,IF(AND($S15&lt;&gt;"",EDATE($D15,Milestones!$AA$135)&gt;=$S15),$V15,IF(AND($R15&lt;&gt;"",EDATE($D15,Milestones!$AA$135)&gt;=$R15),$U15,$T15)))=Milestones!$AB$135),TEXT(EDATE($D15,Milestones!$AA$135),"dd/mm/yy")&amp;" "&amp;Milestones!$AB$135&amp;" "&amp;Milestones!$AC$135&amp;";  ","")&amp;IF(AND(EDATE($D15,Milestones!$AA$136)&lt;=AsOfDate,IF($Q15=0,$W15,IF(AND($S15&lt;&gt;"",EDATE($D15,Milestones!$AA$136)&gt;=$S15),$V15,IF(AND($R15&lt;&gt;"",EDATE($D15,Milestones!$AA$136)&gt;=$R15),$U15,$T15)))=Milestones!$AB$136),TEXT(EDATE($D15,Milestones!$AA$136),"dd/mm/yy")&amp;" "&amp;Milestones!$AB$136&amp;" "&amp;Milestones!$AC$136&amp;";  ","")&amp;IF(AND(EDATE($D15,Milestones!$AA$137)&lt;=AsOfDate,IF($Q15=0,$W15,IF(AND($S15&lt;&gt;"",EDATE($D15,Milestones!$AA$137)&gt;=$S15),$V15,IF(AND($R15&lt;&gt;"",EDATE($D15,Milestones!$AA$137)&gt;=$R15),$U15,$T15)))=Milestones!$AB$137),TEXT(EDATE($D15,Milestones!$AA$137),"dd/mm/yy")&amp;" "&amp;Milestones!$AB$137&amp;" "&amp;Milestones!$AC$137&amp;";  ","")&amp;IF(AND(EDATE($D15,Milestones!$AA$138)&lt;=AsOfDate,IF($Q15=0,$W15,IF(AND($S15&lt;&gt;"",EDATE($D15,Milestones!$AA$138)&gt;=$S15),$V15,IF(AND($R15&lt;&gt;"",EDATE($D15,Milestones!$AA$138)&gt;=$R15),$U15,$T15)))=Milestones!$AB$138),TEXT(EDATE($D15,Milestones!$AA$138),"dd/mm/yy")&amp;" "&amp;Milestones!$AB$138&amp;" "&amp;Milestones!$AC$138&amp;";  ","")&amp;IF(AND(EDATE($D15,Milestones!$AA$139)&lt;=AsOfDate,IF($Q15=0,$W15,IF(AND($S15&lt;&gt;"",EDATE($D15,Milestones!$AA$139)&gt;=$S15),$V15,IF(AND($R15&lt;&gt;"",EDATE($D15,Milestones!$AA$139)&gt;=$R15),$U15,$T15)))=Milestones!$AB$139),TEXT(EDATE($D15,Milestones!$AA$139),"dd/mm/yy")&amp;" "&amp;Milestones!$AB$139&amp;" "&amp;Milestones!$AC$139&amp;";  ",""))</f>
        <v/>
      </c>
      <c r="N15" s="0" t="str">
        <f aca="false">IF(OR($A15="",$D15=""),"",IF(AND(EDATE($D15,Milestones!$AA$140)&lt;=AsOfDate,IF($Q15=0,$W15,IF(AND($S15&lt;&gt;"",EDATE($D15,Milestones!$AA$140)&gt;=$S15),$V15,IF(AND($R15&lt;&gt;"",EDATE($D15,Milestones!$AA$140)&gt;=$R15),$U15,$T15)))=Milestones!$AB$140),TEXT(EDATE($D15,Milestones!$AA$140),"dd/mm/yy")&amp;" "&amp;Milestones!$AB$140&amp;" "&amp;Milestones!$AC$140&amp;";  ","")&amp;IF(AND(EDATE($D15,Milestones!$AA$141)&lt;=AsOfDate,IF($Q15=0,$W15,IF(AND($S15&lt;&gt;"",EDATE($D15,Milestones!$AA$141)&gt;=$S15),$V15,IF(AND($R15&lt;&gt;"",EDATE($D15,Milestones!$AA$141)&gt;=$R15),$U15,$T15)))=Milestones!$AB$141),TEXT(EDATE($D15,Milestones!$AA$141),"dd/mm/yy")&amp;" "&amp;Milestones!$AB$141&amp;" "&amp;Milestones!$AC$141&amp;";  ","")&amp;IF(AND(EDATE($D15,Milestones!$AA$142)&lt;=AsOfDate,IF($Q15=0,$W15,IF(AND($S15&lt;&gt;"",EDATE($D15,Milestones!$AA$142)&gt;=$S15),$V15,IF(AND($R15&lt;&gt;"",EDATE($D15,Milestones!$AA$142)&gt;=$R15),$U15,$T15)))=Milestones!$AB$142),TEXT(EDATE($D15,Milestones!$AA$142),"dd/mm/yy")&amp;" "&amp;Milestones!$AB$142&amp;" "&amp;Milestones!$AC$142&amp;";  ","")&amp;IF(AND(EDATE($D15,Milestones!$AA$143)&lt;=AsOfDate,IF($Q15=0,$W15,IF(AND($S15&lt;&gt;"",EDATE($D15,Milestones!$AA$143)&gt;=$S15),$V15,IF(AND($R15&lt;&gt;"",EDATE($D15,Milestones!$AA$143)&gt;=$R15),$U15,$T15)))=Milestones!$AB$143),TEXT(EDATE($D15,Milestones!$AA$143),"dd/mm/yy")&amp;" "&amp;Milestones!$AB$143&amp;" "&amp;Milestones!$AC$143&amp;";  ","")&amp;IF(AND(EDATE($D15,Milestones!$AA$144)&lt;=AsOfDate,IF($Q15=0,$W15,IF(AND($S15&lt;&gt;"",EDATE($D15,Milestones!$AA$144)&gt;=$S15),$V15,IF(AND($R15&lt;&gt;"",EDATE($D15,Milestones!$AA$144)&gt;=$R15),$U15,$T15)))=Milestones!$AB$144),TEXT(EDATE($D15,Milestones!$AA$144),"dd/mm/yy")&amp;" "&amp;Milestones!$AB$144&amp;" "&amp;Milestones!$AC$144&amp;";  ","")&amp;IF(AND(EDATE($D15,Milestones!$AA$145)&lt;=AsOfDate,IF($Q15=0,$W15,IF(AND($S15&lt;&gt;"",EDATE($D15,Milestones!$AA$145)&gt;=$S15),$V15,IF(AND($R15&lt;&gt;"",EDATE($D15,Milestones!$AA$145)&gt;=$R15),$U15,$T15)))=Milestones!$AB$145),TEXT(EDATE($D15,Milestones!$AA$145),"dd/mm/yy")&amp;" "&amp;Milestones!$AB$145&amp;" "&amp;Milestones!$AC$145&amp;";  ","")&amp;IF(AND(EDATE($D15,Milestones!$AA$146)&lt;=AsOfDate,IF($Q15=0,$W15,IF(AND($S15&lt;&gt;"",EDATE($D15,Milestones!$AA$146)&gt;=$S15),$V15,IF(AND($R15&lt;&gt;"",EDATE($D15,Milestones!$AA$146)&gt;=$R15),$U15,$T15)))=Milestones!$AB$146),TEXT(EDATE($D15,Milestones!$AA$146),"dd/mm/yy")&amp;" "&amp;Milestones!$AB$146&amp;" "&amp;Milestones!$AC$146&amp;";  ","")&amp;IF(AND(EDATE($D15,Milestones!$AA$147)&lt;=AsOfDate,IF($Q15=0,$W15,IF(AND($S15&lt;&gt;"",EDATE($D15,Milestones!$AA$147)&gt;=$S15),$V15,IF(AND($R15&lt;&gt;"",EDATE($D15,Milestones!$AA$147)&gt;=$R15),$U15,$T15)))=Milestones!$AB$147),TEXT(EDATE($D15,Milestones!$AA$147),"dd/mm/yy")&amp;" "&amp;Milestones!$AB$147&amp;" "&amp;Milestones!$AC$147&amp;";  ","")&amp;IF(AND(EDATE($D15,Milestones!$AA$148)&lt;=AsOfDate,IF($Q15=0,$W15,IF(AND($S15&lt;&gt;"",EDATE($D15,Milestones!$AA$148)&gt;=$S15),$V15,IF(AND($R15&lt;&gt;"",EDATE($D15,Milestones!$AA$148)&gt;=$R15),$U15,$T15)))=Milestones!$AB$148),TEXT(EDATE($D15,Milestones!$AA$148),"dd/mm/yy")&amp;" "&amp;Milestones!$AB$148&amp;" "&amp;Milestones!$AC$148&amp;";  ","")&amp;IF(AND(EDATE($D15,Milestones!$AA$149)&lt;=AsOfDate,IF($Q15=0,$W15,IF(AND($S15&lt;&gt;"",EDATE($D15,Milestones!$AA$149)&gt;=$S15),$V15,IF(AND($R15&lt;&gt;"",EDATE($D15,Milestones!$AA$149)&gt;=$R15),$U15,$T15)))=Milestones!$AB$149),TEXT(EDATE($D15,Milestones!$AA$149),"dd/mm/yy")&amp;" "&amp;Milestones!$AB$149&amp;" "&amp;Milestones!$AC$149&amp;";  ","")&amp;IF(AND(EDATE($D15,Milestones!$AA$150)&lt;=AsOfDate,IF($Q15=0,$W15,IF(AND($S15&lt;&gt;"",EDATE($D15,Milestones!$AA$150)&gt;=$S15),$V15,IF(AND($R15&lt;&gt;"",EDATE($D15,Milestones!$AA$150)&gt;=$R15),$U15,$T15)))=Milestones!$AB$150),TEXT(EDATE($D15,Milestones!$AA$150),"dd/mm/yy")&amp;" "&amp;Milestones!$AB$150&amp;" "&amp;Milestones!$AC$150&amp;";  ","")&amp;IF(AND(EDATE($D15,Milestones!$AA$151)&lt;=AsOfDate,IF($Q15=0,$W15,IF(AND($S15&lt;&gt;"",EDATE($D15,Milestones!$AA$151)&gt;=$S15),$V15,IF(AND($R15&lt;&gt;"",EDATE($D15,Milestones!$AA$151)&gt;=$R15),$U15,$T15)))=Milestones!$AB$151),TEXT(EDATE($D15,Milestones!$AA$151),"dd/mm/yy")&amp;" "&amp;Milestones!$AB$151&amp;" "&amp;Milestones!$AC$151&amp;";  ","")&amp;IF(AND(EDATE($D15,Milestones!$AA$152)&lt;=AsOfDate,IF($Q15=0,$W15,IF(AND($S15&lt;&gt;"",EDATE($D15,Milestones!$AA$152)&gt;=$S15),$V15,IF(AND($R15&lt;&gt;"",EDATE($D15,Milestones!$AA$152)&gt;=$R15),$U15,$T15)))=Milestones!$AB$152),TEXT(EDATE($D15,Milestones!$AA$152),"dd/mm/yy")&amp;" "&amp;Milestones!$AB$152&amp;" "&amp;Milestones!$AC$152&amp;";  ","")&amp;IF(AND(EDATE($D15,Milestones!$AA$153)&lt;=AsOfDate,IF($Q15=0,$W15,IF(AND($S15&lt;&gt;"",EDATE($D15,Milestones!$AA$153)&gt;=$S15),$V15,IF(AND($R15&lt;&gt;"",EDATE($D15,Milestones!$AA$153)&gt;=$R15),$U15,$T15)))=Milestones!$AB$153),TEXT(EDATE($D15,Milestones!$AA$153),"dd/mm/yy")&amp;" "&amp;Milestones!$AB$153&amp;" "&amp;Milestones!$AC$153&amp;";  ","")&amp;IF(AND(EDATE($D15,Milestones!$AA$154)&lt;=AsOfDate,IF($Q15=0,$W15,IF(AND($S15&lt;&gt;"",EDATE($D15,Milestones!$AA$154)&gt;=$S15),$V15,IF(AND($R15&lt;&gt;"",EDATE($D15,Milestones!$AA$154)&gt;=$R15),$U15,$T15)))=Milestones!$AB$154),TEXT(EDATE($D15,Milestones!$AA$154),"dd/mm/yy")&amp;" "&amp;Milestones!$AB$154&amp;" "&amp;Milestones!$AC$154&amp;";  ","")&amp;IF(AND(EDATE($D15,Milestones!$AA$155)&lt;=AsOfDate,IF($Q15=0,$W15,IF(AND($S15&lt;&gt;"",EDATE($D15,Milestones!$AA$155)&gt;=$S15),$V15,IF(AND($R15&lt;&gt;"",EDATE($D15,Milestones!$AA$155)&gt;=$R15),$U15,$T15)))=Milestones!$AB$155),TEXT(EDATE($D15,Milestones!$AA$155),"dd/mm/yy")&amp;" "&amp;Milestones!$AB$155&amp;" "&amp;Milestones!$AC$155&amp;";  ","")&amp;IF(AND(EDATE($D15,Milestones!$AA$156)&lt;=AsOfDate,IF($Q15=0,$W15,IF(AND($S15&lt;&gt;"",EDATE($D15,Milestones!$AA$156)&gt;=$S15),$V15,IF(AND($R15&lt;&gt;"",EDATE($D15,Milestones!$AA$156)&gt;=$R15),$U15,$T15)))=Milestones!$AB$156),TEXT(EDATE($D15,Milestones!$AA$156),"dd/mm/yy")&amp;" "&amp;Milestones!$AB$156&amp;" "&amp;Milestones!$AC$156&amp;";  ","")&amp;IF(AND(EDATE($D15,Milestones!$AA$157)&lt;=AsOfDate,IF($Q15=0,$W15,IF(AND($S15&lt;&gt;"",EDATE($D15,Milestones!$AA$157)&gt;=$S15),$V15,IF(AND($R15&lt;&gt;"",EDATE($D15,Milestones!$AA$157)&gt;=$R15),$U15,$T15)))=Milestones!$AB$157),TEXT(EDATE($D15,Milestones!$AA$157),"dd/mm/yy")&amp;" "&amp;Milestones!$AB$157&amp;" "&amp;Milestones!$AC$157&amp;";  ","")&amp;IF(AND(EDATE($D15,Milestones!$AA$158)&lt;=AsOfDate,IF($Q15=0,$W15,IF(AND($S15&lt;&gt;"",EDATE($D15,Milestones!$AA$158)&gt;=$S15),$V15,IF(AND($R15&lt;&gt;"",EDATE($D15,Milestones!$AA$158)&gt;=$R15),$U15,$T15)))=Milestones!$AB$158),TEXT(EDATE($D15,Milestones!$AA$158),"dd/mm/yy")&amp;" "&amp;Milestones!$AB$158&amp;" "&amp;Milestones!$AC$158&amp;";  ","")&amp;IF(AND(EDATE($D15,Milestones!$AA$159)&lt;=AsOfDate,IF($Q15=0,$W15,IF(AND($S15&lt;&gt;"",EDATE($D15,Milestones!$AA$159)&gt;=$S15),$V15,IF(AND($R15&lt;&gt;"",EDATE($D15,Milestones!$AA$159)&gt;=$R15),$U15,$T15)))=Milestones!$AB$159),TEXT(EDATE($D15,Milestones!$AA$159),"dd/mm/yy")&amp;" "&amp;Milestones!$AB$159&amp;" "&amp;Milestones!$AC$159&amp;";  ",""))</f>
        <v/>
      </c>
      <c r="O15" s="0" t="str">
        <f aca="false">IF(OR($A15="",$D15=""),"",IF(AND(EDATE($D15,Milestones!$AA$160)&lt;=AsOfDate,IF($Q15=0,$W15,IF(AND($S15&lt;&gt;"",EDATE($D15,Milestones!$AA$160)&gt;=$S15),$V15,IF(AND($R15&lt;&gt;"",EDATE($D15,Milestones!$AA$160)&gt;=$R15),$U15,$T15)))=Milestones!$AB$160),TEXT(EDATE($D15,Milestones!$AA$160),"dd/mm/yy")&amp;" "&amp;Milestones!$AB$160&amp;" "&amp;Milestones!$AC$160&amp;";  ","")&amp;IF(AND(EDATE($D15,Milestones!$AA$161)&lt;=AsOfDate,IF($Q15=0,$W15,IF(AND($S15&lt;&gt;"",EDATE($D15,Milestones!$AA$161)&gt;=$S15),$V15,IF(AND($R15&lt;&gt;"",EDATE($D15,Milestones!$AA$161)&gt;=$R15),$U15,$T15)))=Milestones!$AB$161),TEXT(EDATE($D15,Milestones!$AA$161),"dd/mm/yy")&amp;" "&amp;Milestones!$AB$161&amp;" "&amp;Milestones!$AC$161&amp;";  ","")&amp;IF(AND(EDATE($D15,Milestones!$AA$162)&lt;=AsOfDate,IF($Q15=0,$W15,IF(AND($S15&lt;&gt;"",EDATE($D15,Milestones!$AA$162)&gt;=$S15),$V15,IF(AND($R15&lt;&gt;"",EDATE($D15,Milestones!$AA$162)&gt;=$R15),$U15,$T15)))=Milestones!$AB$162),TEXT(EDATE($D15,Milestones!$AA$162),"dd/mm/yy")&amp;" "&amp;Milestones!$AB$162&amp;" "&amp;Milestones!$AC$162&amp;";  ","")&amp;IF(AND(EDATE($D15,Milestones!$AA$163)&lt;=AsOfDate,IF($Q15=0,$W15,IF(AND($S15&lt;&gt;"",EDATE($D15,Milestones!$AA$163)&gt;=$S15),$V15,IF(AND($R15&lt;&gt;"",EDATE($D15,Milestones!$AA$163)&gt;=$R15),$U15,$T15)))=Milestones!$AB$163),TEXT(EDATE($D15,Milestones!$AA$163),"dd/mm/yy")&amp;" "&amp;Milestones!$AB$163&amp;" "&amp;Milestones!$AC$163&amp;";  ","")&amp;IF(AND(EDATE($D15,Milestones!$AA$164)&lt;=AsOfDate,IF($Q15=0,$W15,IF(AND($S15&lt;&gt;"",EDATE($D15,Milestones!$AA$164)&gt;=$S15),$V15,IF(AND($R15&lt;&gt;"",EDATE($D15,Milestones!$AA$164)&gt;=$R15),$U15,$T15)))=Milestones!$AB$164),TEXT(EDATE($D15,Milestones!$AA$164),"dd/mm/yy")&amp;" "&amp;Milestones!$AB$164&amp;" "&amp;Milestones!$AC$164&amp;";  ","")&amp;IF(AND(EDATE($D15,Milestones!$AA$165)&lt;=AsOfDate,IF($Q15=0,$W15,IF(AND($S15&lt;&gt;"",EDATE($D15,Milestones!$AA$165)&gt;=$S15),$V15,IF(AND($R15&lt;&gt;"",EDATE($D15,Milestones!$AA$165)&gt;=$R15),$U15,$T15)))=Milestones!$AB$165),TEXT(EDATE($D15,Milestones!$AA$165),"dd/mm/yy")&amp;" "&amp;Milestones!$AB$165&amp;" "&amp;Milestones!$AC$165&amp;";  ","")&amp;IF(AND(EDATE($D15,Milestones!$AA$166)&lt;=AsOfDate,IF($Q15=0,$W15,IF(AND($S15&lt;&gt;"",EDATE($D15,Milestones!$AA$166)&gt;=$S15),$V15,IF(AND($R15&lt;&gt;"",EDATE($D15,Milestones!$AA$166)&gt;=$R15),$U15,$T15)))=Milestones!$AB$166),TEXT(EDATE($D15,Milestones!$AA$166),"dd/mm/yy")&amp;" "&amp;Milestones!$AB$166&amp;" "&amp;Milestones!$AC$166&amp;";  ","")&amp;IF(AND(EDATE($D15,Milestones!$AA$167)&lt;=AsOfDate,IF($Q15=0,$W15,IF(AND($S15&lt;&gt;"",EDATE($D15,Milestones!$AA$167)&gt;=$S15),$V15,IF(AND($R15&lt;&gt;"",EDATE($D15,Milestones!$AA$167)&gt;=$R15),$U15,$T15)))=Milestones!$AB$167),TEXT(EDATE($D15,Milestones!$AA$167),"dd/mm/yy")&amp;" "&amp;Milestones!$AB$167&amp;" "&amp;Milestones!$AC$167&amp;";  ","")&amp;IF(AND(EDATE($D15,Milestones!$AA$168)&lt;=AsOfDate,IF($Q15=0,$W15,IF(AND($S15&lt;&gt;"",EDATE($D15,Milestones!$AA$168)&gt;=$S15),$V15,IF(AND($R15&lt;&gt;"",EDATE($D15,Milestones!$AA$168)&gt;=$R15),$U15,$T15)))=Milestones!$AB$168),TEXT(EDATE($D15,Milestones!$AA$168),"dd/mm/yy")&amp;" "&amp;Milestones!$AB$168&amp;" "&amp;Milestones!$AC$168&amp;";  ","")&amp;IF(AND(EDATE($D15,Milestones!$AA$169)&lt;=AsOfDate,IF($Q15=0,$W15,IF(AND($S15&lt;&gt;"",EDATE($D15,Milestones!$AA$169)&gt;=$S15),$V15,IF(AND($R15&lt;&gt;"",EDATE($D15,Milestones!$AA$169)&gt;=$R15),$U15,$T15)))=Milestones!$AB$169),TEXT(EDATE($D15,Milestones!$AA$169),"dd/mm/yy")&amp;" "&amp;Milestones!$AB$169&amp;" "&amp;Milestones!$AC$169&amp;";  ","")&amp;IF(AND(EDATE($D15,Milestones!$AA$170)&lt;=AsOfDate,IF($Q15=0,$W15,IF(AND($S15&lt;&gt;"",EDATE($D15,Milestones!$AA$170)&gt;=$S15),$V15,IF(AND($R15&lt;&gt;"",EDATE($D15,Milestones!$AA$170)&gt;=$R15),$U15,$T15)))=Milestones!$AB$170),TEXT(EDATE($D15,Milestones!$AA$170),"dd/mm/yy")&amp;" "&amp;Milestones!$AB$170&amp;" "&amp;Milestones!$AC$170&amp;";  ","")&amp;IF(AND(EDATE($D15,Milestones!$AA$171)&lt;=AsOfDate,IF($Q15=0,$W15,IF(AND($S15&lt;&gt;"",EDATE($D15,Milestones!$AA$171)&gt;=$S15),$V15,IF(AND($R15&lt;&gt;"",EDATE($D15,Milestones!$AA$171)&gt;=$R15),$U15,$T15)))=Milestones!$AB$171),TEXT(EDATE($D15,Milestones!$AA$171),"dd/mm/yy")&amp;" "&amp;Milestones!$AB$171&amp;" "&amp;Milestones!$AC$171&amp;";  ","")&amp;IF(AND(EDATE($D15,Milestones!$AA$172)&lt;=AsOfDate,IF($Q15=0,$W15,IF(AND($S15&lt;&gt;"",EDATE($D15,Milestones!$AA$172)&gt;=$S15),$V15,IF(AND($R15&lt;&gt;"",EDATE($D15,Milestones!$AA$172)&gt;=$R15),$U15,$T15)))=Milestones!$AB$172),TEXT(EDATE($D15,Milestones!$AA$172),"dd/mm/yy")&amp;" "&amp;Milestones!$AB$172&amp;" "&amp;Milestones!$AC$172&amp;";  ","")&amp;IF(AND(EDATE($D15,Milestones!$AA$173)&lt;=AsOfDate,IF($Q15=0,$W15,IF(AND($S15&lt;&gt;"",EDATE($D15,Milestones!$AA$173)&gt;=$S15),$V15,IF(AND($R15&lt;&gt;"",EDATE($D15,Milestones!$AA$173)&gt;=$R15),$U15,$T15)))=Milestones!$AB$173),TEXT(EDATE($D15,Milestones!$AA$173),"dd/mm/yy")&amp;" "&amp;Milestones!$AB$173&amp;" "&amp;Milestones!$AC$173&amp;";  ","")&amp;IF(AND(EDATE($D15,Milestones!$AA$174)&lt;=AsOfDate,IF($Q15=0,$W15,IF(AND($S15&lt;&gt;"",EDATE($D15,Milestones!$AA$174)&gt;=$S15),$V15,IF(AND($R15&lt;&gt;"",EDATE($D15,Milestones!$AA$174)&gt;=$R15),$U15,$T15)))=Milestones!$AB$174),TEXT(EDATE($D15,Milestones!$AA$174),"dd/mm/yy")&amp;" "&amp;Milestones!$AB$174&amp;" "&amp;Milestones!$AC$174&amp;";  ","")&amp;IF(AND(EDATE($D15,Milestones!$AA$175)&lt;=AsOfDate,IF($Q15=0,$W15,IF(AND($S15&lt;&gt;"",EDATE($D15,Milestones!$AA$175)&gt;=$S15),$V15,IF(AND($R15&lt;&gt;"",EDATE($D15,Milestones!$AA$175)&gt;=$R15),$U15,$T15)))=Milestones!$AB$175),TEXT(EDATE($D15,Milestones!$AA$175),"dd/mm/yy")&amp;" "&amp;Milestones!$AB$175&amp;" "&amp;Milestones!$AC$175&amp;";  ","")&amp;IF(AND(EDATE($D15,Milestones!$AA$176)&lt;=AsOfDate,IF($Q15=0,$W15,IF(AND($S15&lt;&gt;"",EDATE($D15,Milestones!$AA$176)&gt;=$S15),$V15,IF(AND($R15&lt;&gt;"",EDATE($D15,Milestones!$AA$176)&gt;=$R15),$U15,$T15)))=Milestones!$AB$176),TEXT(EDATE($D15,Milestones!$AA$176),"dd/mm/yy")&amp;" "&amp;Milestones!$AB$176&amp;" "&amp;Milestones!$AC$176&amp;";  ","")&amp;IF(AND(EDATE($D15,Milestones!$AA$177)&lt;=AsOfDate,IF($Q15=0,$W15,IF(AND($S15&lt;&gt;"",EDATE($D15,Milestones!$AA$177)&gt;=$S15),$V15,IF(AND($R15&lt;&gt;"",EDATE($D15,Milestones!$AA$177)&gt;=$R15),$U15,$T15)))=Milestones!$AB$177),TEXT(EDATE($D15,Milestones!$AA$177),"dd/mm/yy")&amp;" "&amp;Milestones!$AB$177&amp;" "&amp;Milestones!$AC$177&amp;";  ","")&amp;IF(AND(EDATE($D15,Milestones!$AA$178)&lt;=AsOfDate,IF($Q15=0,$W15,IF(AND($S15&lt;&gt;"",EDATE($D15,Milestones!$AA$178)&gt;=$S15),$V15,IF(AND($R15&lt;&gt;"",EDATE($D15,Milestones!$AA$178)&gt;=$R15),$U15,$T15)))=Milestones!$AB$178),TEXT(EDATE($D15,Milestones!$AA$178),"dd/mm/yy")&amp;" "&amp;Milestones!$AB$178&amp;" "&amp;Milestones!$AC$178&amp;";  ","")&amp;IF(AND(EDATE($D15,Milestones!$AA$179)&lt;=AsOfDate,IF($Q15=0,$W15,IF(AND($S15&lt;&gt;"",EDATE($D15,Milestones!$AA$179)&gt;=$S15),$V15,IF(AND($R15&lt;&gt;"",EDATE($D15,Milestones!$AA$179)&gt;=$R15),$U15,$T15)))=Milestones!$AB$179),TEXT(EDATE($D15,Milestones!$AA$179),"dd/mm/yy")&amp;" "&amp;Milestones!$AB$179&amp;" "&amp;Milestones!$AC$179&amp;";  ",""))</f>
        <v/>
      </c>
      <c r="P15" s="0" t="str">
        <f aca="false">IF(OR($A15="",$D15=""),"",IF(AND(EDATE($D15,Milestones!$AA$180)&lt;=AsOfDate,IF($Q15=0,$W15,IF(AND($S15&lt;&gt;"",EDATE($D15,Milestones!$AA$180)&gt;=$S15),$V15,IF(AND($R15&lt;&gt;"",EDATE($D15,Milestones!$AA$180)&gt;=$R15),$U15,$T15)))=Milestones!$AB$180),TEXT(EDATE($D15,Milestones!$AA$180),"dd/mm/yy")&amp;" "&amp;Milestones!$AB$180&amp;" "&amp;Milestones!$AC$180&amp;";  ","")&amp;IF(AND(EDATE($D15,Milestones!$AA$181)&lt;=AsOfDate,IF($Q15=0,$W15,IF(AND($S15&lt;&gt;"",EDATE($D15,Milestones!$AA$181)&gt;=$S15),$V15,IF(AND($R15&lt;&gt;"",EDATE($D15,Milestones!$AA$181)&gt;=$R15),$U15,$T15)))=Milestones!$AB$181),TEXT(EDATE($D15,Milestones!$AA$181),"dd/mm/yy")&amp;" "&amp;Milestones!$AB$181&amp;" "&amp;Milestones!$AC$181&amp;";  ","")&amp;IF(AND(EDATE($D15,Milestones!$AA$182)&lt;=AsOfDate,IF($Q15=0,$W15,IF(AND($S15&lt;&gt;"",EDATE($D15,Milestones!$AA$182)&gt;=$S15),$V15,IF(AND($R15&lt;&gt;"",EDATE($D15,Milestones!$AA$182)&gt;=$R15),$U15,$T15)))=Milestones!$AB$182),TEXT(EDATE($D15,Milestones!$AA$182),"dd/mm/yy")&amp;" "&amp;Milestones!$AB$182&amp;" "&amp;Milestones!$AC$182&amp;";  ","")&amp;IF(AND(EDATE($D15,Milestones!$AA$183)&lt;=AsOfDate,IF($Q15=0,$W15,IF(AND($S15&lt;&gt;"",EDATE($D15,Milestones!$AA$183)&gt;=$S15),$V15,IF(AND($R15&lt;&gt;"",EDATE($D15,Milestones!$AA$183)&gt;=$R15),$U15,$T15)))=Milestones!$AB$183),TEXT(EDATE($D15,Milestones!$AA$183),"dd/mm/yy")&amp;" "&amp;Milestones!$AB$183&amp;" "&amp;Milestones!$AC$183&amp;";  ","")&amp;IF(AND(EDATE($D15,Milestones!$AA$184)&lt;=AsOfDate,IF($Q15=0,$W15,IF(AND($S15&lt;&gt;"",EDATE($D15,Milestones!$AA$184)&gt;=$S15),$V15,IF(AND($R15&lt;&gt;"",EDATE($D15,Milestones!$AA$184)&gt;=$R15),$U15,$T15)))=Milestones!$AB$184),TEXT(EDATE($D15,Milestones!$AA$184),"dd/mm/yy")&amp;" "&amp;Milestones!$AB$184&amp;" "&amp;Milestones!$AC$184&amp;";  ","")&amp;IF(AND(EDATE($D15,Milestones!$AA$185)&lt;=AsOfDate,IF($Q15=0,$W15,IF(AND($S15&lt;&gt;"",EDATE($D15,Milestones!$AA$185)&gt;=$S15),$V15,IF(AND($R15&lt;&gt;"",EDATE($D15,Milestones!$AA$185)&gt;=$R15),$U15,$T15)))=Milestones!$AB$185),TEXT(EDATE($D15,Milestones!$AA$185),"dd/mm/yy")&amp;" "&amp;Milestones!$AB$185&amp;" "&amp;Milestones!$AC$185&amp;";  ","")&amp;IF(AND(EDATE($D15,Milestones!$AA$186)&lt;=AsOfDate,IF($Q15=0,$W15,IF(AND($S15&lt;&gt;"",EDATE($D15,Milestones!$AA$186)&gt;=$S15),$V15,IF(AND($R15&lt;&gt;"",EDATE($D15,Milestones!$AA$186)&gt;=$R15),$U15,$T15)))=Milestones!$AB$186),TEXT(EDATE($D15,Milestones!$AA$186),"dd/mm/yy")&amp;" "&amp;Milestones!$AB$186&amp;" "&amp;Milestones!$AC$186&amp;";  ","")&amp;IF(AND(EDATE($D15,Milestones!$AA$187)&lt;=AsOfDate,IF($Q15=0,$W15,IF(AND($S15&lt;&gt;"",EDATE($D15,Milestones!$AA$187)&gt;=$S15),$V15,IF(AND($R15&lt;&gt;"",EDATE($D15,Milestones!$AA$187)&gt;=$R15),$U15,$T15)))=Milestones!$AB$187),TEXT(EDATE($D15,Milestones!$AA$187),"dd/mm/yy")&amp;" "&amp;Milestones!$AB$187&amp;" "&amp;Milestones!$AC$187&amp;";  ","")&amp;IF(AND(EDATE($D15,Milestones!$AA$188)&lt;=AsOfDate,IF($Q15=0,$W15,IF(AND($S15&lt;&gt;"",EDATE($D15,Milestones!$AA$188)&gt;=$S15),$V15,IF(AND($R15&lt;&gt;"",EDATE($D15,Milestones!$AA$188)&gt;=$R15),$U15,$T15)))=Milestones!$AB$188),TEXT(EDATE($D15,Milestones!$AA$188),"dd/mm/yy")&amp;" "&amp;Milestones!$AB$188&amp;" "&amp;Milestones!$AC$188&amp;";  ","")&amp;IF(AND(EDATE($D15,Milestones!$AA$189)&lt;=AsOfDate,IF($Q15=0,$W15,IF(AND($S15&lt;&gt;"",EDATE($D15,Milestones!$AA$189)&gt;=$S15),$V15,IF(AND($R15&lt;&gt;"",EDATE($D15,Milestones!$AA$189)&gt;=$R15),$U15,$T15)))=Milestones!$AB$189),TEXT(EDATE($D15,Milestones!$AA$189),"dd/mm/yy")&amp;" "&amp;Milestones!$AB$189&amp;" "&amp;Milestones!$AC$189&amp;";  ","")&amp;IF(AND(EDATE($D15,Milestones!$AA$190)&lt;=AsOfDate,IF($Q15=0,$W15,IF(AND($S15&lt;&gt;"",EDATE($D15,Milestones!$AA$190)&gt;=$S15),$V15,IF(AND($R15&lt;&gt;"",EDATE($D15,Milestones!$AA$190)&gt;=$R15),$U15,$T15)))=Milestones!$AB$190),TEXT(EDATE($D15,Milestones!$AA$190),"dd/mm/yy")&amp;" "&amp;Milestones!$AB$190&amp;" "&amp;Milestones!$AC$190&amp;";  ","")&amp;IF(AND(EDATE($D15,Milestones!$AA$191)&lt;=AsOfDate,IF($Q15=0,$W15,IF(AND($S15&lt;&gt;"",EDATE($D15,Milestones!$AA$191)&gt;=$S15),$V15,IF(AND($R15&lt;&gt;"",EDATE($D15,Milestones!$AA$191)&gt;=$R15),$U15,$T15)))=Milestones!$AB$191),TEXT(EDATE($D15,Milestones!$AA$191),"dd/mm/yy")&amp;" "&amp;Milestones!$AB$191&amp;" "&amp;Milestones!$AC$191&amp;";  ","")&amp;IF(AND(EDATE($D15,Milestones!$AA$192)&lt;=AsOfDate,IF($Q15=0,$W15,IF(AND($S15&lt;&gt;"",EDATE($D15,Milestones!$AA$192)&gt;=$S15),$V15,IF(AND($R15&lt;&gt;"",EDATE($D15,Milestones!$AA$192)&gt;=$R15),$U15,$T15)))=Milestones!$AB$192),TEXT(EDATE($D15,Milestones!$AA$192),"dd/mm/yy")&amp;" "&amp;Milestones!$AB$192&amp;" "&amp;Milestones!$AC$192&amp;";  ","")&amp;IF(AND(EDATE($D15,Milestones!$AA$193)&lt;=AsOfDate,IF($Q15=0,$W15,IF(AND($S15&lt;&gt;"",EDATE($D15,Milestones!$AA$193)&gt;=$S15),$V15,IF(AND($R15&lt;&gt;"",EDATE($D15,Milestones!$AA$193)&gt;=$R15),$U15,$T15)))=Milestones!$AB$193),TEXT(EDATE($D15,Milestones!$AA$193),"dd/mm/yy")&amp;" "&amp;Milestones!$AB$193&amp;" "&amp;Milestones!$AC$193&amp;";  ","")&amp;IF(AND(EDATE($D15,Milestones!$AA$194)&lt;=AsOfDate,IF($Q15=0,$W15,IF(AND($S15&lt;&gt;"",EDATE($D15,Milestones!$AA$194)&gt;=$S15),$V15,IF(AND($R15&lt;&gt;"",EDATE($D15,Milestones!$AA$194)&gt;=$R15),$U15,$T15)))=Milestones!$AB$194),TEXT(EDATE($D15,Milestones!$AA$194),"dd/mm/yy")&amp;" "&amp;Milestones!$AB$194&amp;" "&amp;Milestones!$AC$194&amp;";  ","")&amp;IF(AND(EDATE($D15,Milestones!$AA$195)&lt;=AsOfDate,IF($Q15=0,$W15,IF(AND($S15&lt;&gt;"",EDATE($D15,Milestones!$AA$195)&gt;=$S15),$V15,IF(AND($R15&lt;&gt;"",EDATE($D15,Milestones!$AA$195)&gt;=$R15),$U15,$T15)))=Milestones!$AB$195),TEXT(EDATE($D15,Milestones!$AA$195),"dd/mm/yy")&amp;" "&amp;Milestones!$AB$195&amp;" "&amp;Milestones!$AC$195&amp;";  ","")&amp;IF(AND(EDATE($D15,Milestones!$AA$196)&lt;=AsOfDate,IF($Q15=0,$W15,IF(AND($S15&lt;&gt;"",EDATE($D15,Milestones!$AA$196)&gt;=$S15),$V15,IF(AND($R15&lt;&gt;"",EDATE($D15,Milestones!$AA$196)&gt;=$R15),$U15,$T15)))=Milestones!$AB$196),TEXT(EDATE($D15,Milestones!$AA$196),"dd/mm/yy")&amp;" "&amp;Milestones!$AB$196&amp;" "&amp;Milestones!$AC$196&amp;";  ","")&amp;IF(AND(EDATE($D15,Milestones!$AA$197)&lt;=AsOfDate,IF($Q15=0,$W15,IF(AND($S15&lt;&gt;"",EDATE($D15,Milestones!$AA$197)&gt;=$S15),$V15,IF(AND($R15&lt;&gt;"",EDATE($D15,Milestones!$AA$197)&gt;=$R15),$U15,$T15)))=Milestones!$AB$197),TEXT(EDATE($D15,Milestones!$AA$197),"dd/mm/yy")&amp;" "&amp;Milestones!$AB$197&amp;" "&amp;Milestones!$AC$197&amp;";  ","")&amp;IF(AND(EDATE($D15,Milestones!$AA$198)&lt;=AsOfDate,IF($Q15=0,$W15,IF(AND($S15&lt;&gt;"",EDATE($D15,Milestones!$AA$198)&gt;=$S15),$V15,IF(AND($R15&lt;&gt;"",EDATE($D15,Milestones!$AA$198)&gt;=$R15),$U15,$T15)))=Milestones!$AB$198),TEXT(EDATE($D15,Milestones!$AA$198),"dd/mm/yy")&amp;" "&amp;Milestones!$AB$198&amp;" "&amp;Milestones!$AC$198&amp;";  ","")&amp;IF(AND(EDATE($D15,Milestones!$AA$199)&lt;=AsOfDate,IF($Q15=0,$W15,IF(AND($S15&lt;&gt;"",EDATE($D15,Milestones!$AA$199)&gt;=$S15),$V15,IF(AND($R15&lt;&gt;"",EDATE($D15,Milestones!$AA$199)&gt;=$R15),$U15,$T15)))=Milestones!$AB$199),TEXT(EDATE($D15,Milestones!$AA$199),"dd/mm/yy")&amp;" "&amp;Milestones!$AB$199&amp;" "&amp;Milestones!$AC$199&amp;";  ",""))</f>
        <v/>
      </c>
      <c r="Q15" s="0" t="str">
        <f aca="false">IF(Staff!$A15="","",Staff!$AG15)</f>
        <v/>
      </c>
      <c r="R15" s="0" t="str">
        <f aca="false">IF(Staff!$A15="","",Staff!$AI15)</f>
        <v/>
      </c>
      <c r="S15" s="0" t="str">
        <f aca="false">IF(Staff!$A15="","",Staff!$AJ15)</f>
        <v/>
      </c>
      <c r="T15" s="0" t="str">
        <f aca="false">IF(Staff!$A15="","",Staff!$AN15)</f>
        <v/>
      </c>
      <c r="U15" s="0" t="str">
        <f aca="false">IF(Staff!$A15="","",Staff!$AO15)</f>
        <v/>
      </c>
      <c r="V15" s="0" t="str">
        <f aca="false">IF(Staff!$A15="","",Staff!$AP15)</f>
        <v/>
      </c>
      <c r="W15" s="0" t="str">
        <f aca="false">IF(Staff!$A15="","",Staff!$AQ15)</f>
        <v/>
      </c>
    </row>
    <row r="16" customFormat="false" ht="15" hidden="false" customHeight="false" outlineLevel="0" collapsed="false">
      <c r="A16" s="13" t="str">
        <f aca="false">IF(Staff!$A16="","",Staff!$A16)</f>
        <v/>
      </c>
      <c r="B16" s="13" t="str">
        <f aca="false">IF(Staff!$A16="","",Staff!$B16)</f>
        <v/>
      </c>
      <c r="C16" s="13" t="str">
        <f aca="false">IF(Staff!$A16="","",Staff!$C16)</f>
        <v/>
      </c>
      <c r="D16" s="11" t="str">
        <f aca="false">IF(Staff!$A16="","",Staff!$AF16)</f>
        <v/>
      </c>
      <c r="E16" s="13" t="str">
        <f aca="false">IF(Staff!$A16="","",Staff!$O16)</f>
        <v/>
      </c>
      <c r="F16" s="13" t="str">
        <f aca="false">IF(E16="","",E16*HoursPerDay)</f>
        <v/>
      </c>
      <c r="G16" s="26" t="str">
        <f aca="false">IF($A16="","",H16&amp;I16&amp;J16&amp;K16&amp;L16&amp;M16&amp;N16&amp;O16&amp;P16)</f>
        <v/>
      </c>
      <c r="H16" s="0" t="str">
        <f aca="false">IF(OR($A16="",$D16=""),"",IF(AND(EDATE($D16,Milestones!$AA$20)&lt;=AsOfDate,IF($Q16=0,$W16,IF(AND($S16&lt;&gt;"",EDATE($D16,Milestones!$AA$20)&gt;=$S16),$V16,IF(AND($R16&lt;&gt;"",EDATE($D16,Milestones!$AA$20)&gt;=$R16),$U16,$T16)))=Milestones!$AB$20),TEXT(EDATE($D16,Milestones!$AA$20),"dd/mm/yy")&amp;" "&amp;Milestones!$AB$20&amp;" "&amp;Milestones!$AC$20&amp;";  ","")&amp;IF(AND(EDATE($D16,Milestones!$AA$21)&lt;=AsOfDate,IF($Q16=0,$W16,IF(AND($S16&lt;&gt;"",EDATE($D16,Milestones!$AA$21)&gt;=$S16),$V16,IF(AND($R16&lt;&gt;"",EDATE($D16,Milestones!$AA$21)&gt;=$R16),$U16,$T16)))=Milestones!$AB$21),TEXT(EDATE($D16,Milestones!$AA$21),"dd/mm/yy")&amp;" "&amp;Milestones!$AB$21&amp;" "&amp;Milestones!$AC$21&amp;";  ","")&amp;IF(AND(EDATE($D16,Milestones!$AA$22)&lt;=AsOfDate,IF($Q16=0,$W16,IF(AND($S16&lt;&gt;"",EDATE($D16,Milestones!$AA$22)&gt;=$S16),$V16,IF(AND($R16&lt;&gt;"",EDATE($D16,Milestones!$AA$22)&gt;=$R16),$U16,$T16)))=Milestones!$AB$22),TEXT(EDATE($D16,Milestones!$AA$22),"dd/mm/yy")&amp;" "&amp;Milestones!$AB$22&amp;" "&amp;Milestones!$AC$22&amp;";  ","")&amp;IF(AND(EDATE($D16,Milestones!$AA$23)&lt;=AsOfDate,IF($Q16=0,$W16,IF(AND($S16&lt;&gt;"",EDATE($D16,Milestones!$AA$23)&gt;=$S16),$V16,IF(AND($R16&lt;&gt;"",EDATE($D16,Milestones!$AA$23)&gt;=$R16),$U16,$T16)))=Milestones!$AB$23),TEXT(EDATE($D16,Milestones!$AA$23),"dd/mm/yy")&amp;" "&amp;Milestones!$AB$23&amp;" "&amp;Milestones!$AC$23&amp;";  ","")&amp;IF(AND(EDATE($D16,Milestones!$AA$24)&lt;=AsOfDate,IF($Q16=0,$W16,IF(AND($S16&lt;&gt;"",EDATE($D16,Milestones!$AA$24)&gt;=$S16),$V16,IF(AND($R16&lt;&gt;"",EDATE($D16,Milestones!$AA$24)&gt;=$R16),$U16,$T16)))=Milestones!$AB$24),TEXT(EDATE($D16,Milestones!$AA$24),"dd/mm/yy")&amp;" "&amp;Milestones!$AB$24&amp;" "&amp;Milestones!$AC$24&amp;";  ","")&amp;IF(AND(EDATE($D16,Milestones!$AA$25)&lt;=AsOfDate,IF($Q16=0,$W16,IF(AND($S16&lt;&gt;"",EDATE($D16,Milestones!$AA$25)&gt;=$S16),$V16,IF(AND($R16&lt;&gt;"",EDATE($D16,Milestones!$AA$25)&gt;=$R16),$U16,$T16)))=Milestones!$AB$25),TEXT(EDATE($D16,Milestones!$AA$25),"dd/mm/yy")&amp;" "&amp;Milestones!$AB$25&amp;" "&amp;Milestones!$AC$25&amp;";  ","")&amp;IF(AND(EDATE($D16,Milestones!$AA$26)&lt;=AsOfDate,IF($Q16=0,$W16,IF(AND($S16&lt;&gt;"",EDATE($D16,Milestones!$AA$26)&gt;=$S16),$V16,IF(AND($R16&lt;&gt;"",EDATE($D16,Milestones!$AA$26)&gt;=$R16),$U16,$T16)))=Milestones!$AB$26),TEXT(EDATE($D16,Milestones!$AA$26),"dd/mm/yy")&amp;" "&amp;Milestones!$AB$26&amp;" "&amp;Milestones!$AC$26&amp;";  ","")&amp;IF(AND(EDATE($D16,Milestones!$AA$27)&lt;=AsOfDate,IF($Q16=0,$W16,IF(AND($S16&lt;&gt;"",EDATE($D16,Milestones!$AA$27)&gt;=$S16),$V16,IF(AND($R16&lt;&gt;"",EDATE($D16,Milestones!$AA$27)&gt;=$R16),$U16,$T16)))=Milestones!$AB$27),TEXT(EDATE($D16,Milestones!$AA$27),"dd/mm/yy")&amp;" "&amp;Milestones!$AB$27&amp;" "&amp;Milestones!$AC$27&amp;";  ","")&amp;IF(AND(EDATE($D16,Milestones!$AA$28)&lt;=AsOfDate,IF($Q16=0,$W16,IF(AND($S16&lt;&gt;"",EDATE($D16,Milestones!$AA$28)&gt;=$S16),$V16,IF(AND($R16&lt;&gt;"",EDATE($D16,Milestones!$AA$28)&gt;=$R16),$U16,$T16)))=Milestones!$AB$28),TEXT(EDATE($D16,Milestones!$AA$28),"dd/mm/yy")&amp;" "&amp;Milestones!$AB$28&amp;" "&amp;Milestones!$AC$28&amp;";  ","")&amp;IF(AND(EDATE($D16,Milestones!$AA$29)&lt;=AsOfDate,IF($Q16=0,$W16,IF(AND($S16&lt;&gt;"",EDATE($D16,Milestones!$AA$29)&gt;=$S16),$V16,IF(AND($R16&lt;&gt;"",EDATE($D16,Milestones!$AA$29)&gt;=$R16),$U16,$T16)))=Milestones!$AB$29),TEXT(EDATE($D16,Milestones!$AA$29),"dd/mm/yy")&amp;" "&amp;Milestones!$AB$29&amp;" "&amp;Milestones!$AC$29&amp;";  ","")&amp;IF(AND(EDATE($D16,Milestones!$AA$30)&lt;=AsOfDate,IF($Q16=0,$W16,IF(AND($S16&lt;&gt;"",EDATE($D16,Milestones!$AA$30)&gt;=$S16),$V16,IF(AND($R16&lt;&gt;"",EDATE($D16,Milestones!$AA$30)&gt;=$R16),$U16,$T16)))=Milestones!$AB$30),TEXT(EDATE($D16,Milestones!$AA$30),"dd/mm/yy")&amp;" "&amp;Milestones!$AB$30&amp;" "&amp;Milestones!$AC$30&amp;";  ","")&amp;IF(AND(EDATE($D16,Milestones!$AA$31)&lt;=AsOfDate,IF($Q16=0,$W16,IF(AND($S16&lt;&gt;"",EDATE($D16,Milestones!$AA$31)&gt;=$S16),$V16,IF(AND($R16&lt;&gt;"",EDATE($D16,Milestones!$AA$31)&gt;=$R16),$U16,$T16)))=Milestones!$AB$31),TEXT(EDATE($D16,Milestones!$AA$31),"dd/mm/yy")&amp;" "&amp;Milestones!$AB$31&amp;" "&amp;Milestones!$AC$31&amp;";  ","")&amp;IF(AND(EDATE($D16,Milestones!$AA$32)&lt;=AsOfDate,IF($Q16=0,$W16,IF(AND($S16&lt;&gt;"",EDATE($D16,Milestones!$AA$32)&gt;=$S16),$V16,IF(AND($R16&lt;&gt;"",EDATE($D16,Milestones!$AA$32)&gt;=$R16),$U16,$T16)))=Milestones!$AB$32),TEXT(EDATE($D16,Milestones!$AA$32),"dd/mm/yy")&amp;" "&amp;Milestones!$AB$32&amp;" "&amp;Milestones!$AC$32&amp;";  ","")&amp;IF(AND(EDATE($D16,Milestones!$AA$33)&lt;=AsOfDate,IF($Q16=0,$W16,IF(AND($S16&lt;&gt;"",EDATE($D16,Milestones!$AA$33)&gt;=$S16),$V16,IF(AND($R16&lt;&gt;"",EDATE($D16,Milestones!$AA$33)&gt;=$R16),$U16,$T16)))=Milestones!$AB$33),TEXT(EDATE($D16,Milestones!$AA$33),"dd/mm/yy")&amp;" "&amp;Milestones!$AB$33&amp;" "&amp;Milestones!$AC$33&amp;";  ","")&amp;IF(AND(EDATE($D16,Milestones!$AA$34)&lt;=AsOfDate,IF($Q16=0,$W16,IF(AND($S16&lt;&gt;"",EDATE($D16,Milestones!$AA$34)&gt;=$S16),$V16,IF(AND($R16&lt;&gt;"",EDATE($D16,Milestones!$AA$34)&gt;=$R16),$U16,$T16)))=Milestones!$AB$34),TEXT(EDATE($D16,Milestones!$AA$34),"dd/mm/yy")&amp;" "&amp;Milestones!$AB$34&amp;" "&amp;Milestones!$AC$34&amp;";  ","")&amp;IF(AND(EDATE($D16,Milestones!$AA$35)&lt;=AsOfDate,IF($Q16=0,$W16,IF(AND($S16&lt;&gt;"",EDATE($D16,Milestones!$AA$35)&gt;=$S16),$V16,IF(AND($R16&lt;&gt;"",EDATE($D16,Milestones!$AA$35)&gt;=$R16),$U16,$T16)))=Milestones!$AB$35),TEXT(EDATE($D16,Milestones!$AA$35),"dd/mm/yy")&amp;" "&amp;Milestones!$AB$35&amp;" "&amp;Milestones!$AC$35&amp;";  ","")&amp;IF(AND(EDATE($D16,Milestones!$AA$36)&lt;=AsOfDate,IF($Q16=0,$W16,IF(AND($S16&lt;&gt;"",EDATE($D16,Milestones!$AA$36)&gt;=$S16),$V16,IF(AND($R16&lt;&gt;"",EDATE($D16,Milestones!$AA$36)&gt;=$R16),$U16,$T16)))=Milestones!$AB$36),TEXT(EDATE($D16,Milestones!$AA$36),"dd/mm/yy")&amp;" "&amp;Milestones!$AB$36&amp;" "&amp;Milestones!$AC$36&amp;";  ","")&amp;IF(AND(EDATE($D16,Milestones!$AA$37)&lt;=AsOfDate,IF($Q16=0,$W16,IF(AND($S16&lt;&gt;"",EDATE($D16,Milestones!$AA$37)&gt;=$S16),$V16,IF(AND($R16&lt;&gt;"",EDATE($D16,Milestones!$AA$37)&gt;=$R16),$U16,$T16)))=Milestones!$AB$37),TEXT(EDATE($D16,Milestones!$AA$37),"dd/mm/yy")&amp;" "&amp;Milestones!$AB$37&amp;" "&amp;Milestones!$AC$37&amp;";  ","")&amp;IF(AND(EDATE($D16,Milestones!$AA$38)&lt;=AsOfDate,IF($Q16=0,$W16,IF(AND($S16&lt;&gt;"",EDATE($D16,Milestones!$AA$38)&gt;=$S16),$V16,IF(AND($R16&lt;&gt;"",EDATE($D16,Milestones!$AA$38)&gt;=$R16),$U16,$T16)))=Milestones!$AB$38),TEXT(EDATE($D16,Milestones!$AA$38),"dd/mm/yy")&amp;" "&amp;Milestones!$AB$38&amp;" "&amp;Milestones!$AC$38&amp;";  ","")&amp;IF(AND(EDATE($D16,Milestones!$AA$39)&lt;=AsOfDate,IF($Q16=0,$W16,IF(AND($S16&lt;&gt;"",EDATE($D16,Milestones!$AA$39)&gt;=$S16),$V16,IF(AND($R16&lt;&gt;"",EDATE($D16,Milestones!$AA$39)&gt;=$R16),$U16,$T16)))=Milestones!$AB$39),TEXT(EDATE($D16,Milestones!$AA$39),"dd/mm/yy")&amp;" "&amp;Milestones!$AB$39&amp;" "&amp;Milestones!$AC$39&amp;";  ",""))</f>
        <v/>
      </c>
      <c r="I16" s="0" t="str">
        <f aca="false">IF(OR($A16="",$D16=""),"",IF(AND(EDATE($D16,Milestones!$AA$40)&lt;=AsOfDate,IF($Q16=0,$W16,IF(AND($S16&lt;&gt;"",EDATE($D16,Milestones!$AA$40)&gt;=$S16),$V16,IF(AND($R16&lt;&gt;"",EDATE($D16,Milestones!$AA$40)&gt;=$R16),$U16,$T16)))=Milestones!$AB$40),TEXT(EDATE($D16,Milestones!$AA$40),"dd/mm/yy")&amp;" "&amp;Milestones!$AB$40&amp;" "&amp;Milestones!$AC$40&amp;";  ","")&amp;IF(AND(EDATE($D16,Milestones!$AA$41)&lt;=AsOfDate,IF($Q16=0,$W16,IF(AND($S16&lt;&gt;"",EDATE($D16,Milestones!$AA$41)&gt;=$S16),$V16,IF(AND($R16&lt;&gt;"",EDATE($D16,Milestones!$AA$41)&gt;=$R16),$U16,$T16)))=Milestones!$AB$41),TEXT(EDATE($D16,Milestones!$AA$41),"dd/mm/yy")&amp;" "&amp;Milestones!$AB$41&amp;" "&amp;Milestones!$AC$41&amp;";  ","")&amp;IF(AND(EDATE($D16,Milestones!$AA$42)&lt;=AsOfDate,IF($Q16=0,$W16,IF(AND($S16&lt;&gt;"",EDATE($D16,Milestones!$AA$42)&gt;=$S16),$V16,IF(AND($R16&lt;&gt;"",EDATE($D16,Milestones!$AA$42)&gt;=$R16),$U16,$T16)))=Milestones!$AB$42),TEXT(EDATE($D16,Milestones!$AA$42),"dd/mm/yy")&amp;" "&amp;Milestones!$AB$42&amp;" "&amp;Milestones!$AC$42&amp;";  ","")&amp;IF(AND(EDATE($D16,Milestones!$AA$43)&lt;=AsOfDate,IF($Q16=0,$W16,IF(AND($S16&lt;&gt;"",EDATE($D16,Milestones!$AA$43)&gt;=$S16),$V16,IF(AND($R16&lt;&gt;"",EDATE($D16,Milestones!$AA$43)&gt;=$R16),$U16,$T16)))=Milestones!$AB$43),TEXT(EDATE($D16,Milestones!$AA$43),"dd/mm/yy")&amp;" "&amp;Milestones!$AB$43&amp;" "&amp;Milestones!$AC$43&amp;";  ","")&amp;IF(AND(EDATE($D16,Milestones!$AA$44)&lt;=AsOfDate,IF($Q16=0,$W16,IF(AND($S16&lt;&gt;"",EDATE($D16,Milestones!$AA$44)&gt;=$S16),$V16,IF(AND($R16&lt;&gt;"",EDATE($D16,Milestones!$AA$44)&gt;=$R16),$U16,$T16)))=Milestones!$AB$44),TEXT(EDATE($D16,Milestones!$AA$44),"dd/mm/yy")&amp;" "&amp;Milestones!$AB$44&amp;" "&amp;Milestones!$AC$44&amp;";  ","")&amp;IF(AND(EDATE($D16,Milestones!$AA$45)&lt;=AsOfDate,IF($Q16=0,$W16,IF(AND($S16&lt;&gt;"",EDATE($D16,Milestones!$AA$45)&gt;=$S16),$V16,IF(AND($R16&lt;&gt;"",EDATE($D16,Milestones!$AA$45)&gt;=$R16),$U16,$T16)))=Milestones!$AB$45),TEXT(EDATE($D16,Milestones!$AA$45),"dd/mm/yy")&amp;" "&amp;Milestones!$AB$45&amp;" "&amp;Milestones!$AC$45&amp;";  ","")&amp;IF(AND(EDATE($D16,Milestones!$AA$46)&lt;=AsOfDate,IF($Q16=0,$W16,IF(AND($S16&lt;&gt;"",EDATE($D16,Milestones!$AA$46)&gt;=$S16),$V16,IF(AND($R16&lt;&gt;"",EDATE($D16,Milestones!$AA$46)&gt;=$R16),$U16,$T16)))=Milestones!$AB$46),TEXT(EDATE($D16,Milestones!$AA$46),"dd/mm/yy")&amp;" "&amp;Milestones!$AB$46&amp;" "&amp;Milestones!$AC$46&amp;";  ","")&amp;IF(AND(EDATE($D16,Milestones!$AA$47)&lt;=AsOfDate,IF($Q16=0,$W16,IF(AND($S16&lt;&gt;"",EDATE($D16,Milestones!$AA$47)&gt;=$S16),$V16,IF(AND($R16&lt;&gt;"",EDATE($D16,Milestones!$AA$47)&gt;=$R16),$U16,$T16)))=Milestones!$AB$47),TEXT(EDATE($D16,Milestones!$AA$47),"dd/mm/yy")&amp;" "&amp;Milestones!$AB$47&amp;" "&amp;Milestones!$AC$47&amp;";  ","")&amp;IF(AND(EDATE($D16,Milestones!$AA$48)&lt;=AsOfDate,IF($Q16=0,$W16,IF(AND($S16&lt;&gt;"",EDATE($D16,Milestones!$AA$48)&gt;=$S16),$V16,IF(AND($R16&lt;&gt;"",EDATE($D16,Milestones!$AA$48)&gt;=$R16),$U16,$T16)))=Milestones!$AB$48),TEXT(EDATE($D16,Milestones!$AA$48),"dd/mm/yy")&amp;" "&amp;Milestones!$AB$48&amp;" "&amp;Milestones!$AC$48&amp;";  ","")&amp;IF(AND(EDATE($D16,Milestones!$AA$49)&lt;=AsOfDate,IF($Q16=0,$W16,IF(AND($S16&lt;&gt;"",EDATE($D16,Milestones!$AA$49)&gt;=$S16),$V16,IF(AND($R16&lt;&gt;"",EDATE($D16,Milestones!$AA$49)&gt;=$R16),$U16,$T16)))=Milestones!$AB$49),TEXT(EDATE($D16,Milestones!$AA$49),"dd/mm/yy")&amp;" "&amp;Milestones!$AB$49&amp;" "&amp;Milestones!$AC$49&amp;";  ","")&amp;IF(AND(EDATE($D16,Milestones!$AA$50)&lt;=AsOfDate,IF($Q16=0,$W16,IF(AND($S16&lt;&gt;"",EDATE($D16,Milestones!$AA$50)&gt;=$S16),$V16,IF(AND($R16&lt;&gt;"",EDATE($D16,Milestones!$AA$50)&gt;=$R16),$U16,$T16)))=Milestones!$AB$50),TEXT(EDATE($D16,Milestones!$AA$50),"dd/mm/yy")&amp;" "&amp;Milestones!$AB$50&amp;" "&amp;Milestones!$AC$50&amp;";  ","")&amp;IF(AND(EDATE($D16,Milestones!$AA$51)&lt;=AsOfDate,IF($Q16=0,$W16,IF(AND($S16&lt;&gt;"",EDATE($D16,Milestones!$AA$51)&gt;=$S16),$V16,IF(AND($R16&lt;&gt;"",EDATE($D16,Milestones!$AA$51)&gt;=$R16),$U16,$T16)))=Milestones!$AB$51),TEXT(EDATE($D16,Milestones!$AA$51),"dd/mm/yy")&amp;" "&amp;Milestones!$AB$51&amp;" "&amp;Milestones!$AC$51&amp;";  ","")&amp;IF(AND(EDATE($D16,Milestones!$AA$52)&lt;=AsOfDate,IF($Q16=0,$W16,IF(AND($S16&lt;&gt;"",EDATE($D16,Milestones!$AA$52)&gt;=$S16),$V16,IF(AND($R16&lt;&gt;"",EDATE($D16,Milestones!$AA$52)&gt;=$R16),$U16,$T16)))=Milestones!$AB$52),TEXT(EDATE($D16,Milestones!$AA$52),"dd/mm/yy")&amp;" "&amp;Milestones!$AB$52&amp;" "&amp;Milestones!$AC$52&amp;";  ","")&amp;IF(AND(EDATE($D16,Milestones!$AA$53)&lt;=AsOfDate,IF($Q16=0,$W16,IF(AND($S16&lt;&gt;"",EDATE($D16,Milestones!$AA$53)&gt;=$S16),$V16,IF(AND($R16&lt;&gt;"",EDATE($D16,Milestones!$AA$53)&gt;=$R16),$U16,$T16)))=Milestones!$AB$53),TEXT(EDATE($D16,Milestones!$AA$53),"dd/mm/yy")&amp;" "&amp;Milestones!$AB$53&amp;" "&amp;Milestones!$AC$53&amp;";  ","")&amp;IF(AND(EDATE($D16,Milestones!$AA$54)&lt;=AsOfDate,IF($Q16=0,$W16,IF(AND($S16&lt;&gt;"",EDATE($D16,Milestones!$AA$54)&gt;=$S16),$V16,IF(AND($R16&lt;&gt;"",EDATE($D16,Milestones!$AA$54)&gt;=$R16),$U16,$T16)))=Milestones!$AB$54),TEXT(EDATE($D16,Milestones!$AA$54),"dd/mm/yy")&amp;" "&amp;Milestones!$AB$54&amp;" "&amp;Milestones!$AC$54&amp;";  ","")&amp;IF(AND(EDATE($D16,Milestones!$AA$55)&lt;=AsOfDate,IF($Q16=0,$W16,IF(AND($S16&lt;&gt;"",EDATE($D16,Milestones!$AA$55)&gt;=$S16),$V16,IF(AND($R16&lt;&gt;"",EDATE($D16,Milestones!$AA$55)&gt;=$R16),$U16,$T16)))=Milestones!$AB$55),TEXT(EDATE($D16,Milestones!$AA$55),"dd/mm/yy")&amp;" "&amp;Milestones!$AB$55&amp;" "&amp;Milestones!$AC$55&amp;";  ","")&amp;IF(AND(EDATE($D16,Milestones!$AA$56)&lt;=AsOfDate,IF($Q16=0,$W16,IF(AND($S16&lt;&gt;"",EDATE($D16,Milestones!$AA$56)&gt;=$S16),$V16,IF(AND($R16&lt;&gt;"",EDATE($D16,Milestones!$AA$56)&gt;=$R16),$U16,$T16)))=Milestones!$AB$56),TEXT(EDATE($D16,Milestones!$AA$56),"dd/mm/yy")&amp;" "&amp;Milestones!$AB$56&amp;" "&amp;Milestones!$AC$56&amp;";  ","")&amp;IF(AND(EDATE($D16,Milestones!$AA$57)&lt;=AsOfDate,IF($Q16=0,$W16,IF(AND($S16&lt;&gt;"",EDATE($D16,Milestones!$AA$57)&gt;=$S16),$V16,IF(AND($R16&lt;&gt;"",EDATE($D16,Milestones!$AA$57)&gt;=$R16),$U16,$T16)))=Milestones!$AB$57),TEXT(EDATE($D16,Milestones!$AA$57),"dd/mm/yy")&amp;" "&amp;Milestones!$AB$57&amp;" "&amp;Milestones!$AC$57&amp;";  ","")&amp;IF(AND(EDATE($D16,Milestones!$AA$58)&lt;=AsOfDate,IF($Q16=0,$W16,IF(AND($S16&lt;&gt;"",EDATE($D16,Milestones!$AA$58)&gt;=$S16),$V16,IF(AND($R16&lt;&gt;"",EDATE($D16,Milestones!$AA$58)&gt;=$R16),$U16,$T16)))=Milestones!$AB$58),TEXT(EDATE($D16,Milestones!$AA$58),"dd/mm/yy")&amp;" "&amp;Milestones!$AB$58&amp;" "&amp;Milestones!$AC$58&amp;";  ","")&amp;IF(AND(EDATE($D16,Milestones!$AA$59)&lt;=AsOfDate,IF($Q16=0,$W16,IF(AND($S16&lt;&gt;"",EDATE($D16,Milestones!$AA$59)&gt;=$S16),$V16,IF(AND($R16&lt;&gt;"",EDATE($D16,Milestones!$AA$59)&gt;=$R16),$U16,$T16)))=Milestones!$AB$59),TEXT(EDATE($D16,Milestones!$AA$59),"dd/mm/yy")&amp;" "&amp;Milestones!$AB$59&amp;" "&amp;Milestones!$AC$59&amp;";  ",""))</f>
        <v/>
      </c>
      <c r="J16" s="0" t="str">
        <f aca="false">IF(OR($A16="",$D16=""),"",IF(AND(EDATE($D16,Milestones!$AA$60)&lt;=AsOfDate,IF($Q16=0,$W16,IF(AND($S16&lt;&gt;"",EDATE($D16,Milestones!$AA$60)&gt;=$S16),$V16,IF(AND($R16&lt;&gt;"",EDATE($D16,Milestones!$AA$60)&gt;=$R16),$U16,$T16)))=Milestones!$AB$60),TEXT(EDATE($D16,Milestones!$AA$60),"dd/mm/yy")&amp;" "&amp;Milestones!$AB$60&amp;" "&amp;Milestones!$AC$60&amp;";  ","")&amp;IF(AND(EDATE($D16,Milestones!$AA$61)&lt;=AsOfDate,IF($Q16=0,$W16,IF(AND($S16&lt;&gt;"",EDATE($D16,Milestones!$AA$61)&gt;=$S16),$V16,IF(AND($R16&lt;&gt;"",EDATE($D16,Milestones!$AA$61)&gt;=$R16),$U16,$T16)))=Milestones!$AB$61),TEXT(EDATE($D16,Milestones!$AA$61),"dd/mm/yy")&amp;" "&amp;Milestones!$AB$61&amp;" "&amp;Milestones!$AC$61&amp;";  ","")&amp;IF(AND(EDATE($D16,Milestones!$AA$62)&lt;=AsOfDate,IF($Q16=0,$W16,IF(AND($S16&lt;&gt;"",EDATE($D16,Milestones!$AA$62)&gt;=$S16),$V16,IF(AND($R16&lt;&gt;"",EDATE($D16,Milestones!$AA$62)&gt;=$R16),$U16,$T16)))=Milestones!$AB$62),TEXT(EDATE($D16,Milestones!$AA$62),"dd/mm/yy")&amp;" "&amp;Milestones!$AB$62&amp;" "&amp;Milestones!$AC$62&amp;";  ","")&amp;IF(AND(EDATE($D16,Milestones!$AA$63)&lt;=AsOfDate,IF($Q16=0,$W16,IF(AND($S16&lt;&gt;"",EDATE($D16,Milestones!$AA$63)&gt;=$S16),$V16,IF(AND($R16&lt;&gt;"",EDATE($D16,Milestones!$AA$63)&gt;=$R16),$U16,$T16)))=Milestones!$AB$63),TEXT(EDATE($D16,Milestones!$AA$63),"dd/mm/yy")&amp;" "&amp;Milestones!$AB$63&amp;" "&amp;Milestones!$AC$63&amp;";  ","")&amp;IF(AND(EDATE($D16,Milestones!$AA$64)&lt;=AsOfDate,IF($Q16=0,$W16,IF(AND($S16&lt;&gt;"",EDATE($D16,Milestones!$AA$64)&gt;=$S16),$V16,IF(AND($R16&lt;&gt;"",EDATE($D16,Milestones!$AA$64)&gt;=$R16),$U16,$T16)))=Milestones!$AB$64),TEXT(EDATE($D16,Milestones!$AA$64),"dd/mm/yy")&amp;" "&amp;Milestones!$AB$64&amp;" "&amp;Milestones!$AC$64&amp;";  ","")&amp;IF(AND(EDATE($D16,Milestones!$AA$65)&lt;=AsOfDate,IF($Q16=0,$W16,IF(AND($S16&lt;&gt;"",EDATE($D16,Milestones!$AA$65)&gt;=$S16),$V16,IF(AND($R16&lt;&gt;"",EDATE($D16,Milestones!$AA$65)&gt;=$R16),$U16,$T16)))=Milestones!$AB$65),TEXT(EDATE($D16,Milestones!$AA$65),"dd/mm/yy")&amp;" "&amp;Milestones!$AB$65&amp;" "&amp;Milestones!$AC$65&amp;";  ","")&amp;IF(AND(EDATE($D16,Milestones!$AA$66)&lt;=AsOfDate,IF($Q16=0,$W16,IF(AND($S16&lt;&gt;"",EDATE($D16,Milestones!$AA$66)&gt;=$S16),$V16,IF(AND($R16&lt;&gt;"",EDATE($D16,Milestones!$AA$66)&gt;=$R16),$U16,$T16)))=Milestones!$AB$66),TEXT(EDATE($D16,Milestones!$AA$66),"dd/mm/yy")&amp;" "&amp;Milestones!$AB$66&amp;" "&amp;Milestones!$AC$66&amp;";  ","")&amp;IF(AND(EDATE($D16,Milestones!$AA$67)&lt;=AsOfDate,IF($Q16=0,$W16,IF(AND($S16&lt;&gt;"",EDATE($D16,Milestones!$AA$67)&gt;=$S16),$V16,IF(AND($R16&lt;&gt;"",EDATE($D16,Milestones!$AA$67)&gt;=$R16),$U16,$T16)))=Milestones!$AB$67),TEXT(EDATE($D16,Milestones!$AA$67),"dd/mm/yy")&amp;" "&amp;Milestones!$AB$67&amp;" "&amp;Milestones!$AC$67&amp;";  ","")&amp;IF(AND(EDATE($D16,Milestones!$AA$68)&lt;=AsOfDate,IF($Q16=0,$W16,IF(AND($S16&lt;&gt;"",EDATE($D16,Milestones!$AA$68)&gt;=$S16),$V16,IF(AND($R16&lt;&gt;"",EDATE($D16,Milestones!$AA$68)&gt;=$R16),$U16,$T16)))=Milestones!$AB$68),TEXT(EDATE($D16,Milestones!$AA$68),"dd/mm/yy")&amp;" "&amp;Milestones!$AB$68&amp;" "&amp;Milestones!$AC$68&amp;";  ","")&amp;IF(AND(EDATE($D16,Milestones!$AA$69)&lt;=AsOfDate,IF($Q16=0,$W16,IF(AND($S16&lt;&gt;"",EDATE($D16,Milestones!$AA$69)&gt;=$S16),$V16,IF(AND($R16&lt;&gt;"",EDATE($D16,Milestones!$AA$69)&gt;=$R16),$U16,$T16)))=Milestones!$AB$69),TEXT(EDATE($D16,Milestones!$AA$69),"dd/mm/yy")&amp;" "&amp;Milestones!$AB$69&amp;" "&amp;Milestones!$AC$69&amp;";  ","")&amp;IF(AND(EDATE($D16,Milestones!$AA$70)&lt;=AsOfDate,IF($Q16=0,$W16,IF(AND($S16&lt;&gt;"",EDATE($D16,Milestones!$AA$70)&gt;=$S16),$V16,IF(AND($R16&lt;&gt;"",EDATE($D16,Milestones!$AA$70)&gt;=$R16),$U16,$T16)))=Milestones!$AB$70),TEXT(EDATE($D16,Milestones!$AA$70),"dd/mm/yy")&amp;" "&amp;Milestones!$AB$70&amp;" "&amp;Milestones!$AC$70&amp;";  ","")&amp;IF(AND(EDATE($D16,Milestones!$AA$71)&lt;=AsOfDate,IF($Q16=0,$W16,IF(AND($S16&lt;&gt;"",EDATE($D16,Milestones!$AA$71)&gt;=$S16),$V16,IF(AND($R16&lt;&gt;"",EDATE($D16,Milestones!$AA$71)&gt;=$R16),$U16,$T16)))=Milestones!$AB$71),TEXT(EDATE($D16,Milestones!$AA$71),"dd/mm/yy")&amp;" "&amp;Milestones!$AB$71&amp;" "&amp;Milestones!$AC$71&amp;";  ","")&amp;IF(AND(EDATE($D16,Milestones!$AA$72)&lt;=AsOfDate,IF($Q16=0,$W16,IF(AND($S16&lt;&gt;"",EDATE($D16,Milestones!$AA$72)&gt;=$S16),$V16,IF(AND($R16&lt;&gt;"",EDATE($D16,Milestones!$AA$72)&gt;=$R16),$U16,$T16)))=Milestones!$AB$72),TEXT(EDATE($D16,Milestones!$AA$72),"dd/mm/yy")&amp;" "&amp;Milestones!$AB$72&amp;" "&amp;Milestones!$AC$72&amp;";  ","")&amp;IF(AND(EDATE($D16,Milestones!$AA$73)&lt;=AsOfDate,IF($Q16=0,$W16,IF(AND($S16&lt;&gt;"",EDATE($D16,Milestones!$AA$73)&gt;=$S16),$V16,IF(AND($R16&lt;&gt;"",EDATE($D16,Milestones!$AA$73)&gt;=$R16),$U16,$T16)))=Milestones!$AB$73),TEXT(EDATE($D16,Milestones!$AA$73),"dd/mm/yy")&amp;" "&amp;Milestones!$AB$73&amp;" "&amp;Milestones!$AC$73&amp;";  ","")&amp;IF(AND(EDATE($D16,Milestones!$AA$74)&lt;=AsOfDate,IF($Q16=0,$W16,IF(AND($S16&lt;&gt;"",EDATE($D16,Milestones!$AA$74)&gt;=$S16),$V16,IF(AND($R16&lt;&gt;"",EDATE($D16,Milestones!$AA$74)&gt;=$R16),$U16,$T16)))=Milestones!$AB$74),TEXT(EDATE($D16,Milestones!$AA$74),"dd/mm/yy")&amp;" "&amp;Milestones!$AB$74&amp;" "&amp;Milestones!$AC$74&amp;";  ","")&amp;IF(AND(EDATE($D16,Milestones!$AA$75)&lt;=AsOfDate,IF($Q16=0,$W16,IF(AND($S16&lt;&gt;"",EDATE($D16,Milestones!$AA$75)&gt;=$S16),$V16,IF(AND($R16&lt;&gt;"",EDATE($D16,Milestones!$AA$75)&gt;=$R16),$U16,$T16)))=Milestones!$AB$75),TEXT(EDATE($D16,Milestones!$AA$75),"dd/mm/yy")&amp;" "&amp;Milestones!$AB$75&amp;" "&amp;Milestones!$AC$75&amp;";  ","")&amp;IF(AND(EDATE($D16,Milestones!$AA$76)&lt;=AsOfDate,IF($Q16=0,$W16,IF(AND($S16&lt;&gt;"",EDATE($D16,Milestones!$AA$76)&gt;=$S16),$V16,IF(AND($R16&lt;&gt;"",EDATE($D16,Milestones!$AA$76)&gt;=$R16),$U16,$T16)))=Milestones!$AB$76),TEXT(EDATE($D16,Milestones!$AA$76),"dd/mm/yy")&amp;" "&amp;Milestones!$AB$76&amp;" "&amp;Milestones!$AC$76&amp;";  ","")&amp;IF(AND(EDATE($D16,Milestones!$AA$77)&lt;=AsOfDate,IF($Q16=0,$W16,IF(AND($S16&lt;&gt;"",EDATE($D16,Milestones!$AA$77)&gt;=$S16),$V16,IF(AND($R16&lt;&gt;"",EDATE($D16,Milestones!$AA$77)&gt;=$R16),$U16,$T16)))=Milestones!$AB$77),TEXT(EDATE($D16,Milestones!$AA$77),"dd/mm/yy")&amp;" "&amp;Milestones!$AB$77&amp;" "&amp;Milestones!$AC$77&amp;";  ","")&amp;IF(AND(EDATE($D16,Milestones!$AA$78)&lt;=AsOfDate,IF($Q16=0,$W16,IF(AND($S16&lt;&gt;"",EDATE($D16,Milestones!$AA$78)&gt;=$S16),$V16,IF(AND($R16&lt;&gt;"",EDATE($D16,Milestones!$AA$78)&gt;=$R16),$U16,$T16)))=Milestones!$AB$78),TEXT(EDATE($D16,Milestones!$AA$78),"dd/mm/yy")&amp;" "&amp;Milestones!$AB$78&amp;" "&amp;Milestones!$AC$78&amp;";  ","")&amp;IF(AND(EDATE($D16,Milestones!$AA$79)&lt;=AsOfDate,IF($Q16=0,$W16,IF(AND($S16&lt;&gt;"",EDATE($D16,Milestones!$AA$79)&gt;=$S16),$V16,IF(AND($R16&lt;&gt;"",EDATE($D16,Milestones!$AA$79)&gt;=$R16),$U16,$T16)))=Milestones!$AB$79),TEXT(EDATE($D16,Milestones!$AA$79),"dd/mm/yy")&amp;" "&amp;Milestones!$AB$79&amp;" "&amp;Milestones!$AC$79&amp;";  ",""))</f>
        <v/>
      </c>
      <c r="K16" s="0" t="str">
        <f aca="false">IF(OR($A16="",$D16=""),"",IF(AND(EDATE($D16,Milestones!$AA$80)&lt;=AsOfDate,IF($Q16=0,$W16,IF(AND($S16&lt;&gt;"",EDATE($D16,Milestones!$AA$80)&gt;=$S16),$V16,IF(AND($R16&lt;&gt;"",EDATE($D16,Milestones!$AA$80)&gt;=$R16),$U16,$T16)))=Milestones!$AB$80),TEXT(EDATE($D16,Milestones!$AA$80),"dd/mm/yy")&amp;" "&amp;Milestones!$AB$80&amp;" "&amp;Milestones!$AC$80&amp;";  ","")&amp;IF(AND(EDATE($D16,Milestones!$AA$81)&lt;=AsOfDate,IF($Q16=0,$W16,IF(AND($S16&lt;&gt;"",EDATE($D16,Milestones!$AA$81)&gt;=$S16),$V16,IF(AND($R16&lt;&gt;"",EDATE($D16,Milestones!$AA$81)&gt;=$R16),$U16,$T16)))=Milestones!$AB$81),TEXT(EDATE($D16,Milestones!$AA$81),"dd/mm/yy")&amp;" "&amp;Milestones!$AB$81&amp;" "&amp;Milestones!$AC$81&amp;";  ","")&amp;IF(AND(EDATE($D16,Milestones!$AA$82)&lt;=AsOfDate,IF($Q16=0,$W16,IF(AND($S16&lt;&gt;"",EDATE($D16,Milestones!$AA$82)&gt;=$S16),$V16,IF(AND($R16&lt;&gt;"",EDATE($D16,Milestones!$AA$82)&gt;=$R16),$U16,$T16)))=Milestones!$AB$82),TEXT(EDATE($D16,Milestones!$AA$82),"dd/mm/yy")&amp;" "&amp;Milestones!$AB$82&amp;" "&amp;Milestones!$AC$82&amp;";  ","")&amp;IF(AND(EDATE($D16,Milestones!$AA$83)&lt;=AsOfDate,IF($Q16=0,$W16,IF(AND($S16&lt;&gt;"",EDATE($D16,Milestones!$AA$83)&gt;=$S16),$V16,IF(AND($R16&lt;&gt;"",EDATE($D16,Milestones!$AA$83)&gt;=$R16),$U16,$T16)))=Milestones!$AB$83),TEXT(EDATE($D16,Milestones!$AA$83),"dd/mm/yy")&amp;" "&amp;Milestones!$AB$83&amp;" "&amp;Milestones!$AC$83&amp;";  ","")&amp;IF(AND(EDATE($D16,Milestones!$AA$84)&lt;=AsOfDate,IF($Q16=0,$W16,IF(AND($S16&lt;&gt;"",EDATE($D16,Milestones!$AA$84)&gt;=$S16),$V16,IF(AND($R16&lt;&gt;"",EDATE($D16,Milestones!$AA$84)&gt;=$R16),$U16,$T16)))=Milestones!$AB$84),TEXT(EDATE($D16,Milestones!$AA$84),"dd/mm/yy")&amp;" "&amp;Milestones!$AB$84&amp;" "&amp;Milestones!$AC$84&amp;";  ","")&amp;IF(AND(EDATE($D16,Milestones!$AA$85)&lt;=AsOfDate,IF($Q16=0,$W16,IF(AND($S16&lt;&gt;"",EDATE($D16,Milestones!$AA$85)&gt;=$S16),$V16,IF(AND($R16&lt;&gt;"",EDATE($D16,Milestones!$AA$85)&gt;=$R16),$U16,$T16)))=Milestones!$AB$85),TEXT(EDATE($D16,Milestones!$AA$85),"dd/mm/yy")&amp;" "&amp;Milestones!$AB$85&amp;" "&amp;Milestones!$AC$85&amp;";  ","")&amp;IF(AND(EDATE($D16,Milestones!$AA$86)&lt;=AsOfDate,IF($Q16=0,$W16,IF(AND($S16&lt;&gt;"",EDATE($D16,Milestones!$AA$86)&gt;=$S16),$V16,IF(AND($R16&lt;&gt;"",EDATE($D16,Milestones!$AA$86)&gt;=$R16),$U16,$T16)))=Milestones!$AB$86),TEXT(EDATE($D16,Milestones!$AA$86),"dd/mm/yy")&amp;" "&amp;Milestones!$AB$86&amp;" "&amp;Milestones!$AC$86&amp;";  ","")&amp;IF(AND(EDATE($D16,Milestones!$AA$87)&lt;=AsOfDate,IF($Q16=0,$W16,IF(AND($S16&lt;&gt;"",EDATE($D16,Milestones!$AA$87)&gt;=$S16),$V16,IF(AND($R16&lt;&gt;"",EDATE($D16,Milestones!$AA$87)&gt;=$R16),$U16,$T16)))=Milestones!$AB$87),TEXT(EDATE($D16,Milestones!$AA$87),"dd/mm/yy")&amp;" "&amp;Milestones!$AB$87&amp;" "&amp;Milestones!$AC$87&amp;";  ","")&amp;IF(AND(EDATE($D16,Milestones!$AA$88)&lt;=AsOfDate,IF($Q16=0,$W16,IF(AND($S16&lt;&gt;"",EDATE($D16,Milestones!$AA$88)&gt;=$S16),$V16,IF(AND($R16&lt;&gt;"",EDATE($D16,Milestones!$AA$88)&gt;=$R16),$U16,$T16)))=Milestones!$AB$88),TEXT(EDATE($D16,Milestones!$AA$88),"dd/mm/yy")&amp;" "&amp;Milestones!$AB$88&amp;" "&amp;Milestones!$AC$88&amp;";  ","")&amp;IF(AND(EDATE($D16,Milestones!$AA$89)&lt;=AsOfDate,IF($Q16=0,$W16,IF(AND($S16&lt;&gt;"",EDATE($D16,Milestones!$AA$89)&gt;=$S16),$V16,IF(AND($R16&lt;&gt;"",EDATE($D16,Milestones!$AA$89)&gt;=$R16),$U16,$T16)))=Milestones!$AB$89),TEXT(EDATE($D16,Milestones!$AA$89),"dd/mm/yy")&amp;" "&amp;Milestones!$AB$89&amp;" "&amp;Milestones!$AC$89&amp;";  ","")&amp;IF(AND(EDATE($D16,Milestones!$AA$90)&lt;=AsOfDate,IF($Q16=0,$W16,IF(AND($S16&lt;&gt;"",EDATE($D16,Milestones!$AA$90)&gt;=$S16),$V16,IF(AND($R16&lt;&gt;"",EDATE($D16,Milestones!$AA$90)&gt;=$R16),$U16,$T16)))=Milestones!$AB$90),TEXT(EDATE($D16,Milestones!$AA$90),"dd/mm/yy")&amp;" "&amp;Milestones!$AB$90&amp;" "&amp;Milestones!$AC$90&amp;";  ","")&amp;IF(AND(EDATE($D16,Milestones!$AA$91)&lt;=AsOfDate,IF($Q16=0,$W16,IF(AND($S16&lt;&gt;"",EDATE($D16,Milestones!$AA$91)&gt;=$S16),$V16,IF(AND($R16&lt;&gt;"",EDATE($D16,Milestones!$AA$91)&gt;=$R16),$U16,$T16)))=Milestones!$AB$91),TEXT(EDATE($D16,Milestones!$AA$91),"dd/mm/yy")&amp;" "&amp;Milestones!$AB$91&amp;" "&amp;Milestones!$AC$91&amp;";  ","")&amp;IF(AND(EDATE($D16,Milestones!$AA$92)&lt;=AsOfDate,IF($Q16=0,$W16,IF(AND($S16&lt;&gt;"",EDATE($D16,Milestones!$AA$92)&gt;=$S16),$V16,IF(AND($R16&lt;&gt;"",EDATE($D16,Milestones!$AA$92)&gt;=$R16),$U16,$T16)))=Milestones!$AB$92),TEXT(EDATE($D16,Milestones!$AA$92),"dd/mm/yy")&amp;" "&amp;Milestones!$AB$92&amp;" "&amp;Milestones!$AC$92&amp;";  ","")&amp;IF(AND(EDATE($D16,Milestones!$AA$93)&lt;=AsOfDate,IF($Q16=0,$W16,IF(AND($S16&lt;&gt;"",EDATE($D16,Milestones!$AA$93)&gt;=$S16),$V16,IF(AND($R16&lt;&gt;"",EDATE($D16,Milestones!$AA$93)&gt;=$R16),$U16,$T16)))=Milestones!$AB$93),TEXT(EDATE($D16,Milestones!$AA$93),"dd/mm/yy")&amp;" "&amp;Milestones!$AB$93&amp;" "&amp;Milestones!$AC$93&amp;";  ","")&amp;IF(AND(EDATE($D16,Milestones!$AA$94)&lt;=AsOfDate,IF($Q16=0,$W16,IF(AND($S16&lt;&gt;"",EDATE($D16,Milestones!$AA$94)&gt;=$S16),$V16,IF(AND($R16&lt;&gt;"",EDATE($D16,Milestones!$AA$94)&gt;=$R16),$U16,$T16)))=Milestones!$AB$94),TEXT(EDATE($D16,Milestones!$AA$94),"dd/mm/yy")&amp;" "&amp;Milestones!$AB$94&amp;" "&amp;Milestones!$AC$94&amp;";  ","")&amp;IF(AND(EDATE($D16,Milestones!$AA$95)&lt;=AsOfDate,IF($Q16=0,$W16,IF(AND($S16&lt;&gt;"",EDATE($D16,Milestones!$AA$95)&gt;=$S16),$V16,IF(AND($R16&lt;&gt;"",EDATE($D16,Milestones!$AA$95)&gt;=$R16),$U16,$T16)))=Milestones!$AB$95),TEXT(EDATE($D16,Milestones!$AA$95),"dd/mm/yy")&amp;" "&amp;Milestones!$AB$95&amp;" "&amp;Milestones!$AC$95&amp;";  ","")&amp;IF(AND(EDATE($D16,Milestones!$AA$96)&lt;=AsOfDate,IF($Q16=0,$W16,IF(AND($S16&lt;&gt;"",EDATE($D16,Milestones!$AA$96)&gt;=$S16),$V16,IF(AND($R16&lt;&gt;"",EDATE($D16,Milestones!$AA$96)&gt;=$R16),$U16,$T16)))=Milestones!$AB$96),TEXT(EDATE($D16,Milestones!$AA$96),"dd/mm/yy")&amp;" "&amp;Milestones!$AB$96&amp;" "&amp;Milestones!$AC$96&amp;";  ","")&amp;IF(AND(EDATE($D16,Milestones!$AA$97)&lt;=AsOfDate,IF($Q16=0,$W16,IF(AND($S16&lt;&gt;"",EDATE($D16,Milestones!$AA$97)&gt;=$S16),$V16,IF(AND($R16&lt;&gt;"",EDATE($D16,Milestones!$AA$97)&gt;=$R16),$U16,$T16)))=Milestones!$AB$97),TEXT(EDATE($D16,Milestones!$AA$97),"dd/mm/yy")&amp;" "&amp;Milestones!$AB$97&amp;" "&amp;Milestones!$AC$97&amp;";  ","")&amp;IF(AND(EDATE($D16,Milestones!$AA$98)&lt;=AsOfDate,IF($Q16=0,$W16,IF(AND($S16&lt;&gt;"",EDATE($D16,Milestones!$AA$98)&gt;=$S16),$V16,IF(AND($R16&lt;&gt;"",EDATE($D16,Milestones!$AA$98)&gt;=$R16),$U16,$T16)))=Milestones!$AB$98),TEXT(EDATE($D16,Milestones!$AA$98),"dd/mm/yy")&amp;" "&amp;Milestones!$AB$98&amp;" "&amp;Milestones!$AC$98&amp;";  ","")&amp;IF(AND(EDATE($D16,Milestones!$AA$99)&lt;=AsOfDate,IF($Q16=0,$W16,IF(AND($S16&lt;&gt;"",EDATE($D16,Milestones!$AA$99)&gt;=$S16),$V16,IF(AND($R16&lt;&gt;"",EDATE($D16,Milestones!$AA$99)&gt;=$R16),$U16,$T16)))=Milestones!$AB$99),TEXT(EDATE($D16,Milestones!$AA$99),"dd/mm/yy")&amp;" "&amp;Milestones!$AB$99&amp;" "&amp;Milestones!$AC$99&amp;";  ",""))</f>
        <v/>
      </c>
      <c r="L16" s="0" t="str">
        <f aca="false">IF(OR($A16="",$D16=""),"",IF(AND(EDATE($D16,Milestones!$AA$100)&lt;=AsOfDate,IF($Q16=0,$W16,IF(AND($S16&lt;&gt;"",EDATE($D16,Milestones!$AA$100)&gt;=$S16),$V16,IF(AND($R16&lt;&gt;"",EDATE($D16,Milestones!$AA$100)&gt;=$R16),$U16,$T16)))=Milestones!$AB$100),TEXT(EDATE($D16,Milestones!$AA$100),"dd/mm/yy")&amp;" "&amp;Milestones!$AB$100&amp;" "&amp;Milestones!$AC$100&amp;";  ","")&amp;IF(AND(EDATE($D16,Milestones!$AA$101)&lt;=AsOfDate,IF($Q16=0,$W16,IF(AND($S16&lt;&gt;"",EDATE($D16,Milestones!$AA$101)&gt;=$S16),$V16,IF(AND($R16&lt;&gt;"",EDATE($D16,Milestones!$AA$101)&gt;=$R16),$U16,$T16)))=Milestones!$AB$101),TEXT(EDATE($D16,Milestones!$AA$101),"dd/mm/yy")&amp;" "&amp;Milestones!$AB$101&amp;" "&amp;Milestones!$AC$101&amp;";  ","")&amp;IF(AND(EDATE($D16,Milestones!$AA$102)&lt;=AsOfDate,IF($Q16=0,$W16,IF(AND($S16&lt;&gt;"",EDATE($D16,Milestones!$AA$102)&gt;=$S16),$V16,IF(AND($R16&lt;&gt;"",EDATE($D16,Milestones!$AA$102)&gt;=$R16),$U16,$T16)))=Milestones!$AB$102),TEXT(EDATE($D16,Milestones!$AA$102),"dd/mm/yy")&amp;" "&amp;Milestones!$AB$102&amp;" "&amp;Milestones!$AC$102&amp;";  ","")&amp;IF(AND(EDATE($D16,Milestones!$AA$103)&lt;=AsOfDate,IF($Q16=0,$W16,IF(AND($S16&lt;&gt;"",EDATE($D16,Milestones!$AA$103)&gt;=$S16),$V16,IF(AND($R16&lt;&gt;"",EDATE($D16,Milestones!$AA$103)&gt;=$R16),$U16,$T16)))=Milestones!$AB$103),TEXT(EDATE($D16,Milestones!$AA$103),"dd/mm/yy")&amp;" "&amp;Milestones!$AB$103&amp;" "&amp;Milestones!$AC$103&amp;";  ","")&amp;IF(AND(EDATE($D16,Milestones!$AA$104)&lt;=AsOfDate,IF($Q16=0,$W16,IF(AND($S16&lt;&gt;"",EDATE($D16,Milestones!$AA$104)&gt;=$S16),$V16,IF(AND($R16&lt;&gt;"",EDATE($D16,Milestones!$AA$104)&gt;=$R16),$U16,$T16)))=Milestones!$AB$104),TEXT(EDATE($D16,Milestones!$AA$104),"dd/mm/yy")&amp;" "&amp;Milestones!$AB$104&amp;" "&amp;Milestones!$AC$104&amp;";  ","")&amp;IF(AND(EDATE($D16,Milestones!$AA$105)&lt;=AsOfDate,IF($Q16=0,$W16,IF(AND($S16&lt;&gt;"",EDATE($D16,Milestones!$AA$105)&gt;=$S16),$V16,IF(AND($R16&lt;&gt;"",EDATE($D16,Milestones!$AA$105)&gt;=$R16),$U16,$T16)))=Milestones!$AB$105),TEXT(EDATE($D16,Milestones!$AA$105),"dd/mm/yy")&amp;" "&amp;Milestones!$AB$105&amp;" "&amp;Milestones!$AC$105&amp;";  ","")&amp;IF(AND(EDATE($D16,Milestones!$AA$106)&lt;=AsOfDate,IF($Q16=0,$W16,IF(AND($S16&lt;&gt;"",EDATE($D16,Milestones!$AA$106)&gt;=$S16),$V16,IF(AND($R16&lt;&gt;"",EDATE($D16,Milestones!$AA$106)&gt;=$R16),$U16,$T16)))=Milestones!$AB$106),TEXT(EDATE($D16,Milestones!$AA$106),"dd/mm/yy")&amp;" "&amp;Milestones!$AB$106&amp;" "&amp;Milestones!$AC$106&amp;";  ","")&amp;IF(AND(EDATE($D16,Milestones!$AA$107)&lt;=AsOfDate,IF($Q16=0,$W16,IF(AND($S16&lt;&gt;"",EDATE($D16,Milestones!$AA$107)&gt;=$S16),$V16,IF(AND($R16&lt;&gt;"",EDATE($D16,Milestones!$AA$107)&gt;=$R16),$U16,$T16)))=Milestones!$AB$107),TEXT(EDATE($D16,Milestones!$AA$107),"dd/mm/yy")&amp;" "&amp;Milestones!$AB$107&amp;" "&amp;Milestones!$AC$107&amp;";  ","")&amp;IF(AND(EDATE($D16,Milestones!$AA$108)&lt;=AsOfDate,IF($Q16=0,$W16,IF(AND($S16&lt;&gt;"",EDATE($D16,Milestones!$AA$108)&gt;=$S16),$V16,IF(AND($R16&lt;&gt;"",EDATE($D16,Milestones!$AA$108)&gt;=$R16),$U16,$T16)))=Milestones!$AB$108),TEXT(EDATE($D16,Milestones!$AA$108),"dd/mm/yy")&amp;" "&amp;Milestones!$AB$108&amp;" "&amp;Milestones!$AC$108&amp;";  ","")&amp;IF(AND(EDATE($D16,Milestones!$AA$109)&lt;=AsOfDate,IF($Q16=0,$W16,IF(AND($S16&lt;&gt;"",EDATE($D16,Milestones!$AA$109)&gt;=$S16),$V16,IF(AND($R16&lt;&gt;"",EDATE($D16,Milestones!$AA$109)&gt;=$R16),$U16,$T16)))=Milestones!$AB$109),TEXT(EDATE($D16,Milestones!$AA$109),"dd/mm/yy")&amp;" "&amp;Milestones!$AB$109&amp;" "&amp;Milestones!$AC$109&amp;";  ","")&amp;IF(AND(EDATE($D16,Milestones!$AA$110)&lt;=AsOfDate,IF($Q16=0,$W16,IF(AND($S16&lt;&gt;"",EDATE($D16,Milestones!$AA$110)&gt;=$S16),$V16,IF(AND($R16&lt;&gt;"",EDATE($D16,Milestones!$AA$110)&gt;=$R16),$U16,$T16)))=Milestones!$AB$110),TEXT(EDATE($D16,Milestones!$AA$110),"dd/mm/yy")&amp;" "&amp;Milestones!$AB$110&amp;" "&amp;Milestones!$AC$110&amp;";  ","")&amp;IF(AND(EDATE($D16,Milestones!$AA$111)&lt;=AsOfDate,IF($Q16=0,$W16,IF(AND($S16&lt;&gt;"",EDATE($D16,Milestones!$AA$111)&gt;=$S16),$V16,IF(AND($R16&lt;&gt;"",EDATE($D16,Milestones!$AA$111)&gt;=$R16),$U16,$T16)))=Milestones!$AB$111),TEXT(EDATE($D16,Milestones!$AA$111),"dd/mm/yy")&amp;" "&amp;Milestones!$AB$111&amp;" "&amp;Milestones!$AC$111&amp;";  ","")&amp;IF(AND(EDATE($D16,Milestones!$AA$112)&lt;=AsOfDate,IF($Q16=0,$W16,IF(AND($S16&lt;&gt;"",EDATE($D16,Milestones!$AA$112)&gt;=$S16),$V16,IF(AND($R16&lt;&gt;"",EDATE($D16,Milestones!$AA$112)&gt;=$R16),$U16,$T16)))=Milestones!$AB$112),TEXT(EDATE($D16,Milestones!$AA$112),"dd/mm/yy")&amp;" "&amp;Milestones!$AB$112&amp;" "&amp;Milestones!$AC$112&amp;";  ","")&amp;IF(AND(EDATE($D16,Milestones!$AA$113)&lt;=AsOfDate,IF($Q16=0,$W16,IF(AND($S16&lt;&gt;"",EDATE($D16,Milestones!$AA$113)&gt;=$S16),$V16,IF(AND($R16&lt;&gt;"",EDATE($D16,Milestones!$AA$113)&gt;=$R16),$U16,$T16)))=Milestones!$AB$113),TEXT(EDATE($D16,Milestones!$AA$113),"dd/mm/yy")&amp;" "&amp;Milestones!$AB$113&amp;" "&amp;Milestones!$AC$113&amp;";  ","")&amp;IF(AND(EDATE($D16,Milestones!$AA$114)&lt;=AsOfDate,IF($Q16=0,$W16,IF(AND($S16&lt;&gt;"",EDATE($D16,Milestones!$AA$114)&gt;=$S16),$V16,IF(AND($R16&lt;&gt;"",EDATE($D16,Milestones!$AA$114)&gt;=$R16),$U16,$T16)))=Milestones!$AB$114),TEXT(EDATE($D16,Milestones!$AA$114),"dd/mm/yy")&amp;" "&amp;Milestones!$AB$114&amp;" "&amp;Milestones!$AC$114&amp;";  ","")&amp;IF(AND(EDATE($D16,Milestones!$AA$115)&lt;=AsOfDate,IF($Q16=0,$W16,IF(AND($S16&lt;&gt;"",EDATE($D16,Milestones!$AA$115)&gt;=$S16),$V16,IF(AND($R16&lt;&gt;"",EDATE($D16,Milestones!$AA$115)&gt;=$R16),$U16,$T16)))=Milestones!$AB$115),TEXT(EDATE($D16,Milestones!$AA$115),"dd/mm/yy")&amp;" "&amp;Milestones!$AB$115&amp;" "&amp;Milestones!$AC$115&amp;";  ","")&amp;IF(AND(EDATE($D16,Milestones!$AA$116)&lt;=AsOfDate,IF($Q16=0,$W16,IF(AND($S16&lt;&gt;"",EDATE($D16,Milestones!$AA$116)&gt;=$S16),$V16,IF(AND($R16&lt;&gt;"",EDATE($D16,Milestones!$AA$116)&gt;=$R16),$U16,$T16)))=Milestones!$AB$116),TEXT(EDATE($D16,Milestones!$AA$116),"dd/mm/yy")&amp;" "&amp;Milestones!$AB$116&amp;" "&amp;Milestones!$AC$116&amp;";  ","")&amp;IF(AND(EDATE($D16,Milestones!$AA$117)&lt;=AsOfDate,IF($Q16=0,$W16,IF(AND($S16&lt;&gt;"",EDATE($D16,Milestones!$AA$117)&gt;=$S16),$V16,IF(AND($R16&lt;&gt;"",EDATE($D16,Milestones!$AA$117)&gt;=$R16),$U16,$T16)))=Milestones!$AB$117),TEXT(EDATE($D16,Milestones!$AA$117),"dd/mm/yy")&amp;" "&amp;Milestones!$AB$117&amp;" "&amp;Milestones!$AC$117&amp;";  ","")&amp;IF(AND(EDATE($D16,Milestones!$AA$118)&lt;=AsOfDate,IF($Q16=0,$W16,IF(AND($S16&lt;&gt;"",EDATE($D16,Milestones!$AA$118)&gt;=$S16),$V16,IF(AND($R16&lt;&gt;"",EDATE($D16,Milestones!$AA$118)&gt;=$R16),$U16,$T16)))=Milestones!$AB$118),TEXT(EDATE($D16,Milestones!$AA$118),"dd/mm/yy")&amp;" "&amp;Milestones!$AB$118&amp;" "&amp;Milestones!$AC$118&amp;";  ","")&amp;IF(AND(EDATE($D16,Milestones!$AA$119)&lt;=AsOfDate,IF($Q16=0,$W16,IF(AND($S16&lt;&gt;"",EDATE($D16,Milestones!$AA$119)&gt;=$S16),$V16,IF(AND($R16&lt;&gt;"",EDATE($D16,Milestones!$AA$119)&gt;=$R16),$U16,$T16)))=Milestones!$AB$119),TEXT(EDATE($D16,Milestones!$AA$119),"dd/mm/yy")&amp;" "&amp;Milestones!$AB$119&amp;" "&amp;Milestones!$AC$119&amp;";  ",""))</f>
        <v/>
      </c>
      <c r="M16" s="0" t="str">
        <f aca="false">IF(OR($A16="",$D16=""),"",IF(AND(EDATE($D16,Milestones!$AA$120)&lt;=AsOfDate,IF($Q16=0,$W16,IF(AND($S16&lt;&gt;"",EDATE($D16,Milestones!$AA$120)&gt;=$S16),$V16,IF(AND($R16&lt;&gt;"",EDATE($D16,Milestones!$AA$120)&gt;=$R16),$U16,$T16)))=Milestones!$AB$120),TEXT(EDATE($D16,Milestones!$AA$120),"dd/mm/yy")&amp;" "&amp;Milestones!$AB$120&amp;" "&amp;Milestones!$AC$120&amp;";  ","")&amp;IF(AND(EDATE($D16,Milestones!$AA$121)&lt;=AsOfDate,IF($Q16=0,$W16,IF(AND($S16&lt;&gt;"",EDATE($D16,Milestones!$AA$121)&gt;=$S16),$V16,IF(AND($R16&lt;&gt;"",EDATE($D16,Milestones!$AA$121)&gt;=$R16),$U16,$T16)))=Milestones!$AB$121),TEXT(EDATE($D16,Milestones!$AA$121),"dd/mm/yy")&amp;" "&amp;Milestones!$AB$121&amp;" "&amp;Milestones!$AC$121&amp;";  ","")&amp;IF(AND(EDATE($D16,Milestones!$AA$122)&lt;=AsOfDate,IF($Q16=0,$W16,IF(AND($S16&lt;&gt;"",EDATE($D16,Milestones!$AA$122)&gt;=$S16),$V16,IF(AND($R16&lt;&gt;"",EDATE($D16,Milestones!$AA$122)&gt;=$R16),$U16,$T16)))=Milestones!$AB$122),TEXT(EDATE($D16,Milestones!$AA$122),"dd/mm/yy")&amp;" "&amp;Milestones!$AB$122&amp;" "&amp;Milestones!$AC$122&amp;";  ","")&amp;IF(AND(EDATE($D16,Milestones!$AA$123)&lt;=AsOfDate,IF($Q16=0,$W16,IF(AND($S16&lt;&gt;"",EDATE($D16,Milestones!$AA$123)&gt;=$S16),$V16,IF(AND($R16&lt;&gt;"",EDATE($D16,Milestones!$AA$123)&gt;=$R16),$U16,$T16)))=Milestones!$AB$123),TEXT(EDATE($D16,Milestones!$AA$123),"dd/mm/yy")&amp;" "&amp;Milestones!$AB$123&amp;" "&amp;Milestones!$AC$123&amp;";  ","")&amp;IF(AND(EDATE($D16,Milestones!$AA$124)&lt;=AsOfDate,IF($Q16=0,$W16,IF(AND($S16&lt;&gt;"",EDATE($D16,Milestones!$AA$124)&gt;=$S16),$V16,IF(AND($R16&lt;&gt;"",EDATE($D16,Milestones!$AA$124)&gt;=$R16),$U16,$T16)))=Milestones!$AB$124),TEXT(EDATE($D16,Milestones!$AA$124),"dd/mm/yy")&amp;" "&amp;Milestones!$AB$124&amp;" "&amp;Milestones!$AC$124&amp;";  ","")&amp;IF(AND(EDATE($D16,Milestones!$AA$125)&lt;=AsOfDate,IF($Q16=0,$W16,IF(AND($S16&lt;&gt;"",EDATE($D16,Milestones!$AA$125)&gt;=$S16),$V16,IF(AND($R16&lt;&gt;"",EDATE($D16,Milestones!$AA$125)&gt;=$R16),$U16,$T16)))=Milestones!$AB$125),TEXT(EDATE($D16,Milestones!$AA$125),"dd/mm/yy")&amp;" "&amp;Milestones!$AB$125&amp;" "&amp;Milestones!$AC$125&amp;";  ","")&amp;IF(AND(EDATE($D16,Milestones!$AA$126)&lt;=AsOfDate,IF($Q16=0,$W16,IF(AND($S16&lt;&gt;"",EDATE($D16,Milestones!$AA$126)&gt;=$S16),$V16,IF(AND($R16&lt;&gt;"",EDATE($D16,Milestones!$AA$126)&gt;=$R16),$U16,$T16)))=Milestones!$AB$126),TEXT(EDATE($D16,Milestones!$AA$126),"dd/mm/yy")&amp;" "&amp;Milestones!$AB$126&amp;" "&amp;Milestones!$AC$126&amp;";  ","")&amp;IF(AND(EDATE($D16,Milestones!$AA$127)&lt;=AsOfDate,IF($Q16=0,$W16,IF(AND($S16&lt;&gt;"",EDATE($D16,Milestones!$AA$127)&gt;=$S16),$V16,IF(AND($R16&lt;&gt;"",EDATE($D16,Milestones!$AA$127)&gt;=$R16),$U16,$T16)))=Milestones!$AB$127),TEXT(EDATE($D16,Milestones!$AA$127),"dd/mm/yy")&amp;" "&amp;Milestones!$AB$127&amp;" "&amp;Milestones!$AC$127&amp;";  ","")&amp;IF(AND(EDATE($D16,Milestones!$AA$128)&lt;=AsOfDate,IF($Q16=0,$W16,IF(AND($S16&lt;&gt;"",EDATE($D16,Milestones!$AA$128)&gt;=$S16),$V16,IF(AND($R16&lt;&gt;"",EDATE($D16,Milestones!$AA$128)&gt;=$R16),$U16,$T16)))=Milestones!$AB$128),TEXT(EDATE($D16,Milestones!$AA$128),"dd/mm/yy")&amp;" "&amp;Milestones!$AB$128&amp;" "&amp;Milestones!$AC$128&amp;";  ","")&amp;IF(AND(EDATE($D16,Milestones!$AA$129)&lt;=AsOfDate,IF($Q16=0,$W16,IF(AND($S16&lt;&gt;"",EDATE($D16,Milestones!$AA$129)&gt;=$S16),$V16,IF(AND($R16&lt;&gt;"",EDATE($D16,Milestones!$AA$129)&gt;=$R16),$U16,$T16)))=Milestones!$AB$129),TEXT(EDATE($D16,Milestones!$AA$129),"dd/mm/yy")&amp;" "&amp;Milestones!$AB$129&amp;" "&amp;Milestones!$AC$129&amp;";  ","")&amp;IF(AND(EDATE($D16,Milestones!$AA$130)&lt;=AsOfDate,IF($Q16=0,$W16,IF(AND($S16&lt;&gt;"",EDATE($D16,Milestones!$AA$130)&gt;=$S16),$V16,IF(AND($R16&lt;&gt;"",EDATE($D16,Milestones!$AA$130)&gt;=$R16),$U16,$T16)))=Milestones!$AB$130),TEXT(EDATE($D16,Milestones!$AA$130),"dd/mm/yy")&amp;" "&amp;Milestones!$AB$130&amp;" "&amp;Milestones!$AC$130&amp;";  ","")&amp;IF(AND(EDATE($D16,Milestones!$AA$131)&lt;=AsOfDate,IF($Q16=0,$W16,IF(AND($S16&lt;&gt;"",EDATE($D16,Milestones!$AA$131)&gt;=$S16),$V16,IF(AND($R16&lt;&gt;"",EDATE($D16,Milestones!$AA$131)&gt;=$R16),$U16,$T16)))=Milestones!$AB$131),TEXT(EDATE($D16,Milestones!$AA$131),"dd/mm/yy")&amp;" "&amp;Milestones!$AB$131&amp;" "&amp;Milestones!$AC$131&amp;";  ","")&amp;IF(AND(EDATE($D16,Milestones!$AA$132)&lt;=AsOfDate,IF($Q16=0,$W16,IF(AND($S16&lt;&gt;"",EDATE($D16,Milestones!$AA$132)&gt;=$S16),$V16,IF(AND($R16&lt;&gt;"",EDATE($D16,Milestones!$AA$132)&gt;=$R16),$U16,$T16)))=Milestones!$AB$132),TEXT(EDATE($D16,Milestones!$AA$132),"dd/mm/yy")&amp;" "&amp;Milestones!$AB$132&amp;" "&amp;Milestones!$AC$132&amp;";  ","")&amp;IF(AND(EDATE($D16,Milestones!$AA$133)&lt;=AsOfDate,IF($Q16=0,$W16,IF(AND($S16&lt;&gt;"",EDATE($D16,Milestones!$AA$133)&gt;=$S16),$V16,IF(AND($R16&lt;&gt;"",EDATE($D16,Milestones!$AA$133)&gt;=$R16),$U16,$T16)))=Milestones!$AB$133),TEXT(EDATE($D16,Milestones!$AA$133),"dd/mm/yy")&amp;" "&amp;Milestones!$AB$133&amp;" "&amp;Milestones!$AC$133&amp;";  ","")&amp;IF(AND(EDATE($D16,Milestones!$AA$134)&lt;=AsOfDate,IF($Q16=0,$W16,IF(AND($S16&lt;&gt;"",EDATE($D16,Milestones!$AA$134)&gt;=$S16),$V16,IF(AND($R16&lt;&gt;"",EDATE($D16,Milestones!$AA$134)&gt;=$R16),$U16,$T16)))=Milestones!$AB$134),TEXT(EDATE($D16,Milestones!$AA$134),"dd/mm/yy")&amp;" "&amp;Milestones!$AB$134&amp;" "&amp;Milestones!$AC$134&amp;";  ","")&amp;IF(AND(EDATE($D16,Milestones!$AA$135)&lt;=AsOfDate,IF($Q16=0,$W16,IF(AND($S16&lt;&gt;"",EDATE($D16,Milestones!$AA$135)&gt;=$S16),$V16,IF(AND($R16&lt;&gt;"",EDATE($D16,Milestones!$AA$135)&gt;=$R16),$U16,$T16)))=Milestones!$AB$135),TEXT(EDATE($D16,Milestones!$AA$135),"dd/mm/yy")&amp;" "&amp;Milestones!$AB$135&amp;" "&amp;Milestones!$AC$135&amp;";  ","")&amp;IF(AND(EDATE($D16,Milestones!$AA$136)&lt;=AsOfDate,IF($Q16=0,$W16,IF(AND($S16&lt;&gt;"",EDATE($D16,Milestones!$AA$136)&gt;=$S16),$V16,IF(AND($R16&lt;&gt;"",EDATE($D16,Milestones!$AA$136)&gt;=$R16),$U16,$T16)))=Milestones!$AB$136),TEXT(EDATE($D16,Milestones!$AA$136),"dd/mm/yy")&amp;" "&amp;Milestones!$AB$136&amp;" "&amp;Milestones!$AC$136&amp;";  ","")&amp;IF(AND(EDATE($D16,Milestones!$AA$137)&lt;=AsOfDate,IF($Q16=0,$W16,IF(AND($S16&lt;&gt;"",EDATE($D16,Milestones!$AA$137)&gt;=$S16),$V16,IF(AND($R16&lt;&gt;"",EDATE($D16,Milestones!$AA$137)&gt;=$R16),$U16,$T16)))=Milestones!$AB$137),TEXT(EDATE($D16,Milestones!$AA$137),"dd/mm/yy")&amp;" "&amp;Milestones!$AB$137&amp;" "&amp;Milestones!$AC$137&amp;";  ","")&amp;IF(AND(EDATE($D16,Milestones!$AA$138)&lt;=AsOfDate,IF($Q16=0,$W16,IF(AND($S16&lt;&gt;"",EDATE($D16,Milestones!$AA$138)&gt;=$S16),$V16,IF(AND($R16&lt;&gt;"",EDATE($D16,Milestones!$AA$138)&gt;=$R16),$U16,$T16)))=Milestones!$AB$138),TEXT(EDATE($D16,Milestones!$AA$138),"dd/mm/yy")&amp;" "&amp;Milestones!$AB$138&amp;" "&amp;Milestones!$AC$138&amp;";  ","")&amp;IF(AND(EDATE($D16,Milestones!$AA$139)&lt;=AsOfDate,IF($Q16=0,$W16,IF(AND($S16&lt;&gt;"",EDATE($D16,Milestones!$AA$139)&gt;=$S16),$V16,IF(AND($R16&lt;&gt;"",EDATE($D16,Milestones!$AA$139)&gt;=$R16),$U16,$T16)))=Milestones!$AB$139),TEXT(EDATE($D16,Milestones!$AA$139),"dd/mm/yy")&amp;" "&amp;Milestones!$AB$139&amp;" "&amp;Milestones!$AC$139&amp;";  ",""))</f>
        <v/>
      </c>
      <c r="N16" s="0" t="str">
        <f aca="false">IF(OR($A16="",$D16=""),"",IF(AND(EDATE($D16,Milestones!$AA$140)&lt;=AsOfDate,IF($Q16=0,$W16,IF(AND($S16&lt;&gt;"",EDATE($D16,Milestones!$AA$140)&gt;=$S16),$V16,IF(AND($R16&lt;&gt;"",EDATE($D16,Milestones!$AA$140)&gt;=$R16),$U16,$T16)))=Milestones!$AB$140),TEXT(EDATE($D16,Milestones!$AA$140),"dd/mm/yy")&amp;" "&amp;Milestones!$AB$140&amp;" "&amp;Milestones!$AC$140&amp;";  ","")&amp;IF(AND(EDATE($D16,Milestones!$AA$141)&lt;=AsOfDate,IF($Q16=0,$W16,IF(AND($S16&lt;&gt;"",EDATE($D16,Milestones!$AA$141)&gt;=$S16),$V16,IF(AND($R16&lt;&gt;"",EDATE($D16,Milestones!$AA$141)&gt;=$R16),$U16,$T16)))=Milestones!$AB$141),TEXT(EDATE($D16,Milestones!$AA$141),"dd/mm/yy")&amp;" "&amp;Milestones!$AB$141&amp;" "&amp;Milestones!$AC$141&amp;";  ","")&amp;IF(AND(EDATE($D16,Milestones!$AA$142)&lt;=AsOfDate,IF($Q16=0,$W16,IF(AND($S16&lt;&gt;"",EDATE($D16,Milestones!$AA$142)&gt;=$S16),$V16,IF(AND($R16&lt;&gt;"",EDATE($D16,Milestones!$AA$142)&gt;=$R16),$U16,$T16)))=Milestones!$AB$142),TEXT(EDATE($D16,Milestones!$AA$142),"dd/mm/yy")&amp;" "&amp;Milestones!$AB$142&amp;" "&amp;Milestones!$AC$142&amp;";  ","")&amp;IF(AND(EDATE($D16,Milestones!$AA$143)&lt;=AsOfDate,IF($Q16=0,$W16,IF(AND($S16&lt;&gt;"",EDATE($D16,Milestones!$AA$143)&gt;=$S16),$V16,IF(AND($R16&lt;&gt;"",EDATE($D16,Milestones!$AA$143)&gt;=$R16),$U16,$T16)))=Milestones!$AB$143),TEXT(EDATE($D16,Milestones!$AA$143),"dd/mm/yy")&amp;" "&amp;Milestones!$AB$143&amp;" "&amp;Milestones!$AC$143&amp;";  ","")&amp;IF(AND(EDATE($D16,Milestones!$AA$144)&lt;=AsOfDate,IF($Q16=0,$W16,IF(AND($S16&lt;&gt;"",EDATE($D16,Milestones!$AA$144)&gt;=$S16),$V16,IF(AND($R16&lt;&gt;"",EDATE($D16,Milestones!$AA$144)&gt;=$R16),$U16,$T16)))=Milestones!$AB$144),TEXT(EDATE($D16,Milestones!$AA$144),"dd/mm/yy")&amp;" "&amp;Milestones!$AB$144&amp;" "&amp;Milestones!$AC$144&amp;";  ","")&amp;IF(AND(EDATE($D16,Milestones!$AA$145)&lt;=AsOfDate,IF($Q16=0,$W16,IF(AND($S16&lt;&gt;"",EDATE($D16,Milestones!$AA$145)&gt;=$S16),$V16,IF(AND($R16&lt;&gt;"",EDATE($D16,Milestones!$AA$145)&gt;=$R16),$U16,$T16)))=Milestones!$AB$145),TEXT(EDATE($D16,Milestones!$AA$145),"dd/mm/yy")&amp;" "&amp;Milestones!$AB$145&amp;" "&amp;Milestones!$AC$145&amp;";  ","")&amp;IF(AND(EDATE($D16,Milestones!$AA$146)&lt;=AsOfDate,IF($Q16=0,$W16,IF(AND($S16&lt;&gt;"",EDATE($D16,Milestones!$AA$146)&gt;=$S16),$V16,IF(AND($R16&lt;&gt;"",EDATE($D16,Milestones!$AA$146)&gt;=$R16),$U16,$T16)))=Milestones!$AB$146),TEXT(EDATE($D16,Milestones!$AA$146),"dd/mm/yy")&amp;" "&amp;Milestones!$AB$146&amp;" "&amp;Milestones!$AC$146&amp;";  ","")&amp;IF(AND(EDATE($D16,Milestones!$AA$147)&lt;=AsOfDate,IF($Q16=0,$W16,IF(AND($S16&lt;&gt;"",EDATE($D16,Milestones!$AA$147)&gt;=$S16),$V16,IF(AND($R16&lt;&gt;"",EDATE($D16,Milestones!$AA$147)&gt;=$R16),$U16,$T16)))=Milestones!$AB$147),TEXT(EDATE($D16,Milestones!$AA$147),"dd/mm/yy")&amp;" "&amp;Milestones!$AB$147&amp;" "&amp;Milestones!$AC$147&amp;";  ","")&amp;IF(AND(EDATE($D16,Milestones!$AA$148)&lt;=AsOfDate,IF($Q16=0,$W16,IF(AND($S16&lt;&gt;"",EDATE($D16,Milestones!$AA$148)&gt;=$S16),$V16,IF(AND($R16&lt;&gt;"",EDATE($D16,Milestones!$AA$148)&gt;=$R16),$U16,$T16)))=Milestones!$AB$148),TEXT(EDATE($D16,Milestones!$AA$148),"dd/mm/yy")&amp;" "&amp;Milestones!$AB$148&amp;" "&amp;Milestones!$AC$148&amp;";  ","")&amp;IF(AND(EDATE($D16,Milestones!$AA$149)&lt;=AsOfDate,IF($Q16=0,$W16,IF(AND($S16&lt;&gt;"",EDATE($D16,Milestones!$AA$149)&gt;=$S16),$V16,IF(AND($R16&lt;&gt;"",EDATE($D16,Milestones!$AA$149)&gt;=$R16),$U16,$T16)))=Milestones!$AB$149),TEXT(EDATE($D16,Milestones!$AA$149),"dd/mm/yy")&amp;" "&amp;Milestones!$AB$149&amp;" "&amp;Milestones!$AC$149&amp;";  ","")&amp;IF(AND(EDATE($D16,Milestones!$AA$150)&lt;=AsOfDate,IF($Q16=0,$W16,IF(AND($S16&lt;&gt;"",EDATE($D16,Milestones!$AA$150)&gt;=$S16),$V16,IF(AND($R16&lt;&gt;"",EDATE($D16,Milestones!$AA$150)&gt;=$R16),$U16,$T16)))=Milestones!$AB$150),TEXT(EDATE($D16,Milestones!$AA$150),"dd/mm/yy")&amp;" "&amp;Milestones!$AB$150&amp;" "&amp;Milestones!$AC$150&amp;";  ","")&amp;IF(AND(EDATE($D16,Milestones!$AA$151)&lt;=AsOfDate,IF($Q16=0,$W16,IF(AND($S16&lt;&gt;"",EDATE($D16,Milestones!$AA$151)&gt;=$S16),$V16,IF(AND($R16&lt;&gt;"",EDATE($D16,Milestones!$AA$151)&gt;=$R16),$U16,$T16)))=Milestones!$AB$151),TEXT(EDATE($D16,Milestones!$AA$151),"dd/mm/yy")&amp;" "&amp;Milestones!$AB$151&amp;" "&amp;Milestones!$AC$151&amp;";  ","")&amp;IF(AND(EDATE($D16,Milestones!$AA$152)&lt;=AsOfDate,IF($Q16=0,$W16,IF(AND($S16&lt;&gt;"",EDATE($D16,Milestones!$AA$152)&gt;=$S16),$V16,IF(AND($R16&lt;&gt;"",EDATE($D16,Milestones!$AA$152)&gt;=$R16),$U16,$T16)))=Milestones!$AB$152),TEXT(EDATE($D16,Milestones!$AA$152),"dd/mm/yy")&amp;" "&amp;Milestones!$AB$152&amp;" "&amp;Milestones!$AC$152&amp;";  ","")&amp;IF(AND(EDATE($D16,Milestones!$AA$153)&lt;=AsOfDate,IF($Q16=0,$W16,IF(AND($S16&lt;&gt;"",EDATE($D16,Milestones!$AA$153)&gt;=$S16),$V16,IF(AND($R16&lt;&gt;"",EDATE($D16,Milestones!$AA$153)&gt;=$R16),$U16,$T16)))=Milestones!$AB$153),TEXT(EDATE($D16,Milestones!$AA$153),"dd/mm/yy")&amp;" "&amp;Milestones!$AB$153&amp;" "&amp;Milestones!$AC$153&amp;";  ","")&amp;IF(AND(EDATE($D16,Milestones!$AA$154)&lt;=AsOfDate,IF($Q16=0,$W16,IF(AND($S16&lt;&gt;"",EDATE($D16,Milestones!$AA$154)&gt;=$S16),$V16,IF(AND($R16&lt;&gt;"",EDATE($D16,Milestones!$AA$154)&gt;=$R16),$U16,$T16)))=Milestones!$AB$154),TEXT(EDATE($D16,Milestones!$AA$154),"dd/mm/yy")&amp;" "&amp;Milestones!$AB$154&amp;" "&amp;Milestones!$AC$154&amp;";  ","")&amp;IF(AND(EDATE($D16,Milestones!$AA$155)&lt;=AsOfDate,IF($Q16=0,$W16,IF(AND($S16&lt;&gt;"",EDATE($D16,Milestones!$AA$155)&gt;=$S16),$V16,IF(AND($R16&lt;&gt;"",EDATE($D16,Milestones!$AA$155)&gt;=$R16),$U16,$T16)))=Milestones!$AB$155),TEXT(EDATE($D16,Milestones!$AA$155),"dd/mm/yy")&amp;" "&amp;Milestones!$AB$155&amp;" "&amp;Milestones!$AC$155&amp;";  ","")&amp;IF(AND(EDATE($D16,Milestones!$AA$156)&lt;=AsOfDate,IF($Q16=0,$W16,IF(AND($S16&lt;&gt;"",EDATE($D16,Milestones!$AA$156)&gt;=$S16),$V16,IF(AND($R16&lt;&gt;"",EDATE($D16,Milestones!$AA$156)&gt;=$R16),$U16,$T16)))=Milestones!$AB$156),TEXT(EDATE($D16,Milestones!$AA$156),"dd/mm/yy")&amp;" "&amp;Milestones!$AB$156&amp;" "&amp;Milestones!$AC$156&amp;";  ","")&amp;IF(AND(EDATE($D16,Milestones!$AA$157)&lt;=AsOfDate,IF($Q16=0,$W16,IF(AND($S16&lt;&gt;"",EDATE($D16,Milestones!$AA$157)&gt;=$S16),$V16,IF(AND($R16&lt;&gt;"",EDATE($D16,Milestones!$AA$157)&gt;=$R16),$U16,$T16)))=Milestones!$AB$157),TEXT(EDATE($D16,Milestones!$AA$157),"dd/mm/yy")&amp;" "&amp;Milestones!$AB$157&amp;" "&amp;Milestones!$AC$157&amp;";  ","")&amp;IF(AND(EDATE($D16,Milestones!$AA$158)&lt;=AsOfDate,IF($Q16=0,$W16,IF(AND($S16&lt;&gt;"",EDATE($D16,Milestones!$AA$158)&gt;=$S16),$V16,IF(AND($R16&lt;&gt;"",EDATE($D16,Milestones!$AA$158)&gt;=$R16),$U16,$T16)))=Milestones!$AB$158),TEXT(EDATE($D16,Milestones!$AA$158),"dd/mm/yy")&amp;" "&amp;Milestones!$AB$158&amp;" "&amp;Milestones!$AC$158&amp;";  ","")&amp;IF(AND(EDATE($D16,Milestones!$AA$159)&lt;=AsOfDate,IF($Q16=0,$W16,IF(AND($S16&lt;&gt;"",EDATE($D16,Milestones!$AA$159)&gt;=$S16),$V16,IF(AND($R16&lt;&gt;"",EDATE($D16,Milestones!$AA$159)&gt;=$R16),$U16,$T16)))=Milestones!$AB$159),TEXT(EDATE($D16,Milestones!$AA$159),"dd/mm/yy")&amp;" "&amp;Milestones!$AB$159&amp;" "&amp;Milestones!$AC$159&amp;";  ",""))</f>
        <v/>
      </c>
      <c r="O16" s="0" t="str">
        <f aca="false">IF(OR($A16="",$D16=""),"",IF(AND(EDATE($D16,Milestones!$AA$160)&lt;=AsOfDate,IF($Q16=0,$W16,IF(AND($S16&lt;&gt;"",EDATE($D16,Milestones!$AA$160)&gt;=$S16),$V16,IF(AND($R16&lt;&gt;"",EDATE($D16,Milestones!$AA$160)&gt;=$R16),$U16,$T16)))=Milestones!$AB$160),TEXT(EDATE($D16,Milestones!$AA$160),"dd/mm/yy")&amp;" "&amp;Milestones!$AB$160&amp;" "&amp;Milestones!$AC$160&amp;";  ","")&amp;IF(AND(EDATE($D16,Milestones!$AA$161)&lt;=AsOfDate,IF($Q16=0,$W16,IF(AND($S16&lt;&gt;"",EDATE($D16,Milestones!$AA$161)&gt;=$S16),$V16,IF(AND($R16&lt;&gt;"",EDATE($D16,Milestones!$AA$161)&gt;=$R16),$U16,$T16)))=Milestones!$AB$161),TEXT(EDATE($D16,Milestones!$AA$161),"dd/mm/yy")&amp;" "&amp;Milestones!$AB$161&amp;" "&amp;Milestones!$AC$161&amp;";  ","")&amp;IF(AND(EDATE($D16,Milestones!$AA$162)&lt;=AsOfDate,IF($Q16=0,$W16,IF(AND($S16&lt;&gt;"",EDATE($D16,Milestones!$AA$162)&gt;=$S16),$V16,IF(AND($R16&lt;&gt;"",EDATE($D16,Milestones!$AA$162)&gt;=$R16),$U16,$T16)))=Milestones!$AB$162),TEXT(EDATE($D16,Milestones!$AA$162),"dd/mm/yy")&amp;" "&amp;Milestones!$AB$162&amp;" "&amp;Milestones!$AC$162&amp;";  ","")&amp;IF(AND(EDATE($D16,Milestones!$AA$163)&lt;=AsOfDate,IF($Q16=0,$W16,IF(AND($S16&lt;&gt;"",EDATE($D16,Milestones!$AA$163)&gt;=$S16),$V16,IF(AND($R16&lt;&gt;"",EDATE($D16,Milestones!$AA$163)&gt;=$R16),$U16,$T16)))=Milestones!$AB$163),TEXT(EDATE($D16,Milestones!$AA$163),"dd/mm/yy")&amp;" "&amp;Milestones!$AB$163&amp;" "&amp;Milestones!$AC$163&amp;";  ","")&amp;IF(AND(EDATE($D16,Milestones!$AA$164)&lt;=AsOfDate,IF($Q16=0,$W16,IF(AND($S16&lt;&gt;"",EDATE($D16,Milestones!$AA$164)&gt;=$S16),$V16,IF(AND($R16&lt;&gt;"",EDATE($D16,Milestones!$AA$164)&gt;=$R16),$U16,$T16)))=Milestones!$AB$164),TEXT(EDATE($D16,Milestones!$AA$164),"dd/mm/yy")&amp;" "&amp;Milestones!$AB$164&amp;" "&amp;Milestones!$AC$164&amp;";  ","")&amp;IF(AND(EDATE($D16,Milestones!$AA$165)&lt;=AsOfDate,IF($Q16=0,$W16,IF(AND($S16&lt;&gt;"",EDATE($D16,Milestones!$AA$165)&gt;=$S16),$V16,IF(AND($R16&lt;&gt;"",EDATE($D16,Milestones!$AA$165)&gt;=$R16),$U16,$T16)))=Milestones!$AB$165),TEXT(EDATE($D16,Milestones!$AA$165),"dd/mm/yy")&amp;" "&amp;Milestones!$AB$165&amp;" "&amp;Milestones!$AC$165&amp;";  ","")&amp;IF(AND(EDATE($D16,Milestones!$AA$166)&lt;=AsOfDate,IF($Q16=0,$W16,IF(AND($S16&lt;&gt;"",EDATE($D16,Milestones!$AA$166)&gt;=$S16),$V16,IF(AND($R16&lt;&gt;"",EDATE($D16,Milestones!$AA$166)&gt;=$R16),$U16,$T16)))=Milestones!$AB$166),TEXT(EDATE($D16,Milestones!$AA$166),"dd/mm/yy")&amp;" "&amp;Milestones!$AB$166&amp;" "&amp;Milestones!$AC$166&amp;";  ","")&amp;IF(AND(EDATE($D16,Milestones!$AA$167)&lt;=AsOfDate,IF($Q16=0,$W16,IF(AND($S16&lt;&gt;"",EDATE($D16,Milestones!$AA$167)&gt;=$S16),$V16,IF(AND($R16&lt;&gt;"",EDATE($D16,Milestones!$AA$167)&gt;=$R16),$U16,$T16)))=Milestones!$AB$167),TEXT(EDATE($D16,Milestones!$AA$167),"dd/mm/yy")&amp;" "&amp;Milestones!$AB$167&amp;" "&amp;Milestones!$AC$167&amp;";  ","")&amp;IF(AND(EDATE($D16,Milestones!$AA$168)&lt;=AsOfDate,IF($Q16=0,$W16,IF(AND($S16&lt;&gt;"",EDATE($D16,Milestones!$AA$168)&gt;=$S16),$V16,IF(AND($R16&lt;&gt;"",EDATE($D16,Milestones!$AA$168)&gt;=$R16),$U16,$T16)))=Milestones!$AB$168),TEXT(EDATE($D16,Milestones!$AA$168),"dd/mm/yy")&amp;" "&amp;Milestones!$AB$168&amp;" "&amp;Milestones!$AC$168&amp;";  ","")&amp;IF(AND(EDATE($D16,Milestones!$AA$169)&lt;=AsOfDate,IF($Q16=0,$W16,IF(AND($S16&lt;&gt;"",EDATE($D16,Milestones!$AA$169)&gt;=$S16),$V16,IF(AND($R16&lt;&gt;"",EDATE($D16,Milestones!$AA$169)&gt;=$R16),$U16,$T16)))=Milestones!$AB$169),TEXT(EDATE($D16,Milestones!$AA$169),"dd/mm/yy")&amp;" "&amp;Milestones!$AB$169&amp;" "&amp;Milestones!$AC$169&amp;";  ","")&amp;IF(AND(EDATE($D16,Milestones!$AA$170)&lt;=AsOfDate,IF($Q16=0,$W16,IF(AND($S16&lt;&gt;"",EDATE($D16,Milestones!$AA$170)&gt;=$S16),$V16,IF(AND($R16&lt;&gt;"",EDATE($D16,Milestones!$AA$170)&gt;=$R16),$U16,$T16)))=Milestones!$AB$170),TEXT(EDATE($D16,Milestones!$AA$170),"dd/mm/yy")&amp;" "&amp;Milestones!$AB$170&amp;" "&amp;Milestones!$AC$170&amp;";  ","")&amp;IF(AND(EDATE($D16,Milestones!$AA$171)&lt;=AsOfDate,IF($Q16=0,$W16,IF(AND($S16&lt;&gt;"",EDATE($D16,Milestones!$AA$171)&gt;=$S16),$V16,IF(AND($R16&lt;&gt;"",EDATE($D16,Milestones!$AA$171)&gt;=$R16),$U16,$T16)))=Milestones!$AB$171),TEXT(EDATE($D16,Milestones!$AA$171),"dd/mm/yy")&amp;" "&amp;Milestones!$AB$171&amp;" "&amp;Milestones!$AC$171&amp;";  ","")&amp;IF(AND(EDATE($D16,Milestones!$AA$172)&lt;=AsOfDate,IF($Q16=0,$W16,IF(AND($S16&lt;&gt;"",EDATE($D16,Milestones!$AA$172)&gt;=$S16),$V16,IF(AND($R16&lt;&gt;"",EDATE($D16,Milestones!$AA$172)&gt;=$R16),$U16,$T16)))=Milestones!$AB$172),TEXT(EDATE($D16,Milestones!$AA$172),"dd/mm/yy")&amp;" "&amp;Milestones!$AB$172&amp;" "&amp;Milestones!$AC$172&amp;";  ","")&amp;IF(AND(EDATE($D16,Milestones!$AA$173)&lt;=AsOfDate,IF($Q16=0,$W16,IF(AND($S16&lt;&gt;"",EDATE($D16,Milestones!$AA$173)&gt;=$S16),$V16,IF(AND($R16&lt;&gt;"",EDATE($D16,Milestones!$AA$173)&gt;=$R16),$U16,$T16)))=Milestones!$AB$173),TEXT(EDATE($D16,Milestones!$AA$173),"dd/mm/yy")&amp;" "&amp;Milestones!$AB$173&amp;" "&amp;Milestones!$AC$173&amp;";  ","")&amp;IF(AND(EDATE($D16,Milestones!$AA$174)&lt;=AsOfDate,IF($Q16=0,$W16,IF(AND($S16&lt;&gt;"",EDATE($D16,Milestones!$AA$174)&gt;=$S16),$V16,IF(AND($R16&lt;&gt;"",EDATE($D16,Milestones!$AA$174)&gt;=$R16),$U16,$T16)))=Milestones!$AB$174),TEXT(EDATE($D16,Milestones!$AA$174),"dd/mm/yy")&amp;" "&amp;Milestones!$AB$174&amp;" "&amp;Milestones!$AC$174&amp;";  ","")&amp;IF(AND(EDATE($D16,Milestones!$AA$175)&lt;=AsOfDate,IF($Q16=0,$W16,IF(AND($S16&lt;&gt;"",EDATE($D16,Milestones!$AA$175)&gt;=$S16),$V16,IF(AND($R16&lt;&gt;"",EDATE($D16,Milestones!$AA$175)&gt;=$R16),$U16,$T16)))=Milestones!$AB$175),TEXT(EDATE($D16,Milestones!$AA$175),"dd/mm/yy")&amp;" "&amp;Milestones!$AB$175&amp;" "&amp;Milestones!$AC$175&amp;";  ","")&amp;IF(AND(EDATE($D16,Milestones!$AA$176)&lt;=AsOfDate,IF($Q16=0,$W16,IF(AND($S16&lt;&gt;"",EDATE($D16,Milestones!$AA$176)&gt;=$S16),$V16,IF(AND($R16&lt;&gt;"",EDATE($D16,Milestones!$AA$176)&gt;=$R16),$U16,$T16)))=Milestones!$AB$176),TEXT(EDATE($D16,Milestones!$AA$176),"dd/mm/yy")&amp;" "&amp;Milestones!$AB$176&amp;" "&amp;Milestones!$AC$176&amp;";  ","")&amp;IF(AND(EDATE($D16,Milestones!$AA$177)&lt;=AsOfDate,IF($Q16=0,$W16,IF(AND($S16&lt;&gt;"",EDATE($D16,Milestones!$AA$177)&gt;=$S16),$V16,IF(AND($R16&lt;&gt;"",EDATE($D16,Milestones!$AA$177)&gt;=$R16),$U16,$T16)))=Milestones!$AB$177),TEXT(EDATE($D16,Milestones!$AA$177),"dd/mm/yy")&amp;" "&amp;Milestones!$AB$177&amp;" "&amp;Milestones!$AC$177&amp;";  ","")&amp;IF(AND(EDATE($D16,Milestones!$AA$178)&lt;=AsOfDate,IF($Q16=0,$W16,IF(AND($S16&lt;&gt;"",EDATE($D16,Milestones!$AA$178)&gt;=$S16),$V16,IF(AND($R16&lt;&gt;"",EDATE($D16,Milestones!$AA$178)&gt;=$R16),$U16,$T16)))=Milestones!$AB$178),TEXT(EDATE($D16,Milestones!$AA$178),"dd/mm/yy")&amp;" "&amp;Milestones!$AB$178&amp;" "&amp;Milestones!$AC$178&amp;";  ","")&amp;IF(AND(EDATE($D16,Milestones!$AA$179)&lt;=AsOfDate,IF($Q16=0,$W16,IF(AND($S16&lt;&gt;"",EDATE($D16,Milestones!$AA$179)&gt;=$S16),$V16,IF(AND($R16&lt;&gt;"",EDATE($D16,Milestones!$AA$179)&gt;=$R16),$U16,$T16)))=Milestones!$AB$179),TEXT(EDATE($D16,Milestones!$AA$179),"dd/mm/yy")&amp;" "&amp;Milestones!$AB$179&amp;" "&amp;Milestones!$AC$179&amp;";  ",""))</f>
        <v/>
      </c>
      <c r="P16" s="0" t="str">
        <f aca="false">IF(OR($A16="",$D16=""),"",IF(AND(EDATE($D16,Milestones!$AA$180)&lt;=AsOfDate,IF($Q16=0,$W16,IF(AND($S16&lt;&gt;"",EDATE($D16,Milestones!$AA$180)&gt;=$S16),$V16,IF(AND($R16&lt;&gt;"",EDATE($D16,Milestones!$AA$180)&gt;=$R16),$U16,$T16)))=Milestones!$AB$180),TEXT(EDATE($D16,Milestones!$AA$180),"dd/mm/yy")&amp;" "&amp;Milestones!$AB$180&amp;" "&amp;Milestones!$AC$180&amp;";  ","")&amp;IF(AND(EDATE($D16,Milestones!$AA$181)&lt;=AsOfDate,IF($Q16=0,$W16,IF(AND($S16&lt;&gt;"",EDATE($D16,Milestones!$AA$181)&gt;=$S16),$V16,IF(AND($R16&lt;&gt;"",EDATE($D16,Milestones!$AA$181)&gt;=$R16),$U16,$T16)))=Milestones!$AB$181),TEXT(EDATE($D16,Milestones!$AA$181),"dd/mm/yy")&amp;" "&amp;Milestones!$AB$181&amp;" "&amp;Milestones!$AC$181&amp;";  ","")&amp;IF(AND(EDATE($D16,Milestones!$AA$182)&lt;=AsOfDate,IF($Q16=0,$W16,IF(AND($S16&lt;&gt;"",EDATE($D16,Milestones!$AA$182)&gt;=$S16),$V16,IF(AND($R16&lt;&gt;"",EDATE($D16,Milestones!$AA$182)&gt;=$R16),$U16,$T16)))=Milestones!$AB$182),TEXT(EDATE($D16,Milestones!$AA$182),"dd/mm/yy")&amp;" "&amp;Milestones!$AB$182&amp;" "&amp;Milestones!$AC$182&amp;";  ","")&amp;IF(AND(EDATE($D16,Milestones!$AA$183)&lt;=AsOfDate,IF($Q16=0,$W16,IF(AND($S16&lt;&gt;"",EDATE($D16,Milestones!$AA$183)&gt;=$S16),$V16,IF(AND($R16&lt;&gt;"",EDATE($D16,Milestones!$AA$183)&gt;=$R16),$U16,$T16)))=Milestones!$AB$183),TEXT(EDATE($D16,Milestones!$AA$183),"dd/mm/yy")&amp;" "&amp;Milestones!$AB$183&amp;" "&amp;Milestones!$AC$183&amp;";  ","")&amp;IF(AND(EDATE($D16,Milestones!$AA$184)&lt;=AsOfDate,IF($Q16=0,$W16,IF(AND($S16&lt;&gt;"",EDATE($D16,Milestones!$AA$184)&gt;=$S16),$V16,IF(AND($R16&lt;&gt;"",EDATE($D16,Milestones!$AA$184)&gt;=$R16),$U16,$T16)))=Milestones!$AB$184),TEXT(EDATE($D16,Milestones!$AA$184),"dd/mm/yy")&amp;" "&amp;Milestones!$AB$184&amp;" "&amp;Milestones!$AC$184&amp;";  ","")&amp;IF(AND(EDATE($D16,Milestones!$AA$185)&lt;=AsOfDate,IF($Q16=0,$W16,IF(AND($S16&lt;&gt;"",EDATE($D16,Milestones!$AA$185)&gt;=$S16),$V16,IF(AND($R16&lt;&gt;"",EDATE($D16,Milestones!$AA$185)&gt;=$R16),$U16,$T16)))=Milestones!$AB$185),TEXT(EDATE($D16,Milestones!$AA$185),"dd/mm/yy")&amp;" "&amp;Milestones!$AB$185&amp;" "&amp;Milestones!$AC$185&amp;";  ","")&amp;IF(AND(EDATE($D16,Milestones!$AA$186)&lt;=AsOfDate,IF($Q16=0,$W16,IF(AND($S16&lt;&gt;"",EDATE($D16,Milestones!$AA$186)&gt;=$S16),$V16,IF(AND($R16&lt;&gt;"",EDATE($D16,Milestones!$AA$186)&gt;=$R16),$U16,$T16)))=Milestones!$AB$186),TEXT(EDATE($D16,Milestones!$AA$186),"dd/mm/yy")&amp;" "&amp;Milestones!$AB$186&amp;" "&amp;Milestones!$AC$186&amp;";  ","")&amp;IF(AND(EDATE($D16,Milestones!$AA$187)&lt;=AsOfDate,IF($Q16=0,$W16,IF(AND($S16&lt;&gt;"",EDATE($D16,Milestones!$AA$187)&gt;=$S16),$V16,IF(AND($R16&lt;&gt;"",EDATE($D16,Milestones!$AA$187)&gt;=$R16),$U16,$T16)))=Milestones!$AB$187),TEXT(EDATE($D16,Milestones!$AA$187),"dd/mm/yy")&amp;" "&amp;Milestones!$AB$187&amp;" "&amp;Milestones!$AC$187&amp;";  ","")&amp;IF(AND(EDATE($D16,Milestones!$AA$188)&lt;=AsOfDate,IF($Q16=0,$W16,IF(AND($S16&lt;&gt;"",EDATE($D16,Milestones!$AA$188)&gt;=$S16),$V16,IF(AND($R16&lt;&gt;"",EDATE($D16,Milestones!$AA$188)&gt;=$R16),$U16,$T16)))=Milestones!$AB$188),TEXT(EDATE($D16,Milestones!$AA$188),"dd/mm/yy")&amp;" "&amp;Milestones!$AB$188&amp;" "&amp;Milestones!$AC$188&amp;";  ","")&amp;IF(AND(EDATE($D16,Milestones!$AA$189)&lt;=AsOfDate,IF($Q16=0,$W16,IF(AND($S16&lt;&gt;"",EDATE($D16,Milestones!$AA$189)&gt;=$S16),$V16,IF(AND($R16&lt;&gt;"",EDATE($D16,Milestones!$AA$189)&gt;=$R16),$U16,$T16)))=Milestones!$AB$189),TEXT(EDATE($D16,Milestones!$AA$189),"dd/mm/yy")&amp;" "&amp;Milestones!$AB$189&amp;" "&amp;Milestones!$AC$189&amp;";  ","")&amp;IF(AND(EDATE($D16,Milestones!$AA$190)&lt;=AsOfDate,IF($Q16=0,$W16,IF(AND($S16&lt;&gt;"",EDATE($D16,Milestones!$AA$190)&gt;=$S16),$V16,IF(AND($R16&lt;&gt;"",EDATE($D16,Milestones!$AA$190)&gt;=$R16),$U16,$T16)))=Milestones!$AB$190),TEXT(EDATE($D16,Milestones!$AA$190),"dd/mm/yy")&amp;" "&amp;Milestones!$AB$190&amp;" "&amp;Milestones!$AC$190&amp;";  ","")&amp;IF(AND(EDATE($D16,Milestones!$AA$191)&lt;=AsOfDate,IF($Q16=0,$W16,IF(AND($S16&lt;&gt;"",EDATE($D16,Milestones!$AA$191)&gt;=$S16),$V16,IF(AND($R16&lt;&gt;"",EDATE($D16,Milestones!$AA$191)&gt;=$R16),$U16,$T16)))=Milestones!$AB$191),TEXT(EDATE($D16,Milestones!$AA$191),"dd/mm/yy")&amp;" "&amp;Milestones!$AB$191&amp;" "&amp;Milestones!$AC$191&amp;";  ","")&amp;IF(AND(EDATE($D16,Milestones!$AA$192)&lt;=AsOfDate,IF($Q16=0,$W16,IF(AND($S16&lt;&gt;"",EDATE($D16,Milestones!$AA$192)&gt;=$S16),$V16,IF(AND($R16&lt;&gt;"",EDATE($D16,Milestones!$AA$192)&gt;=$R16),$U16,$T16)))=Milestones!$AB$192),TEXT(EDATE($D16,Milestones!$AA$192),"dd/mm/yy")&amp;" "&amp;Milestones!$AB$192&amp;" "&amp;Milestones!$AC$192&amp;";  ","")&amp;IF(AND(EDATE($D16,Milestones!$AA$193)&lt;=AsOfDate,IF($Q16=0,$W16,IF(AND($S16&lt;&gt;"",EDATE($D16,Milestones!$AA$193)&gt;=$S16),$V16,IF(AND($R16&lt;&gt;"",EDATE($D16,Milestones!$AA$193)&gt;=$R16),$U16,$T16)))=Milestones!$AB$193),TEXT(EDATE($D16,Milestones!$AA$193),"dd/mm/yy")&amp;" "&amp;Milestones!$AB$193&amp;" "&amp;Milestones!$AC$193&amp;";  ","")&amp;IF(AND(EDATE($D16,Milestones!$AA$194)&lt;=AsOfDate,IF($Q16=0,$W16,IF(AND($S16&lt;&gt;"",EDATE($D16,Milestones!$AA$194)&gt;=$S16),$V16,IF(AND($R16&lt;&gt;"",EDATE($D16,Milestones!$AA$194)&gt;=$R16),$U16,$T16)))=Milestones!$AB$194),TEXT(EDATE($D16,Milestones!$AA$194),"dd/mm/yy")&amp;" "&amp;Milestones!$AB$194&amp;" "&amp;Milestones!$AC$194&amp;";  ","")&amp;IF(AND(EDATE($D16,Milestones!$AA$195)&lt;=AsOfDate,IF($Q16=0,$W16,IF(AND($S16&lt;&gt;"",EDATE($D16,Milestones!$AA$195)&gt;=$S16),$V16,IF(AND($R16&lt;&gt;"",EDATE($D16,Milestones!$AA$195)&gt;=$R16),$U16,$T16)))=Milestones!$AB$195),TEXT(EDATE($D16,Milestones!$AA$195),"dd/mm/yy")&amp;" "&amp;Milestones!$AB$195&amp;" "&amp;Milestones!$AC$195&amp;";  ","")&amp;IF(AND(EDATE($D16,Milestones!$AA$196)&lt;=AsOfDate,IF($Q16=0,$W16,IF(AND($S16&lt;&gt;"",EDATE($D16,Milestones!$AA$196)&gt;=$S16),$V16,IF(AND($R16&lt;&gt;"",EDATE($D16,Milestones!$AA$196)&gt;=$R16),$U16,$T16)))=Milestones!$AB$196),TEXT(EDATE($D16,Milestones!$AA$196),"dd/mm/yy")&amp;" "&amp;Milestones!$AB$196&amp;" "&amp;Milestones!$AC$196&amp;";  ","")&amp;IF(AND(EDATE($D16,Milestones!$AA$197)&lt;=AsOfDate,IF($Q16=0,$W16,IF(AND($S16&lt;&gt;"",EDATE($D16,Milestones!$AA$197)&gt;=$S16),$V16,IF(AND($R16&lt;&gt;"",EDATE($D16,Milestones!$AA$197)&gt;=$R16),$U16,$T16)))=Milestones!$AB$197),TEXT(EDATE($D16,Milestones!$AA$197),"dd/mm/yy")&amp;" "&amp;Milestones!$AB$197&amp;" "&amp;Milestones!$AC$197&amp;";  ","")&amp;IF(AND(EDATE($D16,Milestones!$AA$198)&lt;=AsOfDate,IF($Q16=0,$W16,IF(AND($S16&lt;&gt;"",EDATE($D16,Milestones!$AA$198)&gt;=$S16),$V16,IF(AND($R16&lt;&gt;"",EDATE($D16,Milestones!$AA$198)&gt;=$R16),$U16,$T16)))=Milestones!$AB$198),TEXT(EDATE($D16,Milestones!$AA$198),"dd/mm/yy")&amp;" "&amp;Milestones!$AB$198&amp;" "&amp;Milestones!$AC$198&amp;";  ","")&amp;IF(AND(EDATE($D16,Milestones!$AA$199)&lt;=AsOfDate,IF($Q16=0,$W16,IF(AND($S16&lt;&gt;"",EDATE($D16,Milestones!$AA$199)&gt;=$S16),$V16,IF(AND($R16&lt;&gt;"",EDATE($D16,Milestones!$AA$199)&gt;=$R16),$U16,$T16)))=Milestones!$AB$199),TEXT(EDATE($D16,Milestones!$AA$199),"dd/mm/yy")&amp;" "&amp;Milestones!$AB$199&amp;" "&amp;Milestones!$AC$199&amp;";  ",""))</f>
        <v/>
      </c>
      <c r="Q16" s="0" t="str">
        <f aca="false">IF(Staff!$A16="","",Staff!$AG16)</f>
        <v/>
      </c>
      <c r="R16" s="0" t="str">
        <f aca="false">IF(Staff!$A16="","",Staff!$AI16)</f>
        <v/>
      </c>
      <c r="S16" s="0" t="str">
        <f aca="false">IF(Staff!$A16="","",Staff!$AJ16)</f>
        <v/>
      </c>
      <c r="T16" s="0" t="str">
        <f aca="false">IF(Staff!$A16="","",Staff!$AN16)</f>
        <v/>
      </c>
      <c r="U16" s="0" t="str">
        <f aca="false">IF(Staff!$A16="","",Staff!$AO16)</f>
        <v/>
      </c>
      <c r="V16" s="0" t="str">
        <f aca="false">IF(Staff!$A16="","",Staff!$AP16)</f>
        <v/>
      </c>
      <c r="W16" s="0" t="str">
        <f aca="false">IF(Staff!$A16="","",Staff!$AQ16)</f>
        <v/>
      </c>
    </row>
    <row r="17" customFormat="false" ht="15" hidden="false" customHeight="false" outlineLevel="0" collapsed="false">
      <c r="A17" s="13" t="str">
        <f aca="false">IF(Staff!$A17="","",Staff!$A17)</f>
        <v/>
      </c>
      <c r="B17" s="13" t="str">
        <f aca="false">IF(Staff!$A17="","",Staff!$B17)</f>
        <v/>
      </c>
      <c r="C17" s="13" t="str">
        <f aca="false">IF(Staff!$A17="","",Staff!$C17)</f>
        <v/>
      </c>
      <c r="D17" s="11" t="str">
        <f aca="false">IF(Staff!$A17="","",Staff!$AF17)</f>
        <v/>
      </c>
      <c r="E17" s="13" t="str">
        <f aca="false">IF(Staff!$A17="","",Staff!$O17)</f>
        <v/>
      </c>
      <c r="F17" s="13" t="str">
        <f aca="false">IF(E17="","",E17*HoursPerDay)</f>
        <v/>
      </c>
      <c r="G17" s="26" t="str">
        <f aca="false">IF($A17="","",H17&amp;I17&amp;J17&amp;K17&amp;L17&amp;M17&amp;N17&amp;O17&amp;P17)</f>
        <v/>
      </c>
      <c r="H17" s="0" t="str">
        <f aca="false">IF(OR($A17="",$D17=""),"",IF(AND(EDATE($D17,Milestones!$AA$20)&lt;=AsOfDate,IF($Q17=0,$W17,IF(AND($S17&lt;&gt;"",EDATE($D17,Milestones!$AA$20)&gt;=$S17),$V17,IF(AND($R17&lt;&gt;"",EDATE($D17,Milestones!$AA$20)&gt;=$R17),$U17,$T17)))=Milestones!$AB$20),TEXT(EDATE($D17,Milestones!$AA$20),"dd/mm/yy")&amp;" "&amp;Milestones!$AB$20&amp;" "&amp;Milestones!$AC$20&amp;";  ","")&amp;IF(AND(EDATE($D17,Milestones!$AA$21)&lt;=AsOfDate,IF($Q17=0,$W17,IF(AND($S17&lt;&gt;"",EDATE($D17,Milestones!$AA$21)&gt;=$S17),$V17,IF(AND($R17&lt;&gt;"",EDATE($D17,Milestones!$AA$21)&gt;=$R17),$U17,$T17)))=Milestones!$AB$21),TEXT(EDATE($D17,Milestones!$AA$21),"dd/mm/yy")&amp;" "&amp;Milestones!$AB$21&amp;" "&amp;Milestones!$AC$21&amp;";  ","")&amp;IF(AND(EDATE($D17,Milestones!$AA$22)&lt;=AsOfDate,IF($Q17=0,$W17,IF(AND($S17&lt;&gt;"",EDATE($D17,Milestones!$AA$22)&gt;=$S17),$V17,IF(AND($R17&lt;&gt;"",EDATE($D17,Milestones!$AA$22)&gt;=$R17),$U17,$T17)))=Milestones!$AB$22),TEXT(EDATE($D17,Milestones!$AA$22),"dd/mm/yy")&amp;" "&amp;Milestones!$AB$22&amp;" "&amp;Milestones!$AC$22&amp;";  ","")&amp;IF(AND(EDATE($D17,Milestones!$AA$23)&lt;=AsOfDate,IF($Q17=0,$W17,IF(AND($S17&lt;&gt;"",EDATE($D17,Milestones!$AA$23)&gt;=$S17),$V17,IF(AND($R17&lt;&gt;"",EDATE($D17,Milestones!$AA$23)&gt;=$R17),$U17,$T17)))=Milestones!$AB$23),TEXT(EDATE($D17,Milestones!$AA$23),"dd/mm/yy")&amp;" "&amp;Milestones!$AB$23&amp;" "&amp;Milestones!$AC$23&amp;";  ","")&amp;IF(AND(EDATE($D17,Milestones!$AA$24)&lt;=AsOfDate,IF($Q17=0,$W17,IF(AND($S17&lt;&gt;"",EDATE($D17,Milestones!$AA$24)&gt;=$S17),$V17,IF(AND($R17&lt;&gt;"",EDATE($D17,Milestones!$AA$24)&gt;=$R17),$U17,$T17)))=Milestones!$AB$24),TEXT(EDATE($D17,Milestones!$AA$24),"dd/mm/yy")&amp;" "&amp;Milestones!$AB$24&amp;" "&amp;Milestones!$AC$24&amp;";  ","")&amp;IF(AND(EDATE($D17,Milestones!$AA$25)&lt;=AsOfDate,IF($Q17=0,$W17,IF(AND($S17&lt;&gt;"",EDATE($D17,Milestones!$AA$25)&gt;=$S17),$V17,IF(AND($R17&lt;&gt;"",EDATE($D17,Milestones!$AA$25)&gt;=$R17),$U17,$T17)))=Milestones!$AB$25),TEXT(EDATE($D17,Milestones!$AA$25),"dd/mm/yy")&amp;" "&amp;Milestones!$AB$25&amp;" "&amp;Milestones!$AC$25&amp;";  ","")&amp;IF(AND(EDATE($D17,Milestones!$AA$26)&lt;=AsOfDate,IF($Q17=0,$W17,IF(AND($S17&lt;&gt;"",EDATE($D17,Milestones!$AA$26)&gt;=$S17),$V17,IF(AND($R17&lt;&gt;"",EDATE($D17,Milestones!$AA$26)&gt;=$R17),$U17,$T17)))=Milestones!$AB$26),TEXT(EDATE($D17,Milestones!$AA$26),"dd/mm/yy")&amp;" "&amp;Milestones!$AB$26&amp;" "&amp;Milestones!$AC$26&amp;";  ","")&amp;IF(AND(EDATE($D17,Milestones!$AA$27)&lt;=AsOfDate,IF($Q17=0,$W17,IF(AND($S17&lt;&gt;"",EDATE($D17,Milestones!$AA$27)&gt;=$S17),$V17,IF(AND($R17&lt;&gt;"",EDATE($D17,Milestones!$AA$27)&gt;=$R17),$U17,$T17)))=Milestones!$AB$27),TEXT(EDATE($D17,Milestones!$AA$27),"dd/mm/yy")&amp;" "&amp;Milestones!$AB$27&amp;" "&amp;Milestones!$AC$27&amp;";  ","")&amp;IF(AND(EDATE($D17,Milestones!$AA$28)&lt;=AsOfDate,IF($Q17=0,$W17,IF(AND($S17&lt;&gt;"",EDATE($D17,Milestones!$AA$28)&gt;=$S17),$V17,IF(AND($R17&lt;&gt;"",EDATE($D17,Milestones!$AA$28)&gt;=$R17),$U17,$T17)))=Milestones!$AB$28),TEXT(EDATE($D17,Milestones!$AA$28),"dd/mm/yy")&amp;" "&amp;Milestones!$AB$28&amp;" "&amp;Milestones!$AC$28&amp;";  ","")&amp;IF(AND(EDATE($D17,Milestones!$AA$29)&lt;=AsOfDate,IF($Q17=0,$W17,IF(AND($S17&lt;&gt;"",EDATE($D17,Milestones!$AA$29)&gt;=$S17),$V17,IF(AND($R17&lt;&gt;"",EDATE($D17,Milestones!$AA$29)&gt;=$R17),$U17,$T17)))=Milestones!$AB$29),TEXT(EDATE($D17,Milestones!$AA$29),"dd/mm/yy")&amp;" "&amp;Milestones!$AB$29&amp;" "&amp;Milestones!$AC$29&amp;";  ","")&amp;IF(AND(EDATE($D17,Milestones!$AA$30)&lt;=AsOfDate,IF($Q17=0,$W17,IF(AND($S17&lt;&gt;"",EDATE($D17,Milestones!$AA$30)&gt;=$S17),$V17,IF(AND($R17&lt;&gt;"",EDATE($D17,Milestones!$AA$30)&gt;=$R17),$U17,$T17)))=Milestones!$AB$30),TEXT(EDATE($D17,Milestones!$AA$30),"dd/mm/yy")&amp;" "&amp;Milestones!$AB$30&amp;" "&amp;Milestones!$AC$30&amp;";  ","")&amp;IF(AND(EDATE($D17,Milestones!$AA$31)&lt;=AsOfDate,IF($Q17=0,$W17,IF(AND($S17&lt;&gt;"",EDATE($D17,Milestones!$AA$31)&gt;=$S17),$V17,IF(AND($R17&lt;&gt;"",EDATE($D17,Milestones!$AA$31)&gt;=$R17),$U17,$T17)))=Milestones!$AB$31),TEXT(EDATE($D17,Milestones!$AA$31),"dd/mm/yy")&amp;" "&amp;Milestones!$AB$31&amp;" "&amp;Milestones!$AC$31&amp;";  ","")&amp;IF(AND(EDATE($D17,Milestones!$AA$32)&lt;=AsOfDate,IF($Q17=0,$W17,IF(AND($S17&lt;&gt;"",EDATE($D17,Milestones!$AA$32)&gt;=$S17),$V17,IF(AND($R17&lt;&gt;"",EDATE($D17,Milestones!$AA$32)&gt;=$R17),$U17,$T17)))=Milestones!$AB$32),TEXT(EDATE($D17,Milestones!$AA$32),"dd/mm/yy")&amp;" "&amp;Milestones!$AB$32&amp;" "&amp;Milestones!$AC$32&amp;";  ","")&amp;IF(AND(EDATE($D17,Milestones!$AA$33)&lt;=AsOfDate,IF($Q17=0,$W17,IF(AND($S17&lt;&gt;"",EDATE($D17,Milestones!$AA$33)&gt;=$S17),$V17,IF(AND($R17&lt;&gt;"",EDATE($D17,Milestones!$AA$33)&gt;=$R17),$U17,$T17)))=Milestones!$AB$33),TEXT(EDATE($D17,Milestones!$AA$33),"dd/mm/yy")&amp;" "&amp;Milestones!$AB$33&amp;" "&amp;Milestones!$AC$33&amp;";  ","")&amp;IF(AND(EDATE($D17,Milestones!$AA$34)&lt;=AsOfDate,IF($Q17=0,$W17,IF(AND($S17&lt;&gt;"",EDATE($D17,Milestones!$AA$34)&gt;=$S17),$V17,IF(AND($R17&lt;&gt;"",EDATE($D17,Milestones!$AA$34)&gt;=$R17),$U17,$T17)))=Milestones!$AB$34),TEXT(EDATE($D17,Milestones!$AA$34),"dd/mm/yy")&amp;" "&amp;Milestones!$AB$34&amp;" "&amp;Milestones!$AC$34&amp;";  ","")&amp;IF(AND(EDATE($D17,Milestones!$AA$35)&lt;=AsOfDate,IF($Q17=0,$W17,IF(AND($S17&lt;&gt;"",EDATE($D17,Milestones!$AA$35)&gt;=$S17),$V17,IF(AND($R17&lt;&gt;"",EDATE($D17,Milestones!$AA$35)&gt;=$R17),$U17,$T17)))=Milestones!$AB$35),TEXT(EDATE($D17,Milestones!$AA$35),"dd/mm/yy")&amp;" "&amp;Milestones!$AB$35&amp;" "&amp;Milestones!$AC$35&amp;";  ","")&amp;IF(AND(EDATE($D17,Milestones!$AA$36)&lt;=AsOfDate,IF($Q17=0,$W17,IF(AND($S17&lt;&gt;"",EDATE($D17,Milestones!$AA$36)&gt;=$S17),$V17,IF(AND($R17&lt;&gt;"",EDATE($D17,Milestones!$AA$36)&gt;=$R17),$U17,$T17)))=Milestones!$AB$36),TEXT(EDATE($D17,Milestones!$AA$36),"dd/mm/yy")&amp;" "&amp;Milestones!$AB$36&amp;" "&amp;Milestones!$AC$36&amp;";  ","")&amp;IF(AND(EDATE($D17,Milestones!$AA$37)&lt;=AsOfDate,IF($Q17=0,$W17,IF(AND($S17&lt;&gt;"",EDATE($D17,Milestones!$AA$37)&gt;=$S17),$V17,IF(AND($R17&lt;&gt;"",EDATE($D17,Milestones!$AA$37)&gt;=$R17),$U17,$T17)))=Milestones!$AB$37),TEXT(EDATE($D17,Milestones!$AA$37),"dd/mm/yy")&amp;" "&amp;Milestones!$AB$37&amp;" "&amp;Milestones!$AC$37&amp;";  ","")&amp;IF(AND(EDATE($D17,Milestones!$AA$38)&lt;=AsOfDate,IF($Q17=0,$W17,IF(AND($S17&lt;&gt;"",EDATE($D17,Milestones!$AA$38)&gt;=$S17),$V17,IF(AND($R17&lt;&gt;"",EDATE($D17,Milestones!$AA$38)&gt;=$R17),$U17,$T17)))=Milestones!$AB$38),TEXT(EDATE($D17,Milestones!$AA$38),"dd/mm/yy")&amp;" "&amp;Milestones!$AB$38&amp;" "&amp;Milestones!$AC$38&amp;";  ","")&amp;IF(AND(EDATE($D17,Milestones!$AA$39)&lt;=AsOfDate,IF($Q17=0,$W17,IF(AND($S17&lt;&gt;"",EDATE($D17,Milestones!$AA$39)&gt;=$S17),$V17,IF(AND($R17&lt;&gt;"",EDATE($D17,Milestones!$AA$39)&gt;=$R17),$U17,$T17)))=Milestones!$AB$39),TEXT(EDATE($D17,Milestones!$AA$39),"dd/mm/yy")&amp;" "&amp;Milestones!$AB$39&amp;" "&amp;Milestones!$AC$39&amp;";  ",""))</f>
        <v/>
      </c>
      <c r="I17" s="0" t="str">
        <f aca="false">IF(OR($A17="",$D17=""),"",IF(AND(EDATE($D17,Milestones!$AA$40)&lt;=AsOfDate,IF($Q17=0,$W17,IF(AND($S17&lt;&gt;"",EDATE($D17,Milestones!$AA$40)&gt;=$S17),$V17,IF(AND($R17&lt;&gt;"",EDATE($D17,Milestones!$AA$40)&gt;=$R17),$U17,$T17)))=Milestones!$AB$40),TEXT(EDATE($D17,Milestones!$AA$40),"dd/mm/yy")&amp;" "&amp;Milestones!$AB$40&amp;" "&amp;Milestones!$AC$40&amp;";  ","")&amp;IF(AND(EDATE($D17,Milestones!$AA$41)&lt;=AsOfDate,IF($Q17=0,$W17,IF(AND($S17&lt;&gt;"",EDATE($D17,Milestones!$AA$41)&gt;=$S17),$V17,IF(AND($R17&lt;&gt;"",EDATE($D17,Milestones!$AA$41)&gt;=$R17),$U17,$T17)))=Milestones!$AB$41),TEXT(EDATE($D17,Milestones!$AA$41),"dd/mm/yy")&amp;" "&amp;Milestones!$AB$41&amp;" "&amp;Milestones!$AC$41&amp;";  ","")&amp;IF(AND(EDATE($D17,Milestones!$AA$42)&lt;=AsOfDate,IF($Q17=0,$W17,IF(AND($S17&lt;&gt;"",EDATE($D17,Milestones!$AA$42)&gt;=$S17),$V17,IF(AND($R17&lt;&gt;"",EDATE($D17,Milestones!$AA$42)&gt;=$R17),$U17,$T17)))=Milestones!$AB$42),TEXT(EDATE($D17,Milestones!$AA$42),"dd/mm/yy")&amp;" "&amp;Milestones!$AB$42&amp;" "&amp;Milestones!$AC$42&amp;";  ","")&amp;IF(AND(EDATE($D17,Milestones!$AA$43)&lt;=AsOfDate,IF($Q17=0,$W17,IF(AND($S17&lt;&gt;"",EDATE($D17,Milestones!$AA$43)&gt;=$S17),$V17,IF(AND($R17&lt;&gt;"",EDATE($D17,Milestones!$AA$43)&gt;=$R17),$U17,$T17)))=Milestones!$AB$43),TEXT(EDATE($D17,Milestones!$AA$43),"dd/mm/yy")&amp;" "&amp;Milestones!$AB$43&amp;" "&amp;Milestones!$AC$43&amp;";  ","")&amp;IF(AND(EDATE($D17,Milestones!$AA$44)&lt;=AsOfDate,IF($Q17=0,$W17,IF(AND($S17&lt;&gt;"",EDATE($D17,Milestones!$AA$44)&gt;=$S17),$V17,IF(AND($R17&lt;&gt;"",EDATE($D17,Milestones!$AA$44)&gt;=$R17),$U17,$T17)))=Milestones!$AB$44),TEXT(EDATE($D17,Milestones!$AA$44),"dd/mm/yy")&amp;" "&amp;Milestones!$AB$44&amp;" "&amp;Milestones!$AC$44&amp;";  ","")&amp;IF(AND(EDATE($D17,Milestones!$AA$45)&lt;=AsOfDate,IF($Q17=0,$W17,IF(AND($S17&lt;&gt;"",EDATE($D17,Milestones!$AA$45)&gt;=$S17),$V17,IF(AND($R17&lt;&gt;"",EDATE($D17,Milestones!$AA$45)&gt;=$R17),$U17,$T17)))=Milestones!$AB$45),TEXT(EDATE($D17,Milestones!$AA$45),"dd/mm/yy")&amp;" "&amp;Milestones!$AB$45&amp;" "&amp;Milestones!$AC$45&amp;";  ","")&amp;IF(AND(EDATE($D17,Milestones!$AA$46)&lt;=AsOfDate,IF($Q17=0,$W17,IF(AND($S17&lt;&gt;"",EDATE($D17,Milestones!$AA$46)&gt;=$S17),$V17,IF(AND($R17&lt;&gt;"",EDATE($D17,Milestones!$AA$46)&gt;=$R17),$U17,$T17)))=Milestones!$AB$46),TEXT(EDATE($D17,Milestones!$AA$46),"dd/mm/yy")&amp;" "&amp;Milestones!$AB$46&amp;" "&amp;Milestones!$AC$46&amp;";  ","")&amp;IF(AND(EDATE($D17,Milestones!$AA$47)&lt;=AsOfDate,IF($Q17=0,$W17,IF(AND($S17&lt;&gt;"",EDATE($D17,Milestones!$AA$47)&gt;=$S17),$V17,IF(AND($R17&lt;&gt;"",EDATE($D17,Milestones!$AA$47)&gt;=$R17),$U17,$T17)))=Milestones!$AB$47),TEXT(EDATE($D17,Milestones!$AA$47),"dd/mm/yy")&amp;" "&amp;Milestones!$AB$47&amp;" "&amp;Milestones!$AC$47&amp;";  ","")&amp;IF(AND(EDATE($D17,Milestones!$AA$48)&lt;=AsOfDate,IF($Q17=0,$W17,IF(AND($S17&lt;&gt;"",EDATE($D17,Milestones!$AA$48)&gt;=$S17),$V17,IF(AND($R17&lt;&gt;"",EDATE($D17,Milestones!$AA$48)&gt;=$R17),$U17,$T17)))=Milestones!$AB$48),TEXT(EDATE($D17,Milestones!$AA$48),"dd/mm/yy")&amp;" "&amp;Milestones!$AB$48&amp;" "&amp;Milestones!$AC$48&amp;";  ","")&amp;IF(AND(EDATE($D17,Milestones!$AA$49)&lt;=AsOfDate,IF($Q17=0,$W17,IF(AND($S17&lt;&gt;"",EDATE($D17,Milestones!$AA$49)&gt;=$S17),$V17,IF(AND($R17&lt;&gt;"",EDATE($D17,Milestones!$AA$49)&gt;=$R17),$U17,$T17)))=Milestones!$AB$49),TEXT(EDATE($D17,Milestones!$AA$49),"dd/mm/yy")&amp;" "&amp;Milestones!$AB$49&amp;" "&amp;Milestones!$AC$49&amp;";  ","")&amp;IF(AND(EDATE($D17,Milestones!$AA$50)&lt;=AsOfDate,IF($Q17=0,$W17,IF(AND($S17&lt;&gt;"",EDATE($D17,Milestones!$AA$50)&gt;=$S17),$V17,IF(AND($R17&lt;&gt;"",EDATE($D17,Milestones!$AA$50)&gt;=$R17),$U17,$T17)))=Milestones!$AB$50),TEXT(EDATE($D17,Milestones!$AA$50),"dd/mm/yy")&amp;" "&amp;Milestones!$AB$50&amp;" "&amp;Milestones!$AC$50&amp;";  ","")&amp;IF(AND(EDATE($D17,Milestones!$AA$51)&lt;=AsOfDate,IF($Q17=0,$W17,IF(AND($S17&lt;&gt;"",EDATE($D17,Milestones!$AA$51)&gt;=$S17),$V17,IF(AND($R17&lt;&gt;"",EDATE($D17,Milestones!$AA$51)&gt;=$R17),$U17,$T17)))=Milestones!$AB$51),TEXT(EDATE($D17,Milestones!$AA$51),"dd/mm/yy")&amp;" "&amp;Milestones!$AB$51&amp;" "&amp;Milestones!$AC$51&amp;";  ","")&amp;IF(AND(EDATE($D17,Milestones!$AA$52)&lt;=AsOfDate,IF($Q17=0,$W17,IF(AND($S17&lt;&gt;"",EDATE($D17,Milestones!$AA$52)&gt;=$S17),$V17,IF(AND($R17&lt;&gt;"",EDATE($D17,Milestones!$AA$52)&gt;=$R17),$U17,$T17)))=Milestones!$AB$52),TEXT(EDATE($D17,Milestones!$AA$52),"dd/mm/yy")&amp;" "&amp;Milestones!$AB$52&amp;" "&amp;Milestones!$AC$52&amp;";  ","")&amp;IF(AND(EDATE($D17,Milestones!$AA$53)&lt;=AsOfDate,IF($Q17=0,$W17,IF(AND($S17&lt;&gt;"",EDATE($D17,Milestones!$AA$53)&gt;=$S17),$V17,IF(AND($R17&lt;&gt;"",EDATE($D17,Milestones!$AA$53)&gt;=$R17),$U17,$T17)))=Milestones!$AB$53),TEXT(EDATE($D17,Milestones!$AA$53),"dd/mm/yy")&amp;" "&amp;Milestones!$AB$53&amp;" "&amp;Milestones!$AC$53&amp;";  ","")&amp;IF(AND(EDATE($D17,Milestones!$AA$54)&lt;=AsOfDate,IF($Q17=0,$W17,IF(AND($S17&lt;&gt;"",EDATE($D17,Milestones!$AA$54)&gt;=$S17),$V17,IF(AND($R17&lt;&gt;"",EDATE($D17,Milestones!$AA$54)&gt;=$R17),$U17,$T17)))=Milestones!$AB$54),TEXT(EDATE($D17,Milestones!$AA$54),"dd/mm/yy")&amp;" "&amp;Milestones!$AB$54&amp;" "&amp;Milestones!$AC$54&amp;";  ","")&amp;IF(AND(EDATE($D17,Milestones!$AA$55)&lt;=AsOfDate,IF($Q17=0,$W17,IF(AND($S17&lt;&gt;"",EDATE($D17,Milestones!$AA$55)&gt;=$S17),$V17,IF(AND($R17&lt;&gt;"",EDATE($D17,Milestones!$AA$55)&gt;=$R17),$U17,$T17)))=Milestones!$AB$55),TEXT(EDATE($D17,Milestones!$AA$55),"dd/mm/yy")&amp;" "&amp;Milestones!$AB$55&amp;" "&amp;Milestones!$AC$55&amp;";  ","")&amp;IF(AND(EDATE($D17,Milestones!$AA$56)&lt;=AsOfDate,IF($Q17=0,$W17,IF(AND($S17&lt;&gt;"",EDATE($D17,Milestones!$AA$56)&gt;=$S17),$V17,IF(AND($R17&lt;&gt;"",EDATE($D17,Milestones!$AA$56)&gt;=$R17),$U17,$T17)))=Milestones!$AB$56),TEXT(EDATE($D17,Milestones!$AA$56),"dd/mm/yy")&amp;" "&amp;Milestones!$AB$56&amp;" "&amp;Milestones!$AC$56&amp;";  ","")&amp;IF(AND(EDATE($D17,Milestones!$AA$57)&lt;=AsOfDate,IF($Q17=0,$W17,IF(AND($S17&lt;&gt;"",EDATE($D17,Milestones!$AA$57)&gt;=$S17),$V17,IF(AND($R17&lt;&gt;"",EDATE($D17,Milestones!$AA$57)&gt;=$R17),$U17,$T17)))=Milestones!$AB$57),TEXT(EDATE($D17,Milestones!$AA$57),"dd/mm/yy")&amp;" "&amp;Milestones!$AB$57&amp;" "&amp;Milestones!$AC$57&amp;";  ","")&amp;IF(AND(EDATE($D17,Milestones!$AA$58)&lt;=AsOfDate,IF($Q17=0,$W17,IF(AND($S17&lt;&gt;"",EDATE($D17,Milestones!$AA$58)&gt;=$S17),$V17,IF(AND($R17&lt;&gt;"",EDATE($D17,Milestones!$AA$58)&gt;=$R17),$U17,$T17)))=Milestones!$AB$58),TEXT(EDATE($D17,Milestones!$AA$58),"dd/mm/yy")&amp;" "&amp;Milestones!$AB$58&amp;" "&amp;Milestones!$AC$58&amp;";  ","")&amp;IF(AND(EDATE($D17,Milestones!$AA$59)&lt;=AsOfDate,IF($Q17=0,$W17,IF(AND($S17&lt;&gt;"",EDATE($D17,Milestones!$AA$59)&gt;=$S17),$V17,IF(AND($R17&lt;&gt;"",EDATE($D17,Milestones!$AA$59)&gt;=$R17),$U17,$T17)))=Milestones!$AB$59),TEXT(EDATE($D17,Milestones!$AA$59),"dd/mm/yy")&amp;" "&amp;Milestones!$AB$59&amp;" "&amp;Milestones!$AC$59&amp;";  ",""))</f>
        <v/>
      </c>
      <c r="J17" s="0" t="str">
        <f aca="false">IF(OR($A17="",$D17=""),"",IF(AND(EDATE($D17,Milestones!$AA$60)&lt;=AsOfDate,IF($Q17=0,$W17,IF(AND($S17&lt;&gt;"",EDATE($D17,Milestones!$AA$60)&gt;=$S17),$V17,IF(AND($R17&lt;&gt;"",EDATE($D17,Milestones!$AA$60)&gt;=$R17),$U17,$T17)))=Milestones!$AB$60),TEXT(EDATE($D17,Milestones!$AA$60),"dd/mm/yy")&amp;" "&amp;Milestones!$AB$60&amp;" "&amp;Milestones!$AC$60&amp;";  ","")&amp;IF(AND(EDATE($D17,Milestones!$AA$61)&lt;=AsOfDate,IF($Q17=0,$W17,IF(AND($S17&lt;&gt;"",EDATE($D17,Milestones!$AA$61)&gt;=$S17),$V17,IF(AND($R17&lt;&gt;"",EDATE($D17,Milestones!$AA$61)&gt;=$R17),$U17,$T17)))=Milestones!$AB$61),TEXT(EDATE($D17,Milestones!$AA$61),"dd/mm/yy")&amp;" "&amp;Milestones!$AB$61&amp;" "&amp;Milestones!$AC$61&amp;";  ","")&amp;IF(AND(EDATE($D17,Milestones!$AA$62)&lt;=AsOfDate,IF($Q17=0,$W17,IF(AND($S17&lt;&gt;"",EDATE($D17,Milestones!$AA$62)&gt;=$S17),$V17,IF(AND($R17&lt;&gt;"",EDATE($D17,Milestones!$AA$62)&gt;=$R17),$U17,$T17)))=Milestones!$AB$62),TEXT(EDATE($D17,Milestones!$AA$62),"dd/mm/yy")&amp;" "&amp;Milestones!$AB$62&amp;" "&amp;Milestones!$AC$62&amp;";  ","")&amp;IF(AND(EDATE($D17,Milestones!$AA$63)&lt;=AsOfDate,IF($Q17=0,$W17,IF(AND($S17&lt;&gt;"",EDATE($D17,Milestones!$AA$63)&gt;=$S17),$V17,IF(AND($R17&lt;&gt;"",EDATE($D17,Milestones!$AA$63)&gt;=$R17),$U17,$T17)))=Milestones!$AB$63),TEXT(EDATE($D17,Milestones!$AA$63),"dd/mm/yy")&amp;" "&amp;Milestones!$AB$63&amp;" "&amp;Milestones!$AC$63&amp;";  ","")&amp;IF(AND(EDATE($D17,Milestones!$AA$64)&lt;=AsOfDate,IF($Q17=0,$W17,IF(AND($S17&lt;&gt;"",EDATE($D17,Milestones!$AA$64)&gt;=$S17),$V17,IF(AND($R17&lt;&gt;"",EDATE($D17,Milestones!$AA$64)&gt;=$R17),$U17,$T17)))=Milestones!$AB$64),TEXT(EDATE($D17,Milestones!$AA$64),"dd/mm/yy")&amp;" "&amp;Milestones!$AB$64&amp;" "&amp;Milestones!$AC$64&amp;";  ","")&amp;IF(AND(EDATE($D17,Milestones!$AA$65)&lt;=AsOfDate,IF($Q17=0,$W17,IF(AND($S17&lt;&gt;"",EDATE($D17,Milestones!$AA$65)&gt;=$S17),$V17,IF(AND($R17&lt;&gt;"",EDATE($D17,Milestones!$AA$65)&gt;=$R17),$U17,$T17)))=Milestones!$AB$65),TEXT(EDATE($D17,Milestones!$AA$65),"dd/mm/yy")&amp;" "&amp;Milestones!$AB$65&amp;" "&amp;Milestones!$AC$65&amp;";  ","")&amp;IF(AND(EDATE($D17,Milestones!$AA$66)&lt;=AsOfDate,IF($Q17=0,$W17,IF(AND($S17&lt;&gt;"",EDATE($D17,Milestones!$AA$66)&gt;=$S17),$V17,IF(AND($R17&lt;&gt;"",EDATE($D17,Milestones!$AA$66)&gt;=$R17),$U17,$T17)))=Milestones!$AB$66),TEXT(EDATE($D17,Milestones!$AA$66),"dd/mm/yy")&amp;" "&amp;Milestones!$AB$66&amp;" "&amp;Milestones!$AC$66&amp;";  ","")&amp;IF(AND(EDATE($D17,Milestones!$AA$67)&lt;=AsOfDate,IF($Q17=0,$W17,IF(AND($S17&lt;&gt;"",EDATE($D17,Milestones!$AA$67)&gt;=$S17),$V17,IF(AND($R17&lt;&gt;"",EDATE($D17,Milestones!$AA$67)&gt;=$R17),$U17,$T17)))=Milestones!$AB$67),TEXT(EDATE($D17,Milestones!$AA$67),"dd/mm/yy")&amp;" "&amp;Milestones!$AB$67&amp;" "&amp;Milestones!$AC$67&amp;";  ","")&amp;IF(AND(EDATE($D17,Milestones!$AA$68)&lt;=AsOfDate,IF($Q17=0,$W17,IF(AND($S17&lt;&gt;"",EDATE($D17,Milestones!$AA$68)&gt;=$S17),$V17,IF(AND($R17&lt;&gt;"",EDATE($D17,Milestones!$AA$68)&gt;=$R17),$U17,$T17)))=Milestones!$AB$68),TEXT(EDATE($D17,Milestones!$AA$68),"dd/mm/yy")&amp;" "&amp;Milestones!$AB$68&amp;" "&amp;Milestones!$AC$68&amp;";  ","")&amp;IF(AND(EDATE($D17,Milestones!$AA$69)&lt;=AsOfDate,IF($Q17=0,$W17,IF(AND($S17&lt;&gt;"",EDATE($D17,Milestones!$AA$69)&gt;=$S17),$V17,IF(AND($R17&lt;&gt;"",EDATE($D17,Milestones!$AA$69)&gt;=$R17),$U17,$T17)))=Milestones!$AB$69),TEXT(EDATE($D17,Milestones!$AA$69),"dd/mm/yy")&amp;" "&amp;Milestones!$AB$69&amp;" "&amp;Milestones!$AC$69&amp;";  ","")&amp;IF(AND(EDATE($D17,Milestones!$AA$70)&lt;=AsOfDate,IF($Q17=0,$W17,IF(AND($S17&lt;&gt;"",EDATE($D17,Milestones!$AA$70)&gt;=$S17),$V17,IF(AND($R17&lt;&gt;"",EDATE($D17,Milestones!$AA$70)&gt;=$R17),$U17,$T17)))=Milestones!$AB$70),TEXT(EDATE($D17,Milestones!$AA$70),"dd/mm/yy")&amp;" "&amp;Milestones!$AB$70&amp;" "&amp;Milestones!$AC$70&amp;";  ","")&amp;IF(AND(EDATE($D17,Milestones!$AA$71)&lt;=AsOfDate,IF($Q17=0,$W17,IF(AND($S17&lt;&gt;"",EDATE($D17,Milestones!$AA$71)&gt;=$S17),$V17,IF(AND($R17&lt;&gt;"",EDATE($D17,Milestones!$AA$71)&gt;=$R17),$U17,$T17)))=Milestones!$AB$71),TEXT(EDATE($D17,Milestones!$AA$71),"dd/mm/yy")&amp;" "&amp;Milestones!$AB$71&amp;" "&amp;Milestones!$AC$71&amp;";  ","")&amp;IF(AND(EDATE($D17,Milestones!$AA$72)&lt;=AsOfDate,IF($Q17=0,$W17,IF(AND($S17&lt;&gt;"",EDATE($D17,Milestones!$AA$72)&gt;=$S17),$V17,IF(AND($R17&lt;&gt;"",EDATE($D17,Milestones!$AA$72)&gt;=$R17),$U17,$T17)))=Milestones!$AB$72),TEXT(EDATE($D17,Milestones!$AA$72),"dd/mm/yy")&amp;" "&amp;Milestones!$AB$72&amp;" "&amp;Milestones!$AC$72&amp;";  ","")&amp;IF(AND(EDATE($D17,Milestones!$AA$73)&lt;=AsOfDate,IF($Q17=0,$W17,IF(AND($S17&lt;&gt;"",EDATE($D17,Milestones!$AA$73)&gt;=$S17),$V17,IF(AND($R17&lt;&gt;"",EDATE($D17,Milestones!$AA$73)&gt;=$R17),$U17,$T17)))=Milestones!$AB$73),TEXT(EDATE($D17,Milestones!$AA$73),"dd/mm/yy")&amp;" "&amp;Milestones!$AB$73&amp;" "&amp;Milestones!$AC$73&amp;";  ","")&amp;IF(AND(EDATE($D17,Milestones!$AA$74)&lt;=AsOfDate,IF($Q17=0,$W17,IF(AND($S17&lt;&gt;"",EDATE($D17,Milestones!$AA$74)&gt;=$S17),$V17,IF(AND($R17&lt;&gt;"",EDATE($D17,Milestones!$AA$74)&gt;=$R17),$U17,$T17)))=Milestones!$AB$74),TEXT(EDATE($D17,Milestones!$AA$74),"dd/mm/yy")&amp;" "&amp;Milestones!$AB$74&amp;" "&amp;Milestones!$AC$74&amp;";  ","")&amp;IF(AND(EDATE($D17,Milestones!$AA$75)&lt;=AsOfDate,IF($Q17=0,$W17,IF(AND($S17&lt;&gt;"",EDATE($D17,Milestones!$AA$75)&gt;=$S17),$V17,IF(AND($R17&lt;&gt;"",EDATE($D17,Milestones!$AA$75)&gt;=$R17),$U17,$T17)))=Milestones!$AB$75),TEXT(EDATE($D17,Milestones!$AA$75),"dd/mm/yy")&amp;" "&amp;Milestones!$AB$75&amp;" "&amp;Milestones!$AC$75&amp;";  ","")&amp;IF(AND(EDATE($D17,Milestones!$AA$76)&lt;=AsOfDate,IF($Q17=0,$W17,IF(AND($S17&lt;&gt;"",EDATE($D17,Milestones!$AA$76)&gt;=$S17),$V17,IF(AND($R17&lt;&gt;"",EDATE($D17,Milestones!$AA$76)&gt;=$R17),$U17,$T17)))=Milestones!$AB$76),TEXT(EDATE($D17,Milestones!$AA$76),"dd/mm/yy")&amp;" "&amp;Milestones!$AB$76&amp;" "&amp;Milestones!$AC$76&amp;";  ","")&amp;IF(AND(EDATE($D17,Milestones!$AA$77)&lt;=AsOfDate,IF($Q17=0,$W17,IF(AND($S17&lt;&gt;"",EDATE($D17,Milestones!$AA$77)&gt;=$S17),$V17,IF(AND($R17&lt;&gt;"",EDATE($D17,Milestones!$AA$77)&gt;=$R17),$U17,$T17)))=Milestones!$AB$77),TEXT(EDATE($D17,Milestones!$AA$77),"dd/mm/yy")&amp;" "&amp;Milestones!$AB$77&amp;" "&amp;Milestones!$AC$77&amp;";  ","")&amp;IF(AND(EDATE($D17,Milestones!$AA$78)&lt;=AsOfDate,IF($Q17=0,$W17,IF(AND($S17&lt;&gt;"",EDATE($D17,Milestones!$AA$78)&gt;=$S17),$V17,IF(AND($R17&lt;&gt;"",EDATE($D17,Milestones!$AA$78)&gt;=$R17),$U17,$T17)))=Milestones!$AB$78),TEXT(EDATE($D17,Milestones!$AA$78),"dd/mm/yy")&amp;" "&amp;Milestones!$AB$78&amp;" "&amp;Milestones!$AC$78&amp;";  ","")&amp;IF(AND(EDATE($D17,Milestones!$AA$79)&lt;=AsOfDate,IF($Q17=0,$W17,IF(AND($S17&lt;&gt;"",EDATE($D17,Milestones!$AA$79)&gt;=$S17),$V17,IF(AND($R17&lt;&gt;"",EDATE($D17,Milestones!$AA$79)&gt;=$R17),$U17,$T17)))=Milestones!$AB$79),TEXT(EDATE($D17,Milestones!$AA$79),"dd/mm/yy")&amp;" "&amp;Milestones!$AB$79&amp;" "&amp;Milestones!$AC$79&amp;";  ",""))</f>
        <v/>
      </c>
      <c r="K17" s="0" t="str">
        <f aca="false">IF(OR($A17="",$D17=""),"",IF(AND(EDATE($D17,Milestones!$AA$80)&lt;=AsOfDate,IF($Q17=0,$W17,IF(AND($S17&lt;&gt;"",EDATE($D17,Milestones!$AA$80)&gt;=$S17),$V17,IF(AND($R17&lt;&gt;"",EDATE($D17,Milestones!$AA$80)&gt;=$R17),$U17,$T17)))=Milestones!$AB$80),TEXT(EDATE($D17,Milestones!$AA$80),"dd/mm/yy")&amp;" "&amp;Milestones!$AB$80&amp;" "&amp;Milestones!$AC$80&amp;";  ","")&amp;IF(AND(EDATE($D17,Milestones!$AA$81)&lt;=AsOfDate,IF($Q17=0,$W17,IF(AND($S17&lt;&gt;"",EDATE($D17,Milestones!$AA$81)&gt;=$S17),$V17,IF(AND($R17&lt;&gt;"",EDATE($D17,Milestones!$AA$81)&gt;=$R17),$U17,$T17)))=Milestones!$AB$81),TEXT(EDATE($D17,Milestones!$AA$81),"dd/mm/yy")&amp;" "&amp;Milestones!$AB$81&amp;" "&amp;Milestones!$AC$81&amp;";  ","")&amp;IF(AND(EDATE($D17,Milestones!$AA$82)&lt;=AsOfDate,IF($Q17=0,$W17,IF(AND($S17&lt;&gt;"",EDATE($D17,Milestones!$AA$82)&gt;=$S17),$V17,IF(AND($R17&lt;&gt;"",EDATE($D17,Milestones!$AA$82)&gt;=$R17),$U17,$T17)))=Milestones!$AB$82),TEXT(EDATE($D17,Milestones!$AA$82),"dd/mm/yy")&amp;" "&amp;Milestones!$AB$82&amp;" "&amp;Milestones!$AC$82&amp;";  ","")&amp;IF(AND(EDATE($D17,Milestones!$AA$83)&lt;=AsOfDate,IF($Q17=0,$W17,IF(AND($S17&lt;&gt;"",EDATE($D17,Milestones!$AA$83)&gt;=$S17),$V17,IF(AND($R17&lt;&gt;"",EDATE($D17,Milestones!$AA$83)&gt;=$R17),$U17,$T17)))=Milestones!$AB$83),TEXT(EDATE($D17,Milestones!$AA$83),"dd/mm/yy")&amp;" "&amp;Milestones!$AB$83&amp;" "&amp;Milestones!$AC$83&amp;";  ","")&amp;IF(AND(EDATE($D17,Milestones!$AA$84)&lt;=AsOfDate,IF($Q17=0,$W17,IF(AND($S17&lt;&gt;"",EDATE($D17,Milestones!$AA$84)&gt;=$S17),$V17,IF(AND($R17&lt;&gt;"",EDATE($D17,Milestones!$AA$84)&gt;=$R17),$U17,$T17)))=Milestones!$AB$84),TEXT(EDATE($D17,Milestones!$AA$84),"dd/mm/yy")&amp;" "&amp;Milestones!$AB$84&amp;" "&amp;Milestones!$AC$84&amp;";  ","")&amp;IF(AND(EDATE($D17,Milestones!$AA$85)&lt;=AsOfDate,IF($Q17=0,$W17,IF(AND($S17&lt;&gt;"",EDATE($D17,Milestones!$AA$85)&gt;=$S17),$V17,IF(AND($R17&lt;&gt;"",EDATE($D17,Milestones!$AA$85)&gt;=$R17),$U17,$T17)))=Milestones!$AB$85),TEXT(EDATE($D17,Milestones!$AA$85),"dd/mm/yy")&amp;" "&amp;Milestones!$AB$85&amp;" "&amp;Milestones!$AC$85&amp;";  ","")&amp;IF(AND(EDATE($D17,Milestones!$AA$86)&lt;=AsOfDate,IF($Q17=0,$W17,IF(AND($S17&lt;&gt;"",EDATE($D17,Milestones!$AA$86)&gt;=$S17),$V17,IF(AND($R17&lt;&gt;"",EDATE($D17,Milestones!$AA$86)&gt;=$R17),$U17,$T17)))=Milestones!$AB$86),TEXT(EDATE($D17,Milestones!$AA$86),"dd/mm/yy")&amp;" "&amp;Milestones!$AB$86&amp;" "&amp;Milestones!$AC$86&amp;";  ","")&amp;IF(AND(EDATE($D17,Milestones!$AA$87)&lt;=AsOfDate,IF($Q17=0,$W17,IF(AND($S17&lt;&gt;"",EDATE($D17,Milestones!$AA$87)&gt;=$S17),$V17,IF(AND($R17&lt;&gt;"",EDATE($D17,Milestones!$AA$87)&gt;=$R17),$U17,$T17)))=Milestones!$AB$87),TEXT(EDATE($D17,Milestones!$AA$87),"dd/mm/yy")&amp;" "&amp;Milestones!$AB$87&amp;" "&amp;Milestones!$AC$87&amp;";  ","")&amp;IF(AND(EDATE($D17,Milestones!$AA$88)&lt;=AsOfDate,IF($Q17=0,$W17,IF(AND($S17&lt;&gt;"",EDATE($D17,Milestones!$AA$88)&gt;=$S17),$V17,IF(AND($R17&lt;&gt;"",EDATE($D17,Milestones!$AA$88)&gt;=$R17),$U17,$T17)))=Milestones!$AB$88),TEXT(EDATE($D17,Milestones!$AA$88),"dd/mm/yy")&amp;" "&amp;Milestones!$AB$88&amp;" "&amp;Milestones!$AC$88&amp;";  ","")&amp;IF(AND(EDATE($D17,Milestones!$AA$89)&lt;=AsOfDate,IF($Q17=0,$W17,IF(AND($S17&lt;&gt;"",EDATE($D17,Milestones!$AA$89)&gt;=$S17),$V17,IF(AND($R17&lt;&gt;"",EDATE($D17,Milestones!$AA$89)&gt;=$R17),$U17,$T17)))=Milestones!$AB$89),TEXT(EDATE($D17,Milestones!$AA$89),"dd/mm/yy")&amp;" "&amp;Milestones!$AB$89&amp;" "&amp;Milestones!$AC$89&amp;";  ","")&amp;IF(AND(EDATE($D17,Milestones!$AA$90)&lt;=AsOfDate,IF($Q17=0,$W17,IF(AND($S17&lt;&gt;"",EDATE($D17,Milestones!$AA$90)&gt;=$S17),$V17,IF(AND($R17&lt;&gt;"",EDATE($D17,Milestones!$AA$90)&gt;=$R17),$U17,$T17)))=Milestones!$AB$90),TEXT(EDATE($D17,Milestones!$AA$90),"dd/mm/yy")&amp;" "&amp;Milestones!$AB$90&amp;" "&amp;Milestones!$AC$90&amp;";  ","")&amp;IF(AND(EDATE($D17,Milestones!$AA$91)&lt;=AsOfDate,IF($Q17=0,$W17,IF(AND($S17&lt;&gt;"",EDATE($D17,Milestones!$AA$91)&gt;=$S17),$V17,IF(AND($R17&lt;&gt;"",EDATE($D17,Milestones!$AA$91)&gt;=$R17),$U17,$T17)))=Milestones!$AB$91),TEXT(EDATE($D17,Milestones!$AA$91),"dd/mm/yy")&amp;" "&amp;Milestones!$AB$91&amp;" "&amp;Milestones!$AC$91&amp;";  ","")&amp;IF(AND(EDATE($D17,Milestones!$AA$92)&lt;=AsOfDate,IF($Q17=0,$W17,IF(AND($S17&lt;&gt;"",EDATE($D17,Milestones!$AA$92)&gt;=$S17),$V17,IF(AND($R17&lt;&gt;"",EDATE($D17,Milestones!$AA$92)&gt;=$R17),$U17,$T17)))=Milestones!$AB$92),TEXT(EDATE($D17,Milestones!$AA$92),"dd/mm/yy")&amp;" "&amp;Milestones!$AB$92&amp;" "&amp;Milestones!$AC$92&amp;";  ","")&amp;IF(AND(EDATE($D17,Milestones!$AA$93)&lt;=AsOfDate,IF($Q17=0,$W17,IF(AND($S17&lt;&gt;"",EDATE($D17,Milestones!$AA$93)&gt;=$S17),$V17,IF(AND($R17&lt;&gt;"",EDATE($D17,Milestones!$AA$93)&gt;=$R17),$U17,$T17)))=Milestones!$AB$93),TEXT(EDATE($D17,Milestones!$AA$93),"dd/mm/yy")&amp;" "&amp;Milestones!$AB$93&amp;" "&amp;Milestones!$AC$93&amp;";  ","")&amp;IF(AND(EDATE($D17,Milestones!$AA$94)&lt;=AsOfDate,IF($Q17=0,$W17,IF(AND($S17&lt;&gt;"",EDATE($D17,Milestones!$AA$94)&gt;=$S17),$V17,IF(AND($R17&lt;&gt;"",EDATE($D17,Milestones!$AA$94)&gt;=$R17),$U17,$T17)))=Milestones!$AB$94),TEXT(EDATE($D17,Milestones!$AA$94),"dd/mm/yy")&amp;" "&amp;Milestones!$AB$94&amp;" "&amp;Milestones!$AC$94&amp;";  ","")&amp;IF(AND(EDATE($D17,Milestones!$AA$95)&lt;=AsOfDate,IF($Q17=0,$W17,IF(AND($S17&lt;&gt;"",EDATE($D17,Milestones!$AA$95)&gt;=$S17),$V17,IF(AND($R17&lt;&gt;"",EDATE($D17,Milestones!$AA$95)&gt;=$R17),$U17,$T17)))=Milestones!$AB$95),TEXT(EDATE($D17,Milestones!$AA$95),"dd/mm/yy")&amp;" "&amp;Milestones!$AB$95&amp;" "&amp;Milestones!$AC$95&amp;";  ","")&amp;IF(AND(EDATE($D17,Milestones!$AA$96)&lt;=AsOfDate,IF($Q17=0,$W17,IF(AND($S17&lt;&gt;"",EDATE($D17,Milestones!$AA$96)&gt;=$S17),$V17,IF(AND($R17&lt;&gt;"",EDATE($D17,Milestones!$AA$96)&gt;=$R17),$U17,$T17)))=Milestones!$AB$96),TEXT(EDATE($D17,Milestones!$AA$96),"dd/mm/yy")&amp;" "&amp;Milestones!$AB$96&amp;" "&amp;Milestones!$AC$96&amp;";  ","")&amp;IF(AND(EDATE($D17,Milestones!$AA$97)&lt;=AsOfDate,IF($Q17=0,$W17,IF(AND($S17&lt;&gt;"",EDATE($D17,Milestones!$AA$97)&gt;=$S17),$V17,IF(AND($R17&lt;&gt;"",EDATE($D17,Milestones!$AA$97)&gt;=$R17),$U17,$T17)))=Milestones!$AB$97),TEXT(EDATE($D17,Milestones!$AA$97),"dd/mm/yy")&amp;" "&amp;Milestones!$AB$97&amp;" "&amp;Milestones!$AC$97&amp;";  ","")&amp;IF(AND(EDATE($D17,Milestones!$AA$98)&lt;=AsOfDate,IF($Q17=0,$W17,IF(AND($S17&lt;&gt;"",EDATE($D17,Milestones!$AA$98)&gt;=$S17),$V17,IF(AND($R17&lt;&gt;"",EDATE($D17,Milestones!$AA$98)&gt;=$R17),$U17,$T17)))=Milestones!$AB$98),TEXT(EDATE($D17,Milestones!$AA$98),"dd/mm/yy")&amp;" "&amp;Milestones!$AB$98&amp;" "&amp;Milestones!$AC$98&amp;";  ","")&amp;IF(AND(EDATE($D17,Milestones!$AA$99)&lt;=AsOfDate,IF($Q17=0,$W17,IF(AND($S17&lt;&gt;"",EDATE($D17,Milestones!$AA$99)&gt;=$S17),$V17,IF(AND($R17&lt;&gt;"",EDATE($D17,Milestones!$AA$99)&gt;=$R17),$U17,$T17)))=Milestones!$AB$99),TEXT(EDATE($D17,Milestones!$AA$99),"dd/mm/yy")&amp;" "&amp;Milestones!$AB$99&amp;" "&amp;Milestones!$AC$99&amp;";  ",""))</f>
        <v/>
      </c>
      <c r="L17" s="0" t="str">
        <f aca="false">IF(OR($A17="",$D17=""),"",IF(AND(EDATE($D17,Milestones!$AA$100)&lt;=AsOfDate,IF($Q17=0,$W17,IF(AND($S17&lt;&gt;"",EDATE($D17,Milestones!$AA$100)&gt;=$S17),$V17,IF(AND($R17&lt;&gt;"",EDATE($D17,Milestones!$AA$100)&gt;=$R17),$U17,$T17)))=Milestones!$AB$100),TEXT(EDATE($D17,Milestones!$AA$100),"dd/mm/yy")&amp;" "&amp;Milestones!$AB$100&amp;" "&amp;Milestones!$AC$100&amp;";  ","")&amp;IF(AND(EDATE($D17,Milestones!$AA$101)&lt;=AsOfDate,IF($Q17=0,$W17,IF(AND($S17&lt;&gt;"",EDATE($D17,Milestones!$AA$101)&gt;=$S17),$V17,IF(AND($R17&lt;&gt;"",EDATE($D17,Milestones!$AA$101)&gt;=$R17),$U17,$T17)))=Milestones!$AB$101),TEXT(EDATE($D17,Milestones!$AA$101),"dd/mm/yy")&amp;" "&amp;Milestones!$AB$101&amp;" "&amp;Milestones!$AC$101&amp;";  ","")&amp;IF(AND(EDATE($D17,Milestones!$AA$102)&lt;=AsOfDate,IF($Q17=0,$W17,IF(AND($S17&lt;&gt;"",EDATE($D17,Milestones!$AA$102)&gt;=$S17),$V17,IF(AND($R17&lt;&gt;"",EDATE($D17,Milestones!$AA$102)&gt;=$R17),$U17,$T17)))=Milestones!$AB$102),TEXT(EDATE($D17,Milestones!$AA$102),"dd/mm/yy")&amp;" "&amp;Milestones!$AB$102&amp;" "&amp;Milestones!$AC$102&amp;";  ","")&amp;IF(AND(EDATE($D17,Milestones!$AA$103)&lt;=AsOfDate,IF($Q17=0,$W17,IF(AND($S17&lt;&gt;"",EDATE($D17,Milestones!$AA$103)&gt;=$S17),$V17,IF(AND($R17&lt;&gt;"",EDATE($D17,Milestones!$AA$103)&gt;=$R17),$U17,$T17)))=Milestones!$AB$103),TEXT(EDATE($D17,Milestones!$AA$103),"dd/mm/yy")&amp;" "&amp;Milestones!$AB$103&amp;" "&amp;Milestones!$AC$103&amp;";  ","")&amp;IF(AND(EDATE($D17,Milestones!$AA$104)&lt;=AsOfDate,IF($Q17=0,$W17,IF(AND($S17&lt;&gt;"",EDATE($D17,Milestones!$AA$104)&gt;=$S17),$V17,IF(AND($R17&lt;&gt;"",EDATE($D17,Milestones!$AA$104)&gt;=$R17),$U17,$T17)))=Milestones!$AB$104),TEXT(EDATE($D17,Milestones!$AA$104),"dd/mm/yy")&amp;" "&amp;Milestones!$AB$104&amp;" "&amp;Milestones!$AC$104&amp;";  ","")&amp;IF(AND(EDATE($D17,Milestones!$AA$105)&lt;=AsOfDate,IF($Q17=0,$W17,IF(AND($S17&lt;&gt;"",EDATE($D17,Milestones!$AA$105)&gt;=$S17),$V17,IF(AND($R17&lt;&gt;"",EDATE($D17,Milestones!$AA$105)&gt;=$R17),$U17,$T17)))=Milestones!$AB$105),TEXT(EDATE($D17,Milestones!$AA$105),"dd/mm/yy")&amp;" "&amp;Milestones!$AB$105&amp;" "&amp;Milestones!$AC$105&amp;";  ","")&amp;IF(AND(EDATE($D17,Milestones!$AA$106)&lt;=AsOfDate,IF($Q17=0,$W17,IF(AND($S17&lt;&gt;"",EDATE($D17,Milestones!$AA$106)&gt;=$S17),$V17,IF(AND($R17&lt;&gt;"",EDATE($D17,Milestones!$AA$106)&gt;=$R17),$U17,$T17)))=Milestones!$AB$106),TEXT(EDATE($D17,Milestones!$AA$106),"dd/mm/yy")&amp;" "&amp;Milestones!$AB$106&amp;" "&amp;Milestones!$AC$106&amp;";  ","")&amp;IF(AND(EDATE($D17,Milestones!$AA$107)&lt;=AsOfDate,IF($Q17=0,$W17,IF(AND($S17&lt;&gt;"",EDATE($D17,Milestones!$AA$107)&gt;=$S17),$V17,IF(AND($R17&lt;&gt;"",EDATE($D17,Milestones!$AA$107)&gt;=$R17),$U17,$T17)))=Milestones!$AB$107),TEXT(EDATE($D17,Milestones!$AA$107),"dd/mm/yy")&amp;" "&amp;Milestones!$AB$107&amp;" "&amp;Milestones!$AC$107&amp;";  ","")&amp;IF(AND(EDATE($D17,Milestones!$AA$108)&lt;=AsOfDate,IF($Q17=0,$W17,IF(AND($S17&lt;&gt;"",EDATE($D17,Milestones!$AA$108)&gt;=$S17),$V17,IF(AND($R17&lt;&gt;"",EDATE($D17,Milestones!$AA$108)&gt;=$R17),$U17,$T17)))=Milestones!$AB$108),TEXT(EDATE($D17,Milestones!$AA$108),"dd/mm/yy")&amp;" "&amp;Milestones!$AB$108&amp;" "&amp;Milestones!$AC$108&amp;";  ","")&amp;IF(AND(EDATE($D17,Milestones!$AA$109)&lt;=AsOfDate,IF($Q17=0,$W17,IF(AND($S17&lt;&gt;"",EDATE($D17,Milestones!$AA$109)&gt;=$S17),$V17,IF(AND($R17&lt;&gt;"",EDATE($D17,Milestones!$AA$109)&gt;=$R17),$U17,$T17)))=Milestones!$AB$109),TEXT(EDATE($D17,Milestones!$AA$109),"dd/mm/yy")&amp;" "&amp;Milestones!$AB$109&amp;" "&amp;Milestones!$AC$109&amp;";  ","")&amp;IF(AND(EDATE($D17,Milestones!$AA$110)&lt;=AsOfDate,IF($Q17=0,$W17,IF(AND($S17&lt;&gt;"",EDATE($D17,Milestones!$AA$110)&gt;=$S17),$V17,IF(AND($R17&lt;&gt;"",EDATE($D17,Milestones!$AA$110)&gt;=$R17),$U17,$T17)))=Milestones!$AB$110),TEXT(EDATE($D17,Milestones!$AA$110),"dd/mm/yy")&amp;" "&amp;Milestones!$AB$110&amp;" "&amp;Milestones!$AC$110&amp;";  ","")&amp;IF(AND(EDATE($D17,Milestones!$AA$111)&lt;=AsOfDate,IF($Q17=0,$W17,IF(AND($S17&lt;&gt;"",EDATE($D17,Milestones!$AA$111)&gt;=$S17),$V17,IF(AND($R17&lt;&gt;"",EDATE($D17,Milestones!$AA$111)&gt;=$R17),$U17,$T17)))=Milestones!$AB$111),TEXT(EDATE($D17,Milestones!$AA$111),"dd/mm/yy")&amp;" "&amp;Milestones!$AB$111&amp;" "&amp;Milestones!$AC$111&amp;";  ","")&amp;IF(AND(EDATE($D17,Milestones!$AA$112)&lt;=AsOfDate,IF($Q17=0,$W17,IF(AND($S17&lt;&gt;"",EDATE($D17,Milestones!$AA$112)&gt;=$S17),$V17,IF(AND($R17&lt;&gt;"",EDATE($D17,Milestones!$AA$112)&gt;=$R17),$U17,$T17)))=Milestones!$AB$112),TEXT(EDATE($D17,Milestones!$AA$112),"dd/mm/yy")&amp;" "&amp;Milestones!$AB$112&amp;" "&amp;Milestones!$AC$112&amp;";  ","")&amp;IF(AND(EDATE($D17,Milestones!$AA$113)&lt;=AsOfDate,IF($Q17=0,$W17,IF(AND($S17&lt;&gt;"",EDATE($D17,Milestones!$AA$113)&gt;=$S17),$V17,IF(AND($R17&lt;&gt;"",EDATE($D17,Milestones!$AA$113)&gt;=$R17),$U17,$T17)))=Milestones!$AB$113),TEXT(EDATE($D17,Milestones!$AA$113),"dd/mm/yy")&amp;" "&amp;Milestones!$AB$113&amp;" "&amp;Milestones!$AC$113&amp;";  ","")&amp;IF(AND(EDATE($D17,Milestones!$AA$114)&lt;=AsOfDate,IF($Q17=0,$W17,IF(AND($S17&lt;&gt;"",EDATE($D17,Milestones!$AA$114)&gt;=$S17),$V17,IF(AND($R17&lt;&gt;"",EDATE($D17,Milestones!$AA$114)&gt;=$R17),$U17,$T17)))=Milestones!$AB$114),TEXT(EDATE($D17,Milestones!$AA$114),"dd/mm/yy")&amp;" "&amp;Milestones!$AB$114&amp;" "&amp;Milestones!$AC$114&amp;";  ","")&amp;IF(AND(EDATE($D17,Milestones!$AA$115)&lt;=AsOfDate,IF($Q17=0,$W17,IF(AND($S17&lt;&gt;"",EDATE($D17,Milestones!$AA$115)&gt;=$S17),$V17,IF(AND($R17&lt;&gt;"",EDATE($D17,Milestones!$AA$115)&gt;=$R17),$U17,$T17)))=Milestones!$AB$115),TEXT(EDATE($D17,Milestones!$AA$115),"dd/mm/yy")&amp;" "&amp;Milestones!$AB$115&amp;" "&amp;Milestones!$AC$115&amp;";  ","")&amp;IF(AND(EDATE($D17,Milestones!$AA$116)&lt;=AsOfDate,IF($Q17=0,$W17,IF(AND($S17&lt;&gt;"",EDATE($D17,Milestones!$AA$116)&gt;=$S17),$V17,IF(AND($R17&lt;&gt;"",EDATE($D17,Milestones!$AA$116)&gt;=$R17),$U17,$T17)))=Milestones!$AB$116),TEXT(EDATE($D17,Milestones!$AA$116),"dd/mm/yy")&amp;" "&amp;Milestones!$AB$116&amp;" "&amp;Milestones!$AC$116&amp;";  ","")&amp;IF(AND(EDATE($D17,Milestones!$AA$117)&lt;=AsOfDate,IF($Q17=0,$W17,IF(AND($S17&lt;&gt;"",EDATE($D17,Milestones!$AA$117)&gt;=$S17),$V17,IF(AND($R17&lt;&gt;"",EDATE($D17,Milestones!$AA$117)&gt;=$R17),$U17,$T17)))=Milestones!$AB$117),TEXT(EDATE($D17,Milestones!$AA$117),"dd/mm/yy")&amp;" "&amp;Milestones!$AB$117&amp;" "&amp;Milestones!$AC$117&amp;";  ","")&amp;IF(AND(EDATE($D17,Milestones!$AA$118)&lt;=AsOfDate,IF($Q17=0,$W17,IF(AND($S17&lt;&gt;"",EDATE($D17,Milestones!$AA$118)&gt;=$S17),$V17,IF(AND($R17&lt;&gt;"",EDATE($D17,Milestones!$AA$118)&gt;=$R17),$U17,$T17)))=Milestones!$AB$118),TEXT(EDATE($D17,Milestones!$AA$118),"dd/mm/yy")&amp;" "&amp;Milestones!$AB$118&amp;" "&amp;Milestones!$AC$118&amp;";  ","")&amp;IF(AND(EDATE($D17,Milestones!$AA$119)&lt;=AsOfDate,IF($Q17=0,$W17,IF(AND($S17&lt;&gt;"",EDATE($D17,Milestones!$AA$119)&gt;=$S17),$V17,IF(AND($R17&lt;&gt;"",EDATE($D17,Milestones!$AA$119)&gt;=$R17),$U17,$T17)))=Milestones!$AB$119),TEXT(EDATE($D17,Milestones!$AA$119),"dd/mm/yy")&amp;" "&amp;Milestones!$AB$119&amp;" "&amp;Milestones!$AC$119&amp;";  ",""))</f>
        <v/>
      </c>
      <c r="M17" s="0" t="str">
        <f aca="false">IF(OR($A17="",$D17=""),"",IF(AND(EDATE($D17,Milestones!$AA$120)&lt;=AsOfDate,IF($Q17=0,$W17,IF(AND($S17&lt;&gt;"",EDATE($D17,Milestones!$AA$120)&gt;=$S17),$V17,IF(AND($R17&lt;&gt;"",EDATE($D17,Milestones!$AA$120)&gt;=$R17),$U17,$T17)))=Milestones!$AB$120),TEXT(EDATE($D17,Milestones!$AA$120),"dd/mm/yy")&amp;" "&amp;Milestones!$AB$120&amp;" "&amp;Milestones!$AC$120&amp;";  ","")&amp;IF(AND(EDATE($D17,Milestones!$AA$121)&lt;=AsOfDate,IF($Q17=0,$W17,IF(AND($S17&lt;&gt;"",EDATE($D17,Milestones!$AA$121)&gt;=$S17),$V17,IF(AND($R17&lt;&gt;"",EDATE($D17,Milestones!$AA$121)&gt;=$R17),$U17,$T17)))=Milestones!$AB$121),TEXT(EDATE($D17,Milestones!$AA$121),"dd/mm/yy")&amp;" "&amp;Milestones!$AB$121&amp;" "&amp;Milestones!$AC$121&amp;";  ","")&amp;IF(AND(EDATE($D17,Milestones!$AA$122)&lt;=AsOfDate,IF($Q17=0,$W17,IF(AND($S17&lt;&gt;"",EDATE($D17,Milestones!$AA$122)&gt;=$S17),$V17,IF(AND($R17&lt;&gt;"",EDATE($D17,Milestones!$AA$122)&gt;=$R17),$U17,$T17)))=Milestones!$AB$122),TEXT(EDATE($D17,Milestones!$AA$122),"dd/mm/yy")&amp;" "&amp;Milestones!$AB$122&amp;" "&amp;Milestones!$AC$122&amp;";  ","")&amp;IF(AND(EDATE($D17,Milestones!$AA$123)&lt;=AsOfDate,IF($Q17=0,$W17,IF(AND($S17&lt;&gt;"",EDATE($D17,Milestones!$AA$123)&gt;=$S17),$V17,IF(AND($R17&lt;&gt;"",EDATE($D17,Milestones!$AA$123)&gt;=$R17),$U17,$T17)))=Milestones!$AB$123),TEXT(EDATE($D17,Milestones!$AA$123),"dd/mm/yy")&amp;" "&amp;Milestones!$AB$123&amp;" "&amp;Milestones!$AC$123&amp;";  ","")&amp;IF(AND(EDATE($D17,Milestones!$AA$124)&lt;=AsOfDate,IF($Q17=0,$W17,IF(AND($S17&lt;&gt;"",EDATE($D17,Milestones!$AA$124)&gt;=$S17),$V17,IF(AND($R17&lt;&gt;"",EDATE($D17,Milestones!$AA$124)&gt;=$R17),$U17,$T17)))=Milestones!$AB$124),TEXT(EDATE($D17,Milestones!$AA$124),"dd/mm/yy")&amp;" "&amp;Milestones!$AB$124&amp;" "&amp;Milestones!$AC$124&amp;";  ","")&amp;IF(AND(EDATE($D17,Milestones!$AA$125)&lt;=AsOfDate,IF($Q17=0,$W17,IF(AND($S17&lt;&gt;"",EDATE($D17,Milestones!$AA$125)&gt;=$S17),$V17,IF(AND($R17&lt;&gt;"",EDATE($D17,Milestones!$AA$125)&gt;=$R17),$U17,$T17)))=Milestones!$AB$125),TEXT(EDATE($D17,Milestones!$AA$125),"dd/mm/yy")&amp;" "&amp;Milestones!$AB$125&amp;" "&amp;Milestones!$AC$125&amp;";  ","")&amp;IF(AND(EDATE($D17,Milestones!$AA$126)&lt;=AsOfDate,IF($Q17=0,$W17,IF(AND($S17&lt;&gt;"",EDATE($D17,Milestones!$AA$126)&gt;=$S17),$V17,IF(AND($R17&lt;&gt;"",EDATE($D17,Milestones!$AA$126)&gt;=$R17),$U17,$T17)))=Milestones!$AB$126),TEXT(EDATE($D17,Milestones!$AA$126),"dd/mm/yy")&amp;" "&amp;Milestones!$AB$126&amp;" "&amp;Milestones!$AC$126&amp;";  ","")&amp;IF(AND(EDATE($D17,Milestones!$AA$127)&lt;=AsOfDate,IF($Q17=0,$W17,IF(AND($S17&lt;&gt;"",EDATE($D17,Milestones!$AA$127)&gt;=$S17),$V17,IF(AND($R17&lt;&gt;"",EDATE($D17,Milestones!$AA$127)&gt;=$R17),$U17,$T17)))=Milestones!$AB$127),TEXT(EDATE($D17,Milestones!$AA$127),"dd/mm/yy")&amp;" "&amp;Milestones!$AB$127&amp;" "&amp;Milestones!$AC$127&amp;";  ","")&amp;IF(AND(EDATE($D17,Milestones!$AA$128)&lt;=AsOfDate,IF($Q17=0,$W17,IF(AND($S17&lt;&gt;"",EDATE($D17,Milestones!$AA$128)&gt;=$S17),$V17,IF(AND($R17&lt;&gt;"",EDATE($D17,Milestones!$AA$128)&gt;=$R17),$U17,$T17)))=Milestones!$AB$128),TEXT(EDATE($D17,Milestones!$AA$128),"dd/mm/yy")&amp;" "&amp;Milestones!$AB$128&amp;" "&amp;Milestones!$AC$128&amp;";  ","")&amp;IF(AND(EDATE($D17,Milestones!$AA$129)&lt;=AsOfDate,IF($Q17=0,$W17,IF(AND($S17&lt;&gt;"",EDATE($D17,Milestones!$AA$129)&gt;=$S17),$V17,IF(AND($R17&lt;&gt;"",EDATE($D17,Milestones!$AA$129)&gt;=$R17),$U17,$T17)))=Milestones!$AB$129),TEXT(EDATE($D17,Milestones!$AA$129),"dd/mm/yy")&amp;" "&amp;Milestones!$AB$129&amp;" "&amp;Milestones!$AC$129&amp;";  ","")&amp;IF(AND(EDATE($D17,Milestones!$AA$130)&lt;=AsOfDate,IF($Q17=0,$W17,IF(AND($S17&lt;&gt;"",EDATE($D17,Milestones!$AA$130)&gt;=$S17),$V17,IF(AND($R17&lt;&gt;"",EDATE($D17,Milestones!$AA$130)&gt;=$R17),$U17,$T17)))=Milestones!$AB$130),TEXT(EDATE($D17,Milestones!$AA$130),"dd/mm/yy")&amp;" "&amp;Milestones!$AB$130&amp;" "&amp;Milestones!$AC$130&amp;";  ","")&amp;IF(AND(EDATE($D17,Milestones!$AA$131)&lt;=AsOfDate,IF($Q17=0,$W17,IF(AND($S17&lt;&gt;"",EDATE($D17,Milestones!$AA$131)&gt;=$S17),$V17,IF(AND($R17&lt;&gt;"",EDATE($D17,Milestones!$AA$131)&gt;=$R17),$U17,$T17)))=Milestones!$AB$131),TEXT(EDATE($D17,Milestones!$AA$131),"dd/mm/yy")&amp;" "&amp;Milestones!$AB$131&amp;" "&amp;Milestones!$AC$131&amp;";  ","")&amp;IF(AND(EDATE($D17,Milestones!$AA$132)&lt;=AsOfDate,IF($Q17=0,$W17,IF(AND($S17&lt;&gt;"",EDATE($D17,Milestones!$AA$132)&gt;=$S17),$V17,IF(AND($R17&lt;&gt;"",EDATE($D17,Milestones!$AA$132)&gt;=$R17),$U17,$T17)))=Milestones!$AB$132),TEXT(EDATE($D17,Milestones!$AA$132),"dd/mm/yy")&amp;" "&amp;Milestones!$AB$132&amp;" "&amp;Milestones!$AC$132&amp;";  ","")&amp;IF(AND(EDATE($D17,Milestones!$AA$133)&lt;=AsOfDate,IF($Q17=0,$W17,IF(AND($S17&lt;&gt;"",EDATE($D17,Milestones!$AA$133)&gt;=$S17),$V17,IF(AND($R17&lt;&gt;"",EDATE($D17,Milestones!$AA$133)&gt;=$R17),$U17,$T17)))=Milestones!$AB$133),TEXT(EDATE($D17,Milestones!$AA$133),"dd/mm/yy")&amp;" "&amp;Milestones!$AB$133&amp;" "&amp;Milestones!$AC$133&amp;";  ","")&amp;IF(AND(EDATE($D17,Milestones!$AA$134)&lt;=AsOfDate,IF($Q17=0,$W17,IF(AND($S17&lt;&gt;"",EDATE($D17,Milestones!$AA$134)&gt;=$S17),$V17,IF(AND($R17&lt;&gt;"",EDATE($D17,Milestones!$AA$134)&gt;=$R17),$U17,$T17)))=Milestones!$AB$134),TEXT(EDATE($D17,Milestones!$AA$134),"dd/mm/yy")&amp;" "&amp;Milestones!$AB$134&amp;" "&amp;Milestones!$AC$134&amp;";  ","")&amp;IF(AND(EDATE($D17,Milestones!$AA$135)&lt;=AsOfDate,IF($Q17=0,$W17,IF(AND($S17&lt;&gt;"",EDATE($D17,Milestones!$AA$135)&gt;=$S17),$V17,IF(AND($R17&lt;&gt;"",EDATE($D17,Milestones!$AA$135)&gt;=$R17),$U17,$T17)))=Milestones!$AB$135),TEXT(EDATE($D17,Milestones!$AA$135),"dd/mm/yy")&amp;" "&amp;Milestones!$AB$135&amp;" "&amp;Milestones!$AC$135&amp;";  ","")&amp;IF(AND(EDATE($D17,Milestones!$AA$136)&lt;=AsOfDate,IF($Q17=0,$W17,IF(AND($S17&lt;&gt;"",EDATE($D17,Milestones!$AA$136)&gt;=$S17),$V17,IF(AND($R17&lt;&gt;"",EDATE($D17,Milestones!$AA$136)&gt;=$R17),$U17,$T17)))=Milestones!$AB$136),TEXT(EDATE($D17,Milestones!$AA$136),"dd/mm/yy")&amp;" "&amp;Milestones!$AB$136&amp;" "&amp;Milestones!$AC$136&amp;";  ","")&amp;IF(AND(EDATE($D17,Milestones!$AA$137)&lt;=AsOfDate,IF($Q17=0,$W17,IF(AND($S17&lt;&gt;"",EDATE($D17,Milestones!$AA$137)&gt;=$S17),$V17,IF(AND($R17&lt;&gt;"",EDATE($D17,Milestones!$AA$137)&gt;=$R17),$U17,$T17)))=Milestones!$AB$137),TEXT(EDATE($D17,Milestones!$AA$137),"dd/mm/yy")&amp;" "&amp;Milestones!$AB$137&amp;" "&amp;Milestones!$AC$137&amp;";  ","")&amp;IF(AND(EDATE($D17,Milestones!$AA$138)&lt;=AsOfDate,IF($Q17=0,$W17,IF(AND($S17&lt;&gt;"",EDATE($D17,Milestones!$AA$138)&gt;=$S17),$V17,IF(AND($R17&lt;&gt;"",EDATE($D17,Milestones!$AA$138)&gt;=$R17),$U17,$T17)))=Milestones!$AB$138),TEXT(EDATE($D17,Milestones!$AA$138),"dd/mm/yy")&amp;" "&amp;Milestones!$AB$138&amp;" "&amp;Milestones!$AC$138&amp;";  ","")&amp;IF(AND(EDATE($D17,Milestones!$AA$139)&lt;=AsOfDate,IF($Q17=0,$W17,IF(AND($S17&lt;&gt;"",EDATE($D17,Milestones!$AA$139)&gt;=$S17),$V17,IF(AND($R17&lt;&gt;"",EDATE($D17,Milestones!$AA$139)&gt;=$R17),$U17,$T17)))=Milestones!$AB$139),TEXT(EDATE($D17,Milestones!$AA$139),"dd/mm/yy")&amp;" "&amp;Milestones!$AB$139&amp;" "&amp;Milestones!$AC$139&amp;";  ",""))</f>
        <v/>
      </c>
      <c r="N17" s="0" t="str">
        <f aca="false">IF(OR($A17="",$D17=""),"",IF(AND(EDATE($D17,Milestones!$AA$140)&lt;=AsOfDate,IF($Q17=0,$W17,IF(AND($S17&lt;&gt;"",EDATE($D17,Milestones!$AA$140)&gt;=$S17),$V17,IF(AND($R17&lt;&gt;"",EDATE($D17,Milestones!$AA$140)&gt;=$R17),$U17,$T17)))=Milestones!$AB$140),TEXT(EDATE($D17,Milestones!$AA$140),"dd/mm/yy")&amp;" "&amp;Milestones!$AB$140&amp;" "&amp;Milestones!$AC$140&amp;";  ","")&amp;IF(AND(EDATE($D17,Milestones!$AA$141)&lt;=AsOfDate,IF($Q17=0,$W17,IF(AND($S17&lt;&gt;"",EDATE($D17,Milestones!$AA$141)&gt;=$S17),$V17,IF(AND($R17&lt;&gt;"",EDATE($D17,Milestones!$AA$141)&gt;=$R17),$U17,$T17)))=Milestones!$AB$141),TEXT(EDATE($D17,Milestones!$AA$141),"dd/mm/yy")&amp;" "&amp;Milestones!$AB$141&amp;" "&amp;Milestones!$AC$141&amp;";  ","")&amp;IF(AND(EDATE($D17,Milestones!$AA$142)&lt;=AsOfDate,IF($Q17=0,$W17,IF(AND($S17&lt;&gt;"",EDATE($D17,Milestones!$AA$142)&gt;=$S17),$V17,IF(AND($R17&lt;&gt;"",EDATE($D17,Milestones!$AA$142)&gt;=$R17),$U17,$T17)))=Milestones!$AB$142),TEXT(EDATE($D17,Milestones!$AA$142),"dd/mm/yy")&amp;" "&amp;Milestones!$AB$142&amp;" "&amp;Milestones!$AC$142&amp;";  ","")&amp;IF(AND(EDATE($D17,Milestones!$AA$143)&lt;=AsOfDate,IF($Q17=0,$W17,IF(AND($S17&lt;&gt;"",EDATE($D17,Milestones!$AA$143)&gt;=$S17),$V17,IF(AND($R17&lt;&gt;"",EDATE($D17,Milestones!$AA$143)&gt;=$R17),$U17,$T17)))=Milestones!$AB$143),TEXT(EDATE($D17,Milestones!$AA$143),"dd/mm/yy")&amp;" "&amp;Milestones!$AB$143&amp;" "&amp;Milestones!$AC$143&amp;";  ","")&amp;IF(AND(EDATE($D17,Milestones!$AA$144)&lt;=AsOfDate,IF($Q17=0,$W17,IF(AND($S17&lt;&gt;"",EDATE($D17,Milestones!$AA$144)&gt;=$S17),$V17,IF(AND($R17&lt;&gt;"",EDATE($D17,Milestones!$AA$144)&gt;=$R17),$U17,$T17)))=Milestones!$AB$144),TEXT(EDATE($D17,Milestones!$AA$144),"dd/mm/yy")&amp;" "&amp;Milestones!$AB$144&amp;" "&amp;Milestones!$AC$144&amp;";  ","")&amp;IF(AND(EDATE($D17,Milestones!$AA$145)&lt;=AsOfDate,IF($Q17=0,$W17,IF(AND($S17&lt;&gt;"",EDATE($D17,Milestones!$AA$145)&gt;=$S17),$V17,IF(AND($R17&lt;&gt;"",EDATE($D17,Milestones!$AA$145)&gt;=$R17),$U17,$T17)))=Milestones!$AB$145),TEXT(EDATE($D17,Milestones!$AA$145),"dd/mm/yy")&amp;" "&amp;Milestones!$AB$145&amp;" "&amp;Milestones!$AC$145&amp;";  ","")&amp;IF(AND(EDATE($D17,Milestones!$AA$146)&lt;=AsOfDate,IF($Q17=0,$W17,IF(AND($S17&lt;&gt;"",EDATE($D17,Milestones!$AA$146)&gt;=$S17),$V17,IF(AND($R17&lt;&gt;"",EDATE($D17,Milestones!$AA$146)&gt;=$R17),$U17,$T17)))=Milestones!$AB$146),TEXT(EDATE($D17,Milestones!$AA$146),"dd/mm/yy")&amp;" "&amp;Milestones!$AB$146&amp;" "&amp;Milestones!$AC$146&amp;";  ","")&amp;IF(AND(EDATE($D17,Milestones!$AA$147)&lt;=AsOfDate,IF($Q17=0,$W17,IF(AND($S17&lt;&gt;"",EDATE($D17,Milestones!$AA$147)&gt;=$S17),$V17,IF(AND($R17&lt;&gt;"",EDATE($D17,Milestones!$AA$147)&gt;=$R17),$U17,$T17)))=Milestones!$AB$147),TEXT(EDATE($D17,Milestones!$AA$147),"dd/mm/yy")&amp;" "&amp;Milestones!$AB$147&amp;" "&amp;Milestones!$AC$147&amp;";  ","")&amp;IF(AND(EDATE($D17,Milestones!$AA$148)&lt;=AsOfDate,IF($Q17=0,$W17,IF(AND($S17&lt;&gt;"",EDATE($D17,Milestones!$AA$148)&gt;=$S17),$V17,IF(AND($R17&lt;&gt;"",EDATE($D17,Milestones!$AA$148)&gt;=$R17),$U17,$T17)))=Milestones!$AB$148),TEXT(EDATE($D17,Milestones!$AA$148),"dd/mm/yy")&amp;" "&amp;Milestones!$AB$148&amp;" "&amp;Milestones!$AC$148&amp;";  ","")&amp;IF(AND(EDATE($D17,Milestones!$AA$149)&lt;=AsOfDate,IF($Q17=0,$W17,IF(AND($S17&lt;&gt;"",EDATE($D17,Milestones!$AA$149)&gt;=$S17),$V17,IF(AND($R17&lt;&gt;"",EDATE($D17,Milestones!$AA$149)&gt;=$R17),$U17,$T17)))=Milestones!$AB$149),TEXT(EDATE($D17,Milestones!$AA$149),"dd/mm/yy")&amp;" "&amp;Milestones!$AB$149&amp;" "&amp;Milestones!$AC$149&amp;";  ","")&amp;IF(AND(EDATE($D17,Milestones!$AA$150)&lt;=AsOfDate,IF($Q17=0,$W17,IF(AND($S17&lt;&gt;"",EDATE($D17,Milestones!$AA$150)&gt;=$S17),$V17,IF(AND($R17&lt;&gt;"",EDATE($D17,Milestones!$AA$150)&gt;=$R17),$U17,$T17)))=Milestones!$AB$150),TEXT(EDATE($D17,Milestones!$AA$150),"dd/mm/yy")&amp;" "&amp;Milestones!$AB$150&amp;" "&amp;Milestones!$AC$150&amp;";  ","")&amp;IF(AND(EDATE($D17,Milestones!$AA$151)&lt;=AsOfDate,IF($Q17=0,$W17,IF(AND($S17&lt;&gt;"",EDATE($D17,Milestones!$AA$151)&gt;=$S17),$V17,IF(AND($R17&lt;&gt;"",EDATE($D17,Milestones!$AA$151)&gt;=$R17),$U17,$T17)))=Milestones!$AB$151),TEXT(EDATE($D17,Milestones!$AA$151),"dd/mm/yy")&amp;" "&amp;Milestones!$AB$151&amp;" "&amp;Milestones!$AC$151&amp;";  ","")&amp;IF(AND(EDATE($D17,Milestones!$AA$152)&lt;=AsOfDate,IF($Q17=0,$W17,IF(AND($S17&lt;&gt;"",EDATE($D17,Milestones!$AA$152)&gt;=$S17),$V17,IF(AND($R17&lt;&gt;"",EDATE($D17,Milestones!$AA$152)&gt;=$R17),$U17,$T17)))=Milestones!$AB$152),TEXT(EDATE($D17,Milestones!$AA$152),"dd/mm/yy")&amp;" "&amp;Milestones!$AB$152&amp;" "&amp;Milestones!$AC$152&amp;";  ","")&amp;IF(AND(EDATE($D17,Milestones!$AA$153)&lt;=AsOfDate,IF($Q17=0,$W17,IF(AND($S17&lt;&gt;"",EDATE($D17,Milestones!$AA$153)&gt;=$S17),$V17,IF(AND($R17&lt;&gt;"",EDATE($D17,Milestones!$AA$153)&gt;=$R17),$U17,$T17)))=Milestones!$AB$153),TEXT(EDATE($D17,Milestones!$AA$153),"dd/mm/yy")&amp;" "&amp;Milestones!$AB$153&amp;" "&amp;Milestones!$AC$153&amp;";  ","")&amp;IF(AND(EDATE($D17,Milestones!$AA$154)&lt;=AsOfDate,IF($Q17=0,$W17,IF(AND($S17&lt;&gt;"",EDATE($D17,Milestones!$AA$154)&gt;=$S17),$V17,IF(AND($R17&lt;&gt;"",EDATE($D17,Milestones!$AA$154)&gt;=$R17),$U17,$T17)))=Milestones!$AB$154),TEXT(EDATE($D17,Milestones!$AA$154),"dd/mm/yy")&amp;" "&amp;Milestones!$AB$154&amp;" "&amp;Milestones!$AC$154&amp;";  ","")&amp;IF(AND(EDATE($D17,Milestones!$AA$155)&lt;=AsOfDate,IF($Q17=0,$W17,IF(AND($S17&lt;&gt;"",EDATE($D17,Milestones!$AA$155)&gt;=$S17),$V17,IF(AND($R17&lt;&gt;"",EDATE($D17,Milestones!$AA$155)&gt;=$R17),$U17,$T17)))=Milestones!$AB$155),TEXT(EDATE($D17,Milestones!$AA$155),"dd/mm/yy")&amp;" "&amp;Milestones!$AB$155&amp;" "&amp;Milestones!$AC$155&amp;";  ","")&amp;IF(AND(EDATE($D17,Milestones!$AA$156)&lt;=AsOfDate,IF($Q17=0,$W17,IF(AND($S17&lt;&gt;"",EDATE($D17,Milestones!$AA$156)&gt;=$S17),$V17,IF(AND($R17&lt;&gt;"",EDATE($D17,Milestones!$AA$156)&gt;=$R17),$U17,$T17)))=Milestones!$AB$156),TEXT(EDATE($D17,Milestones!$AA$156),"dd/mm/yy")&amp;" "&amp;Milestones!$AB$156&amp;" "&amp;Milestones!$AC$156&amp;";  ","")&amp;IF(AND(EDATE($D17,Milestones!$AA$157)&lt;=AsOfDate,IF($Q17=0,$W17,IF(AND($S17&lt;&gt;"",EDATE($D17,Milestones!$AA$157)&gt;=$S17),$V17,IF(AND($R17&lt;&gt;"",EDATE($D17,Milestones!$AA$157)&gt;=$R17),$U17,$T17)))=Milestones!$AB$157),TEXT(EDATE($D17,Milestones!$AA$157),"dd/mm/yy")&amp;" "&amp;Milestones!$AB$157&amp;" "&amp;Milestones!$AC$157&amp;";  ","")&amp;IF(AND(EDATE($D17,Milestones!$AA$158)&lt;=AsOfDate,IF($Q17=0,$W17,IF(AND($S17&lt;&gt;"",EDATE($D17,Milestones!$AA$158)&gt;=$S17),$V17,IF(AND($R17&lt;&gt;"",EDATE($D17,Milestones!$AA$158)&gt;=$R17),$U17,$T17)))=Milestones!$AB$158),TEXT(EDATE($D17,Milestones!$AA$158),"dd/mm/yy")&amp;" "&amp;Milestones!$AB$158&amp;" "&amp;Milestones!$AC$158&amp;";  ","")&amp;IF(AND(EDATE($D17,Milestones!$AA$159)&lt;=AsOfDate,IF($Q17=0,$W17,IF(AND($S17&lt;&gt;"",EDATE($D17,Milestones!$AA$159)&gt;=$S17),$V17,IF(AND($R17&lt;&gt;"",EDATE($D17,Milestones!$AA$159)&gt;=$R17),$U17,$T17)))=Milestones!$AB$159),TEXT(EDATE($D17,Milestones!$AA$159),"dd/mm/yy")&amp;" "&amp;Milestones!$AB$159&amp;" "&amp;Milestones!$AC$159&amp;";  ",""))</f>
        <v/>
      </c>
      <c r="O17" s="0" t="str">
        <f aca="false">IF(OR($A17="",$D17=""),"",IF(AND(EDATE($D17,Milestones!$AA$160)&lt;=AsOfDate,IF($Q17=0,$W17,IF(AND($S17&lt;&gt;"",EDATE($D17,Milestones!$AA$160)&gt;=$S17),$V17,IF(AND($R17&lt;&gt;"",EDATE($D17,Milestones!$AA$160)&gt;=$R17),$U17,$T17)))=Milestones!$AB$160),TEXT(EDATE($D17,Milestones!$AA$160),"dd/mm/yy")&amp;" "&amp;Milestones!$AB$160&amp;" "&amp;Milestones!$AC$160&amp;";  ","")&amp;IF(AND(EDATE($D17,Milestones!$AA$161)&lt;=AsOfDate,IF($Q17=0,$W17,IF(AND($S17&lt;&gt;"",EDATE($D17,Milestones!$AA$161)&gt;=$S17),$V17,IF(AND($R17&lt;&gt;"",EDATE($D17,Milestones!$AA$161)&gt;=$R17),$U17,$T17)))=Milestones!$AB$161),TEXT(EDATE($D17,Milestones!$AA$161),"dd/mm/yy")&amp;" "&amp;Milestones!$AB$161&amp;" "&amp;Milestones!$AC$161&amp;";  ","")&amp;IF(AND(EDATE($D17,Milestones!$AA$162)&lt;=AsOfDate,IF($Q17=0,$W17,IF(AND($S17&lt;&gt;"",EDATE($D17,Milestones!$AA$162)&gt;=$S17),$V17,IF(AND($R17&lt;&gt;"",EDATE($D17,Milestones!$AA$162)&gt;=$R17),$U17,$T17)))=Milestones!$AB$162),TEXT(EDATE($D17,Milestones!$AA$162),"dd/mm/yy")&amp;" "&amp;Milestones!$AB$162&amp;" "&amp;Milestones!$AC$162&amp;";  ","")&amp;IF(AND(EDATE($D17,Milestones!$AA$163)&lt;=AsOfDate,IF($Q17=0,$W17,IF(AND($S17&lt;&gt;"",EDATE($D17,Milestones!$AA$163)&gt;=$S17),$V17,IF(AND($R17&lt;&gt;"",EDATE($D17,Milestones!$AA$163)&gt;=$R17),$U17,$T17)))=Milestones!$AB$163),TEXT(EDATE($D17,Milestones!$AA$163),"dd/mm/yy")&amp;" "&amp;Milestones!$AB$163&amp;" "&amp;Milestones!$AC$163&amp;";  ","")&amp;IF(AND(EDATE($D17,Milestones!$AA$164)&lt;=AsOfDate,IF($Q17=0,$W17,IF(AND($S17&lt;&gt;"",EDATE($D17,Milestones!$AA$164)&gt;=$S17),$V17,IF(AND($R17&lt;&gt;"",EDATE($D17,Milestones!$AA$164)&gt;=$R17),$U17,$T17)))=Milestones!$AB$164),TEXT(EDATE($D17,Milestones!$AA$164),"dd/mm/yy")&amp;" "&amp;Milestones!$AB$164&amp;" "&amp;Milestones!$AC$164&amp;";  ","")&amp;IF(AND(EDATE($D17,Milestones!$AA$165)&lt;=AsOfDate,IF($Q17=0,$W17,IF(AND($S17&lt;&gt;"",EDATE($D17,Milestones!$AA$165)&gt;=$S17),$V17,IF(AND($R17&lt;&gt;"",EDATE($D17,Milestones!$AA$165)&gt;=$R17),$U17,$T17)))=Milestones!$AB$165),TEXT(EDATE($D17,Milestones!$AA$165),"dd/mm/yy")&amp;" "&amp;Milestones!$AB$165&amp;" "&amp;Milestones!$AC$165&amp;";  ","")&amp;IF(AND(EDATE($D17,Milestones!$AA$166)&lt;=AsOfDate,IF($Q17=0,$W17,IF(AND($S17&lt;&gt;"",EDATE($D17,Milestones!$AA$166)&gt;=$S17),$V17,IF(AND($R17&lt;&gt;"",EDATE($D17,Milestones!$AA$166)&gt;=$R17),$U17,$T17)))=Milestones!$AB$166),TEXT(EDATE($D17,Milestones!$AA$166),"dd/mm/yy")&amp;" "&amp;Milestones!$AB$166&amp;" "&amp;Milestones!$AC$166&amp;";  ","")&amp;IF(AND(EDATE($D17,Milestones!$AA$167)&lt;=AsOfDate,IF($Q17=0,$W17,IF(AND($S17&lt;&gt;"",EDATE($D17,Milestones!$AA$167)&gt;=$S17),$V17,IF(AND($R17&lt;&gt;"",EDATE($D17,Milestones!$AA$167)&gt;=$R17),$U17,$T17)))=Milestones!$AB$167),TEXT(EDATE($D17,Milestones!$AA$167),"dd/mm/yy")&amp;" "&amp;Milestones!$AB$167&amp;" "&amp;Milestones!$AC$167&amp;";  ","")&amp;IF(AND(EDATE($D17,Milestones!$AA$168)&lt;=AsOfDate,IF($Q17=0,$W17,IF(AND($S17&lt;&gt;"",EDATE($D17,Milestones!$AA$168)&gt;=$S17),$V17,IF(AND($R17&lt;&gt;"",EDATE($D17,Milestones!$AA$168)&gt;=$R17),$U17,$T17)))=Milestones!$AB$168),TEXT(EDATE($D17,Milestones!$AA$168),"dd/mm/yy")&amp;" "&amp;Milestones!$AB$168&amp;" "&amp;Milestones!$AC$168&amp;";  ","")&amp;IF(AND(EDATE($D17,Milestones!$AA$169)&lt;=AsOfDate,IF($Q17=0,$W17,IF(AND($S17&lt;&gt;"",EDATE($D17,Milestones!$AA$169)&gt;=$S17),$V17,IF(AND($R17&lt;&gt;"",EDATE($D17,Milestones!$AA$169)&gt;=$R17),$U17,$T17)))=Milestones!$AB$169),TEXT(EDATE($D17,Milestones!$AA$169),"dd/mm/yy")&amp;" "&amp;Milestones!$AB$169&amp;" "&amp;Milestones!$AC$169&amp;";  ","")&amp;IF(AND(EDATE($D17,Milestones!$AA$170)&lt;=AsOfDate,IF($Q17=0,$W17,IF(AND($S17&lt;&gt;"",EDATE($D17,Milestones!$AA$170)&gt;=$S17),$V17,IF(AND($R17&lt;&gt;"",EDATE($D17,Milestones!$AA$170)&gt;=$R17),$U17,$T17)))=Milestones!$AB$170),TEXT(EDATE($D17,Milestones!$AA$170),"dd/mm/yy")&amp;" "&amp;Milestones!$AB$170&amp;" "&amp;Milestones!$AC$170&amp;";  ","")&amp;IF(AND(EDATE($D17,Milestones!$AA$171)&lt;=AsOfDate,IF($Q17=0,$W17,IF(AND($S17&lt;&gt;"",EDATE($D17,Milestones!$AA$171)&gt;=$S17),$V17,IF(AND($R17&lt;&gt;"",EDATE($D17,Milestones!$AA$171)&gt;=$R17),$U17,$T17)))=Milestones!$AB$171),TEXT(EDATE($D17,Milestones!$AA$171),"dd/mm/yy")&amp;" "&amp;Milestones!$AB$171&amp;" "&amp;Milestones!$AC$171&amp;";  ","")&amp;IF(AND(EDATE($D17,Milestones!$AA$172)&lt;=AsOfDate,IF($Q17=0,$W17,IF(AND($S17&lt;&gt;"",EDATE($D17,Milestones!$AA$172)&gt;=$S17),$V17,IF(AND($R17&lt;&gt;"",EDATE($D17,Milestones!$AA$172)&gt;=$R17),$U17,$T17)))=Milestones!$AB$172),TEXT(EDATE($D17,Milestones!$AA$172),"dd/mm/yy")&amp;" "&amp;Milestones!$AB$172&amp;" "&amp;Milestones!$AC$172&amp;";  ","")&amp;IF(AND(EDATE($D17,Milestones!$AA$173)&lt;=AsOfDate,IF($Q17=0,$W17,IF(AND($S17&lt;&gt;"",EDATE($D17,Milestones!$AA$173)&gt;=$S17),$V17,IF(AND($R17&lt;&gt;"",EDATE($D17,Milestones!$AA$173)&gt;=$R17),$U17,$T17)))=Milestones!$AB$173),TEXT(EDATE($D17,Milestones!$AA$173),"dd/mm/yy")&amp;" "&amp;Milestones!$AB$173&amp;" "&amp;Milestones!$AC$173&amp;";  ","")&amp;IF(AND(EDATE($D17,Milestones!$AA$174)&lt;=AsOfDate,IF($Q17=0,$W17,IF(AND($S17&lt;&gt;"",EDATE($D17,Milestones!$AA$174)&gt;=$S17),$V17,IF(AND($R17&lt;&gt;"",EDATE($D17,Milestones!$AA$174)&gt;=$R17),$U17,$T17)))=Milestones!$AB$174),TEXT(EDATE($D17,Milestones!$AA$174),"dd/mm/yy")&amp;" "&amp;Milestones!$AB$174&amp;" "&amp;Milestones!$AC$174&amp;";  ","")&amp;IF(AND(EDATE($D17,Milestones!$AA$175)&lt;=AsOfDate,IF($Q17=0,$W17,IF(AND($S17&lt;&gt;"",EDATE($D17,Milestones!$AA$175)&gt;=$S17),$V17,IF(AND($R17&lt;&gt;"",EDATE($D17,Milestones!$AA$175)&gt;=$R17),$U17,$T17)))=Milestones!$AB$175),TEXT(EDATE($D17,Milestones!$AA$175),"dd/mm/yy")&amp;" "&amp;Milestones!$AB$175&amp;" "&amp;Milestones!$AC$175&amp;";  ","")&amp;IF(AND(EDATE($D17,Milestones!$AA$176)&lt;=AsOfDate,IF($Q17=0,$W17,IF(AND($S17&lt;&gt;"",EDATE($D17,Milestones!$AA$176)&gt;=$S17),$V17,IF(AND($R17&lt;&gt;"",EDATE($D17,Milestones!$AA$176)&gt;=$R17),$U17,$T17)))=Milestones!$AB$176),TEXT(EDATE($D17,Milestones!$AA$176),"dd/mm/yy")&amp;" "&amp;Milestones!$AB$176&amp;" "&amp;Milestones!$AC$176&amp;";  ","")&amp;IF(AND(EDATE($D17,Milestones!$AA$177)&lt;=AsOfDate,IF($Q17=0,$W17,IF(AND($S17&lt;&gt;"",EDATE($D17,Milestones!$AA$177)&gt;=$S17),$V17,IF(AND($R17&lt;&gt;"",EDATE($D17,Milestones!$AA$177)&gt;=$R17),$U17,$T17)))=Milestones!$AB$177),TEXT(EDATE($D17,Milestones!$AA$177),"dd/mm/yy")&amp;" "&amp;Milestones!$AB$177&amp;" "&amp;Milestones!$AC$177&amp;";  ","")&amp;IF(AND(EDATE($D17,Milestones!$AA$178)&lt;=AsOfDate,IF($Q17=0,$W17,IF(AND($S17&lt;&gt;"",EDATE($D17,Milestones!$AA$178)&gt;=$S17),$V17,IF(AND($R17&lt;&gt;"",EDATE($D17,Milestones!$AA$178)&gt;=$R17),$U17,$T17)))=Milestones!$AB$178),TEXT(EDATE($D17,Milestones!$AA$178),"dd/mm/yy")&amp;" "&amp;Milestones!$AB$178&amp;" "&amp;Milestones!$AC$178&amp;";  ","")&amp;IF(AND(EDATE($D17,Milestones!$AA$179)&lt;=AsOfDate,IF($Q17=0,$W17,IF(AND($S17&lt;&gt;"",EDATE($D17,Milestones!$AA$179)&gt;=$S17),$V17,IF(AND($R17&lt;&gt;"",EDATE($D17,Milestones!$AA$179)&gt;=$R17),$U17,$T17)))=Milestones!$AB$179),TEXT(EDATE($D17,Milestones!$AA$179),"dd/mm/yy")&amp;" "&amp;Milestones!$AB$179&amp;" "&amp;Milestones!$AC$179&amp;";  ",""))</f>
        <v/>
      </c>
      <c r="P17" s="0" t="str">
        <f aca="false">IF(OR($A17="",$D17=""),"",IF(AND(EDATE($D17,Milestones!$AA$180)&lt;=AsOfDate,IF($Q17=0,$W17,IF(AND($S17&lt;&gt;"",EDATE($D17,Milestones!$AA$180)&gt;=$S17),$V17,IF(AND($R17&lt;&gt;"",EDATE($D17,Milestones!$AA$180)&gt;=$R17),$U17,$T17)))=Milestones!$AB$180),TEXT(EDATE($D17,Milestones!$AA$180),"dd/mm/yy")&amp;" "&amp;Milestones!$AB$180&amp;" "&amp;Milestones!$AC$180&amp;";  ","")&amp;IF(AND(EDATE($D17,Milestones!$AA$181)&lt;=AsOfDate,IF($Q17=0,$W17,IF(AND($S17&lt;&gt;"",EDATE($D17,Milestones!$AA$181)&gt;=$S17),$V17,IF(AND($R17&lt;&gt;"",EDATE($D17,Milestones!$AA$181)&gt;=$R17),$U17,$T17)))=Milestones!$AB$181),TEXT(EDATE($D17,Milestones!$AA$181),"dd/mm/yy")&amp;" "&amp;Milestones!$AB$181&amp;" "&amp;Milestones!$AC$181&amp;";  ","")&amp;IF(AND(EDATE($D17,Milestones!$AA$182)&lt;=AsOfDate,IF($Q17=0,$W17,IF(AND($S17&lt;&gt;"",EDATE($D17,Milestones!$AA$182)&gt;=$S17),$V17,IF(AND($R17&lt;&gt;"",EDATE($D17,Milestones!$AA$182)&gt;=$R17),$U17,$T17)))=Milestones!$AB$182),TEXT(EDATE($D17,Milestones!$AA$182),"dd/mm/yy")&amp;" "&amp;Milestones!$AB$182&amp;" "&amp;Milestones!$AC$182&amp;";  ","")&amp;IF(AND(EDATE($D17,Milestones!$AA$183)&lt;=AsOfDate,IF($Q17=0,$W17,IF(AND($S17&lt;&gt;"",EDATE($D17,Milestones!$AA$183)&gt;=$S17),$V17,IF(AND($R17&lt;&gt;"",EDATE($D17,Milestones!$AA$183)&gt;=$R17),$U17,$T17)))=Milestones!$AB$183),TEXT(EDATE($D17,Milestones!$AA$183),"dd/mm/yy")&amp;" "&amp;Milestones!$AB$183&amp;" "&amp;Milestones!$AC$183&amp;";  ","")&amp;IF(AND(EDATE($D17,Milestones!$AA$184)&lt;=AsOfDate,IF($Q17=0,$W17,IF(AND($S17&lt;&gt;"",EDATE($D17,Milestones!$AA$184)&gt;=$S17),$V17,IF(AND($R17&lt;&gt;"",EDATE($D17,Milestones!$AA$184)&gt;=$R17),$U17,$T17)))=Milestones!$AB$184),TEXT(EDATE($D17,Milestones!$AA$184),"dd/mm/yy")&amp;" "&amp;Milestones!$AB$184&amp;" "&amp;Milestones!$AC$184&amp;";  ","")&amp;IF(AND(EDATE($D17,Milestones!$AA$185)&lt;=AsOfDate,IF($Q17=0,$W17,IF(AND($S17&lt;&gt;"",EDATE($D17,Milestones!$AA$185)&gt;=$S17),$V17,IF(AND($R17&lt;&gt;"",EDATE($D17,Milestones!$AA$185)&gt;=$R17),$U17,$T17)))=Milestones!$AB$185),TEXT(EDATE($D17,Milestones!$AA$185),"dd/mm/yy")&amp;" "&amp;Milestones!$AB$185&amp;" "&amp;Milestones!$AC$185&amp;";  ","")&amp;IF(AND(EDATE($D17,Milestones!$AA$186)&lt;=AsOfDate,IF($Q17=0,$W17,IF(AND($S17&lt;&gt;"",EDATE($D17,Milestones!$AA$186)&gt;=$S17),$V17,IF(AND($R17&lt;&gt;"",EDATE($D17,Milestones!$AA$186)&gt;=$R17),$U17,$T17)))=Milestones!$AB$186),TEXT(EDATE($D17,Milestones!$AA$186),"dd/mm/yy")&amp;" "&amp;Milestones!$AB$186&amp;" "&amp;Milestones!$AC$186&amp;";  ","")&amp;IF(AND(EDATE($D17,Milestones!$AA$187)&lt;=AsOfDate,IF($Q17=0,$W17,IF(AND($S17&lt;&gt;"",EDATE($D17,Milestones!$AA$187)&gt;=$S17),$V17,IF(AND($R17&lt;&gt;"",EDATE($D17,Milestones!$AA$187)&gt;=$R17),$U17,$T17)))=Milestones!$AB$187),TEXT(EDATE($D17,Milestones!$AA$187),"dd/mm/yy")&amp;" "&amp;Milestones!$AB$187&amp;" "&amp;Milestones!$AC$187&amp;";  ","")&amp;IF(AND(EDATE($D17,Milestones!$AA$188)&lt;=AsOfDate,IF($Q17=0,$W17,IF(AND($S17&lt;&gt;"",EDATE($D17,Milestones!$AA$188)&gt;=$S17),$V17,IF(AND($R17&lt;&gt;"",EDATE($D17,Milestones!$AA$188)&gt;=$R17),$U17,$T17)))=Milestones!$AB$188),TEXT(EDATE($D17,Milestones!$AA$188),"dd/mm/yy")&amp;" "&amp;Milestones!$AB$188&amp;" "&amp;Milestones!$AC$188&amp;";  ","")&amp;IF(AND(EDATE($D17,Milestones!$AA$189)&lt;=AsOfDate,IF($Q17=0,$W17,IF(AND($S17&lt;&gt;"",EDATE($D17,Milestones!$AA$189)&gt;=$S17),$V17,IF(AND($R17&lt;&gt;"",EDATE($D17,Milestones!$AA$189)&gt;=$R17),$U17,$T17)))=Milestones!$AB$189),TEXT(EDATE($D17,Milestones!$AA$189),"dd/mm/yy")&amp;" "&amp;Milestones!$AB$189&amp;" "&amp;Milestones!$AC$189&amp;";  ","")&amp;IF(AND(EDATE($D17,Milestones!$AA$190)&lt;=AsOfDate,IF($Q17=0,$W17,IF(AND($S17&lt;&gt;"",EDATE($D17,Milestones!$AA$190)&gt;=$S17),$V17,IF(AND($R17&lt;&gt;"",EDATE($D17,Milestones!$AA$190)&gt;=$R17),$U17,$T17)))=Milestones!$AB$190),TEXT(EDATE($D17,Milestones!$AA$190),"dd/mm/yy")&amp;" "&amp;Milestones!$AB$190&amp;" "&amp;Milestones!$AC$190&amp;";  ","")&amp;IF(AND(EDATE($D17,Milestones!$AA$191)&lt;=AsOfDate,IF($Q17=0,$W17,IF(AND($S17&lt;&gt;"",EDATE($D17,Milestones!$AA$191)&gt;=$S17),$V17,IF(AND($R17&lt;&gt;"",EDATE($D17,Milestones!$AA$191)&gt;=$R17),$U17,$T17)))=Milestones!$AB$191),TEXT(EDATE($D17,Milestones!$AA$191),"dd/mm/yy")&amp;" "&amp;Milestones!$AB$191&amp;" "&amp;Milestones!$AC$191&amp;";  ","")&amp;IF(AND(EDATE($D17,Milestones!$AA$192)&lt;=AsOfDate,IF($Q17=0,$W17,IF(AND($S17&lt;&gt;"",EDATE($D17,Milestones!$AA$192)&gt;=$S17),$V17,IF(AND($R17&lt;&gt;"",EDATE($D17,Milestones!$AA$192)&gt;=$R17),$U17,$T17)))=Milestones!$AB$192),TEXT(EDATE($D17,Milestones!$AA$192),"dd/mm/yy")&amp;" "&amp;Milestones!$AB$192&amp;" "&amp;Milestones!$AC$192&amp;";  ","")&amp;IF(AND(EDATE($D17,Milestones!$AA$193)&lt;=AsOfDate,IF($Q17=0,$W17,IF(AND($S17&lt;&gt;"",EDATE($D17,Milestones!$AA$193)&gt;=$S17),$V17,IF(AND($R17&lt;&gt;"",EDATE($D17,Milestones!$AA$193)&gt;=$R17),$U17,$T17)))=Milestones!$AB$193),TEXT(EDATE($D17,Milestones!$AA$193),"dd/mm/yy")&amp;" "&amp;Milestones!$AB$193&amp;" "&amp;Milestones!$AC$193&amp;";  ","")&amp;IF(AND(EDATE($D17,Milestones!$AA$194)&lt;=AsOfDate,IF($Q17=0,$W17,IF(AND($S17&lt;&gt;"",EDATE($D17,Milestones!$AA$194)&gt;=$S17),$V17,IF(AND($R17&lt;&gt;"",EDATE($D17,Milestones!$AA$194)&gt;=$R17),$U17,$T17)))=Milestones!$AB$194),TEXT(EDATE($D17,Milestones!$AA$194),"dd/mm/yy")&amp;" "&amp;Milestones!$AB$194&amp;" "&amp;Milestones!$AC$194&amp;";  ","")&amp;IF(AND(EDATE($D17,Milestones!$AA$195)&lt;=AsOfDate,IF($Q17=0,$W17,IF(AND($S17&lt;&gt;"",EDATE($D17,Milestones!$AA$195)&gt;=$S17),$V17,IF(AND($R17&lt;&gt;"",EDATE($D17,Milestones!$AA$195)&gt;=$R17),$U17,$T17)))=Milestones!$AB$195),TEXT(EDATE($D17,Milestones!$AA$195),"dd/mm/yy")&amp;" "&amp;Milestones!$AB$195&amp;" "&amp;Milestones!$AC$195&amp;";  ","")&amp;IF(AND(EDATE($D17,Milestones!$AA$196)&lt;=AsOfDate,IF($Q17=0,$W17,IF(AND($S17&lt;&gt;"",EDATE($D17,Milestones!$AA$196)&gt;=$S17),$V17,IF(AND($R17&lt;&gt;"",EDATE($D17,Milestones!$AA$196)&gt;=$R17),$U17,$T17)))=Milestones!$AB$196),TEXT(EDATE($D17,Milestones!$AA$196),"dd/mm/yy")&amp;" "&amp;Milestones!$AB$196&amp;" "&amp;Milestones!$AC$196&amp;";  ","")&amp;IF(AND(EDATE($D17,Milestones!$AA$197)&lt;=AsOfDate,IF($Q17=0,$W17,IF(AND($S17&lt;&gt;"",EDATE($D17,Milestones!$AA$197)&gt;=$S17),$V17,IF(AND($R17&lt;&gt;"",EDATE($D17,Milestones!$AA$197)&gt;=$R17),$U17,$T17)))=Milestones!$AB$197),TEXT(EDATE($D17,Milestones!$AA$197),"dd/mm/yy")&amp;" "&amp;Milestones!$AB$197&amp;" "&amp;Milestones!$AC$197&amp;";  ","")&amp;IF(AND(EDATE($D17,Milestones!$AA$198)&lt;=AsOfDate,IF($Q17=0,$W17,IF(AND($S17&lt;&gt;"",EDATE($D17,Milestones!$AA$198)&gt;=$S17),$V17,IF(AND($R17&lt;&gt;"",EDATE($D17,Milestones!$AA$198)&gt;=$R17),$U17,$T17)))=Milestones!$AB$198),TEXT(EDATE($D17,Milestones!$AA$198),"dd/mm/yy")&amp;" "&amp;Milestones!$AB$198&amp;" "&amp;Milestones!$AC$198&amp;";  ","")&amp;IF(AND(EDATE($D17,Milestones!$AA$199)&lt;=AsOfDate,IF($Q17=0,$W17,IF(AND($S17&lt;&gt;"",EDATE($D17,Milestones!$AA$199)&gt;=$S17),$V17,IF(AND($R17&lt;&gt;"",EDATE($D17,Milestones!$AA$199)&gt;=$R17),$U17,$T17)))=Milestones!$AB$199),TEXT(EDATE($D17,Milestones!$AA$199),"dd/mm/yy")&amp;" "&amp;Milestones!$AB$199&amp;" "&amp;Milestones!$AC$199&amp;";  ",""))</f>
        <v/>
      </c>
      <c r="Q17" s="0" t="str">
        <f aca="false">IF(Staff!$A17="","",Staff!$AG17)</f>
        <v/>
      </c>
      <c r="R17" s="0" t="str">
        <f aca="false">IF(Staff!$A17="","",Staff!$AI17)</f>
        <v/>
      </c>
      <c r="S17" s="0" t="str">
        <f aca="false">IF(Staff!$A17="","",Staff!$AJ17)</f>
        <v/>
      </c>
      <c r="T17" s="0" t="str">
        <f aca="false">IF(Staff!$A17="","",Staff!$AN17)</f>
        <v/>
      </c>
      <c r="U17" s="0" t="str">
        <f aca="false">IF(Staff!$A17="","",Staff!$AO17)</f>
        <v/>
      </c>
      <c r="V17" s="0" t="str">
        <f aca="false">IF(Staff!$A17="","",Staff!$AP17)</f>
        <v/>
      </c>
      <c r="W17" s="0" t="str">
        <f aca="false">IF(Staff!$A17="","",Staff!$AQ17)</f>
        <v/>
      </c>
    </row>
    <row r="18" customFormat="false" ht="15" hidden="false" customHeight="false" outlineLevel="0" collapsed="false">
      <c r="A18" s="13" t="str">
        <f aca="false">IF(Staff!$A18="","",Staff!$A18)</f>
        <v/>
      </c>
      <c r="B18" s="13" t="str">
        <f aca="false">IF(Staff!$A18="","",Staff!$B18)</f>
        <v/>
      </c>
      <c r="C18" s="13" t="str">
        <f aca="false">IF(Staff!$A18="","",Staff!$C18)</f>
        <v/>
      </c>
      <c r="D18" s="11" t="str">
        <f aca="false">IF(Staff!$A18="","",Staff!$AF18)</f>
        <v/>
      </c>
      <c r="E18" s="13" t="str">
        <f aca="false">IF(Staff!$A18="","",Staff!$O18)</f>
        <v/>
      </c>
      <c r="F18" s="13" t="str">
        <f aca="false">IF(E18="","",E18*HoursPerDay)</f>
        <v/>
      </c>
      <c r="G18" s="26" t="str">
        <f aca="false">IF($A18="","",H18&amp;I18&amp;J18&amp;K18&amp;L18&amp;M18&amp;N18&amp;O18&amp;P18)</f>
        <v/>
      </c>
      <c r="H18" s="0" t="str">
        <f aca="false">IF(OR($A18="",$D18=""),"",IF(AND(EDATE($D18,Milestones!$AA$20)&lt;=AsOfDate,IF($Q18=0,$W18,IF(AND($S18&lt;&gt;"",EDATE($D18,Milestones!$AA$20)&gt;=$S18),$V18,IF(AND($R18&lt;&gt;"",EDATE($D18,Milestones!$AA$20)&gt;=$R18),$U18,$T18)))=Milestones!$AB$20),TEXT(EDATE($D18,Milestones!$AA$20),"dd/mm/yy")&amp;" "&amp;Milestones!$AB$20&amp;" "&amp;Milestones!$AC$20&amp;";  ","")&amp;IF(AND(EDATE($D18,Milestones!$AA$21)&lt;=AsOfDate,IF($Q18=0,$W18,IF(AND($S18&lt;&gt;"",EDATE($D18,Milestones!$AA$21)&gt;=$S18),$V18,IF(AND($R18&lt;&gt;"",EDATE($D18,Milestones!$AA$21)&gt;=$R18),$U18,$T18)))=Milestones!$AB$21),TEXT(EDATE($D18,Milestones!$AA$21),"dd/mm/yy")&amp;" "&amp;Milestones!$AB$21&amp;" "&amp;Milestones!$AC$21&amp;";  ","")&amp;IF(AND(EDATE($D18,Milestones!$AA$22)&lt;=AsOfDate,IF($Q18=0,$W18,IF(AND($S18&lt;&gt;"",EDATE($D18,Milestones!$AA$22)&gt;=$S18),$V18,IF(AND($R18&lt;&gt;"",EDATE($D18,Milestones!$AA$22)&gt;=$R18),$U18,$T18)))=Milestones!$AB$22),TEXT(EDATE($D18,Milestones!$AA$22),"dd/mm/yy")&amp;" "&amp;Milestones!$AB$22&amp;" "&amp;Milestones!$AC$22&amp;";  ","")&amp;IF(AND(EDATE($D18,Milestones!$AA$23)&lt;=AsOfDate,IF($Q18=0,$W18,IF(AND($S18&lt;&gt;"",EDATE($D18,Milestones!$AA$23)&gt;=$S18),$V18,IF(AND($R18&lt;&gt;"",EDATE($D18,Milestones!$AA$23)&gt;=$R18),$U18,$T18)))=Milestones!$AB$23),TEXT(EDATE($D18,Milestones!$AA$23),"dd/mm/yy")&amp;" "&amp;Milestones!$AB$23&amp;" "&amp;Milestones!$AC$23&amp;";  ","")&amp;IF(AND(EDATE($D18,Milestones!$AA$24)&lt;=AsOfDate,IF($Q18=0,$W18,IF(AND($S18&lt;&gt;"",EDATE($D18,Milestones!$AA$24)&gt;=$S18),$V18,IF(AND($R18&lt;&gt;"",EDATE($D18,Milestones!$AA$24)&gt;=$R18),$U18,$T18)))=Milestones!$AB$24),TEXT(EDATE($D18,Milestones!$AA$24),"dd/mm/yy")&amp;" "&amp;Milestones!$AB$24&amp;" "&amp;Milestones!$AC$24&amp;";  ","")&amp;IF(AND(EDATE($D18,Milestones!$AA$25)&lt;=AsOfDate,IF($Q18=0,$W18,IF(AND($S18&lt;&gt;"",EDATE($D18,Milestones!$AA$25)&gt;=$S18),$V18,IF(AND($R18&lt;&gt;"",EDATE($D18,Milestones!$AA$25)&gt;=$R18),$U18,$T18)))=Milestones!$AB$25),TEXT(EDATE($D18,Milestones!$AA$25),"dd/mm/yy")&amp;" "&amp;Milestones!$AB$25&amp;" "&amp;Milestones!$AC$25&amp;";  ","")&amp;IF(AND(EDATE($D18,Milestones!$AA$26)&lt;=AsOfDate,IF($Q18=0,$W18,IF(AND($S18&lt;&gt;"",EDATE($D18,Milestones!$AA$26)&gt;=$S18),$V18,IF(AND($R18&lt;&gt;"",EDATE($D18,Milestones!$AA$26)&gt;=$R18),$U18,$T18)))=Milestones!$AB$26),TEXT(EDATE($D18,Milestones!$AA$26),"dd/mm/yy")&amp;" "&amp;Milestones!$AB$26&amp;" "&amp;Milestones!$AC$26&amp;";  ","")&amp;IF(AND(EDATE($D18,Milestones!$AA$27)&lt;=AsOfDate,IF($Q18=0,$W18,IF(AND($S18&lt;&gt;"",EDATE($D18,Milestones!$AA$27)&gt;=$S18),$V18,IF(AND($R18&lt;&gt;"",EDATE($D18,Milestones!$AA$27)&gt;=$R18),$U18,$T18)))=Milestones!$AB$27),TEXT(EDATE($D18,Milestones!$AA$27),"dd/mm/yy")&amp;" "&amp;Milestones!$AB$27&amp;" "&amp;Milestones!$AC$27&amp;";  ","")&amp;IF(AND(EDATE($D18,Milestones!$AA$28)&lt;=AsOfDate,IF($Q18=0,$W18,IF(AND($S18&lt;&gt;"",EDATE($D18,Milestones!$AA$28)&gt;=$S18),$V18,IF(AND($R18&lt;&gt;"",EDATE($D18,Milestones!$AA$28)&gt;=$R18),$U18,$T18)))=Milestones!$AB$28),TEXT(EDATE($D18,Milestones!$AA$28),"dd/mm/yy")&amp;" "&amp;Milestones!$AB$28&amp;" "&amp;Milestones!$AC$28&amp;";  ","")&amp;IF(AND(EDATE($D18,Milestones!$AA$29)&lt;=AsOfDate,IF($Q18=0,$W18,IF(AND($S18&lt;&gt;"",EDATE($D18,Milestones!$AA$29)&gt;=$S18),$V18,IF(AND($R18&lt;&gt;"",EDATE($D18,Milestones!$AA$29)&gt;=$R18),$U18,$T18)))=Milestones!$AB$29),TEXT(EDATE($D18,Milestones!$AA$29),"dd/mm/yy")&amp;" "&amp;Milestones!$AB$29&amp;" "&amp;Milestones!$AC$29&amp;";  ","")&amp;IF(AND(EDATE($D18,Milestones!$AA$30)&lt;=AsOfDate,IF($Q18=0,$W18,IF(AND($S18&lt;&gt;"",EDATE($D18,Milestones!$AA$30)&gt;=$S18),$V18,IF(AND($R18&lt;&gt;"",EDATE($D18,Milestones!$AA$30)&gt;=$R18),$U18,$T18)))=Milestones!$AB$30),TEXT(EDATE($D18,Milestones!$AA$30),"dd/mm/yy")&amp;" "&amp;Milestones!$AB$30&amp;" "&amp;Milestones!$AC$30&amp;";  ","")&amp;IF(AND(EDATE($D18,Milestones!$AA$31)&lt;=AsOfDate,IF($Q18=0,$W18,IF(AND($S18&lt;&gt;"",EDATE($D18,Milestones!$AA$31)&gt;=$S18),$V18,IF(AND($R18&lt;&gt;"",EDATE($D18,Milestones!$AA$31)&gt;=$R18),$U18,$T18)))=Milestones!$AB$31),TEXT(EDATE($D18,Milestones!$AA$31),"dd/mm/yy")&amp;" "&amp;Milestones!$AB$31&amp;" "&amp;Milestones!$AC$31&amp;";  ","")&amp;IF(AND(EDATE($D18,Milestones!$AA$32)&lt;=AsOfDate,IF($Q18=0,$W18,IF(AND($S18&lt;&gt;"",EDATE($D18,Milestones!$AA$32)&gt;=$S18),$V18,IF(AND($R18&lt;&gt;"",EDATE($D18,Milestones!$AA$32)&gt;=$R18),$U18,$T18)))=Milestones!$AB$32),TEXT(EDATE($D18,Milestones!$AA$32),"dd/mm/yy")&amp;" "&amp;Milestones!$AB$32&amp;" "&amp;Milestones!$AC$32&amp;";  ","")&amp;IF(AND(EDATE($D18,Milestones!$AA$33)&lt;=AsOfDate,IF($Q18=0,$W18,IF(AND($S18&lt;&gt;"",EDATE($D18,Milestones!$AA$33)&gt;=$S18),$V18,IF(AND($R18&lt;&gt;"",EDATE($D18,Milestones!$AA$33)&gt;=$R18),$U18,$T18)))=Milestones!$AB$33),TEXT(EDATE($D18,Milestones!$AA$33),"dd/mm/yy")&amp;" "&amp;Milestones!$AB$33&amp;" "&amp;Milestones!$AC$33&amp;";  ","")&amp;IF(AND(EDATE($D18,Milestones!$AA$34)&lt;=AsOfDate,IF($Q18=0,$W18,IF(AND($S18&lt;&gt;"",EDATE($D18,Milestones!$AA$34)&gt;=$S18),$V18,IF(AND($R18&lt;&gt;"",EDATE($D18,Milestones!$AA$34)&gt;=$R18),$U18,$T18)))=Milestones!$AB$34),TEXT(EDATE($D18,Milestones!$AA$34),"dd/mm/yy")&amp;" "&amp;Milestones!$AB$34&amp;" "&amp;Milestones!$AC$34&amp;";  ","")&amp;IF(AND(EDATE($D18,Milestones!$AA$35)&lt;=AsOfDate,IF($Q18=0,$W18,IF(AND($S18&lt;&gt;"",EDATE($D18,Milestones!$AA$35)&gt;=$S18),$V18,IF(AND($R18&lt;&gt;"",EDATE($D18,Milestones!$AA$35)&gt;=$R18),$U18,$T18)))=Milestones!$AB$35),TEXT(EDATE($D18,Milestones!$AA$35),"dd/mm/yy")&amp;" "&amp;Milestones!$AB$35&amp;" "&amp;Milestones!$AC$35&amp;";  ","")&amp;IF(AND(EDATE($D18,Milestones!$AA$36)&lt;=AsOfDate,IF($Q18=0,$W18,IF(AND($S18&lt;&gt;"",EDATE($D18,Milestones!$AA$36)&gt;=$S18),$V18,IF(AND($R18&lt;&gt;"",EDATE($D18,Milestones!$AA$36)&gt;=$R18),$U18,$T18)))=Milestones!$AB$36),TEXT(EDATE($D18,Milestones!$AA$36),"dd/mm/yy")&amp;" "&amp;Milestones!$AB$36&amp;" "&amp;Milestones!$AC$36&amp;";  ","")&amp;IF(AND(EDATE($D18,Milestones!$AA$37)&lt;=AsOfDate,IF($Q18=0,$W18,IF(AND($S18&lt;&gt;"",EDATE($D18,Milestones!$AA$37)&gt;=$S18),$V18,IF(AND($R18&lt;&gt;"",EDATE($D18,Milestones!$AA$37)&gt;=$R18),$U18,$T18)))=Milestones!$AB$37),TEXT(EDATE($D18,Milestones!$AA$37),"dd/mm/yy")&amp;" "&amp;Milestones!$AB$37&amp;" "&amp;Milestones!$AC$37&amp;";  ","")&amp;IF(AND(EDATE($D18,Milestones!$AA$38)&lt;=AsOfDate,IF($Q18=0,$W18,IF(AND($S18&lt;&gt;"",EDATE($D18,Milestones!$AA$38)&gt;=$S18),$V18,IF(AND($R18&lt;&gt;"",EDATE($D18,Milestones!$AA$38)&gt;=$R18),$U18,$T18)))=Milestones!$AB$38),TEXT(EDATE($D18,Milestones!$AA$38),"dd/mm/yy")&amp;" "&amp;Milestones!$AB$38&amp;" "&amp;Milestones!$AC$38&amp;";  ","")&amp;IF(AND(EDATE($D18,Milestones!$AA$39)&lt;=AsOfDate,IF($Q18=0,$W18,IF(AND($S18&lt;&gt;"",EDATE($D18,Milestones!$AA$39)&gt;=$S18),$V18,IF(AND($R18&lt;&gt;"",EDATE($D18,Milestones!$AA$39)&gt;=$R18),$U18,$T18)))=Milestones!$AB$39),TEXT(EDATE($D18,Milestones!$AA$39),"dd/mm/yy")&amp;" "&amp;Milestones!$AB$39&amp;" "&amp;Milestones!$AC$39&amp;";  ",""))</f>
        <v/>
      </c>
      <c r="I18" s="0" t="str">
        <f aca="false">IF(OR($A18="",$D18=""),"",IF(AND(EDATE($D18,Milestones!$AA$40)&lt;=AsOfDate,IF($Q18=0,$W18,IF(AND($S18&lt;&gt;"",EDATE($D18,Milestones!$AA$40)&gt;=$S18),$V18,IF(AND($R18&lt;&gt;"",EDATE($D18,Milestones!$AA$40)&gt;=$R18),$U18,$T18)))=Milestones!$AB$40),TEXT(EDATE($D18,Milestones!$AA$40),"dd/mm/yy")&amp;" "&amp;Milestones!$AB$40&amp;" "&amp;Milestones!$AC$40&amp;";  ","")&amp;IF(AND(EDATE($D18,Milestones!$AA$41)&lt;=AsOfDate,IF($Q18=0,$W18,IF(AND($S18&lt;&gt;"",EDATE($D18,Milestones!$AA$41)&gt;=$S18),$V18,IF(AND($R18&lt;&gt;"",EDATE($D18,Milestones!$AA$41)&gt;=$R18),$U18,$T18)))=Milestones!$AB$41),TEXT(EDATE($D18,Milestones!$AA$41),"dd/mm/yy")&amp;" "&amp;Milestones!$AB$41&amp;" "&amp;Milestones!$AC$41&amp;";  ","")&amp;IF(AND(EDATE($D18,Milestones!$AA$42)&lt;=AsOfDate,IF($Q18=0,$W18,IF(AND($S18&lt;&gt;"",EDATE($D18,Milestones!$AA$42)&gt;=$S18),$V18,IF(AND($R18&lt;&gt;"",EDATE($D18,Milestones!$AA$42)&gt;=$R18),$U18,$T18)))=Milestones!$AB$42),TEXT(EDATE($D18,Milestones!$AA$42),"dd/mm/yy")&amp;" "&amp;Milestones!$AB$42&amp;" "&amp;Milestones!$AC$42&amp;";  ","")&amp;IF(AND(EDATE($D18,Milestones!$AA$43)&lt;=AsOfDate,IF($Q18=0,$W18,IF(AND($S18&lt;&gt;"",EDATE($D18,Milestones!$AA$43)&gt;=$S18),$V18,IF(AND($R18&lt;&gt;"",EDATE($D18,Milestones!$AA$43)&gt;=$R18),$U18,$T18)))=Milestones!$AB$43),TEXT(EDATE($D18,Milestones!$AA$43),"dd/mm/yy")&amp;" "&amp;Milestones!$AB$43&amp;" "&amp;Milestones!$AC$43&amp;";  ","")&amp;IF(AND(EDATE($D18,Milestones!$AA$44)&lt;=AsOfDate,IF($Q18=0,$W18,IF(AND($S18&lt;&gt;"",EDATE($D18,Milestones!$AA$44)&gt;=$S18),$V18,IF(AND($R18&lt;&gt;"",EDATE($D18,Milestones!$AA$44)&gt;=$R18),$U18,$T18)))=Milestones!$AB$44),TEXT(EDATE($D18,Milestones!$AA$44),"dd/mm/yy")&amp;" "&amp;Milestones!$AB$44&amp;" "&amp;Milestones!$AC$44&amp;";  ","")&amp;IF(AND(EDATE($D18,Milestones!$AA$45)&lt;=AsOfDate,IF($Q18=0,$W18,IF(AND($S18&lt;&gt;"",EDATE($D18,Milestones!$AA$45)&gt;=$S18),$V18,IF(AND($R18&lt;&gt;"",EDATE($D18,Milestones!$AA$45)&gt;=$R18),$U18,$T18)))=Milestones!$AB$45),TEXT(EDATE($D18,Milestones!$AA$45),"dd/mm/yy")&amp;" "&amp;Milestones!$AB$45&amp;" "&amp;Milestones!$AC$45&amp;";  ","")&amp;IF(AND(EDATE($D18,Milestones!$AA$46)&lt;=AsOfDate,IF($Q18=0,$W18,IF(AND($S18&lt;&gt;"",EDATE($D18,Milestones!$AA$46)&gt;=$S18),$V18,IF(AND($R18&lt;&gt;"",EDATE($D18,Milestones!$AA$46)&gt;=$R18),$U18,$T18)))=Milestones!$AB$46),TEXT(EDATE($D18,Milestones!$AA$46),"dd/mm/yy")&amp;" "&amp;Milestones!$AB$46&amp;" "&amp;Milestones!$AC$46&amp;";  ","")&amp;IF(AND(EDATE($D18,Milestones!$AA$47)&lt;=AsOfDate,IF($Q18=0,$W18,IF(AND($S18&lt;&gt;"",EDATE($D18,Milestones!$AA$47)&gt;=$S18),$V18,IF(AND($R18&lt;&gt;"",EDATE($D18,Milestones!$AA$47)&gt;=$R18),$U18,$T18)))=Milestones!$AB$47),TEXT(EDATE($D18,Milestones!$AA$47),"dd/mm/yy")&amp;" "&amp;Milestones!$AB$47&amp;" "&amp;Milestones!$AC$47&amp;";  ","")&amp;IF(AND(EDATE($D18,Milestones!$AA$48)&lt;=AsOfDate,IF($Q18=0,$W18,IF(AND($S18&lt;&gt;"",EDATE($D18,Milestones!$AA$48)&gt;=$S18),$V18,IF(AND($R18&lt;&gt;"",EDATE($D18,Milestones!$AA$48)&gt;=$R18),$U18,$T18)))=Milestones!$AB$48),TEXT(EDATE($D18,Milestones!$AA$48),"dd/mm/yy")&amp;" "&amp;Milestones!$AB$48&amp;" "&amp;Milestones!$AC$48&amp;";  ","")&amp;IF(AND(EDATE($D18,Milestones!$AA$49)&lt;=AsOfDate,IF($Q18=0,$W18,IF(AND($S18&lt;&gt;"",EDATE($D18,Milestones!$AA$49)&gt;=$S18),$V18,IF(AND($R18&lt;&gt;"",EDATE($D18,Milestones!$AA$49)&gt;=$R18),$U18,$T18)))=Milestones!$AB$49),TEXT(EDATE($D18,Milestones!$AA$49),"dd/mm/yy")&amp;" "&amp;Milestones!$AB$49&amp;" "&amp;Milestones!$AC$49&amp;";  ","")&amp;IF(AND(EDATE($D18,Milestones!$AA$50)&lt;=AsOfDate,IF($Q18=0,$W18,IF(AND($S18&lt;&gt;"",EDATE($D18,Milestones!$AA$50)&gt;=$S18),$V18,IF(AND($R18&lt;&gt;"",EDATE($D18,Milestones!$AA$50)&gt;=$R18),$U18,$T18)))=Milestones!$AB$50),TEXT(EDATE($D18,Milestones!$AA$50),"dd/mm/yy")&amp;" "&amp;Milestones!$AB$50&amp;" "&amp;Milestones!$AC$50&amp;";  ","")&amp;IF(AND(EDATE($D18,Milestones!$AA$51)&lt;=AsOfDate,IF($Q18=0,$W18,IF(AND($S18&lt;&gt;"",EDATE($D18,Milestones!$AA$51)&gt;=$S18),$V18,IF(AND($R18&lt;&gt;"",EDATE($D18,Milestones!$AA$51)&gt;=$R18),$U18,$T18)))=Milestones!$AB$51),TEXT(EDATE($D18,Milestones!$AA$51),"dd/mm/yy")&amp;" "&amp;Milestones!$AB$51&amp;" "&amp;Milestones!$AC$51&amp;";  ","")&amp;IF(AND(EDATE($D18,Milestones!$AA$52)&lt;=AsOfDate,IF($Q18=0,$W18,IF(AND($S18&lt;&gt;"",EDATE($D18,Milestones!$AA$52)&gt;=$S18),$V18,IF(AND($R18&lt;&gt;"",EDATE($D18,Milestones!$AA$52)&gt;=$R18),$U18,$T18)))=Milestones!$AB$52),TEXT(EDATE($D18,Milestones!$AA$52),"dd/mm/yy")&amp;" "&amp;Milestones!$AB$52&amp;" "&amp;Milestones!$AC$52&amp;";  ","")&amp;IF(AND(EDATE($D18,Milestones!$AA$53)&lt;=AsOfDate,IF($Q18=0,$W18,IF(AND($S18&lt;&gt;"",EDATE($D18,Milestones!$AA$53)&gt;=$S18),$V18,IF(AND($R18&lt;&gt;"",EDATE($D18,Milestones!$AA$53)&gt;=$R18),$U18,$T18)))=Milestones!$AB$53),TEXT(EDATE($D18,Milestones!$AA$53),"dd/mm/yy")&amp;" "&amp;Milestones!$AB$53&amp;" "&amp;Milestones!$AC$53&amp;";  ","")&amp;IF(AND(EDATE($D18,Milestones!$AA$54)&lt;=AsOfDate,IF($Q18=0,$W18,IF(AND($S18&lt;&gt;"",EDATE($D18,Milestones!$AA$54)&gt;=$S18),$V18,IF(AND($R18&lt;&gt;"",EDATE($D18,Milestones!$AA$54)&gt;=$R18),$U18,$T18)))=Milestones!$AB$54),TEXT(EDATE($D18,Milestones!$AA$54),"dd/mm/yy")&amp;" "&amp;Milestones!$AB$54&amp;" "&amp;Milestones!$AC$54&amp;";  ","")&amp;IF(AND(EDATE($D18,Milestones!$AA$55)&lt;=AsOfDate,IF($Q18=0,$W18,IF(AND($S18&lt;&gt;"",EDATE($D18,Milestones!$AA$55)&gt;=$S18),$V18,IF(AND($R18&lt;&gt;"",EDATE($D18,Milestones!$AA$55)&gt;=$R18),$U18,$T18)))=Milestones!$AB$55),TEXT(EDATE($D18,Milestones!$AA$55),"dd/mm/yy")&amp;" "&amp;Milestones!$AB$55&amp;" "&amp;Milestones!$AC$55&amp;";  ","")&amp;IF(AND(EDATE($D18,Milestones!$AA$56)&lt;=AsOfDate,IF($Q18=0,$W18,IF(AND($S18&lt;&gt;"",EDATE($D18,Milestones!$AA$56)&gt;=$S18),$V18,IF(AND($R18&lt;&gt;"",EDATE($D18,Milestones!$AA$56)&gt;=$R18),$U18,$T18)))=Milestones!$AB$56),TEXT(EDATE($D18,Milestones!$AA$56),"dd/mm/yy")&amp;" "&amp;Milestones!$AB$56&amp;" "&amp;Milestones!$AC$56&amp;";  ","")&amp;IF(AND(EDATE($D18,Milestones!$AA$57)&lt;=AsOfDate,IF($Q18=0,$W18,IF(AND($S18&lt;&gt;"",EDATE($D18,Milestones!$AA$57)&gt;=$S18),$V18,IF(AND($R18&lt;&gt;"",EDATE($D18,Milestones!$AA$57)&gt;=$R18),$U18,$T18)))=Milestones!$AB$57),TEXT(EDATE($D18,Milestones!$AA$57),"dd/mm/yy")&amp;" "&amp;Milestones!$AB$57&amp;" "&amp;Milestones!$AC$57&amp;";  ","")&amp;IF(AND(EDATE($D18,Milestones!$AA$58)&lt;=AsOfDate,IF($Q18=0,$W18,IF(AND($S18&lt;&gt;"",EDATE($D18,Milestones!$AA$58)&gt;=$S18),$V18,IF(AND($R18&lt;&gt;"",EDATE($D18,Milestones!$AA$58)&gt;=$R18),$U18,$T18)))=Milestones!$AB$58),TEXT(EDATE($D18,Milestones!$AA$58),"dd/mm/yy")&amp;" "&amp;Milestones!$AB$58&amp;" "&amp;Milestones!$AC$58&amp;";  ","")&amp;IF(AND(EDATE($D18,Milestones!$AA$59)&lt;=AsOfDate,IF($Q18=0,$W18,IF(AND($S18&lt;&gt;"",EDATE($D18,Milestones!$AA$59)&gt;=$S18),$V18,IF(AND($R18&lt;&gt;"",EDATE($D18,Milestones!$AA$59)&gt;=$R18),$U18,$T18)))=Milestones!$AB$59),TEXT(EDATE($D18,Milestones!$AA$59),"dd/mm/yy")&amp;" "&amp;Milestones!$AB$59&amp;" "&amp;Milestones!$AC$59&amp;";  ",""))</f>
        <v/>
      </c>
      <c r="J18" s="0" t="str">
        <f aca="false">IF(OR($A18="",$D18=""),"",IF(AND(EDATE($D18,Milestones!$AA$60)&lt;=AsOfDate,IF($Q18=0,$W18,IF(AND($S18&lt;&gt;"",EDATE($D18,Milestones!$AA$60)&gt;=$S18),$V18,IF(AND($R18&lt;&gt;"",EDATE($D18,Milestones!$AA$60)&gt;=$R18),$U18,$T18)))=Milestones!$AB$60),TEXT(EDATE($D18,Milestones!$AA$60),"dd/mm/yy")&amp;" "&amp;Milestones!$AB$60&amp;" "&amp;Milestones!$AC$60&amp;";  ","")&amp;IF(AND(EDATE($D18,Milestones!$AA$61)&lt;=AsOfDate,IF($Q18=0,$W18,IF(AND($S18&lt;&gt;"",EDATE($D18,Milestones!$AA$61)&gt;=$S18),$V18,IF(AND($R18&lt;&gt;"",EDATE($D18,Milestones!$AA$61)&gt;=$R18),$U18,$T18)))=Milestones!$AB$61),TEXT(EDATE($D18,Milestones!$AA$61),"dd/mm/yy")&amp;" "&amp;Milestones!$AB$61&amp;" "&amp;Milestones!$AC$61&amp;";  ","")&amp;IF(AND(EDATE($D18,Milestones!$AA$62)&lt;=AsOfDate,IF($Q18=0,$W18,IF(AND($S18&lt;&gt;"",EDATE($D18,Milestones!$AA$62)&gt;=$S18),$V18,IF(AND($R18&lt;&gt;"",EDATE($D18,Milestones!$AA$62)&gt;=$R18),$U18,$T18)))=Milestones!$AB$62),TEXT(EDATE($D18,Milestones!$AA$62),"dd/mm/yy")&amp;" "&amp;Milestones!$AB$62&amp;" "&amp;Milestones!$AC$62&amp;";  ","")&amp;IF(AND(EDATE($D18,Milestones!$AA$63)&lt;=AsOfDate,IF($Q18=0,$W18,IF(AND($S18&lt;&gt;"",EDATE($D18,Milestones!$AA$63)&gt;=$S18),$V18,IF(AND($R18&lt;&gt;"",EDATE($D18,Milestones!$AA$63)&gt;=$R18),$U18,$T18)))=Milestones!$AB$63),TEXT(EDATE($D18,Milestones!$AA$63),"dd/mm/yy")&amp;" "&amp;Milestones!$AB$63&amp;" "&amp;Milestones!$AC$63&amp;";  ","")&amp;IF(AND(EDATE($D18,Milestones!$AA$64)&lt;=AsOfDate,IF($Q18=0,$W18,IF(AND($S18&lt;&gt;"",EDATE($D18,Milestones!$AA$64)&gt;=$S18),$V18,IF(AND($R18&lt;&gt;"",EDATE($D18,Milestones!$AA$64)&gt;=$R18),$U18,$T18)))=Milestones!$AB$64),TEXT(EDATE($D18,Milestones!$AA$64),"dd/mm/yy")&amp;" "&amp;Milestones!$AB$64&amp;" "&amp;Milestones!$AC$64&amp;";  ","")&amp;IF(AND(EDATE($D18,Milestones!$AA$65)&lt;=AsOfDate,IF($Q18=0,$W18,IF(AND($S18&lt;&gt;"",EDATE($D18,Milestones!$AA$65)&gt;=$S18),$V18,IF(AND($R18&lt;&gt;"",EDATE($D18,Milestones!$AA$65)&gt;=$R18),$U18,$T18)))=Milestones!$AB$65),TEXT(EDATE($D18,Milestones!$AA$65),"dd/mm/yy")&amp;" "&amp;Milestones!$AB$65&amp;" "&amp;Milestones!$AC$65&amp;";  ","")&amp;IF(AND(EDATE($D18,Milestones!$AA$66)&lt;=AsOfDate,IF($Q18=0,$W18,IF(AND($S18&lt;&gt;"",EDATE($D18,Milestones!$AA$66)&gt;=$S18),$V18,IF(AND($R18&lt;&gt;"",EDATE($D18,Milestones!$AA$66)&gt;=$R18),$U18,$T18)))=Milestones!$AB$66),TEXT(EDATE($D18,Milestones!$AA$66),"dd/mm/yy")&amp;" "&amp;Milestones!$AB$66&amp;" "&amp;Milestones!$AC$66&amp;";  ","")&amp;IF(AND(EDATE($D18,Milestones!$AA$67)&lt;=AsOfDate,IF($Q18=0,$W18,IF(AND($S18&lt;&gt;"",EDATE($D18,Milestones!$AA$67)&gt;=$S18),$V18,IF(AND($R18&lt;&gt;"",EDATE($D18,Milestones!$AA$67)&gt;=$R18),$U18,$T18)))=Milestones!$AB$67),TEXT(EDATE($D18,Milestones!$AA$67),"dd/mm/yy")&amp;" "&amp;Milestones!$AB$67&amp;" "&amp;Milestones!$AC$67&amp;";  ","")&amp;IF(AND(EDATE($D18,Milestones!$AA$68)&lt;=AsOfDate,IF($Q18=0,$W18,IF(AND($S18&lt;&gt;"",EDATE($D18,Milestones!$AA$68)&gt;=$S18),$V18,IF(AND($R18&lt;&gt;"",EDATE($D18,Milestones!$AA$68)&gt;=$R18),$U18,$T18)))=Milestones!$AB$68),TEXT(EDATE($D18,Milestones!$AA$68),"dd/mm/yy")&amp;" "&amp;Milestones!$AB$68&amp;" "&amp;Milestones!$AC$68&amp;";  ","")&amp;IF(AND(EDATE($D18,Milestones!$AA$69)&lt;=AsOfDate,IF($Q18=0,$W18,IF(AND($S18&lt;&gt;"",EDATE($D18,Milestones!$AA$69)&gt;=$S18),$V18,IF(AND($R18&lt;&gt;"",EDATE($D18,Milestones!$AA$69)&gt;=$R18),$U18,$T18)))=Milestones!$AB$69),TEXT(EDATE($D18,Milestones!$AA$69),"dd/mm/yy")&amp;" "&amp;Milestones!$AB$69&amp;" "&amp;Milestones!$AC$69&amp;";  ","")&amp;IF(AND(EDATE($D18,Milestones!$AA$70)&lt;=AsOfDate,IF($Q18=0,$W18,IF(AND($S18&lt;&gt;"",EDATE($D18,Milestones!$AA$70)&gt;=$S18),$V18,IF(AND($R18&lt;&gt;"",EDATE($D18,Milestones!$AA$70)&gt;=$R18),$U18,$T18)))=Milestones!$AB$70),TEXT(EDATE($D18,Milestones!$AA$70),"dd/mm/yy")&amp;" "&amp;Milestones!$AB$70&amp;" "&amp;Milestones!$AC$70&amp;";  ","")&amp;IF(AND(EDATE($D18,Milestones!$AA$71)&lt;=AsOfDate,IF($Q18=0,$W18,IF(AND($S18&lt;&gt;"",EDATE($D18,Milestones!$AA$71)&gt;=$S18),$V18,IF(AND($R18&lt;&gt;"",EDATE($D18,Milestones!$AA$71)&gt;=$R18),$U18,$T18)))=Milestones!$AB$71),TEXT(EDATE($D18,Milestones!$AA$71),"dd/mm/yy")&amp;" "&amp;Milestones!$AB$71&amp;" "&amp;Milestones!$AC$71&amp;";  ","")&amp;IF(AND(EDATE($D18,Milestones!$AA$72)&lt;=AsOfDate,IF($Q18=0,$W18,IF(AND($S18&lt;&gt;"",EDATE($D18,Milestones!$AA$72)&gt;=$S18),$V18,IF(AND($R18&lt;&gt;"",EDATE($D18,Milestones!$AA$72)&gt;=$R18),$U18,$T18)))=Milestones!$AB$72),TEXT(EDATE($D18,Milestones!$AA$72),"dd/mm/yy")&amp;" "&amp;Milestones!$AB$72&amp;" "&amp;Milestones!$AC$72&amp;";  ","")&amp;IF(AND(EDATE($D18,Milestones!$AA$73)&lt;=AsOfDate,IF($Q18=0,$W18,IF(AND($S18&lt;&gt;"",EDATE($D18,Milestones!$AA$73)&gt;=$S18),$V18,IF(AND($R18&lt;&gt;"",EDATE($D18,Milestones!$AA$73)&gt;=$R18),$U18,$T18)))=Milestones!$AB$73),TEXT(EDATE($D18,Milestones!$AA$73),"dd/mm/yy")&amp;" "&amp;Milestones!$AB$73&amp;" "&amp;Milestones!$AC$73&amp;";  ","")&amp;IF(AND(EDATE($D18,Milestones!$AA$74)&lt;=AsOfDate,IF($Q18=0,$W18,IF(AND($S18&lt;&gt;"",EDATE($D18,Milestones!$AA$74)&gt;=$S18),$V18,IF(AND($R18&lt;&gt;"",EDATE($D18,Milestones!$AA$74)&gt;=$R18),$U18,$T18)))=Milestones!$AB$74),TEXT(EDATE($D18,Milestones!$AA$74),"dd/mm/yy")&amp;" "&amp;Milestones!$AB$74&amp;" "&amp;Milestones!$AC$74&amp;";  ","")&amp;IF(AND(EDATE($D18,Milestones!$AA$75)&lt;=AsOfDate,IF($Q18=0,$W18,IF(AND($S18&lt;&gt;"",EDATE($D18,Milestones!$AA$75)&gt;=$S18),$V18,IF(AND($R18&lt;&gt;"",EDATE($D18,Milestones!$AA$75)&gt;=$R18),$U18,$T18)))=Milestones!$AB$75),TEXT(EDATE($D18,Milestones!$AA$75),"dd/mm/yy")&amp;" "&amp;Milestones!$AB$75&amp;" "&amp;Milestones!$AC$75&amp;";  ","")&amp;IF(AND(EDATE($D18,Milestones!$AA$76)&lt;=AsOfDate,IF($Q18=0,$W18,IF(AND($S18&lt;&gt;"",EDATE($D18,Milestones!$AA$76)&gt;=$S18),$V18,IF(AND($R18&lt;&gt;"",EDATE($D18,Milestones!$AA$76)&gt;=$R18),$U18,$T18)))=Milestones!$AB$76),TEXT(EDATE($D18,Milestones!$AA$76),"dd/mm/yy")&amp;" "&amp;Milestones!$AB$76&amp;" "&amp;Milestones!$AC$76&amp;";  ","")&amp;IF(AND(EDATE($D18,Milestones!$AA$77)&lt;=AsOfDate,IF($Q18=0,$W18,IF(AND($S18&lt;&gt;"",EDATE($D18,Milestones!$AA$77)&gt;=$S18),$V18,IF(AND($R18&lt;&gt;"",EDATE($D18,Milestones!$AA$77)&gt;=$R18),$U18,$T18)))=Milestones!$AB$77),TEXT(EDATE($D18,Milestones!$AA$77),"dd/mm/yy")&amp;" "&amp;Milestones!$AB$77&amp;" "&amp;Milestones!$AC$77&amp;";  ","")&amp;IF(AND(EDATE($D18,Milestones!$AA$78)&lt;=AsOfDate,IF($Q18=0,$W18,IF(AND($S18&lt;&gt;"",EDATE($D18,Milestones!$AA$78)&gt;=$S18),$V18,IF(AND($R18&lt;&gt;"",EDATE($D18,Milestones!$AA$78)&gt;=$R18),$U18,$T18)))=Milestones!$AB$78),TEXT(EDATE($D18,Milestones!$AA$78),"dd/mm/yy")&amp;" "&amp;Milestones!$AB$78&amp;" "&amp;Milestones!$AC$78&amp;";  ","")&amp;IF(AND(EDATE($D18,Milestones!$AA$79)&lt;=AsOfDate,IF($Q18=0,$W18,IF(AND($S18&lt;&gt;"",EDATE($D18,Milestones!$AA$79)&gt;=$S18),$V18,IF(AND($R18&lt;&gt;"",EDATE($D18,Milestones!$AA$79)&gt;=$R18),$U18,$T18)))=Milestones!$AB$79),TEXT(EDATE($D18,Milestones!$AA$79),"dd/mm/yy")&amp;" "&amp;Milestones!$AB$79&amp;" "&amp;Milestones!$AC$79&amp;";  ",""))</f>
        <v/>
      </c>
      <c r="K18" s="0" t="str">
        <f aca="false">IF(OR($A18="",$D18=""),"",IF(AND(EDATE($D18,Milestones!$AA$80)&lt;=AsOfDate,IF($Q18=0,$W18,IF(AND($S18&lt;&gt;"",EDATE($D18,Milestones!$AA$80)&gt;=$S18),$V18,IF(AND($R18&lt;&gt;"",EDATE($D18,Milestones!$AA$80)&gt;=$R18),$U18,$T18)))=Milestones!$AB$80),TEXT(EDATE($D18,Milestones!$AA$80),"dd/mm/yy")&amp;" "&amp;Milestones!$AB$80&amp;" "&amp;Milestones!$AC$80&amp;";  ","")&amp;IF(AND(EDATE($D18,Milestones!$AA$81)&lt;=AsOfDate,IF($Q18=0,$W18,IF(AND($S18&lt;&gt;"",EDATE($D18,Milestones!$AA$81)&gt;=$S18),$V18,IF(AND($R18&lt;&gt;"",EDATE($D18,Milestones!$AA$81)&gt;=$R18),$U18,$T18)))=Milestones!$AB$81),TEXT(EDATE($D18,Milestones!$AA$81),"dd/mm/yy")&amp;" "&amp;Milestones!$AB$81&amp;" "&amp;Milestones!$AC$81&amp;";  ","")&amp;IF(AND(EDATE($D18,Milestones!$AA$82)&lt;=AsOfDate,IF($Q18=0,$W18,IF(AND($S18&lt;&gt;"",EDATE($D18,Milestones!$AA$82)&gt;=$S18),$V18,IF(AND($R18&lt;&gt;"",EDATE($D18,Milestones!$AA$82)&gt;=$R18),$U18,$T18)))=Milestones!$AB$82),TEXT(EDATE($D18,Milestones!$AA$82),"dd/mm/yy")&amp;" "&amp;Milestones!$AB$82&amp;" "&amp;Milestones!$AC$82&amp;";  ","")&amp;IF(AND(EDATE($D18,Milestones!$AA$83)&lt;=AsOfDate,IF($Q18=0,$W18,IF(AND($S18&lt;&gt;"",EDATE($D18,Milestones!$AA$83)&gt;=$S18),$V18,IF(AND($R18&lt;&gt;"",EDATE($D18,Milestones!$AA$83)&gt;=$R18),$U18,$T18)))=Milestones!$AB$83),TEXT(EDATE($D18,Milestones!$AA$83),"dd/mm/yy")&amp;" "&amp;Milestones!$AB$83&amp;" "&amp;Milestones!$AC$83&amp;";  ","")&amp;IF(AND(EDATE($D18,Milestones!$AA$84)&lt;=AsOfDate,IF($Q18=0,$W18,IF(AND($S18&lt;&gt;"",EDATE($D18,Milestones!$AA$84)&gt;=$S18),$V18,IF(AND($R18&lt;&gt;"",EDATE($D18,Milestones!$AA$84)&gt;=$R18),$U18,$T18)))=Milestones!$AB$84),TEXT(EDATE($D18,Milestones!$AA$84),"dd/mm/yy")&amp;" "&amp;Milestones!$AB$84&amp;" "&amp;Milestones!$AC$84&amp;";  ","")&amp;IF(AND(EDATE($D18,Milestones!$AA$85)&lt;=AsOfDate,IF($Q18=0,$W18,IF(AND($S18&lt;&gt;"",EDATE($D18,Milestones!$AA$85)&gt;=$S18),$V18,IF(AND($R18&lt;&gt;"",EDATE($D18,Milestones!$AA$85)&gt;=$R18),$U18,$T18)))=Milestones!$AB$85),TEXT(EDATE($D18,Milestones!$AA$85),"dd/mm/yy")&amp;" "&amp;Milestones!$AB$85&amp;" "&amp;Milestones!$AC$85&amp;";  ","")&amp;IF(AND(EDATE($D18,Milestones!$AA$86)&lt;=AsOfDate,IF($Q18=0,$W18,IF(AND($S18&lt;&gt;"",EDATE($D18,Milestones!$AA$86)&gt;=$S18),$V18,IF(AND($R18&lt;&gt;"",EDATE($D18,Milestones!$AA$86)&gt;=$R18),$U18,$T18)))=Milestones!$AB$86),TEXT(EDATE($D18,Milestones!$AA$86),"dd/mm/yy")&amp;" "&amp;Milestones!$AB$86&amp;" "&amp;Milestones!$AC$86&amp;";  ","")&amp;IF(AND(EDATE($D18,Milestones!$AA$87)&lt;=AsOfDate,IF($Q18=0,$W18,IF(AND($S18&lt;&gt;"",EDATE($D18,Milestones!$AA$87)&gt;=$S18),$V18,IF(AND($R18&lt;&gt;"",EDATE($D18,Milestones!$AA$87)&gt;=$R18),$U18,$T18)))=Milestones!$AB$87),TEXT(EDATE($D18,Milestones!$AA$87),"dd/mm/yy")&amp;" "&amp;Milestones!$AB$87&amp;" "&amp;Milestones!$AC$87&amp;";  ","")&amp;IF(AND(EDATE($D18,Milestones!$AA$88)&lt;=AsOfDate,IF($Q18=0,$W18,IF(AND($S18&lt;&gt;"",EDATE($D18,Milestones!$AA$88)&gt;=$S18),$V18,IF(AND($R18&lt;&gt;"",EDATE($D18,Milestones!$AA$88)&gt;=$R18),$U18,$T18)))=Milestones!$AB$88),TEXT(EDATE($D18,Milestones!$AA$88),"dd/mm/yy")&amp;" "&amp;Milestones!$AB$88&amp;" "&amp;Milestones!$AC$88&amp;";  ","")&amp;IF(AND(EDATE($D18,Milestones!$AA$89)&lt;=AsOfDate,IF($Q18=0,$W18,IF(AND($S18&lt;&gt;"",EDATE($D18,Milestones!$AA$89)&gt;=$S18),$V18,IF(AND($R18&lt;&gt;"",EDATE($D18,Milestones!$AA$89)&gt;=$R18),$U18,$T18)))=Milestones!$AB$89),TEXT(EDATE($D18,Milestones!$AA$89),"dd/mm/yy")&amp;" "&amp;Milestones!$AB$89&amp;" "&amp;Milestones!$AC$89&amp;";  ","")&amp;IF(AND(EDATE($D18,Milestones!$AA$90)&lt;=AsOfDate,IF($Q18=0,$W18,IF(AND($S18&lt;&gt;"",EDATE($D18,Milestones!$AA$90)&gt;=$S18),$V18,IF(AND($R18&lt;&gt;"",EDATE($D18,Milestones!$AA$90)&gt;=$R18),$U18,$T18)))=Milestones!$AB$90),TEXT(EDATE($D18,Milestones!$AA$90),"dd/mm/yy")&amp;" "&amp;Milestones!$AB$90&amp;" "&amp;Milestones!$AC$90&amp;";  ","")&amp;IF(AND(EDATE($D18,Milestones!$AA$91)&lt;=AsOfDate,IF($Q18=0,$W18,IF(AND($S18&lt;&gt;"",EDATE($D18,Milestones!$AA$91)&gt;=$S18),$V18,IF(AND($R18&lt;&gt;"",EDATE($D18,Milestones!$AA$91)&gt;=$R18),$U18,$T18)))=Milestones!$AB$91),TEXT(EDATE($D18,Milestones!$AA$91),"dd/mm/yy")&amp;" "&amp;Milestones!$AB$91&amp;" "&amp;Milestones!$AC$91&amp;";  ","")&amp;IF(AND(EDATE($D18,Milestones!$AA$92)&lt;=AsOfDate,IF($Q18=0,$W18,IF(AND($S18&lt;&gt;"",EDATE($D18,Milestones!$AA$92)&gt;=$S18),$V18,IF(AND($R18&lt;&gt;"",EDATE($D18,Milestones!$AA$92)&gt;=$R18),$U18,$T18)))=Milestones!$AB$92),TEXT(EDATE($D18,Milestones!$AA$92),"dd/mm/yy")&amp;" "&amp;Milestones!$AB$92&amp;" "&amp;Milestones!$AC$92&amp;";  ","")&amp;IF(AND(EDATE($D18,Milestones!$AA$93)&lt;=AsOfDate,IF($Q18=0,$W18,IF(AND($S18&lt;&gt;"",EDATE($D18,Milestones!$AA$93)&gt;=$S18),$V18,IF(AND($R18&lt;&gt;"",EDATE($D18,Milestones!$AA$93)&gt;=$R18),$U18,$T18)))=Milestones!$AB$93),TEXT(EDATE($D18,Milestones!$AA$93),"dd/mm/yy")&amp;" "&amp;Milestones!$AB$93&amp;" "&amp;Milestones!$AC$93&amp;";  ","")&amp;IF(AND(EDATE($D18,Milestones!$AA$94)&lt;=AsOfDate,IF($Q18=0,$W18,IF(AND($S18&lt;&gt;"",EDATE($D18,Milestones!$AA$94)&gt;=$S18),$V18,IF(AND($R18&lt;&gt;"",EDATE($D18,Milestones!$AA$94)&gt;=$R18),$U18,$T18)))=Milestones!$AB$94),TEXT(EDATE($D18,Milestones!$AA$94),"dd/mm/yy")&amp;" "&amp;Milestones!$AB$94&amp;" "&amp;Milestones!$AC$94&amp;";  ","")&amp;IF(AND(EDATE($D18,Milestones!$AA$95)&lt;=AsOfDate,IF($Q18=0,$W18,IF(AND($S18&lt;&gt;"",EDATE($D18,Milestones!$AA$95)&gt;=$S18),$V18,IF(AND($R18&lt;&gt;"",EDATE($D18,Milestones!$AA$95)&gt;=$R18),$U18,$T18)))=Milestones!$AB$95),TEXT(EDATE($D18,Milestones!$AA$95),"dd/mm/yy")&amp;" "&amp;Milestones!$AB$95&amp;" "&amp;Milestones!$AC$95&amp;";  ","")&amp;IF(AND(EDATE($D18,Milestones!$AA$96)&lt;=AsOfDate,IF($Q18=0,$W18,IF(AND($S18&lt;&gt;"",EDATE($D18,Milestones!$AA$96)&gt;=$S18),$V18,IF(AND($R18&lt;&gt;"",EDATE($D18,Milestones!$AA$96)&gt;=$R18),$U18,$T18)))=Milestones!$AB$96),TEXT(EDATE($D18,Milestones!$AA$96),"dd/mm/yy")&amp;" "&amp;Milestones!$AB$96&amp;" "&amp;Milestones!$AC$96&amp;";  ","")&amp;IF(AND(EDATE($D18,Milestones!$AA$97)&lt;=AsOfDate,IF($Q18=0,$W18,IF(AND($S18&lt;&gt;"",EDATE($D18,Milestones!$AA$97)&gt;=$S18),$V18,IF(AND($R18&lt;&gt;"",EDATE($D18,Milestones!$AA$97)&gt;=$R18),$U18,$T18)))=Milestones!$AB$97),TEXT(EDATE($D18,Milestones!$AA$97),"dd/mm/yy")&amp;" "&amp;Milestones!$AB$97&amp;" "&amp;Milestones!$AC$97&amp;";  ","")&amp;IF(AND(EDATE($D18,Milestones!$AA$98)&lt;=AsOfDate,IF($Q18=0,$W18,IF(AND($S18&lt;&gt;"",EDATE($D18,Milestones!$AA$98)&gt;=$S18),$V18,IF(AND($R18&lt;&gt;"",EDATE($D18,Milestones!$AA$98)&gt;=$R18),$U18,$T18)))=Milestones!$AB$98),TEXT(EDATE($D18,Milestones!$AA$98),"dd/mm/yy")&amp;" "&amp;Milestones!$AB$98&amp;" "&amp;Milestones!$AC$98&amp;";  ","")&amp;IF(AND(EDATE($D18,Milestones!$AA$99)&lt;=AsOfDate,IF($Q18=0,$W18,IF(AND($S18&lt;&gt;"",EDATE($D18,Milestones!$AA$99)&gt;=$S18),$V18,IF(AND($R18&lt;&gt;"",EDATE($D18,Milestones!$AA$99)&gt;=$R18),$U18,$T18)))=Milestones!$AB$99),TEXT(EDATE($D18,Milestones!$AA$99),"dd/mm/yy")&amp;" "&amp;Milestones!$AB$99&amp;" "&amp;Milestones!$AC$99&amp;";  ",""))</f>
        <v/>
      </c>
      <c r="L18" s="0" t="str">
        <f aca="false">IF(OR($A18="",$D18=""),"",IF(AND(EDATE($D18,Milestones!$AA$100)&lt;=AsOfDate,IF($Q18=0,$W18,IF(AND($S18&lt;&gt;"",EDATE($D18,Milestones!$AA$100)&gt;=$S18),$V18,IF(AND($R18&lt;&gt;"",EDATE($D18,Milestones!$AA$100)&gt;=$R18),$U18,$T18)))=Milestones!$AB$100),TEXT(EDATE($D18,Milestones!$AA$100),"dd/mm/yy")&amp;" "&amp;Milestones!$AB$100&amp;" "&amp;Milestones!$AC$100&amp;";  ","")&amp;IF(AND(EDATE($D18,Milestones!$AA$101)&lt;=AsOfDate,IF($Q18=0,$W18,IF(AND($S18&lt;&gt;"",EDATE($D18,Milestones!$AA$101)&gt;=$S18),$V18,IF(AND($R18&lt;&gt;"",EDATE($D18,Milestones!$AA$101)&gt;=$R18),$U18,$T18)))=Milestones!$AB$101),TEXT(EDATE($D18,Milestones!$AA$101),"dd/mm/yy")&amp;" "&amp;Milestones!$AB$101&amp;" "&amp;Milestones!$AC$101&amp;";  ","")&amp;IF(AND(EDATE($D18,Milestones!$AA$102)&lt;=AsOfDate,IF($Q18=0,$W18,IF(AND($S18&lt;&gt;"",EDATE($D18,Milestones!$AA$102)&gt;=$S18),$V18,IF(AND($R18&lt;&gt;"",EDATE($D18,Milestones!$AA$102)&gt;=$R18),$U18,$T18)))=Milestones!$AB$102),TEXT(EDATE($D18,Milestones!$AA$102),"dd/mm/yy")&amp;" "&amp;Milestones!$AB$102&amp;" "&amp;Milestones!$AC$102&amp;";  ","")&amp;IF(AND(EDATE($D18,Milestones!$AA$103)&lt;=AsOfDate,IF($Q18=0,$W18,IF(AND($S18&lt;&gt;"",EDATE($D18,Milestones!$AA$103)&gt;=$S18),$V18,IF(AND($R18&lt;&gt;"",EDATE($D18,Milestones!$AA$103)&gt;=$R18),$U18,$T18)))=Milestones!$AB$103),TEXT(EDATE($D18,Milestones!$AA$103),"dd/mm/yy")&amp;" "&amp;Milestones!$AB$103&amp;" "&amp;Milestones!$AC$103&amp;";  ","")&amp;IF(AND(EDATE($D18,Milestones!$AA$104)&lt;=AsOfDate,IF($Q18=0,$W18,IF(AND($S18&lt;&gt;"",EDATE($D18,Milestones!$AA$104)&gt;=$S18),$V18,IF(AND($R18&lt;&gt;"",EDATE($D18,Milestones!$AA$104)&gt;=$R18),$U18,$T18)))=Milestones!$AB$104),TEXT(EDATE($D18,Milestones!$AA$104),"dd/mm/yy")&amp;" "&amp;Milestones!$AB$104&amp;" "&amp;Milestones!$AC$104&amp;";  ","")&amp;IF(AND(EDATE($D18,Milestones!$AA$105)&lt;=AsOfDate,IF($Q18=0,$W18,IF(AND($S18&lt;&gt;"",EDATE($D18,Milestones!$AA$105)&gt;=$S18),$V18,IF(AND($R18&lt;&gt;"",EDATE($D18,Milestones!$AA$105)&gt;=$R18),$U18,$T18)))=Milestones!$AB$105),TEXT(EDATE($D18,Milestones!$AA$105),"dd/mm/yy")&amp;" "&amp;Milestones!$AB$105&amp;" "&amp;Milestones!$AC$105&amp;";  ","")&amp;IF(AND(EDATE($D18,Milestones!$AA$106)&lt;=AsOfDate,IF($Q18=0,$W18,IF(AND($S18&lt;&gt;"",EDATE($D18,Milestones!$AA$106)&gt;=$S18),$V18,IF(AND($R18&lt;&gt;"",EDATE($D18,Milestones!$AA$106)&gt;=$R18),$U18,$T18)))=Milestones!$AB$106),TEXT(EDATE($D18,Milestones!$AA$106),"dd/mm/yy")&amp;" "&amp;Milestones!$AB$106&amp;" "&amp;Milestones!$AC$106&amp;";  ","")&amp;IF(AND(EDATE($D18,Milestones!$AA$107)&lt;=AsOfDate,IF($Q18=0,$W18,IF(AND($S18&lt;&gt;"",EDATE($D18,Milestones!$AA$107)&gt;=$S18),$V18,IF(AND($R18&lt;&gt;"",EDATE($D18,Milestones!$AA$107)&gt;=$R18),$U18,$T18)))=Milestones!$AB$107),TEXT(EDATE($D18,Milestones!$AA$107),"dd/mm/yy")&amp;" "&amp;Milestones!$AB$107&amp;" "&amp;Milestones!$AC$107&amp;";  ","")&amp;IF(AND(EDATE($D18,Milestones!$AA$108)&lt;=AsOfDate,IF($Q18=0,$W18,IF(AND($S18&lt;&gt;"",EDATE($D18,Milestones!$AA$108)&gt;=$S18),$V18,IF(AND($R18&lt;&gt;"",EDATE($D18,Milestones!$AA$108)&gt;=$R18),$U18,$T18)))=Milestones!$AB$108),TEXT(EDATE($D18,Milestones!$AA$108),"dd/mm/yy")&amp;" "&amp;Milestones!$AB$108&amp;" "&amp;Milestones!$AC$108&amp;";  ","")&amp;IF(AND(EDATE($D18,Milestones!$AA$109)&lt;=AsOfDate,IF($Q18=0,$W18,IF(AND($S18&lt;&gt;"",EDATE($D18,Milestones!$AA$109)&gt;=$S18),$V18,IF(AND($R18&lt;&gt;"",EDATE($D18,Milestones!$AA$109)&gt;=$R18),$U18,$T18)))=Milestones!$AB$109),TEXT(EDATE($D18,Milestones!$AA$109),"dd/mm/yy")&amp;" "&amp;Milestones!$AB$109&amp;" "&amp;Milestones!$AC$109&amp;";  ","")&amp;IF(AND(EDATE($D18,Milestones!$AA$110)&lt;=AsOfDate,IF($Q18=0,$W18,IF(AND($S18&lt;&gt;"",EDATE($D18,Milestones!$AA$110)&gt;=$S18),$V18,IF(AND($R18&lt;&gt;"",EDATE($D18,Milestones!$AA$110)&gt;=$R18),$U18,$T18)))=Milestones!$AB$110),TEXT(EDATE($D18,Milestones!$AA$110),"dd/mm/yy")&amp;" "&amp;Milestones!$AB$110&amp;" "&amp;Milestones!$AC$110&amp;";  ","")&amp;IF(AND(EDATE($D18,Milestones!$AA$111)&lt;=AsOfDate,IF($Q18=0,$W18,IF(AND($S18&lt;&gt;"",EDATE($D18,Milestones!$AA$111)&gt;=$S18),$V18,IF(AND($R18&lt;&gt;"",EDATE($D18,Milestones!$AA$111)&gt;=$R18),$U18,$T18)))=Milestones!$AB$111),TEXT(EDATE($D18,Milestones!$AA$111),"dd/mm/yy")&amp;" "&amp;Milestones!$AB$111&amp;" "&amp;Milestones!$AC$111&amp;";  ","")&amp;IF(AND(EDATE($D18,Milestones!$AA$112)&lt;=AsOfDate,IF($Q18=0,$W18,IF(AND($S18&lt;&gt;"",EDATE($D18,Milestones!$AA$112)&gt;=$S18),$V18,IF(AND($R18&lt;&gt;"",EDATE($D18,Milestones!$AA$112)&gt;=$R18),$U18,$T18)))=Milestones!$AB$112),TEXT(EDATE($D18,Milestones!$AA$112),"dd/mm/yy")&amp;" "&amp;Milestones!$AB$112&amp;" "&amp;Milestones!$AC$112&amp;";  ","")&amp;IF(AND(EDATE($D18,Milestones!$AA$113)&lt;=AsOfDate,IF($Q18=0,$W18,IF(AND($S18&lt;&gt;"",EDATE($D18,Milestones!$AA$113)&gt;=$S18),$V18,IF(AND($R18&lt;&gt;"",EDATE($D18,Milestones!$AA$113)&gt;=$R18),$U18,$T18)))=Milestones!$AB$113),TEXT(EDATE($D18,Milestones!$AA$113),"dd/mm/yy")&amp;" "&amp;Milestones!$AB$113&amp;" "&amp;Milestones!$AC$113&amp;";  ","")&amp;IF(AND(EDATE($D18,Milestones!$AA$114)&lt;=AsOfDate,IF($Q18=0,$W18,IF(AND($S18&lt;&gt;"",EDATE($D18,Milestones!$AA$114)&gt;=$S18),$V18,IF(AND($R18&lt;&gt;"",EDATE($D18,Milestones!$AA$114)&gt;=$R18),$U18,$T18)))=Milestones!$AB$114),TEXT(EDATE($D18,Milestones!$AA$114),"dd/mm/yy")&amp;" "&amp;Milestones!$AB$114&amp;" "&amp;Milestones!$AC$114&amp;";  ","")&amp;IF(AND(EDATE($D18,Milestones!$AA$115)&lt;=AsOfDate,IF($Q18=0,$W18,IF(AND($S18&lt;&gt;"",EDATE($D18,Milestones!$AA$115)&gt;=$S18),$V18,IF(AND($R18&lt;&gt;"",EDATE($D18,Milestones!$AA$115)&gt;=$R18),$U18,$T18)))=Milestones!$AB$115),TEXT(EDATE($D18,Milestones!$AA$115),"dd/mm/yy")&amp;" "&amp;Milestones!$AB$115&amp;" "&amp;Milestones!$AC$115&amp;";  ","")&amp;IF(AND(EDATE($D18,Milestones!$AA$116)&lt;=AsOfDate,IF($Q18=0,$W18,IF(AND($S18&lt;&gt;"",EDATE($D18,Milestones!$AA$116)&gt;=$S18),$V18,IF(AND($R18&lt;&gt;"",EDATE($D18,Milestones!$AA$116)&gt;=$R18),$U18,$T18)))=Milestones!$AB$116),TEXT(EDATE($D18,Milestones!$AA$116),"dd/mm/yy")&amp;" "&amp;Milestones!$AB$116&amp;" "&amp;Milestones!$AC$116&amp;";  ","")&amp;IF(AND(EDATE($D18,Milestones!$AA$117)&lt;=AsOfDate,IF($Q18=0,$W18,IF(AND($S18&lt;&gt;"",EDATE($D18,Milestones!$AA$117)&gt;=$S18),$V18,IF(AND($R18&lt;&gt;"",EDATE($D18,Milestones!$AA$117)&gt;=$R18),$U18,$T18)))=Milestones!$AB$117),TEXT(EDATE($D18,Milestones!$AA$117),"dd/mm/yy")&amp;" "&amp;Milestones!$AB$117&amp;" "&amp;Milestones!$AC$117&amp;";  ","")&amp;IF(AND(EDATE($D18,Milestones!$AA$118)&lt;=AsOfDate,IF($Q18=0,$W18,IF(AND($S18&lt;&gt;"",EDATE($D18,Milestones!$AA$118)&gt;=$S18),$V18,IF(AND($R18&lt;&gt;"",EDATE($D18,Milestones!$AA$118)&gt;=$R18),$U18,$T18)))=Milestones!$AB$118),TEXT(EDATE($D18,Milestones!$AA$118),"dd/mm/yy")&amp;" "&amp;Milestones!$AB$118&amp;" "&amp;Milestones!$AC$118&amp;";  ","")&amp;IF(AND(EDATE($D18,Milestones!$AA$119)&lt;=AsOfDate,IF($Q18=0,$W18,IF(AND($S18&lt;&gt;"",EDATE($D18,Milestones!$AA$119)&gt;=$S18),$V18,IF(AND($R18&lt;&gt;"",EDATE($D18,Milestones!$AA$119)&gt;=$R18),$U18,$T18)))=Milestones!$AB$119),TEXT(EDATE($D18,Milestones!$AA$119),"dd/mm/yy")&amp;" "&amp;Milestones!$AB$119&amp;" "&amp;Milestones!$AC$119&amp;";  ",""))</f>
        <v/>
      </c>
      <c r="M18" s="0" t="str">
        <f aca="false">IF(OR($A18="",$D18=""),"",IF(AND(EDATE($D18,Milestones!$AA$120)&lt;=AsOfDate,IF($Q18=0,$W18,IF(AND($S18&lt;&gt;"",EDATE($D18,Milestones!$AA$120)&gt;=$S18),$V18,IF(AND($R18&lt;&gt;"",EDATE($D18,Milestones!$AA$120)&gt;=$R18),$U18,$T18)))=Milestones!$AB$120),TEXT(EDATE($D18,Milestones!$AA$120),"dd/mm/yy")&amp;" "&amp;Milestones!$AB$120&amp;" "&amp;Milestones!$AC$120&amp;";  ","")&amp;IF(AND(EDATE($D18,Milestones!$AA$121)&lt;=AsOfDate,IF($Q18=0,$W18,IF(AND($S18&lt;&gt;"",EDATE($D18,Milestones!$AA$121)&gt;=$S18),$V18,IF(AND($R18&lt;&gt;"",EDATE($D18,Milestones!$AA$121)&gt;=$R18),$U18,$T18)))=Milestones!$AB$121),TEXT(EDATE($D18,Milestones!$AA$121),"dd/mm/yy")&amp;" "&amp;Milestones!$AB$121&amp;" "&amp;Milestones!$AC$121&amp;";  ","")&amp;IF(AND(EDATE($D18,Milestones!$AA$122)&lt;=AsOfDate,IF($Q18=0,$W18,IF(AND($S18&lt;&gt;"",EDATE($D18,Milestones!$AA$122)&gt;=$S18),$V18,IF(AND($R18&lt;&gt;"",EDATE($D18,Milestones!$AA$122)&gt;=$R18),$U18,$T18)))=Milestones!$AB$122),TEXT(EDATE($D18,Milestones!$AA$122),"dd/mm/yy")&amp;" "&amp;Milestones!$AB$122&amp;" "&amp;Milestones!$AC$122&amp;";  ","")&amp;IF(AND(EDATE($D18,Milestones!$AA$123)&lt;=AsOfDate,IF($Q18=0,$W18,IF(AND($S18&lt;&gt;"",EDATE($D18,Milestones!$AA$123)&gt;=$S18),$V18,IF(AND($R18&lt;&gt;"",EDATE($D18,Milestones!$AA$123)&gt;=$R18),$U18,$T18)))=Milestones!$AB$123),TEXT(EDATE($D18,Milestones!$AA$123),"dd/mm/yy")&amp;" "&amp;Milestones!$AB$123&amp;" "&amp;Milestones!$AC$123&amp;";  ","")&amp;IF(AND(EDATE($D18,Milestones!$AA$124)&lt;=AsOfDate,IF($Q18=0,$W18,IF(AND($S18&lt;&gt;"",EDATE($D18,Milestones!$AA$124)&gt;=$S18),$V18,IF(AND($R18&lt;&gt;"",EDATE($D18,Milestones!$AA$124)&gt;=$R18),$U18,$T18)))=Milestones!$AB$124),TEXT(EDATE($D18,Milestones!$AA$124),"dd/mm/yy")&amp;" "&amp;Milestones!$AB$124&amp;" "&amp;Milestones!$AC$124&amp;";  ","")&amp;IF(AND(EDATE($D18,Milestones!$AA$125)&lt;=AsOfDate,IF($Q18=0,$W18,IF(AND($S18&lt;&gt;"",EDATE($D18,Milestones!$AA$125)&gt;=$S18),$V18,IF(AND($R18&lt;&gt;"",EDATE($D18,Milestones!$AA$125)&gt;=$R18),$U18,$T18)))=Milestones!$AB$125),TEXT(EDATE($D18,Milestones!$AA$125),"dd/mm/yy")&amp;" "&amp;Milestones!$AB$125&amp;" "&amp;Milestones!$AC$125&amp;";  ","")&amp;IF(AND(EDATE($D18,Milestones!$AA$126)&lt;=AsOfDate,IF($Q18=0,$W18,IF(AND($S18&lt;&gt;"",EDATE($D18,Milestones!$AA$126)&gt;=$S18),$V18,IF(AND($R18&lt;&gt;"",EDATE($D18,Milestones!$AA$126)&gt;=$R18),$U18,$T18)))=Milestones!$AB$126),TEXT(EDATE($D18,Milestones!$AA$126),"dd/mm/yy")&amp;" "&amp;Milestones!$AB$126&amp;" "&amp;Milestones!$AC$126&amp;";  ","")&amp;IF(AND(EDATE($D18,Milestones!$AA$127)&lt;=AsOfDate,IF($Q18=0,$W18,IF(AND($S18&lt;&gt;"",EDATE($D18,Milestones!$AA$127)&gt;=$S18),$V18,IF(AND($R18&lt;&gt;"",EDATE($D18,Milestones!$AA$127)&gt;=$R18),$U18,$T18)))=Milestones!$AB$127),TEXT(EDATE($D18,Milestones!$AA$127),"dd/mm/yy")&amp;" "&amp;Milestones!$AB$127&amp;" "&amp;Milestones!$AC$127&amp;";  ","")&amp;IF(AND(EDATE($D18,Milestones!$AA$128)&lt;=AsOfDate,IF($Q18=0,$W18,IF(AND($S18&lt;&gt;"",EDATE($D18,Milestones!$AA$128)&gt;=$S18),$V18,IF(AND($R18&lt;&gt;"",EDATE($D18,Milestones!$AA$128)&gt;=$R18),$U18,$T18)))=Milestones!$AB$128),TEXT(EDATE($D18,Milestones!$AA$128),"dd/mm/yy")&amp;" "&amp;Milestones!$AB$128&amp;" "&amp;Milestones!$AC$128&amp;";  ","")&amp;IF(AND(EDATE($D18,Milestones!$AA$129)&lt;=AsOfDate,IF($Q18=0,$W18,IF(AND($S18&lt;&gt;"",EDATE($D18,Milestones!$AA$129)&gt;=$S18),$V18,IF(AND($R18&lt;&gt;"",EDATE($D18,Milestones!$AA$129)&gt;=$R18),$U18,$T18)))=Milestones!$AB$129),TEXT(EDATE($D18,Milestones!$AA$129),"dd/mm/yy")&amp;" "&amp;Milestones!$AB$129&amp;" "&amp;Milestones!$AC$129&amp;";  ","")&amp;IF(AND(EDATE($D18,Milestones!$AA$130)&lt;=AsOfDate,IF($Q18=0,$W18,IF(AND($S18&lt;&gt;"",EDATE($D18,Milestones!$AA$130)&gt;=$S18),$V18,IF(AND($R18&lt;&gt;"",EDATE($D18,Milestones!$AA$130)&gt;=$R18),$U18,$T18)))=Milestones!$AB$130),TEXT(EDATE($D18,Milestones!$AA$130),"dd/mm/yy")&amp;" "&amp;Milestones!$AB$130&amp;" "&amp;Milestones!$AC$130&amp;";  ","")&amp;IF(AND(EDATE($D18,Milestones!$AA$131)&lt;=AsOfDate,IF($Q18=0,$W18,IF(AND($S18&lt;&gt;"",EDATE($D18,Milestones!$AA$131)&gt;=$S18),$V18,IF(AND($R18&lt;&gt;"",EDATE($D18,Milestones!$AA$131)&gt;=$R18),$U18,$T18)))=Milestones!$AB$131),TEXT(EDATE($D18,Milestones!$AA$131),"dd/mm/yy")&amp;" "&amp;Milestones!$AB$131&amp;" "&amp;Milestones!$AC$131&amp;";  ","")&amp;IF(AND(EDATE($D18,Milestones!$AA$132)&lt;=AsOfDate,IF($Q18=0,$W18,IF(AND($S18&lt;&gt;"",EDATE($D18,Milestones!$AA$132)&gt;=$S18),$V18,IF(AND($R18&lt;&gt;"",EDATE($D18,Milestones!$AA$132)&gt;=$R18),$U18,$T18)))=Milestones!$AB$132),TEXT(EDATE($D18,Milestones!$AA$132),"dd/mm/yy")&amp;" "&amp;Milestones!$AB$132&amp;" "&amp;Milestones!$AC$132&amp;";  ","")&amp;IF(AND(EDATE($D18,Milestones!$AA$133)&lt;=AsOfDate,IF($Q18=0,$W18,IF(AND($S18&lt;&gt;"",EDATE($D18,Milestones!$AA$133)&gt;=$S18),$V18,IF(AND($R18&lt;&gt;"",EDATE($D18,Milestones!$AA$133)&gt;=$R18),$U18,$T18)))=Milestones!$AB$133),TEXT(EDATE($D18,Milestones!$AA$133),"dd/mm/yy")&amp;" "&amp;Milestones!$AB$133&amp;" "&amp;Milestones!$AC$133&amp;";  ","")&amp;IF(AND(EDATE($D18,Milestones!$AA$134)&lt;=AsOfDate,IF($Q18=0,$W18,IF(AND($S18&lt;&gt;"",EDATE($D18,Milestones!$AA$134)&gt;=$S18),$V18,IF(AND($R18&lt;&gt;"",EDATE($D18,Milestones!$AA$134)&gt;=$R18),$U18,$T18)))=Milestones!$AB$134),TEXT(EDATE($D18,Milestones!$AA$134),"dd/mm/yy")&amp;" "&amp;Milestones!$AB$134&amp;" "&amp;Milestones!$AC$134&amp;";  ","")&amp;IF(AND(EDATE($D18,Milestones!$AA$135)&lt;=AsOfDate,IF($Q18=0,$W18,IF(AND($S18&lt;&gt;"",EDATE($D18,Milestones!$AA$135)&gt;=$S18),$V18,IF(AND($R18&lt;&gt;"",EDATE($D18,Milestones!$AA$135)&gt;=$R18),$U18,$T18)))=Milestones!$AB$135),TEXT(EDATE($D18,Milestones!$AA$135),"dd/mm/yy")&amp;" "&amp;Milestones!$AB$135&amp;" "&amp;Milestones!$AC$135&amp;";  ","")&amp;IF(AND(EDATE($D18,Milestones!$AA$136)&lt;=AsOfDate,IF($Q18=0,$W18,IF(AND($S18&lt;&gt;"",EDATE($D18,Milestones!$AA$136)&gt;=$S18),$V18,IF(AND($R18&lt;&gt;"",EDATE($D18,Milestones!$AA$136)&gt;=$R18),$U18,$T18)))=Milestones!$AB$136),TEXT(EDATE($D18,Milestones!$AA$136),"dd/mm/yy")&amp;" "&amp;Milestones!$AB$136&amp;" "&amp;Milestones!$AC$136&amp;";  ","")&amp;IF(AND(EDATE($D18,Milestones!$AA$137)&lt;=AsOfDate,IF($Q18=0,$W18,IF(AND($S18&lt;&gt;"",EDATE($D18,Milestones!$AA$137)&gt;=$S18),$V18,IF(AND($R18&lt;&gt;"",EDATE($D18,Milestones!$AA$137)&gt;=$R18),$U18,$T18)))=Milestones!$AB$137),TEXT(EDATE($D18,Milestones!$AA$137),"dd/mm/yy")&amp;" "&amp;Milestones!$AB$137&amp;" "&amp;Milestones!$AC$137&amp;";  ","")&amp;IF(AND(EDATE($D18,Milestones!$AA$138)&lt;=AsOfDate,IF($Q18=0,$W18,IF(AND($S18&lt;&gt;"",EDATE($D18,Milestones!$AA$138)&gt;=$S18),$V18,IF(AND($R18&lt;&gt;"",EDATE($D18,Milestones!$AA$138)&gt;=$R18),$U18,$T18)))=Milestones!$AB$138),TEXT(EDATE($D18,Milestones!$AA$138),"dd/mm/yy")&amp;" "&amp;Milestones!$AB$138&amp;" "&amp;Milestones!$AC$138&amp;";  ","")&amp;IF(AND(EDATE($D18,Milestones!$AA$139)&lt;=AsOfDate,IF($Q18=0,$W18,IF(AND($S18&lt;&gt;"",EDATE($D18,Milestones!$AA$139)&gt;=$S18),$V18,IF(AND($R18&lt;&gt;"",EDATE($D18,Milestones!$AA$139)&gt;=$R18),$U18,$T18)))=Milestones!$AB$139),TEXT(EDATE($D18,Milestones!$AA$139),"dd/mm/yy")&amp;" "&amp;Milestones!$AB$139&amp;" "&amp;Milestones!$AC$139&amp;";  ",""))</f>
        <v/>
      </c>
      <c r="N18" s="0" t="str">
        <f aca="false">IF(OR($A18="",$D18=""),"",IF(AND(EDATE($D18,Milestones!$AA$140)&lt;=AsOfDate,IF($Q18=0,$W18,IF(AND($S18&lt;&gt;"",EDATE($D18,Milestones!$AA$140)&gt;=$S18),$V18,IF(AND($R18&lt;&gt;"",EDATE($D18,Milestones!$AA$140)&gt;=$R18),$U18,$T18)))=Milestones!$AB$140),TEXT(EDATE($D18,Milestones!$AA$140),"dd/mm/yy")&amp;" "&amp;Milestones!$AB$140&amp;" "&amp;Milestones!$AC$140&amp;";  ","")&amp;IF(AND(EDATE($D18,Milestones!$AA$141)&lt;=AsOfDate,IF($Q18=0,$W18,IF(AND($S18&lt;&gt;"",EDATE($D18,Milestones!$AA$141)&gt;=$S18),$V18,IF(AND($R18&lt;&gt;"",EDATE($D18,Milestones!$AA$141)&gt;=$R18),$U18,$T18)))=Milestones!$AB$141),TEXT(EDATE($D18,Milestones!$AA$141),"dd/mm/yy")&amp;" "&amp;Milestones!$AB$141&amp;" "&amp;Milestones!$AC$141&amp;";  ","")&amp;IF(AND(EDATE($D18,Milestones!$AA$142)&lt;=AsOfDate,IF($Q18=0,$W18,IF(AND($S18&lt;&gt;"",EDATE($D18,Milestones!$AA$142)&gt;=$S18),$V18,IF(AND($R18&lt;&gt;"",EDATE($D18,Milestones!$AA$142)&gt;=$R18),$U18,$T18)))=Milestones!$AB$142),TEXT(EDATE($D18,Milestones!$AA$142),"dd/mm/yy")&amp;" "&amp;Milestones!$AB$142&amp;" "&amp;Milestones!$AC$142&amp;";  ","")&amp;IF(AND(EDATE($D18,Milestones!$AA$143)&lt;=AsOfDate,IF($Q18=0,$W18,IF(AND($S18&lt;&gt;"",EDATE($D18,Milestones!$AA$143)&gt;=$S18),$V18,IF(AND($R18&lt;&gt;"",EDATE($D18,Milestones!$AA$143)&gt;=$R18),$U18,$T18)))=Milestones!$AB$143),TEXT(EDATE($D18,Milestones!$AA$143),"dd/mm/yy")&amp;" "&amp;Milestones!$AB$143&amp;" "&amp;Milestones!$AC$143&amp;";  ","")&amp;IF(AND(EDATE($D18,Milestones!$AA$144)&lt;=AsOfDate,IF($Q18=0,$W18,IF(AND($S18&lt;&gt;"",EDATE($D18,Milestones!$AA$144)&gt;=$S18),$V18,IF(AND($R18&lt;&gt;"",EDATE($D18,Milestones!$AA$144)&gt;=$R18),$U18,$T18)))=Milestones!$AB$144),TEXT(EDATE($D18,Milestones!$AA$144),"dd/mm/yy")&amp;" "&amp;Milestones!$AB$144&amp;" "&amp;Milestones!$AC$144&amp;";  ","")&amp;IF(AND(EDATE($D18,Milestones!$AA$145)&lt;=AsOfDate,IF($Q18=0,$W18,IF(AND($S18&lt;&gt;"",EDATE($D18,Milestones!$AA$145)&gt;=$S18),$V18,IF(AND($R18&lt;&gt;"",EDATE($D18,Milestones!$AA$145)&gt;=$R18),$U18,$T18)))=Milestones!$AB$145),TEXT(EDATE($D18,Milestones!$AA$145),"dd/mm/yy")&amp;" "&amp;Milestones!$AB$145&amp;" "&amp;Milestones!$AC$145&amp;";  ","")&amp;IF(AND(EDATE($D18,Milestones!$AA$146)&lt;=AsOfDate,IF($Q18=0,$W18,IF(AND($S18&lt;&gt;"",EDATE($D18,Milestones!$AA$146)&gt;=$S18),$V18,IF(AND($R18&lt;&gt;"",EDATE($D18,Milestones!$AA$146)&gt;=$R18),$U18,$T18)))=Milestones!$AB$146),TEXT(EDATE($D18,Milestones!$AA$146),"dd/mm/yy")&amp;" "&amp;Milestones!$AB$146&amp;" "&amp;Milestones!$AC$146&amp;";  ","")&amp;IF(AND(EDATE($D18,Milestones!$AA$147)&lt;=AsOfDate,IF($Q18=0,$W18,IF(AND($S18&lt;&gt;"",EDATE($D18,Milestones!$AA$147)&gt;=$S18),$V18,IF(AND($R18&lt;&gt;"",EDATE($D18,Milestones!$AA$147)&gt;=$R18),$U18,$T18)))=Milestones!$AB$147),TEXT(EDATE($D18,Milestones!$AA$147),"dd/mm/yy")&amp;" "&amp;Milestones!$AB$147&amp;" "&amp;Milestones!$AC$147&amp;";  ","")&amp;IF(AND(EDATE($D18,Milestones!$AA$148)&lt;=AsOfDate,IF($Q18=0,$W18,IF(AND($S18&lt;&gt;"",EDATE($D18,Milestones!$AA$148)&gt;=$S18),$V18,IF(AND($R18&lt;&gt;"",EDATE($D18,Milestones!$AA$148)&gt;=$R18),$U18,$T18)))=Milestones!$AB$148),TEXT(EDATE($D18,Milestones!$AA$148),"dd/mm/yy")&amp;" "&amp;Milestones!$AB$148&amp;" "&amp;Milestones!$AC$148&amp;";  ","")&amp;IF(AND(EDATE($D18,Milestones!$AA$149)&lt;=AsOfDate,IF($Q18=0,$W18,IF(AND($S18&lt;&gt;"",EDATE($D18,Milestones!$AA$149)&gt;=$S18),$V18,IF(AND($R18&lt;&gt;"",EDATE($D18,Milestones!$AA$149)&gt;=$R18),$U18,$T18)))=Milestones!$AB$149),TEXT(EDATE($D18,Milestones!$AA$149),"dd/mm/yy")&amp;" "&amp;Milestones!$AB$149&amp;" "&amp;Milestones!$AC$149&amp;";  ","")&amp;IF(AND(EDATE($D18,Milestones!$AA$150)&lt;=AsOfDate,IF($Q18=0,$W18,IF(AND($S18&lt;&gt;"",EDATE($D18,Milestones!$AA$150)&gt;=$S18),$V18,IF(AND($R18&lt;&gt;"",EDATE($D18,Milestones!$AA$150)&gt;=$R18),$U18,$T18)))=Milestones!$AB$150),TEXT(EDATE($D18,Milestones!$AA$150),"dd/mm/yy")&amp;" "&amp;Milestones!$AB$150&amp;" "&amp;Milestones!$AC$150&amp;";  ","")&amp;IF(AND(EDATE($D18,Milestones!$AA$151)&lt;=AsOfDate,IF($Q18=0,$W18,IF(AND($S18&lt;&gt;"",EDATE($D18,Milestones!$AA$151)&gt;=$S18),$V18,IF(AND($R18&lt;&gt;"",EDATE($D18,Milestones!$AA$151)&gt;=$R18),$U18,$T18)))=Milestones!$AB$151),TEXT(EDATE($D18,Milestones!$AA$151),"dd/mm/yy")&amp;" "&amp;Milestones!$AB$151&amp;" "&amp;Milestones!$AC$151&amp;";  ","")&amp;IF(AND(EDATE($D18,Milestones!$AA$152)&lt;=AsOfDate,IF($Q18=0,$W18,IF(AND($S18&lt;&gt;"",EDATE($D18,Milestones!$AA$152)&gt;=$S18),$V18,IF(AND($R18&lt;&gt;"",EDATE($D18,Milestones!$AA$152)&gt;=$R18),$U18,$T18)))=Milestones!$AB$152),TEXT(EDATE($D18,Milestones!$AA$152),"dd/mm/yy")&amp;" "&amp;Milestones!$AB$152&amp;" "&amp;Milestones!$AC$152&amp;";  ","")&amp;IF(AND(EDATE($D18,Milestones!$AA$153)&lt;=AsOfDate,IF($Q18=0,$W18,IF(AND($S18&lt;&gt;"",EDATE($D18,Milestones!$AA$153)&gt;=$S18),$V18,IF(AND($R18&lt;&gt;"",EDATE($D18,Milestones!$AA$153)&gt;=$R18),$U18,$T18)))=Milestones!$AB$153),TEXT(EDATE($D18,Milestones!$AA$153),"dd/mm/yy")&amp;" "&amp;Milestones!$AB$153&amp;" "&amp;Milestones!$AC$153&amp;";  ","")&amp;IF(AND(EDATE($D18,Milestones!$AA$154)&lt;=AsOfDate,IF($Q18=0,$W18,IF(AND($S18&lt;&gt;"",EDATE($D18,Milestones!$AA$154)&gt;=$S18),$V18,IF(AND($R18&lt;&gt;"",EDATE($D18,Milestones!$AA$154)&gt;=$R18),$U18,$T18)))=Milestones!$AB$154),TEXT(EDATE($D18,Milestones!$AA$154),"dd/mm/yy")&amp;" "&amp;Milestones!$AB$154&amp;" "&amp;Milestones!$AC$154&amp;";  ","")&amp;IF(AND(EDATE($D18,Milestones!$AA$155)&lt;=AsOfDate,IF($Q18=0,$W18,IF(AND($S18&lt;&gt;"",EDATE($D18,Milestones!$AA$155)&gt;=$S18),$V18,IF(AND($R18&lt;&gt;"",EDATE($D18,Milestones!$AA$155)&gt;=$R18),$U18,$T18)))=Milestones!$AB$155),TEXT(EDATE($D18,Milestones!$AA$155),"dd/mm/yy")&amp;" "&amp;Milestones!$AB$155&amp;" "&amp;Milestones!$AC$155&amp;";  ","")&amp;IF(AND(EDATE($D18,Milestones!$AA$156)&lt;=AsOfDate,IF($Q18=0,$W18,IF(AND($S18&lt;&gt;"",EDATE($D18,Milestones!$AA$156)&gt;=$S18),$V18,IF(AND($R18&lt;&gt;"",EDATE($D18,Milestones!$AA$156)&gt;=$R18),$U18,$T18)))=Milestones!$AB$156),TEXT(EDATE($D18,Milestones!$AA$156),"dd/mm/yy")&amp;" "&amp;Milestones!$AB$156&amp;" "&amp;Milestones!$AC$156&amp;";  ","")&amp;IF(AND(EDATE($D18,Milestones!$AA$157)&lt;=AsOfDate,IF($Q18=0,$W18,IF(AND($S18&lt;&gt;"",EDATE($D18,Milestones!$AA$157)&gt;=$S18),$V18,IF(AND($R18&lt;&gt;"",EDATE($D18,Milestones!$AA$157)&gt;=$R18),$U18,$T18)))=Milestones!$AB$157),TEXT(EDATE($D18,Milestones!$AA$157),"dd/mm/yy")&amp;" "&amp;Milestones!$AB$157&amp;" "&amp;Milestones!$AC$157&amp;";  ","")&amp;IF(AND(EDATE($D18,Milestones!$AA$158)&lt;=AsOfDate,IF($Q18=0,$W18,IF(AND($S18&lt;&gt;"",EDATE($D18,Milestones!$AA$158)&gt;=$S18),$V18,IF(AND($R18&lt;&gt;"",EDATE($D18,Milestones!$AA$158)&gt;=$R18),$U18,$T18)))=Milestones!$AB$158),TEXT(EDATE($D18,Milestones!$AA$158),"dd/mm/yy")&amp;" "&amp;Milestones!$AB$158&amp;" "&amp;Milestones!$AC$158&amp;";  ","")&amp;IF(AND(EDATE($D18,Milestones!$AA$159)&lt;=AsOfDate,IF($Q18=0,$W18,IF(AND($S18&lt;&gt;"",EDATE($D18,Milestones!$AA$159)&gt;=$S18),$V18,IF(AND($R18&lt;&gt;"",EDATE($D18,Milestones!$AA$159)&gt;=$R18),$U18,$T18)))=Milestones!$AB$159),TEXT(EDATE($D18,Milestones!$AA$159),"dd/mm/yy")&amp;" "&amp;Milestones!$AB$159&amp;" "&amp;Milestones!$AC$159&amp;";  ",""))</f>
        <v/>
      </c>
      <c r="O18" s="0" t="str">
        <f aca="false">IF(OR($A18="",$D18=""),"",IF(AND(EDATE($D18,Milestones!$AA$160)&lt;=AsOfDate,IF($Q18=0,$W18,IF(AND($S18&lt;&gt;"",EDATE($D18,Milestones!$AA$160)&gt;=$S18),$V18,IF(AND($R18&lt;&gt;"",EDATE($D18,Milestones!$AA$160)&gt;=$R18),$U18,$T18)))=Milestones!$AB$160),TEXT(EDATE($D18,Milestones!$AA$160),"dd/mm/yy")&amp;" "&amp;Milestones!$AB$160&amp;" "&amp;Milestones!$AC$160&amp;";  ","")&amp;IF(AND(EDATE($D18,Milestones!$AA$161)&lt;=AsOfDate,IF($Q18=0,$W18,IF(AND($S18&lt;&gt;"",EDATE($D18,Milestones!$AA$161)&gt;=$S18),$V18,IF(AND($R18&lt;&gt;"",EDATE($D18,Milestones!$AA$161)&gt;=$R18),$U18,$T18)))=Milestones!$AB$161),TEXT(EDATE($D18,Milestones!$AA$161),"dd/mm/yy")&amp;" "&amp;Milestones!$AB$161&amp;" "&amp;Milestones!$AC$161&amp;";  ","")&amp;IF(AND(EDATE($D18,Milestones!$AA$162)&lt;=AsOfDate,IF($Q18=0,$W18,IF(AND($S18&lt;&gt;"",EDATE($D18,Milestones!$AA$162)&gt;=$S18),$V18,IF(AND($R18&lt;&gt;"",EDATE($D18,Milestones!$AA$162)&gt;=$R18),$U18,$T18)))=Milestones!$AB$162),TEXT(EDATE($D18,Milestones!$AA$162),"dd/mm/yy")&amp;" "&amp;Milestones!$AB$162&amp;" "&amp;Milestones!$AC$162&amp;";  ","")&amp;IF(AND(EDATE($D18,Milestones!$AA$163)&lt;=AsOfDate,IF($Q18=0,$W18,IF(AND($S18&lt;&gt;"",EDATE($D18,Milestones!$AA$163)&gt;=$S18),$V18,IF(AND($R18&lt;&gt;"",EDATE($D18,Milestones!$AA$163)&gt;=$R18),$U18,$T18)))=Milestones!$AB$163),TEXT(EDATE($D18,Milestones!$AA$163),"dd/mm/yy")&amp;" "&amp;Milestones!$AB$163&amp;" "&amp;Milestones!$AC$163&amp;";  ","")&amp;IF(AND(EDATE($D18,Milestones!$AA$164)&lt;=AsOfDate,IF($Q18=0,$W18,IF(AND($S18&lt;&gt;"",EDATE($D18,Milestones!$AA$164)&gt;=$S18),$V18,IF(AND($R18&lt;&gt;"",EDATE($D18,Milestones!$AA$164)&gt;=$R18),$U18,$T18)))=Milestones!$AB$164),TEXT(EDATE($D18,Milestones!$AA$164),"dd/mm/yy")&amp;" "&amp;Milestones!$AB$164&amp;" "&amp;Milestones!$AC$164&amp;";  ","")&amp;IF(AND(EDATE($D18,Milestones!$AA$165)&lt;=AsOfDate,IF($Q18=0,$W18,IF(AND($S18&lt;&gt;"",EDATE($D18,Milestones!$AA$165)&gt;=$S18),$V18,IF(AND($R18&lt;&gt;"",EDATE($D18,Milestones!$AA$165)&gt;=$R18),$U18,$T18)))=Milestones!$AB$165),TEXT(EDATE($D18,Milestones!$AA$165),"dd/mm/yy")&amp;" "&amp;Milestones!$AB$165&amp;" "&amp;Milestones!$AC$165&amp;";  ","")&amp;IF(AND(EDATE($D18,Milestones!$AA$166)&lt;=AsOfDate,IF($Q18=0,$W18,IF(AND($S18&lt;&gt;"",EDATE($D18,Milestones!$AA$166)&gt;=$S18),$V18,IF(AND($R18&lt;&gt;"",EDATE($D18,Milestones!$AA$166)&gt;=$R18),$U18,$T18)))=Milestones!$AB$166),TEXT(EDATE($D18,Milestones!$AA$166),"dd/mm/yy")&amp;" "&amp;Milestones!$AB$166&amp;" "&amp;Milestones!$AC$166&amp;";  ","")&amp;IF(AND(EDATE($D18,Milestones!$AA$167)&lt;=AsOfDate,IF($Q18=0,$W18,IF(AND($S18&lt;&gt;"",EDATE($D18,Milestones!$AA$167)&gt;=$S18),$V18,IF(AND($R18&lt;&gt;"",EDATE($D18,Milestones!$AA$167)&gt;=$R18),$U18,$T18)))=Milestones!$AB$167),TEXT(EDATE($D18,Milestones!$AA$167),"dd/mm/yy")&amp;" "&amp;Milestones!$AB$167&amp;" "&amp;Milestones!$AC$167&amp;";  ","")&amp;IF(AND(EDATE($D18,Milestones!$AA$168)&lt;=AsOfDate,IF($Q18=0,$W18,IF(AND($S18&lt;&gt;"",EDATE($D18,Milestones!$AA$168)&gt;=$S18),$V18,IF(AND($R18&lt;&gt;"",EDATE($D18,Milestones!$AA$168)&gt;=$R18),$U18,$T18)))=Milestones!$AB$168),TEXT(EDATE($D18,Milestones!$AA$168),"dd/mm/yy")&amp;" "&amp;Milestones!$AB$168&amp;" "&amp;Milestones!$AC$168&amp;";  ","")&amp;IF(AND(EDATE($D18,Milestones!$AA$169)&lt;=AsOfDate,IF($Q18=0,$W18,IF(AND($S18&lt;&gt;"",EDATE($D18,Milestones!$AA$169)&gt;=$S18),$V18,IF(AND($R18&lt;&gt;"",EDATE($D18,Milestones!$AA$169)&gt;=$R18),$U18,$T18)))=Milestones!$AB$169),TEXT(EDATE($D18,Milestones!$AA$169),"dd/mm/yy")&amp;" "&amp;Milestones!$AB$169&amp;" "&amp;Milestones!$AC$169&amp;";  ","")&amp;IF(AND(EDATE($D18,Milestones!$AA$170)&lt;=AsOfDate,IF($Q18=0,$W18,IF(AND($S18&lt;&gt;"",EDATE($D18,Milestones!$AA$170)&gt;=$S18),$V18,IF(AND($R18&lt;&gt;"",EDATE($D18,Milestones!$AA$170)&gt;=$R18),$U18,$T18)))=Milestones!$AB$170),TEXT(EDATE($D18,Milestones!$AA$170),"dd/mm/yy")&amp;" "&amp;Milestones!$AB$170&amp;" "&amp;Milestones!$AC$170&amp;";  ","")&amp;IF(AND(EDATE($D18,Milestones!$AA$171)&lt;=AsOfDate,IF($Q18=0,$W18,IF(AND($S18&lt;&gt;"",EDATE($D18,Milestones!$AA$171)&gt;=$S18),$V18,IF(AND($R18&lt;&gt;"",EDATE($D18,Milestones!$AA$171)&gt;=$R18),$U18,$T18)))=Milestones!$AB$171),TEXT(EDATE($D18,Milestones!$AA$171),"dd/mm/yy")&amp;" "&amp;Milestones!$AB$171&amp;" "&amp;Milestones!$AC$171&amp;";  ","")&amp;IF(AND(EDATE($D18,Milestones!$AA$172)&lt;=AsOfDate,IF($Q18=0,$W18,IF(AND($S18&lt;&gt;"",EDATE($D18,Milestones!$AA$172)&gt;=$S18),$V18,IF(AND($R18&lt;&gt;"",EDATE($D18,Milestones!$AA$172)&gt;=$R18),$U18,$T18)))=Milestones!$AB$172),TEXT(EDATE($D18,Milestones!$AA$172),"dd/mm/yy")&amp;" "&amp;Milestones!$AB$172&amp;" "&amp;Milestones!$AC$172&amp;";  ","")&amp;IF(AND(EDATE($D18,Milestones!$AA$173)&lt;=AsOfDate,IF($Q18=0,$W18,IF(AND($S18&lt;&gt;"",EDATE($D18,Milestones!$AA$173)&gt;=$S18),$V18,IF(AND($R18&lt;&gt;"",EDATE($D18,Milestones!$AA$173)&gt;=$R18),$U18,$T18)))=Milestones!$AB$173),TEXT(EDATE($D18,Milestones!$AA$173),"dd/mm/yy")&amp;" "&amp;Milestones!$AB$173&amp;" "&amp;Milestones!$AC$173&amp;";  ","")&amp;IF(AND(EDATE($D18,Milestones!$AA$174)&lt;=AsOfDate,IF($Q18=0,$W18,IF(AND($S18&lt;&gt;"",EDATE($D18,Milestones!$AA$174)&gt;=$S18),$V18,IF(AND($R18&lt;&gt;"",EDATE($D18,Milestones!$AA$174)&gt;=$R18),$U18,$T18)))=Milestones!$AB$174),TEXT(EDATE($D18,Milestones!$AA$174),"dd/mm/yy")&amp;" "&amp;Milestones!$AB$174&amp;" "&amp;Milestones!$AC$174&amp;";  ","")&amp;IF(AND(EDATE($D18,Milestones!$AA$175)&lt;=AsOfDate,IF($Q18=0,$W18,IF(AND($S18&lt;&gt;"",EDATE($D18,Milestones!$AA$175)&gt;=$S18),$V18,IF(AND($R18&lt;&gt;"",EDATE($D18,Milestones!$AA$175)&gt;=$R18),$U18,$T18)))=Milestones!$AB$175),TEXT(EDATE($D18,Milestones!$AA$175),"dd/mm/yy")&amp;" "&amp;Milestones!$AB$175&amp;" "&amp;Milestones!$AC$175&amp;";  ","")&amp;IF(AND(EDATE($D18,Milestones!$AA$176)&lt;=AsOfDate,IF($Q18=0,$W18,IF(AND($S18&lt;&gt;"",EDATE($D18,Milestones!$AA$176)&gt;=$S18),$V18,IF(AND($R18&lt;&gt;"",EDATE($D18,Milestones!$AA$176)&gt;=$R18),$U18,$T18)))=Milestones!$AB$176),TEXT(EDATE($D18,Milestones!$AA$176),"dd/mm/yy")&amp;" "&amp;Milestones!$AB$176&amp;" "&amp;Milestones!$AC$176&amp;";  ","")&amp;IF(AND(EDATE($D18,Milestones!$AA$177)&lt;=AsOfDate,IF($Q18=0,$W18,IF(AND($S18&lt;&gt;"",EDATE($D18,Milestones!$AA$177)&gt;=$S18),$V18,IF(AND($R18&lt;&gt;"",EDATE($D18,Milestones!$AA$177)&gt;=$R18),$U18,$T18)))=Milestones!$AB$177),TEXT(EDATE($D18,Milestones!$AA$177),"dd/mm/yy")&amp;" "&amp;Milestones!$AB$177&amp;" "&amp;Milestones!$AC$177&amp;";  ","")&amp;IF(AND(EDATE($D18,Milestones!$AA$178)&lt;=AsOfDate,IF($Q18=0,$W18,IF(AND($S18&lt;&gt;"",EDATE($D18,Milestones!$AA$178)&gt;=$S18),$V18,IF(AND($R18&lt;&gt;"",EDATE($D18,Milestones!$AA$178)&gt;=$R18),$U18,$T18)))=Milestones!$AB$178),TEXT(EDATE($D18,Milestones!$AA$178),"dd/mm/yy")&amp;" "&amp;Milestones!$AB$178&amp;" "&amp;Milestones!$AC$178&amp;";  ","")&amp;IF(AND(EDATE($D18,Milestones!$AA$179)&lt;=AsOfDate,IF($Q18=0,$W18,IF(AND($S18&lt;&gt;"",EDATE($D18,Milestones!$AA$179)&gt;=$S18),$V18,IF(AND($R18&lt;&gt;"",EDATE($D18,Milestones!$AA$179)&gt;=$R18),$U18,$T18)))=Milestones!$AB$179),TEXT(EDATE($D18,Milestones!$AA$179),"dd/mm/yy")&amp;" "&amp;Milestones!$AB$179&amp;" "&amp;Milestones!$AC$179&amp;";  ",""))</f>
        <v/>
      </c>
      <c r="P18" s="0" t="str">
        <f aca="false">IF(OR($A18="",$D18=""),"",IF(AND(EDATE($D18,Milestones!$AA$180)&lt;=AsOfDate,IF($Q18=0,$W18,IF(AND($S18&lt;&gt;"",EDATE($D18,Milestones!$AA$180)&gt;=$S18),$V18,IF(AND($R18&lt;&gt;"",EDATE($D18,Milestones!$AA$180)&gt;=$R18),$U18,$T18)))=Milestones!$AB$180),TEXT(EDATE($D18,Milestones!$AA$180),"dd/mm/yy")&amp;" "&amp;Milestones!$AB$180&amp;" "&amp;Milestones!$AC$180&amp;";  ","")&amp;IF(AND(EDATE($D18,Milestones!$AA$181)&lt;=AsOfDate,IF($Q18=0,$W18,IF(AND($S18&lt;&gt;"",EDATE($D18,Milestones!$AA$181)&gt;=$S18),$V18,IF(AND($R18&lt;&gt;"",EDATE($D18,Milestones!$AA$181)&gt;=$R18),$U18,$T18)))=Milestones!$AB$181),TEXT(EDATE($D18,Milestones!$AA$181),"dd/mm/yy")&amp;" "&amp;Milestones!$AB$181&amp;" "&amp;Milestones!$AC$181&amp;";  ","")&amp;IF(AND(EDATE($D18,Milestones!$AA$182)&lt;=AsOfDate,IF($Q18=0,$W18,IF(AND($S18&lt;&gt;"",EDATE($D18,Milestones!$AA$182)&gt;=$S18),$V18,IF(AND($R18&lt;&gt;"",EDATE($D18,Milestones!$AA$182)&gt;=$R18),$U18,$T18)))=Milestones!$AB$182),TEXT(EDATE($D18,Milestones!$AA$182),"dd/mm/yy")&amp;" "&amp;Milestones!$AB$182&amp;" "&amp;Milestones!$AC$182&amp;";  ","")&amp;IF(AND(EDATE($D18,Milestones!$AA$183)&lt;=AsOfDate,IF($Q18=0,$W18,IF(AND($S18&lt;&gt;"",EDATE($D18,Milestones!$AA$183)&gt;=$S18),$V18,IF(AND($R18&lt;&gt;"",EDATE($D18,Milestones!$AA$183)&gt;=$R18),$U18,$T18)))=Milestones!$AB$183),TEXT(EDATE($D18,Milestones!$AA$183),"dd/mm/yy")&amp;" "&amp;Milestones!$AB$183&amp;" "&amp;Milestones!$AC$183&amp;";  ","")&amp;IF(AND(EDATE($D18,Milestones!$AA$184)&lt;=AsOfDate,IF($Q18=0,$W18,IF(AND($S18&lt;&gt;"",EDATE($D18,Milestones!$AA$184)&gt;=$S18),$V18,IF(AND($R18&lt;&gt;"",EDATE($D18,Milestones!$AA$184)&gt;=$R18),$U18,$T18)))=Milestones!$AB$184),TEXT(EDATE($D18,Milestones!$AA$184),"dd/mm/yy")&amp;" "&amp;Milestones!$AB$184&amp;" "&amp;Milestones!$AC$184&amp;";  ","")&amp;IF(AND(EDATE($D18,Milestones!$AA$185)&lt;=AsOfDate,IF($Q18=0,$W18,IF(AND($S18&lt;&gt;"",EDATE($D18,Milestones!$AA$185)&gt;=$S18),$V18,IF(AND($R18&lt;&gt;"",EDATE($D18,Milestones!$AA$185)&gt;=$R18),$U18,$T18)))=Milestones!$AB$185),TEXT(EDATE($D18,Milestones!$AA$185),"dd/mm/yy")&amp;" "&amp;Milestones!$AB$185&amp;" "&amp;Milestones!$AC$185&amp;";  ","")&amp;IF(AND(EDATE($D18,Milestones!$AA$186)&lt;=AsOfDate,IF($Q18=0,$W18,IF(AND($S18&lt;&gt;"",EDATE($D18,Milestones!$AA$186)&gt;=$S18),$V18,IF(AND($R18&lt;&gt;"",EDATE($D18,Milestones!$AA$186)&gt;=$R18),$U18,$T18)))=Milestones!$AB$186),TEXT(EDATE($D18,Milestones!$AA$186),"dd/mm/yy")&amp;" "&amp;Milestones!$AB$186&amp;" "&amp;Milestones!$AC$186&amp;";  ","")&amp;IF(AND(EDATE($D18,Milestones!$AA$187)&lt;=AsOfDate,IF($Q18=0,$W18,IF(AND($S18&lt;&gt;"",EDATE($D18,Milestones!$AA$187)&gt;=$S18),$V18,IF(AND($R18&lt;&gt;"",EDATE($D18,Milestones!$AA$187)&gt;=$R18),$U18,$T18)))=Milestones!$AB$187),TEXT(EDATE($D18,Milestones!$AA$187),"dd/mm/yy")&amp;" "&amp;Milestones!$AB$187&amp;" "&amp;Milestones!$AC$187&amp;";  ","")&amp;IF(AND(EDATE($D18,Milestones!$AA$188)&lt;=AsOfDate,IF($Q18=0,$W18,IF(AND($S18&lt;&gt;"",EDATE($D18,Milestones!$AA$188)&gt;=$S18),$V18,IF(AND($R18&lt;&gt;"",EDATE($D18,Milestones!$AA$188)&gt;=$R18),$U18,$T18)))=Milestones!$AB$188),TEXT(EDATE($D18,Milestones!$AA$188),"dd/mm/yy")&amp;" "&amp;Milestones!$AB$188&amp;" "&amp;Milestones!$AC$188&amp;";  ","")&amp;IF(AND(EDATE($D18,Milestones!$AA$189)&lt;=AsOfDate,IF($Q18=0,$W18,IF(AND($S18&lt;&gt;"",EDATE($D18,Milestones!$AA$189)&gt;=$S18),$V18,IF(AND($R18&lt;&gt;"",EDATE($D18,Milestones!$AA$189)&gt;=$R18),$U18,$T18)))=Milestones!$AB$189),TEXT(EDATE($D18,Milestones!$AA$189),"dd/mm/yy")&amp;" "&amp;Milestones!$AB$189&amp;" "&amp;Milestones!$AC$189&amp;";  ","")&amp;IF(AND(EDATE($D18,Milestones!$AA$190)&lt;=AsOfDate,IF($Q18=0,$W18,IF(AND($S18&lt;&gt;"",EDATE($D18,Milestones!$AA$190)&gt;=$S18),$V18,IF(AND($R18&lt;&gt;"",EDATE($D18,Milestones!$AA$190)&gt;=$R18),$U18,$T18)))=Milestones!$AB$190),TEXT(EDATE($D18,Milestones!$AA$190),"dd/mm/yy")&amp;" "&amp;Milestones!$AB$190&amp;" "&amp;Milestones!$AC$190&amp;";  ","")&amp;IF(AND(EDATE($D18,Milestones!$AA$191)&lt;=AsOfDate,IF($Q18=0,$W18,IF(AND($S18&lt;&gt;"",EDATE($D18,Milestones!$AA$191)&gt;=$S18),$V18,IF(AND($R18&lt;&gt;"",EDATE($D18,Milestones!$AA$191)&gt;=$R18),$U18,$T18)))=Milestones!$AB$191),TEXT(EDATE($D18,Milestones!$AA$191),"dd/mm/yy")&amp;" "&amp;Milestones!$AB$191&amp;" "&amp;Milestones!$AC$191&amp;";  ","")&amp;IF(AND(EDATE($D18,Milestones!$AA$192)&lt;=AsOfDate,IF($Q18=0,$W18,IF(AND($S18&lt;&gt;"",EDATE($D18,Milestones!$AA$192)&gt;=$S18),$V18,IF(AND($R18&lt;&gt;"",EDATE($D18,Milestones!$AA$192)&gt;=$R18),$U18,$T18)))=Milestones!$AB$192),TEXT(EDATE($D18,Milestones!$AA$192),"dd/mm/yy")&amp;" "&amp;Milestones!$AB$192&amp;" "&amp;Milestones!$AC$192&amp;";  ","")&amp;IF(AND(EDATE($D18,Milestones!$AA$193)&lt;=AsOfDate,IF($Q18=0,$W18,IF(AND($S18&lt;&gt;"",EDATE($D18,Milestones!$AA$193)&gt;=$S18),$V18,IF(AND($R18&lt;&gt;"",EDATE($D18,Milestones!$AA$193)&gt;=$R18),$U18,$T18)))=Milestones!$AB$193),TEXT(EDATE($D18,Milestones!$AA$193),"dd/mm/yy")&amp;" "&amp;Milestones!$AB$193&amp;" "&amp;Milestones!$AC$193&amp;";  ","")&amp;IF(AND(EDATE($D18,Milestones!$AA$194)&lt;=AsOfDate,IF($Q18=0,$W18,IF(AND($S18&lt;&gt;"",EDATE($D18,Milestones!$AA$194)&gt;=$S18),$V18,IF(AND($R18&lt;&gt;"",EDATE($D18,Milestones!$AA$194)&gt;=$R18),$U18,$T18)))=Milestones!$AB$194),TEXT(EDATE($D18,Milestones!$AA$194),"dd/mm/yy")&amp;" "&amp;Milestones!$AB$194&amp;" "&amp;Milestones!$AC$194&amp;";  ","")&amp;IF(AND(EDATE($D18,Milestones!$AA$195)&lt;=AsOfDate,IF($Q18=0,$W18,IF(AND($S18&lt;&gt;"",EDATE($D18,Milestones!$AA$195)&gt;=$S18),$V18,IF(AND($R18&lt;&gt;"",EDATE($D18,Milestones!$AA$195)&gt;=$R18),$U18,$T18)))=Milestones!$AB$195),TEXT(EDATE($D18,Milestones!$AA$195),"dd/mm/yy")&amp;" "&amp;Milestones!$AB$195&amp;" "&amp;Milestones!$AC$195&amp;";  ","")&amp;IF(AND(EDATE($D18,Milestones!$AA$196)&lt;=AsOfDate,IF($Q18=0,$W18,IF(AND($S18&lt;&gt;"",EDATE($D18,Milestones!$AA$196)&gt;=$S18),$V18,IF(AND($R18&lt;&gt;"",EDATE($D18,Milestones!$AA$196)&gt;=$R18),$U18,$T18)))=Milestones!$AB$196),TEXT(EDATE($D18,Milestones!$AA$196),"dd/mm/yy")&amp;" "&amp;Milestones!$AB$196&amp;" "&amp;Milestones!$AC$196&amp;";  ","")&amp;IF(AND(EDATE($D18,Milestones!$AA$197)&lt;=AsOfDate,IF($Q18=0,$W18,IF(AND($S18&lt;&gt;"",EDATE($D18,Milestones!$AA$197)&gt;=$S18),$V18,IF(AND($R18&lt;&gt;"",EDATE($D18,Milestones!$AA$197)&gt;=$R18),$U18,$T18)))=Milestones!$AB$197),TEXT(EDATE($D18,Milestones!$AA$197),"dd/mm/yy")&amp;" "&amp;Milestones!$AB$197&amp;" "&amp;Milestones!$AC$197&amp;";  ","")&amp;IF(AND(EDATE($D18,Milestones!$AA$198)&lt;=AsOfDate,IF($Q18=0,$W18,IF(AND($S18&lt;&gt;"",EDATE($D18,Milestones!$AA$198)&gt;=$S18),$V18,IF(AND($R18&lt;&gt;"",EDATE($D18,Milestones!$AA$198)&gt;=$R18),$U18,$T18)))=Milestones!$AB$198),TEXT(EDATE($D18,Milestones!$AA$198),"dd/mm/yy")&amp;" "&amp;Milestones!$AB$198&amp;" "&amp;Milestones!$AC$198&amp;";  ","")&amp;IF(AND(EDATE($D18,Milestones!$AA$199)&lt;=AsOfDate,IF($Q18=0,$W18,IF(AND($S18&lt;&gt;"",EDATE($D18,Milestones!$AA$199)&gt;=$S18),$V18,IF(AND($R18&lt;&gt;"",EDATE($D18,Milestones!$AA$199)&gt;=$R18),$U18,$T18)))=Milestones!$AB$199),TEXT(EDATE($D18,Milestones!$AA$199),"dd/mm/yy")&amp;" "&amp;Milestones!$AB$199&amp;" "&amp;Milestones!$AC$199&amp;";  ",""))</f>
        <v/>
      </c>
      <c r="Q18" s="0" t="str">
        <f aca="false">IF(Staff!$A18="","",Staff!$AG18)</f>
        <v/>
      </c>
      <c r="R18" s="0" t="str">
        <f aca="false">IF(Staff!$A18="","",Staff!$AI18)</f>
        <v/>
      </c>
      <c r="S18" s="0" t="str">
        <f aca="false">IF(Staff!$A18="","",Staff!$AJ18)</f>
        <v/>
      </c>
      <c r="T18" s="0" t="str">
        <f aca="false">IF(Staff!$A18="","",Staff!$AN18)</f>
        <v/>
      </c>
      <c r="U18" s="0" t="str">
        <f aca="false">IF(Staff!$A18="","",Staff!$AO18)</f>
        <v/>
      </c>
      <c r="V18" s="0" t="str">
        <f aca="false">IF(Staff!$A18="","",Staff!$AP18)</f>
        <v/>
      </c>
      <c r="W18" s="0" t="str">
        <f aca="false">IF(Staff!$A18="","",Staff!$AQ18)</f>
        <v/>
      </c>
    </row>
    <row r="19" customFormat="false" ht="15" hidden="false" customHeight="false" outlineLevel="0" collapsed="false">
      <c r="A19" s="13" t="str">
        <f aca="false">IF(Staff!$A19="","",Staff!$A19)</f>
        <v/>
      </c>
      <c r="B19" s="13" t="str">
        <f aca="false">IF(Staff!$A19="","",Staff!$B19)</f>
        <v/>
      </c>
      <c r="C19" s="13" t="str">
        <f aca="false">IF(Staff!$A19="","",Staff!$C19)</f>
        <v/>
      </c>
      <c r="D19" s="11" t="str">
        <f aca="false">IF(Staff!$A19="","",Staff!$AF19)</f>
        <v/>
      </c>
      <c r="E19" s="13" t="str">
        <f aca="false">IF(Staff!$A19="","",Staff!$O19)</f>
        <v/>
      </c>
      <c r="F19" s="13" t="str">
        <f aca="false">IF(E19="","",E19*HoursPerDay)</f>
        <v/>
      </c>
      <c r="G19" s="26" t="str">
        <f aca="false">IF($A19="","",H19&amp;I19&amp;J19&amp;K19&amp;L19&amp;M19&amp;N19&amp;O19&amp;P19)</f>
        <v/>
      </c>
      <c r="H19" s="0" t="str">
        <f aca="false">IF(OR($A19="",$D19=""),"",IF(AND(EDATE($D19,Milestones!$AA$20)&lt;=AsOfDate,IF($Q19=0,$W19,IF(AND($S19&lt;&gt;"",EDATE($D19,Milestones!$AA$20)&gt;=$S19),$V19,IF(AND($R19&lt;&gt;"",EDATE($D19,Milestones!$AA$20)&gt;=$R19),$U19,$T19)))=Milestones!$AB$20),TEXT(EDATE($D19,Milestones!$AA$20),"dd/mm/yy")&amp;" "&amp;Milestones!$AB$20&amp;" "&amp;Milestones!$AC$20&amp;";  ","")&amp;IF(AND(EDATE($D19,Milestones!$AA$21)&lt;=AsOfDate,IF($Q19=0,$W19,IF(AND($S19&lt;&gt;"",EDATE($D19,Milestones!$AA$21)&gt;=$S19),$V19,IF(AND($R19&lt;&gt;"",EDATE($D19,Milestones!$AA$21)&gt;=$R19),$U19,$T19)))=Milestones!$AB$21),TEXT(EDATE($D19,Milestones!$AA$21),"dd/mm/yy")&amp;" "&amp;Milestones!$AB$21&amp;" "&amp;Milestones!$AC$21&amp;";  ","")&amp;IF(AND(EDATE($D19,Milestones!$AA$22)&lt;=AsOfDate,IF($Q19=0,$W19,IF(AND($S19&lt;&gt;"",EDATE($D19,Milestones!$AA$22)&gt;=$S19),$V19,IF(AND($R19&lt;&gt;"",EDATE($D19,Milestones!$AA$22)&gt;=$R19),$U19,$T19)))=Milestones!$AB$22),TEXT(EDATE($D19,Milestones!$AA$22),"dd/mm/yy")&amp;" "&amp;Milestones!$AB$22&amp;" "&amp;Milestones!$AC$22&amp;";  ","")&amp;IF(AND(EDATE($D19,Milestones!$AA$23)&lt;=AsOfDate,IF($Q19=0,$W19,IF(AND($S19&lt;&gt;"",EDATE($D19,Milestones!$AA$23)&gt;=$S19),$V19,IF(AND($R19&lt;&gt;"",EDATE($D19,Milestones!$AA$23)&gt;=$R19),$U19,$T19)))=Milestones!$AB$23),TEXT(EDATE($D19,Milestones!$AA$23),"dd/mm/yy")&amp;" "&amp;Milestones!$AB$23&amp;" "&amp;Milestones!$AC$23&amp;";  ","")&amp;IF(AND(EDATE($D19,Milestones!$AA$24)&lt;=AsOfDate,IF($Q19=0,$W19,IF(AND($S19&lt;&gt;"",EDATE($D19,Milestones!$AA$24)&gt;=$S19),$V19,IF(AND($R19&lt;&gt;"",EDATE($D19,Milestones!$AA$24)&gt;=$R19),$U19,$T19)))=Milestones!$AB$24),TEXT(EDATE($D19,Milestones!$AA$24),"dd/mm/yy")&amp;" "&amp;Milestones!$AB$24&amp;" "&amp;Milestones!$AC$24&amp;";  ","")&amp;IF(AND(EDATE($D19,Milestones!$AA$25)&lt;=AsOfDate,IF($Q19=0,$W19,IF(AND($S19&lt;&gt;"",EDATE($D19,Milestones!$AA$25)&gt;=$S19),$V19,IF(AND($R19&lt;&gt;"",EDATE($D19,Milestones!$AA$25)&gt;=$R19),$U19,$T19)))=Milestones!$AB$25),TEXT(EDATE($D19,Milestones!$AA$25),"dd/mm/yy")&amp;" "&amp;Milestones!$AB$25&amp;" "&amp;Milestones!$AC$25&amp;";  ","")&amp;IF(AND(EDATE($D19,Milestones!$AA$26)&lt;=AsOfDate,IF($Q19=0,$W19,IF(AND($S19&lt;&gt;"",EDATE($D19,Milestones!$AA$26)&gt;=$S19),$V19,IF(AND($R19&lt;&gt;"",EDATE($D19,Milestones!$AA$26)&gt;=$R19),$U19,$T19)))=Milestones!$AB$26),TEXT(EDATE($D19,Milestones!$AA$26),"dd/mm/yy")&amp;" "&amp;Milestones!$AB$26&amp;" "&amp;Milestones!$AC$26&amp;";  ","")&amp;IF(AND(EDATE($D19,Milestones!$AA$27)&lt;=AsOfDate,IF($Q19=0,$W19,IF(AND($S19&lt;&gt;"",EDATE($D19,Milestones!$AA$27)&gt;=$S19),$V19,IF(AND($R19&lt;&gt;"",EDATE($D19,Milestones!$AA$27)&gt;=$R19),$U19,$T19)))=Milestones!$AB$27),TEXT(EDATE($D19,Milestones!$AA$27),"dd/mm/yy")&amp;" "&amp;Milestones!$AB$27&amp;" "&amp;Milestones!$AC$27&amp;";  ","")&amp;IF(AND(EDATE($D19,Milestones!$AA$28)&lt;=AsOfDate,IF($Q19=0,$W19,IF(AND($S19&lt;&gt;"",EDATE($D19,Milestones!$AA$28)&gt;=$S19),$V19,IF(AND($R19&lt;&gt;"",EDATE($D19,Milestones!$AA$28)&gt;=$R19),$U19,$T19)))=Milestones!$AB$28),TEXT(EDATE($D19,Milestones!$AA$28),"dd/mm/yy")&amp;" "&amp;Milestones!$AB$28&amp;" "&amp;Milestones!$AC$28&amp;";  ","")&amp;IF(AND(EDATE($D19,Milestones!$AA$29)&lt;=AsOfDate,IF($Q19=0,$W19,IF(AND($S19&lt;&gt;"",EDATE($D19,Milestones!$AA$29)&gt;=$S19),$V19,IF(AND($R19&lt;&gt;"",EDATE($D19,Milestones!$AA$29)&gt;=$R19),$U19,$T19)))=Milestones!$AB$29),TEXT(EDATE($D19,Milestones!$AA$29),"dd/mm/yy")&amp;" "&amp;Milestones!$AB$29&amp;" "&amp;Milestones!$AC$29&amp;";  ","")&amp;IF(AND(EDATE($D19,Milestones!$AA$30)&lt;=AsOfDate,IF($Q19=0,$W19,IF(AND($S19&lt;&gt;"",EDATE($D19,Milestones!$AA$30)&gt;=$S19),$V19,IF(AND($R19&lt;&gt;"",EDATE($D19,Milestones!$AA$30)&gt;=$R19),$U19,$T19)))=Milestones!$AB$30),TEXT(EDATE($D19,Milestones!$AA$30),"dd/mm/yy")&amp;" "&amp;Milestones!$AB$30&amp;" "&amp;Milestones!$AC$30&amp;";  ","")&amp;IF(AND(EDATE($D19,Milestones!$AA$31)&lt;=AsOfDate,IF($Q19=0,$W19,IF(AND($S19&lt;&gt;"",EDATE($D19,Milestones!$AA$31)&gt;=$S19),$V19,IF(AND($R19&lt;&gt;"",EDATE($D19,Milestones!$AA$31)&gt;=$R19),$U19,$T19)))=Milestones!$AB$31),TEXT(EDATE($D19,Milestones!$AA$31),"dd/mm/yy")&amp;" "&amp;Milestones!$AB$31&amp;" "&amp;Milestones!$AC$31&amp;";  ","")&amp;IF(AND(EDATE($D19,Milestones!$AA$32)&lt;=AsOfDate,IF($Q19=0,$W19,IF(AND($S19&lt;&gt;"",EDATE($D19,Milestones!$AA$32)&gt;=$S19),$V19,IF(AND($R19&lt;&gt;"",EDATE($D19,Milestones!$AA$32)&gt;=$R19),$U19,$T19)))=Milestones!$AB$32),TEXT(EDATE($D19,Milestones!$AA$32),"dd/mm/yy")&amp;" "&amp;Milestones!$AB$32&amp;" "&amp;Milestones!$AC$32&amp;";  ","")&amp;IF(AND(EDATE($D19,Milestones!$AA$33)&lt;=AsOfDate,IF($Q19=0,$W19,IF(AND($S19&lt;&gt;"",EDATE($D19,Milestones!$AA$33)&gt;=$S19),$V19,IF(AND($R19&lt;&gt;"",EDATE($D19,Milestones!$AA$33)&gt;=$R19),$U19,$T19)))=Milestones!$AB$33),TEXT(EDATE($D19,Milestones!$AA$33),"dd/mm/yy")&amp;" "&amp;Milestones!$AB$33&amp;" "&amp;Milestones!$AC$33&amp;";  ","")&amp;IF(AND(EDATE($D19,Milestones!$AA$34)&lt;=AsOfDate,IF($Q19=0,$W19,IF(AND($S19&lt;&gt;"",EDATE($D19,Milestones!$AA$34)&gt;=$S19),$V19,IF(AND($R19&lt;&gt;"",EDATE($D19,Milestones!$AA$34)&gt;=$R19),$U19,$T19)))=Milestones!$AB$34),TEXT(EDATE($D19,Milestones!$AA$34),"dd/mm/yy")&amp;" "&amp;Milestones!$AB$34&amp;" "&amp;Milestones!$AC$34&amp;";  ","")&amp;IF(AND(EDATE($D19,Milestones!$AA$35)&lt;=AsOfDate,IF($Q19=0,$W19,IF(AND($S19&lt;&gt;"",EDATE($D19,Milestones!$AA$35)&gt;=$S19),$V19,IF(AND($R19&lt;&gt;"",EDATE($D19,Milestones!$AA$35)&gt;=$R19),$U19,$T19)))=Milestones!$AB$35),TEXT(EDATE($D19,Milestones!$AA$35),"dd/mm/yy")&amp;" "&amp;Milestones!$AB$35&amp;" "&amp;Milestones!$AC$35&amp;";  ","")&amp;IF(AND(EDATE($D19,Milestones!$AA$36)&lt;=AsOfDate,IF($Q19=0,$W19,IF(AND($S19&lt;&gt;"",EDATE($D19,Milestones!$AA$36)&gt;=$S19),$V19,IF(AND($R19&lt;&gt;"",EDATE($D19,Milestones!$AA$36)&gt;=$R19),$U19,$T19)))=Milestones!$AB$36),TEXT(EDATE($D19,Milestones!$AA$36),"dd/mm/yy")&amp;" "&amp;Milestones!$AB$36&amp;" "&amp;Milestones!$AC$36&amp;";  ","")&amp;IF(AND(EDATE($D19,Milestones!$AA$37)&lt;=AsOfDate,IF($Q19=0,$W19,IF(AND($S19&lt;&gt;"",EDATE($D19,Milestones!$AA$37)&gt;=$S19),$V19,IF(AND($R19&lt;&gt;"",EDATE($D19,Milestones!$AA$37)&gt;=$R19),$U19,$T19)))=Milestones!$AB$37),TEXT(EDATE($D19,Milestones!$AA$37),"dd/mm/yy")&amp;" "&amp;Milestones!$AB$37&amp;" "&amp;Milestones!$AC$37&amp;";  ","")&amp;IF(AND(EDATE($D19,Milestones!$AA$38)&lt;=AsOfDate,IF($Q19=0,$W19,IF(AND($S19&lt;&gt;"",EDATE($D19,Milestones!$AA$38)&gt;=$S19),$V19,IF(AND($R19&lt;&gt;"",EDATE($D19,Milestones!$AA$38)&gt;=$R19),$U19,$T19)))=Milestones!$AB$38),TEXT(EDATE($D19,Milestones!$AA$38),"dd/mm/yy")&amp;" "&amp;Milestones!$AB$38&amp;" "&amp;Milestones!$AC$38&amp;";  ","")&amp;IF(AND(EDATE($D19,Milestones!$AA$39)&lt;=AsOfDate,IF($Q19=0,$W19,IF(AND($S19&lt;&gt;"",EDATE($D19,Milestones!$AA$39)&gt;=$S19),$V19,IF(AND($R19&lt;&gt;"",EDATE($D19,Milestones!$AA$39)&gt;=$R19),$U19,$T19)))=Milestones!$AB$39),TEXT(EDATE($D19,Milestones!$AA$39),"dd/mm/yy")&amp;" "&amp;Milestones!$AB$39&amp;" "&amp;Milestones!$AC$39&amp;";  ",""))</f>
        <v/>
      </c>
      <c r="I19" s="0" t="str">
        <f aca="false">IF(OR($A19="",$D19=""),"",IF(AND(EDATE($D19,Milestones!$AA$40)&lt;=AsOfDate,IF($Q19=0,$W19,IF(AND($S19&lt;&gt;"",EDATE($D19,Milestones!$AA$40)&gt;=$S19),$V19,IF(AND($R19&lt;&gt;"",EDATE($D19,Milestones!$AA$40)&gt;=$R19),$U19,$T19)))=Milestones!$AB$40),TEXT(EDATE($D19,Milestones!$AA$40),"dd/mm/yy")&amp;" "&amp;Milestones!$AB$40&amp;" "&amp;Milestones!$AC$40&amp;";  ","")&amp;IF(AND(EDATE($D19,Milestones!$AA$41)&lt;=AsOfDate,IF($Q19=0,$W19,IF(AND($S19&lt;&gt;"",EDATE($D19,Milestones!$AA$41)&gt;=$S19),$V19,IF(AND($R19&lt;&gt;"",EDATE($D19,Milestones!$AA$41)&gt;=$R19),$U19,$T19)))=Milestones!$AB$41),TEXT(EDATE($D19,Milestones!$AA$41),"dd/mm/yy")&amp;" "&amp;Milestones!$AB$41&amp;" "&amp;Milestones!$AC$41&amp;";  ","")&amp;IF(AND(EDATE($D19,Milestones!$AA$42)&lt;=AsOfDate,IF($Q19=0,$W19,IF(AND($S19&lt;&gt;"",EDATE($D19,Milestones!$AA$42)&gt;=$S19),$V19,IF(AND($R19&lt;&gt;"",EDATE($D19,Milestones!$AA$42)&gt;=$R19),$U19,$T19)))=Milestones!$AB$42),TEXT(EDATE($D19,Milestones!$AA$42),"dd/mm/yy")&amp;" "&amp;Milestones!$AB$42&amp;" "&amp;Milestones!$AC$42&amp;";  ","")&amp;IF(AND(EDATE($D19,Milestones!$AA$43)&lt;=AsOfDate,IF($Q19=0,$W19,IF(AND($S19&lt;&gt;"",EDATE($D19,Milestones!$AA$43)&gt;=$S19),$V19,IF(AND($R19&lt;&gt;"",EDATE($D19,Milestones!$AA$43)&gt;=$R19),$U19,$T19)))=Milestones!$AB$43),TEXT(EDATE($D19,Milestones!$AA$43),"dd/mm/yy")&amp;" "&amp;Milestones!$AB$43&amp;" "&amp;Milestones!$AC$43&amp;";  ","")&amp;IF(AND(EDATE($D19,Milestones!$AA$44)&lt;=AsOfDate,IF($Q19=0,$W19,IF(AND($S19&lt;&gt;"",EDATE($D19,Milestones!$AA$44)&gt;=$S19),$V19,IF(AND($R19&lt;&gt;"",EDATE($D19,Milestones!$AA$44)&gt;=$R19),$U19,$T19)))=Milestones!$AB$44),TEXT(EDATE($D19,Milestones!$AA$44),"dd/mm/yy")&amp;" "&amp;Milestones!$AB$44&amp;" "&amp;Milestones!$AC$44&amp;";  ","")&amp;IF(AND(EDATE($D19,Milestones!$AA$45)&lt;=AsOfDate,IF($Q19=0,$W19,IF(AND($S19&lt;&gt;"",EDATE($D19,Milestones!$AA$45)&gt;=$S19),$V19,IF(AND($R19&lt;&gt;"",EDATE($D19,Milestones!$AA$45)&gt;=$R19),$U19,$T19)))=Milestones!$AB$45),TEXT(EDATE($D19,Milestones!$AA$45),"dd/mm/yy")&amp;" "&amp;Milestones!$AB$45&amp;" "&amp;Milestones!$AC$45&amp;";  ","")&amp;IF(AND(EDATE($D19,Milestones!$AA$46)&lt;=AsOfDate,IF($Q19=0,$W19,IF(AND($S19&lt;&gt;"",EDATE($D19,Milestones!$AA$46)&gt;=$S19),$V19,IF(AND($R19&lt;&gt;"",EDATE($D19,Milestones!$AA$46)&gt;=$R19),$U19,$T19)))=Milestones!$AB$46),TEXT(EDATE($D19,Milestones!$AA$46),"dd/mm/yy")&amp;" "&amp;Milestones!$AB$46&amp;" "&amp;Milestones!$AC$46&amp;";  ","")&amp;IF(AND(EDATE($D19,Milestones!$AA$47)&lt;=AsOfDate,IF($Q19=0,$W19,IF(AND($S19&lt;&gt;"",EDATE($D19,Milestones!$AA$47)&gt;=$S19),$V19,IF(AND($R19&lt;&gt;"",EDATE($D19,Milestones!$AA$47)&gt;=$R19),$U19,$T19)))=Milestones!$AB$47),TEXT(EDATE($D19,Milestones!$AA$47),"dd/mm/yy")&amp;" "&amp;Milestones!$AB$47&amp;" "&amp;Milestones!$AC$47&amp;";  ","")&amp;IF(AND(EDATE($D19,Milestones!$AA$48)&lt;=AsOfDate,IF($Q19=0,$W19,IF(AND($S19&lt;&gt;"",EDATE($D19,Milestones!$AA$48)&gt;=$S19),$V19,IF(AND($R19&lt;&gt;"",EDATE($D19,Milestones!$AA$48)&gt;=$R19),$U19,$T19)))=Milestones!$AB$48),TEXT(EDATE($D19,Milestones!$AA$48),"dd/mm/yy")&amp;" "&amp;Milestones!$AB$48&amp;" "&amp;Milestones!$AC$48&amp;";  ","")&amp;IF(AND(EDATE($D19,Milestones!$AA$49)&lt;=AsOfDate,IF($Q19=0,$W19,IF(AND($S19&lt;&gt;"",EDATE($D19,Milestones!$AA$49)&gt;=$S19),$V19,IF(AND($R19&lt;&gt;"",EDATE($D19,Milestones!$AA$49)&gt;=$R19),$U19,$T19)))=Milestones!$AB$49),TEXT(EDATE($D19,Milestones!$AA$49),"dd/mm/yy")&amp;" "&amp;Milestones!$AB$49&amp;" "&amp;Milestones!$AC$49&amp;";  ","")&amp;IF(AND(EDATE($D19,Milestones!$AA$50)&lt;=AsOfDate,IF($Q19=0,$W19,IF(AND($S19&lt;&gt;"",EDATE($D19,Milestones!$AA$50)&gt;=$S19),$V19,IF(AND($R19&lt;&gt;"",EDATE($D19,Milestones!$AA$50)&gt;=$R19),$U19,$T19)))=Milestones!$AB$50),TEXT(EDATE($D19,Milestones!$AA$50),"dd/mm/yy")&amp;" "&amp;Milestones!$AB$50&amp;" "&amp;Milestones!$AC$50&amp;";  ","")&amp;IF(AND(EDATE($D19,Milestones!$AA$51)&lt;=AsOfDate,IF($Q19=0,$W19,IF(AND($S19&lt;&gt;"",EDATE($D19,Milestones!$AA$51)&gt;=$S19),$V19,IF(AND($R19&lt;&gt;"",EDATE($D19,Milestones!$AA$51)&gt;=$R19),$U19,$T19)))=Milestones!$AB$51),TEXT(EDATE($D19,Milestones!$AA$51),"dd/mm/yy")&amp;" "&amp;Milestones!$AB$51&amp;" "&amp;Milestones!$AC$51&amp;";  ","")&amp;IF(AND(EDATE($D19,Milestones!$AA$52)&lt;=AsOfDate,IF($Q19=0,$W19,IF(AND($S19&lt;&gt;"",EDATE($D19,Milestones!$AA$52)&gt;=$S19),$V19,IF(AND($R19&lt;&gt;"",EDATE($D19,Milestones!$AA$52)&gt;=$R19),$U19,$T19)))=Milestones!$AB$52),TEXT(EDATE($D19,Milestones!$AA$52),"dd/mm/yy")&amp;" "&amp;Milestones!$AB$52&amp;" "&amp;Milestones!$AC$52&amp;";  ","")&amp;IF(AND(EDATE($D19,Milestones!$AA$53)&lt;=AsOfDate,IF($Q19=0,$W19,IF(AND($S19&lt;&gt;"",EDATE($D19,Milestones!$AA$53)&gt;=$S19),$V19,IF(AND($R19&lt;&gt;"",EDATE($D19,Milestones!$AA$53)&gt;=$R19),$U19,$T19)))=Milestones!$AB$53),TEXT(EDATE($D19,Milestones!$AA$53),"dd/mm/yy")&amp;" "&amp;Milestones!$AB$53&amp;" "&amp;Milestones!$AC$53&amp;";  ","")&amp;IF(AND(EDATE($D19,Milestones!$AA$54)&lt;=AsOfDate,IF($Q19=0,$W19,IF(AND($S19&lt;&gt;"",EDATE($D19,Milestones!$AA$54)&gt;=$S19),$V19,IF(AND($R19&lt;&gt;"",EDATE($D19,Milestones!$AA$54)&gt;=$R19),$U19,$T19)))=Milestones!$AB$54),TEXT(EDATE($D19,Milestones!$AA$54),"dd/mm/yy")&amp;" "&amp;Milestones!$AB$54&amp;" "&amp;Milestones!$AC$54&amp;";  ","")&amp;IF(AND(EDATE($D19,Milestones!$AA$55)&lt;=AsOfDate,IF($Q19=0,$W19,IF(AND($S19&lt;&gt;"",EDATE($D19,Milestones!$AA$55)&gt;=$S19),$V19,IF(AND($R19&lt;&gt;"",EDATE($D19,Milestones!$AA$55)&gt;=$R19),$U19,$T19)))=Milestones!$AB$55),TEXT(EDATE($D19,Milestones!$AA$55),"dd/mm/yy")&amp;" "&amp;Milestones!$AB$55&amp;" "&amp;Milestones!$AC$55&amp;";  ","")&amp;IF(AND(EDATE($D19,Milestones!$AA$56)&lt;=AsOfDate,IF($Q19=0,$W19,IF(AND($S19&lt;&gt;"",EDATE($D19,Milestones!$AA$56)&gt;=$S19),$V19,IF(AND($R19&lt;&gt;"",EDATE($D19,Milestones!$AA$56)&gt;=$R19),$U19,$T19)))=Milestones!$AB$56),TEXT(EDATE($D19,Milestones!$AA$56),"dd/mm/yy")&amp;" "&amp;Milestones!$AB$56&amp;" "&amp;Milestones!$AC$56&amp;";  ","")&amp;IF(AND(EDATE($D19,Milestones!$AA$57)&lt;=AsOfDate,IF($Q19=0,$W19,IF(AND($S19&lt;&gt;"",EDATE($D19,Milestones!$AA$57)&gt;=$S19),$V19,IF(AND($R19&lt;&gt;"",EDATE($D19,Milestones!$AA$57)&gt;=$R19),$U19,$T19)))=Milestones!$AB$57),TEXT(EDATE($D19,Milestones!$AA$57),"dd/mm/yy")&amp;" "&amp;Milestones!$AB$57&amp;" "&amp;Milestones!$AC$57&amp;";  ","")&amp;IF(AND(EDATE($D19,Milestones!$AA$58)&lt;=AsOfDate,IF($Q19=0,$W19,IF(AND($S19&lt;&gt;"",EDATE($D19,Milestones!$AA$58)&gt;=$S19),$V19,IF(AND($R19&lt;&gt;"",EDATE($D19,Milestones!$AA$58)&gt;=$R19),$U19,$T19)))=Milestones!$AB$58),TEXT(EDATE($D19,Milestones!$AA$58),"dd/mm/yy")&amp;" "&amp;Milestones!$AB$58&amp;" "&amp;Milestones!$AC$58&amp;";  ","")&amp;IF(AND(EDATE($D19,Milestones!$AA$59)&lt;=AsOfDate,IF($Q19=0,$W19,IF(AND($S19&lt;&gt;"",EDATE($D19,Milestones!$AA$59)&gt;=$S19),$V19,IF(AND($R19&lt;&gt;"",EDATE($D19,Milestones!$AA$59)&gt;=$R19),$U19,$T19)))=Milestones!$AB$59),TEXT(EDATE($D19,Milestones!$AA$59),"dd/mm/yy")&amp;" "&amp;Milestones!$AB$59&amp;" "&amp;Milestones!$AC$59&amp;";  ",""))</f>
        <v/>
      </c>
      <c r="J19" s="0" t="str">
        <f aca="false">IF(OR($A19="",$D19=""),"",IF(AND(EDATE($D19,Milestones!$AA$60)&lt;=AsOfDate,IF($Q19=0,$W19,IF(AND($S19&lt;&gt;"",EDATE($D19,Milestones!$AA$60)&gt;=$S19),$V19,IF(AND($R19&lt;&gt;"",EDATE($D19,Milestones!$AA$60)&gt;=$R19),$U19,$T19)))=Milestones!$AB$60),TEXT(EDATE($D19,Milestones!$AA$60),"dd/mm/yy")&amp;" "&amp;Milestones!$AB$60&amp;" "&amp;Milestones!$AC$60&amp;";  ","")&amp;IF(AND(EDATE($D19,Milestones!$AA$61)&lt;=AsOfDate,IF($Q19=0,$W19,IF(AND($S19&lt;&gt;"",EDATE($D19,Milestones!$AA$61)&gt;=$S19),$V19,IF(AND($R19&lt;&gt;"",EDATE($D19,Milestones!$AA$61)&gt;=$R19),$U19,$T19)))=Milestones!$AB$61),TEXT(EDATE($D19,Milestones!$AA$61),"dd/mm/yy")&amp;" "&amp;Milestones!$AB$61&amp;" "&amp;Milestones!$AC$61&amp;";  ","")&amp;IF(AND(EDATE($D19,Milestones!$AA$62)&lt;=AsOfDate,IF($Q19=0,$W19,IF(AND($S19&lt;&gt;"",EDATE($D19,Milestones!$AA$62)&gt;=$S19),$V19,IF(AND($R19&lt;&gt;"",EDATE($D19,Milestones!$AA$62)&gt;=$R19),$U19,$T19)))=Milestones!$AB$62),TEXT(EDATE($D19,Milestones!$AA$62),"dd/mm/yy")&amp;" "&amp;Milestones!$AB$62&amp;" "&amp;Milestones!$AC$62&amp;";  ","")&amp;IF(AND(EDATE($D19,Milestones!$AA$63)&lt;=AsOfDate,IF($Q19=0,$W19,IF(AND($S19&lt;&gt;"",EDATE($D19,Milestones!$AA$63)&gt;=$S19),$V19,IF(AND($R19&lt;&gt;"",EDATE($D19,Milestones!$AA$63)&gt;=$R19),$U19,$T19)))=Milestones!$AB$63),TEXT(EDATE($D19,Milestones!$AA$63),"dd/mm/yy")&amp;" "&amp;Milestones!$AB$63&amp;" "&amp;Milestones!$AC$63&amp;";  ","")&amp;IF(AND(EDATE($D19,Milestones!$AA$64)&lt;=AsOfDate,IF($Q19=0,$W19,IF(AND($S19&lt;&gt;"",EDATE($D19,Milestones!$AA$64)&gt;=$S19),$V19,IF(AND($R19&lt;&gt;"",EDATE($D19,Milestones!$AA$64)&gt;=$R19),$U19,$T19)))=Milestones!$AB$64),TEXT(EDATE($D19,Milestones!$AA$64),"dd/mm/yy")&amp;" "&amp;Milestones!$AB$64&amp;" "&amp;Milestones!$AC$64&amp;";  ","")&amp;IF(AND(EDATE($D19,Milestones!$AA$65)&lt;=AsOfDate,IF($Q19=0,$W19,IF(AND($S19&lt;&gt;"",EDATE($D19,Milestones!$AA$65)&gt;=$S19),$V19,IF(AND($R19&lt;&gt;"",EDATE($D19,Milestones!$AA$65)&gt;=$R19),$U19,$T19)))=Milestones!$AB$65),TEXT(EDATE($D19,Milestones!$AA$65),"dd/mm/yy")&amp;" "&amp;Milestones!$AB$65&amp;" "&amp;Milestones!$AC$65&amp;";  ","")&amp;IF(AND(EDATE($D19,Milestones!$AA$66)&lt;=AsOfDate,IF($Q19=0,$W19,IF(AND($S19&lt;&gt;"",EDATE($D19,Milestones!$AA$66)&gt;=$S19),$V19,IF(AND($R19&lt;&gt;"",EDATE($D19,Milestones!$AA$66)&gt;=$R19),$U19,$T19)))=Milestones!$AB$66),TEXT(EDATE($D19,Milestones!$AA$66),"dd/mm/yy")&amp;" "&amp;Milestones!$AB$66&amp;" "&amp;Milestones!$AC$66&amp;";  ","")&amp;IF(AND(EDATE($D19,Milestones!$AA$67)&lt;=AsOfDate,IF($Q19=0,$W19,IF(AND($S19&lt;&gt;"",EDATE($D19,Milestones!$AA$67)&gt;=$S19),$V19,IF(AND($R19&lt;&gt;"",EDATE($D19,Milestones!$AA$67)&gt;=$R19),$U19,$T19)))=Milestones!$AB$67),TEXT(EDATE($D19,Milestones!$AA$67),"dd/mm/yy")&amp;" "&amp;Milestones!$AB$67&amp;" "&amp;Milestones!$AC$67&amp;";  ","")&amp;IF(AND(EDATE($D19,Milestones!$AA$68)&lt;=AsOfDate,IF($Q19=0,$W19,IF(AND($S19&lt;&gt;"",EDATE($D19,Milestones!$AA$68)&gt;=$S19),$V19,IF(AND($R19&lt;&gt;"",EDATE($D19,Milestones!$AA$68)&gt;=$R19),$U19,$T19)))=Milestones!$AB$68),TEXT(EDATE($D19,Milestones!$AA$68),"dd/mm/yy")&amp;" "&amp;Milestones!$AB$68&amp;" "&amp;Milestones!$AC$68&amp;";  ","")&amp;IF(AND(EDATE($D19,Milestones!$AA$69)&lt;=AsOfDate,IF($Q19=0,$W19,IF(AND($S19&lt;&gt;"",EDATE($D19,Milestones!$AA$69)&gt;=$S19),$V19,IF(AND($R19&lt;&gt;"",EDATE($D19,Milestones!$AA$69)&gt;=$R19),$U19,$T19)))=Milestones!$AB$69),TEXT(EDATE($D19,Milestones!$AA$69),"dd/mm/yy")&amp;" "&amp;Milestones!$AB$69&amp;" "&amp;Milestones!$AC$69&amp;";  ","")&amp;IF(AND(EDATE($D19,Milestones!$AA$70)&lt;=AsOfDate,IF($Q19=0,$W19,IF(AND($S19&lt;&gt;"",EDATE($D19,Milestones!$AA$70)&gt;=$S19),$V19,IF(AND($R19&lt;&gt;"",EDATE($D19,Milestones!$AA$70)&gt;=$R19),$U19,$T19)))=Milestones!$AB$70),TEXT(EDATE($D19,Milestones!$AA$70),"dd/mm/yy")&amp;" "&amp;Milestones!$AB$70&amp;" "&amp;Milestones!$AC$70&amp;";  ","")&amp;IF(AND(EDATE($D19,Milestones!$AA$71)&lt;=AsOfDate,IF($Q19=0,$W19,IF(AND($S19&lt;&gt;"",EDATE($D19,Milestones!$AA$71)&gt;=$S19),$V19,IF(AND($R19&lt;&gt;"",EDATE($D19,Milestones!$AA$71)&gt;=$R19),$U19,$T19)))=Milestones!$AB$71),TEXT(EDATE($D19,Milestones!$AA$71),"dd/mm/yy")&amp;" "&amp;Milestones!$AB$71&amp;" "&amp;Milestones!$AC$71&amp;";  ","")&amp;IF(AND(EDATE($D19,Milestones!$AA$72)&lt;=AsOfDate,IF($Q19=0,$W19,IF(AND($S19&lt;&gt;"",EDATE($D19,Milestones!$AA$72)&gt;=$S19),$V19,IF(AND($R19&lt;&gt;"",EDATE($D19,Milestones!$AA$72)&gt;=$R19),$U19,$T19)))=Milestones!$AB$72),TEXT(EDATE($D19,Milestones!$AA$72),"dd/mm/yy")&amp;" "&amp;Milestones!$AB$72&amp;" "&amp;Milestones!$AC$72&amp;";  ","")&amp;IF(AND(EDATE($D19,Milestones!$AA$73)&lt;=AsOfDate,IF($Q19=0,$W19,IF(AND($S19&lt;&gt;"",EDATE($D19,Milestones!$AA$73)&gt;=$S19),$V19,IF(AND($R19&lt;&gt;"",EDATE($D19,Milestones!$AA$73)&gt;=$R19),$U19,$T19)))=Milestones!$AB$73),TEXT(EDATE($D19,Milestones!$AA$73),"dd/mm/yy")&amp;" "&amp;Milestones!$AB$73&amp;" "&amp;Milestones!$AC$73&amp;";  ","")&amp;IF(AND(EDATE($D19,Milestones!$AA$74)&lt;=AsOfDate,IF($Q19=0,$W19,IF(AND($S19&lt;&gt;"",EDATE($D19,Milestones!$AA$74)&gt;=$S19),$V19,IF(AND($R19&lt;&gt;"",EDATE($D19,Milestones!$AA$74)&gt;=$R19),$U19,$T19)))=Milestones!$AB$74),TEXT(EDATE($D19,Milestones!$AA$74),"dd/mm/yy")&amp;" "&amp;Milestones!$AB$74&amp;" "&amp;Milestones!$AC$74&amp;";  ","")&amp;IF(AND(EDATE($D19,Milestones!$AA$75)&lt;=AsOfDate,IF($Q19=0,$W19,IF(AND($S19&lt;&gt;"",EDATE($D19,Milestones!$AA$75)&gt;=$S19),$V19,IF(AND($R19&lt;&gt;"",EDATE($D19,Milestones!$AA$75)&gt;=$R19),$U19,$T19)))=Milestones!$AB$75),TEXT(EDATE($D19,Milestones!$AA$75),"dd/mm/yy")&amp;" "&amp;Milestones!$AB$75&amp;" "&amp;Milestones!$AC$75&amp;";  ","")&amp;IF(AND(EDATE($D19,Milestones!$AA$76)&lt;=AsOfDate,IF($Q19=0,$W19,IF(AND($S19&lt;&gt;"",EDATE($D19,Milestones!$AA$76)&gt;=$S19),$V19,IF(AND($R19&lt;&gt;"",EDATE($D19,Milestones!$AA$76)&gt;=$R19),$U19,$T19)))=Milestones!$AB$76),TEXT(EDATE($D19,Milestones!$AA$76),"dd/mm/yy")&amp;" "&amp;Milestones!$AB$76&amp;" "&amp;Milestones!$AC$76&amp;";  ","")&amp;IF(AND(EDATE($D19,Milestones!$AA$77)&lt;=AsOfDate,IF($Q19=0,$W19,IF(AND($S19&lt;&gt;"",EDATE($D19,Milestones!$AA$77)&gt;=$S19),$V19,IF(AND($R19&lt;&gt;"",EDATE($D19,Milestones!$AA$77)&gt;=$R19),$U19,$T19)))=Milestones!$AB$77),TEXT(EDATE($D19,Milestones!$AA$77),"dd/mm/yy")&amp;" "&amp;Milestones!$AB$77&amp;" "&amp;Milestones!$AC$77&amp;";  ","")&amp;IF(AND(EDATE($D19,Milestones!$AA$78)&lt;=AsOfDate,IF($Q19=0,$W19,IF(AND($S19&lt;&gt;"",EDATE($D19,Milestones!$AA$78)&gt;=$S19),$V19,IF(AND($R19&lt;&gt;"",EDATE($D19,Milestones!$AA$78)&gt;=$R19),$U19,$T19)))=Milestones!$AB$78),TEXT(EDATE($D19,Milestones!$AA$78),"dd/mm/yy")&amp;" "&amp;Milestones!$AB$78&amp;" "&amp;Milestones!$AC$78&amp;";  ","")&amp;IF(AND(EDATE($D19,Milestones!$AA$79)&lt;=AsOfDate,IF($Q19=0,$W19,IF(AND($S19&lt;&gt;"",EDATE($D19,Milestones!$AA$79)&gt;=$S19),$V19,IF(AND($R19&lt;&gt;"",EDATE($D19,Milestones!$AA$79)&gt;=$R19),$U19,$T19)))=Milestones!$AB$79),TEXT(EDATE($D19,Milestones!$AA$79),"dd/mm/yy")&amp;" "&amp;Milestones!$AB$79&amp;" "&amp;Milestones!$AC$79&amp;";  ",""))</f>
        <v/>
      </c>
      <c r="K19" s="0" t="str">
        <f aca="false">IF(OR($A19="",$D19=""),"",IF(AND(EDATE($D19,Milestones!$AA$80)&lt;=AsOfDate,IF($Q19=0,$W19,IF(AND($S19&lt;&gt;"",EDATE($D19,Milestones!$AA$80)&gt;=$S19),$V19,IF(AND($R19&lt;&gt;"",EDATE($D19,Milestones!$AA$80)&gt;=$R19),$U19,$T19)))=Milestones!$AB$80),TEXT(EDATE($D19,Milestones!$AA$80),"dd/mm/yy")&amp;" "&amp;Milestones!$AB$80&amp;" "&amp;Milestones!$AC$80&amp;";  ","")&amp;IF(AND(EDATE($D19,Milestones!$AA$81)&lt;=AsOfDate,IF($Q19=0,$W19,IF(AND($S19&lt;&gt;"",EDATE($D19,Milestones!$AA$81)&gt;=$S19),$V19,IF(AND($R19&lt;&gt;"",EDATE($D19,Milestones!$AA$81)&gt;=$R19),$U19,$T19)))=Milestones!$AB$81),TEXT(EDATE($D19,Milestones!$AA$81),"dd/mm/yy")&amp;" "&amp;Milestones!$AB$81&amp;" "&amp;Milestones!$AC$81&amp;";  ","")&amp;IF(AND(EDATE($D19,Milestones!$AA$82)&lt;=AsOfDate,IF($Q19=0,$W19,IF(AND($S19&lt;&gt;"",EDATE($D19,Milestones!$AA$82)&gt;=$S19),$V19,IF(AND($R19&lt;&gt;"",EDATE($D19,Milestones!$AA$82)&gt;=$R19),$U19,$T19)))=Milestones!$AB$82),TEXT(EDATE($D19,Milestones!$AA$82),"dd/mm/yy")&amp;" "&amp;Milestones!$AB$82&amp;" "&amp;Milestones!$AC$82&amp;";  ","")&amp;IF(AND(EDATE($D19,Milestones!$AA$83)&lt;=AsOfDate,IF($Q19=0,$W19,IF(AND($S19&lt;&gt;"",EDATE($D19,Milestones!$AA$83)&gt;=$S19),$V19,IF(AND($R19&lt;&gt;"",EDATE($D19,Milestones!$AA$83)&gt;=$R19),$U19,$T19)))=Milestones!$AB$83),TEXT(EDATE($D19,Milestones!$AA$83),"dd/mm/yy")&amp;" "&amp;Milestones!$AB$83&amp;" "&amp;Milestones!$AC$83&amp;";  ","")&amp;IF(AND(EDATE($D19,Milestones!$AA$84)&lt;=AsOfDate,IF($Q19=0,$W19,IF(AND($S19&lt;&gt;"",EDATE($D19,Milestones!$AA$84)&gt;=$S19),$V19,IF(AND($R19&lt;&gt;"",EDATE($D19,Milestones!$AA$84)&gt;=$R19),$U19,$T19)))=Milestones!$AB$84),TEXT(EDATE($D19,Milestones!$AA$84),"dd/mm/yy")&amp;" "&amp;Milestones!$AB$84&amp;" "&amp;Milestones!$AC$84&amp;";  ","")&amp;IF(AND(EDATE($D19,Milestones!$AA$85)&lt;=AsOfDate,IF($Q19=0,$W19,IF(AND($S19&lt;&gt;"",EDATE($D19,Milestones!$AA$85)&gt;=$S19),$V19,IF(AND($R19&lt;&gt;"",EDATE($D19,Milestones!$AA$85)&gt;=$R19),$U19,$T19)))=Milestones!$AB$85),TEXT(EDATE($D19,Milestones!$AA$85),"dd/mm/yy")&amp;" "&amp;Milestones!$AB$85&amp;" "&amp;Milestones!$AC$85&amp;";  ","")&amp;IF(AND(EDATE($D19,Milestones!$AA$86)&lt;=AsOfDate,IF($Q19=0,$W19,IF(AND($S19&lt;&gt;"",EDATE($D19,Milestones!$AA$86)&gt;=$S19),$V19,IF(AND($R19&lt;&gt;"",EDATE($D19,Milestones!$AA$86)&gt;=$R19),$U19,$T19)))=Milestones!$AB$86),TEXT(EDATE($D19,Milestones!$AA$86),"dd/mm/yy")&amp;" "&amp;Milestones!$AB$86&amp;" "&amp;Milestones!$AC$86&amp;";  ","")&amp;IF(AND(EDATE($D19,Milestones!$AA$87)&lt;=AsOfDate,IF($Q19=0,$W19,IF(AND($S19&lt;&gt;"",EDATE($D19,Milestones!$AA$87)&gt;=$S19),$V19,IF(AND($R19&lt;&gt;"",EDATE($D19,Milestones!$AA$87)&gt;=$R19),$U19,$T19)))=Milestones!$AB$87),TEXT(EDATE($D19,Milestones!$AA$87),"dd/mm/yy")&amp;" "&amp;Milestones!$AB$87&amp;" "&amp;Milestones!$AC$87&amp;";  ","")&amp;IF(AND(EDATE($D19,Milestones!$AA$88)&lt;=AsOfDate,IF($Q19=0,$W19,IF(AND($S19&lt;&gt;"",EDATE($D19,Milestones!$AA$88)&gt;=$S19),$V19,IF(AND($R19&lt;&gt;"",EDATE($D19,Milestones!$AA$88)&gt;=$R19),$U19,$T19)))=Milestones!$AB$88),TEXT(EDATE($D19,Milestones!$AA$88),"dd/mm/yy")&amp;" "&amp;Milestones!$AB$88&amp;" "&amp;Milestones!$AC$88&amp;";  ","")&amp;IF(AND(EDATE($D19,Milestones!$AA$89)&lt;=AsOfDate,IF($Q19=0,$W19,IF(AND($S19&lt;&gt;"",EDATE($D19,Milestones!$AA$89)&gt;=$S19),$V19,IF(AND($R19&lt;&gt;"",EDATE($D19,Milestones!$AA$89)&gt;=$R19),$U19,$T19)))=Milestones!$AB$89),TEXT(EDATE($D19,Milestones!$AA$89),"dd/mm/yy")&amp;" "&amp;Milestones!$AB$89&amp;" "&amp;Milestones!$AC$89&amp;";  ","")&amp;IF(AND(EDATE($D19,Milestones!$AA$90)&lt;=AsOfDate,IF($Q19=0,$W19,IF(AND($S19&lt;&gt;"",EDATE($D19,Milestones!$AA$90)&gt;=$S19),$V19,IF(AND($R19&lt;&gt;"",EDATE($D19,Milestones!$AA$90)&gt;=$R19),$U19,$T19)))=Milestones!$AB$90),TEXT(EDATE($D19,Milestones!$AA$90),"dd/mm/yy")&amp;" "&amp;Milestones!$AB$90&amp;" "&amp;Milestones!$AC$90&amp;";  ","")&amp;IF(AND(EDATE($D19,Milestones!$AA$91)&lt;=AsOfDate,IF($Q19=0,$W19,IF(AND($S19&lt;&gt;"",EDATE($D19,Milestones!$AA$91)&gt;=$S19),$V19,IF(AND($R19&lt;&gt;"",EDATE($D19,Milestones!$AA$91)&gt;=$R19),$U19,$T19)))=Milestones!$AB$91),TEXT(EDATE($D19,Milestones!$AA$91),"dd/mm/yy")&amp;" "&amp;Milestones!$AB$91&amp;" "&amp;Milestones!$AC$91&amp;";  ","")&amp;IF(AND(EDATE($D19,Milestones!$AA$92)&lt;=AsOfDate,IF($Q19=0,$W19,IF(AND($S19&lt;&gt;"",EDATE($D19,Milestones!$AA$92)&gt;=$S19),$V19,IF(AND($R19&lt;&gt;"",EDATE($D19,Milestones!$AA$92)&gt;=$R19),$U19,$T19)))=Milestones!$AB$92),TEXT(EDATE($D19,Milestones!$AA$92),"dd/mm/yy")&amp;" "&amp;Milestones!$AB$92&amp;" "&amp;Milestones!$AC$92&amp;";  ","")&amp;IF(AND(EDATE($D19,Milestones!$AA$93)&lt;=AsOfDate,IF($Q19=0,$W19,IF(AND($S19&lt;&gt;"",EDATE($D19,Milestones!$AA$93)&gt;=$S19),$V19,IF(AND($R19&lt;&gt;"",EDATE($D19,Milestones!$AA$93)&gt;=$R19),$U19,$T19)))=Milestones!$AB$93),TEXT(EDATE($D19,Milestones!$AA$93),"dd/mm/yy")&amp;" "&amp;Milestones!$AB$93&amp;" "&amp;Milestones!$AC$93&amp;";  ","")&amp;IF(AND(EDATE($D19,Milestones!$AA$94)&lt;=AsOfDate,IF($Q19=0,$W19,IF(AND($S19&lt;&gt;"",EDATE($D19,Milestones!$AA$94)&gt;=$S19),$V19,IF(AND($R19&lt;&gt;"",EDATE($D19,Milestones!$AA$94)&gt;=$R19),$U19,$T19)))=Milestones!$AB$94),TEXT(EDATE($D19,Milestones!$AA$94),"dd/mm/yy")&amp;" "&amp;Milestones!$AB$94&amp;" "&amp;Milestones!$AC$94&amp;";  ","")&amp;IF(AND(EDATE($D19,Milestones!$AA$95)&lt;=AsOfDate,IF($Q19=0,$W19,IF(AND($S19&lt;&gt;"",EDATE($D19,Milestones!$AA$95)&gt;=$S19),$V19,IF(AND($R19&lt;&gt;"",EDATE($D19,Milestones!$AA$95)&gt;=$R19),$U19,$T19)))=Milestones!$AB$95),TEXT(EDATE($D19,Milestones!$AA$95),"dd/mm/yy")&amp;" "&amp;Milestones!$AB$95&amp;" "&amp;Milestones!$AC$95&amp;";  ","")&amp;IF(AND(EDATE($D19,Milestones!$AA$96)&lt;=AsOfDate,IF($Q19=0,$W19,IF(AND($S19&lt;&gt;"",EDATE($D19,Milestones!$AA$96)&gt;=$S19),$V19,IF(AND($R19&lt;&gt;"",EDATE($D19,Milestones!$AA$96)&gt;=$R19),$U19,$T19)))=Milestones!$AB$96),TEXT(EDATE($D19,Milestones!$AA$96),"dd/mm/yy")&amp;" "&amp;Milestones!$AB$96&amp;" "&amp;Milestones!$AC$96&amp;";  ","")&amp;IF(AND(EDATE($D19,Milestones!$AA$97)&lt;=AsOfDate,IF($Q19=0,$W19,IF(AND($S19&lt;&gt;"",EDATE($D19,Milestones!$AA$97)&gt;=$S19),$V19,IF(AND($R19&lt;&gt;"",EDATE($D19,Milestones!$AA$97)&gt;=$R19),$U19,$T19)))=Milestones!$AB$97),TEXT(EDATE($D19,Milestones!$AA$97),"dd/mm/yy")&amp;" "&amp;Milestones!$AB$97&amp;" "&amp;Milestones!$AC$97&amp;";  ","")&amp;IF(AND(EDATE($D19,Milestones!$AA$98)&lt;=AsOfDate,IF($Q19=0,$W19,IF(AND($S19&lt;&gt;"",EDATE($D19,Milestones!$AA$98)&gt;=$S19),$V19,IF(AND($R19&lt;&gt;"",EDATE($D19,Milestones!$AA$98)&gt;=$R19),$U19,$T19)))=Milestones!$AB$98),TEXT(EDATE($D19,Milestones!$AA$98),"dd/mm/yy")&amp;" "&amp;Milestones!$AB$98&amp;" "&amp;Milestones!$AC$98&amp;";  ","")&amp;IF(AND(EDATE($D19,Milestones!$AA$99)&lt;=AsOfDate,IF($Q19=0,$W19,IF(AND($S19&lt;&gt;"",EDATE($D19,Milestones!$AA$99)&gt;=$S19),$V19,IF(AND($R19&lt;&gt;"",EDATE($D19,Milestones!$AA$99)&gt;=$R19),$U19,$T19)))=Milestones!$AB$99),TEXT(EDATE($D19,Milestones!$AA$99),"dd/mm/yy")&amp;" "&amp;Milestones!$AB$99&amp;" "&amp;Milestones!$AC$99&amp;";  ",""))</f>
        <v/>
      </c>
      <c r="L19" s="0" t="str">
        <f aca="false">IF(OR($A19="",$D19=""),"",IF(AND(EDATE($D19,Milestones!$AA$100)&lt;=AsOfDate,IF($Q19=0,$W19,IF(AND($S19&lt;&gt;"",EDATE($D19,Milestones!$AA$100)&gt;=$S19),$V19,IF(AND($R19&lt;&gt;"",EDATE($D19,Milestones!$AA$100)&gt;=$R19),$U19,$T19)))=Milestones!$AB$100),TEXT(EDATE($D19,Milestones!$AA$100),"dd/mm/yy")&amp;" "&amp;Milestones!$AB$100&amp;" "&amp;Milestones!$AC$100&amp;";  ","")&amp;IF(AND(EDATE($D19,Milestones!$AA$101)&lt;=AsOfDate,IF($Q19=0,$W19,IF(AND($S19&lt;&gt;"",EDATE($D19,Milestones!$AA$101)&gt;=$S19),$V19,IF(AND($R19&lt;&gt;"",EDATE($D19,Milestones!$AA$101)&gt;=$R19),$U19,$T19)))=Milestones!$AB$101),TEXT(EDATE($D19,Milestones!$AA$101),"dd/mm/yy")&amp;" "&amp;Milestones!$AB$101&amp;" "&amp;Milestones!$AC$101&amp;";  ","")&amp;IF(AND(EDATE($D19,Milestones!$AA$102)&lt;=AsOfDate,IF($Q19=0,$W19,IF(AND($S19&lt;&gt;"",EDATE($D19,Milestones!$AA$102)&gt;=$S19),$V19,IF(AND($R19&lt;&gt;"",EDATE($D19,Milestones!$AA$102)&gt;=$R19),$U19,$T19)))=Milestones!$AB$102),TEXT(EDATE($D19,Milestones!$AA$102),"dd/mm/yy")&amp;" "&amp;Milestones!$AB$102&amp;" "&amp;Milestones!$AC$102&amp;";  ","")&amp;IF(AND(EDATE($D19,Milestones!$AA$103)&lt;=AsOfDate,IF($Q19=0,$W19,IF(AND($S19&lt;&gt;"",EDATE($D19,Milestones!$AA$103)&gt;=$S19),$V19,IF(AND($R19&lt;&gt;"",EDATE($D19,Milestones!$AA$103)&gt;=$R19),$U19,$T19)))=Milestones!$AB$103),TEXT(EDATE($D19,Milestones!$AA$103),"dd/mm/yy")&amp;" "&amp;Milestones!$AB$103&amp;" "&amp;Milestones!$AC$103&amp;";  ","")&amp;IF(AND(EDATE($D19,Milestones!$AA$104)&lt;=AsOfDate,IF($Q19=0,$W19,IF(AND($S19&lt;&gt;"",EDATE($D19,Milestones!$AA$104)&gt;=$S19),$V19,IF(AND($R19&lt;&gt;"",EDATE($D19,Milestones!$AA$104)&gt;=$R19),$U19,$T19)))=Milestones!$AB$104),TEXT(EDATE($D19,Milestones!$AA$104),"dd/mm/yy")&amp;" "&amp;Milestones!$AB$104&amp;" "&amp;Milestones!$AC$104&amp;";  ","")&amp;IF(AND(EDATE($D19,Milestones!$AA$105)&lt;=AsOfDate,IF($Q19=0,$W19,IF(AND($S19&lt;&gt;"",EDATE($D19,Milestones!$AA$105)&gt;=$S19),$V19,IF(AND($R19&lt;&gt;"",EDATE($D19,Milestones!$AA$105)&gt;=$R19),$U19,$T19)))=Milestones!$AB$105),TEXT(EDATE($D19,Milestones!$AA$105),"dd/mm/yy")&amp;" "&amp;Milestones!$AB$105&amp;" "&amp;Milestones!$AC$105&amp;";  ","")&amp;IF(AND(EDATE($D19,Milestones!$AA$106)&lt;=AsOfDate,IF($Q19=0,$W19,IF(AND($S19&lt;&gt;"",EDATE($D19,Milestones!$AA$106)&gt;=$S19),$V19,IF(AND($R19&lt;&gt;"",EDATE($D19,Milestones!$AA$106)&gt;=$R19),$U19,$T19)))=Milestones!$AB$106),TEXT(EDATE($D19,Milestones!$AA$106),"dd/mm/yy")&amp;" "&amp;Milestones!$AB$106&amp;" "&amp;Milestones!$AC$106&amp;";  ","")&amp;IF(AND(EDATE($D19,Milestones!$AA$107)&lt;=AsOfDate,IF($Q19=0,$W19,IF(AND($S19&lt;&gt;"",EDATE($D19,Milestones!$AA$107)&gt;=$S19),$V19,IF(AND($R19&lt;&gt;"",EDATE($D19,Milestones!$AA$107)&gt;=$R19),$U19,$T19)))=Milestones!$AB$107),TEXT(EDATE($D19,Milestones!$AA$107),"dd/mm/yy")&amp;" "&amp;Milestones!$AB$107&amp;" "&amp;Milestones!$AC$107&amp;";  ","")&amp;IF(AND(EDATE($D19,Milestones!$AA$108)&lt;=AsOfDate,IF($Q19=0,$W19,IF(AND($S19&lt;&gt;"",EDATE($D19,Milestones!$AA$108)&gt;=$S19),$V19,IF(AND($R19&lt;&gt;"",EDATE($D19,Milestones!$AA$108)&gt;=$R19),$U19,$T19)))=Milestones!$AB$108),TEXT(EDATE($D19,Milestones!$AA$108),"dd/mm/yy")&amp;" "&amp;Milestones!$AB$108&amp;" "&amp;Milestones!$AC$108&amp;";  ","")&amp;IF(AND(EDATE($D19,Milestones!$AA$109)&lt;=AsOfDate,IF($Q19=0,$W19,IF(AND($S19&lt;&gt;"",EDATE($D19,Milestones!$AA$109)&gt;=$S19),$V19,IF(AND($R19&lt;&gt;"",EDATE($D19,Milestones!$AA$109)&gt;=$R19),$U19,$T19)))=Milestones!$AB$109),TEXT(EDATE($D19,Milestones!$AA$109),"dd/mm/yy")&amp;" "&amp;Milestones!$AB$109&amp;" "&amp;Milestones!$AC$109&amp;";  ","")&amp;IF(AND(EDATE($D19,Milestones!$AA$110)&lt;=AsOfDate,IF($Q19=0,$W19,IF(AND($S19&lt;&gt;"",EDATE($D19,Milestones!$AA$110)&gt;=$S19),$V19,IF(AND($R19&lt;&gt;"",EDATE($D19,Milestones!$AA$110)&gt;=$R19),$U19,$T19)))=Milestones!$AB$110),TEXT(EDATE($D19,Milestones!$AA$110),"dd/mm/yy")&amp;" "&amp;Milestones!$AB$110&amp;" "&amp;Milestones!$AC$110&amp;";  ","")&amp;IF(AND(EDATE($D19,Milestones!$AA$111)&lt;=AsOfDate,IF($Q19=0,$W19,IF(AND($S19&lt;&gt;"",EDATE($D19,Milestones!$AA$111)&gt;=$S19),$V19,IF(AND($R19&lt;&gt;"",EDATE($D19,Milestones!$AA$111)&gt;=$R19),$U19,$T19)))=Milestones!$AB$111),TEXT(EDATE($D19,Milestones!$AA$111),"dd/mm/yy")&amp;" "&amp;Milestones!$AB$111&amp;" "&amp;Milestones!$AC$111&amp;";  ","")&amp;IF(AND(EDATE($D19,Milestones!$AA$112)&lt;=AsOfDate,IF($Q19=0,$W19,IF(AND($S19&lt;&gt;"",EDATE($D19,Milestones!$AA$112)&gt;=$S19),$V19,IF(AND($R19&lt;&gt;"",EDATE($D19,Milestones!$AA$112)&gt;=$R19),$U19,$T19)))=Milestones!$AB$112),TEXT(EDATE($D19,Milestones!$AA$112),"dd/mm/yy")&amp;" "&amp;Milestones!$AB$112&amp;" "&amp;Milestones!$AC$112&amp;";  ","")&amp;IF(AND(EDATE($D19,Milestones!$AA$113)&lt;=AsOfDate,IF($Q19=0,$W19,IF(AND($S19&lt;&gt;"",EDATE($D19,Milestones!$AA$113)&gt;=$S19),$V19,IF(AND($R19&lt;&gt;"",EDATE($D19,Milestones!$AA$113)&gt;=$R19),$U19,$T19)))=Milestones!$AB$113),TEXT(EDATE($D19,Milestones!$AA$113),"dd/mm/yy")&amp;" "&amp;Milestones!$AB$113&amp;" "&amp;Milestones!$AC$113&amp;";  ","")&amp;IF(AND(EDATE($D19,Milestones!$AA$114)&lt;=AsOfDate,IF($Q19=0,$W19,IF(AND($S19&lt;&gt;"",EDATE($D19,Milestones!$AA$114)&gt;=$S19),$V19,IF(AND($R19&lt;&gt;"",EDATE($D19,Milestones!$AA$114)&gt;=$R19),$U19,$T19)))=Milestones!$AB$114),TEXT(EDATE($D19,Milestones!$AA$114),"dd/mm/yy")&amp;" "&amp;Milestones!$AB$114&amp;" "&amp;Milestones!$AC$114&amp;";  ","")&amp;IF(AND(EDATE($D19,Milestones!$AA$115)&lt;=AsOfDate,IF($Q19=0,$W19,IF(AND($S19&lt;&gt;"",EDATE($D19,Milestones!$AA$115)&gt;=$S19),$V19,IF(AND($R19&lt;&gt;"",EDATE($D19,Milestones!$AA$115)&gt;=$R19),$U19,$T19)))=Milestones!$AB$115),TEXT(EDATE($D19,Milestones!$AA$115),"dd/mm/yy")&amp;" "&amp;Milestones!$AB$115&amp;" "&amp;Milestones!$AC$115&amp;";  ","")&amp;IF(AND(EDATE($D19,Milestones!$AA$116)&lt;=AsOfDate,IF($Q19=0,$W19,IF(AND($S19&lt;&gt;"",EDATE($D19,Milestones!$AA$116)&gt;=$S19),$V19,IF(AND($R19&lt;&gt;"",EDATE($D19,Milestones!$AA$116)&gt;=$R19),$U19,$T19)))=Milestones!$AB$116),TEXT(EDATE($D19,Milestones!$AA$116),"dd/mm/yy")&amp;" "&amp;Milestones!$AB$116&amp;" "&amp;Milestones!$AC$116&amp;";  ","")&amp;IF(AND(EDATE($D19,Milestones!$AA$117)&lt;=AsOfDate,IF($Q19=0,$W19,IF(AND($S19&lt;&gt;"",EDATE($D19,Milestones!$AA$117)&gt;=$S19),$V19,IF(AND($R19&lt;&gt;"",EDATE($D19,Milestones!$AA$117)&gt;=$R19),$U19,$T19)))=Milestones!$AB$117),TEXT(EDATE($D19,Milestones!$AA$117),"dd/mm/yy")&amp;" "&amp;Milestones!$AB$117&amp;" "&amp;Milestones!$AC$117&amp;";  ","")&amp;IF(AND(EDATE($D19,Milestones!$AA$118)&lt;=AsOfDate,IF($Q19=0,$W19,IF(AND($S19&lt;&gt;"",EDATE($D19,Milestones!$AA$118)&gt;=$S19),$V19,IF(AND($R19&lt;&gt;"",EDATE($D19,Milestones!$AA$118)&gt;=$R19),$U19,$T19)))=Milestones!$AB$118),TEXT(EDATE($D19,Milestones!$AA$118),"dd/mm/yy")&amp;" "&amp;Milestones!$AB$118&amp;" "&amp;Milestones!$AC$118&amp;";  ","")&amp;IF(AND(EDATE($D19,Milestones!$AA$119)&lt;=AsOfDate,IF($Q19=0,$W19,IF(AND($S19&lt;&gt;"",EDATE($D19,Milestones!$AA$119)&gt;=$S19),$V19,IF(AND($R19&lt;&gt;"",EDATE($D19,Milestones!$AA$119)&gt;=$R19),$U19,$T19)))=Milestones!$AB$119),TEXT(EDATE($D19,Milestones!$AA$119),"dd/mm/yy")&amp;" "&amp;Milestones!$AB$119&amp;" "&amp;Milestones!$AC$119&amp;";  ",""))</f>
        <v/>
      </c>
      <c r="M19" s="0" t="str">
        <f aca="false">IF(OR($A19="",$D19=""),"",IF(AND(EDATE($D19,Milestones!$AA$120)&lt;=AsOfDate,IF($Q19=0,$W19,IF(AND($S19&lt;&gt;"",EDATE($D19,Milestones!$AA$120)&gt;=$S19),$V19,IF(AND($R19&lt;&gt;"",EDATE($D19,Milestones!$AA$120)&gt;=$R19),$U19,$T19)))=Milestones!$AB$120),TEXT(EDATE($D19,Milestones!$AA$120),"dd/mm/yy")&amp;" "&amp;Milestones!$AB$120&amp;" "&amp;Milestones!$AC$120&amp;";  ","")&amp;IF(AND(EDATE($D19,Milestones!$AA$121)&lt;=AsOfDate,IF($Q19=0,$W19,IF(AND($S19&lt;&gt;"",EDATE($D19,Milestones!$AA$121)&gt;=$S19),$V19,IF(AND($R19&lt;&gt;"",EDATE($D19,Milestones!$AA$121)&gt;=$R19),$U19,$T19)))=Milestones!$AB$121),TEXT(EDATE($D19,Milestones!$AA$121),"dd/mm/yy")&amp;" "&amp;Milestones!$AB$121&amp;" "&amp;Milestones!$AC$121&amp;";  ","")&amp;IF(AND(EDATE($D19,Milestones!$AA$122)&lt;=AsOfDate,IF($Q19=0,$W19,IF(AND($S19&lt;&gt;"",EDATE($D19,Milestones!$AA$122)&gt;=$S19),$V19,IF(AND($R19&lt;&gt;"",EDATE($D19,Milestones!$AA$122)&gt;=$R19),$U19,$T19)))=Milestones!$AB$122),TEXT(EDATE($D19,Milestones!$AA$122),"dd/mm/yy")&amp;" "&amp;Milestones!$AB$122&amp;" "&amp;Milestones!$AC$122&amp;";  ","")&amp;IF(AND(EDATE($D19,Milestones!$AA$123)&lt;=AsOfDate,IF($Q19=0,$W19,IF(AND($S19&lt;&gt;"",EDATE($D19,Milestones!$AA$123)&gt;=$S19),$V19,IF(AND($R19&lt;&gt;"",EDATE($D19,Milestones!$AA$123)&gt;=$R19),$U19,$T19)))=Milestones!$AB$123),TEXT(EDATE($D19,Milestones!$AA$123),"dd/mm/yy")&amp;" "&amp;Milestones!$AB$123&amp;" "&amp;Milestones!$AC$123&amp;";  ","")&amp;IF(AND(EDATE($D19,Milestones!$AA$124)&lt;=AsOfDate,IF($Q19=0,$W19,IF(AND($S19&lt;&gt;"",EDATE($D19,Milestones!$AA$124)&gt;=$S19),$V19,IF(AND($R19&lt;&gt;"",EDATE($D19,Milestones!$AA$124)&gt;=$R19),$U19,$T19)))=Milestones!$AB$124),TEXT(EDATE($D19,Milestones!$AA$124),"dd/mm/yy")&amp;" "&amp;Milestones!$AB$124&amp;" "&amp;Milestones!$AC$124&amp;";  ","")&amp;IF(AND(EDATE($D19,Milestones!$AA$125)&lt;=AsOfDate,IF($Q19=0,$W19,IF(AND($S19&lt;&gt;"",EDATE($D19,Milestones!$AA$125)&gt;=$S19),$V19,IF(AND($R19&lt;&gt;"",EDATE($D19,Milestones!$AA$125)&gt;=$R19),$U19,$T19)))=Milestones!$AB$125),TEXT(EDATE($D19,Milestones!$AA$125),"dd/mm/yy")&amp;" "&amp;Milestones!$AB$125&amp;" "&amp;Milestones!$AC$125&amp;";  ","")&amp;IF(AND(EDATE($D19,Milestones!$AA$126)&lt;=AsOfDate,IF($Q19=0,$W19,IF(AND($S19&lt;&gt;"",EDATE($D19,Milestones!$AA$126)&gt;=$S19),$V19,IF(AND($R19&lt;&gt;"",EDATE($D19,Milestones!$AA$126)&gt;=$R19),$U19,$T19)))=Milestones!$AB$126),TEXT(EDATE($D19,Milestones!$AA$126),"dd/mm/yy")&amp;" "&amp;Milestones!$AB$126&amp;" "&amp;Milestones!$AC$126&amp;";  ","")&amp;IF(AND(EDATE($D19,Milestones!$AA$127)&lt;=AsOfDate,IF($Q19=0,$W19,IF(AND($S19&lt;&gt;"",EDATE($D19,Milestones!$AA$127)&gt;=$S19),$V19,IF(AND($R19&lt;&gt;"",EDATE($D19,Milestones!$AA$127)&gt;=$R19),$U19,$T19)))=Milestones!$AB$127),TEXT(EDATE($D19,Milestones!$AA$127),"dd/mm/yy")&amp;" "&amp;Milestones!$AB$127&amp;" "&amp;Milestones!$AC$127&amp;";  ","")&amp;IF(AND(EDATE($D19,Milestones!$AA$128)&lt;=AsOfDate,IF($Q19=0,$W19,IF(AND($S19&lt;&gt;"",EDATE($D19,Milestones!$AA$128)&gt;=$S19),$V19,IF(AND($R19&lt;&gt;"",EDATE($D19,Milestones!$AA$128)&gt;=$R19),$U19,$T19)))=Milestones!$AB$128),TEXT(EDATE($D19,Milestones!$AA$128),"dd/mm/yy")&amp;" "&amp;Milestones!$AB$128&amp;" "&amp;Milestones!$AC$128&amp;";  ","")&amp;IF(AND(EDATE($D19,Milestones!$AA$129)&lt;=AsOfDate,IF($Q19=0,$W19,IF(AND($S19&lt;&gt;"",EDATE($D19,Milestones!$AA$129)&gt;=$S19),$V19,IF(AND($R19&lt;&gt;"",EDATE($D19,Milestones!$AA$129)&gt;=$R19),$U19,$T19)))=Milestones!$AB$129),TEXT(EDATE($D19,Milestones!$AA$129),"dd/mm/yy")&amp;" "&amp;Milestones!$AB$129&amp;" "&amp;Milestones!$AC$129&amp;";  ","")&amp;IF(AND(EDATE($D19,Milestones!$AA$130)&lt;=AsOfDate,IF($Q19=0,$W19,IF(AND($S19&lt;&gt;"",EDATE($D19,Milestones!$AA$130)&gt;=$S19),$V19,IF(AND($R19&lt;&gt;"",EDATE($D19,Milestones!$AA$130)&gt;=$R19),$U19,$T19)))=Milestones!$AB$130),TEXT(EDATE($D19,Milestones!$AA$130),"dd/mm/yy")&amp;" "&amp;Milestones!$AB$130&amp;" "&amp;Milestones!$AC$130&amp;";  ","")&amp;IF(AND(EDATE($D19,Milestones!$AA$131)&lt;=AsOfDate,IF($Q19=0,$W19,IF(AND($S19&lt;&gt;"",EDATE($D19,Milestones!$AA$131)&gt;=$S19),$V19,IF(AND($R19&lt;&gt;"",EDATE($D19,Milestones!$AA$131)&gt;=$R19),$U19,$T19)))=Milestones!$AB$131),TEXT(EDATE($D19,Milestones!$AA$131),"dd/mm/yy")&amp;" "&amp;Milestones!$AB$131&amp;" "&amp;Milestones!$AC$131&amp;";  ","")&amp;IF(AND(EDATE($D19,Milestones!$AA$132)&lt;=AsOfDate,IF($Q19=0,$W19,IF(AND($S19&lt;&gt;"",EDATE($D19,Milestones!$AA$132)&gt;=$S19),$V19,IF(AND($R19&lt;&gt;"",EDATE($D19,Milestones!$AA$132)&gt;=$R19),$U19,$T19)))=Milestones!$AB$132),TEXT(EDATE($D19,Milestones!$AA$132),"dd/mm/yy")&amp;" "&amp;Milestones!$AB$132&amp;" "&amp;Milestones!$AC$132&amp;";  ","")&amp;IF(AND(EDATE($D19,Milestones!$AA$133)&lt;=AsOfDate,IF($Q19=0,$W19,IF(AND($S19&lt;&gt;"",EDATE($D19,Milestones!$AA$133)&gt;=$S19),$V19,IF(AND($R19&lt;&gt;"",EDATE($D19,Milestones!$AA$133)&gt;=$R19),$U19,$T19)))=Milestones!$AB$133),TEXT(EDATE($D19,Milestones!$AA$133),"dd/mm/yy")&amp;" "&amp;Milestones!$AB$133&amp;" "&amp;Milestones!$AC$133&amp;";  ","")&amp;IF(AND(EDATE($D19,Milestones!$AA$134)&lt;=AsOfDate,IF($Q19=0,$W19,IF(AND($S19&lt;&gt;"",EDATE($D19,Milestones!$AA$134)&gt;=$S19),$V19,IF(AND($R19&lt;&gt;"",EDATE($D19,Milestones!$AA$134)&gt;=$R19),$U19,$T19)))=Milestones!$AB$134),TEXT(EDATE($D19,Milestones!$AA$134),"dd/mm/yy")&amp;" "&amp;Milestones!$AB$134&amp;" "&amp;Milestones!$AC$134&amp;";  ","")&amp;IF(AND(EDATE($D19,Milestones!$AA$135)&lt;=AsOfDate,IF($Q19=0,$W19,IF(AND($S19&lt;&gt;"",EDATE($D19,Milestones!$AA$135)&gt;=$S19),$V19,IF(AND($R19&lt;&gt;"",EDATE($D19,Milestones!$AA$135)&gt;=$R19),$U19,$T19)))=Milestones!$AB$135),TEXT(EDATE($D19,Milestones!$AA$135),"dd/mm/yy")&amp;" "&amp;Milestones!$AB$135&amp;" "&amp;Milestones!$AC$135&amp;";  ","")&amp;IF(AND(EDATE($D19,Milestones!$AA$136)&lt;=AsOfDate,IF($Q19=0,$W19,IF(AND($S19&lt;&gt;"",EDATE($D19,Milestones!$AA$136)&gt;=$S19),$V19,IF(AND($R19&lt;&gt;"",EDATE($D19,Milestones!$AA$136)&gt;=$R19),$U19,$T19)))=Milestones!$AB$136),TEXT(EDATE($D19,Milestones!$AA$136),"dd/mm/yy")&amp;" "&amp;Milestones!$AB$136&amp;" "&amp;Milestones!$AC$136&amp;";  ","")&amp;IF(AND(EDATE($D19,Milestones!$AA$137)&lt;=AsOfDate,IF($Q19=0,$W19,IF(AND($S19&lt;&gt;"",EDATE($D19,Milestones!$AA$137)&gt;=$S19),$V19,IF(AND($R19&lt;&gt;"",EDATE($D19,Milestones!$AA$137)&gt;=$R19),$U19,$T19)))=Milestones!$AB$137),TEXT(EDATE($D19,Milestones!$AA$137),"dd/mm/yy")&amp;" "&amp;Milestones!$AB$137&amp;" "&amp;Milestones!$AC$137&amp;";  ","")&amp;IF(AND(EDATE($D19,Milestones!$AA$138)&lt;=AsOfDate,IF($Q19=0,$W19,IF(AND($S19&lt;&gt;"",EDATE($D19,Milestones!$AA$138)&gt;=$S19),$V19,IF(AND($R19&lt;&gt;"",EDATE($D19,Milestones!$AA$138)&gt;=$R19),$U19,$T19)))=Milestones!$AB$138),TEXT(EDATE($D19,Milestones!$AA$138),"dd/mm/yy")&amp;" "&amp;Milestones!$AB$138&amp;" "&amp;Milestones!$AC$138&amp;";  ","")&amp;IF(AND(EDATE($D19,Milestones!$AA$139)&lt;=AsOfDate,IF($Q19=0,$W19,IF(AND($S19&lt;&gt;"",EDATE($D19,Milestones!$AA$139)&gt;=$S19),$V19,IF(AND($R19&lt;&gt;"",EDATE($D19,Milestones!$AA$139)&gt;=$R19),$U19,$T19)))=Milestones!$AB$139),TEXT(EDATE($D19,Milestones!$AA$139),"dd/mm/yy")&amp;" "&amp;Milestones!$AB$139&amp;" "&amp;Milestones!$AC$139&amp;";  ",""))</f>
        <v/>
      </c>
      <c r="N19" s="0" t="str">
        <f aca="false">IF(OR($A19="",$D19=""),"",IF(AND(EDATE($D19,Milestones!$AA$140)&lt;=AsOfDate,IF($Q19=0,$W19,IF(AND($S19&lt;&gt;"",EDATE($D19,Milestones!$AA$140)&gt;=$S19),$V19,IF(AND($R19&lt;&gt;"",EDATE($D19,Milestones!$AA$140)&gt;=$R19),$U19,$T19)))=Milestones!$AB$140),TEXT(EDATE($D19,Milestones!$AA$140),"dd/mm/yy")&amp;" "&amp;Milestones!$AB$140&amp;" "&amp;Milestones!$AC$140&amp;";  ","")&amp;IF(AND(EDATE($D19,Milestones!$AA$141)&lt;=AsOfDate,IF($Q19=0,$W19,IF(AND($S19&lt;&gt;"",EDATE($D19,Milestones!$AA$141)&gt;=$S19),$V19,IF(AND($R19&lt;&gt;"",EDATE($D19,Milestones!$AA$141)&gt;=$R19),$U19,$T19)))=Milestones!$AB$141),TEXT(EDATE($D19,Milestones!$AA$141),"dd/mm/yy")&amp;" "&amp;Milestones!$AB$141&amp;" "&amp;Milestones!$AC$141&amp;";  ","")&amp;IF(AND(EDATE($D19,Milestones!$AA$142)&lt;=AsOfDate,IF($Q19=0,$W19,IF(AND($S19&lt;&gt;"",EDATE($D19,Milestones!$AA$142)&gt;=$S19),$V19,IF(AND($R19&lt;&gt;"",EDATE($D19,Milestones!$AA$142)&gt;=$R19),$U19,$T19)))=Milestones!$AB$142),TEXT(EDATE($D19,Milestones!$AA$142),"dd/mm/yy")&amp;" "&amp;Milestones!$AB$142&amp;" "&amp;Milestones!$AC$142&amp;";  ","")&amp;IF(AND(EDATE($D19,Milestones!$AA$143)&lt;=AsOfDate,IF($Q19=0,$W19,IF(AND($S19&lt;&gt;"",EDATE($D19,Milestones!$AA$143)&gt;=$S19),$V19,IF(AND($R19&lt;&gt;"",EDATE($D19,Milestones!$AA$143)&gt;=$R19),$U19,$T19)))=Milestones!$AB$143),TEXT(EDATE($D19,Milestones!$AA$143),"dd/mm/yy")&amp;" "&amp;Milestones!$AB$143&amp;" "&amp;Milestones!$AC$143&amp;";  ","")&amp;IF(AND(EDATE($D19,Milestones!$AA$144)&lt;=AsOfDate,IF($Q19=0,$W19,IF(AND($S19&lt;&gt;"",EDATE($D19,Milestones!$AA$144)&gt;=$S19),$V19,IF(AND($R19&lt;&gt;"",EDATE($D19,Milestones!$AA$144)&gt;=$R19),$U19,$T19)))=Milestones!$AB$144),TEXT(EDATE($D19,Milestones!$AA$144),"dd/mm/yy")&amp;" "&amp;Milestones!$AB$144&amp;" "&amp;Milestones!$AC$144&amp;";  ","")&amp;IF(AND(EDATE($D19,Milestones!$AA$145)&lt;=AsOfDate,IF($Q19=0,$W19,IF(AND($S19&lt;&gt;"",EDATE($D19,Milestones!$AA$145)&gt;=$S19),$V19,IF(AND($R19&lt;&gt;"",EDATE($D19,Milestones!$AA$145)&gt;=$R19),$U19,$T19)))=Milestones!$AB$145),TEXT(EDATE($D19,Milestones!$AA$145),"dd/mm/yy")&amp;" "&amp;Milestones!$AB$145&amp;" "&amp;Milestones!$AC$145&amp;";  ","")&amp;IF(AND(EDATE($D19,Milestones!$AA$146)&lt;=AsOfDate,IF($Q19=0,$W19,IF(AND($S19&lt;&gt;"",EDATE($D19,Milestones!$AA$146)&gt;=$S19),$V19,IF(AND($R19&lt;&gt;"",EDATE($D19,Milestones!$AA$146)&gt;=$R19),$U19,$T19)))=Milestones!$AB$146),TEXT(EDATE($D19,Milestones!$AA$146),"dd/mm/yy")&amp;" "&amp;Milestones!$AB$146&amp;" "&amp;Milestones!$AC$146&amp;";  ","")&amp;IF(AND(EDATE($D19,Milestones!$AA$147)&lt;=AsOfDate,IF($Q19=0,$W19,IF(AND($S19&lt;&gt;"",EDATE($D19,Milestones!$AA$147)&gt;=$S19),$V19,IF(AND($R19&lt;&gt;"",EDATE($D19,Milestones!$AA$147)&gt;=$R19),$U19,$T19)))=Milestones!$AB$147),TEXT(EDATE($D19,Milestones!$AA$147),"dd/mm/yy")&amp;" "&amp;Milestones!$AB$147&amp;" "&amp;Milestones!$AC$147&amp;";  ","")&amp;IF(AND(EDATE($D19,Milestones!$AA$148)&lt;=AsOfDate,IF($Q19=0,$W19,IF(AND($S19&lt;&gt;"",EDATE($D19,Milestones!$AA$148)&gt;=$S19),$V19,IF(AND($R19&lt;&gt;"",EDATE($D19,Milestones!$AA$148)&gt;=$R19),$U19,$T19)))=Milestones!$AB$148),TEXT(EDATE($D19,Milestones!$AA$148),"dd/mm/yy")&amp;" "&amp;Milestones!$AB$148&amp;" "&amp;Milestones!$AC$148&amp;";  ","")&amp;IF(AND(EDATE($D19,Milestones!$AA$149)&lt;=AsOfDate,IF($Q19=0,$W19,IF(AND($S19&lt;&gt;"",EDATE($D19,Milestones!$AA$149)&gt;=$S19),$V19,IF(AND($R19&lt;&gt;"",EDATE($D19,Milestones!$AA$149)&gt;=$R19),$U19,$T19)))=Milestones!$AB$149),TEXT(EDATE($D19,Milestones!$AA$149),"dd/mm/yy")&amp;" "&amp;Milestones!$AB$149&amp;" "&amp;Milestones!$AC$149&amp;";  ","")&amp;IF(AND(EDATE($D19,Milestones!$AA$150)&lt;=AsOfDate,IF($Q19=0,$W19,IF(AND($S19&lt;&gt;"",EDATE($D19,Milestones!$AA$150)&gt;=$S19),$V19,IF(AND($R19&lt;&gt;"",EDATE($D19,Milestones!$AA$150)&gt;=$R19),$U19,$T19)))=Milestones!$AB$150),TEXT(EDATE($D19,Milestones!$AA$150),"dd/mm/yy")&amp;" "&amp;Milestones!$AB$150&amp;" "&amp;Milestones!$AC$150&amp;";  ","")&amp;IF(AND(EDATE($D19,Milestones!$AA$151)&lt;=AsOfDate,IF($Q19=0,$W19,IF(AND($S19&lt;&gt;"",EDATE($D19,Milestones!$AA$151)&gt;=$S19),$V19,IF(AND($R19&lt;&gt;"",EDATE($D19,Milestones!$AA$151)&gt;=$R19),$U19,$T19)))=Milestones!$AB$151),TEXT(EDATE($D19,Milestones!$AA$151),"dd/mm/yy")&amp;" "&amp;Milestones!$AB$151&amp;" "&amp;Milestones!$AC$151&amp;";  ","")&amp;IF(AND(EDATE($D19,Milestones!$AA$152)&lt;=AsOfDate,IF($Q19=0,$W19,IF(AND($S19&lt;&gt;"",EDATE($D19,Milestones!$AA$152)&gt;=$S19),$V19,IF(AND($R19&lt;&gt;"",EDATE($D19,Milestones!$AA$152)&gt;=$R19),$U19,$T19)))=Milestones!$AB$152),TEXT(EDATE($D19,Milestones!$AA$152),"dd/mm/yy")&amp;" "&amp;Milestones!$AB$152&amp;" "&amp;Milestones!$AC$152&amp;";  ","")&amp;IF(AND(EDATE($D19,Milestones!$AA$153)&lt;=AsOfDate,IF($Q19=0,$W19,IF(AND($S19&lt;&gt;"",EDATE($D19,Milestones!$AA$153)&gt;=$S19),$V19,IF(AND($R19&lt;&gt;"",EDATE($D19,Milestones!$AA$153)&gt;=$R19),$U19,$T19)))=Milestones!$AB$153),TEXT(EDATE($D19,Milestones!$AA$153),"dd/mm/yy")&amp;" "&amp;Milestones!$AB$153&amp;" "&amp;Milestones!$AC$153&amp;";  ","")&amp;IF(AND(EDATE($D19,Milestones!$AA$154)&lt;=AsOfDate,IF($Q19=0,$W19,IF(AND($S19&lt;&gt;"",EDATE($D19,Milestones!$AA$154)&gt;=$S19),$V19,IF(AND($R19&lt;&gt;"",EDATE($D19,Milestones!$AA$154)&gt;=$R19),$U19,$T19)))=Milestones!$AB$154),TEXT(EDATE($D19,Milestones!$AA$154),"dd/mm/yy")&amp;" "&amp;Milestones!$AB$154&amp;" "&amp;Milestones!$AC$154&amp;";  ","")&amp;IF(AND(EDATE($D19,Milestones!$AA$155)&lt;=AsOfDate,IF($Q19=0,$W19,IF(AND($S19&lt;&gt;"",EDATE($D19,Milestones!$AA$155)&gt;=$S19),$V19,IF(AND($R19&lt;&gt;"",EDATE($D19,Milestones!$AA$155)&gt;=$R19),$U19,$T19)))=Milestones!$AB$155),TEXT(EDATE($D19,Milestones!$AA$155),"dd/mm/yy")&amp;" "&amp;Milestones!$AB$155&amp;" "&amp;Milestones!$AC$155&amp;";  ","")&amp;IF(AND(EDATE($D19,Milestones!$AA$156)&lt;=AsOfDate,IF($Q19=0,$W19,IF(AND($S19&lt;&gt;"",EDATE($D19,Milestones!$AA$156)&gt;=$S19),$V19,IF(AND($R19&lt;&gt;"",EDATE($D19,Milestones!$AA$156)&gt;=$R19),$U19,$T19)))=Milestones!$AB$156),TEXT(EDATE($D19,Milestones!$AA$156),"dd/mm/yy")&amp;" "&amp;Milestones!$AB$156&amp;" "&amp;Milestones!$AC$156&amp;";  ","")&amp;IF(AND(EDATE($D19,Milestones!$AA$157)&lt;=AsOfDate,IF($Q19=0,$W19,IF(AND($S19&lt;&gt;"",EDATE($D19,Milestones!$AA$157)&gt;=$S19),$V19,IF(AND($R19&lt;&gt;"",EDATE($D19,Milestones!$AA$157)&gt;=$R19),$U19,$T19)))=Milestones!$AB$157),TEXT(EDATE($D19,Milestones!$AA$157),"dd/mm/yy")&amp;" "&amp;Milestones!$AB$157&amp;" "&amp;Milestones!$AC$157&amp;";  ","")&amp;IF(AND(EDATE($D19,Milestones!$AA$158)&lt;=AsOfDate,IF($Q19=0,$W19,IF(AND($S19&lt;&gt;"",EDATE($D19,Milestones!$AA$158)&gt;=$S19),$V19,IF(AND($R19&lt;&gt;"",EDATE($D19,Milestones!$AA$158)&gt;=$R19),$U19,$T19)))=Milestones!$AB$158),TEXT(EDATE($D19,Milestones!$AA$158),"dd/mm/yy")&amp;" "&amp;Milestones!$AB$158&amp;" "&amp;Milestones!$AC$158&amp;";  ","")&amp;IF(AND(EDATE($D19,Milestones!$AA$159)&lt;=AsOfDate,IF($Q19=0,$W19,IF(AND($S19&lt;&gt;"",EDATE($D19,Milestones!$AA$159)&gt;=$S19),$V19,IF(AND($R19&lt;&gt;"",EDATE($D19,Milestones!$AA$159)&gt;=$R19),$U19,$T19)))=Milestones!$AB$159),TEXT(EDATE($D19,Milestones!$AA$159),"dd/mm/yy")&amp;" "&amp;Milestones!$AB$159&amp;" "&amp;Milestones!$AC$159&amp;";  ",""))</f>
        <v/>
      </c>
      <c r="O19" s="0" t="str">
        <f aca="false">IF(OR($A19="",$D19=""),"",IF(AND(EDATE($D19,Milestones!$AA$160)&lt;=AsOfDate,IF($Q19=0,$W19,IF(AND($S19&lt;&gt;"",EDATE($D19,Milestones!$AA$160)&gt;=$S19),$V19,IF(AND($R19&lt;&gt;"",EDATE($D19,Milestones!$AA$160)&gt;=$R19),$U19,$T19)))=Milestones!$AB$160),TEXT(EDATE($D19,Milestones!$AA$160),"dd/mm/yy")&amp;" "&amp;Milestones!$AB$160&amp;" "&amp;Milestones!$AC$160&amp;";  ","")&amp;IF(AND(EDATE($D19,Milestones!$AA$161)&lt;=AsOfDate,IF($Q19=0,$W19,IF(AND($S19&lt;&gt;"",EDATE($D19,Milestones!$AA$161)&gt;=$S19),$V19,IF(AND($R19&lt;&gt;"",EDATE($D19,Milestones!$AA$161)&gt;=$R19),$U19,$T19)))=Milestones!$AB$161),TEXT(EDATE($D19,Milestones!$AA$161),"dd/mm/yy")&amp;" "&amp;Milestones!$AB$161&amp;" "&amp;Milestones!$AC$161&amp;";  ","")&amp;IF(AND(EDATE($D19,Milestones!$AA$162)&lt;=AsOfDate,IF($Q19=0,$W19,IF(AND($S19&lt;&gt;"",EDATE($D19,Milestones!$AA$162)&gt;=$S19),$V19,IF(AND($R19&lt;&gt;"",EDATE($D19,Milestones!$AA$162)&gt;=$R19),$U19,$T19)))=Milestones!$AB$162),TEXT(EDATE($D19,Milestones!$AA$162),"dd/mm/yy")&amp;" "&amp;Milestones!$AB$162&amp;" "&amp;Milestones!$AC$162&amp;";  ","")&amp;IF(AND(EDATE($D19,Milestones!$AA$163)&lt;=AsOfDate,IF($Q19=0,$W19,IF(AND($S19&lt;&gt;"",EDATE($D19,Milestones!$AA$163)&gt;=$S19),$V19,IF(AND($R19&lt;&gt;"",EDATE($D19,Milestones!$AA$163)&gt;=$R19),$U19,$T19)))=Milestones!$AB$163),TEXT(EDATE($D19,Milestones!$AA$163),"dd/mm/yy")&amp;" "&amp;Milestones!$AB$163&amp;" "&amp;Milestones!$AC$163&amp;";  ","")&amp;IF(AND(EDATE($D19,Milestones!$AA$164)&lt;=AsOfDate,IF($Q19=0,$W19,IF(AND($S19&lt;&gt;"",EDATE($D19,Milestones!$AA$164)&gt;=$S19),$V19,IF(AND($R19&lt;&gt;"",EDATE($D19,Milestones!$AA$164)&gt;=$R19),$U19,$T19)))=Milestones!$AB$164),TEXT(EDATE($D19,Milestones!$AA$164),"dd/mm/yy")&amp;" "&amp;Milestones!$AB$164&amp;" "&amp;Milestones!$AC$164&amp;";  ","")&amp;IF(AND(EDATE($D19,Milestones!$AA$165)&lt;=AsOfDate,IF($Q19=0,$W19,IF(AND($S19&lt;&gt;"",EDATE($D19,Milestones!$AA$165)&gt;=$S19),$V19,IF(AND($R19&lt;&gt;"",EDATE($D19,Milestones!$AA$165)&gt;=$R19),$U19,$T19)))=Milestones!$AB$165),TEXT(EDATE($D19,Milestones!$AA$165),"dd/mm/yy")&amp;" "&amp;Milestones!$AB$165&amp;" "&amp;Milestones!$AC$165&amp;";  ","")&amp;IF(AND(EDATE($D19,Milestones!$AA$166)&lt;=AsOfDate,IF($Q19=0,$W19,IF(AND($S19&lt;&gt;"",EDATE($D19,Milestones!$AA$166)&gt;=$S19),$V19,IF(AND($R19&lt;&gt;"",EDATE($D19,Milestones!$AA$166)&gt;=$R19),$U19,$T19)))=Milestones!$AB$166),TEXT(EDATE($D19,Milestones!$AA$166),"dd/mm/yy")&amp;" "&amp;Milestones!$AB$166&amp;" "&amp;Milestones!$AC$166&amp;";  ","")&amp;IF(AND(EDATE($D19,Milestones!$AA$167)&lt;=AsOfDate,IF($Q19=0,$W19,IF(AND($S19&lt;&gt;"",EDATE($D19,Milestones!$AA$167)&gt;=$S19),$V19,IF(AND($R19&lt;&gt;"",EDATE($D19,Milestones!$AA$167)&gt;=$R19),$U19,$T19)))=Milestones!$AB$167),TEXT(EDATE($D19,Milestones!$AA$167),"dd/mm/yy")&amp;" "&amp;Milestones!$AB$167&amp;" "&amp;Milestones!$AC$167&amp;";  ","")&amp;IF(AND(EDATE($D19,Milestones!$AA$168)&lt;=AsOfDate,IF($Q19=0,$W19,IF(AND($S19&lt;&gt;"",EDATE($D19,Milestones!$AA$168)&gt;=$S19),$V19,IF(AND($R19&lt;&gt;"",EDATE($D19,Milestones!$AA$168)&gt;=$R19),$U19,$T19)))=Milestones!$AB$168),TEXT(EDATE($D19,Milestones!$AA$168),"dd/mm/yy")&amp;" "&amp;Milestones!$AB$168&amp;" "&amp;Milestones!$AC$168&amp;";  ","")&amp;IF(AND(EDATE($D19,Milestones!$AA$169)&lt;=AsOfDate,IF($Q19=0,$W19,IF(AND($S19&lt;&gt;"",EDATE($D19,Milestones!$AA$169)&gt;=$S19),$V19,IF(AND($R19&lt;&gt;"",EDATE($D19,Milestones!$AA$169)&gt;=$R19),$U19,$T19)))=Milestones!$AB$169),TEXT(EDATE($D19,Milestones!$AA$169),"dd/mm/yy")&amp;" "&amp;Milestones!$AB$169&amp;" "&amp;Milestones!$AC$169&amp;";  ","")&amp;IF(AND(EDATE($D19,Milestones!$AA$170)&lt;=AsOfDate,IF($Q19=0,$W19,IF(AND($S19&lt;&gt;"",EDATE($D19,Milestones!$AA$170)&gt;=$S19),$V19,IF(AND($R19&lt;&gt;"",EDATE($D19,Milestones!$AA$170)&gt;=$R19),$U19,$T19)))=Milestones!$AB$170),TEXT(EDATE($D19,Milestones!$AA$170),"dd/mm/yy")&amp;" "&amp;Milestones!$AB$170&amp;" "&amp;Milestones!$AC$170&amp;";  ","")&amp;IF(AND(EDATE($D19,Milestones!$AA$171)&lt;=AsOfDate,IF($Q19=0,$W19,IF(AND($S19&lt;&gt;"",EDATE($D19,Milestones!$AA$171)&gt;=$S19),$V19,IF(AND($R19&lt;&gt;"",EDATE($D19,Milestones!$AA$171)&gt;=$R19),$U19,$T19)))=Milestones!$AB$171),TEXT(EDATE($D19,Milestones!$AA$171),"dd/mm/yy")&amp;" "&amp;Milestones!$AB$171&amp;" "&amp;Milestones!$AC$171&amp;";  ","")&amp;IF(AND(EDATE($D19,Milestones!$AA$172)&lt;=AsOfDate,IF($Q19=0,$W19,IF(AND($S19&lt;&gt;"",EDATE($D19,Milestones!$AA$172)&gt;=$S19),$V19,IF(AND($R19&lt;&gt;"",EDATE($D19,Milestones!$AA$172)&gt;=$R19),$U19,$T19)))=Milestones!$AB$172),TEXT(EDATE($D19,Milestones!$AA$172),"dd/mm/yy")&amp;" "&amp;Milestones!$AB$172&amp;" "&amp;Milestones!$AC$172&amp;";  ","")&amp;IF(AND(EDATE($D19,Milestones!$AA$173)&lt;=AsOfDate,IF($Q19=0,$W19,IF(AND($S19&lt;&gt;"",EDATE($D19,Milestones!$AA$173)&gt;=$S19),$V19,IF(AND($R19&lt;&gt;"",EDATE($D19,Milestones!$AA$173)&gt;=$R19),$U19,$T19)))=Milestones!$AB$173),TEXT(EDATE($D19,Milestones!$AA$173),"dd/mm/yy")&amp;" "&amp;Milestones!$AB$173&amp;" "&amp;Milestones!$AC$173&amp;";  ","")&amp;IF(AND(EDATE($D19,Milestones!$AA$174)&lt;=AsOfDate,IF($Q19=0,$W19,IF(AND($S19&lt;&gt;"",EDATE($D19,Milestones!$AA$174)&gt;=$S19),$V19,IF(AND($R19&lt;&gt;"",EDATE($D19,Milestones!$AA$174)&gt;=$R19),$U19,$T19)))=Milestones!$AB$174),TEXT(EDATE($D19,Milestones!$AA$174),"dd/mm/yy")&amp;" "&amp;Milestones!$AB$174&amp;" "&amp;Milestones!$AC$174&amp;";  ","")&amp;IF(AND(EDATE($D19,Milestones!$AA$175)&lt;=AsOfDate,IF($Q19=0,$W19,IF(AND($S19&lt;&gt;"",EDATE($D19,Milestones!$AA$175)&gt;=$S19),$V19,IF(AND($R19&lt;&gt;"",EDATE($D19,Milestones!$AA$175)&gt;=$R19),$U19,$T19)))=Milestones!$AB$175),TEXT(EDATE($D19,Milestones!$AA$175),"dd/mm/yy")&amp;" "&amp;Milestones!$AB$175&amp;" "&amp;Milestones!$AC$175&amp;";  ","")&amp;IF(AND(EDATE($D19,Milestones!$AA$176)&lt;=AsOfDate,IF($Q19=0,$W19,IF(AND($S19&lt;&gt;"",EDATE($D19,Milestones!$AA$176)&gt;=$S19),$V19,IF(AND($R19&lt;&gt;"",EDATE($D19,Milestones!$AA$176)&gt;=$R19),$U19,$T19)))=Milestones!$AB$176),TEXT(EDATE($D19,Milestones!$AA$176),"dd/mm/yy")&amp;" "&amp;Milestones!$AB$176&amp;" "&amp;Milestones!$AC$176&amp;";  ","")&amp;IF(AND(EDATE($D19,Milestones!$AA$177)&lt;=AsOfDate,IF($Q19=0,$W19,IF(AND($S19&lt;&gt;"",EDATE($D19,Milestones!$AA$177)&gt;=$S19),$V19,IF(AND($R19&lt;&gt;"",EDATE($D19,Milestones!$AA$177)&gt;=$R19),$U19,$T19)))=Milestones!$AB$177),TEXT(EDATE($D19,Milestones!$AA$177),"dd/mm/yy")&amp;" "&amp;Milestones!$AB$177&amp;" "&amp;Milestones!$AC$177&amp;";  ","")&amp;IF(AND(EDATE($D19,Milestones!$AA$178)&lt;=AsOfDate,IF($Q19=0,$W19,IF(AND($S19&lt;&gt;"",EDATE($D19,Milestones!$AA$178)&gt;=$S19),$V19,IF(AND($R19&lt;&gt;"",EDATE($D19,Milestones!$AA$178)&gt;=$R19),$U19,$T19)))=Milestones!$AB$178),TEXT(EDATE($D19,Milestones!$AA$178),"dd/mm/yy")&amp;" "&amp;Milestones!$AB$178&amp;" "&amp;Milestones!$AC$178&amp;";  ","")&amp;IF(AND(EDATE($D19,Milestones!$AA$179)&lt;=AsOfDate,IF($Q19=0,$W19,IF(AND($S19&lt;&gt;"",EDATE($D19,Milestones!$AA$179)&gt;=$S19),$V19,IF(AND($R19&lt;&gt;"",EDATE($D19,Milestones!$AA$179)&gt;=$R19),$U19,$T19)))=Milestones!$AB$179),TEXT(EDATE($D19,Milestones!$AA$179),"dd/mm/yy")&amp;" "&amp;Milestones!$AB$179&amp;" "&amp;Milestones!$AC$179&amp;";  ",""))</f>
        <v/>
      </c>
      <c r="P19" s="0" t="str">
        <f aca="false">IF(OR($A19="",$D19=""),"",IF(AND(EDATE($D19,Milestones!$AA$180)&lt;=AsOfDate,IF($Q19=0,$W19,IF(AND($S19&lt;&gt;"",EDATE($D19,Milestones!$AA$180)&gt;=$S19),$V19,IF(AND($R19&lt;&gt;"",EDATE($D19,Milestones!$AA$180)&gt;=$R19),$U19,$T19)))=Milestones!$AB$180),TEXT(EDATE($D19,Milestones!$AA$180),"dd/mm/yy")&amp;" "&amp;Milestones!$AB$180&amp;" "&amp;Milestones!$AC$180&amp;";  ","")&amp;IF(AND(EDATE($D19,Milestones!$AA$181)&lt;=AsOfDate,IF($Q19=0,$W19,IF(AND($S19&lt;&gt;"",EDATE($D19,Milestones!$AA$181)&gt;=$S19),$V19,IF(AND($R19&lt;&gt;"",EDATE($D19,Milestones!$AA$181)&gt;=$R19),$U19,$T19)))=Milestones!$AB$181),TEXT(EDATE($D19,Milestones!$AA$181),"dd/mm/yy")&amp;" "&amp;Milestones!$AB$181&amp;" "&amp;Milestones!$AC$181&amp;";  ","")&amp;IF(AND(EDATE($D19,Milestones!$AA$182)&lt;=AsOfDate,IF($Q19=0,$W19,IF(AND($S19&lt;&gt;"",EDATE($D19,Milestones!$AA$182)&gt;=$S19),$V19,IF(AND($R19&lt;&gt;"",EDATE($D19,Milestones!$AA$182)&gt;=$R19),$U19,$T19)))=Milestones!$AB$182),TEXT(EDATE($D19,Milestones!$AA$182),"dd/mm/yy")&amp;" "&amp;Milestones!$AB$182&amp;" "&amp;Milestones!$AC$182&amp;";  ","")&amp;IF(AND(EDATE($D19,Milestones!$AA$183)&lt;=AsOfDate,IF($Q19=0,$W19,IF(AND($S19&lt;&gt;"",EDATE($D19,Milestones!$AA$183)&gt;=$S19),$V19,IF(AND($R19&lt;&gt;"",EDATE($D19,Milestones!$AA$183)&gt;=$R19),$U19,$T19)))=Milestones!$AB$183),TEXT(EDATE($D19,Milestones!$AA$183),"dd/mm/yy")&amp;" "&amp;Milestones!$AB$183&amp;" "&amp;Milestones!$AC$183&amp;";  ","")&amp;IF(AND(EDATE($D19,Milestones!$AA$184)&lt;=AsOfDate,IF($Q19=0,$W19,IF(AND($S19&lt;&gt;"",EDATE($D19,Milestones!$AA$184)&gt;=$S19),$V19,IF(AND($R19&lt;&gt;"",EDATE($D19,Milestones!$AA$184)&gt;=$R19),$U19,$T19)))=Milestones!$AB$184),TEXT(EDATE($D19,Milestones!$AA$184),"dd/mm/yy")&amp;" "&amp;Milestones!$AB$184&amp;" "&amp;Milestones!$AC$184&amp;";  ","")&amp;IF(AND(EDATE($D19,Milestones!$AA$185)&lt;=AsOfDate,IF($Q19=0,$W19,IF(AND($S19&lt;&gt;"",EDATE($D19,Milestones!$AA$185)&gt;=$S19),$V19,IF(AND($R19&lt;&gt;"",EDATE($D19,Milestones!$AA$185)&gt;=$R19),$U19,$T19)))=Milestones!$AB$185),TEXT(EDATE($D19,Milestones!$AA$185),"dd/mm/yy")&amp;" "&amp;Milestones!$AB$185&amp;" "&amp;Milestones!$AC$185&amp;";  ","")&amp;IF(AND(EDATE($D19,Milestones!$AA$186)&lt;=AsOfDate,IF($Q19=0,$W19,IF(AND($S19&lt;&gt;"",EDATE($D19,Milestones!$AA$186)&gt;=$S19),$V19,IF(AND($R19&lt;&gt;"",EDATE($D19,Milestones!$AA$186)&gt;=$R19),$U19,$T19)))=Milestones!$AB$186),TEXT(EDATE($D19,Milestones!$AA$186),"dd/mm/yy")&amp;" "&amp;Milestones!$AB$186&amp;" "&amp;Milestones!$AC$186&amp;";  ","")&amp;IF(AND(EDATE($D19,Milestones!$AA$187)&lt;=AsOfDate,IF($Q19=0,$W19,IF(AND($S19&lt;&gt;"",EDATE($D19,Milestones!$AA$187)&gt;=$S19),$V19,IF(AND($R19&lt;&gt;"",EDATE($D19,Milestones!$AA$187)&gt;=$R19),$U19,$T19)))=Milestones!$AB$187),TEXT(EDATE($D19,Milestones!$AA$187),"dd/mm/yy")&amp;" "&amp;Milestones!$AB$187&amp;" "&amp;Milestones!$AC$187&amp;";  ","")&amp;IF(AND(EDATE($D19,Milestones!$AA$188)&lt;=AsOfDate,IF($Q19=0,$W19,IF(AND($S19&lt;&gt;"",EDATE($D19,Milestones!$AA$188)&gt;=$S19),$V19,IF(AND($R19&lt;&gt;"",EDATE($D19,Milestones!$AA$188)&gt;=$R19),$U19,$T19)))=Milestones!$AB$188),TEXT(EDATE($D19,Milestones!$AA$188),"dd/mm/yy")&amp;" "&amp;Milestones!$AB$188&amp;" "&amp;Milestones!$AC$188&amp;";  ","")&amp;IF(AND(EDATE($D19,Milestones!$AA$189)&lt;=AsOfDate,IF($Q19=0,$W19,IF(AND($S19&lt;&gt;"",EDATE($D19,Milestones!$AA$189)&gt;=$S19),$V19,IF(AND($R19&lt;&gt;"",EDATE($D19,Milestones!$AA$189)&gt;=$R19),$U19,$T19)))=Milestones!$AB$189),TEXT(EDATE($D19,Milestones!$AA$189),"dd/mm/yy")&amp;" "&amp;Milestones!$AB$189&amp;" "&amp;Milestones!$AC$189&amp;";  ","")&amp;IF(AND(EDATE($D19,Milestones!$AA$190)&lt;=AsOfDate,IF($Q19=0,$W19,IF(AND($S19&lt;&gt;"",EDATE($D19,Milestones!$AA$190)&gt;=$S19),$V19,IF(AND($R19&lt;&gt;"",EDATE($D19,Milestones!$AA$190)&gt;=$R19),$U19,$T19)))=Milestones!$AB$190),TEXT(EDATE($D19,Milestones!$AA$190),"dd/mm/yy")&amp;" "&amp;Milestones!$AB$190&amp;" "&amp;Milestones!$AC$190&amp;";  ","")&amp;IF(AND(EDATE($D19,Milestones!$AA$191)&lt;=AsOfDate,IF($Q19=0,$W19,IF(AND($S19&lt;&gt;"",EDATE($D19,Milestones!$AA$191)&gt;=$S19),$V19,IF(AND($R19&lt;&gt;"",EDATE($D19,Milestones!$AA$191)&gt;=$R19),$U19,$T19)))=Milestones!$AB$191),TEXT(EDATE($D19,Milestones!$AA$191),"dd/mm/yy")&amp;" "&amp;Milestones!$AB$191&amp;" "&amp;Milestones!$AC$191&amp;";  ","")&amp;IF(AND(EDATE($D19,Milestones!$AA$192)&lt;=AsOfDate,IF($Q19=0,$W19,IF(AND($S19&lt;&gt;"",EDATE($D19,Milestones!$AA$192)&gt;=$S19),$V19,IF(AND($R19&lt;&gt;"",EDATE($D19,Milestones!$AA$192)&gt;=$R19),$U19,$T19)))=Milestones!$AB$192),TEXT(EDATE($D19,Milestones!$AA$192),"dd/mm/yy")&amp;" "&amp;Milestones!$AB$192&amp;" "&amp;Milestones!$AC$192&amp;";  ","")&amp;IF(AND(EDATE($D19,Milestones!$AA$193)&lt;=AsOfDate,IF($Q19=0,$W19,IF(AND($S19&lt;&gt;"",EDATE($D19,Milestones!$AA$193)&gt;=$S19),$V19,IF(AND($R19&lt;&gt;"",EDATE($D19,Milestones!$AA$193)&gt;=$R19),$U19,$T19)))=Milestones!$AB$193),TEXT(EDATE($D19,Milestones!$AA$193),"dd/mm/yy")&amp;" "&amp;Milestones!$AB$193&amp;" "&amp;Milestones!$AC$193&amp;";  ","")&amp;IF(AND(EDATE($D19,Milestones!$AA$194)&lt;=AsOfDate,IF($Q19=0,$W19,IF(AND($S19&lt;&gt;"",EDATE($D19,Milestones!$AA$194)&gt;=$S19),$V19,IF(AND($R19&lt;&gt;"",EDATE($D19,Milestones!$AA$194)&gt;=$R19),$U19,$T19)))=Milestones!$AB$194),TEXT(EDATE($D19,Milestones!$AA$194),"dd/mm/yy")&amp;" "&amp;Milestones!$AB$194&amp;" "&amp;Milestones!$AC$194&amp;";  ","")&amp;IF(AND(EDATE($D19,Milestones!$AA$195)&lt;=AsOfDate,IF($Q19=0,$W19,IF(AND($S19&lt;&gt;"",EDATE($D19,Milestones!$AA$195)&gt;=$S19),$V19,IF(AND($R19&lt;&gt;"",EDATE($D19,Milestones!$AA$195)&gt;=$R19),$U19,$T19)))=Milestones!$AB$195),TEXT(EDATE($D19,Milestones!$AA$195),"dd/mm/yy")&amp;" "&amp;Milestones!$AB$195&amp;" "&amp;Milestones!$AC$195&amp;";  ","")&amp;IF(AND(EDATE($D19,Milestones!$AA$196)&lt;=AsOfDate,IF($Q19=0,$W19,IF(AND($S19&lt;&gt;"",EDATE($D19,Milestones!$AA$196)&gt;=$S19),$V19,IF(AND($R19&lt;&gt;"",EDATE($D19,Milestones!$AA$196)&gt;=$R19),$U19,$T19)))=Milestones!$AB$196),TEXT(EDATE($D19,Milestones!$AA$196),"dd/mm/yy")&amp;" "&amp;Milestones!$AB$196&amp;" "&amp;Milestones!$AC$196&amp;";  ","")&amp;IF(AND(EDATE($D19,Milestones!$AA$197)&lt;=AsOfDate,IF($Q19=0,$W19,IF(AND($S19&lt;&gt;"",EDATE($D19,Milestones!$AA$197)&gt;=$S19),$V19,IF(AND($R19&lt;&gt;"",EDATE($D19,Milestones!$AA$197)&gt;=$R19),$U19,$T19)))=Milestones!$AB$197),TEXT(EDATE($D19,Milestones!$AA$197),"dd/mm/yy")&amp;" "&amp;Milestones!$AB$197&amp;" "&amp;Milestones!$AC$197&amp;";  ","")&amp;IF(AND(EDATE($D19,Milestones!$AA$198)&lt;=AsOfDate,IF($Q19=0,$W19,IF(AND($S19&lt;&gt;"",EDATE($D19,Milestones!$AA$198)&gt;=$S19),$V19,IF(AND($R19&lt;&gt;"",EDATE($D19,Milestones!$AA$198)&gt;=$R19),$U19,$T19)))=Milestones!$AB$198),TEXT(EDATE($D19,Milestones!$AA$198),"dd/mm/yy")&amp;" "&amp;Milestones!$AB$198&amp;" "&amp;Milestones!$AC$198&amp;";  ","")&amp;IF(AND(EDATE($D19,Milestones!$AA$199)&lt;=AsOfDate,IF($Q19=0,$W19,IF(AND($S19&lt;&gt;"",EDATE($D19,Milestones!$AA$199)&gt;=$S19),$V19,IF(AND($R19&lt;&gt;"",EDATE($D19,Milestones!$AA$199)&gt;=$R19),$U19,$T19)))=Milestones!$AB$199),TEXT(EDATE($D19,Milestones!$AA$199),"dd/mm/yy")&amp;" "&amp;Milestones!$AB$199&amp;" "&amp;Milestones!$AC$199&amp;";  ",""))</f>
        <v/>
      </c>
      <c r="Q19" s="0" t="str">
        <f aca="false">IF(Staff!$A19="","",Staff!$AG19)</f>
        <v/>
      </c>
      <c r="R19" s="0" t="str">
        <f aca="false">IF(Staff!$A19="","",Staff!$AI19)</f>
        <v/>
      </c>
      <c r="S19" s="0" t="str">
        <f aca="false">IF(Staff!$A19="","",Staff!$AJ19)</f>
        <v/>
      </c>
      <c r="T19" s="0" t="str">
        <f aca="false">IF(Staff!$A19="","",Staff!$AN19)</f>
        <v/>
      </c>
      <c r="U19" s="0" t="str">
        <f aca="false">IF(Staff!$A19="","",Staff!$AO19)</f>
        <v/>
      </c>
      <c r="V19" s="0" t="str">
        <f aca="false">IF(Staff!$A19="","",Staff!$AP19)</f>
        <v/>
      </c>
      <c r="W19" s="0" t="str">
        <f aca="false">IF(Staff!$A19="","",Staff!$AQ19)</f>
        <v/>
      </c>
    </row>
    <row r="20" customFormat="false" ht="15" hidden="false" customHeight="false" outlineLevel="0" collapsed="false">
      <c r="A20" s="13" t="str">
        <f aca="false">IF(Staff!$A20="","",Staff!$A20)</f>
        <v/>
      </c>
      <c r="B20" s="13" t="str">
        <f aca="false">IF(Staff!$A20="","",Staff!$B20)</f>
        <v/>
      </c>
      <c r="C20" s="13" t="str">
        <f aca="false">IF(Staff!$A20="","",Staff!$C20)</f>
        <v/>
      </c>
      <c r="D20" s="11" t="str">
        <f aca="false">IF(Staff!$A20="","",Staff!$AF20)</f>
        <v/>
      </c>
      <c r="E20" s="13" t="str">
        <f aca="false">IF(Staff!$A20="","",Staff!$O20)</f>
        <v/>
      </c>
      <c r="F20" s="13" t="str">
        <f aca="false">IF(E20="","",E20*HoursPerDay)</f>
        <v/>
      </c>
      <c r="G20" s="26" t="str">
        <f aca="false">IF($A20="","",H20&amp;I20&amp;J20&amp;K20&amp;L20&amp;M20&amp;N20&amp;O20&amp;P20)</f>
        <v/>
      </c>
      <c r="H20" s="0" t="str">
        <f aca="false">IF(OR($A20="",$D20=""),"",IF(AND(EDATE($D20,Milestones!$AA$20)&lt;=AsOfDate,IF($Q20=0,$W20,IF(AND($S20&lt;&gt;"",EDATE($D20,Milestones!$AA$20)&gt;=$S20),$V20,IF(AND($R20&lt;&gt;"",EDATE($D20,Milestones!$AA$20)&gt;=$R20),$U20,$T20)))=Milestones!$AB$20),TEXT(EDATE($D20,Milestones!$AA$20),"dd/mm/yy")&amp;" "&amp;Milestones!$AB$20&amp;" "&amp;Milestones!$AC$20&amp;";  ","")&amp;IF(AND(EDATE($D20,Milestones!$AA$21)&lt;=AsOfDate,IF($Q20=0,$W20,IF(AND($S20&lt;&gt;"",EDATE($D20,Milestones!$AA$21)&gt;=$S20),$V20,IF(AND($R20&lt;&gt;"",EDATE($D20,Milestones!$AA$21)&gt;=$R20),$U20,$T20)))=Milestones!$AB$21),TEXT(EDATE($D20,Milestones!$AA$21),"dd/mm/yy")&amp;" "&amp;Milestones!$AB$21&amp;" "&amp;Milestones!$AC$21&amp;";  ","")&amp;IF(AND(EDATE($D20,Milestones!$AA$22)&lt;=AsOfDate,IF($Q20=0,$W20,IF(AND($S20&lt;&gt;"",EDATE($D20,Milestones!$AA$22)&gt;=$S20),$V20,IF(AND($R20&lt;&gt;"",EDATE($D20,Milestones!$AA$22)&gt;=$R20),$U20,$T20)))=Milestones!$AB$22),TEXT(EDATE($D20,Milestones!$AA$22),"dd/mm/yy")&amp;" "&amp;Milestones!$AB$22&amp;" "&amp;Milestones!$AC$22&amp;";  ","")&amp;IF(AND(EDATE($D20,Milestones!$AA$23)&lt;=AsOfDate,IF($Q20=0,$W20,IF(AND($S20&lt;&gt;"",EDATE($D20,Milestones!$AA$23)&gt;=$S20),$V20,IF(AND($R20&lt;&gt;"",EDATE($D20,Milestones!$AA$23)&gt;=$R20),$U20,$T20)))=Milestones!$AB$23),TEXT(EDATE($D20,Milestones!$AA$23),"dd/mm/yy")&amp;" "&amp;Milestones!$AB$23&amp;" "&amp;Milestones!$AC$23&amp;";  ","")&amp;IF(AND(EDATE($D20,Milestones!$AA$24)&lt;=AsOfDate,IF($Q20=0,$W20,IF(AND($S20&lt;&gt;"",EDATE($D20,Milestones!$AA$24)&gt;=$S20),$V20,IF(AND($R20&lt;&gt;"",EDATE($D20,Milestones!$AA$24)&gt;=$R20),$U20,$T20)))=Milestones!$AB$24),TEXT(EDATE($D20,Milestones!$AA$24),"dd/mm/yy")&amp;" "&amp;Milestones!$AB$24&amp;" "&amp;Milestones!$AC$24&amp;";  ","")&amp;IF(AND(EDATE($D20,Milestones!$AA$25)&lt;=AsOfDate,IF($Q20=0,$W20,IF(AND($S20&lt;&gt;"",EDATE($D20,Milestones!$AA$25)&gt;=$S20),$V20,IF(AND($R20&lt;&gt;"",EDATE($D20,Milestones!$AA$25)&gt;=$R20),$U20,$T20)))=Milestones!$AB$25),TEXT(EDATE($D20,Milestones!$AA$25),"dd/mm/yy")&amp;" "&amp;Milestones!$AB$25&amp;" "&amp;Milestones!$AC$25&amp;";  ","")&amp;IF(AND(EDATE($D20,Milestones!$AA$26)&lt;=AsOfDate,IF($Q20=0,$W20,IF(AND($S20&lt;&gt;"",EDATE($D20,Milestones!$AA$26)&gt;=$S20),$V20,IF(AND($R20&lt;&gt;"",EDATE($D20,Milestones!$AA$26)&gt;=$R20),$U20,$T20)))=Milestones!$AB$26),TEXT(EDATE($D20,Milestones!$AA$26),"dd/mm/yy")&amp;" "&amp;Milestones!$AB$26&amp;" "&amp;Milestones!$AC$26&amp;";  ","")&amp;IF(AND(EDATE($D20,Milestones!$AA$27)&lt;=AsOfDate,IF($Q20=0,$W20,IF(AND($S20&lt;&gt;"",EDATE($D20,Milestones!$AA$27)&gt;=$S20),$V20,IF(AND($R20&lt;&gt;"",EDATE($D20,Milestones!$AA$27)&gt;=$R20),$U20,$T20)))=Milestones!$AB$27),TEXT(EDATE($D20,Milestones!$AA$27),"dd/mm/yy")&amp;" "&amp;Milestones!$AB$27&amp;" "&amp;Milestones!$AC$27&amp;";  ","")&amp;IF(AND(EDATE($D20,Milestones!$AA$28)&lt;=AsOfDate,IF($Q20=0,$W20,IF(AND($S20&lt;&gt;"",EDATE($D20,Milestones!$AA$28)&gt;=$S20),$V20,IF(AND($R20&lt;&gt;"",EDATE($D20,Milestones!$AA$28)&gt;=$R20),$U20,$T20)))=Milestones!$AB$28),TEXT(EDATE($D20,Milestones!$AA$28),"dd/mm/yy")&amp;" "&amp;Milestones!$AB$28&amp;" "&amp;Milestones!$AC$28&amp;";  ","")&amp;IF(AND(EDATE($D20,Milestones!$AA$29)&lt;=AsOfDate,IF($Q20=0,$W20,IF(AND($S20&lt;&gt;"",EDATE($D20,Milestones!$AA$29)&gt;=$S20),$V20,IF(AND($R20&lt;&gt;"",EDATE($D20,Milestones!$AA$29)&gt;=$R20),$U20,$T20)))=Milestones!$AB$29),TEXT(EDATE($D20,Milestones!$AA$29),"dd/mm/yy")&amp;" "&amp;Milestones!$AB$29&amp;" "&amp;Milestones!$AC$29&amp;";  ","")&amp;IF(AND(EDATE($D20,Milestones!$AA$30)&lt;=AsOfDate,IF($Q20=0,$W20,IF(AND($S20&lt;&gt;"",EDATE($D20,Milestones!$AA$30)&gt;=$S20),$V20,IF(AND($R20&lt;&gt;"",EDATE($D20,Milestones!$AA$30)&gt;=$R20),$U20,$T20)))=Milestones!$AB$30),TEXT(EDATE($D20,Milestones!$AA$30),"dd/mm/yy")&amp;" "&amp;Milestones!$AB$30&amp;" "&amp;Milestones!$AC$30&amp;";  ","")&amp;IF(AND(EDATE($D20,Milestones!$AA$31)&lt;=AsOfDate,IF($Q20=0,$W20,IF(AND($S20&lt;&gt;"",EDATE($D20,Milestones!$AA$31)&gt;=$S20),$V20,IF(AND($R20&lt;&gt;"",EDATE($D20,Milestones!$AA$31)&gt;=$R20),$U20,$T20)))=Milestones!$AB$31),TEXT(EDATE($D20,Milestones!$AA$31),"dd/mm/yy")&amp;" "&amp;Milestones!$AB$31&amp;" "&amp;Milestones!$AC$31&amp;";  ","")&amp;IF(AND(EDATE($D20,Milestones!$AA$32)&lt;=AsOfDate,IF($Q20=0,$W20,IF(AND($S20&lt;&gt;"",EDATE($D20,Milestones!$AA$32)&gt;=$S20),$V20,IF(AND($R20&lt;&gt;"",EDATE($D20,Milestones!$AA$32)&gt;=$R20),$U20,$T20)))=Milestones!$AB$32),TEXT(EDATE($D20,Milestones!$AA$32),"dd/mm/yy")&amp;" "&amp;Milestones!$AB$32&amp;" "&amp;Milestones!$AC$32&amp;";  ","")&amp;IF(AND(EDATE($D20,Milestones!$AA$33)&lt;=AsOfDate,IF($Q20=0,$W20,IF(AND($S20&lt;&gt;"",EDATE($D20,Milestones!$AA$33)&gt;=$S20),$V20,IF(AND($R20&lt;&gt;"",EDATE($D20,Milestones!$AA$33)&gt;=$R20),$U20,$T20)))=Milestones!$AB$33),TEXT(EDATE($D20,Milestones!$AA$33),"dd/mm/yy")&amp;" "&amp;Milestones!$AB$33&amp;" "&amp;Milestones!$AC$33&amp;";  ","")&amp;IF(AND(EDATE($D20,Milestones!$AA$34)&lt;=AsOfDate,IF($Q20=0,$W20,IF(AND($S20&lt;&gt;"",EDATE($D20,Milestones!$AA$34)&gt;=$S20),$V20,IF(AND($R20&lt;&gt;"",EDATE($D20,Milestones!$AA$34)&gt;=$R20),$U20,$T20)))=Milestones!$AB$34),TEXT(EDATE($D20,Milestones!$AA$34),"dd/mm/yy")&amp;" "&amp;Milestones!$AB$34&amp;" "&amp;Milestones!$AC$34&amp;";  ","")&amp;IF(AND(EDATE($D20,Milestones!$AA$35)&lt;=AsOfDate,IF($Q20=0,$W20,IF(AND($S20&lt;&gt;"",EDATE($D20,Milestones!$AA$35)&gt;=$S20),$V20,IF(AND($R20&lt;&gt;"",EDATE($D20,Milestones!$AA$35)&gt;=$R20),$U20,$T20)))=Milestones!$AB$35),TEXT(EDATE($D20,Milestones!$AA$35),"dd/mm/yy")&amp;" "&amp;Milestones!$AB$35&amp;" "&amp;Milestones!$AC$35&amp;";  ","")&amp;IF(AND(EDATE($D20,Milestones!$AA$36)&lt;=AsOfDate,IF($Q20=0,$W20,IF(AND($S20&lt;&gt;"",EDATE($D20,Milestones!$AA$36)&gt;=$S20),$V20,IF(AND($R20&lt;&gt;"",EDATE($D20,Milestones!$AA$36)&gt;=$R20),$U20,$T20)))=Milestones!$AB$36),TEXT(EDATE($D20,Milestones!$AA$36),"dd/mm/yy")&amp;" "&amp;Milestones!$AB$36&amp;" "&amp;Milestones!$AC$36&amp;";  ","")&amp;IF(AND(EDATE($D20,Milestones!$AA$37)&lt;=AsOfDate,IF($Q20=0,$W20,IF(AND($S20&lt;&gt;"",EDATE($D20,Milestones!$AA$37)&gt;=$S20),$V20,IF(AND($R20&lt;&gt;"",EDATE($D20,Milestones!$AA$37)&gt;=$R20),$U20,$T20)))=Milestones!$AB$37),TEXT(EDATE($D20,Milestones!$AA$37),"dd/mm/yy")&amp;" "&amp;Milestones!$AB$37&amp;" "&amp;Milestones!$AC$37&amp;";  ","")&amp;IF(AND(EDATE($D20,Milestones!$AA$38)&lt;=AsOfDate,IF($Q20=0,$W20,IF(AND($S20&lt;&gt;"",EDATE($D20,Milestones!$AA$38)&gt;=$S20),$V20,IF(AND($R20&lt;&gt;"",EDATE($D20,Milestones!$AA$38)&gt;=$R20),$U20,$T20)))=Milestones!$AB$38),TEXT(EDATE($D20,Milestones!$AA$38),"dd/mm/yy")&amp;" "&amp;Milestones!$AB$38&amp;" "&amp;Milestones!$AC$38&amp;";  ","")&amp;IF(AND(EDATE($D20,Milestones!$AA$39)&lt;=AsOfDate,IF($Q20=0,$W20,IF(AND($S20&lt;&gt;"",EDATE($D20,Milestones!$AA$39)&gt;=$S20),$V20,IF(AND($R20&lt;&gt;"",EDATE($D20,Milestones!$AA$39)&gt;=$R20),$U20,$T20)))=Milestones!$AB$39),TEXT(EDATE($D20,Milestones!$AA$39),"dd/mm/yy")&amp;" "&amp;Milestones!$AB$39&amp;" "&amp;Milestones!$AC$39&amp;";  ",""))</f>
        <v/>
      </c>
      <c r="I20" s="0" t="str">
        <f aca="false">IF(OR($A20="",$D20=""),"",IF(AND(EDATE($D20,Milestones!$AA$40)&lt;=AsOfDate,IF($Q20=0,$W20,IF(AND($S20&lt;&gt;"",EDATE($D20,Milestones!$AA$40)&gt;=$S20),$V20,IF(AND($R20&lt;&gt;"",EDATE($D20,Milestones!$AA$40)&gt;=$R20),$U20,$T20)))=Milestones!$AB$40),TEXT(EDATE($D20,Milestones!$AA$40),"dd/mm/yy")&amp;" "&amp;Milestones!$AB$40&amp;" "&amp;Milestones!$AC$40&amp;";  ","")&amp;IF(AND(EDATE($D20,Milestones!$AA$41)&lt;=AsOfDate,IF($Q20=0,$W20,IF(AND($S20&lt;&gt;"",EDATE($D20,Milestones!$AA$41)&gt;=$S20),$V20,IF(AND($R20&lt;&gt;"",EDATE($D20,Milestones!$AA$41)&gt;=$R20),$U20,$T20)))=Milestones!$AB$41),TEXT(EDATE($D20,Milestones!$AA$41),"dd/mm/yy")&amp;" "&amp;Milestones!$AB$41&amp;" "&amp;Milestones!$AC$41&amp;";  ","")&amp;IF(AND(EDATE($D20,Milestones!$AA$42)&lt;=AsOfDate,IF($Q20=0,$W20,IF(AND($S20&lt;&gt;"",EDATE($D20,Milestones!$AA$42)&gt;=$S20),$V20,IF(AND($R20&lt;&gt;"",EDATE($D20,Milestones!$AA$42)&gt;=$R20),$U20,$T20)))=Milestones!$AB$42),TEXT(EDATE($D20,Milestones!$AA$42),"dd/mm/yy")&amp;" "&amp;Milestones!$AB$42&amp;" "&amp;Milestones!$AC$42&amp;";  ","")&amp;IF(AND(EDATE($D20,Milestones!$AA$43)&lt;=AsOfDate,IF($Q20=0,$W20,IF(AND($S20&lt;&gt;"",EDATE($D20,Milestones!$AA$43)&gt;=$S20),$V20,IF(AND($R20&lt;&gt;"",EDATE($D20,Milestones!$AA$43)&gt;=$R20),$U20,$T20)))=Milestones!$AB$43),TEXT(EDATE($D20,Milestones!$AA$43),"dd/mm/yy")&amp;" "&amp;Milestones!$AB$43&amp;" "&amp;Milestones!$AC$43&amp;";  ","")&amp;IF(AND(EDATE($D20,Milestones!$AA$44)&lt;=AsOfDate,IF($Q20=0,$W20,IF(AND($S20&lt;&gt;"",EDATE($D20,Milestones!$AA$44)&gt;=$S20),$V20,IF(AND($R20&lt;&gt;"",EDATE($D20,Milestones!$AA$44)&gt;=$R20),$U20,$T20)))=Milestones!$AB$44),TEXT(EDATE($D20,Milestones!$AA$44),"dd/mm/yy")&amp;" "&amp;Milestones!$AB$44&amp;" "&amp;Milestones!$AC$44&amp;";  ","")&amp;IF(AND(EDATE($D20,Milestones!$AA$45)&lt;=AsOfDate,IF($Q20=0,$W20,IF(AND($S20&lt;&gt;"",EDATE($D20,Milestones!$AA$45)&gt;=$S20),$V20,IF(AND($R20&lt;&gt;"",EDATE($D20,Milestones!$AA$45)&gt;=$R20),$U20,$T20)))=Milestones!$AB$45),TEXT(EDATE($D20,Milestones!$AA$45),"dd/mm/yy")&amp;" "&amp;Milestones!$AB$45&amp;" "&amp;Milestones!$AC$45&amp;";  ","")&amp;IF(AND(EDATE($D20,Milestones!$AA$46)&lt;=AsOfDate,IF($Q20=0,$W20,IF(AND($S20&lt;&gt;"",EDATE($D20,Milestones!$AA$46)&gt;=$S20),$V20,IF(AND($R20&lt;&gt;"",EDATE($D20,Milestones!$AA$46)&gt;=$R20),$U20,$T20)))=Milestones!$AB$46),TEXT(EDATE($D20,Milestones!$AA$46),"dd/mm/yy")&amp;" "&amp;Milestones!$AB$46&amp;" "&amp;Milestones!$AC$46&amp;";  ","")&amp;IF(AND(EDATE($D20,Milestones!$AA$47)&lt;=AsOfDate,IF($Q20=0,$W20,IF(AND($S20&lt;&gt;"",EDATE($D20,Milestones!$AA$47)&gt;=$S20),$V20,IF(AND($R20&lt;&gt;"",EDATE($D20,Milestones!$AA$47)&gt;=$R20),$U20,$T20)))=Milestones!$AB$47),TEXT(EDATE($D20,Milestones!$AA$47),"dd/mm/yy")&amp;" "&amp;Milestones!$AB$47&amp;" "&amp;Milestones!$AC$47&amp;";  ","")&amp;IF(AND(EDATE($D20,Milestones!$AA$48)&lt;=AsOfDate,IF($Q20=0,$W20,IF(AND($S20&lt;&gt;"",EDATE($D20,Milestones!$AA$48)&gt;=$S20),$V20,IF(AND($R20&lt;&gt;"",EDATE($D20,Milestones!$AA$48)&gt;=$R20),$U20,$T20)))=Milestones!$AB$48),TEXT(EDATE($D20,Milestones!$AA$48),"dd/mm/yy")&amp;" "&amp;Milestones!$AB$48&amp;" "&amp;Milestones!$AC$48&amp;";  ","")&amp;IF(AND(EDATE($D20,Milestones!$AA$49)&lt;=AsOfDate,IF($Q20=0,$W20,IF(AND($S20&lt;&gt;"",EDATE($D20,Milestones!$AA$49)&gt;=$S20),$V20,IF(AND($R20&lt;&gt;"",EDATE($D20,Milestones!$AA$49)&gt;=$R20),$U20,$T20)))=Milestones!$AB$49),TEXT(EDATE($D20,Milestones!$AA$49),"dd/mm/yy")&amp;" "&amp;Milestones!$AB$49&amp;" "&amp;Milestones!$AC$49&amp;";  ","")&amp;IF(AND(EDATE($D20,Milestones!$AA$50)&lt;=AsOfDate,IF($Q20=0,$W20,IF(AND($S20&lt;&gt;"",EDATE($D20,Milestones!$AA$50)&gt;=$S20),$V20,IF(AND($R20&lt;&gt;"",EDATE($D20,Milestones!$AA$50)&gt;=$R20),$U20,$T20)))=Milestones!$AB$50),TEXT(EDATE($D20,Milestones!$AA$50),"dd/mm/yy")&amp;" "&amp;Milestones!$AB$50&amp;" "&amp;Milestones!$AC$50&amp;";  ","")&amp;IF(AND(EDATE($D20,Milestones!$AA$51)&lt;=AsOfDate,IF($Q20=0,$W20,IF(AND($S20&lt;&gt;"",EDATE($D20,Milestones!$AA$51)&gt;=$S20),$V20,IF(AND($R20&lt;&gt;"",EDATE($D20,Milestones!$AA$51)&gt;=$R20),$U20,$T20)))=Milestones!$AB$51),TEXT(EDATE($D20,Milestones!$AA$51),"dd/mm/yy")&amp;" "&amp;Milestones!$AB$51&amp;" "&amp;Milestones!$AC$51&amp;";  ","")&amp;IF(AND(EDATE($D20,Milestones!$AA$52)&lt;=AsOfDate,IF($Q20=0,$W20,IF(AND($S20&lt;&gt;"",EDATE($D20,Milestones!$AA$52)&gt;=$S20),$V20,IF(AND($R20&lt;&gt;"",EDATE($D20,Milestones!$AA$52)&gt;=$R20),$U20,$T20)))=Milestones!$AB$52),TEXT(EDATE($D20,Milestones!$AA$52),"dd/mm/yy")&amp;" "&amp;Milestones!$AB$52&amp;" "&amp;Milestones!$AC$52&amp;";  ","")&amp;IF(AND(EDATE($D20,Milestones!$AA$53)&lt;=AsOfDate,IF($Q20=0,$W20,IF(AND($S20&lt;&gt;"",EDATE($D20,Milestones!$AA$53)&gt;=$S20),$V20,IF(AND($R20&lt;&gt;"",EDATE($D20,Milestones!$AA$53)&gt;=$R20),$U20,$T20)))=Milestones!$AB$53),TEXT(EDATE($D20,Milestones!$AA$53),"dd/mm/yy")&amp;" "&amp;Milestones!$AB$53&amp;" "&amp;Milestones!$AC$53&amp;";  ","")&amp;IF(AND(EDATE($D20,Milestones!$AA$54)&lt;=AsOfDate,IF($Q20=0,$W20,IF(AND($S20&lt;&gt;"",EDATE($D20,Milestones!$AA$54)&gt;=$S20),$V20,IF(AND($R20&lt;&gt;"",EDATE($D20,Milestones!$AA$54)&gt;=$R20),$U20,$T20)))=Milestones!$AB$54),TEXT(EDATE($D20,Milestones!$AA$54),"dd/mm/yy")&amp;" "&amp;Milestones!$AB$54&amp;" "&amp;Milestones!$AC$54&amp;";  ","")&amp;IF(AND(EDATE($D20,Milestones!$AA$55)&lt;=AsOfDate,IF($Q20=0,$W20,IF(AND($S20&lt;&gt;"",EDATE($D20,Milestones!$AA$55)&gt;=$S20),$V20,IF(AND($R20&lt;&gt;"",EDATE($D20,Milestones!$AA$55)&gt;=$R20),$U20,$T20)))=Milestones!$AB$55),TEXT(EDATE($D20,Milestones!$AA$55),"dd/mm/yy")&amp;" "&amp;Milestones!$AB$55&amp;" "&amp;Milestones!$AC$55&amp;";  ","")&amp;IF(AND(EDATE($D20,Milestones!$AA$56)&lt;=AsOfDate,IF($Q20=0,$W20,IF(AND($S20&lt;&gt;"",EDATE($D20,Milestones!$AA$56)&gt;=$S20),$V20,IF(AND($R20&lt;&gt;"",EDATE($D20,Milestones!$AA$56)&gt;=$R20),$U20,$T20)))=Milestones!$AB$56),TEXT(EDATE($D20,Milestones!$AA$56),"dd/mm/yy")&amp;" "&amp;Milestones!$AB$56&amp;" "&amp;Milestones!$AC$56&amp;";  ","")&amp;IF(AND(EDATE($D20,Milestones!$AA$57)&lt;=AsOfDate,IF($Q20=0,$W20,IF(AND($S20&lt;&gt;"",EDATE($D20,Milestones!$AA$57)&gt;=$S20),$V20,IF(AND($R20&lt;&gt;"",EDATE($D20,Milestones!$AA$57)&gt;=$R20),$U20,$T20)))=Milestones!$AB$57),TEXT(EDATE($D20,Milestones!$AA$57),"dd/mm/yy")&amp;" "&amp;Milestones!$AB$57&amp;" "&amp;Milestones!$AC$57&amp;";  ","")&amp;IF(AND(EDATE($D20,Milestones!$AA$58)&lt;=AsOfDate,IF($Q20=0,$W20,IF(AND($S20&lt;&gt;"",EDATE($D20,Milestones!$AA$58)&gt;=$S20),$V20,IF(AND($R20&lt;&gt;"",EDATE($D20,Milestones!$AA$58)&gt;=$R20),$U20,$T20)))=Milestones!$AB$58),TEXT(EDATE($D20,Milestones!$AA$58),"dd/mm/yy")&amp;" "&amp;Milestones!$AB$58&amp;" "&amp;Milestones!$AC$58&amp;";  ","")&amp;IF(AND(EDATE($D20,Milestones!$AA$59)&lt;=AsOfDate,IF($Q20=0,$W20,IF(AND($S20&lt;&gt;"",EDATE($D20,Milestones!$AA$59)&gt;=$S20),$V20,IF(AND($R20&lt;&gt;"",EDATE($D20,Milestones!$AA$59)&gt;=$R20),$U20,$T20)))=Milestones!$AB$59),TEXT(EDATE($D20,Milestones!$AA$59),"dd/mm/yy")&amp;" "&amp;Milestones!$AB$59&amp;" "&amp;Milestones!$AC$59&amp;";  ",""))</f>
        <v/>
      </c>
      <c r="J20" s="0" t="str">
        <f aca="false">IF(OR($A20="",$D20=""),"",IF(AND(EDATE($D20,Milestones!$AA$60)&lt;=AsOfDate,IF($Q20=0,$W20,IF(AND($S20&lt;&gt;"",EDATE($D20,Milestones!$AA$60)&gt;=$S20),$V20,IF(AND($R20&lt;&gt;"",EDATE($D20,Milestones!$AA$60)&gt;=$R20),$U20,$T20)))=Milestones!$AB$60),TEXT(EDATE($D20,Milestones!$AA$60),"dd/mm/yy")&amp;" "&amp;Milestones!$AB$60&amp;" "&amp;Milestones!$AC$60&amp;";  ","")&amp;IF(AND(EDATE($D20,Milestones!$AA$61)&lt;=AsOfDate,IF($Q20=0,$W20,IF(AND($S20&lt;&gt;"",EDATE($D20,Milestones!$AA$61)&gt;=$S20),$V20,IF(AND($R20&lt;&gt;"",EDATE($D20,Milestones!$AA$61)&gt;=$R20),$U20,$T20)))=Milestones!$AB$61),TEXT(EDATE($D20,Milestones!$AA$61),"dd/mm/yy")&amp;" "&amp;Milestones!$AB$61&amp;" "&amp;Milestones!$AC$61&amp;";  ","")&amp;IF(AND(EDATE($D20,Milestones!$AA$62)&lt;=AsOfDate,IF($Q20=0,$W20,IF(AND($S20&lt;&gt;"",EDATE($D20,Milestones!$AA$62)&gt;=$S20),$V20,IF(AND($R20&lt;&gt;"",EDATE($D20,Milestones!$AA$62)&gt;=$R20),$U20,$T20)))=Milestones!$AB$62),TEXT(EDATE($D20,Milestones!$AA$62),"dd/mm/yy")&amp;" "&amp;Milestones!$AB$62&amp;" "&amp;Milestones!$AC$62&amp;";  ","")&amp;IF(AND(EDATE($D20,Milestones!$AA$63)&lt;=AsOfDate,IF($Q20=0,$W20,IF(AND($S20&lt;&gt;"",EDATE($D20,Milestones!$AA$63)&gt;=$S20),$V20,IF(AND($R20&lt;&gt;"",EDATE($D20,Milestones!$AA$63)&gt;=$R20),$U20,$T20)))=Milestones!$AB$63),TEXT(EDATE($D20,Milestones!$AA$63),"dd/mm/yy")&amp;" "&amp;Milestones!$AB$63&amp;" "&amp;Milestones!$AC$63&amp;";  ","")&amp;IF(AND(EDATE($D20,Milestones!$AA$64)&lt;=AsOfDate,IF($Q20=0,$W20,IF(AND($S20&lt;&gt;"",EDATE($D20,Milestones!$AA$64)&gt;=$S20),$V20,IF(AND($R20&lt;&gt;"",EDATE($D20,Milestones!$AA$64)&gt;=$R20),$U20,$T20)))=Milestones!$AB$64),TEXT(EDATE($D20,Milestones!$AA$64),"dd/mm/yy")&amp;" "&amp;Milestones!$AB$64&amp;" "&amp;Milestones!$AC$64&amp;";  ","")&amp;IF(AND(EDATE($D20,Milestones!$AA$65)&lt;=AsOfDate,IF($Q20=0,$W20,IF(AND($S20&lt;&gt;"",EDATE($D20,Milestones!$AA$65)&gt;=$S20),$V20,IF(AND($R20&lt;&gt;"",EDATE($D20,Milestones!$AA$65)&gt;=$R20),$U20,$T20)))=Milestones!$AB$65),TEXT(EDATE($D20,Milestones!$AA$65),"dd/mm/yy")&amp;" "&amp;Milestones!$AB$65&amp;" "&amp;Milestones!$AC$65&amp;";  ","")&amp;IF(AND(EDATE($D20,Milestones!$AA$66)&lt;=AsOfDate,IF($Q20=0,$W20,IF(AND($S20&lt;&gt;"",EDATE($D20,Milestones!$AA$66)&gt;=$S20),$V20,IF(AND($R20&lt;&gt;"",EDATE($D20,Milestones!$AA$66)&gt;=$R20),$U20,$T20)))=Milestones!$AB$66),TEXT(EDATE($D20,Milestones!$AA$66),"dd/mm/yy")&amp;" "&amp;Milestones!$AB$66&amp;" "&amp;Milestones!$AC$66&amp;";  ","")&amp;IF(AND(EDATE($D20,Milestones!$AA$67)&lt;=AsOfDate,IF($Q20=0,$W20,IF(AND($S20&lt;&gt;"",EDATE($D20,Milestones!$AA$67)&gt;=$S20),$V20,IF(AND($R20&lt;&gt;"",EDATE($D20,Milestones!$AA$67)&gt;=$R20),$U20,$T20)))=Milestones!$AB$67),TEXT(EDATE($D20,Milestones!$AA$67),"dd/mm/yy")&amp;" "&amp;Milestones!$AB$67&amp;" "&amp;Milestones!$AC$67&amp;";  ","")&amp;IF(AND(EDATE($D20,Milestones!$AA$68)&lt;=AsOfDate,IF($Q20=0,$W20,IF(AND($S20&lt;&gt;"",EDATE($D20,Milestones!$AA$68)&gt;=$S20),$V20,IF(AND($R20&lt;&gt;"",EDATE($D20,Milestones!$AA$68)&gt;=$R20),$U20,$T20)))=Milestones!$AB$68),TEXT(EDATE($D20,Milestones!$AA$68),"dd/mm/yy")&amp;" "&amp;Milestones!$AB$68&amp;" "&amp;Milestones!$AC$68&amp;";  ","")&amp;IF(AND(EDATE($D20,Milestones!$AA$69)&lt;=AsOfDate,IF($Q20=0,$W20,IF(AND($S20&lt;&gt;"",EDATE($D20,Milestones!$AA$69)&gt;=$S20),$V20,IF(AND($R20&lt;&gt;"",EDATE($D20,Milestones!$AA$69)&gt;=$R20),$U20,$T20)))=Milestones!$AB$69),TEXT(EDATE($D20,Milestones!$AA$69),"dd/mm/yy")&amp;" "&amp;Milestones!$AB$69&amp;" "&amp;Milestones!$AC$69&amp;";  ","")&amp;IF(AND(EDATE($D20,Milestones!$AA$70)&lt;=AsOfDate,IF($Q20=0,$W20,IF(AND($S20&lt;&gt;"",EDATE($D20,Milestones!$AA$70)&gt;=$S20),$V20,IF(AND($R20&lt;&gt;"",EDATE($D20,Milestones!$AA$70)&gt;=$R20),$U20,$T20)))=Milestones!$AB$70),TEXT(EDATE($D20,Milestones!$AA$70),"dd/mm/yy")&amp;" "&amp;Milestones!$AB$70&amp;" "&amp;Milestones!$AC$70&amp;";  ","")&amp;IF(AND(EDATE($D20,Milestones!$AA$71)&lt;=AsOfDate,IF($Q20=0,$W20,IF(AND($S20&lt;&gt;"",EDATE($D20,Milestones!$AA$71)&gt;=$S20),$V20,IF(AND($R20&lt;&gt;"",EDATE($D20,Milestones!$AA$71)&gt;=$R20),$U20,$T20)))=Milestones!$AB$71),TEXT(EDATE($D20,Milestones!$AA$71),"dd/mm/yy")&amp;" "&amp;Milestones!$AB$71&amp;" "&amp;Milestones!$AC$71&amp;";  ","")&amp;IF(AND(EDATE($D20,Milestones!$AA$72)&lt;=AsOfDate,IF($Q20=0,$W20,IF(AND($S20&lt;&gt;"",EDATE($D20,Milestones!$AA$72)&gt;=$S20),$V20,IF(AND($R20&lt;&gt;"",EDATE($D20,Milestones!$AA$72)&gt;=$R20),$U20,$T20)))=Milestones!$AB$72),TEXT(EDATE($D20,Milestones!$AA$72),"dd/mm/yy")&amp;" "&amp;Milestones!$AB$72&amp;" "&amp;Milestones!$AC$72&amp;";  ","")&amp;IF(AND(EDATE($D20,Milestones!$AA$73)&lt;=AsOfDate,IF($Q20=0,$W20,IF(AND($S20&lt;&gt;"",EDATE($D20,Milestones!$AA$73)&gt;=$S20),$V20,IF(AND($R20&lt;&gt;"",EDATE($D20,Milestones!$AA$73)&gt;=$R20),$U20,$T20)))=Milestones!$AB$73),TEXT(EDATE($D20,Milestones!$AA$73),"dd/mm/yy")&amp;" "&amp;Milestones!$AB$73&amp;" "&amp;Milestones!$AC$73&amp;";  ","")&amp;IF(AND(EDATE($D20,Milestones!$AA$74)&lt;=AsOfDate,IF($Q20=0,$W20,IF(AND($S20&lt;&gt;"",EDATE($D20,Milestones!$AA$74)&gt;=$S20),$V20,IF(AND($R20&lt;&gt;"",EDATE($D20,Milestones!$AA$74)&gt;=$R20),$U20,$T20)))=Milestones!$AB$74),TEXT(EDATE($D20,Milestones!$AA$74),"dd/mm/yy")&amp;" "&amp;Milestones!$AB$74&amp;" "&amp;Milestones!$AC$74&amp;";  ","")&amp;IF(AND(EDATE($D20,Milestones!$AA$75)&lt;=AsOfDate,IF($Q20=0,$W20,IF(AND($S20&lt;&gt;"",EDATE($D20,Milestones!$AA$75)&gt;=$S20),$V20,IF(AND($R20&lt;&gt;"",EDATE($D20,Milestones!$AA$75)&gt;=$R20),$U20,$T20)))=Milestones!$AB$75),TEXT(EDATE($D20,Milestones!$AA$75),"dd/mm/yy")&amp;" "&amp;Milestones!$AB$75&amp;" "&amp;Milestones!$AC$75&amp;";  ","")&amp;IF(AND(EDATE($D20,Milestones!$AA$76)&lt;=AsOfDate,IF($Q20=0,$W20,IF(AND($S20&lt;&gt;"",EDATE($D20,Milestones!$AA$76)&gt;=$S20),$V20,IF(AND($R20&lt;&gt;"",EDATE($D20,Milestones!$AA$76)&gt;=$R20),$U20,$T20)))=Milestones!$AB$76),TEXT(EDATE($D20,Milestones!$AA$76),"dd/mm/yy")&amp;" "&amp;Milestones!$AB$76&amp;" "&amp;Milestones!$AC$76&amp;";  ","")&amp;IF(AND(EDATE($D20,Milestones!$AA$77)&lt;=AsOfDate,IF($Q20=0,$W20,IF(AND($S20&lt;&gt;"",EDATE($D20,Milestones!$AA$77)&gt;=$S20),$V20,IF(AND($R20&lt;&gt;"",EDATE($D20,Milestones!$AA$77)&gt;=$R20),$U20,$T20)))=Milestones!$AB$77),TEXT(EDATE($D20,Milestones!$AA$77),"dd/mm/yy")&amp;" "&amp;Milestones!$AB$77&amp;" "&amp;Milestones!$AC$77&amp;";  ","")&amp;IF(AND(EDATE($D20,Milestones!$AA$78)&lt;=AsOfDate,IF($Q20=0,$W20,IF(AND($S20&lt;&gt;"",EDATE($D20,Milestones!$AA$78)&gt;=$S20),$V20,IF(AND($R20&lt;&gt;"",EDATE($D20,Milestones!$AA$78)&gt;=$R20),$U20,$T20)))=Milestones!$AB$78),TEXT(EDATE($D20,Milestones!$AA$78),"dd/mm/yy")&amp;" "&amp;Milestones!$AB$78&amp;" "&amp;Milestones!$AC$78&amp;";  ","")&amp;IF(AND(EDATE($D20,Milestones!$AA$79)&lt;=AsOfDate,IF($Q20=0,$W20,IF(AND($S20&lt;&gt;"",EDATE($D20,Milestones!$AA$79)&gt;=$S20),$V20,IF(AND($R20&lt;&gt;"",EDATE($D20,Milestones!$AA$79)&gt;=$R20),$U20,$T20)))=Milestones!$AB$79),TEXT(EDATE($D20,Milestones!$AA$79),"dd/mm/yy")&amp;" "&amp;Milestones!$AB$79&amp;" "&amp;Milestones!$AC$79&amp;";  ",""))</f>
        <v/>
      </c>
      <c r="K20" s="0" t="str">
        <f aca="false">IF(OR($A20="",$D20=""),"",IF(AND(EDATE($D20,Milestones!$AA$80)&lt;=AsOfDate,IF($Q20=0,$W20,IF(AND($S20&lt;&gt;"",EDATE($D20,Milestones!$AA$80)&gt;=$S20),$V20,IF(AND($R20&lt;&gt;"",EDATE($D20,Milestones!$AA$80)&gt;=$R20),$U20,$T20)))=Milestones!$AB$80),TEXT(EDATE($D20,Milestones!$AA$80),"dd/mm/yy")&amp;" "&amp;Milestones!$AB$80&amp;" "&amp;Milestones!$AC$80&amp;";  ","")&amp;IF(AND(EDATE($D20,Milestones!$AA$81)&lt;=AsOfDate,IF($Q20=0,$W20,IF(AND($S20&lt;&gt;"",EDATE($D20,Milestones!$AA$81)&gt;=$S20),$V20,IF(AND($R20&lt;&gt;"",EDATE($D20,Milestones!$AA$81)&gt;=$R20),$U20,$T20)))=Milestones!$AB$81),TEXT(EDATE($D20,Milestones!$AA$81),"dd/mm/yy")&amp;" "&amp;Milestones!$AB$81&amp;" "&amp;Milestones!$AC$81&amp;";  ","")&amp;IF(AND(EDATE($D20,Milestones!$AA$82)&lt;=AsOfDate,IF($Q20=0,$W20,IF(AND($S20&lt;&gt;"",EDATE($D20,Milestones!$AA$82)&gt;=$S20),$V20,IF(AND($R20&lt;&gt;"",EDATE($D20,Milestones!$AA$82)&gt;=$R20),$U20,$T20)))=Milestones!$AB$82),TEXT(EDATE($D20,Milestones!$AA$82),"dd/mm/yy")&amp;" "&amp;Milestones!$AB$82&amp;" "&amp;Milestones!$AC$82&amp;";  ","")&amp;IF(AND(EDATE($D20,Milestones!$AA$83)&lt;=AsOfDate,IF($Q20=0,$W20,IF(AND($S20&lt;&gt;"",EDATE($D20,Milestones!$AA$83)&gt;=$S20),$V20,IF(AND($R20&lt;&gt;"",EDATE($D20,Milestones!$AA$83)&gt;=$R20),$U20,$T20)))=Milestones!$AB$83),TEXT(EDATE($D20,Milestones!$AA$83),"dd/mm/yy")&amp;" "&amp;Milestones!$AB$83&amp;" "&amp;Milestones!$AC$83&amp;";  ","")&amp;IF(AND(EDATE($D20,Milestones!$AA$84)&lt;=AsOfDate,IF($Q20=0,$W20,IF(AND($S20&lt;&gt;"",EDATE($D20,Milestones!$AA$84)&gt;=$S20),$V20,IF(AND($R20&lt;&gt;"",EDATE($D20,Milestones!$AA$84)&gt;=$R20),$U20,$T20)))=Milestones!$AB$84),TEXT(EDATE($D20,Milestones!$AA$84),"dd/mm/yy")&amp;" "&amp;Milestones!$AB$84&amp;" "&amp;Milestones!$AC$84&amp;";  ","")&amp;IF(AND(EDATE($D20,Milestones!$AA$85)&lt;=AsOfDate,IF($Q20=0,$W20,IF(AND($S20&lt;&gt;"",EDATE($D20,Milestones!$AA$85)&gt;=$S20),$V20,IF(AND($R20&lt;&gt;"",EDATE($D20,Milestones!$AA$85)&gt;=$R20),$U20,$T20)))=Milestones!$AB$85),TEXT(EDATE($D20,Milestones!$AA$85),"dd/mm/yy")&amp;" "&amp;Milestones!$AB$85&amp;" "&amp;Milestones!$AC$85&amp;";  ","")&amp;IF(AND(EDATE($D20,Milestones!$AA$86)&lt;=AsOfDate,IF($Q20=0,$W20,IF(AND($S20&lt;&gt;"",EDATE($D20,Milestones!$AA$86)&gt;=$S20),$V20,IF(AND($R20&lt;&gt;"",EDATE($D20,Milestones!$AA$86)&gt;=$R20),$U20,$T20)))=Milestones!$AB$86),TEXT(EDATE($D20,Milestones!$AA$86),"dd/mm/yy")&amp;" "&amp;Milestones!$AB$86&amp;" "&amp;Milestones!$AC$86&amp;";  ","")&amp;IF(AND(EDATE($D20,Milestones!$AA$87)&lt;=AsOfDate,IF($Q20=0,$W20,IF(AND($S20&lt;&gt;"",EDATE($D20,Milestones!$AA$87)&gt;=$S20),$V20,IF(AND($R20&lt;&gt;"",EDATE($D20,Milestones!$AA$87)&gt;=$R20),$U20,$T20)))=Milestones!$AB$87),TEXT(EDATE($D20,Milestones!$AA$87),"dd/mm/yy")&amp;" "&amp;Milestones!$AB$87&amp;" "&amp;Milestones!$AC$87&amp;";  ","")&amp;IF(AND(EDATE($D20,Milestones!$AA$88)&lt;=AsOfDate,IF($Q20=0,$W20,IF(AND($S20&lt;&gt;"",EDATE($D20,Milestones!$AA$88)&gt;=$S20),$V20,IF(AND($R20&lt;&gt;"",EDATE($D20,Milestones!$AA$88)&gt;=$R20),$U20,$T20)))=Milestones!$AB$88),TEXT(EDATE($D20,Milestones!$AA$88),"dd/mm/yy")&amp;" "&amp;Milestones!$AB$88&amp;" "&amp;Milestones!$AC$88&amp;";  ","")&amp;IF(AND(EDATE($D20,Milestones!$AA$89)&lt;=AsOfDate,IF($Q20=0,$W20,IF(AND($S20&lt;&gt;"",EDATE($D20,Milestones!$AA$89)&gt;=$S20),$V20,IF(AND($R20&lt;&gt;"",EDATE($D20,Milestones!$AA$89)&gt;=$R20),$U20,$T20)))=Milestones!$AB$89),TEXT(EDATE($D20,Milestones!$AA$89),"dd/mm/yy")&amp;" "&amp;Milestones!$AB$89&amp;" "&amp;Milestones!$AC$89&amp;";  ","")&amp;IF(AND(EDATE($D20,Milestones!$AA$90)&lt;=AsOfDate,IF($Q20=0,$W20,IF(AND($S20&lt;&gt;"",EDATE($D20,Milestones!$AA$90)&gt;=$S20),$V20,IF(AND($R20&lt;&gt;"",EDATE($D20,Milestones!$AA$90)&gt;=$R20),$U20,$T20)))=Milestones!$AB$90),TEXT(EDATE($D20,Milestones!$AA$90),"dd/mm/yy")&amp;" "&amp;Milestones!$AB$90&amp;" "&amp;Milestones!$AC$90&amp;";  ","")&amp;IF(AND(EDATE($D20,Milestones!$AA$91)&lt;=AsOfDate,IF($Q20=0,$W20,IF(AND($S20&lt;&gt;"",EDATE($D20,Milestones!$AA$91)&gt;=$S20),$V20,IF(AND($R20&lt;&gt;"",EDATE($D20,Milestones!$AA$91)&gt;=$R20),$U20,$T20)))=Milestones!$AB$91),TEXT(EDATE($D20,Milestones!$AA$91),"dd/mm/yy")&amp;" "&amp;Milestones!$AB$91&amp;" "&amp;Milestones!$AC$91&amp;";  ","")&amp;IF(AND(EDATE($D20,Milestones!$AA$92)&lt;=AsOfDate,IF($Q20=0,$W20,IF(AND($S20&lt;&gt;"",EDATE($D20,Milestones!$AA$92)&gt;=$S20),$V20,IF(AND($R20&lt;&gt;"",EDATE($D20,Milestones!$AA$92)&gt;=$R20),$U20,$T20)))=Milestones!$AB$92),TEXT(EDATE($D20,Milestones!$AA$92),"dd/mm/yy")&amp;" "&amp;Milestones!$AB$92&amp;" "&amp;Milestones!$AC$92&amp;";  ","")&amp;IF(AND(EDATE($D20,Milestones!$AA$93)&lt;=AsOfDate,IF($Q20=0,$W20,IF(AND($S20&lt;&gt;"",EDATE($D20,Milestones!$AA$93)&gt;=$S20),$V20,IF(AND($R20&lt;&gt;"",EDATE($D20,Milestones!$AA$93)&gt;=$R20),$U20,$T20)))=Milestones!$AB$93),TEXT(EDATE($D20,Milestones!$AA$93),"dd/mm/yy")&amp;" "&amp;Milestones!$AB$93&amp;" "&amp;Milestones!$AC$93&amp;";  ","")&amp;IF(AND(EDATE($D20,Milestones!$AA$94)&lt;=AsOfDate,IF($Q20=0,$W20,IF(AND($S20&lt;&gt;"",EDATE($D20,Milestones!$AA$94)&gt;=$S20),$V20,IF(AND($R20&lt;&gt;"",EDATE($D20,Milestones!$AA$94)&gt;=$R20),$U20,$T20)))=Milestones!$AB$94),TEXT(EDATE($D20,Milestones!$AA$94),"dd/mm/yy")&amp;" "&amp;Milestones!$AB$94&amp;" "&amp;Milestones!$AC$94&amp;";  ","")&amp;IF(AND(EDATE($D20,Milestones!$AA$95)&lt;=AsOfDate,IF($Q20=0,$W20,IF(AND($S20&lt;&gt;"",EDATE($D20,Milestones!$AA$95)&gt;=$S20),$V20,IF(AND($R20&lt;&gt;"",EDATE($D20,Milestones!$AA$95)&gt;=$R20),$U20,$T20)))=Milestones!$AB$95),TEXT(EDATE($D20,Milestones!$AA$95),"dd/mm/yy")&amp;" "&amp;Milestones!$AB$95&amp;" "&amp;Milestones!$AC$95&amp;";  ","")&amp;IF(AND(EDATE($D20,Milestones!$AA$96)&lt;=AsOfDate,IF($Q20=0,$W20,IF(AND($S20&lt;&gt;"",EDATE($D20,Milestones!$AA$96)&gt;=$S20),$V20,IF(AND($R20&lt;&gt;"",EDATE($D20,Milestones!$AA$96)&gt;=$R20),$U20,$T20)))=Milestones!$AB$96),TEXT(EDATE($D20,Milestones!$AA$96),"dd/mm/yy")&amp;" "&amp;Milestones!$AB$96&amp;" "&amp;Milestones!$AC$96&amp;";  ","")&amp;IF(AND(EDATE($D20,Milestones!$AA$97)&lt;=AsOfDate,IF($Q20=0,$W20,IF(AND($S20&lt;&gt;"",EDATE($D20,Milestones!$AA$97)&gt;=$S20),$V20,IF(AND($R20&lt;&gt;"",EDATE($D20,Milestones!$AA$97)&gt;=$R20),$U20,$T20)))=Milestones!$AB$97),TEXT(EDATE($D20,Milestones!$AA$97),"dd/mm/yy")&amp;" "&amp;Milestones!$AB$97&amp;" "&amp;Milestones!$AC$97&amp;";  ","")&amp;IF(AND(EDATE($D20,Milestones!$AA$98)&lt;=AsOfDate,IF($Q20=0,$W20,IF(AND($S20&lt;&gt;"",EDATE($D20,Milestones!$AA$98)&gt;=$S20),$V20,IF(AND($R20&lt;&gt;"",EDATE($D20,Milestones!$AA$98)&gt;=$R20),$U20,$T20)))=Milestones!$AB$98),TEXT(EDATE($D20,Milestones!$AA$98),"dd/mm/yy")&amp;" "&amp;Milestones!$AB$98&amp;" "&amp;Milestones!$AC$98&amp;";  ","")&amp;IF(AND(EDATE($D20,Milestones!$AA$99)&lt;=AsOfDate,IF($Q20=0,$W20,IF(AND($S20&lt;&gt;"",EDATE($D20,Milestones!$AA$99)&gt;=$S20),$V20,IF(AND($R20&lt;&gt;"",EDATE($D20,Milestones!$AA$99)&gt;=$R20),$U20,$T20)))=Milestones!$AB$99),TEXT(EDATE($D20,Milestones!$AA$99),"dd/mm/yy")&amp;" "&amp;Milestones!$AB$99&amp;" "&amp;Milestones!$AC$99&amp;";  ",""))</f>
        <v/>
      </c>
      <c r="L20" s="0" t="str">
        <f aca="false">IF(OR($A20="",$D20=""),"",IF(AND(EDATE($D20,Milestones!$AA$100)&lt;=AsOfDate,IF($Q20=0,$W20,IF(AND($S20&lt;&gt;"",EDATE($D20,Milestones!$AA$100)&gt;=$S20),$V20,IF(AND($R20&lt;&gt;"",EDATE($D20,Milestones!$AA$100)&gt;=$R20),$U20,$T20)))=Milestones!$AB$100),TEXT(EDATE($D20,Milestones!$AA$100),"dd/mm/yy")&amp;" "&amp;Milestones!$AB$100&amp;" "&amp;Milestones!$AC$100&amp;";  ","")&amp;IF(AND(EDATE($D20,Milestones!$AA$101)&lt;=AsOfDate,IF($Q20=0,$W20,IF(AND($S20&lt;&gt;"",EDATE($D20,Milestones!$AA$101)&gt;=$S20),$V20,IF(AND($R20&lt;&gt;"",EDATE($D20,Milestones!$AA$101)&gt;=$R20),$U20,$T20)))=Milestones!$AB$101),TEXT(EDATE($D20,Milestones!$AA$101),"dd/mm/yy")&amp;" "&amp;Milestones!$AB$101&amp;" "&amp;Milestones!$AC$101&amp;";  ","")&amp;IF(AND(EDATE($D20,Milestones!$AA$102)&lt;=AsOfDate,IF($Q20=0,$W20,IF(AND($S20&lt;&gt;"",EDATE($D20,Milestones!$AA$102)&gt;=$S20),$V20,IF(AND($R20&lt;&gt;"",EDATE($D20,Milestones!$AA$102)&gt;=$R20),$U20,$T20)))=Milestones!$AB$102),TEXT(EDATE($D20,Milestones!$AA$102),"dd/mm/yy")&amp;" "&amp;Milestones!$AB$102&amp;" "&amp;Milestones!$AC$102&amp;";  ","")&amp;IF(AND(EDATE($D20,Milestones!$AA$103)&lt;=AsOfDate,IF($Q20=0,$W20,IF(AND($S20&lt;&gt;"",EDATE($D20,Milestones!$AA$103)&gt;=$S20),$V20,IF(AND($R20&lt;&gt;"",EDATE($D20,Milestones!$AA$103)&gt;=$R20),$U20,$T20)))=Milestones!$AB$103),TEXT(EDATE($D20,Milestones!$AA$103),"dd/mm/yy")&amp;" "&amp;Milestones!$AB$103&amp;" "&amp;Milestones!$AC$103&amp;";  ","")&amp;IF(AND(EDATE($D20,Milestones!$AA$104)&lt;=AsOfDate,IF($Q20=0,$W20,IF(AND($S20&lt;&gt;"",EDATE($D20,Milestones!$AA$104)&gt;=$S20),$V20,IF(AND($R20&lt;&gt;"",EDATE($D20,Milestones!$AA$104)&gt;=$R20),$U20,$T20)))=Milestones!$AB$104),TEXT(EDATE($D20,Milestones!$AA$104),"dd/mm/yy")&amp;" "&amp;Milestones!$AB$104&amp;" "&amp;Milestones!$AC$104&amp;";  ","")&amp;IF(AND(EDATE($D20,Milestones!$AA$105)&lt;=AsOfDate,IF($Q20=0,$W20,IF(AND($S20&lt;&gt;"",EDATE($D20,Milestones!$AA$105)&gt;=$S20),$V20,IF(AND($R20&lt;&gt;"",EDATE($D20,Milestones!$AA$105)&gt;=$R20),$U20,$T20)))=Milestones!$AB$105),TEXT(EDATE($D20,Milestones!$AA$105),"dd/mm/yy")&amp;" "&amp;Milestones!$AB$105&amp;" "&amp;Milestones!$AC$105&amp;";  ","")&amp;IF(AND(EDATE($D20,Milestones!$AA$106)&lt;=AsOfDate,IF($Q20=0,$W20,IF(AND($S20&lt;&gt;"",EDATE($D20,Milestones!$AA$106)&gt;=$S20),$V20,IF(AND($R20&lt;&gt;"",EDATE($D20,Milestones!$AA$106)&gt;=$R20),$U20,$T20)))=Milestones!$AB$106),TEXT(EDATE($D20,Milestones!$AA$106),"dd/mm/yy")&amp;" "&amp;Milestones!$AB$106&amp;" "&amp;Milestones!$AC$106&amp;";  ","")&amp;IF(AND(EDATE($D20,Milestones!$AA$107)&lt;=AsOfDate,IF($Q20=0,$W20,IF(AND($S20&lt;&gt;"",EDATE($D20,Milestones!$AA$107)&gt;=$S20),$V20,IF(AND($R20&lt;&gt;"",EDATE($D20,Milestones!$AA$107)&gt;=$R20),$U20,$T20)))=Milestones!$AB$107),TEXT(EDATE($D20,Milestones!$AA$107),"dd/mm/yy")&amp;" "&amp;Milestones!$AB$107&amp;" "&amp;Milestones!$AC$107&amp;";  ","")&amp;IF(AND(EDATE($D20,Milestones!$AA$108)&lt;=AsOfDate,IF($Q20=0,$W20,IF(AND($S20&lt;&gt;"",EDATE($D20,Milestones!$AA$108)&gt;=$S20),$V20,IF(AND($R20&lt;&gt;"",EDATE($D20,Milestones!$AA$108)&gt;=$R20),$U20,$T20)))=Milestones!$AB$108),TEXT(EDATE($D20,Milestones!$AA$108),"dd/mm/yy")&amp;" "&amp;Milestones!$AB$108&amp;" "&amp;Milestones!$AC$108&amp;";  ","")&amp;IF(AND(EDATE($D20,Milestones!$AA$109)&lt;=AsOfDate,IF($Q20=0,$W20,IF(AND($S20&lt;&gt;"",EDATE($D20,Milestones!$AA$109)&gt;=$S20),$V20,IF(AND($R20&lt;&gt;"",EDATE($D20,Milestones!$AA$109)&gt;=$R20),$U20,$T20)))=Milestones!$AB$109),TEXT(EDATE($D20,Milestones!$AA$109),"dd/mm/yy")&amp;" "&amp;Milestones!$AB$109&amp;" "&amp;Milestones!$AC$109&amp;";  ","")&amp;IF(AND(EDATE($D20,Milestones!$AA$110)&lt;=AsOfDate,IF($Q20=0,$W20,IF(AND($S20&lt;&gt;"",EDATE($D20,Milestones!$AA$110)&gt;=$S20),$V20,IF(AND($R20&lt;&gt;"",EDATE($D20,Milestones!$AA$110)&gt;=$R20),$U20,$T20)))=Milestones!$AB$110),TEXT(EDATE($D20,Milestones!$AA$110),"dd/mm/yy")&amp;" "&amp;Milestones!$AB$110&amp;" "&amp;Milestones!$AC$110&amp;";  ","")&amp;IF(AND(EDATE($D20,Milestones!$AA$111)&lt;=AsOfDate,IF($Q20=0,$W20,IF(AND($S20&lt;&gt;"",EDATE($D20,Milestones!$AA$111)&gt;=$S20),$V20,IF(AND($R20&lt;&gt;"",EDATE($D20,Milestones!$AA$111)&gt;=$R20),$U20,$T20)))=Milestones!$AB$111),TEXT(EDATE($D20,Milestones!$AA$111),"dd/mm/yy")&amp;" "&amp;Milestones!$AB$111&amp;" "&amp;Milestones!$AC$111&amp;";  ","")&amp;IF(AND(EDATE($D20,Milestones!$AA$112)&lt;=AsOfDate,IF($Q20=0,$W20,IF(AND($S20&lt;&gt;"",EDATE($D20,Milestones!$AA$112)&gt;=$S20),$V20,IF(AND($R20&lt;&gt;"",EDATE($D20,Milestones!$AA$112)&gt;=$R20),$U20,$T20)))=Milestones!$AB$112),TEXT(EDATE($D20,Milestones!$AA$112),"dd/mm/yy")&amp;" "&amp;Milestones!$AB$112&amp;" "&amp;Milestones!$AC$112&amp;";  ","")&amp;IF(AND(EDATE($D20,Milestones!$AA$113)&lt;=AsOfDate,IF($Q20=0,$W20,IF(AND($S20&lt;&gt;"",EDATE($D20,Milestones!$AA$113)&gt;=$S20),$V20,IF(AND($R20&lt;&gt;"",EDATE($D20,Milestones!$AA$113)&gt;=$R20),$U20,$T20)))=Milestones!$AB$113),TEXT(EDATE($D20,Milestones!$AA$113),"dd/mm/yy")&amp;" "&amp;Milestones!$AB$113&amp;" "&amp;Milestones!$AC$113&amp;";  ","")&amp;IF(AND(EDATE($D20,Milestones!$AA$114)&lt;=AsOfDate,IF($Q20=0,$W20,IF(AND($S20&lt;&gt;"",EDATE($D20,Milestones!$AA$114)&gt;=$S20),$V20,IF(AND($R20&lt;&gt;"",EDATE($D20,Milestones!$AA$114)&gt;=$R20),$U20,$T20)))=Milestones!$AB$114),TEXT(EDATE($D20,Milestones!$AA$114),"dd/mm/yy")&amp;" "&amp;Milestones!$AB$114&amp;" "&amp;Milestones!$AC$114&amp;";  ","")&amp;IF(AND(EDATE($D20,Milestones!$AA$115)&lt;=AsOfDate,IF($Q20=0,$W20,IF(AND($S20&lt;&gt;"",EDATE($D20,Milestones!$AA$115)&gt;=$S20),$V20,IF(AND($R20&lt;&gt;"",EDATE($D20,Milestones!$AA$115)&gt;=$R20),$U20,$T20)))=Milestones!$AB$115),TEXT(EDATE($D20,Milestones!$AA$115),"dd/mm/yy")&amp;" "&amp;Milestones!$AB$115&amp;" "&amp;Milestones!$AC$115&amp;";  ","")&amp;IF(AND(EDATE($D20,Milestones!$AA$116)&lt;=AsOfDate,IF($Q20=0,$W20,IF(AND($S20&lt;&gt;"",EDATE($D20,Milestones!$AA$116)&gt;=$S20),$V20,IF(AND($R20&lt;&gt;"",EDATE($D20,Milestones!$AA$116)&gt;=$R20),$U20,$T20)))=Milestones!$AB$116),TEXT(EDATE($D20,Milestones!$AA$116),"dd/mm/yy")&amp;" "&amp;Milestones!$AB$116&amp;" "&amp;Milestones!$AC$116&amp;";  ","")&amp;IF(AND(EDATE($D20,Milestones!$AA$117)&lt;=AsOfDate,IF($Q20=0,$W20,IF(AND($S20&lt;&gt;"",EDATE($D20,Milestones!$AA$117)&gt;=$S20),$V20,IF(AND($R20&lt;&gt;"",EDATE($D20,Milestones!$AA$117)&gt;=$R20),$U20,$T20)))=Milestones!$AB$117),TEXT(EDATE($D20,Milestones!$AA$117),"dd/mm/yy")&amp;" "&amp;Milestones!$AB$117&amp;" "&amp;Milestones!$AC$117&amp;";  ","")&amp;IF(AND(EDATE($D20,Milestones!$AA$118)&lt;=AsOfDate,IF($Q20=0,$W20,IF(AND($S20&lt;&gt;"",EDATE($D20,Milestones!$AA$118)&gt;=$S20),$V20,IF(AND($R20&lt;&gt;"",EDATE($D20,Milestones!$AA$118)&gt;=$R20),$U20,$T20)))=Milestones!$AB$118),TEXT(EDATE($D20,Milestones!$AA$118),"dd/mm/yy")&amp;" "&amp;Milestones!$AB$118&amp;" "&amp;Milestones!$AC$118&amp;";  ","")&amp;IF(AND(EDATE($D20,Milestones!$AA$119)&lt;=AsOfDate,IF($Q20=0,$W20,IF(AND($S20&lt;&gt;"",EDATE($D20,Milestones!$AA$119)&gt;=$S20),$V20,IF(AND($R20&lt;&gt;"",EDATE($D20,Milestones!$AA$119)&gt;=$R20),$U20,$T20)))=Milestones!$AB$119),TEXT(EDATE($D20,Milestones!$AA$119),"dd/mm/yy")&amp;" "&amp;Milestones!$AB$119&amp;" "&amp;Milestones!$AC$119&amp;";  ",""))</f>
        <v/>
      </c>
      <c r="M20" s="0" t="str">
        <f aca="false">IF(OR($A20="",$D20=""),"",IF(AND(EDATE($D20,Milestones!$AA$120)&lt;=AsOfDate,IF($Q20=0,$W20,IF(AND($S20&lt;&gt;"",EDATE($D20,Milestones!$AA$120)&gt;=$S20),$V20,IF(AND($R20&lt;&gt;"",EDATE($D20,Milestones!$AA$120)&gt;=$R20),$U20,$T20)))=Milestones!$AB$120),TEXT(EDATE($D20,Milestones!$AA$120),"dd/mm/yy")&amp;" "&amp;Milestones!$AB$120&amp;" "&amp;Milestones!$AC$120&amp;";  ","")&amp;IF(AND(EDATE($D20,Milestones!$AA$121)&lt;=AsOfDate,IF($Q20=0,$W20,IF(AND($S20&lt;&gt;"",EDATE($D20,Milestones!$AA$121)&gt;=$S20),$V20,IF(AND($R20&lt;&gt;"",EDATE($D20,Milestones!$AA$121)&gt;=$R20),$U20,$T20)))=Milestones!$AB$121),TEXT(EDATE($D20,Milestones!$AA$121),"dd/mm/yy")&amp;" "&amp;Milestones!$AB$121&amp;" "&amp;Milestones!$AC$121&amp;";  ","")&amp;IF(AND(EDATE($D20,Milestones!$AA$122)&lt;=AsOfDate,IF($Q20=0,$W20,IF(AND($S20&lt;&gt;"",EDATE($D20,Milestones!$AA$122)&gt;=$S20),$V20,IF(AND($R20&lt;&gt;"",EDATE($D20,Milestones!$AA$122)&gt;=$R20),$U20,$T20)))=Milestones!$AB$122),TEXT(EDATE($D20,Milestones!$AA$122),"dd/mm/yy")&amp;" "&amp;Milestones!$AB$122&amp;" "&amp;Milestones!$AC$122&amp;";  ","")&amp;IF(AND(EDATE($D20,Milestones!$AA$123)&lt;=AsOfDate,IF($Q20=0,$W20,IF(AND($S20&lt;&gt;"",EDATE($D20,Milestones!$AA$123)&gt;=$S20),$V20,IF(AND($R20&lt;&gt;"",EDATE($D20,Milestones!$AA$123)&gt;=$R20),$U20,$T20)))=Milestones!$AB$123),TEXT(EDATE($D20,Milestones!$AA$123),"dd/mm/yy")&amp;" "&amp;Milestones!$AB$123&amp;" "&amp;Milestones!$AC$123&amp;";  ","")&amp;IF(AND(EDATE($D20,Milestones!$AA$124)&lt;=AsOfDate,IF($Q20=0,$W20,IF(AND($S20&lt;&gt;"",EDATE($D20,Milestones!$AA$124)&gt;=$S20),$V20,IF(AND($R20&lt;&gt;"",EDATE($D20,Milestones!$AA$124)&gt;=$R20),$U20,$T20)))=Milestones!$AB$124),TEXT(EDATE($D20,Milestones!$AA$124),"dd/mm/yy")&amp;" "&amp;Milestones!$AB$124&amp;" "&amp;Milestones!$AC$124&amp;";  ","")&amp;IF(AND(EDATE($D20,Milestones!$AA$125)&lt;=AsOfDate,IF($Q20=0,$W20,IF(AND($S20&lt;&gt;"",EDATE($D20,Milestones!$AA$125)&gt;=$S20),$V20,IF(AND($R20&lt;&gt;"",EDATE($D20,Milestones!$AA$125)&gt;=$R20),$U20,$T20)))=Milestones!$AB$125),TEXT(EDATE($D20,Milestones!$AA$125),"dd/mm/yy")&amp;" "&amp;Milestones!$AB$125&amp;" "&amp;Milestones!$AC$125&amp;";  ","")&amp;IF(AND(EDATE($D20,Milestones!$AA$126)&lt;=AsOfDate,IF($Q20=0,$W20,IF(AND($S20&lt;&gt;"",EDATE($D20,Milestones!$AA$126)&gt;=$S20),$V20,IF(AND($R20&lt;&gt;"",EDATE($D20,Milestones!$AA$126)&gt;=$R20),$U20,$T20)))=Milestones!$AB$126),TEXT(EDATE($D20,Milestones!$AA$126),"dd/mm/yy")&amp;" "&amp;Milestones!$AB$126&amp;" "&amp;Milestones!$AC$126&amp;";  ","")&amp;IF(AND(EDATE($D20,Milestones!$AA$127)&lt;=AsOfDate,IF($Q20=0,$W20,IF(AND($S20&lt;&gt;"",EDATE($D20,Milestones!$AA$127)&gt;=$S20),$V20,IF(AND($R20&lt;&gt;"",EDATE($D20,Milestones!$AA$127)&gt;=$R20),$U20,$T20)))=Milestones!$AB$127),TEXT(EDATE($D20,Milestones!$AA$127),"dd/mm/yy")&amp;" "&amp;Milestones!$AB$127&amp;" "&amp;Milestones!$AC$127&amp;";  ","")&amp;IF(AND(EDATE($D20,Milestones!$AA$128)&lt;=AsOfDate,IF($Q20=0,$W20,IF(AND($S20&lt;&gt;"",EDATE($D20,Milestones!$AA$128)&gt;=$S20),$V20,IF(AND($R20&lt;&gt;"",EDATE($D20,Milestones!$AA$128)&gt;=$R20),$U20,$T20)))=Milestones!$AB$128),TEXT(EDATE($D20,Milestones!$AA$128),"dd/mm/yy")&amp;" "&amp;Milestones!$AB$128&amp;" "&amp;Milestones!$AC$128&amp;";  ","")&amp;IF(AND(EDATE($D20,Milestones!$AA$129)&lt;=AsOfDate,IF($Q20=0,$W20,IF(AND($S20&lt;&gt;"",EDATE($D20,Milestones!$AA$129)&gt;=$S20),$V20,IF(AND($R20&lt;&gt;"",EDATE($D20,Milestones!$AA$129)&gt;=$R20),$U20,$T20)))=Milestones!$AB$129),TEXT(EDATE($D20,Milestones!$AA$129),"dd/mm/yy")&amp;" "&amp;Milestones!$AB$129&amp;" "&amp;Milestones!$AC$129&amp;";  ","")&amp;IF(AND(EDATE($D20,Milestones!$AA$130)&lt;=AsOfDate,IF($Q20=0,$W20,IF(AND($S20&lt;&gt;"",EDATE($D20,Milestones!$AA$130)&gt;=$S20),$V20,IF(AND($R20&lt;&gt;"",EDATE($D20,Milestones!$AA$130)&gt;=$R20),$U20,$T20)))=Milestones!$AB$130),TEXT(EDATE($D20,Milestones!$AA$130),"dd/mm/yy")&amp;" "&amp;Milestones!$AB$130&amp;" "&amp;Milestones!$AC$130&amp;";  ","")&amp;IF(AND(EDATE($D20,Milestones!$AA$131)&lt;=AsOfDate,IF($Q20=0,$W20,IF(AND($S20&lt;&gt;"",EDATE($D20,Milestones!$AA$131)&gt;=$S20),$V20,IF(AND($R20&lt;&gt;"",EDATE($D20,Milestones!$AA$131)&gt;=$R20),$U20,$T20)))=Milestones!$AB$131),TEXT(EDATE($D20,Milestones!$AA$131),"dd/mm/yy")&amp;" "&amp;Milestones!$AB$131&amp;" "&amp;Milestones!$AC$131&amp;";  ","")&amp;IF(AND(EDATE($D20,Milestones!$AA$132)&lt;=AsOfDate,IF($Q20=0,$W20,IF(AND($S20&lt;&gt;"",EDATE($D20,Milestones!$AA$132)&gt;=$S20),$V20,IF(AND($R20&lt;&gt;"",EDATE($D20,Milestones!$AA$132)&gt;=$R20),$U20,$T20)))=Milestones!$AB$132),TEXT(EDATE($D20,Milestones!$AA$132),"dd/mm/yy")&amp;" "&amp;Milestones!$AB$132&amp;" "&amp;Milestones!$AC$132&amp;";  ","")&amp;IF(AND(EDATE($D20,Milestones!$AA$133)&lt;=AsOfDate,IF($Q20=0,$W20,IF(AND($S20&lt;&gt;"",EDATE($D20,Milestones!$AA$133)&gt;=$S20),$V20,IF(AND($R20&lt;&gt;"",EDATE($D20,Milestones!$AA$133)&gt;=$R20),$U20,$T20)))=Milestones!$AB$133),TEXT(EDATE($D20,Milestones!$AA$133),"dd/mm/yy")&amp;" "&amp;Milestones!$AB$133&amp;" "&amp;Milestones!$AC$133&amp;";  ","")&amp;IF(AND(EDATE($D20,Milestones!$AA$134)&lt;=AsOfDate,IF($Q20=0,$W20,IF(AND($S20&lt;&gt;"",EDATE($D20,Milestones!$AA$134)&gt;=$S20),$V20,IF(AND($R20&lt;&gt;"",EDATE($D20,Milestones!$AA$134)&gt;=$R20),$U20,$T20)))=Milestones!$AB$134),TEXT(EDATE($D20,Milestones!$AA$134),"dd/mm/yy")&amp;" "&amp;Milestones!$AB$134&amp;" "&amp;Milestones!$AC$134&amp;";  ","")&amp;IF(AND(EDATE($D20,Milestones!$AA$135)&lt;=AsOfDate,IF($Q20=0,$W20,IF(AND($S20&lt;&gt;"",EDATE($D20,Milestones!$AA$135)&gt;=$S20),$V20,IF(AND($R20&lt;&gt;"",EDATE($D20,Milestones!$AA$135)&gt;=$R20),$U20,$T20)))=Milestones!$AB$135),TEXT(EDATE($D20,Milestones!$AA$135),"dd/mm/yy")&amp;" "&amp;Milestones!$AB$135&amp;" "&amp;Milestones!$AC$135&amp;";  ","")&amp;IF(AND(EDATE($D20,Milestones!$AA$136)&lt;=AsOfDate,IF($Q20=0,$W20,IF(AND($S20&lt;&gt;"",EDATE($D20,Milestones!$AA$136)&gt;=$S20),$V20,IF(AND($R20&lt;&gt;"",EDATE($D20,Milestones!$AA$136)&gt;=$R20),$U20,$T20)))=Milestones!$AB$136),TEXT(EDATE($D20,Milestones!$AA$136),"dd/mm/yy")&amp;" "&amp;Milestones!$AB$136&amp;" "&amp;Milestones!$AC$136&amp;";  ","")&amp;IF(AND(EDATE($D20,Milestones!$AA$137)&lt;=AsOfDate,IF($Q20=0,$W20,IF(AND($S20&lt;&gt;"",EDATE($D20,Milestones!$AA$137)&gt;=$S20),$V20,IF(AND($R20&lt;&gt;"",EDATE($D20,Milestones!$AA$137)&gt;=$R20),$U20,$T20)))=Milestones!$AB$137),TEXT(EDATE($D20,Milestones!$AA$137),"dd/mm/yy")&amp;" "&amp;Milestones!$AB$137&amp;" "&amp;Milestones!$AC$137&amp;";  ","")&amp;IF(AND(EDATE($D20,Milestones!$AA$138)&lt;=AsOfDate,IF($Q20=0,$W20,IF(AND($S20&lt;&gt;"",EDATE($D20,Milestones!$AA$138)&gt;=$S20),$V20,IF(AND($R20&lt;&gt;"",EDATE($D20,Milestones!$AA$138)&gt;=$R20),$U20,$T20)))=Milestones!$AB$138),TEXT(EDATE($D20,Milestones!$AA$138),"dd/mm/yy")&amp;" "&amp;Milestones!$AB$138&amp;" "&amp;Milestones!$AC$138&amp;";  ","")&amp;IF(AND(EDATE($D20,Milestones!$AA$139)&lt;=AsOfDate,IF($Q20=0,$W20,IF(AND($S20&lt;&gt;"",EDATE($D20,Milestones!$AA$139)&gt;=$S20),$V20,IF(AND($R20&lt;&gt;"",EDATE($D20,Milestones!$AA$139)&gt;=$R20),$U20,$T20)))=Milestones!$AB$139),TEXT(EDATE($D20,Milestones!$AA$139),"dd/mm/yy")&amp;" "&amp;Milestones!$AB$139&amp;" "&amp;Milestones!$AC$139&amp;";  ",""))</f>
        <v/>
      </c>
      <c r="N20" s="0" t="str">
        <f aca="false">IF(OR($A20="",$D20=""),"",IF(AND(EDATE($D20,Milestones!$AA$140)&lt;=AsOfDate,IF($Q20=0,$W20,IF(AND($S20&lt;&gt;"",EDATE($D20,Milestones!$AA$140)&gt;=$S20),$V20,IF(AND($R20&lt;&gt;"",EDATE($D20,Milestones!$AA$140)&gt;=$R20),$U20,$T20)))=Milestones!$AB$140),TEXT(EDATE($D20,Milestones!$AA$140),"dd/mm/yy")&amp;" "&amp;Milestones!$AB$140&amp;" "&amp;Milestones!$AC$140&amp;";  ","")&amp;IF(AND(EDATE($D20,Milestones!$AA$141)&lt;=AsOfDate,IF($Q20=0,$W20,IF(AND($S20&lt;&gt;"",EDATE($D20,Milestones!$AA$141)&gt;=$S20),$V20,IF(AND($R20&lt;&gt;"",EDATE($D20,Milestones!$AA$141)&gt;=$R20),$U20,$T20)))=Milestones!$AB$141),TEXT(EDATE($D20,Milestones!$AA$141),"dd/mm/yy")&amp;" "&amp;Milestones!$AB$141&amp;" "&amp;Milestones!$AC$141&amp;";  ","")&amp;IF(AND(EDATE($D20,Milestones!$AA$142)&lt;=AsOfDate,IF($Q20=0,$W20,IF(AND($S20&lt;&gt;"",EDATE($D20,Milestones!$AA$142)&gt;=$S20),$V20,IF(AND($R20&lt;&gt;"",EDATE($D20,Milestones!$AA$142)&gt;=$R20),$U20,$T20)))=Milestones!$AB$142),TEXT(EDATE($D20,Milestones!$AA$142),"dd/mm/yy")&amp;" "&amp;Milestones!$AB$142&amp;" "&amp;Milestones!$AC$142&amp;";  ","")&amp;IF(AND(EDATE($D20,Milestones!$AA$143)&lt;=AsOfDate,IF($Q20=0,$W20,IF(AND($S20&lt;&gt;"",EDATE($D20,Milestones!$AA$143)&gt;=$S20),$V20,IF(AND($R20&lt;&gt;"",EDATE($D20,Milestones!$AA$143)&gt;=$R20),$U20,$T20)))=Milestones!$AB$143),TEXT(EDATE($D20,Milestones!$AA$143),"dd/mm/yy")&amp;" "&amp;Milestones!$AB$143&amp;" "&amp;Milestones!$AC$143&amp;";  ","")&amp;IF(AND(EDATE($D20,Milestones!$AA$144)&lt;=AsOfDate,IF($Q20=0,$W20,IF(AND($S20&lt;&gt;"",EDATE($D20,Milestones!$AA$144)&gt;=$S20),$V20,IF(AND($R20&lt;&gt;"",EDATE($D20,Milestones!$AA$144)&gt;=$R20),$U20,$T20)))=Milestones!$AB$144),TEXT(EDATE($D20,Milestones!$AA$144),"dd/mm/yy")&amp;" "&amp;Milestones!$AB$144&amp;" "&amp;Milestones!$AC$144&amp;";  ","")&amp;IF(AND(EDATE($D20,Milestones!$AA$145)&lt;=AsOfDate,IF($Q20=0,$W20,IF(AND($S20&lt;&gt;"",EDATE($D20,Milestones!$AA$145)&gt;=$S20),$V20,IF(AND($R20&lt;&gt;"",EDATE($D20,Milestones!$AA$145)&gt;=$R20),$U20,$T20)))=Milestones!$AB$145),TEXT(EDATE($D20,Milestones!$AA$145),"dd/mm/yy")&amp;" "&amp;Milestones!$AB$145&amp;" "&amp;Milestones!$AC$145&amp;";  ","")&amp;IF(AND(EDATE($D20,Milestones!$AA$146)&lt;=AsOfDate,IF($Q20=0,$W20,IF(AND($S20&lt;&gt;"",EDATE($D20,Milestones!$AA$146)&gt;=$S20),$V20,IF(AND($R20&lt;&gt;"",EDATE($D20,Milestones!$AA$146)&gt;=$R20),$U20,$T20)))=Milestones!$AB$146),TEXT(EDATE($D20,Milestones!$AA$146),"dd/mm/yy")&amp;" "&amp;Milestones!$AB$146&amp;" "&amp;Milestones!$AC$146&amp;";  ","")&amp;IF(AND(EDATE($D20,Milestones!$AA$147)&lt;=AsOfDate,IF($Q20=0,$W20,IF(AND($S20&lt;&gt;"",EDATE($D20,Milestones!$AA$147)&gt;=$S20),$V20,IF(AND($R20&lt;&gt;"",EDATE($D20,Milestones!$AA$147)&gt;=$R20),$U20,$T20)))=Milestones!$AB$147),TEXT(EDATE($D20,Milestones!$AA$147),"dd/mm/yy")&amp;" "&amp;Milestones!$AB$147&amp;" "&amp;Milestones!$AC$147&amp;";  ","")&amp;IF(AND(EDATE($D20,Milestones!$AA$148)&lt;=AsOfDate,IF($Q20=0,$W20,IF(AND($S20&lt;&gt;"",EDATE($D20,Milestones!$AA$148)&gt;=$S20),$V20,IF(AND($R20&lt;&gt;"",EDATE($D20,Milestones!$AA$148)&gt;=$R20),$U20,$T20)))=Milestones!$AB$148),TEXT(EDATE($D20,Milestones!$AA$148),"dd/mm/yy")&amp;" "&amp;Milestones!$AB$148&amp;" "&amp;Milestones!$AC$148&amp;";  ","")&amp;IF(AND(EDATE($D20,Milestones!$AA$149)&lt;=AsOfDate,IF($Q20=0,$W20,IF(AND($S20&lt;&gt;"",EDATE($D20,Milestones!$AA$149)&gt;=$S20),$V20,IF(AND($R20&lt;&gt;"",EDATE($D20,Milestones!$AA$149)&gt;=$R20),$U20,$T20)))=Milestones!$AB$149),TEXT(EDATE($D20,Milestones!$AA$149),"dd/mm/yy")&amp;" "&amp;Milestones!$AB$149&amp;" "&amp;Milestones!$AC$149&amp;";  ","")&amp;IF(AND(EDATE($D20,Milestones!$AA$150)&lt;=AsOfDate,IF($Q20=0,$W20,IF(AND($S20&lt;&gt;"",EDATE($D20,Milestones!$AA$150)&gt;=$S20),$V20,IF(AND($R20&lt;&gt;"",EDATE($D20,Milestones!$AA$150)&gt;=$R20),$U20,$T20)))=Milestones!$AB$150),TEXT(EDATE($D20,Milestones!$AA$150),"dd/mm/yy")&amp;" "&amp;Milestones!$AB$150&amp;" "&amp;Milestones!$AC$150&amp;";  ","")&amp;IF(AND(EDATE($D20,Milestones!$AA$151)&lt;=AsOfDate,IF($Q20=0,$W20,IF(AND($S20&lt;&gt;"",EDATE($D20,Milestones!$AA$151)&gt;=$S20),$V20,IF(AND($R20&lt;&gt;"",EDATE($D20,Milestones!$AA$151)&gt;=$R20),$U20,$T20)))=Milestones!$AB$151),TEXT(EDATE($D20,Milestones!$AA$151),"dd/mm/yy")&amp;" "&amp;Milestones!$AB$151&amp;" "&amp;Milestones!$AC$151&amp;";  ","")&amp;IF(AND(EDATE($D20,Milestones!$AA$152)&lt;=AsOfDate,IF($Q20=0,$W20,IF(AND($S20&lt;&gt;"",EDATE($D20,Milestones!$AA$152)&gt;=$S20),$V20,IF(AND($R20&lt;&gt;"",EDATE($D20,Milestones!$AA$152)&gt;=$R20),$U20,$T20)))=Milestones!$AB$152),TEXT(EDATE($D20,Milestones!$AA$152),"dd/mm/yy")&amp;" "&amp;Milestones!$AB$152&amp;" "&amp;Milestones!$AC$152&amp;";  ","")&amp;IF(AND(EDATE($D20,Milestones!$AA$153)&lt;=AsOfDate,IF($Q20=0,$W20,IF(AND($S20&lt;&gt;"",EDATE($D20,Milestones!$AA$153)&gt;=$S20),$V20,IF(AND($R20&lt;&gt;"",EDATE($D20,Milestones!$AA$153)&gt;=$R20),$U20,$T20)))=Milestones!$AB$153),TEXT(EDATE($D20,Milestones!$AA$153),"dd/mm/yy")&amp;" "&amp;Milestones!$AB$153&amp;" "&amp;Milestones!$AC$153&amp;";  ","")&amp;IF(AND(EDATE($D20,Milestones!$AA$154)&lt;=AsOfDate,IF($Q20=0,$W20,IF(AND($S20&lt;&gt;"",EDATE($D20,Milestones!$AA$154)&gt;=$S20),$V20,IF(AND($R20&lt;&gt;"",EDATE($D20,Milestones!$AA$154)&gt;=$R20),$U20,$T20)))=Milestones!$AB$154),TEXT(EDATE($D20,Milestones!$AA$154),"dd/mm/yy")&amp;" "&amp;Milestones!$AB$154&amp;" "&amp;Milestones!$AC$154&amp;";  ","")&amp;IF(AND(EDATE($D20,Milestones!$AA$155)&lt;=AsOfDate,IF($Q20=0,$W20,IF(AND($S20&lt;&gt;"",EDATE($D20,Milestones!$AA$155)&gt;=$S20),$V20,IF(AND($R20&lt;&gt;"",EDATE($D20,Milestones!$AA$155)&gt;=$R20),$U20,$T20)))=Milestones!$AB$155),TEXT(EDATE($D20,Milestones!$AA$155),"dd/mm/yy")&amp;" "&amp;Milestones!$AB$155&amp;" "&amp;Milestones!$AC$155&amp;";  ","")&amp;IF(AND(EDATE($D20,Milestones!$AA$156)&lt;=AsOfDate,IF($Q20=0,$W20,IF(AND($S20&lt;&gt;"",EDATE($D20,Milestones!$AA$156)&gt;=$S20),$V20,IF(AND($R20&lt;&gt;"",EDATE($D20,Milestones!$AA$156)&gt;=$R20),$U20,$T20)))=Milestones!$AB$156),TEXT(EDATE($D20,Milestones!$AA$156),"dd/mm/yy")&amp;" "&amp;Milestones!$AB$156&amp;" "&amp;Milestones!$AC$156&amp;";  ","")&amp;IF(AND(EDATE($D20,Milestones!$AA$157)&lt;=AsOfDate,IF($Q20=0,$W20,IF(AND($S20&lt;&gt;"",EDATE($D20,Milestones!$AA$157)&gt;=$S20),$V20,IF(AND($R20&lt;&gt;"",EDATE($D20,Milestones!$AA$157)&gt;=$R20),$U20,$T20)))=Milestones!$AB$157),TEXT(EDATE($D20,Milestones!$AA$157),"dd/mm/yy")&amp;" "&amp;Milestones!$AB$157&amp;" "&amp;Milestones!$AC$157&amp;";  ","")&amp;IF(AND(EDATE($D20,Milestones!$AA$158)&lt;=AsOfDate,IF($Q20=0,$W20,IF(AND($S20&lt;&gt;"",EDATE($D20,Milestones!$AA$158)&gt;=$S20),$V20,IF(AND($R20&lt;&gt;"",EDATE($D20,Milestones!$AA$158)&gt;=$R20),$U20,$T20)))=Milestones!$AB$158),TEXT(EDATE($D20,Milestones!$AA$158),"dd/mm/yy")&amp;" "&amp;Milestones!$AB$158&amp;" "&amp;Milestones!$AC$158&amp;";  ","")&amp;IF(AND(EDATE($D20,Milestones!$AA$159)&lt;=AsOfDate,IF($Q20=0,$W20,IF(AND($S20&lt;&gt;"",EDATE($D20,Milestones!$AA$159)&gt;=$S20),$V20,IF(AND($R20&lt;&gt;"",EDATE($D20,Milestones!$AA$159)&gt;=$R20),$U20,$T20)))=Milestones!$AB$159),TEXT(EDATE($D20,Milestones!$AA$159),"dd/mm/yy")&amp;" "&amp;Milestones!$AB$159&amp;" "&amp;Milestones!$AC$159&amp;";  ",""))</f>
        <v/>
      </c>
      <c r="O20" s="0" t="str">
        <f aca="false">IF(OR($A20="",$D20=""),"",IF(AND(EDATE($D20,Milestones!$AA$160)&lt;=AsOfDate,IF($Q20=0,$W20,IF(AND($S20&lt;&gt;"",EDATE($D20,Milestones!$AA$160)&gt;=$S20),$V20,IF(AND($R20&lt;&gt;"",EDATE($D20,Milestones!$AA$160)&gt;=$R20),$U20,$T20)))=Milestones!$AB$160),TEXT(EDATE($D20,Milestones!$AA$160),"dd/mm/yy")&amp;" "&amp;Milestones!$AB$160&amp;" "&amp;Milestones!$AC$160&amp;";  ","")&amp;IF(AND(EDATE($D20,Milestones!$AA$161)&lt;=AsOfDate,IF($Q20=0,$W20,IF(AND($S20&lt;&gt;"",EDATE($D20,Milestones!$AA$161)&gt;=$S20),$V20,IF(AND($R20&lt;&gt;"",EDATE($D20,Milestones!$AA$161)&gt;=$R20),$U20,$T20)))=Milestones!$AB$161),TEXT(EDATE($D20,Milestones!$AA$161),"dd/mm/yy")&amp;" "&amp;Milestones!$AB$161&amp;" "&amp;Milestones!$AC$161&amp;";  ","")&amp;IF(AND(EDATE($D20,Milestones!$AA$162)&lt;=AsOfDate,IF($Q20=0,$W20,IF(AND($S20&lt;&gt;"",EDATE($D20,Milestones!$AA$162)&gt;=$S20),$V20,IF(AND($R20&lt;&gt;"",EDATE($D20,Milestones!$AA$162)&gt;=$R20),$U20,$T20)))=Milestones!$AB$162),TEXT(EDATE($D20,Milestones!$AA$162),"dd/mm/yy")&amp;" "&amp;Milestones!$AB$162&amp;" "&amp;Milestones!$AC$162&amp;";  ","")&amp;IF(AND(EDATE($D20,Milestones!$AA$163)&lt;=AsOfDate,IF($Q20=0,$W20,IF(AND($S20&lt;&gt;"",EDATE($D20,Milestones!$AA$163)&gt;=$S20),$V20,IF(AND($R20&lt;&gt;"",EDATE($D20,Milestones!$AA$163)&gt;=$R20),$U20,$T20)))=Milestones!$AB$163),TEXT(EDATE($D20,Milestones!$AA$163),"dd/mm/yy")&amp;" "&amp;Milestones!$AB$163&amp;" "&amp;Milestones!$AC$163&amp;";  ","")&amp;IF(AND(EDATE($D20,Milestones!$AA$164)&lt;=AsOfDate,IF($Q20=0,$W20,IF(AND($S20&lt;&gt;"",EDATE($D20,Milestones!$AA$164)&gt;=$S20),$V20,IF(AND($R20&lt;&gt;"",EDATE($D20,Milestones!$AA$164)&gt;=$R20),$U20,$T20)))=Milestones!$AB$164),TEXT(EDATE($D20,Milestones!$AA$164),"dd/mm/yy")&amp;" "&amp;Milestones!$AB$164&amp;" "&amp;Milestones!$AC$164&amp;";  ","")&amp;IF(AND(EDATE($D20,Milestones!$AA$165)&lt;=AsOfDate,IF($Q20=0,$W20,IF(AND($S20&lt;&gt;"",EDATE($D20,Milestones!$AA$165)&gt;=$S20),$V20,IF(AND($R20&lt;&gt;"",EDATE($D20,Milestones!$AA$165)&gt;=$R20),$U20,$T20)))=Milestones!$AB$165),TEXT(EDATE($D20,Milestones!$AA$165),"dd/mm/yy")&amp;" "&amp;Milestones!$AB$165&amp;" "&amp;Milestones!$AC$165&amp;";  ","")&amp;IF(AND(EDATE($D20,Milestones!$AA$166)&lt;=AsOfDate,IF($Q20=0,$W20,IF(AND($S20&lt;&gt;"",EDATE($D20,Milestones!$AA$166)&gt;=$S20),$V20,IF(AND($R20&lt;&gt;"",EDATE($D20,Milestones!$AA$166)&gt;=$R20),$U20,$T20)))=Milestones!$AB$166),TEXT(EDATE($D20,Milestones!$AA$166),"dd/mm/yy")&amp;" "&amp;Milestones!$AB$166&amp;" "&amp;Milestones!$AC$166&amp;";  ","")&amp;IF(AND(EDATE($D20,Milestones!$AA$167)&lt;=AsOfDate,IF($Q20=0,$W20,IF(AND($S20&lt;&gt;"",EDATE($D20,Milestones!$AA$167)&gt;=$S20),$V20,IF(AND($R20&lt;&gt;"",EDATE($D20,Milestones!$AA$167)&gt;=$R20),$U20,$T20)))=Milestones!$AB$167),TEXT(EDATE($D20,Milestones!$AA$167),"dd/mm/yy")&amp;" "&amp;Milestones!$AB$167&amp;" "&amp;Milestones!$AC$167&amp;";  ","")&amp;IF(AND(EDATE($D20,Milestones!$AA$168)&lt;=AsOfDate,IF($Q20=0,$W20,IF(AND($S20&lt;&gt;"",EDATE($D20,Milestones!$AA$168)&gt;=$S20),$V20,IF(AND($R20&lt;&gt;"",EDATE($D20,Milestones!$AA$168)&gt;=$R20),$U20,$T20)))=Milestones!$AB$168),TEXT(EDATE($D20,Milestones!$AA$168),"dd/mm/yy")&amp;" "&amp;Milestones!$AB$168&amp;" "&amp;Milestones!$AC$168&amp;";  ","")&amp;IF(AND(EDATE($D20,Milestones!$AA$169)&lt;=AsOfDate,IF($Q20=0,$W20,IF(AND($S20&lt;&gt;"",EDATE($D20,Milestones!$AA$169)&gt;=$S20),$V20,IF(AND($R20&lt;&gt;"",EDATE($D20,Milestones!$AA$169)&gt;=$R20),$U20,$T20)))=Milestones!$AB$169),TEXT(EDATE($D20,Milestones!$AA$169),"dd/mm/yy")&amp;" "&amp;Milestones!$AB$169&amp;" "&amp;Milestones!$AC$169&amp;";  ","")&amp;IF(AND(EDATE($D20,Milestones!$AA$170)&lt;=AsOfDate,IF($Q20=0,$W20,IF(AND($S20&lt;&gt;"",EDATE($D20,Milestones!$AA$170)&gt;=$S20),$V20,IF(AND($R20&lt;&gt;"",EDATE($D20,Milestones!$AA$170)&gt;=$R20),$U20,$T20)))=Milestones!$AB$170),TEXT(EDATE($D20,Milestones!$AA$170),"dd/mm/yy")&amp;" "&amp;Milestones!$AB$170&amp;" "&amp;Milestones!$AC$170&amp;";  ","")&amp;IF(AND(EDATE($D20,Milestones!$AA$171)&lt;=AsOfDate,IF($Q20=0,$W20,IF(AND($S20&lt;&gt;"",EDATE($D20,Milestones!$AA$171)&gt;=$S20),$V20,IF(AND($R20&lt;&gt;"",EDATE($D20,Milestones!$AA$171)&gt;=$R20),$U20,$T20)))=Milestones!$AB$171),TEXT(EDATE($D20,Milestones!$AA$171),"dd/mm/yy")&amp;" "&amp;Milestones!$AB$171&amp;" "&amp;Milestones!$AC$171&amp;";  ","")&amp;IF(AND(EDATE($D20,Milestones!$AA$172)&lt;=AsOfDate,IF($Q20=0,$W20,IF(AND($S20&lt;&gt;"",EDATE($D20,Milestones!$AA$172)&gt;=$S20),$V20,IF(AND($R20&lt;&gt;"",EDATE($D20,Milestones!$AA$172)&gt;=$R20),$U20,$T20)))=Milestones!$AB$172),TEXT(EDATE($D20,Milestones!$AA$172),"dd/mm/yy")&amp;" "&amp;Milestones!$AB$172&amp;" "&amp;Milestones!$AC$172&amp;";  ","")&amp;IF(AND(EDATE($D20,Milestones!$AA$173)&lt;=AsOfDate,IF($Q20=0,$W20,IF(AND($S20&lt;&gt;"",EDATE($D20,Milestones!$AA$173)&gt;=$S20),$V20,IF(AND($R20&lt;&gt;"",EDATE($D20,Milestones!$AA$173)&gt;=$R20),$U20,$T20)))=Milestones!$AB$173),TEXT(EDATE($D20,Milestones!$AA$173),"dd/mm/yy")&amp;" "&amp;Milestones!$AB$173&amp;" "&amp;Milestones!$AC$173&amp;";  ","")&amp;IF(AND(EDATE($D20,Milestones!$AA$174)&lt;=AsOfDate,IF($Q20=0,$W20,IF(AND($S20&lt;&gt;"",EDATE($D20,Milestones!$AA$174)&gt;=$S20),$V20,IF(AND($R20&lt;&gt;"",EDATE($D20,Milestones!$AA$174)&gt;=$R20),$U20,$T20)))=Milestones!$AB$174),TEXT(EDATE($D20,Milestones!$AA$174),"dd/mm/yy")&amp;" "&amp;Milestones!$AB$174&amp;" "&amp;Milestones!$AC$174&amp;";  ","")&amp;IF(AND(EDATE($D20,Milestones!$AA$175)&lt;=AsOfDate,IF($Q20=0,$W20,IF(AND($S20&lt;&gt;"",EDATE($D20,Milestones!$AA$175)&gt;=$S20),$V20,IF(AND($R20&lt;&gt;"",EDATE($D20,Milestones!$AA$175)&gt;=$R20),$U20,$T20)))=Milestones!$AB$175),TEXT(EDATE($D20,Milestones!$AA$175),"dd/mm/yy")&amp;" "&amp;Milestones!$AB$175&amp;" "&amp;Milestones!$AC$175&amp;";  ","")&amp;IF(AND(EDATE($D20,Milestones!$AA$176)&lt;=AsOfDate,IF($Q20=0,$W20,IF(AND($S20&lt;&gt;"",EDATE($D20,Milestones!$AA$176)&gt;=$S20),$V20,IF(AND($R20&lt;&gt;"",EDATE($D20,Milestones!$AA$176)&gt;=$R20),$U20,$T20)))=Milestones!$AB$176),TEXT(EDATE($D20,Milestones!$AA$176),"dd/mm/yy")&amp;" "&amp;Milestones!$AB$176&amp;" "&amp;Milestones!$AC$176&amp;";  ","")&amp;IF(AND(EDATE($D20,Milestones!$AA$177)&lt;=AsOfDate,IF($Q20=0,$W20,IF(AND($S20&lt;&gt;"",EDATE($D20,Milestones!$AA$177)&gt;=$S20),$V20,IF(AND($R20&lt;&gt;"",EDATE($D20,Milestones!$AA$177)&gt;=$R20),$U20,$T20)))=Milestones!$AB$177),TEXT(EDATE($D20,Milestones!$AA$177),"dd/mm/yy")&amp;" "&amp;Milestones!$AB$177&amp;" "&amp;Milestones!$AC$177&amp;";  ","")&amp;IF(AND(EDATE($D20,Milestones!$AA$178)&lt;=AsOfDate,IF($Q20=0,$W20,IF(AND($S20&lt;&gt;"",EDATE($D20,Milestones!$AA$178)&gt;=$S20),$V20,IF(AND($R20&lt;&gt;"",EDATE($D20,Milestones!$AA$178)&gt;=$R20),$U20,$T20)))=Milestones!$AB$178),TEXT(EDATE($D20,Milestones!$AA$178),"dd/mm/yy")&amp;" "&amp;Milestones!$AB$178&amp;" "&amp;Milestones!$AC$178&amp;";  ","")&amp;IF(AND(EDATE($D20,Milestones!$AA$179)&lt;=AsOfDate,IF($Q20=0,$W20,IF(AND($S20&lt;&gt;"",EDATE($D20,Milestones!$AA$179)&gt;=$S20),$V20,IF(AND($R20&lt;&gt;"",EDATE($D20,Milestones!$AA$179)&gt;=$R20),$U20,$T20)))=Milestones!$AB$179),TEXT(EDATE($D20,Milestones!$AA$179),"dd/mm/yy")&amp;" "&amp;Milestones!$AB$179&amp;" "&amp;Milestones!$AC$179&amp;";  ",""))</f>
        <v/>
      </c>
      <c r="P20" s="0" t="str">
        <f aca="false">IF(OR($A20="",$D20=""),"",IF(AND(EDATE($D20,Milestones!$AA$180)&lt;=AsOfDate,IF($Q20=0,$W20,IF(AND($S20&lt;&gt;"",EDATE($D20,Milestones!$AA$180)&gt;=$S20),$V20,IF(AND($R20&lt;&gt;"",EDATE($D20,Milestones!$AA$180)&gt;=$R20),$U20,$T20)))=Milestones!$AB$180),TEXT(EDATE($D20,Milestones!$AA$180),"dd/mm/yy")&amp;" "&amp;Milestones!$AB$180&amp;" "&amp;Milestones!$AC$180&amp;";  ","")&amp;IF(AND(EDATE($D20,Milestones!$AA$181)&lt;=AsOfDate,IF($Q20=0,$W20,IF(AND($S20&lt;&gt;"",EDATE($D20,Milestones!$AA$181)&gt;=$S20),$V20,IF(AND($R20&lt;&gt;"",EDATE($D20,Milestones!$AA$181)&gt;=$R20),$U20,$T20)))=Milestones!$AB$181),TEXT(EDATE($D20,Milestones!$AA$181),"dd/mm/yy")&amp;" "&amp;Milestones!$AB$181&amp;" "&amp;Milestones!$AC$181&amp;";  ","")&amp;IF(AND(EDATE($D20,Milestones!$AA$182)&lt;=AsOfDate,IF($Q20=0,$W20,IF(AND($S20&lt;&gt;"",EDATE($D20,Milestones!$AA$182)&gt;=$S20),$V20,IF(AND($R20&lt;&gt;"",EDATE($D20,Milestones!$AA$182)&gt;=$R20),$U20,$T20)))=Milestones!$AB$182),TEXT(EDATE($D20,Milestones!$AA$182),"dd/mm/yy")&amp;" "&amp;Milestones!$AB$182&amp;" "&amp;Milestones!$AC$182&amp;";  ","")&amp;IF(AND(EDATE($D20,Milestones!$AA$183)&lt;=AsOfDate,IF($Q20=0,$W20,IF(AND($S20&lt;&gt;"",EDATE($D20,Milestones!$AA$183)&gt;=$S20),$V20,IF(AND($R20&lt;&gt;"",EDATE($D20,Milestones!$AA$183)&gt;=$R20),$U20,$T20)))=Milestones!$AB$183),TEXT(EDATE($D20,Milestones!$AA$183),"dd/mm/yy")&amp;" "&amp;Milestones!$AB$183&amp;" "&amp;Milestones!$AC$183&amp;";  ","")&amp;IF(AND(EDATE($D20,Milestones!$AA$184)&lt;=AsOfDate,IF($Q20=0,$W20,IF(AND($S20&lt;&gt;"",EDATE($D20,Milestones!$AA$184)&gt;=$S20),$V20,IF(AND($R20&lt;&gt;"",EDATE($D20,Milestones!$AA$184)&gt;=$R20),$U20,$T20)))=Milestones!$AB$184),TEXT(EDATE($D20,Milestones!$AA$184),"dd/mm/yy")&amp;" "&amp;Milestones!$AB$184&amp;" "&amp;Milestones!$AC$184&amp;";  ","")&amp;IF(AND(EDATE($D20,Milestones!$AA$185)&lt;=AsOfDate,IF($Q20=0,$W20,IF(AND($S20&lt;&gt;"",EDATE($D20,Milestones!$AA$185)&gt;=$S20),$V20,IF(AND($R20&lt;&gt;"",EDATE($D20,Milestones!$AA$185)&gt;=$R20),$U20,$T20)))=Milestones!$AB$185),TEXT(EDATE($D20,Milestones!$AA$185),"dd/mm/yy")&amp;" "&amp;Milestones!$AB$185&amp;" "&amp;Milestones!$AC$185&amp;";  ","")&amp;IF(AND(EDATE($D20,Milestones!$AA$186)&lt;=AsOfDate,IF($Q20=0,$W20,IF(AND($S20&lt;&gt;"",EDATE($D20,Milestones!$AA$186)&gt;=$S20),$V20,IF(AND($R20&lt;&gt;"",EDATE($D20,Milestones!$AA$186)&gt;=$R20),$U20,$T20)))=Milestones!$AB$186),TEXT(EDATE($D20,Milestones!$AA$186),"dd/mm/yy")&amp;" "&amp;Milestones!$AB$186&amp;" "&amp;Milestones!$AC$186&amp;";  ","")&amp;IF(AND(EDATE($D20,Milestones!$AA$187)&lt;=AsOfDate,IF($Q20=0,$W20,IF(AND($S20&lt;&gt;"",EDATE($D20,Milestones!$AA$187)&gt;=$S20),$V20,IF(AND($R20&lt;&gt;"",EDATE($D20,Milestones!$AA$187)&gt;=$R20),$U20,$T20)))=Milestones!$AB$187),TEXT(EDATE($D20,Milestones!$AA$187),"dd/mm/yy")&amp;" "&amp;Milestones!$AB$187&amp;" "&amp;Milestones!$AC$187&amp;";  ","")&amp;IF(AND(EDATE($D20,Milestones!$AA$188)&lt;=AsOfDate,IF($Q20=0,$W20,IF(AND($S20&lt;&gt;"",EDATE($D20,Milestones!$AA$188)&gt;=$S20),$V20,IF(AND($R20&lt;&gt;"",EDATE($D20,Milestones!$AA$188)&gt;=$R20),$U20,$T20)))=Milestones!$AB$188),TEXT(EDATE($D20,Milestones!$AA$188),"dd/mm/yy")&amp;" "&amp;Milestones!$AB$188&amp;" "&amp;Milestones!$AC$188&amp;";  ","")&amp;IF(AND(EDATE($D20,Milestones!$AA$189)&lt;=AsOfDate,IF($Q20=0,$W20,IF(AND($S20&lt;&gt;"",EDATE($D20,Milestones!$AA$189)&gt;=$S20),$V20,IF(AND($R20&lt;&gt;"",EDATE($D20,Milestones!$AA$189)&gt;=$R20),$U20,$T20)))=Milestones!$AB$189),TEXT(EDATE($D20,Milestones!$AA$189),"dd/mm/yy")&amp;" "&amp;Milestones!$AB$189&amp;" "&amp;Milestones!$AC$189&amp;";  ","")&amp;IF(AND(EDATE($D20,Milestones!$AA$190)&lt;=AsOfDate,IF($Q20=0,$W20,IF(AND($S20&lt;&gt;"",EDATE($D20,Milestones!$AA$190)&gt;=$S20),$V20,IF(AND($R20&lt;&gt;"",EDATE($D20,Milestones!$AA$190)&gt;=$R20),$U20,$T20)))=Milestones!$AB$190),TEXT(EDATE($D20,Milestones!$AA$190),"dd/mm/yy")&amp;" "&amp;Milestones!$AB$190&amp;" "&amp;Milestones!$AC$190&amp;";  ","")&amp;IF(AND(EDATE($D20,Milestones!$AA$191)&lt;=AsOfDate,IF($Q20=0,$W20,IF(AND($S20&lt;&gt;"",EDATE($D20,Milestones!$AA$191)&gt;=$S20),$V20,IF(AND($R20&lt;&gt;"",EDATE($D20,Milestones!$AA$191)&gt;=$R20),$U20,$T20)))=Milestones!$AB$191),TEXT(EDATE($D20,Milestones!$AA$191),"dd/mm/yy")&amp;" "&amp;Milestones!$AB$191&amp;" "&amp;Milestones!$AC$191&amp;";  ","")&amp;IF(AND(EDATE($D20,Milestones!$AA$192)&lt;=AsOfDate,IF($Q20=0,$W20,IF(AND($S20&lt;&gt;"",EDATE($D20,Milestones!$AA$192)&gt;=$S20),$V20,IF(AND($R20&lt;&gt;"",EDATE($D20,Milestones!$AA$192)&gt;=$R20),$U20,$T20)))=Milestones!$AB$192),TEXT(EDATE($D20,Milestones!$AA$192),"dd/mm/yy")&amp;" "&amp;Milestones!$AB$192&amp;" "&amp;Milestones!$AC$192&amp;";  ","")&amp;IF(AND(EDATE($D20,Milestones!$AA$193)&lt;=AsOfDate,IF($Q20=0,$W20,IF(AND($S20&lt;&gt;"",EDATE($D20,Milestones!$AA$193)&gt;=$S20),$V20,IF(AND($R20&lt;&gt;"",EDATE($D20,Milestones!$AA$193)&gt;=$R20),$U20,$T20)))=Milestones!$AB$193),TEXT(EDATE($D20,Milestones!$AA$193),"dd/mm/yy")&amp;" "&amp;Milestones!$AB$193&amp;" "&amp;Milestones!$AC$193&amp;";  ","")&amp;IF(AND(EDATE($D20,Milestones!$AA$194)&lt;=AsOfDate,IF($Q20=0,$W20,IF(AND($S20&lt;&gt;"",EDATE($D20,Milestones!$AA$194)&gt;=$S20),$V20,IF(AND($R20&lt;&gt;"",EDATE($D20,Milestones!$AA$194)&gt;=$R20),$U20,$T20)))=Milestones!$AB$194),TEXT(EDATE($D20,Milestones!$AA$194),"dd/mm/yy")&amp;" "&amp;Milestones!$AB$194&amp;" "&amp;Milestones!$AC$194&amp;";  ","")&amp;IF(AND(EDATE($D20,Milestones!$AA$195)&lt;=AsOfDate,IF($Q20=0,$W20,IF(AND($S20&lt;&gt;"",EDATE($D20,Milestones!$AA$195)&gt;=$S20),$V20,IF(AND($R20&lt;&gt;"",EDATE($D20,Milestones!$AA$195)&gt;=$R20),$U20,$T20)))=Milestones!$AB$195),TEXT(EDATE($D20,Milestones!$AA$195),"dd/mm/yy")&amp;" "&amp;Milestones!$AB$195&amp;" "&amp;Milestones!$AC$195&amp;";  ","")&amp;IF(AND(EDATE($D20,Milestones!$AA$196)&lt;=AsOfDate,IF($Q20=0,$W20,IF(AND($S20&lt;&gt;"",EDATE($D20,Milestones!$AA$196)&gt;=$S20),$V20,IF(AND($R20&lt;&gt;"",EDATE($D20,Milestones!$AA$196)&gt;=$R20),$U20,$T20)))=Milestones!$AB$196),TEXT(EDATE($D20,Milestones!$AA$196),"dd/mm/yy")&amp;" "&amp;Milestones!$AB$196&amp;" "&amp;Milestones!$AC$196&amp;";  ","")&amp;IF(AND(EDATE($D20,Milestones!$AA$197)&lt;=AsOfDate,IF($Q20=0,$W20,IF(AND($S20&lt;&gt;"",EDATE($D20,Milestones!$AA$197)&gt;=$S20),$V20,IF(AND($R20&lt;&gt;"",EDATE($D20,Milestones!$AA$197)&gt;=$R20),$U20,$T20)))=Milestones!$AB$197),TEXT(EDATE($D20,Milestones!$AA$197),"dd/mm/yy")&amp;" "&amp;Milestones!$AB$197&amp;" "&amp;Milestones!$AC$197&amp;";  ","")&amp;IF(AND(EDATE($D20,Milestones!$AA$198)&lt;=AsOfDate,IF($Q20=0,$W20,IF(AND($S20&lt;&gt;"",EDATE($D20,Milestones!$AA$198)&gt;=$S20),$V20,IF(AND($R20&lt;&gt;"",EDATE($D20,Milestones!$AA$198)&gt;=$R20),$U20,$T20)))=Milestones!$AB$198),TEXT(EDATE($D20,Milestones!$AA$198),"dd/mm/yy")&amp;" "&amp;Milestones!$AB$198&amp;" "&amp;Milestones!$AC$198&amp;";  ","")&amp;IF(AND(EDATE($D20,Milestones!$AA$199)&lt;=AsOfDate,IF($Q20=0,$W20,IF(AND($S20&lt;&gt;"",EDATE($D20,Milestones!$AA$199)&gt;=$S20),$V20,IF(AND($R20&lt;&gt;"",EDATE($D20,Milestones!$AA$199)&gt;=$R20),$U20,$T20)))=Milestones!$AB$199),TEXT(EDATE($D20,Milestones!$AA$199),"dd/mm/yy")&amp;" "&amp;Milestones!$AB$199&amp;" "&amp;Milestones!$AC$199&amp;";  ",""))</f>
        <v/>
      </c>
      <c r="Q20" s="0" t="str">
        <f aca="false">IF(Staff!$A20="","",Staff!$AG20)</f>
        <v/>
      </c>
      <c r="R20" s="0" t="str">
        <f aca="false">IF(Staff!$A20="","",Staff!$AI20)</f>
        <v/>
      </c>
      <c r="S20" s="0" t="str">
        <f aca="false">IF(Staff!$A20="","",Staff!$AJ20)</f>
        <v/>
      </c>
      <c r="T20" s="0" t="str">
        <f aca="false">IF(Staff!$A20="","",Staff!$AN20)</f>
        <v/>
      </c>
      <c r="U20" s="0" t="str">
        <f aca="false">IF(Staff!$A20="","",Staff!$AO20)</f>
        <v/>
      </c>
      <c r="V20" s="0" t="str">
        <f aca="false">IF(Staff!$A20="","",Staff!$AP20)</f>
        <v/>
      </c>
      <c r="W20" s="0" t="str">
        <f aca="false">IF(Staff!$A20="","",Staff!$AQ20)</f>
        <v/>
      </c>
    </row>
    <row r="21" customFormat="false" ht="15" hidden="false" customHeight="false" outlineLevel="0" collapsed="false">
      <c r="A21" s="13" t="str">
        <f aca="false">IF(Staff!$A21="","",Staff!$A21)</f>
        <v/>
      </c>
      <c r="B21" s="13" t="str">
        <f aca="false">IF(Staff!$A21="","",Staff!$B21)</f>
        <v/>
      </c>
      <c r="C21" s="13" t="str">
        <f aca="false">IF(Staff!$A21="","",Staff!$C21)</f>
        <v/>
      </c>
      <c r="D21" s="11" t="str">
        <f aca="false">IF(Staff!$A21="","",Staff!$AF21)</f>
        <v/>
      </c>
      <c r="E21" s="13" t="str">
        <f aca="false">IF(Staff!$A21="","",Staff!$O21)</f>
        <v/>
      </c>
      <c r="F21" s="13" t="str">
        <f aca="false">IF(E21="","",E21*HoursPerDay)</f>
        <v/>
      </c>
      <c r="G21" s="26" t="str">
        <f aca="false">IF($A21="","",H21&amp;I21&amp;J21&amp;K21&amp;L21&amp;M21&amp;N21&amp;O21&amp;P21)</f>
        <v/>
      </c>
      <c r="H21" s="0" t="str">
        <f aca="false">IF(OR($A21="",$D21=""),"",IF(AND(EDATE($D21,Milestones!$AA$20)&lt;=AsOfDate,IF($Q21=0,$W21,IF(AND($S21&lt;&gt;"",EDATE($D21,Milestones!$AA$20)&gt;=$S21),$V21,IF(AND($R21&lt;&gt;"",EDATE($D21,Milestones!$AA$20)&gt;=$R21),$U21,$T21)))=Milestones!$AB$20),TEXT(EDATE($D21,Milestones!$AA$20),"dd/mm/yy")&amp;" "&amp;Milestones!$AB$20&amp;" "&amp;Milestones!$AC$20&amp;";  ","")&amp;IF(AND(EDATE($D21,Milestones!$AA$21)&lt;=AsOfDate,IF($Q21=0,$W21,IF(AND($S21&lt;&gt;"",EDATE($D21,Milestones!$AA$21)&gt;=$S21),$V21,IF(AND($R21&lt;&gt;"",EDATE($D21,Milestones!$AA$21)&gt;=$R21),$U21,$T21)))=Milestones!$AB$21),TEXT(EDATE($D21,Milestones!$AA$21),"dd/mm/yy")&amp;" "&amp;Milestones!$AB$21&amp;" "&amp;Milestones!$AC$21&amp;";  ","")&amp;IF(AND(EDATE($D21,Milestones!$AA$22)&lt;=AsOfDate,IF($Q21=0,$W21,IF(AND($S21&lt;&gt;"",EDATE($D21,Milestones!$AA$22)&gt;=$S21),$V21,IF(AND($R21&lt;&gt;"",EDATE($D21,Milestones!$AA$22)&gt;=$R21),$U21,$T21)))=Milestones!$AB$22),TEXT(EDATE($D21,Milestones!$AA$22),"dd/mm/yy")&amp;" "&amp;Milestones!$AB$22&amp;" "&amp;Milestones!$AC$22&amp;";  ","")&amp;IF(AND(EDATE($D21,Milestones!$AA$23)&lt;=AsOfDate,IF($Q21=0,$W21,IF(AND($S21&lt;&gt;"",EDATE($D21,Milestones!$AA$23)&gt;=$S21),$V21,IF(AND($R21&lt;&gt;"",EDATE($D21,Milestones!$AA$23)&gt;=$R21),$U21,$T21)))=Milestones!$AB$23),TEXT(EDATE($D21,Milestones!$AA$23),"dd/mm/yy")&amp;" "&amp;Milestones!$AB$23&amp;" "&amp;Milestones!$AC$23&amp;";  ","")&amp;IF(AND(EDATE($D21,Milestones!$AA$24)&lt;=AsOfDate,IF($Q21=0,$W21,IF(AND($S21&lt;&gt;"",EDATE($D21,Milestones!$AA$24)&gt;=$S21),$V21,IF(AND($R21&lt;&gt;"",EDATE($D21,Milestones!$AA$24)&gt;=$R21),$U21,$T21)))=Milestones!$AB$24),TEXT(EDATE($D21,Milestones!$AA$24),"dd/mm/yy")&amp;" "&amp;Milestones!$AB$24&amp;" "&amp;Milestones!$AC$24&amp;";  ","")&amp;IF(AND(EDATE($D21,Milestones!$AA$25)&lt;=AsOfDate,IF($Q21=0,$W21,IF(AND($S21&lt;&gt;"",EDATE($D21,Milestones!$AA$25)&gt;=$S21),$V21,IF(AND($R21&lt;&gt;"",EDATE($D21,Milestones!$AA$25)&gt;=$R21),$U21,$T21)))=Milestones!$AB$25),TEXT(EDATE($D21,Milestones!$AA$25),"dd/mm/yy")&amp;" "&amp;Milestones!$AB$25&amp;" "&amp;Milestones!$AC$25&amp;";  ","")&amp;IF(AND(EDATE($D21,Milestones!$AA$26)&lt;=AsOfDate,IF($Q21=0,$W21,IF(AND($S21&lt;&gt;"",EDATE($D21,Milestones!$AA$26)&gt;=$S21),$V21,IF(AND($R21&lt;&gt;"",EDATE($D21,Milestones!$AA$26)&gt;=$R21),$U21,$T21)))=Milestones!$AB$26),TEXT(EDATE($D21,Milestones!$AA$26),"dd/mm/yy")&amp;" "&amp;Milestones!$AB$26&amp;" "&amp;Milestones!$AC$26&amp;";  ","")&amp;IF(AND(EDATE($D21,Milestones!$AA$27)&lt;=AsOfDate,IF($Q21=0,$W21,IF(AND($S21&lt;&gt;"",EDATE($D21,Milestones!$AA$27)&gt;=$S21),$V21,IF(AND($R21&lt;&gt;"",EDATE($D21,Milestones!$AA$27)&gt;=$R21),$U21,$T21)))=Milestones!$AB$27),TEXT(EDATE($D21,Milestones!$AA$27),"dd/mm/yy")&amp;" "&amp;Milestones!$AB$27&amp;" "&amp;Milestones!$AC$27&amp;";  ","")&amp;IF(AND(EDATE($D21,Milestones!$AA$28)&lt;=AsOfDate,IF($Q21=0,$W21,IF(AND($S21&lt;&gt;"",EDATE($D21,Milestones!$AA$28)&gt;=$S21),$V21,IF(AND($R21&lt;&gt;"",EDATE($D21,Milestones!$AA$28)&gt;=$R21),$U21,$T21)))=Milestones!$AB$28),TEXT(EDATE($D21,Milestones!$AA$28),"dd/mm/yy")&amp;" "&amp;Milestones!$AB$28&amp;" "&amp;Milestones!$AC$28&amp;";  ","")&amp;IF(AND(EDATE($D21,Milestones!$AA$29)&lt;=AsOfDate,IF($Q21=0,$W21,IF(AND($S21&lt;&gt;"",EDATE($D21,Milestones!$AA$29)&gt;=$S21),$V21,IF(AND($R21&lt;&gt;"",EDATE($D21,Milestones!$AA$29)&gt;=$R21),$U21,$T21)))=Milestones!$AB$29),TEXT(EDATE($D21,Milestones!$AA$29),"dd/mm/yy")&amp;" "&amp;Milestones!$AB$29&amp;" "&amp;Milestones!$AC$29&amp;";  ","")&amp;IF(AND(EDATE($D21,Milestones!$AA$30)&lt;=AsOfDate,IF($Q21=0,$W21,IF(AND($S21&lt;&gt;"",EDATE($D21,Milestones!$AA$30)&gt;=$S21),$V21,IF(AND($R21&lt;&gt;"",EDATE($D21,Milestones!$AA$30)&gt;=$R21),$U21,$T21)))=Milestones!$AB$30),TEXT(EDATE($D21,Milestones!$AA$30),"dd/mm/yy")&amp;" "&amp;Milestones!$AB$30&amp;" "&amp;Milestones!$AC$30&amp;";  ","")&amp;IF(AND(EDATE($D21,Milestones!$AA$31)&lt;=AsOfDate,IF($Q21=0,$W21,IF(AND($S21&lt;&gt;"",EDATE($D21,Milestones!$AA$31)&gt;=$S21),$V21,IF(AND($R21&lt;&gt;"",EDATE($D21,Milestones!$AA$31)&gt;=$R21),$U21,$T21)))=Milestones!$AB$31),TEXT(EDATE($D21,Milestones!$AA$31),"dd/mm/yy")&amp;" "&amp;Milestones!$AB$31&amp;" "&amp;Milestones!$AC$31&amp;";  ","")&amp;IF(AND(EDATE($D21,Milestones!$AA$32)&lt;=AsOfDate,IF($Q21=0,$W21,IF(AND($S21&lt;&gt;"",EDATE($D21,Milestones!$AA$32)&gt;=$S21),$V21,IF(AND($R21&lt;&gt;"",EDATE($D21,Milestones!$AA$32)&gt;=$R21),$U21,$T21)))=Milestones!$AB$32),TEXT(EDATE($D21,Milestones!$AA$32),"dd/mm/yy")&amp;" "&amp;Milestones!$AB$32&amp;" "&amp;Milestones!$AC$32&amp;";  ","")&amp;IF(AND(EDATE($D21,Milestones!$AA$33)&lt;=AsOfDate,IF($Q21=0,$W21,IF(AND($S21&lt;&gt;"",EDATE($D21,Milestones!$AA$33)&gt;=$S21),$V21,IF(AND($R21&lt;&gt;"",EDATE($D21,Milestones!$AA$33)&gt;=$R21),$U21,$T21)))=Milestones!$AB$33),TEXT(EDATE($D21,Milestones!$AA$33),"dd/mm/yy")&amp;" "&amp;Milestones!$AB$33&amp;" "&amp;Milestones!$AC$33&amp;";  ","")&amp;IF(AND(EDATE($D21,Milestones!$AA$34)&lt;=AsOfDate,IF($Q21=0,$W21,IF(AND($S21&lt;&gt;"",EDATE($D21,Milestones!$AA$34)&gt;=$S21),$V21,IF(AND($R21&lt;&gt;"",EDATE($D21,Milestones!$AA$34)&gt;=$R21),$U21,$T21)))=Milestones!$AB$34),TEXT(EDATE($D21,Milestones!$AA$34),"dd/mm/yy")&amp;" "&amp;Milestones!$AB$34&amp;" "&amp;Milestones!$AC$34&amp;";  ","")&amp;IF(AND(EDATE($D21,Milestones!$AA$35)&lt;=AsOfDate,IF($Q21=0,$W21,IF(AND($S21&lt;&gt;"",EDATE($D21,Milestones!$AA$35)&gt;=$S21),$V21,IF(AND($R21&lt;&gt;"",EDATE($D21,Milestones!$AA$35)&gt;=$R21),$U21,$T21)))=Milestones!$AB$35),TEXT(EDATE($D21,Milestones!$AA$35),"dd/mm/yy")&amp;" "&amp;Milestones!$AB$35&amp;" "&amp;Milestones!$AC$35&amp;";  ","")&amp;IF(AND(EDATE($D21,Milestones!$AA$36)&lt;=AsOfDate,IF($Q21=0,$W21,IF(AND($S21&lt;&gt;"",EDATE($D21,Milestones!$AA$36)&gt;=$S21),$V21,IF(AND($R21&lt;&gt;"",EDATE($D21,Milestones!$AA$36)&gt;=$R21),$U21,$T21)))=Milestones!$AB$36),TEXT(EDATE($D21,Milestones!$AA$36),"dd/mm/yy")&amp;" "&amp;Milestones!$AB$36&amp;" "&amp;Milestones!$AC$36&amp;";  ","")&amp;IF(AND(EDATE($D21,Milestones!$AA$37)&lt;=AsOfDate,IF($Q21=0,$W21,IF(AND($S21&lt;&gt;"",EDATE($D21,Milestones!$AA$37)&gt;=$S21),$V21,IF(AND($R21&lt;&gt;"",EDATE($D21,Milestones!$AA$37)&gt;=$R21),$U21,$T21)))=Milestones!$AB$37),TEXT(EDATE($D21,Milestones!$AA$37),"dd/mm/yy")&amp;" "&amp;Milestones!$AB$37&amp;" "&amp;Milestones!$AC$37&amp;";  ","")&amp;IF(AND(EDATE($D21,Milestones!$AA$38)&lt;=AsOfDate,IF($Q21=0,$W21,IF(AND($S21&lt;&gt;"",EDATE($D21,Milestones!$AA$38)&gt;=$S21),$V21,IF(AND($R21&lt;&gt;"",EDATE($D21,Milestones!$AA$38)&gt;=$R21),$U21,$T21)))=Milestones!$AB$38),TEXT(EDATE($D21,Milestones!$AA$38),"dd/mm/yy")&amp;" "&amp;Milestones!$AB$38&amp;" "&amp;Milestones!$AC$38&amp;";  ","")&amp;IF(AND(EDATE($D21,Milestones!$AA$39)&lt;=AsOfDate,IF($Q21=0,$W21,IF(AND($S21&lt;&gt;"",EDATE($D21,Milestones!$AA$39)&gt;=$S21),$V21,IF(AND($R21&lt;&gt;"",EDATE($D21,Milestones!$AA$39)&gt;=$R21),$U21,$T21)))=Milestones!$AB$39),TEXT(EDATE($D21,Milestones!$AA$39),"dd/mm/yy")&amp;" "&amp;Milestones!$AB$39&amp;" "&amp;Milestones!$AC$39&amp;";  ",""))</f>
        <v/>
      </c>
      <c r="I21" s="0" t="str">
        <f aca="false">IF(OR($A21="",$D21=""),"",IF(AND(EDATE($D21,Milestones!$AA$40)&lt;=AsOfDate,IF($Q21=0,$W21,IF(AND($S21&lt;&gt;"",EDATE($D21,Milestones!$AA$40)&gt;=$S21),$V21,IF(AND($R21&lt;&gt;"",EDATE($D21,Milestones!$AA$40)&gt;=$R21),$U21,$T21)))=Milestones!$AB$40),TEXT(EDATE($D21,Milestones!$AA$40),"dd/mm/yy")&amp;" "&amp;Milestones!$AB$40&amp;" "&amp;Milestones!$AC$40&amp;";  ","")&amp;IF(AND(EDATE($D21,Milestones!$AA$41)&lt;=AsOfDate,IF($Q21=0,$W21,IF(AND($S21&lt;&gt;"",EDATE($D21,Milestones!$AA$41)&gt;=$S21),$V21,IF(AND($R21&lt;&gt;"",EDATE($D21,Milestones!$AA$41)&gt;=$R21),$U21,$T21)))=Milestones!$AB$41),TEXT(EDATE($D21,Milestones!$AA$41),"dd/mm/yy")&amp;" "&amp;Milestones!$AB$41&amp;" "&amp;Milestones!$AC$41&amp;";  ","")&amp;IF(AND(EDATE($D21,Milestones!$AA$42)&lt;=AsOfDate,IF($Q21=0,$W21,IF(AND($S21&lt;&gt;"",EDATE($D21,Milestones!$AA$42)&gt;=$S21),$V21,IF(AND($R21&lt;&gt;"",EDATE($D21,Milestones!$AA$42)&gt;=$R21),$U21,$T21)))=Milestones!$AB$42),TEXT(EDATE($D21,Milestones!$AA$42),"dd/mm/yy")&amp;" "&amp;Milestones!$AB$42&amp;" "&amp;Milestones!$AC$42&amp;";  ","")&amp;IF(AND(EDATE($D21,Milestones!$AA$43)&lt;=AsOfDate,IF($Q21=0,$W21,IF(AND($S21&lt;&gt;"",EDATE($D21,Milestones!$AA$43)&gt;=$S21),$V21,IF(AND($R21&lt;&gt;"",EDATE($D21,Milestones!$AA$43)&gt;=$R21),$U21,$T21)))=Milestones!$AB$43),TEXT(EDATE($D21,Milestones!$AA$43),"dd/mm/yy")&amp;" "&amp;Milestones!$AB$43&amp;" "&amp;Milestones!$AC$43&amp;";  ","")&amp;IF(AND(EDATE($D21,Milestones!$AA$44)&lt;=AsOfDate,IF($Q21=0,$W21,IF(AND($S21&lt;&gt;"",EDATE($D21,Milestones!$AA$44)&gt;=$S21),$V21,IF(AND($R21&lt;&gt;"",EDATE($D21,Milestones!$AA$44)&gt;=$R21),$U21,$T21)))=Milestones!$AB$44),TEXT(EDATE($D21,Milestones!$AA$44),"dd/mm/yy")&amp;" "&amp;Milestones!$AB$44&amp;" "&amp;Milestones!$AC$44&amp;";  ","")&amp;IF(AND(EDATE($D21,Milestones!$AA$45)&lt;=AsOfDate,IF($Q21=0,$W21,IF(AND($S21&lt;&gt;"",EDATE($D21,Milestones!$AA$45)&gt;=$S21),$V21,IF(AND($R21&lt;&gt;"",EDATE($D21,Milestones!$AA$45)&gt;=$R21),$U21,$T21)))=Milestones!$AB$45),TEXT(EDATE($D21,Milestones!$AA$45),"dd/mm/yy")&amp;" "&amp;Milestones!$AB$45&amp;" "&amp;Milestones!$AC$45&amp;";  ","")&amp;IF(AND(EDATE($D21,Milestones!$AA$46)&lt;=AsOfDate,IF($Q21=0,$W21,IF(AND($S21&lt;&gt;"",EDATE($D21,Milestones!$AA$46)&gt;=$S21),$V21,IF(AND($R21&lt;&gt;"",EDATE($D21,Milestones!$AA$46)&gt;=$R21),$U21,$T21)))=Milestones!$AB$46),TEXT(EDATE($D21,Milestones!$AA$46),"dd/mm/yy")&amp;" "&amp;Milestones!$AB$46&amp;" "&amp;Milestones!$AC$46&amp;";  ","")&amp;IF(AND(EDATE($D21,Milestones!$AA$47)&lt;=AsOfDate,IF($Q21=0,$W21,IF(AND($S21&lt;&gt;"",EDATE($D21,Milestones!$AA$47)&gt;=$S21),$V21,IF(AND($R21&lt;&gt;"",EDATE($D21,Milestones!$AA$47)&gt;=$R21),$U21,$T21)))=Milestones!$AB$47),TEXT(EDATE($D21,Milestones!$AA$47),"dd/mm/yy")&amp;" "&amp;Milestones!$AB$47&amp;" "&amp;Milestones!$AC$47&amp;";  ","")&amp;IF(AND(EDATE($D21,Milestones!$AA$48)&lt;=AsOfDate,IF($Q21=0,$W21,IF(AND($S21&lt;&gt;"",EDATE($D21,Milestones!$AA$48)&gt;=$S21),$V21,IF(AND($R21&lt;&gt;"",EDATE($D21,Milestones!$AA$48)&gt;=$R21),$U21,$T21)))=Milestones!$AB$48),TEXT(EDATE($D21,Milestones!$AA$48),"dd/mm/yy")&amp;" "&amp;Milestones!$AB$48&amp;" "&amp;Milestones!$AC$48&amp;";  ","")&amp;IF(AND(EDATE($D21,Milestones!$AA$49)&lt;=AsOfDate,IF($Q21=0,$W21,IF(AND($S21&lt;&gt;"",EDATE($D21,Milestones!$AA$49)&gt;=$S21),$V21,IF(AND($R21&lt;&gt;"",EDATE($D21,Milestones!$AA$49)&gt;=$R21),$U21,$T21)))=Milestones!$AB$49),TEXT(EDATE($D21,Milestones!$AA$49),"dd/mm/yy")&amp;" "&amp;Milestones!$AB$49&amp;" "&amp;Milestones!$AC$49&amp;";  ","")&amp;IF(AND(EDATE($D21,Milestones!$AA$50)&lt;=AsOfDate,IF($Q21=0,$W21,IF(AND($S21&lt;&gt;"",EDATE($D21,Milestones!$AA$50)&gt;=$S21),$V21,IF(AND($R21&lt;&gt;"",EDATE($D21,Milestones!$AA$50)&gt;=$R21),$U21,$T21)))=Milestones!$AB$50),TEXT(EDATE($D21,Milestones!$AA$50),"dd/mm/yy")&amp;" "&amp;Milestones!$AB$50&amp;" "&amp;Milestones!$AC$50&amp;";  ","")&amp;IF(AND(EDATE($D21,Milestones!$AA$51)&lt;=AsOfDate,IF($Q21=0,$W21,IF(AND($S21&lt;&gt;"",EDATE($D21,Milestones!$AA$51)&gt;=$S21),$V21,IF(AND($R21&lt;&gt;"",EDATE($D21,Milestones!$AA$51)&gt;=$R21),$U21,$T21)))=Milestones!$AB$51),TEXT(EDATE($D21,Milestones!$AA$51),"dd/mm/yy")&amp;" "&amp;Milestones!$AB$51&amp;" "&amp;Milestones!$AC$51&amp;";  ","")&amp;IF(AND(EDATE($D21,Milestones!$AA$52)&lt;=AsOfDate,IF($Q21=0,$W21,IF(AND($S21&lt;&gt;"",EDATE($D21,Milestones!$AA$52)&gt;=$S21),$V21,IF(AND($R21&lt;&gt;"",EDATE($D21,Milestones!$AA$52)&gt;=$R21),$U21,$T21)))=Milestones!$AB$52),TEXT(EDATE($D21,Milestones!$AA$52),"dd/mm/yy")&amp;" "&amp;Milestones!$AB$52&amp;" "&amp;Milestones!$AC$52&amp;";  ","")&amp;IF(AND(EDATE($D21,Milestones!$AA$53)&lt;=AsOfDate,IF($Q21=0,$W21,IF(AND($S21&lt;&gt;"",EDATE($D21,Milestones!$AA$53)&gt;=$S21),$V21,IF(AND($R21&lt;&gt;"",EDATE($D21,Milestones!$AA$53)&gt;=$R21),$U21,$T21)))=Milestones!$AB$53),TEXT(EDATE($D21,Milestones!$AA$53),"dd/mm/yy")&amp;" "&amp;Milestones!$AB$53&amp;" "&amp;Milestones!$AC$53&amp;";  ","")&amp;IF(AND(EDATE($D21,Milestones!$AA$54)&lt;=AsOfDate,IF($Q21=0,$W21,IF(AND($S21&lt;&gt;"",EDATE($D21,Milestones!$AA$54)&gt;=$S21),$V21,IF(AND($R21&lt;&gt;"",EDATE($D21,Milestones!$AA$54)&gt;=$R21),$U21,$T21)))=Milestones!$AB$54),TEXT(EDATE($D21,Milestones!$AA$54),"dd/mm/yy")&amp;" "&amp;Milestones!$AB$54&amp;" "&amp;Milestones!$AC$54&amp;";  ","")&amp;IF(AND(EDATE($D21,Milestones!$AA$55)&lt;=AsOfDate,IF($Q21=0,$W21,IF(AND($S21&lt;&gt;"",EDATE($D21,Milestones!$AA$55)&gt;=$S21),$V21,IF(AND($R21&lt;&gt;"",EDATE($D21,Milestones!$AA$55)&gt;=$R21),$U21,$T21)))=Milestones!$AB$55),TEXT(EDATE($D21,Milestones!$AA$55),"dd/mm/yy")&amp;" "&amp;Milestones!$AB$55&amp;" "&amp;Milestones!$AC$55&amp;";  ","")&amp;IF(AND(EDATE($D21,Milestones!$AA$56)&lt;=AsOfDate,IF($Q21=0,$W21,IF(AND($S21&lt;&gt;"",EDATE($D21,Milestones!$AA$56)&gt;=$S21),$V21,IF(AND($R21&lt;&gt;"",EDATE($D21,Milestones!$AA$56)&gt;=$R21),$U21,$T21)))=Milestones!$AB$56),TEXT(EDATE($D21,Milestones!$AA$56),"dd/mm/yy")&amp;" "&amp;Milestones!$AB$56&amp;" "&amp;Milestones!$AC$56&amp;";  ","")&amp;IF(AND(EDATE($D21,Milestones!$AA$57)&lt;=AsOfDate,IF($Q21=0,$W21,IF(AND($S21&lt;&gt;"",EDATE($D21,Milestones!$AA$57)&gt;=$S21),$V21,IF(AND($R21&lt;&gt;"",EDATE($D21,Milestones!$AA$57)&gt;=$R21),$U21,$T21)))=Milestones!$AB$57),TEXT(EDATE($D21,Milestones!$AA$57),"dd/mm/yy")&amp;" "&amp;Milestones!$AB$57&amp;" "&amp;Milestones!$AC$57&amp;";  ","")&amp;IF(AND(EDATE($D21,Milestones!$AA$58)&lt;=AsOfDate,IF($Q21=0,$W21,IF(AND($S21&lt;&gt;"",EDATE($D21,Milestones!$AA$58)&gt;=$S21),$V21,IF(AND($R21&lt;&gt;"",EDATE($D21,Milestones!$AA$58)&gt;=$R21),$U21,$T21)))=Milestones!$AB$58),TEXT(EDATE($D21,Milestones!$AA$58),"dd/mm/yy")&amp;" "&amp;Milestones!$AB$58&amp;" "&amp;Milestones!$AC$58&amp;";  ","")&amp;IF(AND(EDATE($D21,Milestones!$AA$59)&lt;=AsOfDate,IF($Q21=0,$W21,IF(AND($S21&lt;&gt;"",EDATE($D21,Milestones!$AA$59)&gt;=$S21),$V21,IF(AND($R21&lt;&gt;"",EDATE($D21,Milestones!$AA$59)&gt;=$R21),$U21,$T21)))=Milestones!$AB$59),TEXT(EDATE($D21,Milestones!$AA$59),"dd/mm/yy")&amp;" "&amp;Milestones!$AB$59&amp;" "&amp;Milestones!$AC$59&amp;";  ",""))</f>
        <v/>
      </c>
      <c r="J21" s="0" t="str">
        <f aca="false">IF(OR($A21="",$D21=""),"",IF(AND(EDATE($D21,Milestones!$AA$60)&lt;=AsOfDate,IF($Q21=0,$W21,IF(AND($S21&lt;&gt;"",EDATE($D21,Milestones!$AA$60)&gt;=$S21),$V21,IF(AND($R21&lt;&gt;"",EDATE($D21,Milestones!$AA$60)&gt;=$R21),$U21,$T21)))=Milestones!$AB$60),TEXT(EDATE($D21,Milestones!$AA$60),"dd/mm/yy")&amp;" "&amp;Milestones!$AB$60&amp;" "&amp;Milestones!$AC$60&amp;";  ","")&amp;IF(AND(EDATE($D21,Milestones!$AA$61)&lt;=AsOfDate,IF($Q21=0,$W21,IF(AND($S21&lt;&gt;"",EDATE($D21,Milestones!$AA$61)&gt;=$S21),$V21,IF(AND($R21&lt;&gt;"",EDATE($D21,Milestones!$AA$61)&gt;=$R21),$U21,$T21)))=Milestones!$AB$61),TEXT(EDATE($D21,Milestones!$AA$61),"dd/mm/yy")&amp;" "&amp;Milestones!$AB$61&amp;" "&amp;Milestones!$AC$61&amp;";  ","")&amp;IF(AND(EDATE($D21,Milestones!$AA$62)&lt;=AsOfDate,IF($Q21=0,$W21,IF(AND($S21&lt;&gt;"",EDATE($D21,Milestones!$AA$62)&gt;=$S21),$V21,IF(AND($R21&lt;&gt;"",EDATE($D21,Milestones!$AA$62)&gt;=$R21),$U21,$T21)))=Milestones!$AB$62),TEXT(EDATE($D21,Milestones!$AA$62),"dd/mm/yy")&amp;" "&amp;Milestones!$AB$62&amp;" "&amp;Milestones!$AC$62&amp;";  ","")&amp;IF(AND(EDATE($D21,Milestones!$AA$63)&lt;=AsOfDate,IF($Q21=0,$W21,IF(AND($S21&lt;&gt;"",EDATE($D21,Milestones!$AA$63)&gt;=$S21),$V21,IF(AND($R21&lt;&gt;"",EDATE($D21,Milestones!$AA$63)&gt;=$R21),$U21,$T21)))=Milestones!$AB$63),TEXT(EDATE($D21,Milestones!$AA$63),"dd/mm/yy")&amp;" "&amp;Milestones!$AB$63&amp;" "&amp;Milestones!$AC$63&amp;";  ","")&amp;IF(AND(EDATE($D21,Milestones!$AA$64)&lt;=AsOfDate,IF($Q21=0,$W21,IF(AND($S21&lt;&gt;"",EDATE($D21,Milestones!$AA$64)&gt;=$S21),$V21,IF(AND($R21&lt;&gt;"",EDATE($D21,Milestones!$AA$64)&gt;=$R21),$U21,$T21)))=Milestones!$AB$64),TEXT(EDATE($D21,Milestones!$AA$64),"dd/mm/yy")&amp;" "&amp;Milestones!$AB$64&amp;" "&amp;Milestones!$AC$64&amp;";  ","")&amp;IF(AND(EDATE($D21,Milestones!$AA$65)&lt;=AsOfDate,IF($Q21=0,$W21,IF(AND($S21&lt;&gt;"",EDATE($D21,Milestones!$AA$65)&gt;=$S21),$V21,IF(AND($R21&lt;&gt;"",EDATE($D21,Milestones!$AA$65)&gt;=$R21),$U21,$T21)))=Milestones!$AB$65),TEXT(EDATE($D21,Milestones!$AA$65),"dd/mm/yy")&amp;" "&amp;Milestones!$AB$65&amp;" "&amp;Milestones!$AC$65&amp;";  ","")&amp;IF(AND(EDATE($D21,Milestones!$AA$66)&lt;=AsOfDate,IF($Q21=0,$W21,IF(AND($S21&lt;&gt;"",EDATE($D21,Milestones!$AA$66)&gt;=$S21),$V21,IF(AND($R21&lt;&gt;"",EDATE($D21,Milestones!$AA$66)&gt;=$R21),$U21,$T21)))=Milestones!$AB$66),TEXT(EDATE($D21,Milestones!$AA$66),"dd/mm/yy")&amp;" "&amp;Milestones!$AB$66&amp;" "&amp;Milestones!$AC$66&amp;";  ","")&amp;IF(AND(EDATE($D21,Milestones!$AA$67)&lt;=AsOfDate,IF($Q21=0,$W21,IF(AND($S21&lt;&gt;"",EDATE($D21,Milestones!$AA$67)&gt;=$S21),$V21,IF(AND($R21&lt;&gt;"",EDATE($D21,Milestones!$AA$67)&gt;=$R21),$U21,$T21)))=Milestones!$AB$67),TEXT(EDATE($D21,Milestones!$AA$67),"dd/mm/yy")&amp;" "&amp;Milestones!$AB$67&amp;" "&amp;Milestones!$AC$67&amp;";  ","")&amp;IF(AND(EDATE($D21,Milestones!$AA$68)&lt;=AsOfDate,IF($Q21=0,$W21,IF(AND($S21&lt;&gt;"",EDATE($D21,Milestones!$AA$68)&gt;=$S21),$V21,IF(AND($R21&lt;&gt;"",EDATE($D21,Milestones!$AA$68)&gt;=$R21),$U21,$T21)))=Milestones!$AB$68),TEXT(EDATE($D21,Milestones!$AA$68),"dd/mm/yy")&amp;" "&amp;Milestones!$AB$68&amp;" "&amp;Milestones!$AC$68&amp;";  ","")&amp;IF(AND(EDATE($D21,Milestones!$AA$69)&lt;=AsOfDate,IF($Q21=0,$W21,IF(AND($S21&lt;&gt;"",EDATE($D21,Milestones!$AA$69)&gt;=$S21),$V21,IF(AND($R21&lt;&gt;"",EDATE($D21,Milestones!$AA$69)&gt;=$R21),$U21,$T21)))=Milestones!$AB$69),TEXT(EDATE($D21,Milestones!$AA$69),"dd/mm/yy")&amp;" "&amp;Milestones!$AB$69&amp;" "&amp;Milestones!$AC$69&amp;";  ","")&amp;IF(AND(EDATE($D21,Milestones!$AA$70)&lt;=AsOfDate,IF($Q21=0,$W21,IF(AND($S21&lt;&gt;"",EDATE($D21,Milestones!$AA$70)&gt;=$S21),$V21,IF(AND($R21&lt;&gt;"",EDATE($D21,Milestones!$AA$70)&gt;=$R21),$U21,$T21)))=Milestones!$AB$70),TEXT(EDATE($D21,Milestones!$AA$70),"dd/mm/yy")&amp;" "&amp;Milestones!$AB$70&amp;" "&amp;Milestones!$AC$70&amp;";  ","")&amp;IF(AND(EDATE($D21,Milestones!$AA$71)&lt;=AsOfDate,IF($Q21=0,$W21,IF(AND($S21&lt;&gt;"",EDATE($D21,Milestones!$AA$71)&gt;=$S21),$V21,IF(AND($R21&lt;&gt;"",EDATE($D21,Milestones!$AA$71)&gt;=$R21),$U21,$T21)))=Milestones!$AB$71),TEXT(EDATE($D21,Milestones!$AA$71),"dd/mm/yy")&amp;" "&amp;Milestones!$AB$71&amp;" "&amp;Milestones!$AC$71&amp;";  ","")&amp;IF(AND(EDATE($D21,Milestones!$AA$72)&lt;=AsOfDate,IF($Q21=0,$W21,IF(AND($S21&lt;&gt;"",EDATE($D21,Milestones!$AA$72)&gt;=$S21),$V21,IF(AND($R21&lt;&gt;"",EDATE($D21,Milestones!$AA$72)&gt;=$R21),$U21,$T21)))=Milestones!$AB$72),TEXT(EDATE($D21,Milestones!$AA$72),"dd/mm/yy")&amp;" "&amp;Milestones!$AB$72&amp;" "&amp;Milestones!$AC$72&amp;";  ","")&amp;IF(AND(EDATE($D21,Milestones!$AA$73)&lt;=AsOfDate,IF($Q21=0,$W21,IF(AND($S21&lt;&gt;"",EDATE($D21,Milestones!$AA$73)&gt;=$S21),$V21,IF(AND($R21&lt;&gt;"",EDATE($D21,Milestones!$AA$73)&gt;=$R21),$U21,$T21)))=Milestones!$AB$73),TEXT(EDATE($D21,Milestones!$AA$73),"dd/mm/yy")&amp;" "&amp;Milestones!$AB$73&amp;" "&amp;Milestones!$AC$73&amp;";  ","")&amp;IF(AND(EDATE($D21,Milestones!$AA$74)&lt;=AsOfDate,IF($Q21=0,$W21,IF(AND($S21&lt;&gt;"",EDATE($D21,Milestones!$AA$74)&gt;=$S21),$V21,IF(AND($R21&lt;&gt;"",EDATE($D21,Milestones!$AA$74)&gt;=$R21),$U21,$T21)))=Milestones!$AB$74),TEXT(EDATE($D21,Milestones!$AA$74),"dd/mm/yy")&amp;" "&amp;Milestones!$AB$74&amp;" "&amp;Milestones!$AC$74&amp;";  ","")&amp;IF(AND(EDATE($D21,Milestones!$AA$75)&lt;=AsOfDate,IF($Q21=0,$W21,IF(AND($S21&lt;&gt;"",EDATE($D21,Milestones!$AA$75)&gt;=$S21),$V21,IF(AND($R21&lt;&gt;"",EDATE($D21,Milestones!$AA$75)&gt;=$R21),$U21,$T21)))=Milestones!$AB$75),TEXT(EDATE($D21,Milestones!$AA$75),"dd/mm/yy")&amp;" "&amp;Milestones!$AB$75&amp;" "&amp;Milestones!$AC$75&amp;";  ","")&amp;IF(AND(EDATE($D21,Milestones!$AA$76)&lt;=AsOfDate,IF($Q21=0,$W21,IF(AND($S21&lt;&gt;"",EDATE($D21,Milestones!$AA$76)&gt;=$S21),$V21,IF(AND($R21&lt;&gt;"",EDATE($D21,Milestones!$AA$76)&gt;=$R21),$U21,$T21)))=Milestones!$AB$76),TEXT(EDATE($D21,Milestones!$AA$76),"dd/mm/yy")&amp;" "&amp;Milestones!$AB$76&amp;" "&amp;Milestones!$AC$76&amp;";  ","")&amp;IF(AND(EDATE($D21,Milestones!$AA$77)&lt;=AsOfDate,IF($Q21=0,$W21,IF(AND($S21&lt;&gt;"",EDATE($D21,Milestones!$AA$77)&gt;=$S21),$V21,IF(AND($R21&lt;&gt;"",EDATE($D21,Milestones!$AA$77)&gt;=$R21),$U21,$T21)))=Milestones!$AB$77),TEXT(EDATE($D21,Milestones!$AA$77),"dd/mm/yy")&amp;" "&amp;Milestones!$AB$77&amp;" "&amp;Milestones!$AC$77&amp;";  ","")&amp;IF(AND(EDATE($D21,Milestones!$AA$78)&lt;=AsOfDate,IF($Q21=0,$W21,IF(AND($S21&lt;&gt;"",EDATE($D21,Milestones!$AA$78)&gt;=$S21),$V21,IF(AND($R21&lt;&gt;"",EDATE($D21,Milestones!$AA$78)&gt;=$R21),$U21,$T21)))=Milestones!$AB$78),TEXT(EDATE($D21,Milestones!$AA$78),"dd/mm/yy")&amp;" "&amp;Milestones!$AB$78&amp;" "&amp;Milestones!$AC$78&amp;";  ","")&amp;IF(AND(EDATE($D21,Milestones!$AA$79)&lt;=AsOfDate,IF($Q21=0,$W21,IF(AND($S21&lt;&gt;"",EDATE($D21,Milestones!$AA$79)&gt;=$S21),$V21,IF(AND($R21&lt;&gt;"",EDATE($D21,Milestones!$AA$79)&gt;=$R21),$U21,$T21)))=Milestones!$AB$79),TEXT(EDATE($D21,Milestones!$AA$79),"dd/mm/yy")&amp;" "&amp;Milestones!$AB$79&amp;" "&amp;Milestones!$AC$79&amp;";  ",""))</f>
        <v/>
      </c>
      <c r="K21" s="0" t="str">
        <f aca="false">IF(OR($A21="",$D21=""),"",IF(AND(EDATE($D21,Milestones!$AA$80)&lt;=AsOfDate,IF($Q21=0,$W21,IF(AND($S21&lt;&gt;"",EDATE($D21,Milestones!$AA$80)&gt;=$S21),$V21,IF(AND($R21&lt;&gt;"",EDATE($D21,Milestones!$AA$80)&gt;=$R21),$U21,$T21)))=Milestones!$AB$80),TEXT(EDATE($D21,Milestones!$AA$80),"dd/mm/yy")&amp;" "&amp;Milestones!$AB$80&amp;" "&amp;Milestones!$AC$80&amp;";  ","")&amp;IF(AND(EDATE($D21,Milestones!$AA$81)&lt;=AsOfDate,IF($Q21=0,$W21,IF(AND($S21&lt;&gt;"",EDATE($D21,Milestones!$AA$81)&gt;=$S21),$V21,IF(AND($R21&lt;&gt;"",EDATE($D21,Milestones!$AA$81)&gt;=$R21),$U21,$T21)))=Milestones!$AB$81),TEXT(EDATE($D21,Milestones!$AA$81),"dd/mm/yy")&amp;" "&amp;Milestones!$AB$81&amp;" "&amp;Milestones!$AC$81&amp;";  ","")&amp;IF(AND(EDATE($D21,Milestones!$AA$82)&lt;=AsOfDate,IF($Q21=0,$W21,IF(AND($S21&lt;&gt;"",EDATE($D21,Milestones!$AA$82)&gt;=$S21),$V21,IF(AND($R21&lt;&gt;"",EDATE($D21,Milestones!$AA$82)&gt;=$R21),$U21,$T21)))=Milestones!$AB$82),TEXT(EDATE($D21,Milestones!$AA$82),"dd/mm/yy")&amp;" "&amp;Milestones!$AB$82&amp;" "&amp;Milestones!$AC$82&amp;";  ","")&amp;IF(AND(EDATE($D21,Milestones!$AA$83)&lt;=AsOfDate,IF($Q21=0,$W21,IF(AND($S21&lt;&gt;"",EDATE($D21,Milestones!$AA$83)&gt;=$S21),$V21,IF(AND($R21&lt;&gt;"",EDATE($D21,Milestones!$AA$83)&gt;=$R21),$U21,$T21)))=Milestones!$AB$83),TEXT(EDATE($D21,Milestones!$AA$83),"dd/mm/yy")&amp;" "&amp;Milestones!$AB$83&amp;" "&amp;Milestones!$AC$83&amp;";  ","")&amp;IF(AND(EDATE($D21,Milestones!$AA$84)&lt;=AsOfDate,IF($Q21=0,$W21,IF(AND($S21&lt;&gt;"",EDATE($D21,Milestones!$AA$84)&gt;=$S21),$V21,IF(AND($R21&lt;&gt;"",EDATE($D21,Milestones!$AA$84)&gt;=$R21),$U21,$T21)))=Milestones!$AB$84),TEXT(EDATE($D21,Milestones!$AA$84),"dd/mm/yy")&amp;" "&amp;Milestones!$AB$84&amp;" "&amp;Milestones!$AC$84&amp;";  ","")&amp;IF(AND(EDATE($D21,Milestones!$AA$85)&lt;=AsOfDate,IF($Q21=0,$W21,IF(AND($S21&lt;&gt;"",EDATE($D21,Milestones!$AA$85)&gt;=$S21),$V21,IF(AND($R21&lt;&gt;"",EDATE($D21,Milestones!$AA$85)&gt;=$R21),$U21,$T21)))=Milestones!$AB$85),TEXT(EDATE($D21,Milestones!$AA$85),"dd/mm/yy")&amp;" "&amp;Milestones!$AB$85&amp;" "&amp;Milestones!$AC$85&amp;";  ","")&amp;IF(AND(EDATE($D21,Milestones!$AA$86)&lt;=AsOfDate,IF($Q21=0,$W21,IF(AND($S21&lt;&gt;"",EDATE($D21,Milestones!$AA$86)&gt;=$S21),$V21,IF(AND($R21&lt;&gt;"",EDATE($D21,Milestones!$AA$86)&gt;=$R21),$U21,$T21)))=Milestones!$AB$86),TEXT(EDATE($D21,Milestones!$AA$86),"dd/mm/yy")&amp;" "&amp;Milestones!$AB$86&amp;" "&amp;Milestones!$AC$86&amp;";  ","")&amp;IF(AND(EDATE($D21,Milestones!$AA$87)&lt;=AsOfDate,IF($Q21=0,$W21,IF(AND($S21&lt;&gt;"",EDATE($D21,Milestones!$AA$87)&gt;=$S21),$V21,IF(AND($R21&lt;&gt;"",EDATE($D21,Milestones!$AA$87)&gt;=$R21),$U21,$T21)))=Milestones!$AB$87),TEXT(EDATE($D21,Milestones!$AA$87),"dd/mm/yy")&amp;" "&amp;Milestones!$AB$87&amp;" "&amp;Milestones!$AC$87&amp;";  ","")&amp;IF(AND(EDATE($D21,Milestones!$AA$88)&lt;=AsOfDate,IF($Q21=0,$W21,IF(AND($S21&lt;&gt;"",EDATE($D21,Milestones!$AA$88)&gt;=$S21),$V21,IF(AND($R21&lt;&gt;"",EDATE($D21,Milestones!$AA$88)&gt;=$R21),$U21,$T21)))=Milestones!$AB$88),TEXT(EDATE($D21,Milestones!$AA$88),"dd/mm/yy")&amp;" "&amp;Milestones!$AB$88&amp;" "&amp;Milestones!$AC$88&amp;";  ","")&amp;IF(AND(EDATE($D21,Milestones!$AA$89)&lt;=AsOfDate,IF($Q21=0,$W21,IF(AND($S21&lt;&gt;"",EDATE($D21,Milestones!$AA$89)&gt;=$S21),$V21,IF(AND($R21&lt;&gt;"",EDATE($D21,Milestones!$AA$89)&gt;=$R21),$U21,$T21)))=Milestones!$AB$89),TEXT(EDATE($D21,Milestones!$AA$89),"dd/mm/yy")&amp;" "&amp;Milestones!$AB$89&amp;" "&amp;Milestones!$AC$89&amp;";  ","")&amp;IF(AND(EDATE($D21,Milestones!$AA$90)&lt;=AsOfDate,IF($Q21=0,$W21,IF(AND($S21&lt;&gt;"",EDATE($D21,Milestones!$AA$90)&gt;=$S21),$V21,IF(AND($R21&lt;&gt;"",EDATE($D21,Milestones!$AA$90)&gt;=$R21),$U21,$T21)))=Milestones!$AB$90),TEXT(EDATE($D21,Milestones!$AA$90),"dd/mm/yy")&amp;" "&amp;Milestones!$AB$90&amp;" "&amp;Milestones!$AC$90&amp;";  ","")&amp;IF(AND(EDATE($D21,Milestones!$AA$91)&lt;=AsOfDate,IF($Q21=0,$W21,IF(AND($S21&lt;&gt;"",EDATE($D21,Milestones!$AA$91)&gt;=$S21),$V21,IF(AND($R21&lt;&gt;"",EDATE($D21,Milestones!$AA$91)&gt;=$R21),$U21,$T21)))=Milestones!$AB$91),TEXT(EDATE($D21,Milestones!$AA$91),"dd/mm/yy")&amp;" "&amp;Milestones!$AB$91&amp;" "&amp;Milestones!$AC$91&amp;";  ","")&amp;IF(AND(EDATE($D21,Milestones!$AA$92)&lt;=AsOfDate,IF($Q21=0,$W21,IF(AND($S21&lt;&gt;"",EDATE($D21,Milestones!$AA$92)&gt;=$S21),$V21,IF(AND($R21&lt;&gt;"",EDATE($D21,Milestones!$AA$92)&gt;=$R21),$U21,$T21)))=Milestones!$AB$92),TEXT(EDATE($D21,Milestones!$AA$92),"dd/mm/yy")&amp;" "&amp;Milestones!$AB$92&amp;" "&amp;Milestones!$AC$92&amp;";  ","")&amp;IF(AND(EDATE($D21,Milestones!$AA$93)&lt;=AsOfDate,IF($Q21=0,$W21,IF(AND($S21&lt;&gt;"",EDATE($D21,Milestones!$AA$93)&gt;=$S21),$V21,IF(AND($R21&lt;&gt;"",EDATE($D21,Milestones!$AA$93)&gt;=$R21),$U21,$T21)))=Milestones!$AB$93),TEXT(EDATE($D21,Milestones!$AA$93),"dd/mm/yy")&amp;" "&amp;Milestones!$AB$93&amp;" "&amp;Milestones!$AC$93&amp;";  ","")&amp;IF(AND(EDATE($D21,Milestones!$AA$94)&lt;=AsOfDate,IF($Q21=0,$W21,IF(AND($S21&lt;&gt;"",EDATE($D21,Milestones!$AA$94)&gt;=$S21),$V21,IF(AND($R21&lt;&gt;"",EDATE($D21,Milestones!$AA$94)&gt;=$R21),$U21,$T21)))=Milestones!$AB$94),TEXT(EDATE($D21,Milestones!$AA$94),"dd/mm/yy")&amp;" "&amp;Milestones!$AB$94&amp;" "&amp;Milestones!$AC$94&amp;";  ","")&amp;IF(AND(EDATE($D21,Milestones!$AA$95)&lt;=AsOfDate,IF($Q21=0,$W21,IF(AND($S21&lt;&gt;"",EDATE($D21,Milestones!$AA$95)&gt;=$S21),$V21,IF(AND($R21&lt;&gt;"",EDATE($D21,Milestones!$AA$95)&gt;=$R21),$U21,$T21)))=Milestones!$AB$95),TEXT(EDATE($D21,Milestones!$AA$95),"dd/mm/yy")&amp;" "&amp;Milestones!$AB$95&amp;" "&amp;Milestones!$AC$95&amp;";  ","")&amp;IF(AND(EDATE($D21,Milestones!$AA$96)&lt;=AsOfDate,IF($Q21=0,$W21,IF(AND($S21&lt;&gt;"",EDATE($D21,Milestones!$AA$96)&gt;=$S21),$V21,IF(AND($R21&lt;&gt;"",EDATE($D21,Milestones!$AA$96)&gt;=$R21),$U21,$T21)))=Milestones!$AB$96),TEXT(EDATE($D21,Milestones!$AA$96),"dd/mm/yy")&amp;" "&amp;Milestones!$AB$96&amp;" "&amp;Milestones!$AC$96&amp;";  ","")&amp;IF(AND(EDATE($D21,Milestones!$AA$97)&lt;=AsOfDate,IF($Q21=0,$W21,IF(AND($S21&lt;&gt;"",EDATE($D21,Milestones!$AA$97)&gt;=$S21),$V21,IF(AND($R21&lt;&gt;"",EDATE($D21,Milestones!$AA$97)&gt;=$R21),$U21,$T21)))=Milestones!$AB$97),TEXT(EDATE($D21,Milestones!$AA$97),"dd/mm/yy")&amp;" "&amp;Milestones!$AB$97&amp;" "&amp;Milestones!$AC$97&amp;";  ","")&amp;IF(AND(EDATE($D21,Milestones!$AA$98)&lt;=AsOfDate,IF($Q21=0,$W21,IF(AND($S21&lt;&gt;"",EDATE($D21,Milestones!$AA$98)&gt;=$S21),$V21,IF(AND($R21&lt;&gt;"",EDATE($D21,Milestones!$AA$98)&gt;=$R21),$U21,$T21)))=Milestones!$AB$98),TEXT(EDATE($D21,Milestones!$AA$98),"dd/mm/yy")&amp;" "&amp;Milestones!$AB$98&amp;" "&amp;Milestones!$AC$98&amp;";  ","")&amp;IF(AND(EDATE($D21,Milestones!$AA$99)&lt;=AsOfDate,IF($Q21=0,$W21,IF(AND($S21&lt;&gt;"",EDATE($D21,Milestones!$AA$99)&gt;=$S21),$V21,IF(AND($R21&lt;&gt;"",EDATE($D21,Milestones!$AA$99)&gt;=$R21),$U21,$T21)))=Milestones!$AB$99),TEXT(EDATE($D21,Milestones!$AA$99),"dd/mm/yy")&amp;" "&amp;Milestones!$AB$99&amp;" "&amp;Milestones!$AC$99&amp;";  ",""))</f>
        <v/>
      </c>
      <c r="L21" s="0" t="str">
        <f aca="false">IF(OR($A21="",$D21=""),"",IF(AND(EDATE($D21,Milestones!$AA$100)&lt;=AsOfDate,IF($Q21=0,$W21,IF(AND($S21&lt;&gt;"",EDATE($D21,Milestones!$AA$100)&gt;=$S21),$V21,IF(AND($R21&lt;&gt;"",EDATE($D21,Milestones!$AA$100)&gt;=$R21),$U21,$T21)))=Milestones!$AB$100),TEXT(EDATE($D21,Milestones!$AA$100),"dd/mm/yy")&amp;" "&amp;Milestones!$AB$100&amp;" "&amp;Milestones!$AC$100&amp;";  ","")&amp;IF(AND(EDATE($D21,Milestones!$AA$101)&lt;=AsOfDate,IF($Q21=0,$W21,IF(AND($S21&lt;&gt;"",EDATE($D21,Milestones!$AA$101)&gt;=$S21),$V21,IF(AND($R21&lt;&gt;"",EDATE($D21,Milestones!$AA$101)&gt;=$R21),$U21,$T21)))=Milestones!$AB$101),TEXT(EDATE($D21,Milestones!$AA$101),"dd/mm/yy")&amp;" "&amp;Milestones!$AB$101&amp;" "&amp;Milestones!$AC$101&amp;";  ","")&amp;IF(AND(EDATE($D21,Milestones!$AA$102)&lt;=AsOfDate,IF($Q21=0,$W21,IF(AND($S21&lt;&gt;"",EDATE($D21,Milestones!$AA$102)&gt;=$S21),$V21,IF(AND($R21&lt;&gt;"",EDATE($D21,Milestones!$AA$102)&gt;=$R21),$U21,$T21)))=Milestones!$AB$102),TEXT(EDATE($D21,Milestones!$AA$102),"dd/mm/yy")&amp;" "&amp;Milestones!$AB$102&amp;" "&amp;Milestones!$AC$102&amp;";  ","")&amp;IF(AND(EDATE($D21,Milestones!$AA$103)&lt;=AsOfDate,IF($Q21=0,$W21,IF(AND($S21&lt;&gt;"",EDATE($D21,Milestones!$AA$103)&gt;=$S21),$V21,IF(AND($R21&lt;&gt;"",EDATE($D21,Milestones!$AA$103)&gt;=$R21),$U21,$T21)))=Milestones!$AB$103),TEXT(EDATE($D21,Milestones!$AA$103),"dd/mm/yy")&amp;" "&amp;Milestones!$AB$103&amp;" "&amp;Milestones!$AC$103&amp;";  ","")&amp;IF(AND(EDATE($D21,Milestones!$AA$104)&lt;=AsOfDate,IF($Q21=0,$W21,IF(AND($S21&lt;&gt;"",EDATE($D21,Milestones!$AA$104)&gt;=$S21),$V21,IF(AND($R21&lt;&gt;"",EDATE($D21,Milestones!$AA$104)&gt;=$R21),$U21,$T21)))=Milestones!$AB$104),TEXT(EDATE($D21,Milestones!$AA$104),"dd/mm/yy")&amp;" "&amp;Milestones!$AB$104&amp;" "&amp;Milestones!$AC$104&amp;";  ","")&amp;IF(AND(EDATE($D21,Milestones!$AA$105)&lt;=AsOfDate,IF($Q21=0,$W21,IF(AND($S21&lt;&gt;"",EDATE($D21,Milestones!$AA$105)&gt;=$S21),$V21,IF(AND($R21&lt;&gt;"",EDATE($D21,Milestones!$AA$105)&gt;=$R21),$U21,$T21)))=Milestones!$AB$105),TEXT(EDATE($D21,Milestones!$AA$105),"dd/mm/yy")&amp;" "&amp;Milestones!$AB$105&amp;" "&amp;Milestones!$AC$105&amp;";  ","")&amp;IF(AND(EDATE($D21,Milestones!$AA$106)&lt;=AsOfDate,IF($Q21=0,$W21,IF(AND($S21&lt;&gt;"",EDATE($D21,Milestones!$AA$106)&gt;=$S21),$V21,IF(AND($R21&lt;&gt;"",EDATE($D21,Milestones!$AA$106)&gt;=$R21),$U21,$T21)))=Milestones!$AB$106),TEXT(EDATE($D21,Milestones!$AA$106),"dd/mm/yy")&amp;" "&amp;Milestones!$AB$106&amp;" "&amp;Milestones!$AC$106&amp;";  ","")&amp;IF(AND(EDATE($D21,Milestones!$AA$107)&lt;=AsOfDate,IF($Q21=0,$W21,IF(AND($S21&lt;&gt;"",EDATE($D21,Milestones!$AA$107)&gt;=$S21),$V21,IF(AND($R21&lt;&gt;"",EDATE($D21,Milestones!$AA$107)&gt;=$R21),$U21,$T21)))=Milestones!$AB$107),TEXT(EDATE($D21,Milestones!$AA$107),"dd/mm/yy")&amp;" "&amp;Milestones!$AB$107&amp;" "&amp;Milestones!$AC$107&amp;";  ","")&amp;IF(AND(EDATE($D21,Milestones!$AA$108)&lt;=AsOfDate,IF($Q21=0,$W21,IF(AND($S21&lt;&gt;"",EDATE($D21,Milestones!$AA$108)&gt;=$S21),$V21,IF(AND($R21&lt;&gt;"",EDATE($D21,Milestones!$AA$108)&gt;=$R21),$U21,$T21)))=Milestones!$AB$108),TEXT(EDATE($D21,Milestones!$AA$108),"dd/mm/yy")&amp;" "&amp;Milestones!$AB$108&amp;" "&amp;Milestones!$AC$108&amp;";  ","")&amp;IF(AND(EDATE($D21,Milestones!$AA$109)&lt;=AsOfDate,IF($Q21=0,$W21,IF(AND($S21&lt;&gt;"",EDATE($D21,Milestones!$AA$109)&gt;=$S21),$V21,IF(AND($R21&lt;&gt;"",EDATE($D21,Milestones!$AA$109)&gt;=$R21),$U21,$T21)))=Milestones!$AB$109),TEXT(EDATE($D21,Milestones!$AA$109),"dd/mm/yy")&amp;" "&amp;Milestones!$AB$109&amp;" "&amp;Milestones!$AC$109&amp;";  ","")&amp;IF(AND(EDATE($D21,Milestones!$AA$110)&lt;=AsOfDate,IF($Q21=0,$W21,IF(AND($S21&lt;&gt;"",EDATE($D21,Milestones!$AA$110)&gt;=$S21),$V21,IF(AND($R21&lt;&gt;"",EDATE($D21,Milestones!$AA$110)&gt;=$R21),$U21,$T21)))=Milestones!$AB$110),TEXT(EDATE($D21,Milestones!$AA$110),"dd/mm/yy")&amp;" "&amp;Milestones!$AB$110&amp;" "&amp;Milestones!$AC$110&amp;";  ","")&amp;IF(AND(EDATE($D21,Milestones!$AA$111)&lt;=AsOfDate,IF($Q21=0,$W21,IF(AND($S21&lt;&gt;"",EDATE($D21,Milestones!$AA$111)&gt;=$S21),$V21,IF(AND($R21&lt;&gt;"",EDATE($D21,Milestones!$AA$111)&gt;=$R21),$U21,$T21)))=Milestones!$AB$111),TEXT(EDATE($D21,Milestones!$AA$111),"dd/mm/yy")&amp;" "&amp;Milestones!$AB$111&amp;" "&amp;Milestones!$AC$111&amp;";  ","")&amp;IF(AND(EDATE($D21,Milestones!$AA$112)&lt;=AsOfDate,IF($Q21=0,$W21,IF(AND($S21&lt;&gt;"",EDATE($D21,Milestones!$AA$112)&gt;=$S21),$V21,IF(AND($R21&lt;&gt;"",EDATE($D21,Milestones!$AA$112)&gt;=$R21),$U21,$T21)))=Milestones!$AB$112),TEXT(EDATE($D21,Milestones!$AA$112),"dd/mm/yy")&amp;" "&amp;Milestones!$AB$112&amp;" "&amp;Milestones!$AC$112&amp;";  ","")&amp;IF(AND(EDATE($D21,Milestones!$AA$113)&lt;=AsOfDate,IF($Q21=0,$W21,IF(AND($S21&lt;&gt;"",EDATE($D21,Milestones!$AA$113)&gt;=$S21),$V21,IF(AND($R21&lt;&gt;"",EDATE($D21,Milestones!$AA$113)&gt;=$R21),$U21,$T21)))=Milestones!$AB$113),TEXT(EDATE($D21,Milestones!$AA$113),"dd/mm/yy")&amp;" "&amp;Milestones!$AB$113&amp;" "&amp;Milestones!$AC$113&amp;";  ","")&amp;IF(AND(EDATE($D21,Milestones!$AA$114)&lt;=AsOfDate,IF($Q21=0,$W21,IF(AND($S21&lt;&gt;"",EDATE($D21,Milestones!$AA$114)&gt;=$S21),$V21,IF(AND($R21&lt;&gt;"",EDATE($D21,Milestones!$AA$114)&gt;=$R21),$U21,$T21)))=Milestones!$AB$114),TEXT(EDATE($D21,Milestones!$AA$114),"dd/mm/yy")&amp;" "&amp;Milestones!$AB$114&amp;" "&amp;Milestones!$AC$114&amp;";  ","")&amp;IF(AND(EDATE($D21,Milestones!$AA$115)&lt;=AsOfDate,IF($Q21=0,$W21,IF(AND($S21&lt;&gt;"",EDATE($D21,Milestones!$AA$115)&gt;=$S21),$V21,IF(AND($R21&lt;&gt;"",EDATE($D21,Milestones!$AA$115)&gt;=$R21),$U21,$T21)))=Milestones!$AB$115),TEXT(EDATE($D21,Milestones!$AA$115),"dd/mm/yy")&amp;" "&amp;Milestones!$AB$115&amp;" "&amp;Milestones!$AC$115&amp;";  ","")&amp;IF(AND(EDATE($D21,Milestones!$AA$116)&lt;=AsOfDate,IF($Q21=0,$W21,IF(AND($S21&lt;&gt;"",EDATE($D21,Milestones!$AA$116)&gt;=$S21),$V21,IF(AND($R21&lt;&gt;"",EDATE($D21,Milestones!$AA$116)&gt;=$R21),$U21,$T21)))=Milestones!$AB$116),TEXT(EDATE($D21,Milestones!$AA$116),"dd/mm/yy")&amp;" "&amp;Milestones!$AB$116&amp;" "&amp;Milestones!$AC$116&amp;";  ","")&amp;IF(AND(EDATE($D21,Milestones!$AA$117)&lt;=AsOfDate,IF($Q21=0,$W21,IF(AND($S21&lt;&gt;"",EDATE($D21,Milestones!$AA$117)&gt;=$S21),$V21,IF(AND($R21&lt;&gt;"",EDATE($D21,Milestones!$AA$117)&gt;=$R21),$U21,$T21)))=Milestones!$AB$117),TEXT(EDATE($D21,Milestones!$AA$117),"dd/mm/yy")&amp;" "&amp;Milestones!$AB$117&amp;" "&amp;Milestones!$AC$117&amp;";  ","")&amp;IF(AND(EDATE($D21,Milestones!$AA$118)&lt;=AsOfDate,IF($Q21=0,$W21,IF(AND($S21&lt;&gt;"",EDATE($D21,Milestones!$AA$118)&gt;=$S21),$V21,IF(AND($R21&lt;&gt;"",EDATE($D21,Milestones!$AA$118)&gt;=$R21),$U21,$T21)))=Milestones!$AB$118),TEXT(EDATE($D21,Milestones!$AA$118),"dd/mm/yy")&amp;" "&amp;Milestones!$AB$118&amp;" "&amp;Milestones!$AC$118&amp;";  ","")&amp;IF(AND(EDATE($D21,Milestones!$AA$119)&lt;=AsOfDate,IF($Q21=0,$W21,IF(AND($S21&lt;&gt;"",EDATE($D21,Milestones!$AA$119)&gt;=$S21),$V21,IF(AND($R21&lt;&gt;"",EDATE($D21,Milestones!$AA$119)&gt;=$R21),$U21,$T21)))=Milestones!$AB$119),TEXT(EDATE($D21,Milestones!$AA$119),"dd/mm/yy")&amp;" "&amp;Milestones!$AB$119&amp;" "&amp;Milestones!$AC$119&amp;";  ",""))</f>
        <v/>
      </c>
      <c r="M21" s="0" t="str">
        <f aca="false">IF(OR($A21="",$D21=""),"",IF(AND(EDATE($D21,Milestones!$AA$120)&lt;=AsOfDate,IF($Q21=0,$W21,IF(AND($S21&lt;&gt;"",EDATE($D21,Milestones!$AA$120)&gt;=$S21),$V21,IF(AND($R21&lt;&gt;"",EDATE($D21,Milestones!$AA$120)&gt;=$R21),$U21,$T21)))=Milestones!$AB$120),TEXT(EDATE($D21,Milestones!$AA$120),"dd/mm/yy")&amp;" "&amp;Milestones!$AB$120&amp;" "&amp;Milestones!$AC$120&amp;";  ","")&amp;IF(AND(EDATE($D21,Milestones!$AA$121)&lt;=AsOfDate,IF($Q21=0,$W21,IF(AND($S21&lt;&gt;"",EDATE($D21,Milestones!$AA$121)&gt;=$S21),$V21,IF(AND($R21&lt;&gt;"",EDATE($D21,Milestones!$AA$121)&gt;=$R21),$U21,$T21)))=Milestones!$AB$121),TEXT(EDATE($D21,Milestones!$AA$121),"dd/mm/yy")&amp;" "&amp;Milestones!$AB$121&amp;" "&amp;Milestones!$AC$121&amp;";  ","")&amp;IF(AND(EDATE($D21,Milestones!$AA$122)&lt;=AsOfDate,IF($Q21=0,$W21,IF(AND($S21&lt;&gt;"",EDATE($D21,Milestones!$AA$122)&gt;=$S21),$V21,IF(AND($R21&lt;&gt;"",EDATE($D21,Milestones!$AA$122)&gt;=$R21),$U21,$T21)))=Milestones!$AB$122),TEXT(EDATE($D21,Milestones!$AA$122),"dd/mm/yy")&amp;" "&amp;Milestones!$AB$122&amp;" "&amp;Milestones!$AC$122&amp;";  ","")&amp;IF(AND(EDATE($D21,Milestones!$AA$123)&lt;=AsOfDate,IF($Q21=0,$W21,IF(AND($S21&lt;&gt;"",EDATE($D21,Milestones!$AA$123)&gt;=$S21),$V21,IF(AND($R21&lt;&gt;"",EDATE($D21,Milestones!$AA$123)&gt;=$R21),$U21,$T21)))=Milestones!$AB$123),TEXT(EDATE($D21,Milestones!$AA$123),"dd/mm/yy")&amp;" "&amp;Milestones!$AB$123&amp;" "&amp;Milestones!$AC$123&amp;";  ","")&amp;IF(AND(EDATE($D21,Milestones!$AA$124)&lt;=AsOfDate,IF($Q21=0,$W21,IF(AND($S21&lt;&gt;"",EDATE($D21,Milestones!$AA$124)&gt;=$S21),$V21,IF(AND($R21&lt;&gt;"",EDATE($D21,Milestones!$AA$124)&gt;=$R21),$U21,$T21)))=Milestones!$AB$124),TEXT(EDATE($D21,Milestones!$AA$124),"dd/mm/yy")&amp;" "&amp;Milestones!$AB$124&amp;" "&amp;Milestones!$AC$124&amp;";  ","")&amp;IF(AND(EDATE($D21,Milestones!$AA$125)&lt;=AsOfDate,IF($Q21=0,$W21,IF(AND($S21&lt;&gt;"",EDATE($D21,Milestones!$AA$125)&gt;=$S21),$V21,IF(AND($R21&lt;&gt;"",EDATE($D21,Milestones!$AA$125)&gt;=$R21),$U21,$T21)))=Milestones!$AB$125),TEXT(EDATE($D21,Milestones!$AA$125),"dd/mm/yy")&amp;" "&amp;Milestones!$AB$125&amp;" "&amp;Milestones!$AC$125&amp;";  ","")&amp;IF(AND(EDATE($D21,Milestones!$AA$126)&lt;=AsOfDate,IF($Q21=0,$W21,IF(AND($S21&lt;&gt;"",EDATE($D21,Milestones!$AA$126)&gt;=$S21),$V21,IF(AND($R21&lt;&gt;"",EDATE($D21,Milestones!$AA$126)&gt;=$R21),$U21,$T21)))=Milestones!$AB$126),TEXT(EDATE($D21,Milestones!$AA$126),"dd/mm/yy")&amp;" "&amp;Milestones!$AB$126&amp;" "&amp;Milestones!$AC$126&amp;";  ","")&amp;IF(AND(EDATE($D21,Milestones!$AA$127)&lt;=AsOfDate,IF($Q21=0,$W21,IF(AND($S21&lt;&gt;"",EDATE($D21,Milestones!$AA$127)&gt;=$S21),$V21,IF(AND($R21&lt;&gt;"",EDATE($D21,Milestones!$AA$127)&gt;=$R21),$U21,$T21)))=Milestones!$AB$127),TEXT(EDATE($D21,Milestones!$AA$127),"dd/mm/yy")&amp;" "&amp;Milestones!$AB$127&amp;" "&amp;Milestones!$AC$127&amp;";  ","")&amp;IF(AND(EDATE($D21,Milestones!$AA$128)&lt;=AsOfDate,IF($Q21=0,$W21,IF(AND($S21&lt;&gt;"",EDATE($D21,Milestones!$AA$128)&gt;=$S21),$V21,IF(AND($R21&lt;&gt;"",EDATE($D21,Milestones!$AA$128)&gt;=$R21),$U21,$T21)))=Milestones!$AB$128),TEXT(EDATE($D21,Milestones!$AA$128),"dd/mm/yy")&amp;" "&amp;Milestones!$AB$128&amp;" "&amp;Milestones!$AC$128&amp;";  ","")&amp;IF(AND(EDATE($D21,Milestones!$AA$129)&lt;=AsOfDate,IF($Q21=0,$W21,IF(AND($S21&lt;&gt;"",EDATE($D21,Milestones!$AA$129)&gt;=$S21),$V21,IF(AND($R21&lt;&gt;"",EDATE($D21,Milestones!$AA$129)&gt;=$R21),$U21,$T21)))=Milestones!$AB$129),TEXT(EDATE($D21,Milestones!$AA$129),"dd/mm/yy")&amp;" "&amp;Milestones!$AB$129&amp;" "&amp;Milestones!$AC$129&amp;";  ","")&amp;IF(AND(EDATE($D21,Milestones!$AA$130)&lt;=AsOfDate,IF($Q21=0,$W21,IF(AND($S21&lt;&gt;"",EDATE($D21,Milestones!$AA$130)&gt;=$S21),$V21,IF(AND($R21&lt;&gt;"",EDATE($D21,Milestones!$AA$130)&gt;=$R21),$U21,$T21)))=Milestones!$AB$130),TEXT(EDATE($D21,Milestones!$AA$130),"dd/mm/yy")&amp;" "&amp;Milestones!$AB$130&amp;" "&amp;Milestones!$AC$130&amp;";  ","")&amp;IF(AND(EDATE($D21,Milestones!$AA$131)&lt;=AsOfDate,IF($Q21=0,$W21,IF(AND($S21&lt;&gt;"",EDATE($D21,Milestones!$AA$131)&gt;=$S21),$V21,IF(AND($R21&lt;&gt;"",EDATE($D21,Milestones!$AA$131)&gt;=$R21),$U21,$T21)))=Milestones!$AB$131),TEXT(EDATE($D21,Milestones!$AA$131),"dd/mm/yy")&amp;" "&amp;Milestones!$AB$131&amp;" "&amp;Milestones!$AC$131&amp;";  ","")&amp;IF(AND(EDATE($D21,Milestones!$AA$132)&lt;=AsOfDate,IF($Q21=0,$W21,IF(AND($S21&lt;&gt;"",EDATE($D21,Milestones!$AA$132)&gt;=$S21),$V21,IF(AND($R21&lt;&gt;"",EDATE($D21,Milestones!$AA$132)&gt;=$R21),$U21,$T21)))=Milestones!$AB$132),TEXT(EDATE($D21,Milestones!$AA$132),"dd/mm/yy")&amp;" "&amp;Milestones!$AB$132&amp;" "&amp;Milestones!$AC$132&amp;";  ","")&amp;IF(AND(EDATE($D21,Milestones!$AA$133)&lt;=AsOfDate,IF($Q21=0,$W21,IF(AND($S21&lt;&gt;"",EDATE($D21,Milestones!$AA$133)&gt;=$S21),$V21,IF(AND($R21&lt;&gt;"",EDATE($D21,Milestones!$AA$133)&gt;=$R21),$U21,$T21)))=Milestones!$AB$133),TEXT(EDATE($D21,Milestones!$AA$133),"dd/mm/yy")&amp;" "&amp;Milestones!$AB$133&amp;" "&amp;Milestones!$AC$133&amp;";  ","")&amp;IF(AND(EDATE($D21,Milestones!$AA$134)&lt;=AsOfDate,IF($Q21=0,$W21,IF(AND($S21&lt;&gt;"",EDATE($D21,Milestones!$AA$134)&gt;=$S21),$V21,IF(AND($R21&lt;&gt;"",EDATE($D21,Milestones!$AA$134)&gt;=$R21),$U21,$T21)))=Milestones!$AB$134),TEXT(EDATE($D21,Milestones!$AA$134),"dd/mm/yy")&amp;" "&amp;Milestones!$AB$134&amp;" "&amp;Milestones!$AC$134&amp;";  ","")&amp;IF(AND(EDATE($D21,Milestones!$AA$135)&lt;=AsOfDate,IF($Q21=0,$W21,IF(AND($S21&lt;&gt;"",EDATE($D21,Milestones!$AA$135)&gt;=$S21),$V21,IF(AND($R21&lt;&gt;"",EDATE($D21,Milestones!$AA$135)&gt;=$R21),$U21,$T21)))=Milestones!$AB$135),TEXT(EDATE($D21,Milestones!$AA$135),"dd/mm/yy")&amp;" "&amp;Milestones!$AB$135&amp;" "&amp;Milestones!$AC$135&amp;";  ","")&amp;IF(AND(EDATE($D21,Milestones!$AA$136)&lt;=AsOfDate,IF($Q21=0,$W21,IF(AND($S21&lt;&gt;"",EDATE($D21,Milestones!$AA$136)&gt;=$S21),$V21,IF(AND($R21&lt;&gt;"",EDATE($D21,Milestones!$AA$136)&gt;=$R21),$U21,$T21)))=Milestones!$AB$136),TEXT(EDATE($D21,Milestones!$AA$136),"dd/mm/yy")&amp;" "&amp;Milestones!$AB$136&amp;" "&amp;Milestones!$AC$136&amp;";  ","")&amp;IF(AND(EDATE($D21,Milestones!$AA$137)&lt;=AsOfDate,IF($Q21=0,$W21,IF(AND($S21&lt;&gt;"",EDATE($D21,Milestones!$AA$137)&gt;=$S21),$V21,IF(AND($R21&lt;&gt;"",EDATE($D21,Milestones!$AA$137)&gt;=$R21),$U21,$T21)))=Milestones!$AB$137),TEXT(EDATE($D21,Milestones!$AA$137),"dd/mm/yy")&amp;" "&amp;Milestones!$AB$137&amp;" "&amp;Milestones!$AC$137&amp;";  ","")&amp;IF(AND(EDATE($D21,Milestones!$AA$138)&lt;=AsOfDate,IF($Q21=0,$W21,IF(AND($S21&lt;&gt;"",EDATE($D21,Milestones!$AA$138)&gt;=$S21),$V21,IF(AND($R21&lt;&gt;"",EDATE($D21,Milestones!$AA$138)&gt;=$R21),$U21,$T21)))=Milestones!$AB$138),TEXT(EDATE($D21,Milestones!$AA$138),"dd/mm/yy")&amp;" "&amp;Milestones!$AB$138&amp;" "&amp;Milestones!$AC$138&amp;";  ","")&amp;IF(AND(EDATE($D21,Milestones!$AA$139)&lt;=AsOfDate,IF($Q21=0,$W21,IF(AND($S21&lt;&gt;"",EDATE($D21,Milestones!$AA$139)&gt;=$S21),$V21,IF(AND($R21&lt;&gt;"",EDATE($D21,Milestones!$AA$139)&gt;=$R21),$U21,$T21)))=Milestones!$AB$139),TEXT(EDATE($D21,Milestones!$AA$139),"dd/mm/yy")&amp;" "&amp;Milestones!$AB$139&amp;" "&amp;Milestones!$AC$139&amp;";  ",""))</f>
        <v/>
      </c>
      <c r="N21" s="0" t="str">
        <f aca="false">IF(OR($A21="",$D21=""),"",IF(AND(EDATE($D21,Milestones!$AA$140)&lt;=AsOfDate,IF($Q21=0,$W21,IF(AND($S21&lt;&gt;"",EDATE($D21,Milestones!$AA$140)&gt;=$S21),$V21,IF(AND($R21&lt;&gt;"",EDATE($D21,Milestones!$AA$140)&gt;=$R21),$U21,$T21)))=Milestones!$AB$140),TEXT(EDATE($D21,Milestones!$AA$140),"dd/mm/yy")&amp;" "&amp;Milestones!$AB$140&amp;" "&amp;Milestones!$AC$140&amp;";  ","")&amp;IF(AND(EDATE($D21,Milestones!$AA$141)&lt;=AsOfDate,IF($Q21=0,$W21,IF(AND($S21&lt;&gt;"",EDATE($D21,Milestones!$AA$141)&gt;=$S21),$V21,IF(AND($R21&lt;&gt;"",EDATE($D21,Milestones!$AA$141)&gt;=$R21),$U21,$T21)))=Milestones!$AB$141),TEXT(EDATE($D21,Milestones!$AA$141),"dd/mm/yy")&amp;" "&amp;Milestones!$AB$141&amp;" "&amp;Milestones!$AC$141&amp;";  ","")&amp;IF(AND(EDATE($D21,Milestones!$AA$142)&lt;=AsOfDate,IF($Q21=0,$W21,IF(AND($S21&lt;&gt;"",EDATE($D21,Milestones!$AA$142)&gt;=$S21),$V21,IF(AND($R21&lt;&gt;"",EDATE($D21,Milestones!$AA$142)&gt;=$R21),$U21,$T21)))=Milestones!$AB$142),TEXT(EDATE($D21,Milestones!$AA$142),"dd/mm/yy")&amp;" "&amp;Milestones!$AB$142&amp;" "&amp;Milestones!$AC$142&amp;";  ","")&amp;IF(AND(EDATE($D21,Milestones!$AA$143)&lt;=AsOfDate,IF($Q21=0,$W21,IF(AND($S21&lt;&gt;"",EDATE($D21,Milestones!$AA$143)&gt;=$S21),$V21,IF(AND($R21&lt;&gt;"",EDATE($D21,Milestones!$AA$143)&gt;=$R21),$U21,$T21)))=Milestones!$AB$143),TEXT(EDATE($D21,Milestones!$AA$143),"dd/mm/yy")&amp;" "&amp;Milestones!$AB$143&amp;" "&amp;Milestones!$AC$143&amp;";  ","")&amp;IF(AND(EDATE($D21,Milestones!$AA$144)&lt;=AsOfDate,IF($Q21=0,$W21,IF(AND($S21&lt;&gt;"",EDATE($D21,Milestones!$AA$144)&gt;=$S21),$V21,IF(AND($R21&lt;&gt;"",EDATE($D21,Milestones!$AA$144)&gt;=$R21),$U21,$T21)))=Milestones!$AB$144),TEXT(EDATE($D21,Milestones!$AA$144),"dd/mm/yy")&amp;" "&amp;Milestones!$AB$144&amp;" "&amp;Milestones!$AC$144&amp;";  ","")&amp;IF(AND(EDATE($D21,Milestones!$AA$145)&lt;=AsOfDate,IF($Q21=0,$W21,IF(AND($S21&lt;&gt;"",EDATE($D21,Milestones!$AA$145)&gt;=$S21),$V21,IF(AND($R21&lt;&gt;"",EDATE($D21,Milestones!$AA$145)&gt;=$R21),$U21,$T21)))=Milestones!$AB$145),TEXT(EDATE($D21,Milestones!$AA$145),"dd/mm/yy")&amp;" "&amp;Milestones!$AB$145&amp;" "&amp;Milestones!$AC$145&amp;";  ","")&amp;IF(AND(EDATE($D21,Milestones!$AA$146)&lt;=AsOfDate,IF($Q21=0,$W21,IF(AND($S21&lt;&gt;"",EDATE($D21,Milestones!$AA$146)&gt;=$S21),$V21,IF(AND($R21&lt;&gt;"",EDATE($D21,Milestones!$AA$146)&gt;=$R21),$U21,$T21)))=Milestones!$AB$146),TEXT(EDATE($D21,Milestones!$AA$146),"dd/mm/yy")&amp;" "&amp;Milestones!$AB$146&amp;" "&amp;Milestones!$AC$146&amp;";  ","")&amp;IF(AND(EDATE($D21,Milestones!$AA$147)&lt;=AsOfDate,IF($Q21=0,$W21,IF(AND($S21&lt;&gt;"",EDATE($D21,Milestones!$AA$147)&gt;=$S21),$V21,IF(AND($R21&lt;&gt;"",EDATE($D21,Milestones!$AA$147)&gt;=$R21),$U21,$T21)))=Milestones!$AB$147),TEXT(EDATE($D21,Milestones!$AA$147),"dd/mm/yy")&amp;" "&amp;Milestones!$AB$147&amp;" "&amp;Milestones!$AC$147&amp;";  ","")&amp;IF(AND(EDATE($D21,Milestones!$AA$148)&lt;=AsOfDate,IF($Q21=0,$W21,IF(AND($S21&lt;&gt;"",EDATE($D21,Milestones!$AA$148)&gt;=$S21),$V21,IF(AND($R21&lt;&gt;"",EDATE($D21,Milestones!$AA$148)&gt;=$R21),$U21,$T21)))=Milestones!$AB$148),TEXT(EDATE($D21,Milestones!$AA$148),"dd/mm/yy")&amp;" "&amp;Milestones!$AB$148&amp;" "&amp;Milestones!$AC$148&amp;";  ","")&amp;IF(AND(EDATE($D21,Milestones!$AA$149)&lt;=AsOfDate,IF($Q21=0,$W21,IF(AND($S21&lt;&gt;"",EDATE($D21,Milestones!$AA$149)&gt;=$S21),$V21,IF(AND($R21&lt;&gt;"",EDATE($D21,Milestones!$AA$149)&gt;=$R21),$U21,$T21)))=Milestones!$AB$149),TEXT(EDATE($D21,Milestones!$AA$149),"dd/mm/yy")&amp;" "&amp;Milestones!$AB$149&amp;" "&amp;Milestones!$AC$149&amp;";  ","")&amp;IF(AND(EDATE($D21,Milestones!$AA$150)&lt;=AsOfDate,IF($Q21=0,$W21,IF(AND($S21&lt;&gt;"",EDATE($D21,Milestones!$AA$150)&gt;=$S21),$V21,IF(AND($R21&lt;&gt;"",EDATE($D21,Milestones!$AA$150)&gt;=$R21),$U21,$T21)))=Milestones!$AB$150),TEXT(EDATE($D21,Milestones!$AA$150),"dd/mm/yy")&amp;" "&amp;Milestones!$AB$150&amp;" "&amp;Milestones!$AC$150&amp;";  ","")&amp;IF(AND(EDATE($D21,Milestones!$AA$151)&lt;=AsOfDate,IF($Q21=0,$W21,IF(AND($S21&lt;&gt;"",EDATE($D21,Milestones!$AA$151)&gt;=$S21),$V21,IF(AND($R21&lt;&gt;"",EDATE($D21,Milestones!$AA$151)&gt;=$R21),$U21,$T21)))=Milestones!$AB$151),TEXT(EDATE($D21,Milestones!$AA$151),"dd/mm/yy")&amp;" "&amp;Milestones!$AB$151&amp;" "&amp;Milestones!$AC$151&amp;";  ","")&amp;IF(AND(EDATE($D21,Milestones!$AA$152)&lt;=AsOfDate,IF($Q21=0,$W21,IF(AND($S21&lt;&gt;"",EDATE($D21,Milestones!$AA$152)&gt;=$S21),$V21,IF(AND($R21&lt;&gt;"",EDATE($D21,Milestones!$AA$152)&gt;=$R21),$U21,$T21)))=Milestones!$AB$152),TEXT(EDATE($D21,Milestones!$AA$152),"dd/mm/yy")&amp;" "&amp;Milestones!$AB$152&amp;" "&amp;Milestones!$AC$152&amp;";  ","")&amp;IF(AND(EDATE($D21,Milestones!$AA$153)&lt;=AsOfDate,IF($Q21=0,$W21,IF(AND($S21&lt;&gt;"",EDATE($D21,Milestones!$AA$153)&gt;=$S21),$V21,IF(AND($R21&lt;&gt;"",EDATE($D21,Milestones!$AA$153)&gt;=$R21),$U21,$T21)))=Milestones!$AB$153),TEXT(EDATE($D21,Milestones!$AA$153),"dd/mm/yy")&amp;" "&amp;Milestones!$AB$153&amp;" "&amp;Milestones!$AC$153&amp;";  ","")&amp;IF(AND(EDATE($D21,Milestones!$AA$154)&lt;=AsOfDate,IF($Q21=0,$W21,IF(AND($S21&lt;&gt;"",EDATE($D21,Milestones!$AA$154)&gt;=$S21),$V21,IF(AND($R21&lt;&gt;"",EDATE($D21,Milestones!$AA$154)&gt;=$R21),$U21,$T21)))=Milestones!$AB$154),TEXT(EDATE($D21,Milestones!$AA$154),"dd/mm/yy")&amp;" "&amp;Milestones!$AB$154&amp;" "&amp;Milestones!$AC$154&amp;";  ","")&amp;IF(AND(EDATE($D21,Milestones!$AA$155)&lt;=AsOfDate,IF($Q21=0,$W21,IF(AND($S21&lt;&gt;"",EDATE($D21,Milestones!$AA$155)&gt;=$S21),$V21,IF(AND($R21&lt;&gt;"",EDATE($D21,Milestones!$AA$155)&gt;=$R21),$U21,$T21)))=Milestones!$AB$155),TEXT(EDATE($D21,Milestones!$AA$155),"dd/mm/yy")&amp;" "&amp;Milestones!$AB$155&amp;" "&amp;Milestones!$AC$155&amp;";  ","")&amp;IF(AND(EDATE($D21,Milestones!$AA$156)&lt;=AsOfDate,IF($Q21=0,$W21,IF(AND($S21&lt;&gt;"",EDATE($D21,Milestones!$AA$156)&gt;=$S21),$V21,IF(AND($R21&lt;&gt;"",EDATE($D21,Milestones!$AA$156)&gt;=$R21),$U21,$T21)))=Milestones!$AB$156),TEXT(EDATE($D21,Milestones!$AA$156),"dd/mm/yy")&amp;" "&amp;Milestones!$AB$156&amp;" "&amp;Milestones!$AC$156&amp;";  ","")&amp;IF(AND(EDATE($D21,Milestones!$AA$157)&lt;=AsOfDate,IF($Q21=0,$W21,IF(AND($S21&lt;&gt;"",EDATE($D21,Milestones!$AA$157)&gt;=$S21),$V21,IF(AND($R21&lt;&gt;"",EDATE($D21,Milestones!$AA$157)&gt;=$R21),$U21,$T21)))=Milestones!$AB$157),TEXT(EDATE($D21,Milestones!$AA$157),"dd/mm/yy")&amp;" "&amp;Milestones!$AB$157&amp;" "&amp;Milestones!$AC$157&amp;";  ","")&amp;IF(AND(EDATE($D21,Milestones!$AA$158)&lt;=AsOfDate,IF($Q21=0,$W21,IF(AND($S21&lt;&gt;"",EDATE($D21,Milestones!$AA$158)&gt;=$S21),$V21,IF(AND($R21&lt;&gt;"",EDATE($D21,Milestones!$AA$158)&gt;=$R21),$U21,$T21)))=Milestones!$AB$158),TEXT(EDATE($D21,Milestones!$AA$158),"dd/mm/yy")&amp;" "&amp;Milestones!$AB$158&amp;" "&amp;Milestones!$AC$158&amp;";  ","")&amp;IF(AND(EDATE($D21,Milestones!$AA$159)&lt;=AsOfDate,IF($Q21=0,$W21,IF(AND($S21&lt;&gt;"",EDATE($D21,Milestones!$AA$159)&gt;=$S21),$V21,IF(AND($R21&lt;&gt;"",EDATE($D21,Milestones!$AA$159)&gt;=$R21),$U21,$T21)))=Milestones!$AB$159),TEXT(EDATE($D21,Milestones!$AA$159),"dd/mm/yy")&amp;" "&amp;Milestones!$AB$159&amp;" "&amp;Milestones!$AC$159&amp;";  ",""))</f>
        <v/>
      </c>
      <c r="O21" s="0" t="str">
        <f aca="false">IF(OR($A21="",$D21=""),"",IF(AND(EDATE($D21,Milestones!$AA$160)&lt;=AsOfDate,IF($Q21=0,$W21,IF(AND($S21&lt;&gt;"",EDATE($D21,Milestones!$AA$160)&gt;=$S21),$V21,IF(AND($R21&lt;&gt;"",EDATE($D21,Milestones!$AA$160)&gt;=$R21),$U21,$T21)))=Milestones!$AB$160),TEXT(EDATE($D21,Milestones!$AA$160),"dd/mm/yy")&amp;" "&amp;Milestones!$AB$160&amp;" "&amp;Milestones!$AC$160&amp;";  ","")&amp;IF(AND(EDATE($D21,Milestones!$AA$161)&lt;=AsOfDate,IF($Q21=0,$W21,IF(AND($S21&lt;&gt;"",EDATE($D21,Milestones!$AA$161)&gt;=$S21),$V21,IF(AND($R21&lt;&gt;"",EDATE($D21,Milestones!$AA$161)&gt;=$R21),$U21,$T21)))=Milestones!$AB$161),TEXT(EDATE($D21,Milestones!$AA$161),"dd/mm/yy")&amp;" "&amp;Milestones!$AB$161&amp;" "&amp;Milestones!$AC$161&amp;";  ","")&amp;IF(AND(EDATE($D21,Milestones!$AA$162)&lt;=AsOfDate,IF($Q21=0,$W21,IF(AND($S21&lt;&gt;"",EDATE($D21,Milestones!$AA$162)&gt;=$S21),$V21,IF(AND($R21&lt;&gt;"",EDATE($D21,Milestones!$AA$162)&gt;=$R21),$U21,$T21)))=Milestones!$AB$162),TEXT(EDATE($D21,Milestones!$AA$162),"dd/mm/yy")&amp;" "&amp;Milestones!$AB$162&amp;" "&amp;Milestones!$AC$162&amp;";  ","")&amp;IF(AND(EDATE($D21,Milestones!$AA$163)&lt;=AsOfDate,IF($Q21=0,$W21,IF(AND($S21&lt;&gt;"",EDATE($D21,Milestones!$AA$163)&gt;=$S21),$V21,IF(AND($R21&lt;&gt;"",EDATE($D21,Milestones!$AA$163)&gt;=$R21),$U21,$T21)))=Milestones!$AB$163),TEXT(EDATE($D21,Milestones!$AA$163),"dd/mm/yy")&amp;" "&amp;Milestones!$AB$163&amp;" "&amp;Milestones!$AC$163&amp;";  ","")&amp;IF(AND(EDATE($D21,Milestones!$AA$164)&lt;=AsOfDate,IF($Q21=0,$W21,IF(AND($S21&lt;&gt;"",EDATE($D21,Milestones!$AA$164)&gt;=$S21),$V21,IF(AND($R21&lt;&gt;"",EDATE($D21,Milestones!$AA$164)&gt;=$R21),$U21,$T21)))=Milestones!$AB$164),TEXT(EDATE($D21,Milestones!$AA$164),"dd/mm/yy")&amp;" "&amp;Milestones!$AB$164&amp;" "&amp;Milestones!$AC$164&amp;";  ","")&amp;IF(AND(EDATE($D21,Milestones!$AA$165)&lt;=AsOfDate,IF($Q21=0,$W21,IF(AND($S21&lt;&gt;"",EDATE($D21,Milestones!$AA$165)&gt;=$S21),$V21,IF(AND($R21&lt;&gt;"",EDATE($D21,Milestones!$AA$165)&gt;=$R21),$U21,$T21)))=Milestones!$AB$165),TEXT(EDATE($D21,Milestones!$AA$165),"dd/mm/yy")&amp;" "&amp;Milestones!$AB$165&amp;" "&amp;Milestones!$AC$165&amp;";  ","")&amp;IF(AND(EDATE($D21,Milestones!$AA$166)&lt;=AsOfDate,IF($Q21=0,$W21,IF(AND($S21&lt;&gt;"",EDATE($D21,Milestones!$AA$166)&gt;=$S21),$V21,IF(AND($R21&lt;&gt;"",EDATE($D21,Milestones!$AA$166)&gt;=$R21),$U21,$T21)))=Milestones!$AB$166),TEXT(EDATE($D21,Milestones!$AA$166),"dd/mm/yy")&amp;" "&amp;Milestones!$AB$166&amp;" "&amp;Milestones!$AC$166&amp;";  ","")&amp;IF(AND(EDATE($D21,Milestones!$AA$167)&lt;=AsOfDate,IF($Q21=0,$W21,IF(AND($S21&lt;&gt;"",EDATE($D21,Milestones!$AA$167)&gt;=$S21),$V21,IF(AND($R21&lt;&gt;"",EDATE($D21,Milestones!$AA$167)&gt;=$R21),$U21,$T21)))=Milestones!$AB$167),TEXT(EDATE($D21,Milestones!$AA$167),"dd/mm/yy")&amp;" "&amp;Milestones!$AB$167&amp;" "&amp;Milestones!$AC$167&amp;";  ","")&amp;IF(AND(EDATE($D21,Milestones!$AA$168)&lt;=AsOfDate,IF($Q21=0,$W21,IF(AND($S21&lt;&gt;"",EDATE($D21,Milestones!$AA$168)&gt;=$S21),$V21,IF(AND($R21&lt;&gt;"",EDATE($D21,Milestones!$AA$168)&gt;=$R21),$U21,$T21)))=Milestones!$AB$168),TEXT(EDATE($D21,Milestones!$AA$168),"dd/mm/yy")&amp;" "&amp;Milestones!$AB$168&amp;" "&amp;Milestones!$AC$168&amp;";  ","")&amp;IF(AND(EDATE($D21,Milestones!$AA$169)&lt;=AsOfDate,IF($Q21=0,$W21,IF(AND($S21&lt;&gt;"",EDATE($D21,Milestones!$AA$169)&gt;=$S21),$V21,IF(AND($R21&lt;&gt;"",EDATE($D21,Milestones!$AA$169)&gt;=$R21),$U21,$T21)))=Milestones!$AB$169),TEXT(EDATE($D21,Milestones!$AA$169),"dd/mm/yy")&amp;" "&amp;Milestones!$AB$169&amp;" "&amp;Milestones!$AC$169&amp;";  ","")&amp;IF(AND(EDATE($D21,Milestones!$AA$170)&lt;=AsOfDate,IF($Q21=0,$W21,IF(AND($S21&lt;&gt;"",EDATE($D21,Milestones!$AA$170)&gt;=$S21),$V21,IF(AND($R21&lt;&gt;"",EDATE($D21,Milestones!$AA$170)&gt;=$R21),$U21,$T21)))=Milestones!$AB$170),TEXT(EDATE($D21,Milestones!$AA$170),"dd/mm/yy")&amp;" "&amp;Milestones!$AB$170&amp;" "&amp;Milestones!$AC$170&amp;";  ","")&amp;IF(AND(EDATE($D21,Milestones!$AA$171)&lt;=AsOfDate,IF($Q21=0,$W21,IF(AND($S21&lt;&gt;"",EDATE($D21,Milestones!$AA$171)&gt;=$S21),$V21,IF(AND($R21&lt;&gt;"",EDATE($D21,Milestones!$AA$171)&gt;=$R21),$U21,$T21)))=Milestones!$AB$171),TEXT(EDATE($D21,Milestones!$AA$171),"dd/mm/yy")&amp;" "&amp;Milestones!$AB$171&amp;" "&amp;Milestones!$AC$171&amp;";  ","")&amp;IF(AND(EDATE($D21,Milestones!$AA$172)&lt;=AsOfDate,IF($Q21=0,$W21,IF(AND($S21&lt;&gt;"",EDATE($D21,Milestones!$AA$172)&gt;=$S21),$V21,IF(AND($R21&lt;&gt;"",EDATE($D21,Milestones!$AA$172)&gt;=$R21),$U21,$T21)))=Milestones!$AB$172),TEXT(EDATE($D21,Milestones!$AA$172),"dd/mm/yy")&amp;" "&amp;Milestones!$AB$172&amp;" "&amp;Milestones!$AC$172&amp;";  ","")&amp;IF(AND(EDATE($D21,Milestones!$AA$173)&lt;=AsOfDate,IF($Q21=0,$W21,IF(AND($S21&lt;&gt;"",EDATE($D21,Milestones!$AA$173)&gt;=$S21),$V21,IF(AND($R21&lt;&gt;"",EDATE($D21,Milestones!$AA$173)&gt;=$R21),$U21,$T21)))=Milestones!$AB$173),TEXT(EDATE($D21,Milestones!$AA$173),"dd/mm/yy")&amp;" "&amp;Milestones!$AB$173&amp;" "&amp;Milestones!$AC$173&amp;";  ","")&amp;IF(AND(EDATE($D21,Milestones!$AA$174)&lt;=AsOfDate,IF($Q21=0,$W21,IF(AND($S21&lt;&gt;"",EDATE($D21,Milestones!$AA$174)&gt;=$S21),$V21,IF(AND($R21&lt;&gt;"",EDATE($D21,Milestones!$AA$174)&gt;=$R21),$U21,$T21)))=Milestones!$AB$174),TEXT(EDATE($D21,Milestones!$AA$174),"dd/mm/yy")&amp;" "&amp;Milestones!$AB$174&amp;" "&amp;Milestones!$AC$174&amp;";  ","")&amp;IF(AND(EDATE($D21,Milestones!$AA$175)&lt;=AsOfDate,IF($Q21=0,$W21,IF(AND($S21&lt;&gt;"",EDATE($D21,Milestones!$AA$175)&gt;=$S21),$V21,IF(AND($R21&lt;&gt;"",EDATE($D21,Milestones!$AA$175)&gt;=$R21),$U21,$T21)))=Milestones!$AB$175),TEXT(EDATE($D21,Milestones!$AA$175),"dd/mm/yy")&amp;" "&amp;Milestones!$AB$175&amp;" "&amp;Milestones!$AC$175&amp;";  ","")&amp;IF(AND(EDATE($D21,Milestones!$AA$176)&lt;=AsOfDate,IF($Q21=0,$W21,IF(AND($S21&lt;&gt;"",EDATE($D21,Milestones!$AA$176)&gt;=$S21),$V21,IF(AND($R21&lt;&gt;"",EDATE($D21,Milestones!$AA$176)&gt;=$R21),$U21,$T21)))=Milestones!$AB$176),TEXT(EDATE($D21,Milestones!$AA$176),"dd/mm/yy")&amp;" "&amp;Milestones!$AB$176&amp;" "&amp;Milestones!$AC$176&amp;";  ","")&amp;IF(AND(EDATE($D21,Milestones!$AA$177)&lt;=AsOfDate,IF($Q21=0,$W21,IF(AND($S21&lt;&gt;"",EDATE($D21,Milestones!$AA$177)&gt;=$S21),$V21,IF(AND($R21&lt;&gt;"",EDATE($D21,Milestones!$AA$177)&gt;=$R21),$U21,$T21)))=Milestones!$AB$177),TEXT(EDATE($D21,Milestones!$AA$177),"dd/mm/yy")&amp;" "&amp;Milestones!$AB$177&amp;" "&amp;Milestones!$AC$177&amp;";  ","")&amp;IF(AND(EDATE($D21,Milestones!$AA$178)&lt;=AsOfDate,IF($Q21=0,$W21,IF(AND($S21&lt;&gt;"",EDATE($D21,Milestones!$AA$178)&gt;=$S21),$V21,IF(AND($R21&lt;&gt;"",EDATE($D21,Milestones!$AA$178)&gt;=$R21),$U21,$T21)))=Milestones!$AB$178),TEXT(EDATE($D21,Milestones!$AA$178),"dd/mm/yy")&amp;" "&amp;Milestones!$AB$178&amp;" "&amp;Milestones!$AC$178&amp;";  ","")&amp;IF(AND(EDATE($D21,Milestones!$AA$179)&lt;=AsOfDate,IF($Q21=0,$W21,IF(AND($S21&lt;&gt;"",EDATE($D21,Milestones!$AA$179)&gt;=$S21),$V21,IF(AND($R21&lt;&gt;"",EDATE($D21,Milestones!$AA$179)&gt;=$R21),$U21,$T21)))=Milestones!$AB$179),TEXT(EDATE($D21,Milestones!$AA$179),"dd/mm/yy")&amp;" "&amp;Milestones!$AB$179&amp;" "&amp;Milestones!$AC$179&amp;";  ",""))</f>
        <v/>
      </c>
      <c r="P21" s="0" t="str">
        <f aca="false">IF(OR($A21="",$D21=""),"",IF(AND(EDATE($D21,Milestones!$AA$180)&lt;=AsOfDate,IF($Q21=0,$W21,IF(AND($S21&lt;&gt;"",EDATE($D21,Milestones!$AA$180)&gt;=$S21),$V21,IF(AND($R21&lt;&gt;"",EDATE($D21,Milestones!$AA$180)&gt;=$R21),$U21,$T21)))=Milestones!$AB$180),TEXT(EDATE($D21,Milestones!$AA$180),"dd/mm/yy")&amp;" "&amp;Milestones!$AB$180&amp;" "&amp;Milestones!$AC$180&amp;";  ","")&amp;IF(AND(EDATE($D21,Milestones!$AA$181)&lt;=AsOfDate,IF($Q21=0,$W21,IF(AND($S21&lt;&gt;"",EDATE($D21,Milestones!$AA$181)&gt;=$S21),$V21,IF(AND($R21&lt;&gt;"",EDATE($D21,Milestones!$AA$181)&gt;=$R21),$U21,$T21)))=Milestones!$AB$181),TEXT(EDATE($D21,Milestones!$AA$181),"dd/mm/yy")&amp;" "&amp;Milestones!$AB$181&amp;" "&amp;Milestones!$AC$181&amp;";  ","")&amp;IF(AND(EDATE($D21,Milestones!$AA$182)&lt;=AsOfDate,IF($Q21=0,$W21,IF(AND($S21&lt;&gt;"",EDATE($D21,Milestones!$AA$182)&gt;=$S21),$V21,IF(AND($R21&lt;&gt;"",EDATE($D21,Milestones!$AA$182)&gt;=$R21),$U21,$T21)))=Milestones!$AB$182),TEXT(EDATE($D21,Milestones!$AA$182),"dd/mm/yy")&amp;" "&amp;Milestones!$AB$182&amp;" "&amp;Milestones!$AC$182&amp;";  ","")&amp;IF(AND(EDATE($D21,Milestones!$AA$183)&lt;=AsOfDate,IF($Q21=0,$W21,IF(AND($S21&lt;&gt;"",EDATE($D21,Milestones!$AA$183)&gt;=$S21),$V21,IF(AND($R21&lt;&gt;"",EDATE($D21,Milestones!$AA$183)&gt;=$R21),$U21,$T21)))=Milestones!$AB$183),TEXT(EDATE($D21,Milestones!$AA$183),"dd/mm/yy")&amp;" "&amp;Milestones!$AB$183&amp;" "&amp;Milestones!$AC$183&amp;";  ","")&amp;IF(AND(EDATE($D21,Milestones!$AA$184)&lt;=AsOfDate,IF($Q21=0,$W21,IF(AND($S21&lt;&gt;"",EDATE($D21,Milestones!$AA$184)&gt;=$S21),$V21,IF(AND($R21&lt;&gt;"",EDATE($D21,Milestones!$AA$184)&gt;=$R21),$U21,$T21)))=Milestones!$AB$184),TEXT(EDATE($D21,Milestones!$AA$184),"dd/mm/yy")&amp;" "&amp;Milestones!$AB$184&amp;" "&amp;Milestones!$AC$184&amp;";  ","")&amp;IF(AND(EDATE($D21,Milestones!$AA$185)&lt;=AsOfDate,IF($Q21=0,$W21,IF(AND($S21&lt;&gt;"",EDATE($D21,Milestones!$AA$185)&gt;=$S21),$V21,IF(AND($R21&lt;&gt;"",EDATE($D21,Milestones!$AA$185)&gt;=$R21),$U21,$T21)))=Milestones!$AB$185),TEXT(EDATE($D21,Milestones!$AA$185),"dd/mm/yy")&amp;" "&amp;Milestones!$AB$185&amp;" "&amp;Milestones!$AC$185&amp;";  ","")&amp;IF(AND(EDATE($D21,Milestones!$AA$186)&lt;=AsOfDate,IF($Q21=0,$W21,IF(AND($S21&lt;&gt;"",EDATE($D21,Milestones!$AA$186)&gt;=$S21),$V21,IF(AND($R21&lt;&gt;"",EDATE($D21,Milestones!$AA$186)&gt;=$R21),$U21,$T21)))=Milestones!$AB$186),TEXT(EDATE($D21,Milestones!$AA$186),"dd/mm/yy")&amp;" "&amp;Milestones!$AB$186&amp;" "&amp;Milestones!$AC$186&amp;";  ","")&amp;IF(AND(EDATE($D21,Milestones!$AA$187)&lt;=AsOfDate,IF($Q21=0,$W21,IF(AND($S21&lt;&gt;"",EDATE($D21,Milestones!$AA$187)&gt;=$S21),$V21,IF(AND($R21&lt;&gt;"",EDATE($D21,Milestones!$AA$187)&gt;=$R21),$U21,$T21)))=Milestones!$AB$187),TEXT(EDATE($D21,Milestones!$AA$187),"dd/mm/yy")&amp;" "&amp;Milestones!$AB$187&amp;" "&amp;Milestones!$AC$187&amp;";  ","")&amp;IF(AND(EDATE($D21,Milestones!$AA$188)&lt;=AsOfDate,IF($Q21=0,$W21,IF(AND($S21&lt;&gt;"",EDATE($D21,Milestones!$AA$188)&gt;=$S21),$V21,IF(AND($R21&lt;&gt;"",EDATE($D21,Milestones!$AA$188)&gt;=$R21),$U21,$T21)))=Milestones!$AB$188),TEXT(EDATE($D21,Milestones!$AA$188),"dd/mm/yy")&amp;" "&amp;Milestones!$AB$188&amp;" "&amp;Milestones!$AC$188&amp;";  ","")&amp;IF(AND(EDATE($D21,Milestones!$AA$189)&lt;=AsOfDate,IF($Q21=0,$W21,IF(AND($S21&lt;&gt;"",EDATE($D21,Milestones!$AA$189)&gt;=$S21),$V21,IF(AND($R21&lt;&gt;"",EDATE($D21,Milestones!$AA$189)&gt;=$R21),$U21,$T21)))=Milestones!$AB$189),TEXT(EDATE($D21,Milestones!$AA$189),"dd/mm/yy")&amp;" "&amp;Milestones!$AB$189&amp;" "&amp;Milestones!$AC$189&amp;";  ","")&amp;IF(AND(EDATE($D21,Milestones!$AA$190)&lt;=AsOfDate,IF($Q21=0,$W21,IF(AND($S21&lt;&gt;"",EDATE($D21,Milestones!$AA$190)&gt;=$S21),$V21,IF(AND($R21&lt;&gt;"",EDATE($D21,Milestones!$AA$190)&gt;=$R21),$U21,$T21)))=Milestones!$AB$190),TEXT(EDATE($D21,Milestones!$AA$190),"dd/mm/yy")&amp;" "&amp;Milestones!$AB$190&amp;" "&amp;Milestones!$AC$190&amp;";  ","")&amp;IF(AND(EDATE($D21,Milestones!$AA$191)&lt;=AsOfDate,IF($Q21=0,$W21,IF(AND($S21&lt;&gt;"",EDATE($D21,Milestones!$AA$191)&gt;=$S21),$V21,IF(AND($R21&lt;&gt;"",EDATE($D21,Milestones!$AA$191)&gt;=$R21),$U21,$T21)))=Milestones!$AB$191),TEXT(EDATE($D21,Milestones!$AA$191),"dd/mm/yy")&amp;" "&amp;Milestones!$AB$191&amp;" "&amp;Milestones!$AC$191&amp;";  ","")&amp;IF(AND(EDATE($D21,Milestones!$AA$192)&lt;=AsOfDate,IF($Q21=0,$W21,IF(AND($S21&lt;&gt;"",EDATE($D21,Milestones!$AA$192)&gt;=$S21),$V21,IF(AND($R21&lt;&gt;"",EDATE($D21,Milestones!$AA$192)&gt;=$R21),$U21,$T21)))=Milestones!$AB$192),TEXT(EDATE($D21,Milestones!$AA$192),"dd/mm/yy")&amp;" "&amp;Milestones!$AB$192&amp;" "&amp;Milestones!$AC$192&amp;";  ","")&amp;IF(AND(EDATE($D21,Milestones!$AA$193)&lt;=AsOfDate,IF($Q21=0,$W21,IF(AND($S21&lt;&gt;"",EDATE($D21,Milestones!$AA$193)&gt;=$S21),$V21,IF(AND($R21&lt;&gt;"",EDATE($D21,Milestones!$AA$193)&gt;=$R21),$U21,$T21)))=Milestones!$AB$193),TEXT(EDATE($D21,Milestones!$AA$193),"dd/mm/yy")&amp;" "&amp;Milestones!$AB$193&amp;" "&amp;Milestones!$AC$193&amp;";  ","")&amp;IF(AND(EDATE($D21,Milestones!$AA$194)&lt;=AsOfDate,IF($Q21=0,$W21,IF(AND($S21&lt;&gt;"",EDATE($D21,Milestones!$AA$194)&gt;=$S21),$V21,IF(AND($R21&lt;&gt;"",EDATE($D21,Milestones!$AA$194)&gt;=$R21),$U21,$T21)))=Milestones!$AB$194),TEXT(EDATE($D21,Milestones!$AA$194),"dd/mm/yy")&amp;" "&amp;Milestones!$AB$194&amp;" "&amp;Milestones!$AC$194&amp;";  ","")&amp;IF(AND(EDATE($D21,Milestones!$AA$195)&lt;=AsOfDate,IF($Q21=0,$W21,IF(AND($S21&lt;&gt;"",EDATE($D21,Milestones!$AA$195)&gt;=$S21),$V21,IF(AND($R21&lt;&gt;"",EDATE($D21,Milestones!$AA$195)&gt;=$R21),$U21,$T21)))=Milestones!$AB$195),TEXT(EDATE($D21,Milestones!$AA$195),"dd/mm/yy")&amp;" "&amp;Milestones!$AB$195&amp;" "&amp;Milestones!$AC$195&amp;";  ","")&amp;IF(AND(EDATE($D21,Milestones!$AA$196)&lt;=AsOfDate,IF($Q21=0,$W21,IF(AND($S21&lt;&gt;"",EDATE($D21,Milestones!$AA$196)&gt;=$S21),$V21,IF(AND($R21&lt;&gt;"",EDATE($D21,Milestones!$AA$196)&gt;=$R21),$U21,$T21)))=Milestones!$AB$196),TEXT(EDATE($D21,Milestones!$AA$196),"dd/mm/yy")&amp;" "&amp;Milestones!$AB$196&amp;" "&amp;Milestones!$AC$196&amp;";  ","")&amp;IF(AND(EDATE($D21,Milestones!$AA$197)&lt;=AsOfDate,IF($Q21=0,$W21,IF(AND($S21&lt;&gt;"",EDATE($D21,Milestones!$AA$197)&gt;=$S21),$V21,IF(AND($R21&lt;&gt;"",EDATE($D21,Milestones!$AA$197)&gt;=$R21),$U21,$T21)))=Milestones!$AB$197),TEXT(EDATE($D21,Milestones!$AA$197),"dd/mm/yy")&amp;" "&amp;Milestones!$AB$197&amp;" "&amp;Milestones!$AC$197&amp;";  ","")&amp;IF(AND(EDATE($D21,Milestones!$AA$198)&lt;=AsOfDate,IF($Q21=0,$W21,IF(AND($S21&lt;&gt;"",EDATE($D21,Milestones!$AA$198)&gt;=$S21),$V21,IF(AND($R21&lt;&gt;"",EDATE($D21,Milestones!$AA$198)&gt;=$R21),$U21,$T21)))=Milestones!$AB$198),TEXT(EDATE($D21,Milestones!$AA$198),"dd/mm/yy")&amp;" "&amp;Milestones!$AB$198&amp;" "&amp;Milestones!$AC$198&amp;";  ","")&amp;IF(AND(EDATE($D21,Milestones!$AA$199)&lt;=AsOfDate,IF($Q21=0,$W21,IF(AND($S21&lt;&gt;"",EDATE($D21,Milestones!$AA$199)&gt;=$S21),$V21,IF(AND($R21&lt;&gt;"",EDATE($D21,Milestones!$AA$199)&gt;=$R21),$U21,$T21)))=Milestones!$AB$199),TEXT(EDATE($D21,Milestones!$AA$199),"dd/mm/yy")&amp;" "&amp;Milestones!$AB$199&amp;" "&amp;Milestones!$AC$199&amp;";  ",""))</f>
        <v/>
      </c>
      <c r="Q21" s="0" t="str">
        <f aca="false">IF(Staff!$A21="","",Staff!$AG21)</f>
        <v/>
      </c>
      <c r="R21" s="0" t="str">
        <f aca="false">IF(Staff!$A21="","",Staff!$AI21)</f>
        <v/>
      </c>
      <c r="S21" s="0" t="str">
        <f aca="false">IF(Staff!$A21="","",Staff!$AJ21)</f>
        <v/>
      </c>
      <c r="T21" s="0" t="str">
        <f aca="false">IF(Staff!$A21="","",Staff!$AN21)</f>
        <v/>
      </c>
      <c r="U21" s="0" t="str">
        <f aca="false">IF(Staff!$A21="","",Staff!$AO21)</f>
        <v/>
      </c>
      <c r="V21" s="0" t="str">
        <f aca="false">IF(Staff!$A21="","",Staff!$AP21)</f>
        <v/>
      </c>
      <c r="W21" s="0" t="str">
        <f aca="false">IF(Staff!$A21="","",Staff!$AQ21)</f>
        <v/>
      </c>
    </row>
    <row r="22" customFormat="false" ht="15" hidden="false" customHeight="false" outlineLevel="0" collapsed="false">
      <c r="A22" s="13" t="str">
        <f aca="false">IF(Staff!$A22="","",Staff!$A22)</f>
        <v/>
      </c>
      <c r="B22" s="13" t="str">
        <f aca="false">IF(Staff!$A22="","",Staff!$B22)</f>
        <v/>
      </c>
      <c r="C22" s="13" t="str">
        <f aca="false">IF(Staff!$A22="","",Staff!$C22)</f>
        <v/>
      </c>
      <c r="D22" s="11" t="str">
        <f aca="false">IF(Staff!$A22="","",Staff!$AF22)</f>
        <v/>
      </c>
      <c r="E22" s="13" t="str">
        <f aca="false">IF(Staff!$A22="","",Staff!$O22)</f>
        <v/>
      </c>
      <c r="F22" s="13" t="str">
        <f aca="false">IF(E22="","",E22*HoursPerDay)</f>
        <v/>
      </c>
      <c r="G22" s="26" t="str">
        <f aca="false">IF($A22="","",H22&amp;I22&amp;J22&amp;K22&amp;L22&amp;M22&amp;N22&amp;O22&amp;P22)</f>
        <v/>
      </c>
      <c r="H22" s="0" t="str">
        <f aca="false">IF(OR($A22="",$D22=""),"",IF(AND(EDATE($D22,Milestones!$AA$20)&lt;=AsOfDate,IF($Q22=0,$W22,IF(AND($S22&lt;&gt;"",EDATE($D22,Milestones!$AA$20)&gt;=$S22),$V22,IF(AND($R22&lt;&gt;"",EDATE($D22,Milestones!$AA$20)&gt;=$R22),$U22,$T22)))=Milestones!$AB$20),TEXT(EDATE($D22,Milestones!$AA$20),"dd/mm/yy")&amp;" "&amp;Milestones!$AB$20&amp;" "&amp;Milestones!$AC$20&amp;";  ","")&amp;IF(AND(EDATE($D22,Milestones!$AA$21)&lt;=AsOfDate,IF($Q22=0,$W22,IF(AND($S22&lt;&gt;"",EDATE($D22,Milestones!$AA$21)&gt;=$S22),$V22,IF(AND($R22&lt;&gt;"",EDATE($D22,Milestones!$AA$21)&gt;=$R22),$U22,$T22)))=Milestones!$AB$21),TEXT(EDATE($D22,Milestones!$AA$21),"dd/mm/yy")&amp;" "&amp;Milestones!$AB$21&amp;" "&amp;Milestones!$AC$21&amp;";  ","")&amp;IF(AND(EDATE($D22,Milestones!$AA$22)&lt;=AsOfDate,IF($Q22=0,$W22,IF(AND($S22&lt;&gt;"",EDATE($D22,Milestones!$AA$22)&gt;=$S22),$V22,IF(AND($R22&lt;&gt;"",EDATE($D22,Milestones!$AA$22)&gt;=$R22),$U22,$T22)))=Milestones!$AB$22),TEXT(EDATE($D22,Milestones!$AA$22),"dd/mm/yy")&amp;" "&amp;Milestones!$AB$22&amp;" "&amp;Milestones!$AC$22&amp;";  ","")&amp;IF(AND(EDATE($D22,Milestones!$AA$23)&lt;=AsOfDate,IF($Q22=0,$W22,IF(AND($S22&lt;&gt;"",EDATE($D22,Milestones!$AA$23)&gt;=$S22),$V22,IF(AND($R22&lt;&gt;"",EDATE($D22,Milestones!$AA$23)&gt;=$R22),$U22,$T22)))=Milestones!$AB$23),TEXT(EDATE($D22,Milestones!$AA$23),"dd/mm/yy")&amp;" "&amp;Milestones!$AB$23&amp;" "&amp;Milestones!$AC$23&amp;";  ","")&amp;IF(AND(EDATE($D22,Milestones!$AA$24)&lt;=AsOfDate,IF($Q22=0,$W22,IF(AND($S22&lt;&gt;"",EDATE($D22,Milestones!$AA$24)&gt;=$S22),$V22,IF(AND($R22&lt;&gt;"",EDATE($D22,Milestones!$AA$24)&gt;=$R22),$U22,$T22)))=Milestones!$AB$24),TEXT(EDATE($D22,Milestones!$AA$24),"dd/mm/yy")&amp;" "&amp;Milestones!$AB$24&amp;" "&amp;Milestones!$AC$24&amp;";  ","")&amp;IF(AND(EDATE($D22,Milestones!$AA$25)&lt;=AsOfDate,IF($Q22=0,$W22,IF(AND($S22&lt;&gt;"",EDATE($D22,Milestones!$AA$25)&gt;=$S22),$V22,IF(AND($R22&lt;&gt;"",EDATE($D22,Milestones!$AA$25)&gt;=$R22),$U22,$T22)))=Milestones!$AB$25),TEXT(EDATE($D22,Milestones!$AA$25),"dd/mm/yy")&amp;" "&amp;Milestones!$AB$25&amp;" "&amp;Milestones!$AC$25&amp;";  ","")&amp;IF(AND(EDATE($D22,Milestones!$AA$26)&lt;=AsOfDate,IF($Q22=0,$W22,IF(AND($S22&lt;&gt;"",EDATE($D22,Milestones!$AA$26)&gt;=$S22),$V22,IF(AND($R22&lt;&gt;"",EDATE($D22,Milestones!$AA$26)&gt;=$R22),$U22,$T22)))=Milestones!$AB$26),TEXT(EDATE($D22,Milestones!$AA$26),"dd/mm/yy")&amp;" "&amp;Milestones!$AB$26&amp;" "&amp;Milestones!$AC$26&amp;";  ","")&amp;IF(AND(EDATE($D22,Milestones!$AA$27)&lt;=AsOfDate,IF($Q22=0,$W22,IF(AND($S22&lt;&gt;"",EDATE($D22,Milestones!$AA$27)&gt;=$S22),$V22,IF(AND($R22&lt;&gt;"",EDATE($D22,Milestones!$AA$27)&gt;=$R22),$U22,$T22)))=Milestones!$AB$27),TEXT(EDATE($D22,Milestones!$AA$27),"dd/mm/yy")&amp;" "&amp;Milestones!$AB$27&amp;" "&amp;Milestones!$AC$27&amp;";  ","")&amp;IF(AND(EDATE($D22,Milestones!$AA$28)&lt;=AsOfDate,IF($Q22=0,$W22,IF(AND($S22&lt;&gt;"",EDATE($D22,Milestones!$AA$28)&gt;=$S22),$V22,IF(AND($R22&lt;&gt;"",EDATE($D22,Milestones!$AA$28)&gt;=$R22),$U22,$T22)))=Milestones!$AB$28),TEXT(EDATE($D22,Milestones!$AA$28),"dd/mm/yy")&amp;" "&amp;Milestones!$AB$28&amp;" "&amp;Milestones!$AC$28&amp;";  ","")&amp;IF(AND(EDATE($D22,Milestones!$AA$29)&lt;=AsOfDate,IF($Q22=0,$W22,IF(AND($S22&lt;&gt;"",EDATE($D22,Milestones!$AA$29)&gt;=$S22),$V22,IF(AND($R22&lt;&gt;"",EDATE($D22,Milestones!$AA$29)&gt;=$R22),$U22,$T22)))=Milestones!$AB$29),TEXT(EDATE($D22,Milestones!$AA$29),"dd/mm/yy")&amp;" "&amp;Milestones!$AB$29&amp;" "&amp;Milestones!$AC$29&amp;";  ","")&amp;IF(AND(EDATE($D22,Milestones!$AA$30)&lt;=AsOfDate,IF($Q22=0,$W22,IF(AND($S22&lt;&gt;"",EDATE($D22,Milestones!$AA$30)&gt;=$S22),$V22,IF(AND($R22&lt;&gt;"",EDATE($D22,Milestones!$AA$30)&gt;=$R22),$U22,$T22)))=Milestones!$AB$30),TEXT(EDATE($D22,Milestones!$AA$30),"dd/mm/yy")&amp;" "&amp;Milestones!$AB$30&amp;" "&amp;Milestones!$AC$30&amp;";  ","")&amp;IF(AND(EDATE($D22,Milestones!$AA$31)&lt;=AsOfDate,IF($Q22=0,$W22,IF(AND($S22&lt;&gt;"",EDATE($D22,Milestones!$AA$31)&gt;=$S22),$V22,IF(AND($R22&lt;&gt;"",EDATE($D22,Milestones!$AA$31)&gt;=$R22),$U22,$T22)))=Milestones!$AB$31),TEXT(EDATE($D22,Milestones!$AA$31),"dd/mm/yy")&amp;" "&amp;Milestones!$AB$31&amp;" "&amp;Milestones!$AC$31&amp;";  ","")&amp;IF(AND(EDATE($D22,Milestones!$AA$32)&lt;=AsOfDate,IF($Q22=0,$W22,IF(AND($S22&lt;&gt;"",EDATE($D22,Milestones!$AA$32)&gt;=$S22),$V22,IF(AND($R22&lt;&gt;"",EDATE($D22,Milestones!$AA$32)&gt;=$R22),$U22,$T22)))=Milestones!$AB$32),TEXT(EDATE($D22,Milestones!$AA$32),"dd/mm/yy")&amp;" "&amp;Milestones!$AB$32&amp;" "&amp;Milestones!$AC$32&amp;";  ","")&amp;IF(AND(EDATE($D22,Milestones!$AA$33)&lt;=AsOfDate,IF($Q22=0,$W22,IF(AND($S22&lt;&gt;"",EDATE($D22,Milestones!$AA$33)&gt;=$S22),$V22,IF(AND($R22&lt;&gt;"",EDATE($D22,Milestones!$AA$33)&gt;=$R22),$U22,$T22)))=Milestones!$AB$33),TEXT(EDATE($D22,Milestones!$AA$33),"dd/mm/yy")&amp;" "&amp;Milestones!$AB$33&amp;" "&amp;Milestones!$AC$33&amp;";  ","")&amp;IF(AND(EDATE($D22,Milestones!$AA$34)&lt;=AsOfDate,IF($Q22=0,$W22,IF(AND($S22&lt;&gt;"",EDATE($D22,Milestones!$AA$34)&gt;=$S22),$V22,IF(AND($R22&lt;&gt;"",EDATE($D22,Milestones!$AA$34)&gt;=$R22),$U22,$T22)))=Milestones!$AB$34),TEXT(EDATE($D22,Milestones!$AA$34),"dd/mm/yy")&amp;" "&amp;Milestones!$AB$34&amp;" "&amp;Milestones!$AC$34&amp;";  ","")&amp;IF(AND(EDATE($D22,Milestones!$AA$35)&lt;=AsOfDate,IF($Q22=0,$W22,IF(AND($S22&lt;&gt;"",EDATE($D22,Milestones!$AA$35)&gt;=$S22),$V22,IF(AND($R22&lt;&gt;"",EDATE($D22,Milestones!$AA$35)&gt;=$R22),$U22,$T22)))=Milestones!$AB$35),TEXT(EDATE($D22,Milestones!$AA$35),"dd/mm/yy")&amp;" "&amp;Milestones!$AB$35&amp;" "&amp;Milestones!$AC$35&amp;";  ","")&amp;IF(AND(EDATE($D22,Milestones!$AA$36)&lt;=AsOfDate,IF($Q22=0,$W22,IF(AND($S22&lt;&gt;"",EDATE($D22,Milestones!$AA$36)&gt;=$S22),$V22,IF(AND($R22&lt;&gt;"",EDATE($D22,Milestones!$AA$36)&gt;=$R22),$U22,$T22)))=Milestones!$AB$36),TEXT(EDATE($D22,Milestones!$AA$36),"dd/mm/yy")&amp;" "&amp;Milestones!$AB$36&amp;" "&amp;Milestones!$AC$36&amp;";  ","")&amp;IF(AND(EDATE($D22,Milestones!$AA$37)&lt;=AsOfDate,IF($Q22=0,$W22,IF(AND($S22&lt;&gt;"",EDATE($D22,Milestones!$AA$37)&gt;=$S22),$V22,IF(AND($R22&lt;&gt;"",EDATE($D22,Milestones!$AA$37)&gt;=$R22),$U22,$T22)))=Milestones!$AB$37),TEXT(EDATE($D22,Milestones!$AA$37),"dd/mm/yy")&amp;" "&amp;Milestones!$AB$37&amp;" "&amp;Milestones!$AC$37&amp;";  ","")&amp;IF(AND(EDATE($D22,Milestones!$AA$38)&lt;=AsOfDate,IF($Q22=0,$W22,IF(AND($S22&lt;&gt;"",EDATE($D22,Milestones!$AA$38)&gt;=$S22),$V22,IF(AND($R22&lt;&gt;"",EDATE($D22,Milestones!$AA$38)&gt;=$R22),$U22,$T22)))=Milestones!$AB$38),TEXT(EDATE($D22,Milestones!$AA$38),"dd/mm/yy")&amp;" "&amp;Milestones!$AB$38&amp;" "&amp;Milestones!$AC$38&amp;";  ","")&amp;IF(AND(EDATE($D22,Milestones!$AA$39)&lt;=AsOfDate,IF($Q22=0,$W22,IF(AND($S22&lt;&gt;"",EDATE($D22,Milestones!$AA$39)&gt;=$S22),$V22,IF(AND($R22&lt;&gt;"",EDATE($D22,Milestones!$AA$39)&gt;=$R22),$U22,$T22)))=Milestones!$AB$39),TEXT(EDATE($D22,Milestones!$AA$39),"dd/mm/yy")&amp;" "&amp;Milestones!$AB$39&amp;" "&amp;Milestones!$AC$39&amp;";  ",""))</f>
        <v/>
      </c>
      <c r="I22" s="0" t="str">
        <f aca="false">IF(OR($A22="",$D22=""),"",IF(AND(EDATE($D22,Milestones!$AA$40)&lt;=AsOfDate,IF($Q22=0,$W22,IF(AND($S22&lt;&gt;"",EDATE($D22,Milestones!$AA$40)&gt;=$S22),$V22,IF(AND($R22&lt;&gt;"",EDATE($D22,Milestones!$AA$40)&gt;=$R22),$U22,$T22)))=Milestones!$AB$40),TEXT(EDATE($D22,Milestones!$AA$40),"dd/mm/yy")&amp;" "&amp;Milestones!$AB$40&amp;" "&amp;Milestones!$AC$40&amp;";  ","")&amp;IF(AND(EDATE($D22,Milestones!$AA$41)&lt;=AsOfDate,IF($Q22=0,$W22,IF(AND($S22&lt;&gt;"",EDATE($D22,Milestones!$AA$41)&gt;=$S22),$V22,IF(AND($R22&lt;&gt;"",EDATE($D22,Milestones!$AA$41)&gt;=$R22),$U22,$T22)))=Milestones!$AB$41),TEXT(EDATE($D22,Milestones!$AA$41),"dd/mm/yy")&amp;" "&amp;Milestones!$AB$41&amp;" "&amp;Milestones!$AC$41&amp;";  ","")&amp;IF(AND(EDATE($D22,Milestones!$AA$42)&lt;=AsOfDate,IF($Q22=0,$W22,IF(AND($S22&lt;&gt;"",EDATE($D22,Milestones!$AA$42)&gt;=$S22),$V22,IF(AND($R22&lt;&gt;"",EDATE($D22,Milestones!$AA$42)&gt;=$R22),$U22,$T22)))=Milestones!$AB$42),TEXT(EDATE($D22,Milestones!$AA$42),"dd/mm/yy")&amp;" "&amp;Milestones!$AB$42&amp;" "&amp;Milestones!$AC$42&amp;";  ","")&amp;IF(AND(EDATE($D22,Milestones!$AA$43)&lt;=AsOfDate,IF($Q22=0,$W22,IF(AND($S22&lt;&gt;"",EDATE($D22,Milestones!$AA$43)&gt;=$S22),$V22,IF(AND($R22&lt;&gt;"",EDATE($D22,Milestones!$AA$43)&gt;=$R22),$U22,$T22)))=Milestones!$AB$43),TEXT(EDATE($D22,Milestones!$AA$43),"dd/mm/yy")&amp;" "&amp;Milestones!$AB$43&amp;" "&amp;Milestones!$AC$43&amp;";  ","")&amp;IF(AND(EDATE($D22,Milestones!$AA$44)&lt;=AsOfDate,IF($Q22=0,$W22,IF(AND($S22&lt;&gt;"",EDATE($D22,Milestones!$AA$44)&gt;=$S22),$V22,IF(AND($R22&lt;&gt;"",EDATE($D22,Milestones!$AA$44)&gt;=$R22),$U22,$T22)))=Milestones!$AB$44),TEXT(EDATE($D22,Milestones!$AA$44),"dd/mm/yy")&amp;" "&amp;Milestones!$AB$44&amp;" "&amp;Milestones!$AC$44&amp;";  ","")&amp;IF(AND(EDATE($D22,Milestones!$AA$45)&lt;=AsOfDate,IF($Q22=0,$W22,IF(AND($S22&lt;&gt;"",EDATE($D22,Milestones!$AA$45)&gt;=$S22),$V22,IF(AND($R22&lt;&gt;"",EDATE($D22,Milestones!$AA$45)&gt;=$R22),$U22,$T22)))=Milestones!$AB$45),TEXT(EDATE($D22,Milestones!$AA$45),"dd/mm/yy")&amp;" "&amp;Milestones!$AB$45&amp;" "&amp;Milestones!$AC$45&amp;";  ","")&amp;IF(AND(EDATE($D22,Milestones!$AA$46)&lt;=AsOfDate,IF($Q22=0,$W22,IF(AND($S22&lt;&gt;"",EDATE($D22,Milestones!$AA$46)&gt;=$S22),$V22,IF(AND($R22&lt;&gt;"",EDATE($D22,Milestones!$AA$46)&gt;=$R22),$U22,$T22)))=Milestones!$AB$46),TEXT(EDATE($D22,Milestones!$AA$46),"dd/mm/yy")&amp;" "&amp;Milestones!$AB$46&amp;" "&amp;Milestones!$AC$46&amp;";  ","")&amp;IF(AND(EDATE($D22,Milestones!$AA$47)&lt;=AsOfDate,IF($Q22=0,$W22,IF(AND($S22&lt;&gt;"",EDATE($D22,Milestones!$AA$47)&gt;=$S22),$V22,IF(AND($R22&lt;&gt;"",EDATE($D22,Milestones!$AA$47)&gt;=$R22),$U22,$T22)))=Milestones!$AB$47),TEXT(EDATE($D22,Milestones!$AA$47),"dd/mm/yy")&amp;" "&amp;Milestones!$AB$47&amp;" "&amp;Milestones!$AC$47&amp;";  ","")&amp;IF(AND(EDATE($D22,Milestones!$AA$48)&lt;=AsOfDate,IF($Q22=0,$W22,IF(AND($S22&lt;&gt;"",EDATE($D22,Milestones!$AA$48)&gt;=$S22),$V22,IF(AND($R22&lt;&gt;"",EDATE($D22,Milestones!$AA$48)&gt;=$R22),$U22,$T22)))=Milestones!$AB$48),TEXT(EDATE($D22,Milestones!$AA$48),"dd/mm/yy")&amp;" "&amp;Milestones!$AB$48&amp;" "&amp;Milestones!$AC$48&amp;";  ","")&amp;IF(AND(EDATE($D22,Milestones!$AA$49)&lt;=AsOfDate,IF($Q22=0,$W22,IF(AND($S22&lt;&gt;"",EDATE($D22,Milestones!$AA$49)&gt;=$S22),$V22,IF(AND($R22&lt;&gt;"",EDATE($D22,Milestones!$AA$49)&gt;=$R22),$U22,$T22)))=Milestones!$AB$49),TEXT(EDATE($D22,Milestones!$AA$49),"dd/mm/yy")&amp;" "&amp;Milestones!$AB$49&amp;" "&amp;Milestones!$AC$49&amp;";  ","")&amp;IF(AND(EDATE($D22,Milestones!$AA$50)&lt;=AsOfDate,IF($Q22=0,$W22,IF(AND($S22&lt;&gt;"",EDATE($D22,Milestones!$AA$50)&gt;=$S22),$V22,IF(AND($R22&lt;&gt;"",EDATE($D22,Milestones!$AA$50)&gt;=$R22),$U22,$T22)))=Milestones!$AB$50),TEXT(EDATE($D22,Milestones!$AA$50),"dd/mm/yy")&amp;" "&amp;Milestones!$AB$50&amp;" "&amp;Milestones!$AC$50&amp;";  ","")&amp;IF(AND(EDATE($D22,Milestones!$AA$51)&lt;=AsOfDate,IF($Q22=0,$W22,IF(AND($S22&lt;&gt;"",EDATE($D22,Milestones!$AA$51)&gt;=$S22),$V22,IF(AND($R22&lt;&gt;"",EDATE($D22,Milestones!$AA$51)&gt;=$R22),$U22,$T22)))=Milestones!$AB$51),TEXT(EDATE($D22,Milestones!$AA$51),"dd/mm/yy")&amp;" "&amp;Milestones!$AB$51&amp;" "&amp;Milestones!$AC$51&amp;";  ","")&amp;IF(AND(EDATE($D22,Milestones!$AA$52)&lt;=AsOfDate,IF($Q22=0,$W22,IF(AND($S22&lt;&gt;"",EDATE($D22,Milestones!$AA$52)&gt;=$S22),$V22,IF(AND($R22&lt;&gt;"",EDATE($D22,Milestones!$AA$52)&gt;=$R22),$U22,$T22)))=Milestones!$AB$52),TEXT(EDATE($D22,Milestones!$AA$52),"dd/mm/yy")&amp;" "&amp;Milestones!$AB$52&amp;" "&amp;Milestones!$AC$52&amp;";  ","")&amp;IF(AND(EDATE($D22,Milestones!$AA$53)&lt;=AsOfDate,IF($Q22=0,$W22,IF(AND($S22&lt;&gt;"",EDATE($D22,Milestones!$AA$53)&gt;=$S22),$V22,IF(AND($R22&lt;&gt;"",EDATE($D22,Milestones!$AA$53)&gt;=$R22),$U22,$T22)))=Milestones!$AB$53),TEXT(EDATE($D22,Milestones!$AA$53),"dd/mm/yy")&amp;" "&amp;Milestones!$AB$53&amp;" "&amp;Milestones!$AC$53&amp;";  ","")&amp;IF(AND(EDATE($D22,Milestones!$AA$54)&lt;=AsOfDate,IF($Q22=0,$W22,IF(AND($S22&lt;&gt;"",EDATE($D22,Milestones!$AA$54)&gt;=$S22),$V22,IF(AND($R22&lt;&gt;"",EDATE($D22,Milestones!$AA$54)&gt;=$R22),$U22,$T22)))=Milestones!$AB$54),TEXT(EDATE($D22,Milestones!$AA$54),"dd/mm/yy")&amp;" "&amp;Milestones!$AB$54&amp;" "&amp;Milestones!$AC$54&amp;";  ","")&amp;IF(AND(EDATE($D22,Milestones!$AA$55)&lt;=AsOfDate,IF($Q22=0,$W22,IF(AND($S22&lt;&gt;"",EDATE($D22,Milestones!$AA$55)&gt;=$S22),$V22,IF(AND($R22&lt;&gt;"",EDATE($D22,Milestones!$AA$55)&gt;=$R22),$U22,$T22)))=Milestones!$AB$55),TEXT(EDATE($D22,Milestones!$AA$55),"dd/mm/yy")&amp;" "&amp;Milestones!$AB$55&amp;" "&amp;Milestones!$AC$55&amp;";  ","")&amp;IF(AND(EDATE($D22,Milestones!$AA$56)&lt;=AsOfDate,IF($Q22=0,$W22,IF(AND($S22&lt;&gt;"",EDATE($D22,Milestones!$AA$56)&gt;=$S22),$V22,IF(AND($R22&lt;&gt;"",EDATE($D22,Milestones!$AA$56)&gt;=$R22),$U22,$T22)))=Milestones!$AB$56),TEXT(EDATE($D22,Milestones!$AA$56),"dd/mm/yy")&amp;" "&amp;Milestones!$AB$56&amp;" "&amp;Milestones!$AC$56&amp;";  ","")&amp;IF(AND(EDATE($D22,Milestones!$AA$57)&lt;=AsOfDate,IF($Q22=0,$W22,IF(AND($S22&lt;&gt;"",EDATE($D22,Milestones!$AA$57)&gt;=$S22),$V22,IF(AND($R22&lt;&gt;"",EDATE($D22,Milestones!$AA$57)&gt;=$R22),$U22,$T22)))=Milestones!$AB$57),TEXT(EDATE($D22,Milestones!$AA$57),"dd/mm/yy")&amp;" "&amp;Milestones!$AB$57&amp;" "&amp;Milestones!$AC$57&amp;";  ","")&amp;IF(AND(EDATE($D22,Milestones!$AA$58)&lt;=AsOfDate,IF($Q22=0,$W22,IF(AND($S22&lt;&gt;"",EDATE($D22,Milestones!$AA$58)&gt;=$S22),$V22,IF(AND($R22&lt;&gt;"",EDATE($D22,Milestones!$AA$58)&gt;=$R22),$U22,$T22)))=Milestones!$AB$58),TEXT(EDATE($D22,Milestones!$AA$58),"dd/mm/yy")&amp;" "&amp;Milestones!$AB$58&amp;" "&amp;Milestones!$AC$58&amp;";  ","")&amp;IF(AND(EDATE($D22,Milestones!$AA$59)&lt;=AsOfDate,IF($Q22=0,$W22,IF(AND($S22&lt;&gt;"",EDATE($D22,Milestones!$AA$59)&gt;=$S22),$V22,IF(AND($R22&lt;&gt;"",EDATE($D22,Milestones!$AA$59)&gt;=$R22),$U22,$T22)))=Milestones!$AB$59),TEXT(EDATE($D22,Milestones!$AA$59),"dd/mm/yy")&amp;" "&amp;Milestones!$AB$59&amp;" "&amp;Milestones!$AC$59&amp;";  ",""))</f>
        <v/>
      </c>
      <c r="J22" s="0" t="str">
        <f aca="false">IF(OR($A22="",$D22=""),"",IF(AND(EDATE($D22,Milestones!$AA$60)&lt;=AsOfDate,IF($Q22=0,$W22,IF(AND($S22&lt;&gt;"",EDATE($D22,Milestones!$AA$60)&gt;=$S22),$V22,IF(AND($R22&lt;&gt;"",EDATE($D22,Milestones!$AA$60)&gt;=$R22),$U22,$T22)))=Milestones!$AB$60),TEXT(EDATE($D22,Milestones!$AA$60),"dd/mm/yy")&amp;" "&amp;Milestones!$AB$60&amp;" "&amp;Milestones!$AC$60&amp;";  ","")&amp;IF(AND(EDATE($D22,Milestones!$AA$61)&lt;=AsOfDate,IF($Q22=0,$W22,IF(AND($S22&lt;&gt;"",EDATE($D22,Milestones!$AA$61)&gt;=$S22),$V22,IF(AND($R22&lt;&gt;"",EDATE($D22,Milestones!$AA$61)&gt;=$R22),$U22,$T22)))=Milestones!$AB$61),TEXT(EDATE($D22,Milestones!$AA$61),"dd/mm/yy")&amp;" "&amp;Milestones!$AB$61&amp;" "&amp;Milestones!$AC$61&amp;";  ","")&amp;IF(AND(EDATE($D22,Milestones!$AA$62)&lt;=AsOfDate,IF($Q22=0,$W22,IF(AND($S22&lt;&gt;"",EDATE($D22,Milestones!$AA$62)&gt;=$S22),$V22,IF(AND($R22&lt;&gt;"",EDATE($D22,Milestones!$AA$62)&gt;=$R22),$U22,$T22)))=Milestones!$AB$62),TEXT(EDATE($D22,Milestones!$AA$62),"dd/mm/yy")&amp;" "&amp;Milestones!$AB$62&amp;" "&amp;Milestones!$AC$62&amp;";  ","")&amp;IF(AND(EDATE($D22,Milestones!$AA$63)&lt;=AsOfDate,IF($Q22=0,$W22,IF(AND($S22&lt;&gt;"",EDATE($D22,Milestones!$AA$63)&gt;=$S22),$V22,IF(AND($R22&lt;&gt;"",EDATE($D22,Milestones!$AA$63)&gt;=$R22),$U22,$T22)))=Milestones!$AB$63),TEXT(EDATE($D22,Milestones!$AA$63),"dd/mm/yy")&amp;" "&amp;Milestones!$AB$63&amp;" "&amp;Milestones!$AC$63&amp;";  ","")&amp;IF(AND(EDATE($D22,Milestones!$AA$64)&lt;=AsOfDate,IF($Q22=0,$W22,IF(AND($S22&lt;&gt;"",EDATE($D22,Milestones!$AA$64)&gt;=$S22),$V22,IF(AND($R22&lt;&gt;"",EDATE($D22,Milestones!$AA$64)&gt;=$R22),$U22,$T22)))=Milestones!$AB$64),TEXT(EDATE($D22,Milestones!$AA$64),"dd/mm/yy")&amp;" "&amp;Milestones!$AB$64&amp;" "&amp;Milestones!$AC$64&amp;";  ","")&amp;IF(AND(EDATE($D22,Milestones!$AA$65)&lt;=AsOfDate,IF($Q22=0,$W22,IF(AND($S22&lt;&gt;"",EDATE($D22,Milestones!$AA$65)&gt;=$S22),$V22,IF(AND($R22&lt;&gt;"",EDATE($D22,Milestones!$AA$65)&gt;=$R22),$U22,$T22)))=Milestones!$AB$65),TEXT(EDATE($D22,Milestones!$AA$65),"dd/mm/yy")&amp;" "&amp;Milestones!$AB$65&amp;" "&amp;Milestones!$AC$65&amp;";  ","")&amp;IF(AND(EDATE($D22,Milestones!$AA$66)&lt;=AsOfDate,IF($Q22=0,$W22,IF(AND($S22&lt;&gt;"",EDATE($D22,Milestones!$AA$66)&gt;=$S22),$V22,IF(AND($R22&lt;&gt;"",EDATE($D22,Milestones!$AA$66)&gt;=$R22),$U22,$T22)))=Milestones!$AB$66),TEXT(EDATE($D22,Milestones!$AA$66),"dd/mm/yy")&amp;" "&amp;Milestones!$AB$66&amp;" "&amp;Milestones!$AC$66&amp;";  ","")&amp;IF(AND(EDATE($D22,Milestones!$AA$67)&lt;=AsOfDate,IF($Q22=0,$W22,IF(AND($S22&lt;&gt;"",EDATE($D22,Milestones!$AA$67)&gt;=$S22),$V22,IF(AND($R22&lt;&gt;"",EDATE($D22,Milestones!$AA$67)&gt;=$R22),$U22,$T22)))=Milestones!$AB$67),TEXT(EDATE($D22,Milestones!$AA$67),"dd/mm/yy")&amp;" "&amp;Milestones!$AB$67&amp;" "&amp;Milestones!$AC$67&amp;";  ","")&amp;IF(AND(EDATE($D22,Milestones!$AA$68)&lt;=AsOfDate,IF($Q22=0,$W22,IF(AND($S22&lt;&gt;"",EDATE($D22,Milestones!$AA$68)&gt;=$S22),$V22,IF(AND($R22&lt;&gt;"",EDATE($D22,Milestones!$AA$68)&gt;=$R22),$U22,$T22)))=Milestones!$AB$68),TEXT(EDATE($D22,Milestones!$AA$68),"dd/mm/yy")&amp;" "&amp;Milestones!$AB$68&amp;" "&amp;Milestones!$AC$68&amp;";  ","")&amp;IF(AND(EDATE($D22,Milestones!$AA$69)&lt;=AsOfDate,IF($Q22=0,$W22,IF(AND($S22&lt;&gt;"",EDATE($D22,Milestones!$AA$69)&gt;=$S22),$V22,IF(AND($R22&lt;&gt;"",EDATE($D22,Milestones!$AA$69)&gt;=$R22),$U22,$T22)))=Milestones!$AB$69),TEXT(EDATE($D22,Milestones!$AA$69),"dd/mm/yy")&amp;" "&amp;Milestones!$AB$69&amp;" "&amp;Milestones!$AC$69&amp;";  ","")&amp;IF(AND(EDATE($D22,Milestones!$AA$70)&lt;=AsOfDate,IF($Q22=0,$W22,IF(AND($S22&lt;&gt;"",EDATE($D22,Milestones!$AA$70)&gt;=$S22),$V22,IF(AND($R22&lt;&gt;"",EDATE($D22,Milestones!$AA$70)&gt;=$R22),$U22,$T22)))=Milestones!$AB$70),TEXT(EDATE($D22,Milestones!$AA$70),"dd/mm/yy")&amp;" "&amp;Milestones!$AB$70&amp;" "&amp;Milestones!$AC$70&amp;";  ","")&amp;IF(AND(EDATE($D22,Milestones!$AA$71)&lt;=AsOfDate,IF($Q22=0,$W22,IF(AND($S22&lt;&gt;"",EDATE($D22,Milestones!$AA$71)&gt;=$S22),$V22,IF(AND($R22&lt;&gt;"",EDATE($D22,Milestones!$AA$71)&gt;=$R22),$U22,$T22)))=Milestones!$AB$71),TEXT(EDATE($D22,Milestones!$AA$71),"dd/mm/yy")&amp;" "&amp;Milestones!$AB$71&amp;" "&amp;Milestones!$AC$71&amp;";  ","")&amp;IF(AND(EDATE($D22,Milestones!$AA$72)&lt;=AsOfDate,IF($Q22=0,$W22,IF(AND($S22&lt;&gt;"",EDATE($D22,Milestones!$AA$72)&gt;=$S22),$V22,IF(AND($R22&lt;&gt;"",EDATE($D22,Milestones!$AA$72)&gt;=$R22),$U22,$T22)))=Milestones!$AB$72),TEXT(EDATE($D22,Milestones!$AA$72),"dd/mm/yy")&amp;" "&amp;Milestones!$AB$72&amp;" "&amp;Milestones!$AC$72&amp;";  ","")&amp;IF(AND(EDATE($D22,Milestones!$AA$73)&lt;=AsOfDate,IF($Q22=0,$W22,IF(AND($S22&lt;&gt;"",EDATE($D22,Milestones!$AA$73)&gt;=$S22),$V22,IF(AND($R22&lt;&gt;"",EDATE($D22,Milestones!$AA$73)&gt;=$R22),$U22,$T22)))=Milestones!$AB$73),TEXT(EDATE($D22,Milestones!$AA$73),"dd/mm/yy")&amp;" "&amp;Milestones!$AB$73&amp;" "&amp;Milestones!$AC$73&amp;";  ","")&amp;IF(AND(EDATE($D22,Milestones!$AA$74)&lt;=AsOfDate,IF($Q22=0,$W22,IF(AND($S22&lt;&gt;"",EDATE($D22,Milestones!$AA$74)&gt;=$S22),$V22,IF(AND($R22&lt;&gt;"",EDATE($D22,Milestones!$AA$74)&gt;=$R22),$U22,$T22)))=Milestones!$AB$74),TEXT(EDATE($D22,Milestones!$AA$74),"dd/mm/yy")&amp;" "&amp;Milestones!$AB$74&amp;" "&amp;Milestones!$AC$74&amp;";  ","")&amp;IF(AND(EDATE($D22,Milestones!$AA$75)&lt;=AsOfDate,IF($Q22=0,$W22,IF(AND($S22&lt;&gt;"",EDATE($D22,Milestones!$AA$75)&gt;=$S22),$V22,IF(AND($R22&lt;&gt;"",EDATE($D22,Milestones!$AA$75)&gt;=$R22),$U22,$T22)))=Milestones!$AB$75),TEXT(EDATE($D22,Milestones!$AA$75),"dd/mm/yy")&amp;" "&amp;Milestones!$AB$75&amp;" "&amp;Milestones!$AC$75&amp;";  ","")&amp;IF(AND(EDATE($D22,Milestones!$AA$76)&lt;=AsOfDate,IF($Q22=0,$W22,IF(AND($S22&lt;&gt;"",EDATE($D22,Milestones!$AA$76)&gt;=$S22),$V22,IF(AND($R22&lt;&gt;"",EDATE($D22,Milestones!$AA$76)&gt;=$R22),$U22,$T22)))=Milestones!$AB$76),TEXT(EDATE($D22,Milestones!$AA$76),"dd/mm/yy")&amp;" "&amp;Milestones!$AB$76&amp;" "&amp;Milestones!$AC$76&amp;";  ","")&amp;IF(AND(EDATE($D22,Milestones!$AA$77)&lt;=AsOfDate,IF($Q22=0,$W22,IF(AND($S22&lt;&gt;"",EDATE($D22,Milestones!$AA$77)&gt;=$S22),$V22,IF(AND($R22&lt;&gt;"",EDATE($D22,Milestones!$AA$77)&gt;=$R22),$U22,$T22)))=Milestones!$AB$77),TEXT(EDATE($D22,Milestones!$AA$77),"dd/mm/yy")&amp;" "&amp;Milestones!$AB$77&amp;" "&amp;Milestones!$AC$77&amp;";  ","")&amp;IF(AND(EDATE($D22,Milestones!$AA$78)&lt;=AsOfDate,IF($Q22=0,$W22,IF(AND($S22&lt;&gt;"",EDATE($D22,Milestones!$AA$78)&gt;=$S22),$V22,IF(AND($R22&lt;&gt;"",EDATE($D22,Milestones!$AA$78)&gt;=$R22),$U22,$T22)))=Milestones!$AB$78),TEXT(EDATE($D22,Milestones!$AA$78),"dd/mm/yy")&amp;" "&amp;Milestones!$AB$78&amp;" "&amp;Milestones!$AC$78&amp;";  ","")&amp;IF(AND(EDATE($D22,Milestones!$AA$79)&lt;=AsOfDate,IF($Q22=0,$W22,IF(AND($S22&lt;&gt;"",EDATE($D22,Milestones!$AA$79)&gt;=$S22),$V22,IF(AND($R22&lt;&gt;"",EDATE($D22,Milestones!$AA$79)&gt;=$R22),$U22,$T22)))=Milestones!$AB$79),TEXT(EDATE($D22,Milestones!$AA$79),"dd/mm/yy")&amp;" "&amp;Milestones!$AB$79&amp;" "&amp;Milestones!$AC$79&amp;";  ",""))</f>
        <v/>
      </c>
      <c r="K22" s="0" t="str">
        <f aca="false">IF(OR($A22="",$D22=""),"",IF(AND(EDATE($D22,Milestones!$AA$80)&lt;=AsOfDate,IF($Q22=0,$W22,IF(AND($S22&lt;&gt;"",EDATE($D22,Milestones!$AA$80)&gt;=$S22),$V22,IF(AND($R22&lt;&gt;"",EDATE($D22,Milestones!$AA$80)&gt;=$R22),$U22,$T22)))=Milestones!$AB$80),TEXT(EDATE($D22,Milestones!$AA$80),"dd/mm/yy")&amp;" "&amp;Milestones!$AB$80&amp;" "&amp;Milestones!$AC$80&amp;";  ","")&amp;IF(AND(EDATE($D22,Milestones!$AA$81)&lt;=AsOfDate,IF($Q22=0,$W22,IF(AND($S22&lt;&gt;"",EDATE($D22,Milestones!$AA$81)&gt;=$S22),$V22,IF(AND($R22&lt;&gt;"",EDATE($D22,Milestones!$AA$81)&gt;=$R22),$U22,$T22)))=Milestones!$AB$81),TEXT(EDATE($D22,Milestones!$AA$81),"dd/mm/yy")&amp;" "&amp;Milestones!$AB$81&amp;" "&amp;Milestones!$AC$81&amp;";  ","")&amp;IF(AND(EDATE($D22,Milestones!$AA$82)&lt;=AsOfDate,IF($Q22=0,$W22,IF(AND($S22&lt;&gt;"",EDATE($D22,Milestones!$AA$82)&gt;=$S22),$V22,IF(AND($R22&lt;&gt;"",EDATE($D22,Milestones!$AA$82)&gt;=$R22),$U22,$T22)))=Milestones!$AB$82),TEXT(EDATE($D22,Milestones!$AA$82),"dd/mm/yy")&amp;" "&amp;Milestones!$AB$82&amp;" "&amp;Milestones!$AC$82&amp;";  ","")&amp;IF(AND(EDATE($D22,Milestones!$AA$83)&lt;=AsOfDate,IF($Q22=0,$W22,IF(AND($S22&lt;&gt;"",EDATE($D22,Milestones!$AA$83)&gt;=$S22),$V22,IF(AND($R22&lt;&gt;"",EDATE($D22,Milestones!$AA$83)&gt;=$R22),$U22,$T22)))=Milestones!$AB$83),TEXT(EDATE($D22,Milestones!$AA$83),"dd/mm/yy")&amp;" "&amp;Milestones!$AB$83&amp;" "&amp;Milestones!$AC$83&amp;";  ","")&amp;IF(AND(EDATE($D22,Milestones!$AA$84)&lt;=AsOfDate,IF($Q22=0,$W22,IF(AND($S22&lt;&gt;"",EDATE($D22,Milestones!$AA$84)&gt;=$S22),$V22,IF(AND($R22&lt;&gt;"",EDATE($D22,Milestones!$AA$84)&gt;=$R22),$U22,$T22)))=Milestones!$AB$84),TEXT(EDATE($D22,Milestones!$AA$84),"dd/mm/yy")&amp;" "&amp;Milestones!$AB$84&amp;" "&amp;Milestones!$AC$84&amp;";  ","")&amp;IF(AND(EDATE($D22,Milestones!$AA$85)&lt;=AsOfDate,IF($Q22=0,$W22,IF(AND($S22&lt;&gt;"",EDATE($D22,Milestones!$AA$85)&gt;=$S22),$V22,IF(AND($R22&lt;&gt;"",EDATE($D22,Milestones!$AA$85)&gt;=$R22),$U22,$T22)))=Milestones!$AB$85),TEXT(EDATE($D22,Milestones!$AA$85),"dd/mm/yy")&amp;" "&amp;Milestones!$AB$85&amp;" "&amp;Milestones!$AC$85&amp;";  ","")&amp;IF(AND(EDATE($D22,Milestones!$AA$86)&lt;=AsOfDate,IF($Q22=0,$W22,IF(AND($S22&lt;&gt;"",EDATE($D22,Milestones!$AA$86)&gt;=$S22),$V22,IF(AND($R22&lt;&gt;"",EDATE($D22,Milestones!$AA$86)&gt;=$R22),$U22,$T22)))=Milestones!$AB$86),TEXT(EDATE($D22,Milestones!$AA$86),"dd/mm/yy")&amp;" "&amp;Milestones!$AB$86&amp;" "&amp;Milestones!$AC$86&amp;";  ","")&amp;IF(AND(EDATE($D22,Milestones!$AA$87)&lt;=AsOfDate,IF($Q22=0,$W22,IF(AND($S22&lt;&gt;"",EDATE($D22,Milestones!$AA$87)&gt;=$S22),$V22,IF(AND($R22&lt;&gt;"",EDATE($D22,Milestones!$AA$87)&gt;=$R22),$U22,$T22)))=Milestones!$AB$87),TEXT(EDATE($D22,Milestones!$AA$87),"dd/mm/yy")&amp;" "&amp;Milestones!$AB$87&amp;" "&amp;Milestones!$AC$87&amp;";  ","")&amp;IF(AND(EDATE($D22,Milestones!$AA$88)&lt;=AsOfDate,IF($Q22=0,$W22,IF(AND($S22&lt;&gt;"",EDATE($D22,Milestones!$AA$88)&gt;=$S22),$V22,IF(AND($R22&lt;&gt;"",EDATE($D22,Milestones!$AA$88)&gt;=$R22),$U22,$T22)))=Milestones!$AB$88),TEXT(EDATE($D22,Milestones!$AA$88),"dd/mm/yy")&amp;" "&amp;Milestones!$AB$88&amp;" "&amp;Milestones!$AC$88&amp;";  ","")&amp;IF(AND(EDATE($D22,Milestones!$AA$89)&lt;=AsOfDate,IF($Q22=0,$W22,IF(AND($S22&lt;&gt;"",EDATE($D22,Milestones!$AA$89)&gt;=$S22),$V22,IF(AND($R22&lt;&gt;"",EDATE($D22,Milestones!$AA$89)&gt;=$R22),$U22,$T22)))=Milestones!$AB$89),TEXT(EDATE($D22,Milestones!$AA$89),"dd/mm/yy")&amp;" "&amp;Milestones!$AB$89&amp;" "&amp;Milestones!$AC$89&amp;";  ","")&amp;IF(AND(EDATE($D22,Milestones!$AA$90)&lt;=AsOfDate,IF($Q22=0,$W22,IF(AND($S22&lt;&gt;"",EDATE($D22,Milestones!$AA$90)&gt;=$S22),$V22,IF(AND($R22&lt;&gt;"",EDATE($D22,Milestones!$AA$90)&gt;=$R22),$U22,$T22)))=Milestones!$AB$90),TEXT(EDATE($D22,Milestones!$AA$90),"dd/mm/yy")&amp;" "&amp;Milestones!$AB$90&amp;" "&amp;Milestones!$AC$90&amp;";  ","")&amp;IF(AND(EDATE($D22,Milestones!$AA$91)&lt;=AsOfDate,IF($Q22=0,$W22,IF(AND($S22&lt;&gt;"",EDATE($D22,Milestones!$AA$91)&gt;=$S22),$V22,IF(AND($R22&lt;&gt;"",EDATE($D22,Milestones!$AA$91)&gt;=$R22),$U22,$T22)))=Milestones!$AB$91),TEXT(EDATE($D22,Milestones!$AA$91),"dd/mm/yy")&amp;" "&amp;Milestones!$AB$91&amp;" "&amp;Milestones!$AC$91&amp;";  ","")&amp;IF(AND(EDATE($D22,Milestones!$AA$92)&lt;=AsOfDate,IF($Q22=0,$W22,IF(AND($S22&lt;&gt;"",EDATE($D22,Milestones!$AA$92)&gt;=$S22),$V22,IF(AND($R22&lt;&gt;"",EDATE($D22,Milestones!$AA$92)&gt;=$R22),$U22,$T22)))=Milestones!$AB$92),TEXT(EDATE($D22,Milestones!$AA$92),"dd/mm/yy")&amp;" "&amp;Milestones!$AB$92&amp;" "&amp;Milestones!$AC$92&amp;";  ","")&amp;IF(AND(EDATE($D22,Milestones!$AA$93)&lt;=AsOfDate,IF($Q22=0,$W22,IF(AND($S22&lt;&gt;"",EDATE($D22,Milestones!$AA$93)&gt;=$S22),$V22,IF(AND($R22&lt;&gt;"",EDATE($D22,Milestones!$AA$93)&gt;=$R22),$U22,$T22)))=Milestones!$AB$93),TEXT(EDATE($D22,Milestones!$AA$93),"dd/mm/yy")&amp;" "&amp;Milestones!$AB$93&amp;" "&amp;Milestones!$AC$93&amp;";  ","")&amp;IF(AND(EDATE($D22,Milestones!$AA$94)&lt;=AsOfDate,IF($Q22=0,$W22,IF(AND($S22&lt;&gt;"",EDATE($D22,Milestones!$AA$94)&gt;=$S22),$V22,IF(AND($R22&lt;&gt;"",EDATE($D22,Milestones!$AA$94)&gt;=$R22),$U22,$T22)))=Milestones!$AB$94),TEXT(EDATE($D22,Milestones!$AA$94),"dd/mm/yy")&amp;" "&amp;Milestones!$AB$94&amp;" "&amp;Milestones!$AC$94&amp;";  ","")&amp;IF(AND(EDATE($D22,Milestones!$AA$95)&lt;=AsOfDate,IF($Q22=0,$W22,IF(AND($S22&lt;&gt;"",EDATE($D22,Milestones!$AA$95)&gt;=$S22),$V22,IF(AND($R22&lt;&gt;"",EDATE($D22,Milestones!$AA$95)&gt;=$R22),$U22,$T22)))=Milestones!$AB$95),TEXT(EDATE($D22,Milestones!$AA$95),"dd/mm/yy")&amp;" "&amp;Milestones!$AB$95&amp;" "&amp;Milestones!$AC$95&amp;";  ","")&amp;IF(AND(EDATE($D22,Milestones!$AA$96)&lt;=AsOfDate,IF($Q22=0,$W22,IF(AND($S22&lt;&gt;"",EDATE($D22,Milestones!$AA$96)&gt;=$S22),$V22,IF(AND($R22&lt;&gt;"",EDATE($D22,Milestones!$AA$96)&gt;=$R22),$U22,$T22)))=Milestones!$AB$96),TEXT(EDATE($D22,Milestones!$AA$96),"dd/mm/yy")&amp;" "&amp;Milestones!$AB$96&amp;" "&amp;Milestones!$AC$96&amp;";  ","")&amp;IF(AND(EDATE($D22,Milestones!$AA$97)&lt;=AsOfDate,IF($Q22=0,$W22,IF(AND($S22&lt;&gt;"",EDATE($D22,Milestones!$AA$97)&gt;=$S22),$V22,IF(AND($R22&lt;&gt;"",EDATE($D22,Milestones!$AA$97)&gt;=$R22),$U22,$T22)))=Milestones!$AB$97),TEXT(EDATE($D22,Milestones!$AA$97),"dd/mm/yy")&amp;" "&amp;Milestones!$AB$97&amp;" "&amp;Milestones!$AC$97&amp;";  ","")&amp;IF(AND(EDATE($D22,Milestones!$AA$98)&lt;=AsOfDate,IF($Q22=0,$W22,IF(AND($S22&lt;&gt;"",EDATE($D22,Milestones!$AA$98)&gt;=$S22),$V22,IF(AND($R22&lt;&gt;"",EDATE($D22,Milestones!$AA$98)&gt;=$R22),$U22,$T22)))=Milestones!$AB$98),TEXT(EDATE($D22,Milestones!$AA$98),"dd/mm/yy")&amp;" "&amp;Milestones!$AB$98&amp;" "&amp;Milestones!$AC$98&amp;";  ","")&amp;IF(AND(EDATE($D22,Milestones!$AA$99)&lt;=AsOfDate,IF($Q22=0,$W22,IF(AND($S22&lt;&gt;"",EDATE($D22,Milestones!$AA$99)&gt;=$S22),$V22,IF(AND($R22&lt;&gt;"",EDATE($D22,Milestones!$AA$99)&gt;=$R22),$U22,$T22)))=Milestones!$AB$99),TEXT(EDATE($D22,Milestones!$AA$99),"dd/mm/yy")&amp;" "&amp;Milestones!$AB$99&amp;" "&amp;Milestones!$AC$99&amp;";  ",""))</f>
        <v/>
      </c>
      <c r="L22" s="0" t="str">
        <f aca="false">IF(OR($A22="",$D22=""),"",IF(AND(EDATE($D22,Milestones!$AA$100)&lt;=AsOfDate,IF($Q22=0,$W22,IF(AND($S22&lt;&gt;"",EDATE($D22,Milestones!$AA$100)&gt;=$S22),$V22,IF(AND($R22&lt;&gt;"",EDATE($D22,Milestones!$AA$100)&gt;=$R22),$U22,$T22)))=Milestones!$AB$100),TEXT(EDATE($D22,Milestones!$AA$100),"dd/mm/yy")&amp;" "&amp;Milestones!$AB$100&amp;" "&amp;Milestones!$AC$100&amp;";  ","")&amp;IF(AND(EDATE($D22,Milestones!$AA$101)&lt;=AsOfDate,IF($Q22=0,$W22,IF(AND($S22&lt;&gt;"",EDATE($D22,Milestones!$AA$101)&gt;=$S22),$V22,IF(AND($R22&lt;&gt;"",EDATE($D22,Milestones!$AA$101)&gt;=$R22),$U22,$T22)))=Milestones!$AB$101),TEXT(EDATE($D22,Milestones!$AA$101),"dd/mm/yy")&amp;" "&amp;Milestones!$AB$101&amp;" "&amp;Milestones!$AC$101&amp;";  ","")&amp;IF(AND(EDATE($D22,Milestones!$AA$102)&lt;=AsOfDate,IF($Q22=0,$W22,IF(AND($S22&lt;&gt;"",EDATE($D22,Milestones!$AA$102)&gt;=$S22),$V22,IF(AND($R22&lt;&gt;"",EDATE($D22,Milestones!$AA$102)&gt;=$R22),$U22,$T22)))=Milestones!$AB$102),TEXT(EDATE($D22,Milestones!$AA$102),"dd/mm/yy")&amp;" "&amp;Milestones!$AB$102&amp;" "&amp;Milestones!$AC$102&amp;";  ","")&amp;IF(AND(EDATE($D22,Milestones!$AA$103)&lt;=AsOfDate,IF($Q22=0,$W22,IF(AND($S22&lt;&gt;"",EDATE($D22,Milestones!$AA$103)&gt;=$S22),$V22,IF(AND($R22&lt;&gt;"",EDATE($D22,Milestones!$AA$103)&gt;=$R22),$U22,$T22)))=Milestones!$AB$103),TEXT(EDATE($D22,Milestones!$AA$103),"dd/mm/yy")&amp;" "&amp;Milestones!$AB$103&amp;" "&amp;Milestones!$AC$103&amp;";  ","")&amp;IF(AND(EDATE($D22,Milestones!$AA$104)&lt;=AsOfDate,IF($Q22=0,$W22,IF(AND($S22&lt;&gt;"",EDATE($D22,Milestones!$AA$104)&gt;=$S22),$V22,IF(AND($R22&lt;&gt;"",EDATE($D22,Milestones!$AA$104)&gt;=$R22),$U22,$T22)))=Milestones!$AB$104),TEXT(EDATE($D22,Milestones!$AA$104),"dd/mm/yy")&amp;" "&amp;Milestones!$AB$104&amp;" "&amp;Milestones!$AC$104&amp;";  ","")&amp;IF(AND(EDATE($D22,Milestones!$AA$105)&lt;=AsOfDate,IF($Q22=0,$W22,IF(AND($S22&lt;&gt;"",EDATE($D22,Milestones!$AA$105)&gt;=$S22),$V22,IF(AND($R22&lt;&gt;"",EDATE($D22,Milestones!$AA$105)&gt;=$R22),$U22,$T22)))=Milestones!$AB$105),TEXT(EDATE($D22,Milestones!$AA$105),"dd/mm/yy")&amp;" "&amp;Milestones!$AB$105&amp;" "&amp;Milestones!$AC$105&amp;";  ","")&amp;IF(AND(EDATE($D22,Milestones!$AA$106)&lt;=AsOfDate,IF($Q22=0,$W22,IF(AND($S22&lt;&gt;"",EDATE($D22,Milestones!$AA$106)&gt;=$S22),$V22,IF(AND($R22&lt;&gt;"",EDATE($D22,Milestones!$AA$106)&gt;=$R22),$U22,$T22)))=Milestones!$AB$106),TEXT(EDATE($D22,Milestones!$AA$106),"dd/mm/yy")&amp;" "&amp;Milestones!$AB$106&amp;" "&amp;Milestones!$AC$106&amp;";  ","")&amp;IF(AND(EDATE($D22,Milestones!$AA$107)&lt;=AsOfDate,IF($Q22=0,$W22,IF(AND($S22&lt;&gt;"",EDATE($D22,Milestones!$AA$107)&gt;=$S22),$V22,IF(AND($R22&lt;&gt;"",EDATE($D22,Milestones!$AA$107)&gt;=$R22),$U22,$T22)))=Milestones!$AB$107),TEXT(EDATE($D22,Milestones!$AA$107),"dd/mm/yy")&amp;" "&amp;Milestones!$AB$107&amp;" "&amp;Milestones!$AC$107&amp;";  ","")&amp;IF(AND(EDATE($D22,Milestones!$AA$108)&lt;=AsOfDate,IF($Q22=0,$W22,IF(AND($S22&lt;&gt;"",EDATE($D22,Milestones!$AA$108)&gt;=$S22),$V22,IF(AND($R22&lt;&gt;"",EDATE($D22,Milestones!$AA$108)&gt;=$R22),$U22,$T22)))=Milestones!$AB$108),TEXT(EDATE($D22,Milestones!$AA$108),"dd/mm/yy")&amp;" "&amp;Milestones!$AB$108&amp;" "&amp;Milestones!$AC$108&amp;";  ","")&amp;IF(AND(EDATE($D22,Milestones!$AA$109)&lt;=AsOfDate,IF($Q22=0,$W22,IF(AND($S22&lt;&gt;"",EDATE($D22,Milestones!$AA$109)&gt;=$S22),$V22,IF(AND($R22&lt;&gt;"",EDATE($D22,Milestones!$AA$109)&gt;=$R22),$U22,$T22)))=Milestones!$AB$109),TEXT(EDATE($D22,Milestones!$AA$109),"dd/mm/yy")&amp;" "&amp;Milestones!$AB$109&amp;" "&amp;Milestones!$AC$109&amp;";  ","")&amp;IF(AND(EDATE($D22,Milestones!$AA$110)&lt;=AsOfDate,IF($Q22=0,$W22,IF(AND($S22&lt;&gt;"",EDATE($D22,Milestones!$AA$110)&gt;=$S22),$V22,IF(AND($R22&lt;&gt;"",EDATE($D22,Milestones!$AA$110)&gt;=$R22),$U22,$T22)))=Milestones!$AB$110),TEXT(EDATE($D22,Milestones!$AA$110),"dd/mm/yy")&amp;" "&amp;Milestones!$AB$110&amp;" "&amp;Milestones!$AC$110&amp;";  ","")&amp;IF(AND(EDATE($D22,Milestones!$AA$111)&lt;=AsOfDate,IF($Q22=0,$W22,IF(AND($S22&lt;&gt;"",EDATE($D22,Milestones!$AA$111)&gt;=$S22),$V22,IF(AND($R22&lt;&gt;"",EDATE($D22,Milestones!$AA$111)&gt;=$R22),$U22,$T22)))=Milestones!$AB$111),TEXT(EDATE($D22,Milestones!$AA$111),"dd/mm/yy")&amp;" "&amp;Milestones!$AB$111&amp;" "&amp;Milestones!$AC$111&amp;";  ","")&amp;IF(AND(EDATE($D22,Milestones!$AA$112)&lt;=AsOfDate,IF($Q22=0,$W22,IF(AND($S22&lt;&gt;"",EDATE($D22,Milestones!$AA$112)&gt;=$S22),$V22,IF(AND($R22&lt;&gt;"",EDATE($D22,Milestones!$AA$112)&gt;=$R22),$U22,$T22)))=Milestones!$AB$112),TEXT(EDATE($D22,Milestones!$AA$112),"dd/mm/yy")&amp;" "&amp;Milestones!$AB$112&amp;" "&amp;Milestones!$AC$112&amp;";  ","")&amp;IF(AND(EDATE($D22,Milestones!$AA$113)&lt;=AsOfDate,IF($Q22=0,$W22,IF(AND($S22&lt;&gt;"",EDATE($D22,Milestones!$AA$113)&gt;=$S22),$V22,IF(AND($R22&lt;&gt;"",EDATE($D22,Milestones!$AA$113)&gt;=$R22),$U22,$T22)))=Milestones!$AB$113),TEXT(EDATE($D22,Milestones!$AA$113),"dd/mm/yy")&amp;" "&amp;Milestones!$AB$113&amp;" "&amp;Milestones!$AC$113&amp;";  ","")&amp;IF(AND(EDATE($D22,Milestones!$AA$114)&lt;=AsOfDate,IF($Q22=0,$W22,IF(AND($S22&lt;&gt;"",EDATE($D22,Milestones!$AA$114)&gt;=$S22),$V22,IF(AND($R22&lt;&gt;"",EDATE($D22,Milestones!$AA$114)&gt;=$R22),$U22,$T22)))=Milestones!$AB$114),TEXT(EDATE($D22,Milestones!$AA$114),"dd/mm/yy")&amp;" "&amp;Milestones!$AB$114&amp;" "&amp;Milestones!$AC$114&amp;";  ","")&amp;IF(AND(EDATE($D22,Milestones!$AA$115)&lt;=AsOfDate,IF($Q22=0,$W22,IF(AND($S22&lt;&gt;"",EDATE($D22,Milestones!$AA$115)&gt;=$S22),$V22,IF(AND($R22&lt;&gt;"",EDATE($D22,Milestones!$AA$115)&gt;=$R22),$U22,$T22)))=Milestones!$AB$115),TEXT(EDATE($D22,Milestones!$AA$115),"dd/mm/yy")&amp;" "&amp;Milestones!$AB$115&amp;" "&amp;Milestones!$AC$115&amp;";  ","")&amp;IF(AND(EDATE($D22,Milestones!$AA$116)&lt;=AsOfDate,IF($Q22=0,$W22,IF(AND($S22&lt;&gt;"",EDATE($D22,Milestones!$AA$116)&gt;=$S22),$V22,IF(AND($R22&lt;&gt;"",EDATE($D22,Milestones!$AA$116)&gt;=$R22),$U22,$T22)))=Milestones!$AB$116),TEXT(EDATE($D22,Milestones!$AA$116),"dd/mm/yy")&amp;" "&amp;Milestones!$AB$116&amp;" "&amp;Milestones!$AC$116&amp;";  ","")&amp;IF(AND(EDATE($D22,Milestones!$AA$117)&lt;=AsOfDate,IF($Q22=0,$W22,IF(AND($S22&lt;&gt;"",EDATE($D22,Milestones!$AA$117)&gt;=$S22),$V22,IF(AND($R22&lt;&gt;"",EDATE($D22,Milestones!$AA$117)&gt;=$R22),$U22,$T22)))=Milestones!$AB$117),TEXT(EDATE($D22,Milestones!$AA$117),"dd/mm/yy")&amp;" "&amp;Milestones!$AB$117&amp;" "&amp;Milestones!$AC$117&amp;";  ","")&amp;IF(AND(EDATE($D22,Milestones!$AA$118)&lt;=AsOfDate,IF($Q22=0,$W22,IF(AND($S22&lt;&gt;"",EDATE($D22,Milestones!$AA$118)&gt;=$S22),$V22,IF(AND($R22&lt;&gt;"",EDATE($D22,Milestones!$AA$118)&gt;=$R22),$U22,$T22)))=Milestones!$AB$118),TEXT(EDATE($D22,Milestones!$AA$118),"dd/mm/yy")&amp;" "&amp;Milestones!$AB$118&amp;" "&amp;Milestones!$AC$118&amp;";  ","")&amp;IF(AND(EDATE($D22,Milestones!$AA$119)&lt;=AsOfDate,IF($Q22=0,$W22,IF(AND($S22&lt;&gt;"",EDATE($D22,Milestones!$AA$119)&gt;=$S22),$V22,IF(AND($R22&lt;&gt;"",EDATE($D22,Milestones!$AA$119)&gt;=$R22),$U22,$T22)))=Milestones!$AB$119),TEXT(EDATE($D22,Milestones!$AA$119),"dd/mm/yy")&amp;" "&amp;Milestones!$AB$119&amp;" "&amp;Milestones!$AC$119&amp;";  ",""))</f>
        <v/>
      </c>
      <c r="M22" s="0" t="str">
        <f aca="false">IF(OR($A22="",$D22=""),"",IF(AND(EDATE($D22,Milestones!$AA$120)&lt;=AsOfDate,IF($Q22=0,$W22,IF(AND($S22&lt;&gt;"",EDATE($D22,Milestones!$AA$120)&gt;=$S22),$V22,IF(AND($R22&lt;&gt;"",EDATE($D22,Milestones!$AA$120)&gt;=$R22),$U22,$T22)))=Milestones!$AB$120),TEXT(EDATE($D22,Milestones!$AA$120),"dd/mm/yy")&amp;" "&amp;Milestones!$AB$120&amp;" "&amp;Milestones!$AC$120&amp;";  ","")&amp;IF(AND(EDATE($D22,Milestones!$AA$121)&lt;=AsOfDate,IF($Q22=0,$W22,IF(AND($S22&lt;&gt;"",EDATE($D22,Milestones!$AA$121)&gt;=$S22),$V22,IF(AND($R22&lt;&gt;"",EDATE($D22,Milestones!$AA$121)&gt;=$R22),$U22,$T22)))=Milestones!$AB$121),TEXT(EDATE($D22,Milestones!$AA$121),"dd/mm/yy")&amp;" "&amp;Milestones!$AB$121&amp;" "&amp;Milestones!$AC$121&amp;";  ","")&amp;IF(AND(EDATE($D22,Milestones!$AA$122)&lt;=AsOfDate,IF($Q22=0,$W22,IF(AND($S22&lt;&gt;"",EDATE($D22,Milestones!$AA$122)&gt;=$S22),$V22,IF(AND($R22&lt;&gt;"",EDATE($D22,Milestones!$AA$122)&gt;=$R22),$U22,$T22)))=Milestones!$AB$122),TEXT(EDATE($D22,Milestones!$AA$122),"dd/mm/yy")&amp;" "&amp;Milestones!$AB$122&amp;" "&amp;Milestones!$AC$122&amp;";  ","")&amp;IF(AND(EDATE($D22,Milestones!$AA$123)&lt;=AsOfDate,IF($Q22=0,$W22,IF(AND($S22&lt;&gt;"",EDATE($D22,Milestones!$AA$123)&gt;=$S22),$V22,IF(AND($R22&lt;&gt;"",EDATE($D22,Milestones!$AA$123)&gt;=$R22),$U22,$T22)))=Milestones!$AB$123),TEXT(EDATE($D22,Milestones!$AA$123),"dd/mm/yy")&amp;" "&amp;Milestones!$AB$123&amp;" "&amp;Milestones!$AC$123&amp;";  ","")&amp;IF(AND(EDATE($D22,Milestones!$AA$124)&lt;=AsOfDate,IF($Q22=0,$W22,IF(AND($S22&lt;&gt;"",EDATE($D22,Milestones!$AA$124)&gt;=$S22),$V22,IF(AND($R22&lt;&gt;"",EDATE($D22,Milestones!$AA$124)&gt;=$R22),$U22,$T22)))=Milestones!$AB$124),TEXT(EDATE($D22,Milestones!$AA$124),"dd/mm/yy")&amp;" "&amp;Milestones!$AB$124&amp;" "&amp;Milestones!$AC$124&amp;";  ","")&amp;IF(AND(EDATE($D22,Milestones!$AA$125)&lt;=AsOfDate,IF($Q22=0,$W22,IF(AND($S22&lt;&gt;"",EDATE($D22,Milestones!$AA$125)&gt;=$S22),$V22,IF(AND($R22&lt;&gt;"",EDATE($D22,Milestones!$AA$125)&gt;=$R22),$U22,$T22)))=Milestones!$AB$125),TEXT(EDATE($D22,Milestones!$AA$125),"dd/mm/yy")&amp;" "&amp;Milestones!$AB$125&amp;" "&amp;Milestones!$AC$125&amp;";  ","")&amp;IF(AND(EDATE($D22,Milestones!$AA$126)&lt;=AsOfDate,IF($Q22=0,$W22,IF(AND($S22&lt;&gt;"",EDATE($D22,Milestones!$AA$126)&gt;=$S22),$V22,IF(AND($R22&lt;&gt;"",EDATE($D22,Milestones!$AA$126)&gt;=$R22),$U22,$T22)))=Milestones!$AB$126),TEXT(EDATE($D22,Milestones!$AA$126),"dd/mm/yy")&amp;" "&amp;Milestones!$AB$126&amp;" "&amp;Milestones!$AC$126&amp;";  ","")&amp;IF(AND(EDATE($D22,Milestones!$AA$127)&lt;=AsOfDate,IF($Q22=0,$W22,IF(AND($S22&lt;&gt;"",EDATE($D22,Milestones!$AA$127)&gt;=$S22),$V22,IF(AND($R22&lt;&gt;"",EDATE($D22,Milestones!$AA$127)&gt;=$R22),$U22,$T22)))=Milestones!$AB$127),TEXT(EDATE($D22,Milestones!$AA$127),"dd/mm/yy")&amp;" "&amp;Milestones!$AB$127&amp;" "&amp;Milestones!$AC$127&amp;";  ","")&amp;IF(AND(EDATE($D22,Milestones!$AA$128)&lt;=AsOfDate,IF($Q22=0,$W22,IF(AND($S22&lt;&gt;"",EDATE($D22,Milestones!$AA$128)&gt;=$S22),$V22,IF(AND($R22&lt;&gt;"",EDATE($D22,Milestones!$AA$128)&gt;=$R22),$U22,$T22)))=Milestones!$AB$128),TEXT(EDATE($D22,Milestones!$AA$128),"dd/mm/yy")&amp;" "&amp;Milestones!$AB$128&amp;" "&amp;Milestones!$AC$128&amp;";  ","")&amp;IF(AND(EDATE($D22,Milestones!$AA$129)&lt;=AsOfDate,IF($Q22=0,$W22,IF(AND($S22&lt;&gt;"",EDATE($D22,Milestones!$AA$129)&gt;=$S22),$V22,IF(AND($R22&lt;&gt;"",EDATE($D22,Milestones!$AA$129)&gt;=$R22),$U22,$T22)))=Milestones!$AB$129),TEXT(EDATE($D22,Milestones!$AA$129),"dd/mm/yy")&amp;" "&amp;Milestones!$AB$129&amp;" "&amp;Milestones!$AC$129&amp;";  ","")&amp;IF(AND(EDATE($D22,Milestones!$AA$130)&lt;=AsOfDate,IF($Q22=0,$W22,IF(AND($S22&lt;&gt;"",EDATE($D22,Milestones!$AA$130)&gt;=$S22),$V22,IF(AND($R22&lt;&gt;"",EDATE($D22,Milestones!$AA$130)&gt;=$R22),$U22,$T22)))=Milestones!$AB$130),TEXT(EDATE($D22,Milestones!$AA$130),"dd/mm/yy")&amp;" "&amp;Milestones!$AB$130&amp;" "&amp;Milestones!$AC$130&amp;";  ","")&amp;IF(AND(EDATE($D22,Milestones!$AA$131)&lt;=AsOfDate,IF($Q22=0,$W22,IF(AND($S22&lt;&gt;"",EDATE($D22,Milestones!$AA$131)&gt;=$S22),$V22,IF(AND($R22&lt;&gt;"",EDATE($D22,Milestones!$AA$131)&gt;=$R22),$U22,$T22)))=Milestones!$AB$131),TEXT(EDATE($D22,Milestones!$AA$131),"dd/mm/yy")&amp;" "&amp;Milestones!$AB$131&amp;" "&amp;Milestones!$AC$131&amp;";  ","")&amp;IF(AND(EDATE($D22,Milestones!$AA$132)&lt;=AsOfDate,IF($Q22=0,$W22,IF(AND($S22&lt;&gt;"",EDATE($D22,Milestones!$AA$132)&gt;=$S22),$V22,IF(AND($R22&lt;&gt;"",EDATE($D22,Milestones!$AA$132)&gt;=$R22),$U22,$T22)))=Milestones!$AB$132),TEXT(EDATE($D22,Milestones!$AA$132),"dd/mm/yy")&amp;" "&amp;Milestones!$AB$132&amp;" "&amp;Milestones!$AC$132&amp;";  ","")&amp;IF(AND(EDATE($D22,Milestones!$AA$133)&lt;=AsOfDate,IF($Q22=0,$W22,IF(AND($S22&lt;&gt;"",EDATE($D22,Milestones!$AA$133)&gt;=$S22),$V22,IF(AND($R22&lt;&gt;"",EDATE($D22,Milestones!$AA$133)&gt;=$R22),$U22,$T22)))=Milestones!$AB$133),TEXT(EDATE($D22,Milestones!$AA$133),"dd/mm/yy")&amp;" "&amp;Milestones!$AB$133&amp;" "&amp;Milestones!$AC$133&amp;";  ","")&amp;IF(AND(EDATE($D22,Milestones!$AA$134)&lt;=AsOfDate,IF($Q22=0,$W22,IF(AND($S22&lt;&gt;"",EDATE($D22,Milestones!$AA$134)&gt;=$S22),$V22,IF(AND($R22&lt;&gt;"",EDATE($D22,Milestones!$AA$134)&gt;=$R22),$U22,$T22)))=Milestones!$AB$134),TEXT(EDATE($D22,Milestones!$AA$134),"dd/mm/yy")&amp;" "&amp;Milestones!$AB$134&amp;" "&amp;Milestones!$AC$134&amp;";  ","")&amp;IF(AND(EDATE($D22,Milestones!$AA$135)&lt;=AsOfDate,IF($Q22=0,$W22,IF(AND($S22&lt;&gt;"",EDATE($D22,Milestones!$AA$135)&gt;=$S22),$V22,IF(AND($R22&lt;&gt;"",EDATE($D22,Milestones!$AA$135)&gt;=$R22),$U22,$T22)))=Milestones!$AB$135),TEXT(EDATE($D22,Milestones!$AA$135),"dd/mm/yy")&amp;" "&amp;Milestones!$AB$135&amp;" "&amp;Milestones!$AC$135&amp;";  ","")&amp;IF(AND(EDATE($D22,Milestones!$AA$136)&lt;=AsOfDate,IF($Q22=0,$W22,IF(AND($S22&lt;&gt;"",EDATE($D22,Milestones!$AA$136)&gt;=$S22),$V22,IF(AND($R22&lt;&gt;"",EDATE($D22,Milestones!$AA$136)&gt;=$R22),$U22,$T22)))=Milestones!$AB$136),TEXT(EDATE($D22,Milestones!$AA$136),"dd/mm/yy")&amp;" "&amp;Milestones!$AB$136&amp;" "&amp;Milestones!$AC$136&amp;";  ","")&amp;IF(AND(EDATE($D22,Milestones!$AA$137)&lt;=AsOfDate,IF($Q22=0,$W22,IF(AND($S22&lt;&gt;"",EDATE($D22,Milestones!$AA$137)&gt;=$S22),$V22,IF(AND($R22&lt;&gt;"",EDATE($D22,Milestones!$AA$137)&gt;=$R22),$U22,$T22)))=Milestones!$AB$137),TEXT(EDATE($D22,Milestones!$AA$137),"dd/mm/yy")&amp;" "&amp;Milestones!$AB$137&amp;" "&amp;Milestones!$AC$137&amp;";  ","")&amp;IF(AND(EDATE($D22,Milestones!$AA$138)&lt;=AsOfDate,IF($Q22=0,$W22,IF(AND($S22&lt;&gt;"",EDATE($D22,Milestones!$AA$138)&gt;=$S22),$V22,IF(AND($R22&lt;&gt;"",EDATE($D22,Milestones!$AA$138)&gt;=$R22),$U22,$T22)))=Milestones!$AB$138),TEXT(EDATE($D22,Milestones!$AA$138),"dd/mm/yy")&amp;" "&amp;Milestones!$AB$138&amp;" "&amp;Milestones!$AC$138&amp;";  ","")&amp;IF(AND(EDATE($D22,Milestones!$AA$139)&lt;=AsOfDate,IF($Q22=0,$W22,IF(AND($S22&lt;&gt;"",EDATE($D22,Milestones!$AA$139)&gt;=$S22),$V22,IF(AND($R22&lt;&gt;"",EDATE($D22,Milestones!$AA$139)&gt;=$R22),$U22,$T22)))=Milestones!$AB$139),TEXT(EDATE($D22,Milestones!$AA$139),"dd/mm/yy")&amp;" "&amp;Milestones!$AB$139&amp;" "&amp;Milestones!$AC$139&amp;";  ",""))</f>
        <v/>
      </c>
      <c r="N22" s="0" t="str">
        <f aca="false">IF(OR($A22="",$D22=""),"",IF(AND(EDATE($D22,Milestones!$AA$140)&lt;=AsOfDate,IF($Q22=0,$W22,IF(AND($S22&lt;&gt;"",EDATE($D22,Milestones!$AA$140)&gt;=$S22),$V22,IF(AND($R22&lt;&gt;"",EDATE($D22,Milestones!$AA$140)&gt;=$R22),$U22,$T22)))=Milestones!$AB$140),TEXT(EDATE($D22,Milestones!$AA$140),"dd/mm/yy")&amp;" "&amp;Milestones!$AB$140&amp;" "&amp;Milestones!$AC$140&amp;";  ","")&amp;IF(AND(EDATE($D22,Milestones!$AA$141)&lt;=AsOfDate,IF($Q22=0,$W22,IF(AND($S22&lt;&gt;"",EDATE($D22,Milestones!$AA$141)&gt;=$S22),$V22,IF(AND($R22&lt;&gt;"",EDATE($D22,Milestones!$AA$141)&gt;=$R22),$U22,$T22)))=Milestones!$AB$141),TEXT(EDATE($D22,Milestones!$AA$141),"dd/mm/yy")&amp;" "&amp;Milestones!$AB$141&amp;" "&amp;Milestones!$AC$141&amp;";  ","")&amp;IF(AND(EDATE($D22,Milestones!$AA$142)&lt;=AsOfDate,IF($Q22=0,$W22,IF(AND($S22&lt;&gt;"",EDATE($D22,Milestones!$AA$142)&gt;=$S22),$V22,IF(AND($R22&lt;&gt;"",EDATE($D22,Milestones!$AA$142)&gt;=$R22),$U22,$T22)))=Milestones!$AB$142),TEXT(EDATE($D22,Milestones!$AA$142),"dd/mm/yy")&amp;" "&amp;Milestones!$AB$142&amp;" "&amp;Milestones!$AC$142&amp;";  ","")&amp;IF(AND(EDATE($D22,Milestones!$AA$143)&lt;=AsOfDate,IF($Q22=0,$W22,IF(AND($S22&lt;&gt;"",EDATE($D22,Milestones!$AA$143)&gt;=$S22),$V22,IF(AND($R22&lt;&gt;"",EDATE($D22,Milestones!$AA$143)&gt;=$R22),$U22,$T22)))=Milestones!$AB$143),TEXT(EDATE($D22,Milestones!$AA$143),"dd/mm/yy")&amp;" "&amp;Milestones!$AB$143&amp;" "&amp;Milestones!$AC$143&amp;";  ","")&amp;IF(AND(EDATE($D22,Milestones!$AA$144)&lt;=AsOfDate,IF($Q22=0,$W22,IF(AND($S22&lt;&gt;"",EDATE($D22,Milestones!$AA$144)&gt;=$S22),$V22,IF(AND($R22&lt;&gt;"",EDATE($D22,Milestones!$AA$144)&gt;=$R22),$U22,$T22)))=Milestones!$AB$144),TEXT(EDATE($D22,Milestones!$AA$144),"dd/mm/yy")&amp;" "&amp;Milestones!$AB$144&amp;" "&amp;Milestones!$AC$144&amp;";  ","")&amp;IF(AND(EDATE($D22,Milestones!$AA$145)&lt;=AsOfDate,IF($Q22=0,$W22,IF(AND($S22&lt;&gt;"",EDATE($D22,Milestones!$AA$145)&gt;=$S22),$V22,IF(AND($R22&lt;&gt;"",EDATE($D22,Milestones!$AA$145)&gt;=$R22),$U22,$T22)))=Milestones!$AB$145),TEXT(EDATE($D22,Milestones!$AA$145),"dd/mm/yy")&amp;" "&amp;Milestones!$AB$145&amp;" "&amp;Milestones!$AC$145&amp;";  ","")&amp;IF(AND(EDATE($D22,Milestones!$AA$146)&lt;=AsOfDate,IF($Q22=0,$W22,IF(AND($S22&lt;&gt;"",EDATE($D22,Milestones!$AA$146)&gt;=$S22),$V22,IF(AND($R22&lt;&gt;"",EDATE($D22,Milestones!$AA$146)&gt;=$R22),$U22,$T22)))=Milestones!$AB$146),TEXT(EDATE($D22,Milestones!$AA$146),"dd/mm/yy")&amp;" "&amp;Milestones!$AB$146&amp;" "&amp;Milestones!$AC$146&amp;";  ","")&amp;IF(AND(EDATE($D22,Milestones!$AA$147)&lt;=AsOfDate,IF($Q22=0,$W22,IF(AND($S22&lt;&gt;"",EDATE($D22,Milestones!$AA$147)&gt;=$S22),$V22,IF(AND($R22&lt;&gt;"",EDATE($D22,Milestones!$AA$147)&gt;=$R22),$U22,$T22)))=Milestones!$AB$147),TEXT(EDATE($D22,Milestones!$AA$147),"dd/mm/yy")&amp;" "&amp;Milestones!$AB$147&amp;" "&amp;Milestones!$AC$147&amp;";  ","")&amp;IF(AND(EDATE($D22,Milestones!$AA$148)&lt;=AsOfDate,IF($Q22=0,$W22,IF(AND($S22&lt;&gt;"",EDATE($D22,Milestones!$AA$148)&gt;=$S22),$V22,IF(AND($R22&lt;&gt;"",EDATE($D22,Milestones!$AA$148)&gt;=$R22),$U22,$T22)))=Milestones!$AB$148),TEXT(EDATE($D22,Milestones!$AA$148),"dd/mm/yy")&amp;" "&amp;Milestones!$AB$148&amp;" "&amp;Milestones!$AC$148&amp;";  ","")&amp;IF(AND(EDATE($D22,Milestones!$AA$149)&lt;=AsOfDate,IF($Q22=0,$W22,IF(AND($S22&lt;&gt;"",EDATE($D22,Milestones!$AA$149)&gt;=$S22),$V22,IF(AND($R22&lt;&gt;"",EDATE($D22,Milestones!$AA$149)&gt;=$R22),$U22,$T22)))=Milestones!$AB$149),TEXT(EDATE($D22,Milestones!$AA$149),"dd/mm/yy")&amp;" "&amp;Milestones!$AB$149&amp;" "&amp;Milestones!$AC$149&amp;";  ","")&amp;IF(AND(EDATE($D22,Milestones!$AA$150)&lt;=AsOfDate,IF($Q22=0,$W22,IF(AND($S22&lt;&gt;"",EDATE($D22,Milestones!$AA$150)&gt;=$S22),$V22,IF(AND($R22&lt;&gt;"",EDATE($D22,Milestones!$AA$150)&gt;=$R22),$U22,$T22)))=Milestones!$AB$150),TEXT(EDATE($D22,Milestones!$AA$150),"dd/mm/yy")&amp;" "&amp;Milestones!$AB$150&amp;" "&amp;Milestones!$AC$150&amp;";  ","")&amp;IF(AND(EDATE($D22,Milestones!$AA$151)&lt;=AsOfDate,IF($Q22=0,$W22,IF(AND($S22&lt;&gt;"",EDATE($D22,Milestones!$AA$151)&gt;=$S22),$V22,IF(AND($R22&lt;&gt;"",EDATE($D22,Milestones!$AA$151)&gt;=$R22),$U22,$T22)))=Milestones!$AB$151),TEXT(EDATE($D22,Milestones!$AA$151),"dd/mm/yy")&amp;" "&amp;Milestones!$AB$151&amp;" "&amp;Milestones!$AC$151&amp;";  ","")&amp;IF(AND(EDATE($D22,Milestones!$AA$152)&lt;=AsOfDate,IF($Q22=0,$W22,IF(AND($S22&lt;&gt;"",EDATE($D22,Milestones!$AA$152)&gt;=$S22),$V22,IF(AND($R22&lt;&gt;"",EDATE($D22,Milestones!$AA$152)&gt;=$R22),$U22,$T22)))=Milestones!$AB$152),TEXT(EDATE($D22,Milestones!$AA$152),"dd/mm/yy")&amp;" "&amp;Milestones!$AB$152&amp;" "&amp;Milestones!$AC$152&amp;";  ","")&amp;IF(AND(EDATE($D22,Milestones!$AA$153)&lt;=AsOfDate,IF($Q22=0,$W22,IF(AND($S22&lt;&gt;"",EDATE($D22,Milestones!$AA$153)&gt;=$S22),$V22,IF(AND($R22&lt;&gt;"",EDATE($D22,Milestones!$AA$153)&gt;=$R22),$U22,$T22)))=Milestones!$AB$153),TEXT(EDATE($D22,Milestones!$AA$153),"dd/mm/yy")&amp;" "&amp;Milestones!$AB$153&amp;" "&amp;Milestones!$AC$153&amp;";  ","")&amp;IF(AND(EDATE($D22,Milestones!$AA$154)&lt;=AsOfDate,IF($Q22=0,$W22,IF(AND($S22&lt;&gt;"",EDATE($D22,Milestones!$AA$154)&gt;=$S22),$V22,IF(AND($R22&lt;&gt;"",EDATE($D22,Milestones!$AA$154)&gt;=$R22),$U22,$T22)))=Milestones!$AB$154),TEXT(EDATE($D22,Milestones!$AA$154),"dd/mm/yy")&amp;" "&amp;Milestones!$AB$154&amp;" "&amp;Milestones!$AC$154&amp;";  ","")&amp;IF(AND(EDATE($D22,Milestones!$AA$155)&lt;=AsOfDate,IF($Q22=0,$W22,IF(AND($S22&lt;&gt;"",EDATE($D22,Milestones!$AA$155)&gt;=$S22),$V22,IF(AND($R22&lt;&gt;"",EDATE($D22,Milestones!$AA$155)&gt;=$R22),$U22,$T22)))=Milestones!$AB$155),TEXT(EDATE($D22,Milestones!$AA$155),"dd/mm/yy")&amp;" "&amp;Milestones!$AB$155&amp;" "&amp;Milestones!$AC$155&amp;";  ","")&amp;IF(AND(EDATE($D22,Milestones!$AA$156)&lt;=AsOfDate,IF($Q22=0,$W22,IF(AND($S22&lt;&gt;"",EDATE($D22,Milestones!$AA$156)&gt;=$S22),$V22,IF(AND($R22&lt;&gt;"",EDATE($D22,Milestones!$AA$156)&gt;=$R22),$U22,$T22)))=Milestones!$AB$156),TEXT(EDATE($D22,Milestones!$AA$156),"dd/mm/yy")&amp;" "&amp;Milestones!$AB$156&amp;" "&amp;Milestones!$AC$156&amp;";  ","")&amp;IF(AND(EDATE($D22,Milestones!$AA$157)&lt;=AsOfDate,IF($Q22=0,$W22,IF(AND($S22&lt;&gt;"",EDATE($D22,Milestones!$AA$157)&gt;=$S22),$V22,IF(AND($R22&lt;&gt;"",EDATE($D22,Milestones!$AA$157)&gt;=$R22),$U22,$T22)))=Milestones!$AB$157),TEXT(EDATE($D22,Milestones!$AA$157),"dd/mm/yy")&amp;" "&amp;Milestones!$AB$157&amp;" "&amp;Milestones!$AC$157&amp;";  ","")&amp;IF(AND(EDATE($D22,Milestones!$AA$158)&lt;=AsOfDate,IF($Q22=0,$W22,IF(AND($S22&lt;&gt;"",EDATE($D22,Milestones!$AA$158)&gt;=$S22),$V22,IF(AND($R22&lt;&gt;"",EDATE($D22,Milestones!$AA$158)&gt;=$R22),$U22,$T22)))=Milestones!$AB$158),TEXT(EDATE($D22,Milestones!$AA$158),"dd/mm/yy")&amp;" "&amp;Milestones!$AB$158&amp;" "&amp;Milestones!$AC$158&amp;";  ","")&amp;IF(AND(EDATE($D22,Milestones!$AA$159)&lt;=AsOfDate,IF($Q22=0,$W22,IF(AND($S22&lt;&gt;"",EDATE($D22,Milestones!$AA$159)&gt;=$S22),$V22,IF(AND($R22&lt;&gt;"",EDATE($D22,Milestones!$AA$159)&gt;=$R22),$U22,$T22)))=Milestones!$AB$159),TEXT(EDATE($D22,Milestones!$AA$159),"dd/mm/yy")&amp;" "&amp;Milestones!$AB$159&amp;" "&amp;Milestones!$AC$159&amp;";  ",""))</f>
        <v/>
      </c>
      <c r="O22" s="0" t="str">
        <f aca="false">IF(OR($A22="",$D22=""),"",IF(AND(EDATE($D22,Milestones!$AA$160)&lt;=AsOfDate,IF($Q22=0,$W22,IF(AND($S22&lt;&gt;"",EDATE($D22,Milestones!$AA$160)&gt;=$S22),$V22,IF(AND($R22&lt;&gt;"",EDATE($D22,Milestones!$AA$160)&gt;=$R22),$U22,$T22)))=Milestones!$AB$160),TEXT(EDATE($D22,Milestones!$AA$160),"dd/mm/yy")&amp;" "&amp;Milestones!$AB$160&amp;" "&amp;Milestones!$AC$160&amp;";  ","")&amp;IF(AND(EDATE($D22,Milestones!$AA$161)&lt;=AsOfDate,IF($Q22=0,$W22,IF(AND($S22&lt;&gt;"",EDATE($D22,Milestones!$AA$161)&gt;=$S22),$V22,IF(AND($R22&lt;&gt;"",EDATE($D22,Milestones!$AA$161)&gt;=$R22),$U22,$T22)))=Milestones!$AB$161),TEXT(EDATE($D22,Milestones!$AA$161),"dd/mm/yy")&amp;" "&amp;Milestones!$AB$161&amp;" "&amp;Milestones!$AC$161&amp;";  ","")&amp;IF(AND(EDATE($D22,Milestones!$AA$162)&lt;=AsOfDate,IF($Q22=0,$W22,IF(AND($S22&lt;&gt;"",EDATE($D22,Milestones!$AA$162)&gt;=$S22),$V22,IF(AND($R22&lt;&gt;"",EDATE($D22,Milestones!$AA$162)&gt;=$R22),$U22,$T22)))=Milestones!$AB$162),TEXT(EDATE($D22,Milestones!$AA$162),"dd/mm/yy")&amp;" "&amp;Milestones!$AB$162&amp;" "&amp;Milestones!$AC$162&amp;";  ","")&amp;IF(AND(EDATE($D22,Milestones!$AA$163)&lt;=AsOfDate,IF($Q22=0,$W22,IF(AND($S22&lt;&gt;"",EDATE($D22,Milestones!$AA$163)&gt;=$S22),$V22,IF(AND($R22&lt;&gt;"",EDATE($D22,Milestones!$AA$163)&gt;=$R22),$U22,$T22)))=Milestones!$AB$163),TEXT(EDATE($D22,Milestones!$AA$163),"dd/mm/yy")&amp;" "&amp;Milestones!$AB$163&amp;" "&amp;Milestones!$AC$163&amp;";  ","")&amp;IF(AND(EDATE($D22,Milestones!$AA$164)&lt;=AsOfDate,IF($Q22=0,$W22,IF(AND($S22&lt;&gt;"",EDATE($D22,Milestones!$AA$164)&gt;=$S22),$V22,IF(AND($R22&lt;&gt;"",EDATE($D22,Milestones!$AA$164)&gt;=$R22),$U22,$T22)))=Milestones!$AB$164),TEXT(EDATE($D22,Milestones!$AA$164),"dd/mm/yy")&amp;" "&amp;Milestones!$AB$164&amp;" "&amp;Milestones!$AC$164&amp;";  ","")&amp;IF(AND(EDATE($D22,Milestones!$AA$165)&lt;=AsOfDate,IF($Q22=0,$W22,IF(AND($S22&lt;&gt;"",EDATE($D22,Milestones!$AA$165)&gt;=$S22),$V22,IF(AND($R22&lt;&gt;"",EDATE($D22,Milestones!$AA$165)&gt;=$R22),$U22,$T22)))=Milestones!$AB$165),TEXT(EDATE($D22,Milestones!$AA$165),"dd/mm/yy")&amp;" "&amp;Milestones!$AB$165&amp;" "&amp;Milestones!$AC$165&amp;";  ","")&amp;IF(AND(EDATE($D22,Milestones!$AA$166)&lt;=AsOfDate,IF($Q22=0,$W22,IF(AND($S22&lt;&gt;"",EDATE($D22,Milestones!$AA$166)&gt;=$S22),$V22,IF(AND($R22&lt;&gt;"",EDATE($D22,Milestones!$AA$166)&gt;=$R22),$U22,$T22)))=Milestones!$AB$166),TEXT(EDATE($D22,Milestones!$AA$166),"dd/mm/yy")&amp;" "&amp;Milestones!$AB$166&amp;" "&amp;Milestones!$AC$166&amp;";  ","")&amp;IF(AND(EDATE($D22,Milestones!$AA$167)&lt;=AsOfDate,IF($Q22=0,$W22,IF(AND($S22&lt;&gt;"",EDATE($D22,Milestones!$AA$167)&gt;=$S22),$V22,IF(AND($R22&lt;&gt;"",EDATE($D22,Milestones!$AA$167)&gt;=$R22),$U22,$T22)))=Milestones!$AB$167),TEXT(EDATE($D22,Milestones!$AA$167),"dd/mm/yy")&amp;" "&amp;Milestones!$AB$167&amp;" "&amp;Milestones!$AC$167&amp;";  ","")&amp;IF(AND(EDATE($D22,Milestones!$AA$168)&lt;=AsOfDate,IF($Q22=0,$W22,IF(AND($S22&lt;&gt;"",EDATE($D22,Milestones!$AA$168)&gt;=$S22),$V22,IF(AND($R22&lt;&gt;"",EDATE($D22,Milestones!$AA$168)&gt;=$R22),$U22,$T22)))=Milestones!$AB$168),TEXT(EDATE($D22,Milestones!$AA$168),"dd/mm/yy")&amp;" "&amp;Milestones!$AB$168&amp;" "&amp;Milestones!$AC$168&amp;";  ","")&amp;IF(AND(EDATE($D22,Milestones!$AA$169)&lt;=AsOfDate,IF($Q22=0,$W22,IF(AND($S22&lt;&gt;"",EDATE($D22,Milestones!$AA$169)&gt;=$S22),$V22,IF(AND($R22&lt;&gt;"",EDATE($D22,Milestones!$AA$169)&gt;=$R22),$U22,$T22)))=Milestones!$AB$169),TEXT(EDATE($D22,Milestones!$AA$169),"dd/mm/yy")&amp;" "&amp;Milestones!$AB$169&amp;" "&amp;Milestones!$AC$169&amp;";  ","")&amp;IF(AND(EDATE($D22,Milestones!$AA$170)&lt;=AsOfDate,IF($Q22=0,$W22,IF(AND($S22&lt;&gt;"",EDATE($D22,Milestones!$AA$170)&gt;=$S22),$V22,IF(AND($R22&lt;&gt;"",EDATE($D22,Milestones!$AA$170)&gt;=$R22),$U22,$T22)))=Milestones!$AB$170),TEXT(EDATE($D22,Milestones!$AA$170),"dd/mm/yy")&amp;" "&amp;Milestones!$AB$170&amp;" "&amp;Milestones!$AC$170&amp;";  ","")&amp;IF(AND(EDATE($D22,Milestones!$AA$171)&lt;=AsOfDate,IF($Q22=0,$W22,IF(AND($S22&lt;&gt;"",EDATE($D22,Milestones!$AA$171)&gt;=$S22),$V22,IF(AND($R22&lt;&gt;"",EDATE($D22,Milestones!$AA$171)&gt;=$R22),$U22,$T22)))=Milestones!$AB$171),TEXT(EDATE($D22,Milestones!$AA$171),"dd/mm/yy")&amp;" "&amp;Milestones!$AB$171&amp;" "&amp;Milestones!$AC$171&amp;";  ","")&amp;IF(AND(EDATE($D22,Milestones!$AA$172)&lt;=AsOfDate,IF($Q22=0,$W22,IF(AND($S22&lt;&gt;"",EDATE($D22,Milestones!$AA$172)&gt;=$S22),$V22,IF(AND($R22&lt;&gt;"",EDATE($D22,Milestones!$AA$172)&gt;=$R22),$U22,$T22)))=Milestones!$AB$172),TEXT(EDATE($D22,Milestones!$AA$172),"dd/mm/yy")&amp;" "&amp;Milestones!$AB$172&amp;" "&amp;Milestones!$AC$172&amp;";  ","")&amp;IF(AND(EDATE($D22,Milestones!$AA$173)&lt;=AsOfDate,IF($Q22=0,$W22,IF(AND($S22&lt;&gt;"",EDATE($D22,Milestones!$AA$173)&gt;=$S22),$V22,IF(AND($R22&lt;&gt;"",EDATE($D22,Milestones!$AA$173)&gt;=$R22),$U22,$T22)))=Milestones!$AB$173),TEXT(EDATE($D22,Milestones!$AA$173),"dd/mm/yy")&amp;" "&amp;Milestones!$AB$173&amp;" "&amp;Milestones!$AC$173&amp;";  ","")&amp;IF(AND(EDATE($D22,Milestones!$AA$174)&lt;=AsOfDate,IF($Q22=0,$W22,IF(AND($S22&lt;&gt;"",EDATE($D22,Milestones!$AA$174)&gt;=$S22),$V22,IF(AND($R22&lt;&gt;"",EDATE($D22,Milestones!$AA$174)&gt;=$R22),$U22,$T22)))=Milestones!$AB$174),TEXT(EDATE($D22,Milestones!$AA$174),"dd/mm/yy")&amp;" "&amp;Milestones!$AB$174&amp;" "&amp;Milestones!$AC$174&amp;";  ","")&amp;IF(AND(EDATE($D22,Milestones!$AA$175)&lt;=AsOfDate,IF($Q22=0,$W22,IF(AND($S22&lt;&gt;"",EDATE($D22,Milestones!$AA$175)&gt;=$S22),$V22,IF(AND($R22&lt;&gt;"",EDATE($D22,Milestones!$AA$175)&gt;=$R22),$U22,$T22)))=Milestones!$AB$175),TEXT(EDATE($D22,Milestones!$AA$175),"dd/mm/yy")&amp;" "&amp;Milestones!$AB$175&amp;" "&amp;Milestones!$AC$175&amp;";  ","")&amp;IF(AND(EDATE($D22,Milestones!$AA$176)&lt;=AsOfDate,IF($Q22=0,$W22,IF(AND($S22&lt;&gt;"",EDATE($D22,Milestones!$AA$176)&gt;=$S22),$V22,IF(AND($R22&lt;&gt;"",EDATE($D22,Milestones!$AA$176)&gt;=$R22),$U22,$T22)))=Milestones!$AB$176),TEXT(EDATE($D22,Milestones!$AA$176),"dd/mm/yy")&amp;" "&amp;Milestones!$AB$176&amp;" "&amp;Milestones!$AC$176&amp;";  ","")&amp;IF(AND(EDATE($D22,Milestones!$AA$177)&lt;=AsOfDate,IF($Q22=0,$W22,IF(AND($S22&lt;&gt;"",EDATE($D22,Milestones!$AA$177)&gt;=$S22),$V22,IF(AND($R22&lt;&gt;"",EDATE($D22,Milestones!$AA$177)&gt;=$R22),$U22,$T22)))=Milestones!$AB$177),TEXT(EDATE($D22,Milestones!$AA$177),"dd/mm/yy")&amp;" "&amp;Milestones!$AB$177&amp;" "&amp;Milestones!$AC$177&amp;";  ","")&amp;IF(AND(EDATE($D22,Milestones!$AA$178)&lt;=AsOfDate,IF($Q22=0,$W22,IF(AND($S22&lt;&gt;"",EDATE($D22,Milestones!$AA$178)&gt;=$S22),$V22,IF(AND($R22&lt;&gt;"",EDATE($D22,Milestones!$AA$178)&gt;=$R22),$U22,$T22)))=Milestones!$AB$178),TEXT(EDATE($D22,Milestones!$AA$178),"dd/mm/yy")&amp;" "&amp;Milestones!$AB$178&amp;" "&amp;Milestones!$AC$178&amp;";  ","")&amp;IF(AND(EDATE($D22,Milestones!$AA$179)&lt;=AsOfDate,IF($Q22=0,$W22,IF(AND($S22&lt;&gt;"",EDATE($D22,Milestones!$AA$179)&gt;=$S22),$V22,IF(AND($R22&lt;&gt;"",EDATE($D22,Milestones!$AA$179)&gt;=$R22),$U22,$T22)))=Milestones!$AB$179),TEXT(EDATE($D22,Milestones!$AA$179),"dd/mm/yy")&amp;" "&amp;Milestones!$AB$179&amp;" "&amp;Milestones!$AC$179&amp;";  ",""))</f>
        <v/>
      </c>
      <c r="P22" s="0" t="str">
        <f aca="false">IF(OR($A22="",$D22=""),"",IF(AND(EDATE($D22,Milestones!$AA$180)&lt;=AsOfDate,IF($Q22=0,$W22,IF(AND($S22&lt;&gt;"",EDATE($D22,Milestones!$AA$180)&gt;=$S22),$V22,IF(AND($R22&lt;&gt;"",EDATE($D22,Milestones!$AA$180)&gt;=$R22),$U22,$T22)))=Milestones!$AB$180),TEXT(EDATE($D22,Milestones!$AA$180),"dd/mm/yy")&amp;" "&amp;Milestones!$AB$180&amp;" "&amp;Milestones!$AC$180&amp;";  ","")&amp;IF(AND(EDATE($D22,Milestones!$AA$181)&lt;=AsOfDate,IF($Q22=0,$W22,IF(AND($S22&lt;&gt;"",EDATE($D22,Milestones!$AA$181)&gt;=$S22),$V22,IF(AND($R22&lt;&gt;"",EDATE($D22,Milestones!$AA$181)&gt;=$R22),$U22,$T22)))=Milestones!$AB$181),TEXT(EDATE($D22,Milestones!$AA$181),"dd/mm/yy")&amp;" "&amp;Milestones!$AB$181&amp;" "&amp;Milestones!$AC$181&amp;";  ","")&amp;IF(AND(EDATE($D22,Milestones!$AA$182)&lt;=AsOfDate,IF($Q22=0,$W22,IF(AND($S22&lt;&gt;"",EDATE($D22,Milestones!$AA$182)&gt;=$S22),$V22,IF(AND($R22&lt;&gt;"",EDATE($D22,Milestones!$AA$182)&gt;=$R22),$U22,$T22)))=Milestones!$AB$182),TEXT(EDATE($D22,Milestones!$AA$182),"dd/mm/yy")&amp;" "&amp;Milestones!$AB$182&amp;" "&amp;Milestones!$AC$182&amp;";  ","")&amp;IF(AND(EDATE($D22,Milestones!$AA$183)&lt;=AsOfDate,IF($Q22=0,$W22,IF(AND($S22&lt;&gt;"",EDATE($D22,Milestones!$AA$183)&gt;=$S22),$V22,IF(AND($R22&lt;&gt;"",EDATE($D22,Milestones!$AA$183)&gt;=$R22),$U22,$T22)))=Milestones!$AB$183),TEXT(EDATE($D22,Milestones!$AA$183),"dd/mm/yy")&amp;" "&amp;Milestones!$AB$183&amp;" "&amp;Milestones!$AC$183&amp;";  ","")&amp;IF(AND(EDATE($D22,Milestones!$AA$184)&lt;=AsOfDate,IF($Q22=0,$W22,IF(AND($S22&lt;&gt;"",EDATE($D22,Milestones!$AA$184)&gt;=$S22),$V22,IF(AND($R22&lt;&gt;"",EDATE($D22,Milestones!$AA$184)&gt;=$R22),$U22,$T22)))=Milestones!$AB$184),TEXT(EDATE($D22,Milestones!$AA$184),"dd/mm/yy")&amp;" "&amp;Milestones!$AB$184&amp;" "&amp;Milestones!$AC$184&amp;";  ","")&amp;IF(AND(EDATE($D22,Milestones!$AA$185)&lt;=AsOfDate,IF($Q22=0,$W22,IF(AND($S22&lt;&gt;"",EDATE($D22,Milestones!$AA$185)&gt;=$S22),$V22,IF(AND($R22&lt;&gt;"",EDATE($D22,Milestones!$AA$185)&gt;=$R22),$U22,$T22)))=Milestones!$AB$185),TEXT(EDATE($D22,Milestones!$AA$185),"dd/mm/yy")&amp;" "&amp;Milestones!$AB$185&amp;" "&amp;Milestones!$AC$185&amp;";  ","")&amp;IF(AND(EDATE($D22,Milestones!$AA$186)&lt;=AsOfDate,IF($Q22=0,$W22,IF(AND($S22&lt;&gt;"",EDATE($D22,Milestones!$AA$186)&gt;=$S22),$V22,IF(AND($R22&lt;&gt;"",EDATE($D22,Milestones!$AA$186)&gt;=$R22),$U22,$T22)))=Milestones!$AB$186),TEXT(EDATE($D22,Milestones!$AA$186),"dd/mm/yy")&amp;" "&amp;Milestones!$AB$186&amp;" "&amp;Milestones!$AC$186&amp;";  ","")&amp;IF(AND(EDATE($D22,Milestones!$AA$187)&lt;=AsOfDate,IF($Q22=0,$W22,IF(AND($S22&lt;&gt;"",EDATE($D22,Milestones!$AA$187)&gt;=$S22),$V22,IF(AND($R22&lt;&gt;"",EDATE($D22,Milestones!$AA$187)&gt;=$R22),$U22,$T22)))=Milestones!$AB$187),TEXT(EDATE($D22,Milestones!$AA$187),"dd/mm/yy")&amp;" "&amp;Milestones!$AB$187&amp;" "&amp;Milestones!$AC$187&amp;";  ","")&amp;IF(AND(EDATE($D22,Milestones!$AA$188)&lt;=AsOfDate,IF($Q22=0,$W22,IF(AND($S22&lt;&gt;"",EDATE($D22,Milestones!$AA$188)&gt;=$S22),$V22,IF(AND($R22&lt;&gt;"",EDATE($D22,Milestones!$AA$188)&gt;=$R22),$U22,$T22)))=Milestones!$AB$188),TEXT(EDATE($D22,Milestones!$AA$188),"dd/mm/yy")&amp;" "&amp;Milestones!$AB$188&amp;" "&amp;Milestones!$AC$188&amp;";  ","")&amp;IF(AND(EDATE($D22,Milestones!$AA$189)&lt;=AsOfDate,IF($Q22=0,$W22,IF(AND($S22&lt;&gt;"",EDATE($D22,Milestones!$AA$189)&gt;=$S22),$V22,IF(AND($R22&lt;&gt;"",EDATE($D22,Milestones!$AA$189)&gt;=$R22),$U22,$T22)))=Milestones!$AB$189),TEXT(EDATE($D22,Milestones!$AA$189),"dd/mm/yy")&amp;" "&amp;Milestones!$AB$189&amp;" "&amp;Milestones!$AC$189&amp;";  ","")&amp;IF(AND(EDATE($D22,Milestones!$AA$190)&lt;=AsOfDate,IF($Q22=0,$W22,IF(AND($S22&lt;&gt;"",EDATE($D22,Milestones!$AA$190)&gt;=$S22),$V22,IF(AND($R22&lt;&gt;"",EDATE($D22,Milestones!$AA$190)&gt;=$R22),$U22,$T22)))=Milestones!$AB$190),TEXT(EDATE($D22,Milestones!$AA$190),"dd/mm/yy")&amp;" "&amp;Milestones!$AB$190&amp;" "&amp;Milestones!$AC$190&amp;";  ","")&amp;IF(AND(EDATE($D22,Milestones!$AA$191)&lt;=AsOfDate,IF($Q22=0,$W22,IF(AND($S22&lt;&gt;"",EDATE($D22,Milestones!$AA$191)&gt;=$S22),$V22,IF(AND($R22&lt;&gt;"",EDATE($D22,Milestones!$AA$191)&gt;=$R22),$U22,$T22)))=Milestones!$AB$191),TEXT(EDATE($D22,Milestones!$AA$191),"dd/mm/yy")&amp;" "&amp;Milestones!$AB$191&amp;" "&amp;Milestones!$AC$191&amp;";  ","")&amp;IF(AND(EDATE($D22,Milestones!$AA$192)&lt;=AsOfDate,IF($Q22=0,$W22,IF(AND($S22&lt;&gt;"",EDATE($D22,Milestones!$AA$192)&gt;=$S22),$V22,IF(AND($R22&lt;&gt;"",EDATE($D22,Milestones!$AA$192)&gt;=$R22),$U22,$T22)))=Milestones!$AB$192),TEXT(EDATE($D22,Milestones!$AA$192),"dd/mm/yy")&amp;" "&amp;Milestones!$AB$192&amp;" "&amp;Milestones!$AC$192&amp;";  ","")&amp;IF(AND(EDATE($D22,Milestones!$AA$193)&lt;=AsOfDate,IF($Q22=0,$W22,IF(AND($S22&lt;&gt;"",EDATE($D22,Milestones!$AA$193)&gt;=$S22),$V22,IF(AND($R22&lt;&gt;"",EDATE($D22,Milestones!$AA$193)&gt;=$R22),$U22,$T22)))=Milestones!$AB$193),TEXT(EDATE($D22,Milestones!$AA$193),"dd/mm/yy")&amp;" "&amp;Milestones!$AB$193&amp;" "&amp;Milestones!$AC$193&amp;";  ","")&amp;IF(AND(EDATE($D22,Milestones!$AA$194)&lt;=AsOfDate,IF($Q22=0,$W22,IF(AND($S22&lt;&gt;"",EDATE($D22,Milestones!$AA$194)&gt;=$S22),$V22,IF(AND($R22&lt;&gt;"",EDATE($D22,Milestones!$AA$194)&gt;=$R22),$U22,$T22)))=Milestones!$AB$194),TEXT(EDATE($D22,Milestones!$AA$194),"dd/mm/yy")&amp;" "&amp;Milestones!$AB$194&amp;" "&amp;Milestones!$AC$194&amp;";  ","")&amp;IF(AND(EDATE($D22,Milestones!$AA$195)&lt;=AsOfDate,IF($Q22=0,$W22,IF(AND($S22&lt;&gt;"",EDATE($D22,Milestones!$AA$195)&gt;=$S22),$V22,IF(AND($R22&lt;&gt;"",EDATE($D22,Milestones!$AA$195)&gt;=$R22),$U22,$T22)))=Milestones!$AB$195),TEXT(EDATE($D22,Milestones!$AA$195),"dd/mm/yy")&amp;" "&amp;Milestones!$AB$195&amp;" "&amp;Milestones!$AC$195&amp;";  ","")&amp;IF(AND(EDATE($D22,Milestones!$AA$196)&lt;=AsOfDate,IF($Q22=0,$W22,IF(AND($S22&lt;&gt;"",EDATE($D22,Milestones!$AA$196)&gt;=$S22),$V22,IF(AND($R22&lt;&gt;"",EDATE($D22,Milestones!$AA$196)&gt;=$R22),$U22,$T22)))=Milestones!$AB$196),TEXT(EDATE($D22,Milestones!$AA$196),"dd/mm/yy")&amp;" "&amp;Milestones!$AB$196&amp;" "&amp;Milestones!$AC$196&amp;";  ","")&amp;IF(AND(EDATE($D22,Milestones!$AA$197)&lt;=AsOfDate,IF($Q22=0,$W22,IF(AND($S22&lt;&gt;"",EDATE($D22,Milestones!$AA$197)&gt;=$S22),$V22,IF(AND($R22&lt;&gt;"",EDATE($D22,Milestones!$AA$197)&gt;=$R22),$U22,$T22)))=Milestones!$AB$197),TEXT(EDATE($D22,Milestones!$AA$197),"dd/mm/yy")&amp;" "&amp;Milestones!$AB$197&amp;" "&amp;Milestones!$AC$197&amp;";  ","")&amp;IF(AND(EDATE($D22,Milestones!$AA$198)&lt;=AsOfDate,IF($Q22=0,$W22,IF(AND($S22&lt;&gt;"",EDATE($D22,Milestones!$AA$198)&gt;=$S22),$V22,IF(AND($R22&lt;&gt;"",EDATE($D22,Milestones!$AA$198)&gt;=$R22),$U22,$T22)))=Milestones!$AB$198),TEXT(EDATE($D22,Milestones!$AA$198),"dd/mm/yy")&amp;" "&amp;Milestones!$AB$198&amp;" "&amp;Milestones!$AC$198&amp;";  ","")&amp;IF(AND(EDATE($D22,Milestones!$AA$199)&lt;=AsOfDate,IF($Q22=0,$W22,IF(AND($S22&lt;&gt;"",EDATE($D22,Milestones!$AA$199)&gt;=$S22),$V22,IF(AND($R22&lt;&gt;"",EDATE($D22,Milestones!$AA$199)&gt;=$R22),$U22,$T22)))=Milestones!$AB$199),TEXT(EDATE($D22,Milestones!$AA$199),"dd/mm/yy")&amp;" "&amp;Milestones!$AB$199&amp;" "&amp;Milestones!$AC$199&amp;";  ",""))</f>
        <v/>
      </c>
      <c r="Q22" s="0" t="str">
        <f aca="false">IF(Staff!$A22="","",Staff!$AG22)</f>
        <v/>
      </c>
      <c r="R22" s="0" t="str">
        <f aca="false">IF(Staff!$A22="","",Staff!$AI22)</f>
        <v/>
      </c>
      <c r="S22" s="0" t="str">
        <f aca="false">IF(Staff!$A22="","",Staff!$AJ22)</f>
        <v/>
      </c>
      <c r="T22" s="0" t="str">
        <f aca="false">IF(Staff!$A22="","",Staff!$AN22)</f>
        <v/>
      </c>
      <c r="U22" s="0" t="str">
        <f aca="false">IF(Staff!$A22="","",Staff!$AO22)</f>
        <v/>
      </c>
      <c r="V22" s="0" t="str">
        <f aca="false">IF(Staff!$A22="","",Staff!$AP22)</f>
        <v/>
      </c>
      <c r="W22" s="0" t="str">
        <f aca="false">IF(Staff!$A22="","",Staff!$AQ22)</f>
        <v/>
      </c>
    </row>
    <row r="23" customFormat="false" ht="15" hidden="false" customHeight="false" outlineLevel="0" collapsed="false">
      <c r="A23" s="13" t="str">
        <f aca="false">IF(Staff!$A23="","",Staff!$A23)</f>
        <v/>
      </c>
      <c r="B23" s="13" t="str">
        <f aca="false">IF(Staff!$A23="","",Staff!$B23)</f>
        <v/>
      </c>
      <c r="C23" s="13" t="str">
        <f aca="false">IF(Staff!$A23="","",Staff!$C23)</f>
        <v/>
      </c>
      <c r="D23" s="11" t="str">
        <f aca="false">IF(Staff!$A23="","",Staff!$AF23)</f>
        <v/>
      </c>
      <c r="E23" s="13" t="str">
        <f aca="false">IF(Staff!$A23="","",Staff!$O23)</f>
        <v/>
      </c>
      <c r="F23" s="13" t="str">
        <f aca="false">IF(E23="","",E23*HoursPerDay)</f>
        <v/>
      </c>
      <c r="G23" s="26" t="str">
        <f aca="false">IF($A23="","",H23&amp;I23&amp;J23&amp;K23&amp;L23&amp;M23&amp;N23&amp;O23&amp;P23)</f>
        <v/>
      </c>
      <c r="H23" s="0" t="str">
        <f aca="false">IF(OR($A23="",$D23=""),"",IF(AND(EDATE($D23,Milestones!$AA$20)&lt;=AsOfDate,IF($Q23=0,$W23,IF(AND($S23&lt;&gt;"",EDATE($D23,Milestones!$AA$20)&gt;=$S23),$V23,IF(AND($R23&lt;&gt;"",EDATE($D23,Milestones!$AA$20)&gt;=$R23),$U23,$T23)))=Milestones!$AB$20),TEXT(EDATE($D23,Milestones!$AA$20),"dd/mm/yy")&amp;" "&amp;Milestones!$AB$20&amp;" "&amp;Milestones!$AC$20&amp;";  ","")&amp;IF(AND(EDATE($D23,Milestones!$AA$21)&lt;=AsOfDate,IF($Q23=0,$W23,IF(AND($S23&lt;&gt;"",EDATE($D23,Milestones!$AA$21)&gt;=$S23),$V23,IF(AND($R23&lt;&gt;"",EDATE($D23,Milestones!$AA$21)&gt;=$R23),$U23,$T23)))=Milestones!$AB$21),TEXT(EDATE($D23,Milestones!$AA$21),"dd/mm/yy")&amp;" "&amp;Milestones!$AB$21&amp;" "&amp;Milestones!$AC$21&amp;";  ","")&amp;IF(AND(EDATE($D23,Milestones!$AA$22)&lt;=AsOfDate,IF($Q23=0,$W23,IF(AND($S23&lt;&gt;"",EDATE($D23,Milestones!$AA$22)&gt;=$S23),$V23,IF(AND($R23&lt;&gt;"",EDATE($D23,Milestones!$AA$22)&gt;=$R23),$U23,$T23)))=Milestones!$AB$22),TEXT(EDATE($D23,Milestones!$AA$22),"dd/mm/yy")&amp;" "&amp;Milestones!$AB$22&amp;" "&amp;Milestones!$AC$22&amp;";  ","")&amp;IF(AND(EDATE($D23,Milestones!$AA$23)&lt;=AsOfDate,IF($Q23=0,$W23,IF(AND($S23&lt;&gt;"",EDATE($D23,Milestones!$AA$23)&gt;=$S23),$V23,IF(AND($R23&lt;&gt;"",EDATE($D23,Milestones!$AA$23)&gt;=$R23),$U23,$T23)))=Milestones!$AB$23),TEXT(EDATE($D23,Milestones!$AA$23),"dd/mm/yy")&amp;" "&amp;Milestones!$AB$23&amp;" "&amp;Milestones!$AC$23&amp;";  ","")&amp;IF(AND(EDATE($D23,Milestones!$AA$24)&lt;=AsOfDate,IF($Q23=0,$W23,IF(AND($S23&lt;&gt;"",EDATE($D23,Milestones!$AA$24)&gt;=$S23),$V23,IF(AND($R23&lt;&gt;"",EDATE($D23,Milestones!$AA$24)&gt;=$R23),$U23,$T23)))=Milestones!$AB$24),TEXT(EDATE($D23,Milestones!$AA$24),"dd/mm/yy")&amp;" "&amp;Milestones!$AB$24&amp;" "&amp;Milestones!$AC$24&amp;";  ","")&amp;IF(AND(EDATE($D23,Milestones!$AA$25)&lt;=AsOfDate,IF($Q23=0,$W23,IF(AND($S23&lt;&gt;"",EDATE($D23,Milestones!$AA$25)&gt;=$S23),$V23,IF(AND($R23&lt;&gt;"",EDATE($D23,Milestones!$AA$25)&gt;=$R23),$U23,$T23)))=Milestones!$AB$25),TEXT(EDATE($D23,Milestones!$AA$25),"dd/mm/yy")&amp;" "&amp;Milestones!$AB$25&amp;" "&amp;Milestones!$AC$25&amp;";  ","")&amp;IF(AND(EDATE($D23,Milestones!$AA$26)&lt;=AsOfDate,IF($Q23=0,$W23,IF(AND($S23&lt;&gt;"",EDATE($D23,Milestones!$AA$26)&gt;=$S23),$V23,IF(AND($R23&lt;&gt;"",EDATE($D23,Milestones!$AA$26)&gt;=$R23),$U23,$T23)))=Milestones!$AB$26),TEXT(EDATE($D23,Milestones!$AA$26),"dd/mm/yy")&amp;" "&amp;Milestones!$AB$26&amp;" "&amp;Milestones!$AC$26&amp;";  ","")&amp;IF(AND(EDATE($D23,Milestones!$AA$27)&lt;=AsOfDate,IF($Q23=0,$W23,IF(AND($S23&lt;&gt;"",EDATE($D23,Milestones!$AA$27)&gt;=$S23),$V23,IF(AND($R23&lt;&gt;"",EDATE($D23,Milestones!$AA$27)&gt;=$R23),$U23,$T23)))=Milestones!$AB$27),TEXT(EDATE($D23,Milestones!$AA$27),"dd/mm/yy")&amp;" "&amp;Milestones!$AB$27&amp;" "&amp;Milestones!$AC$27&amp;";  ","")&amp;IF(AND(EDATE($D23,Milestones!$AA$28)&lt;=AsOfDate,IF($Q23=0,$W23,IF(AND($S23&lt;&gt;"",EDATE($D23,Milestones!$AA$28)&gt;=$S23),$V23,IF(AND($R23&lt;&gt;"",EDATE($D23,Milestones!$AA$28)&gt;=$R23),$U23,$T23)))=Milestones!$AB$28),TEXT(EDATE($D23,Milestones!$AA$28),"dd/mm/yy")&amp;" "&amp;Milestones!$AB$28&amp;" "&amp;Milestones!$AC$28&amp;";  ","")&amp;IF(AND(EDATE($D23,Milestones!$AA$29)&lt;=AsOfDate,IF($Q23=0,$W23,IF(AND($S23&lt;&gt;"",EDATE($D23,Milestones!$AA$29)&gt;=$S23),$V23,IF(AND($R23&lt;&gt;"",EDATE($D23,Milestones!$AA$29)&gt;=$R23),$U23,$T23)))=Milestones!$AB$29),TEXT(EDATE($D23,Milestones!$AA$29),"dd/mm/yy")&amp;" "&amp;Milestones!$AB$29&amp;" "&amp;Milestones!$AC$29&amp;";  ","")&amp;IF(AND(EDATE($D23,Milestones!$AA$30)&lt;=AsOfDate,IF($Q23=0,$W23,IF(AND($S23&lt;&gt;"",EDATE($D23,Milestones!$AA$30)&gt;=$S23),$V23,IF(AND($R23&lt;&gt;"",EDATE($D23,Milestones!$AA$30)&gt;=$R23),$U23,$T23)))=Milestones!$AB$30),TEXT(EDATE($D23,Milestones!$AA$30),"dd/mm/yy")&amp;" "&amp;Milestones!$AB$30&amp;" "&amp;Milestones!$AC$30&amp;";  ","")&amp;IF(AND(EDATE($D23,Milestones!$AA$31)&lt;=AsOfDate,IF($Q23=0,$W23,IF(AND($S23&lt;&gt;"",EDATE($D23,Milestones!$AA$31)&gt;=$S23),$V23,IF(AND($R23&lt;&gt;"",EDATE($D23,Milestones!$AA$31)&gt;=$R23),$U23,$T23)))=Milestones!$AB$31),TEXT(EDATE($D23,Milestones!$AA$31),"dd/mm/yy")&amp;" "&amp;Milestones!$AB$31&amp;" "&amp;Milestones!$AC$31&amp;";  ","")&amp;IF(AND(EDATE($D23,Milestones!$AA$32)&lt;=AsOfDate,IF($Q23=0,$W23,IF(AND($S23&lt;&gt;"",EDATE($D23,Milestones!$AA$32)&gt;=$S23),$V23,IF(AND($R23&lt;&gt;"",EDATE($D23,Milestones!$AA$32)&gt;=$R23),$U23,$T23)))=Milestones!$AB$32),TEXT(EDATE($D23,Milestones!$AA$32),"dd/mm/yy")&amp;" "&amp;Milestones!$AB$32&amp;" "&amp;Milestones!$AC$32&amp;";  ","")&amp;IF(AND(EDATE($D23,Milestones!$AA$33)&lt;=AsOfDate,IF($Q23=0,$W23,IF(AND($S23&lt;&gt;"",EDATE($D23,Milestones!$AA$33)&gt;=$S23),$V23,IF(AND($R23&lt;&gt;"",EDATE($D23,Milestones!$AA$33)&gt;=$R23),$U23,$T23)))=Milestones!$AB$33),TEXT(EDATE($D23,Milestones!$AA$33),"dd/mm/yy")&amp;" "&amp;Milestones!$AB$33&amp;" "&amp;Milestones!$AC$33&amp;";  ","")&amp;IF(AND(EDATE($D23,Milestones!$AA$34)&lt;=AsOfDate,IF($Q23=0,$W23,IF(AND($S23&lt;&gt;"",EDATE($D23,Milestones!$AA$34)&gt;=$S23),$V23,IF(AND($R23&lt;&gt;"",EDATE($D23,Milestones!$AA$34)&gt;=$R23),$U23,$T23)))=Milestones!$AB$34),TEXT(EDATE($D23,Milestones!$AA$34),"dd/mm/yy")&amp;" "&amp;Milestones!$AB$34&amp;" "&amp;Milestones!$AC$34&amp;";  ","")&amp;IF(AND(EDATE($D23,Milestones!$AA$35)&lt;=AsOfDate,IF($Q23=0,$W23,IF(AND($S23&lt;&gt;"",EDATE($D23,Milestones!$AA$35)&gt;=$S23),$V23,IF(AND($R23&lt;&gt;"",EDATE($D23,Milestones!$AA$35)&gt;=$R23),$U23,$T23)))=Milestones!$AB$35),TEXT(EDATE($D23,Milestones!$AA$35),"dd/mm/yy")&amp;" "&amp;Milestones!$AB$35&amp;" "&amp;Milestones!$AC$35&amp;";  ","")&amp;IF(AND(EDATE($D23,Milestones!$AA$36)&lt;=AsOfDate,IF($Q23=0,$W23,IF(AND($S23&lt;&gt;"",EDATE($D23,Milestones!$AA$36)&gt;=$S23),$V23,IF(AND($R23&lt;&gt;"",EDATE($D23,Milestones!$AA$36)&gt;=$R23),$U23,$T23)))=Milestones!$AB$36),TEXT(EDATE($D23,Milestones!$AA$36),"dd/mm/yy")&amp;" "&amp;Milestones!$AB$36&amp;" "&amp;Milestones!$AC$36&amp;";  ","")&amp;IF(AND(EDATE($D23,Milestones!$AA$37)&lt;=AsOfDate,IF($Q23=0,$W23,IF(AND($S23&lt;&gt;"",EDATE($D23,Milestones!$AA$37)&gt;=$S23),$V23,IF(AND($R23&lt;&gt;"",EDATE($D23,Milestones!$AA$37)&gt;=$R23),$U23,$T23)))=Milestones!$AB$37),TEXT(EDATE($D23,Milestones!$AA$37),"dd/mm/yy")&amp;" "&amp;Milestones!$AB$37&amp;" "&amp;Milestones!$AC$37&amp;";  ","")&amp;IF(AND(EDATE($D23,Milestones!$AA$38)&lt;=AsOfDate,IF($Q23=0,$W23,IF(AND($S23&lt;&gt;"",EDATE($D23,Milestones!$AA$38)&gt;=$S23),$V23,IF(AND($R23&lt;&gt;"",EDATE($D23,Milestones!$AA$38)&gt;=$R23),$U23,$T23)))=Milestones!$AB$38),TEXT(EDATE($D23,Milestones!$AA$38),"dd/mm/yy")&amp;" "&amp;Milestones!$AB$38&amp;" "&amp;Milestones!$AC$38&amp;";  ","")&amp;IF(AND(EDATE($D23,Milestones!$AA$39)&lt;=AsOfDate,IF($Q23=0,$W23,IF(AND($S23&lt;&gt;"",EDATE($D23,Milestones!$AA$39)&gt;=$S23),$V23,IF(AND($R23&lt;&gt;"",EDATE($D23,Milestones!$AA$39)&gt;=$R23),$U23,$T23)))=Milestones!$AB$39),TEXT(EDATE($D23,Milestones!$AA$39),"dd/mm/yy")&amp;" "&amp;Milestones!$AB$39&amp;" "&amp;Milestones!$AC$39&amp;";  ",""))</f>
        <v/>
      </c>
      <c r="I23" s="0" t="str">
        <f aca="false">IF(OR($A23="",$D23=""),"",IF(AND(EDATE($D23,Milestones!$AA$40)&lt;=AsOfDate,IF($Q23=0,$W23,IF(AND($S23&lt;&gt;"",EDATE($D23,Milestones!$AA$40)&gt;=$S23),$V23,IF(AND($R23&lt;&gt;"",EDATE($D23,Milestones!$AA$40)&gt;=$R23),$U23,$T23)))=Milestones!$AB$40),TEXT(EDATE($D23,Milestones!$AA$40),"dd/mm/yy")&amp;" "&amp;Milestones!$AB$40&amp;" "&amp;Milestones!$AC$40&amp;";  ","")&amp;IF(AND(EDATE($D23,Milestones!$AA$41)&lt;=AsOfDate,IF($Q23=0,$W23,IF(AND($S23&lt;&gt;"",EDATE($D23,Milestones!$AA$41)&gt;=$S23),$V23,IF(AND($R23&lt;&gt;"",EDATE($D23,Milestones!$AA$41)&gt;=$R23),$U23,$T23)))=Milestones!$AB$41),TEXT(EDATE($D23,Milestones!$AA$41),"dd/mm/yy")&amp;" "&amp;Milestones!$AB$41&amp;" "&amp;Milestones!$AC$41&amp;";  ","")&amp;IF(AND(EDATE($D23,Milestones!$AA$42)&lt;=AsOfDate,IF($Q23=0,$W23,IF(AND($S23&lt;&gt;"",EDATE($D23,Milestones!$AA$42)&gt;=$S23),$V23,IF(AND($R23&lt;&gt;"",EDATE($D23,Milestones!$AA$42)&gt;=$R23),$U23,$T23)))=Milestones!$AB$42),TEXT(EDATE($D23,Milestones!$AA$42),"dd/mm/yy")&amp;" "&amp;Milestones!$AB$42&amp;" "&amp;Milestones!$AC$42&amp;";  ","")&amp;IF(AND(EDATE($D23,Milestones!$AA$43)&lt;=AsOfDate,IF($Q23=0,$W23,IF(AND($S23&lt;&gt;"",EDATE($D23,Milestones!$AA$43)&gt;=$S23),$V23,IF(AND($R23&lt;&gt;"",EDATE($D23,Milestones!$AA$43)&gt;=$R23),$U23,$T23)))=Milestones!$AB$43),TEXT(EDATE($D23,Milestones!$AA$43),"dd/mm/yy")&amp;" "&amp;Milestones!$AB$43&amp;" "&amp;Milestones!$AC$43&amp;";  ","")&amp;IF(AND(EDATE($D23,Milestones!$AA$44)&lt;=AsOfDate,IF($Q23=0,$W23,IF(AND($S23&lt;&gt;"",EDATE($D23,Milestones!$AA$44)&gt;=$S23),$V23,IF(AND($R23&lt;&gt;"",EDATE($D23,Milestones!$AA$44)&gt;=$R23),$U23,$T23)))=Milestones!$AB$44),TEXT(EDATE($D23,Milestones!$AA$44),"dd/mm/yy")&amp;" "&amp;Milestones!$AB$44&amp;" "&amp;Milestones!$AC$44&amp;";  ","")&amp;IF(AND(EDATE($D23,Milestones!$AA$45)&lt;=AsOfDate,IF($Q23=0,$W23,IF(AND($S23&lt;&gt;"",EDATE($D23,Milestones!$AA$45)&gt;=$S23),$V23,IF(AND($R23&lt;&gt;"",EDATE($D23,Milestones!$AA$45)&gt;=$R23),$U23,$T23)))=Milestones!$AB$45),TEXT(EDATE($D23,Milestones!$AA$45),"dd/mm/yy")&amp;" "&amp;Milestones!$AB$45&amp;" "&amp;Milestones!$AC$45&amp;";  ","")&amp;IF(AND(EDATE($D23,Milestones!$AA$46)&lt;=AsOfDate,IF($Q23=0,$W23,IF(AND($S23&lt;&gt;"",EDATE($D23,Milestones!$AA$46)&gt;=$S23),$V23,IF(AND($R23&lt;&gt;"",EDATE($D23,Milestones!$AA$46)&gt;=$R23),$U23,$T23)))=Milestones!$AB$46),TEXT(EDATE($D23,Milestones!$AA$46),"dd/mm/yy")&amp;" "&amp;Milestones!$AB$46&amp;" "&amp;Milestones!$AC$46&amp;";  ","")&amp;IF(AND(EDATE($D23,Milestones!$AA$47)&lt;=AsOfDate,IF($Q23=0,$W23,IF(AND($S23&lt;&gt;"",EDATE($D23,Milestones!$AA$47)&gt;=$S23),$V23,IF(AND($R23&lt;&gt;"",EDATE($D23,Milestones!$AA$47)&gt;=$R23),$U23,$T23)))=Milestones!$AB$47),TEXT(EDATE($D23,Milestones!$AA$47),"dd/mm/yy")&amp;" "&amp;Milestones!$AB$47&amp;" "&amp;Milestones!$AC$47&amp;";  ","")&amp;IF(AND(EDATE($D23,Milestones!$AA$48)&lt;=AsOfDate,IF($Q23=0,$W23,IF(AND($S23&lt;&gt;"",EDATE($D23,Milestones!$AA$48)&gt;=$S23),$V23,IF(AND($R23&lt;&gt;"",EDATE($D23,Milestones!$AA$48)&gt;=$R23),$U23,$T23)))=Milestones!$AB$48),TEXT(EDATE($D23,Milestones!$AA$48),"dd/mm/yy")&amp;" "&amp;Milestones!$AB$48&amp;" "&amp;Milestones!$AC$48&amp;";  ","")&amp;IF(AND(EDATE($D23,Milestones!$AA$49)&lt;=AsOfDate,IF($Q23=0,$W23,IF(AND($S23&lt;&gt;"",EDATE($D23,Milestones!$AA$49)&gt;=$S23),$V23,IF(AND($R23&lt;&gt;"",EDATE($D23,Milestones!$AA$49)&gt;=$R23),$U23,$T23)))=Milestones!$AB$49),TEXT(EDATE($D23,Milestones!$AA$49),"dd/mm/yy")&amp;" "&amp;Milestones!$AB$49&amp;" "&amp;Milestones!$AC$49&amp;";  ","")&amp;IF(AND(EDATE($D23,Milestones!$AA$50)&lt;=AsOfDate,IF($Q23=0,$W23,IF(AND($S23&lt;&gt;"",EDATE($D23,Milestones!$AA$50)&gt;=$S23),$V23,IF(AND($R23&lt;&gt;"",EDATE($D23,Milestones!$AA$50)&gt;=$R23),$U23,$T23)))=Milestones!$AB$50),TEXT(EDATE($D23,Milestones!$AA$50),"dd/mm/yy")&amp;" "&amp;Milestones!$AB$50&amp;" "&amp;Milestones!$AC$50&amp;";  ","")&amp;IF(AND(EDATE($D23,Milestones!$AA$51)&lt;=AsOfDate,IF($Q23=0,$W23,IF(AND($S23&lt;&gt;"",EDATE($D23,Milestones!$AA$51)&gt;=$S23),$V23,IF(AND($R23&lt;&gt;"",EDATE($D23,Milestones!$AA$51)&gt;=$R23),$U23,$T23)))=Milestones!$AB$51),TEXT(EDATE($D23,Milestones!$AA$51),"dd/mm/yy")&amp;" "&amp;Milestones!$AB$51&amp;" "&amp;Milestones!$AC$51&amp;";  ","")&amp;IF(AND(EDATE($D23,Milestones!$AA$52)&lt;=AsOfDate,IF($Q23=0,$W23,IF(AND($S23&lt;&gt;"",EDATE($D23,Milestones!$AA$52)&gt;=$S23),$V23,IF(AND($R23&lt;&gt;"",EDATE($D23,Milestones!$AA$52)&gt;=$R23),$U23,$T23)))=Milestones!$AB$52),TEXT(EDATE($D23,Milestones!$AA$52),"dd/mm/yy")&amp;" "&amp;Milestones!$AB$52&amp;" "&amp;Milestones!$AC$52&amp;";  ","")&amp;IF(AND(EDATE($D23,Milestones!$AA$53)&lt;=AsOfDate,IF($Q23=0,$W23,IF(AND($S23&lt;&gt;"",EDATE($D23,Milestones!$AA$53)&gt;=$S23),$V23,IF(AND($R23&lt;&gt;"",EDATE($D23,Milestones!$AA$53)&gt;=$R23),$U23,$T23)))=Milestones!$AB$53),TEXT(EDATE($D23,Milestones!$AA$53),"dd/mm/yy")&amp;" "&amp;Milestones!$AB$53&amp;" "&amp;Milestones!$AC$53&amp;";  ","")&amp;IF(AND(EDATE($D23,Milestones!$AA$54)&lt;=AsOfDate,IF($Q23=0,$W23,IF(AND($S23&lt;&gt;"",EDATE($D23,Milestones!$AA$54)&gt;=$S23),$V23,IF(AND($R23&lt;&gt;"",EDATE($D23,Milestones!$AA$54)&gt;=$R23),$U23,$T23)))=Milestones!$AB$54),TEXT(EDATE($D23,Milestones!$AA$54),"dd/mm/yy")&amp;" "&amp;Milestones!$AB$54&amp;" "&amp;Milestones!$AC$54&amp;";  ","")&amp;IF(AND(EDATE($D23,Milestones!$AA$55)&lt;=AsOfDate,IF($Q23=0,$W23,IF(AND($S23&lt;&gt;"",EDATE($D23,Milestones!$AA$55)&gt;=$S23),$V23,IF(AND($R23&lt;&gt;"",EDATE($D23,Milestones!$AA$55)&gt;=$R23),$U23,$T23)))=Milestones!$AB$55),TEXT(EDATE($D23,Milestones!$AA$55),"dd/mm/yy")&amp;" "&amp;Milestones!$AB$55&amp;" "&amp;Milestones!$AC$55&amp;";  ","")&amp;IF(AND(EDATE($D23,Milestones!$AA$56)&lt;=AsOfDate,IF($Q23=0,$W23,IF(AND($S23&lt;&gt;"",EDATE($D23,Milestones!$AA$56)&gt;=$S23),$V23,IF(AND($R23&lt;&gt;"",EDATE($D23,Milestones!$AA$56)&gt;=$R23),$U23,$T23)))=Milestones!$AB$56),TEXT(EDATE($D23,Milestones!$AA$56),"dd/mm/yy")&amp;" "&amp;Milestones!$AB$56&amp;" "&amp;Milestones!$AC$56&amp;";  ","")&amp;IF(AND(EDATE($D23,Milestones!$AA$57)&lt;=AsOfDate,IF($Q23=0,$W23,IF(AND($S23&lt;&gt;"",EDATE($D23,Milestones!$AA$57)&gt;=$S23),$V23,IF(AND($R23&lt;&gt;"",EDATE($D23,Milestones!$AA$57)&gt;=$R23),$U23,$T23)))=Milestones!$AB$57),TEXT(EDATE($D23,Milestones!$AA$57),"dd/mm/yy")&amp;" "&amp;Milestones!$AB$57&amp;" "&amp;Milestones!$AC$57&amp;";  ","")&amp;IF(AND(EDATE($D23,Milestones!$AA$58)&lt;=AsOfDate,IF($Q23=0,$W23,IF(AND($S23&lt;&gt;"",EDATE($D23,Milestones!$AA$58)&gt;=$S23),$V23,IF(AND($R23&lt;&gt;"",EDATE($D23,Milestones!$AA$58)&gt;=$R23),$U23,$T23)))=Milestones!$AB$58),TEXT(EDATE($D23,Milestones!$AA$58),"dd/mm/yy")&amp;" "&amp;Milestones!$AB$58&amp;" "&amp;Milestones!$AC$58&amp;";  ","")&amp;IF(AND(EDATE($D23,Milestones!$AA$59)&lt;=AsOfDate,IF($Q23=0,$W23,IF(AND($S23&lt;&gt;"",EDATE($D23,Milestones!$AA$59)&gt;=$S23),$V23,IF(AND($R23&lt;&gt;"",EDATE($D23,Milestones!$AA$59)&gt;=$R23),$U23,$T23)))=Milestones!$AB$59),TEXT(EDATE($D23,Milestones!$AA$59),"dd/mm/yy")&amp;" "&amp;Milestones!$AB$59&amp;" "&amp;Milestones!$AC$59&amp;";  ",""))</f>
        <v/>
      </c>
      <c r="J23" s="0" t="str">
        <f aca="false">IF(OR($A23="",$D23=""),"",IF(AND(EDATE($D23,Milestones!$AA$60)&lt;=AsOfDate,IF($Q23=0,$W23,IF(AND($S23&lt;&gt;"",EDATE($D23,Milestones!$AA$60)&gt;=$S23),$V23,IF(AND($R23&lt;&gt;"",EDATE($D23,Milestones!$AA$60)&gt;=$R23),$U23,$T23)))=Milestones!$AB$60),TEXT(EDATE($D23,Milestones!$AA$60),"dd/mm/yy")&amp;" "&amp;Milestones!$AB$60&amp;" "&amp;Milestones!$AC$60&amp;";  ","")&amp;IF(AND(EDATE($D23,Milestones!$AA$61)&lt;=AsOfDate,IF($Q23=0,$W23,IF(AND($S23&lt;&gt;"",EDATE($D23,Milestones!$AA$61)&gt;=$S23),$V23,IF(AND($R23&lt;&gt;"",EDATE($D23,Milestones!$AA$61)&gt;=$R23),$U23,$T23)))=Milestones!$AB$61),TEXT(EDATE($D23,Milestones!$AA$61),"dd/mm/yy")&amp;" "&amp;Milestones!$AB$61&amp;" "&amp;Milestones!$AC$61&amp;";  ","")&amp;IF(AND(EDATE($D23,Milestones!$AA$62)&lt;=AsOfDate,IF($Q23=0,$W23,IF(AND($S23&lt;&gt;"",EDATE($D23,Milestones!$AA$62)&gt;=$S23),$V23,IF(AND($R23&lt;&gt;"",EDATE($D23,Milestones!$AA$62)&gt;=$R23),$U23,$T23)))=Milestones!$AB$62),TEXT(EDATE($D23,Milestones!$AA$62),"dd/mm/yy")&amp;" "&amp;Milestones!$AB$62&amp;" "&amp;Milestones!$AC$62&amp;";  ","")&amp;IF(AND(EDATE($D23,Milestones!$AA$63)&lt;=AsOfDate,IF($Q23=0,$W23,IF(AND($S23&lt;&gt;"",EDATE($D23,Milestones!$AA$63)&gt;=$S23),$V23,IF(AND($R23&lt;&gt;"",EDATE($D23,Milestones!$AA$63)&gt;=$R23),$U23,$T23)))=Milestones!$AB$63),TEXT(EDATE($D23,Milestones!$AA$63),"dd/mm/yy")&amp;" "&amp;Milestones!$AB$63&amp;" "&amp;Milestones!$AC$63&amp;";  ","")&amp;IF(AND(EDATE($D23,Milestones!$AA$64)&lt;=AsOfDate,IF($Q23=0,$W23,IF(AND($S23&lt;&gt;"",EDATE($D23,Milestones!$AA$64)&gt;=$S23),$V23,IF(AND($R23&lt;&gt;"",EDATE($D23,Milestones!$AA$64)&gt;=$R23),$U23,$T23)))=Milestones!$AB$64),TEXT(EDATE($D23,Milestones!$AA$64),"dd/mm/yy")&amp;" "&amp;Milestones!$AB$64&amp;" "&amp;Milestones!$AC$64&amp;";  ","")&amp;IF(AND(EDATE($D23,Milestones!$AA$65)&lt;=AsOfDate,IF($Q23=0,$W23,IF(AND($S23&lt;&gt;"",EDATE($D23,Milestones!$AA$65)&gt;=$S23),$V23,IF(AND($R23&lt;&gt;"",EDATE($D23,Milestones!$AA$65)&gt;=$R23),$U23,$T23)))=Milestones!$AB$65),TEXT(EDATE($D23,Milestones!$AA$65),"dd/mm/yy")&amp;" "&amp;Milestones!$AB$65&amp;" "&amp;Milestones!$AC$65&amp;";  ","")&amp;IF(AND(EDATE($D23,Milestones!$AA$66)&lt;=AsOfDate,IF($Q23=0,$W23,IF(AND($S23&lt;&gt;"",EDATE($D23,Milestones!$AA$66)&gt;=$S23),$V23,IF(AND($R23&lt;&gt;"",EDATE($D23,Milestones!$AA$66)&gt;=$R23),$U23,$T23)))=Milestones!$AB$66),TEXT(EDATE($D23,Milestones!$AA$66),"dd/mm/yy")&amp;" "&amp;Milestones!$AB$66&amp;" "&amp;Milestones!$AC$66&amp;";  ","")&amp;IF(AND(EDATE($D23,Milestones!$AA$67)&lt;=AsOfDate,IF($Q23=0,$W23,IF(AND($S23&lt;&gt;"",EDATE($D23,Milestones!$AA$67)&gt;=$S23),$V23,IF(AND($R23&lt;&gt;"",EDATE($D23,Milestones!$AA$67)&gt;=$R23),$U23,$T23)))=Milestones!$AB$67),TEXT(EDATE($D23,Milestones!$AA$67),"dd/mm/yy")&amp;" "&amp;Milestones!$AB$67&amp;" "&amp;Milestones!$AC$67&amp;";  ","")&amp;IF(AND(EDATE($D23,Milestones!$AA$68)&lt;=AsOfDate,IF($Q23=0,$W23,IF(AND($S23&lt;&gt;"",EDATE($D23,Milestones!$AA$68)&gt;=$S23),$V23,IF(AND($R23&lt;&gt;"",EDATE($D23,Milestones!$AA$68)&gt;=$R23),$U23,$T23)))=Milestones!$AB$68),TEXT(EDATE($D23,Milestones!$AA$68),"dd/mm/yy")&amp;" "&amp;Milestones!$AB$68&amp;" "&amp;Milestones!$AC$68&amp;";  ","")&amp;IF(AND(EDATE($D23,Milestones!$AA$69)&lt;=AsOfDate,IF($Q23=0,$W23,IF(AND($S23&lt;&gt;"",EDATE($D23,Milestones!$AA$69)&gt;=$S23),$V23,IF(AND($R23&lt;&gt;"",EDATE($D23,Milestones!$AA$69)&gt;=$R23),$U23,$T23)))=Milestones!$AB$69),TEXT(EDATE($D23,Milestones!$AA$69),"dd/mm/yy")&amp;" "&amp;Milestones!$AB$69&amp;" "&amp;Milestones!$AC$69&amp;";  ","")&amp;IF(AND(EDATE($D23,Milestones!$AA$70)&lt;=AsOfDate,IF($Q23=0,$W23,IF(AND($S23&lt;&gt;"",EDATE($D23,Milestones!$AA$70)&gt;=$S23),$V23,IF(AND($R23&lt;&gt;"",EDATE($D23,Milestones!$AA$70)&gt;=$R23),$U23,$T23)))=Milestones!$AB$70),TEXT(EDATE($D23,Milestones!$AA$70),"dd/mm/yy")&amp;" "&amp;Milestones!$AB$70&amp;" "&amp;Milestones!$AC$70&amp;";  ","")&amp;IF(AND(EDATE($D23,Milestones!$AA$71)&lt;=AsOfDate,IF($Q23=0,$W23,IF(AND($S23&lt;&gt;"",EDATE($D23,Milestones!$AA$71)&gt;=$S23),$V23,IF(AND($R23&lt;&gt;"",EDATE($D23,Milestones!$AA$71)&gt;=$R23),$U23,$T23)))=Milestones!$AB$71),TEXT(EDATE($D23,Milestones!$AA$71),"dd/mm/yy")&amp;" "&amp;Milestones!$AB$71&amp;" "&amp;Milestones!$AC$71&amp;";  ","")&amp;IF(AND(EDATE($D23,Milestones!$AA$72)&lt;=AsOfDate,IF($Q23=0,$W23,IF(AND($S23&lt;&gt;"",EDATE($D23,Milestones!$AA$72)&gt;=$S23),$V23,IF(AND($R23&lt;&gt;"",EDATE($D23,Milestones!$AA$72)&gt;=$R23),$U23,$T23)))=Milestones!$AB$72),TEXT(EDATE($D23,Milestones!$AA$72),"dd/mm/yy")&amp;" "&amp;Milestones!$AB$72&amp;" "&amp;Milestones!$AC$72&amp;";  ","")&amp;IF(AND(EDATE($D23,Milestones!$AA$73)&lt;=AsOfDate,IF($Q23=0,$W23,IF(AND($S23&lt;&gt;"",EDATE($D23,Milestones!$AA$73)&gt;=$S23),$V23,IF(AND($R23&lt;&gt;"",EDATE($D23,Milestones!$AA$73)&gt;=$R23),$U23,$T23)))=Milestones!$AB$73),TEXT(EDATE($D23,Milestones!$AA$73),"dd/mm/yy")&amp;" "&amp;Milestones!$AB$73&amp;" "&amp;Milestones!$AC$73&amp;";  ","")&amp;IF(AND(EDATE($D23,Milestones!$AA$74)&lt;=AsOfDate,IF($Q23=0,$W23,IF(AND($S23&lt;&gt;"",EDATE($D23,Milestones!$AA$74)&gt;=$S23),$V23,IF(AND($R23&lt;&gt;"",EDATE($D23,Milestones!$AA$74)&gt;=$R23),$U23,$T23)))=Milestones!$AB$74),TEXT(EDATE($D23,Milestones!$AA$74),"dd/mm/yy")&amp;" "&amp;Milestones!$AB$74&amp;" "&amp;Milestones!$AC$74&amp;";  ","")&amp;IF(AND(EDATE($D23,Milestones!$AA$75)&lt;=AsOfDate,IF($Q23=0,$W23,IF(AND($S23&lt;&gt;"",EDATE($D23,Milestones!$AA$75)&gt;=$S23),$V23,IF(AND($R23&lt;&gt;"",EDATE($D23,Milestones!$AA$75)&gt;=$R23),$U23,$T23)))=Milestones!$AB$75),TEXT(EDATE($D23,Milestones!$AA$75),"dd/mm/yy")&amp;" "&amp;Milestones!$AB$75&amp;" "&amp;Milestones!$AC$75&amp;";  ","")&amp;IF(AND(EDATE($D23,Milestones!$AA$76)&lt;=AsOfDate,IF($Q23=0,$W23,IF(AND($S23&lt;&gt;"",EDATE($D23,Milestones!$AA$76)&gt;=$S23),$V23,IF(AND($R23&lt;&gt;"",EDATE($D23,Milestones!$AA$76)&gt;=$R23),$U23,$T23)))=Milestones!$AB$76),TEXT(EDATE($D23,Milestones!$AA$76),"dd/mm/yy")&amp;" "&amp;Milestones!$AB$76&amp;" "&amp;Milestones!$AC$76&amp;";  ","")&amp;IF(AND(EDATE($D23,Milestones!$AA$77)&lt;=AsOfDate,IF($Q23=0,$W23,IF(AND($S23&lt;&gt;"",EDATE($D23,Milestones!$AA$77)&gt;=$S23),$V23,IF(AND($R23&lt;&gt;"",EDATE($D23,Milestones!$AA$77)&gt;=$R23),$U23,$T23)))=Milestones!$AB$77),TEXT(EDATE($D23,Milestones!$AA$77),"dd/mm/yy")&amp;" "&amp;Milestones!$AB$77&amp;" "&amp;Milestones!$AC$77&amp;";  ","")&amp;IF(AND(EDATE($D23,Milestones!$AA$78)&lt;=AsOfDate,IF($Q23=0,$W23,IF(AND($S23&lt;&gt;"",EDATE($D23,Milestones!$AA$78)&gt;=$S23),$V23,IF(AND($R23&lt;&gt;"",EDATE($D23,Milestones!$AA$78)&gt;=$R23),$U23,$T23)))=Milestones!$AB$78),TEXT(EDATE($D23,Milestones!$AA$78),"dd/mm/yy")&amp;" "&amp;Milestones!$AB$78&amp;" "&amp;Milestones!$AC$78&amp;";  ","")&amp;IF(AND(EDATE($D23,Milestones!$AA$79)&lt;=AsOfDate,IF($Q23=0,$W23,IF(AND($S23&lt;&gt;"",EDATE($D23,Milestones!$AA$79)&gt;=$S23),$V23,IF(AND($R23&lt;&gt;"",EDATE($D23,Milestones!$AA$79)&gt;=$R23),$U23,$T23)))=Milestones!$AB$79),TEXT(EDATE($D23,Milestones!$AA$79),"dd/mm/yy")&amp;" "&amp;Milestones!$AB$79&amp;" "&amp;Milestones!$AC$79&amp;";  ",""))</f>
        <v/>
      </c>
      <c r="K23" s="0" t="str">
        <f aca="false">IF(OR($A23="",$D23=""),"",IF(AND(EDATE($D23,Milestones!$AA$80)&lt;=AsOfDate,IF($Q23=0,$W23,IF(AND($S23&lt;&gt;"",EDATE($D23,Milestones!$AA$80)&gt;=$S23),$V23,IF(AND($R23&lt;&gt;"",EDATE($D23,Milestones!$AA$80)&gt;=$R23),$U23,$T23)))=Milestones!$AB$80),TEXT(EDATE($D23,Milestones!$AA$80),"dd/mm/yy")&amp;" "&amp;Milestones!$AB$80&amp;" "&amp;Milestones!$AC$80&amp;";  ","")&amp;IF(AND(EDATE($D23,Milestones!$AA$81)&lt;=AsOfDate,IF($Q23=0,$W23,IF(AND($S23&lt;&gt;"",EDATE($D23,Milestones!$AA$81)&gt;=$S23),$V23,IF(AND($R23&lt;&gt;"",EDATE($D23,Milestones!$AA$81)&gt;=$R23),$U23,$T23)))=Milestones!$AB$81),TEXT(EDATE($D23,Milestones!$AA$81),"dd/mm/yy")&amp;" "&amp;Milestones!$AB$81&amp;" "&amp;Milestones!$AC$81&amp;";  ","")&amp;IF(AND(EDATE($D23,Milestones!$AA$82)&lt;=AsOfDate,IF($Q23=0,$W23,IF(AND($S23&lt;&gt;"",EDATE($D23,Milestones!$AA$82)&gt;=$S23),$V23,IF(AND($R23&lt;&gt;"",EDATE($D23,Milestones!$AA$82)&gt;=$R23),$U23,$T23)))=Milestones!$AB$82),TEXT(EDATE($D23,Milestones!$AA$82),"dd/mm/yy")&amp;" "&amp;Milestones!$AB$82&amp;" "&amp;Milestones!$AC$82&amp;";  ","")&amp;IF(AND(EDATE($D23,Milestones!$AA$83)&lt;=AsOfDate,IF($Q23=0,$W23,IF(AND($S23&lt;&gt;"",EDATE($D23,Milestones!$AA$83)&gt;=$S23),$V23,IF(AND($R23&lt;&gt;"",EDATE($D23,Milestones!$AA$83)&gt;=$R23),$U23,$T23)))=Milestones!$AB$83),TEXT(EDATE($D23,Milestones!$AA$83),"dd/mm/yy")&amp;" "&amp;Milestones!$AB$83&amp;" "&amp;Milestones!$AC$83&amp;";  ","")&amp;IF(AND(EDATE($D23,Milestones!$AA$84)&lt;=AsOfDate,IF($Q23=0,$W23,IF(AND($S23&lt;&gt;"",EDATE($D23,Milestones!$AA$84)&gt;=$S23),$V23,IF(AND($R23&lt;&gt;"",EDATE($D23,Milestones!$AA$84)&gt;=$R23),$U23,$T23)))=Milestones!$AB$84),TEXT(EDATE($D23,Milestones!$AA$84),"dd/mm/yy")&amp;" "&amp;Milestones!$AB$84&amp;" "&amp;Milestones!$AC$84&amp;";  ","")&amp;IF(AND(EDATE($D23,Milestones!$AA$85)&lt;=AsOfDate,IF($Q23=0,$W23,IF(AND($S23&lt;&gt;"",EDATE($D23,Milestones!$AA$85)&gt;=$S23),$V23,IF(AND($R23&lt;&gt;"",EDATE($D23,Milestones!$AA$85)&gt;=$R23),$U23,$T23)))=Milestones!$AB$85),TEXT(EDATE($D23,Milestones!$AA$85),"dd/mm/yy")&amp;" "&amp;Milestones!$AB$85&amp;" "&amp;Milestones!$AC$85&amp;";  ","")&amp;IF(AND(EDATE($D23,Milestones!$AA$86)&lt;=AsOfDate,IF($Q23=0,$W23,IF(AND($S23&lt;&gt;"",EDATE($D23,Milestones!$AA$86)&gt;=$S23),$V23,IF(AND($R23&lt;&gt;"",EDATE($D23,Milestones!$AA$86)&gt;=$R23),$U23,$T23)))=Milestones!$AB$86),TEXT(EDATE($D23,Milestones!$AA$86),"dd/mm/yy")&amp;" "&amp;Milestones!$AB$86&amp;" "&amp;Milestones!$AC$86&amp;";  ","")&amp;IF(AND(EDATE($D23,Milestones!$AA$87)&lt;=AsOfDate,IF($Q23=0,$W23,IF(AND($S23&lt;&gt;"",EDATE($D23,Milestones!$AA$87)&gt;=$S23),$V23,IF(AND($R23&lt;&gt;"",EDATE($D23,Milestones!$AA$87)&gt;=$R23),$U23,$T23)))=Milestones!$AB$87),TEXT(EDATE($D23,Milestones!$AA$87),"dd/mm/yy")&amp;" "&amp;Milestones!$AB$87&amp;" "&amp;Milestones!$AC$87&amp;";  ","")&amp;IF(AND(EDATE($D23,Milestones!$AA$88)&lt;=AsOfDate,IF($Q23=0,$W23,IF(AND($S23&lt;&gt;"",EDATE($D23,Milestones!$AA$88)&gt;=$S23),$V23,IF(AND($R23&lt;&gt;"",EDATE($D23,Milestones!$AA$88)&gt;=$R23),$U23,$T23)))=Milestones!$AB$88),TEXT(EDATE($D23,Milestones!$AA$88),"dd/mm/yy")&amp;" "&amp;Milestones!$AB$88&amp;" "&amp;Milestones!$AC$88&amp;";  ","")&amp;IF(AND(EDATE($D23,Milestones!$AA$89)&lt;=AsOfDate,IF($Q23=0,$W23,IF(AND($S23&lt;&gt;"",EDATE($D23,Milestones!$AA$89)&gt;=$S23),$V23,IF(AND($R23&lt;&gt;"",EDATE($D23,Milestones!$AA$89)&gt;=$R23),$U23,$T23)))=Milestones!$AB$89),TEXT(EDATE($D23,Milestones!$AA$89),"dd/mm/yy")&amp;" "&amp;Milestones!$AB$89&amp;" "&amp;Milestones!$AC$89&amp;";  ","")&amp;IF(AND(EDATE($D23,Milestones!$AA$90)&lt;=AsOfDate,IF($Q23=0,$W23,IF(AND($S23&lt;&gt;"",EDATE($D23,Milestones!$AA$90)&gt;=$S23),$V23,IF(AND($R23&lt;&gt;"",EDATE($D23,Milestones!$AA$90)&gt;=$R23),$U23,$T23)))=Milestones!$AB$90),TEXT(EDATE($D23,Milestones!$AA$90),"dd/mm/yy")&amp;" "&amp;Milestones!$AB$90&amp;" "&amp;Milestones!$AC$90&amp;";  ","")&amp;IF(AND(EDATE($D23,Milestones!$AA$91)&lt;=AsOfDate,IF($Q23=0,$W23,IF(AND($S23&lt;&gt;"",EDATE($D23,Milestones!$AA$91)&gt;=$S23),$V23,IF(AND($R23&lt;&gt;"",EDATE($D23,Milestones!$AA$91)&gt;=$R23),$U23,$T23)))=Milestones!$AB$91),TEXT(EDATE($D23,Milestones!$AA$91),"dd/mm/yy")&amp;" "&amp;Milestones!$AB$91&amp;" "&amp;Milestones!$AC$91&amp;";  ","")&amp;IF(AND(EDATE($D23,Milestones!$AA$92)&lt;=AsOfDate,IF($Q23=0,$W23,IF(AND($S23&lt;&gt;"",EDATE($D23,Milestones!$AA$92)&gt;=$S23),$V23,IF(AND($R23&lt;&gt;"",EDATE($D23,Milestones!$AA$92)&gt;=$R23),$U23,$T23)))=Milestones!$AB$92),TEXT(EDATE($D23,Milestones!$AA$92),"dd/mm/yy")&amp;" "&amp;Milestones!$AB$92&amp;" "&amp;Milestones!$AC$92&amp;";  ","")&amp;IF(AND(EDATE($D23,Milestones!$AA$93)&lt;=AsOfDate,IF($Q23=0,$W23,IF(AND($S23&lt;&gt;"",EDATE($D23,Milestones!$AA$93)&gt;=$S23),$V23,IF(AND($R23&lt;&gt;"",EDATE($D23,Milestones!$AA$93)&gt;=$R23),$U23,$T23)))=Milestones!$AB$93),TEXT(EDATE($D23,Milestones!$AA$93),"dd/mm/yy")&amp;" "&amp;Milestones!$AB$93&amp;" "&amp;Milestones!$AC$93&amp;";  ","")&amp;IF(AND(EDATE($D23,Milestones!$AA$94)&lt;=AsOfDate,IF($Q23=0,$W23,IF(AND($S23&lt;&gt;"",EDATE($D23,Milestones!$AA$94)&gt;=$S23),$V23,IF(AND($R23&lt;&gt;"",EDATE($D23,Milestones!$AA$94)&gt;=$R23),$U23,$T23)))=Milestones!$AB$94),TEXT(EDATE($D23,Milestones!$AA$94),"dd/mm/yy")&amp;" "&amp;Milestones!$AB$94&amp;" "&amp;Milestones!$AC$94&amp;";  ","")&amp;IF(AND(EDATE($D23,Milestones!$AA$95)&lt;=AsOfDate,IF($Q23=0,$W23,IF(AND($S23&lt;&gt;"",EDATE($D23,Milestones!$AA$95)&gt;=$S23),$V23,IF(AND($R23&lt;&gt;"",EDATE($D23,Milestones!$AA$95)&gt;=$R23),$U23,$T23)))=Milestones!$AB$95),TEXT(EDATE($D23,Milestones!$AA$95),"dd/mm/yy")&amp;" "&amp;Milestones!$AB$95&amp;" "&amp;Milestones!$AC$95&amp;";  ","")&amp;IF(AND(EDATE($D23,Milestones!$AA$96)&lt;=AsOfDate,IF($Q23=0,$W23,IF(AND($S23&lt;&gt;"",EDATE($D23,Milestones!$AA$96)&gt;=$S23),$V23,IF(AND($R23&lt;&gt;"",EDATE($D23,Milestones!$AA$96)&gt;=$R23),$U23,$T23)))=Milestones!$AB$96),TEXT(EDATE($D23,Milestones!$AA$96),"dd/mm/yy")&amp;" "&amp;Milestones!$AB$96&amp;" "&amp;Milestones!$AC$96&amp;";  ","")&amp;IF(AND(EDATE($D23,Milestones!$AA$97)&lt;=AsOfDate,IF($Q23=0,$W23,IF(AND($S23&lt;&gt;"",EDATE($D23,Milestones!$AA$97)&gt;=$S23),$V23,IF(AND($R23&lt;&gt;"",EDATE($D23,Milestones!$AA$97)&gt;=$R23),$U23,$T23)))=Milestones!$AB$97),TEXT(EDATE($D23,Milestones!$AA$97),"dd/mm/yy")&amp;" "&amp;Milestones!$AB$97&amp;" "&amp;Milestones!$AC$97&amp;";  ","")&amp;IF(AND(EDATE($D23,Milestones!$AA$98)&lt;=AsOfDate,IF($Q23=0,$W23,IF(AND($S23&lt;&gt;"",EDATE($D23,Milestones!$AA$98)&gt;=$S23),$V23,IF(AND($R23&lt;&gt;"",EDATE($D23,Milestones!$AA$98)&gt;=$R23),$U23,$T23)))=Milestones!$AB$98),TEXT(EDATE($D23,Milestones!$AA$98),"dd/mm/yy")&amp;" "&amp;Milestones!$AB$98&amp;" "&amp;Milestones!$AC$98&amp;";  ","")&amp;IF(AND(EDATE($D23,Milestones!$AA$99)&lt;=AsOfDate,IF($Q23=0,$W23,IF(AND($S23&lt;&gt;"",EDATE($D23,Milestones!$AA$99)&gt;=$S23),$V23,IF(AND($R23&lt;&gt;"",EDATE($D23,Milestones!$AA$99)&gt;=$R23),$U23,$T23)))=Milestones!$AB$99),TEXT(EDATE($D23,Milestones!$AA$99),"dd/mm/yy")&amp;" "&amp;Milestones!$AB$99&amp;" "&amp;Milestones!$AC$99&amp;";  ",""))</f>
        <v/>
      </c>
      <c r="L23" s="0" t="str">
        <f aca="false">IF(OR($A23="",$D23=""),"",IF(AND(EDATE($D23,Milestones!$AA$100)&lt;=AsOfDate,IF($Q23=0,$W23,IF(AND($S23&lt;&gt;"",EDATE($D23,Milestones!$AA$100)&gt;=$S23),$V23,IF(AND($R23&lt;&gt;"",EDATE($D23,Milestones!$AA$100)&gt;=$R23),$U23,$T23)))=Milestones!$AB$100),TEXT(EDATE($D23,Milestones!$AA$100),"dd/mm/yy")&amp;" "&amp;Milestones!$AB$100&amp;" "&amp;Milestones!$AC$100&amp;";  ","")&amp;IF(AND(EDATE($D23,Milestones!$AA$101)&lt;=AsOfDate,IF($Q23=0,$W23,IF(AND($S23&lt;&gt;"",EDATE($D23,Milestones!$AA$101)&gt;=$S23),$V23,IF(AND($R23&lt;&gt;"",EDATE($D23,Milestones!$AA$101)&gt;=$R23),$U23,$T23)))=Milestones!$AB$101),TEXT(EDATE($D23,Milestones!$AA$101),"dd/mm/yy")&amp;" "&amp;Milestones!$AB$101&amp;" "&amp;Milestones!$AC$101&amp;";  ","")&amp;IF(AND(EDATE($D23,Milestones!$AA$102)&lt;=AsOfDate,IF($Q23=0,$W23,IF(AND($S23&lt;&gt;"",EDATE($D23,Milestones!$AA$102)&gt;=$S23),$V23,IF(AND($R23&lt;&gt;"",EDATE($D23,Milestones!$AA$102)&gt;=$R23),$U23,$T23)))=Milestones!$AB$102),TEXT(EDATE($D23,Milestones!$AA$102),"dd/mm/yy")&amp;" "&amp;Milestones!$AB$102&amp;" "&amp;Milestones!$AC$102&amp;";  ","")&amp;IF(AND(EDATE($D23,Milestones!$AA$103)&lt;=AsOfDate,IF($Q23=0,$W23,IF(AND($S23&lt;&gt;"",EDATE($D23,Milestones!$AA$103)&gt;=$S23),$V23,IF(AND($R23&lt;&gt;"",EDATE($D23,Milestones!$AA$103)&gt;=$R23),$U23,$T23)))=Milestones!$AB$103),TEXT(EDATE($D23,Milestones!$AA$103),"dd/mm/yy")&amp;" "&amp;Milestones!$AB$103&amp;" "&amp;Milestones!$AC$103&amp;";  ","")&amp;IF(AND(EDATE($D23,Milestones!$AA$104)&lt;=AsOfDate,IF($Q23=0,$W23,IF(AND($S23&lt;&gt;"",EDATE($D23,Milestones!$AA$104)&gt;=$S23),$V23,IF(AND($R23&lt;&gt;"",EDATE($D23,Milestones!$AA$104)&gt;=$R23),$U23,$T23)))=Milestones!$AB$104),TEXT(EDATE($D23,Milestones!$AA$104),"dd/mm/yy")&amp;" "&amp;Milestones!$AB$104&amp;" "&amp;Milestones!$AC$104&amp;";  ","")&amp;IF(AND(EDATE($D23,Milestones!$AA$105)&lt;=AsOfDate,IF($Q23=0,$W23,IF(AND($S23&lt;&gt;"",EDATE($D23,Milestones!$AA$105)&gt;=$S23),$V23,IF(AND($R23&lt;&gt;"",EDATE($D23,Milestones!$AA$105)&gt;=$R23),$U23,$T23)))=Milestones!$AB$105),TEXT(EDATE($D23,Milestones!$AA$105),"dd/mm/yy")&amp;" "&amp;Milestones!$AB$105&amp;" "&amp;Milestones!$AC$105&amp;";  ","")&amp;IF(AND(EDATE($D23,Milestones!$AA$106)&lt;=AsOfDate,IF($Q23=0,$W23,IF(AND($S23&lt;&gt;"",EDATE($D23,Milestones!$AA$106)&gt;=$S23),$V23,IF(AND($R23&lt;&gt;"",EDATE($D23,Milestones!$AA$106)&gt;=$R23),$U23,$T23)))=Milestones!$AB$106),TEXT(EDATE($D23,Milestones!$AA$106),"dd/mm/yy")&amp;" "&amp;Milestones!$AB$106&amp;" "&amp;Milestones!$AC$106&amp;";  ","")&amp;IF(AND(EDATE($D23,Milestones!$AA$107)&lt;=AsOfDate,IF($Q23=0,$W23,IF(AND($S23&lt;&gt;"",EDATE($D23,Milestones!$AA$107)&gt;=$S23),$V23,IF(AND($R23&lt;&gt;"",EDATE($D23,Milestones!$AA$107)&gt;=$R23),$U23,$T23)))=Milestones!$AB$107),TEXT(EDATE($D23,Milestones!$AA$107),"dd/mm/yy")&amp;" "&amp;Milestones!$AB$107&amp;" "&amp;Milestones!$AC$107&amp;";  ","")&amp;IF(AND(EDATE($D23,Milestones!$AA$108)&lt;=AsOfDate,IF($Q23=0,$W23,IF(AND($S23&lt;&gt;"",EDATE($D23,Milestones!$AA$108)&gt;=$S23),$V23,IF(AND($R23&lt;&gt;"",EDATE($D23,Milestones!$AA$108)&gt;=$R23),$U23,$T23)))=Milestones!$AB$108),TEXT(EDATE($D23,Milestones!$AA$108),"dd/mm/yy")&amp;" "&amp;Milestones!$AB$108&amp;" "&amp;Milestones!$AC$108&amp;";  ","")&amp;IF(AND(EDATE($D23,Milestones!$AA$109)&lt;=AsOfDate,IF($Q23=0,$W23,IF(AND($S23&lt;&gt;"",EDATE($D23,Milestones!$AA$109)&gt;=$S23),$V23,IF(AND($R23&lt;&gt;"",EDATE($D23,Milestones!$AA$109)&gt;=$R23),$U23,$T23)))=Milestones!$AB$109),TEXT(EDATE($D23,Milestones!$AA$109),"dd/mm/yy")&amp;" "&amp;Milestones!$AB$109&amp;" "&amp;Milestones!$AC$109&amp;";  ","")&amp;IF(AND(EDATE($D23,Milestones!$AA$110)&lt;=AsOfDate,IF($Q23=0,$W23,IF(AND($S23&lt;&gt;"",EDATE($D23,Milestones!$AA$110)&gt;=$S23),$V23,IF(AND($R23&lt;&gt;"",EDATE($D23,Milestones!$AA$110)&gt;=$R23),$U23,$T23)))=Milestones!$AB$110),TEXT(EDATE($D23,Milestones!$AA$110),"dd/mm/yy")&amp;" "&amp;Milestones!$AB$110&amp;" "&amp;Milestones!$AC$110&amp;";  ","")&amp;IF(AND(EDATE($D23,Milestones!$AA$111)&lt;=AsOfDate,IF($Q23=0,$W23,IF(AND($S23&lt;&gt;"",EDATE($D23,Milestones!$AA$111)&gt;=$S23),$V23,IF(AND($R23&lt;&gt;"",EDATE($D23,Milestones!$AA$111)&gt;=$R23),$U23,$T23)))=Milestones!$AB$111),TEXT(EDATE($D23,Milestones!$AA$111),"dd/mm/yy")&amp;" "&amp;Milestones!$AB$111&amp;" "&amp;Milestones!$AC$111&amp;";  ","")&amp;IF(AND(EDATE($D23,Milestones!$AA$112)&lt;=AsOfDate,IF($Q23=0,$W23,IF(AND($S23&lt;&gt;"",EDATE($D23,Milestones!$AA$112)&gt;=$S23),$V23,IF(AND($R23&lt;&gt;"",EDATE($D23,Milestones!$AA$112)&gt;=$R23),$U23,$T23)))=Milestones!$AB$112),TEXT(EDATE($D23,Milestones!$AA$112),"dd/mm/yy")&amp;" "&amp;Milestones!$AB$112&amp;" "&amp;Milestones!$AC$112&amp;";  ","")&amp;IF(AND(EDATE($D23,Milestones!$AA$113)&lt;=AsOfDate,IF($Q23=0,$W23,IF(AND($S23&lt;&gt;"",EDATE($D23,Milestones!$AA$113)&gt;=$S23),$V23,IF(AND($R23&lt;&gt;"",EDATE($D23,Milestones!$AA$113)&gt;=$R23),$U23,$T23)))=Milestones!$AB$113),TEXT(EDATE($D23,Milestones!$AA$113),"dd/mm/yy")&amp;" "&amp;Milestones!$AB$113&amp;" "&amp;Milestones!$AC$113&amp;";  ","")&amp;IF(AND(EDATE($D23,Milestones!$AA$114)&lt;=AsOfDate,IF($Q23=0,$W23,IF(AND($S23&lt;&gt;"",EDATE($D23,Milestones!$AA$114)&gt;=$S23),$V23,IF(AND($R23&lt;&gt;"",EDATE($D23,Milestones!$AA$114)&gt;=$R23),$U23,$T23)))=Milestones!$AB$114),TEXT(EDATE($D23,Milestones!$AA$114),"dd/mm/yy")&amp;" "&amp;Milestones!$AB$114&amp;" "&amp;Milestones!$AC$114&amp;";  ","")&amp;IF(AND(EDATE($D23,Milestones!$AA$115)&lt;=AsOfDate,IF($Q23=0,$W23,IF(AND($S23&lt;&gt;"",EDATE($D23,Milestones!$AA$115)&gt;=$S23),$V23,IF(AND($R23&lt;&gt;"",EDATE($D23,Milestones!$AA$115)&gt;=$R23),$U23,$T23)))=Milestones!$AB$115),TEXT(EDATE($D23,Milestones!$AA$115),"dd/mm/yy")&amp;" "&amp;Milestones!$AB$115&amp;" "&amp;Milestones!$AC$115&amp;";  ","")&amp;IF(AND(EDATE($D23,Milestones!$AA$116)&lt;=AsOfDate,IF($Q23=0,$W23,IF(AND($S23&lt;&gt;"",EDATE($D23,Milestones!$AA$116)&gt;=$S23),$V23,IF(AND($R23&lt;&gt;"",EDATE($D23,Milestones!$AA$116)&gt;=$R23),$U23,$T23)))=Milestones!$AB$116),TEXT(EDATE($D23,Milestones!$AA$116),"dd/mm/yy")&amp;" "&amp;Milestones!$AB$116&amp;" "&amp;Milestones!$AC$116&amp;";  ","")&amp;IF(AND(EDATE($D23,Milestones!$AA$117)&lt;=AsOfDate,IF($Q23=0,$W23,IF(AND($S23&lt;&gt;"",EDATE($D23,Milestones!$AA$117)&gt;=$S23),$V23,IF(AND($R23&lt;&gt;"",EDATE($D23,Milestones!$AA$117)&gt;=$R23),$U23,$T23)))=Milestones!$AB$117),TEXT(EDATE($D23,Milestones!$AA$117),"dd/mm/yy")&amp;" "&amp;Milestones!$AB$117&amp;" "&amp;Milestones!$AC$117&amp;";  ","")&amp;IF(AND(EDATE($D23,Milestones!$AA$118)&lt;=AsOfDate,IF($Q23=0,$W23,IF(AND($S23&lt;&gt;"",EDATE($D23,Milestones!$AA$118)&gt;=$S23),$V23,IF(AND($R23&lt;&gt;"",EDATE($D23,Milestones!$AA$118)&gt;=$R23),$U23,$T23)))=Milestones!$AB$118),TEXT(EDATE($D23,Milestones!$AA$118),"dd/mm/yy")&amp;" "&amp;Milestones!$AB$118&amp;" "&amp;Milestones!$AC$118&amp;";  ","")&amp;IF(AND(EDATE($D23,Milestones!$AA$119)&lt;=AsOfDate,IF($Q23=0,$W23,IF(AND($S23&lt;&gt;"",EDATE($D23,Milestones!$AA$119)&gt;=$S23),$V23,IF(AND($R23&lt;&gt;"",EDATE($D23,Milestones!$AA$119)&gt;=$R23),$U23,$T23)))=Milestones!$AB$119),TEXT(EDATE($D23,Milestones!$AA$119),"dd/mm/yy")&amp;" "&amp;Milestones!$AB$119&amp;" "&amp;Milestones!$AC$119&amp;";  ",""))</f>
        <v/>
      </c>
      <c r="M23" s="0" t="str">
        <f aca="false">IF(OR($A23="",$D23=""),"",IF(AND(EDATE($D23,Milestones!$AA$120)&lt;=AsOfDate,IF($Q23=0,$W23,IF(AND($S23&lt;&gt;"",EDATE($D23,Milestones!$AA$120)&gt;=$S23),$V23,IF(AND($R23&lt;&gt;"",EDATE($D23,Milestones!$AA$120)&gt;=$R23),$U23,$T23)))=Milestones!$AB$120),TEXT(EDATE($D23,Milestones!$AA$120),"dd/mm/yy")&amp;" "&amp;Milestones!$AB$120&amp;" "&amp;Milestones!$AC$120&amp;";  ","")&amp;IF(AND(EDATE($D23,Milestones!$AA$121)&lt;=AsOfDate,IF($Q23=0,$W23,IF(AND($S23&lt;&gt;"",EDATE($D23,Milestones!$AA$121)&gt;=$S23),$V23,IF(AND($R23&lt;&gt;"",EDATE($D23,Milestones!$AA$121)&gt;=$R23),$U23,$T23)))=Milestones!$AB$121),TEXT(EDATE($D23,Milestones!$AA$121),"dd/mm/yy")&amp;" "&amp;Milestones!$AB$121&amp;" "&amp;Milestones!$AC$121&amp;";  ","")&amp;IF(AND(EDATE($D23,Milestones!$AA$122)&lt;=AsOfDate,IF($Q23=0,$W23,IF(AND($S23&lt;&gt;"",EDATE($D23,Milestones!$AA$122)&gt;=$S23),$V23,IF(AND($R23&lt;&gt;"",EDATE($D23,Milestones!$AA$122)&gt;=$R23),$U23,$T23)))=Milestones!$AB$122),TEXT(EDATE($D23,Milestones!$AA$122),"dd/mm/yy")&amp;" "&amp;Milestones!$AB$122&amp;" "&amp;Milestones!$AC$122&amp;";  ","")&amp;IF(AND(EDATE($D23,Milestones!$AA$123)&lt;=AsOfDate,IF($Q23=0,$W23,IF(AND($S23&lt;&gt;"",EDATE($D23,Milestones!$AA$123)&gt;=$S23),$V23,IF(AND($R23&lt;&gt;"",EDATE($D23,Milestones!$AA$123)&gt;=$R23),$U23,$T23)))=Milestones!$AB$123),TEXT(EDATE($D23,Milestones!$AA$123),"dd/mm/yy")&amp;" "&amp;Milestones!$AB$123&amp;" "&amp;Milestones!$AC$123&amp;";  ","")&amp;IF(AND(EDATE($D23,Milestones!$AA$124)&lt;=AsOfDate,IF($Q23=0,$W23,IF(AND($S23&lt;&gt;"",EDATE($D23,Milestones!$AA$124)&gt;=$S23),$V23,IF(AND($R23&lt;&gt;"",EDATE($D23,Milestones!$AA$124)&gt;=$R23),$U23,$T23)))=Milestones!$AB$124),TEXT(EDATE($D23,Milestones!$AA$124),"dd/mm/yy")&amp;" "&amp;Milestones!$AB$124&amp;" "&amp;Milestones!$AC$124&amp;";  ","")&amp;IF(AND(EDATE($D23,Milestones!$AA$125)&lt;=AsOfDate,IF($Q23=0,$W23,IF(AND($S23&lt;&gt;"",EDATE($D23,Milestones!$AA$125)&gt;=$S23),$V23,IF(AND($R23&lt;&gt;"",EDATE($D23,Milestones!$AA$125)&gt;=$R23),$U23,$T23)))=Milestones!$AB$125),TEXT(EDATE($D23,Milestones!$AA$125),"dd/mm/yy")&amp;" "&amp;Milestones!$AB$125&amp;" "&amp;Milestones!$AC$125&amp;";  ","")&amp;IF(AND(EDATE($D23,Milestones!$AA$126)&lt;=AsOfDate,IF($Q23=0,$W23,IF(AND($S23&lt;&gt;"",EDATE($D23,Milestones!$AA$126)&gt;=$S23),$V23,IF(AND($R23&lt;&gt;"",EDATE($D23,Milestones!$AA$126)&gt;=$R23),$U23,$T23)))=Milestones!$AB$126),TEXT(EDATE($D23,Milestones!$AA$126),"dd/mm/yy")&amp;" "&amp;Milestones!$AB$126&amp;" "&amp;Milestones!$AC$126&amp;";  ","")&amp;IF(AND(EDATE($D23,Milestones!$AA$127)&lt;=AsOfDate,IF($Q23=0,$W23,IF(AND($S23&lt;&gt;"",EDATE($D23,Milestones!$AA$127)&gt;=$S23),$V23,IF(AND($R23&lt;&gt;"",EDATE($D23,Milestones!$AA$127)&gt;=$R23),$U23,$T23)))=Milestones!$AB$127),TEXT(EDATE($D23,Milestones!$AA$127),"dd/mm/yy")&amp;" "&amp;Milestones!$AB$127&amp;" "&amp;Milestones!$AC$127&amp;";  ","")&amp;IF(AND(EDATE($D23,Milestones!$AA$128)&lt;=AsOfDate,IF($Q23=0,$W23,IF(AND($S23&lt;&gt;"",EDATE($D23,Milestones!$AA$128)&gt;=$S23),$V23,IF(AND($R23&lt;&gt;"",EDATE($D23,Milestones!$AA$128)&gt;=$R23),$U23,$T23)))=Milestones!$AB$128),TEXT(EDATE($D23,Milestones!$AA$128),"dd/mm/yy")&amp;" "&amp;Milestones!$AB$128&amp;" "&amp;Milestones!$AC$128&amp;";  ","")&amp;IF(AND(EDATE($D23,Milestones!$AA$129)&lt;=AsOfDate,IF($Q23=0,$W23,IF(AND($S23&lt;&gt;"",EDATE($D23,Milestones!$AA$129)&gt;=$S23),$V23,IF(AND($R23&lt;&gt;"",EDATE($D23,Milestones!$AA$129)&gt;=$R23),$U23,$T23)))=Milestones!$AB$129),TEXT(EDATE($D23,Milestones!$AA$129),"dd/mm/yy")&amp;" "&amp;Milestones!$AB$129&amp;" "&amp;Milestones!$AC$129&amp;";  ","")&amp;IF(AND(EDATE($D23,Milestones!$AA$130)&lt;=AsOfDate,IF($Q23=0,$W23,IF(AND($S23&lt;&gt;"",EDATE($D23,Milestones!$AA$130)&gt;=$S23),$V23,IF(AND($R23&lt;&gt;"",EDATE($D23,Milestones!$AA$130)&gt;=$R23),$U23,$T23)))=Milestones!$AB$130),TEXT(EDATE($D23,Milestones!$AA$130),"dd/mm/yy")&amp;" "&amp;Milestones!$AB$130&amp;" "&amp;Milestones!$AC$130&amp;";  ","")&amp;IF(AND(EDATE($D23,Milestones!$AA$131)&lt;=AsOfDate,IF($Q23=0,$W23,IF(AND($S23&lt;&gt;"",EDATE($D23,Milestones!$AA$131)&gt;=$S23),$V23,IF(AND($R23&lt;&gt;"",EDATE($D23,Milestones!$AA$131)&gt;=$R23),$U23,$T23)))=Milestones!$AB$131),TEXT(EDATE($D23,Milestones!$AA$131),"dd/mm/yy")&amp;" "&amp;Milestones!$AB$131&amp;" "&amp;Milestones!$AC$131&amp;";  ","")&amp;IF(AND(EDATE($D23,Milestones!$AA$132)&lt;=AsOfDate,IF($Q23=0,$W23,IF(AND($S23&lt;&gt;"",EDATE($D23,Milestones!$AA$132)&gt;=$S23),$V23,IF(AND($R23&lt;&gt;"",EDATE($D23,Milestones!$AA$132)&gt;=$R23),$U23,$T23)))=Milestones!$AB$132),TEXT(EDATE($D23,Milestones!$AA$132),"dd/mm/yy")&amp;" "&amp;Milestones!$AB$132&amp;" "&amp;Milestones!$AC$132&amp;";  ","")&amp;IF(AND(EDATE($D23,Milestones!$AA$133)&lt;=AsOfDate,IF($Q23=0,$W23,IF(AND($S23&lt;&gt;"",EDATE($D23,Milestones!$AA$133)&gt;=$S23),$V23,IF(AND($R23&lt;&gt;"",EDATE($D23,Milestones!$AA$133)&gt;=$R23),$U23,$T23)))=Milestones!$AB$133),TEXT(EDATE($D23,Milestones!$AA$133),"dd/mm/yy")&amp;" "&amp;Milestones!$AB$133&amp;" "&amp;Milestones!$AC$133&amp;";  ","")&amp;IF(AND(EDATE($D23,Milestones!$AA$134)&lt;=AsOfDate,IF($Q23=0,$W23,IF(AND($S23&lt;&gt;"",EDATE($D23,Milestones!$AA$134)&gt;=$S23),$V23,IF(AND($R23&lt;&gt;"",EDATE($D23,Milestones!$AA$134)&gt;=$R23),$U23,$T23)))=Milestones!$AB$134),TEXT(EDATE($D23,Milestones!$AA$134),"dd/mm/yy")&amp;" "&amp;Milestones!$AB$134&amp;" "&amp;Milestones!$AC$134&amp;";  ","")&amp;IF(AND(EDATE($D23,Milestones!$AA$135)&lt;=AsOfDate,IF($Q23=0,$W23,IF(AND($S23&lt;&gt;"",EDATE($D23,Milestones!$AA$135)&gt;=$S23),$V23,IF(AND($R23&lt;&gt;"",EDATE($D23,Milestones!$AA$135)&gt;=$R23),$U23,$T23)))=Milestones!$AB$135),TEXT(EDATE($D23,Milestones!$AA$135),"dd/mm/yy")&amp;" "&amp;Milestones!$AB$135&amp;" "&amp;Milestones!$AC$135&amp;";  ","")&amp;IF(AND(EDATE($D23,Milestones!$AA$136)&lt;=AsOfDate,IF($Q23=0,$W23,IF(AND($S23&lt;&gt;"",EDATE($D23,Milestones!$AA$136)&gt;=$S23),$V23,IF(AND($R23&lt;&gt;"",EDATE($D23,Milestones!$AA$136)&gt;=$R23),$U23,$T23)))=Milestones!$AB$136),TEXT(EDATE($D23,Milestones!$AA$136),"dd/mm/yy")&amp;" "&amp;Milestones!$AB$136&amp;" "&amp;Milestones!$AC$136&amp;";  ","")&amp;IF(AND(EDATE($D23,Milestones!$AA$137)&lt;=AsOfDate,IF($Q23=0,$W23,IF(AND($S23&lt;&gt;"",EDATE($D23,Milestones!$AA$137)&gt;=$S23),$V23,IF(AND($R23&lt;&gt;"",EDATE($D23,Milestones!$AA$137)&gt;=$R23),$U23,$T23)))=Milestones!$AB$137),TEXT(EDATE($D23,Milestones!$AA$137),"dd/mm/yy")&amp;" "&amp;Milestones!$AB$137&amp;" "&amp;Milestones!$AC$137&amp;";  ","")&amp;IF(AND(EDATE($D23,Milestones!$AA$138)&lt;=AsOfDate,IF($Q23=0,$W23,IF(AND($S23&lt;&gt;"",EDATE($D23,Milestones!$AA$138)&gt;=$S23),$V23,IF(AND($R23&lt;&gt;"",EDATE($D23,Milestones!$AA$138)&gt;=$R23),$U23,$T23)))=Milestones!$AB$138),TEXT(EDATE($D23,Milestones!$AA$138),"dd/mm/yy")&amp;" "&amp;Milestones!$AB$138&amp;" "&amp;Milestones!$AC$138&amp;";  ","")&amp;IF(AND(EDATE($D23,Milestones!$AA$139)&lt;=AsOfDate,IF($Q23=0,$W23,IF(AND($S23&lt;&gt;"",EDATE($D23,Milestones!$AA$139)&gt;=$S23),$V23,IF(AND($R23&lt;&gt;"",EDATE($D23,Milestones!$AA$139)&gt;=$R23),$U23,$T23)))=Milestones!$AB$139),TEXT(EDATE($D23,Milestones!$AA$139),"dd/mm/yy")&amp;" "&amp;Milestones!$AB$139&amp;" "&amp;Milestones!$AC$139&amp;";  ",""))</f>
        <v/>
      </c>
      <c r="N23" s="0" t="str">
        <f aca="false">IF(OR($A23="",$D23=""),"",IF(AND(EDATE($D23,Milestones!$AA$140)&lt;=AsOfDate,IF($Q23=0,$W23,IF(AND($S23&lt;&gt;"",EDATE($D23,Milestones!$AA$140)&gt;=$S23),$V23,IF(AND($R23&lt;&gt;"",EDATE($D23,Milestones!$AA$140)&gt;=$R23),$U23,$T23)))=Milestones!$AB$140),TEXT(EDATE($D23,Milestones!$AA$140),"dd/mm/yy")&amp;" "&amp;Milestones!$AB$140&amp;" "&amp;Milestones!$AC$140&amp;";  ","")&amp;IF(AND(EDATE($D23,Milestones!$AA$141)&lt;=AsOfDate,IF($Q23=0,$W23,IF(AND($S23&lt;&gt;"",EDATE($D23,Milestones!$AA$141)&gt;=$S23),$V23,IF(AND($R23&lt;&gt;"",EDATE($D23,Milestones!$AA$141)&gt;=$R23),$U23,$T23)))=Milestones!$AB$141),TEXT(EDATE($D23,Milestones!$AA$141),"dd/mm/yy")&amp;" "&amp;Milestones!$AB$141&amp;" "&amp;Milestones!$AC$141&amp;";  ","")&amp;IF(AND(EDATE($D23,Milestones!$AA$142)&lt;=AsOfDate,IF($Q23=0,$W23,IF(AND($S23&lt;&gt;"",EDATE($D23,Milestones!$AA$142)&gt;=$S23),$V23,IF(AND($R23&lt;&gt;"",EDATE($D23,Milestones!$AA$142)&gt;=$R23),$U23,$T23)))=Milestones!$AB$142),TEXT(EDATE($D23,Milestones!$AA$142),"dd/mm/yy")&amp;" "&amp;Milestones!$AB$142&amp;" "&amp;Milestones!$AC$142&amp;";  ","")&amp;IF(AND(EDATE($D23,Milestones!$AA$143)&lt;=AsOfDate,IF($Q23=0,$W23,IF(AND($S23&lt;&gt;"",EDATE($D23,Milestones!$AA$143)&gt;=$S23),$V23,IF(AND($R23&lt;&gt;"",EDATE($D23,Milestones!$AA$143)&gt;=$R23),$U23,$T23)))=Milestones!$AB$143),TEXT(EDATE($D23,Milestones!$AA$143),"dd/mm/yy")&amp;" "&amp;Milestones!$AB$143&amp;" "&amp;Milestones!$AC$143&amp;";  ","")&amp;IF(AND(EDATE($D23,Milestones!$AA$144)&lt;=AsOfDate,IF($Q23=0,$W23,IF(AND($S23&lt;&gt;"",EDATE($D23,Milestones!$AA$144)&gt;=$S23),$V23,IF(AND($R23&lt;&gt;"",EDATE($D23,Milestones!$AA$144)&gt;=$R23),$U23,$T23)))=Milestones!$AB$144),TEXT(EDATE($D23,Milestones!$AA$144),"dd/mm/yy")&amp;" "&amp;Milestones!$AB$144&amp;" "&amp;Milestones!$AC$144&amp;";  ","")&amp;IF(AND(EDATE($D23,Milestones!$AA$145)&lt;=AsOfDate,IF($Q23=0,$W23,IF(AND($S23&lt;&gt;"",EDATE($D23,Milestones!$AA$145)&gt;=$S23),$V23,IF(AND($R23&lt;&gt;"",EDATE($D23,Milestones!$AA$145)&gt;=$R23),$U23,$T23)))=Milestones!$AB$145),TEXT(EDATE($D23,Milestones!$AA$145),"dd/mm/yy")&amp;" "&amp;Milestones!$AB$145&amp;" "&amp;Milestones!$AC$145&amp;";  ","")&amp;IF(AND(EDATE($D23,Milestones!$AA$146)&lt;=AsOfDate,IF($Q23=0,$W23,IF(AND($S23&lt;&gt;"",EDATE($D23,Milestones!$AA$146)&gt;=$S23),$V23,IF(AND($R23&lt;&gt;"",EDATE($D23,Milestones!$AA$146)&gt;=$R23),$U23,$T23)))=Milestones!$AB$146),TEXT(EDATE($D23,Milestones!$AA$146),"dd/mm/yy")&amp;" "&amp;Milestones!$AB$146&amp;" "&amp;Milestones!$AC$146&amp;";  ","")&amp;IF(AND(EDATE($D23,Milestones!$AA$147)&lt;=AsOfDate,IF($Q23=0,$W23,IF(AND($S23&lt;&gt;"",EDATE($D23,Milestones!$AA$147)&gt;=$S23),$V23,IF(AND($R23&lt;&gt;"",EDATE($D23,Milestones!$AA$147)&gt;=$R23),$U23,$T23)))=Milestones!$AB$147),TEXT(EDATE($D23,Milestones!$AA$147),"dd/mm/yy")&amp;" "&amp;Milestones!$AB$147&amp;" "&amp;Milestones!$AC$147&amp;";  ","")&amp;IF(AND(EDATE($D23,Milestones!$AA$148)&lt;=AsOfDate,IF($Q23=0,$W23,IF(AND($S23&lt;&gt;"",EDATE($D23,Milestones!$AA$148)&gt;=$S23),$V23,IF(AND($R23&lt;&gt;"",EDATE($D23,Milestones!$AA$148)&gt;=$R23),$U23,$T23)))=Milestones!$AB$148),TEXT(EDATE($D23,Milestones!$AA$148),"dd/mm/yy")&amp;" "&amp;Milestones!$AB$148&amp;" "&amp;Milestones!$AC$148&amp;";  ","")&amp;IF(AND(EDATE($D23,Milestones!$AA$149)&lt;=AsOfDate,IF($Q23=0,$W23,IF(AND($S23&lt;&gt;"",EDATE($D23,Milestones!$AA$149)&gt;=$S23),$V23,IF(AND($R23&lt;&gt;"",EDATE($D23,Milestones!$AA$149)&gt;=$R23),$U23,$T23)))=Milestones!$AB$149),TEXT(EDATE($D23,Milestones!$AA$149),"dd/mm/yy")&amp;" "&amp;Milestones!$AB$149&amp;" "&amp;Milestones!$AC$149&amp;";  ","")&amp;IF(AND(EDATE($D23,Milestones!$AA$150)&lt;=AsOfDate,IF($Q23=0,$W23,IF(AND($S23&lt;&gt;"",EDATE($D23,Milestones!$AA$150)&gt;=$S23),$V23,IF(AND($R23&lt;&gt;"",EDATE($D23,Milestones!$AA$150)&gt;=$R23),$U23,$T23)))=Milestones!$AB$150),TEXT(EDATE($D23,Milestones!$AA$150),"dd/mm/yy")&amp;" "&amp;Milestones!$AB$150&amp;" "&amp;Milestones!$AC$150&amp;";  ","")&amp;IF(AND(EDATE($D23,Milestones!$AA$151)&lt;=AsOfDate,IF($Q23=0,$W23,IF(AND($S23&lt;&gt;"",EDATE($D23,Milestones!$AA$151)&gt;=$S23),$V23,IF(AND($R23&lt;&gt;"",EDATE($D23,Milestones!$AA$151)&gt;=$R23),$U23,$T23)))=Milestones!$AB$151),TEXT(EDATE($D23,Milestones!$AA$151),"dd/mm/yy")&amp;" "&amp;Milestones!$AB$151&amp;" "&amp;Milestones!$AC$151&amp;";  ","")&amp;IF(AND(EDATE($D23,Milestones!$AA$152)&lt;=AsOfDate,IF($Q23=0,$W23,IF(AND($S23&lt;&gt;"",EDATE($D23,Milestones!$AA$152)&gt;=$S23),$V23,IF(AND($R23&lt;&gt;"",EDATE($D23,Milestones!$AA$152)&gt;=$R23),$U23,$T23)))=Milestones!$AB$152),TEXT(EDATE($D23,Milestones!$AA$152),"dd/mm/yy")&amp;" "&amp;Milestones!$AB$152&amp;" "&amp;Milestones!$AC$152&amp;";  ","")&amp;IF(AND(EDATE($D23,Milestones!$AA$153)&lt;=AsOfDate,IF($Q23=0,$W23,IF(AND($S23&lt;&gt;"",EDATE($D23,Milestones!$AA$153)&gt;=$S23),$V23,IF(AND($R23&lt;&gt;"",EDATE($D23,Milestones!$AA$153)&gt;=$R23),$U23,$T23)))=Milestones!$AB$153),TEXT(EDATE($D23,Milestones!$AA$153),"dd/mm/yy")&amp;" "&amp;Milestones!$AB$153&amp;" "&amp;Milestones!$AC$153&amp;";  ","")&amp;IF(AND(EDATE($D23,Milestones!$AA$154)&lt;=AsOfDate,IF($Q23=0,$W23,IF(AND($S23&lt;&gt;"",EDATE($D23,Milestones!$AA$154)&gt;=$S23),$V23,IF(AND($R23&lt;&gt;"",EDATE($D23,Milestones!$AA$154)&gt;=$R23),$U23,$T23)))=Milestones!$AB$154),TEXT(EDATE($D23,Milestones!$AA$154),"dd/mm/yy")&amp;" "&amp;Milestones!$AB$154&amp;" "&amp;Milestones!$AC$154&amp;";  ","")&amp;IF(AND(EDATE($D23,Milestones!$AA$155)&lt;=AsOfDate,IF($Q23=0,$W23,IF(AND($S23&lt;&gt;"",EDATE($D23,Milestones!$AA$155)&gt;=$S23),$V23,IF(AND($R23&lt;&gt;"",EDATE($D23,Milestones!$AA$155)&gt;=$R23),$U23,$T23)))=Milestones!$AB$155),TEXT(EDATE($D23,Milestones!$AA$155),"dd/mm/yy")&amp;" "&amp;Milestones!$AB$155&amp;" "&amp;Milestones!$AC$155&amp;";  ","")&amp;IF(AND(EDATE($D23,Milestones!$AA$156)&lt;=AsOfDate,IF($Q23=0,$W23,IF(AND($S23&lt;&gt;"",EDATE($D23,Milestones!$AA$156)&gt;=$S23),$V23,IF(AND($R23&lt;&gt;"",EDATE($D23,Milestones!$AA$156)&gt;=$R23),$U23,$T23)))=Milestones!$AB$156),TEXT(EDATE($D23,Milestones!$AA$156),"dd/mm/yy")&amp;" "&amp;Milestones!$AB$156&amp;" "&amp;Milestones!$AC$156&amp;";  ","")&amp;IF(AND(EDATE($D23,Milestones!$AA$157)&lt;=AsOfDate,IF($Q23=0,$W23,IF(AND($S23&lt;&gt;"",EDATE($D23,Milestones!$AA$157)&gt;=$S23),$V23,IF(AND($R23&lt;&gt;"",EDATE($D23,Milestones!$AA$157)&gt;=$R23),$U23,$T23)))=Milestones!$AB$157),TEXT(EDATE($D23,Milestones!$AA$157),"dd/mm/yy")&amp;" "&amp;Milestones!$AB$157&amp;" "&amp;Milestones!$AC$157&amp;";  ","")&amp;IF(AND(EDATE($D23,Milestones!$AA$158)&lt;=AsOfDate,IF($Q23=0,$W23,IF(AND($S23&lt;&gt;"",EDATE($D23,Milestones!$AA$158)&gt;=$S23),$V23,IF(AND($R23&lt;&gt;"",EDATE($D23,Milestones!$AA$158)&gt;=$R23),$U23,$T23)))=Milestones!$AB$158),TEXT(EDATE($D23,Milestones!$AA$158),"dd/mm/yy")&amp;" "&amp;Milestones!$AB$158&amp;" "&amp;Milestones!$AC$158&amp;";  ","")&amp;IF(AND(EDATE($D23,Milestones!$AA$159)&lt;=AsOfDate,IF($Q23=0,$W23,IF(AND($S23&lt;&gt;"",EDATE($D23,Milestones!$AA$159)&gt;=$S23),$V23,IF(AND($R23&lt;&gt;"",EDATE($D23,Milestones!$AA$159)&gt;=$R23),$U23,$T23)))=Milestones!$AB$159),TEXT(EDATE($D23,Milestones!$AA$159),"dd/mm/yy")&amp;" "&amp;Milestones!$AB$159&amp;" "&amp;Milestones!$AC$159&amp;";  ",""))</f>
        <v/>
      </c>
      <c r="O23" s="0" t="str">
        <f aca="false">IF(OR($A23="",$D23=""),"",IF(AND(EDATE($D23,Milestones!$AA$160)&lt;=AsOfDate,IF($Q23=0,$W23,IF(AND($S23&lt;&gt;"",EDATE($D23,Milestones!$AA$160)&gt;=$S23),$V23,IF(AND($R23&lt;&gt;"",EDATE($D23,Milestones!$AA$160)&gt;=$R23),$U23,$T23)))=Milestones!$AB$160),TEXT(EDATE($D23,Milestones!$AA$160),"dd/mm/yy")&amp;" "&amp;Milestones!$AB$160&amp;" "&amp;Milestones!$AC$160&amp;";  ","")&amp;IF(AND(EDATE($D23,Milestones!$AA$161)&lt;=AsOfDate,IF($Q23=0,$W23,IF(AND($S23&lt;&gt;"",EDATE($D23,Milestones!$AA$161)&gt;=$S23),$V23,IF(AND($R23&lt;&gt;"",EDATE($D23,Milestones!$AA$161)&gt;=$R23),$U23,$T23)))=Milestones!$AB$161),TEXT(EDATE($D23,Milestones!$AA$161),"dd/mm/yy")&amp;" "&amp;Milestones!$AB$161&amp;" "&amp;Milestones!$AC$161&amp;";  ","")&amp;IF(AND(EDATE($D23,Milestones!$AA$162)&lt;=AsOfDate,IF($Q23=0,$W23,IF(AND($S23&lt;&gt;"",EDATE($D23,Milestones!$AA$162)&gt;=$S23),$V23,IF(AND($R23&lt;&gt;"",EDATE($D23,Milestones!$AA$162)&gt;=$R23),$U23,$T23)))=Milestones!$AB$162),TEXT(EDATE($D23,Milestones!$AA$162),"dd/mm/yy")&amp;" "&amp;Milestones!$AB$162&amp;" "&amp;Milestones!$AC$162&amp;";  ","")&amp;IF(AND(EDATE($D23,Milestones!$AA$163)&lt;=AsOfDate,IF($Q23=0,$W23,IF(AND($S23&lt;&gt;"",EDATE($D23,Milestones!$AA$163)&gt;=$S23),$V23,IF(AND($R23&lt;&gt;"",EDATE($D23,Milestones!$AA$163)&gt;=$R23),$U23,$T23)))=Milestones!$AB$163),TEXT(EDATE($D23,Milestones!$AA$163),"dd/mm/yy")&amp;" "&amp;Milestones!$AB$163&amp;" "&amp;Milestones!$AC$163&amp;";  ","")&amp;IF(AND(EDATE($D23,Milestones!$AA$164)&lt;=AsOfDate,IF($Q23=0,$W23,IF(AND($S23&lt;&gt;"",EDATE($D23,Milestones!$AA$164)&gt;=$S23),$V23,IF(AND($R23&lt;&gt;"",EDATE($D23,Milestones!$AA$164)&gt;=$R23),$U23,$T23)))=Milestones!$AB$164),TEXT(EDATE($D23,Milestones!$AA$164),"dd/mm/yy")&amp;" "&amp;Milestones!$AB$164&amp;" "&amp;Milestones!$AC$164&amp;";  ","")&amp;IF(AND(EDATE($D23,Milestones!$AA$165)&lt;=AsOfDate,IF($Q23=0,$W23,IF(AND($S23&lt;&gt;"",EDATE($D23,Milestones!$AA$165)&gt;=$S23),$V23,IF(AND($R23&lt;&gt;"",EDATE($D23,Milestones!$AA$165)&gt;=$R23),$U23,$T23)))=Milestones!$AB$165),TEXT(EDATE($D23,Milestones!$AA$165),"dd/mm/yy")&amp;" "&amp;Milestones!$AB$165&amp;" "&amp;Milestones!$AC$165&amp;";  ","")&amp;IF(AND(EDATE($D23,Milestones!$AA$166)&lt;=AsOfDate,IF($Q23=0,$W23,IF(AND($S23&lt;&gt;"",EDATE($D23,Milestones!$AA$166)&gt;=$S23),$V23,IF(AND($R23&lt;&gt;"",EDATE($D23,Milestones!$AA$166)&gt;=$R23),$U23,$T23)))=Milestones!$AB$166),TEXT(EDATE($D23,Milestones!$AA$166),"dd/mm/yy")&amp;" "&amp;Milestones!$AB$166&amp;" "&amp;Milestones!$AC$166&amp;";  ","")&amp;IF(AND(EDATE($D23,Milestones!$AA$167)&lt;=AsOfDate,IF($Q23=0,$W23,IF(AND($S23&lt;&gt;"",EDATE($D23,Milestones!$AA$167)&gt;=$S23),$V23,IF(AND($R23&lt;&gt;"",EDATE($D23,Milestones!$AA$167)&gt;=$R23),$U23,$T23)))=Milestones!$AB$167),TEXT(EDATE($D23,Milestones!$AA$167),"dd/mm/yy")&amp;" "&amp;Milestones!$AB$167&amp;" "&amp;Milestones!$AC$167&amp;";  ","")&amp;IF(AND(EDATE($D23,Milestones!$AA$168)&lt;=AsOfDate,IF($Q23=0,$W23,IF(AND($S23&lt;&gt;"",EDATE($D23,Milestones!$AA$168)&gt;=$S23),$V23,IF(AND($R23&lt;&gt;"",EDATE($D23,Milestones!$AA$168)&gt;=$R23),$U23,$T23)))=Milestones!$AB$168),TEXT(EDATE($D23,Milestones!$AA$168),"dd/mm/yy")&amp;" "&amp;Milestones!$AB$168&amp;" "&amp;Milestones!$AC$168&amp;";  ","")&amp;IF(AND(EDATE($D23,Milestones!$AA$169)&lt;=AsOfDate,IF($Q23=0,$W23,IF(AND($S23&lt;&gt;"",EDATE($D23,Milestones!$AA$169)&gt;=$S23),$V23,IF(AND($R23&lt;&gt;"",EDATE($D23,Milestones!$AA$169)&gt;=$R23),$U23,$T23)))=Milestones!$AB$169),TEXT(EDATE($D23,Milestones!$AA$169),"dd/mm/yy")&amp;" "&amp;Milestones!$AB$169&amp;" "&amp;Milestones!$AC$169&amp;";  ","")&amp;IF(AND(EDATE($D23,Milestones!$AA$170)&lt;=AsOfDate,IF($Q23=0,$W23,IF(AND($S23&lt;&gt;"",EDATE($D23,Milestones!$AA$170)&gt;=$S23),$V23,IF(AND($R23&lt;&gt;"",EDATE($D23,Milestones!$AA$170)&gt;=$R23),$U23,$T23)))=Milestones!$AB$170),TEXT(EDATE($D23,Milestones!$AA$170),"dd/mm/yy")&amp;" "&amp;Milestones!$AB$170&amp;" "&amp;Milestones!$AC$170&amp;";  ","")&amp;IF(AND(EDATE($D23,Milestones!$AA$171)&lt;=AsOfDate,IF($Q23=0,$W23,IF(AND($S23&lt;&gt;"",EDATE($D23,Milestones!$AA$171)&gt;=$S23),$V23,IF(AND($R23&lt;&gt;"",EDATE($D23,Milestones!$AA$171)&gt;=$R23),$U23,$T23)))=Milestones!$AB$171),TEXT(EDATE($D23,Milestones!$AA$171),"dd/mm/yy")&amp;" "&amp;Milestones!$AB$171&amp;" "&amp;Milestones!$AC$171&amp;";  ","")&amp;IF(AND(EDATE($D23,Milestones!$AA$172)&lt;=AsOfDate,IF($Q23=0,$W23,IF(AND($S23&lt;&gt;"",EDATE($D23,Milestones!$AA$172)&gt;=$S23),$V23,IF(AND($R23&lt;&gt;"",EDATE($D23,Milestones!$AA$172)&gt;=$R23),$U23,$T23)))=Milestones!$AB$172),TEXT(EDATE($D23,Milestones!$AA$172),"dd/mm/yy")&amp;" "&amp;Milestones!$AB$172&amp;" "&amp;Milestones!$AC$172&amp;";  ","")&amp;IF(AND(EDATE($D23,Milestones!$AA$173)&lt;=AsOfDate,IF($Q23=0,$W23,IF(AND($S23&lt;&gt;"",EDATE($D23,Milestones!$AA$173)&gt;=$S23),$V23,IF(AND($R23&lt;&gt;"",EDATE($D23,Milestones!$AA$173)&gt;=$R23),$U23,$T23)))=Milestones!$AB$173),TEXT(EDATE($D23,Milestones!$AA$173),"dd/mm/yy")&amp;" "&amp;Milestones!$AB$173&amp;" "&amp;Milestones!$AC$173&amp;";  ","")&amp;IF(AND(EDATE($D23,Milestones!$AA$174)&lt;=AsOfDate,IF($Q23=0,$W23,IF(AND($S23&lt;&gt;"",EDATE($D23,Milestones!$AA$174)&gt;=$S23),$V23,IF(AND($R23&lt;&gt;"",EDATE($D23,Milestones!$AA$174)&gt;=$R23),$U23,$T23)))=Milestones!$AB$174),TEXT(EDATE($D23,Milestones!$AA$174),"dd/mm/yy")&amp;" "&amp;Milestones!$AB$174&amp;" "&amp;Milestones!$AC$174&amp;";  ","")&amp;IF(AND(EDATE($D23,Milestones!$AA$175)&lt;=AsOfDate,IF($Q23=0,$W23,IF(AND($S23&lt;&gt;"",EDATE($D23,Milestones!$AA$175)&gt;=$S23),$V23,IF(AND($R23&lt;&gt;"",EDATE($D23,Milestones!$AA$175)&gt;=$R23),$U23,$T23)))=Milestones!$AB$175),TEXT(EDATE($D23,Milestones!$AA$175),"dd/mm/yy")&amp;" "&amp;Milestones!$AB$175&amp;" "&amp;Milestones!$AC$175&amp;";  ","")&amp;IF(AND(EDATE($D23,Milestones!$AA$176)&lt;=AsOfDate,IF($Q23=0,$W23,IF(AND($S23&lt;&gt;"",EDATE($D23,Milestones!$AA$176)&gt;=$S23),$V23,IF(AND($R23&lt;&gt;"",EDATE($D23,Milestones!$AA$176)&gt;=$R23),$U23,$T23)))=Milestones!$AB$176),TEXT(EDATE($D23,Milestones!$AA$176),"dd/mm/yy")&amp;" "&amp;Milestones!$AB$176&amp;" "&amp;Milestones!$AC$176&amp;";  ","")&amp;IF(AND(EDATE($D23,Milestones!$AA$177)&lt;=AsOfDate,IF($Q23=0,$W23,IF(AND($S23&lt;&gt;"",EDATE($D23,Milestones!$AA$177)&gt;=$S23),$V23,IF(AND($R23&lt;&gt;"",EDATE($D23,Milestones!$AA$177)&gt;=$R23),$U23,$T23)))=Milestones!$AB$177),TEXT(EDATE($D23,Milestones!$AA$177),"dd/mm/yy")&amp;" "&amp;Milestones!$AB$177&amp;" "&amp;Milestones!$AC$177&amp;";  ","")&amp;IF(AND(EDATE($D23,Milestones!$AA$178)&lt;=AsOfDate,IF($Q23=0,$W23,IF(AND($S23&lt;&gt;"",EDATE($D23,Milestones!$AA$178)&gt;=$S23),$V23,IF(AND($R23&lt;&gt;"",EDATE($D23,Milestones!$AA$178)&gt;=$R23),$U23,$T23)))=Milestones!$AB$178),TEXT(EDATE($D23,Milestones!$AA$178),"dd/mm/yy")&amp;" "&amp;Milestones!$AB$178&amp;" "&amp;Milestones!$AC$178&amp;";  ","")&amp;IF(AND(EDATE($D23,Milestones!$AA$179)&lt;=AsOfDate,IF($Q23=0,$W23,IF(AND($S23&lt;&gt;"",EDATE($D23,Milestones!$AA$179)&gt;=$S23),$V23,IF(AND($R23&lt;&gt;"",EDATE($D23,Milestones!$AA$179)&gt;=$R23),$U23,$T23)))=Milestones!$AB$179),TEXT(EDATE($D23,Milestones!$AA$179),"dd/mm/yy")&amp;" "&amp;Milestones!$AB$179&amp;" "&amp;Milestones!$AC$179&amp;";  ",""))</f>
        <v/>
      </c>
      <c r="P23" s="0" t="str">
        <f aca="false">IF(OR($A23="",$D23=""),"",IF(AND(EDATE($D23,Milestones!$AA$180)&lt;=AsOfDate,IF($Q23=0,$W23,IF(AND($S23&lt;&gt;"",EDATE($D23,Milestones!$AA$180)&gt;=$S23),$V23,IF(AND($R23&lt;&gt;"",EDATE($D23,Milestones!$AA$180)&gt;=$R23),$U23,$T23)))=Milestones!$AB$180),TEXT(EDATE($D23,Milestones!$AA$180),"dd/mm/yy")&amp;" "&amp;Milestones!$AB$180&amp;" "&amp;Milestones!$AC$180&amp;";  ","")&amp;IF(AND(EDATE($D23,Milestones!$AA$181)&lt;=AsOfDate,IF($Q23=0,$W23,IF(AND($S23&lt;&gt;"",EDATE($D23,Milestones!$AA$181)&gt;=$S23),$V23,IF(AND($R23&lt;&gt;"",EDATE($D23,Milestones!$AA$181)&gt;=$R23),$U23,$T23)))=Milestones!$AB$181),TEXT(EDATE($D23,Milestones!$AA$181),"dd/mm/yy")&amp;" "&amp;Milestones!$AB$181&amp;" "&amp;Milestones!$AC$181&amp;";  ","")&amp;IF(AND(EDATE($D23,Milestones!$AA$182)&lt;=AsOfDate,IF($Q23=0,$W23,IF(AND($S23&lt;&gt;"",EDATE($D23,Milestones!$AA$182)&gt;=$S23),$V23,IF(AND($R23&lt;&gt;"",EDATE($D23,Milestones!$AA$182)&gt;=$R23),$U23,$T23)))=Milestones!$AB$182),TEXT(EDATE($D23,Milestones!$AA$182),"dd/mm/yy")&amp;" "&amp;Milestones!$AB$182&amp;" "&amp;Milestones!$AC$182&amp;";  ","")&amp;IF(AND(EDATE($D23,Milestones!$AA$183)&lt;=AsOfDate,IF($Q23=0,$W23,IF(AND($S23&lt;&gt;"",EDATE($D23,Milestones!$AA$183)&gt;=$S23),$V23,IF(AND($R23&lt;&gt;"",EDATE($D23,Milestones!$AA$183)&gt;=$R23),$U23,$T23)))=Milestones!$AB$183),TEXT(EDATE($D23,Milestones!$AA$183),"dd/mm/yy")&amp;" "&amp;Milestones!$AB$183&amp;" "&amp;Milestones!$AC$183&amp;";  ","")&amp;IF(AND(EDATE($D23,Milestones!$AA$184)&lt;=AsOfDate,IF($Q23=0,$W23,IF(AND($S23&lt;&gt;"",EDATE($D23,Milestones!$AA$184)&gt;=$S23),$V23,IF(AND($R23&lt;&gt;"",EDATE($D23,Milestones!$AA$184)&gt;=$R23),$U23,$T23)))=Milestones!$AB$184),TEXT(EDATE($D23,Milestones!$AA$184),"dd/mm/yy")&amp;" "&amp;Milestones!$AB$184&amp;" "&amp;Milestones!$AC$184&amp;";  ","")&amp;IF(AND(EDATE($D23,Milestones!$AA$185)&lt;=AsOfDate,IF($Q23=0,$W23,IF(AND($S23&lt;&gt;"",EDATE($D23,Milestones!$AA$185)&gt;=$S23),$V23,IF(AND($R23&lt;&gt;"",EDATE($D23,Milestones!$AA$185)&gt;=$R23),$U23,$T23)))=Milestones!$AB$185),TEXT(EDATE($D23,Milestones!$AA$185),"dd/mm/yy")&amp;" "&amp;Milestones!$AB$185&amp;" "&amp;Milestones!$AC$185&amp;";  ","")&amp;IF(AND(EDATE($D23,Milestones!$AA$186)&lt;=AsOfDate,IF($Q23=0,$W23,IF(AND($S23&lt;&gt;"",EDATE($D23,Milestones!$AA$186)&gt;=$S23),$V23,IF(AND($R23&lt;&gt;"",EDATE($D23,Milestones!$AA$186)&gt;=$R23),$U23,$T23)))=Milestones!$AB$186),TEXT(EDATE($D23,Milestones!$AA$186),"dd/mm/yy")&amp;" "&amp;Milestones!$AB$186&amp;" "&amp;Milestones!$AC$186&amp;";  ","")&amp;IF(AND(EDATE($D23,Milestones!$AA$187)&lt;=AsOfDate,IF($Q23=0,$W23,IF(AND($S23&lt;&gt;"",EDATE($D23,Milestones!$AA$187)&gt;=$S23),$V23,IF(AND($R23&lt;&gt;"",EDATE($D23,Milestones!$AA$187)&gt;=$R23),$U23,$T23)))=Milestones!$AB$187),TEXT(EDATE($D23,Milestones!$AA$187),"dd/mm/yy")&amp;" "&amp;Milestones!$AB$187&amp;" "&amp;Milestones!$AC$187&amp;";  ","")&amp;IF(AND(EDATE($D23,Milestones!$AA$188)&lt;=AsOfDate,IF($Q23=0,$W23,IF(AND($S23&lt;&gt;"",EDATE($D23,Milestones!$AA$188)&gt;=$S23),$V23,IF(AND($R23&lt;&gt;"",EDATE($D23,Milestones!$AA$188)&gt;=$R23),$U23,$T23)))=Milestones!$AB$188),TEXT(EDATE($D23,Milestones!$AA$188),"dd/mm/yy")&amp;" "&amp;Milestones!$AB$188&amp;" "&amp;Milestones!$AC$188&amp;";  ","")&amp;IF(AND(EDATE($D23,Milestones!$AA$189)&lt;=AsOfDate,IF($Q23=0,$W23,IF(AND($S23&lt;&gt;"",EDATE($D23,Milestones!$AA$189)&gt;=$S23),$V23,IF(AND($R23&lt;&gt;"",EDATE($D23,Milestones!$AA$189)&gt;=$R23),$U23,$T23)))=Milestones!$AB$189),TEXT(EDATE($D23,Milestones!$AA$189),"dd/mm/yy")&amp;" "&amp;Milestones!$AB$189&amp;" "&amp;Milestones!$AC$189&amp;";  ","")&amp;IF(AND(EDATE($D23,Milestones!$AA$190)&lt;=AsOfDate,IF($Q23=0,$W23,IF(AND($S23&lt;&gt;"",EDATE($D23,Milestones!$AA$190)&gt;=$S23),$V23,IF(AND($R23&lt;&gt;"",EDATE($D23,Milestones!$AA$190)&gt;=$R23),$U23,$T23)))=Milestones!$AB$190),TEXT(EDATE($D23,Milestones!$AA$190),"dd/mm/yy")&amp;" "&amp;Milestones!$AB$190&amp;" "&amp;Milestones!$AC$190&amp;";  ","")&amp;IF(AND(EDATE($D23,Milestones!$AA$191)&lt;=AsOfDate,IF($Q23=0,$W23,IF(AND($S23&lt;&gt;"",EDATE($D23,Milestones!$AA$191)&gt;=$S23),$V23,IF(AND($R23&lt;&gt;"",EDATE($D23,Milestones!$AA$191)&gt;=$R23),$U23,$T23)))=Milestones!$AB$191),TEXT(EDATE($D23,Milestones!$AA$191),"dd/mm/yy")&amp;" "&amp;Milestones!$AB$191&amp;" "&amp;Milestones!$AC$191&amp;";  ","")&amp;IF(AND(EDATE($D23,Milestones!$AA$192)&lt;=AsOfDate,IF($Q23=0,$W23,IF(AND($S23&lt;&gt;"",EDATE($D23,Milestones!$AA$192)&gt;=$S23),$V23,IF(AND($R23&lt;&gt;"",EDATE($D23,Milestones!$AA$192)&gt;=$R23),$U23,$T23)))=Milestones!$AB$192),TEXT(EDATE($D23,Milestones!$AA$192),"dd/mm/yy")&amp;" "&amp;Milestones!$AB$192&amp;" "&amp;Milestones!$AC$192&amp;";  ","")&amp;IF(AND(EDATE($D23,Milestones!$AA$193)&lt;=AsOfDate,IF($Q23=0,$W23,IF(AND($S23&lt;&gt;"",EDATE($D23,Milestones!$AA$193)&gt;=$S23),$V23,IF(AND($R23&lt;&gt;"",EDATE($D23,Milestones!$AA$193)&gt;=$R23),$U23,$T23)))=Milestones!$AB$193),TEXT(EDATE($D23,Milestones!$AA$193),"dd/mm/yy")&amp;" "&amp;Milestones!$AB$193&amp;" "&amp;Milestones!$AC$193&amp;";  ","")&amp;IF(AND(EDATE($D23,Milestones!$AA$194)&lt;=AsOfDate,IF($Q23=0,$W23,IF(AND($S23&lt;&gt;"",EDATE($D23,Milestones!$AA$194)&gt;=$S23),$V23,IF(AND($R23&lt;&gt;"",EDATE($D23,Milestones!$AA$194)&gt;=$R23),$U23,$T23)))=Milestones!$AB$194),TEXT(EDATE($D23,Milestones!$AA$194),"dd/mm/yy")&amp;" "&amp;Milestones!$AB$194&amp;" "&amp;Milestones!$AC$194&amp;";  ","")&amp;IF(AND(EDATE($D23,Milestones!$AA$195)&lt;=AsOfDate,IF($Q23=0,$W23,IF(AND($S23&lt;&gt;"",EDATE($D23,Milestones!$AA$195)&gt;=$S23),$V23,IF(AND($R23&lt;&gt;"",EDATE($D23,Milestones!$AA$195)&gt;=$R23),$U23,$T23)))=Milestones!$AB$195),TEXT(EDATE($D23,Milestones!$AA$195),"dd/mm/yy")&amp;" "&amp;Milestones!$AB$195&amp;" "&amp;Milestones!$AC$195&amp;";  ","")&amp;IF(AND(EDATE($D23,Milestones!$AA$196)&lt;=AsOfDate,IF($Q23=0,$W23,IF(AND($S23&lt;&gt;"",EDATE($D23,Milestones!$AA$196)&gt;=$S23),$V23,IF(AND($R23&lt;&gt;"",EDATE($D23,Milestones!$AA$196)&gt;=$R23),$U23,$T23)))=Milestones!$AB$196),TEXT(EDATE($D23,Milestones!$AA$196),"dd/mm/yy")&amp;" "&amp;Milestones!$AB$196&amp;" "&amp;Milestones!$AC$196&amp;";  ","")&amp;IF(AND(EDATE($D23,Milestones!$AA$197)&lt;=AsOfDate,IF($Q23=0,$W23,IF(AND($S23&lt;&gt;"",EDATE($D23,Milestones!$AA$197)&gt;=$S23),$V23,IF(AND($R23&lt;&gt;"",EDATE($D23,Milestones!$AA$197)&gt;=$R23),$U23,$T23)))=Milestones!$AB$197),TEXT(EDATE($D23,Milestones!$AA$197),"dd/mm/yy")&amp;" "&amp;Milestones!$AB$197&amp;" "&amp;Milestones!$AC$197&amp;";  ","")&amp;IF(AND(EDATE($D23,Milestones!$AA$198)&lt;=AsOfDate,IF($Q23=0,$W23,IF(AND($S23&lt;&gt;"",EDATE($D23,Milestones!$AA$198)&gt;=$S23),$V23,IF(AND($R23&lt;&gt;"",EDATE($D23,Milestones!$AA$198)&gt;=$R23),$U23,$T23)))=Milestones!$AB$198),TEXT(EDATE($D23,Milestones!$AA$198),"dd/mm/yy")&amp;" "&amp;Milestones!$AB$198&amp;" "&amp;Milestones!$AC$198&amp;";  ","")&amp;IF(AND(EDATE($D23,Milestones!$AA$199)&lt;=AsOfDate,IF($Q23=0,$W23,IF(AND($S23&lt;&gt;"",EDATE($D23,Milestones!$AA$199)&gt;=$S23),$V23,IF(AND($R23&lt;&gt;"",EDATE($D23,Milestones!$AA$199)&gt;=$R23),$U23,$T23)))=Milestones!$AB$199),TEXT(EDATE($D23,Milestones!$AA$199),"dd/mm/yy")&amp;" "&amp;Milestones!$AB$199&amp;" "&amp;Milestones!$AC$199&amp;";  ",""))</f>
        <v/>
      </c>
      <c r="Q23" s="0" t="str">
        <f aca="false">IF(Staff!$A23="","",Staff!$AG23)</f>
        <v/>
      </c>
      <c r="R23" s="0" t="str">
        <f aca="false">IF(Staff!$A23="","",Staff!$AI23)</f>
        <v/>
      </c>
      <c r="S23" s="0" t="str">
        <f aca="false">IF(Staff!$A23="","",Staff!$AJ23)</f>
        <v/>
      </c>
      <c r="T23" s="0" t="str">
        <f aca="false">IF(Staff!$A23="","",Staff!$AN23)</f>
        <v/>
      </c>
      <c r="U23" s="0" t="str">
        <f aca="false">IF(Staff!$A23="","",Staff!$AO23)</f>
        <v/>
      </c>
      <c r="V23" s="0" t="str">
        <f aca="false">IF(Staff!$A23="","",Staff!$AP23)</f>
        <v/>
      </c>
      <c r="W23" s="0" t="str">
        <f aca="false">IF(Staff!$A23="","",Staff!$AQ23)</f>
        <v/>
      </c>
    </row>
    <row r="24" customFormat="false" ht="15" hidden="false" customHeight="false" outlineLevel="0" collapsed="false">
      <c r="A24" s="13" t="str">
        <f aca="false">IF(Staff!$A24="","",Staff!$A24)</f>
        <v/>
      </c>
      <c r="B24" s="13" t="str">
        <f aca="false">IF(Staff!$A24="","",Staff!$B24)</f>
        <v/>
      </c>
      <c r="C24" s="13" t="str">
        <f aca="false">IF(Staff!$A24="","",Staff!$C24)</f>
        <v/>
      </c>
      <c r="D24" s="11" t="str">
        <f aca="false">IF(Staff!$A24="","",Staff!$AF24)</f>
        <v/>
      </c>
      <c r="E24" s="13" t="str">
        <f aca="false">IF(Staff!$A24="","",Staff!$O24)</f>
        <v/>
      </c>
      <c r="F24" s="13" t="str">
        <f aca="false">IF(E24="","",E24*HoursPerDay)</f>
        <v/>
      </c>
      <c r="G24" s="26" t="str">
        <f aca="false">IF($A24="","",H24&amp;I24&amp;J24&amp;K24&amp;L24&amp;M24&amp;N24&amp;O24&amp;P24)</f>
        <v/>
      </c>
      <c r="H24" s="0" t="str">
        <f aca="false">IF(OR($A24="",$D24=""),"",IF(AND(EDATE($D24,Milestones!$AA$20)&lt;=AsOfDate,IF($Q24=0,$W24,IF(AND($S24&lt;&gt;"",EDATE($D24,Milestones!$AA$20)&gt;=$S24),$V24,IF(AND($R24&lt;&gt;"",EDATE($D24,Milestones!$AA$20)&gt;=$R24),$U24,$T24)))=Milestones!$AB$20),TEXT(EDATE($D24,Milestones!$AA$20),"dd/mm/yy")&amp;" "&amp;Milestones!$AB$20&amp;" "&amp;Milestones!$AC$20&amp;";  ","")&amp;IF(AND(EDATE($D24,Milestones!$AA$21)&lt;=AsOfDate,IF($Q24=0,$W24,IF(AND($S24&lt;&gt;"",EDATE($D24,Milestones!$AA$21)&gt;=$S24),$V24,IF(AND($R24&lt;&gt;"",EDATE($D24,Milestones!$AA$21)&gt;=$R24),$U24,$T24)))=Milestones!$AB$21),TEXT(EDATE($D24,Milestones!$AA$21),"dd/mm/yy")&amp;" "&amp;Milestones!$AB$21&amp;" "&amp;Milestones!$AC$21&amp;";  ","")&amp;IF(AND(EDATE($D24,Milestones!$AA$22)&lt;=AsOfDate,IF($Q24=0,$W24,IF(AND($S24&lt;&gt;"",EDATE($D24,Milestones!$AA$22)&gt;=$S24),$V24,IF(AND($R24&lt;&gt;"",EDATE($D24,Milestones!$AA$22)&gt;=$R24),$U24,$T24)))=Milestones!$AB$22),TEXT(EDATE($D24,Milestones!$AA$22),"dd/mm/yy")&amp;" "&amp;Milestones!$AB$22&amp;" "&amp;Milestones!$AC$22&amp;";  ","")&amp;IF(AND(EDATE($D24,Milestones!$AA$23)&lt;=AsOfDate,IF($Q24=0,$W24,IF(AND($S24&lt;&gt;"",EDATE($D24,Milestones!$AA$23)&gt;=$S24),$V24,IF(AND($R24&lt;&gt;"",EDATE($D24,Milestones!$AA$23)&gt;=$R24),$U24,$T24)))=Milestones!$AB$23),TEXT(EDATE($D24,Milestones!$AA$23),"dd/mm/yy")&amp;" "&amp;Milestones!$AB$23&amp;" "&amp;Milestones!$AC$23&amp;";  ","")&amp;IF(AND(EDATE($D24,Milestones!$AA$24)&lt;=AsOfDate,IF($Q24=0,$W24,IF(AND($S24&lt;&gt;"",EDATE($D24,Milestones!$AA$24)&gt;=$S24),$V24,IF(AND($R24&lt;&gt;"",EDATE($D24,Milestones!$AA$24)&gt;=$R24),$U24,$T24)))=Milestones!$AB$24),TEXT(EDATE($D24,Milestones!$AA$24),"dd/mm/yy")&amp;" "&amp;Milestones!$AB$24&amp;" "&amp;Milestones!$AC$24&amp;";  ","")&amp;IF(AND(EDATE($D24,Milestones!$AA$25)&lt;=AsOfDate,IF($Q24=0,$W24,IF(AND($S24&lt;&gt;"",EDATE($D24,Milestones!$AA$25)&gt;=$S24),$V24,IF(AND($R24&lt;&gt;"",EDATE($D24,Milestones!$AA$25)&gt;=$R24),$U24,$T24)))=Milestones!$AB$25),TEXT(EDATE($D24,Milestones!$AA$25),"dd/mm/yy")&amp;" "&amp;Milestones!$AB$25&amp;" "&amp;Milestones!$AC$25&amp;";  ","")&amp;IF(AND(EDATE($D24,Milestones!$AA$26)&lt;=AsOfDate,IF($Q24=0,$W24,IF(AND($S24&lt;&gt;"",EDATE($D24,Milestones!$AA$26)&gt;=$S24),$V24,IF(AND($R24&lt;&gt;"",EDATE($D24,Milestones!$AA$26)&gt;=$R24),$U24,$T24)))=Milestones!$AB$26),TEXT(EDATE($D24,Milestones!$AA$26),"dd/mm/yy")&amp;" "&amp;Milestones!$AB$26&amp;" "&amp;Milestones!$AC$26&amp;";  ","")&amp;IF(AND(EDATE($D24,Milestones!$AA$27)&lt;=AsOfDate,IF($Q24=0,$W24,IF(AND($S24&lt;&gt;"",EDATE($D24,Milestones!$AA$27)&gt;=$S24),$V24,IF(AND($R24&lt;&gt;"",EDATE($D24,Milestones!$AA$27)&gt;=$R24),$U24,$T24)))=Milestones!$AB$27),TEXT(EDATE($D24,Milestones!$AA$27),"dd/mm/yy")&amp;" "&amp;Milestones!$AB$27&amp;" "&amp;Milestones!$AC$27&amp;";  ","")&amp;IF(AND(EDATE($D24,Milestones!$AA$28)&lt;=AsOfDate,IF($Q24=0,$W24,IF(AND($S24&lt;&gt;"",EDATE($D24,Milestones!$AA$28)&gt;=$S24),$V24,IF(AND($R24&lt;&gt;"",EDATE($D24,Milestones!$AA$28)&gt;=$R24),$U24,$T24)))=Milestones!$AB$28),TEXT(EDATE($D24,Milestones!$AA$28),"dd/mm/yy")&amp;" "&amp;Milestones!$AB$28&amp;" "&amp;Milestones!$AC$28&amp;";  ","")&amp;IF(AND(EDATE($D24,Milestones!$AA$29)&lt;=AsOfDate,IF($Q24=0,$W24,IF(AND($S24&lt;&gt;"",EDATE($D24,Milestones!$AA$29)&gt;=$S24),$V24,IF(AND($R24&lt;&gt;"",EDATE($D24,Milestones!$AA$29)&gt;=$R24),$U24,$T24)))=Milestones!$AB$29),TEXT(EDATE($D24,Milestones!$AA$29),"dd/mm/yy")&amp;" "&amp;Milestones!$AB$29&amp;" "&amp;Milestones!$AC$29&amp;";  ","")&amp;IF(AND(EDATE($D24,Milestones!$AA$30)&lt;=AsOfDate,IF($Q24=0,$W24,IF(AND($S24&lt;&gt;"",EDATE($D24,Milestones!$AA$30)&gt;=$S24),$V24,IF(AND($R24&lt;&gt;"",EDATE($D24,Milestones!$AA$30)&gt;=$R24),$U24,$T24)))=Milestones!$AB$30),TEXT(EDATE($D24,Milestones!$AA$30),"dd/mm/yy")&amp;" "&amp;Milestones!$AB$30&amp;" "&amp;Milestones!$AC$30&amp;";  ","")&amp;IF(AND(EDATE($D24,Milestones!$AA$31)&lt;=AsOfDate,IF($Q24=0,$W24,IF(AND($S24&lt;&gt;"",EDATE($D24,Milestones!$AA$31)&gt;=$S24),$V24,IF(AND($R24&lt;&gt;"",EDATE($D24,Milestones!$AA$31)&gt;=$R24),$U24,$T24)))=Milestones!$AB$31),TEXT(EDATE($D24,Milestones!$AA$31),"dd/mm/yy")&amp;" "&amp;Milestones!$AB$31&amp;" "&amp;Milestones!$AC$31&amp;";  ","")&amp;IF(AND(EDATE($D24,Milestones!$AA$32)&lt;=AsOfDate,IF($Q24=0,$W24,IF(AND($S24&lt;&gt;"",EDATE($D24,Milestones!$AA$32)&gt;=$S24),$V24,IF(AND($R24&lt;&gt;"",EDATE($D24,Milestones!$AA$32)&gt;=$R24),$U24,$T24)))=Milestones!$AB$32),TEXT(EDATE($D24,Milestones!$AA$32),"dd/mm/yy")&amp;" "&amp;Milestones!$AB$32&amp;" "&amp;Milestones!$AC$32&amp;";  ","")&amp;IF(AND(EDATE($D24,Milestones!$AA$33)&lt;=AsOfDate,IF($Q24=0,$W24,IF(AND($S24&lt;&gt;"",EDATE($D24,Milestones!$AA$33)&gt;=$S24),$V24,IF(AND($R24&lt;&gt;"",EDATE($D24,Milestones!$AA$33)&gt;=$R24),$U24,$T24)))=Milestones!$AB$33),TEXT(EDATE($D24,Milestones!$AA$33),"dd/mm/yy")&amp;" "&amp;Milestones!$AB$33&amp;" "&amp;Milestones!$AC$33&amp;";  ","")&amp;IF(AND(EDATE($D24,Milestones!$AA$34)&lt;=AsOfDate,IF($Q24=0,$W24,IF(AND($S24&lt;&gt;"",EDATE($D24,Milestones!$AA$34)&gt;=$S24),$V24,IF(AND($R24&lt;&gt;"",EDATE($D24,Milestones!$AA$34)&gt;=$R24),$U24,$T24)))=Milestones!$AB$34),TEXT(EDATE($D24,Milestones!$AA$34),"dd/mm/yy")&amp;" "&amp;Milestones!$AB$34&amp;" "&amp;Milestones!$AC$34&amp;";  ","")&amp;IF(AND(EDATE($D24,Milestones!$AA$35)&lt;=AsOfDate,IF($Q24=0,$W24,IF(AND($S24&lt;&gt;"",EDATE($D24,Milestones!$AA$35)&gt;=$S24),$V24,IF(AND($R24&lt;&gt;"",EDATE($D24,Milestones!$AA$35)&gt;=$R24),$U24,$T24)))=Milestones!$AB$35),TEXT(EDATE($D24,Milestones!$AA$35),"dd/mm/yy")&amp;" "&amp;Milestones!$AB$35&amp;" "&amp;Milestones!$AC$35&amp;";  ","")&amp;IF(AND(EDATE($D24,Milestones!$AA$36)&lt;=AsOfDate,IF($Q24=0,$W24,IF(AND($S24&lt;&gt;"",EDATE($D24,Milestones!$AA$36)&gt;=$S24),$V24,IF(AND($R24&lt;&gt;"",EDATE($D24,Milestones!$AA$36)&gt;=$R24),$U24,$T24)))=Milestones!$AB$36),TEXT(EDATE($D24,Milestones!$AA$36),"dd/mm/yy")&amp;" "&amp;Milestones!$AB$36&amp;" "&amp;Milestones!$AC$36&amp;";  ","")&amp;IF(AND(EDATE($D24,Milestones!$AA$37)&lt;=AsOfDate,IF($Q24=0,$W24,IF(AND($S24&lt;&gt;"",EDATE($D24,Milestones!$AA$37)&gt;=$S24),$V24,IF(AND($R24&lt;&gt;"",EDATE($D24,Milestones!$AA$37)&gt;=$R24),$U24,$T24)))=Milestones!$AB$37),TEXT(EDATE($D24,Milestones!$AA$37),"dd/mm/yy")&amp;" "&amp;Milestones!$AB$37&amp;" "&amp;Milestones!$AC$37&amp;";  ","")&amp;IF(AND(EDATE($D24,Milestones!$AA$38)&lt;=AsOfDate,IF($Q24=0,$W24,IF(AND($S24&lt;&gt;"",EDATE($D24,Milestones!$AA$38)&gt;=$S24),$V24,IF(AND($R24&lt;&gt;"",EDATE($D24,Milestones!$AA$38)&gt;=$R24),$U24,$T24)))=Milestones!$AB$38),TEXT(EDATE($D24,Milestones!$AA$38),"dd/mm/yy")&amp;" "&amp;Milestones!$AB$38&amp;" "&amp;Milestones!$AC$38&amp;";  ","")&amp;IF(AND(EDATE($D24,Milestones!$AA$39)&lt;=AsOfDate,IF($Q24=0,$W24,IF(AND($S24&lt;&gt;"",EDATE($D24,Milestones!$AA$39)&gt;=$S24),$V24,IF(AND($R24&lt;&gt;"",EDATE($D24,Milestones!$AA$39)&gt;=$R24),$U24,$T24)))=Milestones!$AB$39),TEXT(EDATE($D24,Milestones!$AA$39),"dd/mm/yy")&amp;" "&amp;Milestones!$AB$39&amp;" "&amp;Milestones!$AC$39&amp;";  ",""))</f>
        <v/>
      </c>
      <c r="I24" s="0" t="str">
        <f aca="false">IF(OR($A24="",$D24=""),"",IF(AND(EDATE($D24,Milestones!$AA$40)&lt;=AsOfDate,IF($Q24=0,$W24,IF(AND($S24&lt;&gt;"",EDATE($D24,Milestones!$AA$40)&gt;=$S24),$V24,IF(AND($R24&lt;&gt;"",EDATE($D24,Milestones!$AA$40)&gt;=$R24),$U24,$T24)))=Milestones!$AB$40),TEXT(EDATE($D24,Milestones!$AA$40),"dd/mm/yy")&amp;" "&amp;Milestones!$AB$40&amp;" "&amp;Milestones!$AC$40&amp;";  ","")&amp;IF(AND(EDATE($D24,Milestones!$AA$41)&lt;=AsOfDate,IF($Q24=0,$W24,IF(AND($S24&lt;&gt;"",EDATE($D24,Milestones!$AA$41)&gt;=$S24),$V24,IF(AND($R24&lt;&gt;"",EDATE($D24,Milestones!$AA$41)&gt;=$R24),$U24,$T24)))=Milestones!$AB$41),TEXT(EDATE($D24,Milestones!$AA$41),"dd/mm/yy")&amp;" "&amp;Milestones!$AB$41&amp;" "&amp;Milestones!$AC$41&amp;";  ","")&amp;IF(AND(EDATE($D24,Milestones!$AA$42)&lt;=AsOfDate,IF($Q24=0,$W24,IF(AND($S24&lt;&gt;"",EDATE($D24,Milestones!$AA$42)&gt;=$S24),$V24,IF(AND($R24&lt;&gt;"",EDATE($D24,Milestones!$AA$42)&gt;=$R24),$U24,$T24)))=Milestones!$AB$42),TEXT(EDATE($D24,Milestones!$AA$42),"dd/mm/yy")&amp;" "&amp;Milestones!$AB$42&amp;" "&amp;Milestones!$AC$42&amp;";  ","")&amp;IF(AND(EDATE($D24,Milestones!$AA$43)&lt;=AsOfDate,IF($Q24=0,$W24,IF(AND($S24&lt;&gt;"",EDATE($D24,Milestones!$AA$43)&gt;=$S24),$V24,IF(AND($R24&lt;&gt;"",EDATE($D24,Milestones!$AA$43)&gt;=$R24),$U24,$T24)))=Milestones!$AB$43),TEXT(EDATE($D24,Milestones!$AA$43),"dd/mm/yy")&amp;" "&amp;Milestones!$AB$43&amp;" "&amp;Milestones!$AC$43&amp;";  ","")&amp;IF(AND(EDATE($D24,Milestones!$AA$44)&lt;=AsOfDate,IF($Q24=0,$W24,IF(AND($S24&lt;&gt;"",EDATE($D24,Milestones!$AA$44)&gt;=$S24),$V24,IF(AND($R24&lt;&gt;"",EDATE($D24,Milestones!$AA$44)&gt;=$R24),$U24,$T24)))=Milestones!$AB$44),TEXT(EDATE($D24,Milestones!$AA$44),"dd/mm/yy")&amp;" "&amp;Milestones!$AB$44&amp;" "&amp;Milestones!$AC$44&amp;";  ","")&amp;IF(AND(EDATE($D24,Milestones!$AA$45)&lt;=AsOfDate,IF($Q24=0,$W24,IF(AND($S24&lt;&gt;"",EDATE($D24,Milestones!$AA$45)&gt;=$S24),$V24,IF(AND($R24&lt;&gt;"",EDATE($D24,Milestones!$AA$45)&gt;=$R24),$U24,$T24)))=Milestones!$AB$45),TEXT(EDATE($D24,Milestones!$AA$45),"dd/mm/yy")&amp;" "&amp;Milestones!$AB$45&amp;" "&amp;Milestones!$AC$45&amp;";  ","")&amp;IF(AND(EDATE($D24,Milestones!$AA$46)&lt;=AsOfDate,IF($Q24=0,$W24,IF(AND($S24&lt;&gt;"",EDATE($D24,Milestones!$AA$46)&gt;=$S24),$V24,IF(AND($R24&lt;&gt;"",EDATE($D24,Milestones!$AA$46)&gt;=$R24),$U24,$T24)))=Milestones!$AB$46),TEXT(EDATE($D24,Milestones!$AA$46),"dd/mm/yy")&amp;" "&amp;Milestones!$AB$46&amp;" "&amp;Milestones!$AC$46&amp;";  ","")&amp;IF(AND(EDATE($D24,Milestones!$AA$47)&lt;=AsOfDate,IF($Q24=0,$W24,IF(AND($S24&lt;&gt;"",EDATE($D24,Milestones!$AA$47)&gt;=$S24),$V24,IF(AND($R24&lt;&gt;"",EDATE($D24,Milestones!$AA$47)&gt;=$R24),$U24,$T24)))=Milestones!$AB$47),TEXT(EDATE($D24,Milestones!$AA$47),"dd/mm/yy")&amp;" "&amp;Milestones!$AB$47&amp;" "&amp;Milestones!$AC$47&amp;";  ","")&amp;IF(AND(EDATE($D24,Milestones!$AA$48)&lt;=AsOfDate,IF($Q24=0,$W24,IF(AND($S24&lt;&gt;"",EDATE($D24,Milestones!$AA$48)&gt;=$S24),$V24,IF(AND($R24&lt;&gt;"",EDATE($D24,Milestones!$AA$48)&gt;=$R24),$U24,$T24)))=Milestones!$AB$48),TEXT(EDATE($D24,Milestones!$AA$48),"dd/mm/yy")&amp;" "&amp;Milestones!$AB$48&amp;" "&amp;Milestones!$AC$48&amp;";  ","")&amp;IF(AND(EDATE($D24,Milestones!$AA$49)&lt;=AsOfDate,IF($Q24=0,$W24,IF(AND($S24&lt;&gt;"",EDATE($D24,Milestones!$AA$49)&gt;=$S24),$V24,IF(AND($R24&lt;&gt;"",EDATE($D24,Milestones!$AA$49)&gt;=$R24),$U24,$T24)))=Milestones!$AB$49),TEXT(EDATE($D24,Milestones!$AA$49),"dd/mm/yy")&amp;" "&amp;Milestones!$AB$49&amp;" "&amp;Milestones!$AC$49&amp;";  ","")&amp;IF(AND(EDATE($D24,Milestones!$AA$50)&lt;=AsOfDate,IF($Q24=0,$W24,IF(AND($S24&lt;&gt;"",EDATE($D24,Milestones!$AA$50)&gt;=$S24),$V24,IF(AND($R24&lt;&gt;"",EDATE($D24,Milestones!$AA$50)&gt;=$R24),$U24,$T24)))=Milestones!$AB$50),TEXT(EDATE($D24,Milestones!$AA$50),"dd/mm/yy")&amp;" "&amp;Milestones!$AB$50&amp;" "&amp;Milestones!$AC$50&amp;";  ","")&amp;IF(AND(EDATE($D24,Milestones!$AA$51)&lt;=AsOfDate,IF($Q24=0,$W24,IF(AND($S24&lt;&gt;"",EDATE($D24,Milestones!$AA$51)&gt;=$S24),$V24,IF(AND($R24&lt;&gt;"",EDATE($D24,Milestones!$AA$51)&gt;=$R24),$U24,$T24)))=Milestones!$AB$51),TEXT(EDATE($D24,Milestones!$AA$51),"dd/mm/yy")&amp;" "&amp;Milestones!$AB$51&amp;" "&amp;Milestones!$AC$51&amp;";  ","")&amp;IF(AND(EDATE($D24,Milestones!$AA$52)&lt;=AsOfDate,IF($Q24=0,$W24,IF(AND($S24&lt;&gt;"",EDATE($D24,Milestones!$AA$52)&gt;=$S24),$V24,IF(AND($R24&lt;&gt;"",EDATE($D24,Milestones!$AA$52)&gt;=$R24),$U24,$T24)))=Milestones!$AB$52),TEXT(EDATE($D24,Milestones!$AA$52),"dd/mm/yy")&amp;" "&amp;Milestones!$AB$52&amp;" "&amp;Milestones!$AC$52&amp;";  ","")&amp;IF(AND(EDATE($D24,Milestones!$AA$53)&lt;=AsOfDate,IF($Q24=0,$W24,IF(AND($S24&lt;&gt;"",EDATE($D24,Milestones!$AA$53)&gt;=$S24),$V24,IF(AND($R24&lt;&gt;"",EDATE($D24,Milestones!$AA$53)&gt;=$R24),$U24,$T24)))=Milestones!$AB$53),TEXT(EDATE($D24,Milestones!$AA$53),"dd/mm/yy")&amp;" "&amp;Milestones!$AB$53&amp;" "&amp;Milestones!$AC$53&amp;";  ","")&amp;IF(AND(EDATE($D24,Milestones!$AA$54)&lt;=AsOfDate,IF($Q24=0,$W24,IF(AND($S24&lt;&gt;"",EDATE($D24,Milestones!$AA$54)&gt;=$S24),$V24,IF(AND($R24&lt;&gt;"",EDATE($D24,Milestones!$AA$54)&gt;=$R24),$U24,$T24)))=Milestones!$AB$54),TEXT(EDATE($D24,Milestones!$AA$54),"dd/mm/yy")&amp;" "&amp;Milestones!$AB$54&amp;" "&amp;Milestones!$AC$54&amp;";  ","")&amp;IF(AND(EDATE($D24,Milestones!$AA$55)&lt;=AsOfDate,IF($Q24=0,$W24,IF(AND($S24&lt;&gt;"",EDATE($D24,Milestones!$AA$55)&gt;=$S24),$V24,IF(AND($R24&lt;&gt;"",EDATE($D24,Milestones!$AA$55)&gt;=$R24),$U24,$T24)))=Milestones!$AB$55),TEXT(EDATE($D24,Milestones!$AA$55),"dd/mm/yy")&amp;" "&amp;Milestones!$AB$55&amp;" "&amp;Milestones!$AC$55&amp;";  ","")&amp;IF(AND(EDATE($D24,Milestones!$AA$56)&lt;=AsOfDate,IF($Q24=0,$W24,IF(AND($S24&lt;&gt;"",EDATE($D24,Milestones!$AA$56)&gt;=$S24),$V24,IF(AND($R24&lt;&gt;"",EDATE($D24,Milestones!$AA$56)&gt;=$R24),$U24,$T24)))=Milestones!$AB$56),TEXT(EDATE($D24,Milestones!$AA$56),"dd/mm/yy")&amp;" "&amp;Milestones!$AB$56&amp;" "&amp;Milestones!$AC$56&amp;";  ","")&amp;IF(AND(EDATE($D24,Milestones!$AA$57)&lt;=AsOfDate,IF($Q24=0,$W24,IF(AND($S24&lt;&gt;"",EDATE($D24,Milestones!$AA$57)&gt;=$S24),$V24,IF(AND($R24&lt;&gt;"",EDATE($D24,Milestones!$AA$57)&gt;=$R24),$U24,$T24)))=Milestones!$AB$57),TEXT(EDATE($D24,Milestones!$AA$57),"dd/mm/yy")&amp;" "&amp;Milestones!$AB$57&amp;" "&amp;Milestones!$AC$57&amp;";  ","")&amp;IF(AND(EDATE($D24,Milestones!$AA$58)&lt;=AsOfDate,IF($Q24=0,$W24,IF(AND($S24&lt;&gt;"",EDATE($D24,Milestones!$AA$58)&gt;=$S24),$V24,IF(AND($R24&lt;&gt;"",EDATE($D24,Milestones!$AA$58)&gt;=$R24),$U24,$T24)))=Milestones!$AB$58),TEXT(EDATE($D24,Milestones!$AA$58),"dd/mm/yy")&amp;" "&amp;Milestones!$AB$58&amp;" "&amp;Milestones!$AC$58&amp;";  ","")&amp;IF(AND(EDATE($D24,Milestones!$AA$59)&lt;=AsOfDate,IF($Q24=0,$W24,IF(AND($S24&lt;&gt;"",EDATE($D24,Milestones!$AA$59)&gt;=$S24),$V24,IF(AND($R24&lt;&gt;"",EDATE($D24,Milestones!$AA$59)&gt;=$R24),$U24,$T24)))=Milestones!$AB$59),TEXT(EDATE($D24,Milestones!$AA$59),"dd/mm/yy")&amp;" "&amp;Milestones!$AB$59&amp;" "&amp;Milestones!$AC$59&amp;";  ",""))</f>
        <v/>
      </c>
      <c r="J24" s="0" t="str">
        <f aca="false">IF(OR($A24="",$D24=""),"",IF(AND(EDATE($D24,Milestones!$AA$60)&lt;=AsOfDate,IF($Q24=0,$W24,IF(AND($S24&lt;&gt;"",EDATE($D24,Milestones!$AA$60)&gt;=$S24),$V24,IF(AND($R24&lt;&gt;"",EDATE($D24,Milestones!$AA$60)&gt;=$R24),$U24,$T24)))=Milestones!$AB$60),TEXT(EDATE($D24,Milestones!$AA$60),"dd/mm/yy")&amp;" "&amp;Milestones!$AB$60&amp;" "&amp;Milestones!$AC$60&amp;";  ","")&amp;IF(AND(EDATE($D24,Milestones!$AA$61)&lt;=AsOfDate,IF($Q24=0,$W24,IF(AND($S24&lt;&gt;"",EDATE($D24,Milestones!$AA$61)&gt;=$S24),$V24,IF(AND($R24&lt;&gt;"",EDATE($D24,Milestones!$AA$61)&gt;=$R24),$U24,$T24)))=Milestones!$AB$61),TEXT(EDATE($D24,Milestones!$AA$61),"dd/mm/yy")&amp;" "&amp;Milestones!$AB$61&amp;" "&amp;Milestones!$AC$61&amp;";  ","")&amp;IF(AND(EDATE($D24,Milestones!$AA$62)&lt;=AsOfDate,IF($Q24=0,$W24,IF(AND($S24&lt;&gt;"",EDATE($D24,Milestones!$AA$62)&gt;=$S24),$V24,IF(AND($R24&lt;&gt;"",EDATE($D24,Milestones!$AA$62)&gt;=$R24),$U24,$T24)))=Milestones!$AB$62),TEXT(EDATE($D24,Milestones!$AA$62),"dd/mm/yy")&amp;" "&amp;Milestones!$AB$62&amp;" "&amp;Milestones!$AC$62&amp;";  ","")&amp;IF(AND(EDATE($D24,Milestones!$AA$63)&lt;=AsOfDate,IF($Q24=0,$W24,IF(AND($S24&lt;&gt;"",EDATE($D24,Milestones!$AA$63)&gt;=$S24),$V24,IF(AND($R24&lt;&gt;"",EDATE($D24,Milestones!$AA$63)&gt;=$R24),$U24,$T24)))=Milestones!$AB$63),TEXT(EDATE($D24,Milestones!$AA$63),"dd/mm/yy")&amp;" "&amp;Milestones!$AB$63&amp;" "&amp;Milestones!$AC$63&amp;";  ","")&amp;IF(AND(EDATE($D24,Milestones!$AA$64)&lt;=AsOfDate,IF($Q24=0,$W24,IF(AND($S24&lt;&gt;"",EDATE($D24,Milestones!$AA$64)&gt;=$S24),$V24,IF(AND($R24&lt;&gt;"",EDATE($D24,Milestones!$AA$64)&gt;=$R24),$U24,$T24)))=Milestones!$AB$64),TEXT(EDATE($D24,Milestones!$AA$64),"dd/mm/yy")&amp;" "&amp;Milestones!$AB$64&amp;" "&amp;Milestones!$AC$64&amp;";  ","")&amp;IF(AND(EDATE($D24,Milestones!$AA$65)&lt;=AsOfDate,IF($Q24=0,$W24,IF(AND($S24&lt;&gt;"",EDATE($D24,Milestones!$AA$65)&gt;=$S24),$V24,IF(AND($R24&lt;&gt;"",EDATE($D24,Milestones!$AA$65)&gt;=$R24),$U24,$T24)))=Milestones!$AB$65),TEXT(EDATE($D24,Milestones!$AA$65),"dd/mm/yy")&amp;" "&amp;Milestones!$AB$65&amp;" "&amp;Milestones!$AC$65&amp;";  ","")&amp;IF(AND(EDATE($D24,Milestones!$AA$66)&lt;=AsOfDate,IF($Q24=0,$W24,IF(AND($S24&lt;&gt;"",EDATE($D24,Milestones!$AA$66)&gt;=$S24),$V24,IF(AND($R24&lt;&gt;"",EDATE($D24,Milestones!$AA$66)&gt;=$R24),$U24,$T24)))=Milestones!$AB$66),TEXT(EDATE($D24,Milestones!$AA$66),"dd/mm/yy")&amp;" "&amp;Milestones!$AB$66&amp;" "&amp;Milestones!$AC$66&amp;";  ","")&amp;IF(AND(EDATE($D24,Milestones!$AA$67)&lt;=AsOfDate,IF($Q24=0,$W24,IF(AND($S24&lt;&gt;"",EDATE($D24,Milestones!$AA$67)&gt;=$S24),$V24,IF(AND($R24&lt;&gt;"",EDATE($D24,Milestones!$AA$67)&gt;=$R24),$U24,$T24)))=Milestones!$AB$67),TEXT(EDATE($D24,Milestones!$AA$67),"dd/mm/yy")&amp;" "&amp;Milestones!$AB$67&amp;" "&amp;Milestones!$AC$67&amp;";  ","")&amp;IF(AND(EDATE($D24,Milestones!$AA$68)&lt;=AsOfDate,IF($Q24=0,$W24,IF(AND($S24&lt;&gt;"",EDATE($D24,Milestones!$AA$68)&gt;=$S24),$V24,IF(AND($R24&lt;&gt;"",EDATE($D24,Milestones!$AA$68)&gt;=$R24),$U24,$T24)))=Milestones!$AB$68),TEXT(EDATE($D24,Milestones!$AA$68),"dd/mm/yy")&amp;" "&amp;Milestones!$AB$68&amp;" "&amp;Milestones!$AC$68&amp;";  ","")&amp;IF(AND(EDATE($D24,Milestones!$AA$69)&lt;=AsOfDate,IF($Q24=0,$W24,IF(AND($S24&lt;&gt;"",EDATE($D24,Milestones!$AA$69)&gt;=$S24),$V24,IF(AND($R24&lt;&gt;"",EDATE($D24,Milestones!$AA$69)&gt;=$R24),$U24,$T24)))=Milestones!$AB$69),TEXT(EDATE($D24,Milestones!$AA$69),"dd/mm/yy")&amp;" "&amp;Milestones!$AB$69&amp;" "&amp;Milestones!$AC$69&amp;";  ","")&amp;IF(AND(EDATE($D24,Milestones!$AA$70)&lt;=AsOfDate,IF($Q24=0,$W24,IF(AND($S24&lt;&gt;"",EDATE($D24,Milestones!$AA$70)&gt;=$S24),$V24,IF(AND($R24&lt;&gt;"",EDATE($D24,Milestones!$AA$70)&gt;=$R24),$U24,$T24)))=Milestones!$AB$70),TEXT(EDATE($D24,Milestones!$AA$70),"dd/mm/yy")&amp;" "&amp;Milestones!$AB$70&amp;" "&amp;Milestones!$AC$70&amp;";  ","")&amp;IF(AND(EDATE($D24,Milestones!$AA$71)&lt;=AsOfDate,IF($Q24=0,$W24,IF(AND($S24&lt;&gt;"",EDATE($D24,Milestones!$AA$71)&gt;=$S24),$V24,IF(AND($R24&lt;&gt;"",EDATE($D24,Milestones!$AA$71)&gt;=$R24),$U24,$T24)))=Milestones!$AB$71),TEXT(EDATE($D24,Milestones!$AA$71),"dd/mm/yy")&amp;" "&amp;Milestones!$AB$71&amp;" "&amp;Milestones!$AC$71&amp;";  ","")&amp;IF(AND(EDATE($D24,Milestones!$AA$72)&lt;=AsOfDate,IF($Q24=0,$W24,IF(AND($S24&lt;&gt;"",EDATE($D24,Milestones!$AA$72)&gt;=$S24),$V24,IF(AND($R24&lt;&gt;"",EDATE($D24,Milestones!$AA$72)&gt;=$R24),$U24,$T24)))=Milestones!$AB$72),TEXT(EDATE($D24,Milestones!$AA$72),"dd/mm/yy")&amp;" "&amp;Milestones!$AB$72&amp;" "&amp;Milestones!$AC$72&amp;";  ","")&amp;IF(AND(EDATE($D24,Milestones!$AA$73)&lt;=AsOfDate,IF($Q24=0,$W24,IF(AND($S24&lt;&gt;"",EDATE($D24,Milestones!$AA$73)&gt;=$S24),$V24,IF(AND($R24&lt;&gt;"",EDATE($D24,Milestones!$AA$73)&gt;=$R24),$U24,$T24)))=Milestones!$AB$73),TEXT(EDATE($D24,Milestones!$AA$73),"dd/mm/yy")&amp;" "&amp;Milestones!$AB$73&amp;" "&amp;Milestones!$AC$73&amp;";  ","")&amp;IF(AND(EDATE($D24,Milestones!$AA$74)&lt;=AsOfDate,IF($Q24=0,$W24,IF(AND($S24&lt;&gt;"",EDATE($D24,Milestones!$AA$74)&gt;=$S24),$V24,IF(AND($R24&lt;&gt;"",EDATE($D24,Milestones!$AA$74)&gt;=$R24),$U24,$T24)))=Milestones!$AB$74),TEXT(EDATE($D24,Milestones!$AA$74),"dd/mm/yy")&amp;" "&amp;Milestones!$AB$74&amp;" "&amp;Milestones!$AC$74&amp;";  ","")&amp;IF(AND(EDATE($D24,Milestones!$AA$75)&lt;=AsOfDate,IF($Q24=0,$W24,IF(AND($S24&lt;&gt;"",EDATE($D24,Milestones!$AA$75)&gt;=$S24),$V24,IF(AND($R24&lt;&gt;"",EDATE($D24,Milestones!$AA$75)&gt;=$R24),$U24,$T24)))=Milestones!$AB$75),TEXT(EDATE($D24,Milestones!$AA$75),"dd/mm/yy")&amp;" "&amp;Milestones!$AB$75&amp;" "&amp;Milestones!$AC$75&amp;";  ","")&amp;IF(AND(EDATE($D24,Milestones!$AA$76)&lt;=AsOfDate,IF($Q24=0,$W24,IF(AND($S24&lt;&gt;"",EDATE($D24,Milestones!$AA$76)&gt;=$S24),$V24,IF(AND($R24&lt;&gt;"",EDATE($D24,Milestones!$AA$76)&gt;=$R24),$U24,$T24)))=Milestones!$AB$76),TEXT(EDATE($D24,Milestones!$AA$76),"dd/mm/yy")&amp;" "&amp;Milestones!$AB$76&amp;" "&amp;Milestones!$AC$76&amp;";  ","")&amp;IF(AND(EDATE($D24,Milestones!$AA$77)&lt;=AsOfDate,IF($Q24=0,$W24,IF(AND($S24&lt;&gt;"",EDATE($D24,Milestones!$AA$77)&gt;=$S24),$V24,IF(AND($R24&lt;&gt;"",EDATE($D24,Milestones!$AA$77)&gt;=$R24),$U24,$T24)))=Milestones!$AB$77),TEXT(EDATE($D24,Milestones!$AA$77),"dd/mm/yy")&amp;" "&amp;Milestones!$AB$77&amp;" "&amp;Milestones!$AC$77&amp;";  ","")&amp;IF(AND(EDATE($D24,Milestones!$AA$78)&lt;=AsOfDate,IF($Q24=0,$W24,IF(AND($S24&lt;&gt;"",EDATE($D24,Milestones!$AA$78)&gt;=$S24),$V24,IF(AND($R24&lt;&gt;"",EDATE($D24,Milestones!$AA$78)&gt;=$R24),$U24,$T24)))=Milestones!$AB$78),TEXT(EDATE($D24,Milestones!$AA$78),"dd/mm/yy")&amp;" "&amp;Milestones!$AB$78&amp;" "&amp;Milestones!$AC$78&amp;";  ","")&amp;IF(AND(EDATE($D24,Milestones!$AA$79)&lt;=AsOfDate,IF($Q24=0,$W24,IF(AND($S24&lt;&gt;"",EDATE($D24,Milestones!$AA$79)&gt;=$S24),$V24,IF(AND($R24&lt;&gt;"",EDATE($D24,Milestones!$AA$79)&gt;=$R24),$U24,$T24)))=Milestones!$AB$79),TEXT(EDATE($D24,Milestones!$AA$79),"dd/mm/yy")&amp;" "&amp;Milestones!$AB$79&amp;" "&amp;Milestones!$AC$79&amp;";  ",""))</f>
        <v/>
      </c>
      <c r="K24" s="0" t="str">
        <f aca="false">IF(OR($A24="",$D24=""),"",IF(AND(EDATE($D24,Milestones!$AA$80)&lt;=AsOfDate,IF($Q24=0,$W24,IF(AND($S24&lt;&gt;"",EDATE($D24,Milestones!$AA$80)&gt;=$S24),$V24,IF(AND($R24&lt;&gt;"",EDATE($D24,Milestones!$AA$80)&gt;=$R24),$U24,$T24)))=Milestones!$AB$80),TEXT(EDATE($D24,Milestones!$AA$80),"dd/mm/yy")&amp;" "&amp;Milestones!$AB$80&amp;" "&amp;Milestones!$AC$80&amp;";  ","")&amp;IF(AND(EDATE($D24,Milestones!$AA$81)&lt;=AsOfDate,IF($Q24=0,$W24,IF(AND($S24&lt;&gt;"",EDATE($D24,Milestones!$AA$81)&gt;=$S24),$V24,IF(AND($R24&lt;&gt;"",EDATE($D24,Milestones!$AA$81)&gt;=$R24),$U24,$T24)))=Milestones!$AB$81),TEXT(EDATE($D24,Milestones!$AA$81),"dd/mm/yy")&amp;" "&amp;Milestones!$AB$81&amp;" "&amp;Milestones!$AC$81&amp;";  ","")&amp;IF(AND(EDATE($D24,Milestones!$AA$82)&lt;=AsOfDate,IF($Q24=0,$W24,IF(AND($S24&lt;&gt;"",EDATE($D24,Milestones!$AA$82)&gt;=$S24),$V24,IF(AND($R24&lt;&gt;"",EDATE($D24,Milestones!$AA$82)&gt;=$R24),$U24,$T24)))=Milestones!$AB$82),TEXT(EDATE($D24,Milestones!$AA$82),"dd/mm/yy")&amp;" "&amp;Milestones!$AB$82&amp;" "&amp;Milestones!$AC$82&amp;";  ","")&amp;IF(AND(EDATE($D24,Milestones!$AA$83)&lt;=AsOfDate,IF($Q24=0,$W24,IF(AND($S24&lt;&gt;"",EDATE($D24,Milestones!$AA$83)&gt;=$S24),$V24,IF(AND($R24&lt;&gt;"",EDATE($D24,Milestones!$AA$83)&gt;=$R24),$U24,$T24)))=Milestones!$AB$83),TEXT(EDATE($D24,Milestones!$AA$83),"dd/mm/yy")&amp;" "&amp;Milestones!$AB$83&amp;" "&amp;Milestones!$AC$83&amp;";  ","")&amp;IF(AND(EDATE($D24,Milestones!$AA$84)&lt;=AsOfDate,IF($Q24=0,$W24,IF(AND($S24&lt;&gt;"",EDATE($D24,Milestones!$AA$84)&gt;=$S24),$V24,IF(AND($R24&lt;&gt;"",EDATE($D24,Milestones!$AA$84)&gt;=$R24),$U24,$T24)))=Milestones!$AB$84),TEXT(EDATE($D24,Milestones!$AA$84),"dd/mm/yy")&amp;" "&amp;Milestones!$AB$84&amp;" "&amp;Milestones!$AC$84&amp;";  ","")&amp;IF(AND(EDATE($D24,Milestones!$AA$85)&lt;=AsOfDate,IF($Q24=0,$W24,IF(AND($S24&lt;&gt;"",EDATE($D24,Milestones!$AA$85)&gt;=$S24),$V24,IF(AND($R24&lt;&gt;"",EDATE($D24,Milestones!$AA$85)&gt;=$R24),$U24,$T24)))=Milestones!$AB$85),TEXT(EDATE($D24,Milestones!$AA$85),"dd/mm/yy")&amp;" "&amp;Milestones!$AB$85&amp;" "&amp;Milestones!$AC$85&amp;";  ","")&amp;IF(AND(EDATE($D24,Milestones!$AA$86)&lt;=AsOfDate,IF($Q24=0,$W24,IF(AND($S24&lt;&gt;"",EDATE($D24,Milestones!$AA$86)&gt;=$S24),$V24,IF(AND($R24&lt;&gt;"",EDATE($D24,Milestones!$AA$86)&gt;=$R24),$U24,$T24)))=Milestones!$AB$86),TEXT(EDATE($D24,Milestones!$AA$86),"dd/mm/yy")&amp;" "&amp;Milestones!$AB$86&amp;" "&amp;Milestones!$AC$86&amp;";  ","")&amp;IF(AND(EDATE($D24,Milestones!$AA$87)&lt;=AsOfDate,IF($Q24=0,$W24,IF(AND($S24&lt;&gt;"",EDATE($D24,Milestones!$AA$87)&gt;=$S24),$V24,IF(AND($R24&lt;&gt;"",EDATE($D24,Milestones!$AA$87)&gt;=$R24),$U24,$T24)))=Milestones!$AB$87),TEXT(EDATE($D24,Milestones!$AA$87),"dd/mm/yy")&amp;" "&amp;Milestones!$AB$87&amp;" "&amp;Milestones!$AC$87&amp;";  ","")&amp;IF(AND(EDATE($D24,Milestones!$AA$88)&lt;=AsOfDate,IF($Q24=0,$W24,IF(AND($S24&lt;&gt;"",EDATE($D24,Milestones!$AA$88)&gt;=$S24),$V24,IF(AND($R24&lt;&gt;"",EDATE($D24,Milestones!$AA$88)&gt;=$R24),$U24,$T24)))=Milestones!$AB$88),TEXT(EDATE($D24,Milestones!$AA$88),"dd/mm/yy")&amp;" "&amp;Milestones!$AB$88&amp;" "&amp;Milestones!$AC$88&amp;";  ","")&amp;IF(AND(EDATE($D24,Milestones!$AA$89)&lt;=AsOfDate,IF($Q24=0,$W24,IF(AND($S24&lt;&gt;"",EDATE($D24,Milestones!$AA$89)&gt;=$S24),$V24,IF(AND($R24&lt;&gt;"",EDATE($D24,Milestones!$AA$89)&gt;=$R24),$U24,$T24)))=Milestones!$AB$89),TEXT(EDATE($D24,Milestones!$AA$89),"dd/mm/yy")&amp;" "&amp;Milestones!$AB$89&amp;" "&amp;Milestones!$AC$89&amp;";  ","")&amp;IF(AND(EDATE($D24,Milestones!$AA$90)&lt;=AsOfDate,IF($Q24=0,$W24,IF(AND($S24&lt;&gt;"",EDATE($D24,Milestones!$AA$90)&gt;=$S24),$V24,IF(AND($R24&lt;&gt;"",EDATE($D24,Milestones!$AA$90)&gt;=$R24),$U24,$T24)))=Milestones!$AB$90),TEXT(EDATE($D24,Milestones!$AA$90),"dd/mm/yy")&amp;" "&amp;Milestones!$AB$90&amp;" "&amp;Milestones!$AC$90&amp;";  ","")&amp;IF(AND(EDATE($D24,Milestones!$AA$91)&lt;=AsOfDate,IF($Q24=0,$W24,IF(AND($S24&lt;&gt;"",EDATE($D24,Milestones!$AA$91)&gt;=$S24),$V24,IF(AND($R24&lt;&gt;"",EDATE($D24,Milestones!$AA$91)&gt;=$R24),$U24,$T24)))=Milestones!$AB$91),TEXT(EDATE($D24,Milestones!$AA$91),"dd/mm/yy")&amp;" "&amp;Milestones!$AB$91&amp;" "&amp;Milestones!$AC$91&amp;";  ","")&amp;IF(AND(EDATE($D24,Milestones!$AA$92)&lt;=AsOfDate,IF($Q24=0,$W24,IF(AND($S24&lt;&gt;"",EDATE($D24,Milestones!$AA$92)&gt;=$S24),$V24,IF(AND($R24&lt;&gt;"",EDATE($D24,Milestones!$AA$92)&gt;=$R24),$U24,$T24)))=Milestones!$AB$92),TEXT(EDATE($D24,Milestones!$AA$92),"dd/mm/yy")&amp;" "&amp;Milestones!$AB$92&amp;" "&amp;Milestones!$AC$92&amp;";  ","")&amp;IF(AND(EDATE($D24,Milestones!$AA$93)&lt;=AsOfDate,IF($Q24=0,$W24,IF(AND($S24&lt;&gt;"",EDATE($D24,Milestones!$AA$93)&gt;=$S24),$V24,IF(AND($R24&lt;&gt;"",EDATE($D24,Milestones!$AA$93)&gt;=$R24),$U24,$T24)))=Milestones!$AB$93),TEXT(EDATE($D24,Milestones!$AA$93),"dd/mm/yy")&amp;" "&amp;Milestones!$AB$93&amp;" "&amp;Milestones!$AC$93&amp;";  ","")&amp;IF(AND(EDATE($D24,Milestones!$AA$94)&lt;=AsOfDate,IF($Q24=0,$W24,IF(AND($S24&lt;&gt;"",EDATE($D24,Milestones!$AA$94)&gt;=$S24),$V24,IF(AND($R24&lt;&gt;"",EDATE($D24,Milestones!$AA$94)&gt;=$R24),$U24,$T24)))=Milestones!$AB$94),TEXT(EDATE($D24,Milestones!$AA$94),"dd/mm/yy")&amp;" "&amp;Milestones!$AB$94&amp;" "&amp;Milestones!$AC$94&amp;";  ","")&amp;IF(AND(EDATE($D24,Milestones!$AA$95)&lt;=AsOfDate,IF($Q24=0,$W24,IF(AND($S24&lt;&gt;"",EDATE($D24,Milestones!$AA$95)&gt;=$S24),$V24,IF(AND($R24&lt;&gt;"",EDATE($D24,Milestones!$AA$95)&gt;=$R24),$U24,$T24)))=Milestones!$AB$95),TEXT(EDATE($D24,Milestones!$AA$95),"dd/mm/yy")&amp;" "&amp;Milestones!$AB$95&amp;" "&amp;Milestones!$AC$95&amp;";  ","")&amp;IF(AND(EDATE($D24,Milestones!$AA$96)&lt;=AsOfDate,IF($Q24=0,$W24,IF(AND($S24&lt;&gt;"",EDATE($D24,Milestones!$AA$96)&gt;=$S24),$V24,IF(AND($R24&lt;&gt;"",EDATE($D24,Milestones!$AA$96)&gt;=$R24),$U24,$T24)))=Milestones!$AB$96),TEXT(EDATE($D24,Milestones!$AA$96),"dd/mm/yy")&amp;" "&amp;Milestones!$AB$96&amp;" "&amp;Milestones!$AC$96&amp;";  ","")&amp;IF(AND(EDATE($D24,Milestones!$AA$97)&lt;=AsOfDate,IF($Q24=0,$W24,IF(AND($S24&lt;&gt;"",EDATE($D24,Milestones!$AA$97)&gt;=$S24),$V24,IF(AND($R24&lt;&gt;"",EDATE($D24,Milestones!$AA$97)&gt;=$R24),$U24,$T24)))=Milestones!$AB$97),TEXT(EDATE($D24,Milestones!$AA$97),"dd/mm/yy")&amp;" "&amp;Milestones!$AB$97&amp;" "&amp;Milestones!$AC$97&amp;";  ","")&amp;IF(AND(EDATE($D24,Milestones!$AA$98)&lt;=AsOfDate,IF($Q24=0,$W24,IF(AND($S24&lt;&gt;"",EDATE($D24,Milestones!$AA$98)&gt;=$S24),$V24,IF(AND($R24&lt;&gt;"",EDATE($D24,Milestones!$AA$98)&gt;=$R24),$U24,$T24)))=Milestones!$AB$98),TEXT(EDATE($D24,Milestones!$AA$98),"dd/mm/yy")&amp;" "&amp;Milestones!$AB$98&amp;" "&amp;Milestones!$AC$98&amp;";  ","")&amp;IF(AND(EDATE($D24,Milestones!$AA$99)&lt;=AsOfDate,IF($Q24=0,$W24,IF(AND($S24&lt;&gt;"",EDATE($D24,Milestones!$AA$99)&gt;=$S24),$V24,IF(AND($R24&lt;&gt;"",EDATE($D24,Milestones!$AA$99)&gt;=$R24),$U24,$T24)))=Milestones!$AB$99),TEXT(EDATE($D24,Milestones!$AA$99),"dd/mm/yy")&amp;" "&amp;Milestones!$AB$99&amp;" "&amp;Milestones!$AC$99&amp;";  ",""))</f>
        <v/>
      </c>
      <c r="L24" s="0" t="str">
        <f aca="false">IF(OR($A24="",$D24=""),"",IF(AND(EDATE($D24,Milestones!$AA$100)&lt;=AsOfDate,IF($Q24=0,$W24,IF(AND($S24&lt;&gt;"",EDATE($D24,Milestones!$AA$100)&gt;=$S24),$V24,IF(AND($R24&lt;&gt;"",EDATE($D24,Milestones!$AA$100)&gt;=$R24),$U24,$T24)))=Milestones!$AB$100),TEXT(EDATE($D24,Milestones!$AA$100),"dd/mm/yy")&amp;" "&amp;Milestones!$AB$100&amp;" "&amp;Milestones!$AC$100&amp;";  ","")&amp;IF(AND(EDATE($D24,Milestones!$AA$101)&lt;=AsOfDate,IF($Q24=0,$W24,IF(AND($S24&lt;&gt;"",EDATE($D24,Milestones!$AA$101)&gt;=$S24),$V24,IF(AND($R24&lt;&gt;"",EDATE($D24,Milestones!$AA$101)&gt;=$R24),$U24,$T24)))=Milestones!$AB$101),TEXT(EDATE($D24,Milestones!$AA$101),"dd/mm/yy")&amp;" "&amp;Milestones!$AB$101&amp;" "&amp;Milestones!$AC$101&amp;";  ","")&amp;IF(AND(EDATE($D24,Milestones!$AA$102)&lt;=AsOfDate,IF($Q24=0,$W24,IF(AND($S24&lt;&gt;"",EDATE($D24,Milestones!$AA$102)&gt;=$S24),$V24,IF(AND($R24&lt;&gt;"",EDATE($D24,Milestones!$AA$102)&gt;=$R24),$U24,$T24)))=Milestones!$AB$102),TEXT(EDATE($D24,Milestones!$AA$102),"dd/mm/yy")&amp;" "&amp;Milestones!$AB$102&amp;" "&amp;Milestones!$AC$102&amp;";  ","")&amp;IF(AND(EDATE($D24,Milestones!$AA$103)&lt;=AsOfDate,IF($Q24=0,$W24,IF(AND($S24&lt;&gt;"",EDATE($D24,Milestones!$AA$103)&gt;=$S24),$V24,IF(AND($R24&lt;&gt;"",EDATE($D24,Milestones!$AA$103)&gt;=$R24),$U24,$T24)))=Milestones!$AB$103),TEXT(EDATE($D24,Milestones!$AA$103),"dd/mm/yy")&amp;" "&amp;Milestones!$AB$103&amp;" "&amp;Milestones!$AC$103&amp;";  ","")&amp;IF(AND(EDATE($D24,Milestones!$AA$104)&lt;=AsOfDate,IF($Q24=0,$W24,IF(AND($S24&lt;&gt;"",EDATE($D24,Milestones!$AA$104)&gt;=$S24),$V24,IF(AND($R24&lt;&gt;"",EDATE($D24,Milestones!$AA$104)&gt;=$R24),$U24,$T24)))=Milestones!$AB$104),TEXT(EDATE($D24,Milestones!$AA$104),"dd/mm/yy")&amp;" "&amp;Milestones!$AB$104&amp;" "&amp;Milestones!$AC$104&amp;";  ","")&amp;IF(AND(EDATE($D24,Milestones!$AA$105)&lt;=AsOfDate,IF($Q24=0,$W24,IF(AND($S24&lt;&gt;"",EDATE($D24,Milestones!$AA$105)&gt;=$S24),$V24,IF(AND($R24&lt;&gt;"",EDATE($D24,Milestones!$AA$105)&gt;=$R24),$U24,$T24)))=Milestones!$AB$105),TEXT(EDATE($D24,Milestones!$AA$105),"dd/mm/yy")&amp;" "&amp;Milestones!$AB$105&amp;" "&amp;Milestones!$AC$105&amp;";  ","")&amp;IF(AND(EDATE($D24,Milestones!$AA$106)&lt;=AsOfDate,IF($Q24=0,$W24,IF(AND($S24&lt;&gt;"",EDATE($D24,Milestones!$AA$106)&gt;=$S24),$V24,IF(AND($R24&lt;&gt;"",EDATE($D24,Milestones!$AA$106)&gt;=$R24),$U24,$T24)))=Milestones!$AB$106),TEXT(EDATE($D24,Milestones!$AA$106),"dd/mm/yy")&amp;" "&amp;Milestones!$AB$106&amp;" "&amp;Milestones!$AC$106&amp;";  ","")&amp;IF(AND(EDATE($D24,Milestones!$AA$107)&lt;=AsOfDate,IF($Q24=0,$W24,IF(AND($S24&lt;&gt;"",EDATE($D24,Milestones!$AA$107)&gt;=$S24),$V24,IF(AND($R24&lt;&gt;"",EDATE($D24,Milestones!$AA$107)&gt;=$R24),$U24,$T24)))=Milestones!$AB$107),TEXT(EDATE($D24,Milestones!$AA$107),"dd/mm/yy")&amp;" "&amp;Milestones!$AB$107&amp;" "&amp;Milestones!$AC$107&amp;";  ","")&amp;IF(AND(EDATE($D24,Milestones!$AA$108)&lt;=AsOfDate,IF($Q24=0,$W24,IF(AND($S24&lt;&gt;"",EDATE($D24,Milestones!$AA$108)&gt;=$S24),$V24,IF(AND($R24&lt;&gt;"",EDATE($D24,Milestones!$AA$108)&gt;=$R24),$U24,$T24)))=Milestones!$AB$108),TEXT(EDATE($D24,Milestones!$AA$108),"dd/mm/yy")&amp;" "&amp;Milestones!$AB$108&amp;" "&amp;Milestones!$AC$108&amp;";  ","")&amp;IF(AND(EDATE($D24,Milestones!$AA$109)&lt;=AsOfDate,IF($Q24=0,$W24,IF(AND($S24&lt;&gt;"",EDATE($D24,Milestones!$AA$109)&gt;=$S24),$V24,IF(AND($R24&lt;&gt;"",EDATE($D24,Milestones!$AA$109)&gt;=$R24),$U24,$T24)))=Milestones!$AB$109),TEXT(EDATE($D24,Milestones!$AA$109),"dd/mm/yy")&amp;" "&amp;Milestones!$AB$109&amp;" "&amp;Milestones!$AC$109&amp;";  ","")&amp;IF(AND(EDATE($D24,Milestones!$AA$110)&lt;=AsOfDate,IF($Q24=0,$W24,IF(AND($S24&lt;&gt;"",EDATE($D24,Milestones!$AA$110)&gt;=$S24),$V24,IF(AND($R24&lt;&gt;"",EDATE($D24,Milestones!$AA$110)&gt;=$R24),$U24,$T24)))=Milestones!$AB$110),TEXT(EDATE($D24,Milestones!$AA$110),"dd/mm/yy")&amp;" "&amp;Milestones!$AB$110&amp;" "&amp;Milestones!$AC$110&amp;";  ","")&amp;IF(AND(EDATE($D24,Milestones!$AA$111)&lt;=AsOfDate,IF($Q24=0,$W24,IF(AND($S24&lt;&gt;"",EDATE($D24,Milestones!$AA$111)&gt;=$S24),$V24,IF(AND($R24&lt;&gt;"",EDATE($D24,Milestones!$AA$111)&gt;=$R24),$U24,$T24)))=Milestones!$AB$111),TEXT(EDATE($D24,Milestones!$AA$111),"dd/mm/yy")&amp;" "&amp;Milestones!$AB$111&amp;" "&amp;Milestones!$AC$111&amp;";  ","")&amp;IF(AND(EDATE($D24,Milestones!$AA$112)&lt;=AsOfDate,IF($Q24=0,$W24,IF(AND($S24&lt;&gt;"",EDATE($D24,Milestones!$AA$112)&gt;=$S24),$V24,IF(AND($R24&lt;&gt;"",EDATE($D24,Milestones!$AA$112)&gt;=$R24),$U24,$T24)))=Milestones!$AB$112),TEXT(EDATE($D24,Milestones!$AA$112),"dd/mm/yy")&amp;" "&amp;Milestones!$AB$112&amp;" "&amp;Milestones!$AC$112&amp;";  ","")&amp;IF(AND(EDATE($D24,Milestones!$AA$113)&lt;=AsOfDate,IF($Q24=0,$W24,IF(AND($S24&lt;&gt;"",EDATE($D24,Milestones!$AA$113)&gt;=$S24),$V24,IF(AND($R24&lt;&gt;"",EDATE($D24,Milestones!$AA$113)&gt;=$R24),$U24,$T24)))=Milestones!$AB$113),TEXT(EDATE($D24,Milestones!$AA$113),"dd/mm/yy")&amp;" "&amp;Milestones!$AB$113&amp;" "&amp;Milestones!$AC$113&amp;";  ","")&amp;IF(AND(EDATE($D24,Milestones!$AA$114)&lt;=AsOfDate,IF($Q24=0,$W24,IF(AND($S24&lt;&gt;"",EDATE($D24,Milestones!$AA$114)&gt;=$S24),$V24,IF(AND($R24&lt;&gt;"",EDATE($D24,Milestones!$AA$114)&gt;=$R24),$U24,$T24)))=Milestones!$AB$114),TEXT(EDATE($D24,Milestones!$AA$114),"dd/mm/yy")&amp;" "&amp;Milestones!$AB$114&amp;" "&amp;Milestones!$AC$114&amp;";  ","")&amp;IF(AND(EDATE($D24,Milestones!$AA$115)&lt;=AsOfDate,IF($Q24=0,$W24,IF(AND($S24&lt;&gt;"",EDATE($D24,Milestones!$AA$115)&gt;=$S24),$V24,IF(AND($R24&lt;&gt;"",EDATE($D24,Milestones!$AA$115)&gt;=$R24),$U24,$T24)))=Milestones!$AB$115),TEXT(EDATE($D24,Milestones!$AA$115),"dd/mm/yy")&amp;" "&amp;Milestones!$AB$115&amp;" "&amp;Milestones!$AC$115&amp;";  ","")&amp;IF(AND(EDATE($D24,Milestones!$AA$116)&lt;=AsOfDate,IF($Q24=0,$W24,IF(AND($S24&lt;&gt;"",EDATE($D24,Milestones!$AA$116)&gt;=$S24),$V24,IF(AND($R24&lt;&gt;"",EDATE($D24,Milestones!$AA$116)&gt;=$R24),$U24,$T24)))=Milestones!$AB$116),TEXT(EDATE($D24,Milestones!$AA$116),"dd/mm/yy")&amp;" "&amp;Milestones!$AB$116&amp;" "&amp;Milestones!$AC$116&amp;";  ","")&amp;IF(AND(EDATE($D24,Milestones!$AA$117)&lt;=AsOfDate,IF($Q24=0,$W24,IF(AND($S24&lt;&gt;"",EDATE($D24,Milestones!$AA$117)&gt;=$S24),$V24,IF(AND($R24&lt;&gt;"",EDATE($D24,Milestones!$AA$117)&gt;=$R24),$U24,$T24)))=Milestones!$AB$117),TEXT(EDATE($D24,Milestones!$AA$117),"dd/mm/yy")&amp;" "&amp;Milestones!$AB$117&amp;" "&amp;Milestones!$AC$117&amp;";  ","")&amp;IF(AND(EDATE($D24,Milestones!$AA$118)&lt;=AsOfDate,IF($Q24=0,$W24,IF(AND($S24&lt;&gt;"",EDATE($D24,Milestones!$AA$118)&gt;=$S24),$V24,IF(AND($R24&lt;&gt;"",EDATE($D24,Milestones!$AA$118)&gt;=$R24),$U24,$T24)))=Milestones!$AB$118),TEXT(EDATE($D24,Milestones!$AA$118),"dd/mm/yy")&amp;" "&amp;Milestones!$AB$118&amp;" "&amp;Milestones!$AC$118&amp;";  ","")&amp;IF(AND(EDATE($D24,Milestones!$AA$119)&lt;=AsOfDate,IF($Q24=0,$W24,IF(AND($S24&lt;&gt;"",EDATE($D24,Milestones!$AA$119)&gt;=$S24),$V24,IF(AND($R24&lt;&gt;"",EDATE($D24,Milestones!$AA$119)&gt;=$R24),$U24,$T24)))=Milestones!$AB$119),TEXT(EDATE($D24,Milestones!$AA$119),"dd/mm/yy")&amp;" "&amp;Milestones!$AB$119&amp;" "&amp;Milestones!$AC$119&amp;";  ",""))</f>
        <v/>
      </c>
      <c r="M24" s="0" t="str">
        <f aca="false">IF(OR($A24="",$D24=""),"",IF(AND(EDATE($D24,Milestones!$AA$120)&lt;=AsOfDate,IF($Q24=0,$W24,IF(AND($S24&lt;&gt;"",EDATE($D24,Milestones!$AA$120)&gt;=$S24),$V24,IF(AND($R24&lt;&gt;"",EDATE($D24,Milestones!$AA$120)&gt;=$R24),$U24,$T24)))=Milestones!$AB$120),TEXT(EDATE($D24,Milestones!$AA$120),"dd/mm/yy")&amp;" "&amp;Milestones!$AB$120&amp;" "&amp;Milestones!$AC$120&amp;";  ","")&amp;IF(AND(EDATE($D24,Milestones!$AA$121)&lt;=AsOfDate,IF($Q24=0,$W24,IF(AND($S24&lt;&gt;"",EDATE($D24,Milestones!$AA$121)&gt;=$S24),$V24,IF(AND($R24&lt;&gt;"",EDATE($D24,Milestones!$AA$121)&gt;=$R24),$U24,$T24)))=Milestones!$AB$121),TEXT(EDATE($D24,Milestones!$AA$121),"dd/mm/yy")&amp;" "&amp;Milestones!$AB$121&amp;" "&amp;Milestones!$AC$121&amp;";  ","")&amp;IF(AND(EDATE($D24,Milestones!$AA$122)&lt;=AsOfDate,IF($Q24=0,$W24,IF(AND($S24&lt;&gt;"",EDATE($D24,Milestones!$AA$122)&gt;=$S24),$V24,IF(AND($R24&lt;&gt;"",EDATE($D24,Milestones!$AA$122)&gt;=$R24),$U24,$T24)))=Milestones!$AB$122),TEXT(EDATE($D24,Milestones!$AA$122),"dd/mm/yy")&amp;" "&amp;Milestones!$AB$122&amp;" "&amp;Milestones!$AC$122&amp;";  ","")&amp;IF(AND(EDATE($D24,Milestones!$AA$123)&lt;=AsOfDate,IF($Q24=0,$W24,IF(AND($S24&lt;&gt;"",EDATE($D24,Milestones!$AA$123)&gt;=$S24),$V24,IF(AND($R24&lt;&gt;"",EDATE($D24,Milestones!$AA$123)&gt;=$R24),$U24,$T24)))=Milestones!$AB$123),TEXT(EDATE($D24,Milestones!$AA$123),"dd/mm/yy")&amp;" "&amp;Milestones!$AB$123&amp;" "&amp;Milestones!$AC$123&amp;";  ","")&amp;IF(AND(EDATE($D24,Milestones!$AA$124)&lt;=AsOfDate,IF($Q24=0,$W24,IF(AND($S24&lt;&gt;"",EDATE($D24,Milestones!$AA$124)&gt;=$S24),$V24,IF(AND($R24&lt;&gt;"",EDATE($D24,Milestones!$AA$124)&gt;=$R24),$U24,$T24)))=Milestones!$AB$124),TEXT(EDATE($D24,Milestones!$AA$124),"dd/mm/yy")&amp;" "&amp;Milestones!$AB$124&amp;" "&amp;Milestones!$AC$124&amp;";  ","")&amp;IF(AND(EDATE($D24,Milestones!$AA$125)&lt;=AsOfDate,IF($Q24=0,$W24,IF(AND($S24&lt;&gt;"",EDATE($D24,Milestones!$AA$125)&gt;=$S24),$V24,IF(AND($R24&lt;&gt;"",EDATE($D24,Milestones!$AA$125)&gt;=$R24),$U24,$T24)))=Milestones!$AB$125),TEXT(EDATE($D24,Milestones!$AA$125),"dd/mm/yy")&amp;" "&amp;Milestones!$AB$125&amp;" "&amp;Milestones!$AC$125&amp;";  ","")&amp;IF(AND(EDATE($D24,Milestones!$AA$126)&lt;=AsOfDate,IF($Q24=0,$W24,IF(AND($S24&lt;&gt;"",EDATE($D24,Milestones!$AA$126)&gt;=$S24),$V24,IF(AND($R24&lt;&gt;"",EDATE($D24,Milestones!$AA$126)&gt;=$R24),$U24,$T24)))=Milestones!$AB$126),TEXT(EDATE($D24,Milestones!$AA$126),"dd/mm/yy")&amp;" "&amp;Milestones!$AB$126&amp;" "&amp;Milestones!$AC$126&amp;";  ","")&amp;IF(AND(EDATE($D24,Milestones!$AA$127)&lt;=AsOfDate,IF($Q24=0,$W24,IF(AND($S24&lt;&gt;"",EDATE($D24,Milestones!$AA$127)&gt;=$S24),$V24,IF(AND($R24&lt;&gt;"",EDATE($D24,Milestones!$AA$127)&gt;=$R24),$U24,$T24)))=Milestones!$AB$127),TEXT(EDATE($D24,Milestones!$AA$127),"dd/mm/yy")&amp;" "&amp;Milestones!$AB$127&amp;" "&amp;Milestones!$AC$127&amp;";  ","")&amp;IF(AND(EDATE($D24,Milestones!$AA$128)&lt;=AsOfDate,IF($Q24=0,$W24,IF(AND($S24&lt;&gt;"",EDATE($D24,Milestones!$AA$128)&gt;=$S24),$V24,IF(AND($R24&lt;&gt;"",EDATE($D24,Milestones!$AA$128)&gt;=$R24),$U24,$T24)))=Milestones!$AB$128),TEXT(EDATE($D24,Milestones!$AA$128),"dd/mm/yy")&amp;" "&amp;Milestones!$AB$128&amp;" "&amp;Milestones!$AC$128&amp;";  ","")&amp;IF(AND(EDATE($D24,Milestones!$AA$129)&lt;=AsOfDate,IF($Q24=0,$W24,IF(AND($S24&lt;&gt;"",EDATE($D24,Milestones!$AA$129)&gt;=$S24),$V24,IF(AND($R24&lt;&gt;"",EDATE($D24,Milestones!$AA$129)&gt;=$R24),$U24,$T24)))=Milestones!$AB$129),TEXT(EDATE($D24,Milestones!$AA$129),"dd/mm/yy")&amp;" "&amp;Milestones!$AB$129&amp;" "&amp;Milestones!$AC$129&amp;";  ","")&amp;IF(AND(EDATE($D24,Milestones!$AA$130)&lt;=AsOfDate,IF($Q24=0,$W24,IF(AND($S24&lt;&gt;"",EDATE($D24,Milestones!$AA$130)&gt;=$S24),$V24,IF(AND($R24&lt;&gt;"",EDATE($D24,Milestones!$AA$130)&gt;=$R24),$U24,$T24)))=Milestones!$AB$130),TEXT(EDATE($D24,Milestones!$AA$130),"dd/mm/yy")&amp;" "&amp;Milestones!$AB$130&amp;" "&amp;Milestones!$AC$130&amp;";  ","")&amp;IF(AND(EDATE($D24,Milestones!$AA$131)&lt;=AsOfDate,IF($Q24=0,$W24,IF(AND($S24&lt;&gt;"",EDATE($D24,Milestones!$AA$131)&gt;=$S24),$V24,IF(AND($R24&lt;&gt;"",EDATE($D24,Milestones!$AA$131)&gt;=$R24),$U24,$T24)))=Milestones!$AB$131),TEXT(EDATE($D24,Milestones!$AA$131),"dd/mm/yy")&amp;" "&amp;Milestones!$AB$131&amp;" "&amp;Milestones!$AC$131&amp;";  ","")&amp;IF(AND(EDATE($D24,Milestones!$AA$132)&lt;=AsOfDate,IF($Q24=0,$W24,IF(AND($S24&lt;&gt;"",EDATE($D24,Milestones!$AA$132)&gt;=$S24),$V24,IF(AND($R24&lt;&gt;"",EDATE($D24,Milestones!$AA$132)&gt;=$R24),$U24,$T24)))=Milestones!$AB$132),TEXT(EDATE($D24,Milestones!$AA$132),"dd/mm/yy")&amp;" "&amp;Milestones!$AB$132&amp;" "&amp;Milestones!$AC$132&amp;";  ","")&amp;IF(AND(EDATE($D24,Milestones!$AA$133)&lt;=AsOfDate,IF($Q24=0,$W24,IF(AND($S24&lt;&gt;"",EDATE($D24,Milestones!$AA$133)&gt;=$S24),$V24,IF(AND($R24&lt;&gt;"",EDATE($D24,Milestones!$AA$133)&gt;=$R24),$U24,$T24)))=Milestones!$AB$133),TEXT(EDATE($D24,Milestones!$AA$133),"dd/mm/yy")&amp;" "&amp;Milestones!$AB$133&amp;" "&amp;Milestones!$AC$133&amp;";  ","")&amp;IF(AND(EDATE($D24,Milestones!$AA$134)&lt;=AsOfDate,IF($Q24=0,$W24,IF(AND($S24&lt;&gt;"",EDATE($D24,Milestones!$AA$134)&gt;=$S24),$V24,IF(AND($R24&lt;&gt;"",EDATE($D24,Milestones!$AA$134)&gt;=$R24),$U24,$T24)))=Milestones!$AB$134),TEXT(EDATE($D24,Milestones!$AA$134),"dd/mm/yy")&amp;" "&amp;Milestones!$AB$134&amp;" "&amp;Milestones!$AC$134&amp;";  ","")&amp;IF(AND(EDATE($D24,Milestones!$AA$135)&lt;=AsOfDate,IF($Q24=0,$W24,IF(AND($S24&lt;&gt;"",EDATE($D24,Milestones!$AA$135)&gt;=$S24),$V24,IF(AND($R24&lt;&gt;"",EDATE($D24,Milestones!$AA$135)&gt;=$R24),$U24,$T24)))=Milestones!$AB$135),TEXT(EDATE($D24,Milestones!$AA$135),"dd/mm/yy")&amp;" "&amp;Milestones!$AB$135&amp;" "&amp;Milestones!$AC$135&amp;";  ","")&amp;IF(AND(EDATE($D24,Milestones!$AA$136)&lt;=AsOfDate,IF($Q24=0,$W24,IF(AND($S24&lt;&gt;"",EDATE($D24,Milestones!$AA$136)&gt;=$S24),$V24,IF(AND($R24&lt;&gt;"",EDATE($D24,Milestones!$AA$136)&gt;=$R24),$U24,$T24)))=Milestones!$AB$136),TEXT(EDATE($D24,Milestones!$AA$136),"dd/mm/yy")&amp;" "&amp;Milestones!$AB$136&amp;" "&amp;Milestones!$AC$136&amp;";  ","")&amp;IF(AND(EDATE($D24,Milestones!$AA$137)&lt;=AsOfDate,IF($Q24=0,$W24,IF(AND($S24&lt;&gt;"",EDATE($D24,Milestones!$AA$137)&gt;=$S24),$V24,IF(AND($R24&lt;&gt;"",EDATE($D24,Milestones!$AA$137)&gt;=$R24),$U24,$T24)))=Milestones!$AB$137),TEXT(EDATE($D24,Milestones!$AA$137),"dd/mm/yy")&amp;" "&amp;Milestones!$AB$137&amp;" "&amp;Milestones!$AC$137&amp;";  ","")&amp;IF(AND(EDATE($D24,Milestones!$AA$138)&lt;=AsOfDate,IF($Q24=0,$W24,IF(AND($S24&lt;&gt;"",EDATE($D24,Milestones!$AA$138)&gt;=$S24),$V24,IF(AND($R24&lt;&gt;"",EDATE($D24,Milestones!$AA$138)&gt;=$R24),$U24,$T24)))=Milestones!$AB$138),TEXT(EDATE($D24,Milestones!$AA$138),"dd/mm/yy")&amp;" "&amp;Milestones!$AB$138&amp;" "&amp;Milestones!$AC$138&amp;";  ","")&amp;IF(AND(EDATE($D24,Milestones!$AA$139)&lt;=AsOfDate,IF($Q24=0,$W24,IF(AND($S24&lt;&gt;"",EDATE($D24,Milestones!$AA$139)&gt;=$S24),$V24,IF(AND($R24&lt;&gt;"",EDATE($D24,Milestones!$AA$139)&gt;=$R24),$U24,$T24)))=Milestones!$AB$139),TEXT(EDATE($D24,Milestones!$AA$139),"dd/mm/yy")&amp;" "&amp;Milestones!$AB$139&amp;" "&amp;Milestones!$AC$139&amp;";  ",""))</f>
        <v/>
      </c>
      <c r="N24" s="0" t="str">
        <f aca="false">IF(OR($A24="",$D24=""),"",IF(AND(EDATE($D24,Milestones!$AA$140)&lt;=AsOfDate,IF($Q24=0,$W24,IF(AND($S24&lt;&gt;"",EDATE($D24,Milestones!$AA$140)&gt;=$S24),$V24,IF(AND($R24&lt;&gt;"",EDATE($D24,Milestones!$AA$140)&gt;=$R24),$U24,$T24)))=Milestones!$AB$140),TEXT(EDATE($D24,Milestones!$AA$140),"dd/mm/yy")&amp;" "&amp;Milestones!$AB$140&amp;" "&amp;Milestones!$AC$140&amp;";  ","")&amp;IF(AND(EDATE($D24,Milestones!$AA$141)&lt;=AsOfDate,IF($Q24=0,$W24,IF(AND($S24&lt;&gt;"",EDATE($D24,Milestones!$AA$141)&gt;=$S24),$V24,IF(AND($R24&lt;&gt;"",EDATE($D24,Milestones!$AA$141)&gt;=$R24),$U24,$T24)))=Milestones!$AB$141),TEXT(EDATE($D24,Milestones!$AA$141),"dd/mm/yy")&amp;" "&amp;Milestones!$AB$141&amp;" "&amp;Milestones!$AC$141&amp;";  ","")&amp;IF(AND(EDATE($D24,Milestones!$AA$142)&lt;=AsOfDate,IF($Q24=0,$W24,IF(AND($S24&lt;&gt;"",EDATE($D24,Milestones!$AA$142)&gt;=$S24),$V24,IF(AND($R24&lt;&gt;"",EDATE($D24,Milestones!$AA$142)&gt;=$R24),$U24,$T24)))=Milestones!$AB$142),TEXT(EDATE($D24,Milestones!$AA$142),"dd/mm/yy")&amp;" "&amp;Milestones!$AB$142&amp;" "&amp;Milestones!$AC$142&amp;";  ","")&amp;IF(AND(EDATE($D24,Milestones!$AA$143)&lt;=AsOfDate,IF($Q24=0,$W24,IF(AND($S24&lt;&gt;"",EDATE($D24,Milestones!$AA$143)&gt;=$S24),$V24,IF(AND($R24&lt;&gt;"",EDATE($D24,Milestones!$AA$143)&gt;=$R24),$U24,$T24)))=Milestones!$AB$143),TEXT(EDATE($D24,Milestones!$AA$143),"dd/mm/yy")&amp;" "&amp;Milestones!$AB$143&amp;" "&amp;Milestones!$AC$143&amp;";  ","")&amp;IF(AND(EDATE($D24,Milestones!$AA$144)&lt;=AsOfDate,IF($Q24=0,$W24,IF(AND($S24&lt;&gt;"",EDATE($D24,Milestones!$AA$144)&gt;=$S24),$V24,IF(AND($R24&lt;&gt;"",EDATE($D24,Milestones!$AA$144)&gt;=$R24),$U24,$T24)))=Milestones!$AB$144),TEXT(EDATE($D24,Milestones!$AA$144),"dd/mm/yy")&amp;" "&amp;Milestones!$AB$144&amp;" "&amp;Milestones!$AC$144&amp;";  ","")&amp;IF(AND(EDATE($D24,Milestones!$AA$145)&lt;=AsOfDate,IF($Q24=0,$W24,IF(AND($S24&lt;&gt;"",EDATE($D24,Milestones!$AA$145)&gt;=$S24),$V24,IF(AND($R24&lt;&gt;"",EDATE($D24,Milestones!$AA$145)&gt;=$R24),$U24,$T24)))=Milestones!$AB$145),TEXT(EDATE($D24,Milestones!$AA$145),"dd/mm/yy")&amp;" "&amp;Milestones!$AB$145&amp;" "&amp;Milestones!$AC$145&amp;";  ","")&amp;IF(AND(EDATE($D24,Milestones!$AA$146)&lt;=AsOfDate,IF($Q24=0,$W24,IF(AND($S24&lt;&gt;"",EDATE($D24,Milestones!$AA$146)&gt;=$S24),$V24,IF(AND($R24&lt;&gt;"",EDATE($D24,Milestones!$AA$146)&gt;=$R24),$U24,$T24)))=Milestones!$AB$146),TEXT(EDATE($D24,Milestones!$AA$146),"dd/mm/yy")&amp;" "&amp;Milestones!$AB$146&amp;" "&amp;Milestones!$AC$146&amp;";  ","")&amp;IF(AND(EDATE($D24,Milestones!$AA$147)&lt;=AsOfDate,IF($Q24=0,$W24,IF(AND($S24&lt;&gt;"",EDATE($D24,Milestones!$AA$147)&gt;=$S24),$V24,IF(AND($R24&lt;&gt;"",EDATE($D24,Milestones!$AA$147)&gt;=$R24),$U24,$T24)))=Milestones!$AB$147),TEXT(EDATE($D24,Milestones!$AA$147),"dd/mm/yy")&amp;" "&amp;Milestones!$AB$147&amp;" "&amp;Milestones!$AC$147&amp;";  ","")&amp;IF(AND(EDATE($D24,Milestones!$AA$148)&lt;=AsOfDate,IF($Q24=0,$W24,IF(AND($S24&lt;&gt;"",EDATE($D24,Milestones!$AA$148)&gt;=$S24),$V24,IF(AND($R24&lt;&gt;"",EDATE($D24,Milestones!$AA$148)&gt;=$R24),$U24,$T24)))=Milestones!$AB$148),TEXT(EDATE($D24,Milestones!$AA$148),"dd/mm/yy")&amp;" "&amp;Milestones!$AB$148&amp;" "&amp;Milestones!$AC$148&amp;";  ","")&amp;IF(AND(EDATE($D24,Milestones!$AA$149)&lt;=AsOfDate,IF($Q24=0,$W24,IF(AND($S24&lt;&gt;"",EDATE($D24,Milestones!$AA$149)&gt;=$S24),$V24,IF(AND($R24&lt;&gt;"",EDATE($D24,Milestones!$AA$149)&gt;=$R24),$U24,$T24)))=Milestones!$AB$149),TEXT(EDATE($D24,Milestones!$AA$149),"dd/mm/yy")&amp;" "&amp;Milestones!$AB$149&amp;" "&amp;Milestones!$AC$149&amp;";  ","")&amp;IF(AND(EDATE($D24,Milestones!$AA$150)&lt;=AsOfDate,IF($Q24=0,$W24,IF(AND($S24&lt;&gt;"",EDATE($D24,Milestones!$AA$150)&gt;=$S24),$V24,IF(AND($R24&lt;&gt;"",EDATE($D24,Milestones!$AA$150)&gt;=$R24),$U24,$T24)))=Milestones!$AB$150),TEXT(EDATE($D24,Milestones!$AA$150),"dd/mm/yy")&amp;" "&amp;Milestones!$AB$150&amp;" "&amp;Milestones!$AC$150&amp;";  ","")&amp;IF(AND(EDATE($D24,Milestones!$AA$151)&lt;=AsOfDate,IF($Q24=0,$W24,IF(AND($S24&lt;&gt;"",EDATE($D24,Milestones!$AA$151)&gt;=$S24),$V24,IF(AND($R24&lt;&gt;"",EDATE($D24,Milestones!$AA$151)&gt;=$R24),$U24,$T24)))=Milestones!$AB$151),TEXT(EDATE($D24,Milestones!$AA$151),"dd/mm/yy")&amp;" "&amp;Milestones!$AB$151&amp;" "&amp;Milestones!$AC$151&amp;";  ","")&amp;IF(AND(EDATE($D24,Milestones!$AA$152)&lt;=AsOfDate,IF($Q24=0,$W24,IF(AND($S24&lt;&gt;"",EDATE($D24,Milestones!$AA$152)&gt;=$S24),$V24,IF(AND($R24&lt;&gt;"",EDATE($D24,Milestones!$AA$152)&gt;=$R24),$U24,$T24)))=Milestones!$AB$152),TEXT(EDATE($D24,Milestones!$AA$152),"dd/mm/yy")&amp;" "&amp;Milestones!$AB$152&amp;" "&amp;Milestones!$AC$152&amp;";  ","")&amp;IF(AND(EDATE($D24,Milestones!$AA$153)&lt;=AsOfDate,IF($Q24=0,$W24,IF(AND($S24&lt;&gt;"",EDATE($D24,Milestones!$AA$153)&gt;=$S24),$V24,IF(AND($R24&lt;&gt;"",EDATE($D24,Milestones!$AA$153)&gt;=$R24),$U24,$T24)))=Milestones!$AB$153),TEXT(EDATE($D24,Milestones!$AA$153),"dd/mm/yy")&amp;" "&amp;Milestones!$AB$153&amp;" "&amp;Milestones!$AC$153&amp;";  ","")&amp;IF(AND(EDATE($D24,Milestones!$AA$154)&lt;=AsOfDate,IF($Q24=0,$W24,IF(AND($S24&lt;&gt;"",EDATE($D24,Milestones!$AA$154)&gt;=$S24),$V24,IF(AND($R24&lt;&gt;"",EDATE($D24,Milestones!$AA$154)&gt;=$R24),$U24,$T24)))=Milestones!$AB$154),TEXT(EDATE($D24,Milestones!$AA$154),"dd/mm/yy")&amp;" "&amp;Milestones!$AB$154&amp;" "&amp;Milestones!$AC$154&amp;";  ","")&amp;IF(AND(EDATE($D24,Milestones!$AA$155)&lt;=AsOfDate,IF($Q24=0,$W24,IF(AND($S24&lt;&gt;"",EDATE($D24,Milestones!$AA$155)&gt;=$S24),$V24,IF(AND($R24&lt;&gt;"",EDATE($D24,Milestones!$AA$155)&gt;=$R24),$U24,$T24)))=Milestones!$AB$155),TEXT(EDATE($D24,Milestones!$AA$155),"dd/mm/yy")&amp;" "&amp;Milestones!$AB$155&amp;" "&amp;Milestones!$AC$155&amp;";  ","")&amp;IF(AND(EDATE($D24,Milestones!$AA$156)&lt;=AsOfDate,IF($Q24=0,$W24,IF(AND($S24&lt;&gt;"",EDATE($D24,Milestones!$AA$156)&gt;=$S24),$V24,IF(AND($R24&lt;&gt;"",EDATE($D24,Milestones!$AA$156)&gt;=$R24),$U24,$T24)))=Milestones!$AB$156),TEXT(EDATE($D24,Milestones!$AA$156),"dd/mm/yy")&amp;" "&amp;Milestones!$AB$156&amp;" "&amp;Milestones!$AC$156&amp;";  ","")&amp;IF(AND(EDATE($D24,Milestones!$AA$157)&lt;=AsOfDate,IF($Q24=0,$W24,IF(AND($S24&lt;&gt;"",EDATE($D24,Milestones!$AA$157)&gt;=$S24),$V24,IF(AND($R24&lt;&gt;"",EDATE($D24,Milestones!$AA$157)&gt;=$R24),$U24,$T24)))=Milestones!$AB$157),TEXT(EDATE($D24,Milestones!$AA$157),"dd/mm/yy")&amp;" "&amp;Milestones!$AB$157&amp;" "&amp;Milestones!$AC$157&amp;";  ","")&amp;IF(AND(EDATE($D24,Milestones!$AA$158)&lt;=AsOfDate,IF($Q24=0,$W24,IF(AND($S24&lt;&gt;"",EDATE($D24,Milestones!$AA$158)&gt;=$S24),$V24,IF(AND($R24&lt;&gt;"",EDATE($D24,Milestones!$AA$158)&gt;=$R24),$U24,$T24)))=Milestones!$AB$158),TEXT(EDATE($D24,Milestones!$AA$158),"dd/mm/yy")&amp;" "&amp;Milestones!$AB$158&amp;" "&amp;Milestones!$AC$158&amp;";  ","")&amp;IF(AND(EDATE($D24,Milestones!$AA$159)&lt;=AsOfDate,IF($Q24=0,$W24,IF(AND($S24&lt;&gt;"",EDATE($D24,Milestones!$AA$159)&gt;=$S24),$V24,IF(AND($R24&lt;&gt;"",EDATE($D24,Milestones!$AA$159)&gt;=$R24),$U24,$T24)))=Milestones!$AB$159),TEXT(EDATE($D24,Milestones!$AA$159),"dd/mm/yy")&amp;" "&amp;Milestones!$AB$159&amp;" "&amp;Milestones!$AC$159&amp;";  ",""))</f>
        <v/>
      </c>
      <c r="O24" s="0" t="str">
        <f aca="false">IF(OR($A24="",$D24=""),"",IF(AND(EDATE($D24,Milestones!$AA$160)&lt;=AsOfDate,IF($Q24=0,$W24,IF(AND($S24&lt;&gt;"",EDATE($D24,Milestones!$AA$160)&gt;=$S24),$V24,IF(AND($R24&lt;&gt;"",EDATE($D24,Milestones!$AA$160)&gt;=$R24),$U24,$T24)))=Milestones!$AB$160),TEXT(EDATE($D24,Milestones!$AA$160),"dd/mm/yy")&amp;" "&amp;Milestones!$AB$160&amp;" "&amp;Milestones!$AC$160&amp;";  ","")&amp;IF(AND(EDATE($D24,Milestones!$AA$161)&lt;=AsOfDate,IF($Q24=0,$W24,IF(AND($S24&lt;&gt;"",EDATE($D24,Milestones!$AA$161)&gt;=$S24),$V24,IF(AND($R24&lt;&gt;"",EDATE($D24,Milestones!$AA$161)&gt;=$R24),$U24,$T24)))=Milestones!$AB$161),TEXT(EDATE($D24,Milestones!$AA$161),"dd/mm/yy")&amp;" "&amp;Milestones!$AB$161&amp;" "&amp;Milestones!$AC$161&amp;";  ","")&amp;IF(AND(EDATE($D24,Milestones!$AA$162)&lt;=AsOfDate,IF($Q24=0,$W24,IF(AND($S24&lt;&gt;"",EDATE($D24,Milestones!$AA$162)&gt;=$S24),$V24,IF(AND($R24&lt;&gt;"",EDATE($D24,Milestones!$AA$162)&gt;=$R24),$U24,$T24)))=Milestones!$AB$162),TEXT(EDATE($D24,Milestones!$AA$162),"dd/mm/yy")&amp;" "&amp;Milestones!$AB$162&amp;" "&amp;Milestones!$AC$162&amp;";  ","")&amp;IF(AND(EDATE($D24,Milestones!$AA$163)&lt;=AsOfDate,IF($Q24=0,$W24,IF(AND($S24&lt;&gt;"",EDATE($D24,Milestones!$AA$163)&gt;=$S24),$V24,IF(AND($R24&lt;&gt;"",EDATE($D24,Milestones!$AA$163)&gt;=$R24),$U24,$T24)))=Milestones!$AB$163),TEXT(EDATE($D24,Milestones!$AA$163),"dd/mm/yy")&amp;" "&amp;Milestones!$AB$163&amp;" "&amp;Milestones!$AC$163&amp;";  ","")&amp;IF(AND(EDATE($D24,Milestones!$AA$164)&lt;=AsOfDate,IF($Q24=0,$W24,IF(AND($S24&lt;&gt;"",EDATE($D24,Milestones!$AA$164)&gt;=$S24),$V24,IF(AND($R24&lt;&gt;"",EDATE($D24,Milestones!$AA$164)&gt;=$R24),$U24,$T24)))=Milestones!$AB$164),TEXT(EDATE($D24,Milestones!$AA$164),"dd/mm/yy")&amp;" "&amp;Milestones!$AB$164&amp;" "&amp;Milestones!$AC$164&amp;";  ","")&amp;IF(AND(EDATE($D24,Milestones!$AA$165)&lt;=AsOfDate,IF($Q24=0,$W24,IF(AND($S24&lt;&gt;"",EDATE($D24,Milestones!$AA$165)&gt;=$S24),$V24,IF(AND($R24&lt;&gt;"",EDATE($D24,Milestones!$AA$165)&gt;=$R24),$U24,$T24)))=Milestones!$AB$165),TEXT(EDATE($D24,Milestones!$AA$165),"dd/mm/yy")&amp;" "&amp;Milestones!$AB$165&amp;" "&amp;Milestones!$AC$165&amp;";  ","")&amp;IF(AND(EDATE($D24,Milestones!$AA$166)&lt;=AsOfDate,IF($Q24=0,$W24,IF(AND($S24&lt;&gt;"",EDATE($D24,Milestones!$AA$166)&gt;=$S24),$V24,IF(AND($R24&lt;&gt;"",EDATE($D24,Milestones!$AA$166)&gt;=$R24),$U24,$T24)))=Milestones!$AB$166),TEXT(EDATE($D24,Milestones!$AA$166),"dd/mm/yy")&amp;" "&amp;Milestones!$AB$166&amp;" "&amp;Milestones!$AC$166&amp;";  ","")&amp;IF(AND(EDATE($D24,Milestones!$AA$167)&lt;=AsOfDate,IF($Q24=0,$W24,IF(AND($S24&lt;&gt;"",EDATE($D24,Milestones!$AA$167)&gt;=$S24),$V24,IF(AND($R24&lt;&gt;"",EDATE($D24,Milestones!$AA$167)&gt;=$R24),$U24,$T24)))=Milestones!$AB$167),TEXT(EDATE($D24,Milestones!$AA$167),"dd/mm/yy")&amp;" "&amp;Milestones!$AB$167&amp;" "&amp;Milestones!$AC$167&amp;";  ","")&amp;IF(AND(EDATE($D24,Milestones!$AA$168)&lt;=AsOfDate,IF($Q24=0,$W24,IF(AND($S24&lt;&gt;"",EDATE($D24,Milestones!$AA$168)&gt;=$S24),$V24,IF(AND($R24&lt;&gt;"",EDATE($D24,Milestones!$AA$168)&gt;=$R24),$U24,$T24)))=Milestones!$AB$168),TEXT(EDATE($D24,Milestones!$AA$168),"dd/mm/yy")&amp;" "&amp;Milestones!$AB$168&amp;" "&amp;Milestones!$AC$168&amp;";  ","")&amp;IF(AND(EDATE($D24,Milestones!$AA$169)&lt;=AsOfDate,IF($Q24=0,$W24,IF(AND($S24&lt;&gt;"",EDATE($D24,Milestones!$AA$169)&gt;=$S24),$V24,IF(AND($R24&lt;&gt;"",EDATE($D24,Milestones!$AA$169)&gt;=$R24),$U24,$T24)))=Milestones!$AB$169),TEXT(EDATE($D24,Milestones!$AA$169),"dd/mm/yy")&amp;" "&amp;Milestones!$AB$169&amp;" "&amp;Milestones!$AC$169&amp;";  ","")&amp;IF(AND(EDATE($D24,Milestones!$AA$170)&lt;=AsOfDate,IF($Q24=0,$W24,IF(AND($S24&lt;&gt;"",EDATE($D24,Milestones!$AA$170)&gt;=$S24),$V24,IF(AND($R24&lt;&gt;"",EDATE($D24,Milestones!$AA$170)&gt;=$R24),$U24,$T24)))=Milestones!$AB$170),TEXT(EDATE($D24,Milestones!$AA$170),"dd/mm/yy")&amp;" "&amp;Milestones!$AB$170&amp;" "&amp;Milestones!$AC$170&amp;";  ","")&amp;IF(AND(EDATE($D24,Milestones!$AA$171)&lt;=AsOfDate,IF($Q24=0,$W24,IF(AND($S24&lt;&gt;"",EDATE($D24,Milestones!$AA$171)&gt;=$S24),$V24,IF(AND($R24&lt;&gt;"",EDATE($D24,Milestones!$AA$171)&gt;=$R24),$U24,$T24)))=Milestones!$AB$171),TEXT(EDATE($D24,Milestones!$AA$171),"dd/mm/yy")&amp;" "&amp;Milestones!$AB$171&amp;" "&amp;Milestones!$AC$171&amp;";  ","")&amp;IF(AND(EDATE($D24,Milestones!$AA$172)&lt;=AsOfDate,IF($Q24=0,$W24,IF(AND($S24&lt;&gt;"",EDATE($D24,Milestones!$AA$172)&gt;=$S24),$V24,IF(AND($R24&lt;&gt;"",EDATE($D24,Milestones!$AA$172)&gt;=$R24),$U24,$T24)))=Milestones!$AB$172),TEXT(EDATE($D24,Milestones!$AA$172),"dd/mm/yy")&amp;" "&amp;Milestones!$AB$172&amp;" "&amp;Milestones!$AC$172&amp;";  ","")&amp;IF(AND(EDATE($D24,Milestones!$AA$173)&lt;=AsOfDate,IF($Q24=0,$W24,IF(AND($S24&lt;&gt;"",EDATE($D24,Milestones!$AA$173)&gt;=$S24),$V24,IF(AND($R24&lt;&gt;"",EDATE($D24,Milestones!$AA$173)&gt;=$R24),$U24,$T24)))=Milestones!$AB$173),TEXT(EDATE($D24,Milestones!$AA$173),"dd/mm/yy")&amp;" "&amp;Milestones!$AB$173&amp;" "&amp;Milestones!$AC$173&amp;";  ","")&amp;IF(AND(EDATE($D24,Milestones!$AA$174)&lt;=AsOfDate,IF($Q24=0,$W24,IF(AND($S24&lt;&gt;"",EDATE($D24,Milestones!$AA$174)&gt;=$S24),$V24,IF(AND($R24&lt;&gt;"",EDATE($D24,Milestones!$AA$174)&gt;=$R24),$U24,$T24)))=Milestones!$AB$174),TEXT(EDATE($D24,Milestones!$AA$174),"dd/mm/yy")&amp;" "&amp;Milestones!$AB$174&amp;" "&amp;Milestones!$AC$174&amp;";  ","")&amp;IF(AND(EDATE($D24,Milestones!$AA$175)&lt;=AsOfDate,IF($Q24=0,$W24,IF(AND($S24&lt;&gt;"",EDATE($D24,Milestones!$AA$175)&gt;=$S24),$V24,IF(AND($R24&lt;&gt;"",EDATE($D24,Milestones!$AA$175)&gt;=$R24),$U24,$T24)))=Milestones!$AB$175),TEXT(EDATE($D24,Milestones!$AA$175),"dd/mm/yy")&amp;" "&amp;Milestones!$AB$175&amp;" "&amp;Milestones!$AC$175&amp;";  ","")&amp;IF(AND(EDATE($D24,Milestones!$AA$176)&lt;=AsOfDate,IF($Q24=0,$W24,IF(AND($S24&lt;&gt;"",EDATE($D24,Milestones!$AA$176)&gt;=$S24),$V24,IF(AND($R24&lt;&gt;"",EDATE($D24,Milestones!$AA$176)&gt;=$R24),$U24,$T24)))=Milestones!$AB$176),TEXT(EDATE($D24,Milestones!$AA$176),"dd/mm/yy")&amp;" "&amp;Milestones!$AB$176&amp;" "&amp;Milestones!$AC$176&amp;";  ","")&amp;IF(AND(EDATE($D24,Milestones!$AA$177)&lt;=AsOfDate,IF($Q24=0,$W24,IF(AND($S24&lt;&gt;"",EDATE($D24,Milestones!$AA$177)&gt;=$S24),$V24,IF(AND($R24&lt;&gt;"",EDATE($D24,Milestones!$AA$177)&gt;=$R24),$U24,$T24)))=Milestones!$AB$177),TEXT(EDATE($D24,Milestones!$AA$177),"dd/mm/yy")&amp;" "&amp;Milestones!$AB$177&amp;" "&amp;Milestones!$AC$177&amp;";  ","")&amp;IF(AND(EDATE($D24,Milestones!$AA$178)&lt;=AsOfDate,IF($Q24=0,$W24,IF(AND($S24&lt;&gt;"",EDATE($D24,Milestones!$AA$178)&gt;=$S24),$V24,IF(AND($R24&lt;&gt;"",EDATE($D24,Milestones!$AA$178)&gt;=$R24),$U24,$T24)))=Milestones!$AB$178),TEXT(EDATE($D24,Milestones!$AA$178),"dd/mm/yy")&amp;" "&amp;Milestones!$AB$178&amp;" "&amp;Milestones!$AC$178&amp;";  ","")&amp;IF(AND(EDATE($D24,Milestones!$AA$179)&lt;=AsOfDate,IF($Q24=0,$W24,IF(AND($S24&lt;&gt;"",EDATE($D24,Milestones!$AA$179)&gt;=$S24),$V24,IF(AND($R24&lt;&gt;"",EDATE($D24,Milestones!$AA$179)&gt;=$R24),$U24,$T24)))=Milestones!$AB$179),TEXT(EDATE($D24,Milestones!$AA$179),"dd/mm/yy")&amp;" "&amp;Milestones!$AB$179&amp;" "&amp;Milestones!$AC$179&amp;";  ",""))</f>
        <v/>
      </c>
      <c r="P24" s="0" t="str">
        <f aca="false">IF(OR($A24="",$D24=""),"",IF(AND(EDATE($D24,Milestones!$AA$180)&lt;=AsOfDate,IF($Q24=0,$W24,IF(AND($S24&lt;&gt;"",EDATE($D24,Milestones!$AA$180)&gt;=$S24),$V24,IF(AND($R24&lt;&gt;"",EDATE($D24,Milestones!$AA$180)&gt;=$R24),$U24,$T24)))=Milestones!$AB$180),TEXT(EDATE($D24,Milestones!$AA$180),"dd/mm/yy")&amp;" "&amp;Milestones!$AB$180&amp;" "&amp;Milestones!$AC$180&amp;";  ","")&amp;IF(AND(EDATE($D24,Milestones!$AA$181)&lt;=AsOfDate,IF($Q24=0,$W24,IF(AND($S24&lt;&gt;"",EDATE($D24,Milestones!$AA$181)&gt;=$S24),$V24,IF(AND($R24&lt;&gt;"",EDATE($D24,Milestones!$AA$181)&gt;=$R24),$U24,$T24)))=Milestones!$AB$181),TEXT(EDATE($D24,Milestones!$AA$181),"dd/mm/yy")&amp;" "&amp;Milestones!$AB$181&amp;" "&amp;Milestones!$AC$181&amp;";  ","")&amp;IF(AND(EDATE($D24,Milestones!$AA$182)&lt;=AsOfDate,IF($Q24=0,$W24,IF(AND($S24&lt;&gt;"",EDATE($D24,Milestones!$AA$182)&gt;=$S24),$V24,IF(AND($R24&lt;&gt;"",EDATE($D24,Milestones!$AA$182)&gt;=$R24),$U24,$T24)))=Milestones!$AB$182),TEXT(EDATE($D24,Milestones!$AA$182),"dd/mm/yy")&amp;" "&amp;Milestones!$AB$182&amp;" "&amp;Milestones!$AC$182&amp;";  ","")&amp;IF(AND(EDATE($D24,Milestones!$AA$183)&lt;=AsOfDate,IF($Q24=0,$W24,IF(AND($S24&lt;&gt;"",EDATE($D24,Milestones!$AA$183)&gt;=$S24),$V24,IF(AND($R24&lt;&gt;"",EDATE($D24,Milestones!$AA$183)&gt;=$R24),$U24,$T24)))=Milestones!$AB$183),TEXT(EDATE($D24,Milestones!$AA$183),"dd/mm/yy")&amp;" "&amp;Milestones!$AB$183&amp;" "&amp;Milestones!$AC$183&amp;";  ","")&amp;IF(AND(EDATE($D24,Milestones!$AA$184)&lt;=AsOfDate,IF($Q24=0,$W24,IF(AND($S24&lt;&gt;"",EDATE($D24,Milestones!$AA$184)&gt;=$S24),$V24,IF(AND($R24&lt;&gt;"",EDATE($D24,Milestones!$AA$184)&gt;=$R24),$U24,$T24)))=Milestones!$AB$184),TEXT(EDATE($D24,Milestones!$AA$184),"dd/mm/yy")&amp;" "&amp;Milestones!$AB$184&amp;" "&amp;Milestones!$AC$184&amp;";  ","")&amp;IF(AND(EDATE($D24,Milestones!$AA$185)&lt;=AsOfDate,IF($Q24=0,$W24,IF(AND($S24&lt;&gt;"",EDATE($D24,Milestones!$AA$185)&gt;=$S24),$V24,IF(AND($R24&lt;&gt;"",EDATE($D24,Milestones!$AA$185)&gt;=$R24),$U24,$T24)))=Milestones!$AB$185),TEXT(EDATE($D24,Milestones!$AA$185),"dd/mm/yy")&amp;" "&amp;Milestones!$AB$185&amp;" "&amp;Milestones!$AC$185&amp;";  ","")&amp;IF(AND(EDATE($D24,Milestones!$AA$186)&lt;=AsOfDate,IF($Q24=0,$W24,IF(AND($S24&lt;&gt;"",EDATE($D24,Milestones!$AA$186)&gt;=$S24),$V24,IF(AND($R24&lt;&gt;"",EDATE($D24,Milestones!$AA$186)&gt;=$R24),$U24,$T24)))=Milestones!$AB$186),TEXT(EDATE($D24,Milestones!$AA$186),"dd/mm/yy")&amp;" "&amp;Milestones!$AB$186&amp;" "&amp;Milestones!$AC$186&amp;";  ","")&amp;IF(AND(EDATE($D24,Milestones!$AA$187)&lt;=AsOfDate,IF($Q24=0,$W24,IF(AND($S24&lt;&gt;"",EDATE($D24,Milestones!$AA$187)&gt;=$S24),$V24,IF(AND($R24&lt;&gt;"",EDATE($D24,Milestones!$AA$187)&gt;=$R24),$U24,$T24)))=Milestones!$AB$187),TEXT(EDATE($D24,Milestones!$AA$187),"dd/mm/yy")&amp;" "&amp;Milestones!$AB$187&amp;" "&amp;Milestones!$AC$187&amp;";  ","")&amp;IF(AND(EDATE($D24,Milestones!$AA$188)&lt;=AsOfDate,IF($Q24=0,$W24,IF(AND($S24&lt;&gt;"",EDATE($D24,Milestones!$AA$188)&gt;=$S24),$V24,IF(AND($R24&lt;&gt;"",EDATE($D24,Milestones!$AA$188)&gt;=$R24),$U24,$T24)))=Milestones!$AB$188),TEXT(EDATE($D24,Milestones!$AA$188),"dd/mm/yy")&amp;" "&amp;Milestones!$AB$188&amp;" "&amp;Milestones!$AC$188&amp;";  ","")&amp;IF(AND(EDATE($D24,Milestones!$AA$189)&lt;=AsOfDate,IF($Q24=0,$W24,IF(AND($S24&lt;&gt;"",EDATE($D24,Milestones!$AA$189)&gt;=$S24),$V24,IF(AND($R24&lt;&gt;"",EDATE($D24,Milestones!$AA$189)&gt;=$R24),$U24,$T24)))=Milestones!$AB$189),TEXT(EDATE($D24,Milestones!$AA$189),"dd/mm/yy")&amp;" "&amp;Milestones!$AB$189&amp;" "&amp;Milestones!$AC$189&amp;";  ","")&amp;IF(AND(EDATE($D24,Milestones!$AA$190)&lt;=AsOfDate,IF($Q24=0,$W24,IF(AND($S24&lt;&gt;"",EDATE($D24,Milestones!$AA$190)&gt;=$S24),$V24,IF(AND($R24&lt;&gt;"",EDATE($D24,Milestones!$AA$190)&gt;=$R24),$U24,$T24)))=Milestones!$AB$190),TEXT(EDATE($D24,Milestones!$AA$190),"dd/mm/yy")&amp;" "&amp;Milestones!$AB$190&amp;" "&amp;Milestones!$AC$190&amp;";  ","")&amp;IF(AND(EDATE($D24,Milestones!$AA$191)&lt;=AsOfDate,IF($Q24=0,$W24,IF(AND($S24&lt;&gt;"",EDATE($D24,Milestones!$AA$191)&gt;=$S24),$V24,IF(AND($R24&lt;&gt;"",EDATE($D24,Milestones!$AA$191)&gt;=$R24),$U24,$T24)))=Milestones!$AB$191),TEXT(EDATE($D24,Milestones!$AA$191),"dd/mm/yy")&amp;" "&amp;Milestones!$AB$191&amp;" "&amp;Milestones!$AC$191&amp;";  ","")&amp;IF(AND(EDATE($D24,Milestones!$AA$192)&lt;=AsOfDate,IF($Q24=0,$W24,IF(AND($S24&lt;&gt;"",EDATE($D24,Milestones!$AA$192)&gt;=$S24),$V24,IF(AND($R24&lt;&gt;"",EDATE($D24,Milestones!$AA$192)&gt;=$R24),$U24,$T24)))=Milestones!$AB$192),TEXT(EDATE($D24,Milestones!$AA$192),"dd/mm/yy")&amp;" "&amp;Milestones!$AB$192&amp;" "&amp;Milestones!$AC$192&amp;";  ","")&amp;IF(AND(EDATE($D24,Milestones!$AA$193)&lt;=AsOfDate,IF($Q24=0,$W24,IF(AND($S24&lt;&gt;"",EDATE($D24,Milestones!$AA$193)&gt;=$S24),$V24,IF(AND($R24&lt;&gt;"",EDATE($D24,Milestones!$AA$193)&gt;=$R24),$U24,$T24)))=Milestones!$AB$193),TEXT(EDATE($D24,Milestones!$AA$193),"dd/mm/yy")&amp;" "&amp;Milestones!$AB$193&amp;" "&amp;Milestones!$AC$193&amp;";  ","")&amp;IF(AND(EDATE($D24,Milestones!$AA$194)&lt;=AsOfDate,IF($Q24=0,$W24,IF(AND($S24&lt;&gt;"",EDATE($D24,Milestones!$AA$194)&gt;=$S24),$V24,IF(AND($R24&lt;&gt;"",EDATE($D24,Milestones!$AA$194)&gt;=$R24),$U24,$T24)))=Milestones!$AB$194),TEXT(EDATE($D24,Milestones!$AA$194),"dd/mm/yy")&amp;" "&amp;Milestones!$AB$194&amp;" "&amp;Milestones!$AC$194&amp;";  ","")&amp;IF(AND(EDATE($D24,Milestones!$AA$195)&lt;=AsOfDate,IF($Q24=0,$W24,IF(AND($S24&lt;&gt;"",EDATE($D24,Milestones!$AA$195)&gt;=$S24),$V24,IF(AND($R24&lt;&gt;"",EDATE($D24,Milestones!$AA$195)&gt;=$R24),$U24,$T24)))=Milestones!$AB$195),TEXT(EDATE($D24,Milestones!$AA$195),"dd/mm/yy")&amp;" "&amp;Milestones!$AB$195&amp;" "&amp;Milestones!$AC$195&amp;";  ","")&amp;IF(AND(EDATE($D24,Milestones!$AA$196)&lt;=AsOfDate,IF($Q24=0,$W24,IF(AND($S24&lt;&gt;"",EDATE($D24,Milestones!$AA$196)&gt;=$S24),$V24,IF(AND($R24&lt;&gt;"",EDATE($D24,Milestones!$AA$196)&gt;=$R24),$U24,$T24)))=Milestones!$AB$196),TEXT(EDATE($D24,Milestones!$AA$196),"dd/mm/yy")&amp;" "&amp;Milestones!$AB$196&amp;" "&amp;Milestones!$AC$196&amp;";  ","")&amp;IF(AND(EDATE($D24,Milestones!$AA$197)&lt;=AsOfDate,IF($Q24=0,$W24,IF(AND($S24&lt;&gt;"",EDATE($D24,Milestones!$AA$197)&gt;=$S24),$V24,IF(AND($R24&lt;&gt;"",EDATE($D24,Milestones!$AA$197)&gt;=$R24),$U24,$T24)))=Milestones!$AB$197),TEXT(EDATE($D24,Milestones!$AA$197),"dd/mm/yy")&amp;" "&amp;Milestones!$AB$197&amp;" "&amp;Milestones!$AC$197&amp;";  ","")&amp;IF(AND(EDATE($D24,Milestones!$AA$198)&lt;=AsOfDate,IF($Q24=0,$W24,IF(AND($S24&lt;&gt;"",EDATE($D24,Milestones!$AA$198)&gt;=$S24),$V24,IF(AND($R24&lt;&gt;"",EDATE($D24,Milestones!$AA$198)&gt;=$R24),$U24,$T24)))=Milestones!$AB$198),TEXT(EDATE($D24,Milestones!$AA$198),"dd/mm/yy")&amp;" "&amp;Milestones!$AB$198&amp;" "&amp;Milestones!$AC$198&amp;";  ","")&amp;IF(AND(EDATE($D24,Milestones!$AA$199)&lt;=AsOfDate,IF($Q24=0,$W24,IF(AND($S24&lt;&gt;"",EDATE($D24,Milestones!$AA$199)&gt;=$S24),$V24,IF(AND($R24&lt;&gt;"",EDATE($D24,Milestones!$AA$199)&gt;=$R24),$U24,$T24)))=Milestones!$AB$199),TEXT(EDATE($D24,Milestones!$AA$199),"dd/mm/yy")&amp;" "&amp;Milestones!$AB$199&amp;" "&amp;Milestones!$AC$199&amp;";  ",""))</f>
        <v/>
      </c>
      <c r="Q24" s="0" t="str">
        <f aca="false">IF(Staff!$A24="","",Staff!$AG24)</f>
        <v/>
      </c>
      <c r="R24" s="0" t="str">
        <f aca="false">IF(Staff!$A24="","",Staff!$AI24)</f>
        <v/>
      </c>
      <c r="S24" s="0" t="str">
        <f aca="false">IF(Staff!$A24="","",Staff!$AJ24)</f>
        <v/>
      </c>
      <c r="T24" s="0" t="str">
        <f aca="false">IF(Staff!$A24="","",Staff!$AN24)</f>
        <v/>
      </c>
      <c r="U24" s="0" t="str">
        <f aca="false">IF(Staff!$A24="","",Staff!$AO24)</f>
        <v/>
      </c>
      <c r="V24" s="0" t="str">
        <f aca="false">IF(Staff!$A24="","",Staff!$AP24)</f>
        <v/>
      </c>
      <c r="W24" s="0" t="str">
        <f aca="false">IF(Staff!$A24="","",Staff!$AQ24)</f>
        <v/>
      </c>
    </row>
    <row r="25" customFormat="false" ht="15" hidden="false" customHeight="false" outlineLevel="0" collapsed="false">
      <c r="A25" s="13" t="str">
        <f aca="false">IF(Staff!$A25="","",Staff!$A25)</f>
        <v/>
      </c>
      <c r="B25" s="13" t="str">
        <f aca="false">IF(Staff!$A25="","",Staff!$B25)</f>
        <v/>
      </c>
      <c r="C25" s="13" t="str">
        <f aca="false">IF(Staff!$A25="","",Staff!$C25)</f>
        <v/>
      </c>
      <c r="D25" s="11" t="str">
        <f aca="false">IF(Staff!$A25="","",Staff!$AF25)</f>
        <v/>
      </c>
      <c r="E25" s="13" t="str">
        <f aca="false">IF(Staff!$A25="","",Staff!$O25)</f>
        <v/>
      </c>
      <c r="F25" s="13" t="str">
        <f aca="false">IF(E25="","",E25*HoursPerDay)</f>
        <v/>
      </c>
      <c r="G25" s="26" t="str">
        <f aca="false">IF($A25="","",H25&amp;I25&amp;J25&amp;K25&amp;L25&amp;M25&amp;N25&amp;O25&amp;P25)</f>
        <v/>
      </c>
      <c r="H25" s="0" t="str">
        <f aca="false">IF(OR($A25="",$D25=""),"",IF(AND(EDATE($D25,Milestones!$AA$20)&lt;=AsOfDate,IF($Q25=0,$W25,IF(AND($S25&lt;&gt;"",EDATE($D25,Milestones!$AA$20)&gt;=$S25),$V25,IF(AND($R25&lt;&gt;"",EDATE($D25,Milestones!$AA$20)&gt;=$R25),$U25,$T25)))=Milestones!$AB$20),TEXT(EDATE($D25,Milestones!$AA$20),"dd/mm/yy")&amp;" "&amp;Milestones!$AB$20&amp;" "&amp;Milestones!$AC$20&amp;";  ","")&amp;IF(AND(EDATE($D25,Milestones!$AA$21)&lt;=AsOfDate,IF($Q25=0,$W25,IF(AND($S25&lt;&gt;"",EDATE($D25,Milestones!$AA$21)&gt;=$S25),$V25,IF(AND($R25&lt;&gt;"",EDATE($D25,Milestones!$AA$21)&gt;=$R25),$U25,$T25)))=Milestones!$AB$21),TEXT(EDATE($D25,Milestones!$AA$21),"dd/mm/yy")&amp;" "&amp;Milestones!$AB$21&amp;" "&amp;Milestones!$AC$21&amp;";  ","")&amp;IF(AND(EDATE($D25,Milestones!$AA$22)&lt;=AsOfDate,IF($Q25=0,$W25,IF(AND($S25&lt;&gt;"",EDATE($D25,Milestones!$AA$22)&gt;=$S25),$V25,IF(AND($R25&lt;&gt;"",EDATE($D25,Milestones!$AA$22)&gt;=$R25),$U25,$T25)))=Milestones!$AB$22),TEXT(EDATE($D25,Milestones!$AA$22),"dd/mm/yy")&amp;" "&amp;Milestones!$AB$22&amp;" "&amp;Milestones!$AC$22&amp;";  ","")&amp;IF(AND(EDATE($D25,Milestones!$AA$23)&lt;=AsOfDate,IF($Q25=0,$W25,IF(AND($S25&lt;&gt;"",EDATE($D25,Milestones!$AA$23)&gt;=$S25),$V25,IF(AND($R25&lt;&gt;"",EDATE($D25,Milestones!$AA$23)&gt;=$R25),$U25,$T25)))=Milestones!$AB$23),TEXT(EDATE($D25,Milestones!$AA$23),"dd/mm/yy")&amp;" "&amp;Milestones!$AB$23&amp;" "&amp;Milestones!$AC$23&amp;";  ","")&amp;IF(AND(EDATE($D25,Milestones!$AA$24)&lt;=AsOfDate,IF($Q25=0,$W25,IF(AND($S25&lt;&gt;"",EDATE($D25,Milestones!$AA$24)&gt;=$S25),$V25,IF(AND($R25&lt;&gt;"",EDATE($D25,Milestones!$AA$24)&gt;=$R25),$U25,$T25)))=Milestones!$AB$24),TEXT(EDATE($D25,Milestones!$AA$24),"dd/mm/yy")&amp;" "&amp;Milestones!$AB$24&amp;" "&amp;Milestones!$AC$24&amp;";  ","")&amp;IF(AND(EDATE($D25,Milestones!$AA$25)&lt;=AsOfDate,IF($Q25=0,$W25,IF(AND($S25&lt;&gt;"",EDATE($D25,Milestones!$AA$25)&gt;=$S25),$V25,IF(AND($R25&lt;&gt;"",EDATE($D25,Milestones!$AA$25)&gt;=$R25),$U25,$T25)))=Milestones!$AB$25),TEXT(EDATE($D25,Milestones!$AA$25),"dd/mm/yy")&amp;" "&amp;Milestones!$AB$25&amp;" "&amp;Milestones!$AC$25&amp;";  ","")&amp;IF(AND(EDATE($D25,Milestones!$AA$26)&lt;=AsOfDate,IF($Q25=0,$W25,IF(AND($S25&lt;&gt;"",EDATE($D25,Milestones!$AA$26)&gt;=$S25),$V25,IF(AND($R25&lt;&gt;"",EDATE($D25,Milestones!$AA$26)&gt;=$R25),$U25,$T25)))=Milestones!$AB$26),TEXT(EDATE($D25,Milestones!$AA$26),"dd/mm/yy")&amp;" "&amp;Milestones!$AB$26&amp;" "&amp;Milestones!$AC$26&amp;";  ","")&amp;IF(AND(EDATE($D25,Milestones!$AA$27)&lt;=AsOfDate,IF($Q25=0,$W25,IF(AND($S25&lt;&gt;"",EDATE($D25,Milestones!$AA$27)&gt;=$S25),$V25,IF(AND($R25&lt;&gt;"",EDATE($D25,Milestones!$AA$27)&gt;=$R25),$U25,$T25)))=Milestones!$AB$27),TEXT(EDATE($D25,Milestones!$AA$27),"dd/mm/yy")&amp;" "&amp;Milestones!$AB$27&amp;" "&amp;Milestones!$AC$27&amp;";  ","")&amp;IF(AND(EDATE($D25,Milestones!$AA$28)&lt;=AsOfDate,IF($Q25=0,$W25,IF(AND($S25&lt;&gt;"",EDATE($D25,Milestones!$AA$28)&gt;=$S25),$V25,IF(AND($R25&lt;&gt;"",EDATE($D25,Milestones!$AA$28)&gt;=$R25),$U25,$T25)))=Milestones!$AB$28),TEXT(EDATE($D25,Milestones!$AA$28),"dd/mm/yy")&amp;" "&amp;Milestones!$AB$28&amp;" "&amp;Milestones!$AC$28&amp;";  ","")&amp;IF(AND(EDATE($D25,Milestones!$AA$29)&lt;=AsOfDate,IF($Q25=0,$W25,IF(AND($S25&lt;&gt;"",EDATE($D25,Milestones!$AA$29)&gt;=$S25),$V25,IF(AND($R25&lt;&gt;"",EDATE($D25,Milestones!$AA$29)&gt;=$R25),$U25,$T25)))=Milestones!$AB$29),TEXT(EDATE($D25,Milestones!$AA$29),"dd/mm/yy")&amp;" "&amp;Milestones!$AB$29&amp;" "&amp;Milestones!$AC$29&amp;";  ","")&amp;IF(AND(EDATE($D25,Milestones!$AA$30)&lt;=AsOfDate,IF($Q25=0,$W25,IF(AND($S25&lt;&gt;"",EDATE($D25,Milestones!$AA$30)&gt;=$S25),$V25,IF(AND($R25&lt;&gt;"",EDATE($D25,Milestones!$AA$30)&gt;=$R25),$U25,$T25)))=Milestones!$AB$30),TEXT(EDATE($D25,Milestones!$AA$30),"dd/mm/yy")&amp;" "&amp;Milestones!$AB$30&amp;" "&amp;Milestones!$AC$30&amp;";  ","")&amp;IF(AND(EDATE($D25,Milestones!$AA$31)&lt;=AsOfDate,IF($Q25=0,$W25,IF(AND($S25&lt;&gt;"",EDATE($D25,Milestones!$AA$31)&gt;=$S25),$V25,IF(AND($R25&lt;&gt;"",EDATE($D25,Milestones!$AA$31)&gt;=$R25),$U25,$T25)))=Milestones!$AB$31),TEXT(EDATE($D25,Milestones!$AA$31),"dd/mm/yy")&amp;" "&amp;Milestones!$AB$31&amp;" "&amp;Milestones!$AC$31&amp;";  ","")&amp;IF(AND(EDATE($D25,Milestones!$AA$32)&lt;=AsOfDate,IF($Q25=0,$W25,IF(AND($S25&lt;&gt;"",EDATE($D25,Milestones!$AA$32)&gt;=$S25),$V25,IF(AND($R25&lt;&gt;"",EDATE($D25,Milestones!$AA$32)&gt;=$R25),$U25,$T25)))=Milestones!$AB$32),TEXT(EDATE($D25,Milestones!$AA$32),"dd/mm/yy")&amp;" "&amp;Milestones!$AB$32&amp;" "&amp;Milestones!$AC$32&amp;";  ","")&amp;IF(AND(EDATE($D25,Milestones!$AA$33)&lt;=AsOfDate,IF($Q25=0,$W25,IF(AND($S25&lt;&gt;"",EDATE($D25,Milestones!$AA$33)&gt;=$S25),$V25,IF(AND($R25&lt;&gt;"",EDATE($D25,Milestones!$AA$33)&gt;=$R25),$U25,$T25)))=Milestones!$AB$33),TEXT(EDATE($D25,Milestones!$AA$33),"dd/mm/yy")&amp;" "&amp;Milestones!$AB$33&amp;" "&amp;Milestones!$AC$33&amp;";  ","")&amp;IF(AND(EDATE($D25,Milestones!$AA$34)&lt;=AsOfDate,IF($Q25=0,$W25,IF(AND($S25&lt;&gt;"",EDATE($D25,Milestones!$AA$34)&gt;=$S25),$V25,IF(AND($R25&lt;&gt;"",EDATE($D25,Milestones!$AA$34)&gt;=$R25),$U25,$T25)))=Milestones!$AB$34),TEXT(EDATE($D25,Milestones!$AA$34),"dd/mm/yy")&amp;" "&amp;Milestones!$AB$34&amp;" "&amp;Milestones!$AC$34&amp;";  ","")&amp;IF(AND(EDATE($D25,Milestones!$AA$35)&lt;=AsOfDate,IF($Q25=0,$W25,IF(AND($S25&lt;&gt;"",EDATE($D25,Milestones!$AA$35)&gt;=$S25),$V25,IF(AND($R25&lt;&gt;"",EDATE($D25,Milestones!$AA$35)&gt;=$R25),$U25,$T25)))=Milestones!$AB$35),TEXT(EDATE($D25,Milestones!$AA$35),"dd/mm/yy")&amp;" "&amp;Milestones!$AB$35&amp;" "&amp;Milestones!$AC$35&amp;";  ","")&amp;IF(AND(EDATE($D25,Milestones!$AA$36)&lt;=AsOfDate,IF($Q25=0,$W25,IF(AND($S25&lt;&gt;"",EDATE($D25,Milestones!$AA$36)&gt;=$S25),$V25,IF(AND($R25&lt;&gt;"",EDATE($D25,Milestones!$AA$36)&gt;=$R25),$U25,$T25)))=Milestones!$AB$36),TEXT(EDATE($D25,Milestones!$AA$36),"dd/mm/yy")&amp;" "&amp;Milestones!$AB$36&amp;" "&amp;Milestones!$AC$36&amp;";  ","")&amp;IF(AND(EDATE($D25,Milestones!$AA$37)&lt;=AsOfDate,IF($Q25=0,$W25,IF(AND($S25&lt;&gt;"",EDATE($D25,Milestones!$AA$37)&gt;=$S25),$V25,IF(AND($R25&lt;&gt;"",EDATE($D25,Milestones!$AA$37)&gt;=$R25),$U25,$T25)))=Milestones!$AB$37),TEXT(EDATE($D25,Milestones!$AA$37),"dd/mm/yy")&amp;" "&amp;Milestones!$AB$37&amp;" "&amp;Milestones!$AC$37&amp;";  ","")&amp;IF(AND(EDATE($D25,Milestones!$AA$38)&lt;=AsOfDate,IF($Q25=0,$W25,IF(AND($S25&lt;&gt;"",EDATE($D25,Milestones!$AA$38)&gt;=$S25),$V25,IF(AND($R25&lt;&gt;"",EDATE($D25,Milestones!$AA$38)&gt;=$R25),$U25,$T25)))=Milestones!$AB$38),TEXT(EDATE($D25,Milestones!$AA$38),"dd/mm/yy")&amp;" "&amp;Milestones!$AB$38&amp;" "&amp;Milestones!$AC$38&amp;";  ","")&amp;IF(AND(EDATE($D25,Milestones!$AA$39)&lt;=AsOfDate,IF($Q25=0,$W25,IF(AND($S25&lt;&gt;"",EDATE($D25,Milestones!$AA$39)&gt;=$S25),$V25,IF(AND($R25&lt;&gt;"",EDATE($D25,Milestones!$AA$39)&gt;=$R25),$U25,$T25)))=Milestones!$AB$39),TEXT(EDATE($D25,Milestones!$AA$39),"dd/mm/yy")&amp;" "&amp;Milestones!$AB$39&amp;" "&amp;Milestones!$AC$39&amp;";  ",""))</f>
        <v/>
      </c>
      <c r="I25" s="0" t="str">
        <f aca="false">IF(OR($A25="",$D25=""),"",IF(AND(EDATE($D25,Milestones!$AA$40)&lt;=AsOfDate,IF($Q25=0,$W25,IF(AND($S25&lt;&gt;"",EDATE($D25,Milestones!$AA$40)&gt;=$S25),$V25,IF(AND($R25&lt;&gt;"",EDATE($D25,Milestones!$AA$40)&gt;=$R25),$U25,$T25)))=Milestones!$AB$40),TEXT(EDATE($D25,Milestones!$AA$40),"dd/mm/yy")&amp;" "&amp;Milestones!$AB$40&amp;" "&amp;Milestones!$AC$40&amp;";  ","")&amp;IF(AND(EDATE($D25,Milestones!$AA$41)&lt;=AsOfDate,IF($Q25=0,$W25,IF(AND($S25&lt;&gt;"",EDATE($D25,Milestones!$AA$41)&gt;=$S25),$V25,IF(AND($R25&lt;&gt;"",EDATE($D25,Milestones!$AA$41)&gt;=$R25),$U25,$T25)))=Milestones!$AB$41),TEXT(EDATE($D25,Milestones!$AA$41),"dd/mm/yy")&amp;" "&amp;Milestones!$AB$41&amp;" "&amp;Milestones!$AC$41&amp;";  ","")&amp;IF(AND(EDATE($D25,Milestones!$AA$42)&lt;=AsOfDate,IF($Q25=0,$W25,IF(AND($S25&lt;&gt;"",EDATE($D25,Milestones!$AA$42)&gt;=$S25),$V25,IF(AND($R25&lt;&gt;"",EDATE($D25,Milestones!$AA$42)&gt;=$R25),$U25,$T25)))=Milestones!$AB$42),TEXT(EDATE($D25,Milestones!$AA$42),"dd/mm/yy")&amp;" "&amp;Milestones!$AB$42&amp;" "&amp;Milestones!$AC$42&amp;";  ","")&amp;IF(AND(EDATE($D25,Milestones!$AA$43)&lt;=AsOfDate,IF($Q25=0,$W25,IF(AND($S25&lt;&gt;"",EDATE($D25,Milestones!$AA$43)&gt;=$S25),$V25,IF(AND($R25&lt;&gt;"",EDATE($D25,Milestones!$AA$43)&gt;=$R25),$U25,$T25)))=Milestones!$AB$43),TEXT(EDATE($D25,Milestones!$AA$43),"dd/mm/yy")&amp;" "&amp;Milestones!$AB$43&amp;" "&amp;Milestones!$AC$43&amp;";  ","")&amp;IF(AND(EDATE($D25,Milestones!$AA$44)&lt;=AsOfDate,IF($Q25=0,$W25,IF(AND($S25&lt;&gt;"",EDATE($D25,Milestones!$AA$44)&gt;=$S25),$V25,IF(AND($R25&lt;&gt;"",EDATE($D25,Milestones!$AA$44)&gt;=$R25),$U25,$T25)))=Milestones!$AB$44),TEXT(EDATE($D25,Milestones!$AA$44),"dd/mm/yy")&amp;" "&amp;Milestones!$AB$44&amp;" "&amp;Milestones!$AC$44&amp;";  ","")&amp;IF(AND(EDATE($D25,Milestones!$AA$45)&lt;=AsOfDate,IF($Q25=0,$W25,IF(AND($S25&lt;&gt;"",EDATE($D25,Milestones!$AA$45)&gt;=$S25),$V25,IF(AND($R25&lt;&gt;"",EDATE($D25,Milestones!$AA$45)&gt;=$R25),$U25,$T25)))=Milestones!$AB$45),TEXT(EDATE($D25,Milestones!$AA$45),"dd/mm/yy")&amp;" "&amp;Milestones!$AB$45&amp;" "&amp;Milestones!$AC$45&amp;";  ","")&amp;IF(AND(EDATE($D25,Milestones!$AA$46)&lt;=AsOfDate,IF($Q25=0,$W25,IF(AND($S25&lt;&gt;"",EDATE($D25,Milestones!$AA$46)&gt;=$S25),$V25,IF(AND($R25&lt;&gt;"",EDATE($D25,Milestones!$AA$46)&gt;=$R25),$U25,$T25)))=Milestones!$AB$46),TEXT(EDATE($D25,Milestones!$AA$46),"dd/mm/yy")&amp;" "&amp;Milestones!$AB$46&amp;" "&amp;Milestones!$AC$46&amp;";  ","")&amp;IF(AND(EDATE($D25,Milestones!$AA$47)&lt;=AsOfDate,IF($Q25=0,$W25,IF(AND($S25&lt;&gt;"",EDATE($D25,Milestones!$AA$47)&gt;=$S25),$V25,IF(AND($R25&lt;&gt;"",EDATE($D25,Milestones!$AA$47)&gt;=$R25),$U25,$T25)))=Milestones!$AB$47),TEXT(EDATE($D25,Milestones!$AA$47),"dd/mm/yy")&amp;" "&amp;Milestones!$AB$47&amp;" "&amp;Milestones!$AC$47&amp;";  ","")&amp;IF(AND(EDATE($D25,Milestones!$AA$48)&lt;=AsOfDate,IF($Q25=0,$W25,IF(AND($S25&lt;&gt;"",EDATE($D25,Milestones!$AA$48)&gt;=$S25),$V25,IF(AND($R25&lt;&gt;"",EDATE($D25,Milestones!$AA$48)&gt;=$R25),$U25,$T25)))=Milestones!$AB$48),TEXT(EDATE($D25,Milestones!$AA$48),"dd/mm/yy")&amp;" "&amp;Milestones!$AB$48&amp;" "&amp;Milestones!$AC$48&amp;";  ","")&amp;IF(AND(EDATE($D25,Milestones!$AA$49)&lt;=AsOfDate,IF($Q25=0,$W25,IF(AND($S25&lt;&gt;"",EDATE($D25,Milestones!$AA$49)&gt;=$S25),$V25,IF(AND($R25&lt;&gt;"",EDATE($D25,Milestones!$AA$49)&gt;=$R25),$U25,$T25)))=Milestones!$AB$49),TEXT(EDATE($D25,Milestones!$AA$49),"dd/mm/yy")&amp;" "&amp;Milestones!$AB$49&amp;" "&amp;Milestones!$AC$49&amp;";  ","")&amp;IF(AND(EDATE($D25,Milestones!$AA$50)&lt;=AsOfDate,IF($Q25=0,$W25,IF(AND($S25&lt;&gt;"",EDATE($D25,Milestones!$AA$50)&gt;=$S25),$V25,IF(AND($R25&lt;&gt;"",EDATE($D25,Milestones!$AA$50)&gt;=$R25),$U25,$T25)))=Milestones!$AB$50),TEXT(EDATE($D25,Milestones!$AA$50),"dd/mm/yy")&amp;" "&amp;Milestones!$AB$50&amp;" "&amp;Milestones!$AC$50&amp;";  ","")&amp;IF(AND(EDATE($D25,Milestones!$AA$51)&lt;=AsOfDate,IF($Q25=0,$W25,IF(AND($S25&lt;&gt;"",EDATE($D25,Milestones!$AA$51)&gt;=$S25),$V25,IF(AND($R25&lt;&gt;"",EDATE($D25,Milestones!$AA$51)&gt;=$R25),$U25,$T25)))=Milestones!$AB$51),TEXT(EDATE($D25,Milestones!$AA$51),"dd/mm/yy")&amp;" "&amp;Milestones!$AB$51&amp;" "&amp;Milestones!$AC$51&amp;";  ","")&amp;IF(AND(EDATE($D25,Milestones!$AA$52)&lt;=AsOfDate,IF($Q25=0,$W25,IF(AND($S25&lt;&gt;"",EDATE($D25,Milestones!$AA$52)&gt;=$S25),$V25,IF(AND($R25&lt;&gt;"",EDATE($D25,Milestones!$AA$52)&gt;=$R25),$U25,$T25)))=Milestones!$AB$52),TEXT(EDATE($D25,Milestones!$AA$52),"dd/mm/yy")&amp;" "&amp;Milestones!$AB$52&amp;" "&amp;Milestones!$AC$52&amp;";  ","")&amp;IF(AND(EDATE($D25,Milestones!$AA$53)&lt;=AsOfDate,IF($Q25=0,$W25,IF(AND($S25&lt;&gt;"",EDATE($D25,Milestones!$AA$53)&gt;=$S25),$V25,IF(AND($R25&lt;&gt;"",EDATE($D25,Milestones!$AA$53)&gt;=$R25),$U25,$T25)))=Milestones!$AB$53),TEXT(EDATE($D25,Milestones!$AA$53),"dd/mm/yy")&amp;" "&amp;Milestones!$AB$53&amp;" "&amp;Milestones!$AC$53&amp;";  ","")&amp;IF(AND(EDATE($D25,Milestones!$AA$54)&lt;=AsOfDate,IF($Q25=0,$W25,IF(AND($S25&lt;&gt;"",EDATE($D25,Milestones!$AA$54)&gt;=$S25),$V25,IF(AND($R25&lt;&gt;"",EDATE($D25,Milestones!$AA$54)&gt;=$R25),$U25,$T25)))=Milestones!$AB$54),TEXT(EDATE($D25,Milestones!$AA$54),"dd/mm/yy")&amp;" "&amp;Milestones!$AB$54&amp;" "&amp;Milestones!$AC$54&amp;";  ","")&amp;IF(AND(EDATE($D25,Milestones!$AA$55)&lt;=AsOfDate,IF($Q25=0,$W25,IF(AND($S25&lt;&gt;"",EDATE($D25,Milestones!$AA$55)&gt;=$S25),$V25,IF(AND($R25&lt;&gt;"",EDATE($D25,Milestones!$AA$55)&gt;=$R25),$U25,$T25)))=Milestones!$AB$55),TEXT(EDATE($D25,Milestones!$AA$55),"dd/mm/yy")&amp;" "&amp;Milestones!$AB$55&amp;" "&amp;Milestones!$AC$55&amp;";  ","")&amp;IF(AND(EDATE($D25,Milestones!$AA$56)&lt;=AsOfDate,IF($Q25=0,$W25,IF(AND($S25&lt;&gt;"",EDATE($D25,Milestones!$AA$56)&gt;=$S25),$V25,IF(AND($R25&lt;&gt;"",EDATE($D25,Milestones!$AA$56)&gt;=$R25),$U25,$T25)))=Milestones!$AB$56),TEXT(EDATE($D25,Milestones!$AA$56),"dd/mm/yy")&amp;" "&amp;Milestones!$AB$56&amp;" "&amp;Milestones!$AC$56&amp;";  ","")&amp;IF(AND(EDATE($D25,Milestones!$AA$57)&lt;=AsOfDate,IF($Q25=0,$W25,IF(AND($S25&lt;&gt;"",EDATE($D25,Milestones!$AA$57)&gt;=$S25),$V25,IF(AND($R25&lt;&gt;"",EDATE($D25,Milestones!$AA$57)&gt;=$R25),$U25,$T25)))=Milestones!$AB$57),TEXT(EDATE($D25,Milestones!$AA$57),"dd/mm/yy")&amp;" "&amp;Milestones!$AB$57&amp;" "&amp;Milestones!$AC$57&amp;";  ","")&amp;IF(AND(EDATE($D25,Milestones!$AA$58)&lt;=AsOfDate,IF($Q25=0,$W25,IF(AND($S25&lt;&gt;"",EDATE($D25,Milestones!$AA$58)&gt;=$S25),$V25,IF(AND($R25&lt;&gt;"",EDATE($D25,Milestones!$AA$58)&gt;=$R25),$U25,$T25)))=Milestones!$AB$58),TEXT(EDATE($D25,Milestones!$AA$58),"dd/mm/yy")&amp;" "&amp;Milestones!$AB$58&amp;" "&amp;Milestones!$AC$58&amp;";  ","")&amp;IF(AND(EDATE($D25,Milestones!$AA$59)&lt;=AsOfDate,IF($Q25=0,$W25,IF(AND($S25&lt;&gt;"",EDATE($D25,Milestones!$AA$59)&gt;=$S25),$V25,IF(AND($R25&lt;&gt;"",EDATE($D25,Milestones!$AA$59)&gt;=$R25),$U25,$T25)))=Milestones!$AB$59),TEXT(EDATE($D25,Milestones!$AA$59),"dd/mm/yy")&amp;" "&amp;Milestones!$AB$59&amp;" "&amp;Milestones!$AC$59&amp;";  ",""))</f>
        <v/>
      </c>
      <c r="J25" s="0" t="str">
        <f aca="false">IF(OR($A25="",$D25=""),"",IF(AND(EDATE($D25,Milestones!$AA$60)&lt;=AsOfDate,IF($Q25=0,$W25,IF(AND($S25&lt;&gt;"",EDATE($D25,Milestones!$AA$60)&gt;=$S25),$V25,IF(AND($R25&lt;&gt;"",EDATE($D25,Milestones!$AA$60)&gt;=$R25),$U25,$T25)))=Milestones!$AB$60),TEXT(EDATE($D25,Milestones!$AA$60),"dd/mm/yy")&amp;" "&amp;Milestones!$AB$60&amp;" "&amp;Milestones!$AC$60&amp;";  ","")&amp;IF(AND(EDATE($D25,Milestones!$AA$61)&lt;=AsOfDate,IF($Q25=0,$W25,IF(AND($S25&lt;&gt;"",EDATE($D25,Milestones!$AA$61)&gt;=$S25),$V25,IF(AND($R25&lt;&gt;"",EDATE($D25,Milestones!$AA$61)&gt;=$R25),$U25,$T25)))=Milestones!$AB$61),TEXT(EDATE($D25,Milestones!$AA$61),"dd/mm/yy")&amp;" "&amp;Milestones!$AB$61&amp;" "&amp;Milestones!$AC$61&amp;";  ","")&amp;IF(AND(EDATE($D25,Milestones!$AA$62)&lt;=AsOfDate,IF($Q25=0,$W25,IF(AND($S25&lt;&gt;"",EDATE($D25,Milestones!$AA$62)&gt;=$S25),$V25,IF(AND($R25&lt;&gt;"",EDATE($D25,Milestones!$AA$62)&gt;=$R25),$U25,$T25)))=Milestones!$AB$62),TEXT(EDATE($D25,Milestones!$AA$62),"dd/mm/yy")&amp;" "&amp;Milestones!$AB$62&amp;" "&amp;Milestones!$AC$62&amp;";  ","")&amp;IF(AND(EDATE($D25,Milestones!$AA$63)&lt;=AsOfDate,IF($Q25=0,$W25,IF(AND($S25&lt;&gt;"",EDATE($D25,Milestones!$AA$63)&gt;=$S25),$V25,IF(AND($R25&lt;&gt;"",EDATE($D25,Milestones!$AA$63)&gt;=$R25),$U25,$T25)))=Milestones!$AB$63),TEXT(EDATE($D25,Milestones!$AA$63),"dd/mm/yy")&amp;" "&amp;Milestones!$AB$63&amp;" "&amp;Milestones!$AC$63&amp;";  ","")&amp;IF(AND(EDATE($D25,Milestones!$AA$64)&lt;=AsOfDate,IF($Q25=0,$W25,IF(AND($S25&lt;&gt;"",EDATE($D25,Milestones!$AA$64)&gt;=$S25),$V25,IF(AND($R25&lt;&gt;"",EDATE($D25,Milestones!$AA$64)&gt;=$R25),$U25,$T25)))=Milestones!$AB$64),TEXT(EDATE($D25,Milestones!$AA$64),"dd/mm/yy")&amp;" "&amp;Milestones!$AB$64&amp;" "&amp;Milestones!$AC$64&amp;";  ","")&amp;IF(AND(EDATE($D25,Milestones!$AA$65)&lt;=AsOfDate,IF($Q25=0,$W25,IF(AND($S25&lt;&gt;"",EDATE($D25,Milestones!$AA$65)&gt;=$S25),$V25,IF(AND($R25&lt;&gt;"",EDATE($D25,Milestones!$AA$65)&gt;=$R25),$U25,$T25)))=Milestones!$AB$65),TEXT(EDATE($D25,Milestones!$AA$65),"dd/mm/yy")&amp;" "&amp;Milestones!$AB$65&amp;" "&amp;Milestones!$AC$65&amp;";  ","")&amp;IF(AND(EDATE($D25,Milestones!$AA$66)&lt;=AsOfDate,IF($Q25=0,$W25,IF(AND($S25&lt;&gt;"",EDATE($D25,Milestones!$AA$66)&gt;=$S25),$V25,IF(AND($R25&lt;&gt;"",EDATE($D25,Milestones!$AA$66)&gt;=$R25),$U25,$T25)))=Milestones!$AB$66),TEXT(EDATE($D25,Milestones!$AA$66),"dd/mm/yy")&amp;" "&amp;Milestones!$AB$66&amp;" "&amp;Milestones!$AC$66&amp;";  ","")&amp;IF(AND(EDATE($D25,Milestones!$AA$67)&lt;=AsOfDate,IF($Q25=0,$W25,IF(AND($S25&lt;&gt;"",EDATE($D25,Milestones!$AA$67)&gt;=$S25),$V25,IF(AND($R25&lt;&gt;"",EDATE($D25,Milestones!$AA$67)&gt;=$R25),$U25,$T25)))=Milestones!$AB$67),TEXT(EDATE($D25,Milestones!$AA$67),"dd/mm/yy")&amp;" "&amp;Milestones!$AB$67&amp;" "&amp;Milestones!$AC$67&amp;";  ","")&amp;IF(AND(EDATE($D25,Milestones!$AA$68)&lt;=AsOfDate,IF($Q25=0,$W25,IF(AND($S25&lt;&gt;"",EDATE($D25,Milestones!$AA$68)&gt;=$S25),$V25,IF(AND($R25&lt;&gt;"",EDATE($D25,Milestones!$AA$68)&gt;=$R25),$U25,$T25)))=Milestones!$AB$68),TEXT(EDATE($D25,Milestones!$AA$68),"dd/mm/yy")&amp;" "&amp;Milestones!$AB$68&amp;" "&amp;Milestones!$AC$68&amp;";  ","")&amp;IF(AND(EDATE($D25,Milestones!$AA$69)&lt;=AsOfDate,IF($Q25=0,$W25,IF(AND($S25&lt;&gt;"",EDATE($D25,Milestones!$AA$69)&gt;=$S25),$V25,IF(AND($R25&lt;&gt;"",EDATE($D25,Milestones!$AA$69)&gt;=$R25),$U25,$T25)))=Milestones!$AB$69),TEXT(EDATE($D25,Milestones!$AA$69),"dd/mm/yy")&amp;" "&amp;Milestones!$AB$69&amp;" "&amp;Milestones!$AC$69&amp;";  ","")&amp;IF(AND(EDATE($D25,Milestones!$AA$70)&lt;=AsOfDate,IF($Q25=0,$W25,IF(AND($S25&lt;&gt;"",EDATE($D25,Milestones!$AA$70)&gt;=$S25),$V25,IF(AND($R25&lt;&gt;"",EDATE($D25,Milestones!$AA$70)&gt;=$R25),$U25,$T25)))=Milestones!$AB$70),TEXT(EDATE($D25,Milestones!$AA$70),"dd/mm/yy")&amp;" "&amp;Milestones!$AB$70&amp;" "&amp;Milestones!$AC$70&amp;";  ","")&amp;IF(AND(EDATE($D25,Milestones!$AA$71)&lt;=AsOfDate,IF($Q25=0,$W25,IF(AND($S25&lt;&gt;"",EDATE($D25,Milestones!$AA$71)&gt;=$S25),$V25,IF(AND($R25&lt;&gt;"",EDATE($D25,Milestones!$AA$71)&gt;=$R25),$U25,$T25)))=Milestones!$AB$71),TEXT(EDATE($D25,Milestones!$AA$71),"dd/mm/yy")&amp;" "&amp;Milestones!$AB$71&amp;" "&amp;Milestones!$AC$71&amp;";  ","")&amp;IF(AND(EDATE($D25,Milestones!$AA$72)&lt;=AsOfDate,IF($Q25=0,$W25,IF(AND($S25&lt;&gt;"",EDATE($D25,Milestones!$AA$72)&gt;=$S25),$V25,IF(AND($R25&lt;&gt;"",EDATE($D25,Milestones!$AA$72)&gt;=$R25),$U25,$T25)))=Milestones!$AB$72),TEXT(EDATE($D25,Milestones!$AA$72),"dd/mm/yy")&amp;" "&amp;Milestones!$AB$72&amp;" "&amp;Milestones!$AC$72&amp;";  ","")&amp;IF(AND(EDATE($D25,Milestones!$AA$73)&lt;=AsOfDate,IF($Q25=0,$W25,IF(AND($S25&lt;&gt;"",EDATE($D25,Milestones!$AA$73)&gt;=$S25),$V25,IF(AND($R25&lt;&gt;"",EDATE($D25,Milestones!$AA$73)&gt;=$R25),$U25,$T25)))=Milestones!$AB$73),TEXT(EDATE($D25,Milestones!$AA$73),"dd/mm/yy")&amp;" "&amp;Milestones!$AB$73&amp;" "&amp;Milestones!$AC$73&amp;";  ","")&amp;IF(AND(EDATE($D25,Milestones!$AA$74)&lt;=AsOfDate,IF($Q25=0,$W25,IF(AND($S25&lt;&gt;"",EDATE($D25,Milestones!$AA$74)&gt;=$S25),$V25,IF(AND($R25&lt;&gt;"",EDATE($D25,Milestones!$AA$74)&gt;=$R25),$U25,$T25)))=Milestones!$AB$74),TEXT(EDATE($D25,Milestones!$AA$74),"dd/mm/yy")&amp;" "&amp;Milestones!$AB$74&amp;" "&amp;Milestones!$AC$74&amp;";  ","")&amp;IF(AND(EDATE($D25,Milestones!$AA$75)&lt;=AsOfDate,IF($Q25=0,$W25,IF(AND($S25&lt;&gt;"",EDATE($D25,Milestones!$AA$75)&gt;=$S25),$V25,IF(AND($R25&lt;&gt;"",EDATE($D25,Milestones!$AA$75)&gt;=$R25),$U25,$T25)))=Milestones!$AB$75),TEXT(EDATE($D25,Milestones!$AA$75),"dd/mm/yy")&amp;" "&amp;Milestones!$AB$75&amp;" "&amp;Milestones!$AC$75&amp;";  ","")&amp;IF(AND(EDATE($D25,Milestones!$AA$76)&lt;=AsOfDate,IF($Q25=0,$W25,IF(AND($S25&lt;&gt;"",EDATE($D25,Milestones!$AA$76)&gt;=$S25),$V25,IF(AND($R25&lt;&gt;"",EDATE($D25,Milestones!$AA$76)&gt;=$R25),$U25,$T25)))=Milestones!$AB$76),TEXT(EDATE($D25,Milestones!$AA$76),"dd/mm/yy")&amp;" "&amp;Milestones!$AB$76&amp;" "&amp;Milestones!$AC$76&amp;";  ","")&amp;IF(AND(EDATE($D25,Milestones!$AA$77)&lt;=AsOfDate,IF($Q25=0,$W25,IF(AND($S25&lt;&gt;"",EDATE($D25,Milestones!$AA$77)&gt;=$S25),$V25,IF(AND($R25&lt;&gt;"",EDATE($D25,Milestones!$AA$77)&gt;=$R25),$U25,$T25)))=Milestones!$AB$77),TEXT(EDATE($D25,Milestones!$AA$77),"dd/mm/yy")&amp;" "&amp;Milestones!$AB$77&amp;" "&amp;Milestones!$AC$77&amp;";  ","")&amp;IF(AND(EDATE($D25,Milestones!$AA$78)&lt;=AsOfDate,IF($Q25=0,$W25,IF(AND($S25&lt;&gt;"",EDATE($D25,Milestones!$AA$78)&gt;=$S25),$V25,IF(AND($R25&lt;&gt;"",EDATE($D25,Milestones!$AA$78)&gt;=$R25),$U25,$T25)))=Milestones!$AB$78),TEXT(EDATE($D25,Milestones!$AA$78),"dd/mm/yy")&amp;" "&amp;Milestones!$AB$78&amp;" "&amp;Milestones!$AC$78&amp;";  ","")&amp;IF(AND(EDATE($D25,Milestones!$AA$79)&lt;=AsOfDate,IF($Q25=0,$W25,IF(AND($S25&lt;&gt;"",EDATE($D25,Milestones!$AA$79)&gt;=$S25),$V25,IF(AND($R25&lt;&gt;"",EDATE($D25,Milestones!$AA$79)&gt;=$R25),$U25,$T25)))=Milestones!$AB$79),TEXT(EDATE($D25,Milestones!$AA$79),"dd/mm/yy")&amp;" "&amp;Milestones!$AB$79&amp;" "&amp;Milestones!$AC$79&amp;";  ",""))</f>
        <v/>
      </c>
      <c r="K25" s="0" t="str">
        <f aca="false">IF(OR($A25="",$D25=""),"",IF(AND(EDATE($D25,Milestones!$AA$80)&lt;=AsOfDate,IF($Q25=0,$W25,IF(AND($S25&lt;&gt;"",EDATE($D25,Milestones!$AA$80)&gt;=$S25),$V25,IF(AND($R25&lt;&gt;"",EDATE($D25,Milestones!$AA$80)&gt;=$R25),$U25,$T25)))=Milestones!$AB$80),TEXT(EDATE($D25,Milestones!$AA$80),"dd/mm/yy")&amp;" "&amp;Milestones!$AB$80&amp;" "&amp;Milestones!$AC$80&amp;";  ","")&amp;IF(AND(EDATE($D25,Milestones!$AA$81)&lt;=AsOfDate,IF($Q25=0,$W25,IF(AND($S25&lt;&gt;"",EDATE($D25,Milestones!$AA$81)&gt;=$S25),$V25,IF(AND($R25&lt;&gt;"",EDATE($D25,Milestones!$AA$81)&gt;=$R25),$U25,$T25)))=Milestones!$AB$81),TEXT(EDATE($D25,Milestones!$AA$81),"dd/mm/yy")&amp;" "&amp;Milestones!$AB$81&amp;" "&amp;Milestones!$AC$81&amp;";  ","")&amp;IF(AND(EDATE($D25,Milestones!$AA$82)&lt;=AsOfDate,IF($Q25=0,$W25,IF(AND($S25&lt;&gt;"",EDATE($D25,Milestones!$AA$82)&gt;=$S25),$V25,IF(AND($R25&lt;&gt;"",EDATE($D25,Milestones!$AA$82)&gt;=$R25),$U25,$T25)))=Milestones!$AB$82),TEXT(EDATE($D25,Milestones!$AA$82),"dd/mm/yy")&amp;" "&amp;Milestones!$AB$82&amp;" "&amp;Milestones!$AC$82&amp;";  ","")&amp;IF(AND(EDATE($D25,Milestones!$AA$83)&lt;=AsOfDate,IF($Q25=0,$W25,IF(AND($S25&lt;&gt;"",EDATE($D25,Milestones!$AA$83)&gt;=$S25),$V25,IF(AND($R25&lt;&gt;"",EDATE($D25,Milestones!$AA$83)&gt;=$R25),$U25,$T25)))=Milestones!$AB$83),TEXT(EDATE($D25,Milestones!$AA$83),"dd/mm/yy")&amp;" "&amp;Milestones!$AB$83&amp;" "&amp;Milestones!$AC$83&amp;";  ","")&amp;IF(AND(EDATE($D25,Milestones!$AA$84)&lt;=AsOfDate,IF($Q25=0,$W25,IF(AND($S25&lt;&gt;"",EDATE($D25,Milestones!$AA$84)&gt;=$S25),$V25,IF(AND($R25&lt;&gt;"",EDATE($D25,Milestones!$AA$84)&gt;=$R25),$U25,$T25)))=Milestones!$AB$84),TEXT(EDATE($D25,Milestones!$AA$84),"dd/mm/yy")&amp;" "&amp;Milestones!$AB$84&amp;" "&amp;Milestones!$AC$84&amp;";  ","")&amp;IF(AND(EDATE($D25,Milestones!$AA$85)&lt;=AsOfDate,IF($Q25=0,$W25,IF(AND($S25&lt;&gt;"",EDATE($D25,Milestones!$AA$85)&gt;=$S25),$V25,IF(AND($R25&lt;&gt;"",EDATE($D25,Milestones!$AA$85)&gt;=$R25),$U25,$T25)))=Milestones!$AB$85),TEXT(EDATE($D25,Milestones!$AA$85),"dd/mm/yy")&amp;" "&amp;Milestones!$AB$85&amp;" "&amp;Milestones!$AC$85&amp;";  ","")&amp;IF(AND(EDATE($D25,Milestones!$AA$86)&lt;=AsOfDate,IF($Q25=0,$W25,IF(AND($S25&lt;&gt;"",EDATE($D25,Milestones!$AA$86)&gt;=$S25),$V25,IF(AND($R25&lt;&gt;"",EDATE($D25,Milestones!$AA$86)&gt;=$R25),$U25,$T25)))=Milestones!$AB$86),TEXT(EDATE($D25,Milestones!$AA$86),"dd/mm/yy")&amp;" "&amp;Milestones!$AB$86&amp;" "&amp;Milestones!$AC$86&amp;";  ","")&amp;IF(AND(EDATE($D25,Milestones!$AA$87)&lt;=AsOfDate,IF($Q25=0,$W25,IF(AND($S25&lt;&gt;"",EDATE($D25,Milestones!$AA$87)&gt;=$S25),$V25,IF(AND($R25&lt;&gt;"",EDATE($D25,Milestones!$AA$87)&gt;=$R25),$U25,$T25)))=Milestones!$AB$87),TEXT(EDATE($D25,Milestones!$AA$87),"dd/mm/yy")&amp;" "&amp;Milestones!$AB$87&amp;" "&amp;Milestones!$AC$87&amp;";  ","")&amp;IF(AND(EDATE($D25,Milestones!$AA$88)&lt;=AsOfDate,IF($Q25=0,$W25,IF(AND($S25&lt;&gt;"",EDATE($D25,Milestones!$AA$88)&gt;=$S25),$V25,IF(AND($R25&lt;&gt;"",EDATE($D25,Milestones!$AA$88)&gt;=$R25),$U25,$T25)))=Milestones!$AB$88),TEXT(EDATE($D25,Milestones!$AA$88),"dd/mm/yy")&amp;" "&amp;Milestones!$AB$88&amp;" "&amp;Milestones!$AC$88&amp;";  ","")&amp;IF(AND(EDATE($D25,Milestones!$AA$89)&lt;=AsOfDate,IF($Q25=0,$W25,IF(AND($S25&lt;&gt;"",EDATE($D25,Milestones!$AA$89)&gt;=$S25),$V25,IF(AND($R25&lt;&gt;"",EDATE($D25,Milestones!$AA$89)&gt;=$R25),$U25,$T25)))=Milestones!$AB$89),TEXT(EDATE($D25,Milestones!$AA$89),"dd/mm/yy")&amp;" "&amp;Milestones!$AB$89&amp;" "&amp;Milestones!$AC$89&amp;";  ","")&amp;IF(AND(EDATE($D25,Milestones!$AA$90)&lt;=AsOfDate,IF($Q25=0,$W25,IF(AND($S25&lt;&gt;"",EDATE($D25,Milestones!$AA$90)&gt;=$S25),$V25,IF(AND($R25&lt;&gt;"",EDATE($D25,Milestones!$AA$90)&gt;=$R25),$U25,$T25)))=Milestones!$AB$90),TEXT(EDATE($D25,Milestones!$AA$90),"dd/mm/yy")&amp;" "&amp;Milestones!$AB$90&amp;" "&amp;Milestones!$AC$90&amp;";  ","")&amp;IF(AND(EDATE($D25,Milestones!$AA$91)&lt;=AsOfDate,IF($Q25=0,$W25,IF(AND($S25&lt;&gt;"",EDATE($D25,Milestones!$AA$91)&gt;=$S25),$V25,IF(AND($R25&lt;&gt;"",EDATE($D25,Milestones!$AA$91)&gt;=$R25),$U25,$T25)))=Milestones!$AB$91),TEXT(EDATE($D25,Milestones!$AA$91),"dd/mm/yy")&amp;" "&amp;Milestones!$AB$91&amp;" "&amp;Milestones!$AC$91&amp;";  ","")&amp;IF(AND(EDATE($D25,Milestones!$AA$92)&lt;=AsOfDate,IF($Q25=0,$W25,IF(AND($S25&lt;&gt;"",EDATE($D25,Milestones!$AA$92)&gt;=$S25),$V25,IF(AND($R25&lt;&gt;"",EDATE($D25,Milestones!$AA$92)&gt;=$R25),$U25,$T25)))=Milestones!$AB$92),TEXT(EDATE($D25,Milestones!$AA$92),"dd/mm/yy")&amp;" "&amp;Milestones!$AB$92&amp;" "&amp;Milestones!$AC$92&amp;";  ","")&amp;IF(AND(EDATE($D25,Milestones!$AA$93)&lt;=AsOfDate,IF($Q25=0,$W25,IF(AND($S25&lt;&gt;"",EDATE($D25,Milestones!$AA$93)&gt;=$S25),$V25,IF(AND($R25&lt;&gt;"",EDATE($D25,Milestones!$AA$93)&gt;=$R25),$U25,$T25)))=Milestones!$AB$93),TEXT(EDATE($D25,Milestones!$AA$93),"dd/mm/yy")&amp;" "&amp;Milestones!$AB$93&amp;" "&amp;Milestones!$AC$93&amp;";  ","")&amp;IF(AND(EDATE($D25,Milestones!$AA$94)&lt;=AsOfDate,IF($Q25=0,$W25,IF(AND($S25&lt;&gt;"",EDATE($D25,Milestones!$AA$94)&gt;=$S25),$V25,IF(AND($R25&lt;&gt;"",EDATE($D25,Milestones!$AA$94)&gt;=$R25),$U25,$T25)))=Milestones!$AB$94),TEXT(EDATE($D25,Milestones!$AA$94),"dd/mm/yy")&amp;" "&amp;Milestones!$AB$94&amp;" "&amp;Milestones!$AC$94&amp;";  ","")&amp;IF(AND(EDATE($D25,Milestones!$AA$95)&lt;=AsOfDate,IF($Q25=0,$W25,IF(AND($S25&lt;&gt;"",EDATE($D25,Milestones!$AA$95)&gt;=$S25),$V25,IF(AND($R25&lt;&gt;"",EDATE($D25,Milestones!$AA$95)&gt;=$R25),$U25,$T25)))=Milestones!$AB$95),TEXT(EDATE($D25,Milestones!$AA$95),"dd/mm/yy")&amp;" "&amp;Milestones!$AB$95&amp;" "&amp;Milestones!$AC$95&amp;";  ","")&amp;IF(AND(EDATE($D25,Milestones!$AA$96)&lt;=AsOfDate,IF($Q25=0,$W25,IF(AND($S25&lt;&gt;"",EDATE($D25,Milestones!$AA$96)&gt;=$S25),$V25,IF(AND($R25&lt;&gt;"",EDATE($D25,Milestones!$AA$96)&gt;=$R25),$U25,$T25)))=Milestones!$AB$96),TEXT(EDATE($D25,Milestones!$AA$96),"dd/mm/yy")&amp;" "&amp;Milestones!$AB$96&amp;" "&amp;Milestones!$AC$96&amp;";  ","")&amp;IF(AND(EDATE($D25,Milestones!$AA$97)&lt;=AsOfDate,IF($Q25=0,$W25,IF(AND($S25&lt;&gt;"",EDATE($D25,Milestones!$AA$97)&gt;=$S25),$V25,IF(AND($R25&lt;&gt;"",EDATE($D25,Milestones!$AA$97)&gt;=$R25),$U25,$T25)))=Milestones!$AB$97),TEXT(EDATE($D25,Milestones!$AA$97),"dd/mm/yy")&amp;" "&amp;Milestones!$AB$97&amp;" "&amp;Milestones!$AC$97&amp;";  ","")&amp;IF(AND(EDATE($D25,Milestones!$AA$98)&lt;=AsOfDate,IF($Q25=0,$W25,IF(AND($S25&lt;&gt;"",EDATE($D25,Milestones!$AA$98)&gt;=$S25),$V25,IF(AND($R25&lt;&gt;"",EDATE($D25,Milestones!$AA$98)&gt;=$R25),$U25,$T25)))=Milestones!$AB$98),TEXT(EDATE($D25,Milestones!$AA$98),"dd/mm/yy")&amp;" "&amp;Milestones!$AB$98&amp;" "&amp;Milestones!$AC$98&amp;";  ","")&amp;IF(AND(EDATE($D25,Milestones!$AA$99)&lt;=AsOfDate,IF($Q25=0,$W25,IF(AND($S25&lt;&gt;"",EDATE($D25,Milestones!$AA$99)&gt;=$S25),$V25,IF(AND($R25&lt;&gt;"",EDATE($D25,Milestones!$AA$99)&gt;=$R25),$U25,$T25)))=Milestones!$AB$99),TEXT(EDATE($D25,Milestones!$AA$99),"dd/mm/yy")&amp;" "&amp;Milestones!$AB$99&amp;" "&amp;Milestones!$AC$99&amp;";  ",""))</f>
        <v/>
      </c>
      <c r="L25" s="0" t="str">
        <f aca="false">IF(OR($A25="",$D25=""),"",IF(AND(EDATE($D25,Milestones!$AA$100)&lt;=AsOfDate,IF($Q25=0,$W25,IF(AND($S25&lt;&gt;"",EDATE($D25,Milestones!$AA$100)&gt;=$S25),$V25,IF(AND($R25&lt;&gt;"",EDATE($D25,Milestones!$AA$100)&gt;=$R25),$U25,$T25)))=Milestones!$AB$100),TEXT(EDATE($D25,Milestones!$AA$100),"dd/mm/yy")&amp;" "&amp;Milestones!$AB$100&amp;" "&amp;Milestones!$AC$100&amp;";  ","")&amp;IF(AND(EDATE($D25,Milestones!$AA$101)&lt;=AsOfDate,IF($Q25=0,$W25,IF(AND($S25&lt;&gt;"",EDATE($D25,Milestones!$AA$101)&gt;=$S25),$V25,IF(AND($R25&lt;&gt;"",EDATE($D25,Milestones!$AA$101)&gt;=$R25),$U25,$T25)))=Milestones!$AB$101),TEXT(EDATE($D25,Milestones!$AA$101),"dd/mm/yy")&amp;" "&amp;Milestones!$AB$101&amp;" "&amp;Milestones!$AC$101&amp;";  ","")&amp;IF(AND(EDATE($D25,Milestones!$AA$102)&lt;=AsOfDate,IF($Q25=0,$W25,IF(AND($S25&lt;&gt;"",EDATE($D25,Milestones!$AA$102)&gt;=$S25),$V25,IF(AND($R25&lt;&gt;"",EDATE($D25,Milestones!$AA$102)&gt;=$R25),$U25,$T25)))=Milestones!$AB$102),TEXT(EDATE($D25,Milestones!$AA$102),"dd/mm/yy")&amp;" "&amp;Milestones!$AB$102&amp;" "&amp;Milestones!$AC$102&amp;";  ","")&amp;IF(AND(EDATE($D25,Milestones!$AA$103)&lt;=AsOfDate,IF($Q25=0,$W25,IF(AND($S25&lt;&gt;"",EDATE($D25,Milestones!$AA$103)&gt;=$S25),$V25,IF(AND($R25&lt;&gt;"",EDATE($D25,Milestones!$AA$103)&gt;=$R25),$U25,$T25)))=Milestones!$AB$103),TEXT(EDATE($D25,Milestones!$AA$103),"dd/mm/yy")&amp;" "&amp;Milestones!$AB$103&amp;" "&amp;Milestones!$AC$103&amp;";  ","")&amp;IF(AND(EDATE($D25,Milestones!$AA$104)&lt;=AsOfDate,IF($Q25=0,$W25,IF(AND($S25&lt;&gt;"",EDATE($D25,Milestones!$AA$104)&gt;=$S25),$V25,IF(AND($R25&lt;&gt;"",EDATE($D25,Milestones!$AA$104)&gt;=$R25),$U25,$T25)))=Milestones!$AB$104),TEXT(EDATE($D25,Milestones!$AA$104),"dd/mm/yy")&amp;" "&amp;Milestones!$AB$104&amp;" "&amp;Milestones!$AC$104&amp;";  ","")&amp;IF(AND(EDATE($D25,Milestones!$AA$105)&lt;=AsOfDate,IF($Q25=0,$W25,IF(AND($S25&lt;&gt;"",EDATE($D25,Milestones!$AA$105)&gt;=$S25),$V25,IF(AND($R25&lt;&gt;"",EDATE($D25,Milestones!$AA$105)&gt;=$R25),$U25,$T25)))=Milestones!$AB$105),TEXT(EDATE($D25,Milestones!$AA$105),"dd/mm/yy")&amp;" "&amp;Milestones!$AB$105&amp;" "&amp;Milestones!$AC$105&amp;";  ","")&amp;IF(AND(EDATE($D25,Milestones!$AA$106)&lt;=AsOfDate,IF($Q25=0,$W25,IF(AND($S25&lt;&gt;"",EDATE($D25,Milestones!$AA$106)&gt;=$S25),$V25,IF(AND($R25&lt;&gt;"",EDATE($D25,Milestones!$AA$106)&gt;=$R25),$U25,$T25)))=Milestones!$AB$106),TEXT(EDATE($D25,Milestones!$AA$106),"dd/mm/yy")&amp;" "&amp;Milestones!$AB$106&amp;" "&amp;Milestones!$AC$106&amp;";  ","")&amp;IF(AND(EDATE($D25,Milestones!$AA$107)&lt;=AsOfDate,IF($Q25=0,$W25,IF(AND($S25&lt;&gt;"",EDATE($D25,Milestones!$AA$107)&gt;=$S25),$V25,IF(AND($R25&lt;&gt;"",EDATE($D25,Milestones!$AA$107)&gt;=$R25),$U25,$T25)))=Milestones!$AB$107),TEXT(EDATE($D25,Milestones!$AA$107),"dd/mm/yy")&amp;" "&amp;Milestones!$AB$107&amp;" "&amp;Milestones!$AC$107&amp;";  ","")&amp;IF(AND(EDATE($D25,Milestones!$AA$108)&lt;=AsOfDate,IF($Q25=0,$W25,IF(AND($S25&lt;&gt;"",EDATE($D25,Milestones!$AA$108)&gt;=$S25),$V25,IF(AND($R25&lt;&gt;"",EDATE($D25,Milestones!$AA$108)&gt;=$R25),$U25,$T25)))=Milestones!$AB$108),TEXT(EDATE($D25,Milestones!$AA$108),"dd/mm/yy")&amp;" "&amp;Milestones!$AB$108&amp;" "&amp;Milestones!$AC$108&amp;";  ","")&amp;IF(AND(EDATE($D25,Milestones!$AA$109)&lt;=AsOfDate,IF($Q25=0,$W25,IF(AND($S25&lt;&gt;"",EDATE($D25,Milestones!$AA$109)&gt;=$S25),$V25,IF(AND($R25&lt;&gt;"",EDATE($D25,Milestones!$AA$109)&gt;=$R25),$U25,$T25)))=Milestones!$AB$109),TEXT(EDATE($D25,Milestones!$AA$109),"dd/mm/yy")&amp;" "&amp;Milestones!$AB$109&amp;" "&amp;Milestones!$AC$109&amp;";  ","")&amp;IF(AND(EDATE($D25,Milestones!$AA$110)&lt;=AsOfDate,IF($Q25=0,$W25,IF(AND($S25&lt;&gt;"",EDATE($D25,Milestones!$AA$110)&gt;=$S25),$V25,IF(AND($R25&lt;&gt;"",EDATE($D25,Milestones!$AA$110)&gt;=$R25),$U25,$T25)))=Milestones!$AB$110),TEXT(EDATE($D25,Milestones!$AA$110),"dd/mm/yy")&amp;" "&amp;Milestones!$AB$110&amp;" "&amp;Milestones!$AC$110&amp;";  ","")&amp;IF(AND(EDATE($D25,Milestones!$AA$111)&lt;=AsOfDate,IF($Q25=0,$W25,IF(AND($S25&lt;&gt;"",EDATE($D25,Milestones!$AA$111)&gt;=$S25),$V25,IF(AND($R25&lt;&gt;"",EDATE($D25,Milestones!$AA$111)&gt;=$R25),$U25,$T25)))=Milestones!$AB$111),TEXT(EDATE($D25,Milestones!$AA$111),"dd/mm/yy")&amp;" "&amp;Milestones!$AB$111&amp;" "&amp;Milestones!$AC$111&amp;";  ","")&amp;IF(AND(EDATE($D25,Milestones!$AA$112)&lt;=AsOfDate,IF($Q25=0,$W25,IF(AND($S25&lt;&gt;"",EDATE($D25,Milestones!$AA$112)&gt;=$S25),$V25,IF(AND($R25&lt;&gt;"",EDATE($D25,Milestones!$AA$112)&gt;=$R25),$U25,$T25)))=Milestones!$AB$112),TEXT(EDATE($D25,Milestones!$AA$112),"dd/mm/yy")&amp;" "&amp;Milestones!$AB$112&amp;" "&amp;Milestones!$AC$112&amp;";  ","")&amp;IF(AND(EDATE($D25,Milestones!$AA$113)&lt;=AsOfDate,IF($Q25=0,$W25,IF(AND($S25&lt;&gt;"",EDATE($D25,Milestones!$AA$113)&gt;=$S25),$V25,IF(AND($R25&lt;&gt;"",EDATE($D25,Milestones!$AA$113)&gt;=$R25),$U25,$T25)))=Milestones!$AB$113),TEXT(EDATE($D25,Milestones!$AA$113),"dd/mm/yy")&amp;" "&amp;Milestones!$AB$113&amp;" "&amp;Milestones!$AC$113&amp;";  ","")&amp;IF(AND(EDATE($D25,Milestones!$AA$114)&lt;=AsOfDate,IF($Q25=0,$W25,IF(AND($S25&lt;&gt;"",EDATE($D25,Milestones!$AA$114)&gt;=$S25),$V25,IF(AND($R25&lt;&gt;"",EDATE($D25,Milestones!$AA$114)&gt;=$R25),$U25,$T25)))=Milestones!$AB$114),TEXT(EDATE($D25,Milestones!$AA$114),"dd/mm/yy")&amp;" "&amp;Milestones!$AB$114&amp;" "&amp;Milestones!$AC$114&amp;";  ","")&amp;IF(AND(EDATE($D25,Milestones!$AA$115)&lt;=AsOfDate,IF($Q25=0,$W25,IF(AND($S25&lt;&gt;"",EDATE($D25,Milestones!$AA$115)&gt;=$S25),$V25,IF(AND($R25&lt;&gt;"",EDATE($D25,Milestones!$AA$115)&gt;=$R25),$U25,$T25)))=Milestones!$AB$115),TEXT(EDATE($D25,Milestones!$AA$115),"dd/mm/yy")&amp;" "&amp;Milestones!$AB$115&amp;" "&amp;Milestones!$AC$115&amp;";  ","")&amp;IF(AND(EDATE($D25,Milestones!$AA$116)&lt;=AsOfDate,IF($Q25=0,$W25,IF(AND($S25&lt;&gt;"",EDATE($D25,Milestones!$AA$116)&gt;=$S25),$V25,IF(AND($R25&lt;&gt;"",EDATE($D25,Milestones!$AA$116)&gt;=$R25),$U25,$T25)))=Milestones!$AB$116),TEXT(EDATE($D25,Milestones!$AA$116),"dd/mm/yy")&amp;" "&amp;Milestones!$AB$116&amp;" "&amp;Milestones!$AC$116&amp;";  ","")&amp;IF(AND(EDATE($D25,Milestones!$AA$117)&lt;=AsOfDate,IF($Q25=0,$W25,IF(AND($S25&lt;&gt;"",EDATE($D25,Milestones!$AA$117)&gt;=$S25),$V25,IF(AND($R25&lt;&gt;"",EDATE($D25,Milestones!$AA$117)&gt;=$R25),$U25,$T25)))=Milestones!$AB$117),TEXT(EDATE($D25,Milestones!$AA$117),"dd/mm/yy")&amp;" "&amp;Milestones!$AB$117&amp;" "&amp;Milestones!$AC$117&amp;";  ","")&amp;IF(AND(EDATE($D25,Milestones!$AA$118)&lt;=AsOfDate,IF($Q25=0,$W25,IF(AND($S25&lt;&gt;"",EDATE($D25,Milestones!$AA$118)&gt;=$S25),$V25,IF(AND($R25&lt;&gt;"",EDATE($D25,Milestones!$AA$118)&gt;=$R25),$U25,$T25)))=Milestones!$AB$118),TEXT(EDATE($D25,Milestones!$AA$118),"dd/mm/yy")&amp;" "&amp;Milestones!$AB$118&amp;" "&amp;Milestones!$AC$118&amp;";  ","")&amp;IF(AND(EDATE($D25,Milestones!$AA$119)&lt;=AsOfDate,IF($Q25=0,$W25,IF(AND($S25&lt;&gt;"",EDATE($D25,Milestones!$AA$119)&gt;=$S25),$V25,IF(AND($R25&lt;&gt;"",EDATE($D25,Milestones!$AA$119)&gt;=$R25),$U25,$T25)))=Milestones!$AB$119),TEXT(EDATE($D25,Milestones!$AA$119),"dd/mm/yy")&amp;" "&amp;Milestones!$AB$119&amp;" "&amp;Milestones!$AC$119&amp;";  ",""))</f>
        <v/>
      </c>
      <c r="M25" s="0" t="str">
        <f aca="false">IF(OR($A25="",$D25=""),"",IF(AND(EDATE($D25,Milestones!$AA$120)&lt;=AsOfDate,IF($Q25=0,$W25,IF(AND($S25&lt;&gt;"",EDATE($D25,Milestones!$AA$120)&gt;=$S25),$V25,IF(AND($R25&lt;&gt;"",EDATE($D25,Milestones!$AA$120)&gt;=$R25),$U25,$T25)))=Milestones!$AB$120),TEXT(EDATE($D25,Milestones!$AA$120),"dd/mm/yy")&amp;" "&amp;Milestones!$AB$120&amp;" "&amp;Milestones!$AC$120&amp;";  ","")&amp;IF(AND(EDATE($D25,Milestones!$AA$121)&lt;=AsOfDate,IF($Q25=0,$W25,IF(AND($S25&lt;&gt;"",EDATE($D25,Milestones!$AA$121)&gt;=$S25),$V25,IF(AND($R25&lt;&gt;"",EDATE($D25,Milestones!$AA$121)&gt;=$R25),$U25,$T25)))=Milestones!$AB$121),TEXT(EDATE($D25,Milestones!$AA$121),"dd/mm/yy")&amp;" "&amp;Milestones!$AB$121&amp;" "&amp;Milestones!$AC$121&amp;";  ","")&amp;IF(AND(EDATE($D25,Milestones!$AA$122)&lt;=AsOfDate,IF($Q25=0,$W25,IF(AND($S25&lt;&gt;"",EDATE($D25,Milestones!$AA$122)&gt;=$S25),$V25,IF(AND($R25&lt;&gt;"",EDATE($D25,Milestones!$AA$122)&gt;=$R25),$U25,$T25)))=Milestones!$AB$122),TEXT(EDATE($D25,Milestones!$AA$122),"dd/mm/yy")&amp;" "&amp;Milestones!$AB$122&amp;" "&amp;Milestones!$AC$122&amp;";  ","")&amp;IF(AND(EDATE($D25,Milestones!$AA$123)&lt;=AsOfDate,IF($Q25=0,$W25,IF(AND($S25&lt;&gt;"",EDATE($D25,Milestones!$AA$123)&gt;=$S25),$V25,IF(AND($R25&lt;&gt;"",EDATE($D25,Milestones!$AA$123)&gt;=$R25),$U25,$T25)))=Milestones!$AB$123),TEXT(EDATE($D25,Milestones!$AA$123),"dd/mm/yy")&amp;" "&amp;Milestones!$AB$123&amp;" "&amp;Milestones!$AC$123&amp;";  ","")&amp;IF(AND(EDATE($D25,Milestones!$AA$124)&lt;=AsOfDate,IF($Q25=0,$W25,IF(AND($S25&lt;&gt;"",EDATE($D25,Milestones!$AA$124)&gt;=$S25),$V25,IF(AND($R25&lt;&gt;"",EDATE($D25,Milestones!$AA$124)&gt;=$R25),$U25,$T25)))=Milestones!$AB$124),TEXT(EDATE($D25,Milestones!$AA$124),"dd/mm/yy")&amp;" "&amp;Milestones!$AB$124&amp;" "&amp;Milestones!$AC$124&amp;";  ","")&amp;IF(AND(EDATE($D25,Milestones!$AA$125)&lt;=AsOfDate,IF($Q25=0,$W25,IF(AND($S25&lt;&gt;"",EDATE($D25,Milestones!$AA$125)&gt;=$S25),$V25,IF(AND($R25&lt;&gt;"",EDATE($D25,Milestones!$AA$125)&gt;=$R25),$U25,$T25)))=Milestones!$AB$125),TEXT(EDATE($D25,Milestones!$AA$125),"dd/mm/yy")&amp;" "&amp;Milestones!$AB$125&amp;" "&amp;Milestones!$AC$125&amp;";  ","")&amp;IF(AND(EDATE($D25,Milestones!$AA$126)&lt;=AsOfDate,IF($Q25=0,$W25,IF(AND($S25&lt;&gt;"",EDATE($D25,Milestones!$AA$126)&gt;=$S25),$V25,IF(AND($R25&lt;&gt;"",EDATE($D25,Milestones!$AA$126)&gt;=$R25),$U25,$T25)))=Milestones!$AB$126),TEXT(EDATE($D25,Milestones!$AA$126),"dd/mm/yy")&amp;" "&amp;Milestones!$AB$126&amp;" "&amp;Milestones!$AC$126&amp;";  ","")&amp;IF(AND(EDATE($D25,Milestones!$AA$127)&lt;=AsOfDate,IF($Q25=0,$W25,IF(AND($S25&lt;&gt;"",EDATE($D25,Milestones!$AA$127)&gt;=$S25),$V25,IF(AND($R25&lt;&gt;"",EDATE($D25,Milestones!$AA$127)&gt;=$R25),$U25,$T25)))=Milestones!$AB$127),TEXT(EDATE($D25,Milestones!$AA$127),"dd/mm/yy")&amp;" "&amp;Milestones!$AB$127&amp;" "&amp;Milestones!$AC$127&amp;";  ","")&amp;IF(AND(EDATE($D25,Milestones!$AA$128)&lt;=AsOfDate,IF($Q25=0,$W25,IF(AND($S25&lt;&gt;"",EDATE($D25,Milestones!$AA$128)&gt;=$S25),$V25,IF(AND($R25&lt;&gt;"",EDATE($D25,Milestones!$AA$128)&gt;=$R25),$U25,$T25)))=Milestones!$AB$128),TEXT(EDATE($D25,Milestones!$AA$128),"dd/mm/yy")&amp;" "&amp;Milestones!$AB$128&amp;" "&amp;Milestones!$AC$128&amp;";  ","")&amp;IF(AND(EDATE($D25,Milestones!$AA$129)&lt;=AsOfDate,IF($Q25=0,$W25,IF(AND($S25&lt;&gt;"",EDATE($D25,Milestones!$AA$129)&gt;=$S25),$V25,IF(AND($R25&lt;&gt;"",EDATE($D25,Milestones!$AA$129)&gt;=$R25),$U25,$T25)))=Milestones!$AB$129),TEXT(EDATE($D25,Milestones!$AA$129),"dd/mm/yy")&amp;" "&amp;Milestones!$AB$129&amp;" "&amp;Milestones!$AC$129&amp;";  ","")&amp;IF(AND(EDATE($D25,Milestones!$AA$130)&lt;=AsOfDate,IF($Q25=0,$W25,IF(AND($S25&lt;&gt;"",EDATE($D25,Milestones!$AA$130)&gt;=$S25),$V25,IF(AND($R25&lt;&gt;"",EDATE($D25,Milestones!$AA$130)&gt;=$R25),$U25,$T25)))=Milestones!$AB$130),TEXT(EDATE($D25,Milestones!$AA$130),"dd/mm/yy")&amp;" "&amp;Milestones!$AB$130&amp;" "&amp;Milestones!$AC$130&amp;";  ","")&amp;IF(AND(EDATE($D25,Milestones!$AA$131)&lt;=AsOfDate,IF($Q25=0,$W25,IF(AND($S25&lt;&gt;"",EDATE($D25,Milestones!$AA$131)&gt;=$S25),$V25,IF(AND($R25&lt;&gt;"",EDATE($D25,Milestones!$AA$131)&gt;=$R25),$U25,$T25)))=Milestones!$AB$131),TEXT(EDATE($D25,Milestones!$AA$131),"dd/mm/yy")&amp;" "&amp;Milestones!$AB$131&amp;" "&amp;Milestones!$AC$131&amp;";  ","")&amp;IF(AND(EDATE($D25,Milestones!$AA$132)&lt;=AsOfDate,IF($Q25=0,$W25,IF(AND($S25&lt;&gt;"",EDATE($D25,Milestones!$AA$132)&gt;=$S25),$V25,IF(AND($R25&lt;&gt;"",EDATE($D25,Milestones!$AA$132)&gt;=$R25),$U25,$T25)))=Milestones!$AB$132),TEXT(EDATE($D25,Milestones!$AA$132),"dd/mm/yy")&amp;" "&amp;Milestones!$AB$132&amp;" "&amp;Milestones!$AC$132&amp;";  ","")&amp;IF(AND(EDATE($D25,Milestones!$AA$133)&lt;=AsOfDate,IF($Q25=0,$W25,IF(AND($S25&lt;&gt;"",EDATE($D25,Milestones!$AA$133)&gt;=$S25),$V25,IF(AND($R25&lt;&gt;"",EDATE($D25,Milestones!$AA$133)&gt;=$R25),$U25,$T25)))=Milestones!$AB$133),TEXT(EDATE($D25,Milestones!$AA$133),"dd/mm/yy")&amp;" "&amp;Milestones!$AB$133&amp;" "&amp;Milestones!$AC$133&amp;";  ","")&amp;IF(AND(EDATE($D25,Milestones!$AA$134)&lt;=AsOfDate,IF($Q25=0,$W25,IF(AND($S25&lt;&gt;"",EDATE($D25,Milestones!$AA$134)&gt;=$S25),$V25,IF(AND($R25&lt;&gt;"",EDATE($D25,Milestones!$AA$134)&gt;=$R25),$U25,$T25)))=Milestones!$AB$134),TEXT(EDATE($D25,Milestones!$AA$134),"dd/mm/yy")&amp;" "&amp;Milestones!$AB$134&amp;" "&amp;Milestones!$AC$134&amp;";  ","")&amp;IF(AND(EDATE($D25,Milestones!$AA$135)&lt;=AsOfDate,IF($Q25=0,$W25,IF(AND($S25&lt;&gt;"",EDATE($D25,Milestones!$AA$135)&gt;=$S25),$V25,IF(AND($R25&lt;&gt;"",EDATE($D25,Milestones!$AA$135)&gt;=$R25),$U25,$T25)))=Milestones!$AB$135),TEXT(EDATE($D25,Milestones!$AA$135),"dd/mm/yy")&amp;" "&amp;Milestones!$AB$135&amp;" "&amp;Milestones!$AC$135&amp;";  ","")&amp;IF(AND(EDATE($D25,Milestones!$AA$136)&lt;=AsOfDate,IF($Q25=0,$W25,IF(AND($S25&lt;&gt;"",EDATE($D25,Milestones!$AA$136)&gt;=$S25),$V25,IF(AND($R25&lt;&gt;"",EDATE($D25,Milestones!$AA$136)&gt;=$R25),$U25,$T25)))=Milestones!$AB$136),TEXT(EDATE($D25,Milestones!$AA$136),"dd/mm/yy")&amp;" "&amp;Milestones!$AB$136&amp;" "&amp;Milestones!$AC$136&amp;";  ","")&amp;IF(AND(EDATE($D25,Milestones!$AA$137)&lt;=AsOfDate,IF($Q25=0,$W25,IF(AND($S25&lt;&gt;"",EDATE($D25,Milestones!$AA$137)&gt;=$S25),$V25,IF(AND($R25&lt;&gt;"",EDATE($D25,Milestones!$AA$137)&gt;=$R25),$U25,$T25)))=Milestones!$AB$137),TEXT(EDATE($D25,Milestones!$AA$137),"dd/mm/yy")&amp;" "&amp;Milestones!$AB$137&amp;" "&amp;Milestones!$AC$137&amp;";  ","")&amp;IF(AND(EDATE($D25,Milestones!$AA$138)&lt;=AsOfDate,IF($Q25=0,$W25,IF(AND($S25&lt;&gt;"",EDATE($D25,Milestones!$AA$138)&gt;=$S25),$V25,IF(AND($R25&lt;&gt;"",EDATE($D25,Milestones!$AA$138)&gt;=$R25),$U25,$T25)))=Milestones!$AB$138),TEXT(EDATE($D25,Milestones!$AA$138),"dd/mm/yy")&amp;" "&amp;Milestones!$AB$138&amp;" "&amp;Milestones!$AC$138&amp;";  ","")&amp;IF(AND(EDATE($D25,Milestones!$AA$139)&lt;=AsOfDate,IF($Q25=0,$W25,IF(AND($S25&lt;&gt;"",EDATE($D25,Milestones!$AA$139)&gt;=$S25),$V25,IF(AND($R25&lt;&gt;"",EDATE($D25,Milestones!$AA$139)&gt;=$R25),$U25,$T25)))=Milestones!$AB$139),TEXT(EDATE($D25,Milestones!$AA$139),"dd/mm/yy")&amp;" "&amp;Milestones!$AB$139&amp;" "&amp;Milestones!$AC$139&amp;";  ",""))</f>
        <v/>
      </c>
      <c r="N25" s="0" t="str">
        <f aca="false">IF(OR($A25="",$D25=""),"",IF(AND(EDATE($D25,Milestones!$AA$140)&lt;=AsOfDate,IF($Q25=0,$W25,IF(AND($S25&lt;&gt;"",EDATE($D25,Milestones!$AA$140)&gt;=$S25),$V25,IF(AND($R25&lt;&gt;"",EDATE($D25,Milestones!$AA$140)&gt;=$R25),$U25,$T25)))=Milestones!$AB$140),TEXT(EDATE($D25,Milestones!$AA$140),"dd/mm/yy")&amp;" "&amp;Milestones!$AB$140&amp;" "&amp;Milestones!$AC$140&amp;";  ","")&amp;IF(AND(EDATE($D25,Milestones!$AA$141)&lt;=AsOfDate,IF($Q25=0,$W25,IF(AND($S25&lt;&gt;"",EDATE($D25,Milestones!$AA$141)&gt;=$S25),$V25,IF(AND($R25&lt;&gt;"",EDATE($D25,Milestones!$AA$141)&gt;=$R25),$U25,$T25)))=Milestones!$AB$141),TEXT(EDATE($D25,Milestones!$AA$141),"dd/mm/yy")&amp;" "&amp;Milestones!$AB$141&amp;" "&amp;Milestones!$AC$141&amp;";  ","")&amp;IF(AND(EDATE($D25,Milestones!$AA$142)&lt;=AsOfDate,IF($Q25=0,$W25,IF(AND($S25&lt;&gt;"",EDATE($D25,Milestones!$AA$142)&gt;=$S25),$V25,IF(AND($R25&lt;&gt;"",EDATE($D25,Milestones!$AA$142)&gt;=$R25),$U25,$T25)))=Milestones!$AB$142),TEXT(EDATE($D25,Milestones!$AA$142),"dd/mm/yy")&amp;" "&amp;Milestones!$AB$142&amp;" "&amp;Milestones!$AC$142&amp;";  ","")&amp;IF(AND(EDATE($D25,Milestones!$AA$143)&lt;=AsOfDate,IF($Q25=0,$W25,IF(AND($S25&lt;&gt;"",EDATE($D25,Milestones!$AA$143)&gt;=$S25),$V25,IF(AND($R25&lt;&gt;"",EDATE($D25,Milestones!$AA$143)&gt;=$R25),$U25,$T25)))=Milestones!$AB$143),TEXT(EDATE($D25,Milestones!$AA$143),"dd/mm/yy")&amp;" "&amp;Milestones!$AB$143&amp;" "&amp;Milestones!$AC$143&amp;";  ","")&amp;IF(AND(EDATE($D25,Milestones!$AA$144)&lt;=AsOfDate,IF($Q25=0,$W25,IF(AND($S25&lt;&gt;"",EDATE($D25,Milestones!$AA$144)&gt;=$S25),$V25,IF(AND($R25&lt;&gt;"",EDATE($D25,Milestones!$AA$144)&gt;=$R25),$U25,$T25)))=Milestones!$AB$144),TEXT(EDATE($D25,Milestones!$AA$144),"dd/mm/yy")&amp;" "&amp;Milestones!$AB$144&amp;" "&amp;Milestones!$AC$144&amp;";  ","")&amp;IF(AND(EDATE($D25,Milestones!$AA$145)&lt;=AsOfDate,IF($Q25=0,$W25,IF(AND($S25&lt;&gt;"",EDATE($D25,Milestones!$AA$145)&gt;=$S25),$V25,IF(AND($R25&lt;&gt;"",EDATE($D25,Milestones!$AA$145)&gt;=$R25),$U25,$T25)))=Milestones!$AB$145),TEXT(EDATE($D25,Milestones!$AA$145),"dd/mm/yy")&amp;" "&amp;Milestones!$AB$145&amp;" "&amp;Milestones!$AC$145&amp;";  ","")&amp;IF(AND(EDATE($D25,Milestones!$AA$146)&lt;=AsOfDate,IF($Q25=0,$W25,IF(AND($S25&lt;&gt;"",EDATE($D25,Milestones!$AA$146)&gt;=$S25),$V25,IF(AND($R25&lt;&gt;"",EDATE($D25,Milestones!$AA$146)&gt;=$R25),$U25,$T25)))=Milestones!$AB$146),TEXT(EDATE($D25,Milestones!$AA$146),"dd/mm/yy")&amp;" "&amp;Milestones!$AB$146&amp;" "&amp;Milestones!$AC$146&amp;";  ","")&amp;IF(AND(EDATE($D25,Milestones!$AA$147)&lt;=AsOfDate,IF($Q25=0,$W25,IF(AND($S25&lt;&gt;"",EDATE($D25,Milestones!$AA$147)&gt;=$S25),$V25,IF(AND($R25&lt;&gt;"",EDATE($D25,Milestones!$AA$147)&gt;=$R25),$U25,$T25)))=Milestones!$AB$147),TEXT(EDATE($D25,Milestones!$AA$147),"dd/mm/yy")&amp;" "&amp;Milestones!$AB$147&amp;" "&amp;Milestones!$AC$147&amp;";  ","")&amp;IF(AND(EDATE($D25,Milestones!$AA$148)&lt;=AsOfDate,IF($Q25=0,$W25,IF(AND($S25&lt;&gt;"",EDATE($D25,Milestones!$AA$148)&gt;=$S25),$V25,IF(AND($R25&lt;&gt;"",EDATE($D25,Milestones!$AA$148)&gt;=$R25),$U25,$T25)))=Milestones!$AB$148),TEXT(EDATE($D25,Milestones!$AA$148),"dd/mm/yy")&amp;" "&amp;Milestones!$AB$148&amp;" "&amp;Milestones!$AC$148&amp;";  ","")&amp;IF(AND(EDATE($D25,Milestones!$AA$149)&lt;=AsOfDate,IF($Q25=0,$W25,IF(AND($S25&lt;&gt;"",EDATE($D25,Milestones!$AA$149)&gt;=$S25),$V25,IF(AND($R25&lt;&gt;"",EDATE($D25,Milestones!$AA$149)&gt;=$R25),$U25,$T25)))=Milestones!$AB$149),TEXT(EDATE($D25,Milestones!$AA$149),"dd/mm/yy")&amp;" "&amp;Milestones!$AB$149&amp;" "&amp;Milestones!$AC$149&amp;";  ","")&amp;IF(AND(EDATE($D25,Milestones!$AA$150)&lt;=AsOfDate,IF($Q25=0,$W25,IF(AND($S25&lt;&gt;"",EDATE($D25,Milestones!$AA$150)&gt;=$S25),$V25,IF(AND($R25&lt;&gt;"",EDATE($D25,Milestones!$AA$150)&gt;=$R25),$U25,$T25)))=Milestones!$AB$150),TEXT(EDATE($D25,Milestones!$AA$150),"dd/mm/yy")&amp;" "&amp;Milestones!$AB$150&amp;" "&amp;Milestones!$AC$150&amp;";  ","")&amp;IF(AND(EDATE($D25,Milestones!$AA$151)&lt;=AsOfDate,IF($Q25=0,$W25,IF(AND($S25&lt;&gt;"",EDATE($D25,Milestones!$AA$151)&gt;=$S25),$V25,IF(AND($R25&lt;&gt;"",EDATE($D25,Milestones!$AA$151)&gt;=$R25),$U25,$T25)))=Milestones!$AB$151),TEXT(EDATE($D25,Milestones!$AA$151),"dd/mm/yy")&amp;" "&amp;Milestones!$AB$151&amp;" "&amp;Milestones!$AC$151&amp;";  ","")&amp;IF(AND(EDATE($D25,Milestones!$AA$152)&lt;=AsOfDate,IF($Q25=0,$W25,IF(AND($S25&lt;&gt;"",EDATE($D25,Milestones!$AA$152)&gt;=$S25),$V25,IF(AND($R25&lt;&gt;"",EDATE($D25,Milestones!$AA$152)&gt;=$R25),$U25,$T25)))=Milestones!$AB$152),TEXT(EDATE($D25,Milestones!$AA$152),"dd/mm/yy")&amp;" "&amp;Milestones!$AB$152&amp;" "&amp;Milestones!$AC$152&amp;";  ","")&amp;IF(AND(EDATE($D25,Milestones!$AA$153)&lt;=AsOfDate,IF($Q25=0,$W25,IF(AND($S25&lt;&gt;"",EDATE($D25,Milestones!$AA$153)&gt;=$S25),$V25,IF(AND($R25&lt;&gt;"",EDATE($D25,Milestones!$AA$153)&gt;=$R25),$U25,$T25)))=Milestones!$AB$153),TEXT(EDATE($D25,Milestones!$AA$153),"dd/mm/yy")&amp;" "&amp;Milestones!$AB$153&amp;" "&amp;Milestones!$AC$153&amp;";  ","")&amp;IF(AND(EDATE($D25,Milestones!$AA$154)&lt;=AsOfDate,IF($Q25=0,$W25,IF(AND($S25&lt;&gt;"",EDATE($D25,Milestones!$AA$154)&gt;=$S25),$V25,IF(AND($R25&lt;&gt;"",EDATE($D25,Milestones!$AA$154)&gt;=$R25),$U25,$T25)))=Milestones!$AB$154),TEXT(EDATE($D25,Milestones!$AA$154),"dd/mm/yy")&amp;" "&amp;Milestones!$AB$154&amp;" "&amp;Milestones!$AC$154&amp;";  ","")&amp;IF(AND(EDATE($D25,Milestones!$AA$155)&lt;=AsOfDate,IF($Q25=0,$W25,IF(AND($S25&lt;&gt;"",EDATE($D25,Milestones!$AA$155)&gt;=$S25),$V25,IF(AND($R25&lt;&gt;"",EDATE($D25,Milestones!$AA$155)&gt;=$R25),$U25,$T25)))=Milestones!$AB$155),TEXT(EDATE($D25,Milestones!$AA$155),"dd/mm/yy")&amp;" "&amp;Milestones!$AB$155&amp;" "&amp;Milestones!$AC$155&amp;";  ","")&amp;IF(AND(EDATE($D25,Milestones!$AA$156)&lt;=AsOfDate,IF($Q25=0,$W25,IF(AND($S25&lt;&gt;"",EDATE($D25,Milestones!$AA$156)&gt;=$S25),$V25,IF(AND($R25&lt;&gt;"",EDATE($D25,Milestones!$AA$156)&gt;=$R25),$U25,$T25)))=Milestones!$AB$156),TEXT(EDATE($D25,Milestones!$AA$156),"dd/mm/yy")&amp;" "&amp;Milestones!$AB$156&amp;" "&amp;Milestones!$AC$156&amp;";  ","")&amp;IF(AND(EDATE($D25,Milestones!$AA$157)&lt;=AsOfDate,IF($Q25=0,$W25,IF(AND($S25&lt;&gt;"",EDATE($D25,Milestones!$AA$157)&gt;=$S25),$V25,IF(AND($R25&lt;&gt;"",EDATE($D25,Milestones!$AA$157)&gt;=$R25),$U25,$T25)))=Milestones!$AB$157),TEXT(EDATE($D25,Milestones!$AA$157),"dd/mm/yy")&amp;" "&amp;Milestones!$AB$157&amp;" "&amp;Milestones!$AC$157&amp;";  ","")&amp;IF(AND(EDATE($D25,Milestones!$AA$158)&lt;=AsOfDate,IF($Q25=0,$W25,IF(AND($S25&lt;&gt;"",EDATE($D25,Milestones!$AA$158)&gt;=$S25),$V25,IF(AND($R25&lt;&gt;"",EDATE($D25,Milestones!$AA$158)&gt;=$R25),$U25,$T25)))=Milestones!$AB$158),TEXT(EDATE($D25,Milestones!$AA$158),"dd/mm/yy")&amp;" "&amp;Milestones!$AB$158&amp;" "&amp;Milestones!$AC$158&amp;";  ","")&amp;IF(AND(EDATE($D25,Milestones!$AA$159)&lt;=AsOfDate,IF($Q25=0,$W25,IF(AND($S25&lt;&gt;"",EDATE($D25,Milestones!$AA$159)&gt;=$S25),$V25,IF(AND($R25&lt;&gt;"",EDATE($D25,Milestones!$AA$159)&gt;=$R25),$U25,$T25)))=Milestones!$AB$159),TEXT(EDATE($D25,Milestones!$AA$159),"dd/mm/yy")&amp;" "&amp;Milestones!$AB$159&amp;" "&amp;Milestones!$AC$159&amp;";  ",""))</f>
        <v/>
      </c>
      <c r="O25" s="0" t="str">
        <f aca="false">IF(OR($A25="",$D25=""),"",IF(AND(EDATE($D25,Milestones!$AA$160)&lt;=AsOfDate,IF($Q25=0,$W25,IF(AND($S25&lt;&gt;"",EDATE($D25,Milestones!$AA$160)&gt;=$S25),$V25,IF(AND($R25&lt;&gt;"",EDATE($D25,Milestones!$AA$160)&gt;=$R25),$U25,$T25)))=Milestones!$AB$160),TEXT(EDATE($D25,Milestones!$AA$160),"dd/mm/yy")&amp;" "&amp;Milestones!$AB$160&amp;" "&amp;Milestones!$AC$160&amp;";  ","")&amp;IF(AND(EDATE($D25,Milestones!$AA$161)&lt;=AsOfDate,IF($Q25=0,$W25,IF(AND($S25&lt;&gt;"",EDATE($D25,Milestones!$AA$161)&gt;=$S25),$V25,IF(AND($R25&lt;&gt;"",EDATE($D25,Milestones!$AA$161)&gt;=$R25),$U25,$T25)))=Milestones!$AB$161),TEXT(EDATE($D25,Milestones!$AA$161),"dd/mm/yy")&amp;" "&amp;Milestones!$AB$161&amp;" "&amp;Milestones!$AC$161&amp;";  ","")&amp;IF(AND(EDATE($D25,Milestones!$AA$162)&lt;=AsOfDate,IF($Q25=0,$W25,IF(AND($S25&lt;&gt;"",EDATE($D25,Milestones!$AA$162)&gt;=$S25),$V25,IF(AND($R25&lt;&gt;"",EDATE($D25,Milestones!$AA$162)&gt;=$R25),$U25,$T25)))=Milestones!$AB$162),TEXT(EDATE($D25,Milestones!$AA$162),"dd/mm/yy")&amp;" "&amp;Milestones!$AB$162&amp;" "&amp;Milestones!$AC$162&amp;";  ","")&amp;IF(AND(EDATE($D25,Milestones!$AA$163)&lt;=AsOfDate,IF($Q25=0,$W25,IF(AND($S25&lt;&gt;"",EDATE($D25,Milestones!$AA$163)&gt;=$S25),$V25,IF(AND($R25&lt;&gt;"",EDATE($D25,Milestones!$AA$163)&gt;=$R25),$U25,$T25)))=Milestones!$AB$163),TEXT(EDATE($D25,Milestones!$AA$163),"dd/mm/yy")&amp;" "&amp;Milestones!$AB$163&amp;" "&amp;Milestones!$AC$163&amp;";  ","")&amp;IF(AND(EDATE($D25,Milestones!$AA$164)&lt;=AsOfDate,IF($Q25=0,$W25,IF(AND($S25&lt;&gt;"",EDATE($D25,Milestones!$AA$164)&gt;=$S25),$V25,IF(AND($R25&lt;&gt;"",EDATE($D25,Milestones!$AA$164)&gt;=$R25),$U25,$T25)))=Milestones!$AB$164),TEXT(EDATE($D25,Milestones!$AA$164),"dd/mm/yy")&amp;" "&amp;Milestones!$AB$164&amp;" "&amp;Milestones!$AC$164&amp;";  ","")&amp;IF(AND(EDATE($D25,Milestones!$AA$165)&lt;=AsOfDate,IF($Q25=0,$W25,IF(AND($S25&lt;&gt;"",EDATE($D25,Milestones!$AA$165)&gt;=$S25),$V25,IF(AND($R25&lt;&gt;"",EDATE($D25,Milestones!$AA$165)&gt;=$R25),$U25,$T25)))=Milestones!$AB$165),TEXT(EDATE($D25,Milestones!$AA$165),"dd/mm/yy")&amp;" "&amp;Milestones!$AB$165&amp;" "&amp;Milestones!$AC$165&amp;";  ","")&amp;IF(AND(EDATE($D25,Milestones!$AA$166)&lt;=AsOfDate,IF($Q25=0,$W25,IF(AND($S25&lt;&gt;"",EDATE($D25,Milestones!$AA$166)&gt;=$S25),$V25,IF(AND($R25&lt;&gt;"",EDATE($D25,Milestones!$AA$166)&gt;=$R25),$U25,$T25)))=Milestones!$AB$166),TEXT(EDATE($D25,Milestones!$AA$166),"dd/mm/yy")&amp;" "&amp;Milestones!$AB$166&amp;" "&amp;Milestones!$AC$166&amp;";  ","")&amp;IF(AND(EDATE($D25,Milestones!$AA$167)&lt;=AsOfDate,IF($Q25=0,$W25,IF(AND($S25&lt;&gt;"",EDATE($D25,Milestones!$AA$167)&gt;=$S25),$V25,IF(AND($R25&lt;&gt;"",EDATE($D25,Milestones!$AA$167)&gt;=$R25),$U25,$T25)))=Milestones!$AB$167),TEXT(EDATE($D25,Milestones!$AA$167),"dd/mm/yy")&amp;" "&amp;Milestones!$AB$167&amp;" "&amp;Milestones!$AC$167&amp;";  ","")&amp;IF(AND(EDATE($D25,Milestones!$AA$168)&lt;=AsOfDate,IF($Q25=0,$W25,IF(AND($S25&lt;&gt;"",EDATE($D25,Milestones!$AA$168)&gt;=$S25),$V25,IF(AND($R25&lt;&gt;"",EDATE($D25,Milestones!$AA$168)&gt;=$R25),$U25,$T25)))=Milestones!$AB$168),TEXT(EDATE($D25,Milestones!$AA$168),"dd/mm/yy")&amp;" "&amp;Milestones!$AB$168&amp;" "&amp;Milestones!$AC$168&amp;";  ","")&amp;IF(AND(EDATE($D25,Milestones!$AA$169)&lt;=AsOfDate,IF($Q25=0,$W25,IF(AND($S25&lt;&gt;"",EDATE($D25,Milestones!$AA$169)&gt;=$S25),$V25,IF(AND($R25&lt;&gt;"",EDATE($D25,Milestones!$AA$169)&gt;=$R25),$U25,$T25)))=Milestones!$AB$169),TEXT(EDATE($D25,Milestones!$AA$169),"dd/mm/yy")&amp;" "&amp;Milestones!$AB$169&amp;" "&amp;Milestones!$AC$169&amp;";  ","")&amp;IF(AND(EDATE($D25,Milestones!$AA$170)&lt;=AsOfDate,IF($Q25=0,$W25,IF(AND($S25&lt;&gt;"",EDATE($D25,Milestones!$AA$170)&gt;=$S25),$V25,IF(AND($R25&lt;&gt;"",EDATE($D25,Milestones!$AA$170)&gt;=$R25),$U25,$T25)))=Milestones!$AB$170),TEXT(EDATE($D25,Milestones!$AA$170),"dd/mm/yy")&amp;" "&amp;Milestones!$AB$170&amp;" "&amp;Milestones!$AC$170&amp;";  ","")&amp;IF(AND(EDATE($D25,Milestones!$AA$171)&lt;=AsOfDate,IF($Q25=0,$W25,IF(AND($S25&lt;&gt;"",EDATE($D25,Milestones!$AA$171)&gt;=$S25),$V25,IF(AND($R25&lt;&gt;"",EDATE($D25,Milestones!$AA$171)&gt;=$R25),$U25,$T25)))=Milestones!$AB$171),TEXT(EDATE($D25,Milestones!$AA$171),"dd/mm/yy")&amp;" "&amp;Milestones!$AB$171&amp;" "&amp;Milestones!$AC$171&amp;";  ","")&amp;IF(AND(EDATE($D25,Milestones!$AA$172)&lt;=AsOfDate,IF($Q25=0,$W25,IF(AND($S25&lt;&gt;"",EDATE($D25,Milestones!$AA$172)&gt;=$S25),$V25,IF(AND($R25&lt;&gt;"",EDATE($D25,Milestones!$AA$172)&gt;=$R25),$U25,$T25)))=Milestones!$AB$172),TEXT(EDATE($D25,Milestones!$AA$172),"dd/mm/yy")&amp;" "&amp;Milestones!$AB$172&amp;" "&amp;Milestones!$AC$172&amp;";  ","")&amp;IF(AND(EDATE($D25,Milestones!$AA$173)&lt;=AsOfDate,IF($Q25=0,$W25,IF(AND($S25&lt;&gt;"",EDATE($D25,Milestones!$AA$173)&gt;=$S25),$V25,IF(AND($R25&lt;&gt;"",EDATE($D25,Milestones!$AA$173)&gt;=$R25),$U25,$T25)))=Milestones!$AB$173),TEXT(EDATE($D25,Milestones!$AA$173),"dd/mm/yy")&amp;" "&amp;Milestones!$AB$173&amp;" "&amp;Milestones!$AC$173&amp;";  ","")&amp;IF(AND(EDATE($D25,Milestones!$AA$174)&lt;=AsOfDate,IF($Q25=0,$W25,IF(AND($S25&lt;&gt;"",EDATE($D25,Milestones!$AA$174)&gt;=$S25),$V25,IF(AND($R25&lt;&gt;"",EDATE($D25,Milestones!$AA$174)&gt;=$R25),$U25,$T25)))=Milestones!$AB$174),TEXT(EDATE($D25,Milestones!$AA$174),"dd/mm/yy")&amp;" "&amp;Milestones!$AB$174&amp;" "&amp;Milestones!$AC$174&amp;";  ","")&amp;IF(AND(EDATE($D25,Milestones!$AA$175)&lt;=AsOfDate,IF($Q25=0,$W25,IF(AND($S25&lt;&gt;"",EDATE($D25,Milestones!$AA$175)&gt;=$S25),$V25,IF(AND($R25&lt;&gt;"",EDATE($D25,Milestones!$AA$175)&gt;=$R25),$U25,$T25)))=Milestones!$AB$175),TEXT(EDATE($D25,Milestones!$AA$175),"dd/mm/yy")&amp;" "&amp;Milestones!$AB$175&amp;" "&amp;Milestones!$AC$175&amp;";  ","")&amp;IF(AND(EDATE($D25,Milestones!$AA$176)&lt;=AsOfDate,IF($Q25=0,$W25,IF(AND($S25&lt;&gt;"",EDATE($D25,Milestones!$AA$176)&gt;=$S25),$V25,IF(AND($R25&lt;&gt;"",EDATE($D25,Milestones!$AA$176)&gt;=$R25),$U25,$T25)))=Milestones!$AB$176),TEXT(EDATE($D25,Milestones!$AA$176),"dd/mm/yy")&amp;" "&amp;Milestones!$AB$176&amp;" "&amp;Milestones!$AC$176&amp;";  ","")&amp;IF(AND(EDATE($D25,Milestones!$AA$177)&lt;=AsOfDate,IF($Q25=0,$W25,IF(AND($S25&lt;&gt;"",EDATE($D25,Milestones!$AA$177)&gt;=$S25),$V25,IF(AND($R25&lt;&gt;"",EDATE($D25,Milestones!$AA$177)&gt;=$R25),$U25,$T25)))=Milestones!$AB$177),TEXT(EDATE($D25,Milestones!$AA$177),"dd/mm/yy")&amp;" "&amp;Milestones!$AB$177&amp;" "&amp;Milestones!$AC$177&amp;";  ","")&amp;IF(AND(EDATE($D25,Milestones!$AA$178)&lt;=AsOfDate,IF($Q25=0,$W25,IF(AND($S25&lt;&gt;"",EDATE($D25,Milestones!$AA$178)&gt;=$S25),$V25,IF(AND($R25&lt;&gt;"",EDATE($D25,Milestones!$AA$178)&gt;=$R25),$U25,$T25)))=Milestones!$AB$178),TEXT(EDATE($D25,Milestones!$AA$178),"dd/mm/yy")&amp;" "&amp;Milestones!$AB$178&amp;" "&amp;Milestones!$AC$178&amp;";  ","")&amp;IF(AND(EDATE($D25,Milestones!$AA$179)&lt;=AsOfDate,IF($Q25=0,$W25,IF(AND($S25&lt;&gt;"",EDATE($D25,Milestones!$AA$179)&gt;=$S25),$V25,IF(AND($R25&lt;&gt;"",EDATE($D25,Milestones!$AA$179)&gt;=$R25),$U25,$T25)))=Milestones!$AB$179),TEXT(EDATE($D25,Milestones!$AA$179),"dd/mm/yy")&amp;" "&amp;Milestones!$AB$179&amp;" "&amp;Milestones!$AC$179&amp;";  ",""))</f>
        <v/>
      </c>
      <c r="P25" s="0" t="str">
        <f aca="false">IF(OR($A25="",$D25=""),"",IF(AND(EDATE($D25,Milestones!$AA$180)&lt;=AsOfDate,IF($Q25=0,$W25,IF(AND($S25&lt;&gt;"",EDATE($D25,Milestones!$AA$180)&gt;=$S25),$V25,IF(AND($R25&lt;&gt;"",EDATE($D25,Milestones!$AA$180)&gt;=$R25),$U25,$T25)))=Milestones!$AB$180),TEXT(EDATE($D25,Milestones!$AA$180),"dd/mm/yy")&amp;" "&amp;Milestones!$AB$180&amp;" "&amp;Milestones!$AC$180&amp;";  ","")&amp;IF(AND(EDATE($D25,Milestones!$AA$181)&lt;=AsOfDate,IF($Q25=0,$W25,IF(AND($S25&lt;&gt;"",EDATE($D25,Milestones!$AA$181)&gt;=$S25),$V25,IF(AND($R25&lt;&gt;"",EDATE($D25,Milestones!$AA$181)&gt;=$R25),$U25,$T25)))=Milestones!$AB$181),TEXT(EDATE($D25,Milestones!$AA$181),"dd/mm/yy")&amp;" "&amp;Milestones!$AB$181&amp;" "&amp;Milestones!$AC$181&amp;";  ","")&amp;IF(AND(EDATE($D25,Milestones!$AA$182)&lt;=AsOfDate,IF($Q25=0,$W25,IF(AND($S25&lt;&gt;"",EDATE($D25,Milestones!$AA$182)&gt;=$S25),$V25,IF(AND($R25&lt;&gt;"",EDATE($D25,Milestones!$AA$182)&gt;=$R25),$U25,$T25)))=Milestones!$AB$182),TEXT(EDATE($D25,Milestones!$AA$182),"dd/mm/yy")&amp;" "&amp;Milestones!$AB$182&amp;" "&amp;Milestones!$AC$182&amp;";  ","")&amp;IF(AND(EDATE($D25,Milestones!$AA$183)&lt;=AsOfDate,IF($Q25=0,$W25,IF(AND($S25&lt;&gt;"",EDATE($D25,Milestones!$AA$183)&gt;=$S25),$V25,IF(AND($R25&lt;&gt;"",EDATE($D25,Milestones!$AA$183)&gt;=$R25),$U25,$T25)))=Milestones!$AB$183),TEXT(EDATE($D25,Milestones!$AA$183),"dd/mm/yy")&amp;" "&amp;Milestones!$AB$183&amp;" "&amp;Milestones!$AC$183&amp;";  ","")&amp;IF(AND(EDATE($D25,Milestones!$AA$184)&lt;=AsOfDate,IF($Q25=0,$W25,IF(AND($S25&lt;&gt;"",EDATE($D25,Milestones!$AA$184)&gt;=$S25),$V25,IF(AND($R25&lt;&gt;"",EDATE($D25,Milestones!$AA$184)&gt;=$R25),$U25,$T25)))=Milestones!$AB$184),TEXT(EDATE($D25,Milestones!$AA$184),"dd/mm/yy")&amp;" "&amp;Milestones!$AB$184&amp;" "&amp;Milestones!$AC$184&amp;";  ","")&amp;IF(AND(EDATE($D25,Milestones!$AA$185)&lt;=AsOfDate,IF($Q25=0,$W25,IF(AND($S25&lt;&gt;"",EDATE($D25,Milestones!$AA$185)&gt;=$S25),$V25,IF(AND($R25&lt;&gt;"",EDATE($D25,Milestones!$AA$185)&gt;=$R25),$U25,$T25)))=Milestones!$AB$185),TEXT(EDATE($D25,Milestones!$AA$185),"dd/mm/yy")&amp;" "&amp;Milestones!$AB$185&amp;" "&amp;Milestones!$AC$185&amp;";  ","")&amp;IF(AND(EDATE($D25,Milestones!$AA$186)&lt;=AsOfDate,IF($Q25=0,$W25,IF(AND($S25&lt;&gt;"",EDATE($D25,Milestones!$AA$186)&gt;=$S25),$V25,IF(AND($R25&lt;&gt;"",EDATE($D25,Milestones!$AA$186)&gt;=$R25),$U25,$T25)))=Milestones!$AB$186),TEXT(EDATE($D25,Milestones!$AA$186),"dd/mm/yy")&amp;" "&amp;Milestones!$AB$186&amp;" "&amp;Milestones!$AC$186&amp;";  ","")&amp;IF(AND(EDATE($D25,Milestones!$AA$187)&lt;=AsOfDate,IF($Q25=0,$W25,IF(AND($S25&lt;&gt;"",EDATE($D25,Milestones!$AA$187)&gt;=$S25),$V25,IF(AND($R25&lt;&gt;"",EDATE($D25,Milestones!$AA$187)&gt;=$R25),$U25,$T25)))=Milestones!$AB$187),TEXT(EDATE($D25,Milestones!$AA$187),"dd/mm/yy")&amp;" "&amp;Milestones!$AB$187&amp;" "&amp;Milestones!$AC$187&amp;";  ","")&amp;IF(AND(EDATE($D25,Milestones!$AA$188)&lt;=AsOfDate,IF($Q25=0,$W25,IF(AND($S25&lt;&gt;"",EDATE($D25,Milestones!$AA$188)&gt;=$S25),$V25,IF(AND($R25&lt;&gt;"",EDATE($D25,Milestones!$AA$188)&gt;=$R25),$U25,$T25)))=Milestones!$AB$188),TEXT(EDATE($D25,Milestones!$AA$188),"dd/mm/yy")&amp;" "&amp;Milestones!$AB$188&amp;" "&amp;Milestones!$AC$188&amp;";  ","")&amp;IF(AND(EDATE($D25,Milestones!$AA$189)&lt;=AsOfDate,IF($Q25=0,$W25,IF(AND($S25&lt;&gt;"",EDATE($D25,Milestones!$AA$189)&gt;=$S25),$V25,IF(AND($R25&lt;&gt;"",EDATE($D25,Milestones!$AA$189)&gt;=$R25),$U25,$T25)))=Milestones!$AB$189),TEXT(EDATE($D25,Milestones!$AA$189),"dd/mm/yy")&amp;" "&amp;Milestones!$AB$189&amp;" "&amp;Milestones!$AC$189&amp;";  ","")&amp;IF(AND(EDATE($D25,Milestones!$AA$190)&lt;=AsOfDate,IF($Q25=0,$W25,IF(AND($S25&lt;&gt;"",EDATE($D25,Milestones!$AA$190)&gt;=$S25),$V25,IF(AND($R25&lt;&gt;"",EDATE($D25,Milestones!$AA$190)&gt;=$R25),$U25,$T25)))=Milestones!$AB$190),TEXT(EDATE($D25,Milestones!$AA$190),"dd/mm/yy")&amp;" "&amp;Milestones!$AB$190&amp;" "&amp;Milestones!$AC$190&amp;";  ","")&amp;IF(AND(EDATE($D25,Milestones!$AA$191)&lt;=AsOfDate,IF($Q25=0,$W25,IF(AND($S25&lt;&gt;"",EDATE($D25,Milestones!$AA$191)&gt;=$S25),$V25,IF(AND($R25&lt;&gt;"",EDATE($D25,Milestones!$AA$191)&gt;=$R25),$U25,$T25)))=Milestones!$AB$191),TEXT(EDATE($D25,Milestones!$AA$191),"dd/mm/yy")&amp;" "&amp;Milestones!$AB$191&amp;" "&amp;Milestones!$AC$191&amp;";  ","")&amp;IF(AND(EDATE($D25,Milestones!$AA$192)&lt;=AsOfDate,IF($Q25=0,$W25,IF(AND($S25&lt;&gt;"",EDATE($D25,Milestones!$AA$192)&gt;=$S25),$V25,IF(AND($R25&lt;&gt;"",EDATE($D25,Milestones!$AA$192)&gt;=$R25),$U25,$T25)))=Milestones!$AB$192),TEXT(EDATE($D25,Milestones!$AA$192),"dd/mm/yy")&amp;" "&amp;Milestones!$AB$192&amp;" "&amp;Milestones!$AC$192&amp;";  ","")&amp;IF(AND(EDATE($D25,Milestones!$AA$193)&lt;=AsOfDate,IF($Q25=0,$W25,IF(AND($S25&lt;&gt;"",EDATE($D25,Milestones!$AA$193)&gt;=$S25),$V25,IF(AND($R25&lt;&gt;"",EDATE($D25,Milestones!$AA$193)&gt;=$R25),$U25,$T25)))=Milestones!$AB$193),TEXT(EDATE($D25,Milestones!$AA$193),"dd/mm/yy")&amp;" "&amp;Milestones!$AB$193&amp;" "&amp;Milestones!$AC$193&amp;";  ","")&amp;IF(AND(EDATE($D25,Milestones!$AA$194)&lt;=AsOfDate,IF($Q25=0,$W25,IF(AND($S25&lt;&gt;"",EDATE($D25,Milestones!$AA$194)&gt;=$S25),$V25,IF(AND($R25&lt;&gt;"",EDATE($D25,Milestones!$AA$194)&gt;=$R25),$U25,$T25)))=Milestones!$AB$194),TEXT(EDATE($D25,Milestones!$AA$194),"dd/mm/yy")&amp;" "&amp;Milestones!$AB$194&amp;" "&amp;Milestones!$AC$194&amp;";  ","")&amp;IF(AND(EDATE($D25,Milestones!$AA$195)&lt;=AsOfDate,IF($Q25=0,$W25,IF(AND($S25&lt;&gt;"",EDATE($D25,Milestones!$AA$195)&gt;=$S25),$V25,IF(AND($R25&lt;&gt;"",EDATE($D25,Milestones!$AA$195)&gt;=$R25),$U25,$T25)))=Milestones!$AB$195),TEXT(EDATE($D25,Milestones!$AA$195),"dd/mm/yy")&amp;" "&amp;Milestones!$AB$195&amp;" "&amp;Milestones!$AC$195&amp;";  ","")&amp;IF(AND(EDATE($D25,Milestones!$AA$196)&lt;=AsOfDate,IF($Q25=0,$W25,IF(AND($S25&lt;&gt;"",EDATE($D25,Milestones!$AA$196)&gt;=$S25),$V25,IF(AND($R25&lt;&gt;"",EDATE($D25,Milestones!$AA$196)&gt;=$R25),$U25,$T25)))=Milestones!$AB$196),TEXT(EDATE($D25,Milestones!$AA$196),"dd/mm/yy")&amp;" "&amp;Milestones!$AB$196&amp;" "&amp;Milestones!$AC$196&amp;";  ","")&amp;IF(AND(EDATE($D25,Milestones!$AA$197)&lt;=AsOfDate,IF($Q25=0,$W25,IF(AND($S25&lt;&gt;"",EDATE($D25,Milestones!$AA$197)&gt;=$S25),$V25,IF(AND($R25&lt;&gt;"",EDATE($D25,Milestones!$AA$197)&gt;=$R25),$U25,$T25)))=Milestones!$AB$197),TEXT(EDATE($D25,Milestones!$AA$197),"dd/mm/yy")&amp;" "&amp;Milestones!$AB$197&amp;" "&amp;Milestones!$AC$197&amp;";  ","")&amp;IF(AND(EDATE($D25,Milestones!$AA$198)&lt;=AsOfDate,IF($Q25=0,$W25,IF(AND($S25&lt;&gt;"",EDATE($D25,Milestones!$AA$198)&gt;=$S25),$V25,IF(AND($R25&lt;&gt;"",EDATE($D25,Milestones!$AA$198)&gt;=$R25),$U25,$T25)))=Milestones!$AB$198),TEXT(EDATE($D25,Milestones!$AA$198),"dd/mm/yy")&amp;" "&amp;Milestones!$AB$198&amp;" "&amp;Milestones!$AC$198&amp;";  ","")&amp;IF(AND(EDATE($D25,Milestones!$AA$199)&lt;=AsOfDate,IF($Q25=0,$W25,IF(AND($S25&lt;&gt;"",EDATE($D25,Milestones!$AA$199)&gt;=$S25),$V25,IF(AND($R25&lt;&gt;"",EDATE($D25,Milestones!$AA$199)&gt;=$R25),$U25,$T25)))=Milestones!$AB$199),TEXT(EDATE($D25,Milestones!$AA$199),"dd/mm/yy")&amp;" "&amp;Milestones!$AB$199&amp;" "&amp;Milestones!$AC$199&amp;";  ",""))</f>
        <v/>
      </c>
      <c r="Q25" s="0" t="str">
        <f aca="false">IF(Staff!$A25="","",Staff!$AG25)</f>
        <v/>
      </c>
      <c r="R25" s="0" t="str">
        <f aca="false">IF(Staff!$A25="","",Staff!$AI25)</f>
        <v/>
      </c>
      <c r="S25" s="0" t="str">
        <f aca="false">IF(Staff!$A25="","",Staff!$AJ25)</f>
        <v/>
      </c>
      <c r="T25" s="0" t="str">
        <f aca="false">IF(Staff!$A25="","",Staff!$AN25)</f>
        <v/>
      </c>
      <c r="U25" s="0" t="str">
        <f aca="false">IF(Staff!$A25="","",Staff!$AO25)</f>
        <v/>
      </c>
      <c r="V25" s="0" t="str">
        <f aca="false">IF(Staff!$A25="","",Staff!$AP25)</f>
        <v/>
      </c>
      <c r="W25" s="0" t="str">
        <f aca="false">IF(Staff!$A25="","",Staff!$AQ25)</f>
        <v/>
      </c>
    </row>
    <row r="26" customFormat="false" ht="15" hidden="false" customHeight="false" outlineLevel="0" collapsed="false">
      <c r="A26" s="13" t="str">
        <f aca="false">IF(Staff!$A26="","",Staff!$A26)</f>
        <v/>
      </c>
      <c r="B26" s="13" t="str">
        <f aca="false">IF(Staff!$A26="","",Staff!$B26)</f>
        <v/>
      </c>
      <c r="C26" s="13" t="str">
        <f aca="false">IF(Staff!$A26="","",Staff!$C26)</f>
        <v/>
      </c>
      <c r="D26" s="11" t="str">
        <f aca="false">IF(Staff!$A26="","",Staff!$AF26)</f>
        <v/>
      </c>
      <c r="E26" s="13" t="str">
        <f aca="false">IF(Staff!$A26="","",Staff!$O26)</f>
        <v/>
      </c>
      <c r="F26" s="13" t="str">
        <f aca="false">IF(E26="","",E26*HoursPerDay)</f>
        <v/>
      </c>
      <c r="G26" s="26" t="str">
        <f aca="false">IF($A26="","",H26&amp;I26&amp;J26&amp;K26&amp;L26&amp;M26&amp;N26&amp;O26&amp;P26)</f>
        <v/>
      </c>
      <c r="H26" s="0" t="str">
        <f aca="false">IF(OR($A26="",$D26=""),"",IF(AND(EDATE($D26,Milestones!$AA$20)&lt;=AsOfDate,IF($Q26=0,$W26,IF(AND($S26&lt;&gt;"",EDATE($D26,Milestones!$AA$20)&gt;=$S26),$V26,IF(AND($R26&lt;&gt;"",EDATE($D26,Milestones!$AA$20)&gt;=$R26),$U26,$T26)))=Milestones!$AB$20),TEXT(EDATE($D26,Milestones!$AA$20),"dd/mm/yy")&amp;" "&amp;Milestones!$AB$20&amp;" "&amp;Milestones!$AC$20&amp;";  ","")&amp;IF(AND(EDATE($D26,Milestones!$AA$21)&lt;=AsOfDate,IF($Q26=0,$W26,IF(AND($S26&lt;&gt;"",EDATE($D26,Milestones!$AA$21)&gt;=$S26),$V26,IF(AND($R26&lt;&gt;"",EDATE($D26,Milestones!$AA$21)&gt;=$R26),$U26,$T26)))=Milestones!$AB$21),TEXT(EDATE($D26,Milestones!$AA$21),"dd/mm/yy")&amp;" "&amp;Milestones!$AB$21&amp;" "&amp;Milestones!$AC$21&amp;";  ","")&amp;IF(AND(EDATE($D26,Milestones!$AA$22)&lt;=AsOfDate,IF($Q26=0,$W26,IF(AND($S26&lt;&gt;"",EDATE($D26,Milestones!$AA$22)&gt;=$S26),$V26,IF(AND($R26&lt;&gt;"",EDATE($D26,Milestones!$AA$22)&gt;=$R26),$U26,$T26)))=Milestones!$AB$22),TEXT(EDATE($D26,Milestones!$AA$22),"dd/mm/yy")&amp;" "&amp;Milestones!$AB$22&amp;" "&amp;Milestones!$AC$22&amp;";  ","")&amp;IF(AND(EDATE($D26,Milestones!$AA$23)&lt;=AsOfDate,IF($Q26=0,$W26,IF(AND($S26&lt;&gt;"",EDATE($D26,Milestones!$AA$23)&gt;=$S26),$V26,IF(AND($R26&lt;&gt;"",EDATE($D26,Milestones!$AA$23)&gt;=$R26),$U26,$T26)))=Milestones!$AB$23),TEXT(EDATE($D26,Milestones!$AA$23),"dd/mm/yy")&amp;" "&amp;Milestones!$AB$23&amp;" "&amp;Milestones!$AC$23&amp;";  ","")&amp;IF(AND(EDATE($D26,Milestones!$AA$24)&lt;=AsOfDate,IF($Q26=0,$W26,IF(AND($S26&lt;&gt;"",EDATE($D26,Milestones!$AA$24)&gt;=$S26),$V26,IF(AND($R26&lt;&gt;"",EDATE($D26,Milestones!$AA$24)&gt;=$R26),$U26,$T26)))=Milestones!$AB$24),TEXT(EDATE($D26,Milestones!$AA$24),"dd/mm/yy")&amp;" "&amp;Milestones!$AB$24&amp;" "&amp;Milestones!$AC$24&amp;";  ","")&amp;IF(AND(EDATE($D26,Milestones!$AA$25)&lt;=AsOfDate,IF($Q26=0,$W26,IF(AND($S26&lt;&gt;"",EDATE($D26,Milestones!$AA$25)&gt;=$S26),$V26,IF(AND($R26&lt;&gt;"",EDATE($D26,Milestones!$AA$25)&gt;=$R26),$U26,$T26)))=Milestones!$AB$25),TEXT(EDATE($D26,Milestones!$AA$25),"dd/mm/yy")&amp;" "&amp;Milestones!$AB$25&amp;" "&amp;Milestones!$AC$25&amp;";  ","")&amp;IF(AND(EDATE($D26,Milestones!$AA$26)&lt;=AsOfDate,IF($Q26=0,$W26,IF(AND($S26&lt;&gt;"",EDATE($D26,Milestones!$AA$26)&gt;=$S26),$V26,IF(AND($R26&lt;&gt;"",EDATE($D26,Milestones!$AA$26)&gt;=$R26),$U26,$T26)))=Milestones!$AB$26),TEXT(EDATE($D26,Milestones!$AA$26),"dd/mm/yy")&amp;" "&amp;Milestones!$AB$26&amp;" "&amp;Milestones!$AC$26&amp;";  ","")&amp;IF(AND(EDATE($D26,Milestones!$AA$27)&lt;=AsOfDate,IF($Q26=0,$W26,IF(AND($S26&lt;&gt;"",EDATE($D26,Milestones!$AA$27)&gt;=$S26),$V26,IF(AND($R26&lt;&gt;"",EDATE($D26,Milestones!$AA$27)&gt;=$R26),$U26,$T26)))=Milestones!$AB$27),TEXT(EDATE($D26,Milestones!$AA$27),"dd/mm/yy")&amp;" "&amp;Milestones!$AB$27&amp;" "&amp;Milestones!$AC$27&amp;";  ","")&amp;IF(AND(EDATE($D26,Milestones!$AA$28)&lt;=AsOfDate,IF($Q26=0,$W26,IF(AND($S26&lt;&gt;"",EDATE($D26,Milestones!$AA$28)&gt;=$S26),$V26,IF(AND($R26&lt;&gt;"",EDATE($D26,Milestones!$AA$28)&gt;=$R26),$U26,$T26)))=Milestones!$AB$28),TEXT(EDATE($D26,Milestones!$AA$28),"dd/mm/yy")&amp;" "&amp;Milestones!$AB$28&amp;" "&amp;Milestones!$AC$28&amp;";  ","")&amp;IF(AND(EDATE($D26,Milestones!$AA$29)&lt;=AsOfDate,IF($Q26=0,$W26,IF(AND($S26&lt;&gt;"",EDATE($D26,Milestones!$AA$29)&gt;=$S26),$V26,IF(AND($R26&lt;&gt;"",EDATE($D26,Milestones!$AA$29)&gt;=$R26),$U26,$T26)))=Milestones!$AB$29),TEXT(EDATE($D26,Milestones!$AA$29),"dd/mm/yy")&amp;" "&amp;Milestones!$AB$29&amp;" "&amp;Milestones!$AC$29&amp;";  ","")&amp;IF(AND(EDATE($D26,Milestones!$AA$30)&lt;=AsOfDate,IF($Q26=0,$W26,IF(AND($S26&lt;&gt;"",EDATE($D26,Milestones!$AA$30)&gt;=$S26),$V26,IF(AND($R26&lt;&gt;"",EDATE($D26,Milestones!$AA$30)&gt;=$R26),$U26,$T26)))=Milestones!$AB$30),TEXT(EDATE($D26,Milestones!$AA$30),"dd/mm/yy")&amp;" "&amp;Milestones!$AB$30&amp;" "&amp;Milestones!$AC$30&amp;";  ","")&amp;IF(AND(EDATE($D26,Milestones!$AA$31)&lt;=AsOfDate,IF($Q26=0,$W26,IF(AND($S26&lt;&gt;"",EDATE($D26,Milestones!$AA$31)&gt;=$S26),$V26,IF(AND($R26&lt;&gt;"",EDATE($D26,Milestones!$AA$31)&gt;=$R26),$U26,$T26)))=Milestones!$AB$31),TEXT(EDATE($D26,Milestones!$AA$31),"dd/mm/yy")&amp;" "&amp;Milestones!$AB$31&amp;" "&amp;Milestones!$AC$31&amp;";  ","")&amp;IF(AND(EDATE($D26,Milestones!$AA$32)&lt;=AsOfDate,IF($Q26=0,$W26,IF(AND($S26&lt;&gt;"",EDATE($D26,Milestones!$AA$32)&gt;=$S26),$V26,IF(AND($R26&lt;&gt;"",EDATE($D26,Milestones!$AA$32)&gt;=$R26),$U26,$T26)))=Milestones!$AB$32),TEXT(EDATE($D26,Milestones!$AA$32),"dd/mm/yy")&amp;" "&amp;Milestones!$AB$32&amp;" "&amp;Milestones!$AC$32&amp;";  ","")&amp;IF(AND(EDATE($D26,Milestones!$AA$33)&lt;=AsOfDate,IF($Q26=0,$W26,IF(AND($S26&lt;&gt;"",EDATE($D26,Milestones!$AA$33)&gt;=$S26),$V26,IF(AND($R26&lt;&gt;"",EDATE($D26,Milestones!$AA$33)&gt;=$R26),$U26,$T26)))=Milestones!$AB$33),TEXT(EDATE($D26,Milestones!$AA$33),"dd/mm/yy")&amp;" "&amp;Milestones!$AB$33&amp;" "&amp;Milestones!$AC$33&amp;";  ","")&amp;IF(AND(EDATE($D26,Milestones!$AA$34)&lt;=AsOfDate,IF($Q26=0,$W26,IF(AND($S26&lt;&gt;"",EDATE($D26,Milestones!$AA$34)&gt;=$S26),$V26,IF(AND($R26&lt;&gt;"",EDATE($D26,Milestones!$AA$34)&gt;=$R26),$U26,$T26)))=Milestones!$AB$34),TEXT(EDATE($D26,Milestones!$AA$34),"dd/mm/yy")&amp;" "&amp;Milestones!$AB$34&amp;" "&amp;Milestones!$AC$34&amp;";  ","")&amp;IF(AND(EDATE($D26,Milestones!$AA$35)&lt;=AsOfDate,IF($Q26=0,$W26,IF(AND($S26&lt;&gt;"",EDATE($D26,Milestones!$AA$35)&gt;=$S26),$V26,IF(AND($R26&lt;&gt;"",EDATE($D26,Milestones!$AA$35)&gt;=$R26),$U26,$T26)))=Milestones!$AB$35),TEXT(EDATE($D26,Milestones!$AA$35),"dd/mm/yy")&amp;" "&amp;Milestones!$AB$35&amp;" "&amp;Milestones!$AC$35&amp;";  ","")&amp;IF(AND(EDATE($D26,Milestones!$AA$36)&lt;=AsOfDate,IF($Q26=0,$W26,IF(AND($S26&lt;&gt;"",EDATE($D26,Milestones!$AA$36)&gt;=$S26),$V26,IF(AND($R26&lt;&gt;"",EDATE($D26,Milestones!$AA$36)&gt;=$R26),$U26,$T26)))=Milestones!$AB$36),TEXT(EDATE($D26,Milestones!$AA$36),"dd/mm/yy")&amp;" "&amp;Milestones!$AB$36&amp;" "&amp;Milestones!$AC$36&amp;";  ","")&amp;IF(AND(EDATE($D26,Milestones!$AA$37)&lt;=AsOfDate,IF($Q26=0,$W26,IF(AND($S26&lt;&gt;"",EDATE($D26,Milestones!$AA$37)&gt;=$S26),$V26,IF(AND($R26&lt;&gt;"",EDATE($D26,Milestones!$AA$37)&gt;=$R26),$U26,$T26)))=Milestones!$AB$37),TEXT(EDATE($D26,Milestones!$AA$37),"dd/mm/yy")&amp;" "&amp;Milestones!$AB$37&amp;" "&amp;Milestones!$AC$37&amp;";  ","")&amp;IF(AND(EDATE($D26,Milestones!$AA$38)&lt;=AsOfDate,IF($Q26=0,$W26,IF(AND($S26&lt;&gt;"",EDATE($D26,Milestones!$AA$38)&gt;=$S26),$V26,IF(AND($R26&lt;&gt;"",EDATE($D26,Milestones!$AA$38)&gt;=$R26),$U26,$T26)))=Milestones!$AB$38),TEXT(EDATE($D26,Milestones!$AA$38),"dd/mm/yy")&amp;" "&amp;Milestones!$AB$38&amp;" "&amp;Milestones!$AC$38&amp;";  ","")&amp;IF(AND(EDATE($D26,Milestones!$AA$39)&lt;=AsOfDate,IF($Q26=0,$W26,IF(AND($S26&lt;&gt;"",EDATE($D26,Milestones!$AA$39)&gt;=$S26),$V26,IF(AND($R26&lt;&gt;"",EDATE($D26,Milestones!$AA$39)&gt;=$R26),$U26,$T26)))=Milestones!$AB$39),TEXT(EDATE($D26,Milestones!$AA$39),"dd/mm/yy")&amp;" "&amp;Milestones!$AB$39&amp;" "&amp;Milestones!$AC$39&amp;";  ",""))</f>
        <v/>
      </c>
      <c r="I26" s="0" t="str">
        <f aca="false">IF(OR($A26="",$D26=""),"",IF(AND(EDATE($D26,Milestones!$AA$40)&lt;=AsOfDate,IF($Q26=0,$W26,IF(AND($S26&lt;&gt;"",EDATE($D26,Milestones!$AA$40)&gt;=$S26),$V26,IF(AND($R26&lt;&gt;"",EDATE($D26,Milestones!$AA$40)&gt;=$R26),$U26,$T26)))=Milestones!$AB$40),TEXT(EDATE($D26,Milestones!$AA$40),"dd/mm/yy")&amp;" "&amp;Milestones!$AB$40&amp;" "&amp;Milestones!$AC$40&amp;";  ","")&amp;IF(AND(EDATE($D26,Milestones!$AA$41)&lt;=AsOfDate,IF($Q26=0,$W26,IF(AND($S26&lt;&gt;"",EDATE($D26,Milestones!$AA$41)&gt;=$S26),$V26,IF(AND($R26&lt;&gt;"",EDATE($D26,Milestones!$AA$41)&gt;=$R26),$U26,$T26)))=Milestones!$AB$41),TEXT(EDATE($D26,Milestones!$AA$41),"dd/mm/yy")&amp;" "&amp;Milestones!$AB$41&amp;" "&amp;Milestones!$AC$41&amp;";  ","")&amp;IF(AND(EDATE($D26,Milestones!$AA$42)&lt;=AsOfDate,IF($Q26=0,$W26,IF(AND($S26&lt;&gt;"",EDATE($D26,Milestones!$AA$42)&gt;=$S26),$V26,IF(AND($R26&lt;&gt;"",EDATE($D26,Milestones!$AA$42)&gt;=$R26),$U26,$T26)))=Milestones!$AB$42),TEXT(EDATE($D26,Milestones!$AA$42),"dd/mm/yy")&amp;" "&amp;Milestones!$AB$42&amp;" "&amp;Milestones!$AC$42&amp;";  ","")&amp;IF(AND(EDATE($D26,Milestones!$AA$43)&lt;=AsOfDate,IF($Q26=0,$W26,IF(AND($S26&lt;&gt;"",EDATE($D26,Milestones!$AA$43)&gt;=$S26),$V26,IF(AND($R26&lt;&gt;"",EDATE($D26,Milestones!$AA$43)&gt;=$R26),$U26,$T26)))=Milestones!$AB$43),TEXT(EDATE($D26,Milestones!$AA$43),"dd/mm/yy")&amp;" "&amp;Milestones!$AB$43&amp;" "&amp;Milestones!$AC$43&amp;";  ","")&amp;IF(AND(EDATE($D26,Milestones!$AA$44)&lt;=AsOfDate,IF($Q26=0,$W26,IF(AND($S26&lt;&gt;"",EDATE($D26,Milestones!$AA$44)&gt;=$S26),$V26,IF(AND($R26&lt;&gt;"",EDATE($D26,Milestones!$AA$44)&gt;=$R26),$U26,$T26)))=Milestones!$AB$44),TEXT(EDATE($D26,Milestones!$AA$44),"dd/mm/yy")&amp;" "&amp;Milestones!$AB$44&amp;" "&amp;Milestones!$AC$44&amp;";  ","")&amp;IF(AND(EDATE($D26,Milestones!$AA$45)&lt;=AsOfDate,IF($Q26=0,$W26,IF(AND($S26&lt;&gt;"",EDATE($D26,Milestones!$AA$45)&gt;=$S26),$V26,IF(AND($R26&lt;&gt;"",EDATE($D26,Milestones!$AA$45)&gt;=$R26),$U26,$T26)))=Milestones!$AB$45),TEXT(EDATE($D26,Milestones!$AA$45),"dd/mm/yy")&amp;" "&amp;Milestones!$AB$45&amp;" "&amp;Milestones!$AC$45&amp;";  ","")&amp;IF(AND(EDATE($D26,Milestones!$AA$46)&lt;=AsOfDate,IF($Q26=0,$W26,IF(AND($S26&lt;&gt;"",EDATE($D26,Milestones!$AA$46)&gt;=$S26),$V26,IF(AND($R26&lt;&gt;"",EDATE($D26,Milestones!$AA$46)&gt;=$R26),$U26,$T26)))=Milestones!$AB$46),TEXT(EDATE($D26,Milestones!$AA$46),"dd/mm/yy")&amp;" "&amp;Milestones!$AB$46&amp;" "&amp;Milestones!$AC$46&amp;";  ","")&amp;IF(AND(EDATE($D26,Milestones!$AA$47)&lt;=AsOfDate,IF($Q26=0,$W26,IF(AND($S26&lt;&gt;"",EDATE($D26,Milestones!$AA$47)&gt;=$S26),$V26,IF(AND($R26&lt;&gt;"",EDATE($D26,Milestones!$AA$47)&gt;=$R26),$U26,$T26)))=Milestones!$AB$47),TEXT(EDATE($D26,Milestones!$AA$47),"dd/mm/yy")&amp;" "&amp;Milestones!$AB$47&amp;" "&amp;Milestones!$AC$47&amp;";  ","")&amp;IF(AND(EDATE($D26,Milestones!$AA$48)&lt;=AsOfDate,IF($Q26=0,$W26,IF(AND($S26&lt;&gt;"",EDATE($D26,Milestones!$AA$48)&gt;=$S26),$V26,IF(AND($R26&lt;&gt;"",EDATE($D26,Milestones!$AA$48)&gt;=$R26),$U26,$T26)))=Milestones!$AB$48),TEXT(EDATE($D26,Milestones!$AA$48),"dd/mm/yy")&amp;" "&amp;Milestones!$AB$48&amp;" "&amp;Milestones!$AC$48&amp;";  ","")&amp;IF(AND(EDATE($D26,Milestones!$AA$49)&lt;=AsOfDate,IF($Q26=0,$W26,IF(AND($S26&lt;&gt;"",EDATE($D26,Milestones!$AA$49)&gt;=$S26),$V26,IF(AND($R26&lt;&gt;"",EDATE($D26,Milestones!$AA$49)&gt;=$R26),$U26,$T26)))=Milestones!$AB$49),TEXT(EDATE($D26,Milestones!$AA$49),"dd/mm/yy")&amp;" "&amp;Milestones!$AB$49&amp;" "&amp;Milestones!$AC$49&amp;";  ","")&amp;IF(AND(EDATE($D26,Milestones!$AA$50)&lt;=AsOfDate,IF($Q26=0,$W26,IF(AND($S26&lt;&gt;"",EDATE($D26,Milestones!$AA$50)&gt;=$S26),$V26,IF(AND($R26&lt;&gt;"",EDATE($D26,Milestones!$AA$50)&gt;=$R26),$U26,$T26)))=Milestones!$AB$50),TEXT(EDATE($D26,Milestones!$AA$50),"dd/mm/yy")&amp;" "&amp;Milestones!$AB$50&amp;" "&amp;Milestones!$AC$50&amp;";  ","")&amp;IF(AND(EDATE($D26,Milestones!$AA$51)&lt;=AsOfDate,IF($Q26=0,$W26,IF(AND($S26&lt;&gt;"",EDATE($D26,Milestones!$AA$51)&gt;=$S26),$V26,IF(AND($R26&lt;&gt;"",EDATE($D26,Milestones!$AA$51)&gt;=$R26),$U26,$T26)))=Milestones!$AB$51),TEXT(EDATE($D26,Milestones!$AA$51),"dd/mm/yy")&amp;" "&amp;Milestones!$AB$51&amp;" "&amp;Milestones!$AC$51&amp;";  ","")&amp;IF(AND(EDATE($D26,Milestones!$AA$52)&lt;=AsOfDate,IF($Q26=0,$W26,IF(AND($S26&lt;&gt;"",EDATE($D26,Milestones!$AA$52)&gt;=$S26),$V26,IF(AND($R26&lt;&gt;"",EDATE($D26,Milestones!$AA$52)&gt;=$R26),$U26,$T26)))=Milestones!$AB$52),TEXT(EDATE($D26,Milestones!$AA$52),"dd/mm/yy")&amp;" "&amp;Milestones!$AB$52&amp;" "&amp;Milestones!$AC$52&amp;";  ","")&amp;IF(AND(EDATE($D26,Milestones!$AA$53)&lt;=AsOfDate,IF($Q26=0,$W26,IF(AND($S26&lt;&gt;"",EDATE($D26,Milestones!$AA$53)&gt;=$S26),$V26,IF(AND($R26&lt;&gt;"",EDATE($D26,Milestones!$AA$53)&gt;=$R26),$U26,$T26)))=Milestones!$AB$53),TEXT(EDATE($D26,Milestones!$AA$53),"dd/mm/yy")&amp;" "&amp;Milestones!$AB$53&amp;" "&amp;Milestones!$AC$53&amp;";  ","")&amp;IF(AND(EDATE($D26,Milestones!$AA$54)&lt;=AsOfDate,IF($Q26=0,$W26,IF(AND($S26&lt;&gt;"",EDATE($D26,Milestones!$AA$54)&gt;=$S26),$V26,IF(AND($R26&lt;&gt;"",EDATE($D26,Milestones!$AA$54)&gt;=$R26),$U26,$T26)))=Milestones!$AB$54),TEXT(EDATE($D26,Milestones!$AA$54),"dd/mm/yy")&amp;" "&amp;Milestones!$AB$54&amp;" "&amp;Milestones!$AC$54&amp;";  ","")&amp;IF(AND(EDATE($D26,Milestones!$AA$55)&lt;=AsOfDate,IF($Q26=0,$W26,IF(AND($S26&lt;&gt;"",EDATE($D26,Milestones!$AA$55)&gt;=$S26),$V26,IF(AND($R26&lt;&gt;"",EDATE($D26,Milestones!$AA$55)&gt;=$R26),$U26,$T26)))=Milestones!$AB$55),TEXT(EDATE($D26,Milestones!$AA$55),"dd/mm/yy")&amp;" "&amp;Milestones!$AB$55&amp;" "&amp;Milestones!$AC$55&amp;";  ","")&amp;IF(AND(EDATE($D26,Milestones!$AA$56)&lt;=AsOfDate,IF($Q26=0,$W26,IF(AND($S26&lt;&gt;"",EDATE($D26,Milestones!$AA$56)&gt;=$S26),$V26,IF(AND($R26&lt;&gt;"",EDATE($D26,Milestones!$AA$56)&gt;=$R26),$U26,$T26)))=Milestones!$AB$56),TEXT(EDATE($D26,Milestones!$AA$56),"dd/mm/yy")&amp;" "&amp;Milestones!$AB$56&amp;" "&amp;Milestones!$AC$56&amp;";  ","")&amp;IF(AND(EDATE($D26,Milestones!$AA$57)&lt;=AsOfDate,IF($Q26=0,$W26,IF(AND($S26&lt;&gt;"",EDATE($D26,Milestones!$AA$57)&gt;=$S26),$V26,IF(AND($R26&lt;&gt;"",EDATE($D26,Milestones!$AA$57)&gt;=$R26),$U26,$T26)))=Milestones!$AB$57),TEXT(EDATE($D26,Milestones!$AA$57),"dd/mm/yy")&amp;" "&amp;Milestones!$AB$57&amp;" "&amp;Milestones!$AC$57&amp;";  ","")&amp;IF(AND(EDATE($D26,Milestones!$AA$58)&lt;=AsOfDate,IF($Q26=0,$W26,IF(AND($S26&lt;&gt;"",EDATE($D26,Milestones!$AA$58)&gt;=$S26),$V26,IF(AND($R26&lt;&gt;"",EDATE($D26,Milestones!$AA$58)&gt;=$R26),$U26,$T26)))=Milestones!$AB$58),TEXT(EDATE($D26,Milestones!$AA$58),"dd/mm/yy")&amp;" "&amp;Milestones!$AB$58&amp;" "&amp;Milestones!$AC$58&amp;";  ","")&amp;IF(AND(EDATE($D26,Milestones!$AA$59)&lt;=AsOfDate,IF($Q26=0,$W26,IF(AND($S26&lt;&gt;"",EDATE($D26,Milestones!$AA$59)&gt;=$S26),$V26,IF(AND($R26&lt;&gt;"",EDATE($D26,Milestones!$AA$59)&gt;=$R26),$U26,$T26)))=Milestones!$AB$59),TEXT(EDATE($D26,Milestones!$AA$59),"dd/mm/yy")&amp;" "&amp;Milestones!$AB$59&amp;" "&amp;Milestones!$AC$59&amp;";  ",""))</f>
        <v/>
      </c>
      <c r="J26" s="0" t="str">
        <f aca="false">IF(OR($A26="",$D26=""),"",IF(AND(EDATE($D26,Milestones!$AA$60)&lt;=AsOfDate,IF($Q26=0,$W26,IF(AND($S26&lt;&gt;"",EDATE($D26,Milestones!$AA$60)&gt;=$S26),$V26,IF(AND($R26&lt;&gt;"",EDATE($D26,Milestones!$AA$60)&gt;=$R26),$U26,$T26)))=Milestones!$AB$60),TEXT(EDATE($D26,Milestones!$AA$60),"dd/mm/yy")&amp;" "&amp;Milestones!$AB$60&amp;" "&amp;Milestones!$AC$60&amp;";  ","")&amp;IF(AND(EDATE($D26,Milestones!$AA$61)&lt;=AsOfDate,IF($Q26=0,$W26,IF(AND($S26&lt;&gt;"",EDATE($D26,Milestones!$AA$61)&gt;=$S26),$V26,IF(AND($R26&lt;&gt;"",EDATE($D26,Milestones!$AA$61)&gt;=$R26),$U26,$T26)))=Milestones!$AB$61),TEXT(EDATE($D26,Milestones!$AA$61),"dd/mm/yy")&amp;" "&amp;Milestones!$AB$61&amp;" "&amp;Milestones!$AC$61&amp;";  ","")&amp;IF(AND(EDATE($D26,Milestones!$AA$62)&lt;=AsOfDate,IF($Q26=0,$W26,IF(AND($S26&lt;&gt;"",EDATE($D26,Milestones!$AA$62)&gt;=$S26),$V26,IF(AND($R26&lt;&gt;"",EDATE($D26,Milestones!$AA$62)&gt;=$R26),$U26,$T26)))=Milestones!$AB$62),TEXT(EDATE($D26,Milestones!$AA$62),"dd/mm/yy")&amp;" "&amp;Milestones!$AB$62&amp;" "&amp;Milestones!$AC$62&amp;";  ","")&amp;IF(AND(EDATE($D26,Milestones!$AA$63)&lt;=AsOfDate,IF($Q26=0,$W26,IF(AND($S26&lt;&gt;"",EDATE($D26,Milestones!$AA$63)&gt;=$S26),$V26,IF(AND($R26&lt;&gt;"",EDATE($D26,Milestones!$AA$63)&gt;=$R26),$U26,$T26)))=Milestones!$AB$63),TEXT(EDATE($D26,Milestones!$AA$63),"dd/mm/yy")&amp;" "&amp;Milestones!$AB$63&amp;" "&amp;Milestones!$AC$63&amp;";  ","")&amp;IF(AND(EDATE($D26,Milestones!$AA$64)&lt;=AsOfDate,IF($Q26=0,$W26,IF(AND($S26&lt;&gt;"",EDATE($D26,Milestones!$AA$64)&gt;=$S26),$V26,IF(AND($R26&lt;&gt;"",EDATE($D26,Milestones!$AA$64)&gt;=$R26),$U26,$T26)))=Milestones!$AB$64),TEXT(EDATE($D26,Milestones!$AA$64),"dd/mm/yy")&amp;" "&amp;Milestones!$AB$64&amp;" "&amp;Milestones!$AC$64&amp;";  ","")&amp;IF(AND(EDATE($D26,Milestones!$AA$65)&lt;=AsOfDate,IF($Q26=0,$W26,IF(AND($S26&lt;&gt;"",EDATE($D26,Milestones!$AA$65)&gt;=$S26),$V26,IF(AND($R26&lt;&gt;"",EDATE($D26,Milestones!$AA$65)&gt;=$R26),$U26,$T26)))=Milestones!$AB$65),TEXT(EDATE($D26,Milestones!$AA$65),"dd/mm/yy")&amp;" "&amp;Milestones!$AB$65&amp;" "&amp;Milestones!$AC$65&amp;";  ","")&amp;IF(AND(EDATE($D26,Milestones!$AA$66)&lt;=AsOfDate,IF($Q26=0,$W26,IF(AND($S26&lt;&gt;"",EDATE($D26,Milestones!$AA$66)&gt;=$S26),$V26,IF(AND($R26&lt;&gt;"",EDATE($D26,Milestones!$AA$66)&gt;=$R26),$U26,$T26)))=Milestones!$AB$66),TEXT(EDATE($D26,Milestones!$AA$66),"dd/mm/yy")&amp;" "&amp;Milestones!$AB$66&amp;" "&amp;Milestones!$AC$66&amp;";  ","")&amp;IF(AND(EDATE($D26,Milestones!$AA$67)&lt;=AsOfDate,IF($Q26=0,$W26,IF(AND($S26&lt;&gt;"",EDATE($D26,Milestones!$AA$67)&gt;=$S26),$V26,IF(AND($R26&lt;&gt;"",EDATE($D26,Milestones!$AA$67)&gt;=$R26),$U26,$T26)))=Milestones!$AB$67),TEXT(EDATE($D26,Milestones!$AA$67),"dd/mm/yy")&amp;" "&amp;Milestones!$AB$67&amp;" "&amp;Milestones!$AC$67&amp;";  ","")&amp;IF(AND(EDATE($D26,Milestones!$AA$68)&lt;=AsOfDate,IF($Q26=0,$W26,IF(AND($S26&lt;&gt;"",EDATE($D26,Milestones!$AA$68)&gt;=$S26),$V26,IF(AND($R26&lt;&gt;"",EDATE($D26,Milestones!$AA$68)&gt;=$R26),$U26,$T26)))=Milestones!$AB$68),TEXT(EDATE($D26,Milestones!$AA$68),"dd/mm/yy")&amp;" "&amp;Milestones!$AB$68&amp;" "&amp;Milestones!$AC$68&amp;";  ","")&amp;IF(AND(EDATE($D26,Milestones!$AA$69)&lt;=AsOfDate,IF($Q26=0,$W26,IF(AND($S26&lt;&gt;"",EDATE($D26,Milestones!$AA$69)&gt;=$S26),$V26,IF(AND($R26&lt;&gt;"",EDATE($D26,Milestones!$AA$69)&gt;=$R26),$U26,$T26)))=Milestones!$AB$69),TEXT(EDATE($D26,Milestones!$AA$69),"dd/mm/yy")&amp;" "&amp;Milestones!$AB$69&amp;" "&amp;Milestones!$AC$69&amp;";  ","")&amp;IF(AND(EDATE($D26,Milestones!$AA$70)&lt;=AsOfDate,IF($Q26=0,$W26,IF(AND($S26&lt;&gt;"",EDATE($D26,Milestones!$AA$70)&gt;=$S26),$V26,IF(AND($R26&lt;&gt;"",EDATE($D26,Milestones!$AA$70)&gt;=$R26),$U26,$T26)))=Milestones!$AB$70),TEXT(EDATE($D26,Milestones!$AA$70),"dd/mm/yy")&amp;" "&amp;Milestones!$AB$70&amp;" "&amp;Milestones!$AC$70&amp;";  ","")&amp;IF(AND(EDATE($D26,Milestones!$AA$71)&lt;=AsOfDate,IF($Q26=0,$W26,IF(AND($S26&lt;&gt;"",EDATE($D26,Milestones!$AA$71)&gt;=$S26),$V26,IF(AND($R26&lt;&gt;"",EDATE($D26,Milestones!$AA$71)&gt;=$R26),$U26,$T26)))=Milestones!$AB$71),TEXT(EDATE($D26,Milestones!$AA$71),"dd/mm/yy")&amp;" "&amp;Milestones!$AB$71&amp;" "&amp;Milestones!$AC$71&amp;";  ","")&amp;IF(AND(EDATE($D26,Milestones!$AA$72)&lt;=AsOfDate,IF($Q26=0,$W26,IF(AND($S26&lt;&gt;"",EDATE($D26,Milestones!$AA$72)&gt;=$S26),$V26,IF(AND($R26&lt;&gt;"",EDATE($D26,Milestones!$AA$72)&gt;=$R26),$U26,$T26)))=Milestones!$AB$72),TEXT(EDATE($D26,Milestones!$AA$72),"dd/mm/yy")&amp;" "&amp;Milestones!$AB$72&amp;" "&amp;Milestones!$AC$72&amp;";  ","")&amp;IF(AND(EDATE($D26,Milestones!$AA$73)&lt;=AsOfDate,IF($Q26=0,$W26,IF(AND($S26&lt;&gt;"",EDATE($D26,Milestones!$AA$73)&gt;=$S26),$V26,IF(AND($R26&lt;&gt;"",EDATE($D26,Milestones!$AA$73)&gt;=$R26),$U26,$T26)))=Milestones!$AB$73),TEXT(EDATE($D26,Milestones!$AA$73),"dd/mm/yy")&amp;" "&amp;Milestones!$AB$73&amp;" "&amp;Milestones!$AC$73&amp;";  ","")&amp;IF(AND(EDATE($D26,Milestones!$AA$74)&lt;=AsOfDate,IF($Q26=0,$W26,IF(AND($S26&lt;&gt;"",EDATE($D26,Milestones!$AA$74)&gt;=$S26),$V26,IF(AND($R26&lt;&gt;"",EDATE($D26,Milestones!$AA$74)&gt;=$R26),$U26,$T26)))=Milestones!$AB$74),TEXT(EDATE($D26,Milestones!$AA$74),"dd/mm/yy")&amp;" "&amp;Milestones!$AB$74&amp;" "&amp;Milestones!$AC$74&amp;";  ","")&amp;IF(AND(EDATE($D26,Milestones!$AA$75)&lt;=AsOfDate,IF($Q26=0,$W26,IF(AND($S26&lt;&gt;"",EDATE($D26,Milestones!$AA$75)&gt;=$S26),$V26,IF(AND($R26&lt;&gt;"",EDATE($D26,Milestones!$AA$75)&gt;=$R26),$U26,$T26)))=Milestones!$AB$75),TEXT(EDATE($D26,Milestones!$AA$75),"dd/mm/yy")&amp;" "&amp;Milestones!$AB$75&amp;" "&amp;Milestones!$AC$75&amp;";  ","")&amp;IF(AND(EDATE($D26,Milestones!$AA$76)&lt;=AsOfDate,IF($Q26=0,$W26,IF(AND($S26&lt;&gt;"",EDATE($D26,Milestones!$AA$76)&gt;=$S26),$V26,IF(AND($R26&lt;&gt;"",EDATE($D26,Milestones!$AA$76)&gt;=$R26),$U26,$T26)))=Milestones!$AB$76),TEXT(EDATE($D26,Milestones!$AA$76),"dd/mm/yy")&amp;" "&amp;Milestones!$AB$76&amp;" "&amp;Milestones!$AC$76&amp;";  ","")&amp;IF(AND(EDATE($D26,Milestones!$AA$77)&lt;=AsOfDate,IF($Q26=0,$W26,IF(AND($S26&lt;&gt;"",EDATE($D26,Milestones!$AA$77)&gt;=$S26),$V26,IF(AND($R26&lt;&gt;"",EDATE($D26,Milestones!$AA$77)&gt;=$R26),$U26,$T26)))=Milestones!$AB$77),TEXT(EDATE($D26,Milestones!$AA$77),"dd/mm/yy")&amp;" "&amp;Milestones!$AB$77&amp;" "&amp;Milestones!$AC$77&amp;";  ","")&amp;IF(AND(EDATE($D26,Milestones!$AA$78)&lt;=AsOfDate,IF($Q26=0,$W26,IF(AND($S26&lt;&gt;"",EDATE($D26,Milestones!$AA$78)&gt;=$S26),$V26,IF(AND($R26&lt;&gt;"",EDATE($D26,Milestones!$AA$78)&gt;=$R26),$U26,$T26)))=Milestones!$AB$78),TEXT(EDATE($D26,Milestones!$AA$78),"dd/mm/yy")&amp;" "&amp;Milestones!$AB$78&amp;" "&amp;Milestones!$AC$78&amp;";  ","")&amp;IF(AND(EDATE($D26,Milestones!$AA$79)&lt;=AsOfDate,IF($Q26=0,$W26,IF(AND($S26&lt;&gt;"",EDATE($D26,Milestones!$AA$79)&gt;=$S26),$V26,IF(AND($R26&lt;&gt;"",EDATE($D26,Milestones!$AA$79)&gt;=$R26),$U26,$T26)))=Milestones!$AB$79),TEXT(EDATE($D26,Milestones!$AA$79),"dd/mm/yy")&amp;" "&amp;Milestones!$AB$79&amp;" "&amp;Milestones!$AC$79&amp;";  ",""))</f>
        <v/>
      </c>
      <c r="K26" s="0" t="str">
        <f aca="false">IF(OR($A26="",$D26=""),"",IF(AND(EDATE($D26,Milestones!$AA$80)&lt;=AsOfDate,IF($Q26=0,$W26,IF(AND($S26&lt;&gt;"",EDATE($D26,Milestones!$AA$80)&gt;=$S26),$V26,IF(AND($R26&lt;&gt;"",EDATE($D26,Milestones!$AA$80)&gt;=$R26),$U26,$T26)))=Milestones!$AB$80),TEXT(EDATE($D26,Milestones!$AA$80),"dd/mm/yy")&amp;" "&amp;Milestones!$AB$80&amp;" "&amp;Milestones!$AC$80&amp;";  ","")&amp;IF(AND(EDATE($D26,Milestones!$AA$81)&lt;=AsOfDate,IF($Q26=0,$W26,IF(AND($S26&lt;&gt;"",EDATE($D26,Milestones!$AA$81)&gt;=$S26),$V26,IF(AND($R26&lt;&gt;"",EDATE($D26,Milestones!$AA$81)&gt;=$R26),$U26,$T26)))=Milestones!$AB$81),TEXT(EDATE($D26,Milestones!$AA$81),"dd/mm/yy")&amp;" "&amp;Milestones!$AB$81&amp;" "&amp;Milestones!$AC$81&amp;";  ","")&amp;IF(AND(EDATE($D26,Milestones!$AA$82)&lt;=AsOfDate,IF($Q26=0,$W26,IF(AND($S26&lt;&gt;"",EDATE($D26,Milestones!$AA$82)&gt;=$S26),$V26,IF(AND($R26&lt;&gt;"",EDATE($D26,Milestones!$AA$82)&gt;=$R26),$U26,$T26)))=Milestones!$AB$82),TEXT(EDATE($D26,Milestones!$AA$82),"dd/mm/yy")&amp;" "&amp;Milestones!$AB$82&amp;" "&amp;Milestones!$AC$82&amp;";  ","")&amp;IF(AND(EDATE($D26,Milestones!$AA$83)&lt;=AsOfDate,IF($Q26=0,$W26,IF(AND($S26&lt;&gt;"",EDATE($D26,Milestones!$AA$83)&gt;=$S26),$V26,IF(AND($R26&lt;&gt;"",EDATE($D26,Milestones!$AA$83)&gt;=$R26),$U26,$T26)))=Milestones!$AB$83),TEXT(EDATE($D26,Milestones!$AA$83),"dd/mm/yy")&amp;" "&amp;Milestones!$AB$83&amp;" "&amp;Milestones!$AC$83&amp;";  ","")&amp;IF(AND(EDATE($D26,Milestones!$AA$84)&lt;=AsOfDate,IF($Q26=0,$W26,IF(AND($S26&lt;&gt;"",EDATE($D26,Milestones!$AA$84)&gt;=$S26),$V26,IF(AND($R26&lt;&gt;"",EDATE($D26,Milestones!$AA$84)&gt;=$R26),$U26,$T26)))=Milestones!$AB$84),TEXT(EDATE($D26,Milestones!$AA$84),"dd/mm/yy")&amp;" "&amp;Milestones!$AB$84&amp;" "&amp;Milestones!$AC$84&amp;";  ","")&amp;IF(AND(EDATE($D26,Milestones!$AA$85)&lt;=AsOfDate,IF($Q26=0,$W26,IF(AND($S26&lt;&gt;"",EDATE($D26,Milestones!$AA$85)&gt;=$S26),$V26,IF(AND($R26&lt;&gt;"",EDATE($D26,Milestones!$AA$85)&gt;=$R26),$U26,$T26)))=Milestones!$AB$85),TEXT(EDATE($D26,Milestones!$AA$85),"dd/mm/yy")&amp;" "&amp;Milestones!$AB$85&amp;" "&amp;Milestones!$AC$85&amp;";  ","")&amp;IF(AND(EDATE($D26,Milestones!$AA$86)&lt;=AsOfDate,IF($Q26=0,$W26,IF(AND($S26&lt;&gt;"",EDATE($D26,Milestones!$AA$86)&gt;=$S26),$V26,IF(AND($R26&lt;&gt;"",EDATE($D26,Milestones!$AA$86)&gt;=$R26),$U26,$T26)))=Milestones!$AB$86),TEXT(EDATE($D26,Milestones!$AA$86),"dd/mm/yy")&amp;" "&amp;Milestones!$AB$86&amp;" "&amp;Milestones!$AC$86&amp;";  ","")&amp;IF(AND(EDATE($D26,Milestones!$AA$87)&lt;=AsOfDate,IF($Q26=0,$W26,IF(AND($S26&lt;&gt;"",EDATE($D26,Milestones!$AA$87)&gt;=$S26),$V26,IF(AND($R26&lt;&gt;"",EDATE($D26,Milestones!$AA$87)&gt;=$R26),$U26,$T26)))=Milestones!$AB$87),TEXT(EDATE($D26,Milestones!$AA$87),"dd/mm/yy")&amp;" "&amp;Milestones!$AB$87&amp;" "&amp;Milestones!$AC$87&amp;";  ","")&amp;IF(AND(EDATE($D26,Milestones!$AA$88)&lt;=AsOfDate,IF($Q26=0,$W26,IF(AND($S26&lt;&gt;"",EDATE($D26,Milestones!$AA$88)&gt;=$S26),$V26,IF(AND($R26&lt;&gt;"",EDATE($D26,Milestones!$AA$88)&gt;=$R26),$U26,$T26)))=Milestones!$AB$88),TEXT(EDATE($D26,Milestones!$AA$88),"dd/mm/yy")&amp;" "&amp;Milestones!$AB$88&amp;" "&amp;Milestones!$AC$88&amp;";  ","")&amp;IF(AND(EDATE($D26,Milestones!$AA$89)&lt;=AsOfDate,IF($Q26=0,$W26,IF(AND($S26&lt;&gt;"",EDATE($D26,Milestones!$AA$89)&gt;=$S26),$V26,IF(AND($R26&lt;&gt;"",EDATE($D26,Milestones!$AA$89)&gt;=$R26),$U26,$T26)))=Milestones!$AB$89),TEXT(EDATE($D26,Milestones!$AA$89),"dd/mm/yy")&amp;" "&amp;Milestones!$AB$89&amp;" "&amp;Milestones!$AC$89&amp;";  ","")&amp;IF(AND(EDATE($D26,Milestones!$AA$90)&lt;=AsOfDate,IF($Q26=0,$W26,IF(AND($S26&lt;&gt;"",EDATE($D26,Milestones!$AA$90)&gt;=$S26),$V26,IF(AND($R26&lt;&gt;"",EDATE($D26,Milestones!$AA$90)&gt;=$R26),$U26,$T26)))=Milestones!$AB$90),TEXT(EDATE($D26,Milestones!$AA$90),"dd/mm/yy")&amp;" "&amp;Milestones!$AB$90&amp;" "&amp;Milestones!$AC$90&amp;";  ","")&amp;IF(AND(EDATE($D26,Milestones!$AA$91)&lt;=AsOfDate,IF($Q26=0,$W26,IF(AND($S26&lt;&gt;"",EDATE($D26,Milestones!$AA$91)&gt;=$S26),$V26,IF(AND($R26&lt;&gt;"",EDATE($D26,Milestones!$AA$91)&gt;=$R26),$U26,$T26)))=Milestones!$AB$91),TEXT(EDATE($D26,Milestones!$AA$91),"dd/mm/yy")&amp;" "&amp;Milestones!$AB$91&amp;" "&amp;Milestones!$AC$91&amp;";  ","")&amp;IF(AND(EDATE($D26,Milestones!$AA$92)&lt;=AsOfDate,IF($Q26=0,$W26,IF(AND($S26&lt;&gt;"",EDATE($D26,Milestones!$AA$92)&gt;=$S26),$V26,IF(AND($R26&lt;&gt;"",EDATE($D26,Milestones!$AA$92)&gt;=$R26),$U26,$T26)))=Milestones!$AB$92),TEXT(EDATE($D26,Milestones!$AA$92),"dd/mm/yy")&amp;" "&amp;Milestones!$AB$92&amp;" "&amp;Milestones!$AC$92&amp;";  ","")&amp;IF(AND(EDATE($D26,Milestones!$AA$93)&lt;=AsOfDate,IF($Q26=0,$W26,IF(AND($S26&lt;&gt;"",EDATE($D26,Milestones!$AA$93)&gt;=$S26),$V26,IF(AND($R26&lt;&gt;"",EDATE($D26,Milestones!$AA$93)&gt;=$R26),$U26,$T26)))=Milestones!$AB$93),TEXT(EDATE($D26,Milestones!$AA$93),"dd/mm/yy")&amp;" "&amp;Milestones!$AB$93&amp;" "&amp;Milestones!$AC$93&amp;";  ","")&amp;IF(AND(EDATE($D26,Milestones!$AA$94)&lt;=AsOfDate,IF($Q26=0,$W26,IF(AND($S26&lt;&gt;"",EDATE($D26,Milestones!$AA$94)&gt;=$S26),$V26,IF(AND($R26&lt;&gt;"",EDATE($D26,Milestones!$AA$94)&gt;=$R26),$U26,$T26)))=Milestones!$AB$94),TEXT(EDATE($D26,Milestones!$AA$94),"dd/mm/yy")&amp;" "&amp;Milestones!$AB$94&amp;" "&amp;Milestones!$AC$94&amp;";  ","")&amp;IF(AND(EDATE($D26,Milestones!$AA$95)&lt;=AsOfDate,IF($Q26=0,$W26,IF(AND($S26&lt;&gt;"",EDATE($D26,Milestones!$AA$95)&gt;=$S26),$V26,IF(AND($R26&lt;&gt;"",EDATE($D26,Milestones!$AA$95)&gt;=$R26),$U26,$T26)))=Milestones!$AB$95),TEXT(EDATE($D26,Milestones!$AA$95),"dd/mm/yy")&amp;" "&amp;Milestones!$AB$95&amp;" "&amp;Milestones!$AC$95&amp;";  ","")&amp;IF(AND(EDATE($D26,Milestones!$AA$96)&lt;=AsOfDate,IF($Q26=0,$W26,IF(AND($S26&lt;&gt;"",EDATE($D26,Milestones!$AA$96)&gt;=$S26),$V26,IF(AND($R26&lt;&gt;"",EDATE($D26,Milestones!$AA$96)&gt;=$R26),$U26,$T26)))=Milestones!$AB$96),TEXT(EDATE($D26,Milestones!$AA$96),"dd/mm/yy")&amp;" "&amp;Milestones!$AB$96&amp;" "&amp;Milestones!$AC$96&amp;";  ","")&amp;IF(AND(EDATE($D26,Milestones!$AA$97)&lt;=AsOfDate,IF($Q26=0,$W26,IF(AND($S26&lt;&gt;"",EDATE($D26,Milestones!$AA$97)&gt;=$S26),$V26,IF(AND($R26&lt;&gt;"",EDATE($D26,Milestones!$AA$97)&gt;=$R26),$U26,$T26)))=Milestones!$AB$97),TEXT(EDATE($D26,Milestones!$AA$97),"dd/mm/yy")&amp;" "&amp;Milestones!$AB$97&amp;" "&amp;Milestones!$AC$97&amp;";  ","")&amp;IF(AND(EDATE($D26,Milestones!$AA$98)&lt;=AsOfDate,IF($Q26=0,$W26,IF(AND($S26&lt;&gt;"",EDATE($D26,Milestones!$AA$98)&gt;=$S26),$V26,IF(AND($R26&lt;&gt;"",EDATE($D26,Milestones!$AA$98)&gt;=$R26),$U26,$T26)))=Milestones!$AB$98),TEXT(EDATE($D26,Milestones!$AA$98),"dd/mm/yy")&amp;" "&amp;Milestones!$AB$98&amp;" "&amp;Milestones!$AC$98&amp;";  ","")&amp;IF(AND(EDATE($D26,Milestones!$AA$99)&lt;=AsOfDate,IF($Q26=0,$W26,IF(AND($S26&lt;&gt;"",EDATE($D26,Milestones!$AA$99)&gt;=$S26),$V26,IF(AND($R26&lt;&gt;"",EDATE($D26,Milestones!$AA$99)&gt;=$R26),$U26,$T26)))=Milestones!$AB$99),TEXT(EDATE($D26,Milestones!$AA$99),"dd/mm/yy")&amp;" "&amp;Milestones!$AB$99&amp;" "&amp;Milestones!$AC$99&amp;";  ",""))</f>
        <v/>
      </c>
      <c r="L26" s="0" t="str">
        <f aca="false">IF(OR($A26="",$D26=""),"",IF(AND(EDATE($D26,Milestones!$AA$100)&lt;=AsOfDate,IF($Q26=0,$W26,IF(AND($S26&lt;&gt;"",EDATE($D26,Milestones!$AA$100)&gt;=$S26),$V26,IF(AND($R26&lt;&gt;"",EDATE($D26,Milestones!$AA$100)&gt;=$R26),$U26,$T26)))=Milestones!$AB$100),TEXT(EDATE($D26,Milestones!$AA$100),"dd/mm/yy")&amp;" "&amp;Milestones!$AB$100&amp;" "&amp;Milestones!$AC$100&amp;";  ","")&amp;IF(AND(EDATE($D26,Milestones!$AA$101)&lt;=AsOfDate,IF($Q26=0,$W26,IF(AND($S26&lt;&gt;"",EDATE($D26,Milestones!$AA$101)&gt;=$S26),$V26,IF(AND($R26&lt;&gt;"",EDATE($D26,Milestones!$AA$101)&gt;=$R26),$U26,$T26)))=Milestones!$AB$101),TEXT(EDATE($D26,Milestones!$AA$101),"dd/mm/yy")&amp;" "&amp;Milestones!$AB$101&amp;" "&amp;Milestones!$AC$101&amp;";  ","")&amp;IF(AND(EDATE($D26,Milestones!$AA$102)&lt;=AsOfDate,IF($Q26=0,$W26,IF(AND($S26&lt;&gt;"",EDATE($D26,Milestones!$AA$102)&gt;=$S26),$V26,IF(AND($R26&lt;&gt;"",EDATE($D26,Milestones!$AA$102)&gt;=$R26),$U26,$T26)))=Milestones!$AB$102),TEXT(EDATE($D26,Milestones!$AA$102),"dd/mm/yy")&amp;" "&amp;Milestones!$AB$102&amp;" "&amp;Milestones!$AC$102&amp;";  ","")&amp;IF(AND(EDATE($D26,Milestones!$AA$103)&lt;=AsOfDate,IF($Q26=0,$W26,IF(AND($S26&lt;&gt;"",EDATE($D26,Milestones!$AA$103)&gt;=$S26),$V26,IF(AND($R26&lt;&gt;"",EDATE($D26,Milestones!$AA$103)&gt;=$R26),$U26,$T26)))=Milestones!$AB$103),TEXT(EDATE($D26,Milestones!$AA$103),"dd/mm/yy")&amp;" "&amp;Milestones!$AB$103&amp;" "&amp;Milestones!$AC$103&amp;";  ","")&amp;IF(AND(EDATE($D26,Milestones!$AA$104)&lt;=AsOfDate,IF($Q26=0,$W26,IF(AND($S26&lt;&gt;"",EDATE($D26,Milestones!$AA$104)&gt;=$S26),$V26,IF(AND($R26&lt;&gt;"",EDATE($D26,Milestones!$AA$104)&gt;=$R26),$U26,$T26)))=Milestones!$AB$104),TEXT(EDATE($D26,Milestones!$AA$104),"dd/mm/yy")&amp;" "&amp;Milestones!$AB$104&amp;" "&amp;Milestones!$AC$104&amp;";  ","")&amp;IF(AND(EDATE($D26,Milestones!$AA$105)&lt;=AsOfDate,IF($Q26=0,$W26,IF(AND($S26&lt;&gt;"",EDATE($D26,Milestones!$AA$105)&gt;=$S26),$V26,IF(AND($R26&lt;&gt;"",EDATE($D26,Milestones!$AA$105)&gt;=$R26),$U26,$T26)))=Milestones!$AB$105),TEXT(EDATE($D26,Milestones!$AA$105),"dd/mm/yy")&amp;" "&amp;Milestones!$AB$105&amp;" "&amp;Milestones!$AC$105&amp;";  ","")&amp;IF(AND(EDATE($D26,Milestones!$AA$106)&lt;=AsOfDate,IF($Q26=0,$W26,IF(AND($S26&lt;&gt;"",EDATE($D26,Milestones!$AA$106)&gt;=$S26),$V26,IF(AND($R26&lt;&gt;"",EDATE($D26,Milestones!$AA$106)&gt;=$R26),$U26,$T26)))=Milestones!$AB$106),TEXT(EDATE($D26,Milestones!$AA$106),"dd/mm/yy")&amp;" "&amp;Milestones!$AB$106&amp;" "&amp;Milestones!$AC$106&amp;";  ","")&amp;IF(AND(EDATE($D26,Milestones!$AA$107)&lt;=AsOfDate,IF($Q26=0,$W26,IF(AND($S26&lt;&gt;"",EDATE($D26,Milestones!$AA$107)&gt;=$S26),$V26,IF(AND($R26&lt;&gt;"",EDATE($D26,Milestones!$AA$107)&gt;=$R26),$U26,$T26)))=Milestones!$AB$107),TEXT(EDATE($D26,Milestones!$AA$107),"dd/mm/yy")&amp;" "&amp;Milestones!$AB$107&amp;" "&amp;Milestones!$AC$107&amp;";  ","")&amp;IF(AND(EDATE($D26,Milestones!$AA$108)&lt;=AsOfDate,IF($Q26=0,$W26,IF(AND($S26&lt;&gt;"",EDATE($D26,Milestones!$AA$108)&gt;=$S26),$V26,IF(AND($R26&lt;&gt;"",EDATE($D26,Milestones!$AA$108)&gt;=$R26),$U26,$T26)))=Milestones!$AB$108),TEXT(EDATE($D26,Milestones!$AA$108),"dd/mm/yy")&amp;" "&amp;Milestones!$AB$108&amp;" "&amp;Milestones!$AC$108&amp;";  ","")&amp;IF(AND(EDATE($D26,Milestones!$AA$109)&lt;=AsOfDate,IF($Q26=0,$W26,IF(AND($S26&lt;&gt;"",EDATE($D26,Milestones!$AA$109)&gt;=$S26),$V26,IF(AND($R26&lt;&gt;"",EDATE($D26,Milestones!$AA$109)&gt;=$R26),$U26,$T26)))=Milestones!$AB$109),TEXT(EDATE($D26,Milestones!$AA$109),"dd/mm/yy")&amp;" "&amp;Milestones!$AB$109&amp;" "&amp;Milestones!$AC$109&amp;";  ","")&amp;IF(AND(EDATE($D26,Milestones!$AA$110)&lt;=AsOfDate,IF($Q26=0,$W26,IF(AND($S26&lt;&gt;"",EDATE($D26,Milestones!$AA$110)&gt;=$S26),$V26,IF(AND($R26&lt;&gt;"",EDATE($D26,Milestones!$AA$110)&gt;=$R26),$U26,$T26)))=Milestones!$AB$110),TEXT(EDATE($D26,Milestones!$AA$110),"dd/mm/yy")&amp;" "&amp;Milestones!$AB$110&amp;" "&amp;Milestones!$AC$110&amp;";  ","")&amp;IF(AND(EDATE($D26,Milestones!$AA$111)&lt;=AsOfDate,IF($Q26=0,$W26,IF(AND($S26&lt;&gt;"",EDATE($D26,Milestones!$AA$111)&gt;=$S26),$V26,IF(AND($R26&lt;&gt;"",EDATE($D26,Milestones!$AA$111)&gt;=$R26),$U26,$T26)))=Milestones!$AB$111),TEXT(EDATE($D26,Milestones!$AA$111),"dd/mm/yy")&amp;" "&amp;Milestones!$AB$111&amp;" "&amp;Milestones!$AC$111&amp;";  ","")&amp;IF(AND(EDATE($D26,Milestones!$AA$112)&lt;=AsOfDate,IF($Q26=0,$W26,IF(AND($S26&lt;&gt;"",EDATE($D26,Milestones!$AA$112)&gt;=$S26),$V26,IF(AND($R26&lt;&gt;"",EDATE($D26,Milestones!$AA$112)&gt;=$R26),$U26,$T26)))=Milestones!$AB$112),TEXT(EDATE($D26,Milestones!$AA$112),"dd/mm/yy")&amp;" "&amp;Milestones!$AB$112&amp;" "&amp;Milestones!$AC$112&amp;";  ","")&amp;IF(AND(EDATE($D26,Milestones!$AA$113)&lt;=AsOfDate,IF($Q26=0,$W26,IF(AND($S26&lt;&gt;"",EDATE($D26,Milestones!$AA$113)&gt;=$S26),$V26,IF(AND($R26&lt;&gt;"",EDATE($D26,Milestones!$AA$113)&gt;=$R26),$U26,$T26)))=Milestones!$AB$113),TEXT(EDATE($D26,Milestones!$AA$113),"dd/mm/yy")&amp;" "&amp;Milestones!$AB$113&amp;" "&amp;Milestones!$AC$113&amp;";  ","")&amp;IF(AND(EDATE($D26,Milestones!$AA$114)&lt;=AsOfDate,IF($Q26=0,$W26,IF(AND($S26&lt;&gt;"",EDATE($D26,Milestones!$AA$114)&gt;=$S26),$V26,IF(AND($R26&lt;&gt;"",EDATE($D26,Milestones!$AA$114)&gt;=$R26),$U26,$T26)))=Milestones!$AB$114),TEXT(EDATE($D26,Milestones!$AA$114),"dd/mm/yy")&amp;" "&amp;Milestones!$AB$114&amp;" "&amp;Milestones!$AC$114&amp;";  ","")&amp;IF(AND(EDATE($D26,Milestones!$AA$115)&lt;=AsOfDate,IF($Q26=0,$W26,IF(AND($S26&lt;&gt;"",EDATE($D26,Milestones!$AA$115)&gt;=$S26),$V26,IF(AND($R26&lt;&gt;"",EDATE($D26,Milestones!$AA$115)&gt;=$R26),$U26,$T26)))=Milestones!$AB$115),TEXT(EDATE($D26,Milestones!$AA$115),"dd/mm/yy")&amp;" "&amp;Milestones!$AB$115&amp;" "&amp;Milestones!$AC$115&amp;";  ","")&amp;IF(AND(EDATE($D26,Milestones!$AA$116)&lt;=AsOfDate,IF($Q26=0,$W26,IF(AND($S26&lt;&gt;"",EDATE($D26,Milestones!$AA$116)&gt;=$S26),$V26,IF(AND($R26&lt;&gt;"",EDATE($D26,Milestones!$AA$116)&gt;=$R26),$U26,$T26)))=Milestones!$AB$116),TEXT(EDATE($D26,Milestones!$AA$116),"dd/mm/yy")&amp;" "&amp;Milestones!$AB$116&amp;" "&amp;Milestones!$AC$116&amp;";  ","")&amp;IF(AND(EDATE($D26,Milestones!$AA$117)&lt;=AsOfDate,IF($Q26=0,$W26,IF(AND($S26&lt;&gt;"",EDATE($D26,Milestones!$AA$117)&gt;=$S26),$V26,IF(AND($R26&lt;&gt;"",EDATE($D26,Milestones!$AA$117)&gt;=$R26),$U26,$T26)))=Milestones!$AB$117),TEXT(EDATE($D26,Milestones!$AA$117),"dd/mm/yy")&amp;" "&amp;Milestones!$AB$117&amp;" "&amp;Milestones!$AC$117&amp;";  ","")&amp;IF(AND(EDATE($D26,Milestones!$AA$118)&lt;=AsOfDate,IF($Q26=0,$W26,IF(AND($S26&lt;&gt;"",EDATE($D26,Milestones!$AA$118)&gt;=$S26),$V26,IF(AND($R26&lt;&gt;"",EDATE($D26,Milestones!$AA$118)&gt;=$R26),$U26,$T26)))=Milestones!$AB$118),TEXT(EDATE($D26,Milestones!$AA$118),"dd/mm/yy")&amp;" "&amp;Milestones!$AB$118&amp;" "&amp;Milestones!$AC$118&amp;";  ","")&amp;IF(AND(EDATE($D26,Milestones!$AA$119)&lt;=AsOfDate,IF($Q26=0,$W26,IF(AND($S26&lt;&gt;"",EDATE($D26,Milestones!$AA$119)&gt;=$S26),$V26,IF(AND($R26&lt;&gt;"",EDATE($D26,Milestones!$AA$119)&gt;=$R26),$U26,$T26)))=Milestones!$AB$119),TEXT(EDATE($D26,Milestones!$AA$119),"dd/mm/yy")&amp;" "&amp;Milestones!$AB$119&amp;" "&amp;Milestones!$AC$119&amp;";  ",""))</f>
        <v/>
      </c>
      <c r="M26" s="0" t="str">
        <f aca="false">IF(OR($A26="",$D26=""),"",IF(AND(EDATE($D26,Milestones!$AA$120)&lt;=AsOfDate,IF($Q26=0,$W26,IF(AND($S26&lt;&gt;"",EDATE($D26,Milestones!$AA$120)&gt;=$S26),$V26,IF(AND($R26&lt;&gt;"",EDATE($D26,Milestones!$AA$120)&gt;=$R26),$U26,$T26)))=Milestones!$AB$120),TEXT(EDATE($D26,Milestones!$AA$120),"dd/mm/yy")&amp;" "&amp;Milestones!$AB$120&amp;" "&amp;Milestones!$AC$120&amp;";  ","")&amp;IF(AND(EDATE($D26,Milestones!$AA$121)&lt;=AsOfDate,IF($Q26=0,$W26,IF(AND($S26&lt;&gt;"",EDATE($D26,Milestones!$AA$121)&gt;=$S26),$V26,IF(AND($R26&lt;&gt;"",EDATE($D26,Milestones!$AA$121)&gt;=$R26),$U26,$T26)))=Milestones!$AB$121),TEXT(EDATE($D26,Milestones!$AA$121),"dd/mm/yy")&amp;" "&amp;Milestones!$AB$121&amp;" "&amp;Milestones!$AC$121&amp;";  ","")&amp;IF(AND(EDATE($D26,Milestones!$AA$122)&lt;=AsOfDate,IF($Q26=0,$W26,IF(AND($S26&lt;&gt;"",EDATE($D26,Milestones!$AA$122)&gt;=$S26),$V26,IF(AND($R26&lt;&gt;"",EDATE($D26,Milestones!$AA$122)&gt;=$R26),$U26,$T26)))=Milestones!$AB$122),TEXT(EDATE($D26,Milestones!$AA$122),"dd/mm/yy")&amp;" "&amp;Milestones!$AB$122&amp;" "&amp;Milestones!$AC$122&amp;";  ","")&amp;IF(AND(EDATE($D26,Milestones!$AA$123)&lt;=AsOfDate,IF($Q26=0,$W26,IF(AND($S26&lt;&gt;"",EDATE($D26,Milestones!$AA$123)&gt;=$S26),$V26,IF(AND($R26&lt;&gt;"",EDATE($D26,Milestones!$AA$123)&gt;=$R26),$U26,$T26)))=Milestones!$AB$123),TEXT(EDATE($D26,Milestones!$AA$123),"dd/mm/yy")&amp;" "&amp;Milestones!$AB$123&amp;" "&amp;Milestones!$AC$123&amp;";  ","")&amp;IF(AND(EDATE($D26,Milestones!$AA$124)&lt;=AsOfDate,IF($Q26=0,$W26,IF(AND($S26&lt;&gt;"",EDATE($D26,Milestones!$AA$124)&gt;=$S26),$V26,IF(AND($R26&lt;&gt;"",EDATE($D26,Milestones!$AA$124)&gt;=$R26),$U26,$T26)))=Milestones!$AB$124),TEXT(EDATE($D26,Milestones!$AA$124),"dd/mm/yy")&amp;" "&amp;Milestones!$AB$124&amp;" "&amp;Milestones!$AC$124&amp;";  ","")&amp;IF(AND(EDATE($D26,Milestones!$AA$125)&lt;=AsOfDate,IF($Q26=0,$W26,IF(AND($S26&lt;&gt;"",EDATE($D26,Milestones!$AA$125)&gt;=$S26),$V26,IF(AND($R26&lt;&gt;"",EDATE($D26,Milestones!$AA$125)&gt;=$R26),$U26,$T26)))=Milestones!$AB$125),TEXT(EDATE($D26,Milestones!$AA$125),"dd/mm/yy")&amp;" "&amp;Milestones!$AB$125&amp;" "&amp;Milestones!$AC$125&amp;";  ","")&amp;IF(AND(EDATE($D26,Milestones!$AA$126)&lt;=AsOfDate,IF($Q26=0,$W26,IF(AND($S26&lt;&gt;"",EDATE($D26,Milestones!$AA$126)&gt;=$S26),$V26,IF(AND($R26&lt;&gt;"",EDATE($D26,Milestones!$AA$126)&gt;=$R26),$U26,$T26)))=Milestones!$AB$126),TEXT(EDATE($D26,Milestones!$AA$126),"dd/mm/yy")&amp;" "&amp;Milestones!$AB$126&amp;" "&amp;Milestones!$AC$126&amp;";  ","")&amp;IF(AND(EDATE($D26,Milestones!$AA$127)&lt;=AsOfDate,IF($Q26=0,$W26,IF(AND($S26&lt;&gt;"",EDATE($D26,Milestones!$AA$127)&gt;=$S26),$V26,IF(AND($R26&lt;&gt;"",EDATE($D26,Milestones!$AA$127)&gt;=$R26),$U26,$T26)))=Milestones!$AB$127),TEXT(EDATE($D26,Milestones!$AA$127),"dd/mm/yy")&amp;" "&amp;Milestones!$AB$127&amp;" "&amp;Milestones!$AC$127&amp;";  ","")&amp;IF(AND(EDATE($D26,Milestones!$AA$128)&lt;=AsOfDate,IF($Q26=0,$W26,IF(AND($S26&lt;&gt;"",EDATE($D26,Milestones!$AA$128)&gt;=$S26),$V26,IF(AND($R26&lt;&gt;"",EDATE($D26,Milestones!$AA$128)&gt;=$R26),$U26,$T26)))=Milestones!$AB$128),TEXT(EDATE($D26,Milestones!$AA$128),"dd/mm/yy")&amp;" "&amp;Milestones!$AB$128&amp;" "&amp;Milestones!$AC$128&amp;";  ","")&amp;IF(AND(EDATE($D26,Milestones!$AA$129)&lt;=AsOfDate,IF($Q26=0,$W26,IF(AND($S26&lt;&gt;"",EDATE($D26,Milestones!$AA$129)&gt;=$S26),$V26,IF(AND($R26&lt;&gt;"",EDATE($D26,Milestones!$AA$129)&gt;=$R26),$U26,$T26)))=Milestones!$AB$129),TEXT(EDATE($D26,Milestones!$AA$129),"dd/mm/yy")&amp;" "&amp;Milestones!$AB$129&amp;" "&amp;Milestones!$AC$129&amp;";  ","")&amp;IF(AND(EDATE($D26,Milestones!$AA$130)&lt;=AsOfDate,IF($Q26=0,$W26,IF(AND($S26&lt;&gt;"",EDATE($D26,Milestones!$AA$130)&gt;=$S26),$V26,IF(AND($R26&lt;&gt;"",EDATE($D26,Milestones!$AA$130)&gt;=$R26),$U26,$T26)))=Milestones!$AB$130),TEXT(EDATE($D26,Milestones!$AA$130),"dd/mm/yy")&amp;" "&amp;Milestones!$AB$130&amp;" "&amp;Milestones!$AC$130&amp;";  ","")&amp;IF(AND(EDATE($D26,Milestones!$AA$131)&lt;=AsOfDate,IF($Q26=0,$W26,IF(AND($S26&lt;&gt;"",EDATE($D26,Milestones!$AA$131)&gt;=$S26),$V26,IF(AND($R26&lt;&gt;"",EDATE($D26,Milestones!$AA$131)&gt;=$R26),$U26,$T26)))=Milestones!$AB$131),TEXT(EDATE($D26,Milestones!$AA$131),"dd/mm/yy")&amp;" "&amp;Milestones!$AB$131&amp;" "&amp;Milestones!$AC$131&amp;";  ","")&amp;IF(AND(EDATE($D26,Milestones!$AA$132)&lt;=AsOfDate,IF($Q26=0,$W26,IF(AND($S26&lt;&gt;"",EDATE($D26,Milestones!$AA$132)&gt;=$S26),$V26,IF(AND($R26&lt;&gt;"",EDATE($D26,Milestones!$AA$132)&gt;=$R26),$U26,$T26)))=Milestones!$AB$132),TEXT(EDATE($D26,Milestones!$AA$132),"dd/mm/yy")&amp;" "&amp;Milestones!$AB$132&amp;" "&amp;Milestones!$AC$132&amp;";  ","")&amp;IF(AND(EDATE($D26,Milestones!$AA$133)&lt;=AsOfDate,IF($Q26=0,$W26,IF(AND($S26&lt;&gt;"",EDATE($D26,Milestones!$AA$133)&gt;=$S26),$V26,IF(AND($R26&lt;&gt;"",EDATE($D26,Milestones!$AA$133)&gt;=$R26),$U26,$T26)))=Milestones!$AB$133),TEXT(EDATE($D26,Milestones!$AA$133),"dd/mm/yy")&amp;" "&amp;Milestones!$AB$133&amp;" "&amp;Milestones!$AC$133&amp;";  ","")&amp;IF(AND(EDATE($D26,Milestones!$AA$134)&lt;=AsOfDate,IF($Q26=0,$W26,IF(AND($S26&lt;&gt;"",EDATE($D26,Milestones!$AA$134)&gt;=$S26),$V26,IF(AND($R26&lt;&gt;"",EDATE($D26,Milestones!$AA$134)&gt;=$R26),$U26,$T26)))=Milestones!$AB$134),TEXT(EDATE($D26,Milestones!$AA$134),"dd/mm/yy")&amp;" "&amp;Milestones!$AB$134&amp;" "&amp;Milestones!$AC$134&amp;";  ","")&amp;IF(AND(EDATE($D26,Milestones!$AA$135)&lt;=AsOfDate,IF($Q26=0,$W26,IF(AND($S26&lt;&gt;"",EDATE($D26,Milestones!$AA$135)&gt;=$S26),$V26,IF(AND($R26&lt;&gt;"",EDATE($D26,Milestones!$AA$135)&gt;=$R26),$U26,$T26)))=Milestones!$AB$135),TEXT(EDATE($D26,Milestones!$AA$135),"dd/mm/yy")&amp;" "&amp;Milestones!$AB$135&amp;" "&amp;Milestones!$AC$135&amp;";  ","")&amp;IF(AND(EDATE($D26,Milestones!$AA$136)&lt;=AsOfDate,IF($Q26=0,$W26,IF(AND($S26&lt;&gt;"",EDATE($D26,Milestones!$AA$136)&gt;=$S26),$V26,IF(AND($R26&lt;&gt;"",EDATE($D26,Milestones!$AA$136)&gt;=$R26),$U26,$T26)))=Milestones!$AB$136),TEXT(EDATE($D26,Milestones!$AA$136),"dd/mm/yy")&amp;" "&amp;Milestones!$AB$136&amp;" "&amp;Milestones!$AC$136&amp;";  ","")&amp;IF(AND(EDATE($D26,Milestones!$AA$137)&lt;=AsOfDate,IF($Q26=0,$W26,IF(AND($S26&lt;&gt;"",EDATE($D26,Milestones!$AA$137)&gt;=$S26),$V26,IF(AND($R26&lt;&gt;"",EDATE($D26,Milestones!$AA$137)&gt;=$R26),$U26,$T26)))=Milestones!$AB$137),TEXT(EDATE($D26,Milestones!$AA$137),"dd/mm/yy")&amp;" "&amp;Milestones!$AB$137&amp;" "&amp;Milestones!$AC$137&amp;";  ","")&amp;IF(AND(EDATE($D26,Milestones!$AA$138)&lt;=AsOfDate,IF($Q26=0,$W26,IF(AND($S26&lt;&gt;"",EDATE($D26,Milestones!$AA$138)&gt;=$S26),$V26,IF(AND($R26&lt;&gt;"",EDATE($D26,Milestones!$AA$138)&gt;=$R26),$U26,$T26)))=Milestones!$AB$138),TEXT(EDATE($D26,Milestones!$AA$138),"dd/mm/yy")&amp;" "&amp;Milestones!$AB$138&amp;" "&amp;Milestones!$AC$138&amp;";  ","")&amp;IF(AND(EDATE($D26,Milestones!$AA$139)&lt;=AsOfDate,IF($Q26=0,$W26,IF(AND($S26&lt;&gt;"",EDATE($D26,Milestones!$AA$139)&gt;=$S26),$V26,IF(AND($R26&lt;&gt;"",EDATE($D26,Milestones!$AA$139)&gt;=$R26),$U26,$T26)))=Milestones!$AB$139),TEXT(EDATE($D26,Milestones!$AA$139),"dd/mm/yy")&amp;" "&amp;Milestones!$AB$139&amp;" "&amp;Milestones!$AC$139&amp;";  ",""))</f>
        <v/>
      </c>
      <c r="N26" s="0" t="str">
        <f aca="false">IF(OR($A26="",$D26=""),"",IF(AND(EDATE($D26,Milestones!$AA$140)&lt;=AsOfDate,IF($Q26=0,$W26,IF(AND($S26&lt;&gt;"",EDATE($D26,Milestones!$AA$140)&gt;=$S26),$V26,IF(AND($R26&lt;&gt;"",EDATE($D26,Milestones!$AA$140)&gt;=$R26),$U26,$T26)))=Milestones!$AB$140),TEXT(EDATE($D26,Milestones!$AA$140),"dd/mm/yy")&amp;" "&amp;Milestones!$AB$140&amp;" "&amp;Milestones!$AC$140&amp;";  ","")&amp;IF(AND(EDATE($D26,Milestones!$AA$141)&lt;=AsOfDate,IF($Q26=0,$W26,IF(AND($S26&lt;&gt;"",EDATE($D26,Milestones!$AA$141)&gt;=$S26),$V26,IF(AND($R26&lt;&gt;"",EDATE($D26,Milestones!$AA$141)&gt;=$R26),$U26,$T26)))=Milestones!$AB$141),TEXT(EDATE($D26,Milestones!$AA$141),"dd/mm/yy")&amp;" "&amp;Milestones!$AB$141&amp;" "&amp;Milestones!$AC$141&amp;";  ","")&amp;IF(AND(EDATE($D26,Milestones!$AA$142)&lt;=AsOfDate,IF($Q26=0,$W26,IF(AND($S26&lt;&gt;"",EDATE($D26,Milestones!$AA$142)&gt;=$S26),$V26,IF(AND($R26&lt;&gt;"",EDATE($D26,Milestones!$AA$142)&gt;=$R26),$U26,$T26)))=Milestones!$AB$142),TEXT(EDATE($D26,Milestones!$AA$142),"dd/mm/yy")&amp;" "&amp;Milestones!$AB$142&amp;" "&amp;Milestones!$AC$142&amp;";  ","")&amp;IF(AND(EDATE($D26,Milestones!$AA$143)&lt;=AsOfDate,IF($Q26=0,$W26,IF(AND($S26&lt;&gt;"",EDATE($D26,Milestones!$AA$143)&gt;=$S26),$V26,IF(AND($R26&lt;&gt;"",EDATE($D26,Milestones!$AA$143)&gt;=$R26),$U26,$T26)))=Milestones!$AB$143),TEXT(EDATE($D26,Milestones!$AA$143),"dd/mm/yy")&amp;" "&amp;Milestones!$AB$143&amp;" "&amp;Milestones!$AC$143&amp;";  ","")&amp;IF(AND(EDATE($D26,Milestones!$AA$144)&lt;=AsOfDate,IF($Q26=0,$W26,IF(AND($S26&lt;&gt;"",EDATE($D26,Milestones!$AA$144)&gt;=$S26),$V26,IF(AND($R26&lt;&gt;"",EDATE($D26,Milestones!$AA$144)&gt;=$R26),$U26,$T26)))=Milestones!$AB$144),TEXT(EDATE($D26,Milestones!$AA$144),"dd/mm/yy")&amp;" "&amp;Milestones!$AB$144&amp;" "&amp;Milestones!$AC$144&amp;";  ","")&amp;IF(AND(EDATE($D26,Milestones!$AA$145)&lt;=AsOfDate,IF($Q26=0,$W26,IF(AND($S26&lt;&gt;"",EDATE($D26,Milestones!$AA$145)&gt;=$S26),$V26,IF(AND($R26&lt;&gt;"",EDATE($D26,Milestones!$AA$145)&gt;=$R26),$U26,$T26)))=Milestones!$AB$145),TEXT(EDATE($D26,Milestones!$AA$145),"dd/mm/yy")&amp;" "&amp;Milestones!$AB$145&amp;" "&amp;Milestones!$AC$145&amp;";  ","")&amp;IF(AND(EDATE($D26,Milestones!$AA$146)&lt;=AsOfDate,IF($Q26=0,$W26,IF(AND($S26&lt;&gt;"",EDATE($D26,Milestones!$AA$146)&gt;=$S26),$V26,IF(AND($R26&lt;&gt;"",EDATE($D26,Milestones!$AA$146)&gt;=$R26),$U26,$T26)))=Milestones!$AB$146),TEXT(EDATE($D26,Milestones!$AA$146),"dd/mm/yy")&amp;" "&amp;Milestones!$AB$146&amp;" "&amp;Milestones!$AC$146&amp;";  ","")&amp;IF(AND(EDATE($D26,Milestones!$AA$147)&lt;=AsOfDate,IF($Q26=0,$W26,IF(AND($S26&lt;&gt;"",EDATE($D26,Milestones!$AA$147)&gt;=$S26),$V26,IF(AND($R26&lt;&gt;"",EDATE($D26,Milestones!$AA$147)&gt;=$R26),$U26,$T26)))=Milestones!$AB$147),TEXT(EDATE($D26,Milestones!$AA$147),"dd/mm/yy")&amp;" "&amp;Milestones!$AB$147&amp;" "&amp;Milestones!$AC$147&amp;";  ","")&amp;IF(AND(EDATE($D26,Milestones!$AA$148)&lt;=AsOfDate,IF($Q26=0,$W26,IF(AND($S26&lt;&gt;"",EDATE($D26,Milestones!$AA$148)&gt;=$S26),$V26,IF(AND($R26&lt;&gt;"",EDATE($D26,Milestones!$AA$148)&gt;=$R26),$U26,$T26)))=Milestones!$AB$148),TEXT(EDATE($D26,Milestones!$AA$148),"dd/mm/yy")&amp;" "&amp;Milestones!$AB$148&amp;" "&amp;Milestones!$AC$148&amp;";  ","")&amp;IF(AND(EDATE($D26,Milestones!$AA$149)&lt;=AsOfDate,IF($Q26=0,$W26,IF(AND($S26&lt;&gt;"",EDATE($D26,Milestones!$AA$149)&gt;=$S26),$V26,IF(AND($R26&lt;&gt;"",EDATE($D26,Milestones!$AA$149)&gt;=$R26),$U26,$T26)))=Milestones!$AB$149),TEXT(EDATE($D26,Milestones!$AA$149),"dd/mm/yy")&amp;" "&amp;Milestones!$AB$149&amp;" "&amp;Milestones!$AC$149&amp;";  ","")&amp;IF(AND(EDATE($D26,Milestones!$AA$150)&lt;=AsOfDate,IF($Q26=0,$W26,IF(AND($S26&lt;&gt;"",EDATE($D26,Milestones!$AA$150)&gt;=$S26),$V26,IF(AND($R26&lt;&gt;"",EDATE($D26,Milestones!$AA$150)&gt;=$R26),$U26,$T26)))=Milestones!$AB$150),TEXT(EDATE($D26,Milestones!$AA$150),"dd/mm/yy")&amp;" "&amp;Milestones!$AB$150&amp;" "&amp;Milestones!$AC$150&amp;";  ","")&amp;IF(AND(EDATE($D26,Milestones!$AA$151)&lt;=AsOfDate,IF($Q26=0,$W26,IF(AND($S26&lt;&gt;"",EDATE($D26,Milestones!$AA$151)&gt;=$S26),$V26,IF(AND($R26&lt;&gt;"",EDATE($D26,Milestones!$AA$151)&gt;=$R26),$U26,$T26)))=Milestones!$AB$151),TEXT(EDATE($D26,Milestones!$AA$151),"dd/mm/yy")&amp;" "&amp;Milestones!$AB$151&amp;" "&amp;Milestones!$AC$151&amp;";  ","")&amp;IF(AND(EDATE($D26,Milestones!$AA$152)&lt;=AsOfDate,IF($Q26=0,$W26,IF(AND($S26&lt;&gt;"",EDATE($D26,Milestones!$AA$152)&gt;=$S26),$V26,IF(AND($R26&lt;&gt;"",EDATE($D26,Milestones!$AA$152)&gt;=$R26),$U26,$T26)))=Milestones!$AB$152),TEXT(EDATE($D26,Milestones!$AA$152),"dd/mm/yy")&amp;" "&amp;Milestones!$AB$152&amp;" "&amp;Milestones!$AC$152&amp;";  ","")&amp;IF(AND(EDATE($D26,Milestones!$AA$153)&lt;=AsOfDate,IF($Q26=0,$W26,IF(AND($S26&lt;&gt;"",EDATE($D26,Milestones!$AA$153)&gt;=$S26),$V26,IF(AND($R26&lt;&gt;"",EDATE($D26,Milestones!$AA$153)&gt;=$R26),$U26,$T26)))=Milestones!$AB$153),TEXT(EDATE($D26,Milestones!$AA$153),"dd/mm/yy")&amp;" "&amp;Milestones!$AB$153&amp;" "&amp;Milestones!$AC$153&amp;";  ","")&amp;IF(AND(EDATE($D26,Milestones!$AA$154)&lt;=AsOfDate,IF($Q26=0,$W26,IF(AND($S26&lt;&gt;"",EDATE($D26,Milestones!$AA$154)&gt;=$S26),$V26,IF(AND($R26&lt;&gt;"",EDATE($D26,Milestones!$AA$154)&gt;=$R26),$U26,$T26)))=Milestones!$AB$154),TEXT(EDATE($D26,Milestones!$AA$154),"dd/mm/yy")&amp;" "&amp;Milestones!$AB$154&amp;" "&amp;Milestones!$AC$154&amp;";  ","")&amp;IF(AND(EDATE($D26,Milestones!$AA$155)&lt;=AsOfDate,IF($Q26=0,$W26,IF(AND($S26&lt;&gt;"",EDATE($D26,Milestones!$AA$155)&gt;=$S26),$V26,IF(AND($R26&lt;&gt;"",EDATE($D26,Milestones!$AA$155)&gt;=$R26),$U26,$T26)))=Milestones!$AB$155),TEXT(EDATE($D26,Milestones!$AA$155),"dd/mm/yy")&amp;" "&amp;Milestones!$AB$155&amp;" "&amp;Milestones!$AC$155&amp;";  ","")&amp;IF(AND(EDATE($D26,Milestones!$AA$156)&lt;=AsOfDate,IF($Q26=0,$W26,IF(AND($S26&lt;&gt;"",EDATE($D26,Milestones!$AA$156)&gt;=$S26),$V26,IF(AND($R26&lt;&gt;"",EDATE($D26,Milestones!$AA$156)&gt;=$R26),$U26,$T26)))=Milestones!$AB$156),TEXT(EDATE($D26,Milestones!$AA$156),"dd/mm/yy")&amp;" "&amp;Milestones!$AB$156&amp;" "&amp;Milestones!$AC$156&amp;";  ","")&amp;IF(AND(EDATE($D26,Milestones!$AA$157)&lt;=AsOfDate,IF($Q26=0,$W26,IF(AND($S26&lt;&gt;"",EDATE($D26,Milestones!$AA$157)&gt;=$S26),$V26,IF(AND($R26&lt;&gt;"",EDATE($D26,Milestones!$AA$157)&gt;=$R26),$U26,$T26)))=Milestones!$AB$157),TEXT(EDATE($D26,Milestones!$AA$157),"dd/mm/yy")&amp;" "&amp;Milestones!$AB$157&amp;" "&amp;Milestones!$AC$157&amp;";  ","")&amp;IF(AND(EDATE($D26,Milestones!$AA$158)&lt;=AsOfDate,IF($Q26=0,$W26,IF(AND($S26&lt;&gt;"",EDATE($D26,Milestones!$AA$158)&gt;=$S26),$V26,IF(AND($R26&lt;&gt;"",EDATE($D26,Milestones!$AA$158)&gt;=$R26),$U26,$T26)))=Milestones!$AB$158),TEXT(EDATE($D26,Milestones!$AA$158),"dd/mm/yy")&amp;" "&amp;Milestones!$AB$158&amp;" "&amp;Milestones!$AC$158&amp;";  ","")&amp;IF(AND(EDATE($D26,Milestones!$AA$159)&lt;=AsOfDate,IF($Q26=0,$W26,IF(AND($S26&lt;&gt;"",EDATE($D26,Milestones!$AA$159)&gt;=$S26),$V26,IF(AND($R26&lt;&gt;"",EDATE($D26,Milestones!$AA$159)&gt;=$R26),$U26,$T26)))=Milestones!$AB$159),TEXT(EDATE($D26,Milestones!$AA$159),"dd/mm/yy")&amp;" "&amp;Milestones!$AB$159&amp;" "&amp;Milestones!$AC$159&amp;";  ",""))</f>
        <v/>
      </c>
      <c r="O26" s="0" t="str">
        <f aca="false">IF(OR($A26="",$D26=""),"",IF(AND(EDATE($D26,Milestones!$AA$160)&lt;=AsOfDate,IF($Q26=0,$W26,IF(AND($S26&lt;&gt;"",EDATE($D26,Milestones!$AA$160)&gt;=$S26),$V26,IF(AND($R26&lt;&gt;"",EDATE($D26,Milestones!$AA$160)&gt;=$R26),$U26,$T26)))=Milestones!$AB$160),TEXT(EDATE($D26,Milestones!$AA$160),"dd/mm/yy")&amp;" "&amp;Milestones!$AB$160&amp;" "&amp;Milestones!$AC$160&amp;";  ","")&amp;IF(AND(EDATE($D26,Milestones!$AA$161)&lt;=AsOfDate,IF($Q26=0,$W26,IF(AND($S26&lt;&gt;"",EDATE($D26,Milestones!$AA$161)&gt;=$S26),$V26,IF(AND($R26&lt;&gt;"",EDATE($D26,Milestones!$AA$161)&gt;=$R26),$U26,$T26)))=Milestones!$AB$161),TEXT(EDATE($D26,Milestones!$AA$161),"dd/mm/yy")&amp;" "&amp;Milestones!$AB$161&amp;" "&amp;Milestones!$AC$161&amp;";  ","")&amp;IF(AND(EDATE($D26,Milestones!$AA$162)&lt;=AsOfDate,IF($Q26=0,$W26,IF(AND($S26&lt;&gt;"",EDATE($D26,Milestones!$AA$162)&gt;=$S26),$V26,IF(AND($R26&lt;&gt;"",EDATE($D26,Milestones!$AA$162)&gt;=$R26),$U26,$T26)))=Milestones!$AB$162),TEXT(EDATE($D26,Milestones!$AA$162),"dd/mm/yy")&amp;" "&amp;Milestones!$AB$162&amp;" "&amp;Milestones!$AC$162&amp;";  ","")&amp;IF(AND(EDATE($D26,Milestones!$AA$163)&lt;=AsOfDate,IF($Q26=0,$W26,IF(AND($S26&lt;&gt;"",EDATE($D26,Milestones!$AA$163)&gt;=$S26),$V26,IF(AND($R26&lt;&gt;"",EDATE($D26,Milestones!$AA$163)&gt;=$R26),$U26,$T26)))=Milestones!$AB$163),TEXT(EDATE($D26,Milestones!$AA$163),"dd/mm/yy")&amp;" "&amp;Milestones!$AB$163&amp;" "&amp;Milestones!$AC$163&amp;";  ","")&amp;IF(AND(EDATE($D26,Milestones!$AA$164)&lt;=AsOfDate,IF($Q26=0,$W26,IF(AND($S26&lt;&gt;"",EDATE($D26,Milestones!$AA$164)&gt;=$S26),$V26,IF(AND($R26&lt;&gt;"",EDATE($D26,Milestones!$AA$164)&gt;=$R26),$U26,$T26)))=Milestones!$AB$164),TEXT(EDATE($D26,Milestones!$AA$164),"dd/mm/yy")&amp;" "&amp;Milestones!$AB$164&amp;" "&amp;Milestones!$AC$164&amp;";  ","")&amp;IF(AND(EDATE($D26,Milestones!$AA$165)&lt;=AsOfDate,IF($Q26=0,$W26,IF(AND($S26&lt;&gt;"",EDATE($D26,Milestones!$AA$165)&gt;=$S26),$V26,IF(AND($R26&lt;&gt;"",EDATE($D26,Milestones!$AA$165)&gt;=$R26),$U26,$T26)))=Milestones!$AB$165),TEXT(EDATE($D26,Milestones!$AA$165),"dd/mm/yy")&amp;" "&amp;Milestones!$AB$165&amp;" "&amp;Milestones!$AC$165&amp;";  ","")&amp;IF(AND(EDATE($D26,Milestones!$AA$166)&lt;=AsOfDate,IF($Q26=0,$W26,IF(AND($S26&lt;&gt;"",EDATE($D26,Milestones!$AA$166)&gt;=$S26),$V26,IF(AND($R26&lt;&gt;"",EDATE($D26,Milestones!$AA$166)&gt;=$R26),$U26,$T26)))=Milestones!$AB$166),TEXT(EDATE($D26,Milestones!$AA$166),"dd/mm/yy")&amp;" "&amp;Milestones!$AB$166&amp;" "&amp;Milestones!$AC$166&amp;";  ","")&amp;IF(AND(EDATE($D26,Milestones!$AA$167)&lt;=AsOfDate,IF($Q26=0,$W26,IF(AND($S26&lt;&gt;"",EDATE($D26,Milestones!$AA$167)&gt;=$S26),$V26,IF(AND($R26&lt;&gt;"",EDATE($D26,Milestones!$AA$167)&gt;=$R26),$U26,$T26)))=Milestones!$AB$167),TEXT(EDATE($D26,Milestones!$AA$167),"dd/mm/yy")&amp;" "&amp;Milestones!$AB$167&amp;" "&amp;Milestones!$AC$167&amp;";  ","")&amp;IF(AND(EDATE($D26,Milestones!$AA$168)&lt;=AsOfDate,IF($Q26=0,$W26,IF(AND($S26&lt;&gt;"",EDATE($D26,Milestones!$AA$168)&gt;=$S26),$V26,IF(AND($R26&lt;&gt;"",EDATE($D26,Milestones!$AA$168)&gt;=$R26),$U26,$T26)))=Milestones!$AB$168),TEXT(EDATE($D26,Milestones!$AA$168),"dd/mm/yy")&amp;" "&amp;Milestones!$AB$168&amp;" "&amp;Milestones!$AC$168&amp;";  ","")&amp;IF(AND(EDATE($D26,Milestones!$AA$169)&lt;=AsOfDate,IF($Q26=0,$W26,IF(AND($S26&lt;&gt;"",EDATE($D26,Milestones!$AA$169)&gt;=$S26),$V26,IF(AND($R26&lt;&gt;"",EDATE($D26,Milestones!$AA$169)&gt;=$R26),$U26,$T26)))=Milestones!$AB$169),TEXT(EDATE($D26,Milestones!$AA$169),"dd/mm/yy")&amp;" "&amp;Milestones!$AB$169&amp;" "&amp;Milestones!$AC$169&amp;";  ","")&amp;IF(AND(EDATE($D26,Milestones!$AA$170)&lt;=AsOfDate,IF($Q26=0,$W26,IF(AND($S26&lt;&gt;"",EDATE($D26,Milestones!$AA$170)&gt;=$S26),$V26,IF(AND($R26&lt;&gt;"",EDATE($D26,Milestones!$AA$170)&gt;=$R26),$U26,$T26)))=Milestones!$AB$170),TEXT(EDATE($D26,Milestones!$AA$170),"dd/mm/yy")&amp;" "&amp;Milestones!$AB$170&amp;" "&amp;Milestones!$AC$170&amp;";  ","")&amp;IF(AND(EDATE($D26,Milestones!$AA$171)&lt;=AsOfDate,IF($Q26=0,$W26,IF(AND($S26&lt;&gt;"",EDATE($D26,Milestones!$AA$171)&gt;=$S26),$V26,IF(AND($R26&lt;&gt;"",EDATE($D26,Milestones!$AA$171)&gt;=$R26),$U26,$T26)))=Milestones!$AB$171),TEXT(EDATE($D26,Milestones!$AA$171),"dd/mm/yy")&amp;" "&amp;Milestones!$AB$171&amp;" "&amp;Milestones!$AC$171&amp;";  ","")&amp;IF(AND(EDATE($D26,Milestones!$AA$172)&lt;=AsOfDate,IF($Q26=0,$W26,IF(AND($S26&lt;&gt;"",EDATE($D26,Milestones!$AA$172)&gt;=$S26),$V26,IF(AND($R26&lt;&gt;"",EDATE($D26,Milestones!$AA$172)&gt;=$R26),$U26,$T26)))=Milestones!$AB$172),TEXT(EDATE($D26,Milestones!$AA$172),"dd/mm/yy")&amp;" "&amp;Milestones!$AB$172&amp;" "&amp;Milestones!$AC$172&amp;";  ","")&amp;IF(AND(EDATE($D26,Milestones!$AA$173)&lt;=AsOfDate,IF($Q26=0,$W26,IF(AND($S26&lt;&gt;"",EDATE($D26,Milestones!$AA$173)&gt;=$S26),$V26,IF(AND($R26&lt;&gt;"",EDATE($D26,Milestones!$AA$173)&gt;=$R26),$U26,$T26)))=Milestones!$AB$173),TEXT(EDATE($D26,Milestones!$AA$173),"dd/mm/yy")&amp;" "&amp;Milestones!$AB$173&amp;" "&amp;Milestones!$AC$173&amp;";  ","")&amp;IF(AND(EDATE($D26,Milestones!$AA$174)&lt;=AsOfDate,IF($Q26=0,$W26,IF(AND($S26&lt;&gt;"",EDATE($D26,Milestones!$AA$174)&gt;=$S26),$V26,IF(AND($R26&lt;&gt;"",EDATE($D26,Milestones!$AA$174)&gt;=$R26),$U26,$T26)))=Milestones!$AB$174),TEXT(EDATE($D26,Milestones!$AA$174),"dd/mm/yy")&amp;" "&amp;Milestones!$AB$174&amp;" "&amp;Milestones!$AC$174&amp;";  ","")&amp;IF(AND(EDATE($D26,Milestones!$AA$175)&lt;=AsOfDate,IF($Q26=0,$W26,IF(AND($S26&lt;&gt;"",EDATE($D26,Milestones!$AA$175)&gt;=$S26),$V26,IF(AND($R26&lt;&gt;"",EDATE($D26,Milestones!$AA$175)&gt;=$R26),$U26,$T26)))=Milestones!$AB$175),TEXT(EDATE($D26,Milestones!$AA$175),"dd/mm/yy")&amp;" "&amp;Milestones!$AB$175&amp;" "&amp;Milestones!$AC$175&amp;";  ","")&amp;IF(AND(EDATE($D26,Milestones!$AA$176)&lt;=AsOfDate,IF($Q26=0,$W26,IF(AND($S26&lt;&gt;"",EDATE($D26,Milestones!$AA$176)&gt;=$S26),$V26,IF(AND($R26&lt;&gt;"",EDATE($D26,Milestones!$AA$176)&gt;=$R26),$U26,$T26)))=Milestones!$AB$176),TEXT(EDATE($D26,Milestones!$AA$176),"dd/mm/yy")&amp;" "&amp;Milestones!$AB$176&amp;" "&amp;Milestones!$AC$176&amp;";  ","")&amp;IF(AND(EDATE($D26,Milestones!$AA$177)&lt;=AsOfDate,IF($Q26=0,$W26,IF(AND($S26&lt;&gt;"",EDATE($D26,Milestones!$AA$177)&gt;=$S26),$V26,IF(AND($R26&lt;&gt;"",EDATE($D26,Milestones!$AA$177)&gt;=$R26),$U26,$T26)))=Milestones!$AB$177),TEXT(EDATE($D26,Milestones!$AA$177),"dd/mm/yy")&amp;" "&amp;Milestones!$AB$177&amp;" "&amp;Milestones!$AC$177&amp;";  ","")&amp;IF(AND(EDATE($D26,Milestones!$AA$178)&lt;=AsOfDate,IF($Q26=0,$W26,IF(AND($S26&lt;&gt;"",EDATE($D26,Milestones!$AA$178)&gt;=$S26),$V26,IF(AND($R26&lt;&gt;"",EDATE($D26,Milestones!$AA$178)&gt;=$R26),$U26,$T26)))=Milestones!$AB$178),TEXT(EDATE($D26,Milestones!$AA$178),"dd/mm/yy")&amp;" "&amp;Milestones!$AB$178&amp;" "&amp;Milestones!$AC$178&amp;";  ","")&amp;IF(AND(EDATE($D26,Milestones!$AA$179)&lt;=AsOfDate,IF($Q26=0,$W26,IF(AND($S26&lt;&gt;"",EDATE($D26,Milestones!$AA$179)&gt;=$S26),$V26,IF(AND($R26&lt;&gt;"",EDATE($D26,Milestones!$AA$179)&gt;=$R26),$U26,$T26)))=Milestones!$AB$179),TEXT(EDATE($D26,Milestones!$AA$179),"dd/mm/yy")&amp;" "&amp;Milestones!$AB$179&amp;" "&amp;Milestones!$AC$179&amp;";  ",""))</f>
        <v/>
      </c>
      <c r="P26" s="0" t="str">
        <f aca="false">IF(OR($A26="",$D26=""),"",IF(AND(EDATE($D26,Milestones!$AA$180)&lt;=AsOfDate,IF($Q26=0,$W26,IF(AND($S26&lt;&gt;"",EDATE($D26,Milestones!$AA$180)&gt;=$S26),$V26,IF(AND($R26&lt;&gt;"",EDATE($D26,Milestones!$AA$180)&gt;=$R26),$U26,$T26)))=Milestones!$AB$180),TEXT(EDATE($D26,Milestones!$AA$180),"dd/mm/yy")&amp;" "&amp;Milestones!$AB$180&amp;" "&amp;Milestones!$AC$180&amp;";  ","")&amp;IF(AND(EDATE($D26,Milestones!$AA$181)&lt;=AsOfDate,IF($Q26=0,$W26,IF(AND($S26&lt;&gt;"",EDATE($D26,Milestones!$AA$181)&gt;=$S26),$V26,IF(AND($R26&lt;&gt;"",EDATE($D26,Milestones!$AA$181)&gt;=$R26),$U26,$T26)))=Milestones!$AB$181),TEXT(EDATE($D26,Milestones!$AA$181),"dd/mm/yy")&amp;" "&amp;Milestones!$AB$181&amp;" "&amp;Milestones!$AC$181&amp;";  ","")&amp;IF(AND(EDATE($D26,Milestones!$AA$182)&lt;=AsOfDate,IF($Q26=0,$W26,IF(AND($S26&lt;&gt;"",EDATE($D26,Milestones!$AA$182)&gt;=$S26),$V26,IF(AND($R26&lt;&gt;"",EDATE($D26,Milestones!$AA$182)&gt;=$R26),$U26,$T26)))=Milestones!$AB$182),TEXT(EDATE($D26,Milestones!$AA$182),"dd/mm/yy")&amp;" "&amp;Milestones!$AB$182&amp;" "&amp;Milestones!$AC$182&amp;";  ","")&amp;IF(AND(EDATE($D26,Milestones!$AA$183)&lt;=AsOfDate,IF($Q26=0,$W26,IF(AND($S26&lt;&gt;"",EDATE($D26,Milestones!$AA$183)&gt;=$S26),$V26,IF(AND($R26&lt;&gt;"",EDATE($D26,Milestones!$AA$183)&gt;=$R26),$U26,$T26)))=Milestones!$AB$183),TEXT(EDATE($D26,Milestones!$AA$183),"dd/mm/yy")&amp;" "&amp;Milestones!$AB$183&amp;" "&amp;Milestones!$AC$183&amp;";  ","")&amp;IF(AND(EDATE($D26,Milestones!$AA$184)&lt;=AsOfDate,IF($Q26=0,$W26,IF(AND($S26&lt;&gt;"",EDATE($D26,Milestones!$AA$184)&gt;=$S26),$V26,IF(AND($R26&lt;&gt;"",EDATE($D26,Milestones!$AA$184)&gt;=$R26),$U26,$T26)))=Milestones!$AB$184),TEXT(EDATE($D26,Milestones!$AA$184),"dd/mm/yy")&amp;" "&amp;Milestones!$AB$184&amp;" "&amp;Milestones!$AC$184&amp;";  ","")&amp;IF(AND(EDATE($D26,Milestones!$AA$185)&lt;=AsOfDate,IF($Q26=0,$W26,IF(AND($S26&lt;&gt;"",EDATE($D26,Milestones!$AA$185)&gt;=$S26),$V26,IF(AND($R26&lt;&gt;"",EDATE($D26,Milestones!$AA$185)&gt;=$R26),$U26,$T26)))=Milestones!$AB$185),TEXT(EDATE($D26,Milestones!$AA$185),"dd/mm/yy")&amp;" "&amp;Milestones!$AB$185&amp;" "&amp;Milestones!$AC$185&amp;";  ","")&amp;IF(AND(EDATE($D26,Milestones!$AA$186)&lt;=AsOfDate,IF($Q26=0,$W26,IF(AND($S26&lt;&gt;"",EDATE($D26,Milestones!$AA$186)&gt;=$S26),$V26,IF(AND($R26&lt;&gt;"",EDATE($D26,Milestones!$AA$186)&gt;=$R26),$U26,$T26)))=Milestones!$AB$186),TEXT(EDATE($D26,Milestones!$AA$186),"dd/mm/yy")&amp;" "&amp;Milestones!$AB$186&amp;" "&amp;Milestones!$AC$186&amp;";  ","")&amp;IF(AND(EDATE($D26,Milestones!$AA$187)&lt;=AsOfDate,IF($Q26=0,$W26,IF(AND($S26&lt;&gt;"",EDATE($D26,Milestones!$AA$187)&gt;=$S26),$V26,IF(AND($R26&lt;&gt;"",EDATE($D26,Milestones!$AA$187)&gt;=$R26),$U26,$T26)))=Milestones!$AB$187),TEXT(EDATE($D26,Milestones!$AA$187),"dd/mm/yy")&amp;" "&amp;Milestones!$AB$187&amp;" "&amp;Milestones!$AC$187&amp;";  ","")&amp;IF(AND(EDATE($D26,Milestones!$AA$188)&lt;=AsOfDate,IF($Q26=0,$W26,IF(AND($S26&lt;&gt;"",EDATE($D26,Milestones!$AA$188)&gt;=$S26),$V26,IF(AND($R26&lt;&gt;"",EDATE($D26,Milestones!$AA$188)&gt;=$R26),$U26,$T26)))=Milestones!$AB$188),TEXT(EDATE($D26,Milestones!$AA$188),"dd/mm/yy")&amp;" "&amp;Milestones!$AB$188&amp;" "&amp;Milestones!$AC$188&amp;";  ","")&amp;IF(AND(EDATE($D26,Milestones!$AA$189)&lt;=AsOfDate,IF($Q26=0,$W26,IF(AND($S26&lt;&gt;"",EDATE($D26,Milestones!$AA$189)&gt;=$S26),$V26,IF(AND($R26&lt;&gt;"",EDATE($D26,Milestones!$AA$189)&gt;=$R26),$U26,$T26)))=Milestones!$AB$189),TEXT(EDATE($D26,Milestones!$AA$189),"dd/mm/yy")&amp;" "&amp;Milestones!$AB$189&amp;" "&amp;Milestones!$AC$189&amp;";  ","")&amp;IF(AND(EDATE($D26,Milestones!$AA$190)&lt;=AsOfDate,IF($Q26=0,$W26,IF(AND($S26&lt;&gt;"",EDATE($D26,Milestones!$AA$190)&gt;=$S26),$V26,IF(AND($R26&lt;&gt;"",EDATE($D26,Milestones!$AA$190)&gt;=$R26),$U26,$T26)))=Milestones!$AB$190),TEXT(EDATE($D26,Milestones!$AA$190),"dd/mm/yy")&amp;" "&amp;Milestones!$AB$190&amp;" "&amp;Milestones!$AC$190&amp;";  ","")&amp;IF(AND(EDATE($D26,Milestones!$AA$191)&lt;=AsOfDate,IF($Q26=0,$W26,IF(AND($S26&lt;&gt;"",EDATE($D26,Milestones!$AA$191)&gt;=$S26),$V26,IF(AND($R26&lt;&gt;"",EDATE($D26,Milestones!$AA$191)&gt;=$R26),$U26,$T26)))=Milestones!$AB$191),TEXT(EDATE($D26,Milestones!$AA$191),"dd/mm/yy")&amp;" "&amp;Milestones!$AB$191&amp;" "&amp;Milestones!$AC$191&amp;";  ","")&amp;IF(AND(EDATE($D26,Milestones!$AA$192)&lt;=AsOfDate,IF($Q26=0,$W26,IF(AND($S26&lt;&gt;"",EDATE($D26,Milestones!$AA$192)&gt;=$S26),$V26,IF(AND($R26&lt;&gt;"",EDATE($D26,Milestones!$AA$192)&gt;=$R26),$U26,$T26)))=Milestones!$AB$192),TEXT(EDATE($D26,Milestones!$AA$192),"dd/mm/yy")&amp;" "&amp;Milestones!$AB$192&amp;" "&amp;Milestones!$AC$192&amp;";  ","")&amp;IF(AND(EDATE($D26,Milestones!$AA$193)&lt;=AsOfDate,IF($Q26=0,$W26,IF(AND($S26&lt;&gt;"",EDATE($D26,Milestones!$AA$193)&gt;=$S26),$V26,IF(AND($R26&lt;&gt;"",EDATE($D26,Milestones!$AA$193)&gt;=$R26),$U26,$T26)))=Milestones!$AB$193),TEXT(EDATE($D26,Milestones!$AA$193),"dd/mm/yy")&amp;" "&amp;Milestones!$AB$193&amp;" "&amp;Milestones!$AC$193&amp;";  ","")&amp;IF(AND(EDATE($D26,Milestones!$AA$194)&lt;=AsOfDate,IF($Q26=0,$W26,IF(AND($S26&lt;&gt;"",EDATE($D26,Milestones!$AA$194)&gt;=$S26),$V26,IF(AND($R26&lt;&gt;"",EDATE($D26,Milestones!$AA$194)&gt;=$R26),$U26,$T26)))=Milestones!$AB$194),TEXT(EDATE($D26,Milestones!$AA$194),"dd/mm/yy")&amp;" "&amp;Milestones!$AB$194&amp;" "&amp;Milestones!$AC$194&amp;";  ","")&amp;IF(AND(EDATE($D26,Milestones!$AA$195)&lt;=AsOfDate,IF($Q26=0,$W26,IF(AND($S26&lt;&gt;"",EDATE($D26,Milestones!$AA$195)&gt;=$S26),$V26,IF(AND($R26&lt;&gt;"",EDATE($D26,Milestones!$AA$195)&gt;=$R26),$U26,$T26)))=Milestones!$AB$195),TEXT(EDATE($D26,Milestones!$AA$195),"dd/mm/yy")&amp;" "&amp;Milestones!$AB$195&amp;" "&amp;Milestones!$AC$195&amp;";  ","")&amp;IF(AND(EDATE($D26,Milestones!$AA$196)&lt;=AsOfDate,IF($Q26=0,$W26,IF(AND($S26&lt;&gt;"",EDATE($D26,Milestones!$AA$196)&gt;=$S26),$V26,IF(AND($R26&lt;&gt;"",EDATE($D26,Milestones!$AA$196)&gt;=$R26),$U26,$T26)))=Milestones!$AB$196),TEXT(EDATE($D26,Milestones!$AA$196),"dd/mm/yy")&amp;" "&amp;Milestones!$AB$196&amp;" "&amp;Milestones!$AC$196&amp;";  ","")&amp;IF(AND(EDATE($D26,Milestones!$AA$197)&lt;=AsOfDate,IF($Q26=0,$W26,IF(AND($S26&lt;&gt;"",EDATE($D26,Milestones!$AA$197)&gt;=$S26),$V26,IF(AND($R26&lt;&gt;"",EDATE($D26,Milestones!$AA$197)&gt;=$R26),$U26,$T26)))=Milestones!$AB$197),TEXT(EDATE($D26,Milestones!$AA$197),"dd/mm/yy")&amp;" "&amp;Milestones!$AB$197&amp;" "&amp;Milestones!$AC$197&amp;";  ","")&amp;IF(AND(EDATE($D26,Milestones!$AA$198)&lt;=AsOfDate,IF($Q26=0,$W26,IF(AND($S26&lt;&gt;"",EDATE($D26,Milestones!$AA$198)&gt;=$S26),$V26,IF(AND($R26&lt;&gt;"",EDATE($D26,Milestones!$AA$198)&gt;=$R26),$U26,$T26)))=Milestones!$AB$198),TEXT(EDATE($D26,Milestones!$AA$198),"dd/mm/yy")&amp;" "&amp;Milestones!$AB$198&amp;" "&amp;Milestones!$AC$198&amp;";  ","")&amp;IF(AND(EDATE($D26,Milestones!$AA$199)&lt;=AsOfDate,IF($Q26=0,$W26,IF(AND($S26&lt;&gt;"",EDATE($D26,Milestones!$AA$199)&gt;=$S26),$V26,IF(AND($R26&lt;&gt;"",EDATE($D26,Milestones!$AA$199)&gt;=$R26),$U26,$T26)))=Milestones!$AB$199),TEXT(EDATE($D26,Milestones!$AA$199),"dd/mm/yy")&amp;" "&amp;Milestones!$AB$199&amp;" "&amp;Milestones!$AC$199&amp;";  ",""))</f>
        <v/>
      </c>
      <c r="Q26" s="0" t="str">
        <f aca="false">IF(Staff!$A26="","",Staff!$AG26)</f>
        <v/>
      </c>
      <c r="R26" s="0" t="str">
        <f aca="false">IF(Staff!$A26="","",Staff!$AI26)</f>
        <v/>
      </c>
      <c r="S26" s="0" t="str">
        <f aca="false">IF(Staff!$A26="","",Staff!$AJ26)</f>
        <v/>
      </c>
      <c r="T26" s="0" t="str">
        <f aca="false">IF(Staff!$A26="","",Staff!$AN26)</f>
        <v/>
      </c>
      <c r="U26" s="0" t="str">
        <f aca="false">IF(Staff!$A26="","",Staff!$AO26)</f>
        <v/>
      </c>
      <c r="V26" s="0" t="str">
        <f aca="false">IF(Staff!$A26="","",Staff!$AP26)</f>
        <v/>
      </c>
      <c r="W26" s="0" t="str">
        <f aca="false">IF(Staff!$A26="","",Staff!$AQ26)</f>
        <v/>
      </c>
    </row>
    <row r="27" customFormat="false" ht="15" hidden="false" customHeight="false" outlineLevel="0" collapsed="false">
      <c r="A27" s="13" t="str">
        <f aca="false">IF(Staff!$A27="","",Staff!$A27)</f>
        <v/>
      </c>
      <c r="B27" s="13" t="str">
        <f aca="false">IF(Staff!$A27="","",Staff!$B27)</f>
        <v/>
      </c>
      <c r="C27" s="13" t="str">
        <f aca="false">IF(Staff!$A27="","",Staff!$C27)</f>
        <v/>
      </c>
      <c r="D27" s="11" t="str">
        <f aca="false">IF(Staff!$A27="","",Staff!$AF27)</f>
        <v/>
      </c>
      <c r="E27" s="13" t="str">
        <f aca="false">IF(Staff!$A27="","",Staff!$O27)</f>
        <v/>
      </c>
      <c r="F27" s="13" t="str">
        <f aca="false">IF(E27="","",E27*HoursPerDay)</f>
        <v/>
      </c>
      <c r="G27" s="26" t="str">
        <f aca="false">IF($A27="","",H27&amp;I27&amp;J27&amp;K27&amp;L27&amp;M27&amp;N27&amp;O27&amp;P27)</f>
        <v/>
      </c>
      <c r="H27" s="0" t="str">
        <f aca="false">IF(OR($A27="",$D27=""),"",IF(AND(EDATE($D27,Milestones!$AA$20)&lt;=AsOfDate,IF($Q27=0,$W27,IF(AND($S27&lt;&gt;"",EDATE($D27,Milestones!$AA$20)&gt;=$S27),$V27,IF(AND($R27&lt;&gt;"",EDATE($D27,Milestones!$AA$20)&gt;=$R27),$U27,$T27)))=Milestones!$AB$20),TEXT(EDATE($D27,Milestones!$AA$20),"dd/mm/yy")&amp;" "&amp;Milestones!$AB$20&amp;" "&amp;Milestones!$AC$20&amp;";  ","")&amp;IF(AND(EDATE($D27,Milestones!$AA$21)&lt;=AsOfDate,IF($Q27=0,$W27,IF(AND($S27&lt;&gt;"",EDATE($D27,Milestones!$AA$21)&gt;=$S27),$V27,IF(AND($R27&lt;&gt;"",EDATE($D27,Milestones!$AA$21)&gt;=$R27),$U27,$T27)))=Milestones!$AB$21),TEXT(EDATE($D27,Milestones!$AA$21),"dd/mm/yy")&amp;" "&amp;Milestones!$AB$21&amp;" "&amp;Milestones!$AC$21&amp;";  ","")&amp;IF(AND(EDATE($D27,Milestones!$AA$22)&lt;=AsOfDate,IF($Q27=0,$W27,IF(AND($S27&lt;&gt;"",EDATE($D27,Milestones!$AA$22)&gt;=$S27),$V27,IF(AND($R27&lt;&gt;"",EDATE($D27,Milestones!$AA$22)&gt;=$R27),$U27,$T27)))=Milestones!$AB$22),TEXT(EDATE($D27,Milestones!$AA$22),"dd/mm/yy")&amp;" "&amp;Milestones!$AB$22&amp;" "&amp;Milestones!$AC$22&amp;";  ","")&amp;IF(AND(EDATE($D27,Milestones!$AA$23)&lt;=AsOfDate,IF($Q27=0,$W27,IF(AND($S27&lt;&gt;"",EDATE($D27,Milestones!$AA$23)&gt;=$S27),$V27,IF(AND($R27&lt;&gt;"",EDATE($D27,Milestones!$AA$23)&gt;=$R27),$U27,$T27)))=Milestones!$AB$23),TEXT(EDATE($D27,Milestones!$AA$23),"dd/mm/yy")&amp;" "&amp;Milestones!$AB$23&amp;" "&amp;Milestones!$AC$23&amp;";  ","")&amp;IF(AND(EDATE($D27,Milestones!$AA$24)&lt;=AsOfDate,IF($Q27=0,$W27,IF(AND($S27&lt;&gt;"",EDATE($D27,Milestones!$AA$24)&gt;=$S27),$V27,IF(AND($R27&lt;&gt;"",EDATE($D27,Milestones!$AA$24)&gt;=$R27),$U27,$T27)))=Milestones!$AB$24),TEXT(EDATE($D27,Milestones!$AA$24),"dd/mm/yy")&amp;" "&amp;Milestones!$AB$24&amp;" "&amp;Milestones!$AC$24&amp;";  ","")&amp;IF(AND(EDATE($D27,Milestones!$AA$25)&lt;=AsOfDate,IF($Q27=0,$W27,IF(AND($S27&lt;&gt;"",EDATE($D27,Milestones!$AA$25)&gt;=$S27),$V27,IF(AND($R27&lt;&gt;"",EDATE($D27,Milestones!$AA$25)&gt;=$R27),$U27,$T27)))=Milestones!$AB$25),TEXT(EDATE($D27,Milestones!$AA$25),"dd/mm/yy")&amp;" "&amp;Milestones!$AB$25&amp;" "&amp;Milestones!$AC$25&amp;";  ","")&amp;IF(AND(EDATE($D27,Milestones!$AA$26)&lt;=AsOfDate,IF($Q27=0,$W27,IF(AND($S27&lt;&gt;"",EDATE($D27,Milestones!$AA$26)&gt;=$S27),$V27,IF(AND($R27&lt;&gt;"",EDATE($D27,Milestones!$AA$26)&gt;=$R27),$U27,$T27)))=Milestones!$AB$26),TEXT(EDATE($D27,Milestones!$AA$26),"dd/mm/yy")&amp;" "&amp;Milestones!$AB$26&amp;" "&amp;Milestones!$AC$26&amp;";  ","")&amp;IF(AND(EDATE($D27,Milestones!$AA$27)&lt;=AsOfDate,IF($Q27=0,$W27,IF(AND($S27&lt;&gt;"",EDATE($D27,Milestones!$AA$27)&gt;=$S27),$V27,IF(AND($R27&lt;&gt;"",EDATE($D27,Milestones!$AA$27)&gt;=$R27),$U27,$T27)))=Milestones!$AB$27),TEXT(EDATE($D27,Milestones!$AA$27),"dd/mm/yy")&amp;" "&amp;Milestones!$AB$27&amp;" "&amp;Milestones!$AC$27&amp;";  ","")&amp;IF(AND(EDATE($D27,Milestones!$AA$28)&lt;=AsOfDate,IF($Q27=0,$W27,IF(AND($S27&lt;&gt;"",EDATE($D27,Milestones!$AA$28)&gt;=$S27),$V27,IF(AND($R27&lt;&gt;"",EDATE($D27,Milestones!$AA$28)&gt;=$R27),$U27,$T27)))=Milestones!$AB$28),TEXT(EDATE($D27,Milestones!$AA$28),"dd/mm/yy")&amp;" "&amp;Milestones!$AB$28&amp;" "&amp;Milestones!$AC$28&amp;";  ","")&amp;IF(AND(EDATE($D27,Milestones!$AA$29)&lt;=AsOfDate,IF($Q27=0,$W27,IF(AND($S27&lt;&gt;"",EDATE($D27,Milestones!$AA$29)&gt;=$S27),$V27,IF(AND($R27&lt;&gt;"",EDATE($D27,Milestones!$AA$29)&gt;=$R27),$U27,$T27)))=Milestones!$AB$29),TEXT(EDATE($D27,Milestones!$AA$29),"dd/mm/yy")&amp;" "&amp;Milestones!$AB$29&amp;" "&amp;Milestones!$AC$29&amp;";  ","")&amp;IF(AND(EDATE($D27,Milestones!$AA$30)&lt;=AsOfDate,IF($Q27=0,$W27,IF(AND($S27&lt;&gt;"",EDATE($D27,Milestones!$AA$30)&gt;=$S27),$V27,IF(AND($R27&lt;&gt;"",EDATE($D27,Milestones!$AA$30)&gt;=$R27),$U27,$T27)))=Milestones!$AB$30),TEXT(EDATE($D27,Milestones!$AA$30),"dd/mm/yy")&amp;" "&amp;Milestones!$AB$30&amp;" "&amp;Milestones!$AC$30&amp;";  ","")&amp;IF(AND(EDATE($D27,Milestones!$AA$31)&lt;=AsOfDate,IF($Q27=0,$W27,IF(AND($S27&lt;&gt;"",EDATE($D27,Milestones!$AA$31)&gt;=$S27),$V27,IF(AND($R27&lt;&gt;"",EDATE($D27,Milestones!$AA$31)&gt;=$R27),$U27,$T27)))=Milestones!$AB$31),TEXT(EDATE($D27,Milestones!$AA$31),"dd/mm/yy")&amp;" "&amp;Milestones!$AB$31&amp;" "&amp;Milestones!$AC$31&amp;";  ","")&amp;IF(AND(EDATE($D27,Milestones!$AA$32)&lt;=AsOfDate,IF($Q27=0,$W27,IF(AND($S27&lt;&gt;"",EDATE($D27,Milestones!$AA$32)&gt;=$S27),$V27,IF(AND($R27&lt;&gt;"",EDATE($D27,Milestones!$AA$32)&gt;=$R27),$U27,$T27)))=Milestones!$AB$32),TEXT(EDATE($D27,Milestones!$AA$32),"dd/mm/yy")&amp;" "&amp;Milestones!$AB$32&amp;" "&amp;Milestones!$AC$32&amp;";  ","")&amp;IF(AND(EDATE($D27,Milestones!$AA$33)&lt;=AsOfDate,IF($Q27=0,$W27,IF(AND($S27&lt;&gt;"",EDATE($D27,Milestones!$AA$33)&gt;=$S27),$V27,IF(AND($R27&lt;&gt;"",EDATE($D27,Milestones!$AA$33)&gt;=$R27),$U27,$T27)))=Milestones!$AB$33),TEXT(EDATE($D27,Milestones!$AA$33),"dd/mm/yy")&amp;" "&amp;Milestones!$AB$33&amp;" "&amp;Milestones!$AC$33&amp;";  ","")&amp;IF(AND(EDATE($D27,Milestones!$AA$34)&lt;=AsOfDate,IF($Q27=0,$W27,IF(AND($S27&lt;&gt;"",EDATE($D27,Milestones!$AA$34)&gt;=$S27),$V27,IF(AND($R27&lt;&gt;"",EDATE($D27,Milestones!$AA$34)&gt;=$R27),$U27,$T27)))=Milestones!$AB$34),TEXT(EDATE($D27,Milestones!$AA$34),"dd/mm/yy")&amp;" "&amp;Milestones!$AB$34&amp;" "&amp;Milestones!$AC$34&amp;";  ","")&amp;IF(AND(EDATE($D27,Milestones!$AA$35)&lt;=AsOfDate,IF($Q27=0,$W27,IF(AND($S27&lt;&gt;"",EDATE($D27,Milestones!$AA$35)&gt;=$S27),$V27,IF(AND($R27&lt;&gt;"",EDATE($D27,Milestones!$AA$35)&gt;=$R27),$U27,$T27)))=Milestones!$AB$35),TEXT(EDATE($D27,Milestones!$AA$35),"dd/mm/yy")&amp;" "&amp;Milestones!$AB$35&amp;" "&amp;Milestones!$AC$35&amp;";  ","")&amp;IF(AND(EDATE($D27,Milestones!$AA$36)&lt;=AsOfDate,IF($Q27=0,$W27,IF(AND($S27&lt;&gt;"",EDATE($D27,Milestones!$AA$36)&gt;=$S27),$V27,IF(AND($R27&lt;&gt;"",EDATE($D27,Milestones!$AA$36)&gt;=$R27),$U27,$T27)))=Milestones!$AB$36),TEXT(EDATE($D27,Milestones!$AA$36),"dd/mm/yy")&amp;" "&amp;Milestones!$AB$36&amp;" "&amp;Milestones!$AC$36&amp;";  ","")&amp;IF(AND(EDATE($D27,Milestones!$AA$37)&lt;=AsOfDate,IF($Q27=0,$W27,IF(AND($S27&lt;&gt;"",EDATE($D27,Milestones!$AA$37)&gt;=$S27),$V27,IF(AND($R27&lt;&gt;"",EDATE($D27,Milestones!$AA$37)&gt;=$R27),$U27,$T27)))=Milestones!$AB$37),TEXT(EDATE($D27,Milestones!$AA$37),"dd/mm/yy")&amp;" "&amp;Milestones!$AB$37&amp;" "&amp;Milestones!$AC$37&amp;";  ","")&amp;IF(AND(EDATE($D27,Milestones!$AA$38)&lt;=AsOfDate,IF($Q27=0,$W27,IF(AND($S27&lt;&gt;"",EDATE($D27,Milestones!$AA$38)&gt;=$S27),$V27,IF(AND($R27&lt;&gt;"",EDATE($D27,Milestones!$AA$38)&gt;=$R27),$U27,$T27)))=Milestones!$AB$38),TEXT(EDATE($D27,Milestones!$AA$38),"dd/mm/yy")&amp;" "&amp;Milestones!$AB$38&amp;" "&amp;Milestones!$AC$38&amp;";  ","")&amp;IF(AND(EDATE($D27,Milestones!$AA$39)&lt;=AsOfDate,IF($Q27=0,$W27,IF(AND($S27&lt;&gt;"",EDATE($D27,Milestones!$AA$39)&gt;=$S27),$V27,IF(AND($R27&lt;&gt;"",EDATE($D27,Milestones!$AA$39)&gt;=$R27),$U27,$T27)))=Milestones!$AB$39),TEXT(EDATE($D27,Milestones!$AA$39),"dd/mm/yy")&amp;" "&amp;Milestones!$AB$39&amp;" "&amp;Milestones!$AC$39&amp;";  ",""))</f>
        <v/>
      </c>
      <c r="I27" s="0" t="str">
        <f aca="false">IF(OR($A27="",$D27=""),"",IF(AND(EDATE($D27,Milestones!$AA$40)&lt;=AsOfDate,IF($Q27=0,$W27,IF(AND($S27&lt;&gt;"",EDATE($D27,Milestones!$AA$40)&gt;=$S27),$V27,IF(AND($R27&lt;&gt;"",EDATE($D27,Milestones!$AA$40)&gt;=$R27),$U27,$T27)))=Milestones!$AB$40),TEXT(EDATE($D27,Milestones!$AA$40),"dd/mm/yy")&amp;" "&amp;Milestones!$AB$40&amp;" "&amp;Milestones!$AC$40&amp;";  ","")&amp;IF(AND(EDATE($D27,Milestones!$AA$41)&lt;=AsOfDate,IF($Q27=0,$W27,IF(AND($S27&lt;&gt;"",EDATE($D27,Milestones!$AA$41)&gt;=$S27),$V27,IF(AND($R27&lt;&gt;"",EDATE($D27,Milestones!$AA$41)&gt;=$R27),$U27,$T27)))=Milestones!$AB$41),TEXT(EDATE($D27,Milestones!$AA$41),"dd/mm/yy")&amp;" "&amp;Milestones!$AB$41&amp;" "&amp;Milestones!$AC$41&amp;";  ","")&amp;IF(AND(EDATE($D27,Milestones!$AA$42)&lt;=AsOfDate,IF($Q27=0,$W27,IF(AND($S27&lt;&gt;"",EDATE($D27,Milestones!$AA$42)&gt;=$S27),$V27,IF(AND($R27&lt;&gt;"",EDATE($D27,Milestones!$AA$42)&gt;=$R27),$U27,$T27)))=Milestones!$AB$42),TEXT(EDATE($D27,Milestones!$AA$42),"dd/mm/yy")&amp;" "&amp;Milestones!$AB$42&amp;" "&amp;Milestones!$AC$42&amp;";  ","")&amp;IF(AND(EDATE($D27,Milestones!$AA$43)&lt;=AsOfDate,IF($Q27=0,$W27,IF(AND($S27&lt;&gt;"",EDATE($D27,Milestones!$AA$43)&gt;=$S27),$V27,IF(AND($R27&lt;&gt;"",EDATE($D27,Milestones!$AA$43)&gt;=$R27),$U27,$T27)))=Milestones!$AB$43),TEXT(EDATE($D27,Milestones!$AA$43),"dd/mm/yy")&amp;" "&amp;Milestones!$AB$43&amp;" "&amp;Milestones!$AC$43&amp;";  ","")&amp;IF(AND(EDATE($D27,Milestones!$AA$44)&lt;=AsOfDate,IF($Q27=0,$W27,IF(AND($S27&lt;&gt;"",EDATE($D27,Milestones!$AA$44)&gt;=$S27),$V27,IF(AND($R27&lt;&gt;"",EDATE($D27,Milestones!$AA$44)&gt;=$R27),$U27,$T27)))=Milestones!$AB$44),TEXT(EDATE($D27,Milestones!$AA$44),"dd/mm/yy")&amp;" "&amp;Milestones!$AB$44&amp;" "&amp;Milestones!$AC$44&amp;";  ","")&amp;IF(AND(EDATE($D27,Milestones!$AA$45)&lt;=AsOfDate,IF($Q27=0,$W27,IF(AND($S27&lt;&gt;"",EDATE($D27,Milestones!$AA$45)&gt;=$S27),$V27,IF(AND($R27&lt;&gt;"",EDATE($D27,Milestones!$AA$45)&gt;=$R27),$U27,$T27)))=Milestones!$AB$45),TEXT(EDATE($D27,Milestones!$AA$45),"dd/mm/yy")&amp;" "&amp;Milestones!$AB$45&amp;" "&amp;Milestones!$AC$45&amp;";  ","")&amp;IF(AND(EDATE($D27,Milestones!$AA$46)&lt;=AsOfDate,IF($Q27=0,$W27,IF(AND($S27&lt;&gt;"",EDATE($D27,Milestones!$AA$46)&gt;=$S27),$V27,IF(AND($R27&lt;&gt;"",EDATE($D27,Milestones!$AA$46)&gt;=$R27),$U27,$T27)))=Milestones!$AB$46),TEXT(EDATE($D27,Milestones!$AA$46),"dd/mm/yy")&amp;" "&amp;Milestones!$AB$46&amp;" "&amp;Milestones!$AC$46&amp;";  ","")&amp;IF(AND(EDATE($D27,Milestones!$AA$47)&lt;=AsOfDate,IF($Q27=0,$W27,IF(AND($S27&lt;&gt;"",EDATE($D27,Milestones!$AA$47)&gt;=$S27),$V27,IF(AND($R27&lt;&gt;"",EDATE($D27,Milestones!$AA$47)&gt;=$R27),$U27,$T27)))=Milestones!$AB$47),TEXT(EDATE($D27,Milestones!$AA$47),"dd/mm/yy")&amp;" "&amp;Milestones!$AB$47&amp;" "&amp;Milestones!$AC$47&amp;";  ","")&amp;IF(AND(EDATE($D27,Milestones!$AA$48)&lt;=AsOfDate,IF($Q27=0,$W27,IF(AND($S27&lt;&gt;"",EDATE($D27,Milestones!$AA$48)&gt;=$S27),$V27,IF(AND($R27&lt;&gt;"",EDATE($D27,Milestones!$AA$48)&gt;=$R27),$U27,$T27)))=Milestones!$AB$48),TEXT(EDATE($D27,Milestones!$AA$48),"dd/mm/yy")&amp;" "&amp;Milestones!$AB$48&amp;" "&amp;Milestones!$AC$48&amp;";  ","")&amp;IF(AND(EDATE($D27,Milestones!$AA$49)&lt;=AsOfDate,IF($Q27=0,$W27,IF(AND($S27&lt;&gt;"",EDATE($D27,Milestones!$AA$49)&gt;=$S27),$V27,IF(AND($R27&lt;&gt;"",EDATE($D27,Milestones!$AA$49)&gt;=$R27),$U27,$T27)))=Milestones!$AB$49),TEXT(EDATE($D27,Milestones!$AA$49),"dd/mm/yy")&amp;" "&amp;Milestones!$AB$49&amp;" "&amp;Milestones!$AC$49&amp;";  ","")&amp;IF(AND(EDATE($D27,Milestones!$AA$50)&lt;=AsOfDate,IF($Q27=0,$W27,IF(AND($S27&lt;&gt;"",EDATE($D27,Milestones!$AA$50)&gt;=$S27),$V27,IF(AND($R27&lt;&gt;"",EDATE($D27,Milestones!$AA$50)&gt;=$R27),$U27,$T27)))=Milestones!$AB$50),TEXT(EDATE($D27,Milestones!$AA$50),"dd/mm/yy")&amp;" "&amp;Milestones!$AB$50&amp;" "&amp;Milestones!$AC$50&amp;";  ","")&amp;IF(AND(EDATE($D27,Milestones!$AA$51)&lt;=AsOfDate,IF($Q27=0,$W27,IF(AND($S27&lt;&gt;"",EDATE($D27,Milestones!$AA$51)&gt;=$S27),$V27,IF(AND($R27&lt;&gt;"",EDATE($D27,Milestones!$AA$51)&gt;=$R27),$U27,$T27)))=Milestones!$AB$51),TEXT(EDATE($D27,Milestones!$AA$51),"dd/mm/yy")&amp;" "&amp;Milestones!$AB$51&amp;" "&amp;Milestones!$AC$51&amp;";  ","")&amp;IF(AND(EDATE($D27,Milestones!$AA$52)&lt;=AsOfDate,IF($Q27=0,$W27,IF(AND($S27&lt;&gt;"",EDATE($D27,Milestones!$AA$52)&gt;=$S27),$V27,IF(AND($R27&lt;&gt;"",EDATE($D27,Milestones!$AA$52)&gt;=$R27),$U27,$T27)))=Milestones!$AB$52),TEXT(EDATE($D27,Milestones!$AA$52),"dd/mm/yy")&amp;" "&amp;Milestones!$AB$52&amp;" "&amp;Milestones!$AC$52&amp;";  ","")&amp;IF(AND(EDATE($D27,Milestones!$AA$53)&lt;=AsOfDate,IF($Q27=0,$W27,IF(AND($S27&lt;&gt;"",EDATE($D27,Milestones!$AA$53)&gt;=$S27),$V27,IF(AND($R27&lt;&gt;"",EDATE($D27,Milestones!$AA$53)&gt;=$R27),$U27,$T27)))=Milestones!$AB$53),TEXT(EDATE($D27,Milestones!$AA$53),"dd/mm/yy")&amp;" "&amp;Milestones!$AB$53&amp;" "&amp;Milestones!$AC$53&amp;";  ","")&amp;IF(AND(EDATE($D27,Milestones!$AA$54)&lt;=AsOfDate,IF($Q27=0,$W27,IF(AND($S27&lt;&gt;"",EDATE($D27,Milestones!$AA$54)&gt;=$S27),$V27,IF(AND($R27&lt;&gt;"",EDATE($D27,Milestones!$AA$54)&gt;=$R27),$U27,$T27)))=Milestones!$AB$54),TEXT(EDATE($D27,Milestones!$AA$54),"dd/mm/yy")&amp;" "&amp;Milestones!$AB$54&amp;" "&amp;Milestones!$AC$54&amp;";  ","")&amp;IF(AND(EDATE($D27,Milestones!$AA$55)&lt;=AsOfDate,IF($Q27=0,$W27,IF(AND($S27&lt;&gt;"",EDATE($D27,Milestones!$AA$55)&gt;=$S27),$V27,IF(AND($R27&lt;&gt;"",EDATE($D27,Milestones!$AA$55)&gt;=$R27),$U27,$T27)))=Milestones!$AB$55),TEXT(EDATE($D27,Milestones!$AA$55),"dd/mm/yy")&amp;" "&amp;Milestones!$AB$55&amp;" "&amp;Milestones!$AC$55&amp;";  ","")&amp;IF(AND(EDATE($D27,Milestones!$AA$56)&lt;=AsOfDate,IF($Q27=0,$W27,IF(AND($S27&lt;&gt;"",EDATE($D27,Milestones!$AA$56)&gt;=$S27),$V27,IF(AND($R27&lt;&gt;"",EDATE($D27,Milestones!$AA$56)&gt;=$R27),$U27,$T27)))=Milestones!$AB$56),TEXT(EDATE($D27,Milestones!$AA$56),"dd/mm/yy")&amp;" "&amp;Milestones!$AB$56&amp;" "&amp;Milestones!$AC$56&amp;";  ","")&amp;IF(AND(EDATE($D27,Milestones!$AA$57)&lt;=AsOfDate,IF($Q27=0,$W27,IF(AND($S27&lt;&gt;"",EDATE($D27,Milestones!$AA$57)&gt;=$S27),$V27,IF(AND($R27&lt;&gt;"",EDATE($D27,Milestones!$AA$57)&gt;=$R27),$U27,$T27)))=Milestones!$AB$57),TEXT(EDATE($D27,Milestones!$AA$57),"dd/mm/yy")&amp;" "&amp;Milestones!$AB$57&amp;" "&amp;Milestones!$AC$57&amp;";  ","")&amp;IF(AND(EDATE($D27,Milestones!$AA$58)&lt;=AsOfDate,IF($Q27=0,$W27,IF(AND($S27&lt;&gt;"",EDATE($D27,Milestones!$AA$58)&gt;=$S27),$V27,IF(AND($R27&lt;&gt;"",EDATE($D27,Milestones!$AA$58)&gt;=$R27),$U27,$T27)))=Milestones!$AB$58),TEXT(EDATE($D27,Milestones!$AA$58),"dd/mm/yy")&amp;" "&amp;Milestones!$AB$58&amp;" "&amp;Milestones!$AC$58&amp;";  ","")&amp;IF(AND(EDATE($D27,Milestones!$AA$59)&lt;=AsOfDate,IF($Q27=0,$W27,IF(AND($S27&lt;&gt;"",EDATE($D27,Milestones!$AA$59)&gt;=$S27),$V27,IF(AND($R27&lt;&gt;"",EDATE($D27,Milestones!$AA$59)&gt;=$R27),$U27,$T27)))=Milestones!$AB$59),TEXT(EDATE($D27,Milestones!$AA$59),"dd/mm/yy")&amp;" "&amp;Milestones!$AB$59&amp;" "&amp;Milestones!$AC$59&amp;";  ",""))</f>
        <v/>
      </c>
      <c r="J27" s="0" t="str">
        <f aca="false">IF(OR($A27="",$D27=""),"",IF(AND(EDATE($D27,Milestones!$AA$60)&lt;=AsOfDate,IF($Q27=0,$W27,IF(AND($S27&lt;&gt;"",EDATE($D27,Milestones!$AA$60)&gt;=$S27),$V27,IF(AND($R27&lt;&gt;"",EDATE($D27,Milestones!$AA$60)&gt;=$R27),$U27,$T27)))=Milestones!$AB$60),TEXT(EDATE($D27,Milestones!$AA$60),"dd/mm/yy")&amp;" "&amp;Milestones!$AB$60&amp;" "&amp;Milestones!$AC$60&amp;";  ","")&amp;IF(AND(EDATE($D27,Milestones!$AA$61)&lt;=AsOfDate,IF($Q27=0,$W27,IF(AND($S27&lt;&gt;"",EDATE($D27,Milestones!$AA$61)&gt;=$S27),$V27,IF(AND($R27&lt;&gt;"",EDATE($D27,Milestones!$AA$61)&gt;=$R27),$U27,$T27)))=Milestones!$AB$61),TEXT(EDATE($D27,Milestones!$AA$61),"dd/mm/yy")&amp;" "&amp;Milestones!$AB$61&amp;" "&amp;Milestones!$AC$61&amp;";  ","")&amp;IF(AND(EDATE($D27,Milestones!$AA$62)&lt;=AsOfDate,IF($Q27=0,$W27,IF(AND($S27&lt;&gt;"",EDATE($D27,Milestones!$AA$62)&gt;=$S27),$V27,IF(AND($R27&lt;&gt;"",EDATE($D27,Milestones!$AA$62)&gt;=$R27),$U27,$T27)))=Milestones!$AB$62),TEXT(EDATE($D27,Milestones!$AA$62),"dd/mm/yy")&amp;" "&amp;Milestones!$AB$62&amp;" "&amp;Milestones!$AC$62&amp;";  ","")&amp;IF(AND(EDATE($D27,Milestones!$AA$63)&lt;=AsOfDate,IF($Q27=0,$W27,IF(AND($S27&lt;&gt;"",EDATE($D27,Milestones!$AA$63)&gt;=$S27),$V27,IF(AND($R27&lt;&gt;"",EDATE($D27,Milestones!$AA$63)&gt;=$R27),$U27,$T27)))=Milestones!$AB$63),TEXT(EDATE($D27,Milestones!$AA$63),"dd/mm/yy")&amp;" "&amp;Milestones!$AB$63&amp;" "&amp;Milestones!$AC$63&amp;";  ","")&amp;IF(AND(EDATE($D27,Milestones!$AA$64)&lt;=AsOfDate,IF($Q27=0,$W27,IF(AND($S27&lt;&gt;"",EDATE($D27,Milestones!$AA$64)&gt;=$S27),$V27,IF(AND($R27&lt;&gt;"",EDATE($D27,Milestones!$AA$64)&gt;=$R27),$U27,$T27)))=Milestones!$AB$64),TEXT(EDATE($D27,Milestones!$AA$64),"dd/mm/yy")&amp;" "&amp;Milestones!$AB$64&amp;" "&amp;Milestones!$AC$64&amp;";  ","")&amp;IF(AND(EDATE($D27,Milestones!$AA$65)&lt;=AsOfDate,IF($Q27=0,$W27,IF(AND($S27&lt;&gt;"",EDATE($D27,Milestones!$AA$65)&gt;=$S27),$V27,IF(AND($R27&lt;&gt;"",EDATE($D27,Milestones!$AA$65)&gt;=$R27),$U27,$T27)))=Milestones!$AB$65),TEXT(EDATE($D27,Milestones!$AA$65),"dd/mm/yy")&amp;" "&amp;Milestones!$AB$65&amp;" "&amp;Milestones!$AC$65&amp;";  ","")&amp;IF(AND(EDATE($D27,Milestones!$AA$66)&lt;=AsOfDate,IF($Q27=0,$W27,IF(AND($S27&lt;&gt;"",EDATE($D27,Milestones!$AA$66)&gt;=$S27),$V27,IF(AND($R27&lt;&gt;"",EDATE($D27,Milestones!$AA$66)&gt;=$R27),$U27,$T27)))=Milestones!$AB$66),TEXT(EDATE($D27,Milestones!$AA$66),"dd/mm/yy")&amp;" "&amp;Milestones!$AB$66&amp;" "&amp;Milestones!$AC$66&amp;";  ","")&amp;IF(AND(EDATE($D27,Milestones!$AA$67)&lt;=AsOfDate,IF($Q27=0,$W27,IF(AND($S27&lt;&gt;"",EDATE($D27,Milestones!$AA$67)&gt;=$S27),$V27,IF(AND($R27&lt;&gt;"",EDATE($D27,Milestones!$AA$67)&gt;=$R27),$U27,$T27)))=Milestones!$AB$67),TEXT(EDATE($D27,Milestones!$AA$67),"dd/mm/yy")&amp;" "&amp;Milestones!$AB$67&amp;" "&amp;Milestones!$AC$67&amp;";  ","")&amp;IF(AND(EDATE($D27,Milestones!$AA$68)&lt;=AsOfDate,IF($Q27=0,$W27,IF(AND($S27&lt;&gt;"",EDATE($D27,Milestones!$AA$68)&gt;=$S27),$V27,IF(AND($R27&lt;&gt;"",EDATE($D27,Milestones!$AA$68)&gt;=$R27),$U27,$T27)))=Milestones!$AB$68),TEXT(EDATE($D27,Milestones!$AA$68),"dd/mm/yy")&amp;" "&amp;Milestones!$AB$68&amp;" "&amp;Milestones!$AC$68&amp;";  ","")&amp;IF(AND(EDATE($D27,Milestones!$AA$69)&lt;=AsOfDate,IF($Q27=0,$W27,IF(AND($S27&lt;&gt;"",EDATE($D27,Milestones!$AA$69)&gt;=$S27),$V27,IF(AND($R27&lt;&gt;"",EDATE($D27,Milestones!$AA$69)&gt;=$R27),$U27,$T27)))=Milestones!$AB$69),TEXT(EDATE($D27,Milestones!$AA$69),"dd/mm/yy")&amp;" "&amp;Milestones!$AB$69&amp;" "&amp;Milestones!$AC$69&amp;";  ","")&amp;IF(AND(EDATE($D27,Milestones!$AA$70)&lt;=AsOfDate,IF($Q27=0,$W27,IF(AND($S27&lt;&gt;"",EDATE($D27,Milestones!$AA$70)&gt;=$S27),$V27,IF(AND($R27&lt;&gt;"",EDATE($D27,Milestones!$AA$70)&gt;=$R27),$U27,$T27)))=Milestones!$AB$70),TEXT(EDATE($D27,Milestones!$AA$70),"dd/mm/yy")&amp;" "&amp;Milestones!$AB$70&amp;" "&amp;Milestones!$AC$70&amp;";  ","")&amp;IF(AND(EDATE($D27,Milestones!$AA$71)&lt;=AsOfDate,IF($Q27=0,$W27,IF(AND($S27&lt;&gt;"",EDATE($D27,Milestones!$AA$71)&gt;=$S27),$V27,IF(AND($R27&lt;&gt;"",EDATE($D27,Milestones!$AA$71)&gt;=$R27),$U27,$T27)))=Milestones!$AB$71),TEXT(EDATE($D27,Milestones!$AA$71),"dd/mm/yy")&amp;" "&amp;Milestones!$AB$71&amp;" "&amp;Milestones!$AC$71&amp;";  ","")&amp;IF(AND(EDATE($D27,Milestones!$AA$72)&lt;=AsOfDate,IF($Q27=0,$W27,IF(AND($S27&lt;&gt;"",EDATE($D27,Milestones!$AA$72)&gt;=$S27),$V27,IF(AND($R27&lt;&gt;"",EDATE($D27,Milestones!$AA$72)&gt;=$R27),$U27,$T27)))=Milestones!$AB$72),TEXT(EDATE($D27,Milestones!$AA$72),"dd/mm/yy")&amp;" "&amp;Milestones!$AB$72&amp;" "&amp;Milestones!$AC$72&amp;";  ","")&amp;IF(AND(EDATE($D27,Milestones!$AA$73)&lt;=AsOfDate,IF($Q27=0,$W27,IF(AND($S27&lt;&gt;"",EDATE($D27,Milestones!$AA$73)&gt;=$S27),$V27,IF(AND($R27&lt;&gt;"",EDATE($D27,Milestones!$AA$73)&gt;=$R27),$U27,$T27)))=Milestones!$AB$73),TEXT(EDATE($D27,Milestones!$AA$73),"dd/mm/yy")&amp;" "&amp;Milestones!$AB$73&amp;" "&amp;Milestones!$AC$73&amp;";  ","")&amp;IF(AND(EDATE($D27,Milestones!$AA$74)&lt;=AsOfDate,IF($Q27=0,$W27,IF(AND($S27&lt;&gt;"",EDATE($D27,Milestones!$AA$74)&gt;=$S27),$V27,IF(AND($R27&lt;&gt;"",EDATE($D27,Milestones!$AA$74)&gt;=$R27),$U27,$T27)))=Milestones!$AB$74),TEXT(EDATE($D27,Milestones!$AA$74),"dd/mm/yy")&amp;" "&amp;Milestones!$AB$74&amp;" "&amp;Milestones!$AC$74&amp;";  ","")&amp;IF(AND(EDATE($D27,Milestones!$AA$75)&lt;=AsOfDate,IF($Q27=0,$W27,IF(AND($S27&lt;&gt;"",EDATE($D27,Milestones!$AA$75)&gt;=$S27),$V27,IF(AND($R27&lt;&gt;"",EDATE($D27,Milestones!$AA$75)&gt;=$R27),$U27,$T27)))=Milestones!$AB$75),TEXT(EDATE($D27,Milestones!$AA$75),"dd/mm/yy")&amp;" "&amp;Milestones!$AB$75&amp;" "&amp;Milestones!$AC$75&amp;";  ","")&amp;IF(AND(EDATE($D27,Milestones!$AA$76)&lt;=AsOfDate,IF($Q27=0,$W27,IF(AND($S27&lt;&gt;"",EDATE($D27,Milestones!$AA$76)&gt;=$S27),$V27,IF(AND($R27&lt;&gt;"",EDATE($D27,Milestones!$AA$76)&gt;=$R27),$U27,$T27)))=Milestones!$AB$76),TEXT(EDATE($D27,Milestones!$AA$76),"dd/mm/yy")&amp;" "&amp;Milestones!$AB$76&amp;" "&amp;Milestones!$AC$76&amp;";  ","")&amp;IF(AND(EDATE($D27,Milestones!$AA$77)&lt;=AsOfDate,IF($Q27=0,$W27,IF(AND($S27&lt;&gt;"",EDATE($D27,Milestones!$AA$77)&gt;=$S27),$V27,IF(AND($R27&lt;&gt;"",EDATE($D27,Milestones!$AA$77)&gt;=$R27),$U27,$T27)))=Milestones!$AB$77),TEXT(EDATE($D27,Milestones!$AA$77),"dd/mm/yy")&amp;" "&amp;Milestones!$AB$77&amp;" "&amp;Milestones!$AC$77&amp;";  ","")&amp;IF(AND(EDATE($D27,Milestones!$AA$78)&lt;=AsOfDate,IF($Q27=0,$W27,IF(AND($S27&lt;&gt;"",EDATE($D27,Milestones!$AA$78)&gt;=$S27),$V27,IF(AND($R27&lt;&gt;"",EDATE($D27,Milestones!$AA$78)&gt;=$R27),$U27,$T27)))=Milestones!$AB$78),TEXT(EDATE($D27,Milestones!$AA$78),"dd/mm/yy")&amp;" "&amp;Milestones!$AB$78&amp;" "&amp;Milestones!$AC$78&amp;";  ","")&amp;IF(AND(EDATE($D27,Milestones!$AA$79)&lt;=AsOfDate,IF($Q27=0,$W27,IF(AND($S27&lt;&gt;"",EDATE($D27,Milestones!$AA$79)&gt;=$S27),$V27,IF(AND($R27&lt;&gt;"",EDATE($D27,Milestones!$AA$79)&gt;=$R27),$U27,$T27)))=Milestones!$AB$79),TEXT(EDATE($D27,Milestones!$AA$79),"dd/mm/yy")&amp;" "&amp;Milestones!$AB$79&amp;" "&amp;Milestones!$AC$79&amp;";  ",""))</f>
        <v/>
      </c>
      <c r="K27" s="0" t="str">
        <f aca="false">IF(OR($A27="",$D27=""),"",IF(AND(EDATE($D27,Milestones!$AA$80)&lt;=AsOfDate,IF($Q27=0,$W27,IF(AND($S27&lt;&gt;"",EDATE($D27,Milestones!$AA$80)&gt;=$S27),$V27,IF(AND($R27&lt;&gt;"",EDATE($D27,Milestones!$AA$80)&gt;=$R27),$U27,$T27)))=Milestones!$AB$80),TEXT(EDATE($D27,Milestones!$AA$80),"dd/mm/yy")&amp;" "&amp;Milestones!$AB$80&amp;" "&amp;Milestones!$AC$80&amp;";  ","")&amp;IF(AND(EDATE($D27,Milestones!$AA$81)&lt;=AsOfDate,IF($Q27=0,$W27,IF(AND($S27&lt;&gt;"",EDATE($D27,Milestones!$AA$81)&gt;=$S27),$V27,IF(AND($R27&lt;&gt;"",EDATE($D27,Milestones!$AA$81)&gt;=$R27),$U27,$T27)))=Milestones!$AB$81),TEXT(EDATE($D27,Milestones!$AA$81),"dd/mm/yy")&amp;" "&amp;Milestones!$AB$81&amp;" "&amp;Milestones!$AC$81&amp;";  ","")&amp;IF(AND(EDATE($D27,Milestones!$AA$82)&lt;=AsOfDate,IF($Q27=0,$W27,IF(AND($S27&lt;&gt;"",EDATE($D27,Milestones!$AA$82)&gt;=$S27),$V27,IF(AND($R27&lt;&gt;"",EDATE($D27,Milestones!$AA$82)&gt;=$R27),$U27,$T27)))=Milestones!$AB$82),TEXT(EDATE($D27,Milestones!$AA$82),"dd/mm/yy")&amp;" "&amp;Milestones!$AB$82&amp;" "&amp;Milestones!$AC$82&amp;";  ","")&amp;IF(AND(EDATE($D27,Milestones!$AA$83)&lt;=AsOfDate,IF($Q27=0,$W27,IF(AND($S27&lt;&gt;"",EDATE($D27,Milestones!$AA$83)&gt;=$S27),$V27,IF(AND($R27&lt;&gt;"",EDATE($D27,Milestones!$AA$83)&gt;=$R27),$U27,$T27)))=Milestones!$AB$83),TEXT(EDATE($D27,Milestones!$AA$83),"dd/mm/yy")&amp;" "&amp;Milestones!$AB$83&amp;" "&amp;Milestones!$AC$83&amp;";  ","")&amp;IF(AND(EDATE($D27,Milestones!$AA$84)&lt;=AsOfDate,IF($Q27=0,$W27,IF(AND($S27&lt;&gt;"",EDATE($D27,Milestones!$AA$84)&gt;=$S27),$V27,IF(AND($R27&lt;&gt;"",EDATE($D27,Milestones!$AA$84)&gt;=$R27),$U27,$T27)))=Milestones!$AB$84),TEXT(EDATE($D27,Milestones!$AA$84),"dd/mm/yy")&amp;" "&amp;Milestones!$AB$84&amp;" "&amp;Milestones!$AC$84&amp;";  ","")&amp;IF(AND(EDATE($D27,Milestones!$AA$85)&lt;=AsOfDate,IF($Q27=0,$W27,IF(AND($S27&lt;&gt;"",EDATE($D27,Milestones!$AA$85)&gt;=$S27),$V27,IF(AND($R27&lt;&gt;"",EDATE($D27,Milestones!$AA$85)&gt;=$R27),$U27,$T27)))=Milestones!$AB$85),TEXT(EDATE($D27,Milestones!$AA$85),"dd/mm/yy")&amp;" "&amp;Milestones!$AB$85&amp;" "&amp;Milestones!$AC$85&amp;";  ","")&amp;IF(AND(EDATE($D27,Milestones!$AA$86)&lt;=AsOfDate,IF($Q27=0,$W27,IF(AND($S27&lt;&gt;"",EDATE($D27,Milestones!$AA$86)&gt;=$S27),$V27,IF(AND($R27&lt;&gt;"",EDATE($D27,Milestones!$AA$86)&gt;=$R27),$U27,$T27)))=Milestones!$AB$86),TEXT(EDATE($D27,Milestones!$AA$86),"dd/mm/yy")&amp;" "&amp;Milestones!$AB$86&amp;" "&amp;Milestones!$AC$86&amp;";  ","")&amp;IF(AND(EDATE($D27,Milestones!$AA$87)&lt;=AsOfDate,IF($Q27=0,$W27,IF(AND($S27&lt;&gt;"",EDATE($D27,Milestones!$AA$87)&gt;=$S27),$V27,IF(AND($R27&lt;&gt;"",EDATE($D27,Milestones!$AA$87)&gt;=$R27),$U27,$T27)))=Milestones!$AB$87),TEXT(EDATE($D27,Milestones!$AA$87),"dd/mm/yy")&amp;" "&amp;Milestones!$AB$87&amp;" "&amp;Milestones!$AC$87&amp;";  ","")&amp;IF(AND(EDATE($D27,Milestones!$AA$88)&lt;=AsOfDate,IF($Q27=0,$W27,IF(AND($S27&lt;&gt;"",EDATE($D27,Milestones!$AA$88)&gt;=$S27),$V27,IF(AND($R27&lt;&gt;"",EDATE($D27,Milestones!$AA$88)&gt;=$R27),$U27,$T27)))=Milestones!$AB$88),TEXT(EDATE($D27,Milestones!$AA$88),"dd/mm/yy")&amp;" "&amp;Milestones!$AB$88&amp;" "&amp;Milestones!$AC$88&amp;";  ","")&amp;IF(AND(EDATE($D27,Milestones!$AA$89)&lt;=AsOfDate,IF($Q27=0,$W27,IF(AND($S27&lt;&gt;"",EDATE($D27,Milestones!$AA$89)&gt;=$S27),$V27,IF(AND($R27&lt;&gt;"",EDATE($D27,Milestones!$AA$89)&gt;=$R27),$U27,$T27)))=Milestones!$AB$89),TEXT(EDATE($D27,Milestones!$AA$89),"dd/mm/yy")&amp;" "&amp;Milestones!$AB$89&amp;" "&amp;Milestones!$AC$89&amp;";  ","")&amp;IF(AND(EDATE($D27,Milestones!$AA$90)&lt;=AsOfDate,IF($Q27=0,$W27,IF(AND($S27&lt;&gt;"",EDATE($D27,Milestones!$AA$90)&gt;=$S27),$V27,IF(AND($R27&lt;&gt;"",EDATE($D27,Milestones!$AA$90)&gt;=$R27),$U27,$T27)))=Milestones!$AB$90),TEXT(EDATE($D27,Milestones!$AA$90),"dd/mm/yy")&amp;" "&amp;Milestones!$AB$90&amp;" "&amp;Milestones!$AC$90&amp;";  ","")&amp;IF(AND(EDATE($D27,Milestones!$AA$91)&lt;=AsOfDate,IF($Q27=0,$W27,IF(AND($S27&lt;&gt;"",EDATE($D27,Milestones!$AA$91)&gt;=$S27),$V27,IF(AND($R27&lt;&gt;"",EDATE($D27,Milestones!$AA$91)&gt;=$R27),$U27,$T27)))=Milestones!$AB$91),TEXT(EDATE($D27,Milestones!$AA$91),"dd/mm/yy")&amp;" "&amp;Milestones!$AB$91&amp;" "&amp;Milestones!$AC$91&amp;";  ","")&amp;IF(AND(EDATE($D27,Milestones!$AA$92)&lt;=AsOfDate,IF($Q27=0,$W27,IF(AND($S27&lt;&gt;"",EDATE($D27,Milestones!$AA$92)&gt;=$S27),$V27,IF(AND($R27&lt;&gt;"",EDATE($D27,Milestones!$AA$92)&gt;=$R27),$U27,$T27)))=Milestones!$AB$92),TEXT(EDATE($D27,Milestones!$AA$92),"dd/mm/yy")&amp;" "&amp;Milestones!$AB$92&amp;" "&amp;Milestones!$AC$92&amp;";  ","")&amp;IF(AND(EDATE($D27,Milestones!$AA$93)&lt;=AsOfDate,IF($Q27=0,$W27,IF(AND($S27&lt;&gt;"",EDATE($D27,Milestones!$AA$93)&gt;=$S27),$V27,IF(AND($R27&lt;&gt;"",EDATE($D27,Milestones!$AA$93)&gt;=$R27),$U27,$T27)))=Milestones!$AB$93),TEXT(EDATE($D27,Milestones!$AA$93),"dd/mm/yy")&amp;" "&amp;Milestones!$AB$93&amp;" "&amp;Milestones!$AC$93&amp;";  ","")&amp;IF(AND(EDATE($D27,Milestones!$AA$94)&lt;=AsOfDate,IF($Q27=0,$W27,IF(AND($S27&lt;&gt;"",EDATE($D27,Milestones!$AA$94)&gt;=$S27),$V27,IF(AND($R27&lt;&gt;"",EDATE($D27,Milestones!$AA$94)&gt;=$R27),$U27,$T27)))=Milestones!$AB$94),TEXT(EDATE($D27,Milestones!$AA$94),"dd/mm/yy")&amp;" "&amp;Milestones!$AB$94&amp;" "&amp;Milestones!$AC$94&amp;";  ","")&amp;IF(AND(EDATE($D27,Milestones!$AA$95)&lt;=AsOfDate,IF($Q27=0,$W27,IF(AND($S27&lt;&gt;"",EDATE($D27,Milestones!$AA$95)&gt;=$S27),$V27,IF(AND($R27&lt;&gt;"",EDATE($D27,Milestones!$AA$95)&gt;=$R27),$U27,$T27)))=Milestones!$AB$95),TEXT(EDATE($D27,Milestones!$AA$95),"dd/mm/yy")&amp;" "&amp;Milestones!$AB$95&amp;" "&amp;Milestones!$AC$95&amp;";  ","")&amp;IF(AND(EDATE($D27,Milestones!$AA$96)&lt;=AsOfDate,IF($Q27=0,$W27,IF(AND($S27&lt;&gt;"",EDATE($D27,Milestones!$AA$96)&gt;=$S27),$V27,IF(AND($R27&lt;&gt;"",EDATE($D27,Milestones!$AA$96)&gt;=$R27),$U27,$T27)))=Milestones!$AB$96),TEXT(EDATE($D27,Milestones!$AA$96),"dd/mm/yy")&amp;" "&amp;Milestones!$AB$96&amp;" "&amp;Milestones!$AC$96&amp;";  ","")&amp;IF(AND(EDATE($D27,Milestones!$AA$97)&lt;=AsOfDate,IF($Q27=0,$W27,IF(AND($S27&lt;&gt;"",EDATE($D27,Milestones!$AA$97)&gt;=$S27),$V27,IF(AND($R27&lt;&gt;"",EDATE($D27,Milestones!$AA$97)&gt;=$R27),$U27,$T27)))=Milestones!$AB$97),TEXT(EDATE($D27,Milestones!$AA$97),"dd/mm/yy")&amp;" "&amp;Milestones!$AB$97&amp;" "&amp;Milestones!$AC$97&amp;";  ","")&amp;IF(AND(EDATE($D27,Milestones!$AA$98)&lt;=AsOfDate,IF($Q27=0,$W27,IF(AND($S27&lt;&gt;"",EDATE($D27,Milestones!$AA$98)&gt;=$S27),$V27,IF(AND($R27&lt;&gt;"",EDATE($D27,Milestones!$AA$98)&gt;=$R27),$U27,$T27)))=Milestones!$AB$98),TEXT(EDATE($D27,Milestones!$AA$98),"dd/mm/yy")&amp;" "&amp;Milestones!$AB$98&amp;" "&amp;Milestones!$AC$98&amp;";  ","")&amp;IF(AND(EDATE($D27,Milestones!$AA$99)&lt;=AsOfDate,IF($Q27=0,$W27,IF(AND($S27&lt;&gt;"",EDATE($D27,Milestones!$AA$99)&gt;=$S27),$V27,IF(AND($R27&lt;&gt;"",EDATE($D27,Milestones!$AA$99)&gt;=$R27),$U27,$T27)))=Milestones!$AB$99),TEXT(EDATE($D27,Milestones!$AA$99),"dd/mm/yy")&amp;" "&amp;Milestones!$AB$99&amp;" "&amp;Milestones!$AC$99&amp;";  ",""))</f>
        <v/>
      </c>
      <c r="L27" s="0" t="str">
        <f aca="false">IF(OR($A27="",$D27=""),"",IF(AND(EDATE($D27,Milestones!$AA$100)&lt;=AsOfDate,IF($Q27=0,$W27,IF(AND($S27&lt;&gt;"",EDATE($D27,Milestones!$AA$100)&gt;=$S27),$V27,IF(AND($R27&lt;&gt;"",EDATE($D27,Milestones!$AA$100)&gt;=$R27),$U27,$T27)))=Milestones!$AB$100),TEXT(EDATE($D27,Milestones!$AA$100),"dd/mm/yy")&amp;" "&amp;Milestones!$AB$100&amp;" "&amp;Milestones!$AC$100&amp;";  ","")&amp;IF(AND(EDATE($D27,Milestones!$AA$101)&lt;=AsOfDate,IF($Q27=0,$W27,IF(AND($S27&lt;&gt;"",EDATE($D27,Milestones!$AA$101)&gt;=$S27),$V27,IF(AND($R27&lt;&gt;"",EDATE($D27,Milestones!$AA$101)&gt;=$R27),$U27,$T27)))=Milestones!$AB$101),TEXT(EDATE($D27,Milestones!$AA$101),"dd/mm/yy")&amp;" "&amp;Milestones!$AB$101&amp;" "&amp;Milestones!$AC$101&amp;";  ","")&amp;IF(AND(EDATE($D27,Milestones!$AA$102)&lt;=AsOfDate,IF($Q27=0,$W27,IF(AND($S27&lt;&gt;"",EDATE($D27,Milestones!$AA$102)&gt;=$S27),$V27,IF(AND($R27&lt;&gt;"",EDATE($D27,Milestones!$AA$102)&gt;=$R27),$U27,$T27)))=Milestones!$AB$102),TEXT(EDATE($D27,Milestones!$AA$102),"dd/mm/yy")&amp;" "&amp;Milestones!$AB$102&amp;" "&amp;Milestones!$AC$102&amp;";  ","")&amp;IF(AND(EDATE($D27,Milestones!$AA$103)&lt;=AsOfDate,IF($Q27=0,$W27,IF(AND($S27&lt;&gt;"",EDATE($D27,Milestones!$AA$103)&gt;=$S27),$V27,IF(AND($R27&lt;&gt;"",EDATE($D27,Milestones!$AA$103)&gt;=$R27),$U27,$T27)))=Milestones!$AB$103),TEXT(EDATE($D27,Milestones!$AA$103),"dd/mm/yy")&amp;" "&amp;Milestones!$AB$103&amp;" "&amp;Milestones!$AC$103&amp;";  ","")&amp;IF(AND(EDATE($D27,Milestones!$AA$104)&lt;=AsOfDate,IF($Q27=0,$W27,IF(AND($S27&lt;&gt;"",EDATE($D27,Milestones!$AA$104)&gt;=$S27),$V27,IF(AND($R27&lt;&gt;"",EDATE($D27,Milestones!$AA$104)&gt;=$R27),$U27,$T27)))=Milestones!$AB$104),TEXT(EDATE($D27,Milestones!$AA$104),"dd/mm/yy")&amp;" "&amp;Milestones!$AB$104&amp;" "&amp;Milestones!$AC$104&amp;";  ","")&amp;IF(AND(EDATE($D27,Milestones!$AA$105)&lt;=AsOfDate,IF($Q27=0,$W27,IF(AND($S27&lt;&gt;"",EDATE($D27,Milestones!$AA$105)&gt;=$S27),$V27,IF(AND($R27&lt;&gt;"",EDATE($D27,Milestones!$AA$105)&gt;=$R27),$U27,$T27)))=Milestones!$AB$105),TEXT(EDATE($D27,Milestones!$AA$105),"dd/mm/yy")&amp;" "&amp;Milestones!$AB$105&amp;" "&amp;Milestones!$AC$105&amp;";  ","")&amp;IF(AND(EDATE($D27,Milestones!$AA$106)&lt;=AsOfDate,IF($Q27=0,$W27,IF(AND($S27&lt;&gt;"",EDATE($D27,Milestones!$AA$106)&gt;=$S27),$V27,IF(AND($R27&lt;&gt;"",EDATE($D27,Milestones!$AA$106)&gt;=$R27),$U27,$T27)))=Milestones!$AB$106),TEXT(EDATE($D27,Milestones!$AA$106),"dd/mm/yy")&amp;" "&amp;Milestones!$AB$106&amp;" "&amp;Milestones!$AC$106&amp;";  ","")&amp;IF(AND(EDATE($D27,Milestones!$AA$107)&lt;=AsOfDate,IF($Q27=0,$W27,IF(AND($S27&lt;&gt;"",EDATE($D27,Milestones!$AA$107)&gt;=$S27),$V27,IF(AND($R27&lt;&gt;"",EDATE($D27,Milestones!$AA$107)&gt;=$R27),$U27,$T27)))=Milestones!$AB$107),TEXT(EDATE($D27,Milestones!$AA$107),"dd/mm/yy")&amp;" "&amp;Milestones!$AB$107&amp;" "&amp;Milestones!$AC$107&amp;";  ","")&amp;IF(AND(EDATE($D27,Milestones!$AA$108)&lt;=AsOfDate,IF($Q27=0,$W27,IF(AND($S27&lt;&gt;"",EDATE($D27,Milestones!$AA$108)&gt;=$S27),$V27,IF(AND($R27&lt;&gt;"",EDATE($D27,Milestones!$AA$108)&gt;=$R27),$U27,$T27)))=Milestones!$AB$108),TEXT(EDATE($D27,Milestones!$AA$108),"dd/mm/yy")&amp;" "&amp;Milestones!$AB$108&amp;" "&amp;Milestones!$AC$108&amp;";  ","")&amp;IF(AND(EDATE($D27,Milestones!$AA$109)&lt;=AsOfDate,IF($Q27=0,$W27,IF(AND($S27&lt;&gt;"",EDATE($D27,Milestones!$AA$109)&gt;=$S27),$V27,IF(AND($R27&lt;&gt;"",EDATE($D27,Milestones!$AA$109)&gt;=$R27),$U27,$T27)))=Milestones!$AB$109),TEXT(EDATE($D27,Milestones!$AA$109),"dd/mm/yy")&amp;" "&amp;Milestones!$AB$109&amp;" "&amp;Milestones!$AC$109&amp;";  ","")&amp;IF(AND(EDATE($D27,Milestones!$AA$110)&lt;=AsOfDate,IF($Q27=0,$W27,IF(AND($S27&lt;&gt;"",EDATE($D27,Milestones!$AA$110)&gt;=$S27),$V27,IF(AND($R27&lt;&gt;"",EDATE($D27,Milestones!$AA$110)&gt;=$R27),$U27,$T27)))=Milestones!$AB$110),TEXT(EDATE($D27,Milestones!$AA$110),"dd/mm/yy")&amp;" "&amp;Milestones!$AB$110&amp;" "&amp;Milestones!$AC$110&amp;";  ","")&amp;IF(AND(EDATE($D27,Milestones!$AA$111)&lt;=AsOfDate,IF($Q27=0,$W27,IF(AND($S27&lt;&gt;"",EDATE($D27,Milestones!$AA$111)&gt;=$S27),$V27,IF(AND($R27&lt;&gt;"",EDATE($D27,Milestones!$AA$111)&gt;=$R27),$U27,$T27)))=Milestones!$AB$111),TEXT(EDATE($D27,Milestones!$AA$111),"dd/mm/yy")&amp;" "&amp;Milestones!$AB$111&amp;" "&amp;Milestones!$AC$111&amp;";  ","")&amp;IF(AND(EDATE($D27,Milestones!$AA$112)&lt;=AsOfDate,IF($Q27=0,$W27,IF(AND($S27&lt;&gt;"",EDATE($D27,Milestones!$AA$112)&gt;=$S27),$V27,IF(AND($R27&lt;&gt;"",EDATE($D27,Milestones!$AA$112)&gt;=$R27),$U27,$T27)))=Milestones!$AB$112),TEXT(EDATE($D27,Milestones!$AA$112),"dd/mm/yy")&amp;" "&amp;Milestones!$AB$112&amp;" "&amp;Milestones!$AC$112&amp;";  ","")&amp;IF(AND(EDATE($D27,Milestones!$AA$113)&lt;=AsOfDate,IF($Q27=0,$W27,IF(AND($S27&lt;&gt;"",EDATE($D27,Milestones!$AA$113)&gt;=$S27),$V27,IF(AND($R27&lt;&gt;"",EDATE($D27,Milestones!$AA$113)&gt;=$R27),$U27,$T27)))=Milestones!$AB$113),TEXT(EDATE($D27,Milestones!$AA$113),"dd/mm/yy")&amp;" "&amp;Milestones!$AB$113&amp;" "&amp;Milestones!$AC$113&amp;";  ","")&amp;IF(AND(EDATE($D27,Milestones!$AA$114)&lt;=AsOfDate,IF($Q27=0,$W27,IF(AND($S27&lt;&gt;"",EDATE($D27,Milestones!$AA$114)&gt;=$S27),$V27,IF(AND($R27&lt;&gt;"",EDATE($D27,Milestones!$AA$114)&gt;=$R27),$U27,$T27)))=Milestones!$AB$114),TEXT(EDATE($D27,Milestones!$AA$114),"dd/mm/yy")&amp;" "&amp;Milestones!$AB$114&amp;" "&amp;Milestones!$AC$114&amp;";  ","")&amp;IF(AND(EDATE($D27,Milestones!$AA$115)&lt;=AsOfDate,IF($Q27=0,$W27,IF(AND($S27&lt;&gt;"",EDATE($D27,Milestones!$AA$115)&gt;=$S27),$V27,IF(AND($R27&lt;&gt;"",EDATE($D27,Milestones!$AA$115)&gt;=$R27),$U27,$T27)))=Milestones!$AB$115),TEXT(EDATE($D27,Milestones!$AA$115),"dd/mm/yy")&amp;" "&amp;Milestones!$AB$115&amp;" "&amp;Milestones!$AC$115&amp;";  ","")&amp;IF(AND(EDATE($D27,Milestones!$AA$116)&lt;=AsOfDate,IF($Q27=0,$W27,IF(AND($S27&lt;&gt;"",EDATE($D27,Milestones!$AA$116)&gt;=$S27),$V27,IF(AND($R27&lt;&gt;"",EDATE($D27,Milestones!$AA$116)&gt;=$R27),$U27,$T27)))=Milestones!$AB$116),TEXT(EDATE($D27,Milestones!$AA$116),"dd/mm/yy")&amp;" "&amp;Milestones!$AB$116&amp;" "&amp;Milestones!$AC$116&amp;";  ","")&amp;IF(AND(EDATE($D27,Milestones!$AA$117)&lt;=AsOfDate,IF($Q27=0,$W27,IF(AND($S27&lt;&gt;"",EDATE($D27,Milestones!$AA$117)&gt;=$S27),$V27,IF(AND($R27&lt;&gt;"",EDATE($D27,Milestones!$AA$117)&gt;=$R27),$U27,$T27)))=Milestones!$AB$117),TEXT(EDATE($D27,Milestones!$AA$117),"dd/mm/yy")&amp;" "&amp;Milestones!$AB$117&amp;" "&amp;Milestones!$AC$117&amp;";  ","")&amp;IF(AND(EDATE($D27,Milestones!$AA$118)&lt;=AsOfDate,IF($Q27=0,$W27,IF(AND($S27&lt;&gt;"",EDATE($D27,Milestones!$AA$118)&gt;=$S27),$V27,IF(AND($R27&lt;&gt;"",EDATE($D27,Milestones!$AA$118)&gt;=$R27),$U27,$T27)))=Milestones!$AB$118),TEXT(EDATE($D27,Milestones!$AA$118),"dd/mm/yy")&amp;" "&amp;Milestones!$AB$118&amp;" "&amp;Milestones!$AC$118&amp;";  ","")&amp;IF(AND(EDATE($D27,Milestones!$AA$119)&lt;=AsOfDate,IF($Q27=0,$W27,IF(AND($S27&lt;&gt;"",EDATE($D27,Milestones!$AA$119)&gt;=$S27),$V27,IF(AND($R27&lt;&gt;"",EDATE($D27,Milestones!$AA$119)&gt;=$R27),$U27,$T27)))=Milestones!$AB$119),TEXT(EDATE($D27,Milestones!$AA$119),"dd/mm/yy")&amp;" "&amp;Milestones!$AB$119&amp;" "&amp;Milestones!$AC$119&amp;";  ",""))</f>
        <v/>
      </c>
      <c r="M27" s="0" t="str">
        <f aca="false">IF(OR($A27="",$D27=""),"",IF(AND(EDATE($D27,Milestones!$AA$120)&lt;=AsOfDate,IF($Q27=0,$W27,IF(AND($S27&lt;&gt;"",EDATE($D27,Milestones!$AA$120)&gt;=$S27),$V27,IF(AND($R27&lt;&gt;"",EDATE($D27,Milestones!$AA$120)&gt;=$R27),$U27,$T27)))=Milestones!$AB$120),TEXT(EDATE($D27,Milestones!$AA$120),"dd/mm/yy")&amp;" "&amp;Milestones!$AB$120&amp;" "&amp;Milestones!$AC$120&amp;";  ","")&amp;IF(AND(EDATE($D27,Milestones!$AA$121)&lt;=AsOfDate,IF($Q27=0,$W27,IF(AND($S27&lt;&gt;"",EDATE($D27,Milestones!$AA$121)&gt;=$S27),$V27,IF(AND($R27&lt;&gt;"",EDATE($D27,Milestones!$AA$121)&gt;=$R27),$U27,$T27)))=Milestones!$AB$121),TEXT(EDATE($D27,Milestones!$AA$121),"dd/mm/yy")&amp;" "&amp;Milestones!$AB$121&amp;" "&amp;Milestones!$AC$121&amp;";  ","")&amp;IF(AND(EDATE($D27,Milestones!$AA$122)&lt;=AsOfDate,IF($Q27=0,$W27,IF(AND($S27&lt;&gt;"",EDATE($D27,Milestones!$AA$122)&gt;=$S27),$V27,IF(AND($R27&lt;&gt;"",EDATE($D27,Milestones!$AA$122)&gt;=$R27),$U27,$T27)))=Milestones!$AB$122),TEXT(EDATE($D27,Milestones!$AA$122),"dd/mm/yy")&amp;" "&amp;Milestones!$AB$122&amp;" "&amp;Milestones!$AC$122&amp;";  ","")&amp;IF(AND(EDATE($D27,Milestones!$AA$123)&lt;=AsOfDate,IF($Q27=0,$W27,IF(AND($S27&lt;&gt;"",EDATE($D27,Milestones!$AA$123)&gt;=$S27),$V27,IF(AND($R27&lt;&gt;"",EDATE($D27,Milestones!$AA$123)&gt;=$R27),$U27,$T27)))=Milestones!$AB$123),TEXT(EDATE($D27,Milestones!$AA$123),"dd/mm/yy")&amp;" "&amp;Milestones!$AB$123&amp;" "&amp;Milestones!$AC$123&amp;";  ","")&amp;IF(AND(EDATE($D27,Milestones!$AA$124)&lt;=AsOfDate,IF($Q27=0,$W27,IF(AND($S27&lt;&gt;"",EDATE($D27,Milestones!$AA$124)&gt;=$S27),$V27,IF(AND($R27&lt;&gt;"",EDATE($D27,Milestones!$AA$124)&gt;=$R27),$U27,$T27)))=Milestones!$AB$124),TEXT(EDATE($D27,Milestones!$AA$124),"dd/mm/yy")&amp;" "&amp;Milestones!$AB$124&amp;" "&amp;Milestones!$AC$124&amp;";  ","")&amp;IF(AND(EDATE($D27,Milestones!$AA$125)&lt;=AsOfDate,IF($Q27=0,$W27,IF(AND($S27&lt;&gt;"",EDATE($D27,Milestones!$AA$125)&gt;=$S27),$V27,IF(AND($R27&lt;&gt;"",EDATE($D27,Milestones!$AA$125)&gt;=$R27),$U27,$T27)))=Milestones!$AB$125),TEXT(EDATE($D27,Milestones!$AA$125),"dd/mm/yy")&amp;" "&amp;Milestones!$AB$125&amp;" "&amp;Milestones!$AC$125&amp;";  ","")&amp;IF(AND(EDATE($D27,Milestones!$AA$126)&lt;=AsOfDate,IF($Q27=0,$W27,IF(AND($S27&lt;&gt;"",EDATE($D27,Milestones!$AA$126)&gt;=$S27),$V27,IF(AND($R27&lt;&gt;"",EDATE($D27,Milestones!$AA$126)&gt;=$R27),$U27,$T27)))=Milestones!$AB$126),TEXT(EDATE($D27,Milestones!$AA$126),"dd/mm/yy")&amp;" "&amp;Milestones!$AB$126&amp;" "&amp;Milestones!$AC$126&amp;";  ","")&amp;IF(AND(EDATE($D27,Milestones!$AA$127)&lt;=AsOfDate,IF($Q27=0,$W27,IF(AND($S27&lt;&gt;"",EDATE($D27,Milestones!$AA$127)&gt;=$S27),$V27,IF(AND($R27&lt;&gt;"",EDATE($D27,Milestones!$AA$127)&gt;=$R27),$U27,$T27)))=Milestones!$AB$127),TEXT(EDATE($D27,Milestones!$AA$127),"dd/mm/yy")&amp;" "&amp;Milestones!$AB$127&amp;" "&amp;Milestones!$AC$127&amp;";  ","")&amp;IF(AND(EDATE($D27,Milestones!$AA$128)&lt;=AsOfDate,IF($Q27=0,$W27,IF(AND($S27&lt;&gt;"",EDATE($D27,Milestones!$AA$128)&gt;=$S27),$V27,IF(AND($R27&lt;&gt;"",EDATE($D27,Milestones!$AA$128)&gt;=$R27),$U27,$T27)))=Milestones!$AB$128),TEXT(EDATE($D27,Milestones!$AA$128),"dd/mm/yy")&amp;" "&amp;Milestones!$AB$128&amp;" "&amp;Milestones!$AC$128&amp;";  ","")&amp;IF(AND(EDATE($D27,Milestones!$AA$129)&lt;=AsOfDate,IF($Q27=0,$W27,IF(AND($S27&lt;&gt;"",EDATE($D27,Milestones!$AA$129)&gt;=$S27),$V27,IF(AND($R27&lt;&gt;"",EDATE($D27,Milestones!$AA$129)&gt;=$R27),$U27,$T27)))=Milestones!$AB$129),TEXT(EDATE($D27,Milestones!$AA$129),"dd/mm/yy")&amp;" "&amp;Milestones!$AB$129&amp;" "&amp;Milestones!$AC$129&amp;";  ","")&amp;IF(AND(EDATE($D27,Milestones!$AA$130)&lt;=AsOfDate,IF($Q27=0,$W27,IF(AND($S27&lt;&gt;"",EDATE($D27,Milestones!$AA$130)&gt;=$S27),$V27,IF(AND($R27&lt;&gt;"",EDATE($D27,Milestones!$AA$130)&gt;=$R27),$U27,$T27)))=Milestones!$AB$130),TEXT(EDATE($D27,Milestones!$AA$130),"dd/mm/yy")&amp;" "&amp;Milestones!$AB$130&amp;" "&amp;Milestones!$AC$130&amp;";  ","")&amp;IF(AND(EDATE($D27,Milestones!$AA$131)&lt;=AsOfDate,IF($Q27=0,$W27,IF(AND($S27&lt;&gt;"",EDATE($D27,Milestones!$AA$131)&gt;=$S27),$V27,IF(AND($R27&lt;&gt;"",EDATE($D27,Milestones!$AA$131)&gt;=$R27),$U27,$T27)))=Milestones!$AB$131),TEXT(EDATE($D27,Milestones!$AA$131),"dd/mm/yy")&amp;" "&amp;Milestones!$AB$131&amp;" "&amp;Milestones!$AC$131&amp;";  ","")&amp;IF(AND(EDATE($D27,Milestones!$AA$132)&lt;=AsOfDate,IF($Q27=0,$W27,IF(AND($S27&lt;&gt;"",EDATE($D27,Milestones!$AA$132)&gt;=$S27),$V27,IF(AND($R27&lt;&gt;"",EDATE($D27,Milestones!$AA$132)&gt;=$R27),$U27,$T27)))=Milestones!$AB$132),TEXT(EDATE($D27,Milestones!$AA$132),"dd/mm/yy")&amp;" "&amp;Milestones!$AB$132&amp;" "&amp;Milestones!$AC$132&amp;";  ","")&amp;IF(AND(EDATE($D27,Milestones!$AA$133)&lt;=AsOfDate,IF($Q27=0,$W27,IF(AND($S27&lt;&gt;"",EDATE($D27,Milestones!$AA$133)&gt;=$S27),$V27,IF(AND($R27&lt;&gt;"",EDATE($D27,Milestones!$AA$133)&gt;=$R27),$U27,$T27)))=Milestones!$AB$133),TEXT(EDATE($D27,Milestones!$AA$133),"dd/mm/yy")&amp;" "&amp;Milestones!$AB$133&amp;" "&amp;Milestones!$AC$133&amp;";  ","")&amp;IF(AND(EDATE($D27,Milestones!$AA$134)&lt;=AsOfDate,IF($Q27=0,$W27,IF(AND($S27&lt;&gt;"",EDATE($D27,Milestones!$AA$134)&gt;=$S27),$V27,IF(AND($R27&lt;&gt;"",EDATE($D27,Milestones!$AA$134)&gt;=$R27),$U27,$T27)))=Milestones!$AB$134),TEXT(EDATE($D27,Milestones!$AA$134),"dd/mm/yy")&amp;" "&amp;Milestones!$AB$134&amp;" "&amp;Milestones!$AC$134&amp;";  ","")&amp;IF(AND(EDATE($D27,Milestones!$AA$135)&lt;=AsOfDate,IF($Q27=0,$W27,IF(AND($S27&lt;&gt;"",EDATE($D27,Milestones!$AA$135)&gt;=$S27),$V27,IF(AND($R27&lt;&gt;"",EDATE($D27,Milestones!$AA$135)&gt;=$R27),$U27,$T27)))=Milestones!$AB$135),TEXT(EDATE($D27,Milestones!$AA$135),"dd/mm/yy")&amp;" "&amp;Milestones!$AB$135&amp;" "&amp;Milestones!$AC$135&amp;";  ","")&amp;IF(AND(EDATE($D27,Milestones!$AA$136)&lt;=AsOfDate,IF($Q27=0,$W27,IF(AND($S27&lt;&gt;"",EDATE($D27,Milestones!$AA$136)&gt;=$S27),$V27,IF(AND($R27&lt;&gt;"",EDATE($D27,Milestones!$AA$136)&gt;=$R27),$U27,$T27)))=Milestones!$AB$136),TEXT(EDATE($D27,Milestones!$AA$136),"dd/mm/yy")&amp;" "&amp;Milestones!$AB$136&amp;" "&amp;Milestones!$AC$136&amp;";  ","")&amp;IF(AND(EDATE($D27,Milestones!$AA$137)&lt;=AsOfDate,IF($Q27=0,$W27,IF(AND($S27&lt;&gt;"",EDATE($D27,Milestones!$AA$137)&gt;=$S27),$V27,IF(AND($R27&lt;&gt;"",EDATE($D27,Milestones!$AA$137)&gt;=$R27),$U27,$T27)))=Milestones!$AB$137),TEXT(EDATE($D27,Milestones!$AA$137),"dd/mm/yy")&amp;" "&amp;Milestones!$AB$137&amp;" "&amp;Milestones!$AC$137&amp;";  ","")&amp;IF(AND(EDATE($D27,Milestones!$AA$138)&lt;=AsOfDate,IF($Q27=0,$W27,IF(AND($S27&lt;&gt;"",EDATE($D27,Milestones!$AA$138)&gt;=$S27),$V27,IF(AND($R27&lt;&gt;"",EDATE($D27,Milestones!$AA$138)&gt;=$R27),$U27,$T27)))=Milestones!$AB$138),TEXT(EDATE($D27,Milestones!$AA$138),"dd/mm/yy")&amp;" "&amp;Milestones!$AB$138&amp;" "&amp;Milestones!$AC$138&amp;";  ","")&amp;IF(AND(EDATE($D27,Milestones!$AA$139)&lt;=AsOfDate,IF($Q27=0,$W27,IF(AND($S27&lt;&gt;"",EDATE($D27,Milestones!$AA$139)&gt;=$S27),$V27,IF(AND($R27&lt;&gt;"",EDATE($D27,Milestones!$AA$139)&gt;=$R27),$U27,$T27)))=Milestones!$AB$139),TEXT(EDATE($D27,Milestones!$AA$139),"dd/mm/yy")&amp;" "&amp;Milestones!$AB$139&amp;" "&amp;Milestones!$AC$139&amp;";  ",""))</f>
        <v/>
      </c>
      <c r="N27" s="0" t="str">
        <f aca="false">IF(OR($A27="",$D27=""),"",IF(AND(EDATE($D27,Milestones!$AA$140)&lt;=AsOfDate,IF($Q27=0,$W27,IF(AND($S27&lt;&gt;"",EDATE($D27,Milestones!$AA$140)&gt;=$S27),$V27,IF(AND($R27&lt;&gt;"",EDATE($D27,Milestones!$AA$140)&gt;=$R27),$U27,$T27)))=Milestones!$AB$140),TEXT(EDATE($D27,Milestones!$AA$140),"dd/mm/yy")&amp;" "&amp;Milestones!$AB$140&amp;" "&amp;Milestones!$AC$140&amp;";  ","")&amp;IF(AND(EDATE($D27,Milestones!$AA$141)&lt;=AsOfDate,IF($Q27=0,$W27,IF(AND($S27&lt;&gt;"",EDATE($D27,Milestones!$AA$141)&gt;=$S27),$V27,IF(AND($R27&lt;&gt;"",EDATE($D27,Milestones!$AA$141)&gt;=$R27),$U27,$T27)))=Milestones!$AB$141),TEXT(EDATE($D27,Milestones!$AA$141),"dd/mm/yy")&amp;" "&amp;Milestones!$AB$141&amp;" "&amp;Milestones!$AC$141&amp;";  ","")&amp;IF(AND(EDATE($D27,Milestones!$AA$142)&lt;=AsOfDate,IF($Q27=0,$W27,IF(AND($S27&lt;&gt;"",EDATE($D27,Milestones!$AA$142)&gt;=$S27),$V27,IF(AND($R27&lt;&gt;"",EDATE($D27,Milestones!$AA$142)&gt;=$R27),$U27,$T27)))=Milestones!$AB$142),TEXT(EDATE($D27,Milestones!$AA$142),"dd/mm/yy")&amp;" "&amp;Milestones!$AB$142&amp;" "&amp;Milestones!$AC$142&amp;";  ","")&amp;IF(AND(EDATE($D27,Milestones!$AA$143)&lt;=AsOfDate,IF($Q27=0,$W27,IF(AND($S27&lt;&gt;"",EDATE($D27,Milestones!$AA$143)&gt;=$S27),$V27,IF(AND($R27&lt;&gt;"",EDATE($D27,Milestones!$AA$143)&gt;=$R27),$U27,$T27)))=Milestones!$AB$143),TEXT(EDATE($D27,Milestones!$AA$143),"dd/mm/yy")&amp;" "&amp;Milestones!$AB$143&amp;" "&amp;Milestones!$AC$143&amp;";  ","")&amp;IF(AND(EDATE($D27,Milestones!$AA$144)&lt;=AsOfDate,IF($Q27=0,$W27,IF(AND($S27&lt;&gt;"",EDATE($D27,Milestones!$AA$144)&gt;=$S27),$V27,IF(AND($R27&lt;&gt;"",EDATE($D27,Milestones!$AA$144)&gt;=$R27),$U27,$T27)))=Milestones!$AB$144),TEXT(EDATE($D27,Milestones!$AA$144),"dd/mm/yy")&amp;" "&amp;Milestones!$AB$144&amp;" "&amp;Milestones!$AC$144&amp;";  ","")&amp;IF(AND(EDATE($D27,Milestones!$AA$145)&lt;=AsOfDate,IF($Q27=0,$W27,IF(AND($S27&lt;&gt;"",EDATE($D27,Milestones!$AA$145)&gt;=$S27),$V27,IF(AND($R27&lt;&gt;"",EDATE($D27,Milestones!$AA$145)&gt;=$R27),$U27,$T27)))=Milestones!$AB$145),TEXT(EDATE($D27,Milestones!$AA$145),"dd/mm/yy")&amp;" "&amp;Milestones!$AB$145&amp;" "&amp;Milestones!$AC$145&amp;";  ","")&amp;IF(AND(EDATE($D27,Milestones!$AA$146)&lt;=AsOfDate,IF($Q27=0,$W27,IF(AND($S27&lt;&gt;"",EDATE($D27,Milestones!$AA$146)&gt;=$S27),$V27,IF(AND($R27&lt;&gt;"",EDATE($D27,Milestones!$AA$146)&gt;=$R27),$U27,$T27)))=Milestones!$AB$146),TEXT(EDATE($D27,Milestones!$AA$146),"dd/mm/yy")&amp;" "&amp;Milestones!$AB$146&amp;" "&amp;Milestones!$AC$146&amp;";  ","")&amp;IF(AND(EDATE($D27,Milestones!$AA$147)&lt;=AsOfDate,IF($Q27=0,$W27,IF(AND($S27&lt;&gt;"",EDATE($D27,Milestones!$AA$147)&gt;=$S27),$V27,IF(AND($R27&lt;&gt;"",EDATE($D27,Milestones!$AA$147)&gt;=$R27),$U27,$T27)))=Milestones!$AB$147),TEXT(EDATE($D27,Milestones!$AA$147),"dd/mm/yy")&amp;" "&amp;Milestones!$AB$147&amp;" "&amp;Milestones!$AC$147&amp;";  ","")&amp;IF(AND(EDATE($D27,Milestones!$AA$148)&lt;=AsOfDate,IF($Q27=0,$W27,IF(AND($S27&lt;&gt;"",EDATE($D27,Milestones!$AA$148)&gt;=$S27),$V27,IF(AND($R27&lt;&gt;"",EDATE($D27,Milestones!$AA$148)&gt;=$R27),$U27,$T27)))=Milestones!$AB$148),TEXT(EDATE($D27,Milestones!$AA$148),"dd/mm/yy")&amp;" "&amp;Milestones!$AB$148&amp;" "&amp;Milestones!$AC$148&amp;";  ","")&amp;IF(AND(EDATE($D27,Milestones!$AA$149)&lt;=AsOfDate,IF($Q27=0,$W27,IF(AND($S27&lt;&gt;"",EDATE($D27,Milestones!$AA$149)&gt;=$S27),$V27,IF(AND($R27&lt;&gt;"",EDATE($D27,Milestones!$AA$149)&gt;=$R27),$U27,$T27)))=Milestones!$AB$149),TEXT(EDATE($D27,Milestones!$AA$149),"dd/mm/yy")&amp;" "&amp;Milestones!$AB$149&amp;" "&amp;Milestones!$AC$149&amp;";  ","")&amp;IF(AND(EDATE($D27,Milestones!$AA$150)&lt;=AsOfDate,IF($Q27=0,$W27,IF(AND($S27&lt;&gt;"",EDATE($D27,Milestones!$AA$150)&gt;=$S27),$V27,IF(AND($R27&lt;&gt;"",EDATE($D27,Milestones!$AA$150)&gt;=$R27),$U27,$T27)))=Milestones!$AB$150),TEXT(EDATE($D27,Milestones!$AA$150),"dd/mm/yy")&amp;" "&amp;Milestones!$AB$150&amp;" "&amp;Milestones!$AC$150&amp;";  ","")&amp;IF(AND(EDATE($D27,Milestones!$AA$151)&lt;=AsOfDate,IF($Q27=0,$W27,IF(AND($S27&lt;&gt;"",EDATE($D27,Milestones!$AA$151)&gt;=$S27),$V27,IF(AND($R27&lt;&gt;"",EDATE($D27,Milestones!$AA$151)&gt;=$R27),$U27,$T27)))=Milestones!$AB$151),TEXT(EDATE($D27,Milestones!$AA$151),"dd/mm/yy")&amp;" "&amp;Milestones!$AB$151&amp;" "&amp;Milestones!$AC$151&amp;";  ","")&amp;IF(AND(EDATE($D27,Milestones!$AA$152)&lt;=AsOfDate,IF($Q27=0,$W27,IF(AND($S27&lt;&gt;"",EDATE($D27,Milestones!$AA$152)&gt;=$S27),$V27,IF(AND($R27&lt;&gt;"",EDATE($D27,Milestones!$AA$152)&gt;=$R27),$U27,$T27)))=Milestones!$AB$152),TEXT(EDATE($D27,Milestones!$AA$152),"dd/mm/yy")&amp;" "&amp;Milestones!$AB$152&amp;" "&amp;Milestones!$AC$152&amp;";  ","")&amp;IF(AND(EDATE($D27,Milestones!$AA$153)&lt;=AsOfDate,IF($Q27=0,$W27,IF(AND($S27&lt;&gt;"",EDATE($D27,Milestones!$AA$153)&gt;=$S27),$V27,IF(AND($R27&lt;&gt;"",EDATE($D27,Milestones!$AA$153)&gt;=$R27),$U27,$T27)))=Milestones!$AB$153),TEXT(EDATE($D27,Milestones!$AA$153),"dd/mm/yy")&amp;" "&amp;Milestones!$AB$153&amp;" "&amp;Milestones!$AC$153&amp;";  ","")&amp;IF(AND(EDATE($D27,Milestones!$AA$154)&lt;=AsOfDate,IF($Q27=0,$W27,IF(AND($S27&lt;&gt;"",EDATE($D27,Milestones!$AA$154)&gt;=$S27),$V27,IF(AND($R27&lt;&gt;"",EDATE($D27,Milestones!$AA$154)&gt;=$R27),$U27,$T27)))=Milestones!$AB$154),TEXT(EDATE($D27,Milestones!$AA$154),"dd/mm/yy")&amp;" "&amp;Milestones!$AB$154&amp;" "&amp;Milestones!$AC$154&amp;";  ","")&amp;IF(AND(EDATE($D27,Milestones!$AA$155)&lt;=AsOfDate,IF($Q27=0,$W27,IF(AND($S27&lt;&gt;"",EDATE($D27,Milestones!$AA$155)&gt;=$S27),$V27,IF(AND($R27&lt;&gt;"",EDATE($D27,Milestones!$AA$155)&gt;=$R27),$U27,$T27)))=Milestones!$AB$155),TEXT(EDATE($D27,Milestones!$AA$155),"dd/mm/yy")&amp;" "&amp;Milestones!$AB$155&amp;" "&amp;Milestones!$AC$155&amp;";  ","")&amp;IF(AND(EDATE($D27,Milestones!$AA$156)&lt;=AsOfDate,IF($Q27=0,$W27,IF(AND($S27&lt;&gt;"",EDATE($D27,Milestones!$AA$156)&gt;=$S27),$V27,IF(AND($R27&lt;&gt;"",EDATE($D27,Milestones!$AA$156)&gt;=$R27),$U27,$T27)))=Milestones!$AB$156),TEXT(EDATE($D27,Milestones!$AA$156),"dd/mm/yy")&amp;" "&amp;Milestones!$AB$156&amp;" "&amp;Milestones!$AC$156&amp;";  ","")&amp;IF(AND(EDATE($D27,Milestones!$AA$157)&lt;=AsOfDate,IF($Q27=0,$W27,IF(AND($S27&lt;&gt;"",EDATE($D27,Milestones!$AA$157)&gt;=$S27),$V27,IF(AND($R27&lt;&gt;"",EDATE($D27,Milestones!$AA$157)&gt;=$R27),$U27,$T27)))=Milestones!$AB$157),TEXT(EDATE($D27,Milestones!$AA$157),"dd/mm/yy")&amp;" "&amp;Milestones!$AB$157&amp;" "&amp;Milestones!$AC$157&amp;";  ","")&amp;IF(AND(EDATE($D27,Milestones!$AA$158)&lt;=AsOfDate,IF($Q27=0,$W27,IF(AND($S27&lt;&gt;"",EDATE($D27,Milestones!$AA$158)&gt;=$S27),$V27,IF(AND($R27&lt;&gt;"",EDATE($D27,Milestones!$AA$158)&gt;=$R27),$U27,$T27)))=Milestones!$AB$158),TEXT(EDATE($D27,Milestones!$AA$158),"dd/mm/yy")&amp;" "&amp;Milestones!$AB$158&amp;" "&amp;Milestones!$AC$158&amp;";  ","")&amp;IF(AND(EDATE($D27,Milestones!$AA$159)&lt;=AsOfDate,IF($Q27=0,$W27,IF(AND($S27&lt;&gt;"",EDATE($D27,Milestones!$AA$159)&gt;=$S27),$V27,IF(AND($R27&lt;&gt;"",EDATE($D27,Milestones!$AA$159)&gt;=$R27),$U27,$T27)))=Milestones!$AB$159),TEXT(EDATE($D27,Milestones!$AA$159),"dd/mm/yy")&amp;" "&amp;Milestones!$AB$159&amp;" "&amp;Milestones!$AC$159&amp;";  ",""))</f>
        <v/>
      </c>
      <c r="O27" s="0" t="str">
        <f aca="false">IF(OR($A27="",$D27=""),"",IF(AND(EDATE($D27,Milestones!$AA$160)&lt;=AsOfDate,IF($Q27=0,$W27,IF(AND($S27&lt;&gt;"",EDATE($D27,Milestones!$AA$160)&gt;=$S27),$V27,IF(AND($R27&lt;&gt;"",EDATE($D27,Milestones!$AA$160)&gt;=$R27),$U27,$T27)))=Milestones!$AB$160),TEXT(EDATE($D27,Milestones!$AA$160),"dd/mm/yy")&amp;" "&amp;Milestones!$AB$160&amp;" "&amp;Milestones!$AC$160&amp;";  ","")&amp;IF(AND(EDATE($D27,Milestones!$AA$161)&lt;=AsOfDate,IF($Q27=0,$W27,IF(AND($S27&lt;&gt;"",EDATE($D27,Milestones!$AA$161)&gt;=$S27),$V27,IF(AND($R27&lt;&gt;"",EDATE($D27,Milestones!$AA$161)&gt;=$R27),$U27,$T27)))=Milestones!$AB$161),TEXT(EDATE($D27,Milestones!$AA$161),"dd/mm/yy")&amp;" "&amp;Milestones!$AB$161&amp;" "&amp;Milestones!$AC$161&amp;";  ","")&amp;IF(AND(EDATE($D27,Milestones!$AA$162)&lt;=AsOfDate,IF($Q27=0,$W27,IF(AND($S27&lt;&gt;"",EDATE($D27,Milestones!$AA$162)&gt;=$S27),$V27,IF(AND($R27&lt;&gt;"",EDATE($D27,Milestones!$AA$162)&gt;=$R27),$U27,$T27)))=Milestones!$AB$162),TEXT(EDATE($D27,Milestones!$AA$162),"dd/mm/yy")&amp;" "&amp;Milestones!$AB$162&amp;" "&amp;Milestones!$AC$162&amp;";  ","")&amp;IF(AND(EDATE($D27,Milestones!$AA$163)&lt;=AsOfDate,IF($Q27=0,$W27,IF(AND($S27&lt;&gt;"",EDATE($D27,Milestones!$AA$163)&gt;=$S27),$V27,IF(AND($R27&lt;&gt;"",EDATE($D27,Milestones!$AA$163)&gt;=$R27),$U27,$T27)))=Milestones!$AB$163),TEXT(EDATE($D27,Milestones!$AA$163),"dd/mm/yy")&amp;" "&amp;Milestones!$AB$163&amp;" "&amp;Milestones!$AC$163&amp;";  ","")&amp;IF(AND(EDATE($D27,Milestones!$AA$164)&lt;=AsOfDate,IF($Q27=0,$W27,IF(AND($S27&lt;&gt;"",EDATE($D27,Milestones!$AA$164)&gt;=$S27),$V27,IF(AND($R27&lt;&gt;"",EDATE($D27,Milestones!$AA$164)&gt;=$R27),$U27,$T27)))=Milestones!$AB$164),TEXT(EDATE($D27,Milestones!$AA$164),"dd/mm/yy")&amp;" "&amp;Milestones!$AB$164&amp;" "&amp;Milestones!$AC$164&amp;";  ","")&amp;IF(AND(EDATE($D27,Milestones!$AA$165)&lt;=AsOfDate,IF($Q27=0,$W27,IF(AND($S27&lt;&gt;"",EDATE($D27,Milestones!$AA$165)&gt;=$S27),$V27,IF(AND($R27&lt;&gt;"",EDATE($D27,Milestones!$AA$165)&gt;=$R27),$U27,$T27)))=Milestones!$AB$165),TEXT(EDATE($D27,Milestones!$AA$165),"dd/mm/yy")&amp;" "&amp;Milestones!$AB$165&amp;" "&amp;Milestones!$AC$165&amp;";  ","")&amp;IF(AND(EDATE($D27,Milestones!$AA$166)&lt;=AsOfDate,IF($Q27=0,$W27,IF(AND($S27&lt;&gt;"",EDATE($D27,Milestones!$AA$166)&gt;=$S27),$V27,IF(AND($R27&lt;&gt;"",EDATE($D27,Milestones!$AA$166)&gt;=$R27),$U27,$T27)))=Milestones!$AB$166),TEXT(EDATE($D27,Milestones!$AA$166),"dd/mm/yy")&amp;" "&amp;Milestones!$AB$166&amp;" "&amp;Milestones!$AC$166&amp;";  ","")&amp;IF(AND(EDATE($D27,Milestones!$AA$167)&lt;=AsOfDate,IF($Q27=0,$W27,IF(AND($S27&lt;&gt;"",EDATE($D27,Milestones!$AA$167)&gt;=$S27),$V27,IF(AND($R27&lt;&gt;"",EDATE($D27,Milestones!$AA$167)&gt;=$R27),$U27,$T27)))=Milestones!$AB$167),TEXT(EDATE($D27,Milestones!$AA$167),"dd/mm/yy")&amp;" "&amp;Milestones!$AB$167&amp;" "&amp;Milestones!$AC$167&amp;";  ","")&amp;IF(AND(EDATE($D27,Milestones!$AA$168)&lt;=AsOfDate,IF($Q27=0,$W27,IF(AND($S27&lt;&gt;"",EDATE($D27,Milestones!$AA$168)&gt;=$S27),$V27,IF(AND($R27&lt;&gt;"",EDATE($D27,Milestones!$AA$168)&gt;=$R27),$U27,$T27)))=Milestones!$AB$168),TEXT(EDATE($D27,Milestones!$AA$168),"dd/mm/yy")&amp;" "&amp;Milestones!$AB$168&amp;" "&amp;Milestones!$AC$168&amp;";  ","")&amp;IF(AND(EDATE($D27,Milestones!$AA$169)&lt;=AsOfDate,IF($Q27=0,$W27,IF(AND($S27&lt;&gt;"",EDATE($D27,Milestones!$AA$169)&gt;=$S27),$V27,IF(AND($R27&lt;&gt;"",EDATE($D27,Milestones!$AA$169)&gt;=$R27),$U27,$T27)))=Milestones!$AB$169),TEXT(EDATE($D27,Milestones!$AA$169),"dd/mm/yy")&amp;" "&amp;Milestones!$AB$169&amp;" "&amp;Milestones!$AC$169&amp;";  ","")&amp;IF(AND(EDATE($D27,Milestones!$AA$170)&lt;=AsOfDate,IF($Q27=0,$W27,IF(AND($S27&lt;&gt;"",EDATE($D27,Milestones!$AA$170)&gt;=$S27),$V27,IF(AND($R27&lt;&gt;"",EDATE($D27,Milestones!$AA$170)&gt;=$R27),$U27,$T27)))=Milestones!$AB$170),TEXT(EDATE($D27,Milestones!$AA$170),"dd/mm/yy")&amp;" "&amp;Milestones!$AB$170&amp;" "&amp;Milestones!$AC$170&amp;";  ","")&amp;IF(AND(EDATE($D27,Milestones!$AA$171)&lt;=AsOfDate,IF($Q27=0,$W27,IF(AND($S27&lt;&gt;"",EDATE($D27,Milestones!$AA$171)&gt;=$S27),$V27,IF(AND($R27&lt;&gt;"",EDATE($D27,Milestones!$AA$171)&gt;=$R27),$U27,$T27)))=Milestones!$AB$171),TEXT(EDATE($D27,Milestones!$AA$171),"dd/mm/yy")&amp;" "&amp;Milestones!$AB$171&amp;" "&amp;Milestones!$AC$171&amp;";  ","")&amp;IF(AND(EDATE($D27,Milestones!$AA$172)&lt;=AsOfDate,IF($Q27=0,$W27,IF(AND($S27&lt;&gt;"",EDATE($D27,Milestones!$AA$172)&gt;=$S27),$V27,IF(AND($R27&lt;&gt;"",EDATE($D27,Milestones!$AA$172)&gt;=$R27),$U27,$T27)))=Milestones!$AB$172),TEXT(EDATE($D27,Milestones!$AA$172),"dd/mm/yy")&amp;" "&amp;Milestones!$AB$172&amp;" "&amp;Milestones!$AC$172&amp;";  ","")&amp;IF(AND(EDATE($D27,Milestones!$AA$173)&lt;=AsOfDate,IF($Q27=0,$W27,IF(AND($S27&lt;&gt;"",EDATE($D27,Milestones!$AA$173)&gt;=$S27),$V27,IF(AND($R27&lt;&gt;"",EDATE($D27,Milestones!$AA$173)&gt;=$R27),$U27,$T27)))=Milestones!$AB$173),TEXT(EDATE($D27,Milestones!$AA$173),"dd/mm/yy")&amp;" "&amp;Milestones!$AB$173&amp;" "&amp;Milestones!$AC$173&amp;";  ","")&amp;IF(AND(EDATE($D27,Milestones!$AA$174)&lt;=AsOfDate,IF($Q27=0,$W27,IF(AND($S27&lt;&gt;"",EDATE($D27,Milestones!$AA$174)&gt;=$S27),$V27,IF(AND($R27&lt;&gt;"",EDATE($D27,Milestones!$AA$174)&gt;=$R27),$U27,$T27)))=Milestones!$AB$174),TEXT(EDATE($D27,Milestones!$AA$174),"dd/mm/yy")&amp;" "&amp;Milestones!$AB$174&amp;" "&amp;Milestones!$AC$174&amp;";  ","")&amp;IF(AND(EDATE($D27,Milestones!$AA$175)&lt;=AsOfDate,IF($Q27=0,$W27,IF(AND($S27&lt;&gt;"",EDATE($D27,Milestones!$AA$175)&gt;=$S27),$V27,IF(AND($R27&lt;&gt;"",EDATE($D27,Milestones!$AA$175)&gt;=$R27),$U27,$T27)))=Milestones!$AB$175),TEXT(EDATE($D27,Milestones!$AA$175),"dd/mm/yy")&amp;" "&amp;Milestones!$AB$175&amp;" "&amp;Milestones!$AC$175&amp;";  ","")&amp;IF(AND(EDATE($D27,Milestones!$AA$176)&lt;=AsOfDate,IF($Q27=0,$W27,IF(AND($S27&lt;&gt;"",EDATE($D27,Milestones!$AA$176)&gt;=$S27),$V27,IF(AND($R27&lt;&gt;"",EDATE($D27,Milestones!$AA$176)&gt;=$R27),$U27,$T27)))=Milestones!$AB$176),TEXT(EDATE($D27,Milestones!$AA$176),"dd/mm/yy")&amp;" "&amp;Milestones!$AB$176&amp;" "&amp;Milestones!$AC$176&amp;";  ","")&amp;IF(AND(EDATE($D27,Milestones!$AA$177)&lt;=AsOfDate,IF($Q27=0,$W27,IF(AND($S27&lt;&gt;"",EDATE($D27,Milestones!$AA$177)&gt;=$S27),$V27,IF(AND($R27&lt;&gt;"",EDATE($D27,Milestones!$AA$177)&gt;=$R27),$U27,$T27)))=Milestones!$AB$177),TEXT(EDATE($D27,Milestones!$AA$177),"dd/mm/yy")&amp;" "&amp;Milestones!$AB$177&amp;" "&amp;Milestones!$AC$177&amp;";  ","")&amp;IF(AND(EDATE($D27,Milestones!$AA$178)&lt;=AsOfDate,IF($Q27=0,$W27,IF(AND($S27&lt;&gt;"",EDATE($D27,Milestones!$AA$178)&gt;=$S27),$V27,IF(AND($R27&lt;&gt;"",EDATE($D27,Milestones!$AA$178)&gt;=$R27),$U27,$T27)))=Milestones!$AB$178),TEXT(EDATE($D27,Milestones!$AA$178),"dd/mm/yy")&amp;" "&amp;Milestones!$AB$178&amp;" "&amp;Milestones!$AC$178&amp;";  ","")&amp;IF(AND(EDATE($D27,Milestones!$AA$179)&lt;=AsOfDate,IF($Q27=0,$W27,IF(AND($S27&lt;&gt;"",EDATE($D27,Milestones!$AA$179)&gt;=$S27),$V27,IF(AND($R27&lt;&gt;"",EDATE($D27,Milestones!$AA$179)&gt;=$R27),$U27,$T27)))=Milestones!$AB$179),TEXT(EDATE($D27,Milestones!$AA$179),"dd/mm/yy")&amp;" "&amp;Milestones!$AB$179&amp;" "&amp;Milestones!$AC$179&amp;";  ",""))</f>
        <v/>
      </c>
      <c r="P27" s="0" t="str">
        <f aca="false">IF(OR($A27="",$D27=""),"",IF(AND(EDATE($D27,Milestones!$AA$180)&lt;=AsOfDate,IF($Q27=0,$W27,IF(AND($S27&lt;&gt;"",EDATE($D27,Milestones!$AA$180)&gt;=$S27),$V27,IF(AND($R27&lt;&gt;"",EDATE($D27,Milestones!$AA$180)&gt;=$R27),$U27,$T27)))=Milestones!$AB$180),TEXT(EDATE($D27,Milestones!$AA$180),"dd/mm/yy")&amp;" "&amp;Milestones!$AB$180&amp;" "&amp;Milestones!$AC$180&amp;";  ","")&amp;IF(AND(EDATE($D27,Milestones!$AA$181)&lt;=AsOfDate,IF($Q27=0,$W27,IF(AND($S27&lt;&gt;"",EDATE($D27,Milestones!$AA$181)&gt;=$S27),$V27,IF(AND($R27&lt;&gt;"",EDATE($D27,Milestones!$AA$181)&gt;=$R27),$U27,$T27)))=Milestones!$AB$181),TEXT(EDATE($D27,Milestones!$AA$181),"dd/mm/yy")&amp;" "&amp;Milestones!$AB$181&amp;" "&amp;Milestones!$AC$181&amp;";  ","")&amp;IF(AND(EDATE($D27,Milestones!$AA$182)&lt;=AsOfDate,IF($Q27=0,$W27,IF(AND($S27&lt;&gt;"",EDATE($D27,Milestones!$AA$182)&gt;=$S27),$V27,IF(AND($R27&lt;&gt;"",EDATE($D27,Milestones!$AA$182)&gt;=$R27),$U27,$T27)))=Milestones!$AB$182),TEXT(EDATE($D27,Milestones!$AA$182),"dd/mm/yy")&amp;" "&amp;Milestones!$AB$182&amp;" "&amp;Milestones!$AC$182&amp;";  ","")&amp;IF(AND(EDATE($D27,Milestones!$AA$183)&lt;=AsOfDate,IF($Q27=0,$W27,IF(AND($S27&lt;&gt;"",EDATE($D27,Milestones!$AA$183)&gt;=$S27),$V27,IF(AND($R27&lt;&gt;"",EDATE($D27,Milestones!$AA$183)&gt;=$R27),$U27,$T27)))=Milestones!$AB$183),TEXT(EDATE($D27,Milestones!$AA$183),"dd/mm/yy")&amp;" "&amp;Milestones!$AB$183&amp;" "&amp;Milestones!$AC$183&amp;";  ","")&amp;IF(AND(EDATE($D27,Milestones!$AA$184)&lt;=AsOfDate,IF($Q27=0,$W27,IF(AND($S27&lt;&gt;"",EDATE($D27,Milestones!$AA$184)&gt;=$S27),$V27,IF(AND($R27&lt;&gt;"",EDATE($D27,Milestones!$AA$184)&gt;=$R27),$U27,$T27)))=Milestones!$AB$184),TEXT(EDATE($D27,Milestones!$AA$184),"dd/mm/yy")&amp;" "&amp;Milestones!$AB$184&amp;" "&amp;Milestones!$AC$184&amp;";  ","")&amp;IF(AND(EDATE($D27,Milestones!$AA$185)&lt;=AsOfDate,IF($Q27=0,$W27,IF(AND($S27&lt;&gt;"",EDATE($D27,Milestones!$AA$185)&gt;=$S27),$V27,IF(AND($R27&lt;&gt;"",EDATE($D27,Milestones!$AA$185)&gt;=$R27),$U27,$T27)))=Milestones!$AB$185),TEXT(EDATE($D27,Milestones!$AA$185),"dd/mm/yy")&amp;" "&amp;Milestones!$AB$185&amp;" "&amp;Milestones!$AC$185&amp;";  ","")&amp;IF(AND(EDATE($D27,Milestones!$AA$186)&lt;=AsOfDate,IF($Q27=0,$W27,IF(AND($S27&lt;&gt;"",EDATE($D27,Milestones!$AA$186)&gt;=$S27),$V27,IF(AND($R27&lt;&gt;"",EDATE($D27,Milestones!$AA$186)&gt;=$R27),$U27,$T27)))=Milestones!$AB$186),TEXT(EDATE($D27,Milestones!$AA$186),"dd/mm/yy")&amp;" "&amp;Milestones!$AB$186&amp;" "&amp;Milestones!$AC$186&amp;";  ","")&amp;IF(AND(EDATE($D27,Milestones!$AA$187)&lt;=AsOfDate,IF($Q27=0,$W27,IF(AND($S27&lt;&gt;"",EDATE($D27,Milestones!$AA$187)&gt;=$S27),$V27,IF(AND($R27&lt;&gt;"",EDATE($D27,Milestones!$AA$187)&gt;=$R27),$U27,$T27)))=Milestones!$AB$187),TEXT(EDATE($D27,Milestones!$AA$187),"dd/mm/yy")&amp;" "&amp;Milestones!$AB$187&amp;" "&amp;Milestones!$AC$187&amp;";  ","")&amp;IF(AND(EDATE($D27,Milestones!$AA$188)&lt;=AsOfDate,IF($Q27=0,$W27,IF(AND($S27&lt;&gt;"",EDATE($D27,Milestones!$AA$188)&gt;=$S27),$V27,IF(AND($R27&lt;&gt;"",EDATE($D27,Milestones!$AA$188)&gt;=$R27),$U27,$T27)))=Milestones!$AB$188),TEXT(EDATE($D27,Milestones!$AA$188),"dd/mm/yy")&amp;" "&amp;Milestones!$AB$188&amp;" "&amp;Milestones!$AC$188&amp;";  ","")&amp;IF(AND(EDATE($D27,Milestones!$AA$189)&lt;=AsOfDate,IF($Q27=0,$W27,IF(AND($S27&lt;&gt;"",EDATE($D27,Milestones!$AA$189)&gt;=$S27),$V27,IF(AND($R27&lt;&gt;"",EDATE($D27,Milestones!$AA$189)&gt;=$R27),$U27,$T27)))=Milestones!$AB$189),TEXT(EDATE($D27,Milestones!$AA$189),"dd/mm/yy")&amp;" "&amp;Milestones!$AB$189&amp;" "&amp;Milestones!$AC$189&amp;";  ","")&amp;IF(AND(EDATE($D27,Milestones!$AA$190)&lt;=AsOfDate,IF($Q27=0,$W27,IF(AND($S27&lt;&gt;"",EDATE($D27,Milestones!$AA$190)&gt;=$S27),$V27,IF(AND($R27&lt;&gt;"",EDATE($D27,Milestones!$AA$190)&gt;=$R27),$U27,$T27)))=Milestones!$AB$190),TEXT(EDATE($D27,Milestones!$AA$190),"dd/mm/yy")&amp;" "&amp;Milestones!$AB$190&amp;" "&amp;Milestones!$AC$190&amp;";  ","")&amp;IF(AND(EDATE($D27,Milestones!$AA$191)&lt;=AsOfDate,IF($Q27=0,$W27,IF(AND($S27&lt;&gt;"",EDATE($D27,Milestones!$AA$191)&gt;=$S27),$V27,IF(AND($R27&lt;&gt;"",EDATE($D27,Milestones!$AA$191)&gt;=$R27),$U27,$T27)))=Milestones!$AB$191),TEXT(EDATE($D27,Milestones!$AA$191),"dd/mm/yy")&amp;" "&amp;Milestones!$AB$191&amp;" "&amp;Milestones!$AC$191&amp;";  ","")&amp;IF(AND(EDATE($D27,Milestones!$AA$192)&lt;=AsOfDate,IF($Q27=0,$W27,IF(AND($S27&lt;&gt;"",EDATE($D27,Milestones!$AA$192)&gt;=$S27),$V27,IF(AND($R27&lt;&gt;"",EDATE($D27,Milestones!$AA$192)&gt;=$R27),$U27,$T27)))=Milestones!$AB$192),TEXT(EDATE($D27,Milestones!$AA$192),"dd/mm/yy")&amp;" "&amp;Milestones!$AB$192&amp;" "&amp;Milestones!$AC$192&amp;";  ","")&amp;IF(AND(EDATE($D27,Milestones!$AA$193)&lt;=AsOfDate,IF($Q27=0,$W27,IF(AND($S27&lt;&gt;"",EDATE($D27,Milestones!$AA$193)&gt;=$S27),$V27,IF(AND($R27&lt;&gt;"",EDATE($D27,Milestones!$AA$193)&gt;=$R27),$U27,$T27)))=Milestones!$AB$193),TEXT(EDATE($D27,Milestones!$AA$193),"dd/mm/yy")&amp;" "&amp;Milestones!$AB$193&amp;" "&amp;Milestones!$AC$193&amp;";  ","")&amp;IF(AND(EDATE($D27,Milestones!$AA$194)&lt;=AsOfDate,IF($Q27=0,$W27,IF(AND($S27&lt;&gt;"",EDATE($D27,Milestones!$AA$194)&gt;=$S27),$V27,IF(AND($R27&lt;&gt;"",EDATE($D27,Milestones!$AA$194)&gt;=$R27),$U27,$T27)))=Milestones!$AB$194),TEXT(EDATE($D27,Milestones!$AA$194),"dd/mm/yy")&amp;" "&amp;Milestones!$AB$194&amp;" "&amp;Milestones!$AC$194&amp;";  ","")&amp;IF(AND(EDATE($D27,Milestones!$AA$195)&lt;=AsOfDate,IF($Q27=0,$W27,IF(AND($S27&lt;&gt;"",EDATE($D27,Milestones!$AA$195)&gt;=$S27),$V27,IF(AND($R27&lt;&gt;"",EDATE($D27,Milestones!$AA$195)&gt;=$R27),$U27,$T27)))=Milestones!$AB$195),TEXT(EDATE($D27,Milestones!$AA$195),"dd/mm/yy")&amp;" "&amp;Milestones!$AB$195&amp;" "&amp;Milestones!$AC$195&amp;";  ","")&amp;IF(AND(EDATE($D27,Milestones!$AA$196)&lt;=AsOfDate,IF($Q27=0,$W27,IF(AND($S27&lt;&gt;"",EDATE($D27,Milestones!$AA$196)&gt;=$S27),$V27,IF(AND($R27&lt;&gt;"",EDATE($D27,Milestones!$AA$196)&gt;=$R27),$U27,$T27)))=Milestones!$AB$196),TEXT(EDATE($D27,Milestones!$AA$196),"dd/mm/yy")&amp;" "&amp;Milestones!$AB$196&amp;" "&amp;Milestones!$AC$196&amp;";  ","")&amp;IF(AND(EDATE($D27,Milestones!$AA$197)&lt;=AsOfDate,IF($Q27=0,$W27,IF(AND($S27&lt;&gt;"",EDATE($D27,Milestones!$AA$197)&gt;=$S27),$V27,IF(AND($R27&lt;&gt;"",EDATE($D27,Milestones!$AA$197)&gt;=$R27),$U27,$T27)))=Milestones!$AB$197),TEXT(EDATE($D27,Milestones!$AA$197),"dd/mm/yy")&amp;" "&amp;Milestones!$AB$197&amp;" "&amp;Milestones!$AC$197&amp;";  ","")&amp;IF(AND(EDATE($D27,Milestones!$AA$198)&lt;=AsOfDate,IF($Q27=0,$W27,IF(AND($S27&lt;&gt;"",EDATE($D27,Milestones!$AA$198)&gt;=$S27),$V27,IF(AND($R27&lt;&gt;"",EDATE($D27,Milestones!$AA$198)&gt;=$R27),$U27,$T27)))=Milestones!$AB$198),TEXT(EDATE($D27,Milestones!$AA$198),"dd/mm/yy")&amp;" "&amp;Milestones!$AB$198&amp;" "&amp;Milestones!$AC$198&amp;";  ","")&amp;IF(AND(EDATE($D27,Milestones!$AA$199)&lt;=AsOfDate,IF($Q27=0,$W27,IF(AND($S27&lt;&gt;"",EDATE($D27,Milestones!$AA$199)&gt;=$S27),$V27,IF(AND($R27&lt;&gt;"",EDATE($D27,Milestones!$AA$199)&gt;=$R27),$U27,$T27)))=Milestones!$AB$199),TEXT(EDATE($D27,Milestones!$AA$199),"dd/mm/yy")&amp;" "&amp;Milestones!$AB$199&amp;" "&amp;Milestones!$AC$199&amp;";  ",""))</f>
        <v/>
      </c>
      <c r="Q27" s="0" t="str">
        <f aca="false">IF(Staff!$A27="","",Staff!$AG27)</f>
        <v/>
      </c>
      <c r="R27" s="0" t="str">
        <f aca="false">IF(Staff!$A27="","",Staff!$AI27)</f>
        <v/>
      </c>
      <c r="S27" s="0" t="str">
        <f aca="false">IF(Staff!$A27="","",Staff!$AJ27)</f>
        <v/>
      </c>
      <c r="T27" s="0" t="str">
        <f aca="false">IF(Staff!$A27="","",Staff!$AN27)</f>
        <v/>
      </c>
      <c r="U27" s="0" t="str">
        <f aca="false">IF(Staff!$A27="","",Staff!$AO27)</f>
        <v/>
      </c>
      <c r="V27" s="0" t="str">
        <f aca="false">IF(Staff!$A27="","",Staff!$AP27)</f>
        <v/>
      </c>
      <c r="W27" s="0" t="str">
        <f aca="false">IF(Staff!$A27="","",Staff!$AQ27)</f>
        <v/>
      </c>
    </row>
    <row r="28" customFormat="false" ht="15" hidden="false" customHeight="false" outlineLevel="0" collapsed="false">
      <c r="A28" s="13" t="str">
        <f aca="false">IF(Staff!$A28="","",Staff!$A28)</f>
        <v/>
      </c>
      <c r="B28" s="13" t="str">
        <f aca="false">IF(Staff!$A28="","",Staff!$B28)</f>
        <v/>
      </c>
      <c r="C28" s="13" t="str">
        <f aca="false">IF(Staff!$A28="","",Staff!$C28)</f>
        <v/>
      </c>
      <c r="D28" s="11" t="str">
        <f aca="false">IF(Staff!$A28="","",Staff!$AF28)</f>
        <v/>
      </c>
      <c r="E28" s="13" t="str">
        <f aca="false">IF(Staff!$A28="","",Staff!$O28)</f>
        <v/>
      </c>
      <c r="F28" s="13" t="str">
        <f aca="false">IF(E28="","",E28*HoursPerDay)</f>
        <v/>
      </c>
      <c r="G28" s="26" t="str">
        <f aca="false">IF($A28="","",H28&amp;I28&amp;J28&amp;K28&amp;L28&amp;M28&amp;N28&amp;O28&amp;P28)</f>
        <v/>
      </c>
      <c r="H28" s="0" t="str">
        <f aca="false">IF(OR($A28="",$D28=""),"",IF(AND(EDATE($D28,Milestones!$AA$20)&lt;=AsOfDate,IF($Q28=0,$W28,IF(AND($S28&lt;&gt;"",EDATE($D28,Milestones!$AA$20)&gt;=$S28),$V28,IF(AND($R28&lt;&gt;"",EDATE($D28,Milestones!$AA$20)&gt;=$R28),$U28,$T28)))=Milestones!$AB$20),TEXT(EDATE($D28,Milestones!$AA$20),"dd/mm/yy")&amp;" "&amp;Milestones!$AB$20&amp;" "&amp;Milestones!$AC$20&amp;";  ","")&amp;IF(AND(EDATE($D28,Milestones!$AA$21)&lt;=AsOfDate,IF($Q28=0,$W28,IF(AND($S28&lt;&gt;"",EDATE($D28,Milestones!$AA$21)&gt;=$S28),$V28,IF(AND($R28&lt;&gt;"",EDATE($D28,Milestones!$AA$21)&gt;=$R28),$U28,$T28)))=Milestones!$AB$21),TEXT(EDATE($D28,Milestones!$AA$21),"dd/mm/yy")&amp;" "&amp;Milestones!$AB$21&amp;" "&amp;Milestones!$AC$21&amp;";  ","")&amp;IF(AND(EDATE($D28,Milestones!$AA$22)&lt;=AsOfDate,IF($Q28=0,$W28,IF(AND($S28&lt;&gt;"",EDATE($D28,Milestones!$AA$22)&gt;=$S28),$V28,IF(AND($R28&lt;&gt;"",EDATE($D28,Milestones!$AA$22)&gt;=$R28),$U28,$T28)))=Milestones!$AB$22),TEXT(EDATE($D28,Milestones!$AA$22),"dd/mm/yy")&amp;" "&amp;Milestones!$AB$22&amp;" "&amp;Milestones!$AC$22&amp;";  ","")&amp;IF(AND(EDATE($D28,Milestones!$AA$23)&lt;=AsOfDate,IF($Q28=0,$W28,IF(AND($S28&lt;&gt;"",EDATE($D28,Milestones!$AA$23)&gt;=$S28),$V28,IF(AND($R28&lt;&gt;"",EDATE($D28,Milestones!$AA$23)&gt;=$R28),$U28,$T28)))=Milestones!$AB$23),TEXT(EDATE($D28,Milestones!$AA$23),"dd/mm/yy")&amp;" "&amp;Milestones!$AB$23&amp;" "&amp;Milestones!$AC$23&amp;";  ","")&amp;IF(AND(EDATE($D28,Milestones!$AA$24)&lt;=AsOfDate,IF($Q28=0,$W28,IF(AND($S28&lt;&gt;"",EDATE($D28,Milestones!$AA$24)&gt;=$S28),$V28,IF(AND($R28&lt;&gt;"",EDATE($D28,Milestones!$AA$24)&gt;=$R28),$U28,$T28)))=Milestones!$AB$24),TEXT(EDATE($D28,Milestones!$AA$24),"dd/mm/yy")&amp;" "&amp;Milestones!$AB$24&amp;" "&amp;Milestones!$AC$24&amp;";  ","")&amp;IF(AND(EDATE($D28,Milestones!$AA$25)&lt;=AsOfDate,IF($Q28=0,$W28,IF(AND($S28&lt;&gt;"",EDATE($D28,Milestones!$AA$25)&gt;=$S28),$V28,IF(AND($R28&lt;&gt;"",EDATE($D28,Milestones!$AA$25)&gt;=$R28),$U28,$T28)))=Milestones!$AB$25),TEXT(EDATE($D28,Milestones!$AA$25),"dd/mm/yy")&amp;" "&amp;Milestones!$AB$25&amp;" "&amp;Milestones!$AC$25&amp;";  ","")&amp;IF(AND(EDATE($D28,Milestones!$AA$26)&lt;=AsOfDate,IF($Q28=0,$W28,IF(AND($S28&lt;&gt;"",EDATE($D28,Milestones!$AA$26)&gt;=$S28),$V28,IF(AND($R28&lt;&gt;"",EDATE($D28,Milestones!$AA$26)&gt;=$R28),$U28,$T28)))=Milestones!$AB$26),TEXT(EDATE($D28,Milestones!$AA$26),"dd/mm/yy")&amp;" "&amp;Milestones!$AB$26&amp;" "&amp;Milestones!$AC$26&amp;";  ","")&amp;IF(AND(EDATE($D28,Milestones!$AA$27)&lt;=AsOfDate,IF($Q28=0,$W28,IF(AND($S28&lt;&gt;"",EDATE($D28,Milestones!$AA$27)&gt;=$S28),$V28,IF(AND($R28&lt;&gt;"",EDATE($D28,Milestones!$AA$27)&gt;=$R28),$U28,$T28)))=Milestones!$AB$27),TEXT(EDATE($D28,Milestones!$AA$27),"dd/mm/yy")&amp;" "&amp;Milestones!$AB$27&amp;" "&amp;Milestones!$AC$27&amp;";  ","")&amp;IF(AND(EDATE($D28,Milestones!$AA$28)&lt;=AsOfDate,IF($Q28=0,$W28,IF(AND($S28&lt;&gt;"",EDATE($D28,Milestones!$AA$28)&gt;=$S28),$V28,IF(AND($R28&lt;&gt;"",EDATE($D28,Milestones!$AA$28)&gt;=$R28),$U28,$T28)))=Milestones!$AB$28),TEXT(EDATE($D28,Milestones!$AA$28),"dd/mm/yy")&amp;" "&amp;Milestones!$AB$28&amp;" "&amp;Milestones!$AC$28&amp;";  ","")&amp;IF(AND(EDATE($D28,Milestones!$AA$29)&lt;=AsOfDate,IF($Q28=0,$W28,IF(AND($S28&lt;&gt;"",EDATE($D28,Milestones!$AA$29)&gt;=$S28),$V28,IF(AND($R28&lt;&gt;"",EDATE($D28,Milestones!$AA$29)&gt;=$R28),$U28,$T28)))=Milestones!$AB$29),TEXT(EDATE($D28,Milestones!$AA$29),"dd/mm/yy")&amp;" "&amp;Milestones!$AB$29&amp;" "&amp;Milestones!$AC$29&amp;";  ","")&amp;IF(AND(EDATE($D28,Milestones!$AA$30)&lt;=AsOfDate,IF($Q28=0,$W28,IF(AND($S28&lt;&gt;"",EDATE($D28,Milestones!$AA$30)&gt;=$S28),$V28,IF(AND($R28&lt;&gt;"",EDATE($D28,Milestones!$AA$30)&gt;=$R28),$U28,$T28)))=Milestones!$AB$30),TEXT(EDATE($D28,Milestones!$AA$30),"dd/mm/yy")&amp;" "&amp;Milestones!$AB$30&amp;" "&amp;Milestones!$AC$30&amp;";  ","")&amp;IF(AND(EDATE($D28,Milestones!$AA$31)&lt;=AsOfDate,IF($Q28=0,$W28,IF(AND($S28&lt;&gt;"",EDATE($D28,Milestones!$AA$31)&gt;=$S28),$V28,IF(AND($R28&lt;&gt;"",EDATE($D28,Milestones!$AA$31)&gt;=$R28),$U28,$T28)))=Milestones!$AB$31),TEXT(EDATE($D28,Milestones!$AA$31),"dd/mm/yy")&amp;" "&amp;Milestones!$AB$31&amp;" "&amp;Milestones!$AC$31&amp;";  ","")&amp;IF(AND(EDATE($D28,Milestones!$AA$32)&lt;=AsOfDate,IF($Q28=0,$W28,IF(AND($S28&lt;&gt;"",EDATE($D28,Milestones!$AA$32)&gt;=$S28),$V28,IF(AND($R28&lt;&gt;"",EDATE($D28,Milestones!$AA$32)&gt;=$R28),$U28,$T28)))=Milestones!$AB$32),TEXT(EDATE($D28,Milestones!$AA$32),"dd/mm/yy")&amp;" "&amp;Milestones!$AB$32&amp;" "&amp;Milestones!$AC$32&amp;";  ","")&amp;IF(AND(EDATE($D28,Milestones!$AA$33)&lt;=AsOfDate,IF($Q28=0,$W28,IF(AND($S28&lt;&gt;"",EDATE($D28,Milestones!$AA$33)&gt;=$S28),$V28,IF(AND($R28&lt;&gt;"",EDATE($D28,Milestones!$AA$33)&gt;=$R28),$U28,$T28)))=Milestones!$AB$33),TEXT(EDATE($D28,Milestones!$AA$33),"dd/mm/yy")&amp;" "&amp;Milestones!$AB$33&amp;" "&amp;Milestones!$AC$33&amp;";  ","")&amp;IF(AND(EDATE($D28,Milestones!$AA$34)&lt;=AsOfDate,IF($Q28=0,$W28,IF(AND($S28&lt;&gt;"",EDATE($D28,Milestones!$AA$34)&gt;=$S28),$V28,IF(AND($R28&lt;&gt;"",EDATE($D28,Milestones!$AA$34)&gt;=$R28),$U28,$T28)))=Milestones!$AB$34),TEXT(EDATE($D28,Milestones!$AA$34),"dd/mm/yy")&amp;" "&amp;Milestones!$AB$34&amp;" "&amp;Milestones!$AC$34&amp;";  ","")&amp;IF(AND(EDATE($D28,Milestones!$AA$35)&lt;=AsOfDate,IF($Q28=0,$W28,IF(AND($S28&lt;&gt;"",EDATE($D28,Milestones!$AA$35)&gt;=$S28),$V28,IF(AND($R28&lt;&gt;"",EDATE($D28,Milestones!$AA$35)&gt;=$R28),$U28,$T28)))=Milestones!$AB$35),TEXT(EDATE($D28,Milestones!$AA$35),"dd/mm/yy")&amp;" "&amp;Milestones!$AB$35&amp;" "&amp;Milestones!$AC$35&amp;";  ","")&amp;IF(AND(EDATE($D28,Milestones!$AA$36)&lt;=AsOfDate,IF($Q28=0,$W28,IF(AND($S28&lt;&gt;"",EDATE($D28,Milestones!$AA$36)&gt;=$S28),$V28,IF(AND($R28&lt;&gt;"",EDATE($D28,Milestones!$AA$36)&gt;=$R28),$U28,$T28)))=Milestones!$AB$36),TEXT(EDATE($D28,Milestones!$AA$36),"dd/mm/yy")&amp;" "&amp;Milestones!$AB$36&amp;" "&amp;Milestones!$AC$36&amp;";  ","")&amp;IF(AND(EDATE($D28,Milestones!$AA$37)&lt;=AsOfDate,IF($Q28=0,$W28,IF(AND($S28&lt;&gt;"",EDATE($D28,Milestones!$AA$37)&gt;=$S28),$V28,IF(AND($R28&lt;&gt;"",EDATE($D28,Milestones!$AA$37)&gt;=$R28),$U28,$T28)))=Milestones!$AB$37),TEXT(EDATE($D28,Milestones!$AA$37),"dd/mm/yy")&amp;" "&amp;Milestones!$AB$37&amp;" "&amp;Milestones!$AC$37&amp;";  ","")&amp;IF(AND(EDATE($D28,Milestones!$AA$38)&lt;=AsOfDate,IF($Q28=0,$W28,IF(AND($S28&lt;&gt;"",EDATE($D28,Milestones!$AA$38)&gt;=$S28),$V28,IF(AND($R28&lt;&gt;"",EDATE($D28,Milestones!$AA$38)&gt;=$R28),$U28,$T28)))=Milestones!$AB$38),TEXT(EDATE($D28,Milestones!$AA$38),"dd/mm/yy")&amp;" "&amp;Milestones!$AB$38&amp;" "&amp;Milestones!$AC$38&amp;";  ","")&amp;IF(AND(EDATE($D28,Milestones!$AA$39)&lt;=AsOfDate,IF($Q28=0,$W28,IF(AND($S28&lt;&gt;"",EDATE($D28,Milestones!$AA$39)&gt;=$S28),$V28,IF(AND($R28&lt;&gt;"",EDATE($D28,Milestones!$AA$39)&gt;=$R28),$U28,$T28)))=Milestones!$AB$39),TEXT(EDATE($D28,Milestones!$AA$39),"dd/mm/yy")&amp;" "&amp;Milestones!$AB$39&amp;" "&amp;Milestones!$AC$39&amp;";  ",""))</f>
        <v/>
      </c>
      <c r="I28" s="0" t="str">
        <f aca="false">IF(OR($A28="",$D28=""),"",IF(AND(EDATE($D28,Milestones!$AA$40)&lt;=AsOfDate,IF($Q28=0,$W28,IF(AND($S28&lt;&gt;"",EDATE($D28,Milestones!$AA$40)&gt;=$S28),$V28,IF(AND($R28&lt;&gt;"",EDATE($D28,Milestones!$AA$40)&gt;=$R28),$U28,$T28)))=Milestones!$AB$40),TEXT(EDATE($D28,Milestones!$AA$40),"dd/mm/yy")&amp;" "&amp;Milestones!$AB$40&amp;" "&amp;Milestones!$AC$40&amp;";  ","")&amp;IF(AND(EDATE($D28,Milestones!$AA$41)&lt;=AsOfDate,IF($Q28=0,$W28,IF(AND($S28&lt;&gt;"",EDATE($D28,Milestones!$AA$41)&gt;=$S28),$V28,IF(AND($R28&lt;&gt;"",EDATE($D28,Milestones!$AA$41)&gt;=$R28),$U28,$T28)))=Milestones!$AB$41),TEXT(EDATE($D28,Milestones!$AA$41),"dd/mm/yy")&amp;" "&amp;Milestones!$AB$41&amp;" "&amp;Milestones!$AC$41&amp;";  ","")&amp;IF(AND(EDATE($D28,Milestones!$AA$42)&lt;=AsOfDate,IF($Q28=0,$W28,IF(AND($S28&lt;&gt;"",EDATE($D28,Milestones!$AA$42)&gt;=$S28),$V28,IF(AND($R28&lt;&gt;"",EDATE($D28,Milestones!$AA$42)&gt;=$R28),$U28,$T28)))=Milestones!$AB$42),TEXT(EDATE($D28,Milestones!$AA$42),"dd/mm/yy")&amp;" "&amp;Milestones!$AB$42&amp;" "&amp;Milestones!$AC$42&amp;";  ","")&amp;IF(AND(EDATE($D28,Milestones!$AA$43)&lt;=AsOfDate,IF($Q28=0,$W28,IF(AND($S28&lt;&gt;"",EDATE($D28,Milestones!$AA$43)&gt;=$S28),$V28,IF(AND($R28&lt;&gt;"",EDATE($D28,Milestones!$AA$43)&gt;=$R28),$U28,$T28)))=Milestones!$AB$43),TEXT(EDATE($D28,Milestones!$AA$43),"dd/mm/yy")&amp;" "&amp;Milestones!$AB$43&amp;" "&amp;Milestones!$AC$43&amp;";  ","")&amp;IF(AND(EDATE($D28,Milestones!$AA$44)&lt;=AsOfDate,IF($Q28=0,$W28,IF(AND($S28&lt;&gt;"",EDATE($D28,Milestones!$AA$44)&gt;=$S28),$V28,IF(AND($R28&lt;&gt;"",EDATE($D28,Milestones!$AA$44)&gt;=$R28),$U28,$T28)))=Milestones!$AB$44),TEXT(EDATE($D28,Milestones!$AA$44),"dd/mm/yy")&amp;" "&amp;Milestones!$AB$44&amp;" "&amp;Milestones!$AC$44&amp;";  ","")&amp;IF(AND(EDATE($D28,Milestones!$AA$45)&lt;=AsOfDate,IF($Q28=0,$W28,IF(AND($S28&lt;&gt;"",EDATE($D28,Milestones!$AA$45)&gt;=$S28),$V28,IF(AND($R28&lt;&gt;"",EDATE($D28,Milestones!$AA$45)&gt;=$R28),$U28,$T28)))=Milestones!$AB$45),TEXT(EDATE($D28,Milestones!$AA$45),"dd/mm/yy")&amp;" "&amp;Milestones!$AB$45&amp;" "&amp;Milestones!$AC$45&amp;";  ","")&amp;IF(AND(EDATE($D28,Milestones!$AA$46)&lt;=AsOfDate,IF($Q28=0,$W28,IF(AND($S28&lt;&gt;"",EDATE($D28,Milestones!$AA$46)&gt;=$S28),$V28,IF(AND($R28&lt;&gt;"",EDATE($D28,Milestones!$AA$46)&gt;=$R28),$U28,$T28)))=Milestones!$AB$46),TEXT(EDATE($D28,Milestones!$AA$46),"dd/mm/yy")&amp;" "&amp;Milestones!$AB$46&amp;" "&amp;Milestones!$AC$46&amp;";  ","")&amp;IF(AND(EDATE($D28,Milestones!$AA$47)&lt;=AsOfDate,IF($Q28=0,$W28,IF(AND($S28&lt;&gt;"",EDATE($D28,Milestones!$AA$47)&gt;=$S28),$V28,IF(AND($R28&lt;&gt;"",EDATE($D28,Milestones!$AA$47)&gt;=$R28),$U28,$T28)))=Milestones!$AB$47),TEXT(EDATE($D28,Milestones!$AA$47),"dd/mm/yy")&amp;" "&amp;Milestones!$AB$47&amp;" "&amp;Milestones!$AC$47&amp;";  ","")&amp;IF(AND(EDATE($D28,Milestones!$AA$48)&lt;=AsOfDate,IF($Q28=0,$W28,IF(AND($S28&lt;&gt;"",EDATE($D28,Milestones!$AA$48)&gt;=$S28),$V28,IF(AND($R28&lt;&gt;"",EDATE($D28,Milestones!$AA$48)&gt;=$R28),$U28,$T28)))=Milestones!$AB$48),TEXT(EDATE($D28,Milestones!$AA$48),"dd/mm/yy")&amp;" "&amp;Milestones!$AB$48&amp;" "&amp;Milestones!$AC$48&amp;";  ","")&amp;IF(AND(EDATE($D28,Milestones!$AA$49)&lt;=AsOfDate,IF($Q28=0,$W28,IF(AND($S28&lt;&gt;"",EDATE($D28,Milestones!$AA$49)&gt;=$S28),$V28,IF(AND($R28&lt;&gt;"",EDATE($D28,Milestones!$AA$49)&gt;=$R28),$U28,$T28)))=Milestones!$AB$49),TEXT(EDATE($D28,Milestones!$AA$49),"dd/mm/yy")&amp;" "&amp;Milestones!$AB$49&amp;" "&amp;Milestones!$AC$49&amp;";  ","")&amp;IF(AND(EDATE($D28,Milestones!$AA$50)&lt;=AsOfDate,IF($Q28=0,$W28,IF(AND($S28&lt;&gt;"",EDATE($D28,Milestones!$AA$50)&gt;=$S28),$V28,IF(AND($R28&lt;&gt;"",EDATE($D28,Milestones!$AA$50)&gt;=$R28),$U28,$T28)))=Milestones!$AB$50),TEXT(EDATE($D28,Milestones!$AA$50),"dd/mm/yy")&amp;" "&amp;Milestones!$AB$50&amp;" "&amp;Milestones!$AC$50&amp;";  ","")&amp;IF(AND(EDATE($D28,Milestones!$AA$51)&lt;=AsOfDate,IF($Q28=0,$W28,IF(AND($S28&lt;&gt;"",EDATE($D28,Milestones!$AA$51)&gt;=$S28),$V28,IF(AND($R28&lt;&gt;"",EDATE($D28,Milestones!$AA$51)&gt;=$R28),$U28,$T28)))=Milestones!$AB$51),TEXT(EDATE($D28,Milestones!$AA$51),"dd/mm/yy")&amp;" "&amp;Milestones!$AB$51&amp;" "&amp;Milestones!$AC$51&amp;";  ","")&amp;IF(AND(EDATE($D28,Milestones!$AA$52)&lt;=AsOfDate,IF($Q28=0,$W28,IF(AND($S28&lt;&gt;"",EDATE($D28,Milestones!$AA$52)&gt;=$S28),$V28,IF(AND($R28&lt;&gt;"",EDATE($D28,Milestones!$AA$52)&gt;=$R28),$U28,$T28)))=Milestones!$AB$52),TEXT(EDATE($D28,Milestones!$AA$52),"dd/mm/yy")&amp;" "&amp;Milestones!$AB$52&amp;" "&amp;Milestones!$AC$52&amp;";  ","")&amp;IF(AND(EDATE($D28,Milestones!$AA$53)&lt;=AsOfDate,IF($Q28=0,$W28,IF(AND($S28&lt;&gt;"",EDATE($D28,Milestones!$AA$53)&gt;=$S28),$V28,IF(AND($R28&lt;&gt;"",EDATE($D28,Milestones!$AA$53)&gt;=$R28),$U28,$T28)))=Milestones!$AB$53),TEXT(EDATE($D28,Milestones!$AA$53),"dd/mm/yy")&amp;" "&amp;Milestones!$AB$53&amp;" "&amp;Milestones!$AC$53&amp;";  ","")&amp;IF(AND(EDATE($D28,Milestones!$AA$54)&lt;=AsOfDate,IF($Q28=0,$W28,IF(AND($S28&lt;&gt;"",EDATE($D28,Milestones!$AA$54)&gt;=$S28),$V28,IF(AND($R28&lt;&gt;"",EDATE($D28,Milestones!$AA$54)&gt;=$R28),$U28,$T28)))=Milestones!$AB$54),TEXT(EDATE($D28,Milestones!$AA$54),"dd/mm/yy")&amp;" "&amp;Milestones!$AB$54&amp;" "&amp;Milestones!$AC$54&amp;";  ","")&amp;IF(AND(EDATE($D28,Milestones!$AA$55)&lt;=AsOfDate,IF($Q28=0,$W28,IF(AND($S28&lt;&gt;"",EDATE($D28,Milestones!$AA$55)&gt;=$S28),$V28,IF(AND($R28&lt;&gt;"",EDATE($D28,Milestones!$AA$55)&gt;=$R28),$U28,$T28)))=Milestones!$AB$55),TEXT(EDATE($D28,Milestones!$AA$55),"dd/mm/yy")&amp;" "&amp;Milestones!$AB$55&amp;" "&amp;Milestones!$AC$55&amp;";  ","")&amp;IF(AND(EDATE($D28,Milestones!$AA$56)&lt;=AsOfDate,IF($Q28=0,$W28,IF(AND($S28&lt;&gt;"",EDATE($D28,Milestones!$AA$56)&gt;=$S28),$V28,IF(AND($R28&lt;&gt;"",EDATE($D28,Milestones!$AA$56)&gt;=$R28),$U28,$T28)))=Milestones!$AB$56),TEXT(EDATE($D28,Milestones!$AA$56),"dd/mm/yy")&amp;" "&amp;Milestones!$AB$56&amp;" "&amp;Milestones!$AC$56&amp;";  ","")&amp;IF(AND(EDATE($D28,Milestones!$AA$57)&lt;=AsOfDate,IF($Q28=0,$W28,IF(AND($S28&lt;&gt;"",EDATE($D28,Milestones!$AA$57)&gt;=$S28),$V28,IF(AND($R28&lt;&gt;"",EDATE($D28,Milestones!$AA$57)&gt;=$R28),$U28,$T28)))=Milestones!$AB$57),TEXT(EDATE($D28,Milestones!$AA$57),"dd/mm/yy")&amp;" "&amp;Milestones!$AB$57&amp;" "&amp;Milestones!$AC$57&amp;";  ","")&amp;IF(AND(EDATE($D28,Milestones!$AA$58)&lt;=AsOfDate,IF($Q28=0,$W28,IF(AND($S28&lt;&gt;"",EDATE($D28,Milestones!$AA$58)&gt;=$S28),$V28,IF(AND($R28&lt;&gt;"",EDATE($D28,Milestones!$AA$58)&gt;=$R28),$U28,$T28)))=Milestones!$AB$58),TEXT(EDATE($D28,Milestones!$AA$58),"dd/mm/yy")&amp;" "&amp;Milestones!$AB$58&amp;" "&amp;Milestones!$AC$58&amp;";  ","")&amp;IF(AND(EDATE($D28,Milestones!$AA$59)&lt;=AsOfDate,IF($Q28=0,$W28,IF(AND($S28&lt;&gt;"",EDATE($D28,Milestones!$AA$59)&gt;=$S28),$V28,IF(AND($R28&lt;&gt;"",EDATE($D28,Milestones!$AA$59)&gt;=$R28),$U28,$T28)))=Milestones!$AB$59),TEXT(EDATE($D28,Milestones!$AA$59),"dd/mm/yy")&amp;" "&amp;Milestones!$AB$59&amp;" "&amp;Milestones!$AC$59&amp;";  ",""))</f>
        <v/>
      </c>
      <c r="J28" s="0" t="str">
        <f aca="false">IF(OR($A28="",$D28=""),"",IF(AND(EDATE($D28,Milestones!$AA$60)&lt;=AsOfDate,IF($Q28=0,$W28,IF(AND($S28&lt;&gt;"",EDATE($D28,Milestones!$AA$60)&gt;=$S28),$V28,IF(AND($R28&lt;&gt;"",EDATE($D28,Milestones!$AA$60)&gt;=$R28),$U28,$T28)))=Milestones!$AB$60),TEXT(EDATE($D28,Milestones!$AA$60),"dd/mm/yy")&amp;" "&amp;Milestones!$AB$60&amp;" "&amp;Milestones!$AC$60&amp;";  ","")&amp;IF(AND(EDATE($D28,Milestones!$AA$61)&lt;=AsOfDate,IF($Q28=0,$W28,IF(AND($S28&lt;&gt;"",EDATE($D28,Milestones!$AA$61)&gt;=$S28),$V28,IF(AND($R28&lt;&gt;"",EDATE($D28,Milestones!$AA$61)&gt;=$R28),$U28,$T28)))=Milestones!$AB$61),TEXT(EDATE($D28,Milestones!$AA$61),"dd/mm/yy")&amp;" "&amp;Milestones!$AB$61&amp;" "&amp;Milestones!$AC$61&amp;";  ","")&amp;IF(AND(EDATE($D28,Milestones!$AA$62)&lt;=AsOfDate,IF($Q28=0,$W28,IF(AND($S28&lt;&gt;"",EDATE($D28,Milestones!$AA$62)&gt;=$S28),$V28,IF(AND($R28&lt;&gt;"",EDATE($D28,Milestones!$AA$62)&gt;=$R28),$U28,$T28)))=Milestones!$AB$62),TEXT(EDATE($D28,Milestones!$AA$62),"dd/mm/yy")&amp;" "&amp;Milestones!$AB$62&amp;" "&amp;Milestones!$AC$62&amp;";  ","")&amp;IF(AND(EDATE($D28,Milestones!$AA$63)&lt;=AsOfDate,IF($Q28=0,$W28,IF(AND($S28&lt;&gt;"",EDATE($D28,Milestones!$AA$63)&gt;=$S28),$V28,IF(AND($R28&lt;&gt;"",EDATE($D28,Milestones!$AA$63)&gt;=$R28),$U28,$T28)))=Milestones!$AB$63),TEXT(EDATE($D28,Milestones!$AA$63),"dd/mm/yy")&amp;" "&amp;Milestones!$AB$63&amp;" "&amp;Milestones!$AC$63&amp;";  ","")&amp;IF(AND(EDATE($D28,Milestones!$AA$64)&lt;=AsOfDate,IF($Q28=0,$W28,IF(AND($S28&lt;&gt;"",EDATE($D28,Milestones!$AA$64)&gt;=$S28),$V28,IF(AND($R28&lt;&gt;"",EDATE($D28,Milestones!$AA$64)&gt;=$R28),$U28,$T28)))=Milestones!$AB$64),TEXT(EDATE($D28,Milestones!$AA$64),"dd/mm/yy")&amp;" "&amp;Milestones!$AB$64&amp;" "&amp;Milestones!$AC$64&amp;";  ","")&amp;IF(AND(EDATE($D28,Milestones!$AA$65)&lt;=AsOfDate,IF($Q28=0,$W28,IF(AND($S28&lt;&gt;"",EDATE($D28,Milestones!$AA$65)&gt;=$S28),$V28,IF(AND($R28&lt;&gt;"",EDATE($D28,Milestones!$AA$65)&gt;=$R28),$U28,$T28)))=Milestones!$AB$65),TEXT(EDATE($D28,Milestones!$AA$65),"dd/mm/yy")&amp;" "&amp;Milestones!$AB$65&amp;" "&amp;Milestones!$AC$65&amp;";  ","")&amp;IF(AND(EDATE($D28,Milestones!$AA$66)&lt;=AsOfDate,IF($Q28=0,$W28,IF(AND($S28&lt;&gt;"",EDATE($D28,Milestones!$AA$66)&gt;=$S28),$V28,IF(AND($R28&lt;&gt;"",EDATE($D28,Milestones!$AA$66)&gt;=$R28),$U28,$T28)))=Milestones!$AB$66),TEXT(EDATE($D28,Milestones!$AA$66),"dd/mm/yy")&amp;" "&amp;Milestones!$AB$66&amp;" "&amp;Milestones!$AC$66&amp;";  ","")&amp;IF(AND(EDATE($D28,Milestones!$AA$67)&lt;=AsOfDate,IF($Q28=0,$W28,IF(AND($S28&lt;&gt;"",EDATE($D28,Milestones!$AA$67)&gt;=$S28),$V28,IF(AND($R28&lt;&gt;"",EDATE($D28,Milestones!$AA$67)&gt;=$R28),$U28,$T28)))=Milestones!$AB$67),TEXT(EDATE($D28,Milestones!$AA$67),"dd/mm/yy")&amp;" "&amp;Milestones!$AB$67&amp;" "&amp;Milestones!$AC$67&amp;";  ","")&amp;IF(AND(EDATE($D28,Milestones!$AA$68)&lt;=AsOfDate,IF($Q28=0,$W28,IF(AND($S28&lt;&gt;"",EDATE($D28,Milestones!$AA$68)&gt;=$S28),$V28,IF(AND($R28&lt;&gt;"",EDATE($D28,Milestones!$AA$68)&gt;=$R28),$U28,$T28)))=Milestones!$AB$68),TEXT(EDATE($D28,Milestones!$AA$68),"dd/mm/yy")&amp;" "&amp;Milestones!$AB$68&amp;" "&amp;Milestones!$AC$68&amp;";  ","")&amp;IF(AND(EDATE($D28,Milestones!$AA$69)&lt;=AsOfDate,IF($Q28=0,$W28,IF(AND($S28&lt;&gt;"",EDATE($D28,Milestones!$AA$69)&gt;=$S28),$V28,IF(AND($R28&lt;&gt;"",EDATE($D28,Milestones!$AA$69)&gt;=$R28),$U28,$T28)))=Milestones!$AB$69),TEXT(EDATE($D28,Milestones!$AA$69),"dd/mm/yy")&amp;" "&amp;Milestones!$AB$69&amp;" "&amp;Milestones!$AC$69&amp;";  ","")&amp;IF(AND(EDATE($D28,Milestones!$AA$70)&lt;=AsOfDate,IF($Q28=0,$W28,IF(AND($S28&lt;&gt;"",EDATE($D28,Milestones!$AA$70)&gt;=$S28),$V28,IF(AND($R28&lt;&gt;"",EDATE($D28,Milestones!$AA$70)&gt;=$R28),$U28,$T28)))=Milestones!$AB$70),TEXT(EDATE($D28,Milestones!$AA$70),"dd/mm/yy")&amp;" "&amp;Milestones!$AB$70&amp;" "&amp;Milestones!$AC$70&amp;";  ","")&amp;IF(AND(EDATE($D28,Milestones!$AA$71)&lt;=AsOfDate,IF($Q28=0,$W28,IF(AND($S28&lt;&gt;"",EDATE($D28,Milestones!$AA$71)&gt;=$S28),$V28,IF(AND($R28&lt;&gt;"",EDATE($D28,Milestones!$AA$71)&gt;=$R28),$U28,$T28)))=Milestones!$AB$71),TEXT(EDATE($D28,Milestones!$AA$71),"dd/mm/yy")&amp;" "&amp;Milestones!$AB$71&amp;" "&amp;Milestones!$AC$71&amp;";  ","")&amp;IF(AND(EDATE($D28,Milestones!$AA$72)&lt;=AsOfDate,IF($Q28=0,$W28,IF(AND($S28&lt;&gt;"",EDATE($D28,Milestones!$AA$72)&gt;=$S28),$V28,IF(AND($R28&lt;&gt;"",EDATE($D28,Milestones!$AA$72)&gt;=$R28),$U28,$T28)))=Milestones!$AB$72),TEXT(EDATE($D28,Milestones!$AA$72),"dd/mm/yy")&amp;" "&amp;Milestones!$AB$72&amp;" "&amp;Milestones!$AC$72&amp;";  ","")&amp;IF(AND(EDATE($D28,Milestones!$AA$73)&lt;=AsOfDate,IF($Q28=0,$W28,IF(AND($S28&lt;&gt;"",EDATE($D28,Milestones!$AA$73)&gt;=$S28),$V28,IF(AND($R28&lt;&gt;"",EDATE($D28,Milestones!$AA$73)&gt;=$R28),$U28,$T28)))=Milestones!$AB$73),TEXT(EDATE($D28,Milestones!$AA$73),"dd/mm/yy")&amp;" "&amp;Milestones!$AB$73&amp;" "&amp;Milestones!$AC$73&amp;";  ","")&amp;IF(AND(EDATE($D28,Milestones!$AA$74)&lt;=AsOfDate,IF($Q28=0,$W28,IF(AND($S28&lt;&gt;"",EDATE($D28,Milestones!$AA$74)&gt;=$S28),$V28,IF(AND($R28&lt;&gt;"",EDATE($D28,Milestones!$AA$74)&gt;=$R28),$U28,$T28)))=Milestones!$AB$74),TEXT(EDATE($D28,Milestones!$AA$74),"dd/mm/yy")&amp;" "&amp;Milestones!$AB$74&amp;" "&amp;Milestones!$AC$74&amp;";  ","")&amp;IF(AND(EDATE($D28,Milestones!$AA$75)&lt;=AsOfDate,IF($Q28=0,$W28,IF(AND($S28&lt;&gt;"",EDATE($D28,Milestones!$AA$75)&gt;=$S28),$V28,IF(AND($R28&lt;&gt;"",EDATE($D28,Milestones!$AA$75)&gt;=$R28),$U28,$T28)))=Milestones!$AB$75),TEXT(EDATE($D28,Milestones!$AA$75),"dd/mm/yy")&amp;" "&amp;Milestones!$AB$75&amp;" "&amp;Milestones!$AC$75&amp;";  ","")&amp;IF(AND(EDATE($D28,Milestones!$AA$76)&lt;=AsOfDate,IF($Q28=0,$W28,IF(AND($S28&lt;&gt;"",EDATE($D28,Milestones!$AA$76)&gt;=$S28),$V28,IF(AND($R28&lt;&gt;"",EDATE($D28,Milestones!$AA$76)&gt;=$R28),$U28,$T28)))=Milestones!$AB$76),TEXT(EDATE($D28,Milestones!$AA$76),"dd/mm/yy")&amp;" "&amp;Milestones!$AB$76&amp;" "&amp;Milestones!$AC$76&amp;";  ","")&amp;IF(AND(EDATE($D28,Milestones!$AA$77)&lt;=AsOfDate,IF($Q28=0,$W28,IF(AND($S28&lt;&gt;"",EDATE($D28,Milestones!$AA$77)&gt;=$S28),$V28,IF(AND($R28&lt;&gt;"",EDATE($D28,Milestones!$AA$77)&gt;=$R28),$U28,$T28)))=Milestones!$AB$77),TEXT(EDATE($D28,Milestones!$AA$77),"dd/mm/yy")&amp;" "&amp;Milestones!$AB$77&amp;" "&amp;Milestones!$AC$77&amp;";  ","")&amp;IF(AND(EDATE($D28,Milestones!$AA$78)&lt;=AsOfDate,IF($Q28=0,$W28,IF(AND($S28&lt;&gt;"",EDATE($D28,Milestones!$AA$78)&gt;=$S28),$V28,IF(AND($R28&lt;&gt;"",EDATE($D28,Milestones!$AA$78)&gt;=$R28),$U28,$T28)))=Milestones!$AB$78),TEXT(EDATE($D28,Milestones!$AA$78),"dd/mm/yy")&amp;" "&amp;Milestones!$AB$78&amp;" "&amp;Milestones!$AC$78&amp;";  ","")&amp;IF(AND(EDATE($D28,Milestones!$AA$79)&lt;=AsOfDate,IF($Q28=0,$W28,IF(AND($S28&lt;&gt;"",EDATE($D28,Milestones!$AA$79)&gt;=$S28),$V28,IF(AND($R28&lt;&gt;"",EDATE($D28,Milestones!$AA$79)&gt;=$R28),$U28,$T28)))=Milestones!$AB$79),TEXT(EDATE($D28,Milestones!$AA$79),"dd/mm/yy")&amp;" "&amp;Milestones!$AB$79&amp;" "&amp;Milestones!$AC$79&amp;";  ",""))</f>
        <v/>
      </c>
      <c r="K28" s="0" t="str">
        <f aca="false">IF(OR($A28="",$D28=""),"",IF(AND(EDATE($D28,Milestones!$AA$80)&lt;=AsOfDate,IF($Q28=0,$W28,IF(AND($S28&lt;&gt;"",EDATE($D28,Milestones!$AA$80)&gt;=$S28),$V28,IF(AND($R28&lt;&gt;"",EDATE($D28,Milestones!$AA$80)&gt;=$R28),$U28,$T28)))=Milestones!$AB$80),TEXT(EDATE($D28,Milestones!$AA$80),"dd/mm/yy")&amp;" "&amp;Milestones!$AB$80&amp;" "&amp;Milestones!$AC$80&amp;";  ","")&amp;IF(AND(EDATE($D28,Milestones!$AA$81)&lt;=AsOfDate,IF($Q28=0,$W28,IF(AND($S28&lt;&gt;"",EDATE($D28,Milestones!$AA$81)&gt;=$S28),$V28,IF(AND($R28&lt;&gt;"",EDATE($D28,Milestones!$AA$81)&gt;=$R28),$U28,$T28)))=Milestones!$AB$81),TEXT(EDATE($D28,Milestones!$AA$81),"dd/mm/yy")&amp;" "&amp;Milestones!$AB$81&amp;" "&amp;Milestones!$AC$81&amp;";  ","")&amp;IF(AND(EDATE($D28,Milestones!$AA$82)&lt;=AsOfDate,IF($Q28=0,$W28,IF(AND($S28&lt;&gt;"",EDATE($D28,Milestones!$AA$82)&gt;=$S28),$V28,IF(AND($R28&lt;&gt;"",EDATE($D28,Milestones!$AA$82)&gt;=$R28),$U28,$T28)))=Milestones!$AB$82),TEXT(EDATE($D28,Milestones!$AA$82),"dd/mm/yy")&amp;" "&amp;Milestones!$AB$82&amp;" "&amp;Milestones!$AC$82&amp;";  ","")&amp;IF(AND(EDATE($D28,Milestones!$AA$83)&lt;=AsOfDate,IF($Q28=0,$W28,IF(AND($S28&lt;&gt;"",EDATE($D28,Milestones!$AA$83)&gt;=$S28),$V28,IF(AND($R28&lt;&gt;"",EDATE($D28,Milestones!$AA$83)&gt;=$R28),$U28,$T28)))=Milestones!$AB$83),TEXT(EDATE($D28,Milestones!$AA$83),"dd/mm/yy")&amp;" "&amp;Milestones!$AB$83&amp;" "&amp;Milestones!$AC$83&amp;";  ","")&amp;IF(AND(EDATE($D28,Milestones!$AA$84)&lt;=AsOfDate,IF($Q28=0,$W28,IF(AND($S28&lt;&gt;"",EDATE($D28,Milestones!$AA$84)&gt;=$S28),$V28,IF(AND($R28&lt;&gt;"",EDATE($D28,Milestones!$AA$84)&gt;=$R28),$U28,$T28)))=Milestones!$AB$84),TEXT(EDATE($D28,Milestones!$AA$84),"dd/mm/yy")&amp;" "&amp;Milestones!$AB$84&amp;" "&amp;Milestones!$AC$84&amp;";  ","")&amp;IF(AND(EDATE($D28,Milestones!$AA$85)&lt;=AsOfDate,IF($Q28=0,$W28,IF(AND($S28&lt;&gt;"",EDATE($D28,Milestones!$AA$85)&gt;=$S28),$V28,IF(AND($R28&lt;&gt;"",EDATE($D28,Milestones!$AA$85)&gt;=$R28),$U28,$T28)))=Milestones!$AB$85),TEXT(EDATE($D28,Milestones!$AA$85),"dd/mm/yy")&amp;" "&amp;Milestones!$AB$85&amp;" "&amp;Milestones!$AC$85&amp;";  ","")&amp;IF(AND(EDATE($D28,Milestones!$AA$86)&lt;=AsOfDate,IF($Q28=0,$W28,IF(AND($S28&lt;&gt;"",EDATE($D28,Milestones!$AA$86)&gt;=$S28),$V28,IF(AND($R28&lt;&gt;"",EDATE($D28,Milestones!$AA$86)&gt;=$R28),$U28,$T28)))=Milestones!$AB$86),TEXT(EDATE($D28,Milestones!$AA$86),"dd/mm/yy")&amp;" "&amp;Milestones!$AB$86&amp;" "&amp;Milestones!$AC$86&amp;";  ","")&amp;IF(AND(EDATE($D28,Milestones!$AA$87)&lt;=AsOfDate,IF($Q28=0,$W28,IF(AND($S28&lt;&gt;"",EDATE($D28,Milestones!$AA$87)&gt;=$S28),$V28,IF(AND($R28&lt;&gt;"",EDATE($D28,Milestones!$AA$87)&gt;=$R28),$U28,$T28)))=Milestones!$AB$87),TEXT(EDATE($D28,Milestones!$AA$87),"dd/mm/yy")&amp;" "&amp;Milestones!$AB$87&amp;" "&amp;Milestones!$AC$87&amp;";  ","")&amp;IF(AND(EDATE($D28,Milestones!$AA$88)&lt;=AsOfDate,IF($Q28=0,$W28,IF(AND($S28&lt;&gt;"",EDATE($D28,Milestones!$AA$88)&gt;=$S28),$V28,IF(AND($R28&lt;&gt;"",EDATE($D28,Milestones!$AA$88)&gt;=$R28),$U28,$T28)))=Milestones!$AB$88),TEXT(EDATE($D28,Milestones!$AA$88),"dd/mm/yy")&amp;" "&amp;Milestones!$AB$88&amp;" "&amp;Milestones!$AC$88&amp;";  ","")&amp;IF(AND(EDATE($D28,Milestones!$AA$89)&lt;=AsOfDate,IF($Q28=0,$W28,IF(AND($S28&lt;&gt;"",EDATE($D28,Milestones!$AA$89)&gt;=$S28),$V28,IF(AND($R28&lt;&gt;"",EDATE($D28,Milestones!$AA$89)&gt;=$R28),$U28,$T28)))=Milestones!$AB$89),TEXT(EDATE($D28,Milestones!$AA$89),"dd/mm/yy")&amp;" "&amp;Milestones!$AB$89&amp;" "&amp;Milestones!$AC$89&amp;";  ","")&amp;IF(AND(EDATE($D28,Milestones!$AA$90)&lt;=AsOfDate,IF($Q28=0,$W28,IF(AND($S28&lt;&gt;"",EDATE($D28,Milestones!$AA$90)&gt;=$S28),$V28,IF(AND($R28&lt;&gt;"",EDATE($D28,Milestones!$AA$90)&gt;=$R28),$U28,$T28)))=Milestones!$AB$90),TEXT(EDATE($D28,Milestones!$AA$90),"dd/mm/yy")&amp;" "&amp;Milestones!$AB$90&amp;" "&amp;Milestones!$AC$90&amp;";  ","")&amp;IF(AND(EDATE($D28,Milestones!$AA$91)&lt;=AsOfDate,IF($Q28=0,$W28,IF(AND($S28&lt;&gt;"",EDATE($D28,Milestones!$AA$91)&gt;=$S28),$V28,IF(AND($R28&lt;&gt;"",EDATE($D28,Milestones!$AA$91)&gt;=$R28),$U28,$T28)))=Milestones!$AB$91),TEXT(EDATE($D28,Milestones!$AA$91),"dd/mm/yy")&amp;" "&amp;Milestones!$AB$91&amp;" "&amp;Milestones!$AC$91&amp;";  ","")&amp;IF(AND(EDATE($D28,Milestones!$AA$92)&lt;=AsOfDate,IF($Q28=0,$W28,IF(AND($S28&lt;&gt;"",EDATE($D28,Milestones!$AA$92)&gt;=$S28),$V28,IF(AND($R28&lt;&gt;"",EDATE($D28,Milestones!$AA$92)&gt;=$R28),$U28,$T28)))=Milestones!$AB$92),TEXT(EDATE($D28,Milestones!$AA$92),"dd/mm/yy")&amp;" "&amp;Milestones!$AB$92&amp;" "&amp;Milestones!$AC$92&amp;";  ","")&amp;IF(AND(EDATE($D28,Milestones!$AA$93)&lt;=AsOfDate,IF($Q28=0,$W28,IF(AND($S28&lt;&gt;"",EDATE($D28,Milestones!$AA$93)&gt;=$S28),$V28,IF(AND($R28&lt;&gt;"",EDATE($D28,Milestones!$AA$93)&gt;=$R28),$U28,$T28)))=Milestones!$AB$93),TEXT(EDATE($D28,Milestones!$AA$93),"dd/mm/yy")&amp;" "&amp;Milestones!$AB$93&amp;" "&amp;Milestones!$AC$93&amp;";  ","")&amp;IF(AND(EDATE($D28,Milestones!$AA$94)&lt;=AsOfDate,IF($Q28=0,$W28,IF(AND($S28&lt;&gt;"",EDATE($D28,Milestones!$AA$94)&gt;=$S28),$V28,IF(AND($R28&lt;&gt;"",EDATE($D28,Milestones!$AA$94)&gt;=$R28),$U28,$T28)))=Milestones!$AB$94),TEXT(EDATE($D28,Milestones!$AA$94),"dd/mm/yy")&amp;" "&amp;Milestones!$AB$94&amp;" "&amp;Milestones!$AC$94&amp;";  ","")&amp;IF(AND(EDATE($D28,Milestones!$AA$95)&lt;=AsOfDate,IF($Q28=0,$W28,IF(AND($S28&lt;&gt;"",EDATE($D28,Milestones!$AA$95)&gt;=$S28),$V28,IF(AND($R28&lt;&gt;"",EDATE($D28,Milestones!$AA$95)&gt;=$R28),$U28,$T28)))=Milestones!$AB$95),TEXT(EDATE($D28,Milestones!$AA$95),"dd/mm/yy")&amp;" "&amp;Milestones!$AB$95&amp;" "&amp;Milestones!$AC$95&amp;";  ","")&amp;IF(AND(EDATE($D28,Milestones!$AA$96)&lt;=AsOfDate,IF($Q28=0,$W28,IF(AND($S28&lt;&gt;"",EDATE($D28,Milestones!$AA$96)&gt;=$S28),$V28,IF(AND($R28&lt;&gt;"",EDATE($D28,Milestones!$AA$96)&gt;=$R28),$U28,$T28)))=Milestones!$AB$96),TEXT(EDATE($D28,Milestones!$AA$96),"dd/mm/yy")&amp;" "&amp;Milestones!$AB$96&amp;" "&amp;Milestones!$AC$96&amp;";  ","")&amp;IF(AND(EDATE($D28,Milestones!$AA$97)&lt;=AsOfDate,IF($Q28=0,$W28,IF(AND($S28&lt;&gt;"",EDATE($D28,Milestones!$AA$97)&gt;=$S28),$V28,IF(AND($R28&lt;&gt;"",EDATE($D28,Milestones!$AA$97)&gt;=$R28),$U28,$T28)))=Milestones!$AB$97),TEXT(EDATE($D28,Milestones!$AA$97),"dd/mm/yy")&amp;" "&amp;Milestones!$AB$97&amp;" "&amp;Milestones!$AC$97&amp;";  ","")&amp;IF(AND(EDATE($D28,Milestones!$AA$98)&lt;=AsOfDate,IF($Q28=0,$W28,IF(AND($S28&lt;&gt;"",EDATE($D28,Milestones!$AA$98)&gt;=$S28),$V28,IF(AND($R28&lt;&gt;"",EDATE($D28,Milestones!$AA$98)&gt;=$R28),$U28,$T28)))=Milestones!$AB$98),TEXT(EDATE($D28,Milestones!$AA$98),"dd/mm/yy")&amp;" "&amp;Milestones!$AB$98&amp;" "&amp;Milestones!$AC$98&amp;";  ","")&amp;IF(AND(EDATE($D28,Milestones!$AA$99)&lt;=AsOfDate,IF($Q28=0,$W28,IF(AND($S28&lt;&gt;"",EDATE($D28,Milestones!$AA$99)&gt;=$S28),$V28,IF(AND($R28&lt;&gt;"",EDATE($D28,Milestones!$AA$99)&gt;=$R28),$U28,$T28)))=Milestones!$AB$99),TEXT(EDATE($D28,Milestones!$AA$99),"dd/mm/yy")&amp;" "&amp;Milestones!$AB$99&amp;" "&amp;Milestones!$AC$99&amp;";  ",""))</f>
        <v/>
      </c>
      <c r="L28" s="0" t="str">
        <f aca="false">IF(OR($A28="",$D28=""),"",IF(AND(EDATE($D28,Milestones!$AA$100)&lt;=AsOfDate,IF($Q28=0,$W28,IF(AND($S28&lt;&gt;"",EDATE($D28,Milestones!$AA$100)&gt;=$S28),$V28,IF(AND($R28&lt;&gt;"",EDATE($D28,Milestones!$AA$100)&gt;=$R28),$U28,$T28)))=Milestones!$AB$100),TEXT(EDATE($D28,Milestones!$AA$100),"dd/mm/yy")&amp;" "&amp;Milestones!$AB$100&amp;" "&amp;Milestones!$AC$100&amp;";  ","")&amp;IF(AND(EDATE($D28,Milestones!$AA$101)&lt;=AsOfDate,IF($Q28=0,$W28,IF(AND($S28&lt;&gt;"",EDATE($D28,Milestones!$AA$101)&gt;=$S28),$V28,IF(AND($R28&lt;&gt;"",EDATE($D28,Milestones!$AA$101)&gt;=$R28),$U28,$T28)))=Milestones!$AB$101),TEXT(EDATE($D28,Milestones!$AA$101),"dd/mm/yy")&amp;" "&amp;Milestones!$AB$101&amp;" "&amp;Milestones!$AC$101&amp;";  ","")&amp;IF(AND(EDATE($D28,Milestones!$AA$102)&lt;=AsOfDate,IF($Q28=0,$W28,IF(AND($S28&lt;&gt;"",EDATE($D28,Milestones!$AA$102)&gt;=$S28),$V28,IF(AND($R28&lt;&gt;"",EDATE($D28,Milestones!$AA$102)&gt;=$R28),$U28,$T28)))=Milestones!$AB$102),TEXT(EDATE($D28,Milestones!$AA$102),"dd/mm/yy")&amp;" "&amp;Milestones!$AB$102&amp;" "&amp;Milestones!$AC$102&amp;";  ","")&amp;IF(AND(EDATE($D28,Milestones!$AA$103)&lt;=AsOfDate,IF($Q28=0,$W28,IF(AND($S28&lt;&gt;"",EDATE($D28,Milestones!$AA$103)&gt;=$S28),$V28,IF(AND($R28&lt;&gt;"",EDATE($D28,Milestones!$AA$103)&gt;=$R28),$U28,$T28)))=Milestones!$AB$103),TEXT(EDATE($D28,Milestones!$AA$103),"dd/mm/yy")&amp;" "&amp;Milestones!$AB$103&amp;" "&amp;Milestones!$AC$103&amp;";  ","")&amp;IF(AND(EDATE($D28,Milestones!$AA$104)&lt;=AsOfDate,IF($Q28=0,$W28,IF(AND($S28&lt;&gt;"",EDATE($D28,Milestones!$AA$104)&gt;=$S28),$V28,IF(AND($R28&lt;&gt;"",EDATE($D28,Milestones!$AA$104)&gt;=$R28),$U28,$T28)))=Milestones!$AB$104),TEXT(EDATE($D28,Milestones!$AA$104),"dd/mm/yy")&amp;" "&amp;Milestones!$AB$104&amp;" "&amp;Milestones!$AC$104&amp;";  ","")&amp;IF(AND(EDATE($D28,Milestones!$AA$105)&lt;=AsOfDate,IF($Q28=0,$W28,IF(AND($S28&lt;&gt;"",EDATE($D28,Milestones!$AA$105)&gt;=$S28),$V28,IF(AND($R28&lt;&gt;"",EDATE($D28,Milestones!$AA$105)&gt;=$R28),$U28,$T28)))=Milestones!$AB$105),TEXT(EDATE($D28,Milestones!$AA$105),"dd/mm/yy")&amp;" "&amp;Milestones!$AB$105&amp;" "&amp;Milestones!$AC$105&amp;";  ","")&amp;IF(AND(EDATE($D28,Milestones!$AA$106)&lt;=AsOfDate,IF($Q28=0,$W28,IF(AND($S28&lt;&gt;"",EDATE($D28,Milestones!$AA$106)&gt;=$S28),$V28,IF(AND($R28&lt;&gt;"",EDATE($D28,Milestones!$AA$106)&gt;=$R28),$U28,$T28)))=Milestones!$AB$106),TEXT(EDATE($D28,Milestones!$AA$106),"dd/mm/yy")&amp;" "&amp;Milestones!$AB$106&amp;" "&amp;Milestones!$AC$106&amp;";  ","")&amp;IF(AND(EDATE($D28,Milestones!$AA$107)&lt;=AsOfDate,IF($Q28=0,$W28,IF(AND($S28&lt;&gt;"",EDATE($D28,Milestones!$AA$107)&gt;=$S28),$V28,IF(AND($R28&lt;&gt;"",EDATE($D28,Milestones!$AA$107)&gt;=$R28),$U28,$T28)))=Milestones!$AB$107),TEXT(EDATE($D28,Milestones!$AA$107),"dd/mm/yy")&amp;" "&amp;Milestones!$AB$107&amp;" "&amp;Milestones!$AC$107&amp;";  ","")&amp;IF(AND(EDATE($D28,Milestones!$AA$108)&lt;=AsOfDate,IF($Q28=0,$W28,IF(AND($S28&lt;&gt;"",EDATE($D28,Milestones!$AA$108)&gt;=$S28),$V28,IF(AND($R28&lt;&gt;"",EDATE($D28,Milestones!$AA$108)&gt;=$R28),$U28,$T28)))=Milestones!$AB$108),TEXT(EDATE($D28,Milestones!$AA$108),"dd/mm/yy")&amp;" "&amp;Milestones!$AB$108&amp;" "&amp;Milestones!$AC$108&amp;";  ","")&amp;IF(AND(EDATE($D28,Milestones!$AA$109)&lt;=AsOfDate,IF($Q28=0,$W28,IF(AND($S28&lt;&gt;"",EDATE($D28,Milestones!$AA$109)&gt;=$S28),$V28,IF(AND($R28&lt;&gt;"",EDATE($D28,Milestones!$AA$109)&gt;=$R28),$U28,$T28)))=Milestones!$AB$109),TEXT(EDATE($D28,Milestones!$AA$109),"dd/mm/yy")&amp;" "&amp;Milestones!$AB$109&amp;" "&amp;Milestones!$AC$109&amp;";  ","")&amp;IF(AND(EDATE($D28,Milestones!$AA$110)&lt;=AsOfDate,IF($Q28=0,$W28,IF(AND($S28&lt;&gt;"",EDATE($D28,Milestones!$AA$110)&gt;=$S28),$V28,IF(AND($R28&lt;&gt;"",EDATE($D28,Milestones!$AA$110)&gt;=$R28),$U28,$T28)))=Milestones!$AB$110),TEXT(EDATE($D28,Milestones!$AA$110),"dd/mm/yy")&amp;" "&amp;Milestones!$AB$110&amp;" "&amp;Milestones!$AC$110&amp;";  ","")&amp;IF(AND(EDATE($D28,Milestones!$AA$111)&lt;=AsOfDate,IF($Q28=0,$W28,IF(AND($S28&lt;&gt;"",EDATE($D28,Milestones!$AA$111)&gt;=$S28),$V28,IF(AND($R28&lt;&gt;"",EDATE($D28,Milestones!$AA$111)&gt;=$R28),$U28,$T28)))=Milestones!$AB$111),TEXT(EDATE($D28,Milestones!$AA$111),"dd/mm/yy")&amp;" "&amp;Milestones!$AB$111&amp;" "&amp;Milestones!$AC$111&amp;";  ","")&amp;IF(AND(EDATE($D28,Milestones!$AA$112)&lt;=AsOfDate,IF($Q28=0,$W28,IF(AND($S28&lt;&gt;"",EDATE($D28,Milestones!$AA$112)&gt;=$S28),$V28,IF(AND($R28&lt;&gt;"",EDATE($D28,Milestones!$AA$112)&gt;=$R28),$U28,$T28)))=Milestones!$AB$112),TEXT(EDATE($D28,Milestones!$AA$112),"dd/mm/yy")&amp;" "&amp;Milestones!$AB$112&amp;" "&amp;Milestones!$AC$112&amp;";  ","")&amp;IF(AND(EDATE($D28,Milestones!$AA$113)&lt;=AsOfDate,IF($Q28=0,$W28,IF(AND($S28&lt;&gt;"",EDATE($D28,Milestones!$AA$113)&gt;=$S28),$V28,IF(AND($R28&lt;&gt;"",EDATE($D28,Milestones!$AA$113)&gt;=$R28),$U28,$T28)))=Milestones!$AB$113),TEXT(EDATE($D28,Milestones!$AA$113),"dd/mm/yy")&amp;" "&amp;Milestones!$AB$113&amp;" "&amp;Milestones!$AC$113&amp;";  ","")&amp;IF(AND(EDATE($D28,Milestones!$AA$114)&lt;=AsOfDate,IF($Q28=0,$W28,IF(AND($S28&lt;&gt;"",EDATE($D28,Milestones!$AA$114)&gt;=$S28),$V28,IF(AND($R28&lt;&gt;"",EDATE($D28,Milestones!$AA$114)&gt;=$R28),$U28,$T28)))=Milestones!$AB$114),TEXT(EDATE($D28,Milestones!$AA$114),"dd/mm/yy")&amp;" "&amp;Milestones!$AB$114&amp;" "&amp;Milestones!$AC$114&amp;";  ","")&amp;IF(AND(EDATE($D28,Milestones!$AA$115)&lt;=AsOfDate,IF($Q28=0,$W28,IF(AND($S28&lt;&gt;"",EDATE($D28,Milestones!$AA$115)&gt;=$S28),$V28,IF(AND($R28&lt;&gt;"",EDATE($D28,Milestones!$AA$115)&gt;=$R28),$U28,$T28)))=Milestones!$AB$115),TEXT(EDATE($D28,Milestones!$AA$115),"dd/mm/yy")&amp;" "&amp;Milestones!$AB$115&amp;" "&amp;Milestones!$AC$115&amp;";  ","")&amp;IF(AND(EDATE($D28,Milestones!$AA$116)&lt;=AsOfDate,IF($Q28=0,$W28,IF(AND($S28&lt;&gt;"",EDATE($D28,Milestones!$AA$116)&gt;=$S28),$V28,IF(AND($R28&lt;&gt;"",EDATE($D28,Milestones!$AA$116)&gt;=$R28),$U28,$T28)))=Milestones!$AB$116),TEXT(EDATE($D28,Milestones!$AA$116),"dd/mm/yy")&amp;" "&amp;Milestones!$AB$116&amp;" "&amp;Milestones!$AC$116&amp;";  ","")&amp;IF(AND(EDATE($D28,Milestones!$AA$117)&lt;=AsOfDate,IF($Q28=0,$W28,IF(AND($S28&lt;&gt;"",EDATE($D28,Milestones!$AA$117)&gt;=$S28),$V28,IF(AND($R28&lt;&gt;"",EDATE($D28,Milestones!$AA$117)&gt;=$R28),$U28,$T28)))=Milestones!$AB$117),TEXT(EDATE($D28,Milestones!$AA$117),"dd/mm/yy")&amp;" "&amp;Milestones!$AB$117&amp;" "&amp;Milestones!$AC$117&amp;";  ","")&amp;IF(AND(EDATE($D28,Milestones!$AA$118)&lt;=AsOfDate,IF($Q28=0,$W28,IF(AND($S28&lt;&gt;"",EDATE($D28,Milestones!$AA$118)&gt;=$S28),$V28,IF(AND($R28&lt;&gt;"",EDATE($D28,Milestones!$AA$118)&gt;=$R28),$U28,$T28)))=Milestones!$AB$118),TEXT(EDATE($D28,Milestones!$AA$118),"dd/mm/yy")&amp;" "&amp;Milestones!$AB$118&amp;" "&amp;Milestones!$AC$118&amp;";  ","")&amp;IF(AND(EDATE($D28,Milestones!$AA$119)&lt;=AsOfDate,IF($Q28=0,$W28,IF(AND($S28&lt;&gt;"",EDATE($D28,Milestones!$AA$119)&gt;=$S28),$V28,IF(AND($R28&lt;&gt;"",EDATE($D28,Milestones!$AA$119)&gt;=$R28),$U28,$T28)))=Milestones!$AB$119),TEXT(EDATE($D28,Milestones!$AA$119),"dd/mm/yy")&amp;" "&amp;Milestones!$AB$119&amp;" "&amp;Milestones!$AC$119&amp;";  ",""))</f>
        <v/>
      </c>
      <c r="M28" s="0" t="str">
        <f aca="false">IF(OR($A28="",$D28=""),"",IF(AND(EDATE($D28,Milestones!$AA$120)&lt;=AsOfDate,IF($Q28=0,$W28,IF(AND($S28&lt;&gt;"",EDATE($D28,Milestones!$AA$120)&gt;=$S28),$V28,IF(AND($R28&lt;&gt;"",EDATE($D28,Milestones!$AA$120)&gt;=$R28),$U28,$T28)))=Milestones!$AB$120),TEXT(EDATE($D28,Milestones!$AA$120),"dd/mm/yy")&amp;" "&amp;Milestones!$AB$120&amp;" "&amp;Milestones!$AC$120&amp;";  ","")&amp;IF(AND(EDATE($D28,Milestones!$AA$121)&lt;=AsOfDate,IF($Q28=0,$W28,IF(AND($S28&lt;&gt;"",EDATE($D28,Milestones!$AA$121)&gt;=$S28),$V28,IF(AND($R28&lt;&gt;"",EDATE($D28,Milestones!$AA$121)&gt;=$R28),$U28,$T28)))=Milestones!$AB$121),TEXT(EDATE($D28,Milestones!$AA$121),"dd/mm/yy")&amp;" "&amp;Milestones!$AB$121&amp;" "&amp;Milestones!$AC$121&amp;";  ","")&amp;IF(AND(EDATE($D28,Milestones!$AA$122)&lt;=AsOfDate,IF($Q28=0,$W28,IF(AND($S28&lt;&gt;"",EDATE($D28,Milestones!$AA$122)&gt;=$S28),$V28,IF(AND($R28&lt;&gt;"",EDATE($D28,Milestones!$AA$122)&gt;=$R28),$U28,$T28)))=Milestones!$AB$122),TEXT(EDATE($D28,Milestones!$AA$122),"dd/mm/yy")&amp;" "&amp;Milestones!$AB$122&amp;" "&amp;Milestones!$AC$122&amp;";  ","")&amp;IF(AND(EDATE($D28,Milestones!$AA$123)&lt;=AsOfDate,IF($Q28=0,$W28,IF(AND($S28&lt;&gt;"",EDATE($D28,Milestones!$AA$123)&gt;=$S28),$V28,IF(AND($R28&lt;&gt;"",EDATE($D28,Milestones!$AA$123)&gt;=$R28),$U28,$T28)))=Milestones!$AB$123),TEXT(EDATE($D28,Milestones!$AA$123),"dd/mm/yy")&amp;" "&amp;Milestones!$AB$123&amp;" "&amp;Milestones!$AC$123&amp;";  ","")&amp;IF(AND(EDATE($D28,Milestones!$AA$124)&lt;=AsOfDate,IF($Q28=0,$W28,IF(AND($S28&lt;&gt;"",EDATE($D28,Milestones!$AA$124)&gt;=$S28),$V28,IF(AND($R28&lt;&gt;"",EDATE($D28,Milestones!$AA$124)&gt;=$R28),$U28,$T28)))=Milestones!$AB$124),TEXT(EDATE($D28,Milestones!$AA$124),"dd/mm/yy")&amp;" "&amp;Milestones!$AB$124&amp;" "&amp;Milestones!$AC$124&amp;";  ","")&amp;IF(AND(EDATE($D28,Milestones!$AA$125)&lt;=AsOfDate,IF($Q28=0,$W28,IF(AND($S28&lt;&gt;"",EDATE($D28,Milestones!$AA$125)&gt;=$S28),$V28,IF(AND($R28&lt;&gt;"",EDATE($D28,Milestones!$AA$125)&gt;=$R28),$U28,$T28)))=Milestones!$AB$125),TEXT(EDATE($D28,Milestones!$AA$125),"dd/mm/yy")&amp;" "&amp;Milestones!$AB$125&amp;" "&amp;Milestones!$AC$125&amp;";  ","")&amp;IF(AND(EDATE($D28,Milestones!$AA$126)&lt;=AsOfDate,IF($Q28=0,$W28,IF(AND($S28&lt;&gt;"",EDATE($D28,Milestones!$AA$126)&gt;=$S28),$V28,IF(AND($R28&lt;&gt;"",EDATE($D28,Milestones!$AA$126)&gt;=$R28),$U28,$T28)))=Milestones!$AB$126),TEXT(EDATE($D28,Milestones!$AA$126),"dd/mm/yy")&amp;" "&amp;Milestones!$AB$126&amp;" "&amp;Milestones!$AC$126&amp;";  ","")&amp;IF(AND(EDATE($D28,Milestones!$AA$127)&lt;=AsOfDate,IF($Q28=0,$W28,IF(AND($S28&lt;&gt;"",EDATE($D28,Milestones!$AA$127)&gt;=$S28),$V28,IF(AND($R28&lt;&gt;"",EDATE($D28,Milestones!$AA$127)&gt;=$R28),$U28,$T28)))=Milestones!$AB$127),TEXT(EDATE($D28,Milestones!$AA$127),"dd/mm/yy")&amp;" "&amp;Milestones!$AB$127&amp;" "&amp;Milestones!$AC$127&amp;";  ","")&amp;IF(AND(EDATE($D28,Milestones!$AA$128)&lt;=AsOfDate,IF($Q28=0,$W28,IF(AND($S28&lt;&gt;"",EDATE($D28,Milestones!$AA$128)&gt;=$S28),$V28,IF(AND($R28&lt;&gt;"",EDATE($D28,Milestones!$AA$128)&gt;=$R28),$U28,$T28)))=Milestones!$AB$128),TEXT(EDATE($D28,Milestones!$AA$128),"dd/mm/yy")&amp;" "&amp;Milestones!$AB$128&amp;" "&amp;Milestones!$AC$128&amp;";  ","")&amp;IF(AND(EDATE($D28,Milestones!$AA$129)&lt;=AsOfDate,IF($Q28=0,$W28,IF(AND($S28&lt;&gt;"",EDATE($D28,Milestones!$AA$129)&gt;=$S28),$V28,IF(AND($R28&lt;&gt;"",EDATE($D28,Milestones!$AA$129)&gt;=$R28),$U28,$T28)))=Milestones!$AB$129),TEXT(EDATE($D28,Milestones!$AA$129),"dd/mm/yy")&amp;" "&amp;Milestones!$AB$129&amp;" "&amp;Milestones!$AC$129&amp;";  ","")&amp;IF(AND(EDATE($D28,Milestones!$AA$130)&lt;=AsOfDate,IF($Q28=0,$W28,IF(AND($S28&lt;&gt;"",EDATE($D28,Milestones!$AA$130)&gt;=$S28),$V28,IF(AND($R28&lt;&gt;"",EDATE($D28,Milestones!$AA$130)&gt;=$R28),$U28,$T28)))=Milestones!$AB$130),TEXT(EDATE($D28,Milestones!$AA$130),"dd/mm/yy")&amp;" "&amp;Milestones!$AB$130&amp;" "&amp;Milestones!$AC$130&amp;";  ","")&amp;IF(AND(EDATE($D28,Milestones!$AA$131)&lt;=AsOfDate,IF($Q28=0,$W28,IF(AND($S28&lt;&gt;"",EDATE($D28,Milestones!$AA$131)&gt;=$S28),$V28,IF(AND($R28&lt;&gt;"",EDATE($D28,Milestones!$AA$131)&gt;=$R28),$U28,$T28)))=Milestones!$AB$131),TEXT(EDATE($D28,Milestones!$AA$131),"dd/mm/yy")&amp;" "&amp;Milestones!$AB$131&amp;" "&amp;Milestones!$AC$131&amp;";  ","")&amp;IF(AND(EDATE($D28,Milestones!$AA$132)&lt;=AsOfDate,IF($Q28=0,$W28,IF(AND($S28&lt;&gt;"",EDATE($D28,Milestones!$AA$132)&gt;=$S28),$V28,IF(AND($R28&lt;&gt;"",EDATE($D28,Milestones!$AA$132)&gt;=$R28),$U28,$T28)))=Milestones!$AB$132),TEXT(EDATE($D28,Milestones!$AA$132),"dd/mm/yy")&amp;" "&amp;Milestones!$AB$132&amp;" "&amp;Milestones!$AC$132&amp;";  ","")&amp;IF(AND(EDATE($D28,Milestones!$AA$133)&lt;=AsOfDate,IF($Q28=0,$W28,IF(AND($S28&lt;&gt;"",EDATE($D28,Milestones!$AA$133)&gt;=$S28),$V28,IF(AND($R28&lt;&gt;"",EDATE($D28,Milestones!$AA$133)&gt;=$R28),$U28,$T28)))=Milestones!$AB$133),TEXT(EDATE($D28,Milestones!$AA$133),"dd/mm/yy")&amp;" "&amp;Milestones!$AB$133&amp;" "&amp;Milestones!$AC$133&amp;";  ","")&amp;IF(AND(EDATE($D28,Milestones!$AA$134)&lt;=AsOfDate,IF($Q28=0,$W28,IF(AND($S28&lt;&gt;"",EDATE($D28,Milestones!$AA$134)&gt;=$S28),$V28,IF(AND($R28&lt;&gt;"",EDATE($D28,Milestones!$AA$134)&gt;=$R28),$U28,$T28)))=Milestones!$AB$134),TEXT(EDATE($D28,Milestones!$AA$134),"dd/mm/yy")&amp;" "&amp;Milestones!$AB$134&amp;" "&amp;Milestones!$AC$134&amp;";  ","")&amp;IF(AND(EDATE($D28,Milestones!$AA$135)&lt;=AsOfDate,IF($Q28=0,$W28,IF(AND($S28&lt;&gt;"",EDATE($D28,Milestones!$AA$135)&gt;=$S28),$V28,IF(AND($R28&lt;&gt;"",EDATE($D28,Milestones!$AA$135)&gt;=$R28),$U28,$T28)))=Milestones!$AB$135),TEXT(EDATE($D28,Milestones!$AA$135),"dd/mm/yy")&amp;" "&amp;Milestones!$AB$135&amp;" "&amp;Milestones!$AC$135&amp;";  ","")&amp;IF(AND(EDATE($D28,Milestones!$AA$136)&lt;=AsOfDate,IF($Q28=0,$W28,IF(AND($S28&lt;&gt;"",EDATE($D28,Milestones!$AA$136)&gt;=$S28),$V28,IF(AND($R28&lt;&gt;"",EDATE($D28,Milestones!$AA$136)&gt;=$R28),$U28,$T28)))=Milestones!$AB$136),TEXT(EDATE($D28,Milestones!$AA$136),"dd/mm/yy")&amp;" "&amp;Milestones!$AB$136&amp;" "&amp;Milestones!$AC$136&amp;";  ","")&amp;IF(AND(EDATE($D28,Milestones!$AA$137)&lt;=AsOfDate,IF($Q28=0,$W28,IF(AND($S28&lt;&gt;"",EDATE($D28,Milestones!$AA$137)&gt;=$S28),$V28,IF(AND($R28&lt;&gt;"",EDATE($D28,Milestones!$AA$137)&gt;=$R28),$U28,$T28)))=Milestones!$AB$137),TEXT(EDATE($D28,Milestones!$AA$137),"dd/mm/yy")&amp;" "&amp;Milestones!$AB$137&amp;" "&amp;Milestones!$AC$137&amp;";  ","")&amp;IF(AND(EDATE($D28,Milestones!$AA$138)&lt;=AsOfDate,IF($Q28=0,$W28,IF(AND($S28&lt;&gt;"",EDATE($D28,Milestones!$AA$138)&gt;=$S28),$V28,IF(AND($R28&lt;&gt;"",EDATE($D28,Milestones!$AA$138)&gt;=$R28),$U28,$T28)))=Milestones!$AB$138),TEXT(EDATE($D28,Milestones!$AA$138),"dd/mm/yy")&amp;" "&amp;Milestones!$AB$138&amp;" "&amp;Milestones!$AC$138&amp;";  ","")&amp;IF(AND(EDATE($D28,Milestones!$AA$139)&lt;=AsOfDate,IF($Q28=0,$W28,IF(AND($S28&lt;&gt;"",EDATE($D28,Milestones!$AA$139)&gt;=$S28),$V28,IF(AND($R28&lt;&gt;"",EDATE($D28,Milestones!$AA$139)&gt;=$R28),$U28,$T28)))=Milestones!$AB$139),TEXT(EDATE($D28,Milestones!$AA$139),"dd/mm/yy")&amp;" "&amp;Milestones!$AB$139&amp;" "&amp;Milestones!$AC$139&amp;";  ",""))</f>
        <v/>
      </c>
      <c r="N28" s="0" t="str">
        <f aca="false">IF(OR($A28="",$D28=""),"",IF(AND(EDATE($D28,Milestones!$AA$140)&lt;=AsOfDate,IF($Q28=0,$W28,IF(AND($S28&lt;&gt;"",EDATE($D28,Milestones!$AA$140)&gt;=$S28),$V28,IF(AND($R28&lt;&gt;"",EDATE($D28,Milestones!$AA$140)&gt;=$R28),$U28,$T28)))=Milestones!$AB$140),TEXT(EDATE($D28,Milestones!$AA$140),"dd/mm/yy")&amp;" "&amp;Milestones!$AB$140&amp;" "&amp;Milestones!$AC$140&amp;";  ","")&amp;IF(AND(EDATE($D28,Milestones!$AA$141)&lt;=AsOfDate,IF($Q28=0,$W28,IF(AND($S28&lt;&gt;"",EDATE($D28,Milestones!$AA$141)&gt;=$S28),$V28,IF(AND($R28&lt;&gt;"",EDATE($D28,Milestones!$AA$141)&gt;=$R28),$U28,$T28)))=Milestones!$AB$141),TEXT(EDATE($D28,Milestones!$AA$141),"dd/mm/yy")&amp;" "&amp;Milestones!$AB$141&amp;" "&amp;Milestones!$AC$141&amp;";  ","")&amp;IF(AND(EDATE($D28,Milestones!$AA$142)&lt;=AsOfDate,IF($Q28=0,$W28,IF(AND($S28&lt;&gt;"",EDATE($D28,Milestones!$AA$142)&gt;=$S28),$V28,IF(AND($R28&lt;&gt;"",EDATE($D28,Milestones!$AA$142)&gt;=$R28),$U28,$T28)))=Milestones!$AB$142),TEXT(EDATE($D28,Milestones!$AA$142),"dd/mm/yy")&amp;" "&amp;Milestones!$AB$142&amp;" "&amp;Milestones!$AC$142&amp;";  ","")&amp;IF(AND(EDATE($D28,Milestones!$AA$143)&lt;=AsOfDate,IF($Q28=0,$W28,IF(AND($S28&lt;&gt;"",EDATE($D28,Milestones!$AA$143)&gt;=$S28),$V28,IF(AND($R28&lt;&gt;"",EDATE($D28,Milestones!$AA$143)&gt;=$R28),$U28,$T28)))=Milestones!$AB$143),TEXT(EDATE($D28,Milestones!$AA$143),"dd/mm/yy")&amp;" "&amp;Milestones!$AB$143&amp;" "&amp;Milestones!$AC$143&amp;";  ","")&amp;IF(AND(EDATE($D28,Milestones!$AA$144)&lt;=AsOfDate,IF($Q28=0,$W28,IF(AND($S28&lt;&gt;"",EDATE($D28,Milestones!$AA$144)&gt;=$S28),$V28,IF(AND($R28&lt;&gt;"",EDATE($D28,Milestones!$AA$144)&gt;=$R28),$U28,$T28)))=Milestones!$AB$144),TEXT(EDATE($D28,Milestones!$AA$144),"dd/mm/yy")&amp;" "&amp;Milestones!$AB$144&amp;" "&amp;Milestones!$AC$144&amp;";  ","")&amp;IF(AND(EDATE($D28,Milestones!$AA$145)&lt;=AsOfDate,IF($Q28=0,$W28,IF(AND($S28&lt;&gt;"",EDATE($D28,Milestones!$AA$145)&gt;=$S28),$V28,IF(AND($R28&lt;&gt;"",EDATE($D28,Milestones!$AA$145)&gt;=$R28),$U28,$T28)))=Milestones!$AB$145),TEXT(EDATE($D28,Milestones!$AA$145),"dd/mm/yy")&amp;" "&amp;Milestones!$AB$145&amp;" "&amp;Milestones!$AC$145&amp;";  ","")&amp;IF(AND(EDATE($D28,Milestones!$AA$146)&lt;=AsOfDate,IF($Q28=0,$W28,IF(AND($S28&lt;&gt;"",EDATE($D28,Milestones!$AA$146)&gt;=$S28),$V28,IF(AND($R28&lt;&gt;"",EDATE($D28,Milestones!$AA$146)&gt;=$R28),$U28,$T28)))=Milestones!$AB$146),TEXT(EDATE($D28,Milestones!$AA$146),"dd/mm/yy")&amp;" "&amp;Milestones!$AB$146&amp;" "&amp;Milestones!$AC$146&amp;";  ","")&amp;IF(AND(EDATE($D28,Milestones!$AA$147)&lt;=AsOfDate,IF($Q28=0,$W28,IF(AND($S28&lt;&gt;"",EDATE($D28,Milestones!$AA$147)&gt;=$S28),$V28,IF(AND($R28&lt;&gt;"",EDATE($D28,Milestones!$AA$147)&gt;=$R28),$U28,$T28)))=Milestones!$AB$147),TEXT(EDATE($D28,Milestones!$AA$147),"dd/mm/yy")&amp;" "&amp;Milestones!$AB$147&amp;" "&amp;Milestones!$AC$147&amp;";  ","")&amp;IF(AND(EDATE($D28,Milestones!$AA$148)&lt;=AsOfDate,IF($Q28=0,$W28,IF(AND($S28&lt;&gt;"",EDATE($D28,Milestones!$AA$148)&gt;=$S28),$V28,IF(AND($R28&lt;&gt;"",EDATE($D28,Milestones!$AA$148)&gt;=$R28),$U28,$T28)))=Milestones!$AB$148),TEXT(EDATE($D28,Milestones!$AA$148),"dd/mm/yy")&amp;" "&amp;Milestones!$AB$148&amp;" "&amp;Milestones!$AC$148&amp;";  ","")&amp;IF(AND(EDATE($D28,Milestones!$AA$149)&lt;=AsOfDate,IF($Q28=0,$W28,IF(AND($S28&lt;&gt;"",EDATE($D28,Milestones!$AA$149)&gt;=$S28),$V28,IF(AND($R28&lt;&gt;"",EDATE($D28,Milestones!$AA$149)&gt;=$R28),$U28,$T28)))=Milestones!$AB$149),TEXT(EDATE($D28,Milestones!$AA$149),"dd/mm/yy")&amp;" "&amp;Milestones!$AB$149&amp;" "&amp;Milestones!$AC$149&amp;";  ","")&amp;IF(AND(EDATE($D28,Milestones!$AA$150)&lt;=AsOfDate,IF($Q28=0,$W28,IF(AND($S28&lt;&gt;"",EDATE($D28,Milestones!$AA$150)&gt;=$S28),$V28,IF(AND($R28&lt;&gt;"",EDATE($D28,Milestones!$AA$150)&gt;=$R28),$U28,$T28)))=Milestones!$AB$150),TEXT(EDATE($D28,Milestones!$AA$150),"dd/mm/yy")&amp;" "&amp;Milestones!$AB$150&amp;" "&amp;Milestones!$AC$150&amp;";  ","")&amp;IF(AND(EDATE($D28,Milestones!$AA$151)&lt;=AsOfDate,IF($Q28=0,$W28,IF(AND($S28&lt;&gt;"",EDATE($D28,Milestones!$AA$151)&gt;=$S28),$V28,IF(AND($R28&lt;&gt;"",EDATE($D28,Milestones!$AA$151)&gt;=$R28),$U28,$T28)))=Milestones!$AB$151),TEXT(EDATE($D28,Milestones!$AA$151),"dd/mm/yy")&amp;" "&amp;Milestones!$AB$151&amp;" "&amp;Milestones!$AC$151&amp;";  ","")&amp;IF(AND(EDATE($D28,Milestones!$AA$152)&lt;=AsOfDate,IF($Q28=0,$W28,IF(AND($S28&lt;&gt;"",EDATE($D28,Milestones!$AA$152)&gt;=$S28),$V28,IF(AND($R28&lt;&gt;"",EDATE($D28,Milestones!$AA$152)&gt;=$R28),$U28,$T28)))=Milestones!$AB$152),TEXT(EDATE($D28,Milestones!$AA$152),"dd/mm/yy")&amp;" "&amp;Milestones!$AB$152&amp;" "&amp;Milestones!$AC$152&amp;";  ","")&amp;IF(AND(EDATE($D28,Milestones!$AA$153)&lt;=AsOfDate,IF($Q28=0,$W28,IF(AND($S28&lt;&gt;"",EDATE($D28,Milestones!$AA$153)&gt;=$S28),$V28,IF(AND($R28&lt;&gt;"",EDATE($D28,Milestones!$AA$153)&gt;=$R28),$U28,$T28)))=Milestones!$AB$153),TEXT(EDATE($D28,Milestones!$AA$153),"dd/mm/yy")&amp;" "&amp;Milestones!$AB$153&amp;" "&amp;Milestones!$AC$153&amp;";  ","")&amp;IF(AND(EDATE($D28,Milestones!$AA$154)&lt;=AsOfDate,IF($Q28=0,$W28,IF(AND($S28&lt;&gt;"",EDATE($D28,Milestones!$AA$154)&gt;=$S28),$V28,IF(AND($R28&lt;&gt;"",EDATE($D28,Milestones!$AA$154)&gt;=$R28),$U28,$T28)))=Milestones!$AB$154),TEXT(EDATE($D28,Milestones!$AA$154),"dd/mm/yy")&amp;" "&amp;Milestones!$AB$154&amp;" "&amp;Milestones!$AC$154&amp;";  ","")&amp;IF(AND(EDATE($D28,Milestones!$AA$155)&lt;=AsOfDate,IF($Q28=0,$W28,IF(AND($S28&lt;&gt;"",EDATE($D28,Milestones!$AA$155)&gt;=$S28),$V28,IF(AND($R28&lt;&gt;"",EDATE($D28,Milestones!$AA$155)&gt;=$R28),$U28,$T28)))=Milestones!$AB$155),TEXT(EDATE($D28,Milestones!$AA$155),"dd/mm/yy")&amp;" "&amp;Milestones!$AB$155&amp;" "&amp;Milestones!$AC$155&amp;";  ","")&amp;IF(AND(EDATE($D28,Milestones!$AA$156)&lt;=AsOfDate,IF($Q28=0,$W28,IF(AND($S28&lt;&gt;"",EDATE($D28,Milestones!$AA$156)&gt;=$S28),$V28,IF(AND($R28&lt;&gt;"",EDATE($D28,Milestones!$AA$156)&gt;=$R28),$U28,$T28)))=Milestones!$AB$156),TEXT(EDATE($D28,Milestones!$AA$156),"dd/mm/yy")&amp;" "&amp;Milestones!$AB$156&amp;" "&amp;Milestones!$AC$156&amp;";  ","")&amp;IF(AND(EDATE($D28,Milestones!$AA$157)&lt;=AsOfDate,IF($Q28=0,$W28,IF(AND($S28&lt;&gt;"",EDATE($D28,Milestones!$AA$157)&gt;=$S28),$V28,IF(AND($R28&lt;&gt;"",EDATE($D28,Milestones!$AA$157)&gt;=$R28),$U28,$T28)))=Milestones!$AB$157),TEXT(EDATE($D28,Milestones!$AA$157),"dd/mm/yy")&amp;" "&amp;Milestones!$AB$157&amp;" "&amp;Milestones!$AC$157&amp;";  ","")&amp;IF(AND(EDATE($D28,Milestones!$AA$158)&lt;=AsOfDate,IF($Q28=0,$W28,IF(AND($S28&lt;&gt;"",EDATE($D28,Milestones!$AA$158)&gt;=$S28),$V28,IF(AND($R28&lt;&gt;"",EDATE($D28,Milestones!$AA$158)&gt;=$R28),$U28,$T28)))=Milestones!$AB$158),TEXT(EDATE($D28,Milestones!$AA$158),"dd/mm/yy")&amp;" "&amp;Milestones!$AB$158&amp;" "&amp;Milestones!$AC$158&amp;";  ","")&amp;IF(AND(EDATE($D28,Milestones!$AA$159)&lt;=AsOfDate,IF($Q28=0,$W28,IF(AND($S28&lt;&gt;"",EDATE($D28,Milestones!$AA$159)&gt;=$S28),$V28,IF(AND($R28&lt;&gt;"",EDATE($D28,Milestones!$AA$159)&gt;=$R28),$U28,$T28)))=Milestones!$AB$159),TEXT(EDATE($D28,Milestones!$AA$159),"dd/mm/yy")&amp;" "&amp;Milestones!$AB$159&amp;" "&amp;Milestones!$AC$159&amp;";  ",""))</f>
        <v/>
      </c>
      <c r="O28" s="0" t="str">
        <f aca="false">IF(OR($A28="",$D28=""),"",IF(AND(EDATE($D28,Milestones!$AA$160)&lt;=AsOfDate,IF($Q28=0,$W28,IF(AND($S28&lt;&gt;"",EDATE($D28,Milestones!$AA$160)&gt;=$S28),$V28,IF(AND($R28&lt;&gt;"",EDATE($D28,Milestones!$AA$160)&gt;=$R28),$U28,$T28)))=Milestones!$AB$160),TEXT(EDATE($D28,Milestones!$AA$160),"dd/mm/yy")&amp;" "&amp;Milestones!$AB$160&amp;" "&amp;Milestones!$AC$160&amp;";  ","")&amp;IF(AND(EDATE($D28,Milestones!$AA$161)&lt;=AsOfDate,IF($Q28=0,$W28,IF(AND($S28&lt;&gt;"",EDATE($D28,Milestones!$AA$161)&gt;=$S28),$V28,IF(AND($R28&lt;&gt;"",EDATE($D28,Milestones!$AA$161)&gt;=$R28),$U28,$T28)))=Milestones!$AB$161),TEXT(EDATE($D28,Milestones!$AA$161),"dd/mm/yy")&amp;" "&amp;Milestones!$AB$161&amp;" "&amp;Milestones!$AC$161&amp;";  ","")&amp;IF(AND(EDATE($D28,Milestones!$AA$162)&lt;=AsOfDate,IF($Q28=0,$W28,IF(AND($S28&lt;&gt;"",EDATE($D28,Milestones!$AA$162)&gt;=$S28),$V28,IF(AND($R28&lt;&gt;"",EDATE($D28,Milestones!$AA$162)&gt;=$R28),$U28,$T28)))=Milestones!$AB$162),TEXT(EDATE($D28,Milestones!$AA$162),"dd/mm/yy")&amp;" "&amp;Milestones!$AB$162&amp;" "&amp;Milestones!$AC$162&amp;";  ","")&amp;IF(AND(EDATE($D28,Milestones!$AA$163)&lt;=AsOfDate,IF($Q28=0,$W28,IF(AND($S28&lt;&gt;"",EDATE($D28,Milestones!$AA$163)&gt;=$S28),$V28,IF(AND($R28&lt;&gt;"",EDATE($D28,Milestones!$AA$163)&gt;=$R28),$U28,$T28)))=Milestones!$AB$163),TEXT(EDATE($D28,Milestones!$AA$163),"dd/mm/yy")&amp;" "&amp;Milestones!$AB$163&amp;" "&amp;Milestones!$AC$163&amp;";  ","")&amp;IF(AND(EDATE($D28,Milestones!$AA$164)&lt;=AsOfDate,IF($Q28=0,$W28,IF(AND($S28&lt;&gt;"",EDATE($D28,Milestones!$AA$164)&gt;=$S28),$V28,IF(AND($R28&lt;&gt;"",EDATE($D28,Milestones!$AA$164)&gt;=$R28),$U28,$T28)))=Milestones!$AB$164),TEXT(EDATE($D28,Milestones!$AA$164),"dd/mm/yy")&amp;" "&amp;Milestones!$AB$164&amp;" "&amp;Milestones!$AC$164&amp;";  ","")&amp;IF(AND(EDATE($D28,Milestones!$AA$165)&lt;=AsOfDate,IF($Q28=0,$W28,IF(AND($S28&lt;&gt;"",EDATE($D28,Milestones!$AA$165)&gt;=$S28),$V28,IF(AND($R28&lt;&gt;"",EDATE($D28,Milestones!$AA$165)&gt;=$R28),$U28,$T28)))=Milestones!$AB$165),TEXT(EDATE($D28,Milestones!$AA$165),"dd/mm/yy")&amp;" "&amp;Milestones!$AB$165&amp;" "&amp;Milestones!$AC$165&amp;";  ","")&amp;IF(AND(EDATE($D28,Milestones!$AA$166)&lt;=AsOfDate,IF($Q28=0,$W28,IF(AND($S28&lt;&gt;"",EDATE($D28,Milestones!$AA$166)&gt;=$S28),$V28,IF(AND($R28&lt;&gt;"",EDATE($D28,Milestones!$AA$166)&gt;=$R28),$U28,$T28)))=Milestones!$AB$166),TEXT(EDATE($D28,Milestones!$AA$166),"dd/mm/yy")&amp;" "&amp;Milestones!$AB$166&amp;" "&amp;Milestones!$AC$166&amp;";  ","")&amp;IF(AND(EDATE($D28,Milestones!$AA$167)&lt;=AsOfDate,IF($Q28=0,$W28,IF(AND($S28&lt;&gt;"",EDATE($D28,Milestones!$AA$167)&gt;=$S28),$V28,IF(AND($R28&lt;&gt;"",EDATE($D28,Milestones!$AA$167)&gt;=$R28),$U28,$T28)))=Milestones!$AB$167),TEXT(EDATE($D28,Milestones!$AA$167),"dd/mm/yy")&amp;" "&amp;Milestones!$AB$167&amp;" "&amp;Milestones!$AC$167&amp;";  ","")&amp;IF(AND(EDATE($D28,Milestones!$AA$168)&lt;=AsOfDate,IF($Q28=0,$W28,IF(AND($S28&lt;&gt;"",EDATE($D28,Milestones!$AA$168)&gt;=$S28),$V28,IF(AND($R28&lt;&gt;"",EDATE($D28,Milestones!$AA$168)&gt;=$R28),$U28,$T28)))=Milestones!$AB$168),TEXT(EDATE($D28,Milestones!$AA$168),"dd/mm/yy")&amp;" "&amp;Milestones!$AB$168&amp;" "&amp;Milestones!$AC$168&amp;";  ","")&amp;IF(AND(EDATE($D28,Milestones!$AA$169)&lt;=AsOfDate,IF($Q28=0,$W28,IF(AND($S28&lt;&gt;"",EDATE($D28,Milestones!$AA$169)&gt;=$S28),$V28,IF(AND($R28&lt;&gt;"",EDATE($D28,Milestones!$AA$169)&gt;=$R28),$U28,$T28)))=Milestones!$AB$169),TEXT(EDATE($D28,Milestones!$AA$169),"dd/mm/yy")&amp;" "&amp;Milestones!$AB$169&amp;" "&amp;Milestones!$AC$169&amp;";  ","")&amp;IF(AND(EDATE($D28,Milestones!$AA$170)&lt;=AsOfDate,IF($Q28=0,$W28,IF(AND($S28&lt;&gt;"",EDATE($D28,Milestones!$AA$170)&gt;=$S28),$V28,IF(AND($R28&lt;&gt;"",EDATE($D28,Milestones!$AA$170)&gt;=$R28),$U28,$T28)))=Milestones!$AB$170),TEXT(EDATE($D28,Milestones!$AA$170),"dd/mm/yy")&amp;" "&amp;Milestones!$AB$170&amp;" "&amp;Milestones!$AC$170&amp;";  ","")&amp;IF(AND(EDATE($D28,Milestones!$AA$171)&lt;=AsOfDate,IF($Q28=0,$W28,IF(AND($S28&lt;&gt;"",EDATE($D28,Milestones!$AA$171)&gt;=$S28),$V28,IF(AND($R28&lt;&gt;"",EDATE($D28,Milestones!$AA$171)&gt;=$R28),$U28,$T28)))=Milestones!$AB$171),TEXT(EDATE($D28,Milestones!$AA$171),"dd/mm/yy")&amp;" "&amp;Milestones!$AB$171&amp;" "&amp;Milestones!$AC$171&amp;";  ","")&amp;IF(AND(EDATE($D28,Milestones!$AA$172)&lt;=AsOfDate,IF($Q28=0,$W28,IF(AND($S28&lt;&gt;"",EDATE($D28,Milestones!$AA$172)&gt;=$S28),$V28,IF(AND($R28&lt;&gt;"",EDATE($D28,Milestones!$AA$172)&gt;=$R28),$U28,$T28)))=Milestones!$AB$172),TEXT(EDATE($D28,Milestones!$AA$172),"dd/mm/yy")&amp;" "&amp;Milestones!$AB$172&amp;" "&amp;Milestones!$AC$172&amp;";  ","")&amp;IF(AND(EDATE($D28,Milestones!$AA$173)&lt;=AsOfDate,IF($Q28=0,$W28,IF(AND($S28&lt;&gt;"",EDATE($D28,Milestones!$AA$173)&gt;=$S28),$V28,IF(AND($R28&lt;&gt;"",EDATE($D28,Milestones!$AA$173)&gt;=$R28),$U28,$T28)))=Milestones!$AB$173),TEXT(EDATE($D28,Milestones!$AA$173),"dd/mm/yy")&amp;" "&amp;Milestones!$AB$173&amp;" "&amp;Milestones!$AC$173&amp;";  ","")&amp;IF(AND(EDATE($D28,Milestones!$AA$174)&lt;=AsOfDate,IF($Q28=0,$W28,IF(AND($S28&lt;&gt;"",EDATE($D28,Milestones!$AA$174)&gt;=$S28),$V28,IF(AND($R28&lt;&gt;"",EDATE($D28,Milestones!$AA$174)&gt;=$R28),$U28,$T28)))=Milestones!$AB$174),TEXT(EDATE($D28,Milestones!$AA$174),"dd/mm/yy")&amp;" "&amp;Milestones!$AB$174&amp;" "&amp;Milestones!$AC$174&amp;";  ","")&amp;IF(AND(EDATE($D28,Milestones!$AA$175)&lt;=AsOfDate,IF($Q28=0,$W28,IF(AND($S28&lt;&gt;"",EDATE($D28,Milestones!$AA$175)&gt;=$S28),$V28,IF(AND($R28&lt;&gt;"",EDATE($D28,Milestones!$AA$175)&gt;=$R28),$U28,$T28)))=Milestones!$AB$175),TEXT(EDATE($D28,Milestones!$AA$175),"dd/mm/yy")&amp;" "&amp;Milestones!$AB$175&amp;" "&amp;Milestones!$AC$175&amp;";  ","")&amp;IF(AND(EDATE($D28,Milestones!$AA$176)&lt;=AsOfDate,IF($Q28=0,$W28,IF(AND($S28&lt;&gt;"",EDATE($D28,Milestones!$AA$176)&gt;=$S28),$V28,IF(AND($R28&lt;&gt;"",EDATE($D28,Milestones!$AA$176)&gt;=$R28),$U28,$T28)))=Milestones!$AB$176),TEXT(EDATE($D28,Milestones!$AA$176),"dd/mm/yy")&amp;" "&amp;Milestones!$AB$176&amp;" "&amp;Milestones!$AC$176&amp;";  ","")&amp;IF(AND(EDATE($D28,Milestones!$AA$177)&lt;=AsOfDate,IF($Q28=0,$W28,IF(AND($S28&lt;&gt;"",EDATE($D28,Milestones!$AA$177)&gt;=$S28),$V28,IF(AND($R28&lt;&gt;"",EDATE($D28,Milestones!$AA$177)&gt;=$R28),$U28,$T28)))=Milestones!$AB$177),TEXT(EDATE($D28,Milestones!$AA$177),"dd/mm/yy")&amp;" "&amp;Milestones!$AB$177&amp;" "&amp;Milestones!$AC$177&amp;";  ","")&amp;IF(AND(EDATE($D28,Milestones!$AA$178)&lt;=AsOfDate,IF($Q28=0,$W28,IF(AND($S28&lt;&gt;"",EDATE($D28,Milestones!$AA$178)&gt;=$S28),$V28,IF(AND($R28&lt;&gt;"",EDATE($D28,Milestones!$AA$178)&gt;=$R28),$U28,$T28)))=Milestones!$AB$178),TEXT(EDATE($D28,Milestones!$AA$178),"dd/mm/yy")&amp;" "&amp;Milestones!$AB$178&amp;" "&amp;Milestones!$AC$178&amp;";  ","")&amp;IF(AND(EDATE($D28,Milestones!$AA$179)&lt;=AsOfDate,IF($Q28=0,$W28,IF(AND($S28&lt;&gt;"",EDATE($D28,Milestones!$AA$179)&gt;=$S28),$V28,IF(AND($R28&lt;&gt;"",EDATE($D28,Milestones!$AA$179)&gt;=$R28),$U28,$T28)))=Milestones!$AB$179),TEXT(EDATE($D28,Milestones!$AA$179),"dd/mm/yy")&amp;" "&amp;Milestones!$AB$179&amp;" "&amp;Milestones!$AC$179&amp;";  ",""))</f>
        <v/>
      </c>
      <c r="P28" s="0" t="str">
        <f aca="false">IF(OR($A28="",$D28=""),"",IF(AND(EDATE($D28,Milestones!$AA$180)&lt;=AsOfDate,IF($Q28=0,$W28,IF(AND($S28&lt;&gt;"",EDATE($D28,Milestones!$AA$180)&gt;=$S28),$V28,IF(AND($R28&lt;&gt;"",EDATE($D28,Milestones!$AA$180)&gt;=$R28),$U28,$T28)))=Milestones!$AB$180),TEXT(EDATE($D28,Milestones!$AA$180),"dd/mm/yy")&amp;" "&amp;Milestones!$AB$180&amp;" "&amp;Milestones!$AC$180&amp;";  ","")&amp;IF(AND(EDATE($D28,Milestones!$AA$181)&lt;=AsOfDate,IF($Q28=0,$W28,IF(AND($S28&lt;&gt;"",EDATE($D28,Milestones!$AA$181)&gt;=$S28),$V28,IF(AND($R28&lt;&gt;"",EDATE($D28,Milestones!$AA$181)&gt;=$R28),$U28,$T28)))=Milestones!$AB$181),TEXT(EDATE($D28,Milestones!$AA$181),"dd/mm/yy")&amp;" "&amp;Milestones!$AB$181&amp;" "&amp;Milestones!$AC$181&amp;";  ","")&amp;IF(AND(EDATE($D28,Milestones!$AA$182)&lt;=AsOfDate,IF($Q28=0,$W28,IF(AND($S28&lt;&gt;"",EDATE($D28,Milestones!$AA$182)&gt;=$S28),$V28,IF(AND($R28&lt;&gt;"",EDATE($D28,Milestones!$AA$182)&gt;=$R28),$U28,$T28)))=Milestones!$AB$182),TEXT(EDATE($D28,Milestones!$AA$182),"dd/mm/yy")&amp;" "&amp;Milestones!$AB$182&amp;" "&amp;Milestones!$AC$182&amp;";  ","")&amp;IF(AND(EDATE($D28,Milestones!$AA$183)&lt;=AsOfDate,IF($Q28=0,$W28,IF(AND($S28&lt;&gt;"",EDATE($D28,Milestones!$AA$183)&gt;=$S28),$V28,IF(AND($R28&lt;&gt;"",EDATE($D28,Milestones!$AA$183)&gt;=$R28),$U28,$T28)))=Milestones!$AB$183),TEXT(EDATE($D28,Milestones!$AA$183),"dd/mm/yy")&amp;" "&amp;Milestones!$AB$183&amp;" "&amp;Milestones!$AC$183&amp;";  ","")&amp;IF(AND(EDATE($D28,Milestones!$AA$184)&lt;=AsOfDate,IF($Q28=0,$W28,IF(AND($S28&lt;&gt;"",EDATE($D28,Milestones!$AA$184)&gt;=$S28),$V28,IF(AND($R28&lt;&gt;"",EDATE($D28,Milestones!$AA$184)&gt;=$R28),$U28,$T28)))=Milestones!$AB$184),TEXT(EDATE($D28,Milestones!$AA$184),"dd/mm/yy")&amp;" "&amp;Milestones!$AB$184&amp;" "&amp;Milestones!$AC$184&amp;";  ","")&amp;IF(AND(EDATE($D28,Milestones!$AA$185)&lt;=AsOfDate,IF($Q28=0,$W28,IF(AND($S28&lt;&gt;"",EDATE($D28,Milestones!$AA$185)&gt;=$S28),$V28,IF(AND($R28&lt;&gt;"",EDATE($D28,Milestones!$AA$185)&gt;=$R28),$U28,$T28)))=Milestones!$AB$185),TEXT(EDATE($D28,Milestones!$AA$185),"dd/mm/yy")&amp;" "&amp;Milestones!$AB$185&amp;" "&amp;Milestones!$AC$185&amp;";  ","")&amp;IF(AND(EDATE($D28,Milestones!$AA$186)&lt;=AsOfDate,IF($Q28=0,$W28,IF(AND($S28&lt;&gt;"",EDATE($D28,Milestones!$AA$186)&gt;=$S28),$V28,IF(AND($R28&lt;&gt;"",EDATE($D28,Milestones!$AA$186)&gt;=$R28),$U28,$T28)))=Milestones!$AB$186),TEXT(EDATE($D28,Milestones!$AA$186),"dd/mm/yy")&amp;" "&amp;Milestones!$AB$186&amp;" "&amp;Milestones!$AC$186&amp;";  ","")&amp;IF(AND(EDATE($D28,Milestones!$AA$187)&lt;=AsOfDate,IF($Q28=0,$W28,IF(AND($S28&lt;&gt;"",EDATE($D28,Milestones!$AA$187)&gt;=$S28),$V28,IF(AND($R28&lt;&gt;"",EDATE($D28,Milestones!$AA$187)&gt;=$R28),$U28,$T28)))=Milestones!$AB$187),TEXT(EDATE($D28,Milestones!$AA$187),"dd/mm/yy")&amp;" "&amp;Milestones!$AB$187&amp;" "&amp;Milestones!$AC$187&amp;";  ","")&amp;IF(AND(EDATE($D28,Milestones!$AA$188)&lt;=AsOfDate,IF($Q28=0,$W28,IF(AND($S28&lt;&gt;"",EDATE($D28,Milestones!$AA$188)&gt;=$S28),$V28,IF(AND($R28&lt;&gt;"",EDATE($D28,Milestones!$AA$188)&gt;=$R28),$U28,$T28)))=Milestones!$AB$188),TEXT(EDATE($D28,Milestones!$AA$188),"dd/mm/yy")&amp;" "&amp;Milestones!$AB$188&amp;" "&amp;Milestones!$AC$188&amp;";  ","")&amp;IF(AND(EDATE($D28,Milestones!$AA$189)&lt;=AsOfDate,IF($Q28=0,$W28,IF(AND($S28&lt;&gt;"",EDATE($D28,Milestones!$AA$189)&gt;=$S28),$V28,IF(AND($R28&lt;&gt;"",EDATE($D28,Milestones!$AA$189)&gt;=$R28),$U28,$T28)))=Milestones!$AB$189),TEXT(EDATE($D28,Milestones!$AA$189),"dd/mm/yy")&amp;" "&amp;Milestones!$AB$189&amp;" "&amp;Milestones!$AC$189&amp;";  ","")&amp;IF(AND(EDATE($D28,Milestones!$AA$190)&lt;=AsOfDate,IF($Q28=0,$W28,IF(AND($S28&lt;&gt;"",EDATE($D28,Milestones!$AA$190)&gt;=$S28),$V28,IF(AND($R28&lt;&gt;"",EDATE($D28,Milestones!$AA$190)&gt;=$R28),$U28,$T28)))=Milestones!$AB$190),TEXT(EDATE($D28,Milestones!$AA$190),"dd/mm/yy")&amp;" "&amp;Milestones!$AB$190&amp;" "&amp;Milestones!$AC$190&amp;";  ","")&amp;IF(AND(EDATE($D28,Milestones!$AA$191)&lt;=AsOfDate,IF($Q28=0,$W28,IF(AND($S28&lt;&gt;"",EDATE($D28,Milestones!$AA$191)&gt;=$S28),$V28,IF(AND($R28&lt;&gt;"",EDATE($D28,Milestones!$AA$191)&gt;=$R28),$U28,$T28)))=Milestones!$AB$191),TEXT(EDATE($D28,Milestones!$AA$191),"dd/mm/yy")&amp;" "&amp;Milestones!$AB$191&amp;" "&amp;Milestones!$AC$191&amp;";  ","")&amp;IF(AND(EDATE($D28,Milestones!$AA$192)&lt;=AsOfDate,IF($Q28=0,$W28,IF(AND($S28&lt;&gt;"",EDATE($D28,Milestones!$AA$192)&gt;=$S28),$V28,IF(AND($R28&lt;&gt;"",EDATE($D28,Milestones!$AA$192)&gt;=$R28),$U28,$T28)))=Milestones!$AB$192),TEXT(EDATE($D28,Milestones!$AA$192),"dd/mm/yy")&amp;" "&amp;Milestones!$AB$192&amp;" "&amp;Milestones!$AC$192&amp;";  ","")&amp;IF(AND(EDATE($D28,Milestones!$AA$193)&lt;=AsOfDate,IF($Q28=0,$W28,IF(AND($S28&lt;&gt;"",EDATE($D28,Milestones!$AA$193)&gt;=$S28),$V28,IF(AND($R28&lt;&gt;"",EDATE($D28,Milestones!$AA$193)&gt;=$R28),$U28,$T28)))=Milestones!$AB$193),TEXT(EDATE($D28,Milestones!$AA$193),"dd/mm/yy")&amp;" "&amp;Milestones!$AB$193&amp;" "&amp;Milestones!$AC$193&amp;";  ","")&amp;IF(AND(EDATE($D28,Milestones!$AA$194)&lt;=AsOfDate,IF($Q28=0,$W28,IF(AND($S28&lt;&gt;"",EDATE($D28,Milestones!$AA$194)&gt;=$S28),$V28,IF(AND($R28&lt;&gt;"",EDATE($D28,Milestones!$AA$194)&gt;=$R28),$U28,$T28)))=Milestones!$AB$194),TEXT(EDATE($D28,Milestones!$AA$194),"dd/mm/yy")&amp;" "&amp;Milestones!$AB$194&amp;" "&amp;Milestones!$AC$194&amp;";  ","")&amp;IF(AND(EDATE($D28,Milestones!$AA$195)&lt;=AsOfDate,IF($Q28=0,$W28,IF(AND($S28&lt;&gt;"",EDATE($D28,Milestones!$AA$195)&gt;=$S28),$V28,IF(AND($R28&lt;&gt;"",EDATE($D28,Milestones!$AA$195)&gt;=$R28),$U28,$T28)))=Milestones!$AB$195),TEXT(EDATE($D28,Milestones!$AA$195),"dd/mm/yy")&amp;" "&amp;Milestones!$AB$195&amp;" "&amp;Milestones!$AC$195&amp;";  ","")&amp;IF(AND(EDATE($D28,Milestones!$AA$196)&lt;=AsOfDate,IF($Q28=0,$W28,IF(AND($S28&lt;&gt;"",EDATE($D28,Milestones!$AA$196)&gt;=$S28),$V28,IF(AND($R28&lt;&gt;"",EDATE($D28,Milestones!$AA$196)&gt;=$R28),$U28,$T28)))=Milestones!$AB$196),TEXT(EDATE($D28,Milestones!$AA$196),"dd/mm/yy")&amp;" "&amp;Milestones!$AB$196&amp;" "&amp;Milestones!$AC$196&amp;";  ","")&amp;IF(AND(EDATE($D28,Milestones!$AA$197)&lt;=AsOfDate,IF($Q28=0,$W28,IF(AND($S28&lt;&gt;"",EDATE($D28,Milestones!$AA$197)&gt;=$S28),$V28,IF(AND($R28&lt;&gt;"",EDATE($D28,Milestones!$AA$197)&gt;=$R28),$U28,$T28)))=Milestones!$AB$197),TEXT(EDATE($D28,Milestones!$AA$197),"dd/mm/yy")&amp;" "&amp;Milestones!$AB$197&amp;" "&amp;Milestones!$AC$197&amp;";  ","")&amp;IF(AND(EDATE($D28,Milestones!$AA$198)&lt;=AsOfDate,IF($Q28=0,$W28,IF(AND($S28&lt;&gt;"",EDATE($D28,Milestones!$AA$198)&gt;=$S28),$V28,IF(AND($R28&lt;&gt;"",EDATE($D28,Milestones!$AA$198)&gt;=$R28),$U28,$T28)))=Milestones!$AB$198),TEXT(EDATE($D28,Milestones!$AA$198),"dd/mm/yy")&amp;" "&amp;Milestones!$AB$198&amp;" "&amp;Milestones!$AC$198&amp;";  ","")&amp;IF(AND(EDATE($D28,Milestones!$AA$199)&lt;=AsOfDate,IF($Q28=0,$W28,IF(AND($S28&lt;&gt;"",EDATE($D28,Milestones!$AA$199)&gt;=$S28),$V28,IF(AND($R28&lt;&gt;"",EDATE($D28,Milestones!$AA$199)&gt;=$R28),$U28,$T28)))=Milestones!$AB$199),TEXT(EDATE($D28,Milestones!$AA$199),"dd/mm/yy")&amp;" "&amp;Milestones!$AB$199&amp;" "&amp;Milestones!$AC$199&amp;";  ",""))</f>
        <v/>
      </c>
      <c r="Q28" s="0" t="str">
        <f aca="false">IF(Staff!$A28="","",Staff!$AG28)</f>
        <v/>
      </c>
      <c r="R28" s="0" t="str">
        <f aca="false">IF(Staff!$A28="","",Staff!$AI28)</f>
        <v/>
      </c>
      <c r="S28" s="0" t="str">
        <f aca="false">IF(Staff!$A28="","",Staff!$AJ28)</f>
        <v/>
      </c>
      <c r="T28" s="0" t="str">
        <f aca="false">IF(Staff!$A28="","",Staff!$AN28)</f>
        <v/>
      </c>
      <c r="U28" s="0" t="str">
        <f aca="false">IF(Staff!$A28="","",Staff!$AO28)</f>
        <v/>
      </c>
      <c r="V28" s="0" t="str">
        <f aca="false">IF(Staff!$A28="","",Staff!$AP28)</f>
        <v/>
      </c>
      <c r="W28" s="0" t="str">
        <f aca="false">IF(Staff!$A28="","",Staff!$AQ28)</f>
        <v/>
      </c>
    </row>
    <row r="29" customFormat="false" ht="15" hidden="false" customHeight="false" outlineLevel="0" collapsed="false">
      <c r="A29" s="13" t="str">
        <f aca="false">IF(Staff!$A29="","",Staff!$A29)</f>
        <v/>
      </c>
      <c r="B29" s="13" t="str">
        <f aca="false">IF(Staff!$A29="","",Staff!$B29)</f>
        <v/>
      </c>
      <c r="C29" s="13" t="str">
        <f aca="false">IF(Staff!$A29="","",Staff!$C29)</f>
        <v/>
      </c>
      <c r="D29" s="11" t="str">
        <f aca="false">IF(Staff!$A29="","",Staff!$AF29)</f>
        <v/>
      </c>
      <c r="E29" s="13" t="str">
        <f aca="false">IF(Staff!$A29="","",Staff!$O29)</f>
        <v/>
      </c>
      <c r="F29" s="13" t="str">
        <f aca="false">IF(E29="","",E29*HoursPerDay)</f>
        <v/>
      </c>
      <c r="G29" s="26" t="str">
        <f aca="false">IF($A29="","",H29&amp;I29&amp;J29&amp;K29&amp;L29&amp;M29&amp;N29&amp;O29&amp;P29)</f>
        <v/>
      </c>
      <c r="H29" s="0" t="str">
        <f aca="false">IF(OR($A29="",$D29=""),"",IF(AND(EDATE($D29,Milestones!$AA$20)&lt;=AsOfDate,IF($Q29=0,$W29,IF(AND($S29&lt;&gt;"",EDATE($D29,Milestones!$AA$20)&gt;=$S29),$V29,IF(AND($R29&lt;&gt;"",EDATE($D29,Milestones!$AA$20)&gt;=$R29),$U29,$T29)))=Milestones!$AB$20),TEXT(EDATE($D29,Milestones!$AA$20),"dd/mm/yy")&amp;" "&amp;Milestones!$AB$20&amp;" "&amp;Milestones!$AC$20&amp;";  ","")&amp;IF(AND(EDATE($D29,Milestones!$AA$21)&lt;=AsOfDate,IF($Q29=0,$W29,IF(AND($S29&lt;&gt;"",EDATE($D29,Milestones!$AA$21)&gt;=$S29),$V29,IF(AND($R29&lt;&gt;"",EDATE($D29,Milestones!$AA$21)&gt;=$R29),$U29,$T29)))=Milestones!$AB$21),TEXT(EDATE($D29,Milestones!$AA$21),"dd/mm/yy")&amp;" "&amp;Milestones!$AB$21&amp;" "&amp;Milestones!$AC$21&amp;";  ","")&amp;IF(AND(EDATE($D29,Milestones!$AA$22)&lt;=AsOfDate,IF($Q29=0,$W29,IF(AND($S29&lt;&gt;"",EDATE($D29,Milestones!$AA$22)&gt;=$S29),$V29,IF(AND($R29&lt;&gt;"",EDATE($D29,Milestones!$AA$22)&gt;=$R29),$U29,$T29)))=Milestones!$AB$22),TEXT(EDATE($D29,Milestones!$AA$22),"dd/mm/yy")&amp;" "&amp;Milestones!$AB$22&amp;" "&amp;Milestones!$AC$22&amp;";  ","")&amp;IF(AND(EDATE($D29,Milestones!$AA$23)&lt;=AsOfDate,IF($Q29=0,$W29,IF(AND($S29&lt;&gt;"",EDATE($D29,Milestones!$AA$23)&gt;=$S29),$V29,IF(AND($R29&lt;&gt;"",EDATE($D29,Milestones!$AA$23)&gt;=$R29),$U29,$T29)))=Milestones!$AB$23),TEXT(EDATE($D29,Milestones!$AA$23),"dd/mm/yy")&amp;" "&amp;Milestones!$AB$23&amp;" "&amp;Milestones!$AC$23&amp;";  ","")&amp;IF(AND(EDATE($D29,Milestones!$AA$24)&lt;=AsOfDate,IF($Q29=0,$W29,IF(AND($S29&lt;&gt;"",EDATE($D29,Milestones!$AA$24)&gt;=$S29),$V29,IF(AND($R29&lt;&gt;"",EDATE($D29,Milestones!$AA$24)&gt;=$R29),$U29,$T29)))=Milestones!$AB$24),TEXT(EDATE($D29,Milestones!$AA$24),"dd/mm/yy")&amp;" "&amp;Milestones!$AB$24&amp;" "&amp;Milestones!$AC$24&amp;";  ","")&amp;IF(AND(EDATE($D29,Milestones!$AA$25)&lt;=AsOfDate,IF($Q29=0,$W29,IF(AND($S29&lt;&gt;"",EDATE($D29,Milestones!$AA$25)&gt;=$S29),$V29,IF(AND($R29&lt;&gt;"",EDATE($D29,Milestones!$AA$25)&gt;=$R29),$U29,$T29)))=Milestones!$AB$25),TEXT(EDATE($D29,Milestones!$AA$25),"dd/mm/yy")&amp;" "&amp;Milestones!$AB$25&amp;" "&amp;Milestones!$AC$25&amp;";  ","")&amp;IF(AND(EDATE($D29,Milestones!$AA$26)&lt;=AsOfDate,IF($Q29=0,$W29,IF(AND($S29&lt;&gt;"",EDATE($D29,Milestones!$AA$26)&gt;=$S29),$V29,IF(AND($R29&lt;&gt;"",EDATE($D29,Milestones!$AA$26)&gt;=$R29),$U29,$T29)))=Milestones!$AB$26),TEXT(EDATE($D29,Milestones!$AA$26),"dd/mm/yy")&amp;" "&amp;Milestones!$AB$26&amp;" "&amp;Milestones!$AC$26&amp;";  ","")&amp;IF(AND(EDATE($D29,Milestones!$AA$27)&lt;=AsOfDate,IF($Q29=0,$W29,IF(AND($S29&lt;&gt;"",EDATE($D29,Milestones!$AA$27)&gt;=$S29),$V29,IF(AND($R29&lt;&gt;"",EDATE($D29,Milestones!$AA$27)&gt;=$R29),$U29,$T29)))=Milestones!$AB$27),TEXT(EDATE($D29,Milestones!$AA$27),"dd/mm/yy")&amp;" "&amp;Milestones!$AB$27&amp;" "&amp;Milestones!$AC$27&amp;";  ","")&amp;IF(AND(EDATE($D29,Milestones!$AA$28)&lt;=AsOfDate,IF($Q29=0,$W29,IF(AND($S29&lt;&gt;"",EDATE($D29,Milestones!$AA$28)&gt;=$S29),$V29,IF(AND($R29&lt;&gt;"",EDATE($D29,Milestones!$AA$28)&gt;=$R29),$U29,$T29)))=Milestones!$AB$28),TEXT(EDATE($D29,Milestones!$AA$28),"dd/mm/yy")&amp;" "&amp;Milestones!$AB$28&amp;" "&amp;Milestones!$AC$28&amp;";  ","")&amp;IF(AND(EDATE($D29,Milestones!$AA$29)&lt;=AsOfDate,IF($Q29=0,$W29,IF(AND($S29&lt;&gt;"",EDATE($D29,Milestones!$AA$29)&gt;=$S29),$V29,IF(AND($R29&lt;&gt;"",EDATE($D29,Milestones!$AA$29)&gt;=$R29),$U29,$T29)))=Milestones!$AB$29),TEXT(EDATE($D29,Milestones!$AA$29),"dd/mm/yy")&amp;" "&amp;Milestones!$AB$29&amp;" "&amp;Milestones!$AC$29&amp;";  ","")&amp;IF(AND(EDATE($D29,Milestones!$AA$30)&lt;=AsOfDate,IF($Q29=0,$W29,IF(AND($S29&lt;&gt;"",EDATE($D29,Milestones!$AA$30)&gt;=$S29),$V29,IF(AND($R29&lt;&gt;"",EDATE($D29,Milestones!$AA$30)&gt;=$R29),$U29,$T29)))=Milestones!$AB$30),TEXT(EDATE($D29,Milestones!$AA$30),"dd/mm/yy")&amp;" "&amp;Milestones!$AB$30&amp;" "&amp;Milestones!$AC$30&amp;";  ","")&amp;IF(AND(EDATE($D29,Milestones!$AA$31)&lt;=AsOfDate,IF($Q29=0,$W29,IF(AND($S29&lt;&gt;"",EDATE($D29,Milestones!$AA$31)&gt;=$S29),$V29,IF(AND($R29&lt;&gt;"",EDATE($D29,Milestones!$AA$31)&gt;=$R29),$U29,$T29)))=Milestones!$AB$31),TEXT(EDATE($D29,Milestones!$AA$31),"dd/mm/yy")&amp;" "&amp;Milestones!$AB$31&amp;" "&amp;Milestones!$AC$31&amp;";  ","")&amp;IF(AND(EDATE($D29,Milestones!$AA$32)&lt;=AsOfDate,IF($Q29=0,$W29,IF(AND($S29&lt;&gt;"",EDATE($D29,Milestones!$AA$32)&gt;=$S29),$V29,IF(AND($R29&lt;&gt;"",EDATE($D29,Milestones!$AA$32)&gt;=$R29),$U29,$T29)))=Milestones!$AB$32),TEXT(EDATE($D29,Milestones!$AA$32),"dd/mm/yy")&amp;" "&amp;Milestones!$AB$32&amp;" "&amp;Milestones!$AC$32&amp;";  ","")&amp;IF(AND(EDATE($D29,Milestones!$AA$33)&lt;=AsOfDate,IF($Q29=0,$W29,IF(AND($S29&lt;&gt;"",EDATE($D29,Milestones!$AA$33)&gt;=$S29),$V29,IF(AND($R29&lt;&gt;"",EDATE($D29,Milestones!$AA$33)&gt;=$R29),$U29,$T29)))=Milestones!$AB$33),TEXT(EDATE($D29,Milestones!$AA$33),"dd/mm/yy")&amp;" "&amp;Milestones!$AB$33&amp;" "&amp;Milestones!$AC$33&amp;";  ","")&amp;IF(AND(EDATE($D29,Milestones!$AA$34)&lt;=AsOfDate,IF($Q29=0,$W29,IF(AND($S29&lt;&gt;"",EDATE($D29,Milestones!$AA$34)&gt;=$S29),$V29,IF(AND($R29&lt;&gt;"",EDATE($D29,Milestones!$AA$34)&gt;=$R29),$U29,$T29)))=Milestones!$AB$34),TEXT(EDATE($D29,Milestones!$AA$34),"dd/mm/yy")&amp;" "&amp;Milestones!$AB$34&amp;" "&amp;Milestones!$AC$34&amp;";  ","")&amp;IF(AND(EDATE($D29,Milestones!$AA$35)&lt;=AsOfDate,IF($Q29=0,$W29,IF(AND($S29&lt;&gt;"",EDATE($D29,Milestones!$AA$35)&gt;=$S29),$V29,IF(AND($R29&lt;&gt;"",EDATE($D29,Milestones!$AA$35)&gt;=$R29),$U29,$T29)))=Milestones!$AB$35),TEXT(EDATE($D29,Milestones!$AA$35),"dd/mm/yy")&amp;" "&amp;Milestones!$AB$35&amp;" "&amp;Milestones!$AC$35&amp;";  ","")&amp;IF(AND(EDATE($D29,Milestones!$AA$36)&lt;=AsOfDate,IF($Q29=0,$W29,IF(AND($S29&lt;&gt;"",EDATE($D29,Milestones!$AA$36)&gt;=$S29),$V29,IF(AND($R29&lt;&gt;"",EDATE($D29,Milestones!$AA$36)&gt;=$R29),$U29,$T29)))=Milestones!$AB$36),TEXT(EDATE($D29,Milestones!$AA$36),"dd/mm/yy")&amp;" "&amp;Milestones!$AB$36&amp;" "&amp;Milestones!$AC$36&amp;";  ","")&amp;IF(AND(EDATE($D29,Milestones!$AA$37)&lt;=AsOfDate,IF($Q29=0,$W29,IF(AND($S29&lt;&gt;"",EDATE($D29,Milestones!$AA$37)&gt;=$S29),$V29,IF(AND($R29&lt;&gt;"",EDATE($D29,Milestones!$AA$37)&gt;=$R29),$U29,$T29)))=Milestones!$AB$37),TEXT(EDATE($D29,Milestones!$AA$37),"dd/mm/yy")&amp;" "&amp;Milestones!$AB$37&amp;" "&amp;Milestones!$AC$37&amp;";  ","")&amp;IF(AND(EDATE($D29,Milestones!$AA$38)&lt;=AsOfDate,IF($Q29=0,$W29,IF(AND($S29&lt;&gt;"",EDATE($D29,Milestones!$AA$38)&gt;=$S29),$V29,IF(AND($R29&lt;&gt;"",EDATE($D29,Milestones!$AA$38)&gt;=$R29),$U29,$T29)))=Milestones!$AB$38),TEXT(EDATE($D29,Milestones!$AA$38),"dd/mm/yy")&amp;" "&amp;Milestones!$AB$38&amp;" "&amp;Milestones!$AC$38&amp;";  ","")&amp;IF(AND(EDATE($D29,Milestones!$AA$39)&lt;=AsOfDate,IF($Q29=0,$W29,IF(AND($S29&lt;&gt;"",EDATE($D29,Milestones!$AA$39)&gt;=$S29),$V29,IF(AND($R29&lt;&gt;"",EDATE($D29,Milestones!$AA$39)&gt;=$R29),$U29,$T29)))=Milestones!$AB$39),TEXT(EDATE($D29,Milestones!$AA$39),"dd/mm/yy")&amp;" "&amp;Milestones!$AB$39&amp;" "&amp;Milestones!$AC$39&amp;";  ",""))</f>
        <v/>
      </c>
      <c r="I29" s="0" t="str">
        <f aca="false">IF(OR($A29="",$D29=""),"",IF(AND(EDATE($D29,Milestones!$AA$40)&lt;=AsOfDate,IF($Q29=0,$W29,IF(AND($S29&lt;&gt;"",EDATE($D29,Milestones!$AA$40)&gt;=$S29),$V29,IF(AND($R29&lt;&gt;"",EDATE($D29,Milestones!$AA$40)&gt;=$R29),$U29,$T29)))=Milestones!$AB$40),TEXT(EDATE($D29,Milestones!$AA$40),"dd/mm/yy")&amp;" "&amp;Milestones!$AB$40&amp;" "&amp;Milestones!$AC$40&amp;";  ","")&amp;IF(AND(EDATE($D29,Milestones!$AA$41)&lt;=AsOfDate,IF($Q29=0,$W29,IF(AND($S29&lt;&gt;"",EDATE($D29,Milestones!$AA$41)&gt;=$S29),$V29,IF(AND($R29&lt;&gt;"",EDATE($D29,Milestones!$AA$41)&gt;=$R29),$U29,$T29)))=Milestones!$AB$41),TEXT(EDATE($D29,Milestones!$AA$41),"dd/mm/yy")&amp;" "&amp;Milestones!$AB$41&amp;" "&amp;Milestones!$AC$41&amp;";  ","")&amp;IF(AND(EDATE($D29,Milestones!$AA$42)&lt;=AsOfDate,IF($Q29=0,$W29,IF(AND($S29&lt;&gt;"",EDATE($D29,Milestones!$AA$42)&gt;=$S29),$V29,IF(AND($R29&lt;&gt;"",EDATE($D29,Milestones!$AA$42)&gt;=$R29),$U29,$T29)))=Milestones!$AB$42),TEXT(EDATE($D29,Milestones!$AA$42),"dd/mm/yy")&amp;" "&amp;Milestones!$AB$42&amp;" "&amp;Milestones!$AC$42&amp;";  ","")&amp;IF(AND(EDATE($D29,Milestones!$AA$43)&lt;=AsOfDate,IF($Q29=0,$W29,IF(AND($S29&lt;&gt;"",EDATE($D29,Milestones!$AA$43)&gt;=$S29),$V29,IF(AND($R29&lt;&gt;"",EDATE($D29,Milestones!$AA$43)&gt;=$R29),$U29,$T29)))=Milestones!$AB$43),TEXT(EDATE($D29,Milestones!$AA$43),"dd/mm/yy")&amp;" "&amp;Milestones!$AB$43&amp;" "&amp;Milestones!$AC$43&amp;";  ","")&amp;IF(AND(EDATE($D29,Milestones!$AA$44)&lt;=AsOfDate,IF($Q29=0,$W29,IF(AND($S29&lt;&gt;"",EDATE($D29,Milestones!$AA$44)&gt;=$S29),$V29,IF(AND($R29&lt;&gt;"",EDATE($D29,Milestones!$AA$44)&gt;=$R29),$U29,$T29)))=Milestones!$AB$44),TEXT(EDATE($D29,Milestones!$AA$44),"dd/mm/yy")&amp;" "&amp;Milestones!$AB$44&amp;" "&amp;Milestones!$AC$44&amp;";  ","")&amp;IF(AND(EDATE($D29,Milestones!$AA$45)&lt;=AsOfDate,IF($Q29=0,$W29,IF(AND($S29&lt;&gt;"",EDATE($D29,Milestones!$AA$45)&gt;=$S29),$V29,IF(AND($R29&lt;&gt;"",EDATE($D29,Milestones!$AA$45)&gt;=$R29),$U29,$T29)))=Milestones!$AB$45),TEXT(EDATE($D29,Milestones!$AA$45),"dd/mm/yy")&amp;" "&amp;Milestones!$AB$45&amp;" "&amp;Milestones!$AC$45&amp;";  ","")&amp;IF(AND(EDATE($D29,Milestones!$AA$46)&lt;=AsOfDate,IF($Q29=0,$W29,IF(AND($S29&lt;&gt;"",EDATE($D29,Milestones!$AA$46)&gt;=$S29),$V29,IF(AND($R29&lt;&gt;"",EDATE($D29,Milestones!$AA$46)&gt;=$R29),$U29,$T29)))=Milestones!$AB$46),TEXT(EDATE($D29,Milestones!$AA$46),"dd/mm/yy")&amp;" "&amp;Milestones!$AB$46&amp;" "&amp;Milestones!$AC$46&amp;";  ","")&amp;IF(AND(EDATE($D29,Milestones!$AA$47)&lt;=AsOfDate,IF($Q29=0,$W29,IF(AND($S29&lt;&gt;"",EDATE($D29,Milestones!$AA$47)&gt;=$S29),$V29,IF(AND($R29&lt;&gt;"",EDATE($D29,Milestones!$AA$47)&gt;=$R29),$U29,$T29)))=Milestones!$AB$47),TEXT(EDATE($D29,Milestones!$AA$47),"dd/mm/yy")&amp;" "&amp;Milestones!$AB$47&amp;" "&amp;Milestones!$AC$47&amp;";  ","")&amp;IF(AND(EDATE($D29,Milestones!$AA$48)&lt;=AsOfDate,IF($Q29=0,$W29,IF(AND($S29&lt;&gt;"",EDATE($D29,Milestones!$AA$48)&gt;=$S29),$V29,IF(AND($R29&lt;&gt;"",EDATE($D29,Milestones!$AA$48)&gt;=$R29),$U29,$T29)))=Milestones!$AB$48),TEXT(EDATE($D29,Milestones!$AA$48),"dd/mm/yy")&amp;" "&amp;Milestones!$AB$48&amp;" "&amp;Milestones!$AC$48&amp;";  ","")&amp;IF(AND(EDATE($D29,Milestones!$AA$49)&lt;=AsOfDate,IF($Q29=0,$W29,IF(AND($S29&lt;&gt;"",EDATE($D29,Milestones!$AA$49)&gt;=$S29),$V29,IF(AND($R29&lt;&gt;"",EDATE($D29,Milestones!$AA$49)&gt;=$R29),$U29,$T29)))=Milestones!$AB$49),TEXT(EDATE($D29,Milestones!$AA$49),"dd/mm/yy")&amp;" "&amp;Milestones!$AB$49&amp;" "&amp;Milestones!$AC$49&amp;";  ","")&amp;IF(AND(EDATE($D29,Milestones!$AA$50)&lt;=AsOfDate,IF($Q29=0,$W29,IF(AND($S29&lt;&gt;"",EDATE($D29,Milestones!$AA$50)&gt;=$S29),$V29,IF(AND($R29&lt;&gt;"",EDATE($D29,Milestones!$AA$50)&gt;=$R29),$U29,$T29)))=Milestones!$AB$50),TEXT(EDATE($D29,Milestones!$AA$50),"dd/mm/yy")&amp;" "&amp;Milestones!$AB$50&amp;" "&amp;Milestones!$AC$50&amp;";  ","")&amp;IF(AND(EDATE($D29,Milestones!$AA$51)&lt;=AsOfDate,IF($Q29=0,$W29,IF(AND($S29&lt;&gt;"",EDATE($D29,Milestones!$AA$51)&gt;=$S29),$V29,IF(AND($R29&lt;&gt;"",EDATE($D29,Milestones!$AA$51)&gt;=$R29),$U29,$T29)))=Milestones!$AB$51),TEXT(EDATE($D29,Milestones!$AA$51),"dd/mm/yy")&amp;" "&amp;Milestones!$AB$51&amp;" "&amp;Milestones!$AC$51&amp;";  ","")&amp;IF(AND(EDATE($D29,Milestones!$AA$52)&lt;=AsOfDate,IF($Q29=0,$W29,IF(AND($S29&lt;&gt;"",EDATE($D29,Milestones!$AA$52)&gt;=$S29),$V29,IF(AND($R29&lt;&gt;"",EDATE($D29,Milestones!$AA$52)&gt;=$R29),$U29,$T29)))=Milestones!$AB$52),TEXT(EDATE($D29,Milestones!$AA$52),"dd/mm/yy")&amp;" "&amp;Milestones!$AB$52&amp;" "&amp;Milestones!$AC$52&amp;";  ","")&amp;IF(AND(EDATE($D29,Milestones!$AA$53)&lt;=AsOfDate,IF($Q29=0,$W29,IF(AND($S29&lt;&gt;"",EDATE($D29,Milestones!$AA$53)&gt;=$S29),$V29,IF(AND($R29&lt;&gt;"",EDATE($D29,Milestones!$AA$53)&gt;=$R29),$U29,$T29)))=Milestones!$AB$53),TEXT(EDATE($D29,Milestones!$AA$53),"dd/mm/yy")&amp;" "&amp;Milestones!$AB$53&amp;" "&amp;Milestones!$AC$53&amp;";  ","")&amp;IF(AND(EDATE($D29,Milestones!$AA$54)&lt;=AsOfDate,IF($Q29=0,$W29,IF(AND($S29&lt;&gt;"",EDATE($D29,Milestones!$AA$54)&gt;=$S29),$V29,IF(AND($R29&lt;&gt;"",EDATE($D29,Milestones!$AA$54)&gt;=$R29),$U29,$T29)))=Milestones!$AB$54),TEXT(EDATE($D29,Milestones!$AA$54),"dd/mm/yy")&amp;" "&amp;Milestones!$AB$54&amp;" "&amp;Milestones!$AC$54&amp;";  ","")&amp;IF(AND(EDATE($D29,Milestones!$AA$55)&lt;=AsOfDate,IF($Q29=0,$W29,IF(AND($S29&lt;&gt;"",EDATE($D29,Milestones!$AA$55)&gt;=$S29),$V29,IF(AND($R29&lt;&gt;"",EDATE($D29,Milestones!$AA$55)&gt;=$R29),$U29,$T29)))=Milestones!$AB$55),TEXT(EDATE($D29,Milestones!$AA$55),"dd/mm/yy")&amp;" "&amp;Milestones!$AB$55&amp;" "&amp;Milestones!$AC$55&amp;";  ","")&amp;IF(AND(EDATE($D29,Milestones!$AA$56)&lt;=AsOfDate,IF($Q29=0,$W29,IF(AND($S29&lt;&gt;"",EDATE($D29,Milestones!$AA$56)&gt;=$S29),$V29,IF(AND($R29&lt;&gt;"",EDATE($D29,Milestones!$AA$56)&gt;=$R29),$U29,$T29)))=Milestones!$AB$56),TEXT(EDATE($D29,Milestones!$AA$56),"dd/mm/yy")&amp;" "&amp;Milestones!$AB$56&amp;" "&amp;Milestones!$AC$56&amp;";  ","")&amp;IF(AND(EDATE($D29,Milestones!$AA$57)&lt;=AsOfDate,IF($Q29=0,$W29,IF(AND($S29&lt;&gt;"",EDATE($D29,Milestones!$AA$57)&gt;=$S29),$V29,IF(AND($R29&lt;&gt;"",EDATE($D29,Milestones!$AA$57)&gt;=$R29),$U29,$T29)))=Milestones!$AB$57),TEXT(EDATE($D29,Milestones!$AA$57),"dd/mm/yy")&amp;" "&amp;Milestones!$AB$57&amp;" "&amp;Milestones!$AC$57&amp;";  ","")&amp;IF(AND(EDATE($D29,Milestones!$AA$58)&lt;=AsOfDate,IF($Q29=0,$W29,IF(AND($S29&lt;&gt;"",EDATE($D29,Milestones!$AA$58)&gt;=$S29),$V29,IF(AND($R29&lt;&gt;"",EDATE($D29,Milestones!$AA$58)&gt;=$R29),$U29,$T29)))=Milestones!$AB$58),TEXT(EDATE($D29,Milestones!$AA$58),"dd/mm/yy")&amp;" "&amp;Milestones!$AB$58&amp;" "&amp;Milestones!$AC$58&amp;";  ","")&amp;IF(AND(EDATE($D29,Milestones!$AA$59)&lt;=AsOfDate,IF($Q29=0,$W29,IF(AND($S29&lt;&gt;"",EDATE($D29,Milestones!$AA$59)&gt;=$S29),$V29,IF(AND($R29&lt;&gt;"",EDATE($D29,Milestones!$AA$59)&gt;=$R29),$U29,$T29)))=Milestones!$AB$59),TEXT(EDATE($D29,Milestones!$AA$59),"dd/mm/yy")&amp;" "&amp;Milestones!$AB$59&amp;" "&amp;Milestones!$AC$59&amp;";  ",""))</f>
        <v/>
      </c>
      <c r="J29" s="0" t="str">
        <f aca="false">IF(OR($A29="",$D29=""),"",IF(AND(EDATE($D29,Milestones!$AA$60)&lt;=AsOfDate,IF($Q29=0,$W29,IF(AND($S29&lt;&gt;"",EDATE($D29,Milestones!$AA$60)&gt;=$S29),$V29,IF(AND($R29&lt;&gt;"",EDATE($D29,Milestones!$AA$60)&gt;=$R29),$U29,$T29)))=Milestones!$AB$60),TEXT(EDATE($D29,Milestones!$AA$60),"dd/mm/yy")&amp;" "&amp;Milestones!$AB$60&amp;" "&amp;Milestones!$AC$60&amp;";  ","")&amp;IF(AND(EDATE($D29,Milestones!$AA$61)&lt;=AsOfDate,IF($Q29=0,$W29,IF(AND($S29&lt;&gt;"",EDATE($D29,Milestones!$AA$61)&gt;=$S29),$V29,IF(AND($R29&lt;&gt;"",EDATE($D29,Milestones!$AA$61)&gt;=$R29),$U29,$T29)))=Milestones!$AB$61),TEXT(EDATE($D29,Milestones!$AA$61),"dd/mm/yy")&amp;" "&amp;Milestones!$AB$61&amp;" "&amp;Milestones!$AC$61&amp;";  ","")&amp;IF(AND(EDATE($D29,Milestones!$AA$62)&lt;=AsOfDate,IF($Q29=0,$W29,IF(AND($S29&lt;&gt;"",EDATE($D29,Milestones!$AA$62)&gt;=$S29),$V29,IF(AND($R29&lt;&gt;"",EDATE($D29,Milestones!$AA$62)&gt;=$R29),$U29,$T29)))=Milestones!$AB$62),TEXT(EDATE($D29,Milestones!$AA$62),"dd/mm/yy")&amp;" "&amp;Milestones!$AB$62&amp;" "&amp;Milestones!$AC$62&amp;";  ","")&amp;IF(AND(EDATE($D29,Milestones!$AA$63)&lt;=AsOfDate,IF($Q29=0,$W29,IF(AND($S29&lt;&gt;"",EDATE($D29,Milestones!$AA$63)&gt;=$S29),$V29,IF(AND($R29&lt;&gt;"",EDATE($D29,Milestones!$AA$63)&gt;=$R29),$U29,$T29)))=Milestones!$AB$63),TEXT(EDATE($D29,Milestones!$AA$63),"dd/mm/yy")&amp;" "&amp;Milestones!$AB$63&amp;" "&amp;Milestones!$AC$63&amp;";  ","")&amp;IF(AND(EDATE($D29,Milestones!$AA$64)&lt;=AsOfDate,IF($Q29=0,$W29,IF(AND($S29&lt;&gt;"",EDATE($D29,Milestones!$AA$64)&gt;=$S29),$V29,IF(AND($R29&lt;&gt;"",EDATE($D29,Milestones!$AA$64)&gt;=$R29),$U29,$T29)))=Milestones!$AB$64),TEXT(EDATE($D29,Milestones!$AA$64),"dd/mm/yy")&amp;" "&amp;Milestones!$AB$64&amp;" "&amp;Milestones!$AC$64&amp;";  ","")&amp;IF(AND(EDATE($D29,Milestones!$AA$65)&lt;=AsOfDate,IF($Q29=0,$W29,IF(AND($S29&lt;&gt;"",EDATE($D29,Milestones!$AA$65)&gt;=$S29),$V29,IF(AND($R29&lt;&gt;"",EDATE($D29,Milestones!$AA$65)&gt;=$R29),$U29,$T29)))=Milestones!$AB$65),TEXT(EDATE($D29,Milestones!$AA$65),"dd/mm/yy")&amp;" "&amp;Milestones!$AB$65&amp;" "&amp;Milestones!$AC$65&amp;";  ","")&amp;IF(AND(EDATE($D29,Milestones!$AA$66)&lt;=AsOfDate,IF($Q29=0,$W29,IF(AND($S29&lt;&gt;"",EDATE($D29,Milestones!$AA$66)&gt;=$S29),$V29,IF(AND($R29&lt;&gt;"",EDATE($D29,Milestones!$AA$66)&gt;=$R29),$U29,$T29)))=Milestones!$AB$66),TEXT(EDATE($D29,Milestones!$AA$66),"dd/mm/yy")&amp;" "&amp;Milestones!$AB$66&amp;" "&amp;Milestones!$AC$66&amp;";  ","")&amp;IF(AND(EDATE($D29,Milestones!$AA$67)&lt;=AsOfDate,IF($Q29=0,$W29,IF(AND($S29&lt;&gt;"",EDATE($D29,Milestones!$AA$67)&gt;=$S29),$V29,IF(AND($R29&lt;&gt;"",EDATE($D29,Milestones!$AA$67)&gt;=$R29),$U29,$T29)))=Milestones!$AB$67),TEXT(EDATE($D29,Milestones!$AA$67),"dd/mm/yy")&amp;" "&amp;Milestones!$AB$67&amp;" "&amp;Milestones!$AC$67&amp;";  ","")&amp;IF(AND(EDATE($D29,Milestones!$AA$68)&lt;=AsOfDate,IF($Q29=0,$W29,IF(AND($S29&lt;&gt;"",EDATE($D29,Milestones!$AA$68)&gt;=$S29),$V29,IF(AND($R29&lt;&gt;"",EDATE($D29,Milestones!$AA$68)&gt;=$R29),$U29,$T29)))=Milestones!$AB$68),TEXT(EDATE($D29,Milestones!$AA$68),"dd/mm/yy")&amp;" "&amp;Milestones!$AB$68&amp;" "&amp;Milestones!$AC$68&amp;";  ","")&amp;IF(AND(EDATE($D29,Milestones!$AA$69)&lt;=AsOfDate,IF($Q29=0,$W29,IF(AND($S29&lt;&gt;"",EDATE($D29,Milestones!$AA$69)&gt;=$S29),$V29,IF(AND($R29&lt;&gt;"",EDATE($D29,Milestones!$AA$69)&gt;=$R29),$U29,$T29)))=Milestones!$AB$69),TEXT(EDATE($D29,Milestones!$AA$69),"dd/mm/yy")&amp;" "&amp;Milestones!$AB$69&amp;" "&amp;Milestones!$AC$69&amp;";  ","")&amp;IF(AND(EDATE($D29,Milestones!$AA$70)&lt;=AsOfDate,IF($Q29=0,$W29,IF(AND($S29&lt;&gt;"",EDATE($D29,Milestones!$AA$70)&gt;=$S29),$V29,IF(AND($R29&lt;&gt;"",EDATE($D29,Milestones!$AA$70)&gt;=$R29),$U29,$T29)))=Milestones!$AB$70),TEXT(EDATE($D29,Milestones!$AA$70),"dd/mm/yy")&amp;" "&amp;Milestones!$AB$70&amp;" "&amp;Milestones!$AC$70&amp;";  ","")&amp;IF(AND(EDATE($D29,Milestones!$AA$71)&lt;=AsOfDate,IF($Q29=0,$W29,IF(AND($S29&lt;&gt;"",EDATE($D29,Milestones!$AA$71)&gt;=$S29),$V29,IF(AND($R29&lt;&gt;"",EDATE($D29,Milestones!$AA$71)&gt;=$R29),$U29,$T29)))=Milestones!$AB$71),TEXT(EDATE($D29,Milestones!$AA$71),"dd/mm/yy")&amp;" "&amp;Milestones!$AB$71&amp;" "&amp;Milestones!$AC$71&amp;";  ","")&amp;IF(AND(EDATE($D29,Milestones!$AA$72)&lt;=AsOfDate,IF($Q29=0,$W29,IF(AND($S29&lt;&gt;"",EDATE($D29,Milestones!$AA$72)&gt;=$S29),$V29,IF(AND($R29&lt;&gt;"",EDATE($D29,Milestones!$AA$72)&gt;=$R29),$U29,$T29)))=Milestones!$AB$72),TEXT(EDATE($D29,Milestones!$AA$72),"dd/mm/yy")&amp;" "&amp;Milestones!$AB$72&amp;" "&amp;Milestones!$AC$72&amp;";  ","")&amp;IF(AND(EDATE($D29,Milestones!$AA$73)&lt;=AsOfDate,IF($Q29=0,$W29,IF(AND($S29&lt;&gt;"",EDATE($D29,Milestones!$AA$73)&gt;=$S29),$V29,IF(AND($R29&lt;&gt;"",EDATE($D29,Milestones!$AA$73)&gt;=$R29),$U29,$T29)))=Milestones!$AB$73),TEXT(EDATE($D29,Milestones!$AA$73),"dd/mm/yy")&amp;" "&amp;Milestones!$AB$73&amp;" "&amp;Milestones!$AC$73&amp;";  ","")&amp;IF(AND(EDATE($D29,Milestones!$AA$74)&lt;=AsOfDate,IF($Q29=0,$W29,IF(AND($S29&lt;&gt;"",EDATE($D29,Milestones!$AA$74)&gt;=$S29),$V29,IF(AND($R29&lt;&gt;"",EDATE($D29,Milestones!$AA$74)&gt;=$R29),$U29,$T29)))=Milestones!$AB$74),TEXT(EDATE($D29,Milestones!$AA$74),"dd/mm/yy")&amp;" "&amp;Milestones!$AB$74&amp;" "&amp;Milestones!$AC$74&amp;";  ","")&amp;IF(AND(EDATE($D29,Milestones!$AA$75)&lt;=AsOfDate,IF($Q29=0,$W29,IF(AND($S29&lt;&gt;"",EDATE($D29,Milestones!$AA$75)&gt;=$S29),$V29,IF(AND($R29&lt;&gt;"",EDATE($D29,Milestones!$AA$75)&gt;=$R29),$U29,$T29)))=Milestones!$AB$75),TEXT(EDATE($D29,Milestones!$AA$75),"dd/mm/yy")&amp;" "&amp;Milestones!$AB$75&amp;" "&amp;Milestones!$AC$75&amp;";  ","")&amp;IF(AND(EDATE($D29,Milestones!$AA$76)&lt;=AsOfDate,IF($Q29=0,$W29,IF(AND($S29&lt;&gt;"",EDATE($D29,Milestones!$AA$76)&gt;=$S29),$V29,IF(AND($R29&lt;&gt;"",EDATE($D29,Milestones!$AA$76)&gt;=$R29),$U29,$T29)))=Milestones!$AB$76),TEXT(EDATE($D29,Milestones!$AA$76),"dd/mm/yy")&amp;" "&amp;Milestones!$AB$76&amp;" "&amp;Milestones!$AC$76&amp;";  ","")&amp;IF(AND(EDATE($D29,Milestones!$AA$77)&lt;=AsOfDate,IF($Q29=0,$W29,IF(AND($S29&lt;&gt;"",EDATE($D29,Milestones!$AA$77)&gt;=$S29),$V29,IF(AND($R29&lt;&gt;"",EDATE($D29,Milestones!$AA$77)&gt;=$R29),$U29,$T29)))=Milestones!$AB$77),TEXT(EDATE($D29,Milestones!$AA$77),"dd/mm/yy")&amp;" "&amp;Milestones!$AB$77&amp;" "&amp;Milestones!$AC$77&amp;";  ","")&amp;IF(AND(EDATE($D29,Milestones!$AA$78)&lt;=AsOfDate,IF($Q29=0,$W29,IF(AND($S29&lt;&gt;"",EDATE($D29,Milestones!$AA$78)&gt;=$S29),$V29,IF(AND($R29&lt;&gt;"",EDATE($D29,Milestones!$AA$78)&gt;=$R29),$U29,$T29)))=Milestones!$AB$78),TEXT(EDATE($D29,Milestones!$AA$78),"dd/mm/yy")&amp;" "&amp;Milestones!$AB$78&amp;" "&amp;Milestones!$AC$78&amp;";  ","")&amp;IF(AND(EDATE($D29,Milestones!$AA$79)&lt;=AsOfDate,IF($Q29=0,$W29,IF(AND($S29&lt;&gt;"",EDATE($D29,Milestones!$AA$79)&gt;=$S29),$V29,IF(AND($R29&lt;&gt;"",EDATE($D29,Milestones!$AA$79)&gt;=$R29),$U29,$T29)))=Milestones!$AB$79),TEXT(EDATE($D29,Milestones!$AA$79),"dd/mm/yy")&amp;" "&amp;Milestones!$AB$79&amp;" "&amp;Milestones!$AC$79&amp;";  ",""))</f>
        <v/>
      </c>
      <c r="K29" s="0" t="str">
        <f aca="false">IF(OR($A29="",$D29=""),"",IF(AND(EDATE($D29,Milestones!$AA$80)&lt;=AsOfDate,IF($Q29=0,$W29,IF(AND($S29&lt;&gt;"",EDATE($D29,Milestones!$AA$80)&gt;=$S29),$V29,IF(AND($R29&lt;&gt;"",EDATE($D29,Milestones!$AA$80)&gt;=$R29),$U29,$T29)))=Milestones!$AB$80),TEXT(EDATE($D29,Milestones!$AA$80),"dd/mm/yy")&amp;" "&amp;Milestones!$AB$80&amp;" "&amp;Milestones!$AC$80&amp;";  ","")&amp;IF(AND(EDATE($D29,Milestones!$AA$81)&lt;=AsOfDate,IF($Q29=0,$W29,IF(AND($S29&lt;&gt;"",EDATE($D29,Milestones!$AA$81)&gt;=$S29),$V29,IF(AND($R29&lt;&gt;"",EDATE($D29,Milestones!$AA$81)&gt;=$R29),$U29,$T29)))=Milestones!$AB$81),TEXT(EDATE($D29,Milestones!$AA$81),"dd/mm/yy")&amp;" "&amp;Milestones!$AB$81&amp;" "&amp;Milestones!$AC$81&amp;";  ","")&amp;IF(AND(EDATE($D29,Milestones!$AA$82)&lt;=AsOfDate,IF($Q29=0,$W29,IF(AND($S29&lt;&gt;"",EDATE($D29,Milestones!$AA$82)&gt;=$S29),$V29,IF(AND($R29&lt;&gt;"",EDATE($D29,Milestones!$AA$82)&gt;=$R29),$U29,$T29)))=Milestones!$AB$82),TEXT(EDATE($D29,Milestones!$AA$82),"dd/mm/yy")&amp;" "&amp;Milestones!$AB$82&amp;" "&amp;Milestones!$AC$82&amp;";  ","")&amp;IF(AND(EDATE($D29,Milestones!$AA$83)&lt;=AsOfDate,IF($Q29=0,$W29,IF(AND($S29&lt;&gt;"",EDATE($D29,Milestones!$AA$83)&gt;=$S29),$V29,IF(AND($R29&lt;&gt;"",EDATE($D29,Milestones!$AA$83)&gt;=$R29),$U29,$T29)))=Milestones!$AB$83),TEXT(EDATE($D29,Milestones!$AA$83),"dd/mm/yy")&amp;" "&amp;Milestones!$AB$83&amp;" "&amp;Milestones!$AC$83&amp;";  ","")&amp;IF(AND(EDATE($D29,Milestones!$AA$84)&lt;=AsOfDate,IF($Q29=0,$W29,IF(AND($S29&lt;&gt;"",EDATE($D29,Milestones!$AA$84)&gt;=$S29),$V29,IF(AND($R29&lt;&gt;"",EDATE($D29,Milestones!$AA$84)&gt;=$R29),$U29,$T29)))=Milestones!$AB$84),TEXT(EDATE($D29,Milestones!$AA$84),"dd/mm/yy")&amp;" "&amp;Milestones!$AB$84&amp;" "&amp;Milestones!$AC$84&amp;";  ","")&amp;IF(AND(EDATE($D29,Milestones!$AA$85)&lt;=AsOfDate,IF($Q29=0,$W29,IF(AND($S29&lt;&gt;"",EDATE($D29,Milestones!$AA$85)&gt;=$S29),$V29,IF(AND($R29&lt;&gt;"",EDATE($D29,Milestones!$AA$85)&gt;=$R29),$U29,$T29)))=Milestones!$AB$85),TEXT(EDATE($D29,Milestones!$AA$85),"dd/mm/yy")&amp;" "&amp;Milestones!$AB$85&amp;" "&amp;Milestones!$AC$85&amp;";  ","")&amp;IF(AND(EDATE($D29,Milestones!$AA$86)&lt;=AsOfDate,IF($Q29=0,$W29,IF(AND($S29&lt;&gt;"",EDATE($D29,Milestones!$AA$86)&gt;=$S29),$V29,IF(AND($R29&lt;&gt;"",EDATE($D29,Milestones!$AA$86)&gt;=$R29),$U29,$T29)))=Milestones!$AB$86),TEXT(EDATE($D29,Milestones!$AA$86),"dd/mm/yy")&amp;" "&amp;Milestones!$AB$86&amp;" "&amp;Milestones!$AC$86&amp;";  ","")&amp;IF(AND(EDATE($D29,Milestones!$AA$87)&lt;=AsOfDate,IF($Q29=0,$W29,IF(AND($S29&lt;&gt;"",EDATE($D29,Milestones!$AA$87)&gt;=$S29),$V29,IF(AND($R29&lt;&gt;"",EDATE($D29,Milestones!$AA$87)&gt;=$R29),$U29,$T29)))=Milestones!$AB$87),TEXT(EDATE($D29,Milestones!$AA$87),"dd/mm/yy")&amp;" "&amp;Milestones!$AB$87&amp;" "&amp;Milestones!$AC$87&amp;";  ","")&amp;IF(AND(EDATE($D29,Milestones!$AA$88)&lt;=AsOfDate,IF($Q29=0,$W29,IF(AND($S29&lt;&gt;"",EDATE($D29,Milestones!$AA$88)&gt;=$S29),$V29,IF(AND($R29&lt;&gt;"",EDATE($D29,Milestones!$AA$88)&gt;=$R29),$U29,$T29)))=Milestones!$AB$88),TEXT(EDATE($D29,Milestones!$AA$88),"dd/mm/yy")&amp;" "&amp;Milestones!$AB$88&amp;" "&amp;Milestones!$AC$88&amp;";  ","")&amp;IF(AND(EDATE($D29,Milestones!$AA$89)&lt;=AsOfDate,IF($Q29=0,$W29,IF(AND($S29&lt;&gt;"",EDATE($D29,Milestones!$AA$89)&gt;=$S29),$V29,IF(AND($R29&lt;&gt;"",EDATE($D29,Milestones!$AA$89)&gt;=$R29),$U29,$T29)))=Milestones!$AB$89),TEXT(EDATE($D29,Milestones!$AA$89),"dd/mm/yy")&amp;" "&amp;Milestones!$AB$89&amp;" "&amp;Milestones!$AC$89&amp;";  ","")&amp;IF(AND(EDATE($D29,Milestones!$AA$90)&lt;=AsOfDate,IF($Q29=0,$W29,IF(AND($S29&lt;&gt;"",EDATE($D29,Milestones!$AA$90)&gt;=$S29),$V29,IF(AND($R29&lt;&gt;"",EDATE($D29,Milestones!$AA$90)&gt;=$R29),$U29,$T29)))=Milestones!$AB$90),TEXT(EDATE($D29,Milestones!$AA$90),"dd/mm/yy")&amp;" "&amp;Milestones!$AB$90&amp;" "&amp;Milestones!$AC$90&amp;";  ","")&amp;IF(AND(EDATE($D29,Milestones!$AA$91)&lt;=AsOfDate,IF($Q29=0,$W29,IF(AND($S29&lt;&gt;"",EDATE($D29,Milestones!$AA$91)&gt;=$S29),$V29,IF(AND($R29&lt;&gt;"",EDATE($D29,Milestones!$AA$91)&gt;=$R29),$U29,$T29)))=Milestones!$AB$91),TEXT(EDATE($D29,Milestones!$AA$91),"dd/mm/yy")&amp;" "&amp;Milestones!$AB$91&amp;" "&amp;Milestones!$AC$91&amp;";  ","")&amp;IF(AND(EDATE($D29,Milestones!$AA$92)&lt;=AsOfDate,IF($Q29=0,$W29,IF(AND($S29&lt;&gt;"",EDATE($D29,Milestones!$AA$92)&gt;=$S29),$V29,IF(AND($R29&lt;&gt;"",EDATE($D29,Milestones!$AA$92)&gt;=$R29),$U29,$T29)))=Milestones!$AB$92),TEXT(EDATE($D29,Milestones!$AA$92),"dd/mm/yy")&amp;" "&amp;Milestones!$AB$92&amp;" "&amp;Milestones!$AC$92&amp;";  ","")&amp;IF(AND(EDATE($D29,Milestones!$AA$93)&lt;=AsOfDate,IF($Q29=0,$W29,IF(AND($S29&lt;&gt;"",EDATE($D29,Milestones!$AA$93)&gt;=$S29),$V29,IF(AND($R29&lt;&gt;"",EDATE($D29,Milestones!$AA$93)&gt;=$R29),$U29,$T29)))=Milestones!$AB$93),TEXT(EDATE($D29,Milestones!$AA$93),"dd/mm/yy")&amp;" "&amp;Milestones!$AB$93&amp;" "&amp;Milestones!$AC$93&amp;";  ","")&amp;IF(AND(EDATE($D29,Milestones!$AA$94)&lt;=AsOfDate,IF($Q29=0,$W29,IF(AND($S29&lt;&gt;"",EDATE($D29,Milestones!$AA$94)&gt;=$S29),$V29,IF(AND($R29&lt;&gt;"",EDATE($D29,Milestones!$AA$94)&gt;=$R29),$U29,$T29)))=Milestones!$AB$94),TEXT(EDATE($D29,Milestones!$AA$94),"dd/mm/yy")&amp;" "&amp;Milestones!$AB$94&amp;" "&amp;Milestones!$AC$94&amp;";  ","")&amp;IF(AND(EDATE($D29,Milestones!$AA$95)&lt;=AsOfDate,IF($Q29=0,$W29,IF(AND($S29&lt;&gt;"",EDATE($D29,Milestones!$AA$95)&gt;=$S29),$V29,IF(AND($R29&lt;&gt;"",EDATE($D29,Milestones!$AA$95)&gt;=$R29),$U29,$T29)))=Milestones!$AB$95),TEXT(EDATE($D29,Milestones!$AA$95),"dd/mm/yy")&amp;" "&amp;Milestones!$AB$95&amp;" "&amp;Milestones!$AC$95&amp;";  ","")&amp;IF(AND(EDATE($D29,Milestones!$AA$96)&lt;=AsOfDate,IF($Q29=0,$W29,IF(AND($S29&lt;&gt;"",EDATE($D29,Milestones!$AA$96)&gt;=$S29),$V29,IF(AND($R29&lt;&gt;"",EDATE($D29,Milestones!$AA$96)&gt;=$R29),$U29,$T29)))=Milestones!$AB$96),TEXT(EDATE($D29,Milestones!$AA$96),"dd/mm/yy")&amp;" "&amp;Milestones!$AB$96&amp;" "&amp;Milestones!$AC$96&amp;";  ","")&amp;IF(AND(EDATE($D29,Milestones!$AA$97)&lt;=AsOfDate,IF($Q29=0,$W29,IF(AND($S29&lt;&gt;"",EDATE($D29,Milestones!$AA$97)&gt;=$S29),$V29,IF(AND($R29&lt;&gt;"",EDATE($D29,Milestones!$AA$97)&gt;=$R29),$U29,$T29)))=Milestones!$AB$97),TEXT(EDATE($D29,Milestones!$AA$97),"dd/mm/yy")&amp;" "&amp;Milestones!$AB$97&amp;" "&amp;Milestones!$AC$97&amp;";  ","")&amp;IF(AND(EDATE($D29,Milestones!$AA$98)&lt;=AsOfDate,IF($Q29=0,$W29,IF(AND($S29&lt;&gt;"",EDATE($D29,Milestones!$AA$98)&gt;=$S29),$V29,IF(AND($R29&lt;&gt;"",EDATE($D29,Milestones!$AA$98)&gt;=$R29),$U29,$T29)))=Milestones!$AB$98),TEXT(EDATE($D29,Milestones!$AA$98),"dd/mm/yy")&amp;" "&amp;Milestones!$AB$98&amp;" "&amp;Milestones!$AC$98&amp;";  ","")&amp;IF(AND(EDATE($D29,Milestones!$AA$99)&lt;=AsOfDate,IF($Q29=0,$W29,IF(AND($S29&lt;&gt;"",EDATE($D29,Milestones!$AA$99)&gt;=$S29),$V29,IF(AND($R29&lt;&gt;"",EDATE($D29,Milestones!$AA$99)&gt;=$R29),$U29,$T29)))=Milestones!$AB$99),TEXT(EDATE($D29,Milestones!$AA$99),"dd/mm/yy")&amp;" "&amp;Milestones!$AB$99&amp;" "&amp;Milestones!$AC$99&amp;";  ",""))</f>
        <v/>
      </c>
      <c r="L29" s="0" t="str">
        <f aca="false">IF(OR($A29="",$D29=""),"",IF(AND(EDATE($D29,Milestones!$AA$100)&lt;=AsOfDate,IF($Q29=0,$W29,IF(AND($S29&lt;&gt;"",EDATE($D29,Milestones!$AA$100)&gt;=$S29),$V29,IF(AND($R29&lt;&gt;"",EDATE($D29,Milestones!$AA$100)&gt;=$R29),$U29,$T29)))=Milestones!$AB$100),TEXT(EDATE($D29,Milestones!$AA$100),"dd/mm/yy")&amp;" "&amp;Milestones!$AB$100&amp;" "&amp;Milestones!$AC$100&amp;";  ","")&amp;IF(AND(EDATE($D29,Milestones!$AA$101)&lt;=AsOfDate,IF($Q29=0,$W29,IF(AND($S29&lt;&gt;"",EDATE($D29,Milestones!$AA$101)&gt;=$S29),$V29,IF(AND($R29&lt;&gt;"",EDATE($D29,Milestones!$AA$101)&gt;=$R29),$U29,$T29)))=Milestones!$AB$101),TEXT(EDATE($D29,Milestones!$AA$101),"dd/mm/yy")&amp;" "&amp;Milestones!$AB$101&amp;" "&amp;Milestones!$AC$101&amp;";  ","")&amp;IF(AND(EDATE($D29,Milestones!$AA$102)&lt;=AsOfDate,IF($Q29=0,$W29,IF(AND($S29&lt;&gt;"",EDATE($D29,Milestones!$AA$102)&gt;=$S29),$V29,IF(AND($R29&lt;&gt;"",EDATE($D29,Milestones!$AA$102)&gt;=$R29),$U29,$T29)))=Milestones!$AB$102),TEXT(EDATE($D29,Milestones!$AA$102),"dd/mm/yy")&amp;" "&amp;Milestones!$AB$102&amp;" "&amp;Milestones!$AC$102&amp;";  ","")&amp;IF(AND(EDATE($D29,Milestones!$AA$103)&lt;=AsOfDate,IF($Q29=0,$W29,IF(AND($S29&lt;&gt;"",EDATE($D29,Milestones!$AA$103)&gt;=$S29),$V29,IF(AND($R29&lt;&gt;"",EDATE($D29,Milestones!$AA$103)&gt;=$R29),$U29,$T29)))=Milestones!$AB$103),TEXT(EDATE($D29,Milestones!$AA$103),"dd/mm/yy")&amp;" "&amp;Milestones!$AB$103&amp;" "&amp;Milestones!$AC$103&amp;";  ","")&amp;IF(AND(EDATE($D29,Milestones!$AA$104)&lt;=AsOfDate,IF($Q29=0,$W29,IF(AND($S29&lt;&gt;"",EDATE($D29,Milestones!$AA$104)&gt;=$S29),$V29,IF(AND($R29&lt;&gt;"",EDATE($D29,Milestones!$AA$104)&gt;=$R29),$U29,$T29)))=Milestones!$AB$104),TEXT(EDATE($D29,Milestones!$AA$104),"dd/mm/yy")&amp;" "&amp;Milestones!$AB$104&amp;" "&amp;Milestones!$AC$104&amp;";  ","")&amp;IF(AND(EDATE($D29,Milestones!$AA$105)&lt;=AsOfDate,IF($Q29=0,$W29,IF(AND($S29&lt;&gt;"",EDATE($D29,Milestones!$AA$105)&gt;=$S29),$V29,IF(AND($R29&lt;&gt;"",EDATE($D29,Milestones!$AA$105)&gt;=$R29),$U29,$T29)))=Milestones!$AB$105),TEXT(EDATE($D29,Milestones!$AA$105),"dd/mm/yy")&amp;" "&amp;Milestones!$AB$105&amp;" "&amp;Milestones!$AC$105&amp;";  ","")&amp;IF(AND(EDATE($D29,Milestones!$AA$106)&lt;=AsOfDate,IF($Q29=0,$W29,IF(AND($S29&lt;&gt;"",EDATE($D29,Milestones!$AA$106)&gt;=$S29),$V29,IF(AND($R29&lt;&gt;"",EDATE($D29,Milestones!$AA$106)&gt;=$R29),$U29,$T29)))=Milestones!$AB$106),TEXT(EDATE($D29,Milestones!$AA$106),"dd/mm/yy")&amp;" "&amp;Milestones!$AB$106&amp;" "&amp;Milestones!$AC$106&amp;";  ","")&amp;IF(AND(EDATE($D29,Milestones!$AA$107)&lt;=AsOfDate,IF($Q29=0,$W29,IF(AND($S29&lt;&gt;"",EDATE($D29,Milestones!$AA$107)&gt;=$S29),$V29,IF(AND($R29&lt;&gt;"",EDATE($D29,Milestones!$AA$107)&gt;=$R29),$U29,$T29)))=Milestones!$AB$107),TEXT(EDATE($D29,Milestones!$AA$107),"dd/mm/yy")&amp;" "&amp;Milestones!$AB$107&amp;" "&amp;Milestones!$AC$107&amp;";  ","")&amp;IF(AND(EDATE($D29,Milestones!$AA$108)&lt;=AsOfDate,IF($Q29=0,$W29,IF(AND($S29&lt;&gt;"",EDATE($D29,Milestones!$AA$108)&gt;=$S29),$V29,IF(AND($R29&lt;&gt;"",EDATE($D29,Milestones!$AA$108)&gt;=$R29),$U29,$T29)))=Milestones!$AB$108),TEXT(EDATE($D29,Milestones!$AA$108),"dd/mm/yy")&amp;" "&amp;Milestones!$AB$108&amp;" "&amp;Milestones!$AC$108&amp;";  ","")&amp;IF(AND(EDATE($D29,Milestones!$AA$109)&lt;=AsOfDate,IF($Q29=0,$W29,IF(AND($S29&lt;&gt;"",EDATE($D29,Milestones!$AA$109)&gt;=$S29),$V29,IF(AND($R29&lt;&gt;"",EDATE($D29,Milestones!$AA$109)&gt;=$R29),$U29,$T29)))=Milestones!$AB$109),TEXT(EDATE($D29,Milestones!$AA$109),"dd/mm/yy")&amp;" "&amp;Milestones!$AB$109&amp;" "&amp;Milestones!$AC$109&amp;";  ","")&amp;IF(AND(EDATE($D29,Milestones!$AA$110)&lt;=AsOfDate,IF($Q29=0,$W29,IF(AND($S29&lt;&gt;"",EDATE($D29,Milestones!$AA$110)&gt;=$S29),$V29,IF(AND($R29&lt;&gt;"",EDATE($D29,Milestones!$AA$110)&gt;=$R29),$U29,$T29)))=Milestones!$AB$110),TEXT(EDATE($D29,Milestones!$AA$110),"dd/mm/yy")&amp;" "&amp;Milestones!$AB$110&amp;" "&amp;Milestones!$AC$110&amp;";  ","")&amp;IF(AND(EDATE($D29,Milestones!$AA$111)&lt;=AsOfDate,IF($Q29=0,$W29,IF(AND($S29&lt;&gt;"",EDATE($D29,Milestones!$AA$111)&gt;=$S29),$V29,IF(AND($R29&lt;&gt;"",EDATE($D29,Milestones!$AA$111)&gt;=$R29),$U29,$T29)))=Milestones!$AB$111),TEXT(EDATE($D29,Milestones!$AA$111),"dd/mm/yy")&amp;" "&amp;Milestones!$AB$111&amp;" "&amp;Milestones!$AC$111&amp;";  ","")&amp;IF(AND(EDATE($D29,Milestones!$AA$112)&lt;=AsOfDate,IF($Q29=0,$W29,IF(AND($S29&lt;&gt;"",EDATE($D29,Milestones!$AA$112)&gt;=$S29),$V29,IF(AND($R29&lt;&gt;"",EDATE($D29,Milestones!$AA$112)&gt;=$R29),$U29,$T29)))=Milestones!$AB$112),TEXT(EDATE($D29,Milestones!$AA$112),"dd/mm/yy")&amp;" "&amp;Milestones!$AB$112&amp;" "&amp;Milestones!$AC$112&amp;";  ","")&amp;IF(AND(EDATE($D29,Milestones!$AA$113)&lt;=AsOfDate,IF($Q29=0,$W29,IF(AND($S29&lt;&gt;"",EDATE($D29,Milestones!$AA$113)&gt;=$S29),$V29,IF(AND($R29&lt;&gt;"",EDATE($D29,Milestones!$AA$113)&gt;=$R29),$U29,$T29)))=Milestones!$AB$113),TEXT(EDATE($D29,Milestones!$AA$113),"dd/mm/yy")&amp;" "&amp;Milestones!$AB$113&amp;" "&amp;Milestones!$AC$113&amp;";  ","")&amp;IF(AND(EDATE($D29,Milestones!$AA$114)&lt;=AsOfDate,IF($Q29=0,$W29,IF(AND($S29&lt;&gt;"",EDATE($D29,Milestones!$AA$114)&gt;=$S29),$V29,IF(AND($R29&lt;&gt;"",EDATE($D29,Milestones!$AA$114)&gt;=$R29),$U29,$T29)))=Milestones!$AB$114),TEXT(EDATE($D29,Milestones!$AA$114),"dd/mm/yy")&amp;" "&amp;Milestones!$AB$114&amp;" "&amp;Milestones!$AC$114&amp;";  ","")&amp;IF(AND(EDATE($D29,Milestones!$AA$115)&lt;=AsOfDate,IF($Q29=0,$W29,IF(AND($S29&lt;&gt;"",EDATE($D29,Milestones!$AA$115)&gt;=$S29),$V29,IF(AND($R29&lt;&gt;"",EDATE($D29,Milestones!$AA$115)&gt;=$R29),$U29,$T29)))=Milestones!$AB$115),TEXT(EDATE($D29,Milestones!$AA$115),"dd/mm/yy")&amp;" "&amp;Milestones!$AB$115&amp;" "&amp;Milestones!$AC$115&amp;";  ","")&amp;IF(AND(EDATE($D29,Milestones!$AA$116)&lt;=AsOfDate,IF($Q29=0,$W29,IF(AND($S29&lt;&gt;"",EDATE($D29,Milestones!$AA$116)&gt;=$S29),$V29,IF(AND($R29&lt;&gt;"",EDATE($D29,Milestones!$AA$116)&gt;=$R29),$U29,$T29)))=Milestones!$AB$116),TEXT(EDATE($D29,Milestones!$AA$116),"dd/mm/yy")&amp;" "&amp;Milestones!$AB$116&amp;" "&amp;Milestones!$AC$116&amp;";  ","")&amp;IF(AND(EDATE($D29,Milestones!$AA$117)&lt;=AsOfDate,IF($Q29=0,$W29,IF(AND($S29&lt;&gt;"",EDATE($D29,Milestones!$AA$117)&gt;=$S29),$V29,IF(AND($R29&lt;&gt;"",EDATE($D29,Milestones!$AA$117)&gt;=$R29),$U29,$T29)))=Milestones!$AB$117),TEXT(EDATE($D29,Milestones!$AA$117),"dd/mm/yy")&amp;" "&amp;Milestones!$AB$117&amp;" "&amp;Milestones!$AC$117&amp;";  ","")&amp;IF(AND(EDATE($D29,Milestones!$AA$118)&lt;=AsOfDate,IF($Q29=0,$W29,IF(AND($S29&lt;&gt;"",EDATE($D29,Milestones!$AA$118)&gt;=$S29),$V29,IF(AND($R29&lt;&gt;"",EDATE($D29,Milestones!$AA$118)&gt;=$R29),$U29,$T29)))=Milestones!$AB$118),TEXT(EDATE($D29,Milestones!$AA$118),"dd/mm/yy")&amp;" "&amp;Milestones!$AB$118&amp;" "&amp;Milestones!$AC$118&amp;";  ","")&amp;IF(AND(EDATE($D29,Milestones!$AA$119)&lt;=AsOfDate,IF($Q29=0,$W29,IF(AND($S29&lt;&gt;"",EDATE($D29,Milestones!$AA$119)&gt;=$S29),$V29,IF(AND($R29&lt;&gt;"",EDATE($D29,Milestones!$AA$119)&gt;=$R29),$U29,$T29)))=Milestones!$AB$119),TEXT(EDATE($D29,Milestones!$AA$119),"dd/mm/yy")&amp;" "&amp;Milestones!$AB$119&amp;" "&amp;Milestones!$AC$119&amp;";  ",""))</f>
        <v/>
      </c>
      <c r="M29" s="0" t="str">
        <f aca="false">IF(OR($A29="",$D29=""),"",IF(AND(EDATE($D29,Milestones!$AA$120)&lt;=AsOfDate,IF($Q29=0,$W29,IF(AND($S29&lt;&gt;"",EDATE($D29,Milestones!$AA$120)&gt;=$S29),$V29,IF(AND($R29&lt;&gt;"",EDATE($D29,Milestones!$AA$120)&gt;=$R29),$U29,$T29)))=Milestones!$AB$120),TEXT(EDATE($D29,Milestones!$AA$120),"dd/mm/yy")&amp;" "&amp;Milestones!$AB$120&amp;" "&amp;Milestones!$AC$120&amp;";  ","")&amp;IF(AND(EDATE($D29,Milestones!$AA$121)&lt;=AsOfDate,IF($Q29=0,$W29,IF(AND($S29&lt;&gt;"",EDATE($D29,Milestones!$AA$121)&gt;=$S29),$V29,IF(AND($R29&lt;&gt;"",EDATE($D29,Milestones!$AA$121)&gt;=$R29),$U29,$T29)))=Milestones!$AB$121),TEXT(EDATE($D29,Milestones!$AA$121),"dd/mm/yy")&amp;" "&amp;Milestones!$AB$121&amp;" "&amp;Milestones!$AC$121&amp;";  ","")&amp;IF(AND(EDATE($D29,Milestones!$AA$122)&lt;=AsOfDate,IF($Q29=0,$W29,IF(AND($S29&lt;&gt;"",EDATE($D29,Milestones!$AA$122)&gt;=$S29),$V29,IF(AND($R29&lt;&gt;"",EDATE($D29,Milestones!$AA$122)&gt;=$R29),$U29,$T29)))=Milestones!$AB$122),TEXT(EDATE($D29,Milestones!$AA$122),"dd/mm/yy")&amp;" "&amp;Milestones!$AB$122&amp;" "&amp;Milestones!$AC$122&amp;";  ","")&amp;IF(AND(EDATE($D29,Milestones!$AA$123)&lt;=AsOfDate,IF($Q29=0,$W29,IF(AND($S29&lt;&gt;"",EDATE($D29,Milestones!$AA$123)&gt;=$S29),$V29,IF(AND($R29&lt;&gt;"",EDATE($D29,Milestones!$AA$123)&gt;=$R29),$U29,$T29)))=Milestones!$AB$123),TEXT(EDATE($D29,Milestones!$AA$123),"dd/mm/yy")&amp;" "&amp;Milestones!$AB$123&amp;" "&amp;Milestones!$AC$123&amp;";  ","")&amp;IF(AND(EDATE($D29,Milestones!$AA$124)&lt;=AsOfDate,IF($Q29=0,$W29,IF(AND($S29&lt;&gt;"",EDATE($D29,Milestones!$AA$124)&gt;=$S29),$V29,IF(AND($R29&lt;&gt;"",EDATE($D29,Milestones!$AA$124)&gt;=$R29),$U29,$T29)))=Milestones!$AB$124),TEXT(EDATE($D29,Milestones!$AA$124),"dd/mm/yy")&amp;" "&amp;Milestones!$AB$124&amp;" "&amp;Milestones!$AC$124&amp;";  ","")&amp;IF(AND(EDATE($D29,Milestones!$AA$125)&lt;=AsOfDate,IF($Q29=0,$W29,IF(AND($S29&lt;&gt;"",EDATE($D29,Milestones!$AA$125)&gt;=$S29),$V29,IF(AND($R29&lt;&gt;"",EDATE($D29,Milestones!$AA$125)&gt;=$R29),$U29,$T29)))=Milestones!$AB$125),TEXT(EDATE($D29,Milestones!$AA$125),"dd/mm/yy")&amp;" "&amp;Milestones!$AB$125&amp;" "&amp;Milestones!$AC$125&amp;";  ","")&amp;IF(AND(EDATE($D29,Milestones!$AA$126)&lt;=AsOfDate,IF($Q29=0,$W29,IF(AND($S29&lt;&gt;"",EDATE($D29,Milestones!$AA$126)&gt;=$S29),$V29,IF(AND($R29&lt;&gt;"",EDATE($D29,Milestones!$AA$126)&gt;=$R29),$U29,$T29)))=Milestones!$AB$126),TEXT(EDATE($D29,Milestones!$AA$126),"dd/mm/yy")&amp;" "&amp;Milestones!$AB$126&amp;" "&amp;Milestones!$AC$126&amp;";  ","")&amp;IF(AND(EDATE($D29,Milestones!$AA$127)&lt;=AsOfDate,IF($Q29=0,$W29,IF(AND($S29&lt;&gt;"",EDATE($D29,Milestones!$AA$127)&gt;=$S29),$V29,IF(AND($R29&lt;&gt;"",EDATE($D29,Milestones!$AA$127)&gt;=$R29),$U29,$T29)))=Milestones!$AB$127),TEXT(EDATE($D29,Milestones!$AA$127),"dd/mm/yy")&amp;" "&amp;Milestones!$AB$127&amp;" "&amp;Milestones!$AC$127&amp;";  ","")&amp;IF(AND(EDATE($D29,Milestones!$AA$128)&lt;=AsOfDate,IF($Q29=0,$W29,IF(AND($S29&lt;&gt;"",EDATE($D29,Milestones!$AA$128)&gt;=$S29),$V29,IF(AND($R29&lt;&gt;"",EDATE($D29,Milestones!$AA$128)&gt;=$R29),$U29,$T29)))=Milestones!$AB$128),TEXT(EDATE($D29,Milestones!$AA$128),"dd/mm/yy")&amp;" "&amp;Milestones!$AB$128&amp;" "&amp;Milestones!$AC$128&amp;";  ","")&amp;IF(AND(EDATE($D29,Milestones!$AA$129)&lt;=AsOfDate,IF($Q29=0,$W29,IF(AND($S29&lt;&gt;"",EDATE($D29,Milestones!$AA$129)&gt;=$S29),$V29,IF(AND($R29&lt;&gt;"",EDATE($D29,Milestones!$AA$129)&gt;=$R29),$U29,$T29)))=Milestones!$AB$129),TEXT(EDATE($D29,Milestones!$AA$129),"dd/mm/yy")&amp;" "&amp;Milestones!$AB$129&amp;" "&amp;Milestones!$AC$129&amp;";  ","")&amp;IF(AND(EDATE($D29,Milestones!$AA$130)&lt;=AsOfDate,IF($Q29=0,$W29,IF(AND($S29&lt;&gt;"",EDATE($D29,Milestones!$AA$130)&gt;=$S29),$V29,IF(AND($R29&lt;&gt;"",EDATE($D29,Milestones!$AA$130)&gt;=$R29),$U29,$T29)))=Milestones!$AB$130),TEXT(EDATE($D29,Milestones!$AA$130),"dd/mm/yy")&amp;" "&amp;Milestones!$AB$130&amp;" "&amp;Milestones!$AC$130&amp;";  ","")&amp;IF(AND(EDATE($D29,Milestones!$AA$131)&lt;=AsOfDate,IF($Q29=0,$W29,IF(AND($S29&lt;&gt;"",EDATE($D29,Milestones!$AA$131)&gt;=$S29),$V29,IF(AND($R29&lt;&gt;"",EDATE($D29,Milestones!$AA$131)&gt;=$R29),$U29,$T29)))=Milestones!$AB$131),TEXT(EDATE($D29,Milestones!$AA$131),"dd/mm/yy")&amp;" "&amp;Milestones!$AB$131&amp;" "&amp;Milestones!$AC$131&amp;";  ","")&amp;IF(AND(EDATE($D29,Milestones!$AA$132)&lt;=AsOfDate,IF($Q29=0,$W29,IF(AND($S29&lt;&gt;"",EDATE($D29,Milestones!$AA$132)&gt;=$S29),$V29,IF(AND($R29&lt;&gt;"",EDATE($D29,Milestones!$AA$132)&gt;=$R29),$U29,$T29)))=Milestones!$AB$132),TEXT(EDATE($D29,Milestones!$AA$132),"dd/mm/yy")&amp;" "&amp;Milestones!$AB$132&amp;" "&amp;Milestones!$AC$132&amp;";  ","")&amp;IF(AND(EDATE($D29,Milestones!$AA$133)&lt;=AsOfDate,IF($Q29=0,$W29,IF(AND($S29&lt;&gt;"",EDATE($D29,Milestones!$AA$133)&gt;=$S29),$V29,IF(AND($R29&lt;&gt;"",EDATE($D29,Milestones!$AA$133)&gt;=$R29),$U29,$T29)))=Milestones!$AB$133),TEXT(EDATE($D29,Milestones!$AA$133),"dd/mm/yy")&amp;" "&amp;Milestones!$AB$133&amp;" "&amp;Milestones!$AC$133&amp;";  ","")&amp;IF(AND(EDATE($D29,Milestones!$AA$134)&lt;=AsOfDate,IF($Q29=0,$W29,IF(AND($S29&lt;&gt;"",EDATE($D29,Milestones!$AA$134)&gt;=$S29),$V29,IF(AND($R29&lt;&gt;"",EDATE($D29,Milestones!$AA$134)&gt;=$R29),$U29,$T29)))=Milestones!$AB$134),TEXT(EDATE($D29,Milestones!$AA$134),"dd/mm/yy")&amp;" "&amp;Milestones!$AB$134&amp;" "&amp;Milestones!$AC$134&amp;";  ","")&amp;IF(AND(EDATE($D29,Milestones!$AA$135)&lt;=AsOfDate,IF($Q29=0,$W29,IF(AND($S29&lt;&gt;"",EDATE($D29,Milestones!$AA$135)&gt;=$S29),$V29,IF(AND($R29&lt;&gt;"",EDATE($D29,Milestones!$AA$135)&gt;=$R29),$U29,$T29)))=Milestones!$AB$135),TEXT(EDATE($D29,Milestones!$AA$135),"dd/mm/yy")&amp;" "&amp;Milestones!$AB$135&amp;" "&amp;Milestones!$AC$135&amp;";  ","")&amp;IF(AND(EDATE($D29,Milestones!$AA$136)&lt;=AsOfDate,IF($Q29=0,$W29,IF(AND($S29&lt;&gt;"",EDATE($D29,Milestones!$AA$136)&gt;=$S29),$V29,IF(AND($R29&lt;&gt;"",EDATE($D29,Milestones!$AA$136)&gt;=$R29),$U29,$T29)))=Milestones!$AB$136),TEXT(EDATE($D29,Milestones!$AA$136),"dd/mm/yy")&amp;" "&amp;Milestones!$AB$136&amp;" "&amp;Milestones!$AC$136&amp;";  ","")&amp;IF(AND(EDATE($D29,Milestones!$AA$137)&lt;=AsOfDate,IF($Q29=0,$W29,IF(AND($S29&lt;&gt;"",EDATE($D29,Milestones!$AA$137)&gt;=$S29),$V29,IF(AND($R29&lt;&gt;"",EDATE($D29,Milestones!$AA$137)&gt;=$R29),$U29,$T29)))=Milestones!$AB$137),TEXT(EDATE($D29,Milestones!$AA$137),"dd/mm/yy")&amp;" "&amp;Milestones!$AB$137&amp;" "&amp;Milestones!$AC$137&amp;";  ","")&amp;IF(AND(EDATE($D29,Milestones!$AA$138)&lt;=AsOfDate,IF($Q29=0,$W29,IF(AND($S29&lt;&gt;"",EDATE($D29,Milestones!$AA$138)&gt;=$S29),$V29,IF(AND($R29&lt;&gt;"",EDATE($D29,Milestones!$AA$138)&gt;=$R29),$U29,$T29)))=Milestones!$AB$138),TEXT(EDATE($D29,Milestones!$AA$138),"dd/mm/yy")&amp;" "&amp;Milestones!$AB$138&amp;" "&amp;Milestones!$AC$138&amp;";  ","")&amp;IF(AND(EDATE($D29,Milestones!$AA$139)&lt;=AsOfDate,IF($Q29=0,$W29,IF(AND($S29&lt;&gt;"",EDATE($D29,Milestones!$AA$139)&gt;=$S29),$V29,IF(AND($R29&lt;&gt;"",EDATE($D29,Milestones!$AA$139)&gt;=$R29),$U29,$T29)))=Milestones!$AB$139),TEXT(EDATE($D29,Milestones!$AA$139),"dd/mm/yy")&amp;" "&amp;Milestones!$AB$139&amp;" "&amp;Milestones!$AC$139&amp;";  ",""))</f>
        <v/>
      </c>
      <c r="N29" s="0" t="str">
        <f aca="false">IF(OR($A29="",$D29=""),"",IF(AND(EDATE($D29,Milestones!$AA$140)&lt;=AsOfDate,IF($Q29=0,$W29,IF(AND($S29&lt;&gt;"",EDATE($D29,Milestones!$AA$140)&gt;=$S29),$V29,IF(AND($R29&lt;&gt;"",EDATE($D29,Milestones!$AA$140)&gt;=$R29),$U29,$T29)))=Milestones!$AB$140),TEXT(EDATE($D29,Milestones!$AA$140),"dd/mm/yy")&amp;" "&amp;Milestones!$AB$140&amp;" "&amp;Milestones!$AC$140&amp;";  ","")&amp;IF(AND(EDATE($D29,Milestones!$AA$141)&lt;=AsOfDate,IF($Q29=0,$W29,IF(AND($S29&lt;&gt;"",EDATE($D29,Milestones!$AA$141)&gt;=$S29),$V29,IF(AND($R29&lt;&gt;"",EDATE($D29,Milestones!$AA$141)&gt;=$R29),$U29,$T29)))=Milestones!$AB$141),TEXT(EDATE($D29,Milestones!$AA$141),"dd/mm/yy")&amp;" "&amp;Milestones!$AB$141&amp;" "&amp;Milestones!$AC$141&amp;";  ","")&amp;IF(AND(EDATE($D29,Milestones!$AA$142)&lt;=AsOfDate,IF($Q29=0,$W29,IF(AND($S29&lt;&gt;"",EDATE($D29,Milestones!$AA$142)&gt;=$S29),$V29,IF(AND($R29&lt;&gt;"",EDATE($D29,Milestones!$AA$142)&gt;=$R29),$U29,$T29)))=Milestones!$AB$142),TEXT(EDATE($D29,Milestones!$AA$142),"dd/mm/yy")&amp;" "&amp;Milestones!$AB$142&amp;" "&amp;Milestones!$AC$142&amp;";  ","")&amp;IF(AND(EDATE($D29,Milestones!$AA$143)&lt;=AsOfDate,IF($Q29=0,$W29,IF(AND($S29&lt;&gt;"",EDATE($D29,Milestones!$AA$143)&gt;=$S29),$V29,IF(AND($R29&lt;&gt;"",EDATE($D29,Milestones!$AA$143)&gt;=$R29),$U29,$T29)))=Milestones!$AB$143),TEXT(EDATE($D29,Milestones!$AA$143),"dd/mm/yy")&amp;" "&amp;Milestones!$AB$143&amp;" "&amp;Milestones!$AC$143&amp;";  ","")&amp;IF(AND(EDATE($D29,Milestones!$AA$144)&lt;=AsOfDate,IF($Q29=0,$W29,IF(AND($S29&lt;&gt;"",EDATE($D29,Milestones!$AA$144)&gt;=$S29),$V29,IF(AND($R29&lt;&gt;"",EDATE($D29,Milestones!$AA$144)&gt;=$R29),$U29,$T29)))=Milestones!$AB$144),TEXT(EDATE($D29,Milestones!$AA$144),"dd/mm/yy")&amp;" "&amp;Milestones!$AB$144&amp;" "&amp;Milestones!$AC$144&amp;";  ","")&amp;IF(AND(EDATE($D29,Milestones!$AA$145)&lt;=AsOfDate,IF($Q29=0,$W29,IF(AND($S29&lt;&gt;"",EDATE($D29,Milestones!$AA$145)&gt;=$S29),$V29,IF(AND($R29&lt;&gt;"",EDATE($D29,Milestones!$AA$145)&gt;=$R29),$U29,$T29)))=Milestones!$AB$145),TEXT(EDATE($D29,Milestones!$AA$145),"dd/mm/yy")&amp;" "&amp;Milestones!$AB$145&amp;" "&amp;Milestones!$AC$145&amp;";  ","")&amp;IF(AND(EDATE($D29,Milestones!$AA$146)&lt;=AsOfDate,IF($Q29=0,$W29,IF(AND($S29&lt;&gt;"",EDATE($D29,Milestones!$AA$146)&gt;=$S29),$V29,IF(AND($R29&lt;&gt;"",EDATE($D29,Milestones!$AA$146)&gt;=$R29),$U29,$T29)))=Milestones!$AB$146),TEXT(EDATE($D29,Milestones!$AA$146),"dd/mm/yy")&amp;" "&amp;Milestones!$AB$146&amp;" "&amp;Milestones!$AC$146&amp;";  ","")&amp;IF(AND(EDATE($D29,Milestones!$AA$147)&lt;=AsOfDate,IF($Q29=0,$W29,IF(AND($S29&lt;&gt;"",EDATE($D29,Milestones!$AA$147)&gt;=$S29),$V29,IF(AND($R29&lt;&gt;"",EDATE($D29,Milestones!$AA$147)&gt;=$R29),$U29,$T29)))=Milestones!$AB$147),TEXT(EDATE($D29,Milestones!$AA$147),"dd/mm/yy")&amp;" "&amp;Milestones!$AB$147&amp;" "&amp;Milestones!$AC$147&amp;";  ","")&amp;IF(AND(EDATE($D29,Milestones!$AA$148)&lt;=AsOfDate,IF($Q29=0,$W29,IF(AND($S29&lt;&gt;"",EDATE($D29,Milestones!$AA$148)&gt;=$S29),$V29,IF(AND($R29&lt;&gt;"",EDATE($D29,Milestones!$AA$148)&gt;=$R29),$U29,$T29)))=Milestones!$AB$148),TEXT(EDATE($D29,Milestones!$AA$148),"dd/mm/yy")&amp;" "&amp;Milestones!$AB$148&amp;" "&amp;Milestones!$AC$148&amp;";  ","")&amp;IF(AND(EDATE($D29,Milestones!$AA$149)&lt;=AsOfDate,IF($Q29=0,$W29,IF(AND($S29&lt;&gt;"",EDATE($D29,Milestones!$AA$149)&gt;=$S29),$V29,IF(AND($R29&lt;&gt;"",EDATE($D29,Milestones!$AA$149)&gt;=$R29),$U29,$T29)))=Milestones!$AB$149),TEXT(EDATE($D29,Milestones!$AA$149),"dd/mm/yy")&amp;" "&amp;Milestones!$AB$149&amp;" "&amp;Milestones!$AC$149&amp;";  ","")&amp;IF(AND(EDATE($D29,Milestones!$AA$150)&lt;=AsOfDate,IF($Q29=0,$W29,IF(AND($S29&lt;&gt;"",EDATE($D29,Milestones!$AA$150)&gt;=$S29),$V29,IF(AND($R29&lt;&gt;"",EDATE($D29,Milestones!$AA$150)&gt;=$R29),$U29,$T29)))=Milestones!$AB$150),TEXT(EDATE($D29,Milestones!$AA$150),"dd/mm/yy")&amp;" "&amp;Milestones!$AB$150&amp;" "&amp;Milestones!$AC$150&amp;";  ","")&amp;IF(AND(EDATE($D29,Milestones!$AA$151)&lt;=AsOfDate,IF($Q29=0,$W29,IF(AND($S29&lt;&gt;"",EDATE($D29,Milestones!$AA$151)&gt;=$S29),$V29,IF(AND($R29&lt;&gt;"",EDATE($D29,Milestones!$AA$151)&gt;=$R29),$U29,$T29)))=Milestones!$AB$151),TEXT(EDATE($D29,Milestones!$AA$151),"dd/mm/yy")&amp;" "&amp;Milestones!$AB$151&amp;" "&amp;Milestones!$AC$151&amp;";  ","")&amp;IF(AND(EDATE($D29,Milestones!$AA$152)&lt;=AsOfDate,IF($Q29=0,$W29,IF(AND($S29&lt;&gt;"",EDATE($D29,Milestones!$AA$152)&gt;=$S29),$V29,IF(AND($R29&lt;&gt;"",EDATE($D29,Milestones!$AA$152)&gt;=$R29),$U29,$T29)))=Milestones!$AB$152),TEXT(EDATE($D29,Milestones!$AA$152),"dd/mm/yy")&amp;" "&amp;Milestones!$AB$152&amp;" "&amp;Milestones!$AC$152&amp;";  ","")&amp;IF(AND(EDATE($D29,Milestones!$AA$153)&lt;=AsOfDate,IF($Q29=0,$W29,IF(AND($S29&lt;&gt;"",EDATE($D29,Milestones!$AA$153)&gt;=$S29),$V29,IF(AND($R29&lt;&gt;"",EDATE($D29,Milestones!$AA$153)&gt;=$R29),$U29,$T29)))=Milestones!$AB$153),TEXT(EDATE($D29,Milestones!$AA$153),"dd/mm/yy")&amp;" "&amp;Milestones!$AB$153&amp;" "&amp;Milestones!$AC$153&amp;";  ","")&amp;IF(AND(EDATE($D29,Milestones!$AA$154)&lt;=AsOfDate,IF($Q29=0,$W29,IF(AND($S29&lt;&gt;"",EDATE($D29,Milestones!$AA$154)&gt;=$S29),$V29,IF(AND($R29&lt;&gt;"",EDATE($D29,Milestones!$AA$154)&gt;=$R29),$U29,$T29)))=Milestones!$AB$154),TEXT(EDATE($D29,Milestones!$AA$154),"dd/mm/yy")&amp;" "&amp;Milestones!$AB$154&amp;" "&amp;Milestones!$AC$154&amp;";  ","")&amp;IF(AND(EDATE($D29,Milestones!$AA$155)&lt;=AsOfDate,IF($Q29=0,$W29,IF(AND($S29&lt;&gt;"",EDATE($D29,Milestones!$AA$155)&gt;=$S29),$V29,IF(AND($R29&lt;&gt;"",EDATE($D29,Milestones!$AA$155)&gt;=$R29),$U29,$T29)))=Milestones!$AB$155),TEXT(EDATE($D29,Milestones!$AA$155),"dd/mm/yy")&amp;" "&amp;Milestones!$AB$155&amp;" "&amp;Milestones!$AC$155&amp;";  ","")&amp;IF(AND(EDATE($D29,Milestones!$AA$156)&lt;=AsOfDate,IF($Q29=0,$W29,IF(AND($S29&lt;&gt;"",EDATE($D29,Milestones!$AA$156)&gt;=$S29),$V29,IF(AND($R29&lt;&gt;"",EDATE($D29,Milestones!$AA$156)&gt;=$R29),$U29,$T29)))=Milestones!$AB$156),TEXT(EDATE($D29,Milestones!$AA$156),"dd/mm/yy")&amp;" "&amp;Milestones!$AB$156&amp;" "&amp;Milestones!$AC$156&amp;";  ","")&amp;IF(AND(EDATE($D29,Milestones!$AA$157)&lt;=AsOfDate,IF($Q29=0,$W29,IF(AND($S29&lt;&gt;"",EDATE($D29,Milestones!$AA$157)&gt;=$S29),$V29,IF(AND($R29&lt;&gt;"",EDATE($D29,Milestones!$AA$157)&gt;=$R29),$U29,$T29)))=Milestones!$AB$157),TEXT(EDATE($D29,Milestones!$AA$157),"dd/mm/yy")&amp;" "&amp;Milestones!$AB$157&amp;" "&amp;Milestones!$AC$157&amp;";  ","")&amp;IF(AND(EDATE($D29,Milestones!$AA$158)&lt;=AsOfDate,IF($Q29=0,$W29,IF(AND($S29&lt;&gt;"",EDATE($D29,Milestones!$AA$158)&gt;=$S29),$V29,IF(AND($R29&lt;&gt;"",EDATE($D29,Milestones!$AA$158)&gt;=$R29),$U29,$T29)))=Milestones!$AB$158),TEXT(EDATE($D29,Milestones!$AA$158),"dd/mm/yy")&amp;" "&amp;Milestones!$AB$158&amp;" "&amp;Milestones!$AC$158&amp;";  ","")&amp;IF(AND(EDATE($D29,Milestones!$AA$159)&lt;=AsOfDate,IF($Q29=0,$W29,IF(AND($S29&lt;&gt;"",EDATE($D29,Milestones!$AA$159)&gt;=$S29),$V29,IF(AND($R29&lt;&gt;"",EDATE($D29,Milestones!$AA$159)&gt;=$R29),$U29,$T29)))=Milestones!$AB$159),TEXT(EDATE($D29,Milestones!$AA$159),"dd/mm/yy")&amp;" "&amp;Milestones!$AB$159&amp;" "&amp;Milestones!$AC$159&amp;";  ",""))</f>
        <v/>
      </c>
      <c r="O29" s="0" t="str">
        <f aca="false">IF(OR($A29="",$D29=""),"",IF(AND(EDATE($D29,Milestones!$AA$160)&lt;=AsOfDate,IF($Q29=0,$W29,IF(AND($S29&lt;&gt;"",EDATE($D29,Milestones!$AA$160)&gt;=$S29),$V29,IF(AND($R29&lt;&gt;"",EDATE($D29,Milestones!$AA$160)&gt;=$R29),$U29,$T29)))=Milestones!$AB$160),TEXT(EDATE($D29,Milestones!$AA$160),"dd/mm/yy")&amp;" "&amp;Milestones!$AB$160&amp;" "&amp;Milestones!$AC$160&amp;";  ","")&amp;IF(AND(EDATE($D29,Milestones!$AA$161)&lt;=AsOfDate,IF($Q29=0,$W29,IF(AND($S29&lt;&gt;"",EDATE($D29,Milestones!$AA$161)&gt;=$S29),$V29,IF(AND($R29&lt;&gt;"",EDATE($D29,Milestones!$AA$161)&gt;=$R29),$U29,$T29)))=Milestones!$AB$161),TEXT(EDATE($D29,Milestones!$AA$161),"dd/mm/yy")&amp;" "&amp;Milestones!$AB$161&amp;" "&amp;Milestones!$AC$161&amp;";  ","")&amp;IF(AND(EDATE($D29,Milestones!$AA$162)&lt;=AsOfDate,IF($Q29=0,$W29,IF(AND($S29&lt;&gt;"",EDATE($D29,Milestones!$AA$162)&gt;=$S29),$V29,IF(AND($R29&lt;&gt;"",EDATE($D29,Milestones!$AA$162)&gt;=$R29),$U29,$T29)))=Milestones!$AB$162),TEXT(EDATE($D29,Milestones!$AA$162),"dd/mm/yy")&amp;" "&amp;Milestones!$AB$162&amp;" "&amp;Milestones!$AC$162&amp;";  ","")&amp;IF(AND(EDATE($D29,Milestones!$AA$163)&lt;=AsOfDate,IF($Q29=0,$W29,IF(AND($S29&lt;&gt;"",EDATE($D29,Milestones!$AA$163)&gt;=$S29),$V29,IF(AND($R29&lt;&gt;"",EDATE($D29,Milestones!$AA$163)&gt;=$R29),$U29,$T29)))=Milestones!$AB$163),TEXT(EDATE($D29,Milestones!$AA$163),"dd/mm/yy")&amp;" "&amp;Milestones!$AB$163&amp;" "&amp;Milestones!$AC$163&amp;";  ","")&amp;IF(AND(EDATE($D29,Milestones!$AA$164)&lt;=AsOfDate,IF($Q29=0,$W29,IF(AND($S29&lt;&gt;"",EDATE($D29,Milestones!$AA$164)&gt;=$S29),$V29,IF(AND($R29&lt;&gt;"",EDATE($D29,Milestones!$AA$164)&gt;=$R29),$U29,$T29)))=Milestones!$AB$164),TEXT(EDATE($D29,Milestones!$AA$164),"dd/mm/yy")&amp;" "&amp;Milestones!$AB$164&amp;" "&amp;Milestones!$AC$164&amp;";  ","")&amp;IF(AND(EDATE($D29,Milestones!$AA$165)&lt;=AsOfDate,IF($Q29=0,$W29,IF(AND($S29&lt;&gt;"",EDATE($D29,Milestones!$AA$165)&gt;=$S29),$V29,IF(AND($R29&lt;&gt;"",EDATE($D29,Milestones!$AA$165)&gt;=$R29),$U29,$T29)))=Milestones!$AB$165),TEXT(EDATE($D29,Milestones!$AA$165),"dd/mm/yy")&amp;" "&amp;Milestones!$AB$165&amp;" "&amp;Milestones!$AC$165&amp;";  ","")&amp;IF(AND(EDATE($D29,Milestones!$AA$166)&lt;=AsOfDate,IF($Q29=0,$W29,IF(AND($S29&lt;&gt;"",EDATE($D29,Milestones!$AA$166)&gt;=$S29),$V29,IF(AND($R29&lt;&gt;"",EDATE($D29,Milestones!$AA$166)&gt;=$R29),$U29,$T29)))=Milestones!$AB$166),TEXT(EDATE($D29,Milestones!$AA$166),"dd/mm/yy")&amp;" "&amp;Milestones!$AB$166&amp;" "&amp;Milestones!$AC$166&amp;";  ","")&amp;IF(AND(EDATE($D29,Milestones!$AA$167)&lt;=AsOfDate,IF($Q29=0,$W29,IF(AND($S29&lt;&gt;"",EDATE($D29,Milestones!$AA$167)&gt;=$S29),$V29,IF(AND($R29&lt;&gt;"",EDATE($D29,Milestones!$AA$167)&gt;=$R29),$U29,$T29)))=Milestones!$AB$167),TEXT(EDATE($D29,Milestones!$AA$167),"dd/mm/yy")&amp;" "&amp;Milestones!$AB$167&amp;" "&amp;Milestones!$AC$167&amp;";  ","")&amp;IF(AND(EDATE($D29,Milestones!$AA$168)&lt;=AsOfDate,IF($Q29=0,$W29,IF(AND($S29&lt;&gt;"",EDATE($D29,Milestones!$AA$168)&gt;=$S29),$V29,IF(AND($R29&lt;&gt;"",EDATE($D29,Milestones!$AA$168)&gt;=$R29),$U29,$T29)))=Milestones!$AB$168),TEXT(EDATE($D29,Milestones!$AA$168),"dd/mm/yy")&amp;" "&amp;Milestones!$AB$168&amp;" "&amp;Milestones!$AC$168&amp;";  ","")&amp;IF(AND(EDATE($D29,Milestones!$AA$169)&lt;=AsOfDate,IF($Q29=0,$W29,IF(AND($S29&lt;&gt;"",EDATE($D29,Milestones!$AA$169)&gt;=$S29),$V29,IF(AND($R29&lt;&gt;"",EDATE($D29,Milestones!$AA$169)&gt;=$R29),$U29,$T29)))=Milestones!$AB$169),TEXT(EDATE($D29,Milestones!$AA$169),"dd/mm/yy")&amp;" "&amp;Milestones!$AB$169&amp;" "&amp;Milestones!$AC$169&amp;";  ","")&amp;IF(AND(EDATE($D29,Milestones!$AA$170)&lt;=AsOfDate,IF($Q29=0,$W29,IF(AND($S29&lt;&gt;"",EDATE($D29,Milestones!$AA$170)&gt;=$S29),$V29,IF(AND($R29&lt;&gt;"",EDATE($D29,Milestones!$AA$170)&gt;=$R29),$U29,$T29)))=Milestones!$AB$170),TEXT(EDATE($D29,Milestones!$AA$170),"dd/mm/yy")&amp;" "&amp;Milestones!$AB$170&amp;" "&amp;Milestones!$AC$170&amp;";  ","")&amp;IF(AND(EDATE($D29,Milestones!$AA$171)&lt;=AsOfDate,IF($Q29=0,$W29,IF(AND($S29&lt;&gt;"",EDATE($D29,Milestones!$AA$171)&gt;=$S29),$V29,IF(AND($R29&lt;&gt;"",EDATE($D29,Milestones!$AA$171)&gt;=$R29),$U29,$T29)))=Milestones!$AB$171),TEXT(EDATE($D29,Milestones!$AA$171),"dd/mm/yy")&amp;" "&amp;Milestones!$AB$171&amp;" "&amp;Milestones!$AC$171&amp;";  ","")&amp;IF(AND(EDATE($D29,Milestones!$AA$172)&lt;=AsOfDate,IF($Q29=0,$W29,IF(AND($S29&lt;&gt;"",EDATE($D29,Milestones!$AA$172)&gt;=$S29),$V29,IF(AND($R29&lt;&gt;"",EDATE($D29,Milestones!$AA$172)&gt;=$R29),$U29,$T29)))=Milestones!$AB$172),TEXT(EDATE($D29,Milestones!$AA$172),"dd/mm/yy")&amp;" "&amp;Milestones!$AB$172&amp;" "&amp;Milestones!$AC$172&amp;";  ","")&amp;IF(AND(EDATE($D29,Milestones!$AA$173)&lt;=AsOfDate,IF($Q29=0,$W29,IF(AND($S29&lt;&gt;"",EDATE($D29,Milestones!$AA$173)&gt;=$S29),$V29,IF(AND($R29&lt;&gt;"",EDATE($D29,Milestones!$AA$173)&gt;=$R29),$U29,$T29)))=Milestones!$AB$173),TEXT(EDATE($D29,Milestones!$AA$173),"dd/mm/yy")&amp;" "&amp;Milestones!$AB$173&amp;" "&amp;Milestones!$AC$173&amp;";  ","")&amp;IF(AND(EDATE($D29,Milestones!$AA$174)&lt;=AsOfDate,IF($Q29=0,$W29,IF(AND($S29&lt;&gt;"",EDATE($D29,Milestones!$AA$174)&gt;=$S29),$V29,IF(AND($R29&lt;&gt;"",EDATE($D29,Milestones!$AA$174)&gt;=$R29),$U29,$T29)))=Milestones!$AB$174),TEXT(EDATE($D29,Milestones!$AA$174),"dd/mm/yy")&amp;" "&amp;Milestones!$AB$174&amp;" "&amp;Milestones!$AC$174&amp;";  ","")&amp;IF(AND(EDATE($D29,Milestones!$AA$175)&lt;=AsOfDate,IF($Q29=0,$W29,IF(AND($S29&lt;&gt;"",EDATE($D29,Milestones!$AA$175)&gt;=$S29),$V29,IF(AND($R29&lt;&gt;"",EDATE($D29,Milestones!$AA$175)&gt;=$R29),$U29,$T29)))=Milestones!$AB$175),TEXT(EDATE($D29,Milestones!$AA$175),"dd/mm/yy")&amp;" "&amp;Milestones!$AB$175&amp;" "&amp;Milestones!$AC$175&amp;";  ","")&amp;IF(AND(EDATE($D29,Milestones!$AA$176)&lt;=AsOfDate,IF($Q29=0,$W29,IF(AND($S29&lt;&gt;"",EDATE($D29,Milestones!$AA$176)&gt;=$S29),$V29,IF(AND($R29&lt;&gt;"",EDATE($D29,Milestones!$AA$176)&gt;=$R29),$U29,$T29)))=Milestones!$AB$176),TEXT(EDATE($D29,Milestones!$AA$176),"dd/mm/yy")&amp;" "&amp;Milestones!$AB$176&amp;" "&amp;Milestones!$AC$176&amp;";  ","")&amp;IF(AND(EDATE($D29,Milestones!$AA$177)&lt;=AsOfDate,IF($Q29=0,$W29,IF(AND($S29&lt;&gt;"",EDATE($D29,Milestones!$AA$177)&gt;=$S29),$V29,IF(AND($R29&lt;&gt;"",EDATE($D29,Milestones!$AA$177)&gt;=$R29),$U29,$T29)))=Milestones!$AB$177),TEXT(EDATE($D29,Milestones!$AA$177),"dd/mm/yy")&amp;" "&amp;Milestones!$AB$177&amp;" "&amp;Milestones!$AC$177&amp;";  ","")&amp;IF(AND(EDATE($D29,Milestones!$AA$178)&lt;=AsOfDate,IF($Q29=0,$W29,IF(AND($S29&lt;&gt;"",EDATE($D29,Milestones!$AA$178)&gt;=$S29),$V29,IF(AND($R29&lt;&gt;"",EDATE($D29,Milestones!$AA$178)&gt;=$R29),$U29,$T29)))=Milestones!$AB$178),TEXT(EDATE($D29,Milestones!$AA$178),"dd/mm/yy")&amp;" "&amp;Milestones!$AB$178&amp;" "&amp;Milestones!$AC$178&amp;";  ","")&amp;IF(AND(EDATE($D29,Milestones!$AA$179)&lt;=AsOfDate,IF($Q29=0,$W29,IF(AND($S29&lt;&gt;"",EDATE($D29,Milestones!$AA$179)&gt;=$S29),$V29,IF(AND($R29&lt;&gt;"",EDATE($D29,Milestones!$AA$179)&gt;=$R29),$U29,$T29)))=Milestones!$AB$179),TEXT(EDATE($D29,Milestones!$AA$179),"dd/mm/yy")&amp;" "&amp;Milestones!$AB$179&amp;" "&amp;Milestones!$AC$179&amp;";  ",""))</f>
        <v/>
      </c>
      <c r="P29" s="0" t="str">
        <f aca="false">IF(OR($A29="",$D29=""),"",IF(AND(EDATE($D29,Milestones!$AA$180)&lt;=AsOfDate,IF($Q29=0,$W29,IF(AND($S29&lt;&gt;"",EDATE($D29,Milestones!$AA$180)&gt;=$S29),$V29,IF(AND($R29&lt;&gt;"",EDATE($D29,Milestones!$AA$180)&gt;=$R29),$U29,$T29)))=Milestones!$AB$180),TEXT(EDATE($D29,Milestones!$AA$180),"dd/mm/yy")&amp;" "&amp;Milestones!$AB$180&amp;" "&amp;Milestones!$AC$180&amp;";  ","")&amp;IF(AND(EDATE($D29,Milestones!$AA$181)&lt;=AsOfDate,IF($Q29=0,$W29,IF(AND($S29&lt;&gt;"",EDATE($D29,Milestones!$AA$181)&gt;=$S29),$V29,IF(AND($R29&lt;&gt;"",EDATE($D29,Milestones!$AA$181)&gt;=$R29),$U29,$T29)))=Milestones!$AB$181),TEXT(EDATE($D29,Milestones!$AA$181),"dd/mm/yy")&amp;" "&amp;Milestones!$AB$181&amp;" "&amp;Milestones!$AC$181&amp;";  ","")&amp;IF(AND(EDATE($D29,Milestones!$AA$182)&lt;=AsOfDate,IF($Q29=0,$W29,IF(AND($S29&lt;&gt;"",EDATE($D29,Milestones!$AA$182)&gt;=$S29),$V29,IF(AND($R29&lt;&gt;"",EDATE($D29,Milestones!$AA$182)&gt;=$R29),$U29,$T29)))=Milestones!$AB$182),TEXT(EDATE($D29,Milestones!$AA$182),"dd/mm/yy")&amp;" "&amp;Milestones!$AB$182&amp;" "&amp;Milestones!$AC$182&amp;";  ","")&amp;IF(AND(EDATE($D29,Milestones!$AA$183)&lt;=AsOfDate,IF($Q29=0,$W29,IF(AND($S29&lt;&gt;"",EDATE($D29,Milestones!$AA$183)&gt;=$S29),$V29,IF(AND($R29&lt;&gt;"",EDATE($D29,Milestones!$AA$183)&gt;=$R29),$U29,$T29)))=Milestones!$AB$183),TEXT(EDATE($D29,Milestones!$AA$183),"dd/mm/yy")&amp;" "&amp;Milestones!$AB$183&amp;" "&amp;Milestones!$AC$183&amp;";  ","")&amp;IF(AND(EDATE($D29,Milestones!$AA$184)&lt;=AsOfDate,IF($Q29=0,$W29,IF(AND($S29&lt;&gt;"",EDATE($D29,Milestones!$AA$184)&gt;=$S29),$V29,IF(AND($R29&lt;&gt;"",EDATE($D29,Milestones!$AA$184)&gt;=$R29),$U29,$T29)))=Milestones!$AB$184),TEXT(EDATE($D29,Milestones!$AA$184),"dd/mm/yy")&amp;" "&amp;Milestones!$AB$184&amp;" "&amp;Milestones!$AC$184&amp;";  ","")&amp;IF(AND(EDATE($D29,Milestones!$AA$185)&lt;=AsOfDate,IF($Q29=0,$W29,IF(AND($S29&lt;&gt;"",EDATE($D29,Milestones!$AA$185)&gt;=$S29),$V29,IF(AND($R29&lt;&gt;"",EDATE($D29,Milestones!$AA$185)&gt;=$R29),$U29,$T29)))=Milestones!$AB$185),TEXT(EDATE($D29,Milestones!$AA$185),"dd/mm/yy")&amp;" "&amp;Milestones!$AB$185&amp;" "&amp;Milestones!$AC$185&amp;";  ","")&amp;IF(AND(EDATE($D29,Milestones!$AA$186)&lt;=AsOfDate,IF($Q29=0,$W29,IF(AND($S29&lt;&gt;"",EDATE($D29,Milestones!$AA$186)&gt;=$S29),$V29,IF(AND($R29&lt;&gt;"",EDATE($D29,Milestones!$AA$186)&gt;=$R29),$U29,$T29)))=Milestones!$AB$186),TEXT(EDATE($D29,Milestones!$AA$186),"dd/mm/yy")&amp;" "&amp;Milestones!$AB$186&amp;" "&amp;Milestones!$AC$186&amp;";  ","")&amp;IF(AND(EDATE($D29,Milestones!$AA$187)&lt;=AsOfDate,IF($Q29=0,$W29,IF(AND($S29&lt;&gt;"",EDATE($D29,Milestones!$AA$187)&gt;=$S29),$V29,IF(AND($R29&lt;&gt;"",EDATE($D29,Milestones!$AA$187)&gt;=$R29),$U29,$T29)))=Milestones!$AB$187),TEXT(EDATE($D29,Milestones!$AA$187),"dd/mm/yy")&amp;" "&amp;Milestones!$AB$187&amp;" "&amp;Milestones!$AC$187&amp;";  ","")&amp;IF(AND(EDATE($D29,Milestones!$AA$188)&lt;=AsOfDate,IF($Q29=0,$W29,IF(AND($S29&lt;&gt;"",EDATE($D29,Milestones!$AA$188)&gt;=$S29),$V29,IF(AND($R29&lt;&gt;"",EDATE($D29,Milestones!$AA$188)&gt;=$R29),$U29,$T29)))=Milestones!$AB$188),TEXT(EDATE($D29,Milestones!$AA$188),"dd/mm/yy")&amp;" "&amp;Milestones!$AB$188&amp;" "&amp;Milestones!$AC$188&amp;";  ","")&amp;IF(AND(EDATE($D29,Milestones!$AA$189)&lt;=AsOfDate,IF($Q29=0,$W29,IF(AND($S29&lt;&gt;"",EDATE($D29,Milestones!$AA$189)&gt;=$S29),$V29,IF(AND($R29&lt;&gt;"",EDATE($D29,Milestones!$AA$189)&gt;=$R29),$U29,$T29)))=Milestones!$AB$189),TEXT(EDATE($D29,Milestones!$AA$189),"dd/mm/yy")&amp;" "&amp;Milestones!$AB$189&amp;" "&amp;Milestones!$AC$189&amp;";  ","")&amp;IF(AND(EDATE($D29,Milestones!$AA$190)&lt;=AsOfDate,IF($Q29=0,$W29,IF(AND($S29&lt;&gt;"",EDATE($D29,Milestones!$AA$190)&gt;=$S29),$V29,IF(AND($R29&lt;&gt;"",EDATE($D29,Milestones!$AA$190)&gt;=$R29),$U29,$T29)))=Milestones!$AB$190),TEXT(EDATE($D29,Milestones!$AA$190),"dd/mm/yy")&amp;" "&amp;Milestones!$AB$190&amp;" "&amp;Milestones!$AC$190&amp;";  ","")&amp;IF(AND(EDATE($D29,Milestones!$AA$191)&lt;=AsOfDate,IF($Q29=0,$W29,IF(AND($S29&lt;&gt;"",EDATE($D29,Milestones!$AA$191)&gt;=$S29),$V29,IF(AND($R29&lt;&gt;"",EDATE($D29,Milestones!$AA$191)&gt;=$R29),$U29,$T29)))=Milestones!$AB$191),TEXT(EDATE($D29,Milestones!$AA$191),"dd/mm/yy")&amp;" "&amp;Milestones!$AB$191&amp;" "&amp;Milestones!$AC$191&amp;";  ","")&amp;IF(AND(EDATE($D29,Milestones!$AA$192)&lt;=AsOfDate,IF($Q29=0,$W29,IF(AND($S29&lt;&gt;"",EDATE($D29,Milestones!$AA$192)&gt;=$S29),$V29,IF(AND($R29&lt;&gt;"",EDATE($D29,Milestones!$AA$192)&gt;=$R29),$U29,$T29)))=Milestones!$AB$192),TEXT(EDATE($D29,Milestones!$AA$192),"dd/mm/yy")&amp;" "&amp;Milestones!$AB$192&amp;" "&amp;Milestones!$AC$192&amp;";  ","")&amp;IF(AND(EDATE($D29,Milestones!$AA$193)&lt;=AsOfDate,IF($Q29=0,$W29,IF(AND($S29&lt;&gt;"",EDATE($D29,Milestones!$AA$193)&gt;=$S29),$V29,IF(AND($R29&lt;&gt;"",EDATE($D29,Milestones!$AA$193)&gt;=$R29),$U29,$T29)))=Milestones!$AB$193),TEXT(EDATE($D29,Milestones!$AA$193),"dd/mm/yy")&amp;" "&amp;Milestones!$AB$193&amp;" "&amp;Milestones!$AC$193&amp;";  ","")&amp;IF(AND(EDATE($D29,Milestones!$AA$194)&lt;=AsOfDate,IF($Q29=0,$W29,IF(AND($S29&lt;&gt;"",EDATE($D29,Milestones!$AA$194)&gt;=$S29),$V29,IF(AND($R29&lt;&gt;"",EDATE($D29,Milestones!$AA$194)&gt;=$R29),$U29,$T29)))=Milestones!$AB$194),TEXT(EDATE($D29,Milestones!$AA$194),"dd/mm/yy")&amp;" "&amp;Milestones!$AB$194&amp;" "&amp;Milestones!$AC$194&amp;";  ","")&amp;IF(AND(EDATE($D29,Milestones!$AA$195)&lt;=AsOfDate,IF($Q29=0,$W29,IF(AND($S29&lt;&gt;"",EDATE($D29,Milestones!$AA$195)&gt;=$S29),$V29,IF(AND($R29&lt;&gt;"",EDATE($D29,Milestones!$AA$195)&gt;=$R29),$U29,$T29)))=Milestones!$AB$195),TEXT(EDATE($D29,Milestones!$AA$195),"dd/mm/yy")&amp;" "&amp;Milestones!$AB$195&amp;" "&amp;Milestones!$AC$195&amp;";  ","")&amp;IF(AND(EDATE($D29,Milestones!$AA$196)&lt;=AsOfDate,IF($Q29=0,$W29,IF(AND($S29&lt;&gt;"",EDATE($D29,Milestones!$AA$196)&gt;=$S29),$V29,IF(AND($R29&lt;&gt;"",EDATE($D29,Milestones!$AA$196)&gt;=$R29),$U29,$T29)))=Milestones!$AB$196),TEXT(EDATE($D29,Milestones!$AA$196),"dd/mm/yy")&amp;" "&amp;Milestones!$AB$196&amp;" "&amp;Milestones!$AC$196&amp;";  ","")&amp;IF(AND(EDATE($D29,Milestones!$AA$197)&lt;=AsOfDate,IF($Q29=0,$W29,IF(AND($S29&lt;&gt;"",EDATE($D29,Milestones!$AA$197)&gt;=$S29),$V29,IF(AND($R29&lt;&gt;"",EDATE($D29,Milestones!$AA$197)&gt;=$R29),$U29,$T29)))=Milestones!$AB$197),TEXT(EDATE($D29,Milestones!$AA$197),"dd/mm/yy")&amp;" "&amp;Milestones!$AB$197&amp;" "&amp;Milestones!$AC$197&amp;";  ","")&amp;IF(AND(EDATE($D29,Milestones!$AA$198)&lt;=AsOfDate,IF($Q29=0,$W29,IF(AND($S29&lt;&gt;"",EDATE($D29,Milestones!$AA$198)&gt;=$S29),$V29,IF(AND($R29&lt;&gt;"",EDATE($D29,Milestones!$AA$198)&gt;=$R29),$U29,$T29)))=Milestones!$AB$198),TEXT(EDATE($D29,Milestones!$AA$198),"dd/mm/yy")&amp;" "&amp;Milestones!$AB$198&amp;" "&amp;Milestones!$AC$198&amp;";  ","")&amp;IF(AND(EDATE($D29,Milestones!$AA$199)&lt;=AsOfDate,IF($Q29=0,$W29,IF(AND($S29&lt;&gt;"",EDATE($D29,Milestones!$AA$199)&gt;=$S29),$V29,IF(AND($R29&lt;&gt;"",EDATE($D29,Milestones!$AA$199)&gt;=$R29),$U29,$T29)))=Milestones!$AB$199),TEXT(EDATE($D29,Milestones!$AA$199),"dd/mm/yy")&amp;" "&amp;Milestones!$AB$199&amp;" "&amp;Milestones!$AC$199&amp;";  ",""))</f>
        <v/>
      </c>
      <c r="Q29" s="0" t="str">
        <f aca="false">IF(Staff!$A29="","",Staff!$AG29)</f>
        <v/>
      </c>
      <c r="R29" s="0" t="str">
        <f aca="false">IF(Staff!$A29="","",Staff!$AI29)</f>
        <v/>
      </c>
      <c r="S29" s="0" t="str">
        <f aca="false">IF(Staff!$A29="","",Staff!$AJ29)</f>
        <v/>
      </c>
      <c r="T29" s="0" t="str">
        <f aca="false">IF(Staff!$A29="","",Staff!$AN29)</f>
        <v/>
      </c>
      <c r="U29" s="0" t="str">
        <f aca="false">IF(Staff!$A29="","",Staff!$AO29)</f>
        <v/>
      </c>
      <c r="V29" s="0" t="str">
        <f aca="false">IF(Staff!$A29="","",Staff!$AP29)</f>
        <v/>
      </c>
      <c r="W29" s="0" t="str">
        <f aca="false">IF(Staff!$A29="","",Staff!$AQ29)</f>
        <v/>
      </c>
    </row>
    <row r="30" customFormat="false" ht="15" hidden="false" customHeight="false" outlineLevel="0" collapsed="false">
      <c r="A30" s="13" t="str">
        <f aca="false">IF(Staff!$A30="","",Staff!$A30)</f>
        <v/>
      </c>
      <c r="B30" s="13" t="str">
        <f aca="false">IF(Staff!$A30="","",Staff!$B30)</f>
        <v/>
      </c>
      <c r="C30" s="13" t="str">
        <f aca="false">IF(Staff!$A30="","",Staff!$C30)</f>
        <v/>
      </c>
      <c r="D30" s="11" t="str">
        <f aca="false">IF(Staff!$A30="","",Staff!$AF30)</f>
        <v/>
      </c>
      <c r="E30" s="13" t="str">
        <f aca="false">IF(Staff!$A30="","",Staff!$O30)</f>
        <v/>
      </c>
      <c r="F30" s="13" t="str">
        <f aca="false">IF(E30="","",E30*HoursPerDay)</f>
        <v/>
      </c>
      <c r="G30" s="26" t="str">
        <f aca="false">IF($A30="","",H30&amp;I30&amp;J30&amp;K30&amp;L30&amp;M30&amp;N30&amp;O30&amp;P30)</f>
        <v/>
      </c>
      <c r="H30" s="0" t="str">
        <f aca="false">IF(OR($A30="",$D30=""),"",IF(AND(EDATE($D30,Milestones!$AA$20)&lt;=AsOfDate,IF($Q30=0,$W30,IF(AND($S30&lt;&gt;"",EDATE($D30,Milestones!$AA$20)&gt;=$S30),$V30,IF(AND($R30&lt;&gt;"",EDATE($D30,Milestones!$AA$20)&gt;=$R30),$U30,$T30)))=Milestones!$AB$20),TEXT(EDATE($D30,Milestones!$AA$20),"dd/mm/yy")&amp;" "&amp;Milestones!$AB$20&amp;" "&amp;Milestones!$AC$20&amp;";  ","")&amp;IF(AND(EDATE($D30,Milestones!$AA$21)&lt;=AsOfDate,IF($Q30=0,$W30,IF(AND($S30&lt;&gt;"",EDATE($D30,Milestones!$AA$21)&gt;=$S30),$V30,IF(AND($R30&lt;&gt;"",EDATE($D30,Milestones!$AA$21)&gt;=$R30),$U30,$T30)))=Milestones!$AB$21),TEXT(EDATE($D30,Milestones!$AA$21),"dd/mm/yy")&amp;" "&amp;Milestones!$AB$21&amp;" "&amp;Milestones!$AC$21&amp;";  ","")&amp;IF(AND(EDATE($D30,Milestones!$AA$22)&lt;=AsOfDate,IF($Q30=0,$W30,IF(AND($S30&lt;&gt;"",EDATE($D30,Milestones!$AA$22)&gt;=$S30),$V30,IF(AND($R30&lt;&gt;"",EDATE($D30,Milestones!$AA$22)&gt;=$R30),$U30,$T30)))=Milestones!$AB$22),TEXT(EDATE($D30,Milestones!$AA$22),"dd/mm/yy")&amp;" "&amp;Milestones!$AB$22&amp;" "&amp;Milestones!$AC$22&amp;";  ","")&amp;IF(AND(EDATE($D30,Milestones!$AA$23)&lt;=AsOfDate,IF($Q30=0,$W30,IF(AND($S30&lt;&gt;"",EDATE($D30,Milestones!$AA$23)&gt;=$S30),$V30,IF(AND($R30&lt;&gt;"",EDATE($D30,Milestones!$AA$23)&gt;=$R30),$U30,$T30)))=Milestones!$AB$23),TEXT(EDATE($D30,Milestones!$AA$23),"dd/mm/yy")&amp;" "&amp;Milestones!$AB$23&amp;" "&amp;Milestones!$AC$23&amp;";  ","")&amp;IF(AND(EDATE($D30,Milestones!$AA$24)&lt;=AsOfDate,IF($Q30=0,$W30,IF(AND($S30&lt;&gt;"",EDATE($D30,Milestones!$AA$24)&gt;=$S30),$V30,IF(AND($R30&lt;&gt;"",EDATE($D30,Milestones!$AA$24)&gt;=$R30),$U30,$T30)))=Milestones!$AB$24),TEXT(EDATE($D30,Milestones!$AA$24),"dd/mm/yy")&amp;" "&amp;Milestones!$AB$24&amp;" "&amp;Milestones!$AC$24&amp;";  ","")&amp;IF(AND(EDATE($D30,Milestones!$AA$25)&lt;=AsOfDate,IF($Q30=0,$W30,IF(AND($S30&lt;&gt;"",EDATE($D30,Milestones!$AA$25)&gt;=$S30),$V30,IF(AND($R30&lt;&gt;"",EDATE($D30,Milestones!$AA$25)&gt;=$R30),$U30,$T30)))=Milestones!$AB$25),TEXT(EDATE($D30,Milestones!$AA$25),"dd/mm/yy")&amp;" "&amp;Milestones!$AB$25&amp;" "&amp;Milestones!$AC$25&amp;";  ","")&amp;IF(AND(EDATE($D30,Milestones!$AA$26)&lt;=AsOfDate,IF($Q30=0,$W30,IF(AND($S30&lt;&gt;"",EDATE($D30,Milestones!$AA$26)&gt;=$S30),$V30,IF(AND($R30&lt;&gt;"",EDATE($D30,Milestones!$AA$26)&gt;=$R30),$U30,$T30)))=Milestones!$AB$26),TEXT(EDATE($D30,Milestones!$AA$26),"dd/mm/yy")&amp;" "&amp;Milestones!$AB$26&amp;" "&amp;Milestones!$AC$26&amp;";  ","")&amp;IF(AND(EDATE($D30,Milestones!$AA$27)&lt;=AsOfDate,IF($Q30=0,$W30,IF(AND($S30&lt;&gt;"",EDATE($D30,Milestones!$AA$27)&gt;=$S30),$V30,IF(AND($R30&lt;&gt;"",EDATE($D30,Milestones!$AA$27)&gt;=$R30),$U30,$T30)))=Milestones!$AB$27),TEXT(EDATE($D30,Milestones!$AA$27),"dd/mm/yy")&amp;" "&amp;Milestones!$AB$27&amp;" "&amp;Milestones!$AC$27&amp;";  ","")&amp;IF(AND(EDATE($D30,Milestones!$AA$28)&lt;=AsOfDate,IF($Q30=0,$W30,IF(AND($S30&lt;&gt;"",EDATE($D30,Milestones!$AA$28)&gt;=$S30),$V30,IF(AND($R30&lt;&gt;"",EDATE($D30,Milestones!$AA$28)&gt;=$R30),$U30,$T30)))=Milestones!$AB$28),TEXT(EDATE($D30,Milestones!$AA$28),"dd/mm/yy")&amp;" "&amp;Milestones!$AB$28&amp;" "&amp;Milestones!$AC$28&amp;";  ","")&amp;IF(AND(EDATE($D30,Milestones!$AA$29)&lt;=AsOfDate,IF($Q30=0,$W30,IF(AND($S30&lt;&gt;"",EDATE($D30,Milestones!$AA$29)&gt;=$S30),$V30,IF(AND($R30&lt;&gt;"",EDATE($D30,Milestones!$AA$29)&gt;=$R30),$U30,$T30)))=Milestones!$AB$29),TEXT(EDATE($D30,Milestones!$AA$29),"dd/mm/yy")&amp;" "&amp;Milestones!$AB$29&amp;" "&amp;Milestones!$AC$29&amp;";  ","")&amp;IF(AND(EDATE($D30,Milestones!$AA$30)&lt;=AsOfDate,IF($Q30=0,$W30,IF(AND($S30&lt;&gt;"",EDATE($D30,Milestones!$AA$30)&gt;=$S30),$V30,IF(AND($R30&lt;&gt;"",EDATE($D30,Milestones!$AA$30)&gt;=$R30),$U30,$T30)))=Milestones!$AB$30),TEXT(EDATE($D30,Milestones!$AA$30),"dd/mm/yy")&amp;" "&amp;Milestones!$AB$30&amp;" "&amp;Milestones!$AC$30&amp;";  ","")&amp;IF(AND(EDATE($D30,Milestones!$AA$31)&lt;=AsOfDate,IF($Q30=0,$W30,IF(AND($S30&lt;&gt;"",EDATE($D30,Milestones!$AA$31)&gt;=$S30),$V30,IF(AND($R30&lt;&gt;"",EDATE($D30,Milestones!$AA$31)&gt;=$R30),$U30,$T30)))=Milestones!$AB$31),TEXT(EDATE($D30,Milestones!$AA$31),"dd/mm/yy")&amp;" "&amp;Milestones!$AB$31&amp;" "&amp;Milestones!$AC$31&amp;";  ","")&amp;IF(AND(EDATE($D30,Milestones!$AA$32)&lt;=AsOfDate,IF($Q30=0,$W30,IF(AND($S30&lt;&gt;"",EDATE($D30,Milestones!$AA$32)&gt;=$S30),$V30,IF(AND($R30&lt;&gt;"",EDATE($D30,Milestones!$AA$32)&gt;=$R30),$U30,$T30)))=Milestones!$AB$32),TEXT(EDATE($D30,Milestones!$AA$32),"dd/mm/yy")&amp;" "&amp;Milestones!$AB$32&amp;" "&amp;Milestones!$AC$32&amp;";  ","")&amp;IF(AND(EDATE($D30,Milestones!$AA$33)&lt;=AsOfDate,IF($Q30=0,$W30,IF(AND($S30&lt;&gt;"",EDATE($D30,Milestones!$AA$33)&gt;=$S30),$V30,IF(AND($R30&lt;&gt;"",EDATE($D30,Milestones!$AA$33)&gt;=$R30),$U30,$T30)))=Milestones!$AB$33),TEXT(EDATE($D30,Milestones!$AA$33),"dd/mm/yy")&amp;" "&amp;Milestones!$AB$33&amp;" "&amp;Milestones!$AC$33&amp;";  ","")&amp;IF(AND(EDATE($D30,Milestones!$AA$34)&lt;=AsOfDate,IF($Q30=0,$W30,IF(AND($S30&lt;&gt;"",EDATE($D30,Milestones!$AA$34)&gt;=$S30),$V30,IF(AND($R30&lt;&gt;"",EDATE($D30,Milestones!$AA$34)&gt;=$R30),$U30,$T30)))=Milestones!$AB$34),TEXT(EDATE($D30,Milestones!$AA$34),"dd/mm/yy")&amp;" "&amp;Milestones!$AB$34&amp;" "&amp;Milestones!$AC$34&amp;";  ","")&amp;IF(AND(EDATE($D30,Milestones!$AA$35)&lt;=AsOfDate,IF($Q30=0,$W30,IF(AND($S30&lt;&gt;"",EDATE($D30,Milestones!$AA$35)&gt;=$S30),$V30,IF(AND($R30&lt;&gt;"",EDATE($D30,Milestones!$AA$35)&gt;=$R30),$U30,$T30)))=Milestones!$AB$35),TEXT(EDATE($D30,Milestones!$AA$35),"dd/mm/yy")&amp;" "&amp;Milestones!$AB$35&amp;" "&amp;Milestones!$AC$35&amp;";  ","")&amp;IF(AND(EDATE($D30,Milestones!$AA$36)&lt;=AsOfDate,IF($Q30=0,$W30,IF(AND($S30&lt;&gt;"",EDATE($D30,Milestones!$AA$36)&gt;=$S30),$V30,IF(AND($R30&lt;&gt;"",EDATE($D30,Milestones!$AA$36)&gt;=$R30),$U30,$T30)))=Milestones!$AB$36),TEXT(EDATE($D30,Milestones!$AA$36),"dd/mm/yy")&amp;" "&amp;Milestones!$AB$36&amp;" "&amp;Milestones!$AC$36&amp;";  ","")&amp;IF(AND(EDATE($D30,Milestones!$AA$37)&lt;=AsOfDate,IF($Q30=0,$W30,IF(AND($S30&lt;&gt;"",EDATE($D30,Milestones!$AA$37)&gt;=$S30),$V30,IF(AND($R30&lt;&gt;"",EDATE($D30,Milestones!$AA$37)&gt;=$R30),$U30,$T30)))=Milestones!$AB$37),TEXT(EDATE($D30,Milestones!$AA$37),"dd/mm/yy")&amp;" "&amp;Milestones!$AB$37&amp;" "&amp;Milestones!$AC$37&amp;";  ","")&amp;IF(AND(EDATE($D30,Milestones!$AA$38)&lt;=AsOfDate,IF($Q30=0,$W30,IF(AND($S30&lt;&gt;"",EDATE($D30,Milestones!$AA$38)&gt;=$S30),$V30,IF(AND($R30&lt;&gt;"",EDATE($D30,Milestones!$AA$38)&gt;=$R30),$U30,$T30)))=Milestones!$AB$38),TEXT(EDATE($D30,Milestones!$AA$38),"dd/mm/yy")&amp;" "&amp;Milestones!$AB$38&amp;" "&amp;Milestones!$AC$38&amp;";  ","")&amp;IF(AND(EDATE($D30,Milestones!$AA$39)&lt;=AsOfDate,IF($Q30=0,$W30,IF(AND($S30&lt;&gt;"",EDATE($D30,Milestones!$AA$39)&gt;=$S30),$V30,IF(AND($R30&lt;&gt;"",EDATE($D30,Milestones!$AA$39)&gt;=$R30),$U30,$T30)))=Milestones!$AB$39),TEXT(EDATE($D30,Milestones!$AA$39),"dd/mm/yy")&amp;" "&amp;Milestones!$AB$39&amp;" "&amp;Milestones!$AC$39&amp;";  ",""))</f>
        <v/>
      </c>
      <c r="I30" s="0" t="str">
        <f aca="false">IF(OR($A30="",$D30=""),"",IF(AND(EDATE($D30,Milestones!$AA$40)&lt;=AsOfDate,IF($Q30=0,$W30,IF(AND($S30&lt;&gt;"",EDATE($D30,Milestones!$AA$40)&gt;=$S30),$V30,IF(AND($R30&lt;&gt;"",EDATE($D30,Milestones!$AA$40)&gt;=$R30),$U30,$T30)))=Milestones!$AB$40),TEXT(EDATE($D30,Milestones!$AA$40),"dd/mm/yy")&amp;" "&amp;Milestones!$AB$40&amp;" "&amp;Milestones!$AC$40&amp;";  ","")&amp;IF(AND(EDATE($D30,Milestones!$AA$41)&lt;=AsOfDate,IF($Q30=0,$W30,IF(AND($S30&lt;&gt;"",EDATE($D30,Milestones!$AA$41)&gt;=$S30),$V30,IF(AND($R30&lt;&gt;"",EDATE($D30,Milestones!$AA$41)&gt;=$R30),$U30,$T30)))=Milestones!$AB$41),TEXT(EDATE($D30,Milestones!$AA$41),"dd/mm/yy")&amp;" "&amp;Milestones!$AB$41&amp;" "&amp;Milestones!$AC$41&amp;";  ","")&amp;IF(AND(EDATE($D30,Milestones!$AA$42)&lt;=AsOfDate,IF($Q30=0,$W30,IF(AND($S30&lt;&gt;"",EDATE($D30,Milestones!$AA$42)&gt;=$S30),$V30,IF(AND($R30&lt;&gt;"",EDATE($D30,Milestones!$AA$42)&gt;=$R30),$U30,$T30)))=Milestones!$AB$42),TEXT(EDATE($D30,Milestones!$AA$42),"dd/mm/yy")&amp;" "&amp;Milestones!$AB$42&amp;" "&amp;Milestones!$AC$42&amp;";  ","")&amp;IF(AND(EDATE($D30,Milestones!$AA$43)&lt;=AsOfDate,IF($Q30=0,$W30,IF(AND($S30&lt;&gt;"",EDATE($D30,Milestones!$AA$43)&gt;=$S30),$V30,IF(AND($R30&lt;&gt;"",EDATE($D30,Milestones!$AA$43)&gt;=$R30),$U30,$T30)))=Milestones!$AB$43),TEXT(EDATE($D30,Milestones!$AA$43),"dd/mm/yy")&amp;" "&amp;Milestones!$AB$43&amp;" "&amp;Milestones!$AC$43&amp;";  ","")&amp;IF(AND(EDATE($D30,Milestones!$AA$44)&lt;=AsOfDate,IF($Q30=0,$W30,IF(AND($S30&lt;&gt;"",EDATE($D30,Milestones!$AA$44)&gt;=$S30),$V30,IF(AND($R30&lt;&gt;"",EDATE($D30,Milestones!$AA$44)&gt;=$R30),$U30,$T30)))=Milestones!$AB$44),TEXT(EDATE($D30,Milestones!$AA$44),"dd/mm/yy")&amp;" "&amp;Milestones!$AB$44&amp;" "&amp;Milestones!$AC$44&amp;";  ","")&amp;IF(AND(EDATE($D30,Milestones!$AA$45)&lt;=AsOfDate,IF($Q30=0,$W30,IF(AND($S30&lt;&gt;"",EDATE($D30,Milestones!$AA$45)&gt;=$S30),$V30,IF(AND($R30&lt;&gt;"",EDATE($D30,Milestones!$AA$45)&gt;=$R30),$U30,$T30)))=Milestones!$AB$45),TEXT(EDATE($D30,Milestones!$AA$45),"dd/mm/yy")&amp;" "&amp;Milestones!$AB$45&amp;" "&amp;Milestones!$AC$45&amp;";  ","")&amp;IF(AND(EDATE($D30,Milestones!$AA$46)&lt;=AsOfDate,IF($Q30=0,$W30,IF(AND($S30&lt;&gt;"",EDATE($D30,Milestones!$AA$46)&gt;=$S30),$V30,IF(AND($R30&lt;&gt;"",EDATE($D30,Milestones!$AA$46)&gt;=$R30),$U30,$T30)))=Milestones!$AB$46),TEXT(EDATE($D30,Milestones!$AA$46),"dd/mm/yy")&amp;" "&amp;Milestones!$AB$46&amp;" "&amp;Milestones!$AC$46&amp;";  ","")&amp;IF(AND(EDATE($D30,Milestones!$AA$47)&lt;=AsOfDate,IF($Q30=0,$W30,IF(AND($S30&lt;&gt;"",EDATE($D30,Milestones!$AA$47)&gt;=$S30),$V30,IF(AND($R30&lt;&gt;"",EDATE($D30,Milestones!$AA$47)&gt;=$R30),$U30,$T30)))=Milestones!$AB$47),TEXT(EDATE($D30,Milestones!$AA$47),"dd/mm/yy")&amp;" "&amp;Milestones!$AB$47&amp;" "&amp;Milestones!$AC$47&amp;";  ","")&amp;IF(AND(EDATE($D30,Milestones!$AA$48)&lt;=AsOfDate,IF($Q30=0,$W30,IF(AND($S30&lt;&gt;"",EDATE($D30,Milestones!$AA$48)&gt;=$S30),$V30,IF(AND($R30&lt;&gt;"",EDATE($D30,Milestones!$AA$48)&gt;=$R30),$U30,$T30)))=Milestones!$AB$48),TEXT(EDATE($D30,Milestones!$AA$48),"dd/mm/yy")&amp;" "&amp;Milestones!$AB$48&amp;" "&amp;Milestones!$AC$48&amp;";  ","")&amp;IF(AND(EDATE($D30,Milestones!$AA$49)&lt;=AsOfDate,IF($Q30=0,$W30,IF(AND($S30&lt;&gt;"",EDATE($D30,Milestones!$AA$49)&gt;=$S30),$V30,IF(AND($R30&lt;&gt;"",EDATE($D30,Milestones!$AA$49)&gt;=$R30),$U30,$T30)))=Milestones!$AB$49),TEXT(EDATE($D30,Milestones!$AA$49),"dd/mm/yy")&amp;" "&amp;Milestones!$AB$49&amp;" "&amp;Milestones!$AC$49&amp;";  ","")&amp;IF(AND(EDATE($D30,Milestones!$AA$50)&lt;=AsOfDate,IF($Q30=0,$W30,IF(AND($S30&lt;&gt;"",EDATE($D30,Milestones!$AA$50)&gt;=$S30),$V30,IF(AND($R30&lt;&gt;"",EDATE($D30,Milestones!$AA$50)&gt;=$R30),$U30,$T30)))=Milestones!$AB$50),TEXT(EDATE($D30,Milestones!$AA$50),"dd/mm/yy")&amp;" "&amp;Milestones!$AB$50&amp;" "&amp;Milestones!$AC$50&amp;";  ","")&amp;IF(AND(EDATE($D30,Milestones!$AA$51)&lt;=AsOfDate,IF($Q30=0,$W30,IF(AND($S30&lt;&gt;"",EDATE($D30,Milestones!$AA$51)&gt;=$S30),$V30,IF(AND($R30&lt;&gt;"",EDATE($D30,Milestones!$AA$51)&gt;=$R30),$U30,$T30)))=Milestones!$AB$51),TEXT(EDATE($D30,Milestones!$AA$51),"dd/mm/yy")&amp;" "&amp;Milestones!$AB$51&amp;" "&amp;Milestones!$AC$51&amp;";  ","")&amp;IF(AND(EDATE($D30,Milestones!$AA$52)&lt;=AsOfDate,IF($Q30=0,$W30,IF(AND($S30&lt;&gt;"",EDATE($D30,Milestones!$AA$52)&gt;=$S30),$V30,IF(AND($R30&lt;&gt;"",EDATE($D30,Milestones!$AA$52)&gt;=$R30),$U30,$T30)))=Milestones!$AB$52),TEXT(EDATE($D30,Milestones!$AA$52),"dd/mm/yy")&amp;" "&amp;Milestones!$AB$52&amp;" "&amp;Milestones!$AC$52&amp;";  ","")&amp;IF(AND(EDATE($D30,Milestones!$AA$53)&lt;=AsOfDate,IF($Q30=0,$W30,IF(AND($S30&lt;&gt;"",EDATE($D30,Milestones!$AA$53)&gt;=$S30),$V30,IF(AND($R30&lt;&gt;"",EDATE($D30,Milestones!$AA$53)&gt;=$R30),$U30,$T30)))=Milestones!$AB$53),TEXT(EDATE($D30,Milestones!$AA$53),"dd/mm/yy")&amp;" "&amp;Milestones!$AB$53&amp;" "&amp;Milestones!$AC$53&amp;";  ","")&amp;IF(AND(EDATE($D30,Milestones!$AA$54)&lt;=AsOfDate,IF($Q30=0,$W30,IF(AND($S30&lt;&gt;"",EDATE($D30,Milestones!$AA$54)&gt;=$S30),$V30,IF(AND($R30&lt;&gt;"",EDATE($D30,Milestones!$AA$54)&gt;=$R30),$U30,$T30)))=Milestones!$AB$54),TEXT(EDATE($D30,Milestones!$AA$54),"dd/mm/yy")&amp;" "&amp;Milestones!$AB$54&amp;" "&amp;Milestones!$AC$54&amp;";  ","")&amp;IF(AND(EDATE($D30,Milestones!$AA$55)&lt;=AsOfDate,IF($Q30=0,$W30,IF(AND($S30&lt;&gt;"",EDATE($D30,Milestones!$AA$55)&gt;=$S30),$V30,IF(AND($R30&lt;&gt;"",EDATE($D30,Milestones!$AA$55)&gt;=$R30),$U30,$T30)))=Milestones!$AB$55),TEXT(EDATE($D30,Milestones!$AA$55),"dd/mm/yy")&amp;" "&amp;Milestones!$AB$55&amp;" "&amp;Milestones!$AC$55&amp;";  ","")&amp;IF(AND(EDATE($D30,Milestones!$AA$56)&lt;=AsOfDate,IF($Q30=0,$W30,IF(AND($S30&lt;&gt;"",EDATE($D30,Milestones!$AA$56)&gt;=$S30),$V30,IF(AND($R30&lt;&gt;"",EDATE($D30,Milestones!$AA$56)&gt;=$R30),$U30,$T30)))=Milestones!$AB$56),TEXT(EDATE($D30,Milestones!$AA$56),"dd/mm/yy")&amp;" "&amp;Milestones!$AB$56&amp;" "&amp;Milestones!$AC$56&amp;";  ","")&amp;IF(AND(EDATE($D30,Milestones!$AA$57)&lt;=AsOfDate,IF($Q30=0,$W30,IF(AND($S30&lt;&gt;"",EDATE($D30,Milestones!$AA$57)&gt;=$S30),$V30,IF(AND($R30&lt;&gt;"",EDATE($D30,Milestones!$AA$57)&gt;=$R30),$U30,$T30)))=Milestones!$AB$57),TEXT(EDATE($D30,Milestones!$AA$57),"dd/mm/yy")&amp;" "&amp;Milestones!$AB$57&amp;" "&amp;Milestones!$AC$57&amp;";  ","")&amp;IF(AND(EDATE($D30,Milestones!$AA$58)&lt;=AsOfDate,IF($Q30=0,$W30,IF(AND($S30&lt;&gt;"",EDATE($D30,Milestones!$AA$58)&gt;=$S30),$V30,IF(AND($R30&lt;&gt;"",EDATE($D30,Milestones!$AA$58)&gt;=$R30),$U30,$T30)))=Milestones!$AB$58),TEXT(EDATE($D30,Milestones!$AA$58),"dd/mm/yy")&amp;" "&amp;Milestones!$AB$58&amp;" "&amp;Milestones!$AC$58&amp;";  ","")&amp;IF(AND(EDATE($D30,Milestones!$AA$59)&lt;=AsOfDate,IF($Q30=0,$W30,IF(AND($S30&lt;&gt;"",EDATE($D30,Milestones!$AA$59)&gt;=$S30),$V30,IF(AND($R30&lt;&gt;"",EDATE($D30,Milestones!$AA$59)&gt;=$R30),$U30,$T30)))=Milestones!$AB$59),TEXT(EDATE($D30,Milestones!$AA$59),"dd/mm/yy")&amp;" "&amp;Milestones!$AB$59&amp;" "&amp;Milestones!$AC$59&amp;";  ",""))</f>
        <v/>
      </c>
      <c r="J30" s="0" t="str">
        <f aca="false">IF(OR($A30="",$D30=""),"",IF(AND(EDATE($D30,Milestones!$AA$60)&lt;=AsOfDate,IF($Q30=0,$W30,IF(AND($S30&lt;&gt;"",EDATE($D30,Milestones!$AA$60)&gt;=$S30),$V30,IF(AND($R30&lt;&gt;"",EDATE($D30,Milestones!$AA$60)&gt;=$R30),$U30,$T30)))=Milestones!$AB$60),TEXT(EDATE($D30,Milestones!$AA$60),"dd/mm/yy")&amp;" "&amp;Milestones!$AB$60&amp;" "&amp;Milestones!$AC$60&amp;";  ","")&amp;IF(AND(EDATE($D30,Milestones!$AA$61)&lt;=AsOfDate,IF($Q30=0,$W30,IF(AND($S30&lt;&gt;"",EDATE($D30,Milestones!$AA$61)&gt;=$S30),$V30,IF(AND($R30&lt;&gt;"",EDATE($D30,Milestones!$AA$61)&gt;=$R30),$U30,$T30)))=Milestones!$AB$61),TEXT(EDATE($D30,Milestones!$AA$61),"dd/mm/yy")&amp;" "&amp;Milestones!$AB$61&amp;" "&amp;Milestones!$AC$61&amp;";  ","")&amp;IF(AND(EDATE($D30,Milestones!$AA$62)&lt;=AsOfDate,IF($Q30=0,$W30,IF(AND($S30&lt;&gt;"",EDATE($D30,Milestones!$AA$62)&gt;=$S30),$V30,IF(AND($R30&lt;&gt;"",EDATE($D30,Milestones!$AA$62)&gt;=$R30),$U30,$T30)))=Milestones!$AB$62),TEXT(EDATE($D30,Milestones!$AA$62),"dd/mm/yy")&amp;" "&amp;Milestones!$AB$62&amp;" "&amp;Milestones!$AC$62&amp;";  ","")&amp;IF(AND(EDATE($D30,Milestones!$AA$63)&lt;=AsOfDate,IF($Q30=0,$W30,IF(AND($S30&lt;&gt;"",EDATE($D30,Milestones!$AA$63)&gt;=$S30),$V30,IF(AND($R30&lt;&gt;"",EDATE($D30,Milestones!$AA$63)&gt;=$R30),$U30,$T30)))=Milestones!$AB$63),TEXT(EDATE($D30,Milestones!$AA$63),"dd/mm/yy")&amp;" "&amp;Milestones!$AB$63&amp;" "&amp;Milestones!$AC$63&amp;";  ","")&amp;IF(AND(EDATE($D30,Milestones!$AA$64)&lt;=AsOfDate,IF($Q30=0,$W30,IF(AND($S30&lt;&gt;"",EDATE($D30,Milestones!$AA$64)&gt;=$S30),$V30,IF(AND($R30&lt;&gt;"",EDATE($D30,Milestones!$AA$64)&gt;=$R30),$U30,$T30)))=Milestones!$AB$64),TEXT(EDATE($D30,Milestones!$AA$64),"dd/mm/yy")&amp;" "&amp;Milestones!$AB$64&amp;" "&amp;Milestones!$AC$64&amp;";  ","")&amp;IF(AND(EDATE($D30,Milestones!$AA$65)&lt;=AsOfDate,IF($Q30=0,$W30,IF(AND($S30&lt;&gt;"",EDATE($D30,Milestones!$AA$65)&gt;=$S30),$V30,IF(AND($R30&lt;&gt;"",EDATE($D30,Milestones!$AA$65)&gt;=$R30),$U30,$T30)))=Milestones!$AB$65),TEXT(EDATE($D30,Milestones!$AA$65),"dd/mm/yy")&amp;" "&amp;Milestones!$AB$65&amp;" "&amp;Milestones!$AC$65&amp;";  ","")&amp;IF(AND(EDATE($D30,Milestones!$AA$66)&lt;=AsOfDate,IF($Q30=0,$W30,IF(AND($S30&lt;&gt;"",EDATE($D30,Milestones!$AA$66)&gt;=$S30),$V30,IF(AND($R30&lt;&gt;"",EDATE($D30,Milestones!$AA$66)&gt;=$R30),$U30,$T30)))=Milestones!$AB$66),TEXT(EDATE($D30,Milestones!$AA$66),"dd/mm/yy")&amp;" "&amp;Milestones!$AB$66&amp;" "&amp;Milestones!$AC$66&amp;";  ","")&amp;IF(AND(EDATE($D30,Milestones!$AA$67)&lt;=AsOfDate,IF($Q30=0,$W30,IF(AND($S30&lt;&gt;"",EDATE($D30,Milestones!$AA$67)&gt;=$S30),$V30,IF(AND($R30&lt;&gt;"",EDATE($D30,Milestones!$AA$67)&gt;=$R30),$U30,$T30)))=Milestones!$AB$67),TEXT(EDATE($D30,Milestones!$AA$67),"dd/mm/yy")&amp;" "&amp;Milestones!$AB$67&amp;" "&amp;Milestones!$AC$67&amp;";  ","")&amp;IF(AND(EDATE($D30,Milestones!$AA$68)&lt;=AsOfDate,IF($Q30=0,$W30,IF(AND($S30&lt;&gt;"",EDATE($D30,Milestones!$AA$68)&gt;=$S30),$V30,IF(AND($R30&lt;&gt;"",EDATE($D30,Milestones!$AA$68)&gt;=$R30),$U30,$T30)))=Milestones!$AB$68),TEXT(EDATE($D30,Milestones!$AA$68),"dd/mm/yy")&amp;" "&amp;Milestones!$AB$68&amp;" "&amp;Milestones!$AC$68&amp;";  ","")&amp;IF(AND(EDATE($D30,Milestones!$AA$69)&lt;=AsOfDate,IF($Q30=0,$W30,IF(AND($S30&lt;&gt;"",EDATE($D30,Milestones!$AA$69)&gt;=$S30),$V30,IF(AND($R30&lt;&gt;"",EDATE($D30,Milestones!$AA$69)&gt;=$R30),$U30,$T30)))=Milestones!$AB$69),TEXT(EDATE($D30,Milestones!$AA$69),"dd/mm/yy")&amp;" "&amp;Milestones!$AB$69&amp;" "&amp;Milestones!$AC$69&amp;";  ","")&amp;IF(AND(EDATE($D30,Milestones!$AA$70)&lt;=AsOfDate,IF($Q30=0,$W30,IF(AND($S30&lt;&gt;"",EDATE($D30,Milestones!$AA$70)&gt;=$S30),$V30,IF(AND($R30&lt;&gt;"",EDATE($D30,Milestones!$AA$70)&gt;=$R30),$U30,$T30)))=Milestones!$AB$70),TEXT(EDATE($D30,Milestones!$AA$70),"dd/mm/yy")&amp;" "&amp;Milestones!$AB$70&amp;" "&amp;Milestones!$AC$70&amp;";  ","")&amp;IF(AND(EDATE($D30,Milestones!$AA$71)&lt;=AsOfDate,IF($Q30=0,$W30,IF(AND($S30&lt;&gt;"",EDATE($D30,Milestones!$AA$71)&gt;=$S30),$V30,IF(AND($R30&lt;&gt;"",EDATE($D30,Milestones!$AA$71)&gt;=$R30),$U30,$T30)))=Milestones!$AB$71),TEXT(EDATE($D30,Milestones!$AA$71),"dd/mm/yy")&amp;" "&amp;Milestones!$AB$71&amp;" "&amp;Milestones!$AC$71&amp;";  ","")&amp;IF(AND(EDATE($D30,Milestones!$AA$72)&lt;=AsOfDate,IF($Q30=0,$W30,IF(AND($S30&lt;&gt;"",EDATE($D30,Milestones!$AA$72)&gt;=$S30),$V30,IF(AND($R30&lt;&gt;"",EDATE($D30,Milestones!$AA$72)&gt;=$R30),$U30,$T30)))=Milestones!$AB$72),TEXT(EDATE($D30,Milestones!$AA$72),"dd/mm/yy")&amp;" "&amp;Milestones!$AB$72&amp;" "&amp;Milestones!$AC$72&amp;";  ","")&amp;IF(AND(EDATE($D30,Milestones!$AA$73)&lt;=AsOfDate,IF($Q30=0,$W30,IF(AND($S30&lt;&gt;"",EDATE($D30,Milestones!$AA$73)&gt;=$S30),$V30,IF(AND($R30&lt;&gt;"",EDATE($D30,Milestones!$AA$73)&gt;=$R30),$U30,$T30)))=Milestones!$AB$73),TEXT(EDATE($D30,Milestones!$AA$73),"dd/mm/yy")&amp;" "&amp;Milestones!$AB$73&amp;" "&amp;Milestones!$AC$73&amp;";  ","")&amp;IF(AND(EDATE($D30,Milestones!$AA$74)&lt;=AsOfDate,IF($Q30=0,$W30,IF(AND($S30&lt;&gt;"",EDATE($D30,Milestones!$AA$74)&gt;=$S30),$V30,IF(AND($R30&lt;&gt;"",EDATE($D30,Milestones!$AA$74)&gt;=$R30),$U30,$T30)))=Milestones!$AB$74),TEXT(EDATE($D30,Milestones!$AA$74),"dd/mm/yy")&amp;" "&amp;Milestones!$AB$74&amp;" "&amp;Milestones!$AC$74&amp;";  ","")&amp;IF(AND(EDATE($D30,Milestones!$AA$75)&lt;=AsOfDate,IF($Q30=0,$W30,IF(AND($S30&lt;&gt;"",EDATE($D30,Milestones!$AA$75)&gt;=$S30),$V30,IF(AND($R30&lt;&gt;"",EDATE($D30,Milestones!$AA$75)&gt;=$R30),$U30,$T30)))=Milestones!$AB$75),TEXT(EDATE($D30,Milestones!$AA$75),"dd/mm/yy")&amp;" "&amp;Milestones!$AB$75&amp;" "&amp;Milestones!$AC$75&amp;";  ","")&amp;IF(AND(EDATE($D30,Milestones!$AA$76)&lt;=AsOfDate,IF($Q30=0,$W30,IF(AND($S30&lt;&gt;"",EDATE($D30,Milestones!$AA$76)&gt;=$S30),$V30,IF(AND($R30&lt;&gt;"",EDATE($D30,Milestones!$AA$76)&gt;=$R30),$U30,$T30)))=Milestones!$AB$76),TEXT(EDATE($D30,Milestones!$AA$76),"dd/mm/yy")&amp;" "&amp;Milestones!$AB$76&amp;" "&amp;Milestones!$AC$76&amp;";  ","")&amp;IF(AND(EDATE($D30,Milestones!$AA$77)&lt;=AsOfDate,IF($Q30=0,$W30,IF(AND($S30&lt;&gt;"",EDATE($D30,Milestones!$AA$77)&gt;=$S30),$V30,IF(AND($R30&lt;&gt;"",EDATE($D30,Milestones!$AA$77)&gt;=$R30),$U30,$T30)))=Milestones!$AB$77),TEXT(EDATE($D30,Milestones!$AA$77),"dd/mm/yy")&amp;" "&amp;Milestones!$AB$77&amp;" "&amp;Milestones!$AC$77&amp;";  ","")&amp;IF(AND(EDATE($D30,Milestones!$AA$78)&lt;=AsOfDate,IF($Q30=0,$W30,IF(AND($S30&lt;&gt;"",EDATE($D30,Milestones!$AA$78)&gt;=$S30),$V30,IF(AND($R30&lt;&gt;"",EDATE($D30,Milestones!$AA$78)&gt;=$R30),$U30,$T30)))=Milestones!$AB$78),TEXT(EDATE($D30,Milestones!$AA$78),"dd/mm/yy")&amp;" "&amp;Milestones!$AB$78&amp;" "&amp;Milestones!$AC$78&amp;";  ","")&amp;IF(AND(EDATE($D30,Milestones!$AA$79)&lt;=AsOfDate,IF($Q30=0,$W30,IF(AND($S30&lt;&gt;"",EDATE($D30,Milestones!$AA$79)&gt;=$S30),$V30,IF(AND($R30&lt;&gt;"",EDATE($D30,Milestones!$AA$79)&gt;=$R30),$U30,$T30)))=Milestones!$AB$79),TEXT(EDATE($D30,Milestones!$AA$79),"dd/mm/yy")&amp;" "&amp;Milestones!$AB$79&amp;" "&amp;Milestones!$AC$79&amp;";  ",""))</f>
        <v/>
      </c>
      <c r="K30" s="0" t="str">
        <f aca="false">IF(OR($A30="",$D30=""),"",IF(AND(EDATE($D30,Milestones!$AA$80)&lt;=AsOfDate,IF($Q30=0,$W30,IF(AND($S30&lt;&gt;"",EDATE($D30,Milestones!$AA$80)&gt;=$S30),$V30,IF(AND($R30&lt;&gt;"",EDATE($D30,Milestones!$AA$80)&gt;=$R30),$U30,$T30)))=Milestones!$AB$80),TEXT(EDATE($D30,Milestones!$AA$80),"dd/mm/yy")&amp;" "&amp;Milestones!$AB$80&amp;" "&amp;Milestones!$AC$80&amp;";  ","")&amp;IF(AND(EDATE($D30,Milestones!$AA$81)&lt;=AsOfDate,IF($Q30=0,$W30,IF(AND($S30&lt;&gt;"",EDATE($D30,Milestones!$AA$81)&gt;=$S30),$V30,IF(AND($R30&lt;&gt;"",EDATE($D30,Milestones!$AA$81)&gt;=$R30),$U30,$T30)))=Milestones!$AB$81),TEXT(EDATE($D30,Milestones!$AA$81),"dd/mm/yy")&amp;" "&amp;Milestones!$AB$81&amp;" "&amp;Milestones!$AC$81&amp;";  ","")&amp;IF(AND(EDATE($D30,Milestones!$AA$82)&lt;=AsOfDate,IF($Q30=0,$W30,IF(AND($S30&lt;&gt;"",EDATE($D30,Milestones!$AA$82)&gt;=$S30),$V30,IF(AND($R30&lt;&gt;"",EDATE($D30,Milestones!$AA$82)&gt;=$R30),$U30,$T30)))=Milestones!$AB$82),TEXT(EDATE($D30,Milestones!$AA$82),"dd/mm/yy")&amp;" "&amp;Milestones!$AB$82&amp;" "&amp;Milestones!$AC$82&amp;";  ","")&amp;IF(AND(EDATE($D30,Milestones!$AA$83)&lt;=AsOfDate,IF($Q30=0,$W30,IF(AND($S30&lt;&gt;"",EDATE($D30,Milestones!$AA$83)&gt;=$S30),$V30,IF(AND($R30&lt;&gt;"",EDATE($D30,Milestones!$AA$83)&gt;=$R30),$U30,$T30)))=Milestones!$AB$83),TEXT(EDATE($D30,Milestones!$AA$83),"dd/mm/yy")&amp;" "&amp;Milestones!$AB$83&amp;" "&amp;Milestones!$AC$83&amp;";  ","")&amp;IF(AND(EDATE($D30,Milestones!$AA$84)&lt;=AsOfDate,IF($Q30=0,$W30,IF(AND($S30&lt;&gt;"",EDATE($D30,Milestones!$AA$84)&gt;=$S30),$V30,IF(AND($R30&lt;&gt;"",EDATE($D30,Milestones!$AA$84)&gt;=$R30),$U30,$T30)))=Milestones!$AB$84),TEXT(EDATE($D30,Milestones!$AA$84),"dd/mm/yy")&amp;" "&amp;Milestones!$AB$84&amp;" "&amp;Milestones!$AC$84&amp;";  ","")&amp;IF(AND(EDATE($D30,Milestones!$AA$85)&lt;=AsOfDate,IF($Q30=0,$W30,IF(AND($S30&lt;&gt;"",EDATE($D30,Milestones!$AA$85)&gt;=$S30),$V30,IF(AND($R30&lt;&gt;"",EDATE($D30,Milestones!$AA$85)&gt;=$R30),$U30,$T30)))=Milestones!$AB$85),TEXT(EDATE($D30,Milestones!$AA$85),"dd/mm/yy")&amp;" "&amp;Milestones!$AB$85&amp;" "&amp;Milestones!$AC$85&amp;";  ","")&amp;IF(AND(EDATE($D30,Milestones!$AA$86)&lt;=AsOfDate,IF($Q30=0,$W30,IF(AND($S30&lt;&gt;"",EDATE($D30,Milestones!$AA$86)&gt;=$S30),$V30,IF(AND($R30&lt;&gt;"",EDATE($D30,Milestones!$AA$86)&gt;=$R30),$U30,$T30)))=Milestones!$AB$86),TEXT(EDATE($D30,Milestones!$AA$86),"dd/mm/yy")&amp;" "&amp;Milestones!$AB$86&amp;" "&amp;Milestones!$AC$86&amp;";  ","")&amp;IF(AND(EDATE($D30,Milestones!$AA$87)&lt;=AsOfDate,IF($Q30=0,$W30,IF(AND($S30&lt;&gt;"",EDATE($D30,Milestones!$AA$87)&gt;=$S30),$V30,IF(AND($R30&lt;&gt;"",EDATE($D30,Milestones!$AA$87)&gt;=$R30),$U30,$T30)))=Milestones!$AB$87),TEXT(EDATE($D30,Milestones!$AA$87),"dd/mm/yy")&amp;" "&amp;Milestones!$AB$87&amp;" "&amp;Milestones!$AC$87&amp;";  ","")&amp;IF(AND(EDATE($D30,Milestones!$AA$88)&lt;=AsOfDate,IF($Q30=0,$W30,IF(AND($S30&lt;&gt;"",EDATE($D30,Milestones!$AA$88)&gt;=$S30),$V30,IF(AND($R30&lt;&gt;"",EDATE($D30,Milestones!$AA$88)&gt;=$R30),$U30,$T30)))=Milestones!$AB$88),TEXT(EDATE($D30,Milestones!$AA$88),"dd/mm/yy")&amp;" "&amp;Milestones!$AB$88&amp;" "&amp;Milestones!$AC$88&amp;";  ","")&amp;IF(AND(EDATE($D30,Milestones!$AA$89)&lt;=AsOfDate,IF($Q30=0,$W30,IF(AND($S30&lt;&gt;"",EDATE($D30,Milestones!$AA$89)&gt;=$S30),$V30,IF(AND($R30&lt;&gt;"",EDATE($D30,Milestones!$AA$89)&gt;=$R30),$U30,$T30)))=Milestones!$AB$89),TEXT(EDATE($D30,Milestones!$AA$89),"dd/mm/yy")&amp;" "&amp;Milestones!$AB$89&amp;" "&amp;Milestones!$AC$89&amp;";  ","")&amp;IF(AND(EDATE($D30,Milestones!$AA$90)&lt;=AsOfDate,IF($Q30=0,$W30,IF(AND($S30&lt;&gt;"",EDATE($D30,Milestones!$AA$90)&gt;=$S30),$V30,IF(AND($R30&lt;&gt;"",EDATE($D30,Milestones!$AA$90)&gt;=$R30),$U30,$T30)))=Milestones!$AB$90),TEXT(EDATE($D30,Milestones!$AA$90),"dd/mm/yy")&amp;" "&amp;Milestones!$AB$90&amp;" "&amp;Milestones!$AC$90&amp;";  ","")&amp;IF(AND(EDATE($D30,Milestones!$AA$91)&lt;=AsOfDate,IF($Q30=0,$W30,IF(AND($S30&lt;&gt;"",EDATE($D30,Milestones!$AA$91)&gt;=$S30),$V30,IF(AND($R30&lt;&gt;"",EDATE($D30,Milestones!$AA$91)&gt;=$R30),$U30,$T30)))=Milestones!$AB$91),TEXT(EDATE($D30,Milestones!$AA$91),"dd/mm/yy")&amp;" "&amp;Milestones!$AB$91&amp;" "&amp;Milestones!$AC$91&amp;";  ","")&amp;IF(AND(EDATE($D30,Milestones!$AA$92)&lt;=AsOfDate,IF($Q30=0,$W30,IF(AND($S30&lt;&gt;"",EDATE($D30,Milestones!$AA$92)&gt;=$S30),$V30,IF(AND($R30&lt;&gt;"",EDATE($D30,Milestones!$AA$92)&gt;=$R30),$U30,$T30)))=Milestones!$AB$92),TEXT(EDATE($D30,Milestones!$AA$92),"dd/mm/yy")&amp;" "&amp;Milestones!$AB$92&amp;" "&amp;Milestones!$AC$92&amp;";  ","")&amp;IF(AND(EDATE($D30,Milestones!$AA$93)&lt;=AsOfDate,IF($Q30=0,$W30,IF(AND($S30&lt;&gt;"",EDATE($D30,Milestones!$AA$93)&gt;=$S30),$V30,IF(AND($R30&lt;&gt;"",EDATE($D30,Milestones!$AA$93)&gt;=$R30),$U30,$T30)))=Milestones!$AB$93),TEXT(EDATE($D30,Milestones!$AA$93),"dd/mm/yy")&amp;" "&amp;Milestones!$AB$93&amp;" "&amp;Milestones!$AC$93&amp;";  ","")&amp;IF(AND(EDATE($D30,Milestones!$AA$94)&lt;=AsOfDate,IF($Q30=0,$W30,IF(AND($S30&lt;&gt;"",EDATE($D30,Milestones!$AA$94)&gt;=$S30),$V30,IF(AND($R30&lt;&gt;"",EDATE($D30,Milestones!$AA$94)&gt;=$R30),$U30,$T30)))=Milestones!$AB$94),TEXT(EDATE($D30,Milestones!$AA$94),"dd/mm/yy")&amp;" "&amp;Milestones!$AB$94&amp;" "&amp;Milestones!$AC$94&amp;";  ","")&amp;IF(AND(EDATE($D30,Milestones!$AA$95)&lt;=AsOfDate,IF($Q30=0,$W30,IF(AND($S30&lt;&gt;"",EDATE($D30,Milestones!$AA$95)&gt;=$S30),$V30,IF(AND($R30&lt;&gt;"",EDATE($D30,Milestones!$AA$95)&gt;=$R30),$U30,$T30)))=Milestones!$AB$95),TEXT(EDATE($D30,Milestones!$AA$95),"dd/mm/yy")&amp;" "&amp;Milestones!$AB$95&amp;" "&amp;Milestones!$AC$95&amp;";  ","")&amp;IF(AND(EDATE($D30,Milestones!$AA$96)&lt;=AsOfDate,IF($Q30=0,$W30,IF(AND($S30&lt;&gt;"",EDATE($D30,Milestones!$AA$96)&gt;=$S30),$V30,IF(AND($R30&lt;&gt;"",EDATE($D30,Milestones!$AA$96)&gt;=$R30),$U30,$T30)))=Milestones!$AB$96),TEXT(EDATE($D30,Milestones!$AA$96),"dd/mm/yy")&amp;" "&amp;Milestones!$AB$96&amp;" "&amp;Milestones!$AC$96&amp;";  ","")&amp;IF(AND(EDATE($D30,Milestones!$AA$97)&lt;=AsOfDate,IF($Q30=0,$W30,IF(AND($S30&lt;&gt;"",EDATE($D30,Milestones!$AA$97)&gt;=$S30),$V30,IF(AND($R30&lt;&gt;"",EDATE($D30,Milestones!$AA$97)&gt;=$R30),$U30,$T30)))=Milestones!$AB$97),TEXT(EDATE($D30,Milestones!$AA$97),"dd/mm/yy")&amp;" "&amp;Milestones!$AB$97&amp;" "&amp;Milestones!$AC$97&amp;";  ","")&amp;IF(AND(EDATE($D30,Milestones!$AA$98)&lt;=AsOfDate,IF($Q30=0,$W30,IF(AND($S30&lt;&gt;"",EDATE($D30,Milestones!$AA$98)&gt;=$S30),$V30,IF(AND($R30&lt;&gt;"",EDATE($D30,Milestones!$AA$98)&gt;=$R30),$U30,$T30)))=Milestones!$AB$98),TEXT(EDATE($D30,Milestones!$AA$98),"dd/mm/yy")&amp;" "&amp;Milestones!$AB$98&amp;" "&amp;Milestones!$AC$98&amp;";  ","")&amp;IF(AND(EDATE($D30,Milestones!$AA$99)&lt;=AsOfDate,IF($Q30=0,$W30,IF(AND($S30&lt;&gt;"",EDATE($D30,Milestones!$AA$99)&gt;=$S30),$V30,IF(AND($R30&lt;&gt;"",EDATE($D30,Milestones!$AA$99)&gt;=$R30),$U30,$T30)))=Milestones!$AB$99),TEXT(EDATE($D30,Milestones!$AA$99),"dd/mm/yy")&amp;" "&amp;Milestones!$AB$99&amp;" "&amp;Milestones!$AC$99&amp;";  ",""))</f>
        <v/>
      </c>
      <c r="L30" s="0" t="str">
        <f aca="false">IF(OR($A30="",$D30=""),"",IF(AND(EDATE($D30,Milestones!$AA$100)&lt;=AsOfDate,IF($Q30=0,$W30,IF(AND($S30&lt;&gt;"",EDATE($D30,Milestones!$AA$100)&gt;=$S30),$V30,IF(AND($R30&lt;&gt;"",EDATE($D30,Milestones!$AA$100)&gt;=$R30),$U30,$T30)))=Milestones!$AB$100),TEXT(EDATE($D30,Milestones!$AA$100),"dd/mm/yy")&amp;" "&amp;Milestones!$AB$100&amp;" "&amp;Milestones!$AC$100&amp;";  ","")&amp;IF(AND(EDATE($D30,Milestones!$AA$101)&lt;=AsOfDate,IF($Q30=0,$W30,IF(AND($S30&lt;&gt;"",EDATE($D30,Milestones!$AA$101)&gt;=$S30),$V30,IF(AND($R30&lt;&gt;"",EDATE($D30,Milestones!$AA$101)&gt;=$R30),$U30,$T30)))=Milestones!$AB$101),TEXT(EDATE($D30,Milestones!$AA$101),"dd/mm/yy")&amp;" "&amp;Milestones!$AB$101&amp;" "&amp;Milestones!$AC$101&amp;";  ","")&amp;IF(AND(EDATE($D30,Milestones!$AA$102)&lt;=AsOfDate,IF($Q30=0,$W30,IF(AND($S30&lt;&gt;"",EDATE($D30,Milestones!$AA$102)&gt;=$S30),$V30,IF(AND($R30&lt;&gt;"",EDATE($D30,Milestones!$AA$102)&gt;=$R30),$U30,$T30)))=Milestones!$AB$102),TEXT(EDATE($D30,Milestones!$AA$102),"dd/mm/yy")&amp;" "&amp;Milestones!$AB$102&amp;" "&amp;Milestones!$AC$102&amp;";  ","")&amp;IF(AND(EDATE($D30,Milestones!$AA$103)&lt;=AsOfDate,IF($Q30=0,$W30,IF(AND($S30&lt;&gt;"",EDATE($D30,Milestones!$AA$103)&gt;=$S30),$V30,IF(AND($R30&lt;&gt;"",EDATE($D30,Milestones!$AA$103)&gt;=$R30),$U30,$T30)))=Milestones!$AB$103),TEXT(EDATE($D30,Milestones!$AA$103),"dd/mm/yy")&amp;" "&amp;Milestones!$AB$103&amp;" "&amp;Milestones!$AC$103&amp;";  ","")&amp;IF(AND(EDATE($D30,Milestones!$AA$104)&lt;=AsOfDate,IF($Q30=0,$W30,IF(AND($S30&lt;&gt;"",EDATE($D30,Milestones!$AA$104)&gt;=$S30),$V30,IF(AND($R30&lt;&gt;"",EDATE($D30,Milestones!$AA$104)&gt;=$R30),$U30,$T30)))=Milestones!$AB$104),TEXT(EDATE($D30,Milestones!$AA$104),"dd/mm/yy")&amp;" "&amp;Milestones!$AB$104&amp;" "&amp;Milestones!$AC$104&amp;";  ","")&amp;IF(AND(EDATE($D30,Milestones!$AA$105)&lt;=AsOfDate,IF($Q30=0,$W30,IF(AND($S30&lt;&gt;"",EDATE($D30,Milestones!$AA$105)&gt;=$S30),$V30,IF(AND($R30&lt;&gt;"",EDATE($D30,Milestones!$AA$105)&gt;=$R30),$U30,$T30)))=Milestones!$AB$105),TEXT(EDATE($D30,Milestones!$AA$105),"dd/mm/yy")&amp;" "&amp;Milestones!$AB$105&amp;" "&amp;Milestones!$AC$105&amp;";  ","")&amp;IF(AND(EDATE($D30,Milestones!$AA$106)&lt;=AsOfDate,IF($Q30=0,$W30,IF(AND($S30&lt;&gt;"",EDATE($D30,Milestones!$AA$106)&gt;=$S30),$V30,IF(AND($R30&lt;&gt;"",EDATE($D30,Milestones!$AA$106)&gt;=$R30),$U30,$T30)))=Milestones!$AB$106),TEXT(EDATE($D30,Milestones!$AA$106),"dd/mm/yy")&amp;" "&amp;Milestones!$AB$106&amp;" "&amp;Milestones!$AC$106&amp;";  ","")&amp;IF(AND(EDATE($D30,Milestones!$AA$107)&lt;=AsOfDate,IF($Q30=0,$W30,IF(AND($S30&lt;&gt;"",EDATE($D30,Milestones!$AA$107)&gt;=$S30),$V30,IF(AND($R30&lt;&gt;"",EDATE($D30,Milestones!$AA$107)&gt;=$R30),$U30,$T30)))=Milestones!$AB$107),TEXT(EDATE($D30,Milestones!$AA$107),"dd/mm/yy")&amp;" "&amp;Milestones!$AB$107&amp;" "&amp;Milestones!$AC$107&amp;";  ","")&amp;IF(AND(EDATE($D30,Milestones!$AA$108)&lt;=AsOfDate,IF($Q30=0,$W30,IF(AND($S30&lt;&gt;"",EDATE($D30,Milestones!$AA$108)&gt;=$S30),$V30,IF(AND($R30&lt;&gt;"",EDATE($D30,Milestones!$AA$108)&gt;=$R30),$U30,$T30)))=Milestones!$AB$108),TEXT(EDATE($D30,Milestones!$AA$108),"dd/mm/yy")&amp;" "&amp;Milestones!$AB$108&amp;" "&amp;Milestones!$AC$108&amp;";  ","")&amp;IF(AND(EDATE($D30,Milestones!$AA$109)&lt;=AsOfDate,IF($Q30=0,$W30,IF(AND($S30&lt;&gt;"",EDATE($D30,Milestones!$AA$109)&gt;=$S30),$V30,IF(AND($R30&lt;&gt;"",EDATE($D30,Milestones!$AA$109)&gt;=$R30),$U30,$T30)))=Milestones!$AB$109),TEXT(EDATE($D30,Milestones!$AA$109),"dd/mm/yy")&amp;" "&amp;Milestones!$AB$109&amp;" "&amp;Milestones!$AC$109&amp;";  ","")&amp;IF(AND(EDATE($D30,Milestones!$AA$110)&lt;=AsOfDate,IF($Q30=0,$W30,IF(AND($S30&lt;&gt;"",EDATE($D30,Milestones!$AA$110)&gt;=$S30),$V30,IF(AND($R30&lt;&gt;"",EDATE($D30,Milestones!$AA$110)&gt;=$R30),$U30,$T30)))=Milestones!$AB$110),TEXT(EDATE($D30,Milestones!$AA$110),"dd/mm/yy")&amp;" "&amp;Milestones!$AB$110&amp;" "&amp;Milestones!$AC$110&amp;";  ","")&amp;IF(AND(EDATE($D30,Milestones!$AA$111)&lt;=AsOfDate,IF($Q30=0,$W30,IF(AND($S30&lt;&gt;"",EDATE($D30,Milestones!$AA$111)&gt;=$S30),$V30,IF(AND($R30&lt;&gt;"",EDATE($D30,Milestones!$AA$111)&gt;=$R30),$U30,$T30)))=Milestones!$AB$111),TEXT(EDATE($D30,Milestones!$AA$111),"dd/mm/yy")&amp;" "&amp;Milestones!$AB$111&amp;" "&amp;Milestones!$AC$111&amp;";  ","")&amp;IF(AND(EDATE($D30,Milestones!$AA$112)&lt;=AsOfDate,IF($Q30=0,$W30,IF(AND($S30&lt;&gt;"",EDATE($D30,Milestones!$AA$112)&gt;=$S30),$V30,IF(AND($R30&lt;&gt;"",EDATE($D30,Milestones!$AA$112)&gt;=$R30),$U30,$T30)))=Milestones!$AB$112),TEXT(EDATE($D30,Milestones!$AA$112),"dd/mm/yy")&amp;" "&amp;Milestones!$AB$112&amp;" "&amp;Milestones!$AC$112&amp;";  ","")&amp;IF(AND(EDATE($D30,Milestones!$AA$113)&lt;=AsOfDate,IF($Q30=0,$W30,IF(AND($S30&lt;&gt;"",EDATE($D30,Milestones!$AA$113)&gt;=$S30),$V30,IF(AND($R30&lt;&gt;"",EDATE($D30,Milestones!$AA$113)&gt;=$R30),$U30,$T30)))=Milestones!$AB$113),TEXT(EDATE($D30,Milestones!$AA$113),"dd/mm/yy")&amp;" "&amp;Milestones!$AB$113&amp;" "&amp;Milestones!$AC$113&amp;";  ","")&amp;IF(AND(EDATE($D30,Milestones!$AA$114)&lt;=AsOfDate,IF($Q30=0,$W30,IF(AND($S30&lt;&gt;"",EDATE($D30,Milestones!$AA$114)&gt;=$S30),$V30,IF(AND($R30&lt;&gt;"",EDATE($D30,Milestones!$AA$114)&gt;=$R30),$U30,$T30)))=Milestones!$AB$114),TEXT(EDATE($D30,Milestones!$AA$114),"dd/mm/yy")&amp;" "&amp;Milestones!$AB$114&amp;" "&amp;Milestones!$AC$114&amp;";  ","")&amp;IF(AND(EDATE($D30,Milestones!$AA$115)&lt;=AsOfDate,IF($Q30=0,$W30,IF(AND($S30&lt;&gt;"",EDATE($D30,Milestones!$AA$115)&gt;=$S30),$V30,IF(AND($R30&lt;&gt;"",EDATE($D30,Milestones!$AA$115)&gt;=$R30),$U30,$T30)))=Milestones!$AB$115),TEXT(EDATE($D30,Milestones!$AA$115),"dd/mm/yy")&amp;" "&amp;Milestones!$AB$115&amp;" "&amp;Milestones!$AC$115&amp;";  ","")&amp;IF(AND(EDATE($D30,Milestones!$AA$116)&lt;=AsOfDate,IF($Q30=0,$W30,IF(AND($S30&lt;&gt;"",EDATE($D30,Milestones!$AA$116)&gt;=$S30),$V30,IF(AND($R30&lt;&gt;"",EDATE($D30,Milestones!$AA$116)&gt;=$R30),$U30,$T30)))=Milestones!$AB$116),TEXT(EDATE($D30,Milestones!$AA$116),"dd/mm/yy")&amp;" "&amp;Milestones!$AB$116&amp;" "&amp;Milestones!$AC$116&amp;";  ","")&amp;IF(AND(EDATE($D30,Milestones!$AA$117)&lt;=AsOfDate,IF($Q30=0,$W30,IF(AND($S30&lt;&gt;"",EDATE($D30,Milestones!$AA$117)&gt;=$S30),$V30,IF(AND($R30&lt;&gt;"",EDATE($D30,Milestones!$AA$117)&gt;=$R30),$U30,$T30)))=Milestones!$AB$117),TEXT(EDATE($D30,Milestones!$AA$117),"dd/mm/yy")&amp;" "&amp;Milestones!$AB$117&amp;" "&amp;Milestones!$AC$117&amp;";  ","")&amp;IF(AND(EDATE($D30,Milestones!$AA$118)&lt;=AsOfDate,IF($Q30=0,$W30,IF(AND($S30&lt;&gt;"",EDATE($D30,Milestones!$AA$118)&gt;=$S30),$V30,IF(AND($R30&lt;&gt;"",EDATE($D30,Milestones!$AA$118)&gt;=$R30),$U30,$T30)))=Milestones!$AB$118),TEXT(EDATE($D30,Milestones!$AA$118),"dd/mm/yy")&amp;" "&amp;Milestones!$AB$118&amp;" "&amp;Milestones!$AC$118&amp;";  ","")&amp;IF(AND(EDATE($D30,Milestones!$AA$119)&lt;=AsOfDate,IF($Q30=0,$W30,IF(AND($S30&lt;&gt;"",EDATE($D30,Milestones!$AA$119)&gt;=$S30),$V30,IF(AND($R30&lt;&gt;"",EDATE($D30,Milestones!$AA$119)&gt;=$R30),$U30,$T30)))=Milestones!$AB$119),TEXT(EDATE($D30,Milestones!$AA$119),"dd/mm/yy")&amp;" "&amp;Milestones!$AB$119&amp;" "&amp;Milestones!$AC$119&amp;";  ",""))</f>
        <v/>
      </c>
      <c r="M30" s="0" t="str">
        <f aca="false">IF(OR($A30="",$D30=""),"",IF(AND(EDATE($D30,Milestones!$AA$120)&lt;=AsOfDate,IF($Q30=0,$W30,IF(AND($S30&lt;&gt;"",EDATE($D30,Milestones!$AA$120)&gt;=$S30),$V30,IF(AND($R30&lt;&gt;"",EDATE($D30,Milestones!$AA$120)&gt;=$R30),$U30,$T30)))=Milestones!$AB$120),TEXT(EDATE($D30,Milestones!$AA$120),"dd/mm/yy")&amp;" "&amp;Milestones!$AB$120&amp;" "&amp;Milestones!$AC$120&amp;";  ","")&amp;IF(AND(EDATE($D30,Milestones!$AA$121)&lt;=AsOfDate,IF($Q30=0,$W30,IF(AND($S30&lt;&gt;"",EDATE($D30,Milestones!$AA$121)&gt;=$S30),$V30,IF(AND($R30&lt;&gt;"",EDATE($D30,Milestones!$AA$121)&gt;=$R30),$U30,$T30)))=Milestones!$AB$121),TEXT(EDATE($D30,Milestones!$AA$121),"dd/mm/yy")&amp;" "&amp;Milestones!$AB$121&amp;" "&amp;Milestones!$AC$121&amp;";  ","")&amp;IF(AND(EDATE($D30,Milestones!$AA$122)&lt;=AsOfDate,IF($Q30=0,$W30,IF(AND($S30&lt;&gt;"",EDATE($D30,Milestones!$AA$122)&gt;=$S30),$V30,IF(AND($R30&lt;&gt;"",EDATE($D30,Milestones!$AA$122)&gt;=$R30),$U30,$T30)))=Milestones!$AB$122),TEXT(EDATE($D30,Milestones!$AA$122),"dd/mm/yy")&amp;" "&amp;Milestones!$AB$122&amp;" "&amp;Milestones!$AC$122&amp;";  ","")&amp;IF(AND(EDATE($D30,Milestones!$AA$123)&lt;=AsOfDate,IF($Q30=0,$W30,IF(AND($S30&lt;&gt;"",EDATE($D30,Milestones!$AA$123)&gt;=$S30),$V30,IF(AND($R30&lt;&gt;"",EDATE($D30,Milestones!$AA$123)&gt;=$R30),$U30,$T30)))=Milestones!$AB$123),TEXT(EDATE($D30,Milestones!$AA$123),"dd/mm/yy")&amp;" "&amp;Milestones!$AB$123&amp;" "&amp;Milestones!$AC$123&amp;";  ","")&amp;IF(AND(EDATE($D30,Milestones!$AA$124)&lt;=AsOfDate,IF($Q30=0,$W30,IF(AND($S30&lt;&gt;"",EDATE($D30,Milestones!$AA$124)&gt;=$S30),$V30,IF(AND($R30&lt;&gt;"",EDATE($D30,Milestones!$AA$124)&gt;=$R30),$U30,$T30)))=Milestones!$AB$124),TEXT(EDATE($D30,Milestones!$AA$124),"dd/mm/yy")&amp;" "&amp;Milestones!$AB$124&amp;" "&amp;Milestones!$AC$124&amp;";  ","")&amp;IF(AND(EDATE($D30,Milestones!$AA$125)&lt;=AsOfDate,IF($Q30=0,$W30,IF(AND($S30&lt;&gt;"",EDATE($D30,Milestones!$AA$125)&gt;=$S30),$V30,IF(AND($R30&lt;&gt;"",EDATE($D30,Milestones!$AA$125)&gt;=$R30),$U30,$T30)))=Milestones!$AB$125),TEXT(EDATE($D30,Milestones!$AA$125),"dd/mm/yy")&amp;" "&amp;Milestones!$AB$125&amp;" "&amp;Milestones!$AC$125&amp;";  ","")&amp;IF(AND(EDATE($D30,Milestones!$AA$126)&lt;=AsOfDate,IF($Q30=0,$W30,IF(AND($S30&lt;&gt;"",EDATE($D30,Milestones!$AA$126)&gt;=$S30),$V30,IF(AND($R30&lt;&gt;"",EDATE($D30,Milestones!$AA$126)&gt;=$R30),$U30,$T30)))=Milestones!$AB$126),TEXT(EDATE($D30,Milestones!$AA$126),"dd/mm/yy")&amp;" "&amp;Milestones!$AB$126&amp;" "&amp;Milestones!$AC$126&amp;";  ","")&amp;IF(AND(EDATE($D30,Milestones!$AA$127)&lt;=AsOfDate,IF($Q30=0,$W30,IF(AND($S30&lt;&gt;"",EDATE($D30,Milestones!$AA$127)&gt;=$S30),$V30,IF(AND($R30&lt;&gt;"",EDATE($D30,Milestones!$AA$127)&gt;=$R30),$U30,$T30)))=Milestones!$AB$127),TEXT(EDATE($D30,Milestones!$AA$127),"dd/mm/yy")&amp;" "&amp;Milestones!$AB$127&amp;" "&amp;Milestones!$AC$127&amp;";  ","")&amp;IF(AND(EDATE($D30,Milestones!$AA$128)&lt;=AsOfDate,IF($Q30=0,$W30,IF(AND($S30&lt;&gt;"",EDATE($D30,Milestones!$AA$128)&gt;=$S30),$V30,IF(AND($R30&lt;&gt;"",EDATE($D30,Milestones!$AA$128)&gt;=$R30),$U30,$T30)))=Milestones!$AB$128),TEXT(EDATE($D30,Milestones!$AA$128),"dd/mm/yy")&amp;" "&amp;Milestones!$AB$128&amp;" "&amp;Milestones!$AC$128&amp;";  ","")&amp;IF(AND(EDATE($D30,Milestones!$AA$129)&lt;=AsOfDate,IF($Q30=0,$W30,IF(AND($S30&lt;&gt;"",EDATE($D30,Milestones!$AA$129)&gt;=$S30),$V30,IF(AND($R30&lt;&gt;"",EDATE($D30,Milestones!$AA$129)&gt;=$R30),$U30,$T30)))=Milestones!$AB$129),TEXT(EDATE($D30,Milestones!$AA$129),"dd/mm/yy")&amp;" "&amp;Milestones!$AB$129&amp;" "&amp;Milestones!$AC$129&amp;";  ","")&amp;IF(AND(EDATE($D30,Milestones!$AA$130)&lt;=AsOfDate,IF($Q30=0,$W30,IF(AND($S30&lt;&gt;"",EDATE($D30,Milestones!$AA$130)&gt;=$S30),$V30,IF(AND($R30&lt;&gt;"",EDATE($D30,Milestones!$AA$130)&gt;=$R30),$U30,$T30)))=Milestones!$AB$130),TEXT(EDATE($D30,Milestones!$AA$130),"dd/mm/yy")&amp;" "&amp;Milestones!$AB$130&amp;" "&amp;Milestones!$AC$130&amp;";  ","")&amp;IF(AND(EDATE($D30,Milestones!$AA$131)&lt;=AsOfDate,IF($Q30=0,$W30,IF(AND($S30&lt;&gt;"",EDATE($D30,Milestones!$AA$131)&gt;=$S30),$V30,IF(AND($R30&lt;&gt;"",EDATE($D30,Milestones!$AA$131)&gt;=$R30),$U30,$T30)))=Milestones!$AB$131),TEXT(EDATE($D30,Milestones!$AA$131),"dd/mm/yy")&amp;" "&amp;Milestones!$AB$131&amp;" "&amp;Milestones!$AC$131&amp;";  ","")&amp;IF(AND(EDATE($D30,Milestones!$AA$132)&lt;=AsOfDate,IF($Q30=0,$W30,IF(AND($S30&lt;&gt;"",EDATE($D30,Milestones!$AA$132)&gt;=$S30),$V30,IF(AND($R30&lt;&gt;"",EDATE($D30,Milestones!$AA$132)&gt;=$R30),$U30,$T30)))=Milestones!$AB$132),TEXT(EDATE($D30,Milestones!$AA$132),"dd/mm/yy")&amp;" "&amp;Milestones!$AB$132&amp;" "&amp;Milestones!$AC$132&amp;";  ","")&amp;IF(AND(EDATE($D30,Milestones!$AA$133)&lt;=AsOfDate,IF($Q30=0,$W30,IF(AND($S30&lt;&gt;"",EDATE($D30,Milestones!$AA$133)&gt;=$S30),$V30,IF(AND($R30&lt;&gt;"",EDATE($D30,Milestones!$AA$133)&gt;=$R30),$U30,$T30)))=Milestones!$AB$133),TEXT(EDATE($D30,Milestones!$AA$133),"dd/mm/yy")&amp;" "&amp;Milestones!$AB$133&amp;" "&amp;Milestones!$AC$133&amp;";  ","")&amp;IF(AND(EDATE($D30,Milestones!$AA$134)&lt;=AsOfDate,IF($Q30=0,$W30,IF(AND($S30&lt;&gt;"",EDATE($D30,Milestones!$AA$134)&gt;=$S30),$V30,IF(AND($R30&lt;&gt;"",EDATE($D30,Milestones!$AA$134)&gt;=$R30),$U30,$T30)))=Milestones!$AB$134),TEXT(EDATE($D30,Milestones!$AA$134),"dd/mm/yy")&amp;" "&amp;Milestones!$AB$134&amp;" "&amp;Milestones!$AC$134&amp;";  ","")&amp;IF(AND(EDATE($D30,Milestones!$AA$135)&lt;=AsOfDate,IF($Q30=0,$W30,IF(AND($S30&lt;&gt;"",EDATE($D30,Milestones!$AA$135)&gt;=$S30),$V30,IF(AND($R30&lt;&gt;"",EDATE($D30,Milestones!$AA$135)&gt;=$R30),$U30,$T30)))=Milestones!$AB$135),TEXT(EDATE($D30,Milestones!$AA$135),"dd/mm/yy")&amp;" "&amp;Milestones!$AB$135&amp;" "&amp;Milestones!$AC$135&amp;";  ","")&amp;IF(AND(EDATE($D30,Milestones!$AA$136)&lt;=AsOfDate,IF($Q30=0,$W30,IF(AND($S30&lt;&gt;"",EDATE($D30,Milestones!$AA$136)&gt;=$S30),$V30,IF(AND($R30&lt;&gt;"",EDATE($D30,Milestones!$AA$136)&gt;=$R30),$U30,$T30)))=Milestones!$AB$136),TEXT(EDATE($D30,Milestones!$AA$136),"dd/mm/yy")&amp;" "&amp;Milestones!$AB$136&amp;" "&amp;Milestones!$AC$136&amp;";  ","")&amp;IF(AND(EDATE($D30,Milestones!$AA$137)&lt;=AsOfDate,IF($Q30=0,$W30,IF(AND($S30&lt;&gt;"",EDATE($D30,Milestones!$AA$137)&gt;=$S30),$V30,IF(AND($R30&lt;&gt;"",EDATE($D30,Milestones!$AA$137)&gt;=$R30),$U30,$T30)))=Milestones!$AB$137),TEXT(EDATE($D30,Milestones!$AA$137),"dd/mm/yy")&amp;" "&amp;Milestones!$AB$137&amp;" "&amp;Milestones!$AC$137&amp;";  ","")&amp;IF(AND(EDATE($D30,Milestones!$AA$138)&lt;=AsOfDate,IF($Q30=0,$W30,IF(AND($S30&lt;&gt;"",EDATE($D30,Milestones!$AA$138)&gt;=$S30),$V30,IF(AND($R30&lt;&gt;"",EDATE($D30,Milestones!$AA$138)&gt;=$R30),$U30,$T30)))=Milestones!$AB$138),TEXT(EDATE($D30,Milestones!$AA$138),"dd/mm/yy")&amp;" "&amp;Milestones!$AB$138&amp;" "&amp;Milestones!$AC$138&amp;";  ","")&amp;IF(AND(EDATE($D30,Milestones!$AA$139)&lt;=AsOfDate,IF($Q30=0,$W30,IF(AND($S30&lt;&gt;"",EDATE($D30,Milestones!$AA$139)&gt;=$S30),$V30,IF(AND($R30&lt;&gt;"",EDATE($D30,Milestones!$AA$139)&gt;=$R30),$U30,$T30)))=Milestones!$AB$139),TEXT(EDATE($D30,Milestones!$AA$139),"dd/mm/yy")&amp;" "&amp;Milestones!$AB$139&amp;" "&amp;Milestones!$AC$139&amp;";  ",""))</f>
        <v/>
      </c>
      <c r="N30" s="0" t="str">
        <f aca="false">IF(OR($A30="",$D30=""),"",IF(AND(EDATE($D30,Milestones!$AA$140)&lt;=AsOfDate,IF($Q30=0,$W30,IF(AND($S30&lt;&gt;"",EDATE($D30,Milestones!$AA$140)&gt;=$S30),$V30,IF(AND($R30&lt;&gt;"",EDATE($D30,Milestones!$AA$140)&gt;=$R30),$U30,$T30)))=Milestones!$AB$140),TEXT(EDATE($D30,Milestones!$AA$140),"dd/mm/yy")&amp;" "&amp;Milestones!$AB$140&amp;" "&amp;Milestones!$AC$140&amp;";  ","")&amp;IF(AND(EDATE($D30,Milestones!$AA$141)&lt;=AsOfDate,IF($Q30=0,$W30,IF(AND($S30&lt;&gt;"",EDATE($D30,Milestones!$AA$141)&gt;=$S30),$V30,IF(AND($R30&lt;&gt;"",EDATE($D30,Milestones!$AA$141)&gt;=$R30),$U30,$T30)))=Milestones!$AB$141),TEXT(EDATE($D30,Milestones!$AA$141),"dd/mm/yy")&amp;" "&amp;Milestones!$AB$141&amp;" "&amp;Milestones!$AC$141&amp;";  ","")&amp;IF(AND(EDATE($D30,Milestones!$AA$142)&lt;=AsOfDate,IF($Q30=0,$W30,IF(AND($S30&lt;&gt;"",EDATE($D30,Milestones!$AA$142)&gt;=$S30),$V30,IF(AND($R30&lt;&gt;"",EDATE($D30,Milestones!$AA$142)&gt;=$R30),$U30,$T30)))=Milestones!$AB$142),TEXT(EDATE($D30,Milestones!$AA$142),"dd/mm/yy")&amp;" "&amp;Milestones!$AB$142&amp;" "&amp;Milestones!$AC$142&amp;";  ","")&amp;IF(AND(EDATE($D30,Milestones!$AA$143)&lt;=AsOfDate,IF($Q30=0,$W30,IF(AND($S30&lt;&gt;"",EDATE($D30,Milestones!$AA$143)&gt;=$S30),$V30,IF(AND($R30&lt;&gt;"",EDATE($D30,Milestones!$AA$143)&gt;=$R30),$U30,$T30)))=Milestones!$AB$143),TEXT(EDATE($D30,Milestones!$AA$143),"dd/mm/yy")&amp;" "&amp;Milestones!$AB$143&amp;" "&amp;Milestones!$AC$143&amp;";  ","")&amp;IF(AND(EDATE($D30,Milestones!$AA$144)&lt;=AsOfDate,IF($Q30=0,$W30,IF(AND($S30&lt;&gt;"",EDATE($D30,Milestones!$AA$144)&gt;=$S30),$V30,IF(AND($R30&lt;&gt;"",EDATE($D30,Milestones!$AA$144)&gt;=$R30),$U30,$T30)))=Milestones!$AB$144),TEXT(EDATE($D30,Milestones!$AA$144),"dd/mm/yy")&amp;" "&amp;Milestones!$AB$144&amp;" "&amp;Milestones!$AC$144&amp;";  ","")&amp;IF(AND(EDATE($D30,Milestones!$AA$145)&lt;=AsOfDate,IF($Q30=0,$W30,IF(AND($S30&lt;&gt;"",EDATE($D30,Milestones!$AA$145)&gt;=$S30),$V30,IF(AND($R30&lt;&gt;"",EDATE($D30,Milestones!$AA$145)&gt;=$R30),$U30,$T30)))=Milestones!$AB$145),TEXT(EDATE($D30,Milestones!$AA$145),"dd/mm/yy")&amp;" "&amp;Milestones!$AB$145&amp;" "&amp;Milestones!$AC$145&amp;";  ","")&amp;IF(AND(EDATE($D30,Milestones!$AA$146)&lt;=AsOfDate,IF($Q30=0,$W30,IF(AND($S30&lt;&gt;"",EDATE($D30,Milestones!$AA$146)&gt;=$S30),$V30,IF(AND($R30&lt;&gt;"",EDATE($D30,Milestones!$AA$146)&gt;=$R30),$U30,$T30)))=Milestones!$AB$146),TEXT(EDATE($D30,Milestones!$AA$146),"dd/mm/yy")&amp;" "&amp;Milestones!$AB$146&amp;" "&amp;Milestones!$AC$146&amp;";  ","")&amp;IF(AND(EDATE($D30,Milestones!$AA$147)&lt;=AsOfDate,IF($Q30=0,$W30,IF(AND($S30&lt;&gt;"",EDATE($D30,Milestones!$AA$147)&gt;=$S30),$V30,IF(AND($R30&lt;&gt;"",EDATE($D30,Milestones!$AA$147)&gt;=$R30),$U30,$T30)))=Milestones!$AB$147),TEXT(EDATE($D30,Milestones!$AA$147),"dd/mm/yy")&amp;" "&amp;Milestones!$AB$147&amp;" "&amp;Milestones!$AC$147&amp;";  ","")&amp;IF(AND(EDATE($D30,Milestones!$AA$148)&lt;=AsOfDate,IF($Q30=0,$W30,IF(AND($S30&lt;&gt;"",EDATE($D30,Milestones!$AA$148)&gt;=$S30),$V30,IF(AND($R30&lt;&gt;"",EDATE($D30,Milestones!$AA$148)&gt;=$R30),$U30,$T30)))=Milestones!$AB$148),TEXT(EDATE($D30,Milestones!$AA$148),"dd/mm/yy")&amp;" "&amp;Milestones!$AB$148&amp;" "&amp;Milestones!$AC$148&amp;";  ","")&amp;IF(AND(EDATE($D30,Milestones!$AA$149)&lt;=AsOfDate,IF($Q30=0,$W30,IF(AND($S30&lt;&gt;"",EDATE($D30,Milestones!$AA$149)&gt;=$S30),$V30,IF(AND($R30&lt;&gt;"",EDATE($D30,Milestones!$AA$149)&gt;=$R30),$U30,$T30)))=Milestones!$AB$149),TEXT(EDATE($D30,Milestones!$AA$149),"dd/mm/yy")&amp;" "&amp;Milestones!$AB$149&amp;" "&amp;Milestones!$AC$149&amp;";  ","")&amp;IF(AND(EDATE($D30,Milestones!$AA$150)&lt;=AsOfDate,IF($Q30=0,$W30,IF(AND($S30&lt;&gt;"",EDATE($D30,Milestones!$AA$150)&gt;=$S30),$V30,IF(AND($R30&lt;&gt;"",EDATE($D30,Milestones!$AA$150)&gt;=$R30),$U30,$T30)))=Milestones!$AB$150),TEXT(EDATE($D30,Milestones!$AA$150),"dd/mm/yy")&amp;" "&amp;Milestones!$AB$150&amp;" "&amp;Milestones!$AC$150&amp;";  ","")&amp;IF(AND(EDATE($D30,Milestones!$AA$151)&lt;=AsOfDate,IF($Q30=0,$W30,IF(AND($S30&lt;&gt;"",EDATE($D30,Milestones!$AA$151)&gt;=$S30),$V30,IF(AND($R30&lt;&gt;"",EDATE($D30,Milestones!$AA$151)&gt;=$R30),$U30,$T30)))=Milestones!$AB$151),TEXT(EDATE($D30,Milestones!$AA$151),"dd/mm/yy")&amp;" "&amp;Milestones!$AB$151&amp;" "&amp;Milestones!$AC$151&amp;";  ","")&amp;IF(AND(EDATE($D30,Milestones!$AA$152)&lt;=AsOfDate,IF($Q30=0,$W30,IF(AND($S30&lt;&gt;"",EDATE($D30,Milestones!$AA$152)&gt;=$S30),$V30,IF(AND($R30&lt;&gt;"",EDATE($D30,Milestones!$AA$152)&gt;=$R30),$U30,$T30)))=Milestones!$AB$152),TEXT(EDATE($D30,Milestones!$AA$152),"dd/mm/yy")&amp;" "&amp;Milestones!$AB$152&amp;" "&amp;Milestones!$AC$152&amp;";  ","")&amp;IF(AND(EDATE($D30,Milestones!$AA$153)&lt;=AsOfDate,IF($Q30=0,$W30,IF(AND($S30&lt;&gt;"",EDATE($D30,Milestones!$AA$153)&gt;=$S30),$V30,IF(AND($R30&lt;&gt;"",EDATE($D30,Milestones!$AA$153)&gt;=$R30),$U30,$T30)))=Milestones!$AB$153),TEXT(EDATE($D30,Milestones!$AA$153),"dd/mm/yy")&amp;" "&amp;Milestones!$AB$153&amp;" "&amp;Milestones!$AC$153&amp;";  ","")&amp;IF(AND(EDATE($D30,Milestones!$AA$154)&lt;=AsOfDate,IF($Q30=0,$W30,IF(AND($S30&lt;&gt;"",EDATE($D30,Milestones!$AA$154)&gt;=$S30),$V30,IF(AND($R30&lt;&gt;"",EDATE($D30,Milestones!$AA$154)&gt;=$R30),$U30,$T30)))=Milestones!$AB$154),TEXT(EDATE($D30,Milestones!$AA$154),"dd/mm/yy")&amp;" "&amp;Milestones!$AB$154&amp;" "&amp;Milestones!$AC$154&amp;";  ","")&amp;IF(AND(EDATE($D30,Milestones!$AA$155)&lt;=AsOfDate,IF($Q30=0,$W30,IF(AND($S30&lt;&gt;"",EDATE($D30,Milestones!$AA$155)&gt;=$S30),$V30,IF(AND($R30&lt;&gt;"",EDATE($D30,Milestones!$AA$155)&gt;=$R30),$U30,$T30)))=Milestones!$AB$155),TEXT(EDATE($D30,Milestones!$AA$155),"dd/mm/yy")&amp;" "&amp;Milestones!$AB$155&amp;" "&amp;Milestones!$AC$155&amp;";  ","")&amp;IF(AND(EDATE($D30,Milestones!$AA$156)&lt;=AsOfDate,IF($Q30=0,$W30,IF(AND($S30&lt;&gt;"",EDATE($D30,Milestones!$AA$156)&gt;=$S30),$V30,IF(AND($R30&lt;&gt;"",EDATE($D30,Milestones!$AA$156)&gt;=$R30),$U30,$T30)))=Milestones!$AB$156),TEXT(EDATE($D30,Milestones!$AA$156),"dd/mm/yy")&amp;" "&amp;Milestones!$AB$156&amp;" "&amp;Milestones!$AC$156&amp;";  ","")&amp;IF(AND(EDATE($D30,Milestones!$AA$157)&lt;=AsOfDate,IF($Q30=0,$W30,IF(AND($S30&lt;&gt;"",EDATE($D30,Milestones!$AA$157)&gt;=$S30),$V30,IF(AND($R30&lt;&gt;"",EDATE($D30,Milestones!$AA$157)&gt;=$R30),$U30,$T30)))=Milestones!$AB$157),TEXT(EDATE($D30,Milestones!$AA$157),"dd/mm/yy")&amp;" "&amp;Milestones!$AB$157&amp;" "&amp;Milestones!$AC$157&amp;";  ","")&amp;IF(AND(EDATE($D30,Milestones!$AA$158)&lt;=AsOfDate,IF($Q30=0,$W30,IF(AND($S30&lt;&gt;"",EDATE($D30,Milestones!$AA$158)&gt;=$S30),$V30,IF(AND($R30&lt;&gt;"",EDATE($D30,Milestones!$AA$158)&gt;=$R30),$U30,$T30)))=Milestones!$AB$158),TEXT(EDATE($D30,Milestones!$AA$158),"dd/mm/yy")&amp;" "&amp;Milestones!$AB$158&amp;" "&amp;Milestones!$AC$158&amp;";  ","")&amp;IF(AND(EDATE($D30,Milestones!$AA$159)&lt;=AsOfDate,IF($Q30=0,$W30,IF(AND($S30&lt;&gt;"",EDATE($D30,Milestones!$AA$159)&gt;=$S30),$V30,IF(AND($R30&lt;&gt;"",EDATE($D30,Milestones!$AA$159)&gt;=$R30),$U30,$T30)))=Milestones!$AB$159),TEXT(EDATE($D30,Milestones!$AA$159),"dd/mm/yy")&amp;" "&amp;Milestones!$AB$159&amp;" "&amp;Milestones!$AC$159&amp;";  ",""))</f>
        <v/>
      </c>
      <c r="O30" s="0" t="str">
        <f aca="false">IF(OR($A30="",$D30=""),"",IF(AND(EDATE($D30,Milestones!$AA$160)&lt;=AsOfDate,IF($Q30=0,$W30,IF(AND($S30&lt;&gt;"",EDATE($D30,Milestones!$AA$160)&gt;=$S30),$V30,IF(AND($R30&lt;&gt;"",EDATE($D30,Milestones!$AA$160)&gt;=$R30),$U30,$T30)))=Milestones!$AB$160),TEXT(EDATE($D30,Milestones!$AA$160),"dd/mm/yy")&amp;" "&amp;Milestones!$AB$160&amp;" "&amp;Milestones!$AC$160&amp;";  ","")&amp;IF(AND(EDATE($D30,Milestones!$AA$161)&lt;=AsOfDate,IF($Q30=0,$W30,IF(AND($S30&lt;&gt;"",EDATE($D30,Milestones!$AA$161)&gt;=$S30),$V30,IF(AND($R30&lt;&gt;"",EDATE($D30,Milestones!$AA$161)&gt;=$R30),$U30,$T30)))=Milestones!$AB$161),TEXT(EDATE($D30,Milestones!$AA$161),"dd/mm/yy")&amp;" "&amp;Milestones!$AB$161&amp;" "&amp;Milestones!$AC$161&amp;";  ","")&amp;IF(AND(EDATE($D30,Milestones!$AA$162)&lt;=AsOfDate,IF($Q30=0,$W30,IF(AND($S30&lt;&gt;"",EDATE($D30,Milestones!$AA$162)&gt;=$S30),$V30,IF(AND($R30&lt;&gt;"",EDATE($D30,Milestones!$AA$162)&gt;=$R30),$U30,$T30)))=Milestones!$AB$162),TEXT(EDATE($D30,Milestones!$AA$162),"dd/mm/yy")&amp;" "&amp;Milestones!$AB$162&amp;" "&amp;Milestones!$AC$162&amp;";  ","")&amp;IF(AND(EDATE($D30,Milestones!$AA$163)&lt;=AsOfDate,IF($Q30=0,$W30,IF(AND($S30&lt;&gt;"",EDATE($D30,Milestones!$AA$163)&gt;=$S30),$V30,IF(AND($R30&lt;&gt;"",EDATE($D30,Milestones!$AA$163)&gt;=$R30),$U30,$T30)))=Milestones!$AB$163),TEXT(EDATE($D30,Milestones!$AA$163),"dd/mm/yy")&amp;" "&amp;Milestones!$AB$163&amp;" "&amp;Milestones!$AC$163&amp;";  ","")&amp;IF(AND(EDATE($D30,Milestones!$AA$164)&lt;=AsOfDate,IF($Q30=0,$W30,IF(AND($S30&lt;&gt;"",EDATE($D30,Milestones!$AA$164)&gt;=$S30),$V30,IF(AND($R30&lt;&gt;"",EDATE($D30,Milestones!$AA$164)&gt;=$R30),$U30,$T30)))=Milestones!$AB$164),TEXT(EDATE($D30,Milestones!$AA$164),"dd/mm/yy")&amp;" "&amp;Milestones!$AB$164&amp;" "&amp;Milestones!$AC$164&amp;";  ","")&amp;IF(AND(EDATE($D30,Milestones!$AA$165)&lt;=AsOfDate,IF($Q30=0,$W30,IF(AND($S30&lt;&gt;"",EDATE($D30,Milestones!$AA$165)&gt;=$S30),$V30,IF(AND($R30&lt;&gt;"",EDATE($D30,Milestones!$AA$165)&gt;=$R30),$U30,$T30)))=Milestones!$AB$165),TEXT(EDATE($D30,Milestones!$AA$165),"dd/mm/yy")&amp;" "&amp;Milestones!$AB$165&amp;" "&amp;Milestones!$AC$165&amp;";  ","")&amp;IF(AND(EDATE($D30,Milestones!$AA$166)&lt;=AsOfDate,IF($Q30=0,$W30,IF(AND($S30&lt;&gt;"",EDATE($D30,Milestones!$AA$166)&gt;=$S30),$V30,IF(AND($R30&lt;&gt;"",EDATE($D30,Milestones!$AA$166)&gt;=$R30),$U30,$T30)))=Milestones!$AB$166),TEXT(EDATE($D30,Milestones!$AA$166),"dd/mm/yy")&amp;" "&amp;Milestones!$AB$166&amp;" "&amp;Milestones!$AC$166&amp;";  ","")&amp;IF(AND(EDATE($D30,Milestones!$AA$167)&lt;=AsOfDate,IF($Q30=0,$W30,IF(AND($S30&lt;&gt;"",EDATE($D30,Milestones!$AA$167)&gt;=$S30),$V30,IF(AND($R30&lt;&gt;"",EDATE($D30,Milestones!$AA$167)&gt;=$R30),$U30,$T30)))=Milestones!$AB$167),TEXT(EDATE($D30,Milestones!$AA$167),"dd/mm/yy")&amp;" "&amp;Milestones!$AB$167&amp;" "&amp;Milestones!$AC$167&amp;";  ","")&amp;IF(AND(EDATE($D30,Milestones!$AA$168)&lt;=AsOfDate,IF($Q30=0,$W30,IF(AND($S30&lt;&gt;"",EDATE($D30,Milestones!$AA$168)&gt;=$S30),$V30,IF(AND($R30&lt;&gt;"",EDATE($D30,Milestones!$AA$168)&gt;=$R30),$U30,$T30)))=Milestones!$AB$168),TEXT(EDATE($D30,Milestones!$AA$168),"dd/mm/yy")&amp;" "&amp;Milestones!$AB$168&amp;" "&amp;Milestones!$AC$168&amp;";  ","")&amp;IF(AND(EDATE($D30,Milestones!$AA$169)&lt;=AsOfDate,IF($Q30=0,$W30,IF(AND($S30&lt;&gt;"",EDATE($D30,Milestones!$AA$169)&gt;=$S30),$V30,IF(AND($R30&lt;&gt;"",EDATE($D30,Milestones!$AA$169)&gt;=$R30),$U30,$T30)))=Milestones!$AB$169),TEXT(EDATE($D30,Milestones!$AA$169),"dd/mm/yy")&amp;" "&amp;Milestones!$AB$169&amp;" "&amp;Milestones!$AC$169&amp;";  ","")&amp;IF(AND(EDATE($D30,Milestones!$AA$170)&lt;=AsOfDate,IF($Q30=0,$W30,IF(AND($S30&lt;&gt;"",EDATE($D30,Milestones!$AA$170)&gt;=$S30),$V30,IF(AND($R30&lt;&gt;"",EDATE($D30,Milestones!$AA$170)&gt;=$R30),$U30,$T30)))=Milestones!$AB$170),TEXT(EDATE($D30,Milestones!$AA$170),"dd/mm/yy")&amp;" "&amp;Milestones!$AB$170&amp;" "&amp;Milestones!$AC$170&amp;";  ","")&amp;IF(AND(EDATE($D30,Milestones!$AA$171)&lt;=AsOfDate,IF($Q30=0,$W30,IF(AND($S30&lt;&gt;"",EDATE($D30,Milestones!$AA$171)&gt;=$S30),$V30,IF(AND($R30&lt;&gt;"",EDATE($D30,Milestones!$AA$171)&gt;=$R30),$U30,$T30)))=Milestones!$AB$171),TEXT(EDATE($D30,Milestones!$AA$171),"dd/mm/yy")&amp;" "&amp;Milestones!$AB$171&amp;" "&amp;Milestones!$AC$171&amp;";  ","")&amp;IF(AND(EDATE($D30,Milestones!$AA$172)&lt;=AsOfDate,IF($Q30=0,$W30,IF(AND($S30&lt;&gt;"",EDATE($D30,Milestones!$AA$172)&gt;=$S30),$V30,IF(AND($R30&lt;&gt;"",EDATE($D30,Milestones!$AA$172)&gt;=$R30),$U30,$T30)))=Milestones!$AB$172),TEXT(EDATE($D30,Milestones!$AA$172),"dd/mm/yy")&amp;" "&amp;Milestones!$AB$172&amp;" "&amp;Milestones!$AC$172&amp;";  ","")&amp;IF(AND(EDATE($D30,Milestones!$AA$173)&lt;=AsOfDate,IF($Q30=0,$W30,IF(AND($S30&lt;&gt;"",EDATE($D30,Milestones!$AA$173)&gt;=$S30),$V30,IF(AND($R30&lt;&gt;"",EDATE($D30,Milestones!$AA$173)&gt;=$R30),$U30,$T30)))=Milestones!$AB$173),TEXT(EDATE($D30,Milestones!$AA$173),"dd/mm/yy")&amp;" "&amp;Milestones!$AB$173&amp;" "&amp;Milestones!$AC$173&amp;";  ","")&amp;IF(AND(EDATE($D30,Milestones!$AA$174)&lt;=AsOfDate,IF($Q30=0,$W30,IF(AND($S30&lt;&gt;"",EDATE($D30,Milestones!$AA$174)&gt;=$S30),$V30,IF(AND($R30&lt;&gt;"",EDATE($D30,Milestones!$AA$174)&gt;=$R30),$U30,$T30)))=Milestones!$AB$174),TEXT(EDATE($D30,Milestones!$AA$174),"dd/mm/yy")&amp;" "&amp;Milestones!$AB$174&amp;" "&amp;Milestones!$AC$174&amp;";  ","")&amp;IF(AND(EDATE($D30,Milestones!$AA$175)&lt;=AsOfDate,IF($Q30=0,$W30,IF(AND($S30&lt;&gt;"",EDATE($D30,Milestones!$AA$175)&gt;=$S30),$V30,IF(AND($R30&lt;&gt;"",EDATE($D30,Milestones!$AA$175)&gt;=$R30),$U30,$T30)))=Milestones!$AB$175),TEXT(EDATE($D30,Milestones!$AA$175),"dd/mm/yy")&amp;" "&amp;Milestones!$AB$175&amp;" "&amp;Milestones!$AC$175&amp;";  ","")&amp;IF(AND(EDATE($D30,Milestones!$AA$176)&lt;=AsOfDate,IF($Q30=0,$W30,IF(AND($S30&lt;&gt;"",EDATE($D30,Milestones!$AA$176)&gt;=$S30),$V30,IF(AND($R30&lt;&gt;"",EDATE($D30,Milestones!$AA$176)&gt;=$R30),$U30,$T30)))=Milestones!$AB$176),TEXT(EDATE($D30,Milestones!$AA$176),"dd/mm/yy")&amp;" "&amp;Milestones!$AB$176&amp;" "&amp;Milestones!$AC$176&amp;";  ","")&amp;IF(AND(EDATE($D30,Milestones!$AA$177)&lt;=AsOfDate,IF($Q30=0,$W30,IF(AND($S30&lt;&gt;"",EDATE($D30,Milestones!$AA$177)&gt;=$S30),$V30,IF(AND($R30&lt;&gt;"",EDATE($D30,Milestones!$AA$177)&gt;=$R30),$U30,$T30)))=Milestones!$AB$177),TEXT(EDATE($D30,Milestones!$AA$177),"dd/mm/yy")&amp;" "&amp;Milestones!$AB$177&amp;" "&amp;Milestones!$AC$177&amp;";  ","")&amp;IF(AND(EDATE($D30,Milestones!$AA$178)&lt;=AsOfDate,IF($Q30=0,$W30,IF(AND($S30&lt;&gt;"",EDATE($D30,Milestones!$AA$178)&gt;=$S30),$V30,IF(AND($R30&lt;&gt;"",EDATE($D30,Milestones!$AA$178)&gt;=$R30),$U30,$T30)))=Milestones!$AB$178),TEXT(EDATE($D30,Milestones!$AA$178),"dd/mm/yy")&amp;" "&amp;Milestones!$AB$178&amp;" "&amp;Milestones!$AC$178&amp;";  ","")&amp;IF(AND(EDATE($D30,Milestones!$AA$179)&lt;=AsOfDate,IF($Q30=0,$W30,IF(AND($S30&lt;&gt;"",EDATE($D30,Milestones!$AA$179)&gt;=$S30),$V30,IF(AND($R30&lt;&gt;"",EDATE($D30,Milestones!$AA$179)&gt;=$R30),$U30,$T30)))=Milestones!$AB$179),TEXT(EDATE($D30,Milestones!$AA$179),"dd/mm/yy")&amp;" "&amp;Milestones!$AB$179&amp;" "&amp;Milestones!$AC$179&amp;";  ",""))</f>
        <v/>
      </c>
      <c r="P30" s="0" t="str">
        <f aca="false">IF(OR($A30="",$D30=""),"",IF(AND(EDATE($D30,Milestones!$AA$180)&lt;=AsOfDate,IF($Q30=0,$W30,IF(AND($S30&lt;&gt;"",EDATE($D30,Milestones!$AA$180)&gt;=$S30),$V30,IF(AND($R30&lt;&gt;"",EDATE($D30,Milestones!$AA$180)&gt;=$R30),$U30,$T30)))=Milestones!$AB$180),TEXT(EDATE($D30,Milestones!$AA$180),"dd/mm/yy")&amp;" "&amp;Milestones!$AB$180&amp;" "&amp;Milestones!$AC$180&amp;";  ","")&amp;IF(AND(EDATE($D30,Milestones!$AA$181)&lt;=AsOfDate,IF($Q30=0,$W30,IF(AND($S30&lt;&gt;"",EDATE($D30,Milestones!$AA$181)&gt;=$S30),$V30,IF(AND($R30&lt;&gt;"",EDATE($D30,Milestones!$AA$181)&gt;=$R30),$U30,$T30)))=Milestones!$AB$181),TEXT(EDATE($D30,Milestones!$AA$181),"dd/mm/yy")&amp;" "&amp;Milestones!$AB$181&amp;" "&amp;Milestones!$AC$181&amp;";  ","")&amp;IF(AND(EDATE($D30,Milestones!$AA$182)&lt;=AsOfDate,IF($Q30=0,$W30,IF(AND($S30&lt;&gt;"",EDATE($D30,Milestones!$AA$182)&gt;=$S30),$V30,IF(AND($R30&lt;&gt;"",EDATE($D30,Milestones!$AA$182)&gt;=$R30),$U30,$T30)))=Milestones!$AB$182),TEXT(EDATE($D30,Milestones!$AA$182),"dd/mm/yy")&amp;" "&amp;Milestones!$AB$182&amp;" "&amp;Milestones!$AC$182&amp;";  ","")&amp;IF(AND(EDATE($D30,Milestones!$AA$183)&lt;=AsOfDate,IF($Q30=0,$W30,IF(AND($S30&lt;&gt;"",EDATE($D30,Milestones!$AA$183)&gt;=$S30),$V30,IF(AND($R30&lt;&gt;"",EDATE($D30,Milestones!$AA$183)&gt;=$R30),$U30,$T30)))=Milestones!$AB$183),TEXT(EDATE($D30,Milestones!$AA$183),"dd/mm/yy")&amp;" "&amp;Milestones!$AB$183&amp;" "&amp;Milestones!$AC$183&amp;";  ","")&amp;IF(AND(EDATE($D30,Milestones!$AA$184)&lt;=AsOfDate,IF($Q30=0,$W30,IF(AND($S30&lt;&gt;"",EDATE($D30,Milestones!$AA$184)&gt;=$S30),$V30,IF(AND($R30&lt;&gt;"",EDATE($D30,Milestones!$AA$184)&gt;=$R30),$U30,$T30)))=Milestones!$AB$184),TEXT(EDATE($D30,Milestones!$AA$184),"dd/mm/yy")&amp;" "&amp;Milestones!$AB$184&amp;" "&amp;Milestones!$AC$184&amp;";  ","")&amp;IF(AND(EDATE($D30,Milestones!$AA$185)&lt;=AsOfDate,IF($Q30=0,$W30,IF(AND($S30&lt;&gt;"",EDATE($D30,Milestones!$AA$185)&gt;=$S30),$V30,IF(AND($R30&lt;&gt;"",EDATE($D30,Milestones!$AA$185)&gt;=$R30),$U30,$T30)))=Milestones!$AB$185),TEXT(EDATE($D30,Milestones!$AA$185),"dd/mm/yy")&amp;" "&amp;Milestones!$AB$185&amp;" "&amp;Milestones!$AC$185&amp;";  ","")&amp;IF(AND(EDATE($D30,Milestones!$AA$186)&lt;=AsOfDate,IF($Q30=0,$W30,IF(AND($S30&lt;&gt;"",EDATE($D30,Milestones!$AA$186)&gt;=$S30),$V30,IF(AND($R30&lt;&gt;"",EDATE($D30,Milestones!$AA$186)&gt;=$R30),$U30,$T30)))=Milestones!$AB$186),TEXT(EDATE($D30,Milestones!$AA$186),"dd/mm/yy")&amp;" "&amp;Milestones!$AB$186&amp;" "&amp;Milestones!$AC$186&amp;";  ","")&amp;IF(AND(EDATE($D30,Milestones!$AA$187)&lt;=AsOfDate,IF($Q30=0,$W30,IF(AND($S30&lt;&gt;"",EDATE($D30,Milestones!$AA$187)&gt;=$S30),$V30,IF(AND($R30&lt;&gt;"",EDATE($D30,Milestones!$AA$187)&gt;=$R30),$U30,$T30)))=Milestones!$AB$187),TEXT(EDATE($D30,Milestones!$AA$187),"dd/mm/yy")&amp;" "&amp;Milestones!$AB$187&amp;" "&amp;Milestones!$AC$187&amp;";  ","")&amp;IF(AND(EDATE($D30,Milestones!$AA$188)&lt;=AsOfDate,IF($Q30=0,$W30,IF(AND($S30&lt;&gt;"",EDATE($D30,Milestones!$AA$188)&gt;=$S30),$V30,IF(AND($R30&lt;&gt;"",EDATE($D30,Milestones!$AA$188)&gt;=$R30),$U30,$T30)))=Milestones!$AB$188),TEXT(EDATE($D30,Milestones!$AA$188),"dd/mm/yy")&amp;" "&amp;Milestones!$AB$188&amp;" "&amp;Milestones!$AC$188&amp;";  ","")&amp;IF(AND(EDATE($D30,Milestones!$AA$189)&lt;=AsOfDate,IF($Q30=0,$W30,IF(AND($S30&lt;&gt;"",EDATE($D30,Milestones!$AA$189)&gt;=$S30),$V30,IF(AND($R30&lt;&gt;"",EDATE($D30,Milestones!$AA$189)&gt;=$R30),$U30,$T30)))=Milestones!$AB$189),TEXT(EDATE($D30,Milestones!$AA$189),"dd/mm/yy")&amp;" "&amp;Milestones!$AB$189&amp;" "&amp;Milestones!$AC$189&amp;";  ","")&amp;IF(AND(EDATE($D30,Milestones!$AA$190)&lt;=AsOfDate,IF($Q30=0,$W30,IF(AND($S30&lt;&gt;"",EDATE($D30,Milestones!$AA$190)&gt;=$S30),$V30,IF(AND($R30&lt;&gt;"",EDATE($D30,Milestones!$AA$190)&gt;=$R30),$U30,$T30)))=Milestones!$AB$190),TEXT(EDATE($D30,Milestones!$AA$190),"dd/mm/yy")&amp;" "&amp;Milestones!$AB$190&amp;" "&amp;Milestones!$AC$190&amp;";  ","")&amp;IF(AND(EDATE($D30,Milestones!$AA$191)&lt;=AsOfDate,IF($Q30=0,$W30,IF(AND($S30&lt;&gt;"",EDATE($D30,Milestones!$AA$191)&gt;=$S30),$V30,IF(AND($R30&lt;&gt;"",EDATE($D30,Milestones!$AA$191)&gt;=$R30),$U30,$T30)))=Milestones!$AB$191),TEXT(EDATE($D30,Milestones!$AA$191),"dd/mm/yy")&amp;" "&amp;Milestones!$AB$191&amp;" "&amp;Milestones!$AC$191&amp;";  ","")&amp;IF(AND(EDATE($D30,Milestones!$AA$192)&lt;=AsOfDate,IF($Q30=0,$W30,IF(AND($S30&lt;&gt;"",EDATE($D30,Milestones!$AA$192)&gt;=$S30),$V30,IF(AND($R30&lt;&gt;"",EDATE($D30,Milestones!$AA$192)&gt;=$R30),$U30,$T30)))=Milestones!$AB$192),TEXT(EDATE($D30,Milestones!$AA$192),"dd/mm/yy")&amp;" "&amp;Milestones!$AB$192&amp;" "&amp;Milestones!$AC$192&amp;";  ","")&amp;IF(AND(EDATE($D30,Milestones!$AA$193)&lt;=AsOfDate,IF($Q30=0,$W30,IF(AND($S30&lt;&gt;"",EDATE($D30,Milestones!$AA$193)&gt;=$S30),$V30,IF(AND($R30&lt;&gt;"",EDATE($D30,Milestones!$AA$193)&gt;=$R30),$U30,$T30)))=Milestones!$AB$193),TEXT(EDATE($D30,Milestones!$AA$193),"dd/mm/yy")&amp;" "&amp;Milestones!$AB$193&amp;" "&amp;Milestones!$AC$193&amp;";  ","")&amp;IF(AND(EDATE($D30,Milestones!$AA$194)&lt;=AsOfDate,IF($Q30=0,$W30,IF(AND($S30&lt;&gt;"",EDATE($D30,Milestones!$AA$194)&gt;=$S30),$V30,IF(AND($R30&lt;&gt;"",EDATE($D30,Milestones!$AA$194)&gt;=$R30),$U30,$T30)))=Milestones!$AB$194),TEXT(EDATE($D30,Milestones!$AA$194),"dd/mm/yy")&amp;" "&amp;Milestones!$AB$194&amp;" "&amp;Milestones!$AC$194&amp;";  ","")&amp;IF(AND(EDATE($D30,Milestones!$AA$195)&lt;=AsOfDate,IF($Q30=0,$W30,IF(AND($S30&lt;&gt;"",EDATE($D30,Milestones!$AA$195)&gt;=$S30),$V30,IF(AND($R30&lt;&gt;"",EDATE($D30,Milestones!$AA$195)&gt;=$R30),$U30,$T30)))=Milestones!$AB$195),TEXT(EDATE($D30,Milestones!$AA$195),"dd/mm/yy")&amp;" "&amp;Milestones!$AB$195&amp;" "&amp;Milestones!$AC$195&amp;";  ","")&amp;IF(AND(EDATE($D30,Milestones!$AA$196)&lt;=AsOfDate,IF($Q30=0,$W30,IF(AND($S30&lt;&gt;"",EDATE($D30,Milestones!$AA$196)&gt;=$S30),$V30,IF(AND($R30&lt;&gt;"",EDATE($D30,Milestones!$AA$196)&gt;=$R30),$U30,$T30)))=Milestones!$AB$196),TEXT(EDATE($D30,Milestones!$AA$196),"dd/mm/yy")&amp;" "&amp;Milestones!$AB$196&amp;" "&amp;Milestones!$AC$196&amp;";  ","")&amp;IF(AND(EDATE($D30,Milestones!$AA$197)&lt;=AsOfDate,IF($Q30=0,$W30,IF(AND($S30&lt;&gt;"",EDATE($D30,Milestones!$AA$197)&gt;=$S30),$V30,IF(AND($R30&lt;&gt;"",EDATE($D30,Milestones!$AA$197)&gt;=$R30),$U30,$T30)))=Milestones!$AB$197),TEXT(EDATE($D30,Milestones!$AA$197),"dd/mm/yy")&amp;" "&amp;Milestones!$AB$197&amp;" "&amp;Milestones!$AC$197&amp;";  ","")&amp;IF(AND(EDATE($D30,Milestones!$AA$198)&lt;=AsOfDate,IF($Q30=0,$W30,IF(AND($S30&lt;&gt;"",EDATE($D30,Milestones!$AA$198)&gt;=$S30),$V30,IF(AND($R30&lt;&gt;"",EDATE($D30,Milestones!$AA$198)&gt;=$R30),$U30,$T30)))=Milestones!$AB$198),TEXT(EDATE($D30,Milestones!$AA$198),"dd/mm/yy")&amp;" "&amp;Milestones!$AB$198&amp;" "&amp;Milestones!$AC$198&amp;";  ","")&amp;IF(AND(EDATE($D30,Milestones!$AA$199)&lt;=AsOfDate,IF($Q30=0,$W30,IF(AND($S30&lt;&gt;"",EDATE($D30,Milestones!$AA$199)&gt;=$S30),$V30,IF(AND($R30&lt;&gt;"",EDATE($D30,Milestones!$AA$199)&gt;=$R30),$U30,$T30)))=Milestones!$AB$199),TEXT(EDATE($D30,Milestones!$AA$199),"dd/mm/yy")&amp;" "&amp;Milestones!$AB$199&amp;" "&amp;Milestones!$AC$199&amp;";  ",""))</f>
        <v/>
      </c>
      <c r="Q30" s="0" t="str">
        <f aca="false">IF(Staff!$A30="","",Staff!$AG30)</f>
        <v/>
      </c>
      <c r="R30" s="0" t="str">
        <f aca="false">IF(Staff!$A30="","",Staff!$AI30)</f>
        <v/>
      </c>
      <c r="S30" s="0" t="str">
        <f aca="false">IF(Staff!$A30="","",Staff!$AJ30)</f>
        <v/>
      </c>
      <c r="T30" s="0" t="str">
        <f aca="false">IF(Staff!$A30="","",Staff!$AN30)</f>
        <v/>
      </c>
      <c r="U30" s="0" t="str">
        <f aca="false">IF(Staff!$A30="","",Staff!$AO30)</f>
        <v/>
      </c>
      <c r="V30" s="0" t="str">
        <f aca="false">IF(Staff!$A30="","",Staff!$AP30)</f>
        <v/>
      </c>
      <c r="W30" s="0" t="str">
        <f aca="false">IF(Staff!$A30="","",Staff!$AQ30)</f>
        <v/>
      </c>
    </row>
    <row r="31" customFormat="false" ht="15" hidden="false" customHeight="false" outlineLevel="0" collapsed="false">
      <c r="A31" s="13" t="str">
        <f aca="false">IF(Staff!$A31="","",Staff!$A31)</f>
        <v/>
      </c>
      <c r="B31" s="13" t="str">
        <f aca="false">IF(Staff!$A31="","",Staff!$B31)</f>
        <v/>
      </c>
      <c r="C31" s="13" t="str">
        <f aca="false">IF(Staff!$A31="","",Staff!$C31)</f>
        <v/>
      </c>
      <c r="D31" s="11" t="str">
        <f aca="false">IF(Staff!$A31="","",Staff!$AF31)</f>
        <v/>
      </c>
      <c r="E31" s="13" t="str">
        <f aca="false">IF(Staff!$A31="","",Staff!$O31)</f>
        <v/>
      </c>
      <c r="F31" s="13" t="str">
        <f aca="false">IF(E31="","",E31*HoursPerDay)</f>
        <v/>
      </c>
      <c r="G31" s="26" t="str">
        <f aca="false">IF($A31="","",H31&amp;I31&amp;J31&amp;K31&amp;L31&amp;M31&amp;N31&amp;O31&amp;P31)</f>
        <v/>
      </c>
      <c r="H31" s="0" t="str">
        <f aca="false">IF(OR($A31="",$D31=""),"",IF(AND(EDATE($D31,Milestones!$AA$20)&lt;=AsOfDate,IF($Q31=0,$W31,IF(AND($S31&lt;&gt;"",EDATE($D31,Milestones!$AA$20)&gt;=$S31),$V31,IF(AND($R31&lt;&gt;"",EDATE($D31,Milestones!$AA$20)&gt;=$R31),$U31,$T31)))=Milestones!$AB$20),TEXT(EDATE($D31,Milestones!$AA$20),"dd/mm/yy")&amp;" "&amp;Milestones!$AB$20&amp;" "&amp;Milestones!$AC$20&amp;";  ","")&amp;IF(AND(EDATE($D31,Milestones!$AA$21)&lt;=AsOfDate,IF($Q31=0,$W31,IF(AND($S31&lt;&gt;"",EDATE($D31,Milestones!$AA$21)&gt;=$S31),$V31,IF(AND($R31&lt;&gt;"",EDATE($D31,Milestones!$AA$21)&gt;=$R31),$U31,$T31)))=Milestones!$AB$21),TEXT(EDATE($D31,Milestones!$AA$21),"dd/mm/yy")&amp;" "&amp;Milestones!$AB$21&amp;" "&amp;Milestones!$AC$21&amp;";  ","")&amp;IF(AND(EDATE($D31,Milestones!$AA$22)&lt;=AsOfDate,IF($Q31=0,$W31,IF(AND($S31&lt;&gt;"",EDATE($D31,Milestones!$AA$22)&gt;=$S31),$V31,IF(AND($R31&lt;&gt;"",EDATE($D31,Milestones!$AA$22)&gt;=$R31),$U31,$T31)))=Milestones!$AB$22),TEXT(EDATE($D31,Milestones!$AA$22),"dd/mm/yy")&amp;" "&amp;Milestones!$AB$22&amp;" "&amp;Milestones!$AC$22&amp;";  ","")&amp;IF(AND(EDATE($D31,Milestones!$AA$23)&lt;=AsOfDate,IF($Q31=0,$W31,IF(AND($S31&lt;&gt;"",EDATE($D31,Milestones!$AA$23)&gt;=$S31),$V31,IF(AND($R31&lt;&gt;"",EDATE($D31,Milestones!$AA$23)&gt;=$R31),$U31,$T31)))=Milestones!$AB$23),TEXT(EDATE($D31,Milestones!$AA$23),"dd/mm/yy")&amp;" "&amp;Milestones!$AB$23&amp;" "&amp;Milestones!$AC$23&amp;";  ","")&amp;IF(AND(EDATE($D31,Milestones!$AA$24)&lt;=AsOfDate,IF($Q31=0,$W31,IF(AND($S31&lt;&gt;"",EDATE($D31,Milestones!$AA$24)&gt;=$S31),$V31,IF(AND($R31&lt;&gt;"",EDATE($D31,Milestones!$AA$24)&gt;=$R31),$U31,$T31)))=Milestones!$AB$24),TEXT(EDATE($D31,Milestones!$AA$24),"dd/mm/yy")&amp;" "&amp;Milestones!$AB$24&amp;" "&amp;Milestones!$AC$24&amp;";  ","")&amp;IF(AND(EDATE($D31,Milestones!$AA$25)&lt;=AsOfDate,IF($Q31=0,$W31,IF(AND($S31&lt;&gt;"",EDATE($D31,Milestones!$AA$25)&gt;=$S31),$V31,IF(AND($R31&lt;&gt;"",EDATE($D31,Milestones!$AA$25)&gt;=$R31),$U31,$T31)))=Milestones!$AB$25),TEXT(EDATE($D31,Milestones!$AA$25),"dd/mm/yy")&amp;" "&amp;Milestones!$AB$25&amp;" "&amp;Milestones!$AC$25&amp;";  ","")&amp;IF(AND(EDATE($D31,Milestones!$AA$26)&lt;=AsOfDate,IF($Q31=0,$W31,IF(AND($S31&lt;&gt;"",EDATE($D31,Milestones!$AA$26)&gt;=$S31),$V31,IF(AND($R31&lt;&gt;"",EDATE($D31,Milestones!$AA$26)&gt;=$R31),$U31,$T31)))=Milestones!$AB$26),TEXT(EDATE($D31,Milestones!$AA$26),"dd/mm/yy")&amp;" "&amp;Milestones!$AB$26&amp;" "&amp;Milestones!$AC$26&amp;";  ","")&amp;IF(AND(EDATE($D31,Milestones!$AA$27)&lt;=AsOfDate,IF($Q31=0,$W31,IF(AND($S31&lt;&gt;"",EDATE($D31,Milestones!$AA$27)&gt;=$S31),$V31,IF(AND($R31&lt;&gt;"",EDATE($D31,Milestones!$AA$27)&gt;=$R31),$U31,$T31)))=Milestones!$AB$27),TEXT(EDATE($D31,Milestones!$AA$27),"dd/mm/yy")&amp;" "&amp;Milestones!$AB$27&amp;" "&amp;Milestones!$AC$27&amp;";  ","")&amp;IF(AND(EDATE($D31,Milestones!$AA$28)&lt;=AsOfDate,IF($Q31=0,$W31,IF(AND($S31&lt;&gt;"",EDATE($D31,Milestones!$AA$28)&gt;=$S31),$V31,IF(AND($R31&lt;&gt;"",EDATE($D31,Milestones!$AA$28)&gt;=$R31),$U31,$T31)))=Milestones!$AB$28),TEXT(EDATE($D31,Milestones!$AA$28),"dd/mm/yy")&amp;" "&amp;Milestones!$AB$28&amp;" "&amp;Milestones!$AC$28&amp;";  ","")&amp;IF(AND(EDATE($D31,Milestones!$AA$29)&lt;=AsOfDate,IF($Q31=0,$W31,IF(AND($S31&lt;&gt;"",EDATE($D31,Milestones!$AA$29)&gt;=$S31),$V31,IF(AND($R31&lt;&gt;"",EDATE($D31,Milestones!$AA$29)&gt;=$R31),$U31,$T31)))=Milestones!$AB$29),TEXT(EDATE($D31,Milestones!$AA$29),"dd/mm/yy")&amp;" "&amp;Milestones!$AB$29&amp;" "&amp;Milestones!$AC$29&amp;";  ","")&amp;IF(AND(EDATE($D31,Milestones!$AA$30)&lt;=AsOfDate,IF($Q31=0,$W31,IF(AND($S31&lt;&gt;"",EDATE($D31,Milestones!$AA$30)&gt;=$S31),$V31,IF(AND($R31&lt;&gt;"",EDATE($D31,Milestones!$AA$30)&gt;=$R31),$U31,$T31)))=Milestones!$AB$30),TEXT(EDATE($D31,Milestones!$AA$30),"dd/mm/yy")&amp;" "&amp;Milestones!$AB$30&amp;" "&amp;Milestones!$AC$30&amp;";  ","")&amp;IF(AND(EDATE($D31,Milestones!$AA$31)&lt;=AsOfDate,IF($Q31=0,$W31,IF(AND($S31&lt;&gt;"",EDATE($D31,Milestones!$AA$31)&gt;=$S31),$V31,IF(AND($R31&lt;&gt;"",EDATE($D31,Milestones!$AA$31)&gt;=$R31),$U31,$T31)))=Milestones!$AB$31),TEXT(EDATE($D31,Milestones!$AA$31),"dd/mm/yy")&amp;" "&amp;Milestones!$AB$31&amp;" "&amp;Milestones!$AC$31&amp;";  ","")&amp;IF(AND(EDATE($D31,Milestones!$AA$32)&lt;=AsOfDate,IF($Q31=0,$W31,IF(AND($S31&lt;&gt;"",EDATE($D31,Milestones!$AA$32)&gt;=$S31),$V31,IF(AND($R31&lt;&gt;"",EDATE($D31,Milestones!$AA$32)&gt;=$R31),$U31,$T31)))=Milestones!$AB$32),TEXT(EDATE($D31,Milestones!$AA$32),"dd/mm/yy")&amp;" "&amp;Milestones!$AB$32&amp;" "&amp;Milestones!$AC$32&amp;";  ","")&amp;IF(AND(EDATE($D31,Milestones!$AA$33)&lt;=AsOfDate,IF($Q31=0,$W31,IF(AND($S31&lt;&gt;"",EDATE($D31,Milestones!$AA$33)&gt;=$S31),$V31,IF(AND($R31&lt;&gt;"",EDATE($D31,Milestones!$AA$33)&gt;=$R31),$U31,$T31)))=Milestones!$AB$33),TEXT(EDATE($D31,Milestones!$AA$33),"dd/mm/yy")&amp;" "&amp;Milestones!$AB$33&amp;" "&amp;Milestones!$AC$33&amp;";  ","")&amp;IF(AND(EDATE($D31,Milestones!$AA$34)&lt;=AsOfDate,IF($Q31=0,$W31,IF(AND($S31&lt;&gt;"",EDATE($D31,Milestones!$AA$34)&gt;=$S31),$V31,IF(AND($R31&lt;&gt;"",EDATE($D31,Milestones!$AA$34)&gt;=$R31),$U31,$T31)))=Milestones!$AB$34),TEXT(EDATE($D31,Milestones!$AA$34),"dd/mm/yy")&amp;" "&amp;Milestones!$AB$34&amp;" "&amp;Milestones!$AC$34&amp;";  ","")&amp;IF(AND(EDATE($D31,Milestones!$AA$35)&lt;=AsOfDate,IF($Q31=0,$W31,IF(AND($S31&lt;&gt;"",EDATE($D31,Milestones!$AA$35)&gt;=$S31),$V31,IF(AND($R31&lt;&gt;"",EDATE($D31,Milestones!$AA$35)&gt;=$R31),$U31,$T31)))=Milestones!$AB$35),TEXT(EDATE($D31,Milestones!$AA$35),"dd/mm/yy")&amp;" "&amp;Milestones!$AB$35&amp;" "&amp;Milestones!$AC$35&amp;";  ","")&amp;IF(AND(EDATE($D31,Milestones!$AA$36)&lt;=AsOfDate,IF($Q31=0,$W31,IF(AND($S31&lt;&gt;"",EDATE($D31,Milestones!$AA$36)&gt;=$S31),$V31,IF(AND($R31&lt;&gt;"",EDATE($D31,Milestones!$AA$36)&gt;=$R31),$U31,$T31)))=Milestones!$AB$36),TEXT(EDATE($D31,Milestones!$AA$36),"dd/mm/yy")&amp;" "&amp;Milestones!$AB$36&amp;" "&amp;Milestones!$AC$36&amp;";  ","")&amp;IF(AND(EDATE($D31,Milestones!$AA$37)&lt;=AsOfDate,IF($Q31=0,$W31,IF(AND($S31&lt;&gt;"",EDATE($D31,Milestones!$AA$37)&gt;=$S31),$V31,IF(AND($R31&lt;&gt;"",EDATE($D31,Milestones!$AA$37)&gt;=$R31),$U31,$T31)))=Milestones!$AB$37),TEXT(EDATE($D31,Milestones!$AA$37),"dd/mm/yy")&amp;" "&amp;Milestones!$AB$37&amp;" "&amp;Milestones!$AC$37&amp;";  ","")&amp;IF(AND(EDATE($D31,Milestones!$AA$38)&lt;=AsOfDate,IF($Q31=0,$W31,IF(AND($S31&lt;&gt;"",EDATE($D31,Milestones!$AA$38)&gt;=$S31),$V31,IF(AND($R31&lt;&gt;"",EDATE($D31,Milestones!$AA$38)&gt;=$R31),$U31,$T31)))=Milestones!$AB$38),TEXT(EDATE($D31,Milestones!$AA$38),"dd/mm/yy")&amp;" "&amp;Milestones!$AB$38&amp;" "&amp;Milestones!$AC$38&amp;";  ","")&amp;IF(AND(EDATE($D31,Milestones!$AA$39)&lt;=AsOfDate,IF($Q31=0,$W31,IF(AND($S31&lt;&gt;"",EDATE($D31,Milestones!$AA$39)&gt;=$S31),$V31,IF(AND($R31&lt;&gt;"",EDATE($D31,Milestones!$AA$39)&gt;=$R31),$U31,$T31)))=Milestones!$AB$39),TEXT(EDATE($D31,Milestones!$AA$39),"dd/mm/yy")&amp;" "&amp;Milestones!$AB$39&amp;" "&amp;Milestones!$AC$39&amp;";  ",""))</f>
        <v/>
      </c>
      <c r="I31" s="0" t="str">
        <f aca="false">IF(OR($A31="",$D31=""),"",IF(AND(EDATE($D31,Milestones!$AA$40)&lt;=AsOfDate,IF($Q31=0,$W31,IF(AND($S31&lt;&gt;"",EDATE($D31,Milestones!$AA$40)&gt;=$S31),$V31,IF(AND($R31&lt;&gt;"",EDATE($D31,Milestones!$AA$40)&gt;=$R31),$U31,$T31)))=Milestones!$AB$40),TEXT(EDATE($D31,Milestones!$AA$40),"dd/mm/yy")&amp;" "&amp;Milestones!$AB$40&amp;" "&amp;Milestones!$AC$40&amp;";  ","")&amp;IF(AND(EDATE($D31,Milestones!$AA$41)&lt;=AsOfDate,IF($Q31=0,$W31,IF(AND($S31&lt;&gt;"",EDATE($D31,Milestones!$AA$41)&gt;=$S31),$V31,IF(AND($R31&lt;&gt;"",EDATE($D31,Milestones!$AA$41)&gt;=$R31),$U31,$T31)))=Milestones!$AB$41),TEXT(EDATE($D31,Milestones!$AA$41),"dd/mm/yy")&amp;" "&amp;Milestones!$AB$41&amp;" "&amp;Milestones!$AC$41&amp;";  ","")&amp;IF(AND(EDATE($D31,Milestones!$AA$42)&lt;=AsOfDate,IF($Q31=0,$W31,IF(AND($S31&lt;&gt;"",EDATE($D31,Milestones!$AA$42)&gt;=$S31),$V31,IF(AND($R31&lt;&gt;"",EDATE($D31,Milestones!$AA$42)&gt;=$R31),$U31,$T31)))=Milestones!$AB$42),TEXT(EDATE($D31,Milestones!$AA$42),"dd/mm/yy")&amp;" "&amp;Milestones!$AB$42&amp;" "&amp;Milestones!$AC$42&amp;";  ","")&amp;IF(AND(EDATE($D31,Milestones!$AA$43)&lt;=AsOfDate,IF($Q31=0,$W31,IF(AND($S31&lt;&gt;"",EDATE($D31,Milestones!$AA$43)&gt;=$S31),$V31,IF(AND($R31&lt;&gt;"",EDATE($D31,Milestones!$AA$43)&gt;=$R31),$U31,$T31)))=Milestones!$AB$43),TEXT(EDATE($D31,Milestones!$AA$43),"dd/mm/yy")&amp;" "&amp;Milestones!$AB$43&amp;" "&amp;Milestones!$AC$43&amp;";  ","")&amp;IF(AND(EDATE($D31,Milestones!$AA$44)&lt;=AsOfDate,IF($Q31=0,$W31,IF(AND($S31&lt;&gt;"",EDATE($D31,Milestones!$AA$44)&gt;=$S31),$V31,IF(AND($R31&lt;&gt;"",EDATE($D31,Milestones!$AA$44)&gt;=$R31),$U31,$T31)))=Milestones!$AB$44),TEXT(EDATE($D31,Milestones!$AA$44),"dd/mm/yy")&amp;" "&amp;Milestones!$AB$44&amp;" "&amp;Milestones!$AC$44&amp;";  ","")&amp;IF(AND(EDATE($D31,Milestones!$AA$45)&lt;=AsOfDate,IF($Q31=0,$W31,IF(AND($S31&lt;&gt;"",EDATE($D31,Milestones!$AA$45)&gt;=$S31),$V31,IF(AND($R31&lt;&gt;"",EDATE($D31,Milestones!$AA$45)&gt;=$R31),$U31,$T31)))=Milestones!$AB$45),TEXT(EDATE($D31,Milestones!$AA$45),"dd/mm/yy")&amp;" "&amp;Milestones!$AB$45&amp;" "&amp;Milestones!$AC$45&amp;";  ","")&amp;IF(AND(EDATE($D31,Milestones!$AA$46)&lt;=AsOfDate,IF($Q31=0,$W31,IF(AND($S31&lt;&gt;"",EDATE($D31,Milestones!$AA$46)&gt;=$S31),$V31,IF(AND($R31&lt;&gt;"",EDATE($D31,Milestones!$AA$46)&gt;=$R31),$U31,$T31)))=Milestones!$AB$46),TEXT(EDATE($D31,Milestones!$AA$46),"dd/mm/yy")&amp;" "&amp;Milestones!$AB$46&amp;" "&amp;Milestones!$AC$46&amp;";  ","")&amp;IF(AND(EDATE($D31,Milestones!$AA$47)&lt;=AsOfDate,IF($Q31=0,$W31,IF(AND($S31&lt;&gt;"",EDATE($D31,Milestones!$AA$47)&gt;=$S31),$V31,IF(AND($R31&lt;&gt;"",EDATE($D31,Milestones!$AA$47)&gt;=$R31),$U31,$T31)))=Milestones!$AB$47),TEXT(EDATE($D31,Milestones!$AA$47),"dd/mm/yy")&amp;" "&amp;Milestones!$AB$47&amp;" "&amp;Milestones!$AC$47&amp;";  ","")&amp;IF(AND(EDATE($D31,Milestones!$AA$48)&lt;=AsOfDate,IF($Q31=0,$W31,IF(AND($S31&lt;&gt;"",EDATE($D31,Milestones!$AA$48)&gt;=$S31),$V31,IF(AND($R31&lt;&gt;"",EDATE($D31,Milestones!$AA$48)&gt;=$R31),$U31,$T31)))=Milestones!$AB$48),TEXT(EDATE($D31,Milestones!$AA$48),"dd/mm/yy")&amp;" "&amp;Milestones!$AB$48&amp;" "&amp;Milestones!$AC$48&amp;";  ","")&amp;IF(AND(EDATE($D31,Milestones!$AA$49)&lt;=AsOfDate,IF($Q31=0,$W31,IF(AND($S31&lt;&gt;"",EDATE($D31,Milestones!$AA$49)&gt;=$S31),$V31,IF(AND($R31&lt;&gt;"",EDATE($D31,Milestones!$AA$49)&gt;=$R31),$U31,$T31)))=Milestones!$AB$49),TEXT(EDATE($D31,Milestones!$AA$49),"dd/mm/yy")&amp;" "&amp;Milestones!$AB$49&amp;" "&amp;Milestones!$AC$49&amp;";  ","")&amp;IF(AND(EDATE($D31,Milestones!$AA$50)&lt;=AsOfDate,IF($Q31=0,$W31,IF(AND($S31&lt;&gt;"",EDATE($D31,Milestones!$AA$50)&gt;=$S31),$V31,IF(AND($R31&lt;&gt;"",EDATE($D31,Milestones!$AA$50)&gt;=$R31),$U31,$T31)))=Milestones!$AB$50),TEXT(EDATE($D31,Milestones!$AA$50),"dd/mm/yy")&amp;" "&amp;Milestones!$AB$50&amp;" "&amp;Milestones!$AC$50&amp;";  ","")&amp;IF(AND(EDATE($D31,Milestones!$AA$51)&lt;=AsOfDate,IF($Q31=0,$W31,IF(AND($S31&lt;&gt;"",EDATE($D31,Milestones!$AA$51)&gt;=$S31),$V31,IF(AND($R31&lt;&gt;"",EDATE($D31,Milestones!$AA$51)&gt;=$R31),$U31,$T31)))=Milestones!$AB$51),TEXT(EDATE($D31,Milestones!$AA$51),"dd/mm/yy")&amp;" "&amp;Milestones!$AB$51&amp;" "&amp;Milestones!$AC$51&amp;";  ","")&amp;IF(AND(EDATE($D31,Milestones!$AA$52)&lt;=AsOfDate,IF($Q31=0,$W31,IF(AND($S31&lt;&gt;"",EDATE($D31,Milestones!$AA$52)&gt;=$S31),$V31,IF(AND($R31&lt;&gt;"",EDATE($D31,Milestones!$AA$52)&gt;=$R31),$U31,$T31)))=Milestones!$AB$52),TEXT(EDATE($D31,Milestones!$AA$52),"dd/mm/yy")&amp;" "&amp;Milestones!$AB$52&amp;" "&amp;Milestones!$AC$52&amp;";  ","")&amp;IF(AND(EDATE($D31,Milestones!$AA$53)&lt;=AsOfDate,IF($Q31=0,$W31,IF(AND($S31&lt;&gt;"",EDATE($D31,Milestones!$AA$53)&gt;=$S31),$V31,IF(AND($R31&lt;&gt;"",EDATE($D31,Milestones!$AA$53)&gt;=$R31),$U31,$T31)))=Milestones!$AB$53),TEXT(EDATE($D31,Milestones!$AA$53),"dd/mm/yy")&amp;" "&amp;Milestones!$AB$53&amp;" "&amp;Milestones!$AC$53&amp;";  ","")&amp;IF(AND(EDATE($D31,Milestones!$AA$54)&lt;=AsOfDate,IF($Q31=0,$W31,IF(AND($S31&lt;&gt;"",EDATE($D31,Milestones!$AA$54)&gt;=$S31),$V31,IF(AND($R31&lt;&gt;"",EDATE($D31,Milestones!$AA$54)&gt;=$R31),$U31,$T31)))=Milestones!$AB$54),TEXT(EDATE($D31,Milestones!$AA$54),"dd/mm/yy")&amp;" "&amp;Milestones!$AB$54&amp;" "&amp;Milestones!$AC$54&amp;";  ","")&amp;IF(AND(EDATE($D31,Milestones!$AA$55)&lt;=AsOfDate,IF($Q31=0,$W31,IF(AND($S31&lt;&gt;"",EDATE($D31,Milestones!$AA$55)&gt;=$S31),$V31,IF(AND($R31&lt;&gt;"",EDATE($D31,Milestones!$AA$55)&gt;=$R31),$U31,$T31)))=Milestones!$AB$55),TEXT(EDATE($D31,Milestones!$AA$55),"dd/mm/yy")&amp;" "&amp;Milestones!$AB$55&amp;" "&amp;Milestones!$AC$55&amp;";  ","")&amp;IF(AND(EDATE($D31,Milestones!$AA$56)&lt;=AsOfDate,IF($Q31=0,$W31,IF(AND($S31&lt;&gt;"",EDATE($D31,Milestones!$AA$56)&gt;=$S31),$V31,IF(AND($R31&lt;&gt;"",EDATE($D31,Milestones!$AA$56)&gt;=$R31),$U31,$T31)))=Milestones!$AB$56),TEXT(EDATE($D31,Milestones!$AA$56),"dd/mm/yy")&amp;" "&amp;Milestones!$AB$56&amp;" "&amp;Milestones!$AC$56&amp;";  ","")&amp;IF(AND(EDATE($D31,Milestones!$AA$57)&lt;=AsOfDate,IF($Q31=0,$W31,IF(AND($S31&lt;&gt;"",EDATE($D31,Milestones!$AA$57)&gt;=$S31),$V31,IF(AND($R31&lt;&gt;"",EDATE($D31,Milestones!$AA$57)&gt;=$R31),$U31,$T31)))=Milestones!$AB$57),TEXT(EDATE($D31,Milestones!$AA$57),"dd/mm/yy")&amp;" "&amp;Milestones!$AB$57&amp;" "&amp;Milestones!$AC$57&amp;";  ","")&amp;IF(AND(EDATE($D31,Milestones!$AA$58)&lt;=AsOfDate,IF($Q31=0,$W31,IF(AND($S31&lt;&gt;"",EDATE($D31,Milestones!$AA$58)&gt;=$S31),$V31,IF(AND($R31&lt;&gt;"",EDATE($D31,Milestones!$AA$58)&gt;=$R31),$U31,$T31)))=Milestones!$AB$58),TEXT(EDATE($D31,Milestones!$AA$58),"dd/mm/yy")&amp;" "&amp;Milestones!$AB$58&amp;" "&amp;Milestones!$AC$58&amp;";  ","")&amp;IF(AND(EDATE($D31,Milestones!$AA$59)&lt;=AsOfDate,IF($Q31=0,$W31,IF(AND($S31&lt;&gt;"",EDATE($D31,Milestones!$AA$59)&gt;=$S31),$V31,IF(AND($R31&lt;&gt;"",EDATE($D31,Milestones!$AA$59)&gt;=$R31),$U31,$T31)))=Milestones!$AB$59),TEXT(EDATE($D31,Milestones!$AA$59),"dd/mm/yy")&amp;" "&amp;Milestones!$AB$59&amp;" "&amp;Milestones!$AC$59&amp;";  ",""))</f>
        <v/>
      </c>
      <c r="J31" s="0" t="str">
        <f aca="false">IF(OR($A31="",$D31=""),"",IF(AND(EDATE($D31,Milestones!$AA$60)&lt;=AsOfDate,IF($Q31=0,$W31,IF(AND($S31&lt;&gt;"",EDATE($D31,Milestones!$AA$60)&gt;=$S31),$V31,IF(AND($R31&lt;&gt;"",EDATE($D31,Milestones!$AA$60)&gt;=$R31),$U31,$T31)))=Milestones!$AB$60),TEXT(EDATE($D31,Milestones!$AA$60),"dd/mm/yy")&amp;" "&amp;Milestones!$AB$60&amp;" "&amp;Milestones!$AC$60&amp;";  ","")&amp;IF(AND(EDATE($D31,Milestones!$AA$61)&lt;=AsOfDate,IF($Q31=0,$W31,IF(AND($S31&lt;&gt;"",EDATE($D31,Milestones!$AA$61)&gt;=$S31),$V31,IF(AND($R31&lt;&gt;"",EDATE($D31,Milestones!$AA$61)&gt;=$R31),$U31,$T31)))=Milestones!$AB$61),TEXT(EDATE($D31,Milestones!$AA$61),"dd/mm/yy")&amp;" "&amp;Milestones!$AB$61&amp;" "&amp;Milestones!$AC$61&amp;";  ","")&amp;IF(AND(EDATE($D31,Milestones!$AA$62)&lt;=AsOfDate,IF($Q31=0,$W31,IF(AND($S31&lt;&gt;"",EDATE($D31,Milestones!$AA$62)&gt;=$S31),$V31,IF(AND($R31&lt;&gt;"",EDATE($D31,Milestones!$AA$62)&gt;=$R31),$U31,$T31)))=Milestones!$AB$62),TEXT(EDATE($D31,Milestones!$AA$62),"dd/mm/yy")&amp;" "&amp;Milestones!$AB$62&amp;" "&amp;Milestones!$AC$62&amp;";  ","")&amp;IF(AND(EDATE($D31,Milestones!$AA$63)&lt;=AsOfDate,IF($Q31=0,$W31,IF(AND($S31&lt;&gt;"",EDATE($D31,Milestones!$AA$63)&gt;=$S31),$V31,IF(AND($R31&lt;&gt;"",EDATE($D31,Milestones!$AA$63)&gt;=$R31),$U31,$T31)))=Milestones!$AB$63),TEXT(EDATE($D31,Milestones!$AA$63),"dd/mm/yy")&amp;" "&amp;Milestones!$AB$63&amp;" "&amp;Milestones!$AC$63&amp;";  ","")&amp;IF(AND(EDATE($D31,Milestones!$AA$64)&lt;=AsOfDate,IF($Q31=0,$W31,IF(AND($S31&lt;&gt;"",EDATE($D31,Milestones!$AA$64)&gt;=$S31),$V31,IF(AND($R31&lt;&gt;"",EDATE($D31,Milestones!$AA$64)&gt;=$R31),$U31,$T31)))=Milestones!$AB$64),TEXT(EDATE($D31,Milestones!$AA$64),"dd/mm/yy")&amp;" "&amp;Milestones!$AB$64&amp;" "&amp;Milestones!$AC$64&amp;";  ","")&amp;IF(AND(EDATE($D31,Milestones!$AA$65)&lt;=AsOfDate,IF($Q31=0,$W31,IF(AND($S31&lt;&gt;"",EDATE($D31,Milestones!$AA$65)&gt;=$S31),$V31,IF(AND($R31&lt;&gt;"",EDATE($D31,Milestones!$AA$65)&gt;=$R31),$U31,$T31)))=Milestones!$AB$65),TEXT(EDATE($D31,Milestones!$AA$65),"dd/mm/yy")&amp;" "&amp;Milestones!$AB$65&amp;" "&amp;Milestones!$AC$65&amp;";  ","")&amp;IF(AND(EDATE($D31,Milestones!$AA$66)&lt;=AsOfDate,IF($Q31=0,$W31,IF(AND($S31&lt;&gt;"",EDATE($D31,Milestones!$AA$66)&gt;=$S31),$V31,IF(AND($R31&lt;&gt;"",EDATE($D31,Milestones!$AA$66)&gt;=$R31),$U31,$T31)))=Milestones!$AB$66),TEXT(EDATE($D31,Milestones!$AA$66),"dd/mm/yy")&amp;" "&amp;Milestones!$AB$66&amp;" "&amp;Milestones!$AC$66&amp;";  ","")&amp;IF(AND(EDATE($D31,Milestones!$AA$67)&lt;=AsOfDate,IF($Q31=0,$W31,IF(AND($S31&lt;&gt;"",EDATE($D31,Milestones!$AA$67)&gt;=$S31),$V31,IF(AND($R31&lt;&gt;"",EDATE($D31,Milestones!$AA$67)&gt;=$R31),$U31,$T31)))=Milestones!$AB$67),TEXT(EDATE($D31,Milestones!$AA$67),"dd/mm/yy")&amp;" "&amp;Milestones!$AB$67&amp;" "&amp;Milestones!$AC$67&amp;";  ","")&amp;IF(AND(EDATE($D31,Milestones!$AA$68)&lt;=AsOfDate,IF($Q31=0,$W31,IF(AND($S31&lt;&gt;"",EDATE($D31,Milestones!$AA$68)&gt;=$S31),$V31,IF(AND($R31&lt;&gt;"",EDATE($D31,Milestones!$AA$68)&gt;=$R31),$U31,$T31)))=Milestones!$AB$68),TEXT(EDATE($D31,Milestones!$AA$68),"dd/mm/yy")&amp;" "&amp;Milestones!$AB$68&amp;" "&amp;Milestones!$AC$68&amp;";  ","")&amp;IF(AND(EDATE($D31,Milestones!$AA$69)&lt;=AsOfDate,IF($Q31=0,$W31,IF(AND($S31&lt;&gt;"",EDATE($D31,Milestones!$AA$69)&gt;=$S31),$V31,IF(AND($R31&lt;&gt;"",EDATE($D31,Milestones!$AA$69)&gt;=$R31),$U31,$T31)))=Milestones!$AB$69),TEXT(EDATE($D31,Milestones!$AA$69),"dd/mm/yy")&amp;" "&amp;Milestones!$AB$69&amp;" "&amp;Milestones!$AC$69&amp;";  ","")&amp;IF(AND(EDATE($D31,Milestones!$AA$70)&lt;=AsOfDate,IF($Q31=0,$W31,IF(AND($S31&lt;&gt;"",EDATE($D31,Milestones!$AA$70)&gt;=$S31),$V31,IF(AND($R31&lt;&gt;"",EDATE($D31,Milestones!$AA$70)&gt;=$R31),$U31,$T31)))=Milestones!$AB$70),TEXT(EDATE($D31,Milestones!$AA$70),"dd/mm/yy")&amp;" "&amp;Milestones!$AB$70&amp;" "&amp;Milestones!$AC$70&amp;";  ","")&amp;IF(AND(EDATE($D31,Milestones!$AA$71)&lt;=AsOfDate,IF($Q31=0,$W31,IF(AND($S31&lt;&gt;"",EDATE($D31,Milestones!$AA$71)&gt;=$S31),$V31,IF(AND($R31&lt;&gt;"",EDATE($D31,Milestones!$AA$71)&gt;=$R31),$U31,$T31)))=Milestones!$AB$71),TEXT(EDATE($D31,Milestones!$AA$71),"dd/mm/yy")&amp;" "&amp;Milestones!$AB$71&amp;" "&amp;Milestones!$AC$71&amp;";  ","")&amp;IF(AND(EDATE($D31,Milestones!$AA$72)&lt;=AsOfDate,IF($Q31=0,$W31,IF(AND($S31&lt;&gt;"",EDATE($D31,Milestones!$AA$72)&gt;=$S31),$V31,IF(AND($R31&lt;&gt;"",EDATE($D31,Milestones!$AA$72)&gt;=$R31),$U31,$T31)))=Milestones!$AB$72),TEXT(EDATE($D31,Milestones!$AA$72),"dd/mm/yy")&amp;" "&amp;Milestones!$AB$72&amp;" "&amp;Milestones!$AC$72&amp;";  ","")&amp;IF(AND(EDATE($D31,Milestones!$AA$73)&lt;=AsOfDate,IF($Q31=0,$W31,IF(AND($S31&lt;&gt;"",EDATE($D31,Milestones!$AA$73)&gt;=$S31),$V31,IF(AND($R31&lt;&gt;"",EDATE($D31,Milestones!$AA$73)&gt;=$R31),$U31,$T31)))=Milestones!$AB$73),TEXT(EDATE($D31,Milestones!$AA$73),"dd/mm/yy")&amp;" "&amp;Milestones!$AB$73&amp;" "&amp;Milestones!$AC$73&amp;";  ","")&amp;IF(AND(EDATE($D31,Milestones!$AA$74)&lt;=AsOfDate,IF($Q31=0,$W31,IF(AND($S31&lt;&gt;"",EDATE($D31,Milestones!$AA$74)&gt;=$S31),$V31,IF(AND($R31&lt;&gt;"",EDATE($D31,Milestones!$AA$74)&gt;=$R31),$U31,$T31)))=Milestones!$AB$74),TEXT(EDATE($D31,Milestones!$AA$74),"dd/mm/yy")&amp;" "&amp;Milestones!$AB$74&amp;" "&amp;Milestones!$AC$74&amp;";  ","")&amp;IF(AND(EDATE($D31,Milestones!$AA$75)&lt;=AsOfDate,IF($Q31=0,$W31,IF(AND($S31&lt;&gt;"",EDATE($D31,Milestones!$AA$75)&gt;=$S31),$V31,IF(AND($R31&lt;&gt;"",EDATE($D31,Milestones!$AA$75)&gt;=$R31),$U31,$T31)))=Milestones!$AB$75),TEXT(EDATE($D31,Milestones!$AA$75),"dd/mm/yy")&amp;" "&amp;Milestones!$AB$75&amp;" "&amp;Milestones!$AC$75&amp;";  ","")&amp;IF(AND(EDATE($D31,Milestones!$AA$76)&lt;=AsOfDate,IF($Q31=0,$W31,IF(AND($S31&lt;&gt;"",EDATE($D31,Milestones!$AA$76)&gt;=$S31),$V31,IF(AND($R31&lt;&gt;"",EDATE($D31,Milestones!$AA$76)&gt;=$R31),$U31,$T31)))=Milestones!$AB$76),TEXT(EDATE($D31,Milestones!$AA$76),"dd/mm/yy")&amp;" "&amp;Milestones!$AB$76&amp;" "&amp;Milestones!$AC$76&amp;";  ","")&amp;IF(AND(EDATE($D31,Milestones!$AA$77)&lt;=AsOfDate,IF($Q31=0,$W31,IF(AND($S31&lt;&gt;"",EDATE($D31,Milestones!$AA$77)&gt;=$S31),$V31,IF(AND($R31&lt;&gt;"",EDATE($D31,Milestones!$AA$77)&gt;=$R31),$U31,$T31)))=Milestones!$AB$77),TEXT(EDATE($D31,Milestones!$AA$77),"dd/mm/yy")&amp;" "&amp;Milestones!$AB$77&amp;" "&amp;Milestones!$AC$77&amp;";  ","")&amp;IF(AND(EDATE($D31,Milestones!$AA$78)&lt;=AsOfDate,IF($Q31=0,$W31,IF(AND($S31&lt;&gt;"",EDATE($D31,Milestones!$AA$78)&gt;=$S31),$V31,IF(AND($R31&lt;&gt;"",EDATE($D31,Milestones!$AA$78)&gt;=$R31),$U31,$T31)))=Milestones!$AB$78),TEXT(EDATE($D31,Milestones!$AA$78),"dd/mm/yy")&amp;" "&amp;Milestones!$AB$78&amp;" "&amp;Milestones!$AC$78&amp;";  ","")&amp;IF(AND(EDATE($D31,Milestones!$AA$79)&lt;=AsOfDate,IF($Q31=0,$W31,IF(AND($S31&lt;&gt;"",EDATE($D31,Milestones!$AA$79)&gt;=$S31),$V31,IF(AND($R31&lt;&gt;"",EDATE($D31,Milestones!$AA$79)&gt;=$R31),$U31,$T31)))=Milestones!$AB$79),TEXT(EDATE($D31,Milestones!$AA$79),"dd/mm/yy")&amp;" "&amp;Milestones!$AB$79&amp;" "&amp;Milestones!$AC$79&amp;";  ",""))</f>
        <v/>
      </c>
      <c r="K31" s="0" t="str">
        <f aca="false">IF(OR($A31="",$D31=""),"",IF(AND(EDATE($D31,Milestones!$AA$80)&lt;=AsOfDate,IF($Q31=0,$W31,IF(AND($S31&lt;&gt;"",EDATE($D31,Milestones!$AA$80)&gt;=$S31),$V31,IF(AND($R31&lt;&gt;"",EDATE($D31,Milestones!$AA$80)&gt;=$R31),$U31,$T31)))=Milestones!$AB$80),TEXT(EDATE($D31,Milestones!$AA$80),"dd/mm/yy")&amp;" "&amp;Milestones!$AB$80&amp;" "&amp;Milestones!$AC$80&amp;";  ","")&amp;IF(AND(EDATE($D31,Milestones!$AA$81)&lt;=AsOfDate,IF($Q31=0,$W31,IF(AND($S31&lt;&gt;"",EDATE($D31,Milestones!$AA$81)&gt;=$S31),$V31,IF(AND($R31&lt;&gt;"",EDATE($D31,Milestones!$AA$81)&gt;=$R31),$U31,$T31)))=Milestones!$AB$81),TEXT(EDATE($D31,Milestones!$AA$81),"dd/mm/yy")&amp;" "&amp;Milestones!$AB$81&amp;" "&amp;Milestones!$AC$81&amp;";  ","")&amp;IF(AND(EDATE($D31,Milestones!$AA$82)&lt;=AsOfDate,IF($Q31=0,$W31,IF(AND($S31&lt;&gt;"",EDATE($D31,Milestones!$AA$82)&gt;=$S31),$V31,IF(AND($R31&lt;&gt;"",EDATE($D31,Milestones!$AA$82)&gt;=$R31),$U31,$T31)))=Milestones!$AB$82),TEXT(EDATE($D31,Milestones!$AA$82),"dd/mm/yy")&amp;" "&amp;Milestones!$AB$82&amp;" "&amp;Milestones!$AC$82&amp;";  ","")&amp;IF(AND(EDATE($D31,Milestones!$AA$83)&lt;=AsOfDate,IF($Q31=0,$W31,IF(AND($S31&lt;&gt;"",EDATE($D31,Milestones!$AA$83)&gt;=$S31),$V31,IF(AND($R31&lt;&gt;"",EDATE($D31,Milestones!$AA$83)&gt;=$R31),$U31,$T31)))=Milestones!$AB$83),TEXT(EDATE($D31,Milestones!$AA$83),"dd/mm/yy")&amp;" "&amp;Milestones!$AB$83&amp;" "&amp;Milestones!$AC$83&amp;";  ","")&amp;IF(AND(EDATE($D31,Milestones!$AA$84)&lt;=AsOfDate,IF($Q31=0,$W31,IF(AND($S31&lt;&gt;"",EDATE($D31,Milestones!$AA$84)&gt;=$S31),$V31,IF(AND($R31&lt;&gt;"",EDATE($D31,Milestones!$AA$84)&gt;=$R31),$U31,$T31)))=Milestones!$AB$84),TEXT(EDATE($D31,Milestones!$AA$84),"dd/mm/yy")&amp;" "&amp;Milestones!$AB$84&amp;" "&amp;Milestones!$AC$84&amp;";  ","")&amp;IF(AND(EDATE($D31,Milestones!$AA$85)&lt;=AsOfDate,IF($Q31=0,$W31,IF(AND($S31&lt;&gt;"",EDATE($D31,Milestones!$AA$85)&gt;=$S31),$V31,IF(AND($R31&lt;&gt;"",EDATE($D31,Milestones!$AA$85)&gt;=$R31),$U31,$T31)))=Milestones!$AB$85),TEXT(EDATE($D31,Milestones!$AA$85),"dd/mm/yy")&amp;" "&amp;Milestones!$AB$85&amp;" "&amp;Milestones!$AC$85&amp;";  ","")&amp;IF(AND(EDATE($D31,Milestones!$AA$86)&lt;=AsOfDate,IF($Q31=0,$W31,IF(AND($S31&lt;&gt;"",EDATE($D31,Milestones!$AA$86)&gt;=$S31),$V31,IF(AND($R31&lt;&gt;"",EDATE($D31,Milestones!$AA$86)&gt;=$R31),$U31,$T31)))=Milestones!$AB$86),TEXT(EDATE($D31,Milestones!$AA$86),"dd/mm/yy")&amp;" "&amp;Milestones!$AB$86&amp;" "&amp;Milestones!$AC$86&amp;";  ","")&amp;IF(AND(EDATE($D31,Milestones!$AA$87)&lt;=AsOfDate,IF($Q31=0,$W31,IF(AND($S31&lt;&gt;"",EDATE($D31,Milestones!$AA$87)&gt;=$S31),$V31,IF(AND($R31&lt;&gt;"",EDATE($D31,Milestones!$AA$87)&gt;=$R31),$U31,$T31)))=Milestones!$AB$87),TEXT(EDATE($D31,Milestones!$AA$87),"dd/mm/yy")&amp;" "&amp;Milestones!$AB$87&amp;" "&amp;Milestones!$AC$87&amp;";  ","")&amp;IF(AND(EDATE($D31,Milestones!$AA$88)&lt;=AsOfDate,IF($Q31=0,$W31,IF(AND($S31&lt;&gt;"",EDATE($D31,Milestones!$AA$88)&gt;=$S31),$V31,IF(AND($R31&lt;&gt;"",EDATE($D31,Milestones!$AA$88)&gt;=$R31),$U31,$T31)))=Milestones!$AB$88),TEXT(EDATE($D31,Milestones!$AA$88),"dd/mm/yy")&amp;" "&amp;Milestones!$AB$88&amp;" "&amp;Milestones!$AC$88&amp;";  ","")&amp;IF(AND(EDATE($D31,Milestones!$AA$89)&lt;=AsOfDate,IF($Q31=0,$W31,IF(AND($S31&lt;&gt;"",EDATE($D31,Milestones!$AA$89)&gt;=$S31),$V31,IF(AND($R31&lt;&gt;"",EDATE($D31,Milestones!$AA$89)&gt;=$R31),$U31,$T31)))=Milestones!$AB$89),TEXT(EDATE($D31,Milestones!$AA$89),"dd/mm/yy")&amp;" "&amp;Milestones!$AB$89&amp;" "&amp;Milestones!$AC$89&amp;";  ","")&amp;IF(AND(EDATE($D31,Milestones!$AA$90)&lt;=AsOfDate,IF($Q31=0,$W31,IF(AND($S31&lt;&gt;"",EDATE($D31,Milestones!$AA$90)&gt;=$S31),$V31,IF(AND($R31&lt;&gt;"",EDATE($D31,Milestones!$AA$90)&gt;=$R31),$U31,$T31)))=Milestones!$AB$90),TEXT(EDATE($D31,Milestones!$AA$90),"dd/mm/yy")&amp;" "&amp;Milestones!$AB$90&amp;" "&amp;Milestones!$AC$90&amp;";  ","")&amp;IF(AND(EDATE($D31,Milestones!$AA$91)&lt;=AsOfDate,IF($Q31=0,$W31,IF(AND($S31&lt;&gt;"",EDATE($D31,Milestones!$AA$91)&gt;=$S31),$V31,IF(AND($R31&lt;&gt;"",EDATE($D31,Milestones!$AA$91)&gt;=$R31),$U31,$T31)))=Milestones!$AB$91),TEXT(EDATE($D31,Milestones!$AA$91),"dd/mm/yy")&amp;" "&amp;Milestones!$AB$91&amp;" "&amp;Milestones!$AC$91&amp;";  ","")&amp;IF(AND(EDATE($D31,Milestones!$AA$92)&lt;=AsOfDate,IF($Q31=0,$W31,IF(AND($S31&lt;&gt;"",EDATE($D31,Milestones!$AA$92)&gt;=$S31),$V31,IF(AND($R31&lt;&gt;"",EDATE($D31,Milestones!$AA$92)&gt;=$R31),$U31,$T31)))=Milestones!$AB$92),TEXT(EDATE($D31,Milestones!$AA$92),"dd/mm/yy")&amp;" "&amp;Milestones!$AB$92&amp;" "&amp;Milestones!$AC$92&amp;";  ","")&amp;IF(AND(EDATE($D31,Milestones!$AA$93)&lt;=AsOfDate,IF($Q31=0,$W31,IF(AND($S31&lt;&gt;"",EDATE($D31,Milestones!$AA$93)&gt;=$S31),$V31,IF(AND($R31&lt;&gt;"",EDATE($D31,Milestones!$AA$93)&gt;=$R31),$U31,$T31)))=Milestones!$AB$93),TEXT(EDATE($D31,Milestones!$AA$93),"dd/mm/yy")&amp;" "&amp;Milestones!$AB$93&amp;" "&amp;Milestones!$AC$93&amp;";  ","")&amp;IF(AND(EDATE($D31,Milestones!$AA$94)&lt;=AsOfDate,IF($Q31=0,$W31,IF(AND($S31&lt;&gt;"",EDATE($D31,Milestones!$AA$94)&gt;=$S31),$V31,IF(AND($R31&lt;&gt;"",EDATE($D31,Milestones!$AA$94)&gt;=$R31),$U31,$T31)))=Milestones!$AB$94),TEXT(EDATE($D31,Milestones!$AA$94),"dd/mm/yy")&amp;" "&amp;Milestones!$AB$94&amp;" "&amp;Milestones!$AC$94&amp;";  ","")&amp;IF(AND(EDATE($D31,Milestones!$AA$95)&lt;=AsOfDate,IF($Q31=0,$W31,IF(AND($S31&lt;&gt;"",EDATE($D31,Milestones!$AA$95)&gt;=$S31),$V31,IF(AND($R31&lt;&gt;"",EDATE($D31,Milestones!$AA$95)&gt;=$R31),$U31,$T31)))=Milestones!$AB$95),TEXT(EDATE($D31,Milestones!$AA$95),"dd/mm/yy")&amp;" "&amp;Milestones!$AB$95&amp;" "&amp;Milestones!$AC$95&amp;";  ","")&amp;IF(AND(EDATE($D31,Milestones!$AA$96)&lt;=AsOfDate,IF($Q31=0,$W31,IF(AND($S31&lt;&gt;"",EDATE($D31,Milestones!$AA$96)&gt;=$S31),$V31,IF(AND($R31&lt;&gt;"",EDATE($D31,Milestones!$AA$96)&gt;=$R31),$U31,$T31)))=Milestones!$AB$96),TEXT(EDATE($D31,Milestones!$AA$96),"dd/mm/yy")&amp;" "&amp;Milestones!$AB$96&amp;" "&amp;Milestones!$AC$96&amp;";  ","")&amp;IF(AND(EDATE($D31,Milestones!$AA$97)&lt;=AsOfDate,IF($Q31=0,$W31,IF(AND($S31&lt;&gt;"",EDATE($D31,Milestones!$AA$97)&gt;=$S31),$V31,IF(AND($R31&lt;&gt;"",EDATE($D31,Milestones!$AA$97)&gt;=$R31),$U31,$T31)))=Milestones!$AB$97),TEXT(EDATE($D31,Milestones!$AA$97),"dd/mm/yy")&amp;" "&amp;Milestones!$AB$97&amp;" "&amp;Milestones!$AC$97&amp;";  ","")&amp;IF(AND(EDATE($D31,Milestones!$AA$98)&lt;=AsOfDate,IF($Q31=0,$W31,IF(AND($S31&lt;&gt;"",EDATE($D31,Milestones!$AA$98)&gt;=$S31),$V31,IF(AND($R31&lt;&gt;"",EDATE($D31,Milestones!$AA$98)&gt;=$R31),$U31,$T31)))=Milestones!$AB$98),TEXT(EDATE($D31,Milestones!$AA$98),"dd/mm/yy")&amp;" "&amp;Milestones!$AB$98&amp;" "&amp;Milestones!$AC$98&amp;";  ","")&amp;IF(AND(EDATE($D31,Milestones!$AA$99)&lt;=AsOfDate,IF($Q31=0,$W31,IF(AND($S31&lt;&gt;"",EDATE($D31,Milestones!$AA$99)&gt;=$S31),$V31,IF(AND($R31&lt;&gt;"",EDATE($D31,Milestones!$AA$99)&gt;=$R31),$U31,$T31)))=Milestones!$AB$99),TEXT(EDATE($D31,Milestones!$AA$99),"dd/mm/yy")&amp;" "&amp;Milestones!$AB$99&amp;" "&amp;Milestones!$AC$99&amp;";  ",""))</f>
        <v/>
      </c>
      <c r="L31" s="0" t="str">
        <f aca="false">IF(OR($A31="",$D31=""),"",IF(AND(EDATE($D31,Milestones!$AA$100)&lt;=AsOfDate,IF($Q31=0,$W31,IF(AND($S31&lt;&gt;"",EDATE($D31,Milestones!$AA$100)&gt;=$S31),$V31,IF(AND($R31&lt;&gt;"",EDATE($D31,Milestones!$AA$100)&gt;=$R31),$U31,$T31)))=Milestones!$AB$100),TEXT(EDATE($D31,Milestones!$AA$100),"dd/mm/yy")&amp;" "&amp;Milestones!$AB$100&amp;" "&amp;Milestones!$AC$100&amp;";  ","")&amp;IF(AND(EDATE($D31,Milestones!$AA$101)&lt;=AsOfDate,IF($Q31=0,$W31,IF(AND($S31&lt;&gt;"",EDATE($D31,Milestones!$AA$101)&gt;=$S31),$V31,IF(AND($R31&lt;&gt;"",EDATE($D31,Milestones!$AA$101)&gt;=$R31),$U31,$T31)))=Milestones!$AB$101),TEXT(EDATE($D31,Milestones!$AA$101),"dd/mm/yy")&amp;" "&amp;Milestones!$AB$101&amp;" "&amp;Milestones!$AC$101&amp;";  ","")&amp;IF(AND(EDATE($D31,Milestones!$AA$102)&lt;=AsOfDate,IF($Q31=0,$W31,IF(AND($S31&lt;&gt;"",EDATE($D31,Milestones!$AA$102)&gt;=$S31),$V31,IF(AND($R31&lt;&gt;"",EDATE($D31,Milestones!$AA$102)&gt;=$R31),$U31,$T31)))=Milestones!$AB$102),TEXT(EDATE($D31,Milestones!$AA$102),"dd/mm/yy")&amp;" "&amp;Milestones!$AB$102&amp;" "&amp;Milestones!$AC$102&amp;";  ","")&amp;IF(AND(EDATE($D31,Milestones!$AA$103)&lt;=AsOfDate,IF($Q31=0,$W31,IF(AND($S31&lt;&gt;"",EDATE($D31,Milestones!$AA$103)&gt;=$S31),$V31,IF(AND($R31&lt;&gt;"",EDATE($D31,Milestones!$AA$103)&gt;=$R31),$U31,$T31)))=Milestones!$AB$103),TEXT(EDATE($D31,Milestones!$AA$103),"dd/mm/yy")&amp;" "&amp;Milestones!$AB$103&amp;" "&amp;Milestones!$AC$103&amp;";  ","")&amp;IF(AND(EDATE($D31,Milestones!$AA$104)&lt;=AsOfDate,IF($Q31=0,$W31,IF(AND($S31&lt;&gt;"",EDATE($D31,Milestones!$AA$104)&gt;=$S31),$V31,IF(AND($R31&lt;&gt;"",EDATE($D31,Milestones!$AA$104)&gt;=$R31),$U31,$T31)))=Milestones!$AB$104),TEXT(EDATE($D31,Milestones!$AA$104),"dd/mm/yy")&amp;" "&amp;Milestones!$AB$104&amp;" "&amp;Milestones!$AC$104&amp;";  ","")&amp;IF(AND(EDATE($D31,Milestones!$AA$105)&lt;=AsOfDate,IF($Q31=0,$W31,IF(AND($S31&lt;&gt;"",EDATE($D31,Milestones!$AA$105)&gt;=$S31),$V31,IF(AND($R31&lt;&gt;"",EDATE($D31,Milestones!$AA$105)&gt;=$R31),$U31,$T31)))=Milestones!$AB$105),TEXT(EDATE($D31,Milestones!$AA$105),"dd/mm/yy")&amp;" "&amp;Milestones!$AB$105&amp;" "&amp;Milestones!$AC$105&amp;";  ","")&amp;IF(AND(EDATE($D31,Milestones!$AA$106)&lt;=AsOfDate,IF($Q31=0,$W31,IF(AND($S31&lt;&gt;"",EDATE($D31,Milestones!$AA$106)&gt;=$S31),$V31,IF(AND($R31&lt;&gt;"",EDATE($D31,Milestones!$AA$106)&gt;=$R31),$U31,$T31)))=Milestones!$AB$106),TEXT(EDATE($D31,Milestones!$AA$106),"dd/mm/yy")&amp;" "&amp;Milestones!$AB$106&amp;" "&amp;Milestones!$AC$106&amp;";  ","")&amp;IF(AND(EDATE($D31,Milestones!$AA$107)&lt;=AsOfDate,IF($Q31=0,$W31,IF(AND($S31&lt;&gt;"",EDATE($D31,Milestones!$AA$107)&gt;=$S31),$V31,IF(AND($R31&lt;&gt;"",EDATE($D31,Milestones!$AA$107)&gt;=$R31),$U31,$T31)))=Milestones!$AB$107),TEXT(EDATE($D31,Milestones!$AA$107),"dd/mm/yy")&amp;" "&amp;Milestones!$AB$107&amp;" "&amp;Milestones!$AC$107&amp;";  ","")&amp;IF(AND(EDATE($D31,Milestones!$AA$108)&lt;=AsOfDate,IF($Q31=0,$W31,IF(AND($S31&lt;&gt;"",EDATE($D31,Milestones!$AA$108)&gt;=$S31),$V31,IF(AND($R31&lt;&gt;"",EDATE($D31,Milestones!$AA$108)&gt;=$R31),$U31,$T31)))=Milestones!$AB$108),TEXT(EDATE($D31,Milestones!$AA$108),"dd/mm/yy")&amp;" "&amp;Milestones!$AB$108&amp;" "&amp;Milestones!$AC$108&amp;";  ","")&amp;IF(AND(EDATE($D31,Milestones!$AA$109)&lt;=AsOfDate,IF($Q31=0,$W31,IF(AND($S31&lt;&gt;"",EDATE($D31,Milestones!$AA$109)&gt;=$S31),$V31,IF(AND($R31&lt;&gt;"",EDATE($D31,Milestones!$AA$109)&gt;=$R31),$U31,$T31)))=Milestones!$AB$109),TEXT(EDATE($D31,Milestones!$AA$109),"dd/mm/yy")&amp;" "&amp;Milestones!$AB$109&amp;" "&amp;Milestones!$AC$109&amp;";  ","")&amp;IF(AND(EDATE($D31,Milestones!$AA$110)&lt;=AsOfDate,IF($Q31=0,$W31,IF(AND($S31&lt;&gt;"",EDATE($D31,Milestones!$AA$110)&gt;=$S31),$V31,IF(AND($R31&lt;&gt;"",EDATE($D31,Milestones!$AA$110)&gt;=$R31),$U31,$T31)))=Milestones!$AB$110),TEXT(EDATE($D31,Milestones!$AA$110),"dd/mm/yy")&amp;" "&amp;Milestones!$AB$110&amp;" "&amp;Milestones!$AC$110&amp;";  ","")&amp;IF(AND(EDATE($D31,Milestones!$AA$111)&lt;=AsOfDate,IF($Q31=0,$W31,IF(AND($S31&lt;&gt;"",EDATE($D31,Milestones!$AA$111)&gt;=$S31),$V31,IF(AND($R31&lt;&gt;"",EDATE($D31,Milestones!$AA$111)&gt;=$R31),$U31,$T31)))=Milestones!$AB$111),TEXT(EDATE($D31,Milestones!$AA$111),"dd/mm/yy")&amp;" "&amp;Milestones!$AB$111&amp;" "&amp;Milestones!$AC$111&amp;";  ","")&amp;IF(AND(EDATE($D31,Milestones!$AA$112)&lt;=AsOfDate,IF($Q31=0,$W31,IF(AND($S31&lt;&gt;"",EDATE($D31,Milestones!$AA$112)&gt;=$S31),$V31,IF(AND($R31&lt;&gt;"",EDATE($D31,Milestones!$AA$112)&gt;=$R31),$U31,$T31)))=Milestones!$AB$112),TEXT(EDATE($D31,Milestones!$AA$112),"dd/mm/yy")&amp;" "&amp;Milestones!$AB$112&amp;" "&amp;Milestones!$AC$112&amp;";  ","")&amp;IF(AND(EDATE($D31,Milestones!$AA$113)&lt;=AsOfDate,IF($Q31=0,$W31,IF(AND($S31&lt;&gt;"",EDATE($D31,Milestones!$AA$113)&gt;=$S31),$V31,IF(AND($R31&lt;&gt;"",EDATE($D31,Milestones!$AA$113)&gt;=$R31),$U31,$T31)))=Milestones!$AB$113),TEXT(EDATE($D31,Milestones!$AA$113),"dd/mm/yy")&amp;" "&amp;Milestones!$AB$113&amp;" "&amp;Milestones!$AC$113&amp;";  ","")&amp;IF(AND(EDATE($D31,Milestones!$AA$114)&lt;=AsOfDate,IF($Q31=0,$W31,IF(AND($S31&lt;&gt;"",EDATE($D31,Milestones!$AA$114)&gt;=$S31),$V31,IF(AND($R31&lt;&gt;"",EDATE($D31,Milestones!$AA$114)&gt;=$R31),$U31,$T31)))=Milestones!$AB$114),TEXT(EDATE($D31,Milestones!$AA$114),"dd/mm/yy")&amp;" "&amp;Milestones!$AB$114&amp;" "&amp;Milestones!$AC$114&amp;";  ","")&amp;IF(AND(EDATE($D31,Milestones!$AA$115)&lt;=AsOfDate,IF($Q31=0,$W31,IF(AND($S31&lt;&gt;"",EDATE($D31,Milestones!$AA$115)&gt;=$S31),$V31,IF(AND($R31&lt;&gt;"",EDATE($D31,Milestones!$AA$115)&gt;=$R31),$U31,$T31)))=Milestones!$AB$115),TEXT(EDATE($D31,Milestones!$AA$115),"dd/mm/yy")&amp;" "&amp;Milestones!$AB$115&amp;" "&amp;Milestones!$AC$115&amp;";  ","")&amp;IF(AND(EDATE($D31,Milestones!$AA$116)&lt;=AsOfDate,IF($Q31=0,$W31,IF(AND($S31&lt;&gt;"",EDATE($D31,Milestones!$AA$116)&gt;=$S31),$V31,IF(AND($R31&lt;&gt;"",EDATE($D31,Milestones!$AA$116)&gt;=$R31),$U31,$T31)))=Milestones!$AB$116),TEXT(EDATE($D31,Milestones!$AA$116),"dd/mm/yy")&amp;" "&amp;Milestones!$AB$116&amp;" "&amp;Milestones!$AC$116&amp;";  ","")&amp;IF(AND(EDATE($D31,Milestones!$AA$117)&lt;=AsOfDate,IF($Q31=0,$W31,IF(AND($S31&lt;&gt;"",EDATE($D31,Milestones!$AA$117)&gt;=$S31),$V31,IF(AND($R31&lt;&gt;"",EDATE($D31,Milestones!$AA$117)&gt;=$R31),$U31,$T31)))=Milestones!$AB$117),TEXT(EDATE($D31,Milestones!$AA$117),"dd/mm/yy")&amp;" "&amp;Milestones!$AB$117&amp;" "&amp;Milestones!$AC$117&amp;";  ","")&amp;IF(AND(EDATE($D31,Milestones!$AA$118)&lt;=AsOfDate,IF($Q31=0,$W31,IF(AND($S31&lt;&gt;"",EDATE($D31,Milestones!$AA$118)&gt;=$S31),$V31,IF(AND($R31&lt;&gt;"",EDATE($D31,Milestones!$AA$118)&gt;=$R31),$U31,$T31)))=Milestones!$AB$118),TEXT(EDATE($D31,Milestones!$AA$118),"dd/mm/yy")&amp;" "&amp;Milestones!$AB$118&amp;" "&amp;Milestones!$AC$118&amp;";  ","")&amp;IF(AND(EDATE($D31,Milestones!$AA$119)&lt;=AsOfDate,IF($Q31=0,$W31,IF(AND($S31&lt;&gt;"",EDATE($D31,Milestones!$AA$119)&gt;=$S31),$V31,IF(AND($R31&lt;&gt;"",EDATE($D31,Milestones!$AA$119)&gt;=$R31),$U31,$T31)))=Milestones!$AB$119),TEXT(EDATE($D31,Milestones!$AA$119),"dd/mm/yy")&amp;" "&amp;Milestones!$AB$119&amp;" "&amp;Milestones!$AC$119&amp;";  ",""))</f>
        <v/>
      </c>
      <c r="M31" s="0" t="str">
        <f aca="false">IF(OR($A31="",$D31=""),"",IF(AND(EDATE($D31,Milestones!$AA$120)&lt;=AsOfDate,IF($Q31=0,$W31,IF(AND($S31&lt;&gt;"",EDATE($D31,Milestones!$AA$120)&gt;=$S31),$V31,IF(AND($R31&lt;&gt;"",EDATE($D31,Milestones!$AA$120)&gt;=$R31),$U31,$T31)))=Milestones!$AB$120),TEXT(EDATE($D31,Milestones!$AA$120),"dd/mm/yy")&amp;" "&amp;Milestones!$AB$120&amp;" "&amp;Milestones!$AC$120&amp;";  ","")&amp;IF(AND(EDATE($D31,Milestones!$AA$121)&lt;=AsOfDate,IF($Q31=0,$W31,IF(AND($S31&lt;&gt;"",EDATE($D31,Milestones!$AA$121)&gt;=$S31),$V31,IF(AND($R31&lt;&gt;"",EDATE($D31,Milestones!$AA$121)&gt;=$R31),$U31,$T31)))=Milestones!$AB$121),TEXT(EDATE($D31,Milestones!$AA$121),"dd/mm/yy")&amp;" "&amp;Milestones!$AB$121&amp;" "&amp;Milestones!$AC$121&amp;";  ","")&amp;IF(AND(EDATE($D31,Milestones!$AA$122)&lt;=AsOfDate,IF($Q31=0,$W31,IF(AND($S31&lt;&gt;"",EDATE($D31,Milestones!$AA$122)&gt;=$S31),$V31,IF(AND($R31&lt;&gt;"",EDATE($D31,Milestones!$AA$122)&gt;=$R31),$U31,$T31)))=Milestones!$AB$122),TEXT(EDATE($D31,Milestones!$AA$122),"dd/mm/yy")&amp;" "&amp;Milestones!$AB$122&amp;" "&amp;Milestones!$AC$122&amp;";  ","")&amp;IF(AND(EDATE($D31,Milestones!$AA$123)&lt;=AsOfDate,IF($Q31=0,$W31,IF(AND($S31&lt;&gt;"",EDATE($D31,Milestones!$AA$123)&gt;=$S31),$V31,IF(AND($R31&lt;&gt;"",EDATE($D31,Milestones!$AA$123)&gt;=$R31),$U31,$T31)))=Milestones!$AB$123),TEXT(EDATE($D31,Milestones!$AA$123),"dd/mm/yy")&amp;" "&amp;Milestones!$AB$123&amp;" "&amp;Milestones!$AC$123&amp;";  ","")&amp;IF(AND(EDATE($D31,Milestones!$AA$124)&lt;=AsOfDate,IF($Q31=0,$W31,IF(AND($S31&lt;&gt;"",EDATE($D31,Milestones!$AA$124)&gt;=$S31),$V31,IF(AND($R31&lt;&gt;"",EDATE($D31,Milestones!$AA$124)&gt;=$R31),$U31,$T31)))=Milestones!$AB$124),TEXT(EDATE($D31,Milestones!$AA$124),"dd/mm/yy")&amp;" "&amp;Milestones!$AB$124&amp;" "&amp;Milestones!$AC$124&amp;";  ","")&amp;IF(AND(EDATE($D31,Milestones!$AA$125)&lt;=AsOfDate,IF($Q31=0,$W31,IF(AND($S31&lt;&gt;"",EDATE($D31,Milestones!$AA$125)&gt;=$S31),$V31,IF(AND($R31&lt;&gt;"",EDATE($D31,Milestones!$AA$125)&gt;=$R31),$U31,$T31)))=Milestones!$AB$125),TEXT(EDATE($D31,Milestones!$AA$125),"dd/mm/yy")&amp;" "&amp;Milestones!$AB$125&amp;" "&amp;Milestones!$AC$125&amp;";  ","")&amp;IF(AND(EDATE($D31,Milestones!$AA$126)&lt;=AsOfDate,IF($Q31=0,$W31,IF(AND($S31&lt;&gt;"",EDATE($D31,Milestones!$AA$126)&gt;=$S31),$V31,IF(AND($R31&lt;&gt;"",EDATE($D31,Milestones!$AA$126)&gt;=$R31),$U31,$T31)))=Milestones!$AB$126),TEXT(EDATE($D31,Milestones!$AA$126),"dd/mm/yy")&amp;" "&amp;Milestones!$AB$126&amp;" "&amp;Milestones!$AC$126&amp;";  ","")&amp;IF(AND(EDATE($D31,Milestones!$AA$127)&lt;=AsOfDate,IF($Q31=0,$W31,IF(AND($S31&lt;&gt;"",EDATE($D31,Milestones!$AA$127)&gt;=$S31),$V31,IF(AND($R31&lt;&gt;"",EDATE($D31,Milestones!$AA$127)&gt;=$R31),$U31,$T31)))=Milestones!$AB$127),TEXT(EDATE($D31,Milestones!$AA$127),"dd/mm/yy")&amp;" "&amp;Milestones!$AB$127&amp;" "&amp;Milestones!$AC$127&amp;";  ","")&amp;IF(AND(EDATE($D31,Milestones!$AA$128)&lt;=AsOfDate,IF($Q31=0,$W31,IF(AND($S31&lt;&gt;"",EDATE($D31,Milestones!$AA$128)&gt;=$S31),$V31,IF(AND($R31&lt;&gt;"",EDATE($D31,Milestones!$AA$128)&gt;=$R31),$U31,$T31)))=Milestones!$AB$128),TEXT(EDATE($D31,Milestones!$AA$128),"dd/mm/yy")&amp;" "&amp;Milestones!$AB$128&amp;" "&amp;Milestones!$AC$128&amp;";  ","")&amp;IF(AND(EDATE($D31,Milestones!$AA$129)&lt;=AsOfDate,IF($Q31=0,$W31,IF(AND($S31&lt;&gt;"",EDATE($D31,Milestones!$AA$129)&gt;=$S31),$V31,IF(AND($R31&lt;&gt;"",EDATE($D31,Milestones!$AA$129)&gt;=$R31),$U31,$T31)))=Milestones!$AB$129),TEXT(EDATE($D31,Milestones!$AA$129),"dd/mm/yy")&amp;" "&amp;Milestones!$AB$129&amp;" "&amp;Milestones!$AC$129&amp;";  ","")&amp;IF(AND(EDATE($D31,Milestones!$AA$130)&lt;=AsOfDate,IF($Q31=0,$W31,IF(AND($S31&lt;&gt;"",EDATE($D31,Milestones!$AA$130)&gt;=$S31),$V31,IF(AND($R31&lt;&gt;"",EDATE($D31,Milestones!$AA$130)&gt;=$R31),$U31,$T31)))=Milestones!$AB$130),TEXT(EDATE($D31,Milestones!$AA$130),"dd/mm/yy")&amp;" "&amp;Milestones!$AB$130&amp;" "&amp;Milestones!$AC$130&amp;";  ","")&amp;IF(AND(EDATE($D31,Milestones!$AA$131)&lt;=AsOfDate,IF($Q31=0,$W31,IF(AND($S31&lt;&gt;"",EDATE($D31,Milestones!$AA$131)&gt;=$S31),$V31,IF(AND($R31&lt;&gt;"",EDATE($D31,Milestones!$AA$131)&gt;=$R31),$U31,$T31)))=Milestones!$AB$131),TEXT(EDATE($D31,Milestones!$AA$131),"dd/mm/yy")&amp;" "&amp;Milestones!$AB$131&amp;" "&amp;Milestones!$AC$131&amp;";  ","")&amp;IF(AND(EDATE($D31,Milestones!$AA$132)&lt;=AsOfDate,IF($Q31=0,$W31,IF(AND($S31&lt;&gt;"",EDATE($D31,Milestones!$AA$132)&gt;=$S31),$V31,IF(AND($R31&lt;&gt;"",EDATE($D31,Milestones!$AA$132)&gt;=$R31),$U31,$T31)))=Milestones!$AB$132),TEXT(EDATE($D31,Milestones!$AA$132),"dd/mm/yy")&amp;" "&amp;Milestones!$AB$132&amp;" "&amp;Milestones!$AC$132&amp;";  ","")&amp;IF(AND(EDATE($D31,Milestones!$AA$133)&lt;=AsOfDate,IF($Q31=0,$W31,IF(AND($S31&lt;&gt;"",EDATE($D31,Milestones!$AA$133)&gt;=$S31),$V31,IF(AND($R31&lt;&gt;"",EDATE($D31,Milestones!$AA$133)&gt;=$R31),$U31,$T31)))=Milestones!$AB$133),TEXT(EDATE($D31,Milestones!$AA$133),"dd/mm/yy")&amp;" "&amp;Milestones!$AB$133&amp;" "&amp;Milestones!$AC$133&amp;";  ","")&amp;IF(AND(EDATE($D31,Milestones!$AA$134)&lt;=AsOfDate,IF($Q31=0,$W31,IF(AND($S31&lt;&gt;"",EDATE($D31,Milestones!$AA$134)&gt;=$S31),$V31,IF(AND($R31&lt;&gt;"",EDATE($D31,Milestones!$AA$134)&gt;=$R31),$U31,$T31)))=Milestones!$AB$134),TEXT(EDATE($D31,Milestones!$AA$134),"dd/mm/yy")&amp;" "&amp;Milestones!$AB$134&amp;" "&amp;Milestones!$AC$134&amp;";  ","")&amp;IF(AND(EDATE($D31,Milestones!$AA$135)&lt;=AsOfDate,IF($Q31=0,$W31,IF(AND($S31&lt;&gt;"",EDATE($D31,Milestones!$AA$135)&gt;=$S31),$V31,IF(AND($R31&lt;&gt;"",EDATE($D31,Milestones!$AA$135)&gt;=$R31),$U31,$T31)))=Milestones!$AB$135),TEXT(EDATE($D31,Milestones!$AA$135),"dd/mm/yy")&amp;" "&amp;Milestones!$AB$135&amp;" "&amp;Milestones!$AC$135&amp;";  ","")&amp;IF(AND(EDATE($D31,Milestones!$AA$136)&lt;=AsOfDate,IF($Q31=0,$W31,IF(AND($S31&lt;&gt;"",EDATE($D31,Milestones!$AA$136)&gt;=$S31),$V31,IF(AND($R31&lt;&gt;"",EDATE($D31,Milestones!$AA$136)&gt;=$R31),$U31,$T31)))=Milestones!$AB$136),TEXT(EDATE($D31,Milestones!$AA$136),"dd/mm/yy")&amp;" "&amp;Milestones!$AB$136&amp;" "&amp;Milestones!$AC$136&amp;";  ","")&amp;IF(AND(EDATE($D31,Milestones!$AA$137)&lt;=AsOfDate,IF($Q31=0,$W31,IF(AND($S31&lt;&gt;"",EDATE($D31,Milestones!$AA$137)&gt;=$S31),$V31,IF(AND($R31&lt;&gt;"",EDATE($D31,Milestones!$AA$137)&gt;=$R31),$U31,$T31)))=Milestones!$AB$137),TEXT(EDATE($D31,Milestones!$AA$137),"dd/mm/yy")&amp;" "&amp;Milestones!$AB$137&amp;" "&amp;Milestones!$AC$137&amp;";  ","")&amp;IF(AND(EDATE($D31,Milestones!$AA$138)&lt;=AsOfDate,IF($Q31=0,$W31,IF(AND($S31&lt;&gt;"",EDATE($D31,Milestones!$AA$138)&gt;=$S31),$V31,IF(AND($R31&lt;&gt;"",EDATE($D31,Milestones!$AA$138)&gt;=$R31),$U31,$T31)))=Milestones!$AB$138),TEXT(EDATE($D31,Milestones!$AA$138),"dd/mm/yy")&amp;" "&amp;Milestones!$AB$138&amp;" "&amp;Milestones!$AC$138&amp;";  ","")&amp;IF(AND(EDATE($D31,Milestones!$AA$139)&lt;=AsOfDate,IF($Q31=0,$W31,IF(AND($S31&lt;&gt;"",EDATE($D31,Milestones!$AA$139)&gt;=$S31),$V31,IF(AND($R31&lt;&gt;"",EDATE($D31,Milestones!$AA$139)&gt;=$R31),$U31,$T31)))=Milestones!$AB$139),TEXT(EDATE($D31,Milestones!$AA$139),"dd/mm/yy")&amp;" "&amp;Milestones!$AB$139&amp;" "&amp;Milestones!$AC$139&amp;";  ",""))</f>
        <v/>
      </c>
      <c r="N31" s="0" t="str">
        <f aca="false">IF(OR($A31="",$D31=""),"",IF(AND(EDATE($D31,Milestones!$AA$140)&lt;=AsOfDate,IF($Q31=0,$W31,IF(AND($S31&lt;&gt;"",EDATE($D31,Milestones!$AA$140)&gt;=$S31),$V31,IF(AND($R31&lt;&gt;"",EDATE($D31,Milestones!$AA$140)&gt;=$R31),$U31,$T31)))=Milestones!$AB$140),TEXT(EDATE($D31,Milestones!$AA$140),"dd/mm/yy")&amp;" "&amp;Milestones!$AB$140&amp;" "&amp;Milestones!$AC$140&amp;";  ","")&amp;IF(AND(EDATE($D31,Milestones!$AA$141)&lt;=AsOfDate,IF($Q31=0,$W31,IF(AND($S31&lt;&gt;"",EDATE($D31,Milestones!$AA$141)&gt;=$S31),$V31,IF(AND($R31&lt;&gt;"",EDATE($D31,Milestones!$AA$141)&gt;=$R31),$U31,$T31)))=Milestones!$AB$141),TEXT(EDATE($D31,Milestones!$AA$141),"dd/mm/yy")&amp;" "&amp;Milestones!$AB$141&amp;" "&amp;Milestones!$AC$141&amp;";  ","")&amp;IF(AND(EDATE($D31,Milestones!$AA$142)&lt;=AsOfDate,IF($Q31=0,$W31,IF(AND($S31&lt;&gt;"",EDATE($D31,Milestones!$AA$142)&gt;=$S31),$V31,IF(AND($R31&lt;&gt;"",EDATE($D31,Milestones!$AA$142)&gt;=$R31),$U31,$T31)))=Milestones!$AB$142),TEXT(EDATE($D31,Milestones!$AA$142),"dd/mm/yy")&amp;" "&amp;Milestones!$AB$142&amp;" "&amp;Milestones!$AC$142&amp;";  ","")&amp;IF(AND(EDATE($D31,Milestones!$AA$143)&lt;=AsOfDate,IF($Q31=0,$W31,IF(AND($S31&lt;&gt;"",EDATE($D31,Milestones!$AA$143)&gt;=$S31),$V31,IF(AND($R31&lt;&gt;"",EDATE($D31,Milestones!$AA$143)&gt;=$R31),$U31,$T31)))=Milestones!$AB$143),TEXT(EDATE($D31,Milestones!$AA$143),"dd/mm/yy")&amp;" "&amp;Milestones!$AB$143&amp;" "&amp;Milestones!$AC$143&amp;";  ","")&amp;IF(AND(EDATE($D31,Milestones!$AA$144)&lt;=AsOfDate,IF($Q31=0,$W31,IF(AND($S31&lt;&gt;"",EDATE($D31,Milestones!$AA$144)&gt;=$S31),$V31,IF(AND($R31&lt;&gt;"",EDATE($D31,Milestones!$AA$144)&gt;=$R31),$U31,$T31)))=Milestones!$AB$144),TEXT(EDATE($D31,Milestones!$AA$144),"dd/mm/yy")&amp;" "&amp;Milestones!$AB$144&amp;" "&amp;Milestones!$AC$144&amp;";  ","")&amp;IF(AND(EDATE($D31,Milestones!$AA$145)&lt;=AsOfDate,IF($Q31=0,$W31,IF(AND($S31&lt;&gt;"",EDATE($D31,Milestones!$AA$145)&gt;=$S31),$V31,IF(AND($R31&lt;&gt;"",EDATE($D31,Milestones!$AA$145)&gt;=$R31),$U31,$T31)))=Milestones!$AB$145),TEXT(EDATE($D31,Milestones!$AA$145),"dd/mm/yy")&amp;" "&amp;Milestones!$AB$145&amp;" "&amp;Milestones!$AC$145&amp;";  ","")&amp;IF(AND(EDATE($D31,Milestones!$AA$146)&lt;=AsOfDate,IF($Q31=0,$W31,IF(AND($S31&lt;&gt;"",EDATE($D31,Milestones!$AA$146)&gt;=$S31),$V31,IF(AND($R31&lt;&gt;"",EDATE($D31,Milestones!$AA$146)&gt;=$R31),$U31,$T31)))=Milestones!$AB$146),TEXT(EDATE($D31,Milestones!$AA$146),"dd/mm/yy")&amp;" "&amp;Milestones!$AB$146&amp;" "&amp;Milestones!$AC$146&amp;";  ","")&amp;IF(AND(EDATE($D31,Milestones!$AA$147)&lt;=AsOfDate,IF($Q31=0,$W31,IF(AND($S31&lt;&gt;"",EDATE($D31,Milestones!$AA$147)&gt;=$S31),$V31,IF(AND($R31&lt;&gt;"",EDATE($D31,Milestones!$AA$147)&gt;=$R31),$U31,$T31)))=Milestones!$AB$147),TEXT(EDATE($D31,Milestones!$AA$147),"dd/mm/yy")&amp;" "&amp;Milestones!$AB$147&amp;" "&amp;Milestones!$AC$147&amp;";  ","")&amp;IF(AND(EDATE($D31,Milestones!$AA$148)&lt;=AsOfDate,IF($Q31=0,$W31,IF(AND($S31&lt;&gt;"",EDATE($D31,Milestones!$AA$148)&gt;=$S31),$V31,IF(AND($R31&lt;&gt;"",EDATE($D31,Milestones!$AA$148)&gt;=$R31),$U31,$T31)))=Milestones!$AB$148),TEXT(EDATE($D31,Milestones!$AA$148),"dd/mm/yy")&amp;" "&amp;Milestones!$AB$148&amp;" "&amp;Milestones!$AC$148&amp;";  ","")&amp;IF(AND(EDATE($D31,Milestones!$AA$149)&lt;=AsOfDate,IF($Q31=0,$W31,IF(AND($S31&lt;&gt;"",EDATE($D31,Milestones!$AA$149)&gt;=$S31),$V31,IF(AND($R31&lt;&gt;"",EDATE($D31,Milestones!$AA$149)&gt;=$R31),$U31,$T31)))=Milestones!$AB$149),TEXT(EDATE($D31,Milestones!$AA$149),"dd/mm/yy")&amp;" "&amp;Milestones!$AB$149&amp;" "&amp;Milestones!$AC$149&amp;";  ","")&amp;IF(AND(EDATE($D31,Milestones!$AA$150)&lt;=AsOfDate,IF($Q31=0,$W31,IF(AND($S31&lt;&gt;"",EDATE($D31,Milestones!$AA$150)&gt;=$S31),$V31,IF(AND($R31&lt;&gt;"",EDATE($D31,Milestones!$AA$150)&gt;=$R31),$U31,$T31)))=Milestones!$AB$150),TEXT(EDATE($D31,Milestones!$AA$150),"dd/mm/yy")&amp;" "&amp;Milestones!$AB$150&amp;" "&amp;Milestones!$AC$150&amp;";  ","")&amp;IF(AND(EDATE($D31,Milestones!$AA$151)&lt;=AsOfDate,IF($Q31=0,$W31,IF(AND($S31&lt;&gt;"",EDATE($D31,Milestones!$AA$151)&gt;=$S31),$V31,IF(AND($R31&lt;&gt;"",EDATE($D31,Milestones!$AA$151)&gt;=$R31),$U31,$T31)))=Milestones!$AB$151),TEXT(EDATE($D31,Milestones!$AA$151),"dd/mm/yy")&amp;" "&amp;Milestones!$AB$151&amp;" "&amp;Milestones!$AC$151&amp;";  ","")&amp;IF(AND(EDATE($D31,Milestones!$AA$152)&lt;=AsOfDate,IF($Q31=0,$W31,IF(AND($S31&lt;&gt;"",EDATE($D31,Milestones!$AA$152)&gt;=$S31),$V31,IF(AND($R31&lt;&gt;"",EDATE($D31,Milestones!$AA$152)&gt;=$R31),$U31,$T31)))=Milestones!$AB$152),TEXT(EDATE($D31,Milestones!$AA$152),"dd/mm/yy")&amp;" "&amp;Milestones!$AB$152&amp;" "&amp;Milestones!$AC$152&amp;";  ","")&amp;IF(AND(EDATE($D31,Milestones!$AA$153)&lt;=AsOfDate,IF($Q31=0,$W31,IF(AND($S31&lt;&gt;"",EDATE($D31,Milestones!$AA$153)&gt;=$S31),$V31,IF(AND($R31&lt;&gt;"",EDATE($D31,Milestones!$AA$153)&gt;=$R31),$U31,$T31)))=Milestones!$AB$153),TEXT(EDATE($D31,Milestones!$AA$153),"dd/mm/yy")&amp;" "&amp;Milestones!$AB$153&amp;" "&amp;Milestones!$AC$153&amp;";  ","")&amp;IF(AND(EDATE($D31,Milestones!$AA$154)&lt;=AsOfDate,IF($Q31=0,$W31,IF(AND($S31&lt;&gt;"",EDATE($D31,Milestones!$AA$154)&gt;=$S31),$V31,IF(AND($R31&lt;&gt;"",EDATE($D31,Milestones!$AA$154)&gt;=$R31),$U31,$T31)))=Milestones!$AB$154),TEXT(EDATE($D31,Milestones!$AA$154),"dd/mm/yy")&amp;" "&amp;Milestones!$AB$154&amp;" "&amp;Milestones!$AC$154&amp;";  ","")&amp;IF(AND(EDATE($D31,Milestones!$AA$155)&lt;=AsOfDate,IF($Q31=0,$W31,IF(AND($S31&lt;&gt;"",EDATE($D31,Milestones!$AA$155)&gt;=$S31),$V31,IF(AND($R31&lt;&gt;"",EDATE($D31,Milestones!$AA$155)&gt;=$R31),$U31,$T31)))=Milestones!$AB$155),TEXT(EDATE($D31,Milestones!$AA$155),"dd/mm/yy")&amp;" "&amp;Milestones!$AB$155&amp;" "&amp;Milestones!$AC$155&amp;";  ","")&amp;IF(AND(EDATE($D31,Milestones!$AA$156)&lt;=AsOfDate,IF($Q31=0,$W31,IF(AND($S31&lt;&gt;"",EDATE($D31,Milestones!$AA$156)&gt;=$S31),$V31,IF(AND($R31&lt;&gt;"",EDATE($D31,Milestones!$AA$156)&gt;=$R31),$U31,$T31)))=Milestones!$AB$156),TEXT(EDATE($D31,Milestones!$AA$156),"dd/mm/yy")&amp;" "&amp;Milestones!$AB$156&amp;" "&amp;Milestones!$AC$156&amp;";  ","")&amp;IF(AND(EDATE($D31,Milestones!$AA$157)&lt;=AsOfDate,IF($Q31=0,$W31,IF(AND($S31&lt;&gt;"",EDATE($D31,Milestones!$AA$157)&gt;=$S31),$V31,IF(AND($R31&lt;&gt;"",EDATE($D31,Milestones!$AA$157)&gt;=$R31),$U31,$T31)))=Milestones!$AB$157),TEXT(EDATE($D31,Milestones!$AA$157),"dd/mm/yy")&amp;" "&amp;Milestones!$AB$157&amp;" "&amp;Milestones!$AC$157&amp;";  ","")&amp;IF(AND(EDATE($D31,Milestones!$AA$158)&lt;=AsOfDate,IF($Q31=0,$W31,IF(AND($S31&lt;&gt;"",EDATE($D31,Milestones!$AA$158)&gt;=$S31),$V31,IF(AND($R31&lt;&gt;"",EDATE($D31,Milestones!$AA$158)&gt;=$R31),$U31,$T31)))=Milestones!$AB$158),TEXT(EDATE($D31,Milestones!$AA$158),"dd/mm/yy")&amp;" "&amp;Milestones!$AB$158&amp;" "&amp;Milestones!$AC$158&amp;";  ","")&amp;IF(AND(EDATE($D31,Milestones!$AA$159)&lt;=AsOfDate,IF($Q31=0,$W31,IF(AND($S31&lt;&gt;"",EDATE($D31,Milestones!$AA$159)&gt;=$S31),$V31,IF(AND($R31&lt;&gt;"",EDATE($D31,Milestones!$AA$159)&gt;=$R31),$U31,$T31)))=Milestones!$AB$159),TEXT(EDATE($D31,Milestones!$AA$159),"dd/mm/yy")&amp;" "&amp;Milestones!$AB$159&amp;" "&amp;Milestones!$AC$159&amp;";  ",""))</f>
        <v/>
      </c>
      <c r="O31" s="0" t="str">
        <f aca="false">IF(OR($A31="",$D31=""),"",IF(AND(EDATE($D31,Milestones!$AA$160)&lt;=AsOfDate,IF($Q31=0,$W31,IF(AND($S31&lt;&gt;"",EDATE($D31,Milestones!$AA$160)&gt;=$S31),$V31,IF(AND($R31&lt;&gt;"",EDATE($D31,Milestones!$AA$160)&gt;=$R31),$U31,$T31)))=Milestones!$AB$160),TEXT(EDATE($D31,Milestones!$AA$160),"dd/mm/yy")&amp;" "&amp;Milestones!$AB$160&amp;" "&amp;Milestones!$AC$160&amp;";  ","")&amp;IF(AND(EDATE($D31,Milestones!$AA$161)&lt;=AsOfDate,IF($Q31=0,$W31,IF(AND($S31&lt;&gt;"",EDATE($D31,Milestones!$AA$161)&gt;=$S31),$V31,IF(AND($R31&lt;&gt;"",EDATE($D31,Milestones!$AA$161)&gt;=$R31),$U31,$T31)))=Milestones!$AB$161),TEXT(EDATE($D31,Milestones!$AA$161),"dd/mm/yy")&amp;" "&amp;Milestones!$AB$161&amp;" "&amp;Milestones!$AC$161&amp;";  ","")&amp;IF(AND(EDATE($D31,Milestones!$AA$162)&lt;=AsOfDate,IF($Q31=0,$W31,IF(AND($S31&lt;&gt;"",EDATE($D31,Milestones!$AA$162)&gt;=$S31),$V31,IF(AND($R31&lt;&gt;"",EDATE($D31,Milestones!$AA$162)&gt;=$R31),$U31,$T31)))=Milestones!$AB$162),TEXT(EDATE($D31,Milestones!$AA$162),"dd/mm/yy")&amp;" "&amp;Milestones!$AB$162&amp;" "&amp;Milestones!$AC$162&amp;";  ","")&amp;IF(AND(EDATE($D31,Milestones!$AA$163)&lt;=AsOfDate,IF($Q31=0,$W31,IF(AND($S31&lt;&gt;"",EDATE($D31,Milestones!$AA$163)&gt;=$S31),$V31,IF(AND($R31&lt;&gt;"",EDATE($D31,Milestones!$AA$163)&gt;=$R31),$U31,$T31)))=Milestones!$AB$163),TEXT(EDATE($D31,Milestones!$AA$163),"dd/mm/yy")&amp;" "&amp;Milestones!$AB$163&amp;" "&amp;Milestones!$AC$163&amp;";  ","")&amp;IF(AND(EDATE($D31,Milestones!$AA$164)&lt;=AsOfDate,IF($Q31=0,$W31,IF(AND($S31&lt;&gt;"",EDATE($D31,Milestones!$AA$164)&gt;=$S31),$V31,IF(AND($R31&lt;&gt;"",EDATE($D31,Milestones!$AA$164)&gt;=$R31),$U31,$T31)))=Milestones!$AB$164),TEXT(EDATE($D31,Milestones!$AA$164),"dd/mm/yy")&amp;" "&amp;Milestones!$AB$164&amp;" "&amp;Milestones!$AC$164&amp;";  ","")&amp;IF(AND(EDATE($D31,Milestones!$AA$165)&lt;=AsOfDate,IF($Q31=0,$W31,IF(AND($S31&lt;&gt;"",EDATE($D31,Milestones!$AA$165)&gt;=$S31),$V31,IF(AND($R31&lt;&gt;"",EDATE($D31,Milestones!$AA$165)&gt;=$R31),$U31,$T31)))=Milestones!$AB$165),TEXT(EDATE($D31,Milestones!$AA$165),"dd/mm/yy")&amp;" "&amp;Milestones!$AB$165&amp;" "&amp;Milestones!$AC$165&amp;";  ","")&amp;IF(AND(EDATE($D31,Milestones!$AA$166)&lt;=AsOfDate,IF($Q31=0,$W31,IF(AND($S31&lt;&gt;"",EDATE($D31,Milestones!$AA$166)&gt;=$S31),$V31,IF(AND($R31&lt;&gt;"",EDATE($D31,Milestones!$AA$166)&gt;=$R31),$U31,$T31)))=Milestones!$AB$166),TEXT(EDATE($D31,Milestones!$AA$166),"dd/mm/yy")&amp;" "&amp;Milestones!$AB$166&amp;" "&amp;Milestones!$AC$166&amp;";  ","")&amp;IF(AND(EDATE($D31,Milestones!$AA$167)&lt;=AsOfDate,IF($Q31=0,$W31,IF(AND($S31&lt;&gt;"",EDATE($D31,Milestones!$AA$167)&gt;=$S31),$V31,IF(AND($R31&lt;&gt;"",EDATE($D31,Milestones!$AA$167)&gt;=$R31),$U31,$T31)))=Milestones!$AB$167),TEXT(EDATE($D31,Milestones!$AA$167),"dd/mm/yy")&amp;" "&amp;Milestones!$AB$167&amp;" "&amp;Milestones!$AC$167&amp;";  ","")&amp;IF(AND(EDATE($D31,Milestones!$AA$168)&lt;=AsOfDate,IF($Q31=0,$W31,IF(AND($S31&lt;&gt;"",EDATE($D31,Milestones!$AA$168)&gt;=$S31),$V31,IF(AND($R31&lt;&gt;"",EDATE($D31,Milestones!$AA$168)&gt;=$R31),$U31,$T31)))=Milestones!$AB$168),TEXT(EDATE($D31,Milestones!$AA$168),"dd/mm/yy")&amp;" "&amp;Milestones!$AB$168&amp;" "&amp;Milestones!$AC$168&amp;";  ","")&amp;IF(AND(EDATE($D31,Milestones!$AA$169)&lt;=AsOfDate,IF($Q31=0,$W31,IF(AND($S31&lt;&gt;"",EDATE($D31,Milestones!$AA$169)&gt;=$S31),$V31,IF(AND($R31&lt;&gt;"",EDATE($D31,Milestones!$AA$169)&gt;=$R31),$U31,$T31)))=Milestones!$AB$169),TEXT(EDATE($D31,Milestones!$AA$169),"dd/mm/yy")&amp;" "&amp;Milestones!$AB$169&amp;" "&amp;Milestones!$AC$169&amp;";  ","")&amp;IF(AND(EDATE($D31,Milestones!$AA$170)&lt;=AsOfDate,IF($Q31=0,$W31,IF(AND($S31&lt;&gt;"",EDATE($D31,Milestones!$AA$170)&gt;=$S31),$V31,IF(AND($R31&lt;&gt;"",EDATE($D31,Milestones!$AA$170)&gt;=$R31),$U31,$T31)))=Milestones!$AB$170),TEXT(EDATE($D31,Milestones!$AA$170),"dd/mm/yy")&amp;" "&amp;Milestones!$AB$170&amp;" "&amp;Milestones!$AC$170&amp;";  ","")&amp;IF(AND(EDATE($D31,Milestones!$AA$171)&lt;=AsOfDate,IF($Q31=0,$W31,IF(AND($S31&lt;&gt;"",EDATE($D31,Milestones!$AA$171)&gt;=$S31),$V31,IF(AND($R31&lt;&gt;"",EDATE($D31,Milestones!$AA$171)&gt;=$R31),$U31,$T31)))=Milestones!$AB$171),TEXT(EDATE($D31,Milestones!$AA$171),"dd/mm/yy")&amp;" "&amp;Milestones!$AB$171&amp;" "&amp;Milestones!$AC$171&amp;";  ","")&amp;IF(AND(EDATE($D31,Milestones!$AA$172)&lt;=AsOfDate,IF($Q31=0,$W31,IF(AND($S31&lt;&gt;"",EDATE($D31,Milestones!$AA$172)&gt;=$S31),$V31,IF(AND($R31&lt;&gt;"",EDATE($D31,Milestones!$AA$172)&gt;=$R31),$U31,$T31)))=Milestones!$AB$172),TEXT(EDATE($D31,Milestones!$AA$172),"dd/mm/yy")&amp;" "&amp;Milestones!$AB$172&amp;" "&amp;Milestones!$AC$172&amp;";  ","")&amp;IF(AND(EDATE($D31,Milestones!$AA$173)&lt;=AsOfDate,IF($Q31=0,$W31,IF(AND($S31&lt;&gt;"",EDATE($D31,Milestones!$AA$173)&gt;=$S31),$V31,IF(AND($R31&lt;&gt;"",EDATE($D31,Milestones!$AA$173)&gt;=$R31),$U31,$T31)))=Milestones!$AB$173),TEXT(EDATE($D31,Milestones!$AA$173),"dd/mm/yy")&amp;" "&amp;Milestones!$AB$173&amp;" "&amp;Milestones!$AC$173&amp;";  ","")&amp;IF(AND(EDATE($D31,Milestones!$AA$174)&lt;=AsOfDate,IF($Q31=0,$W31,IF(AND($S31&lt;&gt;"",EDATE($D31,Milestones!$AA$174)&gt;=$S31),$V31,IF(AND($R31&lt;&gt;"",EDATE($D31,Milestones!$AA$174)&gt;=$R31),$U31,$T31)))=Milestones!$AB$174),TEXT(EDATE($D31,Milestones!$AA$174),"dd/mm/yy")&amp;" "&amp;Milestones!$AB$174&amp;" "&amp;Milestones!$AC$174&amp;";  ","")&amp;IF(AND(EDATE($D31,Milestones!$AA$175)&lt;=AsOfDate,IF($Q31=0,$W31,IF(AND($S31&lt;&gt;"",EDATE($D31,Milestones!$AA$175)&gt;=$S31),$V31,IF(AND($R31&lt;&gt;"",EDATE($D31,Milestones!$AA$175)&gt;=$R31),$U31,$T31)))=Milestones!$AB$175),TEXT(EDATE($D31,Milestones!$AA$175),"dd/mm/yy")&amp;" "&amp;Milestones!$AB$175&amp;" "&amp;Milestones!$AC$175&amp;";  ","")&amp;IF(AND(EDATE($D31,Milestones!$AA$176)&lt;=AsOfDate,IF($Q31=0,$W31,IF(AND($S31&lt;&gt;"",EDATE($D31,Milestones!$AA$176)&gt;=$S31),$V31,IF(AND($R31&lt;&gt;"",EDATE($D31,Milestones!$AA$176)&gt;=$R31),$U31,$T31)))=Milestones!$AB$176),TEXT(EDATE($D31,Milestones!$AA$176),"dd/mm/yy")&amp;" "&amp;Milestones!$AB$176&amp;" "&amp;Milestones!$AC$176&amp;";  ","")&amp;IF(AND(EDATE($D31,Milestones!$AA$177)&lt;=AsOfDate,IF($Q31=0,$W31,IF(AND($S31&lt;&gt;"",EDATE($D31,Milestones!$AA$177)&gt;=$S31),$V31,IF(AND($R31&lt;&gt;"",EDATE($D31,Milestones!$AA$177)&gt;=$R31),$U31,$T31)))=Milestones!$AB$177),TEXT(EDATE($D31,Milestones!$AA$177),"dd/mm/yy")&amp;" "&amp;Milestones!$AB$177&amp;" "&amp;Milestones!$AC$177&amp;";  ","")&amp;IF(AND(EDATE($D31,Milestones!$AA$178)&lt;=AsOfDate,IF($Q31=0,$W31,IF(AND($S31&lt;&gt;"",EDATE($D31,Milestones!$AA$178)&gt;=$S31),$V31,IF(AND($R31&lt;&gt;"",EDATE($D31,Milestones!$AA$178)&gt;=$R31),$U31,$T31)))=Milestones!$AB$178),TEXT(EDATE($D31,Milestones!$AA$178),"dd/mm/yy")&amp;" "&amp;Milestones!$AB$178&amp;" "&amp;Milestones!$AC$178&amp;";  ","")&amp;IF(AND(EDATE($D31,Milestones!$AA$179)&lt;=AsOfDate,IF($Q31=0,$W31,IF(AND($S31&lt;&gt;"",EDATE($D31,Milestones!$AA$179)&gt;=$S31),$V31,IF(AND($R31&lt;&gt;"",EDATE($D31,Milestones!$AA$179)&gt;=$R31),$U31,$T31)))=Milestones!$AB$179),TEXT(EDATE($D31,Milestones!$AA$179),"dd/mm/yy")&amp;" "&amp;Milestones!$AB$179&amp;" "&amp;Milestones!$AC$179&amp;";  ",""))</f>
        <v/>
      </c>
      <c r="P31" s="0" t="str">
        <f aca="false">IF(OR($A31="",$D31=""),"",IF(AND(EDATE($D31,Milestones!$AA$180)&lt;=AsOfDate,IF($Q31=0,$W31,IF(AND($S31&lt;&gt;"",EDATE($D31,Milestones!$AA$180)&gt;=$S31),$V31,IF(AND($R31&lt;&gt;"",EDATE($D31,Milestones!$AA$180)&gt;=$R31),$U31,$T31)))=Milestones!$AB$180),TEXT(EDATE($D31,Milestones!$AA$180),"dd/mm/yy")&amp;" "&amp;Milestones!$AB$180&amp;" "&amp;Milestones!$AC$180&amp;";  ","")&amp;IF(AND(EDATE($D31,Milestones!$AA$181)&lt;=AsOfDate,IF($Q31=0,$W31,IF(AND($S31&lt;&gt;"",EDATE($D31,Milestones!$AA$181)&gt;=$S31),$V31,IF(AND($R31&lt;&gt;"",EDATE($D31,Milestones!$AA$181)&gt;=$R31),$U31,$T31)))=Milestones!$AB$181),TEXT(EDATE($D31,Milestones!$AA$181),"dd/mm/yy")&amp;" "&amp;Milestones!$AB$181&amp;" "&amp;Milestones!$AC$181&amp;";  ","")&amp;IF(AND(EDATE($D31,Milestones!$AA$182)&lt;=AsOfDate,IF($Q31=0,$W31,IF(AND($S31&lt;&gt;"",EDATE($D31,Milestones!$AA$182)&gt;=$S31),$V31,IF(AND($R31&lt;&gt;"",EDATE($D31,Milestones!$AA$182)&gt;=$R31),$U31,$T31)))=Milestones!$AB$182),TEXT(EDATE($D31,Milestones!$AA$182),"dd/mm/yy")&amp;" "&amp;Milestones!$AB$182&amp;" "&amp;Milestones!$AC$182&amp;";  ","")&amp;IF(AND(EDATE($D31,Milestones!$AA$183)&lt;=AsOfDate,IF($Q31=0,$W31,IF(AND($S31&lt;&gt;"",EDATE($D31,Milestones!$AA$183)&gt;=$S31),$V31,IF(AND($R31&lt;&gt;"",EDATE($D31,Milestones!$AA$183)&gt;=$R31),$U31,$T31)))=Milestones!$AB$183),TEXT(EDATE($D31,Milestones!$AA$183),"dd/mm/yy")&amp;" "&amp;Milestones!$AB$183&amp;" "&amp;Milestones!$AC$183&amp;";  ","")&amp;IF(AND(EDATE($D31,Milestones!$AA$184)&lt;=AsOfDate,IF($Q31=0,$W31,IF(AND($S31&lt;&gt;"",EDATE($D31,Milestones!$AA$184)&gt;=$S31),$V31,IF(AND($R31&lt;&gt;"",EDATE($D31,Milestones!$AA$184)&gt;=$R31),$U31,$T31)))=Milestones!$AB$184),TEXT(EDATE($D31,Milestones!$AA$184),"dd/mm/yy")&amp;" "&amp;Milestones!$AB$184&amp;" "&amp;Milestones!$AC$184&amp;";  ","")&amp;IF(AND(EDATE($D31,Milestones!$AA$185)&lt;=AsOfDate,IF($Q31=0,$W31,IF(AND($S31&lt;&gt;"",EDATE($D31,Milestones!$AA$185)&gt;=$S31),$V31,IF(AND($R31&lt;&gt;"",EDATE($D31,Milestones!$AA$185)&gt;=$R31),$U31,$T31)))=Milestones!$AB$185),TEXT(EDATE($D31,Milestones!$AA$185),"dd/mm/yy")&amp;" "&amp;Milestones!$AB$185&amp;" "&amp;Milestones!$AC$185&amp;";  ","")&amp;IF(AND(EDATE($D31,Milestones!$AA$186)&lt;=AsOfDate,IF($Q31=0,$W31,IF(AND($S31&lt;&gt;"",EDATE($D31,Milestones!$AA$186)&gt;=$S31),$V31,IF(AND($R31&lt;&gt;"",EDATE($D31,Milestones!$AA$186)&gt;=$R31),$U31,$T31)))=Milestones!$AB$186),TEXT(EDATE($D31,Milestones!$AA$186),"dd/mm/yy")&amp;" "&amp;Milestones!$AB$186&amp;" "&amp;Milestones!$AC$186&amp;";  ","")&amp;IF(AND(EDATE($D31,Milestones!$AA$187)&lt;=AsOfDate,IF($Q31=0,$W31,IF(AND($S31&lt;&gt;"",EDATE($D31,Milestones!$AA$187)&gt;=$S31),$V31,IF(AND($R31&lt;&gt;"",EDATE($D31,Milestones!$AA$187)&gt;=$R31),$U31,$T31)))=Milestones!$AB$187),TEXT(EDATE($D31,Milestones!$AA$187),"dd/mm/yy")&amp;" "&amp;Milestones!$AB$187&amp;" "&amp;Milestones!$AC$187&amp;";  ","")&amp;IF(AND(EDATE($D31,Milestones!$AA$188)&lt;=AsOfDate,IF($Q31=0,$W31,IF(AND($S31&lt;&gt;"",EDATE($D31,Milestones!$AA$188)&gt;=$S31),$V31,IF(AND($R31&lt;&gt;"",EDATE($D31,Milestones!$AA$188)&gt;=$R31),$U31,$T31)))=Milestones!$AB$188),TEXT(EDATE($D31,Milestones!$AA$188),"dd/mm/yy")&amp;" "&amp;Milestones!$AB$188&amp;" "&amp;Milestones!$AC$188&amp;";  ","")&amp;IF(AND(EDATE($D31,Milestones!$AA$189)&lt;=AsOfDate,IF($Q31=0,$W31,IF(AND($S31&lt;&gt;"",EDATE($D31,Milestones!$AA$189)&gt;=$S31),$V31,IF(AND($R31&lt;&gt;"",EDATE($D31,Milestones!$AA$189)&gt;=$R31),$U31,$T31)))=Milestones!$AB$189),TEXT(EDATE($D31,Milestones!$AA$189),"dd/mm/yy")&amp;" "&amp;Milestones!$AB$189&amp;" "&amp;Milestones!$AC$189&amp;";  ","")&amp;IF(AND(EDATE($D31,Milestones!$AA$190)&lt;=AsOfDate,IF($Q31=0,$W31,IF(AND($S31&lt;&gt;"",EDATE($D31,Milestones!$AA$190)&gt;=$S31),$V31,IF(AND($R31&lt;&gt;"",EDATE($D31,Milestones!$AA$190)&gt;=$R31),$U31,$T31)))=Milestones!$AB$190),TEXT(EDATE($D31,Milestones!$AA$190),"dd/mm/yy")&amp;" "&amp;Milestones!$AB$190&amp;" "&amp;Milestones!$AC$190&amp;";  ","")&amp;IF(AND(EDATE($D31,Milestones!$AA$191)&lt;=AsOfDate,IF($Q31=0,$W31,IF(AND($S31&lt;&gt;"",EDATE($D31,Milestones!$AA$191)&gt;=$S31),$V31,IF(AND($R31&lt;&gt;"",EDATE($D31,Milestones!$AA$191)&gt;=$R31),$U31,$T31)))=Milestones!$AB$191),TEXT(EDATE($D31,Milestones!$AA$191),"dd/mm/yy")&amp;" "&amp;Milestones!$AB$191&amp;" "&amp;Milestones!$AC$191&amp;";  ","")&amp;IF(AND(EDATE($D31,Milestones!$AA$192)&lt;=AsOfDate,IF($Q31=0,$W31,IF(AND($S31&lt;&gt;"",EDATE($D31,Milestones!$AA$192)&gt;=$S31),$V31,IF(AND($R31&lt;&gt;"",EDATE($D31,Milestones!$AA$192)&gt;=$R31),$U31,$T31)))=Milestones!$AB$192),TEXT(EDATE($D31,Milestones!$AA$192),"dd/mm/yy")&amp;" "&amp;Milestones!$AB$192&amp;" "&amp;Milestones!$AC$192&amp;";  ","")&amp;IF(AND(EDATE($D31,Milestones!$AA$193)&lt;=AsOfDate,IF($Q31=0,$W31,IF(AND($S31&lt;&gt;"",EDATE($D31,Milestones!$AA$193)&gt;=$S31),$V31,IF(AND($R31&lt;&gt;"",EDATE($D31,Milestones!$AA$193)&gt;=$R31),$U31,$T31)))=Milestones!$AB$193),TEXT(EDATE($D31,Milestones!$AA$193),"dd/mm/yy")&amp;" "&amp;Milestones!$AB$193&amp;" "&amp;Milestones!$AC$193&amp;";  ","")&amp;IF(AND(EDATE($D31,Milestones!$AA$194)&lt;=AsOfDate,IF($Q31=0,$W31,IF(AND($S31&lt;&gt;"",EDATE($D31,Milestones!$AA$194)&gt;=$S31),$V31,IF(AND($R31&lt;&gt;"",EDATE($D31,Milestones!$AA$194)&gt;=$R31),$U31,$T31)))=Milestones!$AB$194),TEXT(EDATE($D31,Milestones!$AA$194),"dd/mm/yy")&amp;" "&amp;Milestones!$AB$194&amp;" "&amp;Milestones!$AC$194&amp;";  ","")&amp;IF(AND(EDATE($D31,Milestones!$AA$195)&lt;=AsOfDate,IF($Q31=0,$W31,IF(AND($S31&lt;&gt;"",EDATE($D31,Milestones!$AA$195)&gt;=$S31),$V31,IF(AND($R31&lt;&gt;"",EDATE($D31,Milestones!$AA$195)&gt;=$R31),$U31,$T31)))=Milestones!$AB$195),TEXT(EDATE($D31,Milestones!$AA$195),"dd/mm/yy")&amp;" "&amp;Milestones!$AB$195&amp;" "&amp;Milestones!$AC$195&amp;";  ","")&amp;IF(AND(EDATE($D31,Milestones!$AA$196)&lt;=AsOfDate,IF($Q31=0,$W31,IF(AND($S31&lt;&gt;"",EDATE($D31,Milestones!$AA$196)&gt;=$S31),$V31,IF(AND($R31&lt;&gt;"",EDATE($D31,Milestones!$AA$196)&gt;=$R31),$U31,$T31)))=Milestones!$AB$196),TEXT(EDATE($D31,Milestones!$AA$196),"dd/mm/yy")&amp;" "&amp;Milestones!$AB$196&amp;" "&amp;Milestones!$AC$196&amp;";  ","")&amp;IF(AND(EDATE($D31,Milestones!$AA$197)&lt;=AsOfDate,IF($Q31=0,$W31,IF(AND($S31&lt;&gt;"",EDATE($D31,Milestones!$AA$197)&gt;=$S31),$V31,IF(AND($R31&lt;&gt;"",EDATE($D31,Milestones!$AA$197)&gt;=$R31),$U31,$T31)))=Milestones!$AB$197),TEXT(EDATE($D31,Milestones!$AA$197),"dd/mm/yy")&amp;" "&amp;Milestones!$AB$197&amp;" "&amp;Milestones!$AC$197&amp;";  ","")&amp;IF(AND(EDATE($D31,Milestones!$AA$198)&lt;=AsOfDate,IF($Q31=0,$W31,IF(AND($S31&lt;&gt;"",EDATE($D31,Milestones!$AA$198)&gt;=$S31),$V31,IF(AND($R31&lt;&gt;"",EDATE($D31,Milestones!$AA$198)&gt;=$R31),$U31,$T31)))=Milestones!$AB$198),TEXT(EDATE($D31,Milestones!$AA$198),"dd/mm/yy")&amp;" "&amp;Milestones!$AB$198&amp;" "&amp;Milestones!$AC$198&amp;";  ","")&amp;IF(AND(EDATE($D31,Milestones!$AA$199)&lt;=AsOfDate,IF($Q31=0,$W31,IF(AND($S31&lt;&gt;"",EDATE($D31,Milestones!$AA$199)&gt;=$S31),$V31,IF(AND($R31&lt;&gt;"",EDATE($D31,Milestones!$AA$199)&gt;=$R31),$U31,$T31)))=Milestones!$AB$199),TEXT(EDATE($D31,Milestones!$AA$199),"dd/mm/yy")&amp;" "&amp;Milestones!$AB$199&amp;" "&amp;Milestones!$AC$199&amp;";  ",""))</f>
        <v/>
      </c>
      <c r="Q31" s="0" t="str">
        <f aca="false">IF(Staff!$A31="","",Staff!$AG31)</f>
        <v/>
      </c>
      <c r="R31" s="0" t="str">
        <f aca="false">IF(Staff!$A31="","",Staff!$AI31)</f>
        <v/>
      </c>
      <c r="S31" s="0" t="str">
        <f aca="false">IF(Staff!$A31="","",Staff!$AJ31)</f>
        <v/>
      </c>
      <c r="T31" s="0" t="str">
        <f aca="false">IF(Staff!$A31="","",Staff!$AN31)</f>
        <v/>
      </c>
      <c r="U31" s="0" t="str">
        <f aca="false">IF(Staff!$A31="","",Staff!$AO31)</f>
        <v/>
      </c>
      <c r="V31" s="0" t="str">
        <f aca="false">IF(Staff!$A31="","",Staff!$AP31)</f>
        <v/>
      </c>
      <c r="W31" s="0" t="str">
        <f aca="false">IF(Staff!$A31="","",Staff!$AQ31)</f>
        <v/>
      </c>
    </row>
    <row r="32" customFormat="false" ht="15" hidden="false" customHeight="false" outlineLevel="0" collapsed="false">
      <c r="A32" s="13" t="str">
        <f aca="false">IF(Staff!$A32="","",Staff!$A32)</f>
        <v/>
      </c>
      <c r="B32" s="13" t="str">
        <f aca="false">IF(Staff!$A32="","",Staff!$B32)</f>
        <v/>
      </c>
      <c r="C32" s="13" t="str">
        <f aca="false">IF(Staff!$A32="","",Staff!$C32)</f>
        <v/>
      </c>
      <c r="D32" s="11" t="str">
        <f aca="false">IF(Staff!$A32="","",Staff!$AF32)</f>
        <v/>
      </c>
      <c r="E32" s="13" t="str">
        <f aca="false">IF(Staff!$A32="","",Staff!$O32)</f>
        <v/>
      </c>
      <c r="F32" s="13" t="str">
        <f aca="false">IF(E32="","",E32*HoursPerDay)</f>
        <v/>
      </c>
      <c r="G32" s="26" t="str">
        <f aca="false">IF($A32="","",H32&amp;I32&amp;J32&amp;K32&amp;L32&amp;M32&amp;N32&amp;O32&amp;P32)</f>
        <v/>
      </c>
      <c r="H32" s="0" t="str">
        <f aca="false">IF(OR($A32="",$D32=""),"",IF(AND(EDATE($D32,Milestones!$AA$20)&lt;=AsOfDate,IF($Q32=0,$W32,IF(AND($S32&lt;&gt;"",EDATE($D32,Milestones!$AA$20)&gt;=$S32),$V32,IF(AND($R32&lt;&gt;"",EDATE($D32,Milestones!$AA$20)&gt;=$R32),$U32,$T32)))=Milestones!$AB$20),TEXT(EDATE($D32,Milestones!$AA$20),"dd/mm/yy")&amp;" "&amp;Milestones!$AB$20&amp;" "&amp;Milestones!$AC$20&amp;";  ","")&amp;IF(AND(EDATE($D32,Milestones!$AA$21)&lt;=AsOfDate,IF($Q32=0,$W32,IF(AND($S32&lt;&gt;"",EDATE($D32,Milestones!$AA$21)&gt;=$S32),$V32,IF(AND($R32&lt;&gt;"",EDATE($D32,Milestones!$AA$21)&gt;=$R32),$U32,$T32)))=Milestones!$AB$21),TEXT(EDATE($D32,Milestones!$AA$21),"dd/mm/yy")&amp;" "&amp;Milestones!$AB$21&amp;" "&amp;Milestones!$AC$21&amp;";  ","")&amp;IF(AND(EDATE($D32,Milestones!$AA$22)&lt;=AsOfDate,IF($Q32=0,$W32,IF(AND($S32&lt;&gt;"",EDATE($D32,Milestones!$AA$22)&gt;=$S32),$V32,IF(AND($R32&lt;&gt;"",EDATE($D32,Milestones!$AA$22)&gt;=$R32),$U32,$T32)))=Milestones!$AB$22),TEXT(EDATE($D32,Milestones!$AA$22),"dd/mm/yy")&amp;" "&amp;Milestones!$AB$22&amp;" "&amp;Milestones!$AC$22&amp;";  ","")&amp;IF(AND(EDATE($D32,Milestones!$AA$23)&lt;=AsOfDate,IF($Q32=0,$W32,IF(AND($S32&lt;&gt;"",EDATE($D32,Milestones!$AA$23)&gt;=$S32),$V32,IF(AND($R32&lt;&gt;"",EDATE($D32,Milestones!$AA$23)&gt;=$R32),$U32,$T32)))=Milestones!$AB$23),TEXT(EDATE($D32,Milestones!$AA$23),"dd/mm/yy")&amp;" "&amp;Milestones!$AB$23&amp;" "&amp;Milestones!$AC$23&amp;";  ","")&amp;IF(AND(EDATE($D32,Milestones!$AA$24)&lt;=AsOfDate,IF($Q32=0,$W32,IF(AND($S32&lt;&gt;"",EDATE($D32,Milestones!$AA$24)&gt;=$S32),$V32,IF(AND($R32&lt;&gt;"",EDATE($D32,Milestones!$AA$24)&gt;=$R32),$U32,$T32)))=Milestones!$AB$24),TEXT(EDATE($D32,Milestones!$AA$24),"dd/mm/yy")&amp;" "&amp;Milestones!$AB$24&amp;" "&amp;Milestones!$AC$24&amp;";  ","")&amp;IF(AND(EDATE($D32,Milestones!$AA$25)&lt;=AsOfDate,IF($Q32=0,$W32,IF(AND($S32&lt;&gt;"",EDATE($D32,Milestones!$AA$25)&gt;=$S32),$V32,IF(AND($R32&lt;&gt;"",EDATE($D32,Milestones!$AA$25)&gt;=$R32),$U32,$T32)))=Milestones!$AB$25),TEXT(EDATE($D32,Milestones!$AA$25),"dd/mm/yy")&amp;" "&amp;Milestones!$AB$25&amp;" "&amp;Milestones!$AC$25&amp;";  ","")&amp;IF(AND(EDATE($D32,Milestones!$AA$26)&lt;=AsOfDate,IF($Q32=0,$W32,IF(AND($S32&lt;&gt;"",EDATE($D32,Milestones!$AA$26)&gt;=$S32),$V32,IF(AND($R32&lt;&gt;"",EDATE($D32,Milestones!$AA$26)&gt;=$R32),$U32,$T32)))=Milestones!$AB$26),TEXT(EDATE($D32,Milestones!$AA$26),"dd/mm/yy")&amp;" "&amp;Milestones!$AB$26&amp;" "&amp;Milestones!$AC$26&amp;";  ","")&amp;IF(AND(EDATE($D32,Milestones!$AA$27)&lt;=AsOfDate,IF($Q32=0,$W32,IF(AND($S32&lt;&gt;"",EDATE($D32,Milestones!$AA$27)&gt;=$S32),$V32,IF(AND($R32&lt;&gt;"",EDATE($D32,Milestones!$AA$27)&gt;=$R32),$U32,$T32)))=Milestones!$AB$27),TEXT(EDATE($D32,Milestones!$AA$27),"dd/mm/yy")&amp;" "&amp;Milestones!$AB$27&amp;" "&amp;Milestones!$AC$27&amp;";  ","")&amp;IF(AND(EDATE($D32,Milestones!$AA$28)&lt;=AsOfDate,IF($Q32=0,$W32,IF(AND($S32&lt;&gt;"",EDATE($D32,Milestones!$AA$28)&gt;=$S32),$V32,IF(AND($R32&lt;&gt;"",EDATE($D32,Milestones!$AA$28)&gt;=$R32),$U32,$T32)))=Milestones!$AB$28),TEXT(EDATE($D32,Milestones!$AA$28),"dd/mm/yy")&amp;" "&amp;Milestones!$AB$28&amp;" "&amp;Milestones!$AC$28&amp;";  ","")&amp;IF(AND(EDATE($D32,Milestones!$AA$29)&lt;=AsOfDate,IF($Q32=0,$W32,IF(AND($S32&lt;&gt;"",EDATE($D32,Milestones!$AA$29)&gt;=$S32),$V32,IF(AND($R32&lt;&gt;"",EDATE($D32,Milestones!$AA$29)&gt;=$R32),$U32,$T32)))=Milestones!$AB$29),TEXT(EDATE($D32,Milestones!$AA$29),"dd/mm/yy")&amp;" "&amp;Milestones!$AB$29&amp;" "&amp;Milestones!$AC$29&amp;";  ","")&amp;IF(AND(EDATE($D32,Milestones!$AA$30)&lt;=AsOfDate,IF($Q32=0,$W32,IF(AND($S32&lt;&gt;"",EDATE($D32,Milestones!$AA$30)&gt;=$S32),$V32,IF(AND($R32&lt;&gt;"",EDATE($D32,Milestones!$AA$30)&gt;=$R32),$U32,$T32)))=Milestones!$AB$30),TEXT(EDATE($D32,Milestones!$AA$30),"dd/mm/yy")&amp;" "&amp;Milestones!$AB$30&amp;" "&amp;Milestones!$AC$30&amp;";  ","")&amp;IF(AND(EDATE($D32,Milestones!$AA$31)&lt;=AsOfDate,IF($Q32=0,$W32,IF(AND($S32&lt;&gt;"",EDATE($D32,Milestones!$AA$31)&gt;=$S32),$V32,IF(AND($R32&lt;&gt;"",EDATE($D32,Milestones!$AA$31)&gt;=$R32),$U32,$T32)))=Milestones!$AB$31),TEXT(EDATE($D32,Milestones!$AA$31),"dd/mm/yy")&amp;" "&amp;Milestones!$AB$31&amp;" "&amp;Milestones!$AC$31&amp;";  ","")&amp;IF(AND(EDATE($D32,Milestones!$AA$32)&lt;=AsOfDate,IF($Q32=0,$W32,IF(AND($S32&lt;&gt;"",EDATE($D32,Milestones!$AA$32)&gt;=$S32),$V32,IF(AND($R32&lt;&gt;"",EDATE($D32,Milestones!$AA$32)&gt;=$R32),$U32,$T32)))=Milestones!$AB$32),TEXT(EDATE($D32,Milestones!$AA$32),"dd/mm/yy")&amp;" "&amp;Milestones!$AB$32&amp;" "&amp;Milestones!$AC$32&amp;";  ","")&amp;IF(AND(EDATE($D32,Milestones!$AA$33)&lt;=AsOfDate,IF($Q32=0,$W32,IF(AND($S32&lt;&gt;"",EDATE($D32,Milestones!$AA$33)&gt;=$S32),$V32,IF(AND($R32&lt;&gt;"",EDATE($D32,Milestones!$AA$33)&gt;=$R32),$U32,$T32)))=Milestones!$AB$33),TEXT(EDATE($D32,Milestones!$AA$33),"dd/mm/yy")&amp;" "&amp;Milestones!$AB$33&amp;" "&amp;Milestones!$AC$33&amp;";  ","")&amp;IF(AND(EDATE($D32,Milestones!$AA$34)&lt;=AsOfDate,IF($Q32=0,$W32,IF(AND($S32&lt;&gt;"",EDATE($D32,Milestones!$AA$34)&gt;=$S32),$V32,IF(AND($R32&lt;&gt;"",EDATE($D32,Milestones!$AA$34)&gt;=$R32),$U32,$T32)))=Milestones!$AB$34),TEXT(EDATE($D32,Milestones!$AA$34),"dd/mm/yy")&amp;" "&amp;Milestones!$AB$34&amp;" "&amp;Milestones!$AC$34&amp;";  ","")&amp;IF(AND(EDATE($D32,Milestones!$AA$35)&lt;=AsOfDate,IF($Q32=0,$W32,IF(AND($S32&lt;&gt;"",EDATE($D32,Milestones!$AA$35)&gt;=$S32),$V32,IF(AND($R32&lt;&gt;"",EDATE($D32,Milestones!$AA$35)&gt;=$R32),$U32,$T32)))=Milestones!$AB$35),TEXT(EDATE($D32,Milestones!$AA$35),"dd/mm/yy")&amp;" "&amp;Milestones!$AB$35&amp;" "&amp;Milestones!$AC$35&amp;";  ","")&amp;IF(AND(EDATE($D32,Milestones!$AA$36)&lt;=AsOfDate,IF($Q32=0,$W32,IF(AND($S32&lt;&gt;"",EDATE($D32,Milestones!$AA$36)&gt;=$S32),$V32,IF(AND($R32&lt;&gt;"",EDATE($D32,Milestones!$AA$36)&gt;=$R32),$U32,$T32)))=Milestones!$AB$36),TEXT(EDATE($D32,Milestones!$AA$36),"dd/mm/yy")&amp;" "&amp;Milestones!$AB$36&amp;" "&amp;Milestones!$AC$36&amp;";  ","")&amp;IF(AND(EDATE($D32,Milestones!$AA$37)&lt;=AsOfDate,IF($Q32=0,$W32,IF(AND($S32&lt;&gt;"",EDATE($D32,Milestones!$AA$37)&gt;=$S32),$V32,IF(AND($R32&lt;&gt;"",EDATE($D32,Milestones!$AA$37)&gt;=$R32),$U32,$T32)))=Milestones!$AB$37),TEXT(EDATE($D32,Milestones!$AA$37),"dd/mm/yy")&amp;" "&amp;Milestones!$AB$37&amp;" "&amp;Milestones!$AC$37&amp;";  ","")&amp;IF(AND(EDATE($D32,Milestones!$AA$38)&lt;=AsOfDate,IF($Q32=0,$W32,IF(AND($S32&lt;&gt;"",EDATE($D32,Milestones!$AA$38)&gt;=$S32),$V32,IF(AND($R32&lt;&gt;"",EDATE($D32,Milestones!$AA$38)&gt;=$R32),$U32,$T32)))=Milestones!$AB$38),TEXT(EDATE($D32,Milestones!$AA$38),"dd/mm/yy")&amp;" "&amp;Milestones!$AB$38&amp;" "&amp;Milestones!$AC$38&amp;";  ","")&amp;IF(AND(EDATE($D32,Milestones!$AA$39)&lt;=AsOfDate,IF($Q32=0,$W32,IF(AND($S32&lt;&gt;"",EDATE($D32,Milestones!$AA$39)&gt;=$S32),$V32,IF(AND($R32&lt;&gt;"",EDATE($D32,Milestones!$AA$39)&gt;=$R32),$U32,$T32)))=Milestones!$AB$39),TEXT(EDATE($D32,Milestones!$AA$39),"dd/mm/yy")&amp;" "&amp;Milestones!$AB$39&amp;" "&amp;Milestones!$AC$39&amp;";  ",""))</f>
        <v/>
      </c>
      <c r="I32" s="0" t="str">
        <f aca="false">IF(OR($A32="",$D32=""),"",IF(AND(EDATE($D32,Milestones!$AA$40)&lt;=AsOfDate,IF($Q32=0,$W32,IF(AND($S32&lt;&gt;"",EDATE($D32,Milestones!$AA$40)&gt;=$S32),$V32,IF(AND($R32&lt;&gt;"",EDATE($D32,Milestones!$AA$40)&gt;=$R32),$U32,$T32)))=Milestones!$AB$40),TEXT(EDATE($D32,Milestones!$AA$40),"dd/mm/yy")&amp;" "&amp;Milestones!$AB$40&amp;" "&amp;Milestones!$AC$40&amp;";  ","")&amp;IF(AND(EDATE($D32,Milestones!$AA$41)&lt;=AsOfDate,IF($Q32=0,$W32,IF(AND($S32&lt;&gt;"",EDATE($D32,Milestones!$AA$41)&gt;=$S32),$V32,IF(AND($R32&lt;&gt;"",EDATE($D32,Milestones!$AA$41)&gt;=$R32),$U32,$T32)))=Milestones!$AB$41),TEXT(EDATE($D32,Milestones!$AA$41),"dd/mm/yy")&amp;" "&amp;Milestones!$AB$41&amp;" "&amp;Milestones!$AC$41&amp;";  ","")&amp;IF(AND(EDATE($D32,Milestones!$AA$42)&lt;=AsOfDate,IF($Q32=0,$W32,IF(AND($S32&lt;&gt;"",EDATE($D32,Milestones!$AA$42)&gt;=$S32),$V32,IF(AND($R32&lt;&gt;"",EDATE($D32,Milestones!$AA$42)&gt;=$R32),$U32,$T32)))=Milestones!$AB$42),TEXT(EDATE($D32,Milestones!$AA$42),"dd/mm/yy")&amp;" "&amp;Milestones!$AB$42&amp;" "&amp;Milestones!$AC$42&amp;";  ","")&amp;IF(AND(EDATE($D32,Milestones!$AA$43)&lt;=AsOfDate,IF($Q32=0,$W32,IF(AND($S32&lt;&gt;"",EDATE($D32,Milestones!$AA$43)&gt;=$S32),$V32,IF(AND($R32&lt;&gt;"",EDATE($D32,Milestones!$AA$43)&gt;=$R32),$U32,$T32)))=Milestones!$AB$43),TEXT(EDATE($D32,Milestones!$AA$43),"dd/mm/yy")&amp;" "&amp;Milestones!$AB$43&amp;" "&amp;Milestones!$AC$43&amp;";  ","")&amp;IF(AND(EDATE($D32,Milestones!$AA$44)&lt;=AsOfDate,IF($Q32=0,$W32,IF(AND($S32&lt;&gt;"",EDATE($D32,Milestones!$AA$44)&gt;=$S32),$V32,IF(AND($R32&lt;&gt;"",EDATE($D32,Milestones!$AA$44)&gt;=$R32),$U32,$T32)))=Milestones!$AB$44),TEXT(EDATE($D32,Milestones!$AA$44),"dd/mm/yy")&amp;" "&amp;Milestones!$AB$44&amp;" "&amp;Milestones!$AC$44&amp;";  ","")&amp;IF(AND(EDATE($D32,Milestones!$AA$45)&lt;=AsOfDate,IF($Q32=0,$W32,IF(AND($S32&lt;&gt;"",EDATE($D32,Milestones!$AA$45)&gt;=$S32),$V32,IF(AND($R32&lt;&gt;"",EDATE($D32,Milestones!$AA$45)&gt;=$R32),$U32,$T32)))=Milestones!$AB$45),TEXT(EDATE($D32,Milestones!$AA$45),"dd/mm/yy")&amp;" "&amp;Milestones!$AB$45&amp;" "&amp;Milestones!$AC$45&amp;";  ","")&amp;IF(AND(EDATE($D32,Milestones!$AA$46)&lt;=AsOfDate,IF($Q32=0,$W32,IF(AND($S32&lt;&gt;"",EDATE($D32,Milestones!$AA$46)&gt;=$S32),$V32,IF(AND($R32&lt;&gt;"",EDATE($D32,Milestones!$AA$46)&gt;=$R32),$U32,$T32)))=Milestones!$AB$46),TEXT(EDATE($D32,Milestones!$AA$46),"dd/mm/yy")&amp;" "&amp;Milestones!$AB$46&amp;" "&amp;Milestones!$AC$46&amp;";  ","")&amp;IF(AND(EDATE($D32,Milestones!$AA$47)&lt;=AsOfDate,IF($Q32=0,$W32,IF(AND($S32&lt;&gt;"",EDATE($D32,Milestones!$AA$47)&gt;=$S32),$V32,IF(AND($R32&lt;&gt;"",EDATE($D32,Milestones!$AA$47)&gt;=$R32),$U32,$T32)))=Milestones!$AB$47),TEXT(EDATE($D32,Milestones!$AA$47),"dd/mm/yy")&amp;" "&amp;Milestones!$AB$47&amp;" "&amp;Milestones!$AC$47&amp;";  ","")&amp;IF(AND(EDATE($D32,Milestones!$AA$48)&lt;=AsOfDate,IF($Q32=0,$W32,IF(AND($S32&lt;&gt;"",EDATE($D32,Milestones!$AA$48)&gt;=$S32),$V32,IF(AND($R32&lt;&gt;"",EDATE($D32,Milestones!$AA$48)&gt;=$R32),$U32,$T32)))=Milestones!$AB$48),TEXT(EDATE($D32,Milestones!$AA$48),"dd/mm/yy")&amp;" "&amp;Milestones!$AB$48&amp;" "&amp;Milestones!$AC$48&amp;";  ","")&amp;IF(AND(EDATE($D32,Milestones!$AA$49)&lt;=AsOfDate,IF($Q32=0,$W32,IF(AND($S32&lt;&gt;"",EDATE($D32,Milestones!$AA$49)&gt;=$S32),$V32,IF(AND($R32&lt;&gt;"",EDATE($D32,Milestones!$AA$49)&gt;=$R32),$U32,$T32)))=Milestones!$AB$49),TEXT(EDATE($D32,Milestones!$AA$49),"dd/mm/yy")&amp;" "&amp;Milestones!$AB$49&amp;" "&amp;Milestones!$AC$49&amp;";  ","")&amp;IF(AND(EDATE($D32,Milestones!$AA$50)&lt;=AsOfDate,IF($Q32=0,$W32,IF(AND($S32&lt;&gt;"",EDATE($D32,Milestones!$AA$50)&gt;=$S32),$V32,IF(AND($R32&lt;&gt;"",EDATE($D32,Milestones!$AA$50)&gt;=$R32),$U32,$T32)))=Milestones!$AB$50),TEXT(EDATE($D32,Milestones!$AA$50),"dd/mm/yy")&amp;" "&amp;Milestones!$AB$50&amp;" "&amp;Milestones!$AC$50&amp;";  ","")&amp;IF(AND(EDATE($D32,Milestones!$AA$51)&lt;=AsOfDate,IF($Q32=0,$W32,IF(AND($S32&lt;&gt;"",EDATE($D32,Milestones!$AA$51)&gt;=$S32),$V32,IF(AND($R32&lt;&gt;"",EDATE($D32,Milestones!$AA$51)&gt;=$R32),$U32,$T32)))=Milestones!$AB$51),TEXT(EDATE($D32,Milestones!$AA$51),"dd/mm/yy")&amp;" "&amp;Milestones!$AB$51&amp;" "&amp;Milestones!$AC$51&amp;";  ","")&amp;IF(AND(EDATE($D32,Milestones!$AA$52)&lt;=AsOfDate,IF($Q32=0,$W32,IF(AND($S32&lt;&gt;"",EDATE($D32,Milestones!$AA$52)&gt;=$S32),$V32,IF(AND($R32&lt;&gt;"",EDATE($D32,Milestones!$AA$52)&gt;=$R32),$U32,$T32)))=Milestones!$AB$52),TEXT(EDATE($D32,Milestones!$AA$52),"dd/mm/yy")&amp;" "&amp;Milestones!$AB$52&amp;" "&amp;Milestones!$AC$52&amp;";  ","")&amp;IF(AND(EDATE($D32,Milestones!$AA$53)&lt;=AsOfDate,IF($Q32=0,$W32,IF(AND($S32&lt;&gt;"",EDATE($D32,Milestones!$AA$53)&gt;=$S32),$V32,IF(AND($R32&lt;&gt;"",EDATE($D32,Milestones!$AA$53)&gt;=$R32),$U32,$T32)))=Milestones!$AB$53),TEXT(EDATE($D32,Milestones!$AA$53),"dd/mm/yy")&amp;" "&amp;Milestones!$AB$53&amp;" "&amp;Milestones!$AC$53&amp;";  ","")&amp;IF(AND(EDATE($D32,Milestones!$AA$54)&lt;=AsOfDate,IF($Q32=0,$W32,IF(AND($S32&lt;&gt;"",EDATE($D32,Milestones!$AA$54)&gt;=$S32),$V32,IF(AND($R32&lt;&gt;"",EDATE($D32,Milestones!$AA$54)&gt;=$R32),$U32,$T32)))=Milestones!$AB$54),TEXT(EDATE($D32,Milestones!$AA$54),"dd/mm/yy")&amp;" "&amp;Milestones!$AB$54&amp;" "&amp;Milestones!$AC$54&amp;";  ","")&amp;IF(AND(EDATE($D32,Milestones!$AA$55)&lt;=AsOfDate,IF($Q32=0,$W32,IF(AND($S32&lt;&gt;"",EDATE($D32,Milestones!$AA$55)&gt;=$S32),$V32,IF(AND($R32&lt;&gt;"",EDATE($D32,Milestones!$AA$55)&gt;=$R32),$U32,$T32)))=Milestones!$AB$55),TEXT(EDATE($D32,Milestones!$AA$55),"dd/mm/yy")&amp;" "&amp;Milestones!$AB$55&amp;" "&amp;Milestones!$AC$55&amp;";  ","")&amp;IF(AND(EDATE($D32,Milestones!$AA$56)&lt;=AsOfDate,IF($Q32=0,$W32,IF(AND($S32&lt;&gt;"",EDATE($D32,Milestones!$AA$56)&gt;=$S32),$V32,IF(AND($R32&lt;&gt;"",EDATE($D32,Milestones!$AA$56)&gt;=$R32),$U32,$T32)))=Milestones!$AB$56),TEXT(EDATE($D32,Milestones!$AA$56),"dd/mm/yy")&amp;" "&amp;Milestones!$AB$56&amp;" "&amp;Milestones!$AC$56&amp;";  ","")&amp;IF(AND(EDATE($D32,Milestones!$AA$57)&lt;=AsOfDate,IF($Q32=0,$W32,IF(AND($S32&lt;&gt;"",EDATE($D32,Milestones!$AA$57)&gt;=$S32),$V32,IF(AND($R32&lt;&gt;"",EDATE($D32,Milestones!$AA$57)&gt;=$R32),$U32,$T32)))=Milestones!$AB$57),TEXT(EDATE($D32,Milestones!$AA$57),"dd/mm/yy")&amp;" "&amp;Milestones!$AB$57&amp;" "&amp;Milestones!$AC$57&amp;";  ","")&amp;IF(AND(EDATE($D32,Milestones!$AA$58)&lt;=AsOfDate,IF($Q32=0,$W32,IF(AND($S32&lt;&gt;"",EDATE($D32,Milestones!$AA$58)&gt;=$S32),$V32,IF(AND($R32&lt;&gt;"",EDATE($D32,Milestones!$AA$58)&gt;=$R32),$U32,$T32)))=Milestones!$AB$58),TEXT(EDATE($D32,Milestones!$AA$58),"dd/mm/yy")&amp;" "&amp;Milestones!$AB$58&amp;" "&amp;Milestones!$AC$58&amp;";  ","")&amp;IF(AND(EDATE($D32,Milestones!$AA$59)&lt;=AsOfDate,IF($Q32=0,$W32,IF(AND($S32&lt;&gt;"",EDATE($D32,Milestones!$AA$59)&gt;=$S32),$V32,IF(AND($R32&lt;&gt;"",EDATE($D32,Milestones!$AA$59)&gt;=$R32),$U32,$T32)))=Milestones!$AB$59),TEXT(EDATE($D32,Milestones!$AA$59),"dd/mm/yy")&amp;" "&amp;Milestones!$AB$59&amp;" "&amp;Milestones!$AC$59&amp;";  ",""))</f>
        <v/>
      </c>
      <c r="J32" s="0" t="str">
        <f aca="false">IF(OR($A32="",$D32=""),"",IF(AND(EDATE($D32,Milestones!$AA$60)&lt;=AsOfDate,IF($Q32=0,$W32,IF(AND($S32&lt;&gt;"",EDATE($D32,Milestones!$AA$60)&gt;=$S32),$V32,IF(AND($R32&lt;&gt;"",EDATE($D32,Milestones!$AA$60)&gt;=$R32),$U32,$T32)))=Milestones!$AB$60),TEXT(EDATE($D32,Milestones!$AA$60),"dd/mm/yy")&amp;" "&amp;Milestones!$AB$60&amp;" "&amp;Milestones!$AC$60&amp;";  ","")&amp;IF(AND(EDATE($D32,Milestones!$AA$61)&lt;=AsOfDate,IF($Q32=0,$W32,IF(AND($S32&lt;&gt;"",EDATE($D32,Milestones!$AA$61)&gt;=$S32),$V32,IF(AND($R32&lt;&gt;"",EDATE($D32,Milestones!$AA$61)&gt;=$R32),$U32,$T32)))=Milestones!$AB$61),TEXT(EDATE($D32,Milestones!$AA$61),"dd/mm/yy")&amp;" "&amp;Milestones!$AB$61&amp;" "&amp;Milestones!$AC$61&amp;";  ","")&amp;IF(AND(EDATE($D32,Milestones!$AA$62)&lt;=AsOfDate,IF($Q32=0,$W32,IF(AND($S32&lt;&gt;"",EDATE($D32,Milestones!$AA$62)&gt;=$S32),$V32,IF(AND($R32&lt;&gt;"",EDATE($D32,Milestones!$AA$62)&gt;=$R32),$U32,$T32)))=Milestones!$AB$62),TEXT(EDATE($D32,Milestones!$AA$62),"dd/mm/yy")&amp;" "&amp;Milestones!$AB$62&amp;" "&amp;Milestones!$AC$62&amp;";  ","")&amp;IF(AND(EDATE($D32,Milestones!$AA$63)&lt;=AsOfDate,IF($Q32=0,$W32,IF(AND($S32&lt;&gt;"",EDATE($D32,Milestones!$AA$63)&gt;=$S32),$V32,IF(AND($R32&lt;&gt;"",EDATE($D32,Milestones!$AA$63)&gt;=$R32),$U32,$T32)))=Milestones!$AB$63),TEXT(EDATE($D32,Milestones!$AA$63),"dd/mm/yy")&amp;" "&amp;Milestones!$AB$63&amp;" "&amp;Milestones!$AC$63&amp;";  ","")&amp;IF(AND(EDATE($D32,Milestones!$AA$64)&lt;=AsOfDate,IF($Q32=0,$W32,IF(AND($S32&lt;&gt;"",EDATE($D32,Milestones!$AA$64)&gt;=$S32),$V32,IF(AND($R32&lt;&gt;"",EDATE($D32,Milestones!$AA$64)&gt;=$R32),$U32,$T32)))=Milestones!$AB$64),TEXT(EDATE($D32,Milestones!$AA$64),"dd/mm/yy")&amp;" "&amp;Milestones!$AB$64&amp;" "&amp;Milestones!$AC$64&amp;";  ","")&amp;IF(AND(EDATE($D32,Milestones!$AA$65)&lt;=AsOfDate,IF($Q32=0,$W32,IF(AND($S32&lt;&gt;"",EDATE($D32,Milestones!$AA$65)&gt;=$S32),$V32,IF(AND($R32&lt;&gt;"",EDATE($D32,Milestones!$AA$65)&gt;=$R32),$U32,$T32)))=Milestones!$AB$65),TEXT(EDATE($D32,Milestones!$AA$65),"dd/mm/yy")&amp;" "&amp;Milestones!$AB$65&amp;" "&amp;Milestones!$AC$65&amp;";  ","")&amp;IF(AND(EDATE($D32,Milestones!$AA$66)&lt;=AsOfDate,IF($Q32=0,$W32,IF(AND($S32&lt;&gt;"",EDATE($D32,Milestones!$AA$66)&gt;=$S32),$V32,IF(AND($R32&lt;&gt;"",EDATE($D32,Milestones!$AA$66)&gt;=$R32),$U32,$T32)))=Milestones!$AB$66),TEXT(EDATE($D32,Milestones!$AA$66),"dd/mm/yy")&amp;" "&amp;Milestones!$AB$66&amp;" "&amp;Milestones!$AC$66&amp;";  ","")&amp;IF(AND(EDATE($D32,Milestones!$AA$67)&lt;=AsOfDate,IF($Q32=0,$W32,IF(AND($S32&lt;&gt;"",EDATE($D32,Milestones!$AA$67)&gt;=$S32),$V32,IF(AND($R32&lt;&gt;"",EDATE($D32,Milestones!$AA$67)&gt;=$R32),$U32,$T32)))=Milestones!$AB$67),TEXT(EDATE($D32,Milestones!$AA$67),"dd/mm/yy")&amp;" "&amp;Milestones!$AB$67&amp;" "&amp;Milestones!$AC$67&amp;";  ","")&amp;IF(AND(EDATE($D32,Milestones!$AA$68)&lt;=AsOfDate,IF($Q32=0,$W32,IF(AND($S32&lt;&gt;"",EDATE($D32,Milestones!$AA$68)&gt;=$S32),$V32,IF(AND($R32&lt;&gt;"",EDATE($D32,Milestones!$AA$68)&gt;=$R32),$U32,$T32)))=Milestones!$AB$68),TEXT(EDATE($D32,Milestones!$AA$68),"dd/mm/yy")&amp;" "&amp;Milestones!$AB$68&amp;" "&amp;Milestones!$AC$68&amp;";  ","")&amp;IF(AND(EDATE($D32,Milestones!$AA$69)&lt;=AsOfDate,IF($Q32=0,$W32,IF(AND($S32&lt;&gt;"",EDATE($D32,Milestones!$AA$69)&gt;=$S32),$V32,IF(AND($R32&lt;&gt;"",EDATE($D32,Milestones!$AA$69)&gt;=$R32),$U32,$T32)))=Milestones!$AB$69),TEXT(EDATE($D32,Milestones!$AA$69),"dd/mm/yy")&amp;" "&amp;Milestones!$AB$69&amp;" "&amp;Milestones!$AC$69&amp;";  ","")&amp;IF(AND(EDATE($D32,Milestones!$AA$70)&lt;=AsOfDate,IF($Q32=0,$W32,IF(AND($S32&lt;&gt;"",EDATE($D32,Milestones!$AA$70)&gt;=$S32),$V32,IF(AND($R32&lt;&gt;"",EDATE($D32,Milestones!$AA$70)&gt;=$R32),$U32,$T32)))=Milestones!$AB$70),TEXT(EDATE($D32,Milestones!$AA$70),"dd/mm/yy")&amp;" "&amp;Milestones!$AB$70&amp;" "&amp;Milestones!$AC$70&amp;";  ","")&amp;IF(AND(EDATE($D32,Milestones!$AA$71)&lt;=AsOfDate,IF($Q32=0,$W32,IF(AND($S32&lt;&gt;"",EDATE($D32,Milestones!$AA$71)&gt;=$S32),$V32,IF(AND($R32&lt;&gt;"",EDATE($D32,Milestones!$AA$71)&gt;=$R32),$U32,$T32)))=Milestones!$AB$71),TEXT(EDATE($D32,Milestones!$AA$71),"dd/mm/yy")&amp;" "&amp;Milestones!$AB$71&amp;" "&amp;Milestones!$AC$71&amp;";  ","")&amp;IF(AND(EDATE($D32,Milestones!$AA$72)&lt;=AsOfDate,IF($Q32=0,$W32,IF(AND($S32&lt;&gt;"",EDATE($D32,Milestones!$AA$72)&gt;=$S32),$V32,IF(AND($R32&lt;&gt;"",EDATE($D32,Milestones!$AA$72)&gt;=$R32),$U32,$T32)))=Milestones!$AB$72),TEXT(EDATE($D32,Milestones!$AA$72),"dd/mm/yy")&amp;" "&amp;Milestones!$AB$72&amp;" "&amp;Milestones!$AC$72&amp;";  ","")&amp;IF(AND(EDATE($D32,Milestones!$AA$73)&lt;=AsOfDate,IF($Q32=0,$W32,IF(AND($S32&lt;&gt;"",EDATE($D32,Milestones!$AA$73)&gt;=$S32),$V32,IF(AND($R32&lt;&gt;"",EDATE($D32,Milestones!$AA$73)&gt;=$R32),$U32,$T32)))=Milestones!$AB$73),TEXT(EDATE($D32,Milestones!$AA$73),"dd/mm/yy")&amp;" "&amp;Milestones!$AB$73&amp;" "&amp;Milestones!$AC$73&amp;";  ","")&amp;IF(AND(EDATE($D32,Milestones!$AA$74)&lt;=AsOfDate,IF($Q32=0,$W32,IF(AND($S32&lt;&gt;"",EDATE($D32,Milestones!$AA$74)&gt;=$S32),$V32,IF(AND($R32&lt;&gt;"",EDATE($D32,Milestones!$AA$74)&gt;=$R32),$U32,$T32)))=Milestones!$AB$74),TEXT(EDATE($D32,Milestones!$AA$74),"dd/mm/yy")&amp;" "&amp;Milestones!$AB$74&amp;" "&amp;Milestones!$AC$74&amp;";  ","")&amp;IF(AND(EDATE($D32,Milestones!$AA$75)&lt;=AsOfDate,IF($Q32=0,$W32,IF(AND($S32&lt;&gt;"",EDATE($D32,Milestones!$AA$75)&gt;=$S32),$V32,IF(AND($R32&lt;&gt;"",EDATE($D32,Milestones!$AA$75)&gt;=$R32),$U32,$T32)))=Milestones!$AB$75),TEXT(EDATE($D32,Milestones!$AA$75),"dd/mm/yy")&amp;" "&amp;Milestones!$AB$75&amp;" "&amp;Milestones!$AC$75&amp;";  ","")&amp;IF(AND(EDATE($D32,Milestones!$AA$76)&lt;=AsOfDate,IF($Q32=0,$W32,IF(AND($S32&lt;&gt;"",EDATE($D32,Milestones!$AA$76)&gt;=$S32),$V32,IF(AND($R32&lt;&gt;"",EDATE($D32,Milestones!$AA$76)&gt;=$R32),$U32,$T32)))=Milestones!$AB$76),TEXT(EDATE($D32,Milestones!$AA$76),"dd/mm/yy")&amp;" "&amp;Milestones!$AB$76&amp;" "&amp;Milestones!$AC$76&amp;";  ","")&amp;IF(AND(EDATE($D32,Milestones!$AA$77)&lt;=AsOfDate,IF($Q32=0,$W32,IF(AND($S32&lt;&gt;"",EDATE($D32,Milestones!$AA$77)&gt;=$S32),$V32,IF(AND($R32&lt;&gt;"",EDATE($D32,Milestones!$AA$77)&gt;=$R32),$U32,$T32)))=Milestones!$AB$77),TEXT(EDATE($D32,Milestones!$AA$77),"dd/mm/yy")&amp;" "&amp;Milestones!$AB$77&amp;" "&amp;Milestones!$AC$77&amp;";  ","")&amp;IF(AND(EDATE($D32,Milestones!$AA$78)&lt;=AsOfDate,IF($Q32=0,$W32,IF(AND($S32&lt;&gt;"",EDATE($D32,Milestones!$AA$78)&gt;=$S32),$V32,IF(AND($R32&lt;&gt;"",EDATE($D32,Milestones!$AA$78)&gt;=$R32),$U32,$T32)))=Milestones!$AB$78),TEXT(EDATE($D32,Milestones!$AA$78),"dd/mm/yy")&amp;" "&amp;Milestones!$AB$78&amp;" "&amp;Milestones!$AC$78&amp;";  ","")&amp;IF(AND(EDATE($D32,Milestones!$AA$79)&lt;=AsOfDate,IF($Q32=0,$W32,IF(AND($S32&lt;&gt;"",EDATE($D32,Milestones!$AA$79)&gt;=$S32),$V32,IF(AND($R32&lt;&gt;"",EDATE($D32,Milestones!$AA$79)&gt;=$R32),$U32,$T32)))=Milestones!$AB$79),TEXT(EDATE($D32,Milestones!$AA$79),"dd/mm/yy")&amp;" "&amp;Milestones!$AB$79&amp;" "&amp;Milestones!$AC$79&amp;";  ",""))</f>
        <v/>
      </c>
      <c r="K32" s="0" t="str">
        <f aca="false">IF(OR($A32="",$D32=""),"",IF(AND(EDATE($D32,Milestones!$AA$80)&lt;=AsOfDate,IF($Q32=0,$W32,IF(AND($S32&lt;&gt;"",EDATE($D32,Milestones!$AA$80)&gt;=$S32),$V32,IF(AND($R32&lt;&gt;"",EDATE($D32,Milestones!$AA$80)&gt;=$R32),$U32,$T32)))=Milestones!$AB$80),TEXT(EDATE($D32,Milestones!$AA$80),"dd/mm/yy")&amp;" "&amp;Milestones!$AB$80&amp;" "&amp;Milestones!$AC$80&amp;";  ","")&amp;IF(AND(EDATE($D32,Milestones!$AA$81)&lt;=AsOfDate,IF($Q32=0,$W32,IF(AND($S32&lt;&gt;"",EDATE($D32,Milestones!$AA$81)&gt;=$S32),$V32,IF(AND($R32&lt;&gt;"",EDATE($D32,Milestones!$AA$81)&gt;=$R32),$U32,$T32)))=Milestones!$AB$81),TEXT(EDATE($D32,Milestones!$AA$81),"dd/mm/yy")&amp;" "&amp;Milestones!$AB$81&amp;" "&amp;Milestones!$AC$81&amp;";  ","")&amp;IF(AND(EDATE($D32,Milestones!$AA$82)&lt;=AsOfDate,IF($Q32=0,$W32,IF(AND($S32&lt;&gt;"",EDATE($D32,Milestones!$AA$82)&gt;=$S32),$V32,IF(AND($R32&lt;&gt;"",EDATE($D32,Milestones!$AA$82)&gt;=$R32),$U32,$T32)))=Milestones!$AB$82),TEXT(EDATE($D32,Milestones!$AA$82),"dd/mm/yy")&amp;" "&amp;Milestones!$AB$82&amp;" "&amp;Milestones!$AC$82&amp;";  ","")&amp;IF(AND(EDATE($D32,Milestones!$AA$83)&lt;=AsOfDate,IF($Q32=0,$W32,IF(AND($S32&lt;&gt;"",EDATE($D32,Milestones!$AA$83)&gt;=$S32),$V32,IF(AND($R32&lt;&gt;"",EDATE($D32,Milestones!$AA$83)&gt;=$R32),$U32,$T32)))=Milestones!$AB$83),TEXT(EDATE($D32,Milestones!$AA$83),"dd/mm/yy")&amp;" "&amp;Milestones!$AB$83&amp;" "&amp;Milestones!$AC$83&amp;";  ","")&amp;IF(AND(EDATE($D32,Milestones!$AA$84)&lt;=AsOfDate,IF($Q32=0,$W32,IF(AND($S32&lt;&gt;"",EDATE($D32,Milestones!$AA$84)&gt;=$S32),$V32,IF(AND($R32&lt;&gt;"",EDATE($D32,Milestones!$AA$84)&gt;=$R32),$U32,$T32)))=Milestones!$AB$84),TEXT(EDATE($D32,Milestones!$AA$84),"dd/mm/yy")&amp;" "&amp;Milestones!$AB$84&amp;" "&amp;Milestones!$AC$84&amp;";  ","")&amp;IF(AND(EDATE($D32,Milestones!$AA$85)&lt;=AsOfDate,IF($Q32=0,$W32,IF(AND($S32&lt;&gt;"",EDATE($D32,Milestones!$AA$85)&gt;=$S32),$V32,IF(AND($R32&lt;&gt;"",EDATE($D32,Milestones!$AA$85)&gt;=$R32),$U32,$T32)))=Milestones!$AB$85),TEXT(EDATE($D32,Milestones!$AA$85),"dd/mm/yy")&amp;" "&amp;Milestones!$AB$85&amp;" "&amp;Milestones!$AC$85&amp;";  ","")&amp;IF(AND(EDATE($D32,Milestones!$AA$86)&lt;=AsOfDate,IF($Q32=0,$W32,IF(AND($S32&lt;&gt;"",EDATE($D32,Milestones!$AA$86)&gt;=$S32),$V32,IF(AND($R32&lt;&gt;"",EDATE($D32,Milestones!$AA$86)&gt;=$R32),$U32,$T32)))=Milestones!$AB$86),TEXT(EDATE($D32,Milestones!$AA$86),"dd/mm/yy")&amp;" "&amp;Milestones!$AB$86&amp;" "&amp;Milestones!$AC$86&amp;";  ","")&amp;IF(AND(EDATE($D32,Milestones!$AA$87)&lt;=AsOfDate,IF($Q32=0,$W32,IF(AND($S32&lt;&gt;"",EDATE($D32,Milestones!$AA$87)&gt;=$S32),$V32,IF(AND($R32&lt;&gt;"",EDATE($D32,Milestones!$AA$87)&gt;=$R32),$U32,$T32)))=Milestones!$AB$87),TEXT(EDATE($D32,Milestones!$AA$87),"dd/mm/yy")&amp;" "&amp;Milestones!$AB$87&amp;" "&amp;Milestones!$AC$87&amp;";  ","")&amp;IF(AND(EDATE($D32,Milestones!$AA$88)&lt;=AsOfDate,IF($Q32=0,$W32,IF(AND($S32&lt;&gt;"",EDATE($D32,Milestones!$AA$88)&gt;=$S32),$V32,IF(AND($R32&lt;&gt;"",EDATE($D32,Milestones!$AA$88)&gt;=$R32),$U32,$T32)))=Milestones!$AB$88),TEXT(EDATE($D32,Milestones!$AA$88),"dd/mm/yy")&amp;" "&amp;Milestones!$AB$88&amp;" "&amp;Milestones!$AC$88&amp;";  ","")&amp;IF(AND(EDATE($D32,Milestones!$AA$89)&lt;=AsOfDate,IF($Q32=0,$W32,IF(AND($S32&lt;&gt;"",EDATE($D32,Milestones!$AA$89)&gt;=$S32),$V32,IF(AND($R32&lt;&gt;"",EDATE($D32,Milestones!$AA$89)&gt;=$R32),$U32,$T32)))=Milestones!$AB$89),TEXT(EDATE($D32,Milestones!$AA$89),"dd/mm/yy")&amp;" "&amp;Milestones!$AB$89&amp;" "&amp;Milestones!$AC$89&amp;";  ","")&amp;IF(AND(EDATE($D32,Milestones!$AA$90)&lt;=AsOfDate,IF($Q32=0,$W32,IF(AND($S32&lt;&gt;"",EDATE($D32,Milestones!$AA$90)&gt;=$S32),$V32,IF(AND($R32&lt;&gt;"",EDATE($D32,Milestones!$AA$90)&gt;=$R32),$U32,$T32)))=Milestones!$AB$90),TEXT(EDATE($D32,Milestones!$AA$90),"dd/mm/yy")&amp;" "&amp;Milestones!$AB$90&amp;" "&amp;Milestones!$AC$90&amp;";  ","")&amp;IF(AND(EDATE($D32,Milestones!$AA$91)&lt;=AsOfDate,IF($Q32=0,$W32,IF(AND($S32&lt;&gt;"",EDATE($D32,Milestones!$AA$91)&gt;=$S32),$V32,IF(AND($R32&lt;&gt;"",EDATE($D32,Milestones!$AA$91)&gt;=$R32),$U32,$T32)))=Milestones!$AB$91),TEXT(EDATE($D32,Milestones!$AA$91),"dd/mm/yy")&amp;" "&amp;Milestones!$AB$91&amp;" "&amp;Milestones!$AC$91&amp;";  ","")&amp;IF(AND(EDATE($D32,Milestones!$AA$92)&lt;=AsOfDate,IF($Q32=0,$W32,IF(AND($S32&lt;&gt;"",EDATE($D32,Milestones!$AA$92)&gt;=$S32),$V32,IF(AND($R32&lt;&gt;"",EDATE($D32,Milestones!$AA$92)&gt;=$R32),$U32,$T32)))=Milestones!$AB$92),TEXT(EDATE($D32,Milestones!$AA$92),"dd/mm/yy")&amp;" "&amp;Milestones!$AB$92&amp;" "&amp;Milestones!$AC$92&amp;";  ","")&amp;IF(AND(EDATE($D32,Milestones!$AA$93)&lt;=AsOfDate,IF($Q32=0,$W32,IF(AND($S32&lt;&gt;"",EDATE($D32,Milestones!$AA$93)&gt;=$S32),$V32,IF(AND($R32&lt;&gt;"",EDATE($D32,Milestones!$AA$93)&gt;=$R32),$U32,$T32)))=Milestones!$AB$93),TEXT(EDATE($D32,Milestones!$AA$93),"dd/mm/yy")&amp;" "&amp;Milestones!$AB$93&amp;" "&amp;Milestones!$AC$93&amp;";  ","")&amp;IF(AND(EDATE($D32,Milestones!$AA$94)&lt;=AsOfDate,IF($Q32=0,$W32,IF(AND($S32&lt;&gt;"",EDATE($D32,Milestones!$AA$94)&gt;=$S32),$V32,IF(AND($R32&lt;&gt;"",EDATE($D32,Milestones!$AA$94)&gt;=$R32),$U32,$T32)))=Milestones!$AB$94),TEXT(EDATE($D32,Milestones!$AA$94),"dd/mm/yy")&amp;" "&amp;Milestones!$AB$94&amp;" "&amp;Milestones!$AC$94&amp;";  ","")&amp;IF(AND(EDATE($D32,Milestones!$AA$95)&lt;=AsOfDate,IF($Q32=0,$W32,IF(AND($S32&lt;&gt;"",EDATE($D32,Milestones!$AA$95)&gt;=$S32),$V32,IF(AND($R32&lt;&gt;"",EDATE($D32,Milestones!$AA$95)&gt;=$R32),$U32,$T32)))=Milestones!$AB$95),TEXT(EDATE($D32,Milestones!$AA$95),"dd/mm/yy")&amp;" "&amp;Milestones!$AB$95&amp;" "&amp;Milestones!$AC$95&amp;";  ","")&amp;IF(AND(EDATE($D32,Milestones!$AA$96)&lt;=AsOfDate,IF($Q32=0,$W32,IF(AND($S32&lt;&gt;"",EDATE($D32,Milestones!$AA$96)&gt;=$S32),$V32,IF(AND($R32&lt;&gt;"",EDATE($D32,Milestones!$AA$96)&gt;=$R32),$U32,$T32)))=Milestones!$AB$96),TEXT(EDATE($D32,Milestones!$AA$96),"dd/mm/yy")&amp;" "&amp;Milestones!$AB$96&amp;" "&amp;Milestones!$AC$96&amp;";  ","")&amp;IF(AND(EDATE($D32,Milestones!$AA$97)&lt;=AsOfDate,IF($Q32=0,$W32,IF(AND($S32&lt;&gt;"",EDATE($D32,Milestones!$AA$97)&gt;=$S32),$V32,IF(AND($R32&lt;&gt;"",EDATE($D32,Milestones!$AA$97)&gt;=$R32),$U32,$T32)))=Milestones!$AB$97),TEXT(EDATE($D32,Milestones!$AA$97),"dd/mm/yy")&amp;" "&amp;Milestones!$AB$97&amp;" "&amp;Milestones!$AC$97&amp;";  ","")&amp;IF(AND(EDATE($D32,Milestones!$AA$98)&lt;=AsOfDate,IF($Q32=0,$W32,IF(AND($S32&lt;&gt;"",EDATE($D32,Milestones!$AA$98)&gt;=$S32),$V32,IF(AND($R32&lt;&gt;"",EDATE($D32,Milestones!$AA$98)&gt;=$R32),$U32,$T32)))=Milestones!$AB$98),TEXT(EDATE($D32,Milestones!$AA$98),"dd/mm/yy")&amp;" "&amp;Milestones!$AB$98&amp;" "&amp;Milestones!$AC$98&amp;";  ","")&amp;IF(AND(EDATE($D32,Milestones!$AA$99)&lt;=AsOfDate,IF($Q32=0,$W32,IF(AND($S32&lt;&gt;"",EDATE($D32,Milestones!$AA$99)&gt;=$S32),$V32,IF(AND($R32&lt;&gt;"",EDATE($D32,Milestones!$AA$99)&gt;=$R32),$U32,$T32)))=Milestones!$AB$99),TEXT(EDATE($D32,Milestones!$AA$99),"dd/mm/yy")&amp;" "&amp;Milestones!$AB$99&amp;" "&amp;Milestones!$AC$99&amp;";  ",""))</f>
        <v/>
      </c>
      <c r="L32" s="0" t="str">
        <f aca="false">IF(OR($A32="",$D32=""),"",IF(AND(EDATE($D32,Milestones!$AA$100)&lt;=AsOfDate,IF($Q32=0,$W32,IF(AND($S32&lt;&gt;"",EDATE($D32,Milestones!$AA$100)&gt;=$S32),$V32,IF(AND($R32&lt;&gt;"",EDATE($D32,Milestones!$AA$100)&gt;=$R32),$U32,$T32)))=Milestones!$AB$100),TEXT(EDATE($D32,Milestones!$AA$100),"dd/mm/yy")&amp;" "&amp;Milestones!$AB$100&amp;" "&amp;Milestones!$AC$100&amp;";  ","")&amp;IF(AND(EDATE($D32,Milestones!$AA$101)&lt;=AsOfDate,IF($Q32=0,$W32,IF(AND($S32&lt;&gt;"",EDATE($D32,Milestones!$AA$101)&gt;=$S32),$V32,IF(AND($R32&lt;&gt;"",EDATE($D32,Milestones!$AA$101)&gt;=$R32),$U32,$T32)))=Milestones!$AB$101),TEXT(EDATE($D32,Milestones!$AA$101),"dd/mm/yy")&amp;" "&amp;Milestones!$AB$101&amp;" "&amp;Milestones!$AC$101&amp;";  ","")&amp;IF(AND(EDATE($D32,Milestones!$AA$102)&lt;=AsOfDate,IF($Q32=0,$W32,IF(AND($S32&lt;&gt;"",EDATE($D32,Milestones!$AA$102)&gt;=$S32),$V32,IF(AND($R32&lt;&gt;"",EDATE($D32,Milestones!$AA$102)&gt;=$R32),$U32,$T32)))=Milestones!$AB$102),TEXT(EDATE($D32,Milestones!$AA$102),"dd/mm/yy")&amp;" "&amp;Milestones!$AB$102&amp;" "&amp;Milestones!$AC$102&amp;";  ","")&amp;IF(AND(EDATE($D32,Milestones!$AA$103)&lt;=AsOfDate,IF($Q32=0,$W32,IF(AND($S32&lt;&gt;"",EDATE($D32,Milestones!$AA$103)&gt;=$S32),$V32,IF(AND($R32&lt;&gt;"",EDATE($D32,Milestones!$AA$103)&gt;=$R32),$U32,$T32)))=Milestones!$AB$103),TEXT(EDATE($D32,Milestones!$AA$103),"dd/mm/yy")&amp;" "&amp;Milestones!$AB$103&amp;" "&amp;Milestones!$AC$103&amp;";  ","")&amp;IF(AND(EDATE($D32,Milestones!$AA$104)&lt;=AsOfDate,IF($Q32=0,$W32,IF(AND($S32&lt;&gt;"",EDATE($D32,Milestones!$AA$104)&gt;=$S32),$V32,IF(AND($R32&lt;&gt;"",EDATE($D32,Milestones!$AA$104)&gt;=$R32),$U32,$T32)))=Milestones!$AB$104),TEXT(EDATE($D32,Milestones!$AA$104),"dd/mm/yy")&amp;" "&amp;Milestones!$AB$104&amp;" "&amp;Milestones!$AC$104&amp;";  ","")&amp;IF(AND(EDATE($D32,Milestones!$AA$105)&lt;=AsOfDate,IF($Q32=0,$W32,IF(AND($S32&lt;&gt;"",EDATE($D32,Milestones!$AA$105)&gt;=$S32),$V32,IF(AND($R32&lt;&gt;"",EDATE($D32,Milestones!$AA$105)&gt;=$R32),$U32,$T32)))=Milestones!$AB$105),TEXT(EDATE($D32,Milestones!$AA$105),"dd/mm/yy")&amp;" "&amp;Milestones!$AB$105&amp;" "&amp;Milestones!$AC$105&amp;";  ","")&amp;IF(AND(EDATE($D32,Milestones!$AA$106)&lt;=AsOfDate,IF($Q32=0,$W32,IF(AND($S32&lt;&gt;"",EDATE($D32,Milestones!$AA$106)&gt;=$S32),$V32,IF(AND($R32&lt;&gt;"",EDATE($D32,Milestones!$AA$106)&gt;=$R32),$U32,$T32)))=Milestones!$AB$106),TEXT(EDATE($D32,Milestones!$AA$106),"dd/mm/yy")&amp;" "&amp;Milestones!$AB$106&amp;" "&amp;Milestones!$AC$106&amp;";  ","")&amp;IF(AND(EDATE($D32,Milestones!$AA$107)&lt;=AsOfDate,IF($Q32=0,$W32,IF(AND($S32&lt;&gt;"",EDATE($D32,Milestones!$AA$107)&gt;=$S32),$V32,IF(AND($R32&lt;&gt;"",EDATE($D32,Milestones!$AA$107)&gt;=$R32),$U32,$T32)))=Milestones!$AB$107),TEXT(EDATE($D32,Milestones!$AA$107),"dd/mm/yy")&amp;" "&amp;Milestones!$AB$107&amp;" "&amp;Milestones!$AC$107&amp;";  ","")&amp;IF(AND(EDATE($D32,Milestones!$AA$108)&lt;=AsOfDate,IF($Q32=0,$W32,IF(AND($S32&lt;&gt;"",EDATE($D32,Milestones!$AA$108)&gt;=$S32),$V32,IF(AND($R32&lt;&gt;"",EDATE($D32,Milestones!$AA$108)&gt;=$R32),$U32,$T32)))=Milestones!$AB$108),TEXT(EDATE($D32,Milestones!$AA$108),"dd/mm/yy")&amp;" "&amp;Milestones!$AB$108&amp;" "&amp;Milestones!$AC$108&amp;";  ","")&amp;IF(AND(EDATE($D32,Milestones!$AA$109)&lt;=AsOfDate,IF($Q32=0,$W32,IF(AND($S32&lt;&gt;"",EDATE($D32,Milestones!$AA$109)&gt;=$S32),$V32,IF(AND($R32&lt;&gt;"",EDATE($D32,Milestones!$AA$109)&gt;=$R32),$U32,$T32)))=Milestones!$AB$109),TEXT(EDATE($D32,Milestones!$AA$109),"dd/mm/yy")&amp;" "&amp;Milestones!$AB$109&amp;" "&amp;Milestones!$AC$109&amp;";  ","")&amp;IF(AND(EDATE($D32,Milestones!$AA$110)&lt;=AsOfDate,IF($Q32=0,$W32,IF(AND($S32&lt;&gt;"",EDATE($D32,Milestones!$AA$110)&gt;=$S32),$V32,IF(AND($R32&lt;&gt;"",EDATE($D32,Milestones!$AA$110)&gt;=$R32),$U32,$T32)))=Milestones!$AB$110),TEXT(EDATE($D32,Milestones!$AA$110),"dd/mm/yy")&amp;" "&amp;Milestones!$AB$110&amp;" "&amp;Milestones!$AC$110&amp;";  ","")&amp;IF(AND(EDATE($D32,Milestones!$AA$111)&lt;=AsOfDate,IF($Q32=0,$W32,IF(AND($S32&lt;&gt;"",EDATE($D32,Milestones!$AA$111)&gt;=$S32),$V32,IF(AND($R32&lt;&gt;"",EDATE($D32,Milestones!$AA$111)&gt;=$R32),$U32,$T32)))=Milestones!$AB$111),TEXT(EDATE($D32,Milestones!$AA$111),"dd/mm/yy")&amp;" "&amp;Milestones!$AB$111&amp;" "&amp;Milestones!$AC$111&amp;";  ","")&amp;IF(AND(EDATE($D32,Milestones!$AA$112)&lt;=AsOfDate,IF($Q32=0,$W32,IF(AND($S32&lt;&gt;"",EDATE($D32,Milestones!$AA$112)&gt;=$S32),$V32,IF(AND($R32&lt;&gt;"",EDATE($D32,Milestones!$AA$112)&gt;=$R32),$U32,$T32)))=Milestones!$AB$112),TEXT(EDATE($D32,Milestones!$AA$112),"dd/mm/yy")&amp;" "&amp;Milestones!$AB$112&amp;" "&amp;Milestones!$AC$112&amp;";  ","")&amp;IF(AND(EDATE($D32,Milestones!$AA$113)&lt;=AsOfDate,IF($Q32=0,$W32,IF(AND($S32&lt;&gt;"",EDATE($D32,Milestones!$AA$113)&gt;=$S32),$V32,IF(AND($R32&lt;&gt;"",EDATE($D32,Milestones!$AA$113)&gt;=$R32),$U32,$T32)))=Milestones!$AB$113),TEXT(EDATE($D32,Milestones!$AA$113),"dd/mm/yy")&amp;" "&amp;Milestones!$AB$113&amp;" "&amp;Milestones!$AC$113&amp;";  ","")&amp;IF(AND(EDATE($D32,Milestones!$AA$114)&lt;=AsOfDate,IF($Q32=0,$W32,IF(AND($S32&lt;&gt;"",EDATE($D32,Milestones!$AA$114)&gt;=$S32),$V32,IF(AND($R32&lt;&gt;"",EDATE($D32,Milestones!$AA$114)&gt;=$R32),$U32,$T32)))=Milestones!$AB$114),TEXT(EDATE($D32,Milestones!$AA$114),"dd/mm/yy")&amp;" "&amp;Milestones!$AB$114&amp;" "&amp;Milestones!$AC$114&amp;";  ","")&amp;IF(AND(EDATE($D32,Milestones!$AA$115)&lt;=AsOfDate,IF($Q32=0,$W32,IF(AND($S32&lt;&gt;"",EDATE($D32,Milestones!$AA$115)&gt;=$S32),$V32,IF(AND($R32&lt;&gt;"",EDATE($D32,Milestones!$AA$115)&gt;=$R32),$U32,$T32)))=Milestones!$AB$115),TEXT(EDATE($D32,Milestones!$AA$115),"dd/mm/yy")&amp;" "&amp;Milestones!$AB$115&amp;" "&amp;Milestones!$AC$115&amp;";  ","")&amp;IF(AND(EDATE($D32,Milestones!$AA$116)&lt;=AsOfDate,IF($Q32=0,$W32,IF(AND($S32&lt;&gt;"",EDATE($D32,Milestones!$AA$116)&gt;=$S32),$V32,IF(AND($R32&lt;&gt;"",EDATE($D32,Milestones!$AA$116)&gt;=$R32),$U32,$T32)))=Milestones!$AB$116),TEXT(EDATE($D32,Milestones!$AA$116),"dd/mm/yy")&amp;" "&amp;Milestones!$AB$116&amp;" "&amp;Milestones!$AC$116&amp;";  ","")&amp;IF(AND(EDATE($D32,Milestones!$AA$117)&lt;=AsOfDate,IF($Q32=0,$W32,IF(AND($S32&lt;&gt;"",EDATE($D32,Milestones!$AA$117)&gt;=$S32),$V32,IF(AND($R32&lt;&gt;"",EDATE($D32,Milestones!$AA$117)&gt;=$R32),$U32,$T32)))=Milestones!$AB$117),TEXT(EDATE($D32,Milestones!$AA$117),"dd/mm/yy")&amp;" "&amp;Milestones!$AB$117&amp;" "&amp;Milestones!$AC$117&amp;";  ","")&amp;IF(AND(EDATE($D32,Milestones!$AA$118)&lt;=AsOfDate,IF($Q32=0,$W32,IF(AND($S32&lt;&gt;"",EDATE($D32,Milestones!$AA$118)&gt;=$S32),$V32,IF(AND($R32&lt;&gt;"",EDATE($D32,Milestones!$AA$118)&gt;=$R32),$U32,$T32)))=Milestones!$AB$118),TEXT(EDATE($D32,Milestones!$AA$118),"dd/mm/yy")&amp;" "&amp;Milestones!$AB$118&amp;" "&amp;Milestones!$AC$118&amp;";  ","")&amp;IF(AND(EDATE($D32,Milestones!$AA$119)&lt;=AsOfDate,IF($Q32=0,$W32,IF(AND($S32&lt;&gt;"",EDATE($D32,Milestones!$AA$119)&gt;=$S32),$V32,IF(AND($R32&lt;&gt;"",EDATE($D32,Milestones!$AA$119)&gt;=$R32),$U32,$T32)))=Milestones!$AB$119),TEXT(EDATE($D32,Milestones!$AA$119),"dd/mm/yy")&amp;" "&amp;Milestones!$AB$119&amp;" "&amp;Milestones!$AC$119&amp;";  ",""))</f>
        <v/>
      </c>
      <c r="M32" s="0" t="str">
        <f aca="false">IF(OR($A32="",$D32=""),"",IF(AND(EDATE($D32,Milestones!$AA$120)&lt;=AsOfDate,IF($Q32=0,$W32,IF(AND($S32&lt;&gt;"",EDATE($D32,Milestones!$AA$120)&gt;=$S32),$V32,IF(AND($R32&lt;&gt;"",EDATE($D32,Milestones!$AA$120)&gt;=$R32),$U32,$T32)))=Milestones!$AB$120),TEXT(EDATE($D32,Milestones!$AA$120),"dd/mm/yy")&amp;" "&amp;Milestones!$AB$120&amp;" "&amp;Milestones!$AC$120&amp;";  ","")&amp;IF(AND(EDATE($D32,Milestones!$AA$121)&lt;=AsOfDate,IF($Q32=0,$W32,IF(AND($S32&lt;&gt;"",EDATE($D32,Milestones!$AA$121)&gt;=$S32),$V32,IF(AND($R32&lt;&gt;"",EDATE($D32,Milestones!$AA$121)&gt;=$R32),$U32,$T32)))=Milestones!$AB$121),TEXT(EDATE($D32,Milestones!$AA$121),"dd/mm/yy")&amp;" "&amp;Milestones!$AB$121&amp;" "&amp;Milestones!$AC$121&amp;";  ","")&amp;IF(AND(EDATE($D32,Milestones!$AA$122)&lt;=AsOfDate,IF($Q32=0,$W32,IF(AND($S32&lt;&gt;"",EDATE($D32,Milestones!$AA$122)&gt;=$S32),$V32,IF(AND($R32&lt;&gt;"",EDATE($D32,Milestones!$AA$122)&gt;=$R32),$U32,$T32)))=Milestones!$AB$122),TEXT(EDATE($D32,Milestones!$AA$122),"dd/mm/yy")&amp;" "&amp;Milestones!$AB$122&amp;" "&amp;Milestones!$AC$122&amp;";  ","")&amp;IF(AND(EDATE($D32,Milestones!$AA$123)&lt;=AsOfDate,IF($Q32=0,$W32,IF(AND($S32&lt;&gt;"",EDATE($D32,Milestones!$AA$123)&gt;=$S32),$V32,IF(AND($R32&lt;&gt;"",EDATE($D32,Milestones!$AA$123)&gt;=$R32),$U32,$T32)))=Milestones!$AB$123),TEXT(EDATE($D32,Milestones!$AA$123),"dd/mm/yy")&amp;" "&amp;Milestones!$AB$123&amp;" "&amp;Milestones!$AC$123&amp;";  ","")&amp;IF(AND(EDATE($D32,Milestones!$AA$124)&lt;=AsOfDate,IF($Q32=0,$W32,IF(AND($S32&lt;&gt;"",EDATE($D32,Milestones!$AA$124)&gt;=$S32),$V32,IF(AND($R32&lt;&gt;"",EDATE($D32,Milestones!$AA$124)&gt;=$R32),$U32,$T32)))=Milestones!$AB$124),TEXT(EDATE($D32,Milestones!$AA$124),"dd/mm/yy")&amp;" "&amp;Milestones!$AB$124&amp;" "&amp;Milestones!$AC$124&amp;";  ","")&amp;IF(AND(EDATE($D32,Milestones!$AA$125)&lt;=AsOfDate,IF($Q32=0,$W32,IF(AND($S32&lt;&gt;"",EDATE($D32,Milestones!$AA$125)&gt;=$S32),$V32,IF(AND($R32&lt;&gt;"",EDATE($D32,Milestones!$AA$125)&gt;=$R32),$U32,$T32)))=Milestones!$AB$125),TEXT(EDATE($D32,Milestones!$AA$125),"dd/mm/yy")&amp;" "&amp;Milestones!$AB$125&amp;" "&amp;Milestones!$AC$125&amp;";  ","")&amp;IF(AND(EDATE($D32,Milestones!$AA$126)&lt;=AsOfDate,IF($Q32=0,$W32,IF(AND($S32&lt;&gt;"",EDATE($D32,Milestones!$AA$126)&gt;=$S32),$V32,IF(AND($R32&lt;&gt;"",EDATE($D32,Milestones!$AA$126)&gt;=$R32),$U32,$T32)))=Milestones!$AB$126),TEXT(EDATE($D32,Milestones!$AA$126),"dd/mm/yy")&amp;" "&amp;Milestones!$AB$126&amp;" "&amp;Milestones!$AC$126&amp;";  ","")&amp;IF(AND(EDATE($D32,Milestones!$AA$127)&lt;=AsOfDate,IF($Q32=0,$W32,IF(AND($S32&lt;&gt;"",EDATE($D32,Milestones!$AA$127)&gt;=$S32),$V32,IF(AND($R32&lt;&gt;"",EDATE($D32,Milestones!$AA$127)&gt;=$R32),$U32,$T32)))=Milestones!$AB$127),TEXT(EDATE($D32,Milestones!$AA$127),"dd/mm/yy")&amp;" "&amp;Milestones!$AB$127&amp;" "&amp;Milestones!$AC$127&amp;";  ","")&amp;IF(AND(EDATE($D32,Milestones!$AA$128)&lt;=AsOfDate,IF($Q32=0,$W32,IF(AND($S32&lt;&gt;"",EDATE($D32,Milestones!$AA$128)&gt;=$S32),$V32,IF(AND($R32&lt;&gt;"",EDATE($D32,Milestones!$AA$128)&gt;=$R32),$U32,$T32)))=Milestones!$AB$128),TEXT(EDATE($D32,Milestones!$AA$128),"dd/mm/yy")&amp;" "&amp;Milestones!$AB$128&amp;" "&amp;Milestones!$AC$128&amp;";  ","")&amp;IF(AND(EDATE($D32,Milestones!$AA$129)&lt;=AsOfDate,IF($Q32=0,$W32,IF(AND($S32&lt;&gt;"",EDATE($D32,Milestones!$AA$129)&gt;=$S32),$V32,IF(AND($R32&lt;&gt;"",EDATE($D32,Milestones!$AA$129)&gt;=$R32),$U32,$T32)))=Milestones!$AB$129),TEXT(EDATE($D32,Milestones!$AA$129),"dd/mm/yy")&amp;" "&amp;Milestones!$AB$129&amp;" "&amp;Milestones!$AC$129&amp;";  ","")&amp;IF(AND(EDATE($D32,Milestones!$AA$130)&lt;=AsOfDate,IF($Q32=0,$W32,IF(AND($S32&lt;&gt;"",EDATE($D32,Milestones!$AA$130)&gt;=$S32),$V32,IF(AND($R32&lt;&gt;"",EDATE($D32,Milestones!$AA$130)&gt;=$R32),$U32,$T32)))=Milestones!$AB$130),TEXT(EDATE($D32,Milestones!$AA$130),"dd/mm/yy")&amp;" "&amp;Milestones!$AB$130&amp;" "&amp;Milestones!$AC$130&amp;";  ","")&amp;IF(AND(EDATE($D32,Milestones!$AA$131)&lt;=AsOfDate,IF($Q32=0,$W32,IF(AND($S32&lt;&gt;"",EDATE($D32,Milestones!$AA$131)&gt;=$S32),$V32,IF(AND($R32&lt;&gt;"",EDATE($D32,Milestones!$AA$131)&gt;=$R32),$U32,$T32)))=Milestones!$AB$131),TEXT(EDATE($D32,Milestones!$AA$131),"dd/mm/yy")&amp;" "&amp;Milestones!$AB$131&amp;" "&amp;Milestones!$AC$131&amp;";  ","")&amp;IF(AND(EDATE($D32,Milestones!$AA$132)&lt;=AsOfDate,IF($Q32=0,$W32,IF(AND($S32&lt;&gt;"",EDATE($D32,Milestones!$AA$132)&gt;=$S32),$V32,IF(AND($R32&lt;&gt;"",EDATE($D32,Milestones!$AA$132)&gt;=$R32),$U32,$T32)))=Milestones!$AB$132),TEXT(EDATE($D32,Milestones!$AA$132),"dd/mm/yy")&amp;" "&amp;Milestones!$AB$132&amp;" "&amp;Milestones!$AC$132&amp;";  ","")&amp;IF(AND(EDATE($D32,Milestones!$AA$133)&lt;=AsOfDate,IF($Q32=0,$W32,IF(AND($S32&lt;&gt;"",EDATE($D32,Milestones!$AA$133)&gt;=$S32),$V32,IF(AND($R32&lt;&gt;"",EDATE($D32,Milestones!$AA$133)&gt;=$R32),$U32,$T32)))=Milestones!$AB$133),TEXT(EDATE($D32,Milestones!$AA$133),"dd/mm/yy")&amp;" "&amp;Milestones!$AB$133&amp;" "&amp;Milestones!$AC$133&amp;";  ","")&amp;IF(AND(EDATE($D32,Milestones!$AA$134)&lt;=AsOfDate,IF($Q32=0,$W32,IF(AND($S32&lt;&gt;"",EDATE($D32,Milestones!$AA$134)&gt;=$S32),$V32,IF(AND($R32&lt;&gt;"",EDATE($D32,Milestones!$AA$134)&gt;=$R32),$U32,$T32)))=Milestones!$AB$134),TEXT(EDATE($D32,Milestones!$AA$134),"dd/mm/yy")&amp;" "&amp;Milestones!$AB$134&amp;" "&amp;Milestones!$AC$134&amp;";  ","")&amp;IF(AND(EDATE($D32,Milestones!$AA$135)&lt;=AsOfDate,IF($Q32=0,$W32,IF(AND($S32&lt;&gt;"",EDATE($D32,Milestones!$AA$135)&gt;=$S32),$V32,IF(AND($R32&lt;&gt;"",EDATE($D32,Milestones!$AA$135)&gt;=$R32),$U32,$T32)))=Milestones!$AB$135),TEXT(EDATE($D32,Milestones!$AA$135),"dd/mm/yy")&amp;" "&amp;Milestones!$AB$135&amp;" "&amp;Milestones!$AC$135&amp;";  ","")&amp;IF(AND(EDATE($D32,Milestones!$AA$136)&lt;=AsOfDate,IF($Q32=0,$W32,IF(AND($S32&lt;&gt;"",EDATE($D32,Milestones!$AA$136)&gt;=$S32),$V32,IF(AND($R32&lt;&gt;"",EDATE($D32,Milestones!$AA$136)&gt;=$R32),$U32,$T32)))=Milestones!$AB$136),TEXT(EDATE($D32,Milestones!$AA$136),"dd/mm/yy")&amp;" "&amp;Milestones!$AB$136&amp;" "&amp;Milestones!$AC$136&amp;";  ","")&amp;IF(AND(EDATE($D32,Milestones!$AA$137)&lt;=AsOfDate,IF($Q32=0,$W32,IF(AND($S32&lt;&gt;"",EDATE($D32,Milestones!$AA$137)&gt;=$S32),$V32,IF(AND($R32&lt;&gt;"",EDATE($D32,Milestones!$AA$137)&gt;=$R32),$U32,$T32)))=Milestones!$AB$137),TEXT(EDATE($D32,Milestones!$AA$137),"dd/mm/yy")&amp;" "&amp;Milestones!$AB$137&amp;" "&amp;Milestones!$AC$137&amp;";  ","")&amp;IF(AND(EDATE($D32,Milestones!$AA$138)&lt;=AsOfDate,IF($Q32=0,$W32,IF(AND($S32&lt;&gt;"",EDATE($D32,Milestones!$AA$138)&gt;=$S32),$V32,IF(AND($R32&lt;&gt;"",EDATE($D32,Milestones!$AA$138)&gt;=$R32),$U32,$T32)))=Milestones!$AB$138),TEXT(EDATE($D32,Milestones!$AA$138),"dd/mm/yy")&amp;" "&amp;Milestones!$AB$138&amp;" "&amp;Milestones!$AC$138&amp;";  ","")&amp;IF(AND(EDATE($D32,Milestones!$AA$139)&lt;=AsOfDate,IF($Q32=0,$W32,IF(AND($S32&lt;&gt;"",EDATE($D32,Milestones!$AA$139)&gt;=$S32),$V32,IF(AND($R32&lt;&gt;"",EDATE($D32,Milestones!$AA$139)&gt;=$R32),$U32,$T32)))=Milestones!$AB$139),TEXT(EDATE($D32,Milestones!$AA$139),"dd/mm/yy")&amp;" "&amp;Milestones!$AB$139&amp;" "&amp;Milestones!$AC$139&amp;";  ",""))</f>
        <v/>
      </c>
      <c r="N32" s="0" t="str">
        <f aca="false">IF(OR($A32="",$D32=""),"",IF(AND(EDATE($D32,Milestones!$AA$140)&lt;=AsOfDate,IF($Q32=0,$W32,IF(AND($S32&lt;&gt;"",EDATE($D32,Milestones!$AA$140)&gt;=$S32),$V32,IF(AND($R32&lt;&gt;"",EDATE($D32,Milestones!$AA$140)&gt;=$R32),$U32,$T32)))=Milestones!$AB$140),TEXT(EDATE($D32,Milestones!$AA$140),"dd/mm/yy")&amp;" "&amp;Milestones!$AB$140&amp;" "&amp;Milestones!$AC$140&amp;";  ","")&amp;IF(AND(EDATE($D32,Milestones!$AA$141)&lt;=AsOfDate,IF($Q32=0,$W32,IF(AND($S32&lt;&gt;"",EDATE($D32,Milestones!$AA$141)&gt;=$S32),$V32,IF(AND($R32&lt;&gt;"",EDATE($D32,Milestones!$AA$141)&gt;=$R32),$U32,$T32)))=Milestones!$AB$141),TEXT(EDATE($D32,Milestones!$AA$141),"dd/mm/yy")&amp;" "&amp;Milestones!$AB$141&amp;" "&amp;Milestones!$AC$141&amp;";  ","")&amp;IF(AND(EDATE($D32,Milestones!$AA$142)&lt;=AsOfDate,IF($Q32=0,$W32,IF(AND($S32&lt;&gt;"",EDATE($D32,Milestones!$AA$142)&gt;=$S32),$V32,IF(AND($R32&lt;&gt;"",EDATE($D32,Milestones!$AA$142)&gt;=$R32),$U32,$T32)))=Milestones!$AB$142),TEXT(EDATE($D32,Milestones!$AA$142),"dd/mm/yy")&amp;" "&amp;Milestones!$AB$142&amp;" "&amp;Milestones!$AC$142&amp;";  ","")&amp;IF(AND(EDATE($D32,Milestones!$AA$143)&lt;=AsOfDate,IF($Q32=0,$W32,IF(AND($S32&lt;&gt;"",EDATE($D32,Milestones!$AA$143)&gt;=$S32),$V32,IF(AND($R32&lt;&gt;"",EDATE($D32,Milestones!$AA$143)&gt;=$R32),$U32,$T32)))=Milestones!$AB$143),TEXT(EDATE($D32,Milestones!$AA$143),"dd/mm/yy")&amp;" "&amp;Milestones!$AB$143&amp;" "&amp;Milestones!$AC$143&amp;";  ","")&amp;IF(AND(EDATE($D32,Milestones!$AA$144)&lt;=AsOfDate,IF($Q32=0,$W32,IF(AND($S32&lt;&gt;"",EDATE($D32,Milestones!$AA$144)&gt;=$S32),$V32,IF(AND($R32&lt;&gt;"",EDATE($D32,Milestones!$AA$144)&gt;=$R32),$U32,$T32)))=Milestones!$AB$144),TEXT(EDATE($D32,Milestones!$AA$144),"dd/mm/yy")&amp;" "&amp;Milestones!$AB$144&amp;" "&amp;Milestones!$AC$144&amp;";  ","")&amp;IF(AND(EDATE($D32,Milestones!$AA$145)&lt;=AsOfDate,IF($Q32=0,$W32,IF(AND($S32&lt;&gt;"",EDATE($D32,Milestones!$AA$145)&gt;=$S32),$V32,IF(AND($R32&lt;&gt;"",EDATE($D32,Milestones!$AA$145)&gt;=$R32),$U32,$T32)))=Milestones!$AB$145),TEXT(EDATE($D32,Milestones!$AA$145),"dd/mm/yy")&amp;" "&amp;Milestones!$AB$145&amp;" "&amp;Milestones!$AC$145&amp;";  ","")&amp;IF(AND(EDATE($D32,Milestones!$AA$146)&lt;=AsOfDate,IF($Q32=0,$W32,IF(AND($S32&lt;&gt;"",EDATE($D32,Milestones!$AA$146)&gt;=$S32),$V32,IF(AND($R32&lt;&gt;"",EDATE($D32,Milestones!$AA$146)&gt;=$R32),$U32,$T32)))=Milestones!$AB$146),TEXT(EDATE($D32,Milestones!$AA$146),"dd/mm/yy")&amp;" "&amp;Milestones!$AB$146&amp;" "&amp;Milestones!$AC$146&amp;";  ","")&amp;IF(AND(EDATE($D32,Milestones!$AA$147)&lt;=AsOfDate,IF($Q32=0,$W32,IF(AND($S32&lt;&gt;"",EDATE($D32,Milestones!$AA$147)&gt;=$S32),$V32,IF(AND($R32&lt;&gt;"",EDATE($D32,Milestones!$AA$147)&gt;=$R32),$U32,$T32)))=Milestones!$AB$147),TEXT(EDATE($D32,Milestones!$AA$147),"dd/mm/yy")&amp;" "&amp;Milestones!$AB$147&amp;" "&amp;Milestones!$AC$147&amp;";  ","")&amp;IF(AND(EDATE($D32,Milestones!$AA$148)&lt;=AsOfDate,IF($Q32=0,$W32,IF(AND($S32&lt;&gt;"",EDATE($D32,Milestones!$AA$148)&gt;=$S32),$V32,IF(AND($R32&lt;&gt;"",EDATE($D32,Milestones!$AA$148)&gt;=$R32),$U32,$T32)))=Milestones!$AB$148),TEXT(EDATE($D32,Milestones!$AA$148),"dd/mm/yy")&amp;" "&amp;Milestones!$AB$148&amp;" "&amp;Milestones!$AC$148&amp;";  ","")&amp;IF(AND(EDATE($D32,Milestones!$AA$149)&lt;=AsOfDate,IF($Q32=0,$W32,IF(AND($S32&lt;&gt;"",EDATE($D32,Milestones!$AA$149)&gt;=$S32),$V32,IF(AND($R32&lt;&gt;"",EDATE($D32,Milestones!$AA$149)&gt;=$R32),$U32,$T32)))=Milestones!$AB$149),TEXT(EDATE($D32,Milestones!$AA$149),"dd/mm/yy")&amp;" "&amp;Milestones!$AB$149&amp;" "&amp;Milestones!$AC$149&amp;";  ","")&amp;IF(AND(EDATE($D32,Milestones!$AA$150)&lt;=AsOfDate,IF($Q32=0,$W32,IF(AND($S32&lt;&gt;"",EDATE($D32,Milestones!$AA$150)&gt;=$S32),$V32,IF(AND($R32&lt;&gt;"",EDATE($D32,Milestones!$AA$150)&gt;=$R32),$U32,$T32)))=Milestones!$AB$150),TEXT(EDATE($D32,Milestones!$AA$150),"dd/mm/yy")&amp;" "&amp;Milestones!$AB$150&amp;" "&amp;Milestones!$AC$150&amp;";  ","")&amp;IF(AND(EDATE($D32,Milestones!$AA$151)&lt;=AsOfDate,IF($Q32=0,$W32,IF(AND($S32&lt;&gt;"",EDATE($D32,Milestones!$AA$151)&gt;=$S32),$V32,IF(AND($R32&lt;&gt;"",EDATE($D32,Milestones!$AA$151)&gt;=$R32),$U32,$T32)))=Milestones!$AB$151),TEXT(EDATE($D32,Milestones!$AA$151),"dd/mm/yy")&amp;" "&amp;Milestones!$AB$151&amp;" "&amp;Milestones!$AC$151&amp;";  ","")&amp;IF(AND(EDATE($D32,Milestones!$AA$152)&lt;=AsOfDate,IF($Q32=0,$W32,IF(AND($S32&lt;&gt;"",EDATE($D32,Milestones!$AA$152)&gt;=$S32),$V32,IF(AND($R32&lt;&gt;"",EDATE($D32,Milestones!$AA$152)&gt;=$R32),$U32,$T32)))=Milestones!$AB$152),TEXT(EDATE($D32,Milestones!$AA$152),"dd/mm/yy")&amp;" "&amp;Milestones!$AB$152&amp;" "&amp;Milestones!$AC$152&amp;";  ","")&amp;IF(AND(EDATE($D32,Milestones!$AA$153)&lt;=AsOfDate,IF($Q32=0,$W32,IF(AND($S32&lt;&gt;"",EDATE($D32,Milestones!$AA$153)&gt;=$S32),$V32,IF(AND($R32&lt;&gt;"",EDATE($D32,Milestones!$AA$153)&gt;=$R32),$U32,$T32)))=Milestones!$AB$153),TEXT(EDATE($D32,Milestones!$AA$153),"dd/mm/yy")&amp;" "&amp;Milestones!$AB$153&amp;" "&amp;Milestones!$AC$153&amp;";  ","")&amp;IF(AND(EDATE($D32,Milestones!$AA$154)&lt;=AsOfDate,IF($Q32=0,$W32,IF(AND($S32&lt;&gt;"",EDATE($D32,Milestones!$AA$154)&gt;=$S32),$V32,IF(AND($R32&lt;&gt;"",EDATE($D32,Milestones!$AA$154)&gt;=$R32),$U32,$T32)))=Milestones!$AB$154),TEXT(EDATE($D32,Milestones!$AA$154),"dd/mm/yy")&amp;" "&amp;Milestones!$AB$154&amp;" "&amp;Milestones!$AC$154&amp;";  ","")&amp;IF(AND(EDATE($D32,Milestones!$AA$155)&lt;=AsOfDate,IF($Q32=0,$W32,IF(AND($S32&lt;&gt;"",EDATE($D32,Milestones!$AA$155)&gt;=$S32),$V32,IF(AND($R32&lt;&gt;"",EDATE($D32,Milestones!$AA$155)&gt;=$R32),$U32,$T32)))=Milestones!$AB$155),TEXT(EDATE($D32,Milestones!$AA$155),"dd/mm/yy")&amp;" "&amp;Milestones!$AB$155&amp;" "&amp;Milestones!$AC$155&amp;";  ","")&amp;IF(AND(EDATE($D32,Milestones!$AA$156)&lt;=AsOfDate,IF($Q32=0,$W32,IF(AND($S32&lt;&gt;"",EDATE($D32,Milestones!$AA$156)&gt;=$S32),$V32,IF(AND($R32&lt;&gt;"",EDATE($D32,Milestones!$AA$156)&gt;=$R32),$U32,$T32)))=Milestones!$AB$156),TEXT(EDATE($D32,Milestones!$AA$156),"dd/mm/yy")&amp;" "&amp;Milestones!$AB$156&amp;" "&amp;Milestones!$AC$156&amp;";  ","")&amp;IF(AND(EDATE($D32,Milestones!$AA$157)&lt;=AsOfDate,IF($Q32=0,$W32,IF(AND($S32&lt;&gt;"",EDATE($D32,Milestones!$AA$157)&gt;=$S32),$V32,IF(AND($R32&lt;&gt;"",EDATE($D32,Milestones!$AA$157)&gt;=$R32),$U32,$T32)))=Milestones!$AB$157),TEXT(EDATE($D32,Milestones!$AA$157),"dd/mm/yy")&amp;" "&amp;Milestones!$AB$157&amp;" "&amp;Milestones!$AC$157&amp;";  ","")&amp;IF(AND(EDATE($D32,Milestones!$AA$158)&lt;=AsOfDate,IF($Q32=0,$W32,IF(AND($S32&lt;&gt;"",EDATE($D32,Milestones!$AA$158)&gt;=$S32),$V32,IF(AND($R32&lt;&gt;"",EDATE($D32,Milestones!$AA$158)&gt;=$R32),$U32,$T32)))=Milestones!$AB$158),TEXT(EDATE($D32,Milestones!$AA$158),"dd/mm/yy")&amp;" "&amp;Milestones!$AB$158&amp;" "&amp;Milestones!$AC$158&amp;";  ","")&amp;IF(AND(EDATE($D32,Milestones!$AA$159)&lt;=AsOfDate,IF($Q32=0,$W32,IF(AND($S32&lt;&gt;"",EDATE($D32,Milestones!$AA$159)&gt;=$S32),$V32,IF(AND($R32&lt;&gt;"",EDATE($D32,Milestones!$AA$159)&gt;=$R32),$U32,$T32)))=Milestones!$AB$159),TEXT(EDATE($D32,Milestones!$AA$159),"dd/mm/yy")&amp;" "&amp;Milestones!$AB$159&amp;" "&amp;Milestones!$AC$159&amp;";  ",""))</f>
        <v/>
      </c>
      <c r="O32" s="0" t="str">
        <f aca="false">IF(OR($A32="",$D32=""),"",IF(AND(EDATE($D32,Milestones!$AA$160)&lt;=AsOfDate,IF($Q32=0,$W32,IF(AND($S32&lt;&gt;"",EDATE($D32,Milestones!$AA$160)&gt;=$S32),$V32,IF(AND($R32&lt;&gt;"",EDATE($D32,Milestones!$AA$160)&gt;=$R32),$U32,$T32)))=Milestones!$AB$160),TEXT(EDATE($D32,Milestones!$AA$160),"dd/mm/yy")&amp;" "&amp;Milestones!$AB$160&amp;" "&amp;Milestones!$AC$160&amp;";  ","")&amp;IF(AND(EDATE($D32,Milestones!$AA$161)&lt;=AsOfDate,IF($Q32=0,$W32,IF(AND($S32&lt;&gt;"",EDATE($D32,Milestones!$AA$161)&gt;=$S32),$V32,IF(AND($R32&lt;&gt;"",EDATE($D32,Milestones!$AA$161)&gt;=$R32),$U32,$T32)))=Milestones!$AB$161),TEXT(EDATE($D32,Milestones!$AA$161),"dd/mm/yy")&amp;" "&amp;Milestones!$AB$161&amp;" "&amp;Milestones!$AC$161&amp;";  ","")&amp;IF(AND(EDATE($D32,Milestones!$AA$162)&lt;=AsOfDate,IF($Q32=0,$W32,IF(AND($S32&lt;&gt;"",EDATE($D32,Milestones!$AA$162)&gt;=$S32),$V32,IF(AND($R32&lt;&gt;"",EDATE($D32,Milestones!$AA$162)&gt;=$R32),$U32,$T32)))=Milestones!$AB$162),TEXT(EDATE($D32,Milestones!$AA$162),"dd/mm/yy")&amp;" "&amp;Milestones!$AB$162&amp;" "&amp;Milestones!$AC$162&amp;";  ","")&amp;IF(AND(EDATE($D32,Milestones!$AA$163)&lt;=AsOfDate,IF($Q32=0,$W32,IF(AND($S32&lt;&gt;"",EDATE($D32,Milestones!$AA$163)&gt;=$S32),$V32,IF(AND($R32&lt;&gt;"",EDATE($D32,Milestones!$AA$163)&gt;=$R32),$U32,$T32)))=Milestones!$AB$163),TEXT(EDATE($D32,Milestones!$AA$163),"dd/mm/yy")&amp;" "&amp;Milestones!$AB$163&amp;" "&amp;Milestones!$AC$163&amp;";  ","")&amp;IF(AND(EDATE($D32,Milestones!$AA$164)&lt;=AsOfDate,IF($Q32=0,$W32,IF(AND($S32&lt;&gt;"",EDATE($D32,Milestones!$AA$164)&gt;=$S32),$V32,IF(AND($R32&lt;&gt;"",EDATE($D32,Milestones!$AA$164)&gt;=$R32),$U32,$T32)))=Milestones!$AB$164),TEXT(EDATE($D32,Milestones!$AA$164),"dd/mm/yy")&amp;" "&amp;Milestones!$AB$164&amp;" "&amp;Milestones!$AC$164&amp;";  ","")&amp;IF(AND(EDATE($D32,Milestones!$AA$165)&lt;=AsOfDate,IF($Q32=0,$W32,IF(AND($S32&lt;&gt;"",EDATE($D32,Milestones!$AA$165)&gt;=$S32),$V32,IF(AND($R32&lt;&gt;"",EDATE($D32,Milestones!$AA$165)&gt;=$R32),$U32,$T32)))=Milestones!$AB$165),TEXT(EDATE($D32,Milestones!$AA$165),"dd/mm/yy")&amp;" "&amp;Milestones!$AB$165&amp;" "&amp;Milestones!$AC$165&amp;";  ","")&amp;IF(AND(EDATE($D32,Milestones!$AA$166)&lt;=AsOfDate,IF($Q32=0,$W32,IF(AND($S32&lt;&gt;"",EDATE($D32,Milestones!$AA$166)&gt;=$S32),$V32,IF(AND($R32&lt;&gt;"",EDATE($D32,Milestones!$AA$166)&gt;=$R32),$U32,$T32)))=Milestones!$AB$166),TEXT(EDATE($D32,Milestones!$AA$166),"dd/mm/yy")&amp;" "&amp;Milestones!$AB$166&amp;" "&amp;Milestones!$AC$166&amp;";  ","")&amp;IF(AND(EDATE($D32,Milestones!$AA$167)&lt;=AsOfDate,IF($Q32=0,$W32,IF(AND($S32&lt;&gt;"",EDATE($D32,Milestones!$AA$167)&gt;=$S32),$V32,IF(AND($R32&lt;&gt;"",EDATE($D32,Milestones!$AA$167)&gt;=$R32),$U32,$T32)))=Milestones!$AB$167),TEXT(EDATE($D32,Milestones!$AA$167),"dd/mm/yy")&amp;" "&amp;Milestones!$AB$167&amp;" "&amp;Milestones!$AC$167&amp;";  ","")&amp;IF(AND(EDATE($D32,Milestones!$AA$168)&lt;=AsOfDate,IF($Q32=0,$W32,IF(AND($S32&lt;&gt;"",EDATE($D32,Milestones!$AA$168)&gt;=$S32),$V32,IF(AND($R32&lt;&gt;"",EDATE($D32,Milestones!$AA$168)&gt;=$R32),$U32,$T32)))=Milestones!$AB$168),TEXT(EDATE($D32,Milestones!$AA$168),"dd/mm/yy")&amp;" "&amp;Milestones!$AB$168&amp;" "&amp;Milestones!$AC$168&amp;";  ","")&amp;IF(AND(EDATE($D32,Milestones!$AA$169)&lt;=AsOfDate,IF($Q32=0,$W32,IF(AND($S32&lt;&gt;"",EDATE($D32,Milestones!$AA$169)&gt;=$S32),$V32,IF(AND($R32&lt;&gt;"",EDATE($D32,Milestones!$AA$169)&gt;=$R32),$U32,$T32)))=Milestones!$AB$169),TEXT(EDATE($D32,Milestones!$AA$169),"dd/mm/yy")&amp;" "&amp;Milestones!$AB$169&amp;" "&amp;Milestones!$AC$169&amp;";  ","")&amp;IF(AND(EDATE($D32,Milestones!$AA$170)&lt;=AsOfDate,IF($Q32=0,$W32,IF(AND($S32&lt;&gt;"",EDATE($D32,Milestones!$AA$170)&gt;=$S32),$V32,IF(AND($R32&lt;&gt;"",EDATE($D32,Milestones!$AA$170)&gt;=$R32),$U32,$T32)))=Milestones!$AB$170),TEXT(EDATE($D32,Milestones!$AA$170),"dd/mm/yy")&amp;" "&amp;Milestones!$AB$170&amp;" "&amp;Milestones!$AC$170&amp;";  ","")&amp;IF(AND(EDATE($D32,Milestones!$AA$171)&lt;=AsOfDate,IF($Q32=0,$W32,IF(AND($S32&lt;&gt;"",EDATE($D32,Milestones!$AA$171)&gt;=$S32),$V32,IF(AND($R32&lt;&gt;"",EDATE($D32,Milestones!$AA$171)&gt;=$R32),$U32,$T32)))=Milestones!$AB$171),TEXT(EDATE($D32,Milestones!$AA$171),"dd/mm/yy")&amp;" "&amp;Milestones!$AB$171&amp;" "&amp;Milestones!$AC$171&amp;";  ","")&amp;IF(AND(EDATE($D32,Milestones!$AA$172)&lt;=AsOfDate,IF($Q32=0,$W32,IF(AND($S32&lt;&gt;"",EDATE($D32,Milestones!$AA$172)&gt;=$S32),$V32,IF(AND($R32&lt;&gt;"",EDATE($D32,Milestones!$AA$172)&gt;=$R32),$U32,$T32)))=Milestones!$AB$172),TEXT(EDATE($D32,Milestones!$AA$172),"dd/mm/yy")&amp;" "&amp;Milestones!$AB$172&amp;" "&amp;Milestones!$AC$172&amp;";  ","")&amp;IF(AND(EDATE($D32,Milestones!$AA$173)&lt;=AsOfDate,IF($Q32=0,$W32,IF(AND($S32&lt;&gt;"",EDATE($D32,Milestones!$AA$173)&gt;=$S32),$V32,IF(AND($R32&lt;&gt;"",EDATE($D32,Milestones!$AA$173)&gt;=$R32),$U32,$T32)))=Milestones!$AB$173),TEXT(EDATE($D32,Milestones!$AA$173),"dd/mm/yy")&amp;" "&amp;Milestones!$AB$173&amp;" "&amp;Milestones!$AC$173&amp;";  ","")&amp;IF(AND(EDATE($D32,Milestones!$AA$174)&lt;=AsOfDate,IF($Q32=0,$W32,IF(AND($S32&lt;&gt;"",EDATE($D32,Milestones!$AA$174)&gt;=$S32),$V32,IF(AND($R32&lt;&gt;"",EDATE($D32,Milestones!$AA$174)&gt;=$R32),$U32,$T32)))=Milestones!$AB$174),TEXT(EDATE($D32,Milestones!$AA$174),"dd/mm/yy")&amp;" "&amp;Milestones!$AB$174&amp;" "&amp;Milestones!$AC$174&amp;";  ","")&amp;IF(AND(EDATE($D32,Milestones!$AA$175)&lt;=AsOfDate,IF($Q32=0,$W32,IF(AND($S32&lt;&gt;"",EDATE($D32,Milestones!$AA$175)&gt;=$S32),$V32,IF(AND($R32&lt;&gt;"",EDATE($D32,Milestones!$AA$175)&gt;=$R32),$U32,$T32)))=Milestones!$AB$175),TEXT(EDATE($D32,Milestones!$AA$175),"dd/mm/yy")&amp;" "&amp;Milestones!$AB$175&amp;" "&amp;Milestones!$AC$175&amp;";  ","")&amp;IF(AND(EDATE($D32,Milestones!$AA$176)&lt;=AsOfDate,IF($Q32=0,$W32,IF(AND($S32&lt;&gt;"",EDATE($D32,Milestones!$AA$176)&gt;=$S32),$V32,IF(AND($R32&lt;&gt;"",EDATE($D32,Milestones!$AA$176)&gt;=$R32),$U32,$T32)))=Milestones!$AB$176),TEXT(EDATE($D32,Milestones!$AA$176),"dd/mm/yy")&amp;" "&amp;Milestones!$AB$176&amp;" "&amp;Milestones!$AC$176&amp;";  ","")&amp;IF(AND(EDATE($D32,Milestones!$AA$177)&lt;=AsOfDate,IF($Q32=0,$W32,IF(AND($S32&lt;&gt;"",EDATE($D32,Milestones!$AA$177)&gt;=$S32),$V32,IF(AND($R32&lt;&gt;"",EDATE($D32,Milestones!$AA$177)&gt;=$R32),$U32,$T32)))=Milestones!$AB$177),TEXT(EDATE($D32,Milestones!$AA$177),"dd/mm/yy")&amp;" "&amp;Milestones!$AB$177&amp;" "&amp;Milestones!$AC$177&amp;";  ","")&amp;IF(AND(EDATE($D32,Milestones!$AA$178)&lt;=AsOfDate,IF($Q32=0,$W32,IF(AND($S32&lt;&gt;"",EDATE($D32,Milestones!$AA$178)&gt;=$S32),$V32,IF(AND($R32&lt;&gt;"",EDATE($D32,Milestones!$AA$178)&gt;=$R32),$U32,$T32)))=Milestones!$AB$178),TEXT(EDATE($D32,Milestones!$AA$178),"dd/mm/yy")&amp;" "&amp;Milestones!$AB$178&amp;" "&amp;Milestones!$AC$178&amp;";  ","")&amp;IF(AND(EDATE($D32,Milestones!$AA$179)&lt;=AsOfDate,IF($Q32=0,$W32,IF(AND($S32&lt;&gt;"",EDATE($D32,Milestones!$AA$179)&gt;=$S32),$V32,IF(AND($R32&lt;&gt;"",EDATE($D32,Milestones!$AA$179)&gt;=$R32),$U32,$T32)))=Milestones!$AB$179),TEXT(EDATE($D32,Milestones!$AA$179),"dd/mm/yy")&amp;" "&amp;Milestones!$AB$179&amp;" "&amp;Milestones!$AC$179&amp;";  ",""))</f>
        <v/>
      </c>
      <c r="P32" s="0" t="str">
        <f aca="false">IF(OR($A32="",$D32=""),"",IF(AND(EDATE($D32,Milestones!$AA$180)&lt;=AsOfDate,IF($Q32=0,$W32,IF(AND($S32&lt;&gt;"",EDATE($D32,Milestones!$AA$180)&gt;=$S32),$V32,IF(AND($R32&lt;&gt;"",EDATE($D32,Milestones!$AA$180)&gt;=$R32),$U32,$T32)))=Milestones!$AB$180),TEXT(EDATE($D32,Milestones!$AA$180),"dd/mm/yy")&amp;" "&amp;Milestones!$AB$180&amp;" "&amp;Milestones!$AC$180&amp;";  ","")&amp;IF(AND(EDATE($D32,Milestones!$AA$181)&lt;=AsOfDate,IF($Q32=0,$W32,IF(AND($S32&lt;&gt;"",EDATE($D32,Milestones!$AA$181)&gt;=$S32),$V32,IF(AND($R32&lt;&gt;"",EDATE($D32,Milestones!$AA$181)&gt;=$R32),$U32,$T32)))=Milestones!$AB$181),TEXT(EDATE($D32,Milestones!$AA$181),"dd/mm/yy")&amp;" "&amp;Milestones!$AB$181&amp;" "&amp;Milestones!$AC$181&amp;";  ","")&amp;IF(AND(EDATE($D32,Milestones!$AA$182)&lt;=AsOfDate,IF($Q32=0,$W32,IF(AND($S32&lt;&gt;"",EDATE($D32,Milestones!$AA$182)&gt;=$S32),$V32,IF(AND($R32&lt;&gt;"",EDATE($D32,Milestones!$AA$182)&gt;=$R32),$U32,$T32)))=Milestones!$AB$182),TEXT(EDATE($D32,Milestones!$AA$182),"dd/mm/yy")&amp;" "&amp;Milestones!$AB$182&amp;" "&amp;Milestones!$AC$182&amp;";  ","")&amp;IF(AND(EDATE($D32,Milestones!$AA$183)&lt;=AsOfDate,IF($Q32=0,$W32,IF(AND($S32&lt;&gt;"",EDATE($D32,Milestones!$AA$183)&gt;=$S32),$V32,IF(AND($R32&lt;&gt;"",EDATE($D32,Milestones!$AA$183)&gt;=$R32),$U32,$T32)))=Milestones!$AB$183),TEXT(EDATE($D32,Milestones!$AA$183),"dd/mm/yy")&amp;" "&amp;Milestones!$AB$183&amp;" "&amp;Milestones!$AC$183&amp;";  ","")&amp;IF(AND(EDATE($D32,Milestones!$AA$184)&lt;=AsOfDate,IF($Q32=0,$W32,IF(AND($S32&lt;&gt;"",EDATE($D32,Milestones!$AA$184)&gt;=$S32),$V32,IF(AND($R32&lt;&gt;"",EDATE($D32,Milestones!$AA$184)&gt;=$R32),$U32,$T32)))=Milestones!$AB$184),TEXT(EDATE($D32,Milestones!$AA$184),"dd/mm/yy")&amp;" "&amp;Milestones!$AB$184&amp;" "&amp;Milestones!$AC$184&amp;";  ","")&amp;IF(AND(EDATE($D32,Milestones!$AA$185)&lt;=AsOfDate,IF($Q32=0,$W32,IF(AND($S32&lt;&gt;"",EDATE($D32,Milestones!$AA$185)&gt;=$S32),$V32,IF(AND($R32&lt;&gt;"",EDATE($D32,Milestones!$AA$185)&gt;=$R32),$U32,$T32)))=Milestones!$AB$185),TEXT(EDATE($D32,Milestones!$AA$185),"dd/mm/yy")&amp;" "&amp;Milestones!$AB$185&amp;" "&amp;Milestones!$AC$185&amp;";  ","")&amp;IF(AND(EDATE($D32,Milestones!$AA$186)&lt;=AsOfDate,IF($Q32=0,$W32,IF(AND($S32&lt;&gt;"",EDATE($D32,Milestones!$AA$186)&gt;=$S32),$V32,IF(AND($R32&lt;&gt;"",EDATE($D32,Milestones!$AA$186)&gt;=$R32),$U32,$T32)))=Milestones!$AB$186),TEXT(EDATE($D32,Milestones!$AA$186),"dd/mm/yy")&amp;" "&amp;Milestones!$AB$186&amp;" "&amp;Milestones!$AC$186&amp;";  ","")&amp;IF(AND(EDATE($D32,Milestones!$AA$187)&lt;=AsOfDate,IF($Q32=0,$W32,IF(AND($S32&lt;&gt;"",EDATE($D32,Milestones!$AA$187)&gt;=$S32),$V32,IF(AND($R32&lt;&gt;"",EDATE($D32,Milestones!$AA$187)&gt;=$R32),$U32,$T32)))=Milestones!$AB$187),TEXT(EDATE($D32,Milestones!$AA$187),"dd/mm/yy")&amp;" "&amp;Milestones!$AB$187&amp;" "&amp;Milestones!$AC$187&amp;";  ","")&amp;IF(AND(EDATE($D32,Milestones!$AA$188)&lt;=AsOfDate,IF($Q32=0,$W32,IF(AND($S32&lt;&gt;"",EDATE($D32,Milestones!$AA$188)&gt;=$S32),$V32,IF(AND($R32&lt;&gt;"",EDATE($D32,Milestones!$AA$188)&gt;=$R32),$U32,$T32)))=Milestones!$AB$188),TEXT(EDATE($D32,Milestones!$AA$188),"dd/mm/yy")&amp;" "&amp;Milestones!$AB$188&amp;" "&amp;Milestones!$AC$188&amp;";  ","")&amp;IF(AND(EDATE($D32,Milestones!$AA$189)&lt;=AsOfDate,IF($Q32=0,$W32,IF(AND($S32&lt;&gt;"",EDATE($D32,Milestones!$AA$189)&gt;=$S32),$V32,IF(AND($R32&lt;&gt;"",EDATE($D32,Milestones!$AA$189)&gt;=$R32),$U32,$T32)))=Milestones!$AB$189),TEXT(EDATE($D32,Milestones!$AA$189),"dd/mm/yy")&amp;" "&amp;Milestones!$AB$189&amp;" "&amp;Milestones!$AC$189&amp;";  ","")&amp;IF(AND(EDATE($D32,Milestones!$AA$190)&lt;=AsOfDate,IF($Q32=0,$W32,IF(AND($S32&lt;&gt;"",EDATE($D32,Milestones!$AA$190)&gt;=$S32),$V32,IF(AND($R32&lt;&gt;"",EDATE($D32,Milestones!$AA$190)&gt;=$R32),$U32,$T32)))=Milestones!$AB$190),TEXT(EDATE($D32,Milestones!$AA$190),"dd/mm/yy")&amp;" "&amp;Milestones!$AB$190&amp;" "&amp;Milestones!$AC$190&amp;";  ","")&amp;IF(AND(EDATE($D32,Milestones!$AA$191)&lt;=AsOfDate,IF($Q32=0,$W32,IF(AND($S32&lt;&gt;"",EDATE($D32,Milestones!$AA$191)&gt;=$S32),$V32,IF(AND($R32&lt;&gt;"",EDATE($D32,Milestones!$AA$191)&gt;=$R32),$U32,$T32)))=Milestones!$AB$191),TEXT(EDATE($D32,Milestones!$AA$191),"dd/mm/yy")&amp;" "&amp;Milestones!$AB$191&amp;" "&amp;Milestones!$AC$191&amp;";  ","")&amp;IF(AND(EDATE($D32,Milestones!$AA$192)&lt;=AsOfDate,IF($Q32=0,$W32,IF(AND($S32&lt;&gt;"",EDATE($D32,Milestones!$AA$192)&gt;=$S32),$V32,IF(AND($R32&lt;&gt;"",EDATE($D32,Milestones!$AA$192)&gt;=$R32),$U32,$T32)))=Milestones!$AB$192),TEXT(EDATE($D32,Milestones!$AA$192),"dd/mm/yy")&amp;" "&amp;Milestones!$AB$192&amp;" "&amp;Milestones!$AC$192&amp;";  ","")&amp;IF(AND(EDATE($D32,Milestones!$AA$193)&lt;=AsOfDate,IF($Q32=0,$W32,IF(AND($S32&lt;&gt;"",EDATE($D32,Milestones!$AA$193)&gt;=$S32),$V32,IF(AND($R32&lt;&gt;"",EDATE($D32,Milestones!$AA$193)&gt;=$R32),$U32,$T32)))=Milestones!$AB$193),TEXT(EDATE($D32,Milestones!$AA$193),"dd/mm/yy")&amp;" "&amp;Milestones!$AB$193&amp;" "&amp;Milestones!$AC$193&amp;";  ","")&amp;IF(AND(EDATE($D32,Milestones!$AA$194)&lt;=AsOfDate,IF($Q32=0,$W32,IF(AND($S32&lt;&gt;"",EDATE($D32,Milestones!$AA$194)&gt;=$S32),$V32,IF(AND($R32&lt;&gt;"",EDATE($D32,Milestones!$AA$194)&gt;=$R32),$U32,$T32)))=Milestones!$AB$194),TEXT(EDATE($D32,Milestones!$AA$194),"dd/mm/yy")&amp;" "&amp;Milestones!$AB$194&amp;" "&amp;Milestones!$AC$194&amp;";  ","")&amp;IF(AND(EDATE($D32,Milestones!$AA$195)&lt;=AsOfDate,IF($Q32=0,$W32,IF(AND($S32&lt;&gt;"",EDATE($D32,Milestones!$AA$195)&gt;=$S32),$V32,IF(AND($R32&lt;&gt;"",EDATE($D32,Milestones!$AA$195)&gt;=$R32),$U32,$T32)))=Milestones!$AB$195),TEXT(EDATE($D32,Milestones!$AA$195),"dd/mm/yy")&amp;" "&amp;Milestones!$AB$195&amp;" "&amp;Milestones!$AC$195&amp;";  ","")&amp;IF(AND(EDATE($D32,Milestones!$AA$196)&lt;=AsOfDate,IF($Q32=0,$W32,IF(AND($S32&lt;&gt;"",EDATE($D32,Milestones!$AA$196)&gt;=$S32),$V32,IF(AND($R32&lt;&gt;"",EDATE($D32,Milestones!$AA$196)&gt;=$R32),$U32,$T32)))=Milestones!$AB$196),TEXT(EDATE($D32,Milestones!$AA$196),"dd/mm/yy")&amp;" "&amp;Milestones!$AB$196&amp;" "&amp;Milestones!$AC$196&amp;";  ","")&amp;IF(AND(EDATE($D32,Milestones!$AA$197)&lt;=AsOfDate,IF($Q32=0,$W32,IF(AND($S32&lt;&gt;"",EDATE($D32,Milestones!$AA$197)&gt;=$S32),$V32,IF(AND($R32&lt;&gt;"",EDATE($D32,Milestones!$AA$197)&gt;=$R32),$U32,$T32)))=Milestones!$AB$197),TEXT(EDATE($D32,Milestones!$AA$197),"dd/mm/yy")&amp;" "&amp;Milestones!$AB$197&amp;" "&amp;Milestones!$AC$197&amp;";  ","")&amp;IF(AND(EDATE($D32,Milestones!$AA$198)&lt;=AsOfDate,IF($Q32=0,$W32,IF(AND($S32&lt;&gt;"",EDATE($D32,Milestones!$AA$198)&gt;=$S32),$V32,IF(AND($R32&lt;&gt;"",EDATE($D32,Milestones!$AA$198)&gt;=$R32),$U32,$T32)))=Milestones!$AB$198),TEXT(EDATE($D32,Milestones!$AA$198),"dd/mm/yy")&amp;" "&amp;Milestones!$AB$198&amp;" "&amp;Milestones!$AC$198&amp;";  ","")&amp;IF(AND(EDATE($D32,Milestones!$AA$199)&lt;=AsOfDate,IF($Q32=0,$W32,IF(AND($S32&lt;&gt;"",EDATE($D32,Milestones!$AA$199)&gt;=$S32),$V32,IF(AND($R32&lt;&gt;"",EDATE($D32,Milestones!$AA$199)&gt;=$R32),$U32,$T32)))=Milestones!$AB$199),TEXT(EDATE($D32,Milestones!$AA$199),"dd/mm/yy")&amp;" "&amp;Milestones!$AB$199&amp;" "&amp;Milestones!$AC$199&amp;";  ",""))</f>
        <v/>
      </c>
      <c r="Q32" s="0" t="str">
        <f aca="false">IF(Staff!$A32="","",Staff!$AG32)</f>
        <v/>
      </c>
      <c r="R32" s="0" t="str">
        <f aca="false">IF(Staff!$A32="","",Staff!$AI32)</f>
        <v/>
      </c>
      <c r="S32" s="0" t="str">
        <f aca="false">IF(Staff!$A32="","",Staff!$AJ32)</f>
        <v/>
      </c>
      <c r="T32" s="0" t="str">
        <f aca="false">IF(Staff!$A32="","",Staff!$AN32)</f>
        <v/>
      </c>
      <c r="U32" s="0" t="str">
        <f aca="false">IF(Staff!$A32="","",Staff!$AO32)</f>
        <v/>
      </c>
      <c r="V32" s="0" t="str">
        <f aca="false">IF(Staff!$A32="","",Staff!$AP32)</f>
        <v/>
      </c>
      <c r="W32" s="0" t="str">
        <f aca="false">IF(Staff!$A32="","",Staff!$AQ32)</f>
        <v/>
      </c>
    </row>
    <row r="33" customFormat="false" ht="15" hidden="false" customHeight="false" outlineLevel="0" collapsed="false">
      <c r="A33" s="13" t="str">
        <f aca="false">IF(Staff!$A33="","",Staff!$A33)</f>
        <v/>
      </c>
      <c r="B33" s="13" t="str">
        <f aca="false">IF(Staff!$A33="","",Staff!$B33)</f>
        <v/>
      </c>
      <c r="C33" s="13" t="str">
        <f aca="false">IF(Staff!$A33="","",Staff!$C33)</f>
        <v/>
      </c>
      <c r="D33" s="11" t="str">
        <f aca="false">IF(Staff!$A33="","",Staff!$AF33)</f>
        <v/>
      </c>
      <c r="E33" s="13" t="str">
        <f aca="false">IF(Staff!$A33="","",Staff!$O33)</f>
        <v/>
      </c>
      <c r="F33" s="13" t="str">
        <f aca="false">IF(E33="","",E33*HoursPerDay)</f>
        <v/>
      </c>
      <c r="G33" s="26" t="str">
        <f aca="false">IF($A33="","",H33&amp;I33&amp;J33&amp;K33&amp;L33&amp;M33&amp;N33&amp;O33&amp;P33)</f>
        <v/>
      </c>
      <c r="H33" s="0" t="str">
        <f aca="false">IF(OR($A33="",$D33=""),"",IF(AND(EDATE($D33,Milestones!$AA$20)&lt;=AsOfDate,IF($Q33=0,$W33,IF(AND($S33&lt;&gt;"",EDATE($D33,Milestones!$AA$20)&gt;=$S33),$V33,IF(AND($R33&lt;&gt;"",EDATE($D33,Milestones!$AA$20)&gt;=$R33),$U33,$T33)))=Milestones!$AB$20),TEXT(EDATE($D33,Milestones!$AA$20),"dd/mm/yy")&amp;" "&amp;Milestones!$AB$20&amp;" "&amp;Milestones!$AC$20&amp;";  ","")&amp;IF(AND(EDATE($D33,Milestones!$AA$21)&lt;=AsOfDate,IF($Q33=0,$W33,IF(AND($S33&lt;&gt;"",EDATE($D33,Milestones!$AA$21)&gt;=$S33),$V33,IF(AND($R33&lt;&gt;"",EDATE($D33,Milestones!$AA$21)&gt;=$R33),$U33,$T33)))=Milestones!$AB$21),TEXT(EDATE($D33,Milestones!$AA$21),"dd/mm/yy")&amp;" "&amp;Milestones!$AB$21&amp;" "&amp;Milestones!$AC$21&amp;";  ","")&amp;IF(AND(EDATE($D33,Milestones!$AA$22)&lt;=AsOfDate,IF($Q33=0,$W33,IF(AND($S33&lt;&gt;"",EDATE($D33,Milestones!$AA$22)&gt;=$S33),$V33,IF(AND($R33&lt;&gt;"",EDATE($D33,Milestones!$AA$22)&gt;=$R33),$U33,$T33)))=Milestones!$AB$22),TEXT(EDATE($D33,Milestones!$AA$22),"dd/mm/yy")&amp;" "&amp;Milestones!$AB$22&amp;" "&amp;Milestones!$AC$22&amp;";  ","")&amp;IF(AND(EDATE($D33,Milestones!$AA$23)&lt;=AsOfDate,IF($Q33=0,$W33,IF(AND($S33&lt;&gt;"",EDATE($D33,Milestones!$AA$23)&gt;=$S33),$V33,IF(AND($R33&lt;&gt;"",EDATE($D33,Milestones!$AA$23)&gt;=$R33),$U33,$T33)))=Milestones!$AB$23),TEXT(EDATE($D33,Milestones!$AA$23),"dd/mm/yy")&amp;" "&amp;Milestones!$AB$23&amp;" "&amp;Milestones!$AC$23&amp;";  ","")&amp;IF(AND(EDATE($D33,Milestones!$AA$24)&lt;=AsOfDate,IF($Q33=0,$W33,IF(AND($S33&lt;&gt;"",EDATE($D33,Milestones!$AA$24)&gt;=$S33),$V33,IF(AND($R33&lt;&gt;"",EDATE($D33,Milestones!$AA$24)&gt;=$R33),$U33,$T33)))=Milestones!$AB$24),TEXT(EDATE($D33,Milestones!$AA$24),"dd/mm/yy")&amp;" "&amp;Milestones!$AB$24&amp;" "&amp;Milestones!$AC$24&amp;";  ","")&amp;IF(AND(EDATE($D33,Milestones!$AA$25)&lt;=AsOfDate,IF($Q33=0,$W33,IF(AND($S33&lt;&gt;"",EDATE($D33,Milestones!$AA$25)&gt;=$S33),$V33,IF(AND($R33&lt;&gt;"",EDATE($D33,Milestones!$AA$25)&gt;=$R33),$U33,$T33)))=Milestones!$AB$25),TEXT(EDATE($D33,Milestones!$AA$25),"dd/mm/yy")&amp;" "&amp;Milestones!$AB$25&amp;" "&amp;Milestones!$AC$25&amp;";  ","")&amp;IF(AND(EDATE($D33,Milestones!$AA$26)&lt;=AsOfDate,IF($Q33=0,$W33,IF(AND($S33&lt;&gt;"",EDATE($D33,Milestones!$AA$26)&gt;=$S33),$V33,IF(AND($R33&lt;&gt;"",EDATE($D33,Milestones!$AA$26)&gt;=$R33),$U33,$T33)))=Milestones!$AB$26),TEXT(EDATE($D33,Milestones!$AA$26),"dd/mm/yy")&amp;" "&amp;Milestones!$AB$26&amp;" "&amp;Milestones!$AC$26&amp;";  ","")&amp;IF(AND(EDATE($D33,Milestones!$AA$27)&lt;=AsOfDate,IF($Q33=0,$W33,IF(AND($S33&lt;&gt;"",EDATE($D33,Milestones!$AA$27)&gt;=$S33),$V33,IF(AND($R33&lt;&gt;"",EDATE($D33,Milestones!$AA$27)&gt;=$R33),$U33,$T33)))=Milestones!$AB$27),TEXT(EDATE($D33,Milestones!$AA$27),"dd/mm/yy")&amp;" "&amp;Milestones!$AB$27&amp;" "&amp;Milestones!$AC$27&amp;";  ","")&amp;IF(AND(EDATE($D33,Milestones!$AA$28)&lt;=AsOfDate,IF($Q33=0,$W33,IF(AND($S33&lt;&gt;"",EDATE($D33,Milestones!$AA$28)&gt;=$S33),$V33,IF(AND($R33&lt;&gt;"",EDATE($D33,Milestones!$AA$28)&gt;=$R33),$U33,$T33)))=Milestones!$AB$28),TEXT(EDATE($D33,Milestones!$AA$28),"dd/mm/yy")&amp;" "&amp;Milestones!$AB$28&amp;" "&amp;Milestones!$AC$28&amp;";  ","")&amp;IF(AND(EDATE($D33,Milestones!$AA$29)&lt;=AsOfDate,IF($Q33=0,$W33,IF(AND($S33&lt;&gt;"",EDATE($D33,Milestones!$AA$29)&gt;=$S33),$V33,IF(AND($R33&lt;&gt;"",EDATE($D33,Milestones!$AA$29)&gt;=$R33),$U33,$T33)))=Milestones!$AB$29),TEXT(EDATE($D33,Milestones!$AA$29),"dd/mm/yy")&amp;" "&amp;Milestones!$AB$29&amp;" "&amp;Milestones!$AC$29&amp;";  ","")&amp;IF(AND(EDATE($D33,Milestones!$AA$30)&lt;=AsOfDate,IF($Q33=0,$W33,IF(AND($S33&lt;&gt;"",EDATE($D33,Milestones!$AA$30)&gt;=$S33),$V33,IF(AND($R33&lt;&gt;"",EDATE($D33,Milestones!$AA$30)&gt;=$R33),$U33,$T33)))=Milestones!$AB$30),TEXT(EDATE($D33,Milestones!$AA$30),"dd/mm/yy")&amp;" "&amp;Milestones!$AB$30&amp;" "&amp;Milestones!$AC$30&amp;";  ","")&amp;IF(AND(EDATE($D33,Milestones!$AA$31)&lt;=AsOfDate,IF($Q33=0,$W33,IF(AND($S33&lt;&gt;"",EDATE($D33,Milestones!$AA$31)&gt;=$S33),$V33,IF(AND($R33&lt;&gt;"",EDATE($D33,Milestones!$AA$31)&gt;=$R33),$U33,$T33)))=Milestones!$AB$31),TEXT(EDATE($D33,Milestones!$AA$31),"dd/mm/yy")&amp;" "&amp;Milestones!$AB$31&amp;" "&amp;Milestones!$AC$31&amp;";  ","")&amp;IF(AND(EDATE($D33,Milestones!$AA$32)&lt;=AsOfDate,IF($Q33=0,$W33,IF(AND($S33&lt;&gt;"",EDATE($D33,Milestones!$AA$32)&gt;=$S33),$V33,IF(AND($R33&lt;&gt;"",EDATE($D33,Milestones!$AA$32)&gt;=$R33),$U33,$T33)))=Milestones!$AB$32),TEXT(EDATE($D33,Milestones!$AA$32),"dd/mm/yy")&amp;" "&amp;Milestones!$AB$32&amp;" "&amp;Milestones!$AC$32&amp;";  ","")&amp;IF(AND(EDATE($D33,Milestones!$AA$33)&lt;=AsOfDate,IF($Q33=0,$W33,IF(AND($S33&lt;&gt;"",EDATE($D33,Milestones!$AA$33)&gt;=$S33),$V33,IF(AND($R33&lt;&gt;"",EDATE($D33,Milestones!$AA$33)&gt;=$R33),$U33,$T33)))=Milestones!$AB$33),TEXT(EDATE($D33,Milestones!$AA$33),"dd/mm/yy")&amp;" "&amp;Milestones!$AB$33&amp;" "&amp;Milestones!$AC$33&amp;";  ","")&amp;IF(AND(EDATE($D33,Milestones!$AA$34)&lt;=AsOfDate,IF($Q33=0,$W33,IF(AND($S33&lt;&gt;"",EDATE($D33,Milestones!$AA$34)&gt;=$S33),$V33,IF(AND($R33&lt;&gt;"",EDATE($D33,Milestones!$AA$34)&gt;=$R33),$U33,$T33)))=Milestones!$AB$34),TEXT(EDATE($D33,Milestones!$AA$34),"dd/mm/yy")&amp;" "&amp;Milestones!$AB$34&amp;" "&amp;Milestones!$AC$34&amp;";  ","")&amp;IF(AND(EDATE($D33,Milestones!$AA$35)&lt;=AsOfDate,IF($Q33=0,$W33,IF(AND($S33&lt;&gt;"",EDATE($D33,Milestones!$AA$35)&gt;=$S33),$V33,IF(AND($R33&lt;&gt;"",EDATE($D33,Milestones!$AA$35)&gt;=$R33),$U33,$T33)))=Milestones!$AB$35),TEXT(EDATE($D33,Milestones!$AA$35),"dd/mm/yy")&amp;" "&amp;Milestones!$AB$35&amp;" "&amp;Milestones!$AC$35&amp;";  ","")&amp;IF(AND(EDATE($D33,Milestones!$AA$36)&lt;=AsOfDate,IF($Q33=0,$W33,IF(AND($S33&lt;&gt;"",EDATE($D33,Milestones!$AA$36)&gt;=$S33),$V33,IF(AND($R33&lt;&gt;"",EDATE($D33,Milestones!$AA$36)&gt;=$R33),$U33,$T33)))=Milestones!$AB$36),TEXT(EDATE($D33,Milestones!$AA$36),"dd/mm/yy")&amp;" "&amp;Milestones!$AB$36&amp;" "&amp;Milestones!$AC$36&amp;";  ","")&amp;IF(AND(EDATE($D33,Milestones!$AA$37)&lt;=AsOfDate,IF($Q33=0,$W33,IF(AND($S33&lt;&gt;"",EDATE($D33,Milestones!$AA$37)&gt;=$S33),$V33,IF(AND($R33&lt;&gt;"",EDATE($D33,Milestones!$AA$37)&gt;=$R33),$U33,$T33)))=Milestones!$AB$37),TEXT(EDATE($D33,Milestones!$AA$37),"dd/mm/yy")&amp;" "&amp;Milestones!$AB$37&amp;" "&amp;Milestones!$AC$37&amp;";  ","")&amp;IF(AND(EDATE($D33,Milestones!$AA$38)&lt;=AsOfDate,IF($Q33=0,$W33,IF(AND($S33&lt;&gt;"",EDATE($D33,Milestones!$AA$38)&gt;=$S33),$V33,IF(AND($R33&lt;&gt;"",EDATE($D33,Milestones!$AA$38)&gt;=$R33),$U33,$T33)))=Milestones!$AB$38),TEXT(EDATE($D33,Milestones!$AA$38),"dd/mm/yy")&amp;" "&amp;Milestones!$AB$38&amp;" "&amp;Milestones!$AC$38&amp;";  ","")&amp;IF(AND(EDATE($D33,Milestones!$AA$39)&lt;=AsOfDate,IF($Q33=0,$W33,IF(AND($S33&lt;&gt;"",EDATE($D33,Milestones!$AA$39)&gt;=$S33),$V33,IF(AND($R33&lt;&gt;"",EDATE($D33,Milestones!$AA$39)&gt;=$R33),$U33,$T33)))=Milestones!$AB$39),TEXT(EDATE($D33,Milestones!$AA$39),"dd/mm/yy")&amp;" "&amp;Milestones!$AB$39&amp;" "&amp;Milestones!$AC$39&amp;";  ",""))</f>
        <v/>
      </c>
      <c r="I33" s="0" t="str">
        <f aca="false">IF(OR($A33="",$D33=""),"",IF(AND(EDATE($D33,Milestones!$AA$40)&lt;=AsOfDate,IF($Q33=0,$W33,IF(AND($S33&lt;&gt;"",EDATE($D33,Milestones!$AA$40)&gt;=$S33),$V33,IF(AND($R33&lt;&gt;"",EDATE($D33,Milestones!$AA$40)&gt;=$R33),$U33,$T33)))=Milestones!$AB$40),TEXT(EDATE($D33,Milestones!$AA$40),"dd/mm/yy")&amp;" "&amp;Milestones!$AB$40&amp;" "&amp;Milestones!$AC$40&amp;";  ","")&amp;IF(AND(EDATE($D33,Milestones!$AA$41)&lt;=AsOfDate,IF($Q33=0,$W33,IF(AND($S33&lt;&gt;"",EDATE($D33,Milestones!$AA$41)&gt;=$S33),$V33,IF(AND($R33&lt;&gt;"",EDATE($D33,Milestones!$AA$41)&gt;=$R33),$U33,$T33)))=Milestones!$AB$41),TEXT(EDATE($D33,Milestones!$AA$41),"dd/mm/yy")&amp;" "&amp;Milestones!$AB$41&amp;" "&amp;Milestones!$AC$41&amp;";  ","")&amp;IF(AND(EDATE($D33,Milestones!$AA$42)&lt;=AsOfDate,IF($Q33=0,$W33,IF(AND($S33&lt;&gt;"",EDATE($D33,Milestones!$AA$42)&gt;=$S33),$V33,IF(AND($R33&lt;&gt;"",EDATE($D33,Milestones!$AA$42)&gt;=$R33),$U33,$T33)))=Milestones!$AB$42),TEXT(EDATE($D33,Milestones!$AA$42),"dd/mm/yy")&amp;" "&amp;Milestones!$AB$42&amp;" "&amp;Milestones!$AC$42&amp;";  ","")&amp;IF(AND(EDATE($D33,Milestones!$AA$43)&lt;=AsOfDate,IF($Q33=0,$W33,IF(AND($S33&lt;&gt;"",EDATE($D33,Milestones!$AA$43)&gt;=$S33),$V33,IF(AND($R33&lt;&gt;"",EDATE($D33,Milestones!$AA$43)&gt;=$R33),$U33,$T33)))=Milestones!$AB$43),TEXT(EDATE($D33,Milestones!$AA$43),"dd/mm/yy")&amp;" "&amp;Milestones!$AB$43&amp;" "&amp;Milestones!$AC$43&amp;";  ","")&amp;IF(AND(EDATE($D33,Milestones!$AA$44)&lt;=AsOfDate,IF($Q33=0,$W33,IF(AND($S33&lt;&gt;"",EDATE($D33,Milestones!$AA$44)&gt;=$S33),$V33,IF(AND($R33&lt;&gt;"",EDATE($D33,Milestones!$AA$44)&gt;=$R33),$U33,$T33)))=Milestones!$AB$44),TEXT(EDATE($D33,Milestones!$AA$44),"dd/mm/yy")&amp;" "&amp;Milestones!$AB$44&amp;" "&amp;Milestones!$AC$44&amp;";  ","")&amp;IF(AND(EDATE($D33,Milestones!$AA$45)&lt;=AsOfDate,IF($Q33=0,$W33,IF(AND($S33&lt;&gt;"",EDATE($D33,Milestones!$AA$45)&gt;=$S33),$V33,IF(AND($R33&lt;&gt;"",EDATE($D33,Milestones!$AA$45)&gt;=$R33),$U33,$T33)))=Milestones!$AB$45),TEXT(EDATE($D33,Milestones!$AA$45),"dd/mm/yy")&amp;" "&amp;Milestones!$AB$45&amp;" "&amp;Milestones!$AC$45&amp;";  ","")&amp;IF(AND(EDATE($D33,Milestones!$AA$46)&lt;=AsOfDate,IF($Q33=0,$W33,IF(AND($S33&lt;&gt;"",EDATE($D33,Milestones!$AA$46)&gt;=$S33),$V33,IF(AND($R33&lt;&gt;"",EDATE($D33,Milestones!$AA$46)&gt;=$R33),$U33,$T33)))=Milestones!$AB$46),TEXT(EDATE($D33,Milestones!$AA$46),"dd/mm/yy")&amp;" "&amp;Milestones!$AB$46&amp;" "&amp;Milestones!$AC$46&amp;";  ","")&amp;IF(AND(EDATE($D33,Milestones!$AA$47)&lt;=AsOfDate,IF($Q33=0,$W33,IF(AND($S33&lt;&gt;"",EDATE($D33,Milestones!$AA$47)&gt;=$S33),$V33,IF(AND($R33&lt;&gt;"",EDATE($D33,Milestones!$AA$47)&gt;=$R33),$U33,$T33)))=Milestones!$AB$47),TEXT(EDATE($D33,Milestones!$AA$47),"dd/mm/yy")&amp;" "&amp;Milestones!$AB$47&amp;" "&amp;Milestones!$AC$47&amp;";  ","")&amp;IF(AND(EDATE($D33,Milestones!$AA$48)&lt;=AsOfDate,IF($Q33=0,$W33,IF(AND($S33&lt;&gt;"",EDATE($D33,Milestones!$AA$48)&gt;=$S33),$V33,IF(AND($R33&lt;&gt;"",EDATE($D33,Milestones!$AA$48)&gt;=$R33),$U33,$T33)))=Milestones!$AB$48),TEXT(EDATE($D33,Milestones!$AA$48),"dd/mm/yy")&amp;" "&amp;Milestones!$AB$48&amp;" "&amp;Milestones!$AC$48&amp;";  ","")&amp;IF(AND(EDATE($D33,Milestones!$AA$49)&lt;=AsOfDate,IF($Q33=0,$W33,IF(AND($S33&lt;&gt;"",EDATE($D33,Milestones!$AA$49)&gt;=$S33),$V33,IF(AND($R33&lt;&gt;"",EDATE($D33,Milestones!$AA$49)&gt;=$R33),$U33,$T33)))=Milestones!$AB$49),TEXT(EDATE($D33,Milestones!$AA$49),"dd/mm/yy")&amp;" "&amp;Milestones!$AB$49&amp;" "&amp;Milestones!$AC$49&amp;";  ","")&amp;IF(AND(EDATE($D33,Milestones!$AA$50)&lt;=AsOfDate,IF($Q33=0,$W33,IF(AND($S33&lt;&gt;"",EDATE($D33,Milestones!$AA$50)&gt;=$S33),$V33,IF(AND($R33&lt;&gt;"",EDATE($D33,Milestones!$AA$50)&gt;=$R33),$U33,$T33)))=Milestones!$AB$50),TEXT(EDATE($D33,Milestones!$AA$50),"dd/mm/yy")&amp;" "&amp;Milestones!$AB$50&amp;" "&amp;Milestones!$AC$50&amp;";  ","")&amp;IF(AND(EDATE($D33,Milestones!$AA$51)&lt;=AsOfDate,IF($Q33=0,$W33,IF(AND($S33&lt;&gt;"",EDATE($D33,Milestones!$AA$51)&gt;=$S33),$V33,IF(AND($R33&lt;&gt;"",EDATE($D33,Milestones!$AA$51)&gt;=$R33),$U33,$T33)))=Milestones!$AB$51),TEXT(EDATE($D33,Milestones!$AA$51),"dd/mm/yy")&amp;" "&amp;Milestones!$AB$51&amp;" "&amp;Milestones!$AC$51&amp;";  ","")&amp;IF(AND(EDATE($D33,Milestones!$AA$52)&lt;=AsOfDate,IF($Q33=0,$W33,IF(AND($S33&lt;&gt;"",EDATE($D33,Milestones!$AA$52)&gt;=$S33),$V33,IF(AND($R33&lt;&gt;"",EDATE($D33,Milestones!$AA$52)&gt;=$R33),$U33,$T33)))=Milestones!$AB$52),TEXT(EDATE($D33,Milestones!$AA$52),"dd/mm/yy")&amp;" "&amp;Milestones!$AB$52&amp;" "&amp;Milestones!$AC$52&amp;";  ","")&amp;IF(AND(EDATE($D33,Milestones!$AA$53)&lt;=AsOfDate,IF($Q33=0,$W33,IF(AND($S33&lt;&gt;"",EDATE($D33,Milestones!$AA$53)&gt;=$S33),$V33,IF(AND($R33&lt;&gt;"",EDATE($D33,Milestones!$AA$53)&gt;=$R33),$U33,$T33)))=Milestones!$AB$53),TEXT(EDATE($D33,Milestones!$AA$53),"dd/mm/yy")&amp;" "&amp;Milestones!$AB$53&amp;" "&amp;Milestones!$AC$53&amp;";  ","")&amp;IF(AND(EDATE($D33,Milestones!$AA$54)&lt;=AsOfDate,IF($Q33=0,$W33,IF(AND($S33&lt;&gt;"",EDATE($D33,Milestones!$AA$54)&gt;=$S33),$V33,IF(AND($R33&lt;&gt;"",EDATE($D33,Milestones!$AA$54)&gt;=$R33),$U33,$T33)))=Milestones!$AB$54),TEXT(EDATE($D33,Milestones!$AA$54),"dd/mm/yy")&amp;" "&amp;Milestones!$AB$54&amp;" "&amp;Milestones!$AC$54&amp;";  ","")&amp;IF(AND(EDATE($D33,Milestones!$AA$55)&lt;=AsOfDate,IF($Q33=0,$W33,IF(AND($S33&lt;&gt;"",EDATE($D33,Milestones!$AA$55)&gt;=$S33),$V33,IF(AND($R33&lt;&gt;"",EDATE($D33,Milestones!$AA$55)&gt;=$R33),$U33,$T33)))=Milestones!$AB$55),TEXT(EDATE($D33,Milestones!$AA$55),"dd/mm/yy")&amp;" "&amp;Milestones!$AB$55&amp;" "&amp;Milestones!$AC$55&amp;";  ","")&amp;IF(AND(EDATE($D33,Milestones!$AA$56)&lt;=AsOfDate,IF($Q33=0,$W33,IF(AND($S33&lt;&gt;"",EDATE($D33,Milestones!$AA$56)&gt;=$S33),$V33,IF(AND($R33&lt;&gt;"",EDATE($D33,Milestones!$AA$56)&gt;=$R33),$U33,$T33)))=Milestones!$AB$56),TEXT(EDATE($D33,Milestones!$AA$56),"dd/mm/yy")&amp;" "&amp;Milestones!$AB$56&amp;" "&amp;Milestones!$AC$56&amp;";  ","")&amp;IF(AND(EDATE($D33,Milestones!$AA$57)&lt;=AsOfDate,IF($Q33=0,$W33,IF(AND($S33&lt;&gt;"",EDATE($D33,Milestones!$AA$57)&gt;=$S33),$V33,IF(AND($R33&lt;&gt;"",EDATE($D33,Milestones!$AA$57)&gt;=$R33),$U33,$T33)))=Milestones!$AB$57),TEXT(EDATE($D33,Milestones!$AA$57),"dd/mm/yy")&amp;" "&amp;Milestones!$AB$57&amp;" "&amp;Milestones!$AC$57&amp;";  ","")&amp;IF(AND(EDATE($D33,Milestones!$AA$58)&lt;=AsOfDate,IF($Q33=0,$W33,IF(AND($S33&lt;&gt;"",EDATE($D33,Milestones!$AA$58)&gt;=$S33),$V33,IF(AND($R33&lt;&gt;"",EDATE($D33,Milestones!$AA$58)&gt;=$R33),$U33,$T33)))=Milestones!$AB$58),TEXT(EDATE($D33,Milestones!$AA$58),"dd/mm/yy")&amp;" "&amp;Milestones!$AB$58&amp;" "&amp;Milestones!$AC$58&amp;";  ","")&amp;IF(AND(EDATE($D33,Milestones!$AA$59)&lt;=AsOfDate,IF($Q33=0,$W33,IF(AND($S33&lt;&gt;"",EDATE($D33,Milestones!$AA$59)&gt;=$S33),$V33,IF(AND($R33&lt;&gt;"",EDATE($D33,Milestones!$AA$59)&gt;=$R33),$U33,$T33)))=Milestones!$AB$59),TEXT(EDATE($D33,Milestones!$AA$59),"dd/mm/yy")&amp;" "&amp;Milestones!$AB$59&amp;" "&amp;Milestones!$AC$59&amp;";  ",""))</f>
        <v/>
      </c>
      <c r="J33" s="0" t="str">
        <f aca="false">IF(OR($A33="",$D33=""),"",IF(AND(EDATE($D33,Milestones!$AA$60)&lt;=AsOfDate,IF($Q33=0,$W33,IF(AND($S33&lt;&gt;"",EDATE($D33,Milestones!$AA$60)&gt;=$S33),$V33,IF(AND($R33&lt;&gt;"",EDATE($D33,Milestones!$AA$60)&gt;=$R33),$U33,$T33)))=Milestones!$AB$60),TEXT(EDATE($D33,Milestones!$AA$60),"dd/mm/yy")&amp;" "&amp;Milestones!$AB$60&amp;" "&amp;Milestones!$AC$60&amp;";  ","")&amp;IF(AND(EDATE($D33,Milestones!$AA$61)&lt;=AsOfDate,IF($Q33=0,$W33,IF(AND($S33&lt;&gt;"",EDATE($D33,Milestones!$AA$61)&gt;=$S33),$V33,IF(AND($R33&lt;&gt;"",EDATE($D33,Milestones!$AA$61)&gt;=$R33),$U33,$T33)))=Milestones!$AB$61),TEXT(EDATE($D33,Milestones!$AA$61),"dd/mm/yy")&amp;" "&amp;Milestones!$AB$61&amp;" "&amp;Milestones!$AC$61&amp;";  ","")&amp;IF(AND(EDATE($D33,Milestones!$AA$62)&lt;=AsOfDate,IF($Q33=0,$W33,IF(AND($S33&lt;&gt;"",EDATE($D33,Milestones!$AA$62)&gt;=$S33),$V33,IF(AND($R33&lt;&gt;"",EDATE($D33,Milestones!$AA$62)&gt;=$R33),$U33,$T33)))=Milestones!$AB$62),TEXT(EDATE($D33,Milestones!$AA$62),"dd/mm/yy")&amp;" "&amp;Milestones!$AB$62&amp;" "&amp;Milestones!$AC$62&amp;";  ","")&amp;IF(AND(EDATE($D33,Milestones!$AA$63)&lt;=AsOfDate,IF($Q33=0,$W33,IF(AND($S33&lt;&gt;"",EDATE($D33,Milestones!$AA$63)&gt;=$S33),$V33,IF(AND($R33&lt;&gt;"",EDATE($D33,Milestones!$AA$63)&gt;=$R33),$U33,$T33)))=Milestones!$AB$63),TEXT(EDATE($D33,Milestones!$AA$63),"dd/mm/yy")&amp;" "&amp;Milestones!$AB$63&amp;" "&amp;Milestones!$AC$63&amp;";  ","")&amp;IF(AND(EDATE($D33,Milestones!$AA$64)&lt;=AsOfDate,IF($Q33=0,$W33,IF(AND($S33&lt;&gt;"",EDATE($D33,Milestones!$AA$64)&gt;=$S33),$V33,IF(AND($R33&lt;&gt;"",EDATE($D33,Milestones!$AA$64)&gt;=$R33),$U33,$T33)))=Milestones!$AB$64),TEXT(EDATE($D33,Milestones!$AA$64),"dd/mm/yy")&amp;" "&amp;Milestones!$AB$64&amp;" "&amp;Milestones!$AC$64&amp;";  ","")&amp;IF(AND(EDATE($D33,Milestones!$AA$65)&lt;=AsOfDate,IF($Q33=0,$W33,IF(AND($S33&lt;&gt;"",EDATE($D33,Milestones!$AA$65)&gt;=$S33),$V33,IF(AND($R33&lt;&gt;"",EDATE($D33,Milestones!$AA$65)&gt;=$R33),$U33,$T33)))=Milestones!$AB$65),TEXT(EDATE($D33,Milestones!$AA$65),"dd/mm/yy")&amp;" "&amp;Milestones!$AB$65&amp;" "&amp;Milestones!$AC$65&amp;";  ","")&amp;IF(AND(EDATE($D33,Milestones!$AA$66)&lt;=AsOfDate,IF($Q33=0,$W33,IF(AND($S33&lt;&gt;"",EDATE($D33,Milestones!$AA$66)&gt;=$S33),$V33,IF(AND($R33&lt;&gt;"",EDATE($D33,Milestones!$AA$66)&gt;=$R33),$U33,$T33)))=Milestones!$AB$66),TEXT(EDATE($D33,Milestones!$AA$66),"dd/mm/yy")&amp;" "&amp;Milestones!$AB$66&amp;" "&amp;Milestones!$AC$66&amp;";  ","")&amp;IF(AND(EDATE($D33,Milestones!$AA$67)&lt;=AsOfDate,IF($Q33=0,$W33,IF(AND($S33&lt;&gt;"",EDATE($D33,Milestones!$AA$67)&gt;=$S33),$V33,IF(AND($R33&lt;&gt;"",EDATE($D33,Milestones!$AA$67)&gt;=$R33),$U33,$T33)))=Milestones!$AB$67),TEXT(EDATE($D33,Milestones!$AA$67),"dd/mm/yy")&amp;" "&amp;Milestones!$AB$67&amp;" "&amp;Milestones!$AC$67&amp;";  ","")&amp;IF(AND(EDATE($D33,Milestones!$AA$68)&lt;=AsOfDate,IF($Q33=0,$W33,IF(AND($S33&lt;&gt;"",EDATE($D33,Milestones!$AA$68)&gt;=$S33),$V33,IF(AND($R33&lt;&gt;"",EDATE($D33,Milestones!$AA$68)&gt;=$R33),$U33,$T33)))=Milestones!$AB$68),TEXT(EDATE($D33,Milestones!$AA$68),"dd/mm/yy")&amp;" "&amp;Milestones!$AB$68&amp;" "&amp;Milestones!$AC$68&amp;";  ","")&amp;IF(AND(EDATE($D33,Milestones!$AA$69)&lt;=AsOfDate,IF($Q33=0,$W33,IF(AND($S33&lt;&gt;"",EDATE($D33,Milestones!$AA$69)&gt;=$S33),$V33,IF(AND($R33&lt;&gt;"",EDATE($D33,Milestones!$AA$69)&gt;=$R33),$U33,$T33)))=Milestones!$AB$69),TEXT(EDATE($D33,Milestones!$AA$69),"dd/mm/yy")&amp;" "&amp;Milestones!$AB$69&amp;" "&amp;Milestones!$AC$69&amp;";  ","")&amp;IF(AND(EDATE($D33,Milestones!$AA$70)&lt;=AsOfDate,IF($Q33=0,$W33,IF(AND($S33&lt;&gt;"",EDATE($D33,Milestones!$AA$70)&gt;=$S33),$V33,IF(AND($R33&lt;&gt;"",EDATE($D33,Milestones!$AA$70)&gt;=$R33),$U33,$T33)))=Milestones!$AB$70),TEXT(EDATE($D33,Milestones!$AA$70),"dd/mm/yy")&amp;" "&amp;Milestones!$AB$70&amp;" "&amp;Milestones!$AC$70&amp;";  ","")&amp;IF(AND(EDATE($D33,Milestones!$AA$71)&lt;=AsOfDate,IF($Q33=0,$W33,IF(AND($S33&lt;&gt;"",EDATE($D33,Milestones!$AA$71)&gt;=$S33),$V33,IF(AND($R33&lt;&gt;"",EDATE($D33,Milestones!$AA$71)&gt;=$R33),$U33,$T33)))=Milestones!$AB$71),TEXT(EDATE($D33,Milestones!$AA$71),"dd/mm/yy")&amp;" "&amp;Milestones!$AB$71&amp;" "&amp;Milestones!$AC$71&amp;";  ","")&amp;IF(AND(EDATE($D33,Milestones!$AA$72)&lt;=AsOfDate,IF($Q33=0,$W33,IF(AND($S33&lt;&gt;"",EDATE($D33,Milestones!$AA$72)&gt;=$S33),$V33,IF(AND($R33&lt;&gt;"",EDATE($D33,Milestones!$AA$72)&gt;=$R33),$U33,$T33)))=Milestones!$AB$72),TEXT(EDATE($D33,Milestones!$AA$72),"dd/mm/yy")&amp;" "&amp;Milestones!$AB$72&amp;" "&amp;Milestones!$AC$72&amp;";  ","")&amp;IF(AND(EDATE($D33,Milestones!$AA$73)&lt;=AsOfDate,IF($Q33=0,$W33,IF(AND($S33&lt;&gt;"",EDATE($D33,Milestones!$AA$73)&gt;=$S33),$V33,IF(AND($R33&lt;&gt;"",EDATE($D33,Milestones!$AA$73)&gt;=$R33),$U33,$T33)))=Milestones!$AB$73),TEXT(EDATE($D33,Milestones!$AA$73),"dd/mm/yy")&amp;" "&amp;Milestones!$AB$73&amp;" "&amp;Milestones!$AC$73&amp;";  ","")&amp;IF(AND(EDATE($D33,Milestones!$AA$74)&lt;=AsOfDate,IF($Q33=0,$W33,IF(AND($S33&lt;&gt;"",EDATE($D33,Milestones!$AA$74)&gt;=$S33),$V33,IF(AND($R33&lt;&gt;"",EDATE($D33,Milestones!$AA$74)&gt;=$R33),$U33,$T33)))=Milestones!$AB$74),TEXT(EDATE($D33,Milestones!$AA$74),"dd/mm/yy")&amp;" "&amp;Milestones!$AB$74&amp;" "&amp;Milestones!$AC$74&amp;";  ","")&amp;IF(AND(EDATE($D33,Milestones!$AA$75)&lt;=AsOfDate,IF($Q33=0,$W33,IF(AND($S33&lt;&gt;"",EDATE($D33,Milestones!$AA$75)&gt;=$S33),$V33,IF(AND($R33&lt;&gt;"",EDATE($D33,Milestones!$AA$75)&gt;=$R33),$U33,$T33)))=Milestones!$AB$75),TEXT(EDATE($D33,Milestones!$AA$75),"dd/mm/yy")&amp;" "&amp;Milestones!$AB$75&amp;" "&amp;Milestones!$AC$75&amp;";  ","")&amp;IF(AND(EDATE($D33,Milestones!$AA$76)&lt;=AsOfDate,IF($Q33=0,$W33,IF(AND($S33&lt;&gt;"",EDATE($D33,Milestones!$AA$76)&gt;=$S33),$V33,IF(AND($R33&lt;&gt;"",EDATE($D33,Milestones!$AA$76)&gt;=$R33),$U33,$T33)))=Milestones!$AB$76),TEXT(EDATE($D33,Milestones!$AA$76),"dd/mm/yy")&amp;" "&amp;Milestones!$AB$76&amp;" "&amp;Milestones!$AC$76&amp;";  ","")&amp;IF(AND(EDATE($D33,Milestones!$AA$77)&lt;=AsOfDate,IF($Q33=0,$W33,IF(AND($S33&lt;&gt;"",EDATE($D33,Milestones!$AA$77)&gt;=$S33),$V33,IF(AND($R33&lt;&gt;"",EDATE($D33,Milestones!$AA$77)&gt;=$R33),$U33,$T33)))=Milestones!$AB$77),TEXT(EDATE($D33,Milestones!$AA$77),"dd/mm/yy")&amp;" "&amp;Milestones!$AB$77&amp;" "&amp;Milestones!$AC$77&amp;";  ","")&amp;IF(AND(EDATE($D33,Milestones!$AA$78)&lt;=AsOfDate,IF($Q33=0,$W33,IF(AND($S33&lt;&gt;"",EDATE($D33,Milestones!$AA$78)&gt;=$S33),$V33,IF(AND($R33&lt;&gt;"",EDATE($D33,Milestones!$AA$78)&gt;=$R33),$U33,$T33)))=Milestones!$AB$78),TEXT(EDATE($D33,Milestones!$AA$78),"dd/mm/yy")&amp;" "&amp;Milestones!$AB$78&amp;" "&amp;Milestones!$AC$78&amp;";  ","")&amp;IF(AND(EDATE($D33,Milestones!$AA$79)&lt;=AsOfDate,IF($Q33=0,$W33,IF(AND($S33&lt;&gt;"",EDATE($D33,Milestones!$AA$79)&gt;=$S33),$V33,IF(AND($R33&lt;&gt;"",EDATE($D33,Milestones!$AA$79)&gt;=$R33),$U33,$T33)))=Milestones!$AB$79),TEXT(EDATE($D33,Milestones!$AA$79),"dd/mm/yy")&amp;" "&amp;Milestones!$AB$79&amp;" "&amp;Milestones!$AC$79&amp;";  ",""))</f>
        <v/>
      </c>
      <c r="K33" s="0" t="str">
        <f aca="false">IF(OR($A33="",$D33=""),"",IF(AND(EDATE($D33,Milestones!$AA$80)&lt;=AsOfDate,IF($Q33=0,$W33,IF(AND($S33&lt;&gt;"",EDATE($D33,Milestones!$AA$80)&gt;=$S33),$V33,IF(AND($R33&lt;&gt;"",EDATE($D33,Milestones!$AA$80)&gt;=$R33),$U33,$T33)))=Milestones!$AB$80),TEXT(EDATE($D33,Milestones!$AA$80),"dd/mm/yy")&amp;" "&amp;Milestones!$AB$80&amp;" "&amp;Milestones!$AC$80&amp;";  ","")&amp;IF(AND(EDATE($D33,Milestones!$AA$81)&lt;=AsOfDate,IF($Q33=0,$W33,IF(AND($S33&lt;&gt;"",EDATE($D33,Milestones!$AA$81)&gt;=$S33),$V33,IF(AND($R33&lt;&gt;"",EDATE($D33,Milestones!$AA$81)&gt;=$R33),$U33,$T33)))=Milestones!$AB$81),TEXT(EDATE($D33,Milestones!$AA$81),"dd/mm/yy")&amp;" "&amp;Milestones!$AB$81&amp;" "&amp;Milestones!$AC$81&amp;";  ","")&amp;IF(AND(EDATE($D33,Milestones!$AA$82)&lt;=AsOfDate,IF($Q33=0,$W33,IF(AND($S33&lt;&gt;"",EDATE($D33,Milestones!$AA$82)&gt;=$S33),$V33,IF(AND($R33&lt;&gt;"",EDATE($D33,Milestones!$AA$82)&gt;=$R33),$U33,$T33)))=Milestones!$AB$82),TEXT(EDATE($D33,Milestones!$AA$82),"dd/mm/yy")&amp;" "&amp;Milestones!$AB$82&amp;" "&amp;Milestones!$AC$82&amp;";  ","")&amp;IF(AND(EDATE($D33,Milestones!$AA$83)&lt;=AsOfDate,IF($Q33=0,$W33,IF(AND($S33&lt;&gt;"",EDATE($D33,Milestones!$AA$83)&gt;=$S33),$V33,IF(AND($R33&lt;&gt;"",EDATE($D33,Milestones!$AA$83)&gt;=$R33),$U33,$T33)))=Milestones!$AB$83),TEXT(EDATE($D33,Milestones!$AA$83),"dd/mm/yy")&amp;" "&amp;Milestones!$AB$83&amp;" "&amp;Milestones!$AC$83&amp;";  ","")&amp;IF(AND(EDATE($D33,Milestones!$AA$84)&lt;=AsOfDate,IF($Q33=0,$W33,IF(AND($S33&lt;&gt;"",EDATE($D33,Milestones!$AA$84)&gt;=$S33),$V33,IF(AND($R33&lt;&gt;"",EDATE($D33,Milestones!$AA$84)&gt;=$R33),$U33,$T33)))=Milestones!$AB$84),TEXT(EDATE($D33,Milestones!$AA$84),"dd/mm/yy")&amp;" "&amp;Milestones!$AB$84&amp;" "&amp;Milestones!$AC$84&amp;";  ","")&amp;IF(AND(EDATE($D33,Milestones!$AA$85)&lt;=AsOfDate,IF($Q33=0,$W33,IF(AND($S33&lt;&gt;"",EDATE($D33,Milestones!$AA$85)&gt;=$S33),$V33,IF(AND($R33&lt;&gt;"",EDATE($D33,Milestones!$AA$85)&gt;=$R33),$U33,$T33)))=Milestones!$AB$85),TEXT(EDATE($D33,Milestones!$AA$85),"dd/mm/yy")&amp;" "&amp;Milestones!$AB$85&amp;" "&amp;Milestones!$AC$85&amp;";  ","")&amp;IF(AND(EDATE($D33,Milestones!$AA$86)&lt;=AsOfDate,IF($Q33=0,$W33,IF(AND($S33&lt;&gt;"",EDATE($D33,Milestones!$AA$86)&gt;=$S33),$V33,IF(AND($R33&lt;&gt;"",EDATE($D33,Milestones!$AA$86)&gt;=$R33),$U33,$T33)))=Milestones!$AB$86),TEXT(EDATE($D33,Milestones!$AA$86),"dd/mm/yy")&amp;" "&amp;Milestones!$AB$86&amp;" "&amp;Milestones!$AC$86&amp;";  ","")&amp;IF(AND(EDATE($D33,Milestones!$AA$87)&lt;=AsOfDate,IF($Q33=0,$W33,IF(AND($S33&lt;&gt;"",EDATE($D33,Milestones!$AA$87)&gt;=$S33),$V33,IF(AND($R33&lt;&gt;"",EDATE($D33,Milestones!$AA$87)&gt;=$R33),$U33,$T33)))=Milestones!$AB$87),TEXT(EDATE($D33,Milestones!$AA$87),"dd/mm/yy")&amp;" "&amp;Milestones!$AB$87&amp;" "&amp;Milestones!$AC$87&amp;";  ","")&amp;IF(AND(EDATE($D33,Milestones!$AA$88)&lt;=AsOfDate,IF($Q33=0,$W33,IF(AND($S33&lt;&gt;"",EDATE($D33,Milestones!$AA$88)&gt;=$S33),$V33,IF(AND($R33&lt;&gt;"",EDATE($D33,Milestones!$AA$88)&gt;=$R33),$U33,$T33)))=Milestones!$AB$88),TEXT(EDATE($D33,Milestones!$AA$88),"dd/mm/yy")&amp;" "&amp;Milestones!$AB$88&amp;" "&amp;Milestones!$AC$88&amp;";  ","")&amp;IF(AND(EDATE($D33,Milestones!$AA$89)&lt;=AsOfDate,IF($Q33=0,$W33,IF(AND($S33&lt;&gt;"",EDATE($D33,Milestones!$AA$89)&gt;=$S33),$V33,IF(AND($R33&lt;&gt;"",EDATE($D33,Milestones!$AA$89)&gt;=$R33),$U33,$T33)))=Milestones!$AB$89),TEXT(EDATE($D33,Milestones!$AA$89),"dd/mm/yy")&amp;" "&amp;Milestones!$AB$89&amp;" "&amp;Milestones!$AC$89&amp;";  ","")&amp;IF(AND(EDATE($D33,Milestones!$AA$90)&lt;=AsOfDate,IF($Q33=0,$W33,IF(AND($S33&lt;&gt;"",EDATE($D33,Milestones!$AA$90)&gt;=$S33),$V33,IF(AND($R33&lt;&gt;"",EDATE($D33,Milestones!$AA$90)&gt;=$R33),$U33,$T33)))=Milestones!$AB$90),TEXT(EDATE($D33,Milestones!$AA$90),"dd/mm/yy")&amp;" "&amp;Milestones!$AB$90&amp;" "&amp;Milestones!$AC$90&amp;";  ","")&amp;IF(AND(EDATE($D33,Milestones!$AA$91)&lt;=AsOfDate,IF($Q33=0,$W33,IF(AND($S33&lt;&gt;"",EDATE($D33,Milestones!$AA$91)&gt;=$S33),$V33,IF(AND($R33&lt;&gt;"",EDATE($D33,Milestones!$AA$91)&gt;=$R33),$U33,$T33)))=Milestones!$AB$91),TEXT(EDATE($D33,Milestones!$AA$91),"dd/mm/yy")&amp;" "&amp;Milestones!$AB$91&amp;" "&amp;Milestones!$AC$91&amp;";  ","")&amp;IF(AND(EDATE($D33,Milestones!$AA$92)&lt;=AsOfDate,IF($Q33=0,$W33,IF(AND($S33&lt;&gt;"",EDATE($D33,Milestones!$AA$92)&gt;=$S33),$V33,IF(AND($R33&lt;&gt;"",EDATE($D33,Milestones!$AA$92)&gt;=$R33),$U33,$T33)))=Milestones!$AB$92),TEXT(EDATE($D33,Milestones!$AA$92),"dd/mm/yy")&amp;" "&amp;Milestones!$AB$92&amp;" "&amp;Milestones!$AC$92&amp;";  ","")&amp;IF(AND(EDATE($D33,Milestones!$AA$93)&lt;=AsOfDate,IF($Q33=0,$W33,IF(AND($S33&lt;&gt;"",EDATE($D33,Milestones!$AA$93)&gt;=$S33),$V33,IF(AND($R33&lt;&gt;"",EDATE($D33,Milestones!$AA$93)&gt;=$R33),$U33,$T33)))=Milestones!$AB$93),TEXT(EDATE($D33,Milestones!$AA$93),"dd/mm/yy")&amp;" "&amp;Milestones!$AB$93&amp;" "&amp;Milestones!$AC$93&amp;";  ","")&amp;IF(AND(EDATE($D33,Milestones!$AA$94)&lt;=AsOfDate,IF($Q33=0,$W33,IF(AND($S33&lt;&gt;"",EDATE($D33,Milestones!$AA$94)&gt;=$S33),$V33,IF(AND($R33&lt;&gt;"",EDATE($D33,Milestones!$AA$94)&gt;=$R33),$U33,$T33)))=Milestones!$AB$94),TEXT(EDATE($D33,Milestones!$AA$94),"dd/mm/yy")&amp;" "&amp;Milestones!$AB$94&amp;" "&amp;Milestones!$AC$94&amp;";  ","")&amp;IF(AND(EDATE($D33,Milestones!$AA$95)&lt;=AsOfDate,IF($Q33=0,$W33,IF(AND($S33&lt;&gt;"",EDATE($D33,Milestones!$AA$95)&gt;=$S33),$V33,IF(AND($R33&lt;&gt;"",EDATE($D33,Milestones!$AA$95)&gt;=$R33),$U33,$T33)))=Milestones!$AB$95),TEXT(EDATE($D33,Milestones!$AA$95),"dd/mm/yy")&amp;" "&amp;Milestones!$AB$95&amp;" "&amp;Milestones!$AC$95&amp;";  ","")&amp;IF(AND(EDATE($D33,Milestones!$AA$96)&lt;=AsOfDate,IF($Q33=0,$W33,IF(AND($S33&lt;&gt;"",EDATE($D33,Milestones!$AA$96)&gt;=$S33),$V33,IF(AND($R33&lt;&gt;"",EDATE($D33,Milestones!$AA$96)&gt;=$R33),$U33,$T33)))=Milestones!$AB$96),TEXT(EDATE($D33,Milestones!$AA$96),"dd/mm/yy")&amp;" "&amp;Milestones!$AB$96&amp;" "&amp;Milestones!$AC$96&amp;";  ","")&amp;IF(AND(EDATE($D33,Milestones!$AA$97)&lt;=AsOfDate,IF($Q33=0,$W33,IF(AND($S33&lt;&gt;"",EDATE($D33,Milestones!$AA$97)&gt;=$S33),$V33,IF(AND($R33&lt;&gt;"",EDATE($D33,Milestones!$AA$97)&gt;=$R33),$U33,$T33)))=Milestones!$AB$97),TEXT(EDATE($D33,Milestones!$AA$97),"dd/mm/yy")&amp;" "&amp;Milestones!$AB$97&amp;" "&amp;Milestones!$AC$97&amp;";  ","")&amp;IF(AND(EDATE($D33,Milestones!$AA$98)&lt;=AsOfDate,IF($Q33=0,$W33,IF(AND($S33&lt;&gt;"",EDATE($D33,Milestones!$AA$98)&gt;=$S33),$V33,IF(AND($R33&lt;&gt;"",EDATE($D33,Milestones!$AA$98)&gt;=$R33),$U33,$T33)))=Milestones!$AB$98),TEXT(EDATE($D33,Milestones!$AA$98),"dd/mm/yy")&amp;" "&amp;Milestones!$AB$98&amp;" "&amp;Milestones!$AC$98&amp;";  ","")&amp;IF(AND(EDATE($D33,Milestones!$AA$99)&lt;=AsOfDate,IF($Q33=0,$W33,IF(AND($S33&lt;&gt;"",EDATE($D33,Milestones!$AA$99)&gt;=$S33),$V33,IF(AND($R33&lt;&gt;"",EDATE($D33,Milestones!$AA$99)&gt;=$R33),$U33,$T33)))=Milestones!$AB$99),TEXT(EDATE($D33,Milestones!$AA$99),"dd/mm/yy")&amp;" "&amp;Milestones!$AB$99&amp;" "&amp;Milestones!$AC$99&amp;";  ",""))</f>
        <v/>
      </c>
      <c r="L33" s="0" t="str">
        <f aca="false">IF(OR($A33="",$D33=""),"",IF(AND(EDATE($D33,Milestones!$AA$100)&lt;=AsOfDate,IF($Q33=0,$W33,IF(AND($S33&lt;&gt;"",EDATE($D33,Milestones!$AA$100)&gt;=$S33),$V33,IF(AND($R33&lt;&gt;"",EDATE($D33,Milestones!$AA$100)&gt;=$R33),$U33,$T33)))=Milestones!$AB$100),TEXT(EDATE($D33,Milestones!$AA$100),"dd/mm/yy")&amp;" "&amp;Milestones!$AB$100&amp;" "&amp;Milestones!$AC$100&amp;";  ","")&amp;IF(AND(EDATE($D33,Milestones!$AA$101)&lt;=AsOfDate,IF($Q33=0,$W33,IF(AND($S33&lt;&gt;"",EDATE($D33,Milestones!$AA$101)&gt;=$S33),$V33,IF(AND($R33&lt;&gt;"",EDATE($D33,Milestones!$AA$101)&gt;=$R33),$U33,$T33)))=Milestones!$AB$101),TEXT(EDATE($D33,Milestones!$AA$101),"dd/mm/yy")&amp;" "&amp;Milestones!$AB$101&amp;" "&amp;Milestones!$AC$101&amp;";  ","")&amp;IF(AND(EDATE($D33,Milestones!$AA$102)&lt;=AsOfDate,IF($Q33=0,$W33,IF(AND($S33&lt;&gt;"",EDATE($D33,Milestones!$AA$102)&gt;=$S33),$V33,IF(AND($R33&lt;&gt;"",EDATE($D33,Milestones!$AA$102)&gt;=$R33),$U33,$T33)))=Milestones!$AB$102),TEXT(EDATE($D33,Milestones!$AA$102),"dd/mm/yy")&amp;" "&amp;Milestones!$AB$102&amp;" "&amp;Milestones!$AC$102&amp;";  ","")&amp;IF(AND(EDATE($D33,Milestones!$AA$103)&lt;=AsOfDate,IF($Q33=0,$W33,IF(AND($S33&lt;&gt;"",EDATE($D33,Milestones!$AA$103)&gt;=$S33),$V33,IF(AND($R33&lt;&gt;"",EDATE($D33,Milestones!$AA$103)&gt;=$R33),$U33,$T33)))=Milestones!$AB$103),TEXT(EDATE($D33,Milestones!$AA$103),"dd/mm/yy")&amp;" "&amp;Milestones!$AB$103&amp;" "&amp;Milestones!$AC$103&amp;";  ","")&amp;IF(AND(EDATE($D33,Milestones!$AA$104)&lt;=AsOfDate,IF($Q33=0,$W33,IF(AND($S33&lt;&gt;"",EDATE($D33,Milestones!$AA$104)&gt;=$S33),$V33,IF(AND($R33&lt;&gt;"",EDATE($D33,Milestones!$AA$104)&gt;=$R33),$U33,$T33)))=Milestones!$AB$104),TEXT(EDATE($D33,Milestones!$AA$104),"dd/mm/yy")&amp;" "&amp;Milestones!$AB$104&amp;" "&amp;Milestones!$AC$104&amp;";  ","")&amp;IF(AND(EDATE($D33,Milestones!$AA$105)&lt;=AsOfDate,IF($Q33=0,$W33,IF(AND($S33&lt;&gt;"",EDATE($D33,Milestones!$AA$105)&gt;=$S33),$V33,IF(AND($R33&lt;&gt;"",EDATE($D33,Milestones!$AA$105)&gt;=$R33),$U33,$T33)))=Milestones!$AB$105),TEXT(EDATE($D33,Milestones!$AA$105),"dd/mm/yy")&amp;" "&amp;Milestones!$AB$105&amp;" "&amp;Milestones!$AC$105&amp;";  ","")&amp;IF(AND(EDATE($D33,Milestones!$AA$106)&lt;=AsOfDate,IF($Q33=0,$W33,IF(AND($S33&lt;&gt;"",EDATE($D33,Milestones!$AA$106)&gt;=$S33),$V33,IF(AND($R33&lt;&gt;"",EDATE($D33,Milestones!$AA$106)&gt;=$R33),$U33,$T33)))=Milestones!$AB$106),TEXT(EDATE($D33,Milestones!$AA$106),"dd/mm/yy")&amp;" "&amp;Milestones!$AB$106&amp;" "&amp;Milestones!$AC$106&amp;";  ","")&amp;IF(AND(EDATE($D33,Milestones!$AA$107)&lt;=AsOfDate,IF($Q33=0,$W33,IF(AND($S33&lt;&gt;"",EDATE($D33,Milestones!$AA$107)&gt;=$S33),$V33,IF(AND($R33&lt;&gt;"",EDATE($D33,Milestones!$AA$107)&gt;=$R33),$U33,$T33)))=Milestones!$AB$107),TEXT(EDATE($D33,Milestones!$AA$107),"dd/mm/yy")&amp;" "&amp;Milestones!$AB$107&amp;" "&amp;Milestones!$AC$107&amp;";  ","")&amp;IF(AND(EDATE($D33,Milestones!$AA$108)&lt;=AsOfDate,IF($Q33=0,$W33,IF(AND($S33&lt;&gt;"",EDATE($D33,Milestones!$AA$108)&gt;=$S33),$V33,IF(AND($R33&lt;&gt;"",EDATE($D33,Milestones!$AA$108)&gt;=$R33),$U33,$T33)))=Milestones!$AB$108),TEXT(EDATE($D33,Milestones!$AA$108),"dd/mm/yy")&amp;" "&amp;Milestones!$AB$108&amp;" "&amp;Milestones!$AC$108&amp;";  ","")&amp;IF(AND(EDATE($D33,Milestones!$AA$109)&lt;=AsOfDate,IF($Q33=0,$W33,IF(AND($S33&lt;&gt;"",EDATE($D33,Milestones!$AA$109)&gt;=$S33),$V33,IF(AND($R33&lt;&gt;"",EDATE($D33,Milestones!$AA$109)&gt;=$R33),$U33,$T33)))=Milestones!$AB$109),TEXT(EDATE($D33,Milestones!$AA$109),"dd/mm/yy")&amp;" "&amp;Milestones!$AB$109&amp;" "&amp;Milestones!$AC$109&amp;";  ","")&amp;IF(AND(EDATE($D33,Milestones!$AA$110)&lt;=AsOfDate,IF($Q33=0,$W33,IF(AND($S33&lt;&gt;"",EDATE($D33,Milestones!$AA$110)&gt;=$S33),$V33,IF(AND($R33&lt;&gt;"",EDATE($D33,Milestones!$AA$110)&gt;=$R33),$U33,$T33)))=Milestones!$AB$110),TEXT(EDATE($D33,Milestones!$AA$110),"dd/mm/yy")&amp;" "&amp;Milestones!$AB$110&amp;" "&amp;Milestones!$AC$110&amp;";  ","")&amp;IF(AND(EDATE($D33,Milestones!$AA$111)&lt;=AsOfDate,IF($Q33=0,$W33,IF(AND($S33&lt;&gt;"",EDATE($D33,Milestones!$AA$111)&gt;=$S33),$V33,IF(AND($R33&lt;&gt;"",EDATE($D33,Milestones!$AA$111)&gt;=$R33),$U33,$T33)))=Milestones!$AB$111),TEXT(EDATE($D33,Milestones!$AA$111),"dd/mm/yy")&amp;" "&amp;Milestones!$AB$111&amp;" "&amp;Milestones!$AC$111&amp;";  ","")&amp;IF(AND(EDATE($D33,Milestones!$AA$112)&lt;=AsOfDate,IF($Q33=0,$W33,IF(AND($S33&lt;&gt;"",EDATE($D33,Milestones!$AA$112)&gt;=$S33),$V33,IF(AND($R33&lt;&gt;"",EDATE($D33,Milestones!$AA$112)&gt;=$R33),$U33,$T33)))=Milestones!$AB$112),TEXT(EDATE($D33,Milestones!$AA$112),"dd/mm/yy")&amp;" "&amp;Milestones!$AB$112&amp;" "&amp;Milestones!$AC$112&amp;";  ","")&amp;IF(AND(EDATE($D33,Milestones!$AA$113)&lt;=AsOfDate,IF($Q33=0,$W33,IF(AND($S33&lt;&gt;"",EDATE($D33,Milestones!$AA$113)&gt;=$S33),$V33,IF(AND($R33&lt;&gt;"",EDATE($D33,Milestones!$AA$113)&gt;=$R33),$U33,$T33)))=Milestones!$AB$113),TEXT(EDATE($D33,Milestones!$AA$113),"dd/mm/yy")&amp;" "&amp;Milestones!$AB$113&amp;" "&amp;Milestones!$AC$113&amp;";  ","")&amp;IF(AND(EDATE($D33,Milestones!$AA$114)&lt;=AsOfDate,IF($Q33=0,$W33,IF(AND($S33&lt;&gt;"",EDATE($D33,Milestones!$AA$114)&gt;=$S33),$V33,IF(AND($R33&lt;&gt;"",EDATE($D33,Milestones!$AA$114)&gt;=$R33),$U33,$T33)))=Milestones!$AB$114),TEXT(EDATE($D33,Milestones!$AA$114),"dd/mm/yy")&amp;" "&amp;Milestones!$AB$114&amp;" "&amp;Milestones!$AC$114&amp;";  ","")&amp;IF(AND(EDATE($D33,Milestones!$AA$115)&lt;=AsOfDate,IF($Q33=0,$W33,IF(AND($S33&lt;&gt;"",EDATE($D33,Milestones!$AA$115)&gt;=$S33),$V33,IF(AND($R33&lt;&gt;"",EDATE($D33,Milestones!$AA$115)&gt;=$R33),$U33,$T33)))=Milestones!$AB$115),TEXT(EDATE($D33,Milestones!$AA$115),"dd/mm/yy")&amp;" "&amp;Milestones!$AB$115&amp;" "&amp;Milestones!$AC$115&amp;";  ","")&amp;IF(AND(EDATE($D33,Milestones!$AA$116)&lt;=AsOfDate,IF($Q33=0,$W33,IF(AND($S33&lt;&gt;"",EDATE($D33,Milestones!$AA$116)&gt;=$S33),$V33,IF(AND($R33&lt;&gt;"",EDATE($D33,Milestones!$AA$116)&gt;=$R33),$U33,$T33)))=Milestones!$AB$116),TEXT(EDATE($D33,Milestones!$AA$116),"dd/mm/yy")&amp;" "&amp;Milestones!$AB$116&amp;" "&amp;Milestones!$AC$116&amp;";  ","")&amp;IF(AND(EDATE($D33,Milestones!$AA$117)&lt;=AsOfDate,IF($Q33=0,$W33,IF(AND($S33&lt;&gt;"",EDATE($D33,Milestones!$AA$117)&gt;=$S33),$V33,IF(AND($R33&lt;&gt;"",EDATE($D33,Milestones!$AA$117)&gt;=$R33),$U33,$T33)))=Milestones!$AB$117),TEXT(EDATE($D33,Milestones!$AA$117),"dd/mm/yy")&amp;" "&amp;Milestones!$AB$117&amp;" "&amp;Milestones!$AC$117&amp;";  ","")&amp;IF(AND(EDATE($D33,Milestones!$AA$118)&lt;=AsOfDate,IF($Q33=0,$W33,IF(AND($S33&lt;&gt;"",EDATE($D33,Milestones!$AA$118)&gt;=$S33),$V33,IF(AND($R33&lt;&gt;"",EDATE($D33,Milestones!$AA$118)&gt;=$R33),$U33,$T33)))=Milestones!$AB$118),TEXT(EDATE($D33,Milestones!$AA$118),"dd/mm/yy")&amp;" "&amp;Milestones!$AB$118&amp;" "&amp;Milestones!$AC$118&amp;";  ","")&amp;IF(AND(EDATE($D33,Milestones!$AA$119)&lt;=AsOfDate,IF($Q33=0,$W33,IF(AND($S33&lt;&gt;"",EDATE($D33,Milestones!$AA$119)&gt;=$S33),$V33,IF(AND($R33&lt;&gt;"",EDATE($D33,Milestones!$AA$119)&gt;=$R33),$U33,$T33)))=Milestones!$AB$119),TEXT(EDATE($D33,Milestones!$AA$119),"dd/mm/yy")&amp;" "&amp;Milestones!$AB$119&amp;" "&amp;Milestones!$AC$119&amp;";  ",""))</f>
        <v/>
      </c>
      <c r="M33" s="0" t="str">
        <f aca="false">IF(OR($A33="",$D33=""),"",IF(AND(EDATE($D33,Milestones!$AA$120)&lt;=AsOfDate,IF($Q33=0,$W33,IF(AND($S33&lt;&gt;"",EDATE($D33,Milestones!$AA$120)&gt;=$S33),$V33,IF(AND($R33&lt;&gt;"",EDATE($D33,Milestones!$AA$120)&gt;=$R33),$U33,$T33)))=Milestones!$AB$120),TEXT(EDATE($D33,Milestones!$AA$120),"dd/mm/yy")&amp;" "&amp;Milestones!$AB$120&amp;" "&amp;Milestones!$AC$120&amp;";  ","")&amp;IF(AND(EDATE($D33,Milestones!$AA$121)&lt;=AsOfDate,IF($Q33=0,$W33,IF(AND($S33&lt;&gt;"",EDATE($D33,Milestones!$AA$121)&gt;=$S33),$V33,IF(AND($R33&lt;&gt;"",EDATE($D33,Milestones!$AA$121)&gt;=$R33),$U33,$T33)))=Milestones!$AB$121),TEXT(EDATE($D33,Milestones!$AA$121),"dd/mm/yy")&amp;" "&amp;Milestones!$AB$121&amp;" "&amp;Milestones!$AC$121&amp;";  ","")&amp;IF(AND(EDATE($D33,Milestones!$AA$122)&lt;=AsOfDate,IF($Q33=0,$W33,IF(AND($S33&lt;&gt;"",EDATE($D33,Milestones!$AA$122)&gt;=$S33),$V33,IF(AND($R33&lt;&gt;"",EDATE($D33,Milestones!$AA$122)&gt;=$R33),$U33,$T33)))=Milestones!$AB$122),TEXT(EDATE($D33,Milestones!$AA$122),"dd/mm/yy")&amp;" "&amp;Milestones!$AB$122&amp;" "&amp;Milestones!$AC$122&amp;";  ","")&amp;IF(AND(EDATE($D33,Milestones!$AA$123)&lt;=AsOfDate,IF($Q33=0,$W33,IF(AND($S33&lt;&gt;"",EDATE($D33,Milestones!$AA$123)&gt;=$S33),$V33,IF(AND($R33&lt;&gt;"",EDATE($D33,Milestones!$AA$123)&gt;=$R33),$U33,$T33)))=Milestones!$AB$123),TEXT(EDATE($D33,Milestones!$AA$123),"dd/mm/yy")&amp;" "&amp;Milestones!$AB$123&amp;" "&amp;Milestones!$AC$123&amp;";  ","")&amp;IF(AND(EDATE($D33,Milestones!$AA$124)&lt;=AsOfDate,IF($Q33=0,$W33,IF(AND($S33&lt;&gt;"",EDATE($D33,Milestones!$AA$124)&gt;=$S33),$V33,IF(AND($R33&lt;&gt;"",EDATE($D33,Milestones!$AA$124)&gt;=$R33),$U33,$T33)))=Milestones!$AB$124),TEXT(EDATE($D33,Milestones!$AA$124),"dd/mm/yy")&amp;" "&amp;Milestones!$AB$124&amp;" "&amp;Milestones!$AC$124&amp;";  ","")&amp;IF(AND(EDATE($D33,Milestones!$AA$125)&lt;=AsOfDate,IF($Q33=0,$W33,IF(AND($S33&lt;&gt;"",EDATE($D33,Milestones!$AA$125)&gt;=$S33),$V33,IF(AND($R33&lt;&gt;"",EDATE($D33,Milestones!$AA$125)&gt;=$R33),$U33,$T33)))=Milestones!$AB$125),TEXT(EDATE($D33,Milestones!$AA$125),"dd/mm/yy")&amp;" "&amp;Milestones!$AB$125&amp;" "&amp;Milestones!$AC$125&amp;";  ","")&amp;IF(AND(EDATE($D33,Milestones!$AA$126)&lt;=AsOfDate,IF($Q33=0,$W33,IF(AND($S33&lt;&gt;"",EDATE($D33,Milestones!$AA$126)&gt;=$S33),$V33,IF(AND($R33&lt;&gt;"",EDATE($D33,Milestones!$AA$126)&gt;=$R33),$U33,$T33)))=Milestones!$AB$126),TEXT(EDATE($D33,Milestones!$AA$126),"dd/mm/yy")&amp;" "&amp;Milestones!$AB$126&amp;" "&amp;Milestones!$AC$126&amp;";  ","")&amp;IF(AND(EDATE($D33,Milestones!$AA$127)&lt;=AsOfDate,IF($Q33=0,$W33,IF(AND($S33&lt;&gt;"",EDATE($D33,Milestones!$AA$127)&gt;=$S33),$V33,IF(AND($R33&lt;&gt;"",EDATE($D33,Milestones!$AA$127)&gt;=$R33),$U33,$T33)))=Milestones!$AB$127),TEXT(EDATE($D33,Milestones!$AA$127),"dd/mm/yy")&amp;" "&amp;Milestones!$AB$127&amp;" "&amp;Milestones!$AC$127&amp;";  ","")&amp;IF(AND(EDATE($D33,Milestones!$AA$128)&lt;=AsOfDate,IF($Q33=0,$W33,IF(AND($S33&lt;&gt;"",EDATE($D33,Milestones!$AA$128)&gt;=$S33),$V33,IF(AND($R33&lt;&gt;"",EDATE($D33,Milestones!$AA$128)&gt;=$R33),$U33,$T33)))=Milestones!$AB$128),TEXT(EDATE($D33,Milestones!$AA$128),"dd/mm/yy")&amp;" "&amp;Milestones!$AB$128&amp;" "&amp;Milestones!$AC$128&amp;";  ","")&amp;IF(AND(EDATE($D33,Milestones!$AA$129)&lt;=AsOfDate,IF($Q33=0,$W33,IF(AND($S33&lt;&gt;"",EDATE($D33,Milestones!$AA$129)&gt;=$S33),$V33,IF(AND($R33&lt;&gt;"",EDATE($D33,Milestones!$AA$129)&gt;=$R33),$U33,$T33)))=Milestones!$AB$129),TEXT(EDATE($D33,Milestones!$AA$129),"dd/mm/yy")&amp;" "&amp;Milestones!$AB$129&amp;" "&amp;Milestones!$AC$129&amp;";  ","")&amp;IF(AND(EDATE($D33,Milestones!$AA$130)&lt;=AsOfDate,IF($Q33=0,$W33,IF(AND($S33&lt;&gt;"",EDATE($D33,Milestones!$AA$130)&gt;=$S33),$V33,IF(AND($R33&lt;&gt;"",EDATE($D33,Milestones!$AA$130)&gt;=$R33),$U33,$T33)))=Milestones!$AB$130),TEXT(EDATE($D33,Milestones!$AA$130),"dd/mm/yy")&amp;" "&amp;Milestones!$AB$130&amp;" "&amp;Milestones!$AC$130&amp;";  ","")&amp;IF(AND(EDATE($D33,Milestones!$AA$131)&lt;=AsOfDate,IF($Q33=0,$W33,IF(AND($S33&lt;&gt;"",EDATE($D33,Milestones!$AA$131)&gt;=$S33),$V33,IF(AND($R33&lt;&gt;"",EDATE($D33,Milestones!$AA$131)&gt;=$R33),$U33,$T33)))=Milestones!$AB$131),TEXT(EDATE($D33,Milestones!$AA$131),"dd/mm/yy")&amp;" "&amp;Milestones!$AB$131&amp;" "&amp;Milestones!$AC$131&amp;";  ","")&amp;IF(AND(EDATE($D33,Milestones!$AA$132)&lt;=AsOfDate,IF($Q33=0,$W33,IF(AND($S33&lt;&gt;"",EDATE($D33,Milestones!$AA$132)&gt;=$S33),$V33,IF(AND($R33&lt;&gt;"",EDATE($D33,Milestones!$AA$132)&gt;=$R33),$U33,$T33)))=Milestones!$AB$132),TEXT(EDATE($D33,Milestones!$AA$132),"dd/mm/yy")&amp;" "&amp;Milestones!$AB$132&amp;" "&amp;Milestones!$AC$132&amp;";  ","")&amp;IF(AND(EDATE($D33,Milestones!$AA$133)&lt;=AsOfDate,IF($Q33=0,$W33,IF(AND($S33&lt;&gt;"",EDATE($D33,Milestones!$AA$133)&gt;=$S33),$V33,IF(AND($R33&lt;&gt;"",EDATE($D33,Milestones!$AA$133)&gt;=$R33),$U33,$T33)))=Milestones!$AB$133),TEXT(EDATE($D33,Milestones!$AA$133),"dd/mm/yy")&amp;" "&amp;Milestones!$AB$133&amp;" "&amp;Milestones!$AC$133&amp;";  ","")&amp;IF(AND(EDATE($D33,Milestones!$AA$134)&lt;=AsOfDate,IF($Q33=0,$W33,IF(AND($S33&lt;&gt;"",EDATE($D33,Milestones!$AA$134)&gt;=$S33),$V33,IF(AND($R33&lt;&gt;"",EDATE($D33,Milestones!$AA$134)&gt;=$R33),$U33,$T33)))=Milestones!$AB$134),TEXT(EDATE($D33,Milestones!$AA$134),"dd/mm/yy")&amp;" "&amp;Milestones!$AB$134&amp;" "&amp;Milestones!$AC$134&amp;";  ","")&amp;IF(AND(EDATE($D33,Milestones!$AA$135)&lt;=AsOfDate,IF($Q33=0,$W33,IF(AND($S33&lt;&gt;"",EDATE($D33,Milestones!$AA$135)&gt;=$S33),$V33,IF(AND($R33&lt;&gt;"",EDATE($D33,Milestones!$AA$135)&gt;=$R33),$U33,$T33)))=Milestones!$AB$135),TEXT(EDATE($D33,Milestones!$AA$135),"dd/mm/yy")&amp;" "&amp;Milestones!$AB$135&amp;" "&amp;Milestones!$AC$135&amp;";  ","")&amp;IF(AND(EDATE($D33,Milestones!$AA$136)&lt;=AsOfDate,IF($Q33=0,$W33,IF(AND($S33&lt;&gt;"",EDATE($D33,Milestones!$AA$136)&gt;=$S33),$V33,IF(AND($R33&lt;&gt;"",EDATE($D33,Milestones!$AA$136)&gt;=$R33),$U33,$T33)))=Milestones!$AB$136),TEXT(EDATE($D33,Milestones!$AA$136),"dd/mm/yy")&amp;" "&amp;Milestones!$AB$136&amp;" "&amp;Milestones!$AC$136&amp;";  ","")&amp;IF(AND(EDATE($D33,Milestones!$AA$137)&lt;=AsOfDate,IF($Q33=0,$W33,IF(AND($S33&lt;&gt;"",EDATE($D33,Milestones!$AA$137)&gt;=$S33),$V33,IF(AND($R33&lt;&gt;"",EDATE($D33,Milestones!$AA$137)&gt;=$R33),$U33,$T33)))=Milestones!$AB$137),TEXT(EDATE($D33,Milestones!$AA$137),"dd/mm/yy")&amp;" "&amp;Milestones!$AB$137&amp;" "&amp;Milestones!$AC$137&amp;";  ","")&amp;IF(AND(EDATE($D33,Milestones!$AA$138)&lt;=AsOfDate,IF($Q33=0,$W33,IF(AND($S33&lt;&gt;"",EDATE($D33,Milestones!$AA$138)&gt;=$S33),$V33,IF(AND($R33&lt;&gt;"",EDATE($D33,Milestones!$AA$138)&gt;=$R33),$U33,$T33)))=Milestones!$AB$138),TEXT(EDATE($D33,Milestones!$AA$138),"dd/mm/yy")&amp;" "&amp;Milestones!$AB$138&amp;" "&amp;Milestones!$AC$138&amp;";  ","")&amp;IF(AND(EDATE($D33,Milestones!$AA$139)&lt;=AsOfDate,IF($Q33=0,$W33,IF(AND($S33&lt;&gt;"",EDATE($D33,Milestones!$AA$139)&gt;=$S33),$V33,IF(AND($R33&lt;&gt;"",EDATE($D33,Milestones!$AA$139)&gt;=$R33),$U33,$T33)))=Milestones!$AB$139),TEXT(EDATE($D33,Milestones!$AA$139),"dd/mm/yy")&amp;" "&amp;Milestones!$AB$139&amp;" "&amp;Milestones!$AC$139&amp;";  ",""))</f>
        <v/>
      </c>
      <c r="N33" s="0" t="str">
        <f aca="false">IF(OR($A33="",$D33=""),"",IF(AND(EDATE($D33,Milestones!$AA$140)&lt;=AsOfDate,IF($Q33=0,$W33,IF(AND($S33&lt;&gt;"",EDATE($D33,Milestones!$AA$140)&gt;=$S33),$V33,IF(AND($R33&lt;&gt;"",EDATE($D33,Milestones!$AA$140)&gt;=$R33),$U33,$T33)))=Milestones!$AB$140),TEXT(EDATE($D33,Milestones!$AA$140),"dd/mm/yy")&amp;" "&amp;Milestones!$AB$140&amp;" "&amp;Milestones!$AC$140&amp;";  ","")&amp;IF(AND(EDATE($D33,Milestones!$AA$141)&lt;=AsOfDate,IF($Q33=0,$W33,IF(AND($S33&lt;&gt;"",EDATE($D33,Milestones!$AA$141)&gt;=$S33),$V33,IF(AND($R33&lt;&gt;"",EDATE($D33,Milestones!$AA$141)&gt;=$R33),$U33,$T33)))=Milestones!$AB$141),TEXT(EDATE($D33,Milestones!$AA$141),"dd/mm/yy")&amp;" "&amp;Milestones!$AB$141&amp;" "&amp;Milestones!$AC$141&amp;";  ","")&amp;IF(AND(EDATE($D33,Milestones!$AA$142)&lt;=AsOfDate,IF($Q33=0,$W33,IF(AND($S33&lt;&gt;"",EDATE($D33,Milestones!$AA$142)&gt;=$S33),$V33,IF(AND($R33&lt;&gt;"",EDATE($D33,Milestones!$AA$142)&gt;=$R33),$U33,$T33)))=Milestones!$AB$142),TEXT(EDATE($D33,Milestones!$AA$142),"dd/mm/yy")&amp;" "&amp;Milestones!$AB$142&amp;" "&amp;Milestones!$AC$142&amp;";  ","")&amp;IF(AND(EDATE($D33,Milestones!$AA$143)&lt;=AsOfDate,IF($Q33=0,$W33,IF(AND($S33&lt;&gt;"",EDATE($D33,Milestones!$AA$143)&gt;=$S33),$V33,IF(AND($R33&lt;&gt;"",EDATE($D33,Milestones!$AA$143)&gt;=$R33),$U33,$T33)))=Milestones!$AB$143),TEXT(EDATE($D33,Milestones!$AA$143),"dd/mm/yy")&amp;" "&amp;Milestones!$AB$143&amp;" "&amp;Milestones!$AC$143&amp;";  ","")&amp;IF(AND(EDATE($D33,Milestones!$AA$144)&lt;=AsOfDate,IF($Q33=0,$W33,IF(AND($S33&lt;&gt;"",EDATE($D33,Milestones!$AA$144)&gt;=$S33),$V33,IF(AND($R33&lt;&gt;"",EDATE($D33,Milestones!$AA$144)&gt;=$R33),$U33,$T33)))=Milestones!$AB$144),TEXT(EDATE($D33,Milestones!$AA$144),"dd/mm/yy")&amp;" "&amp;Milestones!$AB$144&amp;" "&amp;Milestones!$AC$144&amp;";  ","")&amp;IF(AND(EDATE($D33,Milestones!$AA$145)&lt;=AsOfDate,IF($Q33=0,$W33,IF(AND($S33&lt;&gt;"",EDATE($D33,Milestones!$AA$145)&gt;=$S33),$V33,IF(AND($R33&lt;&gt;"",EDATE($D33,Milestones!$AA$145)&gt;=$R33),$U33,$T33)))=Milestones!$AB$145),TEXT(EDATE($D33,Milestones!$AA$145),"dd/mm/yy")&amp;" "&amp;Milestones!$AB$145&amp;" "&amp;Milestones!$AC$145&amp;";  ","")&amp;IF(AND(EDATE($D33,Milestones!$AA$146)&lt;=AsOfDate,IF($Q33=0,$W33,IF(AND($S33&lt;&gt;"",EDATE($D33,Milestones!$AA$146)&gt;=$S33),$V33,IF(AND($R33&lt;&gt;"",EDATE($D33,Milestones!$AA$146)&gt;=$R33),$U33,$T33)))=Milestones!$AB$146),TEXT(EDATE($D33,Milestones!$AA$146),"dd/mm/yy")&amp;" "&amp;Milestones!$AB$146&amp;" "&amp;Milestones!$AC$146&amp;";  ","")&amp;IF(AND(EDATE($D33,Milestones!$AA$147)&lt;=AsOfDate,IF($Q33=0,$W33,IF(AND($S33&lt;&gt;"",EDATE($D33,Milestones!$AA$147)&gt;=$S33),$V33,IF(AND($R33&lt;&gt;"",EDATE($D33,Milestones!$AA$147)&gt;=$R33),$U33,$T33)))=Milestones!$AB$147),TEXT(EDATE($D33,Milestones!$AA$147),"dd/mm/yy")&amp;" "&amp;Milestones!$AB$147&amp;" "&amp;Milestones!$AC$147&amp;";  ","")&amp;IF(AND(EDATE($D33,Milestones!$AA$148)&lt;=AsOfDate,IF($Q33=0,$W33,IF(AND($S33&lt;&gt;"",EDATE($D33,Milestones!$AA$148)&gt;=$S33),$V33,IF(AND($R33&lt;&gt;"",EDATE($D33,Milestones!$AA$148)&gt;=$R33),$U33,$T33)))=Milestones!$AB$148),TEXT(EDATE($D33,Milestones!$AA$148),"dd/mm/yy")&amp;" "&amp;Milestones!$AB$148&amp;" "&amp;Milestones!$AC$148&amp;";  ","")&amp;IF(AND(EDATE($D33,Milestones!$AA$149)&lt;=AsOfDate,IF($Q33=0,$W33,IF(AND($S33&lt;&gt;"",EDATE($D33,Milestones!$AA$149)&gt;=$S33),$V33,IF(AND($R33&lt;&gt;"",EDATE($D33,Milestones!$AA$149)&gt;=$R33),$U33,$T33)))=Milestones!$AB$149),TEXT(EDATE($D33,Milestones!$AA$149),"dd/mm/yy")&amp;" "&amp;Milestones!$AB$149&amp;" "&amp;Milestones!$AC$149&amp;";  ","")&amp;IF(AND(EDATE($D33,Milestones!$AA$150)&lt;=AsOfDate,IF($Q33=0,$W33,IF(AND($S33&lt;&gt;"",EDATE($D33,Milestones!$AA$150)&gt;=$S33),$V33,IF(AND($R33&lt;&gt;"",EDATE($D33,Milestones!$AA$150)&gt;=$R33),$U33,$T33)))=Milestones!$AB$150),TEXT(EDATE($D33,Milestones!$AA$150),"dd/mm/yy")&amp;" "&amp;Milestones!$AB$150&amp;" "&amp;Milestones!$AC$150&amp;";  ","")&amp;IF(AND(EDATE($D33,Milestones!$AA$151)&lt;=AsOfDate,IF($Q33=0,$W33,IF(AND($S33&lt;&gt;"",EDATE($D33,Milestones!$AA$151)&gt;=$S33),$V33,IF(AND($R33&lt;&gt;"",EDATE($D33,Milestones!$AA$151)&gt;=$R33),$U33,$T33)))=Milestones!$AB$151),TEXT(EDATE($D33,Milestones!$AA$151),"dd/mm/yy")&amp;" "&amp;Milestones!$AB$151&amp;" "&amp;Milestones!$AC$151&amp;";  ","")&amp;IF(AND(EDATE($D33,Milestones!$AA$152)&lt;=AsOfDate,IF($Q33=0,$W33,IF(AND($S33&lt;&gt;"",EDATE($D33,Milestones!$AA$152)&gt;=$S33),$V33,IF(AND($R33&lt;&gt;"",EDATE($D33,Milestones!$AA$152)&gt;=$R33),$U33,$T33)))=Milestones!$AB$152),TEXT(EDATE($D33,Milestones!$AA$152),"dd/mm/yy")&amp;" "&amp;Milestones!$AB$152&amp;" "&amp;Milestones!$AC$152&amp;";  ","")&amp;IF(AND(EDATE($D33,Milestones!$AA$153)&lt;=AsOfDate,IF($Q33=0,$W33,IF(AND($S33&lt;&gt;"",EDATE($D33,Milestones!$AA$153)&gt;=$S33),$V33,IF(AND($R33&lt;&gt;"",EDATE($D33,Milestones!$AA$153)&gt;=$R33),$U33,$T33)))=Milestones!$AB$153),TEXT(EDATE($D33,Milestones!$AA$153),"dd/mm/yy")&amp;" "&amp;Milestones!$AB$153&amp;" "&amp;Milestones!$AC$153&amp;";  ","")&amp;IF(AND(EDATE($D33,Milestones!$AA$154)&lt;=AsOfDate,IF($Q33=0,$W33,IF(AND($S33&lt;&gt;"",EDATE($D33,Milestones!$AA$154)&gt;=$S33),$V33,IF(AND($R33&lt;&gt;"",EDATE($D33,Milestones!$AA$154)&gt;=$R33),$U33,$T33)))=Milestones!$AB$154),TEXT(EDATE($D33,Milestones!$AA$154),"dd/mm/yy")&amp;" "&amp;Milestones!$AB$154&amp;" "&amp;Milestones!$AC$154&amp;";  ","")&amp;IF(AND(EDATE($D33,Milestones!$AA$155)&lt;=AsOfDate,IF($Q33=0,$W33,IF(AND($S33&lt;&gt;"",EDATE($D33,Milestones!$AA$155)&gt;=$S33),$V33,IF(AND($R33&lt;&gt;"",EDATE($D33,Milestones!$AA$155)&gt;=$R33),$U33,$T33)))=Milestones!$AB$155),TEXT(EDATE($D33,Milestones!$AA$155),"dd/mm/yy")&amp;" "&amp;Milestones!$AB$155&amp;" "&amp;Milestones!$AC$155&amp;";  ","")&amp;IF(AND(EDATE($D33,Milestones!$AA$156)&lt;=AsOfDate,IF($Q33=0,$W33,IF(AND($S33&lt;&gt;"",EDATE($D33,Milestones!$AA$156)&gt;=$S33),$V33,IF(AND($R33&lt;&gt;"",EDATE($D33,Milestones!$AA$156)&gt;=$R33),$U33,$T33)))=Milestones!$AB$156),TEXT(EDATE($D33,Milestones!$AA$156),"dd/mm/yy")&amp;" "&amp;Milestones!$AB$156&amp;" "&amp;Milestones!$AC$156&amp;";  ","")&amp;IF(AND(EDATE($D33,Milestones!$AA$157)&lt;=AsOfDate,IF($Q33=0,$W33,IF(AND($S33&lt;&gt;"",EDATE($D33,Milestones!$AA$157)&gt;=$S33),$V33,IF(AND($R33&lt;&gt;"",EDATE($D33,Milestones!$AA$157)&gt;=$R33),$U33,$T33)))=Milestones!$AB$157),TEXT(EDATE($D33,Milestones!$AA$157),"dd/mm/yy")&amp;" "&amp;Milestones!$AB$157&amp;" "&amp;Milestones!$AC$157&amp;";  ","")&amp;IF(AND(EDATE($D33,Milestones!$AA$158)&lt;=AsOfDate,IF($Q33=0,$W33,IF(AND($S33&lt;&gt;"",EDATE($D33,Milestones!$AA$158)&gt;=$S33),$V33,IF(AND($R33&lt;&gt;"",EDATE($D33,Milestones!$AA$158)&gt;=$R33),$U33,$T33)))=Milestones!$AB$158),TEXT(EDATE($D33,Milestones!$AA$158),"dd/mm/yy")&amp;" "&amp;Milestones!$AB$158&amp;" "&amp;Milestones!$AC$158&amp;";  ","")&amp;IF(AND(EDATE($D33,Milestones!$AA$159)&lt;=AsOfDate,IF($Q33=0,$W33,IF(AND($S33&lt;&gt;"",EDATE($D33,Milestones!$AA$159)&gt;=$S33),$V33,IF(AND($R33&lt;&gt;"",EDATE($D33,Milestones!$AA$159)&gt;=$R33),$U33,$T33)))=Milestones!$AB$159),TEXT(EDATE($D33,Milestones!$AA$159),"dd/mm/yy")&amp;" "&amp;Milestones!$AB$159&amp;" "&amp;Milestones!$AC$159&amp;";  ",""))</f>
        <v/>
      </c>
      <c r="O33" s="0" t="str">
        <f aca="false">IF(OR($A33="",$D33=""),"",IF(AND(EDATE($D33,Milestones!$AA$160)&lt;=AsOfDate,IF($Q33=0,$W33,IF(AND($S33&lt;&gt;"",EDATE($D33,Milestones!$AA$160)&gt;=$S33),$V33,IF(AND($R33&lt;&gt;"",EDATE($D33,Milestones!$AA$160)&gt;=$R33),$U33,$T33)))=Milestones!$AB$160),TEXT(EDATE($D33,Milestones!$AA$160),"dd/mm/yy")&amp;" "&amp;Milestones!$AB$160&amp;" "&amp;Milestones!$AC$160&amp;";  ","")&amp;IF(AND(EDATE($D33,Milestones!$AA$161)&lt;=AsOfDate,IF($Q33=0,$W33,IF(AND($S33&lt;&gt;"",EDATE($D33,Milestones!$AA$161)&gt;=$S33),$V33,IF(AND($R33&lt;&gt;"",EDATE($D33,Milestones!$AA$161)&gt;=$R33),$U33,$T33)))=Milestones!$AB$161),TEXT(EDATE($D33,Milestones!$AA$161),"dd/mm/yy")&amp;" "&amp;Milestones!$AB$161&amp;" "&amp;Milestones!$AC$161&amp;";  ","")&amp;IF(AND(EDATE($D33,Milestones!$AA$162)&lt;=AsOfDate,IF($Q33=0,$W33,IF(AND($S33&lt;&gt;"",EDATE($D33,Milestones!$AA$162)&gt;=$S33),$V33,IF(AND($R33&lt;&gt;"",EDATE($D33,Milestones!$AA$162)&gt;=$R33),$U33,$T33)))=Milestones!$AB$162),TEXT(EDATE($D33,Milestones!$AA$162),"dd/mm/yy")&amp;" "&amp;Milestones!$AB$162&amp;" "&amp;Milestones!$AC$162&amp;";  ","")&amp;IF(AND(EDATE($D33,Milestones!$AA$163)&lt;=AsOfDate,IF($Q33=0,$W33,IF(AND($S33&lt;&gt;"",EDATE($D33,Milestones!$AA$163)&gt;=$S33),$V33,IF(AND($R33&lt;&gt;"",EDATE($D33,Milestones!$AA$163)&gt;=$R33),$U33,$T33)))=Milestones!$AB$163),TEXT(EDATE($D33,Milestones!$AA$163),"dd/mm/yy")&amp;" "&amp;Milestones!$AB$163&amp;" "&amp;Milestones!$AC$163&amp;";  ","")&amp;IF(AND(EDATE($D33,Milestones!$AA$164)&lt;=AsOfDate,IF($Q33=0,$W33,IF(AND($S33&lt;&gt;"",EDATE($D33,Milestones!$AA$164)&gt;=$S33),$V33,IF(AND($R33&lt;&gt;"",EDATE($D33,Milestones!$AA$164)&gt;=$R33),$U33,$T33)))=Milestones!$AB$164),TEXT(EDATE($D33,Milestones!$AA$164),"dd/mm/yy")&amp;" "&amp;Milestones!$AB$164&amp;" "&amp;Milestones!$AC$164&amp;";  ","")&amp;IF(AND(EDATE($D33,Milestones!$AA$165)&lt;=AsOfDate,IF($Q33=0,$W33,IF(AND($S33&lt;&gt;"",EDATE($D33,Milestones!$AA$165)&gt;=$S33),$V33,IF(AND($R33&lt;&gt;"",EDATE($D33,Milestones!$AA$165)&gt;=$R33),$U33,$T33)))=Milestones!$AB$165),TEXT(EDATE($D33,Milestones!$AA$165),"dd/mm/yy")&amp;" "&amp;Milestones!$AB$165&amp;" "&amp;Milestones!$AC$165&amp;";  ","")&amp;IF(AND(EDATE($D33,Milestones!$AA$166)&lt;=AsOfDate,IF($Q33=0,$W33,IF(AND($S33&lt;&gt;"",EDATE($D33,Milestones!$AA$166)&gt;=$S33),$V33,IF(AND($R33&lt;&gt;"",EDATE($D33,Milestones!$AA$166)&gt;=$R33),$U33,$T33)))=Milestones!$AB$166),TEXT(EDATE($D33,Milestones!$AA$166),"dd/mm/yy")&amp;" "&amp;Milestones!$AB$166&amp;" "&amp;Milestones!$AC$166&amp;";  ","")&amp;IF(AND(EDATE($D33,Milestones!$AA$167)&lt;=AsOfDate,IF($Q33=0,$W33,IF(AND($S33&lt;&gt;"",EDATE($D33,Milestones!$AA$167)&gt;=$S33),$V33,IF(AND($R33&lt;&gt;"",EDATE($D33,Milestones!$AA$167)&gt;=$R33),$U33,$T33)))=Milestones!$AB$167),TEXT(EDATE($D33,Milestones!$AA$167),"dd/mm/yy")&amp;" "&amp;Milestones!$AB$167&amp;" "&amp;Milestones!$AC$167&amp;";  ","")&amp;IF(AND(EDATE($D33,Milestones!$AA$168)&lt;=AsOfDate,IF($Q33=0,$W33,IF(AND($S33&lt;&gt;"",EDATE($D33,Milestones!$AA$168)&gt;=$S33),$V33,IF(AND($R33&lt;&gt;"",EDATE($D33,Milestones!$AA$168)&gt;=$R33),$U33,$T33)))=Milestones!$AB$168),TEXT(EDATE($D33,Milestones!$AA$168),"dd/mm/yy")&amp;" "&amp;Milestones!$AB$168&amp;" "&amp;Milestones!$AC$168&amp;";  ","")&amp;IF(AND(EDATE($D33,Milestones!$AA$169)&lt;=AsOfDate,IF($Q33=0,$W33,IF(AND($S33&lt;&gt;"",EDATE($D33,Milestones!$AA$169)&gt;=$S33),$V33,IF(AND($R33&lt;&gt;"",EDATE($D33,Milestones!$AA$169)&gt;=$R33),$U33,$T33)))=Milestones!$AB$169),TEXT(EDATE($D33,Milestones!$AA$169),"dd/mm/yy")&amp;" "&amp;Milestones!$AB$169&amp;" "&amp;Milestones!$AC$169&amp;";  ","")&amp;IF(AND(EDATE($D33,Milestones!$AA$170)&lt;=AsOfDate,IF($Q33=0,$W33,IF(AND($S33&lt;&gt;"",EDATE($D33,Milestones!$AA$170)&gt;=$S33),$V33,IF(AND($R33&lt;&gt;"",EDATE($D33,Milestones!$AA$170)&gt;=$R33),$U33,$T33)))=Milestones!$AB$170),TEXT(EDATE($D33,Milestones!$AA$170),"dd/mm/yy")&amp;" "&amp;Milestones!$AB$170&amp;" "&amp;Milestones!$AC$170&amp;";  ","")&amp;IF(AND(EDATE($D33,Milestones!$AA$171)&lt;=AsOfDate,IF($Q33=0,$W33,IF(AND($S33&lt;&gt;"",EDATE($D33,Milestones!$AA$171)&gt;=$S33),$V33,IF(AND($R33&lt;&gt;"",EDATE($D33,Milestones!$AA$171)&gt;=$R33),$U33,$T33)))=Milestones!$AB$171),TEXT(EDATE($D33,Milestones!$AA$171),"dd/mm/yy")&amp;" "&amp;Milestones!$AB$171&amp;" "&amp;Milestones!$AC$171&amp;";  ","")&amp;IF(AND(EDATE($D33,Milestones!$AA$172)&lt;=AsOfDate,IF($Q33=0,$W33,IF(AND($S33&lt;&gt;"",EDATE($D33,Milestones!$AA$172)&gt;=$S33),$V33,IF(AND($R33&lt;&gt;"",EDATE($D33,Milestones!$AA$172)&gt;=$R33),$U33,$T33)))=Milestones!$AB$172),TEXT(EDATE($D33,Milestones!$AA$172),"dd/mm/yy")&amp;" "&amp;Milestones!$AB$172&amp;" "&amp;Milestones!$AC$172&amp;";  ","")&amp;IF(AND(EDATE($D33,Milestones!$AA$173)&lt;=AsOfDate,IF($Q33=0,$W33,IF(AND($S33&lt;&gt;"",EDATE($D33,Milestones!$AA$173)&gt;=$S33),$V33,IF(AND($R33&lt;&gt;"",EDATE($D33,Milestones!$AA$173)&gt;=$R33),$U33,$T33)))=Milestones!$AB$173),TEXT(EDATE($D33,Milestones!$AA$173),"dd/mm/yy")&amp;" "&amp;Milestones!$AB$173&amp;" "&amp;Milestones!$AC$173&amp;";  ","")&amp;IF(AND(EDATE($D33,Milestones!$AA$174)&lt;=AsOfDate,IF($Q33=0,$W33,IF(AND($S33&lt;&gt;"",EDATE($D33,Milestones!$AA$174)&gt;=$S33),$V33,IF(AND($R33&lt;&gt;"",EDATE($D33,Milestones!$AA$174)&gt;=$R33),$U33,$T33)))=Milestones!$AB$174),TEXT(EDATE($D33,Milestones!$AA$174),"dd/mm/yy")&amp;" "&amp;Milestones!$AB$174&amp;" "&amp;Milestones!$AC$174&amp;";  ","")&amp;IF(AND(EDATE($D33,Milestones!$AA$175)&lt;=AsOfDate,IF($Q33=0,$W33,IF(AND($S33&lt;&gt;"",EDATE($D33,Milestones!$AA$175)&gt;=$S33),$V33,IF(AND($R33&lt;&gt;"",EDATE($D33,Milestones!$AA$175)&gt;=$R33),$U33,$T33)))=Milestones!$AB$175),TEXT(EDATE($D33,Milestones!$AA$175),"dd/mm/yy")&amp;" "&amp;Milestones!$AB$175&amp;" "&amp;Milestones!$AC$175&amp;";  ","")&amp;IF(AND(EDATE($D33,Milestones!$AA$176)&lt;=AsOfDate,IF($Q33=0,$W33,IF(AND($S33&lt;&gt;"",EDATE($D33,Milestones!$AA$176)&gt;=$S33),$V33,IF(AND($R33&lt;&gt;"",EDATE($D33,Milestones!$AA$176)&gt;=$R33),$U33,$T33)))=Milestones!$AB$176),TEXT(EDATE($D33,Milestones!$AA$176),"dd/mm/yy")&amp;" "&amp;Milestones!$AB$176&amp;" "&amp;Milestones!$AC$176&amp;";  ","")&amp;IF(AND(EDATE($D33,Milestones!$AA$177)&lt;=AsOfDate,IF($Q33=0,$W33,IF(AND($S33&lt;&gt;"",EDATE($D33,Milestones!$AA$177)&gt;=$S33),$V33,IF(AND($R33&lt;&gt;"",EDATE($D33,Milestones!$AA$177)&gt;=$R33),$U33,$T33)))=Milestones!$AB$177),TEXT(EDATE($D33,Milestones!$AA$177),"dd/mm/yy")&amp;" "&amp;Milestones!$AB$177&amp;" "&amp;Milestones!$AC$177&amp;";  ","")&amp;IF(AND(EDATE($D33,Milestones!$AA$178)&lt;=AsOfDate,IF($Q33=0,$W33,IF(AND($S33&lt;&gt;"",EDATE($D33,Milestones!$AA$178)&gt;=$S33),$V33,IF(AND($R33&lt;&gt;"",EDATE($D33,Milestones!$AA$178)&gt;=$R33),$U33,$T33)))=Milestones!$AB$178),TEXT(EDATE($D33,Milestones!$AA$178),"dd/mm/yy")&amp;" "&amp;Milestones!$AB$178&amp;" "&amp;Milestones!$AC$178&amp;";  ","")&amp;IF(AND(EDATE($D33,Milestones!$AA$179)&lt;=AsOfDate,IF($Q33=0,$W33,IF(AND($S33&lt;&gt;"",EDATE($D33,Milestones!$AA$179)&gt;=$S33),$V33,IF(AND($R33&lt;&gt;"",EDATE($D33,Milestones!$AA$179)&gt;=$R33),$U33,$T33)))=Milestones!$AB$179),TEXT(EDATE($D33,Milestones!$AA$179),"dd/mm/yy")&amp;" "&amp;Milestones!$AB$179&amp;" "&amp;Milestones!$AC$179&amp;";  ",""))</f>
        <v/>
      </c>
      <c r="P33" s="0" t="str">
        <f aca="false">IF(OR($A33="",$D33=""),"",IF(AND(EDATE($D33,Milestones!$AA$180)&lt;=AsOfDate,IF($Q33=0,$W33,IF(AND($S33&lt;&gt;"",EDATE($D33,Milestones!$AA$180)&gt;=$S33),$V33,IF(AND($R33&lt;&gt;"",EDATE($D33,Milestones!$AA$180)&gt;=$R33),$U33,$T33)))=Milestones!$AB$180),TEXT(EDATE($D33,Milestones!$AA$180),"dd/mm/yy")&amp;" "&amp;Milestones!$AB$180&amp;" "&amp;Milestones!$AC$180&amp;";  ","")&amp;IF(AND(EDATE($D33,Milestones!$AA$181)&lt;=AsOfDate,IF($Q33=0,$W33,IF(AND($S33&lt;&gt;"",EDATE($D33,Milestones!$AA$181)&gt;=$S33),$V33,IF(AND($R33&lt;&gt;"",EDATE($D33,Milestones!$AA$181)&gt;=$R33),$U33,$T33)))=Milestones!$AB$181),TEXT(EDATE($D33,Milestones!$AA$181),"dd/mm/yy")&amp;" "&amp;Milestones!$AB$181&amp;" "&amp;Milestones!$AC$181&amp;";  ","")&amp;IF(AND(EDATE($D33,Milestones!$AA$182)&lt;=AsOfDate,IF($Q33=0,$W33,IF(AND($S33&lt;&gt;"",EDATE($D33,Milestones!$AA$182)&gt;=$S33),$V33,IF(AND($R33&lt;&gt;"",EDATE($D33,Milestones!$AA$182)&gt;=$R33),$U33,$T33)))=Milestones!$AB$182),TEXT(EDATE($D33,Milestones!$AA$182),"dd/mm/yy")&amp;" "&amp;Milestones!$AB$182&amp;" "&amp;Milestones!$AC$182&amp;";  ","")&amp;IF(AND(EDATE($D33,Milestones!$AA$183)&lt;=AsOfDate,IF($Q33=0,$W33,IF(AND($S33&lt;&gt;"",EDATE($D33,Milestones!$AA$183)&gt;=$S33),$V33,IF(AND($R33&lt;&gt;"",EDATE($D33,Milestones!$AA$183)&gt;=$R33),$U33,$T33)))=Milestones!$AB$183),TEXT(EDATE($D33,Milestones!$AA$183),"dd/mm/yy")&amp;" "&amp;Milestones!$AB$183&amp;" "&amp;Milestones!$AC$183&amp;";  ","")&amp;IF(AND(EDATE($D33,Milestones!$AA$184)&lt;=AsOfDate,IF($Q33=0,$W33,IF(AND($S33&lt;&gt;"",EDATE($D33,Milestones!$AA$184)&gt;=$S33),$V33,IF(AND($R33&lt;&gt;"",EDATE($D33,Milestones!$AA$184)&gt;=$R33),$U33,$T33)))=Milestones!$AB$184),TEXT(EDATE($D33,Milestones!$AA$184),"dd/mm/yy")&amp;" "&amp;Milestones!$AB$184&amp;" "&amp;Milestones!$AC$184&amp;";  ","")&amp;IF(AND(EDATE($D33,Milestones!$AA$185)&lt;=AsOfDate,IF($Q33=0,$W33,IF(AND($S33&lt;&gt;"",EDATE($D33,Milestones!$AA$185)&gt;=$S33),$V33,IF(AND($R33&lt;&gt;"",EDATE($D33,Milestones!$AA$185)&gt;=$R33),$U33,$T33)))=Milestones!$AB$185),TEXT(EDATE($D33,Milestones!$AA$185),"dd/mm/yy")&amp;" "&amp;Milestones!$AB$185&amp;" "&amp;Milestones!$AC$185&amp;";  ","")&amp;IF(AND(EDATE($D33,Milestones!$AA$186)&lt;=AsOfDate,IF($Q33=0,$W33,IF(AND($S33&lt;&gt;"",EDATE($D33,Milestones!$AA$186)&gt;=$S33),$V33,IF(AND($R33&lt;&gt;"",EDATE($D33,Milestones!$AA$186)&gt;=$R33),$U33,$T33)))=Milestones!$AB$186),TEXT(EDATE($D33,Milestones!$AA$186),"dd/mm/yy")&amp;" "&amp;Milestones!$AB$186&amp;" "&amp;Milestones!$AC$186&amp;";  ","")&amp;IF(AND(EDATE($D33,Milestones!$AA$187)&lt;=AsOfDate,IF($Q33=0,$W33,IF(AND($S33&lt;&gt;"",EDATE($D33,Milestones!$AA$187)&gt;=$S33),$V33,IF(AND($R33&lt;&gt;"",EDATE($D33,Milestones!$AA$187)&gt;=$R33),$U33,$T33)))=Milestones!$AB$187),TEXT(EDATE($D33,Milestones!$AA$187),"dd/mm/yy")&amp;" "&amp;Milestones!$AB$187&amp;" "&amp;Milestones!$AC$187&amp;";  ","")&amp;IF(AND(EDATE($D33,Milestones!$AA$188)&lt;=AsOfDate,IF($Q33=0,$W33,IF(AND($S33&lt;&gt;"",EDATE($D33,Milestones!$AA$188)&gt;=$S33),$V33,IF(AND($R33&lt;&gt;"",EDATE($D33,Milestones!$AA$188)&gt;=$R33),$U33,$T33)))=Milestones!$AB$188),TEXT(EDATE($D33,Milestones!$AA$188),"dd/mm/yy")&amp;" "&amp;Milestones!$AB$188&amp;" "&amp;Milestones!$AC$188&amp;";  ","")&amp;IF(AND(EDATE($D33,Milestones!$AA$189)&lt;=AsOfDate,IF($Q33=0,$W33,IF(AND($S33&lt;&gt;"",EDATE($D33,Milestones!$AA$189)&gt;=$S33),$V33,IF(AND($R33&lt;&gt;"",EDATE($D33,Milestones!$AA$189)&gt;=$R33),$U33,$T33)))=Milestones!$AB$189),TEXT(EDATE($D33,Milestones!$AA$189),"dd/mm/yy")&amp;" "&amp;Milestones!$AB$189&amp;" "&amp;Milestones!$AC$189&amp;";  ","")&amp;IF(AND(EDATE($D33,Milestones!$AA$190)&lt;=AsOfDate,IF($Q33=0,$W33,IF(AND($S33&lt;&gt;"",EDATE($D33,Milestones!$AA$190)&gt;=$S33),$V33,IF(AND($R33&lt;&gt;"",EDATE($D33,Milestones!$AA$190)&gt;=$R33),$U33,$T33)))=Milestones!$AB$190),TEXT(EDATE($D33,Milestones!$AA$190),"dd/mm/yy")&amp;" "&amp;Milestones!$AB$190&amp;" "&amp;Milestones!$AC$190&amp;";  ","")&amp;IF(AND(EDATE($D33,Milestones!$AA$191)&lt;=AsOfDate,IF($Q33=0,$W33,IF(AND($S33&lt;&gt;"",EDATE($D33,Milestones!$AA$191)&gt;=$S33),$V33,IF(AND($R33&lt;&gt;"",EDATE($D33,Milestones!$AA$191)&gt;=$R33),$U33,$T33)))=Milestones!$AB$191),TEXT(EDATE($D33,Milestones!$AA$191),"dd/mm/yy")&amp;" "&amp;Milestones!$AB$191&amp;" "&amp;Milestones!$AC$191&amp;";  ","")&amp;IF(AND(EDATE($D33,Milestones!$AA$192)&lt;=AsOfDate,IF($Q33=0,$W33,IF(AND($S33&lt;&gt;"",EDATE($D33,Milestones!$AA$192)&gt;=$S33),$V33,IF(AND($R33&lt;&gt;"",EDATE($D33,Milestones!$AA$192)&gt;=$R33),$U33,$T33)))=Milestones!$AB$192),TEXT(EDATE($D33,Milestones!$AA$192),"dd/mm/yy")&amp;" "&amp;Milestones!$AB$192&amp;" "&amp;Milestones!$AC$192&amp;";  ","")&amp;IF(AND(EDATE($D33,Milestones!$AA$193)&lt;=AsOfDate,IF($Q33=0,$W33,IF(AND($S33&lt;&gt;"",EDATE($D33,Milestones!$AA$193)&gt;=$S33),$V33,IF(AND($R33&lt;&gt;"",EDATE($D33,Milestones!$AA$193)&gt;=$R33),$U33,$T33)))=Milestones!$AB$193),TEXT(EDATE($D33,Milestones!$AA$193),"dd/mm/yy")&amp;" "&amp;Milestones!$AB$193&amp;" "&amp;Milestones!$AC$193&amp;";  ","")&amp;IF(AND(EDATE($D33,Milestones!$AA$194)&lt;=AsOfDate,IF($Q33=0,$W33,IF(AND($S33&lt;&gt;"",EDATE($D33,Milestones!$AA$194)&gt;=$S33),$V33,IF(AND($R33&lt;&gt;"",EDATE($D33,Milestones!$AA$194)&gt;=$R33),$U33,$T33)))=Milestones!$AB$194),TEXT(EDATE($D33,Milestones!$AA$194),"dd/mm/yy")&amp;" "&amp;Milestones!$AB$194&amp;" "&amp;Milestones!$AC$194&amp;";  ","")&amp;IF(AND(EDATE($D33,Milestones!$AA$195)&lt;=AsOfDate,IF($Q33=0,$W33,IF(AND($S33&lt;&gt;"",EDATE($D33,Milestones!$AA$195)&gt;=$S33),$V33,IF(AND($R33&lt;&gt;"",EDATE($D33,Milestones!$AA$195)&gt;=$R33),$U33,$T33)))=Milestones!$AB$195),TEXT(EDATE($D33,Milestones!$AA$195),"dd/mm/yy")&amp;" "&amp;Milestones!$AB$195&amp;" "&amp;Milestones!$AC$195&amp;";  ","")&amp;IF(AND(EDATE($D33,Milestones!$AA$196)&lt;=AsOfDate,IF($Q33=0,$W33,IF(AND($S33&lt;&gt;"",EDATE($D33,Milestones!$AA$196)&gt;=$S33),$V33,IF(AND($R33&lt;&gt;"",EDATE($D33,Milestones!$AA$196)&gt;=$R33),$U33,$T33)))=Milestones!$AB$196),TEXT(EDATE($D33,Milestones!$AA$196),"dd/mm/yy")&amp;" "&amp;Milestones!$AB$196&amp;" "&amp;Milestones!$AC$196&amp;";  ","")&amp;IF(AND(EDATE($D33,Milestones!$AA$197)&lt;=AsOfDate,IF($Q33=0,$W33,IF(AND($S33&lt;&gt;"",EDATE($D33,Milestones!$AA$197)&gt;=$S33),$V33,IF(AND($R33&lt;&gt;"",EDATE($D33,Milestones!$AA$197)&gt;=$R33),$U33,$T33)))=Milestones!$AB$197),TEXT(EDATE($D33,Milestones!$AA$197),"dd/mm/yy")&amp;" "&amp;Milestones!$AB$197&amp;" "&amp;Milestones!$AC$197&amp;";  ","")&amp;IF(AND(EDATE($D33,Milestones!$AA$198)&lt;=AsOfDate,IF($Q33=0,$W33,IF(AND($S33&lt;&gt;"",EDATE($D33,Milestones!$AA$198)&gt;=$S33),$V33,IF(AND($R33&lt;&gt;"",EDATE($D33,Milestones!$AA$198)&gt;=$R33),$U33,$T33)))=Milestones!$AB$198),TEXT(EDATE($D33,Milestones!$AA$198),"dd/mm/yy")&amp;" "&amp;Milestones!$AB$198&amp;" "&amp;Milestones!$AC$198&amp;";  ","")&amp;IF(AND(EDATE($D33,Milestones!$AA$199)&lt;=AsOfDate,IF($Q33=0,$W33,IF(AND($S33&lt;&gt;"",EDATE($D33,Milestones!$AA$199)&gt;=$S33),$V33,IF(AND($R33&lt;&gt;"",EDATE($D33,Milestones!$AA$199)&gt;=$R33),$U33,$T33)))=Milestones!$AB$199),TEXT(EDATE($D33,Milestones!$AA$199),"dd/mm/yy")&amp;" "&amp;Milestones!$AB$199&amp;" "&amp;Milestones!$AC$199&amp;";  ",""))</f>
        <v/>
      </c>
      <c r="Q33" s="0" t="str">
        <f aca="false">IF(Staff!$A33="","",Staff!$AG33)</f>
        <v/>
      </c>
      <c r="R33" s="0" t="str">
        <f aca="false">IF(Staff!$A33="","",Staff!$AI33)</f>
        <v/>
      </c>
      <c r="S33" s="0" t="str">
        <f aca="false">IF(Staff!$A33="","",Staff!$AJ33)</f>
        <v/>
      </c>
      <c r="T33" s="0" t="str">
        <f aca="false">IF(Staff!$A33="","",Staff!$AN33)</f>
        <v/>
      </c>
      <c r="U33" s="0" t="str">
        <f aca="false">IF(Staff!$A33="","",Staff!$AO33)</f>
        <v/>
      </c>
      <c r="V33" s="0" t="str">
        <f aca="false">IF(Staff!$A33="","",Staff!$AP33)</f>
        <v/>
      </c>
      <c r="W33" s="0" t="str">
        <f aca="false">IF(Staff!$A33="","",Staff!$AQ33)</f>
        <v/>
      </c>
    </row>
    <row r="34" customFormat="false" ht="15" hidden="false" customHeight="false" outlineLevel="0" collapsed="false">
      <c r="A34" s="13" t="str">
        <f aca="false">IF(Staff!$A34="","",Staff!$A34)</f>
        <v/>
      </c>
      <c r="B34" s="13" t="str">
        <f aca="false">IF(Staff!$A34="","",Staff!$B34)</f>
        <v/>
      </c>
      <c r="C34" s="13" t="str">
        <f aca="false">IF(Staff!$A34="","",Staff!$C34)</f>
        <v/>
      </c>
      <c r="D34" s="11" t="str">
        <f aca="false">IF(Staff!$A34="","",Staff!$AF34)</f>
        <v/>
      </c>
      <c r="E34" s="13" t="str">
        <f aca="false">IF(Staff!$A34="","",Staff!$O34)</f>
        <v/>
      </c>
      <c r="F34" s="13" t="str">
        <f aca="false">IF(E34="","",E34*HoursPerDay)</f>
        <v/>
      </c>
      <c r="G34" s="26" t="str">
        <f aca="false">IF($A34="","",H34&amp;I34&amp;J34&amp;K34&amp;L34&amp;M34&amp;N34&amp;O34&amp;P34)</f>
        <v/>
      </c>
      <c r="H34" s="0" t="str">
        <f aca="false">IF(OR($A34="",$D34=""),"",IF(AND(EDATE($D34,Milestones!$AA$20)&lt;=AsOfDate,IF($Q34=0,$W34,IF(AND($S34&lt;&gt;"",EDATE($D34,Milestones!$AA$20)&gt;=$S34),$V34,IF(AND($R34&lt;&gt;"",EDATE($D34,Milestones!$AA$20)&gt;=$R34),$U34,$T34)))=Milestones!$AB$20),TEXT(EDATE($D34,Milestones!$AA$20),"dd/mm/yy")&amp;" "&amp;Milestones!$AB$20&amp;" "&amp;Milestones!$AC$20&amp;";  ","")&amp;IF(AND(EDATE($D34,Milestones!$AA$21)&lt;=AsOfDate,IF($Q34=0,$W34,IF(AND($S34&lt;&gt;"",EDATE($D34,Milestones!$AA$21)&gt;=$S34),$V34,IF(AND($R34&lt;&gt;"",EDATE($D34,Milestones!$AA$21)&gt;=$R34),$U34,$T34)))=Milestones!$AB$21),TEXT(EDATE($D34,Milestones!$AA$21),"dd/mm/yy")&amp;" "&amp;Milestones!$AB$21&amp;" "&amp;Milestones!$AC$21&amp;";  ","")&amp;IF(AND(EDATE($D34,Milestones!$AA$22)&lt;=AsOfDate,IF($Q34=0,$W34,IF(AND($S34&lt;&gt;"",EDATE($D34,Milestones!$AA$22)&gt;=$S34),$V34,IF(AND($R34&lt;&gt;"",EDATE($D34,Milestones!$AA$22)&gt;=$R34),$U34,$T34)))=Milestones!$AB$22),TEXT(EDATE($D34,Milestones!$AA$22),"dd/mm/yy")&amp;" "&amp;Milestones!$AB$22&amp;" "&amp;Milestones!$AC$22&amp;";  ","")&amp;IF(AND(EDATE($D34,Milestones!$AA$23)&lt;=AsOfDate,IF($Q34=0,$W34,IF(AND($S34&lt;&gt;"",EDATE($D34,Milestones!$AA$23)&gt;=$S34),$V34,IF(AND($R34&lt;&gt;"",EDATE($D34,Milestones!$AA$23)&gt;=$R34),$U34,$T34)))=Milestones!$AB$23),TEXT(EDATE($D34,Milestones!$AA$23),"dd/mm/yy")&amp;" "&amp;Milestones!$AB$23&amp;" "&amp;Milestones!$AC$23&amp;";  ","")&amp;IF(AND(EDATE($D34,Milestones!$AA$24)&lt;=AsOfDate,IF($Q34=0,$W34,IF(AND($S34&lt;&gt;"",EDATE($D34,Milestones!$AA$24)&gt;=$S34),$V34,IF(AND($R34&lt;&gt;"",EDATE($D34,Milestones!$AA$24)&gt;=$R34),$U34,$T34)))=Milestones!$AB$24),TEXT(EDATE($D34,Milestones!$AA$24),"dd/mm/yy")&amp;" "&amp;Milestones!$AB$24&amp;" "&amp;Milestones!$AC$24&amp;";  ","")&amp;IF(AND(EDATE($D34,Milestones!$AA$25)&lt;=AsOfDate,IF($Q34=0,$W34,IF(AND($S34&lt;&gt;"",EDATE($D34,Milestones!$AA$25)&gt;=$S34),$V34,IF(AND($R34&lt;&gt;"",EDATE($D34,Milestones!$AA$25)&gt;=$R34),$U34,$T34)))=Milestones!$AB$25),TEXT(EDATE($D34,Milestones!$AA$25),"dd/mm/yy")&amp;" "&amp;Milestones!$AB$25&amp;" "&amp;Milestones!$AC$25&amp;";  ","")&amp;IF(AND(EDATE($D34,Milestones!$AA$26)&lt;=AsOfDate,IF($Q34=0,$W34,IF(AND($S34&lt;&gt;"",EDATE($D34,Milestones!$AA$26)&gt;=$S34),$V34,IF(AND($R34&lt;&gt;"",EDATE($D34,Milestones!$AA$26)&gt;=$R34),$U34,$T34)))=Milestones!$AB$26),TEXT(EDATE($D34,Milestones!$AA$26),"dd/mm/yy")&amp;" "&amp;Milestones!$AB$26&amp;" "&amp;Milestones!$AC$26&amp;";  ","")&amp;IF(AND(EDATE($D34,Milestones!$AA$27)&lt;=AsOfDate,IF($Q34=0,$W34,IF(AND($S34&lt;&gt;"",EDATE($D34,Milestones!$AA$27)&gt;=$S34),$V34,IF(AND($R34&lt;&gt;"",EDATE($D34,Milestones!$AA$27)&gt;=$R34),$U34,$T34)))=Milestones!$AB$27),TEXT(EDATE($D34,Milestones!$AA$27),"dd/mm/yy")&amp;" "&amp;Milestones!$AB$27&amp;" "&amp;Milestones!$AC$27&amp;";  ","")&amp;IF(AND(EDATE($D34,Milestones!$AA$28)&lt;=AsOfDate,IF($Q34=0,$W34,IF(AND($S34&lt;&gt;"",EDATE($D34,Milestones!$AA$28)&gt;=$S34),$V34,IF(AND($R34&lt;&gt;"",EDATE($D34,Milestones!$AA$28)&gt;=$R34),$U34,$T34)))=Milestones!$AB$28),TEXT(EDATE($D34,Milestones!$AA$28),"dd/mm/yy")&amp;" "&amp;Milestones!$AB$28&amp;" "&amp;Milestones!$AC$28&amp;";  ","")&amp;IF(AND(EDATE($D34,Milestones!$AA$29)&lt;=AsOfDate,IF($Q34=0,$W34,IF(AND($S34&lt;&gt;"",EDATE($D34,Milestones!$AA$29)&gt;=$S34),$V34,IF(AND($R34&lt;&gt;"",EDATE($D34,Milestones!$AA$29)&gt;=$R34),$U34,$T34)))=Milestones!$AB$29),TEXT(EDATE($D34,Milestones!$AA$29),"dd/mm/yy")&amp;" "&amp;Milestones!$AB$29&amp;" "&amp;Milestones!$AC$29&amp;";  ","")&amp;IF(AND(EDATE($D34,Milestones!$AA$30)&lt;=AsOfDate,IF($Q34=0,$W34,IF(AND($S34&lt;&gt;"",EDATE($D34,Milestones!$AA$30)&gt;=$S34),$V34,IF(AND($R34&lt;&gt;"",EDATE($D34,Milestones!$AA$30)&gt;=$R34),$U34,$T34)))=Milestones!$AB$30),TEXT(EDATE($D34,Milestones!$AA$30),"dd/mm/yy")&amp;" "&amp;Milestones!$AB$30&amp;" "&amp;Milestones!$AC$30&amp;";  ","")&amp;IF(AND(EDATE($D34,Milestones!$AA$31)&lt;=AsOfDate,IF($Q34=0,$W34,IF(AND($S34&lt;&gt;"",EDATE($D34,Milestones!$AA$31)&gt;=$S34),$V34,IF(AND($R34&lt;&gt;"",EDATE($D34,Milestones!$AA$31)&gt;=$R34),$U34,$T34)))=Milestones!$AB$31),TEXT(EDATE($D34,Milestones!$AA$31),"dd/mm/yy")&amp;" "&amp;Milestones!$AB$31&amp;" "&amp;Milestones!$AC$31&amp;";  ","")&amp;IF(AND(EDATE($D34,Milestones!$AA$32)&lt;=AsOfDate,IF($Q34=0,$W34,IF(AND($S34&lt;&gt;"",EDATE($D34,Milestones!$AA$32)&gt;=$S34),$V34,IF(AND($R34&lt;&gt;"",EDATE($D34,Milestones!$AA$32)&gt;=$R34),$U34,$T34)))=Milestones!$AB$32),TEXT(EDATE($D34,Milestones!$AA$32),"dd/mm/yy")&amp;" "&amp;Milestones!$AB$32&amp;" "&amp;Milestones!$AC$32&amp;";  ","")&amp;IF(AND(EDATE($D34,Milestones!$AA$33)&lt;=AsOfDate,IF($Q34=0,$W34,IF(AND($S34&lt;&gt;"",EDATE($D34,Milestones!$AA$33)&gt;=$S34),$V34,IF(AND($R34&lt;&gt;"",EDATE($D34,Milestones!$AA$33)&gt;=$R34),$U34,$T34)))=Milestones!$AB$33),TEXT(EDATE($D34,Milestones!$AA$33),"dd/mm/yy")&amp;" "&amp;Milestones!$AB$33&amp;" "&amp;Milestones!$AC$33&amp;";  ","")&amp;IF(AND(EDATE($D34,Milestones!$AA$34)&lt;=AsOfDate,IF($Q34=0,$W34,IF(AND($S34&lt;&gt;"",EDATE($D34,Milestones!$AA$34)&gt;=$S34),$V34,IF(AND($R34&lt;&gt;"",EDATE($D34,Milestones!$AA$34)&gt;=$R34),$U34,$T34)))=Milestones!$AB$34),TEXT(EDATE($D34,Milestones!$AA$34),"dd/mm/yy")&amp;" "&amp;Milestones!$AB$34&amp;" "&amp;Milestones!$AC$34&amp;";  ","")&amp;IF(AND(EDATE($D34,Milestones!$AA$35)&lt;=AsOfDate,IF($Q34=0,$W34,IF(AND($S34&lt;&gt;"",EDATE($D34,Milestones!$AA$35)&gt;=$S34),$V34,IF(AND($R34&lt;&gt;"",EDATE($D34,Milestones!$AA$35)&gt;=$R34),$U34,$T34)))=Milestones!$AB$35),TEXT(EDATE($D34,Milestones!$AA$35),"dd/mm/yy")&amp;" "&amp;Milestones!$AB$35&amp;" "&amp;Milestones!$AC$35&amp;";  ","")&amp;IF(AND(EDATE($D34,Milestones!$AA$36)&lt;=AsOfDate,IF($Q34=0,$W34,IF(AND($S34&lt;&gt;"",EDATE($D34,Milestones!$AA$36)&gt;=$S34),$V34,IF(AND($R34&lt;&gt;"",EDATE($D34,Milestones!$AA$36)&gt;=$R34),$U34,$T34)))=Milestones!$AB$36),TEXT(EDATE($D34,Milestones!$AA$36),"dd/mm/yy")&amp;" "&amp;Milestones!$AB$36&amp;" "&amp;Milestones!$AC$36&amp;";  ","")&amp;IF(AND(EDATE($D34,Milestones!$AA$37)&lt;=AsOfDate,IF($Q34=0,$W34,IF(AND($S34&lt;&gt;"",EDATE($D34,Milestones!$AA$37)&gt;=$S34),$V34,IF(AND($R34&lt;&gt;"",EDATE($D34,Milestones!$AA$37)&gt;=$R34),$U34,$T34)))=Milestones!$AB$37),TEXT(EDATE($D34,Milestones!$AA$37),"dd/mm/yy")&amp;" "&amp;Milestones!$AB$37&amp;" "&amp;Milestones!$AC$37&amp;";  ","")&amp;IF(AND(EDATE($D34,Milestones!$AA$38)&lt;=AsOfDate,IF($Q34=0,$W34,IF(AND($S34&lt;&gt;"",EDATE($D34,Milestones!$AA$38)&gt;=$S34),$V34,IF(AND($R34&lt;&gt;"",EDATE($D34,Milestones!$AA$38)&gt;=$R34),$U34,$T34)))=Milestones!$AB$38),TEXT(EDATE($D34,Milestones!$AA$38),"dd/mm/yy")&amp;" "&amp;Milestones!$AB$38&amp;" "&amp;Milestones!$AC$38&amp;";  ","")&amp;IF(AND(EDATE($D34,Milestones!$AA$39)&lt;=AsOfDate,IF($Q34=0,$W34,IF(AND($S34&lt;&gt;"",EDATE($D34,Milestones!$AA$39)&gt;=$S34),$V34,IF(AND($R34&lt;&gt;"",EDATE($D34,Milestones!$AA$39)&gt;=$R34),$U34,$T34)))=Milestones!$AB$39),TEXT(EDATE($D34,Milestones!$AA$39),"dd/mm/yy")&amp;" "&amp;Milestones!$AB$39&amp;" "&amp;Milestones!$AC$39&amp;";  ",""))</f>
        <v/>
      </c>
      <c r="I34" s="0" t="str">
        <f aca="false">IF(OR($A34="",$D34=""),"",IF(AND(EDATE($D34,Milestones!$AA$40)&lt;=AsOfDate,IF($Q34=0,$W34,IF(AND($S34&lt;&gt;"",EDATE($D34,Milestones!$AA$40)&gt;=$S34),$V34,IF(AND($R34&lt;&gt;"",EDATE($D34,Milestones!$AA$40)&gt;=$R34),$U34,$T34)))=Milestones!$AB$40),TEXT(EDATE($D34,Milestones!$AA$40),"dd/mm/yy")&amp;" "&amp;Milestones!$AB$40&amp;" "&amp;Milestones!$AC$40&amp;";  ","")&amp;IF(AND(EDATE($D34,Milestones!$AA$41)&lt;=AsOfDate,IF($Q34=0,$W34,IF(AND($S34&lt;&gt;"",EDATE($D34,Milestones!$AA$41)&gt;=$S34),$V34,IF(AND($R34&lt;&gt;"",EDATE($D34,Milestones!$AA$41)&gt;=$R34),$U34,$T34)))=Milestones!$AB$41),TEXT(EDATE($D34,Milestones!$AA$41),"dd/mm/yy")&amp;" "&amp;Milestones!$AB$41&amp;" "&amp;Milestones!$AC$41&amp;";  ","")&amp;IF(AND(EDATE($D34,Milestones!$AA$42)&lt;=AsOfDate,IF($Q34=0,$W34,IF(AND($S34&lt;&gt;"",EDATE($D34,Milestones!$AA$42)&gt;=$S34),$V34,IF(AND($R34&lt;&gt;"",EDATE($D34,Milestones!$AA$42)&gt;=$R34),$U34,$T34)))=Milestones!$AB$42),TEXT(EDATE($D34,Milestones!$AA$42),"dd/mm/yy")&amp;" "&amp;Milestones!$AB$42&amp;" "&amp;Milestones!$AC$42&amp;";  ","")&amp;IF(AND(EDATE($D34,Milestones!$AA$43)&lt;=AsOfDate,IF($Q34=0,$W34,IF(AND($S34&lt;&gt;"",EDATE($D34,Milestones!$AA$43)&gt;=$S34),$V34,IF(AND($R34&lt;&gt;"",EDATE($D34,Milestones!$AA$43)&gt;=$R34),$U34,$T34)))=Milestones!$AB$43),TEXT(EDATE($D34,Milestones!$AA$43),"dd/mm/yy")&amp;" "&amp;Milestones!$AB$43&amp;" "&amp;Milestones!$AC$43&amp;";  ","")&amp;IF(AND(EDATE($D34,Milestones!$AA$44)&lt;=AsOfDate,IF($Q34=0,$W34,IF(AND($S34&lt;&gt;"",EDATE($D34,Milestones!$AA$44)&gt;=$S34),$V34,IF(AND($R34&lt;&gt;"",EDATE($D34,Milestones!$AA$44)&gt;=$R34),$U34,$T34)))=Milestones!$AB$44),TEXT(EDATE($D34,Milestones!$AA$44),"dd/mm/yy")&amp;" "&amp;Milestones!$AB$44&amp;" "&amp;Milestones!$AC$44&amp;";  ","")&amp;IF(AND(EDATE($D34,Milestones!$AA$45)&lt;=AsOfDate,IF($Q34=0,$W34,IF(AND($S34&lt;&gt;"",EDATE($D34,Milestones!$AA$45)&gt;=$S34),$V34,IF(AND($R34&lt;&gt;"",EDATE($D34,Milestones!$AA$45)&gt;=$R34),$U34,$T34)))=Milestones!$AB$45),TEXT(EDATE($D34,Milestones!$AA$45),"dd/mm/yy")&amp;" "&amp;Milestones!$AB$45&amp;" "&amp;Milestones!$AC$45&amp;";  ","")&amp;IF(AND(EDATE($D34,Milestones!$AA$46)&lt;=AsOfDate,IF($Q34=0,$W34,IF(AND($S34&lt;&gt;"",EDATE($D34,Milestones!$AA$46)&gt;=$S34),$V34,IF(AND($R34&lt;&gt;"",EDATE($D34,Milestones!$AA$46)&gt;=$R34),$U34,$T34)))=Milestones!$AB$46),TEXT(EDATE($D34,Milestones!$AA$46),"dd/mm/yy")&amp;" "&amp;Milestones!$AB$46&amp;" "&amp;Milestones!$AC$46&amp;";  ","")&amp;IF(AND(EDATE($D34,Milestones!$AA$47)&lt;=AsOfDate,IF($Q34=0,$W34,IF(AND($S34&lt;&gt;"",EDATE($D34,Milestones!$AA$47)&gt;=$S34),$V34,IF(AND($R34&lt;&gt;"",EDATE($D34,Milestones!$AA$47)&gt;=$R34),$U34,$T34)))=Milestones!$AB$47),TEXT(EDATE($D34,Milestones!$AA$47),"dd/mm/yy")&amp;" "&amp;Milestones!$AB$47&amp;" "&amp;Milestones!$AC$47&amp;";  ","")&amp;IF(AND(EDATE($D34,Milestones!$AA$48)&lt;=AsOfDate,IF($Q34=0,$W34,IF(AND($S34&lt;&gt;"",EDATE($D34,Milestones!$AA$48)&gt;=$S34),$V34,IF(AND($R34&lt;&gt;"",EDATE($D34,Milestones!$AA$48)&gt;=$R34),$U34,$T34)))=Milestones!$AB$48),TEXT(EDATE($D34,Milestones!$AA$48),"dd/mm/yy")&amp;" "&amp;Milestones!$AB$48&amp;" "&amp;Milestones!$AC$48&amp;";  ","")&amp;IF(AND(EDATE($D34,Milestones!$AA$49)&lt;=AsOfDate,IF($Q34=0,$W34,IF(AND($S34&lt;&gt;"",EDATE($D34,Milestones!$AA$49)&gt;=$S34),$V34,IF(AND($R34&lt;&gt;"",EDATE($D34,Milestones!$AA$49)&gt;=$R34),$U34,$T34)))=Milestones!$AB$49),TEXT(EDATE($D34,Milestones!$AA$49),"dd/mm/yy")&amp;" "&amp;Milestones!$AB$49&amp;" "&amp;Milestones!$AC$49&amp;";  ","")&amp;IF(AND(EDATE($D34,Milestones!$AA$50)&lt;=AsOfDate,IF($Q34=0,$W34,IF(AND($S34&lt;&gt;"",EDATE($D34,Milestones!$AA$50)&gt;=$S34),$V34,IF(AND($R34&lt;&gt;"",EDATE($D34,Milestones!$AA$50)&gt;=$R34),$U34,$T34)))=Milestones!$AB$50),TEXT(EDATE($D34,Milestones!$AA$50),"dd/mm/yy")&amp;" "&amp;Milestones!$AB$50&amp;" "&amp;Milestones!$AC$50&amp;";  ","")&amp;IF(AND(EDATE($D34,Milestones!$AA$51)&lt;=AsOfDate,IF($Q34=0,$W34,IF(AND($S34&lt;&gt;"",EDATE($D34,Milestones!$AA$51)&gt;=$S34),$V34,IF(AND($R34&lt;&gt;"",EDATE($D34,Milestones!$AA$51)&gt;=$R34),$U34,$T34)))=Milestones!$AB$51),TEXT(EDATE($D34,Milestones!$AA$51),"dd/mm/yy")&amp;" "&amp;Milestones!$AB$51&amp;" "&amp;Milestones!$AC$51&amp;";  ","")&amp;IF(AND(EDATE($D34,Milestones!$AA$52)&lt;=AsOfDate,IF($Q34=0,$W34,IF(AND($S34&lt;&gt;"",EDATE($D34,Milestones!$AA$52)&gt;=$S34),$V34,IF(AND($R34&lt;&gt;"",EDATE($D34,Milestones!$AA$52)&gt;=$R34),$U34,$T34)))=Milestones!$AB$52),TEXT(EDATE($D34,Milestones!$AA$52),"dd/mm/yy")&amp;" "&amp;Milestones!$AB$52&amp;" "&amp;Milestones!$AC$52&amp;";  ","")&amp;IF(AND(EDATE($D34,Milestones!$AA$53)&lt;=AsOfDate,IF($Q34=0,$W34,IF(AND($S34&lt;&gt;"",EDATE($D34,Milestones!$AA$53)&gt;=$S34),$V34,IF(AND($R34&lt;&gt;"",EDATE($D34,Milestones!$AA$53)&gt;=$R34),$U34,$T34)))=Milestones!$AB$53),TEXT(EDATE($D34,Milestones!$AA$53),"dd/mm/yy")&amp;" "&amp;Milestones!$AB$53&amp;" "&amp;Milestones!$AC$53&amp;";  ","")&amp;IF(AND(EDATE($D34,Milestones!$AA$54)&lt;=AsOfDate,IF($Q34=0,$W34,IF(AND($S34&lt;&gt;"",EDATE($D34,Milestones!$AA$54)&gt;=$S34),$V34,IF(AND($R34&lt;&gt;"",EDATE($D34,Milestones!$AA$54)&gt;=$R34),$U34,$T34)))=Milestones!$AB$54),TEXT(EDATE($D34,Milestones!$AA$54),"dd/mm/yy")&amp;" "&amp;Milestones!$AB$54&amp;" "&amp;Milestones!$AC$54&amp;";  ","")&amp;IF(AND(EDATE($D34,Milestones!$AA$55)&lt;=AsOfDate,IF($Q34=0,$W34,IF(AND($S34&lt;&gt;"",EDATE($D34,Milestones!$AA$55)&gt;=$S34),$V34,IF(AND($R34&lt;&gt;"",EDATE($D34,Milestones!$AA$55)&gt;=$R34),$U34,$T34)))=Milestones!$AB$55),TEXT(EDATE($D34,Milestones!$AA$55),"dd/mm/yy")&amp;" "&amp;Milestones!$AB$55&amp;" "&amp;Milestones!$AC$55&amp;";  ","")&amp;IF(AND(EDATE($D34,Milestones!$AA$56)&lt;=AsOfDate,IF($Q34=0,$W34,IF(AND($S34&lt;&gt;"",EDATE($D34,Milestones!$AA$56)&gt;=$S34),$V34,IF(AND($R34&lt;&gt;"",EDATE($D34,Milestones!$AA$56)&gt;=$R34),$U34,$T34)))=Milestones!$AB$56),TEXT(EDATE($D34,Milestones!$AA$56),"dd/mm/yy")&amp;" "&amp;Milestones!$AB$56&amp;" "&amp;Milestones!$AC$56&amp;";  ","")&amp;IF(AND(EDATE($D34,Milestones!$AA$57)&lt;=AsOfDate,IF($Q34=0,$W34,IF(AND($S34&lt;&gt;"",EDATE($D34,Milestones!$AA$57)&gt;=$S34),$V34,IF(AND($R34&lt;&gt;"",EDATE($D34,Milestones!$AA$57)&gt;=$R34),$U34,$T34)))=Milestones!$AB$57),TEXT(EDATE($D34,Milestones!$AA$57),"dd/mm/yy")&amp;" "&amp;Milestones!$AB$57&amp;" "&amp;Milestones!$AC$57&amp;";  ","")&amp;IF(AND(EDATE($D34,Milestones!$AA$58)&lt;=AsOfDate,IF($Q34=0,$W34,IF(AND($S34&lt;&gt;"",EDATE($D34,Milestones!$AA$58)&gt;=$S34),$V34,IF(AND($R34&lt;&gt;"",EDATE($D34,Milestones!$AA$58)&gt;=$R34),$U34,$T34)))=Milestones!$AB$58),TEXT(EDATE($D34,Milestones!$AA$58),"dd/mm/yy")&amp;" "&amp;Milestones!$AB$58&amp;" "&amp;Milestones!$AC$58&amp;";  ","")&amp;IF(AND(EDATE($D34,Milestones!$AA$59)&lt;=AsOfDate,IF($Q34=0,$W34,IF(AND($S34&lt;&gt;"",EDATE($D34,Milestones!$AA$59)&gt;=$S34),$V34,IF(AND($R34&lt;&gt;"",EDATE($D34,Milestones!$AA$59)&gt;=$R34),$U34,$T34)))=Milestones!$AB$59),TEXT(EDATE($D34,Milestones!$AA$59),"dd/mm/yy")&amp;" "&amp;Milestones!$AB$59&amp;" "&amp;Milestones!$AC$59&amp;";  ",""))</f>
        <v/>
      </c>
      <c r="J34" s="0" t="str">
        <f aca="false">IF(OR($A34="",$D34=""),"",IF(AND(EDATE($D34,Milestones!$AA$60)&lt;=AsOfDate,IF($Q34=0,$W34,IF(AND($S34&lt;&gt;"",EDATE($D34,Milestones!$AA$60)&gt;=$S34),$V34,IF(AND($R34&lt;&gt;"",EDATE($D34,Milestones!$AA$60)&gt;=$R34),$U34,$T34)))=Milestones!$AB$60),TEXT(EDATE($D34,Milestones!$AA$60),"dd/mm/yy")&amp;" "&amp;Milestones!$AB$60&amp;" "&amp;Milestones!$AC$60&amp;";  ","")&amp;IF(AND(EDATE($D34,Milestones!$AA$61)&lt;=AsOfDate,IF($Q34=0,$W34,IF(AND($S34&lt;&gt;"",EDATE($D34,Milestones!$AA$61)&gt;=$S34),$V34,IF(AND($R34&lt;&gt;"",EDATE($D34,Milestones!$AA$61)&gt;=$R34),$U34,$T34)))=Milestones!$AB$61),TEXT(EDATE($D34,Milestones!$AA$61),"dd/mm/yy")&amp;" "&amp;Milestones!$AB$61&amp;" "&amp;Milestones!$AC$61&amp;";  ","")&amp;IF(AND(EDATE($D34,Milestones!$AA$62)&lt;=AsOfDate,IF($Q34=0,$W34,IF(AND($S34&lt;&gt;"",EDATE($D34,Milestones!$AA$62)&gt;=$S34),$V34,IF(AND($R34&lt;&gt;"",EDATE($D34,Milestones!$AA$62)&gt;=$R34),$U34,$T34)))=Milestones!$AB$62),TEXT(EDATE($D34,Milestones!$AA$62),"dd/mm/yy")&amp;" "&amp;Milestones!$AB$62&amp;" "&amp;Milestones!$AC$62&amp;";  ","")&amp;IF(AND(EDATE($D34,Milestones!$AA$63)&lt;=AsOfDate,IF($Q34=0,$W34,IF(AND($S34&lt;&gt;"",EDATE($D34,Milestones!$AA$63)&gt;=$S34),$V34,IF(AND($R34&lt;&gt;"",EDATE($D34,Milestones!$AA$63)&gt;=$R34),$U34,$T34)))=Milestones!$AB$63),TEXT(EDATE($D34,Milestones!$AA$63),"dd/mm/yy")&amp;" "&amp;Milestones!$AB$63&amp;" "&amp;Milestones!$AC$63&amp;";  ","")&amp;IF(AND(EDATE($D34,Milestones!$AA$64)&lt;=AsOfDate,IF($Q34=0,$W34,IF(AND($S34&lt;&gt;"",EDATE($D34,Milestones!$AA$64)&gt;=$S34),$V34,IF(AND($R34&lt;&gt;"",EDATE($D34,Milestones!$AA$64)&gt;=$R34),$U34,$T34)))=Milestones!$AB$64),TEXT(EDATE($D34,Milestones!$AA$64),"dd/mm/yy")&amp;" "&amp;Milestones!$AB$64&amp;" "&amp;Milestones!$AC$64&amp;";  ","")&amp;IF(AND(EDATE($D34,Milestones!$AA$65)&lt;=AsOfDate,IF($Q34=0,$W34,IF(AND($S34&lt;&gt;"",EDATE($D34,Milestones!$AA$65)&gt;=$S34),$V34,IF(AND($R34&lt;&gt;"",EDATE($D34,Milestones!$AA$65)&gt;=$R34),$U34,$T34)))=Milestones!$AB$65),TEXT(EDATE($D34,Milestones!$AA$65),"dd/mm/yy")&amp;" "&amp;Milestones!$AB$65&amp;" "&amp;Milestones!$AC$65&amp;";  ","")&amp;IF(AND(EDATE($D34,Milestones!$AA$66)&lt;=AsOfDate,IF($Q34=0,$W34,IF(AND($S34&lt;&gt;"",EDATE($D34,Milestones!$AA$66)&gt;=$S34),$V34,IF(AND($R34&lt;&gt;"",EDATE($D34,Milestones!$AA$66)&gt;=$R34),$U34,$T34)))=Milestones!$AB$66),TEXT(EDATE($D34,Milestones!$AA$66),"dd/mm/yy")&amp;" "&amp;Milestones!$AB$66&amp;" "&amp;Milestones!$AC$66&amp;";  ","")&amp;IF(AND(EDATE($D34,Milestones!$AA$67)&lt;=AsOfDate,IF($Q34=0,$W34,IF(AND($S34&lt;&gt;"",EDATE($D34,Milestones!$AA$67)&gt;=$S34),$V34,IF(AND($R34&lt;&gt;"",EDATE($D34,Milestones!$AA$67)&gt;=$R34),$U34,$T34)))=Milestones!$AB$67),TEXT(EDATE($D34,Milestones!$AA$67),"dd/mm/yy")&amp;" "&amp;Milestones!$AB$67&amp;" "&amp;Milestones!$AC$67&amp;";  ","")&amp;IF(AND(EDATE($D34,Milestones!$AA$68)&lt;=AsOfDate,IF($Q34=0,$W34,IF(AND($S34&lt;&gt;"",EDATE($D34,Milestones!$AA$68)&gt;=$S34),$V34,IF(AND($R34&lt;&gt;"",EDATE($D34,Milestones!$AA$68)&gt;=$R34),$U34,$T34)))=Milestones!$AB$68),TEXT(EDATE($D34,Milestones!$AA$68),"dd/mm/yy")&amp;" "&amp;Milestones!$AB$68&amp;" "&amp;Milestones!$AC$68&amp;";  ","")&amp;IF(AND(EDATE($D34,Milestones!$AA$69)&lt;=AsOfDate,IF($Q34=0,$W34,IF(AND($S34&lt;&gt;"",EDATE($D34,Milestones!$AA$69)&gt;=$S34),$V34,IF(AND($R34&lt;&gt;"",EDATE($D34,Milestones!$AA$69)&gt;=$R34),$U34,$T34)))=Milestones!$AB$69),TEXT(EDATE($D34,Milestones!$AA$69),"dd/mm/yy")&amp;" "&amp;Milestones!$AB$69&amp;" "&amp;Milestones!$AC$69&amp;";  ","")&amp;IF(AND(EDATE($D34,Milestones!$AA$70)&lt;=AsOfDate,IF($Q34=0,$W34,IF(AND($S34&lt;&gt;"",EDATE($D34,Milestones!$AA$70)&gt;=$S34),$V34,IF(AND($R34&lt;&gt;"",EDATE($D34,Milestones!$AA$70)&gt;=$R34),$U34,$T34)))=Milestones!$AB$70),TEXT(EDATE($D34,Milestones!$AA$70),"dd/mm/yy")&amp;" "&amp;Milestones!$AB$70&amp;" "&amp;Milestones!$AC$70&amp;";  ","")&amp;IF(AND(EDATE($D34,Milestones!$AA$71)&lt;=AsOfDate,IF($Q34=0,$W34,IF(AND($S34&lt;&gt;"",EDATE($D34,Milestones!$AA$71)&gt;=$S34),$V34,IF(AND($R34&lt;&gt;"",EDATE($D34,Milestones!$AA$71)&gt;=$R34),$U34,$T34)))=Milestones!$AB$71),TEXT(EDATE($D34,Milestones!$AA$71),"dd/mm/yy")&amp;" "&amp;Milestones!$AB$71&amp;" "&amp;Milestones!$AC$71&amp;";  ","")&amp;IF(AND(EDATE($D34,Milestones!$AA$72)&lt;=AsOfDate,IF($Q34=0,$W34,IF(AND($S34&lt;&gt;"",EDATE($D34,Milestones!$AA$72)&gt;=$S34),$V34,IF(AND($R34&lt;&gt;"",EDATE($D34,Milestones!$AA$72)&gt;=$R34),$U34,$T34)))=Milestones!$AB$72),TEXT(EDATE($D34,Milestones!$AA$72),"dd/mm/yy")&amp;" "&amp;Milestones!$AB$72&amp;" "&amp;Milestones!$AC$72&amp;";  ","")&amp;IF(AND(EDATE($D34,Milestones!$AA$73)&lt;=AsOfDate,IF($Q34=0,$W34,IF(AND($S34&lt;&gt;"",EDATE($D34,Milestones!$AA$73)&gt;=$S34),$V34,IF(AND($R34&lt;&gt;"",EDATE($D34,Milestones!$AA$73)&gt;=$R34),$U34,$T34)))=Milestones!$AB$73),TEXT(EDATE($D34,Milestones!$AA$73),"dd/mm/yy")&amp;" "&amp;Milestones!$AB$73&amp;" "&amp;Milestones!$AC$73&amp;";  ","")&amp;IF(AND(EDATE($D34,Milestones!$AA$74)&lt;=AsOfDate,IF($Q34=0,$W34,IF(AND($S34&lt;&gt;"",EDATE($D34,Milestones!$AA$74)&gt;=$S34),$V34,IF(AND($R34&lt;&gt;"",EDATE($D34,Milestones!$AA$74)&gt;=$R34),$U34,$T34)))=Milestones!$AB$74),TEXT(EDATE($D34,Milestones!$AA$74),"dd/mm/yy")&amp;" "&amp;Milestones!$AB$74&amp;" "&amp;Milestones!$AC$74&amp;";  ","")&amp;IF(AND(EDATE($D34,Milestones!$AA$75)&lt;=AsOfDate,IF($Q34=0,$W34,IF(AND($S34&lt;&gt;"",EDATE($D34,Milestones!$AA$75)&gt;=$S34),$V34,IF(AND($R34&lt;&gt;"",EDATE($D34,Milestones!$AA$75)&gt;=$R34),$U34,$T34)))=Milestones!$AB$75),TEXT(EDATE($D34,Milestones!$AA$75),"dd/mm/yy")&amp;" "&amp;Milestones!$AB$75&amp;" "&amp;Milestones!$AC$75&amp;";  ","")&amp;IF(AND(EDATE($D34,Milestones!$AA$76)&lt;=AsOfDate,IF($Q34=0,$W34,IF(AND($S34&lt;&gt;"",EDATE($D34,Milestones!$AA$76)&gt;=$S34),$V34,IF(AND($R34&lt;&gt;"",EDATE($D34,Milestones!$AA$76)&gt;=$R34),$U34,$T34)))=Milestones!$AB$76),TEXT(EDATE($D34,Milestones!$AA$76),"dd/mm/yy")&amp;" "&amp;Milestones!$AB$76&amp;" "&amp;Milestones!$AC$76&amp;";  ","")&amp;IF(AND(EDATE($D34,Milestones!$AA$77)&lt;=AsOfDate,IF($Q34=0,$W34,IF(AND($S34&lt;&gt;"",EDATE($D34,Milestones!$AA$77)&gt;=$S34),$V34,IF(AND($R34&lt;&gt;"",EDATE($D34,Milestones!$AA$77)&gt;=$R34),$U34,$T34)))=Milestones!$AB$77),TEXT(EDATE($D34,Milestones!$AA$77),"dd/mm/yy")&amp;" "&amp;Milestones!$AB$77&amp;" "&amp;Milestones!$AC$77&amp;";  ","")&amp;IF(AND(EDATE($D34,Milestones!$AA$78)&lt;=AsOfDate,IF($Q34=0,$W34,IF(AND($S34&lt;&gt;"",EDATE($D34,Milestones!$AA$78)&gt;=$S34),$V34,IF(AND($R34&lt;&gt;"",EDATE($D34,Milestones!$AA$78)&gt;=$R34),$U34,$T34)))=Milestones!$AB$78),TEXT(EDATE($D34,Milestones!$AA$78),"dd/mm/yy")&amp;" "&amp;Milestones!$AB$78&amp;" "&amp;Milestones!$AC$78&amp;";  ","")&amp;IF(AND(EDATE($D34,Milestones!$AA$79)&lt;=AsOfDate,IF($Q34=0,$W34,IF(AND($S34&lt;&gt;"",EDATE($D34,Milestones!$AA$79)&gt;=$S34),$V34,IF(AND($R34&lt;&gt;"",EDATE($D34,Milestones!$AA$79)&gt;=$R34),$U34,$T34)))=Milestones!$AB$79),TEXT(EDATE($D34,Milestones!$AA$79),"dd/mm/yy")&amp;" "&amp;Milestones!$AB$79&amp;" "&amp;Milestones!$AC$79&amp;";  ",""))</f>
        <v/>
      </c>
      <c r="K34" s="0" t="str">
        <f aca="false">IF(OR($A34="",$D34=""),"",IF(AND(EDATE($D34,Milestones!$AA$80)&lt;=AsOfDate,IF($Q34=0,$W34,IF(AND($S34&lt;&gt;"",EDATE($D34,Milestones!$AA$80)&gt;=$S34),$V34,IF(AND($R34&lt;&gt;"",EDATE($D34,Milestones!$AA$80)&gt;=$R34),$U34,$T34)))=Milestones!$AB$80),TEXT(EDATE($D34,Milestones!$AA$80),"dd/mm/yy")&amp;" "&amp;Milestones!$AB$80&amp;" "&amp;Milestones!$AC$80&amp;";  ","")&amp;IF(AND(EDATE($D34,Milestones!$AA$81)&lt;=AsOfDate,IF($Q34=0,$W34,IF(AND($S34&lt;&gt;"",EDATE($D34,Milestones!$AA$81)&gt;=$S34),$V34,IF(AND($R34&lt;&gt;"",EDATE($D34,Milestones!$AA$81)&gt;=$R34),$U34,$T34)))=Milestones!$AB$81),TEXT(EDATE($D34,Milestones!$AA$81),"dd/mm/yy")&amp;" "&amp;Milestones!$AB$81&amp;" "&amp;Milestones!$AC$81&amp;";  ","")&amp;IF(AND(EDATE($D34,Milestones!$AA$82)&lt;=AsOfDate,IF($Q34=0,$W34,IF(AND($S34&lt;&gt;"",EDATE($D34,Milestones!$AA$82)&gt;=$S34),$V34,IF(AND($R34&lt;&gt;"",EDATE($D34,Milestones!$AA$82)&gt;=$R34),$U34,$T34)))=Milestones!$AB$82),TEXT(EDATE($D34,Milestones!$AA$82),"dd/mm/yy")&amp;" "&amp;Milestones!$AB$82&amp;" "&amp;Milestones!$AC$82&amp;";  ","")&amp;IF(AND(EDATE($D34,Milestones!$AA$83)&lt;=AsOfDate,IF($Q34=0,$W34,IF(AND($S34&lt;&gt;"",EDATE($D34,Milestones!$AA$83)&gt;=$S34),$V34,IF(AND($R34&lt;&gt;"",EDATE($D34,Milestones!$AA$83)&gt;=$R34),$U34,$T34)))=Milestones!$AB$83),TEXT(EDATE($D34,Milestones!$AA$83),"dd/mm/yy")&amp;" "&amp;Milestones!$AB$83&amp;" "&amp;Milestones!$AC$83&amp;";  ","")&amp;IF(AND(EDATE($D34,Milestones!$AA$84)&lt;=AsOfDate,IF($Q34=0,$W34,IF(AND($S34&lt;&gt;"",EDATE($D34,Milestones!$AA$84)&gt;=$S34),$V34,IF(AND($R34&lt;&gt;"",EDATE($D34,Milestones!$AA$84)&gt;=$R34),$U34,$T34)))=Milestones!$AB$84),TEXT(EDATE($D34,Milestones!$AA$84),"dd/mm/yy")&amp;" "&amp;Milestones!$AB$84&amp;" "&amp;Milestones!$AC$84&amp;";  ","")&amp;IF(AND(EDATE($D34,Milestones!$AA$85)&lt;=AsOfDate,IF($Q34=0,$W34,IF(AND($S34&lt;&gt;"",EDATE($D34,Milestones!$AA$85)&gt;=$S34),$V34,IF(AND($R34&lt;&gt;"",EDATE($D34,Milestones!$AA$85)&gt;=$R34),$U34,$T34)))=Milestones!$AB$85),TEXT(EDATE($D34,Milestones!$AA$85),"dd/mm/yy")&amp;" "&amp;Milestones!$AB$85&amp;" "&amp;Milestones!$AC$85&amp;";  ","")&amp;IF(AND(EDATE($D34,Milestones!$AA$86)&lt;=AsOfDate,IF($Q34=0,$W34,IF(AND($S34&lt;&gt;"",EDATE($D34,Milestones!$AA$86)&gt;=$S34),$V34,IF(AND($R34&lt;&gt;"",EDATE($D34,Milestones!$AA$86)&gt;=$R34),$U34,$T34)))=Milestones!$AB$86),TEXT(EDATE($D34,Milestones!$AA$86),"dd/mm/yy")&amp;" "&amp;Milestones!$AB$86&amp;" "&amp;Milestones!$AC$86&amp;";  ","")&amp;IF(AND(EDATE($D34,Milestones!$AA$87)&lt;=AsOfDate,IF($Q34=0,$W34,IF(AND($S34&lt;&gt;"",EDATE($D34,Milestones!$AA$87)&gt;=$S34),$V34,IF(AND($R34&lt;&gt;"",EDATE($D34,Milestones!$AA$87)&gt;=$R34),$U34,$T34)))=Milestones!$AB$87),TEXT(EDATE($D34,Milestones!$AA$87),"dd/mm/yy")&amp;" "&amp;Milestones!$AB$87&amp;" "&amp;Milestones!$AC$87&amp;";  ","")&amp;IF(AND(EDATE($D34,Milestones!$AA$88)&lt;=AsOfDate,IF($Q34=0,$W34,IF(AND($S34&lt;&gt;"",EDATE($D34,Milestones!$AA$88)&gt;=$S34),$V34,IF(AND($R34&lt;&gt;"",EDATE($D34,Milestones!$AA$88)&gt;=$R34),$U34,$T34)))=Milestones!$AB$88),TEXT(EDATE($D34,Milestones!$AA$88),"dd/mm/yy")&amp;" "&amp;Milestones!$AB$88&amp;" "&amp;Milestones!$AC$88&amp;";  ","")&amp;IF(AND(EDATE($D34,Milestones!$AA$89)&lt;=AsOfDate,IF($Q34=0,$W34,IF(AND($S34&lt;&gt;"",EDATE($D34,Milestones!$AA$89)&gt;=$S34),$V34,IF(AND($R34&lt;&gt;"",EDATE($D34,Milestones!$AA$89)&gt;=$R34),$U34,$T34)))=Milestones!$AB$89),TEXT(EDATE($D34,Milestones!$AA$89),"dd/mm/yy")&amp;" "&amp;Milestones!$AB$89&amp;" "&amp;Milestones!$AC$89&amp;";  ","")&amp;IF(AND(EDATE($D34,Milestones!$AA$90)&lt;=AsOfDate,IF($Q34=0,$W34,IF(AND($S34&lt;&gt;"",EDATE($D34,Milestones!$AA$90)&gt;=$S34),$V34,IF(AND($R34&lt;&gt;"",EDATE($D34,Milestones!$AA$90)&gt;=$R34),$U34,$T34)))=Milestones!$AB$90),TEXT(EDATE($D34,Milestones!$AA$90),"dd/mm/yy")&amp;" "&amp;Milestones!$AB$90&amp;" "&amp;Milestones!$AC$90&amp;";  ","")&amp;IF(AND(EDATE($D34,Milestones!$AA$91)&lt;=AsOfDate,IF($Q34=0,$W34,IF(AND($S34&lt;&gt;"",EDATE($D34,Milestones!$AA$91)&gt;=$S34),$V34,IF(AND($R34&lt;&gt;"",EDATE($D34,Milestones!$AA$91)&gt;=$R34),$U34,$T34)))=Milestones!$AB$91),TEXT(EDATE($D34,Milestones!$AA$91),"dd/mm/yy")&amp;" "&amp;Milestones!$AB$91&amp;" "&amp;Milestones!$AC$91&amp;";  ","")&amp;IF(AND(EDATE($D34,Milestones!$AA$92)&lt;=AsOfDate,IF($Q34=0,$W34,IF(AND($S34&lt;&gt;"",EDATE($D34,Milestones!$AA$92)&gt;=$S34),$V34,IF(AND($R34&lt;&gt;"",EDATE($D34,Milestones!$AA$92)&gt;=$R34),$U34,$T34)))=Milestones!$AB$92),TEXT(EDATE($D34,Milestones!$AA$92),"dd/mm/yy")&amp;" "&amp;Milestones!$AB$92&amp;" "&amp;Milestones!$AC$92&amp;";  ","")&amp;IF(AND(EDATE($D34,Milestones!$AA$93)&lt;=AsOfDate,IF($Q34=0,$W34,IF(AND($S34&lt;&gt;"",EDATE($D34,Milestones!$AA$93)&gt;=$S34),$V34,IF(AND($R34&lt;&gt;"",EDATE($D34,Milestones!$AA$93)&gt;=$R34),$U34,$T34)))=Milestones!$AB$93),TEXT(EDATE($D34,Milestones!$AA$93),"dd/mm/yy")&amp;" "&amp;Milestones!$AB$93&amp;" "&amp;Milestones!$AC$93&amp;";  ","")&amp;IF(AND(EDATE($D34,Milestones!$AA$94)&lt;=AsOfDate,IF($Q34=0,$W34,IF(AND($S34&lt;&gt;"",EDATE($D34,Milestones!$AA$94)&gt;=$S34),$V34,IF(AND($R34&lt;&gt;"",EDATE($D34,Milestones!$AA$94)&gt;=$R34),$U34,$T34)))=Milestones!$AB$94),TEXT(EDATE($D34,Milestones!$AA$94),"dd/mm/yy")&amp;" "&amp;Milestones!$AB$94&amp;" "&amp;Milestones!$AC$94&amp;";  ","")&amp;IF(AND(EDATE($D34,Milestones!$AA$95)&lt;=AsOfDate,IF($Q34=0,$W34,IF(AND($S34&lt;&gt;"",EDATE($D34,Milestones!$AA$95)&gt;=$S34),$V34,IF(AND($R34&lt;&gt;"",EDATE($D34,Milestones!$AA$95)&gt;=$R34),$U34,$T34)))=Milestones!$AB$95),TEXT(EDATE($D34,Milestones!$AA$95),"dd/mm/yy")&amp;" "&amp;Milestones!$AB$95&amp;" "&amp;Milestones!$AC$95&amp;";  ","")&amp;IF(AND(EDATE($D34,Milestones!$AA$96)&lt;=AsOfDate,IF($Q34=0,$W34,IF(AND($S34&lt;&gt;"",EDATE($D34,Milestones!$AA$96)&gt;=$S34),$V34,IF(AND($R34&lt;&gt;"",EDATE($D34,Milestones!$AA$96)&gt;=$R34),$U34,$T34)))=Milestones!$AB$96),TEXT(EDATE($D34,Milestones!$AA$96),"dd/mm/yy")&amp;" "&amp;Milestones!$AB$96&amp;" "&amp;Milestones!$AC$96&amp;";  ","")&amp;IF(AND(EDATE($D34,Milestones!$AA$97)&lt;=AsOfDate,IF($Q34=0,$W34,IF(AND($S34&lt;&gt;"",EDATE($D34,Milestones!$AA$97)&gt;=$S34),$V34,IF(AND($R34&lt;&gt;"",EDATE($D34,Milestones!$AA$97)&gt;=$R34),$U34,$T34)))=Milestones!$AB$97),TEXT(EDATE($D34,Milestones!$AA$97),"dd/mm/yy")&amp;" "&amp;Milestones!$AB$97&amp;" "&amp;Milestones!$AC$97&amp;";  ","")&amp;IF(AND(EDATE($D34,Milestones!$AA$98)&lt;=AsOfDate,IF($Q34=0,$W34,IF(AND($S34&lt;&gt;"",EDATE($D34,Milestones!$AA$98)&gt;=$S34),$V34,IF(AND($R34&lt;&gt;"",EDATE($D34,Milestones!$AA$98)&gt;=$R34),$U34,$T34)))=Milestones!$AB$98),TEXT(EDATE($D34,Milestones!$AA$98),"dd/mm/yy")&amp;" "&amp;Milestones!$AB$98&amp;" "&amp;Milestones!$AC$98&amp;";  ","")&amp;IF(AND(EDATE($D34,Milestones!$AA$99)&lt;=AsOfDate,IF($Q34=0,$W34,IF(AND($S34&lt;&gt;"",EDATE($D34,Milestones!$AA$99)&gt;=$S34),$V34,IF(AND($R34&lt;&gt;"",EDATE($D34,Milestones!$AA$99)&gt;=$R34),$U34,$T34)))=Milestones!$AB$99),TEXT(EDATE($D34,Milestones!$AA$99),"dd/mm/yy")&amp;" "&amp;Milestones!$AB$99&amp;" "&amp;Milestones!$AC$99&amp;";  ",""))</f>
        <v/>
      </c>
      <c r="L34" s="0" t="str">
        <f aca="false">IF(OR($A34="",$D34=""),"",IF(AND(EDATE($D34,Milestones!$AA$100)&lt;=AsOfDate,IF($Q34=0,$W34,IF(AND($S34&lt;&gt;"",EDATE($D34,Milestones!$AA$100)&gt;=$S34),$V34,IF(AND($R34&lt;&gt;"",EDATE($D34,Milestones!$AA$100)&gt;=$R34),$U34,$T34)))=Milestones!$AB$100),TEXT(EDATE($D34,Milestones!$AA$100),"dd/mm/yy")&amp;" "&amp;Milestones!$AB$100&amp;" "&amp;Milestones!$AC$100&amp;";  ","")&amp;IF(AND(EDATE($D34,Milestones!$AA$101)&lt;=AsOfDate,IF($Q34=0,$W34,IF(AND($S34&lt;&gt;"",EDATE($D34,Milestones!$AA$101)&gt;=$S34),$V34,IF(AND($R34&lt;&gt;"",EDATE($D34,Milestones!$AA$101)&gt;=$R34),$U34,$T34)))=Milestones!$AB$101),TEXT(EDATE($D34,Milestones!$AA$101),"dd/mm/yy")&amp;" "&amp;Milestones!$AB$101&amp;" "&amp;Milestones!$AC$101&amp;";  ","")&amp;IF(AND(EDATE($D34,Milestones!$AA$102)&lt;=AsOfDate,IF($Q34=0,$W34,IF(AND($S34&lt;&gt;"",EDATE($D34,Milestones!$AA$102)&gt;=$S34),$V34,IF(AND($R34&lt;&gt;"",EDATE($D34,Milestones!$AA$102)&gt;=$R34),$U34,$T34)))=Milestones!$AB$102),TEXT(EDATE($D34,Milestones!$AA$102),"dd/mm/yy")&amp;" "&amp;Milestones!$AB$102&amp;" "&amp;Milestones!$AC$102&amp;";  ","")&amp;IF(AND(EDATE($D34,Milestones!$AA$103)&lt;=AsOfDate,IF($Q34=0,$W34,IF(AND($S34&lt;&gt;"",EDATE($D34,Milestones!$AA$103)&gt;=$S34),$V34,IF(AND($R34&lt;&gt;"",EDATE($D34,Milestones!$AA$103)&gt;=$R34),$U34,$T34)))=Milestones!$AB$103),TEXT(EDATE($D34,Milestones!$AA$103),"dd/mm/yy")&amp;" "&amp;Milestones!$AB$103&amp;" "&amp;Milestones!$AC$103&amp;";  ","")&amp;IF(AND(EDATE($D34,Milestones!$AA$104)&lt;=AsOfDate,IF($Q34=0,$W34,IF(AND($S34&lt;&gt;"",EDATE($D34,Milestones!$AA$104)&gt;=$S34),$V34,IF(AND($R34&lt;&gt;"",EDATE($D34,Milestones!$AA$104)&gt;=$R34),$U34,$T34)))=Milestones!$AB$104),TEXT(EDATE($D34,Milestones!$AA$104),"dd/mm/yy")&amp;" "&amp;Milestones!$AB$104&amp;" "&amp;Milestones!$AC$104&amp;";  ","")&amp;IF(AND(EDATE($D34,Milestones!$AA$105)&lt;=AsOfDate,IF($Q34=0,$W34,IF(AND($S34&lt;&gt;"",EDATE($D34,Milestones!$AA$105)&gt;=$S34),$V34,IF(AND($R34&lt;&gt;"",EDATE($D34,Milestones!$AA$105)&gt;=$R34),$U34,$T34)))=Milestones!$AB$105),TEXT(EDATE($D34,Milestones!$AA$105),"dd/mm/yy")&amp;" "&amp;Milestones!$AB$105&amp;" "&amp;Milestones!$AC$105&amp;";  ","")&amp;IF(AND(EDATE($D34,Milestones!$AA$106)&lt;=AsOfDate,IF($Q34=0,$W34,IF(AND($S34&lt;&gt;"",EDATE($D34,Milestones!$AA$106)&gt;=$S34),$V34,IF(AND($R34&lt;&gt;"",EDATE($D34,Milestones!$AA$106)&gt;=$R34),$U34,$T34)))=Milestones!$AB$106),TEXT(EDATE($D34,Milestones!$AA$106),"dd/mm/yy")&amp;" "&amp;Milestones!$AB$106&amp;" "&amp;Milestones!$AC$106&amp;";  ","")&amp;IF(AND(EDATE($D34,Milestones!$AA$107)&lt;=AsOfDate,IF($Q34=0,$W34,IF(AND($S34&lt;&gt;"",EDATE($D34,Milestones!$AA$107)&gt;=$S34),$V34,IF(AND($R34&lt;&gt;"",EDATE($D34,Milestones!$AA$107)&gt;=$R34),$U34,$T34)))=Milestones!$AB$107),TEXT(EDATE($D34,Milestones!$AA$107),"dd/mm/yy")&amp;" "&amp;Milestones!$AB$107&amp;" "&amp;Milestones!$AC$107&amp;";  ","")&amp;IF(AND(EDATE($D34,Milestones!$AA$108)&lt;=AsOfDate,IF($Q34=0,$W34,IF(AND($S34&lt;&gt;"",EDATE($D34,Milestones!$AA$108)&gt;=$S34),$V34,IF(AND($R34&lt;&gt;"",EDATE($D34,Milestones!$AA$108)&gt;=$R34),$U34,$T34)))=Milestones!$AB$108),TEXT(EDATE($D34,Milestones!$AA$108),"dd/mm/yy")&amp;" "&amp;Milestones!$AB$108&amp;" "&amp;Milestones!$AC$108&amp;";  ","")&amp;IF(AND(EDATE($D34,Milestones!$AA$109)&lt;=AsOfDate,IF($Q34=0,$W34,IF(AND($S34&lt;&gt;"",EDATE($D34,Milestones!$AA$109)&gt;=$S34),$V34,IF(AND($R34&lt;&gt;"",EDATE($D34,Milestones!$AA$109)&gt;=$R34),$U34,$T34)))=Milestones!$AB$109),TEXT(EDATE($D34,Milestones!$AA$109),"dd/mm/yy")&amp;" "&amp;Milestones!$AB$109&amp;" "&amp;Milestones!$AC$109&amp;";  ","")&amp;IF(AND(EDATE($D34,Milestones!$AA$110)&lt;=AsOfDate,IF($Q34=0,$W34,IF(AND($S34&lt;&gt;"",EDATE($D34,Milestones!$AA$110)&gt;=$S34),$V34,IF(AND($R34&lt;&gt;"",EDATE($D34,Milestones!$AA$110)&gt;=$R34),$U34,$T34)))=Milestones!$AB$110),TEXT(EDATE($D34,Milestones!$AA$110),"dd/mm/yy")&amp;" "&amp;Milestones!$AB$110&amp;" "&amp;Milestones!$AC$110&amp;";  ","")&amp;IF(AND(EDATE($D34,Milestones!$AA$111)&lt;=AsOfDate,IF($Q34=0,$W34,IF(AND($S34&lt;&gt;"",EDATE($D34,Milestones!$AA$111)&gt;=$S34),$V34,IF(AND($R34&lt;&gt;"",EDATE($D34,Milestones!$AA$111)&gt;=$R34),$U34,$T34)))=Milestones!$AB$111),TEXT(EDATE($D34,Milestones!$AA$111),"dd/mm/yy")&amp;" "&amp;Milestones!$AB$111&amp;" "&amp;Milestones!$AC$111&amp;";  ","")&amp;IF(AND(EDATE($D34,Milestones!$AA$112)&lt;=AsOfDate,IF($Q34=0,$W34,IF(AND($S34&lt;&gt;"",EDATE($D34,Milestones!$AA$112)&gt;=$S34),$V34,IF(AND($R34&lt;&gt;"",EDATE($D34,Milestones!$AA$112)&gt;=$R34),$U34,$T34)))=Milestones!$AB$112),TEXT(EDATE($D34,Milestones!$AA$112),"dd/mm/yy")&amp;" "&amp;Milestones!$AB$112&amp;" "&amp;Milestones!$AC$112&amp;";  ","")&amp;IF(AND(EDATE($D34,Milestones!$AA$113)&lt;=AsOfDate,IF($Q34=0,$W34,IF(AND($S34&lt;&gt;"",EDATE($D34,Milestones!$AA$113)&gt;=$S34),$V34,IF(AND($R34&lt;&gt;"",EDATE($D34,Milestones!$AA$113)&gt;=$R34),$U34,$T34)))=Milestones!$AB$113),TEXT(EDATE($D34,Milestones!$AA$113),"dd/mm/yy")&amp;" "&amp;Milestones!$AB$113&amp;" "&amp;Milestones!$AC$113&amp;";  ","")&amp;IF(AND(EDATE($D34,Milestones!$AA$114)&lt;=AsOfDate,IF($Q34=0,$W34,IF(AND($S34&lt;&gt;"",EDATE($D34,Milestones!$AA$114)&gt;=$S34),$V34,IF(AND($R34&lt;&gt;"",EDATE($D34,Milestones!$AA$114)&gt;=$R34),$U34,$T34)))=Milestones!$AB$114),TEXT(EDATE($D34,Milestones!$AA$114),"dd/mm/yy")&amp;" "&amp;Milestones!$AB$114&amp;" "&amp;Milestones!$AC$114&amp;";  ","")&amp;IF(AND(EDATE($D34,Milestones!$AA$115)&lt;=AsOfDate,IF($Q34=0,$W34,IF(AND($S34&lt;&gt;"",EDATE($D34,Milestones!$AA$115)&gt;=$S34),$V34,IF(AND($R34&lt;&gt;"",EDATE($D34,Milestones!$AA$115)&gt;=$R34),$U34,$T34)))=Milestones!$AB$115),TEXT(EDATE($D34,Milestones!$AA$115),"dd/mm/yy")&amp;" "&amp;Milestones!$AB$115&amp;" "&amp;Milestones!$AC$115&amp;";  ","")&amp;IF(AND(EDATE($D34,Milestones!$AA$116)&lt;=AsOfDate,IF($Q34=0,$W34,IF(AND($S34&lt;&gt;"",EDATE($D34,Milestones!$AA$116)&gt;=$S34),$V34,IF(AND($R34&lt;&gt;"",EDATE($D34,Milestones!$AA$116)&gt;=$R34),$U34,$T34)))=Milestones!$AB$116),TEXT(EDATE($D34,Milestones!$AA$116),"dd/mm/yy")&amp;" "&amp;Milestones!$AB$116&amp;" "&amp;Milestones!$AC$116&amp;";  ","")&amp;IF(AND(EDATE($D34,Milestones!$AA$117)&lt;=AsOfDate,IF($Q34=0,$W34,IF(AND($S34&lt;&gt;"",EDATE($D34,Milestones!$AA$117)&gt;=$S34),$V34,IF(AND($R34&lt;&gt;"",EDATE($D34,Milestones!$AA$117)&gt;=$R34),$U34,$T34)))=Milestones!$AB$117),TEXT(EDATE($D34,Milestones!$AA$117),"dd/mm/yy")&amp;" "&amp;Milestones!$AB$117&amp;" "&amp;Milestones!$AC$117&amp;";  ","")&amp;IF(AND(EDATE($D34,Milestones!$AA$118)&lt;=AsOfDate,IF($Q34=0,$W34,IF(AND($S34&lt;&gt;"",EDATE($D34,Milestones!$AA$118)&gt;=$S34),$V34,IF(AND($R34&lt;&gt;"",EDATE($D34,Milestones!$AA$118)&gt;=$R34),$U34,$T34)))=Milestones!$AB$118),TEXT(EDATE($D34,Milestones!$AA$118),"dd/mm/yy")&amp;" "&amp;Milestones!$AB$118&amp;" "&amp;Milestones!$AC$118&amp;";  ","")&amp;IF(AND(EDATE($D34,Milestones!$AA$119)&lt;=AsOfDate,IF($Q34=0,$W34,IF(AND($S34&lt;&gt;"",EDATE($D34,Milestones!$AA$119)&gt;=$S34),$V34,IF(AND($R34&lt;&gt;"",EDATE($D34,Milestones!$AA$119)&gt;=$R34),$U34,$T34)))=Milestones!$AB$119),TEXT(EDATE($D34,Milestones!$AA$119),"dd/mm/yy")&amp;" "&amp;Milestones!$AB$119&amp;" "&amp;Milestones!$AC$119&amp;";  ",""))</f>
        <v/>
      </c>
      <c r="M34" s="0" t="str">
        <f aca="false">IF(OR($A34="",$D34=""),"",IF(AND(EDATE($D34,Milestones!$AA$120)&lt;=AsOfDate,IF($Q34=0,$W34,IF(AND($S34&lt;&gt;"",EDATE($D34,Milestones!$AA$120)&gt;=$S34),$V34,IF(AND($R34&lt;&gt;"",EDATE($D34,Milestones!$AA$120)&gt;=$R34),$U34,$T34)))=Milestones!$AB$120),TEXT(EDATE($D34,Milestones!$AA$120),"dd/mm/yy")&amp;" "&amp;Milestones!$AB$120&amp;" "&amp;Milestones!$AC$120&amp;";  ","")&amp;IF(AND(EDATE($D34,Milestones!$AA$121)&lt;=AsOfDate,IF($Q34=0,$W34,IF(AND($S34&lt;&gt;"",EDATE($D34,Milestones!$AA$121)&gt;=$S34),$V34,IF(AND($R34&lt;&gt;"",EDATE($D34,Milestones!$AA$121)&gt;=$R34),$U34,$T34)))=Milestones!$AB$121),TEXT(EDATE($D34,Milestones!$AA$121),"dd/mm/yy")&amp;" "&amp;Milestones!$AB$121&amp;" "&amp;Milestones!$AC$121&amp;";  ","")&amp;IF(AND(EDATE($D34,Milestones!$AA$122)&lt;=AsOfDate,IF($Q34=0,$W34,IF(AND($S34&lt;&gt;"",EDATE($D34,Milestones!$AA$122)&gt;=$S34),$V34,IF(AND($R34&lt;&gt;"",EDATE($D34,Milestones!$AA$122)&gt;=$R34),$U34,$T34)))=Milestones!$AB$122),TEXT(EDATE($D34,Milestones!$AA$122),"dd/mm/yy")&amp;" "&amp;Milestones!$AB$122&amp;" "&amp;Milestones!$AC$122&amp;";  ","")&amp;IF(AND(EDATE($D34,Milestones!$AA$123)&lt;=AsOfDate,IF($Q34=0,$W34,IF(AND($S34&lt;&gt;"",EDATE($D34,Milestones!$AA$123)&gt;=$S34),$V34,IF(AND($R34&lt;&gt;"",EDATE($D34,Milestones!$AA$123)&gt;=$R34),$U34,$T34)))=Milestones!$AB$123),TEXT(EDATE($D34,Milestones!$AA$123),"dd/mm/yy")&amp;" "&amp;Milestones!$AB$123&amp;" "&amp;Milestones!$AC$123&amp;";  ","")&amp;IF(AND(EDATE($D34,Milestones!$AA$124)&lt;=AsOfDate,IF($Q34=0,$W34,IF(AND($S34&lt;&gt;"",EDATE($D34,Milestones!$AA$124)&gt;=$S34),$V34,IF(AND($R34&lt;&gt;"",EDATE($D34,Milestones!$AA$124)&gt;=$R34),$U34,$T34)))=Milestones!$AB$124),TEXT(EDATE($D34,Milestones!$AA$124),"dd/mm/yy")&amp;" "&amp;Milestones!$AB$124&amp;" "&amp;Milestones!$AC$124&amp;";  ","")&amp;IF(AND(EDATE($D34,Milestones!$AA$125)&lt;=AsOfDate,IF($Q34=0,$W34,IF(AND($S34&lt;&gt;"",EDATE($D34,Milestones!$AA$125)&gt;=$S34),$V34,IF(AND($R34&lt;&gt;"",EDATE($D34,Milestones!$AA$125)&gt;=$R34),$U34,$T34)))=Milestones!$AB$125),TEXT(EDATE($D34,Milestones!$AA$125),"dd/mm/yy")&amp;" "&amp;Milestones!$AB$125&amp;" "&amp;Milestones!$AC$125&amp;";  ","")&amp;IF(AND(EDATE($D34,Milestones!$AA$126)&lt;=AsOfDate,IF($Q34=0,$W34,IF(AND($S34&lt;&gt;"",EDATE($D34,Milestones!$AA$126)&gt;=$S34),$V34,IF(AND($R34&lt;&gt;"",EDATE($D34,Milestones!$AA$126)&gt;=$R34),$U34,$T34)))=Milestones!$AB$126),TEXT(EDATE($D34,Milestones!$AA$126),"dd/mm/yy")&amp;" "&amp;Milestones!$AB$126&amp;" "&amp;Milestones!$AC$126&amp;";  ","")&amp;IF(AND(EDATE($D34,Milestones!$AA$127)&lt;=AsOfDate,IF($Q34=0,$W34,IF(AND($S34&lt;&gt;"",EDATE($D34,Milestones!$AA$127)&gt;=$S34),$V34,IF(AND($R34&lt;&gt;"",EDATE($D34,Milestones!$AA$127)&gt;=$R34),$U34,$T34)))=Milestones!$AB$127),TEXT(EDATE($D34,Milestones!$AA$127),"dd/mm/yy")&amp;" "&amp;Milestones!$AB$127&amp;" "&amp;Milestones!$AC$127&amp;";  ","")&amp;IF(AND(EDATE($D34,Milestones!$AA$128)&lt;=AsOfDate,IF($Q34=0,$W34,IF(AND($S34&lt;&gt;"",EDATE($D34,Milestones!$AA$128)&gt;=$S34),$V34,IF(AND($R34&lt;&gt;"",EDATE($D34,Milestones!$AA$128)&gt;=$R34),$U34,$T34)))=Milestones!$AB$128),TEXT(EDATE($D34,Milestones!$AA$128),"dd/mm/yy")&amp;" "&amp;Milestones!$AB$128&amp;" "&amp;Milestones!$AC$128&amp;";  ","")&amp;IF(AND(EDATE($D34,Milestones!$AA$129)&lt;=AsOfDate,IF($Q34=0,$W34,IF(AND($S34&lt;&gt;"",EDATE($D34,Milestones!$AA$129)&gt;=$S34),$V34,IF(AND($R34&lt;&gt;"",EDATE($D34,Milestones!$AA$129)&gt;=$R34),$U34,$T34)))=Milestones!$AB$129),TEXT(EDATE($D34,Milestones!$AA$129),"dd/mm/yy")&amp;" "&amp;Milestones!$AB$129&amp;" "&amp;Milestones!$AC$129&amp;";  ","")&amp;IF(AND(EDATE($D34,Milestones!$AA$130)&lt;=AsOfDate,IF($Q34=0,$W34,IF(AND($S34&lt;&gt;"",EDATE($D34,Milestones!$AA$130)&gt;=$S34),$V34,IF(AND($R34&lt;&gt;"",EDATE($D34,Milestones!$AA$130)&gt;=$R34),$U34,$T34)))=Milestones!$AB$130),TEXT(EDATE($D34,Milestones!$AA$130),"dd/mm/yy")&amp;" "&amp;Milestones!$AB$130&amp;" "&amp;Milestones!$AC$130&amp;";  ","")&amp;IF(AND(EDATE($D34,Milestones!$AA$131)&lt;=AsOfDate,IF($Q34=0,$W34,IF(AND($S34&lt;&gt;"",EDATE($D34,Milestones!$AA$131)&gt;=$S34),$V34,IF(AND($R34&lt;&gt;"",EDATE($D34,Milestones!$AA$131)&gt;=$R34),$U34,$T34)))=Milestones!$AB$131),TEXT(EDATE($D34,Milestones!$AA$131),"dd/mm/yy")&amp;" "&amp;Milestones!$AB$131&amp;" "&amp;Milestones!$AC$131&amp;";  ","")&amp;IF(AND(EDATE($D34,Milestones!$AA$132)&lt;=AsOfDate,IF($Q34=0,$W34,IF(AND($S34&lt;&gt;"",EDATE($D34,Milestones!$AA$132)&gt;=$S34),$V34,IF(AND($R34&lt;&gt;"",EDATE($D34,Milestones!$AA$132)&gt;=$R34),$U34,$T34)))=Milestones!$AB$132),TEXT(EDATE($D34,Milestones!$AA$132),"dd/mm/yy")&amp;" "&amp;Milestones!$AB$132&amp;" "&amp;Milestones!$AC$132&amp;";  ","")&amp;IF(AND(EDATE($D34,Milestones!$AA$133)&lt;=AsOfDate,IF($Q34=0,$W34,IF(AND($S34&lt;&gt;"",EDATE($D34,Milestones!$AA$133)&gt;=$S34),$V34,IF(AND($R34&lt;&gt;"",EDATE($D34,Milestones!$AA$133)&gt;=$R34),$U34,$T34)))=Milestones!$AB$133),TEXT(EDATE($D34,Milestones!$AA$133),"dd/mm/yy")&amp;" "&amp;Milestones!$AB$133&amp;" "&amp;Milestones!$AC$133&amp;";  ","")&amp;IF(AND(EDATE($D34,Milestones!$AA$134)&lt;=AsOfDate,IF($Q34=0,$W34,IF(AND($S34&lt;&gt;"",EDATE($D34,Milestones!$AA$134)&gt;=$S34),$V34,IF(AND($R34&lt;&gt;"",EDATE($D34,Milestones!$AA$134)&gt;=$R34),$U34,$T34)))=Milestones!$AB$134),TEXT(EDATE($D34,Milestones!$AA$134),"dd/mm/yy")&amp;" "&amp;Milestones!$AB$134&amp;" "&amp;Milestones!$AC$134&amp;";  ","")&amp;IF(AND(EDATE($D34,Milestones!$AA$135)&lt;=AsOfDate,IF($Q34=0,$W34,IF(AND($S34&lt;&gt;"",EDATE($D34,Milestones!$AA$135)&gt;=$S34),$V34,IF(AND($R34&lt;&gt;"",EDATE($D34,Milestones!$AA$135)&gt;=$R34),$U34,$T34)))=Milestones!$AB$135),TEXT(EDATE($D34,Milestones!$AA$135),"dd/mm/yy")&amp;" "&amp;Milestones!$AB$135&amp;" "&amp;Milestones!$AC$135&amp;";  ","")&amp;IF(AND(EDATE($D34,Milestones!$AA$136)&lt;=AsOfDate,IF($Q34=0,$W34,IF(AND($S34&lt;&gt;"",EDATE($D34,Milestones!$AA$136)&gt;=$S34),$V34,IF(AND($R34&lt;&gt;"",EDATE($D34,Milestones!$AA$136)&gt;=$R34),$U34,$T34)))=Milestones!$AB$136),TEXT(EDATE($D34,Milestones!$AA$136),"dd/mm/yy")&amp;" "&amp;Milestones!$AB$136&amp;" "&amp;Milestones!$AC$136&amp;";  ","")&amp;IF(AND(EDATE($D34,Milestones!$AA$137)&lt;=AsOfDate,IF($Q34=0,$W34,IF(AND($S34&lt;&gt;"",EDATE($D34,Milestones!$AA$137)&gt;=$S34),$V34,IF(AND($R34&lt;&gt;"",EDATE($D34,Milestones!$AA$137)&gt;=$R34),$U34,$T34)))=Milestones!$AB$137),TEXT(EDATE($D34,Milestones!$AA$137),"dd/mm/yy")&amp;" "&amp;Milestones!$AB$137&amp;" "&amp;Milestones!$AC$137&amp;";  ","")&amp;IF(AND(EDATE($D34,Milestones!$AA$138)&lt;=AsOfDate,IF($Q34=0,$W34,IF(AND($S34&lt;&gt;"",EDATE($D34,Milestones!$AA$138)&gt;=$S34),$V34,IF(AND($R34&lt;&gt;"",EDATE($D34,Milestones!$AA$138)&gt;=$R34),$U34,$T34)))=Milestones!$AB$138),TEXT(EDATE($D34,Milestones!$AA$138),"dd/mm/yy")&amp;" "&amp;Milestones!$AB$138&amp;" "&amp;Milestones!$AC$138&amp;";  ","")&amp;IF(AND(EDATE($D34,Milestones!$AA$139)&lt;=AsOfDate,IF($Q34=0,$W34,IF(AND($S34&lt;&gt;"",EDATE($D34,Milestones!$AA$139)&gt;=$S34),$V34,IF(AND($R34&lt;&gt;"",EDATE($D34,Milestones!$AA$139)&gt;=$R34),$U34,$T34)))=Milestones!$AB$139),TEXT(EDATE($D34,Milestones!$AA$139),"dd/mm/yy")&amp;" "&amp;Milestones!$AB$139&amp;" "&amp;Milestones!$AC$139&amp;";  ",""))</f>
        <v/>
      </c>
      <c r="N34" s="0" t="str">
        <f aca="false">IF(OR($A34="",$D34=""),"",IF(AND(EDATE($D34,Milestones!$AA$140)&lt;=AsOfDate,IF($Q34=0,$W34,IF(AND($S34&lt;&gt;"",EDATE($D34,Milestones!$AA$140)&gt;=$S34),$V34,IF(AND($R34&lt;&gt;"",EDATE($D34,Milestones!$AA$140)&gt;=$R34),$U34,$T34)))=Milestones!$AB$140),TEXT(EDATE($D34,Milestones!$AA$140),"dd/mm/yy")&amp;" "&amp;Milestones!$AB$140&amp;" "&amp;Milestones!$AC$140&amp;";  ","")&amp;IF(AND(EDATE($D34,Milestones!$AA$141)&lt;=AsOfDate,IF($Q34=0,$W34,IF(AND($S34&lt;&gt;"",EDATE($D34,Milestones!$AA$141)&gt;=$S34),$V34,IF(AND($R34&lt;&gt;"",EDATE($D34,Milestones!$AA$141)&gt;=$R34),$U34,$T34)))=Milestones!$AB$141),TEXT(EDATE($D34,Milestones!$AA$141),"dd/mm/yy")&amp;" "&amp;Milestones!$AB$141&amp;" "&amp;Milestones!$AC$141&amp;";  ","")&amp;IF(AND(EDATE($D34,Milestones!$AA$142)&lt;=AsOfDate,IF($Q34=0,$W34,IF(AND($S34&lt;&gt;"",EDATE($D34,Milestones!$AA$142)&gt;=$S34),$V34,IF(AND($R34&lt;&gt;"",EDATE($D34,Milestones!$AA$142)&gt;=$R34),$U34,$T34)))=Milestones!$AB$142),TEXT(EDATE($D34,Milestones!$AA$142),"dd/mm/yy")&amp;" "&amp;Milestones!$AB$142&amp;" "&amp;Milestones!$AC$142&amp;";  ","")&amp;IF(AND(EDATE($D34,Milestones!$AA$143)&lt;=AsOfDate,IF($Q34=0,$W34,IF(AND($S34&lt;&gt;"",EDATE($D34,Milestones!$AA$143)&gt;=$S34),$V34,IF(AND($R34&lt;&gt;"",EDATE($D34,Milestones!$AA$143)&gt;=$R34),$U34,$T34)))=Milestones!$AB$143),TEXT(EDATE($D34,Milestones!$AA$143),"dd/mm/yy")&amp;" "&amp;Milestones!$AB$143&amp;" "&amp;Milestones!$AC$143&amp;";  ","")&amp;IF(AND(EDATE($D34,Milestones!$AA$144)&lt;=AsOfDate,IF($Q34=0,$W34,IF(AND($S34&lt;&gt;"",EDATE($D34,Milestones!$AA$144)&gt;=$S34),$V34,IF(AND($R34&lt;&gt;"",EDATE($D34,Milestones!$AA$144)&gt;=$R34),$U34,$T34)))=Milestones!$AB$144),TEXT(EDATE($D34,Milestones!$AA$144),"dd/mm/yy")&amp;" "&amp;Milestones!$AB$144&amp;" "&amp;Milestones!$AC$144&amp;";  ","")&amp;IF(AND(EDATE($D34,Milestones!$AA$145)&lt;=AsOfDate,IF($Q34=0,$W34,IF(AND($S34&lt;&gt;"",EDATE($D34,Milestones!$AA$145)&gt;=$S34),$V34,IF(AND($R34&lt;&gt;"",EDATE($D34,Milestones!$AA$145)&gt;=$R34),$U34,$T34)))=Milestones!$AB$145),TEXT(EDATE($D34,Milestones!$AA$145),"dd/mm/yy")&amp;" "&amp;Milestones!$AB$145&amp;" "&amp;Milestones!$AC$145&amp;";  ","")&amp;IF(AND(EDATE($D34,Milestones!$AA$146)&lt;=AsOfDate,IF($Q34=0,$W34,IF(AND($S34&lt;&gt;"",EDATE($D34,Milestones!$AA$146)&gt;=$S34),$V34,IF(AND($R34&lt;&gt;"",EDATE($D34,Milestones!$AA$146)&gt;=$R34),$U34,$T34)))=Milestones!$AB$146),TEXT(EDATE($D34,Milestones!$AA$146),"dd/mm/yy")&amp;" "&amp;Milestones!$AB$146&amp;" "&amp;Milestones!$AC$146&amp;";  ","")&amp;IF(AND(EDATE($D34,Milestones!$AA$147)&lt;=AsOfDate,IF($Q34=0,$W34,IF(AND($S34&lt;&gt;"",EDATE($D34,Milestones!$AA$147)&gt;=$S34),$V34,IF(AND($R34&lt;&gt;"",EDATE($D34,Milestones!$AA$147)&gt;=$R34),$U34,$T34)))=Milestones!$AB$147),TEXT(EDATE($D34,Milestones!$AA$147),"dd/mm/yy")&amp;" "&amp;Milestones!$AB$147&amp;" "&amp;Milestones!$AC$147&amp;";  ","")&amp;IF(AND(EDATE($D34,Milestones!$AA$148)&lt;=AsOfDate,IF($Q34=0,$W34,IF(AND($S34&lt;&gt;"",EDATE($D34,Milestones!$AA$148)&gt;=$S34),$V34,IF(AND($R34&lt;&gt;"",EDATE($D34,Milestones!$AA$148)&gt;=$R34),$U34,$T34)))=Milestones!$AB$148),TEXT(EDATE($D34,Milestones!$AA$148),"dd/mm/yy")&amp;" "&amp;Milestones!$AB$148&amp;" "&amp;Milestones!$AC$148&amp;";  ","")&amp;IF(AND(EDATE($D34,Milestones!$AA$149)&lt;=AsOfDate,IF($Q34=0,$W34,IF(AND($S34&lt;&gt;"",EDATE($D34,Milestones!$AA$149)&gt;=$S34),$V34,IF(AND($R34&lt;&gt;"",EDATE($D34,Milestones!$AA$149)&gt;=$R34),$U34,$T34)))=Milestones!$AB$149),TEXT(EDATE($D34,Milestones!$AA$149),"dd/mm/yy")&amp;" "&amp;Milestones!$AB$149&amp;" "&amp;Milestones!$AC$149&amp;";  ","")&amp;IF(AND(EDATE($D34,Milestones!$AA$150)&lt;=AsOfDate,IF($Q34=0,$W34,IF(AND($S34&lt;&gt;"",EDATE($D34,Milestones!$AA$150)&gt;=$S34),$V34,IF(AND($R34&lt;&gt;"",EDATE($D34,Milestones!$AA$150)&gt;=$R34),$U34,$T34)))=Milestones!$AB$150),TEXT(EDATE($D34,Milestones!$AA$150),"dd/mm/yy")&amp;" "&amp;Milestones!$AB$150&amp;" "&amp;Milestones!$AC$150&amp;";  ","")&amp;IF(AND(EDATE($D34,Milestones!$AA$151)&lt;=AsOfDate,IF($Q34=0,$W34,IF(AND($S34&lt;&gt;"",EDATE($D34,Milestones!$AA$151)&gt;=$S34),$V34,IF(AND($R34&lt;&gt;"",EDATE($D34,Milestones!$AA$151)&gt;=$R34),$U34,$T34)))=Milestones!$AB$151),TEXT(EDATE($D34,Milestones!$AA$151),"dd/mm/yy")&amp;" "&amp;Milestones!$AB$151&amp;" "&amp;Milestones!$AC$151&amp;";  ","")&amp;IF(AND(EDATE($D34,Milestones!$AA$152)&lt;=AsOfDate,IF($Q34=0,$W34,IF(AND($S34&lt;&gt;"",EDATE($D34,Milestones!$AA$152)&gt;=$S34),$V34,IF(AND($R34&lt;&gt;"",EDATE($D34,Milestones!$AA$152)&gt;=$R34),$U34,$T34)))=Milestones!$AB$152),TEXT(EDATE($D34,Milestones!$AA$152),"dd/mm/yy")&amp;" "&amp;Milestones!$AB$152&amp;" "&amp;Milestones!$AC$152&amp;";  ","")&amp;IF(AND(EDATE($D34,Milestones!$AA$153)&lt;=AsOfDate,IF($Q34=0,$W34,IF(AND($S34&lt;&gt;"",EDATE($D34,Milestones!$AA$153)&gt;=$S34),$V34,IF(AND($R34&lt;&gt;"",EDATE($D34,Milestones!$AA$153)&gt;=$R34),$U34,$T34)))=Milestones!$AB$153),TEXT(EDATE($D34,Milestones!$AA$153),"dd/mm/yy")&amp;" "&amp;Milestones!$AB$153&amp;" "&amp;Milestones!$AC$153&amp;";  ","")&amp;IF(AND(EDATE($D34,Milestones!$AA$154)&lt;=AsOfDate,IF($Q34=0,$W34,IF(AND($S34&lt;&gt;"",EDATE($D34,Milestones!$AA$154)&gt;=$S34),$V34,IF(AND($R34&lt;&gt;"",EDATE($D34,Milestones!$AA$154)&gt;=$R34),$U34,$T34)))=Milestones!$AB$154),TEXT(EDATE($D34,Milestones!$AA$154),"dd/mm/yy")&amp;" "&amp;Milestones!$AB$154&amp;" "&amp;Milestones!$AC$154&amp;";  ","")&amp;IF(AND(EDATE($D34,Milestones!$AA$155)&lt;=AsOfDate,IF($Q34=0,$W34,IF(AND($S34&lt;&gt;"",EDATE($D34,Milestones!$AA$155)&gt;=$S34),$V34,IF(AND($R34&lt;&gt;"",EDATE($D34,Milestones!$AA$155)&gt;=$R34),$U34,$T34)))=Milestones!$AB$155),TEXT(EDATE($D34,Milestones!$AA$155),"dd/mm/yy")&amp;" "&amp;Milestones!$AB$155&amp;" "&amp;Milestones!$AC$155&amp;";  ","")&amp;IF(AND(EDATE($D34,Milestones!$AA$156)&lt;=AsOfDate,IF($Q34=0,$W34,IF(AND($S34&lt;&gt;"",EDATE($D34,Milestones!$AA$156)&gt;=$S34),$V34,IF(AND($R34&lt;&gt;"",EDATE($D34,Milestones!$AA$156)&gt;=$R34),$U34,$T34)))=Milestones!$AB$156),TEXT(EDATE($D34,Milestones!$AA$156),"dd/mm/yy")&amp;" "&amp;Milestones!$AB$156&amp;" "&amp;Milestones!$AC$156&amp;";  ","")&amp;IF(AND(EDATE($D34,Milestones!$AA$157)&lt;=AsOfDate,IF($Q34=0,$W34,IF(AND($S34&lt;&gt;"",EDATE($D34,Milestones!$AA$157)&gt;=$S34),$V34,IF(AND($R34&lt;&gt;"",EDATE($D34,Milestones!$AA$157)&gt;=$R34),$U34,$T34)))=Milestones!$AB$157),TEXT(EDATE($D34,Milestones!$AA$157),"dd/mm/yy")&amp;" "&amp;Milestones!$AB$157&amp;" "&amp;Milestones!$AC$157&amp;";  ","")&amp;IF(AND(EDATE($D34,Milestones!$AA$158)&lt;=AsOfDate,IF($Q34=0,$W34,IF(AND($S34&lt;&gt;"",EDATE($D34,Milestones!$AA$158)&gt;=$S34),$V34,IF(AND($R34&lt;&gt;"",EDATE($D34,Milestones!$AA$158)&gt;=$R34),$U34,$T34)))=Milestones!$AB$158),TEXT(EDATE($D34,Milestones!$AA$158),"dd/mm/yy")&amp;" "&amp;Milestones!$AB$158&amp;" "&amp;Milestones!$AC$158&amp;";  ","")&amp;IF(AND(EDATE($D34,Milestones!$AA$159)&lt;=AsOfDate,IF($Q34=0,$W34,IF(AND($S34&lt;&gt;"",EDATE($D34,Milestones!$AA$159)&gt;=$S34),$V34,IF(AND($R34&lt;&gt;"",EDATE($D34,Milestones!$AA$159)&gt;=$R34),$U34,$T34)))=Milestones!$AB$159),TEXT(EDATE($D34,Milestones!$AA$159),"dd/mm/yy")&amp;" "&amp;Milestones!$AB$159&amp;" "&amp;Milestones!$AC$159&amp;";  ",""))</f>
        <v/>
      </c>
      <c r="O34" s="0" t="str">
        <f aca="false">IF(OR($A34="",$D34=""),"",IF(AND(EDATE($D34,Milestones!$AA$160)&lt;=AsOfDate,IF($Q34=0,$W34,IF(AND($S34&lt;&gt;"",EDATE($D34,Milestones!$AA$160)&gt;=$S34),$V34,IF(AND($R34&lt;&gt;"",EDATE($D34,Milestones!$AA$160)&gt;=$R34),$U34,$T34)))=Milestones!$AB$160),TEXT(EDATE($D34,Milestones!$AA$160),"dd/mm/yy")&amp;" "&amp;Milestones!$AB$160&amp;" "&amp;Milestones!$AC$160&amp;";  ","")&amp;IF(AND(EDATE($D34,Milestones!$AA$161)&lt;=AsOfDate,IF($Q34=0,$W34,IF(AND($S34&lt;&gt;"",EDATE($D34,Milestones!$AA$161)&gt;=$S34),$V34,IF(AND($R34&lt;&gt;"",EDATE($D34,Milestones!$AA$161)&gt;=$R34),$U34,$T34)))=Milestones!$AB$161),TEXT(EDATE($D34,Milestones!$AA$161),"dd/mm/yy")&amp;" "&amp;Milestones!$AB$161&amp;" "&amp;Milestones!$AC$161&amp;";  ","")&amp;IF(AND(EDATE($D34,Milestones!$AA$162)&lt;=AsOfDate,IF($Q34=0,$W34,IF(AND($S34&lt;&gt;"",EDATE($D34,Milestones!$AA$162)&gt;=$S34),$V34,IF(AND($R34&lt;&gt;"",EDATE($D34,Milestones!$AA$162)&gt;=$R34),$U34,$T34)))=Milestones!$AB$162),TEXT(EDATE($D34,Milestones!$AA$162),"dd/mm/yy")&amp;" "&amp;Milestones!$AB$162&amp;" "&amp;Milestones!$AC$162&amp;";  ","")&amp;IF(AND(EDATE($D34,Milestones!$AA$163)&lt;=AsOfDate,IF($Q34=0,$W34,IF(AND($S34&lt;&gt;"",EDATE($D34,Milestones!$AA$163)&gt;=$S34),$V34,IF(AND($R34&lt;&gt;"",EDATE($D34,Milestones!$AA$163)&gt;=$R34),$U34,$T34)))=Milestones!$AB$163),TEXT(EDATE($D34,Milestones!$AA$163),"dd/mm/yy")&amp;" "&amp;Milestones!$AB$163&amp;" "&amp;Milestones!$AC$163&amp;";  ","")&amp;IF(AND(EDATE($D34,Milestones!$AA$164)&lt;=AsOfDate,IF($Q34=0,$W34,IF(AND($S34&lt;&gt;"",EDATE($D34,Milestones!$AA$164)&gt;=$S34),$V34,IF(AND($R34&lt;&gt;"",EDATE($D34,Milestones!$AA$164)&gt;=$R34),$U34,$T34)))=Milestones!$AB$164),TEXT(EDATE($D34,Milestones!$AA$164),"dd/mm/yy")&amp;" "&amp;Milestones!$AB$164&amp;" "&amp;Milestones!$AC$164&amp;";  ","")&amp;IF(AND(EDATE($D34,Milestones!$AA$165)&lt;=AsOfDate,IF($Q34=0,$W34,IF(AND($S34&lt;&gt;"",EDATE($D34,Milestones!$AA$165)&gt;=$S34),$V34,IF(AND($R34&lt;&gt;"",EDATE($D34,Milestones!$AA$165)&gt;=$R34),$U34,$T34)))=Milestones!$AB$165),TEXT(EDATE($D34,Milestones!$AA$165),"dd/mm/yy")&amp;" "&amp;Milestones!$AB$165&amp;" "&amp;Milestones!$AC$165&amp;";  ","")&amp;IF(AND(EDATE($D34,Milestones!$AA$166)&lt;=AsOfDate,IF($Q34=0,$W34,IF(AND($S34&lt;&gt;"",EDATE($D34,Milestones!$AA$166)&gt;=$S34),$V34,IF(AND($R34&lt;&gt;"",EDATE($D34,Milestones!$AA$166)&gt;=$R34),$U34,$T34)))=Milestones!$AB$166),TEXT(EDATE($D34,Milestones!$AA$166),"dd/mm/yy")&amp;" "&amp;Milestones!$AB$166&amp;" "&amp;Milestones!$AC$166&amp;";  ","")&amp;IF(AND(EDATE($D34,Milestones!$AA$167)&lt;=AsOfDate,IF($Q34=0,$W34,IF(AND($S34&lt;&gt;"",EDATE($D34,Milestones!$AA$167)&gt;=$S34),$V34,IF(AND($R34&lt;&gt;"",EDATE($D34,Milestones!$AA$167)&gt;=$R34),$U34,$T34)))=Milestones!$AB$167),TEXT(EDATE($D34,Milestones!$AA$167),"dd/mm/yy")&amp;" "&amp;Milestones!$AB$167&amp;" "&amp;Milestones!$AC$167&amp;";  ","")&amp;IF(AND(EDATE($D34,Milestones!$AA$168)&lt;=AsOfDate,IF($Q34=0,$W34,IF(AND($S34&lt;&gt;"",EDATE($D34,Milestones!$AA$168)&gt;=$S34),$V34,IF(AND($R34&lt;&gt;"",EDATE($D34,Milestones!$AA$168)&gt;=$R34),$U34,$T34)))=Milestones!$AB$168),TEXT(EDATE($D34,Milestones!$AA$168),"dd/mm/yy")&amp;" "&amp;Milestones!$AB$168&amp;" "&amp;Milestones!$AC$168&amp;";  ","")&amp;IF(AND(EDATE($D34,Milestones!$AA$169)&lt;=AsOfDate,IF($Q34=0,$W34,IF(AND($S34&lt;&gt;"",EDATE($D34,Milestones!$AA$169)&gt;=$S34),$V34,IF(AND($R34&lt;&gt;"",EDATE($D34,Milestones!$AA$169)&gt;=$R34),$U34,$T34)))=Milestones!$AB$169),TEXT(EDATE($D34,Milestones!$AA$169),"dd/mm/yy")&amp;" "&amp;Milestones!$AB$169&amp;" "&amp;Milestones!$AC$169&amp;";  ","")&amp;IF(AND(EDATE($D34,Milestones!$AA$170)&lt;=AsOfDate,IF($Q34=0,$W34,IF(AND($S34&lt;&gt;"",EDATE($D34,Milestones!$AA$170)&gt;=$S34),$V34,IF(AND($R34&lt;&gt;"",EDATE($D34,Milestones!$AA$170)&gt;=$R34),$U34,$T34)))=Milestones!$AB$170),TEXT(EDATE($D34,Milestones!$AA$170),"dd/mm/yy")&amp;" "&amp;Milestones!$AB$170&amp;" "&amp;Milestones!$AC$170&amp;";  ","")&amp;IF(AND(EDATE($D34,Milestones!$AA$171)&lt;=AsOfDate,IF($Q34=0,$W34,IF(AND($S34&lt;&gt;"",EDATE($D34,Milestones!$AA$171)&gt;=$S34),$V34,IF(AND($R34&lt;&gt;"",EDATE($D34,Milestones!$AA$171)&gt;=$R34),$U34,$T34)))=Milestones!$AB$171),TEXT(EDATE($D34,Milestones!$AA$171),"dd/mm/yy")&amp;" "&amp;Milestones!$AB$171&amp;" "&amp;Milestones!$AC$171&amp;";  ","")&amp;IF(AND(EDATE($D34,Milestones!$AA$172)&lt;=AsOfDate,IF($Q34=0,$W34,IF(AND($S34&lt;&gt;"",EDATE($D34,Milestones!$AA$172)&gt;=$S34),$V34,IF(AND($R34&lt;&gt;"",EDATE($D34,Milestones!$AA$172)&gt;=$R34),$U34,$T34)))=Milestones!$AB$172),TEXT(EDATE($D34,Milestones!$AA$172),"dd/mm/yy")&amp;" "&amp;Milestones!$AB$172&amp;" "&amp;Milestones!$AC$172&amp;";  ","")&amp;IF(AND(EDATE($D34,Milestones!$AA$173)&lt;=AsOfDate,IF($Q34=0,$W34,IF(AND($S34&lt;&gt;"",EDATE($D34,Milestones!$AA$173)&gt;=$S34),$V34,IF(AND($R34&lt;&gt;"",EDATE($D34,Milestones!$AA$173)&gt;=$R34),$U34,$T34)))=Milestones!$AB$173),TEXT(EDATE($D34,Milestones!$AA$173),"dd/mm/yy")&amp;" "&amp;Milestones!$AB$173&amp;" "&amp;Milestones!$AC$173&amp;";  ","")&amp;IF(AND(EDATE($D34,Milestones!$AA$174)&lt;=AsOfDate,IF($Q34=0,$W34,IF(AND($S34&lt;&gt;"",EDATE($D34,Milestones!$AA$174)&gt;=$S34),$V34,IF(AND($R34&lt;&gt;"",EDATE($D34,Milestones!$AA$174)&gt;=$R34),$U34,$T34)))=Milestones!$AB$174),TEXT(EDATE($D34,Milestones!$AA$174),"dd/mm/yy")&amp;" "&amp;Milestones!$AB$174&amp;" "&amp;Milestones!$AC$174&amp;";  ","")&amp;IF(AND(EDATE($D34,Milestones!$AA$175)&lt;=AsOfDate,IF($Q34=0,$W34,IF(AND($S34&lt;&gt;"",EDATE($D34,Milestones!$AA$175)&gt;=$S34),$V34,IF(AND($R34&lt;&gt;"",EDATE($D34,Milestones!$AA$175)&gt;=$R34),$U34,$T34)))=Milestones!$AB$175),TEXT(EDATE($D34,Milestones!$AA$175),"dd/mm/yy")&amp;" "&amp;Milestones!$AB$175&amp;" "&amp;Milestones!$AC$175&amp;";  ","")&amp;IF(AND(EDATE($D34,Milestones!$AA$176)&lt;=AsOfDate,IF($Q34=0,$W34,IF(AND($S34&lt;&gt;"",EDATE($D34,Milestones!$AA$176)&gt;=$S34),$V34,IF(AND($R34&lt;&gt;"",EDATE($D34,Milestones!$AA$176)&gt;=$R34),$U34,$T34)))=Milestones!$AB$176),TEXT(EDATE($D34,Milestones!$AA$176),"dd/mm/yy")&amp;" "&amp;Milestones!$AB$176&amp;" "&amp;Milestones!$AC$176&amp;";  ","")&amp;IF(AND(EDATE($D34,Milestones!$AA$177)&lt;=AsOfDate,IF($Q34=0,$W34,IF(AND($S34&lt;&gt;"",EDATE($D34,Milestones!$AA$177)&gt;=$S34),$V34,IF(AND($R34&lt;&gt;"",EDATE($D34,Milestones!$AA$177)&gt;=$R34),$U34,$T34)))=Milestones!$AB$177),TEXT(EDATE($D34,Milestones!$AA$177),"dd/mm/yy")&amp;" "&amp;Milestones!$AB$177&amp;" "&amp;Milestones!$AC$177&amp;";  ","")&amp;IF(AND(EDATE($D34,Milestones!$AA$178)&lt;=AsOfDate,IF($Q34=0,$W34,IF(AND($S34&lt;&gt;"",EDATE($D34,Milestones!$AA$178)&gt;=$S34),$V34,IF(AND($R34&lt;&gt;"",EDATE($D34,Milestones!$AA$178)&gt;=$R34),$U34,$T34)))=Milestones!$AB$178),TEXT(EDATE($D34,Milestones!$AA$178),"dd/mm/yy")&amp;" "&amp;Milestones!$AB$178&amp;" "&amp;Milestones!$AC$178&amp;";  ","")&amp;IF(AND(EDATE($D34,Milestones!$AA$179)&lt;=AsOfDate,IF($Q34=0,$W34,IF(AND($S34&lt;&gt;"",EDATE($D34,Milestones!$AA$179)&gt;=$S34),$V34,IF(AND($R34&lt;&gt;"",EDATE($D34,Milestones!$AA$179)&gt;=$R34),$U34,$T34)))=Milestones!$AB$179),TEXT(EDATE($D34,Milestones!$AA$179),"dd/mm/yy")&amp;" "&amp;Milestones!$AB$179&amp;" "&amp;Milestones!$AC$179&amp;";  ",""))</f>
        <v/>
      </c>
      <c r="P34" s="0" t="str">
        <f aca="false">IF(OR($A34="",$D34=""),"",IF(AND(EDATE($D34,Milestones!$AA$180)&lt;=AsOfDate,IF($Q34=0,$W34,IF(AND($S34&lt;&gt;"",EDATE($D34,Milestones!$AA$180)&gt;=$S34),$V34,IF(AND($R34&lt;&gt;"",EDATE($D34,Milestones!$AA$180)&gt;=$R34),$U34,$T34)))=Milestones!$AB$180),TEXT(EDATE($D34,Milestones!$AA$180),"dd/mm/yy")&amp;" "&amp;Milestones!$AB$180&amp;" "&amp;Milestones!$AC$180&amp;";  ","")&amp;IF(AND(EDATE($D34,Milestones!$AA$181)&lt;=AsOfDate,IF($Q34=0,$W34,IF(AND($S34&lt;&gt;"",EDATE($D34,Milestones!$AA$181)&gt;=$S34),$V34,IF(AND($R34&lt;&gt;"",EDATE($D34,Milestones!$AA$181)&gt;=$R34),$U34,$T34)))=Milestones!$AB$181),TEXT(EDATE($D34,Milestones!$AA$181),"dd/mm/yy")&amp;" "&amp;Milestones!$AB$181&amp;" "&amp;Milestones!$AC$181&amp;";  ","")&amp;IF(AND(EDATE($D34,Milestones!$AA$182)&lt;=AsOfDate,IF($Q34=0,$W34,IF(AND($S34&lt;&gt;"",EDATE($D34,Milestones!$AA$182)&gt;=$S34),$V34,IF(AND($R34&lt;&gt;"",EDATE($D34,Milestones!$AA$182)&gt;=$R34),$U34,$T34)))=Milestones!$AB$182),TEXT(EDATE($D34,Milestones!$AA$182),"dd/mm/yy")&amp;" "&amp;Milestones!$AB$182&amp;" "&amp;Milestones!$AC$182&amp;";  ","")&amp;IF(AND(EDATE($D34,Milestones!$AA$183)&lt;=AsOfDate,IF($Q34=0,$W34,IF(AND($S34&lt;&gt;"",EDATE($D34,Milestones!$AA$183)&gt;=$S34),$V34,IF(AND($R34&lt;&gt;"",EDATE($D34,Milestones!$AA$183)&gt;=$R34),$U34,$T34)))=Milestones!$AB$183),TEXT(EDATE($D34,Milestones!$AA$183),"dd/mm/yy")&amp;" "&amp;Milestones!$AB$183&amp;" "&amp;Milestones!$AC$183&amp;";  ","")&amp;IF(AND(EDATE($D34,Milestones!$AA$184)&lt;=AsOfDate,IF($Q34=0,$W34,IF(AND($S34&lt;&gt;"",EDATE($D34,Milestones!$AA$184)&gt;=$S34),$V34,IF(AND($R34&lt;&gt;"",EDATE($D34,Milestones!$AA$184)&gt;=$R34),$U34,$T34)))=Milestones!$AB$184),TEXT(EDATE($D34,Milestones!$AA$184),"dd/mm/yy")&amp;" "&amp;Milestones!$AB$184&amp;" "&amp;Milestones!$AC$184&amp;";  ","")&amp;IF(AND(EDATE($D34,Milestones!$AA$185)&lt;=AsOfDate,IF($Q34=0,$W34,IF(AND($S34&lt;&gt;"",EDATE($D34,Milestones!$AA$185)&gt;=$S34),$V34,IF(AND($R34&lt;&gt;"",EDATE($D34,Milestones!$AA$185)&gt;=$R34),$U34,$T34)))=Milestones!$AB$185),TEXT(EDATE($D34,Milestones!$AA$185),"dd/mm/yy")&amp;" "&amp;Milestones!$AB$185&amp;" "&amp;Milestones!$AC$185&amp;";  ","")&amp;IF(AND(EDATE($D34,Milestones!$AA$186)&lt;=AsOfDate,IF($Q34=0,$W34,IF(AND($S34&lt;&gt;"",EDATE($D34,Milestones!$AA$186)&gt;=$S34),$V34,IF(AND($R34&lt;&gt;"",EDATE($D34,Milestones!$AA$186)&gt;=$R34),$U34,$T34)))=Milestones!$AB$186),TEXT(EDATE($D34,Milestones!$AA$186),"dd/mm/yy")&amp;" "&amp;Milestones!$AB$186&amp;" "&amp;Milestones!$AC$186&amp;";  ","")&amp;IF(AND(EDATE($D34,Milestones!$AA$187)&lt;=AsOfDate,IF($Q34=0,$W34,IF(AND($S34&lt;&gt;"",EDATE($D34,Milestones!$AA$187)&gt;=$S34),$V34,IF(AND($R34&lt;&gt;"",EDATE($D34,Milestones!$AA$187)&gt;=$R34),$U34,$T34)))=Milestones!$AB$187),TEXT(EDATE($D34,Milestones!$AA$187),"dd/mm/yy")&amp;" "&amp;Milestones!$AB$187&amp;" "&amp;Milestones!$AC$187&amp;";  ","")&amp;IF(AND(EDATE($D34,Milestones!$AA$188)&lt;=AsOfDate,IF($Q34=0,$W34,IF(AND($S34&lt;&gt;"",EDATE($D34,Milestones!$AA$188)&gt;=$S34),$V34,IF(AND($R34&lt;&gt;"",EDATE($D34,Milestones!$AA$188)&gt;=$R34),$U34,$T34)))=Milestones!$AB$188),TEXT(EDATE($D34,Milestones!$AA$188),"dd/mm/yy")&amp;" "&amp;Milestones!$AB$188&amp;" "&amp;Milestones!$AC$188&amp;";  ","")&amp;IF(AND(EDATE($D34,Milestones!$AA$189)&lt;=AsOfDate,IF($Q34=0,$W34,IF(AND($S34&lt;&gt;"",EDATE($D34,Milestones!$AA$189)&gt;=$S34),$V34,IF(AND($R34&lt;&gt;"",EDATE($D34,Milestones!$AA$189)&gt;=$R34),$U34,$T34)))=Milestones!$AB$189),TEXT(EDATE($D34,Milestones!$AA$189),"dd/mm/yy")&amp;" "&amp;Milestones!$AB$189&amp;" "&amp;Milestones!$AC$189&amp;";  ","")&amp;IF(AND(EDATE($D34,Milestones!$AA$190)&lt;=AsOfDate,IF($Q34=0,$W34,IF(AND($S34&lt;&gt;"",EDATE($D34,Milestones!$AA$190)&gt;=$S34),$V34,IF(AND($R34&lt;&gt;"",EDATE($D34,Milestones!$AA$190)&gt;=$R34),$U34,$T34)))=Milestones!$AB$190),TEXT(EDATE($D34,Milestones!$AA$190),"dd/mm/yy")&amp;" "&amp;Milestones!$AB$190&amp;" "&amp;Milestones!$AC$190&amp;";  ","")&amp;IF(AND(EDATE($D34,Milestones!$AA$191)&lt;=AsOfDate,IF($Q34=0,$W34,IF(AND($S34&lt;&gt;"",EDATE($D34,Milestones!$AA$191)&gt;=$S34),$V34,IF(AND($R34&lt;&gt;"",EDATE($D34,Milestones!$AA$191)&gt;=$R34),$U34,$T34)))=Milestones!$AB$191),TEXT(EDATE($D34,Milestones!$AA$191),"dd/mm/yy")&amp;" "&amp;Milestones!$AB$191&amp;" "&amp;Milestones!$AC$191&amp;";  ","")&amp;IF(AND(EDATE($D34,Milestones!$AA$192)&lt;=AsOfDate,IF($Q34=0,$W34,IF(AND($S34&lt;&gt;"",EDATE($D34,Milestones!$AA$192)&gt;=$S34),$V34,IF(AND($R34&lt;&gt;"",EDATE($D34,Milestones!$AA$192)&gt;=$R34),$U34,$T34)))=Milestones!$AB$192),TEXT(EDATE($D34,Milestones!$AA$192),"dd/mm/yy")&amp;" "&amp;Milestones!$AB$192&amp;" "&amp;Milestones!$AC$192&amp;";  ","")&amp;IF(AND(EDATE($D34,Milestones!$AA$193)&lt;=AsOfDate,IF($Q34=0,$W34,IF(AND($S34&lt;&gt;"",EDATE($D34,Milestones!$AA$193)&gt;=$S34),$V34,IF(AND($R34&lt;&gt;"",EDATE($D34,Milestones!$AA$193)&gt;=$R34),$U34,$T34)))=Milestones!$AB$193),TEXT(EDATE($D34,Milestones!$AA$193),"dd/mm/yy")&amp;" "&amp;Milestones!$AB$193&amp;" "&amp;Milestones!$AC$193&amp;";  ","")&amp;IF(AND(EDATE($D34,Milestones!$AA$194)&lt;=AsOfDate,IF($Q34=0,$W34,IF(AND($S34&lt;&gt;"",EDATE($D34,Milestones!$AA$194)&gt;=$S34),$V34,IF(AND($R34&lt;&gt;"",EDATE($D34,Milestones!$AA$194)&gt;=$R34),$U34,$T34)))=Milestones!$AB$194),TEXT(EDATE($D34,Milestones!$AA$194),"dd/mm/yy")&amp;" "&amp;Milestones!$AB$194&amp;" "&amp;Milestones!$AC$194&amp;";  ","")&amp;IF(AND(EDATE($D34,Milestones!$AA$195)&lt;=AsOfDate,IF($Q34=0,$W34,IF(AND($S34&lt;&gt;"",EDATE($D34,Milestones!$AA$195)&gt;=$S34),$V34,IF(AND($R34&lt;&gt;"",EDATE($D34,Milestones!$AA$195)&gt;=$R34),$U34,$T34)))=Milestones!$AB$195),TEXT(EDATE($D34,Milestones!$AA$195),"dd/mm/yy")&amp;" "&amp;Milestones!$AB$195&amp;" "&amp;Milestones!$AC$195&amp;";  ","")&amp;IF(AND(EDATE($D34,Milestones!$AA$196)&lt;=AsOfDate,IF($Q34=0,$W34,IF(AND($S34&lt;&gt;"",EDATE($D34,Milestones!$AA$196)&gt;=$S34),$V34,IF(AND($R34&lt;&gt;"",EDATE($D34,Milestones!$AA$196)&gt;=$R34),$U34,$T34)))=Milestones!$AB$196),TEXT(EDATE($D34,Milestones!$AA$196),"dd/mm/yy")&amp;" "&amp;Milestones!$AB$196&amp;" "&amp;Milestones!$AC$196&amp;";  ","")&amp;IF(AND(EDATE($D34,Milestones!$AA$197)&lt;=AsOfDate,IF($Q34=0,$W34,IF(AND($S34&lt;&gt;"",EDATE($D34,Milestones!$AA$197)&gt;=$S34),$V34,IF(AND($R34&lt;&gt;"",EDATE($D34,Milestones!$AA$197)&gt;=$R34),$U34,$T34)))=Milestones!$AB$197),TEXT(EDATE($D34,Milestones!$AA$197),"dd/mm/yy")&amp;" "&amp;Milestones!$AB$197&amp;" "&amp;Milestones!$AC$197&amp;";  ","")&amp;IF(AND(EDATE($D34,Milestones!$AA$198)&lt;=AsOfDate,IF($Q34=0,$W34,IF(AND($S34&lt;&gt;"",EDATE($D34,Milestones!$AA$198)&gt;=$S34),$V34,IF(AND($R34&lt;&gt;"",EDATE($D34,Milestones!$AA$198)&gt;=$R34),$U34,$T34)))=Milestones!$AB$198),TEXT(EDATE($D34,Milestones!$AA$198),"dd/mm/yy")&amp;" "&amp;Milestones!$AB$198&amp;" "&amp;Milestones!$AC$198&amp;";  ","")&amp;IF(AND(EDATE($D34,Milestones!$AA$199)&lt;=AsOfDate,IF($Q34=0,$W34,IF(AND($S34&lt;&gt;"",EDATE($D34,Milestones!$AA$199)&gt;=$S34),$V34,IF(AND($R34&lt;&gt;"",EDATE($D34,Milestones!$AA$199)&gt;=$R34),$U34,$T34)))=Milestones!$AB$199),TEXT(EDATE($D34,Milestones!$AA$199),"dd/mm/yy")&amp;" "&amp;Milestones!$AB$199&amp;" "&amp;Milestones!$AC$199&amp;";  ",""))</f>
        <v/>
      </c>
      <c r="Q34" s="0" t="str">
        <f aca="false">IF(Staff!$A34="","",Staff!$AG34)</f>
        <v/>
      </c>
      <c r="R34" s="0" t="str">
        <f aca="false">IF(Staff!$A34="","",Staff!$AI34)</f>
        <v/>
      </c>
      <c r="S34" s="0" t="str">
        <f aca="false">IF(Staff!$A34="","",Staff!$AJ34)</f>
        <v/>
      </c>
      <c r="T34" s="0" t="str">
        <f aca="false">IF(Staff!$A34="","",Staff!$AN34)</f>
        <v/>
      </c>
      <c r="U34" s="0" t="str">
        <f aca="false">IF(Staff!$A34="","",Staff!$AO34)</f>
        <v/>
      </c>
      <c r="V34" s="0" t="str">
        <f aca="false">IF(Staff!$A34="","",Staff!$AP34)</f>
        <v/>
      </c>
      <c r="W34" s="0" t="str">
        <f aca="false">IF(Staff!$A34="","",Staff!$AQ34)</f>
        <v/>
      </c>
    </row>
    <row r="35" customFormat="false" ht="15" hidden="false" customHeight="false" outlineLevel="0" collapsed="false">
      <c r="A35" s="13" t="str">
        <f aca="false">IF(Staff!$A35="","",Staff!$A35)</f>
        <v/>
      </c>
      <c r="B35" s="13" t="str">
        <f aca="false">IF(Staff!$A35="","",Staff!$B35)</f>
        <v/>
      </c>
      <c r="C35" s="13" t="str">
        <f aca="false">IF(Staff!$A35="","",Staff!$C35)</f>
        <v/>
      </c>
      <c r="D35" s="11" t="str">
        <f aca="false">IF(Staff!$A35="","",Staff!$AF35)</f>
        <v/>
      </c>
      <c r="E35" s="13" t="str">
        <f aca="false">IF(Staff!$A35="","",Staff!$O35)</f>
        <v/>
      </c>
      <c r="F35" s="13" t="str">
        <f aca="false">IF(E35="","",E35*HoursPerDay)</f>
        <v/>
      </c>
      <c r="G35" s="26" t="str">
        <f aca="false">IF($A35="","",H35&amp;I35&amp;J35&amp;K35&amp;L35&amp;M35&amp;N35&amp;O35&amp;P35)</f>
        <v/>
      </c>
      <c r="H35" s="0" t="str">
        <f aca="false">IF(OR($A35="",$D35=""),"",IF(AND(EDATE($D35,Milestones!$AA$20)&lt;=AsOfDate,IF($Q35=0,$W35,IF(AND($S35&lt;&gt;"",EDATE($D35,Milestones!$AA$20)&gt;=$S35),$V35,IF(AND($R35&lt;&gt;"",EDATE($D35,Milestones!$AA$20)&gt;=$R35),$U35,$T35)))=Milestones!$AB$20),TEXT(EDATE($D35,Milestones!$AA$20),"dd/mm/yy")&amp;" "&amp;Milestones!$AB$20&amp;" "&amp;Milestones!$AC$20&amp;";  ","")&amp;IF(AND(EDATE($D35,Milestones!$AA$21)&lt;=AsOfDate,IF($Q35=0,$W35,IF(AND($S35&lt;&gt;"",EDATE($D35,Milestones!$AA$21)&gt;=$S35),$V35,IF(AND($R35&lt;&gt;"",EDATE($D35,Milestones!$AA$21)&gt;=$R35),$U35,$T35)))=Milestones!$AB$21),TEXT(EDATE($D35,Milestones!$AA$21),"dd/mm/yy")&amp;" "&amp;Milestones!$AB$21&amp;" "&amp;Milestones!$AC$21&amp;";  ","")&amp;IF(AND(EDATE($D35,Milestones!$AA$22)&lt;=AsOfDate,IF($Q35=0,$W35,IF(AND($S35&lt;&gt;"",EDATE($D35,Milestones!$AA$22)&gt;=$S35),$V35,IF(AND($R35&lt;&gt;"",EDATE($D35,Milestones!$AA$22)&gt;=$R35),$U35,$T35)))=Milestones!$AB$22),TEXT(EDATE($D35,Milestones!$AA$22),"dd/mm/yy")&amp;" "&amp;Milestones!$AB$22&amp;" "&amp;Milestones!$AC$22&amp;";  ","")&amp;IF(AND(EDATE($D35,Milestones!$AA$23)&lt;=AsOfDate,IF($Q35=0,$W35,IF(AND($S35&lt;&gt;"",EDATE($D35,Milestones!$AA$23)&gt;=$S35),$V35,IF(AND($R35&lt;&gt;"",EDATE($D35,Milestones!$AA$23)&gt;=$R35),$U35,$T35)))=Milestones!$AB$23),TEXT(EDATE($D35,Milestones!$AA$23),"dd/mm/yy")&amp;" "&amp;Milestones!$AB$23&amp;" "&amp;Milestones!$AC$23&amp;";  ","")&amp;IF(AND(EDATE($D35,Milestones!$AA$24)&lt;=AsOfDate,IF($Q35=0,$W35,IF(AND($S35&lt;&gt;"",EDATE($D35,Milestones!$AA$24)&gt;=$S35),$V35,IF(AND($R35&lt;&gt;"",EDATE($D35,Milestones!$AA$24)&gt;=$R35),$U35,$T35)))=Milestones!$AB$24),TEXT(EDATE($D35,Milestones!$AA$24),"dd/mm/yy")&amp;" "&amp;Milestones!$AB$24&amp;" "&amp;Milestones!$AC$24&amp;";  ","")&amp;IF(AND(EDATE($D35,Milestones!$AA$25)&lt;=AsOfDate,IF($Q35=0,$W35,IF(AND($S35&lt;&gt;"",EDATE($D35,Milestones!$AA$25)&gt;=$S35),$V35,IF(AND($R35&lt;&gt;"",EDATE($D35,Milestones!$AA$25)&gt;=$R35),$U35,$T35)))=Milestones!$AB$25),TEXT(EDATE($D35,Milestones!$AA$25),"dd/mm/yy")&amp;" "&amp;Milestones!$AB$25&amp;" "&amp;Milestones!$AC$25&amp;";  ","")&amp;IF(AND(EDATE($D35,Milestones!$AA$26)&lt;=AsOfDate,IF($Q35=0,$W35,IF(AND($S35&lt;&gt;"",EDATE($D35,Milestones!$AA$26)&gt;=$S35),$V35,IF(AND($R35&lt;&gt;"",EDATE($D35,Milestones!$AA$26)&gt;=$R35),$U35,$T35)))=Milestones!$AB$26),TEXT(EDATE($D35,Milestones!$AA$26),"dd/mm/yy")&amp;" "&amp;Milestones!$AB$26&amp;" "&amp;Milestones!$AC$26&amp;";  ","")&amp;IF(AND(EDATE($D35,Milestones!$AA$27)&lt;=AsOfDate,IF($Q35=0,$W35,IF(AND($S35&lt;&gt;"",EDATE($D35,Milestones!$AA$27)&gt;=$S35),$V35,IF(AND($R35&lt;&gt;"",EDATE($D35,Milestones!$AA$27)&gt;=$R35),$U35,$T35)))=Milestones!$AB$27),TEXT(EDATE($D35,Milestones!$AA$27),"dd/mm/yy")&amp;" "&amp;Milestones!$AB$27&amp;" "&amp;Milestones!$AC$27&amp;";  ","")&amp;IF(AND(EDATE($D35,Milestones!$AA$28)&lt;=AsOfDate,IF($Q35=0,$W35,IF(AND($S35&lt;&gt;"",EDATE($D35,Milestones!$AA$28)&gt;=$S35),$V35,IF(AND($R35&lt;&gt;"",EDATE($D35,Milestones!$AA$28)&gt;=$R35),$U35,$T35)))=Milestones!$AB$28),TEXT(EDATE($D35,Milestones!$AA$28),"dd/mm/yy")&amp;" "&amp;Milestones!$AB$28&amp;" "&amp;Milestones!$AC$28&amp;";  ","")&amp;IF(AND(EDATE($D35,Milestones!$AA$29)&lt;=AsOfDate,IF($Q35=0,$W35,IF(AND($S35&lt;&gt;"",EDATE($D35,Milestones!$AA$29)&gt;=$S35),$V35,IF(AND($R35&lt;&gt;"",EDATE($D35,Milestones!$AA$29)&gt;=$R35),$U35,$T35)))=Milestones!$AB$29),TEXT(EDATE($D35,Milestones!$AA$29),"dd/mm/yy")&amp;" "&amp;Milestones!$AB$29&amp;" "&amp;Milestones!$AC$29&amp;";  ","")&amp;IF(AND(EDATE($D35,Milestones!$AA$30)&lt;=AsOfDate,IF($Q35=0,$W35,IF(AND($S35&lt;&gt;"",EDATE($D35,Milestones!$AA$30)&gt;=$S35),$V35,IF(AND($R35&lt;&gt;"",EDATE($D35,Milestones!$AA$30)&gt;=$R35),$U35,$T35)))=Milestones!$AB$30),TEXT(EDATE($D35,Milestones!$AA$30),"dd/mm/yy")&amp;" "&amp;Milestones!$AB$30&amp;" "&amp;Milestones!$AC$30&amp;";  ","")&amp;IF(AND(EDATE($D35,Milestones!$AA$31)&lt;=AsOfDate,IF($Q35=0,$W35,IF(AND($S35&lt;&gt;"",EDATE($D35,Milestones!$AA$31)&gt;=$S35),$V35,IF(AND($R35&lt;&gt;"",EDATE($D35,Milestones!$AA$31)&gt;=$R35),$U35,$T35)))=Milestones!$AB$31),TEXT(EDATE($D35,Milestones!$AA$31),"dd/mm/yy")&amp;" "&amp;Milestones!$AB$31&amp;" "&amp;Milestones!$AC$31&amp;";  ","")&amp;IF(AND(EDATE($D35,Milestones!$AA$32)&lt;=AsOfDate,IF($Q35=0,$W35,IF(AND($S35&lt;&gt;"",EDATE($D35,Milestones!$AA$32)&gt;=$S35),$V35,IF(AND($R35&lt;&gt;"",EDATE($D35,Milestones!$AA$32)&gt;=$R35),$U35,$T35)))=Milestones!$AB$32),TEXT(EDATE($D35,Milestones!$AA$32),"dd/mm/yy")&amp;" "&amp;Milestones!$AB$32&amp;" "&amp;Milestones!$AC$32&amp;";  ","")&amp;IF(AND(EDATE($D35,Milestones!$AA$33)&lt;=AsOfDate,IF($Q35=0,$W35,IF(AND($S35&lt;&gt;"",EDATE($D35,Milestones!$AA$33)&gt;=$S35),$V35,IF(AND($R35&lt;&gt;"",EDATE($D35,Milestones!$AA$33)&gt;=$R35),$U35,$T35)))=Milestones!$AB$33),TEXT(EDATE($D35,Milestones!$AA$33),"dd/mm/yy")&amp;" "&amp;Milestones!$AB$33&amp;" "&amp;Milestones!$AC$33&amp;";  ","")&amp;IF(AND(EDATE($D35,Milestones!$AA$34)&lt;=AsOfDate,IF($Q35=0,$W35,IF(AND($S35&lt;&gt;"",EDATE($D35,Milestones!$AA$34)&gt;=$S35),$V35,IF(AND($R35&lt;&gt;"",EDATE($D35,Milestones!$AA$34)&gt;=$R35),$U35,$T35)))=Milestones!$AB$34),TEXT(EDATE($D35,Milestones!$AA$34),"dd/mm/yy")&amp;" "&amp;Milestones!$AB$34&amp;" "&amp;Milestones!$AC$34&amp;";  ","")&amp;IF(AND(EDATE($D35,Milestones!$AA$35)&lt;=AsOfDate,IF($Q35=0,$W35,IF(AND($S35&lt;&gt;"",EDATE($D35,Milestones!$AA$35)&gt;=$S35),$V35,IF(AND($R35&lt;&gt;"",EDATE($D35,Milestones!$AA$35)&gt;=$R35),$U35,$T35)))=Milestones!$AB$35),TEXT(EDATE($D35,Milestones!$AA$35),"dd/mm/yy")&amp;" "&amp;Milestones!$AB$35&amp;" "&amp;Milestones!$AC$35&amp;";  ","")&amp;IF(AND(EDATE($D35,Milestones!$AA$36)&lt;=AsOfDate,IF($Q35=0,$W35,IF(AND($S35&lt;&gt;"",EDATE($D35,Milestones!$AA$36)&gt;=$S35),$V35,IF(AND($R35&lt;&gt;"",EDATE($D35,Milestones!$AA$36)&gt;=$R35),$U35,$T35)))=Milestones!$AB$36),TEXT(EDATE($D35,Milestones!$AA$36),"dd/mm/yy")&amp;" "&amp;Milestones!$AB$36&amp;" "&amp;Milestones!$AC$36&amp;";  ","")&amp;IF(AND(EDATE($D35,Milestones!$AA$37)&lt;=AsOfDate,IF($Q35=0,$W35,IF(AND($S35&lt;&gt;"",EDATE($D35,Milestones!$AA$37)&gt;=$S35),$V35,IF(AND($R35&lt;&gt;"",EDATE($D35,Milestones!$AA$37)&gt;=$R35),$U35,$T35)))=Milestones!$AB$37),TEXT(EDATE($D35,Milestones!$AA$37),"dd/mm/yy")&amp;" "&amp;Milestones!$AB$37&amp;" "&amp;Milestones!$AC$37&amp;";  ","")&amp;IF(AND(EDATE($D35,Milestones!$AA$38)&lt;=AsOfDate,IF($Q35=0,$W35,IF(AND($S35&lt;&gt;"",EDATE($D35,Milestones!$AA$38)&gt;=$S35),$V35,IF(AND($R35&lt;&gt;"",EDATE($D35,Milestones!$AA$38)&gt;=$R35),$U35,$T35)))=Milestones!$AB$38),TEXT(EDATE($D35,Milestones!$AA$38),"dd/mm/yy")&amp;" "&amp;Milestones!$AB$38&amp;" "&amp;Milestones!$AC$38&amp;";  ","")&amp;IF(AND(EDATE($D35,Milestones!$AA$39)&lt;=AsOfDate,IF($Q35=0,$W35,IF(AND($S35&lt;&gt;"",EDATE($D35,Milestones!$AA$39)&gt;=$S35),$V35,IF(AND($R35&lt;&gt;"",EDATE($D35,Milestones!$AA$39)&gt;=$R35),$U35,$T35)))=Milestones!$AB$39),TEXT(EDATE($D35,Milestones!$AA$39),"dd/mm/yy")&amp;" "&amp;Milestones!$AB$39&amp;" "&amp;Milestones!$AC$39&amp;";  ",""))</f>
        <v/>
      </c>
      <c r="I35" s="0" t="str">
        <f aca="false">IF(OR($A35="",$D35=""),"",IF(AND(EDATE($D35,Milestones!$AA$40)&lt;=AsOfDate,IF($Q35=0,$W35,IF(AND($S35&lt;&gt;"",EDATE($D35,Milestones!$AA$40)&gt;=$S35),$V35,IF(AND($R35&lt;&gt;"",EDATE($D35,Milestones!$AA$40)&gt;=$R35),$U35,$T35)))=Milestones!$AB$40),TEXT(EDATE($D35,Milestones!$AA$40),"dd/mm/yy")&amp;" "&amp;Milestones!$AB$40&amp;" "&amp;Milestones!$AC$40&amp;";  ","")&amp;IF(AND(EDATE($D35,Milestones!$AA$41)&lt;=AsOfDate,IF($Q35=0,$W35,IF(AND($S35&lt;&gt;"",EDATE($D35,Milestones!$AA$41)&gt;=$S35),$V35,IF(AND($R35&lt;&gt;"",EDATE($D35,Milestones!$AA$41)&gt;=$R35),$U35,$T35)))=Milestones!$AB$41),TEXT(EDATE($D35,Milestones!$AA$41),"dd/mm/yy")&amp;" "&amp;Milestones!$AB$41&amp;" "&amp;Milestones!$AC$41&amp;";  ","")&amp;IF(AND(EDATE($D35,Milestones!$AA$42)&lt;=AsOfDate,IF($Q35=0,$W35,IF(AND($S35&lt;&gt;"",EDATE($D35,Milestones!$AA$42)&gt;=$S35),$V35,IF(AND($R35&lt;&gt;"",EDATE($D35,Milestones!$AA$42)&gt;=$R35),$U35,$T35)))=Milestones!$AB$42),TEXT(EDATE($D35,Milestones!$AA$42),"dd/mm/yy")&amp;" "&amp;Milestones!$AB$42&amp;" "&amp;Milestones!$AC$42&amp;";  ","")&amp;IF(AND(EDATE($D35,Milestones!$AA$43)&lt;=AsOfDate,IF($Q35=0,$W35,IF(AND($S35&lt;&gt;"",EDATE($D35,Milestones!$AA$43)&gt;=$S35),$V35,IF(AND($R35&lt;&gt;"",EDATE($D35,Milestones!$AA$43)&gt;=$R35),$U35,$T35)))=Milestones!$AB$43),TEXT(EDATE($D35,Milestones!$AA$43),"dd/mm/yy")&amp;" "&amp;Milestones!$AB$43&amp;" "&amp;Milestones!$AC$43&amp;";  ","")&amp;IF(AND(EDATE($D35,Milestones!$AA$44)&lt;=AsOfDate,IF($Q35=0,$W35,IF(AND($S35&lt;&gt;"",EDATE($D35,Milestones!$AA$44)&gt;=$S35),$V35,IF(AND($R35&lt;&gt;"",EDATE($D35,Milestones!$AA$44)&gt;=$R35),$U35,$T35)))=Milestones!$AB$44),TEXT(EDATE($D35,Milestones!$AA$44),"dd/mm/yy")&amp;" "&amp;Milestones!$AB$44&amp;" "&amp;Milestones!$AC$44&amp;";  ","")&amp;IF(AND(EDATE($D35,Milestones!$AA$45)&lt;=AsOfDate,IF($Q35=0,$W35,IF(AND($S35&lt;&gt;"",EDATE($D35,Milestones!$AA$45)&gt;=$S35),$V35,IF(AND($R35&lt;&gt;"",EDATE($D35,Milestones!$AA$45)&gt;=$R35),$U35,$T35)))=Milestones!$AB$45),TEXT(EDATE($D35,Milestones!$AA$45),"dd/mm/yy")&amp;" "&amp;Milestones!$AB$45&amp;" "&amp;Milestones!$AC$45&amp;";  ","")&amp;IF(AND(EDATE($D35,Milestones!$AA$46)&lt;=AsOfDate,IF($Q35=0,$W35,IF(AND($S35&lt;&gt;"",EDATE($D35,Milestones!$AA$46)&gt;=$S35),$V35,IF(AND($R35&lt;&gt;"",EDATE($D35,Milestones!$AA$46)&gt;=$R35),$U35,$T35)))=Milestones!$AB$46),TEXT(EDATE($D35,Milestones!$AA$46),"dd/mm/yy")&amp;" "&amp;Milestones!$AB$46&amp;" "&amp;Milestones!$AC$46&amp;";  ","")&amp;IF(AND(EDATE($D35,Milestones!$AA$47)&lt;=AsOfDate,IF($Q35=0,$W35,IF(AND($S35&lt;&gt;"",EDATE($D35,Milestones!$AA$47)&gt;=$S35),$V35,IF(AND($R35&lt;&gt;"",EDATE($D35,Milestones!$AA$47)&gt;=$R35),$U35,$T35)))=Milestones!$AB$47),TEXT(EDATE($D35,Milestones!$AA$47),"dd/mm/yy")&amp;" "&amp;Milestones!$AB$47&amp;" "&amp;Milestones!$AC$47&amp;";  ","")&amp;IF(AND(EDATE($D35,Milestones!$AA$48)&lt;=AsOfDate,IF($Q35=0,$W35,IF(AND($S35&lt;&gt;"",EDATE($D35,Milestones!$AA$48)&gt;=$S35),$V35,IF(AND($R35&lt;&gt;"",EDATE($D35,Milestones!$AA$48)&gt;=$R35),$U35,$T35)))=Milestones!$AB$48),TEXT(EDATE($D35,Milestones!$AA$48),"dd/mm/yy")&amp;" "&amp;Milestones!$AB$48&amp;" "&amp;Milestones!$AC$48&amp;";  ","")&amp;IF(AND(EDATE($D35,Milestones!$AA$49)&lt;=AsOfDate,IF($Q35=0,$W35,IF(AND($S35&lt;&gt;"",EDATE($D35,Milestones!$AA$49)&gt;=$S35),$V35,IF(AND($R35&lt;&gt;"",EDATE($D35,Milestones!$AA$49)&gt;=$R35),$U35,$T35)))=Milestones!$AB$49),TEXT(EDATE($D35,Milestones!$AA$49),"dd/mm/yy")&amp;" "&amp;Milestones!$AB$49&amp;" "&amp;Milestones!$AC$49&amp;";  ","")&amp;IF(AND(EDATE($D35,Milestones!$AA$50)&lt;=AsOfDate,IF($Q35=0,$W35,IF(AND($S35&lt;&gt;"",EDATE($D35,Milestones!$AA$50)&gt;=$S35),$V35,IF(AND($R35&lt;&gt;"",EDATE($D35,Milestones!$AA$50)&gt;=$R35),$U35,$T35)))=Milestones!$AB$50),TEXT(EDATE($D35,Milestones!$AA$50),"dd/mm/yy")&amp;" "&amp;Milestones!$AB$50&amp;" "&amp;Milestones!$AC$50&amp;";  ","")&amp;IF(AND(EDATE($D35,Milestones!$AA$51)&lt;=AsOfDate,IF($Q35=0,$W35,IF(AND($S35&lt;&gt;"",EDATE($D35,Milestones!$AA$51)&gt;=$S35),$V35,IF(AND($R35&lt;&gt;"",EDATE($D35,Milestones!$AA$51)&gt;=$R35),$U35,$T35)))=Milestones!$AB$51),TEXT(EDATE($D35,Milestones!$AA$51),"dd/mm/yy")&amp;" "&amp;Milestones!$AB$51&amp;" "&amp;Milestones!$AC$51&amp;";  ","")&amp;IF(AND(EDATE($D35,Milestones!$AA$52)&lt;=AsOfDate,IF($Q35=0,$W35,IF(AND($S35&lt;&gt;"",EDATE($D35,Milestones!$AA$52)&gt;=$S35),$V35,IF(AND($R35&lt;&gt;"",EDATE($D35,Milestones!$AA$52)&gt;=$R35),$U35,$T35)))=Milestones!$AB$52),TEXT(EDATE($D35,Milestones!$AA$52),"dd/mm/yy")&amp;" "&amp;Milestones!$AB$52&amp;" "&amp;Milestones!$AC$52&amp;";  ","")&amp;IF(AND(EDATE($D35,Milestones!$AA$53)&lt;=AsOfDate,IF($Q35=0,$W35,IF(AND($S35&lt;&gt;"",EDATE($D35,Milestones!$AA$53)&gt;=$S35),$V35,IF(AND($R35&lt;&gt;"",EDATE($D35,Milestones!$AA$53)&gt;=$R35),$U35,$T35)))=Milestones!$AB$53),TEXT(EDATE($D35,Milestones!$AA$53),"dd/mm/yy")&amp;" "&amp;Milestones!$AB$53&amp;" "&amp;Milestones!$AC$53&amp;";  ","")&amp;IF(AND(EDATE($D35,Milestones!$AA$54)&lt;=AsOfDate,IF($Q35=0,$W35,IF(AND($S35&lt;&gt;"",EDATE($D35,Milestones!$AA$54)&gt;=$S35),$V35,IF(AND($R35&lt;&gt;"",EDATE($D35,Milestones!$AA$54)&gt;=$R35),$U35,$T35)))=Milestones!$AB$54),TEXT(EDATE($D35,Milestones!$AA$54),"dd/mm/yy")&amp;" "&amp;Milestones!$AB$54&amp;" "&amp;Milestones!$AC$54&amp;";  ","")&amp;IF(AND(EDATE($D35,Milestones!$AA$55)&lt;=AsOfDate,IF($Q35=0,$W35,IF(AND($S35&lt;&gt;"",EDATE($D35,Milestones!$AA$55)&gt;=$S35),$V35,IF(AND($R35&lt;&gt;"",EDATE($D35,Milestones!$AA$55)&gt;=$R35),$U35,$T35)))=Milestones!$AB$55),TEXT(EDATE($D35,Milestones!$AA$55),"dd/mm/yy")&amp;" "&amp;Milestones!$AB$55&amp;" "&amp;Milestones!$AC$55&amp;";  ","")&amp;IF(AND(EDATE($D35,Milestones!$AA$56)&lt;=AsOfDate,IF($Q35=0,$W35,IF(AND($S35&lt;&gt;"",EDATE($D35,Milestones!$AA$56)&gt;=$S35),$V35,IF(AND($R35&lt;&gt;"",EDATE($D35,Milestones!$AA$56)&gt;=$R35),$U35,$T35)))=Milestones!$AB$56),TEXT(EDATE($D35,Milestones!$AA$56),"dd/mm/yy")&amp;" "&amp;Milestones!$AB$56&amp;" "&amp;Milestones!$AC$56&amp;";  ","")&amp;IF(AND(EDATE($D35,Milestones!$AA$57)&lt;=AsOfDate,IF($Q35=0,$W35,IF(AND($S35&lt;&gt;"",EDATE($D35,Milestones!$AA$57)&gt;=$S35),$V35,IF(AND($R35&lt;&gt;"",EDATE($D35,Milestones!$AA$57)&gt;=$R35),$U35,$T35)))=Milestones!$AB$57),TEXT(EDATE($D35,Milestones!$AA$57),"dd/mm/yy")&amp;" "&amp;Milestones!$AB$57&amp;" "&amp;Milestones!$AC$57&amp;";  ","")&amp;IF(AND(EDATE($D35,Milestones!$AA$58)&lt;=AsOfDate,IF($Q35=0,$W35,IF(AND($S35&lt;&gt;"",EDATE($D35,Milestones!$AA$58)&gt;=$S35),$V35,IF(AND($R35&lt;&gt;"",EDATE($D35,Milestones!$AA$58)&gt;=$R35),$U35,$T35)))=Milestones!$AB$58),TEXT(EDATE($D35,Milestones!$AA$58),"dd/mm/yy")&amp;" "&amp;Milestones!$AB$58&amp;" "&amp;Milestones!$AC$58&amp;";  ","")&amp;IF(AND(EDATE($D35,Milestones!$AA$59)&lt;=AsOfDate,IF($Q35=0,$W35,IF(AND($S35&lt;&gt;"",EDATE($D35,Milestones!$AA$59)&gt;=$S35),$V35,IF(AND($R35&lt;&gt;"",EDATE($D35,Milestones!$AA$59)&gt;=$R35),$U35,$T35)))=Milestones!$AB$59),TEXT(EDATE($D35,Milestones!$AA$59),"dd/mm/yy")&amp;" "&amp;Milestones!$AB$59&amp;" "&amp;Milestones!$AC$59&amp;";  ",""))</f>
        <v/>
      </c>
      <c r="J35" s="0" t="str">
        <f aca="false">IF(OR($A35="",$D35=""),"",IF(AND(EDATE($D35,Milestones!$AA$60)&lt;=AsOfDate,IF($Q35=0,$W35,IF(AND($S35&lt;&gt;"",EDATE($D35,Milestones!$AA$60)&gt;=$S35),$V35,IF(AND($R35&lt;&gt;"",EDATE($D35,Milestones!$AA$60)&gt;=$R35),$U35,$T35)))=Milestones!$AB$60),TEXT(EDATE($D35,Milestones!$AA$60),"dd/mm/yy")&amp;" "&amp;Milestones!$AB$60&amp;" "&amp;Milestones!$AC$60&amp;";  ","")&amp;IF(AND(EDATE($D35,Milestones!$AA$61)&lt;=AsOfDate,IF($Q35=0,$W35,IF(AND($S35&lt;&gt;"",EDATE($D35,Milestones!$AA$61)&gt;=$S35),$V35,IF(AND($R35&lt;&gt;"",EDATE($D35,Milestones!$AA$61)&gt;=$R35),$U35,$T35)))=Milestones!$AB$61),TEXT(EDATE($D35,Milestones!$AA$61),"dd/mm/yy")&amp;" "&amp;Milestones!$AB$61&amp;" "&amp;Milestones!$AC$61&amp;";  ","")&amp;IF(AND(EDATE($D35,Milestones!$AA$62)&lt;=AsOfDate,IF($Q35=0,$W35,IF(AND($S35&lt;&gt;"",EDATE($D35,Milestones!$AA$62)&gt;=$S35),$V35,IF(AND($R35&lt;&gt;"",EDATE($D35,Milestones!$AA$62)&gt;=$R35),$U35,$T35)))=Milestones!$AB$62),TEXT(EDATE($D35,Milestones!$AA$62),"dd/mm/yy")&amp;" "&amp;Milestones!$AB$62&amp;" "&amp;Milestones!$AC$62&amp;";  ","")&amp;IF(AND(EDATE($D35,Milestones!$AA$63)&lt;=AsOfDate,IF($Q35=0,$W35,IF(AND($S35&lt;&gt;"",EDATE($D35,Milestones!$AA$63)&gt;=$S35),$V35,IF(AND($R35&lt;&gt;"",EDATE($D35,Milestones!$AA$63)&gt;=$R35),$U35,$T35)))=Milestones!$AB$63),TEXT(EDATE($D35,Milestones!$AA$63),"dd/mm/yy")&amp;" "&amp;Milestones!$AB$63&amp;" "&amp;Milestones!$AC$63&amp;";  ","")&amp;IF(AND(EDATE($D35,Milestones!$AA$64)&lt;=AsOfDate,IF($Q35=0,$W35,IF(AND($S35&lt;&gt;"",EDATE($D35,Milestones!$AA$64)&gt;=$S35),$V35,IF(AND($R35&lt;&gt;"",EDATE($D35,Milestones!$AA$64)&gt;=$R35),$U35,$T35)))=Milestones!$AB$64),TEXT(EDATE($D35,Milestones!$AA$64),"dd/mm/yy")&amp;" "&amp;Milestones!$AB$64&amp;" "&amp;Milestones!$AC$64&amp;";  ","")&amp;IF(AND(EDATE($D35,Milestones!$AA$65)&lt;=AsOfDate,IF($Q35=0,$W35,IF(AND($S35&lt;&gt;"",EDATE($D35,Milestones!$AA$65)&gt;=$S35),$V35,IF(AND($R35&lt;&gt;"",EDATE($D35,Milestones!$AA$65)&gt;=$R35),$U35,$T35)))=Milestones!$AB$65),TEXT(EDATE($D35,Milestones!$AA$65),"dd/mm/yy")&amp;" "&amp;Milestones!$AB$65&amp;" "&amp;Milestones!$AC$65&amp;";  ","")&amp;IF(AND(EDATE($D35,Milestones!$AA$66)&lt;=AsOfDate,IF($Q35=0,$W35,IF(AND($S35&lt;&gt;"",EDATE($D35,Milestones!$AA$66)&gt;=$S35),$V35,IF(AND($R35&lt;&gt;"",EDATE($D35,Milestones!$AA$66)&gt;=$R35),$U35,$T35)))=Milestones!$AB$66),TEXT(EDATE($D35,Milestones!$AA$66),"dd/mm/yy")&amp;" "&amp;Milestones!$AB$66&amp;" "&amp;Milestones!$AC$66&amp;";  ","")&amp;IF(AND(EDATE($D35,Milestones!$AA$67)&lt;=AsOfDate,IF($Q35=0,$W35,IF(AND($S35&lt;&gt;"",EDATE($D35,Milestones!$AA$67)&gt;=$S35),$V35,IF(AND($R35&lt;&gt;"",EDATE($D35,Milestones!$AA$67)&gt;=$R35),$U35,$T35)))=Milestones!$AB$67),TEXT(EDATE($D35,Milestones!$AA$67),"dd/mm/yy")&amp;" "&amp;Milestones!$AB$67&amp;" "&amp;Milestones!$AC$67&amp;";  ","")&amp;IF(AND(EDATE($D35,Milestones!$AA$68)&lt;=AsOfDate,IF($Q35=0,$W35,IF(AND($S35&lt;&gt;"",EDATE($D35,Milestones!$AA$68)&gt;=$S35),$V35,IF(AND($R35&lt;&gt;"",EDATE($D35,Milestones!$AA$68)&gt;=$R35),$U35,$T35)))=Milestones!$AB$68),TEXT(EDATE($D35,Milestones!$AA$68),"dd/mm/yy")&amp;" "&amp;Milestones!$AB$68&amp;" "&amp;Milestones!$AC$68&amp;";  ","")&amp;IF(AND(EDATE($D35,Milestones!$AA$69)&lt;=AsOfDate,IF($Q35=0,$W35,IF(AND($S35&lt;&gt;"",EDATE($D35,Milestones!$AA$69)&gt;=$S35),$V35,IF(AND($R35&lt;&gt;"",EDATE($D35,Milestones!$AA$69)&gt;=$R35),$U35,$T35)))=Milestones!$AB$69),TEXT(EDATE($D35,Milestones!$AA$69),"dd/mm/yy")&amp;" "&amp;Milestones!$AB$69&amp;" "&amp;Milestones!$AC$69&amp;";  ","")&amp;IF(AND(EDATE($D35,Milestones!$AA$70)&lt;=AsOfDate,IF($Q35=0,$W35,IF(AND($S35&lt;&gt;"",EDATE($D35,Milestones!$AA$70)&gt;=$S35),$V35,IF(AND($R35&lt;&gt;"",EDATE($D35,Milestones!$AA$70)&gt;=$R35),$U35,$T35)))=Milestones!$AB$70),TEXT(EDATE($D35,Milestones!$AA$70),"dd/mm/yy")&amp;" "&amp;Milestones!$AB$70&amp;" "&amp;Milestones!$AC$70&amp;";  ","")&amp;IF(AND(EDATE($D35,Milestones!$AA$71)&lt;=AsOfDate,IF($Q35=0,$W35,IF(AND($S35&lt;&gt;"",EDATE($D35,Milestones!$AA$71)&gt;=$S35),$V35,IF(AND($R35&lt;&gt;"",EDATE($D35,Milestones!$AA$71)&gt;=$R35),$U35,$T35)))=Milestones!$AB$71),TEXT(EDATE($D35,Milestones!$AA$71),"dd/mm/yy")&amp;" "&amp;Milestones!$AB$71&amp;" "&amp;Milestones!$AC$71&amp;";  ","")&amp;IF(AND(EDATE($D35,Milestones!$AA$72)&lt;=AsOfDate,IF($Q35=0,$W35,IF(AND($S35&lt;&gt;"",EDATE($D35,Milestones!$AA$72)&gt;=$S35),$V35,IF(AND($R35&lt;&gt;"",EDATE($D35,Milestones!$AA$72)&gt;=$R35),$U35,$T35)))=Milestones!$AB$72),TEXT(EDATE($D35,Milestones!$AA$72),"dd/mm/yy")&amp;" "&amp;Milestones!$AB$72&amp;" "&amp;Milestones!$AC$72&amp;";  ","")&amp;IF(AND(EDATE($D35,Milestones!$AA$73)&lt;=AsOfDate,IF($Q35=0,$W35,IF(AND($S35&lt;&gt;"",EDATE($D35,Milestones!$AA$73)&gt;=$S35),$V35,IF(AND($R35&lt;&gt;"",EDATE($D35,Milestones!$AA$73)&gt;=$R35),$U35,$T35)))=Milestones!$AB$73),TEXT(EDATE($D35,Milestones!$AA$73),"dd/mm/yy")&amp;" "&amp;Milestones!$AB$73&amp;" "&amp;Milestones!$AC$73&amp;";  ","")&amp;IF(AND(EDATE($D35,Milestones!$AA$74)&lt;=AsOfDate,IF($Q35=0,$W35,IF(AND($S35&lt;&gt;"",EDATE($D35,Milestones!$AA$74)&gt;=$S35),$V35,IF(AND($R35&lt;&gt;"",EDATE($D35,Milestones!$AA$74)&gt;=$R35),$U35,$T35)))=Milestones!$AB$74),TEXT(EDATE($D35,Milestones!$AA$74),"dd/mm/yy")&amp;" "&amp;Milestones!$AB$74&amp;" "&amp;Milestones!$AC$74&amp;";  ","")&amp;IF(AND(EDATE($D35,Milestones!$AA$75)&lt;=AsOfDate,IF($Q35=0,$W35,IF(AND($S35&lt;&gt;"",EDATE($D35,Milestones!$AA$75)&gt;=$S35),$V35,IF(AND($R35&lt;&gt;"",EDATE($D35,Milestones!$AA$75)&gt;=$R35),$U35,$T35)))=Milestones!$AB$75),TEXT(EDATE($D35,Milestones!$AA$75),"dd/mm/yy")&amp;" "&amp;Milestones!$AB$75&amp;" "&amp;Milestones!$AC$75&amp;";  ","")&amp;IF(AND(EDATE($D35,Milestones!$AA$76)&lt;=AsOfDate,IF($Q35=0,$W35,IF(AND($S35&lt;&gt;"",EDATE($D35,Milestones!$AA$76)&gt;=$S35),$V35,IF(AND($R35&lt;&gt;"",EDATE($D35,Milestones!$AA$76)&gt;=$R35),$U35,$T35)))=Milestones!$AB$76),TEXT(EDATE($D35,Milestones!$AA$76),"dd/mm/yy")&amp;" "&amp;Milestones!$AB$76&amp;" "&amp;Milestones!$AC$76&amp;";  ","")&amp;IF(AND(EDATE($D35,Milestones!$AA$77)&lt;=AsOfDate,IF($Q35=0,$W35,IF(AND($S35&lt;&gt;"",EDATE($D35,Milestones!$AA$77)&gt;=$S35),$V35,IF(AND($R35&lt;&gt;"",EDATE($D35,Milestones!$AA$77)&gt;=$R35),$U35,$T35)))=Milestones!$AB$77),TEXT(EDATE($D35,Milestones!$AA$77),"dd/mm/yy")&amp;" "&amp;Milestones!$AB$77&amp;" "&amp;Milestones!$AC$77&amp;";  ","")&amp;IF(AND(EDATE($D35,Milestones!$AA$78)&lt;=AsOfDate,IF($Q35=0,$W35,IF(AND($S35&lt;&gt;"",EDATE($D35,Milestones!$AA$78)&gt;=$S35),$V35,IF(AND($R35&lt;&gt;"",EDATE($D35,Milestones!$AA$78)&gt;=$R35),$U35,$T35)))=Milestones!$AB$78),TEXT(EDATE($D35,Milestones!$AA$78),"dd/mm/yy")&amp;" "&amp;Milestones!$AB$78&amp;" "&amp;Milestones!$AC$78&amp;";  ","")&amp;IF(AND(EDATE($D35,Milestones!$AA$79)&lt;=AsOfDate,IF($Q35=0,$W35,IF(AND($S35&lt;&gt;"",EDATE($D35,Milestones!$AA$79)&gt;=$S35),$V35,IF(AND($R35&lt;&gt;"",EDATE($D35,Milestones!$AA$79)&gt;=$R35),$U35,$T35)))=Milestones!$AB$79),TEXT(EDATE($D35,Milestones!$AA$79),"dd/mm/yy")&amp;" "&amp;Milestones!$AB$79&amp;" "&amp;Milestones!$AC$79&amp;";  ",""))</f>
        <v/>
      </c>
      <c r="K35" s="0" t="str">
        <f aca="false">IF(OR($A35="",$D35=""),"",IF(AND(EDATE($D35,Milestones!$AA$80)&lt;=AsOfDate,IF($Q35=0,$W35,IF(AND($S35&lt;&gt;"",EDATE($D35,Milestones!$AA$80)&gt;=$S35),$V35,IF(AND($R35&lt;&gt;"",EDATE($D35,Milestones!$AA$80)&gt;=$R35),$U35,$T35)))=Milestones!$AB$80),TEXT(EDATE($D35,Milestones!$AA$80),"dd/mm/yy")&amp;" "&amp;Milestones!$AB$80&amp;" "&amp;Milestones!$AC$80&amp;";  ","")&amp;IF(AND(EDATE($D35,Milestones!$AA$81)&lt;=AsOfDate,IF($Q35=0,$W35,IF(AND($S35&lt;&gt;"",EDATE($D35,Milestones!$AA$81)&gt;=$S35),$V35,IF(AND($R35&lt;&gt;"",EDATE($D35,Milestones!$AA$81)&gt;=$R35),$U35,$T35)))=Milestones!$AB$81),TEXT(EDATE($D35,Milestones!$AA$81),"dd/mm/yy")&amp;" "&amp;Milestones!$AB$81&amp;" "&amp;Milestones!$AC$81&amp;";  ","")&amp;IF(AND(EDATE($D35,Milestones!$AA$82)&lt;=AsOfDate,IF($Q35=0,$W35,IF(AND($S35&lt;&gt;"",EDATE($D35,Milestones!$AA$82)&gt;=$S35),$V35,IF(AND($R35&lt;&gt;"",EDATE($D35,Milestones!$AA$82)&gt;=$R35),$U35,$T35)))=Milestones!$AB$82),TEXT(EDATE($D35,Milestones!$AA$82),"dd/mm/yy")&amp;" "&amp;Milestones!$AB$82&amp;" "&amp;Milestones!$AC$82&amp;";  ","")&amp;IF(AND(EDATE($D35,Milestones!$AA$83)&lt;=AsOfDate,IF($Q35=0,$W35,IF(AND($S35&lt;&gt;"",EDATE($D35,Milestones!$AA$83)&gt;=$S35),$V35,IF(AND($R35&lt;&gt;"",EDATE($D35,Milestones!$AA$83)&gt;=$R35),$U35,$T35)))=Milestones!$AB$83),TEXT(EDATE($D35,Milestones!$AA$83),"dd/mm/yy")&amp;" "&amp;Milestones!$AB$83&amp;" "&amp;Milestones!$AC$83&amp;";  ","")&amp;IF(AND(EDATE($D35,Milestones!$AA$84)&lt;=AsOfDate,IF($Q35=0,$W35,IF(AND($S35&lt;&gt;"",EDATE($D35,Milestones!$AA$84)&gt;=$S35),$V35,IF(AND($R35&lt;&gt;"",EDATE($D35,Milestones!$AA$84)&gt;=$R35),$U35,$T35)))=Milestones!$AB$84),TEXT(EDATE($D35,Milestones!$AA$84),"dd/mm/yy")&amp;" "&amp;Milestones!$AB$84&amp;" "&amp;Milestones!$AC$84&amp;";  ","")&amp;IF(AND(EDATE($D35,Milestones!$AA$85)&lt;=AsOfDate,IF($Q35=0,$W35,IF(AND($S35&lt;&gt;"",EDATE($D35,Milestones!$AA$85)&gt;=$S35),$V35,IF(AND($R35&lt;&gt;"",EDATE($D35,Milestones!$AA$85)&gt;=$R35),$U35,$T35)))=Milestones!$AB$85),TEXT(EDATE($D35,Milestones!$AA$85),"dd/mm/yy")&amp;" "&amp;Milestones!$AB$85&amp;" "&amp;Milestones!$AC$85&amp;";  ","")&amp;IF(AND(EDATE($D35,Milestones!$AA$86)&lt;=AsOfDate,IF($Q35=0,$W35,IF(AND($S35&lt;&gt;"",EDATE($D35,Milestones!$AA$86)&gt;=$S35),$V35,IF(AND($R35&lt;&gt;"",EDATE($D35,Milestones!$AA$86)&gt;=$R35),$U35,$T35)))=Milestones!$AB$86),TEXT(EDATE($D35,Milestones!$AA$86),"dd/mm/yy")&amp;" "&amp;Milestones!$AB$86&amp;" "&amp;Milestones!$AC$86&amp;";  ","")&amp;IF(AND(EDATE($D35,Milestones!$AA$87)&lt;=AsOfDate,IF($Q35=0,$W35,IF(AND($S35&lt;&gt;"",EDATE($D35,Milestones!$AA$87)&gt;=$S35),$V35,IF(AND($R35&lt;&gt;"",EDATE($D35,Milestones!$AA$87)&gt;=$R35),$U35,$T35)))=Milestones!$AB$87),TEXT(EDATE($D35,Milestones!$AA$87),"dd/mm/yy")&amp;" "&amp;Milestones!$AB$87&amp;" "&amp;Milestones!$AC$87&amp;";  ","")&amp;IF(AND(EDATE($D35,Milestones!$AA$88)&lt;=AsOfDate,IF($Q35=0,$W35,IF(AND($S35&lt;&gt;"",EDATE($D35,Milestones!$AA$88)&gt;=$S35),$V35,IF(AND($R35&lt;&gt;"",EDATE($D35,Milestones!$AA$88)&gt;=$R35),$U35,$T35)))=Milestones!$AB$88),TEXT(EDATE($D35,Milestones!$AA$88),"dd/mm/yy")&amp;" "&amp;Milestones!$AB$88&amp;" "&amp;Milestones!$AC$88&amp;";  ","")&amp;IF(AND(EDATE($D35,Milestones!$AA$89)&lt;=AsOfDate,IF($Q35=0,$W35,IF(AND($S35&lt;&gt;"",EDATE($D35,Milestones!$AA$89)&gt;=$S35),$V35,IF(AND($R35&lt;&gt;"",EDATE($D35,Milestones!$AA$89)&gt;=$R35),$U35,$T35)))=Milestones!$AB$89),TEXT(EDATE($D35,Milestones!$AA$89),"dd/mm/yy")&amp;" "&amp;Milestones!$AB$89&amp;" "&amp;Milestones!$AC$89&amp;";  ","")&amp;IF(AND(EDATE($D35,Milestones!$AA$90)&lt;=AsOfDate,IF($Q35=0,$W35,IF(AND($S35&lt;&gt;"",EDATE($D35,Milestones!$AA$90)&gt;=$S35),$V35,IF(AND($R35&lt;&gt;"",EDATE($D35,Milestones!$AA$90)&gt;=$R35),$U35,$T35)))=Milestones!$AB$90),TEXT(EDATE($D35,Milestones!$AA$90),"dd/mm/yy")&amp;" "&amp;Milestones!$AB$90&amp;" "&amp;Milestones!$AC$90&amp;";  ","")&amp;IF(AND(EDATE($D35,Milestones!$AA$91)&lt;=AsOfDate,IF($Q35=0,$W35,IF(AND($S35&lt;&gt;"",EDATE($D35,Milestones!$AA$91)&gt;=$S35),$V35,IF(AND($R35&lt;&gt;"",EDATE($D35,Milestones!$AA$91)&gt;=$R35),$U35,$T35)))=Milestones!$AB$91),TEXT(EDATE($D35,Milestones!$AA$91),"dd/mm/yy")&amp;" "&amp;Milestones!$AB$91&amp;" "&amp;Milestones!$AC$91&amp;";  ","")&amp;IF(AND(EDATE($D35,Milestones!$AA$92)&lt;=AsOfDate,IF($Q35=0,$W35,IF(AND($S35&lt;&gt;"",EDATE($D35,Milestones!$AA$92)&gt;=$S35),$V35,IF(AND($R35&lt;&gt;"",EDATE($D35,Milestones!$AA$92)&gt;=$R35),$U35,$T35)))=Milestones!$AB$92),TEXT(EDATE($D35,Milestones!$AA$92),"dd/mm/yy")&amp;" "&amp;Milestones!$AB$92&amp;" "&amp;Milestones!$AC$92&amp;";  ","")&amp;IF(AND(EDATE($D35,Milestones!$AA$93)&lt;=AsOfDate,IF($Q35=0,$W35,IF(AND($S35&lt;&gt;"",EDATE($D35,Milestones!$AA$93)&gt;=$S35),$V35,IF(AND($R35&lt;&gt;"",EDATE($D35,Milestones!$AA$93)&gt;=$R35),$U35,$T35)))=Milestones!$AB$93),TEXT(EDATE($D35,Milestones!$AA$93),"dd/mm/yy")&amp;" "&amp;Milestones!$AB$93&amp;" "&amp;Milestones!$AC$93&amp;";  ","")&amp;IF(AND(EDATE($D35,Milestones!$AA$94)&lt;=AsOfDate,IF($Q35=0,$W35,IF(AND($S35&lt;&gt;"",EDATE($D35,Milestones!$AA$94)&gt;=$S35),$V35,IF(AND($R35&lt;&gt;"",EDATE($D35,Milestones!$AA$94)&gt;=$R35),$U35,$T35)))=Milestones!$AB$94),TEXT(EDATE($D35,Milestones!$AA$94),"dd/mm/yy")&amp;" "&amp;Milestones!$AB$94&amp;" "&amp;Milestones!$AC$94&amp;";  ","")&amp;IF(AND(EDATE($D35,Milestones!$AA$95)&lt;=AsOfDate,IF($Q35=0,$W35,IF(AND($S35&lt;&gt;"",EDATE($D35,Milestones!$AA$95)&gt;=$S35),$V35,IF(AND($R35&lt;&gt;"",EDATE($D35,Milestones!$AA$95)&gt;=$R35),$U35,$T35)))=Milestones!$AB$95),TEXT(EDATE($D35,Milestones!$AA$95),"dd/mm/yy")&amp;" "&amp;Milestones!$AB$95&amp;" "&amp;Milestones!$AC$95&amp;";  ","")&amp;IF(AND(EDATE($D35,Milestones!$AA$96)&lt;=AsOfDate,IF($Q35=0,$W35,IF(AND($S35&lt;&gt;"",EDATE($D35,Milestones!$AA$96)&gt;=$S35),$V35,IF(AND($R35&lt;&gt;"",EDATE($D35,Milestones!$AA$96)&gt;=$R35),$U35,$T35)))=Milestones!$AB$96),TEXT(EDATE($D35,Milestones!$AA$96),"dd/mm/yy")&amp;" "&amp;Milestones!$AB$96&amp;" "&amp;Milestones!$AC$96&amp;";  ","")&amp;IF(AND(EDATE($D35,Milestones!$AA$97)&lt;=AsOfDate,IF($Q35=0,$W35,IF(AND($S35&lt;&gt;"",EDATE($D35,Milestones!$AA$97)&gt;=$S35),$V35,IF(AND($R35&lt;&gt;"",EDATE($D35,Milestones!$AA$97)&gt;=$R35),$U35,$T35)))=Milestones!$AB$97),TEXT(EDATE($D35,Milestones!$AA$97),"dd/mm/yy")&amp;" "&amp;Milestones!$AB$97&amp;" "&amp;Milestones!$AC$97&amp;";  ","")&amp;IF(AND(EDATE($D35,Milestones!$AA$98)&lt;=AsOfDate,IF($Q35=0,$W35,IF(AND($S35&lt;&gt;"",EDATE($D35,Milestones!$AA$98)&gt;=$S35),$V35,IF(AND($R35&lt;&gt;"",EDATE($D35,Milestones!$AA$98)&gt;=$R35),$U35,$T35)))=Milestones!$AB$98),TEXT(EDATE($D35,Milestones!$AA$98),"dd/mm/yy")&amp;" "&amp;Milestones!$AB$98&amp;" "&amp;Milestones!$AC$98&amp;";  ","")&amp;IF(AND(EDATE($D35,Milestones!$AA$99)&lt;=AsOfDate,IF($Q35=0,$W35,IF(AND($S35&lt;&gt;"",EDATE($D35,Milestones!$AA$99)&gt;=$S35),$V35,IF(AND($R35&lt;&gt;"",EDATE($D35,Milestones!$AA$99)&gt;=$R35),$U35,$T35)))=Milestones!$AB$99),TEXT(EDATE($D35,Milestones!$AA$99),"dd/mm/yy")&amp;" "&amp;Milestones!$AB$99&amp;" "&amp;Milestones!$AC$99&amp;";  ",""))</f>
        <v/>
      </c>
      <c r="L35" s="0" t="str">
        <f aca="false">IF(OR($A35="",$D35=""),"",IF(AND(EDATE($D35,Milestones!$AA$100)&lt;=AsOfDate,IF($Q35=0,$W35,IF(AND($S35&lt;&gt;"",EDATE($D35,Milestones!$AA$100)&gt;=$S35),$V35,IF(AND($R35&lt;&gt;"",EDATE($D35,Milestones!$AA$100)&gt;=$R35),$U35,$T35)))=Milestones!$AB$100),TEXT(EDATE($D35,Milestones!$AA$100),"dd/mm/yy")&amp;" "&amp;Milestones!$AB$100&amp;" "&amp;Milestones!$AC$100&amp;";  ","")&amp;IF(AND(EDATE($D35,Milestones!$AA$101)&lt;=AsOfDate,IF($Q35=0,$W35,IF(AND($S35&lt;&gt;"",EDATE($D35,Milestones!$AA$101)&gt;=$S35),$V35,IF(AND($R35&lt;&gt;"",EDATE($D35,Milestones!$AA$101)&gt;=$R35),$U35,$T35)))=Milestones!$AB$101),TEXT(EDATE($D35,Milestones!$AA$101),"dd/mm/yy")&amp;" "&amp;Milestones!$AB$101&amp;" "&amp;Milestones!$AC$101&amp;";  ","")&amp;IF(AND(EDATE($D35,Milestones!$AA$102)&lt;=AsOfDate,IF($Q35=0,$W35,IF(AND($S35&lt;&gt;"",EDATE($D35,Milestones!$AA$102)&gt;=$S35),$V35,IF(AND($R35&lt;&gt;"",EDATE($D35,Milestones!$AA$102)&gt;=$R35),$U35,$T35)))=Milestones!$AB$102),TEXT(EDATE($D35,Milestones!$AA$102),"dd/mm/yy")&amp;" "&amp;Milestones!$AB$102&amp;" "&amp;Milestones!$AC$102&amp;";  ","")&amp;IF(AND(EDATE($D35,Milestones!$AA$103)&lt;=AsOfDate,IF($Q35=0,$W35,IF(AND($S35&lt;&gt;"",EDATE($D35,Milestones!$AA$103)&gt;=$S35),$V35,IF(AND($R35&lt;&gt;"",EDATE($D35,Milestones!$AA$103)&gt;=$R35),$U35,$T35)))=Milestones!$AB$103),TEXT(EDATE($D35,Milestones!$AA$103),"dd/mm/yy")&amp;" "&amp;Milestones!$AB$103&amp;" "&amp;Milestones!$AC$103&amp;";  ","")&amp;IF(AND(EDATE($D35,Milestones!$AA$104)&lt;=AsOfDate,IF($Q35=0,$W35,IF(AND($S35&lt;&gt;"",EDATE($D35,Milestones!$AA$104)&gt;=$S35),$V35,IF(AND($R35&lt;&gt;"",EDATE($D35,Milestones!$AA$104)&gt;=$R35),$U35,$T35)))=Milestones!$AB$104),TEXT(EDATE($D35,Milestones!$AA$104),"dd/mm/yy")&amp;" "&amp;Milestones!$AB$104&amp;" "&amp;Milestones!$AC$104&amp;";  ","")&amp;IF(AND(EDATE($D35,Milestones!$AA$105)&lt;=AsOfDate,IF($Q35=0,$W35,IF(AND($S35&lt;&gt;"",EDATE($D35,Milestones!$AA$105)&gt;=$S35),$V35,IF(AND($R35&lt;&gt;"",EDATE($D35,Milestones!$AA$105)&gt;=$R35),$U35,$T35)))=Milestones!$AB$105),TEXT(EDATE($D35,Milestones!$AA$105),"dd/mm/yy")&amp;" "&amp;Milestones!$AB$105&amp;" "&amp;Milestones!$AC$105&amp;";  ","")&amp;IF(AND(EDATE($D35,Milestones!$AA$106)&lt;=AsOfDate,IF($Q35=0,$W35,IF(AND($S35&lt;&gt;"",EDATE($D35,Milestones!$AA$106)&gt;=$S35),$V35,IF(AND($R35&lt;&gt;"",EDATE($D35,Milestones!$AA$106)&gt;=$R35),$U35,$T35)))=Milestones!$AB$106),TEXT(EDATE($D35,Milestones!$AA$106),"dd/mm/yy")&amp;" "&amp;Milestones!$AB$106&amp;" "&amp;Milestones!$AC$106&amp;";  ","")&amp;IF(AND(EDATE($D35,Milestones!$AA$107)&lt;=AsOfDate,IF($Q35=0,$W35,IF(AND($S35&lt;&gt;"",EDATE($D35,Milestones!$AA$107)&gt;=$S35),$V35,IF(AND($R35&lt;&gt;"",EDATE($D35,Milestones!$AA$107)&gt;=$R35),$U35,$T35)))=Milestones!$AB$107),TEXT(EDATE($D35,Milestones!$AA$107),"dd/mm/yy")&amp;" "&amp;Milestones!$AB$107&amp;" "&amp;Milestones!$AC$107&amp;";  ","")&amp;IF(AND(EDATE($D35,Milestones!$AA$108)&lt;=AsOfDate,IF($Q35=0,$W35,IF(AND($S35&lt;&gt;"",EDATE($D35,Milestones!$AA$108)&gt;=$S35),$V35,IF(AND($R35&lt;&gt;"",EDATE($D35,Milestones!$AA$108)&gt;=$R35),$U35,$T35)))=Milestones!$AB$108),TEXT(EDATE($D35,Milestones!$AA$108),"dd/mm/yy")&amp;" "&amp;Milestones!$AB$108&amp;" "&amp;Milestones!$AC$108&amp;";  ","")&amp;IF(AND(EDATE($D35,Milestones!$AA$109)&lt;=AsOfDate,IF($Q35=0,$W35,IF(AND($S35&lt;&gt;"",EDATE($D35,Milestones!$AA$109)&gt;=$S35),$V35,IF(AND($R35&lt;&gt;"",EDATE($D35,Milestones!$AA$109)&gt;=$R35),$U35,$T35)))=Milestones!$AB$109),TEXT(EDATE($D35,Milestones!$AA$109),"dd/mm/yy")&amp;" "&amp;Milestones!$AB$109&amp;" "&amp;Milestones!$AC$109&amp;";  ","")&amp;IF(AND(EDATE($D35,Milestones!$AA$110)&lt;=AsOfDate,IF($Q35=0,$W35,IF(AND($S35&lt;&gt;"",EDATE($D35,Milestones!$AA$110)&gt;=$S35),$V35,IF(AND($R35&lt;&gt;"",EDATE($D35,Milestones!$AA$110)&gt;=$R35),$U35,$T35)))=Milestones!$AB$110),TEXT(EDATE($D35,Milestones!$AA$110),"dd/mm/yy")&amp;" "&amp;Milestones!$AB$110&amp;" "&amp;Milestones!$AC$110&amp;";  ","")&amp;IF(AND(EDATE($D35,Milestones!$AA$111)&lt;=AsOfDate,IF($Q35=0,$W35,IF(AND($S35&lt;&gt;"",EDATE($D35,Milestones!$AA$111)&gt;=$S35),$V35,IF(AND($R35&lt;&gt;"",EDATE($D35,Milestones!$AA$111)&gt;=$R35),$U35,$T35)))=Milestones!$AB$111),TEXT(EDATE($D35,Milestones!$AA$111),"dd/mm/yy")&amp;" "&amp;Milestones!$AB$111&amp;" "&amp;Milestones!$AC$111&amp;";  ","")&amp;IF(AND(EDATE($D35,Milestones!$AA$112)&lt;=AsOfDate,IF($Q35=0,$W35,IF(AND($S35&lt;&gt;"",EDATE($D35,Milestones!$AA$112)&gt;=$S35),$V35,IF(AND($R35&lt;&gt;"",EDATE($D35,Milestones!$AA$112)&gt;=$R35),$U35,$T35)))=Milestones!$AB$112),TEXT(EDATE($D35,Milestones!$AA$112),"dd/mm/yy")&amp;" "&amp;Milestones!$AB$112&amp;" "&amp;Milestones!$AC$112&amp;";  ","")&amp;IF(AND(EDATE($D35,Milestones!$AA$113)&lt;=AsOfDate,IF($Q35=0,$W35,IF(AND($S35&lt;&gt;"",EDATE($D35,Milestones!$AA$113)&gt;=$S35),$V35,IF(AND($R35&lt;&gt;"",EDATE($D35,Milestones!$AA$113)&gt;=$R35),$U35,$T35)))=Milestones!$AB$113),TEXT(EDATE($D35,Milestones!$AA$113),"dd/mm/yy")&amp;" "&amp;Milestones!$AB$113&amp;" "&amp;Milestones!$AC$113&amp;";  ","")&amp;IF(AND(EDATE($D35,Milestones!$AA$114)&lt;=AsOfDate,IF($Q35=0,$W35,IF(AND($S35&lt;&gt;"",EDATE($D35,Milestones!$AA$114)&gt;=$S35),$V35,IF(AND($R35&lt;&gt;"",EDATE($D35,Milestones!$AA$114)&gt;=$R35),$U35,$T35)))=Milestones!$AB$114),TEXT(EDATE($D35,Milestones!$AA$114),"dd/mm/yy")&amp;" "&amp;Milestones!$AB$114&amp;" "&amp;Milestones!$AC$114&amp;";  ","")&amp;IF(AND(EDATE($D35,Milestones!$AA$115)&lt;=AsOfDate,IF($Q35=0,$W35,IF(AND($S35&lt;&gt;"",EDATE($D35,Milestones!$AA$115)&gt;=$S35),$V35,IF(AND($R35&lt;&gt;"",EDATE($D35,Milestones!$AA$115)&gt;=$R35),$U35,$T35)))=Milestones!$AB$115),TEXT(EDATE($D35,Milestones!$AA$115),"dd/mm/yy")&amp;" "&amp;Milestones!$AB$115&amp;" "&amp;Milestones!$AC$115&amp;";  ","")&amp;IF(AND(EDATE($D35,Milestones!$AA$116)&lt;=AsOfDate,IF($Q35=0,$W35,IF(AND($S35&lt;&gt;"",EDATE($D35,Milestones!$AA$116)&gt;=$S35),$V35,IF(AND($R35&lt;&gt;"",EDATE($D35,Milestones!$AA$116)&gt;=$R35),$U35,$T35)))=Milestones!$AB$116),TEXT(EDATE($D35,Milestones!$AA$116),"dd/mm/yy")&amp;" "&amp;Milestones!$AB$116&amp;" "&amp;Milestones!$AC$116&amp;";  ","")&amp;IF(AND(EDATE($D35,Milestones!$AA$117)&lt;=AsOfDate,IF($Q35=0,$W35,IF(AND($S35&lt;&gt;"",EDATE($D35,Milestones!$AA$117)&gt;=$S35),$V35,IF(AND($R35&lt;&gt;"",EDATE($D35,Milestones!$AA$117)&gt;=$R35),$U35,$T35)))=Milestones!$AB$117),TEXT(EDATE($D35,Milestones!$AA$117),"dd/mm/yy")&amp;" "&amp;Milestones!$AB$117&amp;" "&amp;Milestones!$AC$117&amp;";  ","")&amp;IF(AND(EDATE($D35,Milestones!$AA$118)&lt;=AsOfDate,IF($Q35=0,$W35,IF(AND($S35&lt;&gt;"",EDATE($D35,Milestones!$AA$118)&gt;=$S35),$V35,IF(AND($R35&lt;&gt;"",EDATE($D35,Milestones!$AA$118)&gt;=$R35),$U35,$T35)))=Milestones!$AB$118),TEXT(EDATE($D35,Milestones!$AA$118),"dd/mm/yy")&amp;" "&amp;Milestones!$AB$118&amp;" "&amp;Milestones!$AC$118&amp;";  ","")&amp;IF(AND(EDATE($D35,Milestones!$AA$119)&lt;=AsOfDate,IF($Q35=0,$W35,IF(AND($S35&lt;&gt;"",EDATE($D35,Milestones!$AA$119)&gt;=$S35),$V35,IF(AND($R35&lt;&gt;"",EDATE($D35,Milestones!$AA$119)&gt;=$R35),$U35,$T35)))=Milestones!$AB$119),TEXT(EDATE($D35,Milestones!$AA$119),"dd/mm/yy")&amp;" "&amp;Milestones!$AB$119&amp;" "&amp;Milestones!$AC$119&amp;";  ",""))</f>
        <v/>
      </c>
      <c r="M35" s="0" t="str">
        <f aca="false">IF(OR($A35="",$D35=""),"",IF(AND(EDATE($D35,Milestones!$AA$120)&lt;=AsOfDate,IF($Q35=0,$W35,IF(AND($S35&lt;&gt;"",EDATE($D35,Milestones!$AA$120)&gt;=$S35),$V35,IF(AND($R35&lt;&gt;"",EDATE($D35,Milestones!$AA$120)&gt;=$R35),$U35,$T35)))=Milestones!$AB$120),TEXT(EDATE($D35,Milestones!$AA$120),"dd/mm/yy")&amp;" "&amp;Milestones!$AB$120&amp;" "&amp;Milestones!$AC$120&amp;";  ","")&amp;IF(AND(EDATE($D35,Milestones!$AA$121)&lt;=AsOfDate,IF($Q35=0,$W35,IF(AND($S35&lt;&gt;"",EDATE($D35,Milestones!$AA$121)&gt;=$S35),$V35,IF(AND($R35&lt;&gt;"",EDATE($D35,Milestones!$AA$121)&gt;=$R35),$U35,$T35)))=Milestones!$AB$121),TEXT(EDATE($D35,Milestones!$AA$121),"dd/mm/yy")&amp;" "&amp;Milestones!$AB$121&amp;" "&amp;Milestones!$AC$121&amp;";  ","")&amp;IF(AND(EDATE($D35,Milestones!$AA$122)&lt;=AsOfDate,IF($Q35=0,$W35,IF(AND($S35&lt;&gt;"",EDATE($D35,Milestones!$AA$122)&gt;=$S35),$V35,IF(AND($R35&lt;&gt;"",EDATE($D35,Milestones!$AA$122)&gt;=$R35),$U35,$T35)))=Milestones!$AB$122),TEXT(EDATE($D35,Milestones!$AA$122),"dd/mm/yy")&amp;" "&amp;Milestones!$AB$122&amp;" "&amp;Milestones!$AC$122&amp;";  ","")&amp;IF(AND(EDATE($D35,Milestones!$AA$123)&lt;=AsOfDate,IF($Q35=0,$W35,IF(AND($S35&lt;&gt;"",EDATE($D35,Milestones!$AA$123)&gt;=$S35),$V35,IF(AND($R35&lt;&gt;"",EDATE($D35,Milestones!$AA$123)&gt;=$R35),$U35,$T35)))=Milestones!$AB$123),TEXT(EDATE($D35,Milestones!$AA$123),"dd/mm/yy")&amp;" "&amp;Milestones!$AB$123&amp;" "&amp;Milestones!$AC$123&amp;";  ","")&amp;IF(AND(EDATE($D35,Milestones!$AA$124)&lt;=AsOfDate,IF($Q35=0,$W35,IF(AND($S35&lt;&gt;"",EDATE($D35,Milestones!$AA$124)&gt;=$S35),$V35,IF(AND($R35&lt;&gt;"",EDATE($D35,Milestones!$AA$124)&gt;=$R35),$U35,$T35)))=Milestones!$AB$124),TEXT(EDATE($D35,Milestones!$AA$124),"dd/mm/yy")&amp;" "&amp;Milestones!$AB$124&amp;" "&amp;Milestones!$AC$124&amp;";  ","")&amp;IF(AND(EDATE($D35,Milestones!$AA$125)&lt;=AsOfDate,IF($Q35=0,$W35,IF(AND($S35&lt;&gt;"",EDATE($D35,Milestones!$AA$125)&gt;=$S35),$V35,IF(AND($R35&lt;&gt;"",EDATE($D35,Milestones!$AA$125)&gt;=$R35),$U35,$T35)))=Milestones!$AB$125),TEXT(EDATE($D35,Milestones!$AA$125),"dd/mm/yy")&amp;" "&amp;Milestones!$AB$125&amp;" "&amp;Milestones!$AC$125&amp;";  ","")&amp;IF(AND(EDATE($D35,Milestones!$AA$126)&lt;=AsOfDate,IF($Q35=0,$W35,IF(AND($S35&lt;&gt;"",EDATE($D35,Milestones!$AA$126)&gt;=$S35),$V35,IF(AND($R35&lt;&gt;"",EDATE($D35,Milestones!$AA$126)&gt;=$R35),$U35,$T35)))=Milestones!$AB$126),TEXT(EDATE($D35,Milestones!$AA$126),"dd/mm/yy")&amp;" "&amp;Milestones!$AB$126&amp;" "&amp;Milestones!$AC$126&amp;";  ","")&amp;IF(AND(EDATE($D35,Milestones!$AA$127)&lt;=AsOfDate,IF($Q35=0,$W35,IF(AND($S35&lt;&gt;"",EDATE($D35,Milestones!$AA$127)&gt;=$S35),$V35,IF(AND($R35&lt;&gt;"",EDATE($D35,Milestones!$AA$127)&gt;=$R35),$U35,$T35)))=Milestones!$AB$127),TEXT(EDATE($D35,Milestones!$AA$127),"dd/mm/yy")&amp;" "&amp;Milestones!$AB$127&amp;" "&amp;Milestones!$AC$127&amp;";  ","")&amp;IF(AND(EDATE($D35,Milestones!$AA$128)&lt;=AsOfDate,IF($Q35=0,$W35,IF(AND($S35&lt;&gt;"",EDATE($D35,Milestones!$AA$128)&gt;=$S35),$V35,IF(AND($R35&lt;&gt;"",EDATE($D35,Milestones!$AA$128)&gt;=$R35),$U35,$T35)))=Milestones!$AB$128),TEXT(EDATE($D35,Milestones!$AA$128),"dd/mm/yy")&amp;" "&amp;Milestones!$AB$128&amp;" "&amp;Milestones!$AC$128&amp;";  ","")&amp;IF(AND(EDATE($D35,Milestones!$AA$129)&lt;=AsOfDate,IF($Q35=0,$W35,IF(AND($S35&lt;&gt;"",EDATE($D35,Milestones!$AA$129)&gt;=$S35),$V35,IF(AND($R35&lt;&gt;"",EDATE($D35,Milestones!$AA$129)&gt;=$R35),$U35,$T35)))=Milestones!$AB$129),TEXT(EDATE($D35,Milestones!$AA$129),"dd/mm/yy")&amp;" "&amp;Milestones!$AB$129&amp;" "&amp;Milestones!$AC$129&amp;";  ","")&amp;IF(AND(EDATE($D35,Milestones!$AA$130)&lt;=AsOfDate,IF($Q35=0,$W35,IF(AND($S35&lt;&gt;"",EDATE($D35,Milestones!$AA$130)&gt;=$S35),$V35,IF(AND($R35&lt;&gt;"",EDATE($D35,Milestones!$AA$130)&gt;=$R35),$U35,$T35)))=Milestones!$AB$130),TEXT(EDATE($D35,Milestones!$AA$130),"dd/mm/yy")&amp;" "&amp;Milestones!$AB$130&amp;" "&amp;Milestones!$AC$130&amp;";  ","")&amp;IF(AND(EDATE($D35,Milestones!$AA$131)&lt;=AsOfDate,IF($Q35=0,$W35,IF(AND($S35&lt;&gt;"",EDATE($D35,Milestones!$AA$131)&gt;=$S35),$V35,IF(AND($R35&lt;&gt;"",EDATE($D35,Milestones!$AA$131)&gt;=$R35),$U35,$T35)))=Milestones!$AB$131),TEXT(EDATE($D35,Milestones!$AA$131),"dd/mm/yy")&amp;" "&amp;Milestones!$AB$131&amp;" "&amp;Milestones!$AC$131&amp;";  ","")&amp;IF(AND(EDATE($D35,Milestones!$AA$132)&lt;=AsOfDate,IF($Q35=0,$W35,IF(AND($S35&lt;&gt;"",EDATE($D35,Milestones!$AA$132)&gt;=$S35),$V35,IF(AND($R35&lt;&gt;"",EDATE($D35,Milestones!$AA$132)&gt;=$R35),$U35,$T35)))=Milestones!$AB$132),TEXT(EDATE($D35,Milestones!$AA$132),"dd/mm/yy")&amp;" "&amp;Milestones!$AB$132&amp;" "&amp;Milestones!$AC$132&amp;";  ","")&amp;IF(AND(EDATE($D35,Milestones!$AA$133)&lt;=AsOfDate,IF($Q35=0,$W35,IF(AND($S35&lt;&gt;"",EDATE($D35,Milestones!$AA$133)&gt;=$S35),$V35,IF(AND($R35&lt;&gt;"",EDATE($D35,Milestones!$AA$133)&gt;=$R35),$U35,$T35)))=Milestones!$AB$133),TEXT(EDATE($D35,Milestones!$AA$133),"dd/mm/yy")&amp;" "&amp;Milestones!$AB$133&amp;" "&amp;Milestones!$AC$133&amp;";  ","")&amp;IF(AND(EDATE($D35,Milestones!$AA$134)&lt;=AsOfDate,IF($Q35=0,$W35,IF(AND($S35&lt;&gt;"",EDATE($D35,Milestones!$AA$134)&gt;=$S35),$V35,IF(AND($R35&lt;&gt;"",EDATE($D35,Milestones!$AA$134)&gt;=$R35),$U35,$T35)))=Milestones!$AB$134),TEXT(EDATE($D35,Milestones!$AA$134),"dd/mm/yy")&amp;" "&amp;Milestones!$AB$134&amp;" "&amp;Milestones!$AC$134&amp;";  ","")&amp;IF(AND(EDATE($D35,Milestones!$AA$135)&lt;=AsOfDate,IF($Q35=0,$W35,IF(AND($S35&lt;&gt;"",EDATE($D35,Milestones!$AA$135)&gt;=$S35),$V35,IF(AND($R35&lt;&gt;"",EDATE($D35,Milestones!$AA$135)&gt;=$R35),$U35,$T35)))=Milestones!$AB$135),TEXT(EDATE($D35,Milestones!$AA$135),"dd/mm/yy")&amp;" "&amp;Milestones!$AB$135&amp;" "&amp;Milestones!$AC$135&amp;";  ","")&amp;IF(AND(EDATE($D35,Milestones!$AA$136)&lt;=AsOfDate,IF($Q35=0,$W35,IF(AND($S35&lt;&gt;"",EDATE($D35,Milestones!$AA$136)&gt;=$S35),$V35,IF(AND($R35&lt;&gt;"",EDATE($D35,Milestones!$AA$136)&gt;=$R35),$U35,$T35)))=Milestones!$AB$136),TEXT(EDATE($D35,Milestones!$AA$136),"dd/mm/yy")&amp;" "&amp;Milestones!$AB$136&amp;" "&amp;Milestones!$AC$136&amp;";  ","")&amp;IF(AND(EDATE($D35,Milestones!$AA$137)&lt;=AsOfDate,IF($Q35=0,$W35,IF(AND($S35&lt;&gt;"",EDATE($D35,Milestones!$AA$137)&gt;=$S35),$V35,IF(AND($R35&lt;&gt;"",EDATE($D35,Milestones!$AA$137)&gt;=$R35),$U35,$T35)))=Milestones!$AB$137),TEXT(EDATE($D35,Milestones!$AA$137),"dd/mm/yy")&amp;" "&amp;Milestones!$AB$137&amp;" "&amp;Milestones!$AC$137&amp;";  ","")&amp;IF(AND(EDATE($D35,Milestones!$AA$138)&lt;=AsOfDate,IF($Q35=0,$W35,IF(AND($S35&lt;&gt;"",EDATE($D35,Milestones!$AA$138)&gt;=$S35),$V35,IF(AND($R35&lt;&gt;"",EDATE($D35,Milestones!$AA$138)&gt;=$R35),$U35,$T35)))=Milestones!$AB$138),TEXT(EDATE($D35,Milestones!$AA$138),"dd/mm/yy")&amp;" "&amp;Milestones!$AB$138&amp;" "&amp;Milestones!$AC$138&amp;";  ","")&amp;IF(AND(EDATE($D35,Milestones!$AA$139)&lt;=AsOfDate,IF($Q35=0,$W35,IF(AND($S35&lt;&gt;"",EDATE($D35,Milestones!$AA$139)&gt;=$S35),$V35,IF(AND($R35&lt;&gt;"",EDATE($D35,Milestones!$AA$139)&gt;=$R35),$U35,$T35)))=Milestones!$AB$139),TEXT(EDATE($D35,Milestones!$AA$139),"dd/mm/yy")&amp;" "&amp;Milestones!$AB$139&amp;" "&amp;Milestones!$AC$139&amp;";  ",""))</f>
        <v/>
      </c>
      <c r="N35" s="0" t="str">
        <f aca="false">IF(OR($A35="",$D35=""),"",IF(AND(EDATE($D35,Milestones!$AA$140)&lt;=AsOfDate,IF($Q35=0,$W35,IF(AND($S35&lt;&gt;"",EDATE($D35,Milestones!$AA$140)&gt;=$S35),$V35,IF(AND($R35&lt;&gt;"",EDATE($D35,Milestones!$AA$140)&gt;=$R35),$U35,$T35)))=Milestones!$AB$140),TEXT(EDATE($D35,Milestones!$AA$140),"dd/mm/yy")&amp;" "&amp;Milestones!$AB$140&amp;" "&amp;Milestones!$AC$140&amp;";  ","")&amp;IF(AND(EDATE($D35,Milestones!$AA$141)&lt;=AsOfDate,IF($Q35=0,$W35,IF(AND($S35&lt;&gt;"",EDATE($D35,Milestones!$AA$141)&gt;=$S35),$V35,IF(AND($R35&lt;&gt;"",EDATE($D35,Milestones!$AA$141)&gt;=$R35),$U35,$T35)))=Milestones!$AB$141),TEXT(EDATE($D35,Milestones!$AA$141),"dd/mm/yy")&amp;" "&amp;Milestones!$AB$141&amp;" "&amp;Milestones!$AC$141&amp;";  ","")&amp;IF(AND(EDATE($D35,Milestones!$AA$142)&lt;=AsOfDate,IF($Q35=0,$W35,IF(AND($S35&lt;&gt;"",EDATE($D35,Milestones!$AA$142)&gt;=$S35),$V35,IF(AND($R35&lt;&gt;"",EDATE($D35,Milestones!$AA$142)&gt;=$R35),$U35,$T35)))=Milestones!$AB$142),TEXT(EDATE($D35,Milestones!$AA$142),"dd/mm/yy")&amp;" "&amp;Milestones!$AB$142&amp;" "&amp;Milestones!$AC$142&amp;";  ","")&amp;IF(AND(EDATE($D35,Milestones!$AA$143)&lt;=AsOfDate,IF($Q35=0,$W35,IF(AND($S35&lt;&gt;"",EDATE($D35,Milestones!$AA$143)&gt;=$S35),$V35,IF(AND($R35&lt;&gt;"",EDATE($D35,Milestones!$AA$143)&gt;=$R35),$U35,$T35)))=Milestones!$AB$143),TEXT(EDATE($D35,Milestones!$AA$143),"dd/mm/yy")&amp;" "&amp;Milestones!$AB$143&amp;" "&amp;Milestones!$AC$143&amp;";  ","")&amp;IF(AND(EDATE($D35,Milestones!$AA$144)&lt;=AsOfDate,IF($Q35=0,$W35,IF(AND($S35&lt;&gt;"",EDATE($D35,Milestones!$AA$144)&gt;=$S35),$V35,IF(AND($R35&lt;&gt;"",EDATE($D35,Milestones!$AA$144)&gt;=$R35),$U35,$T35)))=Milestones!$AB$144),TEXT(EDATE($D35,Milestones!$AA$144),"dd/mm/yy")&amp;" "&amp;Milestones!$AB$144&amp;" "&amp;Milestones!$AC$144&amp;";  ","")&amp;IF(AND(EDATE($D35,Milestones!$AA$145)&lt;=AsOfDate,IF($Q35=0,$W35,IF(AND($S35&lt;&gt;"",EDATE($D35,Milestones!$AA$145)&gt;=$S35),$V35,IF(AND($R35&lt;&gt;"",EDATE($D35,Milestones!$AA$145)&gt;=$R35),$U35,$T35)))=Milestones!$AB$145),TEXT(EDATE($D35,Milestones!$AA$145),"dd/mm/yy")&amp;" "&amp;Milestones!$AB$145&amp;" "&amp;Milestones!$AC$145&amp;";  ","")&amp;IF(AND(EDATE($D35,Milestones!$AA$146)&lt;=AsOfDate,IF($Q35=0,$W35,IF(AND($S35&lt;&gt;"",EDATE($D35,Milestones!$AA$146)&gt;=$S35),$V35,IF(AND($R35&lt;&gt;"",EDATE($D35,Milestones!$AA$146)&gt;=$R35),$U35,$T35)))=Milestones!$AB$146),TEXT(EDATE($D35,Milestones!$AA$146),"dd/mm/yy")&amp;" "&amp;Milestones!$AB$146&amp;" "&amp;Milestones!$AC$146&amp;";  ","")&amp;IF(AND(EDATE($D35,Milestones!$AA$147)&lt;=AsOfDate,IF($Q35=0,$W35,IF(AND($S35&lt;&gt;"",EDATE($D35,Milestones!$AA$147)&gt;=$S35),$V35,IF(AND($R35&lt;&gt;"",EDATE($D35,Milestones!$AA$147)&gt;=$R35),$U35,$T35)))=Milestones!$AB$147),TEXT(EDATE($D35,Milestones!$AA$147),"dd/mm/yy")&amp;" "&amp;Milestones!$AB$147&amp;" "&amp;Milestones!$AC$147&amp;";  ","")&amp;IF(AND(EDATE($D35,Milestones!$AA$148)&lt;=AsOfDate,IF($Q35=0,$W35,IF(AND($S35&lt;&gt;"",EDATE($D35,Milestones!$AA$148)&gt;=$S35),$V35,IF(AND($R35&lt;&gt;"",EDATE($D35,Milestones!$AA$148)&gt;=$R35),$U35,$T35)))=Milestones!$AB$148),TEXT(EDATE($D35,Milestones!$AA$148),"dd/mm/yy")&amp;" "&amp;Milestones!$AB$148&amp;" "&amp;Milestones!$AC$148&amp;";  ","")&amp;IF(AND(EDATE($D35,Milestones!$AA$149)&lt;=AsOfDate,IF($Q35=0,$W35,IF(AND($S35&lt;&gt;"",EDATE($D35,Milestones!$AA$149)&gt;=$S35),$V35,IF(AND($R35&lt;&gt;"",EDATE($D35,Milestones!$AA$149)&gt;=$R35),$U35,$T35)))=Milestones!$AB$149),TEXT(EDATE($D35,Milestones!$AA$149),"dd/mm/yy")&amp;" "&amp;Milestones!$AB$149&amp;" "&amp;Milestones!$AC$149&amp;";  ","")&amp;IF(AND(EDATE($D35,Milestones!$AA$150)&lt;=AsOfDate,IF($Q35=0,$W35,IF(AND($S35&lt;&gt;"",EDATE($D35,Milestones!$AA$150)&gt;=$S35),$V35,IF(AND($R35&lt;&gt;"",EDATE($D35,Milestones!$AA$150)&gt;=$R35),$U35,$T35)))=Milestones!$AB$150),TEXT(EDATE($D35,Milestones!$AA$150),"dd/mm/yy")&amp;" "&amp;Milestones!$AB$150&amp;" "&amp;Milestones!$AC$150&amp;";  ","")&amp;IF(AND(EDATE($D35,Milestones!$AA$151)&lt;=AsOfDate,IF($Q35=0,$W35,IF(AND($S35&lt;&gt;"",EDATE($D35,Milestones!$AA$151)&gt;=$S35),$V35,IF(AND($R35&lt;&gt;"",EDATE($D35,Milestones!$AA$151)&gt;=$R35),$U35,$T35)))=Milestones!$AB$151),TEXT(EDATE($D35,Milestones!$AA$151),"dd/mm/yy")&amp;" "&amp;Milestones!$AB$151&amp;" "&amp;Milestones!$AC$151&amp;";  ","")&amp;IF(AND(EDATE($D35,Milestones!$AA$152)&lt;=AsOfDate,IF($Q35=0,$W35,IF(AND($S35&lt;&gt;"",EDATE($D35,Milestones!$AA$152)&gt;=$S35),$V35,IF(AND($R35&lt;&gt;"",EDATE($D35,Milestones!$AA$152)&gt;=$R35),$U35,$T35)))=Milestones!$AB$152),TEXT(EDATE($D35,Milestones!$AA$152),"dd/mm/yy")&amp;" "&amp;Milestones!$AB$152&amp;" "&amp;Milestones!$AC$152&amp;";  ","")&amp;IF(AND(EDATE($D35,Milestones!$AA$153)&lt;=AsOfDate,IF($Q35=0,$W35,IF(AND($S35&lt;&gt;"",EDATE($D35,Milestones!$AA$153)&gt;=$S35),$V35,IF(AND($R35&lt;&gt;"",EDATE($D35,Milestones!$AA$153)&gt;=$R35),$U35,$T35)))=Milestones!$AB$153),TEXT(EDATE($D35,Milestones!$AA$153),"dd/mm/yy")&amp;" "&amp;Milestones!$AB$153&amp;" "&amp;Milestones!$AC$153&amp;";  ","")&amp;IF(AND(EDATE($D35,Milestones!$AA$154)&lt;=AsOfDate,IF($Q35=0,$W35,IF(AND($S35&lt;&gt;"",EDATE($D35,Milestones!$AA$154)&gt;=$S35),$V35,IF(AND($R35&lt;&gt;"",EDATE($D35,Milestones!$AA$154)&gt;=$R35),$U35,$T35)))=Milestones!$AB$154),TEXT(EDATE($D35,Milestones!$AA$154),"dd/mm/yy")&amp;" "&amp;Milestones!$AB$154&amp;" "&amp;Milestones!$AC$154&amp;";  ","")&amp;IF(AND(EDATE($D35,Milestones!$AA$155)&lt;=AsOfDate,IF($Q35=0,$W35,IF(AND($S35&lt;&gt;"",EDATE($D35,Milestones!$AA$155)&gt;=$S35),$V35,IF(AND($R35&lt;&gt;"",EDATE($D35,Milestones!$AA$155)&gt;=$R35),$U35,$T35)))=Milestones!$AB$155),TEXT(EDATE($D35,Milestones!$AA$155),"dd/mm/yy")&amp;" "&amp;Milestones!$AB$155&amp;" "&amp;Milestones!$AC$155&amp;";  ","")&amp;IF(AND(EDATE($D35,Milestones!$AA$156)&lt;=AsOfDate,IF($Q35=0,$W35,IF(AND($S35&lt;&gt;"",EDATE($D35,Milestones!$AA$156)&gt;=$S35),$V35,IF(AND($R35&lt;&gt;"",EDATE($D35,Milestones!$AA$156)&gt;=$R35),$U35,$T35)))=Milestones!$AB$156),TEXT(EDATE($D35,Milestones!$AA$156),"dd/mm/yy")&amp;" "&amp;Milestones!$AB$156&amp;" "&amp;Milestones!$AC$156&amp;";  ","")&amp;IF(AND(EDATE($D35,Milestones!$AA$157)&lt;=AsOfDate,IF($Q35=0,$W35,IF(AND($S35&lt;&gt;"",EDATE($D35,Milestones!$AA$157)&gt;=$S35),$V35,IF(AND($R35&lt;&gt;"",EDATE($D35,Milestones!$AA$157)&gt;=$R35),$U35,$T35)))=Milestones!$AB$157),TEXT(EDATE($D35,Milestones!$AA$157),"dd/mm/yy")&amp;" "&amp;Milestones!$AB$157&amp;" "&amp;Milestones!$AC$157&amp;";  ","")&amp;IF(AND(EDATE($D35,Milestones!$AA$158)&lt;=AsOfDate,IF($Q35=0,$W35,IF(AND($S35&lt;&gt;"",EDATE($D35,Milestones!$AA$158)&gt;=$S35),$V35,IF(AND($R35&lt;&gt;"",EDATE($D35,Milestones!$AA$158)&gt;=$R35),$U35,$T35)))=Milestones!$AB$158),TEXT(EDATE($D35,Milestones!$AA$158),"dd/mm/yy")&amp;" "&amp;Milestones!$AB$158&amp;" "&amp;Milestones!$AC$158&amp;";  ","")&amp;IF(AND(EDATE($D35,Milestones!$AA$159)&lt;=AsOfDate,IF($Q35=0,$W35,IF(AND($S35&lt;&gt;"",EDATE($D35,Milestones!$AA$159)&gt;=$S35),$V35,IF(AND($R35&lt;&gt;"",EDATE($D35,Milestones!$AA$159)&gt;=$R35),$U35,$T35)))=Milestones!$AB$159),TEXT(EDATE($D35,Milestones!$AA$159),"dd/mm/yy")&amp;" "&amp;Milestones!$AB$159&amp;" "&amp;Milestones!$AC$159&amp;";  ",""))</f>
        <v/>
      </c>
      <c r="O35" s="0" t="str">
        <f aca="false">IF(OR($A35="",$D35=""),"",IF(AND(EDATE($D35,Milestones!$AA$160)&lt;=AsOfDate,IF($Q35=0,$W35,IF(AND($S35&lt;&gt;"",EDATE($D35,Milestones!$AA$160)&gt;=$S35),$V35,IF(AND($R35&lt;&gt;"",EDATE($D35,Milestones!$AA$160)&gt;=$R35),$U35,$T35)))=Milestones!$AB$160),TEXT(EDATE($D35,Milestones!$AA$160),"dd/mm/yy")&amp;" "&amp;Milestones!$AB$160&amp;" "&amp;Milestones!$AC$160&amp;";  ","")&amp;IF(AND(EDATE($D35,Milestones!$AA$161)&lt;=AsOfDate,IF($Q35=0,$W35,IF(AND($S35&lt;&gt;"",EDATE($D35,Milestones!$AA$161)&gt;=$S35),$V35,IF(AND($R35&lt;&gt;"",EDATE($D35,Milestones!$AA$161)&gt;=$R35),$U35,$T35)))=Milestones!$AB$161),TEXT(EDATE($D35,Milestones!$AA$161),"dd/mm/yy")&amp;" "&amp;Milestones!$AB$161&amp;" "&amp;Milestones!$AC$161&amp;";  ","")&amp;IF(AND(EDATE($D35,Milestones!$AA$162)&lt;=AsOfDate,IF($Q35=0,$W35,IF(AND($S35&lt;&gt;"",EDATE($D35,Milestones!$AA$162)&gt;=$S35),$V35,IF(AND($R35&lt;&gt;"",EDATE($D35,Milestones!$AA$162)&gt;=$R35),$U35,$T35)))=Milestones!$AB$162),TEXT(EDATE($D35,Milestones!$AA$162),"dd/mm/yy")&amp;" "&amp;Milestones!$AB$162&amp;" "&amp;Milestones!$AC$162&amp;";  ","")&amp;IF(AND(EDATE($D35,Milestones!$AA$163)&lt;=AsOfDate,IF($Q35=0,$W35,IF(AND($S35&lt;&gt;"",EDATE($D35,Milestones!$AA$163)&gt;=$S35),$V35,IF(AND($R35&lt;&gt;"",EDATE($D35,Milestones!$AA$163)&gt;=$R35),$U35,$T35)))=Milestones!$AB$163),TEXT(EDATE($D35,Milestones!$AA$163),"dd/mm/yy")&amp;" "&amp;Milestones!$AB$163&amp;" "&amp;Milestones!$AC$163&amp;";  ","")&amp;IF(AND(EDATE($D35,Milestones!$AA$164)&lt;=AsOfDate,IF($Q35=0,$W35,IF(AND($S35&lt;&gt;"",EDATE($D35,Milestones!$AA$164)&gt;=$S35),$V35,IF(AND($R35&lt;&gt;"",EDATE($D35,Milestones!$AA$164)&gt;=$R35),$U35,$T35)))=Milestones!$AB$164),TEXT(EDATE($D35,Milestones!$AA$164),"dd/mm/yy")&amp;" "&amp;Milestones!$AB$164&amp;" "&amp;Milestones!$AC$164&amp;";  ","")&amp;IF(AND(EDATE($D35,Milestones!$AA$165)&lt;=AsOfDate,IF($Q35=0,$W35,IF(AND($S35&lt;&gt;"",EDATE($D35,Milestones!$AA$165)&gt;=$S35),$V35,IF(AND($R35&lt;&gt;"",EDATE($D35,Milestones!$AA$165)&gt;=$R35),$U35,$T35)))=Milestones!$AB$165),TEXT(EDATE($D35,Milestones!$AA$165),"dd/mm/yy")&amp;" "&amp;Milestones!$AB$165&amp;" "&amp;Milestones!$AC$165&amp;";  ","")&amp;IF(AND(EDATE($D35,Milestones!$AA$166)&lt;=AsOfDate,IF($Q35=0,$W35,IF(AND($S35&lt;&gt;"",EDATE($D35,Milestones!$AA$166)&gt;=$S35),$V35,IF(AND($R35&lt;&gt;"",EDATE($D35,Milestones!$AA$166)&gt;=$R35),$U35,$T35)))=Milestones!$AB$166),TEXT(EDATE($D35,Milestones!$AA$166),"dd/mm/yy")&amp;" "&amp;Milestones!$AB$166&amp;" "&amp;Milestones!$AC$166&amp;";  ","")&amp;IF(AND(EDATE($D35,Milestones!$AA$167)&lt;=AsOfDate,IF($Q35=0,$W35,IF(AND($S35&lt;&gt;"",EDATE($D35,Milestones!$AA$167)&gt;=$S35),$V35,IF(AND($R35&lt;&gt;"",EDATE($D35,Milestones!$AA$167)&gt;=$R35),$U35,$T35)))=Milestones!$AB$167),TEXT(EDATE($D35,Milestones!$AA$167),"dd/mm/yy")&amp;" "&amp;Milestones!$AB$167&amp;" "&amp;Milestones!$AC$167&amp;";  ","")&amp;IF(AND(EDATE($D35,Milestones!$AA$168)&lt;=AsOfDate,IF($Q35=0,$W35,IF(AND($S35&lt;&gt;"",EDATE($D35,Milestones!$AA$168)&gt;=$S35),$V35,IF(AND($R35&lt;&gt;"",EDATE($D35,Milestones!$AA$168)&gt;=$R35),$U35,$T35)))=Milestones!$AB$168),TEXT(EDATE($D35,Milestones!$AA$168),"dd/mm/yy")&amp;" "&amp;Milestones!$AB$168&amp;" "&amp;Milestones!$AC$168&amp;";  ","")&amp;IF(AND(EDATE($D35,Milestones!$AA$169)&lt;=AsOfDate,IF($Q35=0,$W35,IF(AND($S35&lt;&gt;"",EDATE($D35,Milestones!$AA$169)&gt;=$S35),$V35,IF(AND($R35&lt;&gt;"",EDATE($D35,Milestones!$AA$169)&gt;=$R35),$U35,$T35)))=Milestones!$AB$169),TEXT(EDATE($D35,Milestones!$AA$169),"dd/mm/yy")&amp;" "&amp;Milestones!$AB$169&amp;" "&amp;Milestones!$AC$169&amp;";  ","")&amp;IF(AND(EDATE($D35,Milestones!$AA$170)&lt;=AsOfDate,IF($Q35=0,$W35,IF(AND($S35&lt;&gt;"",EDATE($D35,Milestones!$AA$170)&gt;=$S35),$V35,IF(AND($R35&lt;&gt;"",EDATE($D35,Milestones!$AA$170)&gt;=$R35),$U35,$T35)))=Milestones!$AB$170),TEXT(EDATE($D35,Milestones!$AA$170),"dd/mm/yy")&amp;" "&amp;Milestones!$AB$170&amp;" "&amp;Milestones!$AC$170&amp;";  ","")&amp;IF(AND(EDATE($D35,Milestones!$AA$171)&lt;=AsOfDate,IF($Q35=0,$W35,IF(AND($S35&lt;&gt;"",EDATE($D35,Milestones!$AA$171)&gt;=$S35),$V35,IF(AND($R35&lt;&gt;"",EDATE($D35,Milestones!$AA$171)&gt;=$R35),$U35,$T35)))=Milestones!$AB$171),TEXT(EDATE($D35,Milestones!$AA$171),"dd/mm/yy")&amp;" "&amp;Milestones!$AB$171&amp;" "&amp;Milestones!$AC$171&amp;";  ","")&amp;IF(AND(EDATE($D35,Milestones!$AA$172)&lt;=AsOfDate,IF($Q35=0,$W35,IF(AND($S35&lt;&gt;"",EDATE($D35,Milestones!$AA$172)&gt;=$S35),$V35,IF(AND($R35&lt;&gt;"",EDATE($D35,Milestones!$AA$172)&gt;=$R35),$U35,$T35)))=Milestones!$AB$172),TEXT(EDATE($D35,Milestones!$AA$172),"dd/mm/yy")&amp;" "&amp;Milestones!$AB$172&amp;" "&amp;Milestones!$AC$172&amp;";  ","")&amp;IF(AND(EDATE($D35,Milestones!$AA$173)&lt;=AsOfDate,IF($Q35=0,$W35,IF(AND($S35&lt;&gt;"",EDATE($D35,Milestones!$AA$173)&gt;=$S35),$V35,IF(AND($R35&lt;&gt;"",EDATE($D35,Milestones!$AA$173)&gt;=$R35),$U35,$T35)))=Milestones!$AB$173),TEXT(EDATE($D35,Milestones!$AA$173),"dd/mm/yy")&amp;" "&amp;Milestones!$AB$173&amp;" "&amp;Milestones!$AC$173&amp;";  ","")&amp;IF(AND(EDATE($D35,Milestones!$AA$174)&lt;=AsOfDate,IF($Q35=0,$W35,IF(AND($S35&lt;&gt;"",EDATE($D35,Milestones!$AA$174)&gt;=$S35),$V35,IF(AND($R35&lt;&gt;"",EDATE($D35,Milestones!$AA$174)&gt;=$R35),$U35,$T35)))=Milestones!$AB$174),TEXT(EDATE($D35,Milestones!$AA$174),"dd/mm/yy")&amp;" "&amp;Milestones!$AB$174&amp;" "&amp;Milestones!$AC$174&amp;";  ","")&amp;IF(AND(EDATE($D35,Milestones!$AA$175)&lt;=AsOfDate,IF($Q35=0,$W35,IF(AND($S35&lt;&gt;"",EDATE($D35,Milestones!$AA$175)&gt;=$S35),$V35,IF(AND($R35&lt;&gt;"",EDATE($D35,Milestones!$AA$175)&gt;=$R35),$U35,$T35)))=Milestones!$AB$175),TEXT(EDATE($D35,Milestones!$AA$175),"dd/mm/yy")&amp;" "&amp;Milestones!$AB$175&amp;" "&amp;Milestones!$AC$175&amp;";  ","")&amp;IF(AND(EDATE($D35,Milestones!$AA$176)&lt;=AsOfDate,IF($Q35=0,$W35,IF(AND($S35&lt;&gt;"",EDATE($D35,Milestones!$AA$176)&gt;=$S35),$V35,IF(AND($R35&lt;&gt;"",EDATE($D35,Milestones!$AA$176)&gt;=$R35),$U35,$T35)))=Milestones!$AB$176),TEXT(EDATE($D35,Milestones!$AA$176),"dd/mm/yy")&amp;" "&amp;Milestones!$AB$176&amp;" "&amp;Milestones!$AC$176&amp;";  ","")&amp;IF(AND(EDATE($D35,Milestones!$AA$177)&lt;=AsOfDate,IF($Q35=0,$W35,IF(AND($S35&lt;&gt;"",EDATE($D35,Milestones!$AA$177)&gt;=$S35),$V35,IF(AND($R35&lt;&gt;"",EDATE($D35,Milestones!$AA$177)&gt;=$R35),$U35,$T35)))=Milestones!$AB$177),TEXT(EDATE($D35,Milestones!$AA$177),"dd/mm/yy")&amp;" "&amp;Milestones!$AB$177&amp;" "&amp;Milestones!$AC$177&amp;";  ","")&amp;IF(AND(EDATE($D35,Milestones!$AA$178)&lt;=AsOfDate,IF($Q35=0,$W35,IF(AND($S35&lt;&gt;"",EDATE($D35,Milestones!$AA$178)&gt;=$S35),$V35,IF(AND($R35&lt;&gt;"",EDATE($D35,Milestones!$AA$178)&gt;=$R35),$U35,$T35)))=Milestones!$AB$178),TEXT(EDATE($D35,Milestones!$AA$178),"dd/mm/yy")&amp;" "&amp;Milestones!$AB$178&amp;" "&amp;Milestones!$AC$178&amp;";  ","")&amp;IF(AND(EDATE($D35,Milestones!$AA$179)&lt;=AsOfDate,IF($Q35=0,$W35,IF(AND($S35&lt;&gt;"",EDATE($D35,Milestones!$AA$179)&gt;=$S35),$V35,IF(AND($R35&lt;&gt;"",EDATE($D35,Milestones!$AA$179)&gt;=$R35),$U35,$T35)))=Milestones!$AB$179),TEXT(EDATE($D35,Milestones!$AA$179),"dd/mm/yy")&amp;" "&amp;Milestones!$AB$179&amp;" "&amp;Milestones!$AC$179&amp;";  ",""))</f>
        <v/>
      </c>
      <c r="P35" s="0" t="str">
        <f aca="false">IF(OR($A35="",$D35=""),"",IF(AND(EDATE($D35,Milestones!$AA$180)&lt;=AsOfDate,IF($Q35=0,$W35,IF(AND($S35&lt;&gt;"",EDATE($D35,Milestones!$AA$180)&gt;=$S35),$V35,IF(AND($R35&lt;&gt;"",EDATE($D35,Milestones!$AA$180)&gt;=$R35),$U35,$T35)))=Milestones!$AB$180),TEXT(EDATE($D35,Milestones!$AA$180),"dd/mm/yy")&amp;" "&amp;Milestones!$AB$180&amp;" "&amp;Milestones!$AC$180&amp;";  ","")&amp;IF(AND(EDATE($D35,Milestones!$AA$181)&lt;=AsOfDate,IF($Q35=0,$W35,IF(AND($S35&lt;&gt;"",EDATE($D35,Milestones!$AA$181)&gt;=$S35),$V35,IF(AND($R35&lt;&gt;"",EDATE($D35,Milestones!$AA$181)&gt;=$R35),$U35,$T35)))=Milestones!$AB$181),TEXT(EDATE($D35,Milestones!$AA$181),"dd/mm/yy")&amp;" "&amp;Milestones!$AB$181&amp;" "&amp;Milestones!$AC$181&amp;";  ","")&amp;IF(AND(EDATE($D35,Milestones!$AA$182)&lt;=AsOfDate,IF($Q35=0,$W35,IF(AND($S35&lt;&gt;"",EDATE($D35,Milestones!$AA$182)&gt;=$S35),$V35,IF(AND($R35&lt;&gt;"",EDATE($D35,Milestones!$AA$182)&gt;=$R35),$U35,$T35)))=Milestones!$AB$182),TEXT(EDATE($D35,Milestones!$AA$182),"dd/mm/yy")&amp;" "&amp;Milestones!$AB$182&amp;" "&amp;Milestones!$AC$182&amp;";  ","")&amp;IF(AND(EDATE($D35,Milestones!$AA$183)&lt;=AsOfDate,IF($Q35=0,$W35,IF(AND($S35&lt;&gt;"",EDATE($D35,Milestones!$AA$183)&gt;=$S35),$V35,IF(AND($R35&lt;&gt;"",EDATE($D35,Milestones!$AA$183)&gt;=$R35),$U35,$T35)))=Milestones!$AB$183),TEXT(EDATE($D35,Milestones!$AA$183),"dd/mm/yy")&amp;" "&amp;Milestones!$AB$183&amp;" "&amp;Milestones!$AC$183&amp;";  ","")&amp;IF(AND(EDATE($D35,Milestones!$AA$184)&lt;=AsOfDate,IF($Q35=0,$W35,IF(AND($S35&lt;&gt;"",EDATE($D35,Milestones!$AA$184)&gt;=$S35),$V35,IF(AND($R35&lt;&gt;"",EDATE($D35,Milestones!$AA$184)&gt;=$R35),$U35,$T35)))=Milestones!$AB$184),TEXT(EDATE($D35,Milestones!$AA$184),"dd/mm/yy")&amp;" "&amp;Milestones!$AB$184&amp;" "&amp;Milestones!$AC$184&amp;";  ","")&amp;IF(AND(EDATE($D35,Milestones!$AA$185)&lt;=AsOfDate,IF($Q35=0,$W35,IF(AND($S35&lt;&gt;"",EDATE($D35,Milestones!$AA$185)&gt;=$S35),$V35,IF(AND($R35&lt;&gt;"",EDATE($D35,Milestones!$AA$185)&gt;=$R35),$U35,$T35)))=Milestones!$AB$185),TEXT(EDATE($D35,Milestones!$AA$185),"dd/mm/yy")&amp;" "&amp;Milestones!$AB$185&amp;" "&amp;Milestones!$AC$185&amp;";  ","")&amp;IF(AND(EDATE($D35,Milestones!$AA$186)&lt;=AsOfDate,IF($Q35=0,$W35,IF(AND($S35&lt;&gt;"",EDATE($D35,Milestones!$AA$186)&gt;=$S35),$V35,IF(AND($R35&lt;&gt;"",EDATE($D35,Milestones!$AA$186)&gt;=$R35),$U35,$T35)))=Milestones!$AB$186),TEXT(EDATE($D35,Milestones!$AA$186),"dd/mm/yy")&amp;" "&amp;Milestones!$AB$186&amp;" "&amp;Milestones!$AC$186&amp;";  ","")&amp;IF(AND(EDATE($D35,Milestones!$AA$187)&lt;=AsOfDate,IF($Q35=0,$W35,IF(AND($S35&lt;&gt;"",EDATE($D35,Milestones!$AA$187)&gt;=$S35),$V35,IF(AND($R35&lt;&gt;"",EDATE($D35,Milestones!$AA$187)&gt;=$R35),$U35,$T35)))=Milestones!$AB$187),TEXT(EDATE($D35,Milestones!$AA$187),"dd/mm/yy")&amp;" "&amp;Milestones!$AB$187&amp;" "&amp;Milestones!$AC$187&amp;";  ","")&amp;IF(AND(EDATE($D35,Milestones!$AA$188)&lt;=AsOfDate,IF($Q35=0,$W35,IF(AND($S35&lt;&gt;"",EDATE($D35,Milestones!$AA$188)&gt;=$S35),$V35,IF(AND($R35&lt;&gt;"",EDATE($D35,Milestones!$AA$188)&gt;=$R35),$U35,$T35)))=Milestones!$AB$188),TEXT(EDATE($D35,Milestones!$AA$188),"dd/mm/yy")&amp;" "&amp;Milestones!$AB$188&amp;" "&amp;Milestones!$AC$188&amp;";  ","")&amp;IF(AND(EDATE($D35,Milestones!$AA$189)&lt;=AsOfDate,IF($Q35=0,$W35,IF(AND($S35&lt;&gt;"",EDATE($D35,Milestones!$AA$189)&gt;=$S35),$V35,IF(AND($R35&lt;&gt;"",EDATE($D35,Milestones!$AA$189)&gt;=$R35),$U35,$T35)))=Milestones!$AB$189),TEXT(EDATE($D35,Milestones!$AA$189),"dd/mm/yy")&amp;" "&amp;Milestones!$AB$189&amp;" "&amp;Milestones!$AC$189&amp;";  ","")&amp;IF(AND(EDATE($D35,Milestones!$AA$190)&lt;=AsOfDate,IF($Q35=0,$W35,IF(AND($S35&lt;&gt;"",EDATE($D35,Milestones!$AA$190)&gt;=$S35),$V35,IF(AND($R35&lt;&gt;"",EDATE($D35,Milestones!$AA$190)&gt;=$R35),$U35,$T35)))=Milestones!$AB$190),TEXT(EDATE($D35,Milestones!$AA$190),"dd/mm/yy")&amp;" "&amp;Milestones!$AB$190&amp;" "&amp;Milestones!$AC$190&amp;";  ","")&amp;IF(AND(EDATE($D35,Milestones!$AA$191)&lt;=AsOfDate,IF($Q35=0,$W35,IF(AND($S35&lt;&gt;"",EDATE($D35,Milestones!$AA$191)&gt;=$S35),$V35,IF(AND($R35&lt;&gt;"",EDATE($D35,Milestones!$AA$191)&gt;=$R35),$U35,$T35)))=Milestones!$AB$191),TEXT(EDATE($D35,Milestones!$AA$191),"dd/mm/yy")&amp;" "&amp;Milestones!$AB$191&amp;" "&amp;Milestones!$AC$191&amp;";  ","")&amp;IF(AND(EDATE($D35,Milestones!$AA$192)&lt;=AsOfDate,IF($Q35=0,$W35,IF(AND($S35&lt;&gt;"",EDATE($D35,Milestones!$AA$192)&gt;=$S35),$V35,IF(AND($R35&lt;&gt;"",EDATE($D35,Milestones!$AA$192)&gt;=$R35),$U35,$T35)))=Milestones!$AB$192),TEXT(EDATE($D35,Milestones!$AA$192),"dd/mm/yy")&amp;" "&amp;Milestones!$AB$192&amp;" "&amp;Milestones!$AC$192&amp;";  ","")&amp;IF(AND(EDATE($D35,Milestones!$AA$193)&lt;=AsOfDate,IF($Q35=0,$W35,IF(AND($S35&lt;&gt;"",EDATE($D35,Milestones!$AA$193)&gt;=$S35),$V35,IF(AND($R35&lt;&gt;"",EDATE($D35,Milestones!$AA$193)&gt;=$R35),$U35,$T35)))=Milestones!$AB$193),TEXT(EDATE($D35,Milestones!$AA$193),"dd/mm/yy")&amp;" "&amp;Milestones!$AB$193&amp;" "&amp;Milestones!$AC$193&amp;";  ","")&amp;IF(AND(EDATE($D35,Milestones!$AA$194)&lt;=AsOfDate,IF($Q35=0,$W35,IF(AND($S35&lt;&gt;"",EDATE($D35,Milestones!$AA$194)&gt;=$S35),$V35,IF(AND($R35&lt;&gt;"",EDATE($D35,Milestones!$AA$194)&gt;=$R35),$U35,$T35)))=Milestones!$AB$194),TEXT(EDATE($D35,Milestones!$AA$194),"dd/mm/yy")&amp;" "&amp;Milestones!$AB$194&amp;" "&amp;Milestones!$AC$194&amp;";  ","")&amp;IF(AND(EDATE($D35,Milestones!$AA$195)&lt;=AsOfDate,IF($Q35=0,$W35,IF(AND($S35&lt;&gt;"",EDATE($D35,Milestones!$AA$195)&gt;=$S35),$V35,IF(AND($R35&lt;&gt;"",EDATE($D35,Milestones!$AA$195)&gt;=$R35),$U35,$T35)))=Milestones!$AB$195),TEXT(EDATE($D35,Milestones!$AA$195),"dd/mm/yy")&amp;" "&amp;Milestones!$AB$195&amp;" "&amp;Milestones!$AC$195&amp;";  ","")&amp;IF(AND(EDATE($D35,Milestones!$AA$196)&lt;=AsOfDate,IF($Q35=0,$W35,IF(AND($S35&lt;&gt;"",EDATE($D35,Milestones!$AA$196)&gt;=$S35),$V35,IF(AND($R35&lt;&gt;"",EDATE($D35,Milestones!$AA$196)&gt;=$R35),$U35,$T35)))=Milestones!$AB$196),TEXT(EDATE($D35,Milestones!$AA$196),"dd/mm/yy")&amp;" "&amp;Milestones!$AB$196&amp;" "&amp;Milestones!$AC$196&amp;";  ","")&amp;IF(AND(EDATE($D35,Milestones!$AA$197)&lt;=AsOfDate,IF($Q35=0,$W35,IF(AND($S35&lt;&gt;"",EDATE($D35,Milestones!$AA$197)&gt;=$S35),$V35,IF(AND($R35&lt;&gt;"",EDATE($D35,Milestones!$AA$197)&gt;=$R35),$U35,$T35)))=Milestones!$AB$197),TEXT(EDATE($D35,Milestones!$AA$197),"dd/mm/yy")&amp;" "&amp;Milestones!$AB$197&amp;" "&amp;Milestones!$AC$197&amp;";  ","")&amp;IF(AND(EDATE($D35,Milestones!$AA$198)&lt;=AsOfDate,IF($Q35=0,$W35,IF(AND($S35&lt;&gt;"",EDATE($D35,Milestones!$AA$198)&gt;=$S35),$V35,IF(AND($R35&lt;&gt;"",EDATE($D35,Milestones!$AA$198)&gt;=$R35),$U35,$T35)))=Milestones!$AB$198),TEXT(EDATE($D35,Milestones!$AA$198),"dd/mm/yy")&amp;" "&amp;Milestones!$AB$198&amp;" "&amp;Milestones!$AC$198&amp;";  ","")&amp;IF(AND(EDATE($D35,Milestones!$AA$199)&lt;=AsOfDate,IF($Q35=0,$W35,IF(AND($S35&lt;&gt;"",EDATE($D35,Milestones!$AA$199)&gt;=$S35),$V35,IF(AND($R35&lt;&gt;"",EDATE($D35,Milestones!$AA$199)&gt;=$R35),$U35,$T35)))=Milestones!$AB$199),TEXT(EDATE($D35,Milestones!$AA$199),"dd/mm/yy")&amp;" "&amp;Milestones!$AB$199&amp;" "&amp;Milestones!$AC$199&amp;";  ",""))</f>
        <v/>
      </c>
      <c r="Q35" s="0" t="str">
        <f aca="false">IF(Staff!$A35="","",Staff!$AG35)</f>
        <v/>
      </c>
      <c r="R35" s="0" t="str">
        <f aca="false">IF(Staff!$A35="","",Staff!$AI35)</f>
        <v/>
      </c>
      <c r="S35" s="0" t="str">
        <f aca="false">IF(Staff!$A35="","",Staff!$AJ35)</f>
        <v/>
      </c>
      <c r="T35" s="0" t="str">
        <f aca="false">IF(Staff!$A35="","",Staff!$AN35)</f>
        <v/>
      </c>
      <c r="U35" s="0" t="str">
        <f aca="false">IF(Staff!$A35="","",Staff!$AO35)</f>
        <v/>
      </c>
      <c r="V35" s="0" t="str">
        <f aca="false">IF(Staff!$A35="","",Staff!$AP35)</f>
        <v/>
      </c>
      <c r="W35" s="0" t="str">
        <f aca="false">IF(Staff!$A35="","",Staff!$AQ35)</f>
        <v/>
      </c>
    </row>
    <row r="36" customFormat="false" ht="15" hidden="false" customHeight="false" outlineLevel="0" collapsed="false">
      <c r="A36" s="13" t="str">
        <f aca="false">IF(Staff!$A36="","",Staff!$A36)</f>
        <v/>
      </c>
      <c r="B36" s="13" t="str">
        <f aca="false">IF(Staff!$A36="","",Staff!$B36)</f>
        <v/>
      </c>
      <c r="C36" s="13" t="str">
        <f aca="false">IF(Staff!$A36="","",Staff!$C36)</f>
        <v/>
      </c>
      <c r="D36" s="11" t="str">
        <f aca="false">IF(Staff!$A36="","",Staff!$AF36)</f>
        <v/>
      </c>
      <c r="E36" s="13" t="str">
        <f aca="false">IF(Staff!$A36="","",Staff!$O36)</f>
        <v/>
      </c>
      <c r="F36" s="13" t="str">
        <f aca="false">IF(E36="","",E36*HoursPerDay)</f>
        <v/>
      </c>
      <c r="G36" s="26" t="str">
        <f aca="false">IF($A36="","",H36&amp;I36&amp;J36&amp;K36&amp;L36&amp;M36&amp;N36&amp;O36&amp;P36)</f>
        <v/>
      </c>
      <c r="H36" s="0" t="str">
        <f aca="false">IF(OR($A36="",$D36=""),"",IF(AND(EDATE($D36,Milestones!$AA$20)&lt;=AsOfDate,IF($Q36=0,$W36,IF(AND($S36&lt;&gt;"",EDATE($D36,Milestones!$AA$20)&gt;=$S36),$V36,IF(AND($R36&lt;&gt;"",EDATE($D36,Milestones!$AA$20)&gt;=$R36),$U36,$T36)))=Milestones!$AB$20),TEXT(EDATE($D36,Milestones!$AA$20),"dd/mm/yy")&amp;" "&amp;Milestones!$AB$20&amp;" "&amp;Milestones!$AC$20&amp;";  ","")&amp;IF(AND(EDATE($D36,Milestones!$AA$21)&lt;=AsOfDate,IF($Q36=0,$W36,IF(AND($S36&lt;&gt;"",EDATE($D36,Milestones!$AA$21)&gt;=$S36),$V36,IF(AND($R36&lt;&gt;"",EDATE($D36,Milestones!$AA$21)&gt;=$R36),$U36,$T36)))=Milestones!$AB$21),TEXT(EDATE($D36,Milestones!$AA$21),"dd/mm/yy")&amp;" "&amp;Milestones!$AB$21&amp;" "&amp;Milestones!$AC$21&amp;";  ","")&amp;IF(AND(EDATE($D36,Milestones!$AA$22)&lt;=AsOfDate,IF($Q36=0,$W36,IF(AND($S36&lt;&gt;"",EDATE($D36,Milestones!$AA$22)&gt;=$S36),$V36,IF(AND($R36&lt;&gt;"",EDATE($D36,Milestones!$AA$22)&gt;=$R36),$U36,$T36)))=Milestones!$AB$22),TEXT(EDATE($D36,Milestones!$AA$22),"dd/mm/yy")&amp;" "&amp;Milestones!$AB$22&amp;" "&amp;Milestones!$AC$22&amp;";  ","")&amp;IF(AND(EDATE($D36,Milestones!$AA$23)&lt;=AsOfDate,IF($Q36=0,$W36,IF(AND($S36&lt;&gt;"",EDATE($D36,Milestones!$AA$23)&gt;=$S36),$V36,IF(AND($R36&lt;&gt;"",EDATE($D36,Milestones!$AA$23)&gt;=$R36),$U36,$T36)))=Milestones!$AB$23),TEXT(EDATE($D36,Milestones!$AA$23),"dd/mm/yy")&amp;" "&amp;Milestones!$AB$23&amp;" "&amp;Milestones!$AC$23&amp;";  ","")&amp;IF(AND(EDATE($D36,Milestones!$AA$24)&lt;=AsOfDate,IF($Q36=0,$W36,IF(AND($S36&lt;&gt;"",EDATE($D36,Milestones!$AA$24)&gt;=$S36),$V36,IF(AND($R36&lt;&gt;"",EDATE($D36,Milestones!$AA$24)&gt;=$R36),$U36,$T36)))=Milestones!$AB$24),TEXT(EDATE($D36,Milestones!$AA$24),"dd/mm/yy")&amp;" "&amp;Milestones!$AB$24&amp;" "&amp;Milestones!$AC$24&amp;";  ","")&amp;IF(AND(EDATE($D36,Milestones!$AA$25)&lt;=AsOfDate,IF($Q36=0,$W36,IF(AND($S36&lt;&gt;"",EDATE($D36,Milestones!$AA$25)&gt;=$S36),$V36,IF(AND($R36&lt;&gt;"",EDATE($D36,Milestones!$AA$25)&gt;=$R36),$U36,$T36)))=Milestones!$AB$25),TEXT(EDATE($D36,Milestones!$AA$25),"dd/mm/yy")&amp;" "&amp;Milestones!$AB$25&amp;" "&amp;Milestones!$AC$25&amp;";  ","")&amp;IF(AND(EDATE($D36,Milestones!$AA$26)&lt;=AsOfDate,IF($Q36=0,$W36,IF(AND($S36&lt;&gt;"",EDATE($D36,Milestones!$AA$26)&gt;=$S36),$V36,IF(AND($R36&lt;&gt;"",EDATE($D36,Milestones!$AA$26)&gt;=$R36),$U36,$T36)))=Milestones!$AB$26),TEXT(EDATE($D36,Milestones!$AA$26),"dd/mm/yy")&amp;" "&amp;Milestones!$AB$26&amp;" "&amp;Milestones!$AC$26&amp;";  ","")&amp;IF(AND(EDATE($D36,Milestones!$AA$27)&lt;=AsOfDate,IF($Q36=0,$W36,IF(AND($S36&lt;&gt;"",EDATE($D36,Milestones!$AA$27)&gt;=$S36),$V36,IF(AND($R36&lt;&gt;"",EDATE($D36,Milestones!$AA$27)&gt;=$R36),$U36,$T36)))=Milestones!$AB$27),TEXT(EDATE($D36,Milestones!$AA$27),"dd/mm/yy")&amp;" "&amp;Milestones!$AB$27&amp;" "&amp;Milestones!$AC$27&amp;";  ","")&amp;IF(AND(EDATE($D36,Milestones!$AA$28)&lt;=AsOfDate,IF($Q36=0,$W36,IF(AND($S36&lt;&gt;"",EDATE($D36,Milestones!$AA$28)&gt;=$S36),$V36,IF(AND($R36&lt;&gt;"",EDATE($D36,Milestones!$AA$28)&gt;=$R36),$U36,$T36)))=Milestones!$AB$28),TEXT(EDATE($D36,Milestones!$AA$28),"dd/mm/yy")&amp;" "&amp;Milestones!$AB$28&amp;" "&amp;Milestones!$AC$28&amp;";  ","")&amp;IF(AND(EDATE($D36,Milestones!$AA$29)&lt;=AsOfDate,IF($Q36=0,$W36,IF(AND($S36&lt;&gt;"",EDATE($D36,Milestones!$AA$29)&gt;=$S36),$V36,IF(AND($R36&lt;&gt;"",EDATE($D36,Milestones!$AA$29)&gt;=$R36),$U36,$T36)))=Milestones!$AB$29),TEXT(EDATE($D36,Milestones!$AA$29),"dd/mm/yy")&amp;" "&amp;Milestones!$AB$29&amp;" "&amp;Milestones!$AC$29&amp;";  ","")&amp;IF(AND(EDATE($D36,Milestones!$AA$30)&lt;=AsOfDate,IF($Q36=0,$W36,IF(AND($S36&lt;&gt;"",EDATE($D36,Milestones!$AA$30)&gt;=$S36),$V36,IF(AND($R36&lt;&gt;"",EDATE($D36,Milestones!$AA$30)&gt;=$R36),$U36,$T36)))=Milestones!$AB$30),TEXT(EDATE($D36,Milestones!$AA$30),"dd/mm/yy")&amp;" "&amp;Milestones!$AB$30&amp;" "&amp;Milestones!$AC$30&amp;";  ","")&amp;IF(AND(EDATE($D36,Milestones!$AA$31)&lt;=AsOfDate,IF($Q36=0,$W36,IF(AND($S36&lt;&gt;"",EDATE($D36,Milestones!$AA$31)&gt;=$S36),$V36,IF(AND($R36&lt;&gt;"",EDATE($D36,Milestones!$AA$31)&gt;=$R36),$U36,$T36)))=Milestones!$AB$31),TEXT(EDATE($D36,Milestones!$AA$31),"dd/mm/yy")&amp;" "&amp;Milestones!$AB$31&amp;" "&amp;Milestones!$AC$31&amp;";  ","")&amp;IF(AND(EDATE($D36,Milestones!$AA$32)&lt;=AsOfDate,IF($Q36=0,$W36,IF(AND($S36&lt;&gt;"",EDATE($D36,Milestones!$AA$32)&gt;=$S36),$V36,IF(AND($R36&lt;&gt;"",EDATE($D36,Milestones!$AA$32)&gt;=$R36),$U36,$T36)))=Milestones!$AB$32),TEXT(EDATE($D36,Milestones!$AA$32),"dd/mm/yy")&amp;" "&amp;Milestones!$AB$32&amp;" "&amp;Milestones!$AC$32&amp;";  ","")&amp;IF(AND(EDATE($D36,Milestones!$AA$33)&lt;=AsOfDate,IF($Q36=0,$W36,IF(AND($S36&lt;&gt;"",EDATE($D36,Milestones!$AA$33)&gt;=$S36),$V36,IF(AND($R36&lt;&gt;"",EDATE($D36,Milestones!$AA$33)&gt;=$R36),$U36,$T36)))=Milestones!$AB$33),TEXT(EDATE($D36,Milestones!$AA$33),"dd/mm/yy")&amp;" "&amp;Milestones!$AB$33&amp;" "&amp;Milestones!$AC$33&amp;";  ","")&amp;IF(AND(EDATE($D36,Milestones!$AA$34)&lt;=AsOfDate,IF($Q36=0,$W36,IF(AND($S36&lt;&gt;"",EDATE($D36,Milestones!$AA$34)&gt;=$S36),$V36,IF(AND($R36&lt;&gt;"",EDATE($D36,Milestones!$AA$34)&gt;=$R36),$U36,$T36)))=Milestones!$AB$34),TEXT(EDATE($D36,Milestones!$AA$34),"dd/mm/yy")&amp;" "&amp;Milestones!$AB$34&amp;" "&amp;Milestones!$AC$34&amp;";  ","")&amp;IF(AND(EDATE($D36,Milestones!$AA$35)&lt;=AsOfDate,IF($Q36=0,$W36,IF(AND($S36&lt;&gt;"",EDATE($D36,Milestones!$AA$35)&gt;=$S36),$V36,IF(AND($R36&lt;&gt;"",EDATE($D36,Milestones!$AA$35)&gt;=$R36),$U36,$T36)))=Milestones!$AB$35),TEXT(EDATE($D36,Milestones!$AA$35),"dd/mm/yy")&amp;" "&amp;Milestones!$AB$35&amp;" "&amp;Milestones!$AC$35&amp;";  ","")&amp;IF(AND(EDATE($D36,Milestones!$AA$36)&lt;=AsOfDate,IF($Q36=0,$W36,IF(AND($S36&lt;&gt;"",EDATE($D36,Milestones!$AA$36)&gt;=$S36),$V36,IF(AND($R36&lt;&gt;"",EDATE($D36,Milestones!$AA$36)&gt;=$R36),$U36,$T36)))=Milestones!$AB$36),TEXT(EDATE($D36,Milestones!$AA$36),"dd/mm/yy")&amp;" "&amp;Milestones!$AB$36&amp;" "&amp;Milestones!$AC$36&amp;";  ","")&amp;IF(AND(EDATE($D36,Milestones!$AA$37)&lt;=AsOfDate,IF($Q36=0,$W36,IF(AND($S36&lt;&gt;"",EDATE($D36,Milestones!$AA$37)&gt;=$S36),$V36,IF(AND($R36&lt;&gt;"",EDATE($D36,Milestones!$AA$37)&gt;=$R36),$U36,$T36)))=Milestones!$AB$37),TEXT(EDATE($D36,Milestones!$AA$37),"dd/mm/yy")&amp;" "&amp;Milestones!$AB$37&amp;" "&amp;Milestones!$AC$37&amp;";  ","")&amp;IF(AND(EDATE($D36,Milestones!$AA$38)&lt;=AsOfDate,IF($Q36=0,$W36,IF(AND($S36&lt;&gt;"",EDATE($D36,Milestones!$AA$38)&gt;=$S36),$V36,IF(AND($R36&lt;&gt;"",EDATE($D36,Milestones!$AA$38)&gt;=$R36),$U36,$T36)))=Milestones!$AB$38),TEXT(EDATE($D36,Milestones!$AA$38),"dd/mm/yy")&amp;" "&amp;Milestones!$AB$38&amp;" "&amp;Milestones!$AC$38&amp;";  ","")&amp;IF(AND(EDATE($D36,Milestones!$AA$39)&lt;=AsOfDate,IF($Q36=0,$W36,IF(AND($S36&lt;&gt;"",EDATE($D36,Milestones!$AA$39)&gt;=$S36),$V36,IF(AND($R36&lt;&gt;"",EDATE($D36,Milestones!$AA$39)&gt;=$R36),$U36,$T36)))=Milestones!$AB$39),TEXT(EDATE($D36,Milestones!$AA$39),"dd/mm/yy")&amp;" "&amp;Milestones!$AB$39&amp;" "&amp;Milestones!$AC$39&amp;";  ",""))</f>
        <v/>
      </c>
      <c r="I36" s="0" t="str">
        <f aca="false">IF(OR($A36="",$D36=""),"",IF(AND(EDATE($D36,Milestones!$AA$40)&lt;=AsOfDate,IF($Q36=0,$W36,IF(AND($S36&lt;&gt;"",EDATE($D36,Milestones!$AA$40)&gt;=$S36),$V36,IF(AND($R36&lt;&gt;"",EDATE($D36,Milestones!$AA$40)&gt;=$R36),$U36,$T36)))=Milestones!$AB$40),TEXT(EDATE($D36,Milestones!$AA$40),"dd/mm/yy")&amp;" "&amp;Milestones!$AB$40&amp;" "&amp;Milestones!$AC$40&amp;";  ","")&amp;IF(AND(EDATE($D36,Milestones!$AA$41)&lt;=AsOfDate,IF($Q36=0,$W36,IF(AND($S36&lt;&gt;"",EDATE($D36,Milestones!$AA$41)&gt;=$S36),$V36,IF(AND($R36&lt;&gt;"",EDATE($D36,Milestones!$AA$41)&gt;=$R36),$U36,$T36)))=Milestones!$AB$41),TEXT(EDATE($D36,Milestones!$AA$41),"dd/mm/yy")&amp;" "&amp;Milestones!$AB$41&amp;" "&amp;Milestones!$AC$41&amp;";  ","")&amp;IF(AND(EDATE($D36,Milestones!$AA$42)&lt;=AsOfDate,IF($Q36=0,$W36,IF(AND($S36&lt;&gt;"",EDATE($D36,Milestones!$AA$42)&gt;=$S36),$V36,IF(AND($R36&lt;&gt;"",EDATE($D36,Milestones!$AA$42)&gt;=$R36),$U36,$T36)))=Milestones!$AB$42),TEXT(EDATE($D36,Milestones!$AA$42),"dd/mm/yy")&amp;" "&amp;Milestones!$AB$42&amp;" "&amp;Milestones!$AC$42&amp;";  ","")&amp;IF(AND(EDATE($D36,Milestones!$AA$43)&lt;=AsOfDate,IF($Q36=0,$W36,IF(AND($S36&lt;&gt;"",EDATE($D36,Milestones!$AA$43)&gt;=$S36),$V36,IF(AND($R36&lt;&gt;"",EDATE($D36,Milestones!$AA$43)&gt;=$R36),$U36,$T36)))=Milestones!$AB$43),TEXT(EDATE($D36,Milestones!$AA$43),"dd/mm/yy")&amp;" "&amp;Milestones!$AB$43&amp;" "&amp;Milestones!$AC$43&amp;";  ","")&amp;IF(AND(EDATE($D36,Milestones!$AA$44)&lt;=AsOfDate,IF($Q36=0,$W36,IF(AND($S36&lt;&gt;"",EDATE($D36,Milestones!$AA$44)&gt;=$S36),$V36,IF(AND($R36&lt;&gt;"",EDATE($D36,Milestones!$AA$44)&gt;=$R36),$U36,$T36)))=Milestones!$AB$44),TEXT(EDATE($D36,Milestones!$AA$44),"dd/mm/yy")&amp;" "&amp;Milestones!$AB$44&amp;" "&amp;Milestones!$AC$44&amp;";  ","")&amp;IF(AND(EDATE($D36,Milestones!$AA$45)&lt;=AsOfDate,IF($Q36=0,$W36,IF(AND($S36&lt;&gt;"",EDATE($D36,Milestones!$AA$45)&gt;=$S36),$V36,IF(AND($R36&lt;&gt;"",EDATE($D36,Milestones!$AA$45)&gt;=$R36),$U36,$T36)))=Milestones!$AB$45),TEXT(EDATE($D36,Milestones!$AA$45),"dd/mm/yy")&amp;" "&amp;Milestones!$AB$45&amp;" "&amp;Milestones!$AC$45&amp;";  ","")&amp;IF(AND(EDATE($D36,Milestones!$AA$46)&lt;=AsOfDate,IF($Q36=0,$W36,IF(AND($S36&lt;&gt;"",EDATE($D36,Milestones!$AA$46)&gt;=$S36),$V36,IF(AND($R36&lt;&gt;"",EDATE($D36,Milestones!$AA$46)&gt;=$R36),$U36,$T36)))=Milestones!$AB$46),TEXT(EDATE($D36,Milestones!$AA$46),"dd/mm/yy")&amp;" "&amp;Milestones!$AB$46&amp;" "&amp;Milestones!$AC$46&amp;";  ","")&amp;IF(AND(EDATE($D36,Milestones!$AA$47)&lt;=AsOfDate,IF($Q36=0,$W36,IF(AND($S36&lt;&gt;"",EDATE($D36,Milestones!$AA$47)&gt;=$S36),$V36,IF(AND($R36&lt;&gt;"",EDATE($D36,Milestones!$AA$47)&gt;=$R36),$U36,$T36)))=Milestones!$AB$47),TEXT(EDATE($D36,Milestones!$AA$47),"dd/mm/yy")&amp;" "&amp;Milestones!$AB$47&amp;" "&amp;Milestones!$AC$47&amp;";  ","")&amp;IF(AND(EDATE($D36,Milestones!$AA$48)&lt;=AsOfDate,IF($Q36=0,$W36,IF(AND($S36&lt;&gt;"",EDATE($D36,Milestones!$AA$48)&gt;=$S36),$V36,IF(AND($R36&lt;&gt;"",EDATE($D36,Milestones!$AA$48)&gt;=$R36),$U36,$T36)))=Milestones!$AB$48),TEXT(EDATE($D36,Milestones!$AA$48),"dd/mm/yy")&amp;" "&amp;Milestones!$AB$48&amp;" "&amp;Milestones!$AC$48&amp;";  ","")&amp;IF(AND(EDATE($D36,Milestones!$AA$49)&lt;=AsOfDate,IF($Q36=0,$W36,IF(AND($S36&lt;&gt;"",EDATE($D36,Milestones!$AA$49)&gt;=$S36),$V36,IF(AND($R36&lt;&gt;"",EDATE($D36,Milestones!$AA$49)&gt;=$R36),$U36,$T36)))=Milestones!$AB$49),TEXT(EDATE($D36,Milestones!$AA$49),"dd/mm/yy")&amp;" "&amp;Milestones!$AB$49&amp;" "&amp;Milestones!$AC$49&amp;";  ","")&amp;IF(AND(EDATE($D36,Milestones!$AA$50)&lt;=AsOfDate,IF($Q36=0,$W36,IF(AND($S36&lt;&gt;"",EDATE($D36,Milestones!$AA$50)&gt;=$S36),$V36,IF(AND($R36&lt;&gt;"",EDATE($D36,Milestones!$AA$50)&gt;=$R36),$U36,$T36)))=Milestones!$AB$50),TEXT(EDATE($D36,Milestones!$AA$50),"dd/mm/yy")&amp;" "&amp;Milestones!$AB$50&amp;" "&amp;Milestones!$AC$50&amp;";  ","")&amp;IF(AND(EDATE($D36,Milestones!$AA$51)&lt;=AsOfDate,IF($Q36=0,$W36,IF(AND($S36&lt;&gt;"",EDATE($D36,Milestones!$AA$51)&gt;=$S36),$V36,IF(AND($R36&lt;&gt;"",EDATE($D36,Milestones!$AA$51)&gt;=$R36),$U36,$T36)))=Milestones!$AB$51),TEXT(EDATE($D36,Milestones!$AA$51),"dd/mm/yy")&amp;" "&amp;Milestones!$AB$51&amp;" "&amp;Milestones!$AC$51&amp;";  ","")&amp;IF(AND(EDATE($D36,Milestones!$AA$52)&lt;=AsOfDate,IF($Q36=0,$W36,IF(AND($S36&lt;&gt;"",EDATE($D36,Milestones!$AA$52)&gt;=$S36),$V36,IF(AND($R36&lt;&gt;"",EDATE($D36,Milestones!$AA$52)&gt;=$R36),$U36,$T36)))=Milestones!$AB$52),TEXT(EDATE($D36,Milestones!$AA$52),"dd/mm/yy")&amp;" "&amp;Milestones!$AB$52&amp;" "&amp;Milestones!$AC$52&amp;";  ","")&amp;IF(AND(EDATE($D36,Milestones!$AA$53)&lt;=AsOfDate,IF($Q36=0,$W36,IF(AND($S36&lt;&gt;"",EDATE($D36,Milestones!$AA$53)&gt;=$S36),$V36,IF(AND($R36&lt;&gt;"",EDATE($D36,Milestones!$AA$53)&gt;=$R36),$U36,$T36)))=Milestones!$AB$53),TEXT(EDATE($D36,Milestones!$AA$53),"dd/mm/yy")&amp;" "&amp;Milestones!$AB$53&amp;" "&amp;Milestones!$AC$53&amp;";  ","")&amp;IF(AND(EDATE($D36,Milestones!$AA$54)&lt;=AsOfDate,IF($Q36=0,$W36,IF(AND($S36&lt;&gt;"",EDATE($D36,Milestones!$AA$54)&gt;=$S36),$V36,IF(AND($R36&lt;&gt;"",EDATE($D36,Milestones!$AA$54)&gt;=$R36),$U36,$T36)))=Milestones!$AB$54),TEXT(EDATE($D36,Milestones!$AA$54),"dd/mm/yy")&amp;" "&amp;Milestones!$AB$54&amp;" "&amp;Milestones!$AC$54&amp;";  ","")&amp;IF(AND(EDATE($D36,Milestones!$AA$55)&lt;=AsOfDate,IF($Q36=0,$W36,IF(AND($S36&lt;&gt;"",EDATE($D36,Milestones!$AA$55)&gt;=$S36),$V36,IF(AND($R36&lt;&gt;"",EDATE($D36,Milestones!$AA$55)&gt;=$R36),$U36,$T36)))=Milestones!$AB$55),TEXT(EDATE($D36,Milestones!$AA$55),"dd/mm/yy")&amp;" "&amp;Milestones!$AB$55&amp;" "&amp;Milestones!$AC$55&amp;";  ","")&amp;IF(AND(EDATE($D36,Milestones!$AA$56)&lt;=AsOfDate,IF($Q36=0,$W36,IF(AND($S36&lt;&gt;"",EDATE($D36,Milestones!$AA$56)&gt;=$S36),$V36,IF(AND($R36&lt;&gt;"",EDATE($D36,Milestones!$AA$56)&gt;=$R36),$U36,$T36)))=Milestones!$AB$56),TEXT(EDATE($D36,Milestones!$AA$56),"dd/mm/yy")&amp;" "&amp;Milestones!$AB$56&amp;" "&amp;Milestones!$AC$56&amp;";  ","")&amp;IF(AND(EDATE($D36,Milestones!$AA$57)&lt;=AsOfDate,IF($Q36=0,$W36,IF(AND($S36&lt;&gt;"",EDATE($D36,Milestones!$AA$57)&gt;=$S36),$V36,IF(AND($R36&lt;&gt;"",EDATE($D36,Milestones!$AA$57)&gt;=$R36),$U36,$T36)))=Milestones!$AB$57),TEXT(EDATE($D36,Milestones!$AA$57),"dd/mm/yy")&amp;" "&amp;Milestones!$AB$57&amp;" "&amp;Milestones!$AC$57&amp;";  ","")&amp;IF(AND(EDATE($D36,Milestones!$AA$58)&lt;=AsOfDate,IF($Q36=0,$W36,IF(AND($S36&lt;&gt;"",EDATE($D36,Milestones!$AA$58)&gt;=$S36),$V36,IF(AND($R36&lt;&gt;"",EDATE($D36,Milestones!$AA$58)&gt;=$R36),$U36,$T36)))=Milestones!$AB$58),TEXT(EDATE($D36,Milestones!$AA$58),"dd/mm/yy")&amp;" "&amp;Milestones!$AB$58&amp;" "&amp;Milestones!$AC$58&amp;";  ","")&amp;IF(AND(EDATE($D36,Milestones!$AA$59)&lt;=AsOfDate,IF($Q36=0,$W36,IF(AND($S36&lt;&gt;"",EDATE($D36,Milestones!$AA$59)&gt;=$S36),$V36,IF(AND($R36&lt;&gt;"",EDATE($D36,Milestones!$AA$59)&gt;=$R36),$U36,$T36)))=Milestones!$AB$59),TEXT(EDATE($D36,Milestones!$AA$59),"dd/mm/yy")&amp;" "&amp;Milestones!$AB$59&amp;" "&amp;Milestones!$AC$59&amp;";  ",""))</f>
        <v/>
      </c>
      <c r="J36" s="0" t="str">
        <f aca="false">IF(OR($A36="",$D36=""),"",IF(AND(EDATE($D36,Milestones!$AA$60)&lt;=AsOfDate,IF($Q36=0,$W36,IF(AND($S36&lt;&gt;"",EDATE($D36,Milestones!$AA$60)&gt;=$S36),$V36,IF(AND($R36&lt;&gt;"",EDATE($D36,Milestones!$AA$60)&gt;=$R36),$U36,$T36)))=Milestones!$AB$60),TEXT(EDATE($D36,Milestones!$AA$60),"dd/mm/yy")&amp;" "&amp;Milestones!$AB$60&amp;" "&amp;Milestones!$AC$60&amp;";  ","")&amp;IF(AND(EDATE($D36,Milestones!$AA$61)&lt;=AsOfDate,IF($Q36=0,$W36,IF(AND($S36&lt;&gt;"",EDATE($D36,Milestones!$AA$61)&gt;=$S36),$V36,IF(AND($R36&lt;&gt;"",EDATE($D36,Milestones!$AA$61)&gt;=$R36),$U36,$T36)))=Milestones!$AB$61),TEXT(EDATE($D36,Milestones!$AA$61),"dd/mm/yy")&amp;" "&amp;Milestones!$AB$61&amp;" "&amp;Milestones!$AC$61&amp;";  ","")&amp;IF(AND(EDATE($D36,Milestones!$AA$62)&lt;=AsOfDate,IF($Q36=0,$W36,IF(AND($S36&lt;&gt;"",EDATE($D36,Milestones!$AA$62)&gt;=$S36),$V36,IF(AND($R36&lt;&gt;"",EDATE($D36,Milestones!$AA$62)&gt;=$R36),$U36,$T36)))=Milestones!$AB$62),TEXT(EDATE($D36,Milestones!$AA$62),"dd/mm/yy")&amp;" "&amp;Milestones!$AB$62&amp;" "&amp;Milestones!$AC$62&amp;";  ","")&amp;IF(AND(EDATE($D36,Milestones!$AA$63)&lt;=AsOfDate,IF($Q36=0,$W36,IF(AND($S36&lt;&gt;"",EDATE($D36,Milestones!$AA$63)&gt;=$S36),$V36,IF(AND($R36&lt;&gt;"",EDATE($D36,Milestones!$AA$63)&gt;=$R36),$U36,$T36)))=Milestones!$AB$63),TEXT(EDATE($D36,Milestones!$AA$63),"dd/mm/yy")&amp;" "&amp;Milestones!$AB$63&amp;" "&amp;Milestones!$AC$63&amp;";  ","")&amp;IF(AND(EDATE($D36,Milestones!$AA$64)&lt;=AsOfDate,IF($Q36=0,$W36,IF(AND($S36&lt;&gt;"",EDATE($D36,Milestones!$AA$64)&gt;=$S36),$V36,IF(AND($R36&lt;&gt;"",EDATE($D36,Milestones!$AA$64)&gt;=$R36),$U36,$T36)))=Milestones!$AB$64),TEXT(EDATE($D36,Milestones!$AA$64),"dd/mm/yy")&amp;" "&amp;Milestones!$AB$64&amp;" "&amp;Milestones!$AC$64&amp;";  ","")&amp;IF(AND(EDATE($D36,Milestones!$AA$65)&lt;=AsOfDate,IF($Q36=0,$W36,IF(AND($S36&lt;&gt;"",EDATE($D36,Milestones!$AA$65)&gt;=$S36),$V36,IF(AND($R36&lt;&gt;"",EDATE($D36,Milestones!$AA$65)&gt;=$R36),$U36,$T36)))=Milestones!$AB$65),TEXT(EDATE($D36,Milestones!$AA$65),"dd/mm/yy")&amp;" "&amp;Milestones!$AB$65&amp;" "&amp;Milestones!$AC$65&amp;";  ","")&amp;IF(AND(EDATE($D36,Milestones!$AA$66)&lt;=AsOfDate,IF($Q36=0,$W36,IF(AND($S36&lt;&gt;"",EDATE($D36,Milestones!$AA$66)&gt;=$S36),$V36,IF(AND($R36&lt;&gt;"",EDATE($D36,Milestones!$AA$66)&gt;=$R36),$U36,$T36)))=Milestones!$AB$66),TEXT(EDATE($D36,Milestones!$AA$66),"dd/mm/yy")&amp;" "&amp;Milestones!$AB$66&amp;" "&amp;Milestones!$AC$66&amp;";  ","")&amp;IF(AND(EDATE($D36,Milestones!$AA$67)&lt;=AsOfDate,IF($Q36=0,$W36,IF(AND($S36&lt;&gt;"",EDATE($D36,Milestones!$AA$67)&gt;=$S36),$V36,IF(AND($R36&lt;&gt;"",EDATE($D36,Milestones!$AA$67)&gt;=$R36),$U36,$T36)))=Milestones!$AB$67),TEXT(EDATE($D36,Milestones!$AA$67),"dd/mm/yy")&amp;" "&amp;Milestones!$AB$67&amp;" "&amp;Milestones!$AC$67&amp;";  ","")&amp;IF(AND(EDATE($D36,Milestones!$AA$68)&lt;=AsOfDate,IF($Q36=0,$W36,IF(AND($S36&lt;&gt;"",EDATE($D36,Milestones!$AA$68)&gt;=$S36),$V36,IF(AND($R36&lt;&gt;"",EDATE($D36,Milestones!$AA$68)&gt;=$R36),$U36,$T36)))=Milestones!$AB$68),TEXT(EDATE($D36,Milestones!$AA$68),"dd/mm/yy")&amp;" "&amp;Milestones!$AB$68&amp;" "&amp;Milestones!$AC$68&amp;";  ","")&amp;IF(AND(EDATE($D36,Milestones!$AA$69)&lt;=AsOfDate,IF($Q36=0,$W36,IF(AND($S36&lt;&gt;"",EDATE($D36,Milestones!$AA$69)&gt;=$S36),$V36,IF(AND($R36&lt;&gt;"",EDATE($D36,Milestones!$AA$69)&gt;=$R36),$U36,$T36)))=Milestones!$AB$69),TEXT(EDATE($D36,Milestones!$AA$69),"dd/mm/yy")&amp;" "&amp;Milestones!$AB$69&amp;" "&amp;Milestones!$AC$69&amp;";  ","")&amp;IF(AND(EDATE($D36,Milestones!$AA$70)&lt;=AsOfDate,IF($Q36=0,$W36,IF(AND($S36&lt;&gt;"",EDATE($D36,Milestones!$AA$70)&gt;=$S36),$V36,IF(AND($R36&lt;&gt;"",EDATE($D36,Milestones!$AA$70)&gt;=$R36),$U36,$T36)))=Milestones!$AB$70),TEXT(EDATE($D36,Milestones!$AA$70),"dd/mm/yy")&amp;" "&amp;Milestones!$AB$70&amp;" "&amp;Milestones!$AC$70&amp;";  ","")&amp;IF(AND(EDATE($D36,Milestones!$AA$71)&lt;=AsOfDate,IF($Q36=0,$W36,IF(AND($S36&lt;&gt;"",EDATE($D36,Milestones!$AA$71)&gt;=$S36),$V36,IF(AND($R36&lt;&gt;"",EDATE($D36,Milestones!$AA$71)&gt;=$R36),$U36,$T36)))=Milestones!$AB$71),TEXT(EDATE($D36,Milestones!$AA$71),"dd/mm/yy")&amp;" "&amp;Milestones!$AB$71&amp;" "&amp;Milestones!$AC$71&amp;";  ","")&amp;IF(AND(EDATE($D36,Milestones!$AA$72)&lt;=AsOfDate,IF($Q36=0,$W36,IF(AND($S36&lt;&gt;"",EDATE($D36,Milestones!$AA$72)&gt;=$S36),$V36,IF(AND($R36&lt;&gt;"",EDATE($D36,Milestones!$AA$72)&gt;=$R36),$U36,$T36)))=Milestones!$AB$72),TEXT(EDATE($D36,Milestones!$AA$72),"dd/mm/yy")&amp;" "&amp;Milestones!$AB$72&amp;" "&amp;Milestones!$AC$72&amp;";  ","")&amp;IF(AND(EDATE($D36,Milestones!$AA$73)&lt;=AsOfDate,IF($Q36=0,$W36,IF(AND($S36&lt;&gt;"",EDATE($D36,Milestones!$AA$73)&gt;=$S36),$V36,IF(AND($R36&lt;&gt;"",EDATE($D36,Milestones!$AA$73)&gt;=$R36),$U36,$T36)))=Milestones!$AB$73),TEXT(EDATE($D36,Milestones!$AA$73),"dd/mm/yy")&amp;" "&amp;Milestones!$AB$73&amp;" "&amp;Milestones!$AC$73&amp;";  ","")&amp;IF(AND(EDATE($D36,Milestones!$AA$74)&lt;=AsOfDate,IF($Q36=0,$W36,IF(AND($S36&lt;&gt;"",EDATE($D36,Milestones!$AA$74)&gt;=$S36),$V36,IF(AND($R36&lt;&gt;"",EDATE($D36,Milestones!$AA$74)&gt;=$R36),$U36,$T36)))=Milestones!$AB$74),TEXT(EDATE($D36,Milestones!$AA$74),"dd/mm/yy")&amp;" "&amp;Milestones!$AB$74&amp;" "&amp;Milestones!$AC$74&amp;";  ","")&amp;IF(AND(EDATE($D36,Milestones!$AA$75)&lt;=AsOfDate,IF($Q36=0,$W36,IF(AND($S36&lt;&gt;"",EDATE($D36,Milestones!$AA$75)&gt;=$S36),$V36,IF(AND($R36&lt;&gt;"",EDATE($D36,Milestones!$AA$75)&gt;=$R36),$U36,$T36)))=Milestones!$AB$75),TEXT(EDATE($D36,Milestones!$AA$75),"dd/mm/yy")&amp;" "&amp;Milestones!$AB$75&amp;" "&amp;Milestones!$AC$75&amp;";  ","")&amp;IF(AND(EDATE($D36,Milestones!$AA$76)&lt;=AsOfDate,IF($Q36=0,$W36,IF(AND($S36&lt;&gt;"",EDATE($D36,Milestones!$AA$76)&gt;=$S36),$V36,IF(AND($R36&lt;&gt;"",EDATE($D36,Milestones!$AA$76)&gt;=$R36),$U36,$T36)))=Milestones!$AB$76),TEXT(EDATE($D36,Milestones!$AA$76),"dd/mm/yy")&amp;" "&amp;Milestones!$AB$76&amp;" "&amp;Milestones!$AC$76&amp;";  ","")&amp;IF(AND(EDATE($D36,Milestones!$AA$77)&lt;=AsOfDate,IF($Q36=0,$W36,IF(AND($S36&lt;&gt;"",EDATE($D36,Milestones!$AA$77)&gt;=$S36),$V36,IF(AND($R36&lt;&gt;"",EDATE($D36,Milestones!$AA$77)&gt;=$R36),$U36,$T36)))=Milestones!$AB$77),TEXT(EDATE($D36,Milestones!$AA$77),"dd/mm/yy")&amp;" "&amp;Milestones!$AB$77&amp;" "&amp;Milestones!$AC$77&amp;";  ","")&amp;IF(AND(EDATE($D36,Milestones!$AA$78)&lt;=AsOfDate,IF($Q36=0,$W36,IF(AND($S36&lt;&gt;"",EDATE($D36,Milestones!$AA$78)&gt;=$S36),$V36,IF(AND($R36&lt;&gt;"",EDATE($D36,Milestones!$AA$78)&gt;=$R36),$U36,$T36)))=Milestones!$AB$78),TEXT(EDATE($D36,Milestones!$AA$78),"dd/mm/yy")&amp;" "&amp;Milestones!$AB$78&amp;" "&amp;Milestones!$AC$78&amp;";  ","")&amp;IF(AND(EDATE($D36,Milestones!$AA$79)&lt;=AsOfDate,IF($Q36=0,$W36,IF(AND($S36&lt;&gt;"",EDATE($D36,Milestones!$AA$79)&gt;=$S36),$V36,IF(AND($R36&lt;&gt;"",EDATE($D36,Milestones!$AA$79)&gt;=$R36),$U36,$T36)))=Milestones!$AB$79),TEXT(EDATE($D36,Milestones!$AA$79),"dd/mm/yy")&amp;" "&amp;Milestones!$AB$79&amp;" "&amp;Milestones!$AC$79&amp;";  ",""))</f>
        <v/>
      </c>
      <c r="K36" s="0" t="str">
        <f aca="false">IF(OR($A36="",$D36=""),"",IF(AND(EDATE($D36,Milestones!$AA$80)&lt;=AsOfDate,IF($Q36=0,$W36,IF(AND($S36&lt;&gt;"",EDATE($D36,Milestones!$AA$80)&gt;=$S36),$V36,IF(AND($R36&lt;&gt;"",EDATE($D36,Milestones!$AA$80)&gt;=$R36),$U36,$T36)))=Milestones!$AB$80),TEXT(EDATE($D36,Milestones!$AA$80),"dd/mm/yy")&amp;" "&amp;Milestones!$AB$80&amp;" "&amp;Milestones!$AC$80&amp;";  ","")&amp;IF(AND(EDATE($D36,Milestones!$AA$81)&lt;=AsOfDate,IF($Q36=0,$W36,IF(AND($S36&lt;&gt;"",EDATE($D36,Milestones!$AA$81)&gt;=$S36),$V36,IF(AND($R36&lt;&gt;"",EDATE($D36,Milestones!$AA$81)&gt;=$R36),$U36,$T36)))=Milestones!$AB$81),TEXT(EDATE($D36,Milestones!$AA$81),"dd/mm/yy")&amp;" "&amp;Milestones!$AB$81&amp;" "&amp;Milestones!$AC$81&amp;";  ","")&amp;IF(AND(EDATE($D36,Milestones!$AA$82)&lt;=AsOfDate,IF($Q36=0,$W36,IF(AND($S36&lt;&gt;"",EDATE($D36,Milestones!$AA$82)&gt;=$S36),$V36,IF(AND($R36&lt;&gt;"",EDATE($D36,Milestones!$AA$82)&gt;=$R36),$U36,$T36)))=Milestones!$AB$82),TEXT(EDATE($D36,Milestones!$AA$82),"dd/mm/yy")&amp;" "&amp;Milestones!$AB$82&amp;" "&amp;Milestones!$AC$82&amp;";  ","")&amp;IF(AND(EDATE($D36,Milestones!$AA$83)&lt;=AsOfDate,IF($Q36=0,$W36,IF(AND($S36&lt;&gt;"",EDATE($D36,Milestones!$AA$83)&gt;=$S36),$V36,IF(AND($R36&lt;&gt;"",EDATE($D36,Milestones!$AA$83)&gt;=$R36),$U36,$T36)))=Milestones!$AB$83),TEXT(EDATE($D36,Milestones!$AA$83),"dd/mm/yy")&amp;" "&amp;Milestones!$AB$83&amp;" "&amp;Milestones!$AC$83&amp;";  ","")&amp;IF(AND(EDATE($D36,Milestones!$AA$84)&lt;=AsOfDate,IF($Q36=0,$W36,IF(AND($S36&lt;&gt;"",EDATE($D36,Milestones!$AA$84)&gt;=$S36),$V36,IF(AND($R36&lt;&gt;"",EDATE($D36,Milestones!$AA$84)&gt;=$R36),$U36,$T36)))=Milestones!$AB$84),TEXT(EDATE($D36,Milestones!$AA$84),"dd/mm/yy")&amp;" "&amp;Milestones!$AB$84&amp;" "&amp;Milestones!$AC$84&amp;";  ","")&amp;IF(AND(EDATE($D36,Milestones!$AA$85)&lt;=AsOfDate,IF($Q36=0,$W36,IF(AND($S36&lt;&gt;"",EDATE($D36,Milestones!$AA$85)&gt;=$S36),$V36,IF(AND($R36&lt;&gt;"",EDATE($D36,Milestones!$AA$85)&gt;=$R36),$U36,$T36)))=Milestones!$AB$85),TEXT(EDATE($D36,Milestones!$AA$85),"dd/mm/yy")&amp;" "&amp;Milestones!$AB$85&amp;" "&amp;Milestones!$AC$85&amp;";  ","")&amp;IF(AND(EDATE($D36,Milestones!$AA$86)&lt;=AsOfDate,IF($Q36=0,$W36,IF(AND($S36&lt;&gt;"",EDATE($D36,Milestones!$AA$86)&gt;=$S36),$V36,IF(AND($R36&lt;&gt;"",EDATE($D36,Milestones!$AA$86)&gt;=$R36),$U36,$T36)))=Milestones!$AB$86),TEXT(EDATE($D36,Milestones!$AA$86),"dd/mm/yy")&amp;" "&amp;Milestones!$AB$86&amp;" "&amp;Milestones!$AC$86&amp;";  ","")&amp;IF(AND(EDATE($D36,Milestones!$AA$87)&lt;=AsOfDate,IF($Q36=0,$W36,IF(AND($S36&lt;&gt;"",EDATE($D36,Milestones!$AA$87)&gt;=$S36),$V36,IF(AND($R36&lt;&gt;"",EDATE($D36,Milestones!$AA$87)&gt;=$R36),$U36,$T36)))=Milestones!$AB$87),TEXT(EDATE($D36,Milestones!$AA$87),"dd/mm/yy")&amp;" "&amp;Milestones!$AB$87&amp;" "&amp;Milestones!$AC$87&amp;";  ","")&amp;IF(AND(EDATE($D36,Milestones!$AA$88)&lt;=AsOfDate,IF($Q36=0,$W36,IF(AND($S36&lt;&gt;"",EDATE($D36,Milestones!$AA$88)&gt;=$S36),$V36,IF(AND($R36&lt;&gt;"",EDATE($D36,Milestones!$AA$88)&gt;=$R36),$U36,$T36)))=Milestones!$AB$88),TEXT(EDATE($D36,Milestones!$AA$88),"dd/mm/yy")&amp;" "&amp;Milestones!$AB$88&amp;" "&amp;Milestones!$AC$88&amp;";  ","")&amp;IF(AND(EDATE($D36,Milestones!$AA$89)&lt;=AsOfDate,IF($Q36=0,$W36,IF(AND($S36&lt;&gt;"",EDATE($D36,Milestones!$AA$89)&gt;=$S36),$V36,IF(AND($R36&lt;&gt;"",EDATE($D36,Milestones!$AA$89)&gt;=$R36),$U36,$T36)))=Milestones!$AB$89),TEXT(EDATE($D36,Milestones!$AA$89),"dd/mm/yy")&amp;" "&amp;Milestones!$AB$89&amp;" "&amp;Milestones!$AC$89&amp;";  ","")&amp;IF(AND(EDATE($D36,Milestones!$AA$90)&lt;=AsOfDate,IF($Q36=0,$W36,IF(AND($S36&lt;&gt;"",EDATE($D36,Milestones!$AA$90)&gt;=$S36),$V36,IF(AND($R36&lt;&gt;"",EDATE($D36,Milestones!$AA$90)&gt;=$R36),$U36,$T36)))=Milestones!$AB$90),TEXT(EDATE($D36,Milestones!$AA$90),"dd/mm/yy")&amp;" "&amp;Milestones!$AB$90&amp;" "&amp;Milestones!$AC$90&amp;";  ","")&amp;IF(AND(EDATE($D36,Milestones!$AA$91)&lt;=AsOfDate,IF($Q36=0,$W36,IF(AND($S36&lt;&gt;"",EDATE($D36,Milestones!$AA$91)&gt;=$S36),$V36,IF(AND($R36&lt;&gt;"",EDATE($D36,Milestones!$AA$91)&gt;=$R36),$U36,$T36)))=Milestones!$AB$91),TEXT(EDATE($D36,Milestones!$AA$91),"dd/mm/yy")&amp;" "&amp;Milestones!$AB$91&amp;" "&amp;Milestones!$AC$91&amp;";  ","")&amp;IF(AND(EDATE($D36,Milestones!$AA$92)&lt;=AsOfDate,IF($Q36=0,$W36,IF(AND($S36&lt;&gt;"",EDATE($D36,Milestones!$AA$92)&gt;=$S36),$V36,IF(AND($R36&lt;&gt;"",EDATE($D36,Milestones!$AA$92)&gt;=$R36),$U36,$T36)))=Milestones!$AB$92),TEXT(EDATE($D36,Milestones!$AA$92),"dd/mm/yy")&amp;" "&amp;Milestones!$AB$92&amp;" "&amp;Milestones!$AC$92&amp;";  ","")&amp;IF(AND(EDATE($D36,Milestones!$AA$93)&lt;=AsOfDate,IF($Q36=0,$W36,IF(AND($S36&lt;&gt;"",EDATE($D36,Milestones!$AA$93)&gt;=$S36),$V36,IF(AND($R36&lt;&gt;"",EDATE($D36,Milestones!$AA$93)&gt;=$R36),$U36,$T36)))=Milestones!$AB$93),TEXT(EDATE($D36,Milestones!$AA$93),"dd/mm/yy")&amp;" "&amp;Milestones!$AB$93&amp;" "&amp;Milestones!$AC$93&amp;";  ","")&amp;IF(AND(EDATE($D36,Milestones!$AA$94)&lt;=AsOfDate,IF($Q36=0,$W36,IF(AND($S36&lt;&gt;"",EDATE($D36,Milestones!$AA$94)&gt;=$S36),$V36,IF(AND($R36&lt;&gt;"",EDATE($D36,Milestones!$AA$94)&gt;=$R36),$U36,$T36)))=Milestones!$AB$94),TEXT(EDATE($D36,Milestones!$AA$94),"dd/mm/yy")&amp;" "&amp;Milestones!$AB$94&amp;" "&amp;Milestones!$AC$94&amp;";  ","")&amp;IF(AND(EDATE($D36,Milestones!$AA$95)&lt;=AsOfDate,IF($Q36=0,$W36,IF(AND($S36&lt;&gt;"",EDATE($D36,Milestones!$AA$95)&gt;=$S36),$V36,IF(AND($R36&lt;&gt;"",EDATE($D36,Milestones!$AA$95)&gt;=$R36),$U36,$T36)))=Milestones!$AB$95),TEXT(EDATE($D36,Milestones!$AA$95),"dd/mm/yy")&amp;" "&amp;Milestones!$AB$95&amp;" "&amp;Milestones!$AC$95&amp;";  ","")&amp;IF(AND(EDATE($D36,Milestones!$AA$96)&lt;=AsOfDate,IF($Q36=0,$W36,IF(AND($S36&lt;&gt;"",EDATE($D36,Milestones!$AA$96)&gt;=$S36),$V36,IF(AND($R36&lt;&gt;"",EDATE($D36,Milestones!$AA$96)&gt;=$R36),$U36,$T36)))=Milestones!$AB$96),TEXT(EDATE($D36,Milestones!$AA$96),"dd/mm/yy")&amp;" "&amp;Milestones!$AB$96&amp;" "&amp;Milestones!$AC$96&amp;";  ","")&amp;IF(AND(EDATE($D36,Milestones!$AA$97)&lt;=AsOfDate,IF($Q36=0,$W36,IF(AND($S36&lt;&gt;"",EDATE($D36,Milestones!$AA$97)&gt;=$S36),$V36,IF(AND($R36&lt;&gt;"",EDATE($D36,Milestones!$AA$97)&gt;=$R36),$U36,$T36)))=Milestones!$AB$97),TEXT(EDATE($D36,Milestones!$AA$97),"dd/mm/yy")&amp;" "&amp;Milestones!$AB$97&amp;" "&amp;Milestones!$AC$97&amp;";  ","")&amp;IF(AND(EDATE($D36,Milestones!$AA$98)&lt;=AsOfDate,IF($Q36=0,$W36,IF(AND($S36&lt;&gt;"",EDATE($D36,Milestones!$AA$98)&gt;=$S36),$V36,IF(AND($R36&lt;&gt;"",EDATE($D36,Milestones!$AA$98)&gt;=$R36),$U36,$T36)))=Milestones!$AB$98),TEXT(EDATE($D36,Milestones!$AA$98),"dd/mm/yy")&amp;" "&amp;Milestones!$AB$98&amp;" "&amp;Milestones!$AC$98&amp;";  ","")&amp;IF(AND(EDATE($D36,Milestones!$AA$99)&lt;=AsOfDate,IF($Q36=0,$W36,IF(AND($S36&lt;&gt;"",EDATE($D36,Milestones!$AA$99)&gt;=$S36),$V36,IF(AND($R36&lt;&gt;"",EDATE($D36,Milestones!$AA$99)&gt;=$R36),$U36,$T36)))=Milestones!$AB$99),TEXT(EDATE($D36,Milestones!$AA$99),"dd/mm/yy")&amp;" "&amp;Milestones!$AB$99&amp;" "&amp;Milestones!$AC$99&amp;";  ",""))</f>
        <v/>
      </c>
      <c r="L36" s="0" t="str">
        <f aca="false">IF(OR($A36="",$D36=""),"",IF(AND(EDATE($D36,Milestones!$AA$100)&lt;=AsOfDate,IF($Q36=0,$W36,IF(AND($S36&lt;&gt;"",EDATE($D36,Milestones!$AA$100)&gt;=$S36),$V36,IF(AND($R36&lt;&gt;"",EDATE($D36,Milestones!$AA$100)&gt;=$R36),$U36,$T36)))=Milestones!$AB$100),TEXT(EDATE($D36,Milestones!$AA$100),"dd/mm/yy")&amp;" "&amp;Milestones!$AB$100&amp;" "&amp;Milestones!$AC$100&amp;";  ","")&amp;IF(AND(EDATE($D36,Milestones!$AA$101)&lt;=AsOfDate,IF($Q36=0,$W36,IF(AND($S36&lt;&gt;"",EDATE($D36,Milestones!$AA$101)&gt;=$S36),$V36,IF(AND($R36&lt;&gt;"",EDATE($D36,Milestones!$AA$101)&gt;=$R36),$U36,$T36)))=Milestones!$AB$101),TEXT(EDATE($D36,Milestones!$AA$101),"dd/mm/yy")&amp;" "&amp;Milestones!$AB$101&amp;" "&amp;Milestones!$AC$101&amp;";  ","")&amp;IF(AND(EDATE($D36,Milestones!$AA$102)&lt;=AsOfDate,IF($Q36=0,$W36,IF(AND($S36&lt;&gt;"",EDATE($D36,Milestones!$AA$102)&gt;=$S36),$V36,IF(AND($R36&lt;&gt;"",EDATE($D36,Milestones!$AA$102)&gt;=$R36),$U36,$T36)))=Milestones!$AB$102),TEXT(EDATE($D36,Milestones!$AA$102),"dd/mm/yy")&amp;" "&amp;Milestones!$AB$102&amp;" "&amp;Milestones!$AC$102&amp;";  ","")&amp;IF(AND(EDATE($D36,Milestones!$AA$103)&lt;=AsOfDate,IF($Q36=0,$W36,IF(AND($S36&lt;&gt;"",EDATE($D36,Milestones!$AA$103)&gt;=$S36),$V36,IF(AND($R36&lt;&gt;"",EDATE($D36,Milestones!$AA$103)&gt;=$R36),$U36,$T36)))=Milestones!$AB$103),TEXT(EDATE($D36,Milestones!$AA$103),"dd/mm/yy")&amp;" "&amp;Milestones!$AB$103&amp;" "&amp;Milestones!$AC$103&amp;";  ","")&amp;IF(AND(EDATE($D36,Milestones!$AA$104)&lt;=AsOfDate,IF($Q36=0,$W36,IF(AND($S36&lt;&gt;"",EDATE($D36,Milestones!$AA$104)&gt;=$S36),$V36,IF(AND($R36&lt;&gt;"",EDATE($D36,Milestones!$AA$104)&gt;=$R36),$U36,$T36)))=Milestones!$AB$104),TEXT(EDATE($D36,Milestones!$AA$104),"dd/mm/yy")&amp;" "&amp;Milestones!$AB$104&amp;" "&amp;Milestones!$AC$104&amp;";  ","")&amp;IF(AND(EDATE($D36,Milestones!$AA$105)&lt;=AsOfDate,IF($Q36=0,$W36,IF(AND($S36&lt;&gt;"",EDATE($D36,Milestones!$AA$105)&gt;=$S36),$V36,IF(AND($R36&lt;&gt;"",EDATE($D36,Milestones!$AA$105)&gt;=$R36),$U36,$T36)))=Milestones!$AB$105),TEXT(EDATE($D36,Milestones!$AA$105),"dd/mm/yy")&amp;" "&amp;Milestones!$AB$105&amp;" "&amp;Milestones!$AC$105&amp;";  ","")&amp;IF(AND(EDATE($D36,Milestones!$AA$106)&lt;=AsOfDate,IF($Q36=0,$W36,IF(AND($S36&lt;&gt;"",EDATE($D36,Milestones!$AA$106)&gt;=$S36),$V36,IF(AND($R36&lt;&gt;"",EDATE($D36,Milestones!$AA$106)&gt;=$R36),$U36,$T36)))=Milestones!$AB$106),TEXT(EDATE($D36,Milestones!$AA$106),"dd/mm/yy")&amp;" "&amp;Milestones!$AB$106&amp;" "&amp;Milestones!$AC$106&amp;";  ","")&amp;IF(AND(EDATE($D36,Milestones!$AA$107)&lt;=AsOfDate,IF($Q36=0,$W36,IF(AND($S36&lt;&gt;"",EDATE($D36,Milestones!$AA$107)&gt;=$S36),$V36,IF(AND($R36&lt;&gt;"",EDATE($D36,Milestones!$AA$107)&gt;=$R36),$U36,$T36)))=Milestones!$AB$107),TEXT(EDATE($D36,Milestones!$AA$107),"dd/mm/yy")&amp;" "&amp;Milestones!$AB$107&amp;" "&amp;Milestones!$AC$107&amp;";  ","")&amp;IF(AND(EDATE($D36,Milestones!$AA$108)&lt;=AsOfDate,IF($Q36=0,$W36,IF(AND($S36&lt;&gt;"",EDATE($D36,Milestones!$AA$108)&gt;=$S36),$V36,IF(AND($R36&lt;&gt;"",EDATE($D36,Milestones!$AA$108)&gt;=$R36),$U36,$T36)))=Milestones!$AB$108),TEXT(EDATE($D36,Milestones!$AA$108),"dd/mm/yy")&amp;" "&amp;Milestones!$AB$108&amp;" "&amp;Milestones!$AC$108&amp;";  ","")&amp;IF(AND(EDATE($D36,Milestones!$AA$109)&lt;=AsOfDate,IF($Q36=0,$W36,IF(AND($S36&lt;&gt;"",EDATE($D36,Milestones!$AA$109)&gt;=$S36),$V36,IF(AND($R36&lt;&gt;"",EDATE($D36,Milestones!$AA$109)&gt;=$R36),$U36,$T36)))=Milestones!$AB$109),TEXT(EDATE($D36,Milestones!$AA$109),"dd/mm/yy")&amp;" "&amp;Milestones!$AB$109&amp;" "&amp;Milestones!$AC$109&amp;";  ","")&amp;IF(AND(EDATE($D36,Milestones!$AA$110)&lt;=AsOfDate,IF($Q36=0,$W36,IF(AND($S36&lt;&gt;"",EDATE($D36,Milestones!$AA$110)&gt;=$S36),$V36,IF(AND($R36&lt;&gt;"",EDATE($D36,Milestones!$AA$110)&gt;=$R36),$U36,$T36)))=Milestones!$AB$110),TEXT(EDATE($D36,Milestones!$AA$110),"dd/mm/yy")&amp;" "&amp;Milestones!$AB$110&amp;" "&amp;Milestones!$AC$110&amp;";  ","")&amp;IF(AND(EDATE($D36,Milestones!$AA$111)&lt;=AsOfDate,IF($Q36=0,$W36,IF(AND($S36&lt;&gt;"",EDATE($D36,Milestones!$AA$111)&gt;=$S36),$V36,IF(AND($R36&lt;&gt;"",EDATE($D36,Milestones!$AA$111)&gt;=$R36),$U36,$T36)))=Milestones!$AB$111),TEXT(EDATE($D36,Milestones!$AA$111),"dd/mm/yy")&amp;" "&amp;Milestones!$AB$111&amp;" "&amp;Milestones!$AC$111&amp;";  ","")&amp;IF(AND(EDATE($D36,Milestones!$AA$112)&lt;=AsOfDate,IF($Q36=0,$W36,IF(AND($S36&lt;&gt;"",EDATE($D36,Milestones!$AA$112)&gt;=$S36),$V36,IF(AND($R36&lt;&gt;"",EDATE($D36,Milestones!$AA$112)&gt;=$R36),$U36,$T36)))=Milestones!$AB$112),TEXT(EDATE($D36,Milestones!$AA$112),"dd/mm/yy")&amp;" "&amp;Milestones!$AB$112&amp;" "&amp;Milestones!$AC$112&amp;";  ","")&amp;IF(AND(EDATE($D36,Milestones!$AA$113)&lt;=AsOfDate,IF($Q36=0,$W36,IF(AND($S36&lt;&gt;"",EDATE($D36,Milestones!$AA$113)&gt;=$S36),$V36,IF(AND($R36&lt;&gt;"",EDATE($D36,Milestones!$AA$113)&gt;=$R36),$U36,$T36)))=Milestones!$AB$113),TEXT(EDATE($D36,Milestones!$AA$113),"dd/mm/yy")&amp;" "&amp;Milestones!$AB$113&amp;" "&amp;Milestones!$AC$113&amp;";  ","")&amp;IF(AND(EDATE($D36,Milestones!$AA$114)&lt;=AsOfDate,IF($Q36=0,$W36,IF(AND($S36&lt;&gt;"",EDATE($D36,Milestones!$AA$114)&gt;=$S36),$V36,IF(AND($R36&lt;&gt;"",EDATE($D36,Milestones!$AA$114)&gt;=$R36),$U36,$T36)))=Milestones!$AB$114),TEXT(EDATE($D36,Milestones!$AA$114),"dd/mm/yy")&amp;" "&amp;Milestones!$AB$114&amp;" "&amp;Milestones!$AC$114&amp;";  ","")&amp;IF(AND(EDATE($D36,Milestones!$AA$115)&lt;=AsOfDate,IF($Q36=0,$W36,IF(AND($S36&lt;&gt;"",EDATE($D36,Milestones!$AA$115)&gt;=$S36),$V36,IF(AND($R36&lt;&gt;"",EDATE($D36,Milestones!$AA$115)&gt;=$R36),$U36,$T36)))=Milestones!$AB$115),TEXT(EDATE($D36,Milestones!$AA$115),"dd/mm/yy")&amp;" "&amp;Milestones!$AB$115&amp;" "&amp;Milestones!$AC$115&amp;";  ","")&amp;IF(AND(EDATE($D36,Milestones!$AA$116)&lt;=AsOfDate,IF($Q36=0,$W36,IF(AND($S36&lt;&gt;"",EDATE($D36,Milestones!$AA$116)&gt;=$S36),$V36,IF(AND($R36&lt;&gt;"",EDATE($D36,Milestones!$AA$116)&gt;=$R36),$U36,$T36)))=Milestones!$AB$116),TEXT(EDATE($D36,Milestones!$AA$116),"dd/mm/yy")&amp;" "&amp;Milestones!$AB$116&amp;" "&amp;Milestones!$AC$116&amp;";  ","")&amp;IF(AND(EDATE($D36,Milestones!$AA$117)&lt;=AsOfDate,IF($Q36=0,$W36,IF(AND($S36&lt;&gt;"",EDATE($D36,Milestones!$AA$117)&gt;=$S36),$V36,IF(AND($R36&lt;&gt;"",EDATE($D36,Milestones!$AA$117)&gt;=$R36),$U36,$T36)))=Milestones!$AB$117),TEXT(EDATE($D36,Milestones!$AA$117),"dd/mm/yy")&amp;" "&amp;Milestones!$AB$117&amp;" "&amp;Milestones!$AC$117&amp;";  ","")&amp;IF(AND(EDATE($D36,Milestones!$AA$118)&lt;=AsOfDate,IF($Q36=0,$W36,IF(AND($S36&lt;&gt;"",EDATE($D36,Milestones!$AA$118)&gt;=$S36),$V36,IF(AND($R36&lt;&gt;"",EDATE($D36,Milestones!$AA$118)&gt;=$R36),$U36,$T36)))=Milestones!$AB$118),TEXT(EDATE($D36,Milestones!$AA$118),"dd/mm/yy")&amp;" "&amp;Milestones!$AB$118&amp;" "&amp;Milestones!$AC$118&amp;";  ","")&amp;IF(AND(EDATE($D36,Milestones!$AA$119)&lt;=AsOfDate,IF($Q36=0,$W36,IF(AND($S36&lt;&gt;"",EDATE($D36,Milestones!$AA$119)&gt;=$S36),$V36,IF(AND($R36&lt;&gt;"",EDATE($D36,Milestones!$AA$119)&gt;=$R36),$U36,$T36)))=Milestones!$AB$119),TEXT(EDATE($D36,Milestones!$AA$119),"dd/mm/yy")&amp;" "&amp;Milestones!$AB$119&amp;" "&amp;Milestones!$AC$119&amp;";  ",""))</f>
        <v/>
      </c>
      <c r="M36" s="0" t="str">
        <f aca="false">IF(OR($A36="",$D36=""),"",IF(AND(EDATE($D36,Milestones!$AA$120)&lt;=AsOfDate,IF($Q36=0,$W36,IF(AND($S36&lt;&gt;"",EDATE($D36,Milestones!$AA$120)&gt;=$S36),$V36,IF(AND($R36&lt;&gt;"",EDATE($D36,Milestones!$AA$120)&gt;=$R36),$U36,$T36)))=Milestones!$AB$120),TEXT(EDATE($D36,Milestones!$AA$120),"dd/mm/yy")&amp;" "&amp;Milestones!$AB$120&amp;" "&amp;Milestones!$AC$120&amp;";  ","")&amp;IF(AND(EDATE($D36,Milestones!$AA$121)&lt;=AsOfDate,IF($Q36=0,$W36,IF(AND($S36&lt;&gt;"",EDATE($D36,Milestones!$AA$121)&gt;=$S36),$V36,IF(AND($R36&lt;&gt;"",EDATE($D36,Milestones!$AA$121)&gt;=$R36),$U36,$T36)))=Milestones!$AB$121),TEXT(EDATE($D36,Milestones!$AA$121),"dd/mm/yy")&amp;" "&amp;Milestones!$AB$121&amp;" "&amp;Milestones!$AC$121&amp;";  ","")&amp;IF(AND(EDATE($D36,Milestones!$AA$122)&lt;=AsOfDate,IF($Q36=0,$W36,IF(AND($S36&lt;&gt;"",EDATE($D36,Milestones!$AA$122)&gt;=$S36),$V36,IF(AND($R36&lt;&gt;"",EDATE($D36,Milestones!$AA$122)&gt;=$R36),$U36,$T36)))=Milestones!$AB$122),TEXT(EDATE($D36,Milestones!$AA$122),"dd/mm/yy")&amp;" "&amp;Milestones!$AB$122&amp;" "&amp;Milestones!$AC$122&amp;";  ","")&amp;IF(AND(EDATE($D36,Milestones!$AA$123)&lt;=AsOfDate,IF($Q36=0,$W36,IF(AND($S36&lt;&gt;"",EDATE($D36,Milestones!$AA$123)&gt;=$S36),$V36,IF(AND($R36&lt;&gt;"",EDATE($D36,Milestones!$AA$123)&gt;=$R36),$U36,$T36)))=Milestones!$AB$123),TEXT(EDATE($D36,Milestones!$AA$123),"dd/mm/yy")&amp;" "&amp;Milestones!$AB$123&amp;" "&amp;Milestones!$AC$123&amp;";  ","")&amp;IF(AND(EDATE($D36,Milestones!$AA$124)&lt;=AsOfDate,IF($Q36=0,$W36,IF(AND($S36&lt;&gt;"",EDATE($D36,Milestones!$AA$124)&gt;=$S36),$V36,IF(AND($R36&lt;&gt;"",EDATE($D36,Milestones!$AA$124)&gt;=$R36),$U36,$T36)))=Milestones!$AB$124),TEXT(EDATE($D36,Milestones!$AA$124),"dd/mm/yy")&amp;" "&amp;Milestones!$AB$124&amp;" "&amp;Milestones!$AC$124&amp;";  ","")&amp;IF(AND(EDATE($D36,Milestones!$AA$125)&lt;=AsOfDate,IF($Q36=0,$W36,IF(AND($S36&lt;&gt;"",EDATE($D36,Milestones!$AA$125)&gt;=$S36),$V36,IF(AND($R36&lt;&gt;"",EDATE($D36,Milestones!$AA$125)&gt;=$R36),$U36,$T36)))=Milestones!$AB$125),TEXT(EDATE($D36,Milestones!$AA$125),"dd/mm/yy")&amp;" "&amp;Milestones!$AB$125&amp;" "&amp;Milestones!$AC$125&amp;";  ","")&amp;IF(AND(EDATE($D36,Milestones!$AA$126)&lt;=AsOfDate,IF($Q36=0,$W36,IF(AND($S36&lt;&gt;"",EDATE($D36,Milestones!$AA$126)&gt;=$S36),$V36,IF(AND($R36&lt;&gt;"",EDATE($D36,Milestones!$AA$126)&gt;=$R36),$U36,$T36)))=Milestones!$AB$126),TEXT(EDATE($D36,Milestones!$AA$126),"dd/mm/yy")&amp;" "&amp;Milestones!$AB$126&amp;" "&amp;Milestones!$AC$126&amp;";  ","")&amp;IF(AND(EDATE($D36,Milestones!$AA$127)&lt;=AsOfDate,IF($Q36=0,$W36,IF(AND($S36&lt;&gt;"",EDATE($D36,Milestones!$AA$127)&gt;=$S36),$V36,IF(AND($R36&lt;&gt;"",EDATE($D36,Milestones!$AA$127)&gt;=$R36),$U36,$T36)))=Milestones!$AB$127),TEXT(EDATE($D36,Milestones!$AA$127),"dd/mm/yy")&amp;" "&amp;Milestones!$AB$127&amp;" "&amp;Milestones!$AC$127&amp;";  ","")&amp;IF(AND(EDATE($D36,Milestones!$AA$128)&lt;=AsOfDate,IF($Q36=0,$W36,IF(AND($S36&lt;&gt;"",EDATE($D36,Milestones!$AA$128)&gt;=$S36),$V36,IF(AND($R36&lt;&gt;"",EDATE($D36,Milestones!$AA$128)&gt;=$R36),$U36,$T36)))=Milestones!$AB$128),TEXT(EDATE($D36,Milestones!$AA$128),"dd/mm/yy")&amp;" "&amp;Milestones!$AB$128&amp;" "&amp;Milestones!$AC$128&amp;";  ","")&amp;IF(AND(EDATE($D36,Milestones!$AA$129)&lt;=AsOfDate,IF($Q36=0,$W36,IF(AND($S36&lt;&gt;"",EDATE($D36,Milestones!$AA$129)&gt;=$S36),$V36,IF(AND($R36&lt;&gt;"",EDATE($D36,Milestones!$AA$129)&gt;=$R36),$U36,$T36)))=Milestones!$AB$129),TEXT(EDATE($D36,Milestones!$AA$129),"dd/mm/yy")&amp;" "&amp;Milestones!$AB$129&amp;" "&amp;Milestones!$AC$129&amp;";  ","")&amp;IF(AND(EDATE($D36,Milestones!$AA$130)&lt;=AsOfDate,IF($Q36=0,$W36,IF(AND($S36&lt;&gt;"",EDATE($D36,Milestones!$AA$130)&gt;=$S36),$V36,IF(AND($R36&lt;&gt;"",EDATE($D36,Milestones!$AA$130)&gt;=$R36),$U36,$T36)))=Milestones!$AB$130),TEXT(EDATE($D36,Milestones!$AA$130),"dd/mm/yy")&amp;" "&amp;Milestones!$AB$130&amp;" "&amp;Milestones!$AC$130&amp;";  ","")&amp;IF(AND(EDATE($D36,Milestones!$AA$131)&lt;=AsOfDate,IF($Q36=0,$W36,IF(AND($S36&lt;&gt;"",EDATE($D36,Milestones!$AA$131)&gt;=$S36),$V36,IF(AND($R36&lt;&gt;"",EDATE($D36,Milestones!$AA$131)&gt;=$R36),$U36,$T36)))=Milestones!$AB$131),TEXT(EDATE($D36,Milestones!$AA$131),"dd/mm/yy")&amp;" "&amp;Milestones!$AB$131&amp;" "&amp;Milestones!$AC$131&amp;";  ","")&amp;IF(AND(EDATE($D36,Milestones!$AA$132)&lt;=AsOfDate,IF($Q36=0,$W36,IF(AND($S36&lt;&gt;"",EDATE($D36,Milestones!$AA$132)&gt;=$S36),$V36,IF(AND($R36&lt;&gt;"",EDATE($D36,Milestones!$AA$132)&gt;=$R36),$U36,$T36)))=Milestones!$AB$132),TEXT(EDATE($D36,Milestones!$AA$132),"dd/mm/yy")&amp;" "&amp;Milestones!$AB$132&amp;" "&amp;Milestones!$AC$132&amp;";  ","")&amp;IF(AND(EDATE($D36,Milestones!$AA$133)&lt;=AsOfDate,IF($Q36=0,$W36,IF(AND($S36&lt;&gt;"",EDATE($D36,Milestones!$AA$133)&gt;=$S36),$V36,IF(AND($R36&lt;&gt;"",EDATE($D36,Milestones!$AA$133)&gt;=$R36),$U36,$T36)))=Milestones!$AB$133),TEXT(EDATE($D36,Milestones!$AA$133),"dd/mm/yy")&amp;" "&amp;Milestones!$AB$133&amp;" "&amp;Milestones!$AC$133&amp;";  ","")&amp;IF(AND(EDATE($D36,Milestones!$AA$134)&lt;=AsOfDate,IF($Q36=0,$W36,IF(AND($S36&lt;&gt;"",EDATE($D36,Milestones!$AA$134)&gt;=$S36),$V36,IF(AND($R36&lt;&gt;"",EDATE($D36,Milestones!$AA$134)&gt;=$R36),$U36,$T36)))=Milestones!$AB$134),TEXT(EDATE($D36,Milestones!$AA$134),"dd/mm/yy")&amp;" "&amp;Milestones!$AB$134&amp;" "&amp;Milestones!$AC$134&amp;";  ","")&amp;IF(AND(EDATE($D36,Milestones!$AA$135)&lt;=AsOfDate,IF($Q36=0,$W36,IF(AND($S36&lt;&gt;"",EDATE($D36,Milestones!$AA$135)&gt;=$S36),$V36,IF(AND($R36&lt;&gt;"",EDATE($D36,Milestones!$AA$135)&gt;=$R36),$U36,$T36)))=Milestones!$AB$135),TEXT(EDATE($D36,Milestones!$AA$135),"dd/mm/yy")&amp;" "&amp;Milestones!$AB$135&amp;" "&amp;Milestones!$AC$135&amp;";  ","")&amp;IF(AND(EDATE($D36,Milestones!$AA$136)&lt;=AsOfDate,IF($Q36=0,$W36,IF(AND($S36&lt;&gt;"",EDATE($D36,Milestones!$AA$136)&gt;=$S36),$V36,IF(AND($R36&lt;&gt;"",EDATE($D36,Milestones!$AA$136)&gt;=$R36),$U36,$T36)))=Milestones!$AB$136),TEXT(EDATE($D36,Milestones!$AA$136),"dd/mm/yy")&amp;" "&amp;Milestones!$AB$136&amp;" "&amp;Milestones!$AC$136&amp;";  ","")&amp;IF(AND(EDATE($D36,Milestones!$AA$137)&lt;=AsOfDate,IF($Q36=0,$W36,IF(AND($S36&lt;&gt;"",EDATE($D36,Milestones!$AA$137)&gt;=$S36),$V36,IF(AND($R36&lt;&gt;"",EDATE($D36,Milestones!$AA$137)&gt;=$R36),$U36,$T36)))=Milestones!$AB$137),TEXT(EDATE($D36,Milestones!$AA$137),"dd/mm/yy")&amp;" "&amp;Milestones!$AB$137&amp;" "&amp;Milestones!$AC$137&amp;";  ","")&amp;IF(AND(EDATE($D36,Milestones!$AA$138)&lt;=AsOfDate,IF($Q36=0,$W36,IF(AND($S36&lt;&gt;"",EDATE($D36,Milestones!$AA$138)&gt;=$S36),$V36,IF(AND($R36&lt;&gt;"",EDATE($D36,Milestones!$AA$138)&gt;=$R36),$U36,$T36)))=Milestones!$AB$138),TEXT(EDATE($D36,Milestones!$AA$138),"dd/mm/yy")&amp;" "&amp;Milestones!$AB$138&amp;" "&amp;Milestones!$AC$138&amp;";  ","")&amp;IF(AND(EDATE($D36,Milestones!$AA$139)&lt;=AsOfDate,IF($Q36=0,$W36,IF(AND($S36&lt;&gt;"",EDATE($D36,Milestones!$AA$139)&gt;=$S36),$V36,IF(AND($R36&lt;&gt;"",EDATE($D36,Milestones!$AA$139)&gt;=$R36),$U36,$T36)))=Milestones!$AB$139),TEXT(EDATE($D36,Milestones!$AA$139),"dd/mm/yy")&amp;" "&amp;Milestones!$AB$139&amp;" "&amp;Milestones!$AC$139&amp;";  ",""))</f>
        <v/>
      </c>
      <c r="N36" s="0" t="str">
        <f aca="false">IF(OR($A36="",$D36=""),"",IF(AND(EDATE($D36,Milestones!$AA$140)&lt;=AsOfDate,IF($Q36=0,$W36,IF(AND($S36&lt;&gt;"",EDATE($D36,Milestones!$AA$140)&gt;=$S36),$V36,IF(AND($R36&lt;&gt;"",EDATE($D36,Milestones!$AA$140)&gt;=$R36),$U36,$T36)))=Milestones!$AB$140),TEXT(EDATE($D36,Milestones!$AA$140),"dd/mm/yy")&amp;" "&amp;Milestones!$AB$140&amp;" "&amp;Milestones!$AC$140&amp;";  ","")&amp;IF(AND(EDATE($D36,Milestones!$AA$141)&lt;=AsOfDate,IF($Q36=0,$W36,IF(AND($S36&lt;&gt;"",EDATE($D36,Milestones!$AA$141)&gt;=$S36),$V36,IF(AND($R36&lt;&gt;"",EDATE($D36,Milestones!$AA$141)&gt;=$R36),$U36,$T36)))=Milestones!$AB$141),TEXT(EDATE($D36,Milestones!$AA$141),"dd/mm/yy")&amp;" "&amp;Milestones!$AB$141&amp;" "&amp;Milestones!$AC$141&amp;";  ","")&amp;IF(AND(EDATE($D36,Milestones!$AA$142)&lt;=AsOfDate,IF($Q36=0,$W36,IF(AND($S36&lt;&gt;"",EDATE($D36,Milestones!$AA$142)&gt;=$S36),$V36,IF(AND($R36&lt;&gt;"",EDATE($D36,Milestones!$AA$142)&gt;=$R36),$U36,$T36)))=Milestones!$AB$142),TEXT(EDATE($D36,Milestones!$AA$142),"dd/mm/yy")&amp;" "&amp;Milestones!$AB$142&amp;" "&amp;Milestones!$AC$142&amp;";  ","")&amp;IF(AND(EDATE($D36,Milestones!$AA$143)&lt;=AsOfDate,IF($Q36=0,$W36,IF(AND($S36&lt;&gt;"",EDATE($D36,Milestones!$AA$143)&gt;=$S36),$V36,IF(AND($R36&lt;&gt;"",EDATE($D36,Milestones!$AA$143)&gt;=$R36),$U36,$T36)))=Milestones!$AB$143),TEXT(EDATE($D36,Milestones!$AA$143),"dd/mm/yy")&amp;" "&amp;Milestones!$AB$143&amp;" "&amp;Milestones!$AC$143&amp;";  ","")&amp;IF(AND(EDATE($D36,Milestones!$AA$144)&lt;=AsOfDate,IF($Q36=0,$W36,IF(AND($S36&lt;&gt;"",EDATE($D36,Milestones!$AA$144)&gt;=$S36),$V36,IF(AND($R36&lt;&gt;"",EDATE($D36,Milestones!$AA$144)&gt;=$R36),$U36,$T36)))=Milestones!$AB$144),TEXT(EDATE($D36,Milestones!$AA$144),"dd/mm/yy")&amp;" "&amp;Milestones!$AB$144&amp;" "&amp;Milestones!$AC$144&amp;";  ","")&amp;IF(AND(EDATE($D36,Milestones!$AA$145)&lt;=AsOfDate,IF($Q36=0,$W36,IF(AND($S36&lt;&gt;"",EDATE($D36,Milestones!$AA$145)&gt;=$S36),$V36,IF(AND($R36&lt;&gt;"",EDATE($D36,Milestones!$AA$145)&gt;=$R36),$U36,$T36)))=Milestones!$AB$145),TEXT(EDATE($D36,Milestones!$AA$145),"dd/mm/yy")&amp;" "&amp;Milestones!$AB$145&amp;" "&amp;Milestones!$AC$145&amp;";  ","")&amp;IF(AND(EDATE($D36,Milestones!$AA$146)&lt;=AsOfDate,IF($Q36=0,$W36,IF(AND($S36&lt;&gt;"",EDATE($D36,Milestones!$AA$146)&gt;=$S36),$V36,IF(AND($R36&lt;&gt;"",EDATE($D36,Milestones!$AA$146)&gt;=$R36),$U36,$T36)))=Milestones!$AB$146),TEXT(EDATE($D36,Milestones!$AA$146),"dd/mm/yy")&amp;" "&amp;Milestones!$AB$146&amp;" "&amp;Milestones!$AC$146&amp;";  ","")&amp;IF(AND(EDATE($D36,Milestones!$AA$147)&lt;=AsOfDate,IF($Q36=0,$W36,IF(AND($S36&lt;&gt;"",EDATE($D36,Milestones!$AA$147)&gt;=$S36),$V36,IF(AND($R36&lt;&gt;"",EDATE($D36,Milestones!$AA$147)&gt;=$R36),$U36,$T36)))=Milestones!$AB$147),TEXT(EDATE($D36,Milestones!$AA$147),"dd/mm/yy")&amp;" "&amp;Milestones!$AB$147&amp;" "&amp;Milestones!$AC$147&amp;";  ","")&amp;IF(AND(EDATE($D36,Milestones!$AA$148)&lt;=AsOfDate,IF($Q36=0,$W36,IF(AND($S36&lt;&gt;"",EDATE($D36,Milestones!$AA$148)&gt;=$S36),$V36,IF(AND($R36&lt;&gt;"",EDATE($D36,Milestones!$AA$148)&gt;=$R36),$U36,$T36)))=Milestones!$AB$148),TEXT(EDATE($D36,Milestones!$AA$148),"dd/mm/yy")&amp;" "&amp;Milestones!$AB$148&amp;" "&amp;Milestones!$AC$148&amp;";  ","")&amp;IF(AND(EDATE($D36,Milestones!$AA$149)&lt;=AsOfDate,IF($Q36=0,$W36,IF(AND($S36&lt;&gt;"",EDATE($D36,Milestones!$AA$149)&gt;=$S36),$V36,IF(AND($R36&lt;&gt;"",EDATE($D36,Milestones!$AA$149)&gt;=$R36),$U36,$T36)))=Milestones!$AB$149),TEXT(EDATE($D36,Milestones!$AA$149),"dd/mm/yy")&amp;" "&amp;Milestones!$AB$149&amp;" "&amp;Milestones!$AC$149&amp;";  ","")&amp;IF(AND(EDATE($D36,Milestones!$AA$150)&lt;=AsOfDate,IF($Q36=0,$W36,IF(AND($S36&lt;&gt;"",EDATE($D36,Milestones!$AA$150)&gt;=$S36),$V36,IF(AND($R36&lt;&gt;"",EDATE($D36,Milestones!$AA$150)&gt;=$R36),$U36,$T36)))=Milestones!$AB$150),TEXT(EDATE($D36,Milestones!$AA$150),"dd/mm/yy")&amp;" "&amp;Milestones!$AB$150&amp;" "&amp;Milestones!$AC$150&amp;";  ","")&amp;IF(AND(EDATE($D36,Milestones!$AA$151)&lt;=AsOfDate,IF($Q36=0,$W36,IF(AND($S36&lt;&gt;"",EDATE($D36,Milestones!$AA$151)&gt;=$S36),$V36,IF(AND($R36&lt;&gt;"",EDATE($D36,Milestones!$AA$151)&gt;=$R36),$U36,$T36)))=Milestones!$AB$151),TEXT(EDATE($D36,Milestones!$AA$151),"dd/mm/yy")&amp;" "&amp;Milestones!$AB$151&amp;" "&amp;Milestones!$AC$151&amp;";  ","")&amp;IF(AND(EDATE($D36,Milestones!$AA$152)&lt;=AsOfDate,IF($Q36=0,$W36,IF(AND($S36&lt;&gt;"",EDATE($D36,Milestones!$AA$152)&gt;=$S36),$V36,IF(AND($R36&lt;&gt;"",EDATE($D36,Milestones!$AA$152)&gt;=$R36),$U36,$T36)))=Milestones!$AB$152),TEXT(EDATE($D36,Milestones!$AA$152),"dd/mm/yy")&amp;" "&amp;Milestones!$AB$152&amp;" "&amp;Milestones!$AC$152&amp;";  ","")&amp;IF(AND(EDATE($D36,Milestones!$AA$153)&lt;=AsOfDate,IF($Q36=0,$W36,IF(AND($S36&lt;&gt;"",EDATE($D36,Milestones!$AA$153)&gt;=$S36),$V36,IF(AND($R36&lt;&gt;"",EDATE($D36,Milestones!$AA$153)&gt;=$R36),$U36,$T36)))=Milestones!$AB$153),TEXT(EDATE($D36,Milestones!$AA$153),"dd/mm/yy")&amp;" "&amp;Milestones!$AB$153&amp;" "&amp;Milestones!$AC$153&amp;";  ","")&amp;IF(AND(EDATE($D36,Milestones!$AA$154)&lt;=AsOfDate,IF($Q36=0,$W36,IF(AND($S36&lt;&gt;"",EDATE($D36,Milestones!$AA$154)&gt;=$S36),$V36,IF(AND($R36&lt;&gt;"",EDATE($D36,Milestones!$AA$154)&gt;=$R36),$U36,$T36)))=Milestones!$AB$154),TEXT(EDATE($D36,Milestones!$AA$154),"dd/mm/yy")&amp;" "&amp;Milestones!$AB$154&amp;" "&amp;Milestones!$AC$154&amp;";  ","")&amp;IF(AND(EDATE($D36,Milestones!$AA$155)&lt;=AsOfDate,IF($Q36=0,$W36,IF(AND($S36&lt;&gt;"",EDATE($D36,Milestones!$AA$155)&gt;=$S36),$V36,IF(AND($R36&lt;&gt;"",EDATE($D36,Milestones!$AA$155)&gt;=$R36),$U36,$T36)))=Milestones!$AB$155),TEXT(EDATE($D36,Milestones!$AA$155),"dd/mm/yy")&amp;" "&amp;Milestones!$AB$155&amp;" "&amp;Milestones!$AC$155&amp;";  ","")&amp;IF(AND(EDATE($D36,Milestones!$AA$156)&lt;=AsOfDate,IF($Q36=0,$W36,IF(AND($S36&lt;&gt;"",EDATE($D36,Milestones!$AA$156)&gt;=$S36),$V36,IF(AND($R36&lt;&gt;"",EDATE($D36,Milestones!$AA$156)&gt;=$R36),$U36,$T36)))=Milestones!$AB$156),TEXT(EDATE($D36,Milestones!$AA$156),"dd/mm/yy")&amp;" "&amp;Milestones!$AB$156&amp;" "&amp;Milestones!$AC$156&amp;";  ","")&amp;IF(AND(EDATE($D36,Milestones!$AA$157)&lt;=AsOfDate,IF($Q36=0,$W36,IF(AND($S36&lt;&gt;"",EDATE($D36,Milestones!$AA$157)&gt;=$S36),$V36,IF(AND($R36&lt;&gt;"",EDATE($D36,Milestones!$AA$157)&gt;=$R36),$U36,$T36)))=Milestones!$AB$157),TEXT(EDATE($D36,Milestones!$AA$157),"dd/mm/yy")&amp;" "&amp;Milestones!$AB$157&amp;" "&amp;Milestones!$AC$157&amp;";  ","")&amp;IF(AND(EDATE($D36,Milestones!$AA$158)&lt;=AsOfDate,IF($Q36=0,$W36,IF(AND($S36&lt;&gt;"",EDATE($D36,Milestones!$AA$158)&gt;=$S36),$V36,IF(AND($R36&lt;&gt;"",EDATE($D36,Milestones!$AA$158)&gt;=$R36),$U36,$T36)))=Milestones!$AB$158),TEXT(EDATE($D36,Milestones!$AA$158),"dd/mm/yy")&amp;" "&amp;Milestones!$AB$158&amp;" "&amp;Milestones!$AC$158&amp;";  ","")&amp;IF(AND(EDATE($D36,Milestones!$AA$159)&lt;=AsOfDate,IF($Q36=0,$W36,IF(AND($S36&lt;&gt;"",EDATE($D36,Milestones!$AA$159)&gt;=$S36),$V36,IF(AND($R36&lt;&gt;"",EDATE($D36,Milestones!$AA$159)&gt;=$R36),$U36,$T36)))=Milestones!$AB$159),TEXT(EDATE($D36,Milestones!$AA$159),"dd/mm/yy")&amp;" "&amp;Milestones!$AB$159&amp;" "&amp;Milestones!$AC$159&amp;";  ",""))</f>
        <v/>
      </c>
      <c r="O36" s="0" t="str">
        <f aca="false">IF(OR($A36="",$D36=""),"",IF(AND(EDATE($D36,Milestones!$AA$160)&lt;=AsOfDate,IF($Q36=0,$W36,IF(AND($S36&lt;&gt;"",EDATE($D36,Milestones!$AA$160)&gt;=$S36),$V36,IF(AND($R36&lt;&gt;"",EDATE($D36,Milestones!$AA$160)&gt;=$R36),$U36,$T36)))=Milestones!$AB$160),TEXT(EDATE($D36,Milestones!$AA$160),"dd/mm/yy")&amp;" "&amp;Milestones!$AB$160&amp;" "&amp;Milestones!$AC$160&amp;";  ","")&amp;IF(AND(EDATE($D36,Milestones!$AA$161)&lt;=AsOfDate,IF($Q36=0,$W36,IF(AND($S36&lt;&gt;"",EDATE($D36,Milestones!$AA$161)&gt;=$S36),$V36,IF(AND($R36&lt;&gt;"",EDATE($D36,Milestones!$AA$161)&gt;=$R36),$U36,$T36)))=Milestones!$AB$161),TEXT(EDATE($D36,Milestones!$AA$161),"dd/mm/yy")&amp;" "&amp;Milestones!$AB$161&amp;" "&amp;Milestones!$AC$161&amp;";  ","")&amp;IF(AND(EDATE($D36,Milestones!$AA$162)&lt;=AsOfDate,IF($Q36=0,$W36,IF(AND($S36&lt;&gt;"",EDATE($D36,Milestones!$AA$162)&gt;=$S36),$V36,IF(AND($R36&lt;&gt;"",EDATE($D36,Milestones!$AA$162)&gt;=$R36),$U36,$T36)))=Milestones!$AB$162),TEXT(EDATE($D36,Milestones!$AA$162),"dd/mm/yy")&amp;" "&amp;Milestones!$AB$162&amp;" "&amp;Milestones!$AC$162&amp;";  ","")&amp;IF(AND(EDATE($D36,Milestones!$AA$163)&lt;=AsOfDate,IF($Q36=0,$W36,IF(AND($S36&lt;&gt;"",EDATE($D36,Milestones!$AA$163)&gt;=$S36),$V36,IF(AND($R36&lt;&gt;"",EDATE($D36,Milestones!$AA$163)&gt;=$R36),$U36,$T36)))=Milestones!$AB$163),TEXT(EDATE($D36,Milestones!$AA$163),"dd/mm/yy")&amp;" "&amp;Milestones!$AB$163&amp;" "&amp;Milestones!$AC$163&amp;";  ","")&amp;IF(AND(EDATE($D36,Milestones!$AA$164)&lt;=AsOfDate,IF($Q36=0,$W36,IF(AND($S36&lt;&gt;"",EDATE($D36,Milestones!$AA$164)&gt;=$S36),$V36,IF(AND($R36&lt;&gt;"",EDATE($D36,Milestones!$AA$164)&gt;=$R36),$U36,$T36)))=Milestones!$AB$164),TEXT(EDATE($D36,Milestones!$AA$164),"dd/mm/yy")&amp;" "&amp;Milestones!$AB$164&amp;" "&amp;Milestones!$AC$164&amp;";  ","")&amp;IF(AND(EDATE($D36,Milestones!$AA$165)&lt;=AsOfDate,IF($Q36=0,$W36,IF(AND($S36&lt;&gt;"",EDATE($D36,Milestones!$AA$165)&gt;=$S36),$V36,IF(AND($R36&lt;&gt;"",EDATE($D36,Milestones!$AA$165)&gt;=$R36),$U36,$T36)))=Milestones!$AB$165),TEXT(EDATE($D36,Milestones!$AA$165),"dd/mm/yy")&amp;" "&amp;Milestones!$AB$165&amp;" "&amp;Milestones!$AC$165&amp;";  ","")&amp;IF(AND(EDATE($D36,Milestones!$AA$166)&lt;=AsOfDate,IF($Q36=0,$W36,IF(AND($S36&lt;&gt;"",EDATE($D36,Milestones!$AA$166)&gt;=$S36),$V36,IF(AND($R36&lt;&gt;"",EDATE($D36,Milestones!$AA$166)&gt;=$R36),$U36,$T36)))=Milestones!$AB$166),TEXT(EDATE($D36,Milestones!$AA$166),"dd/mm/yy")&amp;" "&amp;Milestones!$AB$166&amp;" "&amp;Milestones!$AC$166&amp;";  ","")&amp;IF(AND(EDATE($D36,Milestones!$AA$167)&lt;=AsOfDate,IF($Q36=0,$W36,IF(AND($S36&lt;&gt;"",EDATE($D36,Milestones!$AA$167)&gt;=$S36),$V36,IF(AND($R36&lt;&gt;"",EDATE($D36,Milestones!$AA$167)&gt;=$R36),$U36,$T36)))=Milestones!$AB$167),TEXT(EDATE($D36,Milestones!$AA$167),"dd/mm/yy")&amp;" "&amp;Milestones!$AB$167&amp;" "&amp;Milestones!$AC$167&amp;";  ","")&amp;IF(AND(EDATE($D36,Milestones!$AA$168)&lt;=AsOfDate,IF($Q36=0,$W36,IF(AND($S36&lt;&gt;"",EDATE($D36,Milestones!$AA$168)&gt;=$S36),$V36,IF(AND($R36&lt;&gt;"",EDATE($D36,Milestones!$AA$168)&gt;=$R36),$U36,$T36)))=Milestones!$AB$168),TEXT(EDATE($D36,Milestones!$AA$168),"dd/mm/yy")&amp;" "&amp;Milestones!$AB$168&amp;" "&amp;Milestones!$AC$168&amp;";  ","")&amp;IF(AND(EDATE($D36,Milestones!$AA$169)&lt;=AsOfDate,IF($Q36=0,$W36,IF(AND($S36&lt;&gt;"",EDATE($D36,Milestones!$AA$169)&gt;=$S36),$V36,IF(AND($R36&lt;&gt;"",EDATE($D36,Milestones!$AA$169)&gt;=$R36),$U36,$T36)))=Milestones!$AB$169),TEXT(EDATE($D36,Milestones!$AA$169),"dd/mm/yy")&amp;" "&amp;Milestones!$AB$169&amp;" "&amp;Milestones!$AC$169&amp;";  ","")&amp;IF(AND(EDATE($D36,Milestones!$AA$170)&lt;=AsOfDate,IF($Q36=0,$W36,IF(AND($S36&lt;&gt;"",EDATE($D36,Milestones!$AA$170)&gt;=$S36),$V36,IF(AND($R36&lt;&gt;"",EDATE($D36,Milestones!$AA$170)&gt;=$R36),$U36,$T36)))=Milestones!$AB$170),TEXT(EDATE($D36,Milestones!$AA$170),"dd/mm/yy")&amp;" "&amp;Milestones!$AB$170&amp;" "&amp;Milestones!$AC$170&amp;";  ","")&amp;IF(AND(EDATE($D36,Milestones!$AA$171)&lt;=AsOfDate,IF($Q36=0,$W36,IF(AND($S36&lt;&gt;"",EDATE($D36,Milestones!$AA$171)&gt;=$S36),$V36,IF(AND($R36&lt;&gt;"",EDATE($D36,Milestones!$AA$171)&gt;=$R36),$U36,$T36)))=Milestones!$AB$171),TEXT(EDATE($D36,Milestones!$AA$171),"dd/mm/yy")&amp;" "&amp;Milestones!$AB$171&amp;" "&amp;Milestones!$AC$171&amp;";  ","")&amp;IF(AND(EDATE($D36,Milestones!$AA$172)&lt;=AsOfDate,IF($Q36=0,$W36,IF(AND($S36&lt;&gt;"",EDATE($D36,Milestones!$AA$172)&gt;=$S36),$V36,IF(AND($R36&lt;&gt;"",EDATE($D36,Milestones!$AA$172)&gt;=$R36),$U36,$T36)))=Milestones!$AB$172),TEXT(EDATE($D36,Milestones!$AA$172),"dd/mm/yy")&amp;" "&amp;Milestones!$AB$172&amp;" "&amp;Milestones!$AC$172&amp;";  ","")&amp;IF(AND(EDATE($D36,Milestones!$AA$173)&lt;=AsOfDate,IF($Q36=0,$W36,IF(AND($S36&lt;&gt;"",EDATE($D36,Milestones!$AA$173)&gt;=$S36),$V36,IF(AND($R36&lt;&gt;"",EDATE($D36,Milestones!$AA$173)&gt;=$R36),$U36,$T36)))=Milestones!$AB$173),TEXT(EDATE($D36,Milestones!$AA$173),"dd/mm/yy")&amp;" "&amp;Milestones!$AB$173&amp;" "&amp;Milestones!$AC$173&amp;";  ","")&amp;IF(AND(EDATE($D36,Milestones!$AA$174)&lt;=AsOfDate,IF($Q36=0,$W36,IF(AND($S36&lt;&gt;"",EDATE($D36,Milestones!$AA$174)&gt;=$S36),$V36,IF(AND($R36&lt;&gt;"",EDATE($D36,Milestones!$AA$174)&gt;=$R36),$U36,$T36)))=Milestones!$AB$174),TEXT(EDATE($D36,Milestones!$AA$174),"dd/mm/yy")&amp;" "&amp;Milestones!$AB$174&amp;" "&amp;Milestones!$AC$174&amp;";  ","")&amp;IF(AND(EDATE($D36,Milestones!$AA$175)&lt;=AsOfDate,IF($Q36=0,$W36,IF(AND($S36&lt;&gt;"",EDATE($D36,Milestones!$AA$175)&gt;=$S36),$V36,IF(AND($R36&lt;&gt;"",EDATE($D36,Milestones!$AA$175)&gt;=$R36),$U36,$T36)))=Milestones!$AB$175),TEXT(EDATE($D36,Milestones!$AA$175),"dd/mm/yy")&amp;" "&amp;Milestones!$AB$175&amp;" "&amp;Milestones!$AC$175&amp;";  ","")&amp;IF(AND(EDATE($D36,Milestones!$AA$176)&lt;=AsOfDate,IF($Q36=0,$W36,IF(AND($S36&lt;&gt;"",EDATE($D36,Milestones!$AA$176)&gt;=$S36),$V36,IF(AND($R36&lt;&gt;"",EDATE($D36,Milestones!$AA$176)&gt;=$R36),$U36,$T36)))=Milestones!$AB$176),TEXT(EDATE($D36,Milestones!$AA$176),"dd/mm/yy")&amp;" "&amp;Milestones!$AB$176&amp;" "&amp;Milestones!$AC$176&amp;";  ","")&amp;IF(AND(EDATE($D36,Milestones!$AA$177)&lt;=AsOfDate,IF($Q36=0,$W36,IF(AND($S36&lt;&gt;"",EDATE($D36,Milestones!$AA$177)&gt;=$S36),$V36,IF(AND($R36&lt;&gt;"",EDATE($D36,Milestones!$AA$177)&gt;=$R36),$U36,$T36)))=Milestones!$AB$177),TEXT(EDATE($D36,Milestones!$AA$177),"dd/mm/yy")&amp;" "&amp;Milestones!$AB$177&amp;" "&amp;Milestones!$AC$177&amp;";  ","")&amp;IF(AND(EDATE($D36,Milestones!$AA$178)&lt;=AsOfDate,IF($Q36=0,$W36,IF(AND($S36&lt;&gt;"",EDATE($D36,Milestones!$AA$178)&gt;=$S36),$V36,IF(AND($R36&lt;&gt;"",EDATE($D36,Milestones!$AA$178)&gt;=$R36),$U36,$T36)))=Milestones!$AB$178),TEXT(EDATE($D36,Milestones!$AA$178),"dd/mm/yy")&amp;" "&amp;Milestones!$AB$178&amp;" "&amp;Milestones!$AC$178&amp;";  ","")&amp;IF(AND(EDATE($D36,Milestones!$AA$179)&lt;=AsOfDate,IF($Q36=0,$W36,IF(AND($S36&lt;&gt;"",EDATE($D36,Milestones!$AA$179)&gt;=$S36),$V36,IF(AND($R36&lt;&gt;"",EDATE($D36,Milestones!$AA$179)&gt;=$R36),$U36,$T36)))=Milestones!$AB$179),TEXT(EDATE($D36,Milestones!$AA$179),"dd/mm/yy")&amp;" "&amp;Milestones!$AB$179&amp;" "&amp;Milestones!$AC$179&amp;";  ",""))</f>
        <v/>
      </c>
      <c r="P36" s="0" t="str">
        <f aca="false">IF(OR($A36="",$D36=""),"",IF(AND(EDATE($D36,Milestones!$AA$180)&lt;=AsOfDate,IF($Q36=0,$W36,IF(AND($S36&lt;&gt;"",EDATE($D36,Milestones!$AA$180)&gt;=$S36),$V36,IF(AND($R36&lt;&gt;"",EDATE($D36,Milestones!$AA$180)&gt;=$R36),$U36,$T36)))=Milestones!$AB$180),TEXT(EDATE($D36,Milestones!$AA$180),"dd/mm/yy")&amp;" "&amp;Milestones!$AB$180&amp;" "&amp;Milestones!$AC$180&amp;";  ","")&amp;IF(AND(EDATE($D36,Milestones!$AA$181)&lt;=AsOfDate,IF($Q36=0,$W36,IF(AND($S36&lt;&gt;"",EDATE($D36,Milestones!$AA$181)&gt;=$S36),$V36,IF(AND($R36&lt;&gt;"",EDATE($D36,Milestones!$AA$181)&gt;=$R36),$U36,$T36)))=Milestones!$AB$181),TEXT(EDATE($D36,Milestones!$AA$181),"dd/mm/yy")&amp;" "&amp;Milestones!$AB$181&amp;" "&amp;Milestones!$AC$181&amp;";  ","")&amp;IF(AND(EDATE($D36,Milestones!$AA$182)&lt;=AsOfDate,IF($Q36=0,$W36,IF(AND($S36&lt;&gt;"",EDATE($D36,Milestones!$AA$182)&gt;=$S36),$V36,IF(AND($R36&lt;&gt;"",EDATE($D36,Milestones!$AA$182)&gt;=$R36),$U36,$T36)))=Milestones!$AB$182),TEXT(EDATE($D36,Milestones!$AA$182),"dd/mm/yy")&amp;" "&amp;Milestones!$AB$182&amp;" "&amp;Milestones!$AC$182&amp;";  ","")&amp;IF(AND(EDATE($D36,Milestones!$AA$183)&lt;=AsOfDate,IF($Q36=0,$W36,IF(AND($S36&lt;&gt;"",EDATE($D36,Milestones!$AA$183)&gt;=$S36),$V36,IF(AND($R36&lt;&gt;"",EDATE($D36,Milestones!$AA$183)&gt;=$R36),$U36,$T36)))=Milestones!$AB$183),TEXT(EDATE($D36,Milestones!$AA$183),"dd/mm/yy")&amp;" "&amp;Milestones!$AB$183&amp;" "&amp;Milestones!$AC$183&amp;";  ","")&amp;IF(AND(EDATE($D36,Milestones!$AA$184)&lt;=AsOfDate,IF($Q36=0,$W36,IF(AND($S36&lt;&gt;"",EDATE($D36,Milestones!$AA$184)&gt;=$S36),$V36,IF(AND($R36&lt;&gt;"",EDATE($D36,Milestones!$AA$184)&gt;=$R36),$U36,$T36)))=Milestones!$AB$184),TEXT(EDATE($D36,Milestones!$AA$184),"dd/mm/yy")&amp;" "&amp;Milestones!$AB$184&amp;" "&amp;Milestones!$AC$184&amp;";  ","")&amp;IF(AND(EDATE($D36,Milestones!$AA$185)&lt;=AsOfDate,IF($Q36=0,$W36,IF(AND($S36&lt;&gt;"",EDATE($D36,Milestones!$AA$185)&gt;=$S36),$V36,IF(AND($R36&lt;&gt;"",EDATE($D36,Milestones!$AA$185)&gt;=$R36),$U36,$T36)))=Milestones!$AB$185),TEXT(EDATE($D36,Milestones!$AA$185),"dd/mm/yy")&amp;" "&amp;Milestones!$AB$185&amp;" "&amp;Milestones!$AC$185&amp;";  ","")&amp;IF(AND(EDATE($D36,Milestones!$AA$186)&lt;=AsOfDate,IF($Q36=0,$W36,IF(AND($S36&lt;&gt;"",EDATE($D36,Milestones!$AA$186)&gt;=$S36),$V36,IF(AND($R36&lt;&gt;"",EDATE($D36,Milestones!$AA$186)&gt;=$R36),$U36,$T36)))=Milestones!$AB$186),TEXT(EDATE($D36,Milestones!$AA$186),"dd/mm/yy")&amp;" "&amp;Milestones!$AB$186&amp;" "&amp;Milestones!$AC$186&amp;";  ","")&amp;IF(AND(EDATE($D36,Milestones!$AA$187)&lt;=AsOfDate,IF($Q36=0,$W36,IF(AND($S36&lt;&gt;"",EDATE($D36,Milestones!$AA$187)&gt;=$S36),$V36,IF(AND($R36&lt;&gt;"",EDATE($D36,Milestones!$AA$187)&gt;=$R36),$U36,$T36)))=Milestones!$AB$187),TEXT(EDATE($D36,Milestones!$AA$187),"dd/mm/yy")&amp;" "&amp;Milestones!$AB$187&amp;" "&amp;Milestones!$AC$187&amp;";  ","")&amp;IF(AND(EDATE($D36,Milestones!$AA$188)&lt;=AsOfDate,IF($Q36=0,$W36,IF(AND($S36&lt;&gt;"",EDATE($D36,Milestones!$AA$188)&gt;=$S36),$V36,IF(AND($R36&lt;&gt;"",EDATE($D36,Milestones!$AA$188)&gt;=$R36),$U36,$T36)))=Milestones!$AB$188),TEXT(EDATE($D36,Milestones!$AA$188),"dd/mm/yy")&amp;" "&amp;Milestones!$AB$188&amp;" "&amp;Milestones!$AC$188&amp;";  ","")&amp;IF(AND(EDATE($D36,Milestones!$AA$189)&lt;=AsOfDate,IF($Q36=0,$W36,IF(AND($S36&lt;&gt;"",EDATE($D36,Milestones!$AA$189)&gt;=$S36),$V36,IF(AND($R36&lt;&gt;"",EDATE($D36,Milestones!$AA$189)&gt;=$R36),$U36,$T36)))=Milestones!$AB$189),TEXT(EDATE($D36,Milestones!$AA$189),"dd/mm/yy")&amp;" "&amp;Milestones!$AB$189&amp;" "&amp;Milestones!$AC$189&amp;";  ","")&amp;IF(AND(EDATE($D36,Milestones!$AA$190)&lt;=AsOfDate,IF($Q36=0,$W36,IF(AND($S36&lt;&gt;"",EDATE($D36,Milestones!$AA$190)&gt;=$S36),$V36,IF(AND($R36&lt;&gt;"",EDATE($D36,Milestones!$AA$190)&gt;=$R36),$U36,$T36)))=Milestones!$AB$190),TEXT(EDATE($D36,Milestones!$AA$190),"dd/mm/yy")&amp;" "&amp;Milestones!$AB$190&amp;" "&amp;Milestones!$AC$190&amp;";  ","")&amp;IF(AND(EDATE($D36,Milestones!$AA$191)&lt;=AsOfDate,IF($Q36=0,$W36,IF(AND($S36&lt;&gt;"",EDATE($D36,Milestones!$AA$191)&gt;=$S36),$V36,IF(AND($R36&lt;&gt;"",EDATE($D36,Milestones!$AA$191)&gt;=$R36),$U36,$T36)))=Milestones!$AB$191),TEXT(EDATE($D36,Milestones!$AA$191),"dd/mm/yy")&amp;" "&amp;Milestones!$AB$191&amp;" "&amp;Milestones!$AC$191&amp;";  ","")&amp;IF(AND(EDATE($D36,Milestones!$AA$192)&lt;=AsOfDate,IF($Q36=0,$W36,IF(AND($S36&lt;&gt;"",EDATE($D36,Milestones!$AA$192)&gt;=$S36),$V36,IF(AND($R36&lt;&gt;"",EDATE($D36,Milestones!$AA$192)&gt;=$R36),$U36,$T36)))=Milestones!$AB$192),TEXT(EDATE($D36,Milestones!$AA$192),"dd/mm/yy")&amp;" "&amp;Milestones!$AB$192&amp;" "&amp;Milestones!$AC$192&amp;";  ","")&amp;IF(AND(EDATE($D36,Milestones!$AA$193)&lt;=AsOfDate,IF($Q36=0,$W36,IF(AND($S36&lt;&gt;"",EDATE($D36,Milestones!$AA$193)&gt;=$S36),$V36,IF(AND($R36&lt;&gt;"",EDATE($D36,Milestones!$AA$193)&gt;=$R36),$U36,$T36)))=Milestones!$AB$193),TEXT(EDATE($D36,Milestones!$AA$193),"dd/mm/yy")&amp;" "&amp;Milestones!$AB$193&amp;" "&amp;Milestones!$AC$193&amp;";  ","")&amp;IF(AND(EDATE($D36,Milestones!$AA$194)&lt;=AsOfDate,IF($Q36=0,$W36,IF(AND($S36&lt;&gt;"",EDATE($D36,Milestones!$AA$194)&gt;=$S36),$V36,IF(AND($R36&lt;&gt;"",EDATE($D36,Milestones!$AA$194)&gt;=$R36),$U36,$T36)))=Milestones!$AB$194),TEXT(EDATE($D36,Milestones!$AA$194),"dd/mm/yy")&amp;" "&amp;Milestones!$AB$194&amp;" "&amp;Milestones!$AC$194&amp;";  ","")&amp;IF(AND(EDATE($D36,Milestones!$AA$195)&lt;=AsOfDate,IF($Q36=0,$W36,IF(AND($S36&lt;&gt;"",EDATE($D36,Milestones!$AA$195)&gt;=$S36),$V36,IF(AND($R36&lt;&gt;"",EDATE($D36,Milestones!$AA$195)&gt;=$R36),$U36,$T36)))=Milestones!$AB$195),TEXT(EDATE($D36,Milestones!$AA$195),"dd/mm/yy")&amp;" "&amp;Milestones!$AB$195&amp;" "&amp;Milestones!$AC$195&amp;";  ","")&amp;IF(AND(EDATE($D36,Milestones!$AA$196)&lt;=AsOfDate,IF($Q36=0,$W36,IF(AND($S36&lt;&gt;"",EDATE($D36,Milestones!$AA$196)&gt;=$S36),$V36,IF(AND($R36&lt;&gt;"",EDATE($D36,Milestones!$AA$196)&gt;=$R36),$U36,$T36)))=Milestones!$AB$196),TEXT(EDATE($D36,Milestones!$AA$196),"dd/mm/yy")&amp;" "&amp;Milestones!$AB$196&amp;" "&amp;Milestones!$AC$196&amp;";  ","")&amp;IF(AND(EDATE($D36,Milestones!$AA$197)&lt;=AsOfDate,IF($Q36=0,$W36,IF(AND($S36&lt;&gt;"",EDATE($D36,Milestones!$AA$197)&gt;=$S36),$V36,IF(AND($R36&lt;&gt;"",EDATE($D36,Milestones!$AA$197)&gt;=$R36),$U36,$T36)))=Milestones!$AB$197),TEXT(EDATE($D36,Milestones!$AA$197),"dd/mm/yy")&amp;" "&amp;Milestones!$AB$197&amp;" "&amp;Milestones!$AC$197&amp;";  ","")&amp;IF(AND(EDATE($D36,Milestones!$AA$198)&lt;=AsOfDate,IF($Q36=0,$W36,IF(AND($S36&lt;&gt;"",EDATE($D36,Milestones!$AA$198)&gt;=$S36),$V36,IF(AND($R36&lt;&gt;"",EDATE($D36,Milestones!$AA$198)&gt;=$R36),$U36,$T36)))=Milestones!$AB$198),TEXT(EDATE($D36,Milestones!$AA$198),"dd/mm/yy")&amp;" "&amp;Milestones!$AB$198&amp;" "&amp;Milestones!$AC$198&amp;";  ","")&amp;IF(AND(EDATE($D36,Milestones!$AA$199)&lt;=AsOfDate,IF($Q36=0,$W36,IF(AND($S36&lt;&gt;"",EDATE($D36,Milestones!$AA$199)&gt;=$S36),$V36,IF(AND($R36&lt;&gt;"",EDATE($D36,Milestones!$AA$199)&gt;=$R36),$U36,$T36)))=Milestones!$AB$199),TEXT(EDATE($D36,Milestones!$AA$199),"dd/mm/yy")&amp;" "&amp;Milestones!$AB$199&amp;" "&amp;Milestones!$AC$199&amp;";  ",""))</f>
        <v/>
      </c>
      <c r="Q36" s="0" t="str">
        <f aca="false">IF(Staff!$A36="","",Staff!$AG36)</f>
        <v/>
      </c>
      <c r="R36" s="0" t="str">
        <f aca="false">IF(Staff!$A36="","",Staff!$AI36)</f>
        <v/>
      </c>
      <c r="S36" s="0" t="str">
        <f aca="false">IF(Staff!$A36="","",Staff!$AJ36)</f>
        <v/>
      </c>
      <c r="T36" s="0" t="str">
        <f aca="false">IF(Staff!$A36="","",Staff!$AN36)</f>
        <v/>
      </c>
      <c r="U36" s="0" t="str">
        <f aca="false">IF(Staff!$A36="","",Staff!$AO36)</f>
        <v/>
      </c>
      <c r="V36" s="0" t="str">
        <f aca="false">IF(Staff!$A36="","",Staff!$AP36)</f>
        <v/>
      </c>
      <c r="W36" s="0" t="str">
        <f aca="false">IF(Staff!$A36="","",Staff!$AQ36)</f>
        <v/>
      </c>
    </row>
    <row r="37" customFormat="false" ht="15" hidden="false" customHeight="false" outlineLevel="0" collapsed="false">
      <c r="A37" s="13" t="str">
        <f aca="false">IF(Staff!$A37="","",Staff!$A37)</f>
        <v/>
      </c>
      <c r="B37" s="13" t="str">
        <f aca="false">IF(Staff!$A37="","",Staff!$B37)</f>
        <v/>
      </c>
      <c r="C37" s="13" t="str">
        <f aca="false">IF(Staff!$A37="","",Staff!$C37)</f>
        <v/>
      </c>
      <c r="D37" s="11" t="str">
        <f aca="false">IF(Staff!$A37="","",Staff!$AF37)</f>
        <v/>
      </c>
      <c r="E37" s="13" t="str">
        <f aca="false">IF(Staff!$A37="","",Staff!$O37)</f>
        <v/>
      </c>
      <c r="F37" s="13" t="str">
        <f aca="false">IF(E37="","",E37*HoursPerDay)</f>
        <v/>
      </c>
      <c r="G37" s="26" t="str">
        <f aca="false">IF($A37="","",H37&amp;I37&amp;J37&amp;K37&amp;L37&amp;M37&amp;N37&amp;O37&amp;P37)</f>
        <v/>
      </c>
      <c r="H37" s="0" t="str">
        <f aca="false">IF(OR($A37="",$D37=""),"",IF(AND(EDATE($D37,Milestones!$AA$20)&lt;=AsOfDate,IF($Q37=0,$W37,IF(AND($S37&lt;&gt;"",EDATE($D37,Milestones!$AA$20)&gt;=$S37),$V37,IF(AND($R37&lt;&gt;"",EDATE($D37,Milestones!$AA$20)&gt;=$R37),$U37,$T37)))=Milestones!$AB$20),TEXT(EDATE($D37,Milestones!$AA$20),"dd/mm/yy")&amp;" "&amp;Milestones!$AB$20&amp;" "&amp;Milestones!$AC$20&amp;";  ","")&amp;IF(AND(EDATE($D37,Milestones!$AA$21)&lt;=AsOfDate,IF($Q37=0,$W37,IF(AND($S37&lt;&gt;"",EDATE($D37,Milestones!$AA$21)&gt;=$S37),$V37,IF(AND($R37&lt;&gt;"",EDATE($D37,Milestones!$AA$21)&gt;=$R37),$U37,$T37)))=Milestones!$AB$21),TEXT(EDATE($D37,Milestones!$AA$21),"dd/mm/yy")&amp;" "&amp;Milestones!$AB$21&amp;" "&amp;Milestones!$AC$21&amp;";  ","")&amp;IF(AND(EDATE($D37,Milestones!$AA$22)&lt;=AsOfDate,IF($Q37=0,$W37,IF(AND($S37&lt;&gt;"",EDATE($D37,Milestones!$AA$22)&gt;=$S37),$V37,IF(AND($R37&lt;&gt;"",EDATE($D37,Milestones!$AA$22)&gt;=$R37),$U37,$T37)))=Milestones!$AB$22),TEXT(EDATE($D37,Milestones!$AA$22),"dd/mm/yy")&amp;" "&amp;Milestones!$AB$22&amp;" "&amp;Milestones!$AC$22&amp;";  ","")&amp;IF(AND(EDATE($D37,Milestones!$AA$23)&lt;=AsOfDate,IF($Q37=0,$W37,IF(AND($S37&lt;&gt;"",EDATE($D37,Milestones!$AA$23)&gt;=$S37),$V37,IF(AND($R37&lt;&gt;"",EDATE($D37,Milestones!$AA$23)&gt;=$R37),$U37,$T37)))=Milestones!$AB$23),TEXT(EDATE($D37,Milestones!$AA$23),"dd/mm/yy")&amp;" "&amp;Milestones!$AB$23&amp;" "&amp;Milestones!$AC$23&amp;";  ","")&amp;IF(AND(EDATE($D37,Milestones!$AA$24)&lt;=AsOfDate,IF($Q37=0,$W37,IF(AND($S37&lt;&gt;"",EDATE($D37,Milestones!$AA$24)&gt;=$S37),$V37,IF(AND($R37&lt;&gt;"",EDATE($D37,Milestones!$AA$24)&gt;=$R37),$U37,$T37)))=Milestones!$AB$24),TEXT(EDATE($D37,Milestones!$AA$24),"dd/mm/yy")&amp;" "&amp;Milestones!$AB$24&amp;" "&amp;Milestones!$AC$24&amp;";  ","")&amp;IF(AND(EDATE($D37,Milestones!$AA$25)&lt;=AsOfDate,IF($Q37=0,$W37,IF(AND($S37&lt;&gt;"",EDATE($D37,Milestones!$AA$25)&gt;=$S37),$V37,IF(AND($R37&lt;&gt;"",EDATE($D37,Milestones!$AA$25)&gt;=$R37),$U37,$T37)))=Milestones!$AB$25),TEXT(EDATE($D37,Milestones!$AA$25),"dd/mm/yy")&amp;" "&amp;Milestones!$AB$25&amp;" "&amp;Milestones!$AC$25&amp;";  ","")&amp;IF(AND(EDATE($D37,Milestones!$AA$26)&lt;=AsOfDate,IF($Q37=0,$W37,IF(AND($S37&lt;&gt;"",EDATE($D37,Milestones!$AA$26)&gt;=$S37),$V37,IF(AND($R37&lt;&gt;"",EDATE($D37,Milestones!$AA$26)&gt;=$R37),$U37,$T37)))=Milestones!$AB$26),TEXT(EDATE($D37,Milestones!$AA$26),"dd/mm/yy")&amp;" "&amp;Milestones!$AB$26&amp;" "&amp;Milestones!$AC$26&amp;";  ","")&amp;IF(AND(EDATE($D37,Milestones!$AA$27)&lt;=AsOfDate,IF($Q37=0,$W37,IF(AND($S37&lt;&gt;"",EDATE($D37,Milestones!$AA$27)&gt;=$S37),$V37,IF(AND($R37&lt;&gt;"",EDATE($D37,Milestones!$AA$27)&gt;=$R37),$U37,$T37)))=Milestones!$AB$27),TEXT(EDATE($D37,Milestones!$AA$27),"dd/mm/yy")&amp;" "&amp;Milestones!$AB$27&amp;" "&amp;Milestones!$AC$27&amp;";  ","")&amp;IF(AND(EDATE($D37,Milestones!$AA$28)&lt;=AsOfDate,IF($Q37=0,$W37,IF(AND($S37&lt;&gt;"",EDATE($D37,Milestones!$AA$28)&gt;=$S37),$V37,IF(AND($R37&lt;&gt;"",EDATE($D37,Milestones!$AA$28)&gt;=$R37),$U37,$T37)))=Milestones!$AB$28),TEXT(EDATE($D37,Milestones!$AA$28),"dd/mm/yy")&amp;" "&amp;Milestones!$AB$28&amp;" "&amp;Milestones!$AC$28&amp;";  ","")&amp;IF(AND(EDATE($D37,Milestones!$AA$29)&lt;=AsOfDate,IF($Q37=0,$W37,IF(AND($S37&lt;&gt;"",EDATE($D37,Milestones!$AA$29)&gt;=$S37),$V37,IF(AND($R37&lt;&gt;"",EDATE($D37,Milestones!$AA$29)&gt;=$R37),$U37,$T37)))=Milestones!$AB$29),TEXT(EDATE($D37,Milestones!$AA$29),"dd/mm/yy")&amp;" "&amp;Milestones!$AB$29&amp;" "&amp;Milestones!$AC$29&amp;";  ","")&amp;IF(AND(EDATE($D37,Milestones!$AA$30)&lt;=AsOfDate,IF($Q37=0,$W37,IF(AND($S37&lt;&gt;"",EDATE($D37,Milestones!$AA$30)&gt;=$S37),$V37,IF(AND($R37&lt;&gt;"",EDATE($D37,Milestones!$AA$30)&gt;=$R37),$U37,$T37)))=Milestones!$AB$30),TEXT(EDATE($D37,Milestones!$AA$30),"dd/mm/yy")&amp;" "&amp;Milestones!$AB$30&amp;" "&amp;Milestones!$AC$30&amp;";  ","")&amp;IF(AND(EDATE($D37,Milestones!$AA$31)&lt;=AsOfDate,IF($Q37=0,$W37,IF(AND($S37&lt;&gt;"",EDATE($D37,Milestones!$AA$31)&gt;=$S37),$V37,IF(AND($R37&lt;&gt;"",EDATE($D37,Milestones!$AA$31)&gt;=$R37),$U37,$T37)))=Milestones!$AB$31),TEXT(EDATE($D37,Milestones!$AA$31),"dd/mm/yy")&amp;" "&amp;Milestones!$AB$31&amp;" "&amp;Milestones!$AC$31&amp;";  ","")&amp;IF(AND(EDATE($D37,Milestones!$AA$32)&lt;=AsOfDate,IF($Q37=0,$W37,IF(AND($S37&lt;&gt;"",EDATE($D37,Milestones!$AA$32)&gt;=$S37),$V37,IF(AND($R37&lt;&gt;"",EDATE($D37,Milestones!$AA$32)&gt;=$R37),$U37,$T37)))=Milestones!$AB$32),TEXT(EDATE($D37,Milestones!$AA$32),"dd/mm/yy")&amp;" "&amp;Milestones!$AB$32&amp;" "&amp;Milestones!$AC$32&amp;";  ","")&amp;IF(AND(EDATE($D37,Milestones!$AA$33)&lt;=AsOfDate,IF($Q37=0,$W37,IF(AND($S37&lt;&gt;"",EDATE($D37,Milestones!$AA$33)&gt;=$S37),$V37,IF(AND($R37&lt;&gt;"",EDATE($D37,Milestones!$AA$33)&gt;=$R37),$U37,$T37)))=Milestones!$AB$33),TEXT(EDATE($D37,Milestones!$AA$33),"dd/mm/yy")&amp;" "&amp;Milestones!$AB$33&amp;" "&amp;Milestones!$AC$33&amp;";  ","")&amp;IF(AND(EDATE($D37,Milestones!$AA$34)&lt;=AsOfDate,IF($Q37=0,$W37,IF(AND($S37&lt;&gt;"",EDATE($D37,Milestones!$AA$34)&gt;=$S37),$V37,IF(AND($R37&lt;&gt;"",EDATE($D37,Milestones!$AA$34)&gt;=$R37),$U37,$T37)))=Milestones!$AB$34),TEXT(EDATE($D37,Milestones!$AA$34),"dd/mm/yy")&amp;" "&amp;Milestones!$AB$34&amp;" "&amp;Milestones!$AC$34&amp;";  ","")&amp;IF(AND(EDATE($D37,Milestones!$AA$35)&lt;=AsOfDate,IF($Q37=0,$W37,IF(AND($S37&lt;&gt;"",EDATE($D37,Milestones!$AA$35)&gt;=$S37),$V37,IF(AND($R37&lt;&gt;"",EDATE($D37,Milestones!$AA$35)&gt;=$R37),$U37,$T37)))=Milestones!$AB$35),TEXT(EDATE($D37,Milestones!$AA$35),"dd/mm/yy")&amp;" "&amp;Milestones!$AB$35&amp;" "&amp;Milestones!$AC$35&amp;";  ","")&amp;IF(AND(EDATE($D37,Milestones!$AA$36)&lt;=AsOfDate,IF($Q37=0,$W37,IF(AND($S37&lt;&gt;"",EDATE($D37,Milestones!$AA$36)&gt;=$S37),$V37,IF(AND($R37&lt;&gt;"",EDATE($D37,Milestones!$AA$36)&gt;=$R37),$U37,$T37)))=Milestones!$AB$36),TEXT(EDATE($D37,Milestones!$AA$36),"dd/mm/yy")&amp;" "&amp;Milestones!$AB$36&amp;" "&amp;Milestones!$AC$36&amp;";  ","")&amp;IF(AND(EDATE($D37,Milestones!$AA$37)&lt;=AsOfDate,IF($Q37=0,$W37,IF(AND($S37&lt;&gt;"",EDATE($D37,Milestones!$AA$37)&gt;=$S37),$V37,IF(AND($R37&lt;&gt;"",EDATE($D37,Milestones!$AA$37)&gt;=$R37),$U37,$T37)))=Milestones!$AB$37),TEXT(EDATE($D37,Milestones!$AA$37),"dd/mm/yy")&amp;" "&amp;Milestones!$AB$37&amp;" "&amp;Milestones!$AC$37&amp;";  ","")&amp;IF(AND(EDATE($D37,Milestones!$AA$38)&lt;=AsOfDate,IF($Q37=0,$W37,IF(AND($S37&lt;&gt;"",EDATE($D37,Milestones!$AA$38)&gt;=$S37),$V37,IF(AND($R37&lt;&gt;"",EDATE($D37,Milestones!$AA$38)&gt;=$R37),$U37,$T37)))=Milestones!$AB$38),TEXT(EDATE($D37,Milestones!$AA$38),"dd/mm/yy")&amp;" "&amp;Milestones!$AB$38&amp;" "&amp;Milestones!$AC$38&amp;";  ","")&amp;IF(AND(EDATE($D37,Milestones!$AA$39)&lt;=AsOfDate,IF($Q37=0,$W37,IF(AND($S37&lt;&gt;"",EDATE($D37,Milestones!$AA$39)&gt;=$S37),$V37,IF(AND($R37&lt;&gt;"",EDATE($D37,Milestones!$AA$39)&gt;=$R37),$U37,$T37)))=Milestones!$AB$39),TEXT(EDATE($D37,Milestones!$AA$39),"dd/mm/yy")&amp;" "&amp;Milestones!$AB$39&amp;" "&amp;Milestones!$AC$39&amp;";  ",""))</f>
        <v/>
      </c>
      <c r="I37" s="0" t="str">
        <f aca="false">IF(OR($A37="",$D37=""),"",IF(AND(EDATE($D37,Milestones!$AA$40)&lt;=AsOfDate,IF($Q37=0,$W37,IF(AND($S37&lt;&gt;"",EDATE($D37,Milestones!$AA$40)&gt;=$S37),$V37,IF(AND($R37&lt;&gt;"",EDATE($D37,Milestones!$AA$40)&gt;=$R37),$U37,$T37)))=Milestones!$AB$40),TEXT(EDATE($D37,Milestones!$AA$40),"dd/mm/yy")&amp;" "&amp;Milestones!$AB$40&amp;" "&amp;Milestones!$AC$40&amp;";  ","")&amp;IF(AND(EDATE($D37,Milestones!$AA$41)&lt;=AsOfDate,IF($Q37=0,$W37,IF(AND($S37&lt;&gt;"",EDATE($D37,Milestones!$AA$41)&gt;=$S37),$V37,IF(AND($R37&lt;&gt;"",EDATE($D37,Milestones!$AA$41)&gt;=$R37),$U37,$T37)))=Milestones!$AB$41),TEXT(EDATE($D37,Milestones!$AA$41),"dd/mm/yy")&amp;" "&amp;Milestones!$AB$41&amp;" "&amp;Milestones!$AC$41&amp;";  ","")&amp;IF(AND(EDATE($D37,Milestones!$AA$42)&lt;=AsOfDate,IF($Q37=0,$W37,IF(AND($S37&lt;&gt;"",EDATE($D37,Milestones!$AA$42)&gt;=$S37),$V37,IF(AND($R37&lt;&gt;"",EDATE($D37,Milestones!$AA$42)&gt;=$R37),$U37,$T37)))=Milestones!$AB$42),TEXT(EDATE($D37,Milestones!$AA$42),"dd/mm/yy")&amp;" "&amp;Milestones!$AB$42&amp;" "&amp;Milestones!$AC$42&amp;";  ","")&amp;IF(AND(EDATE($D37,Milestones!$AA$43)&lt;=AsOfDate,IF($Q37=0,$W37,IF(AND($S37&lt;&gt;"",EDATE($D37,Milestones!$AA$43)&gt;=$S37),$V37,IF(AND($R37&lt;&gt;"",EDATE($D37,Milestones!$AA$43)&gt;=$R37),$U37,$T37)))=Milestones!$AB$43),TEXT(EDATE($D37,Milestones!$AA$43),"dd/mm/yy")&amp;" "&amp;Milestones!$AB$43&amp;" "&amp;Milestones!$AC$43&amp;";  ","")&amp;IF(AND(EDATE($D37,Milestones!$AA$44)&lt;=AsOfDate,IF($Q37=0,$W37,IF(AND($S37&lt;&gt;"",EDATE($D37,Milestones!$AA$44)&gt;=$S37),$V37,IF(AND($R37&lt;&gt;"",EDATE($D37,Milestones!$AA$44)&gt;=$R37),$U37,$T37)))=Milestones!$AB$44),TEXT(EDATE($D37,Milestones!$AA$44),"dd/mm/yy")&amp;" "&amp;Milestones!$AB$44&amp;" "&amp;Milestones!$AC$44&amp;";  ","")&amp;IF(AND(EDATE($D37,Milestones!$AA$45)&lt;=AsOfDate,IF($Q37=0,$W37,IF(AND($S37&lt;&gt;"",EDATE($D37,Milestones!$AA$45)&gt;=$S37),$V37,IF(AND($R37&lt;&gt;"",EDATE($D37,Milestones!$AA$45)&gt;=$R37),$U37,$T37)))=Milestones!$AB$45),TEXT(EDATE($D37,Milestones!$AA$45),"dd/mm/yy")&amp;" "&amp;Milestones!$AB$45&amp;" "&amp;Milestones!$AC$45&amp;";  ","")&amp;IF(AND(EDATE($D37,Milestones!$AA$46)&lt;=AsOfDate,IF($Q37=0,$W37,IF(AND($S37&lt;&gt;"",EDATE($D37,Milestones!$AA$46)&gt;=$S37),$V37,IF(AND($R37&lt;&gt;"",EDATE($D37,Milestones!$AA$46)&gt;=$R37),$U37,$T37)))=Milestones!$AB$46),TEXT(EDATE($D37,Milestones!$AA$46),"dd/mm/yy")&amp;" "&amp;Milestones!$AB$46&amp;" "&amp;Milestones!$AC$46&amp;";  ","")&amp;IF(AND(EDATE($D37,Milestones!$AA$47)&lt;=AsOfDate,IF($Q37=0,$W37,IF(AND($S37&lt;&gt;"",EDATE($D37,Milestones!$AA$47)&gt;=$S37),$V37,IF(AND($R37&lt;&gt;"",EDATE($D37,Milestones!$AA$47)&gt;=$R37),$U37,$T37)))=Milestones!$AB$47),TEXT(EDATE($D37,Milestones!$AA$47),"dd/mm/yy")&amp;" "&amp;Milestones!$AB$47&amp;" "&amp;Milestones!$AC$47&amp;";  ","")&amp;IF(AND(EDATE($D37,Milestones!$AA$48)&lt;=AsOfDate,IF($Q37=0,$W37,IF(AND($S37&lt;&gt;"",EDATE($D37,Milestones!$AA$48)&gt;=$S37),$V37,IF(AND($R37&lt;&gt;"",EDATE($D37,Milestones!$AA$48)&gt;=$R37),$U37,$T37)))=Milestones!$AB$48),TEXT(EDATE($D37,Milestones!$AA$48),"dd/mm/yy")&amp;" "&amp;Milestones!$AB$48&amp;" "&amp;Milestones!$AC$48&amp;";  ","")&amp;IF(AND(EDATE($D37,Milestones!$AA$49)&lt;=AsOfDate,IF($Q37=0,$W37,IF(AND($S37&lt;&gt;"",EDATE($D37,Milestones!$AA$49)&gt;=$S37),$V37,IF(AND($R37&lt;&gt;"",EDATE($D37,Milestones!$AA$49)&gt;=$R37),$U37,$T37)))=Milestones!$AB$49),TEXT(EDATE($D37,Milestones!$AA$49),"dd/mm/yy")&amp;" "&amp;Milestones!$AB$49&amp;" "&amp;Milestones!$AC$49&amp;";  ","")&amp;IF(AND(EDATE($D37,Milestones!$AA$50)&lt;=AsOfDate,IF($Q37=0,$W37,IF(AND($S37&lt;&gt;"",EDATE($D37,Milestones!$AA$50)&gt;=$S37),$V37,IF(AND($R37&lt;&gt;"",EDATE($D37,Milestones!$AA$50)&gt;=$R37),$U37,$T37)))=Milestones!$AB$50),TEXT(EDATE($D37,Milestones!$AA$50),"dd/mm/yy")&amp;" "&amp;Milestones!$AB$50&amp;" "&amp;Milestones!$AC$50&amp;";  ","")&amp;IF(AND(EDATE($D37,Milestones!$AA$51)&lt;=AsOfDate,IF($Q37=0,$W37,IF(AND($S37&lt;&gt;"",EDATE($D37,Milestones!$AA$51)&gt;=$S37),$V37,IF(AND($R37&lt;&gt;"",EDATE($D37,Milestones!$AA$51)&gt;=$R37),$U37,$T37)))=Milestones!$AB$51),TEXT(EDATE($D37,Milestones!$AA$51),"dd/mm/yy")&amp;" "&amp;Milestones!$AB$51&amp;" "&amp;Milestones!$AC$51&amp;";  ","")&amp;IF(AND(EDATE($D37,Milestones!$AA$52)&lt;=AsOfDate,IF($Q37=0,$W37,IF(AND($S37&lt;&gt;"",EDATE($D37,Milestones!$AA$52)&gt;=$S37),$V37,IF(AND($R37&lt;&gt;"",EDATE($D37,Milestones!$AA$52)&gt;=$R37),$U37,$T37)))=Milestones!$AB$52),TEXT(EDATE($D37,Milestones!$AA$52),"dd/mm/yy")&amp;" "&amp;Milestones!$AB$52&amp;" "&amp;Milestones!$AC$52&amp;";  ","")&amp;IF(AND(EDATE($D37,Milestones!$AA$53)&lt;=AsOfDate,IF($Q37=0,$W37,IF(AND($S37&lt;&gt;"",EDATE($D37,Milestones!$AA$53)&gt;=$S37),$V37,IF(AND($R37&lt;&gt;"",EDATE($D37,Milestones!$AA$53)&gt;=$R37),$U37,$T37)))=Milestones!$AB$53),TEXT(EDATE($D37,Milestones!$AA$53),"dd/mm/yy")&amp;" "&amp;Milestones!$AB$53&amp;" "&amp;Milestones!$AC$53&amp;";  ","")&amp;IF(AND(EDATE($D37,Milestones!$AA$54)&lt;=AsOfDate,IF($Q37=0,$W37,IF(AND($S37&lt;&gt;"",EDATE($D37,Milestones!$AA$54)&gt;=$S37),$V37,IF(AND($R37&lt;&gt;"",EDATE($D37,Milestones!$AA$54)&gt;=$R37),$U37,$T37)))=Milestones!$AB$54),TEXT(EDATE($D37,Milestones!$AA$54),"dd/mm/yy")&amp;" "&amp;Milestones!$AB$54&amp;" "&amp;Milestones!$AC$54&amp;";  ","")&amp;IF(AND(EDATE($D37,Milestones!$AA$55)&lt;=AsOfDate,IF($Q37=0,$W37,IF(AND($S37&lt;&gt;"",EDATE($D37,Milestones!$AA$55)&gt;=$S37),$V37,IF(AND($R37&lt;&gt;"",EDATE($D37,Milestones!$AA$55)&gt;=$R37),$U37,$T37)))=Milestones!$AB$55),TEXT(EDATE($D37,Milestones!$AA$55),"dd/mm/yy")&amp;" "&amp;Milestones!$AB$55&amp;" "&amp;Milestones!$AC$55&amp;";  ","")&amp;IF(AND(EDATE($D37,Milestones!$AA$56)&lt;=AsOfDate,IF($Q37=0,$W37,IF(AND($S37&lt;&gt;"",EDATE($D37,Milestones!$AA$56)&gt;=$S37),$V37,IF(AND($R37&lt;&gt;"",EDATE($D37,Milestones!$AA$56)&gt;=$R37),$U37,$T37)))=Milestones!$AB$56),TEXT(EDATE($D37,Milestones!$AA$56),"dd/mm/yy")&amp;" "&amp;Milestones!$AB$56&amp;" "&amp;Milestones!$AC$56&amp;";  ","")&amp;IF(AND(EDATE($D37,Milestones!$AA$57)&lt;=AsOfDate,IF($Q37=0,$W37,IF(AND($S37&lt;&gt;"",EDATE($D37,Milestones!$AA$57)&gt;=$S37),$V37,IF(AND($R37&lt;&gt;"",EDATE($D37,Milestones!$AA$57)&gt;=$R37),$U37,$T37)))=Milestones!$AB$57),TEXT(EDATE($D37,Milestones!$AA$57),"dd/mm/yy")&amp;" "&amp;Milestones!$AB$57&amp;" "&amp;Milestones!$AC$57&amp;";  ","")&amp;IF(AND(EDATE($D37,Milestones!$AA$58)&lt;=AsOfDate,IF($Q37=0,$W37,IF(AND($S37&lt;&gt;"",EDATE($D37,Milestones!$AA$58)&gt;=$S37),$V37,IF(AND($R37&lt;&gt;"",EDATE($D37,Milestones!$AA$58)&gt;=$R37),$U37,$T37)))=Milestones!$AB$58),TEXT(EDATE($D37,Milestones!$AA$58),"dd/mm/yy")&amp;" "&amp;Milestones!$AB$58&amp;" "&amp;Milestones!$AC$58&amp;";  ","")&amp;IF(AND(EDATE($D37,Milestones!$AA$59)&lt;=AsOfDate,IF($Q37=0,$W37,IF(AND($S37&lt;&gt;"",EDATE($D37,Milestones!$AA$59)&gt;=$S37),$V37,IF(AND($R37&lt;&gt;"",EDATE($D37,Milestones!$AA$59)&gt;=$R37),$U37,$T37)))=Milestones!$AB$59),TEXT(EDATE($D37,Milestones!$AA$59),"dd/mm/yy")&amp;" "&amp;Milestones!$AB$59&amp;" "&amp;Milestones!$AC$59&amp;";  ",""))</f>
        <v/>
      </c>
      <c r="J37" s="0" t="str">
        <f aca="false">IF(OR($A37="",$D37=""),"",IF(AND(EDATE($D37,Milestones!$AA$60)&lt;=AsOfDate,IF($Q37=0,$W37,IF(AND($S37&lt;&gt;"",EDATE($D37,Milestones!$AA$60)&gt;=$S37),$V37,IF(AND($R37&lt;&gt;"",EDATE($D37,Milestones!$AA$60)&gt;=$R37),$U37,$T37)))=Milestones!$AB$60),TEXT(EDATE($D37,Milestones!$AA$60),"dd/mm/yy")&amp;" "&amp;Milestones!$AB$60&amp;" "&amp;Milestones!$AC$60&amp;";  ","")&amp;IF(AND(EDATE($D37,Milestones!$AA$61)&lt;=AsOfDate,IF($Q37=0,$W37,IF(AND($S37&lt;&gt;"",EDATE($D37,Milestones!$AA$61)&gt;=$S37),$V37,IF(AND($R37&lt;&gt;"",EDATE($D37,Milestones!$AA$61)&gt;=$R37),$U37,$T37)))=Milestones!$AB$61),TEXT(EDATE($D37,Milestones!$AA$61),"dd/mm/yy")&amp;" "&amp;Milestones!$AB$61&amp;" "&amp;Milestones!$AC$61&amp;";  ","")&amp;IF(AND(EDATE($D37,Milestones!$AA$62)&lt;=AsOfDate,IF($Q37=0,$W37,IF(AND($S37&lt;&gt;"",EDATE($D37,Milestones!$AA$62)&gt;=$S37),$V37,IF(AND($R37&lt;&gt;"",EDATE($D37,Milestones!$AA$62)&gt;=$R37),$U37,$T37)))=Milestones!$AB$62),TEXT(EDATE($D37,Milestones!$AA$62),"dd/mm/yy")&amp;" "&amp;Milestones!$AB$62&amp;" "&amp;Milestones!$AC$62&amp;";  ","")&amp;IF(AND(EDATE($D37,Milestones!$AA$63)&lt;=AsOfDate,IF($Q37=0,$W37,IF(AND($S37&lt;&gt;"",EDATE($D37,Milestones!$AA$63)&gt;=$S37),$V37,IF(AND($R37&lt;&gt;"",EDATE($D37,Milestones!$AA$63)&gt;=$R37),$U37,$T37)))=Milestones!$AB$63),TEXT(EDATE($D37,Milestones!$AA$63),"dd/mm/yy")&amp;" "&amp;Milestones!$AB$63&amp;" "&amp;Milestones!$AC$63&amp;";  ","")&amp;IF(AND(EDATE($D37,Milestones!$AA$64)&lt;=AsOfDate,IF($Q37=0,$W37,IF(AND($S37&lt;&gt;"",EDATE($D37,Milestones!$AA$64)&gt;=$S37),$V37,IF(AND($R37&lt;&gt;"",EDATE($D37,Milestones!$AA$64)&gt;=$R37),$U37,$T37)))=Milestones!$AB$64),TEXT(EDATE($D37,Milestones!$AA$64),"dd/mm/yy")&amp;" "&amp;Milestones!$AB$64&amp;" "&amp;Milestones!$AC$64&amp;";  ","")&amp;IF(AND(EDATE($D37,Milestones!$AA$65)&lt;=AsOfDate,IF($Q37=0,$W37,IF(AND($S37&lt;&gt;"",EDATE($D37,Milestones!$AA$65)&gt;=$S37),$V37,IF(AND($R37&lt;&gt;"",EDATE($D37,Milestones!$AA$65)&gt;=$R37),$U37,$T37)))=Milestones!$AB$65),TEXT(EDATE($D37,Milestones!$AA$65),"dd/mm/yy")&amp;" "&amp;Milestones!$AB$65&amp;" "&amp;Milestones!$AC$65&amp;";  ","")&amp;IF(AND(EDATE($D37,Milestones!$AA$66)&lt;=AsOfDate,IF($Q37=0,$W37,IF(AND($S37&lt;&gt;"",EDATE($D37,Milestones!$AA$66)&gt;=$S37),$V37,IF(AND($R37&lt;&gt;"",EDATE($D37,Milestones!$AA$66)&gt;=$R37),$U37,$T37)))=Milestones!$AB$66),TEXT(EDATE($D37,Milestones!$AA$66),"dd/mm/yy")&amp;" "&amp;Milestones!$AB$66&amp;" "&amp;Milestones!$AC$66&amp;";  ","")&amp;IF(AND(EDATE($D37,Milestones!$AA$67)&lt;=AsOfDate,IF($Q37=0,$W37,IF(AND($S37&lt;&gt;"",EDATE($D37,Milestones!$AA$67)&gt;=$S37),$V37,IF(AND($R37&lt;&gt;"",EDATE($D37,Milestones!$AA$67)&gt;=$R37),$U37,$T37)))=Milestones!$AB$67),TEXT(EDATE($D37,Milestones!$AA$67),"dd/mm/yy")&amp;" "&amp;Milestones!$AB$67&amp;" "&amp;Milestones!$AC$67&amp;";  ","")&amp;IF(AND(EDATE($D37,Milestones!$AA$68)&lt;=AsOfDate,IF($Q37=0,$W37,IF(AND($S37&lt;&gt;"",EDATE($D37,Milestones!$AA$68)&gt;=$S37),$V37,IF(AND($R37&lt;&gt;"",EDATE($D37,Milestones!$AA$68)&gt;=$R37),$U37,$T37)))=Milestones!$AB$68),TEXT(EDATE($D37,Milestones!$AA$68),"dd/mm/yy")&amp;" "&amp;Milestones!$AB$68&amp;" "&amp;Milestones!$AC$68&amp;";  ","")&amp;IF(AND(EDATE($D37,Milestones!$AA$69)&lt;=AsOfDate,IF($Q37=0,$W37,IF(AND($S37&lt;&gt;"",EDATE($D37,Milestones!$AA$69)&gt;=$S37),$V37,IF(AND($R37&lt;&gt;"",EDATE($D37,Milestones!$AA$69)&gt;=$R37),$U37,$T37)))=Milestones!$AB$69),TEXT(EDATE($D37,Milestones!$AA$69),"dd/mm/yy")&amp;" "&amp;Milestones!$AB$69&amp;" "&amp;Milestones!$AC$69&amp;";  ","")&amp;IF(AND(EDATE($D37,Milestones!$AA$70)&lt;=AsOfDate,IF($Q37=0,$W37,IF(AND($S37&lt;&gt;"",EDATE($D37,Milestones!$AA$70)&gt;=$S37),$V37,IF(AND($R37&lt;&gt;"",EDATE($D37,Milestones!$AA$70)&gt;=$R37),$U37,$T37)))=Milestones!$AB$70),TEXT(EDATE($D37,Milestones!$AA$70),"dd/mm/yy")&amp;" "&amp;Milestones!$AB$70&amp;" "&amp;Milestones!$AC$70&amp;";  ","")&amp;IF(AND(EDATE($D37,Milestones!$AA$71)&lt;=AsOfDate,IF($Q37=0,$W37,IF(AND($S37&lt;&gt;"",EDATE($D37,Milestones!$AA$71)&gt;=$S37),$V37,IF(AND($R37&lt;&gt;"",EDATE($D37,Milestones!$AA$71)&gt;=$R37),$U37,$T37)))=Milestones!$AB$71),TEXT(EDATE($D37,Milestones!$AA$71),"dd/mm/yy")&amp;" "&amp;Milestones!$AB$71&amp;" "&amp;Milestones!$AC$71&amp;";  ","")&amp;IF(AND(EDATE($D37,Milestones!$AA$72)&lt;=AsOfDate,IF($Q37=0,$W37,IF(AND($S37&lt;&gt;"",EDATE($D37,Milestones!$AA$72)&gt;=$S37),$V37,IF(AND($R37&lt;&gt;"",EDATE($D37,Milestones!$AA$72)&gt;=$R37),$U37,$T37)))=Milestones!$AB$72),TEXT(EDATE($D37,Milestones!$AA$72),"dd/mm/yy")&amp;" "&amp;Milestones!$AB$72&amp;" "&amp;Milestones!$AC$72&amp;";  ","")&amp;IF(AND(EDATE($D37,Milestones!$AA$73)&lt;=AsOfDate,IF($Q37=0,$W37,IF(AND($S37&lt;&gt;"",EDATE($D37,Milestones!$AA$73)&gt;=$S37),$V37,IF(AND($R37&lt;&gt;"",EDATE($D37,Milestones!$AA$73)&gt;=$R37),$U37,$T37)))=Milestones!$AB$73),TEXT(EDATE($D37,Milestones!$AA$73),"dd/mm/yy")&amp;" "&amp;Milestones!$AB$73&amp;" "&amp;Milestones!$AC$73&amp;";  ","")&amp;IF(AND(EDATE($D37,Milestones!$AA$74)&lt;=AsOfDate,IF($Q37=0,$W37,IF(AND($S37&lt;&gt;"",EDATE($D37,Milestones!$AA$74)&gt;=$S37),$V37,IF(AND($R37&lt;&gt;"",EDATE($D37,Milestones!$AA$74)&gt;=$R37),$U37,$T37)))=Milestones!$AB$74),TEXT(EDATE($D37,Milestones!$AA$74),"dd/mm/yy")&amp;" "&amp;Milestones!$AB$74&amp;" "&amp;Milestones!$AC$74&amp;";  ","")&amp;IF(AND(EDATE($D37,Milestones!$AA$75)&lt;=AsOfDate,IF($Q37=0,$W37,IF(AND($S37&lt;&gt;"",EDATE($D37,Milestones!$AA$75)&gt;=$S37),$V37,IF(AND($R37&lt;&gt;"",EDATE($D37,Milestones!$AA$75)&gt;=$R37),$U37,$T37)))=Milestones!$AB$75),TEXT(EDATE($D37,Milestones!$AA$75),"dd/mm/yy")&amp;" "&amp;Milestones!$AB$75&amp;" "&amp;Milestones!$AC$75&amp;";  ","")&amp;IF(AND(EDATE($D37,Milestones!$AA$76)&lt;=AsOfDate,IF($Q37=0,$W37,IF(AND($S37&lt;&gt;"",EDATE($D37,Milestones!$AA$76)&gt;=$S37),$V37,IF(AND($R37&lt;&gt;"",EDATE($D37,Milestones!$AA$76)&gt;=$R37),$U37,$T37)))=Milestones!$AB$76),TEXT(EDATE($D37,Milestones!$AA$76),"dd/mm/yy")&amp;" "&amp;Milestones!$AB$76&amp;" "&amp;Milestones!$AC$76&amp;";  ","")&amp;IF(AND(EDATE($D37,Milestones!$AA$77)&lt;=AsOfDate,IF($Q37=0,$W37,IF(AND($S37&lt;&gt;"",EDATE($D37,Milestones!$AA$77)&gt;=$S37),$V37,IF(AND($R37&lt;&gt;"",EDATE($D37,Milestones!$AA$77)&gt;=$R37),$U37,$T37)))=Milestones!$AB$77),TEXT(EDATE($D37,Milestones!$AA$77),"dd/mm/yy")&amp;" "&amp;Milestones!$AB$77&amp;" "&amp;Milestones!$AC$77&amp;";  ","")&amp;IF(AND(EDATE($D37,Milestones!$AA$78)&lt;=AsOfDate,IF($Q37=0,$W37,IF(AND($S37&lt;&gt;"",EDATE($D37,Milestones!$AA$78)&gt;=$S37),$V37,IF(AND($R37&lt;&gt;"",EDATE($D37,Milestones!$AA$78)&gt;=$R37),$U37,$T37)))=Milestones!$AB$78),TEXT(EDATE($D37,Milestones!$AA$78),"dd/mm/yy")&amp;" "&amp;Milestones!$AB$78&amp;" "&amp;Milestones!$AC$78&amp;";  ","")&amp;IF(AND(EDATE($D37,Milestones!$AA$79)&lt;=AsOfDate,IF($Q37=0,$W37,IF(AND($S37&lt;&gt;"",EDATE($D37,Milestones!$AA$79)&gt;=$S37),$V37,IF(AND($R37&lt;&gt;"",EDATE($D37,Milestones!$AA$79)&gt;=$R37),$U37,$T37)))=Milestones!$AB$79),TEXT(EDATE($D37,Milestones!$AA$79),"dd/mm/yy")&amp;" "&amp;Milestones!$AB$79&amp;" "&amp;Milestones!$AC$79&amp;";  ",""))</f>
        <v/>
      </c>
      <c r="K37" s="0" t="str">
        <f aca="false">IF(OR($A37="",$D37=""),"",IF(AND(EDATE($D37,Milestones!$AA$80)&lt;=AsOfDate,IF($Q37=0,$W37,IF(AND($S37&lt;&gt;"",EDATE($D37,Milestones!$AA$80)&gt;=$S37),$V37,IF(AND($R37&lt;&gt;"",EDATE($D37,Milestones!$AA$80)&gt;=$R37),$U37,$T37)))=Milestones!$AB$80),TEXT(EDATE($D37,Milestones!$AA$80),"dd/mm/yy")&amp;" "&amp;Milestones!$AB$80&amp;" "&amp;Milestones!$AC$80&amp;";  ","")&amp;IF(AND(EDATE($D37,Milestones!$AA$81)&lt;=AsOfDate,IF($Q37=0,$W37,IF(AND($S37&lt;&gt;"",EDATE($D37,Milestones!$AA$81)&gt;=$S37),$V37,IF(AND($R37&lt;&gt;"",EDATE($D37,Milestones!$AA$81)&gt;=$R37),$U37,$T37)))=Milestones!$AB$81),TEXT(EDATE($D37,Milestones!$AA$81),"dd/mm/yy")&amp;" "&amp;Milestones!$AB$81&amp;" "&amp;Milestones!$AC$81&amp;";  ","")&amp;IF(AND(EDATE($D37,Milestones!$AA$82)&lt;=AsOfDate,IF($Q37=0,$W37,IF(AND($S37&lt;&gt;"",EDATE($D37,Milestones!$AA$82)&gt;=$S37),$V37,IF(AND($R37&lt;&gt;"",EDATE($D37,Milestones!$AA$82)&gt;=$R37),$U37,$T37)))=Milestones!$AB$82),TEXT(EDATE($D37,Milestones!$AA$82),"dd/mm/yy")&amp;" "&amp;Milestones!$AB$82&amp;" "&amp;Milestones!$AC$82&amp;";  ","")&amp;IF(AND(EDATE($D37,Milestones!$AA$83)&lt;=AsOfDate,IF($Q37=0,$W37,IF(AND($S37&lt;&gt;"",EDATE($D37,Milestones!$AA$83)&gt;=$S37),$V37,IF(AND($R37&lt;&gt;"",EDATE($D37,Milestones!$AA$83)&gt;=$R37),$U37,$T37)))=Milestones!$AB$83),TEXT(EDATE($D37,Milestones!$AA$83),"dd/mm/yy")&amp;" "&amp;Milestones!$AB$83&amp;" "&amp;Milestones!$AC$83&amp;";  ","")&amp;IF(AND(EDATE($D37,Milestones!$AA$84)&lt;=AsOfDate,IF($Q37=0,$W37,IF(AND($S37&lt;&gt;"",EDATE($D37,Milestones!$AA$84)&gt;=$S37),$V37,IF(AND($R37&lt;&gt;"",EDATE($D37,Milestones!$AA$84)&gt;=$R37),$U37,$T37)))=Milestones!$AB$84),TEXT(EDATE($D37,Milestones!$AA$84),"dd/mm/yy")&amp;" "&amp;Milestones!$AB$84&amp;" "&amp;Milestones!$AC$84&amp;";  ","")&amp;IF(AND(EDATE($D37,Milestones!$AA$85)&lt;=AsOfDate,IF($Q37=0,$W37,IF(AND($S37&lt;&gt;"",EDATE($D37,Milestones!$AA$85)&gt;=$S37),$V37,IF(AND($R37&lt;&gt;"",EDATE($D37,Milestones!$AA$85)&gt;=$R37),$U37,$T37)))=Milestones!$AB$85),TEXT(EDATE($D37,Milestones!$AA$85),"dd/mm/yy")&amp;" "&amp;Milestones!$AB$85&amp;" "&amp;Milestones!$AC$85&amp;";  ","")&amp;IF(AND(EDATE($D37,Milestones!$AA$86)&lt;=AsOfDate,IF($Q37=0,$W37,IF(AND($S37&lt;&gt;"",EDATE($D37,Milestones!$AA$86)&gt;=$S37),$V37,IF(AND($R37&lt;&gt;"",EDATE($D37,Milestones!$AA$86)&gt;=$R37),$U37,$T37)))=Milestones!$AB$86),TEXT(EDATE($D37,Milestones!$AA$86),"dd/mm/yy")&amp;" "&amp;Milestones!$AB$86&amp;" "&amp;Milestones!$AC$86&amp;";  ","")&amp;IF(AND(EDATE($D37,Milestones!$AA$87)&lt;=AsOfDate,IF($Q37=0,$W37,IF(AND($S37&lt;&gt;"",EDATE($D37,Milestones!$AA$87)&gt;=$S37),$V37,IF(AND($R37&lt;&gt;"",EDATE($D37,Milestones!$AA$87)&gt;=$R37),$U37,$T37)))=Milestones!$AB$87),TEXT(EDATE($D37,Milestones!$AA$87),"dd/mm/yy")&amp;" "&amp;Milestones!$AB$87&amp;" "&amp;Milestones!$AC$87&amp;";  ","")&amp;IF(AND(EDATE($D37,Milestones!$AA$88)&lt;=AsOfDate,IF($Q37=0,$W37,IF(AND($S37&lt;&gt;"",EDATE($D37,Milestones!$AA$88)&gt;=$S37),$V37,IF(AND($R37&lt;&gt;"",EDATE($D37,Milestones!$AA$88)&gt;=$R37),$U37,$T37)))=Milestones!$AB$88),TEXT(EDATE($D37,Milestones!$AA$88),"dd/mm/yy")&amp;" "&amp;Milestones!$AB$88&amp;" "&amp;Milestones!$AC$88&amp;";  ","")&amp;IF(AND(EDATE($D37,Milestones!$AA$89)&lt;=AsOfDate,IF($Q37=0,$W37,IF(AND($S37&lt;&gt;"",EDATE($D37,Milestones!$AA$89)&gt;=$S37),$V37,IF(AND($R37&lt;&gt;"",EDATE($D37,Milestones!$AA$89)&gt;=$R37),$U37,$T37)))=Milestones!$AB$89),TEXT(EDATE($D37,Milestones!$AA$89),"dd/mm/yy")&amp;" "&amp;Milestones!$AB$89&amp;" "&amp;Milestones!$AC$89&amp;";  ","")&amp;IF(AND(EDATE($D37,Milestones!$AA$90)&lt;=AsOfDate,IF($Q37=0,$W37,IF(AND($S37&lt;&gt;"",EDATE($D37,Milestones!$AA$90)&gt;=$S37),$V37,IF(AND($R37&lt;&gt;"",EDATE($D37,Milestones!$AA$90)&gt;=$R37),$U37,$T37)))=Milestones!$AB$90),TEXT(EDATE($D37,Milestones!$AA$90),"dd/mm/yy")&amp;" "&amp;Milestones!$AB$90&amp;" "&amp;Milestones!$AC$90&amp;";  ","")&amp;IF(AND(EDATE($D37,Milestones!$AA$91)&lt;=AsOfDate,IF($Q37=0,$W37,IF(AND($S37&lt;&gt;"",EDATE($D37,Milestones!$AA$91)&gt;=$S37),$V37,IF(AND($R37&lt;&gt;"",EDATE($D37,Milestones!$AA$91)&gt;=$R37),$U37,$T37)))=Milestones!$AB$91),TEXT(EDATE($D37,Milestones!$AA$91),"dd/mm/yy")&amp;" "&amp;Milestones!$AB$91&amp;" "&amp;Milestones!$AC$91&amp;";  ","")&amp;IF(AND(EDATE($D37,Milestones!$AA$92)&lt;=AsOfDate,IF($Q37=0,$W37,IF(AND($S37&lt;&gt;"",EDATE($D37,Milestones!$AA$92)&gt;=$S37),$V37,IF(AND($R37&lt;&gt;"",EDATE($D37,Milestones!$AA$92)&gt;=$R37),$U37,$T37)))=Milestones!$AB$92),TEXT(EDATE($D37,Milestones!$AA$92),"dd/mm/yy")&amp;" "&amp;Milestones!$AB$92&amp;" "&amp;Milestones!$AC$92&amp;";  ","")&amp;IF(AND(EDATE($D37,Milestones!$AA$93)&lt;=AsOfDate,IF($Q37=0,$W37,IF(AND($S37&lt;&gt;"",EDATE($D37,Milestones!$AA$93)&gt;=$S37),$V37,IF(AND($R37&lt;&gt;"",EDATE($D37,Milestones!$AA$93)&gt;=$R37),$U37,$T37)))=Milestones!$AB$93),TEXT(EDATE($D37,Milestones!$AA$93),"dd/mm/yy")&amp;" "&amp;Milestones!$AB$93&amp;" "&amp;Milestones!$AC$93&amp;";  ","")&amp;IF(AND(EDATE($D37,Milestones!$AA$94)&lt;=AsOfDate,IF($Q37=0,$W37,IF(AND($S37&lt;&gt;"",EDATE($D37,Milestones!$AA$94)&gt;=$S37),$V37,IF(AND($R37&lt;&gt;"",EDATE($D37,Milestones!$AA$94)&gt;=$R37),$U37,$T37)))=Milestones!$AB$94),TEXT(EDATE($D37,Milestones!$AA$94),"dd/mm/yy")&amp;" "&amp;Milestones!$AB$94&amp;" "&amp;Milestones!$AC$94&amp;";  ","")&amp;IF(AND(EDATE($D37,Milestones!$AA$95)&lt;=AsOfDate,IF($Q37=0,$W37,IF(AND($S37&lt;&gt;"",EDATE($D37,Milestones!$AA$95)&gt;=$S37),$V37,IF(AND($R37&lt;&gt;"",EDATE($D37,Milestones!$AA$95)&gt;=$R37),$U37,$T37)))=Milestones!$AB$95),TEXT(EDATE($D37,Milestones!$AA$95),"dd/mm/yy")&amp;" "&amp;Milestones!$AB$95&amp;" "&amp;Milestones!$AC$95&amp;";  ","")&amp;IF(AND(EDATE($D37,Milestones!$AA$96)&lt;=AsOfDate,IF($Q37=0,$W37,IF(AND($S37&lt;&gt;"",EDATE($D37,Milestones!$AA$96)&gt;=$S37),$V37,IF(AND($R37&lt;&gt;"",EDATE($D37,Milestones!$AA$96)&gt;=$R37),$U37,$T37)))=Milestones!$AB$96),TEXT(EDATE($D37,Milestones!$AA$96),"dd/mm/yy")&amp;" "&amp;Milestones!$AB$96&amp;" "&amp;Milestones!$AC$96&amp;";  ","")&amp;IF(AND(EDATE($D37,Milestones!$AA$97)&lt;=AsOfDate,IF($Q37=0,$W37,IF(AND($S37&lt;&gt;"",EDATE($D37,Milestones!$AA$97)&gt;=$S37),$V37,IF(AND($R37&lt;&gt;"",EDATE($D37,Milestones!$AA$97)&gt;=$R37),$U37,$T37)))=Milestones!$AB$97),TEXT(EDATE($D37,Milestones!$AA$97),"dd/mm/yy")&amp;" "&amp;Milestones!$AB$97&amp;" "&amp;Milestones!$AC$97&amp;";  ","")&amp;IF(AND(EDATE($D37,Milestones!$AA$98)&lt;=AsOfDate,IF($Q37=0,$W37,IF(AND($S37&lt;&gt;"",EDATE($D37,Milestones!$AA$98)&gt;=$S37),$V37,IF(AND($R37&lt;&gt;"",EDATE($D37,Milestones!$AA$98)&gt;=$R37),$U37,$T37)))=Milestones!$AB$98),TEXT(EDATE($D37,Milestones!$AA$98),"dd/mm/yy")&amp;" "&amp;Milestones!$AB$98&amp;" "&amp;Milestones!$AC$98&amp;";  ","")&amp;IF(AND(EDATE($D37,Milestones!$AA$99)&lt;=AsOfDate,IF($Q37=0,$W37,IF(AND($S37&lt;&gt;"",EDATE($D37,Milestones!$AA$99)&gt;=$S37),$V37,IF(AND($R37&lt;&gt;"",EDATE($D37,Milestones!$AA$99)&gt;=$R37),$U37,$T37)))=Milestones!$AB$99),TEXT(EDATE($D37,Milestones!$AA$99),"dd/mm/yy")&amp;" "&amp;Milestones!$AB$99&amp;" "&amp;Milestones!$AC$99&amp;";  ",""))</f>
        <v/>
      </c>
      <c r="L37" s="0" t="str">
        <f aca="false">IF(OR($A37="",$D37=""),"",IF(AND(EDATE($D37,Milestones!$AA$100)&lt;=AsOfDate,IF($Q37=0,$W37,IF(AND($S37&lt;&gt;"",EDATE($D37,Milestones!$AA$100)&gt;=$S37),$V37,IF(AND($R37&lt;&gt;"",EDATE($D37,Milestones!$AA$100)&gt;=$R37),$U37,$T37)))=Milestones!$AB$100),TEXT(EDATE($D37,Milestones!$AA$100),"dd/mm/yy")&amp;" "&amp;Milestones!$AB$100&amp;" "&amp;Milestones!$AC$100&amp;";  ","")&amp;IF(AND(EDATE($D37,Milestones!$AA$101)&lt;=AsOfDate,IF($Q37=0,$W37,IF(AND($S37&lt;&gt;"",EDATE($D37,Milestones!$AA$101)&gt;=$S37),$V37,IF(AND($R37&lt;&gt;"",EDATE($D37,Milestones!$AA$101)&gt;=$R37),$U37,$T37)))=Milestones!$AB$101),TEXT(EDATE($D37,Milestones!$AA$101),"dd/mm/yy")&amp;" "&amp;Milestones!$AB$101&amp;" "&amp;Milestones!$AC$101&amp;";  ","")&amp;IF(AND(EDATE($D37,Milestones!$AA$102)&lt;=AsOfDate,IF($Q37=0,$W37,IF(AND($S37&lt;&gt;"",EDATE($D37,Milestones!$AA$102)&gt;=$S37),$V37,IF(AND($R37&lt;&gt;"",EDATE($D37,Milestones!$AA$102)&gt;=$R37),$U37,$T37)))=Milestones!$AB$102),TEXT(EDATE($D37,Milestones!$AA$102),"dd/mm/yy")&amp;" "&amp;Milestones!$AB$102&amp;" "&amp;Milestones!$AC$102&amp;";  ","")&amp;IF(AND(EDATE($D37,Milestones!$AA$103)&lt;=AsOfDate,IF($Q37=0,$W37,IF(AND($S37&lt;&gt;"",EDATE($D37,Milestones!$AA$103)&gt;=$S37),$V37,IF(AND($R37&lt;&gt;"",EDATE($D37,Milestones!$AA$103)&gt;=$R37),$U37,$T37)))=Milestones!$AB$103),TEXT(EDATE($D37,Milestones!$AA$103),"dd/mm/yy")&amp;" "&amp;Milestones!$AB$103&amp;" "&amp;Milestones!$AC$103&amp;";  ","")&amp;IF(AND(EDATE($D37,Milestones!$AA$104)&lt;=AsOfDate,IF($Q37=0,$W37,IF(AND($S37&lt;&gt;"",EDATE($D37,Milestones!$AA$104)&gt;=$S37),$V37,IF(AND($R37&lt;&gt;"",EDATE($D37,Milestones!$AA$104)&gt;=$R37),$U37,$T37)))=Milestones!$AB$104),TEXT(EDATE($D37,Milestones!$AA$104),"dd/mm/yy")&amp;" "&amp;Milestones!$AB$104&amp;" "&amp;Milestones!$AC$104&amp;";  ","")&amp;IF(AND(EDATE($D37,Milestones!$AA$105)&lt;=AsOfDate,IF($Q37=0,$W37,IF(AND($S37&lt;&gt;"",EDATE($D37,Milestones!$AA$105)&gt;=$S37),$V37,IF(AND($R37&lt;&gt;"",EDATE($D37,Milestones!$AA$105)&gt;=$R37),$U37,$T37)))=Milestones!$AB$105),TEXT(EDATE($D37,Milestones!$AA$105),"dd/mm/yy")&amp;" "&amp;Milestones!$AB$105&amp;" "&amp;Milestones!$AC$105&amp;";  ","")&amp;IF(AND(EDATE($D37,Milestones!$AA$106)&lt;=AsOfDate,IF($Q37=0,$W37,IF(AND($S37&lt;&gt;"",EDATE($D37,Milestones!$AA$106)&gt;=$S37),$V37,IF(AND($R37&lt;&gt;"",EDATE($D37,Milestones!$AA$106)&gt;=$R37),$U37,$T37)))=Milestones!$AB$106),TEXT(EDATE($D37,Milestones!$AA$106),"dd/mm/yy")&amp;" "&amp;Milestones!$AB$106&amp;" "&amp;Milestones!$AC$106&amp;";  ","")&amp;IF(AND(EDATE($D37,Milestones!$AA$107)&lt;=AsOfDate,IF($Q37=0,$W37,IF(AND($S37&lt;&gt;"",EDATE($D37,Milestones!$AA$107)&gt;=$S37),$V37,IF(AND($R37&lt;&gt;"",EDATE($D37,Milestones!$AA$107)&gt;=$R37),$U37,$T37)))=Milestones!$AB$107),TEXT(EDATE($D37,Milestones!$AA$107),"dd/mm/yy")&amp;" "&amp;Milestones!$AB$107&amp;" "&amp;Milestones!$AC$107&amp;";  ","")&amp;IF(AND(EDATE($D37,Milestones!$AA$108)&lt;=AsOfDate,IF($Q37=0,$W37,IF(AND($S37&lt;&gt;"",EDATE($D37,Milestones!$AA$108)&gt;=$S37),$V37,IF(AND($R37&lt;&gt;"",EDATE($D37,Milestones!$AA$108)&gt;=$R37),$U37,$T37)))=Milestones!$AB$108),TEXT(EDATE($D37,Milestones!$AA$108),"dd/mm/yy")&amp;" "&amp;Milestones!$AB$108&amp;" "&amp;Milestones!$AC$108&amp;";  ","")&amp;IF(AND(EDATE($D37,Milestones!$AA$109)&lt;=AsOfDate,IF($Q37=0,$W37,IF(AND($S37&lt;&gt;"",EDATE($D37,Milestones!$AA$109)&gt;=$S37),$V37,IF(AND($R37&lt;&gt;"",EDATE($D37,Milestones!$AA$109)&gt;=$R37),$U37,$T37)))=Milestones!$AB$109),TEXT(EDATE($D37,Milestones!$AA$109),"dd/mm/yy")&amp;" "&amp;Milestones!$AB$109&amp;" "&amp;Milestones!$AC$109&amp;";  ","")&amp;IF(AND(EDATE($D37,Milestones!$AA$110)&lt;=AsOfDate,IF($Q37=0,$W37,IF(AND($S37&lt;&gt;"",EDATE($D37,Milestones!$AA$110)&gt;=$S37),$V37,IF(AND($R37&lt;&gt;"",EDATE($D37,Milestones!$AA$110)&gt;=$R37),$U37,$T37)))=Milestones!$AB$110),TEXT(EDATE($D37,Milestones!$AA$110),"dd/mm/yy")&amp;" "&amp;Milestones!$AB$110&amp;" "&amp;Milestones!$AC$110&amp;";  ","")&amp;IF(AND(EDATE($D37,Milestones!$AA$111)&lt;=AsOfDate,IF($Q37=0,$W37,IF(AND($S37&lt;&gt;"",EDATE($D37,Milestones!$AA$111)&gt;=$S37),$V37,IF(AND($R37&lt;&gt;"",EDATE($D37,Milestones!$AA$111)&gt;=$R37),$U37,$T37)))=Milestones!$AB$111),TEXT(EDATE($D37,Milestones!$AA$111),"dd/mm/yy")&amp;" "&amp;Milestones!$AB$111&amp;" "&amp;Milestones!$AC$111&amp;";  ","")&amp;IF(AND(EDATE($D37,Milestones!$AA$112)&lt;=AsOfDate,IF($Q37=0,$W37,IF(AND($S37&lt;&gt;"",EDATE($D37,Milestones!$AA$112)&gt;=$S37),$V37,IF(AND($R37&lt;&gt;"",EDATE($D37,Milestones!$AA$112)&gt;=$R37),$U37,$T37)))=Milestones!$AB$112),TEXT(EDATE($D37,Milestones!$AA$112),"dd/mm/yy")&amp;" "&amp;Milestones!$AB$112&amp;" "&amp;Milestones!$AC$112&amp;";  ","")&amp;IF(AND(EDATE($D37,Milestones!$AA$113)&lt;=AsOfDate,IF($Q37=0,$W37,IF(AND($S37&lt;&gt;"",EDATE($D37,Milestones!$AA$113)&gt;=$S37),$V37,IF(AND($R37&lt;&gt;"",EDATE($D37,Milestones!$AA$113)&gt;=$R37),$U37,$T37)))=Milestones!$AB$113),TEXT(EDATE($D37,Milestones!$AA$113),"dd/mm/yy")&amp;" "&amp;Milestones!$AB$113&amp;" "&amp;Milestones!$AC$113&amp;";  ","")&amp;IF(AND(EDATE($D37,Milestones!$AA$114)&lt;=AsOfDate,IF($Q37=0,$W37,IF(AND($S37&lt;&gt;"",EDATE($D37,Milestones!$AA$114)&gt;=$S37),$V37,IF(AND($R37&lt;&gt;"",EDATE($D37,Milestones!$AA$114)&gt;=$R37),$U37,$T37)))=Milestones!$AB$114),TEXT(EDATE($D37,Milestones!$AA$114),"dd/mm/yy")&amp;" "&amp;Milestones!$AB$114&amp;" "&amp;Milestones!$AC$114&amp;";  ","")&amp;IF(AND(EDATE($D37,Milestones!$AA$115)&lt;=AsOfDate,IF($Q37=0,$W37,IF(AND($S37&lt;&gt;"",EDATE($D37,Milestones!$AA$115)&gt;=$S37),$V37,IF(AND($R37&lt;&gt;"",EDATE($D37,Milestones!$AA$115)&gt;=$R37),$U37,$T37)))=Milestones!$AB$115),TEXT(EDATE($D37,Milestones!$AA$115),"dd/mm/yy")&amp;" "&amp;Milestones!$AB$115&amp;" "&amp;Milestones!$AC$115&amp;";  ","")&amp;IF(AND(EDATE($D37,Milestones!$AA$116)&lt;=AsOfDate,IF($Q37=0,$W37,IF(AND($S37&lt;&gt;"",EDATE($D37,Milestones!$AA$116)&gt;=$S37),$V37,IF(AND($R37&lt;&gt;"",EDATE($D37,Milestones!$AA$116)&gt;=$R37),$U37,$T37)))=Milestones!$AB$116),TEXT(EDATE($D37,Milestones!$AA$116),"dd/mm/yy")&amp;" "&amp;Milestones!$AB$116&amp;" "&amp;Milestones!$AC$116&amp;";  ","")&amp;IF(AND(EDATE($D37,Milestones!$AA$117)&lt;=AsOfDate,IF($Q37=0,$W37,IF(AND($S37&lt;&gt;"",EDATE($D37,Milestones!$AA$117)&gt;=$S37),$V37,IF(AND($R37&lt;&gt;"",EDATE($D37,Milestones!$AA$117)&gt;=$R37),$U37,$T37)))=Milestones!$AB$117),TEXT(EDATE($D37,Milestones!$AA$117),"dd/mm/yy")&amp;" "&amp;Milestones!$AB$117&amp;" "&amp;Milestones!$AC$117&amp;";  ","")&amp;IF(AND(EDATE($D37,Milestones!$AA$118)&lt;=AsOfDate,IF($Q37=0,$W37,IF(AND($S37&lt;&gt;"",EDATE($D37,Milestones!$AA$118)&gt;=$S37),$V37,IF(AND($R37&lt;&gt;"",EDATE($D37,Milestones!$AA$118)&gt;=$R37),$U37,$T37)))=Milestones!$AB$118),TEXT(EDATE($D37,Milestones!$AA$118),"dd/mm/yy")&amp;" "&amp;Milestones!$AB$118&amp;" "&amp;Milestones!$AC$118&amp;";  ","")&amp;IF(AND(EDATE($D37,Milestones!$AA$119)&lt;=AsOfDate,IF($Q37=0,$W37,IF(AND($S37&lt;&gt;"",EDATE($D37,Milestones!$AA$119)&gt;=$S37),$V37,IF(AND($R37&lt;&gt;"",EDATE($D37,Milestones!$AA$119)&gt;=$R37),$U37,$T37)))=Milestones!$AB$119),TEXT(EDATE($D37,Milestones!$AA$119),"dd/mm/yy")&amp;" "&amp;Milestones!$AB$119&amp;" "&amp;Milestones!$AC$119&amp;";  ",""))</f>
        <v/>
      </c>
      <c r="M37" s="0" t="str">
        <f aca="false">IF(OR($A37="",$D37=""),"",IF(AND(EDATE($D37,Milestones!$AA$120)&lt;=AsOfDate,IF($Q37=0,$W37,IF(AND($S37&lt;&gt;"",EDATE($D37,Milestones!$AA$120)&gt;=$S37),$V37,IF(AND($R37&lt;&gt;"",EDATE($D37,Milestones!$AA$120)&gt;=$R37),$U37,$T37)))=Milestones!$AB$120),TEXT(EDATE($D37,Milestones!$AA$120),"dd/mm/yy")&amp;" "&amp;Milestones!$AB$120&amp;" "&amp;Milestones!$AC$120&amp;";  ","")&amp;IF(AND(EDATE($D37,Milestones!$AA$121)&lt;=AsOfDate,IF($Q37=0,$W37,IF(AND($S37&lt;&gt;"",EDATE($D37,Milestones!$AA$121)&gt;=$S37),$V37,IF(AND($R37&lt;&gt;"",EDATE($D37,Milestones!$AA$121)&gt;=$R37),$U37,$T37)))=Milestones!$AB$121),TEXT(EDATE($D37,Milestones!$AA$121),"dd/mm/yy")&amp;" "&amp;Milestones!$AB$121&amp;" "&amp;Milestones!$AC$121&amp;";  ","")&amp;IF(AND(EDATE($D37,Milestones!$AA$122)&lt;=AsOfDate,IF($Q37=0,$W37,IF(AND($S37&lt;&gt;"",EDATE($D37,Milestones!$AA$122)&gt;=$S37),$V37,IF(AND($R37&lt;&gt;"",EDATE($D37,Milestones!$AA$122)&gt;=$R37),$U37,$T37)))=Milestones!$AB$122),TEXT(EDATE($D37,Milestones!$AA$122),"dd/mm/yy")&amp;" "&amp;Milestones!$AB$122&amp;" "&amp;Milestones!$AC$122&amp;";  ","")&amp;IF(AND(EDATE($D37,Milestones!$AA$123)&lt;=AsOfDate,IF($Q37=0,$W37,IF(AND($S37&lt;&gt;"",EDATE($D37,Milestones!$AA$123)&gt;=$S37),$V37,IF(AND($R37&lt;&gt;"",EDATE($D37,Milestones!$AA$123)&gt;=$R37),$U37,$T37)))=Milestones!$AB$123),TEXT(EDATE($D37,Milestones!$AA$123),"dd/mm/yy")&amp;" "&amp;Milestones!$AB$123&amp;" "&amp;Milestones!$AC$123&amp;";  ","")&amp;IF(AND(EDATE($D37,Milestones!$AA$124)&lt;=AsOfDate,IF($Q37=0,$W37,IF(AND($S37&lt;&gt;"",EDATE($D37,Milestones!$AA$124)&gt;=$S37),$V37,IF(AND($R37&lt;&gt;"",EDATE($D37,Milestones!$AA$124)&gt;=$R37),$U37,$T37)))=Milestones!$AB$124),TEXT(EDATE($D37,Milestones!$AA$124),"dd/mm/yy")&amp;" "&amp;Milestones!$AB$124&amp;" "&amp;Milestones!$AC$124&amp;";  ","")&amp;IF(AND(EDATE($D37,Milestones!$AA$125)&lt;=AsOfDate,IF($Q37=0,$W37,IF(AND($S37&lt;&gt;"",EDATE($D37,Milestones!$AA$125)&gt;=$S37),$V37,IF(AND($R37&lt;&gt;"",EDATE($D37,Milestones!$AA$125)&gt;=$R37),$U37,$T37)))=Milestones!$AB$125),TEXT(EDATE($D37,Milestones!$AA$125),"dd/mm/yy")&amp;" "&amp;Milestones!$AB$125&amp;" "&amp;Milestones!$AC$125&amp;";  ","")&amp;IF(AND(EDATE($D37,Milestones!$AA$126)&lt;=AsOfDate,IF($Q37=0,$W37,IF(AND($S37&lt;&gt;"",EDATE($D37,Milestones!$AA$126)&gt;=$S37),$V37,IF(AND($R37&lt;&gt;"",EDATE($D37,Milestones!$AA$126)&gt;=$R37),$U37,$T37)))=Milestones!$AB$126),TEXT(EDATE($D37,Milestones!$AA$126),"dd/mm/yy")&amp;" "&amp;Milestones!$AB$126&amp;" "&amp;Milestones!$AC$126&amp;";  ","")&amp;IF(AND(EDATE($D37,Milestones!$AA$127)&lt;=AsOfDate,IF($Q37=0,$W37,IF(AND($S37&lt;&gt;"",EDATE($D37,Milestones!$AA$127)&gt;=$S37),$V37,IF(AND($R37&lt;&gt;"",EDATE($D37,Milestones!$AA$127)&gt;=$R37),$U37,$T37)))=Milestones!$AB$127),TEXT(EDATE($D37,Milestones!$AA$127),"dd/mm/yy")&amp;" "&amp;Milestones!$AB$127&amp;" "&amp;Milestones!$AC$127&amp;";  ","")&amp;IF(AND(EDATE($D37,Milestones!$AA$128)&lt;=AsOfDate,IF($Q37=0,$W37,IF(AND($S37&lt;&gt;"",EDATE($D37,Milestones!$AA$128)&gt;=$S37),$V37,IF(AND($R37&lt;&gt;"",EDATE($D37,Milestones!$AA$128)&gt;=$R37),$U37,$T37)))=Milestones!$AB$128),TEXT(EDATE($D37,Milestones!$AA$128),"dd/mm/yy")&amp;" "&amp;Milestones!$AB$128&amp;" "&amp;Milestones!$AC$128&amp;";  ","")&amp;IF(AND(EDATE($D37,Milestones!$AA$129)&lt;=AsOfDate,IF($Q37=0,$W37,IF(AND($S37&lt;&gt;"",EDATE($D37,Milestones!$AA$129)&gt;=$S37),$V37,IF(AND($R37&lt;&gt;"",EDATE($D37,Milestones!$AA$129)&gt;=$R37),$U37,$T37)))=Milestones!$AB$129),TEXT(EDATE($D37,Milestones!$AA$129),"dd/mm/yy")&amp;" "&amp;Milestones!$AB$129&amp;" "&amp;Milestones!$AC$129&amp;";  ","")&amp;IF(AND(EDATE($D37,Milestones!$AA$130)&lt;=AsOfDate,IF($Q37=0,$W37,IF(AND($S37&lt;&gt;"",EDATE($D37,Milestones!$AA$130)&gt;=$S37),$V37,IF(AND($R37&lt;&gt;"",EDATE($D37,Milestones!$AA$130)&gt;=$R37),$U37,$T37)))=Milestones!$AB$130),TEXT(EDATE($D37,Milestones!$AA$130),"dd/mm/yy")&amp;" "&amp;Milestones!$AB$130&amp;" "&amp;Milestones!$AC$130&amp;";  ","")&amp;IF(AND(EDATE($D37,Milestones!$AA$131)&lt;=AsOfDate,IF($Q37=0,$W37,IF(AND($S37&lt;&gt;"",EDATE($D37,Milestones!$AA$131)&gt;=$S37),$V37,IF(AND($R37&lt;&gt;"",EDATE($D37,Milestones!$AA$131)&gt;=$R37),$U37,$T37)))=Milestones!$AB$131),TEXT(EDATE($D37,Milestones!$AA$131),"dd/mm/yy")&amp;" "&amp;Milestones!$AB$131&amp;" "&amp;Milestones!$AC$131&amp;";  ","")&amp;IF(AND(EDATE($D37,Milestones!$AA$132)&lt;=AsOfDate,IF($Q37=0,$W37,IF(AND($S37&lt;&gt;"",EDATE($D37,Milestones!$AA$132)&gt;=$S37),$V37,IF(AND($R37&lt;&gt;"",EDATE($D37,Milestones!$AA$132)&gt;=$R37),$U37,$T37)))=Milestones!$AB$132),TEXT(EDATE($D37,Milestones!$AA$132),"dd/mm/yy")&amp;" "&amp;Milestones!$AB$132&amp;" "&amp;Milestones!$AC$132&amp;";  ","")&amp;IF(AND(EDATE($D37,Milestones!$AA$133)&lt;=AsOfDate,IF($Q37=0,$W37,IF(AND($S37&lt;&gt;"",EDATE($D37,Milestones!$AA$133)&gt;=$S37),$V37,IF(AND($R37&lt;&gt;"",EDATE($D37,Milestones!$AA$133)&gt;=$R37),$U37,$T37)))=Milestones!$AB$133),TEXT(EDATE($D37,Milestones!$AA$133),"dd/mm/yy")&amp;" "&amp;Milestones!$AB$133&amp;" "&amp;Milestones!$AC$133&amp;";  ","")&amp;IF(AND(EDATE($D37,Milestones!$AA$134)&lt;=AsOfDate,IF($Q37=0,$W37,IF(AND($S37&lt;&gt;"",EDATE($D37,Milestones!$AA$134)&gt;=$S37),$V37,IF(AND($R37&lt;&gt;"",EDATE($D37,Milestones!$AA$134)&gt;=$R37),$U37,$T37)))=Milestones!$AB$134),TEXT(EDATE($D37,Milestones!$AA$134),"dd/mm/yy")&amp;" "&amp;Milestones!$AB$134&amp;" "&amp;Milestones!$AC$134&amp;";  ","")&amp;IF(AND(EDATE($D37,Milestones!$AA$135)&lt;=AsOfDate,IF($Q37=0,$W37,IF(AND($S37&lt;&gt;"",EDATE($D37,Milestones!$AA$135)&gt;=$S37),$V37,IF(AND($R37&lt;&gt;"",EDATE($D37,Milestones!$AA$135)&gt;=$R37),$U37,$T37)))=Milestones!$AB$135),TEXT(EDATE($D37,Milestones!$AA$135),"dd/mm/yy")&amp;" "&amp;Milestones!$AB$135&amp;" "&amp;Milestones!$AC$135&amp;";  ","")&amp;IF(AND(EDATE($D37,Milestones!$AA$136)&lt;=AsOfDate,IF($Q37=0,$W37,IF(AND($S37&lt;&gt;"",EDATE($D37,Milestones!$AA$136)&gt;=$S37),$V37,IF(AND($R37&lt;&gt;"",EDATE($D37,Milestones!$AA$136)&gt;=$R37),$U37,$T37)))=Milestones!$AB$136),TEXT(EDATE($D37,Milestones!$AA$136),"dd/mm/yy")&amp;" "&amp;Milestones!$AB$136&amp;" "&amp;Milestones!$AC$136&amp;";  ","")&amp;IF(AND(EDATE($D37,Milestones!$AA$137)&lt;=AsOfDate,IF($Q37=0,$W37,IF(AND($S37&lt;&gt;"",EDATE($D37,Milestones!$AA$137)&gt;=$S37),$V37,IF(AND($R37&lt;&gt;"",EDATE($D37,Milestones!$AA$137)&gt;=$R37),$U37,$T37)))=Milestones!$AB$137),TEXT(EDATE($D37,Milestones!$AA$137),"dd/mm/yy")&amp;" "&amp;Milestones!$AB$137&amp;" "&amp;Milestones!$AC$137&amp;";  ","")&amp;IF(AND(EDATE($D37,Milestones!$AA$138)&lt;=AsOfDate,IF($Q37=0,$W37,IF(AND($S37&lt;&gt;"",EDATE($D37,Milestones!$AA$138)&gt;=$S37),$V37,IF(AND($R37&lt;&gt;"",EDATE($D37,Milestones!$AA$138)&gt;=$R37),$U37,$T37)))=Milestones!$AB$138),TEXT(EDATE($D37,Milestones!$AA$138),"dd/mm/yy")&amp;" "&amp;Milestones!$AB$138&amp;" "&amp;Milestones!$AC$138&amp;";  ","")&amp;IF(AND(EDATE($D37,Milestones!$AA$139)&lt;=AsOfDate,IF($Q37=0,$W37,IF(AND($S37&lt;&gt;"",EDATE($D37,Milestones!$AA$139)&gt;=$S37),$V37,IF(AND($R37&lt;&gt;"",EDATE($D37,Milestones!$AA$139)&gt;=$R37),$U37,$T37)))=Milestones!$AB$139),TEXT(EDATE($D37,Milestones!$AA$139),"dd/mm/yy")&amp;" "&amp;Milestones!$AB$139&amp;" "&amp;Milestones!$AC$139&amp;";  ",""))</f>
        <v/>
      </c>
      <c r="N37" s="0" t="str">
        <f aca="false">IF(OR($A37="",$D37=""),"",IF(AND(EDATE($D37,Milestones!$AA$140)&lt;=AsOfDate,IF($Q37=0,$W37,IF(AND($S37&lt;&gt;"",EDATE($D37,Milestones!$AA$140)&gt;=$S37),$V37,IF(AND($R37&lt;&gt;"",EDATE($D37,Milestones!$AA$140)&gt;=$R37),$U37,$T37)))=Milestones!$AB$140),TEXT(EDATE($D37,Milestones!$AA$140),"dd/mm/yy")&amp;" "&amp;Milestones!$AB$140&amp;" "&amp;Milestones!$AC$140&amp;";  ","")&amp;IF(AND(EDATE($D37,Milestones!$AA$141)&lt;=AsOfDate,IF($Q37=0,$W37,IF(AND($S37&lt;&gt;"",EDATE($D37,Milestones!$AA$141)&gt;=$S37),$V37,IF(AND($R37&lt;&gt;"",EDATE($D37,Milestones!$AA$141)&gt;=$R37),$U37,$T37)))=Milestones!$AB$141),TEXT(EDATE($D37,Milestones!$AA$141),"dd/mm/yy")&amp;" "&amp;Milestones!$AB$141&amp;" "&amp;Milestones!$AC$141&amp;";  ","")&amp;IF(AND(EDATE($D37,Milestones!$AA$142)&lt;=AsOfDate,IF($Q37=0,$W37,IF(AND($S37&lt;&gt;"",EDATE($D37,Milestones!$AA$142)&gt;=$S37),$V37,IF(AND($R37&lt;&gt;"",EDATE($D37,Milestones!$AA$142)&gt;=$R37),$U37,$T37)))=Milestones!$AB$142),TEXT(EDATE($D37,Milestones!$AA$142),"dd/mm/yy")&amp;" "&amp;Milestones!$AB$142&amp;" "&amp;Milestones!$AC$142&amp;";  ","")&amp;IF(AND(EDATE($D37,Milestones!$AA$143)&lt;=AsOfDate,IF($Q37=0,$W37,IF(AND($S37&lt;&gt;"",EDATE($D37,Milestones!$AA$143)&gt;=$S37),$V37,IF(AND($R37&lt;&gt;"",EDATE($D37,Milestones!$AA$143)&gt;=$R37),$U37,$T37)))=Milestones!$AB$143),TEXT(EDATE($D37,Milestones!$AA$143),"dd/mm/yy")&amp;" "&amp;Milestones!$AB$143&amp;" "&amp;Milestones!$AC$143&amp;";  ","")&amp;IF(AND(EDATE($D37,Milestones!$AA$144)&lt;=AsOfDate,IF($Q37=0,$W37,IF(AND($S37&lt;&gt;"",EDATE($D37,Milestones!$AA$144)&gt;=$S37),$V37,IF(AND($R37&lt;&gt;"",EDATE($D37,Milestones!$AA$144)&gt;=$R37),$U37,$T37)))=Milestones!$AB$144),TEXT(EDATE($D37,Milestones!$AA$144),"dd/mm/yy")&amp;" "&amp;Milestones!$AB$144&amp;" "&amp;Milestones!$AC$144&amp;";  ","")&amp;IF(AND(EDATE($D37,Milestones!$AA$145)&lt;=AsOfDate,IF($Q37=0,$W37,IF(AND($S37&lt;&gt;"",EDATE($D37,Milestones!$AA$145)&gt;=$S37),$V37,IF(AND($R37&lt;&gt;"",EDATE($D37,Milestones!$AA$145)&gt;=$R37),$U37,$T37)))=Milestones!$AB$145),TEXT(EDATE($D37,Milestones!$AA$145),"dd/mm/yy")&amp;" "&amp;Milestones!$AB$145&amp;" "&amp;Milestones!$AC$145&amp;";  ","")&amp;IF(AND(EDATE($D37,Milestones!$AA$146)&lt;=AsOfDate,IF($Q37=0,$W37,IF(AND($S37&lt;&gt;"",EDATE($D37,Milestones!$AA$146)&gt;=$S37),$V37,IF(AND($R37&lt;&gt;"",EDATE($D37,Milestones!$AA$146)&gt;=$R37),$U37,$T37)))=Milestones!$AB$146),TEXT(EDATE($D37,Milestones!$AA$146),"dd/mm/yy")&amp;" "&amp;Milestones!$AB$146&amp;" "&amp;Milestones!$AC$146&amp;";  ","")&amp;IF(AND(EDATE($D37,Milestones!$AA$147)&lt;=AsOfDate,IF($Q37=0,$W37,IF(AND($S37&lt;&gt;"",EDATE($D37,Milestones!$AA$147)&gt;=$S37),$V37,IF(AND($R37&lt;&gt;"",EDATE($D37,Milestones!$AA$147)&gt;=$R37),$U37,$T37)))=Milestones!$AB$147),TEXT(EDATE($D37,Milestones!$AA$147),"dd/mm/yy")&amp;" "&amp;Milestones!$AB$147&amp;" "&amp;Milestones!$AC$147&amp;";  ","")&amp;IF(AND(EDATE($D37,Milestones!$AA$148)&lt;=AsOfDate,IF($Q37=0,$W37,IF(AND($S37&lt;&gt;"",EDATE($D37,Milestones!$AA$148)&gt;=$S37),$V37,IF(AND($R37&lt;&gt;"",EDATE($D37,Milestones!$AA$148)&gt;=$R37),$U37,$T37)))=Milestones!$AB$148),TEXT(EDATE($D37,Milestones!$AA$148),"dd/mm/yy")&amp;" "&amp;Milestones!$AB$148&amp;" "&amp;Milestones!$AC$148&amp;";  ","")&amp;IF(AND(EDATE($D37,Milestones!$AA$149)&lt;=AsOfDate,IF($Q37=0,$W37,IF(AND($S37&lt;&gt;"",EDATE($D37,Milestones!$AA$149)&gt;=$S37),$V37,IF(AND($R37&lt;&gt;"",EDATE($D37,Milestones!$AA$149)&gt;=$R37),$U37,$T37)))=Milestones!$AB$149),TEXT(EDATE($D37,Milestones!$AA$149),"dd/mm/yy")&amp;" "&amp;Milestones!$AB$149&amp;" "&amp;Milestones!$AC$149&amp;";  ","")&amp;IF(AND(EDATE($D37,Milestones!$AA$150)&lt;=AsOfDate,IF($Q37=0,$W37,IF(AND($S37&lt;&gt;"",EDATE($D37,Milestones!$AA$150)&gt;=$S37),$V37,IF(AND($R37&lt;&gt;"",EDATE($D37,Milestones!$AA$150)&gt;=$R37),$U37,$T37)))=Milestones!$AB$150),TEXT(EDATE($D37,Milestones!$AA$150),"dd/mm/yy")&amp;" "&amp;Milestones!$AB$150&amp;" "&amp;Milestones!$AC$150&amp;";  ","")&amp;IF(AND(EDATE($D37,Milestones!$AA$151)&lt;=AsOfDate,IF($Q37=0,$W37,IF(AND($S37&lt;&gt;"",EDATE($D37,Milestones!$AA$151)&gt;=$S37),$V37,IF(AND($R37&lt;&gt;"",EDATE($D37,Milestones!$AA$151)&gt;=$R37),$U37,$T37)))=Milestones!$AB$151),TEXT(EDATE($D37,Milestones!$AA$151),"dd/mm/yy")&amp;" "&amp;Milestones!$AB$151&amp;" "&amp;Milestones!$AC$151&amp;";  ","")&amp;IF(AND(EDATE($D37,Milestones!$AA$152)&lt;=AsOfDate,IF($Q37=0,$W37,IF(AND($S37&lt;&gt;"",EDATE($D37,Milestones!$AA$152)&gt;=$S37),$V37,IF(AND($R37&lt;&gt;"",EDATE($D37,Milestones!$AA$152)&gt;=$R37),$U37,$T37)))=Milestones!$AB$152),TEXT(EDATE($D37,Milestones!$AA$152),"dd/mm/yy")&amp;" "&amp;Milestones!$AB$152&amp;" "&amp;Milestones!$AC$152&amp;";  ","")&amp;IF(AND(EDATE($D37,Milestones!$AA$153)&lt;=AsOfDate,IF($Q37=0,$W37,IF(AND($S37&lt;&gt;"",EDATE($D37,Milestones!$AA$153)&gt;=$S37),$V37,IF(AND($R37&lt;&gt;"",EDATE($D37,Milestones!$AA$153)&gt;=$R37),$U37,$T37)))=Milestones!$AB$153),TEXT(EDATE($D37,Milestones!$AA$153),"dd/mm/yy")&amp;" "&amp;Milestones!$AB$153&amp;" "&amp;Milestones!$AC$153&amp;";  ","")&amp;IF(AND(EDATE($D37,Milestones!$AA$154)&lt;=AsOfDate,IF($Q37=0,$W37,IF(AND($S37&lt;&gt;"",EDATE($D37,Milestones!$AA$154)&gt;=$S37),$V37,IF(AND($R37&lt;&gt;"",EDATE($D37,Milestones!$AA$154)&gt;=$R37),$U37,$T37)))=Milestones!$AB$154),TEXT(EDATE($D37,Milestones!$AA$154),"dd/mm/yy")&amp;" "&amp;Milestones!$AB$154&amp;" "&amp;Milestones!$AC$154&amp;";  ","")&amp;IF(AND(EDATE($D37,Milestones!$AA$155)&lt;=AsOfDate,IF($Q37=0,$W37,IF(AND($S37&lt;&gt;"",EDATE($D37,Milestones!$AA$155)&gt;=$S37),$V37,IF(AND($R37&lt;&gt;"",EDATE($D37,Milestones!$AA$155)&gt;=$R37),$U37,$T37)))=Milestones!$AB$155),TEXT(EDATE($D37,Milestones!$AA$155),"dd/mm/yy")&amp;" "&amp;Milestones!$AB$155&amp;" "&amp;Milestones!$AC$155&amp;";  ","")&amp;IF(AND(EDATE($D37,Milestones!$AA$156)&lt;=AsOfDate,IF($Q37=0,$W37,IF(AND($S37&lt;&gt;"",EDATE($D37,Milestones!$AA$156)&gt;=$S37),$V37,IF(AND($R37&lt;&gt;"",EDATE($D37,Milestones!$AA$156)&gt;=$R37),$U37,$T37)))=Milestones!$AB$156),TEXT(EDATE($D37,Milestones!$AA$156),"dd/mm/yy")&amp;" "&amp;Milestones!$AB$156&amp;" "&amp;Milestones!$AC$156&amp;";  ","")&amp;IF(AND(EDATE($D37,Milestones!$AA$157)&lt;=AsOfDate,IF($Q37=0,$W37,IF(AND($S37&lt;&gt;"",EDATE($D37,Milestones!$AA$157)&gt;=$S37),$V37,IF(AND($R37&lt;&gt;"",EDATE($D37,Milestones!$AA$157)&gt;=$R37),$U37,$T37)))=Milestones!$AB$157),TEXT(EDATE($D37,Milestones!$AA$157),"dd/mm/yy")&amp;" "&amp;Milestones!$AB$157&amp;" "&amp;Milestones!$AC$157&amp;";  ","")&amp;IF(AND(EDATE($D37,Milestones!$AA$158)&lt;=AsOfDate,IF($Q37=0,$W37,IF(AND($S37&lt;&gt;"",EDATE($D37,Milestones!$AA$158)&gt;=$S37),$V37,IF(AND($R37&lt;&gt;"",EDATE($D37,Milestones!$AA$158)&gt;=$R37),$U37,$T37)))=Milestones!$AB$158),TEXT(EDATE($D37,Milestones!$AA$158),"dd/mm/yy")&amp;" "&amp;Milestones!$AB$158&amp;" "&amp;Milestones!$AC$158&amp;";  ","")&amp;IF(AND(EDATE($D37,Milestones!$AA$159)&lt;=AsOfDate,IF($Q37=0,$W37,IF(AND($S37&lt;&gt;"",EDATE($D37,Milestones!$AA$159)&gt;=$S37),$V37,IF(AND($R37&lt;&gt;"",EDATE($D37,Milestones!$AA$159)&gt;=$R37),$U37,$T37)))=Milestones!$AB$159),TEXT(EDATE($D37,Milestones!$AA$159),"dd/mm/yy")&amp;" "&amp;Milestones!$AB$159&amp;" "&amp;Milestones!$AC$159&amp;";  ",""))</f>
        <v/>
      </c>
      <c r="O37" s="0" t="str">
        <f aca="false">IF(OR($A37="",$D37=""),"",IF(AND(EDATE($D37,Milestones!$AA$160)&lt;=AsOfDate,IF($Q37=0,$W37,IF(AND($S37&lt;&gt;"",EDATE($D37,Milestones!$AA$160)&gt;=$S37),$V37,IF(AND($R37&lt;&gt;"",EDATE($D37,Milestones!$AA$160)&gt;=$R37),$U37,$T37)))=Milestones!$AB$160),TEXT(EDATE($D37,Milestones!$AA$160),"dd/mm/yy")&amp;" "&amp;Milestones!$AB$160&amp;" "&amp;Milestones!$AC$160&amp;";  ","")&amp;IF(AND(EDATE($D37,Milestones!$AA$161)&lt;=AsOfDate,IF($Q37=0,$W37,IF(AND($S37&lt;&gt;"",EDATE($D37,Milestones!$AA$161)&gt;=$S37),$V37,IF(AND($R37&lt;&gt;"",EDATE($D37,Milestones!$AA$161)&gt;=$R37),$U37,$T37)))=Milestones!$AB$161),TEXT(EDATE($D37,Milestones!$AA$161),"dd/mm/yy")&amp;" "&amp;Milestones!$AB$161&amp;" "&amp;Milestones!$AC$161&amp;";  ","")&amp;IF(AND(EDATE($D37,Milestones!$AA$162)&lt;=AsOfDate,IF($Q37=0,$W37,IF(AND($S37&lt;&gt;"",EDATE($D37,Milestones!$AA$162)&gt;=$S37),$V37,IF(AND($R37&lt;&gt;"",EDATE($D37,Milestones!$AA$162)&gt;=$R37),$U37,$T37)))=Milestones!$AB$162),TEXT(EDATE($D37,Milestones!$AA$162),"dd/mm/yy")&amp;" "&amp;Milestones!$AB$162&amp;" "&amp;Milestones!$AC$162&amp;";  ","")&amp;IF(AND(EDATE($D37,Milestones!$AA$163)&lt;=AsOfDate,IF($Q37=0,$W37,IF(AND($S37&lt;&gt;"",EDATE($D37,Milestones!$AA$163)&gt;=$S37),$V37,IF(AND($R37&lt;&gt;"",EDATE($D37,Milestones!$AA$163)&gt;=$R37),$U37,$T37)))=Milestones!$AB$163),TEXT(EDATE($D37,Milestones!$AA$163),"dd/mm/yy")&amp;" "&amp;Milestones!$AB$163&amp;" "&amp;Milestones!$AC$163&amp;";  ","")&amp;IF(AND(EDATE($D37,Milestones!$AA$164)&lt;=AsOfDate,IF($Q37=0,$W37,IF(AND($S37&lt;&gt;"",EDATE($D37,Milestones!$AA$164)&gt;=$S37),$V37,IF(AND($R37&lt;&gt;"",EDATE($D37,Milestones!$AA$164)&gt;=$R37),$U37,$T37)))=Milestones!$AB$164),TEXT(EDATE($D37,Milestones!$AA$164),"dd/mm/yy")&amp;" "&amp;Milestones!$AB$164&amp;" "&amp;Milestones!$AC$164&amp;";  ","")&amp;IF(AND(EDATE($D37,Milestones!$AA$165)&lt;=AsOfDate,IF($Q37=0,$W37,IF(AND($S37&lt;&gt;"",EDATE($D37,Milestones!$AA$165)&gt;=$S37),$V37,IF(AND($R37&lt;&gt;"",EDATE($D37,Milestones!$AA$165)&gt;=$R37),$U37,$T37)))=Milestones!$AB$165),TEXT(EDATE($D37,Milestones!$AA$165),"dd/mm/yy")&amp;" "&amp;Milestones!$AB$165&amp;" "&amp;Milestones!$AC$165&amp;";  ","")&amp;IF(AND(EDATE($D37,Milestones!$AA$166)&lt;=AsOfDate,IF($Q37=0,$W37,IF(AND($S37&lt;&gt;"",EDATE($D37,Milestones!$AA$166)&gt;=$S37),$V37,IF(AND($R37&lt;&gt;"",EDATE($D37,Milestones!$AA$166)&gt;=$R37),$U37,$T37)))=Milestones!$AB$166),TEXT(EDATE($D37,Milestones!$AA$166),"dd/mm/yy")&amp;" "&amp;Milestones!$AB$166&amp;" "&amp;Milestones!$AC$166&amp;";  ","")&amp;IF(AND(EDATE($D37,Milestones!$AA$167)&lt;=AsOfDate,IF($Q37=0,$W37,IF(AND($S37&lt;&gt;"",EDATE($D37,Milestones!$AA$167)&gt;=$S37),$V37,IF(AND($R37&lt;&gt;"",EDATE($D37,Milestones!$AA$167)&gt;=$R37),$U37,$T37)))=Milestones!$AB$167),TEXT(EDATE($D37,Milestones!$AA$167),"dd/mm/yy")&amp;" "&amp;Milestones!$AB$167&amp;" "&amp;Milestones!$AC$167&amp;";  ","")&amp;IF(AND(EDATE($D37,Milestones!$AA$168)&lt;=AsOfDate,IF($Q37=0,$W37,IF(AND($S37&lt;&gt;"",EDATE($D37,Milestones!$AA$168)&gt;=$S37),$V37,IF(AND($R37&lt;&gt;"",EDATE($D37,Milestones!$AA$168)&gt;=$R37),$U37,$T37)))=Milestones!$AB$168),TEXT(EDATE($D37,Milestones!$AA$168),"dd/mm/yy")&amp;" "&amp;Milestones!$AB$168&amp;" "&amp;Milestones!$AC$168&amp;";  ","")&amp;IF(AND(EDATE($D37,Milestones!$AA$169)&lt;=AsOfDate,IF($Q37=0,$W37,IF(AND($S37&lt;&gt;"",EDATE($D37,Milestones!$AA$169)&gt;=$S37),$V37,IF(AND($R37&lt;&gt;"",EDATE($D37,Milestones!$AA$169)&gt;=$R37),$U37,$T37)))=Milestones!$AB$169),TEXT(EDATE($D37,Milestones!$AA$169),"dd/mm/yy")&amp;" "&amp;Milestones!$AB$169&amp;" "&amp;Milestones!$AC$169&amp;";  ","")&amp;IF(AND(EDATE($D37,Milestones!$AA$170)&lt;=AsOfDate,IF($Q37=0,$W37,IF(AND($S37&lt;&gt;"",EDATE($D37,Milestones!$AA$170)&gt;=$S37),$V37,IF(AND($R37&lt;&gt;"",EDATE($D37,Milestones!$AA$170)&gt;=$R37),$U37,$T37)))=Milestones!$AB$170),TEXT(EDATE($D37,Milestones!$AA$170),"dd/mm/yy")&amp;" "&amp;Milestones!$AB$170&amp;" "&amp;Milestones!$AC$170&amp;";  ","")&amp;IF(AND(EDATE($D37,Milestones!$AA$171)&lt;=AsOfDate,IF($Q37=0,$W37,IF(AND($S37&lt;&gt;"",EDATE($D37,Milestones!$AA$171)&gt;=$S37),$V37,IF(AND($R37&lt;&gt;"",EDATE($D37,Milestones!$AA$171)&gt;=$R37),$U37,$T37)))=Milestones!$AB$171),TEXT(EDATE($D37,Milestones!$AA$171),"dd/mm/yy")&amp;" "&amp;Milestones!$AB$171&amp;" "&amp;Milestones!$AC$171&amp;";  ","")&amp;IF(AND(EDATE($D37,Milestones!$AA$172)&lt;=AsOfDate,IF($Q37=0,$W37,IF(AND($S37&lt;&gt;"",EDATE($D37,Milestones!$AA$172)&gt;=$S37),$V37,IF(AND($R37&lt;&gt;"",EDATE($D37,Milestones!$AA$172)&gt;=$R37),$U37,$T37)))=Milestones!$AB$172),TEXT(EDATE($D37,Milestones!$AA$172),"dd/mm/yy")&amp;" "&amp;Milestones!$AB$172&amp;" "&amp;Milestones!$AC$172&amp;";  ","")&amp;IF(AND(EDATE($D37,Milestones!$AA$173)&lt;=AsOfDate,IF($Q37=0,$W37,IF(AND($S37&lt;&gt;"",EDATE($D37,Milestones!$AA$173)&gt;=$S37),$V37,IF(AND($R37&lt;&gt;"",EDATE($D37,Milestones!$AA$173)&gt;=$R37),$U37,$T37)))=Milestones!$AB$173),TEXT(EDATE($D37,Milestones!$AA$173),"dd/mm/yy")&amp;" "&amp;Milestones!$AB$173&amp;" "&amp;Milestones!$AC$173&amp;";  ","")&amp;IF(AND(EDATE($D37,Milestones!$AA$174)&lt;=AsOfDate,IF($Q37=0,$W37,IF(AND($S37&lt;&gt;"",EDATE($D37,Milestones!$AA$174)&gt;=$S37),$V37,IF(AND($R37&lt;&gt;"",EDATE($D37,Milestones!$AA$174)&gt;=$R37),$U37,$T37)))=Milestones!$AB$174),TEXT(EDATE($D37,Milestones!$AA$174),"dd/mm/yy")&amp;" "&amp;Milestones!$AB$174&amp;" "&amp;Milestones!$AC$174&amp;";  ","")&amp;IF(AND(EDATE($D37,Milestones!$AA$175)&lt;=AsOfDate,IF($Q37=0,$W37,IF(AND($S37&lt;&gt;"",EDATE($D37,Milestones!$AA$175)&gt;=$S37),$V37,IF(AND($R37&lt;&gt;"",EDATE($D37,Milestones!$AA$175)&gt;=$R37),$U37,$T37)))=Milestones!$AB$175),TEXT(EDATE($D37,Milestones!$AA$175),"dd/mm/yy")&amp;" "&amp;Milestones!$AB$175&amp;" "&amp;Milestones!$AC$175&amp;";  ","")&amp;IF(AND(EDATE($D37,Milestones!$AA$176)&lt;=AsOfDate,IF($Q37=0,$W37,IF(AND($S37&lt;&gt;"",EDATE($D37,Milestones!$AA$176)&gt;=$S37),$V37,IF(AND($R37&lt;&gt;"",EDATE($D37,Milestones!$AA$176)&gt;=$R37),$U37,$T37)))=Milestones!$AB$176),TEXT(EDATE($D37,Milestones!$AA$176),"dd/mm/yy")&amp;" "&amp;Milestones!$AB$176&amp;" "&amp;Milestones!$AC$176&amp;";  ","")&amp;IF(AND(EDATE($D37,Milestones!$AA$177)&lt;=AsOfDate,IF($Q37=0,$W37,IF(AND($S37&lt;&gt;"",EDATE($D37,Milestones!$AA$177)&gt;=$S37),$V37,IF(AND($R37&lt;&gt;"",EDATE($D37,Milestones!$AA$177)&gt;=$R37),$U37,$T37)))=Milestones!$AB$177),TEXT(EDATE($D37,Milestones!$AA$177),"dd/mm/yy")&amp;" "&amp;Milestones!$AB$177&amp;" "&amp;Milestones!$AC$177&amp;";  ","")&amp;IF(AND(EDATE($D37,Milestones!$AA$178)&lt;=AsOfDate,IF($Q37=0,$W37,IF(AND($S37&lt;&gt;"",EDATE($D37,Milestones!$AA$178)&gt;=$S37),$V37,IF(AND($R37&lt;&gt;"",EDATE($D37,Milestones!$AA$178)&gt;=$R37),$U37,$T37)))=Milestones!$AB$178),TEXT(EDATE($D37,Milestones!$AA$178),"dd/mm/yy")&amp;" "&amp;Milestones!$AB$178&amp;" "&amp;Milestones!$AC$178&amp;";  ","")&amp;IF(AND(EDATE($D37,Milestones!$AA$179)&lt;=AsOfDate,IF($Q37=0,$W37,IF(AND($S37&lt;&gt;"",EDATE($D37,Milestones!$AA$179)&gt;=$S37),$V37,IF(AND($R37&lt;&gt;"",EDATE($D37,Milestones!$AA$179)&gt;=$R37),$U37,$T37)))=Milestones!$AB$179),TEXT(EDATE($D37,Milestones!$AA$179),"dd/mm/yy")&amp;" "&amp;Milestones!$AB$179&amp;" "&amp;Milestones!$AC$179&amp;";  ",""))</f>
        <v/>
      </c>
      <c r="P37" s="0" t="str">
        <f aca="false">IF(OR($A37="",$D37=""),"",IF(AND(EDATE($D37,Milestones!$AA$180)&lt;=AsOfDate,IF($Q37=0,$W37,IF(AND($S37&lt;&gt;"",EDATE($D37,Milestones!$AA$180)&gt;=$S37),$V37,IF(AND($R37&lt;&gt;"",EDATE($D37,Milestones!$AA$180)&gt;=$R37),$U37,$T37)))=Milestones!$AB$180),TEXT(EDATE($D37,Milestones!$AA$180),"dd/mm/yy")&amp;" "&amp;Milestones!$AB$180&amp;" "&amp;Milestones!$AC$180&amp;";  ","")&amp;IF(AND(EDATE($D37,Milestones!$AA$181)&lt;=AsOfDate,IF($Q37=0,$W37,IF(AND($S37&lt;&gt;"",EDATE($D37,Milestones!$AA$181)&gt;=$S37),$V37,IF(AND($R37&lt;&gt;"",EDATE($D37,Milestones!$AA$181)&gt;=$R37),$U37,$T37)))=Milestones!$AB$181),TEXT(EDATE($D37,Milestones!$AA$181),"dd/mm/yy")&amp;" "&amp;Milestones!$AB$181&amp;" "&amp;Milestones!$AC$181&amp;";  ","")&amp;IF(AND(EDATE($D37,Milestones!$AA$182)&lt;=AsOfDate,IF($Q37=0,$W37,IF(AND($S37&lt;&gt;"",EDATE($D37,Milestones!$AA$182)&gt;=$S37),$V37,IF(AND($R37&lt;&gt;"",EDATE($D37,Milestones!$AA$182)&gt;=$R37),$U37,$T37)))=Milestones!$AB$182),TEXT(EDATE($D37,Milestones!$AA$182),"dd/mm/yy")&amp;" "&amp;Milestones!$AB$182&amp;" "&amp;Milestones!$AC$182&amp;";  ","")&amp;IF(AND(EDATE($D37,Milestones!$AA$183)&lt;=AsOfDate,IF($Q37=0,$W37,IF(AND($S37&lt;&gt;"",EDATE($D37,Milestones!$AA$183)&gt;=$S37),$V37,IF(AND($R37&lt;&gt;"",EDATE($D37,Milestones!$AA$183)&gt;=$R37),$U37,$T37)))=Milestones!$AB$183),TEXT(EDATE($D37,Milestones!$AA$183),"dd/mm/yy")&amp;" "&amp;Milestones!$AB$183&amp;" "&amp;Milestones!$AC$183&amp;";  ","")&amp;IF(AND(EDATE($D37,Milestones!$AA$184)&lt;=AsOfDate,IF($Q37=0,$W37,IF(AND($S37&lt;&gt;"",EDATE($D37,Milestones!$AA$184)&gt;=$S37),$V37,IF(AND($R37&lt;&gt;"",EDATE($D37,Milestones!$AA$184)&gt;=$R37),$U37,$T37)))=Milestones!$AB$184),TEXT(EDATE($D37,Milestones!$AA$184),"dd/mm/yy")&amp;" "&amp;Milestones!$AB$184&amp;" "&amp;Milestones!$AC$184&amp;";  ","")&amp;IF(AND(EDATE($D37,Milestones!$AA$185)&lt;=AsOfDate,IF($Q37=0,$W37,IF(AND($S37&lt;&gt;"",EDATE($D37,Milestones!$AA$185)&gt;=$S37),$V37,IF(AND($R37&lt;&gt;"",EDATE($D37,Milestones!$AA$185)&gt;=$R37),$U37,$T37)))=Milestones!$AB$185),TEXT(EDATE($D37,Milestones!$AA$185),"dd/mm/yy")&amp;" "&amp;Milestones!$AB$185&amp;" "&amp;Milestones!$AC$185&amp;";  ","")&amp;IF(AND(EDATE($D37,Milestones!$AA$186)&lt;=AsOfDate,IF($Q37=0,$W37,IF(AND($S37&lt;&gt;"",EDATE($D37,Milestones!$AA$186)&gt;=$S37),$V37,IF(AND($R37&lt;&gt;"",EDATE($D37,Milestones!$AA$186)&gt;=$R37),$U37,$T37)))=Milestones!$AB$186),TEXT(EDATE($D37,Milestones!$AA$186),"dd/mm/yy")&amp;" "&amp;Milestones!$AB$186&amp;" "&amp;Milestones!$AC$186&amp;";  ","")&amp;IF(AND(EDATE($D37,Milestones!$AA$187)&lt;=AsOfDate,IF($Q37=0,$W37,IF(AND($S37&lt;&gt;"",EDATE($D37,Milestones!$AA$187)&gt;=$S37),$V37,IF(AND($R37&lt;&gt;"",EDATE($D37,Milestones!$AA$187)&gt;=$R37),$U37,$T37)))=Milestones!$AB$187),TEXT(EDATE($D37,Milestones!$AA$187),"dd/mm/yy")&amp;" "&amp;Milestones!$AB$187&amp;" "&amp;Milestones!$AC$187&amp;";  ","")&amp;IF(AND(EDATE($D37,Milestones!$AA$188)&lt;=AsOfDate,IF($Q37=0,$W37,IF(AND($S37&lt;&gt;"",EDATE($D37,Milestones!$AA$188)&gt;=$S37),$V37,IF(AND($R37&lt;&gt;"",EDATE($D37,Milestones!$AA$188)&gt;=$R37),$U37,$T37)))=Milestones!$AB$188),TEXT(EDATE($D37,Milestones!$AA$188),"dd/mm/yy")&amp;" "&amp;Milestones!$AB$188&amp;" "&amp;Milestones!$AC$188&amp;";  ","")&amp;IF(AND(EDATE($D37,Milestones!$AA$189)&lt;=AsOfDate,IF($Q37=0,$W37,IF(AND($S37&lt;&gt;"",EDATE($D37,Milestones!$AA$189)&gt;=$S37),$V37,IF(AND($R37&lt;&gt;"",EDATE($D37,Milestones!$AA$189)&gt;=$R37),$U37,$T37)))=Milestones!$AB$189),TEXT(EDATE($D37,Milestones!$AA$189),"dd/mm/yy")&amp;" "&amp;Milestones!$AB$189&amp;" "&amp;Milestones!$AC$189&amp;";  ","")&amp;IF(AND(EDATE($D37,Milestones!$AA$190)&lt;=AsOfDate,IF($Q37=0,$W37,IF(AND($S37&lt;&gt;"",EDATE($D37,Milestones!$AA$190)&gt;=$S37),$V37,IF(AND($R37&lt;&gt;"",EDATE($D37,Milestones!$AA$190)&gt;=$R37),$U37,$T37)))=Milestones!$AB$190),TEXT(EDATE($D37,Milestones!$AA$190),"dd/mm/yy")&amp;" "&amp;Milestones!$AB$190&amp;" "&amp;Milestones!$AC$190&amp;";  ","")&amp;IF(AND(EDATE($D37,Milestones!$AA$191)&lt;=AsOfDate,IF($Q37=0,$W37,IF(AND($S37&lt;&gt;"",EDATE($D37,Milestones!$AA$191)&gt;=$S37),$V37,IF(AND($R37&lt;&gt;"",EDATE($D37,Milestones!$AA$191)&gt;=$R37),$U37,$T37)))=Milestones!$AB$191),TEXT(EDATE($D37,Milestones!$AA$191),"dd/mm/yy")&amp;" "&amp;Milestones!$AB$191&amp;" "&amp;Milestones!$AC$191&amp;";  ","")&amp;IF(AND(EDATE($D37,Milestones!$AA$192)&lt;=AsOfDate,IF($Q37=0,$W37,IF(AND($S37&lt;&gt;"",EDATE($D37,Milestones!$AA$192)&gt;=$S37),$V37,IF(AND($R37&lt;&gt;"",EDATE($D37,Milestones!$AA$192)&gt;=$R37),$U37,$T37)))=Milestones!$AB$192),TEXT(EDATE($D37,Milestones!$AA$192),"dd/mm/yy")&amp;" "&amp;Milestones!$AB$192&amp;" "&amp;Milestones!$AC$192&amp;";  ","")&amp;IF(AND(EDATE($D37,Milestones!$AA$193)&lt;=AsOfDate,IF($Q37=0,$W37,IF(AND($S37&lt;&gt;"",EDATE($D37,Milestones!$AA$193)&gt;=$S37),$V37,IF(AND($R37&lt;&gt;"",EDATE($D37,Milestones!$AA$193)&gt;=$R37),$U37,$T37)))=Milestones!$AB$193),TEXT(EDATE($D37,Milestones!$AA$193),"dd/mm/yy")&amp;" "&amp;Milestones!$AB$193&amp;" "&amp;Milestones!$AC$193&amp;";  ","")&amp;IF(AND(EDATE($D37,Milestones!$AA$194)&lt;=AsOfDate,IF($Q37=0,$W37,IF(AND($S37&lt;&gt;"",EDATE($D37,Milestones!$AA$194)&gt;=$S37),$V37,IF(AND($R37&lt;&gt;"",EDATE($D37,Milestones!$AA$194)&gt;=$R37),$U37,$T37)))=Milestones!$AB$194),TEXT(EDATE($D37,Milestones!$AA$194),"dd/mm/yy")&amp;" "&amp;Milestones!$AB$194&amp;" "&amp;Milestones!$AC$194&amp;";  ","")&amp;IF(AND(EDATE($D37,Milestones!$AA$195)&lt;=AsOfDate,IF($Q37=0,$W37,IF(AND($S37&lt;&gt;"",EDATE($D37,Milestones!$AA$195)&gt;=$S37),$V37,IF(AND($R37&lt;&gt;"",EDATE($D37,Milestones!$AA$195)&gt;=$R37),$U37,$T37)))=Milestones!$AB$195),TEXT(EDATE($D37,Milestones!$AA$195),"dd/mm/yy")&amp;" "&amp;Milestones!$AB$195&amp;" "&amp;Milestones!$AC$195&amp;";  ","")&amp;IF(AND(EDATE($D37,Milestones!$AA$196)&lt;=AsOfDate,IF($Q37=0,$W37,IF(AND($S37&lt;&gt;"",EDATE($D37,Milestones!$AA$196)&gt;=$S37),$V37,IF(AND($R37&lt;&gt;"",EDATE($D37,Milestones!$AA$196)&gt;=$R37),$U37,$T37)))=Milestones!$AB$196),TEXT(EDATE($D37,Milestones!$AA$196),"dd/mm/yy")&amp;" "&amp;Milestones!$AB$196&amp;" "&amp;Milestones!$AC$196&amp;";  ","")&amp;IF(AND(EDATE($D37,Milestones!$AA$197)&lt;=AsOfDate,IF($Q37=0,$W37,IF(AND($S37&lt;&gt;"",EDATE($D37,Milestones!$AA$197)&gt;=$S37),$V37,IF(AND($R37&lt;&gt;"",EDATE($D37,Milestones!$AA$197)&gt;=$R37),$U37,$T37)))=Milestones!$AB$197),TEXT(EDATE($D37,Milestones!$AA$197),"dd/mm/yy")&amp;" "&amp;Milestones!$AB$197&amp;" "&amp;Milestones!$AC$197&amp;";  ","")&amp;IF(AND(EDATE($D37,Milestones!$AA$198)&lt;=AsOfDate,IF($Q37=0,$W37,IF(AND($S37&lt;&gt;"",EDATE($D37,Milestones!$AA$198)&gt;=$S37),$V37,IF(AND($R37&lt;&gt;"",EDATE($D37,Milestones!$AA$198)&gt;=$R37),$U37,$T37)))=Milestones!$AB$198),TEXT(EDATE($D37,Milestones!$AA$198),"dd/mm/yy")&amp;" "&amp;Milestones!$AB$198&amp;" "&amp;Milestones!$AC$198&amp;";  ","")&amp;IF(AND(EDATE($D37,Milestones!$AA$199)&lt;=AsOfDate,IF($Q37=0,$W37,IF(AND($S37&lt;&gt;"",EDATE($D37,Milestones!$AA$199)&gt;=$S37),$V37,IF(AND($R37&lt;&gt;"",EDATE($D37,Milestones!$AA$199)&gt;=$R37),$U37,$T37)))=Milestones!$AB$199),TEXT(EDATE($D37,Milestones!$AA$199),"dd/mm/yy")&amp;" "&amp;Milestones!$AB$199&amp;" "&amp;Milestones!$AC$199&amp;";  ",""))</f>
        <v/>
      </c>
      <c r="Q37" s="0" t="str">
        <f aca="false">IF(Staff!$A37="","",Staff!$AG37)</f>
        <v/>
      </c>
      <c r="R37" s="0" t="str">
        <f aca="false">IF(Staff!$A37="","",Staff!$AI37)</f>
        <v/>
      </c>
      <c r="S37" s="0" t="str">
        <f aca="false">IF(Staff!$A37="","",Staff!$AJ37)</f>
        <v/>
      </c>
      <c r="T37" s="0" t="str">
        <f aca="false">IF(Staff!$A37="","",Staff!$AN37)</f>
        <v/>
      </c>
      <c r="U37" s="0" t="str">
        <f aca="false">IF(Staff!$A37="","",Staff!$AO37)</f>
        <v/>
      </c>
      <c r="V37" s="0" t="str">
        <f aca="false">IF(Staff!$A37="","",Staff!$AP37)</f>
        <v/>
      </c>
      <c r="W37" s="0" t="str">
        <f aca="false">IF(Staff!$A37="","",Staff!$AQ37)</f>
        <v/>
      </c>
    </row>
    <row r="38" customFormat="false" ht="15" hidden="false" customHeight="false" outlineLevel="0" collapsed="false">
      <c r="A38" s="13" t="str">
        <f aca="false">IF(Staff!$A38="","",Staff!$A38)</f>
        <v/>
      </c>
      <c r="B38" s="13" t="str">
        <f aca="false">IF(Staff!$A38="","",Staff!$B38)</f>
        <v/>
      </c>
      <c r="C38" s="13" t="str">
        <f aca="false">IF(Staff!$A38="","",Staff!$C38)</f>
        <v/>
      </c>
      <c r="D38" s="11" t="str">
        <f aca="false">IF(Staff!$A38="","",Staff!$AF38)</f>
        <v/>
      </c>
      <c r="E38" s="13" t="str">
        <f aca="false">IF(Staff!$A38="","",Staff!$O38)</f>
        <v/>
      </c>
      <c r="F38" s="13" t="str">
        <f aca="false">IF(E38="","",E38*HoursPerDay)</f>
        <v/>
      </c>
      <c r="G38" s="26" t="str">
        <f aca="false">IF($A38="","",H38&amp;I38&amp;J38&amp;K38&amp;L38&amp;M38&amp;N38&amp;O38&amp;P38)</f>
        <v/>
      </c>
      <c r="H38" s="0" t="str">
        <f aca="false">IF(OR($A38="",$D38=""),"",IF(AND(EDATE($D38,Milestones!$AA$20)&lt;=AsOfDate,IF($Q38=0,$W38,IF(AND($S38&lt;&gt;"",EDATE($D38,Milestones!$AA$20)&gt;=$S38),$V38,IF(AND($R38&lt;&gt;"",EDATE($D38,Milestones!$AA$20)&gt;=$R38),$U38,$T38)))=Milestones!$AB$20),TEXT(EDATE($D38,Milestones!$AA$20),"dd/mm/yy")&amp;" "&amp;Milestones!$AB$20&amp;" "&amp;Milestones!$AC$20&amp;";  ","")&amp;IF(AND(EDATE($D38,Milestones!$AA$21)&lt;=AsOfDate,IF($Q38=0,$W38,IF(AND($S38&lt;&gt;"",EDATE($D38,Milestones!$AA$21)&gt;=$S38),$V38,IF(AND($R38&lt;&gt;"",EDATE($D38,Milestones!$AA$21)&gt;=$R38),$U38,$T38)))=Milestones!$AB$21),TEXT(EDATE($D38,Milestones!$AA$21),"dd/mm/yy")&amp;" "&amp;Milestones!$AB$21&amp;" "&amp;Milestones!$AC$21&amp;";  ","")&amp;IF(AND(EDATE($D38,Milestones!$AA$22)&lt;=AsOfDate,IF($Q38=0,$W38,IF(AND($S38&lt;&gt;"",EDATE($D38,Milestones!$AA$22)&gt;=$S38),$V38,IF(AND($R38&lt;&gt;"",EDATE($D38,Milestones!$AA$22)&gt;=$R38),$U38,$T38)))=Milestones!$AB$22),TEXT(EDATE($D38,Milestones!$AA$22),"dd/mm/yy")&amp;" "&amp;Milestones!$AB$22&amp;" "&amp;Milestones!$AC$22&amp;";  ","")&amp;IF(AND(EDATE($D38,Milestones!$AA$23)&lt;=AsOfDate,IF($Q38=0,$W38,IF(AND($S38&lt;&gt;"",EDATE($D38,Milestones!$AA$23)&gt;=$S38),$V38,IF(AND($R38&lt;&gt;"",EDATE($D38,Milestones!$AA$23)&gt;=$R38),$U38,$T38)))=Milestones!$AB$23),TEXT(EDATE($D38,Milestones!$AA$23),"dd/mm/yy")&amp;" "&amp;Milestones!$AB$23&amp;" "&amp;Milestones!$AC$23&amp;";  ","")&amp;IF(AND(EDATE($D38,Milestones!$AA$24)&lt;=AsOfDate,IF($Q38=0,$W38,IF(AND($S38&lt;&gt;"",EDATE($D38,Milestones!$AA$24)&gt;=$S38),$V38,IF(AND($R38&lt;&gt;"",EDATE($D38,Milestones!$AA$24)&gt;=$R38),$U38,$T38)))=Milestones!$AB$24),TEXT(EDATE($D38,Milestones!$AA$24),"dd/mm/yy")&amp;" "&amp;Milestones!$AB$24&amp;" "&amp;Milestones!$AC$24&amp;";  ","")&amp;IF(AND(EDATE($D38,Milestones!$AA$25)&lt;=AsOfDate,IF($Q38=0,$W38,IF(AND($S38&lt;&gt;"",EDATE($D38,Milestones!$AA$25)&gt;=$S38),$V38,IF(AND($R38&lt;&gt;"",EDATE($D38,Milestones!$AA$25)&gt;=$R38),$U38,$T38)))=Milestones!$AB$25),TEXT(EDATE($D38,Milestones!$AA$25),"dd/mm/yy")&amp;" "&amp;Milestones!$AB$25&amp;" "&amp;Milestones!$AC$25&amp;";  ","")&amp;IF(AND(EDATE($D38,Milestones!$AA$26)&lt;=AsOfDate,IF($Q38=0,$W38,IF(AND($S38&lt;&gt;"",EDATE($D38,Milestones!$AA$26)&gt;=$S38),$V38,IF(AND($R38&lt;&gt;"",EDATE($D38,Milestones!$AA$26)&gt;=$R38),$U38,$T38)))=Milestones!$AB$26),TEXT(EDATE($D38,Milestones!$AA$26),"dd/mm/yy")&amp;" "&amp;Milestones!$AB$26&amp;" "&amp;Milestones!$AC$26&amp;";  ","")&amp;IF(AND(EDATE($D38,Milestones!$AA$27)&lt;=AsOfDate,IF($Q38=0,$W38,IF(AND($S38&lt;&gt;"",EDATE($D38,Milestones!$AA$27)&gt;=$S38),$V38,IF(AND($R38&lt;&gt;"",EDATE($D38,Milestones!$AA$27)&gt;=$R38),$U38,$T38)))=Milestones!$AB$27),TEXT(EDATE($D38,Milestones!$AA$27),"dd/mm/yy")&amp;" "&amp;Milestones!$AB$27&amp;" "&amp;Milestones!$AC$27&amp;";  ","")&amp;IF(AND(EDATE($D38,Milestones!$AA$28)&lt;=AsOfDate,IF($Q38=0,$W38,IF(AND($S38&lt;&gt;"",EDATE($D38,Milestones!$AA$28)&gt;=$S38),$V38,IF(AND($R38&lt;&gt;"",EDATE($D38,Milestones!$AA$28)&gt;=$R38),$U38,$T38)))=Milestones!$AB$28),TEXT(EDATE($D38,Milestones!$AA$28),"dd/mm/yy")&amp;" "&amp;Milestones!$AB$28&amp;" "&amp;Milestones!$AC$28&amp;";  ","")&amp;IF(AND(EDATE($D38,Milestones!$AA$29)&lt;=AsOfDate,IF($Q38=0,$W38,IF(AND($S38&lt;&gt;"",EDATE($D38,Milestones!$AA$29)&gt;=$S38),$V38,IF(AND($R38&lt;&gt;"",EDATE($D38,Milestones!$AA$29)&gt;=$R38),$U38,$T38)))=Milestones!$AB$29),TEXT(EDATE($D38,Milestones!$AA$29),"dd/mm/yy")&amp;" "&amp;Milestones!$AB$29&amp;" "&amp;Milestones!$AC$29&amp;";  ","")&amp;IF(AND(EDATE($D38,Milestones!$AA$30)&lt;=AsOfDate,IF($Q38=0,$W38,IF(AND($S38&lt;&gt;"",EDATE($D38,Milestones!$AA$30)&gt;=$S38),$V38,IF(AND($R38&lt;&gt;"",EDATE($D38,Milestones!$AA$30)&gt;=$R38),$U38,$T38)))=Milestones!$AB$30),TEXT(EDATE($D38,Milestones!$AA$30),"dd/mm/yy")&amp;" "&amp;Milestones!$AB$30&amp;" "&amp;Milestones!$AC$30&amp;";  ","")&amp;IF(AND(EDATE($D38,Milestones!$AA$31)&lt;=AsOfDate,IF($Q38=0,$W38,IF(AND($S38&lt;&gt;"",EDATE($D38,Milestones!$AA$31)&gt;=$S38),$V38,IF(AND($R38&lt;&gt;"",EDATE($D38,Milestones!$AA$31)&gt;=$R38),$U38,$T38)))=Milestones!$AB$31),TEXT(EDATE($D38,Milestones!$AA$31),"dd/mm/yy")&amp;" "&amp;Milestones!$AB$31&amp;" "&amp;Milestones!$AC$31&amp;";  ","")&amp;IF(AND(EDATE($D38,Milestones!$AA$32)&lt;=AsOfDate,IF($Q38=0,$W38,IF(AND($S38&lt;&gt;"",EDATE($D38,Milestones!$AA$32)&gt;=$S38),$V38,IF(AND($R38&lt;&gt;"",EDATE($D38,Milestones!$AA$32)&gt;=$R38),$U38,$T38)))=Milestones!$AB$32),TEXT(EDATE($D38,Milestones!$AA$32),"dd/mm/yy")&amp;" "&amp;Milestones!$AB$32&amp;" "&amp;Milestones!$AC$32&amp;";  ","")&amp;IF(AND(EDATE($D38,Milestones!$AA$33)&lt;=AsOfDate,IF($Q38=0,$W38,IF(AND($S38&lt;&gt;"",EDATE($D38,Milestones!$AA$33)&gt;=$S38),$V38,IF(AND($R38&lt;&gt;"",EDATE($D38,Milestones!$AA$33)&gt;=$R38),$U38,$T38)))=Milestones!$AB$33),TEXT(EDATE($D38,Milestones!$AA$33),"dd/mm/yy")&amp;" "&amp;Milestones!$AB$33&amp;" "&amp;Milestones!$AC$33&amp;";  ","")&amp;IF(AND(EDATE($D38,Milestones!$AA$34)&lt;=AsOfDate,IF($Q38=0,$W38,IF(AND($S38&lt;&gt;"",EDATE($D38,Milestones!$AA$34)&gt;=$S38),$V38,IF(AND($R38&lt;&gt;"",EDATE($D38,Milestones!$AA$34)&gt;=$R38),$U38,$T38)))=Milestones!$AB$34),TEXT(EDATE($D38,Milestones!$AA$34),"dd/mm/yy")&amp;" "&amp;Milestones!$AB$34&amp;" "&amp;Milestones!$AC$34&amp;";  ","")&amp;IF(AND(EDATE($D38,Milestones!$AA$35)&lt;=AsOfDate,IF($Q38=0,$W38,IF(AND($S38&lt;&gt;"",EDATE($D38,Milestones!$AA$35)&gt;=$S38),$V38,IF(AND($R38&lt;&gt;"",EDATE($D38,Milestones!$AA$35)&gt;=$R38),$U38,$T38)))=Milestones!$AB$35),TEXT(EDATE($D38,Milestones!$AA$35),"dd/mm/yy")&amp;" "&amp;Milestones!$AB$35&amp;" "&amp;Milestones!$AC$35&amp;";  ","")&amp;IF(AND(EDATE($D38,Milestones!$AA$36)&lt;=AsOfDate,IF($Q38=0,$W38,IF(AND($S38&lt;&gt;"",EDATE($D38,Milestones!$AA$36)&gt;=$S38),$V38,IF(AND($R38&lt;&gt;"",EDATE($D38,Milestones!$AA$36)&gt;=$R38),$U38,$T38)))=Milestones!$AB$36),TEXT(EDATE($D38,Milestones!$AA$36),"dd/mm/yy")&amp;" "&amp;Milestones!$AB$36&amp;" "&amp;Milestones!$AC$36&amp;";  ","")&amp;IF(AND(EDATE($D38,Milestones!$AA$37)&lt;=AsOfDate,IF($Q38=0,$W38,IF(AND($S38&lt;&gt;"",EDATE($D38,Milestones!$AA$37)&gt;=$S38),$V38,IF(AND($R38&lt;&gt;"",EDATE($D38,Milestones!$AA$37)&gt;=$R38),$U38,$T38)))=Milestones!$AB$37),TEXT(EDATE($D38,Milestones!$AA$37),"dd/mm/yy")&amp;" "&amp;Milestones!$AB$37&amp;" "&amp;Milestones!$AC$37&amp;";  ","")&amp;IF(AND(EDATE($D38,Milestones!$AA$38)&lt;=AsOfDate,IF($Q38=0,$W38,IF(AND($S38&lt;&gt;"",EDATE($D38,Milestones!$AA$38)&gt;=$S38),$V38,IF(AND($R38&lt;&gt;"",EDATE($D38,Milestones!$AA$38)&gt;=$R38),$U38,$T38)))=Milestones!$AB$38),TEXT(EDATE($D38,Milestones!$AA$38),"dd/mm/yy")&amp;" "&amp;Milestones!$AB$38&amp;" "&amp;Milestones!$AC$38&amp;";  ","")&amp;IF(AND(EDATE($D38,Milestones!$AA$39)&lt;=AsOfDate,IF($Q38=0,$W38,IF(AND($S38&lt;&gt;"",EDATE($D38,Milestones!$AA$39)&gt;=$S38),$V38,IF(AND($R38&lt;&gt;"",EDATE($D38,Milestones!$AA$39)&gt;=$R38),$U38,$T38)))=Milestones!$AB$39),TEXT(EDATE($D38,Milestones!$AA$39),"dd/mm/yy")&amp;" "&amp;Milestones!$AB$39&amp;" "&amp;Milestones!$AC$39&amp;";  ",""))</f>
        <v/>
      </c>
      <c r="I38" s="0" t="str">
        <f aca="false">IF(OR($A38="",$D38=""),"",IF(AND(EDATE($D38,Milestones!$AA$40)&lt;=AsOfDate,IF($Q38=0,$W38,IF(AND($S38&lt;&gt;"",EDATE($D38,Milestones!$AA$40)&gt;=$S38),$V38,IF(AND($R38&lt;&gt;"",EDATE($D38,Milestones!$AA$40)&gt;=$R38),$U38,$T38)))=Milestones!$AB$40),TEXT(EDATE($D38,Milestones!$AA$40),"dd/mm/yy")&amp;" "&amp;Milestones!$AB$40&amp;" "&amp;Milestones!$AC$40&amp;";  ","")&amp;IF(AND(EDATE($D38,Milestones!$AA$41)&lt;=AsOfDate,IF($Q38=0,$W38,IF(AND($S38&lt;&gt;"",EDATE($D38,Milestones!$AA$41)&gt;=$S38),$V38,IF(AND($R38&lt;&gt;"",EDATE($D38,Milestones!$AA$41)&gt;=$R38),$U38,$T38)))=Milestones!$AB$41),TEXT(EDATE($D38,Milestones!$AA$41),"dd/mm/yy")&amp;" "&amp;Milestones!$AB$41&amp;" "&amp;Milestones!$AC$41&amp;";  ","")&amp;IF(AND(EDATE($D38,Milestones!$AA$42)&lt;=AsOfDate,IF($Q38=0,$W38,IF(AND($S38&lt;&gt;"",EDATE($D38,Milestones!$AA$42)&gt;=$S38),$V38,IF(AND($R38&lt;&gt;"",EDATE($D38,Milestones!$AA$42)&gt;=$R38),$U38,$T38)))=Milestones!$AB$42),TEXT(EDATE($D38,Milestones!$AA$42),"dd/mm/yy")&amp;" "&amp;Milestones!$AB$42&amp;" "&amp;Milestones!$AC$42&amp;";  ","")&amp;IF(AND(EDATE($D38,Milestones!$AA$43)&lt;=AsOfDate,IF($Q38=0,$W38,IF(AND($S38&lt;&gt;"",EDATE($D38,Milestones!$AA$43)&gt;=$S38),$V38,IF(AND($R38&lt;&gt;"",EDATE($D38,Milestones!$AA$43)&gt;=$R38),$U38,$T38)))=Milestones!$AB$43),TEXT(EDATE($D38,Milestones!$AA$43),"dd/mm/yy")&amp;" "&amp;Milestones!$AB$43&amp;" "&amp;Milestones!$AC$43&amp;";  ","")&amp;IF(AND(EDATE($D38,Milestones!$AA$44)&lt;=AsOfDate,IF($Q38=0,$W38,IF(AND($S38&lt;&gt;"",EDATE($D38,Milestones!$AA$44)&gt;=$S38),$V38,IF(AND($R38&lt;&gt;"",EDATE($D38,Milestones!$AA$44)&gt;=$R38),$U38,$T38)))=Milestones!$AB$44),TEXT(EDATE($D38,Milestones!$AA$44),"dd/mm/yy")&amp;" "&amp;Milestones!$AB$44&amp;" "&amp;Milestones!$AC$44&amp;";  ","")&amp;IF(AND(EDATE($D38,Milestones!$AA$45)&lt;=AsOfDate,IF($Q38=0,$W38,IF(AND($S38&lt;&gt;"",EDATE($D38,Milestones!$AA$45)&gt;=$S38),$V38,IF(AND($R38&lt;&gt;"",EDATE($D38,Milestones!$AA$45)&gt;=$R38),$U38,$T38)))=Milestones!$AB$45),TEXT(EDATE($D38,Milestones!$AA$45),"dd/mm/yy")&amp;" "&amp;Milestones!$AB$45&amp;" "&amp;Milestones!$AC$45&amp;";  ","")&amp;IF(AND(EDATE($D38,Milestones!$AA$46)&lt;=AsOfDate,IF($Q38=0,$W38,IF(AND($S38&lt;&gt;"",EDATE($D38,Milestones!$AA$46)&gt;=$S38),$V38,IF(AND($R38&lt;&gt;"",EDATE($D38,Milestones!$AA$46)&gt;=$R38),$U38,$T38)))=Milestones!$AB$46),TEXT(EDATE($D38,Milestones!$AA$46),"dd/mm/yy")&amp;" "&amp;Milestones!$AB$46&amp;" "&amp;Milestones!$AC$46&amp;";  ","")&amp;IF(AND(EDATE($D38,Milestones!$AA$47)&lt;=AsOfDate,IF($Q38=0,$W38,IF(AND($S38&lt;&gt;"",EDATE($D38,Milestones!$AA$47)&gt;=$S38),$V38,IF(AND($R38&lt;&gt;"",EDATE($D38,Milestones!$AA$47)&gt;=$R38),$U38,$T38)))=Milestones!$AB$47),TEXT(EDATE($D38,Milestones!$AA$47),"dd/mm/yy")&amp;" "&amp;Milestones!$AB$47&amp;" "&amp;Milestones!$AC$47&amp;";  ","")&amp;IF(AND(EDATE($D38,Milestones!$AA$48)&lt;=AsOfDate,IF($Q38=0,$W38,IF(AND($S38&lt;&gt;"",EDATE($D38,Milestones!$AA$48)&gt;=$S38),$V38,IF(AND($R38&lt;&gt;"",EDATE($D38,Milestones!$AA$48)&gt;=$R38),$U38,$T38)))=Milestones!$AB$48),TEXT(EDATE($D38,Milestones!$AA$48),"dd/mm/yy")&amp;" "&amp;Milestones!$AB$48&amp;" "&amp;Milestones!$AC$48&amp;";  ","")&amp;IF(AND(EDATE($D38,Milestones!$AA$49)&lt;=AsOfDate,IF($Q38=0,$W38,IF(AND($S38&lt;&gt;"",EDATE($D38,Milestones!$AA$49)&gt;=$S38),$V38,IF(AND($R38&lt;&gt;"",EDATE($D38,Milestones!$AA$49)&gt;=$R38),$U38,$T38)))=Milestones!$AB$49),TEXT(EDATE($D38,Milestones!$AA$49),"dd/mm/yy")&amp;" "&amp;Milestones!$AB$49&amp;" "&amp;Milestones!$AC$49&amp;";  ","")&amp;IF(AND(EDATE($D38,Milestones!$AA$50)&lt;=AsOfDate,IF($Q38=0,$W38,IF(AND($S38&lt;&gt;"",EDATE($D38,Milestones!$AA$50)&gt;=$S38),$V38,IF(AND($R38&lt;&gt;"",EDATE($D38,Milestones!$AA$50)&gt;=$R38),$U38,$T38)))=Milestones!$AB$50),TEXT(EDATE($D38,Milestones!$AA$50),"dd/mm/yy")&amp;" "&amp;Milestones!$AB$50&amp;" "&amp;Milestones!$AC$50&amp;";  ","")&amp;IF(AND(EDATE($D38,Milestones!$AA$51)&lt;=AsOfDate,IF($Q38=0,$W38,IF(AND($S38&lt;&gt;"",EDATE($D38,Milestones!$AA$51)&gt;=$S38),$V38,IF(AND($R38&lt;&gt;"",EDATE($D38,Milestones!$AA$51)&gt;=$R38),$U38,$T38)))=Milestones!$AB$51),TEXT(EDATE($D38,Milestones!$AA$51),"dd/mm/yy")&amp;" "&amp;Milestones!$AB$51&amp;" "&amp;Milestones!$AC$51&amp;";  ","")&amp;IF(AND(EDATE($D38,Milestones!$AA$52)&lt;=AsOfDate,IF($Q38=0,$W38,IF(AND($S38&lt;&gt;"",EDATE($D38,Milestones!$AA$52)&gt;=$S38),$V38,IF(AND($R38&lt;&gt;"",EDATE($D38,Milestones!$AA$52)&gt;=$R38),$U38,$T38)))=Milestones!$AB$52),TEXT(EDATE($D38,Milestones!$AA$52),"dd/mm/yy")&amp;" "&amp;Milestones!$AB$52&amp;" "&amp;Milestones!$AC$52&amp;";  ","")&amp;IF(AND(EDATE($D38,Milestones!$AA$53)&lt;=AsOfDate,IF($Q38=0,$W38,IF(AND($S38&lt;&gt;"",EDATE($D38,Milestones!$AA$53)&gt;=$S38),$V38,IF(AND($R38&lt;&gt;"",EDATE($D38,Milestones!$AA$53)&gt;=$R38),$U38,$T38)))=Milestones!$AB$53),TEXT(EDATE($D38,Milestones!$AA$53),"dd/mm/yy")&amp;" "&amp;Milestones!$AB$53&amp;" "&amp;Milestones!$AC$53&amp;";  ","")&amp;IF(AND(EDATE($D38,Milestones!$AA$54)&lt;=AsOfDate,IF($Q38=0,$W38,IF(AND($S38&lt;&gt;"",EDATE($D38,Milestones!$AA$54)&gt;=$S38),$V38,IF(AND($R38&lt;&gt;"",EDATE($D38,Milestones!$AA$54)&gt;=$R38),$U38,$T38)))=Milestones!$AB$54),TEXT(EDATE($D38,Milestones!$AA$54),"dd/mm/yy")&amp;" "&amp;Milestones!$AB$54&amp;" "&amp;Milestones!$AC$54&amp;";  ","")&amp;IF(AND(EDATE($D38,Milestones!$AA$55)&lt;=AsOfDate,IF($Q38=0,$W38,IF(AND($S38&lt;&gt;"",EDATE($D38,Milestones!$AA$55)&gt;=$S38),$V38,IF(AND($R38&lt;&gt;"",EDATE($D38,Milestones!$AA$55)&gt;=$R38),$U38,$T38)))=Milestones!$AB$55),TEXT(EDATE($D38,Milestones!$AA$55),"dd/mm/yy")&amp;" "&amp;Milestones!$AB$55&amp;" "&amp;Milestones!$AC$55&amp;";  ","")&amp;IF(AND(EDATE($D38,Milestones!$AA$56)&lt;=AsOfDate,IF($Q38=0,$W38,IF(AND($S38&lt;&gt;"",EDATE($D38,Milestones!$AA$56)&gt;=$S38),$V38,IF(AND($R38&lt;&gt;"",EDATE($D38,Milestones!$AA$56)&gt;=$R38),$U38,$T38)))=Milestones!$AB$56),TEXT(EDATE($D38,Milestones!$AA$56),"dd/mm/yy")&amp;" "&amp;Milestones!$AB$56&amp;" "&amp;Milestones!$AC$56&amp;";  ","")&amp;IF(AND(EDATE($D38,Milestones!$AA$57)&lt;=AsOfDate,IF($Q38=0,$W38,IF(AND($S38&lt;&gt;"",EDATE($D38,Milestones!$AA$57)&gt;=$S38),$V38,IF(AND($R38&lt;&gt;"",EDATE($D38,Milestones!$AA$57)&gt;=$R38),$U38,$T38)))=Milestones!$AB$57),TEXT(EDATE($D38,Milestones!$AA$57),"dd/mm/yy")&amp;" "&amp;Milestones!$AB$57&amp;" "&amp;Milestones!$AC$57&amp;";  ","")&amp;IF(AND(EDATE($D38,Milestones!$AA$58)&lt;=AsOfDate,IF($Q38=0,$W38,IF(AND($S38&lt;&gt;"",EDATE($D38,Milestones!$AA$58)&gt;=$S38),$V38,IF(AND($R38&lt;&gt;"",EDATE($D38,Milestones!$AA$58)&gt;=$R38),$U38,$T38)))=Milestones!$AB$58),TEXT(EDATE($D38,Milestones!$AA$58),"dd/mm/yy")&amp;" "&amp;Milestones!$AB$58&amp;" "&amp;Milestones!$AC$58&amp;";  ","")&amp;IF(AND(EDATE($D38,Milestones!$AA$59)&lt;=AsOfDate,IF($Q38=0,$W38,IF(AND($S38&lt;&gt;"",EDATE($D38,Milestones!$AA$59)&gt;=$S38),$V38,IF(AND($R38&lt;&gt;"",EDATE($D38,Milestones!$AA$59)&gt;=$R38),$U38,$T38)))=Milestones!$AB$59),TEXT(EDATE($D38,Milestones!$AA$59),"dd/mm/yy")&amp;" "&amp;Milestones!$AB$59&amp;" "&amp;Milestones!$AC$59&amp;";  ",""))</f>
        <v/>
      </c>
      <c r="J38" s="0" t="str">
        <f aca="false">IF(OR($A38="",$D38=""),"",IF(AND(EDATE($D38,Milestones!$AA$60)&lt;=AsOfDate,IF($Q38=0,$W38,IF(AND($S38&lt;&gt;"",EDATE($D38,Milestones!$AA$60)&gt;=$S38),$V38,IF(AND($R38&lt;&gt;"",EDATE($D38,Milestones!$AA$60)&gt;=$R38),$U38,$T38)))=Milestones!$AB$60),TEXT(EDATE($D38,Milestones!$AA$60),"dd/mm/yy")&amp;" "&amp;Milestones!$AB$60&amp;" "&amp;Milestones!$AC$60&amp;";  ","")&amp;IF(AND(EDATE($D38,Milestones!$AA$61)&lt;=AsOfDate,IF($Q38=0,$W38,IF(AND($S38&lt;&gt;"",EDATE($D38,Milestones!$AA$61)&gt;=$S38),$V38,IF(AND($R38&lt;&gt;"",EDATE($D38,Milestones!$AA$61)&gt;=$R38),$U38,$T38)))=Milestones!$AB$61),TEXT(EDATE($D38,Milestones!$AA$61),"dd/mm/yy")&amp;" "&amp;Milestones!$AB$61&amp;" "&amp;Milestones!$AC$61&amp;";  ","")&amp;IF(AND(EDATE($D38,Milestones!$AA$62)&lt;=AsOfDate,IF($Q38=0,$W38,IF(AND($S38&lt;&gt;"",EDATE($D38,Milestones!$AA$62)&gt;=$S38),$V38,IF(AND($R38&lt;&gt;"",EDATE($D38,Milestones!$AA$62)&gt;=$R38),$U38,$T38)))=Milestones!$AB$62),TEXT(EDATE($D38,Milestones!$AA$62),"dd/mm/yy")&amp;" "&amp;Milestones!$AB$62&amp;" "&amp;Milestones!$AC$62&amp;";  ","")&amp;IF(AND(EDATE($D38,Milestones!$AA$63)&lt;=AsOfDate,IF($Q38=0,$W38,IF(AND($S38&lt;&gt;"",EDATE($D38,Milestones!$AA$63)&gt;=$S38),$V38,IF(AND($R38&lt;&gt;"",EDATE($D38,Milestones!$AA$63)&gt;=$R38),$U38,$T38)))=Milestones!$AB$63),TEXT(EDATE($D38,Milestones!$AA$63),"dd/mm/yy")&amp;" "&amp;Milestones!$AB$63&amp;" "&amp;Milestones!$AC$63&amp;";  ","")&amp;IF(AND(EDATE($D38,Milestones!$AA$64)&lt;=AsOfDate,IF($Q38=0,$W38,IF(AND($S38&lt;&gt;"",EDATE($D38,Milestones!$AA$64)&gt;=$S38),$V38,IF(AND($R38&lt;&gt;"",EDATE($D38,Milestones!$AA$64)&gt;=$R38),$U38,$T38)))=Milestones!$AB$64),TEXT(EDATE($D38,Milestones!$AA$64),"dd/mm/yy")&amp;" "&amp;Milestones!$AB$64&amp;" "&amp;Milestones!$AC$64&amp;";  ","")&amp;IF(AND(EDATE($D38,Milestones!$AA$65)&lt;=AsOfDate,IF($Q38=0,$W38,IF(AND($S38&lt;&gt;"",EDATE($D38,Milestones!$AA$65)&gt;=$S38),$V38,IF(AND($R38&lt;&gt;"",EDATE($D38,Milestones!$AA$65)&gt;=$R38),$U38,$T38)))=Milestones!$AB$65),TEXT(EDATE($D38,Milestones!$AA$65),"dd/mm/yy")&amp;" "&amp;Milestones!$AB$65&amp;" "&amp;Milestones!$AC$65&amp;";  ","")&amp;IF(AND(EDATE($D38,Milestones!$AA$66)&lt;=AsOfDate,IF($Q38=0,$W38,IF(AND($S38&lt;&gt;"",EDATE($D38,Milestones!$AA$66)&gt;=$S38),$V38,IF(AND($R38&lt;&gt;"",EDATE($D38,Milestones!$AA$66)&gt;=$R38),$U38,$T38)))=Milestones!$AB$66),TEXT(EDATE($D38,Milestones!$AA$66),"dd/mm/yy")&amp;" "&amp;Milestones!$AB$66&amp;" "&amp;Milestones!$AC$66&amp;";  ","")&amp;IF(AND(EDATE($D38,Milestones!$AA$67)&lt;=AsOfDate,IF($Q38=0,$W38,IF(AND($S38&lt;&gt;"",EDATE($D38,Milestones!$AA$67)&gt;=$S38),$V38,IF(AND($R38&lt;&gt;"",EDATE($D38,Milestones!$AA$67)&gt;=$R38),$U38,$T38)))=Milestones!$AB$67),TEXT(EDATE($D38,Milestones!$AA$67),"dd/mm/yy")&amp;" "&amp;Milestones!$AB$67&amp;" "&amp;Milestones!$AC$67&amp;";  ","")&amp;IF(AND(EDATE($D38,Milestones!$AA$68)&lt;=AsOfDate,IF($Q38=0,$W38,IF(AND($S38&lt;&gt;"",EDATE($D38,Milestones!$AA$68)&gt;=$S38),$V38,IF(AND($R38&lt;&gt;"",EDATE($D38,Milestones!$AA$68)&gt;=$R38),$U38,$T38)))=Milestones!$AB$68),TEXT(EDATE($D38,Milestones!$AA$68),"dd/mm/yy")&amp;" "&amp;Milestones!$AB$68&amp;" "&amp;Milestones!$AC$68&amp;";  ","")&amp;IF(AND(EDATE($D38,Milestones!$AA$69)&lt;=AsOfDate,IF($Q38=0,$W38,IF(AND($S38&lt;&gt;"",EDATE($D38,Milestones!$AA$69)&gt;=$S38),$V38,IF(AND($R38&lt;&gt;"",EDATE($D38,Milestones!$AA$69)&gt;=$R38),$U38,$T38)))=Milestones!$AB$69),TEXT(EDATE($D38,Milestones!$AA$69),"dd/mm/yy")&amp;" "&amp;Milestones!$AB$69&amp;" "&amp;Milestones!$AC$69&amp;";  ","")&amp;IF(AND(EDATE($D38,Milestones!$AA$70)&lt;=AsOfDate,IF($Q38=0,$W38,IF(AND($S38&lt;&gt;"",EDATE($D38,Milestones!$AA$70)&gt;=$S38),$V38,IF(AND($R38&lt;&gt;"",EDATE($D38,Milestones!$AA$70)&gt;=$R38),$U38,$T38)))=Milestones!$AB$70),TEXT(EDATE($D38,Milestones!$AA$70),"dd/mm/yy")&amp;" "&amp;Milestones!$AB$70&amp;" "&amp;Milestones!$AC$70&amp;";  ","")&amp;IF(AND(EDATE($D38,Milestones!$AA$71)&lt;=AsOfDate,IF($Q38=0,$W38,IF(AND($S38&lt;&gt;"",EDATE($D38,Milestones!$AA$71)&gt;=$S38),$V38,IF(AND($R38&lt;&gt;"",EDATE($D38,Milestones!$AA$71)&gt;=$R38),$U38,$T38)))=Milestones!$AB$71),TEXT(EDATE($D38,Milestones!$AA$71),"dd/mm/yy")&amp;" "&amp;Milestones!$AB$71&amp;" "&amp;Milestones!$AC$71&amp;";  ","")&amp;IF(AND(EDATE($D38,Milestones!$AA$72)&lt;=AsOfDate,IF($Q38=0,$W38,IF(AND($S38&lt;&gt;"",EDATE($D38,Milestones!$AA$72)&gt;=$S38),$V38,IF(AND($R38&lt;&gt;"",EDATE($D38,Milestones!$AA$72)&gt;=$R38),$U38,$T38)))=Milestones!$AB$72),TEXT(EDATE($D38,Milestones!$AA$72),"dd/mm/yy")&amp;" "&amp;Milestones!$AB$72&amp;" "&amp;Milestones!$AC$72&amp;";  ","")&amp;IF(AND(EDATE($D38,Milestones!$AA$73)&lt;=AsOfDate,IF($Q38=0,$W38,IF(AND($S38&lt;&gt;"",EDATE($D38,Milestones!$AA$73)&gt;=$S38),$V38,IF(AND($R38&lt;&gt;"",EDATE($D38,Milestones!$AA$73)&gt;=$R38),$U38,$T38)))=Milestones!$AB$73),TEXT(EDATE($D38,Milestones!$AA$73),"dd/mm/yy")&amp;" "&amp;Milestones!$AB$73&amp;" "&amp;Milestones!$AC$73&amp;";  ","")&amp;IF(AND(EDATE($D38,Milestones!$AA$74)&lt;=AsOfDate,IF($Q38=0,$W38,IF(AND($S38&lt;&gt;"",EDATE($D38,Milestones!$AA$74)&gt;=$S38),$V38,IF(AND($R38&lt;&gt;"",EDATE($D38,Milestones!$AA$74)&gt;=$R38),$U38,$T38)))=Milestones!$AB$74),TEXT(EDATE($D38,Milestones!$AA$74),"dd/mm/yy")&amp;" "&amp;Milestones!$AB$74&amp;" "&amp;Milestones!$AC$74&amp;";  ","")&amp;IF(AND(EDATE($D38,Milestones!$AA$75)&lt;=AsOfDate,IF($Q38=0,$W38,IF(AND($S38&lt;&gt;"",EDATE($D38,Milestones!$AA$75)&gt;=$S38),$V38,IF(AND($R38&lt;&gt;"",EDATE($D38,Milestones!$AA$75)&gt;=$R38),$U38,$T38)))=Milestones!$AB$75),TEXT(EDATE($D38,Milestones!$AA$75),"dd/mm/yy")&amp;" "&amp;Milestones!$AB$75&amp;" "&amp;Milestones!$AC$75&amp;";  ","")&amp;IF(AND(EDATE($D38,Milestones!$AA$76)&lt;=AsOfDate,IF($Q38=0,$W38,IF(AND($S38&lt;&gt;"",EDATE($D38,Milestones!$AA$76)&gt;=$S38),$V38,IF(AND($R38&lt;&gt;"",EDATE($D38,Milestones!$AA$76)&gt;=$R38),$U38,$T38)))=Milestones!$AB$76),TEXT(EDATE($D38,Milestones!$AA$76),"dd/mm/yy")&amp;" "&amp;Milestones!$AB$76&amp;" "&amp;Milestones!$AC$76&amp;";  ","")&amp;IF(AND(EDATE($D38,Milestones!$AA$77)&lt;=AsOfDate,IF($Q38=0,$W38,IF(AND($S38&lt;&gt;"",EDATE($D38,Milestones!$AA$77)&gt;=$S38),$V38,IF(AND($R38&lt;&gt;"",EDATE($D38,Milestones!$AA$77)&gt;=$R38),$U38,$T38)))=Milestones!$AB$77),TEXT(EDATE($D38,Milestones!$AA$77),"dd/mm/yy")&amp;" "&amp;Milestones!$AB$77&amp;" "&amp;Milestones!$AC$77&amp;";  ","")&amp;IF(AND(EDATE($D38,Milestones!$AA$78)&lt;=AsOfDate,IF($Q38=0,$W38,IF(AND($S38&lt;&gt;"",EDATE($D38,Milestones!$AA$78)&gt;=$S38),$V38,IF(AND($R38&lt;&gt;"",EDATE($D38,Milestones!$AA$78)&gt;=$R38),$U38,$T38)))=Milestones!$AB$78),TEXT(EDATE($D38,Milestones!$AA$78),"dd/mm/yy")&amp;" "&amp;Milestones!$AB$78&amp;" "&amp;Milestones!$AC$78&amp;";  ","")&amp;IF(AND(EDATE($D38,Milestones!$AA$79)&lt;=AsOfDate,IF($Q38=0,$W38,IF(AND($S38&lt;&gt;"",EDATE($D38,Milestones!$AA$79)&gt;=$S38),$V38,IF(AND($R38&lt;&gt;"",EDATE($D38,Milestones!$AA$79)&gt;=$R38),$U38,$T38)))=Milestones!$AB$79),TEXT(EDATE($D38,Milestones!$AA$79),"dd/mm/yy")&amp;" "&amp;Milestones!$AB$79&amp;" "&amp;Milestones!$AC$79&amp;";  ",""))</f>
        <v/>
      </c>
      <c r="K38" s="0" t="str">
        <f aca="false">IF(OR($A38="",$D38=""),"",IF(AND(EDATE($D38,Milestones!$AA$80)&lt;=AsOfDate,IF($Q38=0,$W38,IF(AND($S38&lt;&gt;"",EDATE($D38,Milestones!$AA$80)&gt;=$S38),$V38,IF(AND($R38&lt;&gt;"",EDATE($D38,Milestones!$AA$80)&gt;=$R38),$U38,$T38)))=Milestones!$AB$80),TEXT(EDATE($D38,Milestones!$AA$80),"dd/mm/yy")&amp;" "&amp;Milestones!$AB$80&amp;" "&amp;Milestones!$AC$80&amp;";  ","")&amp;IF(AND(EDATE($D38,Milestones!$AA$81)&lt;=AsOfDate,IF($Q38=0,$W38,IF(AND($S38&lt;&gt;"",EDATE($D38,Milestones!$AA$81)&gt;=$S38),$V38,IF(AND($R38&lt;&gt;"",EDATE($D38,Milestones!$AA$81)&gt;=$R38),$U38,$T38)))=Milestones!$AB$81),TEXT(EDATE($D38,Milestones!$AA$81),"dd/mm/yy")&amp;" "&amp;Milestones!$AB$81&amp;" "&amp;Milestones!$AC$81&amp;";  ","")&amp;IF(AND(EDATE($D38,Milestones!$AA$82)&lt;=AsOfDate,IF($Q38=0,$W38,IF(AND($S38&lt;&gt;"",EDATE($D38,Milestones!$AA$82)&gt;=$S38),$V38,IF(AND($R38&lt;&gt;"",EDATE($D38,Milestones!$AA$82)&gt;=$R38),$U38,$T38)))=Milestones!$AB$82),TEXT(EDATE($D38,Milestones!$AA$82),"dd/mm/yy")&amp;" "&amp;Milestones!$AB$82&amp;" "&amp;Milestones!$AC$82&amp;";  ","")&amp;IF(AND(EDATE($D38,Milestones!$AA$83)&lt;=AsOfDate,IF($Q38=0,$W38,IF(AND($S38&lt;&gt;"",EDATE($D38,Milestones!$AA$83)&gt;=$S38),$V38,IF(AND($R38&lt;&gt;"",EDATE($D38,Milestones!$AA$83)&gt;=$R38),$U38,$T38)))=Milestones!$AB$83),TEXT(EDATE($D38,Milestones!$AA$83),"dd/mm/yy")&amp;" "&amp;Milestones!$AB$83&amp;" "&amp;Milestones!$AC$83&amp;";  ","")&amp;IF(AND(EDATE($D38,Milestones!$AA$84)&lt;=AsOfDate,IF($Q38=0,$W38,IF(AND($S38&lt;&gt;"",EDATE($D38,Milestones!$AA$84)&gt;=$S38),$V38,IF(AND($R38&lt;&gt;"",EDATE($D38,Milestones!$AA$84)&gt;=$R38),$U38,$T38)))=Milestones!$AB$84),TEXT(EDATE($D38,Milestones!$AA$84),"dd/mm/yy")&amp;" "&amp;Milestones!$AB$84&amp;" "&amp;Milestones!$AC$84&amp;";  ","")&amp;IF(AND(EDATE($D38,Milestones!$AA$85)&lt;=AsOfDate,IF($Q38=0,$W38,IF(AND($S38&lt;&gt;"",EDATE($D38,Milestones!$AA$85)&gt;=$S38),$V38,IF(AND($R38&lt;&gt;"",EDATE($D38,Milestones!$AA$85)&gt;=$R38),$U38,$T38)))=Milestones!$AB$85),TEXT(EDATE($D38,Milestones!$AA$85),"dd/mm/yy")&amp;" "&amp;Milestones!$AB$85&amp;" "&amp;Milestones!$AC$85&amp;";  ","")&amp;IF(AND(EDATE($D38,Milestones!$AA$86)&lt;=AsOfDate,IF($Q38=0,$W38,IF(AND($S38&lt;&gt;"",EDATE($D38,Milestones!$AA$86)&gt;=$S38),$V38,IF(AND($R38&lt;&gt;"",EDATE($D38,Milestones!$AA$86)&gt;=$R38),$U38,$T38)))=Milestones!$AB$86),TEXT(EDATE($D38,Milestones!$AA$86),"dd/mm/yy")&amp;" "&amp;Milestones!$AB$86&amp;" "&amp;Milestones!$AC$86&amp;";  ","")&amp;IF(AND(EDATE($D38,Milestones!$AA$87)&lt;=AsOfDate,IF($Q38=0,$W38,IF(AND($S38&lt;&gt;"",EDATE($D38,Milestones!$AA$87)&gt;=$S38),$V38,IF(AND($R38&lt;&gt;"",EDATE($D38,Milestones!$AA$87)&gt;=$R38),$U38,$T38)))=Milestones!$AB$87),TEXT(EDATE($D38,Milestones!$AA$87),"dd/mm/yy")&amp;" "&amp;Milestones!$AB$87&amp;" "&amp;Milestones!$AC$87&amp;";  ","")&amp;IF(AND(EDATE($D38,Milestones!$AA$88)&lt;=AsOfDate,IF($Q38=0,$W38,IF(AND($S38&lt;&gt;"",EDATE($D38,Milestones!$AA$88)&gt;=$S38),$V38,IF(AND($R38&lt;&gt;"",EDATE($D38,Milestones!$AA$88)&gt;=$R38),$U38,$T38)))=Milestones!$AB$88),TEXT(EDATE($D38,Milestones!$AA$88),"dd/mm/yy")&amp;" "&amp;Milestones!$AB$88&amp;" "&amp;Milestones!$AC$88&amp;";  ","")&amp;IF(AND(EDATE($D38,Milestones!$AA$89)&lt;=AsOfDate,IF($Q38=0,$W38,IF(AND($S38&lt;&gt;"",EDATE($D38,Milestones!$AA$89)&gt;=$S38),$V38,IF(AND($R38&lt;&gt;"",EDATE($D38,Milestones!$AA$89)&gt;=$R38),$U38,$T38)))=Milestones!$AB$89),TEXT(EDATE($D38,Milestones!$AA$89),"dd/mm/yy")&amp;" "&amp;Milestones!$AB$89&amp;" "&amp;Milestones!$AC$89&amp;";  ","")&amp;IF(AND(EDATE($D38,Milestones!$AA$90)&lt;=AsOfDate,IF($Q38=0,$W38,IF(AND($S38&lt;&gt;"",EDATE($D38,Milestones!$AA$90)&gt;=$S38),$V38,IF(AND($R38&lt;&gt;"",EDATE($D38,Milestones!$AA$90)&gt;=$R38),$U38,$T38)))=Milestones!$AB$90),TEXT(EDATE($D38,Milestones!$AA$90),"dd/mm/yy")&amp;" "&amp;Milestones!$AB$90&amp;" "&amp;Milestones!$AC$90&amp;";  ","")&amp;IF(AND(EDATE($D38,Milestones!$AA$91)&lt;=AsOfDate,IF($Q38=0,$W38,IF(AND($S38&lt;&gt;"",EDATE($D38,Milestones!$AA$91)&gt;=$S38),$V38,IF(AND($R38&lt;&gt;"",EDATE($D38,Milestones!$AA$91)&gt;=$R38),$U38,$T38)))=Milestones!$AB$91),TEXT(EDATE($D38,Milestones!$AA$91),"dd/mm/yy")&amp;" "&amp;Milestones!$AB$91&amp;" "&amp;Milestones!$AC$91&amp;";  ","")&amp;IF(AND(EDATE($D38,Milestones!$AA$92)&lt;=AsOfDate,IF($Q38=0,$W38,IF(AND($S38&lt;&gt;"",EDATE($D38,Milestones!$AA$92)&gt;=$S38),$V38,IF(AND($R38&lt;&gt;"",EDATE($D38,Milestones!$AA$92)&gt;=$R38),$U38,$T38)))=Milestones!$AB$92),TEXT(EDATE($D38,Milestones!$AA$92),"dd/mm/yy")&amp;" "&amp;Milestones!$AB$92&amp;" "&amp;Milestones!$AC$92&amp;";  ","")&amp;IF(AND(EDATE($D38,Milestones!$AA$93)&lt;=AsOfDate,IF($Q38=0,$W38,IF(AND($S38&lt;&gt;"",EDATE($D38,Milestones!$AA$93)&gt;=$S38),$V38,IF(AND($R38&lt;&gt;"",EDATE($D38,Milestones!$AA$93)&gt;=$R38),$U38,$T38)))=Milestones!$AB$93),TEXT(EDATE($D38,Milestones!$AA$93),"dd/mm/yy")&amp;" "&amp;Milestones!$AB$93&amp;" "&amp;Milestones!$AC$93&amp;";  ","")&amp;IF(AND(EDATE($D38,Milestones!$AA$94)&lt;=AsOfDate,IF($Q38=0,$W38,IF(AND($S38&lt;&gt;"",EDATE($D38,Milestones!$AA$94)&gt;=$S38),$V38,IF(AND($R38&lt;&gt;"",EDATE($D38,Milestones!$AA$94)&gt;=$R38),$U38,$T38)))=Milestones!$AB$94),TEXT(EDATE($D38,Milestones!$AA$94),"dd/mm/yy")&amp;" "&amp;Milestones!$AB$94&amp;" "&amp;Milestones!$AC$94&amp;";  ","")&amp;IF(AND(EDATE($D38,Milestones!$AA$95)&lt;=AsOfDate,IF($Q38=0,$W38,IF(AND($S38&lt;&gt;"",EDATE($D38,Milestones!$AA$95)&gt;=$S38),$V38,IF(AND($R38&lt;&gt;"",EDATE($D38,Milestones!$AA$95)&gt;=$R38),$U38,$T38)))=Milestones!$AB$95),TEXT(EDATE($D38,Milestones!$AA$95),"dd/mm/yy")&amp;" "&amp;Milestones!$AB$95&amp;" "&amp;Milestones!$AC$95&amp;";  ","")&amp;IF(AND(EDATE($D38,Milestones!$AA$96)&lt;=AsOfDate,IF($Q38=0,$W38,IF(AND($S38&lt;&gt;"",EDATE($D38,Milestones!$AA$96)&gt;=$S38),$V38,IF(AND($R38&lt;&gt;"",EDATE($D38,Milestones!$AA$96)&gt;=$R38),$U38,$T38)))=Milestones!$AB$96),TEXT(EDATE($D38,Milestones!$AA$96),"dd/mm/yy")&amp;" "&amp;Milestones!$AB$96&amp;" "&amp;Milestones!$AC$96&amp;";  ","")&amp;IF(AND(EDATE($D38,Milestones!$AA$97)&lt;=AsOfDate,IF($Q38=0,$W38,IF(AND($S38&lt;&gt;"",EDATE($D38,Milestones!$AA$97)&gt;=$S38),$V38,IF(AND($R38&lt;&gt;"",EDATE($D38,Milestones!$AA$97)&gt;=$R38),$U38,$T38)))=Milestones!$AB$97),TEXT(EDATE($D38,Milestones!$AA$97),"dd/mm/yy")&amp;" "&amp;Milestones!$AB$97&amp;" "&amp;Milestones!$AC$97&amp;";  ","")&amp;IF(AND(EDATE($D38,Milestones!$AA$98)&lt;=AsOfDate,IF($Q38=0,$W38,IF(AND($S38&lt;&gt;"",EDATE($D38,Milestones!$AA$98)&gt;=$S38),$V38,IF(AND($R38&lt;&gt;"",EDATE($D38,Milestones!$AA$98)&gt;=$R38),$U38,$T38)))=Milestones!$AB$98),TEXT(EDATE($D38,Milestones!$AA$98),"dd/mm/yy")&amp;" "&amp;Milestones!$AB$98&amp;" "&amp;Milestones!$AC$98&amp;";  ","")&amp;IF(AND(EDATE($D38,Milestones!$AA$99)&lt;=AsOfDate,IF($Q38=0,$W38,IF(AND($S38&lt;&gt;"",EDATE($D38,Milestones!$AA$99)&gt;=$S38),$V38,IF(AND($R38&lt;&gt;"",EDATE($D38,Milestones!$AA$99)&gt;=$R38),$U38,$T38)))=Milestones!$AB$99),TEXT(EDATE($D38,Milestones!$AA$99),"dd/mm/yy")&amp;" "&amp;Milestones!$AB$99&amp;" "&amp;Milestones!$AC$99&amp;";  ",""))</f>
        <v/>
      </c>
      <c r="L38" s="0" t="str">
        <f aca="false">IF(OR($A38="",$D38=""),"",IF(AND(EDATE($D38,Milestones!$AA$100)&lt;=AsOfDate,IF($Q38=0,$W38,IF(AND($S38&lt;&gt;"",EDATE($D38,Milestones!$AA$100)&gt;=$S38),$V38,IF(AND($R38&lt;&gt;"",EDATE($D38,Milestones!$AA$100)&gt;=$R38),$U38,$T38)))=Milestones!$AB$100),TEXT(EDATE($D38,Milestones!$AA$100),"dd/mm/yy")&amp;" "&amp;Milestones!$AB$100&amp;" "&amp;Milestones!$AC$100&amp;";  ","")&amp;IF(AND(EDATE($D38,Milestones!$AA$101)&lt;=AsOfDate,IF($Q38=0,$W38,IF(AND($S38&lt;&gt;"",EDATE($D38,Milestones!$AA$101)&gt;=$S38),$V38,IF(AND($R38&lt;&gt;"",EDATE($D38,Milestones!$AA$101)&gt;=$R38),$U38,$T38)))=Milestones!$AB$101),TEXT(EDATE($D38,Milestones!$AA$101),"dd/mm/yy")&amp;" "&amp;Milestones!$AB$101&amp;" "&amp;Milestones!$AC$101&amp;";  ","")&amp;IF(AND(EDATE($D38,Milestones!$AA$102)&lt;=AsOfDate,IF($Q38=0,$W38,IF(AND($S38&lt;&gt;"",EDATE($D38,Milestones!$AA$102)&gt;=$S38),$V38,IF(AND($R38&lt;&gt;"",EDATE($D38,Milestones!$AA$102)&gt;=$R38),$U38,$T38)))=Milestones!$AB$102),TEXT(EDATE($D38,Milestones!$AA$102),"dd/mm/yy")&amp;" "&amp;Milestones!$AB$102&amp;" "&amp;Milestones!$AC$102&amp;";  ","")&amp;IF(AND(EDATE($D38,Milestones!$AA$103)&lt;=AsOfDate,IF($Q38=0,$W38,IF(AND($S38&lt;&gt;"",EDATE($D38,Milestones!$AA$103)&gt;=$S38),$V38,IF(AND($R38&lt;&gt;"",EDATE($D38,Milestones!$AA$103)&gt;=$R38),$U38,$T38)))=Milestones!$AB$103),TEXT(EDATE($D38,Milestones!$AA$103),"dd/mm/yy")&amp;" "&amp;Milestones!$AB$103&amp;" "&amp;Milestones!$AC$103&amp;";  ","")&amp;IF(AND(EDATE($D38,Milestones!$AA$104)&lt;=AsOfDate,IF($Q38=0,$W38,IF(AND($S38&lt;&gt;"",EDATE($D38,Milestones!$AA$104)&gt;=$S38),$V38,IF(AND($R38&lt;&gt;"",EDATE($D38,Milestones!$AA$104)&gt;=$R38),$U38,$T38)))=Milestones!$AB$104),TEXT(EDATE($D38,Milestones!$AA$104),"dd/mm/yy")&amp;" "&amp;Milestones!$AB$104&amp;" "&amp;Milestones!$AC$104&amp;";  ","")&amp;IF(AND(EDATE($D38,Milestones!$AA$105)&lt;=AsOfDate,IF($Q38=0,$W38,IF(AND($S38&lt;&gt;"",EDATE($D38,Milestones!$AA$105)&gt;=$S38),$V38,IF(AND($R38&lt;&gt;"",EDATE($D38,Milestones!$AA$105)&gt;=$R38),$U38,$T38)))=Milestones!$AB$105),TEXT(EDATE($D38,Milestones!$AA$105),"dd/mm/yy")&amp;" "&amp;Milestones!$AB$105&amp;" "&amp;Milestones!$AC$105&amp;";  ","")&amp;IF(AND(EDATE($D38,Milestones!$AA$106)&lt;=AsOfDate,IF($Q38=0,$W38,IF(AND($S38&lt;&gt;"",EDATE($D38,Milestones!$AA$106)&gt;=$S38),$V38,IF(AND($R38&lt;&gt;"",EDATE($D38,Milestones!$AA$106)&gt;=$R38),$U38,$T38)))=Milestones!$AB$106),TEXT(EDATE($D38,Milestones!$AA$106),"dd/mm/yy")&amp;" "&amp;Milestones!$AB$106&amp;" "&amp;Milestones!$AC$106&amp;";  ","")&amp;IF(AND(EDATE($D38,Milestones!$AA$107)&lt;=AsOfDate,IF($Q38=0,$W38,IF(AND($S38&lt;&gt;"",EDATE($D38,Milestones!$AA$107)&gt;=$S38),$V38,IF(AND($R38&lt;&gt;"",EDATE($D38,Milestones!$AA$107)&gt;=$R38),$U38,$T38)))=Milestones!$AB$107),TEXT(EDATE($D38,Milestones!$AA$107),"dd/mm/yy")&amp;" "&amp;Milestones!$AB$107&amp;" "&amp;Milestones!$AC$107&amp;";  ","")&amp;IF(AND(EDATE($D38,Milestones!$AA$108)&lt;=AsOfDate,IF($Q38=0,$W38,IF(AND($S38&lt;&gt;"",EDATE($D38,Milestones!$AA$108)&gt;=$S38),$V38,IF(AND($R38&lt;&gt;"",EDATE($D38,Milestones!$AA$108)&gt;=$R38),$U38,$T38)))=Milestones!$AB$108),TEXT(EDATE($D38,Milestones!$AA$108),"dd/mm/yy")&amp;" "&amp;Milestones!$AB$108&amp;" "&amp;Milestones!$AC$108&amp;";  ","")&amp;IF(AND(EDATE($D38,Milestones!$AA$109)&lt;=AsOfDate,IF($Q38=0,$W38,IF(AND($S38&lt;&gt;"",EDATE($D38,Milestones!$AA$109)&gt;=$S38),$V38,IF(AND($R38&lt;&gt;"",EDATE($D38,Milestones!$AA$109)&gt;=$R38),$U38,$T38)))=Milestones!$AB$109),TEXT(EDATE($D38,Milestones!$AA$109),"dd/mm/yy")&amp;" "&amp;Milestones!$AB$109&amp;" "&amp;Milestones!$AC$109&amp;";  ","")&amp;IF(AND(EDATE($D38,Milestones!$AA$110)&lt;=AsOfDate,IF($Q38=0,$W38,IF(AND($S38&lt;&gt;"",EDATE($D38,Milestones!$AA$110)&gt;=$S38),$V38,IF(AND($R38&lt;&gt;"",EDATE($D38,Milestones!$AA$110)&gt;=$R38),$U38,$T38)))=Milestones!$AB$110),TEXT(EDATE($D38,Milestones!$AA$110),"dd/mm/yy")&amp;" "&amp;Milestones!$AB$110&amp;" "&amp;Milestones!$AC$110&amp;";  ","")&amp;IF(AND(EDATE($D38,Milestones!$AA$111)&lt;=AsOfDate,IF($Q38=0,$W38,IF(AND($S38&lt;&gt;"",EDATE($D38,Milestones!$AA$111)&gt;=$S38),$V38,IF(AND($R38&lt;&gt;"",EDATE($D38,Milestones!$AA$111)&gt;=$R38),$U38,$T38)))=Milestones!$AB$111),TEXT(EDATE($D38,Milestones!$AA$111),"dd/mm/yy")&amp;" "&amp;Milestones!$AB$111&amp;" "&amp;Milestones!$AC$111&amp;";  ","")&amp;IF(AND(EDATE($D38,Milestones!$AA$112)&lt;=AsOfDate,IF($Q38=0,$W38,IF(AND($S38&lt;&gt;"",EDATE($D38,Milestones!$AA$112)&gt;=$S38),$V38,IF(AND($R38&lt;&gt;"",EDATE($D38,Milestones!$AA$112)&gt;=$R38),$U38,$T38)))=Milestones!$AB$112),TEXT(EDATE($D38,Milestones!$AA$112),"dd/mm/yy")&amp;" "&amp;Milestones!$AB$112&amp;" "&amp;Milestones!$AC$112&amp;";  ","")&amp;IF(AND(EDATE($D38,Milestones!$AA$113)&lt;=AsOfDate,IF($Q38=0,$W38,IF(AND($S38&lt;&gt;"",EDATE($D38,Milestones!$AA$113)&gt;=$S38),$V38,IF(AND($R38&lt;&gt;"",EDATE($D38,Milestones!$AA$113)&gt;=$R38),$U38,$T38)))=Milestones!$AB$113),TEXT(EDATE($D38,Milestones!$AA$113),"dd/mm/yy")&amp;" "&amp;Milestones!$AB$113&amp;" "&amp;Milestones!$AC$113&amp;";  ","")&amp;IF(AND(EDATE($D38,Milestones!$AA$114)&lt;=AsOfDate,IF($Q38=0,$W38,IF(AND($S38&lt;&gt;"",EDATE($D38,Milestones!$AA$114)&gt;=$S38),$V38,IF(AND($R38&lt;&gt;"",EDATE($D38,Milestones!$AA$114)&gt;=$R38),$U38,$T38)))=Milestones!$AB$114),TEXT(EDATE($D38,Milestones!$AA$114),"dd/mm/yy")&amp;" "&amp;Milestones!$AB$114&amp;" "&amp;Milestones!$AC$114&amp;";  ","")&amp;IF(AND(EDATE($D38,Milestones!$AA$115)&lt;=AsOfDate,IF($Q38=0,$W38,IF(AND($S38&lt;&gt;"",EDATE($D38,Milestones!$AA$115)&gt;=$S38),$V38,IF(AND($R38&lt;&gt;"",EDATE($D38,Milestones!$AA$115)&gt;=$R38),$U38,$T38)))=Milestones!$AB$115),TEXT(EDATE($D38,Milestones!$AA$115),"dd/mm/yy")&amp;" "&amp;Milestones!$AB$115&amp;" "&amp;Milestones!$AC$115&amp;";  ","")&amp;IF(AND(EDATE($D38,Milestones!$AA$116)&lt;=AsOfDate,IF($Q38=0,$W38,IF(AND($S38&lt;&gt;"",EDATE($D38,Milestones!$AA$116)&gt;=$S38),$V38,IF(AND($R38&lt;&gt;"",EDATE($D38,Milestones!$AA$116)&gt;=$R38),$U38,$T38)))=Milestones!$AB$116),TEXT(EDATE($D38,Milestones!$AA$116),"dd/mm/yy")&amp;" "&amp;Milestones!$AB$116&amp;" "&amp;Milestones!$AC$116&amp;";  ","")&amp;IF(AND(EDATE($D38,Milestones!$AA$117)&lt;=AsOfDate,IF($Q38=0,$W38,IF(AND($S38&lt;&gt;"",EDATE($D38,Milestones!$AA$117)&gt;=$S38),$V38,IF(AND($R38&lt;&gt;"",EDATE($D38,Milestones!$AA$117)&gt;=$R38),$U38,$T38)))=Milestones!$AB$117),TEXT(EDATE($D38,Milestones!$AA$117),"dd/mm/yy")&amp;" "&amp;Milestones!$AB$117&amp;" "&amp;Milestones!$AC$117&amp;";  ","")&amp;IF(AND(EDATE($D38,Milestones!$AA$118)&lt;=AsOfDate,IF($Q38=0,$W38,IF(AND($S38&lt;&gt;"",EDATE($D38,Milestones!$AA$118)&gt;=$S38),$V38,IF(AND($R38&lt;&gt;"",EDATE($D38,Milestones!$AA$118)&gt;=$R38),$U38,$T38)))=Milestones!$AB$118),TEXT(EDATE($D38,Milestones!$AA$118),"dd/mm/yy")&amp;" "&amp;Milestones!$AB$118&amp;" "&amp;Milestones!$AC$118&amp;";  ","")&amp;IF(AND(EDATE($D38,Milestones!$AA$119)&lt;=AsOfDate,IF($Q38=0,$W38,IF(AND($S38&lt;&gt;"",EDATE($D38,Milestones!$AA$119)&gt;=$S38),$V38,IF(AND($R38&lt;&gt;"",EDATE($D38,Milestones!$AA$119)&gt;=$R38),$U38,$T38)))=Milestones!$AB$119),TEXT(EDATE($D38,Milestones!$AA$119),"dd/mm/yy")&amp;" "&amp;Milestones!$AB$119&amp;" "&amp;Milestones!$AC$119&amp;";  ",""))</f>
        <v/>
      </c>
      <c r="M38" s="0" t="str">
        <f aca="false">IF(OR($A38="",$D38=""),"",IF(AND(EDATE($D38,Milestones!$AA$120)&lt;=AsOfDate,IF($Q38=0,$W38,IF(AND($S38&lt;&gt;"",EDATE($D38,Milestones!$AA$120)&gt;=$S38),$V38,IF(AND($R38&lt;&gt;"",EDATE($D38,Milestones!$AA$120)&gt;=$R38),$U38,$T38)))=Milestones!$AB$120),TEXT(EDATE($D38,Milestones!$AA$120),"dd/mm/yy")&amp;" "&amp;Milestones!$AB$120&amp;" "&amp;Milestones!$AC$120&amp;";  ","")&amp;IF(AND(EDATE($D38,Milestones!$AA$121)&lt;=AsOfDate,IF($Q38=0,$W38,IF(AND($S38&lt;&gt;"",EDATE($D38,Milestones!$AA$121)&gt;=$S38),$V38,IF(AND($R38&lt;&gt;"",EDATE($D38,Milestones!$AA$121)&gt;=$R38),$U38,$T38)))=Milestones!$AB$121),TEXT(EDATE($D38,Milestones!$AA$121),"dd/mm/yy")&amp;" "&amp;Milestones!$AB$121&amp;" "&amp;Milestones!$AC$121&amp;";  ","")&amp;IF(AND(EDATE($D38,Milestones!$AA$122)&lt;=AsOfDate,IF($Q38=0,$W38,IF(AND($S38&lt;&gt;"",EDATE($D38,Milestones!$AA$122)&gt;=$S38),$V38,IF(AND($R38&lt;&gt;"",EDATE($D38,Milestones!$AA$122)&gt;=$R38),$U38,$T38)))=Milestones!$AB$122),TEXT(EDATE($D38,Milestones!$AA$122),"dd/mm/yy")&amp;" "&amp;Milestones!$AB$122&amp;" "&amp;Milestones!$AC$122&amp;";  ","")&amp;IF(AND(EDATE($D38,Milestones!$AA$123)&lt;=AsOfDate,IF($Q38=0,$W38,IF(AND($S38&lt;&gt;"",EDATE($D38,Milestones!$AA$123)&gt;=$S38),$V38,IF(AND($R38&lt;&gt;"",EDATE($D38,Milestones!$AA$123)&gt;=$R38),$U38,$T38)))=Milestones!$AB$123),TEXT(EDATE($D38,Milestones!$AA$123),"dd/mm/yy")&amp;" "&amp;Milestones!$AB$123&amp;" "&amp;Milestones!$AC$123&amp;";  ","")&amp;IF(AND(EDATE($D38,Milestones!$AA$124)&lt;=AsOfDate,IF($Q38=0,$W38,IF(AND($S38&lt;&gt;"",EDATE($D38,Milestones!$AA$124)&gt;=$S38),$V38,IF(AND($R38&lt;&gt;"",EDATE($D38,Milestones!$AA$124)&gt;=$R38),$U38,$T38)))=Milestones!$AB$124),TEXT(EDATE($D38,Milestones!$AA$124),"dd/mm/yy")&amp;" "&amp;Milestones!$AB$124&amp;" "&amp;Milestones!$AC$124&amp;";  ","")&amp;IF(AND(EDATE($D38,Milestones!$AA$125)&lt;=AsOfDate,IF($Q38=0,$W38,IF(AND($S38&lt;&gt;"",EDATE($D38,Milestones!$AA$125)&gt;=$S38),$V38,IF(AND($R38&lt;&gt;"",EDATE($D38,Milestones!$AA$125)&gt;=$R38),$U38,$T38)))=Milestones!$AB$125),TEXT(EDATE($D38,Milestones!$AA$125),"dd/mm/yy")&amp;" "&amp;Milestones!$AB$125&amp;" "&amp;Milestones!$AC$125&amp;";  ","")&amp;IF(AND(EDATE($D38,Milestones!$AA$126)&lt;=AsOfDate,IF($Q38=0,$W38,IF(AND($S38&lt;&gt;"",EDATE($D38,Milestones!$AA$126)&gt;=$S38),$V38,IF(AND($R38&lt;&gt;"",EDATE($D38,Milestones!$AA$126)&gt;=$R38),$U38,$T38)))=Milestones!$AB$126),TEXT(EDATE($D38,Milestones!$AA$126),"dd/mm/yy")&amp;" "&amp;Milestones!$AB$126&amp;" "&amp;Milestones!$AC$126&amp;";  ","")&amp;IF(AND(EDATE($D38,Milestones!$AA$127)&lt;=AsOfDate,IF($Q38=0,$W38,IF(AND($S38&lt;&gt;"",EDATE($D38,Milestones!$AA$127)&gt;=$S38),$V38,IF(AND($R38&lt;&gt;"",EDATE($D38,Milestones!$AA$127)&gt;=$R38),$U38,$T38)))=Milestones!$AB$127),TEXT(EDATE($D38,Milestones!$AA$127),"dd/mm/yy")&amp;" "&amp;Milestones!$AB$127&amp;" "&amp;Milestones!$AC$127&amp;";  ","")&amp;IF(AND(EDATE($D38,Milestones!$AA$128)&lt;=AsOfDate,IF($Q38=0,$W38,IF(AND($S38&lt;&gt;"",EDATE($D38,Milestones!$AA$128)&gt;=$S38),$V38,IF(AND($R38&lt;&gt;"",EDATE($D38,Milestones!$AA$128)&gt;=$R38),$U38,$T38)))=Milestones!$AB$128),TEXT(EDATE($D38,Milestones!$AA$128),"dd/mm/yy")&amp;" "&amp;Milestones!$AB$128&amp;" "&amp;Milestones!$AC$128&amp;";  ","")&amp;IF(AND(EDATE($D38,Milestones!$AA$129)&lt;=AsOfDate,IF($Q38=0,$W38,IF(AND($S38&lt;&gt;"",EDATE($D38,Milestones!$AA$129)&gt;=$S38),$V38,IF(AND($R38&lt;&gt;"",EDATE($D38,Milestones!$AA$129)&gt;=$R38),$U38,$T38)))=Milestones!$AB$129),TEXT(EDATE($D38,Milestones!$AA$129),"dd/mm/yy")&amp;" "&amp;Milestones!$AB$129&amp;" "&amp;Milestones!$AC$129&amp;";  ","")&amp;IF(AND(EDATE($D38,Milestones!$AA$130)&lt;=AsOfDate,IF($Q38=0,$W38,IF(AND($S38&lt;&gt;"",EDATE($D38,Milestones!$AA$130)&gt;=$S38),$V38,IF(AND($R38&lt;&gt;"",EDATE($D38,Milestones!$AA$130)&gt;=$R38),$U38,$T38)))=Milestones!$AB$130),TEXT(EDATE($D38,Milestones!$AA$130),"dd/mm/yy")&amp;" "&amp;Milestones!$AB$130&amp;" "&amp;Milestones!$AC$130&amp;";  ","")&amp;IF(AND(EDATE($D38,Milestones!$AA$131)&lt;=AsOfDate,IF($Q38=0,$W38,IF(AND($S38&lt;&gt;"",EDATE($D38,Milestones!$AA$131)&gt;=$S38),$V38,IF(AND($R38&lt;&gt;"",EDATE($D38,Milestones!$AA$131)&gt;=$R38),$U38,$T38)))=Milestones!$AB$131),TEXT(EDATE($D38,Milestones!$AA$131),"dd/mm/yy")&amp;" "&amp;Milestones!$AB$131&amp;" "&amp;Milestones!$AC$131&amp;";  ","")&amp;IF(AND(EDATE($D38,Milestones!$AA$132)&lt;=AsOfDate,IF($Q38=0,$W38,IF(AND($S38&lt;&gt;"",EDATE($D38,Milestones!$AA$132)&gt;=$S38),$V38,IF(AND($R38&lt;&gt;"",EDATE($D38,Milestones!$AA$132)&gt;=$R38),$U38,$T38)))=Milestones!$AB$132),TEXT(EDATE($D38,Milestones!$AA$132),"dd/mm/yy")&amp;" "&amp;Milestones!$AB$132&amp;" "&amp;Milestones!$AC$132&amp;";  ","")&amp;IF(AND(EDATE($D38,Milestones!$AA$133)&lt;=AsOfDate,IF($Q38=0,$W38,IF(AND($S38&lt;&gt;"",EDATE($D38,Milestones!$AA$133)&gt;=$S38),$V38,IF(AND($R38&lt;&gt;"",EDATE($D38,Milestones!$AA$133)&gt;=$R38),$U38,$T38)))=Milestones!$AB$133),TEXT(EDATE($D38,Milestones!$AA$133),"dd/mm/yy")&amp;" "&amp;Milestones!$AB$133&amp;" "&amp;Milestones!$AC$133&amp;";  ","")&amp;IF(AND(EDATE($D38,Milestones!$AA$134)&lt;=AsOfDate,IF($Q38=0,$W38,IF(AND($S38&lt;&gt;"",EDATE($D38,Milestones!$AA$134)&gt;=$S38),$V38,IF(AND($R38&lt;&gt;"",EDATE($D38,Milestones!$AA$134)&gt;=$R38),$U38,$T38)))=Milestones!$AB$134),TEXT(EDATE($D38,Milestones!$AA$134),"dd/mm/yy")&amp;" "&amp;Milestones!$AB$134&amp;" "&amp;Milestones!$AC$134&amp;";  ","")&amp;IF(AND(EDATE($D38,Milestones!$AA$135)&lt;=AsOfDate,IF($Q38=0,$W38,IF(AND($S38&lt;&gt;"",EDATE($D38,Milestones!$AA$135)&gt;=$S38),$V38,IF(AND($R38&lt;&gt;"",EDATE($D38,Milestones!$AA$135)&gt;=$R38),$U38,$T38)))=Milestones!$AB$135),TEXT(EDATE($D38,Milestones!$AA$135),"dd/mm/yy")&amp;" "&amp;Milestones!$AB$135&amp;" "&amp;Milestones!$AC$135&amp;";  ","")&amp;IF(AND(EDATE($D38,Milestones!$AA$136)&lt;=AsOfDate,IF($Q38=0,$W38,IF(AND($S38&lt;&gt;"",EDATE($D38,Milestones!$AA$136)&gt;=$S38),$V38,IF(AND($R38&lt;&gt;"",EDATE($D38,Milestones!$AA$136)&gt;=$R38),$U38,$T38)))=Milestones!$AB$136),TEXT(EDATE($D38,Milestones!$AA$136),"dd/mm/yy")&amp;" "&amp;Milestones!$AB$136&amp;" "&amp;Milestones!$AC$136&amp;";  ","")&amp;IF(AND(EDATE($D38,Milestones!$AA$137)&lt;=AsOfDate,IF($Q38=0,$W38,IF(AND($S38&lt;&gt;"",EDATE($D38,Milestones!$AA$137)&gt;=$S38),$V38,IF(AND($R38&lt;&gt;"",EDATE($D38,Milestones!$AA$137)&gt;=$R38),$U38,$T38)))=Milestones!$AB$137),TEXT(EDATE($D38,Milestones!$AA$137),"dd/mm/yy")&amp;" "&amp;Milestones!$AB$137&amp;" "&amp;Milestones!$AC$137&amp;";  ","")&amp;IF(AND(EDATE($D38,Milestones!$AA$138)&lt;=AsOfDate,IF($Q38=0,$W38,IF(AND($S38&lt;&gt;"",EDATE($D38,Milestones!$AA$138)&gt;=$S38),$V38,IF(AND($R38&lt;&gt;"",EDATE($D38,Milestones!$AA$138)&gt;=$R38),$U38,$T38)))=Milestones!$AB$138),TEXT(EDATE($D38,Milestones!$AA$138),"dd/mm/yy")&amp;" "&amp;Milestones!$AB$138&amp;" "&amp;Milestones!$AC$138&amp;";  ","")&amp;IF(AND(EDATE($D38,Milestones!$AA$139)&lt;=AsOfDate,IF($Q38=0,$W38,IF(AND($S38&lt;&gt;"",EDATE($D38,Milestones!$AA$139)&gt;=$S38),$V38,IF(AND($R38&lt;&gt;"",EDATE($D38,Milestones!$AA$139)&gt;=$R38),$U38,$T38)))=Milestones!$AB$139),TEXT(EDATE($D38,Milestones!$AA$139),"dd/mm/yy")&amp;" "&amp;Milestones!$AB$139&amp;" "&amp;Milestones!$AC$139&amp;";  ",""))</f>
        <v/>
      </c>
      <c r="N38" s="0" t="str">
        <f aca="false">IF(OR($A38="",$D38=""),"",IF(AND(EDATE($D38,Milestones!$AA$140)&lt;=AsOfDate,IF($Q38=0,$W38,IF(AND($S38&lt;&gt;"",EDATE($D38,Milestones!$AA$140)&gt;=$S38),$V38,IF(AND($R38&lt;&gt;"",EDATE($D38,Milestones!$AA$140)&gt;=$R38),$U38,$T38)))=Milestones!$AB$140),TEXT(EDATE($D38,Milestones!$AA$140),"dd/mm/yy")&amp;" "&amp;Milestones!$AB$140&amp;" "&amp;Milestones!$AC$140&amp;";  ","")&amp;IF(AND(EDATE($D38,Milestones!$AA$141)&lt;=AsOfDate,IF($Q38=0,$W38,IF(AND($S38&lt;&gt;"",EDATE($D38,Milestones!$AA$141)&gt;=$S38),$V38,IF(AND($R38&lt;&gt;"",EDATE($D38,Milestones!$AA$141)&gt;=$R38),$U38,$T38)))=Milestones!$AB$141),TEXT(EDATE($D38,Milestones!$AA$141),"dd/mm/yy")&amp;" "&amp;Milestones!$AB$141&amp;" "&amp;Milestones!$AC$141&amp;";  ","")&amp;IF(AND(EDATE($D38,Milestones!$AA$142)&lt;=AsOfDate,IF($Q38=0,$W38,IF(AND($S38&lt;&gt;"",EDATE($D38,Milestones!$AA$142)&gt;=$S38),$V38,IF(AND($R38&lt;&gt;"",EDATE($D38,Milestones!$AA$142)&gt;=$R38),$U38,$T38)))=Milestones!$AB$142),TEXT(EDATE($D38,Milestones!$AA$142),"dd/mm/yy")&amp;" "&amp;Milestones!$AB$142&amp;" "&amp;Milestones!$AC$142&amp;";  ","")&amp;IF(AND(EDATE($D38,Milestones!$AA$143)&lt;=AsOfDate,IF($Q38=0,$W38,IF(AND($S38&lt;&gt;"",EDATE($D38,Milestones!$AA$143)&gt;=$S38),$V38,IF(AND($R38&lt;&gt;"",EDATE($D38,Milestones!$AA$143)&gt;=$R38),$U38,$T38)))=Milestones!$AB$143),TEXT(EDATE($D38,Milestones!$AA$143),"dd/mm/yy")&amp;" "&amp;Milestones!$AB$143&amp;" "&amp;Milestones!$AC$143&amp;";  ","")&amp;IF(AND(EDATE($D38,Milestones!$AA$144)&lt;=AsOfDate,IF($Q38=0,$W38,IF(AND($S38&lt;&gt;"",EDATE($D38,Milestones!$AA$144)&gt;=$S38),$V38,IF(AND($R38&lt;&gt;"",EDATE($D38,Milestones!$AA$144)&gt;=$R38),$U38,$T38)))=Milestones!$AB$144),TEXT(EDATE($D38,Milestones!$AA$144),"dd/mm/yy")&amp;" "&amp;Milestones!$AB$144&amp;" "&amp;Milestones!$AC$144&amp;";  ","")&amp;IF(AND(EDATE($D38,Milestones!$AA$145)&lt;=AsOfDate,IF($Q38=0,$W38,IF(AND($S38&lt;&gt;"",EDATE($D38,Milestones!$AA$145)&gt;=$S38),$V38,IF(AND($R38&lt;&gt;"",EDATE($D38,Milestones!$AA$145)&gt;=$R38),$U38,$T38)))=Milestones!$AB$145),TEXT(EDATE($D38,Milestones!$AA$145),"dd/mm/yy")&amp;" "&amp;Milestones!$AB$145&amp;" "&amp;Milestones!$AC$145&amp;";  ","")&amp;IF(AND(EDATE($D38,Milestones!$AA$146)&lt;=AsOfDate,IF($Q38=0,$W38,IF(AND($S38&lt;&gt;"",EDATE($D38,Milestones!$AA$146)&gt;=$S38),$V38,IF(AND($R38&lt;&gt;"",EDATE($D38,Milestones!$AA$146)&gt;=$R38),$U38,$T38)))=Milestones!$AB$146),TEXT(EDATE($D38,Milestones!$AA$146),"dd/mm/yy")&amp;" "&amp;Milestones!$AB$146&amp;" "&amp;Milestones!$AC$146&amp;";  ","")&amp;IF(AND(EDATE($D38,Milestones!$AA$147)&lt;=AsOfDate,IF($Q38=0,$W38,IF(AND($S38&lt;&gt;"",EDATE($D38,Milestones!$AA$147)&gt;=$S38),$V38,IF(AND($R38&lt;&gt;"",EDATE($D38,Milestones!$AA$147)&gt;=$R38),$U38,$T38)))=Milestones!$AB$147),TEXT(EDATE($D38,Milestones!$AA$147),"dd/mm/yy")&amp;" "&amp;Milestones!$AB$147&amp;" "&amp;Milestones!$AC$147&amp;";  ","")&amp;IF(AND(EDATE($D38,Milestones!$AA$148)&lt;=AsOfDate,IF($Q38=0,$W38,IF(AND($S38&lt;&gt;"",EDATE($D38,Milestones!$AA$148)&gt;=$S38),$V38,IF(AND($R38&lt;&gt;"",EDATE($D38,Milestones!$AA$148)&gt;=$R38),$U38,$T38)))=Milestones!$AB$148),TEXT(EDATE($D38,Milestones!$AA$148),"dd/mm/yy")&amp;" "&amp;Milestones!$AB$148&amp;" "&amp;Milestones!$AC$148&amp;";  ","")&amp;IF(AND(EDATE($D38,Milestones!$AA$149)&lt;=AsOfDate,IF($Q38=0,$W38,IF(AND($S38&lt;&gt;"",EDATE($D38,Milestones!$AA$149)&gt;=$S38),$V38,IF(AND($R38&lt;&gt;"",EDATE($D38,Milestones!$AA$149)&gt;=$R38),$U38,$T38)))=Milestones!$AB$149),TEXT(EDATE($D38,Milestones!$AA$149),"dd/mm/yy")&amp;" "&amp;Milestones!$AB$149&amp;" "&amp;Milestones!$AC$149&amp;";  ","")&amp;IF(AND(EDATE($D38,Milestones!$AA$150)&lt;=AsOfDate,IF($Q38=0,$W38,IF(AND($S38&lt;&gt;"",EDATE($D38,Milestones!$AA$150)&gt;=$S38),$V38,IF(AND($R38&lt;&gt;"",EDATE($D38,Milestones!$AA$150)&gt;=$R38),$U38,$T38)))=Milestones!$AB$150),TEXT(EDATE($D38,Milestones!$AA$150),"dd/mm/yy")&amp;" "&amp;Milestones!$AB$150&amp;" "&amp;Milestones!$AC$150&amp;";  ","")&amp;IF(AND(EDATE($D38,Milestones!$AA$151)&lt;=AsOfDate,IF($Q38=0,$W38,IF(AND($S38&lt;&gt;"",EDATE($D38,Milestones!$AA$151)&gt;=$S38),$V38,IF(AND($R38&lt;&gt;"",EDATE($D38,Milestones!$AA$151)&gt;=$R38),$U38,$T38)))=Milestones!$AB$151),TEXT(EDATE($D38,Milestones!$AA$151),"dd/mm/yy")&amp;" "&amp;Milestones!$AB$151&amp;" "&amp;Milestones!$AC$151&amp;";  ","")&amp;IF(AND(EDATE($D38,Milestones!$AA$152)&lt;=AsOfDate,IF($Q38=0,$W38,IF(AND($S38&lt;&gt;"",EDATE($D38,Milestones!$AA$152)&gt;=$S38),$V38,IF(AND($R38&lt;&gt;"",EDATE($D38,Milestones!$AA$152)&gt;=$R38),$U38,$T38)))=Milestones!$AB$152),TEXT(EDATE($D38,Milestones!$AA$152),"dd/mm/yy")&amp;" "&amp;Milestones!$AB$152&amp;" "&amp;Milestones!$AC$152&amp;";  ","")&amp;IF(AND(EDATE($D38,Milestones!$AA$153)&lt;=AsOfDate,IF($Q38=0,$W38,IF(AND($S38&lt;&gt;"",EDATE($D38,Milestones!$AA$153)&gt;=$S38),$V38,IF(AND($R38&lt;&gt;"",EDATE($D38,Milestones!$AA$153)&gt;=$R38),$U38,$T38)))=Milestones!$AB$153),TEXT(EDATE($D38,Milestones!$AA$153),"dd/mm/yy")&amp;" "&amp;Milestones!$AB$153&amp;" "&amp;Milestones!$AC$153&amp;";  ","")&amp;IF(AND(EDATE($D38,Milestones!$AA$154)&lt;=AsOfDate,IF($Q38=0,$W38,IF(AND($S38&lt;&gt;"",EDATE($D38,Milestones!$AA$154)&gt;=$S38),$V38,IF(AND($R38&lt;&gt;"",EDATE($D38,Milestones!$AA$154)&gt;=$R38),$U38,$T38)))=Milestones!$AB$154),TEXT(EDATE($D38,Milestones!$AA$154),"dd/mm/yy")&amp;" "&amp;Milestones!$AB$154&amp;" "&amp;Milestones!$AC$154&amp;";  ","")&amp;IF(AND(EDATE($D38,Milestones!$AA$155)&lt;=AsOfDate,IF($Q38=0,$W38,IF(AND($S38&lt;&gt;"",EDATE($D38,Milestones!$AA$155)&gt;=$S38),$V38,IF(AND($R38&lt;&gt;"",EDATE($D38,Milestones!$AA$155)&gt;=$R38),$U38,$T38)))=Milestones!$AB$155),TEXT(EDATE($D38,Milestones!$AA$155),"dd/mm/yy")&amp;" "&amp;Milestones!$AB$155&amp;" "&amp;Milestones!$AC$155&amp;";  ","")&amp;IF(AND(EDATE($D38,Milestones!$AA$156)&lt;=AsOfDate,IF($Q38=0,$W38,IF(AND($S38&lt;&gt;"",EDATE($D38,Milestones!$AA$156)&gt;=$S38),$V38,IF(AND($R38&lt;&gt;"",EDATE($D38,Milestones!$AA$156)&gt;=$R38),$U38,$T38)))=Milestones!$AB$156),TEXT(EDATE($D38,Milestones!$AA$156),"dd/mm/yy")&amp;" "&amp;Milestones!$AB$156&amp;" "&amp;Milestones!$AC$156&amp;";  ","")&amp;IF(AND(EDATE($D38,Milestones!$AA$157)&lt;=AsOfDate,IF($Q38=0,$W38,IF(AND($S38&lt;&gt;"",EDATE($D38,Milestones!$AA$157)&gt;=$S38),$V38,IF(AND($R38&lt;&gt;"",EDATE($D38,Milestones!$AA$157)&gt;=$R38),$U38,$T38)))=Milestones!$AB$157),TEXT(EDATE($D38,Milestones!$AA$157),"dd/mm/yy")&amp;" "&amp;Milestones!$AB$157&amp;" "&amp;Milestones!$AC$157&amp;";  ","")&amp;IF(AND(EDATE($D38,Milestones!$AA$158)&lt;=AsOfDate,IF($Q38=0,$W38,IF(AND($S38&lt;&gt;"",EDATE($D38,Milestones!$AA$158)&gt;=$S38),$V38,IF(AND($R38&lt;&gt;"",EDATE($D38,Milestones!$AA$158)&gt;=$R38),$U38,$T38)))=Milestones!$AB$158),TEXT(EDATE($D38,Milestones!$AA$158),"dd/mm/yy")&amp;" "&amp;Milestones!$AB$158&amp;" "&amp;Milestones!$AC$158&amp;";  ","")&amp;IF(AND(EDATE($D38,Milestones!$AA$159)&lt;=AsOfDate,IF($Q38=0,$W38,IF(AND($S38&lt;&gt;"",EDATE($D38,Milestones!$AA$159)&gt;=$S38),$V38,IF(AND($R38&lt;&gt;"",EDATE($D38,Milestones!$AA$159)&gt;=$R38),$U38,$T38)))=Milestones!$AB$159),TEXT(EDATE($D38,Milestones!$AA$159),"dd/mm/yy")&amp;" "&amp;Milestones!$AB$159&amp;" "&amp;Milestones!$AC$159&amp;";  ",""))</f>
        <v/>
      </c>
      <c r="O38" s="0" t="str">
        <f aca="false">IF(OR($A38="",$D38=""),"",IF(AND(EDATE($D38,Milestones!$AA$160)&lt;=AsOfDate,IF($Q38=0,$W38,IF(AND($S38&lt;&gt;"",EDATE($D38,Milestones!$AA$160)&gt;=$S38),$V38,IF(AND($R38&lt;&gt;"",EDATE($D38,Milestones!$AA$160)&gt;=$R38),$U38,$T38)))=Milestones!$AB$160),TEXT(EDATE($D38,Milestones!$AA$160),"dd/mm/yy")&amp;" "&amp;Milestones!$AB$160&amp;" "&amp;Milestones!$AC$160&amp;";  ","")&amp;IF(AND(EDATE($D38,Milestones!$AA$161)&lt;=AsOfDate,IF($Q38=0,$W38,IF(AND($S38&lt;&gt;"",EDATE($D38,Milestones!$AA$161)&gt;=$S38),$V38,IF(AND($R38&lt;&gt;"",EDATE($D38,Milestones!$AA$161)&gt;=$R38),$U38,$T38)))=Milestones!$AB$161),TEXT(EDATE($D38,Milestones!$AA$161),"dd/mm/yy")&amp;" "&amp;Milestones!$AB$161&amp;" "&amp;Milestones!$AC$161&amp;";  ","")&amp;IF(AND(EDATE($D38,Milestones!$AA$162)&lt;=AsOfDate,IF($Q38=0,$W38,IF(AND($S38&lt;&gt;"",EDATE($D38,Milestones!$AA$162)&gt;=$S38),$V38,IF(AND($R38&lt;&gt;"",EDATE($D38,Milestones!$AA$162)&gt;=$R38),$U38,$T38)))=Milestones!$AB$162),TEXT(EDATE($D38,Milestones!$AA$162),"dd/mm/yy")&amp;" "&amp;Milestones!$AB$162&amp;" "&amp;Milestones!$AC$162&amp;";  ","")&amp;IF(AND(EDATE($D38,Milestones!$AA$163)&lt;=AsOfDate,IF($Q38=0,$W38,IF(AND($S38&lt;&gt;"",EDATE($D38,Milestones!$AA$163)&gt;=$S38),$V38,IF(AND($R38&lt;&gt;"",EDATE($D38,Milestones!$AA$163)&gt;=$R38),$U38,$T38)))=Milestones!$AB$163),TEXT(EDATE($D38,Milestones!$AA$163),"dd/mm/yy")&amp;" "&amp;Milestones!$AB$163&amp;" "&amp;Milestones!$AC$163&amp;";  ","")&amp;IF(AND(EDATE($D38,Milestones!$AA$164)&lt;=AsOfDate,IF($Q38=0,$W38,IF(AND($S38&lt;&gt;"",EDATE($D38,Milestones!$AA$164)&gt;=$S38),$V38,IF(AND($R38&lt;&gt;"",EDATE($D38,Milestones!$AA$164)&gt;=$R38),$U38,$T38)))=Milestones!$AB$164),TEXT(EDATE($D38,Milestones!$AA$164),"dd/mm/yy")&amp;" "&amp;Milestones!$AB$164&amp;" "&amp;Milestones!$AC$164&amp;";  ","")&amp;IF(AND(EDATE($D38,Milestones!$AA$165)&lt;=AsOfDate,IF($Q38=0,$W38,IF(AND($S38&lt;&gt;"",EDATE($D38,Milestones!$AA$165)&gt;=$S38),$V38,IF(AND($R38&lt;&gt;"",EDATE($D38,Milestones!$AA$165)&gt;=$R38),$U38,$T38)))=Milestones!$AB$165),TEXT(EDATE($D38,Milestones!$AA$165),"dd/mm/yy")&amp;" "&amp;Milestones!$AB$165&amp;" "&amp;Milestones!$AC$165&amp;";  ","")&amp;IF(AND(EDATE($D38,Milestones!$AA$166)&lt;=AsOfDate,IF($Q38=0,$W38,IF(AND($S38&lt;&gt;"",EDATE($D38,Milestones!$AA$166)&gt;=$S38),$V38,IF(AND($R38&lt;&gt;"",EDATE($D38,Milestones!$AA$166)&gt;=$R38),$U38,$T38)))=Milestones!$AB$166),TEXT(EDATE($D38,Milestones!$AA$166),"dd/mm/yy")&amp;" "&amp;Milestones!$AB$166&amp;" "&amp;Milestones!$AC$166&amp;";  ","")&amp;IF(AND(EDATE($D38,Milestones!$AA$167)&lt;=AsOfDate,IF($Q38=0,$W38,IF(AND($S38&lt;&gt;"",EDATE($D38,Milestones!$AA$167)&gt;=$S38),$V38,IF(AND($R38&lt;&gt;"",EDATE($D38,Milestones!$AA$167)&gt;=$R38),$U38,$T38)))=Milestones!$AB$167),TEXT(EDATE($D38,Milestones!$AA$167),"dd/mm/yy")&amp;" "&amp;Milestones!$AB$167&amp;" "&amp;Milestones!$AC$167&amp;";  ","")&amp;IF(AND(EDATE($D38,Milestones!$AA$168)&lt;=AsOfDate,IF($Q38=0,$W38,IF(AND($S38&lt;&gt;"",EDATE($D38,Milestones!$AA$168)&gt;=$S38),$V38,IF(AND($R38&lt;&gt;"",EDATE($D38,Milestones!$AA$168)&gt;=$R38),$U38,$T38)))=Milestones!$AB$168),TEXT(EDATE($D38,Milestones!$AA$168),"dd/mm/yy")&amp;" "&amp;Milestones!$AB$168&amp;" "&amp;Milestones!$AC$168&amp;";  ","")&amp;IF(AND(EDATE($D38,Milestones!$AA$169)&lt;=AsOfDate,IF($Q38=0,$W38,IF(AND($S38&lt;&gt;"",EDATE($D38,Milestones!$AA$169)&gt;=$S38),$V38,IF(AND($R38&lt;&gt;"",EDATE($D38,Milestones!$AA$169)&gt;=$R38),$U38,$T38)))=Milestones!$AB$169),TEXT(EDATE($D38,Milestones!$AA$169),"dd/mm/yy")&amp;" "&amp;Milestones!$AB$169&amp;" "&amp;Milestones!$AC$169&amp;";  ","")&amp;IF(AND(EDATE($D38,Milestones!$AA$170)&lt;=AsOfDate,IF($Q38=0,$W38,IF(AND($S38&lt;&gt;"",EDATE($D38,Milestones!$AA$170)&gt;=$S38),$V38,IF(AND($R38&lt;&gt;"",EDATE($D38,Milestones!$AA$170)&gt;=$R38),$U38,$T38)))=Milestones!$AB$170),TEXT(EDATE($D38,Milestones!$AA$170),"dd/mm/yy")&amp;" "&amp;Milestones!$AB$170&amp;" "&amp;Milestones!$AC$170&amp;";  ","")&amp;IF(AND(EDATE($D38,Milestones!$AA$171)&lt;=AsOfDate,IF($Q38=0,$W38,IF(AND($S38&lt;&gt;"",EDATE($D38,Milestones!$AA$171)&gt;=$S38),$V38,IF(AND($R38&lt;&gt;"",EDATE($D38,Milestones!$AA$171)&gt;=$R38),$U38,$T38)))=Milestones!$AB$171),TEXT(EDATE($D38,Milestones!$AA$171),"dd/mm/yy")&amp;" "&amp;Milestones!$AB$171&amp;" "&amp;Milestones!$AC$171&amp;";  ","")&amp;IF(AND(EDATE($D38,Milestones!$AA$172)&lt;=AsOfDate,IF($Q38=0,$W38,IF(AND($S38&lt;&gt;"",EDATE($D38,Milestones!$AA$172)&gt;=$S38),$V38,IF(AND($R38&lt;&gt;"",EDATE($D38,Milestones!$AA$172)&gt;=$R38),$U38,$T38)))=Milestones!$AB$172),TEXT(EDATE($D38,Milestones!$AA$172),"dd/mm/yy")&amp;" "&amp;Milestones!$AB$172&amp;" "&amp;Milestones!$AC$172&amp;";  ","")&amp;IF(AND(EDATE($D38,Milestones!$AA$173)&lt;=AsOfDate,IF($Q38=0,$W38,IF(AND($S38&lt;&gt;"",EDATE($D38,Milestones!$AA$173)&gt;=$S38),$V38,IF(AND($R38&lt;&gt;"",EDATE($D38,Milestones!$AA$173)&gt;=$R38),$U38,$T38)))=Milestones!$AB$173),TEXT(EDATE($D38,Milestones!$AA$173),"dd/mm/yy")&amp;" "&amp;Milestones!$AB$173&amp;" "&amp;Milestones!$AC$173&amp;";  ","")&amp;IF(AND(EDATE($D38,Milestones!$AA$174)&lt;=AsOfDate,IF($Q38=0,$W38,IF(AND($S38&lt;&gt;"",EDATE($D38,Milestones!$AA$174)&gt;=$S38),$V38,IF(AND($R38&lt;&gt;"",EDATE($D38,Milestones!$AA$174)&gt;=$R38),$U38,$T38)))=Milestones!$AB$174),TEXT(EDATE($D38,Milestones!$AA$174),"dd/mm/yy")&amp;" "&amp;Milestones!$AB$174&amp;" "&amp;Milestones!$AC$174&amp;";  ","")&amp;IF(AND(EDATE($D38,Milestones!$AA$175)&lt;=AsOfDate,IF($Q38=0,$W38,IF(AND($S38&lt;&gt;"",EDATE($D38,Milestones!$AA$175)&gt;=$S38),$V38,IF(AND($R38&lt;&gt;"",EDATE($D38,Milestones!$AA$175)&gt;=$R38),$U38,$T38)))=Milestones!$AB$175),TEXT(EDATE($D38,Milestones!$AA$175),"dd/mm/yy")&amp;" "&amp;Milestones!$AB$175&amp;" "&amp;Milestones!$AC$175&amp;";  ","")&amp;IF(AND(EDATE($D38,Milestones!$AA$176)&lt;=AsOfDate,IF($Q38=0,$W38,IF(AND($S38&lt;&gt;"",EDATE($D38,Milestones!$AA$176)&gt;=$S38),$V38,IF(AND($R38&lt;&gt;"",EDATE($D38,Milestones!$AA$176)&gt;=$R38),$U38,$T38)))=Milestones!$AB$176),TEXT(EDATE($D38,Milestones!$AA$176),"dd/mm/yy")&amp;" "&amp;Milestones!$AB$176&amp;" "&amp;Milestones!$AC$176&amp;";  ","")&amp;IF(AND(EDATE($D38,Milestones!$AA$177)&lt;=AsOfDate,IF($Q38=0,$W38,IF(AND($S38&lt;&gt;"",EDATE($D38,Milestones!$AA$177)&gt;=$S38),$V38,IF(AND($R38&lt;&gt;"",EDATE($D38,Milestones!$AA$177)&gt;=$R38),$U38,$T38)))=Milestones!$AB$177),TEXT(EDATE($D38,Milestones!$AA$177),"dd/mm/yy")&amp;" "&amp;Milestones!$AB$177&amp;" "&amp;Milestones!$AC$177&amp;";  ","")&amp;IF(AND(EDATE($D38,Milestones!$AA$178)&lt;=AsOfDate,IF($Q38=0,$W38,IF(AND($S38&lt;&gt;"",EDATE($D38,Milestones!$AA$178)&gt;=$S38),$V38,IF(AND($R38&lt;&gt;"",EDATE($D38,Milestones!$AA$178)&gt;=$R38),$U38,$T38)))=Milestones!$AB$178),TEXT(EDATE($D38,Milestones!$AA$178),"dd/mm/yy")&amp;" "&amp;Milestones!$AB$178&amp;" "&amp;Milestones!$AC$178&amp;";  ","")&amp;IF(AND(EDATE($D38,Milestones!$AA$179)&lt;=AsOfDate,IF($Q38=0,$W38,IF(AND($S38&lt;&gt;"",EDATE($D38,Milestones!$AA$179)&gt;=$S38),$V38,IF(AND($R38&lt;&gt;"",EDATE($D38,Milestones!$AA$179)&gt;=$R38),$U38,$T38)))=Milestones!$AB$179),TEXT(EDATE($D38,Milestones!$AA$179),"dd/mm/yy")&amp;" "&amp;Milestones!$AB$179&amp;" "&amp;Milestones!$AC$179&amp;";  ",""))</f>
        <v/>
      </c>
      <c r="P38" s="0" t="str">
        <f aca="false">IF(OR($A38="",$D38=""),"",IF(AND(EDATE($D38,Milestones!$AA$180)&lt;=AsOfDate,IF($Q38=0,$W38,IF(AND($S38&lt;&gt;"",EDATE($D38,Milestones!$AA$180)&gt;=$S38),$V38,IF(AND($R38&lt;&gt;"",EDATE($D38,Milestones!$AA$180)&gt;=$R38),$U38,$T38)))=Milestones!$AB$180),TEXT(EDATE($D38,Milestones!$AA$180),"dd/mm/yy")&amp;" "&amp;Milestones!$AB$180&amp;" "&amp;Milestones!$AC$180&amp;";  ","")&amp;IF(AND(EDATE($D38,Milestones!$AA$181)&lt;=AsOfDate,IF($Q38=0,$W38,IF(AND($S38&lt;&gt;"",EDATE($D38,Milestones!$AA$181)&gt;=$S38),$V38,IF(AND($R38&lt;&gt;"",EDATE($D38,Milestones!$AA$181)&gt;=$R38),$U38,$T38)))=Milestones!$AB$181),TEXT(EDATE($D38,Milestones!$AA$181),"dd/mm/yy")&amp;" "&amp;Milestones!$AB$181&amp;" "&amp;Milestones!$AC$181&amp;";  ","")&amp;IF(AND(EDATE($D38,Milestones!$AA$182)&lt;=AsOfDate,IF($Q38=0,$W38,IF(AND($S38&lt;&gt;"",EDATE($D38,Milestones!$AA$182)&gt;=$S38),$V38,IF(AND($R38&lt;&gt;"",EDATE($D38,Milestones!$AA$182)&gt;=$R38),$U38,$T38)))=Milestones!$AB$182),TEXT(EDATE($D38,Milestones!$AA$182),"dd/mm/yy")&amp;" "&amp;Milestones!$AB$182&amp;" "&amp;Milestones!$AC$182&amp;";  ","")&amp;IF(AND(EDATE($D38,Milestones!$AA$183)&lt;=AsOfDate,IF($Q38=0,$W38,IF(AND($S38&lt;&gt;"",EDATE($D38,Milestones!$AA$183)&gt;=$S38),$V38,IF(AND($R38&lt;&gt;"",EDATE($D38,Milestones!$AA$183)&gt;=$R38),$U38,$T38)))=Milestones!$AB$183),TEXT(EDATE($D38,Milestones!$AA$183),"dd/mm/yy")&amp;" "&amp;Milestones!$AB$183&amp;" "&amp;Milestones!$AC$183&amp;";  ","")&amp;IF(AND(EDATE($D38,Milestones!$AA$184)&lt;=AsOfDate,IF($Q38=0,$W38,IF(AND($S38&lt;&gt;"",EDATE($D38,Milestones!$AA$184)&gt;=$S38),$V38,IF(AND($R38&lt;&gt;"",EDATE($D38,Milestones!$AA$184)&gt;=$R38),$U38,$T38)))=Milestones!$AB$184),TEXT(EDATE($D38,Milestones!$AA$184),"dd/mm/yy")&amp;" "&amp;Milestones!$AB$184&amp;" "&amp;Milestones!$AC$184&amp;";  ","")&amp;IF(AND(EDATE($D38,Milestones!$AA$185)&lt;=AsOfDate,IF($Q38=0,$W38,IF(AND($S38&lt;&gt;"",EDATE($D38,Milestones!$AA$185)&gt;=$S38),$V38,IF(AND($R38&lt;&gt;"",EDATE($D38,Milestones!$AA$185)&gt;=$R38),$U38,$T38)))=Milestones!$AB$185),TEXT(EDATE($D38,Milestones!$AA$185),"dd/mm/yy")&amp;" "&amp;Milestones!$AB$185&amp;" "&amp;Milestones!$AC$185&amp;";  ","")&amp;IF(AND(EDATE($D38,Milestones!$AA$186)&lt;=AsOfDate,IF($Q38=0,$W38,IF(AND($S38&lt;&gt;"",EDATE($D38,Milestones!$AA$186)&gt;=$S38),$V38,IF(AND($R38&lt;&gt;"",EDATE($D38,Milestones!$AA$186)&gt;=$R38),$U38,$T38)))=Milestones!$AB$186),TEXT(EDATE($D38,Milestones!$AA$186),"dd/mm/yy")&amp;" "&amp;Milestones!$AB$186&amp;" "&amp;Milestones!$AC$186&amp;";  ","")&amp;IF(AND(EDATE($D38,Milestones!$AA$187)&lt;=AsOfDate,IF($Q38=0,$W38,IF(AND($S38&lt;&gt;"",EDATE($D38,Milestones!$AA$187)&gt;=$S38),$V38,IF(AND($R38&lt;&gt;"",EDATE($D38,Milestones!$AA$187)&gt;=$R38),$U38,$T38)))=Milestones!$AB$187),TEXT(EDATE($D38,Milestones!$AA$187),"dd/mm/yy")&amp;" "&amp;Milestones!$AB$187&amp;" "&amp;Milestones!$AC$187&amp;";  ","")&amp;IF(AND(EDATE($D38,Milestones!$AA$188)&lt;=AsOfDate,IF($Q38=0,$W38,IF(AND($S38&lt;&gt;"",EDATE($D38,Milestones!$AA$188)&gt;=$S38),$V38,IF(AND($R38&lt;&gt;"",EDATE($D38,Milestones!$AA$188)&gt;=$R38),$U38,$T38)))=Milestones!$AB$188),TEXT(EDATE($D38,Milestones!$AA$188),"dd/mm/yy")&amp;" "&amp;Milestones!$AB$188&amp;" "&amp;Milestones!$AC$188&amp;";  ","")&amp;IF(AND(EDATE($D38,Milestones!$AA$189)&lt;=AsOfDate,IF($Q38=0,$W38,IF(AND($S38&lt;&gt;"",EDATE($D38,Milestones!$AA$189)&gt;=$S38),$V38,IF(AND($R38&lt;&gt;"",EDATE($D38,Milestones!$AA$189)&gt;=$R38),$U38,$T38)))=Milestones!$AB$189),TEXT(EDATE($D38,Milestones!$AA$189),"dd/mm/yy")&amp;" "&amp;Milestones!$AB$189&amp;" "&amp;Milestones!$AC$189&amp;";  ","")&amp;IF(AND(EDATE($D38,Milestones!$AA$190)&lt;=AsOfDate,IF($Q38=0,$W38,IF(AND($S38&lt;&gt;"",EDATE($D38,Milestones!$AA$190)&gt;=$S38),$V38,IF(AND($R38&lt;&gt;"",EDATE($D38,Milestones!$AA$190)&gt;=$R38),$U38,$T38)))=Milestones!$AB$190),TEXT(EDATE($D38,Milestones!$AA$190),"dd/mm/yy")&amp;" "&amp;Milestones!$AB$190&amp;" "&amp;Milestones!$AC$190&amp;";  ","")&amp;IF(AND(EDATE($D38,Milestones!$AA$191)&lt;=AsOfDate,IF($Q38=0,$W38,IF(AND($S38&lt;&gt;"",EDATE($D38,Milestones!$AA$191)&gt;=$S38),$V38,IF(AND($R38&lt;&gt;"",EDATE($D38,Milestones!$AA$191)&gt;=$R38),$U38,$T38)))=Milestones!$AB$191),TEXT(EDATE($D38,Milestones!$AA$191),"dd/mm/yy")&amp;" "&amp;Milestones!$AB$191&amp;" "&amp;Milestones!$AC$191&amp;";  ","")&amp;IF(AND(EDATE($D38,Milestones!$AA$192)&lt;=AsOfDate,IF($Q38=0,$W38,IF(AND($S38&lt;&gt;"",EDATE($D38,Milestones!$AA$192)&gt;=$S38),$V38,IF(AND($R38&lt;&gt;"",EDATE($D38,Milestones!$AA$192)&gt;=$R38),$U38,$T38)))=Milestones!$AB$192),TEXT(EDATE($D38,Milestones!$AA$192),"dd/mm/yy")&amp;" "&amp;Milestones!$AB$192&amp;" "&amp;Milestones!$AC$192&amp;";  ","")&amp;IF(AND(EDATE($D38,Milestones!$AA$193)&lt;=AsOfDate,IF($Q38=0,$W38,IF(AND($S38&lt;&gt;"",EDATE($D38,Milestones!$AA$193)&gt;=$S38),$V38,IF(AND($R38&lt;&gt;"",EDATE($D38,Milestones!$AA$193)&gt;=$R38),$U38,$T38)))=Milestones!$AB$193),TEXT(EDATE($D38,Milestones!$AA$193),"dd/mm/yy")&amp;" "&amp;Milestones!$AB$193&amp;" "&amp;Milestones!$AC$193&amp;";  ","")&amp;IF(AND(EDATE($D38,Milestones!$AA$194)&lt;=AsOfDate,IF($Q38=0,$W38,IF(AND($S38&lt;&gt;"",EDATE($D38,Milestones!$AA$194)&gt;=$S38),$V38,IF(AND($R38&lt;&gt;"",EDATE($D38,Milestones!$AA$194)&gt;=$R38),$U38,$T38)))=Milestones!$AB$194),TEXT(EDATE($D38,Milestones!$AA$194),"dd/mm/yy")&amp;" "&amp;Milestones!$AB$194&amp;" "&amp;Milestones!$AC$194&amp;";  ","")&amp;IF(AND(EDATE($D38,Milestones!$AA$195)&lt;=AsOfDate,IF($Q38=0,$W38,IF(AND($S38&lt;&gt;"",EDATE($D38,Milestones!$AA$195)&gt;=$S38),$V38,IF(AND($R38&lt;&gt;"",EDATE($D38,Milestones!$AA$195)&gt;=$R38),$U38,$T38)))=Milestones!$AB$195),TEXT(EDATE($D38,Milestones!$AA$195),"dd/mm/yy")&amp;" "&amp;Milestones!$AB$195&amp;" "&amp;Milestones!$AC$195&amp;";  ","")&amp;IF(AND(EDATE($D38,Milestones!$AA$196)&lt;=AsOfDate,IF($Q38=0,$W38,IF(AND($S38&lt;&gt;"",EDATE($D38,Milestones!$AA$196)&gt;=$S38),$V38,IF(AND($R38&lt;&gt;"",EDATE($D38,Milestones!$AA$196)&gt;=$R38),$U38,$T38)))=Milestones!$AB$196),TEXT(EDATE($D38,Milestones!$AA$196),"dd/mm/yy")&amp;" "&amp;Milestones!$AB$196&amp;" "&amp;Milestones!$AC$196&amp;";  ","")&amp;IF(AND(EDATE($D38,Milestones!$AA$197)&lt;=AsOfDate,IF($Q38=0,$W38,IF(AND($S38&lt;&gt;"",EDATE($D38,Milestones!$AA$197)&gt;=$S38),$V38,IF(AND($R38&lt;&gt;"",EDATE($D38,Milestones!$AA$197)&gt;=$R38),$U38,$T38)))=Milestones!$AB$197),TEXT(EDATE($D38,Milestones!$AA$197),"dd/mm/yy")&amp;" "&amp;Milestones!$AB$197&amp;" "&amp;Milestones!$AC$197&amp;";  ","")&amp;IF(AND(EDATE($D38,Milestones!$AA$198)&lt;=AsOfDate,IF($Q38=0,$W38,IF(AND($S38&lt;&gt;"",EDATE($D38,Milestones!$AA$198)&gt;=$S38),$V38,IF(AND($R38&lt;&gt;"",EDATE($D38,Milestones!$AA$198)&gt;=$R38),$U38,$T38)))=Milestones!$AB$198),TEXT(EDATE($D38,Milestones!$AA$198),"dd/mm/yy")&amp;" "&amp;Milestones!$AB$198&amp;" "&amp;Milestones!$AC$198&amp;";  ","")&amp;IF(AND(EDATE($D38,Milestones!$AA$199)&lt;=AsOfDate,IF($Q38=0,$W38,IF(AND($S38&lt;&gt;"",EDATE($D38,Milestones!$AA$199)&gt;=$S38),$V38,IF(AND($R38&lt;&gt;"",EDATE($D38,Milestones!$AA$199)&gt;=$R38),$U38,$T38)))=Milestones!$AB$199),TEXT(EDATE($D38,Milestones!$AA$199),"dd/mm/yy")&amp;" "&amp;Milestones!$AB$199&amp;" "&amp;Milestones!$AC$199&amp;";  ",""))</f>
        <v/>
      </c>
      <c r="Q38" s="0" t="str">
        <f aca="false">IF(Staff!$A38="","",Staff!$AG38)</f>
        <v/>
      </c>
      <c r="R38" s="0" t="str">
        <f aca="false">IF(Staff!$A38="","",Staff!$AI38)</f>
        <v/>
      </c>
      <c r="S38" s="0" t="str">
        <f aca="false">IF(Staff!$A38="","",Staff!$AJ38)</f>
        <v/>
      </c>
      <c r="T38" s="0" t="str">
        <f aca="false">IF(Staff!$A38="","",Staff!$AN38)</f>
        <v/>
      </c>
      <c r="U38" s="0" t="str">
        <f aca="false">IF(Staff!$A38="","",Staff!$AO38)</f>
        <v/>
      </c>
      <c r="V38" s="0" t="str">
        <f aca="false">IF(Staff!$A38="","",Staff!$AP38)</f>
        <v/>
      </c>
      <c r="W38" s="0" t="str">
        <f aca="false">IF(Staff!$A38="","",Staff!$AQ38)</f>
        <v/>
      </c>
    </row>
    <row r="39" customFormat="false" ht="15" hidden="false" customHeight="false" outlineLevel="0" collapsed="false">
      <c r="A39" s="13" t="str">
        <f aca="false">IF(Staff!$A39="","",Staff!$A39)</f>
        <v/>
      </c>
      <c r="B39" s="13" t="str">
        <f aca="false">IF(Staff!$A39="","",Staff!$B39)</f>
        <v/>
      </c>
      <c r="C39" s="13" t="str">
        <f aca="false">IF(Staff!$A39="","",Staff!$C39)</f>
        <v/>
      </c>
      <c r="D39" s="11" t="str">
        <f aca="false">IF(Staff!$A39="","",Staff!$AF39)</f>
        <v/>
      </c>
      <c r="E39" s="13" t="str">
        <f aca="false">IF(Staff!$A39="","",Staff!$O39)</f>
        <v/>
      </c>
      <c r="F39" s="13" t="str">
        <f aca="false">IF(E39="","",E39*HoursPerDay)</f>
        <v/>
      </c>
      <c r="G39" s="26" t="str">
        <f aca="false">IF($A39="","",H39&amp;I39&amp;J39&amp;K39&amp;L39&amp;M39&amp;N39&amp;O39&amp;P39)</f>
        <v/>
      </c>
      <c r="H39" s="0" t="str">
        <f aca="false">IF(OR($A39="",$D39=""),"",IF(AND(EDATE($D39,Milestones!$AA$20)&lt;=AsOfDate,IF($Q39=0,$W39,IF(AND($S39&lt;&gt;"",EDATE($D39,Milestones!$AA$20)&gt;=$S39),$V39,IF(AND($R39&lt;&gt;"",EDATE($D39,Milestones!$AA$20)&gt;=$R39),$U39,$T39)))=Milestones!$AB$20),TEXT(EDATE($D39,Milestones!$AA$20),"dd/mm/yy")&amp;" "&amp;Milestones!$AB$20&amp;" "&amp;Milestones!$AC$20&amp;";  ","")&amp;IF(AND(EDATE($D39,Milestones!$AA$21)&lt;=AsOfDate,IF($Q39=0,$W39,IF(AND($S39&lt;&gt;"",EDATE($D39,Milestones!$AA$21)&gt;=$S39),$V39,IF(AND($R39&lt;&gt;"",EDATE($D39,Milestones!$AA$21)&gt;=$R39),$U39,$T39)))=Milestones!$AB$21),TEXT(EDATE($D39,Milestones!$AA$21),"dd/mm/yy")&amp;" "&amp;Milestones!$AB$21&amp;" "&amp;Milestones!$AC$21&amp;";  ","")&amp;IF(AND(EDATE($D39,Milestones!$AA$22)&lt;=AsOfDate,IF($Q39=0,$W39,IF(AND($S39&lt;&gt;"",EDATE($D39,Milestones!$AA$22)&gt;=$S39),$V39,IF(AND($R39&lt;&gt;"",EDATE($D39,Milestones!$AA$22)&gt;=$R39),$U39,$T39)))=Milestones!$AB$22),TEXT(EDATE($D39,Milestones!$AA$22),"dd/mm/yy")&amp;" "&amp;Milestones!$AB$22&amp;" "&amp;Milestones!$AC$22&amp;";  ","")&amp;IF(AND(EDATE($D39,Milestones!$AA$23)&lt;=AsOfDate,IF($Q39=0,$W39,IF(AND($S39&lt;&gt;"",EDATE($D39,Milestones!$AA$23)&gt;=$S39),$V39,IF(AND($R39&lt;&gt;"",EDATE($D39,Milestones!$AA$23)&gt;=$R39),$U39,$T39)))=Milestones!$AB$23),TEXT(EDATE($D39,Milestones!$AA$23),"dd/mm/yy")&amp;" "&amp;Milestones!$AB$23&amp;" "&amp;Milestones!$AC$23&amp;";  ","")&amp;IF(AND(EDATE($D39,Milestones!$AA$24)&lt;=AsOfDate,IF($Q39=0,$W39,IF(AND($S39&lt;&gt;"",EDATE($D39,Milestones!$AA$24)&gt;=$S39),$V39,IF(AND($R39&lt;&gt;"",EDATE($D39,Milestones!$AA$24)&gt;=$R39),$U39,$T39)))=Milestones!$AB$24),TEXT(EDATE($D39,Milestones!$AA$24),"dd/mm/yy")&amp;" "&amp;Milestones!$AB$24&amp;" "&amp;Milestones!$AC$24&amp;";  ","")&amp;IF(AND(EDATE($D39,Milestones!$AA$25)&lt;=AsOfDate,IF($Q39=0,$W39,IF(AND($S39&lt;&gt;"",EDATE($D39,Milestones!$AA$25)&gt;=$S39),$V39,IF(AND($R39&lt;&gt;"",EDATE($D39,Milestones!$AA$25)&gt;=$R39),$U39,$T39)))=Milestones!$AB$25),TEXT(EDATE($D39,Milestones!$AA$25),"dd/mm/yy")&amp;" "&amp;Milestones!$AB$25&amp;" "&amp;Milestones!$AC$25&amp;";  ","")&amp;IF(AND(EDATE($D39,Milestones!$AA$26)&lt;=AsOfDate,IF($Q39=0,$W39,IF(AND($S39&lt;&gt;"",EDATE($D39,Milestones!$AA$26)&gt;=$S39),$V39,IF(AND($R39&lt;&gt;"",EDATE($D39,Milestones!$AA$26)&gt;=$R39),$U39,$T39)))=Milestones!$AB$26),TEXT(EDATE($D39,Milestones!$AA$26),"dd/mm/yy")&amp;" "&amp;Milestones!$AB$26&amp;" "&amp;Milestones!$AC$26&amp;";  ","")&amp;IF(AND(EDATE($D39,Milestones!$AA$27)&lt;=AsOfDate,IF($Q39=0,$W39,IF(AND($S39&lt;&gt;"",EDATE($D39,Milestones!$AA$27)&gt;=$S39),$V39,IF(AND($R39&lt;&gt;"",EDATE($D39,Milestones!$AA$27)&gt;=$R39),$U39,$T39)))=Milestones!$AB$27),TEXT(EDATE($D39,Milestones!$AA$27),"dd/mm/yy")&amp;" "&amp;Milestones!$AB$27&amp;" "&amp;Milestones!$AC$27&amp;";  ","")&amp;IF(AND(EDATE($D39,Milestones!$AA$28)&lt;=AsOfDate,IF($Q39=0,$W39,IF(AND($S39&lt;&gt;"",EDATE($D39,Milestones!$AA$28)&gt;=$S39),$V39,IF(AND($R39&lt;&gt;"",EDATE($D39,Milestones!$AA$28)&gt;=$R39),$U39,$T39)))=Milestones!$AB$28),TEXT(EDATE($D39,Milestones!$AA$28),"dd/mm/yy")&amp;" "&amp;Milestones!$AB$28&amp;" "&amp;Milestones!$AC$28&amp;";  ","")&amp;IF(AND(EDATE($D39,Milestones!$AA$29)&lt;=AsOfDate,IF($Q39=0,$W39,IF(AND($S39&lt;&gt;"",EDATE($D39,Milestones!$AA$29)&gt;=$S39),$V39,IF(AND($R39&lt;&gt;"",EDATE($D39,Milestones!$AA$29)&gt;=$R39),$U39,$T39)))=Milestones!$AB$29),TEXT(EDATE($D39,Milestones!$AA$29),"dd/mm/yy")&amp;" "&amp;Milestones!$AB$29&amp;" "&amp;Milestones!$AC$29&amp;";  ","")&amp;IF(AND(EDATE($D39,Milestones!$AA$30)&lt;=AsOfDate,IF($Q39=0,$W39,IF(AND($S39&lt;&gt;"",EDATE($D39,Milestones!$AA$30)&gt;=$S39),$V39,IF(AND($R39&lt;&gt;"",EDATE($D39,Milestones!$AA$30)&gt;=$R39),$U39,$T39)))=Milestones!$AB$30),TEXT(EDATE($D39,Milestones!$AA$30),"dd/mm/yy")&amp;" "&amp;Milestones!$AB$30&amp;" "&amp;Milestones!$AC$30&amp;";  ","")&amp;IF(AND(EDATE($D39,Milestones!$AA$31)&lt;=AsOfDate,IF($Q39=0,$W39,IF(AND($S39&lt;&gt;"",EDATE($D39,Milestones!$AA$31)&gt;=$S39),$V39,IF(AND($R39&lt;&gt;"",EDATE($D39,Milestones!$AA$31)&gt;=$R39),$U39,$T39)))=Milestones!$AB$31),TEXT(EDATE($D39,Milestones!$AA$31),"dd/mm/yy")&amp;" "&amp;Milestones!$AB$31&amp;" "&amp;Milestones!$AC$31&amp;";  ","")&amp;IF(AND(EDATE($D39,Milestones!$AA$32)&lt;=AsOfDate,IF($Q39=0,$W39,IF(AND($S39&lt;&gt;"",EDATE($D39,Milestones!$AA$32)&gt;=$S39),$V39,IF(AND($R39&lt;&gt;"",EDATE($D39,Milestones!$AA$32)&gt;=$R39),$U39,$T39)))=Milestones!$AB$32),TEXT(EDATE($D39,Milestones!$AA$32),"dd/mm/yy")&amp;" "&amp;Milestones!$AB$32&amp;" "&amp;Milestones!$AC$32&amp;";  ","")&amp;IF(AND(EDATE($D39,Milestones!$AA$33)&lt;=AsOfDate,IF($Q39=0,$W39,IF(AND($S39&lt;&gt;"",EDATE($D39,Milestones!$AA$33)&gt;=$S39),$V39,IF(AND($R39&lt;&gt;"",EDATE($D39,Milestones!$AA$33)&gt;=$R39),$U39,$T39)))=Milestones!$AB$33),TEXT(EDATE($D39,Milestones!$AA$33),"dd/mm/yy")&amp;" "&amp;Milestones!$AB$33&amp;" "&amp;Milestones!$AC$33&amp;";  ","")&amp;IF(AND(EDATE($D39,Milestones!$AA$34)&lt;=AsOfDate,IF($Q39=0,$W39,IF(AND($S39&lt;&gt;"",EDATE($D39,Milestones!$AA$34)&gt;=$S39),$V39,IF(AND($R39&lt;&gt;"",EDATE($D39,Milestones!$AA$34)&gt;=$R39),$U39,$T39)))=Milestones!$AB$34),TEXT(EDATE($D39,Milestones!$AA$34),"dd/mm/yy")&amp;" "&amp;Milestones!$AB$34&amp;" "&amp;Milestones!$AC$34&amp;";  ","")&amp;IF(AND(EDATE($D39,Milestones!$AA$35)&lt;=AsOfDate,IF($Q39=0,$W39,IF(AND($S39&lt;&gt;"",EDATE($D39,Milestones!$AA$35)&gt;=$S39),$V39,IF(AND($R39&lt;&gt;"",EDATE($D39,Milestones!$AA$35)&gt;=$R39),$U39,$T39)))=Milestones!$AB$35),TEXT(EDATE($D39,Milestones!$AA$35),"dd/mm/yy")&amp;" "&amp;Milestones!$AB$35&amp;" "&amp;Milestones!$AC$35&amp;";  ","")&amp;IF(AND(EDATE($D39,Milestones!$AA$36)&lt;=AsOfDate,IF($Q39=0,$W39,IF(AND($S39&lt;&gt;"",EDATE($D39,Milestones!$AA$36)&gt;=$S39),$V39,IF(AND($R39&lt;&gt;"",EDATE($D39,Milestones!$AA$36)&gt;=$R39),$U39,$T39)))=Milestones!$AB$36),TEXT(EDATE($D39,Milestones!$AA$36),"dd/mm/yy")&amp;" "&amp;Milestones!$AB$36&amp;" "&amp;Milestones!$AC$36&amp;";  ","")&amp;IF(AND(EDATE($D39,Milestones!$AA$37)&lt;=AsOfDate,IF($Q39=0,$W39,IF(AND($S39&lt;&gt;"",EDATE($D39,Milestones!$AA$37)&gt;=$S39),$V39,IF(AND($R39&lt;&gt;"",EDATE($D39,Milestones!$AA$37)&gt;=$R39),$U39,$T39)))=Milestones!$AB$37),TEXT(EDATE($D39,Milestones!$AA$37),"dd/mm/yy")&amp;" "&amp;Milestones!$AB$37&amp;" "&amp;Milestones!$AC$37&amp;";  ","")&amp;IF(AND(EDATE($D39,Milestones!$AA$38)&lt;=AsOfDate,IF($Q39=0,$W39,IF(AND($S39&lt;&gt;"",EDATE($D39,Milestones!$AA$38)&gt;=$S39),$V39,IF(AND($R39&lt;&gt;"",EDATE($D39,Milestones!$AA$38)&gt;=$R39),$U39,$T39)))=Milestones!$AB$38),TEXT(EDATE($D39,Milestones!$AA$38),"dd/mm/yy")&amp;" "&amp;Milestones!$AB$38&amp;" "&amp;Milestones!$AC$38&amp;";  ","")&amp;IF(AND(EDATE($D39,Milestones!$AA$39)&lt;=AsOfDate,IF($Q39=0,$W39,IF(AND($S39&lt;&gt;"",EDATE($D39,Milestones!$AA$39)&gt;=$S39),$V39,IF(AND($R39&lt;&gt;"",EDATE($D39,Milestones!$AA$39)&gt;=$R39),$U39,$T39)))=Milestones!$AB$39),TEXT(EDATE($D39,Milestones!$AA$39),"dd/mm/yy")&amp;" "&amp;Milestones!$AB$39&amp;" "&amp;Milestones!$AC$39&amp;";  ",""))</f>
        <v/>
      </c>
      <c r="I39" s="0" t="str">
        <f aca="false">IF(OR($A39="",$D39=""),"",IF(AND(EDATE($D39,Milestones!$AA$40)&lt;=AsOfDate,IF($Q39=0,$W39,IF(AND($S39&lt;&gt;"",EDATE($D39,Milestones!$AA$40)&gt;=$S39),$V39,IF(AND($R39&lt;&gt;"",EDATE($D39,Milestones!$AA$40)&gt;=$R39),$U39,$T39)))=Milestones!$AB$40),TEXT(EDATE($D39,Milestones!$AA$40),"dd/mm/yy")&amp;" "&amp;Milestones!$AB$40&amp;" "&amp;Milestones!$AC$40&amp;";  ","")&amp;IF(AND(EDATE($D39,Milestones!$AA$41)&lt;=AsOfDate,IF($Q39=0,$W39,IF(AND($S39&lt;&gt;"",EDATE($D39,Milestones!$AA$41)&gt;=$S39),$V39,IF(AND($R39&lt;&gt;"",EDATE($D39,Milestones!$AA$41)&gt;=$R39),$U39,$T39)))=Milestones!$AB$41),TEXT(EDATE($D39,Milestones!$AA$41),"dd/mm/yy")&amp;" "&amp;Milestones!$AB$41&amp;" "&amp;Milestones!$AC$41&amp;";  ","")&amp;IF(AND(EDATE($D39,Milestones!$AA$42)&lt;=AsOfDate,IF($Q39=0,$W39,IF(AND($S39&lt;&gt;"",EDATE($D39,Milestones!$AA$42)&gt;=$S39),$V39,IF(AND($R39&lt;&gt;"",EDATE($D39,Milestones!$AA$42)&gt;=$R39),$U39,$T39)))=Milestones!$AB$42),TEXT(EDATE($D39,Milestones!$AA$42),"dd/mm/yy")&amp;" "&amp;Milestones!$AB$42&amp;" "&amp;Milestones!$AC$42&amp;";  ","")&amp;IF(AND(EDATE($D39,Milestones!$AA$43)&lt;=AsOfDate,IF($Q39=0,$W39,IF(AND($S39&lt;&gt;"",EDATE($D39,Milestones!$AA$43)&gt;=$S39),$V39,IF(AND($R39&lt;&gt;"",EDATE($D39,Milestones!$AA$43)&gt;=$R39),$U39,$T39)))=Milestones!$AB$43),TEXT(EDATE($D39,Milestones!$AA$43),"dd/mm/yy")&amp;" "&amp;Milestones!$AB$43&amp;" "&amp;Milestones!$AC$43&amp;";  ","")&amp;IF(AND(EDATE($D39,Milestones!$AA$44)&lt;=AsOfDate,IF($Q39=0,$W39,IF(AND($S39&lt;&gt;"",EDATE($D39,Milestones!$AA$44)&gt;=$S39),$V39,IF(AND($R39&lt;&gt;"",EDATE($D39,Milestones!$AA$44)&gt;=$R39),$U39,$T39)))=Milestones!$AB$44),TEXT(EDATE($D39,Milestones!$AA$44),"dd/mm/yy")&amp;" "&amp;Milestones!$AB$44&amp;" "&amp;Milestones!$AC$44&amp;";  ","")&amp;IF(AND(EDATE($D39,Milestones!$AA$45)&lt;=AsOfDate,IF($Q39=0,$W39,IF(AND($S39&lt;&gt;"",EDATE($D39,Milestones!$AA$45)&gt;=$S39),$V39,IF(AND($R39&lt;&gt;"",EDATE($D39,Milestones!$AA$45)&gt;=$R39),$U39,$T39)))=Milestones!$AB$45),TEXT(EDATE($D39,Milestones!$AA$45),"dd/mm/yy")&amp;" "&amp;Milestones!$AB$45&amp;" "&amp;Milestones!$AC$45&amp;";  ","")&amp;IF(AND(EDATE($D39,Milestones!$AA$46)&lt;=AsOfDate,IF($Q39=0,$W39,IF(AND($S39&lt;&gt;"",EDATE($D39,Milestones!$AA$46)&gt;=$S39),$V39,IF(AND($R39&lt;&gt;"",EDATE($D39,Milestones!$AA$46)&gt;=$R39),$U39,$T39)))=Milestones!$AB$46),TEXT(EDATE($D39,Milestones!$AA$46),"dd/mm/yy")&amp;" "&amp;Milestones!$AB$46&amp;" "&amp;Milestones!$AC$46&amp;";  ","")&amp;IF(AND(EDATE($D39,Milestones!$AA$47)&lt;=AsOfDate,IF($Q39=0,$W39,IF(AND($S39&lt;&gt;"",EDATE($D39,Milestones!$AA$47)&gt;=$S39),$V39,IF(AND($R39&lt;&gt;"",EDATE($D39,Milestones!$AA$47)&gt;=$R39),$U39,$T39)))=Milestones!$AB$47),TEXT(EDATE($D39,Milestones!$AA$47),"dd/mm/yy")&amp;" "&amp;Milestones!$AB$47&amp;" "&amp;Milestones!$AC$47&amp;";  ","")&amp;IF(AND(EDATE($D39,Milestones!$AA$48)&lt;=AsOfDate,IF($Q39=0,$W39,IF(AND($S39&lt;&gt;"",EDATE($D39,Milestones!$AA$48)&gt;=$S39),$V39,IF(AND($R39&lt;&gt;"",EDATE($D39,Milestones!$AA$48)&gt;=$R39),$U39,$T39)))=Milestones!$AB$48),TEXT(EDATE($D39,Milestones!$AA$48),"dd/mm/yy")&amp;" "&amp;Milestones!$AB$48&amp;" "&amp;Milestones!$AC$48&amp;";  ","")&amp;IF(AND(EDATE($D39,Milestones!$AA$49)&lt;=AsOfDate,IF($Q39=0,$W39,IF(AND($S39&lt;&gt;"",EDATE($D39,Milestones!$AA$49)&gt;=$S39),$V39,IF(AND($R39&lt;&gt;"",EDATE($D39,Milestones!$AA$49)&gt;=$R39),$U39,$T39)))=Milestones!$AB$49),TEXT(EDATE($D39,Milestones!$AA$49),"dd/mm/yy")&amp;" "&amp;Milestones!$AB$49&amp;" "&amp;Milestones!$AC$49&amp;";  ","")&amp;IF(AND(EDATE($D39,Milestones!$AA$50)&lt;=AsOfDate,IF($Q39=0,$W39,IF(AND($S39&lt;&gt;"",EDATE($D39,Milestones!$AA$50)&gt;=$S39),$V39,IF(AND($R39&lt;&gt;"",EDATE($D39,Milestones!$AA$50)&gt;=$R39),$U39,$T39)))=Milestones!$AB$50),TEXT(EDATE($D39,Milestones!$AA$50),"dd/mm/yy")&amp;" "&amp;Milestones!$AB$50&amp;" "&amp;Milestones!$AC$50&amp;";  ","")&amp;IF(AND(EDATE($D39,Milestones!$AA$51)&lt;=AsOfDate,IF($Q39=0,$W39,IF(AND($S39&lt;&gt;"",EDATE($D39,Milestones!$AA$51)&gt;=$S39),$V39,IF(AND($R39&lt;&gt;"",EDATE($D39,Milestones!$AA$51)&gt;=$R39),$U39,$T39)))=Milestones!$AB$51),TEXT(EDATE($D39,Milestones!$AA$51),"dd/mm/yy")&amp;" "&amp;Milestones!$AB$51&amp;" "&amp;Milestones!$AC$51&amp;";  ","")&amp;IF(AND(EDATE($D39,Milestones!$AA$52)&lt;=AsOfDate,IF($Q39=0,$W39,IF(AND($S39&lt;&gt;"",EDATE($D39,Milestones!$AA$52)&gt;=$S39),$V39,IF(AND($R39&lt;&gt;"",EDATE($D39,Milestones!$AA$52)&gt;=$R39),$U39,$T39)))=Milestones!$AB$52),TEXT(EDATE($D39,Milestones!$AA$52),"dd/mm/yy")&amp;" "&amp;Milestones!$AB$52&amp;" "&amp;Milestones!$AC$52&amp;";  ","")&amp;IF(AND(EDATE($D39,Milestones!$AA$53)&lt;=AsOfDate,IF($Q39=0,$W39,IF(AND($S39&lt;&gt;"",EDATE($D39,Milestones!$AA$53)&gt;=$S39),$V39,IF(AND($R39&lt;&gt;"",EDATE($D39,Milestones!$AA$53)&gt;=$R39),$U39,$T39)))=Milestones!$AB$53),TEXT(EDATE($D39,Milestones!$AA$53),"dd/mm/yy")&amp;" "&amp;Milestones!$AB$53&amp;" "&amp;Milestones!$AC$53&amp;";  ","")&amp;IF(AND(EDATE($D39,Milestones!$AA$54)&lt;=AsOfDate,IF($Q39=0,$W39,IF(AND($S39&lt;&gt;"",EDATE($D39,Milestones!$AA$54)&gt;=$S39),$V39,IF(AND($R39&lt;&gt;"",EDATE($D39,Milestones!$AA$54)&gt;=$R39),$U39,$T39)))=Milestones!$AB$54),TEXT(EDATE($D39,Milestones!$AA$54),"dd/mm/yy")&amp;" "&amp;Milestones!$AB$54&amp;" "&amp;Milestones!$AC$54&amp;";  ","")&amp;IF(AND(EDATE($D39,Milestones!$AA$55)&lt;=AsOfDate,IF($Q39=0,$W39,IF(AND($S39&lt;&gt;"",EDATE($D39,Milestones!$AA$55)&gt;=$S39),$V39,IF(AND($R39&lt;&gt;"",EDATE($D39,Milestones!$AA$55)&gt;=$R39),$U39,$T39)))=Milestones!$AB$55),TEXT(EDATE($D39,Milestones!$AA$55),"dd/mm/yy")&amp;" "&amp;Milestones!$AB$55&amp;" "&amp;Milestones!$AC$55&amp;";  ","")&amp;IF(AND(EDATE($D39,Milestones!$AA$56)&lt;=AsOfDate,IF($Q39=0,$W39,IF(AND($S39&lt;&gt;"",EDATE($D39,Milestones!$AA$56)&gt;=$S39),$V39,IF(AND($R39&lt;&gt;"",EDATE($D39,Milestones!$AA$56)&gt;=$R39),$U39,$T39)))=Milestones!$AB$56),TEXT(EDATE($D39,Milestones!$AA$56),"dd/mm/yy")&amp;" "&amp;Milestones!$AB$56&amp;" "&amp;Milestones!$AC$56&amp;";  ","")&amp;IF(AND(EDATE($D39,Milestones!$AA$57)&lt;=AsOfDate,IF($Q39=0,$W39,IF(AND($S39&lt;&gt;"",EDATE($D39,Milestones!$AA$57)&gt;=$S39),$V39,IF(AND($R39&lt;&gt;"",EDATE($D39,Milestones!$AA$57)&gt;=$R39),$U39,$T39)))=Milestones!$AB$57),TEXT(EDATE($D39,Milestones!$AA$57),"dd/mm/yy")&amp;" "&amp;Milestones!$AB$57&amp;" "&amp;Milestones!$AC$57&amp;";  ","")&amp;IF(AND(EDATE($D39,Milestones!$AA$58)&lt;=AsOfDate,IF($Q39=0,$W39,IF(AND($S39&lt;&gt;"",EDATE($D39,Milestones!$AA$58)&gt;=$S39),$V39,IF(AND($R39&lt;&gt;"",EDATE($D39,Milestones!$AA$58)&gt;=$R39),$U39,$T39)))=Milestones!$AB$58),TEXT(EDATE($D39,Milestones!$AA$58),"dd/mm/yy")&amp;" "&amp;Milestones!$AB$58&amp;" "&amp;Milestones!$AC$58&amp;";  ","")&amp;IF(AND(EDATE($D39,Milestones!$AA$59)&lt;=AsOfDate,IF($Q39=0,$W39,IF(AND($S39&lt;&gt;"",EDATE($D39,Milestones!$AA$59)&gt;=$S39),$V39,IF(AND($R39&lt;&gt;"",EDATE($D39,Milestones!$AA$59)&gt;=$R39),$U39,$T39)))=Milestones!$AB$59),TEXT(EDATE($D39,Milestones!$AA$59),"dd/mm/yy")&amp;" "&amp;Milestones!$AB$59&amp;" "&amp;Milestones!$AC$59&amp;";  ",""))</f>
        <v/>
      </c>
      <c r="J39" s="0" t="str">
        <f aca="false">IF(OR($A39="",$D39=""),"",IF(AND(EDATE($D39,Milestones!$AA$60)&lt;=AsOfDate,IF($Q39=0,$W39,IF(AND($S39&lt;&gt;"",EDATE($D39,Milestones!$AA$60)&gt;=$S39),$V39,IF(AND($R39&lt;&gt;"",EDATE($D39,Milestones!$AA$60)&gt;=$R39),$U39,$T39)))=Milestones!$AB$60),TEXT(EDATE($D39,Milestones!$AA$60),"dd/mm/yy")&amp;" "&amp;Milestones!$AB$60&amp;" "&amp;Milestones!$AC$60&amp;";  ","")&amp;IF(AND(EDATE($D39,Milestones!$AA$61)&lt;=AsOfDate,IF($Q39=0,$W39,IF(AND($S39&lt;&gt;"",EDATE($D39,Milestones!$AA$61)&gt;=$S39),$V39,IF(AND($R39&lt;&gt;"",EDATE($D39,Milestones!$AA$61)&gt;=$R39),$U39,$T39)))=Milestones!$AB$61),TEXT(EDATE($D39,Milestones!$AA$61),"dd/mm/yy")&amp;" "&amp;Milestones!$AB$61&amp;" "&amp;Milestones!$AC$61&amp;";  ","")&amp;IF(AND(EDATE($D39,Milestones!$AA$62)&lt;=AsOfDate,IF($Q39=0,$W39,IF(AND($S39&lt;&gt;"",EDATE($D39,Milestones!$AA$62)&gt;=$S39),$V39,IF(AND($R39&lt;&gt;"",EDATE($D39,Milestones!$AA$62)&gt;=$R39),$U39,$T39)))=Milestones!$AB$62),TEXT(EDATE($D39,Milestones!$AA$62),"dd/mm/yy")&amp;" "&amp;Milestones!$AB$62&amp;" "&amp;Milestones!$AC$62&amp;";  ","")&amp;IF(AND(EDATE($D39,Milestones!$AA$63)&lt;=AsOfDate,IF($Q39=0,$W39,IF(AND($S39&lt;&gt;"",EDATE($D39,Milestones!$AA$63)&gt;=$S39),$V39,IF(AND($R39&lt;&gt;"",EDATE($D39,Milestones!$AA$63)&gt;=$R39),$U39,$T39)))=Milestones!$AB$63),TEXT(EDATE($D39,Milestones!$AA$63),"dd/mm/yy")&amp;" "&amp;Milestones!$AB$63&amp;" "&amp;Milestones!$AC$63&amp;";  ","")&amp;IF(AND(EDATE($D39,Milestones!$AA$64)&lt;=AsOfDate,IF($Q39=0,$W39,IF(AND($S39&lt;&gt;"",EDATE($D39,Milestones!$AA$64)&gt;=$S39),$V39,IF(AND($R39&lt;&gt;"",EDATE($D39,Milestones!$AA$64)&gt;=$R39),$U39,$T39)))=Milestones!$AB$64),TEXT(EDATE($D39,Milestones!$AA$64),"dd/mm/yy")&amp;" "&amp;Milestones!$AB$64&amp;" "&amp;Milestones!$AC$64&amp;";  ","")&amp;IF(AND(EDATE($D39,Milestones!$AA$65)&lt;=AsOfDate,IF($Q39=0,$W39,IF(AND($S39&lt;&gt;"",EDATE($D39,Milestones!$AA$65)&gt;=$S39),$V39,IF(AND($R39&lt;&gt;"",EDATE($D39,Milestones!$AA$65)&gt;=$R39),$U39,$T39)))=Milestones!$AB$65),TEXT(EDATE($D39,Milestones!$AA$65),"dd/mm/yy")&amp;" "&amp;Milestones!$AB$65&amp;" "&amp;Milestones!$AC$65&amp;";  ","")&amp;IF(AND(EDATE($D39,Milestones!$AA$66)&lt;=AsOfDate,IF($Q39=0,$W39,IF(AND($S39&lt;&gt;"",EDATE($D39,Milestones!$AA$66)&gt;=$S39),$V39,IF(AND($R39&lt;&gt;"",EDATE($D39,Milestones!$AA$66)&gt;=$R39),$U39,$T39)))=Milestones!$AB$66),TEXT(EDATE($D39,Milestones!$AA$66),"dd/mm/yy")&amp;" "&amp;Milestones!$AB$66&amp;" "&amp;Milestones!$AC$66&amp;";  ","")&amp;IF(AND(EDATE($D39,Milestones!$AA$67)&lt;=AsOfDate,IF($Q39=0,$W39,IF(AND($S39&lt;&gt;"",EDATE($D39,Milestones!$AA$67)&gt;=$S39),$V39,IF(AND($R39&lt;&gt;"",EDATE($D39,Milestones!$AA$67)&gt;=$R39),$U39,$T39)))=Milestones!$AB$67),TEXT(EDATE($D39,Milestones!$AA$67),"dd/mm/yy")&amp;" "&amp;Milestones!$AB$67&amp;" "&amp;Milestones!$AC$67&amp;";  ","")&amp;IF(AND(EDATE($D39,Milestones!$AA$68)&lt;=AsOfDate,IF($Q39=0,$W39,IF(AND($S39&lt;&gt;"",EDATE($D39,Milestones!$AA$68)&gt;=$S39),$V39,IF(AND($R39&lt;&gt;"",EDATE($D39,Milestones!$AA$68)&gt;=$R39),$U39,$T39)))=Milestones!$AB$68),TEXT(EDATE($D39,Milestones!$AA$68),"dd/mm/yy")&amp;" "&amp;Milestones!$AB$68&amp;" "&amp;Milestones!$AC$68&amp;";  ","")&amp;IF(AND(EDATE($D39,Milestones!$AA$69)&lt;=AsOfDate,IF($Q39=0,$W39,IF(AND($S39&lt;&gt;"",EDATE($D39,Milestones!$AA$69)&gt;=$S39),$V39,IF(AND($R39&lt;&gt;"",EDATE($D39,Milestones!$AA$69)&gt;=$R39),$U39,$T39)))=Milestones!$AB$69),TEXT(EDATE($D39,Milestones!$AA$69),"dd/mm/yy")&amp;" "&amp;Milestones!$AB$69&amp;" "&amp;Milestones!$AC$69&amp;";  ","")&amp;IF(AND(EDATE($D39,Milestones!$AA$70)&lt;=AsOfDate,IF($Q39=0,$W39,IF(AND($S39&lt;&gt;"",EDATE($D39,Milestones!$AA$70)&gt;=$S39),$V39,IF(AND($R39&lt;&gt;"",EDATE($D39,Milestones!$AA$70)&gt;=$R39),$U39,$T39)))=Milestones!$AB$70),TEXT(EDATE($D39,Milestones!$AA$70),"dd/mm/yy")&amp;" "&amp;Milestones!$AB$70&amp;" "&amp;Milestones!$AC$70&amp;";  ","")&amp;IF(AND(EDATE($D39,Milestones!$AA$71)&lt;=AsOfDate,IF($Q39=0,$W39,IF(AND($S39&lt;&gt;"",EDATE($D39,Milestones!$AA$71)&gt;=$S39),$V39,IF(AND($R39&lt;&gt;"",EDATE($D39,Milestones!$AA$71)&gt;=$R39),$U39,$T39)))=Milestones!$AB$71),TEXT(EDATE($D39,Milestones!$AA$71),"dd/mm/yy")&amp;" "&amp;Milestones!$AB$71&amp;" "&amp;Milestones!$AC$71&amp;";  ","")&amp;IF(AND(EDATE($D39,Milestones!$AA$72)&lt;=AsOfDate,IF($Q39=0,$W39,IF(AND($S39&lt;&gt;"",EDATE($D39,Milestones!$AA$72)&gt;=$S39),$V39,IF(AND($R39&lt;&gt;"",EDATE($D39,Milestones!$AA$72)&gt;=$R39),$U39,$T39)))=Milestones!$AB$72),TEXT(EDATE($D39,Milestones!$AA$72),"dd/mm/yy")&amp;" "&amp;Milestones!$AB$72&amp;" "&amp;Milestones!$AC$72&amp;";  ","")&amp;IF(AND(EDATE($D39,Milestones!$AA$73)&lt;=AsOfDate,IF($Q39=0,$W39,IF(AND($S39&lt;&gt;"",EDATE($D39,Milestones!$AA$73)&gt;=$S39),$V39,IF(AND($R39&lt;&gt;"",EDATE($D39,Milestones!$AA$73)&gt;=$R39),$U39,$T39)))=Milestones!$AB$73),TEXT(EDATE($D39,Milestones!$AA$73),"dd/mm/yy")&amp;" "&amp;Milestones!$AB$73&amp;" "&amp;Milestones!$AC$73&amp;";  ","")&amp;IF(AND(EDATE($D39,Milestones!$AA$74)&lt;=AsOfDate,IF($Q39=0,$W39,IF(AND($S39&lt;&gt;"",EDATE($D39,Milestones!$AA$74)&gt;=$S39),$V39,IF(AND($R39&lt;&gt;"",EDATE($D39,Milestones!$AA$74)&gt;=$R39),$U39,$T39)))=Milestones!$AB$74),TEXT(EDATE($D39,Milestones!$AA$74),"dd/mm/yy")&amp;" "&amp;Milestones!$AB$74&amp;" "&amp;Milestones!$AC$74&amp;";  ","")&amp;IF(AND(EDATE($D39,Milestones!$AA$75)&lt;=AsOfDate,IF($Q39=0,$W39,IF(AND($S39&lt;&gt;"",EDATE($D39,Milestones!$AA$75)&gt;=$S39),$V39,IF(AND($R39&lt;&gt;"",EDATE($D39,Milestones!$AA$75)&gt;=$R39),$U39,$T39)))=Milestones!$AB$75),TEXT(EDATE($D39,Milestones!$AA$75),"dd/mm/yy")&amp;" "&amp;Milestones!$AB$75&amp;" "&amp;Milestones!$AC$75&amp;";  ","")&amp;IF(AND(EDATE($D39,Milestones!$AA$76)&lt;=AsOfDate,IF($Q39=0,$W39,IF(AND($S39&lt;&gt;"",EDATE($D39,Milestones!$AA$76)&gt;=$S39),$V39,IF(AND($R39&lt;&gt;"",EDATE($D39,Milestones!$AA$76)&gt;=$R39),$U39,$T39)))=Milestones!$AB$76),TEXT(EDATE($D39,Milestones!$AA$76),"dd/mm/yy")&amp;" "&amp;Milestones!$AB$76&amp;" "&amp;Milestones!$AC$76&amp;";  ","")&amp;IF(AND(EDATE($D39,Milestones!$AA$77)&lt;=AsOfDate,IF($Q39=0,$W39,IF(AND($S39&lt;&gt;"",EDATE($D39,Milestones!$AA$77)&gt;=$S39),$V39,IF(AND($R39&lt;&gt;"",EDATE($D39,Milestones!$AA$77)&gt;=$R39),$U39,$T39)))=Milestones!$AB$77),TEXT(EDATE($D39,Milestones!$AA$77),"dd/mm/yy")&amp;" "&amp;Milestones!$AB$77&amp;" "&amp;Milestones!$AC$77&amp;";  ","")&amp;IF(AND(EDATE($D39,Milestones!$AA$78)&lt;=AsOfDate,IF($Q39=0,$W39,IF(AND($S39&lt;&gt;"",EDATE($D39,Milestones!$AA$78)&gt;=$S39),$V39,IF(AND($R39&lt;&gt;"",EDATE($D39,Milestones!$AA$78)&gt;=$R39),$U39,$T39)))=Milestones!$AB$78),TEXT(EDATE($D39,Milestones!$AA$78),"dd/mm/yy")&amp;" "&amp;Milestones!$AB$78&amp;" "&amp;Milestones!$AC$78&amp;";  ","")&amp;IF(AND(EDATE($D39,Milestones!$AA$79)&lt;=AsOfDate,IF($Q39=0,$W39,IF(AND($S39&lt;&gt;"",EDATE($D39,Milestones!$AA$79)&gt;=$S39),$V39,IF(AND($R39&lt;&gt;"",EDATE($D39,Milestones!$AA$79)&gt;=$R39),$U39,$T39)))=Milestones!$AB$79),TEXT(EDATE($D39,Milestones!$AA$79),"dd/mm/yy")&amp;" "&amp;Milestones!$AB$79&amp;" "&amp;Milestones!$AC$79&amp;";  ",""))</f>
        <v/>
      </c>
      <c r="K39" s="0" t="str">
        <f aca="false">IF(OR($A39="",$D39=""),"",IF(AND(EDATE($D39,Milestones!$AA$80)&lt;=AsOfDate,IF($Q39=0,$W39,IF(AND($S39&lt;&gt;"",EDATE($D39,Milestones!$AA$80)&gt;=$S39),$V39,IF(AND($R39&lt;&gt;"",EDATE($D39,Milestones!$AA$80)&gt;=$R39),$U39,$T39)))=Milestones!$AB$80),TEXT(EDATE($D39,Milestones!$AA$80),"dd/mm/yy")&amp;" "&amp;Milestones!$AB$80&amp;" "&amp;Milestones!$AC$80&amp;";  ","")&amp;IF(AND(EDATE($D39,Milestones!$AA$81)&lt;=AsOfDate,IF($Q39=0,$W39,IF(AND($S39&lt;&gt;"",EDATE($D39,Milestones!$AA$81)&gt;=$S39),$V39,IF(AND($R39&lt;&gt;"",EDATE($D39,Milestones!$AA$81)&gt;=$R39),$U39,$T39)))=Milestones!$AB$81),TEXT(EDATE($D39,Milestones!$AA$81),"dd/mm/yy")&amp;" "&amp;Milestones!$AB$81&amp;" "&amp;Milestones!$AC$81&amp;";  ","")&amp;IF(AND(EDATE($D39,Milestones!$AA$82)&lt;=AsOfDate,IF($Q39=0,$W39,IF(AND($S39&lt;&gt;"",EDATE($D39,Milestones!$AA$82)&gt;=$S39),$V39,IF(AND($R39&lt;&gt;"",EDATE($D39,Milestones!$AA$82)&gt;=$R39),$U39,$T39)))=Milestones!$AB$82),TEXT(EDATE($D39,Milestones!$AA$82),"dd/mm/yy")&amp;" "&amp;Milestones!$AB$82&amp;" "&amp;Milestones!$AC$82&amp;";  ","")&amp;IF(AND(EDATE($D39,Milestones!$AA$83)&lt;=AsOfDate,IF($Q39=0,$W39,IF(AND($S39&lt;&gt;"",EDATE($D39,Milestones!$AA$83)&gt;=$S39),$V39,IF(AND($R39&lt;&gt;"",EDATE($D39,Milestones!$AA$83)&gt;=$R39),$U39,$T39)))=Milestones!$AB$83),TEXT(EDATE($D39,Milestones!$AA$83),"dd/mm/yy")&amp;" "&amp;Milestones!$AB$83&amp;" "&amp;Milestones!$AC$83&amp;";  ","")&amp;IF(AND(EDATE($D39,Milestones!$AA$84)&lt;=AsOfDate,IF($Q39=0,$W39,IF(AND($S39&lt;&gt;"",EDATE($D39,Milestones!$AA$84)&gt;=$S39),$V39,IF(AND($R39&lt;&gt;"",EDATE($D39,Milestones!$AA$84)&gt;=$R39),$U39,$T39)))=Milestones!$AB$84),TEXT(EDATE($D39,Milestones!$AA$84),"dd/mm/yy")&amp;" "&amp;Milestones!$AB$84&amp;" "&amp;Milestones!$AC$84&amp;";  ","")&amp;IF(AND(EDATE($D39,Milestones!$AA$85)&lt;=AsOfDate,IF($Q39=0,$W39,IF(AND($S39&lt;&gt;"",EDATE($D39,Milestones!$AA$85)&gt;=$S39),$V39,IF(AND($R39&lt;&gt;"",EDATE($D39,Milestones!$AA$85)&gt;=$R39),$U39,$T39)))=Milestones!$AB$85),TEXT(EDATE($D39,Milestones!$AA$85),"dd/mm/yy")&amp;" "&amp;Milestones!$AB$85&amp;" "&amp;Milestones!$AC$85&amp;";  ","")&amp;IF(AND(EDATE($D39,Milestones!$AA$86)&lt;=AsOfDate,IF($Q39=0,$W39,IF(AND($S39&lt;&gt;"",EDATE($D39,Milestones!$AA$86)&gt;=$S39),$V39,IF(AND($R39&lt;&gt;"",EDATE($D39,Milestones!$AA$86)&gt;=$R39),$U39,$T39)))=Milestones!$AB$86),TEXT(EDATE($D39,Milestones!$AA$86),"dd/mm/yy")&amp;" "&amp;Milestones!$AB$86&amp;" "&amp;Milestones!$AC$86&amp;";  ","")&amp;IF(AND(EDATE($D39,Milestones!$AA$87)&lt;=AsOfDate,IF($Q39=0,$W39,IF(AND($S39&lt;&gt;"",EDATE($D39,Milestones!$AA$87)&gt;=$S39),$V39,IF(AND($R39&lt;&gt;"",EDATE($D39,Milestones!$AA$87)&gt;=$R39),$U39,$T39)))=Milestones!$AB$87),TEXT(EDATE($D39,Milestones!$AA$87),"dd/mm/yy")&amp;" "&amp;Milestones!$AB$87&amp;" "&amp;Milestones!$AC$87&amp;";  ","")&amp;IF(AND(EDATE($D39,Milestones!$AA$88)&lt;=AsOfDate,IF($Q39=0,$W39,IF(AND($S39&lt;&gt;"",EDATE($D39,Milestones!$AA$88)&gt;=$S39),$V39,IF(AND($R39&lt;&gt;"",EDATE($D39,Milestones!$AA$88)&gt;=$R39),$U39,$T39)))=Milestones!$AB$88),TEXT(EDATE($D39,Milestones!$AA$88),"dd/mm/yy")&amp;" "&amp;Milestones!$AB$88&amp;" "&amp;Milestones!$AC$88&amp;";  ","")&amp;IF(AND(EDATE($D39,Milestones!$AA$89)&lt;=AsOfDate,IF($Q39=0,$W39,IF(AND($S39&lt;&gt;"",EDATE($D39,Milestones!$AA$89)&gt;=$S39),$V39,IF(AND($R39&lt;&gt;"",EDATE($D39,Milestones!$AA$89)&gt;=$R39),$U39,$T39)))=Milestones!$AB$89),TEXT(EDATE($D39,Milestones!$AA$89),"dd/mm/yy")&amp;" "&amp;Milestones!$AB$89&amp;" "&amp;Milestones!$AC$89&amp;";  ","")&amp;IF(AND(EDATE($D39,Milestones!$AA$90)&lt;=AsOfDate,IF($Q39=0,$W39,IF(AND($S39&lt;&gt;"",EDATE($D39,Milestones!$AA$90)&gt;=$S39),$V39,IF(AND($R39&lt;&gt;"",EDATE($D39,Milestones!$AA$90)&gt;=$R39),$U39,$T39)))=Milestones!$AB$90),TEXT(EDATE($D39,Milestones!$AA$90),"dd/mm/yy")&amp;" "&amp;Milestones!$AB$90&amp;" "&amp;Milestones!$AC$90&amp;";  ","")&amp;IF(AND(EDATE($D39,Milestones!$AA$91)&lt;=AsOfDate,IF($Q39=0,$W39,IF(AND($S39&lt;&gt;"",EDATE($D39,Milestones!$AA$91)&gt;=$S39),$V39,IF(AND($R39&lt;&gt;"",EDATE($D39,Milestones!$AA$91)&gt;=$R39),$U39,$T39)))=Milestones!$AB$91),TEXT(EDATE($D39,Milestones!$AA$91),"dd/mm/yy")&amp;" "&amp;Milestones!$AB$91&amp;" "&amp;Milestones!$AC$91&amp;";  ","")&amp;IF(AND(EDATE($D39,Milestones!$AA$92)&lt;=AsOfDate,IF($Q39=0,$W39,IF(AND($S39&lt;&gt;"",EDATE($D39,Milestones!$AA$92)&gt;=$S39),$V39,IF(AND($R39&lt;&gt;"",EDATE($D39,Milestones!$AA$92)&gt;=$R39),$U39,$T39)))=Milestones!$AB$92),TEXT(EDATE($D39,Milestones!$AA$92),"dd/mm/yy")&amp;" "&amp;Milestones!$AB$92&amp;" "&amp;Milestones!$AC$92&amp;";  ","")&amp;IF(AND(EDATE($D39,Milestones!$AA$93)&lt;=AsOfDate,IF($Q39=0,$W39,IF(AND($S39&lt;&gt;"",EDATE($D39,Milestones!$AA$93)&gt;=$S39),$V39,IF(AND($R39&lt;&gt;"",EDATE($D39,Milestones!$AA$93)&gt;=$R39),$U39,$T39)))=Milestones!$AB$93),TEXT(EDATE($D39,Milestones!$AA$93),"dd/mm/yy")&amp;" "&amp;Milestones!$AB$93&amp;" "&amp;Milestones!$AC$93&amp;";  ","")&amp;IF(AND(EDATE($D39,Milestones!$AA$94)&lt;=AsOfDate,IF($Q39=0,$W39,IF(AND($S39&lt;&gt;"",EDATE($D39,Milestones!$AA$94)&gt;=$S39),$V39,IF(AND($R39&lt;&gt;"",EDATE($D39,Milestones!$AA$94)&gt;=$R39),$U39,$T39)))=Milestones!$AB$94),TEXT(EDATE($D39,Milestones!$AA$94),"dd/mm/yy")&amp;" "&amp;Milestones!$AB$94&amp;" "&amp;Milestones!$AC$94&amp;";  ","")&amp;IF(AND(EDATE($D39,Milestones!$AA$95)&lt;=AsOfDate,IF($Q39=0,$W39,IF(AND($S39&lt;&gt;"",EDATE($D39,Milestones!$AA$95)&gt;=$S39),$V39,IF(AND($R39&lt;&gt;"",EDATE($D39,Milestones!$AA$95)&gt;=$R39),$U39,$T39)))=Milestones!$AB$95),TEXT(EDATE($D39,Milestones!$AA$95),"dd/mm/yy")&amp;" "&amp;Milestones!$AB$95&amp;" "&amp;Milestones!$AC$95&amp;";  ","")&amp;IF(AND(EDATE($D39,Milestones!$AA$96)&lt;=AsOfDate,IF($Q39=0,$W39,IF(AND($S39&lt;&gt;"",EDATE($D39,Milestones!$AA$96)&gt;=$S39),$V39,IF(AND($R39&lt;&gt;"",EDATE($D39,Milestones!$AA$96)&gt;=$R39),$U39,$T39)))=Milestones!$AB$96),TEXT(EDATE($D39,Milestones!$AA$96),"dd/mm/yy")&amp;" "&amp;Milestones!$AB$96&amp;" "&amp;Milestones!$AC$96&amp;";  ","")&amp;IF(AND(EDATE($D39,Milestones!$AA$97)&lt;=AsOfDate,IF($Q39=0,$W39,IF(AND($S39&lt;&gt;"",EDATE($D39,Milestones!$AA$97)&gt;=$S39),$V39,IF(AND($R39&lt;&gt;"",EDATE($D39,Milestones!$AA$97)&gt;=$R39),$U39,$T39)))=Milestones!$AB$97),TEXT(EDATE($D39,Milestones!$AA$97),"dd/mm/yy")&amp;" "&amp;Milestones!$AB$97&amp;" "&amp;Milestones!$AC$97&amp;";  ","")&amp;IF(AND(EDATE($D39,Milestones!$AA$98)&lt;=AsOfDate,IF($Q39=0,$W39,IF(AND($S39&lt;&gt;"",EDATE($D39,Milestones!$AA$98)&gt;=$S39),$V39,IF(AND($R39&lt;&gt;"",EDATE($D39,Milestones!$AA$98)&gt;=$R39),$U39,$T39)))=Milestones!$AB$98),TEXT(EDATE($D39,Milestones!$AA$98),"dd/mm/yy")&amp;" "&amp;Milestones!$AB$98&amp;" "&amp;Milestones!$AC$98&amp;";  ","")&amp;IF(AND(EDATE($D39,Milestones!$AA$99)&lt;=AsOfDate,IF($Q39=0,$W39,IF(AND($S39&lt;&gt;"",EDATE($D39,Milestones!$AA$99)&gt;=$S39),$V39,IF(AND($R39&lt;&gt;"",EDATE($D39,Milestones!$AA$99)&gt;=$R39),$U39,$T39)))=Milestones!$AB$99),TEXT(EDATE($D39,Milestones!$AA$99),"dd/mm/yy")&amp;" "&amp;Milestones!$AB$99&amp;" "&amp;Milestones!$AC$99&amp;";  ",""))</f>
        <v/>
      </c>
      <c r="L39" s="0" t="str">
        <f aca="false">IF(OR($A39="",$D39=""),"",IF(AND(EDATE($D39,Milestones!$AA$100)&lt;=AsOfDate,IF($Q39=0,$W39,IF(AND($S39&lt;&gt;"",EDATE($D39,Milestones!$AA$100)&gt;=$S39),$V39,IF(AND($R39&lt;&gt;"",EDATE($D39,Milestones!$AA$100)&gt;=$R39),$U39,$T39)))=Milestones!$AB$100),TEXT(EDATE($D39,Milestones!$AA$100),"dd/mm/yy")&amp;" "&amp;Milestones!$AB$100&amp;" "&amp;Milestones!$AC$100&amp;";  ","")&amp;IF(AND(EDATE($D39,Milestones!$AA$101)&lt;=AsOfDate,IF($Q39=0,$W39,IF(AND($S39&lt;&gt;"",EDATE($D39,Milestones!$AA$101)&gt;=$S39),$V39,IF(AND($R39&lt;&gt;"",EDATE($D39,Milestones!$AA$101)&gt;=$R39),$U39,$T39)))=Milestones!$AB$101),TEXT(EDATE($D39,Milestones!$AA$101),"dd/mm/yy")&amp;" "&amp;Milestones!$AB$101&amp;" "&amp;Milestones!$AC$101&amp;";  ","")&amp;IF(AND(EDATE($D39,Milestones!$AA$102)&lt;=AsOfDate,IF($Q39=0,$W39,IF(AND($S39&lt;&gt;"",EDATE($D39,Milestones!$AA$102)&gt;=$S39),$V39,IF(AND($R39&lt;&gt;"",EDATE($D39,Milestones!$AA$102)&gt;=$R39),$U39,$T39)))=Milestones!$AB$102),TEXT(EDATE($D39,Milestones!$AA$102),"dd/mm/yy")&amp;" "&amp;Milestones!$AB$102&amp;" "&amp;Milestones!$AC$102&amp;";  ","")&amp;IF(AND(EDATE($D39,Milestones!$AA$103)&lt;=AsOfDate,IF($Q39=0,$W39,IF(AND($S39&lt;&gt;"",EDATE($D39,Milestones!$AA$103)&gt;=$S39),$V39,IF(AND($R39&lt;&gt;"",EDATE($D39,Milestones!$AA$103)&gt;=$R39),$U39,$T39)))=Milestones!$AB$103),TEXT(EDATE($D39,Milestones!$AA$103),"dd/mm/yy")&amp;" "&amp;Milestones!$AB$103&amp;" "&amp;Milestones!$AC$103&amp;";  ","")&amp;IF(AND(EDATE($D39,Milestones!$AA$104)&lt;=AsOfDate,IF($Q39=0,$W39,IF(AND($S39&lt;&gt;"",EDATE($D39,Milestones!$AA$104)&gt;=$S39),$V39,IF(AND($R39&lt;&gt;"",EDATE($D39,Milestones!$AA$104)&gt;=$R39),$U39,$T39)))=Milestones!$AB$104),TEXT(EDATE($D39,Milestones!$AA$104),"dd/mm/yy")&amp;" "&amp;Milestones!$AB$104&amp;" "&amp;Milestones!$AC$104&amp;";  ","")&amp;IF(AND(EDATE($D39,Milestones!$AA$105)&lt;=AsOfDate,IF($Q39=0,$W39,IF(AND($S39&lt;&gt;"",EDATE($D39,Milestones!$AA$105)&gt;=$S39),$V39,IF(AND($R39&lt;&gt;"",EDATE($D39,Milestones!$AA$105)&gt;=$R39),$U39,$T39)))=Milestones!$AB$105),TEXT(EDATE($D39,Milestones!$AA$105),"dd/mm/yy")&amp;" "&amp;Milestones!$AB$105&amp;" "&amp;Milestones!$AC$105&amp;";  ","")&amp;IF(AND(EDATE($D39,Milestones!$AA$106)&lt;=AsOfDate,IF($Q39=0,$W39,IF(AND($S39&lt;&gt;"",EDATE($D39,Milestones!$AA$106)&gt;=$S39),$V39,IF(AND($R39&lt;&gt;"",EDATE($D39,Milestones!$AA$106)&gt;=$R39),$U39,$T39)))=Milestones!$AB$106),TEXT(EDATE($D39,Milestones!$AA$106),"dd/mm/yy")&amp;" "&amp;Milestones!$AB$106&amp;" "&amp;Milestones!$AC$106&amp;";  ","")&amp;IF(AND(EDATE($D39,Milestones!$AA$107)&lt;=AsOfDate,IF($Q39=0,$W39,IF(AND($S39&lt;&gt;"",EDATE($D39,Milestones!$AA$107)&gt;=$S39),$V39,IF(AND($R39&lt;&gt;"",EDATE($D39,Milestones!$AA$107)&gt;=$R39),$U39,$T39)))=Milestones!$AB$107),TEXT(EDATE($D39,Milestones!$AA$107),"dd/mm/yy")&amp;" "&amp;Milestones!$AB$107&amp;" "&amp;Milestones!$AC$107&amp;";  ","")&amp;IF(AND(EDATE($D39,Milestones!$AA$108)&lt;=AsOfDate,IF($Q39=0,$W39,IF(AND($S39&lt;&gt;"",EDATE($D39,Milestones!$AA$108)&gt;=$S39),$V39,IF(AND($R39&lt;&gt;"",EDATE($D39,Milestones!$AA$108)&gt;=$R39),$U39,$T39)))=Milestones!$AB$108),TEXT(EDATE($D39,Milestones!$AA$108),"dd/mm/yy")&amp;" "&amp;Milestones!$AB$108&amp;" "&amp;Milestones!$AC$108&amp;";  ","")&amp;IF(AND(EDATE($D39,Milestones!$AA$109)&lt;=AsOfDate,IF($Q39=0,$W39,IF(AND($S39&lt;&gt;"",EDATE($D39,Milestones!$AA$109)&gt;=$S39),$V39,IF(AND($R39&lt;&gt;"",EDATE($D39,Milestones!$AA$109)&gt;=$R39),$U39,$T39)))=Milestones!$AB$109),TEXT(EDATE($D39,Milestones!$AA$109),"dd/mm/yy")&amp;" "&amp;Milestones!$AB$109&amp;" "&amp;Milestones!$AC$109&amp;";  ","")&amp;IF(AND(EDATE($D39,Milestones!$AA$110)&lt;=AsOfDate,IF($Q39=0,$W39,IF(AND($S39&lt;&gt;"",EDATE($D39,Milestones!$AA$110)&gt;=$S39),$V39,IF(AND($R39&lt;&gt;"",EDATE($D39,Milestones!$AA$110)&gt;=$R39),$U39,$T39)))=Milestones!$AB$110),TEXT(EDATE($D39,Milestones!$AA$110),"dd/mm/yy")&amp;" "&amp;Milestones!$AB$110&amp;" "&amp;Milestones!$AC$110&amp;";  ","")&amp;IF(AND(EDATE($D39,Milestones!$AA$111)&lt;=AsOfDate,IF($Q39=0,$W39,IF(AND($S39&lt;&gt;"",EDATE($D39,Milestones!$AA$111)&gt;=$S39),$V39,IF(AND($R39&lt;&gt;"",EDATE($D39,Milestones!$AA$111)&gt;=$R39),$U39,$T39)))=Milestones!$AB$111),TEXT(EDATE($D39,Milestones!$AA$111),"dd/mm/yy")&amp;" "&amp;Milestones!$AB$111&amp;" "&amp;Milestones!$AC$111&amp;";  ","")&amp;IF(AND(EDATE($D39,Milestones!$AA$112)&lt;=AsOfDate,IF($Q39=0,$W39,IF(AND($S39&lt;&gt;"",EDATE($D39,Milestones!$AA$112)&gt;=$S39),$V39,IF(AND($R39&lt;&gt;"",EDATE($D39,Milestones!$AA$112)&gt;=$R39),$U39,$T39)))=Milestones!$AB$112),TEXT(EDATE($D39,Milestones!$AA$112),"dd/mm/yy")&amp;" "&amp;Milestones!$AB$112&amp;" "&amp;Milestones!$AC$112&amp;";  ","")&amp;IF(AND(EDATE($D39,Milestones!$AA$113)&lt;=AsOfDate,IF($Q39=0,$W39,IF(AND($S39&lt;&gt;"",EDATE($D39,Milestones!$AA$113)&gt;=$S39),$V39,IF(AND($R39&lt;&gt;"",EDATE($D39,Milestones!$AA$113)&gt;=$R39),$U39,$T39)))=Milestones!$AB$113),TEXT(EDATE($D39,Milestones!$AA$113),"dd/mm/yy")&amp;" "&amp;Milestones!$AB$113&amp;" "&amp;Milestones!$AC$113&amp;";  ","")&amp;IF(AND(EDATE($D39,Milestones!$AA$114)&lt;=AsOfDate,IF($Q39=0,$W39,IF(AND($S39&lt;&gt;"",EDATE($D39,Milestones!$AA$114)&gt;=$S39),$V39,IF(AND($R39&lt;&gt;"",EDATE($D39,Milestones!$AA$114)&gt;=$R39),$U39,$T39)))=Milestones!$AB$114),TEXT(EDATE($D39,Milestones!$AA$114),"dd/mm/yy")&amp;" "&amp;Milestones!$AB$114&amp;" "&amp;Milestones!$AC$114&amp;";  ","")&amp;IF(AND(EDATE($D39,Milestones!$AA$115)&lt;=AsOfDate,IF($Q39=0,$W39,IF(AND($S39&lt;&gt;"",EDATE($D39,Milestones!$AA$115)&gt;=$S39),$V39,IF(AND($R39&lt;&gt;"",EDATE($D39,Milestones!$AA$115)&gt;=$R39),$U39,$T39)))=Milestones!$AB$115),TEXT(EDATE($D39,Milestones!$AA$115),"dd/mm/yy")&amp;" "&amp;Milestones!$AB$115&amp;" "&amp;Milestones!$AC$115&amp;";  ","")&amp;IF(AND(EDATE($D39,Milestones!$AA$116)&lt;=AsOfDate,IF($Q39=0,$W39,IF(AND($S39&lt;&gt;"",EDATE($D39,Milestones!$AA$116)&gt;=$S39),$V39,IF(AND($R39&lt;&gt;"",EDATE($D39,Milestones!$AA$116)&gt;=$R39),$U39,$T39)))=Milestones!$AB$116),TEXT(EDATE($D39,Milestones!$AA$116),"dd/mm/yy")&amp;" "&amp;Milestones!$AB$116&amp;" "&amp;Milestones!$AC$116&amp;";  ","")&amp;IF(AND(EDATE($D39,Milestones!$AA$117)&lt;=AsOfDate,IF($Q39=0,$W39,IF(AND($S39&lt;&gt;"",EDATE($D39,Milestones!$AA$117)&gt;=$S39),$V39,IF(AND($R39&lt;&gt;"",EDATE($D39,Milestones!$AA$117)&gt;=$R39),$U39,$T39)))=Milestones!$AB$117),TEXT(EDATE($D39,Milestones!$AA$117),"dd/mm/yy")&amp;" "&amp;Milestones!$AB$117&amp;" "&amp;Milestones!$AC$117&amp;";  ","")&amp;IF(AND(EDATE($D39,Milestones!$AA$118)&lt;=AsOfDate,IF($Q39=0,$W39,IF(AND($S39&lt;&gt;"",EDATE($D39,Milestones!$AA$118)&gt;=$S39),$V39,IF(AND($R39&lt;&gt;"",EDATE($D39,Milestones!$AA$118)&gt;=$R39),$U39,$T39)))=Milestones!$AB$118),TEXT(EDATE($D39,Milestones!$AA$118),"dd/mm/yy")&amp;" "&amp;Milestones!$AB$118&amp;" "&amp;Milestones!$AC$118&amp;";  ","")&amp;IF(AND(EDATE($D39,Milestones!$AA$119)&lt;=AsOfDate,IF($Q39=0,$W39,IF(AND($S39&lt;&gt;"",EDATE($D39,Milestones!$AA$119)&gt;=$S39),$V39,IF(AND($R39&lt;&gt;"",EDATE($D39,Milestones!$AA$119)&gt;=$R39),$U39,$T39)))=Milestones!$AB$119),TEXT(EDATE($D39,Milestones!$AA$119),"dd/mm/yy")&amp;" "&amp;Milestones!$AB$119&amp;" "&amp;Milestones!$AC$119&amp;";  ",""))</f>
        <v/>
      </c>
      <c r="M39" s="0" t="str">
        <f aca="false">IF(OR($A39="",$D39=""),"",IF(AND(EDATE($D39,Milestones!$AA$120)&lt;=AsOfDate,IF($Q39=0,$W39,IF(AND($S39&lt;&gt;"",EDATE($D39,Milestones!$AA$120)&gt;=$S39),$V39,IF(AND($R39&lt;&gt;"",EDATE($D39,Milestones!$AA$120)&gt;=$R39),$U39,$T39)))=Milestones!$AB$120),TEXT(EDATE($D39,Milestones!$AA$120),"dd/mm/yy")&amp;" "&amp;Milestones!$AB$120&amp;" "&amp;Milestones!$AC$120&amp;";  ","")&amp;IF(AND(EDATE($D39,Milestones!$AA$121)&lt;=AsOfDate,IF($Q39=0,$W39,IF(AND($S39&lt;&gt;"",EDATE($D39,Milestones!$AA$121)&gt;=$S39),$V39,IF(AND($R39&lt;&gt;"",EDATE($D39,Milestones!$AA$121)&gt;=$R39),$U39,$T39)))=Milestones!$AB$121),TEXT(EDATE($D39,Milestones!$AA$121),"dd/mm/yy")&amp;" "&amp;Milestones!$AB$121&amp;" "&amp;Milestones!$AC$121&amp;";  ","")&amp;IF(AND(EDATE($D39,Milestones!$AA$122)&lt;=AsOfDate,IF($Q39=0,$W39,IF(AND($S39&lt;&gt;"",EDATE($D39,Milestones!$AA$122)&gt;=$S39),$V39,IF(AND($R39&lt;&gt;"",EDATE($D39,Milestones!$AA$122)&gt;=$R39),$U39,$T39)))=Milestones!$AB$122),TEXT(EDATE($D39,Milestones!$AA$122),"dd/mm/yy")&amp;" "&amp;Milestones!$AB$122&amp;" "&amp;Milestones!$AC$122&amp;";  ","")&amp;IF(AND(EDATE($D39,Milestones!$AA$123)&lt;=AsOfDate,IF($Q39=0,$W39,IF(AND($S39&lt;&gt;"",EDATE($D39,Milestones!$AA$123)&gt;=$S39),$V39,IF(AND($R39&lt;&gt;"",EDATE($D39,Milestones!$AA$123)&gt;=$R39),$U39,$T39)))=Milestones!$AB$123),TEXT(EDATE($D39,Milestones!$AA$123),"dd/mm/yy")&amp;" "&amp;Milestones!$AB$123&amp;" "&amp;Milestones!$AC$123&amp;";  ","")&amp;IF(AND(EDATE($D39,Milestones!$AA$124)&lt;=AsOfDate,IF($Q39=0,$W39,IF(AND($S39&lt;&gt;"",EDATE($D39,Milestones!$AA$124)&gt;=$S39),$V39,IF(AND($R39&lt;&gt;"",EDATE($D39,Milestones!$AA$124)&gt;=$R39),$U39,$T39)))=Milestones!$AB$124),TEXT(EDATE($D39,Milestones!$AA$124),"dd/mm/yy")&amp;" "&amp;Milestones!$AB$124&amp;" "&amp;Milestones!$AC$124&amp;";  ","")&amp;IF(AND(EDATE($D39,Milestones!$AA$125)&lt;=AsOfDate,IF($Q39=0,$W39,IF(AND($S39&lt;&gt;"",EDATE($D39,Milestones!$AA$125)&gt;=$S39),$V39,IF(AND($R39&lt;&gt;"",EDATE($D39,Milestones!$AA$125)&gt;=$R39),$U39,$T39)))=Milestones!$AB$125),TEXT(EDATE($D39,Milestones!$AA$125),"dd/mm/yy")&amp;" "&amp;Milestones!$AB$125&amp;" "&amp;Milestones!$AC$125&amp;";  ","")&amp;IF(AND(EDATE($D39,Milestones!$AA$126)&lt;=AsOfDate,IF($Q39=0,$W39,IF(AND($S39&lt;&gt;"",EDATE($D39,Milestones!$AA$126)&gt;=$S39),$V39,IF(AND($R39&lt;&gt;"",EDATE($D39,Milestones!$AA$126)&gt;=$R39),$U39,$T39)))=Milestones!$AB$126),TEXT(EDATE($D39,Milestones!$AA$126),"dd/mm/yy")&amp;" "&amp;Milestones!$AB$126&amp;" "&amp;Milestones!$AC$126&amp;";  ","")&amp;IF(AND(EDATE($D39,Milestones!$AA$127)&lt;=AsOfDate,IF($Q39=0,$W39,IF(AND($S39&lt;&gt;"",EDATE($D39,Milestones!$AA$127)&gt;=$S39),$V39,IF(AND($R39&lt;&gt;"",EDATE($D39,Milestones!$AA$127)&gt;=$R39),$U39,$T39)))=Milestones!$AB$127),TEXT(EDATE($D39,Milestones!$AA$127),"dd/mm/yy")&amp;" "&amp;Milestones!$AB$127&amp;" "&amp;Milestones!$AC$127&amp;";  ","")&amp;IF(AND(EDATE($D39,Milestones!$AA$128)&lt;=AsOfDate,IF($Q39=0,$W39,IF(AND($S39&lt;&gt;"",EDATE($D39,Milestones!$AA$128)&gt;=$S39),$V39,IF(AND($R39&lt;&gt;"",EDATE($D39,Milestones!$AA$128)&gt;=$R39),$U39,$T39)))=Milestones!$AB$128),TEXT(EDATE($D39,Milestones!$AA$128),"dd/mm/yy")&amp;" "&amp;Milestones!$AB$128&amp;" "&amp;Milestones!$AC$128&amp;";  ","")&amp;IF(AND(EDATE($D39,Milestones!$AA$129)&lt;=AsOfDate,IF($Q39=0,$W39,IF(AND($S39&lt;&gt;"",EDATE($D39,Milestones!$AA$129)&gt;=$S39),$V39,IF(AND($R39&lt;&gt;"",EDATE($D39,Milestones!$AA$129)&gt;=$R39),$U39,$T39)))=Milestones!$AB$129),TEXT(EDATE($D39,Milestones!$AA$129),"dd/mm/yy")&amp;" "&amp;Milestones!$AB$129&amp;" "&amp;Milestones!$AC$129&amp;";  ","")&amp;IF(AND(EDATE($D39,Milestones!$AA$130)&lt;=AsOfDate,IF($Q39=0,$W39,IF(AND($S39&lt;&gt;"",EDATE($D39,Milestones!$AA$130)&gt;=$S39),$V39,IF(AND($R39&lt;&gt;"",EDATE($D39,Milestones!$AA$130)&gt;=$R39),$U39,$T39)))=Milestones!$AB$130),TEXT(EDATE($D39,Milestones!$AA$130),"dd/mm/yy")&amp;" "&amp;Milestones!$AB$130&amp;" "&amp;Milestones!$AC$130&amp;";  ","")&amp;IF(AND(EDATE($D39,Milestones!$AA$131)&lt;=AsOfDate,IF($Q39=0,$W39,IF(AND($S39&lt;&gt;"",EDATE($D39,Milestones!$AA$131)&gt;=$S39),$V39,IF(AND($R39&lt;&gt;"",EDATE($D39,Milestones!$AA$131)&gt;=$R39),$U39,$T39)))=Milestones!$AB$131),TEXT(EDATE($D39,Milestones!$AA$131),"dd/mm/yy")&amp;" "&amp;Milestones!$AB$131&amp;" "&amp;Milestones!$AC$131&amp;";  ","")&amp;IF(AND(EDATE($D39,Milestones!$AA$132)&lt;=AsOfDate,IF($Q39=0,$W39,IF(AND($S39&lt;&gt;"",EDATE($D39,Milestones!$AA$132)&gt;=$S39),$V39,IF(AND($R39&lt;&gt;"",EDATE($D39,Milestones!$AA$132)&gt;=$R39),$U39,$T39)))=Milestones!$AB$132),TEXT(EDATE($D39,Milestones!$AA$132),"dd/mm/yy")&amp;" "&amp;Milestones!$AB$132&amp;" "&amp;Milestones!$AC$132&amp;";  ","")&amp;IF(AND(EDATE($D39,Milestones!$AA$133)&lt;=AsOfDate,IF($Q39=0,$W39,IF(AND($S39&lt;&gt;"",EDATE($D39,Milestones!$AA$133)&gt;=$S39),$V39,IF(AND($R39&lt;&gt;"",EDATE($D39,Milestones!$AA$133)&gt;=$R39),$U39,$T39)))=Milestones!$AB$133),TEXT(EDATE($D39,Milestones!$AA$133),"dd/mm/yy")&amp;" "&amp;Milestones!$AB$133&amp;" "&amp;Milestones!$AC$133&amp;";  ","")&amp;IF(AND(EDATE($D39,Milestones!$AA$134)&lt;=AsOfDate,IF($Q39=0,$W39,IF(AND($S39&lt;&gt;"",EDATE($D39,Milestones!$AA$134)&gt;=$S39),$V39,IF(AND($R39&lt;&gt;"",EDATE($D39,Milestones!$AA$134)&gt;=$R39),$U39,$T39)))=Milestones!$AB$134),TEXT(EDATE($D39,Milestones!$AA$134),"dd/mm/yy")&amp;" "&amp;Milestones!$AB$134&amp;" "&amp;Milestones!$AC$134&amp;";  ","")&amp;IF(AND(EDATE($D39,Milestones!$AA$135)&lt;=AsOfDate,IF($Q39=0,$W39,IF(AND($S39&lt;&gt;"",EDATE($D39,Milestones!$AA$135)&gt;=$S39),$V39,IF(AND($R39&lt;&gt;"",EDATE($D39,Milestones!$AA$135)&gt;=$R39),$U39,$T39)))=Milestones!$AB$135),TEXT(EDATE($D39,Milestones!$AA$135),"dd/mm/yy")&amp;" "&amp;Milestones!$AB$135&amp;" "&amp;Milestones!$AC$135&amp;";  ","")&amp;IF(AND(EDATE($D39,Milestones!$AA$136)&lt;=AsOfDate,IF($Q39=0,$W39,IF(AND($S39&lt;&gt;"",EDATE($D39,Milestones!$AA$136)&gt;=$S39),$V39,IF(AND($R39&lt;&gt;"",EDATE($D39,Milestones!$AA$136)&gt;=$R39),$U39,$T39)))=Milestones!$AB$136),TEXT(EDATE($D39,Milestones!$AA$136),"dd/mm/yy")&amp;" "&amp;Milestones!$AB$136&amp;" "&amp;Milestones!$AC$136&amp;";  ","")&amp;IF(AND(EDATE($D39,Milestones!$AA$137)&lt;=AsOfDate,IF($Q39=0,$W39,IF(AND($S39&lt;&gt;"",EDATE($D39,Milestones!$AA$137)&gt;=$S39),$V39,IF(AND($R39&lt;&gt;"",EDATE($D39,Milestones!$AA$137)&gt;=$R39),$U39,$T39)))=Milestones!$AB$137),TEXT(EDATE($D39,Milestones!$AA$137),"dd/mm/yy")&amp;" "&amp;Milestones!$AB$137&amp;" "&amp;Milestones!$AC$137&amp;";  ","")&amp;IF(AND(EDATE($D39,Milestones!$AA$138)&lt;=AsOfDate,IF($Q39=0,$W39,IF(AND($S39&lt;&gt;"",EDATE($D39,Milestones!$AA$138)&gt;=$S39),$V39,IF(AND($R39&lt;&gt;"",EDATE($D39,Milestones!$AA$138)&gt;=$R39),$U39,$T39)))=Milestones!$AB$138),TEXT(EDATE($D39,Milestones!$AA$138),"dd/mm/yy")&amp;" "&amp;Milestones!$AB$138&amp;" "&amp;Milestones!$AC$138&amp;";  ","")&amp;IF(AND(EDATE($D39,Milestones!$AA$139)&lt;=AsOfDate,IF($Q39=0,$W39,IF(AND($S39&lt;&gt;"",EDATE($D39,Milestones!$AA$139)&gt;=$S39),$V39,IF(AND($R39&lt;&gt;"",EDATE($D39,Milestones!$AA$139)&gt;=$R39),$U39,$T39)))=Milestones!$AB$139),TEXT(EDATE($D39,Milestones!$AA$139),"dd/mm/yy")&amp;" "&amp;Milestones!$AB$139&amp;" "&amp;Milestones!$AC$139&amp;";  ",""))</f>
        <v/>
      </c>
      <c r="N39" s="0" t="str">
        <f aca="false">IF(OR($A39="",$D39=""),"",IF(AND(EDATE($D39,Milestones!$AA$140)&lt;=AsOfDate,IF($Q39=0,$W39,IF(AND($S39&lt;&gt;"",EDATE($D39,Milestones!$AA$140)&gt;=$S39),$V39,IF(AND($R39&lt;&gt;"",EDATE($D39,Milestones!$AA$140)&gt;=$R39),$U39,$T39)))=Milestones!$AB$140),TEXT(EDATE($D39,Milestones!$AA$140),"dd/mm/yy")&amp;" "&amp;Milestones!$AB$140&amp;" "&amp;Milestones!$AC$140&amp;";  ","")&amp;IF(AND(EDATE($D39,Milestones!$AA$141)&lt;=AsOfDate,IF($Q39=0,$W39,IF(AND($S39&lt;&gt;"",EDATE($D39,Milestones!$AA$141)&gt;=$S39),$V39,IF(AND($R39&lt;&gt;"",EDATE($D39,Milestones!$AA$141)&gt;=$R39),$U39,$T39)))=Milestones!$AB$141),TEXT(EDATE($D39,Milestones!$AA$141),"dd/mm/yy")&amp;" "&amp;Milestones!$AB$141&amp;" "&amp;Milestones!$AC$141&amp;";  ","")&amp;IF(AND(EDATE($D39,Milestones!$AA$142)&lt;=AsOfDate,IF($Q39=0,$W39,IF(AND($S39&lt;&gt;"",EDATE($D39,Milestones!$AA$142)&gt;=$S39),$V39,IF(AND($R39&lt;&gt;"",EDATE($D39,Milestones!$AA$142)&gt;=$R39),$U39,$T39)))=Milestones!$AB$142),TEXT(EDATE($D39,Milestones!$AA$142),"dd/mm/yy")&amp;" "&amp;Milestones!$AB$142&amp;" "&amp;Milestones!$AC$142&amp;";  ","")&amp;IF(AND(EDATE($D39,Milestones!$AA$143)&lt;=AsOfDate,IF($Q39=0,$W39,IF(AND($S39&lt;&gt;"",EDATE($D39,Milestones!$AA$143)&gt;=$S39),$V39,IF(AND($R39&lt;&gt;"",EDATE($D39,Milestones!$AA$143)&gt;=$R39),$U39,$T39)))=Milestones!$AB$143),TEXT(EDATE($D39,Milestones!$AA$143),"dd/mm/yy")&amp;" "&amp;Milestones!$AB$143&amp;" "&amp;Milestones!$AC$143&amp;";  ","")&amp;IF(AND(EDATE($D39,Milestones!$AA$144)&lt;=AsOfDate,IF($Q39=0,$W39,IF(AND($S39&lt;&gt;"",EDATE($D39,Milestones!$AA$144)&gt;=$S39),$V39,IF(AND($R39&lt;&gt;"",EDATE($D39,Milestones!$AA$144)&gt;=$R39),$U39,$T39)))=Milestones!$AB$144),TEXT(EDATE($D39,Milestones!$AA$144),"dd/mm/yy")&amp;" "&amp;Milestones!$AB$144&amp;" "&amp;Milestones!$AC$144&amp;";  ","")&amp;IF(AND(EDATE($D39,Milestones!$AA$145)&lt;=AsOfDate,IF($Q39=0,$W39,IF(AND($S39&lt;&gt;"",EDATE($D39,Milestones!$AA$145)&gt;=$S39),$V39,IF(AND($R39&lt;&gt;"",EDATE($D39,Milestones!$AA$145)&gt;=$R39),$U39,$T39)))=Milestones!$AB$145),TEXT(EDATE($D39,Milestones!$AA$145),"dd/mm/yy")&amp;" "&amp;Milestones!$AB$145&amp;" "&amp;Milestones!$AC$145&amp;";  ","")&amp;IF(AND(EDATE($D39,Milestones!$AA$146)&lt;=AsOfDate,IF($Q39=0,$W39,IF(AND($S39&lt;&gt;"",EDATE($D39,Milestones!$AA$146)&gt;=$S39),$V39,IF(AND($R39&lt;&gt;"",EDATE($D39,Milestones!$AA$146)&gt;=$R39),$U39,$T39)))=Milestones!$AB$146),TEXT(EDATE($D39,Milestones!$AA$146),"dd/mm/yy")&amp;" "&amp;Milestones!$AB$146&amp;" "&amp;Milestones!$AC$146&amp;";  ","")&amp;IF(AND(EDATE($D39,Milestones!$AA$147)&lt;=AsOfDate,IF($Q39=0,$W39,IF(AND($S39&lt;&gt;"",EDATE($D39,Milestones!$AA$147)&gt;=$S39),$V39,IF(AND($R39&lt;&gt;"",EDATE($D39,Milestones!$AA$147)&gt;=$R39),$U39,$T39)))=Milestones!$AB$147),TEXT(EDATE($D39,Milestones!$AA$147),"dd/mm/yy")&amp;" "&amp;Milestones!$AB$147&amp;" "&amp;Milestones!$AC$147&amp;";  ","")&amp;IF(AND(EDATE($D39,Milestones!$AA$148)&lt;=AsOfDate,IF($Q39=0,$W39,IF(AND($S39&lt;&gt;"",EDATE($D39,Milestones!$AA$148)&gt;=$S39),$V39,IF(AND($R39&lt;&gt;"",EDATE($D39,Milestones!$AA$148)&gt;=$R39),$U39,$T39)))=Milestones!$AB$148),TEXT(EDATE($D39,Milestones!$AA$148),"dd/mm/yy")&amp;" "&amp;Milestones!$AB$148&amp;" "&amp;Milestones!$AC$148&amp;";  ","")&amp;IF(AND(EDATE($D39,Milestones!$AA$149)&lt;=AsOfDate,IF($Q39=0,$W39,IF(AND($S39&lt;&gt;"",EDATE($D39,Milestones!$AA$149)&gt;=$S39),$V39,IF(AND($R39&lt;&gt;"",EDATE($D39,Milestones!$AA$149)&gt;=$R39),$U39,$T39)))=Milestones!$AB$149),TEXT(EDATE($D39,Milestones!$AA$149),"dd/mm/yy")&amp;" "&amp;Milestones!$AB$149&amp;" "&amp;Milestones!$AC$149&amp;";  ","")&amp;IF(AND(EDATE($D39,Milestones!$AA$150)&lt;=AsOfDate,IF($Q39=0,$W39,IF(AND($S39&lt;&gt;"",EDATE($D39,Milestones!$AA$150)&gt;=$S39),$V39,IF(AND($R39&lt;&gt;"",EDATE($D39,Milestones!$AA$150)&gt;=$R39),$U39,$T39)))=Milestones!$AB$150),TEXT(EDATE($D39,Milestones!$AA$150),"dd/mm/yy")&amp;" "&amp;Milestones!$AB$150&amp;" "&amp;Milestones!$AC$150&amp;";  ","")&amp;IF(AND(EDATE($D39,Milestones!$AA$151)&lt;=AsOfDate,IF($Q39=0,$W39,IF(AND($S39&lt;&gt;"",EDATE($D39,Milestones!$AA$151)&gt;=$S39),$V39,IF(AND($R39&lt;&gt;"",EDATE($D39,Milestones!$AA$151)&gt;=$R39),$U39,$T39)))=Milestones!$AB$151),TEXT(EDATE($D39,Milestones!$AA$151),"dd/mm/yy")&amp;" "&amp;Milestones!$AB$151&amp;" "&amp;Milestones!$AC$151&amp;";  ","")&amp;IF(AND(EDATE($D39,Milestones!$AA$152)&lt;=AsOfDate,IF($Q39=0,$W39,IF(AND($S39&lt;&gt;"",EDATE($D39,Milestones!$AA$152)&gt;=$S39),$V39,IF(AND($R39&lt;&gt;"",EDATE($D39,Milestones!$AA$152)&gt;=$R39),$U39,$T39)))=Milestones!$AB$152),TEXT(EDATE($D39,Milestones!$AA$152),"dd/mm/yy")&amp;" "&amp;Milestones!$AB$152&amp;" "&amp;Milestones!$AC$152&amp;";  ","")&amp;IF(AND(EDATE($D39,Milestones!$AA$153)&lt;=AsOfDate,IF($Q39=0,$W39,IF(AND($S39&lt;&gt;"",EDATE($D39,Milestones!$AA$153)&gt;=$S39),$V39,IF(AND($R39&lt;&gt;"",EDATE($D39,Milestones!$AA$153)&gt;=$R39),$U39,$T39)))=Milestones!$AB$153),TEXT(EDATE($D39,Milestones!$AA$153),"dd/mm/yy")&amp;" "&amp;Milestones!$AB$153&amp;" "&amp;Milestones!$AC$153&amp;";  ","")&amp;IF(AND(EDATE($D39,Milestones!$AA$154)&lt;=AsOfDate,IF($Q39=0,$W39,IF(AND($S39&lt;&gt;"",EDATE($D39,Milestones!$AA$154)&gt;=$S39),$V39,IF(AND($R39&lt;&gt;"",EDATE($D39,Milestones!$AA$154)&gt;=$R39),$U39,$T39)))=Milestones!$AB$154),TEXT(EDATE($D39,Milestones!$AA$154),"dd/mm/yy")&amp;" "&amp;Milestones!$AB$154&amp;" "&amp;Milestones!$AC$154&amp;";  ","")&amp;IF(AND(EDATE($D39,Milestones!$AA$155)&lt;=AsOfDate,IF($Q39=0,$W39,IF(AND($S39&lt;&gt;"",EDATE($D39,Milestones!$AA$155)&gt;=$S39),$V39,IF(AND($R39&lt;&gt;"",EDATE($D39,Milestones!$AA$155)&gt;=$R39),$U39,$T39)))=Milestones!$AB$155),TEXT(EDATE($D39,Milestones!$AA$155),"dd/mm/yy")&amp;" "&amp;Milestones!$AB$155&amp;" "&amp;Milestones!$AC$155&amp;";  ","")&amp;IF(AND(EDATE($D39,Milestones!$AA$156)&lt;=AsOfDate,IF($Q39=0,$W39,IF(AND($S39&lt;&gt;"",EDATE($D39,Milestones!$AA$156)&gt;=$S39),$V39,IF(AND($R39&lt;&gt;"",EDATE($D39,Milestones!$AA$156)&gt;=$R39),$U39,$T39)))=Milestones!$AB$156),TEXT(EDATE($D39,Milestones!$AA$156),"dd/mm/yy")&amp;" "&amp;Milestones!$AB$156&amp;" "&amp;Milestones!$AC$156&amp;";  ","")&amp;IF(AND(EDATE($D39,Milestones!$AA$157)&lt;=AsOfDate,IF($Q39=0,$W39,IF(AND($S39&lt;&gt;"",EDATE($D39,Milestones!$AA$157)&gt;=$S39),$V39,IF(AND($R39&lt;&gt;"",EDATE($D39,Milestones!$AA$157)&gt;=$R39),$U39,$T39)))=Milestones!$AB$157),TEXT(EDATE($D39,Milestones!$AA$157),"dd/mm/yy")&amp;" "&amp;Milestones!$AB$157&amp;" "&amp;Milestones!$AC$157&amp;";  ","")&amp;IF(AND(EDATE($D39,Milestones!$AA$158)&lt;=AsOfDate,IF($Q39=0,$W39,IF(AND($S39&lt;&gt;"",EDATE($D39,Milestones!$AA$158)&gt;=$S39),$V39,IF(AND($R39&lt;&gt;"",EDATE($D39,Milestones!$AA$158)&gt;=$R39),$U39,$T39)))=Milestones!$AB$158),TEXT(EDATE($D39,Milestones!$AA$158),"dd/mm/yy")&amp;" "&amp;Milestones!$AB$158&amp;" "&amp;Milestones!$AC$158&amp;";  ","")&amp;IF(AND(EDATE($D39,Milestones!$AA$159)&lt;=AsOfDate,IF($Q39=0,$W39,IF(AND($S39&lt;&gt;"",EDATE($D39,Milestones!$AA$159)&gt;=$S39),$V39,IF(AND($R39&lt;&gt;"",EDATE($D39,Milestones!$AA$159)&gt;=$R39),$U39,$T39)))=Milestones!$AB$159),TEXT(EDATE($D39,Milestones!$AA$159),"dd/mm/yy")&amp;" "&amp;Milestones!$AB$159&amp;" "&amp;Milestones!$AC$159&amp;";  ",""))</f>
        <v/>
      </c>
      <c r="O39" s="0" t="str">
        <f aca="false">IF(OR($A39="",$D39=""),"",IF(AND(EDATE($D39,Milestones!$AA$160)&lt;=AsOfDate,IF($Q39=0,$W39,IF(AND($S39&lt;&gt;"",EDATE($D39,Milestones!$AA$160)&gt;=$S39),$V39,IF(AND($R39&lt;&gt;"",EDATE($D39,Milestones!$AA$160)&gt;=$R39),$U39,$T39)))=Milestones!$AB$160),TEXT(EDATE($D39,Milestones!$AA$160),"dd/mm/yy")&amp;" "&amp;Milestones!$AB$160&amp;" "&amp;Milestones!$AC$160&amp;";  ","")&amp;IF(AND(EDATE($D39,Milestones!$AA$161)&lt;=AsOfDate,IF($Q39=0,$W39,IF(AND($S39&lt;&gt;"",EDATE($D39,Milestones!$AA$161)&gt;=$S39),$V39,IF(AND($R39&lt;&gt;"",EDATE($D39,Milestones!$AA$161)&gt;=$R39),$U39,$T39)))=Milestones!$AB$161),TEXT(EDATE($D39,Milestones!$AA$161),"dd/mm/yy")&amp;" "&amp;Milestones!$AB$161&amp;" "&amp;Milestones!$AC$161&amp;";  ","")&amp;IF(AND(EDATE($D39,Milestones!$AA$162)&lt;=AsOfDate,IF($Q39=0,$W39,IF(AND($S39&lt;&gt;"",EDATE($D39,Milestones!$AA$162)&gt;=$S39),$V39,IF(AND($R39&lt;&gt;"",EDATE($D39,Milestones!$AA$162)&gt;=$R39),$U39,$T39)))=Milestones!$AB$162),TEXT(EDATE($D39,Milestones!$AA$162),"dd/mm/yy")&amp;" "&amp;Milestones!$AB$162&amp;" "&amp;Milestones!$AC$162&amp;";  ","")&amp;IF(AND(EDATE($D39,Milestones!$AA$163)&lt;=AsOfDate,IF($Q39=0,$W39,IF(AND($S39&lt;&gt;"",EDATE($D39,Milestones!$AA$163)&gt;=$S39),$V39,IF(AND($R39&lt;&gt;"",EDATE($D39,Milestones!$AA$163)&gt;=$R39),$U39,$T39)))=Milestones!$AB$163),TEXT(EDATE($D39,Milestones!$AA$163),"dd/mm/yy")&amp;" "&amp;Milestones!$AB$163&amp;" "&amp;Milestones!$AC$163&amp;";  ","")&amp;IF(AND(EDATE($D39,Milestones!$AA$164)&lt;=AsOfDate,IF($Q39=0,$W39,IF(AND($S39&lt;&gt;"",EDATE($D39,Milestones!$AA$164)&gt;=$S39),$V39,IF(AND($R39&lt;&gt;"",EDATE($D39,Milestones!$AA$164)&gt;=$R39),$U39,$T39)))=Milestones!$AB$164),TEXT(EDATE($D39,Milestones!$AA$164),"dd/mm/yy")&amp;" "&amp;Milestones!$AB$164&amp;" "&amp;Milestones!$AC$164&amp;";  ","")&amp;IF(AND(EDATE($D39,Milestones!$AA$165)&lt;=AsOfDate,IF($Q39=0,$W39,IF(AND($S39&lt;&gt;"",EDATE($D39,Milestones!$AA$165)&gt;=$S39),$V39,IF(AND($R39&lt;&gt;"",EDATE($D39,Milestones!$AA$165)&gt;=$R39),$U39,$T39)))=Milestones!$AB$165),TEXT(EDATE($D39,Milestones!$AA$165),"dd/mm/yy")&amp;" "&amp;Milestones!$AB$165&amp;" "&amp;Milestones!$AC$165&amp;";  ","")&amp;IF(AND(EDATE($D39,Milestones!$AA$166)&lt;=AsOfDate,IF($Q39=0,$W39,IF(AND($S39&lt;&gt;"",EDATE($D39,Milestones!$AA$166)&gt;=$S39),$V39,IF(AND($R39&lt;&gt;"",EDATE($D39,Milestones!$AA$166)&gt;=$R39),$U39,$T39)))=Milestones!$AB$166),TEXT(EDATE($D39,Milestones!$AA$166),"dd/mm/yy")&amp;" "&amp;Milestones!$AB$166&amp;" "&amp;Milestones!$AC$166&amp;";  ","")&amp;IF(AND(EDATE($D39,Milestones!$AA$167)&lt;=AsOfDate,IF($Q39=0,$W39,IF(AND($S39&lt;&gt;"",EDATE($D39,Milestones!$AA$167)&gt;=$S39),$V39,IF(AND($R39&lt;&gt;"",EDATE($D39,Milestones!$AA$167)&gt;=$R39),$U39,$T39)))=Milestones!$AB$167),TEXT(EDATE($D39,Milestones!$AA$167),"dd/mm/yy")&amp;" "&amp;Milestones!$AB$167&amp;" "&amp;Milestones!$AC$167&amp;";  ","")&amp;IF(AND(EDATE($D39,Milestones!$AA$168)&lt;=AsOfDate,IF($Q39=0,$W39,IF(AND($S39&lt;&gt;"",EDATE($D39,Milestones!$AA$168)&gt;=$S39),$V39,IF(AND($R39&lt;&gt;"",EDATE($D39,Milestones!$AA$168)&gt;=$R39),$U39,$T39)))=Milestones!$AB$168),TEXT(EDATE($D39,Milestones!$AA$168),"dd/mm/yy")&amp;" "&amp;Milestones!$AB$168&amp;" "&amp;Milestones!$AC$168&amp;";  ","")&amp;IF(AND(EDATE($D39,Milestones!$AA$169)&lt;=AsOfDate,IF($Q39=0,$W39,IF(AND($S39&lt;&gt;"",EDATE($D39,Milestones!$AA$169)&gt;=$S39),$V39,IF(AND($R39&lt;&gt;"",EDATE($D39,Milestones!$AA$169)&gt;=$R39),$U39,$T39)))=Milestones!$AB$169),TEXT(EDATE($D39,Milestones!$AA$169),"dd/mm/yy")&amp;" "&amp;Milestones!$AB$169&amp;" "&amp;Milestones!$AC$169&amp;";  ","")&amp;IF(AND(EDATE($D39,Milestones!$AA$170)&lt;=AsOfDate,IF($Q39=0,$W39,IF(AND($S39&lt;&gt;"",EDATE($D39,Milestones!$AA$170)&gt;=$S39),$V39,IF(AND($R39&lt;&gt;"",EDATE($D39,Milestones!$AA$170)&gt;=$R39),$U39,$T39)))=Milestones!$AB$170),TEXT(EDATE($D39,Milestones!$AA$170),"dd/mm/yy")&amp;" "&amp;Milestones!$AB$170&amp;" "&amp;Milestones!$AC$170&amp;";  ","")&amp;IF(AND(EDATE($D39,Milestones!$AA$171)&lt;=AsOfDate,IF($Q39=0,$W39,IF(AND($S39&lt;&gt;"",EDATE($D39,Milestones!$AA$171)&gt;=$S39),$V39,IF(AND($R39&lt;&gt;"",EDATE($D39,Milestones!$AA$171)&gt;=$R39),$U39,$T39)))=Milestones!$AB$171),TEXT(EDATE($D39,Milestones!$AA$171),"dd/mm/yy")&amp;" "&amp;Milestones!$AB$171&amp;" "&amp;Milestones!$AC$171&amp;";  ","")&amp;IF(AND(EDATE($D39,Milestones!$AA$172)&lt;=AsOfDate,IF($Q39=0,$W39,IF(AND($S39&lt;&gt;"",EDATE($D39,Milestones!$AA$172)&gt;=$S39),$V39,IF(AND($R39&lt;&gt;"",EDATE($D39,Milestones!$AA$172)&gt;=$R39),$U39,$T39)))=Milestones!$AB$172),TEXT(EDATE($D39,Milestones!$AA$172),"dd/mm/yy")&amp;" "&amp;Milestones!$AB$172&amp;" "&amp;Milestones!$AC$172&amp;";  ","")&amp;IF(AND(EDATE($D39,Milestones!$AA$173)&lt;=AsOfDate,IF($Q39=0,$W39,IF(AND($S39&lt;&gt;"",EDATE($D39,Milestones!$AA$173)&gt;=$S39),$V39,IF(AND($R39&lt;&gt;"",EDATE($D39,Milestones!$AA$173)&gt;=$R39),$U39,$T39)))=Milestones!$AB$173),TEXT(EDATE($D39,Milestones!$AA$173),"dd/mm/yy")&amp;" "&amp;Milestones!$AB$173&amp;" "&amp;Milestones!$AC$173&amp;";  ","")&amp;IF(AND(EDATE($D39,Milestones!$AA$174)&lt;=AsOfDate,IF($Q39=0,$W39,IF(AND($S39&lt;&gt;"",EDATE($D39,Milestones!$AA$174)&gt;=$S39),$V39,IF(AND($R39&lt;&gt;"",EDATE($D39,Milestones!$AA$174)&gt;=$R39),$U39,$T39)))=Milestones!$AB$174),TEXT(EDATE($D39,Milestones!$AA$174),"dd/mm/yy")&amp;" "&amp;Milestones!$AB$174&amp;" "&amp;Milestones!$AC$174&amp;";  ","")&amp;IF(AND(EDATE($D39,Milestones!$AA$175)&lt;=AsOfDate,IF($Q39=0,$W39,IF(AND($S39&lt;&gt;"",EDATE($D39,Milestones!$AA$175)&gt;=$S39),$V39,IF(AND($R39&lt;&gt;"",EDATE($D39,Milestones!$AA$175)&gt;=$R39),$U39,$T39)))=Milestones!$AB$175),TEXT(EDATE($D39,Milestones!$AA$175),"dd/mm/yy")&amp;" "&amp;Milestones!$AB$175&amp;" "&amp;Milestones!$AC$175&amp;";  ","")&amp;IF(AND(EDATE($D39,Milestones!$AA$176)&lt;=AsOfDate,IF($Q39=0,$W39,IF(AND($S39&lt;&gt;"",EDATE($D39,Milestones!$AA$176)&gt;=$S39),$V39,IF(AND($R39&lt;&gt;"",EDATE($D39,Milestones!$AA$176)&gt;=$R39),$U39,$T39)))=Milestones!$AB$176),TEXT(EDATE($D39,Milestones!$AA$176),"dd/mm/yy")&amp;" "&amp;Milestones!$AB$176&amp;" "&amp;Milestones!$AC$176&amp;";  ","")&amp;IF(AND(EDATE($D39,Milestones!$AA$177)&lt;=AsOfDate,IF($Q39=0,$W39,IF(AND($S39&lt;&gt;"",EDATE($D39,Milestones!$AA$177)&gt;=$S39),$V39,IF(AND($R39&lt;&gt;"",EDATE($D39,Milestones!$AA$177)&gt;=$R39),$U39,$T39)))=Milestones!$AB$177),TEXT(EDATE($D39,Milestones!$AA$177),"dd/mm/yy")&amp;" "&amp;Milestones!$AB$177&amp;" "&amp;Milestones!$AC$177&amp;";  ","")&amp;IF(AND(EDATE($D39,Milestones!$AA$178)&lt;=AsOfDate,IF($Q39=0,$W39,IF(AND($S39&lt;&gt;"",EDATE($D39,Milestones!$AA$178)&gt;=$S39),$V39,IF(AND($R39&lt;&gt;"",EDATE($D39,Milestones!$AA$178)&gt;=$R39),$U39,$T39)))=Milestones!$AB$178),TEXT(EDATE($D39,Milestones!$AA$178),"dd/mm/yy")&amp;" "&amp;Milestones!$AB$178&amp;" "&amp;Milestones!$AC$178&amp;";  ","")&amp;IF(AND(EDATE($D39,Milestones!$AA$179)&lt;=AsOfDate,IF($Q39=0,$W39,IF(AND($S39&lt;&gt;"",EDATE($D39,Milestones!$AA$179)&gt;=$S39),$V39,IF(AND($R39&lt;&gt;"",EDATE($D39,Milestones!$AA$179)&gt;=$R39),$U39,$T39)))=Milestones!$AB$179),TEXT(EDATE($D39,Milestones!$AA$179),"dd/mm/yy")&amp;" "&amp;Milestones!$AB$179&amp;" "&amp;Milestones!$AC$179&amp;";  ",""))</f>
        <v/>
      </c>
      <c r="P39" s="0" t="str">
        <f aca="false">IF(OR($A39="",$D39=""),"",IF(AND(EDATE($D39,Milestones!$AA$180)&lt;=AsOfDate,IF($Q39=0,$W39,IF(AND($S39&lt;&gt;"",EDATE($D39,Milestones!$AA$180)&gt;=$S39),$V39,IF(AND($R39&lt;&gt;"",EDATE($D39,Milestones!$AA$180)&gt;=$R39),$U39,$T39)))=Milestones!$AB$180),TEXT(EDATE($D39,Milestones!$AA$180),"dd/mm/yy")&amp;" "&amp;Milestones!$AB$180&amp;" "&amp;Milestones!$AC$180&amp;";  ","")&amp;IF(AND(EDATE($D39,Milestones!$AA$181)&lt;=AsOfDate,IF($Q39=0,$W39,IF(AND($S39&lt;&gt;"",EDATE($D39,Milestones!$AA$181)&gt;=$S39),$V39,IF(AND($R39&lt;&gt;"",EDATE($D39,Milestones!$AA$181)&gt;=$R39),$U39,$T39)))=Milestones!$AB$181),TEXT(EDATE($D39,Milestones!$AA$181),"dd/mm/yy")&amp;" "&amp;Milestones!$AB$181&amp;" "&amp;Milestones!$AC$181&amp;";  ","")&amp;IF(AND(EDATE($D39,Milestones!$AA$182)&lt;=AsOfDate,IF($Q39=0,$W39,IF(AND($S39&lt;&gt;"",EDATE($D39,Milestones!$AA$182)&gt;=$S39),$V39,IF(AND($R39&lt;&gt;"",EDATE($D39,Milestones!$AA$182)&gt;=$R39),$U39,$T39)))=Milestones!$AB$182),TEXT(EDATE($D39,Milestones!$AA$182),"dd/mm/yy")&amp;" "&amp;Milestones!$AB$182&amp;" "&amp;Milestones!$AC$182&amp;";  ","")&amp;IF(AND(EDATE($D39,Milestones!$AA$183)&lt;=AsOfDate,IF($Q39=0,$W39,IF(AND($S39&lt;&gt;"",EDATE($D39,Milestones!$AA$183)&gt;=$S39),$V39,IF(AND($R39&lt;&gt;"",EDATE($D39,Milestones!$AA$183)&gt;=$R39),$U39,$T39)))=Milestones!$AB$183),TEXT(EDATE($D39,Milestones!$AA$183),"dd/mm/yy")&amp;" "&amp;Milestones!$AB$183&amp;" "&amp;Milestones!$AC$183&amp;";  ","")&amp;IF(AND(EDATE($D39,Milestones!$AA$184)&lt;=AsOfDate,IF($Q39=0,$W39,IF(AND($S39&lt;&gt;"",EDATE($D39,Milestones!$AA$184)&gt;=$S39),$V39,IF(AND($R39&lt;&gt;"",EDATE($D39,Milestones!$AA$184)&gt;=$R39),$U39,$T39)))=Milestones!$AB$184),TEXT(EDATE($D39,Milestones!$AA$184),"dd/mm/yy")&amp;" "&amp;Milestones!$AB$184&amp;" "&amp;Milestones!$AC$184&amp;";  ","")&amp;IF(AND(EDATE($D39,Milestones!$AA$185)&lt;=AsOfDate,IF($Q39=0,$W39,IF(AND($S39&lt;&gt;"",EDATE($D39,Milestones!$AA$185)&gt;=$S39),$V39,IF(AND($R39&lt;&gt;"",EDATE($D39,Milestones!$AA$185)&gt;=$R39),$U39,$T39)))=Milestones!$AB$185),TEXT(EDATE($D39,Milestones!$AA$185),"dd/mm/yy")&amp;" "&amp;Milestones!$AB$185&amp;" "&amp;Milestones!$AC$185&amp;";  ","")&amp;IF(AND(EDATE($D39,Milestones!$AA$186)&lt;=AsOfDate,IF($Q39=0,$W39,IF(AND($S39&lt;&gt;"",EDATE($D39,Milestones!$AA$186)&gt;=$S39),$V39,IF(AND($R39&lt;&gt;"",EDATE($D39,Milestones!$AA$186)&gt;=$R39),$U39,$T39)))=Milestones!$AB$186),TEXT(EDATE($D39,Milestones!$AA$186),"dd/mm/yy")&amp;" "&amp;Milestones!$AB$186&amp;" "&amp;Milestones!$AC$186&amp;";  ","")&amp;IF(AND(EDATE($D39,Milestones!$AA$187)&lt;=AsOfDate,IF($Q39=0,$W39,IF(AND($S39&lt;&gt;"",EDATE($D39,Milestones!$AA$187)&gt;=$S39),$V39,IF(AND($R39&lt;&gt;"",EDATE($D39,Milestones!$AA$187)&gt;=$R39),$U39,$T39)))=Milestones!$AB$187),TEXT(EDATE($D39,Milestones!$AA$187),"dd/mm/yy")&amp;" "&amp;Milestones!$AB$187&amp;" "&amp;Milestones!$AC$187&amp;";  ","")&amp;IF(AND(EDATE($D39,Milestones!$AA$188)&lt;=AsOfDate,IF($Q39=0,$W39,IF(AND($S39&lt;&gt;"",EDATE($D39,Milestones!$AA$188)&gt;=$S39),$V39,IF(AND($R39&lt;&gt;"",EDATE($D39,Milestones!$AA$188)&gt;=$R39),$U39,$T39)))=Milestones!$AB$188),TEXT(EDATE($D39,Milestones!$AA$188),"dd/mm/yy")&amp;" "&amp;Milestones!$AB$188&amp;" "&amp;Milestones!$AC$188&amp;";  ","")&amp;IF(AND(EDATE($D39,Milestones!$AA$189)&lt;=AsOfDate,IF($Q39=0,$W39,IF(AND($S39&lt;&gt;"",EDATE($D39,Milestones!$AA$189)&gt;=$S39),$V39,IF(AND($R39&lt;&gt;"",EDATE($D39,Milestones!$AA$189)&gt;=$R39),$U39,$T39)))=Milestones!$AB$189),TEXT(EDATE($D39,Milestones!$AA$189),"dd/mm/yy")&amp;" "&amp;Milestones!$AB$189&amp;" "&amp;Milestones!$AC$189&amp;";  ","")&amp;IF(AND(EDATE($D39,Milestones!$AA$190)&lt;=AsOfDate,IF($Q39=0,$W39,IF(AND($S39&lt;&gt;"",EDATE($D39,Milestones!$AA$190)&gt;=$S39),$V39,IF(AND($R39&lt;&gt;"",EDATE($D39,Milestones!$AA$190)&gt;=$R39),$U39,$T39)))=Milestones!$AB$190),TEXT(EDATE($D39,Milestones!$AA$190),"dd/mm/yy")&amp;" "&amp;Milestones!$AB$190&amp;" "&amp;Milestones!$AC$190&amp;";  ","")&amp;IF(AND(EDATE($D39,Milestones!$AA$191)&lt;=AsOfDate,IF($Q39=0,$W39,IF(AND($S39&lt;&gt;"",EDATE($D39,Milestones!$AA$191)&gt;=$S39),$V39,IF(AND($R39&lt;&gt;"",EDATE($D39,Milestones!$AA$191)&gt;=$R39),$U39,$T39)))=Milestones!$AB$191),TEXT(EDATE($D39,Milestones!$AA$191),"dd/mm/yy")&amp;" "&amp;Milestones!$AB$191&amp;" "&amp;Milestones!$AC$191&amp;";  ","")&amp;IF(AND(EDATE($D39,Milestones!$AA$192)&lt;=AsOfDate,IF($Q39=0,$W39,IF(AND($S39&lt;&gt;"",EDATE($D39,Milestones!$AA$192)&gt;=$S39),$V39,IF(AND($R39&lt;&gt;"",EDATE($D39,Milestones!$AA$192)&gt;=$R39),$U39,$T39)))=Milestones!$AB$192),TEXT(EDATE($D39,Milestones!$AA$192),"dd/mm/yy")&amp;" "&amp;Milestones!$AB$192&amp;" "&amp;Milestones!$AC$192&amp;";  ","")&amp;IF(AND(EDATE($D39,Milestones!$AA$193)&lt;=AsOfDate,IF($Q39=0,$W39,IF(AND($S39&lt;&gt;"",EDATE($D39,Milestones!$AA$193)&gt;=$S39),$V39,IF(AND($R39&lt;&gt;"",EDATE($D39,Milestones!$AA$193)&gt;=$R39),$U39,$T39)))=Milestones!$AB$193),TEXT(EDATE($D39,Milestones!$AA$193),"dd/mm/yy")&amp;" "&amp;Milestones!$AB$193&amp;" "&amp;Milestones!$AC$193&amp;";  ","")&amp;IF(AND(EDATE($D39,Milestones!$AA$194)&lt;=AsOfDate,IF($Q39=0,$W39,IF(AND($S39&lt;&gt;"",EDATE($D39,Milestones!$AA$194)&gt;=$S39),$V39,IF(AND($R39&lt;&gt;"",EDATE($D39,Milestones!$AA$194)&gt;=$R39),$U39,$T39)))=Milestones!$AB$194),TEXT(EDATE($D39,Milestones!$AA$194),"dd/mm/yy")&amp;" "&amp;Milestones!$AB$194&amp;" "&amp;Milestones!$AC$194&amp;";  ","")&amp;IF(AND(EDATE($D39,Milestones!$AA$195)&lt;=AsOfDate,IF($Q39=0,$W39,IF(AND($S39&lt;&gt;"",EDATE($D39,Milestones!$AA$195)&gt;=$S39),$V39,IF(AND($R39&lt;&gt;"",EDATE($D39,Milestones!$AA$195)&gt;=$R39),$U39,$T39)))=Milestones!$AB$195),TEXT(EDATE($D39,Milestones!$AA$195),"dd/mm/yy")&amp;" "&amp;Milestones!$AB$195&amp;" "&amp;Milestones!$AC$195&amp;";  ","")&amp;IF(AND(EDATE($D39,Milestones!$AA$196)&lt;=AsOfDate,IF($Q39=0,$W39,IF(AND($S39&lt;&gt;"",EDATE($D39,Milestones!$AA$196)&gt;=$S39),$V39,IF(AND($R39&lt;&gt;"",EDATE($D39,Milestones!$AA$196)&gt;=$R39),$U39,$T39)))=Milestones!$AB$196),TEXT(EDATE($D39,Milestones!$AA$196),"dd/mm/yy")&amp;" "&amp;Milestones!$AB$196&amp;" "&amp;Milestones!$AC$196&amp;";  ","")&amp;IF(AND(EDATE($D39,Milestones!$AA$197)&lt;=AsOfDate,IF($Q39=0,$W39,IF(AND($S39&lt;&gt;"",EDATE($D39,Milestones!$AA$197)&gt;=$S39),$V39,IF(AND($R39&lt;&gt;"",EDATE($D39,Milestones!$AA$197)&gt;=$R39),$U39,$T39)))=Milestones!$AB$197),TEXT(EDATE($D39,Milestones!$AA$197),"dd/mm/yy")&amp;" "&amp;Milestones!$AB$197&amp;" "&amp;Milestones!$AC$197&amp;";  ","")&amp;IF(AND(EDATE($D39,Milestones!$AA$198)&lt;=AsOfDate,IF($Q39=0,$W39,IF(AND($S39&lt;&gt;"",EDATE($D39,Milestones!$AA$198)&gt;=$S39),$V39,IF(AND($R39&lt;&gt;"",EDATE($D39,Milestones!$AA$198)&gt;=$R39),$U39,$T39)))=Milestones!$AB$198),TEXT(EDATE($D39,Milestones!$AA$198),"dd/mm/yy")&amp;" "&amp;Milestones!$AB$198&amp;" "&amp;Milestones!$AC$198&amp;";  ","")&amp;IF(AND(EDATE($D39,Milestones!$AA$199)&lt;=AsOfDate,IF($Q39=0,$W39,IF(AND($S39&lt;&gt;"",EDATE($D39,Milestones!$AA$199)&gt;=$S39),$V39,IF(AND($R39&lt;&gt;"",EDATE($D39,Milestones!$AA$199)&gt;=$R39),$U39,$T39)))=Milestones!$AB$199),TEXT(EDATE($D39,Milestones!$AA$199),"dd/mm/yy")&amp;" "&amp;Milestones!$AB$199&amp;" "&amp;Milestones!$AC$199&amp;";  ",""))</f>
        <v/>
      </c>
      <c r="Q39" s="0" t="str">
        <f aca="false">IF(Staff!$A39="","",Staff!$AG39)</f>
        <v/>
      </c>
      <c r="R39" s="0" t="str">
        <f aca="false">IF(Staff!$A39="","",Staff!$AI39)</f>
        <v/>
      </c>
      <c r="S39" s="0" t="str">
        <f aca="false">IF(Staff!$A39="","",Staff!$AJ39)</f>
        <v/>
      </c>
      <c r="T39" s="0" t="str">
        <f aca="false">IF(Staff!$A39="","",Staff!$AN39)</f>
        <v/>
      </c>
      <c r="U39" s="0" t="str">
        <f aca="false">IF(Staff!$A39="","",Staff!$AO39)</f>
        <v/>
      </c>
      <c r="V39" s="0" t="str">
        <f aca="false">IF(Staff!$A39="","",Staff!$AP39)</f>
        <v/>
      </c>
      <c r="W39" s="0" t="str">
        <f aca="false">IF(Staff!$A39="","",Staff!$AQ39)</f>
        <v/>
      </c>
    </row>
    <row r="40" customFormat="false" ht="15" hidden="false" customHeight="false" outlineLevel="0" collapsed="false">
      <c r="A40" s="13" t="str">
        <f aca="false">IF(Staff!$A40="","",Staff!$A40)</f>
        <v/>
      </c>
      <c r="B40" s="13" t="str">
        <f aca="false">IF(Staff!$A40="","",Staff!$B40)</f>
        <v/>
      </c>
      <c r="C40" s="13" t="str">
        <f aca="false">IF(Staff!$A40="","",Staff!$C40)</f>
        <v/>
      </c>
      <c r="D40" s="11" t="str">
        <f aca="false">IF(Staff!$A40="","",Staff!$AF40)</f>
        <v/>
      </c>
      <c r="E40" s="13" t="str">
        <f aca="false">IF(Staff!$A40="","",Staff!$O40)</f>
        <v/>
      </c>
      <c r="F40" s="13" t="str">
        <f aca="false">IF(E40="","",E40*HoursPerDay)</f>
        <v/>
      </c>
      <c r="G40" s="26" t="str">
        <f aca="false">IF($A40="","",H40&amp;I40&amp;J40&amp;K40&amp;L40&amp;M40&amp;N40&amp;O40&amp;P40)</f>
        <v/>
      </c>
      <c r="H40" s="0" t="str">
        <f aca="false">IF(OR($A40="",$D40=""),"",IF(AND(EDATE($D40,Milestones!$AA$20)&lt;=AsOfDate,IF($Q40=0,$W40,IF(AND($S40&lt;&gt;"",EDATE($D40,Milestones!$AA$20)&gt;=$S40),$V40,IF(AND($R40&lt;&gt;"",EDATE($D40,Milestones!$AA$20)&gt;=$R40),$U40,$T40)))=Milestones!$AB$20),TEXT(EDATE($D40,Milestones!$AA$20),"dd/mm/yy")&amp;" "&amp;Milestones!$AB$20&amp;" "&amp;Milestones!$AC$20&amp;";  ","")&amp;IF(AND(EDATE($D40,Milestones!$AA$21)&lt;=AsOfDate,IF($Q40=0,$W40,IF(AND($S40&lt;&gt;"",EDATE($D40,Milestones!$AA$21)&gt;=$S40),$V40,IF(AND($R40&lt;&gt;"",EDATE($D40,Milestones!$AA$21)&gt;=$R40),$U40,$T40)))=Milestones!$AB$21),TEXT(EDATE($D40,Milestones!$AA$21),"dd/mm/yy")&amp;" "&amp;Milestones!$AB$21&amp;" "&amp;Milestones!$AC$21&amp;";  ","")&amp;IF(AND(EDATE($D40,Milestones!$AA$22)&lt;=AsOfDate,IF($Q40=0,$W40,IF(AND($S40&lt;&gt;"",EDATE($D40,Milestones!$AA$22)&gt;=$S40),$V40,IF(AND($R40&lt;&gt;"",EDATE($D40,Milestones!$AA$22)&gt;=$R40),$U40,$T40)))=Milestones!$AB$22),TEXT(EDATE($D40,Milestones!$AA$22),"dd/mm/yy")&amp;" "&amp;Milestones!$AB$22&amp;" "&amp;Milestones!$AC$22&amp;";  ","")&amp;IF(AND(EDATE($D40,Milestones!$AA$23)&lt;=AsOfDate,IF($Q40=0,$W40,IF(AND($S40&lt;&gt;"",EDATE($D40,Milestones!$AA$23)&gt;=$S40),$V40,IF(AND($R40&lt;&gt;"",EDATE($D40,Milestones!$AA$23)&gt;=$R40),$U40,$T40)))=Milestones!$AB$23),TEXT(EDATE($D40,Milestones!$AA$23),"dd/mm/yy")&amp;" "&amp;Milestones!$AB$23&amp;" "&amp;Milestones!$AC$23&amp;";  ","")&amp;IF(AND(EDATE($D40,Milestones!$AA$24)&lt;=AsOfDate,IF($Q40=0,$W40,IF(AND($S40&lt;&gt;"",EDATE($D40,Milestones!$AA$24)&gt;=$S40),$V40,IF(AND($R40&lt;&gt;"",EDATE($D40,Milestones!$AA$24)&gt;=$R40),$U40,$T40)))=Milestones!$AB$24),TEXT(EDATE($D40,Milestones!$AA$24),"dd/mm/yy")&amp;" "&amp;Milestones!$AB$24&amp;" "&amp;Milestones!$AC$24&amp;";  ","")&amp;IF(AND(EDATE($D40,Milestones!$AA$25)&lt;=AsOfDate,IF($Q40=0,$W40,IF(AND($S40&lt;&gt;"",EDATE($D40,Milestones!$AA$25)&gt;=$S40),$V40,IF(AND($R40&lt;&gt;"",EDATE($D40,Milestones!$AA$25)&gt;=$R40),$U40,$T40)))=Milestones!$AB$25),TEXT(EDATE($D40,Milestones!$AA$25),"dd/mm/yy")&amp;" "&amp;Milestones!$AB$25&amp;" "&amp;Milestones!$AC$25&amp;";  ","")&amp;IF(AND(EDATE($D40,Milestones!$AA$26)&lt;=AsOfDate,IF($Q40=0,$W40,IF(AND($S40&lt;&gt;"",EDATE($D40,Milestones!$AA$26)&gt;=$S40),$V40,IF(AND($R40&lt;&gt;"",EDATE($D40,Milestones!$AA$26)&gt;=$R40),$U40,$T40)))=Milestones!$AB$26),TEXT(EDATE($D40,Milestones!$AA$26),"dd/mm/yy")&amp;" "&amp;Milestones!$AB$26&amp;" "&amp;Milestones!$AC$26&amp;";  ","")&amp;IF(AND(EDATE($D40,Milestones!$AA$27)&lt;=AsOfDate,IF($Q40=0,$W40,IF(AND($S40&lt;&gt;"",EDATE($D40,Milestones!$AA$27)&gt;=$S40),$V40,IF(AND($R40&lt;&gt;"",EDATE($D40,Milestones!$AA$27)&gt;=$R40),$U40,$T40)))=Milestones!$AB$27),TEXT(EDATE($D40,Milestones!$AA$27),"dd/mm/yy")&amp;" "&amp;Milestones!$AB$27&amp;" "&amp;Milestones!$AC$27&amp;";  ","")&amp;IF(AND(EDATE($D40,Milestones!$AA$28)&lt;=AsOfDate,IF($Q40=0,$W40,IF(AND($S40&lt;&gt;"",EDATE($D40,Milestones!$AA$28)&gt;=$S40),$V40,IF(AND($R40&lt;&gt;"",EDATE($D40,Milestones!$AA$28)&gt;=$R40),$U40,$T40)))=Milestones!$AB$28),TEXT(EDATE($D40,Milestones!$AA$28),"dd/mm/yy")&amp;" "&amp;Milestones!$AB$28&amp;" "&amp;Milestones!$AC$28&amp;";  ","")&amp;IF(AND(EDATE($D40,Milestones!$AA$29)&lt;=AsOfDate,IF($Q40=0,$W40,IF(AND($S40&lt;&gt;"",EDATE($D40,Milestones!$AA$29)&gt;=$S40),$V40,IF(AND($R40&lt;&gt;"",EDATE($D40,Milestones!$AA$29)&gt;=$R40),$U40,$T40)))=Milestones!$AB$29),TEXT(EDATE($D40,Milestones!$AA$29),"dd/mm/yy")&amp;" "&amp;Milestones!$AB$29&amp;" "&amp;Milestones!$AC$29&amp;";  ","")&amp;IF(AND(EDATE($D40,Milestones!$AA$30)&lt;=AsOfDate,IF($Q40=0,$W40,IF(AND($S40&lt;&gt;"",EDATE($D40,Milestones!$AA$30)&gt;=$S40),$V40,IF(AND($R40&lt;&gt;"",EDATE($D40,Milestones!$AA$30)&gt;=$R40),$U40,$T40)))=Milestones!$AB$30),TEXT(EDATE($D40,Milestones!$AA$30),"dd/mm/yy")&amp;" "&amp;Milestones!$AB$30&amp;" "&amp;Milestones!$AC$30&amp;";  ","")&amp;IF(AND(EDATE($D40,Milestones!$AA$31)&lt;=AsOfDate,IF($Q40=0,$W40,IF(AND($S40&lt;&gt;"",EDATE($D40,Milestones!$AA$31)&gt;=$S40),$V40,IF(AND($R40&lt;&gt;"",EDATE($D40,Milestones!$AA$31)&gt;=$R40),$U40,$T40)))=Milestones!$AB$31),TEXT(EDATE($D40,Milestones!$AA$31),"dd/mm/yy")&amp;" "&amp;Milestones!$AB$31&amp;" "&amp;Milestones!$AC$31&amp;";  ","")&amp;IF(AND(EDATE($D40,Milestones!$AA$32)&lt;=AsOfDate,IF($Q40=0,$W40,IF(AND($S40&lt;&gt;"",EDATE($D40,Milestones!$AA$32)&gt;=$S40),$V40,IF(AND($R40&lt;&gt;"",EDATE($D40,Milestones!$AA$32)&gt;=$R40),$U40,$T40)))=Milestones!$AB$32),TEXT(EDATE($D40,Milestones!$AA$32),"dd/mm/yy")&amp;" "&amp;Milestones!$AB$32&amp;" "&amp;Milestones!$AC$32&amp;";  ","")&amp;IF(AND(EDATE($D40,Milestones!$AA$33)&lt;=AsOfDate,IF($Q40=0,$W40,IF(AND($S40&lt;&gt;"",EDATE($D40,Milestones!$AA$33)&gt;=$S40),$V40,IF(AND($R40&lt;&gt;"",EDATE($D40,Milestones!$AA$33)&gt;=$R40),$U40,$T40)))=Milestones!$AB$33),TEXT(EDATE($D40,Milestones!$AA$33),"dd/mm/yy")&amp;" "&amp;Milestones!$AB$33&amp;" "&amp;Milestones!$AC$33&amp;";  ","")&amp;IF(AND(EDATE($D40,Milestones!$AA$34)&lt;=AsOfDate,IF($Q40=0,$W40,IF(AND($S40&lt;&gt;"",EDATE($D40,Milestones!$AA$34)&gt;=$S40),$V40,IF(AND($R40&lt;&gt;"",EDATE($D40,Milestones!$AA$34)&gt;=$R40),$U40,$T40)))=Milestones!$AB$34),TEXT(EDATE($D40,Milestones!$AA$34),"dd/mm/yy")&amp;" "&amp;Milestones!$AB$34&amp;" "&amp;Milestones!$AC$34&amp;";  ","")&amp;IF(AND(EDATE($D40,Milestones!$AA$35)&lt;=AsOfDate,IF($Q40=0,$W40,IF(AND($S40&lt;&gt;"",EDATE($D40,Milestones!$AA$35)&gt;=$S40),$V40,IF(AND($R40&lt;&gt;"",EDATE($D40,Milestones!$AA$35)&gt;=$R40),$U40,$T40)))=Milestones!$AB$35),TEXT(EDATE($D40,Milestones!$AA$35),"dd/mm/yy")&amp;" "&amp;Milestones!$AB$35&amp;" "&amp;Milestones!$AC$35&amp;";  ","")&amp;IF(AND(EDATE($D40,Milestones!$AA$36)&lt;=AsOfDate,IF($Q40=0,$W40,IF(AND($S40&lt;&gt;"",EDATE($D40,Milestones!$AA$36)&gt;=$S40),$V40,IF(AND($R40&lt;&gt;"",EDATE($D40,Milestones!$AA$36)&gt;=$R40),$U40,$T40)))=Milestones!$AB$36),TEXT(EDATE($D40,Milestones!$AA$36),"dd/mm/yy")&amp;" "&amp;Milestones!$AB$36&amp;" "&amp;Milestones!$AC$36&amp;";  ","")&amp;IF(AND(EDATE($D40,Milestones!$AA$37)&lt;=AsOfDate,IF($Q40=0,$W40,IF(AND($S40&lt;&gt;"",EDATE($D40,Milestones!$AA$37)&gt;=$S40),$V40,IF(AND($R40&lt;&gt;"",EDATE($D40,Milestones!$AA$37)&gt;=$R40),$U40,$T40)))=Milestones!$AB$37),TEXT(EDATE($D40,Milestones!$AA$37),"dd/mm/yy")&amp;" "&amp;Milestones!$AB$37&amp;" "&amp;Milestones!$AC$37&amp;";  ","")&amp;IF(AND(EDATE($D40,Milestones!$AA$38)&lt;=AsOfDate,IF($Q40=0,$W40,IF(AND($S40&lt;&gt;"",EDATE($D40,Milestones!$AA$38)&gt;=$S40),$V40,IF(AND($R40&lt;&gt;"",EDATE($D40,Milestones!$AA$38)&gt;=$R40),$U40,$T40)))=Milestones!$AB$38),TEXT(EDATE($D40,Milestones!$AA$38),"dd/mm/yy")&amp;" "&amp;Milestones!$AB$38&amp;" "&amp;Milestones!$AC$38&amp;";  ","")&amp;IF(AND(EDATE($D40,Milestones!$AA$39)&lt;=AsOfDate,IF($Q40=0,$W40,IF(AND($S40&lt;&gt;"",EDATE($D40,Milestones!$AA$39)&gt;=$S40),$V40,IF(AND($R40&lt;&gt;"",EDATE($D40,Milestones!$AA$39)&gt;=$R40),$U40,$T40)))=Milestones!$AB$39),TEXT(EDATE($D40,Milestones!$AA$39),"dd/mm/yy")&amp;" "&amp;Milestones!$AB$39&amp;" "&amp;Milestones!$AC$39&amp;";  ",""))</f>
        <v/>
      </c>
      <c r="I40" s="0" t="str">
        <f aca="false">IF(OR($A40="",$D40=""),"",IF(AND(EDATE($D40,Milestones!$AA$40)&lt;=AsOfDate,IF($Q40=0,$W40,IF(AND($S40&lt;&gt;"",EDATE($D40,Milestones!$AA$40)&gt;=$S40),$V40,IF(AND($R40&lt;&gt;"",EDATE($D40,Milestones!$AA$40)&gt;=$R40),$U40,$T40)))=Milestones!$AB$40),TEXT(EDATE($D40,Milestones!$AA$40),"dd/mm/yy")&amp;" "&amp;Milestones!$AB$40&amp;" "&amp;Milestones!$AC$40&amp;";  ","")&amp;IF(AND(EDATE($D40,Milestones!$AA$41)&lt;=AsOfDate,IF($Q40=0,$W40,IF(AND($S40&lt;&gt;"",EDATE($D40,Milestones!$AA$41)&gt;=$S40),$V40,IF(AND($R40&lt;&gt;"",EDATE($D40,Milestones!$AA$41)&gt;=$R40),$U40,$T40)))=Milestones!$AB$41),TEXT(EDATE($D40,Milestones!$AA$41),"dd/mm/yy")&amp;" "&amp;Milestones!$AB$41&amp;" "&amp;Milestones!$AC$41&amp;";  ","")&amp;IF(AND(EDATE($D40,Milestones!$AA$42)&lt;=AsOfDate,IF($Q40=0,$W40,IF(AND($S40&lt;&gt;"",EDATE($D40,Milestones!$AA$42)&gt;=$S40),$V40,IF(AND($R40&lt;&gt;"",EDATE($D40,Milestones!$AA$42)&gt;=$R40),$U40,$T40)))=Milestones!$AB$42),TEXT(EDATE($D40,Milestones!$AA$42),"dd/mm/yy")&amp;" "&amp;Milestones!$AB$42&amp;" "&amp;Milestones!$AC$42&amp;";  ","")&amp;IF(AND(EDATE($D40,Milestones!$AA$43)&lt;=AsOfDate,IF($Q40=0,$W40,IF(AND($S40&lt;&gt;"",EDATE($D40,Milestones!$AA$43)&gt;=$S40),$V40,IF(AND($R40&lt;&gt;"",EDATE($D40,Milestones!$AA$43)&gt;=$R40),$U40,$T40)))=Milestones!$AB$43),TEXT(EDATE($D40,Milestones!$AA$43),"dd/mm/yy")&amp;" "&amp;Milestones!$AB$43&amp;" "&amp;Milestones!$AC$43&amp;";  ","")&amp;IF(AND(EDATE($D40,Milestones!$AA$44)&lt;=AsOfDate,IF($Q40=0,$W40,IF(AND($S40&lt;&gt;"",EDATE($D40,Milestones!$AA$44)&gt;=$S40),$V40,IF(AND($R40&lt;&gt;"",EDATE($D40,Milestones!$AA$44)&gt;=$R40),$U40,$T40)))=Milestones!$AB$44),TEXT(EDATE($D40,Milestones!$AA$44),"dd/mm/yy")&amp;" "&amp;Milestones!$AB$44&amp;" "&amp;Milestones!$AC$44&amp;";  ","")&amp;IF(AND(EDATE($D40,Milestones!$AA$45)&lt;=AsOfDate,IF($Q40=0,$W40,IF(AND($S40&lt;&gt;"",EDATE($D40,Milestones!$AA$45)&gt;=$S40),$V40,IF(AND($R40&lt;&gt;"",EDATE($D40,Milestones!$AA$45)&gt;=$R40),$U40,$T40)))=Milestones!$AB$45),TEXT(EDATE($D40,Milestones!$AA$45),"dd/mm/yy")&amp;" "&amp;Milestones!$AB$45&amp;" "&amp;Milestones!$AC$45&amp;";  ","")&amp;IF(AND(EDATE($D40,Milestones!$AA$46)&lt;=AsOfDate,IF($Q40=0,$W40,IF(AND($S40&lt;&gt;"",EDATE($D40,Milestones!$AA$46)&gt;=$S40),$V40,IF(AND($R40&lt;&gt;"",EDATE($D40,Milestones!$AA$46)&gt;=$R40),$U40,$T40)))=Milestones!$AB$46),TEXT(EDATE($D40,Milestones!$AA$46),"dd/mm/yy")&amp;" "&amp;Milestones!$AB$46&amp;" "&amp;Milestones!$AC$46&amp;";  ","")&amp;IF(AND(EDATE($D40,Milestones!$AA$47)&lt;=AsOfDate,IF($Q40=0,$W40,IF(AND($S40&lt;&gt;"",EDATE($D40,Milestones!$AA$47)&gt;=$S40),$V40,IF(AND($R40&lt;&gt;"",EDATE($D40,Milestones!$AA$47)&gt;=$R40),$U40,$T40)))=Milestones!$AB$47),TEXT(EDATE($D40,Milestones!$AA$47),"dd/mm/yy")&amp;" "&amp;Milestones!$AB$47&amp;" "&amp;Milestones!$AC$47&amp;";  ","")&amp;IF(AND(EDATE($D40,Milestones!$AA$48)&lt;=AsOfDate,IF($Q40=0,$W40,IF(AND($S40&lt;&gt;"",EDATE($D40,Milestones!$AA$48)&gt;=$S40),$V40,IF(AND($R40&lt;&gt;"",EDATE($D40,Milestones!$AA$48)&gt;=$R40),$U40,$T40)))=Milestones!$AB$48),TEXT(EDATE($D40,Milestones!$AA$48),"dd/mm/yy")&amp;" "&amp;Milestones!$AB$48&amp;" "&amp;Milestones!$AC$48&amp;";  ","")&amp;IF(AND(EDATE($D40,Milestones!$AA$49)&lt;=AsOfDate,IF($Q40=0,$W40,IF(AND($S40&lt;&gt;"",EDATE($D40,Milestones!$AA$49)&gt;=$S40),$V40,IF(AND($R40&lt;&gt;"",EDATE($D40,Milestones!$AA$49)&gt;=$R40),$U40,$T40)))=Milestones!$AB$49),TEXT(EDATE($D40,Milestones!$AA$49),"dd/mm/yy")&amp;" "&amp;Milestones!$AB$49&amp;" "&amp;Milestones!$AC$49&amp;";  ","")&amp;IF(AND(EDATE($D40,Milestones!$AA$50)&lt;=AsOfDate,IF($Q40=0,$W40,IF(AND($S40&lt;&gt;"",EDATE($D40,Milestones!$AA$50)&gt;=$S40),$V40,IF(AND($R40&lt;&gt;"",EDATE($D40,Milestones!$AA$50)&gt;=$R40),$U40,$T40)))=Milestones!$AB$50),TEXT(EDATE($D40,Milestones!$AA$50),"dd/mm/yy")&amp;" "&amp;Milestones!$AB$50&amp;" "&amp;Milestones!$AC$50&amp;";  ","")&amp;IF(AND(EDATE($D40,Milestones!$AA$51)&lt;=AsOfDate,IF($Q40=0,$W40,IF(AND($S40&lt;&gt;"",EDATE($D40,Milestones!$AA$51)&gt;=$S40),$V40,IF(AND($R40&lt;&gt;"",EDATE($D40,Milestones!$AA$51)&gt;=$R40),$U40,$T40)))=Milestones!$AB$51),TEXT(EDATE($D40,Milestones!$AA$51),"dd/mm/yy")&amp;" "&amp;Milestones!$AB$51&amp;" "&amp;Milestones!$AC$51&amp;";  ","")&amp;IF(AND(EDATE($D40,Milestones!$AA$52)&lt;=AsOfDate,IF($Q40=0,$W40,IF(AND($S40&lt;&gt;"",EDATE($D40,Milestones!$AA$52)&gt;=$S40),$V40,IF(AND($R40&lt;&gt;"",EDATE($D40,Milestones!$AA$52)&gt;=$R40),$U40,$T40)))=Milestones!$AB$52),TEXT(EDATE($D40,Milestones!$AA$52),"dd/mm/yy")&amp;" "&amp;Milestones!$AB$52&amp;" "&amp;Milestones!$AC$52&amp;";  ","")&amp;IF(AND(EDATE($D40,Milestones!$AA$53)&lt;=AsOfDate,IF($Q40=0,$W40,IF(AND($S40&lt;&gt;"",EDATE($D40,Milestones!$AA$53)&gt;=$S40),$V40,IF(AND($R40&lt;&gt;"",EDATE($D40,Milestones!$AA$53)&gt;=$R40),$U40,$T40)))=Milestones!$AB$53),TEXT(EDATE($D40,Milestones!$AA$53),"dd/mm/yy")&amp;" "&amp;Milestones!$AB$53&amp;" "&amp;Milestones!$AC$53&amp;";  ","")&amp;IF(AND(EDATE($D40,Milestones!$AA$54)&lt;=AsOfDate,IF($Q40=0,$W40,IF(AND($S40&lt;&gt;"",EDATE($D40,Milestones!$AA$54)&gt;=$S40),$V40,IF(AND($R40&lt;&gt;"",EDATE($D40,Milestones!$AA$54)&gt;=$R40),$U40,$T40)))=Milestones!$AB$54),TEXT(EDATE($D40,Milestones!$AA$54),"dd/mm/yy")&amp;" "&amp;Milestones!$AB$54&amp;" "&amp;Milestones!$AC$54&amp;";  ","")&amp;IF(AND(EDATE($D40,Milestones!$AA$55)&lt;=AsOfDate,IF($Q40=0,$W40,IF(AND($S40&lt;&gt;"",EDATE($D40,Milestones!$AA$55)&gt;=$S40),$V40,IF(AND($R40&lt;&gt;"",EDATE($D40,Milestones!$AA$55)&gt;=$R40),$U40,$T40)))=Milestones!$AB$55),TEXT(EDATE($D40,Milestones!$AA$55),"dd/mm/yy")&amp;" "&amp;Milestones!$AB$55&amp;" "&amp;Milestones!$AC$55&amp;";  ","")&amp;IF(AND(EDATE($D40,Milestones!$AA$56)&lt;=AsOfDate,IF($Q40=0,$W40,IF(AND($S40&lt;&gt;"",EDATE($D40,Milestones!$AA$56)&gt;=$S40),$V40,IF(AND($R40&lt;&gt;"",EDATE($D40,Milestones!$AA$56)&gt;=$R40),$U40,$T40)))=Milestones!$AB$56),TEXT(EDATE($D40,Milestones!$AA$56),"dd/mm/yy")&amp;" "&amp;Milestones!$AB$56&amp;" "&amp;Milestones!$AC$56&amp;";  ","")&amp;IF(AND(EDATE($D40,Milestones!$AA$57)&lt;=AsOfDate,IF($Q40=0,$W40,IF(AND($S40&lt;&gt;"",EDATE($D40,Milestones!$AA$57)&gt;=$S40),$V40,IF(AND($R40&lt;&gt;"",EDATE($D40,Milestones!$AA$57)&gt;=$R40),$U40,$T40)))=Milestones!$AB$57),TEXT(EDATE($D40,Milestones!$AA$57),"dd/mm/yy")&amp;" "&amp;Milestones!$AB$57&amp;" "&amp;Milestones!$AC$57&amp;";  ","")&amp;IF(AND(EDATE($D40,Milestones!$AA$58)&lt;=AsOfDate,IF($Q40=0,$W40,IF(AND($S40&lt;&gt;"",EDATE($D40,Milestones!$AA$58)&gt;=$S40),$V40,IF(AND($R40&lt;&gt;"",EDATE($D40,Milestones!$AA$58)&gt;=$R40),$U40,$T40)))=Milestones!$AB$58),TEXT(EDATE($D40,Milestones!$AA$58),"dd/mm/yy")&amp;" "&amp;Milestones!$AB$58&amp;" "&amp;Milestones!$AC$58&amp;";  ","")&amp;IF(AND(EDATE($D40,Milestones!$AA$59)&lt;=AsOfDate,IF($Q40=0,$W40,IF(AND($S40&lt;&gt;"",EDATE($D40,Milestones!$AA$59)&gt;=$S40),$V40,IF(AND($R40&lt;&gt;"",EDATE($D40,Milestones!$AA$59)&gt;=$R40),$U40,$T40)))=Milestones!$AB$59),TEXT(EDATE($D40,Milestones!$AA$59),"dd/mm/yy")&amp;" "&amp;Milestones!$AB$59&amp;" "&amp;Milestones!$AC$59&amp;";  ",""))</f>
        <v/>
      </c>
      <c r="J40" s="0" t="str">
        <f aca="false">IF(OR($A40="",$D40=""),"",IF(AND(EDATE($D40,Milestones!$AA$60)&lt;=AsOfDate,IF($Q40=0,$W40,IF(AND($S40&lt;&gt;"",EDATE($D40,Milestones!$AA$60)&gt;=$S40),$V40,IF(AND($R40&lt;&gt;"",EDATE($D40,Milestones!$AA$60)&gt;=$R40),$U40,$T40)))=Milestones!$AB$60),TEXT(EDATE($D40,Milestones!$AA$60),"dd/mm/yy")&amp;" "&amp;Milestones!$AB$60&amp;" "&amp;Milestones!$AC$60&amp;";  ","")&amp;IF(AND(EDATE($D40,Milestones!$AA$61)&lt;=AsOfDate,IF($Q40=0,$W40,IF(AND($S40&lt;&gt;"",EDATE($D40,Milestones!$AA$61)&gt;=$S40),$V40,IF(AND($R40&lt;&gt;"",EDATE($D40,Milestones!$AA$61)&gt;=$R40),$U40,$T40)))=Milestones!$AB$61),TEXT(EDATE($D40,Milestones!$AA$61),"dd/mm/yy")&amp;" "&amp;Milestones!$AB$61&amp;" "&amp;Milestones!$AC$61&amp;";  ","")&amp;IF(AND(EDATE($D40,Milestones!$AA$62)&lt;=AsOfDate,IF($Q40=0,$W40,IF(AND($S40&lt;&gt;"",EDATE($D40,Milestones!$AA$62)&gt;=$S40),$V40,IF(AND($R40&lt;&gt;"",EDATE($D40,Milestones!$AA$62)&gt;=$R40),$U40,$T40)))=Milestones!$AB$62),TEXT(EDATE($D40,Milestones!$AA$62),"dd/mm/yy")&amp;" "&amp;Milestones!$AB$62&amp;" "&amp;Milestones!$AC$62&amp;";  ","")&amp;IF(AND(EDATE($D40,Milestones!$AA$63)&lt;=AsOfDate,IF($Q40=0,$W40,IF(AND($S40&lt;&gt;"",EDATE($D40,Milestones!$AA$63)&gt;=$S40),$V40,IF(AND($R40&lt;&gt;"",EDATE($D40,Milestones!$AA$63)&gt;=$R40),$U40,$T40)))=Milestones!$AB$63),TEXT(EDATE($D40,Milestones!$AA$63),"dd/mm/yy")&amp;" "&amp;Milestones!$AB$63&amp;" "&amp;Milestones!$AC$63&amp;";  ","")&amp;IF(AND(EDATE($D40,Milestones!$AA$64)&lt;=AsOfDate,IF($Q40=0,$W40,IF(AND($S40&lt;&gt;"",EDATE($D40,Milestones!$AA$64)&gt;=$S40),$V40,IF(AND($R40&lt;&gt;"",EDATE($D40,Milestones!$AA$64)&gt;=$R40),$U40,$T40)))=Milestones!$AB$64),TEXT(EDATE($D40,Milestones!$AA$64),"dd/mm/yy")&amp;" "&amp;Milestones!$AB$64&amp;" "&amp;Milestones!$AC$64&amp;";  ","")&amp;IF(AND(EDATE($D40,Milestones!$AA$65)&lt;=AsOfDate,IF($Q40=0,$W40,IF(AND($S40&lt;&gt;"",EDATE($D40,Milestones!$AA$65)&gt;=$S40),$V40,IF(AND($R40&lt;&gt;"",EDATE($D40,Milestones!$AA$65)&gt;=$R40),$U40,$T40)))=Milestones!$AB$65),TEXT(EDATE($D40,Milestones!$AA$65),"dd/mm/yy")&amp;" "&amp;Milestones!$AB$65&amp;" "&amp;Milestones!$AC$65&amp;";  ","")&amp;IF(AND(EDATE($D40,Milestones!$AA$66)&lt;=AsOfDate,IF($Q40=0,$W40,IF(AND($S40&lt;&gt;"",EDATE($D40,Milestones!$AA$66)&gt;=$S40),$V40,IF(AND($R40&lt;&gt;"",EDATE($D40,Milestones!$AA$66)&gt;=$R40),$U40,$T40)))=Milestones!$AB$66),TEXT(EDATE($D40,Milestones!$AA$66),"dd/mm/yy")&amp;" "&amp;Milestones!$AB$66&amp;" "&amp;Milestones!$AC$66&amp;";  ","")&amp;IF(AND(EDATE($D40,Milestones!$AA$67)&lt;=AsOfDate,IF($Q40=0,$W40,IF(AND($S40&lt;&gt;"",EDATE($D40,Milestones!$AA$67)&gt;=$S40),$V40,IF(AND($R40&lt;&gt;"",EDATE($D40,Milestones!$AA$67)&gt;=$R40),$U40,$T40)))=Milestones!$AB$67),TEXT(EDATE($D40,Milestones!$AA$67),"dd/mm/yy")&amp;" "&amp;Milestones!$AB$67&amp;" "&amp;Milestones!$AC$67&amp;";  ","")&amp;IF(AND(EDATE($D40,Milestones!$AA$68)&lt;=AsOfDate,IF($Q40=0,$W40,IF(AND($S40&lt;&gt;"",EDATE($D40,Milestones!$AA$68)&gt;=$S40),$V40,IF(AND($R40&lt;&gt;"",EDATE($D40,Milestones!$AA$68)&gt;=$R40),$U40,$T40)))=Milestones!$AB$68),TEXT(EDATE($D40,Milestones!$AA$68),"dd/mm/yy")&amp;" "&amp;Milestones!$AB$68&amp;" "&amp;Milestones!$AC$68&amp;";  ","")&amp;IF(AND(EDATE($D40,Milestones!$AA$69)&lt;=AsOfDate,IF($Q40=0,$W40,IF(AND($S40&lt;&gt;"",EDATE($D40,Milestones!$AA$69)&gt;=$S40),$V40,IF(AND($R40&lt;&gt;"",EDATE($D40,Milestones!$AA$69)&gt;=$R40),$U40,$T40)))=Milestones!$AB$69),TEXT(EDATE($D40,Milestones!$AA$69),"dd/mm/yy")&amp;" "&amp;Milestones!$AB$69&amp;" "&amp;Milestones!$AC$69&amp;";  ","")&amp;IF(AND(EDATE($D40,Milestones!$AA$70)&lt;=AsOfDate,IF($Q40=0,$W40,IF(AND($S40&lt;&gt;"",EDATE($D40,Milestones!$AA$70)&gt;=$S40),$V40,IF(AND($R40&lt;&gt;"",EDATE($D40,Milestones!$AA$70)&gt;=$R40),$U40,$T40)))=Milestones!$AB$70),TEXT(EDATE($D40,Milestones!$AA$70),"dd/mm/yy")&amp;" "&amp;Milestones!$AB$70&amp;" "&amp;Milestones!$AC$70&amp;";  ","")&amp;IF(AND(EDATE($D40,Milestones!$AA$71)&lt;=AsOfDate,IF($Q40=0,$W40,IF(AND($S40&lt;&gt;"",EDATE($D40,Milestones!$AA$71)&gt;=$S40),$V40,IF(AND($R40&lt;&gt;"",EDATE($D40,Milestones!$AA$71)&gt;=$R40),$U40,$T40)))=Milestones!$AB$71),TEXT(EDATE($D40,Milestones!$AA$71),"dd/mm/yy")&amp;" "&amp;Milestones!$AB$71&amp;" "&amp;Milestones!$AC$71&amp;";  ","")&amp;IF(AND(EDATE($D40,Milestones!$AA$72)&lt;=AsOfDate,IF($Q40=0,$W40,IF(AND($S40&lt;&gt;"",EDATE($D40,Milestones!$AA$72)&gt;=$S40),$V40,IF(AND($R40&lt;&gt;"",EDATE($D40,Milestones!$AA$72)&gt;=$R40),$U40,$T40)))=Milestones!$AB$72),TEXT(EDATE($D40,Milestones!$AA$72),"dd/mm/yy")&amp;" "&amp;Milestones!$AB$72&amp;" "&amp;Milestones!$AC$72&amp;";  ","")&amp;IF(AND(EDATE($D40,Milestones!$AA$73)&lt;=AsOfDate,IF($Q40=0,$W40,IF(AND($S40&lt;&gt;"",EDATE($D40,Milestones!$AA$73)&gt;=$S40),$V40,IF(AND($R40&lt;&gt;"",EDATE($D40,Milestones!$AA$73)&gt;=$R40),$U40,$T40)))=Milestones!$AB$73),TEXT(EDATE($D40,Milestones!$AA$73),"dd/mm/yy")&amp;" "&amp;Milestones!$AB$73&amp;" "&amp;Milestones!$AC$73&amp;";  ","")&amp;IF(AND(EDATE($D40,Milestones!$AA$74)&lt;=AsOfDate,IF($Q40=0,$W40,IF(AND($S40&lt;&gt;"",EDATE($D40,Milestones!$AA$74)&gt;=$S40),$V40,IF(AND($R40&lt;&gt;"",EDATE($D40,Milestones!$AA$74)&gt;=$R40),$U40,$T40)))=Milestones!$AB$74),TEXT(EDATE($D40,Milestones!$AA$74),"dd/mm/yy")&amp;" "&amp;Milestones!$AB$74&amp;" "&amp;Milestones!$AC$74&amp;";  ","")&amp;IF(AND(EDATE($D40,Milestones!$AA$75)&lt;=AsOfDate,IF($Q40=0,$W40,IF(AND($S40&lt;&gt;"",EDATE($D40,Milestones!$AA$75)&gt;=$S40),$V40,IF(AND($R40&lt;&gt;"",EDATE($D40,Milestones!$AA$75)&gt;=$R40),$U40,$T40)))=Milestones!$AB$75),TEXT(EDATE($D40,Milestones!$AA$75),"dd/mm/yy")&amp;" "&amp;Milestones!$AB$75&amp;" "&amp;Milestones!$AC$75&amp;";  ","")&amp;IF(AND(EDATE($D40,Milestones!$AA$76)&lt;=AsOfDate,IF($Q40=0,$W40,IF(AND($S40&lt;&gt;"",EDATE($D40,Milestones!$AA$76)&gt;=$S40),$V40,IF(AND($R40&lt;&gt;"",EDATE($D40,Milestones!$AA$76)&gt;=$R40),$U40,$T40)))=Milestones!$AB$76),TEXT(EDATE($D40,Milestones!$AA$76),"dd/mm/yy")&amp;" "&amp;Milestones!$AB$76&amp;" "&amp;Milestones!$AC$76&amp;";  ","")&amp;IF(AND(EDATE($D40,Milestones!$AA$77)&lt;=AsOfDate,IF($Q40=0,$W40,IF(AND($S40&lt;&gt;"",EDATE($D40,Milestones!$AA$77)&gt;=$S40),$V40,IF(AND($R40&lt;&gt;"",EDATE($D40,Milestones!$AA$77)&gt;=$R40),$U40,$T40)))=Milestones!$AB$77),TEXT(EDATE($D40,Milestones!$AA$77),"dd/mm/yy")&amp;" "&amp;Milestones!$AB$77&amp;" "&amp;Milestones!$AC$77&amp;";  ","")&amp;IF(AND(EDATE($D40,Milestones!$AA$78)&lt;=AsOfDate,IF($Q40=0,$W40,IF(AND($S40&lt;&gt;"",EDATE($D40,Milestones!$AA$78)&gt;=$S40),$V40,IF(AND($R40&lt;&gt;"",EDATE($D40,Milestones!$AA$78)&gt;=$R40),$U40,$T40)))=Milestones!$AB$78),TEXT(EDATE($D40,Milestones!$AA$78),"dd/mm/yy")&amp;" "&amp;Milestones!$AB$78&amp;" "&amp;Milestones!$AC$78&amp;";  ","")&amp;IF(AND(EDATE($D40,Milestones!$AA$79)&lt;=AsOfDate,IF($Q40=0,$W40,IF(AND($S40&lt;&gt;"",EDATE($D40,Milestones!$AA$79)&gt;=$S40),$V40,IF(AND($R40&lt;&gt;"",EDATE($D40,Milestones!$AA$79)&gt;=$R40),$U40,$T40)))=Milestones!$AB$79),TEXT(EDATE($D40,Milestones!$AA$79),"dd/mm/yy")&amp;" "&amp;Milestones!$AB$79&amp;" "&amp;Milestones!$AC$79&amp;";  ",""))</f>
        <v/>
      </c>
      <c r="K40" s="0" t="str">
        <f aca="false">IF(OR($A40="",$D40=""),"",IF(AND(EDATE($D40,Milestones!$AA$80)&lt;=AsOfDate,IF($Q40=0,$W40,IF(AND($S40&lt;&gt;"",EDATE($D40,Milestones!$AA$80)&gt;=$S40),$V40,IF(AND($R40&lt;&gt;"",EDATE($D40,Milestones!$AA$80)&gt;=$R40),$U40,$T40)))=Milestones!$AB$80),TEXT(EDATE($D40,Milestones!$AA$80),"dd/mm/yy")&amp;" "&amp;Milestones!$AB$80&amp;" "&amp;Milestones!$AC$80&amp;";  ","")&amp;IF(AND(EDATE($D40,Milestones!$AA$81)&lt;=AsOfDate,IF($Q40=0,$W40,IF(AND($S40&lt;&gt;"",EDATE($D40,Milestones!$AA$81)&gt;=$S40),$V40,IF(AND($R40&lt;&gt;"",EDATE($D40,Milestones!$AA$81)&gt;=$R40),$U40,$T40)))=Milestones!$AB$81),TEXT(EDATE($D40,Milestones!$AA$81),"dd/mm/yy")&amp;" "&amp;Milestones!$AB$81&amp;" "&amp;Milestones!$AC$81&amp;";  ","")&amp;IF(AND(EDATE($D40,Milestones!$AA$82)&lt;=AsOfDate,IF($Q40=0,$W40,IF(AND($S40&lt;&gt;"",EDATE($D40,Milestones!$AA$82)&gt;=$S40),$V40,IF(AND($R40&lt;&gt;"",EDATE($D40,Milestones!$AA$82)&gt;=$R40),$U40,$T40)))=Milestones!$AB$82),TEXT(EDATE($D40,Milestones!$AA$82),"dd/mm/yy")&amp;" "&amp;Milestones!$AB$82&amp;" "&amp;Milestones!$AC$82&amp;";  ","")&amp;IF(AND(EDATE($D40,Milestones!$AA$83)&lt;=AsOfDate,IF($Q40=0,$W40,IF(AND($S40&lt;&gt;"",EDATE($D40,Milestones!$AA$83)&gt;=$S40),$V40,IF(AND($R40&lt;&gt;"",EDATE($D40,Milestones!$AA$83)&gt;=$R40),$U40,$T40)))=Milestones!$AB$83),TEXT(EDATE($D40,Milestones!$AA$83),"dd/mm/yy")&amp;" "&amp;Milestones!$AB$83&amp;" "&amp;Milestones!$AC$83&amp;";  ","")&amp;IF(AND(EDATE($D40,Milestones!$AA$84)&lt;=AsOfDate,IF($Q40=0,$W40,IF(AND($S40&lt;&gt;"",EDATE($D40,Milestones!$AA$84)&gt;=$S40),$V40,IF(AND($R40&lt;&gt;"",EDATE($D40,Milestones!$AA$84)&gt;=$R40),$U40,$T40)))=Milestones!$AB$84),TEXT(EDATE($D40,Milestones!$AA$84),"dd/mm/yy")&amp;" "&amp;Milestones!$AB$84&amp;" "&amp;Milestones!$AC$84&amp;";  ","")&amp;IF(AND(EDATE($D40,Milestones!$AA$85)&lt;=AsOfDate,IF($Q40=0,$W40,IF(AND($S40&lt;&gt;"",EDATE($D40,Milestones!$AA$85)&gt;=$S40),$V40,IF(AND($R40&lt;&gt;"",EDATE($D40,Milestones!$AA$85)&gt;=$R40),$U40,$T40)))=Milestones!$AB$85),TEXT(EDATE($D40,Milestones!$AA$85),"dd/mm/yy")&amp;" "&amp;Milestones!$AB$85&amp;" "&amp;Milestones!$AC$85&amp;";  ","")&amp;IF(AND(EDATE($D40,Milestones!$AA$86)&lt;=AsOfDate,IF($Q40=0,$W40,IF(AND($S40&lt;&gt;"",EDATE($D40,Milestones!$AA$86)&gt;=$S40),$V40,IF(AND($R40&lt;&gt;"",EDATE($D40,Milestones!$AA$86)&gt;=$R40),$U40,$T40)))=Milestones!$AB$86),TEXT(EDATE($D40,Milestones!$AA$86),"dd/mm/yy")&amp;" "&amp;Milestones!$AB$86&amp;" "&amp;Milestones!$AC$86&amp;";  ","")&amp;IF(AND(EDATE($D40,Milestones!$AA$87)&lt;=AsOfDate,IF($Q40=0,$W40,IF(AND($S40&lt;&gt;"",EDATE($D40,Milestones!$AA$87)&gt;=$S40),$V40,IF(AND($R40&lt;&gt;"",EDATE($D40,Milestones!$AA$87)&gt;=$R40),$U40,$T40)))=Milestones!$AB$87),TEXT(EDATE($D40,Milestones!$AA$87),"dd/mm/yy")&amp;" "&amp;Milestones!$AB$87&amp;" "&amp;Milestones!$AC$87&amp;";  ","")&amp;IF(AND(EDATE($D40,Milestones!$AA$88)&lt;=AsOfDate,IF($Q40=0,$W40,IF(AND($S40&lt;&gt;"",EDATE($D40,Milestones!$AA$88)&gt;=$S40),$V40,IF(AND($R40&lt;&gt;"",EDATE($D40,Milestones!$AA$88)&gt;=$R40),$U40,$T40)))=Milestones!$AB$88),TEXT(EDATE($D40,Milestones!$AA$88),"dd/mm/yy")&amp;" "&amp;Milestones!$AB$88&amp;" "&amp;Milestones!$AC$88&amp;";  ","")&amp;IF(AND(EDATE($D40,Milestones!$AA$89)&lt;=AsOfDate,IF($Q40=0,$W40,IF(AND($S40&lt;&gt;"",EDATE($D40,Milestones!$AA$89)&gt;=$S40),$V40,IF(AND($R40&lt;&gt;"",EDATE($D40,Milestones!$AA$89)&gt;=$R40),$U40,$T40)))=Milestones!$AB$89),TEXT(EDATE($D40,Milestones!$AA$89),"dd/mm/yy")&amp;" "&amp;Milestones!$AB$89&amp;" "&amp;Milestones!$AC$89&amp;";  ","")&amp;IF(AND(EDATE($D40,Milestones!$AA$90)&lt;=AsOfDate,IF($Q40=0,$W40,IF(AND($S40&lt;&gt;"",EDATE($D40,Milestones!$AA$90)&gt;=$S40),$V40,IF(AND($R40&lt;&gt;"",EDATE($D40,Milestones!$AA$90)&gt;=$R40),$U40,$T40)))=Milestones!$AB$90),TEXT(EDATE($D40,Milestones!$AA$90),"dd/mm/yy")&amp;" "&amp;Milestones!$AB$90&amp;" "&amp;Milestones!$AC$90&amp;";  ","")&amp;IF(AND(EDATE($D40,Milestones!$AA$91)&lt;=AsOfDate,IF($Q40=0,$W40,IF(AND($S40&lt;&gt;"",EDATE($D40,Milestones!$AA$91)&gt;=$S40),$V40,IF(AND($R40&lt;&gt;"",EDATE($D40,Milestones!$AA$91)&gt;=$R40),$U40,$T40)))=Milestones!$AB$91),TEXT(EDATE($D40,Milestones!$AA$91),"dd/mm/yy")&amp;" "&amp;Milestones!$AB$91&amp;" "&amp;Milestones!$AC$91&amp;";  ","")&amp;IF(AND(EDATE($D40,Milestones!$AA$92)&lt;=AsOfDate,IF($Q40=0,$W40,IF(AND($S40&lt;&gt;"",EDATE($D40,Milestones!$AA$92)&gt;=$S40),$V40,IF(AND($R40&lt;&gt;"",EDATE($D40,Milestones!$AA$92)&gt;=$R40),$U40,$T40)))=Milestones!$AB$92),TEXT(EDATE($D40,Milestones!$AA$92),"dd/mm/yy")&amp;" "&amp;Milestones!$AB$92&amp;" "&amp;Milestones!$AC$92&amp;";  ","")&amp;IF(AND(EDATE($D40,Milestones!$AA$93)&lt;=AsOfDate,IF($Q40=0,$W40,IF(AND($S40&lt;&gt;"",EDATE($D40,Milestones!$AA$93)&gt;=$S40),$V40,IF(AND($R40&lt;&gt;"",EDATE($D40,Milestones!$AA$93)&gt;=$R40),$U40,$T40)))=Milestones!$AB$93),TEXT(EDATE($D40,Milestones!$AA$93),"dd/mm/yy")&amp;" "&amp;Milestones!$AB$93&amp;" "&amp;Milestones!$AC$93&amp;";  ","")&amp;IF(AND(EDATE($D40,Milestones!$AA$94)&lt;=AsOfDate,IF($Q40=0,$W40,IF(AND($S40&lt;&gt;"",EDATE($D40,Milestones!$AA$94)&gt;=$S40),$V40,IF(AND($R40&lt;&gt;"",EDATE($D40,Milestones!$AA$94)&gt;=$R40),$U40,$T40)))=Milestones!$AB$94),TEXT(EDATE($D40,Milestones!$AA$94),"dd/mm/yy")&amp;" "&amp;Milestones!$AB$94&amp;" "&amp;Milestones!$AC$94&amp;";  ","")&amp;IF(AND(EDATE($D40,Milestones!$AA$95)&lt;=AsOfDate,IF($Q40=0,$W40,IF(AND($S40&lt;&gt;"",EDATE($D40,Milestones!$AA$95)&gt;=$S40),$V40,IF(AND($R40&lt;&gt;"",EDATE($D40,Milestones!$AA$95)&gt;=$R40),$U40,$T40)))=Milestones!$AB$95),TEXT(EDATE($D40,Milestones!$AA$95),"dd/mm/yy")&amp;" "&amp;Milestones!$AB$95&amp;" "&amp;Milestones!$AC$95&amp;";  ","")&amp;IF(AND(EDATE($D40,Milestones!$AA$96)&lt;=AsOfDate,IF($Q40=0,$W40,IF(AND($S40&lt;&gt;"",EDATE($D40,Milestones!$AA$96)&gt;=$S40),$V40,IF(AND($R40&lt;&gt;"",EDATE($D40,Milestones!$AA$96)&gt;=$R40),$U40,$T40)))=Milestones!$AB$96),TEXT(EDATE($D40,Milestones!$AA$96),"dd/mm/yy")&amp;" "&amp;Milestones!$AB$96&amp;" "&amp;Milestones!$AC$96&amp;";  ","")&amp;IF(AND(EDATE($D40,Milestones!$AA$97)&lt;=AsOfDate,IF($Q40=0,$W40,IF(AND($S40&lt;&gt;"",EDATE($D40,Milestones!$AA$97)&gt;=$S40),$V40,IF(AND($R40&lt;&gt;"",EDATE($D40,Milestones!$AA$97)&gt;=$R40),$U40,$T40)))=Milestones!$AB$97),TEXT(EDATE($D40,Milestones!$AA$97),"dd/mm/yy")&amp;" "&amp;Milestones!$AB$97&amp;" "&amp;Milestones!$AC$97&amp;";  ","")&amp;IF(AND(EDATE($D40,Milestones!$AA$98)&lt;=AsOfDate,IF($Q40=0,$W40,IF(AND($S40&lt;&gt;"",EDATE($D40,Milestones!$AA$98)&gt;=$S40),$V40,IF(AND($R40&lt;&gt;"",EDATE($D40,Milestones!$AA$98)&gt;=$R40),$U40,$T40)))=Milestones!$AB$98),TEXT(EDATE($D40,Milestones!$AA$98),"dd/mm/yy")&amp;" "&amp;Milestones!$AB$98&amp;" "&amp;Milestones!$AC$98&amp;";  ","")&amp;IF(AND(EDATE($D40,Milestones!$AA$99)&lt;=AsOfDate,IF($Q40=0,$W40,IF(AND($S40&lt;&gt;"",EDATE($D40,Milestones!$AA$99)&gt;=$S40),$V40,IF(AND($R40&lt;&gt;"",EDATE($D40,Milestones!$AA$99)&gt;=$R40),$U40,$T40)))=Milestones!$AB$99),TEXT(EDATE($D40,Milestones!$AA$99),"dd/mm/yy")&amp;" "&amp;Milestones!$AB$99&amp;" "&amp;Milestones!$AC$99&amp;";  ",""))</f>
        <v/>
      </c>
      <c r="L40" s="0" t="str">
        <f aca="false">IF(OR($A40="",$D40=""),"",IF(AND(EDATE($D40,Milestones!$AA$100)&lt;=AsOfDate,IF($Q40=0,$W40,IF(AND($S40&lt;&gt;"",EDATE($D40,Milestones!$AA$100)&gt;=$S40),$V40,IF(AND($R40&lt;&gt;"",EDATE($D40,Milestones!$AA$100)&gt;=$R40),$U40,$T40)))=Milestones!$AB$100),TEXT(EDATE($D40,Milestones!$AA$100),"dd/mm/yy")&amp;" "&amp;Milestones!$AB$100&amp;" "&amp;Milestones!$AC$100&amp;";  ","")&amp;IF(AND(EDATE($D40,Milestones!$AA$101)&lt;=AsOfDate,IF($Q40=0,$W40,IF(AND($S40&lt;&gt;"",EDATE($D40,Milestones!$AA$101)&gt;=$S40),$V40,IF(AND($R40&lt;&gt;"",EDATE($D40,Milestones!$AA$101)&gt;=$R40),$U40,$T40)))=Milestones!$AB$101),TEXT(EDATE($D40,Milestones!$AA$101),"dd/mm/yy")&amp;" "&amp;Milestones!$AB$101&amp;" "&amp;Milestones!$AC$101&amp;";  ","")&amp;IF(AND(EDATE($D40,Milestones!$AA$102)&lt;=AsOfDate,IF($Q40=0,$W40,IF(AND($S40&lt;&gt;"",EDATE($D40,Milestones!$AA$102)&gt;=$S40),$V40,IF(AND($R40&lt;&gt;"",EDATE($D40,Milestones!$AA$102)&gt;=$R40),$U40,$T40)))=Milestones!$AB$102),TEXT(EDATE($D40,Milestones!$AA$102),"dd/mm/yy")&amp;" "&amp;Milestones!$AB$102&amp;" "&amp;Milestones!$AC$102&amp;";  ","")&amp;IF(AND(EDATE($D40,Milestones!$AA$103)&lt;=AsOfDate,IF($Q40=0,$W40,IF(AND($S40&lt;&gt;"",EDATE($D40,Milestones!$AA$103)&gt;=$S40),$V40,IF(AND($R40&lt;&gt;"",EDATE($D40,Milestones!$AA$103)&gt;=$R40),$U40,$T40)))=Milestones!$AB$103),TEXT(EDATE($D40,Milestones!$AA$103),"dd/mm/yy")&amp;" "&amp;Milestones!$AB$103&amp;" "&amp;Milestones!$AC$103&amp;";  ","")&amp;IF(AND(EDATE($D40,Milestones!$AA$104)&lt;=AsOfDate,IF($Q40=0,$W40,IF(AND($S40&lt;&gt;"",EDATE($D40,Milestones!$AA$104)&gt;=$S40),$V40,IF(AND($R40&lt;&gt;"",EDATE($D40,Milestones!$AA$104)&gt;=$R40),$U40,$T40)))=Milestones!$AB$104),TEXT(EDATE($D40,Milestones!$AA$104),"dd/mm/yy")&amp;" "&amp;Milestones!$AB$104&amp;" "&amp;Milestones!$AC$104&amp;";  ","")&amp;IF(AND(EDATE($D40,Milestones!$AA$105)&lt;=AsOfDate,IF($Q40=0,$W40,IF(AND($S40&lt;&gt;"",EDATE($D40,Milestones!$AA$105)&gt;=$S40),$V40,IF(AND($R40&lt;&gt;"",EDATE($D40,Milestones!$AA$105)&gt;=$R40),$U40,$T40)))=Milestones!$AB$105),TEXT(EDATE($D40,Milestones!$AA$105),"dd/mm/yy")&amp;" "&amp;Milestones!$AB$105&amp;" "&amp;Milestones!$AC$105&amp;";  ","")&amp;IF(AND(EDATE($D40,Milestones!$AA$106)&lt;=AsOfDate,IF($Q40=0,$W40,IF(AND($S40&lt;&gt;"",EDATE($D40,Milestones!$AA$106)&gt;=$S40),$V40,IF(AND($R40&lt;&gt;"",EDATE($D40,Milestones!$AA$106)&gt;=$R40),$U40,$T40)))=Milestones!$AB$106),TEXT(EDATE($D40,Milestones!$AA$106),"dd/mm/yy")&amp;" "&amp;Milestones!$AB$106&amp;" "&amp;Milestones!$AC$106&amp;";  ","")&amp;IF(AND(EDATE($D40,Milestones!$AA$107)&lt;=AsOfDate,IF($Q40=0,$W40,IF(AND($S40&lt;&gt;"",EDATE($D40,Milestones!$AA$107)&gt;=$S40),$V40,IF(AND($R40&lt;&gt;"",EDATE($D40,Milestones!$AA$107)&gt;=$R40),$U40,$T40)))=Milestones!$AB$107),TEXT(EDATE($D40,Milestones!$AA$107),"dd/mm/yy")&amp;" "&amp;Milestones!$AB$107&amp;" "&amp;Milestones!$AC$107&amp;";  ","")&amp;IF(AND(EDATE($D40,Milestones!$AA$108)&lt;=AsOfDate,IF($Q40=0,$W40,IF(AND($S40&lt;&gt;"",EDATE($D40,Milestones!$AA$108)&gt;=$S40),$V40,IF(AND($R40&lt;&gt;"",EDATE($D40,Milestones!$AA$108)&gt;=$R40),$U40,$T40)))=Milestones!$AB$108),TEXT(EDATE($D40,Milestones!$AA$108),"dd/mm/yy")&amp;" "&amp;Milestones!$AB$108&amp;" "&amp;Milestones!$AC$108&amp;";  ","")&amp;IF(AND(EDATE($D40,Milestones!$AA$109)&lt;=AsOfDate,IF($Q40=0,$W40,IF(AND($S40&lt;&gt;"",EDATE($D40,Milestones!$AA$109)&gt;=$S40),$V40,IF(AND($R40&lt;&gt;"",EDATE($D40,Milestones!$AA$109)&gt;=$R40),$U40,$T40)))=Milestones!$AB$109),TEXT(EDATE($D40,Milestones!$AA$109),"dd/mm/yy")&amp;" "&amp;Milestones!$AB$109&amp;" "&amp;Milestones!$AC$109&amp;";  ","")&amp;IF(AND(EDATE($D40,Milestones!$AA$110)&lt;=AsOfDate,IF($Q40=0,$W40,IF(AND($S40&lt;&gt;"",EDATE($D40,Milestones!$AA$110)&gt;=$S40),$V40,IF(AND($R40&lt;&gt;"",EDATE($D40,Milestones!$AA$110)&gt;=$R40),$U40,$T40)))=Milestones!$AB$110),TEXT(EDATE($D40,Milestones!$AA$110),"dd/mm/yy")&amp;" "&amp;Milestones!$AB$110&amp;" "&amp;Milestones!$AC$110&amp;";  ","")&amp;IF(AND(EDATE($D40,Milestones!$AA$111)&lt;=AsOfDate,IF($Q40=0,$W40,IF(AND($S40&lt;&gt;"",EDATE($D40,Milestones!$AA$111)&gt;=$S40),$V40,IF(AND($R40&lt;&gt;"",EDATE($D40,Milestones!$AA$111)&gt;=$R40),$U40,$T40)))=Milestones!$AB$111),TEXT(EDATE($D40,Milestones!$AA$111),"dd/mm/yy")&amp;" "&amp;Milestones!$AB$111&amp;" "&amp;Milestones!$AC$111&amp;";  ","")&amp;IF(AND(EDATE($D40,Milestones!$AA$112)&lt;=AsOfDate,IF($Q40=0,$W40,IF(AND($S40&lt;&gt;"",EDATE($D40,Milestones!$AA$112)&gt;=$S40),$V40,IF(AND($R40&lt;&gt;"",EDATE($D40,Milestones!$AA$112)&gt;=$R40),$U40,$T40)))=Milestones!$AB$112),TEXT(EDATE($D40,Milestones!$AA$112),"dd/mm/yy")&amp;" "&amp;Milestones!$AB$112&amp;" "&amp;Milestones!$AC$112&amp;";  ","")&amp;IF(AND(EDATE($D40,Milestones!$AA$113)&lt;=AsOfDate,IF($Q40=0,$W40,IF(AND($S40&lt;&gt;"",EDATE($D40,Milestones!$AA$113)&gt;=$S40),$V40,IF(AND($R40&lt;&gt;"",EDATE($D40,Milestones!$AA$113)&gt;=$R40),$U40,$T40)))=Milestones!$AB$113),TEXT(EDATE($D40,Milestones!$AA$113),"dd/mm/yy")&amp;" "&amp;Milestones!$AB$113&amp;" "&amp;Milestones!$AC$113&amp;";  ","")&amp;IF(AND(EDATE($D40,Milestones!$AA$114)&lt;=AsOfDate,IF($Q40=0,$W40,IF(AND($S40&lt;&gt;"",EDATE($D40,Milestones!$AA$114)&gt;=$S40),$V40,IF(AND($R40&lt;&gt;"",EDATE($D40,Milestones!$AA$114)&gt;=$R40),$U40,$T40)))=Milestones!$AB$114),TEXT(EDATE($D40,Milestones!$AA$114),"dd/mm/yy")&amp;" "&amp;Milestones!$AB$114&amp;" "&amp;Milestones!$AC$114&amp;";  ","")&amp;IF(AND(EDATE($D40,Milestones!$AA$115)&lt;=AsOfDate,IF($Q40=0,$W40,IF(AND($S40&lt;&gt;"",EDATE($D40,Milestones!$AA$115)&gt;=$S40),$V40,IF(AND($R40&lt;&gt;"",EDATE($D40,Milestones!$AA$115)&gt;=$R40),$U40,$T40)))=Milestones!$AB$115),TEXT(EDATE($D40,Milestones!$AA$115),"dd/mm/yy")&amp;" "&amp;Milestones!$AB$115&amp;" "&amp;Milestones!$AC$115&amp;";  ","")&amp;IF(AND(EDATE($D40,Milestones!$AA$116)&lt;=AsOfDate,IF($Q40=0,$W40,IF(AND($S40&lt;&gt;"",EDATE($D40,Milestones!$AA$116)&gt;=$S40),$V40,IF(AND($R40&lt;&gt;"",EDATE($D40,Milestones!$AA$116)&gt;=$R40),$U40,$T40)))=Milestones!$AB$116),TEXT(EDATE($D40,Milestones!$AA$116),"dd/mm/yy")&amp;" "&amp;Milestones!$AB$116&amp;" "&amp;Milestones!$AC$116&amp;";  ","")&amp;IF(AND(EDATE($D40,Milestones!$AA$117)&lt;=AsOfDate,IF($Q40=0,$W40,IF(AND($S40&lt;&gt;"",EDATE($D40,Milestones!$AA$117)&gt;=$S40),$V40,IF(AND($R40&lt;&gt;"",EDATE($D40,Milestones!$AA$117)&gt;=$R40),$U40,$T40)))=Milestones!$AB$117),TEXT(EDATE($D40,Milestones!$AA$117),"dd/mm/yy")&amp;" "&amp;Milestones!$AB$117&amp;" "&amp;Milestones!$AC$117&amp;";  ","")&amp;IF(AND(EDATE($D40,Milestones!$AA$118)&lt;=AsOfDate,IF($Q40=0,$W40,IF(AND($S40&lt;&gt;"",EDATE($D40,Milestones!$AA$118)&gt;=$S40),$V40,IF(AND($R40&lt;&gt;"",EDATE($D40,Milestones!$AA$118)&gt;=$R40),$U40,$T40)))=Milestones!$AB$118),TEXT(EDATE($D40,Milestones!$AA$118),"dd/mm/yy")&amp;" "&amp;Milestones!$AB$118&amp;" "&amp;Milestones!$AC$118&amp;";  ","")&amp;IF(AND(EDATE($D40,Milestones!$AA$119)&lt;=AsOfDate,IF($Q40=0,$W40,IF(AND($S40&lt;&gt;"",EDATE($D40,Milestones!$AA$119)&gt;=$S40),$V40,IF(AND($R40&lt;&gt;"",EDATE($D40,Milestones!$AA$119)&gt;=$R40),$U40,$T40)))=Milestones!$AB$119),TEXT(EDATE($D40,Milestones!$AA$119),"dd/mm/yy")&amp;" "&amp;Milestones!$AB$119&amp;" "&amp;Milestones!$AC$119&amp;";  ",""))</f>
        <v/>
      </c>
      <c r="M40" s="0" t="str">
        <f aca="false">IF(OR($A40="",$D40=""),"",IF(AND(EDATE($D40,Milestones!$AA$120)&lt;=AsOfDate,IF($Q40=0,$W40,IF(AND($S40&lt;&gt;"",EDATE($D40,Milestones!$AA$120)&gt;=$S40),$V40,IF(AND($R40&lt;&gt;"",EDATE($D40,Milestones!$AA$120)&gt;=$R40),$U40,$T40)))=Milestones!$AB$120),TEXT(EDATE($D40,Milestones!$AA$120),"dd/mm/yy")&amp;" "&amp;Milestones!$AB$120&amp;" "&amp;Milestones!$AC$120&amp;";  ","")&amp;IF(AND(EDATE($D40,Milestones!$AA$121)&lt;=AsOfDate,IF($Q40=0,$W40,IF(AND($S40&lt;&gt;"",EDATE($D40,Milestones!$AA$121)&gt;=$S40),$V40,IF(AND($R40&lt;&gt;"",EDATE($D40,Milestones!$AA$121)&gt;=$R40),$U40,$T40)))=Milestones!$AB$121),TEXT(EDATE($D40,Milestones!$AA$121),"dd/mm/yy")&amp;" "&amp;Milestones!$AB$121&amp;" "&amp;Milestones!$AC$121&amp;";  ","")&amp;IF(AND(EDATE($D40,Milestones!$AA$122)&lt;=AsOfDate,IF($Q40=0,$W40,IF(AND($S40&lt;&gt;"",EDATE($D40,Milestones!$AA$122)&gt;=$S40),$V40,IF(AND($R40&lt;&gt;"",EDATE($D40,Milestones!$AA$122)&gt;=$R40),$U40,$T40)))=Milestones!$AB$122),TEXT(EDATE($D40,Milestones!$AA$122),"dd/mm/yy")&amp;" "&amp;Milestones!$AB$122&amp;" "&amp;Milestones!$AC$122&amp;";  ","")&amp;IF(AND(EDATE($D40,Milestones!$AA$123)&lt;=AsOfDate,IF($Q40=0,$W40,IF(AND($S40&lt;&gt;"",EDATE($D40,Milestones!$AA$123)&gt;=$S40),$V40,IF(AND($R40&lt;&gt;"",EDATE($D40,Milestones!$AA$123)&gt;=$R40),$U40,$T40)))=Milestones!$AB$123),TEXT(EDATE($D40,Milestones!$AA$123),"dd/mm/yy")&amp;" "&amp;Milestones!$AB$123&amp;" "&amp;Milestones!$AC$123&amp;";  ","")&amp;IF(AND(EDATE($D40,Milestones!$AA$124)&lt;=AsOfDate,IF($Q40=0,$W40,IF(AND($S40&lt;&gt;"",EDATE($D40,Milestones!$AA$124)&gt;=$S40),$V40,IF(AND($R40&lt;&gt;"",EDATE($D40,Milestones!$AA$124)&gt;=$R40),$U40,$T40)))=Milestones!$AB$124),TEXT(EDATE($D40,Milestones!$AA$124),"dd/mm/yy")&amp;" "&amp;Milestones!$AB$124&amp;" "&amp;Milestones!$AC$124&amp;";  ","")&amp;IF(AND(EDATE($D40,Milestones!$AA$125)&lt;=AsOfDate,IF($Q40=0,$W40,IF(AND($S40&lt;&gt;"",EDATE($D40,Milestones!$AA$125)&gt;=$S40),$V40,IF(AND($R40&lt;&gt;"",EDATE($D40,Milestones!$AA$125)&gt;=$R40),$U40,$T40)))=Milestones!$AB$125),TEXT(EDATE($D40,Milestones!$AA$125),"dd/mm/yy")&amp;" "&amp;Milestones!$AB$125&amp;" "&amp;Milestones!$AC$125&amp;";  ","")&amp;IF(AND(EDATE($D40,Milestones!$AA$126)&lt;=AsOfDate,IF($Q40=0,$W40,IF(AND($S40&lt;&gt;"",EDATE($D40,Milestones!$AA$126)&gt;=$S40),$V40,IF(AND($R40&lt;&gt;"",EDATE($D40,Milestones!$AA$126)&gt;=$R40),$U40,$T40)))=Milestones!$AB$126),TEXT(EDATE($D40,Milestones!$AA$126),"dd/mm/yy")&amp;" "&amp;Milestones!$AB$126&amp;" "&amp;Milestones!$AC$126&amp;";  ","")&amp;IF(AND(EDATE($D40,Milestones!$AA$127)&lt;=AsOfDate,IF($Q40=0,$W40,IF(AND($S40&lt;&gt;"",EDATE($D40,Milestones!$AA$127)&gt;=$S40),$V40,IF(AND($R40&lt;&gt;"",EDATE($D40,Milestones!$AA$127)&gt;=$R40),$U40,$T40)))=Milestones!$AB$127),TEXT(EDATE($D40,Milestones!$AA$127),"dd/mm/yy")&amp;" "&amp;Milestones!$AB$127&amp;" "&amp;Milestones!$AC$127&amp;";  ","")&amp;IF(AND(EDATE($D40,Milestones!$AA$128)&lt;=AsOfDate,IF($Q40=0,$W40,IF(AND($S40&lt;&gt;"",EDATE($D40,Milestones!$AA$128)&gt;=$S40),$V40,IF(AND($R40&lt;&gt;"",EDATE($D40,Milestones!$AA$128)&gt;=$R40),$U40,$T40)))=Milestones!$AB$128),TEXT(EDATE($D40,Milestones!$AA$128),"dd/mm/yy")&amp;" "&amp;Milestones!$AB$128&amp;" "&amp;Milestones!$AC$128&amp;";  ","")&amp;IF(AND(EDATE($D40,Milestones!$AA$129)&lt;=AsOfDate,IF($Q40=0,$W40,IF(AND($S40&lt;&gt;"",EDATE($D40,Milestones!$AA$129)&gt;=$S40),$V40,IF(AND($R40&lt;&gt;"",EDATE($D40,Milestones!$AA$129)&gt;=$R40),$U40,$T40)))=Milestones!$AB$129),TEXT(EDATE($D40,Milestones!$AA$129),"dd/mm/yy")&amp;" "&amp;Milestones!$AB$129&amp;" "&amp;Milestones!$AC$129&amp;";  ","")&amp;IF(AND(EDATE($D40,Milestones!$AA$130)&lt;=AsOfDate,IF($Q40=0,$W40,IF(AND($S40&lt;&gt;"",EDATE($D40,Milestones!$AA$130)&gt;=$S40),$V40,IF(AND($R40&lt;&gt;"",EDATE($D40,Milestones!$AA$130)&gt;=$R40),$U40,$T40)))=Milestones!$AB$130),TEXT(EDATE($D40,Milestones!$AA$130),"dd/mm/yy")&amp;" "&amp;Milestones!$AB$130&amp;" "&amp;Milestones!$AC$130&amp;";  ","")&amp;IF(AND(EDATE($D40,Milestones!$AA$131)&lt;=AsOfDate,IF($Q40=0,$W40,IF(AND($S40&lt;&gt;"",EDATE($D40,Milestones!$AA$131)&gt;=$S40),$V40,IF(AND($R40&lt;&gt;"",EDATE($D40,Milestones!$AA$131)&gt;=$R40),$U40,$T40)))=Milestones!$AB$131),TEXT(EDATE($D40,Milestones!$AA$131),"dd/mm/yy")&amp;" "&amp;Milestones!$AB$131&amp;" "&amp;Milestones!$AC$131&amp;";  ","")&amp;IF(AND(EDATE($D40,Milestones!$AA$132)&lt;=AsOfDate,IF($Q40=0,$W40,IF(AND($S40&lt;&gt;"",EDATE($D40,Milestones!$AA$132)&gt;=$S40),$V40,IF(AND($R40&lt;&gt;"",EDATE($D40,Milestones!$AA$132)&gt;=$R40),$U40,$T40)))=Milestones!$AB$132),TEXT(EDATE($D40,Milestones!$AA$132),"dd/mm/yy")&amp;" "&amp;Milestones!$AB$132&amp;" "&amp;Milestones!$AC$132&amp;";  ","")&amp;IF(AND(EDATE($D40,Milestones!$AA$133)&lt;=AsOfDate,IF($Q40=0,$W40,IF(AND($S40&lt;&gt;"",EDATE($D40,Milestones!$AA$133)&gt;=$S40),$V40,IF(AND($R40&lt;&gt;"",EDATE($D40,Milestones!$AA$133)&gt;=$R40),$U40,$T40)))=Milestones!$AB$133),TEXT(EDATE($D40,Milestones!$AA$133),"dd/mm/yy")&amp;" "&amp;Milestones!$AB$133&amp;" "&amp;Milestones!$AC$133&amp;";  ","")&amp;IF(AND(EDATE($D40,Milestones!$AA$134)&lt;=AsOfDate,IF($Q40=0,$W40,IF(AND($S40&lt;&gt;"",EDATE($D40,Milestones!$AA$134)&gt;=$S40),$V40,IF(AND($R40&lt;&gt;"",EDATE($D40,Milestones!$AA$134)&gt;=$R40),$U40,$T40)))=Milestones!$AB$134),TEXT(EDATE($D40,Milestones!$AA$134),"dd/mm/yy")&amp;" "&amp;Milestones!$AB$134&amp;" "&amp;Milestones!$AC$134&amp;";  ","")&amp;IF(AND(EDATE($D40,Milestones!$AA$135)&lt;=AsOfDate,IF($Q40=0,$W40,IF(AND($S40&lt;&gt;"",EDATE($D40,Milestones!$AA$135)&gt;=$S40),$V40,IF(AND($R40&lt;&gt;"",EDATE($D40,Milestones!$AA$135)&gt;=$R40),$U40,$T40)))=Milestones!$AB$135),TEXT(EDATE($D40,Milestones!$AA$135),"dd/mm/yy")&amp;" "&amp;Milestones!$AB$135&amp;" "&amp;Milestones!$AC$135&amp;";  ","")&amp;IF(AND(EDATE($D40,Milestones!$AA$136)&lt;=AsOfDate,IF($Q40=0,$W40,IF(AND($S40&lt;&gt;"",EDATE($D40,Milestones!$AA$136)&gt;=$S40),$V40,IF(AND($R40&lt;&gt;"",EDATE($D40,Milestones!$AA$136)&gt;=$R40),$U40,$T40)))=Milestones!$AB$136),TEXT(EDATE($D40,Milestones!$AA$136),"dd/mm/yy")&amp;" "&amp;Milestones!$AB$136&amp;" "&amp;Milestones!$AC$136&amp;";  ","")&amp;IF(AND(EDATE($D40,Milestones!$AA$137)&lt;=AsOfDate,IF($Q40=0,$W40,IF(AND($S40&lt;&gt;"",EDATE($D40,Milestones!$AA$137)&gt;=$S40),$V40,IF(AND($R40&lt;&gt;"",EDATE($D40,Milestones!$AA$137)&gt;=$R40),$U40,$T40)))=Milestones!$AB$137),TEXT(EDATE($D40,Milestones!$AA$137),"dd/mm/yy")&amp;" "&amp;Milestones!$AB$137&amp;" "&amp;Milestones!$AC$137&amp;";  ","")&amp;IF(AND(EDATE($D40,Milestones!$AA$138)&lt;=AsOfDate,IF($Q40=0,$W40,IF(AND($S40&lt;&gt;"",EDATE($D40,Milestones!$AA$138)&gt;=$S40),$V40,IF(AND($R40&lt;&gt;"",EDATE($D40,Milestones!$AA$138)&gt;=$R40),$U40,$T40)))=Milestones!$AB$138),TEXT(EDATE($D40,Milestones!$AA$138),"dd/mm/yy")&amp;" "&amp;Milestones!$AB$138&amp;" "&amp;Milestones!$AC$138&amp;";  ","")&amp;IF(AND(EDATE($D40,Milestones!$AA$139)&lt;=AsOfDate,IF($Q40=0,$W40,IF(AND($S40&lt;&gt;"",EDATE($D40,Milestones!$AA$139)&gt;=$S40),$V40,IF(AND($R40&lt;&gt;"",EDATE($D40,Milestones!$AA$139)&gt;=$R40),$U40,$T40)))=Milestones!$AB$139),TEXT(EDATE($D40,Milestones!$AA$139),"dd/mm/yy")&amp;" "&amp;Milestones!$AB$139&amp;" "&amp;Milestones!$AC$139&amp;";  ",""))</f>
        <v/>
      </c>
      <c r="N40" s="0" t="str">
        <f aca="false">IF(OR($A40="",$D40=""),"",IF(AND(EDATE($D40,Milestones!$AA$140)&lt;=AsOfDate,IF($Q40=0,$W40,IF(AND($S40&lt;&gt;"",EDATE($D40,Milestones!$AA$140)&gt;=$S40),$V40,IF(AND($R40&lt;&gt;"",EDATE($D40,Milestones!$AA$140)&gt;=$R40),$U40,$T40)))=Milestones!$AB$140),TEXT(EDATE($D40,Milestones!$AA$140),"dd/mm/yy")&amp;" "&amp;Milestones!$AB$140&amp;" "&amp;Milestones!$AC$140&amp;";  ","")&amp;IF(AND(EDATE($D40,Milestones!$AA$141)&lt;=AsOfDate,IF($Q40=0,$W40,IF(AND($S40&lt;&gt;"",EDATE($D40,Milestones!$AA$141)&gt;=$S40),$V40,IF(AND($R40&lt;&gt;"",EDATE($D40,Milestones!$AA$141)&gt;=$R40),$U40,$T40)))=Milestones!$AB$141),TEXT(EDATE($D40,Milestones!$AA$141),"dd/mm/yy")&amp;" "&amp;Milestones!$AB$141&amp;" "&amp;Milestones!$AC$141&amp;";  ","")&amp;IF(AND(EDATE($D40,Milestones!$AA$142)&lt;=AsOfDate,IF($Q40=0,$W40,IF(AND($S40&lt;&gt;"",EDATE($D40,Milestones!$AA$142)&gt;=$S40),$V40,IF(AND($R40&lt;&gt;"",EDATE($D40,Milestones!$AA$142)&gt;=$R40),$U40,$T40)))=Milestones!$AB$142),TEXT(EDATE($D40,Milestones!$AA$142),"dd/mm/yy")&amp;" "&amp;Milestones!$AB$142&amp;" "&amp;Milestones!$AC$142&amp;";  ","")&amp;IF(AND(EDATE($D40,Milestones!$AA$143)&lt;=AsOfDate,IF($Q40=0,$W40,IF(AND($S40&lt;&gt;"",EDATE($D40,Milestones!$AA$143)&gt;=$S40),$V40,IF(AND($R40&lt;&gt;"",EDATE($D40,Milestones!$AA$143)&gt;=$R40),$U40,$T40)))=Milestones!$AB$143),TEXT(EDATE($D40,Milestones!$AA$143),"dd/mm/yy")&amp;" "&amp;Milestones!$AB$143&amp;" "&amp;Milestones!$AC$143&amp;";  ","")&amp;IF(AND(EDATE($D40,Milestones!$AA$144)&lt;=AsOfDate,IF($Q40=0,$W40,IF(AND($S40&lt;&gt;"",EDATE($D40,Milestones!$AA$144)&gt;=$S40),$V40,IF(AND($R40&lt;&gt;"",EDATE($D40,Milestones!$AA$144)&gt;=$R40),$U40,$T40)))=Milestones!$AB$144),TEXT(EDATE($D40,Milestones!$AA$144),"dd/mm/yy")&amp;" "&amp;Milestones!$AB$144&amp;" "&amp;Milestones!$AC$144&amp;";  ","")&amp;IF(AND(EDATE($D40,Milestones!$AA$145)&lt;=AsOfDate,IF($Q40=0,$W40,IF(AND($S40&lt;&gt;"",EDATE($D40,Milestones!$AA$145)&gt;=$S40),$V40,IF(AND($R40&lt;&gt;"",EDATE($D40,Milestones!$AA$145)&gt;=$R40),$U40,$T40)))=Milestones!$AB$145),TEXT(EDATE($D40,Milestones!$AA$145),"dd/mm/yy")&amp;" "&amp;Milestones!$AB$145&amp;" "&amp;Milestones!$AC$145&amp;";  ","")&amp;IF(AND(EDATE($D40,Milestones!$AA$146)&lt;=AsOfDate,IF($Q40=0,$W40,IF(AND($S40&lt;&gt;"",EDATE($D40,Milestones!$AA$146)&gt;=$S40),$V40,IF(AND($R40&lt;&gt;"",EDATE($D40,Milestones!$AA$146)&gt;=$R40),$U40,$T40)))=Milestones!$AB$146),TEXT(EDATE($D40,Milestones!$AA$146),"dd/mm/yy")&amp;" "&amp;Milestones!$AB$146&amp;" "&amp;Milestones!$AC$146&amp;";  ","")&amp;IF(AND(EDATE($D40,Milestones!$AA$147)&lt;=AsOfDate,IF($Q40=0,$W40,IF(AND($S40&lt;&gt;"",EDATE($D40,Milestones!$AA$147)&gt;=$S40),$V40,IF(AND($R40&lt;&gt;"",EDATE($D40,Milestones!$AA$147)&gt;=$R40),$U40,$T40)))=Milestones!$AB$147),TEXT(EDATE($D40,Milestones!$AA$147),"dd/mm/yy")&amp;" "&amp;Milestones!$AB$147&amp;" "&amp;Milestones!$AC$147&amp;";  ","")&amp;IF(AND(EDATE($D40,Milestones!$AA$148)&lt;=AsOfDate,IF($Q40=0,$W40,IF(AND($S40&lt;&gt;"",EDATE($D40,Milestones!$AA$148)&gt;=$S40),$V40,IF(AND($R40&lt;&gt;"",EDATE($D40,Milestones!$AA$148)&gt;=$R40),$U40,$T40)))=Milestones!$AB$148),TEXT(EDATE($D40,Milestones!$AA$148),"dd/mm/yy")&amp;" "&amp;Milestones!$AB$148&amp;" "&amp;Milestones!$AC$148&amp;";  ","")&amp;IF(AND(EDATE($D40,Milestones!$AA$149)&lt;=AsOfDate,IF($Q40=0,$W40,IF(AND($S40&lt;&gt;"",EDATE($D40,Milestones!$AA$149)&gt;=$S40),$V40,IF(AND($R40&lt;&gt;"",EDATE($D40,Milestones!$AA$149)&gt;=$R40),$U40,$T40)))=Milestones!$AB$149),TEXT(EDATE($D40,Milestones!$AA$149),"dd/mm/yy")&amp;" "&amp;Milestones!$AB$149&amp;" "&amp;Milestones!$AC$149&amp;";  ","")&amp;IF(AND(EDATE($D40,Milestones!$AA$150)&lt;=AsOfDate,IF($Q40=0,$W40,IF(AND($S40&lt;&gt;"",EDATE($D40,Milestones!$AA$150)&gt;=$S40),$V40,IF(AND($R40&lt;&gt;"",EDATE($D40,Milestones!$AA$150)&gt;=$R40),$U40,$T40)))=Milestones!$AB$150),TEXT(EDATE($D40,Milestones!$AA$150),"dd/mm/yy")&amp;" "&amp;Milestones!$AB$150&amp;" "&amp;Milestones!$AC$150&amp;";  ","")&amp;IF(AND(EDATE($D40,Milestones!$AA$151)&lt;=AsOfDate,IF($Q40=0,$W40,IF(AND($S40&lt;&gt;"",EDATE($D40,Milestones!$AA$151)&gt;=$S40),$V40,IF(AND($R40&lt;&gt;"",EDATE($D40,Milestones!$AA$151)&gt;=$R40),$U40,$T40)))=Milestones!$AB$151),TEXT(EDATE($D40,Milestones!$AA$151),"dd/mm/yy")&amp;" "&amp;Milestones!$AB$151&amp;" "&amp;Milestones!$AC$151&amp;";  ","")&amp;IF(AND(EDATE($D40,Milestones!$AA$152)&lt;=AsOfDate,IF($Q40=0,$W40,IF(AND($S40&lt;&gt;"",EDATE($D40,Milestones!$AA$152)&gt;=$S40),$V40,IF(AND($R40&lt;&gt;"",EDATE($D40,Milestones!$AA$152)&gt;=$R40),$U40,$T40)))=Milestones!$AB$152),TEXT(EDATE($D40,Milestones!$AA$152),"dd/mm/yy")&amp;" "&amp;Milestones!$AB$152&amp;" "&amp;Milestones!$AC$152&amp;";  ","")&amp;IF(AND(EDATE($D40,Milestones!$AA$153)&lt;=AsOfDate,IF($Q40=0,$W40,IF(AND($S40&lt;&gt;"",EDATE($D40,Milestones!$AA$153)&gt;=$S40),$V40,IF(AND($R40&lt;&gt;"",EDATE($D40,Milestones!$AA$153)&gt;=$R40),$U40,$T40)))=Milestones!$AB$153),TEXT(EDATE($D40,Milestones!$AA$153),"dd/mm/yy")&amp;" "&amp;Milestones!$AB$153&amp;" "&amp;Milestones!$AC$153&amp;";  ","")&amp;IF(AND(EDATE($D40,Milestones!$AA$154)&lt;=AsOfDate,IF($Q40=0,$W40,IF(AND($S40&lt;&gt;"",EDATE($D40,Milestones!$AA$154)&gt;=$S40),$V40,IF(AND($R40&lt;&gt;"",EDATE($D40,Milestones!$AA$154)&gt;=$R40),$U40,$T40)))=Milestones!$AB$154),TEXT(EDATE($D40,Milestones!$AA$154),"dd/mm/yy")&amp;" "&amp;Milestones!$AB$154&amp;" "&amp;Milestones!$AC$154&amp;";  ","")&amp;IF(AND(EDATE($D40,Milestones!$AA$155)&lt;=AsOfDate,IF($Q40=0,$W40,IF(AND($S40&lt;&gt;"",EDATE($D40,Milestones!$AA$155)&gt;=$S40),$V40,IF(AND($R40&lt;&gt;"",EDATE($D40,Milestones!$AA$155)&gt;=$R40),$U40,$T40)))=Milestones!$AB$155),TEXT(EDATE($D40,Milestones!$AA$155),"dd/mm/yy")&amp;" "&amp;Milestones!$AB$155&amp;" "&amp;Milestones!$AC$155&amp;";  ","")&amp;IF(AND(EDATE($D40,Milestones!$AA$156)&lt;=AsOfDate,IF($Q40=0,$W40,IF(AND($S40&lt;&gt;"",EDATE($D40,Milestones!$AA$156)&gt;=$S40),$V40,IF(AND($R40&lt;&gt;"",EDATE($D40,Milestones!$AA$156)&gt;=$R40),$U40,$T40)))=Milestones!$AB$156),TEXT(EDATE($D40,Milestones!$AA$156),"dd/mm/yy")&amp;" "&amp;Milestones!$AB$156&amp;" "&amp;Milestones!$AC$156&amp;";  ","")&amp;IF(AND(EDATE($D40,Milestones!$AA$157)&lt;=AsOfDate,IF($Q40=0,$W40,IF(AND($S40&lt;&gt;"",EDATE($D40,Milestones!$AA$157)&gt;=$S40),$V40,IF(AND($R40&lt;&gt;"",EDATE($D40,Milestones!$AA$157)&gt;=$R40),$U40,$T40)))=Milestones!$AB$157),TEXT(EDATE($D40,Milestones!$AA$157),"dd/mm/yy")&amp;" "&amp;Milestones!$AB$157&amp;" "&amp;Milestones!$AC$157&amp;";  ","")&amp;IF(AND(EDATE($D40,Milestones!$AA$158)&lt;=AsOfDate,IF($Q40=0,$W40,IF(AND($S40&lt;&gt;"",EDATE($D40,Milestones!$AA$158)&gt;=$S40),$V40,IF(AND($R40&lt;&gt;"",EDATE($D40,Milestones!$AA$158)&gt;=$R40),$U40,$T40)))=Milestones!$AB$158),TEXT(EDATE($D40,Milestones!$AA$158),"dd/mm/yy")&amp;" "&amp;Milestones!$AB$158&amp;" "&amp;Milestones!$AC$158&amp;";  ","")&amp;IF(AND(EDATE($D40,Milestones!$AA$159)&lt;=AsOfDate,IF($Q40=0,$W40,IF(AND($S40&lt;&gt;"",EDATE($D40,Milestones!$AA$159)&gt;=$S40),$V40,IF(AND($R40&lt;&gt;"",EDATE($D40,Milestones!$AA$159)&gt;=$R40),$U40,$T40)))=Milestones!$AB$159),TEXT(EDATE($D40,Milestones!$AA$159),"dd/mm/yy")&amp;" "&amp;Milestones!$AB$159&amp;" "&amp;Milestones!$AC$159&amp;";  ",""))</f>
        <v/>
      </c>
      <c r="O40" s="0" t="str">
        <f aca="false">IF(OR($A40="",$D40=""),"",IF(AND(EDATE($D40,Milestones!$AA$160)&lt;=AsOfDate,IF($Q40=0,$W40,IF(AND($S40&lt;&gt;"",EDATE($D40,Milestones!$AA$160)&gt;=$S40),$V40,IF(AND($R40&lt;&gt;"",EDATE($D40,Milestones!$AA$160)&gt;=$R40),$U40,$T40)))=Milestones!$AB$160),TEXT(EDATE($D40,Milestones!$AA$160),"dd/mm/yy")&amp;" "&amp;Milestones!$AB$160&amp;" "&amp;Milestones!$AC$160&amp;";  ","")&amp;IF(AND(EDATE($D40,Milestones!$AA$161)&lt;=AsOfDate,IF($Q40=0,$W40,IF(AND($S40&lt;&gt;"",EDATE($D40,Milestones!$AA$161)&gt;=$S40),$V40,IF(AND($R40&lt;&gt;"",EDATE($D40,Milestones!$AA$161)&gt;=$R40),$U40,$T40)))=Milestones!$AB$161),TEXT(EDATE($D40,Milestones!$AA$161),"dd/mm/yy")&amp;" "&amp;Milestones!$AB$161&amp;" "&amp;Milestones!$AC$161&amp;";  ","")&amp;IF(AND(EDATE($D40,Milestones!$AA$162)&lt;=AsOfDate,IF($Q40=0,$W40,IF(AND($S40&lt;&gt;"",EDATE($D40,Milestones!$AA$162)&gt;=$S40),$V40,IF(AND($R40&lt;&gt;"",EDATE($D40,Milestones!$AA$162)&gt;=$R40),$U40,$T40)))=Milestones!$AB$162),TEXT(EDATE($D40,Milestones!$AA$162),"dd/mm/yy")&amp;" "&amp;Milestones!$AB$162&amp;" "&amp;Milestones!$AC$162&amp;";  ","")&amp;IF(AND(EDATE($D40,Milestones!$AA$163)&lt;=AsOfDate,IF($Q40=0,$W40,IF(AND($S40&lt;&gt;"",EDATE($D40,Milestones!$AA$163)&gt;=$S40),$V40,IF(AND($R40&lt;&gt;"",EDATE($D40,Milestones!$AA$163)&gt;=$R40),$U40,$T40)))=Milestones!$AB$163),TEXT(EDATE($D40,Milestones!$AA$163),"dd/mm/yy")&amp;" "&amp;Milestones!$AB$163&amp;" "&amp;Milestones!$AC$163&amp;";  ","")&amp;IF(AND(EDATE($D40,Milestones!$AA$164)&lt;=AsOfDate,IF($Q40=0,$W40,IF(AND($S40&lt;&gt;"",EDATE($D40,Milestones!$AA$164)&gt;=$S40),$V40,IF(AND($R40&lt;&gt;"",EDATE($D40,Milestones!$AA$164)&gt;=$R40),$U40,$T40)))=Milestones!$AB$164),TEXT(EDATE($D40,Milestones!$AA$164),"dd/mm/yy")&amp;" "&amp;Milestones!$AB$164&amp;" "&amp;Milestones!$AC$164&amp;";  ","")&amp;IF(AND(EDATE($D40,Milestones!$AA$165)&lt;=AsOfDate,IF($Q40=0,$W40,IF(AND($S40&lt;&gt;"",EDATE($D40,Milestones!$AA$165)&gt;=$S40),$V40,IF(AND($R40&lt;&gt;"",EDATE($D40,Milestones!$AA$165)&gt;=$R40),$U40,$T40)))=Milestones!$AB$165),TEXT(EDATE($D40,Milestones!$AA$165),"dd/mm/yy")&amp;" "&amp;Milestones!$AB$165&amp;" "&amp;Milestones!$AC$165&amp;";  ","")&amp;IF(AND(EDATE($D40,Milestones!$AA$166)&lt;=AsOfDate,IF($Q40=0,$W40,IF(AND($S40&lt;&gt;"",EDATE($D40,Milestones!$AA$166)&gt;=$S40),$V40,IF(AND($R40&lt;&gt;"",EDATE($D40,Milestones!$AA$166)&gt;=$R40),$U40,$T40)))=Milestones!$AB$166),TEXT(EDATE($D40,Milestones!$AA$166),"dd/mm/yy")&amp;" "&amp;Milestones!$AB$166&amp;" "&amp;Milestones!$AC$166&amp;";  ","")&amp;IF(AND(EDATE($D40,Milestones!$AA$167)&lt;=AsOfDate,IF($Q40=0,$W40,IF(AND($S40&lt;&gt;"",EDATE($D40,Milestones!$AA$167)&gt;=$S40),$V40,IF(AND($R40&lt;&gt;"",EDATE($D40,Milestones!$AA$167)&gt;=$R40),$U40,$T40)))=Milestones!$AB$167),TEXT(EDATE($D40,Milestones!$AA$167),"dd/mm/yy")&amp;" "&amp;Milestones!$AB$167&amp;" "&amp;Milestones!$AC$167&amp;";  ","")&amp;IF(AND(EDATE($D40,Milestones!$AA$168)&lt;=AsOfDate,IF($Q40=0,$W40,IF(AND($S40&lt;&gt;"",EDATE($D40,Milestones!$AA$168)&gt;=$S40),$V40,IF(AND($R40&lt;&gt;"",EDATE($D40,Milestones!$AA$168)&gt;=$R40),$U40,$T40)))=Milestones!$AB$168),TEXT(EDATE($D40,Milestones!$AA$168),"dd/mm/yy")&amp;" "&amp;Milestones!$AB$168&amp;" "&amp;Milestones!$AC$168&amp;";  ","")&amp;IF(AND(EDATE($D40,Milestones!$AA$169)&lt;=AsOfDate,IF($Q40=0,$W40,IF(AND($S40&lt;&gt;"",EDATE($D40,Milestones!$AA$169)&gt;=$S40),$V40,IF(AND($R40&lt;&gt;"",EDATE($D40,Milestones!$AA$169)&gt;=$R40),$U40,$T40)))=Milestones!$AB$169),TEXT(EDATE($D40,Milestones!$AA$169),"dd/mm/yy")&amp;" "&amp;Milestones!$AB$169&amp;" "&amp;Milestones!$AC$169&amp;";  ","")&amp;IF(AND(EDATE($D40,Milestones!$AA$170)&lt;=AsOfDate,IF($Q40=0,$W40,IF(AND($S40&lt;&gt;"",EDATE($D40,Milestones!$AA$170)&gt;=$S40),$V40,IF(AND($R40&lt;&gt;"",EDATE($D40,Milestones!$AA$170)&gt;=$R40),$U40,$T40)))=Milestones!$AB$170),TEXT(EDATE($D40,Milestones!$AA$170),"dd/mm/yy")&amp;" "&amp;Milestones!$AB$170&amp;" "&amp;Milestones!$AC$170&amp;";  ","")&amp;IF(AND(EDATE($D40,Milestones!$AA$171)&lt;=AsOfDate,IF($Q40=0,$W40,IF(AND($S40&lt;&gt;"",EDATE($D40,Milestones!$AA$171)&gt;=$S40),$V40,IF(AND($R40&lt;&gt;"",EDATE($D40,Milestones!$AA$171)&gt;=$R40),$U40,$T40)))=Milestones!$AB$171),TEXT(EDATE($D40,Milestones!$AA$171),"dd/mm/yy")&amp;" "&amp;Milestones!$AB$171&amp;" "&amp;Milestones!$AC$171&amp;";  ","")&amp;IF(AND(EDATE($D40,Milestones!$AA$172)&lt;=AsOfDate,IF($Q40=0,$W40,IF(AND($S40&lt;&gt;"",EDATE($D40,Milestones!$AA$172)&gt;=$S40),$V40,IF(AND($R40&lt;&gt;"",EDATE($D40,Milestones!$AA$172)&gt;=$R40),$U40,$T40)))=Milestones!$AB$172),TEXT(EDATE($D40,Milestones!$AA$172),"dd/mm/yy")&amp;" "&amp;Milestones!$AB$172&amp;" "&amp;Milestones!$AC$172&amp;";  ","")&amp;IF(AND(EDATE($D40,Milestones!$AA$173)&lt;=AsOfDate,IF($Q40=0,$W40,IF(AND($S40&lt;&gt;"",EDATE($D40,Milestones!$AA$173)&gt;=$S40),$V40,IF(AND($R40&lt;&gt;"",EDATE($D40,Milestones!$AA$173)&gt;=$R40),$U40,$T40)))=Milestones!$AB$173),TEXT(EDATE($D40,Milestones!$AA$173),"dd/mm/yy")&amp;" "&amp;Milestones!$AB$173&amp;" "&amp;Milestones!$AC$173&amp;";  ","")&amp;IF(AND(EDATE($D40,Milestones!$AA$174)&lt;=AsOfDate,IF($Q40=0,$W40,IF(AND($S40&lt;&gt;"",EDATE($D40,Milestones!$AA$174)&gt;=$S40),$V40,IF(AND($R40&lt;&gt;"",EDATE($D40,Milestones!$AA$174)&gt;=$R40),$U40,$T40)))=Milestones!$AB$174),TEXT(EDATE($D40,Milestones!$AA$174),"dd/mm/yy")&amp;" "&amp;Milestones!$AB$174&amp;" "&amp;Milestones!$AC$174&amp;";  ","")&amp;IF(AND(EDATE($D40,Milestones!$AA$175)&lt;=AsOfDate,IF($Q40=0,$W40,IF(AND($S40&lt;&gt;"",EDATE($D40,Milestones!$AA$175)&gt;=$S40),$V40,IF(AND($R40&lt;&gt;"",EDATE($D40,Milestones!$AA$175)&gt;=$R40),$U40,$T40)))=Milestones!$AB$175),TEXT(EDATE($D40,Milestones!$AA$175),"dd/mm/yy")&amp;" "&amp;Milestones!$AB$175&amp;" "&amp;Milestones!$AC$175&amp;";  ","")&amp;IF(AND(EDATE($D40,Milestones!$AA$176)&lt;=AsOfDate,IF($Q40=0,$W40,IF(AND($S40&lt;&gt;"",EDATE($D40,Milestones!$AA$176)&gt;=$S40),$V40,IF(AND($R40&lt;&gt;"",EDATE($D40,Milestones!$AA$176)&gt;=$R40),$U40,$T40)))=Milestones!$AB$176),TEXT(EDATE($D40,Milestones!$AA$176),"dd/mm/yy")&amp;" "&amp;Milestones!$AB$176&amp;" "&amp;Milestones!$AC$176&amp;";  ","")&amp;IF(AND(EDATE($D40,Milestones!$AA$177)&lt;=AsOfDate,IF($Q40=0,$W40,IF(AND($S40&lt;&gt;"",EDATE($D40,Milestones!$AA$177)&gt;=$S40),$V40,IF(AND($R40&lt;&gt;"",EDATE($D40,Milestones!$AA$177)&gt;=$R40),$U40,$T40)))=Milestones!$AB$177),TEXT(EDATE($D40,Milestones!$AA$177),"dd/mm/yy")&amp;" "&amp;Milestones!$AB$177&amp;" "&amp;Milestones!$AC$177&amp;";  ","")&amp;IF(AND(EDATE($D40,Milestones!$AA$178)&lt;=AsOfDate,IF($Q40=0,$W40,IF(AND($S40&lt;&gt;"",EDATE($D40,Milestones!$AA$178)&gt;=$S40),$V40,IF(AND($R40&lt;&gt;"",EDATE($D40,Milestones!$AA$178)&gt;=$R40),$U40,$T40)))=Milestones!$AB$178),TEXT(EDATE($D40,Milestones!$AA$178),"dd/mm/yy")&amp;" "&amp;Milestones!$AB$178&amp;" "&amp;Milestones!$AC$178&amp;";  ","")&amp;IF(AND(EDATE($D40,Milestones!$AA$179)&lt;=AsOfDate,IF($Q40=0,$W40,IF(AND($S40&lt;&gt;"",EDATE($D40,Milestones!$AA$179)&gt;=$S40),$V40,IF(AND($R40&lt;&gt;"",EDATE($D40,Milestones!$AA$179)&gt;=$R40),$U40,$T40)))=Milestones!$AB$179),TEXT(EDATE($D40,Milestones!$AA$179),"dd/mm/yy")&amp;" "&amp;Milestones!$AB$179&amp;" "&amp;Milestones!$AC$179&amp;";  ",""))</f>
        <v/>
      </c>
      <c r="P40" s="0" t="str">
        <f aca="false">IF(OR($A40="",$D40=""),"",IF(AND(EDATE($D40,Milestones!$AA$180)&lt;=AsOfDate,IF($Q40=0,$W40,IF(AND($S40&lt;&gt;"",EDATE($D40,Milestones!$AA$180)&gt;=$S40),$V40,IF(AND($R40&lt;&gt;"",EDATE($D40,Milestones!$AA$180)&gt;=$R40),$U40,$T40)))=Milestones!$AB$180),TEXT(EDATE($D40,Milestones!$AA$180),"dd/mm/yy")&amp;" "&amp;Milestones!$AB$180&amp;" "&amp;Milestones!$AC$180&amp;";  ","")&amp;IF(AND(EDATE($D40,Milestones!$AA$181)&lt;=AsOfDate,IF($Q40=0,$W40,IF(AND($S40&lt;&gt;"",EDATE($D40,Milestones!$AA$181)&gt;=$S40),$V40,IF(AND($R40&lt;&gt;"",EDATE($D40,Milestones!$AA$181)&gt;=$R40),$U40,$T40)))=Milestones!$AB$181),TEXT(EDATE($D40,Milestones!$AA$181),"dd/mm/yy")&amp;" "&amp;Milestones!$AB$181&amp;" "&amp;Milestones!$AC$181&amp;";  ","")&amp;IF(AND(EDATE($D40,Milestones!$AA$182)&lt;=AsOfDate,IF($Q40=0,$W40,IF(AND($S40&lt;&gt;"",EDATE($D40,Milestones!$AA$182)&gt;=$S40),$V40,IF(AND($R40&lt;&gt;"",EDATE($D40,Milestones!$AA$182)&gt;=$R40),$U40,$T40)))=Milestones!$AB$182),TEXT(EDATE($D40,Milestones!$AA$182),"dd/mm/yy")&amp;" "&amp;Milestones!$AB$182&amp;" "&amp;Milestones!$AC$182&amp;";  ","")&amp;IF(AND(EDATE($D40,Milestones!$AA$183)&lt;=AsOfDate,IF($Q40=0,$W40,IF(AND($S40&lt;&gt;"",EDATE($D40,Milestones!$AA$183)&gt;=$S40),$V40,IF(AND($R40&lt;&gt;"",EDATE($D40,Milestones!$AA$183)&gt;=$R40),$U40,$T40)))=Milestones!$AB$183),TEXT(EDATE($D40,Milestones!$AA$183),"dd/mm/yy")&amp;" "&amp;Milestones!$AB$183&amp;" "&amp;Milestones!$AC$183&amp;";  ","")&amp;IF(AND(EDATE($D40,Milestones!$AA$184)&lt;=AsOfDate,IF($Q40=0,$W40,IF(AND($S40&lt;&gt;"",EDATE($D40,Milestones!$AA$184)&gt;=$S40),$V40,IF(AND($R40&lt;&gt;"",EDATE($D40,Milestones!$AA$184)&gt;=$R40),$U40,$T40)))=Milestones!$AB$184),TEXT(EDATE($D40,Milestones!$AA$184),"dd/mm/yy")&amp;" "&amp;Milestones!$AB$184&amp;" "&amp;Milestones!$AC$184&amp;";  ","")&amp;IF(AND(EDATE($D40,Milestones!$AA$185)&lt;=AsOfDate,IF($Q40=0,$W40,IF(AND($S40&lt;&gt;"",EDATE($D40,Milestones!$AA$185)&gt;=$S40),$V40,IF(AND($R40&lt;&gt;"",EDATE($D40,Milestones!$AA$185)&gt;=$R40),$U40,$T40)))=Milestones!$AB$185),TEXT(EDATE($D40,Milestones!$AA$185),"dd/mm/yy")&amp;" "&amp;Milestones!$AB$185&amp;" "&amp;Milestones!$AC$185&amp;";  ","")&amp;IF(AND(EDATE($D40,Milestones!$AA$186)&lt;=AsOfDate,IF($Q40=0,$W40,IF(AND($S40&lt;&gt;"",EDATE($D40,Milestones!$AA$186)&gt;=$S40),$V40,IF(AND($R40&lt;&gt;"",EDATE($D40,Milestones!$AA$186)&gt;=$R40),$U40,$T40)))=Milestones!$AB$186),TEXT(EDATE($D40,Milestones!$AA$186),"dd/mm/yy")&amp;" "&amp;Milestones!$AB$186&amp;" "&amp;Milestones!$AC$186&amp;";  ","")&amp;IF(AND(EDATE($D40,Milestones!$AA$187)&lt;=AsOfDate,IF($Q40=0,$W40,IF(AND($S40&lt;&gt;"",EDATE($D40,Milestones!$AA$187)&gt;=$S40),$V40,IF(AND($R40&lt;&gt;"",EDATE($D40,Milestones!$AA$187)&gt;=$R40),$U40,$T40)))=Milestones!$AB$187),TEXT(EDATE($D40,Milestones!$AA$187),"dd/mm/yy")&amp;" "&amp;Milestones!$AB$187&amp;" "&amp;Milestones!$AC$187&amp;";  ","")&amp;IF(AND(EDATE($D40,Milestones!$AA$188)&lt;=AsOfDate,IF($Q40=0,$W40,IF(AND($S40&lt;&gt;"",EDATE($D40,Milestones!$AA$188)&gt;=$S40),$V40,IF(AND($R40&lt;&gt;"",EDATE($D40,Milestones!$AA$188)&gt;=$R40),$U40,$T40)))=Milestones!$AB$188),TEXT(EDATE($D40,Milestones!$AA$188),"dd/mm/yy")&amp;" "&amp;Milestones!$AB$188&amp;" "&amp;Milestones!$AC$188&amp;";  ","")&amp;IF(AND(EDATE($D40,Milestones!$AA$189)&lt;=AsOfDate,IF($Q40=0,$W40,IF(AND($S40&lt;&gt;"",EDATE($D40,Milestones!$AA$189)&gt;=$S40),$V40,IF(AND($R40&lt;&gt;"",EDATE($D40,Milestones!$AA$189)&gt;=$R40),$U40,$T40)))=Milestones!$AB$189),TEXT(EDATE($D40,Milestones!$AA$189),"dd/mm/yy")&amp;" "&amp;Milestones!$AB$189&amp;" "&amp;Milestones!$AC$189&amp;";  ","")&amp;IF(AND(EDATE($D40,Milestones!$AA$190)&lt;=AsOfDate,IF($Q40=0,$W40,IF(AND($S40&lt;&gt;"",EDATE($D40,Milestones!$AA$190)&gt;=$S40),$V40,IF(AND($R40&lt;&gt;"",EDATE($D40,Milestones!$AA$190)&gt;=$R40),$U40,$T40)))=Milestones!$AB$190),TEXT(EDATE($D40,Milestones!$AA$190),"dd/mm/yy")&amp;" "&amp;Milestones!$AB$190&amp;" "&amp;Milestones!$AC$190&amp;";  ","")&amp;IF(AND(EDATE($D40,Milestones!$AA$191)&lt;=AsOfDate,IF($Q40=0,$W40,IF(AND($S40&lt;&gt;"",EDATE($D40,Milestones!$AA$191)&gt;=$S40),$V40,IF(AND($R40&lt;&gt;"",EDATE($D40,Milestones!$AA$191)&gt;=$R40),$U40,$T40)))=Milestones!$AB$191),TEXT(EDATE($D40,Milestones!$AA$191),"dd/mm/yy")&amp;" "&amp;Milestones!$AB$191&amp;" "&amp;Milestones!$AC$191&amp;";  ","")&amp;IF(AND(EDATE($D40,Milestones!$AA$192)&lt;=AsOfDate,IF($Q40=0,$W40,IF(AND($S40&lt;&gt;"",EDATE($D40,Milestones!$AA$192)&gt;=$S40),$V40,IF(AND($R40&lt;&gt;"",EDATE($D40,Milestones!$AA$192)&gt;=$R40),$U40,$T40)))=Milestones!$AB$192),TEXT(EDATE($D40,Milestones!$AA$192),"dd/mm/yy")&amp;" "&amp;Milestones!$AB$192&amp;" "&amp;Milestones!$AC$192&amp;";  ","")&amp;IF(AND(EDATE($D40,Milestones!$AA$193)&lt;=AsOfDate,IF($Q40=0,$W40,IF(AND($S40&lt;&gt;"",EDATE($D40,Milestones!$AA$193)&gt;=$S40),$V40,IF(AND($R40&lt;&gt;"",EDATE($D40,Milestones!$AA$193)&gt;=$R40),$U40,$T40)))=Milestones!$AB$193),TEXT(EDATE($D40,Milestones!$AA$193),"dd/mm/yy")&amp;" "&amp;Milestones!$AB$193&amp;" "&amp;Milestones!$AC$193&amp;";  ","")&amp;IF(AND(EDATE($D40,Milestones!$AA$194)&lt;=AsOfDate,IF($Q40=0,$W40,IF(AND($S40&lt;&gt;"",EDATE($D40,Milestones!$AA$194)&gt;=$S40),$V40,IF(AND($R40&lt;&gt;"",EDATE($D40,Milestones!$AA$194)&gt;=$R40),$U40,$T40)))=Milestones!$AB$194),TEXT(EDATE($D40,Milestones!$AA$194),"dd/mm/yy")&amp;" "&amp;Milestones!$AB$194&amp;" "&amp;Milestones!$AC$194&amp;";  ","")&amp;IF(AND(EDATE($D40,Milestones!$AA$195)&lt;=AsOfDate,IF($Q40=0,$W40,IF(AND($S40&lt;&gt;"",EDATE($D40,Milestones!$AA$195)&gt;=$S40),$V40,IF(AND($R40&lt;&gt;"",EDATE($D40,Milestones!$AA$195)&gt;=$R40),$U40,$T40)))=Milestones!$AB$195),TEXT(EDATE($D40,Milestones!$AA$195),"dd/mm/yy")&amp;" "&amp;Milestones!$AB$195&amp;" "&amp;Milestones!$AC$195&amp;";  ","")&amp;IF(AND(EDATE($D40,Milestones!$AA$196)&lt;=AsOfDate,IF($Q40=0,$W40,IF(AND($S40&lt;&gt;"",EDATE($D40,Milestones!$AA$196)&gt;=$S40),$V40,IF(AND($R40&lt;&gt;"",EDATE($D40,Milestones!$AA$196)&gt;=$R40),$U40,$T40)))=Milestones!$AB$196),TEXT(EDATE($D40,Milestones!$AA$196),"dd/mm/yy")&amp;" "&amp;Milestones!$AB$196&amp;" "&amp;Milestones!$AC$196&amp;";  ","")&amp;IF(AND(EDATE($D40,Milestones!$AA$197)&lt;=AsOfDate,IF($Q40=0,$W40,IF(AND($S40&lt;&gt;"",EDATE($D40,Milestones!$AA$197)&gt;=$S40),$V40,IF(AND($R40&lt;&gt;"",EDATE($D40,Milestones!$AA$197)&gt;=$R40),$U40,$T40)))=Milestones!$AB$197),TEXT(EDATE($D40,Milestones!$AA$197),"dd/mm/yy")&amp;" "&amp;Milestones!$AB$197&amp;" "&amp;Milestones!$AC$197&amp;";  ","")&amp;IF(AND(EDATE($D40,Milestones!$AA$198)&lt;=AsOfDate,IF($Q40=0,$W40,IF(AND($S40&lt;&gt;"",EDATE($D40,Milestones!$AA$198)&gt;=$S40),$V40,IF(AND($R40&lt;&gt;"",EDATE($D40,Milestones!$AA$198)&gt;=$R40),$U40,$T40)))=Milestones!$AB$198),TEXT(EDATE($D40,Milestones!$AA$198),"dd/mm/yy")&amp;" "&amp;Milestones!$AB$198&amp;" "&amp;Milestones!$AC$198&amp;";  ","")&amp;IF(AND(EDATE($D40,Milestones!$AA$199)&lt;=AsOfDate,IF($Q40=0,$W40,IF(AND($S40&lt;&gt;"",EDATE($D40,Milestones!$AA$199)&gt;=$S40),$V40,IF(AND($R40&lt;&gt;"",EDATE($D40,Milestones!$AA$199)&gt;=$R40),$U40,$T40)))=Milestones!$AB$199),TEXT(EDATE($D40,Milestones!$AA$199),"dd/mm/yy")&amp;" "&amp;Milestones!$AB$199&amp;" "&amp;Milestones!$AC$199&amp;";  ",""))</f>
        <v/>
      </c>
      <c r="Q40" s="0" t="str">
        <f aca="false">IF(Staff!$A40="","",Staff!$AG40)</f>
        <v/>
      </c>
      <c r="R40" s="0" t="str">
        <f aca="false">IF(Staff!$A40="","",Staff!$AI40)</f>
        <v/>
      </c>
      <c r="S40" s="0" t="str">
        <f aca="false">IF(Staff!$A40="","",Staff!$AJ40)</f>
        <v/>
      </c>
      <c r="T40" s="0" t="str">
        <f aca="false">IF(Staff!$A40="","",Staff!$AN40)</f>
        <v/>
      </c>
      <c r="U40" s="0" t="str">
        <f aca="false">IF(Staff!$A40="","",Staff!$AO40)</f>
        <v/>
      </c>
      <c r="V40" s="0" t="str">
        <f aca="false">IF(Staff!$A40="","",Staff!$AP40)</f>
        <v/>
      </c>
      <c r="W40" s="0" t="str">
        <f aca="false">IF(Staff!$A40="","",Staff!$AQ40)</f>
        <v/>
      </c>
    </row>
    <row r="41" customFormat="false" ht="15" hidden="false" customHeight="false" outlineLevel="0" collapsed="false">
      <c r="A41" s="13" t="str">
        <f aca="false">IF(Staff!$A41="","",Staff!$A41)</f>
        <v/>
      </c>
      <c r="B41" s="13" t="str">
        <f aca="false">IF(Staff!$A41="","",Staff!$B41)</f>
        <v/>
      </c>
      <c r="C41" s="13" t="str">
        <f aca="false">IF(Staff!$A41="","",Staff!$C41)</f>
        <v/>
      </c>
      <c r="D41" s="11" t="str">
        <f aca="false">IF(Staff!$A41="","",Staff!$AF41)</f>
        <v/>
      </c>
      <c r="E41" s="13" t="str">
        <f aca="false">IF(Staff!$A41="","",Staff!$O41)</f>
        <v/>
      </c>
      <c r="F41" s="13" t="str">
        <f aca="false">IF(E41="","",E41*HoursPerDay)</f>
        <v/>
      </c>
      <c r="G41" s="26" t="str">
        <f aca="false">IF($A41="","",H41&amp;I41&amp;J41&amp;K41&amp;L41&amp;M41&amp;N41&amp;O41&amp;P41)</f>
        <v/>
      </c>
      <c r="H41" s="0" t="str">
        <f aca="false">IF(OR($A41="",$D41=""),"",IF(AND(EDATE($D41,Milestones!$AA$20)&lt;=AsOfDate,IF($Q41=0,$W41,IF(AND($S41&lt;&gt;"",EDATE($D41,Milestones!$AA$20)&gt;=$S41),$V41,IF(AND($R41&lt;&gt;"",EDATE($D41,Milestones!$AA$20)&gt;=$R41),$U41,$T41)))=Milestones!$AB$20),TEXT(EDATE($D41,Milestones!$AA$20),"dd/mm/yy")&amp;" "&amp;Milestones!$AB$20&amp;" "&amp;Milestones!$AC$20&amp;";  ","")&amp;IF(AND(EDATE($D41,Milestones!$AA$21)&lt;=AsOfDate,IF($Q41=0,$W41,IF(AND($S41&lt;&gt;"",EDATE($D41,Milestones!$AA$21)&gt;=$S41),$V41,IF(AND($R41&lt;&gt;"",EDATE($D41,Milestones!$AA$21)&gt;=$R41),$U41,$T41)))=Milestones!$AB$21),TEXT(EDATE($D41,Milestones!$AA$21),"dd/mm/yy")&amp;" "&amp;Milestones!$AB$21&amp;" "&amp;Milestones!$AC$21&amp;";  ","")&amp;IF(AND(EDATE($D41,Milestones!$AA$22)&lt;=AsOfDate,IF($Q41=0,$W41,IF(AND($S41&lt;&gt;"",EDATE($D41,Milestones!$AA$22)&gt;=$S41),$V41,IF(AND($R41&lt;&gt;"",EDATE($D41,Milestones!$AA$22)&gt;=$R41),$U41,$T41)))=Milestones!$AB$22),TEXT(EDATE($D41,Milestones!$AA$22),"dd/mm/yy")&amp;" "&amp;Milestones!$AB$22&amp;" "&amp;Milestones!$AC$22&amp;";  ","")&amp;IF(AND(EDATE($D41,Milestones!$AA$23)&lt;=AsOfDate,IF($Q41=0,$W41,IF(AND($S41&lt;&gt;"",EDATE($D41,Milestones!$AA$23)&gt;=$S41),$V41,IF(AND($R41&lt;&gt;"",EDATE($D41,Milestones!$AA$23)&gt;=$R41),$U41,$T41)))=Milestones!$AB$23),TEXT(EDATE($D41,Milestones!$AA$23),"dd/mm/yy")&amp;" "&amp;Milestones!$AB$23&amp;" "&amp;Milestones!$AC$23&amp;";  ","")&amp;IF(AND(EDATE($D41,Milestones!$AA$24)&lt;=AsOfDate,IF($Q41=0,$W41,IF(AND($S41&lt;&gt;"",EDATE($D41,Milestones!$AA$24)&gt;=$S41),$V41,IF(AND($R41&lt;&gt;"",EDATE($D41,Milestones!$AA$24)&gt;=$R41),$U41,$T41)))=Milestones!$AB$24),TEXT(EDATE($D41,Milestones!$AA$24),"dd/mm/yy")&amp;" "&amp;Milestones!$AB$24&amp;" "&amp;Milestones!$AC$24&amp;";  ","")&amp;IF(AND(EDATE($D41,Milestones!$AA$25)&lt;=AsOfDate,IF($Q41=0,$W41,IF(AND($S41&lt;&gt;"",EDATE($D41,Milestones!$AA$25)&gt;=$S41),$V41,IF(AND($R41&lt;&gt;"",EDATE($D41,Milestones!$AA$25)&gt;=$R41),$U41,$T41)))=Milestones!$AB$25),TEXT(EDATE($D41,Milestones!$AA$25),"dd/mm/yy")&amp;" "&amp;Milestones!$AB$25&amp;" "&amp;Milestones!$AC$25&amp;";  ","")&amp;IF(AND(EDATE($D41,Milestones!$AA$26)&lt;=AsOfDate,IF($Q41=0,$W41,IF(AND($S41&lt;&gt;"",EDATE($D41,Milestones!$AA$26)&gt;=$S41),$V41,IF(AND($R41&lt;&gt;"",EDATE($D41,Milestones!$AA$26)&gt;=$R41),$U41,$T41)))=Milestones!$AB$26),TEXT(EDATE($D41,Milestones!$AA$26),"dd/mm/yy")&amp;" "&amp;Milestones!$AB$26&amp;" "&amp;Milestones!$AC$26&amp;";  ","")&amp;IF(AND(EDATE($D41,Milestones!$AA$27)&lt;=AsOfDate,IF($Q41=0,$W41,IF(AND($S41&lt;&gt;"",EDATE($D41,Milestones!$AA$27)&gt;=$S41),$V41,IF(AND($R41&lt;&gt;"",EDATE($D41,Milestones!$AA$27)&gt;=$R41),$U41,$T41)))=Milestones!$AB$27),TEXT(EDATE($D41,Milestones!$AA$27),"dd/mm/yy")&amp;" "&amp;Milestones!$AB$27&amp;" "&amp;Milestones!$AC$27&amp;";  ","")&amp;IF(AND(EDATE($D41,Milestones!$AA$28)&lt;=AsOfDate,IF($Q41=0,$W41,IF(AND($S41&lt;&gt;"",EDATE($D41,Milestones!$AA$28)&gt;=$S41),$V41,IF(AND($R41&lt;&gt;"",EDATE($D41,Milestones!$AA$28)&gt;=$R41),$U41,$T41)))=Milestones!$AB$28),TEXT(EDATE($D41,Milestones!$AA$28),"dd/mm/yy")&amp;" "&amp;Milestones!$AB$28&amp;" "&amp;Milestones!$AC$28&amp;";  ","")&amp;IF(AND(EDATE($D41,Milestones!$AA$29)&lt;=AsOfDate,IF($Q41=0,$W41,IF(AND($S41&lt;&gt;"",EDATE($D41,Milestones!$AA$29)&gt;=$S41),$V41,IF(AND($R41&lt;&gt;"",EDATE($D41,Milestones!$AA$29)&gt;=$R41),$U41,$T41)))=Milestones!$AB$29),TEXT(EDATE($D41,Milestones!$AA$29),"dd/mm/yy")&amp;" "&amp;Milestones!$AB$29&amp;" "&amp;Milestones!$AC$29&amp;";  ","")&amp;IF(AND(EDATE($D41,Milestones!$AA$30)&lt;=AsOfDate,IF($Q41=0,$W41,IF(AND($S41&lt;&gt;"",EDATE($D41,Milestones!$AA$30)&gt;=$S41),$V41,IF(AND($R41&lt;&gt;"",EDATE($D41,Milestones!$AA$30)&gt;=$R41),$U41,$T41)))=Milestones!$AB$30),TEXT(EDATE($D41,Milestones!$AA$30),"dd/mm/yy")&amp;" "&amp;Milestones!$AB$30&amp;" "&amp;Milestones!$AC$30&amp;";  ","")&amp;IF(AND(EDATE($D41,Milestones!$AA$31)&lt;=AsOfDate,IF($Q41=0,$W41,IF(AND($S41&lt;&gt;"",EDATE($D41,Milestones!$AA$31)&gt;=$S41),$V41,IF(AND($R41&lt;&gt;"",EDATE($D41,Milestones!$AA$31)&gt;=$R41),$U41,$T41)))=Milestones!$AB$31),TEXT(EDATE($D41,Milestones!$AA$31),"dd/mm/yy")&amp;" "&amp;Milestones!$AB$31&amp;" "&amp;Milestones!$AC$31&amp;";  ","")&amp;IF(AND(EDATE($D41,Milestones!$AA$32)&lt;=AsOfDate,IF($Q41=0,$W41,IF(AND($S41&lt;&gt;"",EDATE($D41,Milestones!$AA$32)&gt;=$S41),$V41,IF(AND($R41&lt;&gt;"",EDATE($D41,Milestones!$AA$32)&gt;=$R41),$U41,$T41)))=Milestones!$AB$32),TEXT(EDATE($D41,Milestones!$AA$32),"dd/mm/yy")&amp;" "&amp;Milestones!$AB$32&amp;" "&amp;Milestones!$AC$32&amp;";  ","")&amp;IF(AND(EDATE($D41,Milestones!$AA$33)&lt;=AsOfDate,IF($Q41=0,$W41,IF(AND($S41&lt;&gt;"",EDATE($D41,Milestones!$AA$33)&gt;=$S41),$V41,IF(AND($R41&lt;&gt;"",EDATE($D41,Milestones!$AA$33)&gt;=$R41),$U41,$T41)))=Milestones!$AB$33),TEXT(EDATE($D41,Milestones!$AA$33),"dd/mm/yy")&amp;" "&amp;Milestones!$AB$33&amp;" "&amp;Milestones!$AC$33&amp;";  ","")&amp;IF(AND(EDATE($D41,Milestones!$AA$34)&lt;=AsOfDate,IF($Q41=0,$W41,IF(AND($S41&lt;&gt;"",EDATE($D41,Milestones!$AA$34)&gt;=$S41),$V41,IF(AND($R41&lt;&gt;"",EDATE($D41,Milestones!$AA$34)&gt;=$R41),$U41,$T41)))=Milestones!$AB$34),TEXT(EDATE($D41,Milestones!$AA$34),"dd/mm/yy")&amp;" "&amp;Milestones!$AB$34&amp;" "&amp;Milestones!$AC$34&amp;";  ","")&amp;IF(AND(EDATE($D41,Milestones!$AA$35)&lt;=AsOfDate,IF($Q41=0,$W41,IF(AND($S41&lt;&gt;"",EDATE($D41,Milestones!$AA$35)&gt;=$S41),$V41,IF(AND($R41&lt;&gt;"",EDATE($D41,Milestones!$AA$35)&gt;=$R41),$U41,$T41)))=Milestones!$AB$35),TEXT(EDATE($D41,Milestones!$AA$35),"dd/mm/yy")&amp;" "&amp;Milestones!$AB$35&amp;" "&amp;Milestones!$AC$35&amp;";  ","")&amp;IF(AND(EDATE($D41,Milestones!$AA$36)&lt;=AsOfDate,IF($Q41=0,$W41,IF(AND($S41&lt;&gt;"",EDATE($D41,Milestones!$AA$36)&gt;=$S41),$V41,IF(AND($R41&lt;&gt;"",EDATE($D41,Milestones!$AA$36)&gt;=$R41),$U41,$T41)))=Milestones!$AB$36),TEXT(EDATE($D41,Milestones!$AA$36),"dd/mm/yy")&amp;" "&amp;Milestones!$AB$36&amp;" "&amp;Milestones!$AC$36&amp;";  ","")&amp;IF(AND(EDATE($D41,Milestones!$AA$37)&lt;=AsOfDate,IF($Q41=0,$W41,IF(AND($S41&lt;&gt;"",EDATE($D41,Milestones!$AA$37)&gt;=$S41),$V41,IF(AND($R41&lt;&gt;"",EDATE($D41,Milestones!$AA$37)&gt;=$R41),$U41,$T41)))=Milestones!$AB$37),TEXT(EDATE($D41,Milestones!$AA$37),"dd/mm/yy")&amp;" "&amp;Milestones!$AB$37&amp;" "&amp;Milestones!$AC$37&amp;";  ","")&amp;IF(AND(EDATE($D41,Milestones!$AA$38)&lt;=AsOfDate,IF($Q41=0,$W41,IF(AND($S41&lt;&gt;"",EDATE($D41,Milestones!$AA$38)&gt;=$S41),$V41,IF(AND($R41&lt;&gt;"",EDATE($D41,Milestones!$AA$38)&gt;=$R41),$U41,$T41)))=Milestones!$AB$38),TEXT(EDATE($D41,Milestones!$AA$38),"dd/mm/yy")&amp;" "&amp;Milestones!$AB$38&amp;" "&amp;Milestones!$AC$38&amp;";  ","")&amp;IF(AND(EDATE($D41,Milestones!$AA$39)&lt;=AsOfDate,IF($Q41=0,$W41,IF(AND($S41&lt;&gt;"",EDATE($D41,Milestones!$AA$39)&gt;=$S41),$V41,IF(AND($R41&lt;&gt;"",EDATE($D41,Milestones!$AA$39)&gt;=$R41),$U41,$T41)))=Milestones!$AB$39),TEXT(EDATE($D41,Milestones!$AA$39),"dd/mm/yy")&amp;" "&amp;Milestones!$AB$39&amp;" "&amp;Milestones!$AC$39&amp;";  ",""))</f>
        <v/>
      </c>
      <c r="I41" s="0" t="str">
        <f aca="false">IF(OR($A41="",$D41=""),"",IF(AND(EDATE($D41,Milestones!$AA$40)&lt;=AsOfDate,IF($Q41=0,$W41,IF(AND($S41&lt;&gt;"",EDATE($D41,Milestones!$AA$40)&gt;=$S41),$V41,IF(AND($R41&lt;&gt;"",EDATE($D41,Milestones!$AA$40)&gt;=$R41),$U41,$T41)))=Milestones!$AB$40),TEXT(EDATE($D41,Milestones!$AA$40),"dd/mm/yy")&amp;" "&amp;Milestones!$AB$40&amp;" "&amp;Milestones!$AC$40&amp;";  ","")&amp;IF(AND(EDATE($D41,Milestones!$AA$41)&lt;=AsOfDate,IF($Q41=0,$W41,IF(AND($S41&lt;&gt;"",EDATE($D41,Milestones!$AA$41)&gt;=$S41),$V41,IF(AND($R41&lt;&gt;"",EDATE($D41,Milestones!$AA$41)&gt;=$R41),$U41,$T41)))=Milestones!$AB$41),TEXT(EDATE($D41,Milestones!$AA$41),"dd/mm/yy")&amp;" "&amp;Milestones!$AB$41&amp;" "&amp;Milestones!$AC$41&amp;";  ","")&amp;IF(AND(EDATE($D41,Milestones!$AA$42)&lt;=AsOfDate,IF($Q41=0,$W41,IF(AND($S41&lt;&gt;"",EDATE($D41,Milestones!$AA$42)&gt;=$S41),$V41,IF(AND($R41&lt;&gt;"",EDATE($D41,Milestones!$AA$42)&gt;=$R41),$U41,$T41)))=Milestones!$AB$42),TEXT(EDATE($D41,Milestones!$AA$42),"dd/mm/yy")&amp;" "&amp;Milestones!$AB$42&amp;" "&amp;Milestones!$AC$42&amp;";  ","")&amp;IF(AND(EDATE($D41,Milestones!$AA$43)&lt;=AsOfDate,IF($Q41=0,$W41,IF(AND($S41&lt;&gt;"",EDATE($D41,Milestones!$AA$43)&gt;=$S41),$V41,IF(AND($R41&lt;&gt;"",EDATE($D41,Milestones!$AA$43)&gt;=$R41),$U41,$T41)))=Milestones!$AB$43),TEXT(EDATE($D41,Milestones!$AA$43),"dd/mm/yy")&amp;" "&amp;Milestones!$AB$43&amp;" "&amp;Milestones!$AC$43&amp;";  ","")&amp;IF(AND(EDATE($D41,Milestones!$AA$44)&lt;=AsOfDate,IF($Q41=0,$W41,IF(AND($S41&lt;&gt;"",EDATE($D41,Milestones!$AA$44)&gt;=$S41),$V41,IF(AND($R41&lt;&gt;"",EDATE($D41,Milestones!$AA$44)&gt;=$R41),$U41,$T41)))=Milestones!$AB$44),TEXT(EDATE($D41,Milestones!$AA$44),"dd/mm/yy")&amp;" "&amp;Milestones!$AB$44&amp;" "&amp;Milestones!$AC$44&amp;";  ","")&amp;IF(AND(EDATE($D41,Milestones!$AA$45)&lt;=AsOfDate,IF($Q41=0,$W41,IF(AND($S41&lt;&gt;"",EDATE($D41,Milestones!$AA$45)&gt;=$S41),$V41,IF(AND($R41&lt;&gt;"",EDATE($D41,Milestones!$AA$45)&gt;=$R41),$U41,$T41)))=Milestones!$AB$45),TEXT(EDATE($D41,Milestones!$AA$45),"dd/mm/yy")&amp;" "&amp;Milestones!$AB$45&amp;" "&amp;Milestones!$AC$45&amp;";  ","")&amp;IF(AND(EDATE($D41,Milestones!$AA$46)&lt;=AsOfDate,IF($Q41=0,$W41,IF(AND($S41&lt;&gt;"",EDATE($D41,Milestones!$AA$46)&gt;=$S41),$V41,IF(AND($R41&lt;&gt;"",EDATE($D41,Milestones!$AA$46)&gt;=$R41),$U41,$T41)))=Milestones!$AB$46),TEXT(EDATE($D41,Milestones!$AA$46),"dd/mm/yy")&amp;" "&amp;Milestones!$AB$46&amp;" "&amp;Milestones!$AC$46&amp;";  ","")&amp;IF(AND(EDATE($D41,Milestones!$AA$47)&lt;=AsOfDate,IF($Q41=0,$W41,IF(AND($S41&lt;&gt;"",EDATE($D41,Milestones!$AA$47)&gt;=$S41),$V41,IF(AND($R41&lt;&gt;"",EDATE($D41,Milestones!$AA$47)&gt;=$R41),$U41,$T41)))=Milestones!$AB$47),TEXT(EDATE($D41,Milestones!$AA$47),"dd/mm/yy")&amp;" "&amp;Milestones!$AB$47&amp;" "&amp;Milestones!$AC$47&amp;";  ","")&amp;IF(AND(EDATE($D41,Milestones!$AA$48)&lt;=AsOfDate,IF($Q41=0,$W41,IF(AND($S41&lt;&gt;"",EDATE($D41,Milestones!$AA$48)&gt;=$S41),$V41,IF(AND($R41&lt;&gt;"",EDATE($D41,Milestones!$AA$48)&gt;=$R41),$U41,$T41)))=Milestones!$AB$48),TEXT(EDATE($D41,Milestones!$AA$48),"dd/mm/yy")&amp;" "&amp;Milestones!$AB$48&amp;" "&amp;Milestones!$AC$48&amp;";  ","")&amp;IF(AND(EDATE($D41,Milestones!$AA$49)&lt;=AsOfDate,IF($Q41=0,$W41,IF(AND($S41&lt;&gt;"",EDATE($D41,Milestones!$AA$49)&gt;=$S41),$V41,IF(AND($R41&lt;&gt;"",EDATE($D41,Milestones!$AA$49)&gt;=$R41),$U41,$T41)))=Milestones!$AB$49),TEXT(EDATE($D41,Milestones!$AA$49),"dd/mm/yy")&amp;" "&amp;Milestones!$AB$49&amp;" "&amp;Milestones!$AC$49&amp;";  ","")&amp;IF(AND(EDATE($D41,Milestones!$AA$50)&lt;=AsOfDate,IF($Q41=0,$W41,IF(AND($S41&lt;&gt;"",EDATE($D41,Milestones!$AA$50)&gt;=$S41),$V41,IF(AND($R41&lt;&gt;"",EDATE($D41,Milestones!$AA$50)&gt;=$R41),$U41,$T41)))=Milestones!$AB$50),TEXT(EDATE($D41,Milestones!$AA$50),"dd/mm/yy")&amp;" "&amp;Milestones!$AB$50&amp;" "&amp;Milestones!$AC$50&amp;";  ","")&amp;IF(AND(EDATE($D41,Milestones!$AA$51)&lt;=AsOfDate,IF($Q41=0,$W41,IF(AND($S41&lt;&gt;"",EDATE($D41,Milestones!$AA$51)&gt;=$S41),$V41,IF(AND($R41&lt;&gt;"",EDATE($D41,Milestones!$AA$51)&gt;=$R41),$U41,$T41)))=Milestones!$AB$51),TEXT(EDATE($D41,Milestones!$AA$51),"dd/mm/yy")&amp;" "&amp;Milestones!$AB$51&amp;" "&amp;Milestones!$AC$51&amp;";  ","")&amp;IF(AND(EDATE($D41,Milestones!$AA$52)&lt;=AsOfDate,IF($Q41=0,$W41,IF(AND($S41&lt;&gt;"",EDATE($D41,Milestones!$AA$52)&gt;=$S41),$V41,IF(AND($R41&lt;&gt;"",EDATE($D41,Milestones!$AA$52)&gt;=$R41),$U41,$T41)))=Milestones!$AB$52),TEXT(EDATE($D41,Milestones!$AA$52),"dd/mm/yy")&amp;" "&amp;Milestones!$AB$52&amp;" "&amp;Milestones!$AC$52&amp;";  ","")&amp;IF(AND(EDATE($D41,Milestones!$AA$53)&lt;=AsOfDate,IF($Q41=0,$W41,IF(AND($S41&lt;&gt;"",EDATE($D41,Milestones!$AA$53)&gt;=$S41),$V41,IF(AND($R41&lt;&gt;"",EDATE($D41,Milestones!$AA$53)&gt;=$R41),$U41,$T41)))=Milestones!$AB$53),TEXT(EDATE($D41,Milestones!$AA$53),"dd/mm/yy")&amp;" "&amp;Milestones!$AB$53&amp;" "&amp;Milestones!$AC$53&amp;";  ","")&amp;IF(AND(EDATE($D41,Milestones!$AA$54)&lt;=AsOfDate,IF($Q41=0,$W41,IF(AND($S41&lt;&gt;"",EDATE($D41,Milestones!$AA$54)&gt;=$S41),$V41,IF(AND($R41&lt;&gt;"",EDATE($D41,Milestones!$AA$54)&gt;=$R41),$U41,$T41)))=Milestones!$AB$54),TEXT(EDATE($D41,Milestones!$AA$54),"dd/mm/yy")&amp;" "&amp;Milestones!$AB$54&amp;" "&amp;Milestones!$AC$54&amp;";  ","")&amp;IF(AND(EDATE($D41,Milestones!$AA$55)&lt;=AsOfDate,IF($Q41=0,$W41,IF(AND($S41&lt;&gt;"",EDATE($D41,Milestones!$AA$55)&gt;=$S41),$V41,IF(AND($R41&lt;&gt;"",EDATE($D41,Milestones!$AA$55)&gt;=$R41),$U41,$T41)))=Milestones!$AB$55),TEXT(EDATE($D41,Milestones!$AA$55),"dd/mm/yy")&amp;" "&amp;Milestones!$AB$55&amp;" "&amp;Milestones!$AC$55&amp;";  ","")&amp;IF(AND(EDATE($D41,Milestones!$AA$56)&lt;=AsOfDate,IF($Q41=0,$W41,IF(AND($S41&lt;&gt;"",EDATE($D41,Milestones!$AA$56)&gt;=$S41),$V41,IF(AND($R41&lt;&gt;"",EDATE($D41,Milestones!$AA$56)&gt;=$R41),$U41,$T41)))=Milestones!$AB$56),TEXT(EDATE($D41,Milestones!$AA$56),"dd/mm/yy")&amp;" "&amp;Milestones!$AB$56&amp;" "&amp;Milestones!$AC$56&amp;";  ","")&amp;IF(AND(EDATE($D41,Milestones!$AA$57)&lt;=AsOfDate,IF($Q41=0,$W41,IF(AND($S41&lt;&gt;"",EDATE($D41,Milestones!$AA$57)&gt;=$S41),$V41,IF(AND($R41&lt;&gt;"",EDATE($D41,Milestones!$AA$57)&gt;=$R41),$U41,$T41)))=Milestones!$AB$57),TEXT(EDATE($D41,Milestones!$AA$57),"dd/mm/yy")&amp;" "&amp;Milestones!$AB$57&amp;" "&amp;Milestones!$AC$57&amp;";  ","")&amp;IF(AND(EDATE($D41,Milestones!$AA$58)&lt;=AsOfDate,IF($Q41=0,$W41,IF(AND($S41&lt;&gt;"",EDATE($D41,Milestones!$AA$58)&gt;=$S41),$V41,IF(AND($R41&lt;&gt;"",EDATE($D41,Milestones!$AA$58)&gt;=$R41),$U41,$T41)))=Milestones!$AB$58),TEXT(EDATE($D41,Milestones!$AA$58),"dd/mm/yy")&amp;" "&amp;Milestones!$AB$58&amp;" "&amp;Milestones!$AC$58&amp;";  ","")&amp;IF(AND(EDATE($D41,Milestones!$AA$59)&lt;=AsOfDate,IF($Q41=0,$W41,IF(AND($S41&lt;&gt;"",EDATE($D41,Milestones!$AA$59)&gt;=$S41),$V41,IF(AND($R41&lt;&gt;"",EDATE($D41,Milestones!$AA$59)&gt;=$R41),$U41,$T41)))=Milestones!$AB$59),TEXT(EDATE($D41,Milestones!$AA$59),"dd/mm/yy")&amp;" "&amp;Milestones!$AB$59&amp;" "&amp;Milestones!$AC$59&amp;";  ",""))</f>
        <v/>
      </c>
      <c r="J41" s="0" t="str">
        <f aca="false">IF(OR($A41="",$D41=""),"",IF(AND(EDATE($D41,Milestones!$AA$60)&lt;=AsOfDate,IF($Q41=0,$W41,IF(AND($S41&lt;&gt;"",EDATE($D41,Milestones!$AA$60)&gt;=$S41),$V41,IF(AND($R41&lt;&gt;"",EDATE($D41,Milestones!$AA$60)&gt;=$R41),$U41,$T41)))=Milestones!$AB$60),TEXT(EDATE($D41,Milestones!$AA$60),"dd/mm/yy")&amp;" "&amp;Milestones!$AB$60&amp;" "&amp;Milestones!$AC$60&amp;";  ","")&amp;IF(AND(EDATE($D41,Milestones!$AA$61)&lt;=AsOfDate,IF($Q41=0,$W41,IF(AND($S41&lt;&gt;"",EDATE($D41,Milestones!$AA$61)&gt;=$S41),$V41,IF(AND($R41&lt;&gt;"",EDATE($D41,Milestones!$AA$61)&gt;=$R41),$U41,$T41)))=Milestones!$AB$61),TEXT(EDATE($D41,Milestones!$AA$61),"dd/mm/yy")&amp;" "&amp;Milestones!$AB$61&amp;" "&amp;Milestones!$AC$61&amp;";  ","")&amp;IF(AND(EDATE($D41,Milestones!$AA$62)&lt;=AsOfDate,IF($Q41=0,$W41,IF(AND($S41&lt;&gt;"",EDATE($D41,Milestones!$AA$62)&gt;=$S41),$V41,IF(AND($R41&lt;&gt;"",EDATE($D41,Milestones!$AA$62)&gt;=$R41),$U41,$T41)))=Milestones!$AB$62),TEXT(EDATE($D41,Milestones!$AA$62),"dd/mm/yy")&amp;" "&amp;Milestones!$AB$62&amp;" "&amp;Milestones!$AC$62&amp;";  ","")&amp;IF(AND(EDATE($D41,Milestones!$AA$63)&lt;=AsOfDate,IF($Q41=0,$W41,IF(AND($S41&lt;&gt;"",EDATE($D41,Milestones!$AA$63)&gt;=$S41),$V41,IF(AND($R41&lt;&gt;"",EDATE($D41,Milestones!$AA$63)&gt;=$R41),$U41,$T41)))=Milestones!$AB$63),TEXT(EDATE($D41,Milestones!$AA$63),"dd/mm/yy")&amp;" "&amp;Milestones!$AB$63&amp;" "&amp;Milestones!$AC$63&amp;";  ","")&amp;IF(AND(EDATE($D41,Milestones!$AA$64)&lt;=AsOfDate,IF($Q41=0,$W41,IF(AND($S41&lt;&gt;"",EDATE($D41,Milestones!$AA$64)&gt;=$S41),$V41,IF(AND($R41&lt;&gt;"",EDATE($D41,Milestones!$AA$64)&gt;=$R41),$U41,$T41)))=Milestones!$AB$64),TEXT(EDATE($D41,Milestones!$AA$64),"dd/mm/yy")&amp;" "&amp;Milestones!$AB$64&amp;" "&amp;Milestones!$AC$64&amp;";  ","")&amp;IF(AND(EDATE($D41,Milestones!$AA$65)&lt;=AsOfDate,IF($Q41=0,$W41,IF(AND($S41&lt;&gt;"",EDATE($D41,Milestones!$AA$65)&gt;=$S41),$V41,IF(AND($R41&lt;&gt;"",EDATE($D41,Milestones!$AA$65)&gt;=$R41),$U41,$T41)))=Milestones!$AB$65),TEXT(EDATE($D41,Milestones!$AA$65),"dd/mm/yy")&amp;" "&amp;Milestones!$AB$65&amp;" "&amp;Milestones!$AC$65&amp;";  ","")&amp;IF(AND(EDATE($D41,Milestones!$AA$66)&lt;=AsOfDate,IF($Q41=0,$W41,IF(AND($S41&lt;&gt;"",EDATE($D41,Milestones!$AA$66)&gt;=$S41),$V41,IF(AND($R41&lt;&gt;"",EDATE($D41,Milestones!$AA$66)&gt;=$R41),$U41,$T41)))=Milestones!$AB$66),TEXT(EDATE($D41,Milestones!$AA$66),"dd/mm/yy")&amp;" "&amp;Milestones!$AB$66&amp;" "&amp;Milestones!$AC$66&amp;";  ","")&amp;IF(AND(EDATE($D41,Milestones!$AA$67)&lt;=AsOfDate,IF($Q41=0,$W41,IF(AND($S41&lt;&gt;"",EDATE($D41,Milestones!$AA$67)&gt;=$S41),$V41,IF(AND($R41&lt;&gt;"",EDATE($D41,Milestones!$AA$67)&gt;=$R41),$U41,$T41)))=Milestones!$AB$67),TEXT(EDATE($D41,Milestones!$AA$67),"dd/mm/yy")&amp;" "&amp;Milestones!$AB$67&amp;" "&amp;Milestones!$AC$67&amp;";  ","")&amp;IF(AND(EDATE($D41,Milestones!$AA$68)&lt;=AsOfDate,IF($Q41=0,$W41,IF(AND($S41&lt;&gt;"",EDATE($D41,Milestones!$AA$68)&gt;=$S41),$V41,IF(AND($R41&lt;&gt;"",EDATE($D41,Milestones!$AA$68)&gt;=$R41),$U41,$T41)))=Milestones!$AB$68),TEXT(EDATE($D41,Milestones!$AA$68),"dd/mm/yy")&amp;" "&amp;Milestones!$AB$68&amp;" "&amp;Milestones!$AC$68&amp;";  ","")&amp;IF(AND(EDATE($D41,Milestones!$AA$69)&lt;=AsOfDate,IF($Q41=0,$W41,IF(AND($S41&lt;&gt;"",EDATE($D41,Milestones!$AA$69)&gt;=$S41),$V41,IF(AND($R41&lt;&gt;"",EDATE($D41,Milestones!$AA$69)&gt;=$R41),$U41,$T41)))=Milestones!$AB$69),TEXT(EDATE($D41,Milestones!$AA$69),"dd/mm/yy")&amp;" "&amp;Milestones!$AB$69&amp;" "&amp;Milestones!$AC$69&amp;";  ","")&amp;IF(AND(EDATE($D41,Milestones!$AA$70)&lt;=AsOfDate,IF($Q41=0,$W41,IF(AND($S41&lt;&gt;"",EDATE($D41,Milestones!$AA$70)&gt;=$S41),$V41,IF(AND($R41&lt;&gt;"",EDATE($D41,Milestones!$AA$70)&gt;=$R41),$U41,$T41)))=Milestones!$AB$70),TEXT(EDATE($D41,Milestones!$AA$70),"dd/mm/yy")&amp;" "&amp;Milestones!$AB$70&amp;" "&amp;Milestones!$AC$70&amp;";  ","")&amp;IF(AND(EDATE($D41,Milestones!$AA$71)&lt;=AsOfDate,IF($Q41=0,$W41,IF(AND($S41&lt;&gt;"",EDATE($D41,Milestones!$AA$71)&gt;=$S41),$V41,IF(AND($R41&lt;&gt;"",EDATE($D41,Milestones!$AA$71)&gt;=$R41),$U41,$T41)))=Milestones!$AB$71),TEXT(EDATE($D41,Milestones!$AA$71),"dd/mm/yy")&amp;" "&amp;Milestones!$AB$71&amp;" "&amp;Milestones!$AC$71&amp;";  ","")&amp;IF(AND(EDATE($D41,Milestones!$AA$72)&lt;=AsOfDate,IF($Q41=0,$W41,IF(AND($S41&lt;&gt;"",EDATE($D41,Milestones!$AA$72)&gt;=$S41),$V41,IF(AND($R41&lt;&gt;"",EDATE($D41,Milestones!$AA$72)&gt;=$R41),$U41,$T41)))=Milestones!$AB$72),TEXT(EDATE($D41,Milestones!$AA$72),"dd/mm/yy")&amp;" "&amp;Milestones!$AB$72&amp;" "&amp;Milestones!$AC$72&amp;";  ","")&amp;IF(AND(EDATE($D41,Milestones!$AA$73)&lt;=AsOfDate,IF($Q41=0,$W41,IF(AND($S41&lt;&gt;"",EDATE($D41,Milestones!$AA$73)&gt;=$S41),$V41,IF(AND($R41&lt;&gt;"",EDATE($D41,Milestones!$AA$73)&gt;=$R41),$U41,$T41)))=Milestones!$AB$73),TEXT(EDATE($D41,Milestones!$AA$73),"dd/mm/yy")&amp;" "&amp;Milestones!$AB$73&amp;" "&amp;Milestones!$AC$73&amp;";  ","")&amp;IF(AND(EDATE($D41,Milestones!$AA$74)&lt;=AsOfDate,IF($Q41=0,$W41,IF(AND($S41&lt;&gt;"",EDATE($D41,Milestones!$AA$74)&gt;=$S41),$V41,IF(AND($R41&lt;&gt;"",EDATE($D41,Milestones!$AA$74)&gt;=$R41),$U41,$T41)))=Milestones!$AB$74),TEXT(EDATE($D41,Milestones!$AA$74),"dd/mm/yy")&amp;" "&amp;Milestones!$AB$74&amp;" "&amp;Milestones!$AC$74&amp;";  ","")&amp;IF(AND(EDATE($D41,Milestones!$AA$75)&lt;=AsOfDate,IF($Q41=0,$W41,IF(AND($S41&lt;&gt;"",EDATE($D41,Milestones!$AA$75)&gt;=$S41),$V41,IF(AND($R41&lt;&gt;"",EDATE($D41,Milestones!$AA$75)&gt;=$R41),$U41,$T41)))=Milestones!$AB$75),TEXT(EDATE($D41,Milestones!$AA$75),"dd/mm/yy")&amp;" "&amp;Milestones!$AB$75&amp;" "&amp;Milestones!$AC$75&amp;";  ","")&amp;IF(AND(EDATE($D41,Milestones!$AA$76)&lt;=AsOfDate,IF($Q41=0,$W41,IF(AND($S41&lt;&gt;"",EDATE($D41,Milestones!$AA$76)&gt;=$S41),$V41,IF(AND($R41&lt;&gt;"",EDATE($D41,Milestones!$AA$76)&gt;=$R41),$U41,$T41)))=Milestones!$AB$76),TEXT(EDATE($D41,Milestones!$AA$76),"dd/mm/yy")&amp;" "&amp;Milestones!$AB$76&amp;" "&amp;Milestones!$AC$76&amp;";  ","")&amp;IF(AND(EDATE($D41,Milestones!$AA$77)&lt;=AsOfDate,IF($Q41=0,$W41,IF(AND($S41&lt;&gt;"",EDATE($D41,Milestones!$AA$77)&gt;=$S41),$V41,IF(AND($R41&lt;&gt;"",EDATE($D41,Milestones!$AA$77)&gt;=$R41),$U41,$T41)))=Milestones!$AB$77),TEXT(EDATE($D41,Milestones!$AA$77),"dd/mm/yy")&amp;" "&amp;Milestones!$AB$77&amp;" "&amp;Milestones!$AC$77&amp;";  ","")&amp;IF(AND(EDATE($D41,Milestones!$AA$78)&lt;=AsOfDate,IF($Q41=0,$W41,IF(AND($S41&lt;&gt;"",EDATE($D41,Milestones!$AA$78)&gt;=$S41),$V41,IF(AND($R41&lt;&gt;"",EDATE($D41,Milestones!$AA$78)&gt;=$R41),$U41,$T41)))=Milestones!$AB$78),TEXT(EDATE($D41,Milestones!$AA$78),"dd/mm/yy")&amp;" "&amp;Milestones!$AB$78&amp;" "&amp;Milestones!$AC$78&amp;";  ","")&amp;IF(AND(EDATE($D41,Milestones!$AA$79)&lt;=AsOfDate,IF($Q41=0,$W41,IF(AND($S41&lt;&gt;"",EDATE($D41,Milestones!$AA$79)&gt;=$S41),$V41,IF(AND($R41&lt;&gt;"",EDATE($D41,Milestones!$AA$79)&gt;=$R41),$U41,$T41)))=Milestones!$AB$79),TEXT(EDATE($D41,Milestones!$AA$79),"dd/mm/yy")&amp;" "&amp;Milestones!$AB$79&amp;" "&amp;Milestones!$AC$79&amp;";  ",""))</f>
        <v/>
      </c>
      <c r="K41" s="0" t="str">
        <f aca="false">IF(OR($A41="",$D41=""),"",IF(AND(EDATE($D41,Milestones!$AA$80)&lt;=AsOfDate,IF($Q41=0,$W41,IF(AND($S41&lt;&gt;"",EDATE($D41,Milestones!$AA$80)&gt;=$S41),$V41,IF(AND($R41&lt;&gt;"",EDATE($D41,Milestones!$AA$80)&gt;=$R41),$U41,$T41)))=Milestones!$AB$80),TEXT(EDATE($D41,Milestones!$AA$80),"dd/mm/yy")&amp;" "&amp;Milestones!$AB$80&amp;" "&amp;Milestones!$AC$80&amp;";  ","")&amp;IF(AND(EDATE($D41,Milestones!$AA$81)&lt;=AsOfDate,IF($Q41=0,$W41,IF(AND($S41&lt;&gt;"",EDATE($D41,Milestones!$AA$81)&gt;=$S41),$V41,IF(AND($R41&lt;&gt;"",EDATE($D41,Milestones!$AA$81)&gt;=$R41),$U41,$T41)))=Milestones!$AB$81),TEXT(EDATE($D41,Milestones!$AA$81),"dd/mm/yy")&amp;" "&amp;Milestones!$AB$81&amp;" "&amp;Milestones!$AC$81&amp;";  ","")&amp;IF(AND(EDATE($D41,Milestones!$AA$82)&lt;=AsOfDate,IF($Q41=0,$W41,IF(AND($S41&lt;&gt;"",EDATE($D41,Milestones!$AA$82)&gt;=$S41),$V41,IF(AND($R41&lt;&gt;"",EDATE($D41,Milestones!$AA$82)&gt;=$R41),$U41,$T41)))=Milestones!$AB$82),TEXT(EDATE($D41,Milestones!$AA$82),"dd/mm/yy")&amp;" "&amp;Milestones!$AB$82&amp;" "&amp;Milestones!$AC$82&amp;";  ","")&amp;IF(AND(EDATE($D41,Milestones!$AA$83)&lt;=AsOfDate,IF($Q41=0,$W41,IF(AND($S41&lt;&gt;"",EDATE($D41,Milestones!$AA$83)&gt;=$S41),$V41,IF(AND($R41&lt;&gt;"",EDATE($D41,Milestones!$AA$83)&gt;=$R41),$U41,$T41)))=Milestones!$AB$83),TEXT(EDATE($D41,Milestones!$AA$83),"dd/mm/yy")&amp;" "&amp;Milestones!$AB$83&amp;" "&amp;Milestones!$AC$83&amp;";  ","")&amp;IF(AND(EDATE($D41,Milestones!$AA$84)&lt;=AsOfDate,IF($Q41=0,$W41,IF(AND($S41&lt;&gt;"",EDATE($D41,Milestones!$AA$84)&gt;=$S41),$V41,IF(AND($R41&lt;&gt;"",EDATE($D41,Milestones!$AA$84)&gt;=$R41),$U41,$T41)))=Milestones!$AB$84),TEXT(EDATE($D41,Milestones!$AA$84),"dd/mm/yy")&amp;" "&amp;Milestones!$AB$84&amp;" "&amp;Milestones!$AC$84&amp;";  ","")&amp;IF(AND(EDATE($D41,Milestones!$AA$85)&lt;=AsOfDate,IF($Q41=0,$W41,IF(AND($S41&lt;&gt;"",EDATE($D41,Milestones!$AA$85)&gt;=$S41),$V41,IF(AND($R41&lt;&gt;"",EDATE($D41,Milestones!$AA$85)&gt;=$R41),$U41,$T41)))=Milestones!$AB$85),TEXT(EDATE($D41,Milestones!$AA$85),"dd/mm/yy")&amp;" "&amp;Milestones!$AB$85&amp;" "&amp;Milestones!$AC$85&amp;";  ","")&amp;IF(AND(EDATE($D41,Milestones!$AA$86)&lt;=AsOfDate,IF($Q41=0,$W41,IF(AND($S41&lt;&gt;"",EDATE($D41,Milestones!$AA$86)&gt;=$S41),$V41,IF(AND($R41&lt;&gt;"",EDATE($D41,Milestones!$AA$86)&gt;=$R41),$U41,$T41)))=Milestones!$AB$86),TEXT(EDATE($D41,Milestones!$AA$86),"dd/mm/yy")&amp;" "&amp;Milestones!$AB$86&amp;" "&amp;Milestones!$AC$86&amp;";  ","")&amp;IF(AND(EDATE($D41,Milestones!$AA$87)&lt;=AsOfDate,IF($Q41=0,$W41,IF(AND($S41&lt;&gt;"",EDATE($D41,Milestones!$AA$87)&gt;=$S41),$V41,IF(AND($R41&lt;&gt;"",EDATE($D41,Milestones!$AA$87)&gt;=$R41),$U41,$T41)))=Milestones!$AB$87),TEXT(EDATE($D41,Milestones!$AA$87),"dd/mm/yy")&amp;" "&amp;Milestones!$AB$87&amp;" "&amp;Milestones!$AC$87&amp;";  ","")&amp;IF(AND(EDATE($D41,Milestones!$AA$88)&lt;=AsOfDate,IF($Q41=0,$W41,IF(AND($S41&lt;&gt;"",EDATE($D41,Milestones!$AA$88)&gt;=$S41),$V41,IF(AND($R41&lt;&gt;"",EDATE($D41,Milestones!$AA$88)&gt;=$R41),$U41,$T41)))=Milestones!$AB$88),TEXT(EDATE($D41,Milestones!$AA$88),"dd/mm/yy")&amp;" "&amp;Milestones!$AB$88&amp;" "&amp;Milestones!$AC$88&amp;";  ","")&amp;IF(AND(EDATE($D41,Milestones!$AA$89)&lt;=AsOfDate,IF($Q41=0,$W41,IF(AND($S41&lt;&gt;"",EDATE($D41,Milestones!$AA$89)&gt;=$S41),$V41,IF(AND($R41&lt;&gt;"",EDATE($D41,Milestones!$AA$89)&gt;=$R41),$U41,$T41)))=Milestones!$AB$89),TEXT(EDATE($D41,Milestones!$AA$89),"dd/mm/yy")&amp;" "&amp;Milestones!$AB$89&amp;" "&amp;Milestones!$AC$89&amp;";  ","")&amp;IF(AND(EDATE($D41,Milestones!$AA$90)&lt;=AsOfDate,IF($Q41=0,$W41,IF(AND($S41&lt;&gt;"",EDATE($D41,Milestones!$AA$90)&gt;=$S41),$V41,IF(AND($R41&lt;&gt;"",EDATE($D41,Milestones!$AA$90)&gt;=$R41),$U41,$T41)))=Milestones!$AB$90),TEXT(EDATE($D41,Milestones!$AA$90),"dd/mm/yy")&amp;" "&amp;Milestones!$AB$90&amp;" "&amp;Milestones!$AC$90&amp;";  ","")&amp;IF(AND(EDATE($D41,Milestones!$AA$91)&lt;=AsOfDate,IF($Q41=0,$W41,IF(AND($S41&lt;&gt;"",EDATE($D41,Milestones!$AA$91)&gt;=$S41),$V41,IF(AND($R41&lt;&gt;"",EDATE($D41,Milestones!$AA$91)&gt;=$R41),$U41,$T41)))=Milestones!$AB$91),TEXT(EDATE($D41,Milestones!$AA$91),"dd/mm/yy")&amp;" "&amp;Milestones!$AB$91&amp;" "&amp;Milestones!$AC$91&amp;";  ","")&amp;IF(AND(EDATE($D41,Milestones!$AA$92)&lt;=AsOfDate,IF($Q41=0,$W41,IF(AND($S41&lt;&gt;"",EDATE($D41,Milestones!$AA$92)&gt;=$S41),$V41,IF(AND($R41&lt;&gt;"",EDATE($D41,Milestones!$AA$92)&gt;=$R41),$U41,$T41)))=Milestones!$AB$92),TEXT(EDATE($D41,Milestones!$AA$92),"dd/mm/yy")&amp;" "&amp;Milestones!$AB$92&amp;" "&amp;Milestones!$AC$92&amp;";  ","")&amp;IF(AND(EDATE($D41,Milestones!$AA$93)&lt;=AsOfDate,IF($Q41=0,$W41,IF(AND($S41&lt;&gt;"",EDATE($D41,Milestones!$AA$93)&gt;=$S41),$V41,IF(AND($R41&lt;&gt;"",EDATE($D41,Milestones!$AA$93)&gt;=$R41),$U41,$T41)))=Milestones!$AB$93),TEXT(EDATE($D41,Milestones!$AA$93),"dd/mm/yy")&amp;" "&amp;Milestones!$AB$93&amp;" "&amp;Milestones!$AC$93&amp;";  ","")&amp;IF(AND(EDATE($D41,Milestones!$AA$94)&lt;=AsOfDate,IF($Q41=0,$W41,IF(AND($S41&lt;&gt;"",EDATE($D41,Milestones!$AA$94)&gt;=$S41),$V41,IF(AND($R41&lt;&gt;"",EDATE($D41,Milestones!$AA$94)&gt;=$R41),$U41,$T41)))=Milestones!$AB$94),TEXT(EDATE($D41,Milestones!$AA$94),"dd/mm/yy")&amp;" "&amp;Milestones!$AB$94&amp;" "&amp;Milestones!$AC$94&amp;";  ","")&amp;IF(AND(EDATE($D41,Milestones!$AA$95)&lt;=AsOfDate,IF($Q41=0,$W41,IF(AND($S41&lt;&gt;"",EDATE($D41,Milestones!$AA$95)&gt;=$S41),$V41,IF(AND($R41&lt;&gt;"",EDATE($D41,Milestones!$AA$95)&gt;=$R41),$U41,$T41)))=Milestones!$AB$95),TEXT(EDATE($D41,Milestones!$AA$95),"dd/mm/yy")&amp;" "&amp;Milestones!$AB$95&amp;" "&amp;Milestones!$AC$95&amp;";  ","")&amp;IF(AND(EDATE($D41,Milestones!$AA$96)&lt;=AsOfDate,IF($Q41=0,$W41,IF(AND($S41&lt;&gt;"",EDATE($D41,Milestones!$AA$96)&gt;=$S41),$V41,IF(AND($R41&lt;&gt;"",EDATE($D41,Milestones!$AA$96)&gt;=$R41),$U41,$T41)))=Milestones!$AB$96),TEXT(EDATE($D41,Milestones!$AA$96),"dd/mm/yy")&amp;" "&amp;Milestones!$AB$96&amp;" "&amp;Milestones!$AC$96&amp;";  ","")&amp;IF(AND(EDATE($D41,Milestones!$AA$97)&lt;=AsOfDate,IF($Q41=0,$W41,IF(AND($S41&lt;&gt;"",EDATE($D41,Milestones!$AA$97)&gt;=$S41),$V41,IF(AND($R41&lt;&gt;"",EDATE($D41,Milestones!$AA$97)&gt;=$R41),$U41,$T41)))=Milestones!$AB$97),TEXT(EDATE($D41,Milestones!$AA$97),"dd/mm/yy")&amp;" "&amp;Milestones!$AB$97&amp;" "&amp;Milestones!$AC$97&amp;";  ","")&amp;IF(AND(EDATE($D41,Milestones!$AA$98)&lt;=AsOfDate,IF($Q41=0,$W41,IF(AND($S41&lt;&gt;"",EDATE($D41,Milestones!$AA$98)&gt;=$S41),$V41,IF(AND($R41&lt;&gt;"",EDATE($D41,Milestones!$AA$98)&gt;=$R41),$U41,$T41)))=Milestones!$AB$98),TEXT(EDATE($D41,Milestones!$AA$98),"dd/mm/yy")&amp;" "&amp;Milestones!$AB$98&amp;" "&amp;Milestones!$AC$98&amp;";  ","")&amp;IF(AND(EDATE($D41,Milestones!$AA$99)&lt;=AsOfDate,IF($Q41=0,$W41,IF(AND($S41&lt;&gt;"",EDATE($D41,Milestones!$AA$99)&gt;=$S41),$V41,IF(AND($R41&lt;&gt;"",EDATE($D41,Milestones!$AA$99)&gt;=$R41),$U41,$T41)))=Milestones!$AB$99),TEXT(EDATE($D41,Milestones!$AA$99),"dd/mm/yy")&amp;" "&amp;Milestones!$AB$99&amp;" "&amp;Milestones!$AC$99&amp;";  ",""))</f>
        <v/>
      </c>
      <c r="L41" s="0" t="str">
        <f aca="false">IF(OR($A41="",$D41=""),"",IF(AND(EDATE($D41,Milestones!$AA$100)&lt;=AsOfDate,IF($Q41=0,$W41,IF(AND($S41&lt;&gt;"",EDATE($D41,Milestones!$AA$100)&gt;=$S41),$V41,IF(AND($R41&lt;&gt;"",EDATE($D41,Milestones!$AA$100)&gt;=$R41),$U41,$T41)))=Milestones!$AB$100),TEXT(EDATE($D41,Milestones!$AA$100),"dd/mm/yy")&amp;" "&amp;Milestones!$AB$100&amp;" "&amp;Milestones!$AC$100&amp;";  ","")&amp;IF(AND(EDATE($D41,Milestones!$AA$101)&lt;=AsOfDate,IF($Q41=0,$W41,IF(AND($S41&lt;&gt;"",EDATE($D41,Milestones!$AA$101)&gt;=$S41),$V41,IF(AND($R41&lt;&gt;"",EDATE($D41,Milestones!$AA$101)&gt;=$R41),$U41,$T41)))=Milestones!$AB$101),TEXT(EDATE($D41,Milestones!$AA$101),"dd/mm/yy")&amp;" "&amp;Milestones!$AB$101&amp;" "&amp;Milestones!$AC$101&amp;";  ","")&amp;IF(AND(EDATE($D41,Milestones!$AA$102)&lt;=AsOfDate,IF($Q41=0,$W41,IF(AND($S41&lt;&gt;"",EDATE($D41,Milestones!$AA$102)&gt;=$S41),$V41,IF(AND($R41&lt;&gt;"",EDATE($D41,Milestones!$AA$102)&gt;=$R41),$U41,$T41)))=Milestones!$AB$102),TEXT(EDATE($D41,Milestones!$AA$102),"dd/mm/yy")&amp;" "&amp;Milestones!$AB$102&amp;" "&amp;Milestones!$AC$102&amp;";  ","")&amp;IF(AND(EDATE($D41,Milestones!$AA$103)&lt;=AsOfDate,IF($Q41=0,$W41,IF(AND($S41&lt;&gt;"",EDATE($D41,Milestones!$AA$103)&gt;=$S41),$V41,IF(AND($R41&lt;&gt;"",EDATE($D41,Milestones!$AA$103)&gt;=$R41),$U41,$T41)))=Milestones!$AB$103),TEXT(EDATE($D41,Milestones!$AA$103),"dd/mm/yy")&amp;" "&amp;Milestones!$AB$103&amp;" "&amp;Milestones!$AC$103&amp;";  ","")&amp;IF(AND(EDATE($D41,Milestones!$AA$104)&lt;=AsOfDate,IF($Q41=0,$W41,IF(AND($S41&lt;&gt;"",EDATE($D41,Milestones!$AA$104)&gt;=$S41),$V41,IF(AND($R41&lt;&gt;"",EDATE($D41,Milestones!$AA$104)&gt;=$R41),$U41,$T41)))=Milestones!$AB$104),TEXT(EDATE($D41,Milestones!$AA$104),"dd/mm/yy")&amp;" "&amp;Milestones!$AB$104&amp;" "&amp;Milestones!$AC$104&amp;";  ","")&amp;IF(AND(EDATE($D41,Milestones!$AA$105)&lt;=AsOfDate,IF($Q41=0,$W41,IF(AND($S41&lt;&gt;"",EDATE($D41,Milestones!$AA$105)&gt;=$S41),$V41,IF(AND($R41&lt;&gt;"",EDATE($D41,Milestones!$AA$105)&gt;=$R41),$U41,$T41)))=Milestones!$AB$105),TEXT(EDATE($D41,Milestones!$AA$105),"dd/mm/yy")&amp;" "&amp;Milestones!$AB$105&amp;" "&amp;Milestones!$AC$105&amp;";  ","")&amp;IF(AND(EDATE($D41,Milestones!$AA$106)&lt;=AsOfDate,IF($Q41=0,$W41,IF(AND($S41&lt;&gt;"",EDATE($D41,Milestones!$AA$106)&gt;=$S41),$V41,IF(AND($R41&lt;&gt;"",EDATE($D41,Milestones!$AA$106)&gt;=$R41),$U41,$T41)))=Milestones!$AB$106),TEXT(EDATE($D41,Milestones!$AA$106),"dd/mm/yy")&amp;" "&amp;Milestones!$AB$106&amp;" "&amp;Milestones!$AC$106&amp;";  ","")&amp;IF(AND(EDATE($D41,Milestones!$AA$107)&lt;=AsOfDate,IF($Q41=0,$W41,IF(AND($S41&lt;&gt;"",EDATE($D41,Milestones!$AA$107)&gt;=$S41),$V41,IF(AND($R41&lt;&gt;"",EDATE($D41,Milestones!$AA$107)&gt;=$R41),$U41,$T41)))=Milestones!$AB$107),TEXT(EDATE($D41,Milestones!$AA$107),"dd/mm/yy")&amp;" "&amp;Milestones!$AB$107&amp;" "&amp;Milestones!$AC$107&amp;";  ","")&amp;IF(AND(EDATE($D41,Milestones!$AA$108)&lt;=AsOfDate,IF($Q41=0,$W41,IF(AND($S41&lt;&gt;"",EDATE($D41,Milestones!$AA$108)&gt;=$S41),$V41,IF(AND($R41&lt;&gt;"",EDATE($D41,Milestones!$AA$108)&gt;=$R41),$U41,$T41)))=Milestones!$AB$108),TEXT(EDATE($D41,Milestones!$AA$108),"dd/mm/yy")&amp;" "&amp;Milestones!$AB$108&amp;" "&amp;Milestones!$AC$108&amp;";  ","")&amp;IF(AND(EDATE($D41,Milestones!$AA$109)&lt;=AsOfDate,IF($Q41=0,$W41,IF(AND($S41&lt;&gt;"",EDATE($D41,Milestones!$AA$109)&gt;=$S41),$V41,IF(AND($R41&lt;&gt;"",EDATE($D41,Milestones!$AA$109)&gt;=$R41),$U41,$T41)))=Milestones!$AB$109),TEXT(EDATE($D41,Milestones!$AA$109),"dd/mm/yy")&amp;" "&amp;Milestones!$AB$109&amp;" "&amp;Milestones!$AC$109&amp;";  ","")&amp;IF(AND(EDATE($D41,Milestones!$AA$110)&lt;=AsOfDate,IF($Q41=0,$W41,IF(AND($S41&lt;&gt;"",EDATE($D41,Milestones!$AA$110)&gt;=$S41),$V41,IF(AND($R41&lt;&gt;"",EDATE($D41,Milestones!$AA$110)&gt;=$R41),$U41,$T41)))=Milestones!$AB$110),TEXT(EDATE($D41,Milestones!$AA$110),"dd/mm/yy")&amp;" "&amp;Milestones!$AB$110&amp;" "&amp;Milestones!$AC$110&amp;";  ","")&amp;IF(AND(EDATE($D41,Milestones!$AA$111)&lt;=AsOfDate,IF($Q41=0,$W41,IF(AND($S41&lt;&gt;"",EDATE($D41,Milestones!$AA$111)&gt;=$S41),$V41,IF(AND($R41&lt;&gt;"",EDATE($D41,Milestones!$AA$111)&gt;=$R41),$U41,$T41)))=Milestones!$AB$111),TEXT(EDATE($D41,Milestones!$AA$111),"dd/mm/yy")&amp;" "&amp;Milestones!$AB$111&amp;" "&amp;Milestones!$AC$111&amp;";  ","")&amp;IF(AND(EDATE($D41,Milestones!$AA$112)&lt;=AsOfDate,IF($Q41=0,$W41,IF(AND($S41&lt;&gt;"",EDATE($D41,Milestones!$AA$112)&gt;=$S41),$V41,IF(AND($R41&lt;&gt;"",EDATE($D41,Milestones!$AA$112)&gt;=$R41),$U41,$T41)))=Milestones!$AB$112),TEXT(EDATE($D41,Milestones!$AA$112),"dd/mm/yy")&amp;" "&amp;Milestones!$AB$112&amp;" "&amp;Milestones!$AC$112&amp;";  ","")&amp;IF(AND(EDATE($D41,Milestones!$AA$113)&lt;=AsOfDate,IF($Q41=0,$W41,IF(AND($S41&lt;&gt;"",EDATE($D41,Milestones!$AA$113)&gt;=$S41),$V41,IF(AND($R41&lt;&gt;"",EDATE($D41,Milestones!$AA$113)&gt;=$R41),$U41,$T41)))=Milestones!$AB$113),TEXT(EDATE($D41,Milestones!$AA$113),"dd/mm/yy")&amp;" "&amp;Milestones!$AB$113&amp;" "&amp;Milestones!$AC$113&amp;";  ","")&amp;IF(AND(EDATE($D41,Milestones!$AA$114)&lt;=AsOfDate,IF($Q41=0,$W41,IF(AND($S41&lt;&gt;"",EDATE($D41,Milestones!$AA$114)&gt;=$S41),$V41,IF(AND($R41&lt;&gt;"",EDATE($D41,Milestones!$AA$114)&gt;=$R41),$U41,$T41)))=Milestones!$AB$114),TEXT(EDATE($D41,Milestones!$AA$114),"dd/mm/yy")&amp;" "&amp;Milestones!$AB$114&amp;" "&amp;Milestones!$AC$114&amp;";  ","")&amp;IF(AND(EDATE($D41,Milestones!$AA$115)&lt;=AsOfDate,IF($Q41=0,$W41,IF(AND($S41&lt;&gt;"",EDATE($D41,Milestones!$AA$115)&gt;=$S41),$V41,IF(AND($R41&lt;&gt;"",EDATE($D41,Milestones!$AA$115)&gt;=$R41),$U41,$T41)))=Milestones!$AB$115),TEXT(EDATE($D41,Milestones!$AA$115),"dd/mm/yy")&amp;" "&amp;Milestones!$AB$115&amp;" "&amp;Milestones!$AC$115&amp;";  ","")&amp;IF(AND(EDATE($D41,Milestones!$AA$116)&lt;=AsOfDate,IF($Q41=0,$W41,IF(AND($S41&lt;&gt;"",EDATE($D41,Milestones!$AA$116)&gt;=$S41),$V41,IF(AND($R41&lt;&gt;"",EDATE($D41,Milestones!$AA$116)&gt;=$R41),$U41,$T41)))=Milestones!$AB$116),TEXT(EDATE($D41,Milestones!$AA$116),"dd/mm/yy")&amp;" "&amp;Milestones!$AB$116&amp;" "&amp;Milestones!$AC$116&amp;";  ","")&amp;IF(AND(EDATE($D41,Milestones!$AA$117)&lt;=AsOfDate,IF($Q41=0,$W41,IF(AND($S41&lt;&gt;"",EDATE($D41,Milestones!$AA$117)&gt;=$S41),$V41,IF(AND($R41&lt;&gt;"",EDATE($D41,Milestones!$AA$117)&gt;=$R41),$U41,$T41)))=Milestones!$AB$117),TEXT(EDATE($D41,Milestones!$AA$117),"dd/mm/yy")&amp;" "&amp;Milestones!$AB$117&amp;" "&amp;Milestones!$AC$117&amp;";  ","")&amp;IF(AND(EDATE($D41,Milestones!$AA$118)&lt;=AsOfDate,IF($Q41=0,$W41,IF(AND($S41&lt;&gt;"",EDATE($D41,Milestones!$AA$118)&gt;=$S41),$V41,IF(AND($R41&lt;&gt;"",EDATE($D41,Milestones!$AA$118)&gt;=$R41),$U41,$T41)))=Milestones!$AB$118),TEXT(EDATE($D41,Milestones!$AA$118),"dd/mm/yy")&amp;" "&amp;Milestones!$AB$118&amp;" "&amp;Milestones!$AC$118&amp;";  ","")&amp;IF(AND(EDATE($D41,Milestones!$AA$119)&lt;=AsOfDate,IF($Q41=0,$W41,IF(AND($S41&lt;&gt;"",EDATE($D41,Milestones!$AA$119)&gt;=$S41),$V41,IF(AND($R41&lt;&gt;"",EDATE($D41,Milestones!$AA$119)&gt;=$R41),$U41,$T41)))=Milestones!$AB$119),TEXT(EDATE($D41,Milestones!$AA$119),"dd/mm/yy")&amp;" "&amp;Milestones!$AB$119&amp;" "&amp;Milestones!$AC$119&amp;";  ",""))</f>
        <v/>
      </c>
      <c r="M41" s="0" t="str">
        <f aca="false">IF(OR($A41="",$D41=""),"",IF(AND(EDATE($D41,Milestones!$AA$120)&lt;=AsOfDate,IF($Q41=0,$W41,IF(AND($S41&lt;&gt;"",EDATE($D41,Milestones!$AA$120)&gt;=$S41),$V41,IF(AND($R41&lt;&gt;"",EDATE($D41,Milestones!$AA$120)&gt;=$R41),$U41,$T41)))=Milestones!$AB$120),TEXT(EDATE($D41,Milestones!$AA$120),"dd/mm/yy")&amp;" "&amp;Milestones!$AB$120&amp;" "&amp;Milestones!$AC$120&amp;";  ","")&amp;IF(AND(EDATE($D41,Milestones!$AA$121)&lt;=AsOfDate,IF($Q41=0,$W41,IF(AND($S41&lt;&gt;"",EDATE($D41,Milestones!$AA$121)&gt;=$S41),$V41,IF(AND($R41&lt;&gt;"",EDATE($D41,Milestones!$AA$121)&gt;=$R41),$U41,$T41)))=Milestones!$AB$121),TEXT(EDATE($D41,Milestones!$AA$121),"dd/mm/yy")&amp;" "&amp;Milestones!$AB$121&amp;" "&amp;Milestones!$AC$121&amp;";  ","")&amp;IF(AND(EDATE($D41,Milestones!$AA$122)&lt;=AsOfDate,IF($Q41=0,$W41,IF(AND($S41&lt;&gt;"",EDATE($D41,Milestones!$AA$122)&gt;=$S41),$V41,IF(AND($R41&lt;&gt;"",EDATE($D41,Milestones!$AA$122)&gt;=$R41),$U41,$T41)))=Milestones!$AB$122),TEXT(EDATE($D41,Milestones!$AA$122),"dd/mm/yy")&amp;" "&amp;Milestones!$AB$122&amp;" "&amp;Milestones!$AC$122&amp;";  ","")&amp;IF(AND(EDATE($D41,Milestones!$AA$123)&lt;=AsOfDate,IF($Q41=0,$W41,IF(AND($S41&lt;&gt;"",EDATE($D41,Milestones!$AA$123)&gt;=$S41),$V41,IF(AND($R41&lt;&gt;"",EDATE($D41,Milestones!$AA$123)&gt;=$R41),$U41,$T41)))=Milestones!$AB$123),TEXT(EDATE($D41,Milestones!$AA$123),"dd/mm/yy")&amp;" "&amp;Milestones!$AB$123&amp;" "&amp;Milestones!$AC$123&amp;";  ","")&amp;IF(AND(EDATE($D41,Milestones!$AA$124)&lt;=AsOfDate,IF($Q41=0,$W41,IF(AND($S41&lt;&gt;"",EDATE($D41,Milestones!$AA$124)&gt;=$S41),$V41,IF(AND($R41&lt;&gt;"",EDATE($D41,Milestones!$AA$124)&gt;=$R41),$U41,$T41)))=Milestones!$AB$124),TEXT(EDATE($D41,Milestones!$AA$124),"dd/mm/yy")&amp;" "&amp;Milestones!$AB$124&amp;" "&amp;Milestones!$AC$124&amp;";  ","")&amp;IF(AND(EDATE($D41,Milestones!$AA$125)&lt;=AsOfDate,IF($Q41=0,$W41,IF(AND($S41&lt;&gt;"",EDATE($D41,Milestones!$AA$125)&gt;=$S41),$V41,IF(AND($R41&lt;&gt;"",EDATE($D41,Milestones!$AA$125)&gt;=$R41),$U41,$T41)))=Milestones!$AB$125),TEXT(EDATE($D41,Milestones!$AA$125),"dd/mm/yy")&amp;" "&amp;Milestones!$AB$125&amp;" "&amp;Milestones!$AC$125&amp;";  ","")&amp;IF(AND(EDATE($D41,Milestones!$AA$126)&lt;=AsOfDate,IF($Q41=0,$W41,IF(AND($S41&lt;&gt;"",EDATE($D41,Milestones!$AA$126)&gt;=$S41),$V41,IF(AND($R41&lt;&gt;"",EDATE($D41,Milestones!$AA$126)&gt;=$R41),$U41,$T41)))=Milestones!$AB$126),TEXT(EDATE($D41,Milestones!$AA$126),"dd/mm/yy")&amp;" "&amp;Milestones!$AB$126&amp;" "&amp;Milestones!$AC$126&amp;";  ","")&amp;IF(AND(EDATE($D41,Milestones!$AA$127)&lt;=AsOfDate,IF($Q41=0,$W41,IF(AND($S41&lt;&gt;"",EDATE($D41,Milestones!$AA$127)&gt;=$S41),$V41,IF(AND($R41&lt;&gt;"",EDATE($D41,Milestones!$AA$127)&gt;=$R41),$U41,$T41)))=Milestones!$AB$127),TEXT(EDATE($D41,Milestones!$AA$127),"dd/mm/yy")&amp;" "&amp;Milestones!$AB$127&amp;" "&amp;Milestones!$AC$127&amp;";  ","")&amp;IF(AND(EDATE($D41,Milestones!$AA$128)&lt;=AsOfDate,IF($Q41=0,$W41,IF(AND($S41&lt;&gt;"",EDATE($D41,Milestones!$AA$128)&gt;=$S41),$V41,IF(AND($R41&lt;&gt;"",EDATE($D41,Milestones!$AA$128)&gt;=$R41),$U41,$T41)))=Milestones!$AB$128),TEXT(EDATE($D41,Milestones!$AA$128),"dd/mm/yy")&amp;" "&amp;Milestones!$AB$128&amp;" "&amp;Milestones!$AC$128&amp;";  ","")&amp;IF(AND(EDATE($D41,Milestones!$AA$129)&lt;=AsOfDate,IF($Q41=0,$W41,IF(AND($S41&lt;&gt;"",EDATE($D41,Milestones!$AA$129)&gt;=$S41),$V41,IF(AND($R41&lt;&gt;"",EDATE($D41,Milestones!$AA$129)&gt;=$R41),$U41,$T41)))=Milestones!$AB$129),TEXT(EDATE($D41,Milestones!$AA$129),"dd/mm/yy")&amp;" "&amp;Milestones!$AB$129&amp;" "&amp;Milestones!$AC$129&amp;";  ","")&amp;IF(AND(EDATE($D41,Milestones!$AA$130)&lt;=AsOfDate,IF($Q41=0,$W41,IF(AND($S41&lt;&gt;"",EDATE($D41,Milestones!$AA$130)&gt;=$S41),$V41,IF(AND($R41&lt;&gt;"",EDATE($D41,Milestones!$AA$130)&gt;=$R41),$U41,$T41)))=Milestones!$AB$130),TEXT(EDATE($D41,Milestones!$AA$130),"dd/mm/yy")&amp;" "&amp;Milestones!$AB$130&amp;" "&amp;Milestones!$AC$130&amp;";  ","")&amp;IF(AND(EDATE($D41,Milestones!$AA$131)&lt;=AsOfDate,IF($Q41=0,$W41,IF(AND($S41&lt;&gt;"",EDATE($D41,Milestones!$AA$131)&gt;=$S41),$V41,IF(AND($R41&lt;&gt;"",EDATE($D41,Milestones!$AA$131)&gt;=$R41),$U41,$T41)))=Milestones!$AB$131),TEXT(EDATE($D41,Milestones!$AA$131),"dd/mm/yy")&amp;" "&amp;Milestones!$AB$131&amp;" "&amp;Milestones!$AC$131&amp;";  ","")&amp;IF(AND(EDATE($D41,Milestones!$AA$132)&lt;=AsOfDate,IF($Q41=0,$W41,IF(AND($S41&lt;&gt;"",EDATE($D41,Milestones!$AA$132)&gt;=$S41),$V41,IF(AND($R41&lt;&gt;"",EDATE($D41,Milestones!$AA$132)&gt;=$R41),$U41,$T41)))=Milestones!$AB$132),TEXT(EDATE($D41,Milestones!$AA$132),"dd/mm/yy")&amp;" "&amp;Milestones!$AB$132&amp;" "&amp;Milestones!$AC$132&amp;";  ","")&amp;IF(AND(EDATE($D41,Milestones!$AA$133)&lt;=AsOfDate,IF($Q41=0,$W41,IF(AND($S41&lt;&gt;"",EDATE($D41,Milestones!$AA$133)&gt;=$S41),$V41,IF(AND($R41&lt;&gt;"",EDATE($D41,Milestones!$AA$133)&gt;=$R41),$U41,$T41)))=Milestones!$AB$133),TEXT(EDATE($D41,Milestones!$AA$133),"dd/mm/yy")&amp;" "&amp;Milestones!$AB$133&amp;" "&amp;Milestones!$AC$133&amp;";  ","")&amp;IF(AND(EDATE($D41,Milestones!$AA$134)&lt;=AsOfDate,IF($Q41=0,$W41,IF(AND($S41&lt;&gt;"",EDATE($D41,Milestones!$AA$134)&gt;=$S41),$V41,IF(AND($R41&lt;&gt;"",EDATE($D41,Milestones!$AA$134)&gt;=$R41),$U41,$T41)))=Milestones!$AB$134),TEXT(EDATE($D41,Milestones!$AA$134),"dd/mm/yy")&amp;" "&amp;Milestones!$AB$134&amp;" "&amp;Milestones!$AC$134&amp;";  ","")&amp;IF(AND(EDATE($D41,Milestones!$AA$135)&lt;=AsOfDate,IF($Q41=0,$W41,IF(AND($S41&lt;&gt;"",EDATE($D41,Milestones!$AA$135)&gt;=$S41),$V41,IF(AND($R41&lt;&gt;"",EDATE($D41,Milestones!$AA$135)&gt;=$R41),$U41,$T41)))=Milestones!$AB$135),TEXT(EDATE($D41,Milestones!$AA$135),"dd/mm/yy")&amp;" "&amp;Milestones!$AB$135&amp;" "&amp;Milestones!$AC$135&amp;";  ","")&amp;IF(AND(EDATE($D41,Milestones!$AA$136)&lt;=AsOfDate,IF($Q41=0,$W41,IF(AND($S41&lt;&gt;"",EDATE($D41,Milestones!$AA$136)&gt;=$S41),$V41,IF(AND($R41&lt;&gt;"",EDATE($D41,Milestones!$AA$136)&gt;=$R41),$U41,$T41)))=Milestones!$AB$136),TEXT(EDATE($D41,Milestones!$AA$136),"dd/mm/yy")&amp;" "&amp;Milestones!$AB$136&amp;" "&amp;Milestones!$AC$136&amp;";  ","")&amp;IF(AND(EDATE($D41,Milestones!$AA$137)&lt;=AsOfDate,IF($Q41=0,$W41,IF(AND($S41&lt;&gt;"",EDATE($D41,Milestones!$AA$137)&gt;=$S41),$V41,IF(AND($R41&lt;&gt;"",EDATE($D41,Milestones!$AA$137)&gt;=$R41),$U41,$T41)))=Milestones!$AB$137),TEXT(EDATE($D41,Milestones!$AA$137),"dd/mm/yy")&amp;" "&amp;Milestones!$AB$137&amp;" "&amp;Milestones!$AC$137&amp;";  ","")&amp;IF(AND(EDATE($D41,Milestones!$AA$138)&lt;=AsOfDate,IF($Q41=0,$W41,IF(AND($S41&lt;&gt;"",EDATE($D41,Milestones!$AA$138)&gt;=$S41),$V41,IF(AND($R41&lt;&gt;"",EDATE($D41,Milestones!$AA$138)&gt;=$R41),$U41,$T41)))=Milestones!$AB$138),TEXT(EDATE($D41,Milestones!$AA$138),"dd/mm/yy")&amp;" "&amp;Milestones!$AB$138&amp;" "&amp;Milestones!$AC$138&amp;";  ","")&amp;IF(AND(EDATE($D41,Milestones!$AA$139)&lt;=AsOfDate,IF($Q41=0,$W41,IF(AND($S41&lt;&gt;"",EDATE($D41,Milestones!$AA$139)&gt;=$S41),$V41,IF(AND($R41&lt;&gt;"",EDATE($D41,Milestones!$AA$139)&gt;=$R41),$U41,$T41)))=Milestones!$AB$139),TEXT(EDATE($D41,Milestones!$AA$139),"dd/mm/yy")&amp;" "&amp;Milestones!$AB$139&amp;" "&amp;Milestones!$AC$139&amp;";  ",""))</f>
        <v/>
      </c>
      <c r="N41" s="0" t="str">
        <f aca="false">IF(OR($A41="",$D41=""),"",IF(AND(EDATE($D41,Milestones!$AA$140)&lt;=AsOfDate,IF($Q41=0,$W41,IF(AND($S41&lt;&gt;"",EDATE($D41,Milestones!$AA$140)&gt;=$S41),$V41,IF(AND($R41&lt;&gt;"",EDATE($D41,Milestones!$AA$140)&gt;=$R41),$U41,$T41)))=Milestones!$AB$140),TEXT(EDATE($D41,Milestones!$AA$140),"dd/mm/yy")&amp;" "&amp;Milestones!$AB$140&amp;" "&amp;Milestones!$AC$140&amp;";  ","")&amp;IF(AND(EDATE($D41,Milestones!$AA$141)&lt;=AsOfDate,IF($Q41=0,$W41,IF(AND($S41&lt;&gt;"",EDATE($D41,Milestones!$AA$141)&gt;=$S41),$V41,IF(AND($R41&lt;&gt;"",EDATE($D41,Milestones!$AA$141)&gt;=$R41),$U41,$T41)))=Milestones!$AB$141),TEXT(EDATE($D41,Milestones!$AA$141),"dd/mm/yy")&amp;" "&amp;Milestones!$AB$141&amp;" "&amp;Milestones!$AC$141&amp;";  ","")&amp;IF(AND(EDATE($D41,Milestones!$AA$142)&lt;=AsOfDate,IF($Q41=0,$W41,IF(AND($S41&lt;&gt;"",EDATE($D41,Milestones!$AA$142)&gt;=$S41),$V41,IF(AND($R41&lt;&gt;"",EDATE($D41,Milestones!$AA$142)&gt;=$R41),$U41,$T41)))=Milestones!$AB$142),TEXT(EDATE($D41,Milestones!$AA$142),"dd/mm/yy")&amp;" "&amp;Milestones!$AB$142&amp;" "&amp;Milestones!$AC$142&amp;";  ","")&amp;IF(AND(EDATE($D41,Milestones!$AA$143)&lt;=AsOfDate,IF($Q41=0,$W41,IF(AND($S41&lt;&gt;"",EDATE($D41,Milestones!$AA$143)&gt;=$S41),$V41,IF(AND($R41&lt;&gt;"",EDATE($D41,Milestones!$AA$143)&gt;=$R41),$U41,$T41)))=Milestones!$AB$143),TEXT(EDATE($D41,Milestones!$AA$143),"dd/mm/yy")&amp;" "&amp;Milestones!$AB$143&amp;" "&amp;Milestones!$AC$143&amp;";  ","")&amp;IF(AND(EDATE($D41,Milestones!$AA$144)&lt;=AsOfDate,IF($Q41=0,$W41,IF(AND($S41&lt;&gt;"",EDATE($D41,Milestones!$AA$144)&gt;=$S41),$V41,IF(AND($R41&lt;&gt;"",EDATE($D41,Milestones!$AA$144)&gt;=$R41),$U41,$T41)))=Milestones!$AB$144),TEXT(EDATE($D41,Milestones!$AA$144),"dd/mm/yy")&amp;" "&amp;Milestones!$AB$144&amp;" "&amp;Milestones!$AC$144&amp;";  ","")&amp;IF(AND(EDATE($D41,Milestones!$AA$145)&lt;=AsOfDate,IF($Q41=0,$W41,IF(AND($S41&lt;&gt;"",EDATE($D41,Milestones!$AA$145)&gt;=$S41),$V41,IF(AND($R41&lt;&gt;"",EDATE($D41,Milestones!$AA$145)&gt;=$R41),$U41,$T41)))=Milestones!$AB$145),TEXT(EDATE($D41,Milestones!$AA$145),"dd/mm/yy")&amp;" "&amp;Milestones!$AB$145&amp;" "&amp;Milestones!$AC$145&amp;";  ","")&amp;IF(AND(EDATE($D41,Milestones!$AA$146)&lt;=AsOfDate,IF($Q41=0,$W41,IF(AND($S41&lt;&gt;"",EDATE($D41,Milestones!$AA$146)&gt;=$S41),$V41,IF(AND($R41&lt;&gt;"",EDATE($D41,Milestones!$AA$146)&gt;=$R41),$U41,$T41)))=Milestones!$AB$146),TEXT(EDATE($D41,Milestones!$AA$146),"dd/mm/yy")&amp;" "&amp;Milestones!$AB$146&amp;" "&amp;Milestones!$AC$146&amp;";  ","")&amp;IF(AND(EDATE($D41,Milestones!$AA$147)&lt;=AsOfDate,IF($Q41=0,$W41,IF(AND($S41&lt;&gt;"",EDATE($D41,Milestones!$AA$147)&gt;=$S41),$V41,IF(AND($R41&lt;&gt;"",EDATE($D41,Milestones!$AA$147)&gt;=$R41),$U41,$T41)))=Milestones!$AB$147),TEXT(EDATE($D41,Milestones!$AA$147),"dd/mm/yy")&amp;" "&amp;Milestones!$AB$147&amp;" "&amp;Milestones!$AC$147&amp;";  ","")&amp;IF(AND(EDATE($D41,Milestones!$AA$148)&lt;=AsOfDate,IF($Q41=0,$W41,IF(AND($S41&lt;&gt;"",EDATE($D41,Milestones!$AA$148)&gt;=$S41),$V41,IF(AND($R41&lt;&gt;"",EDATE($D41,Milestones!$AA$148)&gt;=$R41),$U41,$T41)))=Milestones!$AB$148),TEXT(EDATE($D41,Milestones!$AA$148),"dd/mm/yy")&amp;" "&amp;Milestones!$AB$148&amp;" "&amp;Milestones!$AC$148&amp;";  ","")&amp;IF(AND(EDATE($D41,Milestones!$AA$149)&lt;=AsOfDate,IF($Q41=0,$W41,IF(AND($S41&lt;&gt;"",EDATE($D41,Milestones!$AA$149)&gt;=$S41),$V41,IF(AND($R41&lt;&gt;"",EDATE($D41,Milestones!$AA$149)&gt;=$R41),$U41,$T41)))=Milestones!$AB$149),TEXT(EDATE($D41,Milestones!$AA$149),"dd/mm/yy")&amp;" "&amp;Milestones!$AB$149&amp;" "&amp;Milestones!$AC$149&amp;";  ","")&amp;IF(AND(EDATE($D41,Milestones!$AA$150)&lt;=AsOfDate,IF($Q41=0,$W41,IF(AND($S41&lt;&gt;"",EDATE($D41,Milestones!$AA$150)&gt;=$S41),$V41,IF(AND($R41&lt;&gt;"",EDATE($D41,Milestones!$AA$150)&gt;=$R41),$U41,$T41)))=Milestones!$AB$150),TEXT(EDATE($D41,Milestones!$AA$150),"dd/mm/yy")&amp;" "&amp;Milestones!$AB$150&amp;" "&amp;Milestones!$AC$150&amp;";  ","")&amp;IF(AND(EDATE($D41,Milestones!$AA$151)&lt;=AsOfDate,IF($Q41=0,$W41,IF(AND($S41&lt;&gt;"",EDATE($D41,Milestones!$AA$151)&gt;=$S41),$V41,IF(AND($R41&lt;&gt;"",EDATE($D41,Milestones!$AA$151)&gt;=$R41),$U41,$T41)))=Milestones!$AB$151),TEXT(EDATE($D41,Milestones!$AA$151),"dd/mm/yy")&amp;" "&amp;Milestones!$AB$151&amp;" "&amp;Milestones!$AC$151&amp;";  ","")&amp;IF(AND(EDATE($D41,Milestones!$AA$152)&lt;=AsOfDate,IF($Q41=0,$W41,IF(AND($S41&lt;&gt;"",EDATE($D41,Milestones!$AA$152)&gt;=$S41),$V41,IF(AND($R41&lt;&gt;"",EDATE($D41,Milestones!$AA$152)&gt;=$R41),$U41,$T41)))=Milestones!$AB$152),TEXT(EDATE($D41,Milestones!$AA$152),"dd/mm/yy")&amp;" "&amp;Milestones!$AB$152&amp;" "&amp;Milestones!$AC$152&amp;";  ","")&amp;IF(AND(EDATE($D41,Milestones!$AA$153)&lt;=AsOfDate,IF($Q41=0,$W41,IF(AND($S41&lt;&gt;"",EDATE($D41,Milestones!$AA$153)&gt;=$S41),$V41,IF(AND($R41&lt;&gt;"",EDATE($D41,Milestones!$AA$153)&gt;=$R41),$U41,$T41)))=Milestones!$AB$153),TEXT(EDATE($D41,Milestones!$AA$153),"dd/mm/yy")&amp;" "&amp;Milestones!$AB$153&amp;" "&amp;Milestones!$AC$153&amp;";  ","")&amp;IF(AND(EDATE($D41,Milestones!$AA$154)&lt;=AsOfDate,IF($Q41=0,$W41,IF(AND($S41&lt;&gt;"",EDATE($D41,Milestones!$AA$154)&gt;=$S41),$V41,IF(AND($R41&lt;&gt;"",EDATE($D41,Milestones!$AA$154)&gt;=$R41),$U41,$T41)))=Milestones!$AB$154),TEXT(EDATE($D41,Milestones!$AA$154),"dd/mm/yy")&amp;" "&amp;Milestones!$AB$154&amp;" "&amp;Milestones!$AC$154&amp;";  ","")&amp;IF(AND(EDATE($D41,Milestones!$AA$155)&lt;=AsOfDate,IF($Q41=0,$W41,IF(AND($S41&lt;&gt;"",EDATE($D41,Milestones!$AA$155)&gt;=$S41),$V41,IF(AND($R41&lt;&gt;"",EDATE($D41,Milestones!$AA$155)&gt;=$R41),$U41,$T41)))=Milestones!$AB$155),TEXT(EDATE($D41,Milestones!$AA$155),"dd/mm/yy")&amp;" "&amp;Milestones!$AB$155&amp;" "&amp;Milestones!$AC$155&amp;";  ","")&amp;IF(AND(EDATE($D41,Milestones!$AA$156)&lt;=AsOfDate,IF($Q41=0,$W41,IF(AND($S41&lt;&gt;"",EDATE($D41,Milestones!$AA$156)&gt;=$S41),$V41,IF(AND($R41&lt;&gt;"",EDATE($D41,Milestones!$AA$156)&gt;=$R41),$U41,$T41)))=Milestones!$AB$156),TEXT(EDATE($D41,Milestones!$AA$156),"dd/mm/yy")&amp;" "&amp;Milestones!$AB$156&amp;" "&amp;Milestones!$AC$156&amp;";  ","")&amp;IF(AND(EDATE($D41,Milestones!$AA$157)&lt;=AsOfDate,IF($Q41=0,$W41,IF(AND($S41&lt;&gt;"",EDATE($D41,Milestones!$AA$157)&gt;=$S41),$V41,IF(AND($R41&lt;&gt;"",EDATE($D41,Milestones!$AA$157)&gt;=$R41),$U41,$T41)))=Milestones!$AB$157),TEXT(EDATE($D41,Milestones!$AA$157),"dd/mm/yy")&amp;" "&amp;Milestones!$AB$157&amp;" "&amp;Milestones!$AC$157&amp;";  ","")&amp;IF(AND(EDATE($D41,Milestones!$AA$158)&lt;=AsOfDate,IF($Q41=0,$W41,IF(AND($S41&lt;&gt;"",EDATE($D41,Milestones!$AA$158)&gt;=$S41),$V41,IF(AND($R41&lt;&gt;"",EDATE($D41,Milestones!$AA$158)&gt;=$R41),$U41,$T41)))=Milestones!$AB$158),TEXT(EDATE($D41,Milestones!$AA$158),"dd/mm/yy")&amp;" "&amp;Milestones!$AB$158&amp;" "&amp;Milestones!$AC$158&amp;";  ","")&amp;IF(AND(EDATE($D41,Milestones!$AA$159)&lt;=AsOfDate,IF($Q41=0,$W41,IF(AND($S41&lt;&gt;"",EDATE($D41,Milestones!$AA$159)&gt;=$S41),$V41,IF(AND($R41&lt;&gt;"",EDATE($D41,Milestones!$AA$159)&gt;=$R41),$U41,$T41)))=Milestones!$AB$159),TEXT(EDATE($D41,Milestones!$AA$159),"dd/mm/yy")&amp;" "&amp;Milestones!$AB$159&amp;" "&amp;Milestones!$AC$159&amp;";  ",""))</f>
        <v/>
      </c>
      <c r="O41" s="0" t="str">
        <f aca="false">IF(OR($A41="",$D41=""),"",IF(AND(EDATE($D41,Milestones!$AA$160)&lt;=AsOfDate,IF($Q41=0,$W41,IF(AND($S41&lt;&gt;"",EDATE($D41,Milestones!$AA$160)&gt;=$S41),$V41,IF(AND($R41&lt;&gt;"",EDATE($D41,Milestones!$AA$160)&gt;=$R41),$U41,$T41)))=Milestones!$AB$160),TEXT(EDATE($D41,Milestones!$AA$160),"dd/mm/yy")&amp;" "&amp;Milestones!$AB$160&amp;" "&amp;Milestones!$AC$160&amp;";  ","")&amp;IF(AND(EDATE($D41,Milestones!$AA$161)&lt;=AsOfDate,IF($Q41=0,$W41,IF(AND($S41&lt;&gt;"",EDATE($D41,Milestones!$AA$161)&gt;=$S41),$V41,IF(AND($R41&lt;&gt;"",EDATE($D41,Milestones!$AA$161)&gt;=$R41),$U41,$T41)))=Milestones!$AB$161),TEXT(EDATE($D41,Milestones!$AA$161),"dd/mm/yy")&amp;" "&amp;Milestones!$AB$161&amp;" "&amp;Milestones!$AC$161&amp;";  ","")&amp;IF(AND(EDATE($D41,Milestones!$AA$162)&lt;=AsOfDate,IF($Q41=0,$W41,IF(AND($S41&lt;&gt;"",EDATE($D41,Milestones!$AA$162)&gt;=$S41),$V41,IF(AND($R41&lt;&gt;"",EDATE($D41,Milestones!$AA$162)&gt;=$R41),$U41,$T41)))=Milestones!$AB$162),TEXT(EDATE($D41,Milestones!$AA$162),"dd/mm/yy")&amp;" "&amp;Milestones!$AB$162&amp;" "&amp;Milestones!$AC$162&amp;";  ","")&amp;IF(AND(EDATE($D41,Milestones!$AA$163)&lt;=AsOfDate,IF($Q41=0,$W41,IF(AND($S41&lt;&gt;"",EDATE($D41,Milestones!$AA$163)&gt;=$S41),$V41,IF(AND($R41&lt;&gt;"",EDATE($D41,Milestones!$AA$163)&gt;=$R41),$U41,$T41)))=Milestones!$AB$163),TEXT(EDATE($D41,Milestones!$AA$163),"dd/mm/yy")&amp;" "&amp;Milestones!$AB$163&amp;" "&amp;Milestones!$AC$163&amp;";  ","")&amp;IF(AND(EDATE($D41,Milestones!$AA$164)&lt;=AsOfDate,IF($Q41=0,$W41,IF(AND($S41&lt;&gt;"",EDATE($D41,Milestones!$AA$164)&gt;=$S41),$V41,IF(AND($R41&lt;&gt;"",EDATE($D41,Milestones!$AA$164)&gt;=$R41),$U41,$T41)))=Milestones!$AB$164),TEXT(EDATE($D41,Milestones!$AA$164),"dd/mm/yy")&amp;" "&amp;Milestones!$AB$164&amp;" "&amp;Milestones!$AC$164&amp;";  ","")&amp;IF(AND(EDATE($D41,Milestones!$AA$165)&lt;=AsOfDate,IF($Q41=0,$W41,IF(AND($S41&lt;&gt;"",EDATE($D41,Milestones!$AA$165)&gt;=$S41),$V41,IF(AND($R41&lt;&gt;"",EDATE($D41,Milestones!$AA$165)&gt;=$R41),$U41,$T41)))=Milestones!$AB$165),TEXT(EDATE($D41,Milestones!$AA$165),"dd/mm/yy")&amp;" "&amp;Milestones!$AB$165&amp;" "&amp;Milestones!$AC$165&amp;";  ","")&amp;IF(AND(EDATE($D41,Milestones!$AA$166)&lt;=AsOfDate,IF($Q41=0,$W41,IF(AND($S41&lt;&gt;"",EDATE($D41,Milestones!$AA$166)&gt;=$S41),$V41,IF(AND($R41&lt;&gt;"",EDATE($D41,Milestones!$AA$166)&gt;=$R41),$U41,$T41)))=Milestones!$AB$166),TEXT(EDATE($D41,Milestones!$AA$166),"dd/mm/yy")&amp;" "&amp;Milestones!$AB$166&amp;" "&amp;Milestones!$AC$166&amp;";  ","")&amp;IF(AND(EDATE($D41,Milestones!$AA$167)&lt;=AsOfDate,IF($Q41=0,$W41,IF(AND($S41&lt;&gt;"",EDATE($D41,Milestones!$AA$167)&gt;=$S41),$V41,IF(AND($R41&lt;&gt;"",EDATE($D41,Milestones!$AA$167)&gt;=$R41),$U41,$T41)))=Milestones!$AB$167),TEXT(EDATE($D41,Milestones!$AA$167),"dd/mm/yy")&amp;" "&amp;Milestones!$AB$167&amp;" "&amp;Milestones!$AC$167&amp;";  ","")&amp;IF(AND(EDATE($D41,Milestones!$AA$168)&lt;=AsOfDate,IF($Q41=0,$W41,IF(AND($S41&lt;&gt;"",EDATE($D41,Milestones!$AA$168)&gt;=$S41),$V41,IF(AND($R41&lt;&gt;"",EDATE($D41,Milestones!$AA$168)&gt;=$R41),$U41,$T41)))=Milestones!$AB$168),TEXT(EDATE($D41,Milestones!$AA$168),"dd/mm/yy")&amp;" "&amp;Milestones!$AB$168&amp;" "&amp;Milestones!$AC$168&amp;";  ","")&amp;IF(AND(EDATE($D41,Milestones!$AA$169)&lt;=AsOfDate,IF($Q41=0,$W41,IF(AND($S41&lt;&gt;"",EDATE($D41,Milestones!$AA$169)&gt;=$S41),$V41,IF(AND($R41&lt;&gt;"",EDATE($D41,Milestones!$AA$169)&gt;=$R41),$U41,$T41)))=Milestones!$AB$169),TEXT(EDATE($D41,Milestones!$AA$169),"dd/mm/yy")&amp;" "&amp;Milestones!$AB$169&amp;" "&amp;Milestones!$AC$169&amp;";  ","")&amp;IF(AND(EDATE($D41,Milestones!$AA$170)&lt;=AsOfDate,IF($Q41=0,$W41,IF(AND($S41&lt;&gt;"",EDATE($D41,Milestones!$AA$170)&gt;=$S41),$V41,IF(AND($R41&lt;&gt;"",EDATE($D41,Milestones!$AA$170)&gt;=$R41),$U41,$T41)))=Milestones!$AB$170),TEXT(EDATE($D41,Milestones!$AA$170),"dd/mm/yy")&amp;" "&amp;Milestones!$AB$170&amp;" "&amp;Milestones!$AC$170&amp;";  ","")&amp;IF(AND(EDATE($D41,Milestones!$AA$171)&lt;=AsOfDate,IF($Q41=0,$W41,IF(AND($S41&lt;&gt;"",EDATE($D41,Milestones!$AA$171)&gt;=$S41),$V41,IF(AND($R41&lt;&gt;"",EDATE($D41,Milestones!$AA$171)&gt;=$R41),$U41,$T41)))=Milestones!$AB$171),TEXT(EDATE($D41,Milestones!$AA$171),"dd/mm/yy")&amp;" "&amp;Milestones!$AB$171&amp;" "&amp;Milestones!$AC$171&amp;";  ","")&amp;IF(AND(EDATE($D41,Milestones!$AA$172)&lt;=AsOfDate,IF($Q41=0,$W41,IF(AND($S41&lt;&gt;"",EDATE($D41,Milestones!$AA$172)&gt;=$S41),$V41,IF(AND($R41&lt;&gt;"",EDATE($D41,Milestones!$AA$172)&gt;=$R41),$U41,$T41)))=Milestones!$AB$172),TEXT(EDATE($D41,Milestones!$AA$172),"dd/mm/yy")&amp;" "&amp;Milestones!$AB$172&amp;" "&amp;Milestones!$AC$172&amp;";  ","")&amp;IF(AND(EDATE($D41,Milestones!$AA$173)&lt;=AsOfDate,IF($Q41=0,$W41,IF(AND($S41&lt;&gt;"",EDATE($D41,Milestones!$AA$173)&gt;=$S41),$V41,IF(AND($R41&lt;&gt;"",EDATE($D41,Milestones!$AA$173)&gt;=$R41),$U41,$T41)))=Milestones!$AB$173),TEXT(EDATE($D41,Milestones!$AA$173),"dd/mm/yy")&amp;" "&amp;Milestones!$AB$173&amp;" "&amp;Milestones!$AC$173&amp;";  ","")&amp;IF(AND(EDATE($D41,Milestones!$AA$174)&lt;=AsOfDate,IF($Q41=0,$W41,IF(AND($S41&lt;&gt;"",EDATE($D41,Milestones!$AA$174)&gt;=$S41),$V41,IF(AND($R41&lt;&gt;"",EDATE($D41,Milestones!$AA$174)&gt;=$R41),$U41,$T41)))=Milestones!$AB$174),TEXT(EDATE($D41,Milestones!$AA$174),"dd/mm/yy")&amp;" "&amp;Milestones!$AB$174&amp;" "&amp;Milestones!$AC$174&amp;";  ","")&amp;IF(AND(EDATE($D41,Milestones!$AA$175)&lt;=AsOfDate,IF($Q41=0,$W41,IF(AND($S41&lt;&gt;"",EDATE($D41,Milestones!$AA$175)&gt;=$S41),$V41,IF(AND($R41&lt;&gt;"",EDATE($D41,Milestones!$AA$175)&gt;=$R41),$U41,$T41)))=Milestones!$AB$175),TEXT(EDATE($D41,Milestones!$AA$175),"dd/mm/yy")&amp;" "&amp;Milestones!$AB$175&amp;" "&amp;Milestones!$AC$175&amp;";  ","")&amp;IF(AND(EDATE($D41,Milestones!$AA$176)&lt;=AsOfDate,IF($Q41=0,$W41,IF(AND($S41&lt;&gt;"",EDATE($D41,Milestones!$AA$176)&gt;=$S41),$V41,IF(AND($R41&lt;&gt;"",EDATE($D41,Milestones!$AA$176)&gt;=$R41),$U41,$T41)))=Milestones!$AB$176),TEXT(EDATE($D41,Milestones!$AA$176),"dd/mm/yy")&amp;" "&amp;Milestones!$AB$176&amp;" "&amp;Milestones!$AC$176&amp;";  ","")&amp;IF(AND(EDATE($D41,Milestones!$AA$177)&lt;=AsOfDate,IF($Q41=0,$W41,IF(AND($S41&lt;&gt;"",EDATE($D41,Milestones!$AA$177)&gt;=$S41),$V41,IF(AND($R41&lt;&gt;"",EDATE($D41,Milestones!$AA$177)&gt;=$R41),$U41,$T41)))=Milestones!$AB$177),TEXT(EDATE($D41,Milestones!$AA$177),"dd/mm/yy")&amp;" "&amp;Milestones!$AB$177&amp;" "&amp;Milestones!$AC$177&amp;";  ","")&amp;IF(AND(EDATE($D41,Milestones!$AA$178)&lt;=AsOfDate,IF($Q41=0,$W41,IF(AND($S41&lt;&gt;"",EDATE($D41,Milestones!$AA$178)&gt;=$S41),$V41,IF(AND($R41&lt;&gt;"",EDATE($D41,Milestones!$AA$178)&gt;=$R41),$U41,$T41)))=Milestones!$AB$178),TEXT(EDATE($D41,Milestones!$AA$178),"dd/mm/yy")&amp;" "&amp;Milestones!$AB$178&amp;" "&amp;Milestones!$AC$178&amp;";  ","")&amp;IF(AND(EDATE($D41,Milestones!$AA$179)&lt;=AsOfDate,IF($Q41=0,$W41,IF(AND($S41&lt;&gt;"",EDATE($D41,Milestones!$AA$179)&gt;=$S41),$V41,IF(AND($R41&lt;&gt;"",EDATE($D41,Milestones!$AA$179)&gt;=$R41),$U41,$T41)))=Milestones!$AB$179),TEXT(EDATE($D41,Milestones!$AA$179),"dd/mm/yy")&amp;" "&amp;Milestones!$AB$179&amp;" "&amp;Milestones!$AC$179&amp;";  ",""))</f>
        <v/>
      </c>
      <c r="P41" s="0" t="str">
        <f aca="false">IF(OR($A41="",$D41=""),"",IF(AND(EDATE($D41,Milestones!$AA$180)&lt;=AsOfDate,IF($Q41=0,$W41,IF(AND($S41&lt;&gt;"",EDATE($D41,Milestones!$AA$180)&gt;=$S41),$V41,IF(AND($R41&lt;&gt;"",EDATE($D41,Milestones!$AA$180)&gt;=$R41),$U41,$T41)))=Milestones!$AB$180),TEXT(EDATE($D41,Milestones!$AA$180),"dd/mm/yy")&amp;" "&amp;Milestones!$AB$180&amp;" "&amp;Milestones!$AC$180&amp;";  ","")&amp;IF(AND(EDATE($D41,Milestones!$AA$181)&lt;=AsOfDate,IF($Q41=0,$W41,IF(AND($S41&lt;&gt;"",EDATE($D41,Milestones!$AA$181)&gt;=$S41),$V41,IF(AND($R41&lt;&gt;"",EDATE($D41,Milestones!$AA$181)&gt;=$R41),$U41,$T41)))=Milestones!$AB$181),TEXT(EDATE($D41,Milestones!$AA$181),"dd/mm/yy")&amp;" "&amp;Milestones!$AB$181&amp;" "&amp;Milestones!$AC$181&amp;";  ","")&amp;IF(AND(EDATE($D41,Milestones!$AA$182)&lt;=AsOfDate,IF($Q41=0,$W41,IF(AND($S41&lt;&gt;"",EDATE($D41,Milestones!$AA$182)&gt;=$S41),$V41,IF(AND($R41&lt;&gt;"",EDATE($D41,Milestones!$AA$182)&gt;=$R41),$U41,$T41)))=Milestones!$AB$182),TEXT(EDATE($D41,Milestones!$AA$182),"dd/mm/yy")&amp;" "&amp;Milestones!$AB$182&amp;" "&amp;Milestones!$AC$182&amp;";  ","")&amp;IF(AND(EDATE($D41,Milestones!$AA$183)&lt;=AsOfDate,IF($Q41=0,$W41,IF(AND($S41&lt;&gt;"",EDATE($D41,Milestones!$AA$183)&gt;=$S41),$V41,IF(AND($R41&lt;&gt;"",EDATE($D41,Milestones!$AA$183)&gt;=$R41),$U41,$T41)))=Milestones!$AB$183),TEXT(EDATE($D41,Milestones!$AA$183),"dd/mm/yy")&amp;" "&amp;Milestones!$AB$183&amp;" "&amp;Milestones!$AC$183&amp;";  ","")&amp;IF(AND(EDATE($D41,Milestones!$AA$184)&lt;=AsOfDate,IF($Q41=0,$W41,IF(AND($S41&lt;&gt;"",EDATE($D41,Milestones!$AA$184)&gt;=$S41),$V41,IF(AND($R41&lt;&gt;"",EDATE($D41,Milestones!$AA$184)&gt;=$R41),$U41,$T41)))=Milestones!$AB$184),TEXT(EDATE($D41,Milestones!$AA$184),"dd/mm/yy")&amp;" "&amp;Milestones!$AB$184&amp;" "&amp;Milestones!$AC$184&amp;";  ","")&amp;IF(AND(EDATE($D41,Milestones!$AA$185)&lt;=AsOfDate,IF($Q41=0,$W41,IF(AND($S41&lt;&gt;"",EDATE($D41,Milestones!$AA$185)&gt;=$S41),$V41,IF(AND($R41&lt;&gt;"",EDATE($D41,Milestones!$AA$185)&gt;=$R41),$U41,$T41)))=Milestones!$AB$185),TEXT(EDATE($D41,Milestones!$AA$185),"dd/mm/yy")&amp;" "&amp;Milestones!$AB$185&amp;" "&amp;Milestones!$AC$185&amp;";  ","")&amp;IF(AND(EDATE($D41,Milestones!$AA$186)&lt;=AsOfDate,IF($Q41=0,$W41,IF(AND($S41&lt;&gt;"",EDATE($D41,Milestones!$AA$186)&gt;=$S41),$V41,IF(AND($R41&lt;&gt;"",EDATE($D41,Milestones!$AA$186)&gt;=$R41),$U41,$T41)))=Milestones!$AB$186),TEXT(EDATE($D41,Milestones!$AA$186),"dd/mm/yy")&amp;" "&amp;Milestones!$AB$186&amp;" "&amp;Milestones!$AC$186&amp;";  ","")&amp;IF(AND(EDATE($D41,Milestones!$AA$187)&lt;=AsOfDate,IF($Q41=0,$W41,IF(AND($S41&lt;&gt;"",EDATE($D41,Milestones!$AA$187)&gt;=$S41),$V41,IF(AND($R41&lt;&gt;"",EDATE($D41,Milestones!$AA$187)&gt;=$R41),$U41,$T41)))=Milestones!$AB$187),TEXT(EDATE($D41,Milestones!$AA$187),"dd/mm/yy")&amp;" "&amp;Milestones!$AB$187&amp;" "&amp;Milestones!$AC$187&amp;";  ","")&amp;IF(AND(EDATE($D41,Milestones!$AA$188)&lt;=AsOfDate,IF($Q41=0,$W41,IF(AND($S41&lt;&gt;"",EDATE($D41,Milestones!$AA$188)&gt;=$S41),$V41,IF(AND($R41&lt;&gt;"",EDATE($D41,Milestones!$AA$188)&gt;=$R41),$U41,$T41)))=Milestones!$AB$188),TEXT(EDATE($D41,Milestones!$AA$188),"dd/mm/yy")&amp;" "&amp;Milestones!$AB$188&amp;" "&amp;Milestones!$AC$188&amp;";  ","")&amp;IF(AND(EDATE($D41,Milestones!$AA$189)&lt;=AsOfDate,IF($Q41=0,$W41,IF(AND($S41&lt;&gt;"",EDATE($D41,Milestones!$AA$189)&gt;=$S41),$V41,IF(AND($R41&lt;&gt;"",EDATE($D41,Milestones!$AA$189)&gt;=$R41),$U41,$T41)))=Milestones!$AB$189),TEXT(EDATE($D41,Milestones!$AA$189),"dd/mm/yy")&amp;" "&amp;Milestones!$AB$189&amp;" "&amp;Milestones!$AC$189&amp;";  ","")&amp;IF(AND(EDATE($D41,Milestones!$AA$190)&lt;=AsOfDate,IF($Q41=0,$W41,IF(AND($S41&lt;&gt;"",EDATE($D41,Milestones!$AA$190)&gt;=$S41),$V41,IF(AND($R41&lt;&gt;"",EDATE($D41,Milestones!$AA$190)&gt;=$R41),$U41,$T41)))=Milestones!$AB$190),TEXT(EDATE($D41,Milestones!$AA$190),"dd/mm/yy")&amp;" "&amp;Milestones!$AB$190&amp;" "&amp;Milestones!$AC$190&amp;";  ","")&amp;IF(AND(EDATE($D41,Milestones!$AA$191)&lt;=AsOfDate,IF($Q41=0,$W41,IF(AND($S41&lt;&gt;"",EDATE($D41,Milestones!$AA$191)&gt;=$S41),$V41,IF(AND($R41&lt;&gt;"",EDATE($D41,Milestones!$AA$191)&gt;=$R41),$U41,$T41)))=Milestones!$AB$191),TEXT(EDATE($D41,Milestones!$AA$191),"dd/mm/yy")&amp;" "&amp;Milestones!$AB$191&amp;" "&amp;Milestones!$AC$191&amp;";  ","")&amp;IF(AND(EDATE($D41,Milestones!$AA$192)&lt;=AsOfDate,IF($Q41=0,$W41,IF(AND($S41&lt;&gt;"",EDATE($D41,Milestones!$AA$192)&gt;=$S41),$V41,IF(AND($R41&lt;&gt;"",EDATE($D41,Milestones!$AA$192)&gt;=$R41),$U41,$T41)))=Milestones!$AB$192),TEXT(EDATE($D41,Milestones!$AA$192),"dd/mm/yy")&amp;" "&amp;Milestones!$AB$192&amp;" "&amp;Milestones!$AC$192&amp;";  ","")&amp;IF(AND(EDATE($D41,Milestones!$AA$193)&lt;=AsOfDate,IF($Q41=0,$W41,IF(AND($S41&lt;&gt;"",EDATE($D41,Milestones!$AA$193)&gt;=$S41),$V41,IF(AND($R41&lt;&gt;"",EDATE($D41,Milestones!$AA$193)&gt;=$R41),$U41,$T41)))=Milestones!$AB$193),TEXT(EDATE($D41,Milestones!$AA$193),"dd/mm/yy")&amp;" "&amp;Milestones!$AB$193&amp;" "&amp;Milestones!$AC$193&amp;";  ","")&amp;IF(AND(EDATE($D41,Milestones!$AA$194)&lt;=AsOfDate,IF($Q41=0,$W41,IF(AND($S41&lt;&gt;"",EDATE($D41,Milestones!$AA$194)&gt;=$S41),$V41,IF(AND($R41&lt;&gt;"",EDATE($D41,Milestones!$AA$194)&gt;=$R41),$U41,$T41)))=Milestones!$AB$194),TEXT(EDATE($D41,Milestones!$AA$194),"dd/mm/yy")&amp;" "&amp;Milestones!$AB$194&amp;" "&amp;Milestones!$AC$194&amp;";  ","")&amp;IF(AND(EDATE($D41,Milestones!$AA$195)&lt;=AsOfDate,IF($Q41=0,$W41,IF(AND($S41&lt;&gt;"",EDATE($D41,Milestones!$AA$195)&gt;=$S41),$V41,IF(AND($R41&lt;&gt;"",EDATE($D41,Milestones!$AA$195)&gt;=$R41),$U41,$T41)))=Milestones!$AB$195),TEXT(EDATE($D41,Milestones!$AA$195),"dd/mm/yy")&amp;" "&amp;Milestones!$AB$195&amp;" "&amp;Milestones!$AC$195&amp;";  ","")&amp;IF(AND(EDATE($D41,Milestones!$AA$196)&lt;=AsOfDate,IF($Q41=0,$W41,IF(AND($S41&lt;&gt;"",EDATE($D41,Milestones!$AA$196)&gt;=$S41),$V41,IF(AND($R41&lt;&gt;"",EDATE($D41,Milestones!$AA$196)&gt;=$R41),$U41,$T41)))=Milestones!$AB$196),TEXT(EDATE($D41,Milestones!$AA$196),"dd/mm/yy")&amp;" "&amp;Milestones!$AB$196&amp;" "&amp;Milestones!$AC$196&amp;";  ","")&amp;IF(AND(EDATE($D41,Milestones!$AA$197)&lt;=AsOfDate,IF($Q41=0,$W41,IF(AND($S41&lt;&gt;"",EDATE($D41,Milestones!$AA$197)&gt;=$S41),$V41,IF(AND($R41&lt;&gt;"",EDATE($D41,Milestones!$AA$197)&gt;=$R41),$U41,$T41)))=Milestones!$AB$197),TEXT(EDATE($D41,Milestones!$AA$197),"dd/mm/yy")&amp;" "&amp;Milestones!$AB$197&amp;" "&amp;Milestones!$AC$197&amp;";  ","")&amp;IF(AND(EDATE($D41,Milestones!$AA$198)&lt;=AsOfDate,IF($Q41=0,$W41,IF(AND($S41&lt;&gt;"",EDATE($D41,Milestones!$AA$198)&gt;=$S41),$V41,IF(AND($R41&lt;&gt;"",EDATE($D41,Milestones!$AA$198)&gt;=$R41),$U41,$T41)))=Milestones!$AB$198),TEXT(EDATE($D41,Milestones!$AA$198),"dd/mm/yy")&amp;" "&amp;Milestones!$AB$198&amp;" "&amp;Milestones!$AC$198&amp;";  ","")&amp;IF(AND(EDATE($D41,Milestones!$AA$199)&lt;=AsOfDate,IF($Q41=0,$W41,IF(AND($S41&lt;&gt;"",EDATE($D41,Milestones!$AA$199)&gt;=$S41),$V41,IF(AND($R41&lt;&gt;"",EDATE($D41,Milestones!$AA$199)&gt;=$R41),$U41,$T41)))=Milestones!$AB$199),TEXT(EDATE($D41,Milestones!$AA$199),"dd/mm/yy")&amp;" "&amp;Milestones!$AB$199&amp;" "&amp;Milestones!$AC$199&amp;";  ",""))</f>
        <v/>
      </c>
      <c r="Q41" s="0" t="str">
        <f aca="false">IF(Staff!$A41="","",Staff!$AG41)</f>
        <v/>
      </c>
      <c r="R41" s="0" t="str">
        <f aca="false">IF(Staff!$A41="","",Staff!$AI41)</f>
        <v/>
      </c>
      <c r="S41" s="0" t="str">
        <f aca="false">IF(Staff!$A41="","",Staff!$AJ41)</f>
        <v/>
      </c>
      <c r="T41" s="0" t="str">
        <f aca="false">IF(Staff!$A41="","",Staff!$AN41)</f>
        <v/>
      </c>
      <c r="U41" s="0" t="str">
        <f aca="false">IF(Staff!$A41="","",Staff!$AO41)</f>
        <v/>
      </c>
      <c r="V41" s="0" t="str">
        <f aca="false">IF(Staff!$A41="","",Staff!$AP41)</f>
        <v/>
      </c>
      <c r="W41" s="0" t="str">
        <f aca="false">IF(Staff!$A41="","",Staff!$AQ41)</f>
        <v/>
      </c>
    </row>
    <row r="42" customFormat="false" ht="15" hidden="false" customHeight="false" outlineLevel="0" collapsed="false">
      <c r="A42" s="13" t="str">
        <f aca="false">IF(Staff!$A42="","",Staff!$A42)</f>
        <v/>
      </c>
      <c r="B42" s="13" t="str">
        <f aca="false">IF(Staff!$A42="","",Staff!$B42)</f>
        <v/>
      </c>
      <c r="C42" s="13" t="str">
        <f aca="false">IF(Staff!$A42="","",Staff!$C42)</f>
        <v/>
      </c>
      <c r="D42" s="11" t="str">
        <f aca="false">IF(Staff!$A42="","",Staff!$AF42)</f>
        <v/>
      </c>
      <c r="E42" s="13" t="str">
        <f aca="false">IF(Staff!$A42="","",Staff!$O42)</f>
        <v/>
      </c>
      <c r="F42" s="13" t="str">
        <f aca="false">IF(E42="","",E42*HoursPerDay)</f>
        <v/>
      </c>
      <c r="G42" s="26" t="str">
        <f aca="false">IF($A42="","",H42&amp;I42&amp;J42&amp;K42&amp;L42&amp;M42&amp;N42&amp;O42&amp;P42)</f>
        <v/>
      </c>
      <c r="H42" s="0" t="str">
        <f aca="false">IF(OR($A42="",$D42=""),"",IF(AND(EDATE($D42,Milestones!$AA$20)&lt;=AsOfDate,IF($Q42=0,$W42,IF(AND($S42&lt;&gt;"",EDATE($D42,Milestones!$AA$20)&gt;=$S42),$V42,IF(AND($R42&lt;&gt;"",EDATE($D42,Milestones!$AA$20)&gt;=$R42),$U42,$T42)))=Milestones!$AB$20),TEXT(EDATE($D42,Milestones!$AA$20),"dd/mm/yy")&amp;" "&amp;Milestones!$AB$20&amp;" "&amp;Milestones!$AC$20&amp;";  ","")&amp;IF(AND(EDATE($D42,Milestones!$AA$21)&lt;=AsOfDate,IF($Q42=0,$W42,IF(AND($S42&lt;&gt;"",EDATE($D42,Milestones!$AA$21)&gt;=$S42),$V42,IF(AND($R42&lt;&gt;"",EDATE($D42,Milestones!$AA$21)&gt;=$R42),$U42,$T42)))=Milestones!$AB$21),TEXT(EDATE($D42,Milestones!$AA$21),"dd/mm/yy")&amp;" "&amp;Milestones!$AB$21&amp;" "&amp;Milestones!$AC$21&amp;";  ","")&amp;IF(AND(EDATE($D42,Milestones!$AA$22)&lt;=AsOfDate,IF($Q42=0,$W42,IF(AND($S42&lt;&gt;"",EDATE($D42,Milestones!$AA$22)&gt;=$S42),$V42,IF(AND($R42&lt;&gt;"",EDATE($D42,Milestones!$AA$22)&gt;=$R42),$U42,$T42)))=Milestones!$AB$22),TEXT(EDATE($D42,Milestones!$AA$22),"dd/mm/yy")&amp;" "&amp;Milestones!$AB$22&amp;" "&amp;Milestones!$AC$22&amp;";  ","")&amp;IF(AND(EDATE($D42,Milestones!$AA$23)&lt;=AsOfDate,IF($Q42=0,$W42,IF(AND($S42&lt;&gt;"",EDATE($D42,Milestones!$AA$23)&gt;=$S42),$V42,IF(AND($R42&lt;&gt;"",EDATE($D42,Milestones!$AA$23)&gt;=$R42),$U42,$T42)))=Milestones!$AB$23),TEXT(EDATE($D42,Milestones!$AA$23),"dd/mm/yy")&amp;" "&amp;Milestones!$AB$23&amp;" "&amp;Milestones!$AC$23&amp;";  ","")&amp;IF(AND(EDATE($D42,Milestones!$AA$24)&lt;=AsOfDate,IF($Q42=0,$W42,IF(AND($S42&lt;&gt;"",EDATE($D42,Milestones!$AA$24)&gt;=$S42),$V42,IF(AND($R42&lt;&gt;"",EDATE($D42,Milestones!$AA$24)&gt;=$R42),$U42,$T42)))=Milestones!$AB$24),TEXT(EDATE($D42,Milestones!$AA$24),"dd/mm/yy")&amp;" "&amp;Milestones!$AB$24&amp;" "&amp;Milestones!$AC$24&amp;";  ","")&amp;IF(AND(EDATE($D42,Milestones!$AA$25)&lt;=AsOfDate,IF($Q42=0,$W42,IF(AND($S42&lt;&gt;"",EDATE($D42,Milestones!$AA$25)&gt;=$S42),$V42,IF(AND($R42&lt;&gt;"",EDATE($D42,Milestones!$AA$25)&gt;=$R42),$U42,$T42)))=Milestones!$AB$25),TEXT(EDATE($D42,Milestones!$AA$25),"dd/mm/yy")&amp;" "&amp;Milestones!$AB$25&amp;" "&amp;Milestones!$AC$25&amp;";  ","")&amp;IF(AND(EDATE($D42,Milestones!$AA$26)&lt;=AsOfDate,IF($Q42=0,$W42,IF(AND($S42&lt;&gt;"",EDATE($D42,Milestones!$AA$26)&gt;=$S42),$V42,IF(AND($R42&lt;&gt;"",EDATE($D42,Milestones!$AA$26)&gt;=$R42),$U42,$T42)))=Milestones!$AB$26),TEXT(EDATE($D42,Milestones!$AA$26),"dd/mm/yy")&amp;" "&amp;Milestones!$AB$26&amp;" "&amp;Milestones!$AC$26&amp;";  ","")&amp;IF(AND(EDATE($D42,Milestones!$AA$27)&lt;=AsOfDate,IF($Q42=0,$W42,IF(AND($S42&lt;&gt;"",EDATE($D42,Milestones!$AA$27)&gt;=$S42),$V42,IF(AND($R42&lt;&gt;"",EDATE($D42,Milestones!$AA$27)&gt;=$R42),$U42,$T42)))=Milestones!$AB$27),TEXT(EDATE($D42,Milestones!$AA$27),"dd/mm/yy")&amp;" "&amp;Milestones!$AB$27&amp;" "&amp;Milestones!$AC$27&amp;";  ","")&amp;IF(AND(EDATE($D42,Milestones!$AA$28)&lt;=AsOfDate,IF($Q42=0,$W42,IF(AND($S42&lt;&gt;"",EDATE($D42,Milestones!$AA$28)&gt;=$S42),$V42,IF(AND($R42&lt;&gt;"",EDATE($D42,Milestones!$AA$28)&gt;=$R42),$U42,$T42)))=Milestones!$AB$28),TEXT(EDATE($D42,Milestones!$AA$28),"dd/mm/yy")&amp;" "&amp;Milestones!$AB$28&amp;" "&amp;Milestones!$AC$28&amp;";  ","")&amp;IF(AND(EDATE($D42,Milestones!$AA$29)&lt;=AsOfDate,IF($Q42=0,$W42,IF(AND($S42&lt;&gt;"",EDATE($D42,Milestones!$AA$29)&gt;=$S42),$V42,IF(AND($R42&lt;&gt;"",EDATE($D42,Milestones!$AA$29)&gt;=$R42),$U42,$T42)))=Milestones!$AB$29),TEXT(EDATE($D42,Milestones!$AA$29),"dd/mm/yy")&amp;" "&amp;Milestones!$AB$29&amp;" "&amp;Milestones!$AC$29&amp;";  ","")&amp;IF(AND(EDATE($D42,Milestones!$AA$30)&lt;=AsOfDate,IF($Q42=0,$W42,IF(AND($S42&lt;&gt;"",EDATE($D42,Milestones!$AA$30)&gt;=$S42),$V42,IF(AND($R42&lt;&gt;"",EDATE($D42,Milestones!$AA$30)&gt;=$R42),$U42,$T42)))=Milestones!$AB$30),TEXT(EDATE($D42,Milestones!$AA$30),"dd/mm/yy")&amp;" "&amp;Milestones!$AB$30&amp;" "&amp;Milestones!$AC$30&amp;";  ","")&amp;IF(AND(EDATE($D42,Milestones!$AA$31)&lt;=AsOfDate,IF($Q42=0,$W42,IF(AND($S42&lt;&gt;"",EDATE($D42,Milestones!$AA$31)&gt;=$S42),$V42,IF(AND($R42&lt;&gt;"",EDATE($D42,Milestones!$AA$31)&gt;=$R42),$U42,$T42)))=Milestones!$AB$31),TEXT(EDATE($D42,Milestones!$AA$31),"dd/mm/yy")&amp;" "&amp;Milestones!$AB$31&amp;" "&amp;Milestones!$AC$31&amp;";  ","")&amp;IF(AND(EDATE($D42,Milestones!$AA$32)&lt;=AsOfDate,IF($Q42=0,$W42,IF(AND($S42&lt;&gt;"",EDATE($D42,Milestones!$AA$32)&gt;=$S42),$V42,IF(AND($R42&lt;&gt;"",EDATE($D42,Milestones!$AA$32)&gt;=$R42),$U42,$T42)))=Milestones!$AB$32),TEXT(EDATE($D42,Milestones!$AA$32),"dd/mm/yy")&amp;" "&amp;Milestones!$AB$32&amp;" "&amp;Milestones!$AC$32&amp;";  ","")&amp;IF(AND(EDATE($D42,Milestones!$AA$33)&lt;=AsOfDate,IF($Q42=0,$W42,IF(AND($S42&lt;&gt;"",EDATE($D42,Milestones!$AA$33)&gt;=$S42),$V42,IF(AND($R42&lt;&gt;"",EDATE($D42,Milestones!$AA$33)&gt;=$R42),$U42,$T42)))=Milestones!$AB$33),TEXT(EDATE($D42,Milestones!$AA$33),"dd/mm/yy")&amp;" "&amp;Milestones!$AB$33&amp;" "&amp;Milestones!$AC$33&amp;";  ","")&amp;IF(AND(EDATE($D42,Milestones!$AA$34)&lt;=AsOfDate,IF($Q42=0,$W42,IF(AND($S42&lt;&gt;"",EDATE($D42,Milestones!$AA$34)&gt;=$S42),$V42,IF(AND($R42&lt;&gt;"",EDATE($D42,Milestones!$AA$34)&gt;=$R42),$U42,$T42)))=Milestones!$AB$34),TEXT(EDATE($D42,Milestones!$AA$34),"dd/mm/yy")&amp;" "&amp;Milestones!$AB$34&amp;" "&amp;Milestones!$AC$34&amp;";  ","")&amp;IF(AND(EDATE($D42,Milestones!$AA$35)&lt;=AsOfDate,IF($Q42=0,$W42,IF(AND($S42&lt;&gt;"",EDATE($D42,Milestones!$AA$35)&gt;=$S42),$V42,IF(AND($R42&lt;&gt;"",EDATE($D42,Milestones!$AA$35)&gt;=$R42),$U42,$T42)))=Milestones!$AB$35),TEXT(EDATE($D42,Milestones!$AA$35),"dd/mm/yy")&amp;" "&amp;Milestones!$AB$35&amp;" "&amp;Milestones!$AC$35&amp;";  ","")&amp;IF(AND(EDATE($D42,Milestones!$AA$36)&lt;=AsOfDate,IF($Q42=0,$W42,IF(AND($S42&lt;&gt;"",EDATE($D42,Milestones!$AA$36)&gt;=$S42),$V42,IF(AND($R42&lt;&gt;"",EDATE($D42,Milestones!$AA$36)&gt;=$R42),$U42,$T42)))=Milestones!$AB$36),TEXT(EDATE($D42,Milestones!$AA$36),"dd/mm/yy")&amp;" "&amp;Milestones!$AB$36&amp;" "&amp;Milestones!$AC$36&amp;";  ","")&amp;IF(AND(EDATE($D42,Milestones!$AA$37)&lt;=AsOfDate,IF($Q42=0,$W42,IF(AND($S42&lt;&gt;"",EDATE($D42,Milestones!$AA$37)&gt;=$S42),$V42,IF(AND($R42&lt;&gt;"",EDATE($D42,Milestones!$AA$37)&gt;=$R42),$U42,$T42)))=Milestones!$AB$37),TEXT(EDATE($D42,Milestones!$AA$37),"dd/mm/yy")&amp;" "&amp;Milestones!$AB$37&amp;" "&amp;Milestones!$AC$37&amp;";  ","")&amp;IF(AND(EDATE($D42,Milestones!$AA$38)&lt;=AsOfDate,IF($Q42=0,$W42,IF(AND($S42&lt;&gt;"",EDATE($D42,Milestones!$AA$38)&gt;=$S42),$V42,IF(AND($R42&lt;&gt;"",EDATE($D42,Milestones!$AA$38)&gt;=$R42),$U42,$T42)))=Milestones!$AB$38),TEXT(EDATE($D42,Milestones!$AA$38),"dd/mm/yy")&amp;" "&amp;Milestones!$AB$38&amp;" "&amp;Milestones!$AC$38&amp;";  ","")&amp;IF(AND(EDATE($D42,Milestones!$AA$39)&lt;=AsOfDate,IF($Q42=0,$W42,IF(AND($S42&lt;&gt;"",EDATE($D42,Milestones!$AA$39)&gt;=$S42),$V42,IF(AND($R42&lt;&gt;"",EDATE($D42,Milestones!$AA$39)&gt;=$R42),$U42,$T42)))=Milestones!$AB$39),TEXT(EDATE($D42,Milestones!$AA$39),"dd/mm/yy")&amp;" "&amp;Milestones!$AB$39&amp;" "&amp;Milestones!$AC$39&amp;";  ",""))</f>
        <v/>
      </c>
      <c r="I42" s="0" t="str">
        <f aca="false">IF(OR($A42="",$D42=""),"",IF(AND(EDATE($D42,Milestones!$AA$40)&lt;=AsOfDate,IF($Q42=0,$W42,IF(AND($S42&lt;&gt;"",EDATE($D42,Milestones!$AA$40)&gt;=$S42),$V42,IF(AND($R42&lt;&gt;"",EDATE($D42,Milestones!$AA$40)&gt;=$R42),$U42,$T42)))=Milestones!$AB$40),TEXT(EDATE($D42,Milestones!$AA$40),"dd/mm/yy")&amp;" "&amp;Milestones!$AB$40&amp;" "&amp;Milestones!$AC$40&amp;";  ","")&amp;IF(AND(EDATE($D42,Milestones!$AA$41)&lt;=AsOfDate,IF($Q42=0,$W42,IF(AND($S42&lt;&gt;"",EDATE($D42,Milestones!$AA$41)&gt;=$S42),$V42,IF(AND($R42&lt;&gt;"",EDATE($D42,Milestones!$AA$41)&gt;=$R42),$U42,$T42)))=Milestones!$AB$41),TEXT(EDATE($D42,Milestones!$AA$41),"dd/mm/yy")&amp;" "&amp;Milestones!$AB$41&amp;" "&amp;Milestones!$AC$41&amp;";  ","")&amp;IF(AND(EDATE($D42,Milestones!$AA$42)&lt;=AsOfDate,IF($Q42=0,$W42,IF(AND($S42&lt;&gt;"",EDATE($D42,Milestones!$AA$42)&gt;=$S42),$V42,IF(AND($R42&lt;&gt;"",EDATE($D42,Milestones!$AA$42)&gt;=$R42),$U42,$T42)))=Milestones!$AB$42),TEXT(EDATE($D42,Milestones!$AA$42),"dd/mm/yy")&amp;" "&amp;Milestones!$AB$42&amp;" "&amp;Milestones!$AC$42&amp;";  ","")&amp;IF(AND(EDATE($D42,Milestones!$AA$43)&lt;=AsOfDate,IF($Q42=0,$W42,IF(AND($S42&lt;&gt;"",EDATE($D42,Milestones!$AA$43)&gt;=$S42),$V42,IF(AND($R42&lt;&gt;"",EDATE($D42,Milestones!$AA$43)&gt;=$R42),$U42,$T42)))=Milestones!$AB$43),TEXT(EDATE($D42,Milestones!$AA$43),"dd/mm/yy")&amp;" "&amp;Milestones!$AB$43&amp;" "&amp;Milestones!$AC$43&amp;";  ","")&amp;IF(AND(EDATE($D42,Milestones!$AA$44)&lt;=AsOfDate,IF($Q42=0,$W42,IF(AND($S42&lt;&gt;"",EDATE($D42,Milestones!$AA$44)&gt;=$S42),$V42,IF(AND($R42&lt;&gt;"",EDATE($D42,Milestones!$AA$44)&gt;=$R42),$U42,$T42)))=Milestones!$AB$44),TEXT(EDATE($D42,Milestones!$AA$44),"dd/mm/yy")&amp;" "&amp;Milestones!$AB$44&amp;" "&amp;Milestones!$AC$44&amp;";  ","")&amp;IF(AND(EDATE($D42,Milestones!$AA$45)&lt;=AsOfDate,IF($Q42=0,$W42,IF(AND($S42&lt;&gt;"",EDATE($D42,Milestones!$AA$45)&gt;=$S42),$V42,IF(AND($R42&lt;&gt;"",EDATE($D42,Milestones!$AA$45)&gt;=$R42),$U42,$T42)))=Milestones!$AB$45),TEXT(EDATE($D42,Milestones!$AA$45),"dd/mm/yy")&amp;" "&amp;Milestones!$AB$45&amp;" "&amp;Milestones!$AC$45&amp;";  ","")&amp;IF(AND(EDATE($D42,Milestones!$AA$46)&lt;=AsOfDate,IF($Q42=0,$W42,IF(AND($S42&lt;&gt;"",EDATE($D42,Milestones!$AA$46)&gt;=$S42),$V42,IF(AND($R42&lt;&gt;"",EDATE($D42,Milestones!$AA$46)&gt;=$R42),$U42,$T42)))=Milestones!$AB$46),TEXT(EDATE($D42,Milestones!$AA$46),"dd/mm/yy")&amp;" "&amp;Milestones!$AB$46&amp;" "&amp;Milestones!$AC$46&amp;";  ","")&amp;IF(AND(EDATE($D42,Milestones!$AA$47)&lt;=AsOfDate,IF($Q42=0,$W42,IF(AND($S42&lt;&gt;"",EDATE($D42,Milestones!$AA$47)&gt;=$S42),$V42,IF(AND($R42&lt;&gt;"",EDATE($D42,Milestones!$AA$47)&gt;=$R42),$U42,$T42)))=Milestones!$AB$47),TEXT(EDATE($D42,Milestones!$AA$47),"dd/mm/yy")&amp;" "&amp;Milestones!$AB$47&amp;" "&amp;Milestones!$AC$47&amp;";  ","")&amp;IF(AND(EDATE($D42,Milestones!$AA$48)&lt;=AsOfDate,IF($Q42=0,$W42,IF(AND($S42&lt;&gt;"",EDATE($D42,Milestones!$AA$48)&gt;=$S42),$V42,IF(AND($R42&lt;&gt;"",EDATE($D42,Milestones!$AA$48)&gt;=$R42),$U42,$T42)))=Milestones!$AB$48),TEXT(EDATE($D42,Milestones!$AA$48),"dd/mm/yy")&amp;" "&amp;Milestones!$AB$48&amp;" "&amp;Milestones!$AC$48&amp;";  ","")&amp;IF(AND(EDATE($D42,Milestones!$AA$49)&lt;=AsOfDate,IF($Q42=0,$W42,IF(AND($S42&lt;&gt;"",EDATE($D42,Milestones!$AA$49)&gt;=$S42),$V42,IF(AND($R42&lt;&gt;"",EDATE($D42,Milestones!$AA$49)&gt;=$R42),$U42,$T42)))=Milestones!$AB$49),TEXT(EDATE($D42,Milestones!$AA$49),"dd/mm/yy")&amp;" "&amp;Milestones!$AB$49&amp;" "&amp;Milestones!$AC$49&amp;";  ","")&amp;IF(AND(EDATE($D42,Milestones!$AA$50)&lt;=AsOfDate,IF($Q42=0,$W42,IF(AND($S42&lt;&gt;"",EDATE($D42,Milestones!$AA$50)&gt;=$S42),$V42,IF(AND($R42&lt;&gt;"",EDATE($D42,Milestones!$AA$50)&gt;=$R42),$U42,$T42)))=Milestones!$AB$50),TEXT(EDATE($D42,Milestones!$AA$50),"dd/mm/yy")&amp;" "&amp;Milestones!$AB$50&amp;" "&amp;Milestones!$AC$50&amp;";  ","")&amp;IF(AND(EDATE($D42,Milestones!$AA$51)&lt;=AsOfDate,IF($Q42=0,$W42,IF(AND($S42&lt;&gt;"",EDATE($D42,Milestones!$AA$51)&gt;=$S42),$V42,IF(AND($R42&lt;&gt;"",EDATE($D42,Milestones!$AA$51)&gt;=$R42),$U42,$T42)))=Milestones!$AB$51),TEXT(EDATE($D42,Milestones!$AA$51),"dd/mm/yy")&amp;" "&amp;Milestones!$AB$51&amp;" "&amp;Milestones!$AC$51&amp;";  ","")&amp;IF(AND(EDATE($D42,Milestones!$AA$52)&lt;=AsOfDate,IF($Q42=0,$W42,IF(AND($S42&lt;&gt;"",EDATE($D42,Milestones!$AA$52)&gt;=$S42),$V42,IF(AND($R42&lt;&gt;"",EDATE($D42,Milestones!$AA$52)&gt;=$R42),$U42,$T42)))=Milestones!$AB$52),TEXT(EDATE($D42,Milestones!$AA$52),"dd/mm/yy")&amp;" "&amp;Milestones!$AB$52&amp;" "&amp;Milestones!$AC$52&amp;";  ","")&amp;IF(AND(EDATE($D42,Milestones!$AA$53)&lt;=AsOfDate,IF($Q42=0,$W42,IF(AND($S42&lt;&gt;"",EDATE($D42,Milestones!$AA$53)&gt;=$S42),$V42,IF(AND($R42&lt;&gt;"",EDATE($D42,Milestones!$AA$53)&gt;=$R42),$U42,$T42)))=Milestones!$AB$53),TEXT(EDATE($D42,Milestones!$AA$53),"dd/mm/yy")&amp;" "&amp;Milestones!$AB$53&amp;" "&amp;Milestones!$AC$53&amp;";  ","")&amp;IF(AND(EDATE($D42,Milestones!$AA$54)&lt;=AsOfDate,IF($Q42=0,$W42,IF(AND($S42&lt;&gt;"",EDATE($D42,Milestones!$AA$54)&gt;=$S42),$V42,IF(AND($R42&lt;&gt;"",EDATE($D42,Milestones!$AA$54)&gt;=$R42),$U42,$T42)))=Milestones!$AB$54),TEXT(EDATE($D42,Milestones!$AA$54),"dd/mm/yy")&amp;" "&amp;Milestones!$AB$54&amp;" "&amp;Milestones!$AC$54&amp;";  ","")&amp;IF(AND(EDATE($D42,Milestones!$AA$55)&lt;=AsOfDate,IF($Q42=0,$W42,IF(AND($S42&lt;&gt;"",EDATE($D42,Milestones!$AA$55)&gt;=$S42),$V42,IF(AND($R42&lt;&gt;"",EDATE($D42,Milestones!$AA$55)&gt;=$R42),$U42,$T42)))=Milestones!$AB$55),TEXT(EDATE($D42,Milestones!$AA$55),"dd/mm/yy")&amp;" "&amp;Milestones!$AB$55&amp;" "&amp;Milestones!$AC$55&amp;";  ","")&amp;IF(AND(EDATE($D42,Milestones!$AA$56)&lt;=AsOfDate,IF($Q42=0,$W42,IF(AND($S42&lt;&gt;"",EDATE($D42,Milestones!$AA$56)&gt;=$S42),$V42,IF(AND($R42&lt;&gt;"",EDATE($D42,Milestones!$AA$56)&gt;=$R42),$U42,$T42)))=Milestones!$AB$56),TEXT(EDATE($D42,Milestones!$AA$56),"dd/mm/yy")&amp;" "&amp;Milestones!$AB$56&amp;" "&amp;Milestones!$AC$56&amp;";  ","")&amp;IF(AND(EDATE($D42,Milestones!$AA$57)&lt;=AsOfDate,IF($Q42=0,$W42,IF(AND($S42&lt;&gt;"",EDATE($D42,Milestones!$AA$57)&gt;=$S42),$V42,IF(AND($R42&lt;&gt;"",EDATE($D42,Milestones!$AA$57)&gt;=$R42),$U42,$T42)))=Milestones!$AB$57),TEXT(EDATE($D42,Milestones!$AA$57),"dd/mm/yy")&amp;" "&amp;Milestones!$AB$57&amp;" "&amp;Milestones!$AC$57&amp;";  ","")&amp;IF(AND(EDATE($D42,Milestones!$AA$58)&lt;=AsOfDate,IF($Q42=0,$W42,IF(AND($S42&lt;&gt;"",EDATE($D42,Milestones!$AA$58)&gt;=$S42),$V42,IF(AND($R42&lt;&gt;"",EDATE($D42,Milestones!$AA$58)&gt;=$R42),$U42,$T42)))=Milestones!$AB$58),TEXT(EDATE($D42,Milestones!$AA$58),"dd/mm/yy")&amp;" "&amp;Milestones!$AB$58&amp;" "&amp;Milestones!$AC$58&amp;";  ","")&amp;IF(AND(EDATE($D42,Milestones!$AA$59)&lt;=AsOfDate,IF($Q42=0,$W42,IF(AND($S42&lt;&gt;"",EDATE($D42,Milestones!$AA$59)&gt;=$S42),$V42,IF(AND($R42&lt;&gt;"",EDATE($D42,Milestones!$AA$59)&gt;=$R42),$U42,$T42)))=Milestones!$AB$59),TEXT(EDATE($D42,Milestones!$AA$59),"dd/mm/yy")&amp;" "&amp;Milestones!$AB$59&amp;" "&amp;Milestones!$AC$59&amp;";  ",""))</f>
        <v/>
      </c>
      <c r="J42" s="0" t="str">
        <f aca="false">IF(OR($A42="",$D42=""),"",IF(AND(EDATE($D42,Milestones!$AA$60)&lt;=AsOfDate,IF($Q42=0,$W42,IF(AND($S42&lt;&gt;"",EDATE($D42,Milestones!$AA$60)&gt;=$S42),$V42,IF(AND($R42&lt;&gt;"",EDATE($D42,Milestones!$AA$60)&gt;=$R42),$U42,$T42)))=Milestones!$AB$60),TEXT(EDATE($D42,Milestones!$AA$60),"dd/mm/yy")&amp;" "&amp;Milestones!$AB$60&amp;" "&amp;Milestones!$AC$60&amp;";  ","")&amp;IF(AND(EDATE($D42,Milestones!$AA$61)&lt;=AsOfDate,IF($Q42=0,$W42,IF(AND($S42&lt;&gt;"",EDATE($D42,Milestones!$AA$61)&gt;=$S42),$V42,IF(AND($R42&lt;&gt;"",EDATE($D42,Milestones!$AA$61)&gt;=$R42),$U42,$T42)))=Milestones!$AB$61),TEXT(EDATE($D42,Milestones!$AA$61),"dd/mm/yy")&amp;" "&amp;Milestones!$AB$61&amp;" "&amp;Milestones!$AC$61&amp;";  ","")&amp;IF(AND(EDATE($D42,Milestones!$AA$62)&lt;=AsOfDate,IF($Q42=0,$W42,IF(AND($S42&lt;&gt;"",EDATE($D42,Milestones!$AA$62)&gt;=$S42),$V42,IF(AND($R42&lt;&gt;"",EDATE($D42,Milestones!$AA$62)&gt;=$R42),$U42,$T42)))=Milestones!$AB$62),TEXT(EDATE($D42,Milestones!$AA$62),"dd/mm/yy")&amp;" "&amp;Milestones!$AB$62&amp;" "&amp;Milestones!$AC$62&amp;";  ","")&amp;IF(AND(EDATE($D42,Milestones!$AA$63)&lt;=AsOfDate,IF($Q42=0,$W42,IF(AND($S42&lt;&gt;"",EDATE($D42,Milestones!$AA$63)&gt;=$S42),$V42,IF(AND($R42&lt;&gt;"",EDATE($D42,Milestones!$AA$63)&gt;=$R42),$U42,$T42)))=Milestones!$AB$63),TEXT(EDATE($D42,Milestones!$AA$63),"dd/mm/yy")&amp;" "&amp;Milestones!$AB$63&amp;" "&amp;Milestones!$AC$63&amp;";  ","")&amp;IF(AND(EDATE($D42,Milestones!$AA$64)&lt;=AsOfDate,IF($Q42=0,$W42,IF(AND($S42&lt;&gt;"",EDATE($D42,Milestones!$AA$64)&gt;=$S42),$V42,IF(AND($R42&lt;&gt;"",EDATE($D42,Milestones!$AA$64)&gt;=$R42),$U42,$T42)))=Milestones!$AB$64),TEXT(EDATE($D42,Milestones!$AA$64),"dd/mm/yy")&amp;" "&amp;Milestones!$AB$64&amp;" "&amp;Milestones!$AC$64&amp;";  ","")&amp;IF(AND(EDATE($D42,Milestones!$AA$65)&lt;=AsOfDate,IF($Q42=0,$W42,IF(AND($S42&lt;&gt;"",EDATE($D42,Milestones!$AA$65)&gt;=$S42),$V42,IF(AND($R42&lt;&gt;"",EDATE($D42,Milestones!$AA$65)&gt;=$R42),$U42,$T42)))=Milestones!$AB$65),TEXT(EDATE($D42,Milestones!$AA$65),"dd/mm/yy")&amp;" "&amp;Milestones!$AB$65&amp;" "&amp;Milestones!$AC$65&amp;";  ","")&amp;IF(AND(EDATE($D42,Milestones!$AA$66)&lt;=AsOfDate,IF($Q42=0,$W42,IF(AND($S42&lt;&gt;"",EDATE($D42,Milestones!$AA$66)&gt;=$S42),$V42,IF(AND($R42&lt;&gt;"",EDATE($D42,Milestones!$AA$66)&gt;=$R42),$U42,$T42)))=Milestones!$AB$66),TEXT(EDATE($D42,Milestones!$AA$66),"dd/mm/yy")&amp;" "&amp;Milestones!$AB$66&amp;" "&amp;Milestones!$AC$66&amp;";  ","")&amp;IF(AND(EDATE($D42,Milestones!$AA$67)&lt;=AsOfDate,IF($Q42=0,$W42,IF(AND($S42&lt;&gt;"",EDATE($D42,Milestones!$AA$67)&gt;=$S42),$V42,IF(AND($R42&lt;&gt;"",EDATE($D42,Milestones!$AA$67)&gt;=$R42),$U42,$T42)))=Milestones!$AB$67),TEXT(EDATE($D42,Milestones!$AA$67),"dd/mm/yy")&amp;" "&amp;Milestones!$AB$67&amp;" "&amp;Milestones!$AC$67&amp;";  ","")&amp;IF(AND(EDATE($D42,Milestones!$AA$68)&lt;=AsOfDate,IF($Q42=0,$W42,IF(AND($S42&lt;&gt;"",EDATE($D42,Milestones!$AA$68)&gt;=$S42),$V42,IF(AND($R42&lt;&gt;"",EDATE($D42,Milestones!$AA$68)&gt;=$R42),$U42,$T42)))=Milestones!$AB$68),TEXT(EDATE($D42,Milestones!$AA$68),"dd/mm/yy")&amp;" "&amp;Milestones!$AB$68&amp;" "&amp;Milestones!$AC$68&amp;";  ","")&amp;IF(AND(EDATE($D42,Milestones!$AA$69)&lt;=AsOfDate,IF($Q42=0,$W42,IF(AND($S42&lt;&gt;"",EDATE($D42,Milestones!$AA$69)&gt;=$S42),$V42,IF(AND($R42&lt;&gt;"",EDATE($D42,Milestones!$AA$69)&gt;=$R42),$U42,$T42)))=Milestones!$AB$69),TEXT(EDATE($D42,Milestones!$AA$69),"dd/mm/yy")&amp;" "&amp;Milestones!$AB$69&amp;" "&amp;Milestones!$AC$69&amp;";  ","")&amp;IF(AND(EDATE($D42,Milestones!$AA$70)&lt;=AsOfDate,IF($Q42=0,$W42,IF(AND($S42&lt;&gt;"",EDATE($D42,Milestones!$AA$70)&gt;=$S42),$V42,IF(AND($R42&lt;&gt;"",EDATE($D42,Milestones!$AA$70)&gt;=$R42),$U42,$T42)))=Milestones!$AB$70),TEXT(EDATE($D42,Milestones!$AA$70),"dd/mm/yy")&amp;" "&amp;Milestones!$AB$70&amp;" "&amp;Milestones!$AC$70&amp;";  ","")&amp;IF(AND(EDATE($D42,Milestones!$AA$71)&lt;=AsOfDate,IF($Q42=0,$W42,IF(AND($S42&lt;&gt;"",EDATE($D42,Milestones!$AA$71)&gt;=$S42),$V42,IF(AND($R42&lt;&gt;"",EDATE($D42,Milestones!$AA$71)&gt;=$R42),$U42,$T42)))=Milestones!$AB$71),TEXT(EDATE($D42,Milestones!$AA$71),"dd/mm/yy")&amp;" "&amp;Milestones!$AB$71&amp;" "&amp;Milestones!$AC$71&amp;";  ","")&amp;IF(AND(EDATE($D42,Milestones!$AA$72)&lt;=AsOfDate,IF($Q42=0,$W42,IF(AND($S42&lt;&gt;"",EDATE($D42,Milestones!$AA$72)&gt;=$S42),$V42,IF(AND($R42&lt;&gt;"",EDATE($D42,Milestones!$AA$72)&gt;=$R42),$U42,$T42)))=Milestones!$AB$72),TEXT(EDATE($D42,Milestones!$AA$72),"dd/mm/yy")&amp;" "&amp;Milestones!$AB$72&amp;" "&amp;Milestones!$AC$72&amp;";  ","")&amp;IF(AND(EDATE($D42,Milestones!$AA$73)&lt;=AsOfDate,IF($Q42=0,$W42,IF(AND($S42&lt;&gt;"",EDATE($D42,Milestones!$AA$73)&gt;=$S42),$V42,IF(AND($R42&lt;&gt;"",EDATE($D42,Milestones!$AA$73)&gt;=$R42),$U42,$T42)))=Milestones!$AB$73),TEXT(EDATE($D42,Milestones!$AA$73),"dd/mm/yy")&amp;" "&amp;Milestones!$AB$73&amp;" "&amp;Milestones!$AC$73&amp;";  ","")&amp;IF(AND(EDATE($D42,Milestones!$AA$74)&lt;=AsOfDate,IF($Q42=0,$W42,IF(AND($S42&lt;&gt;"",EDATE($D42,Milestones!$AA$74)&gt;=$S42),$V42,IF(AND($R42&lt;&gt;"",EDATE($D42,Milestones!$AA$74)&gt;=$R42),$U42,$T42)))=Milestones!$AB$74),TEXT(EDATE($D42,Milestones!$AA$74),"dd/mm/yy")&amp;" "&amp;Milestones!$AB$74&amp;" "&amp;Milestones!$AC$74&amp;";  ","")&amp;IF(AND(EDATE($D42,Milestones!$AA$75)&lt;=AsOfDate,IF($Q42=0,$W42,IF(AND($S42&lt;&gt;"",EDATE($D42,Milestones!$AA$75)&gt;=$S42),$V42,IF(AND($R42&lt;&gt;"",EDATE($D42,Milestones!$AA$75)&gt;=$R42),$U42,$T42)))=Milestones!$AB$75),TEXT(EDATE($D42,Milestones!$AA$75),"dd/mm/yy")&amp;" "&amp;Milestones!$AB$75&amp;" "&amp;Milestones!$AC$75&amp;";  ","")&amp;IF(AND(EDATE($D42,Milestones!$AA$76)&lt;=AsOfDate,IF($Q42=0,$W42,IF(AND($S42&lt;&gt;"",EDATE($D42,Milestones!$AA$76)&gt;=$S42),$V42,IF(AND($R42&lt;&gt;"",EDATE($D42,Milestones!$AA$76)&gt;=$R42),$U42,$T42)))=Milestones!$AB$76),TEXT(EDATE($D42,Milestones!$AA$76),"dd/mm/yy")&amp;" "&amp;Milestones!$AB$76&amp;" "&amp;Milestones!$AC$76&amp;";  ","")&amp;IF(AND(EDATE($D42,Milestones!$AA$77)&lt;=AsOfDate,IF($Q42=0,$W42,IF(AND($S42&lt;&gt;"",EDATE($D42,Milestones!$AA$77)&gt;=$S42),$V42,IF(AND($R42&lt;&gt;"",EDATE($D42,Milestones!$AA$77)&gt;=$R42),$U42,$T42)))=Milestones!$AB$77),TEXT(EDATE($D42,Milestones!$AA$77),"dd/mm/yy")&amp;" "&amp;Milestones!$AB$77&amp;" "&amp;Milestones!$AC$77&amp;";  ","")&amp;IF(AND(EDATE($D42,Milestones!$AA$78)&lt;=AsOfDate,IF($Q42=0,$W42,IF(AND($S42&lt;&gt;"",EDATE($D42,Milestones!$AA$78)&gt;=$S42),$V42,IF(AND($R42&lt;&gt;"",EDATE($D42,Milestones!$AA$78)&gt;=$R42),$U42,$T42)))=Milestones!$AB$78),TEXT(EDATE($D42,Milestones!$AA$78),"dd/mm/yy")&amp;" "&amp;Milestones!$AB$78&amp;" "&amp;Milestones!$AC$78&amp;";  ","")&amp;IF(AND(EDATE($D42,Milestones!$AA$79)&lt;=AsOfDate,IF($Q42=0,$W42,IF(AND($S42&lt;&gt;"",EDATE($D42,Milestones!$AA$79)&gt;=$S42),$V42,IF(AND($R42&lt;&gt;"",EDATE($D42,Milestones!$AA$79)&gt;=$R42),$U42,$T42)))=Milestones!$AB$79),TEXT(EDATE($D42,Milestones!$AA$79),"dd/mm/yy")&amp;" "&amp;Milestones!$AB$79&amp;" "&amp;Milestones!$AC$79&amp;";  ",""))</f>
        <v/>
      </c>
      <c r="K42" s="0" t="str">
        <f aca="false">IF(OR($A42="",$D42=""),"",IF(AND(EDATE($D42,Milestones!$AA$80)&lt;=AsOfDate,IF($Q42=0,$W42,IF(AND($S42&lt;&gt;"",EDATE($D42,Milestones!$AA$80)&gt;=$S42),$V42,IF(AND($R42&lt;&gt;"",EDATE($D42,Milestones!$AA$80)&gt;=$R42),$U42,$T42)))=Milestones!$AB$80),TEXT(EDATE($D42,Milestones!$AA$80),"dd/mm/yy")&amp;" "&amp;Milestones!$AB$80&amp;" "&amp;Milestones!$AC$80&amp;";  ","")&amp;IF(AND(EDATE($D42,Milestones!$AA$81)&lt;=AsOfDate,IF($Q42=0,$W42,IF(AND($S42&lt;&gt;"",EDATE($D42,Milestones!$AA$81)&gt;=$S42),$V42,IF(AND($R42&lt;&gt;"",EDATE($D42,Milestones!$AA$81)&gt;=$R42),$U42,$T42)))=Milestones!$AB$81),TEXT(EDATE($D42,Milestones!$AA$81),"dd/mm/yy")&amp;" "&amp;Milestones!$AB$81&amp;" "&amp;Milestones!$AC$81&amp;";  ","")&amp;IF(AND(EDATE($D42,Milestones!$AA$82)&lt;=AsOfDate,IF($Q42=0,$W42,IF(AND($S42&lt;&gt;"",EDATE($D42,Milestones!$AA$82)&gt;=$S42),$V42,IF(AND($R42&lt;&gt;"",EDATE($D42,Milestones!$AA$82)&gt;=$R42),$U42,$T42)))=Milestones!$AB$82),TEXT(EDATE($D42,Milestones!$AA$82),"dd/mm/yy")&amp;" "&amp;Milestones!$AB$82&amp;" "&amp;Milestones!$AC$82&amp;";  ","")&amp;IF(AND(EDATE($D42,Milestones!$AA$83)&lt;=AsOfDate,IF($Q42=0,$W42,IF(AND($S42&lt;&gt;"",EDATE($D42,Milestones!$AA$83)&gt;=$S42),$V42,IF(AND($R42&lt;&gt;"",EDATE($D42,Milestones!$AA$83)&gt;=$R42),$U42,$T42)))=Milestones!$AB$83),TEXT(EDATE($D42,Milestones!$AA$83),"dd/mm/yy")&amp;" "&amp;Milestones!$AB$83&amp;" "&amp;Milestones!$AC$83&amp;";  ","")&amp;IF(AND(EDATE($D42,Milestones!$AA$84)&lt;=AsOfDate,IF($Q42=0,$W42,IF(AND($S42&lt;&gt;"",EDATE($D42,Milestones!$AA$84)&gt;=$S42),$V42,IF(AND($R42&lt;&gt;"",EDATE($D42,Milestones!$AA$84)&gt;=$R42),$U42,$T42)))=Milestones!$AB$84),TEXT(EDATE($D42,Milestones!$AA$84),"dd/mm/yy")&amp;" "&amp;Milestones!$AB$84&amp;" "&amp;Milestones!$AC$84&amp;";  ","")&amp;IF(AND(EDATE($D42,Milestones!$AA$85)&lt;=AsOfDate,IF($Q42=0,$W42,IF(AND($S42&lt;&gt;"",EDATE($D42,Milestones!$AA$85)&gt;=$S42),$V42,IF(AND($R42&lt;&gt;"",EDATE($D42,Milestones!$AA$85)&gt;=$R42),$U42,$T42)))=Milestones!$AB$85),TEXT(EDATE($D42,Milestones!$AA$85),"dd/mm/yy")&amp;" "&amp;Milestones!$AB$85&amp;" "&amp;Milestones!$AC$85&amp;";  ","")&amp;IF(AND(EDATE($D42,Milestones!$AA$86)&lt;=AsOfDate,IF($Q42=0,$W42,IF(AND($S42&lt;&gt;"",EDATE($D42,Milestones!$AA$86)&gt;=$S42),$V42,IF(AND($R42&lt;&gt;"",EDATE($D42,Milestones!$AA$86)&gt;=$R42),$U42,$T42)))=Milestones!$AB$86),TEXT(EDATE($D42,Milestones!$AA$86),"dd/mm/yy")&amp;" "&amp;Milestones!$AB$86&amp;" "&amp;Milestones!$AC$86&amp;";  ","")&amp;IF(AND(EDATE($D42,Milestones!$AA$87)&lt;=AsOfDate,IF($Q42=0,$W42,IF(AND($S42&lt;&gt;"",EDATE($D42,Milestones!$AA$87)&gt;=$S42),$V42,IF(AND($R42&lt;&gt;"",EDATE($D42,Milestones!$AA$87)&gt;=$R42),$U42,$T42)))=Milestones!$AB$87),TEXT(EDATE($D42,Milestones!$AA$87),"dd/mm/yy")&amp;" "&amp;Milestones!$AB$87&amp;" "&amp;Milestones!$AC$87&amp;";  ","")&amp;IF(AND(EDATE($D42,Milestones!$AA$88)&lt;=AsOfDate,IF($Q42=0,$W42,IF(AND($S42&lt;&gt;"",EDATE($D42,Milestones!$AA$88)&gt;=$S42),$V42,IF(AND($R42&lt;&gt;"",EDATE($D42,Milestones!$AA$88)&gt;=$R42),$U42,$T42)))=Milestones!$AB$88),TEXT(EDATE($D42,Milestones!$AA$88),"dd/mm/yy")&amp;" "&amp;Milestones!$AB$88&amp;" "&amp;Milestones!$AC$88&amp;";  ","")&amp;IF(AND(EDATE($D42,Milestones!$AA$89)&lt;=AsOfDate,IF($Q42=0,$W42,IF(AND($S42&lt;&gt;"",EDATE($D42,Milestones!$AA$89)&gt;=$S42),$V42,IF(AND($R42&lt;&gt;"",EDATE($D42,Milestones!$AA$89)&gt;=$R42),$U42,$T42)))=Milestones!$AB$89),TEXT(EDATE($D42,Milestones!$AA$89),"dd/mm/yy")&amp;" "&amp;Milestones!$AB$89&amp;" "&amp;Milestones!$AC$89&amp;";  ","")&amp;IF(AND(EDATE($D42,Milestones!$AA$90)&lt;=AsOfDate,IF($Q42=0,$W42,IF(AND($S42&lt;&gt;"",EDATE($D42,Milestones!$AA$90)&gt;=$S42),$V42,IF(AND($R42&lt;&gt;"",EDATE($D42,Milestones!$AA$90)&gt;=$R42),$U42,$T42)))=Milestones!$AB$90),TEXT(EDATE($D42,Milestones!$AA$90),"dd/mm/yy")&amp;" "&amp;Milestones!$AB$90&amp;" "&amp;Milestones!$AC$90&amp;";  ","")&amp;IF(AND(EDATE($D42,Milestones!$AA$91)&lt;=AsOfDate,IF($Q42=0,$W42,IF(AND($S42&lt;&gt;"",EDATE($D42,Milestones!$AA$91)&gt;=$S42),$V42,IF(AND($R42&lt;&gt;"",EDATE($D42,Milestones!$AA$91)&gt;=$R42),$U42,$T42)))=Milestones!$AB$91),TEXT(EDATE($D42,Milestones!$AA$91),"dd/mm/yy")&amp;" "&amp;Milestones!$AB$91&amp;" "&amp;Milestones!$AC$91&amp;";  ","")&amp;IF(AND(EDATE($D42,Milestones!$AA$92)&lt;=AsOfDate,IF($Q42=0,$W42,IF(AND($S42&lt;&gt;"",EDATE($D42,Milestones!$AA$92)&gt;=$S42),$V42,IF(AND($R42&lt;&gt;"",EDATE($D42,Milestones!$AA$92)&gt;=$R42),$U42,$T42)))=Milestones!$AB$92),TEXT(EDATE($D42,Milestones!$AA$92),"dd/mm/yy")&amp;" "&amp;Milestones!$AB$92&amp;" "&amp;Milestones!$AC$92&amp;";  ","")&amp;IF(AND(EDATE($D42,Milestones!$AA$93)&lt;=AsOfDate,IF($Q42=0,$W42,IF(AND($S42&lt;&gt;"",EDATE($D42,Milestones!$AA$93)&gt;=$S42),$V42,IF(AND($R42&lt;&gt;"",EDATE($D42,Milestones!$AA$93)&gt;=$R42),$U42,$T42)))=Milestones!$AB$93),TEXT(EDATE($D42,Milestones!$AA$93),"dd/mm/yy")&amp;" "&amp;Milestones!$AB$93&amp;" "&amp;Milestones!$AC$93&amp;";  ","")&amp;IF(AND(EDATE($D42,Milestones!$AA$94)&lt;=AsOfDate,IF($Q42=0,$W42,IF(AND($S42&lt;&gt;"",EDATE($D42,Milestones!$AA$94)&gt;=$S42),$V42,IF(AND($R42&lt;&gt;"",EDATE($D42,Milestones!$AA$94)&gt;=$R42),$U42,$T42)))=Milestones!$AB$94),TEXT(EDATE($D42,Milestones!$AA$94),"dd/mm/yy")&amp;" "&amp;Milestones!$AB$94&amp;" "&amp;Milestones!$AC$94&amp;";  ","")&amp;IF(AND(EDATE($D42,Milestones!$AA$95)&lt;=AsOfDate,IF($Q42=0,$W42,IF(AND($S42&lt;&gt;"",EDATE($D42,Milestones!$AA$95)&gt;=$S42),$V42,IF(AND($R42&lt;&gt;"",EDATE($D42,Milestones!$AA$95)&gt;=$R42),$U42,$T42)))=Milestones!$AB$95),TEXT(EDATE($D42,Milestones!$AA$95),"dd/mm/yy")&amp;" "&amp;Milestones!$AB$95&amp;" "&amp;Milestones!$AC$95&amp;";  ","")&amp;IF(AND(EDATE($D42,Milestones!$AA$96)&lt;=AsOfDate,IF($Q42=0,$W42,IF(AND($S42&lt;&gt;"",EDATE($D42,Milestones!$AA$96)&gt;=$S42),$V42,IF(AND($R42&lt;&gt;"",EDATE($D42,Milestones!$AA$96)&gt;=$R42),$U42,$T42)))=Milestones!$AB$96),TEXT(EDATE($D42,Milestones!$AA$96),"dd/mm/yy")&amp;" "&amp;Milestones!$AB$96&amp;" "&amp;Milestones!$AC$96&amp;";  ","")&amp;IF(AND(EDATE($D42,Milestones!$AA$97)&lt;=AsOfDate,IF($Q42=0,$W42,IF(AND($S42&lt;&gt;"",EDATE($D42,Milestones!$AA$97)&gt;=$S42),$V42,IF(AND($R42&lt;&gt;"",EDATE($D42,Milestones!$AA$97)&gt;=$R42),$U42,$T42)))=Milestones!$AB$97),TEXT(EDATE($D42,Milestones!$AA$97),"dd/mm/yy")&amp;" "&amp;Milestones!$AB$97&amp;" "&amp;Milestones!$AC$97&amp;";  ","")&amp;IF(AND(EDATE($D42,Milestones!$AA$98)&lt;=AsOfDate,IF($Q42=0,$W42,IF(AND($S42&lt;&gt;"",EDATE($D42,Milestones!$AA$98)&gt;=$S42),$V42,IF(AND($R42&lt;&gt;"",EDATE($D42,Milestones!$AA$98)&gt;=$R42),$U42,$T42)))=Milestones!$AB$98),TEXT(EDATE($D42,Milestones!$AA$98),"dd/mm/yy")&amp;" "&amp;Milestones!$AB$98&amp;" "&amp;Milestones!$AC$98&amp;";  ","")&amp;IF(AND(EDATE($D42,Milestones!$AA$99)&lt;=AsOfDate,IF($Q42=0,$W42,IF(AND($S42&lt;&gt;"",EDATE($D42,Milestones!$AA$99)&gt;=$S42),$V42,IF(AND($R42&lt;&gt;"",EDATE($D42,Milestones!$AA$99)&gt;=$R42),$U42,$T42)))=Milestones!$AB$99),TEXT(EDATE($D42,Milestones!$AA$99),"dd/mm/yy")&amp;" "&amp;Milestones!$AB$99&amp;" "&amp;Milestones!$AC$99&amp;";  ",""))</f>
        <v/>
      </c>
      <c r="L42" s="0" t="str">
        <f aca="false">IF(OR($A42="",$D42=""),"",IF(AND(EDATE($D42,Milestones!$AA$100)&lt;=AsOfDate,IF($Q42=0,$W42,IF(AND($S42&lt;&gt;"",EDATE($D42,Milestones!$AA$100)&gt;=$S42),$V42,IF(AND($R42&lt;&gt;"",EDATE($D42,Milestones!$AA$100)&gt;=$R42),$U42,$T42)))=Milestones!$AB$100),TEXT(EDATE($D42,Milestones!$AA$100),"dd/mm/yy")&amp;" "&amp;Milestones!$AB$100&amp;" "&amp;Milestones!$AC$100&amp;";  ","")&amp;IF(AND(EDATE($D42,Milestones!$AA$101)&lt;=AsOfDate,IF($Q42=0,$W42,IF(AND($S42&lt;&gt;"",EDATE($D42,Milestones!$AA$101)&gt;=$S42),$V42,IF(AND($R42&lt;&gt;"",EDATE($D42,Milestones!$AA$101)&gt;=$R42),$U42,$T42)))=Milestones!$AB$101),TEXT(EDATE($D42,Milestones!$AA$101),"dd/mm/yy")&amp;" "&amp;Milestones!$AB$101&amp;" "&amp;Milestones!$AC$101&amp;";  ","")&amp;IF(AND(EDATE($D42,Milestones!$AA$102)&lt;=AsOfDate,IF($Q42=0,$W42,IF(AND($S42&lt;&gt;"",EDATE($D42,Milestones!$AA$102)&gt;=$S42),$V42,IF(AND($R42&lt;&gt;"",EDATE($D42,Milestones!$AA$102)&gt;=$R42),$U42,$T42)))=Milestones!$AB$102),TEXT(EDATE($D42,Milestones!$AA$102),"dd/mm/yy")&amp;" "&amp;Milestones!$AB$102&amp;" "&amp;Milestones!$AC$102&amp;";  ","")&amp;IF(AND(EDATE($D42,Milestones!$AA$103)&lt;=AsOfDate,IF($Q42=0,$W42,IF(AND($S42&lt;&gt;"",EDATE($D42,Milestones!$AA$103)&gt;=$S42),$V42,IF(AND($R42&lt;&gt;"",EDATE($D42,Milestones!$AA$103)&gt;=$R42),$U42,$T42)))=Milestones!$AB$103),TEXT(EDATE($D42,Milestones!$AA$103),"dd/mm/yy")&amp;" "&amp;Milestones!$AB$103&amp;" "&amp;Milestones!$AC$103&amp;";  ","")&amp;IF(AND(EDATE($D42,Milestones!$AA$104)&lt;=AsOfDate,IF($Q42=0,$W42,IF(AND($S42&lt;&gt;"",EDATE($D42,Milestones!$AA$104)&gt;=$S42),$V42,IF(AND($R42&lt;&gt;"",EDATE($D42,Milestones!$AA$104)&gt;=$R42),$U42,$T42)))=Milestones!$AB$104),TEXT(EDATE($D42,Milestones!$AA$104),"dd/mm/yy")&amp;" "&amp;Milestones!$AB$104&amp;" "&amp;Milestones!$AC$104&amp;";  ","")&amp;IF(AND(EDATE($D42,Milestones!$AA$105)&lt;=AsOfDate,IF($Q42=0,$W42,IF(AND($S42&lt;&gt;"",EDATE($D42,Milestones!$AA$105)&gt;=$S42),$V42,IF(AND($R42&lt;&gt;"",EDATE($D42,Milestones!$AA$105)&gt;=$R42),$U42,$T42)))=Milestones!$AB$105),TEXT(EDATE($D42,Milestones!$AA$105),"dd/mm/yy")&amp;" "&amp;Milestones!$AB$105&amp;" "&amp;Milestones!$AC$105&amp;";  ","")&amp;IF(AND(EDATE($D42,Milestones!$AA$106)&lt;=AsOfDate,IF($Q42=0,$W42,IF(AND($S42&lt;&gt;"",EDATE($D42,Milestones!$AA$106)&gt;=$S42),$V42,IF(AND($R42&lt;&gt;"",EDATE($D42,Milestones!$AA$106)&gt;=$R42),$U42,$T42)))=Milestones!$AB$106),TEXT(EDATE($D42,Milestones!$AA$106),"dd/mm/yy")&amp;" "&amp;Milestones!$AB$106&amp;" "&amp;Milestones!$AC$106&amp;";  ","")&amp;IF(AND(EDATE($D42,Milestones!$AA$107)&lt;=AsOfDate,IF($Q42=0,$W42,IF(AND($S42&lt;&gt;"",EDATE($D42,Milestones!$AA$107)&gt;=$S42),$V42,IF(AND($R42&lt;&gt;"",EDATE($D42,Milestones!$AA$107)&gt;=$R42),$U42,$T42)))=Milestones!$AB$107),TEXT(EDATE($D42,Milestones!$AA$107),"dd/mm/yy")&amp;" "&amp;Milestones!$AB$107&amp;" "&amp;Milestones!$AC$107&amp;";  ","")&amp;IF(AND(EDATE($D42,Milestones!$AA$108)&lt;=AsOfDate,IF($Q42=0,$W42,IF(AND($S42&lt;&gt;"",EDATE($D42,Milestones!$AA$108)&gt;=$S42),$V42,IF(AND($R42&lt;&gt;"",EDATE($D42,Milestones!$AA$108)&gt;=$R42),$U42,$T42)))=Milestones!$AB$108),TEXT(EDATE($D42,Milestones!$AA$108),"dd/mm/yy")&amp;" "&amp;Milestones!$AB$108&amp;" "&amp;Milestones!$AC$108&amp;";  ","")&amp;IF(AND(EDATE($D42,Milestones!$AA$109)&lt;=AsOfDate,IF($Q42=0,$W42,IF(AND($S42&lt;&gt;"",EDATE($D42,Milestones!$AA$109)&gt;=$S42),$V42,IF(AND($R42&lt;&gt;"",EDATE($D42,Milestones!$AA$109)&gt;=$R42),$U42,$T42)))=Milestones!$AB$109),TEXT(EDATE($D42,Milestones!$AA$109),"dd/mm/yy")&amp;" "&amp;Milestones!$AB$109&amp;" "&amp;Milestones!$AC$109&amp;";  ","")&amp;IF(AND(EDATE($D42,Milestones!$AA$110)&lt;=AsOfDate,IF($Q42=0,$W42,IF(AND($S42&lt;&gt;"",EDATE($D42,Milestones!$AA$110)&gt;=$S42),$V42,IF(AND($R42&lt;&gt;"",EDATE($D42,Milestones!$AA$110)&gt;=$R42),$U42,$T42)))=Milestones!$AB$110),TEXT(EDATE($D42,Milestones!$AA$110),"dd/mm/yy")&amp;" "&amp;Milestones!$AB$110&amp;" "&amp;Milestones!$AC$110&amp;";  ","")&amp;IF(AND(EDATE($D42,Milestones!$AA$111)&lt;=AsOfDate,IF($Q42=0,$W42,IF(AND($S42&lt;&gt;"",EDATE($D42,Milestones!$AA$111)&gt;=$S42),$V42,IF(AND($R42&lt;&gt;"",EDATE($D42,Milestones!$AA$111)&gt;=$R42),$U42,$T42)))=Milestones!$AB$111),TEXT(EDATE($D42,Milestones!$AA$111),"dd/mm/yy")&amp;" "&amp;Milestones!$AB$111&amp;" "&amp;Milestones!$AC$111&amp;";  ","")&amp;IF(AND(EDATE($D42,Milestones!$AA$112)&lt;=AsOfDate,IF($Q42=0,$W42,IF(AND($S42&lt;&gt;"",EDATE($D42,Milestones!$AA$112)&gt;=$S42),$V42,IF(AND($R42&lt;&gt;"",EDATE($D42,Milestones!$AA$112)&gt;=$R42),$U42,$T42)))=Milestones!$AB$112),TEXT(EDATE($D42,Milestones!$AA$112),"dd/mm/yy")&amp;" "&amp;Milestones!$AB$112&amp;" "&amp;Milestones!$AC$112&amp;";  ","")&amp;IF(AND(EDATE($D42,Milestones!$AA$113)&lt;=AsOfDate,IF($Q42=0,$W42,IF(AND($S42&lt;&gt;"",EDATE($D42,Milestones!$AA$113)&gt;=$S42),$V42,IF(AND($R42&lt;&gt;"",EDATE($D42,Milestones!$AA$113)&gt;=$R42),$U42,$T42)))=Milestones!$AB$113),TEXT(EDATE($D42,Milestones!$AA$113),"dd/mm/yy")&amp;" "&amp;Milestones!$AB$113&amp;" "&amp;Milestones!$AC$113&amp;";  ","")&amp;IF(AND(EDATE($D42,Milestones!$AA$114)&lt;=AsOfDate,IF($Q42=0,$W42,IF(AND($S42&lt;&gt;"",EDATE($D42,Milestones!$AA$114)&gt;=$S42),$V42,IF(AND($R42&lt;&gt;"",EDATE($D42,Milestones!$AA$114)&gt;=$R42),$U42,$T42)))=Milestones!$AB$114),TEXT(EDATE($D42,Milestones!$AA$114),"dd/mm/yy")&amp;" "&amp;Milestones!$AB$114&amp;" "&amp;Milestones!$AC$114&amp;";  ","")&amp;IF(AND(EDATE($D42,Milestones!$AA$115)&lt;=AsOfDate,IF($Q42=0,$W42,IF(AND($S42&lt;&gt;"",EDATE($D42,Milestones!$AA$115)&gt;=$S42),$V42,IF(AND($R42&lt;&gt;"",EDATE($D42,Milestones!$AA$115)&gt;=$R42),$U42,$T42)))=Milestones!$AB$115),TEXT(EDATE($D42,Milestones!$AA$115),"dd/mm/yy")&amp;" "&amp;Milestones!$AB$115&amp;" "&amp;Milestones!$AC$115&amp;";  ","")&amp;IF(AND(EDATE($D42,Milestones!$AA$116)&lt;=AsOfDate,IF($Q42=0,$W42,IF(AND($S42&lt;&gt;"",EDATE($D42,Milestones!$AA$116)&gt;=$S42),$V42,IF(AND($R42&lt;&gt;"",EDATE($D42,Milestones!$AA$116)&gt;=$R42),$U42,$T42)))=Milestones!$AB$116),TEXT(EDATE($D42,Milestones!$AA$116),"dd/mm/yy")&amp;" "&amp;Milestones!$AB$116&amp;" "&amp;Milestones!$AC$116&amp;";  ","")&amp;IF(AND(EDATE($D42,Milestones!$AA$117)&lt;=AsOfDate,IF($Q42=0,$W42,IF(AND($S42&lt;&gt;"",EDATE($D42,Milestones!$AA$117)&gt;=$S42),$V42,IF(AND($R42&lt;&gt;"",EDATE($D42,Milestones!$AA$117)&gt;=$R42),$U42,$T42)))=Milestones!$AB$117),TEXT(EDATE($D42,Milestones!$AA$117),"dd/mm/yy")&amp;" "&amp;Milestones!$AB$117&amp;" "&amp;Milestones!$AC$117&amp;";  ","")&amp;IF(AND(EDATE($D42,Milestones!$AA$118)&lt;=AsOfDate,IF($Q42=0,$W42,IF(AND($S42&lt;&gt;"",EDATE($D42,Milestones!$AA$118)&gt;=$S42),$V42,IF(AND($R42&lt;&gt;"",EDATE($D42,Milestones!$AA$118)&gt;=$R42),$U42,$T42)))=Milestones!$AB$118),TEXT(EDATE($D42,Milestones!$AA$118),"dd/mm/yy")&amp;" "&amp;Milestones!$AB$118&amp;" "&amp;Milestones!$AC$118&amp;";  ","")&amp;IF(AND(EDATE($D42,Milestones!$AA$119)&lt;=AsOfDate,IF($Q42=0,$W42,IF(AND($S42&lt;&gt;"",EDATE($D42,Milestones!$AA$119)&gt;=$S42),$V42,IF(AND($R42&lt;&gt;"",EDATE($D42,Milestones!$AA$119)&gt;=$R42),$U42,$T42)))=Milestones!$AB$119),TEXT(EDATE($D42,Milestones!$AA$119),"dd/mm/yy")&amp;" "&amp;Milestones!$AB$119&amp;" "&amp;Milestones!$AC$119&amp;";  ",""))</f>
        <v/>
      </c>
      <c r="M42" s="0" t="str">
        <f aca="false">IF(OR($A42="",$D42=""),"",IF(AND(EDATE($D42,Milestones!$AA$120)&lt;=AsOfDate,IF($Q42=0,$W42,IF(AND($S42&lt;&gt;"",EDATE($D42,Milestones!$AA$120)&gt;=$S42),$V42,IF(AND($R42&lt;&gt;"",EDATE($D42,Milestones!$AA$120)&gt;=$R42),$U42,$T42)))=Milestones!$AB$120),TEXT(EDATE($D42,Milestones!$AA$120),"dd/mm/yy")&amp;" "&amp;Milestones!$AB$120&amp;" "&amp;Milestones!$AC$120&amp;";  ","")&amp;IF(AND(EDATE($D42,Milestones!$AA$121)&lt;=AsOfDate,IF($Q42=0,$W42,IF(AND($S42&lt;&gt;"",EDATE($D42,Milestones!$AA$121)&gt;=$S42),$V42,IF(AND($R42&lt;&gt;"",EDATE($D42,Milestones!$AA$121)&gt;=$R42),$U42,$T42)))=Milestones!$AB$121),TEXT(EDATE($D42,Milestones!$AA$121),"dd/mm/yy")&amp;" "&amp;Milestones!$AB$121&amp;" "&amp;Milestones!$AC$121&amp;";  ","")&amp;IF(AND(EDATE($D42,Milestones!$AA$122)&lt;=AsOfDate,IF($Q42=0,$W42,IF(AND($S42&lt;&gt;"",EDATE($D42,Milestones!$AA$122)&gt;=$S42),$V42,IF(AND($R42&lt;&gt;"",EDATE($D42,Milestones!$AA$122)&gt;=$R42),$U42,$T42)))=Milestones!$AB$122),TEXT(EDATE($D42,Milestones!$AA$122),"dd/mm/yy")&amp;" "&amp;Milestones!$AB$122&amp;" "&amp;Milestones!$AC$122&amp;";  ","")&amp;IF(AND(EDATE($D42,Milestones!$AA$123)&lt;=AsOfDate,IF($Q42=0,$W42,IF(AND($S42&lt;&gt;"",EDATE($D42,Milestones!$AA$123)&gt;=$S42),$V42,IF(AND($R42&lt;&gt;"",EDATE($D42,Milestones!$AA$123)&gt;=$R42),$U42,$T42)))=Milestones!$AB$123),TEXT(EDATE($D42,Milestones!$AA$123),"dd/mm/yy")&amp;" "&amp;Milestones!$AB$123&amp;" "&amp;Milestones!$AC$123&amp;";  ","")&amp;IF(AND(EDATE($D42,Milestones!$AA$124)&lt;=AsOfDate,IF($Q42=0,$W42,IF(AND($S42&lt;&gt;"",EDATE($D42,Milestones!$AA$124)&gt;=$S42),$V42,IF(AND($R42&lt;&gt;"",EDATE($D42,Milestones!$AA$124)&gt;=$R42),$U42,$T42)))=Milestones!$AB$124),TEXT(EDATE($D42,Milestones!$AA$124),"dd/mm/yy")&amp;" "&amp;Milestones!$AB$124&amp;" "&amp;Milestones!$AC$124&amp;";  ","")&amp;IF(AND(EDATE($D42,Milestones!$AA$125)&lt;=AsOfDate,IF($Q42=0,$W42,IF(AND($S42&lt;&gt;"",EDATE($D42,Milestones!$AA$125)&gt;=$S42),$V42,IF(AND($R42&lt;&gt;"",EDATE($D42,Milestones!$AA$125)&gt;=$R42),$U42,$T42)))=Milestones!$AB$125),TEXT(EDATE($D42,Milestones!$AA$125),"dd/mm/yy")&amp;" "&amp;Milestones!$AB$125&amp;" "&amp;Milestones!$AC$125&amp;";  ","")&amp;IF(AND(EDATE($D42,Milestones!$AA$126)&lt;=AsOfDate,IF($Q42=0,$W42,IF(AND($S42&lt;&gt;"",EDATE($D42,Milestones!$AA$126)&gt;=$S42),$V42,IF(AND($R42&lt;&gt;"",EDATE($D42,Milestones!$AA$126)&gt;=$R42),$U42,$T42)))=Milestones!$AB$126),TEXT(EDATE($D42,Milestones!$AA$126),"dd/mm/yy")&amp;" "&amp;Milestones!$AB$126&amp;" "&amp;Milestones!$AC$126&amp;";  ","")&amp;IF(AND(EDATE($D42,Milestones!$AA$127)&lt;=AsOfDate,IF($Q42=0,$W42,IF(AND($S42&lt;&gt;"",EDATE($D42,Milestones!$AA$127)&gt;=$S42),$V42,IF(AND($R42&lt;&gt;"",EDATE($D42,Milestones!$AA$127)&gt;=$R42),$U42,$T42)))=Milestones!$AB$127),TEXT(EDATE($D42,Milestones!$AA$127),"dd/mm/yy")&amp;" "&amp;Milestones!$AB$127&amp;" "&amp;Milestones!$AC$127&amp;";  ","")&amp;IF(AND(EDATE($D42,Milestones!$AA$128)&lt;=AsOfDate,IF($Q42=0,$W42,IF(AND($S42&lt;&gt;"",EDATE($D42,Milestones!$AA$128)&gt;=$S42),$V42,IF(AND($R42&lt;&gt;"",EDATE($D42,Milestones!$AA$128)&gt;=$R42),$U42,$T42)))=Milestones!$AB$128),TEXT(EDATE($D42,Milestones!$AA$128),"dd/mm/yy")&amp;" "&amp;Milestones!$AB$128&amp;" "&amp;Milestones!$AC$128&amp;";  ","")&amp;IF(AND(EDATE($D42,Milestones!$AA$129)&lt;=AsOfDate,IF($Q42=0,$W42,IF(AND($S42&lt;&gt;"",EDATE($D42,Milestones!$AA$129)&gt;=$S42),$V42,IF(AND($R42&lt;&gt;"",EDATE($D42,Milestones!$AA$129)&gt;=$R42),$U42,$T42)))=Milestones!$AB$129),TEXT(EDATE($D42,Milestones!$AA$129),"dd/mm/yy")&amp;" "&amp;Milestones!$AB$129&amp;" "&amp;Milestones!$AC$129&amp;";  ","")&amp;IF(AND(EDATE($D42,Milestones!$AA$130)&lt;=AsOfDate,IF($Q42=0,$W42,IF(AND($S42&lt;&gt;"",EDATE($D42,Milestones!$AA$130)&gt;=$S42),$V42,IF(AND($R42&lt;&gt;"",EDATE($D42,Milestones!$AA$130)&gt;=$R42),$U42,$T42)))=Milestones!$AB$130),TEXT(EDATE($D42,Milestones!$AA$130),"dd/mm/yy")&amp;" "&amp;Milestones!$AB$130&amp;" "&amp;Milestones!$AC$130&amp;";  ","")&amp;IF(AND(EDATE($D42,Milestones!$AA$131)&lt;=AsOfDate,IF($Q42=0,$W42,IF(AND($S42&lt;&gt;"",EDATE($D42,Milestones!$AA$131)&gt;=$S42),$V42,IF(AND($R42&lt;&gt;"",EDATE($D42,Milestones!$AA$131)&gt;=$R42),$U42,$T42)))=Milestones!$AB$131),TEXT(EDATE($D42,Milestones!$AA$131),"dd/mm/yy")&amp;" "&amp;Milestones!$AB$131&amp;" "&amp;Milestones!$AC$131&amp;";  ","")&amp;IF(AND(EDATE($D42,Milestones!$AA$132)&lt;=AsOfDate,IF($Q42=0,$W42,IF(AND($S42&lt;&gt;"",EDATE($D42,Milestones!$AA$132)&gt;=$S42),$V42,IF(AND($R42&lt;&gt;"",EDATE($D42,Milestones!$AA$132)&gt;=$R42),$U42,$T42)))=Milestones!$AB$132),TEXT(EDATE($D42,Milestones!$AA$132),"dd/mm/yy")&amp;" "&amp;Milestones!$AB$132&amp;" "&amp;Milestones!$AC$132&amp;";  ","")&amp;IF(AND(EDATE($D42,Milestones!$AA$133)&lt;=AsOfDate,IF($Q42=0,$W42,IF(AND($S42&lt;&gt;"",EDATE($D42,Milestones!$AA$133)&gt;=$S42),$V42,IF(AND($R42&lt;&gt;"",EDATE($D42,Milestones!$AA$133)&gt;=$R42),$U42,$T42)))=Milestones!$AB$133),TEXT(EDATE($D42,Milestones!$AA$133),"dd/mm/yy")&amp;" "&amp;Milestones!$AB$133&amp;" "&amp;Milestones!$AC$133&amp;";  ","")&amp;IF(AND(EDATE($D42,Milestones!$AA$134)&lt;=AsOfDate,IF($Q42=0,$W42,IF(AND($S42&lt;&gt;"",EDATE($D42,Milestones!$AA$134)&gt;=$S42),$V42,IF(AND($R42&lt;&gt;"",EDATE($D42,Milestones!$AA$134)&gt;=$R42),$U42,$T42)))=Milestones!$AB$134),TEXT(EDATE($D42,Milestones!$AA$134),"dd/mm/yy")&amp;" "&amp;Milestones!$AB$134&amp;" "&amp;Milestones!$AC$134&amp;";  ","")&amp;IF(AND(EDATE($D42,Milestones!$AA$135)&lt;=AsOfDate,IF($Q42=0,$W42,IF(AND($S42&lt;&gt;"",EDATE($D42,Milestones!$AA$135)&gt;=$S42),$V42,IF(AND($R42&lt;&gt;"",EDATE($D42,Milestones!$AA$135)&gt;=$R42),$U42,$T42)))=Milestones!$AB$135),TEXT(EDATE($D42,Milestones!$AA$135),"dd/mm/yy")&amp;" "&amp;Milestones!$AB$135&amp;" "&amp;Milestones!$AC$135&amp;";  ","")&amp;IF(AND(EDATE($D42,Milestones!$AA$136)&lt;=AsOfDate,IF($Q42=0,$W42,IF(AND($S42&lt;&gt;"",EDATE($D42,Milestones!$AA$136)&gt;=$S42),$V42,IF(AND($R42&lt;&gt;"",EDATE($D42,Milestones!$AA$136)&gt;=$R42),$U42,$T42)))=Milestones!$AB$136),TEXT(EDATE($D42,Milestones!$AA$136),"dd/mm/yy")&amp;" "&amp;Milestones!$AB$136&amp;" "&amp;Milestones!$AC$136&amp;";  ","")&amp;IF(AND(EDATE($D42,Milestones!$AA$137)&lt;=AsOfDate,IF($Q42=0,$W42,IF(AND($S42&lt;&gt;"",EDATE($D42,Milestones!$AA$137)&gt;=$S42),$V42,IF(AND($R42&lt;&gt;"",EDATE($D42,Milestones!$AA$137)&gt;=$R42),$U42,$T42)))=Milestones!$AB$137),TEXT(EDATE($D42,Milestones!$AA$137),"dd/mm/yy")&amp;" "&amp;Milestones!$AB$137&amp;" "&amp;Milestones!$AC$137&amp;";  ","")&amp;IF(AND(EDATE($D42,Milestones!$AA$138)&lt;=AsOfDate,IF($Q42=0,$W42,IF(AND($S42&lt;&gt;"",EDATE($D42,Milestones!$AA$138)&gt;=$S42),$V42,IF(AND($R42&lt;&gt;"",EDATE($D42,Milestones!$AA$138)&gt;=$R42),$U42,$T42)))=Milestones!$AB$138),TEXT(EDATE($D42,Milestones!$AA$138),"dd/mm/yy")&amp;" "&amp;Milestones!$AB$138&amp;" "&amp;Milestones!$AC$138&amp;";  ","")&amp;IF(AND(EDATE($D42,Milestones!$AA$139)&lt;=AsOfDate,IF($Q42=0,$W42,IF(AND($S42&lt;&gt;"",EDATE($D42,Milestones!$AA$139)&gt;=$S42),$V42,IF(AND($R42&lt;&gt;"",EDATE($D42,Milestones!$AA$139)&gt;=$R42),$U42,$T42)))=Milestones!$AB$139),TEXT(EDATE($D42,Milestones!$AA$139),"dd/mm/yy")&amp;" "&amp;Milestones!$AB$139&amp;" "&amp;Milestones!$AC$139&amp;";  ",""))</f>
        <v/>
      </c>
      <c r="N42" s="0" t="str">
        <f aca="false">IF(OR($A42="",$D42=""),"",IF(AND(EDATE($D42,Milestones!$AA$140)&lt;=AsOfDate,IF($Q42=0,$W42,IF(AND($S42&lt;&gt;"",EDATE($D42,Milestones!$AA$140)&gt;=$S42),$V42,IF(AND($R42&lt;&gt;"",EDATE($D42,Milestones!$AA$140)&gt;=$R42),$U42,$T42)))=Milestones!$AB$140),TEXT(EDATE($D42,Milestones!$AA$140),"dd/mm/yy")&amp;" "&amp;Milestones!$AB$140&amp;" "&amp;Milestones!$AC$140&amp;";  ","")&amp;IF(AND(EDATE($D42,Milestones!$AA$141)&lt;=AsOfDate,IF($Q42=0,$W42,IF(AND($S42&lt;&gt;"",EDATE($D42,Milestones!$AA$141)&gt;=$S42),$V42,IF(AND($R42&lt;&gt;"",EDATE($D42,Milestones!$AA$141)&gt;=$R42),$U42,$T42)))=Milestones!$AB$141),TEXT(EDATE($D42,Milestones!$AA$141),"dd/mm/yy")&amp;" "&amp;Milestones!$AB$141&amp;" "&amp;Milestones!$AC$141&amp;";  ","")&amp;IF(AND(EDATE($D42,Milestones!$AA$142)&lt;=AsOfDate,IF($Q42=0,$W42,IF(AND($S42&lt;&gt;"",EDATE($D42,Milestones!$AA$142)&gt;=$S42),$V42,IF(AND($R42&lt;&gt;"",EDATE($D42,Milestones!$AA$142)&gt;=$R42),$U42,$T42)))=Milestones!$AB$142),TEXT(EDATE($D42,Milestones!$AA$142),"dd/mm/yy")&amp;" "&amp;Milestones!$AB$142&amp;" "&amp;Milestones!$AC$142&amp;";  ","")&amp;IF(AND(EDATE($D42,Milestones!$AA$143)&lt;=AsOfDate,IF($Q42=0,$W42,IF(AND($S42&lt;&gt;"",EDATE($D42,Milestones!$AA$143)&gt;=$S42),$V42,IF(AND($R42&lt;&gt;"",EDATE($D42,Milestones!$AA$143)&gt;=$R42),$U42,$T42)))=Milestones!$AB$143),TEXT(EDATE($D42,Milestones!$AA$143),"dd/mm/yy")&amp;" "&amp;Milestones!$AB$143&amp;" "&amp;Milestones!$AC$143&amp;";  ","")&amp;IF(AND(EDATE($D42,Milestones!$AA$144)&lt;=AsOfDate,IF($Q42=0,$W42,IF(AND($S42&lt;&gt;"",EDATE($D42,Milestones!$AA$144)&gt;=$S42),$V42,IF(AND($R42&lt;&gt;"",EDATE($D42,Milestones!$AA$144)&gt;=$R42),$U42,$T42)))=Milestones!$AB$144),TEXT(EDATE($D42,Milestones!$AA$144),"dd/mm/yy")&amp;" "&amp;Milestones!$AB$144&amp;" "&amp;Milestones!$AC$144&amp;";  ","")&amp;IF(AND(EDATE($D42,Milestones!$AA$145)&lt;=AsOfDate,IF($Q42=0,$W42,IF(AND($S42&lt;&gt;"",EDATE($D42,Milestones!$AA$145)&gt;=$S42),$V42,IF(AND($R42&lt;&gt;"",EDATE($D42,Milestones!$AA$145)&gt;=$R42),$U42,$T42)))=Milestones!$AB$145),TEXT(EDATE($D42,Milestones!$AA$145),"dd/mm/yy")&amp;" "&amp;Milestones!$AB$145&amp;" "&amp;Milestones!$AC$145&amp;";  ","")&amp;IF(AND(EDATE($D42,Milestones!$AA$146)&lt;=AsOfDate,IF($Q42=0,$W42,IF(AND($S42&lt;&gt;"",EDATE($D42,Milestones!$AA$146)&gt;=$S42),$V42,IF(AND($R42&lt;&gt;"",EDATE($D42,Milestones!$AA$146)&gt;=$R42),$U42,$T42)))=Milestones!$AB$146),TEXT(EDATE($D42,Milestones!$AA$146),"dd/mm/yy")&amp;" "&amp;Milestones!$AB$146&amp;" "&amp;Milestones!$AC$146&amp;";  ","")&amp;IF(AND(EDATE($D42,Milestones!$AA$147)&lt;=AsOfDate,IF($Q42=0,$W42,IF(AND($S42&lt;&gt;"",EDATE($D42,Milestones!$AA$147)&gt;=$S42),$V42,IF(AND($R42&lt;&gt;"",EDATE($D42,Milestones!$AA$147)&gt;=$R42),$U42,$T42)))=Milestones!$AB$147),TEXT(EDATE($D42,Milestones!$AA$147),"dd/mm/yy")&amp;" "&amp;Milestones!$AB$147&amp;" "&amp;Milestones!$AC$147&amp;";  ","")&amp;IF(AND(EDATE($D42,Milestones!$AA$148)&lt;=AsOfDate,IF($Q42=0,$W42,IF(AND($S42&lt;&gt;"",EDATE($D42,Milestones!$AA$148)&gt;=$S42),$V42,IF(AND($R42&lt;&gt;"",EDATE($D42,Milestones!$AA$148)&gt;=$R42),$U42,$T42)))=Milestones!$AB$148),TEXT(EDATE($D42,Milestones!$AA$148),"dd/mm/yy")&amp;" "&amp;Milestones!$AB$148&amp;" "&amp;Milestones!$AC$148&amp;";  ","")&amp;IF(AND(EDATE($D42,Milestones!$AA$149)&lt;=AsOfDate,IF($Q42=0,$W42,IF(AND($S42&lt;&gt;"",EDATE($D42,Milestones!$AA$149)&gt;=$S42),$V42,IF(AND($R42&lt;&gt;"",EDATE($D42,Milestones!$AA$149)&gt;=$R42),$U42,$T42)))=Milestones!$AB$149),TEXT(EDATE($D42,Milestones!$AA$149),"dd/mm/yy")&amp;" "&amp;Milestones!$AB$149&amp;" "&amp;Milestones!$AC$149&amp;";  ","")&amp;IF(AND(EDATE($D42,Milestones!$AA$150)&lt;=AsOfDate,IF($Q42=0,$W42,IF(AND($S42&lt;&gt;"",EDATE($D42,Milestones!$AA$150)&gt;=$S42),$V42,IF(AND($R42&lt;&gt;"",EDATE($D42,Milestones!$AA$150)&gt;=$R42),$U42,$T42)))=Milestones!$AB$150),TEXT(EDATE($D42,Milestones!$AA$150),"dd/mm/yy")&amp;" "&amp;Milestones!$AB$150&amp;" "&amp;Milestones!$AC$150&amp;";  ","")&amp;IF(AND(EDATE($D42,Milestones!$AA$151)&lt;=AsOfDate,IF($Q42=0,$W42,IF(AND($S42&lt;&gt;"",EDATE($D42,Milestones!$AA$151)&gt;=$S42),$V42,IF(AND($R42&lt;&gt;"",EDATE($D42,Milestones!$AA$151)&gt;=$R42),$U42,$T42)))=Milestones!$AB$151),TEXT(EDATE($D42,Milestones!$AA$151),"dd/mm/yy")&amp;" "&amp;Milestones!$AB$151&amp;" "&amp;Milestones!$AC$151&amp;";  ","")&amp;IF(AND(EDATE($D42,Milestones!$AA$152)&lt;=AsOfDate,IF($Q42=0,$W42,IF(AND($S42&lt;&gt;"",EDATE($D42,Milestones!$AA$152)&gt;=$S42),$V42,IF(AND($R42&lt;&gt;"",EDATE($D42,Milestones!$AA$152)&gt;=$R42),$U42,$T42)))=Milestones!$AB$152),TEXT(EDATE($D42,Milestones!$AA$152),"dd/mm/yy")&amp;" "&amp;Milestones!$AB$152&amp;" "&amp;Milestones!$AC$152&amp;";  ","")&amp;IF(AND(EDATE($D42,Milestones!$AA$153)&lt;=AsOfDate,IF($Q42=0,$W42,IF(AND($S42&lt;&gt;"",EDATE($D42,Milestones!$AA$153)&gt;=$S42),$V42,IF(AND($R42&lt;&gt;"",EDATE($D42,Milestones!$AA$153)&gt;=$R42),$U42,$T42)))=Milestones!$AB$153),TEXT(EDATE($D42,Milestones!$AA$153),"dd/mm/yy")&amp;" "&amp;Milestones!$AB$153&amp;" "&amp;Milestones!$AC$153&amp;";  ","")&amp;IF(AND(EDATE($D42,Milestones!$AA$154)&lt;=AsOfDate,IF($Q42=0,$W42,IF(AND($S42&lt;&gt;"",EDATE($D42,Milestones!$AA$154)&gt;=$S42),$V42,IF(AND($R42&lt;&gt;"",EDATE($D42,Milestones!$AA$154)&gt;=$R42),$U42,$T42)))=Milestones!$AB$154),TEXT(EDATE($D42,Milestones!$AA$154),"dd/mm/yy")&amp;" "&amp;Milestones!$AB$154&amp;" "&amp;Milestones!$AC$154&amp;";  ","")&amp;IF(AND(EDATE($D42,Milestones!$AA$155)&lt;=AsOfDate,IF($Q42=0,$W42,IF(AND($S42&lt;&gt;"",EDATE($D42,Milestones!$AA$155)&gt;=$S42),$V42,IF(AND($R42&lt;&gt;"",EDATE($D42,Milestones!$AA$155)&gt;=$R42),$U42,$T42)))=Milestones!$AB$155),TEXT(EDATE($D42,Milestones!$AA$155),"dd/mm/yy")&amp;" "&amp;Milestones!$AB$155&amp;" "&amp;Milestones!$AC$155&amp;";  ","")&amp;IF(AND(EDATE($D42,Milestones!$AA$156)&lt;=AsOfDate,IF($Q42=0,$W42,IF(AND($S42&lt;&gt;"",EDATE($D42,Milestones!$AA$156)&gt;=$S42),$V42,IF(AND($R42&lt;&gt;"",EDATE($D42,Milestones!$AA$156)&gt;=$R42),$U42,$T42)))=Milestones!$AB$156),TEXT(EDATE($D42,Milestones!$AA$156),"dd/mm/yy")&amp;" "&amp;Milestones!$AB$156&amp;" "&amp;Milestones!$AC$156&amp;";  ","")&amp;IF(AND(EDATE($D42,Milestones!$AA$157)&lt;=AsOfDate,IF($Q42=0,$W42,IF(AND($S42&lt;&gt;"",EDATE($D42,Milestones!$AA$157)&gt;=$S42),$V42,IF(AND($R42&lt;&gt;"",EDATE($D42,Milestones!$AA$157)&gt;=$R42),$U42,$T42)))=Milestones!$AB$157),TEXT(EDATE($D42,Milestones!$AA$157),"dd/mm/yy")&amp;" "&amp;Milestones!$AB$157&amp;" "&amp;Milestones!$AC$157&amp;";  ","")&amp;IF(AND(EDATE($D42,Milestones!$AA$158)&lt;=AsOfDate,IF($Q42=0,$W42,IF(AND($S42&lt;&gt;"",EDATE($D42,Milestones!$AA$158)&gt;=$S42),$V42,IF(AND($R42&lt;&gt;"",EDATE($D42,Milestones!$AA$158)&gt;=$R42),$U42,$T42)))=Milestones!$AB$158),TEXT(EDATE($D42,Milestones!$AA$158),"dd/mm/yy")&amp;" "&amp;Milestones!$AB$158&amp;" "&amp;Milestones!$AC$158&amp;";  ","")&amp;IF(AND(EDATE($D42,Milestones!$AA$159)&lt;=AsOfDate,IF($Q42=0,$W42,IF(AND($S42&lt;&gt;"",EDATE($D42,Milestones!$AA$159)&gt;=$S42),$V42,IF(AND($R42&lt;&gt;"",EDATE($D42,Milestones!$AA$159)&gt;=$R42),$U42,$T42)))=Milestones!$AB$159),TEXT(EDATE($D42,Milestones!$AA$159),"dd/mm/yy")&amp;" "&amp;Milestones!$AB$159&amp;" "&amp;Milestones!$AC$159&amp;";  ",""))</f>
        <v/>
      </c>
      <c r="O42" s="0" t="str">
        <f aca="false">IF(OR($A42="",$D42=""),"",IF(AND(EDATE($D42,Milestones!$AA$160)&lt;=AsOfDate,IF($Q42=0,$W42,IF(AND($S42&lt;&gt;"",EDATE($D42,Milestones!$AA$160)&gt;=$S42),$V42,IF(AND($R42&lt;&gt;"",EDATE($D42,Milestones!$AA$160)&gt;=$R42),$U42,$T42)))=Milestones!$AB$160),TEXT(EDATE($D42,Milestones!$AA$160),"dd/mm/yy")&amp;" "&amp;Milestones!$AB$160&amp;" "&amp;Milestones!$AC$160&amp;";  ","")&amp;IF(AND(EDATE($D42,Milestones!$AA$161)&lt;=AsOfDate,IF($Q42=0,$W42,IF(AND($S42&lt;&gt;"",EDATE($D42,Milestones!$AA$161)&gt;=$S42),$V42,IF(AND($R42&lt;&gt;"",EDATE($D42,Milestones!$AA$161)&gt;=$R42),$U42,$T42)))=Milestones!$AB$161),TEXT(EDATE($D42,Milestones!$AA$161),"dd/mm/yy")&amp;" "&amp;Milestones!$AB$161&amp;" "&amp;Milestones!$AC$161&amp;";  ","")&amp;IF(AND(EDATE($D42,Milestones!$AA$162)&lt;=AsOfDate,IF($Q42=0,$W42,IF(AND($S42&lt;&gt;"",EDATE($D42,Milestones!$AA$162)&gt;=$S42),$V42,IF(AND($R42&lt;&gt;"",EDATE($D42,Milestones!$AA$162)&gt;=$R42),$U42,$T42)))=Milestones!$AB$162),TEXT(EDATE($D42,Milestones!$AA$162),"dd/mm/yy")&amp;" "&amp;Milestones!$AB$162&amp;" "&amp;Milestones!$AC$162&amp;";  ","")&amp;IF(AND(EDATE($D42,Milestones!$AA$163)&lt;=AsOfDate,IF($Q42=0,$W42,IF(AND($S42&lt;&gt;"",EDATE($D42,Milestones!$AA$163)&gt;=$S42),$V42,IF(AND($R42&lt;&gt;"",EDATE($D42,Milestones!$AA$163)&gt;=$R42),$U42,$T42)))=Milestones!$AB$163),TEXT(EDATE($D42,Milestones!$AA$163),"dd/mm/yy")&amp;" "&amp;Milestones!$AB$163&amp;" "&amp;Milestones!$AC$163&amp;";  ","")&amp;IF(AND(EDATE($D42,Milestones!$AA$164)&lt;=AsOfDate,IF($Q42=0,$W42,IF(AND($S42&lt;&gt;"",EDATE($D42,Milestones!$AA$164)&gt;=$S42),$V42,IF(AND($R42&lt;&gt;"",EDATE($D42,Milestones!$AA$164)&gt;=$R42),$U42,$T42)))=Milestones!$AB$164),TEXT(EDATE($D42,Milestones!$AA$164),"dd/mm/yy")&amp;" "&amp;Milestones!$AB$164&amp;" "&amp;Milestones!$AC$164&amp;";  ","")&amp;IF(AND(EDATE($D42,Milestones!$AA$165)&lt;=AsOfDate,IF($Q42=0,$W42,IF(AND($S42&lt;&gt;"",EDATE($D42,Milestones!$AA$165)&gt;=$S42),$V42,IF(AND($R42&lt;&gt;"",EDATE($D42,Milestones!$AA$165)&gt;=$R42),$U42,$T42)))=Milestones!$AB$165),TEXT(EDATE($D42,Milestones!$AA$165),"dd/mm/yy")&amp;" "&amp;Milestones!$AB$165&amp;" "&amp;Milestones!$AC$165&amp;";  ","")&amp;IF(AND(EDATE($D42,Milestones!$AA$166)&lt;=AsOfDate,IF($Q42=0,$W42,IF(AND($S42&lt;&gt;"",EDATE($D42,Milestones!$AA$166)&gt;=$S42),$V42,IF(AND($R42&lt;&gt;"",EDATE($D42,Milestones!$AA$166)&gt;=$R42),$U42,$T42)))=Milestones!$AB$166),TEXT(EDATE($D42,Milestones!$AA$166),"dd/mm/yy")&amp;" "&amp;Milestones!$AB$166&amp;" "&amp;Milestones!$AC$166&amp;";  ","")&amp;IF(AND(EDATE($D42,Milestones!$AA$167)&lt;=AsOfDate,IF($Q42=0,$W42,IF(AND($S42&lt;&gt;"",EDATE($D42,Milestones!$AA$167)&gt;=$S42),$V42,IF(AND($R42&lt;&gt;"",EDATE($D42,Milestones!$AA$167)&gt;=$R42),$U42,$T42)))=Milestones!$AB$167),TEXT(EDATE($D42,Milestones!$AA$167),"dd/mm/yy")&amp;" "&amp;Milestones!$AB$167&amp;" "&amp;Milestones!$AC$167&amp;";  ","")&amp;IF(AND(EDATE($D42,Milestones!$AA$168)&lt;=AsOfDate,IF($Q42=0,$W42,IF(AND($S42&lt;&gt;"",EDATE($D42,Milestones!$AA$168)&gt;=$S42),$V42,IF(AND($R42&lt;&gt;"",EDATE($D42,Milestones!$AA$168)&gt;=$R42),$U42,$T42)))=Milestones!$AB$168),TEXT(EDATE($D42,Milestones!$AA$168),"dd/mm/yy")&amp;" "&amp;Milestones!$AB$168&amp;" "&amp;Milestones!$AC$168&amp;";  ","")&amp;IF(AND(EDATE($D42,Milestones!$AA$169)&lt;=AsOfDate,IF($Q42=0,$W42,IF(AND($S42&lt;&gt;"",EDATE($D42,Milestones!$AA$169)&gt;=$S42),$V42,IF(AND($R42&lt;&gt;"",EDATE($D42,Milestones!$AA$169)&gt;=$R42),$U42,$T42)))=Milestones!$AB$169),TEXT(EDATE($D42,Milestones!$AA$169),"dd/mm/yy")&amp;" "&amp;Milestones!$AB$169&amp;" "&amp;Milestones!$AC$169&amp;";  ","")&amp;IF(AND(EDATE($D42,Milestones!$AA$170)&lt;=AsOfDate,IF($Q42=0,$W42,IF(AND($S42&lt;&gt;"",EDATE($D42,Milestones!$AA$170)&gt;=$S42),$V42,IF(AND($R42&lt;&gt;"",EDATE($D42,Milestones!$AA$170)&gt;=$R42),$U42,$T42)))=Milestones!$AB$170),TEXT(EDATE($D42,Milestones!$AA$170),"dd/mm/yy")&amp;" "&amp;Milestones!$AB$170&amp;" "&amp;Milestones!$AC$170&amp;";  ","")&amp;IF(AND(EDATE($D42,Milestones!$AA$171)&lt;=AsOfDate,IF($Q42=0,$W42,IF(AND($S42&lt;&gt;"",EDATE($D42,Milestones!$AA$171)&gt;=$S42),$V42,IF(AND($R42&lt;&gt;"",EDATE($D42,Milestones!$AA$171)&gt;=$R42),$U42,$T42)))=Milestones!$AB$171),TEXT(EDATE($D42,Milestones!$AA$171),"dd/mm/yy")&amp;" "&amp;Milestones!$AB$171&amp;" "&amp;Milestones!$AC$171&amp;";  ","")&amp;IF(AND(EDATE($D42,Milestones!$AA$172)&lt;=AsOfDate,IF($Q42=0,$W42,IF(AND($S42&lt;&gt;"",EDATE($D42,Milestones!$AA$172)&gt;=$S42),$V42,IF(AND($R42&lt;&gt;"",EDATE($D42,Milestones!$AA$172)&gt;=$R42),$U42,$T42)))=Milestones!$AB$172),TEXT(EDATE($D42,Milestones!$AA$172),"dd/mm/yy")&amp;" "&amp;Milestones!$AB$172&amp;" "&amp;Milestones!$AC$172&amp;";  ","")&amp;IF(AND(EDATE($D42,Milestones!$AA$173)&lt;=AsOfDate,IF($Q42=0,$W42,IF(AND($S42&lt;&gt;"",EDATE($D42,Milestones!$AA$173)&gt;=$S42),$V42,IF(AND($R42&lt;&gt;"",EDATE($D42,Milestones!$AA$173)&gt;=$R42),$U42,$T42)))=Milestones!$AB$173),TEXT(EDATE($D42,Milestones!$AA$173),"dd/mm/yy")&amp;" "&amp;Milestones!$AB$173&amp;" "&amp;Milestones!$AC$173&amp;";  ","")&amp;IF(AND(EDATE($D42,Milestones!$AA$174)&lt;=AsOfDate,IF($Q42=0,$W42,IF(AND($S42&lt;&gt;"",EDATE($D42,Milestones!$AA$174)&gt;=$S42),$V42,IF(AND($R42&lt;&gt;"",EDATE($D42,Milestones!$AA$174)&gt;=$R42),$U42,$T42)))=Milestones!$AB$174),TEXT(EDATE($D42,Milestones!$AA$174),"dd/mm/yy")&amp;" "&amp;Milestones!$AB$174&amp;" "&amp;Milestones!$AC$174&amp;";  ","")&amp;IF(AND(EDATE($D42,Milestones!$AA$175)&lt;=AsOfDate,IF($Q42=0,$W42,IF(AND($S42&lt;&gt;"",EDATE($D42,Milestones!$AA$175)&gt;=$S42),$V42,IF(AND($R42&lt;&gt;"",EDATE($D42,Milestones!$AA$175)&gt;=$R42),$U42,$T42)))=Milestones!$AB$175),TEXT(EDATE($D42,Milestones!$AA$175),"dd/mm/yy")&amp;" "&amp;Milestones!$AB$175&amp;" "&amp;Milestones!$AC$175&amp;";  ","")&amp;IF(AND(EDATE($D42,Milestones!$AA$176)&lt;=AsOfDate,IF($Q42=0,$W42,IF(AND($S42&lt;&gt;"",EDATE($D42,Milestones!$AA$176)&gt;=$S42),$V42,IF(AND($R42&lt;&gt;"",EDATE($D42,Milestones!$AA$176)&gt;=$R42),$U42,$T42)))=Milestones!$AB$176),TEXT(EDATE($D42,Milestones!$AA$176),"dd/mm/yy")&amp;" "&amp;Milestones!$AB$176&amp;" "&amp;Milestones!$AC$176&amp;";  ","")&amp;IF(AND(EDATE($D42,Milestones!$AA$177)&lt;=AsOfDate,IF($Q42=0,$W42,IF(AND($S42&lt;&gt;"",EDATE($D42,Milestones!$AA$177)&gt;=$S42),$V42,IF(AND($R42&lt;&gt;"",EDATE($D42,Milestones!$AA$177)&gt;=$R42),$U42,$T42)))=Milestones!$AB$177),TEXT(EDATE($D42,Milestones!$AA$177),"dd/mm/yy")&amp;" "&amp;Milestones!$AB$177&amp;" "&amp;Milestones!$AC$177&amp;";  ","")&amp;IF(AND(EDATE($D42,Milestones!$AA$178)&lt;=AsOfDate,IF($Q42=0,$W42,IF(AND($S42&lt;&gt;"",EDATE($D42,Milestones!$AA$178)&gt;=$S42),$V42,IF(AND($R42&lt;&gt;"",EDATE($D42,Milestones!$AA$178)&gt;=$R42),$U42,$T42)))=Milestones!$AB$178),TEXT(EDATE($D42,Milestones!$AA$178),"dd/mm/yy")&amp;" "&amp;Milestones!$AB$178&amp;" "&amp;Milestones!$AC$178&amp;";  ","")&amp;IF(AND(EDATE($D42,Milestones!$AA$179)&lt;=AsOfDate,IF($Q42=0,$W42,IF(AND($S42&lt;&gt;"",EDATE($D42,Milestones!$AA$179)&gt;=$S42),$V42,IF(AND($R42&lt;&gt;"",EDATE($D42,Milestones!$AA$179)&gt;=$R42),$U42,$T42)))=Milestones!$AB$179),TEXT(EDATE($D42,Milestones!$AA$179),"dd/mm/yy")&amp;" "&amp;Milestones!$AB$179&amp;" "&amp;Milestones!$AC$179&amp;";  ",""))</f>
        <v/>
      </c>
      <c r="P42" s="0" t="str">
        <f aca="false">IF(OR($A42="",$D42=""),"",IF(AND(EDATE($D42,Milestones!$AA$180)&lt;=AsOfDate,IF($Q42=0,$W42,IF(AND($S42&lt;&gt;"",EDATE($D42,Milestones!$AA$180)&gt;=$S42),$V42,IF(AND($R42&lt;&gt;"",EDATE($D42,Milestones!$AA$180)&gt;=$R42),$U42,$T42)))=Milestones!$AB$180),TEXT(EDATE($D42,Milestones!$AA$180),"dd/mm/yy")&amp;" "&amp;Milestones!$AB$180&amp;" "&amp;Milestones!$AC$180&amp;";  ","")&amp;IF(AND(EDATE($D42,Milestones!$AA$181)&lt;=AsOfDate,IF($Q42=0,$W42,IF(AND($S42&lt;&gt;"",EDATE($D42,Milestones!$AA$181)&gt;=$S42),$V42,IF(AND($R42&lt;&gt;"",EDATE($D42,Milestones!$AA$181)&gt;=$R42),$U42,$T42)))=Milestones!$AB$181),TEXT(EDATE($D42,Milestones!$AA$181),"dd/mm/yy")&amp;" "&amp;Milestones!$AB$181&amp;" "&amp;Milestones!$AC$181&amp;";  ","")&amp;IF(AND(EDATE($D42,Milestones!$AA$182)&lt;=AsOfDate,IF($Q42=0,$W42,IF(AND($S42&lt;&gt;"",EDATE($D42,Milestones!$AA$182)&gt;=$S42),$V42,IF(AND($R42&lt;&gt;"",EDATE($D42,Milestones!$AA$182)&gt;=$R42),$U42,$T42)))=Milestones!$AB$182),TEXT(EDATE($D42,Milestones!$AA$182),"dd/mm/yy")&amp;" "&amp;Milestones!$AB$182&amp;" "&amp;Milestones!$AC$182&amp;";  ","")&amp;IF(AND(EDATE($D42,Milestones!$AA$183)&lt;=AsOfDate,IF($Q42=0,$W42,IF(AND($S42&lt;&gt;"",EDATE($D42,Milestones!$AA$183)&gt;=$S42),$V42,IF(AND($R42&lt;&gt;"",EDATE($D42,Milestones!$AA$183)&gt;=$R42),$U42,$T42)))=Milestones!$AB$183),TEXT(EDATE($D42,Milestones!$AA$183),"dd/mm/yy")&amp;" "&amp;Milestones!$AB$183&amp;" "&amp;Milestones!$AC$183&amp;";  ","")&amp;IF(AND(EDATE($D42,Milestones!$AA$184)&lt;=AsOfDate,IF($Q42=0,$W42,IF(AND($S42&lt;&gt;"",EDATE($D42,Milestones!$AA$184)&gt;=$S42),$V42,IF(AND($R42&lt;&gt;"",EDATE($D42,Milestones!$AA$184)&gt;=$R42),$U42,$T42)))=Milestones!$AB$184),TEXT(EDATE($D42,Milestones!$AA$184),"dd/mm/yy")&amp;" "&amp;Milestones!$AB$184&amp;" "&amp;Milestones!$AC$184&amp;";  ","")&amp;IF(AND(EDATE($D42,Milestones!$AA$185)&lt;=AsOfDate,IF($Q42=0,$W42,IF(AND($S42&lt;&gt;"",EDATE($D42,Milestones!$AA$185)&gt;=$S42),$V42,IF(AND($R42&lt;&gt;"",EDATE($D42,Milestones!$AA$185)&gt;=$R42),$U42,$T42)))=Milestones!$AB$185),TEXT(EDATE($D42,Milestones!$AA$185),"dd/mm/yy")&amp;" "&amp;Milestones!$AB$185&amp;" "&amp;Milestones!$AC$185&amp;";  ","")&amp;IF(AND(EDATE($D42,Milestones!$AA$186)&lt;=AsOfDate,IF($Q42=0,$W42,IF(AND($S42&lt;&gt;"",EDATE($D42,Milestones!$AA$186)&gt;=$S42),$V42,IF(AND($R42&lt;&gt;"",EDATE($D42,Milestones!$AA$186)&gt;=$R42),$U42,$T42)))=Milestones!$AB$186),TEXT(EDATE($D42,Milestones!$AA$186),"dd/mm/yy")&amp;" "&amp;Milestones!$AB$186&amp;" "&amp;Milestones!$AC$186&amp;";  ","")&amp;IF(AND(EDATE($D42,Milestones!$AA$187)&lt;=AsOfDate,IF($Q42=0,$W42,IF(AND($S42&lt;&gt;"",EDATE($D42,Milestones!$AA$187)&gt;=$S42),$V42,IF(AND($R42&lt;&gt;"",EDATE($D42,Milestones!$AA$187)&gt;=$R42),$U42,$T42)))=Milestones!$AB$187),TEXT(EDATE($D42,Milestones!$AA$187),"dd/mm/yy")&amp;" "&amp;Milestones!$AB$187&amp;" "&amp;Milestones!$AC$187&amp;";  ","")&amp;IF(AND(EDATE($D42,Milestones!$AA$188)&lt;=AsOfDate,IF($Q42=0,$W42,IF(AND($S42&lt;&gt;"",EDATE($D42,Milestones!$AA$188)&gt;=$S42),$V42,IF(AND($R42&lt;&gt;"",EDATE($D42,Milestones!$AA$188)&gt;=$R42),$U42,$T42)))=Milestones!$AB$188),TEXT(EDATE($D42,Milestones!$AA$188),"dd/mm/yy")&amp;" "&amp;Milestones!$AB$188&amp;" "&amp;Milestones!$AC$188&amp;";  ","")&amp;IF(AND(EDATE($D42,Milestones!$AA$189)&lt;=AsOfDate,IF($Q42=0,$W42,IF(AND($S42&lt;&gt;"",EDATE($D42,Milestones!$AA$189)&gt;=$S42),$V42,IF(AND($R42&lt;&gt;"",EDATE($D42,Milestones!$AA$189)&gt;=$R42),$U42,$T42)))=Milestones!$AB$189),TEXT(EDATE($D42,Milestones!$AA$189),"dd/mm/yy")&amp;" "&amp;Milestones!$AB$189&amp;" "&amp;Milestones!$AC$189&amp;";  ","")&amp;IF(AND(EDATE($D42,Milestones!$AA$190)&lt;=AsOfDate,IF($Q42=0,$W42,IF(AND($S42&lt;&gt;"",EDATE($D42,Milestones!$AA$190)&gt;=$S42),$V42,IF(AND($R42&lt;&gt;"",EDATE($D42,Milestones!$AA$190)&gt;=$R42),$U42,$T42)))=Milestones!$AB$190),TEXT(EDATE($D42,Milestones!$AA$190),"dd/mm/yy")&amp;" "&amp;Milestones!$AB$190&amp;" "&amp;Milestones!$AC$190&amp;";  ","")&amp;IF(AND(EDATE($D42,Milestones!$AA$191)&lt;=AsOfDate,IF($Q42=0,$W42,IF(AND($S42&lt;&gt;"",EDATE($D42,Milestones!$AA$191)&gt;=$S42),$V42,IF(AND($R42&lt;&gt;"",EDATE($D42,Milestones!$AA$191)&gt;=$R42),$U42,$T42)))=Milestones!$AB$191),TEXT(EDATE($D42,Milestones!$AA$191),"dd/mm/yy")&amp;" "&amp;Milestones!$AB$191&amp;" "&amp;Milestones!$AC$191&amp;";  ","")&amp;IF(AND(EDATE($D42,Milestones!$AA$192)&lt;=AsOfDate,IF($Q42=0,$W42,IF(AND($S42&lt;&gt;"",EDATE($D42,Milestones!$AA$192)&gt;=$S42),$V42,IF(AND($R42&lt;&gt;"",EDATE($D42,Milestones!$AA$192)&gt;=$R42),$U42,$T42)))=Milestones!$AB$192),TEXT(EDATE($D42,Milestones!$AA$192),"dd/mm/yy")&amp;" "&amp;Milestones!$AB$192&amp;" "&amp;Milestones!$AC$192&amp;";  ","")&amp;IF(AND(EDATE($D42,Milestones!$AA$193)&lt;=AsOfDate,IF($Q42=0,$W42,IF(AND($S42&lt;&gt;"",EDATE($D42,Milestones!$AA$193)&gt;=$S42),$V42,IF(AND($R42&lt;&gt;"",EDATE($D42,Milestones!$AA$193)&gt;=$R42),$U42,$T42)))=Milestones!$AB$193),TEXT(EDATE($D42,Milestones!$AA$193),"dd/mm/yy")&amp;" "&amp;Milestones!$AB$193&amp;" "&amp;Milestones!$AC$193&amp;";  ","")&amp;IF(AND(EDATE($D42,Milestones!$AA$194)&lt;=AsOfDate,IF($Q42=0,$W42,IF(AND($S42&lt;&gt;"",EDATE($D42,Milestones!$AA$194)&gt;=$S42),$V42,IF(AND($R42&lt;&gt;"",EDATE($D42,Milestones!$AA$194)&gt;=$R42),$U42,$T42)))=Milestones!$AB$194),TEXT(EDATE($D42,Milestones!$AA$194),"dd/mm/yy")&amp;" "&amp;Milestones!$AB$194&amp;" "&amp;Milestones!$AC$194&amp;";  ","")&amp;IF(AND(EDATE($D42,Milestones!$AA$195)&lt;=AsOfDate,IF($Q42=0,$W42,IF(AND($S42&lt;&gt;"",EDATE($D42,Milestones!$AA$195)&gt;=$S42),$V42,IF(AND($R42&lt;&gt;"",EDATE($D42,Milestones!$AA$195)&gt;=$R42),$U42,$T42)))=Milestones!$AB$195),TEXT(EDATE($D42,Milestones!$AA$195),"dd/mm/yy")&amp;" "&amp;Milestones!$AB$195&amp;" "&amp;Milestones!$AC$195&amp;";  ","")&amp;IF(AND(EDATE($D42,Milestones!$AA$196)&lt;=AsOfDate,IF($Q42=0,$W42,IF(AND($S42&lt;&gt;"",EDATE($D42,Milestones!$AA$196)&gt;=$S42),$V42,IF(AND($R42&lt;&gt;"",EDATE($D42,Milestones!$AA$196)&gt;=$R42),$U42,$T42)))=Milestones!$AB$196),TEXT(EDATE($D42,Milestones!$AA$196),"dd/mm/yy")&amp;" "&amp;Milestones!$AB$196&amp;" "&amp;Milestones!$AC$196&amp;";  ","")&amp;IF(AND(EDATE($D42,Milestones!$AA$197)&lt;=AsOfDate,IF($Q42=0,$W42,IF(AND($S42&lt;&gt;"",EDATE($D42,Milestones!$AA$197)&gt;=$S42),$V42,IF(AND($R42&lt;&gt;"",EDATE($D42,Milestones!$AA$197)&gt;=$R42),$U42,$T42)))=Milestones!$AB$197),TEXT(EDATE($D42,Milestones!$AA$197),"dd/mm/yy")&amp;" "&amp;Milestones!$AB$197&amp;" "&amp;Milestones!$AC$197&amp;";  ","")&amp;IF(AND(EDATE($D42,Milestones!$AA$198)&lt;=AsOfDate,IF($Q42=0,$W42,IF(AND($S42&lt;&gt;"",EDATE($D42,Milestones!$AA$198)&gt;=$S42),$V42,IF(AND($R42&lt;&gt;"",EDATE($D42,Milestones!$AA$198)&gt;=$R42),$U42,$T42)))=Milestones!$AB$198),TEXT(EDATE($D42,Milestones!$AA$198),"dd/mm/yy")&amp;" "&amp;Milestones!$AB$198&amp;" "&amp;Milestones!$AC$198&amp;";  ","")&amp;IF(AND(EDATE($D42,Milestones!$AA$199)&lt;=AsOfDate,IF($Q42=0,$W42,IF(AND($S42&lt;&gt;"",EDATE($D42,Milestones!$AA$199)&gt;=$S42),$V42,IF(AND($R42&lt;&gt;"",EDATE($D42,Milestones!$AA$199)&gt;=$R42),$U42,$T42)))=Milestones!$AB$199),TEXT(EDATE($D42,Milestones!$AA$199),"dd/mm/yy")&amp;" "&amp;Milestones!$AB$199&amp;" "&amp;Milestones!$AC$199&amp;";  ",""))</f>
        <v/>
      </c>
      <c r="Q42" s="0" t="str">
        <f aca="false">IF(Staff!$A42="","",Staff!$AG42)</f>
        <v/>
      </c>
      <c r="R42" s="0" t="str">
        <f aca="false">IF(Staff!$A42="","",Staff!$AI42)</f>
        <v/>
      </c>
      <c r="S42" s="0" t="str">
        <f aca="false">IF(Staff!$A42="","",Staff!$AJ42)</f>
        <v/>
      </c>
      <c r="T42" s="0" t="str">
        <f aca="false">IF(Staff!$A42="","",Staff!$AN42)</f>
        <v/>
      </c>
      <c r="U42" s="0" t="str">
        <f aca="false">IF(Staff!$A42="","",Staff!$AO42)</f>
        <v/>
      </c>
      <c r="V42" s="0" t="str">
        <f aca="false">IF(Staff!$A42="","",Staff!$AP42)</f>
        <v/>
      </c>
      <c r="W42" s="0" t="str">
        <f aca="false">IF(Staff!$A42="","",Staff!$AQ42)</f>
        <v/>
      </c>
    </row>
    <row r="43" customFormat="false" ht="15" hidden="false" customHeight="false" outlineLevel="0" collapsed="false">
      <c r="A43" s="13" t="str">
        <f aca="false">IF(Staff!$A43="","",Staff!$A43)</f>
        <v/>
      </c>
      <c r="B43" s="13" t="str">
        <f aca="false">IF(Staff!$A43="","",Staff!$B43)</f>
        <v/>
      </c>
      <c r="C43" s="13" t="str">
        <f aca="false">IF(Staff!$A43="","",Staff!$C43)</f>
        <v/>
      </c>
      <c r="D43" s="11" t="str">
        <f aca="false">IF(Staff!$A43="","",Staff!$AF43)</f>
        <v/>
      </c>
      <c r="E43" s="13" t="str">
        <f aca="false">IF(Staff!$A43="","",Staff!$O43)</f>
        <v/>
      </c>
      <c r="F43" s="13" t="str">
        <f aca="false">IF(E43="","",E43*HoursPerDay)</f>
        <v/>
      </c>
      <c r="G43" s="26" t="str">
        <f aca="false">IF($A43="","",H43&amp;I43&amp;J43&amp;K43&amp;L43&amp;M43&amp;N43&amp;O43&amp;P43)</f>
        <v/>
      </c>
      <c r="H43" s="0" t="str">
        <f aca="false">IF(OR($A43="",$D43=""),"",IF(AND(EDATE($D43,Milestones!$AA$20)&lt;=AsOfDate,IF($Q43=0,$W43,IF(AND($S43&lt;&gt;"",EDATE($D43,Milestones!$AA$20)&gt;=$S43),$V43,IF(AND($R43&lt;&gt;"",EDATE($D43,Milestones!$AA$20)&gt;=$R43),$U43,$T43)))=Milestones!$AB$20),TEXT(EDATE($D43,Milestones!$AA$20),"dd/mm/yy")&amp;" "&amp;Milestones!$AB$20&amp;" "&amp;Milestones!$AC$20&amp;";  ","")&amp;IF(AND(EDATE($D43,Milestones!$AA$21)&lt;=AsOfDate,IF($Q43=0,$W43,IF(AND($S43&lt;&gt;"",EDATE($D43,Milestones!$AA$21)&gt;=$S43),$V43,IF(AND($R43&lt;&gt;"",EDATE($D43,Milestones!$AA$21)&gt;=$R43),$U43,$T43)))=Milestones!$AB$21),TEXT(EDATE($D43,Milestones!$AA$21),"dd/mm/yy")&amp;" "&amp;Milestones!$AB$21&amp;" "&amp;Milestones!$AC$21&amp;";  ","")&amp;IF(AND(EDATE($D43,Milestones!$AA$22)&lt;=AsOfDate,IF($Q43=0,$W43,IF(AND($S43&lt;&gt;"",EDATE($D43,Milestones!$AA$22)&gt;=$S43),$V43,IF(AND($R43&lt;&gt;"",EDATE($D43,Milestones!$AA$22)&gt;=$R43),$U43,$T43)))=Milestones!$AB$22),TEXT(EDATE($D43,Milestones!$AA$22),"dd/mm/yy")&amp;" "&amp;Milestones!$AB$22&amp;" "&amp;Milestones!$AC$22&amp;";  ","")&amp;IF(AND(EDATE($D43,Milestones!$AA$23)&lt;=AsOfDate,IF($Q43=0,$W43,IF(AND($S43&lt;&gt;"",EDATE($D43,Milestones!$AA$23)&gt;=$S43),$V43,IF(AND($R43&lt;&gt;"",EDATE($D43,Milestones!$AA$23)&gt;=$R43),$U43,$T43)))=Milestones!$AB$23),TEXT(EDATE($D43,Milestones!$AA$23),"dd/mm/yy")&amp;" "&amp;Milestones!$AB$23&amp;" "&amp;Milestones!$AC$23&amp;";  ","")&amp;IF(AND(EDATE($D43,Milestones!$AA$24)&lt;=AsOfDate,IF($Q43=0,$W43,IF(AND($S43&lt;&gt;"",EDATE($D43,Milestones!$AA$24)&gt;=$S43),$V43,IF(AND($R43&lt;&gt;"",EDATE($D43,Milestones!$AA$24)&gt;=$R43),$U43,$T43)))=Milestones!$AB$24),TEXT(EDATE($D43,Milestones!$AA$24),"dd/mm/yy")&amp;" "&amp;Milestones!$AB$24&amp;" "&amp;Milestones!$AC$24&amp;";  ","")&amp;IF(AND(EDATE($D43,Milestones!$AA$25)&lt;=AsOfDate,IF($Q43=0,$W43,IF(AND($S43&lt;&gt;"",EDATE($D43,Milestones!$AA$25)&gt;=$S43),$V43,IF(AND($R43&lt;&gt;"",EDATE($D43,Milestones!$AA$25)&gt;=$R43),$U43,$T43)))=Milestones!$AB$25),TEXT(EDATE($D43,Milestones!$AA$25),"dd/mm/yy")&amp;" "&amp;Milestones!$AB$25&amp;" "&amp;Milestones!$AC$25&amp;";  ","")&amp;IF(AND(EDATE($D43,Milestones!$AA$26)&lt;=AsOfDate,IF($Q43=0,$W43,IF(AND($S43&lt;&gt;"",EDATE($D43,Milestones!$AA$26)&gt;=$S43),$V43,IF(AND($R43&lt;&gt;"",EDATE($D43,Milestones!$AA$26)&gt;=$R43),$U43,$T43)))=Milestones!$AB$26),TEXT(EDATE($D43,Milestones!$AA$26),"dd/mm/yy")&amp;" "&amp;Milestones!$AB$26&amp;" "&amp;Milestones!$AC$26&amp;";  ","")&amp;IF(AND(EDATE($D43,Milestones!$AA$27)&lt;=AsOfDate,IF($Q43=0,$W43,IF(AND($S43&lt;&gt;"",EDATE($D43,Milestones!$AA$27)&gt;=$S43),$V43,IF(AND($R43&lt;&gt;"",EDATE($D43,Milestones!$AA$27)&gt;=$R43),$U43,$T43)))=Milestones!$AB$27),TEXT(EDATE($D43,Milestones!$AA$27),"dd/mm/yy")&amp;" "&amp;Milestones!$AB$27&amp;" "&amp;Milestones!$AC$27&amp;";  ","")&amp;IF(AND(EDATE($D43,Milestones!$AA$28)&lt;=AsOfDate,IF($Q43=0,$W43,IF(AND($S43&lt;&gt;"",EDATE($D43,Milestones!$AA$28)&gt;=$S43),$V43,IF(AND($R43&lt;&gt;"",EDATE($D43,Milestones!$AA$28)&gt;=$R43),$U43,$T43)))=Milestones!$AB$28),TEXT(EDATE($D43,Milestones!$AA$28),"dd/mm/yy")&amp;" "&amp;Milestones!$AB$28&amp;" "&amp;Milestones!$AC$28&amp;";  ","")&amp;IF(AND(EDATE($D43,Milestones!$AA$29)&lt;=AsOfDate,IF($Q43=0,$W43,IF(AND($S43&lt;&gt;"",EDATE($D43,Milestones!$AA$29)&gt;=$S43),$V43,IF(AND($R43&lt;&gt;"",EDATE($D43,Milestones!$AA$29)&gt;=$R43),$U43,$T43)))=Milestones!$AB$29),TEXT(EDATE($D43,Milestones!$AA$29),"dd/mm/yy")&amp;" "&amp;Milestones!$AB$29&amp;" "&amp;Milestones!$AC$29&amp;";  ","")&amp;IF(AND(EDATE($D43,Milestones!$AA$30)&lt;=AsOfDate,IF($Q43=0,$W43,IF(AND($S43&lt;&gt;"",EDATE($D43,Milestones!$AA$30)&gt;=$S43),$V43,IF(AND($R43&lt;&gt;"",EDATE($D43,Milestones!$AA$30)&gt;=$R43),$U43,$T43)))=Milestones!$AB$30),TEXT(EDATE($D43,Milestones!$AA$30),"dd/mm/yy")&amp;" "&amp;Milestones!$AB$30&amp;" "&amp;Milestones!$AC$30&amp;";  ","")&amp;IF(AND(EDATE($D43,Milestones!$AA$31)&lt;=AsOfDate,IF($Q43=0,$W43,IF(AND($S43&lt;&gt;"",EDATE($D43,Milestones!$AA$31)&gt;=$S43),$V43,IF(AND($R43&lt;&gt;"",EDATE($D43,Milestones!$AA$31)&gt;=$R43),$U43,$T43)))=Milestones!$AB$31),TEXT(EDATE($D43,Milestones!$AA$31),"dd/mm/yy")&amp;" "&amp;Milestones!$AB$31&amp;" "&amp;Milestones!$AC$31&amp;";  ","")&amp;IF(AND(EDATE($D43,Milestones!$AA$32)&lt;=AsOfDate,IF($Q43=0,$W43,IF(AND($S43&lt;&gt;"",EDATE($D43,Milestones!$AA$32)&gt;=$S43),$V43,IF(AND($R43&lt;&gt;"",EDATE($D43,Milestones!$AA$32)&gt;=$R43),$U43,$T43)))=Milestones!$AB$32),TEXT(EDATE($D43,Milestones!$AA$32),"dd/mm/yy")&amp;" "&amp;Milestones!$AB$32&amp;" "&amp;Milestones!$AC$32&amp;";  ","")&amp;IF(AND(EDATE($D43,Milestones!$AA$33)&lt;=AsOfDate,IF($Q43=0,$W43,IF(AND($S43&lt;&gt;"",EDATE($D43,Milestones!$AA$33)&gt;=$S43),$V43,IF(AND($R43&lt;&gt;"",EDATE($D43,Milestones!$AA$33)&gt;=$R43),$U43,$T43)))=Milestones!$AB$33),TEXT(EDATE($D43,Milestones!$AA$33),"dd/mm/yy")&amp;" "&amp;Milestones!$AB$33&amp;" "&amp;Milestones!$AC$33&amp;";  ","")&amp;IF(AND(EDATE($D43,Milestones!$AA$34)&lt;=AsOfDate,IF($Q43=0,$W43,IF(AND($S43&lt;&gt;"",EDATE($D43,Milestones!$AA$34)&gt;=$S43),$V43,IF(AND($R43&lt;&gt;"",EDATE($D43,Milestones!$AA$34)&gt;=$R43),$U43,$T43)))=Milestones!$AB$34),TEXT(EDATE($D43,Milestones!$AA$34),"dd/mm/yy")&amp;" "&amp;Milestones!$AB$34&amp;" "&amp;Milestones!$AC$34&amp;";  ","")&amp;IF(AND(EDATE($D43,Milestones!$AA$35)&lt;=AsOfDate,IF($Q43=0,$W43,IF(AND($S43&lt;&gt;"",EDATE($D43,Milestones!$AA$35)&gt;=$S43),$V43,IF(AND($R43&lt;&gt;"",EDATE($D43,Milestones!$AA$35)&gt;=$R43),$U43,$T43)))=Milestones!$AB$35),TEXT(EDATE($D43,Milestones!$AA$35),"dd/mm/yy")&amp;" "&amp;Milestones!$AB$35&amp;" "&amp;Milestones!$AC$35&amp;";  ","")&amp;IF(AND(EDATE($D43,Milestones!$AA$36)&lt;=AsOfDate,IF($Q43=0,$W43,IF(AND($S43&lt;&gt;"",EDATE($D43,Milestones!$AA$36)&gt;=$S43),$V43,IF(AND($R43&lt;&gt;"",EDATE($D43,Milestones!$AA$36)&gt;=$R43),$U43,$T43)))=Milestones!$AB$36),TEXT(EDATE($D43,Milestones!$AA$36),"dd/mm/yy")&amp;" "&amp;Milestones!$AB$36&amp;" "&amp;Milestones!$AC$36&amp;";  ","")&amp;IF(AND(EDATE($D43,Milestones!$AA$37)&lt;=AsOfDate,IF($Q43=0,$W43,IF(AND($S43&lt;&gt;"",EDATE($D43,Milestones!$AA$37)&gt;=$S43),$V43,IF(AND($R43&lt;&gt;"",EDATE($D43,Milestones!$AA$37)&gt;=$R43),$U43,$T43)))=Milestones!$AB$37),TEXT(EDATE($D43,Milestones!$AA$37),"dd/mm/yy")&amp;" "&amp;Milestones!$AB$37&amp;" "&amp;Milestones!$AC$37&amp;";  ","")&amp;IF(AND(EDATE($D43,Milestones!$AA$38)&lt;=AsOfDate,IF($Q43=0,$W43,IF(AND($S43&lt;&gt;"",EDATE($D43,Milestones!$AA$38)&gt;=$S43),$V43,IF(AND($R43&lt;&gt;"",EDATE($D43,Milestones!$AA$38)&gt;=$R43),$U43,$T43)))=Milestones!$AB$38),TEXT(EDATE($D43,Milestones!$AA$38),"dd/mm/yy")&amp;" "&amp;Milestones!$AB$38&amp;" "&amp;Milestones!$AC$38&amp;";  ","")&amp;IF(AND(EDATE($D43,Milestones!$AA$39)&lt;=AsOfDate,IF($Q43=0,$W43,IF(AND($S43&lt;&gt;"",EDATE($D43,Milestones!$AA$39)&gt;=$S43),$V43,IF(AND($R43&lt;&gt;"",EDATE($D43,Milestones!$AA$39)&gt;=$R43),$U43,$T43)))=Milestones!$AB$39),TEXT(EDATE($D43,Milestones!$AA$39),"dd/mm/yy")&amp;" "&amp;Milestones!$AB$39&amp;" "&amp;Milestones!$AC$39&amp;";  ",""))</f>
        <v/>
      </c>
      <c r="I43" s="0" t="str">
        <f aca="false">IF(OR($A43="",$D43=""),"",IF(AND(EDATE($D43,Milestones!$AA$40)&lt;=AsOfDate,IF($Q43=0,$W43,IF(AND($S43&lt;&gt;"",EDATE($D43,Milestones!$AA$40)&gt;=$S43),$V43,IF(AND($R43&lt;&gt;"",EDATE($D43,Milestones!$AA$40)&gt;=$R43),$U43,$T43)))=Milestones!$AB$40),TEXT(EDATE($D43,Milestones!$AA$40),"dd/mm/yy")&amp;" "&amp;Milestones!$AB$40&amp;" "&amp;Milestones!$AC$40&amp;";  ","")&amp;IF(AND(EDATE($D43,Milestones!$AA$41)&lt;=AsOfDate,IF($Q43=0,$W43,IF(AND($S43&lt;&gt;"",EDATE($D43,Milestones!$AA$41)&gt;=$S43),$V43,IF(AND($R43&lt;&gt;"",EDATE($D43,Milestones!$AA$41)&gt;=$R43),$U43,$T43)))=Milestones!$AB$41),TEXT(EDATE($D43,Milestones!$AA$41),"dd/mm/yy")&amp;" "&amp;Milestones!$AB$41&amp;" "&amp;Milestones!$AC$41&amp;";  ","")&amp;IF(AND(EDATE($D43,Milestones!$AA$42)&lt;=AsOfDate,IF($Q43=0,$W43,IF(AND($S43&lt;&gt;"",EDATE($D43,Milestones!$AA$42)&gt;=$S43),$V43,IF(AND($R43&lt;&gt;"",EDATE($D43,Milestones!$AA$42)&gt;=$R43),$U43,$T43)))=Milestones!$AB$42),TEXT(EDATE($D43,Milestones!$AA$42),"dd/mm/yy")&amp;" "&amp;Milestones!$AB$42&amp;" "&amp;Milestones!$AC$42&amp;";  ","")&amp;IF(AND(EDATE($D43,Milestones!$AA$43)&lt;=AsOfDate,IF($Q43=0,$W43,IF(AND($S43&lt;&gt;"",EDATE($D43,Milestones!$AA$43)&gt;=$S43),$V43,IF(AND($R43&lt;&gt;"",EDATE($D43,Milestones!$AA$43)&gt;=$R43),$U43,$T43)))=Milestones!$AB$43),TEXT(EDATE($D43,Milestones!$AA$43),"dd/mm/yy")&amp;" "&amp;Milestones!$AB$43&amp;" "&amp;Milestones!$AC$43&amp;";  ","")&amp;IF(AND(EDATE($D43,Milestones!$AA$44)&lt;=AsOfDate,IF($Q43=0,$W43,IF(AND($S43&lt;&gt;"",EDATE($D43,Milestones!$AA$44)&gt;=$S43),$V43,IF(AND($R43&lt;&gt;"",EDATE($D43,Milestones!$AA$44)&gt;=$R43),$U43,$T43)))=Milestones!$AB$44),TEXT(EDATE($D43,Milestones!$AA$44),"dd/mm/yy")&amp;" "&amp;Milestones!$AB$44&amp;" "&amp;Milestones!$AC$44&amp;";  ","")&amp;IF(AND(EDATE($D43,Milestones!$AA$45)&lt;=AsOfDate,IF($Q43=0,$W43,IF(AND($S43&lt;&gt;"",EDATE($D43,Milestones!$AA$45)&gt;=$S43),$V43,IF(AND($R43&lt;&gt;"",EDATE($D43,Milestones!$AA$45)&gt;=$R43),$U43,$T43)))=Milestones!$AB$45),TEXT(EDATE($D43,Milestones!$AA$45),"dd/mm/yy")&amp;" "&amp;Milestones!$AB$45&amp;" "&amp;Milestones!$AC$45&amp;";  ","")&amp;IF(AND(EDATE($D43,Milestones!$AA$46)&lt;=AsOfDate,IF($Q43=0,$W43,IF(AND($S43&lt;&gt;"",EDATE($D43,Milestones!$AA$46)&gt;=$S43),$V43,IF(AND($R43&lt;&gt;"",EDATE($D43,Milestones!$AA$46)&gt;=$R43),$U43,$T43)))=Milestones!$AB$46),TEXT(EDATE($D43,Milestones!$AA$46),"dd/mm/yy")&amp;" "&amp;Milestones!$AB$46&amp;" "&amp;Milestones!$AC$46&amp;";  ","")&amp;IF(AND(EDATE($D43,Milestones!$AA$47)&lt;=AsOfDate,IF($Q43=0,$W43,IF(AND($S43&lt;&gt;"",EDATE($D43,Milestones!$AA$47)&gt;=$S43),$V43,IF(AND($R43&lt;&gt;"",EDATE($D43,Milestones!$AA$47)&gt;=$R43),$U43,$T43)))=Milestones!$AB$47),TEXT(EDATE($D43,Milestones!$AA$47),"dd/mm/yy")&amp;" "&amp;Milestones!$AB$47&amp;" "&amp;Milestones!$AC$47&amp;";  ","")&amp;IF(AND(EDATE($D43,Milestones!$AA$48)&lt;=AsOfDate,IF($Q43=0,$W43,IF(AND($S43&lt;&gt;"",EDATE($D43,Milestones!$AA$48)&gt;=$S43),$V43,IF(AND($R43&lt;&gt;"",EDATE($D43,Milestones!$AA$48)&gt;=$R43),$U43,$T43)))=Milestones!$AB$48),TEXT(EDATE($D43,Milestones!$AA$48),"dd/mm/yy")&amp;" "&amp;Milestones!$AB$48&amp;" "&amp;Milestones!$AC$48&amp;";  ","")&amp;IF(AND(EDATE($D43,Milestones!$AA$49)&lt;=AsOfDate,IF($Q43=0,$W43,IF(AND($S43&lt;&gt;"",EDATE($D43,Milestones!$AA$49)&gt;=$S43),$V43,IF(AND($R43&lt;&gt;"",EDATE($D43,Milestones!$AA$49)&gt;=$R43),$U43,$T43)))=Milestones!$AB$49),TEXT(EDATE($D43,Milestones!$AA$49),"dd/mm/yy")&amp;" "&amp;Milestones!$AB$49&amp;" "&amp;Milestones!$AC$49&amp;";  ","")&amp;IF(AND(EDATE($D43,Milestones!$AA$50)&lt;=AsOfDate,IF($Q43=0,$W43,IF(AND($S43&lt;&gt;"",EDATE($D43,Milestones!$AA$50)&gt;=$S43),$V43,IF(AND($R43&lt;&gt;"",EDATE($D43,Milestones!$AA$50)&gt;=$R43),$U43,$T43)))=Milestones!$AB$50),TEXT(EDATE($D43,Milestones!$AA$50),"dd/mm/yy")&amp;" "&amp;Milestones!$AB$50&amp;" "&amp;Milestones!$AC$50&amp;";  ","")&amp;IF(AND(EDATE($D43,Milestones!$AA$51)&lt;=AsOfDate,IF($Q43=0,$W43,IF(AND($S43&lt;&gt;"",EDATE($D43,Milestones!$AA$51)&gt;=$S43),$V43,IF(AND($R43&lt;&gt;"",EDATE($D43,Milestones!$AA$51)&gt;=$R43),$U43,$T43)))=Milestones!$AB$51),TEXT(EDATE($D43,Milestones!$AA$51),"dd/mm/yy")&amp;" "&amp;Milestones!$AB$51&amp;" "&amp;Milestones!$AC$51&amp;";  ","")&amp;IF(AND(EDATE($D43,Milestones!$AA$52)&lt;=AsOfDate,IF($Q43=0,$W43,IF(AND($S43&lt;&gt;"",EDATE($D43,Milestones!$AA$52)&gt;=$S43),$V43,IF(AND($R43&lt;&gt;"",EDATE($D43,Milestones!$AA$52)&gt;=$R43),$U43,$T43)))=Milestones!$AB$52),TEXT(EDATE($D43,Milestones!$AA$52),"dd/mm/yy")&amp;" "&amp;Milestones!$AB$52&amp;" "&amp;Milestones!$AC$52&amp;";  ","")&amp;IF(AND(EDATE($D43,Milestones!$AA$53)&lt;=AsOfDate,IF($Q43=0,$W43,IF(AND($S43&lt;&gt;"",EDATE($D43,Milestones!$AA$53)&gt;=$S43),$V43,IF(AND($R43&lt;&gt;"",EDATE($D43,Milestones!$AA$53)&gt;=$R43),$U43,$T43)))=Milestones!$AB$53),TEXT(EDATE($D43,Milestones!$AA$53),"dd/mm/yy")&amp;" "&amp;Milestones!$AB$53&amp;" "&amp;Milestones!$AC$53&amp;";  ","")&amp;IF(AND(EDATE($D43,Milestones!$AA$54)&lt;=AsOfDate,IF($Q43=0,$W43,IF(AND($S43&lt;&gt;"",EDATE($D43,Milestones!$AA$54)&gt;=$S43),$V43,IF(AND($R43&lt;&gt;"",EDATE($D43,Milestones!$AA$54)&gt;=$R43),$U43,$T43)))=Milestones!$AB$54),TEXT(EDATE($D43,Milestones!$AA$54),"dd/mm/yy")&amp;" "&amp;Milestones!$AB$54&amp;" "&amp;Milestones!$AC$54&amp;";  ","")&amp;IF(AND(EDATE($D43,Milestones!$AA$55)&lt;=AsOfDate,IF($Q43=0,$W43,IF(AND($S43&lt;&gt;"",EDATE($D43,Milestones!$AA$55)&gt;=$S43),$V43,IF(AND($R43&lt;&gt;"",EDATE($D43,Milestones!$AA$55)&gt;=$R43),$U43,$T43)))=Milestones!$AB$55),TEXT(EDATE($D43,Milestones!$AA$55),"dd/mm/yy")&amp;" "&amp;Milestones!$AB$55&amp;" "&amp;Milestones!$AC$55&amp;";  ","")&amp;IF(AND(EDATE($D43,Milestones!$AA$56)&lt;=AsOfDate,IF($Q43=0,$W43,IF(AND($S43&lt;&gt;"",EDATE($D43,Milestones!$AA$56)&gt;=$S43),$V43,IF(AND($R43&lt;&gt;"",EDATE($D43,Milestones!$AA$56)&gt;=$R43),$U43,$T43)))=Milestones!$AB$56),TEXT(EDATE($D43,Milestones!$AA$56),"dd/mm/yy")&amp;" "&amp;Milestones!$AB$56&amp;" "&amp;Milestones!$AC$56&amp;";  ","")&amp;IF(AND(EDATE($D43,Milestones!$AA$57)&lt;=AsOfDate,IF($Q43=0,$W43,IF(AND($S43&lt;&gt;"",EDATE($D43,Milestones!$AA$57)&gt;=$S43),$V43,IF(AND($R43&lt;&gt;"",EDATE($D43,Milestones!$AA$57)&gt;=$R43),$U43,$T43)))=Milestones!$AB$57),TEXT(EDATE($D43,Milestones!$AA$57),"dd/mm/yy")&amp;" "&amp;Milestones!$AB$57&amp;" "&amp;Milestones!$AC$57&amp;";  ","")&amp;IF(AND(EDATE($D43,Milestones!$AA$58)&lt;=AsOfDate,IF($Q43=0,$W43,IF(AND($S43&lt;&gt;"",EDATE($D43,Milestones!$AA$58)&gt;=$S43),$V43,IF(AND($R43&lt;&gt;"",EDATE($D43,Milestones!$AA$58)&gt;=$R43),$U43,$T43)))=Milestones!$AB$58),TEXT(EDATE($D43,Milestones!$AA$58),"dd/mm/yy")&amp;" "&amp;Milestones!$AB$58&amp;" "&amp;Milestones!$AC$58&amp;";  ","")&amp;IF(AND(EDATE($D43,Milestones!$AA$59)&lt;=AsOfDate,IF($Q43=0,$W43,IF(AND($S43&lt;&gt;"",EDATE($D43,Milestones!$AA$59)&gt;=$S43),$V43,IF(AND($R43&lt;&gt;"",EDATE($D43,Milestones!$AA$59)&gt;=$R43),$U43,$T43)))=Milestones!$AB$59),TEXT(EDATE($D43,Milestones!$AA$59),"dd/mm/yy")&amp;" "&amp;Milestones!$AB$59&amp;" "&amp;Milestones!$AC$59&amp;";  ",""))</f>
        <v/>
      </c>
      <c r="J43" s="0" t="str">
        <f aca="false">IF(OR($A43="",$D43=""),"",IF(AND(EDATE($D43,Milestones!$AA$60)&lt;=AsOfDate,IF($Q43=0,$W43,IF(AND($S43&lt;&gt;"",EDATE($D43,Milestones!$AA$60)&gt;=$S43),$V43,IF(AND($R43&lt;&gt;"",EDATE($D43,Milestones!$AA$60)&gt;=$R43),$U43,$T43)))=Milestones!$AB$60),TEXT(EDATE($D43,Milestones!$AA$60),"dd/mm/yy")&amp;" "&amp;Milestones!$AB$60&amp;" "&amp;Milestones!$AC$60&amp;";  ","")&amp;IF(AND(EDATE($D43,Milestones!$AA$61)&lt;=AsOfDate,IF($Q43=0,$W43,IF(AND($S43&lt;&gt;"",EDATE($D43,Milestones!$AA$61)&gt;=$S43),$V43,IF(AND($R43&lt;&gt;"",EDATE($D43,Milestones!$AA$61)&gt;=$R43),$U43,$T43)))=Milestones!$AB$61),TEXT(EDATE($D43,Milestones!$AA$61),"dd/mm/yy")&amp;" "&amp;Milestones!$AB$61&amp;" "&amp;Milestones!$AC$61&amp;";  ","")&amp;IF(AND(EDATE($D43,Milestones!$AA$62)&lt;=AsOfDate,IF($Q43=0,$W43,IF(AND($S43&lt;&gt;"",EDATE($D43,Milestones!$AA$62)&gt;=$S43),$V43,IF(AND($R43&lt;&gt;"",EDATE($D43,Milestones!$AA$62)&gt;=$R43),$U43,$T43)))=Milestones!$AB$62),TEXT(EDATE($D43,Milestones!$AA$62),"dd/mm/yy")&amp;" "&amp;Milestones!$AB$62&amp;" "&amp;Milestones!$AC$62&amp;";  ","")&amp;IF(AND(EDATE($D43,Milestones!$AA$63)&lt;=AsOfDate,IF($Q43=0,$W43,IF(AND($S43&lt;&gt;"",EDATE($D43,Milestones!$AA$63)&gt;=$S43),$V43,IF(AND($R43&lt;&gt;"",EDATE($D43,Milestones!$AA$63)&gt;=$R43),$U43,$T43)))=Milestones!$AB$63),TEXT(EDATE($D43,Milestones!$AA$63),"dd/mm/yy")&amp;" "&amp;Milestones!$AB$63&amp;" "&amp;Milestones!$AC$63&amp;";  ","")&amp;IF(AND(EDATE($D43,Milestones!$AA$64)&lt;=AsOfDate,IF($Q43=0,$W43,IF(AND($S43&lt;&gt;"",EDATE($D43,Milestones!$AA$64)&gt;=$S43),$V43,IF(AND($R43&lt;&gt;"",EDATE($D43,Milestones!$AA$64)&gt;=$R43),$U43,$T43)))=Milestones!$AB$64),TEXT(EDATE($D43,Milestones!$AA$64),"dd/mm/yy")&amp;" "&amp;Milestones!$AB$64&amp;" "&amp;Milestones!$AC$64&amp;";  ","")&amp;IF(AND(EDATE($D43,Milestones!$AA$65)&lt;=AsOfDate,IF($Q43=0,$W43,IF(AND($S43&lt;&gt;"",EDATE($D43,Milestones!$AA$65)&gt;=$S43),$V43,IF(AND($R43&lt;&gt;"",EDATE($D43,Milestones!$AA$65)&gt;=$R43),$U43,$T43)))=Milestones!$AB$65),TEXT(EDATE($D43,Milestones!$AA$65),"dd/mm/yy")&amp;" "&amp;Milestones!$AB$65&amp;" "&amp;Milestones!$AC$65&amp;";  ","")&amp;IF(AND(EDATE($D43,Milestones!$AA$66)&lt;=AsOfDate,IF($Q43=0,$W43,IF(AND($S43&lt;&gt;"",EDATE($D43,Milestones!$AA$66)&gt;=$S43),$V43,IF(AND($R43&lt;&gt;"",EDATE($D43,Milestones!$AA$66)&gt;=$R43),$U43,$T43)))=Milestones!$AB$66),TEXT(EDATE($D43,Milestones!$AA$66),"dd/mm/yy")&amp;" "&amp;Milestones!$AB$66&amp;" "&amp;Milestones!$AC$66&amp;";  ","")&amp;IF(AND(EDATE($D43,Milestones!$AA$67)&lt;=AsOfDate,IF($Q43=0,$W43,IF(AND($S43&lt;&gt;"",EDATE($D43,Milestones!$AA$67)&gt;=$S43),$V43,IF(AND($R43&lt;&gt;"",EDATE($D43,Milestones!$AA$67)&gt;=$R43),$U43,$T43)))=Milestones!$AB$67),TEXT(EDATE($D43,Milestones!$AA$67),"dd/mm/yy")&amp;" "&amp;Milestones!$AB$67&amp;" "&amp;Milestones!$AC$67&amp;";  ","")&amp;IF(AND(EDATE($D43,Milestones!$AA$68)&lt;=AsOfDate,IF($Q43=0,$W43,IF(AND($S43&lt;&gt;"",EDATE($D43,Milestones!$AA$68)&gt;=$S43),$V43,IF(AND($R43&lt;&gt;"",EDATE($D43,Milestones!$AA$68)&gt;=$R43),$U43,$T43)))=Milestones!$AB$68),TEXT(EDATE($D43,Milestones!$AA$68),"dd/mm/yy")&amp;" "&amp;Milestones!$AB$68&amp;" "&amp;Milestones!$AC$68&amp;";  ","")&amp;IF(AND(EDATE($D43,Milestones!$AA$69)&lt;=AsOfDate,IF($Q43=0,$W43,IF(AND($S43&lt;&gt;"",EDATE($D43,Milestones!$AA$69)&gt;=$S43),$V43,IF(AND($R43&lt;&gt;"",EDATE($D43,Milestones!$AA$69)&gt;=$R43),$U43,$T43)))=Milestones!$AB$69),TEXT(EDATE($D43,Milestones!$AA$69),"dd/mm/yy")&amp;" "&amp;Milestones!$AB$69&amp;" "&amp;Milestones!$AC$69&amp;";  ","")&amp;IF(AND(EDATE($D43,Milestones!$AA$70)&lt;=AsOfDate,IF($Q43=0,$W43,IF(AND($S43&lt;&gt;"",EDATE($D43,Milestones!$AA$70)&gt;=$S43),$V43,IF(AND($R43&lt;&gt;"",EDATE($D43,Milestones!$AA$70)&gt;=$R43),$U43,$T43)))=Milestones!$AB$70),TEXT(EDATE($D43,Milestones!$AA$70),"dd/mm/yy")&amp;" "&amp;Milestones!$AB$70&amp;" "&amp;Milestones!$AC$70&amp;";  ","")&amp;IF(AND(EDATE($D43,Milestones!$AA$71)&lt;=AsOfDate,IF($Q43=0,$W43,IF(AND($S43&lt;&gt;"",EDATE($D43,Milestones!$AA$71)&gt;=$S43),$V43,IF(AND($R43&lt;&gt;"",EDATE($D43,Milestones!$AA$71)&gt;=$R43),$U43,$T43)))=Milestones!$AB$71),TEXT(EDATE($D43,Milestones!$AA$71),"dd/mm/yy")&amp;" "&amp;Milestones!$AB$71&amp;" "&amp;Milestones!$AC$71&amp;";  ","")&amp;IF(AND(EDATE($D43,Milestones!$AA$72)&lt;=AsOfDate,IF($Q43=0,$W43,IF(AND($S43&lt;&gt;"",EDATE($D43,Milestones!$AA$72)&gt;=$S43),$V43,IF(AND($R43&lt;&gt;"",EDATE($D43,Milestones!$AA$72)&gt;=$R43),$U43,$T43)))=Milestones!$AB$72),TEXT(EDATE($D43,Milestones!$AA$72),"dd/mm/yy")&amp;" "&amp;Milestones!$AB$72&amp;" "&amp;Milestones!$AC$72&amp;";  ","")&amp;IF(AND(EDATE($D43,Milestones!$AA$73)&lt;=AsOfDate,IF($Q43=0,$W43,IF(AND($S43&lt;&gt;"",EDATE($D43,Milestones!$AA$73)&gt;=$S43),$V43,IF(AND($R43&lt;&gt;"",EDATE($D43,Milestones!$AA$73)&gt;=$R43),$U43,$T43)))=Milestones!$AB$73),TEXT(EDATE($D43,Milestones!$AA$73),"dd/mm/yy")&amp;" "&amp;Milestones!$AB$73&amp;" "&amp;Milestones!$AC$73&amp;";  ","")&amp;IF(AND(EDATE($D43,Milestones!$AA$74)&lt;=AsOfDate,IF($Q43=0,$W43,IF(AND($S43&lt;&gt;"",EDATE($D43,Milestones!$AA$74)&gt;=$S43),$V43,IF(AND($R43&lt;&gt;"",EDATE($D43,Milestones!$AA$74)&gt;=$R43),$U43,$T43)))=Milestones!$AB$74),TEXT(EDATE($D43,Milestones!$AA$74),"dd/mm/yy")&amp;" "&amp;Milestones!$AB$74&amp;" "&amp;Milestones!$AC$74&amp;";  ","")&amp;IF(AND(EDATE($D43,Milestones!$AA$75)&lt;=AsOfDate,IF($Q43=0,$W43,IF(AND($S43&lt;&gt;"",EDATE($D43,Milestones!$AA$75)&gt;=$S43),$V43,IF(AND($R43&lt;&gt;"",EDATE($D43,Milestones!$AA$75)&gt;=$R43),$U43,$T43)))=Milestones!$AB$75),TEXT(EDATE($D43,Milestones!$AA$75),"dd/mm/yy")&amp;" "&amp;Milestones!$AB$75&amp;" "&amp;Milestones!$AC$75&amp;";  ","")&amp;IF(AND(EDATE($D43,Milestones!$AA$76)&lt;=AsOfDate,IF($Q43=0,$W43,IF(AND($S43&lt;&gt;"",EDATE($D43,Milestones!$AA$76)&gt;=$S43),$V43,IF(AND($R43&lt;&gt;"",EDATE($D43,Milestones!$AA$76)&gt;=$R43),$U43,$T43)))=Milestones!$AB$76),TEXT(EDATE($D43,Milestones!$AA$76),"dd/mm/yy")&amp;" "&amp;Milestones!$AB$76&amp;" "&amp;Milestones!$AC$76&amp;";  ","")&amp;IF(AND(EDATE($D43,Milestones!$AA$77)&lt;=AsOfDate,IF($Q43=0,$W43,IF(AND($S43&lt;&gt;"",EDATE($D43,Milestones!$AA$77)&gt;=$S43),$V43,IF(AND($R43&lt;&gt;"",EDATE($D43,Milestones!$AA$77)&gt;=$R43),$U43,$T43)))=Milestones!$AB$77),TEXT(EDATE($D43,Milestones!$AA$77),"dd/mm/yy")&amp;" "&amp;Milestones!$AB$77&amp;" "&amp;Milestones!$AC$77&amp;";  ","")&amp;IF(AND(EDATE($D43,Milestones!$AA$78)&lt;=AsOfDate,IF($Q43=0,$W43,IF(AND($S43&lt;&gt;"",EDATE($D43,Milestones!$AA$78)&gt;=$S43),$V43,IF(AND($R43&lt;&gt;"",EDATE($D43,Milestones!$AA$78)&gt;=$R43),$U43,$T43)))=Milestones!$AB$78),TEXT(EDATE($D43,Milestones!$AA$78),"dd/mm/yy")&amp;" "&amp;Milestones!$AB$78&amp;" "&amp;Milestones!$AC$78&amp;";  ","")&amp;IF(AND(EDATE($D43,Milestones!$AA$79)&lt;=AsOfDate,IF($Q43=0,$W43,IF(AND($S43&lt;&gt;"",EDATE($D43,Milestones!$AA$79)&gt;=$S43),$V43,IF(AND($R43&lt;&gt;"",EDATE($D43,Milestones!$AA$79)&gt;=$R43),$U43,$T43)))=Milestones!$AB$79),TEXT(EDATE($D43,Milestones!$AA$79),"dd/mm/yy")&amp;" "&amp;Milestones!$AB$79&amp;" "&amp;Milestones!$AC$79&amp;";  ",""))</f>
        <v/>
      </c>
      <c r="K43" s="0" t="str">
        <f aca="false">IF(OR($A43="",$D43=""),"",IF(AND(EDATE($D43,Milestones!$AA$80)&lt;=AsOfDate,IF($Q43=0,$W43,IF(AND($S43&lt;&gt;"",EDATE($D43,Milestones!$AA$80)&gt;=$S43),$V43,IF(AND($R43&lt;&gt;"",EDATE($D43,Milestones!$AA$80)&gt;=$R43),$U43,$T43)))=Milestones!$AB$80),TEXT(EDATE($D43,Milestones!$AA$80),"dd/mm/yy")&amp;" "&amp;Milestones!$AB$80&amp;" "&amp;Milestones!$AC$80&amp;";  ","")&amp;IF(AND(EDATE($D43,Milestones!$AA$81)&lt;=AsOfDate,IF($Q43=0,$W43,IF(AND($S43&lt;&gt;"",EDATE($D43,Milestones!$AA$81)&gt;=$S43),$V43,IF(AND($R43&lt;&gt;"",EDATE($D43,Milestones!$AA$81)&gt;=$R43),$U43,$T43)))=Milestones!$AB$81),TEXT(EDATE($D43,Milestones!$AA$81),"dd/mm/yy")&amp;" "&amp;Milestones!$AB$81&amp;" "&amp;Milestones!$AC$81&amp;";  ","")&amp;IF(AND(EDATE($D43,Milestones!$AA$82)&lt;=AsOfDate,IF($Q43=0,$W43,IF(AND($S43&lt;&gt;"",EDATE($D43,Milestones!$AA$82)&gt;=$S43),$V43,IF(AND($R43&lt;&gt;"",EDATE($D43,Milestones!$AA$82)&gt;=$R43),$U43,$T43)))=Milestones!$AB$82),TEXT(EDATE($D43,Milestones!$AA$82),"dd/mm/yy")&amp;" "&amp;Milestones!$AB$82&amp;" "&amp;Milestones!$AC$82&amp;";  ","")&amp;IF(AND(EDATE($D43,Milestones!$AA$83)&lt;=AsOfDate,IF($Q43=0,$W43,IF(AND($S43&lt;&gt;"",EDATE($D43,Milestones!$AA$83)&gt;=$S43),$V43,IF(AND($R43&lt;&gt;"",EDATE($D43,Milestones!$AA$83)&gt;=$R43),$U43,$T43)))=Milestones!$AB$83),TEXT(EDATE($D43,Milestones!$AA$83),"dd/mm/yy")&amp;" "&amp;Milestones!$AB$83&amp;" "&amp;Milestones!$AC$83&amp;";  ","")&amp;IF(AND(EDATE($D43,Milestones!$AA$84)&lt;=AsOfDate,IF($Q43=0,$W43,IF(AND($S43&lt;&gt;"",EDATE($D43,Milestones!$AA$84)&gt;=$S43),$V43,IF(AND($R43&lt;&gt;"",EDATE($D43,Milestones!$AA$84)&gt;=$R43),$U43,$T43)))=Milestones!$AB$84),TEXT(EDATE($D43,Milestones!$AA$84),"dd/mm/yy")&amp;" "&amp;Milestones!$AB$84&amp;" "&amp;Milestones!$AC$84&amp;";  ","")&amp;IF(AND(EDATE($D43,Milestones!$AA$85)&lt;=AsOfDate,IF($Q43=0,$W43,IF(AND($S43&lt;&gt;"",EDATE($D43,Milestones!$AA$85)&gt;=$S43),$V43,IF(AND($R43&lt;&gt;"",EDATE($D43,Milestones!$AA$85)&gt;=$R43),$U43,$T43)))=Milestones!$AB$85),TEXT(EDATE($D43,Milestones!$AA$85),"dd/mm/yy")&amp;" "&amp;Milestones!$AB$85&amp;" "&amp;Milestones!$AC$85&amp;";  ","")&amp;IF(AND(EDATE($D43,Milestones!$AA$86)&lt;=AsOfDate,IF($Q43=0,$W43,IF(AND($S43&lt;&gt;"",EDATE($D43,Milestones!$AA$86)&gt;=$S43),$V43,IF(AND($R43&lt;&gt;"",EDATE($D43,Milestones!$AA$86)&gt;=$R43),$U43,$T43)))=Milestones!$AB$86),TEXT(EDATE($D43,Milestones!$AA$86),"dd/mm/yy")&amp;" "&amp;Milestones!$AB$86&amp;" "&amp;Milestones!$AC$86&amp;";  ","")&amp;IF(AND(EDATE($D43,Milestones!$AA$87)&lt;=AsOfDate,IF($Q43=0,$W43,IF(AND($S43&lt;&gt;"",EDATE($D43,Milestones!$AA$87)&gt;=$S43),$V43,IF(AND($R43&lt;&gt;"",EDATE($D43,Milestones!$AA$87)&gt;=$R43),$U43,$T43)))=Milestones!$AB$87),TEXT(EDATE($D43,Milestones!$AA$87),"dd/mm/yy")&amp;" "&amp;Milestones!$AB$87&amp;" "&amp;Milestones!$AC$87&amp;";  ","")&amp;IF(AND(EDATE($D43,Milestones!$AA$88)&lt;=AsOfDate,IF($Q43=0,$W43,IF(AND($S43&lt;&gt;"",EDATE($D43,Milestones!$AA$88)&gt;=$S43),$V43,IF(AND($R43&lt;&gt;"",EDATE($D43,Milestones!$AA$88)&gt;=$R43),$U43,$T43)))=Milestones!$AB$88),TEXT(EDATE($D43,Milestones!$AA$88),"dd/mm/yy")&amp;" "&amp;Milestones!$AB$88&amp;" "&amp;Milestones!$AC$88&amp;";  ","")&amp;IF(AND(EDATE($D43,Milestones!$AA$89)&lt;=AsOfDate,IF($Q43=0,$W43,IF(AND($S43&lt;&gt;"",EDATE($D43,Milestones!$AA$89)&gt;=$S43),$V43,IF(AND($R43&lt;&gt;"",EDATE($D43,Milestones!$AA$89)&gt;=$R43),$U43,$T43)))=Milestones!$AB$89),TEXT(EDATE($D43,Milestones!$AA$89),"dd/mm/yy")&amp;" "&amp;Milestones!$AB$89&amp;" "&amp;Milestones!$AC$89&amp;";  ","")&amp;IF(AND(EDATE($D43,Milestones!$AA$90)&lt;=AsOfDate,IF($Q43=0,$W43,IF(AND($S43&lt;&gt;"",EDATE($D43,Milestones!$AA$90)&gt;=$S43),$V43,IF(AND($R43&lt;&gt;"",EDATE($D43,Milestones!$AA$90)&gt;=$R43),$U43,$T43)))=Milestones!$AB$90),TEXT(EDATE($D43,Milestones!$AA$90),"dd/mm/yy")&amp;" "&amp;Milestones!$AB$90&amp;" "&amp;Milestones!$AC$90&amp;";  ","")&amp;IF(AND(EDATE($D43,Milestones!$AA$91)&lt;=AsOfDate,IF($Q43=0,$W43,IF(AND($S43&lt;&gt;"",EDATE($D43,Milestones!$AA$91)&gt;=$S43),$V43,IF(AND($R43&lt;&gt;"",EDATE($D43,Milestones!$AA$91)&gt;=$R43),$U43,$T43)))=Milestones!$AB$91),TEXT(EDATE($D43,Milestones!$AA$91),"dd/mm/yy")&amp;" "&amp;Milestones!$AB$91&amp;" "&amp;Milestones!$AC$91&amp;";  ","")&amp;IF(AND(EDATE($D43,Milestones!$AA$92)&lt;=AsOfDate,IF($Q43=0,$W43,IF(AND($S43&lt;&gt;"",EDATE($D43,Milestones!$AA$92)&gt;=$S43),$V43,IF(AND($R43&lt;&gt;"",EDATE($D43,Milestones!$AA$92)&gt;=$R43),$U43,$T43)))=Milestones!$AB$92),TEXT(EDATE($D43,Milestones!$AA$92),"dd/mm/yy")&amp;" "&amp;Milestones!$AB$92&amp;" "&amp;Milestones!$AC$92&amp;";  ","")&amp;IF(AND(EDATE($D43,Milestones!$AA$93)&lt;=AsOfDate,IF($Q43=0,$W43,IF(AND($S43&lt;&gt;"",EDATE($D43,Milestones!$AA$93)&gt;=$S43),$V43,IF(AND($R43&lt;&gt;"",EDATE($D43,Milestones!$AA$93)&gt;=$R43),$U43,$T43)))=Milestones!$AB$93),TEXT(EDATE($D43,Milestones!$AA$93),"dd/mm/yy")&amp;" "&amp;Milestones!$AB$93&amp;" "&amp;Milestones!$AC$93&amp;";  ","")&amp;IF(AND(EDATE($D43,Milestones!$AA$94)&lt;=AsOfDate,IF($Q43=0,$W43,IF(AND($S43&lt;&gt;"",EDATE($D43,Milestones!$AA$94)&gt;=$S43),$V43,IF(AND($R43&lt;&gt;"",EDATE($D43,Milestones!$AA$94)&gt;=$R43),$U43,$T43)))=Milestones!$AB$94),TEXT(EDATE($D43,Milestones!$AA$94),"dd/mm/yy")&amp;" "&amp;Milestones!$AB$94&amp;" "&amp;Milestones!$AC$94&amp;";  ","")&amp;IF(AND(EDATE($D43,Milestones!$AA$95)&lt;=AsOfDate,IF($Q43=0,$W43,IF(AND($S43&lt;&gt;"",EDATE($D43,Milestones!$AA$95)&gt;=$S43),$V43,IF(AND($R43&lt;&gt;"",EDATE($D43,Milestones!$AA$95)&gt;=$R43),$U43,$T43)))=Milestones!$AB$95),TEXT(EDATE($D43,Milestones!$AA$95),"dd/mm/yy")&amp;" "&amp;Milestones!$AB$95&amp;" "&amp;Milestones!$AC$95&amp;";  ","")&amp;IF(AND(EDATE($D43,Milestones!$AA$96)&lt;=AsOfDate,IF($Q43=0,$W43,IF(AND($S43&lt;&gt;"",EDATE($D43,Milestones!$AA$96)&gt;=$S43),$V43,IF(AND($R43&lt;&gt;"",EDATE($D43,Milestones!$AA$96)&gt;=$R43),$U43,$T43)))=Milestones!$AB$96),TEXT(EDATE($D43,Milestones!$AA$96),"dd/mm/yy")&amp;" "&amp;Milestones!$AB$96&amp;" "&amp;Milestones!$AC$96&amp;";  ","")&amp;IF(AND(EDATE($D43,Milestones!$AA$97)&lt;=AsOfDate,IF($Q43=0,$W43,IF(AND($S43&lt;&gt;"",EDATE($D43,Milestones!$AA$97)&gt;=$S43),$V43,IF(AND($R43&lt;&gt;"",EDATE($D43,Milestones!$AA$97)&gt;=$R43),$U43,$T43)))=Milestones!$AB$97),TEXT(EDATE($D43,Milestones!$AA$97),"dd/mm/yy")&amp;" "&amp;Milestones!$AB$97&amp;" "&amp;Milestones!$AC$97&amp;";  ","")&amp;IF(AND(EDATE($D43,Milestones!$AA$98)&lt;=AsOfDate,IF($Q43=0,$W43,IF(AND($S43&lt;&gt;"",EDATE($D43,Milestones!$AA$98)&gt;=$S43),$V43,IF(AND($R43&lt;&gt;"",EDATE($D43,Milestones!$AA$98)&gt;=$R43),$U43,$T43)))=Milestones!$AB$98),TEXT(EDATE($D43,Milestones!$AA$98),"dd/mm/yy")&amp;" "&amp;Milestones!$AB$98&amp;" "&amp;Milestones!$AC$98&amp;";  ","")&amp;IF(AND(EDATE($D43,Milestones!$AA$99)&lt;=AsOfDate,IF($Q43=0,$W43,IF(AND($S43&lt;&gt;"",EDATE($D43,Milestones!$AA$99)&gt;=$S43),$V43,IF(AND($R43&lt;&gt;"",EDATE($D43,Milestones!$AA$99)&gt;=$R43),$U43,$T43)))=Milestones!$AB$99),TEXT(EDATE($D43,Milestones!$AA$99),"dd/mm/yy")&amp;" "&amp;Milestones!$AB$99&amp;" "&amp;Milestones!$AC$99&amp;";  ",""))</f>
        <v/>
      </c>
      <c r="L43" s="0" t="str">
        <f aca="false">IF(OR($A43="",$D43=""),"",IF(AND(EDATE($D43,Milestones!$AA$100)&lt;=AsOfDate,IF($Q43=0,$W43,IF(AND($S43&lt;&gt;"",EDATE($D43,Milestones!$AA$100)&gt;=$S43),$V43,IF(AND($R43&lt;&gt;"",EDATE($D43,Milestones!$AA$100)&gt;=$R43),$U43,$T43)))=Milestones!$AB$100),TEXT(EDATE($D43,Milestones!$AA$100),"dd/mm/yy")&amp;" "&amp;Milestones!$AB$100&amp;" "&amp;Milestones!$AC$100&amp;";  ","")&amp;IF(AND(EDATE($D43,Milestones!$AA$101)&lt;=AsOfDate,IF($Q43=0,$W43,IF(AND($S43&lt;&gt;"",EDATE($D43,Milestones!$AA$101)&gt;=$S43),$V43,IF(AND($R43&lt;&gt;"",EDATE($D43,Milestones!$AA$101)&gt;=$R43),$U43,$T43)))=Milestones!$AB$101),TEXT(EDATE($D43,Milestones!$AA$101),"dd/mm/yy")&amp;" "&amp;Milestones!$AB$101&amp;" "&amp;Milestones!$AC$101&amp;";  ","")&amp;IF(AND(EDATE($D43,Milestones!$AA$102)&lt;=AsOfDate,IF($Q43=0,$W43,IF(AND($S43&lt;&gt;"",EDATE($D43,Milestones!$AA$102)&gt;=$S43),$V43,IF(AND($R43&lt;&gt;"",EDATE($D43,Milestones!$AA$102)&gt;=$R43),$U43,$T43)))=Milestones!$AB$102),TEXT(EDATE($D43,Milestones!$AA$102),"dd/mm/yy")&amp;" "&amp;Milestones!$AB$102&amp;" "&amp;Milestones!$AC$102&amp;";  ","")&amp;IF(AND(EDATE($D43,Milestones!$AA$103)&lt;=AsOfDate,IF($Q43=0,$W43,IF(AND($S43&lt;&gt;"",EDATE($D43,Milestones!$AA$103)&gt;=$S43),$V43,IF(AND($R43&lt;&gt;"",EDATE($D43,Milestones!$AA$103)&gt;=$R43),$U43,$T43)))=Milestones!$AB$103),TEXT(EDATE($D43,Milestones!$AA$103),"dd/mm/yy")&amp;" "&amp;Milestones!$AB$103&amp;" "&amp;Milestones!$AC$103&amp;";  ","")&amp;IF(AND(EDATE($D43,Milestones!$AA$104)&lt;=AsOfDate,IF($Q43=0,$W43,IF(AND($S43&lt;&gt;"",EDATE($D43,Milestones!$AA$104)&gt;=$S43),$V43,IF(AND($R43&lt;&gt;"",EDATE($D43,Milestones!$AA$104)&gt;=$R43),$U43,$T43)))=Milestones!$AB$104),TEXT(EDATE($D43,Milestones!$AA$104),"dd/mm/yy")&amp;" "&amp;Milestones!$AB$104&amp;" "&amp;Milestones!$AC$104&amp;";  ","")&amp;IF(AND(EDATE($D43,Milestones!$AA$105)&lt;=AsOfDate,IF($Q43=0,$W43,IF(AND($S43&lt;&gt;"",EDATE($D43,Milestones!$AA$105)&gt;=$S43),$V43,IF(AND($R43&lt;&gt;"",EDATE($D43,Milestones!$AA$105)&gt;=$R43),$U43,$T43)))=Milestones!$AB$105),TEXT(EDATE($D43,Milestones!$AA$105),"dd/mm/yy")&amp;" "&amp;Milestones!$AB$105&amp;" "&amp;Milestones!$AC$105&amp;";  ","")&amp;IF(AND(EDATE($D43,Milestones!$AA$106)&lt;=AsOfDate,IF($Q43=0,$W43,IF(AND($S43&lt;&gt;"",EDATE($D43,Milestones!$AA$106)&gt;=$S43),$V43,IF(AND($R43&lt;&gt;"",EDATE($D43,Milestones!$AA$106)&gt;=$R43),$U43,$T43)))=Milestones!$AB$106),TEXT(EDATE($D43,Milestones!$AA$106),"dd/mm/yy")&amp;" "&amp;Milestones!$AB$106&amp;" "&amp;Milestones!$AC$106&amp;";  ","")&amp;IF(AND(EDATE($D43,Milestones!$AA$107)&lt;=AsOfDate,IF($Q43=0,$W43,IF(AND($S43&lt;&gt;"",EDATE($D43,Milestones!$AA$107)&gt;=$S43),$V43,IF(AND($R43&lt;&gt;"",EDATE($D43,Milestones!$AA$107)&gt;=$R43),$U43,$T43)))=Milestones!$AB$107),TEXT(EDATE($D43,Milestones!$AA$107),"dd/mm/yy")&amp;" "&amp;Milestones!$AB$107&amp;" "&amp;Milestones!$AC$107&amp;";  ","")&amp;IF(AND(EDATE($D43,Milestones!$AA$108)&lt;=AsOfDate,IF($Q43=0,$W43,IF(AND($S43&lt;&gt;"",EDATE($D43,Milestones!$AA$108)&gt;=$S43),$V43,IF(AND($R43&lt;&gt;"",EDATE($D43,Milestones!$AA$108)&gt;=$R43),$U43,$T43)))=Milestones!$AB$108),TEXT(EDATE($D43,Milestones!$AA$108),"dd/mm/yy")&amp;" "&amp;Milestones!$AB$108&amp;" "&amp;Milestones!$AC$108&amp;";  ","")&amp;IF(AND(EDATE($D43,Milestones!$AA$109)&lt;=AsOfDate,IF($Q43=0,$W43,IF(AND($S43&lt;&gt;"",EDATE($D43,Milestones!$AA$109)&gt;=$S43),$V43,IF(AND($R43&lt;&gt;"",EDATE($D43,Milestones!$AA$109)&gt;=$R43),$U43,$T43)))=Milestones!$AB$109),TEXT(EDATE($D43,Milestones!$AA$109),"dd/mm/yy")&amp;" "&amp;Milestones!$AB$109&amp;" "&amp;Milestones!$AC$109&amp;";  ","")&amp;IF(AND(EDATE($D43,Milestones!$AA$110)&lt;=AsOfDate,IF($Q43=0,$W43,IF(AND($S43&lt;&gt;"",EDATE($D43,Milestones!$AA$110)&gt;=$S43),$V43,IF(AND($R43&lt;&gt;"",EDATE($D43,Milestones!$AA$110)&gt;=$R43),$U43,$T43)))=Milestones!$AB$110),TEXT(EDATE($D43,Milestones!$AA$110),"dd/mm/yy")&amp;" "&amp;Milestones!$AB$110&amp;" "&amp;Milestones!$AC$110&amp;";  ","")&amp;IF(AND(EDATE($D43,Milestones!$AA$111)&lt;=AsOfDate,IF($Q43=0,$W43,IF(AND($S43&lt;&gt;"",EDATE($D43,Milestones!$AA$111)&gt;=$S43),$V43,IF(AND($R43&lt;&gt;"",EDATE($D43,Milestones!$AA$111)&gt;=$R43),$U43,$T43)))=Milestones!$AB$111),TEXT(EDATE($D43,Milestones!$AA$111),"dd/mm/yy")&amp;" "&amp;Milestones!$AB$111&amp;" "&amp;Milestones!$AC$111&amp;";  ","")&amp;IF(AND(EDATE($D43,Milestones!$AA$112)&lt;=AsOfDate,IF($Q43=0,$W43,IF(AND($S43&lt;&gt;"",EDATE($D43,Milestones!$AA$112)&gt;=$S43),$V43,IF(AND($R43&lt;&gt;"",EDATE($D43,Milestones!$AA$112)&gt;=$R43),$U43,$T43)))=Milestones!$AB$112),TEXT(EDATE($D43,Milestones!$AA$112),"dd/mm/yy")&amp;" "&amp;Milestones!$AB$112&amp;" "&amp;Milestones!$AC$112&amp;";  ","")&amp;IF(AND(EDATE($D43,Milestones!$AA$113)&lt;=AsOfDate,IF($Q43=0,$W43,IF(AND($S43&lt;&gt;"",EDATE($D43,Milestones!$AA$113)&gt;=$S43),$V43,IF(AND($R43&lt;&gt;"",EDATE($D43,Milestones!$AA$113)&gt;=$R43),$U43,$T43)))=Milestones!$AB$113),TEXT(EDATE($D43,Milestones!$AA$113),"dd/mm/yy")&amp;" "&amp;Milestones!$AB$113&amp;" "&amp;Milestones!$AC$113&amp;";  ","")&amp;IF(AND(EDATE($D43,Milestones!$AA$114)&lt;=AsOfDate,IF($Q43=0,$W43,IF(AND($S43&lt;&gt;"",EDATE($D43,Milestones!$AA$114)&gt;=$S43),$V43,IF(AND($R43&lt;&gt;"",EDATE($D43,Milestones!$AA$114)&gt;=$R43),$U43,$T43)))=Milestones!$AB$114),TEXT(EDATE($D43,Milestones!$AA$114),"dd/mm/yy")&amp;" "&amp;Milestones!$AB$114&amp;" "&amp;Milestones!$AC$114&amp;";  ","")&amp;IF(AND(EDATE($D43,Milestones!$AA$115)&lt;=AsOfDate,IF($Q43=0,$W43,IF(AND($S43&lt;&gt;"",EDATE($D43,Milestones!$AA$115)&gt;=$S43),$V43,IF(AND($R43&lt;&gt;"",EDATE($D43,Milestones!$AA$115)&gt;=$R43),$U43,$T43)))=Milestones!$AB$115),TEXT(EDATE($D43,Milestones!$AA$115),"dd/mm/yy")&amp;" "&amp;Milestones!$AB$115&amp;" "&amp;Milestones!$AC$115&amp;";  ","")&amp;IF(AND(EDATE($D43,Milestones!$AA$116)&lt;=AsOfDate,IF($Q43=0,$W43,IF(AND($S43&lt;&gt;"",EDATE($D43,Milestones!$AA$116)&gt;=$S43),$V43,IF(AND($R43&lt;&gt;"",EDATE($D43,Milestones!$AA$116)&gt;=$R43),$U43,$T43)))=Milestones!$AB$116),TEXT(EDATE($D43,Milestones!$AA$116),"dd/mm/yy")&amp;" "&amp;Milestones!$AB$116&amp;" "&amp;Milestones!$AC$116&amp;";  ","")&amp;IF(AND(EDATE($D43,Milestones!$AA$117)&lt;=AsOfDate,IF($Q43=0,$W43,IF(AND($S43&lt;&gt;"",EDATE($D43,Milestones!$AA$117)&gt;=$S43),$V43,IF(AND($R43&lt;&gt;"",EDATE($D43,Milestones!$AA$117)&gt;=$R43),$U43,$T43)))=Milestones!$AB$117),TEXT(EDATE($D43,Milestones!$AA$117),"dd/mm/yy")&amp;" "&amp;Milestones!$AB$117&amp;" "&amp;Milestones!$AC$117&amp;";  ","")&amp;IF(AND(EDATE($D43,Milestones!$AA$118)&lt;=AsOfDate,IF($Q43=0,$W43,IF(AND($S43&lt;&gt;"",EDATE($D43,Milestones!$AA$118)&gt;=$S43),$V43,IF(AND($R43&lt;&gt;"",EDATE($D43,Milestones!$AA$118)&gt;=$R43),$U43,$T43)))=Milestones!$AB$118),TEXT(EDATE($D43,Milestones!$AA$118),"dd/mm/yy")&amp;" "&amp;Milestones!$AB$118&amp;" "&amp;Milestones!$AC$118&amp;";  ","")&amp;IF(AND(EDATE($D43,Milestones!$AA$119)&lt;=AsOfDate,IF($Q43=0,$W43,IF(AND($S43&lt;&gt;"",EDATE($D43,Milestones!$AA$119)&gt;=$S43),$V43,IF(AND($R43&lt;&gt;"",EDATE($D43,Milestones!$AA$119)&gt;=$R43),$U43,$T43)))=Milestones!$AB$119),TEXT(EDATE($D43,Milestones!$AA$119),"dd/mm/yy")&amp;" "&amp;Milestones!$AB$119&amp;" "&amp;Milestones!$AC$119&amp;";  ",""))</f>
        <v/>
      </c>
      <c r="M43" s="0" t="str">
        <f aca="false">IF(OR($A43="",$D43=""),"",IF(AND(EDATE($D43,Milestones!$AA$120)&lt;=AsOfDate,IF($Q43=0,$W43,IF(AND($S43&lt;&gt;"",EDATE($D43,Milestones!$AA$120)&gt;=$S43),$V43,IF(AND($R43&lt;&gt;"",EDATE($D43,Milestones!$AA$120)&gt;=$R43),$U43,$T43)))=Milestones!$AB$120),TEXT(EDATE($D43,Milestones!$AA$120),"dd/mm/yy")&amp;" "&amp;Milestones!$AB$120&amp;" "&amp;Milestones!$AC$120&amp;";  ","")&amp;IF(AND(EDATE($D43,Milestones!$AA$121)&lt;=AsOfDate,IF($Q43=0,$W43,IF(AND($S43&lt;&gt;"",EDATE($D43,Milestones!$AA$121)&gt;=$S43),$V43,IF(AND($R43&lt;&gt;"",EDATE($D43,Milestones!$AA$121)&gt;=$R43),$U43,$T43)))=Milestones!$AB$121),TEXT(EDATE($D43,Milestones!$AA$121),"dd/mm/yy")&amp;" "&amp;Milestones!$AB$121&amp;" "&amp;Milestones!$AC$121&amp;";  ","")&amp;IF(AND(EDATE($D43,Milestones!$AA$122)&lt;=AsOfDate,IF($Q43=0,$W43,IF(AND($S43&lt;&gt;"",EDATE($D43,Milestones!$AA$122)&gt;=$S43),$V43,IF(AND($R43&lt;&gt;"",EDATE($D43,Milestones!$AA$122)&gt;=$R43),$U43,$T43)))=Milestones!$AB$122),TEXT(EDATE($D43,Milestones!$AA$122),"dd/mm/yy")&amp;" "&amp;Milestones!$AB$122&amp;" "&amp;Milestones!$AC$122&amp;";  ","")&amp;IF(AND(EDATE($D43,Milestones!$AA$123)&lt;=AsOfDate,IF($Q43=0,$W43,IF(AND($S43&lt;&gt;"",EDATE($D43,Milestones!$AA$123)&gt;=$S43),$V43,IF(AND($R43&lt;&gt;"",EDATE($D43,Milestones!$AA$123)&gt;=$R43),$U43,$T43)))=Milestones!$AB$123),TEXT(EDATE($D43,Milestones!$AA$123),"dd/mm/yy")&amp;" "&amp;Milestones!$AB$123&amp;" "&amp;Milestones!$AC$123&amp;";  ","")&amp;IF(AND(EDATE($D43,Milestones!$AA$124)&lt;=AsOfDate,IF($Q43=0,$W43,IF(AND($S43&lt;&gt;"",EDATE($D43,Milestones!$AA$124)&gt;=$S43),$V43,IF(AND($R43&lt;&gt;"",EDATE($D43,Milestones!$AA$124)&gt;=$R43),$U43,$T43)))=Milestones!$AB$124),TEXT(EDATE($D43,Milestones!$AA$124),"dd/mm/yy")&amp;" "&amp;Milestones!$AB$124&amp;" "&amp;Milestones!$AC$124&amp;";  ","")&amp;IF(AND(EDATE($D43,Milestones!$AA$125)&lt;=AsOfDate,IF($Q43=0,$W43,IF(AND($S43&lt;&gt;"",EDATE($D43,Milestones!$AA$125)&gt;=$S43),$V43,IF(AND($R43&lt;&gt;"",EDATE($D43,Milestones!$AA$125)&gt;=$R43),$U43,$T43)))=Milestones!$AB$125),TEXT(EDATE($D43,Milestones!$AA$125),"dd/mm/yy")&amp;" "&amp;Milestones!$AB$125&amp;" "&amp;Milestones!$AC$125&amp;";  ","")&amp;IF(AND(EDATE($D43,Milestones!$AA$126)&lt;=AsOfDate,IF($Q43=0,$W43,IF(AND($S43&lt;&gt;"",EDATE($D43,Milestones!$AA$126)&gt;=$S43),$V43,IF(AND($R43&lt;&gt;"",EDATE($D43,Milestones!$AA$126)&gt;=$R43),$U43,$T43)))=Milestones!$AB$126),TEXT(EDATE($D43,Milestones!$AA$126),"dd/mm/yy")&amp;" "&amp;Milestones!$AB$126&amp;" "&amp;Milestones!$AC$126&amp;";  ","")&amp;IF(AND(EDATE($D43,Milestones!$AA$127)&lt;=AsOfDate,IF($Q43=0,$W43,IF(AND($S43&lt;&gt;"",EDATE($D43,Milestones!$AA$127)&gt;=$S43),$V43,IF(AND($R43&lt;&gt;"",EDATE($D43,Milestones!$AA$127)&gt;=$R43),$U43,$T43)))=Milestones!$AB$127),TEXT(EDATE($D43,Milestones!$AA$127),"dd/mm/yy")&amp;" "&amp;Milestones!$AB$127&amp;" "&amp;Milestones!$AC$127&amp;";  ","")&amp;IF(AND(EDATE($D43,Milestones!$AA$128)&lt;=AsOfDate,IF($Q43=0,$W43,IF(AND($S43&lt;&gt;"",EDATE($D43,Milestones!$AA$128)&gt;=$S43),$V43,IF(AND($R43&lt;&gt;"",EDATE($D43,Milestones!$AA$128)&gt;=$R43),$U43,$T43)))=Milestones!$AB$128),TEXT(EDATE($D43,Milestones!$AA$128),"dd/mm/yy")&amp;" "&amp;Milestones!$AB$128&amp;" "&amp;Milestones!$AC$128&amp;";  ","")&amp;IF(AND(EDATE($D43,Milestones!$AA$129)&lt;=AsOfDate,IF($Q43=0,$W43,IF(AND($S43&lt;&gt;"",EDATE($D43,Milestones!$AA$129)&gt;=$S43),$V43,IF(AND($R43&lt;&gt;"",EDATE($D43,Milestones!$AA$129)&gt;=$R43),$U43,$T43)))=Milestones!$AB$129),TEXT(EDATE($D43,Milestones!$AA$129),"dd/mm/yy")&amp;" "&amp;Milestones!$AB$129&amp;" "&amp;Milestones!$AC$129&amp;";  ","")&amp;IF(AND(EDATE($D43,Milestones!$AA$130)&lt;=AsOfDate,IF($Q43=0,$W43,IF(AND($S43&lt;&gt;"",EDATE($D43,Milestones!$AA$130)&gt;=$S43),$V43,IF(AND($R43&lt;&gt;"",EDATE($D43,Milestones!$AA$130)&gt;=$R43),$U43,$T43)))=Milestones!$AB$130),TEXT(EDATE($D43,Milestones!$AA$130),"dd/mm/yy")&amp;" "&amp;Milestones!$AB$130&amp;" "&amp;Milestones!$AC$130&amp;";  ","")&amp;IF(AND(EDATE($D43,Milestones!$AA$131)&lt;=AsOfDate,IF($Q43=0,$W43,IF(AND($S43&lt;&gt;"",EDATE($D43,Milestones!$AA$131)&gt;=$S43),$V43,IF(AND($R43&lt;&gt;"",EDATE($D43,Milestones!$AA$131)&gt;=$R43),$U43,$T43)))=Milestones!$AB$131),TEXT(EDATE($D43,Milestones!$AA$131),"dd/mm/yy")&amp;" "&amp;Milestones!$AB$131&amp;" "&amp;Milestones!$AC$131&amp;";  ","")&amp;IF(AND(EDATE($D43,Milestones!$AA$132)&lt;=AsOfDate,IF($Q43=0,$W43,IF(AND($S43&lt;&gt;"",EDATE($D43,Milestones!$AA$132)&gt;=$S43),$V43,IF(AND($R43&lt;&gt;"",EDATE($D43,Milestones!$AA$132)&gt;=$R43),$U43,$T43)))=Milestones!$AB$132),TEXT(EDATE($D43,Milestones!$AA$132),"dd/mm/yy")&amp;" "&amp;Milestones!$AB$132&amp;" "&amp;Milestones!$AC$132&amp;";  ","")&amp;IF(AND(EDATE($D43,Milestones!$AA$133)&lt;=AsOfDate,IF($Q43=0,$W43,IF(AND($S43&lt;&gt;"",EDATE($D43,Milestones!$AA$133)&gt;=$S43),$V43,IF(AND($R43&lt;&gt;"",EDATE($D43,Milestones!$AA$133)&gt;=$R43),$U43,$T43)))=Milestones!$AB$133),TEXT(EDATE($D43,Milestones!$AA$133),"dd/mm/yy")&amp;" "&amp;Milestones!$AB$133&amp;" "&amp;Milestones!$AC$133&amp;";  ","")&amp;IF(AND(EDATE($D43,Milestones!$AA$134)&lt;=AsOfDate,IF($Q43=0,$W43,IF(AND($S43&lt;&gt;"",EDATE($D43,Milestones!$AA$134)&gt;=$S43),$V43,IF(AND($R43&lt;&gt;"",EDATE($D43,Milestones!$AA$134)&gt;=$R43),$U43,$T43)))=Milestones!$AB$134),TEXT(EDATE($D43,Milestones!$AA$134),"dd/mm/yy")&amp;" "&amp;Milestones!$AB$134&amp;" "&amp;Milestones!$AC$134&amp;";  ","")&amp;IF(AND(EDATE($D43,Milestones!$AA$135)&lt;=AsOfDate,IF($Q43=0,$W43,IF(AND($S43&lt;&gt;"",EDATE($D43,Milestones!$AA$135)&gt;=$S43),$V43,IF(AND($R43&lt;&gt;"",EDATE($D43,Milestones!$AA$135)&gt;=$R43),$U43,$T43)))=Milestones!$AB$135),TEXT(EDATE($D43,Milestones!$AA$135),"dd/mm/yy")&amp;" "&amp;Milestones!$AB$135&amp;" "&amp;Milestones!$AC$135&amp;";  ","")&amp;IF(AND(EDATE($D43,Milestones!$AA$136)&lt;=AsOfDate,IF($Q43=0,$W43,IF(AND($S43&lt;&gt;"",EDATE($D43,Milestones!$AA$136)&gt;=$S43),$V43,IF(AND($R43&lt;&gt;"",EDATE($D43,Milestones!$AA$136)&gt;=$R43),$U43,$T43)))=Milestones!$AB$136),TEXT(EDATE($D43,Milestones!$AA$136),"dd/mm/yy")&amp;" "&amp;Milestones!$AB$136&amp;" "&amp;Milestones!$AC$136&amp;";  ","")&amp;IF(AND(EDATE($D43,Milestones!$AA$137)&lt;=AsOfDate,IF($Q43=0,$W43,IF(AND($S43&lt;&gt;"",EDATE($D43,Milestones!$AA$137)&gt;=$S43),$V43,IF(AND($R43&lt;&gt;"",EDATE($D43,Milestones!$AA$137)&gt;=$R43),$U43,$T43)))=Milestones!$AB$137),TEXT(EDATE($D43,Milestones!$AA$137),"dd/mm/yy")&amp;" "&amp;Milestones!$AB$137&amp;" "&amp;Milestones!$AC$137&amp;";  ","")&amp;IF(AND(EDATE($D43,Milestones!$AA$138)&lt;=AsOfDate,IF($Q43=0,$W43,IF(AND($S43&lt;&gt;"",EDATE($D43,Milestones!$AA$138)&gt;=$S43),$V43,IF(AND($R43&lt;&gt;"",EDATE($D43,Milestones!$AA$138)&gt;=$R43),$U43,$T43)))=Milestones!$AB$138),TEXT(EDATE($D43,Milestones!$AA$138),"dd/mm/yy")&amp;" "&amp;Milestones!$AB$138&amp;" "&amp;Milestones!$AC$138&amp;";  ","")&amp;IF(AND(EDATE($D43,Milestones!$AA$139)&lt;=AsOfDate,IF($Q43=0,$W43,IF(AND($S43&lt;&gt;"",EDATE($D43,Milestones!$AA$139)&gt;=$S43),$V43,IF(AND($R43&lt;&gt;"",EDATE($D43,Milestones!$AA$139)&gt;=$R43),$U43,$T43)))=Milestones!$AB$139),TEXT(EDATE($D43,Milestones!$AA$139),"dd/mm/yy")&amp;" "&amp;Milestones!$AB$139&amp;" "&amp;Milestones!$AC$139&amp;";  ",""))</f>
        <v/>
      </c>
      <c r="N43" s="0" t="str">
        <f aca="false">IF(OR($A43="",$D43=""),"",IF(AND(EDATE($D43,Milestones!$AA$140)&lt;=AsOfDate,IF($Q43=0,$W43,IF(AND($S43&lt;&gt;"",EDATE($D43,Milestones!$AA$140)&gt;=$S43),$V43,IF(AND($R43&lt;&gt;"",EDATE($D43,Milestones!$AA$140)&gt;=$R43),$U43,$T43)))=Milestones!$AB$140),TEXT(EDATE($D43,Milestones!$AA$140),"dd/mm/yy")&amp;" "&amp;Milestones!$AB$140&amp;" "&amp;Milestones!$AC$140&amp;";  ","")&amp;IF(AND(EDATE($D43,Milestones!$AA$141)&lt;=AsOfDate,IF($Q43=0,$W43,IF(AND($S43&lt;&gt;"",EDATE($D43,Milestones!$AA$141)&gt;=$S43),$V43,IF(AND($R43&lt;&gt;"",EDATE($D43,Milestones!$AA$141)&gt;=$R43),$U43,$T43)))=Milestones!$AB$141),TEXT(EDATE($D43,Milestones!$AA$141),"dd/mm/yy")&amp;" "&amp;Milestones!$AB$141&amp;" "&amp;Milestones!$AC$141&amp;";  ","")&amp;IF(AND(EDATE($D43,Milestones!$AA$142)&lt;=AsOfDate,IF($Q43=0,$W43,IF(AND($S43&lt;&gt;"",EDATE($D43,Milestones!$AA$142)&gt;=$S43),$V43,IF(AND($R43&lt;&gt;"",EDATE($D43,Milestones!$AA$142)&gt;=$R43),$U43,$T43)))=Milestones!$AB$142),TEXT(EDATE($D43,Milestones!$AA$142),"dd/mm/yy")&amp;" "&amp;Milestones!$AB$142&amp;" "&amp;Milestones!$AC$142&amp;";  ","")&amp;IF(AND(EDATE($D43,Milestones!$AA$143)&lt;=AsOfDate,IF($Q43=0,$W43,IF(AND($S43&lt;&gt;"",EDATE($D43,Milestones!$AA$143)&gt;=$S43),$V43,IF(AND($R43&lt;&gt;"",EDATE($D43,Milestones!$AA$143)&gt;=$R43),$U43,$T43)))=Milestones!$AB$143),TEXT(EDATE($D43,Milestones!$AA$143),"dd/mm/yy")&amp;" "&amp;Milestones!$AB$143&amp;" "&amp;Milestones!$AC$143&amp;";  ","")&amp;IF(AND(EDATE($D43,Milestones!$AA$144)&lt;=AsOfDate,IF($Q43=0,$W43,IF(AND($S43&lt;&gt;"",EDATE($D43,Milestones!$AA$144)&gt;=$S43),$V43,IF(AND($R43&lt;&gt;"",EDATE($D43,Milestones!$AA$144)&gt;=$R43),$U43,$T43)))=Milestones!$AB$144),TEXT(EDATE($D43,Milestones!$AA$144),"dd/mm/yy")&amp;" "&amp;Milestones!$AB$144&amp;" "&amp;Milestones!$AC$144&amp;";  ","")&amp;IF(AND(EDATE($D43,Milestones!$AA$145)&lt;=AsOfDate,IF($Q43=0,$W43,IF(AND($S43&lt;&gt;"",EDATE($D43,Milestones!$AA$145)&gt;=$S43),$V43,IF(AND($R43&lt;&gt;"",EDATE($D43,Milestones!$AA$145)&gt;=$R43),$U43,$T43)))=Milestones!$AB$145),TEXT(EDATE($D43,Milestones!$AA$145),"dd/mm/yy")&amp;" "&amp;Milestones!$AB$145&amp;" "&amp;Milestones!$AC$145&amp;";  ","")&amp;IF(AND(EDATE($D43,Milestones!$AA$146)&lt;=AsOfDate,IF($Q43=0,$W43,IF(AND($S43&lt;&gt;"",EDATE($D43,Milestones!$AA$146)&gt;=$S43),$V43,IF(AND($R43&lt;&gt;"",EDATE($D43,Milestones!$AA$146)&gt;=$R43),$U43,$T43)))=Milestones!$AB$146),TEXT(EDATE($D43,Milestones!$AA$146),"dd/mm/yy")&amp;" "&amp;Milestones!$AB$146&amp;" "&amp;Milestones!$AC$146&amp;";  ","")&amp;IF(AND(EDATE($D43,Milestones!$AA$147)&lt;=AsOfDate,IF($Q43=0,$W43,IF(AND($S43&lt;&gt;"",EDATE($D43,Milestones!$AA$147)&gt;=$S43),$V43,IF(AND($R43&lt;&gt;"",EDATE($D43,Milestones!$AA$147)&gt;=$R43),$U43,$T43)))=Milestones!$AB$147),TEXT(EDATE($D43,Milestones!$AA$147),"dd/mm/yy")&amp;" "&amp;Milestones!$AB$147&amp;" "&amp;Milestones!$AC$147&amp;";  ","")&amp;IF(AND(EDATE($D43,Milestones!$AA$148)&lt;=AsOfDate,IF($Q43=0,$W43,IF(AND($S43&lt;&gt;"",EDATE($D43,Milestones!$AA$148)&gt;=$S43),$V43,IF(AND($R43&lt;&gt;"",EDATE($D43,Milestones!$AA$148)&gt;=$R43),$U43,$T43)))=Milestones!$AB$148),TEXT(EDATE($D43,Milestones!$AA$148),"dd/mm/yy")&amp;" "&amp;Milestones!$AB$148&amp;" "&amp;Milestones!$AC$148&amp;";  ","")&amp;IF(AND(EDATE($D43,Milestones!$AA$149)&lt;=AsOfDate,IF($Q43=0,$W43,IF(AND($S43&lt;&gt;"",EDATE($D43,Milestones!$AA$149)&gt;=$S43),$V43,IF(AND($R43&lt;&gt;"",EDATE($D43,Milestones!$AA$149)&gt;=$R43),$U43,$T43)))=Milestones!$AB$149),TEXT(EDATE($D43,Milestones!$AA$149),"dd/mm/yy")&amp;" "&amp;Milestones!$AB$149&amp;" "&amp;Milestones!$AC$149&amp;";  ","")&amp;IF(AND(EDATE($D43,Milestones!$AA$150)&lt;=AsOfDate,IF($Q43=0,$W43,IF(AND($S43&lt;&gt;"",EDATE($D43,Milestones!$AA$150)&gt;=$S43),$V43,IF(AND($R43&lt;&gt;"",EDATE($D43,Milestones!$AA$150)&gt;=$R43),$U43,$T43)))=Milestones!$AB$150),TEXT(EDATE($D43,Milestones!$AA$150),"dd/mm/yy")&amp;" "&amp;Milestones!$AB$150&amp;" "&amp;Milestones!$AC$150&amp;";  ","")&amp;IF(AND(EDATE($D43,Milestones!$AA$151)&lt;=AsOfDate,IF($Q43=0,$W43,IF(AND($S43&lt;&gt;"",EDATE($D43,Milestones!$AA$151)&gt;=$S43),$V43,IF(AND($R43&lt;&gt;"",EDATE($D43,Milestones!$AA$151)&gt;=$R43),$U43,$T43)))=Milestones!$AB$151),TEXT(EDATE($D43,Milestones!$AA$151),"dd/mm/yy")&amp;" "&amp;Milestones!$AB$151&amp;" "&amp;Milestones!$AC$151&amp;";  ","")&amp;IF(AND(EDATE($D43,Milestones!$AA$152)&lt;=AsOfDate,IF($Q43=0,$W43,IF(AND($S43&lt;&gt;"",EDATE($D43,Milestones!$AA$152)&gt;=$S43),$V43,IF(AND($R43&lt;&gt;"",EDATE($D43,Milestones!$AA$152)&gt;=$R43),$U43,$T43)))=Milestones!$AB$152),TEXT(EDATE($D43,Milestones!$AA$152),"dd/mm/yy")&amp;" "&amp;Milestones!$AB$152&amp;" "&amp;Milestones!$AC$152&amp;";  ","")&amp;IF(AND(EDATE($D43,Milestones!$AA$153)&lt;=AsOfDate,IF($Q43=0,$W43,IF(AND($S43&lt;&gt;"",EDATE($D43,Milestones!$AA$153)&gt;=$S43),$V43,IF(AND($R43&lt;&gt;"",EDATE($D43,Milestones!$AA$153)&gt;=$R43),$U43,$T43)))=Milestones!$AB$153),TEXT(EDATE($D43,Milestones!$AA$153),"dd/mm/yy")&amp;" "&amp;Milestones!$AB$153&amp;" "&amp;Milestones!$AC$153&amp;";  ","")&amp;IF(AND(EDATE($D43,Milestones!$AA$154)&lt;=AsOfDate,IF($Q43=0,$W43,IF(AND($S43&lt;&gt;"",EDATE($D43,Milestones!$AA$154)&gt;=$S43),$V43,IF(AND($R43&lt;&gt;"",EDATE($D43,Milestones!$AA$154)&gt;=$R43),$U43,$T43)))=Milestones!$AB$154),TEXT(EDATE($D43,Milestones!$AA$154),"dd/mm/yy")&amp;" "&amp;Milestones!$AB$154&amp;" "&amp;Milestones!$AC$154&amp;";  ","")&amp;IF(AND(EDATE($D43,Milestones!$AA$155)&lt;=AsOfDate,IF($Q43=0,$W43,IF(AND($S43&lt;&gt;"",EDATE($D43,Milestones!$AA$155)&gt;=$S43),$V43,IF(AND($R43&lt;&gt;"",EDATE($D43,Milestones!$AA$155)&gt;=$R43),$U43,$T43)))=Milestones!$AB$155),TEXT(EDATE($D43,Milestones!$AA$155),"dd/mm/yy")&amp;" "&amp;Milestones!$AB$155&amp;" "&amp;Milestones!$AC$155&amp;";  ","")&amp;IF(AND(EDATE($D43,Milestones!$AA$156)&lt;=AsOfDate,IF($Q43=0,$W43,IF(AND($S43&lt;&gt;"",EDATE($D43,Milestones!$AA$156)&gt;=$S43),$V43,IF(AND($R43&lt;&gt;"",EDATE($D43,Milestones!$AA$156)&gt;=$R43),$U43,$T43)))=Milestones!$AB$156),TEXT(EDATE($D43,Milestones!$AA$156),"dd/mm/yy")&amp;" "&amp;Milestones!$AB$156&amp;" "&amp;Milestones!$AC$156&amp;";  ","")&amp;IF(AND(EDATE($D43,Milestones!$AA$157)&lt;=AsOfDate,IF($Q43=0,$W43,IF(AND($S43&lt;&gt;"",EDATE($D43,Milestones!$AA$157)&gt;=$S43),$V43,IF(AND($R43&lt;&gt;"",EDATE($D43,Milestones!$AA$157)&gt;=$R43),$U43,$T43)))=Milestones!$AB$157),TEXT(EDATE($D43,Milestones!$AA$157),"dd/mm/yy")&amp;" "&amp;Milestones!$AB$157&amp;" "&amp;Milestones!$AC$157&amp;";  ","")&amp;IF(AND(EDATE($D43,Milestones!$AA$158)&lt;=AsOfDate,IF($Q43=0,$W43,IF(AND($S43&lt;&gt;"",EDATE($D43,Milestones!$AA$158)&gt;=$S43),$V43,IF(AND($R43&lt;&gt;"",EDATE($D43,Milestones!$AA$158)&gt;=$R43),$U43,$T43)))=Milestones!$AB$158),TEXT(EDATE($D43,Milestones!$AA$158),"dd/mm/yy")&amp;" "&amp;Milestones!$AB$158&amp;" "&amp;Milestones!$AC$158&amp;";  ","")&amp;IF(AND(EDATE($D43,Milestones!$AA$159)&lt;=AsOfDate,IF($Q43=0,$W43,IF(AND($S43&lt;&gt;"",EDATE($D43,Milestones!$AA$159)&gt;=$S43),$V43,IF(AND($R43&lt;&gt;"",EDATE($D43,Milestones!$AA$159)&gt;=$R43),$U43,$T43)))=Milestones!$AB$159),TEXT(EDATE($D43,Milestones!$AA$159),"dd/mm/yy")&amp;" "&amp;Milestones!$AB$159&amp;" "&amp;Milestones!$AC$159&amp;";  ",""))</f>
        <v/>
      </c>
      <c r="O43" s="0" t="str">
        <f aca="false">IF(OR($A43="",$D43=""),"",IF(AND(EDATE($D43,Milestones!$AA$160)&lt;=AsOfDate,IF($Q43=0,$W43,IF(AND($S43&lt;&gt;"",EDATE($D43,Milestones!$AA$160)&gt;=$S43),$V43,IF(AND($R43&lt;&gt;"",EDATE($D43,Milestones!$AA$160)&gt;=$R43),$U43,$T43)))=Milestones!$AB$160),TEXT(EDATE($D43,Milestones!$AA$160),"dd/mm/yy")&amp;" "&amp;Milestones!$AB$160&amp;" "&amp;Milestones!$AC$160&amp;";  ","")&amp;IF(AND(EDATE($D43,Milestones!$AA$161)&lt;=AsOfDate,IF($Q43=0,$W43,IF(AND($S43&lt;&gt;"",EDATE($D43,Milestones!$AA$161)&gt;=$S43),$V43,IF(AND($R43&lt;&gt;"",EDATE($D43,Milestones!$AA$161)&gt;=$R43),$U43,$T43)))=Milestones!$AB$161),TEXT(EDATE($D43,Milestones!$AA$161),"dd/mm/yy")&amp;" "&amp;Milestones!$AB$161&amp;" "&amp;Milestones!$AC$161&amp;";  ","")&amp;IF(AND(EDATE($D43,Milestones!$AA$162)&lt;=AsOfDate,IF($Q43=0,$W43,IF(AND($S43&lt;&gt;"",EDATE($D43,Milestones!$AA$162)&gt;=$S43),$V43,IF(AND($R43&lt;&gt;"",EDATE($D43,Milestones!$AA$162)&gt;=$R43),$U43,$T43)))=Milestones!$AB$162),TEXT(EDATE($D43,Milestones!$AA$162),"dd/mm/yy")&amp;" "&amp;Milestones!$AB$162&amp;" "&amp;Milestones!$AC$162&amp;";  ","")&amp;IF(AND(EDATE($D43,Milestones!$AA$163)&lt;=AsOfDate,IF($Q43=0,$W43,IF(AND($S43&lt;&gt;"",EDATE($D43,Milestones!$AA$163)&gt;=$S43),$V43,IF(AND($R43&lt;&gt;"",EDATE($D43,Milestones!$AA$163)&gt;=$R43),$U43,$T43)))=Milestones!$AB$163),TEXT(EDATE($D43,Milestones!$AA$163),"dd/mm/yy")&amp;" "&amp;Milestones!$AB$163&amp;" "&amp;Milestones!$AC$163&amp;";  ","")&amp;IF(AND(EDATE($D43,Milestones!$AA$164)&lt;=AsOfDate,IF($Q43=0,$W43,IF(AND($S43&lt;&gt;"",EDATE($D43,Milestones!$AA$164)&gt;=$S43),$V43,IF(AND($R43&lt;&gt;"",EDATE($D43,Milestones!$AA$164)&gt;=$R43),$U43,$T43)))=Milestones!$AB$164),TEXT(EDATE($D43,Milestones!$AA$164),"dd/mm/yy")&amp;" "&amp;Milestones!$AB$164&amp;" "&amp;Milestones!$AC$164&amp;";  ","")&amp;IF(AND(EDATE($D43,Milestones!$AA$165)&lt;=AsOfDate,IF($Q43=0,$W43,IF(AND($S43&lt;&gt;"",EDATE($D43,Milestones!$AA$165)&gt;=$S43),$V43,IF(AND($R43&lt;&gt;"",EDATE($D43,Milestones!$AA$165)&gt;=$R43),$U43,$T43)))=Milestones!$AB$165),TEXT(EDATE($D43,Milestones!$AA$165),"dd/mm/yy")&amp;" "&amp;Milestones!$AB$165&amp;" "&amp;Milestones!$AC$165&amp;";  ","")&amp;IF(AND(EDATE($D43,Milestones!$AA$166)&lt;=AsOfDate,IF($Q43=0,$W43,IF(AND($S43&lt;&gt;"",EDATE($D43,Milestones!$AA$166)&gt;=$S43),$V43,IF(AND($R43&lt;&gt;"",EDATE($D43,Milestones!$AA$166)&gt;=$R43),$U43,$T43)))=Milestones!$AB$166),TEXT(EDATE($D43,Milestones!$AA$166),"dd/mm/yy")&amp;" "&amp;Milestones!$AB$166&amp;" "&amp;Milestones!$AC$166&amp;";  ","")&amp;IF(AND(EDATE($D43,Milestones!$AA$167)&lt;=AsOfDate,IF($Q43=0,$W43,IF(AND($S43&lt;&gt;"",EDATE($D43,Milestones!$AA$167)&gt;=$S43),$V43,IF(AND($R43&lt;&gt;"",EDATE($D43,Milestones!$AA$167)&gt;=$R43),$U43,$T43)))=Milestones!$AB$167),TEXT(EDATE($D43,Milestones!$AA$167),"dd/mm/yy")&amp;" "&amp;Milestones!$AB$167&amp;" "&amp;Milestones!$AC$167&amp;";  ","")&amp;IF(AND(EDATE($D43,Milestones!$AA$168)&lt;=AsOfDate,IF($Q43=0,$W43,IF(AND($S43&lt;&gt;"",EDATE($D43,Milestones!$AA$168)&gt;=$S43),$V43,IF(AND($R43&lt;&gt;"",EDATE($D43,Milestones!$AA$168)&gt;=$R43),$U43,$T43)))=Milestones!$AB$168),TEXT(EDATE($D43,Milestones!$AA$168),"dd/mm/yy")&amp;" "&amp;Milestones!$AB$168&amp;" "&amp;Milestones!$AC$168&amp;";  ","")&amp;IF(AND(EDATE($D43,Milestones!$AA$169)&lt;=AsOfDate,IF($Q43=0,$W43,IF(AND($S43&lt;&gt;"",EDATE($D43,Milestones!$AA$169)&gt;=$S43),$V43,IF(AND($R43&lt;&gt;"",EDATE($D43,Milestones!$AA$169)&gt;=$R43),$U43,$T43)))=Milestones!$AB$169),TEXT(EDATE($D43,Milestones!$AA$169),"dd/mm/yy")&amp;" "&amp;Milestones!$AB$169&amp;" "&amp;Milestones!$AC$169&amp;";  ","")&amp;IF(AND(EDATE($D43,Milestones!$AA$170)&lt;=AsOfDate,IF($Q43=0,$W43,IF(AND($S43&lt;&gt;"",EDATE($D43,Milestones!$AA$170)&gt;=$S43),$V43,IF(AND($R43&lt;&gt;"",EDATE($D43,Milestones!$AA$170)&gt;=$R43),$U43,$T43)))=Milestones!$AB$170),TEXT(EDATE($D43,Milestones!$AA$170),"dd/mm/yy")&amp;" "&amp;Milestones!$AB$170&amp;" "&amp;Milestones!$AC$170&amp;";  ","")&amp;IF(AND(EDATE($D43,Milestones!$AA$171)&lt;=AsOfDate,IF($Q43=0,$W43,IF(AND($S43&lt;&gt;"",EDATE($D43,Milestones!$AA$171)&gt;=$S43),$V43,IF(AND($R43&lt;&gt;"",EDATE($D43,Milestones!$AA$171)&gt;=$R43),$U43,$T43)))=Milestones!$AB$171),TEXT(EDATE($D43,Milestones!$AA$171),"dd/mm/yy")&amp;" "&amp;Milestones!$AB$171&amp;" "&amp;Milestones!$AC$171&amp;";  ","")&amp;IF(AND(EDATE($D43,Milestones!$AA$172)&lt;=AsOfDate,IF($Q43=0,$W43,IF(AND($S43&lt;&gt;"",EDATE($D43,Milestones!$AA$172)&gt;=$S43),$V43,IF(AND($R43&lt;&gt;"",EDATE($D43,Milestones!$AA$172)&gt;=$R43),$U43,$T43)))=Milestones!$AB$172),TEXT(EDATE($D43,Milestones!$AA$172),"dd/mm/yy")&amp;" "&amp;Milestones!$AB$172&amp;" "&amp;Milestones!$AC$172&amp;";  ","")&amp;IF(AND(EDATE($D43,Milestones!$AA$173)&lt;=AsOfDate,IF($Q43=0,$W43,IF(AND($S43&lt;&gt;"",EDATE($D43,Milestones!$AA$173)&gt;=$S43),$V43,IF(AND($R43&lt;&gt;"",EDATE($D43,Milestones!$AA$173)&gt;=$R43),$U43,$T43)))=Milestones!$AB$173),TEXT(EDATE($D43,Milestones!$AA$173),"dd/mm/yy")&amp;" "&amp;Milestones!$AB$173&amp;" "&amp;Milestones!$AC$173&amp;";  ","")&amp;IF(AND(EDATE($D43,Milestones!$AA$174)&lt;=AsOfDate,IF($Q43=0,$W43,IF(AND($S43&lt;&gt;"",EDATE($D43,Milestones!$AA$174)&gt;=$S43),$V43,IF(AND($R43&lt;&gt;"",EDATE($D43,Milestones!$AA$174)&gt;=$R43),$U43,$T43)))=Milestones!$AB$174),TEXT(EDATE($D43,Milestones!$AA$174),"dd/mm/yy")&amp;" "&amp;Milestones!$AB$174&amp;" "&amp;Milestones!$AC$174&amp;";  ","")&amp;IF(AND(EDATE($D43,Milestones!$AA$175)&lt;=AsOfDate,IF($Q43=0,$W43,IF(AND($S43&lt;&gt;"",EDATE($D43,Milestones!$AA$175)&gt;=$S43),$V43,IF(AND($R43&lt;&gt;"",EDATE($D43,Milestones!$AA$175)&gt;=$R43),$U43,$T43)))=Milestones!$AB$175),TEXT(EDATE($D43,Milestones!$AA$175),"dd/mm/yy")&amp;" "&amp;Milestones!$AB$175&amp;" "&amp;Milestones!$AC$175&amp;";  ","")&amp;IF(AND(EDATE($D43,Milestones!$AA$176)&lt;=AsOfDate,IF($Q43=0,$W43,IF(AND($S43&lt;&gt;"",EDATE($D43,Milestones!$AA$176)&gt;=$S43),$V43,IF(AND($R43&lt;&gt;"",EDATE($D43,Milestones!$AA$176)&gt;=$R43),$U43,$T43)))=Milestones!$AB$176),TEXT(EDATE($D43,Milestones!$AA$176),"dd/mm/yy")&amp;" "&amp;Milestones!$AB$176&amp;" "&amp;Milestones!$AC$176&amp;";  ","")&amp;IF(AND(EDATE($D43,Milestones!$AA$177)&lt;=AsOfDate,IF($Q43=0,$W43,IF(AND($S43&lt;&gt;"",EDATE($D43,Milestones!$AA$177)&gt;=$S43),$V43,IF(AND($R43&lt;&gt;"",EDATE($D43,Milestones!$AA$177)&gt;=$R43),$U43,$T43)))=Milestones!$AB$177),TEXT(EDATE($D43,Milestones!$AA$177),"dd/mm/yy")&amp;" "&amp;Milestones!$AB$177&amp;" "&amp;Milestones!$AC$177&amp;";  ","")&amp;IF(AND(EDATE($D43,Milestones!$AA$178)&lt;=AsOfDate,IF($Q43=0,$W43,IF(AND($S43&lt;&gt;"",EDATE($D43,Milestones!$AA$178)&gt;=$S43),$V43,IF(AND($R43&lt;&gt;"",EDATE($D43,Milestones!$AA$178)&gt;=$R43),$U43,$T43)))=Milestones!$AB$178),TEXT(EDATE($D43,Milestones!$AA$178),"dd/mm/yy")&amp;" "&amp;Milestones!$AB$178&amp;" "&amp;Milestones!$AC$178&amp;";  ","")&amp;IF(AND(EDATE($D43,Milestones!$AA$179)&lt;=AsOfDate,IF($Q43=0,$W43,IF(AND($S43&lt;&gt;"",EDATE($D43,Milestones!$AA$179)&gt;=$S43),$V43,IF(AND($R43&lt;&gt;"",EDATE($D43,Milestones!$AA$179)&gt;=$R43),$U43,$T43)))=Milestones!$AB$179),TEXT(EDATE($D43,Milestones!$AA$179),"dd/mm/yy")&amp;" "&amp;Milestones!$AB$179&amp;" "&amp;Milestones!$AC$179&amp;";  ",""))</f>
        <v/>
      </c>
      <c r="P43" s="0" t="str">
        <f aca="false">IF(OR($A43="",$D43=""),"",IF(AND(EDATE($D43,Milestones!$AA$180)&lt;=AsOfDate,IF($Q43=0,$W43,IF(AND($S43&lt;&gt;"",EDATE($D43,Milestones!$AA$180)&gt;=$S43),$V43,IF(AND($R43&lt;&gt;"",EDATE($D43,Milestones!$AA$180)&gt;=$R43),$U43,$T43)))=Milestones!$AB$180),TEXT(EDATE($D43,Milestones!$AA$180),"dd/mm/yy")&amp;" "&amp;Milestones!$AB$180&amp;" "&amp;Milestones!$AC$180&amp;";  ","")&amp;IF(AND(EDATE($D43,Milestones!$AA$181)&lt;=AsOfDate,IF($Q43=0,$W43,IF(AND($S43&lt;&gt;"",EDATE($D43,Milestones!$AA$181)&gt;=$S43),$V43,IF(AND($R43&lt;&gt;"",EDATE($D43,Milestones!$AA$181)&gt;=$R43),$U43,$T43)))=Milestones!$AB$181),TEXT(EDATE($D43,Milestones!$AA$181),"dd/mm/yy")&amp;" "&amp;Milestones!$AB$181&amp;" "&amp;Milestones!$AC$181&amp;";  ","")&amp;IF(AND(EDATE($D43,Milestones!$AA$182)&lt;=AsOfDate,IF($Q43=0,$W43,IF(AND($S43&lt;&gt;"",EDATE($D43,Milestones!$AA$182)&gt;=$S43),$V43,IF(AND($R43&lt;&gt;"",EDATE($D43,Milestones!$AA$182)&gt;=$R43),$U43,$T43)))=Milestones!$AB$182),TEXT(EDATE($D43,Milestones!$AA$182),"dd/mm/yy")&amp;" "&amp;Milestones!$AB$182&amp;" "&amp;Milestones!$AC$182&amp;";  ","")&amp;IF(AND(EDATE($D43,Milestones!$AA$183)&lt;=AsOfDate,IF($Q43=0,$W43,IF(AND($S43&lt;&gt;"",EDATE($D43,Milestones!$AA$183)&gt;=$S43),$V43,IF(AND($R43&lt;&gt;"",EDATE($D43,Milestones!$AA$183)&gt;=$R43),$U43,$T43)))=Milestones!$AB$183),TEXT(EDATE($D43,Milestones!$AA$183),"dd/mm/yy")&amp;" "&amp;Milestones!$AB$183&amp;" "&amp;Milestones!$AC$183&amp;";  ","")&amp;IF(AND(EDATE($D43,Milestones!$AA$184)&lt;=AsOfDate,IF($Q43=0,$W43,IF(AND($S43&lt;&gt;"",EDATE($D43,Milestones!$AA$184)&gt;=$S43),$V43,IF(AND($R43&lt;&gt;"",EDATE($D43,Milestones!$AA$184)&gt;=$R43),$U43,$T43)))=Milestones!$AB$184),TEXT(EDATE($D43,Milestones!$AA$184),"dd/mm/yy")&amp;" "&amp;Milestones!$AB$184&amp;" "&amp;Milestones!$AC$184&amp;";  ","")&amp;IF(AND(EDATE($D43,Milestones!$AA$185)&lt;=AsOfDate,IF($Q43=0,$W43,IF(AND($S43&lt;&gt;"",EDATE($D43,Milestones!$AA$185)&gt;=$S43),$V43,IF(AND($R43&lt;&gt;"",EDATE($D43,Milestones!$AA$185)&gt;=$R43),$U43,$T43)))=Milestones!$AB$185),TEXT(EDATE($D43,Milestones!$AA$185),"dd/mm/yy")&amp;" "&amp;Milestones!$AB$185&amp;" "&amp;Milestones!$AC$185&amp;";  ","")&amp;IF(AND(EDATE($D43,Milestones!$AA$186)&lt;=AsOfDate,IF($Q43=0,$W43,IF(AND($S43&lt;&gt;"",EDATE($D43,Milestones!$AA$186)&gt;=$S43),$V43,IF(AND($R43&lt;&gt;"",EDATE($D43,Milestones!$AA$186)&gt;=$R43),$U43,$T43)))=Milestones!$AB$186),TEXT(EDATE($D43,Milestones!$AA$186),"dd/mm/yy")&amp;" "&amp;Milestones!$AB$186&amp;" "&amp;Milestones!$AC$186&amp;";  ","")&amp;IF(AND(EDATE($D43,Milestones!$AA$187)&lt;=AsOfDate,IF($Q43=0,$W43,IF(AND($S43&lt;&gt;"",EDATE($D43,Milestones!$AA$187)&gt;=$S43),$V43,IF(AND($R43&lt;&gt;"",EDATE($D43,Milestones!$AA$187)&gt;=$R43),$U43,$T43)))=Milestones!$AB$187),TEXT(EDATE($D43,Milestones!$AA$187),"dd/mm/yy")&amp;" "&amp;Milestones!$AB$187&amp;" "&amp;Milestones!$AC$187&amp;";  ","")&amp;IF(AND(EDATE($D43,Milestones!$AA$188)&lt;=AsOfDate,IF($Q43=0,$W43,IF(AND($S43&lt;&gt;"",EDATE($D43,Milestones!$AA$188)&gt;=$S43),$V43,IF(AND($R43&lt;&gt;"",EDATE($D43,Milestones!$AA$188)&gt;=$R43),$U43,$T43)))=Milestones!$AB$188),TEXT(EDATE($D43,Milestones!$AA$188),"dd/mm/yy")&amp;" "&amp;Milestones!$AB$188&amp;" "&amp;Milestones!$AC$188&amp;";  ","")&amp;IF(AND(EDATE($D43,Milestones!$AA$189)&lt;=AsOfDate,IF($Q43=0,$W43,IF(AND($S43&lt;&gt;"",EDATE($D43,Milestones!$AA$189)&gt;=$S43),$V43,IF(AND($R43&lt;&gt;"",EDATE($D43,Milestones!$AA$189)&gt;=$R43),$U43,$T43)))=Milestones!$AB$189),TEXT(EDATE($D43,Milestones!$AA$189),"dd/mm/yy")&amp;" "&amp;Milestones!$AB$189&amp;" "&amp;Milestones!$AC$189&amp;";  ","")&amp;IF(AND(EDATE($D43,Milestones!$AA$190)&lt;=AsOfDate,IF($Q43=0,$W43,IF(AND($S43&lt;&gt;"",EDATE($D43,Milestones!$AA$190)&gt;=$S43),$V43,IF(AND($R43&lt;&gt;"",EDATE($D43,Milestones!$AA$190)&gt;=$R43),$U43,$T43)))=Milestones!$AB$190),TEXT(EDATE($D43,Milestones!$AA$190),"dd/mm/yy")&amp;" "&amp;Milestones!$AB$190&amp;" "&amp;Milestones!$AC$190&amp;";  ","")&amp;IF(AND(EDATE($D43,Milestones!$AA$191)&lt;=AsOfDate,IF($Q43=0,$W43,IF(AND($S43&lt;&gt;"",EDATE($D43,Milestones!$AA$191)&gt;=$S43),$V43,IF(AND($R43&lt;&gt;"",EDATE($D43,Milestones!$AA$191)&gt;=$R43),$U43,$T43)))=Milestones!$AB$191),TEXT(EDATE($D43,Milestones!$AA$191),"dd/mm/yy")&amp;" "&amp;Milestones!$AB$191&amp;" "&amp;Milestones!$AC$191&amp;";  ","")&amp;IF(AND(EDATE($D43,Milestones!$AA$192)&lt;=AsOfDate,IF($Q43=0,$W43,IF(AND($S43&lt;&gt;"",EDATE($D43,Milestones!$AA$192)&gt;=$S43),$V43,IF(AND($R43&lt;&gt;"",EDATE($D43,Milestones!$AA$192)&gt;=$R43),$U43,$T43)))=Milestones!$AB$192),TEXT(EDATE($D43,Milestones!$AA$192),"dd/mm/yy")&amp;" "&amp;Milestones!$AB$192&amp;" "&amp;Milestones!$AC$192&amp;";  ","")&amp;IF(AND(EDATE($D43,Milestones!$AA$193)&lt;=AsOfDate,IF($Q43=0,$W43,IF(AND($S43&lt;&gt;"",EDATE($D43,Milestones!$AA$193)&gt;=$S43),$V43,IF(AND($R43&lt;&gt;"",EDATE($D43,Milestones!$AA$193)&gt;=$R43),$U43,$T43)))=Milestones!$AB$193),TEXT(EDATE($D43,Milestones!$AA$193),"dd/mm/yy")&amp;" "&amp;Milestones!$AB$193&amp;" "&amp;Milestones!$AC$193&amp;";  ","")&amp;IF(AND(EDATE($D43,Milestones!$AA$194)&lt;=AsOfDate,IF($Q43=0,$W43,IF(AND($S43&lt;&gt;"",EDATE($D43,Milestones!$AA$194)&gt;=$S43),$V43,IF(AND($R43&lt;&gt;"",EDATE($D43,Milestones!$AA$194)&gt;=$R43),$U43,$T43)))=Milestones!$AB$194),TEXT(EDATE($D43,Milestones!$AA$194),"dd/mm/yy")&amp;" "&amp;Milestones!$AB$194&amp;" "&amp;Milestones!$AC$194&amp;";  ","")&amp;IF(AND(EDATE($D43,Milestones!$AA$195)&lt;=AsOfDate,IF($Q43=0,$W43,IF(AND($S43&lt;&gt;"",EDATE($D43,Milestones!$AA$195)&gt;=$S43),$V43,IF(AND($R43&lt;&gt;"",EDATE($D43,Milestones!$AA$195)&gt;=$R43),$U43,$T43)))=Milestones!$AB$195),TEXT(EDATE($D43,Milestones!$AA$195),"dd/mm/yy")&amp;" "&amp;Milestones!$AB$195&amp;" "&amp;Milestones!$AC$195&amp;";  ","")&amp;IF(AND(EDATE($D43,Milestones!$AA$196)&lt;=AsOfDate,IF($Q43=0,$W43,IF(AND($S43&lt;&gt;"",EDATE($D43,Milestones!$AA$196)&gt;=$S43),$V43,IF(AND($R43&lt;&gt;"",EDATE($D43,Milestones!$AA$196)&gt;=$R43),$U43,$T43)))=Milestones!$AB$196),TEXT(EDATE($D43,Milestones!$AA$196),"dd/mm/yy")&amp;" "&amp;Milestones!$AB$196&amp;" "&amp;Milestones!$AC$196&amp;";  ","")&amp;IF(AND(EDATE($D43,Milestones!$AA$197)&lt;=AsOfDate,IF($Q43=0,$W43,IF(AND($S43&lt;&gt;"",EDATE($D43,Milestones!$AA$197)&gt;=$S43),$V43,IF(AND($R43&lt;&gt;"",EDATE($D43,Milestones!$AA$197)&gt;=$R43),$U43,$T43)))=Milestones!$AB$197),TEXT(EDATE($D43,Milestones!$AA$197),"dd/mm/yy")&amp;" "&amp;Milestones!$AB$197&amp;" "&amp;Milestones!$AC$197&amp;";  ","")&amp;IF(AND(EDATE($D43,Milestones!$AA$198)&lt;=AsOfDate,IF($Q43=0,$W43,IF(AND($S43&lt;&gt;"",EDATE($D43,Milestones!$AA$198)&gt;=$S43),$V43,IF(AND($R43&lt;&gt;"",EDATE($D43,Milestones!$AA$198)&gt;=$R43),$U43,$T43)))=Milestones!$AB$198),TEXT(EDATE($D43,Milestones!$AA$198),"dd/mm/yy")&amp;" "&amp;Milestones!$AB$198&amp;" "&amp;Milestones!$AC$198&amp;";  ","")&amp;IF(AND(EDATE($D43,Milestones!$AA$199)&lt;=AsOfDate,IF($Q43=0,$W43,IF(AND($S43&lt;&gt;"",EDATE($D43,Milestones!$AA$199)&gt;=$S43),$V43,IF(AND($R43&lt;&gt;"",EDATE($D43,Milestones!$AA$199)&gt;=$R43),$U43,$T43)))=Milestones!$AB$199),TEXT(EDATE($D43,Milestones!$AA$199),"dd/mm/yy")&amp;" "&amp;Milestones!$AB$199&amp;" "&amp;Milestones!$AC$199&amp;";  ",""))</f>
        <v/>
      </c>
      <c r="Q43" s="0" t="str">
        <f aca="false">IF(Staff!$A43="","",Staff!$AG43)</f>
        <v/>
      </c>
      <c r="R43" s="0" t="str">
        <f aca="false">IF(Staff!$A43="","",Staff!$AI43)</f>
        <v/>
      </c>
      <c r="S43" s="0" t="str">
        <f aca="false">IF(Staff!$A43="","",Staff!$AJ43)</f>
        <v/>
      </c>
      <c r="T43" s="0" t="str">
        <f aca="false">IF(Staff!$A43="","",Staff!$AN43)</f>
        <v/>
      </c>
      <c r="U43" s="0" t="str">
        <f aca="false">IF(Staff!$A43="","",Staff!$AO43)</f>
        <v/>
      </c>
      <c r="V43" s="0" t="str">
        <f aca="false">IF(Staff!$A43="","",Staff!$AP43)</f>
        <v/>
      </c>
      <c r="W43" s="0" t="str">
        <f aca="false">IF(Staff!$A43="","",Staff!$AQ43)</f>
        <v/>
      </c>
    </row>
    <row r="44" customFormat="false" ht="15" hidden="false" customHeight="false" outlineLevel="0" collapsed="false">
      <c r="A44" s="13" t="str">
        <f aca="false">IF(Staff!$A44="","",Staff!$A44)</f>
        <v/>
      </c>
      <c r="B44" s="13" t="str">
        <f aca="false">IF(Staff!$A44="","",Staff!$B44)</f>
        <v/>
      </c>
      <c r="C44" s="13" t="str">
        <f aca="false">IF(Staff!$A44="","",Staff!$C44)</f>
        <v/>
      </c>
      <c r="D44" s="11" t="str">
        <f aca="false">IF(Staff!$A44="","",Staff!$AF44)</f>
        <v/>
      </c>
      <c r="E44" s="13" t="str">
        <f aca="false">IF(Staff!$A44="","",Staff!$O44)</f>
        <v/>
      </c>
      <c r="F44" s="13" t="str">
        <f aca="false">IF(E44="","",E44*HoursPerDay)</f>
        <v/>
      </c>
      <c r="G44" s="26" t="str">
        <f aca="false">IF($A44="","",H44&amp;I44&amp;J44&amp;K44&amp;L44&amp;M44&amp;N44&amp;O44&amp;P44)</f>
        <v/>
      </c>
      <c r="H44" s="0" t="str">
        <f aca="false">IF(OR($A44="",$D44=""),"",IF(AND(EDATE($D44,Milestones!$AA$20)&lt;=AsOfDate,IF($Q44=0,$W44,IF(AND($S44&lt;&gt;"",EDATE($D44,Milestones!$AA$20)&gt;=$S44),$V44,IF(AND($R44&lt;&gt;"",EDATE($D44,Milestones!$AA$20)&gt;=$R44),$U44,$T44)))=Milestones!$AB$20),TEXT(EDATE($D44,Milestones!$AA$20),"dd/mm/yy")&amp;" "&amp;Milestones!$AB$20&amp;" "&amp;Milestones!$AC$20&amp;";  ","")&amp;IF(AND(EDATE($D44,Milestones!$AA$21)&lt;=AsOfDate,IF($Q44=0,$W44,IF(AND($S44&lt;&gt;"",EDATE($D44,Milestones!$AA$21)&gt;=$S44),$V44,IF(AND($R44&lt;&gt;"",EDATE($D44,Milestones!$AA$21)&gt;=$R44),$U44,$T44)))=Milestones!$AB$21),TEXT(EDATE($D44,Milestones!$AA$21),"dd/mm/yy")&amp;" "&amp;Milestones!$AB$21&amp;" "&amp;Milestones!$AC$21&amp;";  ","")&amp;IF(AND(EDATE($D44,Milestones!$AA$22)&lt;=AsOfDate,IF($Q44=0,$W44,IF(AND($S44&lt;&gt;"",EDATE($D44,Milestones!$AA$22)&gt;=$S44),$V44,IF(AND($R44&lt;&gt;"",EDATE($D44,Milestones!$AA$22)&gt;=$R44),$U44,$T44)))=Milestones!$AB$22),TEXT(EDATE($D44,Milestones!$AA$22),"dd/mm/yy")&amp;" "&amp;Milestones!$AB$22&amp;" "&amp;Milestones!$AC$22&amp;";  ","")&amp;IF(AND(EDATE($D44,Milestones!$AA$23)&lt;=AsOfDate,IF($Q44=0,$W44,IF(AND($S44&lt;&gt;"",EDATE($D44,Milestones!$AA$23)&gt;=$S44),$V44,IF(AND($R44&lt;&gt;"",EDATE($D44,Milestones!$AA$23)&gt;=$R44),$U44,$T44)))=Milestones!$AB$23),TEXT(EDATE($D44,Milestones!$AA$23),"dd/mm/yy")&amp;" "&amp;Milestones!$AB$23&amp;" "&amp;Milestones!$AC$23&amp;";  ","")&amp;IF(AND(EDATE($D44,Milestones!$AA$24)&lt;=AsOfDate,IF($Q44=0,$W44,IF(AND($S44&lt;&gt;"",EDATE($D44,Milestones!$AA$24)&gt;=$S44),$V44,IF(AND($R44&lt;&gt;"",EDATE($D44,Milestones!$AA$24)&gt;=$R44),$U44,$T44)))=Milestones!$AB$24),TEXT(EDATE($D44,Milestones!$AA$24),"dd/mm/yy")&amp;" "&amp;Milestones!$AB$24&amp;" "&amp;Milestones!$AC$24&amp;";  ","")&amp;IF(AND(EDATE($D44,Milestones!$AA$25)&lt;=AsOfDate,IF($Q44=0,$W44,IF(AND($S44&lt;&gt;"",EDATE($D44,Milestones!$AA$25)&gt;=$S44),$V44,IF(AND($R44&lt;&gt;"",EDATE($D44,Milestones!$AA$25)&gt;=$R44),$U44,$T44)))=Milestones!$AB$25),TEXT(EDATE($D44,Milestones!$AA$25),"dd/mm/yy")&amp;" "&amp;Milestones!$AB$25&amp;" "&amp;Milestones!$AC$25&amp;";  ","")&amp;IF(AND(EDATE($D44,Milestones!$AA$26)&lt;=AsOfDate,IF($Q44=0,$W44,IF(AND($S44&lt;&gt;"",EDATE($D44,Milestones!$AA$26)&gt;=$S44),$V44,IF(AND($R44&lt;&gt;"",EDATE($D44,Milestones!$AA$26)&gt;=$R44),$U44,$T44)))=Milestones!$AB$26),TEXT(EDATE($D44,Milestones!$AA$26),"dd/mm/yy")&amp;" "&amp;Milestones!$AB$26&amp;" "&amp;Milestones!$AC$26&amp;";  ","")&amp;IF(AND(EDATE($D44,Milestones!$AA$27)&lt;=AsOfDate,IF($Q44=0,$W44,IF(AND($S44&lt;&gt;"",EDATE($D44,Milestones!$AA$27)&gt;=$S44),$V44,IF(AND($R44&lt;&gt;"",EDATE($D44,Milestones!$AA$27)&gt;=$R44),$U44,$T44)))=Milestones!$AB$27),TEXT(EDATE($D44,Milestones!$AA$27),"dd/mm/yy")&amp;" "&amp;Milestones!$AB$27&amp;" "&amp;Milestones!$AC$27&amp;";  ","")&amp;IF(AND(EDATE($D44,Milestones!$AA$28)&lt;=AsOfDate,IF($Q44=0,$W44,IF(AND($S44&lt;&gt;"",EDATE($D44,Milestones!$AA$28)&gt;=$S44),$V44,IF(AND($R44&lt;&gt;"",EDATE($D44,Milestones!$AA$28)&gt;=$R44),$U44,$T44)))=Milestones!$AB$28),TEXT(EDATE($D44,Milestones!$AA$28),"dd/mm/yy")&amp;" "&amp;Milestones!$AB$28&amp;" "&amp;Milestones!$AC$28&amp;";  ","")&amp;IF(AND(EDATE($D44,Milestones!$AA$29)&lt;=AsOfDate,IF($Q44=0,$W44,IF(AND($S44&lt;&gt;"",EDATE($D44,Milestones!$AA$29)&gt;=$S44),$V44,IF(AND($R44&lt;&gt;"",EDATE($D44,Milestones!$AA$29)&gt;=$R44),$U44,$T44)))=Milestones!$AB$29),TEXT(EDATE($D44,Milestones!$AA$29),"dd/mm/yy")&amp;" "&amp;Milestones!$AB$29&amp;" "&amp;Milestones!$AC$29&amp;";  ","")&amp;IF(AND(EDATE($D44,Milestones!$AA$30)&lt;=AsOfDate,IF($Q44=0,$W44,IF(AND($S44&lt;&gt;"",EDATE($D44,Milestones!$AA$30)&gt;=$S44),$V44,IF(AND($R44&lt;&gt;"",EDATE($D44,Milestones!$AA$30)&gt;=$R44),$U44,$T44)))=Milestones!$AB$30),TEXT(EDATE($D44,Milestones!$AA$30),"dd/mm/yy")&amp;" "&amp;Milestones!$AB$30&amp;" "&amp;Milestones!$AC$30&amp;";  ","")&amp;IF(AND(EDATE($D44,Milestones!$AA$31)&lt;=AsOfDate,IF($Q44=0,$W44,IF(AND($S44&lt;&gt;"",EDATE($D44,Milestones!$AA$31)&gt;=$S44),$V44,IF(AND($R44&lt;&gt;"",EDATE($D44,Milestones!$AA$31)&gt;=$R44),$U44,$T44)))=Milestones!$AB$31),TEXT(EDATE($D44,Milestones!$AA$31),"dd/mm/yy")&amp;" "&amp;Milestones!$AB$31&amp;" "&amp;Milestones!$AC$31&amp;";  ","")&amp;IF(AND(EDATE($D44,Milestones!$AA$32)&lt;=AsOfDate,IF($Q44=0,$W44,IF(AND($S44&lt;&gt;"",EDATE($D44,Milestones!$AA$32)&gt;=$S44),$V44,IF(AND($R44&lt;&gt;"",EDATE($D44,Milestones!$AA$32)&gt;=$R44),$U44,$T44)))=Milestones!$AB$32),TEXT(EDATE($D44,Milestones!$AA$32),"dd/mm/yy")&amp;" "&amp;Milestones!$AB$32&amp;" "&amp;Milestones!$AC$32&amp;";  ","")&amp;IF(AND(EDATE($D44,Milestones!$AA$33)&lt;=AsOfDate,IF($Q44=0,$W44,IF(AND($S44&lt;&gt;"",EDATE($D44,Milestones!$AA$33)&gt;=$S44),$V44,IF(AND($R44&lt;&gt;"",EDATE($D44,Milestones!$AA$33)&gt;=$R44),$U44,$T44)))=Milestones!$AB$33),TEXT(EDATE($D44,Milestones!$AA$33),"dd/mm/yy")&amp;" "&amp;Milestones!$AB$33&amp;" "&amp;Milestones!$AC$33&amp;";  ","")&amp;IF(AND(EDATE($D44,Milestones!$AA$34)&lt;=AsOfDate,IF($Q44=0,$W44,IF(AND($S44&lt;&gt;"",EDATE($D44,Milestones!$AA$34)&gt;=$S44),$V44,IF(AND($R44&lt;&gt;"",EDATE($D44,Milestones!$AA$34)&gt;=$R44),$U44,$T44)))=Milestones!$AB$34),TEXT(EDATE($D44,Milestones!$AA$34),"dd/mm/yy")&amp;" "&amp;Milestones!$AB$34&amp;" "&amp;Milestones!$AC$34&amp;";  ","")&amp;IF(AND(EDATE($D44,Milestones!$AA$35)&lt;=AsOfDate,IF($Q44=0,$W44,IF(AND($S44&lt;&gt;"",EDATE($D44,Milestones!$AA$35)&gt;=$S44),$V44,IF(AND($R44&lt;&gt;"",EDATE($D44,Milestones!$AA$35)&gt;=$R44),$U44,$T44)))=Milestones!$AB$35),TEXT(EDATE($D44,Milestones!$AA$35),"dd/mm/yy")&amp;" "&amp;Milestones!$AB$35&amp;" "&amp;Milestones!$AC$35&amp;";  ","")&amp;IF(AND(EDATE($D44,Milestones!$AA$36)&lt;=AsOfDate,IF($Q44=0,$W44,IF(AND($S44&lt;&gt;"",EDATE($D44,Milestones!$AA$36)&gt;=$S44),$V44,IF(AND($R44&lt;&gt;"",EDATE($D44,Milestones!$AA$36)&gt;=$R44),$U44,$T44)))=Milestones!$AB$36),TEXT(EDATE($D44,Milestones!$AA$36),"dd/mm/yy")&amp;" "&amp;Milestones!$AB$36&amp;" "&amp;Milestones!$AC$36&amp;";  ","")&amp;IF(AND(EDATE($D44,Milestones!$AA$37)&lt;=AsOfDate,IF($Q44=0,$W44,IF(AND($S44&lt;&gt;"",EDATE($D44,Milestones!$AA$37)&gt;=$S44),$V44,IF(AND($R44&lt;&gt;"",EDATE($D44,Milestones!$AA$37)&gt;=$R44),$U44,$T44)))=Milestones!$AB$37),TEXT(EDATE($D44,Milestones!$AA$37),"dd/mm/yy")&amp;" "&amp;Milestones!$AB$37&amp;" "&amp;Milestones!$AC$37&amp;";  ","")&amp;IF(AND(EDATE($D44,Milestones!$AA$38)&lt;=AsOfDate,IF($Q44=0,$W44,IF(AND($S44&lt;&gt;"",EDATE($D44,Milestones!$AA$38)&gt;=$S44),$V44,IF(AND($R44&lt;&gt;"",EDATE($D44,Milestones!$AA$38)&gt;=$R44),$U44,$T44)))=Milestones!$AB$38),TEXT(EDATE($D44,Milestones!$AA$38),"dd/mm/yy")&amp;" "&amp;Milestones!$AB$38&amp;" "&amp;Milestones!$AC$38&amp;";  ","")&amp;IF(AND(EDATE($D44,Milestones!$AA$39)&lt;=AsOfDate,IF($Q44=0,$W44,IF(AND($S44&lt;&gt;"",EDATE($D44,Milestones!$AA$39)&gt;=$S44),$V44,IF(AND($R44&lt;&gt;"",EDATE($D44,Milestones!$AA$39)&gt;=$R44),$U44,$T44)))=Milestones!$AB$39),TEXT(EDATE($D44,Milestones!$AA$39),"dd/mm/yy")&amp;" "&amp;Milestones!$AB$39&amp;" "&amp;Milestones!$AC$39&amp;";  ",""))</f>
        <v/>
      </c>
      <c r="I44" s="0" t="str">
        <f aca="false">IF(OR($A44="",$D44=""),"",IF(AND(EDATE($D44,Milestones!$AA$40)&lt;=AsOfDate,IF($Q44=0,$W44,IF(AND($S44&lt;&gt;"",EDATE($D44,Milestones!$AA$40)&gt;=$S44),$V44,IF(AND($R44&lt;&gt;"",EDATE($D44,Milestones!$AA$40)&gt;=$R44),$U44,$T44)))=Milestones!$AB$40),TEXT(EDATE($D44,Milestones!$AA$40),"dd/mm/yy")&amp;" "&amp;Milestones!$AB$40&amp;" "&amp;Milestones!$AC$40&amp;";  ","")&amp;IF(AND(EDATE($D44,Milestones!$AA$41)&lt;=AsOfDate,IF($Q44=0,$W44,IF(AND($S44&lt;&gt;"",EDATE($D44,Milestones!$AA$41)&gt;=$S44),$V44,IF(AND($R44&lt;&gt;"",EDATE($D44,Milestones!$AA$41)&gt;=$R44),$U44,$T44)))=Milestones!$AB$41),TEXT(EDATE($D44,Milestones!$AA$41),"dd/mm/yy")&amp;" "&amp;Milestones!$AB$41&amp;" "&amp;Milestones!$AC$41&amp;";  ","")&amp;IF(AND(EDATE($D44,Milestones!$AA$42)&lt;=AsOfDate,IF($Q44=0,$W44,IF(AND($S44&lt;&gt;"",EDATE($D44,Milestones!$AA$42)&gt;=$S44),$V44,IF(AND($R44&lt;&gt;"",EDATE($D44,Milestones!$AA$42)&gt;=$R44),$U44,$T44)))=Milestones!$AB$42),TEXT(EDATE($D44,Milestones!$AA$42),"dd/mm/yy")&amp;" "&amp;Milestones!$AB$42&amp;" "&amp;Milestones!$AC$42&amp;";  ","")&amp;IF(AND(EDATE($D44,Milestones!$AA$43)&lt;=AsOfDate,IF($Q44=0,$W44,IF(AND($S44&lt;&gt;"",EDATE($D44,Milestones!$AA$43)&gt;=$S44),$V44,IF(AND($R44&lt;&gt;"",EDATE($D44,Milestones!$AA$43)&gt;=$R44),$U44,$T44)))=Milestones!$AB$43),TEXT(EDATE($D44,Milestones!$AA$43),"dd/mm/yy")&amp;" "&amp;Milestones!$AB$43&amp;" "&amp;Milestones!$AC$43&amp;";  ","")&amp;IF(AND(EDATE($D44,Milestones!$AA$44)&lt;=AsOfDate,IF($Q44=0,$W44,IF(AND($S44&lt;&gt;"",EDATE($D44,Milestones!$AA$44)&gt;=$S44),$V44,IF(AND($R44&lt;&gt;"",EDATE($D44,Milestones!$AA$44)&gt;=$R44),$U44,$T44)))=Milestones!$AB$44),TEXT(EDATE($D44,Milestones!$AA$44),"dd/mm/yy")&amp;" "&amp;Milestones!$AB$44&amp;" "&amp;Milestones!$AC$44&amp;";  ","")&amp;IF(AND(EDATE($D44,Milestones!$AA$45)&lt;=AsOfDate,IF($Q44=0,$W44,IF(AND($S44&lt;&gt;"",EDATE($D44,Milestones!$AA$45)&gt;=$S44),$V44,IF(AND($R44&lt;&gt;"",EDATE($D44,Milestones!$AA$45)&gt;=$R44),$U44,$T44)))=Milestones!$AB$45),TEXT(EDATE($D44,Milestones!$AA$45),"dd/mm/yy")&amp;" "&amp;Milestones!$AB$45&amp;" "&amp;Milestones!$AC$45&amp;";  ","")&amp;IF(AND(EDATE($D44,Milestones!$AA$46)&lt;=AsOfDate,IF($Q44=0,$W44,IF(AND($S44&lt;&gt;"",EDATE($D44,Milestones!$AA$46)&gt;=$S44),$V44,IF(AND($R44&lt;&gt;"",EDATE($D44,Milestones!$AA$46)&gt;=$R44),$U44,$T44)))=Milestones!$AB$46),TEXT(EDATE($D44,Milestones!$AA$46),"dd/mm/yy")&amp;" "&amp;Milestones!$AB$46&amp;" "&amp;Milestones!$AC$46&amp;";  ","")&amp;IF(AND(EDATE($D44,Milestones!$AA$47)&lt;=AsOfDate,IF($Q44=0,$W44,IF(AND($S44&lt;&gt;"",EDATE($D44,Milestones!$AA$47)&gt;=$S44),$V44,IF(AND($R44&lt;&gt;"",EDATE($D44,Milestones!$AA$47)&gt;=$R44),$U44,$T44)))=Milestones!$AB$47),TEXT(EDATE($D44,Milestones!$AA$47),"dd/mm/yy")&amp;" "&amp;Milestones!$AB$47&amp;" "&amp;Milestones!$AC$47&amp;";  ","")&amp;IF(AND(EDATE($D44,Milestones!$AA$48)&lt;=AsOfDate,IF($Q44=0,$W44,IF(AND($S44&lt;&gt;"",EDATE($D44,Milestones!$AA$48)&gt;=$S44),$V44,IF(AND($R44&lt;&gt;"",EDATE($D44,Milestones!$AA$48)&gt;=$R44),$U44,$T44)))=Milestones!$AB$48),TEXT(EDATE($D44,Milestones!$AA$48),"dd/mm/yy")&amp;" "&amp;Milestones!$AB$48&amp;" "&amp;Milestones!$AC$48&amp;";  ","")&amp;IF(AND(EDATE($D44,Milestones!$AA$49)&lt;=AsOfDate,IF($Q44=0,$W44,IF(AND($S44&lt;&gt;"",EDATE($D44,Milestones!$AA$49)&gt;=$S44),$V44,IF(AND($R44&lt;&gt;"",EDATE($D44,Milestones!$AA$49)&gt;=$R44),$U44,$T44)))=Milestones!$AB$49),TEXT(EDATE($D44,Milestones!$AA$49),"dd/mm/yy")&amp;" "&amp;Milestones!$AB$49&amp;" "&amp;Milestones!$AC$49&amp;";  ","")&amp;IF(AND(EDATE($D44,Milestones!$AA$50)&lt;=AsOfDate,IF($Q44=0,$W44,IF(AND($S44&lt;&gt;"",EDATE($D44,Milestones!$AA$50)&gt;=$S44),$V44,IF(AND($R44&lt;&gt;"",EDATE($D44,Milestones!$AA$50)&gt;=$R44),$U44,$T44)))=Milestones!$AB$50),TEXT(EDATE($D44,Milestones!$AA$50),"dd/mm/yy")&amp;" "&amp;Milestones!$AB$50&amp;" "&amp;Milestones!$AC$50&amp;";  ","")&amp;IF(AND(EDATE($D44,Milestones!$AA$51)&lt;=AsOfDate,IF($Q44=0,$W44,IF(AND($S44&lt;&gt;"",EDATE($D44,Milestones!$AA$51)&gt;=$S44),$V44,IF(AND($R44&lt;&gt;"",EDATE($D44,Milestones!$AA$51)&gt;=$R44),$U44,$T44)))=Milestones!$AB$51),TEXT(EDATE($D44,Milestones!$AA$51),"dd/mm/yy")&amp;" "&amp;Milestones!$AB$51&amp;" "&amp;Milestones!$AC$51&amp;";  ","")&amp;IF(AND(EDATE($D44,Milestones!$AA$52)&lt;=AsOfDate,IF($Q44=0,$W44,IF(AND($S44&lt;&gt;"",EDATE($D44,Milestones!$AA$52)&gt;=$S44),$V44,IF(AND($R44&lt;&gt;"",EDATE($D44,Milestones!$AA$52)&gt;=$R44),$U44,$T44)))=Milestones!$AB$52),TEXT(EDATE($D44,Milestones!$AA$52),"dd/mm/yy")&amp;" "&amp;Milestones!$AB$52&amp;" "&amp;Milestones!$AC$52&amp;";  ","")&amp;IF(AND(EDATE($D44,Milestones!$AA$53)&lt;=AsOfDate,IF($Q44=0,$W44,IF(AND($S44&lt;&gt;"",EDATE($D44,Milestones!$AA$53)&gt;=$S44),$V44,IF(AND($R44&lt;&gt;"",EDATE($D44,Milestones!$AA$53)&gt;=$R44),$U44,$T44)))=Milestones!$AB$53),TEXT(EDATE($D44,Milestones!$AA$53),"dd/mm/yy")&amp;" "&amp;Milestones!$AB$53&amp;" "&amp;Milestones!$AC$53&amp;";  ","")&amp;IF(AND(EDATE($D44,Milestones!$AA$54)&lt;=AsOfDate,IF($Q44=0,$W44,IF(AND($S44&lt;&gt;"",EDATE($D44,Milestones!$AA$54)&gt;=$S44),$V44,IF(AND($R44&lt;&gt;"",EDATE($D44,Milestones!$AA$54)&gt;=$R44),$U44,$T44)))=Milestones!$AB$54),TEXT(EDATE($D44,Milestones!$AA$54),"dd/mm/yy")&amp;" "&amp;Milestones!$AB$54&amp;" "&amp;Milestones!$AC$54&amp;";  ","")&amp;IF(AND(EDATE($D44,Milestones!$AA$55)&lt;=AsOfDate,IF($Q44=0,$W44,IF(AND($S44&lt;&gt;"",EDATE($D44,Milestones!$AA$55)&gt;=$S44),$V44,IF(AND($R44&lt;&gt;"",EDATE($D44,Milestones!$AA$55)&gt;=$R44),$U44,$T44)))=Milestones!$AB$55),TEXT(EDATE($D44,Milestones!$AA$55),"dd/mm/yy")&amp;" "&amp;Milestones!$AB$55&amp;" "&amp;Milestones!$AC$55&amp;";  ","")&amp;IF(AND(EDATE($D44,Milestones!$AA$56)&lt;=AsOfDate,IF($Q44=0,$W44,IF(AND($S44&lt;&gt;"",EDATE($D44,Milestones!$AA$56)&gt;=$S44),$V44,IF(AND($R44&lt;&gt;"",EDATE($D44,Milestones!$AA$56)&gt;=$R44),$U44,$T44)))=Milestones!$AB$56),TEXT(EDATE($D44,Milestones!$AA$56),"dd/mm/yy")&amp;" "&amp;Milestones!$AB$56&amp;" "&amp;Milestones!$AC$56&amp;";  ","")&amp;IF(AND(EDATE($D44,Milestones!$AA$57)&lt;=AsOfDate,IF($Q44=0,$W44,IF(AND($S44&lt;&gt;"",EDATE($D44,Milestones!$AA$57)&gt;=$S44),$V44,IF(AND($R44&lt;&gt;"",EDATE($D44,Milestones!$AA$57)&gt;=$R44),$U44,$T44)))=Milestones!$AB$57),TEXT(EDATE($D44,Milestones!$AA$57),"dd/mm/yy")&amp;" "&amp;Milestones!$AB$57&amp;" "&amp;Milestones!$AC$57&amp;";  ","")&amp;IF(AND(EDATE($D44,Milestones!$AA$58)&lt;=AsOfDate,IF($Q44=0,$W44,IF(AND($S44&lt;&gt;"",EDATE($D44,Milestones!$AA$58)&gt;=$S44),$V44,IF(AND($R44&lt;&gt;"",EDATE($D44,Milestones!$AA$58)&gt;=$R44),$U44,$T44)))=Milestones!$AB$58),TEXT(EDATE($D44,Milestones!$AA$58),"dd/mm/yy")&amp;" "&amp;Milestones!$AB$58&amp;" "&amp;Milestones!$AC$58&amp;";  ","")&amp;IF(AND(EDATE($D44,Milestones!$AA$59)&lt;=AsOfDate,IF($Q44=0,$W44,IF(AND($S44&lt;&gt;"",EDATE($D44,Milestones!$AA$59)&gt;=$S44),$V44,IF(AND($R44&lt;&gt;"",EDATE($D44,Milestones!$AA$59)&gt;=$R44),$U44,$T44)))=Milestones!$AB$59),TEXT(EDATE($D44,Milestones!$AA$59),"dd/mm/yy")&amp;" "&amp;Milestones!$AB$59&amp;" "&amp;Milestones!$AC$59&amp;";  ",""))</f>
        <v/>
      </c>
      <c r="J44" s="0" t="str">
        <f aca="false">IF(OR($A44="",$D44=""),"",IF(AND(EDATE($D44,Milestones!$AA$60)&lt;=AsOfDate,IF($Q44=0,$W44,IF(AND($S44&lt;&gt;"",EDATE($D44,Milestones!$AA$60)&gt;=$S44),$V44,IF(AND($R44&lt;&gt;"",EDATE($D44,Milestones!$AA$60)&gt;=$R44),$U44,$T44)))=Milestones!$AB$60),TEXT(EDATE($D44,Milestones!$AA$60),"dd/mm/yy")&amp;" "&amp;Milestones!$AB$60&amp;" "&amp;Milestones!$AC$60&amp;";  ","")&amp;IF(AND(EDATE($D44,Milestones!$AA$61)&lt;=AsOfDate,IF($Q44=0,$W44,IF(AND($S44&lt;&gt;"",EDATE($D44,Milestones!$AA$61)&gt;=$S44),$V44,IF(AND($R44&lt;&gt;"",EDATE($D44,Milestones!$AA$61)&gt;=$R44),$U44,$T44)))=Milestones!$AB$61),TEXT(EDATE($D44,Milestones!$AA$61),"dd/mm/yy")&amp;" "&amp;Milestones!$AB$61&amp;" "&amp;Milestones!$AC$61&amp;";  ","")&amp;IF(AND(EDATE($D44,Milestones!$AA$62)&lt;=AsOfDate,IF($Q44=0,$W44,IF(AND($S44&lt;&gt;"",EDATE($D44,Milestones!$AA$62)&gt;=$S44),$V44,IF(AND($R44&lt;&gt;"",EDATE($D44,Milestones!$AA$62)&gt;=$R44),$U44,$T44)))=Milestones!$AB$62),TEXT(EDATE($D44,Milestones!$AA$62),"dd/mm/yy")&amp;" "&amp;Milestones!$AB$62&amp;" "&amp;Milestones!$AC$62&amp;";  ","")&amp;IF(AND(EDATE($D44,Milestones!$AA$63)&lt;=AsOfDate,IF($Q44=0,$W44,IF(AND($S44&lt;&gt;"",EDATE($D44,Milestones!$AA$63)&gt;=$S44),$V44,IF(AND($R44&lt;&gt;"",EDATE($D44,Milestones!$AA$63)&gt;=$R44),$U44,$T44)))=Milestones!$AB$63),TEXT(EDATE($D44,Milestones!$AA$63),"dd/mm/yy")&amp;" "&amp;Milestones!$AB$63&amp;" "&amp;Milestones!$AC$63&amp;";  ","")&amp;IF(AND(EDATE($D44,Milestones!$AA$64)&lt;=AsOfDate,IF($Q44=0,$W44,IF(AND($S44&lt;&gt;"",EDATE($D44,Milestones!$AA$64)&gt;=$S44),$V44,IF(AND($R44&lt;&gt;"",EDATE($D44,Milestones!$AA$64)&gt;=$R44),$U44,$T44)))=Milestones!$AB$64),TEXT(EDATE($D44,Milestones!$AA$64),"dd/mm/yy")&amp;" "&amp;Milestones!$AB$64&amp;" "&amp;Milestones!$AC$64&amp;";  ","")&amp;IF(AND(EDATE($D44,Milestones!$AA$65)&lt;=AsOfDate,IF($Q44=0,$W44,IF(AND($S44&lt;&gt;"",EDATE($D44,Milestones!$AA$65)&gt;=$S44),$V44,IF(AND($R44&lt;&gt;"",EDATE($D44,Milestones!$AA$65)&gt;=$R44),$U44,$T44)))=Milestones!$AB$65),TEXT(EDATE($D44,Milestones!$AA$65),"dd/mm/yy")&amp;" "&amp;Milestones!$AB$65&amp;" "&amp;Milestones!$AC$65&amp;";  ","")&amp;IF(AND(EDATE($D44,Milestones!$AA$66)&lt;=AsOfDate,IF($Q44=0,$W44,IF(AND($S44&lt;&gt;"",EDATE($D44,Milestones!$AA$66)&gt;=$S44),$V44,IF(AND($R44&lt;&gt;"",EDATE($D44,Milestones!$AA$66)&gt;=$R44),$U44,$T44)))=Milestones!$AB$66),TEXT(EDATE($D44,Milestones!$AA$66),"dd/mm/yy")&amp;" "&amp;Milestones!$AB$66&amp;" "&amp;Milestones!$AC$66&amp;";  ","")&amp;IF(AND(EDATE($D44,Milestones!$AA$67)&lt;=AsOfDate,IF($Q44=0,$W44,IF(AND($S44&lt;&gt;"",EDATE($D44,Milestones!$AA$67)&gt;=$S44),$V44,IF(AND($R44&lt;&gt;"",EDATE($D44,Milestones!$AA$67)&gt;=$R44),$U44,$T44)))=Milestones!$AB$67),TEXT(EDATE($D44,Milestones!$AA$67),"dd/mm/yy")&amp;" "&amp;Milestones!$AB$67&amp;" "&amp;Milestones!$AC$67&amp;";  ","")&amp;IF(AND(EDATE($D44,Milestones!$AA$68)&lt;=AsOfDate,IF($Q44=0,$W44,IF(AND($S44&lt;&gt;"",EDATE($D44,Milestones!$AA$68)&gt;=$S44),$V44,IF(AND($R44&lt;&gt;"",EDATE($D44,Milestones!$AA$68)&gt;=$R44),$U44,$T44)))=Milestones!$AB$68),TEXT(EDATE($D44,Milestones!$AA$68),"dd/mm/yy")&amp;" "&amp;Milestones!$AB$68&amp;" "&amp;Milestones!$AC$68&amp;";  ","")&amp;IF(AND(EDATE($D44,Milestones!$AA$69)&lt;=AsOfDate,IF($Q44=0,$W44,IF(AND($S44&lt;&gt;"",EDATE($D44,Milestones!$AA$69)&gt;=$S44),$V44,IF(AND($R44&lt;&gt;"",EDATE($D44,Milestones!$AA$69)&gt;=$R44),$U44,$T44)))=Milestones!$AB$69),TEXT(EDATE($D44,Milestones!$AA$69),"dd/mm/yy")&amp;" "&amp;Milestones!$AB$69&amp;" "&amp;Milestones!$AC$69&amp;";  ","")&amp;IF(AND(EDATE($D44,Milestones!$AA$70)&lt;=AsOfDate,IF($Q44=0,$W44,IF(AND($S44&lt;&gt;"",EDATE($D44,Milestones!$AA$70)&gt;=$S44),$V44,IF(AND($R44&lt;&gt;"",EDATE($D44,Milestones!$AA$70)&gt;=$R44),$U44,$T44)))=Milestones!$AB$70),TEXT(EDATE($D44,Milestones!$AA$70),"dd/mm/yy")&amp;" "&amp;Milestones!$AB$70&amp;" "&amp;Milestones!$AC$70&amp;";  ","")&amp;IF(AND(EDATE($D44,Milestones!$AA$71)&lt;=AsOfDate,IF($Q44=0,$W44,IF(AND($S44&lt;&gt;"",EDATE($D44,Milestones!$AA$71)&gt;=$S44),$V44,IF(AND($R44&lt;&gt;"",EDATE($D44,Milestones!$AA$71)&gt;=$R44),$U44,$T44)))=Milestones!$AB$71),TEXT(EDATE($D44,Milestones!$AA$71),"dd/mm/yy")&amp;" "&amp;Milestones!$AB$71&amp;" "&amp;Milestones!$AC$71&amp;";  ","")&amp;IF(AND(EDATE($D44,Milestones!$AA$72)&lt;=AsOfDate,IF($Q44=0,$W44,IF(AND($S44&lt;&gt;"",EDATE($D44,Milestones!$AA$72)&gt;=$S44),$V44,IF(AND($R44&lt;&gt;"",EDATE($D44,Milestones!$AA$72)&gt;=$R44),$U44,$T44)))=Milestones!$AB$72),TEXT(EDATE($D44,Milestones!$AA$72),"dd/mm/yy")&amp;" "&amp;Milestones!$AB$72&amp;" "&amp;Milestones!$AC$72&amp;";  ","")&amp;IF(AND(EDATE($D44,Milestones!$AA$73)&lt;=AsOfDate,IF($Q44=0,$W44,IF(AND($S44&lt;&gt;"",EDATE($D44,Milestones!$AA$73)&gt;=$S44),$V44,IF(AND($R44&lt;&gt;"",EDATE($D44,Milestones!$AA$73)&gt;=$R44),$U44,$T44)))=Milestones!$AB$73),TEXT(EDATE($D44,Milestones!$AA$73),"dd/mm/yy")&amp;" "&amp;Milestones!$AB$73&amp;" "&amp;Milestones!$AC$73&amp;";  ","")&amp;IF(AND(EDATE($D44,Milestones!$AA$74)&lt;=AsOfDate,IF($Q44=0,$W44,IF(AND($S44&lt;&gt;"",EDATE($D44,Milestones!$AA$74)&gt;=$S44),$V44,IF(AND($R44&lt;&gt;"",EDATE($D44,Milestones!$AA$74)&gt;=$R44),$U44,$T44)))=Milestones!$AB$74),TEXT(EDATE($D44,Milestones!$AA$74),"dd/mm/yy")&amp;" "&amp;Milestones!$AB$74&amp;" "&amp;Milestones!$AC$74&amp;";  ","")&amp;IF(AND(EDATE($D44,Milestones!$AA$75)&lt;=AsOfDate,IF($Q44=0,$W44,IF(AND($S44&lt;&gt;"",EDATE($D44,Milestones!$AA$75)&gt;=$S44),$V44,IF(AND($R44&lt;&gt;"",EDATE($D44,Milestones!$AA$75)&gt;=$R44),$U44,$T44)))=Milestones!$AB$75),TEXT(EDATE($D44,Milestones!$AA$75),"dd/mm/yy")&amp;" "&amp;Milestones!$AB$75&amp;" "&amp;Milestones!$AC$75&amp;";  ","")&amp;IF(AND(EDATE($D44,Milestones!$AA$76)&lt;=AsOfDate,IF($Q44=0,$W44,IF(AND($S44&lt;&gt;"",EDATE($D44,Milestones!$AA$76)&gt;=$S44),$V44,IF(AND($R44&lt;&gt;"",EDATE($D44,Milestones!$AA$76)&gt;=$R44),$U44,$T44)))=Milestones!$AB$76),TEXT(EDATE($D44,Milestones!$AA$76),"dd/mm/yy")&amp;" "&amp;Milestones!$AB$76&amp;" "&amp;Milestones!$AC$76&amp;";  ","")&amp;IF(AND(EDATE($D44,Milestones!$AA$77)&lt;=AsOfDate,IF($Q44=0,$W44,IF(AND($S44&lt;&gt;"",EDATE($D44,Milestones!$AA$77)&gt;=$S44),$V44,IF(AND($R44&lt;&gt;"",EDATE($D44,Milestones!$AA$77)&gt;=$R44),$U44,$T44)))=Milestones!$AB$77),TEXT(EDATE($D44,Milestones!$AA$77),"dd/mm/yy")&amp;" "&amp;Milestones!$AB$77&amp;" "&amp;Milestones!$AC$77&amp;";  ","")&amp;IF(AND(EDATE($D44,Milestones!$AA$78)&lt;=AsOfDate,IF($Q44=0,$W44,IF(AND($S44&lt;&gt;"",EDATE($D44,Milestones!$AA$78)&gt;=$S44),$V44,IF(AND($R44&lt;&gt;"",EDATE($D44,Milestones!$AA$78)&gt;=$R44),$U44,$T44)))=Milestones!$AB$78),TEXT(EDATE($D44,Milestones!$AA$78),"dd/mm/yy")&amp;" "&amp;Milestones!$AB$78&amp;" "&amp;Milestones!$AC$78&amp;";  ","")&amp;IF(AND(EDATE($D44,Milestones!$AA$79)&lt;=AsOfDate,IF($Q44=0,$W44,IF(AND($S44&lt;&gt;"",EDATE($D44,Milestones!$AA$79)&gt;=$S44),$V44,IF(AND($R44&lt;&gt;"",EDATE($D44,Milestones!$AA$79)&gt;=$R44),$U44,$T44)))=Milestones!$AB$79),TEXT(EDATE($D44,Milestones!$AA$79),"dd/mm/yy")&amp;" "&amp;Milestones!$AB$79&amp;" "&amp;Milestones!$AC$79&amp;";  ",""))</f>
        <v/>
      </c>
      <c r="K44" s="0" t="str">
        <f aca="false">IF(OR($A44="",$D44=""),"",IF(AND(EDATE($D44,Milestones!$AA$80)&lt;=AsOfDate,IF($Q44=0,$W44,IF(AND($S44&lt;&gt;"",EDATE($D44,Milestones!$AA$80)&gt;=$S44),$V44,IF(AND($R44&lt;&gt;"",EDATE($D44,Milestones!$AA$80)&gt;=$R44),$U44,$T44)))=Milestones!$AB$80),TEXT(EDATE($D44,Milestones!$AA$80),"dd/mm/yy")&amp;" "&amp;Milestones!$AB$80&amp;" "&amp;Milestones!$AC$80&amp;";  ","")&amp;IF(AND(EDATE($D44,Milestones!$AA$81)&lt;=AsOfDate,IF($Q44=0,$W44,IF(AND($S44&lt;&gt;"",EDATE($D44,Milestones!$AA$81)&gt;=$S44),$V44,IF(AND($R44&lt;&gt;"",EDATE($D44,Milestones!$AA$81)&gt;=$R44),$U44,$T44)))=Milestones!$AB$81),TEXT(EDATE($D44,Milestones!$AA$81),"dd/mm/yy")&amp;" "&amp;Milestones!$AB$81&amp;" "&amp;Milestones!$AC$81&amp;";  ","")&amp;IF(AND(EDATE($D44,Milestones!$AA$82)&lt;=AsOfDate,IF($Q44=0,$W44,IF(AND($S44&lt;&gt;"",EDATE($D44,Milestones!$AA$82)&gt;=$S44),$V44,IF(AND($R44&lt;&gt;"",EDATE($D44,Milestones!$AA$82)&gt;=$R44),$U44,$T44)))=Milestones!$AB$82),TEXT(EDATE($D44,Milestones!$AA$82),"dd/mm/yy")&amp;" "&amp;Milestones!$AB$82&amp;" "&amp;Milestones!$AC$82&amp;";  ","")&amp;IF(AND(EDATE($D44,Milestones!$AA$83)&lt;=AsOfDate,IF($Q44=0,$W44,IF(AND($S44&lt;&gt;"",EDATE($D44,Milestones!$AA$83)&gt;=$S44),$V44,IF(AND($R44&lt;&gt;"",EDATE($D44,Milestones!$AA$83)&gt;=$R44),$U44,$T44)))=Milestones!$AB$83),TEXT(EDATE($D44,Milestones!$AA$83),"dd/mm/yy")&amp;" "&amp;Milestones!$AB$83&amp;" "&amp;Milestones!$AC$83&amp;";  ","")&amp;IF(AND(EDATE($D44,Milestones!$AA$84)&lt;=AsOfDate,IF($Q44=0,$W44,IF(AND($S44&lt;&gt;"",EDATE($D44,Milestones!$AA$84)&gt;=$S44),$V44,IF(AND($R44&lt;&gt;"",EDATE($D44,Milestones!$AA$84)&gt;=$R44),$U44,$T44)))=Milestones!$AB$84),TEXT(EDATE($D44,Milestones!$AA$84),"dd/mm/yy")&amp;" "&amp;Milestones!$AB$84&amp;" "&amp;Milestones!$AC$84&amp;";  ","")&amp;IF(AND(EDATE($D44,Milestones!$AA$85)&lt;=AsOfDate,IF($Q44=0,$W44,IF(AND($S44&lt;&gt;"",EDATE($D44,Milestones!$AA$85)&gt;=$S44),$V44,IF(AND($R44&lt;&gt;"",EDATE($D44,Milestones!$AA$85)&gt;=$R44),$U44,$T44)))=Milestones!$AB$85),TEXT(EDATE($D44,Milestones!$AA$85),"dd/mm/yy")&amp;" "&amp;Milestones!$AB$85&amp;" "&amp;Milestones!$AC$85&amp;";  ","")&amp;IF(AND(EDATE($D44,Milestones!$AA$86)&lt;=AsOfDate,IF($Q44=0,$W44,IF(AND($S44&lt;&gt;"",EDATE($D44,Milestones!$AA$86)&gt;=$S44),$V44,IF(AND($R44&lt;&gt;"",EDATE($D44,Milestones!$AA$86)&gt;=$R44),$U44,$T44)))=Milestones!$AB$86),TEXT(EDATE($D44,Milestones!$AA$86),"dd/mm/yy")&amp;" "&amp;Milestones!$AB$86&amp;" "&amp;Milestones!$AC$86&amp;";  ","")&amp;IF(AND(EDATE($D44,Milestones!$AA$87)&lt;=AsOfDate,IF($Q44=0,$W44,IF(AND($S44&lt;&gt;"",EDATE($D44,Milestones!$AA$87)&gt;=$S44),$V44,IF(AND($R44&lt;&gt;"",EDATE($D44,Milestones!$AA$87)&gt;=$R44),$U44,$T44)))=Milestones!$AB$87),TEXT(EDATE($D44,Milestones!$AA$87),"dd/mm/yy")&amp;" "&amp;Milestones!$AB$87&amp;" "&amp;Milestones!$AC$87&amp;";  ","")&amp;IF(AND(EDATE($D44,Milestones!$AA$88)&lt;=AsOfDate,IF($Q44=0,$W44,IF(AND($S44&lt;&gt;"",EDATE($D44,Milestones!$AA$88)&gt;=$S44),$V44,IF(AND($R44&lt;&gt;"",EDATE($D44,Milestones!$AA$88)&gt;=$R44),$U44,$T44)))=Milestones!$AB$88),TEXT(EDATE($D44,Milestones!$AA$88),"dd/mm/yy")&amp;" "&amp;Milestones!$AB$88&amp;" "&amp;Milestones!$AC$88&amp;";  ","")&amp;IF(AND(EDATE($D44,Milestones!$AA$89)&lt;=AsOfDate,IF($Q44=0,$W44,IF(AND($S44&lt;&gt;"",EDATE($D44,Milestones!$AA$89)&gt;=$S44),$V44,IF(AND($R44&lt;&gt;"",EDATE($D44,Milestones!$AA$89)&gt;=$R44),$U44,$T44)))=Milestones!$AB$89),TEXT(EDATE($D44,Milestones!$AA$89),"dd/mm/yy")&amp;" "&amp;Milestones!$AB$89&amp;" "&amp;Milestones!$AC$89&amp;";  ","")&amp;IF(AND(EDATE($D44,Milestones!$AA$90)&lt;=AsOfDate,IF($Q44=0,$W44,IF(AND($S44&lt;&gt;"",EDATE($D44,Milestones!$AA$90)&gt;=$S44),$V44,IF(AND($R44&lt;&gt;"",EDATE($D44,Milestones!$AA$90)&gt;=$R44),$U44,$T44)))=Milestones!$AB$90),TEXT(EDATE($D44,Milestones!$AA$90),"dd/mm/yy")&amp;" "&amp;Milestones!$AB$90&amp;" "&amp;Milestones!$AC$90&amp;";  ","")&amp;IF(AND(EDATE($D44,Milestones!$AA$91)&lt;=AsOfDate,IF($Q44=0,$W44,IF(AND($S44&lt;&gt;"",EDATE($D44,Milestones!$AA$91)&gt;=$S44),$V44,IF(AND($R44&lt;&gt;"",EDATE($D44,Milestones!$AA$91)&gt;=$R44),$U44,$T44)))=Milestones!$AB$91),TEXT(EDATE($D44,Milestones!$AA$91),"dd/mm/yy")&amp;" "&amp;Milestones!$AB$91&amp;" "&amp;Milestones!$AC$91&amp;";  ","")&amp;IF(AND(EDATE($D44,Milestones!$AA$92)&lt;=AsOfDate,IF($Q44=0,$W44,IF(AND($S44&lt;&gt;"",EDATE($D44,Milestones!$AA$92)&gt;=$S44),$V44,IF(AND($R44&lt;&gt;"",EDATE($D44,Milestones!$AA$92)&gt;=$R44),$U44,$T44)))=Milestones!$AB$92),TEXT(EDATE($D44,Milestones!$AA$92),"dd/mm/yy")&amp;" "&amp;Milestones!$AB$92&amp;" "&amp;Milestones!$AC$92&amp;";  ","")&amp;IF(AND(EDATE($D44,Milestones!$AA$93)&lt;=AsOfDate,IF($Q44=0,$W44,IF(AND($S44&lt;&gt;"",EDATE($D44,Milestones!$AA$93)&gt;=$S44),$V44,IF(AND($R44&lt;&gt;"",EDATE($D44,Milestones!$AA$93)&gt;=$R44),$U44,$T44)))=Milestones!$AB$93),TEXT(EDATE($D44,Milestones!$AA$93),"dd/mm/yy")&amp;" "&amp;Milestones!$AB$93&amp;" "&amp;Milestones!$AC$93&amp;";  ","")&amp;IF(AND(EDATE($D44,Milestones!$AA$94)&lt;=AsOfDate,IF($Q44=0,$W44,IF(AND($S44&lt;&gt;"",EDATE($D44,Milestones!$AA$94)&gt;=$S44),$V44,IF(AND($R44&lt;&gt;"",EDATE($D44,Milestones!$AA$94)&gt;=$R44),$U44,$T44)))=Milestones!$AB$94),TEXT(EDATE($D44,Milestones!$AA$94),"dd/mm/yy")&amp;" "&amp;Milestones!$AB$94&amp;" "&amp;Milestones!$AC$94&amp;";  ","")&amp;IF(AND(EDATE($D44,Milestones!$AA$95)&lt;=AsOfDate,IF($Q44=0,$W44,IF(AND($S44&lt;&gt;"",EDATE($D44,Milestones!$AA$95)&gt;=$S44),$V44,IF(AND($R44&lt;&gt;"",EDATE($D44,Milestones!$AA$95)&gt;=$R44),$U44,$T44)))=Milestones!$AB$95),TEXT(EDATE($D44,Milestones!$AA$95),"dd/mm/yy")&amp;" "&amp;Milestones!$AB$95&amp;" "&amp;Milestones!$AC$95&amp;";  ","")&amp;IF(AND(EDATE($D44,Milestones!$AA$96)&lt;=AsOfDate,IF($Q44=0,$W44,IF(AND($S44&lt;&gt;"",EDATE($D44,Milestones!$AA$96)&gt;=$S44),$V44,IF(AND($R44&lt;&gt;"",EDATE($D44,Milestones!$AA$96)&gt;=$R44),$U44,$T44)))=Milestones!$AB$96),TEXT(EDATE($D44,Milestones!$AA$96),"dd/mm/yy")&amp;" "&amp;Milestones!$AB$96&amp;" "&amp;Milestones!$AC$96&amp;";  ","")&amp;IF(AND(EDATE($D44,Milestones!$AA$97)&lt;=AsOfDate,IF($Q44=0,$W44,IF(AND($S44&lt;&gt;"",EDATE($D44,Milestones!$AA$97)&gt;=$S44),$V44,IF(AND($R44&lt;&gt;"",EDATE($D44,Milestones!$AA$97)&gt;=$R44),$U44,$T44)))=Milestones!$AB$97),TEXT(EDATE($D44,Milestones!$AA$97),"dd/mm/yy")&amp;" "&amp;Milestones!$AB$97&amp;" "&amp;Milestones!$AC$97&amp;";  ","")&amp;IF(AND(EDATE($D44,Milestones!$AA$98)&lt;=AsOfDate,IF($Q44=0,$W44,IF(AND($S44&lt;&gt;"",EDATE($D44,Milestones!$AA$98)&gt;=$S44),$V44,IF(AND($R44&lt;&gt;"",EDATE($D44,Milestones!$AA$98)&gt;=$R44),$U44,$T44)))=Milestones!$AB$98),TEXT(EDATE($D44,Milestones!$AA$98),"dd/mm/yy")&amp;" "&amp;Milestones!$AB$98&amp;" "&amp;Milestones!$AC$98&amp;";  ","")&amp;IF(AND(EDATE($D44,Milestones!$AA$99)&lt;=AsOfDate,IF($Q44=0,$W44,IF(AND($S44&lt;&gt;"",EDATE($D44,Milestones!$AA$99)&gt;=$S44),$V44,IF(AND($R44&lt;&gt;"",EDATE($D44,Milestones!$AA$99)&gt;=$R44),$U44,$T44)))=Milestones!$AB$99),TEXT(EDATE($D44,Milestones!$AA$99),"dd/mm/yy")&amp;" "&amp;Milestones!$AB$99&amp;" "&amp;Milestones!$AC$99&amp;";  ",""))</f>
        <v/>
      </c>
      <c r="L44" s="0" t="str">
        <f aca="false">IF(OR($A44="",$D44=""),"",IF(AND(EDATE($D44,Milestones!$AA$100)&lt;=AsOfDate,IF($Q44=0,$W44,IF(AND($S44&lt;&gt;"",EDATE($D44,Milestones!$AA$100)&gt;=$S44),$V44,IF(AND($R44&lt;&gt;"",EDATE($D44,Milestones!$AA$100)&gt;=$R44),$U44,$T44)))=Milestones!$AB$100),TEXT(EDATE($D44,Milestones!$AA$100),"dd/mm/yy")&amp;" "&amp;Milestones!$AB$100&amp;" "&amp;Milestones!$AC$100&amp;";  ","")&amp;IF(AND(EDATE($D44,Milestones!$AA$101)&lt;=AsOfDate,IF($Q44=0,$W44,IF(AND($S44&lt;&gt;"",EDATE($D44,Milestones!$AA$101)&gt;=$S44),$V44,IF(AND($R44&lt;&gt;"",EDATE($D44,Milestones!$AA$101)&gt;=$R44),$U44,$T44)))=Milestones!$AB$101),TEXT(EDATE($D44,Milestones!$AA$101),"dd/mm/yy")&amp;" "&amp;Milestones!$AB$101&amp;" "&amp;Milestones!$AC$101&amp;";  ","")&amp;IF(AND(EDATE($D44,Milestones!$AA$102)&lt;=AsOfDate,IF($Q44=0,$W44,IF(AND($S44&lt;&gt;"",EDATE($D44,Milestones!$AA$102)&gt;=$S44),$V44,IF(AND($R44&lt;&gt;"",EDATE($D44,Milestones!$AA$102)&gt;=$R44),$U44,$T44)))=Milestones!$AB$102),TEXT(EDATE($D44,Milestones!$AA$102),"dd/mm/yy")&amp;" "&amp;Milestones!$AB$102&amp;" "&amp;Milestones!$AC$102&amp;";  ","")&amp;IF(AND(EDATE($D44,Milestones!$AA$103)&lt;=AsOfDate,IF($Q44=0,$W44,IF(AND($S44&lt;&gt;"",EDATE($D44,Milestones!$AA$103)&gt;=$S44),$V44,IF(AND($R44&lt;&gt;"",EDATE($D44,Milestones!$AA$103)&gt;=$R44),$U44,$T44)))=Milestones!$AB$103),TEXT(EDATE($D44,Milestones!$AA$103),"dd/mm/yy")&amp;" "&amp;Milestones!$AB$103&amp;" "&amp;Milestones!$AC$103&amp;";  ","")&amp;IF(AND(EDATE($D44,Milestones!$AA$104)&lt;=AsOfDate,IF($Q44=0,$W44,IF(AND($S44&lt;&gt;"",EDATE($D44,Milestones!$AA$104)&gt;=$S44),$V44,IF(AND($R44&lt;&gt;"",EDATE($D44,Milestones!$AA$104)&gt;=$R44),$U44,$T44)))=Milestones!$AB$104),TEXT(EDATE($D44,Milestones!$AA$104),"dd/mm/yy")&amp;" "&amp;Milestones!$AB$104&amp;" "&amp;Milestones!$AC$104&amp;";  ","")&amp;IF(AND(EDATE($D44,Milestones!$AA$105)&lt;=AsOfDate,IF($Q44=0,$W44,IF(AND($S44&lt;&gt;"",EDATE($D44,Milestones!$AA$105)&gt;=$S44),$V44,IF(AND($R44&lt;&gt;"",EDATE($D44,Milestones!$AA$105)&gt;=$R44),$U44,$T44)))=Milestones!$AB$105),TEXT(EDATE($D44,Milestones!$AA$105),"dd/mm/yy")&amp;" "&amp;Milestones!$AB$105&amp;" "&amp;Milestones!$AC$105&amp;";  ","")&amp;IF(AND(EDATE($D44,Milestones!$AA$106)&lt;=AsOfDate,IF($Q44=0,$W44,IF(AND($S44&lt;&gt;"",EDATE($D44,Milestones!$AA$106)&gt;=$S44),$V44,IF(AND($R44&lt;&gt;"",EDATE($D44,Milestones!$AA$106)&gt;=$R44),$U44,$T44)))=Milestones!$AB$106),TEXT(EDATE($D44,Milestones!$AA$106),"dd/mm/yy")&amp;" "&amp;Milestones!$AB$106&amp;" "&amp;Milestones!$AC$106&amp;";  ","")&amp;IF(AND(EDATE($D44,Milestones!$AA$107)&lt;=AsOfDate,IF($Q44=0,$W44,IF(AND($S44&lt;&gt;"",EDATE($D44,Milestones!$AA$107)&gt;=$S44),$V44,IF(AND($R44&lt;&gt;"",EDATE($D44,Milestones!$AA$107)&gt;=$R44),$U44,$T44)))=Milestones!$AB$107),TEXT(EDATE($D44,Milestones!$AA$107),"dd/mm/yy")&amp;" "&amp;Milestones!$AB$107&amp;" "&amp;Milestones!$AC$107&amp;";  ","")&amp;IF(AND(EDATE($D44,Milestones!$AA$108)&lt;=AsOfDate,IF($Q44=0,$W44,IF(AND($S44&lt;&gt;"",EDATE($D44,Milestones!$AA$108)&gt;=$S44),$V44,IF(AND($R44&lt;&gt;"",EDATE($D44,Milestones!$AA$108)&gt;=$R44),$U44,$T44)))=Milestones!$AB$108),TEXT(EDATE($D44,Milestones!$AA$108),"dd/mm/yy")&amp;" "&amp;Milestones!$AB$108&amp;" "&amp;Milestones!$AC$108&amp;";  ","")&amp;IF(AND(EDATE($D44,Milestones!$AA$109)&lt;=AsOfDate,IF($Q44=0,$W44,IF(AND($S44&lt;&gt;"",EDATE($D44,Milestones!$AA$109)&gt;=$S44),$V44,IF(AND($R44&lt;&gt;"",EDATE($D44,Milestones!$AA$109)&gt;=$R44),$U44,$T44)))=Milestones!$AB$109),TEXT(EDATE($D44,Milestones!$AA$109),"dd/mm/yy")&amp;" "&amp;Milestones!$AB$109&amp;" "&amp;Milestones!$AC$109&amp;";  ","")&amp;IF(AND(EDATE($D44,Milestones!$AA$110)&lt;=AsOfDate,IF($Q44=0,$W44,IF(AND($S44&lt;&gt;"",EDATE($D44,Milestones!$AA$110)&gt;=$S44),$V44,IF(AND($R44&lt;&gt;"",EDATE($D44,Milestones!$AA$110)&gt;=$R44),$U44,$T44)))=Milestones!$AB$110),TEXT(EDATE($D44,Milestones!$AA$110),"dd/mm/yy")&amp;" "&amp;Milestones!$AB$110&amp;" "&amp;Milestones!$AC$110&amp;";  ","")&amp;IF(AND(EDATE($D44,Milestones!$AA$111)&lt;=AsOfDate,IF($Q44=0,$W44,IF(AND($S44&lt;&gt;"",EDATE($D44,Milestones!$AA$111)&gt;=$S44),$V44,IF(AND($R44&lt;&gt;"",EDATE($D44,Milestones!$AA$111)&gt;=$R44),$U44,$T44)))=Milestones!$AB$111),TEXT(EDATE($D44,Milestones!$AA$111),"dd/mm/yy")&amp;" "&amp;Milestones!$AB$111&amp;" "&amp;Milestones!$AC$111&amp;";  ","")&amp;IF(AND(EDATE($D44,Milestones!$AA$112)&lt;=AsOfDate,IF($Q44=0,$W44,IF(AND($S44&lt;&gt;"",EDATE($D44,Milestones!$AA$112)&gt;=$S44),$V44,IF(AND($R44&lt;&gt;"",EDATE($D44,Milestones!$AA$112)&gt;=$R44),$U44,$T44)))=Milestones!$AB$112),TEXT(EDATE($D44,Milestones!$AA$112),"dd/mm/yy")&amp;" "&amp;Milestones!$AB$112&amp;" "&amp;Milestones!$AC$112&amp;";  ","")&amp;IF(AND(EDATE($D44,Milestones!$AA$113)&lt;=AsOfDate,IF($Q44=0,$W44,IF(AND($S44&lt;&gt;"",EDATE($D44,Milestones!$AA$113)&gt;=$S44),$V44,IF(AND($R44&lt;&gt;"",EDATE($D44,Milestones!$AA$113)&gt;=$R44),$U44,$T44)))=Milestones!$AB$113),TEXT(EDATE($D44,Milestones!$AA$113),"dd/mm/yy")&amp;" "&amp;Milestones!$AB$113&amp;" "&amp;Milestones!$AC$113&amp;";  ","")&amp;IF(AND(EDATE($D44,Milestones!$AA$114)&lt;=AsOfDate,IF($Q44=0,$W44,IF(AND($S44&lt;&gt;"",EDATE($D44,Milestones!$AA$114)&gt;=$S44),$V44,IF(AND($R44&lt;&gt;"",EDATE($D44,Milestones!$AA$114)&gt;=$R44),$U44,$T44)))=Milestones!$AB$114),TEXT(EDATE($D44,Milestones!$AA$114),"dd/mm/yy")&amp;" "&amp;Milestones!$AB$114&amp;" "&amp;Milestones!$AC$114&amp;";  ","")&amp;IF(AND(EDATE($D44,Milestones!$AA$115)&lt;=AsOfDate,IF($Q44=0,$W44,IF(AND($S44&lt;&gt;"",EDATE($D44,Milestones!$AA$115)&gt;=$S44),$V44,IF(AND($R44&lt;&gt;"",EDATE($D44,Milestones!$AA$115)&gt;=$R44),$U44,$T44)))=Milestones!$AB$115),TEXT(EDATE($D44,Milestones!$AA$115),"dd/mm/yy")&amp;" "&amp;Milestones!$AB$115&amp;" "&amp;Milestones!$AC$115&amp;";  ","")&amp;IF(AND(EDATE($D44,Milestones!$AA$116)&lt;=AsOfDate,IF($Q44=0,$W44,IF(AND($S44&lt;&gt;"",EDATE($D44,Milestones!$AA$116)&gt;=$S44),$V44,IF(AND($R44&lt;&gt;"",EDATE($D44,Milestones!$AA$116)&gt;=$R44),$U44,$T44)))=Milestones!$AB$116),TEXT(EDATE($D44,Milestones!$AA$116),"dd/mm/yy")&amp;" "&amp;Milestones!$AB$116&amp;" "&amp;Milestones!$AC$116&amp;";  ","")&amp;IF(AND(EDATE($D44,Milestones!$AA$117)&lt;=AsOfDate,IF($Q44=0,$W44,IF(AND($S44&lt;&gt;"",EDATE($D44,Milestones!$AA$117)&gt;=$S44),$V44,IF(AND($R44&lt;&gt;"",EDATE($D44,Milestones!$AA$117)&gt;=$R44),$U44,$T44)))=Milestones!$AB$117),TEXT(EDATE($D44,Milestones!$AA$117),"dd/mm/yy")&amp;" "&amp;Milestones!$AB$117&amp;" "&amp;Milestones!$AC$117&amp;";  ","")&amp;IF(AND(EDATE($D44,Milestones!$AA$118)&lt;=AsOfDate,IF($Q44=0,$W44,IF(AND($S44&lt;&gt;"",EDATE($D44,Milestones!$AA$118)&gt;=$S44),$V44,IF(AND($R44&lt;&gt;"",EDATE($D44,Milestones!$AA$118)&gt;=$R44),$U44,$T44)))=Milestones!$AB$118),TEXT(EDATE($D44,Milestones!$AA$118),"dd/mm/yy")&amp;" "&amp;Milestones!$AB$118&amp;" "&amp;Milestones!$AC$118&amp;";  ","")&amp;IF(AND(EDATE($D44,Milestones!$AA$119)&lt;=AsOfDate,IF($Q44=0,$W44,IF(AND($S44&lt;&gt;"",EDATE($D44,Milestones!$AA$119)&gt;=$S44),$V44,IF(AND($R44&lt;&gt;"",EDATE($D44,Milestones!$AA$119)&gt;=$R44),$U44,$T44)))=Milestones!$AB$119),TEXT(EDATE($D44,Milestones!$AA$119),"dd/mm/yy")&amp;" "&amp;Milestones!$AB$119&amp;" "&amp;Milestones!$AC$119&amp;";  ",""))</f>
        <v/>
      </c>
      <c r="M44" s="0" t="str">
        <f aca="false">IF(OR($A44="",$D44=""),"",IF(AND(EDATE($D44,Milestones!$AA$120)&lt;=AsOfDate,IF($Q44=0,$W44,IF(AND($S44&lt;&gt;"",EDATE($D44,Milestones!$AA$120)&gt;=$S44),$V44,IF(AND($R44&lt;&gt;"",EDATE($D44,Milestones!$AA$120)&gt;=$R44),$U44,$T44)))=Milestones!$AB$120),TEXT(EDATE($D44,Milestones!$AA$120),"dd/mm/yy")&amp;" "&amp;Milestones!$AB$120&amp;" "&amp;Milestones!$AC$120&amp;";  ","")&amp;IF(AND(EDATE($D44,Milestones!$AA$121)&lt;=AsOfDate,IF($Q44=0,$W44,IF(AND($S44&lt;&gt;"",EDATE($D44,Milestones!$AA$121)&gt;=$S44),$V44,IF(AND($R44&lt;&gt;"",EDATE($D44,Milestones!$AA$121)&gt;=$R44),$U44,$T44)))=Milestones!$AB$121),TEXT(EDATE($D44,Milestones!$AA$121),"dd/mm/yy")&amp;" "&amp;Milestones!$AB$121&amp;" "&amp;Milestones!$AC$121&amp;";  ","")&amp;IF(AND(EDATE($D44,Milestones!$AA$122)&lt;=AsOfDate,IF($Q44=0,$W44,IF(AND($S44&lt;&gt;"",EDATE($D44,Milestones!$AA$122)&gt;=$S44),$V44,IF(AND($R44&lt;&gt;"",EDATE($D44,Milestones!$AA$122)&gt;=$R44),$U44,$T44)))=Milestones!$AB$122),TEXT(EDATE($D44,Milestones!$AA$122),"dd/mm/yy")&amp;" "&amp;Milestones!$AB$122&amp;" "&amp;Milestones!$AC$122&amp;";  ","")&amp;IF(AND(EDATE($D44,Milestones!$AA$123)&lt;=AsOfDate,IF($Q44=0,$W44,IF(AND($S44&lt;&gt;"",EDATE($D44,Milestones!$AA$123)&gt;=$S44),$V44,IF(AND($R44&lt;&gt;"",EDATE($D44,Milestones!$AA$123)&gt;=$R44),$U44,$T44)))=Milestones!$AB$123),TEXT(EDATE($D44,Milestones!$AA$123),"dd/mm/yy")&amp;" "&amp;Milestones!$AB$123&amp;" "&amp;Milestones!$AC$123&amp;";  ","")&amp;IF(AND(EDATE($D44,Milestones!$AA$124)&lt;=AsOfDate,IF($Q44=0,$W44,IF(AND($S44&lt;&gt;"",EDATE($D44,Milestones!$AA$124)&gt;=$S44),$V44,IF(AND($R44&lt;&gt;"",EDATE($D44,Milestones!$AA$124)&gt;=$R44),$U44,$T44)))=Milestones!$AB$124),TEXT(EDATE($D44,Milestones!$AA$124),"dd/mm/yy")&amp;" "&amp;Milestones!$AB$124&amp;" "&amp;Milestones!$AC$124&amp;";  ","")&amp;IF(AND(EDATE($D44,Milestones!$AA$125)&lt;=AsOfDate,IF($Q44=0,$W44,IF(AND($S44&lt;&gt;"",EDATE($D44,Milestones!$AA$125)&gt;=$S44),$V44,IF(AND($R44&lt;&gt;"",EDATE($D44,Milestones!$AA$125)&gt;=$R44),$U44,$T44)))=Milestones!$AB$125),TEXT(EDATE($D44,Milestones!$AA$125),"dd/mm/yy")&amp;" "&amp;Milestones!$AB$125&amp;" "&amp;Milestones!$AC$125&amp;";  ","")&amp;IF(AND(EDATE($D44,Milestones!$AA$126)&lt;=AsOfDate,IF($Q44=0,$W44,IF(AND($S44&lt;&gt;"",EDATE($D44,Milestones!$AA$126)&gt;=$S44),$V44,IF(AND($R44&lt;&gt;"",EDATE($D44,Milestones!$AA$126)&gt;=$R44),$U44,$T44)))=Milestones!$AB$126),TEXT(EDATE($D44,Milestones!$AA$126),"dd/mm/yy")&amp;" "&amp;Milestones!$AB$126&amp;" "&amp;Milestones!$AC$126&amp;";  ","")&amp;IF(AND(EDATE($D44,Milestones!$AA$127)&lt;=AsOfDate,IF($Q44=0,$W44,IF(AND($S44&lt;&gt;"",EDATE($D44,Milestones!$AA$127)&gt;=$S44),$V44,IF(AND($R44&lt;&gt;"",EDATE($D44,Milestones!$AA$127)&gt;=$R44),$U44,$T44)))=Milestones!$AB$127),TEXT(EDATE($D44,Milestones!$AA$127),"dd/mm/yy")&amp;" "&amp;Milestones!$AB$127&amp;" "&amp;Milestones!$AC$127&amp;";  ","")&amp;IF(AND(EDATE($D44,Milestones!$AA$128)&lt;=AsOfDate,IF($Q44=0,$W44,IF(AND($S44&lt;&gt;"",EDATE($D44,Milestones!$AA$128)&gt;=$S44),$V44,IF(AND($R44&lt;&gt;"",EDATE($D44,Milestones!$AA$128)&gt;=$R44),$U44,$T44)))=Milestones!$AB$128),TEXT(EDATE($D44,Milestones!$AA$128),"dd/mm/yy")&amp;" "&amp;Milestones!$AB$128&amp;" "&amp;Milestones!$AC$128&amp;";  ","")&amp;IF(AND(EDATE($D44,Milestones!$AA$129)&lt;=AsOfDate,IF($Q44=0,$W44,IF(AND($S44&lt;&gt;"",EDATE($D44,Milestones!$AA$129)&gt;=$S44),$V44,IF(AND($R44&lt;&gt;"",EDATE($D44,Milestones!$AA$129)&gt;=$R44),$U44,$T44)))=Milestones!$AB$129),TEXT(EDATE($D44,Milestones!$AA$129),"dd/mm/yy")&amp;" "&amp;Milestones!$AB$129&amp;" "&amp;Milestones!$AC$129&amp;";  ","")&amp;IF(AND(EDATE($D44,Milestones!$AA$130)&lt;=AsOfDate,IF($Q44=0,$W44,IF(AND($S44&lt;&gt;"",EDATE($D44,Milestones!$AA$130)&gt;=$S44),$V44,IF(AND($R44&lt;&gt;"",EDATE($D44,Milestones!$AA$130)&gt;=$R44),$U44,$T44)))=Milestones!$AB$130),TEXT(EDATE($D44,Milestones!$AA$130),"dd/mm/yy")&amp;" "&amp;Milestones!$AB$130&amp;" "&amp;Milestones!$AC$130&amp;";  ","")&amp;IF(AND(EDATE($D44,Milestones!$AA$131)&lt;=AsOfDate,IF($Q44=0,$W44,IF(AND($S44&lt;&gt;"",EDATE($D44,Milestones!$AA$131)&gt;=$S44),$V44,IF(AND($R44&lt;&gt;"",EDATE($D44,Milestones!$AA$131)&gt;=$R44),$U44,$T44)))=Milestones!$AB$131),TEXT(EDATE($D44,Milestones!$AA$131),"dd/mm/yy")&amp;" "&amp;Milestones!$AB$131&amp;" "&amp;Milestones!$AC$131&amp;";  ","")&amp;IF(AND(EDATE($D44,Milestones!$AA$132)&lt;=AsOfDate,IF($Q44=0,$W44,IF(AND($S44&lt;&gt;"",EDATE($D44,Milestones!$AA$132)&gt;=$S44),$V44,IF(AND($R44&lt;&gt;"",EDATE($D44,Milestones!$AA$132)&gt;=$R44),$U44,$T44)))=Milestones!$AB$132),TEXT(EDATE($D44,Milestones!$AA$132),"dd/mm/yy")&amp;" "&amp;Milestones!$AB$132&amp;" "&amp;Milestones!$AC$132&amp;";  ","")&amp;IF(AND(EDATE($D44,Milestones!$AA$133)&lt;=AsOfDate,IF($Q44=0,$W44,IF(AND($S44&lt;&gt;"",EDATE($D44,Milestones!$AA$133)&gt;=$S44),$V44,IF(AND($R44&lt;&gt;"",EDATE($D44,Milestones!$AA$133)&gt;=$R44),$U44,$T44)))=Milestones!$AB$133),TEXT(EDATE($D44,Milestones!$AA$133),"dd/mm/yy")&amp;" "&amp;Milestones!$AB$133&amp;" "&amp;Milestones!$AC$133&amp;";  ","")&amp;IF(AND(EDATE($D44,Milestones!$AA$134)&lt;=AsOfDate,IF($Q44=0,$W44,IF(AND($S44&lt;&gt;"",EDATE($D44,Milestones!$AA$134)&gt;=$S44),$V44,IF(AND($R44&lt;&gt;"",EDATE($D44,Milestones!$AA$134)&gt;=$R44),$U44,$T44)))=Milestones!$AB$134),TEXT(EDATE($D44,Milestones!$AA$134),"dd/mm/yy")&amp;" "&amp;Milestones!$AB$134&amp;" "&amp;Milestones!$AC$134&amp;";  ","")&amp;IF(AND(EDATE($D44,Milestones!$AA$135)&lt;=AsOfDate,IF($Q44=0,$W44,IF(AND($S44&lt;&gt;"",EDATE($D44,Milestones!$AA$135)&gt;=$S44),$V44,IF(AND($R44&lt;&gt;"",EDATE($D44,Milestones!$AA$135)&gt;=$R44),$U44,$T44)))=Milestones!$AB$135),TEXT(EDATE($D44,Milestones!$AA$135),"dd/mm/yy")&amp;" "&amp;Milestones!$AB$135&amp;" "&amp;Milestones!$AC$135&amp;";  ","")&amp;IF(AND(EDATE($D44,Milestones!$AA$136)&lt;=AsOfDate,IF($Q44=0,$W44,IF(AND($S44&lt;&gt;"",EDATE($D44,Milestones!$AA$136)&gt;=$S44),$V44,IF(AND($R44&lt;&gt;"",EDATE($D44,Milestones!$AA$136)&gt;=$R44),$U44,$T44)))=Milestones!$AB$136),TEXT(EDATE($D44,Milestones!$AA$136),"dd/mm/yy")&amp;" "&amp;Milestones!$AB$136&amp;" "&amp;Milestones!$AC$136&amp;";  ","")&amp;IF(AND(EDATE($D44,Milestones!$AA$137)&lt;=AsOfDate,IF($Q44=0,$W44,IF(AND($S44&lt;&gt;"",EDATE($D44,Milestones!$AA$137)&gt;=$S44),$V44,IF(AND($R44&lt;&gt;"",EDATE($D44,Milestones!$AA$137)&gt;=$R44),$U44,$T44)))=Milestones!$AB$137),TEXT(EDATE($D44,Milestones!$AA$137),"dd/mm/yy")&amp;" "&amp;Milestones!$AB$137&amp;" "&amp;Milestones!$AC$137&amp;";  ","")&amp;IF(AND(EDATE($D44,Milestones!$AA$138)&lt;=AsOfDate,IF($Q44=0,$W44,IF(AND($S44&lt;&gt;"",EDATE($D44,Milestones!$AA$138)&gt;=$S44),$V44,IF(AND($R44&lt;&gt;"",EDATE($D44,Milestones!$AA$138)&gt;=$R44),$U44,$T44)))=Milestones!$AB$138),TEXT(EDATE($D44,Milestones!$AA$138),"dd/mm/yy")&amp;" "&amp;Milestones!$AB$138&amp;" "&amp;Milestones!$AC$138&amp;";  ","")&amp;IF(AND(EDATE($D44,Milestones!$AA$139)&lt;=AsOfDate,IF($Q44=0,$W44,IF(AND($S44&lt;&gt;"",EDATE($D44,Milestones!$AA$139)&gt;=$S44),$V44,IF(AND($R44&lt;&gt;"",EDATE($D44,Milestones!$AA$139)&gt;=$R44),$U44,$T44)))=Milestones!$AB$139),TEXT(EDATE($D44,Milestones!$AA$139),"dd/mm/yy")&amp;" "&amp;Milestones!$AB$139&amp;" "&amp;Milestones!$AC$139&amp;";  ",""))</f>
        <v/>
      </c>
      <c r="N44" s="0" t="str">
        <f aca="false">IF(OR($A44="",$D44=""),"",IF(AND(EDATE($D44,Milestones!$AA$140)&lt;=AsOfDate,IF($Q44=0,$W44,IF(AND($S44&lt;&gt;"",EDATE($D44,Milestones!$AA$140)&gt;=$S44),$V44,IF(AND($R44&lt;&gt;"",EDATE($D44,Milestones!$AA$140)&gt;=$R44),$U44,$T44)))=Milestones!$AB$140),TEXT(EDATE($D44,Milestones!$AA$140),"dd/mm/yy")&amp;" "&amp;Milestones!$AB$140&amp;" "&amp;Milestones!$AC$140&amp;";  ","")&amp;IF(AND(EDATE($D44,Milestones!$AA$141)&lt;=AsOfDate,IF($Q44=0,$W44,IF(AND($S44&lt;&gt;"",EDATE($D44,Milestones!$AA$141)&gt;=$S44),$V44,IF(AND($R44&lt;&gt;"",EDATE($D44,Milestones!$AA$141)&gt;=$R44),$U44,$T44)))=Milestones!$AB$141),TEXT(EDATE($D44,Milestones!$AA$141),"dd/mm/yy")&amp;" "&amp;Milestones!$AB$141&amp;" "&amp;Milestones!$AC$141&amp;";  ","")&amp;IF(AND(EDATE($D44,Milestones!$AA$142)&lt;=AsOfDate,IF($Q44=0,$W44,IF(AND($S44&lt;&gt;"",EDATE($D44,Milestones!$AA$142)&gt;=$S44),$V44,IF(AND($R44&lt;&gt;"",EDATE($D44,Milestones!$AA$142)&gt;=$R44),$U44,$T44)))=Milestones!$AB$142),TEXT(EDATE($D44,Milestones!$AA$142),"dd/mm/yy")&amp;" "&amp;Milestones!$AB$142&amp;" "&amp;Milestones!$AC$142&amp;";  ","")&amp;IF(AND(EDATE($D44,Milestones!$AA$143)&lt;=AsOfDate,IF($Q44=0,$W44,IF(AND($S44&lt;&gt;"",EDATE($D44,Milestones!$AA$143)&gt;=$S44),$V44,IF(AND($R44&lt;&gt;"",EDATE($D44,Milestones!$AA$143)&gt;=$R44),$U44,$T44)))=Milestones!$AB$143),TEXT(EDATE($D44,Milestones!$AA$143),"dd/mm/yy")&amp;" "&amp;Milestones!$AB$143&amp;" "&amp;Milestones!$AC$143&amp;";  ","")&amp;IF(AND(EDATE($D44,Milestones!$AA$144)&lt;=AsOfDate,IF($Q44=0,$W44,IF(AND($S44&lt;&gt;"",EDATE($D44,Milestones!$AA$144)&gt;=$S44),$V44,IF(AND($R44&lt;&gt;"",EDATE($D44,Milestones!$AA$144)&gt;=$R44),$U44,$T44)))=Milestones!$AB$144),TEXT(EDATE($D44,Milestones!$AA$144),"dd/mm/yy")&amp;" "&amp;Milestones!$AB$144&amp;" "&amp;Milestones!$AC$144&amp;";  ","")&amp;IF(AND(EDATE($D44,Milestones!$AA$145)&lt;=AsOfDate,IF($Q44=0,$W44,IF(AND($S44&lt;&gt;"",EDATE($D44,Milestones!$AA$145)&gt;=$S44),$V44,IF(AND($R44&lt;&gt;"",EDATE($D44,Milestones!$AA$145)&gt;=$R44),$U44,$T44)))=Milestones!$AB$145),TEXT(EDATE($D44,Milestones!$AA$145),"dd/mm/yy")&amp;" "&amp;Milestones!$AB$145&amp;" "&amp;Milestones!$AC$145&amp;";  ","")&amp;IF(AND(EDATE($D44,Milestones!$AA$146)&lt;=AsOfDate,IF($Q44=0,$W44,IF(AND($S44&lt;&gt;"",EDATE($D44,Milestones!$AA$146)&gt;=$S44),$V44,IF(AND($R44&lt;&gt;"",EDATE($D44,Milestones!$AA$146)&gt;=$R44),$U44,$T44)))=Milestones!$AB$146),TEXT(EDATE($D44,Milestones!$AA$146),"dd/mm/yy")&amp;" "&amp;Milestones!$AB$146&amp;" "&amp;Milestones!$AC$146&amp;";  ","")&amp;IF(AND(EDATE($D44,Milestones!$AA$147)&lt;=AsOfDate,IF($Q44=0,$W44,IF(AND($S44&lt;&gt;"",EDATE($D44,Milestones!$AA$147)&gt;=$S44),$V44,IF(AND($R44&lt;&gt;"",EDATE($D44,Milestones!$AA$147)&gt;=$R44),$U44,$T44)))=Milestones!$AB$147),TEXT(EDATE($D44,Milestones!$AA$147),"dd/mm/yy")&amp;" "&amp;Milestones!$AB$147&amp;" "&amp;Milestones!$AC$147&amp;";  ","")&amp;IF(AND(EDATE($D44,Milestones!$AA$148)&lt;=AsOfDate,IF($Q44=0,$W44,IF(AND($S44&lt;&gt;"",EDATE($D44,Milestones!$AA$148)&gt;=$S44),$V44,IF(AND($R44&lt;&gt;"",EDATE($D44,Milestones!$AA$148)&gt;=$R44),$U44,$T44)))=Milestones!$AB$148),TEXT(EDATE($D44,Milestones!$AA$148),"dd/mm/yy")&amp;" "&amp;Milestones!$AB$148&amp;" "&amp;Milestones!$AC$148&amp;";  ","")&amp;IF(AND(EDATE($D44,Milestones!$AA$149)&lt;=AsOfDate,IF($Q44=0,$W44,IF(AND($S44&lt;&gt;"",EDATE($D44,Milestones!$AA$149)&gt;=$S44),$V44,IF(AND($R44&lt;&gt;"",EDATE($D44,Milestones!$AA$149)&gt;=$R44),$U44,$T44)))=Milestones!$AB$149),TEXT(EDATE($D44,Milestones!$AA$149),"dd/mm/yy")&amp;" "&amp;Milestones!$AB$149&amp;" "&amp;Milestones!$AC$149&amp;";  ","")&amp;IF(AND(EDATE($D44,Milestones!$AA$150)&lt;=AsOfDate,IF($Q44=0,$W44,IF(AND($S44&lt;&gt;"",EDATE($D44,Milestones!$AA$150)&gt;=$S44),$V44,IF(AND($R44&lt;&gt;"",EDATE($D44,Milestones!$AA$150)&gt;=$R44),$U44,$T44)))=Milestones!$AB$150),TEXT(EDATE($D44,Milestones!$AA$150),"dd/mm/yy")&amp;" "&amp;Milestones!$AB$150&amp;" "&amp;Milestones!$AC$150&amp;";  ","")&amp;IF(AND(EDATE($D44,Milestones!$AA$151)&lt;=AsOfDate,IF($Q44=0,$W44,IF(AND($S44&lt;&gt;"",EDATE($D44,Milestones!$AA$151)&gt;=$S44),$V44,IF(AND($R44&lt;&gt;"",EDATE($D44,Milestones!$AA$151)&gt;=$R44),$U44,$T44)))=Milestones!$AB$151),TEXT(EDATE($D44,Milestones!$AA$151),"dd/mm/yy")&amp;" "&amp;Milestones!$AB$151&amp;" "&amp;Milestones!$AC$151&amp;";  ","")&amp;IF(AND(EDATE($D44,Milestones!$AA$152)&lt;=AsOfDate,IF($Q44=0,$W44,IF(AND($S44&lt;&gt;"",EDATE($D44,Milestones!$AA$152)&gt;=$S44),$V44,IF(AND($R44&lt;&gt;"",EDATE($D44,Milestones!$AA$152)&gt;=$R44),$U44,$T44)))=Milestones!$AB$152),TEXT(EDATE($D44,Milestones!$AA$152),"dd/mm/yy")&amp;" "&amp;Milestones!$AB$152&amp;" "&amp;Milestones!$AC$152&amp;";  ","")&amp;IF(AND(EDATE($D44,Milestones!$AA$153)&lt;=AsOfDate,IF($Q44=0,$W44,IF(AND($S44&lt;&gt;"",EDATE($D44,Milestones!$AA$153)&gt;=$S44),$V44,IF(AND($R44&lt;&gt;"",EDATE($D44,Milestones!$AA$153)&gt;=$R44),$U44,$T44)))=Milestones!$AB$153),TEXT(EDATE($D44,Milestones!$AA$153),"dd/mm/yy")&amp;" "&amp;Milestones!$AB$153&amp;" "&amp;Milestones!$AC$153&amp;";  ","")&amp;IF(AND(EDATE($D44,Milestones!$AA$154)&lt;=AsOfDate,IF($Q44=0,$W44,IF(AND($S44&lt;&gt;"",EDATE($D44,Milestones!$AA$154)&gt;=$S44),$V44,IF(AND($R44&lt;&gt;"",EDATE($D44,Milestones!$AA$154)&gt;=$R44),$U44,$T44)))=Milestones!$AB$154),TEXT(EDATE($D44,Milestones!$AA$154),"dd/mm/yy")&amp;" "&amp;Milestones!$AB$154&amp;" "&amp;Milestones!$AC$154&amp;";  ","")&amp;IF(AND(EDATE($D44,Milestones!$AA$155)&lt;=AsOfDate,IF($Q44=0,$W44,IF(AND($S44&lt;&gt;"",EDATE($D44,Milestones!$AA$155)&gt;=$S44),$V44,IF(AND($R44&lt;&gt;"",EDATE($D44,Milestones!$AA$155)&gt;=$R44),$U44,$T44)))=Milestones!$AB$155),TEXT(EDATE($D44,Milestones!$AA$155),"dd/mm/yy")&amp;" "&amp;Milestones!$AB$155&amp;" "&amp;Milestones!$AC$155&amp;";  ","")&amp;IF(AND(EDATE($D44,Milestones!$AA$156)&lt;=AsOfDate,IF($Q44=0,$W44,IF(AND($S44&lt;&gt;"",EDATE($D44,Milestones!$AA$156)&gt;=$S44),$V44,IF(AND($R44&lt;&gt;"",EDATE($D44,Milestones!$AA$156)&gt;=$R44),$U44,$T44)))=Milestones!$AB$156),TEXT(EDATE($D44,Milestones!$AA$156),"dd/mm/yy")&amp;" "&amp;Milestones!$AB$156&amp;" "&amp;Milestones!$AC$156&amp;";  ","")&amp;IF(AND(EDATE($D44,Milestones!$AA$157)&lt;=AsOfDate,IF($Q44=0,$W44,IF(AND($S44&lt;&gt;"",EDATE($D44,Milestones!$AA$157)&gt;=$S44),$V44,IF(AND($R44&lt;&gt;"",EDATE($D44,Milestones!$AA$157)&gt;=$R44),$U44,$T44)))=Milestones!$AB$157),TEXT(EDATE($D44,Milestones!$AA$157),"dd/mm/yy")&amp;" "&amp;Milestones!$AB$157&amp;" "&amp;Milestones!$AC$157&amp;";  ","")&amp;IF(AND(EDATE($D44,Milestones!$AA$158)&lt;=AsOfDate,IF($Q44=0,$W44,IF(AND($S44&lt;&gt;"",EDATE($D44,Milestones!$AA$158)&gt;=$S44),$V44,IF(AND($R44&lt;&gt;"",EDATE($D44,Milestones!$AA$158)&gt;=$R44),$U44,$T44)))=Milestones!$AB$158),TEXT(EDATE($D44,Milestones!$AA$158),"dd/mm/yy")&amp;" "&amp;Milestones!$AB$158&amp;" "&amp;Milestones!$AC$158&amp;";  ","")&amp;IF(AND(EDATE($D44,Milestones!$AA$159)&lt;=AsOfDate,IF($Q44=0,$W44,IF(AND($S44&lt;&gt;"",EDATE($D44,Milestones!$AA$159)&gt;=$S44),$V44,IF(AND($R44&lt;&gt;"",EDATE($D44,Milestones!$AA$159)&gt;=$R44),$U44,$T44)))=Milestones!$AB$159),TEXT(EDATE($D44,Milestones!$AA$159),"dd/mm/yy")&amp;" "&amp;Milestones!$AB$159&amp;" "&amp;Milestones!$AC$159&amp;";  ",""))</f>
        <v/>
      </c>
      <c r="O44" s="0" t="str">
        <f aca="false">IF(OR($A44="",$D44=""),"",IF(AND(EDATE($D44,Milestones!$AA$160)&lt;=AsOfDate,IF($Q44=0,$W44,IF(AND($S44&lt;&gt;"",EDATE($D44,Milestones!$AA$160)&gt;=$S44),$V44,IF(AND($R44&lt;&gt;"",EDATE($D44,Milestones!$AA$160)&gt;=$R44),$U44,$T44)))=Milestones!$AB$160),TEXT(EDATE($D44,Milestones!$AA$160),"dd/mm/yy")&amp;" "&amp;Milestones!$AB$160&amp;" "&amp;Milestones!$AC$160&amp;";  ","")&amp;IF(AND(EDATE($D44,Milestones!$AA$161)&lt;=AsOfDate,IF($Q44=0,$W44,IF(AND($S44&lt;&gt;"",EDATE($D44,Milestones!$AA$161)&gt;=$S44),$V44,IF(AND($R44&lt;&gt;"",EDATE($D44,Milestones!$AA$161)&gt;=$R44),$U44,$T44)))=Milestones!$AB$161),TEXT(EDATE($D44,Milestones!$AA$161),"dd/mm/yy")&amp;" "&amp;Milestones!$AB$161&amp;" "&amp;Milestones!$AC$161&amp;";  ","")&amp;IF(AND(EDATE($D44,Milestones!$AA$162)&lt;=AsOfDate,IF($Q44=0,$W44,IF(AND($S44&lt;&gt;"",EDATE($D44,Milestones!$AA$162)&gt;=$S44),$V44,IF(AND($R44&lt;&gt;"",EDATE($D44,Milestones!$AA$162)&gt;=$R44),$U44,$T44)))=Milestones!$AB$162),TEXT(EDATE($D44,Milestones!$AA$162),"dd/mm/yy")&amp;" "&amp;Milestones!$AB$162&amp;" "&amp;Milestones!$AC$162&amp;";  ","")&amp;IF(AND(EDATE($D44,Milestones!$AA$163)&lt;=AsOfDate,IF($Q44=0,$W44,IF(AND($S44&lt;&gt;"",EDATE($D44,Milestones!$AA$163)&gt;=$S44),$V44,IF(AND($R44&lt;&gt;"",EDATE($D44,Milestones!$AA$163)&gt;=$R44),$U44,$T44)))=Milestones!$AB$163),TEXT(EDATE($D44,Milestones!$AA$163),"dd/mm/yy")&amp;" "&amp;Milestones!$AB$163&amp;" "&amp;Milestones!$AC$163&amp;";  ","")&amp;IF(AND(EDATE($D44,Milestones!$AA$164)&lt;=AsOfDate,IF($Q44=0,$W44,IF(AND($S44&lt;&gt;"",EDATE($D44,Milestones!$AA$164)&gt;=$S44),$V44,IF(AND($R44&lt;&gt;"",EDATE($D44,Milestones!$AA$164)&gt;=$R44),$U44,$T44)))=Milestones!$AB$164),TEXT(EDATE($D44,Milestones!$AA$164),"dd/mm/yy")&amp;" "&amp;Milestones!$AB$164&amp;" "&amp;Milestones!$AC$164&amp;";  ","")&amp;IF(AND(EDATE($D44,Milestones!$AA$165)&lt;=AsOfDate,IF($Q44=0,$W44,IF(AND($S44&lt;&gt;"",EDATE($D44,Milestones!$AA$165)&gt;=$S44),$V44,IF(AND($R44&lt;&gt;"",EDATE($D44,Milestones!$AA$165)&gt;=$R44),$U44,$T44)))=Milestones!$AB$165),TEXT(EDATE($D44,Milestones!$AA$165),"dd/mm/yy")&amp;" "&amp;Milestones!$AB$165&amp;" "&amp;Milestones!$AC$165&amp;";  ","")&amp;IF(AND(EDATE($D44,Milestones!$AA$166)&lt;=AsOfDate,IF($Q44=0,$W44,IF(AND($S44&lt;&gt;"",EDATE($D44,Milestones!$AA$166)&gt;=$S44),$V44,IF(AND($R44&lt;&gt;"",EDATE($D44,Milestones!$AA$166)&gt;=$R44),$U44,$T44)))=Milestones!$AB$166),TEXT(EDATE($D44,Milestones!$AA$166),"dd/mm/yy")&amp;" "&amp;Milestones!$AB$166&amp;" "&amp;Milestones!$AC$166&amp;";  ","")&amp;IF(AND(EDATE($D44,Milestones!$AA$167)&lt;=AsOfDate,IF($Q44=0,$W44,IF(AND($S44&lt;&gt;"",EDATE($D44,Milestones!$AA$167)&gt;=$S44),$V44,IF(AND($R44&lt;&gt;"",EDATE($D44,Milestones!$AA$167)&gt;=$R44),$U44,$T44)))=Milestones!$AB$167),TEXT(EDATE($D44,Milestones!$AA$167),"dd/mm/yy")&amp;" "&amp;Milestones!$AB$167&amp;" "&amp;Milestones!$AC$167&amp;";  ","")&amp;IF(AND(EDATE($D44,Milestones!$AA$168)&lt;=AsOfDate,IF($Q44=0,$W44,IF(AND($S44&lt;&gt;"",EDATE($D44,Milestones!$AA$168)&gt;=$S44),$V44,IF(AND($R44&lt;&gt;"",EDATE($D44,Milestones!$AA$168)&gt;=$R44),$U44,$T44)))=Milestones!$AB$168),TEXT(EDATE($D44,Milestones!$AA$168),"dd/mm/yy")&amp;" "&amp;Milestones!$AB$168&amp;" "&amp;Milestones!$AC$168&amp;";  ","")&amp;IF(AND(EDATE($D44,Milestones!$AA$169)&lt;=AsOfDate,IF($Q44=0,$W44,IF(AND($S44&lt;&gt;"",EDATE($D44,Milestones!$AA$169)&gt;=$S44),$V44,IF(AND($R44&lt;&gt;"",EDATE($D44,Milestones!$AA$169)&gt;=$R44),$U44,$T44)))=Milestones!$AB$169),TEXT(EDATE($D44,Milestones!$AA$169),"dd/mm/yy")&amp;" "&amp;Milestones!$AB$169&amp;" "&amp;Milestones!$AC$169&amp;";  ","")&amp;IF(AND(EDATE($D44,Milestones!$AA$170)&lt;=AsOfDate,IF($Q44=0,$W44,IF(AND($S44&lt;&gt;"",EDATE($D44,Milestones!$AA$170)&gt;=$S44),$V44,IF(AND($R44&lt;&gt;"",EDATE($D44,Milestones!$AA$170)&gt;=$R44),$U44,$T44)))=Milestones!$AB$170),TEXT(EDATE($D44,Milestones!$AA$170),"dd/mm/yy")&amp;" "&amp;Milestones!$AB$170&amp;" "&amp;Milestones!$AC$170&amp;";  ","")&amp;IF(AND(EDATE($D44,Milestones!$AA$171)&lt;=AsOfDate,IF($Q44=0,$W44,IF(AND($S44&lt;&gt;"",EDATE($D44,Milestones!$AA$171)&gt;=$S44),$V44,IF(AND($R44&lt;&gt;"",EDATE($D44,Milestones!$AA$171)&gt;=$R44),$U44,$T44)))=Milestones!$AB$171),TEXT(EDATE($D44,Milestones!$AA$171),"dd/mm/yy")&amp;" "&amp;Milestones!$AB$171&amp;" "&amp;Milestones!$AC$171&amp;";  ","")&amp;IF(AND(EDATE($D44,Milestones!$AA$172)&lt;=AsOfDate,IF($Q44=0,$W44,IF(AND($S44&lt;&gt;"",EDATE($D44,Milestones!$AA$172)&gt;=$S44),$V44,IF(AND($R44&lt;&gt;"",EDATE($D44,Milestones!$AA$172)&gt;=$R44),$U44,$T44)))=Milestones!$AB$172),TEXT(EDATE($D44,Milestones!$AA$172),"dd/mm/yy")&amp;" "&amp;Milestones!$AB$172&amp;" "&amp;Milestones!$AC$172&amp;";  ","")&amp;IF(AND(EDATE($D44,Milestones!$AA$173)&lt;=AsOfDate,IF($Q44=0,$W44,IF(AND($S44&lt;&gt;"",EDATE($D44,Milestones!$AA$173)&gt;=$S44),$V44,IF(AND($R44&lt;&gt;"",EDATE($D44,Milestones!$AA$173)&gt;=$R44),$U44,$T44)))=Milestones!$AB$173),TEXT(EDATE($D44,Milestones!$AA$173),"dd/mm/yy")&amp;" "&amp;Milestones!$AB$173&amp;" "&amp;Milestones!$AC$173&amp;";  ","")&amp;IF(AND(EDATE($D44,Milestones!$AA$174)&lt;=AsOfDate,IF($Q44=0,$W44,IF(AND($S44&lt;&gt;"",EDATE($D44,Milestones!$AA$174)&gt;=$S44),$V44,IF(AND($R44&lt;&gt;"",EDATE($D44,Milestones!$AA$174)&gt;=$R44),$U44,$T44)))=Milestones!$AB$174),TEXT(EDATE($D44,Milestones!$AA$174),"dd/mm/yy")&amp;" "&amp;Milestones!$AB$174&amp;" "&amp;Milestones!$AC$174&amp;";  ","")&amp;IF(AND(EDATE($D44,Milestones!$AA$175)&lt;=AsOfDate,IF($Q44=0,$W44,IF(AND($S44&lt;&gt;"",EDATE($D44,Milestones!$AA$175)&gt;=$S44),$V44,IF(AND($R44&lt;&gt;"",EDATE($D44,Milestones!$AA$175)&gt;=$R44),$U44,$T44)))=Milestones!$AB$175),TEXT(EDATE($D44,Milestones!$AA$175),"dd/mm/yy")&amp;" "&amp;Milestones!$AB$175&amp;" "&amp;Milestones!$AC$175&amp;";  ","")&amp;IF(AND(EDATE($D44,Milestones!$AA$176)&lt;=AsOfDate,IF($Q44=0,$W44,IF(AND($S44&lt;&gt;"",EDATE($D44,Milestones!$AA$176)&gt;=$S44),$V44,IF(AND($R44&lt;&gt;"",EDATE($D44,Milestones!$AA$176)&gt;=$R44),$U44,$T44)))=Milestones!$AB$176),TEXT(EDATE($D44,Milestones!$AA$176),"dd/mm/yy")&amp;" "&amp;Milestones!$AB$176&amp;" "&amp;Milestones!$AC$176&amp;";  ","")&amp;IF(AND(EDATE($D44,Milestones!$AA$177)&lt;=AsOfDate,IF($Q44=0,$W44,IF(AND($S44&lt;&gt;"",EDATE($D44,Milestones!$AA$177)&gt;=$S44),$V44,IF(AND($R44&lt;&gt;"",EDATE($D44,Milestones!$AA$177)&gt;=$R44),$U44,$T44)))=Milestones!$AB$177),TEXT(EDATE($D44,Milestones!$AA$177),"dd/mm/yy")&amp;" "&amp;Milestones!$AB$177&amp;" "&amp;Milestones!$AC$177&amp;";  ","")&amp;IF(AND(EDATE($D44,Milestones!$AA$178)&lt;=AsOfDate,IF($Q44=0,$W44,IF(AND($S44&lt;&gt;"",EDATE($D44,Milestones!$AA$178)&gt;=$S44),$V44,IF(AND($R44&lt;&gt;"",EDATE($D44,Milestones!$AA$178)&gt;=$R44),$U44,$T44)))=Milestones!$AB$178),TEXT(EDATE($D44,Milestones!$AA$178),"dd/mm/yy")&amp;" "&amp;Milestones!$AB$178&amp;" "&amp;Milestones!$AC$178&amp;";  ","")&amp;IF(AND(EDATE($D44,Milestones!$AA$179)&lt;=AsOfDate,IF($Q44=0,$W44,IF(AND($S44&lt;&gt;"",EDATE($D44,Milestones!$AA$179)&gt;=$S44),$V44,IF(AND($R44&lt;&gt;"",EDATE($D44,Milestones!$AA$179)&gt;=$R44),$U44,$T44)))=Milestones!$AB$179),TEXT(EDATE($D44,Milestones!$AA$179),"dd/mm/yy")&amp;" "&amp;Milestones!$AB$179&amp;" "&amp;Milestones!$AC$179&amp;";  ",""))</f>
        <v/>
      </c>
      <c r="P44" s="0" t="str">
        <f aca="false">IF(OR($A44="",$D44=""),"",IF(AND(EDATE($D44,Milestones!$AA$180)&lt;=AsOfDate,IF($Q44=0,$W44,IF(AND($S44&lt;&gt;"",EDATE($D44,Milestones!$AA$180)&gt;=$S44),$V44,IF(AND($R44&lt;&gt;"",EDATE($D44,Milestones!$AA$180)&gt;=$R44),$U44,$T44)))=Milestones!$AB$180),TEXT(EDATE($D44,Milestones!$AA$180),"dd/mm/yy")&amp;" "&amp;Milestones!$AB$180&amp;" "&amp;Milestones!$AC$180&amp;";  ","")&amp;IF(AND(EDATE($D44,Milestones!$AA$181)&lt;=AsOfDate,IF($Q44=0,$W44,IF(AND($S44&lt;&gt;"",EDATE($D44,Milestones!$AA$181)&gt;=$S44),$V44,IF(AND($R44&lt;&gt;"",EDATE($D44,Milestones!$AA$181)&gt;=$R44),$U44,$T44)))=Milestones!$AB$181),TEXT(EDATE($D44,Milestones!$AA$181),"dd/mm/yy")&amp;" "&amp;Milestones!$AB$181&amp;" "&amp;Milestones!$AC$181&amp;";  ","")&amp;IF(AND(EDATE($D44,Milestones!$AA$182)&lt;=AsOfDate,IF($Q44=0,$W44,IF(AND($S44&lt;&gt;"",EDATE($D44,Milestones!$AA$182)&gt;=$S44),$V44,IF(AND($R44&lt;&gt;"",EDATE($D44,Milestones!$AA$182)&gt;=$R44),$U44,$T44)))=Milestones!$AB$182),TEXT(EDATE($D44,Milestones!$AA$182),"dd/mm/yy")&amp;" "&amp;Milestones!$AB$182&amp;" "&amp;Milestones!$AC$182&amp;";  ","")&amp;IF(AND(EDATE($D44,Milestones!$AA$183)&lt;=AsOfDate,IF($Q44=0,$W44,IF(AND($S44&lt;&gt;"",EDATE($D44,Milestones!$AA$183)&gt;=$S44),$V44,IF(AND($R44&lt;&gt;"",EDATE($D44,Milestones!$AA$183)&gt;=$R44),$U44,$T44)))=Milestones!$AB$183),TEXT(EDATE($D44,Milestones!$AA$183),"dd/mm/yy")&amp;" "&amp;Milestones!$AB$183&amp;" "&amp;Milestones!$AC$183&amp;";  ","")&amp;IF(AND(EDATE($D44,Milestones!$AA$184)&lt;=AsOfDate,IF($Q44=0,$W44,IF(AND($S44&lt;&gt;"",EDATE($D44,Milestones!$AA$184)&gt;=$S44),$V44,IF(AND($R44&lt;&gt;"",EDATE($D44,Milestones!$AA$184)&gt;=$R44),$U44,$T44)))=Milestones!$AB$184),TEXT(EDATE($D44,Milestones!$AA$184),"dd/mm/yy")&amp;" "&amp;Milestones!$AB$184&amp;" "&amp;Milestones!$AC$184&amp;";  ","")&amp;IF(AND(EDATE($D44,Milestones!$AA$185)&lt;=AsOfDate,IF($Q44=0,$W44,IF(AND($S44&lt;&gt;"",EDATE($D44,Milestones!$AA$185)&gt;=$S44),$V44,IF(AND($R44&lt;&gt;"",EDATE($D44,Milestones!$AA$185)&gt;=$R44),$U44,$T44)))=Milestones!$AB$185),TEXT(EDATE($D44,Milestones!$AA$185),"dd/mm/yy")&amp;" "&amp;Milestones!$AB$185&amp;" "&amp;Milestones!$AC$185&amp;";  ","")&amp;IF(AND(EDATE($D44,Milestones!$AA$186)&lt;=AsOfDate,IF($Q44=0,$W44,IF(AND($S44&lt;&gt;"",EDATE($D44,Milestones!$AA$186)&gt;=$S44),$V44,IF(AND($R44&lt;&gt;"",EDATE($D44,Milestones!$AA$186)&gt;=$R44),$U44,$T44)))=Milestones!$AB$186),TEXT(EDATE($D44,Milestones!$AA$186),"dd/mm/yy")&amp;" "&amp;Milestones!$AB$186&amp;" "&amp;Milestones!$AC$186&amp;";  ","")&amp;IF(AND(EDATE($D44,Milestones!$AA$187)&lt;=AsOfDate,IF($Q44=0,$W44,IF(AND($S44&lt;&gt;"",EDATE($D44,Milestones!$AA$187)&gt;=$S44),$V44,IF(AND($R44&lt;&gt;"",EDATE($D44,Milestones!$AA$187)&gt;=$R44),$U44,$T44)))=Milestones!$AB$187),TEXT(EDATE($D44,Milestones!$AA$187),"dd/mm/yy")&amp;" "&amp;Milestones!$AB$187&amp;" "&amp;Milestones!$AC$187&amp;";  ","")&amp;IF(AND(EDATE($D44,Milestones!$AA$188)&lt;=AsOfDate,IF($Q44=0,$W44,IF(AND($S44&lt;&gt;"",EDATE($D44,Milestones!$AA$188)&gt;=$S44),$V44,IF(AND($R44&lt;&gt;"",EDATE($D44,Milestones!$AA$188)&gt;=$R44),$U44,$T44)))=Milestones!$AB$188),TEXT(EDATE($D44,Milestones!$AA$188),"dd/mm/yy")&amp;" "&amp;Milestones!$AB$188&amp;" "&amp;Milestones!$AC$188&amp;";  ","")&amp;IF(AND(EDATE($D44,Milestones!$AA$189)&lt;=AsOfDate,IF($Q44=0,$W44,IF(AND($S44&lt;&gt;"",EDATE($D44,Milestones!$AA$189)&gt;=$S44),$V44,IF(AND($R44&lt;&gt;"",EDATE($D44,Milestones!$AA$189)&gt;=$R44),$U44,$T44)))=Milestones!$AB$189),TEXT(EDATE($D44,Milestones!$AA$189),"dd/mm/yy")&amp;" "&amp;Milestones!$AB$189&amp;" "&amp;Milestones!$AC$189&amp;";  ","")&amp;IF(AND(EDATE($D44,Milestones!$AA$190)&lt;=AsOfDate,IF($Q44=0,$W44,IF(AND($S44&lt;&gt;"",EDATE($D44,Milestones!$AA$190)&gt;=$S44),$V44,IF(AND($R44&lt;&gt;"",EDATE($D44,Milestones!$AA$190)&gt;=$R44),$U44,$T44)))=Milestones!$AB$190),TEXT(EDATE($D44,Milestones!$AA$190),"dd/mm/yy")&amp;" "&amp;Milestones!$AB$190&amp;" "&amp;Milestones!$AC$190&amp;";  ","")&amp;IF(AND(EDATE($D44,Milestones!$AA$191)&lt;=AsOfDate,IF($Q44=0,$W44,IF(AND($S44&lt;&gt;"",EDATE($D44,Milestones!$AA$191)&gt;=$S44),$V44,IF(AND($R44&lt;&gt;"",EDATE($D44,Milestones!$AA$191)&gt;=$R44),$U44,$T44)))=Milestones!$AB$191),TEXT(EDATE($D44,Milestones!$AA$191),"dd/mm/yy")&amp;" "&amp;Milestones!$AB$191&amp;" "&amp;Milestones!$AC$191&amp;";  ","")&amp;IF(AND(EDATE($D44,Milestones!$AA$192)&lt;=AsOfDate,IF($Q44=0,$W44,IF(AND($S44&lt;&gt;"",EDATE($D44,Milestones!$AA$192)&gt;=$S44),$V44,IF(AND($R44&lt;&gt;"",EDATE($D44,Milestones!$AA$192)&gt;=$R44),$U44,$T44)))=Milestones!$AB$192),TEXT(EDATE($D44,Milestones!$AA$192),"dd/mm/yy")&amp;" "&amp;Milestones!$AB$192&amp;" "&amp;Milestones!$AC$192&amp;";  ","")&amp;IF(AND(EDATE($D44,Milestones!$AA$193)&lt;=AsOfDate,IF($Q44=0,$W44,IF(AND($S44&lt;&gt;"",EDATE($D44,Milestones!$AA$193)&gt;=$S44),$V44,IF(AND($R44&lt;&gt;"",EDATE($D44,Milestones!$AA$193)&gt;=$R44),$U44,$T44)))=Milestones!$AB$193),TEXT(EDATE($D44,Milestones!$AA$193),"dd/mm/yy")&amp;" "&amp;Milestones!$AB$193&amp;" "&amp;Milestones!$AC$193&amp;";  ","")&amp;IF(AND(EDATE($D44,Milestones!$AA$194)&lt;=AsOfDate,IF($Q44=0,$W44,IF(AND($S44&lt;&gt;"",EDATE($D44,Milestones!$AA$194)&gt;=$S44),$V44,IF(AND($R44&lt;&gt;"",EDATE($D44,Milestones!$AA$194)&gt;=$R44),$U44,$T44)))=Milestones!$AB$194),TEXT(EDATE($D44,Milestones!$AA$194),"dd/mm/yy")&amp;" "&amp;Milestones!$AB$194&amp;" "&amp;Milestones!$AC$194&amp;";  ","")&amp;IF(AND(EDATE($D44,Milestones!$AA$195)&lt;=AsOfDate,IF($Q44=0,$W44,IF(AND($S44&lt;&gt;"",EDATE($D44,Milestones!$AA$195)&gt;=$S44),$V44,IF(AND($R44&lt;&gt;"",EDATE($D44,Milestones!$AA$195)&gt;=$R44),$U44,$T44)))=Milestones!$AB$195),TEXT(EDATE($D44,Milestones!$AA$195),"dd/mm/yy")&amp;" "&amp;Milestones!$AB$195&amp;" "&amp;Milestones!$AC$195&amp;";  ","")&amp;IF(AND(EDATE($D44,Milestones!$AA$196)&lt;=AsOfDate,IF($Q44=0,$W44,IF(AND($S44&lt;&gt;"",EDATE($D44,Milestones!$AA$196)&gt;=$S44),$V44,IF(AND($R44&lt;&gt;"",EDATE($D44,Milestones!$AA$196)&gt;=$R44),$U44,$T44)))=Milestones!$AB$196),TEXT(EDATE($D44,Milestones!$AA$196),"dd/mm/yy")&amp;" "&amp;Milestones!$AB$196&amp;" "&amp;Milestones!$AC$196&amp;";  ","")&amp;IF(AND(EDATE($D44,Milestones!$AA$197)&lt;=AsOfDate,IF($Q44=0,$W44,IF(AND($S44&lt;&gt;"",EDATE($D44,Milestones!$AA$197)&gt;=$S44),$V44,IF(AND($R44&lt;&gt;"",EDATE($D44,Milestones!$AA$197)&gt;=$R44),$U44,$T44)))=Milestones!$AB$197),TEXT(EDATE($D44,Milestones!$AA$197),"dd/mm/yy")&amp;" "&amp;Milestones!$AB$197&amp;" "&amp;Milestones!$AC$197&amp;";  ","")&amp;IF(AND(EDATE($D44,Milestones!$AA$198)&lt;=AsOfDate,IF($Q44=0,$W44,IF(AND($S44&lt;&gt;"",EDATE($D44,Milestones!$AA$198)&gt;=$S44),$V44,IF(AND($R44&lt;&gt;"",EDATE($D44,Milestones!$AA$198)&gt;=$R44),$U44,$T44)))=Milestones!$AB$198),TEXT(EDATE($D44,Milestones!$AA$198),"dd/mm/yy")&amp;" "&amp;Milestones!$AB$198&amp;" "&amp;Milestones!$AC$198&amp;";  ","")&amp;IF(AND(EDATE($D44,Milestones!$AA$199)&lt;=AsOfDate,IF($Q44=0,$W44,IF(AND($S44&lt;&gt;"",EDATE($D44,Milestones!$AA$199)&gt;=$S44),$V44,IF(AND($R44&lt;&gt;"",EDATE($D44,Milestones!$AA$199)&gt;=$R44),$U44,$T44)))=Milestones!$AB$199),TEXT(EDATE($D44,Milestones!$AA$199),"dd/mm/yy")&amp;" "&amp;Milestones!$AB$199&amp;" "&amp;Milestones!$AC$199&amp;";  ",""))</f>
        <v/>
      </c>
      <c r="Q44" s="0" t="str">
        <f aca="false">IF(Staff!$A44="","",Staff!$AG44)</f>
        <v/>
      </c>
      <c r="R44" s="0" t="str">
        <f aca="false">IF(Staff!$A44="","",Staff!$AI44)</f>
        <v/>
      </c>
      <c r="S44" s="0" t="str">
        <f aca="false">IF(Staff!$A44="","",Staff!$AJ44)</f>
        <v/>
      </c>
      <c r="T44" s="0" t="str">
        <f aca="false">IF(Staff!$A44="","",Staff!$AN44)</f>
        <v/>
      </c>
      <c r="U44" s="0" t="str">
        <f aca="false">IF(Staff!$A44="","",Staff!$AO44)</f>
        <v/>
      </c>
      <c r="V44" s="0" t="str">
        <f aca="false">IF(Staff!$A44="","",Staff!$AP44)</f>
        <v/>
      </c>
      <c r="W44" s="0" t="str">
        <f aca="false">IF(Staff!$A44="","",Staff!$AQ44)</f>
        <v/>
      </c>
    </row>
    <row r="45" customFormat="false" ht="15" hidden="false" customHeight="false" outlineLevel="0" collapsed="false">
      <c r="A45" s="13" t="str">
        <f aca="false">IF(Staff!$A45="","",Staff!$A45)</f>
        <v/>
      </c>
      <c r="B45" s="13" t="str">
        <f aca="false">IF(Staff!$A45="","",Staff!$B45)</f>
        <v/>
      </c>
      <c r="C45" s="13" t="str">
        <f aca="false">IF(Staff!$A45="","",Staff!$C45)</f>
        <v/>
      </c>
      <c r="D45" s="11" t="str">
        <f aca="false">IF(Staff!$A45="","",Staff!$AF45)</f>
        <v/>
      </c>
      <c r="E45" s="13" t="str">
        <f aca="false">IF(Staff!$A45="","",Staff!$O45)</f>
        <v/>
      </c>
      <c r="F45" s="13" t="str">
        <f aca="false">IF(E45="","",E45*HoursPerDay)</f>
        <v/>
      </c>
      <c r="G45" s="26" t="str">
        <f aca="false">IF($A45="","",H45&amp;I45&amp;J45&amp;K45&amp;L45&amp;M45&amp;N45&amp;O45&amp;P45)</f>
        <v/>
      </c>
      <c r="H45" s="0" t="str">
        <f aca="false">IF(OR($A45="",$D45=""),"",IF(AND(EDATE($D45,Milestones!$AA$20)&lt;=AsOfDate,IF($Q45=0,$W45,IF(AND($S45&lt;&gt;"",EDATE($D45,Milestones!$AA$20)&gt;=$S45),$V45,IF(AND($R45&lt;&gt;"",EDATE($D45,Milestones!$AA$20)&gt;=$R45),$U45,$T45)))=Milestones!$AB$20),TEXT(EDATE($D45,Milestones!$AA$20),"dd/mm/yy")&amp;" "&amp;Milestones!$AB$20&amp;" "&amp;Milestones!$AC$20&amp;";  ","")&amp;IF(AND(EDATE($D45,Milestones!$AA$21)&lt;=AsOfDate,IF($Q45=0,$W45,IF(AND($S45&lt;&gt;"",EDATE($D45,Milestones!$AA$21)&gt;=$S45),$V45,IF(AND($R45&lt;&gt;"",EDATE($D45,Milestones!$AA$21)&gt;=$R45),$U45,$T45)))=Milestones!$AB$21),TEXT(EDATE($D45,Milestones!$AA$21),"dd/mm/yy")&amp;" "&amp;Milestones!$AB$21&amp;" "&amp;Milestones!$AC$21&amp;";  ","")&amp;IF(AND(EDATE($D45,Milestones!$AA$22)&lt;=AsOfDate,IF($Q45=0,$W45,IF(AND($S45&lt;&gt;"",EDATE($D45,Milestones!$AA$22)&gt;=$S45),$V45,IF(AND($R45&lt;&gt;"",EDATE($D45,Milestones!$AA$22)&gt;=$R45),$U45,$T45)))=Milestones!$AB$22),TEXT(EDATE($D45,Milestones!$AA$22),"dd/mm/yy")&amp;" "&amp;Milestones!$AB$22&amp;" "&amp;Milestones!$AC$22&amp;";  ","")&amp;IF(AND(EDATE($D45,Milestones!$AA$23)&lt;=AsOfDate,IF($Q45=0,$W45,IF(AND($S45&lt;&gt;"",EDATE($D45,Milestones!$AA$23)&gt;=$S45),$V45,IF(AND($R45&lt;&gt;"",EDATE($D45,Milestones!$AA$23)&gt;=$R45),$U45,$T45)))=Milestones!$AB$23),TEXT(EDATE($D45,Milestones!$AA$23),"dd/mm/yy")&amp;" "&amp;Milestones!$AB$23&amp;" "&amp;Milestones!$AC$23&amp;";  ","")&amp;IF(AND(EDATE($D45,Milestones!$AA$24)&lt;=AsOfDate,IF($Q45=0,$W45,IF(AND($S45&lt;&gt;"",EDATE($D45,Milestones!$AA$24)&gt;=$S45),$V45,IF(AND($R45&lt;&gt;"",EDATE($D45,Milestones!$AA$24)&gt;=$R45),$U45,$T45)))=Milestones!$AB$24),TEXT(EDATE($D45,Milestones!$AA$24),"dd/mm/yy")&amp;" "&amp;Milestones!$AB$24&amp;" "&amp;Milestones!$AC$24&amp;";  ","")&amp;IF(AND(EDATE($D45,Milestones!$AA$25)&lt;=AsOfDate,IF($Q45=0,$W45,IF(AND($S45&lt;&gt;"",EDATE($D45,Milestones!$AA$25)&gt;=$S45),$V45,IF(AND($R45&lt;&gt;"",EDATE($D45,Milestones!$AA$25)&gt;=$R45),$U45,$T45)))=Milestones!$AB$25),TEXT(EDATE($D45,Milestones!$AA$25),"dd/mm/yy")&amp;" "&amp;Milestones!$AB$25&amp;" "&amp;Milestones!$AC$25&amp;";  ","")&amp;IF(AND(EDATE($D45,Milestones!$AA$26)&lt;=AsOfDate,IF($Q45=0,$W45,IF(AND($S45&lt;&gt;"",EDATE($D45,Milestones!$AA$26)&gt;=$S45),$V45,IF(AND($R45&lt;&gt;"",EDATE($D45,Milestones!$AA$26)&gt;=$R45),$U45,$T45)))=Milestones!$AB$26),TEXT(EDATE($D45,Milestones!$AA$26),"dd/mm/yy")&amp;" "&amp;Milestones!$AB$26&amp;" "&amp;Milestones!$AC$26&amp;";  ","")&amp;IF(AND(EDATE($D45,Milestones!$AA$27)&lt;=AsOfDate,IF($Q45=0,$W45,IF(AND($S45&lt;&gt;"",EDATE($D45,Milestones!$AA$27)&gt;=$S45),$V45,IF(AND($R45&lt;&gt;"",EDATE($D45,Milestones!$AA$27)&gt;=$R45),$U45,$T45)))=Milestones!$AB$27),TEXT(EDATE($D45,Milestones!$AA$27),"dd/mm/yy")&amp;" "&amp;Milestones!$AB$27&amp;" "&amp;Milestones!$AC$27&amp;";  ","")&amp;IF(AND(EDATE($D45,Milestones!$AA$28)&lt;=AsOfDate,IF($Q45=0,$W45,IF(AND($S45&lt;&gt;"",EDATE($D45,Milestones!$AA$28)&gt;=$S45),$V45,IF(AND($R45&lt;&gt;"",EDATE($D45,Milestones!$AA$28)&gt;=$R45),$U45,$T45)))=Milestones!$AB$28),TEXT(EDATE($D45,Milestones!$AA$28),"dd/mm/yy")&amp;" "&amp;Milestones!$AB$28&amp;" "&amp;Milestones!$AC$28&amp;";  ","")&amp;IF(AND(EDATE($D45,Milestones!$AA$29)&lt;=AsOfDate,IF($Q45=0,$W45,IF(AND($S45&lt;&gt;"",EDATE($D45,Milestones!$AA$29)&gt;=$S45),$V45,IF(AND($R45&lt;&gt;"",EDATE($D45,Milestones!$AA$29)&gt;=$R45),$U45,$T45)))=Milestones!$AB$29),TEXT(EDATE($D45,Milestones!$AA$29),"dd/mm/yy")&amp;" "&amp;Milestones!$AB$29&amp;" "&amp;Milestones!$AC$29&amp;";  ","")&amp;IF(AND(EDATE($D45,Milestones!$AA$30)&lt;=AsOfDate,IF($Q45=0,$W45,IF(AND($S45&lt;&gt;"",EDATE($D45,Milestones!$AA$30)&gt;=$S45),$V45,IF(AND($R45&lt;&gt;"",EDATE($D45,Milestones!$AA$30)&gt;=$R45),$U45,$T45)))=Milestones!$AB$30),TEXT(EDATE($D45,Milestones!$AA$30),"dd/mm/yy")&amp;" "&amp;Milestones!$AB$30&amp;" "&amp;Milestones!$AC$30&amp;";  ","")&amp;IF(AND(EDATE($D45,Milestones!$AA$31)&lt;=AsOfDate,IF($Q45=0,$W45,IF(AND($S45&lt;&gt;"",EDATE($D45,Milestones!$AA$31)&gt;=$S45),$V45,IF(AND($R45&lt;&gt;"",EDATE($D45,Milestones!$AA$31)&gt;=$R45),$U45,$T45)))=Milestones!$AB$31),TEXT(EDATE($D45,Milestones!$AA$31),"dd/mm/yy")&amp;" "&amp;Milestones!$AB$31&amp;" "&amp;Milestones!$AC$31&amp;";  ","")&amp;IF(AND(EDATE($D45,Milestones!$AA$32)&lt;=AsOfDate,IF($Q45=0,$W45,IF(AND($S45&lt;&gt;"",EDATE($D45,Milestones!$AA$32)&gt;=$S45),$V45,IF(AND($R45&lt;&gt;"",EDATE($D45,Milestones!$AA$32)&gt;=$R45),$U45,$T45)))=Milestones!$AB$32),TEXT(EDATE($D45,Milestones!$AA$32),"dd/mm/yy")&amp;" "&amp;Milestones!$AB$32&amp;" "&amp;Milestones!$AC$32&amp;";  ","")&amp;IF(AND(EDATE($D45,Milestones!$AA$33)&lt;=AsOfDate,IF($Q45=0,$W45,IF(AND($S45&lt;&gt;"",EDATE($D45,Milestones!$AA$33)&gt;=$S45),$V45,IF(AND($R45&lt;&gt;"",EDATE($D45,Milestones!$AA$33)&gt;=$R45),$U45,$T45)))=Milestones!$AB$33),TEXT(EDATE($D45,Milestones!$AA$33),"dd/mm/yy")&amp;" "&amp;Milestones!$AB$33&amp;" "&amp;Milestones!$AC$33&amp;";  ","")&amp;IF(AND(EDATE($D45,Milestones!$AA$34)&lt;=AsOfDate,IF($Q45=0,$W45,IF(AND($S45&lt;&gt;"",EDATE($D45,Milestones!$AA$34)&gt;=$S45),$V45,IF(AND($R45&lt;&gt;"",EDATE($D45,Milestones!$AA$34)&gt;=$R45),$U45,$T45)))=Milestones!$AB$34),TEXT(EDATE($D45,Milestones!$AA$34),"dd/mm/yy")&amp;" "&amp;Milestones!$AB$34&amp;" "&amp;Milestones!$AC$34&amp;";  ","")&amp;IF(AND(EDATE($D45,Milestones!$AA$35)&lt;=AsOfDate,IF($Q45=0,$W45,IF(AND($S45&lt;&gt;"",EDATE($D45,Milestones!$AA$35)&gt;=$S45),$V45,IF(AND($R45&lt;&gt;"",EDATE($D45,Milestones!$AA$35)&gt;=$R45),$U45,$T45)))=Milestones!$AB$35),TEXT(EDATE($D45,Milestones!$AA$35),"dd/mm/yy")&amp;" "&amp;Milestones!$AB$35&amp;" "&amp;Milestones!$AC$35&amp;";  ","")&amp;IF(AND(EDATE($D45,Milestones!$AA$36)&lt;=AsOfDate,IF($Q45=0,$W45,IF(AND($S45&lt;&gt;"",EDATE($D45,Milestones!$AA$36)&gt;=$S45),$V45,IF(AND($R45&lt;&gt;"",EDATE($D45,Milestones!$AA$36)&gt;=$R45),$U45,$T45)))=Milestones!$AB$36),TEXT(EDATE($D45,Milestones!$AA$36),"dd/mm/yy")&amp;" "&amp;Milestones!$AB$36&amp;" "&amp;Milestones!$AC$36&amp;";  ","")&amp;IF(AND(EDATE($D45,Milestones!$AA$37)&lt;=AsOfDate,IF($Q45=0,$W45,IF(AND($S45&lt;&gt;"",EDATE($D45,Milestones!$AA$37)&gt;=$S45),$V45,IF(AND($R45&lt;&gt;"",EDATE($D45,Milestones!$AA$37)&gt;=$R45),$U45,$T45)))=Milestones!$AB$37),TEXT(EDATE($D45,Milestones!$AA$37),"dd/mm/yy")&amp;" "&amp;Milestones!$AB$37&amp;" "&amp;Milestones!$AC$37&amp;";  ","")&amp;IF(AND(EDATE($D45,Milestones!$AA$38)&lt;=AsOfDate,IF($Q45=0,$W45,IF(AND($S45&lt;&gt;"",EDATE($D45,Milestones!$AA$38)&gt;=$S45),$V45,IF(AND($R45&lt;&gt;"",EDATE($D45,Milestones!$AA$38)&gt;=$R45),$U45,$T45)))=Milestones!$AB$38),TEXT(EDATE($D45,Milestones!$AA$38),"dd/mm/yy")&amp;" "&amp;Milestones!$AB$38&amp;" "&amp;Milestones!$AC$38&amp;";  ","")&amp;IF(AND(EDATE($D45,Milestones!$AA$39)&lt;=AsOfDate,IF($Q45=0,$W45,IF(AND($S45&lt;&gt;"",EDATE($D45,Milestones!$AA$39)&gt;=$S45),$V45,IF(AND($R45&lt;&gt;"",EDATE($D45,Milestones!$AA$39)&gt;=$R45),$U45,$T45)))=Milestones!$AB$39),TEXT(EDATE($D45,Milestones!$AA$39),"dd/mm/yy")&amp;" "&amp;Milestones!$AB$39&amp;" "&amp;Milestones!$AC$39&amp;";  ",""))</f>
        <v/>
      </c>
      <c r="I45" s="0" t="str">
        <f aca="false">IF(OR($A45="",$D45=""),"",IF(AND(EDATE($D45,Milestones!$AA$40)&lt;=AsOfDate,IF($Q45=0,$W45,IF(AND($S45&lt;&gt;"",EDATE($D45,Milestones!$AA$40)&gt;=$S45),$V45,IF(AND($R45&lt;&gt;"",EDATE($D45,Milestones!$AA$40)&gt;=$R45),$U45,$T45)))=Milestones!$AB$40),TEXT(EDATE($D45,Milestones!$AA$40),"dd/mm/yy")&amp;" "&amp;Milestones!$AB$40&amp;" "&amp;Milestones!$AC$40&amp;";  ","")&amp;IF(AND(EDATE($D45,Milestones!$AA$41)&lt;=AsOfDate,IF($Q45=0,$W45,IF(AND($S45&lt;&gt;"",EDATE($D45,Milestones!$AA$41)&gt;=$S45),$V45,IF(AND($R45&lt;&gt;"",EDATE($D45,Milestones!$AA$41)&gt;=$R45),$U45,$T45)))=Milestones!$AB$41),TEXT(EDATE($D45,Milestones!$AA$41),"dd/mm/yy")&amp;" "&amp;Milestones!$AB$41&amp;" "&amp;Milestones!$AC$41&amp;";  ","")&amp;IF(AND(EDATE($D45,Milestones!$AA$42)&lt;=AsOfDate,IF($Q45=0,$W45,IF(AND($S45&lt;&gt;"",EDATE($D45,Milestones!$AA$42)&gt;=$S45),$V45,IF(AND($R45&lt;&gt;"",EDATE($D45,Milestones!$AA$42)&gt;=$R45),$U45,$T45)))=Milestones!$AB$42),TEXT(EDATE($D45,Milestones!$AA$42),"dd/mm/yy")&amp;" "&amp;Milestones!$AB$42&amp;" "&amp;Milestones!$AC$42&amp;";  ","")&amp;IF(AND(EDATE($D45,Milestones!$AA$43)&lt;=AsOfDate,IF($Q45=0,$W45,IF(AND($S45&lt;&gt;"",EDATE($D45,Milestones!$AA$43)&gt;=$S45),$V45,IF(AND($R45&lt;&gt;"",EDATE($D45,Milestones!$AA$43)&gt;=$R45),$U45,$T45)))=Milestones!$AB$43),TEXT(EDATE($D45,Milestones!$AA$43),"dd/mm/yy")&amp;" "&amp;Milestones!$AB$43&amp;" "&amp;Milestones!$AC$43&amp;";  ","")&amp;IF(AND(EDATE($D45,Milestones!$AA$44)&lt;=AsOfDate,IF($Q45=0,$W45,IF(AND($S45&lt;&gt;"",EDATE($D45,Milestones!$AA$44)&gt;=$S45),$V45,IF(AND($R45&lt;&gt;"",EDATE($D45,Milestones!$AA$44)&gt;=$R45),$U45,$T45)))=Milestones!$AB$44),TEXT(EDATE($D45,Milestones!$AA$44),"dd/mm/yy")&amp;" "&amp;Milestones!$AB$44&amp;" "&amp;Milestones!$AC$44&amp;";  ","")&amp;IF(AND(EDATE($D45,Milestones!$AA$45)&lt;=AsOfDate,IF($Q45=0,$W45,IF(AND($S45&lt;&gt;"",EDATE($D45,Milestones!$AA$45)&gt;=$S45),$V45,IF(AND($R45&lt;&gt;"",EDATE($D45,Milestones!$AA$45)&gt;=$R45),$U45,$T45)))=Milestones!$AB$45),TEXT(EDATE($D45,Milestones!$AA$45),"dd/mm/yy")&amp;" "&amp;Milestones!$AB$45&amp;" "&amp;Milestones!$AC$45&amp;";  ","")&amp;IF(AND(EDATE($D45,Milestones!$AA$46)&lt;=AsOfDate,IF($Q45=0,$W45,IF(AND($S45&lt;&gt;"",EDATE($D45,Milestones!$AA$46)&gt;=$S45),$V45,IF(AND($R45&lt;&gt;"",EDATE($D45,Milestones!$AA$46)&gt;=$R45),$U45,$T45)))=Milestones!$AB$46),TEXT(EDATE($D45,Milestones!$AA$46),"dd/mm/yy")&amp;" "&amp;Milestones!$AB$46&amp;" "&amp;Milestones!$AC$46&amp;";  ","")&amp;IF(AND(EDATE($D45,Milestones!$AA$47)&lt;=AsOfDate,IF($Q45=0,$W45,IF(AND($S45&lt;&gt;"",EDATE($D45,Milestones!$AA$47)&gt;=$S45),$V45,IF(AND($R45&lt;&gt;"",EDATE($D45,Milestones!$AA$47)&gt;=$R45),$U45,$T45)))=Milestones!$AB$47),TEXT(EDATE($D45,Milestones!$AA$47),"dd/mm/yy")&amp;" "&amp;Milestones!$AB$47&amp;" "&amp;Milestones!$AC$47&amp;";  ","")&amp;IF(AND(EDATE($D45,Milestones!$AA$48)&lt;=AsOfDate,IF($Q45=0,$W45,IF(AND($S45&lt;&gt;"",EDATE($D45,Milestones!$AA$48)&gt;=$S45),$V45,IF(AND($R45&lt;&gt;"",EDATE($D45,Milestones!$AA$48)&gt;=$R45),$U45,$T45)))=Milestones!$AB$48),TEXT(EDATE($D45,Milestones!$AA$48),"dd/mm/yy")&amp;" "&amp;Milestones!$AB$48&amp;" "&amp;Milestones!$AC$48&amp;";  ","")&amp;IF(AND(EDATE($D45,Milestones!$AA$49)&lt;=AsOfDate,IF($Q45=0,$W45,IF(AND($S45&lt;&gt;"",EDATE($D45,Milestones!$AA$49)&gt;=$S45),$V45,IF(AND($R45&lt;&gt;"",EDATE($D45,Milestones!$AA$49)&gt;=$R45),$U45,$T45)))=Milestones!$AB$49),TEXT(EDATE($D45,Milestones!$AA$49),"dd/mm/yy")&amp;" "&amp;Milestones!$AB$49&amp;" "&amp;Milestones!$AC$49&amp;";  ","")&amp;IF(AND(EDATE($D45,Milestones!$AA$50)&lt;=AsOfDate,IF($Q45=0,$W45,IF(AND($S45&lt;&gt;"",EDATE($D45,Milestones!$AA$50)&gt;=$S45),$V45,IF(AND($R45&lt;&gt;"",EDATE($D45,Milestones!$AA$50)&gt;=$R45),$U45,$T45)))=Milestones!$AB$50),TEXT(EDATE($D45,Milestones!$AA$50),"dd/mm/yy")&amp;" "&amp;Milestones!$AB$50&amp;" "&amp;Milestones!$AC$50&amp;";  ","")&amp;IF(AND(EDATE($D45,Milestones!$AA$51)&lt;=AsOfDate,IF($Q45=0,$W45,IF(AND($S45&lt;&gt;"",EDATE($D45,Milestones!$AA$51)&gt;=$S45),$V45,IF(AND($R45&lt;&gt;"",EDATE($D45,Milestones!$AA$51)&gt;=$R45),$U45,$T45)))=Milestones!$AB$51),TEXT(EDATE($D45,Milestones!$AA$51),"dd/mm/yy")&amp;" "&amp;Milestones!$AB$51&amp;" "&amp;Milestones!$AC$51&amp;";  ","")&amp;IF(AND(EDATE($D45,Milestones!$AA$52)&lt;=AsOfDate,IF($Q45=0,$W45,IF(AND($S45&lt;&gt;"",EDATE($D45,Milestones!$AA$52)&gt;=$S45),$V45,IF(AND($R45&lt;&gt;"",EDATE($D45,Milestones!$AA$52)&gt;=$R45),$U45,$T45)))=Milestones!$AB$52),TEXT(EDATE($D45,Milestones!$AA$52),"dd/mm/yy")&amp;" "&amp;Milestones!$AB$52&amp;" "&amp;Milestones!$AC$52&amp;";  ","")&amp;IF(AND(EDATE($D45,Milestones!$AA$53)&lt;=AsOfDate,IF($Q45=0,$W45,IF(AND($S45&lt;&gt;"",EDATE($D45,Milestones!$AA$53)&gt;=$S45),$V45,IF(AND($R45&lt;&gt;"",EDATE($D45,Milestones!$AA$53)&gt;=$R45),$U45,$T45)))=Milestones!$AB$53),TEXT(EDATE($D45,Milestones!$AA$53),"dd/mm/yy")&amp;" "&amp;Milestones!$AB$53&amp;" "&amp;Milestones!$AC$53&amp;";  ","")&amp;IF(AND(EDATE($D45,Milestones!$AA$54)&lt;=AsOfDate,IF($Q45=0,$W45,IF(AND($S45&lt;&gt;"",EDATE($D45,Milestones!$AA$54)&gt;=$S45),$V45,IF(AND($R45&lt;&gt;"",EDATE($D45,Milestones!$AA$54)&gt;=$R45),$U45,$T45)))=Milestones!$AB$54),TEXT(EDATE($D45,Milestones!$AA$54),"dd/mm/yy")&amp;" "&amp;Milestones!$AB$54&amp;" "&amp;Milestones!$AC$54&amp;";  ","")&amp;IF(AND(EDATE($D45,Milestones!$AA$55)&lt;=AsOfDate,IF($Q45=0,$W45,IF(AND($S45&lt;&gt;"",EDATE($D45,Milestones!$AA$55)&gt;=$S45),$V45,IF(AND($R45&lt;&gt;"",EDATE($D45,Milestones!$AA$55)&gt;=$R45),$U45,$T45)))=Milestones!$AB$55),TEXT(EDATE($D45,Milestones!$AA$55),"dd/mm/yy")&amp;" "&amp;Milestones!$AB$55&amp;" "&amp;Milestones!$AC$55&amp;";  ","")&amp;IF(AND(EDATE($D45,Milestones!$AA$56)&lt;=AsOfDate,IF($Q45=0,$W45,IF(AND($S45&lt;&gt;"",EDATE($D45,Milestones!$AA$56)&gt;=$S45),$V45,IF(AND($R45&lt;&gt;"",EDATE($D45,Milestones!$AA$56)&gt;=$R45),$U45,$T45)))=Milestones!$AB$56),TEXT(EDATE($D45,Milestones!$AA$56),"dd/mm/yy")&amp;" "&amp;Milestones!$AB$56&amp;" "&amp;Milestones!$AC$56&amp;";  ","")&amp;IF(AND(EDATE($D45,Milestones!$AA$57)&lt;=AsOfDate,IF($Q45=0,$W45,IF(AND($S45&lt;&gt;"",EDATE($D45,Milestones!$AA$57)&gt;=$S45),$V45,IF(AND($R45&lt;&gt;"",EDATE($D45,Milestones!$AA$57)&gt;=$R45),$U45,$T45)))=Milestones!$AB$57),TEXT(EDATE($D45,Milestones!$AA$57),"dd/mm/yy")&amp;" "&amp;Milestones!$AB$57&amp;" "&amp;Milestones!$AC$57&amp;";  ","")&amp;IF(AND(EDATE($D45,Milestones!$AA$58)&lt;=AsOfDate,IF($Q45=0,$W45,IF(AND($S45&lt;&gt;"",EDATE($D45,Milestones!$AA$58)&gt;=$S45),$V45,IF(AND($R45&lt;&gt;"",EDATE($D45,Milestones!$AA$58)&gt;=$R45),$U45,$T45)))=Milestones!$AB$58),TEXT(EDATE($D45,Milestones!$AA$58),"dd/mm/yy")&amp;" "&amp;Milestones!$AB$58&amp;" "&amp;Milestones!$AC$58&amp;";  ","")&amp;IF(AND(EDATE($D45,Milestones!$AA$59)&lt;=AsOfDate,IF($Q45=0,$W45,IF(AND($S45&lt;&gt;"",EDATE($D45,Milestones!$AA$59)&gt;=$S45),$V45,IF(AND($R45&lt;&gt;"",EDATE($D45,Milestones!$AA$59)&gt;=$R45),$U45,$T45)))=Milestones!$AB$59),TEXT(EDATE($D45,Milestones!$AA$59),"dd/mm/yy")&amp;" "&amp;Milestones!$AB$59&amp;" "&amp;Milestones!$AC$59&amp;";  ",""))</f>
        <v/>
      </c>
      <c r="J45" s="0" t="str">
        <f aca="false">IF(OR($A45="",$D45=""),"",IF(AND(EDATE($D45,Milestones!$AA$60)&lt;=AsOfDate,IF($Q45=0,$W45,IF(AND($S45&lt;&gt;"",EDATE($D45,Milestones!$AA$60)&gt;=$S45),$V45,IF(AND($R45&lt;&gt;"",EDATE($D45,Milestones!$AA$60)&gt;=$R45),$U45,$T45)))=Milestones!$AB$60),TEXT(EDATE($D45,Milestones!$AA$60),"dd/mm/yy")&amp;" "&amp;Milestones!$AB$60&amp;" "&amp;Milestones!$AC$60&amp;";  ","")&amp;IF(AND(EDATE($D45,Milestones!$AA$61)&lt;=AsOfDate,IF($Q45=0,$W45,IF(AND($S45&lt;&gt;"",EDATE($D45,Milestones!$AA$61)&gt;=$S45),$V45,IF(AND($R45&lt;&gt;"",EDATE($D45,Milestones!$AA$61)&gt;=$R45),$U45,$T45)))=Milestones!$AB$61),TEXT(EDATE($D45,Milestones!$AA$61),"dd/mm/yy")&amp;" "&amp;Milestones!$AB$61&amp;" "&amp;Milestones!$AC$61&amp;";  ","")&amp;IF(AND(EDATE($D45,Milestones!$AA$62)&lt;=AsOfDate,IF($Q45=0,$W45,IF(AND($S45&lt;&gt;"",EDATE($D45,Milestones!$AA$62)&gt;=$S45),$V45,IF(AND($R45&lt;&gt;"",EDATE($D45,Milestones!$AA$62)&gt;=$R45),$U45,$T45)))=Milestones!$AB$62),TEXT(EDATE($D45,Milestones!$AA$62),"dd/mm/yy")&amp;" "&amp;Milestones!$AB$62&amp;" "&amp;Milestones!$AC$62&amp;";  ","")&amp;IF(AND(EDATE($D45,Milestones!$AA$63)&lt;=AsOfDate,IF($Q45=0,$W45,IF(AND($S45&lt;&gt;"",EDATE($D45,Milestones!$AA$63)&gt;=$S45),$V45,IF(AND($R45&lt;&gt;"",EDATE($D45,Milestones!$AA$63)&gt;=$R45),$U45,$T45)))=Milestones!$AB$63),TEXT(EDATE($D45,Milestones!$AA$63),"dd/mm/yy")&amp;" "&amp;Milestones!$AB$63&amp;" "&amp;Milestones!$AC$63&amp;";  ","")&amp;IF(AND(EDATE($D45,Milestones!$AA$64)&lt;=AsOfDate,IF($Q45=0,$W45,IF(AND($S45&lt;&gt;"",EDATE($D45,Milestones!$AA$64)&gt;=$S45),$V45,IF(AND($R45&lt;&gt;"",EDATE($D45,Milestones!$AA$64)&gt;=$R45),$U45,$T45)))=Milestones!$AB$64),TEXT(EDATE($D45,Milestones!$AA$64),"dd/mm/yy")&amp;" "&amp;Milestones!$AB$64&amp;" "&amp;Milestones!$AC$64&amp;";  ","")&amp;IF(AND(EDATE($D45,Milestones!$AA$65)&lt;=AsOfDate,IF($Q45=0,$W45,IF(AND($S45&lt;&gt;"",EDATE($D45,Milestones!$AA$65)&gt;=$S45),$V45,IF(AND($R45&lt;&gt;"",EDATE($D45,Milestones!$AA$65)&gt;=$R45),$U45,$T45)))=Milestones!$AB$65),TEXT(EDATE($D45,Milestones!$AA$65),"dd/mm/yy")&amp;" "&amp;Milestones!$AB$65&amp;" "&amp;Milestones!$AC$65&amp;";  ","")&amp;IF(AND(EDATE($D45,Milestones!$AA$66)&lt;=AsOfDate,IF($Q45=0,$W45,IF(AND($S45&lt;&gt;"",EDATE($D45,Milestones!$AA$66)&gt;=$S45),$V45,IF(AND($R45&lt;&gt;"",EDATE($D45,Milestones!$AA$66)&gt;=$R45),$U45,$T45)))=Milestones!$AB$66),TEXT(EDATE($D45,Milestones!$AA$66),"dd/mm/yy")&amp;" "&amp;Milestones!$AB$66&amp;" "&amp;Milestones!$AC$66&amp;";  ","")&amp;IF(AND(EDATE($D45,Milestones!$AA$67)&lt;=AsOfDate,IF($Q45=0,$W45,IF(AND($S45&lt;&gt;"",EDATE($D45,Milestones!$AA$67)&gt;=$S45),$V45,IF(AND($R45&lt;&gt;"",EDATE($D45,Milestones!$AA$67)&gt;=$R45),$U45,$T45)))=Milestones!$AB$67),TEXT(EDATE($D45,Milestones!$AA$67),"dd/mm/yy")&amp;" "&amp;Milestones!$AB$67&amp;" "&amp;Milestones!$AC$67&amp;";  ","")&amp;IF(AND(EDATE($D45,Milestones!$AA$68)&lt;=AsOfDate,IF($Q45=0,$W45,IF(AND($S45&lt;&gt;"",EDATE($D45,Milestones!$AA$68)&gt;=$S45),$V45,IF(AND($R45&lt;&gt;"",EDATE($D45,Milestones!$AA$68)&gt;=$R45),$U45,$T45)))=Milestones!$AB$68),TEXT(EDATE($D45,Milestones!$AA$68),"dd/mm/yy")&amp;" "&amp;Milestones!$AB$68&amp;" "&amp;Milestones!$AC$68&amp;";  ","")&amp;IF(AND(EDATE($D45,Milestones!$AA$69)&lt;=AsOfDate,IF($Q45=0,$W45,IF(AND($S45&lt;&gt;"",EDATE($D45,Milestones!$AA$69)&gt;=$S45),$V45,IF(AND($R45&lt;&gt;"",EDATE($D45,Milestones!$AA$69)&gt;=$R45),$U45,$T45)))=Milestones!$AB$69),TEXT(EDATE($D45,Milestones!$AA$69),"dd/mm/yy")&amp;" "&amp;Milestones!$AB$69&amp;" "&amp;Milestones!$AC$69&amp;";  ","")&amp;IF(AND(EDATE($D45,Milestones!$AA$70)&lt;=AsOfDate,IF($Q45=0,$W45,IF(AND($S45&lt;&gt;"",EDATE($D45,Milestones!$AA$70)&gt;=$S45),$V45,IF(AND($R45&lt;&gt;"",EDATE($D45,Milestones!$AA$70)&gt;=$R45),$U45,$T45)))=Milestones!$AB$70),TEXT(EDATE($D45,Milestones!$AA$70),"dd/mm/yy")&amp;" "&amp;Milestones!$AB$70&amp;" "&amp;Milestones!$AC$70&amp;";  ","")&amp;IF(AND(EDATE($D45,Milestones!$AA$71)&lt;=AsOfDate,IF($Q45=0,$W45,IF(AND($S45&lt;&gt;"",EDATE($D45,Milestones!$AA$71)&gt;=$S45),$V45,IF(AND($R45&lt;&gt;"",EDATE($D45,Milestones!$AA$71)&gt;=$R45),$U45,$T45)))=Milestones!$AB$71),TEXT(EDATE($D45,Milestones!$AA$71),"dd/mm/yy")&amp;" "&amp;Milestones!$AB$71&amp;" "&amp;Milestones!$AC$71&amp;";  ","")&amp;IF(AND(EDATE($D45,Milestones!$AA$72)&lt;=AsOfDate,IF($Q45=0,$W45,IF(AND($S45&lt;&gt;"",EDATE($D45,Milestones!$AA$72)&gt;=$S45),$V45,IF(AND($R45&lt;&gt;"",EDATE($D45,Milestones!$AA$72)&gt;=$R45),$U45,$T45)))=Milestones!$AB$72),TEXT(EDATE($D45,Milestones!$AA$72),"dd/mm/yy")&amp;" "&amp;Milestones!$AB$72&amp;" "&amp;Milestones!$AC$72&amp;";  ","")&amp;IF(AND(EDATE($D45,Milestones!$AA$73)&lt;=AsOfDate,IF($Q45=0,$W45,IF(AND($S45&lt;&gt;"",EDATE($D45,Milestones!$AA$73)&gt;=$S45),$V45,IF(AND($R45&lt;&gt;"",EDATE($D45,Milestones!$AA$73)&gt;=$R45),$U45,$T45)))=Milestones!$AB$73),TEXT(EDATE($D45,Milestones!$AA$73),"dd/mm/yy")&amp;" "&amp;Milestones!$AB$73&amp;" "&amp;Milestones!$AC$73&amp;";  ","")&amp;IF(AND(EDATE($D45,Milestones!$AA$74)&lt;=AsOfDate,IF($Q45=0,$W45,IF(AND($S45&lt;&gt;"",EDATE($D45,Milestones!$AA$74)&gt;=$S45),$V45,IF(AND($R45&lt;&gt;"",EDATE($D45,Milestones!$AA$74)&gt;=$R45),$U45,$T45)))=Milestones!$AB$74),TEXT(EDATE($D45,Milestones!$AA$74),"dd/mm/yy")&amp;" "&amp;Milestones!$AB$74&amp;" "&amp;Milestones!$AC$74&amp;";  ","")&amp;IF(AND(EDATE($D45,Milestones!$AA$75)&lt;=AsOfDate,IF($Q45=0,$W45,IF(AND($S45&lt;&gt;"",EDATE($D45,Milestones!$AA$75)&gt;=$S45),$V45,IF(AND($R45&lt;&gt;"",EDATE($D45,Milestones!$AA$75)&gt;=$R45),$U45,$T45)))=Milestones!$AB$75),TEXT(EDATE($D45,Milestones!$AA$75),"dd/mm/yy")&amp;" "&amp;Milestones!$AB$75&amp;" "&amp;Milestones!$AC$75&amp;";  ","")&amp;IF(AND(EDATE($D45,Milestones!$AA$76)&lt;=AsOfDate,IF($Q45=0,$W45,IF(AND($S45&lt;&gt;"",EDATE($D45,Milestones!$AA$76)&gt;=$S45),$V45,IF(AND($R45&lt;&gt;"",EDATE($D45,Milestones!$AA$76)&gt;=$R45),$U45,$T45)))=Milestones!$AB$76),TEXT(EDATE($D45,Milestones!$AA$76),"dd/mm/yy")&amp;" "&amp;Milestones!$AB$76&amp;" "&amp;Milestones!$AC$76&amp;";  ","")&amp;IF(AND(EDATE($D45,Milestones!$AA$77)&lt;=AsOfDate,IF($Q45=0,$W45,IF(AND($S45&lt;&gt;"",EDATE($D45,Milestones!$AA$77)&gt;=$S45),$V45,IF(AND($R45&lt;&gt;"",EDATE($D45,Milestones!$AA$77)&gt;=$R45),$U45,$T45)))=Milestones!$AB$77),TEXT(EDATE($D45,Milestones!$AA$77),"dd/mm/yy")&amp;" "&amp;Milestones!$AB$77&amp;" "&amp;Milestones!$AC$77&amp;";  ","")&amp;IF(AND(EDATE($D45,Milestones!$AA$78)&lt;=AsOfDate,IF($Q45=0,$W45,IF(AND($S45&lt;&gt;"",EDATE($D45,Milestones!$AA$78)&gt;=$S45),$V45,IF(AND($R45&lt;&gt;"",EDATE($D45,Milestones!$AA$78)&gt;=$R45),$U45,$T45)))=Milestones!$AB$78),TEXT(EDATE($D45,Milestones!$AA$78),"dd/mm/yy")&amp;" "&amp;Milestones!$AB$78&amp;" "&amp;Milestones!$AC$78&amp;";  ","")&amp;IF(AND(EDATE($D45,Milestones!$AA$79)&lt;=AsOfDate,IF($Q45=0,$W45,IF(AND($S45&lt;&gt;"",EDATE($D45,Milestones!$AA$79)&gt;=$S45),$V45,IF(AND($R45&lt;&gt;"",EDATE($D45,Milestones!$AA$79)&gt;=$R45),$U45,$T45)))=Milestones!$AB$79),TEXT(EDATE($D45,Milestones!$AA$79),"dd/mm/yy")&amp;" "&amp;Milestones!$AB$79&amp;" "&amp;Milestones!$AC$79&amp;";  ",""))</f>
        <v/>
      </c>
      <c r="K45" s="0" t="str">
        <f aca="false">IF(OR($A45="",$D45=""),"",IF(AND(EDATE($D45,Milestones!$AA$80)&lt;=AsOfDate,IF($Q45=0,$W45,IF(AND($S45&lt;&gt;"",EDATE($D45,Milestones!$AA$80)&gt;=$S45),$V45,IF(AND($R45&lt;&gt;"",EDATE($D45,Milestones!$AA$80)&gt;=$R45),$U45,$T45)))=Milestones!$AB$80),TEXT(EDATE($D45,Milestones!$AA$80),"dd/mm/yy")&amp;" "&amp;Milestones!$AB$80&amp;" "&amp;Milestones!$AC$80&amp;";  ","")&amp;IF(AND(EDATE($D45,Milestones!$AA$81)&lt;=AsOfDate,IF($Q45=0,$W45,IF(AND($S45&lt;&gt;"",EDATE($D45,Milestones!$AA$81)&gt;=$S45),$V45,IF(AND($R45&lt;&gt;"",EDATE($D45,Milestones!$AA$81)&gt;=$R45),$U45,$T45)))=Milestones!$AB$81),TEXT(EDATE($D45,Milestones!$AA$81),"dd/mm/yy")&amp;" "&amp;Milestones!$AB$81&amp;" "&amp;Milestones!$AC$81&amp;";  ","")&amp;IF(AND(EDATE($D45,Milestones!$AA$82)&lt;=AsOfDate,IF($Q45=0,$W45,IF(AND($S45&lt;&gt;"",EDATE($D45,Milestones!$AA$82)&gt;=$S45),$V45,IF(AND($R45&lt;&gt;"",EDATE($D45,Milestones!$AA$82)&gt;=$R45),$U45,$T45)))=Milestones!$AB$82),TEXT(EDATE($D45,Milestones!$AA$82),"dd/mm/yy")&amp;" "&amp;Milestones!$AB$82&amp;" "&amp;Milestones!$AC$82&amp;";  ","")&amp;IF(AND(EDATE($D45,Milestones!$AA$83)&lt;=AsOfDate,IF($Q45=0,$W45,IF(AND($S45&lt;&gt;"",EDATE($D45,Milestones!$AA$83)&gt;=$S45),$V45,IF(AND($R45&lt;&gt;"",EDATE($D45,Milestones!$AA$83)&gt;=$R45),$U45,$T45)))=Milestones!$AB$83),TEXT(EDATE($D45,Milestones!$AA$83),"dd/mm/yy")&amp;" "&amp;Milestones!$AB$83&amp;" "&amp;Milestones!$AC$83&amp;";  ","")&amp;IF(AND(EDATE($D45,Milestones!$AA$84)&lt;=AsOfDate,IF($Q45=0,$W45,IF(AND($S45&lt;&gt;"",EDATE($D45,Milestones!$AA$84)&gt;=$S45),$V45,IF(AND($R45&lt;&gt;"",EDATE($D45,Milestones!$AA$84)&gt;=$R45),$U45,$T45)))=Milestones!$AB$84),TEXT(EDATE($D45,Milestones!$AA$84),"dd/mm/yy")&amp;" "&amp;Milestones!$AB$84&amp;" "&amp;Milestones!$AC$84&amp;";  ","")&amp;IF(AND(EDATE($D45,Milestones!$AA$85)&lt;=AsOfDate,IF($Q45=0,$W45,IF(AND($S45&lt;&gt;"",EDATE($D45,Milestones!$AA$85)&gt;=$S45),$V45,IF(AND($R45&lt;&gt;"",EDATE($D45,Milestones!$AA$85)&gt;=$R45),$U45,$T45)))=Milestones!$AB$85),TEXT(EDATE($D45,Milestones!$AA$85),"dd/mm/yy")&amp;" "&amp;Milestones!$AB$85&amp;" "&amp;Milestones!$AC$85&amp;";  ","")&amp;IF(AND(EDATE($D45,Milestones!$AA$86)&lt;=AsOfDate,IF($Q45=0,$W45,IF(AND($S45&lt;&gt;"",EDATE($D45,Milestones!$AA$86)&gt;=$S45),$V45,IF(AND($R45&lt;&gt;"",EDATE($D45,Milestones!$AA$86)&gt;=$R45),$U45,$T45)))=Milestones!$AB$86),TEXT(EDATE($D45,Milestones!$AA$86),"dd/mm/yy")&amp;" "&amp;Milestones!$AB$86&amp;" "&amp;Milestones!$AC$86&amp;";  ","")&amp;IF(AND(EDATE($D45,Milestones!$AA$87)&lt;=AsOfDate,IF($Q45=0,$W45,IF(AND($S45&lt;&gt;"",EDATE($D45,Milestones!$AA$87)&gt;=$S45),$V45,IF(AND($R45&lt;&gt;"",EDATE($D45,Milestones!$AA$87)&gt;=$R45),$U45,$T45)))=Milestones!$AB$87),TEXT(EDATE($D45,Milestones!$AA$87),"dd/mm/yy")&amp;" "&amp;Milestones!$AB$87&amp;" "&amp;Milestones!$AC$87&amp;";  ","")&amp;IF(AND(EDATE($D45,Milestones!$AA$88)&lt;=AsOfDate,IF($Q45=0,$W45,IF(AND($S45&lt;&gt;"",EDATE($D45,Milestones!$AA$88)&gt;=$S45),$V45,IF(AND($R45&lt;&gt;"",EDATE($D45,Milestones!$AA$88)&gt;=$R45),$U45,$T45)))=Milestones!$AB$88),TEXT(EDATE($D45,Milestones!$AA$88),"dd/mm/yy")&amp;" "&amp;Milestones!$AB$88&amp;" "&amp;Milestones!$AC$88&amp;";  ","")&amp;IF(AND(EDATE($D45,Milestones!$AA$89)&lt;=AsOfDate,IF($Q45=0,$W45,IF(AND($S45&lt;&gt;"",EDATE($D45,Milestones!$AA$89)&gt;=$S45),$V45,IF(AND($R45&lt;&gt;"",EDATE($D45,Milestones!$AA$89)&gt;=$R45),$U45,$T45)))=Milestones!$AB$89),TEXT(EDATE($D45,Milestones!$AA$89),"dd/mm/yy")&amp;" "&amp;Milestones!$AB$89&amp;" "&amp;Milestones!$AC$89&amp;";  ","")&amp;IF(AND(EDATE($D45,Milestones!$AA$90)&lt;=AsOfDate,IF($Q45=0,$W45,IF(AND($S45&lt;&gt;"",EDATE($D45,Milestones!$AA$90)&gt;=$S45),$V45,IF(AND($R45&lt;&gt;"",EDATE($D45,Milestones!$AA$90)&gt;=$R45),$U45,$T45)))=Milestones!$AB$90),TEXT(EDATE($D45,Milestones!$AA$90),"dd/mm/yy")&amp;" "&amp;Milestones!$AB$90&amp;" "&amp;Milestones!$AC$90&amp;";  ","")&amp;IF(AND(EDATE($D45,Milestones!$AA$91)&lt;=AsOfDate,IF($Q45=0,$W45,IF(AND($S45&lt;&gt;"",EDATE($D45,Milestones!$AA$91)&gt;=$S45),$V45,IF(AND($R45&lt;&gt;"",EDATE($D45,Milestones!$AA$91)&gt;=$R45),$U45,$T45)))=Milestones!$AB$91),TEXT(EDATE($D45,Milestones!$AA$91),"dd/mm/yy")&amp;" "&amp;Milestones!$AB$91&amp;" "&amp;Milestones!$AC$91&amp;";  ","")&amp;IF(AND(EDATE($D45,Milestones!$AA$92)&lt;=AsOfDate,IF($Q45=0,$W45,IF(AND($S45&lt;&gt;"",EDATE($D45,Milestones!$AA$92)&gt;=$S45),$V45,IF(AND($R45&lt;&gt;"",EDATE($D45,Milestones!$AA$92)&gt;=$R45),$U45,$T45)))=Milestones!$AB$92),TEXT(EDATE($D45,Milestones!$AA$92),"dd/mm/yy")&amp;" "&amp;Milestones!$AB$92&amp;" "&amp;Milestones!$AC$92&amp;";  ","")&amp;IF(AND(EDATE($D45,Milestones!$AA$93)&lt;=AsOfDate,IF($Q45=0,$W45,IF(AND($S45&lt;&gt;"",EDATE($D45,Milestones!$AA$93)&gt;=$S45),$V45,IF(AND($R45&lt;&gt;"",EDATE($D45,Milestones!$AA$93)&gt;=$R45),$U45,$T45)))=Milestones!$AB$93),TEXT(EDATE($D45,Milestones!$AA$93),"dd/mm/yy")&amp;" "&amp;Milestones!$AB$93&amp;" "&amp;Milestones!$AC$93&amp;";  ","")&amp;IF(AND(EDATE($D45,Milestones!$AA$94)&lt;=AsOfDate,IF($Q45=0,$W45,IF(AND($S45&lt;&gt;"",EDATE($D45,Milestones!$AA$94)&gt;=$S45),$V45,IF(AND($R45&lt;&gt;"",EDATE($D45,Milestones!$AA$94)&gt;=$R45),$U45,$T45)))=Milestones!$AB$94),TEXT(EDATE($D45,Milestones!$AA$94),"dd/mm/yy")&amp;" "&amp;Milestones!$AB$94&amp;" "&amp;Milestones!$AC$94&amp;";  ","")&amp;IF(AND(EDATE($D45,Milestones!$AA$95)&lt;=AsOfDate,IF($Q45=0,$W45,IF(AND($S45&lt;&gt;"",EDATE($D45,Milestones!$AA$95)&gt;=$S45),$V45,IF(AND($R45&lt;&gt;"",EDATE($D45,Milestones!$AA$95)&gt;=$R45),$U45,$T45)))=Milestones!$AB$95),TEXT(EDATE($D45,Milestones!$AA$95),"dd/mm/yy")&amp;" "&amp;Milestones!$AB$95&amp;" "&amp;Milestones!$AC$95&amp;";  ","")&amp;IF(AND(EDATE($D45,Milestones!$AA$96)&lt;=AsOfDate,IF($Q45=0,$W45,IF(AND($S45&lt;&gt;"",EDATE($D45,Milestones!$AA$96)&gt;=$S45),$V45,IF(AND($R45&lt;&gt;"",EDATE($D45,Milestones!$AA$96)&gt;=$R45),$U45,$T45)))=Milestones!$AB$96),TEXT(EDATE($D45,Milestones!$AA$96),"dd/mm/yy")&amp;" "&amp;Milestones!$AB$96&amp;" "&amp;Milestones!$AC$96&amp;";  ","")&amp;IF(AND(EDATE($D45,Milestones!$AA$97)&lt;=AsOfDate,IF($Q45=0,$W45,IF(AND($S45&lt;&gt;"",EDATE($D45,Milestones!$AA$97)&gt;=$S45),$V45,IF(AND($R45&lt;&gt;"",EDATE($D45,Milestones!$AA$97)&gt;=$R45),$U45,$T45)))=Milestones!$AB$97),TEXT(EDATE($D45,Milestones!$AA$97),"dd/mm/yy")&amp;" "&amp;Milestones!$AB$97&amp;" "&amp;Milestones!$AC$97&amp;";  ","")&amp;IF(AND(EDATE($D45,Milestones!$AA$98)&lt;=AsOfDate,IF($Q45=0,$W45,IF(AND($S45&lt;&gt;"",EDATE($D45,Milestones!$AA$98)&gt;=$S45),$V45,IF(AND($R45&lt;&gt;"",EDATE($D45,Milestones!$AA$98)&gt;=$R45),$U45,$T45)))=Milestones!$AB$98),TEXT(EDATE($D45,Milestones!$AA$98),"dd/mm/yy")&amp;" "&amp;Milestones!$AB$98&amp;" "&amp;Milestones!$AC$98&amp;";  ","")&amp;IF(AND(EDATE($D45,Milestones!$AA$99)&lt;=AsOfDate,IF($Q45=0,$W45,IF(AND($S45&lt;&gt;"",EDATE($D45,Milestones!$AA$99)&gt;=$S45),$V45,IF(AND($R45&lt;&gt;"",EDATE($D45,Milestones!$AA$99)&gt;=$R45),$U45,$T45)))=Milestones!$AB$99),TEXT(EDATE($D45,Milestones!$AA$99),"dd/mm/yy")&amp;" "&amp;Milestones!$AB$99&amp;" "&amp;Milestones!$AC$99&amp;";  ",""))</f>
        <v/>
      </c>
      <c r="L45" s="0" t="str">
        <f aca="false">IF(OR($A45="",$D45=""),"",IF(AND(EDATE($D45,Milestones!$AA$100)&lt;=AsOfDate,IF($Q45=0,$W45,IF(AND($S45&lt;&gt;"",EDATE($D45,Milestones!$AA$100)&gt;=$S45),$V45,IF(AND($R45&lt;&gt;"",EDATE($D45,Milestones!$AA$100)&gt;=$R45),$U45,$T45)))=Milestones!$AB$100),TEXT(EDATE($D45,Milestones!$AA$100),"dd/mm/yy")&amp;" "&amp;Milestones!$AB$100&amp;" "&amp;Milestones!$AC$100&amp;";  ","")&amp;IF(AND(EDATE($D45,Milestones!$AA$101)&lt;=AsOfDate,IF($Q45=0,$W45,IF(AND($S45&lt;&gt;"",EDATE($D45,Milestones!$AA$101)&gt;=$S45),$V45,IF(AND($R45&lt;&gt;"",EDATE($D45,Milestones!$AA$101)&gt;=$R45),$U45,$T45)))=Milestones!$AB$101),TEXT(EDATE($D45,Milestones!$AA$101),"dd/mm/yy")&amp;" "&amp;Milestones!$AB$101&amp;" "&amp;Milestones!$AC$101&amp;";  ","")&amp;IF(AND(EDATE($D45,Milestones!$AA$102)&lt;=AsOfDate,IF($Q45=0,$W45,IF(AND($S45&lt;&gt;"",EDATE($D45,Milestones!$AA$102)&gt;=$S45),$V45,IF(AND($R45&lt;&gt;"",EDATE($D45,Milestones!$AA$102)&gt;=$R45),$U45,$T45)))=Milestones!$AB$102),TEXT(EDATE($D45,Milestones!$AA$102),"dd/mm/yy")&amp;" "&amp;Milestones!$AB$102&amp;" "&amp;Milestones!$AC$102&amp;";  ","")&amp;IF(AND(EDATE($D45,Milestones!$AA$103)&lt;=AsOfDate,IF($Q45=0,$W45,IF(AND($S45&lt;&gt;"",EDATE($D45,Milestones!$AA$103)&gt;=$S45),$V45,IF(AND($R45&lt;&gt;"",EDATE($D45,Milestones!$AA$103)&gt;=$R45),$U45,$T45)))=Milestones!$AB$103),TEXT(EDATE($D45,Milestones!$AA$103),"dd/mm/yy")&amp;" "&amp;Milestones!$AB$103&amp;" "&amp;Milestones!$AC$103&amp;";  ","")&amp;IF(AND(EDATE($D45,Milestones!$AA$104)&lt;=AsOfDate,IF($Q45=0,$W45,IF(AND($S45&lt;&gt;"",EDATE($D45,Milestones!$AA$104)&gt;=$S45),$V45,IF(AND($R45&lt;&gt;"",EDATE($D45,Milestones!$AA$104)&gt;=$R45),$U45,$T45)))=Milestones!$AB$104),TEXT(EDATE($D45,Milestones!$AA$104),"dd/mm/yy")&amp;" "&amp;Milestones!$AB$104&amp;" "&amp;Milestones!$AC$104&amp;";  ","")&amp;IF(AND(EDATE($D45,Milestones!$AA$105)&lt;=AsOfDate,IF($Q45=0,$W45,IF(AND($S45&lt;&gt;"",EDATE($D45,Milestones!$AA$105)&gt;=$S45),$V45,IF(AND($R45&lt;&gt;"",EDATE($D45,Milestones!$AA$105)&gt;=$R45),$U45,$T45)))=Milestones!$AB$105),TEXT(EDATE($D45,Milestones!$AA$105),"dd/mm/yy")&amp;" "&amp;Milestones!$AB$105&amp;" "&amp;Milestones!$AC$105&amp;";  ","")&amp;IF(AND(EDATE($D45,Milestones!$AA$106)&lt;=AsOfDate,IF($Q45=0,$W45,IF(AND($S45&lt;&gt;"",EDATE($D45,Milestones!$AA$106)&gt;=$S45),$V45,IF(AND($R45&lt;&gt;"",EDATE($D45,Milestones!$AA$106)&gt;=$R45),$U45,$T45)))=Milestones!$AB$106),TEXT(EDATE($D45,Milestones!$AA$106),"dd/mm/yy")&amp;" "&amp;Milestones!$AB$106&amp;" "&amp;Milestones!$AC$106&amp;";  ","")&amp;IF(AND(EDATE($D45,Milestones!$AA$107)&lt;=AsOfDate,IF($Q45=0,$W45,IF(AND($S45&lt;&gt;"",EDATE($D45,Milestones!$AA$107)&gt;=$S45),$V45,IF(AND($R45&lt;&gt;"",EDATE($D45,Milestones!$AA$107)&gt;=$R45),$U45,$T45)))=Milestones!$AB$107),TEXT(EDATE($D45,Milestones!$AA$107),"dd/mm/yy")&amp;" "&amp;Milestones!$AB$107&amp;" "&amp;Milestones!$AC$107&amp;";  ","")&amp;IF(AND(EDATE($D45,Milestones!$AA$108)&lt;=AsOfDate,IF($Q45=0,$W45,IF(AND($S45&lt;&gt;"",EDATE($D45,Milestones!$AA$108)&gt;=$S45),$V45,IF(AND($R45&lt;&gt;"",EDATE($D45,Milestones!$AA$108)&gt;=$R45),$U45,$T45)))=Milestones!$AB$108),TEXT(EDATE($D45,Milestones!$AA$108),"dd/mm/yy")&amp;" "&amp;Milestones!$AB$108&amp;" "&amp;Milestones!$AC$108&amp;";  ","")&amp;IF(AND(EDATE($D45,Milestones!$AA$109)&lt;=AsOfDate,IF($Q45=0,$W45,IF(AND($S45&lt;&gt;"",EDATE($D45,Milestones!$AA$109)&gt;=$S45),$V45,IF(AND($R45&lt;&gt;"",EDATE($D45,Milestones!$AA$109)&gt;=$R45),$U45,$T45)))=Milestones!$AB$109),TEXT(EDATE($D45,Milestones!$AA$109),"dd/mm/yy")&amp;" "&amp;Milestones!$AB$109&amp;" "&amp;Milestones!$AC$109&amp;";  ","")&amp;IF(AND(EDATE($D45,Milestones!$AA$110)&lt;=AsOfDate,IF($Q45=0,$W45,IF(AND($S45&lt;&gt;"",EDATE($D45,Milestones!$AA$110)&gt;=$S45),$V45,IF(AND($R45&lt;&gt;"",EDATE($D45,Milestones!$AA$110)&gt;=$R45),$U45,$T45)))=Milestones!$AB$110),TEXT(EDATE($D45,Milestones!$AA$110),"dd/mm/yy")&amp;" "&amp;Milestones!$AB$110&amp;" "&amp;Milestones!$AC$110&amp;";  ","")&amp;IF(AND(EDATE($D45,Milestones!$AA$111)&lt;=AsOfDate,IF($Q45=0,$W45,IF(AND($S45&lt;&gt;"",EDATE($D45,Milestones!$AA$111)&gt;=$S45),$V45,IF(AND($R45&lt;&gt;"",EDATE($D45,Milestones!$AA$111)&gt;=$R45),$U45,$T45)))=Milestones!$AB$111),TEXT(EDATE($D45,Milestones!$AA$111),"dd/mm/yy")&amp;" "&amp;Milestones!$AB$111&amp;" "&amp;Milestones!$AC$111&amp;";  ","")&amp;IF(AND(EDATE($D45,Milestones!$AA$112)&lt;=AsOfDate,IF($Q45=0,$W45,IF(AND($S45&lt;&gt;"",EDATE($D45,Milestones!$AA$112)&gt;=$S45),$V45,IF(AND($R45&lt;&gt;"",EDATE($D45,Milestones!$AA$112)&gt;=$R45),$U45,$T45)))=Milestones!$AB$112),TEXT(EDATE($D45,Milestones!$AA$112),"dd/mm/yy")&amp;" "&amp;Milestones!$AB$112&amp;" "&amp;Milestones!$AC$112&amp;";  ","")&amp;IF(AND(EDATE($D45,Milestones!$AA$113)&lt;=AsOfDate,IF($Q45=0,$W45,IF(AND($S45&lt;&gt;"",EDATE($D45,Milestones!$AA$113)&gt;=$S45),$V45,IF(AND($R45&lt;&gt;"",EDATE($D45,Milestones!$AA$113)&gt;=$R45),$U45,$T45)))=Milestones!$AB$113),TEXT(EDATE($D45,Milestones!$AA$113),"dd/mm/yy")&amp;" "&amp;Milestones!$AB$113&amp;" "&amp;Milestones!$AC$113&amp;";  ","")&amp;IF(AND(EDATE($D45,Milestones!$AA$114)&lt;=AsOfDate,IF($Q45=0,$W45,IF(AND($S45&lt;&gt;"",EDATE($D45,Milestones!$AA$114)&gt;=$S45),$V45,IF(AND($R45&lt;&gt;"",EDATE($D45,Milestones!$AA$114)&gt;=$R45),$U45,$T45)))=Milestones!$AB$114),TEXT(EDATE($D45,Milestones!$AA$114),"dd/mm/yy")&amp;" "&amp;Milestones!$AB$114&amp;" "&amp;Milestones!$AC$114&amp;";  ","")&amp;IF(AND(EDATE($D45,Milestones!$AA$115)&lt;=AsOfDate,IF($Q45=0,$W45,IF(AND($S45&lt;&gt;"",EDATE($D45,Milestones!$AA$115)&gt;=$S45),$V45,IF(AND($R45&lt;&gt;"",EDATE($D45,Milestones!$AA$115)&gt;=$R45),$U45,$T45)))=Milestones!$AB$115),TEXT(EDATE($D45,Milestones!$AA$115),"dd/mm/yy")&amp;" "&amp;Milestones!$AB$115&amp;" "&amp;Milestones!$AC$115&amp;";  ","")&amp;IF(AND(EDATE($D45,Milestones!$AA$116)&lt;=AsOfDate,IF($Q45=0,$W45,IF(AND($S45&lt;&gt;"",EDATE($D45,Milestones!$AA$116)&gt;=$S45),$V45,IF(AND($R45&lt;&gt;"",EDATE($D45,Milestones!$AA$116)&gt;=$R45),$U45,$T45)))=Milestones!$AB$116),TEXT(EDATE($D45,Milestones!$AA$116),"dd/mm/yy")&amp;" "&amp;Milestones!$AB$116&amp;" "&amp;Milestones!$AC$116&amp;";  ","")&amp;IF(AND(EDATE($D45,Milestones!$AA$117)&lt;=AsOfDate,IF($Q45=0,$W45,IF(AND($S45&lt;&gt;"",EDATE($D45,Milestones!$AA$117)&gt;=$S45),$V45,IF(AND($R45&lt;&gt;"",EDATE($D45,Milestones!$AA$117)&gt;=$R45),$U45,$T45)))=Milestones!$AB$117),TEXT(EDATE($D45,Milestones!$AA$117),"dd/mm/yy")&amp;" "&amp;Milestones!$AB$117&amp;" "&amp;Milestones!$AC$117&amp;";  ","")&amp;IF(AND(EDATE($D45,Milestones!$AA$118)&lt;=AsOfDate,IF($Q45=0,$W45,IF(AND($S45&lt;&gt;"",EDATE($D45,Milestones!$AA$118)&gt;=$S45),$V45,IF(AND($R45&lt;&gt;"",EDATE($D45,Milestones!$AA$118)&gt;=$R45),$U45,$T45)))=Milestones!$AB$118),TEXT(EDATE($D45,Milestones!$AA$118),"dd/mm/yy")&amp;" "&amp;Milestones!$AB$118&amp;" "&amp;Milestones!$AC$118&amp;";  ","")&amp;IF(AND(EDATE($D45,Milestones!$AA$119)&lt;=AsOfDate,IF($Q45=0,$W45,IF(AND($S45&lt;&gt;"",EDATE($D45,Milestones!$AA$119)&gt;=$S45),$V45,IF(AND($R45&lt;&gt;"",EDATE($D45,Milestones!$AA$119)&gt;=$R45),$U45,$T45)))=Milestones!$AB$119),TEXT(EDATE($D45,Milestones!$AA$119),"dd/mm/yy")&amp;" "&amp;Milestones!$AB$119&amp;" "&amp;Milestones!$AC$119&amp;";  ",""))</f>
        <v/>
      </c>
      <c r="M45" s="0" t="str">
        <f aca="false">IF(OR($A45="",$D45=""),"",IF(AND(EDATE($D45,Milestones!$AA$120)&lt;=AsOfDate,IF($Q45=0,$W45,IF(AND($S45&lt;&gt;"",EDATE($D45,Milestones!$AA$120)&gt;=$S45),$V45,IF(AND($R45&lt;&gt;"",EDATE($D45,Milestones!$AA$120)&gt;=$R45),$U45,$T45)))=Milestones!$AB$120),TEXT(EDATE($D45,Milestones!$AA$120),"dd/mm/yy")&amp;" "&amp;Milestones!$AB$120&amp;" "&amp;Milestones!$AC$120&amp;";  ","")&amp;IF(AND(EDATE($D45,Milestones!$AA$121)&lt;=AsOfDate,IF($Q45=0,$W45,IF(AND($S45&lt;&gt;"",EDATE($D45,Milestones!$AA$121)&gt;=$S45),$V45,IF(AND($R45&lt;&gt;"",EDATE($D45,Milestones!$AA$121)&gt;=$R45),$U45,$T45)))=Milestones!$AB$121),TEXT(EDATE($D45,Milestones!$AA$121),"dd/mm/yy")&amp;" "&amp;Milestones!$AB$121&amp;" "&amp;Milestones!$AC$121&amp;";  ","")&amp;IF(AND(EDATE($D45,Milestones!$AA$122)&lt;=AsOfDate,IF($Q45=0,$W45,IF(AND($S45&lt;&gt;"",EDATE($D45,Milestones!$AA$122)&gt;=$S45),$V45,IF(AND($R45&lt;&gt;"",EDATE($D45,Milestones!$AA$122)&gt;=$R45),$U45,$T45)))=Milestones!$AB$122),TEXT(EDATE($D45,Milestones!$AA$122),"dd/mm/yy")&amp;" "&amp;Milestones!$AB$122&amp;" "&amp;Milestones!$AC$122&amp;";  ","")&amp;IF(AND(EDATE($D45,Milestones!$AA$123)&lt;=AsOfDate,IF($Q45=0,$W45,IF(AND($S45&lt;&gt;"",EDATE($D45,Milestones!$AA$123)&gt;=$S45),$V45,IF(AND($R45&lt;&gt;"",EDATE($D45,Milestones!$AA$123)&gt;=$R45),$U45,$T45)))=Milestones!$AB$123),TEXT(EDATE($D45,Milestones!$AA$123),"dd/mm/yy")&amp;" "&amp;Milestones!$AB$123&amp;" "&amp;Milestones!$AC$123&amp;";  ","")&amp;IF(AND(EDATE($D45,Milestones!$AA$124)&lt;=AsOfDate,IF($Q45=0,$W45,IF(AND($S45&lt;&gt;"",EDATE($D45,Milestones!$AA$124)&gt;=$S45),$V45,IF(AND($R45&lt;&gt;"",EDATE($D45,Milestones!$AA$124)&gt;=$R45),$U45,$T45)))=Milestones!$AB$124),TEXT(EDATE($D45,Milestones!$AA$124),"dd/mm/yy")&amp;" "&amp;Milestones!$AB$124&amp;" "&amp;Milestones!$AC$124&amp;";  ","")&amp;IF(AND(EDATE($D45,Milestones!$AA$125)&lt;=AsOfDate,IF($Q45=0,$W45,IF(AND($S45&lt;&gt;"",EDATE($D45,Milestones!$AA$125)&gt;=$S45),$V45,IF(AND($R45&lt;&gt;"",EDATE($D45,Milestones!$AA$125)&gt;=$R45),$U45,$T45)))=Milestones!$AB$125),TEXT(EDATE($D45,Milestones!$AA$125),"dd/mm/yy")&amp;" "&amp;Milestones!$AB$125&amp;" "&amp;Milestones!$AC$125&amp;";  ","")&amp;IF(AND(EDATE($D45,Milestones!$AA$126)&lt;=AsOfDate,IF($Q45=0,$W45,IF(AND($S45&lt;&gt;"",EDATE($D45,Milestones!$AA$126)&gt;=$S45),$V45,IF(AND($R45&lt;&gt;"",EDATE($D45,Milestones!$AA$126)&gt;=$R45),$U45,$T45)))=Milestones!$AB$126),TEXT(EDATE($D45,Milestones!$AA$126),"dd/mm/yy")&amp;" "&amp;Milestones!$AB$126&amp;" "&amp;Milestones!$AC$126&amp;";  ","")&amp;IF(AND(EDATE($D45,Milestones!$AA$127)&lt;=AsOfDate,IF($Q45=0,$W45,IF(AND($S45&lt;&gt;"",EDATE($D45,Milestones!$AA$127)&gt;=$S45),$V45,IF(AND($R45&lt;&gt;"",EDATE($D45,Milestones!$AA$127)&gt;=$R45),$U45,$T45)))=Milestones!$AB$127),TEXT(EDATE($D45,Milestones!$AA$127),"dd/mm/yy")&amp;" "&amp;Milestones!$AB$127&amp;" "&amp;Milestones!$AC$127&amp;";  ","")&amp;IF(AND(EDATE($D45,Milestones!$AA$128)&lt;=AsOfDate,IF($Q45=0,$W45,IF(AND($S45&lt;&gt;"",EDATE($D45,Milestones!$AA$128)&gt;=$S45),$V45,IF(AND($R45&lt;&gt;"",EDATE($D45,Milestones!$AA$128)&gt;=$R45),$U45,$T45)))=Milestones!$AB$128),TEXT(EDATE($D45,Milestones!$AA$128),"dd/mm/yy")&amp;" "&amp;Milestones!$AB$128&amp;" "&amp;Milestones!$AC$128&amp;";  ","")&amp;IF(AND(EDATE($D45,Milestones!$AA$129)&lt;=AsOfDate,IF($Q45=0,$W45,IF(AND($S45&lt;&gt;"",EDATE($D45,Milestones!$AA$129)&gt;=$S45),$V45,IF(AND($R45&lt;&gt;"",EDATE($D45,Milestones!$AA$129)&gt;=$R45),$U45,$T45)))=Milestones!$AB$129),TEXT(EDATE($D45,Milestones!$AA$129),"dd/mm/yy")&amp;" "&amp;Milestones!$AB$129&amp;" "&amp;Milestones!$AC$129&amp;";  ","")&amp;IF(AND(EDATE($D45,Milestones!$AA$130)&lt;=AsOfDate,IF($Q45=0,$W45,IF(AND($S45&lt;&gt;"",EDATE($D45,Milestones!$AA$130)&gt;=$S45),$V45,IF(AND($R45&lt;&gt;"",EDATE($D45,Milestones!$AA$130)&gt;=$R45),$U45,$T45)))=Milestones!$AB$130),TEXT(EDATE($D45,Milestones!$AA$130),"dd/mm/yy")&amp;" "&amp;Milestones!$AB$130&amp;" "&amp;Milestones!$AC$130&amp;";  ","")&amp;IF(AND(EDATE($D45,Milestones!$AA$131)&lt;=AsOfDate,IF($Q45=0,$W45,IF(AND($S45&lt;&gt;"",EDATE($D45,Milestones!$AA$131)&gt;=$S45),$V45,IF(AND($R45&lt;&gt;"",EDATE($D45,Milestones!$AA$131)&gt;=$R45),$U45,$T45)))=Milestones!$AB$131),TEXT(EDATE($D45,Milestones!$AA$131),"dd/mm/yy")&amp;" "&amp;Milestones!$AB$131&amp;" "&amp;Milestones!$AC$131&amp;";  ","")&amp;IF(AND(EDATE($D45,Milestones!$AA$132)&lt;=AsOfDate,IF($Q45=0,$W45,IF(AND($S45&lt;&gt;"",EDATE($D45,Milestones!$AA$132)&gt;=$S45),$V45,IF(AND($R45&lt;&gt;"",EDATE($D45,Milestones!$AA$132)&gt;=$R45),$U45,$T45)))=Milestones!$AB$132),TEXT(EDATE($D45,Milestones!$AA$132),"dd/mm/yy")&amp;" "&amp;Milestones!$AB$132&amp;" "&amp;Milestones!$AC$132&amp;";  ","")&amp;IF(AND(EDATE($D45,Milestones!$AA$133)&lt;=AsOfDate,IF($Q45=0,$W45,IF(AND($S45&lt;&gt;"",EDATE($D45,Milestones!$AA$133)&gt;=$S45),$V45,IF(AND($R45&lt;&gt;"",EDATE($D45,Milestones!$AA$133)&gt;=$R45),$U45,$T45)))=Milestones!$AB$133),TEXT(EDATE($D45,Milestones!$AA$133),"dd/mm/yy")&amp;" "&amp;Milestones!$AB$133&amp;" "&amp;Milestones!$AC$133&amp;";  ","")&amp;IF(AND(EDATE($D45,Milestones!$AA$134)&lt;=AsOfDate,IF($Q45=0,$W45,IF(AND($S45&lt;&gt;"",EDATE($D45,Milestones!$AA$134)&gt;=$S45),$V45,IF(AND($R45&lt;&gt;"",EDATE($D45,Milestones!$AA$134)&gt;=$R45),$U45,$T45)))=Milestones!$AB$134),TEXT(EDATE($D45,Milestones!$AA$134),"dd/mm/yy")&amp;" "&amp;Milestones!$AB$134&amp;" "&amp;Milestones!$AC$134&amp;";  ","")&amp;IF(AND(EDATE($D45,Milestones!$AA$135)&lt;=AsOfDate,IF($Q45=0,$W45,IF(AND($S45&lt;&gt;"",EDATE($D45,Milestones!$AA$135)&gt;=$S45),$V45,IF(AND($R45&lt;&gt;"",EDATE($D45,Milestones!$AA$135)&gt;=$R45),$U45,$T45)))=Milestones!$AB$135),TEXT(EDATE($D45,Milestones!$AA$135),"dd/mm/yy")&amp;" "&amp;Milestones!$AB$135&amp;" "&amp;Milestones!$AC$135&amp;";  ","")&amp;IF(AND(EDATE($D45,Milestones!$AA$136)&lt;=AsOfDate,IF($Q45=0,$W45,IF(AND($S45&lt;&gt;"",EDATE($D45,Milestones!$AA$136)&gt;=$S45),$V45,IF(AND($R45&lt;&gt;"",EDATE($D45,Milestones!$AA$136)&gt;=$R45),$U45,$T45)))=Milestones!$AB$136),TEXT(EDATE($D45,Milestones!$AA$136),"dd/mm/yy")&amp;" "&amp;Milestones!$AB$136&amp;" "&amp;Milestones!$AC$136&amp;";  ","")&amp;IF(AND(EDATE($D45,Milestones!$AA$137)&lt;=AsOfDate,IF($Q45=0,$W45,IF(AND($S45&lt;&gt;"",EDATE($D45,Milestones!$AA$137)&gt;=$S45),$V45,IF(AND($R45&lt;&gt;"",EDATE($D45,Milestones!$AA$137)&gt;=$R45),$U45,$T45)))=Milestones!$AB$137),TEXT(EDATE($D45,Milestones!$AA$137),"dd/mm/yy")&amp;" "&amp;Milestones!$AB$137&amp;" "&amp;Milestones!$AC$137&amp;";  ","")&amp;IF(AND(EDATE($D45,Milestones!$AA$138)&lt;=AsOfDate,IF($Q45=0,$W45,IF(AND($S45&lt;&gt;"",EDATE($D45,Milestones!$AA$138)&gt;=$S45),$V45,IF(AND($R45&lt;&gt;"",EDATE($D45,Milestones!$AA$138)&gt;=$R45),$U45,$T45)))=Milestones!$AB$138),TEXT(EDATE($D45,Milestones!$AA$138),"dd/mm/yy")&amp;" "&amp;Milestones!$AB$138&amp;" "&amp;Milestones!$AC$138&amp;";  ","")&amp;IF(AND(EDATE($D45,Milestones!$AA$139)&lt;=AsOfDate,IF($Q45=0,$W45,IF(AND($S45&lt;&gt;"",EDATE($D45,Milestones!$AA$139)&gt;=$S45),$V45,IF(AND($R45&lt;&gt;"",EDATE($D45,Milestones!$AA$139)&gt;=$R45),$U45,$T45)))=Milestones!$AB$139),TEXT(EDATE($D45,Milestones!$AA$139),"dd/mm/yy")&amp;" "&amp;Milestones!$AB$139&amp;" "&amp;Milestones!$AC$139&amp;";  ",""))</f>
        <v/>
      </c>
      <c r="N45" s="0" t="str">
        <f aca="false">IF(OR($A45="",$D45=""),"",IF(AND(EDATE($D45,Milestones!$AA$140)&lt;=AsOfDate,IF($Q45=0,$W45,IF(AND($S45&lt;&gt;"",EDATE($D45,Milestones!$AA$140)&gt;=$S45),$V45,IF(AND($R45&lt;&gt;"",EDATE($D45,Milestones!$AA$140)&gt;=$R45),$U45,$T45)))=Milestones!$AB$140),TEXT(EDATE($D45,Milestones!$AA$140),"dd/mm/yy")&amp;" "&amp;Milestones!$AB$140&amp;" "&amp;Milestones!$AC$140&amp;";  ","")&amp;IF(AND(EDATE($D45,Milestones!$AA$141)&lt;=AsOfDate,IF($Q45=0,$W45,IF(AND($S45&lt;&gt;"",EDATE($D45,Milestones!$AA$141)&gt;=$S45),$V45,IF(AND($R45&lt;&gt;"",EDATE($D45,Milestones!$AA$141)&gt;=$R45),$U45,$T45)))=Milestones!$AB$141),TEXT(EDATE($D45,Milestones!$AA$141),"dd/mm/yy")&amp;" "&amp;Milestones!$AB$141&amp;" "&amp;Milestones!$AC$141&amp;";  ","")&amp;IF(AND(EDATE($D45,Milestones!$AA$142)&lt;=AsOfDate,IF($Q45=0,$W45,IF(AND($S45&lt;&gt;"",EDATE($D45,Milestones!$AA$142)&gt;=$S45),$V45,IF(AND($R45&lt;&gt;"",EDATE($D45,Milestones!$AA$142)&gt;=$R45),$U45,$T45)))=Milestones!$AB$142),TEXT(EDATE($D45,Milestones!$AA$142),"dd/mm/yy")&amp;" "&amp;Milestones!$AB$142&amp;" "&amp;Milestones!$AC$142&amp;";  ","")&amp;IF(AND(EDATE($D45,Milestones!$AA$143)&lt;=AsOfDate,IF($Q45=0,$W45,IF(AND($S45&lt;&gt;"",EDATE($D45,Milestones!$AA$143)&gt;=$S45),$V45,IF(AND($R45&lt;&gt;"",EDATE($D45,Milestones!$AA$143)&gt;=$R45),$U45,$T45)))=Milestones!$AB$143),TEXT(EDATE($D45,Milestones!$AA$143),"dd/mm/yy")&amp;" "&amp;Milestones!$AB$143&amp;" "&amp;Milestones!$AC$143&amp;";  ","")&amp;IF(AND(EDATE($D45,Milestones!$AA$144)&lt;=AsOfDate,IF($Q45=0,$W45,IF(AND($S45&lt;&gt;"",EDATE($D45,Milestones!$AA$144)&gt;=$S45),$V45,IF(AND($R45&lt;&gt;"",EDATE($D45,Milestones!$AA$144)&gt;=$R45),$U45,$T45)))=Milestones!$AB$144),TEXT(EDATE($D45,Milestones!$AA$144),"dd/mm/yy")&amp;" "&amp;Milestones!$AB$144&amp;" "&amp;Milestones!$AC$144&amp;";  ","")&amp;IF(AND(EDATE($D45,Milestones!$AA$145)&lt;=AsOfDate,IF($Q45=0,$W45,IF(AND($S45&lt;&gt;"",EDATE($D45,Milestones!$AA$145)&gt;=$S45),$V45,IF(AND($R45&lt;&gt;"",EDATE($D45,Milestones!$AA$145)&gt;=$R45),$U45,$T45)))=Milestones!$AB$145),TEXT(EDATE($D45,Milestones!$AA$145),"dd/mm/yy")&amp;" "&amp;Milestones!$AB$145&amp;" "&amp;Milestones!$AC$145&amp;";  ","")&amp;IF(AND(EDATE($D45,Milestones!$AA$146)&lt;=AsOfDate,IF($Q45=0,$W45,IF(AND($S45&lt;&gt;"",EDATE($D45,Milestones!$AA$146)&gt;=$S45),$V45,IF(AND($R45&lt;&gt;"",EDATE($D45,Milestones!$AA$146)&gt;=$R45),$U45,$T45)))=Milestones!$AB$146),TEXT(EDATE($D45,Milestones!$AA$146),"dd/mm/yy")&amp;" "&amp;Milestones!$AB$146&amp;" "&amp;Milestones!$AC$146&amp;";  ","")&amp;IF(AND(EDATE($D45,Milestones!$AA$147)&lt;=AsOfDate,IF($Q45=0,$W45,IF(AND($S45&lt;&gt;"",EDATE($D45,Milestones!$AA$147)&gt;=$S45),$V45,IF(AND($R45&lt;&gt;"",EDATE($D45,Milestones!$AA$147)&gt;=$R45),$U45,$T45)))=Milestones!$AB$147),TEXT(EDATE($D45,Milestones!$AA$147),"dd/mm/yy")&amp;" "&amp;Milestones!$AB$147&amp;" "&amp;Milestones!$AC$147&amp;";  ","")&amp;IF(AND(EDATE($D45,Milestones!$AA$148)&lt;=AsOfDate,IF($Q45=0,$W45,IF(AND($S45&lt;&gt;"",EDATE($D45,Milestones!$AA$148)&gt;=$S45),$V45,IF(AND($R45&lt;&gt;"",EDATE($D45,Milestones!$AA$148)&gt;=$R45),$U45,$T45)))=Milestones!$AB$148),TEXT(EDATE($D45,Milestones!$AA$148),"dd/mm/yy")&amp;" "&amp;Milestones!$AB$148&amp;" "&amp;Milestones!$AC$148&amp;";  ","")&amp;IF(AND(EDATE($D45,Milestones!$AA$149)&lt;=AsOfDate,IF($Q45=0,$W45,IF(AND($S45&lt;&gt;"",EDATE($D45,Milestones!$AA$149)&gt;=$S45),$V45,IF(AND($R45&lt;&gt;"",EDATE($D45,Milestones!$AA$149)&gt;=$R45),$U45,$T45)))=Milestones!$AB$149),TEXT(EDATE($D45,Milestones!$AA$149),"dd/mm/yy")&amp;" "&amp;Milestones!$AB$149&amp;" "&amp;Milestones!$AC$149&amp;";  ","")&amp;IF(AND(EDATE($D45,Milestones!$AA$150)&lt;=AsOfDate,IF($Q45=0,$W45,IF(AND($S45&lt;&gt;"",EDATE($D45,Milestones!$AA$150)&gt;=$S45),$V45,IF(AND($R45&lt;&gt;"",EDATE($D45,Milestones!$AA$150)&gt;=$R45),$U45,$T45)))=Milestones!$AB$150),TEXT(EDATE($D45,Milestones!$AA$150),"dd/mm/yy")&amp;" "&amp;Milestones!$AB$150&amp;" "&amp;Milestones!$AC$150&amp;";  ","")&amp;IF(AND(EDATE($D45,Milestones!$AA$151)&lt;=AsOfDate,IF($Q45=0,$W45,IF(AND($S45&lt;&gt;"",EDATE($D45,Milestones!$AA$151)&gt;=$S45),$V45,IF(AND($R45&lt;&gt;"",EDATE($D45,Milestones!$AA$151)&gt;=$R45),$U45,$T45)))=Milestones!$AB$151),TEXT(EDATE($D45,Milestones!$AA$151),"dd/mm/yy")&amp;" "&amp;Milestones!$AB$151&amp;" "&amp;Milestones!$AC$151&amp;";  ","")&amp;IF(AND(EDATE($D45,Milestones!$AA$152)&lt;=AsOfDate,IF($Q45=0,$W45,IF(AND($S45&lt;&gt;"",EDATE($D45,Milestones!$AA$152)&gt;=$S45),$V45,IF(AND($R45&lt;&gt;"",EDATE($D45,Milestones!$AA$152)&gt;=$R45),$U45,$T45)))=Milestones!$AB$152),TEXT(EDATE($D45,Milestones!$AA$152),"dd/mm/yy")&amp;" "&amp;Milestones!$AB$152&amp;" "&amp;Milestones!$AC$152&amp;";  ","")&amp;IF(AND(EDATE($D45,Milestones!$AA$153)&lt;=AsOfDate,IF($Q45=0,$W45,IF(AND($S45&lt;&gt;"",EDATE($D45,Milestones!$AA$153)&gt;=$S45),$V45,IF(AND($R45&lt;&gt;"",EDATE($D45,Milestones!$AA$153)&gt;=$R45),$U45,$T45)))=Milestones!$AB$153),TEXT(EDATE($D45,Milestones!$AA$153),"dd/mm/yy")&amp;" "&amp;Milestones!$AB$153&amp;" "&amp;Milestones!$AC$153&amp;";  ","")&amp;IF(AND(EDATE($D45,Milestones!$AA$154)&lt;=AsOfDate,IF($Q45=0,$W45,IF(AND($S45&lt;&gt;"",EDATE($D45,Milestones!$AA$154)&gt;=$S45),$V45,IF(AND($R45&lt;&gt;"",EDATE($D45,Milestones!$AA$154)&gt;=$R45),$U45,$T45)))=Milestones!$AB$154),TEXT(EDATE($D45,Milestones!$AA$154),"dd/mm/yy")&amp;" "&amp;Milestones!$AB$154&amp;" "&amp;Milestones!$AC$154&amp;";  ","")&amp;IF(AND(EDATE($D45,Milestones!$AA$155)&lt;=AsOfDate,IF($Q45=0,$W45,IF(AND($S45&lt;&gt;"",EDATE($D45,Milestones!$AA$155)&gt;=$S45),$V45,IF(AND($R45&lt;&gt;"",EDATE($D45,Milestones!$AA$155)&gt;=$R45),$U45,$T45)))=Milestones!$AB$155),TEXT(EDATE($D45,Milestones!$AA$155),"dd/mm/yy")&amp;" "&amp;Milestones!$AB$155&amp;" "&amp;Milestones!$AC$155&amp;";  ","")&amp;IF(AND(EDATE($D45,Milestones!$AA$156)&lt;=AsOfDate,IF($Q45=0,$W45,IF(AND($S45&lt;&gt;"",EDATE($D45,Milestones!$AA$156)&gt;=$S45),$V45,IF(AND($R45&lt;&gt;"",EDATE($D45,Milestones!$AA$156)&gt;=$R45),$U45,$T45)))=Milestones!$AB$156),TEXT(EDATE($D45,Milestones!$AA$156),"dd/mm/yy")&amp;" "&amp;Milestones!$AB$156&amp;" "&amp;Milestones!$AC$156&amp;";  ","")&amp;IF(AND(EDATE($D45,Milestones!$AA$157)&lt;=AsOfDate,IF($Q45=0,$W45,IF(AND($S45&lt;&gt;"",EDATE($D45,Milestones!$AA$157)&gt;=$S45),$V45,IF(AND($R45&lt;&gt;"",EDATE($D45,Milestones!$AA$157)&gt;=$R45),$U45,$T45)))=Milestones!$AB$157),TEXT(EDATE($D45,Milestones!$AA$157),"dd/mm/yy")&amp;" "&amp;Milestones!$AB$157&amp;" "&amp;Milestones!$AC$157&amp;";  ","")&amp;IF(AND(EDATE($D45,Milestones!$AA$158)&lt;=AsOfDate,IF($Q45=0,$W45,IF(AND($S45&lt;&gt;"",EDATE($D45,Milestones!$AA$158)&gt;=$S45),$V45,IF(AND($R45&lt;&gt;"",EDATE($D45,Milestones!$AA$158)&gt;=$R45),$U45,$T45)))=Milestones!$AB$158),TEXT(EDATE($D45,Milestones!$AA$158),"dd/mm/yy")&amp;" "&amp;Milestones!$AB$158&amp;" "&amp;Milestones!$AC$158&amp;";  ","")&amp;IF(AND(EDATE($D45,Milestones!$AA$159)&lt;=AsOfDate,IF($Q45=0,$W45,IF(AND($S45&lt;&gt;"",EDATE($D45,Milestones!$AA$159)&gt;=$S45),$V45,IF(AND($R45&lt;&gt;"",EDATE($D45,Milestones!$AA$159)&gt;=$R45),$U45,$T45)))=Milestones!$AB$159),TEXT(EDATE($D45,Milestones!$AA$159),"dd/mm/yy")&amp;" "&amp;Milestones!$AB$159&amp;" "&amp;Milestones!$AC$159&amp;";  ",""))</f>
        <v/>
      </c>
      <c r="O45" s="0" t="str">
        <f aca="false">IF(OR($A45="",$D45=""),"",IF(AND(EDATE($D45,Milestones!$AA$160)&lt;=AsOfDate,IF($Q45=0,$W45,IF(AND($S45&lt;&gt;"",EDATE($D45,Milestones!$AA$160)&gt;=$S45),$V45,IF(AND($R45&lt;&gt;"",EDATE($D45,Milestones!$AA$160)&gt;=$R45),$U45,$T45)))=Milestones!$AB$160),TEXT(EDATE($D45,Milestones!$AA$160),"dd/mm/yy")&amp;" "&amp;Milestones!$AB$160&amp;" "&amp;Milestones!$AC$160&amp;";  ","")&amp;IF(AND(EDATE($D45,Milestones!$AA$161)&lt;=AsOfDate,IF($Q45=0,$W45,IF(AND($S45&lt;&gt;"",EDATE($D45,Milestones!$AA$161)&gt;=$S45),$V45,IF(AND($R45&lt;&gt;"",EDATE($D45,Milestones!$AA$161)&gt;=$R45),$U45,$T45)))=Milestones!$AB$161),TEXT(EDATE($D45,Milestones!$AA$161),"dd/mm/yy")&amp;" "&amp;Milestones!$AB$161&amp;" "&amp;Milestones!$AC$161&amp;";  ","")&amp;IF(AND(EDATE($D45,Milestones!$AA$162)&lt;=AsOfDate,IF($Q45=0,$W45,IF(AND($S45&lt;&gt;"",EDATE($D45,Milestones!$AA$162)&gt;=$S45),$V45,IF(AND($R45&lt;&gt;"",EDATE($D45,Milestones!$AA$162)&gt;=$R45),$U45,$T45)))=Milestones!$AB$162),TEXT(EDATE($D45,Milestones!$AA$162),"dd/mm/yy")&amp;" "&amp;Milestones!$AB$162&amp;" "&amp;Milestones!$AC$162&amp;";  ","")&amp;IF(AND(EDATE($D45,Milestones!$AA$163)&lt;=AsOfDate,IF($Q45=0,$W45,IF(AND($S45&lt;&gt;"",EDATE($D45,Milestones!$AA$163)&gt;=$S45),$V45,IF(AND($R45&lt;&gt;"",EDATE($D45,Milestones!$AA$163)&gt;=$R45),$U45,$T45)))=Milestones!$AB$163),TEXT(EDATE($D45,Milestones!$AA$163),"dd/mm/yy")&amp;" "&amp;Milestones!$AB$163&amp;" "&amp;Milestones!$AC$163&amp;";  ","")&amp;IF(AND(EDATE($D45,Milestones!$AA$164)&lt;=AsOfDate,IF($Q45=0,$W45,IF(AND($S45&lt;&gt;"",EDATE($D45,Milestones!$AA$164)&gt;=$S45),$V45,IF(AND($R45&lt;&gt;"",EDATE($D45,Milestones!$AA$164)&gt;=$R45),$U45,$T45)))=Milestones!$AB$164),TEXT(EDATE($D45,Milestones!$AA$164),"dd/mm/yy")&amp;" "&amp;Milestones!$AB$164&amp;" "&amp;Milestones!$AC$164&amp;";  ","")&amp;IF(AND(EDATE($D45,Milestones!$AA$165)&lt;=AsOfDate,IF($Q45=0,$W45,IF(AND($S45&lt;&gt;"",EDATE($D45,Milestones!$AA$165)&gt;=$S45),$V45,IF(AND($R45&lt;&gt;"",EDATE($D45,Milestones!$AA$165)&gt;=$R45),$U45,$T45)))=Milestones!$AB$165),TEXT(EDATE($D45,Milestones!$AA$165),"dd/mm/yy")&amp;" "&amp;Milestones!$AB$165&amp;" "&amp;Milestones!$AC$165&amp;";  ","")&amp;IF(AND(EDATE($D45,Milestones!$AA$166)&lt;=AsOfDate,IF($Q45=0,$W45,IF(AND($S45&lt;&gt;"",EDATE($D45,Milestones!$AA$166)&gt;=$S45),$V45,IF(AND($R45&lt;&gt;"",EDATE($D45,Milestones!$AA$166)&gt;=$R45),$U45,$T45)))=Milestones!$AB$166),TEXT(EDATE($D45,Milestones!$AA$166),"dd/mm/yy")&amp;" "&amp;Milestones!$AB$166&amp;" "&amp;Milestones!$AC$166&amp;";  ","")&amp;IF(AND(EDATE($D45,Milestones!$AA$167)&lt;=AsOfDate,IF($Q45=0,$W45,IF(AND($S45&lt;&gt;"",EDATE($D45,Milestones!$AA$167)&gt;=$S45),$V45,IF(AND($R45&lt;&gt;"",EDATE($D45,Milestones!$AA$167)&gt;=$R45),$U45,$T45)))=Milestones!$AB$167),TEXT(EDATE($D45,Milestones!$AA$167),"dd/mm/yy")&amp;" "&amp;Milestones!$AB$167&amp;" "&amp;Milestones!$AC$167&amp;";  ","")&amp;IF(AND(EDATE($D45,Milestones!$AA$168)&lt;=AsOfDate,IF($Q45=0,$W45,IF(AND($S45&lt;&gt;"",EDATE($D45,Milestones!$AA$168)&gt;=$S45),$V45,IF(AND($R45&lt;&gt;"",EDATE($D45,Milestones!$AA$168)&gt;=$R45),$U45,$T45)))=Milestones!$AB$168),TEXT(EDATE($D45,Milestones!$AA$168),"dd/mm/yy")&amp;" "&amp;Milestones!$AB$168&amp;" "&amp;Milestones!$AC$168&amp;";  ","")&amp;IF(AND(EDATE($D45,Milestones!$AA$169)&lt;=AsOfDate,IF($Q45=0,$W45,IF(AND($S45&lt;&gt;"",EDATE($D45,Milestones!$AA$169)&gt;=$S45),$V45,IF(AND($R45&lt;&gt;"",EDATE($D45,Milestones!$AA$169)&gt;=$R45),$U45,$T45)))=Milestones!$AB$169),TEXT(EDATE($D45,Milestones!$AA$169),"dd/mm/yy")&amp;" "&amp;Milestones!$AB$169&amp;" "&amp;Milestones!$AC$169&amp;";  ","")&amp;IF(AND(EDATE($D45,Milestones!$AA$170)&lt;=AsOfDate,IF($Q45=0,$W45,IF(AND($S45&lt;&gt;"",EDATE($D45,Milestones!$AA$170)&gt;=$S45),$V45,IF(AND($R45&lt;&gt;"",EDATE($D45,Milestones!$AA$170)&gt;=$R45),$U45,$T45)))=Milestones!$AB$170),TEXT(EDATE($D45,Milestones!$AA$170),"dd/mm/yy")&amp;" "&amp;Milestones!$AB$170&amp;" "&amp;Milestones!$AC$170&amp;";  ","")&amp;IF(AND(EDATE($D45,Milestones!$AA$171)&lt;=AsOfDate,IF($Q45=0,$W45,IF(AND($S45&lt;&gt;"",EDATE($D45,Milestones!$AA$171)&gt;=$S45),$V45,IF(AND($R45&lt;&gt;"",EDATE($D45,Milestones!$AA$171)&gt;=$R45),$U45,$T45)))=Milestones!$AB$171),TEXT(EDATE($D45,Milestones!$AA$171),"dd/mm/yy")&amp;" "&amp;Milestones!$AB$171&amp;" "&amp;Milestones!$AC$171&amp;";  ","")&amp;IF(AND(EDATE($D45,Milestones!$AA$172)&lt;=AsOfDate,IF($Q45=0,$W45,IF(AND($S45&lt;&gt;"",EDATE($D45,Milestones!$AA$172)&gt;=$S45),$V45,IF(AND($R45&lt;&gt;"",EDATE($D45,Milestones!$AA$172)&gt;=$R45),$U45,$T45)))=Milestones!$AB$172),TEXT(EDATE($D45,Milestones!$AA$172),"dd/mm/yy")&amp;" "&amp;Milestones!$AB$172&amp;" "&amp;Milestones!$AC$172&amp;";  ","")&amp;IF(AND(EDATE($D45,Milestones!$AA$173)&lt;=AsOfDate,IF($Q45=0,$W45,IF(AND($S45&lt;&gt;"",EDATE($D45,Milestones!$AA$173)&gt;=$S45),$V45,IF(AND($R45&lt;&gt;"",EDATE($D45,Milestones!$AA$173)&gt;=$R45),$U45,$T45)))=Milestones!$AB$173),TEXT(EDATE($D45,Milestones!$AA$173),"dd/mm/yy")&amp;" "&amp;Milestones!$AB$173&amp;" "&amp;Milestones!$AC$173&amp;";  ","")&amp;IF(AND(EDATE($D45,Milestones!$AA$174)&lt;=AsOfDate,IF($Q45=0,$W45,IF(AND($S45&lt;&gt;"",EDATE($D45,Milestones!$AA$174)&gt;=$S45),$V45,IF(AND($R45&lt;&gt;"",EDATE($D45,Milestones!$AA$174)&gt;=$R45),$U45,$T45)))=Milestones!$AB$174),TEXT(EDATE($D45,Milestones!$AA$174),"dd/mm/yy")&amp;" "&amp;Milestones!$AB$174&amp;" "&amp;Milestones!$AC$174&amp;";  ","")&amp;IF(AND(EDATE($D45,Milestones!$AA$175)&lt;=AsOfDate,IF($Q45=0,$W45,IF(AND($S45&lt;&gt;"",EDATE($D45,Milestones!$AA$175)&gt;=$S45),$V45,IF(AND($R45&lt;&gt;"",EDATE($D45,Milestones!$AA$175)&gt;=$R45),$U45,$T45)))=Milestones!$AB$175),TEXT(EDATE($D45,Milestones!$AA$175),"dd/mm/yy")&amp;" "&amp;Milestones!$AB$175&amp;" "&amp;Milestones!$AC$175&amp;";  ","")&amp;IF(AND(EDATE($D45,Milestones!$AA$176)&lt;=AsOfDate,IF($Q45=0,$W45,IF(AND($S45&lt;&gt;"",EDATE($D45,Milestones!$AA$176)&gt;=$S45),$V45,IF(AND($R45&lt;&gt;"",EDATE($D45,Milestones!$AA$176)&gt;=$R45),$U45,$T45)))=Milestones!$AB$176),TEXT(EDATE($D45,Milestones!$AA$176),"dd/mm/yy")&amp;" "&amp;Milestones!$AB$176&amp;" "&amp;Milestones!$AC$176&amp;";  ","")&amp;IF(AND(EDATE($D45,Milestones!$AA$177)&lt;=AsOfDate,IF($Q45=0,$W45,IF(AND($S45&lt;&gt;"",EDATE($D45,Milestones!$AA$177)&gt;=$S45),$V45,IF(AND($R45&lt;&gt;"",EDATE($D45,Milestones!$AA$177)&gt;=$R45),$U45,$T45)))=Milestones!$AB$177),TEXT(EDATE($D45,Milestones!$AA$177),"dd/mm/yy")&amp;" "&amp;Milestones!$AB$177&amp;" "&amp;Milestones!$AC$177&amp;";  ","")&amp;IF(AND(EDATE($D45,Milestones!$AA$178)&lt;=AsOfDate,IF($Q45=0,$W45,IF(AND($S45&lt;&gt;"",EDATE($D45,Milestones!$AA$178)&gt;=$S45),$V45,IF(AND($R45&lt;&gt;"",EDATE($D45,Milestones!$AA$178)&gt;=$R45),$U45,$T45)))=Milestones!$AB$178),TEXT(EDATE($D45,Milestones!$AA$178),"dd/mm/yy")&amp;" "&amp;Milestones!$AB$178&amp;" "&amp;Milestones!$AC$178&amp;";  ","")&amp;IF(AND(EDATE($D45,Milestones!$AA$179)&lt;=AsOfDate,IF($Q45=0,$W45,IF(AND($S45&lt;&gt;"",EDATE($D45,Milestones!$AA$179)&gt;=$S45),$V45,IF(AND($R45&lt;&gt;"",EDATE($D45,Milestones!$AA$179)&gt;=$R45),$U45,$T45)))=Milestones!$AB$179),TEXT(EDATE($D45,Milestones!$AA$179),"dd/mm/yy")&amp;" "&amp;Milestones!$AB$179&amp;" "&amp;Milestones!$AC$179&amp;";  ",""))</f>
        <v/>
      </c>
      <c r="P45" s="0" t="str">
        <f aca="false">IF(OR($A45="",$D45=""),"",IF(AND(EDATE($D45,Milestones!$AA$180)&lt;=AsOfDate,IF($Q45=0,$W45,IF(AND($S45&lt;&gt;"",EDATE($D45,Milestones!$AA$180)&gt;=$S45),$V45,IF(AND($R45&lt;&gt;"",EDATE($D45,Milestones!$AA$180)&gt;=$R45),$U45,$T45)))=Milestones!$AB$180),TEXT(EDATE($D45,Milestones!$AA$180),"dd/mm/yy")&amp;" "&amp;Milestones!$AB$180&amp;" "&amp;Milestones!$AC$180&amp;";  ","")&amp;IF(AND(EDATE($D45,Milestones!$AA$181)&lt;=AsOfDate,IF($Q45=0,$W45,IF(AND($S45&lt;&gt;"",EDATE($D45,Milestones!$AA$181)&gt;=$S45),$V45,IF(AND($R45&lt;&gt;"",EDATE($D45,Milestones!$AA$181)&gt;=$R45),$U45,$T45)))=Milestones!$AB$181),TEXT(EDATE($D45,Milestones!$AA$181),"dd/mm/yy")&amp;" "&amp;Milestones!$AB$181&amp;" "&amp;Milestones!$AC$181&amp;";  ","")&amp;IF(AND(EDATE($D45,Milestones!$AA$182)&lt;=AsOfDate,IF($Q45=0,$W45,IF(AND($S45&lt;&gt;"",EDATE($D45,Milestones!$AA$182)&gt;=$S45),$V45,IF(AND($R45&lt;&gt;"",EDATE($D45,Milestones!$AA$182)&gt;=$R45),$U45,$T45)))=Milestones!$AB$182),TEXT(EDATE($D45,Milestones!$AA$182),"dd/mm/yy")&amp;" "&amp;Milestones!$AB$182&amp;" "&amp;Milestones!$AC$182&amp;";  ","")&amp;IF(AND(EDATE($D45,Milestones!$AA$183)&lt;=AsOfDate,IF($Q45=0,$W45,IF(AND($S45&lt;&gt;"",EDATE($D45,Milestones!$AA$183)&gt;=$S45),$V45,IF(AND($R45&lt;&gt;"",EDATE($D45,Milestones!$AA$183)&gt;=$R45),$U45,$T45)))=Milestones!$AB$183),TEXT(EDATE($D45,Milestones!$AA$183),"dd/mm/yy")&amp;" "&amp;Milestones!$AB$183&amp;" "&amp;Milestones!$AC$183&amp;";  ","")&amp;IF(AND(EDATE($D45,Milestones!$AA$184)&lt;=AsOfDate,IF($Q45=0,$W45,IF(AND($S45&lt;&gt;"",EDATE($D45,Milestones!$AA$184)&gt;=$S45),$V45,IF(AND($R45&lt;&gt;"",EDATE($D45,Milestones!$AA$184)&gt;=$R45),$U45,$T45)))=Milestones!$AB$184),TEXT(EDATE($D45,Milestones!$AA$184),"dd/mm/yy")&amp;" "&amp;Milestones!$AB$184&amp;" "&amp;Milestones!$AC$184&amp;";  ","")&amp;IF(AND(EDATE($D45,Milestones!$AA$185)&lt;=AsOfDate,IF($Q45=0,$W45,IF(AND($S45&lt;&gt;"",EDATE($D45,Milestones!$AA$185)&gt;=$S45),$V45,IF(AND($R45&lt;&gt;"",EDATE($D45,Milestones!$AA$185)&gt;=$R45),$U45,$T45)))=Milestones!$AB$185),TEXT(EDATE($D45,Milestones!$AA$185),"dd/mm/yy")&amp;" "&amp;Milestones!$AB$185&amp;" "&amp;Milestones!$AC$185&amp;";  ","")&amp;IF(AND(EDATE($D45,Milestones!$AA$186)&lt;=AsOfDate,IF($Q45=0,$W45,IF(AND($S45&lt;&gt;"",EDATE($D45,Milestones!$AA$186)&gt;=$S45),$V45,IF(AND($R45&lt;&gt;"",EDATE($D45,Milestones!$AA$186)&gt;=$R45),$U45,$T45)))=Milestones!$AB$186),TEXT(EDATE($D45,Milestones!$AA$186),"dd/mm/yy")&amp;" "&amp;Milestones!$AB$186&amp;" "&amp;Milestones!$AC$186&amp;";  ","")&amp;IF(AND(EDATE($D45,Milestones!$AA$187)&lt;=AsOfDate,IF($Q45=0,$W45,IF(AND($S45&lt;&gt;"",EDATE($D45,Milestones!$AA$187)&gt;=$S45),$V45,IF(AND($R45&lt;&gt;"",EDATE($D45,Milestones!$AA$187)&gt;=$R45),$U45,$T45)))=Milestones!$AB$187),TEXT(EDATE($D45,Milestones!$AA$187),"dd/mm/yy")&amp;" "&amp;Milestones!$AB$187&amp;" "&amp;Milestones!$AC$187&amp;";  ","")&amp;IF(AND(EDATE($D45,Milestones!$AA$188)&lt;=AsOfDate,IF($Q45=0,$W45,IF(AND($S45&lt;&gt;"",EDATE($D45,Milestones!$AA$188)&gt;=$S45),$V45,IF(AND($R45&lt;&gt;"",EDATE($D45,Milestones!$AA$188)&gt;=$R45),$U45,$T45)))=Milestones!$AB$188),TEXT(EDATE($D45,Milestones!$AA$188),"dd/mm/yy")&amp;" "&amp;Milestones!$AB$188&amp;" "&amp;Milestones!$AC$188&amp;";  ","")&amp;IF(AND(EDATE($D45,Milestones!$AA$189)&lt;=AsOfDate,IF($Q45=0,$W45,IF(AND($S45&lt;&gt;"",EDATE($D45,Milestones!$AA$189)&gt;=$S45),$V45,IF(AND($R45&lt;&gt;"",EDATE($D45,Milestones!$AA$189)&gt;=$R45),$U45,$T45)))=Milestones!$AB$189),TEXT(EDATE($D45,Milestones!$AA$189),"dd/mm/yy")&amp;" "&amp;Milestones!$AB$189&amp;" "&amp;Milestones!$AC$189&amp;";  ","")&amp;IF(AND(EDATE($D45,Milestones!$AA$190)&lt;=AsOfDate,IF($Q45=0,$W45,IF(AND($S45&lt;&gt;"",EDATE($D45,Milestones!$AA$190)&gt;=$S45),$V45,IF(AND($R45&lt;&gt;"",EDATE($D45,Milestones!$AA$190)&gt;=$R45),$U45,$T45)))=Milestones!$AB$190),TEXT(EDATE($D45,Milestones!$AA$190),"dd/mm/yy")&amp;" "&amp;Milestones!$AB$190&amp;" "&amp;Milestones!$AC$190&amp;";  ","")&amp;IF(AND(EDATE($D45,Milestones!$AA$191)&lt;=AsOfDate,IF($Q45=0,$W45,IF(AND($S45&lt;&gt;"",EDATE($D45,Milestones!$AA$191)&gt;=$S45),$V45,IF(AND($R45&lt;&gt;"",EDATE($D45,Milestones!$AA$191)&gt;=$R45),$U45,$T45)))=Milestones!$AB$191),TEXT(EDATE($D45,Milestones!$AA$191),"dd/mm/yy")&amp;" "&amp;Milestones!$AB$191&amp;" "&amp;Milestones!$AC$191&amp;";  ","")&amp;IF(AND(EDATE($D45,Milestones!$AA$192)&lt;=AsOfDate,IF($Q45=0,$W45,IF(AND($S45&lt;&gt;"",EDATE($D45,Milestones!$AA$192)&gt;=$S45),$V45,IF(AND($R45&lt;&gt;"",EDATE($D45,Milestones!$AA$192)&gt;=$R45),$U45,$T45)))=Milestones!$AB$192),TEXT(EDATE($D45,Milestones!$AA$192),"dd/mm/yy")&amp;" "&amp;Milestones!$AB$192&amp;" "&amp;Milestones!$AC$192&amp;";  ","")&amp;IF(AND(EDATE($D45,Milestones!$AA$193)&lt;=AsOfDate,IF($Q45=0,$W45,IF(AND($S45&lt;&gt;"",EDATE($D45,Milestones!$AA$193)&gt;=$S45),$V45,IF(AND($R45&lt;&gt;"",EDATE($D45,Milestones!$AA$193)&gt;=$R45),$U45,$T45)))=Milestones!$AB$193),TEXT(EDATE($D45,Milestones!$AA$193),"dd/mm/yy")&amp;" "&amp;Milestones!$AB$193&amp;" "&amp;Milestones!$AC$193&amp;";  ","")&amp;IF(AND(EDATE($D45,Milestones!$AA$194)&lt;=AsOfDate,IF($Q45=0,$W45,IF(AND($S45&lt;&gt;"",EDATE($D45,Milestones!$AA$194)&gt;=$S45),$V45,IF(AND($R45&lt;&gt;"",EDATE($D45,Milestones!$AA$194)&gt;=$R45),$U45,$T45)))=Milestones!$AB$194),TEXT(EDATE($D45,Milestones!$AA$194),"dd/mm/yy")&amp;" "&amp;Milestones!$AB$194&amp;" "&amp;Milestones!$AC$194&amp;";  ","")&amp;IF(AND(EDATE($D45,Milestones!$AA$195)&lt;=AsOfDate,IF($Q45=0,$W45,IF(AND($S45&lt;&gt;"",EDATE($D45,Milestones!$AA$195)&gt;=$S45),$V45,IF(AND($R45&lt;&gt;"",EDATE($D45,Milestones!$AA$195)&gt;=$R45),$U45,$T45)))=Milestones!$AB$195),TEXT(EDATE($D45,Milestones!$AA$195),"dd/mm/yy")&amp;" "&amp;Milestones!$AB$195&amp;" "&amp;Milestones!$AC$195&amp;";  ","")&amp;IF(AND(EDATE($D45,Milestones!$AA$196)&lt;=AsOfDate,IF($Q45=0,$W45,IF(AND($S45&lt;&gt;"",EDATE($D45,Milestones!$AA$196)&gt;=$S45),$V45,IF(AND($R45&lt;&gt;"",EDATE($D45,Milestones!$AA$196)&gt;=$R45),$U45,$T45)))=Milestones!$AB$196),TEXT(EDATE($D45,Milestones!$AA$196),"dd/mm/yy")&amp;" "&amp;Milestones!$AB$196&amp;" "&amp;Milestones!$AC$196&amp;";  ","")&amp;IF(AND(EDATE($D45,Milestones!$AA$197)&lt;=AsOfDate,IF($Q45=0,$W45,IF(AND($S45&lt;&gt;"",EDATE($D45,Milestones!$AA$197)&gt;=$S45),$V45,IF(AND($R45&lt;&gt;"",EDATE($D45,Milestones!$AA$197)&gt;=$R45),$U45,$T45)))=Milestones!$AB$197),TEXT(EDATE($D45,Milestones!$AA$197),"dd/mm/yy")&amp;" "&amp;Milestones!$AB$197&amp;" "&amp;Milestones!$AC$197&amp;";  ","")&amp;IF(AND(EDATE($D45,Milestones!$AA$198)&lt;=AsOfDate,IF($Q45=0,$W45,IF(AND($S45&lt;&gt;"",EDATE($D45,Milestones!$AA$198)&gt;=$S45),$V45,IF(AND($R45&lt;&gt;"",EDATE($D45,Milestones!$AA$198)&gt;=$R45),$U45,$T45)))=Milestones!$AB$198),TEXT(EDATE($D45,Milestones!$AA$198),"dd/mm/yy")&amp;" "&amp;Milestones!$AB$198&amp;" "&amp;Milestones!$AC$198&amp;";  ","")&amp;IF(AND(EDATE($D45,Milestones!$AA$199)&lt;=AsOfDate,IF($Q45=0,$W45,IF(AND($S45&lt;&gt;"",EDATE($D45,Milestones!$AA$199)&gt;=$S45),$V45,IF(AND($R45&lt;&gt;"",EDATE($D45,Milestones!$AA$199)&gt;=$R45),$U45,$T45)))=Milestones!$AB$199),TEXT(EDATE($D45,Milestones!$AA$199),"dd/mm/yy")&amp;" "&amp;Milestones!$AB$199&amp;" "&amp;Milestones!$AC$199&amp;";  ",""))</f>
        <v/>
      </c>
      <c r="Q45" s="0" t="str">
        <f aca="false">IF(Staff!$A45="","",Staff!$AG45)</f>
        <v/>
      </c>
      <c r="R45" s="0" t="str">
        <f aca="false">IF(Staff!$A45="","",Staff!$AI45)</f>
        <v/>
      </c>
      <c r="S45" s="0" t="str">
        <f aca="false">IF(Staff!$A45="","",Staff!$AJ45)</f>
        <v/>
      </c>
      <c r="T45" s="0" t="str">
        <f aca="false">IF(Staff!$A45="","",Staff!$AN45)</f>
        <v/>
      </c>
      <c r="U45" s="0" t="str">
        <f aca="false">IF(Staff!$A45="","",Staff!$AO45)</f>
        <v/>
      </c>
      <c r="V45" s="0" t="str">
        <f aca="false">IF(Staff!$A45="","",Staff!$AP45)</f>
        <v/>
      </c>
      <c r="W45" s="0" t="str">
        <f aca="false">IF(Staff!$A45="","",Staff!$AQ45)</f>
        <v/>
      </c>
    </row>
    <row r="46" customFormat="false" ht="15" hidden="false" customHeight="false" outlineLevel="0" collapsed="false">
      <c r="A46" s="13" t="str">
        <f aca="false">IF(Staff!$A46="","",Staff!$A46)</f>
        <v/>
      </c>
      <c r="B46" s="13" t="str">
        <f aca="false">IF(Staff!$A46="","",Staff!$B46)</f>
        <v/>
      </c>
      <c r="C46" s="13" t="str">
        <f aca="false">IF(Staff!$A46="","",Staff!$C46)</f>
        <v/>
      </c>
      <c r="D46" s="11" t="str">
        <f aca="false">IF(Staff!$A46="","",Staff!$AF46)</f>
        <v/>
      </c>
      <c r="E46" s="13" t="str">
        <f aca="false">IF(Staff!$A46="","",Staff!$O46)</f>
        <v/>
      </c>
      <c r="F46" s="13" t="str">
        <f aca="false">IF(E46="","",E46*HoursPerDay)</f>
        <v/>
      </c>
      <c r="G46" s="26" t="str">
        <f aca="false">IF($A46="","",H46&amp;I46&amp;J46&amp;K46&amp;L46&amp;M46&amp;N46&amp;O46&amp;P46)</f>
        <v/>
      </c>
      <c r="H46" s="0" t="str">
        <f aca="false">IF(OR($A46="",$D46=""),"",IF(AND(EDATE($D46,Milestones!$AA$20)&lt;=AsOfDate,IF($Q46=0,$W46,IF(AND($S46&lt;&gt;"",EDATE($D46,Milestones!$AA$20)&gt;=$S46),$V46,IF(AND($R46&lt;&gt;"",EDATE($D46,Milestones!$AA$20)&gt;=$R46),$U46,$T46)))=Milestones!$AB$20),TEXT(EDATE($D46,Milestones!$AA$20),"dd/mm/yy")&amp;" "&amp;Milestones!$AB$20&amp;" "&amp;Milestones!$AC$20&amp;";  ","")&amp;IF(AND(EDATE($D46,Milestones!$AA$21)&lt;=AsOfDate,IF($Q46=0,$W46,IF(AND($S46&lt;&gt;"",EDATE($D46,Milestones!$AA$21)&gt;=$S46),$V46,IF(AND($R46&lt;&gt;"",EDATE($D46,Milestones!$AA$21)&gt;=$R46),$U46,$T46)))=Milestones!$AB$21),TEXT(EDATE($D46,Milestones!$AA$21),"dd/mm/yy")&amp;" "&amp;Milestones!$AB$21&amp;" "&amp;Milestones!$AC$21&amp;";  ","")&amp;IF(AND(EDATE($D46,Milestones!$AA$22)&lt;=AsOfDate,IF($Q46=0,$W46,IF(AND($S46&lt;&gt;"",EDATE($D46,Milestones!$AA$22)&gt;=$S46),$V46,IF(AND($R46&lt;&gt;"",EDATE($D46,Milestones!$AA$22)&gt;=$R46),$U46,$T46)))=Milestones!$AB$22),TEXT(EDATE($D46,Milestones!$AA$22),"dd/mm/yy")&amp;" "&amp;Milestones!$AB$22&amp;" "&amp;Milestones!$AC$22&amp;";  ","")&amp;IF(AND(EDATE($D46,Milestones!$AA$23)&lt;=AsOfDate,IF($Q46=0,$W46,IF(AND($S46&lt;&gt;"",EDATE($D46,Milestones!$AA$23)&gt;=$S46),$V46,IF(AND($R46&lt;&gt;"",EDATE($D46,Milestones!$AA$23)&gt;=$R46),$U46,$T46)))=Milestones!$AB$23),TEXT(EDATE($D46,Milestones!$AA$23),"dd/mm/yy")&amp;" "&amp;Milestones!$AB$23&amp;" "&amp;Milestones!$AC$23&amp;";  ","")&amp;IF(AND(EDATE($D46,Milestones!$AA$24)&lt;=AsOfDate,IF($Q46=0,$W46,IF(AND($S46&lt;&gt;"",EDATE($D46,Milestones!$AA$24)&gt;=$S46),$V46,IF(AND($R46&lt;&gt;"",EDATE($D46,Milestones!$AA$24)&gt;=$R46),$U46,$T46)))=Milestones!$AB$24),TEXT(EDATE($D46,Milestones!$AA$24),"dd/mm/yy")&amp;" "&amp;Milestones!$AB$24&amp;" "&amp;Milestones!$AC$24&amp;";  ","")&amp;IF(AND(EDATE($D46,Milestones!$AA$25)&lt;=AsOfDate,IF($Q46=0,$W46,IF(AND($S46&lt;&gt;"",EDATE($D46,Milestones!$AA$25)&gt;=$S46),$V46,IF(AND($R46&lt;&gt;"",EDATE($D46,Milestones!$AA$25)&gt;=$R46),$U46,$T46)))=Milestones!$AB$25),TEXT(EDATE($D46,Milestones!$AA$25),"dd/mm/yy")&amp;" "&amp;Milestones!$AB$25&amp;" "&amp;Milestones!$AC$25&amp;";  ","")&amp;IF(AND(EDATE($D46,Milestones!$AA$26)&lt;=AsOfDate,IF($Q46=0,$W46,IF(AND($S46&lt;&gt;"",EDATE($D46,Milestones!$AA$26)&gt;=$S46),$V46,IF(AND($R46&lt;&gt;"",EDATE($D46,Milestones!$AA$26)&gt;=$R46),$U46,$T46)))=Milestones!$AB$26),TEXT(EDATE($D46,Milestones!$AA$26),"dd/mm/yy")&amp;" "&amp;Milestones!$AB$26&amp;" "&amp;Milestones!$AC$26&amp;";  ","")&amp;IF(AND(EDATE($D46,Milestones!$AA$27)&lt;=AsOfDate,IF($Q46=0,$W46,IF(AND($S46&lt;&gt;"",EDATE($D46,Milestones!$AA$27)&gt;=$S46),$V46,IF(AND($R46&lt;&gt;"",EDATE($D46,Milestones!$AA$27)&gt;=$R46),$U46,$T46)))=Milestones!$AB$27),TEXT(EDATE($D46,Milestones!$AA$27),"dd/mm/yy")&amp;" "&amp;Milestones!$AB$27&amp;" "&amp;Milestones!$AC$27&amp;";  ","")&amp;IF(AND(EDATE($D46,Milestones!$AA$28)&lt;=AsOfDate,IF($Q46=0,$W46,IF(AND($S46&lt;&gt;"",EDATE($D46,Milestones!$AA$28)&gt;=$S46),$V46,IF(AND($R46&lt;&gt;"",EDATE($D46,Milestones!$AA$28)&gt;=$R46),$U46,$T46)))=Milestones!$AB$28),TEXT(EDATE($D46,Milestones!$AA$28),"dd/mm/yy")&amp;" "&amp;Milestones!$AB$28&amp;" "&amp;Milestones!$AC$28&amp;";  ","")&amp;IF(AND(EDATE($D46,Milestones!$AA$29)&lt;=AsOfDate,IF($Q46=0,$W46,IF(AND($S46&lt;&gt;"",EDATE($D46,Milestones!$AA$29)&gt;=$S46),$V46,IF(AND($R46&lt;&gt;"",EDATE($D46,Milestones!$AA$29)&gt;=$R46),$U46,$T46)))=Milestones!$AB$29),TEXT(EDATE($D46,Milestones!$AA$29),"dd/mm/yy")&amp;" "&amp;Milestones!$AB$29&amp;" "&amp;Milestones!$AC$29&amp;";  ","")&amp;IF(AND(EDATE($D46,Milestones!$AA$30)&lt;=AsOfDate,IF($Q46=0,$W46,IF(AND($S46&lt;&gt;"",EDATE($D46,Milestones!$AA$30)&gt;=$S46),$V46,IF(AND($R46&lt;&gt;"",EDATE($D46,Milestones!$AA$30)&gt;=$R46),$U46,$T46)))=Milestones!$AB$30),TEXT(EDATE($D46,Milestones!$AA$30),"dd/mm/yy")&amp;" "&amp;Milestones!$AB$30&amp;" "&amp;Milestones!$AC$30&amp;";  ","")&amp;IF(AND(EDATE($D46,Milestones!$AA$31)&lt;=AsOfDate,IF($Q46=0,$W46,IF(AND($S46&lt;&gt;"",EDATE($D46,Milestones!$AA$31)&gt;=$S46),$V46,IF(AND($R46&lt;&gt;"",EDATE($D46,Milestones!$AA$31)&gt;=$R46),$U46,$T46)))=Milestones!$AB$31),TEXT(EDATE($D46,Milestones!$AA$31),"dd/mm/yy")&amp;" "&amp;Milestones!$AB$31&amp;" "&amp;Milestones!$AC$31&amp;";  ","")&amp;IF(AND(EDATE($D46,Milestones!$AA$32)&lt;=AsOfDate,IF($Q46=0,$W46,IF(AND($S46&lt;&gt;"",EDATE($D46,Milestones!$AA$32)&gt;=$S46),$V46,IF(AND($R46&lt;&gt;"",EDATE($D46,Milestones!$AA$32)&gt;=$R46),$U46,$T46)))=Milestones!$AB$32),TEXT(EDATE($D46,Milestones!$AA$32),"dd/mm/yy")&amp;" "&amp;Milestones!$AB$32&amp;" "&amp;Milestones!$AC$32&amp;";  ","")&amp;IF(AND(EDATE($D46,Milestones!$AA$33)&lt;=AsOfDate,IF($Q46=0,$W46,IF(AND($S46&lt;&gt;"",EDATE($D46,Milestones!$AA$33)&gt;=$S46),$V46,IF(AND($R46&lt;&gt;"",EDATE($D46,Milestones!$AA$33)&gt;=$R46),$U46,$T46)))=Milestones!$AB$33),TEXT(EDATE($D46,Milestones!$AA$33),"dd/mm/yy")&amp;" "&amp;Milestones!$AB$33&amp;" "&amp;Milestones!$AC$33&amp;";  ","")&amp;IF(AND(EDATE($D46,Milestones!$AA$34)&lt;=AsOfDate,IF($Q46=0,$W46,IF(AND($S46&lt;&gt;"",EDATE($D46,Milestones!$AA$34)&gt;=$S46),$V46,IF(AND($R46&lt;&gt;"",EDATE($D46,Milestones!$AA$34)&gt;=$R46),$U46,$T46)))=Milestones!$AB$34),TEXT(EDATE($D46,Milestones!$AA$34),"dd/mm/yy")&amp;" "&amp;Milestones!$AB$34&amp;" "&amp;Milestones!$AC$34&amp;";  ","")&amp;IF(AND(EDATE($D46,Milestones!$AA$35)&lt;=AsOfDate,IF($Q46=0,$W46,IF(AND($S46&lt;&gt;"",EDATE($D46,Milestones!$AA$35)&gt;=$S46),$V46,IF(AND($R46&lt;&gt;"",EDATE($D46,Milestones!$AA$35)&gt;=$R46),$U46,$T46)))=Milestones!$AB$35),TEXT(EDATE($D46,Milestones!$AA$35),"dd/mm/yy")&amp;" "&amp;Milestones!$AB$35&amp;" "&amp;Milestones!$AC$35&amp;";  ","")&amp;IF(AND(EDATE($D46,Milestones!$AA$36)&lt;=AsOfDate,IF($Q46=0,$W46,IF(AND($S46&lt;&gt;"",EDATE($D46,Milestones!$AA$36)&gt;=$S46),$V46,IF(AND($R46&lt;&gt;"",EDATE($D46,Milestones!$AA$36)&gt;=$R46),$U46,$T46)))=Milestones!$AB$36),TEXT(EDATE($D46,Milestones!$AA$36),"dd/mm/yy")&amp;" "&amp;Milestones!$AB$36&amp;" "&amp;Milestones!$AC$36&amp;";  ","")&amp;IF(AND(EDATE($D46,Milestones!$AA$37)&lt;=AsOfDate,IF($Q46=0,$W46,IF(AND($S46&lt;&gt;"",EDATE($D46,Milestones!$AA$37)&gt;=$S46),$V46,IF(AND($R46&lt;&gt;"",EDATE($D46,Milestones!$AA$37)&gt;=$R46),$U46,$T46)))=Milestones!$AB$37),TEXT(EDATE($D46,Milestones!$AA$37),"dd/mm/yy")&amp;" "&amp;Milestones!$AB$37&amp;" "&amp;Milestones!$AC$37&amp;";  ","")&amp;IF(AND(EDATE($D46,Milestones!$AA$38)&lt;=AsOfDate,IF($Q46=0,$W46,IF(AND($S46&lt;&gt;"",EDATE($D46,Milestones!$AA$38)&gt;=$S46),$V46,IF(AND($R46&lt;&gt;"",EDATE($D46,Milestones!$AA$38)&gt;=$R46),$U46,$T46)))=Milestones!$AB$38),TEXT(EDATE($D46,Milestones!$AA$38),"dd/mm/yy")&amp;" "&amp;Milestones!$AB$38&amp;" "&amp;Milestones!$AC$38&amp;";  ","")&amp;IF(AND(EDATE($D46,Milestones!$AA$39)&lt;=AsOfDate,IF($Q46=0,$W46,IF(AND($S46&lt;&gt;"",EDATE($D46,Milestones!$AA$39)&gt;=$S46),$V46,IF(AND($R46&lt;&gt;"",EDATE($D46,Milestones!$AA$39)&gt;=$R46),$U46,$T46)))=Milestones!$AB$39),TEXT(EDATE($D46,Milestones!$AA$39),"dd/mm/yy")&amp;" "&amp;Milestones!$AB$39&amp;" "&amp;Milestones!$AC$39&amp;";  ",""))</f>
        <v/>
      </c>
      <c r="I46" s="0" t="str">
        <f aca="false">IF(OR($A46="",$D46=""),"",IF(AND(EDATE($D46,Milestones!$AA$40)&lt;=AsOfDate,IF($Q46=0,$W46,IF(AND($S46&lt;&gt;"",EDATE($D46,Milestones!$AA$40)&gt;=$S46),$V46,IF(AND($R46&lt;&gt;"",EDATE($D46,Milestones!$AA$40)&gt;=$R46),$U46,$T46)))=Milestones!$AB$40),TEXT(EDATE($D46,Milestones!$AA$40),"dd/mm/yy")&amp;" "&amp;Milestones!$AB$40&amp;" "&amp;Milestones!$AC$40&amp;";  ","")&amp;IF(AND(EDATE($D46,Milestones!$AA$41)&lt;=AsOfDate,IF($Q46=0,$W46,IF(AND($S46&lt;&gt;"",EDATE($D46,Milestones!$AA$41)&gt;=$S46),$V46,IF(AND($R46&lt;&gt;"",EDATE($D46,Milestones!$AA$41)&gt;=$R46),$U46,$T46)))=Milestones!$AB$41),TEXT(EDATE($D46,Milestones!$AA$41),"dd/mm/yy")&amp;" "&amp;Milestones!$AB$41&amp;" "&amp;Milestones!$AC$41&amp;";  ","")&amp;IF(AND(EDATE($D46,Milestones!$AA$42)&lt;=AsOfDate,IF($Q46=0,$W46,IF(AND($S46&lt;&gt;"",EDATE($D46,Milestones!$AA$42)&gt;=$S46),$V46,IF(AND($R46&lt;&gt;"",EDATE($D46,Milestones!$AA$42)&gt;=$R46),$U46,$T46)))=Milestones!$AB$42),TEXT(EDATE($D46,Milestones!$AA$42),"dd/mm/yy")&amp;" "&amp;Milestones!$AB$42&amp;" "&amp;Milestones!$AC$42&amp;";  ","")&amp;IF(AND(EDATE($D46,Milestones!$AA$43)&lt;=AsOfDate,IF($Q46=0,$W46,IF(AND($S46&lt;&gt;"",EDATE($D46,Milestones!$AA$43)&gt;=$S46),$V46,IF(AND($R46&lt;&gt;"",EDATE($D46,Milestones!$AA$43)&gt;=$R46),$U46,$T46)))=Milestones!$AB$43),TEXT(EDATE($D46,Milestones!$AA$43),"dd/mm/yy")&amp;" "&amp;Milestones!$AB$43&amp;" "&amp;Milestones!$AC$43&amp;";  ","")&amp;IF(AND(EDATE($D46,Milestones!$AA$44)&lt;=AsOfDate,IF($Q46=0,$W46,IF(AND($S46&lt;&gt;"",EDATE($D46,Milestones!$AA$44)&gt;=$S46),$V46,IF(AND($R46&lt;&gt;"",EDATE($D46,Milestones!$AA$44)&gt;=$R46),$U46,$T46)))=Milestones!$AB$44),TEXT(EDATE($D46,Milestones!$AA$44),"dd/mm/yy")&amp;" "&amp;Milestones!$AB$44&amp;" "&amp;Milestones!$AC$44&amp;";  ","")&amp;IF(AND(EDATE($D46,Milestones!$AA$45)&lt;=AsOfDate,IF($Q46=0,$W46,IF(AND($S46&lt;&gt;"",EDATE($D46,Milestones!$AA$45)&gt;=$S46),$V46,IF(AND($R46&lt;&gt;"",EDATE($D46,Milestones!$AA$45)&gt;=$R46),$U46,$T46)))=Milestones!$AB$45),TEXT(EDATE($D46,Milestones!$AA$45),"dd/mm/yy")&amp;" "&amp;Milestones!$AB$45&amp;" "&amp;Milestones!$AC$45&amp;";  ","")&amp;IF(AND(EDATE($D46,Milestones!$AA$46)&lt;=AsOfDate,IF($Q46=0,$W46,IF(AND($S46&lt;&gt;"",EDATE($D46,Milestones!$AA$46)&gt;=$S46),$V46,IF(AND($R46&lt;&gt;"",EDATE($D46,Milestones!$AA$46)&gt;=$R46),$U46,$T46)))=Milestones!$AB$46),TEXT(EDATE($D46,Milestones!$AA$46),"dd/mm/yy")&amp;" "&amp;Milestones!$AB$46&amp;" "&amp;Milestones!$AC$46&amp;";  ","")&amp;IF(AND(EDATE($D46,Milestones!$AA$47)&lt;=AsOfDate,IF($Q46=0,$W46,IF(AND($S46&lt;&gt;"",EDATE($D46,Milestones!$AA$47)&gt;=$S46),$V46,IF(AND($R46&lt;&gt;"",EDATE($D46,Milestones!$AA$47)&gt;=$R46),$U46,$T46)))=Milestones!$AB$47),TEXT(EDATE($D46,Milestones!$AA$47),"dd/mm/yy")&amp;" "&amp;Milestones!$AB$47&amp;" "&amp;Milestones!$AC$47&amp;";  ","")&amp;IF(AND(EDATE($D46,Milestones!$AA$48)&lt;=AsOfDate,IF($Q46=0,$W46,IF(AND($S46&lt;&gt;"",EDATE($D46,Milestones!$AA$48)&gt;=$S46),$V46,IF(AND($R46&lt;&gt;"",EDATE($D46,Milestones!$AA$48)&gt;=$R46),$U46,$T46)))=Milestones!$AB$48),TEXT(EDATE($D46,Milestones!$AA$48),"dd/mm/yy")&amp;" "&amp;Milestones!$AB$48&amp;" "&amp;Milestones!$AC$48&amp;";  ","")&amp;IF(AND(EDATE($D46,Milestones!$AA$49)&lt;=AsOfDate,IF($Q46=0,$W46,IF(AND($S46&lt;&gt;"",EDATE($D46,Milestones!$AA$49)&gt;=$S46),$V46,IF(AND($R46&lt;&gt;"",EDATE($D46,Milestones!$AA$49)&gt;=$R46),$U46,$T46)))=Milestones!$AB$49),TEXT(EDATE($D46,Milestones!$AA$49),"dd/mm/yy")&amp;" "&amp;Milestones!$AB$49&amp;" "&amp;Milestones!$AC$49&amp;";  ","")&amp;IF(AND(EDATE($D46,Milestones!$AA$50)&lt;=AsOfDate,IF($Q46=0,$W46,IF(AND($S46&lt;&gt;"",EDATE($D46,Milestones!$AA$50)&gt;=$S46),$V46,IF(AND($R46&lt;&gt;"",EDATE($D46,Milestones!$AA$50)&gt;=$R46),$U46,$T46)))=Milestones!$AB$50),TEXT(EDATE($D46,Milestones!$AA$50),"dd/mm/yy")&amp;" "&amp;Milestones!$AB$50&amp;" "&amp;Milestones!$AC$50&amp;";  ","")&amp;IF(AND(EDATE($D46,Milestones!$AA$51)&lt;=AsOfDate,IF($Q46=0,$W46,IF(AND($S46&lt;&gt;"",EDATE($D46,Milestones!$AA$51)&gt;=$S46),$V46,IF(AND($R46&lt;&gt;"",EDATE($D46,Milestones!$AA$51)&gt;=$R46),$U46,$T46)))=Milestones!$AB$51),TEXT(EDATE($D46,Milestones!$AA$51),"dd/mm/yy")&amp;" "&amp;Milestones!$AB$51&amp;" "&amp;Milestones!$AC$51&amp;";  ","")&amp;IF(AND(EDATE($D46,Milestones!$AA$52)&lt;=AsOfDate,IF($Q46=0,$W46,IF(AND($S46&lt;&gt;"",EDATE($D46,Milestones!$AA$52)&gt;=$S46),$V46,IF(AND($R46&lt;&gt;"",EDATE($D46,Milestones!$AA$52)&gt;=$R46),$U46,$T46)))=Milestones!$AB$52),TEXT(EDATE($D46,Milestones!$AA$52),"dd/mm/yy")&amp;" "&amp;Milestones!$AB$52&amp;" "&amp;Milestones!$AC$52&amp;";  ","")&amp;IF(AND(EDATE($D46,Milestones!$AA$53)&lt;=AsOfDate,IF($Q46=0,$W46,IF(AND($S46&lt;&gt;"",EDATE($D46,Milestones!$AA$53)&gt;=$S46),$V46,IF(AND($R46&lt;&gt;"",EDATE($D46,Milestones!$AA$53)&gt;=$R46),$U46,$T46)))=Milestones!$AB$53),TEXT(EDATE($D46,Milestones!$AA$53),"dd/mm/yy")&amp;" "&amp;Milestones!$AB$53&amp;" "&amp;Milestones!$AC$53&amp;";  ","")&amp;IF(AND(EDATE($D46,Milestones!$AA$54)&lt;=AsOfDate,IF($Q46=0,$W46,IF(AND($S46&lt;&gt;"",EDATE($D46,Milestones!$AA$54)&gt;=$S46),$V46,IF(AND($R46&lt;&gt;"",EDATE($D46,Milestones!$AA$54)&gt;=$R46),$U46,$T46)))=Milestones!$AB$54),TEXT(EDATE($D46,Milestones!$AA$54),"dd/mm/yy")&amp;" "&amp;Milestones!$AB$54&amp;" "&amp;Milestones!$AC$54&amp;";  ","")&amp;IF(AND(EDATE($D46,Milestones!$AA$55)&lt;=AsOfDate,IF($Q46=0,$W46,IF(AND($S46&lt;&gt;"",EDATE($D46,Milestones!$AA$55)&gt;=$S46),$V46,IF(AND($R46&lt;&gt;"",EDATE($D46,Milestones!$AA$55)&gt;=$R46),$U46,$T46)))=Milestones!$AB$55),TEXT(EDATE($D46,Milestones!$AA$55),"dd/mm/yy")&amp;" "&amp;Milestones!$AB$55&amp;" "&amp;Milestones!$AC$55&amp;";  ","")&amp;IF(AND(EDATE($D46,Milestones!$AA$56)&lt;=AsOfDate,IF($Q46=0,$W46,IF(AND($S46&lt;&gt;"",EDATE($D46,Milestones!$AA$56)&gt;=$S46),$V46,IF(AND($R46&lt;&gt;"",EDATE($D46,Milestones!$AA$56)&gt;=$R46),$U46,$T46)))=Milestones!$AB$56),TEXT(EDATE($D46,Milestones!$AA$56),"dd/mm/yy")&amp;" "&amp;Milestones!$AB$56&amp;" "&amp;Milestones!$AC$56&amp;";  ","")&amp;IF(AND(EDATE($D46,Milestones!$AA$57)&lt;=AsOfDate,IF($Q46=0,$W46,IF(AND($S46&lt;&gt;"",EDATE($D46,Milestones!$AA$57)&gt;=$S46),$V46,IF(AND($R46&lt;&gt;"",EDATE($D46,Milestones!$AA$57)&gt;=$R46),$U46,$T46)))=Milestones!$AB$57),TEXT(EDATE($D46,Milestones!$AA$57),"dd/mm/yy")&amp;" "&amp;Milestones!$AB$57&amp;" "&amp;Milestones!$AC$57&amp;";  ","")&amp;IF(AND(EDATE($D46,Milestones!$AA$58)&lt;=AsOfDate,IF($Q46=0,$W46,IF(AND($S46&lt;&gt;"",EDATE($D46,Milestones!$AA$58)&gt;=$S46),$V46,IF(AND($R46&lt;&gt;"",EDATE($D46,Milestones!$AA$58)&gt;=$R46),$U46,$T46)))=Milestones!$AB$58),TEXT(EDATE($D46,Milestones!$AA$58),"dd/mm/yy")&amp;" "&amp;Milestones!$AB$58&amp;" "&amp;Milestones!$AC$58&amp;";  ","")&amp;IF(AND(EDATE($D46,Milestones!$AA$59)&lt;=AsOfDate,IF($Q46=0,$W46,IF(AND($S46&lt;&gt;"",EDATE($D46,Milestones!$AA$59)&gt;=$S46),$V46,IF(AND($R46&lt;&gt;"",EDATE($D46,Milestones!$AA$59)&gt;=$R46),$U46,$T46)))=Milestones!$AB$59),TEXT(EDATE($D46,Milestones!$AA$59),"dd/mm/yy")&amp;" "&amp;Milestones!$AB$59&amp;" "&amp;Milestones!$AC$59&amp;";  ",""))</f>
        <v/>
      </c>
      <c r="J46" s="0" t="str">
        <f aca="false">IF(OR($A46="",$D46=""),"",IF(AND(EDATE($D46,Milestones!$AA$60)&lt;=AsOfDate,IF($Q46=0,$W46,IF(AND($S46&lt;&gt;"",EDATE($D46,Milestones!$AA$60)&gt;=$S46),$V46,IF(AND($R46&lt;&gt;"",EDATE($D46,Milestones!$AA$60)&gt;=$R46),$U46,$T46)))=Milestones!$AB$60),TEXT(EDATE($D46,Milestones!$AA$60),"dd/mm/yy")&amp;" "&amp;Milestones!$AB$60&amp;" "&amp;Milestones!$AC$60&amp;";  ","")&amp;IF(AND(EDATE($D46,Milestones!$AA$61)&lt;=AsOfDate,IF($Q46=0,$W46,IF(AND($S46&lt;&gt;"",EDATE($D46,Milestones!$AA$61)&gt;=$S46),$V46,IF(AND($R46&lt;&gt;"",EDATE($D46,Milestones!$AA$61)&gt;=$R46),$U46,$T46)))=Milestones!$AB$61),TEXT(EDATE($D46,Milestones!$AA$61),"dd/mm/yy")&amp;" "&amp;Milestones!$AB$61&amp;" "&amp;Milestones!$AC$61&amp;";  ","")&amp;IF(AND(EDATE($D46,Milestones!$AA$62)&lt;=AsOfDate,IF($Q46=0,$W46,IF(AND($S46&lt;&gt;"",EDATE($D46,Milestones!$AA$62)&gt;=$S46),$V46,IF(AND($R46&lt;&gt;"",EDATE($D46,Milestones!$AA$62)&gt;=$R46),$U46,$T46)))=Milestones!$AB$62),TEXT(EDATE($D46,Milestones!$AA$62),"dd/mm/yy")&amp;" "&amp;Milestones!$AB$62&amp;" "&amp;Milestones!$AC$62&amp;";  ","")&amp;IF(AND(EDATE($D46,Milestones!$AA$63)&lt;=AsOfDate,IF($Q46=0,$W46,IF(AND($S46&lt;&gt;"",EDATE($D46,Milestones!$AA$63)&gt;=$S46),$V46,IF(AND($R46&lt;&gt;"",EDATE($D46,Milestones!$AA$63)&gt;=$R46),$U46,$T46)))=Milestones!$AB$63),TEXT(EDATE($D46,Milestones!$AA$63),"dd/mm/yy")&amp;" "&amp;Milestones!$AB$63&amp;" "&amp;Milestones!$AC$63&amp;";  ","")&amp;IF(AND(EDATE($D46,Milestones!$AA$64)&lt;=AsOfDate,IF($Q46=0,$W46,IF(AND($S46&lt;&gt;"",EDATE($D46,Milestones!$AA$64)&gt;=$S46),$V46,IF(AND($R46&lt;&gt;"",EDATE($D46,Milestones!$AA$64)&gt;=$R46),$U46,$T46)))=Milestones!$AB$64),TEXT(EDATE($D46,Milestones!$AA$64),"dd/mm/yy")&amp;" "&amp;Milestones!$AB$64&amp;" "&amp;Milestones!$AC$64&amp;";  ","")&amp;IF(AND(EDATE($D46,Milestones!$AA$65)&lt;=AsOfDate,IF($Q46=0,$W46,IF(AND($S46&lt;&gt;"",EDATE($D46,Milestones!$AA$65)&gt;=$S46),$V46,IF(AND($R46&lt;&gt;"",EDATE($D46,Milestones!$AA$65)&gt;=$R46),$U46,$T46)))=Milestones!$AB$65),TEXT(EDATE($D46,Milestones!$AA$65),"dd/mm/yy")&amp;" "&amp;Milestones!$AB$65&amp;" "&amp;Milestones!$AC$65&amp;";  ","")&amp;IF(AND(EDATE($D46,Milestones!$AA$66)&lt;=AsOfDate,IF($Q46=0,$W46,IF(AND($S46&lt;&gt;"",EDATE($D46,Milestones!$AA$66)&gt;=$S46),$V46,IF(AND($R46&lt;&gt;"",EDATE($D46,Milestones!$AA$66)&gt;=$R46),$U46,$T46)))=Milestones!$AB$66),TEXT(EDATE($D46,Milestones!$AA$66),"dd/mm/yy")&amp;" "&amp;Milestones!$AB$66&amp;" "&amp;Milestones!$AC$66&amp;";  ","")&amp;IF(AND(EDATE($D46,Milestones!$AA$67)&lt;=AsOfDate,IF($Q46=0,$W46,IF(AND($S46&lt;&gt;"",EDATE($D46,Milestones!$AA$67)&gt;=$S46),$V46,IF(AND($R46&lt;&gt;"",EDATE($D46,Milestones!$AA$67)&gt;=$R46),$U46,$T46)))=Milestones!$AB$67),TEXT(EDATE($D46,Milestones!$AA$67),"dd/mm/yy")&amp;" "&amp;Milestones!$AB$67&amp;" "&amp;Milestones!$AC$67&amp;";  ","")&amp;IF(AND(EDATE($D46,Milestones!$AA$68)&lt;=AsOfDate,IF($Q46=0,$W46,IF(AND($S46&lt;&gt;"",EDATE($D46,Milestones!$AA$68)&gt;=$S46),$V46,IF(AND($R46&lt;&gt;"",EDATE($D46,Milestones!$AA$68)&gt;=$R46),$U46,$T46)))=Milestones!$AB$68),TEXT(EDATE($D46,Milestones!$AA$68),"dd/mm/yy")&amp;" "&amp;Milestones!$AB$68&amp;" "&amp;Milestones!$AC$68&amp;";  ","")&amp;IF(AND(EDATE($D46,Milestones!$AA$69)&lt;=AsOfDate,IF($Q46=0,$W46,IF(AND($S46&lt;&gt;"",EDATE($D46,Milestones!$AA$69)&gt;=$S46),$V46,IF(AND($R46&lt;&gt;"",EDATE($D46,Milestones!$AA$69)&gt;=$R46),$U46,$T46)))=Milestones!$AB$69),TEXT(EDATE($D46,Milestones!$AA$69),"dd/mm/yy")&amp;" "&amp;Milestones!$AB$69&amp;" "&amp;Milestones!$AC$69&amp;";  ","")&amp;IF(AND(EDATE($D46,Milestones!$AA$70)&lt;=AsOfDate,IF($Q46=0,$W46,IF(AND($S46&lt;&gt;"",EDATE($D46,Milestones!$AA$70)&gt;=$S46),$V46,IF(AND($R46&lt;&gt;"",EDATE($D46,Milestones!$AA$70)&gt;=$R46),$U46,$T46)))=Milestones!$AB$70),TEXT(EDATE($D46,Milestones!$AA$70),"dd/mm/yy")&amp;" "&amp;Milestones!$AB$70&amp;" "&amp;Milestones!$AC$70&amp;";  ","")&amp;IF(AND(EDATE($D46,Milestones!$AA$71)&lt;=AsOfDate,IF($Q46=0,$W46,IF(AND($S46&lt;&gt;"",EDATE($D46,Milestones!$AA$71)&gt;=$S46),$V46,IF(AND($R46&lt;&gt;"",EDATE($D46,Milestones!$AA$71)&gt;=$R46),$U46,$T46)))=Milestones!$AB$71),TEXT(EDATE($D46,Milestones!$AA$71),"dd/mm/yy")&amp;" "&amp;Milestones!$AB$71&amp;" "&amp;Milestones!$AC$71&amp;";  ","")&amp;IF(AND(EDATE($D46,Milestones!$AA$72)&lt;=AsOfDate,IF($Q46=0,$W46,IF(AND($S46&lt;&gt;"",EDATE($D46,Milestones!$AA$72)&gt;=$S46),$V46,IF(AND($R46&lt;&gt;"",EDATE($D46,Milestones!$AA$72)&gt;=$R46),$U46,$T46)))=Milestones!$AB$72),TEXT(EDATE($D46,Milestones!$AA$72),"dd/mm/yy")&amp;" "&amp;Milestones!$AB$72&amp;" "&amp;Milestones!$AC$72&amp;";  ","")&amp;IF(AND(EDATE($D46,Milestones!$AA$73)&lt;=AsOfDate,IF($Q46=0,$W46,IF(AND($S46&lt;&gt;"",EDATE($D46,Milestones!$AA$73)&gt;=$S46),$V46,IF(AND($R46&lt;&gt;"",EDATE($D46,Milestones!$AA$73)&gt;=$R46),$U46,$T46)))=Milestones!$AB$73),TEXT(EDATE($D46,Milestones!$AA$73),"dd/mm/yy")&amp;" "&amp;Milestones!$AB$73&amp;" "&amp;Milestones!$AC$73&amp;";  ","")&amp;IF(AND(EDATE($D46,Milestones!$AA$74)&lt;=AsOfDate,IF($Q46=0,$W46,IF(AND($S46&lt;&gt;"",EDATE($D46,Milestones!$AA$74)&gt;=$S46),$V46,IF(AND($R46&lt;&gt;"",EDATE($D46,Milestones!$AA$74)&gt;=$R46),$U46,$T46)))=Milestones!$AB$74),TEXT(EDATE($D46,Milestones!$AA$74),"dd/mm/yy")&amp;" "&amp;Milestones!$AB$74&amp;" "&amp;Milestones!$AC$74&amp;";  ","")&amp;IF(AND(EDATE($D46,Milestones!$AA$75)&lt;=AsOfDate,IF($Q46=0,$W46,IF(AND($S46&lt;&gt;"",EDATE($D46,Milestones!$AA$75)&gt;=$S46),$V46,IF(AND($R46&lt;&gt;"",EDATE($D46,Milestones!$AA$75)&gt;=$R46),$U46,$T46)))=Milestones!$AB$75),TEXT(EDATE($D46,Milestones!$AA$75),"dd/mm/yy")&amp;" "&amp;Milestones!$AB$75&amp;" "&amp;Milestones!$AC$75&amp;";  ","")&amp;IF(AND(EDATE($D46,Milestones!$AA$76)&lt;=AsOfDate,IF($Q46=0,$W46,IF(AND($S46&lt;&gt;"",EDATE($D46,Milestones!$AA$76)&gt;=$S46),$V46,IF(AND($R46&lt;&gt;"",EDATE($D46,Milestones!$AA$76)&gt;=$R46),$U46,$T46)))=Milestones!$AB$76),TEXT(EDATE($D46,Milestones!$AA$76),"dd/mm/yy")&amp;" "&amp;Milestones!$AB$76&amp;" "&amp;Milestones!$AC$76&amp;";  ","")&amp;IF(AND(EDATE($D46,Milestones!$AA$77)&lt;=AsOfDate,IF($Q46=0,$W46,IF(AND($S46&lt;&gt;"",EDATE($D46,Milestones!$AA$77)&gt;=$S46),$V46,IF(AND($R46&lt;&gt;"",EDATE($D46,Milestones!$AA$77)&gt;=$R46),$U46,$T46)))=Milestones!$AB$77),TEXT(EDATE($D46,Milestones!$AA$77),"dd/mm/yy")&amp;" "&amp;Milestones!$AB$77&amp;" "&amp;Milestones!$AC$77&amp;";  ","")&amp;IF(AND(EDATE($D46,Milestones!$AA$78)&lt;=AsOfDate,IF($Q46=0,$W46,IF(AND($S46&lt;&gt;"",EDATE($D46,Milestones!$AA$78)&gt;=$S46),$V46,IF(AND($R46&lt;&gt;"",EDATE($D46,Milestones!$AA$78)&gt;=$R46),$U46,$T46)))=Milestones!$AB$78),TEXT(EDATE($D46,Milestones!$AA$78),"dd/mm/yy")&amp;" "&amp;Milestones!$AB$78&amp;" "&amp;Milestones!$AC$78&amp;";  ","")&amp;IF(AND(EDATE($D46,Milestones!$AA$79)&lt;=AsOfDate,IF($Q46=0,$W46,IF(AND($S46&lt;&gt;"",EDATE($D46,Milestones!$AA$79)&gt;=$S46),$V46,IF(AND($R46&lt;&gt;"",EDATE($D46,Milestones!$AA$79)&gt;=$R46),$U46,$T46)))=Milestones!$AB$79),TEXT(EDATE($D46,Milestones!$AA$79),"dd/mm/yy")&amp;" "&amp;Milestones!$AB$79&amp;" "&amp;Milestones!$AC$79&amp;";  ",""))</f>
        <v/>
      </c>
      <c r="K46" s="0" t="str">
        <f aca="false">IF(OR($A46="",$D46=""),"",IF(AND(EDATE($D46,Milestones!$AA$80)&lt;=AsOfDate,IF($Q46=0,$W46,IF(AND($S46&lt;&gt;"",EDATE($D46,Milestones!$AA$80)&gt;=$S46),$V46,IF(AND($R46&lt;&gt;"",EDATE($D46,Milestones!$AA$80)&gt;=$R46),$U46,$T46)))=Milestones!$AB$80),TEXT(EDATE($D46,Milestones!$AA$80),"dd/mm/yy")&amp;" "&amp;Milestones!$AB$80&amp;" "&amp;Milestones!$AC$80&amp;";  ","")&amp;IF(AND(EDATE($D46,Milestones!$AA$81)&lt;=AsOfDate,IF($Q46=0,$W46,IF(AND($S46&lt;&gt;"",EDATE($D46,Milestones!$AA$81)&gt;=$S46),$V46,IF(AND($R46&lt;&gt;"",EDATE($D46,Milestones!$AA$81)&gt;=$R46),$U46,$T46)))=Milestones!$AB$81),TEXT(EDATE($D46,Milestones!$AA$81),"dd/mm/yy")&amp;" "&amp;Milestones!$AB$81&amp;" "&amp;Milestones!$AC$81&amp;";  ","")&amp;IF(AND(EDATE($D46,Milestones!$AA$82)&lt;=AsOfDate,IF($Q46=0,$W46,IF(AND($S46&lt;&gt;"",EDATE($D46,Milestones!$AA$82)&gt;=$S46),$V46,IF(AND($R46&lt;&gt;"",EDATE($D46,Milestones!$AA$82)&gt;=$R46),$U46,$T46)))=Milestones!$AB$82),TEXT(EDATE($D46,Milestones!$AA$82),"dd/mm/yy")&amp;" "&amp;Milestones!$AB$82&amp;" "&amp;Milestones!$AC$82&amp;";  ","")&amp;IF(AND(EDATE($D46,Milestones!$AA$83)&lt;=AsOfDate,IF($Q46=0,$W46,IF(AND($S46&lt;&gt;"",EDATE($D46,Milestones!$AA$83)&gt;=$S46),$V46,IF(AND($R46&lt;&gt;"",EDATE($D46,Milestones!$AA$83)&gt;=$R46),$U46,$T46)))=Milestones!$AB$83),TEXT(EDATE($D46,Milestones!$AA$83),"dd/mm/yy")&amp;" "&amp;Milestones!$AB$83&amp;" "&amp;Milestones!$AC$83&amp;";  ","")&amp;IF(AND(EDATE($D46,Milestones!$AA$84)&lt;=AsOfDate,IF($Q46=0,$W46,IF(AND($S46&lt;&gt;"",EDATE($D46,Milestones!$AA$84)&gt;=$S46),$V46,IF(AND($R46&lt;&gt;"",EDATE($D46,Milestones!$AA$84)&gt;=$R46),$U46,$T46)))=Milestones!$AB$84),TEXT(EDATE($D46,Milestones!$AA$84),"dd/mm/yy")&amp;" "&amp;Milestones!$AB$84&amp;" "&amp;Milestones!$AC$84&amp;";  ","")&amp;IF(AND(EDATE($D46,Milestones!$AA$85)&lt;=AsOfDate,IF($Q46=0,$W46,IF(AND($S46&lt;&gt;"",EDATE($D46,Milestones!$AA$85)&gt;=$S46),$V46,IF(AND($R46&lt;&gt;"",EDATE($D46,Milestones!$AA$85)&gt;=$R46),$U46,$T46)))=Milestones!$AB$85),TEXT(EDATE($D46,Milestones!$AA$85),"dd/mm/yy")&amp;" "&amp;Milestones!$AB$85&amp;" "&amp;Milestones!$AC$85&amp;";  ","")&amp;IF(AND(EDATE($D46,Milestones!$AA$86)&lt;=AsOfDate,IF($Q46=0,$W46,IF(AND($S46&lt;&gt;"",EDATE($D46,Milestones!$AA$86)&gt;=$S46),$V46,IF(AND($R46&lt;&gt;"",EDATE($D46,Milestones!$AA$86)&gt;=$R46),$U46,$T46)))=Milestones!$AB$86),TEXT(EDATE($D46,Milestones!$AA$86),"dd/mm/yy")&amp;" "&amp;Milestones!$AB$86&amp;" "&amp;Milestones!$AC$86&amp;";  ","")&amp;IF(AND(EDATE($D46,Milestones!$AA$87)&lt;=AsOfDate,IF($Q46=0,$W46,IF(AND($S46&lt;&gt;"",EDATE($D46,Milestones!$AA$87)&gt;=$S46),$V46,IF(AND($R46&lt;&gt;"",EDATE($D46,Milestones!$AA$87)&gt;=$R46),$U46,$T46)))=Milestones!$AB$87),TEXT(EDATE($D46,Milestones!$AA$87),"dd/mm/yy")&amp;" "&amp;Milestones!$AB$87&amp;" "&amp;Milestones!$AC$87&amp;";  ","")&amp;IF(AND(EDATE($D46,Milestones!$AA$88)&lt;=AsOfDate,IF($Q46=0,$W46,IF(AND($S46&lt;&gt;"",EDATE($D46,Milestones!$AA$88)&gt;=$S46),$V46,IF(AND($R46&lt;&gt;"",EDATE($D46,Milestones!$AA$88)&gt;=$R46),$U46,$T46)))=Milestones!$AB$88),TEXT(EDATE($D46,Milestones!$AA$88),"dd/mm/yy")&amp;" "&amp;Milestones!$AB$88&amp;" "&amp;Milestones!$AC$88&amp;";  ","")&amp;IF(AND(EDATE($D46,Milestones!$AA$89)&lt;=AsOfDate,IF($Q46=0,$W46,IF(AND($S46&lt;&gt;"",EDATE($D46,Milestones!$AA$89)&gt;=$S46),$V46,IF(AND($R46&lt;&gt;"",EDATE($D46,Milestones!$AA$89)&gt;=$R46),$U46,$T46)))=Milestones!$AB$89),TEXT(EDATE($D46,Milestones!$AA$89),"dd/mm/yy")&amp;" "&amp;Milestones!$AB$89&amp;" "&amp;Milestones!$AC$89&amp;";  ","")&amp;IF(AND(EDATE($D46,Milestones!$AA$90)&lt;=AsOfDate,IF($Q46=0,$W46,IF(AND($S46&lt;&gt;"",EDATE($D46,Milestones!$AA$90)&gt;=$S46),$V46,IF(AND($R46&lt;&gt;"",EDATE($D46,Milestones!$AA$90)&gt;=$R46),$U46,$T46)))=Milestones!$AB$90),TEXT(EDATE($D46,Milestones!$AA$90),"dd/mm/yy")&amp;" "&amp;Milestones!$AB$90&amp;" "&amp;Milestones!$AC$90&amp;";  ","")&amp;IF(AND(EDATE($D46,Milestones!$AA$91)&lt;=AsOfDate,IF($Q46=0,$W46,IF(AND($S46&lt;&gt;"",EDATE($D46,Milestones!$AA$91)&gt;=$S46),$V46,IF(AND($R46&lt;&gt;"",EDATE($D46,Milestones!$AA$91)&gt;=$R46),$U46,$T46)))=Milestones!$AB$91),TEXT(EDATE($D46,Milestones!$AA$91),"dd/mm/yy")&amp;" "&amp;Milestones!$AB$91&amp;" "&amp;Milestones!$AC$91&amp;";  ","")&amp;IF(AND(EDATE($D46,Milestones!$AA$92)&lt;=AsOfDate,IF($Q46=0,$W46,IF(AND($S46&lt;&gt;"",EDATE($D46,Milestones!$AA$92)&gt;=$S46),$V46,IF(AND($R46&lt;&gt;"",EDATE($D46,Milestones!$AA$92)&gt;=$R46),$U46,$T46)))=Milestones!$AB$92),TEXT(EDATE($D46,Milestones!$AA$92),"dd/mm/yy")&amp;" "&amp;Milestones!$AB$92&amp;" "&amp;Milestones!$AC$92&amp;";  ","")&amp;IF(AND(EDATE($D46,Milestones!$AA$93)&lt;=AsOfDate,IF($Q46=0,$W46,IF(AND($S46&lt;&gt;"",EDATE($D46,Milestones!$AA$93)&gt;=$S46),$V46,IF(AND($R46&lt;&gt;"",EDATE($D46,Milestones!$AA$93)&gt;=$R46),$U46,$T46)))=Milestones!$AB$93),TEXT(EDATE($D46,Milestones!$AA$93),"dd/mm/yy")&amp;" "&amp;Milestones!$AB$93&amp;" "&amp;Milestones!$AC$93&amp;";  ","")&amp;IF(AND(EDATE($D46,Milestones!$AA$94)&lt;=AsOfDate,IF($Q46=0,$W46,IF(AND($S46&lt;&gt;"",EDATE($D46,Milestones!$AA$94)&gt;=$S46),$V46,IF(AND($R46&lt;&gt;"",EDATE($D46,Milestones!$AA$94)&gt;=$R46),$U46,$T46)))=Milestones!$AB$94),TEXT(EDATE($D46,Milestones!$AA$94),"dd/mm/yy")&amp;" "&amp;Milestones!$AB$94&amp;" "&amp;Milestones!$AC$94&amp;";  ","")&amp;IF(AND(EDATE($D46,Milestones!$AA$95)&lt;=AsOfDate,IF($Q46=0,$W46,IF(AND($S46&lt;&gt;"",EDATE($D46,Milestones!$AA$95)&gt;=$S46),$V46,IF(AND($R46&lt;&gt;"",EDATE($D46,Milestones!$AA$95)&gt;=$R46),$U46,$T46)))=Milestones!$AB$95),TEXT(EDATE($D46,Milestones!$AA$95),"dd/mm/yy")&amp;" "&amp;Milestones!$AB$95&amp;" "&amp;Milestones!$AC$95&amp;";  ","")&amp;IF(AND(EDATE($D46,Milestones!$AA$96)&lt;=AsOfDate,IF($Q46=0,$W46,IF(AND($S46&lt;&gt;"",EDATE($D46,Milestones!$AA$96)&gt;=$S46),$V46,IF(AND($R46&lt;&gt;"",EDATE($D46,Milestones!$AA$96)&gt;=$R46),$U46,$T46)))=Milestones!$AB$96),TEXT(EDATE($D46,Milestones!$AA$96),"dd/mm/yy")&amp;" "&amp;Milestones!$AB$96&amp;" "&amp;Milestones!$AC$96&amp;";  ","")&amp;IF(AND(EDATE($D46,Milestones!$AA$97)&lt;=AsOfDate,IF($Q46=0,$W46,IF(AND($S46&lt;&gt;"",EDATE($D46,Milestones!$AA$97)&gt;=$S46),$V46,IF(AND($R46&lt;&gt;"",EDATE($D46,Milestones!$AA$97)&gt;=$R46),$U46,$T46)))=Milestones!$AB$97),TEXT(EDATE($D46,Milestones!$AA$97),"dd/mm/yy")&amp;" "&amp;Milestones!$AB$97&amp;" "&amp;Milestones!$AC$97&amp;";  ","")&amp;IF(AND(EDATE($D46,Milestones!$AA$98)&lt;=AsOfDate,IF($Q46=0,$W46,IF(AND($S46&lt;&gt;"",EDATE($D46,Milestones!$AA$98)&gt;=$S46),$V46,IF(AND($R46&lt;&gt;"",EDATE($D46,Milestones!$AA$98)&gt;=$R46),$U46,$T46)))=Milestones!$AB$98),TEXT(EDATE($D46,Milestones!$AA$98),"dd/mm/yy")&amp;" "&amp;Milestones!$AB$98&amp;" "&amp;Milestones!$AC$98&amp;";  ","")&amp;IF(AND(EDATE($D46,Milestones!$AA$99)&lt;=AsOfDate,IF($Q46=0,$W46,IF(AND($S46&lt;&gt;"",EDATE($D46,Milestones!$AA$99)&gt;=$S46),$V46,IF(AND($R46&lt;&gt;"",EDATE($D46,Milestones!$AA$99)&gt;=$R46),$U46,$T46)))=Milestones!$AB$99),TEXT(EDATE($D46,Milestones!$AA$99),"dd/mm/yy")&amp;" "&amp;Milestones!$AB$99&amp;" "&amp;Milestones!$AC$99&amp;";  ",""))</f>
        <v/>
      </c>
      <c r="L46" s="0" t="str">
        <f aca="false">IF(OR($A46="",$D46=""),"",IF(AND(EDATE($D46,Milestones!$AA$100)&lt;=AsOfDate,IF($Q46=0,$W46,IF(AND($S46&lt;&gt;"",EDATE($D46,Milestones!$AA$100)&gt;=$S46),$V46,IF(AND($R46&lt;&gt;"",EDATE($D46,Milestones!$AA$100)&gt;=$R46),$U46,$T46)))=Milestones!$AB$100),TEXT(EDATE($D46,Milestones!$AA$100),"dd/mm/yy")&amp;" "&amp;Milestones!$AB$100&amp;" "&amp;Milestones!$AC$100&amp;";  ","")&amp;IF(AND(EDATE($D46,Milestones!$AA$101)&lt;=AsOfDate,IF($Q46=0,$W46,IF(AND($S46&lt;&gt;"",EDATE($D46,Milestones!$AA$101)&gt;=$S46),$V46,IF(AND($R46&lt;&gt;"",EDATE($D46,Milestones!$AA$101)&gt;=$R46),$U46,$T46)))=Milestones!$AB$101),TEXT(EDATE($D46,Milestones!$AA$101),"dd/mm/yy")&amp;" "&amp;Milestones!$AB$101&amp;" "&amp;Milestones!$AC$101&amp;";  ","")&amp;IF(AND(EDATE($D46,Milestones!$AA$102)&lt;=AsOfDate,IF($Q46=0,$W46,IF(AND($S46&lt;&gt;"",EDATE($D46,Milestones!$AA$102)&gt;=$S46),$V46,IF(AND($R46&lt;&gt;"",EDATE($D46,Milestones!$AA$102)&gt;=$R46),$U46,$T46)))=Milestones!$AB$102),TEXT(EDATE($D46,Milestones!$AA$102),"dd/mm/yy")&amp;" "&amp;Milestones!$AB$102&amp;" "&amp;Milestones!$AC$102&amp;";  ","")&amp;IF(AND(EDATE($D46,Milestones!$AA$103)&lt;=AsOfDate,IF($Q46=0,$W46,IF(AND($S46&lt;&gt;"",EDATE($D46,Milestones!$AA$103)&gt;=$S46),$V46,IF(AND($R46&lt;&gt;"",EDATE($D46,Milestones!$AA$103)&gt;=$R46),$U46,$T46)))=Milestones!$AB$103),TEXT(EDATE($D46,Milestones!$AA$103),"dd/mm/yy")&amp;" "&amp;Milestones!$AB$103&amp;" "&amp;Milestones!$AC$103&amp;";  ","")&amp;IF(AND(EDATE($D46,Milestones!$AA$104)&lt;=AsOfDate,IF($Q46=0,$W46,IF(AND($S46&lt;&gt;"",EDATE($D46,Milestones!$AA$104)&gt;=$S46),$V46,IF(AND($R46&lt;&gt;"",EDATE($D46,Milestones!$AA$104)&gt;=$R46),$U46,$T46)))=Milestones!$AB$104),TEXT(EDATE($D46,Milestones!$AA$104),"dd/mm/yy")&amp;" "&amp;Milestones!$AB$104&amp;" "&amp;Milestones!$AC$104&amp;";  ","")&amp;IF(AND(EDATE($D46,Milestones!$AA$105)&lt;=AsOfDate,IF($Q46=0,$W46,IF(AND($S46&lt;&gt;"",EDATE($D46,Milestones!$AA$105)&gt;=$S46),$V46,IF(AND($R46&lt;&gt;"",EDATE($D46,Milestones!$AA$105)&gt;=$R46),$U46,$T46)))=Milestones!$AB$105),TEXT(EDATE($D46,Milestones!$AA$105),"dd/mm/yy")&amp;" "&amp;Milestones!$AB$105&amp;" "&amp;Milestones!$AC$105&amp;";  ","")&amp;IF(AND(EDATE($D46,Milestones!$AA$106)&lt;=AsOfDate,IF($Q46=0,$W46,IF(AND($S46&lt;&gt;"",EDATE($D46,Milestones!$AA$106)&gt;=$S46),$V46,IF(AND($R46&lt;&gt;"",EDATE($D46,Milestones!$AA$106)&gt;=$R46),$U46,$T46)))=Milestones!$AB$106),TEXT(EDATE($D46,Milestones!$AA$106),"dd/mm/yy")&amp;" "&amp;Milestones!$AB$106&amp;" "&amp;Milestones!$AC$106&amp;";  ","")&amp;IF(AND(EDATE($D46,Milestones!$AA$107)&lt;=AsOfDate,IF($Q46=0,$W46,IF(AND($S46&lt;&gt;"",EDATE($D46,Milestones!$AA$107)&gt;=$S46),$V46,IF(AND($R46&lt;&gt;"",EDATE($D46,Milestones!$AA$107)&gt;=$R46),$U46,$T46)))=Milestones!$AB$107),TEXT(EDATE($D46,Milestones!$AA$107),"dd/mm/yy")&amp;" "&amp;Milestones!$AB$107&amp;" "&amp;Milestones!$AC$107&amp;";  ","")&amp;IF(AND(EDATE($D46,Milestones!$AA$108)&lt;=AsOfDate,IF($Q46=0,$W46,IF(AND($S46&lt;&gt;"",EDATE($D46,Milestones!$AA$108)&gt;=$S46),$V46,IF(AND($R46&lt;&gt;"",EDATE($D46,Milestones!$AA$108)&gt;=$R46),$U46,$T46)))=Milestones!$AB$108),TEXT(EDATE($D46,Milestones!$AA$108),"dd/mm/yy")&amp;" "&amp;Milestones!$AB$108&amp;" "&amp;Milestones!$AC$108&amp;";  ","")&amp;IF(AND(EDATE($D46,Milestones!$AA$109)&lt;=AsOfDate,IF($Q46=0,$W46,IF(AND($S46&lt;&gt;"",EDATE($D46,Milestones!$AA$109)&gt;=$S46),$V46,IF(AND($R46&lt;&gt;"",EDATE($D46,Milestones!$AA$109)&gt;=$R46),$U46,$T46)))=Milestones!$AB$109),TEXT(EDATE($D46,Milestones!$AA$109),"dd/mm/yy")&amp;" "&amp;Milestones!$AB$109&amp;" "&amp;Milestones!$AC$109&amp;";  ","")&amp;IF(AND(EDATE($D46,Milestones!$AA$110)&lt;=AsOfDate,IF($Q46=0,$W46,IF(AND($S46&lt;&gt;"",EDATE($D46,Milestones!$AA$110)&gt;=$S46),$V46,IF(AND($R46&lt;&gt;"",EDATE($D46,Milestones!$AA$110)&gt;=$R46),$U46,$T46)))=Milestones!$AB$110),TEXT(EDATE($D46,Milestones!$AA$110),"dd/mm/yy")&amp;" "&amp;Milestones!$AB$110&amp;" "&amp;Milestones!$AC$110&amp;";  ","")&amp;IF(AND(EDATE($D46,Milestones!$AA$111)&lt;=AsOfDate,IF($Q46=0,$W46,IF(AND($S46&lt;&gt;"",EDATE($D46,Milestones!$AA$111)&gt;=$S46),$V46,IF(AND($R46&lt;&gt;"",EDATE($D46,Milestones!$AA$111)&gt;=$R46),$U46,$T46)))=Milestones!$AB$111),TEXT(EDATE($D46,Milestones!$AA$111),"dd/mm/yy")&amp;" "&amp;Milestones!$AB$111&amp;" "&amp;Milestones!$AC$111&amp;";  ","")&amp;IF(AND(EDATE($D46,Milestones!$AA$112)&lt;=AsOfDate,IF($Q46=0,$W46,IF(AND($S46&lt;&gt;"",EDATE($D46,Milestones!$AA$112)&gt;=$S46),$V46,IF(AND($R46&lt;&gt;"",EDATE($D46,Milestones!$AA$112)&gt;=$R46),$U46,$T46)))=Milestones!$AB$112),TEXT(EDATE($D46,Milestones!$AA$112),"dd/mm/yy")&amp;" "&amp;Milestones!$AB$112&amp;" "&amp;Milestones!$AC$112&amp;";  ","")&amp;IF(AND(EDATE($D46,Milestones!$AA$113)&lt;=AsOfDate,IF($Q46=0,$W46,IF(AND($S46&lt;&gt;"",EDATE($D46,Milestones!$AA$113)&gt;=$S46),$V46,IF(AND($R46&lt;&gt;"",EDATE($D46,Milestones!$AA$113)&gt;=$R46),$U46,$T46)))=Milestones!$AB$113),TEXT(EDATE($D46,Milestones!$AA$113),"dd/mm/yy")&amp;" "&amp;Milestones!$AB$113&amp;" "&amp;Milestones!$AC$113&amp;";  ","")&amp;IF(AND(EDATE($D46,Milestones!$AA$114)&lt;=AsOfDate,IF($Q46=0,$W46,IF(AND($S46&lt;&gt;"",EDATE($D46,Milestones!$AA$114)&gt;=$S46),$V46,IF(AND($R46&lt;&gt;"",EDATE($D46,Milestones!$AA$114)&gt;=$R46),$U46,$T46)))=Milestones!$AB$114),TEXT(EDATE($D46,Milestones!$AA$114),"dd/mm/yy")&amp;" "&amp;Milestones!$AB$114&amp;" "&amp;Milestones!$AC$114&amp;";  ","")&amp;IF(AND(EDATE($D46,Milestones!$AA$115)&lt;=AsOfDate,IF($Q46=0,$W46,IF(AND($S46&lt;&gt;"",EDATE($D46,Milestones!$AA$115)&gt;=$S46),$V46,IF(AND($R46&lt;&gt;"",EDATE($D46,Milestones!$AA$115)&gt;=$R46),$U46,$T46)))=Milestones!$AB$115),TEXT(EDATE($D46,Milestones!$AA$115),"dd/mm/yy")&amp;" "&amp;Milestones!$AB$115&amp;" "&amp;Milestones!$AC$115&amp;";  ","")&amp;IF(AND(EDATE($D46,Milestones!$AA$116)&lt;=AsOfDate,IF($Q46=0,$W46,IF(AND($S46&lt;&gt;"",EDATE($D46,Milestones!$AA$116)&gt;=$S46),$V46,IF(AND($R46&lt;&gt;"",EDATE($D46,Milestones!$AA$116)&gt;=$R46),$U46,$T46)))=Milestones!$AB$116),TEXT(EDATE($D46,Milestones!$AA$116),"dd/mm/yy")&amp;" "&amp;Milestones!$AB$116&amp;" "&amp;Milestones!$AC$116&amp;";  ","")&amp;IF(AND(EDATE($D46,Milestones!$AA$117)&lt;=AsOfDate,IF($Q46=0,$W46,IF(AND($S46&lt;&gt;"",EDATE($D46,Milestones!$AA$117)&gt;=$S46),$V46,IF(AND($R46&lt;&gt;"",EDATE($D46,Milestones!$AA$117)&gt;=$R46),$U46,$T46)))=Milestones!$AB$117),TEXT(EDATE($D46,Milestones!$AA$117),"dd/mm/yy")&amp;" "&amp;Milestones!$AB$117&amp;" "&amp;Milestones!$AC$117&amp;";  ","")&amp;IF(AND(EDATE($D46,Milestones!$AA$118)&lt;=AsOfDate,IF($Q46=0,$W46,IF(AND($S46&lt;&gt;"",EDATE($D46,Milestones!$AA$118)&gt;=$S46),$V46,IF(AND($R46&lt;&gt;"",EDATE($D46,Milestones!$AA$118)&gt;=$R46),$U46,$T46)))=Milestones!$AB$118),TEXT(EDATE($D46,Milestones!$AA$118),"dd/mm/yy")&amp;" "&amp;Milestones!$AB$118&amp;" "&amp;Milestones!$AC$118&amp;";  ","")&amp;IF(AND(EDATE($D46,Milestones!$AA$119)&lt;=AsOfDate,IF($Q46=0,$W46,IF(AND($S46&lt;&gt;"",EDATE($D46,Milestones!$AA$119)&gt;=$S46),$V46,IF(AND($R46&lt;&gt;"",EDATE($D46,Milestones!$AA$119)&gt;=$R46),$U46,$T46)))=Milestones!$AB$119),TEXT(EDATE($D46,Milestones!$AA$119),"dd/mm/yy")&amp;" "&amp;Milestones!$AB$119&amp;" "&amp;Milestones!$AC$119&amp;";  ",""))</f>
        <v/>
      </c>
      <c r="M46" s="0" t="str">
        <f aca="false">IF(OR($A46="",$D46=""),"",IF(AND(EDATE($D46,Milestones!$AA$120)&lt;=AsOfDate,IF($Q46=0,$W46,IF(AND($S46&lt;&gt;"",EDATE($D46,Milestones!$AA$120)&gt;=$S46),$V46,IF(AND($R46&lt;&gt;"",EDATE($D46,Milestones!$AA$120)&gt;=$R46),$U46,$T46)))=Milestones!$AB$120),TEXT(EDATE($D46,Milestones!$AA$120),"dd/mm/yy")&amp;" "&amp;Milestones!$AB$120&amp;" "&amp;Milestones!$AC$120&amp;";  ","")&amp;IF(AND(EDATE($D46,Milestones!$AA$121)&lt;=AsOfDate,IF($Q46=0,$W46,IF(AND($S46&lt;&gt;"",EDATE($D46,Milestones!$AA$121)&gt;=$S46),$V46,IF(AND($R46&lt;&gt;"",EDATE($D46,Milestones!$AA$121)&gt;=$R46),$U46,$T46)))=Milestones!$AB$121),TEXT(EDATE($D46,Milestones!$AA$121),"dd/mm/yy")&amp;" "&amp;Milestones!$AB$121&amp;" "&amp;Milestones!$AC$121&amp;";  ","")&amp;IF(AND(EDATE($D46,Milestones!$AA$122)&lt;=AsOfDate,IF($Q46=0,$W46,IF(AND($S46&lt;&gt;"",EDATE($D46,Milestones!$AA$122)&gt;=$S46),$V46,IF(AND($R46&lt;&gt;"",EDATE($D46,Milestones!$AA$122)&gt;=$R46),$U46,$T46)))=Milestones!$AB$122),TEXT(EDATE($D46,Milestones!$AA$122),"dd/mm/yy")&amp;" "&amp;Milestones!$AB$122&amp;" "&amp;Milestones!$AC$122&amp;";  ","")&amp;IF(AND(EDATE($D46,Milestones!$AA$123)&lt;=AsOfDate,IF($Q46=0,$W46,IF(AND($S46&lt;&gt;"",EDATE($D46,Milestones!$AA$123)&gt;=$S46),$V46,IF(AND($R46&lt;&gt;"",EDATE($D46,Milestones!$AA$123)&gt;=$R46),$U46,$T46)))=Milestones!$AB$123),TEXT(EDATE($D46,Milestones!$AA$123),"dd/mm/yy")&amp;" "&amp;Milestones!$AB$123&amp;" "&amp;Milestones!$AC$123&amp;";  ","")&amp;IF(AND(EDATE($D46,Milestones!$AA$124)&lt;=AsOfDate,IF($Q46=0,$W46,IF(AND($S46&lt;&gt;"",EDATE($D46,Milestones!$AA$124)&gt;=$S46),$V46,IF(AND($R46&lt;&gt;"",EDATE($D46,Milestones!$AA$124)&gt;=$R46),$U46,$T46)))=Milestones!$AB$124),TEXT(EDATE($D46,Milestones!$AA$124),"dd/mm/yy")&amp;" "&amp;Milestones!$AB$124&amp;" "&amp;Milestones!$AC$124&amp;";  ","")&amp;IF(AND(EDATE($D46,Milestones!$AA$125)&lt;=AsOfDate,IF($Q46=0,$W46,IF(AND($S46&lt;&gt;"",EDATE($D46,Milestones!$AA$125)&gt;=$S46),$V46,IF(AND($R46&lt;&gt;"",EDATE($D46,Milestones!$AA$125)&gt;=$R46),$U46,$T46)))=Milestones!$AB$125),TEXT(EDATE($D46,Milestones!$AA$125),"dd/mm/yy")&amp;" "&amp;Milestones!$AB$125&amp;" "&amp;Milestones!$AC$125&amp;";  ","")&amp;IF(AND(EDATE($D46,Milestones!$AA$126)&lt;=AsOfDate,IF($Q46=0,$W46,IF(AND($S46&lt;&gt;"",EDATE($D46,Milestones!$AA$126)&gt;=$S46),$V46,IF(AND($R46&lt;&gt;"",EDATE($D46,Milestones!$AA$126)&gt;=$R46),$U46,$T46)))=Milestones!$AB$126),TEXT(EDATE($D46,Milestones!$AA$126),"dd/mm/yy")&amp;" "&amp;Milestones!$AB$126&amp;" "&amp;Milestones!$AC$126&amp;";  ","")&amp;IF(AND(EDATE($D46,Milestones!$AA$127)&lt;=AsOfDate,IF($Q46=0,$W46,IF(AND($S46&lt;&gt;"",EDATE($D46,Milestones!$AA$127)&gt;=$S46),$V46,IF(AND($R46&lt;&gt;"",EDATE($D46,Milestones!$AA$127)&gt;=$R46),$U46,$T46)))=Milestones!$AB$127),TEXT(EDATE($D46,Milestones!$AA$127),"dd/mm/yy")&amp;" "&amp;Milestones!$AB$127&amp;" "&amp;Milestones!$AC$127&amp;";  ","")&amp;IF(AND(EDATE($D46,Milestones!$AA$128)&lt;=AsOfDate,IF($Q46=0,$W46,IF(AND($S46&lt;&gt;"",EDATE($D46,Milestones!$AA$128)&gt;=$S46),$V46,IF(AND($R46&lt;&gt;"",EDATE($D46,Milestones!$AA$128)&gt;=$R46),$U46,$T46)))=Milestones!$AB$128),TEXT(EDATE($D46,Milestones!$AA$128),"dd/mm/yy")&amp;" "&amp;Milestones!$AB$128&amp;" "&amp;Milestones!$AC$128&amp;";  ","")&amp;IF(AND(EDATE($D46,Milestones!$AA$129)&lt;=AsOfDate,IF($Q46=0,$W46,IF(AND($S46&lt;&gt;"",EDATE($D46,Milestones!$AA$129)&gt;=$S46),$V46,IF(AND($R46&lt;&gt;"",EDATE($D46,Milestones!$AA$129)&gt;=$R46),$U46,$T46)))=Milestones!$AB$129),TEXT(EDATE($D46,Milestones!$AA$129),"dd/mm/yy")&amp;" "&amp;Milestones!$AB$129&amp;" "&amp;Milestones!$AC$129&amp;";  ","")&amp;IF(AND(EDATE($D46,Milestones!$AA$130)&lt;=AsOfDate,IF($Q46=0,$W46,IF(AND($S46&lt;&gt;"",EDATE($D46,Milestones!$AA$130)&gt;=$S46),$V46,IF(AND($R46&lt;&gt;"",EDATE($D46,Milestones!$AA$130)&gt;=$R46),$U46,$T46)))=Milestones!$AB$130),TEXT(EDATE($D46,Milestones!$AA$130),"dd/mm/yy")&amp;" "&amp;Milestones!$AB$130&amp;" "&amp;Milestones!$AC$130&amp;";  ","")&amp;IF(AND(EDATE($D46,Milestones!$AA$131)&lt;=AsOfDate,IF($Q46=0,$W46,IF(AND($S46&lt;&gt;"",EDATE($D46,Milestones!$AA$131)&gt;=$S46),$V46,IF(AND($R46&lt;&gt;"",EDATE($D46,Milestones!$AA$131)&gt;=$R46),$U46,$T46)))=Milestones!$AB$131),TEXT(EDATE($D46,Milestones!$AA$131),"dd/mm/yy")&amp;" "&amp;Milestones!$AB$131&amp;" "&amp;Milestones!$AC$131&amp;";  ","")&amp;IF(AND(EDATE($D46,Milestones!$AA$132)&lt;=AsOfDate,IF($Q46=0,$W46,IF(AND($S46&lt;&gt;"",EDATE($D46,Milestones!$AA$132)&gt;=$S46),$V46,IF(AND($R46&lt;&gt;"",EDATE($D46,Milestones!$AA$132)&gt;=$R46),$U46,$T46)))=Milestones!$AB$132),TEXT(EDATE($D46,Milestones!$AA$132),"dd/mm/yy")&amp;" "&amp;Milestones!$AB$132&amp;" "&amp;Milestones!$AC$132&amp;";  ","")&amp;IF(AND(EDATE($D46,Milestones!$AA$133)&lt;=AsOfDate,IF($Q46=0,$W46,IF(AND($S46&lt;&gt;"",EDATE($D46,Milestones!$AA$133)&gt;=$S46),$V46,IF(AND($R46&lt;&gt;"",EDATE($D46,Milestones!$AA$133)&gt;=$R46),$U46,$T46)))=Milestones!$AB$133),TEXT(EDATE($D46,Milestones!$AA$133),"dd/mm/yy")&amp;" "&amp;Milestones!$AB$133&amp;" "&amp;Milestones!$AC$133&amp;";  ","")&amp;IF(AND(EDATE($D46,Milestones!$AA$134)&lt;=AsOfDate,IF($Q46=0,$W46,IF(AND($S46&lt;&gt;"",EDATE($D46,Milestones!$AA$134)&gt;=$S46),$V46,IF(AND($R46&lt;&gt;"",EDATE($D46,Milestones!$AA$134)&gt;=$R46),$U46,$T46)))=Milestones!$AB$134),TEXT(EDATE($D46,Milestones!$AA$134),"dd/mm/yy")&amp;" "&amp;Milestones!$AB$134&amp;" "&amp;Milestones!$AC$134&amp;";  ","")&amp;IF(AND(EDATE($D46,Milestones!$AA$135)&lt;=AsOfDate,IF($Q46=0,$W46,IF(AND($S46&lt;&gt;"",EDATE($D46,Milestones!$AA$135)&gt;=$S46),$V46,IF(AND($R46&lt;&gt;"",EDATE($D46,Milestones!$AA$135)&gt;=$R46),$U46,$T46)))=Milestones!$AB$135),TEXT(EDATE($D46,Milestones!$AA$135),"dd/mm/yy")&amp;" "&amp;Milestones!$AB$135&amp;" "&amp;Milestones!$AC$135&amp;";  ","")&amp;IF(AND(EDATE($D46,Milestones!$AA$136)&lt;=AsOfDate,IF($Q46=0,$W46,IF(AND($S46&lt;&gt;"",EDATE($D46,Milestones!$AA$136)&gt;=$S46),$V46,IF(AND($R46&lt;&gt;"",EDATE($D46,Milestones!$AA$136)&gt;=$R46),$U46,$T46)))=Milestones!$AB$136),TEXT(EDATE($D46,Milestones!$AA$136),"dd/mm/yy")&amp;" "&amp;Milestones!$AB$136&amp;" "&amp;Milestones!$AC$136&amp;";  ","")&amp;IF(AND(EDATE($D46,Milestones!$AA$137)&lt;=AsOfDate,IF($Q46=0,$W46,IF(AND($S46&lt;&gt;"",EDATE($D46,Milestones!$AA$137)&gt;=$S46),$V46,IF(AND($R46&lt;&gt;"",EDATE($D46,Milestones!$AA$137)&gt;=$R46),$U46,$T46)))=Milestones!$AB$137),TEXT(EDATE($D46,Milestones!$AA$137),"dd/mm/yy")&amp;" "&amp;Milestones!$AB$137&amp;" "&amp;Milestones!$AC$137&amp;";  ","")&amp;IF(AND(EDATE($D46,Milestones!$AA$138)&lt;=AsOfDate,IF($Q46=0,$W46,IF(AND($S46&lt;&gt;"",EDATE($D46,Milestones!$AA$138)&gt;=$S46),$V46,IF(AND($R46&lt;&gt;"",EDATE($D46,Milestones!$AA$138)&gt;=$R46),$U46,$T46)))=Milestones!$AB$138),TEXT(EDATE($D46,Milestones!$AA$138),"dd/mm/yy")&amp;" "&amp;Milestones!$AB$138&amp;" "&amp;Milestones!$AC$138&amp;";  ","")&amp;IF(AND(EDATE($D46,Milestones!$AA$139)&lt;=AsOfDate,IF($Q46=0,$W46,IF(AND($S46&lt;&gt;"",EDATE($D46,Milestones!$AA$139)&gt;=$S46),$V46,IF(AND($R46&lt;&gt;"",EDATE($D46,Milestones!$AA$139)&gt;=$R46),$U46,$T46)))=Milestones!$AB$139),TEXT(EDATE($D46,Milestones!$AA$139),"dd/mm/yy")&amp;" "&amp;Milestones!$AB$139&amp;" "&amp;Milestones!$AC$139&amp;";  ",""))</f>
        <v/>
      </c>
      <c r="N46" s="0" t="str">
        <f aca="false">IF(OR($A46="",$D46=""),"",IF(AND(EDATE($D46,Milestones!$AA$140)&lt;=AsOfDate,IF($Q46=0,$W46,IF(AND($S46&lt;&gt;"",EDATE($D46,Milestones!$AA$140)&gt;=$S46),$V46,IF(AND($R46&lt;&gt;"",EDATE($D46,Milestones!$AA$140)&gt;=$R46),$U46,$T46)))=Milestones!$AB$140),TEXT(EDATE($D46,Milestones!$AA$140),"dd/mm/yy")&amp;" "&amp;Milestones!$AB$140&amp;" "&amp;Milestones!$AC$140&amp;";  ","")&amp;IF(AND(EDATE($D46,Milestones!$AA$141)&lt;=AsOfDate,IF($Q46=0,$W46,IF(AND($S46&lt;&gt;"",EDATE($D46,Milestones!$AA$141)&gt;=$S46),$V46,IF(AND($R46&lt;&gt;"",EDATE($D46,Milestones!$AA$141)&gt;=$R46),$U46,$T46)))=Milestones!$AB$141),TEXT(EDATE($D46,Milestones!$AA$141),"dd/mm/yy")&amp;" "&amp;Milestones!$AB$141&amp;" "&amp;Milestones!$AC$141&amp;";  ","")&amp;IF(AND(EDATE($D46,Milestones!$AA$142)&lt;=AsOfDate,IF($Q46=0,$W46,IF(AND($S46&lt;&gt;"",EDATE($D46,Milestones!$AA$142)&gt;=$S46),$V46,IF(AND($R46&lt;&gt;"",EDATE($D46,Milestones!$AA$142)&gt;=$R46),$U46,$T46)))=Milestones!$AB$142),TEXT(EDATE($D46,Milestones!$AA$142),"dd/mm/yy")&amp;" "&amp;Milestones!$AB$142&amp;" "&amp;Milestones!$AC$142&amp;";  ","")&amp;IF(AND(EDATE($D46,Milestones!$AA$143)&lt;=AsOfDate,IF($Q46=0,$W46,IF(AND($S46&lt;&gt;"",EDATE($D46,Milestones!$AA$143)&gt;=$S46),$V46,IF(AND($R46&lt;&gt;"",EDATE($D46,Milestones!$AA$143)&gt;=$R46),$U46,$T46)))=Milestones!$AB$143),TEXT(EDATE($D46,Milestones!$AA$143),"dd/mm/yy")&amp;" "&amp;Milestones!$AB$143&amp;" "&amp;Milestones!$AC$143&amp;";  ","")&amp;IF(AND(EDATE($D46,Milestones!$AA$144)&lt;=AsOfDate,IF($Q46=0,$W46,IF(AND($S46&lt;&gt;"",EDATE($D46,Milestones!$AA$144)&gt;=$S46),$V46,IF(AND($R46&lt;&gt;"",EDATE($D46,Milestones!$AA$144)&gt;=$R46),$U46,$T46)))=Milestones!$AB$144),TEXT(EDATE($D46,Milestones!$AA$144),"dd/mm/yy")&amp;" "&amp;Milestones!$AB$144&amp;" "&amp;Milestones!$AC$144&amp;";  ","")&amp;IF(AND(EDATE($D46,Milestones!$AA$145)&lt;=AsOfDate,IF($Q46=0,$W46,IF(AND($S46&lt;&gt;"",EDATE($D46,Milestones!$AA$145)&gt;=$S46),$V46,IF(AND($R46&lt;&gt;"",EDATE($D46,Milestones!$AA$145)&gt;=$R46),$U46,$T46)))=Milestones!$AB$145),TEXT(EDATE($D46,Milestones!$AA$145),"dd/mm/yy")&amp;" "&amp;Milestones!$AB$145&amp;" "&amp;Milestones!$AC$145&amp;";  ","")&amp;IF(AND(EDATE($D46,Milestones!$AA$146)&lt;=AsOfDate,IF($Q46=0,$W46,IF(AND($S46&lt;&gt;"",EDATE($D46,Milestones!$AA$146)&gt;=$S46),$V46,IF(AND($R46&lt;&gt;"",EDATE($D46,Milestones!$AA$146)&gt;=$R46),$U46,$T46)))=Milestones!$AB$146),TEXT(EDATE($D46,Milestones!$AA$146),"dd/mm/yy")&amp;" "&amp;Milestones!$AB$146&amp;" "&amp;Milestones!$AC$146&amp;";  ","")&amp;IF(AND(EDATE($D46,Milestones!$AA$147)&lt;=AsOfDate,IF($Q46=0,$W46,IF(AND($S46&lt;&gt;"",EDATE($D46,Milestones!$AA$147)&gt;=$S46),$V46,IF(AND($R46&lt;&gt;"",EDATE($D46,Milestones!$AA$147)&gt;=$R46),$U46,$T46)))=Milestones!$AB$147),TEXT(EDATE($D46,Milestones!$AA$147),"dd/mm/yy")&amp;" "&amp;Milestones!$AB$147&amp;" "&amp;Milestones!$AC$147&amp;";  ","")&amp;IF(AND(EDATE($D46,Milestones!$AA$148)&lt;=AsOfDate,IF($Q46=0,$W46,IF(AND($S46&lt;&gt;"",EDATE($D46,Milestones!$AA$148)&gt;=$S46),$V46,IF(AND($R46&lt;&gt;"",EDATE($D46,Milestones!$AA$148)&gt;=$R46),$U46,$T46)))=Milestones!$AB$148),TEXT(EDATE($D46,Milestones!$AA$148),"dd/mm/yy")&amp;" "&amp;Milestones!$AB$148&amp;" "&amp;Milestones!$AC$148&amp;";  ","")&amp;IF(AND(EDATE($D46,Milestones!$AA$149)&lt;=AsOfDate,IF($Q46=0,$W46,IF(AND($S46&lt;&gt;"",EDATE($D46,Milestones!$AA$149)&gt;=$S46),$V46,IF(AND($R46&lt;&gt;"",EDATE($D46,Milestones!$AA$149)&gt;=$R46),$U46,$T46)))=Milestones!$AB$149),TEXT(EDATE($D46,Milestones!$AA$149),"dd/mm/yy")&amp;" "&amp;Milestones!$AB$149&amp;" "&amp;Milestones!$AC$149&amp;";  ","")&amp;IF(AND(EDATE($D46,Milestones!$AA$150)&lt;=AsOfDate,IF($Q46=0,$W46,IF(AND($S46&lt;&gt;"",EDATE($D46,Milestones!$AA$150)&gt;=$S46),$V46,IF(AND($R46&lt;&gt;"",EDATE($D46,Milestones!$AA$150)&gt;=$R46),$U46,$T46)))=Milestones!$AB$150),TEXT(EDATE($D46,Milestones!$AA$150),"dd/mm/yy")&amp;" "&amp;Milestones!$AB$150&amp;" "&amp;Milestones!$AC$150&amp;";  ","")&amp;IF(AND(EDATE($D46,Milestones!$AA$151)&lt;=AsOfDate,IF($Q46=0,$W46,IF(AND($S46&lt;&gt;"",EDATE($D46,Milestones!$AA$151)&gt;=$S46),$V46,IF(AND($R46&lt;&gt;"",EDATE($D46,Milestones!$AA$151)&gt;=$R46),$U46,$T46)))=Milestones!$AB$151),TEXT(EDATE($D46,Milestones!$AA$151),"dd/mm/yy")&amp;" "&amp;Milestones!$AB$151&amp;" "&amp;Milestones!$AC$151&amp;";  ","")&amp;IF(AND(EDATE($D46,Milestones!$AA$152)&lt;=AsOfDate,IF($Q46=0,$W46,IF(AND($S46&lt;&gt;"",EDATE($D46,Milestones!$AA$152)&gt;=$S46),$V46,IF(AND($R46&lt;&gt;"",EDATE($D46,Milestones!$AA$152)&gt;=$R46),$U46,$T46)))=Milestones!$AB$152),TEXT(EDATE($D46,Milestones!$AA$152),"dd/mm/yy")&amp;" "&amp;Milestones!$AB$152&amp;" "&amp;Milestones!$AC$152&amp;";  ","")&amp;IF(AND(EDATE($D46,Milestones!$AA$153)&lt;=AsOfDate,IF($Q46=0,$W46,IF(AND($S46&lt;&gt;"",EDATE($D46,Milestones!$AA$153)&gt;=$S46),$V46,IF(AND($R46&lt;&gt;"",EDATE($D46,Milestones!$AA$153)&gt;=$R46),$U46,$T46)))=Milestones!$AB$153),TEXT(EDATE($D46,Milestones!$AA$153),"dd/mm/yy")&amp;" "&amp;Milestones!$AB$153&amp;" "&amp;Milestones!$AC$153&amp;";  ","")&amp;IF(AND(EDATE($D46,Milestones!$AA$154)&lt;=AsOfDate,IF($Q46=0,$W46,IF(AND($S46&lt;&gt;"",EDATE($D46,Milestones!$AA$154)&gt;=$S46),$V46,IF(AND($R46&lt;&gt;"",EDATE($D46,Milestones!$AA$154)&gt;=$R46),$U46,$T46)))=Milestones!$AB$154),TEXT(EDATE($D46,Milestones!$AA$154),"dd/mm/yy")&amp;" "&amp;Milestones!$AB$154&amp;" "&amp;Milestones!$AC$154&amp;";  ","")&amp;IF(AND(EDATE($D46,Milestones!$AA$155)&lt;=AsOfDate,IF($Q46=0,$W46,IF(AND($S46&lt;&gt;"",EDATE($D46,Milestones!$AA$155)&gt;=$S46),$V46,IF(AND($R46&lt;&gt;"",EDATE($D46,Milestones!$AA$155)&gt;=$R46),$U46,$T46)))=Milestones!$AB$155),TEXT(EDATE($D46,Milestones!$AA$155),"dd/mm/yy")&amp;" "&amp;Milestones!$AB$155&amp;" "&amp;Milestones!$AC$155&amp;";  ","")&amp;IF(AND(EDATE($D46,Milestones!$AA$156)&lt;=AsOfDate,IF($Q46=0,$W46,IF(AND($S46&lt;&gt;"",EDATE($D46,Milestones!$AA$156)&gt;=$S46),$V46,IF(AND($R46&lt;&gt;"",EDATE($D46,Milestones!$AA$156)&gt;=$R46),$U46,$T46)))=Milestones!$AB$156),TEXT(EDATE($D46,Milestones!$AA$156),"dd/mm/yy")&amp;" "&amp;Milestones!$AB$156&amp;" "&amp;Milestones!$AC$156&amp;";  ","")&amp;IF(AND(EDATE($D46,Milestones!$AA$157)&lt;=AsOfDate,IF($Q46=0,$W46,IF(AND($S46&lt;&gt;"",EDATE($D46,Milestones!$AA$157)&gt;=$S46),$V46,IF(AND($R46&lt;&gt;"",EDATE($D46,Milestones!$AA$157)&gt;=$R46),$U46,$T46)))=Milestones!$AB$157),TEXT(EDATE($D46,Milestones!$AA$157),"dd/mm/yy")&amp;" "&amp;Milestones!$AB$157&amp;" "&amp;Milestones!$AC$157&amp;";  ","")&amp;IF(AND(EDATE($D46,Milestones!$AA$158)&lt;=AsOfDate,IF($Q46=0,$W46,IF(AND($S46&lt;&gt;"",EDATE($D46,Milestones!$AA$158)&gt;=$S46),$V46,IF(AND($R46&lt;&gt;"",EDATE($D46,Milestones!$AA$158)&gt;=$R46),$U46,$T46)))=Milestones!$AB$158),TEXT(EDATE($D46,Milestones!$AA$158),"dd/mm/yy")&amp;" "&amp;Milestones!$AB$158&amp;" "&amp;Milestones!$AC$158&amp;";  ","")&amp;IF(AND(EDATE($D46,Milestones!$AA$159)&lt;=AsOfDate,IF($Q46=0,$W46,IF(AND($S46&lt;&gt;"",EDATE($D46,Milestones!$AA$159)&gt;=$S46),$V46,IF(AND($R46&lt;&gt;"",EDATE($D46,Milestones!$AA$159)&gt;=$R46),$U46,$T46)))=Milestones!$AB$159),TEXT(EDATE($D46,Milestones!$AA$159),"dd/mm/yy")&amp;" "&amp;Milestones!$AB$159&amp;" "&amp;Milestones!$AC$159&amp;";  ",""))</f>
        <v/>
      </c>
      <c r="O46" s="0" t="str">
        <f aca="false">IF(OR($A46="",$D46=""),"",IF(AND(EDATE($D46,Milestones!$AA$160)&lt;=AsOfDate,IF($Q46=0,$W46,IF(AND($S46&lt;&gt;"",EDATE($D46,Milestones!$AA$160)&gt;=$S46),$V46,IF(AND($R46&lt;&gt;"",EDATE($D46,Milestones!$AA$160)&gt;=$R46),$U46,$T46)))=Milestones!$AB$160),TEXT(EDATE($D46,Milestones!$AA$160),"dd/mm/yy")&amp;" "&amp;Milestones!$AB$160&amp;" "&amp;Milestones!$AC$160&amp;";  ","")&amp;IF(AND(EDATE($D46,Milestones!$AA$161)&lt;=AsOfDate,IF($Q46=0,$W46,IF(AND($S46&lt;&gt;"",EDATE($D46,Milestones!$AA$161)&gt;=$S46),$V46,IF(AND($R46&lt;&gt;"",EDATE($D46,Milestones!$AA$161)&gt;=$R46),$U46,$T46)))=Milestones!$AB$161),TEXT(EDATE($D46,Milestones!$AA$161),"dd/mm/yy")&amp;" "&amp;Milestones!$AB$161&amp;" "&amp;Milestones!$AC$161&amp;";  ","")&amp;IF(AND(EDATE($D46,Milestones!$AA$162)&lt;=AsOfDate,IF($Q46=0,$W46,IF(AND($S46&lt;&gt;"",EDATE($D46,Milestones!$AA$162)&gt;=$S46),$V46,IF(AND($R46&lt;&gt;"",EDATE($D46,Milestones!$AA$162)&gt;=$R46),$U46,$T46)))=Milestones!$AB$162),TEXT(EDATE($D46,Milestones!$AA$162),"dd/mm/yy")&amp;" "&amp;Milestones!$AB$162&amp;" "&amp;Milestones!$AC$162&amp;";  ","")&amp;IF(AND(EDATE($D46,Milestones!$AA$163)&lt;=AsOfDate,IF($Q46=0,$W46,IF(AND($S46&lt;&gt;"",EDATE($D46,Milestones!$AA$163)&gt;=$S46),$V46,IF(AND($R46&lt;&gt;"",EDATE($D46,Milestones!$AA$163)&gt;=$R46),$U46,$T46)))=Milestones!$AB$163),TEXT(EDATE($D46,Milestones!$AA$163),"dd/mm/yy")&amp;" "&amp;Milestones!$AB$163&amp;" "&amp;Milestones!$AC$163&amp;";  ","")&amp;IF(AND(EDATE($D46,Milestones!$AA$164)&lt;=AsOfDate,IF($Q46=0,$W46,IF(AND($S46&lt;&gt;"",EDATE($D46,Milestones!$AA$164)&gt;=$S46),$V46,IF(AND($R46&lt;&gt;"",EDATE($D46,Milestones!$AA$164)&gt;=$R46),$U46,$T46)))=Milestones!$AB$164),TEXT(EDATE($D46,Milestones!$AA$164),"dd/mm/yy")&amp;" "&amp;Milestones!$AB$164&amp;" "&amp;Milestones!$AC$164&amp;";  ","")&amp;IF(AND(EDATE($D46,Milestones!$AA$165)&lt;=AsOfDate,IF($Q46=0,$W46,IF(AND($S46&lt;&gt;"",EDATE($D46,Milestones!$AA$165)&gt;=$S46),$V46,IF(AND($R46&lt;&gt;"",EDATE($D46,Milestones!$AA$165)&gt;=$R46),$U46,$T46)))=Milestones!$AB$165),TEXT(EDATE($D46,Milestones!$AA$165),"dd/mm/yy")&amp;" "&amp;Milestones!$AB$165&amp;" "&amp;Milestones!$AC$165&amp;";  ","")&amp;IF(AND(EDATE($D46,Milestones!$AA$166)&lt;=AsOfDate,IF($Q46=0,$W46,IF(AND($S46&lt;&gt;"",EDATE($D46,Milestones!$AA$166)&gt;=$S46),$V46,IF(AND($R46&lt;&gt;"",EDATE($D46,Milestones!$AA$166)&gt;=$R46),$U46,$T46)))=Milestones!$AB$166),TEXT(EDATE($D46,Milestones!$AA$166),"dd/mm/yy")&amp;" "&amp;Milestones!$AB$166&amp;" "&amp;Milestones!$AC$166&amp;";  ","")&amp;IF(AND(EDATE($D46,Milestones!$AA$167)&lt;=AsOfDate,IF($Q46=0,$W46,IF(AND($S46&lt;&gt;"",EDATE($D46,Milestones!$AA$167)&gt;=$S46),$V46,IF(AND($R46&lt;&gt;"",EDATE($D46,Milestones!$AA$167)&gt;=$R46),$U46,$T46)))=Milestones!$AB$167),TEXT(EDATE($D46,Milestones!$AA$167),"dd/mm/yy")&amp;" "&amp;Milestones!$AB$167&amp;" "&amp;Milestones!$AC$167&amp;";  ","")&amp;IF(AND(EDATE($D46,Milestones!$AA$168)&lt;=AsOfDate,IF($Q46=0,$W46,IF(AND($S46&lt;&gt;"",EDATE($D46,Milestones!$AA$168)&gt;=$S46),$V46,IF(AND($R46&lt;&gt;"",EDATE($D46,Milestones!$AA$168)&gt;=$R46),$U46,$T46)))=Milestones!$AB$168),TEXT(EDATE($D46,Milestones!$AA$168),"dd/mm/yy")&amp;" "&amp;Milestones!$AB$168&amp;" "&amp;Milestones!$AC$168&amp;";  ","")&amp;IF(AND(EDATE($D46,Milestones!$AA$169)&lt;=AsOfDate,IF($Q46=0,$W46,IF(AND($S46&lt;&gt;"",EDATE($D46,Milestones!$AA$169)&gt;=$S46),$V46,IF(AND($R46&lt;&gt;"",EDATE($D46,Milestones!$AA$169)&gt;=$R46),$U46,$T46)))=Milestones!$AB$169),TEXT(EDATE($D46,Milestones!$AA$169),"dd/mm/yy")&amp;" "&amp;Milestones!$AB$169&amp;" "&amp;Milestones!$AC$169&amp;";  ","")&amp;IF(AND(EDATE($D46,Milestones!$AA$170)&lt;=AsOfDate,IF($Q46=0,$W46,IF(AND($S46&lt;&gt;"",EDATE($D46,Milestones!$AA$170)&gt;=$S46),$V46,IF(AND($R46&lt;&gt;"",EDATE($D46,Milestones!$AA$170)&gt;=$R46),$U46,$T46)))=Milestones!$AB$170),TEXT(EDATE($D46,Milestones!$AA$170),"dd/mm/yy")&amp;" "&amp;Milestones!$AB$170&amp;" "&amp;Milestones!$AC$170&amp;";  ","")&amp;IF(AND(EDATE($D46,Milestones!$AA$171)&lt;=AsOfDate,IF($Q46=0,$W46,IF(AND($S46&lt;&gt;"",EDATE($D46,Milestones!$AA$171)&gt;=$S46),$V46,IF(AND($R46&lt;&gt;"",EDATE($D46,Milestones!$AA$171)&gt;=$R46),$U46,$T46)))=Milestones!$AB$171),TEXT(EDATE($D46,Milestones!$AA$171),"dd/mm/yy")&amp;" "&amp;Milestones!$AB$171&amp;" "&amp;Milestones!$AC$171&amp;";  ","")&amp;IF(AND(EDATE($D46,Milestones!$AA$172)&lt;=AsOfDate,IF($Q46=0,$W46,IF(AND($S46&lt;&gt;"",EDATE($D46,Milestones!$AA$172)&gt;=$S46),$V46,IF(AND($R46&lt;&gt;"",EDATE($D46,Milestones!$AA$172)&gt;=$R46),$U46,$T46)))=Milestones!$AB$172),TEXT(EDATE($D46,Milestones!$AA$172),"dd/mm/yy")&amp;" "&amp;Milestones!$AB$172&amp;" "&amp;Milestones!$AC$172&amp;";  ","")&amp;IF(AND(EDATE($D46,Milestones!$AA$173)&lt;=AsOfDate,IF($Q46=0,$W46,IF(AND($S46&lt;&gt;"",EDATE($D46,Milestones!$AA$173)&gt;=$S46),$V46,IF(AND($R46&lt;&gt;"",EDATE($D46,Milestones!$AA$173)&gt;=$R46),$U46,$T46)))=Milestones!$AB$173),TEXT(EDATE($D46,Milestones!$AA$173),"dd/mm/yy")&amp;" "&amp;Milestones!$AB$173&amp;" "&amp;Milestones!$AC$173&amp;";  ","")&amp;IF(AND(EDATE($D46,Milestones!$AA$174)&lt;=AsOfDate,IF($Q46=0,$W46,IF(AND($S46&lt;&gt;"",EDATE($D46,Milestones!$AA$174)&gt;=$S46),$V46,IF(AND($R46&lt;&gt;"",EDATE($D46,Milestones!$AA$174)&gt;=$R46),$U46,$T46)))=Milestones!$AB$174),TEXT(EDATE($D46,Milestones!$AA$174),"dd/mm/yy")&amp;" "&amp;Milestones!$AB$174&amp;" "&amp;Milestones!$AC$174&amp;";  ","")&amp;IF(AND(EDATE($D46,Milestones!$AA$175)&lt;=AsOfDate,IF($Q46=0,$W46,IF(AND($S46&lt;&gt;"",EDATE($D46,Milestones!$AA$175)&gt;=$S46),$V46,IF(AND($R46&lt;&gt;"",EDATE($D46,Milestones!$AA$175)&gt;=$R46),$U46,$T46)))=Milestones!$AB$175),TEXT(EDATE($D46,Milestones!$AA$175),"dd/mm/yy")&amp;" "&amp;Milestones!$AB$175&amp;" "&amp;Milestones!$AC$175&amp;";  ","")&amp;IF(AND(EDATE($D46,Milestones!$AA$176)&lt;=AsOfDate,IF($Q46=0,$W46,IF(AND($S46&lt;&gt;"",EDATE($D46,Milestones!$AA$176)&gt;=$S46),$V46,IF(AND($R46&lt;&gt;"",EDATE($D46,Milestones!$AA$176)&gt;=$R46),$U46,$T46)))=Milestones!$AB$176),TEXT(EDATE($D46,Milestones!$AA$176),"dd/mm/yy")&amp;" "&amp;Milestones!$AB$176&amp;" "&amp;Milestones!$AC$176&amp;";  ","")&amp;IF(AND(EDATE($D46,Milestones!$AA$177)&lt;=AsOfDate,IF($Q46=0,$W46,IF(AND($S46&lt;&gt;"",EDATE($D46,Milestones!$AA$177)&gt;=$S46),$V46,IF(AND($R46&lt;&gt;"",EDATE($D46,Milestones!$AA$177)&gt;=$R46),$U46,$T46)))=Milestones!$AB$177),TEXT(EDATE($D46,Milestones!$AA$177),"dd/mm/yy")&amp;" "&amp;Milestones!$AB$177&amp;" "&amp;Milestones!$AC$177&amp;";  ","")&amp;IF(AND(EDATE($D46,Milestones!$AA$178)&lt;=AsOfDate,IF($Q46=0,$W46,IF(AND($S46&lt;&gt;"",EDATE($D46,Milestones!$AA$178)&gt;=$S46),$V46,IF(AND($R46&lt;&gt;"",EDATE($D46,Milestones!$AA$178)&gt;=$R46),$U46,$T46)))=Milestones!$AB$178),TEXT(EDATE($D46,Milestones!$AA$178),"dd/mm/yy")&amp;" "&amp;Milestones!$AB$178&amp;" "&amp;Milestones!$AC$178&amp;";  ","")&amp;IF(AND(EDATE($D46,Milestones!$AA$179)&lt;=AsOfDate,IF($Q46=0,$W46,IF(AND($S46&lt;&gt;"",EDATE($D46,Milestones!$AA$179)&gt;=$S46),$V46,IF(AND($R46&lt;&gt;"",EDATE($D46,Milestones!$AA$179)&gt;=$R46),$U46,$T46)))=Milestones!$AB$179),TEXT(EDATE($D46,Milestones!$AA$179),"dd/mm/yy")&amp;" "&amp;Milestones!$AB$179&amp;" "&amp;Milestones!$AC$179&amp;";  ",""))</f>
        <v/>
      </c>
      <c r="P46" s="0" t="str">
        <f aca="false">IF(OR($A46="",$D46=""),"",IF(AND(EDATE($D46,Milestones!$AA$180)&lt;=AsOfDate,IF($Q46=0,$W46,IF(AND($S46&lt;&gt;"",EDATE($D46,Milestones!$AA$180)&gt;=$S46),$V46,IF(AND($R46&lt;&gt;"",EDATE($D46,Milestones!$AA$180)&gt;=$R46),$U46,$T46)))=Milestones!$AB$180),TEXT(EDATE($D46,Milestones!$AA$180),"dd/mm/yy")&amp;" "&amp;Milestones!$AB$180&amp;" "&amp;Milestones!$AC$180&amp;";  ","")&amp;IF(AND(EDATE($D46,Milestones!$AA$181)&lt;=AsOfDate,IF($Q46=0,$W46,IF(AND($S46&lt;&gt;"",EDATE($D46,Milestones!$AA$181)&gt;=$S46),$V46,IF(AND($R46&lt;&gt;"",EDATE($D46,Milestones!$AA$181)&gt;=$R46),$U46,$T46)))=Milestones!$AB$181),TEXT(EDATE($D46,Milestones!$AA$181),"dd/mm/yy")&amp;" "&amp;Milestones!$AB$181&amp;" "&amp;Milestones!$AC$181&amp;";  ","")&amp;IF(AND(EDATE($D46,Milestones!$AA$182)&lt;=AsOfDate,IF($Q46=0,$W46,IF(AND($S46&lt;&gt;"",EDATE($D46,Milestones!$AA$182)&gt;=$S46),$V46,IF(AND($R46&lt;&gt;"",EDATE($D46,Milestones!$AA$182)&gt;=$R46),$U46,$T46)))=Milestones!$AB$182),TEXT(EDATE($D46,Milestones!$AA$182),"dd/mm/yy")&amp;" "&amp;Milestones!$AB$182&amp;" "&amp;Milestones!$AC$182&amp;";  ","")&amp;IF(AND(EDATE($D46,Milestones!$AA$183)&lt;=AsOfDate,IF($Q46=0,$W46,IF(AND($S46&lt;&gt;"",EDATE($D46,Milestones!$AA$183)&gt;=$S46),$V46,IF(AND($R46&lt;&gt;"",EDATE($D46,Milestones!$AA$183)&gt;=$R46),$U46,$T46)))=Milestones!$AB$183),TEXT(EDATE($D46,Milestones!$AA$183),"dd/mm/yy")&amp;" "&amp;Milestones!$AB$183&amp;" "&amp;Milestones!$AC$183&amp;";  ","")&amp;IF(AND(EDATE($D46,Milestones!$AA$184)&lt;=AsOfDate,IF($Q46=0,$W46,IF(AND($S46&lt;&gt;"",EDATE($D46,Milestones!$AA$184)&gt;=$S46),$V46,IF(AND($R46&lt;&gt;"",EDATE($D46,Milestones!$AA$184)&gt;=$R46),$U46,$T46)))=Milestones!$AB$184),TEXT(EDATE($D46,Milestones!$AA$184),"dd/mm/yy")&amp;" "&amp;Milestones!$AB$184&amp;" "&amp;Milestones!$AC$184&amp;";  ","")&amp;IF(AND(EDATE($D46,Milestones!$AA$185)&lt;=AsOfDate,IF($Q46=0,$W46,IF(AND($S46&lt;&gt;"",EDATE($D46,Milestones!$AA$185)&gt;=$S46),$V46,IF(AND($R46&lt;&gt;"",EDATE($D46,Milestones!$AA$185)&gt;=$R46),$U46,$T46)))=Milestones!$AB$185),TEXT(EDATE($D46,Milestones!$AA$185),"dd/mm/yy")&amp;" "&amp;Milestones!$AB$185&amp;" "&amp;Milestones!$AC$185&amp;";  ","")&amp;IF(AND(EDATE($D46,Milestones!$AA$186)&lt;=AsOfDate,IF($Q46=0,$W46,IF(AND($S46&lt;&gt;"",EDATE($D46,Milestones!$AA$186)&gt;=$S46),$V46,IF(AND($R46&lt;&gt;"",EDATE($D46,Milestones!$AA$186)&gt;=$R46),$U46,$T46)))=Milestones!$AB$186),TEXT(EDATE($D46,Milestones!$AA$186),"dd/mm/yy")&amp;" "&amp;Milestones!$AB$186&amp;" "&amp;Milestones!$AC$186&amp;";  ","")&amp;IF(AND(EDATE($D46,Milestones!$AA$187)&lt;=AsOfDate,IF($Q46=0,$W46,IF(AND($S46&lt;&gt;"",EDATE($D46,Milestones!$AA$187)&gt;=$S46),$V46,IF(AND($R46&lt;&gt;"",EDATE($D46,Milestones!$AA$187)&gt;=$R46),$U46,$T46)))=Milestones!$AB$187),TEXT(EDATE($D46,Milestones!$AA$187),"dd/mm/yy")&amp;" "&amp;Milestones!$AB$187&amp;" "&amp;Milestones!$AC$187&amp;";  ","")&amp;IF(AND(EDATE($D46,Milestones!$AA$188)&lt;=AsOfDate,IF($Q46=0,$W46,IF(AND($S46&lt;&gt;"",EDATE($D46,Milestones!$AA$188)&gt;=$S46),$V46,IF(AND($R46&lt;&gt;"",EDATE($D46,Milestones!$AA$188)&gt;=$R46),$U46,$T46)))=Milestones!$AB$188),TEXT(EDATE($D46,Milestones!$AA$188),"dd/mm/yy")&amp;" "&amp;Milestones!$AB$188&amp;" "&amp;Milestones!$AC$188&amp;";  ","")&amp;IF(AND(EDATE($D46,Milestones!$AA$189)&lt;=AsOfDate,IF($Q46=0,$W46,IF(AND($S46&lt;&gt;"",EDATE($D46,Milestones!$AA$189)&gt;=$S46),$V46,IF(AND($R46&lt;&gt;"",EDATE($D46,Milestones!$AA$189)&gt;=$R46),$U46,$T46)))=Milestones!$AB$189),TEXT(EDATE($D46,Milestones!$AA$189),"dd/mm/yy")&amp;" "&amp;Milestones!$AB$189&amp;" "&amp;Milestones!$AC$189&amp;";  ","")&amp;IF(AND(EDATE($D46,Milestones!$AA$190)&lt;=AsOfDate,IF($Q46=0,$W46,IF(AND($S46&lt;&gt;"",EDATE($D46,Milestones!$AA$190)&gt;=$S46),$V46,IF(AND($R46&lt;&gt;"",EDATE($D46,Milestones!$AA$190)&gt;=$R46),$U46,$T46)))=Milestones!$AB$190),TEXT(EDATE($D46,Milestones!$AA$190),"dd/mm/yy")&amp;" "&amp;Milestones!$AB$190&amp;" "&amp;Milestones!$AC$190&amp;";  ","")&amp;IF(AND(EDATE($D46,Milestones!$AA$191)&lt;=AsOfDate,IF($Q46=0,$W46,IF(AND($S46&lt;&gt;"",EDATE($D46,Milestones!$AA$191)&gt;=$S46),$V46,IF(AND($R46&lt;&gt;"",EDATE($D46,Milestones!$AA$191)&gt;=$R46),$U46,$T46)))=Milestones!$AB$191),TEXT(EDATE($D46,Milestones!$AA$191),"dd/mm/yy")&amp;" "&amp;Milestones!$AB$191&amp;" "&amp;Milestones!$AC$191&amp;";  ","")&amp;IF(AND(EDATE($D46,Milestones!$AA$192)&lt;=AsOfDate,IF($Q46=0,$W46,IF(AND($S46&lt;&gt;"",EDATE($D46,Milestones!$AA$192)&gt;=$S46),$V46,IF(AND($R46&lt;&gt;"",EDATE($D46,Milestones!$AA$192)&gt;=$R46),$U46,$T46)))=Milestones!$AB$192),TEXT(EDATE($D46,Milestones!$AA$192),"dd/mm/yy")&amp;" "&amp;Milestones!$AB$192&amp;" "&amp;Milestones!$AC$192&amp;";  ","")&amp;IF(AND(EDATE($D46,Milestones!$AA$193)&lt;=AsOfDate,IF($Q46=0,$W46,IF(AND($S46&lt;&gt;"",EDATE($D46,Milestones!$AA$193)&gt;=$S46),$V46,IF(AND($R46&lt;&gt;"",EDATE($D46,Milestones!$AA$193)&gt;=$R46),$U46,$T46)))=Milestones!$AB$193),TEXT(EDATE($D46,Milestones!$AA$193),"dd/mm/yy")&amp;" "&amp;Milestones!$AB$193&amp;" "&amp;Milestones!$AC$193&amp;";  ","")&amp;IF(AND(EDATE($D46,Milestones!$AA$194)&lt;=AsOfDate,IF($Q46=0,$W46,IF(AND($S46&lt;&gt;"",EDATE($D46,Milestones!$AA$194)&gt;=$S46),$V46,IF(AND($R46&lt;&gt;"",EDATE($D46,Milestones!$AA$194)&gt;=$R46),$U46,$T46)))=Milestones!$AB$194),TEXT(EDATE($D46,Milestones!$AA$194),"dd/mm/yy")&amp;" "&amp;Milestones!$AB$194&amp;" "&amp;Milestones!$AC$194&amp;";  ","")&amp;IF(AND(EDATE($D46,Milestones!$AA$195)&lt;=AsOfDate,IF($Q46=0,$W46,IF(AND($S46&lt;&gt;"",EDATE($D46,Milestones!$AA$195)&gt;=$S46),$V46,IF(AND($R46&lt;&gt;"",EDATE($D46,Milestones!$AA$195)&gt;=$R46),$U46,$T46)))=Milestones!$AB$195),TEXT(EDATE($D46,Milestones!$AA$195),"dd/mm/yy")&amp;" "&amp;Milestones!$AB$195&amp;" "&amp;Milestones!$AC$195&amp;";  ","")&amp;IF(AND(EDATE($D46,Milestones!$AA$196)&lt;=AsOfDate,IF($Q46=0,$W46,IF(AND($S46&lt;&gt;"",EDATE($D46,Milestones!$AA$196)&gt;=$S46),$V46,IF(AND($R46&lt;&gt;"",EDATE($D46,Milestones!$AA$196)&gt;=$R46),$U46,$T46)))=Milestones!$AB$196),TEXT(EDATE($D46,Milestones!$AA$196),"dd/mm/yy")&amp;" "&amp;Milestones!$AB$196&amp;" "&amp;Milestones!$AC$196&amp;";  ","")&amp;IF(AND(EDATE($D46,Milestones!$AA$197)&lt;=AsOfDate,IF($Q46=0,$W46,IF(AND($S46&lt;&gt;"",EDATE($D46,Milestones!$AA$197)&gt;=$S46),$V46,IF(AND($R46&lt;&gt;"",EDATE($D46,Milestones!$AA$197)&gt;=$R46),$U46,$T46)))=Milestones!$AB$197),TEXT(EDATE($D46,Milestones!$AA$197),"dd/mm/yy")&amp;" "&amp;Milestones!$AB$197&amp;" "&amp;Milestones!$AC$197&amp;";  ","")&amp;IF(AND(EDATE($D46,Milestones!$AA$198)&lt;=AsOfDate,IF($Q46=0,$W46,IF(AND($S46&lt;&gt;"",EDATE($D46,Milestones!$AA$198)&gt;=$S46),$V46,IF(AND($R46&lt;&gt;"",EDATE($D46,Milestones!$AA$198)&gt;=$R46),$U46,$T46)))=Milestones!$AB$198),TEXT(EDATE($D46,Milestones!$AA$198),"dd/mm/yy")&amp;" "&amp;Milestones!$AB$198&amp;" "&amp;Milestones!$AC$198&amp;";  ","")&amp;IF(AND(EDATE($D46,Milestones!$AA$199)&lt;=AsOfDate,IF($Q46=0,$W46,IF(AND($S46&lt;&gt;"",EDATE($D46,Milestones!$AA$199)&gt;=$S46),$V46,IF(AND($R46&lt;&gt;"",EDATE($D46,Milestones!$AA$199)&gt;=$R46),$U46,$T46)))=Milestones!$AB$199),TEXT(EDATE($D46,Milestones!$AA$199),"dd/mm/yy")&amp;" "&amp;Milestones!$AB$199&amp;" "&amp;Milestones!$AC$199&amp;";  ",""))</f>
        <v/>
      </c>
      <c r="Q46" s="0" t="str">
        <f aca="false">IF(Staff!$A46="","",Staff!$AG46)</f>
        <v/>
      </c>
      <c r="R46" s="0" t="str">
        <f aca="false">IF(Staff!$A46="","",Staff!$AI46)</f>
        <v/>
      </c>
      <c r="S46" s="0" t="str">
        <f aca="false">IF(Staff!$A46="","",Staff!$AJ46)</f>
        <v/>
      </c>
      <c r="T46" s="0" t="str">
        <f aca="false">IF(Staff!$A46="","",Staff!$AN46)</f>
        <v/>
      </c>
      <c r="U46" s="0" t="str">
        <f aca="false">IF(Staff!$A46="","",Staff!$AO46)</f>
        <v/>
      </c>
      <c r="V46" s="0" t="str">
        <f aca="false">IF(Staff!$A46="","",Staff!$AP46)</f>
        <v/>
      </c>
      <c r="W46" s="0" t="str">
        <f aca="false">IF(Staff!$A46="","",Staff!$AQ46)</f>
        <v/>
      </c>
    </row>
    <row r="47" customFormat="false" ht="15" hidden="false" customHeight="false" outlineLevel="0" collapsed="false">
      <c r="A47" s="13" t="str">
        <f aca="false">IF(Staff!$A47="","",Staff!$A47)</f>
        <v/>
      </c>
      <c r="B47" s="13" t="str">
        <f aca="false">IF(Staff!$A47="","",Staff!$B47)</f>
        <v/>
      </c>
      <c r="C47" s="13" t="str">
        <f aca="false">IF(Staff!$A47="","",Staff!$C47)</f>
        <v/>
      </c>
      <c r="D47" s="11" t="str">
        <f aca="false">IF(Staff!$A47="","",Staff!$AF47)</f>
        <v/>
      </c>
      <c r="E47" s="13" t="str">
        <f aca="false">IF(Staff!$A47="","",Staff!$O47)</f>
        <v/>
      </c>
      <c r="F47" s="13" t="str">
        <f aca="false">IF(E47="","",E47*HoursPerDay)</f>
        <v/>
      </c>
      <c r="G47" s="26" t="str">
        <f aca="false">IF($A47="","",H47&amp;I47&amp;J47&amp;K47&amp;L47&amp;M47&amp;N47&amp;O47&amp;P47)</f>
        <v/>
      </c>
      <c r="H47" s="0" t="str">
        <f aca="false">IF(OR($A47="",$D47=""),"",IF(AND(EDATE($D47,Milestones!$AA$20)&lt;=AsOfDate,IF($Q47=0,$W47,IF(AND($S47&lt;&gt;"",EDATE($D47,Milestones!$AA$20)&gt;=$S47),$V47,IF(AND($R47&lt;&gt;"",EDATE($D47,Milestones!$AA$20)&gt;=$R47),$U47,$T47)))=Milestones!$AB$20),TEXT(EDATE($D47,Milestones!$AA$20),"dd/mm/yy")&amp;" "&amp;Milestones!$AB$20&amp;" "&amp;Milestones!$AC$20&amp;";  ","")&amp;IF(AND(EDATE($D47,Milestones!$AA$21)&lt;=AsOfDate,IF($Q47=0,$W47,IF(AND($S47&lt;&gt;"",EDATE($D47,Milestones!$AA$21)&gt;=$S47),$V47,IF(AND($R47&lt;&gt;"",EDATE($D47,Milestones!$AA$21)&gt;=$R47),$U47,$T47)))=Milestones!$AB$21),TEXT(EDATE($D47,Milestones!$AA$21),"dd/mm/yy")&amp;" "&amp;Milestones!$AB$21&amp;" "&amp;Milestones!$AC$21&amp;";  ","")&amp;IF(AND(EDATE($D47,Milestones!$AA$22)&lt;=AsOfDate,IF($Q47=0,$W47,IF(AND($S47&lt;&gt;"",EDATE($D47,Milestones!$AA$22)&gt;=$S47),$V47,IF(AND($R47&lt;&gt;"",EDATE($D47,Milestones!$AA$22)&gt;=$R47),$U47,$T47)))=Milestones!$AB$22),TEXT(EDATE($D47,Milestones!$AA$22),"dd/mm/yy")&amp;" "&amp;Milestones!$AB$22&amp;" "&amp;Milestones!$AC$22&amp;";  ","")&amp;IF(AND(EDATE($D47,Milestones!$AA$23)&lt;=AsOfDate,IF($Q47=0,$W47,IF(AND($S47&lt;&gt;"",EDATE($D47,Milestones!$AA$23)&gt;=$S47),$V47,IF(AND($R47&lt;&gt;"",EDATE($D47,Milestones!$AA$23)&gt;=$R47),$U47,$T47)))=Milestones!$AB$23),TEXT(EDATE($D47,Milestones!$AA$23),"dd/mm/yy")&amp;" "&amp;Milestones!$AB$23&amp;" "&amp;Milestones!$AC$23&amp;";  ","")&amp;IF(AND(EDATE($D47,Milestones!$AA$24)&lt;=AsOfDate,IF($Q47=0,$W47,IF(AND($S47&lt;&gt;"",EDATE($D47,Milestones!$AA$24)&gt;=$S47),$V47,IF(AND($R47&lt;&gt;"",EDATE($D47,Milestones!$AA$24)&gt;=$R47),$U47,$T47)))=Milestones!$AB$24),TEXT(EDATE($D47,Milestones!$AA$24),"dd/mm/yy")&amp;" "&amp;Milestones!$AB$24&amp;" "&amp;Milestones!$AC$24&amp;";  ","")&amp;IF(AND(EDATE($D47,Milestones!$AA$25)&lt;=AsOfDate,IF($Q47=0,$W47,IF(AND($S47&lt;&gt;"",EDATE($D47,Milestones!$AA$25)&gt;=$S47),$V47,IF(AND($R47&lt;&gt;"",EDATE($D47,Milestones!$AA$25)&gt;=$R47),$U47,$T47)))=Milestones!$AB$25),TEXT(EDATE($D47,Milestones!$AA$25),"dd/mm/yy")&amp;" "&amp;Milestones!$AB$25&amp;" "&amp;Milestones!$AC$25&amp;";  ","")&amp;IF(AND(EDATE($D47,Milestones!$AA$26)&lt;=AsOfDate,IF($Q47=0,$W47,IF(AND($S47&lt;&gt;"",EDATE($D47,Milestones!$AA$26)&gt;=$S47),$V47,IF(AND($R47&lt;&gt;"",EDATE($D47,Milestones!$AA$26)&gt;=$R47),$U47,$T47)))=Milestones!$AB$26),TEXT(EDATE($D47,Milestones!$AA$26),"dd/mm/yy")&amp;" "&amp;Milestones!$AB$26&amp;" "&amp;Milestones!$AC$26&amp;";  ","")&amp;IF(AND(EDATE($D47,Milestones!$AA$27)&lt;=AsOfDate,IF($Q47=0,$W47,IF(AND($S47&lt;&gt;"",EDATE($D47,Milestones!$AA$27)&gt;=$S47),$V47,IF(AND($R47&lt;&gt;"",EDATE($D47,Milestones!$AA$27)&gt;=$R47),$U47,$T47)))=Milestones!$AB$27),TEXT(EDATE($D47,Milestones!$AA$27),"dd/mm/yy")&amp;" "&amp;Milestones!$AB$27&amp;" "&amp;Milestones!$AC$27&amp;";  ","")&amp;IF(AND(EDATE($D47,Milestones!$AA$28)&lt;=AsOfDate,IF($Q47=0,$W47,IF(AND($S47&lt;&gt;"",EDATE($D47,Milestones!$AA$28)&gt;=$S47),$V47,IF(AND($R47&lt;&gt;"",EDATE($D47,Milestones!$AA$28)&gt;=$R47),$U47,$T47)))=Milestones!$AB$28),TEXT(EDATE($D47,Milestones!$AA$28),"dd/mm/yy")&amp;" "&amp;Milestones!$AB$28&amp;" "&amp;Milestones!$AC$28&amp;";  ","")&amp;IF(AND(EDATE($D47,Milestones!$AA$29)&lt;=AsOfDate,IF($Q47=0,$W47,IF(AND($S47&lt;&gt;"",EDATE($D47,Milestones!$AA$29)&gt;=$S47),$V47,IF(AND($R47&lt;&gt;"",EDATE($D47,Milestones!$AA$29)&gt;=$R47),$U47,$T47)))=Milestones!$AB$29),TEXT(EDATE($D47,Milestones!$AA$29),"dd/mm/yy")&amp;" "&amp;Milestones!$AB$29&amp;" "&amp;Milestones!$AC$29&amp;";  ","")&amp;IF(AND(EDATE($D47,Milestones!$AA$30)&lt;=AsOfDate,IF($Q47=0,$W47,IF(AND($S47&lt;&gt;"",EDATE($D47,Milestones!$AA$30)&gt;=$S47),$V47,IF(AND($R47&lt;&gt;"",EDATE($D47,Milestones!$AA$30)&gt;=$R47),$U47,$T47)))=Milestones!$AB$30),TEXT(EDATE($D47,Milestones!$AA$30),"dd/mm/yy")&amp;" "&amp;Milestones!$AB$30&amp;" "&amp;Milestones!$AC$30&amp;";  ","")&amp;IF(AND(EDATE($D47,Milestones!$AA$31)&lt;=AsOfDate,IF($Q47=0,$W47,IF(AND($S47&lt;&gt;"",EDATE($D47,Milestones!$AA$31)&gt;=$S47),$V47,IF(AND($R47&lt;&gt;"",EDATE($D47,Milestones!$AA$31)&gt;=$R47),$U47,$T47)))=Milestones!$AB$31),TEXT(EDATE($D47,Milestones!$AA$31),"dd/mm/yy")&amp;" "&amp;Milestones!$AB$31&amp;" "&amp;Milestones!$AC$31&amp;";  ","")&amp;IF(AND(EDATE($D47,Milestones!$AA$32)&lt;=AsOfDate,IF($Q47=0,$W47,IF(AND($S47&lt;&gt;"",EDATE($D47,Milestones!$AA$32)&gt;=$S47),$V47,IF(AND($R47&lt;&gt;"",EDATE($D47,Milestones!$AA$32)&gt;=$R47),$U47,$T47)))=Milestones!$AB$32),TEXT(EDATE($D47,Milestones!$AA$32),"dd/mm/yy")&amp;" "&amp;Milestones!$AB$32&amp;" "&amp;Milestones!$AC$32&amp;";  ","")&amp;IF(AND(EDATE($D47,Milestones!$AA$33)&lt;=AsOfDate,IF($Q47=0,$W47,IF(AND($S47&lt;&gt;"",EDATE($D47,Milestones!$AA$33)&gt;=$S47),$V47,IF(AND($R47&lt;&gt;"",EDATE($D47,Milestones!$AA$33)&gt;=$R47),$U47,$T47)))=Milestones!$AB$33),TEXT(EDATE($D47,Milestones!$AA$33),"dd/mm/yy")&amp;" "&amp;Milestones!$AB$33&amp;" "&amp;Milestones!$AC$33&amp;";  ","")&amp;IF(AND(EDATE($D47,Milestones!$AA$34)&lt;=AsOfDate,IF($Q47=0,$W47,IF(AND($S47&lt;&gt;"",EDATE($D47,Milestones!$AA$34)&gt;=$S47),$V47,IF(AND($R47&lt;&gt;"",EDATE($D47,Milestones!$AA$34)&gt;=$R47),$U47,$T47)))=Milestones!$AB$34),TEXT(EDATE($D47,Milestones!$AA$34),"dd/mm/yy")&amp;" "&amp;Milestones!$AB$34&amp;" "&amp;Milestones!$AC$34&amp;";  ","")&amp;IF(AND(EDATE($D47,Milestones!$AA$35)&lt;=AsOfDate,IF($Q47=0,$W47,IF(AND($S47&lt;&gt;"",EDATE($D47,Milestones!$AA$35)&gt;=$S47),$V47,IF(AND($R47&lt;&gt;"",EDATE($D47,Milestones!$AA$35)&gt;=$R47),$U47,$T47)))=Milestones!$AB$35),TEXT(EDATE($D47,Milestones!$AA$35),"dd/mm/yy")&amp;" "&amp;Milestones!$AB$35&amp;" "&amp;Milestones!$AC$35&amp;";  ","")&amp;IF(AND(EDATE($D47,Milestones!$AA$36)&lt;=AsOfDate,IF($Q47=0,$W47,IF(AND($S47&lt;&gt;"",EDATE($D47,Milestones!$AA$36)&gt;=$S47),$V47,IF(AND($R47&lt;&gt;"",EDATE($D47,Milestones!$AA$36)&gt;=$R47),$U47,$T47)))=Milestones!$AB$36),TEXT(EDATE($D47,Milestones!$AA$36),"dd/mm/yy")&amp;" "&amp;Milestones!$AB$36&amp;" "&amp;Milestones!$AC$36&amp;";  ","")&amp;IF(AND(EDATE($D47,Milestones!$AA$37)&lt;=AsOfDate,IF($Q47=0,$W47,IF(AND($S47&lt;&gt;"",EDATE($D47,Milestones!$AA$37)&gt;=$S47),$V47,IF(AND($R47&lt;&gt;"",EDATE($D47,Milestones!$AA$37)&gt;=$R47),$U47,$T47)))=Milestones!$AB$37),TEXT(EDATE($D47,Milestones!$AA$37),"dd/mm/yy")&amp;" "&amp;Milestones!$AB$37&amp;" "&amp;Milestones!$AC$37&amp;";  ","")&amp;IF(AND(EDATE($D47,Milestones!$AA$38)&lt;=AsOfDate,IF($Q47=0,$W47,IF(AND($S47&lt;&gt;"",EDATE($D47,Milestones!$AA$38)&gt;=$S47),$V47,IF(AND($R47&lt;&gt;"",EDATE($D47,Milestones!$AA$38)&gt;=$R47),$U47,$T47)))=Milestones!$AB$38),TEXT(EDATE($D47,Milestones!$AA$38),"dd/mm/yy")&amp;" "&amp;Milestones!$AB$38&amp;" "&amp;Milestones!$AC$38&amp;";  ","")&amp;IF(AND(EDATE($D47,Milestones!$AA$39)&lt;=AsOfDate,IF($Q47=0,$W47,IF(AND($S47&lt;&gt;"",EDATE($D47,Milestones!$AA$39)&gt;=$S47),$V47,IF(AND($R47&lt;&gt;"",EDATE($D47,Milestones!$AA$39)&gt;=$R47),$U47,$T47)))=Milestones!$AB$39),TEXT(EDATE($D47,Milestones!$AA$39),"dd/mm/yy")&amp;" "&amp;Milestones!$AB$39&amp;" "&amp;Milestones!$AC$39&amp;";  ",""))</f>
        <v/>
      </c>
      <c r="I47" s="0" t="str">
        <f aca="false">IF(OR($A47="",$D47=""),"",IF(AND(EDATE($D47,Milestones!$AA$40)&lt;=AsOfDate,IF($Q47=0,$W47,IF(AND($S47&lt;&gt;"",EDATE($D47,Milestones!$AA$40)&gt;=$S47),$V47,IF(AND($R47&lt;&gt;"",EDATE($D47,Milestones!$AA$40)&gt;=$R47),$U47,$T47)))=Milestones!$AB$40),TEXT(EDATE($D47,Milestones!$AA$40),"dd/mm/yy")&amp;" "&amp;Milestones!$AB$40&amp;" "&amp;Milestones!$AC$40&amp;";  ","")&amp;IF(AND(EDATE($D47,Milestones!$AA$41)&lt;=AsOfDate,IF($Q47=0,$W47,IF(AND($S47&lt;&gt;"",EDATE($D47,Milestones!$AA$41)&gt;=$S47),$V47,IF(AND($R47&lt;&gt;"",EDATE($D47,Milestones!$AA$41)&gt;=$R47),$U47,$T47)))=Milestones!$AB$41),TEXT(EDATE($D47,Milestones!$AA$41),"dd/mm/yy")&amp;" "&amp;Milestones!$AB$41&amp;" "&amp;Milestones!$AC$41&amp;";  ","")&amp;IF(AND(EDATE($D47,Milestones!$AA$42)&lt;=AsOfDate,IF($Q47=0,$W47,IF(AND($S47&lt;&gt;"",EDATE($D47,Milestones!$AA$42)&gt;=$S47),$V47,IF(AND($R47&lt;&gt;"",EDATE($D47,Milestones!$AA$42)&gt;=$R47),$U47,$T47)))=Milestones!$AB$42),TEXT(EDATE($D47,Milestones!$AA$42),"dd/mm/yy")&amp;" "&amp;Milestones!$AB$42&amp;" "&amp;Milestones!$AC$42&amp;";  ","")&amp;IF(AND(EDATE($D47,Milestones!$AA$43)&lt;=AsOfDate,IF($Q47=0,$W47,IF(AND($S47&lt;&gt;"",EDATE($D47,Milestones!$AA$43)&gt;=$S47),$V47,IF(AND($R47&lt;&gt;"",EDATE($D47,Milestones!$AA$43)&gt;=$R47),$U47,$T47)))=Milestones!$AB$43),TEXT(EDATE($D47,Milestones!$AA$43),"dd/mm/yy")&amp;" "&amp;Milestones!$AB$43&amp;" "&amp;Milestones!$AC$43&amp;";  ","")&amp;IF(AND(EDATE($D47,Milestones!$AA$44)&lt;=AsOfDate,IF($Q47=0,$W47,IF(AND($S47&lt;&gt;"",EDATE($D47,Milestones!$AA$44)&gt;=$S47),$V47,IF(AND($R47&lt;&gt;"",EDATE($D47,Milestones!$AA$44)&gt;=$R47),$U47,$T47)))=Milestones!$AB$44),TEXT(EDATE($D47,Milestones!$AA$44),"dd/mm/yy")&amp;" "&amp;Milestones!$AB$44&amp;" "&amp;Milestones!$AC$44&amp;";  ","")&amp;IF(AND(EDATE($D47,Milestones!$AA$45)&lt;=AsOfDate,IF($Q47=0,$W47,IF(AND($S47&lt;&gt;"",EDATE($D47,Milestones!$AA$45)&gt;=$S47),$V47,IF(AND($R47&lt;&gt;"",EDATE($D47,Milestones!$AA$45)&gt;=$R47),$U47,$T47)))=Milestones!$AB$45),TEXT(EDATE($D47,Milestones!$AA$45),"dd/mm/yy")&amp;" "&amp;Milestones!$AB$45&amp;" "&amp;Milestones!$AC$45&amp;";  ","")&amp;IF(AND(EDATE($D47,Milestones!$AA$46)&lt;=AsOfDate,IF($Q47=0,$W47,IF(AND($S47&lt;&gt;"",EDATE($D47,Milestones!$AA$46)&gt;=$S47),$V47,IF(AND($R47&lt;&gt;"",EDATE($D47,Milestones!$AA$46)&gt;=$R47),$U47,$T47)))=Milestones!$AB$46),TEXT(EDATE($D47,Milestones!$AA$46),"dd/mm/yy")&amp;" "&amp;Milestones!$AB$46&amp;" "&amp;Milestones!$AC$46&amp;";  ","")&amp;IF(AND(EDATE($D47,Milestones!$AA$47)&lt;=AsOfDate,IF($Q47=0,$W47,IF(AND($S47&lt;&gt;"",EDATE($D47,Milestones!$AA$47)&gt;=$S47),$V47,IF(AND($R47&lt;&gt;"",EDATE($D47,Milestones!$AA$47)&gt;=$R47),$U47,$T47)))=Milestones!$AB$47),TEXT(EDATE($D47,Milestones!$AA$47),"dd/mm/yy")&amp;" "&amp;Milestones!$AB$47&amp;" "&amp;Milestones!$AC$47&amp;";  ","")&amp;IF(AND(EDATE($D47,Milestones!$AA$48)&lt;=AsOfDate,IF($Q47=0,$W47,IF(AND($S47&lt;&gt;"",EDATE($D47,Milestones!$AA$48)&gt;=$S47),$V47,IF(AND($R47&lt;&gt;"",EDATE($D47,Milestones!$AA$48)&gt;=$R47),$U47,$T47)))=Milestones!$AB$48),TEXT(EDATE($D47,Milestones!$AA$48),"dd/mm/yy")&amp;" "&amp;Milestones!$AB$48&amp;" "&amp;Milestones!$AC$48&amp;";  ","")&amp;IF(AND(EDATE($D47,Milestones!$AA$49)&lt;=AsOfDate,IF($Q47=0,$W47,IF(AND($S47&lt;&gt;"",EDATE($D47,Milestones!$AA$49)&gt;=$S47),$V47,IF(AND($R47&lt;&gt;"",EDATE($D47,Milestones!$AA$49)&gt;=$R47),$U47,$T47)))=Milestones!$AB$49),TEXT(EDATE($D47,Milestones!$AA$49),"dd/mm/yy")&amp;" "&amp;Milestones!$AB$49&amp;" "&amp;Milestones!$AC$49&amp;";  ","")&amp;IF(AND(EDATE($D47,Milestones!$AA$50)&lt;=AsOfDate,IF($Q47=0,$W47,IF(AND($S47&lt;&gt;"",EDATE($D47,Milestones!$AA$50)&gt;=$S47),$V47,IF(AND($R47&lt;&gt;"",EDATE($D47,Milestones!$AA$50)&gt;=$R47),$U47,$T47)))=Milestones!$AB$50),TEXT(EDATE($D47,Milestones!$AA$50),"dd/mm/yy")&amp;" "&amp;Milestones!$AB$50&amp;" "&amp;Milestones!$AC$50&amp;";  ","")&amp;IF(AND(EDATE($D47,Milestones!$AA$51)&lt;=AsOfDate,IF($Q47=0,$W47,IF(AND($S47&lt;&gt;"",EDATE($D47,Milestones!$AA$51)&gt;=$S47),$V47,IF(AND($R47&lt;&gt;"",EDATE($D47,Milestones!$AA$51)&gt;=$R47),$U47,$T47)))=Milestones!$AB$51),TEXT(EDATE($D47,Milestones!$AA$51),"dd/mm/yy")&amp;" "&amp;Milestones!$AB$51&amp;" "&amp;Milestones!$AC$51&amp;";  ","")&amp;IF(AND(EDATE($D47,Milestones!$AA$52)&lt;=AsOfDate,IF($Q47=0,$W47,IF(AND($S47&lt;&gt;"",EDATE($D47,Milestones!$AA$52)&gt;=$S47),$V47,IF(AND($R47&lt;&gt;"",EDATE($D47,Milestones!$AA$52)&gt;=$R47),$U47,$T47)))=Milestones!$AB$52),TEXT(EDATE($D47,Milestones!$AA$52),"dd/mm/yy")&amp;" "&amp;Milestones!$AB$52&amp;" "&amp;Milestones!$AC$52&amp;";  ","")&amp;IF(AND(EDATE($D47,Milestones!$AA$53)&lt;=AsOfDate,IF($Q47=0,$W47,IF(AND($S47&lt;&gt;"",EDATE($D47,Milestones!$AA$53)&gt;=$S47),$V47,IF(AND($R47&lt;&gt;"",EDATE($D47,Milestones!$AA$53)&gt;=$R47),$U47,$T47)))=Milestones!$AB$53),TEXT(EDATE($D47,Milestones!$AA$53),"dd/mm/yy")&amp;" "&amp;Milestones!$AB$53&amp;" "&amp;Milestones!$AC$53&amp;";  ","")&amp;IF(AND(EDATE($D47,Milestones!$AA$54)&lt;=AsOfDate,IF($Q47=0,$W47,IF(AND($S47&lt;&gt;"",EDATE($D47,Milestones!$AA$54)&gt;=$S47),$V47,IF(AND($R47&lt;&gt;"",EDATE($D47,Milestones!$AA$54)&gt;=$R47),$U47,$T47)))=Milestones!$AB$54),TEXT(EDATE($D47,Milestones!$AA$54),"dd/mm/yy")&amp;" "&amp;Milestones!$AB$54&amp;" "&amp;Milestones!$AC$54&amp;";  ","")&amp;IF(AND(EDATE($D47,Milestones!$AA$55)&lt;=AsOfDate,IF($Q47=0,$W47,IF(AND($S47&lt;&gt;"",EDATE($D47,Milestones!$AA$55)&gt;=$S47),$V47,IF(AND($R47&lt;&gt;"",EDATE($D47,Milestones!$AA$55)&gt;=$R47),$U47,$T47)))=Milestones!$AB$55),TEXT(EDATE($D47,Milestones!$AA$55),"dd/mm/yy")&amp;" "&amp;Milestones!$AB$55&amp;" "&amp;Milestones!$AC$55&amp;";  ","")&amp;IF(AND(EDATE($D47,Milestones!$AA$56)&lt;=AsOfDate,IF($Q47=0,$W47,IF(AND($S47&lt;&gt;"",EDATE($D47,Milestones!$AA$56)&gt;=$S47),$V47,IF(AND($R47&lt;&gt;"",EDATE($D47,Milestones!$AA$56)&gt;=$R47),$U47,$T47)))=Milestones!$AB$56),TEXT(EDATE($D47,Milestones!$AA$56),"dd/mm/yy")&amp;" "&amp;Milestones!$AB$56&amp;" "&amp;Milestones!$AC$56&amp;";  ","")&amp;IF(AND(EDATE($D47,Milestones!$AA$57)&lt;=AsOfDate,IF($Q47=0,$W47,IF(AND($S47&lt;&gt;"",EDATE($D47,Milestones!$AA$57)&gt;=$S47),$V47,IF(AND($R47&lt;&gt;"",EDATE($D47,Milestones!$AA$57)&gt;=$R47),$U47,$T47)))=Milestones!$AB$57),TEXT(EDATE($D47,Milestones!$AA$57),"dd/mm/yy")&amp;" "&amp;Milestones!$AB$57&amp;" "&amp;Milestones!$AC$57&amp;";  ","")&amp;IF(AND(EDATE($D47,Milestones!$AA$58)&lt;=AsOfDate,IF($Q47=0,$W47,IF(AND($S47&lt;&gt;"",EDATE($D47,Milestones!$AA$58)&gt;=$S47),$V47,IF(AND($R47&lt;&gt;"",EDATE($D47,Milestones!$AA$58)&gt;=$R47),$U47,$T47)))=Milestones!$AB$58),TEXT(EDATE($D47,Milestones!$AA$58),"dd/mm/yy")&amp;" "&amp;Milestones!$AB$58&amp;" "&amp;Milestones!$AC$58&amp;";  ","")&amp;IF(AND(EDATE($D47,Milestones!$AA$59)&lt;=AsOfDate,IF($Q47=0,$W47,IF(AND($S47&lt;&gt;"",EDATE($D47,Milestones!$AA$59)&gt;=$S47),$V47,IF(AND($R47&lt;&gt;"",EDATE($D47,Milestones!$AA$59)&gt;=$R47),$U47,$T47)))=Milestones!$AB$59),TEXT(EDATE($D47,Milestones!$AA$59),"dd/mm/yy")&amp;" "&amp;Milestones!$AB$59&amp;" "&amp;Milestones!$AC$59&amp;";  ",""))</f>
        <v/>
      </c>
      <c r="J47" s="0" t="str">
        <f aca="false">IF(OR($A47="",$D47=""),"",IF(AND(EDATE($D47,Milestones!$AA$60)&lt;=AsOfDate,IF($Q47=0,$W47,IF(AND($S47&lt;&gt;"",EDATE($D47,Milestones!$AA$60)&gt;=$S47),$V47,IF(AND($R47&lt;&gt;"",EDATE($D47,Milestones!$AA$60)&gt;=$R47),$U47,$T47)))=Milestones!$AB$60),TEXT(EDATE($D47,Milestones!$AA$60),"dd/mm/yy")&amp;" "&amp;Milestones!$AB$60&amp;" "&amp;Milestones!$AC$60&amp;";  ","")&amp;IF(AND(EDATE($D47,Milestones!$AA$61)&lt;=AsOfDate,IF($Q47=0,$W47,IF(AND($S47&lt;&gt;"",EDATE($D47,Milestones!$AA$61)&gt;=$S47),$V47,IF(AND($R47&lt;&gt;"",EDATE($D47,Milestones!$AA$61)&gt;=$R47),$U47,$T47)))=Milestones!$AB$61),TEXT(EDATE($D47,Milestones!$AA$61),"dd/mm/yy")&amp;" "&amp;Milestones!$AB$61&amp;" "&amp;Milestones!$AC$61&amp;";  ","")&amp;IF(AND(EDATE($D47,Milestones!$AA$62)&lt;=AsOfDate,IF($Q47=0,$W47,IF(AND($S47&lt;&gt;"",EDATE($D47,Milestones!$AA$62)&gt;=$S47),$V47,IF(AND($R47&lt;&gt;"",EDATE($D47,Milestones!$AA$62)&gt;=$R47),$U47,$T47)))=Milestones!$AB$62),TEXT(EDATE($D47,Milestones!$AA$62),"dd/mm/yy")&amp;" "&amp;Milestones!$AB$62&amp;" "&amp;Milestones!$AC$62&amp;";  ","")&amp;IF(AND(EDATE($D47,Milestones!$AA$63)&lt;=AsOfDate,IF($Q47=0,$W47,IF(AND($S47&lt;&gt;"",EDATE($D47,Milestones!$AA$63)&gt;=$S47),$V47,IF(AND($R47&lt;&gt;"",EDATE($D47,Milestones!$AA$63)&gt;=$R47),$U47,$T47)))=Milestones!$AB$63),TEXT(EDATE($D47,Milestones!$AA$63),"dd/mm/yy")&amp;" "&amp;Milestones!$AB$63&amp;" "&amp;Milestones!$AC$63&amp;";  ","")&amp;IF(AND(EDATE($D47,Milestones!$AA$64)&lt;=AsOfDate,IF($Q47=0,$W47,IF(AND($S47&lt;&gt;"",EDATE($D47,Milestones!$AA$64)&gt;=$S47),$V47,IF(AND($R47&lt;&gt;"",EDATE($D47,Milestones!$AA$64)&gt;=$R47),$U47,$T47)))=Milestones!$AB$64),TEXT(EDATE($D47,Milestones!$AA$64),"dd/mm/yy")&amp;" "&amp;Milestones!$AB$64&amp;" "&amp;Milestones!$AC$64&amp;";  ","")&amp;IF(AND(EDATE($D47,Milestones!$AA$65)&lt;=AsOfDate,IF($Q47=0,$W47,IF(AND($S47&lt;&gt;"",EDATE($D47,Milestones!$AA$65)&gt;=$S47),$V47,IF(AND($R47&lt;&gt;"",EDATE($D47,Milestones!$AA$65)&gt;=$R47),$U47,$T47)))=Milestones!$AB$65),TEXT(EDATE($D47,Milestones!$AA$65),"dd/mm/yy")&amp;" "&amp;Milestones!$AB$65&amp;" "&amp;Milestones!$AC$65&amp;";  ","")&amp;IF(AND(EDATE($D47,Milestones!$AA$66)&lt;=AsOfDate,IF($Q47=0,$W47,IF(AND($S47&lt;&gt;"",EDATE($D47,Milestones!$AA$66)&gt;=$S47),$V47,IF(AND($R47&lt;&gt;"",EDATE($D47,Milestones!$AA$66)&gt;=$R47),$U47,$T47)))=Milestones!$AB$66),TEXT(EDATE($D47,Milestones!$AA$66),"dd/mm/yy")&amp;" "&amp;Milestones!$AB$66&amp;" "&amp;Milestones!$AC$66&amp;";  ","")&amp;IF(AND(EDATE($D47,Milestones!$AA$67)&lt;=AsOfDate,IF($Q47=0,$W47,IF(AND($S47&lt;&gt;"",EDATE($D47,Milestones!$AA$67)&gt;=$S47),$V47,IF(AND($R47&lt;&gt;"",EDATE($D47,Milestones!$AA$67)&gt;=$R47),$U47,$T47)))=Milestones!$AB$67),TEXT(EDATE($D47,Milestones!$AA$67),"dd/mm/yy")&amp;" "&amp;Milestones!$AB$67&amp;" "&amp;Milestones!$AC$67&amp;";  ","")&amp;IF(AND(EDATE($D47,Milestones!$AA$68)&lt;=AsOfDate,IF($Q47=0,$W47,IF(AND($S47&lt;&gt;"",EDATE($D47,Milestones!$AA$68)&gt;=$S47),$V47,IF(AND($R47&lt;&gt;"",EDATE($D47,Milestones!$AA$68)&gt;=$R47),$U47,$T47)))=Milestones!$AB$68),TEXT(EDATE($D47,Milestones!$AA$68),"dd/mm/yy")&amp;" "&amp;Milestones!$AB$68&amp;" "&amp;Milestones!$AC$68&amp;";  ","")&amp;IF(AND(EDATE($D47,Milestones!$AA$69)&lt;=AsOfDate,IF($Q47=0,$W47,IF(AND($S47&lt;&gt;"",EDATE($D47,Milestones!$AA$69)&gt;=$S47),$V47,IF(AND($R47&lt;&gt;"",EDATE($D47,Milestones!$AA$69)&gt;=$R47),$U47,$T47)))=Milestones!$AB$69),TEXT(EDATE($D47,Milestones!$AA$69),"dd/mm/yy")&amp;" "&amp;Milestones!$AB$69&amp;" "&amp;Milestones!$AC$69&amp;";  ","")&amp;IF(AND(EDATE($D47,Milestones!$AA$70)&lt;=AsOfDate,IF($Q47=0,$W47,IF(AND($S47&lt;&gt;"",EDATE($D47,Milestones!$AA$70)&gt;=$S47),$V47,IF(AND($R47&lt;&gt;"",EDATE($D47,Milestones!$AA$70)&gt;=$R47),$U47,$T47)))=Milestones!$AB$70),TEXT(EDATE($D47,Milestones!$AA$70),"dd/mm/yy")&amp;" "&amp;Milestones!$AB$70&amp;" "&amp;Milestones!$AC$70&amp;";  ","")&amp;IF(AND(EDATE($D47,Milestones!$AA$71)&lt;=AsOfDate,IF($Q47=0,$W47,IF(AND($S47&lt;&gt;"",EDATE($D47,Milestones!$AA$71)&gt;=$S47),$V47,IF(AND($R47&lt;&gt;"",EDATE($D47,Milestones!$AA$71)&gt;=$R47),$U47,$T47)))=Milestones!$AB$71),TEXT(EDATE($D47,Milestones!$AA$71),"dd/mm/yy")&amp;" "&amp;Milestones!$AB$71&amp;" "&amp;Milestones!$AC$71&amp;";  ","")&amp;IF(AND(EDATE($D47,Milestones!$AA$72)&lt;=AsOfDate,IF($Q47=0,$W47,IF(AND($S47&lt;&gt;"",EDATE($D47,Milestones!$AA$72)&gt;=$S47),$V47,IF(AND($R47&lt;&gt;"",EDATE($D47,Milestones!$AA$72)&gt;=$R47),$U47,$T47)))=Milestones!$AB$72),TEXT(EDATE($D47,Milestones!$AA$72),"dd/mm/yy")&amp;" "&amp;Milestones!$AB$72&amp;" "&amp;Milestones!$AC$72&amp;";  ","")&amp;IF(AND(EDATE($D47,Milestones!$AA$73)&lt;=AsOfDate,IF($Q47=0,$W47,IF(AND($S47&lt;&gt;"",EDATE($D47,Milestones!$AA$73)&gt;=$S47),$V47,IF(AND($R47&lt;&gt;"",EDATE($D47,Milestones!$AA$73)&gt;=$R47),$U47,$T47)))=Milestones!$AB$73),TEXT(EDATE($D47,Milestones!$AA$73),"dd/mm/yy")&amp;" "&amp;Milestones!$AB$73&amp;" "&amp;Milestones!$AC$73&amp;";  ","")&amp;IF(AND(EDATE($D47,Milestones!$AA$74)&lt;=AsOfDate,IF($Q47=0,$W47,IF(AND($S47&lt;&gt;"",EDATE($D47,Milestones!$AA$74)&gt;=$S47),$V47,IF(AND($R47&lt;&gt;"",EDATE($D47,Milestones!$AA$74)&gt;=$R47),$U47,$T47)))=Milestones!$AB$74),TEXT(EDATE($D47,Milestones!$AA$74),"dd/mm/yy")&amp;" "&amp;Milestones!$AB$74&amp;" "&amp;Milestones!$AC$74&amp;";  ","")&amp;IF(AND(EDATE($D47,Milestones!$AA$75)&lt;=AsOfDate,IF($Q47=0,$W47,IF(AND($S47&lt;&gt;"",EDATE($D47,Milestones!$AA$75)&gt;=$S47),$V47,IF(AND($R47&lt;&gt;"",EDATE($D47,Milestones!$AA$75)&gt;=$R47),$U47,$T47)))=Milestones!$AB$75),TEXT(EDATE($D47,Milestones!$AA$75),"dd/mm/yy")&amp;" "&amp;Milestones!$AB$75&amp;" "&amp;Milestones!$AC$75&amp;";  ","")&amp;IF(AND(EDATE($D47,Milestones!$AA$76)&lt;=AsOfDate,IF($Q47=0,$W47,IF(AND($S47&lt;&gt;"",EDATE($D47,Milestones!$AA$76)&gt;=$S47),$V47,IF(AND($R47&lt;&gt;"",EDATE($D47,Milestones!$AA$76)&gt;=$R47),$U47,$T47)))=Milestones!$AB$76),TEXT(EDATE($D47,Milestones!$AA$76),"dd/mm/yy")&amp;" "&amp;Milestones!$AB$76&amp;" "&amp;Milestones!$AC$76&amp;";  ","")&amp;IF(AND(EDATE($D47,Milestones!$AA$77)&lt;=AsOfDate,IF($Q47=0,$W47,IF(AND($S47&lt;&gt;"",EDATE($D47,Milestones!$AA$77)&gt;=$S47),$V47,IF(AND($R47&lt;&gt;"",EDATE($D47,Milestones!$AA$77)&gt;=$R47),$U47,$T47)))=Milestones!$AB$77),TEXT(EDATE($D47,Milestones!$AA$77),"dd/mm/yy")&amp;" "&amp;Milestones!$AB$77&amp;" "&amp;Milestones!$AC$77&amp;";  ","")&amp;IF(AND(EDATE($D47,Milestones!$AA$78)&lt;=AsOfDate,IF($Q47=0,$W47,IF(AND($S47&lt;&gt;"",EDATE($D47,Milestones!$AA$78)&gt;=$S47),$V47,IF(AND($R47&lt;&gt;"",EDATE($D47,Milestones!$AA$78)&gt;=$R47),$U47,$T47)))=Milestones!$AB$78),TEXT(EDATE($D47,Milestones!$AA$78),"dd/mm/yy")&amp;" "&amp;Milestones!$AB$78&amp;" "&amp;Milestones!$AC$78&amp;";  ","")&amp;IF(AND(EDATE($D47,Milestones!$AA$79)&lt;=AsOfDate,IF($Q47=0,$W47,IF(AND($S47&lt;&gt;"",EDATE($D47,Milestones!$AA$79)&gt;=$S47),$V47,IF(AND($R47&lt;&gt;"",EDATE($D47,Milestones!$AA$79)&gt;=$R47),$U47,$T47)))=Milestones!$AB$79),TEXT(EDATE($D47,Milestones!$AA$79),"dd/mm/yy")&amp;" "&amp;Milestones!$AB$79&amp;" "&amp;Milestones!$AC$79&amp;";  ",""))</f>
        <v/>
      </c>
      <c r="K47" s="0" t="str">
        <f aca="false">IF(OR($A47="",$D47=""),"",IF(AND(EDATE($D47,Milestones!$AA$80)&lt;=AsOfDate,IF($Q47=0,$W47,IF(AND($S47&lt;&gt;"",EDATE($D47,Milestones!$AA$80)&gt;=$S47),$V47,IF(AND($R47&lt;&gt;"",EDATE($D47,Milestones!$AA$80)&gt;=$R47),$U47,$T47)))=Milestones!$AB$80),TEXT(EDATE($D47,Milestones!$AA$80),"dd/mm/yy")&amp;" "&amp;Milestones!$AB$80&amp;" "&amp;Milestones!$AC$80&amp;";  ","")&amp;IF(AND(EDATE($D47,Milestones!$AA$81)&lt;=AsOfDate,IF($Q47=0,$W47,IF(AND($S47&lt;&gt;"",EDATE($D47,Milestones!$AA$81)&gt;=$S47),$V47,IF(AND($R47&lt;&gt;"",EDATE($D47,Milestones!$AA$81)&gt;=$R47),$U47,$T47)))=Milestones!$AB$81),TEXT(EDATE($D47,Milestones!$AA$81),"dd/mm/yy")&amp;" "&amp;Milestones!$AB$81&amp;" "&amp;Milestones!$AC$81&amp;";  ","")&amp;IF(AND(EDATE($D47,Milestones!$AA$82)&lt;=AsOfDate,IF($Q47=0,$W47,IF(AND($S47&lt;&gt;"",EDATE($D47,Milestones!$AA$82)&gt;=$S47),$V47,IF(AND($R47&lt;&gt;"",EDATE($D47,Milestones!$AA$82)&gt;=$R47),$U47,$T47)))=Milestones!$AB$82),TEXT(EDATE($D47,Milestones!$AA$82),"dd/mm/yy")&amp;" "&amp;Milestones!$AB$82&amp;" "&amp;Milestones!$AC$82&amp;";  ","")&amp;IF(AND(EDATE($D47,Milestones!$AA$83)&lt;=AsOfDate,IF($Q47=0,$W47,IF(AND($S47&lt;&gt;"",EDATE($D47,Milestones!$AA$83)&gt;=$S47),$V47,IF(AND($R47&lt;&gt;"",EDATE($D47,Milestones!$AA$83)&gt;=$R47),$U47,$T47)))=Milestones!$AB$83),TEXT(EDATE($D47,Milestones!$AA$83),"dd/mm/yy")&amp;" "&amp;Milestones!$AB$83&amp;" "&amp;Milestones!$AC$83&amp;";  ","")&amp;IF(AND(EDATE($D47,Milestones!$AA$84)&lt;=AsOfDate,IF($Q47=0,$W47,IF(AND($S47&lt;&gt;"",EDATE($D47,Milestones!$AA$84)&gt;=$S47),$V47,IF(AND($R47&lt;&gt;"",EDATE($D47,Milestones!$AA$84)&gt;=$R47),$U47,$T47)))=Milestones!$AB$84),TEXT(EDATE($D47,Milestones!$AA$84),"dd/mm/yy")&amp;" "&amp;Milestones!$AB$84&amp;" "&amp;Milestones!$AC$84&amp;";  ","")&amp;IF(AND(EDATE($D47,Milestones!$AA$85)&lt;=AsOfDate,IF($Q47=0,$W47,IF(AND($S47&lt;&gt;"",EDATE($D47,Milestones!$AA$85)&gt;=$S47),$V47,IF(AND($R47&lt;&gt;"",EDATE($D47,Milestones!$AA$85)&gt;=$R47),$U47,$T47)))=Milestones!$AB$85),TEXT(EDATE($D47,Milestones!$AA$85),"dd/mm/yy")&amp;" "&amp;Milestones!$AB$85&amp;" "&amp;Milestones!$AC$85&amp;";  ","")&amp;IF(AND(EDATE($D47,Milestones!$AA$86)&lt;=AsOfDate,IF($Q47=0,$W47,IF(AND($S47&lt;&gt;"",EDATE($D47,Milestones!$AA$86)&gt;=$S47),$V47,IF(AND($R47&lt;&gt;"",EDATE($D47,Milestones!$AA$86)&gt;=$R47),$U47,$T47)))=Milestones!$AB$86),TEXT(EDATE($D47,Milestones!$AA$86),"dd/mm/yy")&amp;" "&amp;Milestones!$AB$86&amp;" "&amp;Milestones!$AC$86&amp;";  ","")&amp;IF(AND(EDATE($D47,Milestones!$AA$87)&lt;=AsOfDate,IF($Q47=0,$W47,IF(AND($S47&lt;&gt;"",EDATE($D47,Milestones!$AA$87)&gt;=$S47),$V47,IF(AND($R47&lt;&gt;"",EDATE($D47,Milestones!$AA$87)&gt;=$R47),$U47,$T47)))=Milestones!$AB$87),TEXT(EDATE($D47,Milestones!$AA$87),"dd/mm/yy")&amp;" "&amp;Milestones!$AB$87&amp;" "&amp;Milestones!$AC$87&amp;";  ","")&amp;IF(AND(EDATE($D47,Milestones!$AA$88)&lt;=AsOfDate,IF($Q47=0,$W47,IF(AND($S47&lt;&gt;"",EDATE($D47,Milestones!$AA$88)&gt;=$S47),$V47,IF(AND($R47&lt;&gt;"",EDATE($D47,Milestones!$AA$88)&gt;=$R47),$U47,$T47)))=Milestones!$AB$88),TEXT(EDATE($D47,Milestones!$AA$88),"dd/mm/yy")&amp;" "&amp;Milestones!$AB$88&amp;" "&amp;Milestones!$AC$88&amp;";  ","")&amp;IF(AND(EDATE($D47,Milestones!$AA$89)&lt;=AsOfDate,IF($Q47=0,$W47,IF(AND($S47&lt;&gt;"",EDATE($D47,Milestones!$AA$89)&gt;=$S47),$V47,IF(AND($R47&lt;&gt;"",EDATE($D47,Milestones!$AA$89)&gt;=$R47),$U47,$T47)))=Milestones!$AB$89),TEXT(EDATE($D47,Milestones!$AA$89),"dd/mm/yy")&amp;" "&amp;Milestones!$AB$89&amp;" "&amp;Milestones!$AC$89&amp;";  ","")&amp;IF(AND(EDATE($D47,Milestones!$AA$90)&lt;=AsOfDate,IF($Q47=0,$W47,IF(AND($S47&lt;&gt;"",EDATE($D47,Milestones!$AA$90)&gt;=$S47),$V47,IF(AND($R47&lt;&gt;"",EDATE($D47,Milestones!$AA$90)&gt;=$R47),$U47,$T47)))=Milestones!$AB$90),TEXT(EDATE($D47,Milestones!$AA$90),"dd/mm/yy")&amp;" "&amp;Milestones!$AB$90&amp;" "&amp;Milestones!$AC$90&amp;";  ","")&amp;IF(AND(EDATE($D47,Milestones!$AA$91)&lt;=AsOfDate,IF($Q47=0,$W47,IF(AND($S47&lt;&gt;"",EDATE($D47,Milestones!$AA$91)&gt;=$S47),$V47,IF(AND($R47&lt;&gt;"",EDATE($D47,Milestones!$AA$91)&gt;=$R47),$U47,$T47)))=Milestones!$AB$91),TEXT(EDATE($D47,Milestones!$AA$91),"dd/mm/yy")&amp;" "&amp;Milestones!$AB$91&amp;" "&amp;Milestones!$AC$91&amp;";  ","")&amp;IF(AND(EDATE($D47,Milestones!$AA$92)&lt;=AsOfDate,IF($Q47=0,$W47,IF(AND($S47&lt;&gt;"",EDATE($D47,Milestones!$AA$92)&gt;=$S47),$V47,IF(AND($R47&lt;&gt;"",EDATE($D47,Milestones!$AA$92)&gt;=$R47),$U47,$T47)))=Milestones!$AB$92),TEXT(EDATE($D47,Milestones!$AA$92),"dd/mm/yy")&amp;" "&amp;Milestones!$AB$92&amp;" "&amp;Milestones!$AC$92&amp;";  ","")&amp;IF(AND(EDATE($D47,Milestones!$AA$93)&lt;=AsOfDate,IF($Q47=0,$W47,IF(AND($S47&lt;&gt;"",EDATE($D47,Milestones!$AA$93)&gt;=$S47),$V47,IF(AND($R47&lt;&gt;"",EDATE($D47,Milestones!$AA$93)&gt;=$R47),$U47,$T47)))=Milestones!$AB$93),TEXT(EDATE($D47,Milestones!$AA$93),"dd/mm/yy")&amp;" "&amp;Milestones!$AB$93&amp;" "&amp;Milestones!$AC$93&amp;";  ","")&amp;IF(AND(EDATE($D47,Milestones!$AA$94)&lt;=AsOfDate,IF($Q47=0,$W47,IF(AND($S47&lt;&gt;"",EDATE($D47,Milestones!$AA$94)&gt;=$S47),$V47,IF(AND($R47&lt;&gt;"",EDATE($D47,Milestones!$AA$94)&gt;=$R47),$U47,$T47)))=Milestones!$AB$94),TEXT(EDATE($D47,Milestones!$AA$94),"dd/mm/yy")&amp;" "&amp;Milestones!$AB$94&amp;" "&amp;Milestones!$AC$94&amp;";  ","")&amp;IF(AND(EDATE($D47,Milestones!$AA$95)&lt;=AsOfDate,IF($Q47=0,$W47,IF(AND($S47&lt;&gt;"",EDATE($D47,Milestones!$AA$95)&gt;=$S47),$V47,IF(AND($R47&lt;&gt;"",EDATE($D47,Milestones!$AA$95)&gt;=$R47),$U47,$T47)))=Milestones!$AB$95),TEXT(EDATE($D47,Milestones!$AA$95),"dd/mm/yy")&amp;" "&amp;Milestones!$AB$95&amp;" "&amp;Milestones!$AC$95&amp;";  ","")&amp;IF(AND(EDATE($D47,Milestones!$AA$96)&lt;=AsOfDate,IF($Q47=0,$W47,IF(AND($S47&lt;&gt;"",EDATE($D47,Milestones!$AA$96)&gt;=$S47),$V47,IF(AND($R47&lt;&gt;"",EDATE($D47,Milestones!$AA$96)&gt;=$R47),$U47,$T47)))=Milestones!$AB$96),TEXT(EDATE($D47,Milestones!$AA$96),"dd/mm/yy")&amp;" "&amp;Milestones!$AB$96&amp;" "&amp;Milestones!$AC$96&amp;";  ","")&amp;IF(AND(EDATE($D47,Milestones!$AA$97)&lt;=AsOfDate,IF($Q47=0,$W47,IF(AND($S47&lt;&gt;"",EDATE($D47,Milestones!$AA$97)&gt;=$S47),$V47,IF(AND($R47&lt;&gt;"",EDATE($D47,Milestones!$AA$97)&gt;=$R47),$U47,$T47)))=Milestones!$AB$97),TEXT(EDATE($D47,Milestones!$AA$97),"dd/mm/yy")&amp;" "&amp;Milestones!$AB$97&amp;" "&amp;Milestones!$AC$97&amp;";  ","")&amp;IF(AND(EDATE($D47,Milestones!$AA$98)&lt;=AsOfDate,IF($Q47=0,$W47,IF(AND($S47&lt;&gt;"",EDATE($D47,Milestones!$AA$98)&gt;=$S47),$V47,IF(AND($R47&lt;&gt;"",EDATE($D47,Milestones!$AA$98)&gt;=$R47),$U47,$T47)))=Milestones!$AB$98),TEXT(EDATE($D47,Milestones!$AA$98),"dd/mm/yy")&amp;" "&amp;Milestones!$AB$98&amp;" "&amp;Milestones!$AC$98&amp;";  ","")&amp;IF(AND(EDATE($D47,Milestones!$AA$99)&lt;=AsOfDate,IF($Q47=0,$W47,IF(AND($S47&lt;&gt;"",EDATE($D47,Milestones!$AA$99)&gt;=$S47),$V47,IF(AND($R47&lt;&gt;"",EDATE($D47,Milestones!$AA$99)&gt;=$R47),$U47,$T47)))=Milestones!$AB$99),TEXT(EDATE($D47,Milestones!$AA$99),"dd/mm/yy")&amp;" "&amp;Milestones!$AB$99&amp;" "&amp;Milestones!$AC$99&amp;";  ",""))</f>
        <v/>
      </c>
      <c r="L47" s="0" t="str">
        <f aca="false">IF(OR($A47="",$D47=""),"",IF(AND(EDATE($D47,Milestones!$AA$100)&lt;=AsOfDate,IF($Q47=0,$W47,IF(AND($S47&lt;&gt;"",EDATE($D47,Milestones!$AA$100)&gt;=$S47),$V47,IF(AND($R47&lt;&gt;"",EDATE($D47,Milestones!$AA$100)&gt;=$R47),$U47,$T47)))=Milestones!$AB$100),TEXT(EDATE($D47,Milestones!$AA$100),"dd/mm/yy")&amp;" "&amp;Milestones!$AB$100&amp;" "&amp;Milestones!$AC$100&amp;";  ","")&amp;IF(AND(EDATE($D47,Milestones!$AA$101)&lt;=AsOfDate,IF($Q47=0,$W47,IF(AND($S47&lt;&gt;"",EDATE($D47,Milestones!$AA$101)&gt;=$S47),$V47,IF(AND($R47&lt;&gt;"",EDATE($D47,Milestones!$AA$101)&gt;=$R47),$U47,$T47)))=Milestones!$AB$101),TEXT(EDATE($D47,Milestones!$AA$101),"dd/mm/yy")&amp;" "&amp;Milestones!$AB$101&amp;" "&amp;Milestones!$AC$101&amp;";  ","")&amp;IF(AND(EDATE($D47,Milestones!$AA$102)&lt;=AsOfDate,IF($Q47=0,$W47,IF(AND($S47&lt;&gt;"",EDATE($D47,Milestones!$AA$102)&gt;=$S47),$V47,IF(AND($R47&lt;&gt;"",EDATE($D47,Milestones!$AA$102)&gt;=$R47),$U47,$T47)))=Milestones!$AB$102),TEXT(EDATE($D47,Milestones!$AA$102),"dd/mm/yy")&amp;" "&amp;Milestones!$AB$102&amp;" "&amp;Milestones!$AC$102&amp;";  ","")&amp;IF(AND(EDATE($D47,Milestones!$AA$103)&lt;=AsOfDate,IF($Q47=0,$W47,IF(AND($S47&lt;&gt;"",EDATE($D47,Milestones!$AA$103)&gt;=$S47),$V47,IF(AND($R47&lt;&gt;"",EDATE($D47,Milestones!$AA$103)&gt;=$R47),$U47,$T47)))=Milestones!$AB$103),TEXT(EDATE($D47,Milestones!$AA$103),"dd/mm/yy")&amp;" "&amp;Milestones!$AB$103&amp;" "&amp;Milestones!$AC$103&amp;";  ","")&amp;IF(AND(EDATE($D47,Milestones!$AA$104)&lt;=AsOfDate,IF($Q47=0,$W47,IF(AND($S47&lt;&gt;"",EDATE($D47,Milestones!$AA$104)&gt;=$S47),$V47,IF(AND($R47&lt;&gt;"",EDATE($D47,Milestones!$AA$104)&gt;=$R47),$U47,$T47)))=Milestones!$AB$104),TEXT(EDATE($D47,Milestones!$AA$104),"dd/mm/yy")&amp;" "&amp;Milestones!$AB$104&amp;" "&amp;Milestones!$AC$104&amp;";  ","")&amp;IF(AND(EDATE($D47,Milestones!$AA$105)&lt;=AsOfDate,IF($Q47=0,$W47,IF(AND($S47&lt;&gt;"",EDATE($D47,Milestones!$AA$105)&gt;=$S47),$V47,IF(AND($R47&lt;&gt;"",EDATE($D47,Milestones!$AA$105)&gt;=$R47),$U47,$T47)))=Milestones!$AB$105),TEXT(EDATE($D47,Milestones!$AA$105),"dd/mm/yy")&amp;" "&amp;Milestones!$AB$105&amp;" "&amp;Milestones!$AC$105&amp;";  ","")&amp;IF(AND(EDATE($D47,Milestones!$AA$106)&lt;=AsOfDate,IF($Q47=0,$W47,IF(AND($S47&lt;&gt;"",EDATE($D47,Milestones!$AA$106)&gt;=$S47),$V47,IF(AND($R47&lt;&gt;"",EDATE($D47,Milestones!$AA$106)&gt;=$R47),$U47,$T47)))=Milestones!$AB$106),TEXT(EDATE($D47,Milestones!$AA$106),"dd/mm/yy")&amp;" "&amp;Milestones!$AB$106&amp;" "&amp;Milestones!$AC$106&amp;";  ","")&amp;IF(AND(EDATE($D47,Milestones!$AA$107)&lt;=AsOfDate,IF($Q47=0,$W47,IF(AND($S47&lt;&gt;"",EDATE($D47,Milestones!$AA$107)&gt;=$S47),$V47,IF(AND($R47&lt;&gt;"",EDATE($D47,Milestones!$AA$107)&gt;=$R47),$U47,$T47)))=Milestones!$AB$107),TEXT(EDATE($D47,Milestones!$AA$107),"dd/mm/yy")&amp;" "&amp;Milestones!$AB$107&amp;" "&amp;Milestones!$AC$107&amp;";  ","")&amp;IF(AND(EDATE($D47,Milestones!$AA$108)&lt;=AsOfDate,IF($Q47=0,$W47,IF(AND($S47&lt;&gt;"",EDATE($D47,Milestones!$AA$108)&gt;=$S47),$V47,IF(AND($R47&lt;&gt;"",EDATE($D47,Milestones!$AA$108)&gt;=$R47),$U47,$T47)))=Milestones!$AB$108),TEXT(EDATE($D47,Milestones!$AA$108),"dd/mm/yy")&amp;" "&amp;Milestones!$AB$108&amp;" "&amp;Milestones!$AC$108&amp;";  ","")&amp;IF(AND(EDATE($D47,Milestones!$AA$109)&lt;=AsOfDate,IF($Q47=0,$W47,IF(AND($S47&lt;&gt;"",EDATE($D47,Milestones!$AA$109)&gt;=$S47),$V47,IF(AND($R47&lt;&gt;"",EDATE($D47,Milestones!$AA$109)&gt;=$R47),$U47,$T47)))=Milestones!$AB$109),TEXT(EDATE($D47,Milestones!$AA$109),"dd/mm/yy")&amp;" "&amp;Milestones!$AB$109&amp;" "&amp;Milestones!$AC$109&amp;";  ","")&amp;IF(AND(EDATE($D47,Milestones!$AA$110)&lt;=AsOfDate,IF($Q47=0,$W47,IF(AND($S47&lt;&gt;"",EDATE($D47,Milestones!$AA$110)&gt;=$S47),$V47,IF(AND($R47&lt;&gt;"",EDATE($D47,Milestones!$AA$110)&gt;=$R47),$U47,$T47)))=Milestones!$AB$110),TEXT(EDATE($D47,Milestones!$AA$110),"dd/mm/yy")&amp;" "&amp;Milestones!$AB$110&amp;" "&amp;Milestones!$AC$110&amp;";  ","")&amp;IF(AND(EDATE($D47,Milestones!$AA$111)&lt;=AsOfDate,IF($Q47=0,$W47,IF(AND($S47&lt;&gt;"",EDATE($D47,Milestones!$AA$111)&gt;=$S47),$V47,IF(AND($R47&lt;&gt;"",EDATE($D47,Milestones!$AA$111)&gt;=$R47),$U47,$T47)))=Milestones!$AB$111),TEXT(EDATE($D47,Milestones!$AA$111),"dd/mm/yy")&amp;" "&amp;Milestones!$AB$111&amp;" "&amp;Milestones!$AC$111&amp;";  ","")&amp;IF(AND(EDATE($D47,Milestones!$AA$112)&lt;=AsOfDate,IF($Q47=0,$W47,IF(AND($S47&lt;&gt;"",EDATE($D47,Milestones!$AA$112)&gt;=$S47),$V47,IF(AND($R47&lt;&gt;"",EDATE($D47,Milestones!$AA$112)&gt;=$R47),$U47,$T47)))=Milestones!$AB$112),TEXT(EDATE($D47,Milestones!$AA$112),"dd/mm/yy")&amp;" "&amp;Milestones!$AB$112&amp;" "&amp;Milestones!$AC$112&amp;";  ","")&amp;IF(AND(EDATE($D47,Milestones!$AA$113)&lt;=AsOfDate,IF($Q47=0,$W47,IF(AND($S47&lt;&gt;"",EDATE($D47,Milestones!$AA$113)&gt;=$S47),$V47,IF(AND($R47&lt;&gt;"",EDATE($D47,Milestones!$AA$113)&gt;=$R47),$U47,$T47)))=Milestones!$AB$113),TEXT(EDATE($D47,Milestones!$AA$113),"dd/mm/yy")&amp;" "&amp;Milestones!$AB$113&amp;" "&amp;Milestones!$AC$113&amp;";  ","")&amp;IF(AND(EDATE($D47,Milestones!$AA$114)&lt;=AsOfDate,IF($Q47=0,$W47,IF(AND($S47&lt;&gt;"",EDATE($D47,Milestones!$AA$114)&gt;=$S47),$V47,IF(AND($R47&lt;&gt;"",EDATE($D47,Milestones!$AA$114)&gt;=$R47),$U47,$T47)))=Milestones!$AB$114),TEXT(EDATE($D47,Milestones!$AA$114),"dd/mm/yy")&amp;" "&amp;Milestones!$AB$114&amp;" "&amp;Milestones!$AC$114&amp;";  ","")&amp;IF(AND(EDATE($D47,Milestones!$AA$115)&lt;=AsOfDate,IF($Q47=0,$W47,IF(AND($S47&lt;&gt;"",EDATE($D47,Milestones!$AA$115)&gt;=$S47),$V47,IF(AND($R47&lt;&gt;"",EDATE($D47,Milestones!$AA$115)&gt;=$R47),$U47,$T47)))=Milestones!$AB$115),TEXT(EDATE($D47,Milestones!$AA$115),"dd/mm/yy")&amp;" "&amp;Milestones!$AB$115&amp;" "&amp;Milestones!$AC$115&amp;";  ","")&amp;IF(AND(EDATE($D47,Milestones!$AA$116)&lt;=AsOfDate,IF($Q47=0,$W47,IF(AND($S47&lt;&gt;"",EDATE($D47,Milestones!$AA$116)&gt;=$S47),$V47,IF(AND($R47&lt;&gt;"",EDATE($D47,Milestones!$AA$116)&gt;=$R47),$U47,$T47)))=Milestones!$AB$116),TEXT(EDATE($D47,Milestones!$AA$116),"dd/mm/yy")&amp;" "&amp;Milestones!$AB$116&amp;" "&amp;Milestones!$AC$116&amp;";  ","")&amp;IF(AND(EDATE($D47,Milestones!$AA$117)&lt;=AsOfDate,IF($Q47=0,$W47,IF(AND($S47&lt;&gt;"",EDATE($D47,Milestones!$AA$117)&gt;=$S47),$V47,IF(AND($R47&lt;&gt;"",EDATE($D47,Milestones!$AA$117)&gt;=$R47),$U47,$T47)))=Milestones!$AB$117),TEXT(EDATE($D47,Milestones!$AA$117),"dd/mm/yy")&amp;" "&amp;Milestones!$AB$117&amp;" "&amp;Milestones!$AC$117&amp;";  ","")&amp;IF(AND(EDATE($D47,Milestones!$AA$118)&lt;=AsOfDate,IF($Q47=0,$W47,IF(AND($S47&lt;&gt;"",EDATE($D47,Milestones!$AA$118)&gt;=$S47),$V47,IF(AND($R47&lt;&gt;"",EDATE($D47,Milestones!$AA$118)&gt;=$R47),$U47,$T47)))=Milestones!$AB$118),TEXT(EDATE($D47,Milestones!$AA$118),"dd/mm/yy")&amp;" "&amp;Milestones!$AB$118&amp;" "&amp;Milestones!$AC$118&amp;";  ","")&amp;IF(AND(EDATE($D47,Milestones!$AA$119)&lt;=AsOfDate,IF($Q47=0,$W47,IF(AND($S47&lt;&gt;"",EDATE($D47,Milestones!$AA$119)&gt;=$S47),$V47,IF(AND($R47&lt;&gt;"",EDATE($D47,Milestones!$AA$119)&gt;=$R47),$U47,$T47)))=Milestones!$AB$119),TEXT(EDATE($D47,Milestones!$AA$119),"dd/mm/yy")&amp;" "&amp;Milestones!$AB$119&amp;" "&amp;Milestones!$AC$119&amp;";  ",""))</f>
        <v/>
      </c>
      <c r="M47" s="0" t="str">
        <f aca="false">IF(OR($A47="",$D47=""),"",IF(AND(EDATE($D47,Milestones!$AA$120)&lt;=AsOfDate,IF($Q47=0,$W47,IF(AND($S47&lt;&gt;"",EDATE($D47,Milestones!$AA$120)&gt;=$S47),$V47,IF(AND($R47&lt;&gt;"",EDATE($D47,Milestones!$AA$120)&gt;=$R47),$U47,$T47)))=Milestones!$AB$120),TEXT(EDATE($D47,Milestones!$AA$120),"dd/mm/yy")&amp;" "&amp;Milestones!$AB$120&amp;" "&amp;Milestones!$AC$120&amp;";  ","")&amp;IF(AND(EDATE($D47,Milestones!$AA$121)&lt;=AsOfDate,IF($Q47=0,$W47,IF(AND($S47&lt;&gt;"",EDATE($D47,Milestones!$AA$121)&gt;=$S47),$V47,IF(AND($R47&lt;&gt;"",EDATE($D47,Milestones!$AA$121)&gt;=$R47),$U47,$T47)))=Milestones!$AB$121),TEXT(EDATE($D47,Milestones!$AA$121),"dd/mm/yy")&amp;" "&amp;Milestones!$AB$121&amp;" "&amp;Milestones!$AC$121&amp;";  ","")&amp;IF(AND(EDATE($D47,Milestones!$AA$122)&lt;=AsOfDate,IF($Q47=0,$W47,IF(AND($S47&lt;&gt;"",EDATE($D47,Milestones!$AA$122)&gt;=$S47),$V47,IF(AND($R47&lt;&gt;"",EDATE($D47,Milestones!$AA$122)&gt;=$R47),$U47,$T47)))=Milestones!$AB$122),TEXT(EDATE($D47,Milestones!$AA$122),"dd/mm/yy")&amp;" "&amp;Milestones!$AB$122&amp;" "&amp;Milestones!$AC$122&amp;";  ","")&amp;IF(AND(EDATE($D47,Milestones!$AA$123)&lt;=AsOfDate,IF($Q47=0,$W47,IF(AND($S47&lt;&gt;"",EDATE($D47,Milestones!$AA$123)&gt;=$S47),$V47,IF(AND($R47&lt;&gt;"",EDATE($D47,Milestones!$AA$123)&gt;=$R47),$U47,$T47)))=Milestones!$AB$123),TEXT(EDATE($D47,Milestones!$AA$123),"dd/mm/yy")&amp;" "&amp;Milestones!$AB$123&amp;" "&amp;Milestones!$AC$123&amp;";  ","")&amp;IF(AND(EDATE($D47,Milestones!$AA$124)&lt;=AsOfDate,IF($Q47=0,$W47,IF(AND($S47&lt;&gt;"",EDATE($D47,Milestones!$AA$124)&gt;=$S47),$V47,IF(AND($R47&lt;&gt;"",EDATE($D47,Milestones!$AA$124)&gt;=$R47),$U47,$T47)))=Milestones!$AB$124),TEXT(EDATE($D47,Milestones!$AA$124),"dd/mm/yy")&amp;" "&amp;Milestones!$AB$124&amp;" "&amp;Milestones!$AC$124&amp;";  ","")&amp;IF(AND(EDATE($D47,Milestones!$AA$125)&lt;=AsOfDate,IF($Q47=0,$W47,IF(AND($S47&lt;&gt;"",EDATE($D47,Milestones!$AA$125)&gt;=$S47),$V47,IF(AND($R47&lt;&gt;"",EDATE($D47,Milestones!$AA$125)&gt;=$R47),$U47,$T47)))=Milestones!$AB$125),TEXT(EDATE($D47,Milestones!$AA$125),"dd/mm/yy")&amp;" "&amp;Milestones!$AB$125&amp;" "&amp;Milestones!$AC$125&amp;";  ","")&amp;IF(AND(EDATE($D47,Milestones!$AA$126)&lt;=AsOfDate,IF($Q47=0,$W47,IF(AND($S47&lt;&gt;"",EDATE($D47,Milestones!$AA$126)&gt;=$S47),$V47,IF(AND($R47&lt;&gt;"",EDATE($D47,Milestones!$AA$126)&gt;=$R47),$U47,$T47)))=Milestones!$AB$126),TEXT(EDATE($D47,Milestones!$AA$126),"dd/mm/yy")&amp;" "&amp;Milestones!$AB$126&amp;" "&amp;Milestones!$AC$126&amp;";  ","")&amp;IF(AND(EDATE($D47,Milestones!$AA$127)&lt;=AsOfDate,IF($Q47=0,$W47,IF(AND($S47&lt;&gt;"",EDATE($D47,Milestones!$AA$127)&gt;=$S47),$V47,IF(AND($R47&lt;&gt;"",EDATE($D47,Milestones!$AA$127)&gt;=$R47),$U47,$T47)))=Milestones!$AB$127),TEXT(EDATE($D47,Milestones!$AA$127),"dd/mm/yy")&amp;" "&amp;Milestones!$AB$127&amp;" "&amp;Milestones!$AC$127&amp;";  ","")&amp;IF(AND(EDATE($D47,Milestones!$AA$128)&lt;=AsOfDate,IF($Q47=0,$W47,IF(AND($S47&lt;&gt;"",EDATE($D47,Milestones!$AA$128)&gt;=$S47),$V47,IF(AND($R47&lt;&gt;"",EDATE($D47,Milestones!$AA$128)&gt;=$R47),$U47,$T47)))=Milestones!$AB$128),TEXT(EDATE($D47,Milestones!$AA$128),"dd/mm/yy")&amp;" "&amp;Milestones!$AB$128&amp;" "&amp;Milestones!$AC$128&amp;";  ","")&amp;IF(AND(EDATE($D47,Milestones!$AA$129)&lt;=AsOfDate,IF($Q47=0,$W47,IF(AND($S47&lt;&gt;"",EDATE($D47,Milestones!$AA$129)&gt;=$S47),$V47,IF(AND($R47&lt;&gt;"",EDATE($D47,Milestones!$AA$129)&gt;=$R47),$U47,$T47)))=Milestones!$AB$129),TEXT(EDATE($D47,Milestones!$AA$129),"dd/mm/yy")&amp;" "&amp;Milestones!$AB$129&amp;" "&amp;Milestones!$AC$129&amp;";  ","")&amp;IF(AND(EDATE($D47,Milestones!$AA$130)&lt;=AsOfDate,IF($Q47=0,$W47,IF(AND($S47&lt;&gt;"",EDATE($D47,Milestones!$AA$130)&gt;=$S47),$V47,IF(AND($R47&lt;&gt;"",EDATE($D47,Milestones!$AA$130)&gt;=$R47),$U47,$T47)))=Milestones!$AB$130),TEXT(EDATE($D47,Milestones!$AA$130),"dd/mm/yy")&amp;" "&amp;Milestones!$AB$130&amp;" "&amp;Milestones!$AC$130&amp;";  ","")&amp;IF(AND(EDATE($D47,Milestones!$AA$131)&lt;=AsOfDate,IF($Q47=0,$W47,IF(AND($S47&lt;&gt;"",EDATE($D47,Milestones!$AA$131)&gt;=$S47),$V47,IF(AND($R47&lt;&gt;"",EDATE($D47,Milestones!$AA$131)&gt;=$R47),$U47,$T47)))=Milestones!$AB$131),TEXT(EDATE($D47,Milestones!$AA$131),"dd/mm/yy")&amp;" "&amp;Milestones!$AB$131&amp;" "&amp;Milestones!$AC$131&amp;";  ","")&amp;IF(AND(EDATE($D47,Milestones!$AA$132)&lt;=AsOfDate,IF($Q47=0,$W47,IF(AND($S47&lt;&gt;"",EDATE($D47,Milestones!$AA$132)&gt;=$S47),$V47,IF(AND($R47&lt;&gt;"",EDATE($D47,Milestones!$AA$132)&gt;=$R47),$U47,$T47)))=Milestones!$AB$132),TEXT(EDATE($D47,Milestones!$AA$132),"dd/mm/yy")&amp;" "&amp;Milestones!$AB$132&amp;" "&amp;Milestones!$AC$132&amp;";  ","")&amp;IF(AND(EDATE($D47,Milestones!$AA$133)&lt;=AsOfDate,IF($Q47=0,$W47,IF(AND($S47&lt;&gt;"",EDATE($D47,Milestones!$AA$133)&gt;=$S47),$V47,IF(AND($R47&lt;&gt;"",EDATE($D47,Milestones!$AA$133)&gt;=$R47),$U47,$T47)))=Milestones!$AB$133),TEXT(EDATE($D47,Milestones!$AA$133),"dd/mm/yy")&amp;" "&amp;Milestones!$AB$133&amp;" "&amp;Milestones!$AC$133&amp;";  ","")&amp;IF(AND(EDATE($D47,Milestones!$AA$134)&lt;=AsOfDate,IF($Q47=0,$W47,IF(AND($S47&lt;&gt;"",EDATE($D47,Milestones!$AA$134)&gt;=$S47),$V47,IF(AND($R47&lt;&gt;"",EDATE($D47,Milestones!$AA$134)&gt;=$R47),$U47,$T47)))=Milestones!$AB$134),TEXT(EDATE($D47,Milestones!$AA$134),"dd/mm/yy")&amp;" "&amp;Milestones!$AB$134&amp;" "&amp;Milestones!$AC$134&amp;";  ","")&amp;IF(AND(EDATE($D47,Milestones!$AA$135)&lt;=AsOfDate,IF($Q47=0,$W47,IF(AND($S47&lt;&gt;"",EDATE($D47,Milestones!$AA$135)&gt;=$S47),$V47,IF(AND($R47&lt;&gt;"",EDATE($D47,Milestones!$AA$135)&gt;=$R47),$U47,$T47)))=Milestones!$AB$135),TEXT(EDATE($D47,Milestones!$AA$135),"dd/mm/yy")&amp;" "&amp;Milestones!$AB$135&amp;" "&amp;Milestones!$AC$135&amp;";  ","")&amp;IF(AND(EDATE($D47,Milestones!$AA$136)&lt;=AsOfDate,IF($Q47=0,$W47,IF(AND($S47&lt;&gt;"",EDATE($D47,Milestones!$AA$136)&gt;=$S47),$V47,IF(AND($R47&lt;&gt;"",EDATE($D47,Milestones!$AA$136)&gt;=$R47),$U47,$T47)))=Milestones!$AB$136),TEXT(EDATE($D47,Milestones!$AA$136),"dd/mm/yy")&amp;" "&amp;Milestones!$AB$136&amp;" "&amp;Milestones!$AC$136&amp;";  ","")&amp;IF(AND(EDATE($D47,Milestones!$AA$137)&lt;=AsOfDate,IF($Q47=0,$W47,IF(AND($S47&lt;&gt;"",EDATE($D47,Milestones!$AA$137)&gt;=$S47),$V47,IF(AND($R47&lt;&gt;"",EDATE($D47,Milestones!$AA$137)&gt;=$R47),$U47,$T47)))=Milestones!$AB$137),TEXT(EDATE($D47,Milestones!$AA$137),"dd/mm/yy")&amp;" "&amp;Milestones!$AB$137&amp;" "&amp;Milestones!$AC$137&amp;";  ","")&amp;IF(AND(EDATE($D47,Milestones!$AA$138)&lt;=AsOfDate,IF($Q47=0,$W47,IF(AND($S47&lt;&gt;"",EDATE($D47,Milestones!$AA$138)&gt;=$S47),$V47,IF(AND($R47&lt;&gt;"",EDATE($D47,Milestones!$AA$138)&gt;=$R47),$U47,$T47)))=Milestones!$AB$138),TEXT(EDATE($D47,Milestones!$AA$138),"dd/mm/yy")&amp;" "&amp;Milestones!$AB$138&amp;" "&amp;Milestones!$AC$138&amp;";  ","")&amp;IF(AND(EDATE($D47,Milestones!$AA$139)&lt;=AsOfDate,IF($Q47=0,$W47,IF(AND($S47&lt;&gt;"",EDATE($D47,Milestones!$AA$139)&gt;=$S47),$V47,IF(AND($R47&lt;&gt;"",EDATE($D47,Milestones!$AA$139)&gt;=$R47),$U47,$T47)))=Milestones!$AB$139),TEXT(EDATE($D47,Milestones!$AA$139),"dd/mm/yy")&amp;" "&amp;Milestones!$AB$139&amp;" "&amp;Milestones!$AC$139&amp;";  ",""))</f>
        <v/>
      </c>
      <c r="N47" s="0" t="str">
        <f aca="false">IF(OR($A47="",$D47=""),"",IF(AND(EDATE($D47,Milestones!$AA$140)&lt;=AsOfDate,IF($Q47=0,$W47,IF(AND($S47&lt;&gt;"",EDATE($D47,Milestones!$AA$140)&gt;=$S47),$V47,IF(AND($R47&lt;&gt;"",EDATE($D47,Milestones!$AA$140)&gt;=$R47),$U47,$T47)))=Milestones!$AB$140),TEXT(EDATE($D47,Milestones!$AA$140),"dd/mm/yy")&amp;" "&amp;Milestones!$AB$140&amp;" "&amp;Milestones!$AC$140&amp;";  ","")&amp;IF(AND(EDATE($D47,Milestones!$AA$141)&lt;=AsOfDate,IF($Q47=0,$W47,IF(AND($S47&lt;&gt;"",EDATE($D47,Milestones!$AA$141)&gt;=$S47),$V47,IF(AND($R47&lt;&gt;"",EDATE($D47,Milestones!$AA$141)&gt;=$R47),$U47,$T47)))=Milestones!$AB$141),TEXT(EDATE($D47,Milestones!$AA$141),"dd/mm/yy")&amp;" "&amp;Milestones!$AB$141&amp;" "&amp;Milestones!$AC$141&amp;";  ","")&amp;IF(AND(EDATE($D47,Milestones!$AA$142)&lt;=AsOfDate,IF($Q47=0,$W47,IF(AND($S47&lt;&gt;"",EDATE($D47,Milestones!$AA$142)&gt;=$S47),$V47,IF(AND($R47&lt;&gt;"",EDATE($D47,Milestones!$AA$142)&gt;=$R47),$U47,$T47)))=Milestones!$AB$142),TEXT(EDATE($D47,Milestones!$AA$142),"dd/mm/yy")&amp;" "&amp;Milestones!$AB$142&amp;" "&amp;Milestones!$AC$142&amp;";  ","")&amp;IF(AND(EDATE($D47,Milestones!$AA$143)&lt;=AsOfDate,IF($Q47=0,$W47,IF(AND($S47&lt;&gt;"",EDATE($D47,Milestones!$AA$143)&gt;=$S47),$V47,IF(AND($R47&lt;&gt;"",EDATE($D47,Milestones!$AA$143)&gt;=$R47),$U47,$T47)))=Milestones!$AB$143),TEXT(EDATE($D47,Milestones!$AA$143),"dd/mm/yy")&amp;" "&amp;Milestones!$AB$143&amp;" "&amp;Milestones!$AC$143&amp;";  ","")&amp;IF(AND(EDATE($D47,Milestones!$AA$144)&lt;=AsOfDate,IF($Q47=0,$W47,IF(AND($S47&lt;&gt;"",EDATE($D47,Milestones!$AA$144)&gt;=$S47),$V47,IF(AND($R47&lt;&gt;"",EDATE($D47,Milestones!$AA$144)&gt;=$R47),$U47,$T47)))=Milestones!$AB$144),TEXT(EDATE($D47,Milestones!$AA$144),"dd/mm/yy")&amp;" "&amp;Milestones!$AB$144&amp;" "&amp;Milestones!$AC$144&amp;";  ","")&amp;IF(AND(EDATE($D47,Milestones!$AA$145)&lt;=AsOfDate,IF($Q47=0,$W47,IF(AND($S47&lt;&gt;"",EDATE($D47,Milestones!$AA$145)&gt;=$S47),$V47,IF(AND($R47&lt;&gt;"",EDATE($D47,Milestones!$AA$145)&gt;=$R47),$U47,$T47)))=Milestones!$AB$145),TEXT(EDATE($D47,Milestones!$AA$145),"dd/mm/yy")&amp;" "&amp;Milestones!$AB$145&amp;" "&amp;Milestones!$AC$145&amp;";  ","")&amp;IF(AND(EDATE($D47,Milestones!$AA$146)&lt;=AsOfDate,IF($Q47=0,$W47,IF(AND($S47&lt;&gt;"",EDATE($D47,Milestones!$AA$146)&gt;=$S47),$V47,IF(AND($R47&lt;&gt;"",EDATE($D47,Milestones!$AA$146)&gt;=$R47),$U47,$T47)))=Milestones!$AB$146),TEXT(EDATE($D47,Milestones!$AA$146),"dd/mm/yy")&amp;" "&amp;Milestones!$AB$146&amp;" "&amp;Milestones!$AC$146&amp;";  ","")&amp;IF(AND(EDATE($D47,Milestones!$AA$147)&lt;=AsOfDate,IF($Q47=0,$W47,IF(AND($S47&lt;&gt;"",EDATE($D47,Milestones!$AA$147)&gt;=$S47),$V47,IF(AND($R47&lt;&gt;"",EDATE($D47,Milestones!$AA$147)&gt;=$R47),$U47,$T47)))=Milestones!$AB$147),TEXT(EDATE($D47,Milestones!$AA$147),"dd/mm/yy")&amp;" "&amp;Milestones!$AB$147&amp;" "&amp;Milestones!$AC$147&amp;";  ","")&amp;IF(AND(EDATE($D47,Milestones!$AA$148)&lt;=AsOfDate,IF($Q47=0,$W47,IF(AND($S47&lt;&gt;"",EDATE($D47,Milestones!$AA$148)&gt;=$S47),$V47,IF(AND($R47&lt;&gt;"",EDATE($D47,Milestones!$AA$148)&gt;=$R47),$U47,$T47)))=Milestones!$AB$148),TEXT(EDATE($D47,Milestones!$AA$148),"dd/mm/yy")&amp;" "&amp;Milestones!$AB$148&amp;" "&amp;Milestones!$AC$148&amp;";  ","")&amp;IF(AND(EDATE($D47,Milestones!$AA$149)&lt;=AsOfDate,IF($Q47=0,$W47,IF(AND($S47&lt;&gt;"",EDATE($D47,Milestones!$AA$149)&gt;=$S47),$V47,IF(AND($R47&lt;&gt;"",EDATE($D47,Milestones!$AA$149)&gt;=$R47),$U47,$T47)))=Milestones!$AB$149),TEXT(EDATE($D47,Milestones!$AA$149),"dd/mm/yy")&amp;" "&amp;Milestones!$AB$149&amp;" "&amp;Milestones!$AC$149&amp;";  ","")&amp;IF(AND(EDATE($D47,Milestones!$AA$150)&lt;=AsOfDate,IF($Q47=0,$W47,IF(AND($S47&lt;&gt;"",EDATE($D47,Milestones!$AA$150)&gt;=$S47),$V47,IF(AND($R47&lt;&gt;"",EDATE($D47,Milestones!$AA$150)&gt;=$R47),$U47,$T47)))=Milestones!$AB$150),TEXT(EDATE($D47,Milestones!$AA$150),"dd/mm/yy")&amp;" "&amp;Milestones!$AB$150&amp;" "&amp;Milestones!$AC$150&amp;";  ","")&amp;IF(AND(EDATE($D47,Milestones!$AA$151)&lt;=AsOfDate,IF($Q47=0,$W47,IF(AND($S47&lt;&gt;"",EDATE($D47,Milestones!$AA$151)&gt;=$S47),$V47,IF(AND($R47&lt;&gt;"",EDATE($D47,Milestones!$AA$151)&gt;=$R47),$U47,$T47)))=Milestones!$AB$151),TEXT(EDATE($D47,Milestones!$AA$151),"dd/mm/yy")&amp;" "&amp;Milestones!$AB$151&amp;" "&amp;Milestones!$AC$151&amp;";  ","")&amp;IF(AND(EDATE($D47,Milestones!$AA$152)&lt;=AsOfDate,IF($Q47=0,$W47,IF(AND($S47&lt;&gt;"",EDATE($D47,Milestones!$AA$152)&gt;=$S47),$V47,IF(AND($R47&lt;&gt;"",EDATE($D47,Milestones!$AA$152)&gt;=$R47),$U47,$T47)))=Milestones!$AB$152),TEXT(EDATE($D47,Milestones!$AA$152),"dd/mm/yy")&amp;" "&amp;Milestones!$AB$152&amp;" "&amp;Milestones!$AC$152&amp;";  ","")&amp;IF(AND(EDATE($D47,Milestones!$AA$153)&lt;=AsOfDate,IF($Q47=0,$W47,IF(AND($S47&lt;&gt;"",EDATE($D47,Milestones!$AA$153)&gt;=$S47),$V47,IF(AND($R47&lt;&gt;"",EDATE($D47,Milestones!$AA$153)&gt;=$R47),$U47,$T47)))=Milestones!$AB$153),TEXT(EDATE($D47,Milestones!$AA$153),"dd/mm/yy")&amp;" "&amp;Milestones!$AB$153&amp;" "&amp;Milestones!$AC$153&amp;";  ","")&amp;IF(AND(EDATE($D47,Milestones!$AA$154)&lt;=AsOfDate,IF($Q47=0,$W47,IF(AND($S47&lt;&gt;"",EDATE($D47,Milestones!$AA$154)&gt;=$S47),$V47,IF(AND($R47&lt;&gt;"",EDATE($D47,Milestones!$AA$154)&gt;=$R47),$U47,$T47)))=Milestones!$AB$154),TEXT(EDATE($D47,Milestones!$AA$154),"dd/mm/yy")&amp;" "&amp;Milestones!$AB$154&amp;" "&amp;Milestones!$AC$154&amp;";  ","")&amp;IF(AND(EDATE($D47,Milestones!$AA$155)&lt;=AsOfDate,IF($Q47=0,$W47,IF(AND($S47&lt;&gt;"",EDATE($D47,Milestones!$AA$155)&gt;=$S47),$V47,IF(AND($R47&lt;&gt;"",EDATE($D47,Milestones!$AA$155)&gt;=$R47),$U47,$T47)))=Milestones!$AB$155),TEXT(EDATE($D47,Milestones!$AA$155),"dd/mm/yy")&amp;" "&amp;Milestones!$AB$155&amp;" "&amp;Milestones!$AC$155&amp;";  ","")&amp;IF(AND(EDATE($D47,Milestones!$AA$156)&lt;=AsOfDate,IF($Q47=0,$W47,IF(AND($S47&lt;&gt;"",EDATE($D47,Milestones!$AA$156)&gt;=$S47),$V47,IF(AND($R47&lt;&gt;"",EDATE($D47,Milestones!$AA$156)&gt;=$R47),$U47,$T47)))=Milestones!$AB$156),TEXT(EDATE($D47,Milestones!$AA$156),"dd/mm/yy")&amp;" "&amp;Milestones!$AB$156&amp;" "&amp;Milestones!$AC$156&amp;";  ","")&amp;IF(AND(EDATE($D47,Milestones!$AA$157)&lt;=AsOfDate,IF($Q47=0,$W47,IF(AND($S47&lt;&gt;"",EDATE($D47,Milestones!$AA$157)&gt;=$S47),$V47,IF(AND($R47&lt;&gt;"",EDATE($D47,Milestones!$AA$157)&gt;=$R47),$U47,$T47)))=Milestones!$AB$157),TEXT(EDATE($D47,Milestones!$AA$157),"dd/mm/yy")&amp;" "&amp;Milestones!$AB$157&amp;" "&amp;Milestones!$AC$157&amp;";  ","")&amp;IF(AND(EDATE($D47,Milestones!$AA$158)&lt;=AsOfDate,IF($Q47=0,$W47,IF(AND($S47&lt;&gt;"",EDATE($D47,Milestones!$AA$158)&gt;=$S47),$V47,IF(AND($R47&lt;&gt;"",EDATE($D47,Milestones!$AA$158)&gt;=$R47),$U47,$T47)))=Milestones!$AB$158),TEXT(EDATE($D47,Milestones!$AA$158),"dd/mm/yy")&amp;" "&amp;Milestones!$AB$158&amp;" "&amp;Milestones!$AC$158&amp;";  ","")&amp;IF(AND(EDATE($D47,Milestones!$AA$159)&lt;=AsOfDate,IF($Q47=0,$W47,IF(AND($S47&lt;&gt;"",EDATE($D47,Milestones!$AA$159)&gt;=$S47),$V47,IF(AND($R47&lt;&gt;"",EDATE($D47,Milestones!$AA$159)&gt;=$R47),$U47,$T47)))=Milestones!$AB$159),TEXT(EDATE($D47,Milestones!$AA$159),"dd/mm/yy")&amp;" "&amp;Milestones!$AB$159&amp;" "&amp;Milestones!$AC$159&amp;";  ",""))</f>
        <v/>
      </c>
      <c r="O47" s="0" t="str">
        <f aca="false">IF(OR($A47="",$D47=""),"",IF(AND(EDATE($D47,Milestones!$AA$160)&lt;=AsOfDate,IF($Q47=0,$W47,IF(AND($S47&lt;&gt;"",EDATE($D47,Milestones!$AA$160)&gt;=$S47),$V47,IF(AND($R47&lt;&gt;"",EDATE($D47,Milestones!$AA$160)&gt;=$R47),$U47,$T47)))=Milestones!$AB$160),TEXT(EDATE($D47,Milestones!$AA$160),"dd/mm/yy")&amp;" "&amp;Milestones!$AB$160&amp;" "&amp;Milestones!$AC$160&amp;";  ","")&amp;IF(AND(EDATE($D47,Milestones!$AA$161)&lt;=AsOfDate,IF($Q47=0,$W47,IF(AND($S47&lt;&gt;"",EDATE($D47,Milestones!$AA$161)&gt;=$S47),$V47,IF(AND($R47&lt;&gt;"",EDATE($D47,Milestones!$AA$161)&gt;=$R47),$U47,$T47)))=Milestones!$AB$161),TEXT(EDATE($D47,Milestones!$AA$161),"dd/mm/yy")&amp;" "&amp;Milestones!$AB$161&amp;" "&amp;Milestones!$AC$161&amp;";  ","")&amp;IF(AND(EDATE($D47,Milestones!$AA$162)&lt;=AsOfDate,IF($Q47=0,$W47,IF(AND($S47&lt;&gt;"",EDATE($D47,Milestones!$AA$162)&gt;=$S47),$V47,IF(AND($R47&lt;&gt;"",EDATE($D47,Milestones!$AA$162)&gt;=$R47),$U47,$T47)))=Milestones!$AB$162),TEXT(EDATE($D47,Milestones!$AA$162),"dd/mm/yy")&amp;" "&amp;Milestones!$AB$162&amp;" "&amp;Milestones!$AC$162&amp;";  ","")&amp;IF(AND(EDATE($D47,Milestones!$AA$163)&lt;=AsOfDate,IF($Q47=0,$W47,IF(AND($S47&lt;&gt;"",EDATE($D47,Milestones!$AA$163)&gt;=$S47),$V47,IF(AND($R47&lt;&gt;"",EDATE($D47,Milestones!$AA$163)&gt;=$R47),$U47,$T47)))=Milestones!$AB$163),TEXT(EDATE($D47,Milestones!$AA$163),"dd/mm/yy")&amp;" "&amp;Milestones!$AB$163&amp;" "&amp;Milestones!$AC$163&amp;";  ","")&amp;IF(AND(EDATE($D47,Milestones!$AA$164)&lt;=AsOfDate,IF($Q47=0,$W47,IF(AND($S47&lt;&gt;"",EDATE($D47,Milestones!$AA$164)&gt;=$S47),$V47,IF(AND($R47&lt;&gt;"",EDATE($D47,Milestones!$AA$164)&gt;=$R47),$U47,$T47)))=Milestones!$AB$164),TEXT(EDATE($D47,Milestones!$AA$164),"dd/mm/yy")&amp;" "&amp;Milestones!$AB$164&amp;" "&amp;Milestones!$AC$164&amp;";  ","")&amp;IF(AND(EDATE($D47,Milestones!$AA$165)&lt;=AsOfDate,IF($Q47=0,$W47,IF(AND($S47&lt;&gt;"",EDATE($D47,Milestones!$AA$165)&gt;=$S47),$V47,IF(AND($R47&lt;&gt;"",EDATE($D47,Milestones!$AA$165)&gt;=$R47),$U47,$T47)))=Milestones!$AB$165),TEXT(EDATE($D47,Milestones!$AA$165),"dd/mm/yy")&amp;" "&amp;Milestones!$AB$165&amp;" "&amp;Milestones!$AC$165&amp;";  ","")&amp;IF(AND(EDATE($D47,Milestones!$AA$166)&lt;=AsOfDate,IF($Q47=0,$W47,IF(AND($S47&lt;&gt;"",EDATE($D47,Milestones!$AA$166)&gt;=$S47),$V47,IF(AND($R47&lt;&gt;"",EDATE($D47,Milestones!$AA$166)&gt;=$R47),$U47,$T47)))=Milestones!$AB$166),TEXT(EDATE($D47,Milestones!$AA$166),"dd/mm/yy")&amp;" "&amp;Milestones!$AB$166&amp;" "&amp;Milestones!$AC$166&amp;";  ","")&amp;IF(AND(EDATE($D47,Milestones!$AA$167)&lt;=AsOfDate,IF($Q47=0,$W47,IF(AND($S47&lt;&gt;"",EDATE($D47,Milestones!$AA$167)&gt;=$S47),$V47,IF(AND($R47&lt;&gt;"",EDATE($D47,Milestones!$AA$167)&gt;=$R47),$U47,$T47)))=Milestones!$AB$167),TEXT(EDATE($D47,Milestones!$AA$167),"dd/mm/yy")&amp;" "&amp;Milestones!$AB$167&amp;" "&amp;Milestones!$AC$167&amp;";  ","")&amp;IF(AND(EDATE($D47,Milestones!$AA$168)&lt;=AsOfDate,IF($Q47=0,$W47,IF(AND($S47&lt;&gt;"",EDATE($D47,Milestones!$AA$168)&gt;=$S47),$V47,IF(AND($R47&lt;&gt;"",EDATE($D47,Milestones!$AA$168)&gt;=$R47),$U47,$T47)))=Milestones!$AB$168),TEXT(EDATE($D47,Milestones!$AA$168),"dd/mm/yy")&amp;" "&amp;Milestones!$AB$168&amp;" "&amp;Milestones!$AC$168&amp;";  ","")&amp;IF(AND(EDATE($D47,Milestones!$AA$169)&lt;=AsOfDate,IF($Q47=0,$W47,IF(AND($S47&lt;&gt;"",EDATE($D47,Milestones!$AA$169)&gt;=$S47),$V47,IF(AND($R47&lt;&gt;"",EDATE($D47,Milestones!$AA$169)&gt;=$R47),$U47,$T47)))=Milestones!$AB$169),TEXT(EDATE($D47,Milestones!$AA$169),"dd/mm/yy")&amp;" "&amp;Milestones!$AB$169&amp;" "&amp;Milestones!$AC$169&amp;";  ","")&amp;IF(AND(EDATE($D47,Milestones!$AA$170)&lt;=AsOfDate,IF($Q47=0,$W47,IF(AND($S47&lt;&gt;"",EDATE($D47,Milestones!$AA$170)&gt;=$S47),$V47,IF(AND($R47&lt;&gt;"",EDATE($D47,Milestones!$AA$170)&gt;=$R47),$U47,$T47)))=Milestones!$AB$170),TEXT(EDATE($D47,Milestones!$AA$170),"dd/mm/yy")&amp;" "&amp;Milestones!$AB$170&amp;" "&amp;Milestones!$AC$170&amp;";  ","")&amp;IF(AND(EDATE($D47,Milestones!$AA$171)&lt;=AsOfDate,IF($Q47=0,$W47,IF(AND($S47&lt;&gt;"",EDATE($D47,Milestones!$AA$171)&gt;=$S47),$V47,IF(AND($R47&lt;&gt;"",EDATE($D47,Milestones!$AA$171)&gt;=$R47),$U47,$T47)))=Milestones!$AB$171),TEXT(EDATE($D47,Milestones!$AA$171),"dd/mm/yy")&amp;" "&amp;Milestones!$AB$171&amp;" "&amp;Milestones!$AC$171&amp;";  ","")&amp;IF(AND(EDATE($D47,Milestones!$AA$172)&lt;=AsOfDate,IF($Q47=0,$W47,IF(AND($S47&lt;&gt;"",EDATE($D47,Milestones!$AA$172)&gt;=$S47),$V47,IF(AND($R47&lt;&gt;"",EDATE($D47,Milestones!$AA$172)&gt;=$R47),$U47,$T47)))=Milestones!$AB$172),TEXT(EDATE($D47,Milestones!$AA$172),"dd/mm/yy")&amp;" "&amp;Milestones!$AB$172&amp;" "&amp;Milestones!$AC$172&amp;";  ","")&amp;IF(AND(EDATE($D47,Milestones!$AA$173)&lt;=AsOfDate,IF($Q47=0,$W47,IF(AND($S47&lt;&gt;"",EDATE($D47,Milestones!$AA$173)&gt;=$S47),$V47,IF(AND($R47&lt;&gt;"",EDATE($D47,Milestones!$AA$173)&gt;=$R47),$U47,$T47)))=Milestones!$AB$173),TEXT(EDATE($D47,Milestones!$AA$173),"dd/mm/yy")&amp;" "&amp;Milestones!$AB$173&amp;" "&amp;Milestones!$AC$173&amp;";  ","")&amp;IF(AND(EDATE($D47,Milestones!$AA$174)&lt;=AsOfDate,IF($Q47=0,$W47,IF(AND($S47&lt;&gt;"",EDATE($D47,Milestones!$AA$174)&gt;=$S47),$V47,IF(AND($R47&lt;&gt;"",EDATE($D47,Milestones!$AA$174)&gt;=$R47),$U47,$T47)))=Milestones!$AB$174),TEXT(EDATE($D47,Milestones!$AA$174),"dd/mm/yy")&amp;" "&amp;Milestones!$AB$174&amp;" "&amp;Milestones!$AC$174&amp;";  ","")&amp;IF(AND(EDATE($D47,Milestones!$AA$175)&lt;=AsOfDate,IF($Q47=0,$W47,IF(AND($S47&lt;&gt;"",EDATE($D47,Milestones!$AA$175)&gt;=$S47),$V47,IF(AND($R47&lt;&gt;"",EDATE($D47,Milestones!$AA$175)&gt;=$R47),$U47,$T47)))=Milestones!$AB$175),TEXT(EDATE($D47,Milestones!$AA$175),"dd/mm/yy")&amp;" "&amp;Milestones!$AB$175&amp;" "&amp;Milestones!$AC$175&amp;";  ","")&amp;IF(AND(EDATE($D47,Milestones!$AA$176)&lt;=AsOfDate,IF($Q47=0,$W47,IF(AND($S47&lt;&gt;"",EDATE($D47,Milestones!$AA$176)&gt;=$S47),$V47,IF(AND($R47&lt;&gt;"",EDATE($D47,Milestones!$AA$176)&gt;=$R47),$U47,$T47)))=Milestones!$AB$176),TEXT(EDATE($D47,Milestones!$AA$176),"dd/mm/yy")&amp;" "&amp;Milestones!$AB$176&amp;" "&amp;Milestones!$AC$176&amp;";  ","")&amp;IF(AND(EDATE($D47,Milestones!$AA$177)&lt;=AsOfDate,IF($Q47=0,$W47,IF(AND($S47&lt;&gt;"",EDATE($D47,Milestones!$AA$177)&gt;=$S47),$V47,IF(AND($R47&lt;&gt;"",EDATE($D47,Milestones!$AA$177)&gt;=$R47),$U47,$T47)))=Milestones!$AB$177),TEXT(EDATE($D47,Milestones!$AA$177),"dd/mm/yy")&amp;" "&amp;Milestones!$AB$177&amp;" "&amp;Milestones!$AC$177&amp;";  ","")&amp;IF(AND(EDATE($D47,Milestones!$AA$178)&lt;=AsOfDate,IF($Q47=0,$W47,IF(AND($S47&lt;&gt;"",EDATE($D47,Milestones!$AA$178)&gt;=$S47),$V47,IF(AND($R47&lt;&gt;"",EDATE($D47,Milestones!$AA$178)&gt;=$R47),$U47,$T47)))=Milestones!$AB$178),TEXT(EDATE($D47,Milestones!$AA$178),"dd/mm/yy")&amp;" "&amp;Milestones!$AB$178&amp;" "&amp;Milestones!$AC$178&amp;";  ","")&amp;IF(AND(EDATE($D47,Milestones!$AA$179)&lt;=AsOfDate,IF($Q47=0,$W47,IF(AND($S47&lt;&gt;"",EDATE($D47,Milestones!$AA$179)&gt;=$S47),$V47,IF(AND($R47&lt;&gt;"",EDATE($D47,Milestones!$AA$179)&gt;=$R47),$U47,$T47)))=Milestones!$AB$179),TEXT(EDATE($D47,Milestones!$AA$179),"dd/mm/yy")&amp;" "&amp;Milestones!$AB$179&amp;" "&amp;Milestones!$AC$179&amp;";  ",""))</f>
        <v/>
      </c>
      <c r="P47" s="0" t="str">
        <f aca="false">IF(OR($A47="",$D47=""),"",IF(AND(EDATE($D47,Milestones!$AA$180)&lt;=AsOfDate,IF($Q47=0,$W47,IF(AND($S47&lt;&gt;"",EDATE($D47,Milestones!$AA$180)&gt;=$S47),$V47,IF(AND($R47&lt;&gt;"",EDATE($D47,Milestones!$AA$180)&gt;=$R47),$U47,$T47)))=Milestones!$AB$180),TEXT(EDATE($D47,Milestones!$AA$180),"dd/mm/yy")&amp;" "&amp;Milestones!$AB$180&amp;" "&amp;Milestones!$AC$180&amp;";  ","")&amp;IF(AND(EDATE($D47,Milestones!$AA$181)&lt;=AsOfDate,IF($Q47=0,$W47,IF(AND($S47&lt;&gt;"",EDATE($D47,Milestones!$AA$181)&gt;=$S47),$V47,IF(AND($R47&lt;&gt;"",EDATE($D47,Milestones!$AA$181)&gt;=$R47),$U47,$T47)))=Milestones!$AB$181),TEXT(EDATE($D47,Milestones!$AA$181),"dd/mm/yy")&amp;" "&amp;Milestones!$AB$181&amp;" "&amp;Milestones!$AC$181&amp;";  ","")&amp;IF(AND(EDATE($D47,Milestones!$AA$182)&lt;=AsOfDate,IF($Q47=0,$W47,IF(AND($S47&lt;&gt;"",EDATE($D47,Milestones!$AA$182)&gt;=$S47),$V47,IF(AND($R47&lt;&gt;"",EDATE($D47,Milestones!$AA$182)&gt;=$R47),$U47,$T47)))=Milestones!$AB$182),TEXT(EDATE($D47,Milestones!$AA$182),"dd/mm/yy")&amp;" "&amp;Milestones!$AB$182&amp;" "&amp;Milestones!$AC$182&amp;";  ","")&amp;IF(AND(EDATE($D47,Milestones!$AA$183)&lt;=AsOfDate,IF($Q47=0,$W47,IF(AND($S47&lt;&gt;"",EDATE($D47,Milestones!$AA$183)&gt;=$S47),$V47,IF(AND($R47&lt;&gt;"",EDATE($D47,Milestones!$AA$183)&gt;=$R47),$U47,$T47)))=Milestones!$AB$183),TEXT(EDATE($D47,Milestones!$AA$183),"dd/mm/yy")&amp;" "&amp;Milestones!$AB$183&amp;" "&amp;Milestones!$AC$183&amp;";  ","")&amp;IF(AND(EDATE($D47,Milestones!$AA$184)&lt;=AsOfDate,IF($Q47=0,$W47,IF(AND($S47&lt;&gt;"",EDATE($D47,Milestones!$AA$184)&gt;=$S47),$V47,IF(AND($R47&lt;&gt;"",EDATE($D47,Milestones!$AA$184)&gt;=$R47),$U47,$T47)))=Milestones!$AB$184),TEXT(EDATE($D47,Milestones!$AA$184),"dd/mm/yy")&amp;" "&amp;Milestones!$AB$184&amp;" "&amp;Milestones!$AC$184&amp;";  ","")&amp;IF(AND(EDATE($D47,Milestones!$AA$185)&lt;=AsOfDate,IF($Q47=0,$W47,IF(AND($S47&lt;&gt;"",EDATE($D47,Milestones!$AA$185)&gt;=$S47),$V47,IF(AND($R47&lt;&gt;"",EDATE($D47,Milestones!$AA$185)&gt;=$R47),$U47,$T47)))=Milestones!$AB$185),TEXT(EDATE($D47,Milestones!$AA$185),"dd/mm/yy")&amp;" "&amp;Milestones!$AB$185&amp;" "&amp;Milestones!$AC$185&amp;";  ","")&amp;IF(AND(EDATE($D47,Milestones!$AA$186)&lt;=AsOfDate,IF($Q47=0,$W47,IF(AND($S47&lt;&gt;"",EDATE($D47,Milestones!$AA$186)&gt;=$S47),$V47,IF(AND($R47&lt;&gt;"",EDATE($D47,Milestones!$AA$186)&gt;=$R47),$U47,$T47)))=Milestones!$AB$186),TEXT(EDATE($D47,Milestones!$AA$186),"dd/mm/yy")&amp;" "&amp;Milestones!$AB$186&amp;" "&amp;Milestones!$AC$186&amp;";  ","")&amp;IF(AND(EDATE($D47,Milestones!$AA$187)&lt;=AsOfDate,IF($Q47=0,$W47,IF(AND($S47&lt;&gt;"",EDATE($D47,Milestones!$AA$187)&gt;=$S47),$V47,IF(AND($R47&lt;&gt;"",EDATE($D47,Milestones!$AA$187)&gt;=$R47),$U47,$T47)))=Milestones!$AB$187),TEXT(EDATE($D47,Milestones!$AA$187),"dd/mm/yy")&amp;" "&amp;Milestones!$AB$187&amp;" "&amp;Milestones!$AC$187&amp;";  ","")&amp;IF(AND(EDATE($D47,Milestones!$AA$188)&lt;=AsOfDate,IF($Q47=0,$W47,IF(AND($S47&lt;&gt;"",EDATE($D47,Milestones!$AA$188)&gt;=$S47),$V47,IF(AND($R47&lt;&gt;"",EDATE($D47,Milestones!$AA$188)&gt;=$R47),$U47,$T47)))=Milestones!$AB$188),TEXT(EDATE($D47,Milestones!$AA$188),"dd/mm/yy")&amp;" "&amp;Milestones!$AB$188&amp;" "&amp;Milestones!$AC$188&amp;";  ","")&amp;IF(AND(EDATE($D47,Milestones!$AA$189)&lt;=AsOfDate,IF($Q47=0,$W47,IF(AND($S47&lt;&gt;"",EDATE($D47,Milestones!$AA$189)&gt;=$S47),$V47,IF(AND($R47&lt;&gt;"",EDATE($D47,Milestones!$AA$189)&gt;=$R47),$U47,$T47)))=Milestones!$AB$189),TEXT(EDATE($D47,Milestones!$AA$189),"dd/mm/yy")&amp;" "&amp;Milestones!$AB$189&amp;" "&amp;Milestones!$AC$189&amp;";  ","")&amp;IF(AND(EDATE($D47,Milestones!$AA$190)&lt;=AsOfDate,IF($Q47=0,$W47,IF(AND($S47&lt;&gt;"",EDATE($D47,Milestones!$AA$190)&gt;=$S47),$V47,IF(AND($R47&lt;&gt;"",EDATE($D47,Milestones!$AA$190)&gt;=$R47),$U47,$T47)))=Milestones!$AB$190),TEXT(EDATE($D47,Milestones!$AA$190),"dd/mm/yy")&amp;" "&amp;Milestones!$AB$190&amp;" "&amp;Milestones!$AC$190&amp;";  ","")&amp;IF(AND(EDATE($D47,Milestones!$AA$191)&lt;=AsOfDate,IF($Q47=0,$W47,IF(AND($S47&lt;&gt;"",EDATE($D47,Milestones!$AA$191)&gt;=$S47),$V47,IF(AND($R47&lt;&gt;"",EDATE($D47,Milestones!$AA$191)&gt;=$R47),$U47,$T47)))=Milestones!$AB$191),TEXT(EDATE($D47,Milestones!$AA$191),"dd/mm/yy")&amp;" "&amp;Milestones!$AB$191&amp;" "&amp;Milestones!$AC$191&amp;";  ","")&amp;IF(AND(EDATE($D47,Milestones!$AA$192)&lt;=AsOfDate,IF($Q47=0,$W47,IF(AND($S47&lt;&gt;"",EDATE($D47,Milestones!$AA$192)&gt;=$S47),$V47,IF(AND($R47&lt;&gt;"",EDATE($D47,Milestones!$AA$192)&gt;=$R47),$U47,$T47)))=Milestones!$AB$192),TEXT(EDATE($D47,Milestones!$AA$192),"dd/mm/yy")&amp;" "&amp;Milestones!$AB$192&amp;" "&amp;Milestones!$AC$192&amp;";  ","")&amp;IF(AND(EDATE($D47,Milestones!$AA$193)&lt;=AsOfDate,IF($Q47=0,$W47,IF(AND($S47&lt;&gt;"",EDATE($D47,Milestones!$AA$193)&gt;=$S47),$V47,IF(AND($R47&lt;&gt;"",EDATE($D47,Milestones!$AA$193)&gt;=$R47),$U47,$T47)))=Milestones!$AB$193),TEXT(EDATE($D47,Milestones!$AA$193),"dd/mm/yy")&amp;" "&amp;Milestones!$AB$193&amp;" "&amp;Milestones!$AC$193&amp;";  ","")&amp;IF(AND(EDATE($D47,Milestones!$AA$194)&lt;=AsOfDate,IF($Q47=0,$W47,IF(AND($S47&lt;&gt;"",EDATE($D47,Milestones!$AA$194)&gt;=$S47),$V47,IF(AND($R47&lt;&gt;"",EDATE($D47,Milestones!$AA$194)&gt;=$R47),$U47,$T47)))=Milestones!$AB$194),TEXT(EDATE($D47,Milestones!$AA$194),"dd/mm/yy")&amp;" "&amp;Milestones!$AB$194&amp;" "&amp;Milestones!$AC$194&amp;";  ","")&amp;IF(AND(EDATE($D47,Milestones!$AA$195)&lt;=AsOfDate,IF($Q47=0,$W47,IF(AND($S47&lt;&gt;"",EDATE($D47,Milestones!$AA$195)&gt;=$S47),$V47,IF(AND($R47&lt;&gt;"",EDATE($D47,Milestones!$AA$195)&gt;=$R47),$U47,$T47)))=Milestones!$AB$195),TEXT(EDATE($D47,Milestones!$AA$195),"dd/mm/yy")&amp;" "&amp;Milestones!$AB$195&amp;" "&amp;Milestones!$AC$195&amp;";  ","")&amp;IF(AND(EDATE($D47,Milestones!$AA$196)&lt;=AsOfDate,IF($Q47=0,$W47,IF(AND($S47&lt;&gt;"",EDATE($D47,Milestones!$AA$196)&gt;=$S47),$V47,IF(AND($R47&lt;&gt;"",EDATE($D47,Milestones!$AA$196)&gt;=$R47),$U47,$T47)))=Milestones!$AB$196),TEXT(EDATE($D47,Milestones!$AA$196),"dd/mm/yy")&amp;" "&amp;Milestones!$AB$196&amp;" "&amp;Milestones!$AC$196&amp;";  ","")&amp;IF(AND(EDATE($D47,Milestones!$AA$197)&lt;=AsOfDate,IF($Q47=0,$W47,IF(AND($S47&lt;&gt;"",EDATE($D47,Milestones!$AA$197)&gt;=$S47),$V47,IF(AND($R47&lt;&gt;"",EDATE($D47,Milestones!$AA$197)&gt;=$R47),$U47,$T47)))=Milestones!$AB$197),TEXT(EDATE($D47,Milestones!$AA$197),"dd/mm/yy")&amp;" "&amp;Milestones!$AB$197&amp;" "&amp;Milestones!$AC$197&amp;";  ","")&amp;IF(AND(EDATE($D47,Milestones!$AA$198)&lt;=AsOfDate,IF($Q47=0,$W47,IF(AND($S47&lt;&gt;"",EDATE($D47,Milestones!$AA$198)&gt;=$S47),$V47,IF(AND($R47&lt;&gt;"",EDATE($D47,Milestones!$AA$198)&gt;=$R47),$U47,$T47)))=Milestones!$AB$198),TEXT(EDATE($D47,Milestones!$AA$198),"dd/mm/yy")&amp;" "&amp;Milestones!$AB$198&amp;" "&amp;Milestones!$AC$198&amp;";  ","")&amp;IF(AND(EDATE($D47,Milestones!$AA$199)&lt;=AsOfDate,IF($Q47=0,$W47,IF(AND($S47&lt;&gt;"",EDATE($D47,Milestones!$AA$199)&gt;=$S47),$V47,IF(AND($R47&lt;&gt;"",EDATE($D47,Milestones!$AA$199)&gt;=$R47),$U47,$T47)))=Milestones!$AB$199),TEXT(EDATE($D47,Milestones!$AA$199),"dd/mm/yy")&amp;" "&amp;Milestones!$AB$199&amp;" "&amp;Milestones!$AC$199&amp;";  ",""))</f>
        <v/>
      </c>
      <c r="Q47" s="0" t="str">
        <f aca="false">IF(Staff!$A47="","",Staff!$AG47)</f>
        <v/>
      </c>
      <c r="R47" s="0" t="str">
        <f aca="false">IF(Staff!$A47="","",Staff!$AI47)</f>
        <v/>
      </c>
      <c r="S47" s="0" t="str">
        <f aca="false">IF(Staff!$A47="","",Staff!$AJ47)</f>
        <v/>
      </c>
      <c r="T47" s="0" t="str">
        <f aca="false">IF(Staff!$A47="","",Staff!$AN47)</f>
        <v/>
      </c>
      <c r="U47" s="0" t="str">
        <f aca="false">IF(Staff!$A47="","",Staff!$AO47)</f>
        <v/>
      </c>
      <c r="V47" s="0" t="str">
        <f aca="false">IF(Staff!$A47="","",Staff!$AP47)</f>
        <v/>
      </c>
      <c r="W47" s="0" t="str">
        <f aca="false">IF(Staff!$A47="","",Staff!$AQ47)</f>
        <v/>
      </c>
    </row>
    <row r="48" customFormat="false" ht="15" hidden="false" customHeight="false" outlineLevel="0" collapsed="false">
      <c r="A48" s="13" t="str">
        <f aca="false">IF(Staff!$A48="","",Staff!$A48)</f>
        <v/>
      </c>
      <c r="B48" s="13" t="str">
        <f aca="false">IF(Staff!$A48="","",Staff!$B48)</f>
        <v/>
      </c>
      <c r="C48" s="13" t="str">
        <f aca="false">IF(Staff!$A48="","",Staff!$C48)</f>
        <v/>
      </c>
      <c r="D48" s="11" t="str">
        <f aca="false">IF(Staff!$A48="","",Staff!$AF48)</f>
        <v/>
      </c>
      <c r="E48" s="13" t="str">
        <f aca="false">IF(Staff!$A48="","",Staff!$O48)</f>
        <v/>
      </c>
      <c r="F48" s="13" t="str">
        <f aca="false">IF(E48="","",E48*HoursPerDay)</f>
        <v/>
      </c>
      <c r="G48" s="26" t="str">
        <f aca="false">IF($A48="","",H48&amp;I48&amp;J48&amp;K48&amp;L48&amp;M48&amp;N48&amp;O48&amp;P48)</f>
        <v/>
      </c>
      <c r="H48" s="0" t="str">
        <f aca="false">IF(OR($A48="",$D48=""),"",IF(AND(EDATE($D48,Milestones!$AA$20)&lt;=AsOfDate,IF($Q48=0,$W48,IF(AND($S48&lt;&gt;"",EDATE($D48,Milestones!$AA$20)&gt;=$S48),$V48,IF(AND($R48&lt;&gt;"",EDATE($D48,Milestones!$AA$20)&gt;=$R48),$U48,$T48)))=Milestones!$AB$20),TEXT(EDATE($D48,Milestones!$AA$20),"dd/mm/yy")&amp;" "&amp;Milestones!$AB$20&amp;" "&amp;Milestones!$AC$20&amp;";  ","")&amp;IF(AND(EDATE($D48,Milestones!$AA$21)&lt;=AsOfDate,IF($Q48=0,$W48,IF(AND($S48&lt;&gt;"",EDATE($D48,Milestones!$AA$21)&gt;=$S48),$V48,IF(AND($R48&lt;&gt;"",EDATE($D48,Milestones!$AA$21)&gt;=$R48),$U48,$T48)))=Milestones!$AB$21),TEXT(EDATE($D48,Milestones!$AA$21),"dd/mm/yy")&amp;" "&amp;Milestones!$AB$21&amp;" "&amp;Milestones!$AC$21&amp;";  ","")&amp;IF(AND(EDATE($D48,Milestones!$AA$22)&lt;=AsOfDate,IF($Q48=0,$W48,IF(AND($S48&lt;&gt;"",EDATE($D48,Milestones!$AA$22)&gt;=$S48),$V48,IF(AND($R48&lt;&gt;"",EDATE($D48,Milestones!$AA$22)&gt;=$R48),$U48,$T48)))=Milestones!$AB$22),TEXT(EDATE($D48,Milestones!$AA$22),"dd/mm/yy")&amp;" "&amp;Milestones!$AB$22&amp;" "&amp;Milestones!$AC$22&amp;";  ","")&amp;IF(AND(EDATE($D48,Milestones!$AA$23)&lt;=AsOfDate,IF($Q48=0,$W48,IF(AND($S48&lt;&gt;"",EDATE($D48,Milestones!$AA$23)&gt;=$S48),$V48,IF(AND($R48&lt;&gt;"",EDATE($D48,Milestones!$AA$23)&gt;=$R48),$U48,$T48)))=Milestones!$AB$23),TEXT(EDATE($D48,Milestones!$AA$23),"dd/mm/yy")&amp;" "&amp;Milestones!$AB$23&amp;" "&amp;Milestones!$AC$23&amp;";  ","")&amp;IF(AND(EDATE($D48,Milestones!$AA$24)&lt;=AsOfDate,IF($Q48=0,$W48,IF(AND($S48&lt;&gt;"",EDATE($D48,Milestones!$AA$24)&gt;=$S48),$V48,IF(AND($R48&lt;&gt;"",EDATE($D48,Milestones!$AA$24)&gt;=$R48),$U48,$T48)))=Milestones!$AB$24),TEXT(EDATE($D48,Milestones!$AA$24),"dd/mm/yy")&amp;" "&amp;Milestones!$AB$24&amp;" "&amp;Milestones!$AC$24&amp;";  ","")&amp;IF(AND(EDATE($D48,Milestones!$AA$25)&lt;=AsOfDate,IF($Q48=0,$W48,IF(AND($S48&lt;&gt;"",EDATE($D48,Milestones!$AA$25)&gt;=$S48),$V48,IF(AND($R48&lt;&gt;"",EDATE($D48,Milestones!$AA$25)&gt;=$R48),$U48,$T48)))=Milestones!$AB$25),TEXT(EDATE($D48,Milestones!$AA$25),"dd/mm/yy")&amp;" "&amp;Milestones!$AB$25&amp;" "&amp;Milestones!$AC$25&amp;";  ","")&amp;IF(AND(EDATE($D48,Milestones!$AA$26)&lt;=AsOfDate,IF($Q48=0,$W48,IF(AND($S48&lt;&gt;"",EDATE($D48,Milestones!$AA$26)&gt;=$S48),$V48,IF(AND($R48&lt;&gt;"",EDATE($D48,Milestones!$AA$26)&gt;=$R48),$U48,$T48)))=Milestones!$AB$26),TEXT(EDATE($D48,Milestones!$AA$26),"dd/mm/yy")&amp;" "&amp;Milestones!$AB$26&amp;" "&amp;Milestones!$AC$26&amp;";  ","")&amp;IF(AND(EDATE($D48,Milestones!$AA$27)&lt;=AsOfDate,IF($Q48=0,$W48,IF(AND($S48&lt;&gt;"",EDATE($D48,Milestones!$AA$27)&gt;=$S48),$V48,IF(AND($R48&lt;&gt;"",EDATE($D48,Milestones!$AA$27)&gt;=$R48),$U48,$T48)))=Milestones!$AB$27),TEXT(EDATE($D48,Milestones!$AA$27),"dd/mm/yy")&amp;" "&amp;Milestones!$AB$27&amp;" "&amp;Milestones!$AC$27&amp;";  ","")&amp;IF(AND(EDATE($D48,Milestones!$AA$28)&lt;=AsOfDate,IF($Q48=0,$W48,IF(AND($S48&lt;&gt;"",EDATE($D48,Milestones!$AA$28)&gt;=$S48),$V48,IF(AND($R48&lt;&gt;"",EDATE($D48,Milestones!$AA$28)&gt;=$R48),$U48,$T48)))=Milestones!$AB$28),TEXT(EDATE($D48,Milestones!$AA$28),"dd/mm/yy")&amp;" "&amp;Milestones!$AB$28&amp;" "&amp;Milestones!$AC$28&amp;";  ","")&amp;IF(AND(EDATE($D48,Milestones!$AA$29)&lt;=AsOfDate,IF($Q48=0,$W48,IF(AND($S48&lt;&gt;"",EDATE($D48,Milestones!$AA$29)&gt;=$S48),$V48,IF(AND($R48&lt;&gt;"",EDATE($D48,Milestones!$AA$29)&gt;=$R48),$U48,$T48)))=Milestones!$AB$29),TEXT(EDATE($D48,Milestones!$AA$29),"dd/mm/yy")&amp;" "&amp;Milestones!$AB$29&amp;" "&amp;Milestones!$AC$29&amp;";  ","")&amp;IF(AND(EDATE($D48,Milestones!$AA$30)&lt;=AsOfDate,IF($Q48=0,$W48,IF(AND($S48&lt;&gt;"",EDATE($D48,Milestones!$AA$30)&gt;=$S48),$V48,IF(AND($R48&lt;&gt;"",EDATE($D48,Milestones!$AA$30)&gt;=$R48),$U48,$T48)))=Milestones!$AB$30),TEXT(EDATE($D48,Milestones!$AA$30),"dd/mm/yy")&amp;" "&amp;Milestones!$AB$30&amp;" "&amp;Milestones!$AC$30&amp;";  ","")&amp;IF(AND(EDATE($D48,Milestones!$AA$31)&lt;=AsOfDate,IF($Q48=0,$W48,IF(AND($S48&lt;&gt;"",EDATE($D48,Milestones!$AA$31)&gt;=$S48),$V48,IF(AND($R48&lt;&gt;"",EDATE($D48,Milestones!$AA$31)&gt;=$R48),$U48,$T48)))=Milestones!$AB$31),TEXT(EDATE($D48,Milestones!$AA$31),"dd/mm/yy")&amp;" "&amp;Milestones!$AB$31&amp;" "&amp;Milestones!$AC$31&amp;";  ","")&amp;IF(AND(EDATE($D48,Milestones!$AA$32)&lt;=AsOfDate,IF($Q48=0,$W48,IF(AND($S48&lt;&gt;"",EDATE($D48,Milestones!$AA$32)&gt;=$S48),$V48,IF(AND($R48&lt;&gt;"",EDATE($D48,Milestones!$AA$32)&gt;=$R48),$U48,$T48)))=Milestones!$AB$32),TEXT(EDATE($D48,Milestones!$AA$32),"dd/mm/yy")&amp;" "&amp;Milestones!$AB$32&amp;" "&amp;Milestones!$AC$32&amp;";  ","")&amp;IF(AND(EDATE($D48,Milestones!$AA$33)&lt;=AsOfDate,IF($Q48=0,$W48,IF(AND($S48&lt;&gt;"",EDATE($D48,Milestones!$AA$33)&gt;=$S48),$V48,IF(AND($R48&lt;&gt;"",EDATE($D48,Milestones!$AA$33)&gt;=$R48),$U48,$T48)))=Milestones!$AB$33),TEXT(EDATE($D48,Milestones!$AA$33),"dd/mm/yy")&amp;" "&amp;Milestones!$AB$33&amp;" "&amp;Milestones!$AC$33&amp;";  ","")&amp;IF(AND(EDATE($D48,Milestones!$AA$34)&lt;=AsOfDate,IF($Q48=0,$W48,IF(AND($S48&lt;&gt;"",EDATE($D48,Milestones!$AA$34)&gt;=$S48),$V48,IF(AND($R48&lt;&gt;"",EDATE($D48,Milestones!$AA$34)&gt;=$R48),$U48,$T48)))=Milestones!$AB$34),TEXT(EDATE($D48,Milestones!$AA$34),"dd/mm/yy")&amp;" "&amp;Milestones!$AB$34&amp;" "&amp;Milestones!$AC$34&amp;";  ","")&amp;IF(AND(EDATE($D48,Milestones!$AA$35)&lt;=AsOfDate,IF($Q48=0,$W48,IF(AND($S48&lt;&gt;"",EDATE($D48,Milestones!$AA$35)&gt;=$S48),$V48,IF(AND($R48&lt;&gt;"",EDATE($D48,Milestones!$AA$35)&gt;=$R48),$U48,$T48)))=Milestones!$AB$35),TEXT(EDATE($D48,Milestones!$AA$35),"dd/mm/yy")&amp;" "&amp;Milestones!$AB$35&amp;" "&amp;Milestones!$AC$35&amp;";  ","")&amp;IF(AND(EDATE($D48,Milestones!$AA$36)&lt;=AsOfDate,IF($Q48=0,$W48,IF(AND($S48&lt;&gt;"",EDATE($D48,Milestones!$AA$36)&gt;=$S48),$V48,IF(AND($R48&lt;&gt;"",EDATE($D48,Milestones!$AA$36)&gt;=$R48),$U48,$T48)))=Milestones!$AB$36),TEXT(EDATE($D48,Milestones!$AA$36),"dd/mm/yy")&amp;" "&amp;Milestones!$AB$36&amp;" "&amp;Milestones!$AC$36&amp;";  ","")&amp;IF(AND(EDATE($D48,Milestones!$AA$37)&lt;=AsOfDate,IF($Q48=0,$W48,IF(AND($S48&lt;&gt;"",EDATE($D48,Milestones!$AA$37)&gt;=$S48),$V48,IF(AND($R48&lt;&gt;"",EDATE($D48,Milestones!$AA$37)&gt;=$R48),$U48,$T48)))=Milestones!$AB$37),TEXT(EDATE($D48,Milestones!$AA$37),"dd/mm/yy")&amp;" "&amp;Milestones!$AB$37&amp;" "&amp;Milestones!$AC$37&amp;";  ","")&amp;IF(AND(EDATE($D48,Milestones!$AA$38)&lt;=AsOfDate,IF($Q48=0,$W48,IF(AND($S48&lt;&gt;"",EDATE($D48,Milestones!$AA$38)&gt;=$S48),$V48,IF(AND($R48&lt;&gt;"",EDATE($D48,Milestones!$AA$38)&gt;=$R48),$U48,$T48)))=Milestones!$AB$38),TEXT(EDATE($D48,Milestones!$AA$38),"dd/mm/yy")&amp;" "&amp;Milestones!$AB$38&amp;" "&amp;Milestones!$AC$38&amp;";  ","")&amp;IF(AND(EDATE($D48,Milestones!$AA$39)&lt;=AsOfDate,IF($Q48=0,$W48,IF(AND($S48&lt;&gt;"",EDATE($D48,Milestones!$AA$39)&gt;=$S48),$V48,IF(AND($R48&lt;&gt;"",EDATE($D48,Milestones!$AA$39)&gt;=$R48),$U48,$T48)))=Milestones!$AB$39),TEXT(EDATE($D48,Milestones!$AA$39),"dd/mm/yy")&amp;" "&amp;Milestones!$AB$39&amp;" "&amp;Milestones!$AC$39&amp;";  ",""))</f>
        <v/>
      </c>
      <c r="I48" s="0" t="str">
        <f aca="false">IF(OR($A48="",$D48=""),"",IF(AND(EDATE($D48,Milestones!$AA$40)&lt;=AsOfDate,IF($Q48=0,$W48,IF(AND($S48&lt;&gt;"",EDATE($D48,Milestones!$AA$40)&gt;=$S48),$V48,IF(AND($R48&lt;&gt;"",EDATE($D48,Milestones!$AA$40)&gt;=$R48),$U48,$T48)))=Milestones!$AB$40),TEXT(EDATE($D48,Milestones!$AA$40),"dd/mm/yy")&amp;" "&amp;Milestones!$AB$40&amp;" "&amp;Milestones!$AC$40&amp;";  ","")&amp;IF(AND(EDATE($D48,Milestones!$AA$41)&lt;=AsOfDate,IF($Q48=0,$W48,IF(AND($S48&lt;&gt;"",EDATE($D48,Milestones!$AA$41)&gt;=$S48),$V48,IF(AND($R48&lt;&gt;"",EDATE($D48,Milestones!$AA$41)&gt;=$R48),$U48,$T48)))=Milestones!$AB$41),TEXT(EDATE($D48,Milestones!$AA$41),"dd/mm/yy")&amp;" "&amp;Milestones!$AB$41&amp;" "&amp;Milestones!$AC$41&amp;";  ","")&amp;IF(AND(EDATE($D48,Milestones!$AA$42)&lt;=AsOfDate,IF($Q48=0,$W48,IF(AND($S48&lt;&gt;"",EDATE($D48,Milestones!$AA$42)&gt;=$S48),$V48,IF(AND($R48&lt;&gt;"",EDATE($D48,Milestones!$AA$42)&gt;=$R48),$U48,$T48)))=Milestones!$AB$42),TEXT(EDATE($D48,Milestones!$AA$42),"dd/mm/yy")&amp;" "&amp;Milestones!$AB$42&amp;" "&amp;Milestones!$AC$42&amp;";  ","")&amp;IF(AND(EDATE($D48,Milestones!$AA$43)&lt;=AsOfDate,IF($Q48=0,$W48,IF(AND($S48&lt;&gt;"",EDATE($D48,Milestones!$AA$43)&gt;=$S48),$V48,IF(AND($R48&lt;&gt;"",EDATE($D48,Milestones!$AA$43)&gt;=$R48),$U48,$T48)))=Milestones!$AB$43),TEXT(EDATE($D48,Milestones!$AA$43),"dd/mm/yy")&amp;" "&amp;Milestones!$AB$43&amp;" "&amp;Milestones!$AC$43&amp;";  ","")&amp;IF(AND(EDATE($D48,Milestones!$AA$44)&lt;=AsOfDate,IF($Q48=0,$W48,IF(AND($S48&lt;&gt;"",EDATE($D48,Milestones!$AA$44)&gt;=$S48),$V48,IF(AND($R48&lt;&gt;"",EDATE($D48,Milestones!$AA$44)&gt;=$R48),$U48,$T48)))=Milestones!$AB$44),TEXT(EDATE($D48,Milestones!$AA$44),"dd/mm/yy")&amp;" "&amp;Milestones!$AB$44&amp;" "&amp;Milestones!$AC$44&amp;";  ","")&amp;IF(AND(EDATE($D48,Milestones!$AA$45)&lt;=AsOfDate,IF($Q48=0,$W48,IF(AND($S48&lt;&gt;"",EDATE($D48,Milestones!$AA$45)&gt;=$S48),$V48,IF(AND($R48&lt;&gt;"",EDATE($D48,Milestones!$AA$45)&gt;=$R48),$U48,$T48)))=Milestones!$AB$45),TEXT(EDATE($D48,Milestones!$AA$45),"dd/mm/yy")&amp;" "&amp;Milestones!$AB$45&amp;" "&amp;Milestones!$AC$45&amp;";  ","")&amp;IF(AND(EDATE($D48,Milestones!$AA$46)&lt;=AsOfDate,IF($Q48=0,$W48,IF(AND($S48&lt;&gt;"",EDATE($D48,Milestones!$AA$46)&gt;=$S48),$V48,IF(AND($R48&lt;&gt;"",EDATE($D48,Milestones!$AA$46)&gt;=$R48),$U48,$T48)))=Milestones!$AB$46),TEXT(EDATE($D48,Milestones!$AA$46),"dd/mm/yy")&amp;" "&amp;Milestones!$AB$46&amp;" "&amp;Milestones!$AC$46&amp;";  ","")&amp;IF(AND(EDATE($D48,Milestones!$AA$47)&lt;=AsOfDate,IF($Q48=0,$W48,IF(AND($S48&lt;&gt;"",EDATE($D48,Milestones!$AA$47)&gt;=$S48),$V48,IF(AND($R48&lt;&gt;"",EDATE($D48,Milestones!$AA$47)&gt;=$R48),$U48,$T48)))=Milestones!$AB$47),TEXT(EDATE($D48,Milestones!$AA$47),"dd/mm/yy")&amp;" "&amp;Milestones!$AB$47&amp;" "&amp;Milestones!$AC$47&amp;";  ","")&amp;IF(AND(EDATE($D48,Milestones!$AA$48)&lt;=AsOfDate,IF($Q48=0,$W48,IF(AND($S48&lt;&gt;"",EDATE($D48,Milestones!$AA$48)&gt;=$S48),$V48,IF(AND($R48&lt;&gt;"",EDATE($D48,Milestones!$AA$48)&gt;=$R48),$U48,$T48)))=Milestones!$AB$48),TEXT(EDATE($D48,Milestones!$AA$48),"dd/mm/yy")&amp;" "&amp;Milestones!$AB$48&amp;" "&amp;Milestones!$AC$48&amp;";  ","")&amp;IF(AND(EDATE($D48,Milestones!$AA$49)&lt;=AsOfDate,IF($Q48=0,$W48,IF(AND($S48&lt;&gt;"",EDATE($D48,Milestones!$AA$49)&gt;=$S48),$V48,IF(AND($R48&lt;&gt;"",EDATE($D48,Milestones!$AA$49)&gt;=$R48),$U48,$T48)))=Milestones!$AB$49),TEXT(EDATE($D48,Milestones!$AA$49),"dd/mm/yy")&amp;" "&amp;Milestones!$AB$49&amp;" "&amp;Milestones!$AC$49&amp;";  ","")&amp;IF(AND(EDATE($D48,Milestones!$AA$50)&lt;=AsOfDate,IF($Q48=0,$W48,IF(AND($S48&lt;&gt;"",EDATE($D48,Milestones!$AA$50)&gt;=$S48),$V48,IF(AND($R48&lt;&gt;"",EDATE($D48,Milestones!$AA$50)&gt;=$R48),$U48,$T48)))=Milestones!$AB$50),TEXT(EDATE($D48,Milestones!$AA$50),"dd/mm/yy")&amp;" "&amp;Milestones!$AB$50&amp;" "&amp;Milestones!$AC$50&amp;";  ","")&amp;IF(AND(EDATE($D48,Milestones!$AA$51)&lt;=AsOfDate,IF($Q48=0,$W48,IF(AND($S48&lt;&gt;"",EDATE($D48,Milestones!$AA$51)&gt;=$S48),$V48,IF(AND($R48&lt;&gt;"",EDATE($D48,Milestones!$AA$51)&gt;=$R48),$U48,$T48)))=Milestones!$AB$51),TEXT(EDATE($D48,Milestones!$AA$51),"dd/mm/yy")&amp;" "&amp;Milestones!$AB$51&amp;" "&amp;Milestones!$AC$51&amp;";  ","")&amp;IF(AND(EDATE($D48,Milestones!$AA$52)&lt;=AsOfDate,IF($Q48=0,$W48,IF(AND($S48&lt;&gt;"",EDATE($D48,Milestones!$AA$52)&gt;=$S48),$V48,IF(AND($R48&lt;&gt;"",EDATE($D48,Milestones!$AA$52)&gt;=$R48),$U48,$T48)))=Milestones!$AB$52),TEXT(EDATE($D48,Milestones!$AA$52),"dd/mm/yy")&amp;" "&amp;Milestones!$AB$52&amp;" "&amp;Milestones!$AC$52&amp;";  ","")&amp;IF(AND(EDATE($D48,Milestones!$AA$53)&lt;=AsOfDate,IF($Q48=0,$W48,IF(AND($S48&lt;&gt;"",EDATE($D48,Milestones!$AA$53)&gt;=$S48),$V48,IF(AND($R48&lt;&gt;"",EDATE($D48,Milestones!$AA$53)&gt;=$R48),$U48,$T48)))=Milestones!$AB$53),TEXT(EDATE($D48,Milestones!$AA$53),"dd/mm/yy")&amp;" "&amp;Milestones!$AB$53&amp;" "&amp;Milestones!$AC$53&amp;";  ","")&amp;IF(AND(EDATE($D48,Milestones!$AA$54)&lt;=AsOfDate,IF($Q48=0,$W48,IF(AND($S48&lt;&gt;"",EDATE($D48,Milestones!$AA$54)&gt;=$S48),$V48,IF(AND($R48&lt;&gt;"",EDATE($D48,Milestones!$AA$54)&gt;=$R48),$U48,$T48)))=Milestones!$AB$54),TEXT(EDATE($D48,Milestones!$AA$54),"dd/mm/yy")&amp;" "&amp;Milestones!$AB$54&amp;" "&amp;Milestones!$AC$54&amp;";  ","")&amp;IF(AND(EDATE($D48,Milestones!$AA$55)&lt;=AsOfDate,IF($Q48=0,$W48,IF(AND($S48&lt;&gt;"",EDATE($D48,Milestones!$AA$55)&gt;=$S48),$V48,IF(AND($R48&lt;&gt;"",EDATE($D48,Milestones!$AA$55)&gt;=$R48),$U48,$T48)))=Milestones!$AB$55),TEXT(EDATE($D48,Milestones!$AA$55),"dd/mm/yy")&amp;" "&amp;Milestones!$AB$55&amp;" "&amp;Milestones!$AC$55&amp;";  ","")&amp;IF(AND(EDATE($D48,Milestones!$AA$56)&lt;=AsOfDate,IF($Q48=0,$W48,IF(AND($S48&lt;&gt;"",EDATE($D48,Milestones!$AA$56)&gt;=$S48),$V48,IF(AND($R48&lt;&gt;"",EDATE($D48,Milestones!$AA$56)&gt;=$R48),$U48,$T48)))=Milestones!$AB$56),TEXT(EDATE($D48,Milestones!$AA$56),"dd/mm/yy")&amp;" "&amp;Milestones!$AB$56&amp;" "&amp;Milestones!$AC$56&amp;";  ","")&amp;IF(AND(EDATE($D48,Milestones!$AA$57)&lt;=AsOfDate,IF($Q48=0,$W48,IF(AND($S48&lt;&gt;"",EDATE($D48,Milestones!$AA$57)&gt;=$S48),$V48,IF(AND($R48&lt;&gt;"",EDATE($D48,Milestones!$AA$57)&gt;=$R48),$U48,$T48)))=Milestones!$AB$57),TEXT(EDATE($D48,Milestones!$AA$57),"dd/mm/yy")&amp;" "&amp;Milestones!$AB$57&amp;" "&amp;Milestones!$AC$57&amp;";  ","")&amp;IF(AND(EDATE($D48,Milestones!$AA$58)&lt;=AsOfDate,IF($Q48=0,$W48,IF(AND($S48&lt;&gt;"",EDATE($D48,Milestones!$AA$58)&gt;=$S48),$V48,IF(AND($R48&lt;&gt;"",EDATE($D48,Milestones!$AA$58)&gt;=$R48),$U48,$T48)))=Milestones!$AB$58),TEXT(EDATE($D48,Milestones!$AA$58),"dd/mm/yy")&amp;" "&amp;Milestones!$AB$58&amp;" "&amp;Milestones!$AC$58&amp;";  ","")&amp;IF(AND(EDATE($D48,Milestones!$AA$59)&lt;=AsOfDate,IF($Q48=0,$W48,IF(AND($S48&lt;&gt;"",EDATE($D48,Milestones!$AA$59)&gt;=$S48),$V48,IF(AND($R48&lt;&gt;"",EDATE($D48,Milestones!$AA$59)&gt;=$R48),$U48,$T48)))=Milestones!$AB$59),TEXT(EDATE($D48,Milestones!$AA$59),"dd/mm/yy")&amp;" "&amp;Milestones!$AB$59&amp;" "&amp;Milestones!$AC$59&amp;";  ",""))</f>
        <v/>
      </c>
      <c r="J48" s="0" t="str">
        <f aca="false">IF(OR($A48="",$D48=""),"",IF(AND(EDATE($D48,Milestones!$AA$60)&lt;=AsOfDate,IF($Q48=0,$W48,IF(AND($S48&lt;&gt;"",EDATE($D48,Milestones!$AA$60)&gt;=$S48),$V48,IF(AND($R48&lt;&gt;"",EDATE($D48,Milestones!$AA$60)&gt;=$R48),$U48,$T48)))=Milestones!$AB$60),TEXT(EDATE($D48,Milestones!$AA$60),"dd/mm/yy")&amp;" "&amp;Milestones!$AB$60&amp;" "&amp;Milestones!$AC$60&amp;";  ","")&amp;IF(AND(EDATE($D48,Milestones!$AA$61)&lt;=AsOfDate,IF($Q48=0,$W48,IF(AND($S48&lt;&gt;"",EDATE($D48,Milestones!$AA$61)&gt;=$S48),$V48,IF(AND($R48&lt;&gt;"",EDATE($D48,Milestones!$AA$61)&gt;=$R48),$U48,$T48)))=Milestones!$AB$61),TEXT(EDATE($D48,Milestones!$AA$61),"dd/mm/yy")&amp;" "&amp;Milestones!$AB$61&amp;" "&amp;Milestones!$AC$61&amp;";  ","")&amp;IF(AND(EDATE($D48,Milestones!$AA$62)&lt;=AsOfDate,IF($Q48=0,$W48,IF(AND($S48&lt;&gt;"",EDATE($D48,Milestones!$AA$62)&gt;=$S48),$V48,IF(AND($R48&lt;&gt;"",EDATE($D48,Milestones!$AA$62)&gt;=$R48),$U48,$T48)))=Milestones!$AB$62),TEXT(EDATE($D48,Milestones!$AA$62),"dd/mm/yy")&amp;" "&amp;Milestones!$AB$62&amp;" "&amp;Milestones!$AC$62&amp;";  ","")&amp;IF(AND(EDATE($D48,Milestones!$AA$63)&lt;=AsOfDate,IF($Q48=0,$W48,IF(AND($S48&lt;&gt;"",EDATE($D48,Milestones!$AA$63)&gt;=$S48),$V48,IF(AND($R48&lt;&gt;"",EDATE($D48,Milestones!$AA$63)&gt;=$R48),$U48,$T48)))=Milestones!$AB$63),TEXT(EDATE($D48,Milestones!$AA$63),"dd/mm/yy")&amp;" "&amp;Milestones!$AB$63&amp;" "&amp;Milestones!$AC$63&amp;";  ","")&amp;IF(AND(EDATE($D48,Milestones!$AA$64)&lt;=AsOfDate,IF($Q48=0,$W48,IF(AND($S48&lt;&gt;"",EDATE($D48,Milestones!$AA$64)&gt;=$S48),$V48,IF(AND($R48&lt;&gt;"",EDATE($D48,Milestones!$AA$64)&gt;=$R48),$U48,$T48)))=Milestones!$AB$64),TEXT(EDATE($D48,Milestones!$AA$64),"dd/mm/yy")&amp;" "&amp;Milestones!$AB$64&amp;" "&amp;Milestones!$AC$64&amp;";  ","")&amp;IF(AND(EDATE($D48,Milestones!$AA$65)&lt;=AsOfDate,IF($Q48=0,$W48,IF(AND($S48&lt;&gt;"",EDATE($D48,Milestones!$AA$65)&gt;=$S48),$V48,IF(AND($R48&lt;&gt;"",EDATE($D48,Milestones!$AA$65)&gt;=$R48),$U48,$T48)))=Milestones!$AB$65),TEXT(EDATE($D48,Milestones!$AA$65),"dd/mm/yy")&amp;" "&amp;Milestones!$AB$65&amp;" "&amp;Milestones!$AC$65&amp;";  ","")&amp;IF(AND(EDATE($D48,Milestones!$AA$66)&lt;=AsOfDate,IF($Q48=0,$W48,IF(AND($S48&lt;&gt;"",EDATE($D48,Milestones!$AA$66)&gt;=$S48),$V48,IF(AND($R48&lt;&gt;"",EDATE($D48,Milestones!$AA$66)&gt;=$R48),$U48,$T48)))=Milestones!$AB$66),TEXT(EDATE($D48,Milestones!$AA$66),"dd/mm/yy")&amp;" "&amp;Milestones!$AB$66&amp;" "&amp;Milestones!$AC$66&amp;";  ","")&amp;IF(AND(EDATE($D48,Milestones!$AA$67)&lt;=AsOfDate,IF($Q48=0,$W48,IF(AND($S48&lt;&gt;"",EDATE($D48,Milestones!$AA$67)&gt;=$S48),$V48,IF(AND($R48&lt;&gt;"",EDATE($D48,Milestones!$AA$67)&gt;=$R48),$U48,$T48)))=Milestones!$AB$67),TEXT(EDATE($D48,Milestones!$AA$67),"dd/mm/yy")&amp;" "&amp;Milestones!$AB$67&amp;" "&amp;Milestones!$AC$67&amp;";  ","")&amp;IF(AND(EDATE($D48,Milestones!$AA$68)&lt;=AsOfDate,IF($Q48=0,$W48,IF(AND($S48&lt;&gt;"",EDATE($D48,Milestones!$AA$68)&gt;=$S48),$V48,IF(AND($R48&lt;&gt;"",EDATE($D48,Milestones!$AA$68)&gt;=$R48),$U48,$T48)))=Milestones!$AB$68),TEXT(EDATE($D48,Milestones!$AA$68),"dd/mm/yy")&amp;" "&amp;Milestones!$AB$68&amp;" "&amp;Milestones!$AC$68&amp;";  ","")&amp;IF(AND(EDATE($D48,Milestones!$AA$69)&lt;=AsOfDate,IF($Q48=0,$W48,IF(AND($S48&lt;&gt;"",EDATE($D48,Milestones!$AA$69)&gt;=$S48),$V48,IF(AND($R48&lt;&gt;"",EDATE($D48,Milestones!$AA$69)&gt;=$R48),$U48,$T48)))=Milestones!$AB$69),TEXT(EDATE($D48,Milestones!$AA$69),"dd/mm/yy")&amp;" "&amp;Milestones!$AB$69&amp;" "&amp;Milestones!$AC$69&amp;";  ","")&amp;IF(AND(EDATE($D48,Milestones!$AA$70)&lt;=AsOfDate,IF($Q48=0,$W48,IF(AND($S48&lt;&gt;"",EDATE($D48,Milestones!$AA$70)&gt;=$S48),$V48,IF(AND($R48&lt;&gt;"",EDATE($D48,Milestones!$AA$70)&gt;=$R48),$U48,$T48)))=Milestones!$AB$70),TEXT(EDATE($D48,Milestones!$AA$70),"dd/mm/yy")&amp;" "&amp;Milestones!$AB$70&amp;" "&amp;Milestones!$AC$70&amp;";  ","")&amp;IF(AND(EDATE($D48,Milestones!$AA$71)&lt;=AsOfDate,IF($Q48=0,$W48,IF(AND($S48&lt;&gt;"",EDATE($D48,Milestones!$AA$71)&gt;=$S48),$V48,IF(AND($R48&lt;&gt;"",EDATE($D48,Milestones!$AA$71)&gt;=$R48),$U48,$T48)))=Milestones!$AB$71),TEXT(EDATE($D48,Milestones!$AA$71),"dd/mm/yy")&amp;" "&amp;Milestones!$AB$71&amp;" "&amp;Milestones!$AC$71&amp;";  ","")&amp;IF(AND(EDATE($D48,Milestones!$AA$72)&lt;=AsOfDate,IF($Q48=0,$W48,IF(AND($S48&lt;&gt;"",EDATE($D48,Milestones!$AA$72)&gt;=$S48),$V48,IF(AND($R48&lt;&gt;"",EDATE($D48,Milestones!$AA$72)&gt;=$R48),$U48,$T48)))=Milestones!$AB$72),TEXT(EDATE($D48,Milestones!$AA$72),"dd/mm/yy")&amp;" "&amp;Milestones!$AB$72&amp;" "&amp;Milestones!$AC$72&amp;";  ","")&amp;IF(AND(EDATE($D48,Milestones!$AA$73)&lt;=AsOfDate,IF($Q48=0,$W48,IF(AND($S48&lt;&gt;"",EDATE($D48,Milestones!$AA$73)&gt;=$S48),$V48,IF(AND($R48&lt;&gt;"",EDATE($D48,Milestones!$AA$73)&gt;=$R48),$U48,$T48)))=Milestones!$AB$73),TEXT(EDATE($D48,Milestones!$AA$73),"dd/mm/yy")&amp;" "&amp;Milestones!$AB$73&amp;" "&amp;Milestones!$AC$73&amp;";  ","")&amp;IF(AND(EDATE($D48,Milestones!$AA$74)&lt;=AsOfDate,IF($Q48=0,$W48,IF(AND($S48&lt;&gt;"",EDATE($D48,Milestones!$AA$74)&gt;=$S48),$V48,IF(AND($R48&lt;&gt;"",EDATE($D48,Milestones!$AA$74)&gt;=$R48),$U48,$T48)))=Milestones!$AB$74),TEXT(EDATE($D48,Milestones!$AA$74),"dd/mm/yy")&amp;" "&amp;Milestones!$AB$74&amp;" "&amp;Milestones!$AC$74&amp;";  ","")&amp;IF(AND(EDATE($D48,Milestones!$AA$75)&lt;=AsOfDate,IF($Q48=0,$W48,IF(AND($S48&lt;&gt;"",EDATE($D48,Milestones!$AA$75)&gt;=$S48),$V48,IF(AND($R48&lt;&gt;"",EDATE($D48,Milestones!$AA$75)&gt;=$R48),$U48,$T48)))=Milestones!$AB$75),TEXT(EDATE($D48,Milestones!$AA$75),"dd/mm/yy")&amp;" "&amp;Milestones!$AB$75&amp;" "&amp;Milestones!$AC$75&amp;";  ","")&amp;IF(AND(EDATE($D48,Milestones!$AA$76)&lt;=AsOfDate,IF($Q48=0,$W48,IF(AND($S48&lt;&gt;"",EDATE($D48,Milestones!$AA$76)&gt;=$S48),$V48,IF(AND($R48&lt;&gt;"",EDATE($D48,Milestones!$AA$76)&gt;=$R48),$U48,$T48)))=Milestones!$AB$76),TEXT(EDATE($D48,Milestones!$AA$76),"dd/mm/yy")&amp;" "&amp;Milestones!$AB$76&amp;" "&amp;Milestones!$AC$76&amp;";  ","")&amp;IF(AND(EDATE($D48,Milestones!$AA$77)&lt;=AsOfDate,IF($Q48=0,$W48,IF(AND($S48&lt;&gt;"",EDATE($D48,Milestones!$AA$77)&gt;=$S48),$V48,IF(AND($R48&lt;&gt;"",EDATE($D48,Milestones!$AA$77)&gt;=$R48),$U48,$T48)))=Milestones!$AB$77),TEXT(EDATE($D48,Milestones!$AA$77),"dd/mm/yy")&amp;" "&amp;Milestones!$AB$77&amp;" "&amp;Milestones!$AC$77&amp;";  ","")&amp;IF(AND(EDATE($D48,Milestones!$AA$78)&lt;=AsOfDate,IF($Q48=0,$W48,IF(AND($S48&lt;&gt;"",EDATE($D48,Milestones!$AA$78)&gt;=$S48),$V48,IF(AND($R48&lt;&gt;"",EDATE($D48,Milestones!$AA$78)&gt;=$R48),$U48,$T48)))=Milestones!$AB$78),TEXT(EDATE($D48,Milestones!$AA$78),"dd/mm/yy")&amp;" "&amp;Milestones!$AB$78&amp;" "&amp;Milestones!$AC$78&amp;";  ","")&amp;IF(AND(EDATE($D48,Milestones!$AA$79)&lt;=AsOfDate,IF($Q48=0,$W48,IF(AND($S48&lt;&gt;"",EDATE($D48,Milestones!$AA$79)&gt;=$S48),$V48,IF(AND($R48&lt;&gt;"",EDATE($D48,Milestones!$AA$79)&gt;=$R48),$U48,$T48)))=Milestones!$AB$79),TEXT(EDATE($D48,Milestones!$AA$79),"dd/mm/yy")&amp;" "&amp;Milestones!$AB$79&amp;" "&amp;Milestones!$AC$79&amp;";  ",""))</f>
        <v/>
      </c>
      <c r="K48" s="0" t="str">
        <f aca="false">IF(OR($A48="",$D48=""),"",IF(AND(EDATE($D48,Milestones!$AA$80)&lt;=AsOfDate,IF($Q48=0,$W48,IF(AND($S48&lt;&gt;"",EDATE($D48,Milestones!$AA$80)&gt;=$S48),$V48,IF(AND($R48&lt;&gt;"",EDATE($D48,Milestones!$AA$80)&gt;=$R48),$U48,$T48)))=Milestones!$AB$80),TEXT(EDATE($D48,Milestones!$AA$80),"dd/mm/yy")&amp;" "&amp;Milestones!$AB$80&amp;" "&amp;Milestones!$AC$80&amp;";  ","")&amp;IF(AND(EDATE($D48,Milestones!$AA$81)&lt;=AsOfDate,IF($Q48=0,$W48,IF(AND($S48&lt;&gt;"",EDATE($D48,Milestones!$AA$81)&gt;=$S48),$V48,IF(AND($R48&lt;&gt;"",EDATE($D48,Milestones!$AA$81)&gt;=$R48),$U48,$T48)))=Milestones!$AB$81),TEXT(EDATE($D48,Milestones!$AA$81),"dd/mm/yy")&amp;" "&amp;Milestones!$AB$81&amp;" "&amp;Milestones!$AC$81&amp;";  ","")&amp;IF(AND(EDATE($D48,Milestones!$AA$82)&lt;=AsOfDate,IF($Q48=0,$W48,IF(AND($S48&lt;&gt;"",EDATE($D48,Milestones!$AA$82)&gt;=$S48),$V48,IF(AND($R48&lt;&gt;"",EDATE($D48,Milestones!$AA$82)&gt;=$R48),$U48,$T48)))=Milestones!$AB$82),TEXT(EDATE($D48,Milestones!$AA$82),"dd/mm/yy")&amp;" "&amp;Milestones!$AB$82&amp;" "&amp;Milestones!$AC$82&amp;";  ","")&amp;IF(AND(EDATE($D48,Milestones!$AA$83)&lt;=AsOfDate,IF($Q48=0,$W48,IF(AND($S48&lt;&gt;"",EDATE($D48,Milestones!$AA$83)&gt;=$S48),$V48,IF(AND($R48&lt;&gt;"",EDATE($D48,Milestones!$AA$83)&gt;=$R48),$U48,$T48)))=Milestones!$AB$83),TEXT(EDATE($D48,Milestones!$AA$83),"dd/mm/yy")&amp;" "&amp;Milestones!$AB$83&amp;" "&amp;Milestones!$AC$83&amp;";  ","")&amp;IF(AND(EDATE($D48,Milestones!$AA$84)&lt;=AsOfDate,IF($Q48=0,$W48,IF(AND($S48&lt;&gt;"",EDATE($D48,Milestones!$AA$84)&gt;=$S48),$V48,IF(AND($R48&lt;&gt;"",EDATE($D48,Milestones!$AA$84)&gt;=$R48),$U48,$T48)))=Milestones!$AB$84),TEXT(EDATE($D48,Milestones!$AA$84),"dd/mm/yy")&amp;" "&amp;Milestones!$AB$84&amp;" "&amp;Milestones!$AC$84&amp;";  ","")&amp;IF(AND(EDATE($D48,Milestones!$AA$85)&lt;=AsOfDate,IF($Q48=0,$W48,IF(AND($S48&lt;&gt;"",EDATE($D48,Milestones!$AA$85)&gt;=$S48),$V48,IF(AND($R48&lt;&gt;"",EDATE($D48,Milestones!$AA$85)&gt;=$R48),$U48,$T48)))=Milestones!$AB$85),TEXT(EDATE($D48,Milestones!$AA$85),"dd/mm/yy")&amp;" "&amp;Milestones!$AB$85&amp;" "&amp;Milestones!$AC$85&amp;";  ","")&amp;IF(AND(EDATE($D48,Milestones!$AA$86)&lt;=AsOfDate,IF($Q48=0,$W48,IF(AND($S48&lt;&gt;"",EDATE($D48,Milestones!$AA$86)&gt;=$S48),$V48,IF(AND($R48&lt;&gt;"",EDATE($D48,Milestones!$AA$86)&gt;=$R48),$U48,$T48)))=Milestones!$AB$86),TEXT(EDATE($D48,Milestones!$AA$86),"dd/mm/yy")&amp;" "&amp;Milestones!$AB$86&amp;" "&amp;Milestones!$AC$86&amp;";  ","")&amp;IF(AND(EDATE($D48,Milestones!$AA$87)&lt;=AsOfDate,IF($Q48=0,$W48,IF(AND($S48&lt;&gt;"",EDATE($D48,Milestones!$AA$87)&gt;=$S48),$V48,IF(AND($R48&lt;&gt;"",EDATE($D48,Milestones!$AA$87)&gt;=$R48),$U48,$T48)))=Milestones!$AB$87),TEXT(EDATE($D48,Milestones!$AA$87),"dd/mm/yy")&amp;" "&amp;Milestones!$AB$87&amp;" "&amp;Milestones!$AC$87&amp;";  ","")&amp;IF(AND(EDATE($D48,Milestones!$AA$88)&lt;=AsOfDate,IF($Q48=0,$W48,IF(AND($S48&lt;&gt;"",EDATE($D48,Milestones!$AA$88)&gt;=$S48),$V48,IF(AND($R48&lt;&gt;"",EDATE($D48,Milestones!$AA$88)&gt;=$R48),$U48,$T48)))=Milestones!$AB$88),TEXT(EDATE($D48,Milestones!$AA$88),"dd/mm/yy")&amp;" "&amp;Milestones!$AB$88&amp;" "&amp;Milestones!$AC$88&amp;";  ","")&amp;IF(AND(EDATE($D48,Milestones!$AA$89)&lt;=AsOfDate,IF($Q48=0,$W48,IF(AND($S48&lt;&gt;"",EDATE($D48,Milestones!$AA$89)&gt;=$S48),$V48,IF(AND($R48&lt;&gt;"",EDATE($D48,Milestones!$AA$89)&gt;=$R48),$U48,$T48)))=Milestones!$AB$89),TEXT(EDATE($D48,Milestones!$AA$89),"dd/mm/yy")&amp;" "&amp;Milestones!$AB$89&amp;" "&amp;Milestones!$AC$89&amp;";  ","")&amp;IF(AND(EDATE($D48,Milestones!$AA$90)&lt;=AsOfDate,IF($Q48=0,$W48,IF(AND($S48&lt;&gt;"",EDATE($D48,Milestones!$AA$90)&gt;=$S48),$V48,IF(AND($R48&lt;&gt;"",EDATE($D48,Milestones!$AA$90)&gt;=$R48),$U48,$T48)))=Milestones!$AB$90),TEXT(EDATE($D48,Milestones!$AA$90),"dd/mm/yy")&amp;" "&amp;Milestones!$AB$90&amp;" "&amp;Milestones!$AC$90&amp;";  ","")&amp;IF(AND(EDATE($D48,Milestones!$AA$91)&lt;=AsOfDate,IF($Q48=0,$W48,IF(AND($S48&lt;&gt;"",EDATE($D48,Milestones!$AA$91)&gt;=$S48),$V48,IF(AND($R48&lt;&gt;"",EDATE($D48,Milestones!$AA$91)&gt;=$R48),$U48,$T48)))=Milestones!$AB$91),TEXT(EDATE($D48,Milestones!$AA$91),"dd/mm/yy")&amp;" "&amp;Milestones!$AB$91&amp;" "&amp;Milestones!$AC$91&amp;";  ","")&amp;IF(AND(EDATE($D48,Milestones!$AA$92)&lt;=AsOfDate,IF($Q48=0,$W48,IF(AND($S48&lt;&gt;"",EDATE($D48,Milestones!$AA$92)&gt;=$S48),$V48,IF(AND($R48&lt;&gt;"",EDATE($D48,Milestones!$AA$92)&gt;=$R48),$U48,$T48)))=Milestones!$AB$92),TEXT(EDATE($D48,Milestones!$AA$92),"dd/mm/yy")&amp;" "&amp;Milestones!$AB$92&amp;" "&amp;Milestones!$AC$92&amp;";  ","")&amp;IF(AND(EDATE($D48,Milestones!$AA$93)&lt;=AsOfDate,IF($Q48=0,$W48,IF(AND($S48&lt;&gt;"",EDATE($D48,Milestones!$AA$93)&gt;=$S48),$V48,IF(AND($R48&lt;&gt;"",EDATE($D48,Milestones!$AA$93)&gt;=$R48),$U48,$T48)))=Milestones!$AB$93),TEXT(EDATE($D48,Milestones!$AA$93),"dd/mm/yy")&amp;" "&amp;Milestones!$AB$93&amp;" "&amp;Milestones!$AC$93&amp;";  ","")&amp;IF(AND(EDATE($D48,Milestones!$AA$94)&lt;=AsOfDate,IF($Q48=0,$W48,IF(AND($S48&lt;&gt;"",EDATE($D48,Milestones!$AA$94)&gt;=$S48),$V48,IF(AND($R48&lt;&gt;"",EDATE($D48,Milestones!$AA$94)&gt;=$R48),$U48,$T48)))=Milestones!$AB$94),TEXT(EDATE($D48,Milestones!$AA$94),"dd/mm/yy")&amp;" "&amp;Milestones!$AB$94&amp;" "&amp;Milestones!$AC$94&amp;";  ","")&amp;IF(AND(EDATE($D48,Milestones!$AA$95)&lt;=AsOfDate,IF($Q48=0,$W48,IF(AND($S48&lt;&gt;"",EDATE($D48,Milestones!$AA$95)&gt;=$S48),$V48,IF(AND($R48&lt;&gt;"",EDATE($D48,Milestones!$AA$95)&gt;=$R48),$U48,$T48)))=Milestones!$AB$95),TEXT(EDATE($D48,Milestones!$AA$95),"dd/mm/yy")&amp;" "&amp;Milestones!$AB$95&amp;" "&amp;Milestones!$AC$95&amp;";  ","")&amp;IF(AND(EDATE($D48,Milestones!$AA$96)&lt;=AsOfDate,IF($Q48=0,$W48,IF(AND($S48&lt;&gt;"",EDATE($D48,Milestones!$AA$96)&gt;=$S48),$V48,IF(AND($R48&lt;&gt;"",EDATE($D48,Milestones!$AA$96)&gt;=$R48),$U48,$T48)))=Milestones!$AB$96),TEXT(EDATE($D48,Milestones!$AA$96),"dd/mm/yy")&amp;" "&amp;Milestones!$AB$96&amp;" "&amp;Milestones!$AC$96&amp;";  ","")&amp;IF(AND(EDATE($D48,Milestones!$AA$97)&lt;=AsOfDate,IF($Q48=0,$W48,IF(AND($S48&lt;&gt;"",EDATE($D48,Milestones!$AA$97)&gt;=$S48),$V48,IF(AND($R48&lt;&gt;"",EDATE($D48,Milestones!$AA$97)&gt;=$R48),$U48,$T48)))=Milestones!$AB$97),TEXT(EDATE($D48,Milestones!$AA$97),"dd/mm/yy")&amp;" "&amp;Milestones!$AB$97&amp;" "&amp;Milestones!$AC$97&amp;";  ","")&amp;IF(AND(EDATE($D48,Milestones!$AA$98)&lt;=AsOfDate,IF($Q48=0,$W48,IF(AND($S48&lt;&gt;"",EDATE($D48,Milestones!$AA$98)&gt;=$S48),$V48,IF(AND($R48&lt;&gt;"",EDATE($D48,Milestones!$AA$98)&gt;=$R48),$U48,$T48)))=Milestones!$AB$98),TEXT(EDATE($D48,Milestones!$AA$98),"dd/mm/yy")&amp;" "&amp;Milestones!$AB$98&amp;" "&amp;Milestones!$AC$98&amp;";  ","")&amp;IF(AND(EDATE($D48,Milestones!$AA$99)&lt;=AsOfDate,IF($Q48=0,$W48,IF(AND($S48&lt;&gt;"",EDATE($D48,Milestones!$AA$99)&gt;=$S48),$V48,IF(AND($R48&lt;&gt;"",EDATE($D48,Milestones!$AA$99)&gt;=$R48),$U48,$T48)))=Milestones!$AB$99),TEXT(EDATE($D48,Milestones!$AA$99),"dd/mm/yy")&amp;" "&amp;Milestones!$AB$99&amp;" "&amp;Milestones!$AC$99&amp;";  ",""))</f>
        <v/>
      </c>
      <c r="L48" s="0" t="str">
        <f aca="false">IF(OR($A48="",$D48=""),"",IF(AND(EDATE($D48,Milestones!$AA$100)&lt;=AsOfDate,IF($Q48=0,$W48,IF(AND($S48&lt;&gt;"",EDATE($D48,Milestones!$AA$100)&gt;=$S48),$V48,IF(AND($R48&lt;&gt;"",EDATE($D48,Milestones!$AA$100)&gt;=$R48),$U48,$T48)))=Milestones!$AB$100),TEXT(EDATE($D48,Milestones!$AA$100),"dd/mm/yy")&amp;" "&amp;Milestones!$AB$100&amp;" "&amp;Milestones!$AC$100&amp;";  ","")&amp;IF(AND(EDATE($D48,Milestones!$AA$101)&lt;=AsOfDate,IF($Q48=0,$W48,IF(AND($S48&lt;&gt;"",EDATE($D48,Milestones!$AA$101)&gt;=$S48),$V48,IF(AND($R48&lt;&gt;"",EDATE($D48,Milestones!$AA$101)&gt;=$R48),$U48,$T48)))=Milestones!$AB$101),TEXT(EDATE($D48,Milestones!$AA$101),"dd/mm/yy")&amp;" "&amp;Milestones!$AB$101&amp;" "&amp;Milestones!$AC$101&amp;";  ","")&amp;IF(AND(EDATE($D48,Milestones!$AA$102)&lt;=AsOfDate,IF($Q48=0,$W48,IF(AND($S48&lt;&gt;"",EDATE($D48,Milestones!$AA$102)&gt;=$S48),$V48,IF(AND($R48&lt;&gt;"",EDATE($D48,Milestones!$AA$102)&gt;=$R48),$U48,$T48)))=Milestones!$AB$102),TEXT(EDATE($D48,Milestones!$AA$102),"dd/mm/yy")&amp;" "&amp;Milestones!$AB$102&amp;" "&amp;Milestones!$AC$102&amp;";  ","")&amp;IF(AND(EDATE($D48,Milestones!$AA$103)&lt;=AsOfDate,IF($Q48=0,$W48,IF(AND($S48&lt;&gt;"",EDATE($D48,Milestones!$AA$103)&gt;=$S48),$V48,IF(AND($R48&lt;&gt;"",EDATE($D48,Milestones!$AA$103)&gt;=$R48),$U48,$T48)))=Milestones!$AB$103),TEXT(EDATE($D48,Milestones!$AA$103),"dd/mm/yy")&amp;" "&amp;Milestones!$AB$103&amp;" "&amp;Milestones!$AC$103&amp;";  ","")&amp;IF(AND(EDATE($D48,Milestones!$AA$104)&lt;=AsOfDate,IF($Q48=0,$W48,IF(AND($S48&lt;&gt;"",EDATE($D48,Milestones!$AA$104)&gt;=$S48),$V48,IF(AND($R48&lt;&gt;"",EDATE($D48,Milestones!$AA$104)&gt;=$R48),$U48,$T48)))=Milestones!$AB$104),TEXT(EDATE($D48,Milestones!$AA$104),"dd/mm/yy")&amp;" "&amp;Milestones!$AB$104&amp;" "&amp;Milestones!$AC$104&amp;";  ","")&amp;IF(AND(EDATE($D48,Milestones!$AA$105)&lt;=AsOfDate,IF($Q48=0,$W48,IF(AND($S48&lt;&gt;"",EDATE($D48,Milestones!$AA$105)&gt;=$S48),$V48,IF(AND($R48&lt;&gt;"",EDATE($D48,Milestones!$AA$105)&gt;=$R48),$U48,$T48)))=Milestones!$AB$105),TEXT(EDATE($D48,Milestones!$AA$105),"dd/mm/yy")&amp;" "&amp;Milestones!$AB$105&amp;" "&amp;Milestones!$AC$105&amp;";  ","")&amp;IF(AND(EDATE($D48,Milestones!$AA$106)&lt;=AsOfDate,IF($Q48=0,$W48,IF(AND($S48&lt;&gt;"",EDATE($D48,Milestones!$AA$106)&gt;=$S48),$V48,IF(AND($R48&lt;&gt;"",EDATE($D48,Milestones!$AA$106)&gt;=$R48),$U48,$T48)))=Milestones!$AB$106),TEXT(EDATE($D48,Milestones!$AA$106),"dd/mm/yy")&amp;" "&amp;Milestones!$AB$106&amp;" "&amp;Milestones!$AC$106&amp;";  ","")&amp;IF(AND(EDATE($D48,Milestones!$AA$107)&lt;=AsOfDate,IF($Q48=0,$W48,IF(AND($S48&lt;&gt;"",EDATE($D48,Milestones!$AA$107)&gt;=$S48),$V48,IF(AND($R48&lt;&gt;"",EDATE($D48,Milestones!$AA$107)&gt;=$R48),$U48,$T48)))=Milestones!$AB$107),TEXT(EDATE($D48,Milestones!$AA$107),"dd/mm/yy")&amp;" "&amp;Milestones!$AB$107&amp;" "&amp;Milestones!$AC$107&amp;";  ","")&amp;IF(AND(EDATE($D48,Milestones!$AA$108)&lt;=AsOfDate,IF($Q48=0,$W48,IF(AND($S48&lt;&gt;"",EDATE($D48,Milestones!$AA$108)&gt;=$S48),$V48,IF(AND($R48&lt;&gt;"",EDATE($D48,Milestones!$AA$108)&gt;=$R48),$U48,$T48)))=Milestones!$AB$108),TEXT(EDATE($D48,Milestones!$AA$108),"dd/mm/yy")&amp;" "&amp;Milestones!$AB$108&amp;" "&amp;Milestones!$AC$108&amp;";  ","")&amp;IF(AND(EDATE($D48,Milestones!$AA$109)&lt;=AsOfDate,IF($Q48=0,$W48,IF(AND($S48&lt;&gt;"",EDATE($D48,Milestones!$AA$109)&gt;=$S48),$V48,IF(AND($R48&lt;&gt;"",EDATE($D48,Milestones!$AA$109)&gt;=$R48),$U48,$T48)))=Milestones!$AB$109),TEXT(EDATE($D48,Milestones!$AA$109),"dd/mm/yy")&amp;" "&amp;Milestones!$AB$109&amp;" "&amp;Milestones!$AC$109&amp;";  ","")&amp;IF(AND(EDATE($D48,Milestones!$AA$110)&lt;=AsOfDate,IF($Q48=0,$W48,IF(AND($S48&lt;&gt;"",EDATE($D48,Milestones!$AA$110)&gt;=$S48),$V48,IF(AND($R48&lt;&gt;"",EDATE($D48,Milestones!$AA$110)&gt;=$R48),$U48,$T48)))=Milestones!$AB$110),TEXT(EDATE($D48,Milestones!$AA$110),"dd/mm/yy")&amp;" "&amp;Milestones!$AB$110&amp;" "&amp;Milestones!$AC$110&amp;";  ","")&amp;IF(AND(EDATE($D48,Milestones!$AA$111)&lt;=AsOfDate,IF($Q48=0,$W48,IF(AND($S48&lt;&gt;"",EDATE($D48,Milestones!$AA$111)&gt;=$S48),$V48,IF(AND($R48&lt;&gt;"",EDATE($D48,Milestones!$AA$111)&gt;=$R48),$U48,$T48)))=Milestones!$AB$111),TEXT(EDATE($D48,Milestones!$AA$111),"dd/mm/yy")&amp;" "&amp;Milestones!$AB$111&amp;" "&amp;Milestones!$AC$111&amp;";  ","")&amp;IF(AND(EDATE($D48,Milestones!$AA$112)&lt;=AsOfDate,IF($Q48=0,$W48,IF(AND($S48&lt;&gt;"",EDATE($D48,Milestones!$AA$112)&gt;=$S48),$V48,IF(AND($R48&lt;&gt;"",EDATE($D48,Milestones!$AA$112)&gt;=$R48),$U48,$T48)))=Milestones!$AB$112),TEXT(EDATE($D48,Milestones!$AA$112),"dd/mm/yy")&amp;" "&amp;Milestones!$AB$112&amp;" "&amp;Milestones!$AC$112&amp;";  ","")&amp;IF(AND(EDATE($D48,Milestones!$AA$113)&lt;=AsOfDate,IF($Q48=0,$W48,IF(AND($S48&lt;&gt;"",EDATE($D48,Milestones!$AA$113)&gt;=$S48),$V48,IF(AND($R48&lt;&gt;"",EDATE($D48,Milestones!$AA$113)&gt;=$R48),$U48,$T48)))=Milestones!$AB$113),TEXT(EDATE($D48,Milestones!$AA$113),"dd/mm/yy")&amp;" "&amp;Milestones!$AB$113&amp;" "&amp;Milestones!$AC$113&amp;";  ","")&amp;IF(AND(EDATE($D48,Milestones!$AA$114)&lt;=AsOfDate,IF($Q48=0,$W48,IF(AND($S48&lt;&gt;"",EDATE($D48,Milestones!$AA$114)&gt;=$S48),$V48,IF(AND($R48&lt;&gt;"",EDATE($D48,Milestones!$AA$114)&gt;=$R48),$U48,$T48)))=Milestones!$AB$114),TEXT(EDATE($D48,Milestones!$AA$114),"dd/mm/yy")&amp;" "&amp;Milestones!$AB$114&amp;" "&amp;Milestones!$AC$114&amp;";  ","")&amp;IF(AND(EDATE($D48,Milestones!$AA$115)&lt;=AsOfDate,IF($Q48=0,$W48,IF(AND($S48&lt;&gt;"",EDATE($D48,Milestones!$AA$115)&gt;=$S48),$V48,IF(AND($R48&lt;&gt;"",EDATE($D48,Milestones!$AA$115)&gt;=$R48),$U48,$T48)))=Milestones!$AB$115),TEXT(EDATE($D48,Milestones!$AA$115),"dd/mm/yy")&amp;" "&amp;Milestones!$AB$115&amp;" "&amp;Milestones!$AC$115&amp;";  ","")&amp;IF(AND(EDATE($D48,Milestones!$AA$116)&lt;=AsOfDate,IF($Q48=0,$W48,IF(AND($S48&lt;&gt;"",EDATE($D48,Milestones!$AA$116)&gt;=$S48),$V48,IF(AND($R48&lt;&gt;"",EDATE($D48,Milestones!$AA$116)&gt;=$R48),$U48,$T48)))=Milestones!$AB$116),TEXT(EDATE($D48,Milestones!$AA$116),"dd/mm/yy")&amp;" "&amp;Milestones!$AB$116&amp;" "&amp;Milestones!$AC$116&amp;";  ","")&amp;IF(AND(EDATE($D48,Milestones!$AA$117)&lt;=AsOfDate,IF($Q48=0,$W48,IF(AND($S48&lt;&gt;"",EDATE($D48,Milestones!$AA$117)&gt;=$S48),$V48,IF(AND($R48&lt;&gt;"",EDATE($D48,Milestones!$AA$117)&gt;=$R48),$U48,$T48)))=Milestones!$AB$117),TEXT(EDATE($D48,Milestones!$AA$117),"dd/mm/yy")&amp;" "&amp;Milestones!$AB$117&amp;" "&amp;Milestones!$AC$117&amp;";  ","")&amp;IF(AND(EDATE($D48,Milestones!$AA$118)&lt;=AsOfDate,IF($Q48=0,$W48,IF(AND($S48&lt;&gt;"",EDATE($D48,Milestones!$AA$118)&gt;=$S48),$V48,IF(AND($R48&lt;&gt;"",EDATE($D48,Milestones!$AA$118)&gt;=$R48),$U48,$T48)))=Milestones!$AB$118),TEXT(EDATE($D48,Milestones!$AA$118),"dd/mm/yy")&amp;" "&amp;Milestones!$AB$118&amp;" "&amp;Milestones!$AC$118&amp;";  ","")&amp;IF(AND(EDATE($D48,Milestones!$AA$119)&lt;=AsOfDate,IF($Q48=0,$W48,IF(AND($S48&lt;&gt;"",EDATE($D48,Milestones!$AA$119)&gt;=$S48),$V48,IF(AND($R48&lt;&gt;"",EDATE($D48,Milestones!$AA$119)&gt;=$R48),$U48,$T48)))=Milestones!$AB$119),TEXT(EDATE($D48,Milestones!$AA$119),"dd/mm/yy")&amp;" "&amp;Milestones!$AB$119&amp;" "&amp;Milestones!$AC$119&amp;";  ",""))</f>
        <v/>
      </c>
      <c r="M48" s="0" t="str">
        <f aca="false">IF(OR($A48="",$D48=""),"",IF(AND(EDATE($D48,Milestones!$AA$120)&lt;=AsOfDate,IF($Q48=0,$W48,IF(AND($S48&lt;&gt;"",EDATE($D48,Milestones!$AA$120)&gt;=$S48),$V48,IF(AND($R48&lt;&gt;"",EDATE($D48,Milestones!$AA$120)&gt;=$R48),$U48,$T48)))=Milestones!$AB$120),TEXT(EDATE($D48,Milestones!$AA$120),"dd/mm/yy")&amp;" "&amp;Milestones!$AB$120&amp;" "&amp;Milestones!$AC$120&amp;";  ","")&amp;IF(AND(EDATE($D48,Milestones!$AA$121)&lt;=AsOfDate,IF($Q48=0,$W48,IF(AND($S48&lt;&gt;"",EDATE($D48,Milestones!$AA$121)&gt;=$S48),$V48,IF(AND($R48&lt;&gt;"",EDATE($D48,Milestones!$AA$121)&gt;=$R48),$U48,$T48)))=Milestones!$AB$121),TEXT(EDATE($D48,Milestones!$AA$121),"dd/mm/yy")&amp;" "&amp;Milestones!$AB$121&amp;" "&amp;Milestones!$AC$121&amp;";  ","")&amp;IF(AND(EDATE($D48,Milestones!$AA$122)&lt;=AsOfDate,IF($Q48=0,$W48,IF(AND($S48&lt;&gt;"",EDATE($D48,Milestones!$AA$122)&gt;=$S48),$V48,IF(AND($R48&lt;&gt;"",EDATE($D48,Milestones!$AA$122)&gt;=$R48),$U48,$T48)))=Milestones!$AB$122),TEXT(EDATE($D48,Milestones!$AA$122),"dd/mm/yy")&amp;" "&amp;Milestones!$AB$122&amp;" "&amp;Milestones!$AC$122&amp;";  ","")&amp;IF(AND(EDATE($D48,Milestones!$AA$123)&lt;=AsOfDate,IF($Q48=0,$W48,IF(AND($S48&lt;&gt;"",EDATE($D48,Milestones!$AA$123)&gt;=$S48),$V48,IF(AND($R48&lt;&gt;"",EDATE($D48,Milestones!$AA$123)&gt;=$R48),$U48,$T48)))=Milestones!$AB$123),TEXT(EDATE($D48,Milestones!$AA$123),"dd/mm/yy")&amp;" "&amp;Milestones!$AB$123&amp;" "&amp;Milestones!$AC$123&amp;";  ","")&amp;IF(AND(EDATE($D48,Milestones!$AA$124)&lt;=AsOfDate,IF($Q48=0,$W48,IF(AND($S48&lt;&gt;"",EDATE($D48,Milestones!$AA$124)&gt;=$S48),$V48,IF(AND($R48&lt;&gt;"",EDATE($D48,Milestones!$AA$124)&gt;=$R48),$U48,$T48)))=Milestones!$AB$124),TEXT(EDATE($D48,Milestones!$AA$124),"dd/mm/yy")&amp;" "&amp;Milestones!$AB$124&amp;" "&amp;Milestones!$AC$124&amp;";  ","")&amp;IF(AND(EDATE($D48,Milestones!$AA$125)&lt;=AsOfDate,IF($Q48=0,$W48,IF(AND($S48&lt;&gt;"",EDATE($D48,Milestones!$AA$125)&gt;=$S48),$V48,IF(AND($R48&lt;&gt;"",EDATE($D48,Milestones!$AA$125)&gt;=$R48),$U48,$T48)))=Milestones!$AB$125),TEXT(EDATE($D48,Milestones!$AA$125),"dd/mm/yy")&amp;" "&amp;Milestones!$AB$125&amp;" "&amp;Milestones!$AC$125&amp;";  ","")&amp;IF(AND(EDATE($D48,Milestones!$AA$126)&lt;=AsOfDate,IF($Q48=0,$W48,IF(AND($S48&lt;&gt;"",EDATE($D48,Milestones!$AA$126)&gt;=$S48),$V48,IF(AND($R48&lt;&gt;"",EDATE($D48,Milestones!$AA$126)&gt;=$R48),$U48,$T48)))=Milestones!$AB$126),TEXT(EDATE($D48,Milestones!$AA$126),"dd/mm/yy")&amp;" "&amp;Milestones!$AB$126&amp;" "&amp;Milestones!$AC$126&amp;";  ","")&amp;IF(AND(EDATE($D48,Milestones!$AA$127)&lt;=AsOfDate,IF($Q48=0,$W48,IF(AND($S48&lt;&gt;"",EDATE($D48,Milestones!$AA$127)&gt;=$S48),$V48,IF(AND($R48&lt;&gt;"",EDATE($D48,Milestones!$AA$127)&gt;=$R48),$U48,$T48)))=Milestones!$AB$127),TEXT(EDATE($D48,Milestones!$AA$127),"dd/mm/yy")&amp;" "&amp;Milestones!$AB$127&amp;" "&amp;Milestones!$AC$127&amp;";  ","")&amp;IF(AND(EDATE($D48,Milestones!$AA$128)&lt;=AsOfDate,IF($Q48=0,$W48,IF(AND($S48&lt;&gt;"",EDATE($D48,Milestones!$AA$128)&gt;=$S48),$V48,IF(AND($R48&lt;&gt;"",EDATE($D48,Milestones!$AA$128)&gt;=$R48),$U48,$T48)))=Milestones!$AB$128),TEXT(EDATE($D48,Milestones!$AA$128),"dd/mm/yy")&amp;" "&amp;Milestones!$AB$128&amp;" "&amp;Milestones!$AC$128&amp;";  ","")&amp;IF(AND(EDATE($D48,Milestones!$AA$129)&lt;=AsOfDate,IF($Q48=0,$W48,IF(AND($S48&lt;&gt;"",EDATE($D48,Milestones!$AA$129)&gt;=$S48),$V48,IF(AND($R48&lt;&gt;"",EDATE($D48,Milestones!$AA$129)&gt;=$R48),$U48,$T48)))=Milestones!$AB$129),TEXT(EDATE($D48,Milestones!$AA$129),"dd/mm/yy")&amp;" "&amp;Milestones!$AB$129&amp;" "&amp;Milestones!$AC$129&amp;";  ","")&amp;IF(AND(EDATE($D48,Milestones!$AA$130)&lt;=AsOfDate,IF($Q48=0,$W48,IF(AND($S48&lt;&gt;"",EDATE($D48,Milestones!$AA$130)&gt;=$S48),$V48,IF(AND($R48&lt;&gt;"",EDATE($D48,Milestones!$AA$130)&gt;=$R48),$U48,$T48)))=Milestones!$AB$130),TEXT(EDATE($D48,Milestones!$AA$130),"dd/mm/yy")&amp;" "&amp;Milestones!$AB$130&amp;" "&amp;Milestones!$AC$130&amp;";  ","")&amp;IF(AND(EDATE($D48,Milestones!$AA$131)&lt;=AsOfDate,IF($Q48=0,$W48,IF(AND($S48&lt;&gt;"",EDATE($D48,Milestones!$AA$131)&gt;=$S48),$V48,IF(AND($R48&lt;&gt;"",EDATE($D48,Milestones!$AA$131)&gt;=$R48),$U48,$T48)))=Milestones!$AB$131),TEXT(EDATE($D48,Milestones!$AA$131),"dd/mm/yy")&amp;" "&amp;Milestones!$AB$131&amp;" "&amp;Milestones!$AC$131&amp;";  ","")&amp;IF(AND(EDATE($D48,Milestones!$AA$132)&lt;=AsOfDate,IF($Q48=0,$W48,IF(AND($S48&lt;&gt;"",EDATE($D48,Milestones!$AA$132)&gt;=$S48),$V48,IF(AND($R48&lt;&gt;"",EDATE($D48,Milestones!$AA$132)&gt;=$R48),$U48,$T48)))=Milestones!$AB$132),TEXT(EDATE($D48,Milestones!$AA$132),"dd/mm/yy")&amp;" "&amp;Milestones!$AB$132&amp;" "&amp;Milestones!$AC$132&amp;";  ","")&amp;IF(AND(EDATE($D48,Milestones!$AA$133)&lt;=AsOfDate,IF($Q48=0,$W48,IF(AND($S48&lt;&gt;"",EDATE($D48,Milestones!$AA$133)&gt;=$S48),$V48,IF(AND($R48&lt;&gt;"",EDATE($D48,Milestones!$AA$133)&gt;=$R48),$U48,$T48)))=Milestones!$AB$133),TEXT(EDATE($D48,Milestones!$AA$133),"dd/mm/yy")&amp;" "&amp;Milestones!$AB$133&amp;" "&amp;Milestones!$AC$133&amp;";  ","")&amp;IF(AND(EDATE($D48,Milestones!$AA$134)&lt;=AsOfDate,IF($Q48=0,$W48,IF(AND($S48&lt;&gt;"",EDATE($D48,Milestones!$AA$134)&gt;=$S48),$V48,IF(AND($R48&lt;&gt;"",EDATE($D48,Milestones!$AA$134)&gt;=$R48),$U48,$T48)))=Milestones!$AB$134),TEXT(EDATE($D48,Milestones!$AA$134),"dd/mm/yy")&amp;" "&amp;Milestones!$AB$134&amp;" "&amp;Milestones!$AC$134&amp;";  ","")&amp;IF(AND(EDATE($D48,Milestones!$AA$135)&lt;=AsOfDate,IF($Q48=0,$W48,IF(AND($S48&lt;&gt;"",EDATE($D48,Milestones!$AA$135)&gt;=$S48),$V48,IF(AND($R48&lt;&gt;"",EDATE($D48,Milestones!$AA$135)&gt;=$R48),$U48,$T48)))=Milestones!$AB$135),TEXT(EDATE($D48,Milestones!$AA$135),"dd/mm/yy")&amp;" "&amp;Milestones!$AB$135&amp;" "&amp;Milestones!$AC$135&amp;";  ","")&amp;IF(AND(EDATE($D48,Milestones!$AA$136)&lt;=AsOfDate,IF($Q48=0,$W48,IF(AND($S48&lt;&gt;"",EDATE($D48,Milestones!$AA$136)&gt;=$S48),$V48,IF(AND($R48&lt;&gt;"",EDATE($D48,Milestones!$AA$136)&gt;=$R48),$U48,$T48)))=Milestones!$AB$136),TEXT(EDATE($D48,Milestones!$AA$136),"dd/mm/yy")&amp;" "&amp;Milestones!$AB$136&amp;" "&amp;Milestones!$AC$136&amp;";  ","")&amp;IF(AND(EDATE($D48,Milestones!$AA$137)&lt;=AsOfDate,IF($Q48=0,$W48,IF(AND($S48&lt;&gt;"",EDATE($D48,Milestones!$AA$137)&gt;=$S48),$V48,IF(AND($R48&lt;&gt;"",EDATE($D48,Milestones!$AA$137)&gt;=$R48),$U48,$T48)))=Milestones!$AB$137),TEXT(EDATE($D48,Milestones!$AA$137),"dd/mm/yy")&amp;" "&amp;Milestones!$AB$137&amp;" "&amp;Milestones!$AC$137&amp;";  ","")&amp;IF(AND(EDATE($D48,Milestones!$AA$138)&lt;=AsOfDate,IF($Q48=0,$W48,IF(AND($S48&lt;&gt;"",EDATE($D48,Milestones!$AA$138)&gt;=$S48),$V48,IF(AND($R48&lt;&gt;"",EDATE($D48,Milestones!$AA$138)&gt;=$R48),$U48,$T48)))=Milestones!$AB$138),TEXT(EDATE($D48,Milestones!$AA$138),"dd/mm/yy")&amp;" "&amp;Milestones!$AB$138&amp;" "&amp;Milestones!$AC$138&amp;";  ","")&amp;IF(AND(EDATE($D48,Milestones!$AA$139)&lt;=AsOfDate,IF($Q48=0,$W48,IF(AND($S48&lt;&gt;"",EDATE($D48,Milestones!$AA$139)&gt;=$S48),$V48,IF(AND($R48&lt;&gt;"",EDATE($D48,Milestones!$AA$139)&gt;=$R48),$U48,$T48)))=Milestones!$AB$139),TEXT(EDATE($D48,Milestones!$AA$139),"dd/mm/yy")&amp;" "&amp;Milestones!$AB$139&amp;" "&amp;Milestones!$AC$139&amp;";  ",""))</f>
        <v/>
      </c>
      <c r="N48" s="0" t="str">
        <f aca="false">IF(OR($A48="",$D48=""),"",IF(AND(EDATE($D48,Milestones!$AA$140)&lt;=AsOfDate,IF($Q48=0,$W48,IF(AND($S48&lt;&gt;"",EDATE($D48,Milestones!$AA$140)&gt;=$S48),$V48,IF(AND($R48&lt;&gt;"",EDATE($D48,Milestones!$AA$140)&gt;=$R48),$U48,$T48)))=Milestones!$AB$140),TEXT(EDATE($D48,Milestones!$AA$140),"dd/mm/yy")&amp;" "&amp;Milestones!$AB$140&amp;" "&amp;Milestones!$AC$140&amp;";  ","")&amp;IF(AND(EDATE($D48,Milestones!$AA$141)&lt;=AsOfDate,IF($Q48=0,$W48,IF(AND($S48&lt;&gt;"",EDATE($D48,Milestones!$AA$141)&gt;=$S48),$V48,IF(AND($R48&lt;&gt;"",EDATE($D48,Milestones!$AA$141)&gt;=$R48),$U48,$T48)))=Milestones!$AB$141),TEXT(EDATE($D48,Milestones!$AA$141),"dd/mm/yy")&amp;" "&amp;Milestones!$AB$141&amp;" "&amp;Milestones!$AC$141&amp;";  ","")&amp;IF(AND(EDATE($D48,Milestones!$AA$142)&lt;=AsOfDate,IF($Q48=0,$W48,IF(AND($S48&lt;&gt;"",EDATE($D48,Milestones!$AA$142)&gt;=$S48),$V48,IF(AND($R48&lt;&gt;"",EDATE($D48,Milestones!$AA$142)&gt;=$R48),$U48,$T48)))=Milestones!$AB$142),TEXT(EDATE($D48,Milestones!$AA$142),"dd/mm/yy")&amp;" "&amp;Milestones!$AB$142&amp;" "&amp;Milestones!$AC$142&amp;";  ","")&amp;IF(AND(EDATE($D48,Milestones!$AA$143)&lt;=AsOfDate,IF($Q48=0,$W48,IF(AND($S48&lt;&gt;"",EDATE($D48,Milestones!$AA$143)&gt;=$S48),$V48,IF(AND($R48&lt;&gt;"",EDATE($D48,Milestones!$AA$143)&gt;=$R48),$U48,$T48)))=Milestones!$AB$143),TEXT(EDATE($D48,Milestones!$AA$143),"dd/mm/yy")&amp;" "&amp;Milestones!$AB$143&amp;" "&amp;Milestones!$AC$143&amp;";  ","")&amp;IF(AND(EDATE($D48,Milestones!$AA$144)&lt;=AsOfDate,IF($Q48=0,$W48,IF(AND($S48&lt;&gt;"",EDATE($D48,Milestones!$AA$144)&gt;=$S48),$V48,IF(AND($R48&lt;&gt;"",EDATE($D48,Milestones!$AA$144)&gt;=$R48),$U48,$T48)))=Milestones!$AB$144),TEXT(EDATE($D48,Milestones!$AA$144),"dd/mm/yy")&amp;" "&amp;Milestones!$AB$144&amp;" "&amp;Milestones!$AC$144&amp;";  ","")&amp;IF(AND(EDATE($D48,Milestones!$AA$145)&lt;=AsOfDate,IF($Q48=0,$W48,IF(AND($S48&lt;&gt;"",EDATE($D48,Milestones!$AA$145)&gt;=$S48),$V48,IF(AND($R48&lt;&gt;"",EDATE($D48,Milestones!$AA$145)&gt;=$R48),$U48,$T48)))=Milestones!$AB$145),TEXT(EDATE($D48,Milestones!$AA$145),"dd/mm/yy")&amp;" "&amp;Milestones!$AB$145&amp;" "&amp;Milestones!$AC$145&amp;";  ","")&amp;IF(AND(EDATE($D48,Milestones!$AA$146)&lt;=AsOfDate,IF($Q48=0,$W48,IF(AND($S48&lt;&gt;"",EDATE($D48,Milestones!$AA$146)&gt;=$S48),$V48,IF(AND($R48&lt;&gt;"",EDATE($D48,Milestones!$AA$146)&gt;=$R48),$U48,$T48)))=Milestones!$AB$146),TEXT(EDATE($D48,Milestones!$AA$146),"dd/mm/yy")&amp;" "&amp;Milestones!$AB$146&amp;" "&amp;Milestones!$AC$146&amp;";  ","")&amp;IF(AND(EDATE($D48,Milestones!$AA$147)&lt;=AsOfDate,IF($Q48=0,$W48,IF(AND($S48&lt;&gt;"",EDATE($D48,Milestones!$AA$147)&gt;=$S48),$V48,IF(AND($R48&lt;&gt;"",EDATE($D48,Milestones!$AA$147)&gt;=$R48),$U48,$T48)))=Milestones!$AB$147),TEXT(EDATE($D48,Milestones!$AA$147),"dd/mm/yy")&amp;" "&amp;Milestones!$AB$147&amp;" "&amp;Milestones!$AC$147&amp;";  ","")&amp;IF(AND(EDATE($D48,Milestones!$AA$148)&lt;=AsOfDate,IF($Q48=0,$W48,IF(AND($S48&lt;&gt;"",EDATE($D48,Milestones!$AA$148)&gt;=$S48),$V48,IF(AND($R48&lt;&gt;"",EDATE($D48,Milestones!$AA$148)&gt;=$R48),$U48,$T48)))=Milestones!$AB$148),TEXT(EDATE($D48,Milestones!$AA$148),"dd/mm/yy")&amp;" "&amp;Milestones!$AB$148&amp;" "&amp;Milestones!$AC$148&amp;";  ","")&amp;IF(AND(EDATE($D48,Milestones!$AA$149)&lt;=AsOfDate,IF($Q48=0,$W48,IF(AND($S48&lt;&gt;"",EDATE($D48,Milestones!$AA$149)&gt;=$S48),$V48,IF(AND($R48&lt;&gt;"",EDATE($D48,Milestones!$AA$149)&gt;=$R48),$U48,$T48)))=Milestones!$AB$149),TEXT(EDATE($D48,Milestones!$AA$149),"dd/mm/yy")&amp;" "&amp;Milestones!$AB$149&amp;" "&amp;Milestones!$AC$149&amp;";  ","")&amp;IF(AND(EDATE($D48,Milestones!$AA$150)&lt;=AsOfDate,IF($Q48=0,$W48,IF(AND($S48&lt;&gt;"",EDATE($D48,Milestones!$AA$150)&gt;=$S48),$V48,IF(AND($R48&lt;&gt;"",EDATE($D48,Milestones!$AA$150)&gt;=$R48),$U48,$T48)))=Milestones!$AB$150),TEXT(EDATE($D48,Milestones!$AA$150),"dd/mm/yy")&amp;" "&amp;Milestones!$AB$150&amp;" "&amp;Milestones!$AC$150&amp;";  ","")&amp;IF(AND(EDATE($D48,Milestones!$AA$151)&lt;=AsOfDate,IF($Q48=0,$W48,IF(AND($S48&lt;&gt;"",EDATE($D48,Milestones!$AA$151)&gt;=$S48),$V48,IF(AND($R48&lt;&gt;"",EDATE($D48,Milestones!$AA$151)&gt;=$R48),$U48,$T48)))=Milestones!$AB$151),TEXT(EDATE($D48,Milestones!$AA$151),"dd/mm/yy")&amp;" "&amp;Milestones!$AB$151&amp;" "&amp;Milestones!$AC$151&amp;";  ","")&amp;IF(AND(EDATE($D48,Milestones!$AA$152)&lt;=AsOfDate,IF($Q48=0,$W48,IF(AND($S48&lt;&gt;"",EDATE($D48,Milestones!$AA$152)&gt;=$S48),$V48,IF(AND($R48&lt;&gt;"",EDATE($D48,Milestones!$AA$152)&gt;=$R48),$U48,$T48)))=Milestones!$AB$152),TEXT(EDATE($D48,Milestones!$AA$152),"dd/mm/yy")&amp;" "&amp;Milestones!$AB$152&amp;" "&amp;Milestones!$AC$152&amp;";  ","")&amp;IF(AND(EDATE($D48,Milestones!$AA$153)&lt;=AsOfDate,IF($Q48=0,$W48,IF(AND($S48&lt;&gt;"",EDATE($D48,Milestones!$AA$153)&gt;=$S48),$V48,IF(AND($R48&lt;&gt;"",EDATE($D48,Milestones!$AA$153)&gt;=$R48),$U48,$T48)))=Milestones!$AB$153),TEXT(EDATE($D48,Milestones!$AA$153),"dd/mm/yy")&amp;" "&amp;Milestones!$AB$153&amp;" "&amp;Milestones!$AC$153&amp;";  ","")&amp;IF(AND(EDATE($D48,Milestones!$AA$154)&lt;=AsOfDate,IF($Q48=0,$W48,IF(AND($S48&lt;&gt;"",EDATE($D48,Milestones!$AA$154)&gt;=$S48),$V48,IF(AND($R48&lt;&gt;"",EDATE($D48,Milestones!$AA$154)&gt;=$R48),$U48,$T48)))=Milestones!$AB$154),TEXT(EDATE($D48,Milestones!$AA$154),"dd/mm/yy")&amp;" "&amp;Milestones!$AB$154&amp;" "&amp;Milestones!$AC$154&amp;";  ","")&amp;IF(AND(EDATE($D48,Milestones!$AA$155)&lt;=AsOfDate,IF($Q48=0,$W48,IF(AND($S48&lt;&gt;"",EDATE($D48,Milestones!$AA$155)&gt;=$S48),$V48,IF(AND($R48&lt;&gt;"",EDATE($D48,Milestones!$AA$155)&gt;=$R48),$U48,$T48)))=Milestones!$AB$155),TEXT(EDATE($D48,Milestones!$AA$155),"dd/mm/yy")&amp;" "&amp;Milestones!$AB$155&amp;" "&amp;Milestones!$AC$155&amp;";  ","")&amp;IF(AND(EDATE($D48,Milestones!$AA$156)&lt;=AsOfDate,IF($Q48=0,$W48,IF(AND($S48&lt;&gt;"",EDATE($D48,Milestones!$AA$156)&gt;=$S48),$V48,IF(AND($R48&lt;&gt;"",EDATE($D48,Milestones!$AA$156)&gt;=$R48),$U48,$T48)))=Milestones!$AB$156),TEXT(EDATE($D48,Milestones!$AA$156),"dd/mm/yy")&amp;" "&amp;Milestones!$AB$156&amp;" "&amp;Milestones!$AC$156&amp;";  ","")&amp;IF(AND(EDATE($D48,Milestones!$AA$157)&lt;=AsOfDate,IF($Q48=0,$W48,IF(AND($S48&lt;&gt;"",EDATE($D48,Milestones!$AA$157)&gt;=$S48),$V48,IF(AND($R48&lt;&gt;"",EDATE($D48,Milestones!$AA$157)&gt;=$R48),$U48,$T48)))=Milestones!$AB$157),TEXT(EDATE($D48,Milestones!$AA$157),"dd/mm/yy")&amp;" "&amp;Milestones!$AB$157&amp;" "&amp;Milestones!$AC$157&amp;";  ","")&amp;IF(AND(EDATE($D48,Milestones!$AA$158)&lt;=AsOfDate,IF($Q48=0,$W48,IF(AND($S48&lt;&gt;"",EDATE($D48,Milestones!$AA$158)&gt;=$S48),$V48,IF(AND($R48&lt;&gt;"",EDATE($D48,Milestones!$AA$158)&gt;=$R48),$U48,$T48)))=Milestones!$AB$158),TEXT(EDATE($D48,Milestones!$AA$158),"dd/mm/yy")&amp;" "&amp;Milestones!$AB$158&amp;" "&amp;Milestones!$AC$158&amp;";  ","")&amp;IF(AND(EDATE($D48,Milestones!$AA$159)&lt;=AsOfDate,IF($Q48=0,$W48,IF(AND($S48&lt;&gt;"",EDATE($D48,Milestones!$AA$159)&gt;=$S48),$V48,IF(AND($R48&lt;&gt;"",EDATE($D48,Milestones!$AA$159)&gt;=$R48),$U48,$T48)))=Milestones!$AB$159),TEXT(EDATE($D48,Milestones!$AA$159),"dd/mm/yy")&amp;" "&amp;Milestones!$AB$159&amp;" "&amp;Milestones!$AC$159&amp;";  ",""))</f>
        <v/>
      </c>
      <c r="O48" s="0" t="str">
        <f aca="false">IF(OR($A48="",$D48=""),"",IF(AND(EDATE($D48,Milestones!$AA$160)&lt;=AsOfDate,IF($Q48=0,$W48,IF(AND($S48&lt;&gt;"",EDATE($D48,Milestones!$AA$160)&gt;=$S48),$V48,IF(AND($R48&lt;&gt;"",EDATE($D48,Milestones!$AA$160)&gt;=$R48),$U48,$T48)))=Milestones!$AB$160),TEXT(EDATE($D48,Milestones!$AA$160),"dd/mm/yy")&amp;" "&amp;Milestones!$AB$160&amp;" "&amp;Milestones!$AC$160&amp;";  ","")&amp;IF(AND(EDATE($D48,Milestones!$AA$161)&lt;=AsOfDate,IF($Q48=0,$W48,IF(AND($S48&lt;&gt;"",EDATE($D48,Milestones!$AA$161)&gt;=$S48),$V48,IF(AND($R48&lt;&gt;"",EDATE($D48,Milestones!$AA$161)&gt;=$R48),$U48,$T48)))=Milestones!$AB$161),TEXT(EDATE($D48,Milestones!$AA$161),"dd/mm/yy")&amp;" "&amp;Milestones!$AB$161&amp;" "&amp;Milestones!$AC$161&amp;";  ","")&amp;IF(AND(EDATE($D48,Milestones!$AA$162)&lt;=AsOfDate,IF($Q48=0,$W48,IF(AND($S48&lt;&gt;"",EDATE($D48,Milestones!$AA$162)&gt;=$S48),$V48,IF(AND($R48&lt;&gt;"",EDATE($D48,Milestones!$AA$162)&gt;=$R48),$U48,$T48)))=Milestones!$AB$162),TEXT(EDATE($D48,Milestones!$AA$162),"dd/mm/yy")&amp;" "&amp;Milestones!$AB$162&amp;" "&amp;Milestones!$AC$162&amp;";  ","")&amp;IF(AND(EDATE($D48,Milestones!$AA$163)&lt;=AsOfDate,IF($Q48=0,$W48,IF(AND($S48&lt;&gt;"",EDATE($D48,Milestones!$AA$163)&gt;=$S48),$V48,IF(AND($R48&lt;&gt;"",EDATE($D48,Milestones!$AA$163)&gt;=$R48),$U48,$T48)))=Milestones!$AB$163),TEXT(EDATE($D48,Milestones!$AA$163),"dd/mm/yy")&amp;" "&amp;Milestones!$AB$163&amp;" "&amp;Milestones!$AC$163&amp;";  ","")&amp;IF(AND(EDATE($D48,Milestones!$AA$164)&lt;=AsOfDate,IF($Q48=0,$W48,IF(AND($S48&lt;&gt;"",EDATE($D48,Milestones!$AA$164)&gt;=$S48),$V48,IF(AND($R48&lt;&gt;"",EDATE($D48,Milestones!$AA$164)&gt;=$R48),$U48,$T48)))=Milestones!$AB$164),TEXT(EDATE($D48,Milestones!$AA$164),"dd/mm/yy")&amp;" "&amp;Milestones!$AB$164&amp;" "&amp;Milestones!$AC$164&amp;";  ","")&amp;IF(AND(EDATE($D48,Milestones!$AA$165)&lt;=AsOfDate,IF($Q48=0,$W48,IF(AND($S48&lt;&gt;"",EDATE($D48,Milestones!$AA$165)&gt;=$S48),$V48,IF(AND($R48&lt;&gt;"",EDATE($D48,Milestones!$AA$165)&gt;=$R48),$U48,$T48)))=Milestones!$AB$165),TEXT(EDATE($D48,Milestones!$AA$165),"dd/mm/yy")&amp;" "&amp;Milestones!$AB$165&amp;" "&amp;Milestones!$AC$165&amp;";  ","")&amp;IF(AND(EDATE($D48,Milestones!$AA$166)&lt;=AsOfDate,IF($Q48=0,$W48,IF(AND($S48&lt;&gt;"",EDATE($D48,Milestones!$AA$166)&gt;=$S48),$V48,IF(AND($R48&lt;&gt;"",EDATE($D48,Milestones!$AA$166)&gt;=$R48),$U48,$T48)))=Milestones!$AB$166),TEXT(EDATE($D48,Milestones!$AA$166),"dd/mm/yy")&amp;" "&amp;Milestones!$AB$166&amp;" "&amp;Milestones!$AC$166&amp;";  ","")&amp;IF(AND(EDATE($D48,Milestones!$AA$167)&lt;=AsOfDate,IF($Q48=0,$W48,IF(AND($S48&lt;&gt;"",EDATE($D48,Milestones!$AA$167)&gt;=$S48),$V48,IF(AND($R48&lt;&gt;"",EDATE($D48,Milestones!$AA$167)&gt;=$R48),$U48,$T48)))=Milestones!$AB$167),TEXT(EDATE($D48,Milestones!$AA$167),"dd/mm/yy")&amp;" "&amp;Milestones!$AB$167&amp;" "&amp;Milestones!$AC$167&amp;";  ","")&amp;IF(AND(EDATE($D48,Milestones!$AA$168)&lt;=AsOfDate,IF($Q48=0,$W48,IF(AND($S48&lt;&gt;"",EDATE($D48,Milestones!$AA$168)&gt;=$S48),$V48,IF(AND($R48&lt;&gt;"",EDATE($D48,Milestones!$AA$168)&gt;=$R48),$U48,$T48)))=Milestones!$AB$168),TEXT(EDATE($D48,Milestones!$AA$168),"dd/mm/yy")&amp;" "&amp;Milestones!$AB$168&amp;" "&amp;Milestones!$AC$168&amp;";  ","")&amp;IF(AND(EDATE($D48,Milestones!$AA$169)&lt;=AsOfDate,IF($Q48=0,$W48,IF(AND($S48&lt;&gt;"",EDATE($D48,Milestones!$AA$169)&gt;=$S48),$V48,IF(AND($R48&lt;&gt;"",EDATE($D48,Milestones!$AA$169)&gt;=$R48),$U48,$T48)))=Milestones!$AB$169),TEXT(EDATE($D48,Milestones!$AA$169),"dd/mm/yy")&amp;" "&amp;Milestones!$AB$169&amp;" "&amp;Milestones!$AC$169&amp;";  ","")&amp;IF(AND(EDATE($D48,Milestones!$AA$170)&lt;=AsOfDate,IF($Q48=0,$W48,IF(AND($S48&lt;&gt;"",EDATE($D48,Milestones!$AA$170)&gt;=$S48),$V48,IF(AND($R48&lt;&gt;"",EDATE($D48,Milestones!$AA$170)&gt;=$R48),$U48,$T48)))=Milestones!$AB$170),TEXT(EDATE($D48,Milestones!$AA$170),"dd/mm/yy")&amp;" "&amp;Milestones!$AB$170&amp;" "&amp;Milestones!$AC$170&amp;";  ","")&amp;IF(AND(EDATE($D48,Milestones!$AA$171)&lt;=AsOfDate,IF($Q48=0,$W48,IF(AND($S48&lt;&gt;"",EDATE($D48,Milestones!$AA$171)&gt;=$S48),$V48,IF(AND($R48&lt;&gt;"",EDATE($D48,Milestones!$AA$171)&gt;=$R48),$U48,$T48)))=Milestones!$AB$171),TEXT(EDATE($D48,Milestones!$AA$171),"dd/mm/yy")&amp;" "&amp;Milestones!$AB$171&amp;" "&amp;Milestones!$AC$171&amp;";  ","")&amp;IF(AND(EDATE($D48,Milestones!$AA$172)&lt;=AsOfDate,IF($Q48=0,$W48,IF(AND($S48&lt;&gt;"",EDATE($D48,Milestones!$AA$172)&gt;=$S48),$V48,IF(AND($R48&lt;&gt;"",EDATE($D48,Milestones!$AA$172)&gt;=$R48),$U48,$T48)))=Milestones!$AB$172),TEXT(EDATE($D48,Milestones!$AA$172),"dd/mm/yy")&amp;" "&amp;Milestones!$AB$172&amp;" "&amp;Milestones!$AC$172&amp;";  ","")&amp;IF(AND(EDATE($D48,Milestones!$AA$173)&lt;=AsOfDate,IF($Q48=0,$W48,IF(AND($S48&lt;&gt;"",EDATE($D48,Milestones!$AA$173)&gt;=$S48),$V48,IF(AND($R48&lt;&gt;"",EDATE($D48,Milestones!$AA$173)&gt;=$R48),$U48,$T48)))=Milestones!$AB$173),TEXT(EDATE($D48,Milestones!$AA$173),"dd/mm/yy")&amp;" "&amp;Milestones!$AB$173&amp;" "&amp;Milestones!$AC$173&amp;";  ","")&amp;IF(AND(EDATE($D48,Milestones!$AA$174)&lt;=AsOfDate,IF($Q48=0,$W48,IF(AND($S48&lt;&gt;"",EDATE($D48,Milestones!$AA$174)&gt;=$S48),$V48,IF(AND($R48&lt;&gt;"",EDATE($D48,Milestones!$AA$174)&gt;=$R48),$U48,$T48)))=Milestones!$AB$174),TEXT(EDATE($D48,Milestones!$AA$174),"dd/mm/yy")&amp;" "&amp;Milestones!$AB$174&amp;" "&amp;Milestones!$AC$174&amp;";  ","")&amp;IF(AND(EDATE($D48,Milestones!$AA$175)&lt;=AsOfDate,IF($Q48=0,$W48,IF(AND($S48&lt;&gt;"",EDATE($D48,Milestones!$AA$175)&gt;=$S48),$V48,IF(AND($R48&lt;&gt;"",EDATE($D48,Milestones!$AA$175)&gt;=$R48),$U48,$T48)))=Milestones!$AB$175),TEXT(EDATE($D48,Milestones!$AA$175),"dd/mm/yy")&amp;" "&amp;Milestones!$AB$175&amp;" "&amp;Milestones!$AC$175&amp;";  ","")&amp;IF(AND(EDATE($D48,Milestones!$AA$176)&lt;=AsOfDate,IF($Q48=0,$W48,IF(AND($S48&lt;&gt;"",EDATE($D48,Milestones!$AA$176)&gt;=$S48),$V48,IF(AND($R48&lt;&gt;"",EDATE($D48,Milestones!$AA$176)&gt;=$R48),$U48,$T48)))=Milestones!$AB$176),TEXT(EDATE($D48,Milestones!$AA$176),"dd/mm/yy")&amp;" "&amp;Milestones!$AB$176&amp;" "&amp;Milestones!$AC$176&amp;";  ","")&amp;IF(AND(EDATE($D48,Milestones!$AA$177)&lt;=AsOfDate,IF($Q48=0,$W48,IF(AND($S48&lt;&gt;"",EDATE($D48,Milestones!$AA$177)&gt;=$S48),$V48,IF(AND($R48&lt;&gt;"",EDATE($D48,Milestones!$AA$177)&gt;=$R48),$U48,$T48)))=Milestones!$AB$177),TEXT(EDATE($D48,Milestones!$AA$177),"dd/mm/yy")&amp;" "&amp;Milestones!$AB$177&amp;" "&amp;Milestones!$AC$177&amp;";  ","")&amp;IF(AND(EDATE($D48,Milestones!$AA$178)&lt;=AsOfDate,IF($Q48=0,$W48,IF(AND($S48&lt;&gt;"",EDATE($D48,Milestones!$AA$178)&gt;=$S48),$V48,IF(AND($R48&lt;&gt;"",EDATE($D48,Milestones!$AA$178)&gt;=$R48),$U48,$T48)))=Milestones!$AB$178),TEXT(EDATE($D48,Milestones!$AA$178),"dd/mm/yy")&amp;" "&amp;Milestones!$AB$178&amp;" "&amp;Milestones!$AC$178&amp;";  ","")&amp;IF(AND(EDATE($D48,Milestones!$AA$179)&lt;=AsOfDate,IF($Q48=0,$W48,IF(AND($S48&lt;&gt;"",EDATE($D48,Milestones!$AA$179)&gt;=$S48),$V48,IF(AND($R48&lt;&gt;"",EDATE($D48,Milestones!$AA$179)&gt;=$R48),$U48,$T48)))=Milestones!$AB$179),TEXT(EDATE($D48,Milestones!$AA$179),"dd/mm/yy")&amp;" "&amp;Milestones!$AB$179&amp;" "&amp;Milestones!$AC$179&amp;";  ",""))</f>
        <v/>
      </c>
      <c r="P48" s="0" t="str">
        <f aca="false">IF(OR($A48="",$D48=""),"",IF(AND(EDATE($D48,Milestones!$AA$180)&lt;=AsOfDate,IF($Q48=0,$W48,IF(AND($S48&lt;&gt;"",EDATE($D48,Milestones!$AA$180)&gt;=$S48),$V48,IF(AND($R48&lt;&gt;"",EDATE($D48,Milestones!$AA$180)&gt;=$R48),$U48,$T48)))=Milestones!$AB$180),TEXT(EDATE($D48,Milestones!$AA$180),"dd/mm/yy")&amp;" "&amp;Milestones!$AB$180&amp;" "&amp;Milestones!$AC$180&amp;";  ","")&amp;IF(AND(EDATE($D48,Milestones!$AA$181)&lt;=AsOfDate,IF($Q48=0,$W48,IF(AND($S48&lt;&gt;"",EDATE($D48,Milestones!$AA$181)&gt;=$S48),$V48,IF(AND($R48&lt;&gt;"",EDATE($D48,Milestones!$AA$181)&gt;=$R48),$U48,$T48)))=Milestones!$AB$181),TEXT(EDATE($D48,Milestones!$AA$181),"dd/mm/yy")&amp;" "&amp;Milestones!$AB$181&amp;" "&amp;Milestones!$AC$181&amp;";  ","")&amp;IF(AND(EDATE($D48,Milestones!$AA$182)&lt;=AsOfDate,IF($Q48=0,$W48,IF(AND($S48&lt;&gt;"",EDATE($D48,Milestones!$AA$182)&gt;=$S48),$V48,IF(AND($R48&lt;&gt;"",EDATE($D48,Milestones!$AA$182)&gt;=$R48),$U48,$T48)))=Milestones!$AB$182),TEXT(EDATE($D48,Milestones!$AA$182),"dd/mm/yy")&amp;" "&amp;Milestones!$AB$182&amp;" "&amp;Milestones!$AC$182&amp;";  ","")&amp;IF(AND(EDATE($D48,Milestones!$AA$183)&lt;=AsOfDate,IF($Q48=0,$W48,IF(AND($S48&lt;&gt;"",EDATE($D48,Milestones!$AA$183)&gt;=$S48),$V48,IF(AND($R48&lt;&gt;"",EDATE($D48,Milestones!$AA$183)&gt;=$R48),$U48,$T48)))=Milestones!$AB$183),TEXT(EDATE($D48,Milestones!$AA$183),"dd/mm/yy")&amp;" "&amp;Milestones!$AB$183&amp;" "&amp;Milestones!$AC$183&amp;";  ","")&amp;IF(AND(EDATE($D48,Milestones!$AA$184)&lt;=AsOfDate,IF($Q48=0,$W48,IF(AND($S48&lt;&gt;"",EDATE($D48,Milestones!$AA$184)&gt;=$S48),$V48,IF(AND($R48&lt;&gt;"",EDATE($D48,Milestones!$AA$184)&gt;=$R48),$U48,$T48)))=Milestones!$AB$184),TEXT(EDATE($D48,Milestones!$AA$184),"dd/mm/yy")&amp;" "&amp;Milestones!$AB$184&amp;" "&amp;Milestones!$AC$184&amp;";  ","")&amp;IF(AND(EDATE($D48,Milestones!$AA$185)&lt;=AsOfDate,IF($Q48=0,$W48,IF(AND($S48&lt;&gt;"",EDATE($D48,Milestones!$AA$185)&gt;=$S48),$V48,IF(AND($R48&lt;&gt;"",EDATE($D48,Milestones!$AA$185)&gt;=$R48),$U48,$T48)))=Milestones!$AB$185),TEXT(EDATE($D48,Milestones!$AA$185),"dd/mm/yy")&amp;" "&amp;Milestones!$AB$185&amp;" "&amp;Milestones!$AC$185&amp;";  ","")&amp;IF(AND(EDATE($D48,Milestones!$AA$186)&lt;=AsOfDate,IF($Q48=0,$W48,IF(AND($S48&lt;&gt;"",EDATE($D48,Milestones!$AA$186)&gt;=$S48),$V48,IF(AND($R48&lt;&gt;"",EDATE($D48,Milestones!$AA$186)&gt;=$R48),$U48,$T48)))=Milestones!$AB$186),TEXT(EDATE($D48,Milestones!$AA$186),"dd/mm/yy")&amp;" "&amp;Milestones!$AB$186&amp;" "&amp;Milestones!$AC$186&amp;";  ","")&amp;IF(AND(EDATE($D48,Milestones!$AA$187)&lt;=AsOfDate,IF($Q48=0,$W48,IF(AND($S48&lt;&gt;"",EDATE($D48,Milestones!$AA$187)&gt;=$S48),$V48,IF(AND($R48&lt;&gt;"",EDATE($D48,Milestones!$AA$187)&gt;=$R48),$U48,$T48)))=Milestones!$AB$187),TEXT(EDATE($D48,Milestones!$AA$187),"dd/mm/yy")&amp;" "&amp;Milestones!$AB$187&amp;" "&amp;Milestones!$AC$187&amp;";  ","")&amp;IF(AND(EDATE($D48,Milestones!$AA$188)&lt;=AsOfDate,IF($Q48=0,$W48,IF(AND($S48&lt;&gt;"",EDATE($D48,Milestones!$AA$188)&gt;=$S48),$V48,IF(AND($R48&lt;&gt;"",EDATE($D48,Milestones!$AA$188)&gt;=$R48),$U48,$T48)))=Milestones!$AB$188),TEXT(EDATE($D48,Milestones!$AA$188),"dd/mm/yy")&amp;" "&amp;Milestones!$AB$188&amp;" "&amp;Milestones!$AC$188&amp;";  ","")&amp;IF(AND(EDATE($D48,Milestones!$AA$189)&lt;=AsOfDate,IF($Q48=0,$W48,IF(AND($S48&lt;&gt;"",EDATE($D48,Milestones!$AA$189)&gt;=$S48),$V48,IF(AND($R48&lt;&gt;"",EDATE($D48,Milestones!$AA$189)&gt;=$R48),$U48,$T48)))=Milestones!$AB$189),TEXT(EDATE($D48,Milestones!$AA$189),"dd/mm/yy")&amp;" "&amp;Milestones!$AB$189&amp;" "&amp;Milestones!$AC$189&amp;";  ","")&amp;IF(AND(EDATE($D48,Milestones!$AA$190)&lt;=AsOfDate,IF($Q48=0,$W48,IF(AND($S48&lt;&gt;"",EDATE($D48,Milestones!$AA$190)&gt;=$S48),$V48,IF(AND($R48&lt;&gt;"",EDATE($D48,Milestones!$AA$190)&gt;=$R48),$U48,$T48)))=Milestones!$AB$190),TEXT(EDATE($D48,Milestones!$AA$190),"dd/mm/yy")&amp;" "&amp;Milestones!$AB$190&amp;" "&amp;Milestones!$AC$190&amp;";  ","")&amp;IF(AND(EDATE($D48,Milestones!$AA$191)&lt;=AsOfDate,IF($Q48=0,$W48,IF(AND($S48&lt;&gt;"",EDATE($D48,Milestones!$AA$191)&gt;=$S48),$V48,IF(AND($R48&lt;&gt;"",EDATE($D48,Milestones!$AA$191)&gt;=$R48),$U48,$T48)))=Milestones!$AB$191),TEXT(EDATE($D48,Milestones!$AA$191),"dd/mm/yy")&amp;" "&amp;Milestones!$AB$191&amp;" "&amp;Milestones!$AC$191&amp;";  ","")&amp;IF(AND(EDATE($D48,Milestones!$AA$192)&lt;=AsOfDate,IF($Q48=0,$W48,IF(AND($S48&lt;&gt;"",EDATE($D48,Milestones!$AA$192)&gt;=$S48),$V48,IF(AND($R48&lt;&gt;"",EDATE($D48,Milestones!$AA$192)&gt;=$R48),$U48,$T48)))=Milestones!$AB$192),TEXT(EDATE($D48,Milestones!$AA$192),"dd/mm/yy")&amp;" "&amp;Milestones!$AB$192&amp;" "&amp;Milestones!$AC$192&amp;";  ","")&amp;IF(AND(EDATE($D48,Milestones!$AA$193)&lt;=AsOfDate,IF($Q48=0,$W48,IF(AND($S48&lt;&gt;"",EDATE($D48,Milestones!$AA$193)&gt;=$S48),$V48,IF(AND($R48&lt;&gt;"",EDATE($D48,Milestones!$AA$193)&gt;=$R48),$U48,$T48)))=Milestones!$AB$193),TEXT(EDATE($D48,Milestones!$AA$193),"dd/mm/yy")&amp;" "&amp;Milestones!$AB$193&amp;" "&amp;Milestones!$AC$193&amp;";  ","")&amp;IF(AND(EDATE($D48,Milestones!$AA$194)&lt;=AsOfDate,IF($Q48=0,$W48,IF(AND($S48&lt;&gt;"",EDATE($D48,Milestones!$AA$194)&gt;=$S48),$V48,IF(AND($R48&lt;&gt;"",EDATE($D48,Milestones!$AA$194)&gt;=$R48),$U48,$T48)))=Milestones!$AB$194),TEXT(EDATE($D48,Milestones!$AA$194),"dd/mm/yy")&amp;" "&amp;Milestones!$AB$194&amp;" "&amp;Milestones!$AC$194&amp;";  ","")&amp;IF(AND(EDATE($D48,Milestones!$AA$195)&lt;=AsOfDate,IF($Q48=0,$W48,IF(AND($S48&lt;&gt;"",EDATE($D48,Milestones!$AA$195)&gt;=$S48),$V48,IF(AND($R48&lt;&gt;"",EDATE($D48,Milestones!$AA$195)&gt;=$R48),$U48,$T48)))=Milestones!$AB$195),TEXT(EDATE($D48,Milestones!$AA$195),"dd/mm/yy")&amp;" "&amp;Milestones!$AB$195&amp;" "&amp;Milestones!$AC$195&amp;";  ","")&amp;IF(AND(EDATE($D48,Milestones!$AA$196)&lt;=AsOfDate,IF($Q48=0,$W48,IF(AND($S48&lt;&gt;"",EDATE($D48,Milestones!$AA$196)&gt;=$S48),$V48,IF(AND($R48&lt;&gt;"",EDATE($D48,Milestones!$AA$196)&gt;=$R48),$U48,$T48)))=Milestones!$AB$196),TEXT(EDATE($D48,Milestones!$AA$196),"dd/mm/yy")&amp;" "&amp;Milestones!$AB$196&amp;" "&amp;Milestones!$AC$196&amp;";  ","")&amp;IF(AND(EDATE($D48,Milestones!$AA$197)&lt;=AsOfDate,IF($Q48=0,$W48,IF(AND($S48&lt;&gt;"",EDATE($D48,Milestones!$AA$197)&gt;=$S48),$V48,IF(AND($R48&lt;&gt;"",EDATE($D48,Milestones!$AA$197)&gt;=$R48),$U48,$T48)))=Milestones!$AB$197),TEXT(EDATE($D48,Milestones!$AA$197),"dd/mm/yy")&amp;" "&amp;Milestones!$AB$197&amp;" "&amp;Milestones!$AC$197&amp;";  ","")&amp;IF(AND(EDATE($D48,Milestones!$AA$198)&lt;=AsOfDate,IF($Q48=0,$W48,IF(AND($S48&lt;&gt;"",EDATE($D48,Milestones!$AA$198)&gt;=$S48),$V48,IF(AND($R48&lt;&gt;"",EDATE($D48,Milestones!$AA$198)&gt;=$R48),$U48,$T48)))=Milestones!$AB$198),TEXT(EDATE($D48,Milestones!$AA$198),"dd/mm/yy")&amp;" "&amp;Milestones!$AB$198&amp;" "&amp;Milestones!$AC$198&amp;";  ","")&amp;IF(AND(EDATE($D48,Milestones!$AA$199)&lt;=AsOfDate,IF($Q48=0,$W48,IF(AND($S48&lt;&gt;"",EDATE($D48,Milestones!$AA$199)&gt;=$S48),$V48,IF(AND($R48&lt;&gt;"",EDATE($D48,Milestones!$AA$199)&gt;=$R48),$U48,$T48)))=Milestones!$AB$199),TEXT(EDATE($D48,Milestones!$AA$199),"dd/mm/yy")&amp;" "&amp;Milestones!$AB$199&amp;" "&amp;Milestones!$AC$199&amp;";  ",""))</f>
        <v/>
      </c>
      <c r="Q48" s="0" t="str">
        <f aca="false">IF(Staff!$A48="","",Staff!$AG48)</f>
        <v/>
      </c>
      <c r="R48" s="0" t="str">
        <f aca="false">IF(Staff!$A48="","",Staff!$AI48)</f>
        <v/>
      </c>
      <c r="S48" s="0" t="str">
        <f aca="false">IF(Staff!$A48="","",Staff!$AJ48)</f>
        <v/>
      </c>
      <c r="T48" s="0" t="str">
        <f aca="false">IF(Staff!$A48="","",Staff!$AN48)</f>
        <v/>
      </c>
      <c r="U48" s="0" t="str">
        <f aca="false">IF(Staff!$A48="","",Staff!$AO48)</f>
        <v/>
      </c>
      <c r="V48" s="0" t="str">
        <f aca="false">IF(Staff!$A48="","",Staff!$AP48)</f>
        <v/>
      </c>
      <c r="W48" s="0" t="str">
        <f aca="false">IF(Staff!$A48="","",Staff!$AQ48)</f>
        <v/>
      </c>
    </row>
    <row r="49" customFormat="false" ht="15" hidden="false" customHeight="false" outlineLevel="0" collapsed="false">
      <c r="A49" s="13" t="str">
        <f aca="false">IF(Staff!$A49="","",Staff!$A49)</f>
        <v/>
      </c>
      <c r="B49" s="13" t="str">
        <f aca="false">IF(Staff!$A49="","",Staff!$B49)</f>
        <v/>
      </c>
      <c r="C49" s="13" t="str">
        <f aca="false">IF(Staff!$A49="","",Staff!$C49)</f>
        <v/>
      </c>
      <c r="D49" s="11" t="str">
        <f aca="false">IF(Staff!$A49="","",Staff!$AF49)</f>
        <v/>
      </c>
      <c r="E49" s="13" t="str">
        <f aca="false">IF(Staff!$A49="","",Staff!$O49)</f>
        <v/>
      </c>
      <c r="F49" s="13" t="str">
        <f aca="false">IF(E49="","",E49*HoursPerDay)</f>
        <v/>
      </c>
      <c r="G49" s="26" t="str">
        <f aca="false">IF($A49="","",H49&amp;I49&amp;J49&amp;K49&amp;L49&amp;M49&amp;N49&amp;O49&amp;P49)</f>
        <v/>
      </c>
      <c r="H49" s="0" t="str">
        <f aca="false">IF(OR($A49="",$D49=""),"",IF(AND(EDATE($D49,Milestones!$AA$20)&lt;=AsOfDate,IF($Q49=0,$W49,IF(AND($S49&lt;&gt;"",EDATE($D49,Milestones!$AA$20)&gt;=$S49),$V49,IF(AND($R49&lt;&gt;"",EDATE($D49,Milestones!$AA$20)&gt;=$R49),$U49,$T49)))=Milestones!$AB$20),TEXT(EDATE($D49,Milestones!$AA$20),"dd/mm/yy")&amp;" "&amp;Milestones!$AB$20&amp;" "&amp;Milestones!$AC$20&amp;";  ","")&amp;IF(AND(EDATE($D49,Milestones!$AA$21)&lt;=AsOfDate,IF($Q49=0,$W49,IF(AND($S49&lt;&gt;"",EDATE($D49,Milestones!$AA$21)&gt;=$S49),$V49,IF(AND($R49&lt;&gt;"",EDATE($D49,Milestones!$AA$21)&gt;=$R49),$U49,$T49)))=Milestones!$AB$21),TEXT(EDATE($D49,Milestones!$AA$21),"dd/mm/yy")&amp;" "&amp;Milestones!$AB$21&amp;" "&amp;Milestones!$AC$21&amp;";  ","")&amp;IF(AND(EDATE($D49,Milestones!$AA$22)&lt;=AsOfDate,IF($Q49=0,$W49,IF(AND($S49&lt;&gt;"",EDATE($D49,Milestones!$AA$22)&gt;=$S49),$V49,IF(AND($R49&lt;&gt;"",EDATE($D49,Milestones!$AA$22)&gt;=$R49),$U49,$T49)))=Milestones!$AB$22),TEXT(EDATE($D49,Milestones!$AA$22),"dd/mm/yy")&amp;" "&amp;Milestones!$AB$22&amp;" "&amp;Milestones!$AC$22&amp;";  ","")&amp;IF(AND(EDATE($D49,Milestones!$AA$23)&lt;=AsOfDate,IF($Q49=0,$W49,IF(AND($S49&lt;&gt;"",EDATE($D49,Milestones!$AA$23)&gt;=$S49),$V49,IF(AND($R49&lt;&gt;"",EDATE($D49,Milestones!$AA$23)&gt;=$R49),$U49,$T49)))=Milestones!$AB$23),TEXT(EDATE($D49,Milestones!$AA$23),"dd/mm/yy")&amp;" "&amp;Milestones!$AB$23&amp;" "&amp;Milestones!$AC$23&amp;";  ","")&amp;IF(AND(EDATE($D49,Milestones!$AA$24)&lt;=AsOfDate,IF($Q49=0,$W49,IF(AND($S49&lt;&gt;"",EDATE($D49,Milestones!$AA$24)&gt;=$S49),$V49,IF(AND($R49&lt;&gt;"",EDATE($D49,Milestones!$AA$24)&gt;=$R49),$U49,$T49)))=Milestones!$AB$24),TEXT(EDATE($D49,Milestones!$AA$24),"dd/mm/yy")&amp;" "&amp;Milestones!$AB$24&amp;" "&amp;Milestones!$AC$24&amp;";  ","")&amp;IF(AND(EDATE($D49,Milestones!$AA$25)&lt;=AsOfDate,IF($Q49=0,$W49,IF(AND($S49&lt;&gt;"",EDATE($D49,Milestones!$AA$25)&gt;=$S49),$V49,IF(AND($R49&lt;&gt;"",EDATE($D49,Milestones!$AA$25)&gt;=$R49),$U49,$T49)))=Milestones!$AB$25),TEXT(EDATE($D49,Milestones!$AA$25),"dd/mm/yy")&amp;" "&amp;Milestones!$AB$25&amp;" "&amp;Milestones!$AC$25&amp;";  ","")&amp;IF(AND(EDATE($D49,Milestones!$AA$26)&lt;=AsOfDate,IF($Q49=0,$W49,IF(AND($S49&lt;&gt;"",EDATE($D49,Milestones!$AA$26)&gt;=$S49),$V49,IF(AND($R49&lt;&gt;"",EDATE($D49,Milestones!$AA$26)&gt;=$R49),$U49,$T49)))=Milestones!$AB$26),TEXT(EDATE($D49,Milestones!$AA$26),"dd/mm/yy")&amp;" "&amp;Milestones!$AB$26&amp;" "&amp;Milestones!$AC$26&amp;";  ","")&amp;IF(AND(EDATE($D49,Milestones!$AA$27)&lt;=AsOfDate,IF($Q49=0,$W49,IF(AND($S49&lt;&gt;"",EDATE($D49,Milestones!$AA$27)&gt;=$S49),$V49,IF(AND($R49&lt;&gt;"",EDATE($D49,Milestones!$AA$27)&gt;=$R49),$U49,$T49)))=Milestones!$AB$27),TEXT(EDATE($D49,Milestones!$AA$27),"dd/mm/yy")&amp;" "&amp;Milestones!$AB$27&amp;" "&amp;Milestones!$AC$27&amp;";  ","")&amp;IF(AND(EDATE($D49,Milestones!$AA$28)&lt;=AsOfDate,IF($Q49=0,$W49,IF(AND($S49&lt;&gt;"",EDATE($D49,Milestones!$AA$28)&gt;=$S49),$V49,IF(AND($R49&lt;&gt;"",EDATE($D49,Milestones!$AA$28)&gt;=$R49),$U49,$T49)))=Milestones!$AB$28),TEXT(EDATE($D49,Milestones!$AA$28),"dd/mm/yy")&amp;" "&amp;Milestones!$AB$28&amp;" "&amp;Milestones!$AC$28&amp;";  ","")&amp;IF(AND(EDATE($D49,Milestones!$AA$29)&lt;=AsOfDate,IF($Q49=0,$W49,IF(AND($S49&lt;&gt;"",EDATE($D49,Milestones!$AA$29)&gt;=$S49),$V49,IF(AND($R49&lt;&gt;"",EDATE($D49,Milestones!$AA$29)&gt;=$R49),$U49,$T49)))=Milestones!$AB$29),TEXT(EDATE($D49,Milestones!$AA$29),"dd/mm/yy")&amp;" "&amp;Milestones!$AB$29&amp;" "&amp;Milestones!$AC$29&amp;";  ","")&amp;IF(AND(EDATE($D49,Milestones!$AA$30)&lt;=AsOfDate,IF($Q49=0,$W49,IF(AND($S49&lt;&gt;"",EDATE($D49,Milestones!$AA$30)&gt;=$S49),$V49,IF(AND($R49&lt;&gt;"",EDATE($D49,Milestones!$AA$30)&gt;=$R49),$U49,$T49)))=Milestones!$AB$30),TEXT(EDATE($D49,Milestones!$AA$30),"dd/mm/yy")&amp;" "&amp;Milestones!$AB$30&amp;" "&amp;Milestones!$AC$30&amp;";  ","")&amp;IF(AND(EDATE($D49,Milestones!$AA$31)&lt;=AsOfDate,IF($Q49=0,$W49,IF(AND($S49&lt;&gt;"",EDATE($D49,Milestones!$AA$31)&gt;=$S49),$V49,IF(AND($R49&lt;&gt;"",EDATE($D49,Milestones!$AA$31)&gt;=$R49),$U49,$T49)))=Milestones!$AB$31),TEXT(EDATE($D49,Milestones!$AA$31),"dd/mm/yy")&amp;" "&amp;Milestones!$AB$31&amp;" "&amp;Milestones!$AC$31&amp;";  ","")&amp;IF(AND(EDATE($D49,Milestones!$AA$32)&lt;=AsOfDate,IF($Q49=0,$W49,IF(AND($S49&lt;&gt;"",EDATE($D49,Milestones!$AA$32)&gt;=$S49),$V49,IF(AND($R49&lt;&gt;"",EDATE($D49,Milestones!$AA$32)&gt;=$R49),$U49,$T49)))=Milestones!$AB$32),TEXT(EDATE($D49,Milestones!$AA$32),"dd/mm/yy")&amp;" "&amp;Milestones!$AB$32&amp;" "&amp;Milestones!$AC$32&amp;";  ","")&amp;IF(AND(EDATE($D49,Milestones!$AA$33)&lt;=AsOfDate,IF($Q49=0,$W49,IF(AND($S49&lt;&gt;"",EDATE($D49,Milestones!$AA$33)&gt;=$S49),$V49,IF(AND($R49&lt;&gt;"",EDATE($D49,Milestones!$AA$33)&gt;=$R49),$U49,$T49)))=Milestones!$AB$33),TEXT(EDATE($D49,Milestones!$AA$33),"dd/mm/yy")&amp;" "&amp;Milestones!$AB$33&amp;" "&amp;Milestones!$AC$33&amp;";  ","")&amp;IF(AND(EDATE($D49,Milestones!$AA$34)&lt;=AsOfDate,IF($Q49=0,$W49,IF(AND($S49&lt;&gt;"",EDATE($D49,Milestones!$AA$34)&gt;=$S49),$V49,IF(AND($R49&lt;&gt;"",EDATE($D49,Milestones!$AA$34)&gt;=$R49),$U49,$T49)))=Milestones!$AB$34),TEXT(EDATE($D49,Milestones!$AA$34),"dd/mm/yy")&amp;" "&amp;Milestones!$AB$34&amp;" "&amp;Milestones!$AC$34&amp;";  ","")&amp;IF(AND(EDATE($D49,Milestones!$AA$35)&lt;=AsOfDate,IF($Q49=0,$W49,IF(AND($S49&lt;&gt;"",EDATE($D49,Milestones!$AA$35)&gt;=$S49),$V49,IF(AND($R49&lt;&gt;"",EDATE($D49,Milestones!$AA$35)&gt;=$R49),$U49,$T49)))=Milestones!$AB$35),TEXT(EDATE($D49,Milestones!$AA$35),"dd/mm/yy")&amp;" "&amp;Milestones!$AB$35&amp;" "&amp;Milestones!$AC$35&amp;";  ","")&amp;IF(AND(EDATE($D49,Milestones!$AA$36)&lt;=AsOfDate,IF($Q49=0,$W49,IF(AND($S49&lt;&gt;"",EDATE($D49,Milestones!$AA$36)&gt;=$S49),$V49,IF(AND($R49&lt;&gt;"",EDATE($D49,Milestones!$AA$36)&gt;=$R49),$U49,$T49)))=Milestones!$AB$36),TEXT(EDATE($D49,Milestones!$AA$36),"dd/mm/yy")&amp;" "&amp;Milestones!$AB$36&amp;" "&amp;Milestones!$AC$36&amp;";  ","")&amp;IF(AND(EDATE($D49,Milestones!$AA$37)&lt;=AsOfDate,IF($Q49=0,$W49,IF(AND($S49&lt;&gt;"",EDATE($D49,Milestones!$AA$37)&gt;=$S49),$V49,IF(AND($R49&lt;&gt;"",EDATE($D49,Milestones!$AA$37)&gt;=$R49),$U49,$T49)))=Milestones!$AB$37),TEXT(EDATE($D49,Milestones!$AA$37),"dd/mm/yy")&amp;" "&amp;Milestones!$AB$37&amp;" "&amp;Milestones!$AC$37&amp;";  ","")&amp;IF(AND(EDATE($D49,Milestones!$AA$38)&lt;=AsOfDate,IF($Q49=0,$W49,IF(AND($S49&lt;&gt;"",EDATE($D49,Milestones!$AA$38)&gt;=$S49),$V49,IF(AND($R49&lt;&gt;"",EDATE($D49,Milestones!$AA$38)&gt;=$R49),$U49,$T49)))=Milestones!$AB$38),TEXT(EDATE($D49,Milestones!$AA$38),"dd/mm/yy")&amp;" "&amp;Milestones!$AB$38&amp;" "&amp;Milestones!$AC$38&amp;";  ","")&amp;IF(AND(EDATE($D49,Milestones!$AA$39)&lt;=AsOfDate,IF($Q49=0,$W49,IF(AND($S49&lt;&gt;"",EDATE($D49,Milestones!$AA$39)&gt;=$S49),$V49,IF(AND($R49&lt;&gt;"",EDATE($D49,Milestones!$AA$39)&gt;=$R49),$U49,$T49)))=Milestones!$AB$39),TEXT(EDATE($D49,Milestones!$AA$39),"dd/mm/yy")&amp;" "&amp;Milestones!$AB$39&amp;" "&amp;Milestones!$AC$39&amp;";  ",""))</f>
        <v/>
      </c>
      <c r="I49" s="0" t="str">
        <f aca="false">IF(OR($A49="",$D49=""),"",IF(AND(EDATE($D49,Milestones!$AA$40)&lt;=AsOfDate,IF($Q49=0,$W49,IF(AND($S49&lt;&gt;"",EDATE($D49,Milestones!$AA$40)&gt;=$S49),$V49,IF(AND($R49&lt;&gt;"",EDATE($D49,Milestones!$AA$40)&gt;=$R49),$U49,$T49)))=Milestones!$AB$40),TEXT(EDATE($D49,Milestones!$AA$40),"dd/mm/yy")&amp;" "&amp;Milestones!$AB$40&amp;" "&amp;Milestones!$AC$40&amp;";  ","")&amp;IF(AND(EDATE($D49,Milestones!$AA$41)&lt;=AsOfDate,IF($Q49=0,$W49,IF(AND($S49&lt;&gt;"",EDATE($D49,Milestones!$AA$41)&gt;=$S49),$V49,IF(AND($R49&lt;&gt;"",EDATE($D49,Milestones!$AA$41)&gt;=$R49),$U49,$T49)))=Milestones!$AB$41),TEXT(EDATE($D49,Milestones!$AA$41),"dd/mm/yy")&amp;" "&amp;Milestones!$AB$41&amp;" "&amp;Milestones!$AC$41&amp;";  ","")&amp;IF(AND(EDATE($D49,Milestones!$AA$42)&lt;=AsOfDate,IF($Q49=0,$W49,IF(AND($S49&lt;&gt;"",EDATE($D49,Milestones!$AA$42)&gt;=$S49),$V49,IF(AND($R49&lt;&gt;"",EDATE($D49,Milestones!$AA$42)&gt;=$R49),$U49,$T49)))=Milestones!$AB$42),TEXT(EDATE($D49,Milestones!$AA$42),"dd/mm/yy")&amp;" "&amp;Milestones!$AB$42&amp;" "&amp;Milestones!$AC$42&amp;";  ","")&amp;IF(AND(EDATE($D49,Milestones!$AA$43)&lt;=AsOfDate,IF($Q49=0,$W49,IF(AND($S49&lt;&gt;"",EDATE($D49,Milestones!$AA$43)&gt;=$S49),$V49,IF(AND($R49&lt;&gt;"",EDATE($D49,Milestones!$AA$43)&gt;=$R49),$U49,$T49)))=Milestones!$AB$43),TEXT(EDATE($D49,Milestones!$AA$43),"dd/mm/yy")&amp;" "&amp;Milestones!$AB$43&amp;" "&amp;Milestones!$AC$43&amp;";  ","")&amp;IF(AND(EDATE($D49,Milestones!$AA$44)&lt;=AsOfDate,IF($Q49=0,$W49,IF(AND($S49&lt;&gt;"",EDATE($D49,Milestones!$AA$44)&gt;=$S49),$V49,IF(AND($R49&lt;&gt;"",EDATE($D49,Milestones!$AA$44)&gt;=$R49),$U49,$T49)))=Milestones!$AB$44),TEXT(EDATE($D49,Milestones!$AA$44),"dd/mm/yy")&amp;" "&amp;Milestones!$AB$44&amp;" "&amp;Milestones!$AC$44&amp;";  ","")&amp;IF(AND(EDATE($D49,Milestones!$AA$45)&lt;=AsOfDate,IF($Q49=0,$W49,IF(AND($S49&lt;&gt;"",EDATE($D49,Milestones!$AA$45)&gt;=$S49),$V49,IF(AND($R49&lt;&gt;"",EDATE($D49,Milestones!$AA$45)&gt;=$R49),$U49,$T49)))=Milestones!$AB$45),TEXT(EDATE($D49,Milestones!$AA$45),"dd/mm/yy")&amp;" "&amp;Milestones!$AB$45&amp;" "&amp;Milestones!$AC$45&amp;";  ","")&amp;IF(AND(EDATE($D49,Milestones!$AA$46)&lt;=AsOfDate,IF($Q49=0,$W49,IF(AND($S49&lt;&gt;"",EDATE($D49,Milestones!$AA$46)&gt;=$S49),$V49,IF(AND($R49&lt;&gt;"",EDATE($D49,Milestones!$AA$46)&gt;=$R49),$U49,$T49)))=Milestones!$AB$46),TEXT(EDATE($D49,Milestones!$AA$46),"dd/mm/yy")&amp;" "&amp;Milestones!$AB$46&amp;" "&amp;Milestones!$AC$46&amp;";  ","")&amp;IF(AND(EDATE($D49,Milestones!$AA$47)&lt;=AsOfDate,IF($Q49=0,$W49,IF(AND($S49&lt;&gt;"",EDATE($D49,Milestones!$AA$47)&gt;=$S49),$V49,IF(AND($R49&lt;&gt;"",EDATE($D49,Milestones!$AA$47)&gt;=$R49),$U49,$T49)))=Milestones!$AB$47),TEXT(EDATE($D49,Milestones!$AA$47),"dd/mm/yy")&amp;" "&amp;Milestones!$AB$47&amp;" "&amp;Milestones!$AC$47&amp;";  ","")&amp;IF(AND(EDATE($D49,Milestones!$AA$48)&lt;=AsOfDate,IF($Q49=0,$W49,IF(AND($S49&lt;&gt;"",EDATE($D49,Milestones!$AA$48)&gt;=$S49),$V49,IF(AND($R49&lt;&gt;"",EDATE($D49,Milestones!$AA$48)&gt;=$R49),$U49,$T49)))=Milestones!$AB$48),TEXT(EDATE($D49,Milestones!$AA$48),"dd/mm/yy")&amp;" "&amp;Milestones!$AB$48&amp;" "&amp;Milestones!$AC$48&amp;";  ","")&amp;IF(AND(EDATE($D49,Milestones!$AA$49)&lt;=AsOfDate,IF($Q49=0,$W49,IF(AND($S49&lt;&gt;"",EDATE($D49,Milestones!$AA$49)&gt;=$S49),$V49,IF(AND($R49&lt;&gt;"",EDATE($D49,Milestones!$AA$49)&gt;=$R49),$U49,$T49)))=Milestones!$AB$49),TEXT(EDATE($D49,Milestones!$AA$49),"dd/mm/yy")&amp;" "&amp;Milestones!$AB$49&amp;" "&amp;Milestones!$AC$49&amp;";  ","")&amp;IF(AND(EDATE($D49,Milestones!$AA$50)&lt;=AsOfDate,IF($Q49=0,$W49,IF(AND($S49&lt;&gt;"",EDATE($D49,Milestones!$AA$50)&gt;=$S49),$V49,IF(AND($R49&lt;&gt;"",EDATE($D49,Milestones!$AA$50)&gt;=$R49),$U49,$T49)))=Milestones!$AB$50),TEXT(EDATE($D49,Milestones!$AA$50),"dd/mm/yy")&amp;" "&amp;Milestones!$AB$50&amp;" "&amp;Milestones!$AC$50&amp;";  ","")&amp;IF(AND(EDATE($D49,Milestones!$AA$51)&lt;=AsOfDate,IF($Q49=0,$W49,IF(AND($S49&lt;&gt;"",EDATE($D49,Milestones!$AA$51)&gt;=$S49),$V49,IF(AND($R49&lt;&gt;"",EDATE($D49,Milestones!$AA$51)&gt;=$R49),$U49,$T49)))=Milestones!$AB$51),TEXT(EDATE($D49,Milestones!$AA$51),"dd/mm/yy")&amp;" "&amp;Milestones!$AB$51&amp;" "&amp;Milestones!$AC$51&amp;";  ","")&amp;IF(AND(EDATE($D49,Milestones!$AA$52)&lt;=AsOfDate,IF($Q49=0,$W49,IF(AND($S49&lt;&gt;"",EDATE($D49,Milestones!$AA$52)&gt;=$S49),$V49,IF(AND($R49&lt;&gt;"",EDATE($D49,Milestones!$AA$52)&gt;=$R49),$U49,$T49)))=Milestones!$AB$52),TEXT(EDATE($D49,Milestones!$AA$52),"dd/mm/yy")&amp;" "&amp;Milestones!$AB$52&amp;" "&amp;Milestones!$AC$52&amp;";  ","")&amp;IF(AND(EDATE($D49,Milestones!$AA$53)&lt;=AsOfDate,IF($Q49=0,$W49,IF(AND($S49&lt;&gt;"",EDATE($D49,Milestones!$AA$53)&gt;=$S49),$V49,IF(AND($R49&lt;&gt;"",EDATE($D49,Milestones!$AA$53)&gt;=$R49),$U49,$T49)))=Milestones!$AB$53),TEXT(EDATE($D49,Milestones!$AA$53),"dd/mm/yy")&amp;" "&amp;Milestones!$AB$53&amp;" "&amp;Milestones!$AC$53&amp;";  ","")&amp;IF(AND(EDATE($D49,Milestones!$AA$54)&lt;=AsOfDate,IF($Q49=0,$W49,IF(AND($S49&lt;&gt;"",EDATE($D49,Milestones!$AA$54)&gt;=$S49),$V49,IF(AND($R49&lt;&gt;"",EDATE($D49,Milestones!$AA$54)&gt;=$R49),$U49,$T49)))=Milestones!$AB$54),TEXT(EDATE($D49,Milestones!$AA$54),"dd/mm/yy")&amp;" "&amp;Milestones!$AB$54&amp;" "&amp;Milestones!$AC$54&amp;";  ","")&amp;IF(AND(EDATE($D49,Milestones!$AA$55)&lt;=AsOfDate,IF($Q49=0,$W49,IF(AND($S49&lt;&gt;"",EDATE($D49,Milestones!$AA$55)&gt;=$S49),$V49,IF(AND($R49&lt;&gt;"",EDATE($D49,Milestones!$AA$55)&gt;=$R49),$U49,$T49)))=Milestones!$AB$55),TEXT(EDATE($D49,Milestones!$AA$55),"dd/mm/yy")&amp;" "&amp;Milestones!$AB$55&amp;" "&amp;Milestones!$AC$55&amp;";  ","")&amp;IF(AND(EDATE($D49,Milestones!$AA$56)&lt;=AsOfDate,IF($Q49=0,$W49,IF(AND($S49&lt;&gt;"",EDATE($D49,Milestones!$AA$56)&gt;=$S49),$V49,IF(AND($R49&lt;&gt;"",EDATE($D49,Milestones!$AA$56)&gt;=$R49),$U49,$T49)))=Milestones!$AB$56),TEXT(EDATE($D49,Milestones!$AA$56),"dd/mm/yy")&amp;" "&amp;Milestones!$AB$56&amp;" "&amp;Milestones!$AC$56&amp;";  ","")&amp;IF(AND(EDATE($D49,Milestones!$AA$57)&lt;=AsOfDate,IF($Q49=0,$W49,IF(AND($S49&lt;&gt;"",EDATE($D49,Milestones!$AA$57)&gt;=$S49),$V49,IF(AND($R49&lt;&gt;"",EDATE($D49,Milestones!$AA$57)&gt;=$R49),$U49,$T49)))=Milestones!$AB$57),TEXT(EDATE($D49,Milestones!$AA$57),"dd/mm/yy")&amp;" "&amp;Milestones!$AB$57&amp;" "&amp;Milestones!$AC$57&amp;";  ","")&amp;IF(AND(EDATE($D49,Milestones!$AA$58)&lt;=AsOfDate,IF($Q49=0,$W49,IF(AND($S49&lt;&gt;"",EDATE($D49,Milestones!$AA$58)&gt;=$S49),$V49,IF(AND($R49&lt;&gt;"",EDATE($D49,Milestones!$AA$58)&gt;=$R49),$U49,$T49)))=Milestones!$AB$58),TEXT(EDATE($D49,Milestones!$AA$58),"dd/mm/yy")&amp;" "&amp;Milestones!$AB$58&amp;" "&amp;Milestones!$AC$58&amp;";  ","")&amp;IF(AND(EDATE($D49,Milestones!$AA$59)&lt;=AsOfDate,IF($Q49=0,$W49,IF(AND($S49&lt;&gt;"",EDATE($D49,Milestones!$AA$59)&gt;=$S49),$V49,IF(AND($R49&lt;&gt;"",EDATE($D49,Milestones!$AA$59)&gt;=$R49),$U49,$T49)))=Milestones!$AB$59),TEXT(EDATE($D49,Milestones!$AA$59),"dd/mm/yy")&amp;" "&amp;Milestones!$AB$59&amp;" "&amp;Milestones!$AC$59&amp;";  ",""))</f>
        <v/>
      </c>
      <c r="J49" s="0" t="str">
        <f aca="false">IF(OR($A49="",$D49=""),"",IF(AND(EDATE($D49,Milestones!$AA$60)&lt;=AsOfDate,IF($Q49=0,$W49,IF(AND($S49&lt;&gt;"",EDATE($D49,Milestones!$AA$60)&gt;=$S49),$V49,IF(AND($R49&lt;&gt;"",EDATE($D49,Milestones!$AA$60)&gt;=$R49),$U49,$T49)))=Milestones!$AB$60),TEXT(EDATE($D49,Milestones!$AA$60),"dd/mm/yy")&amp;" "&amp;Milestones!$AB$60&amp;" "&amp;Milestones!$AC$60&amp;";  ","")&amp;IF(AND(EDATE($D49,Milestones!$AA$61)&lt;=AsOfDate,IF($Q49=0,$W49,IF(AND($S49&lt;&gt;"",EDATE($D49,Milestones!$AA$61)&gt;=$S49),$V49,IF(AND($R49&lt;&gt;"",EDATE($D49,Milestones!$AA$61)&gt;=$R49),$U49,$T49)))=Milestones!$AB$61),TEXT(EDATE($D49,Milestones!$AA$61),"dd/mm/yy")&amp;" "&amp;Milestones!$AB$61&amp;" "&amp;Milestones!$AC$61&amp;";  ","")&amp;IF(AND(EDATE($D49,Milestones!$AA$62)&lt;=AsOfDate,IF($Q49=0,$W49,IF(AND($S49&lt;&gt;"",EDATE($D49,Milestones!$AA$62)&gt;=$S49),$V49,IF(AND($R49&lt;&gt;"",EDATE($D49,Milestones!$AA$62)&gt;=$R49),$U49,$T49)))=Milestones!$AB$62),TEXT(EDATE($D49,Milestones!$AA$62),"dd/mm/yy")&amp;" "&amp;Milestones!$AB$62&amp;" "&amp;Milestones!$AC$62&amp;";  ","")&amp;IF(AND(EDATE($D49,Milestones!$AA$63)&lt;=AsOfDate,IF($Q49=0,$W49,IF(AND($S49&lt;&gt;"",EDATE($D49,Milestones!$AA$63)&gt;=$S49),$V49,IF(AND($R49&lt;&gt;"",EDATE($D49,Milestones!$AA$63)&gt;=$R49),$U49,$T49)))=Milestones!$AB$63),TEXT(EDATE($D49,Milestones!$AA$63),"dd/mm/yy")&amp;" "&amp;Milestones!$AB$63&amp;" "&amp;Milestones!$AC$63&amp;";  ","")&amp;IF(AND(EDATE($D49,Milestones!$AA$64)&lt;=AsOfDate,IF($Q49=0,$W49,IF(AND($S49&lt;&gt;"",EDATE($D49,Milestones!$AA$64)&gt;=$S49),$V49,IF(AND($R49&lt;&gt;"",EDATE($D49,Milestones!$AA$64)&gt;=$R49),$U49,$T49)))=Milestones!$AB$64),TEXT(EDATE($D49,Milestones!$AA$64),"dd/mm/yy")&amp;" "&amp;Milestones!$AB$64&amp;" "&amp;Milestones!$AC$64&amp;";  ","")&amp;IF(AND(EDATE($D49,Milestones!$AA$65)&lt;=AsOfDate,IF($Q49=0,$W49,IF(AND($S49&lt;&gt;"",EDATE($D49,Milestones!$AA$65)&gt;=$S49),$V49,IF(AND($R49&lt;&gt;"",EDATE($D49,Milestones!$AA$65)&gt;=$R49),$U49,$T49)))=Milestones!$AB$65),TEXT(EDATE($D49,Milestones!$AA$65),"dd/mm/yy")&amp;" "&amp;Milestones!$AB$65&amp;" "&amp;Milestones!$AC$65&amp;";  ","")&amp;IF(AND(EDATE($D49,Milestones!$AA$66)&lt;=AsOfDate,IF($Q49=0,$W49,IF(AND($S49&lt;&gt;"",EDATE($D49,Milestones!$AA$66)&gt;=$S49),$V49,IF(AND($R49&lt;&gt;"",EDATE($D49,Milestones!$AA$66)&gt;=$R49),$U49,$T49)))=Milestones!$AB$66),TEXT(EDATE($D49,Milestones!$AA$66),"dd/mm/yy")&amp;" "&amp;Milestones!$AB$66&amp;" "&amp;Milestones!$AC$66&amp;";  ","")&amp;IF(AND(EDATE($D49,Milestones!$AA$67)&lt;=AsOfDate,IF($Q49=0,$W49,IF(AND($S49&lt;&gt;"",EDATE($D49,Milestones!$AA$67)&gt;=$S49),$V49,IF(AND($R49&lt;&gt;"",EDATE($D49,Milestones!$AA$67)&gt;=$R49),$U49,$T49)))=Milestones!$AB$67),TEXT(EDATE($D49,Milestones!$AA$67),"dd/mm/yy")&amp;" "&amp;Milestones!$AB$67&amp;" "&amp;Milestones!$AC$67&amp;";  ","")&amp;IF(AND(EDATE($D49,Milestones!$AA$68)&lt;=AsOfDate,IF($Q49=0,$W49,IF(AND($S49&lt;&gt;"",EDATE($D49,Milestones!$AA$68)&gt;=$S49),$V49,IF(AND($R49&lt;&gt;"",EDATE($D49,Milestones!$AA$68)&gt;=$R49),$U49,$T49)))=Milestones!$AB$68),TEXT(EDATE($D49,Milestones!$AA$68),"dd/mm/yy")&amp;" "&amp;Milestones!$AB$68&amp;" "&amp;Milestones!$AC$68&amp;";  ","")&amp;IF(AND(EDATE($D49,Milestones!$AA$69)&lt;=AsOfDate,IF($Q49=0,$W49,IF(AND($S49&lt;&gt;"",EDATE($D49,Milestones!$AA$69)&gt;=$S49),$V49,IF(AND($R49&lt;&gt;"",EDATE($D49,Milestones!$AA$69)&gt;=$R49),$U49,$T49)))=Milestones!$AB$69),TEXT(EDATE($D49,Milestones!$AA$69),"dd/mm/yy")&amp;" "&amp;Milestones!$AB$69&amp;" "&amp;Milestones!$AC$69&amp;";  ","")&amp;IF(AND(EDATE($D49,Milestones!$AA$70)&lt;=AsOfDate,IF($Q49=0,$W49,IF(AND($S49&lt;&gt;"",EDATE($D49,Milestones!$AA$70)&gt;=$S49),$V49,IF(AND($R49&lt;&gt;"",EDATE($D49,Milestones!$AA$70)&gt;=$R49),$U49,$T49)))=Milestones!$AB$70),TEXT(EDATE($D49,Milestones!$AA$70),"dd/mm/yy")&amp;" "&amp;Milestones!$AB$70&amp;" "&amp;Milestones!$AC$70&amp;";  ","")&amp;IF(AND(EDATE($D49,Milestones!$AA$71)&lt;=AsOfDate,IF($Q49=0,$W49,IF(AND($S49&lt;&gt;"",EDATE($D49,Milestones!$AA$71)&gt;=$S49),$V49,IF(AND($R49&lt;&gt;"",EDATE($D49,Milestones!$AA$71)&gt;=$R49),$U49,$T49)))=Milestones!$AB$71),TEXT(EDATE($D49,Milestones!$AA$71),"dd/mm/yy")&amp;" "&amp;Milestones!$AB$71&amp;" "&amp;Milestones!$AC$71&amp;";  ","")&amp;IF(AND(EDATE($D49,Milestones!$AA$72)&lt;=AsOfDate,IF($Q49=0,$W49,IF(AND($S49&lt;&gt;"",EDATE($D49,Milestones!$AA$72)&gt;=$S49),$V49,IF(AND($R49&lt;&gt;"",EDATE($D49,Milestones!$AA$72)&gt;=$R49),$U49,$T49)))=Milestones!$AB$72),TEXT(EDATE($D49,Milestones!$AA$72),"dd/mm/yy")&amp;" "&amp;Milestones!$AB$72&amp;" "&amp;Milestones!$AC$72&amp;";  ","")&amp;IF(AND(EDATE($D49,Milestones!$AA$73)&lt;=AsOfDate,IF($Q49=0,$W49,IF(AND($S49&lt;&gt;"",EDATE($D49,Milestones!$AA$73)&gt;=$S49),$V49,IF(AND($R49&lt;&gt;"",EDATE($D49,Milestones!$AA$73)&gt;=$R49),$U49,$T49)))=Milestones!$AB$73),TEXT(EDATE($D49,Milestones!$AA$73),"dd/mm/yy")&amp;" "&amp;Milestones!$AB$73&amp;" "&amp;Milestones!$AC$73&amp;";  ","")&amp;IF(AND(EDATE($D49,Milestones!$AA$74)&lt;=AsOfDate,IF($Q49=0,$W49,IF(AND($S49&lt;&gt;"",EDATE($D49,Milestones!$AA$74)&gt;=$S49),$V49,IF(AND($R49&lt;&gt;"",EDATE($D49,Milestones!$AA$74)&gt;=$R49),$U49,$T49)))=Milestones!$AB$74),TEXT(EDATE($D49,Milestones!$AA$74),"dd/mm/yy")&amp;" "&amp;Milestones!$AB$74&amp;" "&amp;Milestones!$AC$74&amp;";  ","")&amp;IF(AND(EDATE($D49,Milestones!$AA$75)&lt;=AsOfDate,IF($Q49=0,$W49,IF(AND($S49&lt;&gt;"",EDATE($D49,Milestones!$AA$75)&gt;=$S49),$V49,IF(AND($R49&lt;&gt;"",EDATE($D49,Milestones!$AA$75)&gt;=$R49),$U49,$T49)))=Milestones!$AB$75),TEXT(EDATE($D49,Milestones!$AA$75),"dd/mm/yy")&amp;" "&amp;Milestones!$AB$75&amp;" "&amp;Milestones!$AC$75&amp;";  ","")&amp;IF(AND(EDATE($D49,Milestones!$AA$76)&lt;=AsOfDate,IF($Q49=0,$W49,IF(AND($S49&lt;&gt;"",EDATE($D49,Milestones!$AA$76)&gt;=$S49),$V49,IF(AND($R49&lt;&gt;"",EDATE($D49,Milestones!$AA$76)&gt;=$R49),$U49,$T49)))=Milestones!$AB$76),TEXT(EDATE($D49,Milestones!$AA$76),"dd/mm/yy")&amp;" "&amp;Milestones!$AB$76&amp;" "&amp;Milestones!$AC$76&amp;";  ","")&amp;IF(AND(EDATE($D49,Milestones!$AA$77)&lt;=AsOfDate,IF($Q49=0,$W49,IF(AND($S49&lt;&gt;"",EDATE($D49,Milestones!$AA$77)&gt;=$S49),$V49,IF(AND($R49&lt;&gt;"",EDATE($D49,Milestones!$AA$77)&gt;=$R49),$U49,$T49)))=Milestones!$AB$77),TEXT(EDATE($D49,Milestones!$AA$77),"dd/mm/yy")&amp;" "&amp;Milestones!$AB$77&amp;" "&amp;Milestones!$AC$77&amp;";  ","")&amp;IF(AND(EDATE($D49,Milestones!$AA$78)&lt;=AsOfDate,IF($Q49=0,$W49,IF(AND($S49&lt;&gt;"",EDATE($D49,Milestones!$AA$78)&gt;=$S49),$V49,IF(AND($R49&lt;&gt;"",EDATE($D49,Milestones!$AA$78)&gt;=$R49),$U49,$T49)))=Milestones!$AB$78),TEXT(EDATE($D49,Milestones!$AA$78),"dd/mm/yy")&amp;" "&amp;Milestones!$AB$78&amp;" "&amp;Milestones!$AC$78&amp;";  ","")&amp;IF(AND(EDATE($D49,Milestones!$AA$79)&lt;=AsOfDate,IF($Q49=0,$W49,IF(AND($S49&lt;&gt;"",EDATE($D49,Milestones!$AA$79)&gt;=$S49),$V49,IF(AND($R49&lt;&gt;"",EDATE($D49,Milestones!$AA$79)&gt;=$R49),$U49,$T49)))=Milestones!$AB$79),TEXT(EDATE($D49,Milestones!$AA$79),"dd/mm/yy")&amp;" "&amp;Milestones!$AB$79&amp;" "&amp;Milestones!$AC$79&amp;";  ",""))</f>
        <v/>
      </c>
      <c r="K49" s="0" t="str">
        <f aca="false">IF(OR($A49="",$D49=""),"",IF(AND(EDATE($D49,Milestones!$AA$80)&lt;=AsOfDate,IF($Q49=0,$W49,IF(AND($S49&lt;&gt;"",EDATE($D49,Milestones!$AA$80)&gt;=$S49),$V49,IF(AND($R49&lt;&gt;"",EDATE($D49,Milestones!$AA$80)&gt;=$R49),$U49,$T49)))=Milestones!$AB$80),TEXT(EDATE($D49,Milestones!$AA$80),"dd/mm/yy")&amp;" "&amp;Milestones!$AB$80&amp;" "&amp;Milestones!$AC$80&amp;";  ","")&amp;IF(AND(EDATE($D49,Milestones!$AA$81)&lt;=AsOfDate,IF($Q49=0,$W49,IF(AND($S49&lt;&gt;"",EDATE($D49,Milestones!$AA$81)&gt;=$S49),$V49,IF(AND($R49&lt;&gt;"",EDATE($D49,Milestones!$AA$81)&gt;=$R49),$U49,$T49)))=Milestones!$AB$81),TEXT(EDATE($D49,Milestones!$AA$81),"dd/mm/yy")&amp;" "&amp;Milestones!$AB$81&amp;" "&amp;Milestones!$AC$81&amp;";  ","")&amp;IF(AND(EDATE($D49,Milestones!$AA$82)&lt;=AsOfDate,IF($Q49=0,$W49,IF(AND($S49&lt;&gt;"",EDATE($D49,Milestones!$AA$82)&gt;=$S49),$V49,IF(AND($R49&lt;&gt;"",EDATE($D49,Milestones!$AA$82)&gt;=$R49),$U49,$T49)))=Milestones!$AB$82),TEXT(EDATE($D49,Milestones!$AA$82),"dd/mm/yy")&amp;" "&amp;Milestones!$AB$82&amp;" "&amp;Milestones!$AC$82&amp;";  ","")&amp;IF(AND(EDATE($D49,Milestones!$AA$83)&lt;=AsOfDate,IF($Q49=0,$W49,IF(AND($S49&lt;&gt;"",EDATE($D49,Milestones!$AA$83)&gt;=$S49),$V49,IF(AND($R49&lt;&gt;"",EDATE($D49,Milestones!$AA$83)&gt;=$R49),$U49,$T49)))=Milestones!$AB$83),TEXT(EDATE($D49,Milestones!$AA$83),"dd/mm/yy")&amp;" "&amp;Milestones!$AB$83&amp;" "&amp;Milestones!$AC$83&amp;";  ","")&amp;IF(AND(EDATE($D49,Milestones!$AA$84)&lt;=AsOfDate,IF($Q49=0,$W49,IF(AND($S49&lt;&gt;"",EDATE($D49,Milestones!$AA$84)&gt;=$S49),$V49,IF(AND($R49&lt;&gt;"",EDATE($D49,Milestones!$AA$84)&gt;=$R49),$U49,$T49)))=Milestones!$AB$84),TEXT(EDATE($D49,Milestones!$AA$84),"dd/mm/yy")&amp;" "&amp;Milestones!$AB$84&amp;" "&amp;Milestones!$AC$84&amp;";  ","")&amp;IF(AND(EDATE($D49,Milestones!$AA$85)&lt;=AsOfDate,IF($Q49=0,$W49,IF(AND($S49&lt;&gt;"",EDATE($D49,Milestones!$AA$85)&gt;=$S49),$V49,IF(AND($R49&lt;&gt;"",EDATE($D49,Milestones!$AA$85)&gt;=$R49),$U49,$T49)))=Milestones!$AB$85),TEXT(EDATE($D49,Milestones!$AA$85),"dd/mm/yy")&amp;" "&amp;Milestones!$AB$85&amp;" "&amp;Milestones!$AC$85&amp;";  ","")&amp;IF(AND(EDATE($D49,Milestones!$AA$86)&lt;=AsOfDate,IF($Q49=0,$W49,IF(AND($S49&lt;&gt;"",EDATE($D49,Milestones!$AA$86)&gt;=$S49),$V49,IF(AND($R49&lt;&gt;"",EDATE($D49,Milestones!$AA$86)&gt;=$R49),$U49,$T49)))=Milestones!$AB$86),TEXT(EDATE($D49,Milestones!$AA$86),"dd/mm/yy")&amp;" "&amp;Milestones!$AB$86&amp;" "&amp;Milestones!$AC$86&amp;";  ","")&amp;IF(AND(EDATE($D49,Milestones!$AA$87)&lt;=AsOfDate,IF($Q49=0,$W49,IF(AND($S49&lt;&gt;"",EDATE($D49,Milestones!$AA$87)&gt;=$S49),$V49,IF(AND($R49&lt;&gt;"",EDATE($D49,Milestones!$AA$87)&gt;=$R49),$U49,$T49)))=Milestones!$AB$87),TEXT(EDATE($D49,Milestones!$AA$87),"dd/mm/yy")&amp;" "&amp;Milestones!$AB$87&amp;" "&amp;Milestones!$AC$87&amp;";  ","")&amp;IF(AND(EDATE($D49,Milestones!$AA$88)&lt;=AsOfDate,IF($Q49=0,$W49,IF(AND($S49&lt;&gt;"",EDATE($D49,Milestones!$AA$88)&gt;=$S49),$V49,IF(AND($R49&lt;&gt;"",EDATE($D49,Milestones!$AA$88)&gt;=$R49),$U49,$T49)))=Milestones!$AB$88),TEXT(EDATE($D49,Milestones!$AA$88),"dd/mm/yy")&amp;" "&amp;Milestones!$AB$88&amp;" "&amp;Milestones!$AC$88&amp;";  ","")&amp;IF(AND(EDATE($D49,Milestones!$AA$89)&lt;=AsOfDate,IF($Q49=0,$W49,IF(AND($S49&lt;&gt;"",EDATE($D49,Milestones!$AA$89)&gt;=$S49),$V49,IF(AND($R49&lt;&gt;"",EDATE($D49,Milestones!$AA$89)&gt;=$R49),$U49,$T49)))=Milestones!$AB$89),TEXT(EDATE($D49,Milestones!$AA$89),"dd/mm/yy")&amp;" "&amp;Milestones!$AB$89&amp;" "&amp;Milestones!$AC$89&amp;";  ","")&amp;IF(AND(EDATE($D49,Milestones!$AA$90)&lt;=AsOfDate,IF($Q49=0,$W49,IF(AND($S49&lt;&gt;"",EDATE($D49,Milestones!$AA$90)&gt;=$S49),$V49,IF(AND($R49&lt;&gt;"",EDATE($D49,Milestones!$AA$90)&gt;=$R49),$U49,$T49)))=Milestones!$AB$90),TEXT(EDATE($D49,Milestones!$AA$90),"dd/mm/yy")&amp;" "&amp;Milestones!$AB$90&amp;" "&amp;Milestones!$AC$90&amp;";  ","")&amp;IF(AND(EDATE($D49,Milestones!$AA$91)&lt;=AsOfDate,IF($Q49=0,$W49,IF(AND($S49&lt;&gt;"",EDATE($D49,Milestones!$AA$91)&gt;=$S49),$V49,IF(AND($R49&lt;&gt;"",EDATE($D49,Milestones!$AA$91)&gt;=$R49),$U49,$T49)))=Milestones!$AB$91),TEXT(EDATE($D49,Milestones!$AA$91),"dd/mm/yy")&amp;" "&amp;Milestones!$AB$91&amp;" "&amp;Milestones!$AC$91&amp;";  ","")&amp;IF(AND(EDATE($D49,Milestones!$AA$92)&lt;=AsOfDate,IF($Q49=0,$W49,IF(AND($S49&lt;&gt;"",EDATE($D49,Milestones!$AA$92)&gt;=$S49),$V49,IF(AND($R49&lt;&gt;"",EDATE($D49,Milestones!$AA$92)&gt;=$R49),$U49,$T49)))=Milestones!$AB$92),TEXT(EDATE($D49,Milestones!$AA$92),"dd/mm/yy")&amp;" "&amp;Milestones!$AB$92&amp;" "&amp;Milestones!$AC$92&amp;";  ","")&amp;IF(AND(EDATE($D49,Milestones!$AA$93)&lt;=AsOfDate,IF($Q49=0,$W49,IF(AND($S49&lt;&gt;"",EDATE($D49,Milestones!$AA$93)&gt;=$S49),$V49,IF(AND($R49&lt;&gt;"",EDATE($D49,Milestones!$AA$93)&gt;=$R49),$U49,$T49)))=Milestones!$AB$93),TEXT(EDATE($D49,Milestones!$AA$93),"dd/mm/yy")&amp;" "&amp;Milestones!$AB$93&amp;" "&amp;Milestones!$AC$93&amp;";  ","")&amp;IF(AND(EDATE($D49,Milestones!$AA$94)&lt;=AsOfDate,IF($Q49=0,$W49,IF(AND($S49&lt;&gt;"",EDATE($D49,Milestones!$AA$94)&gt;=$S49),$V49,IF(AND($R49&lt;&gt;"",EDATE($D49,Milestones!$AA$94)&gt;=$R49),$U49,$T49)))=Milestones!$AB$94),TEXT(EDATE($D49,Milestones!$AA$94),"dd/mm/yy")&amp;" "&amp;Milestones!$AB$94&amp;" "&amp;Milestones!$AC$94&amp;";  ","")&amp;IF(AND(EDATE($D49,Milestones!$AA$95)&lt;=AsOfDate,IF($Q49=0,$W49,IF(AND($S49&lt;&gt;"",EDATE($D49,Milestones!$AA$95)&gt;=$S49),$V49,IF(AND($R49&lt;&gt;"",EDATE($D49,Milestones!$AA$95)&gt;=$R49),$U49,$T49)))=Milestones!$AB$95),TEXT(EDATE($D49,Milestones!$AA$95),"dd/mm/yy")&amp;" "&amp;Milestones!$AB$95&amp;" "&amp;Milestones!$AC$95&amp;";  ","")&amp;IF(AND(EDATE($D49,Milestones!$AA$96)&lt;=AsOfDate,IF($Q49=0,$W49,IF(AND($S49&lt;&gt;"",EDATE($D49,Milestones!$AA$96)&gt;=$S49),$V49,IF(AND($R49&lt;&gt;"",EDATE($D49,Milestones!$AA$96)&gt;=$R49),$U49,$T49)))=Milestones!$AB$96),TEXT(EDATE($D49,Milestones!$AA$96),"dd/mm/yy")&amp;" "&amp;Milestones!$AB$96&amp;" "&amp;Milestones!$AC$96&amp;";  ","")&amp;IF(AND(EDATE($D49,Milestones!$AA$97)&lt;=AsOfDate,IF($Q49=0,$W49,IF(AND($S49&lt;&gt;"",EDATE($D49,Milestones!$AA$97)&gt;=$S49),$V49,IF(AND($R49&lt;&gt;"",EDATE($D49,Milestones!$AA$97)&gt;=$R49),$U49,$T49)))=Milestones!$AB$97),TEXT(EDATE($D49,Milestones!$AA$97),"dd/mm/yy")&amp;" "&amp;Milestones!$AB$97&amp;" "&amp;Milestones!$AC$97&amp;";  ","")&amp;IF(AND(EDATE($D49,Milestones!$AA$98)&lt;=AsOfDate,IF($Q49=0,$W49,IF(AND($S49&lt;&gt;"",EDATE($D49,Milestones!$AA$98)&gt;=$S49),$V49,IF(AND($R49&lt;&gt;"",EDATE($D49,Milestones!$AA$98)&gt;=$R49),$U49,$T49)))=Milestones!$AB$98),TEXT(EDATE($D49,Milestones!$AA$98),"dd/mm/yy")&amp;" "&amp;Milestones!$AB$98&amp;" "&amp;Milestones!$AC$98&amp;";  ","")&amp;IF(AND(EDATE($D49,Milestones!$AA$99)&lt;=AsOfDate,IF($Q49=0,$W49,IF(AND($S49&lt;&gt;"",EDATE($D49,Milestones!$AA$99)&gt;=$S49),$V49,IF(AND($R49&lt;&gt;"",EDATE($D49,Milestones!$AA$99)&gt;=$R49),$U49,$T49)))=Milestones!$AB$99),TEXT(EDATE($D49,Milestones!$AA$99),"dd/mm/yy")&amp;" "&amp;Milestones!$AB$99&amp;" "&amp;Milestones!$AC$99&amp;";  ",""))</f>
        <v/>
      </c>
      <c r="L49" s="0" t="str">
        <f aca="false">IF(OR($A49="",$D49=""),"",IF(AND(EDATE($D49,Milestones!$AA$100)&lt;=AsOfDate,IF($Q49=0,$W49,IF(AND($S49&lt;&gt;"",EDATE($D49,Milestones!$AA$100)&gt;=$S49),$V49,IF(AND($R49&lt;&gt;"",EDATE($D49,Milestones!$AA$100)&gt;=$R49),$U49,$T49)))=Milestones!$AB$100),TEXT(EDATE($D49,Milestones!$AA$100),"dd/mm/yy")&amp;" "&amp;Milestones!$AB$100&amp;" "&amp;Milestones!$AC$100&amp;";  ","")&amp;IF(AND(EDATE($D49,Milestones!$AA$101)&lt;=AsOfDate,IF($Q49=0,$W49,IF(AND($S49&lt;&gt;"",EDATE($D49,Milestones!$AA$101)&gt;=$S49),$V49,IF(AND($R49&lt;&gt;"",EDATE($D49,Milestones!$AA$101)&gt;=$R49),$U49,$T49)))=Milestones!$AB$101),TEXT(EDATE($D49,Milestones!$AA$101),"dd/mm/yy")&amp;" "&amp;Milestones!$AB$101&amp;" "&amp;Milestones!$AC$101&amp;";  ","")&amp;IF(AND(EDATE($D49,Milestones!$AA$102)&lt;=AsOfDate,IF($Q49=0,$W49,IF(AND($S49&lt;&gt;"",EDATE($D49,Milestones!$AA$102)&gt;=$S49),$V49,IF(AND($R49&lt;&gt;"",EDATE($D49,Milestones!$AA$102)&gt;=$R49),$U49,$T49)))=Milestones!$AB$102),TEXT(EDATE($D49,Milestones!$AA$102),"dd/mm/yy")&amp;" "&amp;Milestones!$AB$102&amp;" "&amp;Milestones!$AC$102&amp;";  ","")&amp;IF(AND(EDATE($D49,Milestones!$AA$103)&lt;=AsOfDate,IF($Q49=0,$W49,IF(AND($S49&lt;&gt;"",EDATE($D49,Milestones!$AA$103)&gt;=$S49),$V49,IF(AND($R49&lt;&gt;"",EDATE($D49,Milestones!$AA$103)&gt;=$R49),$U49,$T49)))=Milestones!$AB$103),TEXT(EDATE($D49,Milestones!$AA$103),"dd/mm/yy")&amp;" "&amp;Milestones!$AB$103&amp;" "&amp;Milestones!$AC$103&amp;";  ","")&amp;IF(AND(EDATE($D49,Milestones!$AA$104)&lt;=AsOfDate,IF($Q49=0,$W49,IF(AND($S49&lt;&gt;"",EDATE($D49,Milestones!$AA$104)&gt;=$S49),$V49,IF(AND($R49&lt;&gt;"",EDATE($D49,Milestones!$AA$104)&gt;=$R49),$U49,$T49)))=Milestones!$AB$104),TEXT(EDATE($D49,Milestones!$AA$104),"dd/mm/yy")&amp;" "&amp;Milestones!$AB$104&amp;" "&amp;Milestones!$AC$104&amp;";  ","")&amp;IF(AND(EDATE($D49,Milestones!$AA$105)&lt;=AsOfDate,IF($Q49=0,$W49,IF(AND($S49&lt;&gt;"",EDATE($D49,Milestones!$AA$105)&gt;=$S49),$V49,IF(AND($R49&lt;&gt;"",EDATE($D49,Milestones!$AA$105)&gt;=$R49),$U49,$T49)))=Milestones!$AB$105),TEXT(EDATE($D49,Milestones!$AA$105),"dd/mm/yy")&amp;" "&amp;Milestones!$AB$105&amp;" "&amp;Milestones!$AC$105&amp;";  ","")&amp;IF(AND(EDATE($D49,Milestones!$AA$106)&lt;=AsOfDate,IF($Q49=0,$W49,IF(AND($S49&lt;&gt;"",EDATE($D49,Milestones!$AA$106)&gt;=$S49),$V49,IF(AND($R49&lt;&gt;"",EDATE($D49,Milestones!$AA$106)&gt;=$R49),$U49,$T49)))=Milestones!$AB$106),TEXT(EDATE($D49,Milestones!$AA$106),"dd/mm/yy")&amp;" "&amp;Milestones!$AB$106&amp;" "&amp;Milestones!$AC$106&amp;";  ","")&amp;IF(AND(EDATE($D49,Milestones!$AA$107)&lt;=AsOfDate,IF($Q49=0,$W49,IF(AND($S49&lt;&gt;"",EDATE($D49,Milestones!$AA$107)&gt;=$S49),$V49,IF(AND($R49&lt;&gt;"",EDATE($D49,Milestones!$AA$107)&gt;=$R49),$U49,$T49)))=Milestones!$AB$107),TEXT(EDATE($D49,Milestones!$AA$107),"dd/mm/yy")&amp;" "&amp;Milestones!$AB$107&amp;" "&amp;Milestones!$AC$107&amp;";  ","")&amp;IF(AND(EDATE($D49,Milestones!$AA$108)&lt;=AsOfDate,IF($Q49=0,$W49,IF(AND($S49&lt;&gt;"",EDATE($D49,Milestones!$AA$108)&gt;=$S49),$V49,IF(AND($R49&lt;&gt;"",EDATE($D49,Milestones!$AA$108)&gt;=$R49),$U49,$T49)))=Milestones!$AB$108),TEXT(EDATE($D49,Milestones!$AA$108),"dd/mm/yy")&amp;" "&amp;Milestones!$AB$108&amp;" "&amp;Milestones!$AC$108&amp;";  ","")&amp;IF(AND(EDATE($D49,Milestones!$AA$109)&lt;=AsOfDate,IF($Q49=0,$W49,IF(AND($S49&lt;&gt;"",EDATE($D49,Milestones!$AA$109)&gt;=$S49),$V49,IF(AND($R49&lt;&gt;"",EDATE($D49,Milestones!$AA$109)&gt;=$R49),$U49,$T49)))=Milestones!$AB$109),TEXT(EDATE($D49,Milestones!$AA$109),"dd/mm/yy")&amp;" "&amp;Milestones!$AB$109&amp;" "&amp;Milestones!$AC$109&amp;";  ","")&amp;IF(AND(EDATE($D49,Milestones!$AA$110)&lt;=AsOfDate,IF($Q49=0,$W49,IF(AND($S49&lt;&gt;"",EDATE($D49,Milestones!$AA$110)&gt;=$S49),$V49,IF(AND($R49&lt;&gt;"",EDATE($D49,Milestones!$AA$110)&gt;=$R49),$U49,$T49)))=Milestones!$AB$110),TEXT(EDATE($D49,Milestones!$AA$110),"dd/mm/yy")&amp;" "&amp;Milestones!$AB$110&amp;" "&amp;Milestones!$AC$110&amp;";  ","")&amp;IF(AND(EDATE($D49,Milestones!$AA$111)&lt;=AsOfDate,IF($Q49=0,$W49,IF(AND($S49&lt;&gt;"",EDATE($D49,Milestones!$AA$111)&gt;=$S49),$V49,IF(AND($R49&lt;&gt;"",EDATE($D49,Milestones!$AA$111)&gt;=$R49),$U49,$T49)))=Milestones!$AB$111),TEXT(EDATE($D49,Milestones!$AA$111),"dd/mm/yy")&amp;" "&amp;Milestones!$AB$111&amp;" "&amp;Milestones!$AC$111&amp;";  ","")&amp;IF(AND(EDATE($D49,Milestones!$AA$112)&lt;=AsOfDate,IF($Q49=0,$W49,IF(AND($S49&lt;&gt;"",EDATE($D49,Milestones!$AA$112)&gt;=$S49),$V49,IF(AND($R49&lt;&gt;"",EDATE($D49,Milestones!$AA$112)&gt;=$R49),$U49,$T49)))=Milestones!$AB$112),TEXT(EDATE($D49,Milestones!$AA$112),"dd/mm/yy")&amp;" "&amp;Milestones!$AB$112&amp;" "&amp;Milestones!$AC$112&amp;";  ","")&amp;IF(AND(EDATE($D49,Milestones!$AA$113)&lt;=AsOfDate,IF($Q49=0,$W49,IF(AND($S49&lt;&gt;"",EDATE($D49,Milestones!$AA$113)&gt;=$S49),$V49,IF(AND($R49&lt;&gt;"",EDATE($D49,Milestones!$AA$113)&gt;=$R49),$U49,$T49)))=Milestones!$AB$113),TEXT(EDATE($D49,Milestones!$AA$113),"dd/mm/yy")&amp;" "&amp;Milestones!$AB$113&amp;" "&amp;Milestones!$AC$113&amp;";  ","")&amp;IF(AND(EDATE($D49,Milestones!$AA$114)&lt;=AsOfDate,IF($Q49=0,$W49,IF(AND($S49&lt;&gt;"",EDATE($D49,Milestones!$AA$114)&gt;=$S49),$V49,IF(AND($R49&lt;&gt;"",EDATE($D49,Milestones!$AA$114)&gt;=$R49),$U49,$T49)))=Milestones!$AB$114),TEXT(EDATE($D49,Milestones!$AA$114),"dd/mm/yy")&amp;" "&amp;Milestones!$AB$114&amp;" "&amp;Milestones!$AC$114&amp;";  ","")&amp;IF(AND(EDATE($D49,Milestones!$AA$115)&lt;=AsOfDate,IF($Q49=0,$W49,IF(AND($S49&lt;&gt;"",EDATE($D49,Milestones!$AA$115)&gt;=$S49),$V49,IF(AND($R49&lt;&gt;"",EDATE($D49,Milestones!$AA$115)&gt;=$R49),$U49,$T49)))=Milestones!$AB$115),TEXT(EDATE($D49,Milestones!$AA$115),"dd/mm/yy")&amp;" "&amp;Milestones!$AB$115&amp;" "&amp;Milestones!$AC$115&amp;";  ","")&amp;IF(AND(EDATE($D49,Milestones!$AA$116)&lt;=AsOfDate,IF($Q49=0,$W49,IF(AND($S49&lt;&gt;"",EDATE($D49,Milestones!$AA$116)&gt;=$S49),$V49,IF(AND($R49&lt;&gt;"",EDATE($D49,Milestones!$AA$116)&gt;=$R49),$U49,$T49)))=Milestones!$AB$116),TEXT(EDATE($D49,Milestones!$AA$116),"dd/mm/yy")&amp;" "&amp;Milestones!$AB$116&amp;" "&amp;Milestones!$AC$116&amp;";  ","")&amp;IF(AND(EDATE($D49,Milestones!$AA$117)&lt;=AsOfDate,IF($Q49=0,$W49,IF(AND($S49&lt;&gt;"",EDATE($D49,Milestones!$AA$117)&gt;=$S49),$V49,IF(AND($R49&lt;&gt;"",EDATE($D49,Milestones!$AA$117)&gt;=$R49),$U49,$T49)))=Milestones!$AB$117),TEXT(EDATE($D49,Milestones!$AA$117),"dd/mm/yy")&amp;" "&amp;Milestones!$AB$117&amp;" "&amp;Milestones!$AC$117&amp;";  ","")&amp;IF(AND(EDATE($D49,Milestones!$AA$118)&lt;=AsOfDate,IF($Q49=0,$W49,IF(AND($S49&lt;&gt;"",EDATE($D49,Milestones!$AA$118)&gt;=$S49),$V49,IF(AND($R49&lt;&gt;"",EDATE($D49,Milestones!$AA$118)&gt;=$R49),$U49,$T49)))=Milestones!$AB$118),TEXT(EDATE($D49,Milestones!$AA$118),"dd/mm/yy")&amp;" "&amp;Milestones!$AB$118&amp;" "&amp;Milestones!$AC$118&amp;";  ","")&amp;IF(AND(EDATE($D49,Milestones!$AA$119)&lt;=AsOfDate,IF($Q49=0,$W49,IF(AND($S49&lt;&gt;"",EDATE($D49,Milestones!$AA$119)&gt;=$S49),$V49,IF(AND($R49&lt;&gt;"",EDATE($D49,Milestones!$AA$119)&gt;=$R49),$U49,$T49)))=Milestones!$AB$119),TEXT(EDATE($D49,Milestones!$AA$119),"dd/mm/yy")&amp;" "&amp;Milestones!$AB$119&amp;" "&amp;Milestones!$AC$119&amp;";  ",""))</f>
        <v/>
      </c>
      <c r="M49" s="0" t="str">
        <f aca="false">IF(OR($A49="",$D49=""),"",IF(AND(EDATE($D49,Milestones!$AA$120)&lt;=AsOfDate,IF($Q49=0,$W49,IF(AND($S49&lt;&gt;"",EDATE($D49,Milestones!$AA$120)&gt;=$S49),$V49,IF(AND($R49&lt;&gt;"",EDATE($D49,Milestones!$AA$120)&gt;=$R49),$U49,$T49)))=Milestones!$AB$120),TEXT(EDATE($D49,Milestones!$AA$120),"dd/mm/yy")&amp;" "&amp;Milestones!$AB$120&amp;" "&amp;Milestones!$AC$120&amp;";  ","")&amp;IF(AND(EDATE($D49,Milestones!$AA$121)&lt;=AsOfDate,IF($Q49=0,$W49,IF(AND($S49&lt;&gt;"",EDATE($D49,Milestones!$AA$121)&gt;=$S49),$V49,IF(AND($R49&lt;&gt;"",EDATE($D49,Milestones!$AA$121)&gt;=$R49),$U49,$T49)))=Milestones!$AB$121),TEXT(EDATE($D49,Milestones!$AA$121),"dd/mm/yy")&amp;" "&amp;Milestones!$AB$121&amp;" "&amp;Milestones!$AC$121&amp;";  ","")&amp;IF(AND(EDATE($D49,Milestones!$AA$122)&lt;=AsOfDate,IF($Q49=0,$W49,IF(AND($S49&lt;&gt;"",EDATE($D49,Milestones!$AA$122)&gt;=$S49),$V49,IF(AND($R49&lt;&gt;"",EDATE($D49,Milestones!$AA$122)&gt;=$R49),$U49,$T49)))=Milestones!$AB$122),TEXT(EDATE($D49,Milestones!$AA$122),"dd/mm/yy")&amp;" "&amp;Milestones!$AB$122&amp;" "&amp;Milestones!$AC$122&amp;";  ","")&amp;IF(AND(EDATE($D49,Milestones!$AA$123)&lt;=AsOfDate,IF($Q49=0,$W49,IF(AND($S49&lt;&gt;"",EDATE($D49,Milestones!$AA$123)&gt;=$S49),$V49,IF(AND($R49&lt;&gt;"",EDATE($D49,Milestones!$AA$123)&gt;=$R49),$U49,$T49)))=Milestones!$AB$123),TEXT(EDATE($D49,Milestones!$AA$123),"dd/mm/yy")&amp;" "&amp;Milestones!$AB$123&amp;" "&amp;Milestones!$AC$123&amp;";  ","")&amp;IF(AND(EDATE($D49,Milestones!$AA$124)&lt;=AsOfDate,IF($Q49=0,$W49,IF(AND($S49&lt;&gt;"",EDATE($D49,Milestones!$AA$124)&gt;=$S49),$V49,IF(AND($R49&lt;&gt;"",EDATE($D49,Milestones!$AA$124)&gt;=$R49),$U49,$T49)))=Milestones!$AB$124),TEXT(EDATE($D49,Milestones!$AA$124),"dd/mm/yy")&amp;" "&amp;Milestones!$AB$124&amp;" "&amp;Milestones!$AC$124&amp;";  ","")&amp;IF(AND(EDATE($D49,Milestones!$AA$125)&lt;=AsOfDate,IF($Q49=0,$W49,IF(AND($S49&lt;&gt;"",EDATE($D49,Milestones!$AA$125)&gt;=$S49),$V49,IF(AND($R49&lt;&gt;"",EDATE($D49,Milestones!$AA$125)&gt;=$R49),$U49,$T49)))=Milestones!$AB$125),TEXT(EDATE($D49,Milestones!$AA$125),"dd/mm/yy")&amp;" "&amp;Milestones!$AB$125&amp;" "&amp;Milestones!$AC$125&amp;";  ","")&amp;IF(AND(EDATE($D49,Milestones!$AA$126)&lt;=AsOfDate,IF($Q49=0,$W49,IF(AND($S49&lt;&gt;"",EDATE($D49,Milestones!$AA$126)&gt;=$S49),$V49,IF(AND($R49&lt;&gt;"",EDATE($D49,Milestones!$AA$126)&gt;=$R49),$U49,$T49)))=Milestones!$AB$126),TEXT(EDATE($D49,Milestones!$AA$126),"dd/mm/yy")&amp;" "&amp;Milestones!$AB$126&amp;" "&amp;Milestones!$AC$126&amp;";  ","")&amp;IF(AND(EDATE($D49,Milestones!$AA$127)&lt;=AsOfDate,IF($Q49=0,$W49,IF(AND($S49&lt;&gt;"",EDATE($D49,Milestones!$AA$127)&gt;=$S49),$V49,IF(AND($R49&lt;&gt;"",EDATE($D49,Milestones!$AA$127)&gt;=$R49),$U49,$T49)))=Milestones!$AB$127),TEXT(EDATE($D49,Milestones!$AA$127),"dd/mm/yy")&amp;" "&amp;Milestones!$AB$127&amp;" "&amp;Milestones!$AC$127&amp;";  ","")&amp;IF(AND(EDATE($D49,Milestones!$AA$128)&lt;=AsOfDate,IF($Q49=0,$W49,IF(AND($S49&lt;&gt;"",EDATE($D49,Milestones!$AA$128)&gt;=$S49),$V49,IF(AND($R49&lt;&gt;"",EDATE($D49,Milestones!$AA$128)&gt;=$R49),$U49,$T49)))=Milestones!$AB$128),TEXT(EDATE($D49,Milestones!$AA$128),"dd/mm/yy")&amp;" "&amp;Milestones!$AB$128&amp;" "&amp;Milestones!$AC$128&amp;";  ","")&amp;IF(AND(EDATE($D49,Milestones!$AA$129)&lt;=AsOfDate,IF($Q49=0,$W49,IF(AND($S49&lt;&gt;"",EDATE($D49,Milestones!$AA$129)&gt;=$S49),$V49,IF(AND($R49&lt;&gt;"",EDATE($D49,Milestones!$AA$129)&gt;=$R49),$U49,$T49)))=Milestones!$AB$129),TEXT(EDATE($D49,Milestones!$AA$129),"dd/mm/yy")&amp;" "&amp;Milestones!$AB$129&amp;" "&amp;Milestones!$AC$129&amp;";  ","")&amp;IF(AND(EDATE($D49,Milestones!$AA$130)&lt;=AsOfDate,IF($Q49=0,$W49,IF(AND($S49&lt;&gt;"",EDATE($D49,Milestones!$AA$130)&gt;=$S49),$V49,IF(AND($R49&lt;&gt;"",EDATE($D49,Milestones!$AA$130)&gt;=$R49),$U49,$T49)))=Milestones!$AB$130),TEXT(EDATE($D49,Milestones!$AA$130),"dd/mm/yy")&amp;" "&amp;Milestones!$AB$130&amp;" "&amp;Milestones!$AC$130&amp;";  ","")&amp;IF(AND(EDATE($D49,Milestones!$AA$131)&lt;=AsOfDate,IF($Q49=0,$W49,IF(AND($S49&lt;&gt;"",EDATE($D49,Milestones!$AA$131)&gt;=$S49),$V49,IF(AND($R49&lt;&gt;"",EDATE($D49,Milestones!$AA$131)&gt;=$R49),$U49,$T49)))=Milestones!$AB$131),TEXT(EDATE($D49,Milestones!$AA$131),"dd/mm/yy")&amp;" "&amp;Milestones!$AB$131&amp;" "&amp;Milestones!$AC$131&amp;";  ","")&amp;IF(AND(EDATE($D49,Milestones!$AA$132)&lt;=AsOfDate,IF($Q49=0,$W49,IF(AND($S49&lt;&gt;"",EDATE($D49,Milestones!$AA$132)&gt;=$S49),$V49,IF(AND($R49&lt;&gt;"",EDATE($D49,Milestones!$AA$132)&gt;=$R49),$U49,$T49)))=Milestones!$AB$132),TEXT(EDATE($D49,Milestones!$AA$132),"dd/mm/yy")&amp;" "&amp;Milestones!$AB$132&amp;" "&amp;Milestones!$AC$132&amp;";  ","")&amp;IF(AND(EDATE($D49,Milestones!$AA$133)&lt;=AsOfDate,IF($Q49=0,$W49,IF(AND($S49&lt;&gt;"",EDATE($D49,Milestones!$AA$133)&gt;=$S49),$V49,IF(AND($R49&lt;&gt;"",EDATE($D49,Milestones!$AA$133)&gt;=$R49),$U49,$T49)))=Milestones!$AB$133),TEXT(EDATE($D49,Milestones!$AA$133),"dd/mm/yy")&amp;" "&amp;Milestones!$AB$133&amp;" "&amp;Milestones!$AC$133&amp;";  ","")&amp;IF(AND(EDATE($D49,Milestones!$AA$134)&lt;=AsOfDate,IF($Q49=0,$W49,IF(AND($S49&lt;&gt;"",EDATE($D49,Milestones!$AA$134)&gt;=$S49),$V49,IF(AND($R49&lt;&gt;"",EDATE($D49,Milestones!$AA$134)&gt;=$R49),$U49,$T49)))=Milestones!$AB$134),TEXT(EDATE($D49,Milestones!$AA$134),"dd/mm/yy")&amp;" "&amp;Milestones!$AB$134&amp;" "&amp;Milestones!$AC$134&amp;";  ","")&amp;IF(AND(EDATE($D49,Milestones!$AA$135)&lt;=AsOfDate,IF($Q49=0,$W49,IF(AND($S49&lt;&gt;"",EDATE($D49,Milestones!$AA$135)&gt;=$S49),$V49,IF(AND($R49&lt;&gt;"",EDATE($D49,Milestones!$AA$135)&gt;=$R49),$U49,$T49)))=Milestones!$AB$135),TEXT(EDATE($D49,Milestones!$AA$135),"dd/mm/yy")&amp;" "&amp;Milestones!$AB$135&amp;" "&amp;Milestones!$AC$135&amp;";  ","")&amp;IF(AND(EDATE($D49,Milestones!$AA$136)&lt;=AsOfDate,IF($Q49=0,$W49,IF(AND($S49&lt;&gt;"",EDATE($D49,Milestones!$AA$136)&gt;=$S49),$V49,IF(AND($R49&lt;&gt;"",EDATE($D49,Milestones!$AA$136)&gt;=$R49),$U49,$T49)))=Milestones!$AB$136),TEXT(EDATE($D49,Milestones!$AA$136),"dd/mm/yy")&amp;" "&amp;Milestones!$AB$136&amp;" "&amp;Milestones!$AC$136&amp;";  ","")&amp;IF(AND(EDATE($D49,Milestones!$AA$137)&lt;=AsOfDate,IF($Q49=0,$W49,IF(AND($S49&lt;&gt;"",EDATE($D49,Milestones!$AA$137)&gt;=$S49),$V49,IF(AND($R49&lt;&gt;"",EDATE($D49,Milestones!$AA$137)&gt;=$R49),$U49,$T49)))=Milestones!$AB$137),TEXT(EDATE($D49,Milestones!$AA$137),"dd/mm/yy")&amp;" "&amp;Milestones!$AB$137&amp;" "&amp;Milestones!$AC$137&amp;";  ","")&amp;IF(AND(EDATE($D49,Milestones!$AA$138)&lt;=AsOfDate,IF($Q49=0,$W49,IF(AND($S49&lt;&gt;"",EDATE($D49,Milestones!$AA$138)&gt;=$S49),$V49,IF(AND($R49&lt;&gt;"",EDATE($D49,Milestones!$AA$138)&gt;=$R49),$U49,$T49)))=Milestones!$AB$138),TEXT(EDATE($D49,Milestones!$AA$138),"dd/mm/yy")&amp;" "&amp;Milestones!$AB$138&amp;" "&amp;Milestones!$AC$138&amp;";  ","")&amp;IF(AND(EDATE($D49,Milestones!$AA$139)&lt;=AsOfDate,IF($Q49=0,$W49,IF(AND($S49&lt;&gt;"",EDATE($D49,Milestones!$AA$139)&gt;=$S49),$V49,IF(AND($R49&lt;&gt;"",EDATE($D49,Milestones!$AA$139)&gt;=$R49),$U49,$T49)))=Milestones!$AB$139),TEXT(EDATE($D49,Milestones!$AA$139),"dd/mm/yy")&amp;" "&amp;Milestones!$AB$139&amp;" "&amp;Milestones!$AC$139&amp;";  ",""))</f>
        <v/>
      </c>
      <c r="N49" s="0" t="str">
        <f aca="false">IF(OR($A49="",$D49=""),"",IF(AND(EDATE($D49,Milestones!$AA$140)&lt;=AsOfDate,IF($Q49=0,$W49,IF(AND($S49&lt;&gt;"",EDATE($D49,Milestones!$AA$140)&gt;=$S49),$V49,IF(AND($R49&lt;&gt;"",EDATE($D49,Milestones!$AA$140)&gt;=$R49),$U49,$T49)))=Milestones!$AB$140),TEXT(EDATE($D49,Milestones!$AA$140),"dd/mm/yy")&amp;" "&amp;Milestones!$AB$140&amp;" "&amp;Milestones!$AC$140&amp;";  ","")&amp;IF(AND(EDATE($D49,Milestones!$AA$141)&lt;=AsOfDate,IF($Q49=0,$W49,IF(AND($S49&lt;&gt;"",EDATE($D49,Milestones!$AA$141)&gt;=$S49),$V49,IF(AND($R49&lt;&gt;"",EDATE($D49,Milestones!$AA$141)&gt;=$R49),$U49,$T49)))=Milestones!$AB$141),TEXT(EDATE($D49,Milestones!$AA$141),"dd/mm/yy")&amp;" "&amp;Milestones!$AB$141&amp;" "&amp;Milestones!$AC$141&amp;";  ","")&amp;IF(AND(EDATE($D49,Milestones!$AA$142)&lt;=AsOfDate,IF($Q49=0,$W49,IF(AND($S49&lt;&gt;"",EDATE($D49,Milestones!$AA$142)&gt;=$S49),$V49,IF(AND($R49&lt;&gt;"",EDATE($D49,Milestones!$AA$142)&gt;=$R49),$U49,$T49)))=Milestones!$AB$142),TEXT(EDATE($D49,Milestones!$AA$142),"dd/mm/yy")&amp;" "&amp;Milestones!$AB$142&amp;" "&amp;Milestones!$AC$142&amp;";  ","")&amp;IF(AND(EDATE($D49,Milestones!$AA$143)&lt;=AsOfDate,IF($Q49=0,$W49,IF(AND($S49&lt;&gt;"",EDATE($D49,Milestones!$AA$143)&gt;=$S49),$V49,IF(AND($R49&lt;&gt;"",EDATE($D49,Milestones!$AA$143)&gt;=$R49),$U49,$T49)))=Milestones!$AB$143),TEXT(EDATE($D49,Milestones!$AA$143),"dd/mm/yy")&amp;" "&amp;Milestones!$AB$143&amp;" "&amp;Milestones!$AC$143&amp;";  ","")&amp;IF(AND(EDATE($D49,Milestones!$AA$144)&lt;=AsOfDate,IF($Q49=0,$W49,IF(AND($S49&lt;&gt;"",EDATE($D49,Milestones!$AA$144)&gt;=$S49),$V49,IF(AND($R49&lt;&gt;"",EDATE($D49,Milestones!$AA$144)&gt;=$R49),$U49,$T49)))=Milestones!$AB$144),TEXT(EDATE($D49,Milestones!$AA$144),"dd/mm/yy")&amp;" "&amp;Milestones!$AB$144&amp;" "&amp;Milestones!$AC$144&amp;";  ","")&amp;IF(AND(EDATE($D49,Milestones!$AA$145)&lt;=AsOfDate,IF($Q49=0,$W49,IF(AND($S49&lt;&gt;"",EDATE($D49,Milestones!$AA$145)&gt;=$S49),$V49,IF(AND($R49&lt;&gt;"",EDATE($D49,Milestones!$AA$145)&gt;=$R49),$U49,$T49)))=Milestones!$AB$145),TEXT(EDATE($D49,Milestones!$AA$145),"dd/mm/yy")&amp;" "&amp;Milestones!$AB$145&amp;" "&amp;Milestones!$AC$145&amp;";  ","")&amp;IF(AND(EDATE($D49,Milestones!$AA$146)&lt;=AsOfDate,IF($Q49=0,$W49,IF(AND($S49&lt;&gt;"",EDATE($D49,Milestones!$AA$146)&gt;=$S49),$V49,IF(AND($R49&lt;&gt;"",EDATE($D49,Milestones!$AA$146)&gt;=$R49),$U49,$T49)))=Milestones!$AB$146),TEXT(EDATE($D49,Milestones!$AA$146),"dd/mm/yy")&amp;" "&amp;Milestones!$AB$146&amp;" "&amp;Milestones!$AC$146&amp;";  ","")&amp;IF(AND(EDATE($D49,Milestones!$AA$147)&lt;=AsOfDate,IF($Q49=0,$W49,IF(AND($S49&lt;&gt;"",EDATE($D49,Milestones!$AA$147)&gt;=$S49),$V49,IF(AND($R49&lt;&gt;"",EDATE($D49,Milestones!$AA$147)&gt;=$R49),$U49,$T49)))=Milestones!$AB$147),TEXT(EDATE($D49,Milestones!$AA$147),"dd/mm/yy")&amp;" "&amp;Milestones!$AB$147&amp;" "&amp;Milestones!$AC$147&amp;";  ","")&amp;IF(AND(EDATE($D49,Milestones!$AA$148)&lt;=AsOfDate,IF($Q49=0,$W49,IF(AND($S49&lt;&gt;"",EDATE($D49,Milestones!$AA$148)&gt;=$S49),$V49,IF(AND($R49&lt;&gt;"",EDATE($D49,Milestones!$AA$148)&gt;=$R49),$U49,$T49)))=Milestones!$AB$148),TEXT(EDATE($D49,Milestones!$AA$148),"dd/mm/yy")&amp;" "&amp;Milestones!$AB$148&amp;" "&amp;Milestones!$AC$148&amp;";  ","")&amp;IF(AND(EDATE($D49,Milestones!$AA$149)&lt;=AsOfDate,IF($Q49=0,$W49,IF(AND($S49&lt;&gt;"",EDATE($D49,Milestones!$AA$149)&gt;=$S49),$V49,IF(AND($R49&lt;&gt;"",EDATE($D49,Milestones!$AA$149)&gt;=$R49),$U49,$T49)))=Milestones!$AB$149),TEXT(EDATE($D49,Milestones!$AA$149),"dd/mm/yy")&amp;" "&amp;Milestones!$AB$149&amp;" "&amp;Milestones!$AC$149&amp;";  ","")&amp;IF(AND(EDATE($D49,Milestones!$AA$150)&lt;=AsOfDate,IF($Q49=0,$W49,IF(AND($S49&lt;&gt;"",EDATE($D49,Milestones!$AA$150)&gt;=$S49),$V49,IF(AND($R49&lt;&gt;"",EDATE($D49,Milestones!$AA$150)&gt;=$R49),$U49,$T49)))=Milestones!$AB$150),TEXT(EDATE($D49,Milestones!$AA$150),"dd/mm/yy")&amp;" "&amp;Milestones!$AB$150&amp;" "&amp;Milestones!$AC$150&amp;";  ","")&amp;IF(AND(EDATE($D49,Milestones!$AA$151)&lt;=AsOfDate,IF($Q49=0,$W49,IF(AND($S49&lt;&gt;"",EDATE($D49,Milestones!$AA$151)&gt;=$S49),$V49,IF(AND($R49&lt;&gt;"",EDATE($D49,Milestones!$AA$151)&gt;=$R49),$U49,$T49)))=Milestones!$AB$151),TEXT(EDATE($D49,Milestones!$AA$151),"dd/mm/yy")&amp;" "&amp;Milestones!$AB$151&amp;" "&amp;Milestones!$AC$151&amp;";  ","")&amp;IF(AND(EDATE($D49,Milestones!$AA$152)&lt;=AsOfDate,IF($Q49=0,$W49,IF(AND($S49&lt;&gt;"",EDATE($D49,Milestones!$AA$152)&gt;=$S49),$V49,IF(AND($R49&lt;&gt;"",EDATE($D49,Milestones!$AA$152)&gt;=$R49),$U49,$T49)))=Milestones!$AB$152),TEXT(EDATE($D49,Milestones!$AA$152),"dd/mm/yy")&amp;" "&amp;Milestones!$AB$152&amp;" "&amp;Milestones!$AC$152&amp;";  ","")&amp;IF(AND(EDATE($D49,Milestones!$AA$153)&lt;=AsOfDate,IF($Q49=0,$W49,IF(AND($S49&lt;&gt;"",EDATE($D49,Milestones!$AA$153)&gt;=$S49),$V49,IF(AND($R49&lt;&gt;"",EDATE($D49,Milestones!$AA$153)&gt;=$R49),$U49,$T49)))=Milestones!$AB$153),TEXT(EDATE($D49,Milestones!$AA$153),"dd/mm/yy")&amp;" "&amp;Milestones!$AB$153&amp;" "&amp;Milestones!$AC$153&amp;";  ","")&amp;IF(AND(EDATE($D49,Milestones!$AA$154)&lt;=AsOfDate,IF($Q49=0,$W49,IF(AND($S49&lt;&gt;"",EDATE($D49,Milestones!$AA$154)&gt;=$S49),$V49,IF(AND($R49&lt;&gt;"",EDATE($D49,Milestones!$AA$154)&gt;=$R49),$U49,$T49)))=Milestones!$AB$154),TEXT(EDATE($D49,Milestones!$AA$154),"dd/mm/yy")&amp;" "&amp;Milestones!$AB$154&amp;" "&amp;Milestones!$AC$154&amp;";  ","")&amp;IF(AND(EDATE($D49,Milestones!$AA$155)&lt;=AsOfDate,IF($Q49=0,$W49,IF(AND($S49&lt;&gt;"",EDATE($D49,Milestones!$AA$155)&gt;=$S49),$V49,IF(AND($R49&lt;&gt;"",EDATE($D49,Milestones!$AA$155)&gt;=$R49),$U49,$T49)))=Milestones!$AB$155),TEXT(EDATE($D49,Milestones!$AA$155),"dd/mm/yy")&amp;" "&amp;Milestones!$AB$155&amp;" "&amp;Milestones!$AC$155&amp;";  ","")&amp;IF(AND(EDATE($D49,Milestones!$AA$156)&lt;=AsOfDate,IF($Q49=0,$W49,IF(AND($S49&lt;&gt;"",EDATE($D49,Milestones!$AA$156)&gt;=$S49),$V49,IF(AND($R49&lt;&gt;"",EDATE($D49,Milestones!$AA$156)&gt;=$R49),$U49,$T49)))=Milestones!$AB$156),TEXT(EDATE($D49,Milestones!$AA$156),"dd/mm/yy")&amp;" "&amp;Milestones!$AB$156&amp;" "&amp;Milestones!$AC$156&amp;";  ","")&amp;IF(AND(EDATE($D49,Milestones!$AA$157)&lt;=AsOfDate,IF($Q49=0,$W49,IF(AND($S49&lt;&gt;"",EDATE($D49,Milestones!$AA$157)&gt;=$S49),$V49,IF(AND($R49&lt;&gt;"",EDATE($D49,Milestones!$AA$157)&gt;=$R49),$U49,$T49)))=Milestones!$AB$157),TEXT(EDATE($D49,Milestones!$AA$157),"dd/mm/yy")&amp;" "&amp;Milestones!$AB$157&amp;" "&amp;Milestones!$AC$157&amp;";  ","")&amp;IF(AND(EDATE($D49,Milestones!$AA$158)&lt;=AsOfDate,IF($Q49=0,$W49,IF(AND($S49&lt;&gt;"",EDATE($D49,Milestones!$AA$158)&gt;=$S49),$V49,IF(AND($R49&lt;&gt;"",EDATE($D49,Milestones!$AA$158)&gt;=$R49),$U49,$T49)))=Milestones!$AB$158),TEXT(EDATE($D49,Milestones!$AA$158),"dd/mm/yy")&amp;" "&amp;Milestones!$AB$158&amp;" "&amp;Milestones!$AC$158&amp;";  ","")&amp;IF(AND(EDATE($D49,Milestones!$AA$159)&lt;=AsOfDate,IF($Q49=0,$W49,IF(AND($S49&lt;&gt;"",EDATE($D49,Milestones!$AA$159)&gt;=$S49),$V49,IF(AND($R49&lt;&gt;"",EDATE($D49,Milestones!$AA$159)&gt;=$R49),$U49,$T49)))=Milestones!$AB$159),TEXT(EDATE($D49,Milestones!$AA$159),"dd/mm/yy")&amp;" "&amp;Milestones!$AB$159&amp;" "&amp;Milestones!$AC$159&amp;";  ",""))</f>
        <v/>
      </c>
      <c r="O49" s="0" t="str">
        <f aca="false">IF(OR($A49="",$D49=""),"",IF(AND(EDATE($D49,Milestones!$AA$160)&lt;=AsOfDate,IF($Q49=0,$W49,IF(AND($S49&lt;&gt;"",EDATE($D49,Milestones!$AA$160)&gt;=$S49),$V49,IF(AND($R49&lt;&gt;"",EDATE($D49,Milestones!$AA$160)&gt;=$R49),$U49,$T49)))=Milestones!$AB$160),TEXT(EDATE($D49,Milestones!$AA$160),"dd/mm/yy")&amp;" "&amp;Milestones!$AB$160&amp;" "&amp;Milestones!$AC$160&amp;";  ","")&amp;IF(AND(EDATE($D49,Milestones!$AA$161)&lt;=AsOfDate,IF($Q49=0,$W49,IF(AND($S49&lt;&gt;"",EDATE($D49,Milestones!$AA$161)&gt;=$S49),$V49,IF(AND($R49&lt;&gt;"",EDATE($D49,Milestones!$AA$161)&gt;=$R49),$U49,$T49)))=Milestones!$AB$161),TEXT(EDATE($D49,Milestones!$AA$161),"dd/mm/yy")&amp;" "&amp;Milestones!$AB$161&amp;" "&amp;Milestones!$AC$161&amp;";  ","")&amp;IF(AND(EDATE($D49,Milestones!$AA$162)&lt;=AsOfDate,IF($Q49=0,$W49,IF(AND($S49&lt;&gt;"",EDATE($D49,Milestones!$AA$162)&gt;=$S49),$V49,IF(AND($R49&lt;&gt;"",EDATE($D49,Milestones!$AA$162)&gt;=$R49),$U49,$T49)))=Milestones!$AB$162),TEXT(EDATE($D49,Milestones!$AA$162),"dd/mm/yy")&amp;" "&amp;Milestones!$AB$162&amp;" "&amp;Milestones!$AC$162&amp;";  ","")&amp;IF(AND(EDATE($D49,Milestones!$AA$163)&lt;=AsOfDate,IF($Q49=0,$W49,IF(AND($S49&lt;&gt;"",EDATE($D49,Milestones!$AA$163)&gt;=$S49),$V49,IF(AND($R49&lt;&gt;"",EDATE($D49,Milestones!$AA$163)&gt;=$R49),$U49,$T49)))=Milestones!$AB$163),TEXT(EDATE($D49,Milestones!$AA$163),"dd/mm/yy")&amp;" "&amp;Milestones!$AB$163&amp;" "&amp;Milestones!$AC$163&amp;";  ","")&amp;IF(AND(EDATE($D49,Milestones!$AA$164)&lt;=AsOfDate,IF($Q49=0,$W49,IF(AND($S49&lt;&gt;"",EDATE($D49,Milestones!$AA$164)&gt;=$S49),$V49,IF(AND($R49&lt;&gt;"",EDATE($D49,Milestones!$AA$164)&gt;=$R49),$U49,$T49)))=Milestones!$AB$164),TEXT(EDATE($D49,Milestones!$AA$164),"dd/mm/yy")&amp;" "&amp;Milestones!$AB$164&amp;" "&amp;Milestones!$AC$164&amp;";  ","")&amp;IF(AND(EDATE($D49,Milestones!$AA$165)&lt;=AsOfDate,IF($Q49=0,$W49,IF(AND($S49&lt;&gt;"",EDATE($D49,Milestones!$AA$165)&gt;=$S49),$V49,IF(AND($R49&lt;&gt;"",EDATE($D49,Milestones!$AA$165)&gt;=$R49),$U49,$T49)))=Milestones!$AB$165),TEXT(EDATE($D49,Milestones!$AA$165),"dd/mm/yy")&amp;" "&amp;Milestones!$AB$165&amp;" "&amp;Milestones!$AC$165&amp;";  ","")&amp;IF(AND(EDATE($D49,Milestones!$AA$166)&lt;=AsOfDate,IF($Q49=0,$W49,IF(AND($S49&lt;&gt;"",EDATE($D49,Milestones!$AA$166)&gt;=$S49),$V49,IF(AND($R49&lt;&gt;"",EDATE($D49,Milestones!$AA$166)&gt;=$R49),$U49,$T49)))=Milestones!$AB$166),TEXT(EDATE($D49,Milestones!$AA$166),"dd/mm/yy")&amp;" "&amp;Milestones!$AB$166&amp;" "&amp;Milestones!$AC$166&amp;";  ","")&amp;IF(AND(EDATE($D49,Milestones!$AA$167)&lt;=AsOfDate,IF($Q49=0,$W49,IF(AND($S49&lt;&gt;"",EDATE($D49,Milestones!$AA$167)&gt;=$S49),$V49,IF(AND($R49&lt;&gt;"",EDATE($D49,Milestones!$AA$167)&gt;=$R49),$U49,$T49)))=Milestones!$AB$167),TEXT(EDATE($D49,Milestones!$AA$167),"dd/mm/yy")&amp;" "&amp;Milestones!$AB$167&amp;" "&amp;Milestones!$AC$167&amp;";  ","")&amp;IF(AND(EDATE($D49,Milestones!$AA$168)&lt;=AsOfDate,IF($Q49=0,$W49,IF(AND($S49&lt;&gt;"",EDATE($D49,Milestones!$AA$168)&gt;=$S49),$V49,IF(AND($R49&lt;&gt;"",EDATE($D49,Milestones!$AA$168)&gt;=$R49),$U49,$T49)))=Milestones!$AB$168),TEXT(EDATE($D49,Milestones!$AA$168),"dd/mm/yy")&amp;" "&amp;Milestones!$AB$168&amp;" "&amp;Milestones!$AC$168&amp;";  ","")&amp;IF(AND(EDATE($D49,Milestones!$AA$169)&lt;=AsOfDate,IF($Q49=0,$W49,IF(AND($S49&lt;&gt;"",EDATE($D49,Milestones!$AA$169)&gt;=$S49),$V49,IF(AND($R49&lt;&gt;"",EDATE($D49,Milestones!$AA$169)&gt;=$R49),$U49,$T49)))=Milestones!$AB$169),TEXT(EDATE($D49,Milestones!$AA$169),"dd/mm/yy")&amp;" "&amp;Milestones!$AB$169&amp;" "&amp;Milestones!$AC$169&amp;";  ","")&amp;IF(AND(EDATE($D49,Milestones!$AA$170)&lt;=AsOfDate,IF($Q49=0,$W49,IF(AND($S49&lt;&gt;"",EDATE($D49,Milestones!$AA$170)&gt;=$S49),$V49,IF(AND($R49&lt;&gt;"",EDATE($D49,Milestones!$AA$170)&gt;=$R49),$U49,$T49)))=Milestones!$AB$170),TEXT(EDATE($D49,Milestones!$AA$170),"dd/mm/yy")&amp;" "&amp;Milestones!$AB$170&amp;" "&amp;Milestones!$AC$170&amp;";  ","")&amp;IF(AND(EDATE($D49,Milestones!$AA$171)&lt;=AsOfDate,IF($Q49=0,$W49,IF(AND($S49&lt;&gt;"",EDATE($D49,Milestones!$AA$171)&gt;=$S49),$V49,IF(AND($R49&lt;&gt;"",EDATE($D49,Milestones!$AA$171)&gt;=$R49),$U49,$T49)))=Milestones!$AB$171),TEXT(EDATE($D49,Milestones!$AA$171),"dd/mm/yy")&amp;" "&amp;Milestones!$AB$171&amp;" "&amp;Milestones!$AC$171&amp;";  ","")&amp;IF(AND(EDATE($D49,Milestones!$AA$172)&lt;=AsOfDate,IF($Q49=0,$W49,IF(AND($S49&lt;&gt;"",EDATE($D49,Milestones!$AA$172)&gt;=$S49),$V49,IF(AND($R49&lt;&gt;"",EDATE($D49,Milestones!$AA$172)&gt;=$R49),$U49,$T49)))=Milestones!$AB$172),TEXT(EDATE($D49,Milestones!$AA$172),"dd/mm/yy")&amp;" "&amp;Milestones!$AB$172&amp;" "&amp;Milestones!$AC$172&amp;";  ","")&amp;IF(AND(EDATE($D49,Milestones!$AA$173)&lt;=AsOfDate,IF($Q49=0,$W49,IF(AND($S49&lt;&gt;"",EDATE($D49,Milestones!$AA$173)&gt;=$S49),$V49,IF(AND($R49&lt;&gt;"",EDATE($D49,Milestones!$AA$173)&gt;=$R49),$U49,$T49)))=Milestones!$AB$173),TEXT(EDATE($D49,Milestones!$AA$173),"dd/mm/yy")&amp;" "&amp;Milestones!$AB$173&amp;" "&amp;Milestones!$AC$173&amp;";  ","")&amp;IF(AND(EDATE($D49,Milestones!$AA$174)&lt;=AsOfDate,IF($Q49=0,$W49,IF(AND($S49&lt;&gt;"",EDATE($D49,Milestones!$AA$174)&gt;=$S49),$V49,IF(AND($R49&lt;&gt;"",EDATE($D49,Milestones!$AA$174)&gt;=$R49),$U49,$T49)))=Milestones!$AB$174),TEXT(EDATE($D49,Milestones!$AA$174),"dd/mm/yy")&amp;" "&amp;Milestones!$AB$174&amp;" "&amp;Milestones!$AC$174&amp;";  ","")&amp;IF(AND(EDATE($D49,Milestones!$AA$175)&lt;=AsOfDate,IF($Q49=0,$W49,IF(AND($S49&lt;&gt;"",EDATE($D49,Milestones!$AA$175)&gt;=$S49),$V49,IF(AND($R49&lt;&gt;"",EDATE($D49,Milestones!$AA$175)&gt;=$R49),$U49,$T49)))=Milestones!$AB$175),TEXT(EDATE($D49,Milestones!$AA$175),"dd/mm/yy")&amp;" "&amp;Milestones!$AB$175&amp;" "&amp;Milestones!$AC$175&amp;";  ","")&amp;IF(AND(EDATE($D49,Milestones!$AA$176)&lt;=AsOfDate,IF($Q49=0,$W49,IF(AND($S49&lt;&gt;"",EDATE($D49,Milestones!$AA$176)&gt;=$S49),$V49,IF(AND($R49&lt;&gt;"",EDATE($D49,Milestones!$AA$176)&gt;=$R49),$U49,$T49)))=Milestones!$AB$176),TEXT(EDATE($D49,Milestones!$AA$176),"dd/mm/yy")&amp;" "&amp;Milestones!$AB$176&amp;" "&amp;Milestones!$AC$176&amp;";  ","")&amp;IF(AND(EDATE($D49,Milestones!$AA$177)&lt;=AsOfDate,IF($Q49=0,$W49,IF(AND($S49&lt;&gt;"",EDATE($D49,Milestones!$AA$177)&gt;=$S49),$V49,IF(AND($R49&lt;&gt;"",EDATE($D49,Milestones!$AA$177)&gt;=$R49),$U49,$T49)))=Milestones!$AB$177),TEXT(EDATE($D49,Milestones!$AA$177),"dd/mm/yy")&amp;" "&amp;Milestones!$AB$177&amp;" "&amp;Milestones!$AC$177&amp;";  ","")&amp;IF(AND(EDATE($D49,Milestones!$AA$178)&lt;=AsOfDate,IF($Q49=0,$W49,IF(AND($S49&lt;&gt;"",EDATE($D49,Milestones!$AA$178)&gt;=$S49),$V49,IF(AND($R49&lt;&gt;"",EDATE($D49,Milestones!$AA$178)&gt;=$R49),$U49,$T49)))=Milestones!$AB$178),TEXT(EDATE($D49,Milestones!$AA$178),"dd/mm/yy")&amp;" "&amp;Milestones!$AB$178&amp;" "&amp;Milestones!$AC$178&amp;";  ","")&amp;IF(AND(EDATE($D49,Milestones!$AA$179)&lt;=AsOfDate,IF($Q49=0,$W49,IF(AND($S49&lt;&gt;"",EDATE($D49,Milestones!$AA$179)&gt;=$S49),$V49,IF(AND($R49&lt;&gt;"",EDATE($D49,Milestones!$AA$179)&gt;=$R49),$U49,$T49)))=Milestones!$AB$179),TEXT(EDATE($D49,Milestones!$AA$179),"dd/mm/yy")&amp;" "&amp;Milestones!$AB$179&amp;" "&amp;Milestones!$AC$179&amp;";  ",""))</f>
        <v/>
      </c>
      <c r="P49" s="0" t="str">
        <f aca="false">IF(OR($A49="",$D49=""),"",IF(AND(EDATE($D49,Milestones!$AA$180)&lt;=AsOfDate,IF($Q49=0,$W49,IF(AND($S49&lt;&gt;"",EDATE($D49,Milestones!$AA$180)&gt;=$S49),$V49,IF(AND($R49&lt;&gt;"",EDATE($D49,Milestones!$AA$180)&gt;=$R49),$U49,$T49)))=Milestones!$AB$180),TEXT(EDATE($D49,Milestones!$AA$180),"dd/mm/yy")&amp;" "&amp;Milestones!$AB$180&amp;" "&amp;Milestones!$AC$180&amp;";  ","")&amp;IF(AND(EDATE($D49,Milestones!$AA$181)&lt;=AsOfDate,IF($Q49=0,$W49,IF(AND($S49&lt;&gt;"",EDATE($D49,Milestones!$AA$181)&gt;=$S49),$V49,IF(AND($R49&lt;&gt;"",EDATE($D49,Milestones!$AA$181)&gt;=$R49),$U49,$T49)))=Milestones!$AB$181),TEXT(EDATE($D49,Milestones!$AA$181),"dd/mm/yy")&amp;" "&amp;Milestones!$AB$181&amp;" "&amp;Milestones!$AC$181&amp;";  ","")&amp;IF(AND(EDATE($D49,Milestones!$AA$182)&lt;=AsOfDate,IF($Q49=0,$W49,IF(AND($S49&lt;&gt;"",EDATE($D49,Milestones!$AA$182)&gt;=$S49),$V49,IF(AND($R49&lt;&gt;"",EDATE($D49,Milestones!$AA$182)&gt;=$R49),$U49,$T49)))=Milestones!$AB$182),TEXT(EDATE($D49,Milestones!$AA$182),"dd/mm/yy")&amp;" "&amp;Milestones!$AB$182&amp;" "&amp;Milestones!$AC$182&amp;";  ","")&amp;IF(AND(EDATE($D49,Milestones!$AA$183)&lt;=AsOfDate,IF($Q49=0,$W49,IF(AND($S49&lt;&gt;"",EDATE($D49,Milestones!$AA$183)&gt;=$S49),$V49,IF(AND($R49&lt;&gt;"",EDATE($D49,Milestones!$AA$183)&gt;=$R49),$U49,$T49)))=Milestones!$AB$183),TEXT(EDATE($D49,Milestones!$AA$183),"dd/mm/yy")&amp;" "&amp;Milestones!$AB$183&amp;" "&amp;Milestones!$AC$183&amp;";  ","")&amp;IF(AND(EDATE($D49,Milestones!$AA$184)&lt;=AsOfDate,IF($Q49=0,$W49,IF(AND($S49&lt;&gt;"",EDATE($D49,Milestones!$AA$184)&gt;=$S49),$V49,IF(AND($R49&lt;&gt;"",EDATE($D49,Milestones!$AA$184)&gt;=$R49),$U49,$T49)))=Milestones!$AB$184),TEXT(EDATE($D49,Milestones!$AA$184),"dd/mm/yy")&amp;" "&amp;Milestones!$AB$184&amp;" "&amp;Milestones!$AC$184&amp;";  ","")&amp;IF(AND(EDATE($D49,Milestones!$AA$185)&lt;=AsOfDate,IF($Q49=0,$W49,IF(AND($S49&lt;&gt;"",EDATE($D49,Milestones!$AA$185)&gt;=$S49),$V49,IF(AND($R49&lt;&gt;"",EDATE($D49,Milestones!$AA$185)&gt;=$R49),$U49,$T49)))=Milestones!$AB$185),TEXT(EDATE($D49,Milestones!$AA$185),"dd/mm/yy")&amp;" "&amp;Milestones!$AB$185&amp;" "&amp;Milestones!$AC$185&amp;";  ","")&amp;IF(AND(EDATE($D49,Milestones!$AA$186)&lt;=AsOfDate,IF($Q49=0,$W49,IF(AND($S49&lt;&gt;"",EDATE($D49,Milestones!$AA$186)&gt;=$S49),$V49,IF(AND($R49&lt;&gt;"",EDATE($D49,Milestones!$AA$186)&gt;=$R49),$U49,$T49)))=Milestones!$AB$186),TEXT(EDATE($D49,Milestones!$AA$186),"dd/mm/yy")&amp;" "&amp;Milestones!$AB$186&amp;" "&amp;Milestones!$AC$186&amp;";  ","")&amp;IF(AND(EDATE($D49,Milestones!$AA$187)&lt;=AsOfDate,IF($Q49=0,$W49,IF(AND($S49&lt;&gt;"",EDATE($D49,Milestones!$AA$187)&gt;=$S49),$V49,IF(AND($R49&lt;&gt;"",EDATE($D49,Milestones!$AA$187)&gt;=$R49),$U49,$T49)))=Milestones!$AB$187),TEXT(EDATE($D49,Milestones!$AA$187),"dd/mm/yy")&amp;" "&amp;Milestones!$AB$187&amp;" "&amp;Milestones!$AC$187&amp;";  ","")&amp;IF(AND(EDATE($D49,Milestones!$AA$188)&lt;=AsOfDate,IF($Q49=0,$W49,IF(AND($S49&lt;&gt;"",EDATE($D49,Milestones!$AA$188)&gt;=$S49),$V49,IF(AND($R49&lt;&gt;"",EDATE($D49,Milestones!$AA$188)&gt;=$R49),$U49,$T49)))=Milestones!$AB$188),TEXT(EDATE($D49,Milestones!$AA$188),"dd/mm/yy")&amp;" "&amp;Milestones!$AB$188&amp;" "&amp;Milestones!$AC$188&amp;";  ","")&amp;IF(AND(EDATE($D49,Milestones!$AA$189)&lt;=AsOfDate,IF($Q49=0,$W49,IF(AND($S49&lt;&gt;"",EDATE($D49,Milestones!$AA$189)&gt;=$S49),$V49,IF(AND($R49&lt;&gt;"",EDATE($D49,Milestones!$AA$189)&gt;=$R49),$U49,$T49)))=Milestones!$AB$189),TEXT(EDATE($D49,Milestones!$AA$189),"dd/mm/yy")&amp;" "&amp;Milestones!$AB$189&amp;" "&amp;Milestones!$AC$189&amp;";  ","")&amp;IF(AND(EDATE($D49,Milestones!$AA$190)&lt;=AsOfDate,IF($Q49=0,$W49,IF(AND($S49&lt;&gt;"",EDATE($D49,Milestones!$AA$190)&gt;=$S49),$V49,IF(AND($R49&lt;&gt;"",EDATE($D49,Milestones!$AA$190)&gt;=$R49),$U49,$T49)))=Milestones!$AB$190),TEXT(EDATE($D49,Milestones!$AA$190),"dd/mm/yy")&amp;" "&amp;Milestones!$AB$190&amp;" "&amp;Milestones!$AC$190&amp;";  ","")&amp;IF(AND(EDATE($D49,Milestones!$AA$191)&lt;=AsOfDate,IF($Q49=0,$W49,IF(AND($S49&lt;&gt;"",EDATE($D49,Milestones!$AA$191)&gt;=$S49),$V49,IF(AND($R49&lt;&gt;"",EDATE($D49,Milestones!$AA$191)&gt;=$R49),$U49,$T49)))=Milestones!$AB$191),TEXT(EDATE($D49,Milestones!$AA$191),"dd/mm/yy")&amp;" "&amp;Milestones!$AB$191&amp;" "&amp;Milestones!$AC$191&amp;";  ","")&amp;IF(AND(EDATE($D49,Milestones!$AA$192)&lt;=AsOfDate,IF($Q49=0,$W49,IF(AND($S49&lt;&gt;"",EDATE($D49,Milestones!$AA$192)&gt;=$S49),$V49,IF(AND($R49&lt;&gt;"",EDATE($D49,Milestones!$AA$192)&gt;=$R49),$U49,$T49)))=Milestones!$AB$192),TEXT(EDATE($D49,Milestones!$AA$192),"dd/mm/yy")&amp;" "&amp;Milestones!$AB$192&amp;" "&amp;Milestones!$AC$192&amp;";  ","")&amp;IF(AND(EDATE($D49,Milestones!$AA$193)&lt;=AsOfDate,IF($Q49=0,$W49,IF(AND($S49&lt;&gt;"",EDATE($D49,Milestones!$AA$193)&gt;=$S49),$V49,IF(AND($R49&lt;&gt;"",EDATE($D49,Milestones!$AA$193)&gt;=$R49),$U49,$T49)))=Milestones!$AB$193),TEXT(EDATE($D49,Milestones!$AA$193),"dd/mm/yy")&amp;" "&amp;Milestones!$AB$193&amp;" "&amp;Milestones!$AC$193&amp;";  ","")&amp;IF(AND(EDATE($D49,Milestones!$AA$194)&lt;=AsOfDate,IF($Q49=0,$W49,IF(AND($S49&lt;&gt;"",EDATE($D49,Milestones!$AA$194)&gt;=$S49),$V49,IF(AND($R49&lt;&gt;"",EDATE($D49,Milestones!$AA$194)&gt;=$R49),$U49,$T49)))=Milestones!$AB$194),TEXT(EDATE($D49,Milestones!$AA$194),"dd/mm/yy")&amp;" "&amp;Milestones!$AB$194&amp;" "&amp;Milestones!$AC$194&amp;";  ","")&amp;IF(AND(EDATE($D49,Milestones!$AA$195)&lt;=AsOfDate,IF($Q49=0,$W49,IF(AND($S49&lt;&gt;"",EDATE($D49,Milestones!$AA$195)&gt;=$S49),$V49,IF(AND($R49&lt;&gt;"",EDATE($D49,Milestones!$AA$195)&gt;=$R49),$U49,$T49)))=Milestones!$AB$195),TEXT(EDATE($D49,Milestones!$AA$195),"dd/mm/yy")&amp;" "&amp;Milestones!$AB$195&amp;" "&amp;Milestones!$AC$195&amp;";  ","")&amp;IF(AND(EDATE($D49,Milestones!$AA$196)&lt;=AsOfDate,IF($Q49=0,$W49,IF(AND($S49&lt;&gt;"",EDATE($D49,Milestones!$AA$196)&gt;=$S49),$V49,IF(AND($R49&lt;&gt;"",EDATE($D49,Milestones!$AA$196)&gt;=$R49),$U49,$T49)))=Milestones!$AB$196),TEXT(EDATE($D49,Milestones!$AA$196),"dd/mm/yy")&amp;" "&amp;Milestones!$AB$196&amp;" "&amp;Milestones!$AC$196&amp;";  ","")&amp;IF(AND(EDATE($D49,Milestones!$AA$197)&lt;=AsOfDate,IF($Q49=0,$W49,IF(AND($S49&lt;&gt;"",EDATE($D49,Milestones!$AA$197)&gt;=$S49),$V49,IF(AND($R49&lt;&gt;"",EDATE($D49,Milestones!$AA$197)&gt;=$R49),$U49,$T49)))=Milestones!$AB$197),TEXT(EDATE($D49,Milestones!$AA$197),"dd/mm/yy")&amp;" "&amp;Milestones!$AB$197&amp;" "&amp;Milestones!$AC$197&amp;";  ","")&amp;IF(AND(EDATE($D49,Milestones!$AA$198)&lt;=AsOfDate,IF($Q49=0,$W49,IF(AND($S49&lt;&gt;"",EDATE($D49,Milestones!$AA$198)&gt;=$S49),$V49,IF(AND($R49&lt;&gt;"",EDATE($D49,Milestones!$AA$198)&gt;=$R49),$U49,$T49)))=Milestones!$AB$198),TEXT(EDATE($D49,Milestones!$AA$198),"dd/mm/yy")&amp;" "&amp;Milestones!$AB$198&amp;" "&amp;Milestones!$AC$198&amp;";  ","")&amp;IF(AND(EDATE($D49,Milestones!$AA$199)&lt;=AsOfDate,IF($Q49=0,$W49,IF(AND($S49&lt;&gt;"",EDATE($D49,Milestones!$AA$199)&gt;=$S49),$V49,IF(AND($R49&lt;&gt;"",EDATE($D49,Milestones!$AA$199)&gt;=$R49),$U49,$T49)))=Milestones!$AB$199),TEXT(EDATE($D49,Milestones!$AA$199),"dd/mm/yy")&amp;" "&amp;Milestones!$AB$199&amp;" "&amp;Milestones!$AC$199&amp;";  ",""))</f>
        <v/>
      </c>
      <c r="Q49" s="0" t="str">
        <f aca="false">IF(Staff!$A49="","",Staff!$AG49)</f>
        <v/>
      </c>
      <c r="R49" s="0" t="str">
        <f aca="false">IF(Staff!$A49="","",Staff!$AI49)</f>
        <v/>
      </c>
      <c r="S49" s="0" t="str">
        <f aca="false">IF(Staff!$A49="","",Staff!$AJ49)</f>
        <v/>
      </c>
      <c r="T49" s="0" t="str">
        <f aca="false">IF(Staff!$A49="","",Staff!$AN49)</f>
        <v/>
      </c>
      <c r="U49" s="0" t="str">
        <f aca="false">IF(Staff!$A49="","",Staff!$AO49)</f>
        <v/>
      </c>
      <c r="V49" s="0" t="str">
        <f aca="false">IF(Staff!$A49="","",Staff!$AP49)</f>
        <v/>
      </c>
      <c r="W49" s="0" t="str">
        <f aca="false">IF(Staff!$A49="","",Staff!$AQ49)</f>
        <v/>
      </c>
    </row>
    <row r="50" customFormat="false" ht="15" hidden="false" customHeight="false" outlineLevel="0" collapsed="false">
      <c r="A50" s="13" t="str">
        <f aca="false">IF(Staff!$A50="","",Staff!$A50)</f>
        <v/>
      </c>
      <c r="B50" s="13" t="str">
        <f aca="false">IF(Staff!$A50="","",Staff!$B50)</f>
        <v/>
      </c>
      <c r="C50" s="13" t="str">
        <f aca="false">IF(Staff!$A50="","",Staff!$C50)</f>
        <v/>
      </c>
      <c r="D50" s="11" t="str">
        <f aca="false">IF(Staff!$A50="","",Staff!$AF50)</f>
        <v/>
      </c>
      <c r="E50" s="13" t="str">
        <f aca="false">IF(Staff!$A50="","",Staff!$O50)</f>
        <v/>
      </c>
      <c r="F50" s="13" t="str">
        <f aca="false">IF(E50="","",E50*HoursPerDay)</f>
        <v/>
      </c>
      <c r="G50" s="26" t="str">
        <f aca="false">IF($A50="","",H50&amp;I50&amp;J50&amp;K50&amp;L50&amp;M50&amp;N50&amp;O50&amp;P50)</f>
        <v/>
      </c>
      <c r="H50" s="0" t="str">
        <f aca="false">IF(OR($A50="",$D50=""),"",IF(AND(EDATE($D50,Milestones!$AA$20)&lt;=AsOfDate,IF($Q50=0,$W50,IF(AND($S50&lt;&gt;"",EDATE($D50,Milestones!$AA$20)&gt;=$S50),$V50,IF(AND($R50&lt;&gt;"",EDATE($D50,Milestones!$AA$20)&gt;=$R50),$U50,$T50)))=Milestones!$AB$20),TEXT(EDATE($D50,Milestones!$AA$20),"dd/mm/yy")&amp;" "&amp;Milestones!$AB$20&amp;" "&amp;Milestones!$AC$20&amp;";  ","")&amp;IF(AND(EDATE($D50,Milestones!$AA$21)&lt;=AsOfDate,IF($Q50=0,$W50,IF(AND($S50&lt;&gt;"",EDATE($D50,Milestones!$AA$21)&gt;=$S50),$V50,IF(AND($R50&lt;&gt;"",EDATE($D50,Milestones!$AA$21)&gt;=$R50),$U50,$T50)))=Milestones!$AB$21),TEXT(EDATE($D50,Milestones!$AA$21),"dd/mm/yy")&amp;" "&amp;Milestones!$AB$21&amp;" "&amp;Milestones!$AC$21&amp;";  ","")&amp;IF(AND(EDATE($D50,Milestones!$AA$22)&lt;=AsOfDate,IF($Q50=0,$W50,IF(AND($S50&lt;&gt;"",EDATE($D50,Milestones!$AA$22)&gt;=$S50),$V50,IF(AND($R50&lt;&gt;"",EDATE($D50,Milestones!$AA$22)&gt;=$R50),$U50,$T50)))=Milestones!$AB$22),TEXT(EDATE($D50,Milestones!$AA$22),"dd/mm/yy")&amp;" "&amp;Milestones!$AB$22&amp;" "&amp;Milestones!$AC$22&amp;";  ","")&amp;IF(AND(EDATE($D50,Milestones!$AA$23)&lt;=AsOfDate,IF($Q50=0,$W50,IF(AND($S50&lt;&gt;"",EDATE($D50,Milestones!$AA$23)&gt;=$S50),$V50,IF(AND($R50&lt;&gt;"",EDATE($D50,Milestones!$AA$23)&gt;=$R50),$U50,$T50)))=Milestones!$AB$23),TEXT(EDATE($D50,Milestones!$AA$23),"dd/mm/yy")&amp;" "&amp;Milestones!$AB$23&amp;" "&amp;Milestones!$AC$23&amp;";  ","")&amp;IF(AND(EDATE($D50,Milestones!$AA$24)&lt;=AsOfDate,IF($Q50=0,$W50,IF(AND($S50&lt;&gt;"",EDATE($D50,Milestones!$AA$24)&gt;=$S50),$V50,IF(AND($R50&lt;&gt;"",EDATE($D50,Milestones!$AA$24)&gt;=$R50),$U50,$T50)))=Milestones!$AB$24),TEXT(EDATE($D50,Milestones!$AA$24),"dd/mm/yy")&amp;" "&amp;Milestones!$AB$24&amp;" "&amp;Milestones!$AC$24&amp;";  ","")&amp;IF(AND(EDATE($D50,Milestones!$AA$25)&lt;=AsOfDate,IF($Q50=0,$W50,IF(AND($S50&lt;&gt;"",EDATE($D50,Milestones!$AA$25)&gt;=$S50),$V50,IF(AND($R50&lt;&gt;"",EDATE($D50,Milestones!$AA$25)&gt;=$R50),$U50,$T50)))=Milestones!$AB$25),TEXT(EDATE($D50,Milestones!$AA$25),"dd/mm/yy")&amp;" "&amp;Milestones!$AB$25&amp;" "&amp;Milestones!$AC$25&amp;";  ","")&amp;IF(AND(EDATE($D50,Milestones!$AA$26)&lt;=AsOfDate,IF($Q50=0,$W50,IF(AND($S50&lt;&gt;"",EDATE($D50,Milestones!$AA$26)&gt;=$S50),$V50,IF(AND($R50&lt;&gt;"",EDATE($D50,Milestones!$AA$26)&gt;=$R50),$U50,$T50)))=Milestones!$AB$26),TEXT(EDATE($D50,Milestones!$AA$26),"dd/mm/yy")&amp;" "&amp;Milestones!$AB$26&amp;" "&amp;Milestones!$AC$26&amp;";  ","")&amp;IF(AND(EDATE($D50,Milestones!$AA$27)&lt;=AsOfDate,IF($Q50=0,$W50,IF(AND($S50&lt;&gt;"",EDATE($D50,Milestones!$AA$27)&gt;=$S50),$V50,IF(AND($R50&lt;&gt;"",EDATE($D50,Milestones!$AA$27)&gt;=$R50),$U50,$T50)))=Milestones!$AB$27),TEXT(EDATE($D50,Milestones!$AA$27),"dd/mm/yy")&amp;" "&amp;Milestones!$AB$27&amp;" "&amp;Milestones!$AC$27&amp;";  ","")&amp;IF(AND(EDATE($D50,Milestones!$AA$28)&lt;=AsOfDate,IF($Q50=0,$W50,IF(AND($S50&lt;&gt;"",EDATE($D50,Milestones!$AA$28)&gt;=$S50),$V50,IF(AND($R50&lt;&gt;"",EDATE($D50,Milestones!$AA$28)&gt;=$R50),$U50,$T50)))=Milestones!$AB$28),TEXT(EDATE($D50,Milestones!$AA$28),"dd/mm/yy")&amp;" "&amp;Milestones!$AB$28&amp;" "&amp;Milestones!$AC$28&amp;";  ","")&amp;IF(AND(EDATE($D50,Milestones!$AA$29)&lt;=AsOfDate,IF($Q50=0,$W50,IF(AND($S50&lt;&gt;"",EDATE($D50,Milestones!$AA$29)&gt;=$S50),$V50,IF(AND($R50&lt;&gt;"",EDATE($D50,Milestones!$AA$29)&gt;=$R50),$U50,$T50)))=Milestones!$AB$29),TEXT(EDATE($D50,Milestones!$AA$29),"dd/mm/yy")&amp;" "&amp;Milestones!$AB$29&amp;" "&amp;Milestones!$AC$29&amp;";  ","")&amp;IF(AND(EDATE($D50,Milestones!$AA$30)&lt;=AsOfDate,IF($Q50=0,$W50,IF(AND($S50&lt;&gt;"",EDATE($D50,Milestones!$AA$30)&gt;=$S50),$V50,IF(AND($R50&lt;&gt;"",EDATE($D50,Milestones!$AA$30)&gt;=$R50),$U50,$T50)))=Milestones!$AB$30),TEXT(EDATE($D50,Milestones!$AA$30),"dd/mm/yy")&amp;" "&amp;Milestones!$AB$30&amp;" "&amp;Milestones!$AC$30&amp;";  ","")&amp;IF(AND(EDATE($D50,Milestones!$AA$31)&lt;=AsOfDate,IF($Q50=0,$W50,IF(AND($S50&lt;&gt;"",EDATE($D50,Milestones!$AA$31)&gt;=$S50),$V50,IF(AND($R50&lt;&gt;"",EDATE($D50,Milestones!$AA$31)&gt;=$R50),$U50,$T50)))=Milestones!$AB$31),TEXT(EDATE($D50,Milestones!$AA$31),"dd/mm/yy")&amp;" "&amp;Milestones!$AB$31&amp;" "&amp;Milestones!$AC$31&amp;";  ","")&amp;IF(AND(EDATE($D50,Milestones!$AA$32)&lt;=AsOfDate,IF($Q50=0,$W50,IF(AND($S50&lt;&gt;"",EDATE($D50,Milestones!$AA$32)&gt;=$S50),$V50,IF(AND($R50&lt;&gt;"",EDATE($D50,Milestones!$AA$32)&gt;=$R50),$U50,$T50)))=Milestones!$AB$32),TEXT(EDATE($D50,Milestones!$AA$32),"dd/mm/yy")&amp;" "&amp;Milestones!$AB$32&amp;" "&amp;Milestones!$AC$32&amp;";  ","")&amp;IF(AND(EDATE($D50,Milestones!$AA$33)&lt;=AsOfDate,IF($Q50=0,$W50,IF(AND($S50&lt;&gt;"",EDATE($D50,Milestones!$AA$33)&gt;=$S50),$V50,IF(AND($R50&lt;&gt;"",EDATE($D50,Milestones!$AA$33)&gt;=$R50),$U50,$T50)))=Milestones!$AB$33),TEXT(EDATE($D50,Milestones!$AA$33),"dd/mm/yy")&amp;" "&amp;Milestones!$AB$33&amp;" "&amp;Milestones!$AC$33&amp;";  ","")&amp;IF(AND(EDATE($D50,Milestones!$AA$34)&lt;=AsOfDate,IF($Q50=0,$W50,IF(AND($S50&lt;&gt;"",EDATE($D50,Milestones!$AA$34)&gt;=$S50),$V50,IF(AND($R50&lt;&gt;"",EDATE($D50,Milestones!$AA$34)&gt;=$R50),$U50,$T50)))=Milestones!$AB$34),TEXT(EDATE($D50,Milestones!$AA$34),"dd/mm/yy")&amp;" "&amp;Milestones!$AB$34&amp;" "&amp;Milestones!$AC$34&amp;";  ","")&amp;IF(AND(EDATE($D50,Milestones!$AA$35)&lt;=AsOfDate,IF($Q50=0,$W50,IF(AND($S50&lt;&gt;"",EDATE($D50,Milestones!$AA$35)&gt;=$S50),$V50,IF(AND($R50&lt;&gt;"",EDATE($D50,Milestones!$AA$35)&gt;=$R50),$U50,$T50)))=Milestones!$AB$35),TEXT(EDATE($D50,Milestones!$AA$35),"dd/mm/yy")&amp;" "&amp;Milestones!$AB$35&amp;" "&amp;Milestones!$AC$35&amp;";  ","")&amp;IF(AND(EDATE($D50,Milestones!$AA$36)&lt;=AsOfDate,IF($Q50=0,$W50,IF(AND($S50&lt;&gt;"",EDATE($D50,Milestones!$AA$36)&gt;=$S50),$V50,IF(AND($R50&lt;&gt;"",EDATE($D50,Milestones!$AA$36)&gt;=$R50),$U50,$T50)))=Milestones!$AB$36),TEXT(EDATE($D50,Milestones!$AA$36),"dd/mm/yy")&amp;" "&amp;Milestones!$AB$36&amp;" "&amp;Milestones!$AC$36&amp;";  ","")&amp;IF(AND(EDATE($D50,Milestones!$AA$37)&lt;=AsOfDate,IF($Q50=0,$W50,IF(AND($S50&lt;&gt;"",EDATE($D50,Milestones!$AA$37)&gt;=$S50),$V50,IF(AND($R50&lt;&gt;"",EDATE($D50,Milestones!$AA$37)&gt;=$R50),$U50,$T50)))=Milestones!$AB$37),TEXT(EDATE($D50,Milestones!$AA$37),"dd/mm/yy")&amp;" "&amp;Milestones!$AB$37&amp;" "&amp;Milestones!$AC$37&amp;";  ","")&amp;IF(AND(EDATE($D50,Milestones!$AA$38)&lt;=AsOfDate,IF($Q50=0,$W50,IF(AND($S50&lt;&gt;"",EDATE($D50,Milestones!$AA$38)&gt;=$S50),$V50,IF(AND($R50&lt;&gt;"",EDATE($D50,Milestones!$AA$38)&gt;=$R50),$U50,$T50)))=Milestones!$AB$38),TEXT(EDATE($D50,Milestones!$AA$38),"dd/mm/yy")&amp;" "&amp;Milestones!$AB$38&amp;" "&amp;Milestones!$AC$38&amp;";  ","")&amp;IF(AND(EDATE($D50,Milestones!$AA$39)&lt;=AsOfDate,IF($Q50=0,$W50,IF(AND($S50&lt;&gt;"",EDATE($D50,Milestones!$AA$39)&gt;=$S50),$V50,IF(AND($R50&lt;&gt;"",EDATE($D50,Milestones!$AA$39)&gt;=$R50),$U50,$T50)))=Milestones!$AB$39),TEXT(EDATE($D50,Milestones!$AA$39),"dd/mm/yy")&amp;" "&amp;Milestones!$AB$39&amp;" "&amp;Milestones!$AC$39&amp;";  ",""))</f>
        <v/>
      </c>
      <c r="I50" s="0" t="str">
        <f aca="false">IF(OR($A50="",$D50=""),"",IF(AND(EDATE($D50,Milestones!$AA$40)&lt;=AsOfDate,IF($Q50=0,$W50,IF(AND($S50&lt;&gt;"",EDATE($D50,Milestones!$AA$40)&gt;=$S50),$V50,IF(AND($R50&lt;&gt;"",EDATE($D50,Milestones!$AA$40)&gt;=$R50),$U50,$T50)))=Milestones!$AB$40),TEXT(EDATE($D50,Milestones!$AA$40),"dd/mm/yy")&amp;" "&amp;Milestones!$AB$40&amp;" "&amp;Milestones!$AC$40&amp;";  ","")&amp;IF(AND(EDATE($D50,Milestones!$AA$41)&lt;=AsOfDate,IF($Q50=0,$W50,IF(AND($S50&lt;&gt;"",EDATE($D50,Milestones!$AA$41)&gt;=$S50),$V50,IF(AND($R50&lt;&gt;"",EDATE($D50,Milestones!$AA$41)&gt;=$R50),$U50,$T50)))=Milestones!$AB$41),TEXT(EDATE($D50,Milestones!$AA$41),"dd/mm/yy")&amp;" "&amp;Milestones!$AB$41&amp;" "&amp;Milestones!$AC$41&amp;";  ","")&amp;IF(AND(EDATE($D50,Milestones!$AA$42)&lt;=AsOfDate,IF($Q50=0,$W50,IF(AND($S50&lt;&gt;"",EDATE($D50,Milestones!$AA$42)&gt;=$S50),$V50,IF(AND($R50&lt;&gt;"",EDATE($D50,Milestones!$AA$42)&gt;=$R50),$U50,$T50)))=Milestones!$AB$42),TEXT(EDATE($D50,Milestones!$AA$42),"dd/mm/yy")&amp;" "&amp;Milestones!$AB$42&amp;" "&amp;Milestones!$AC$42&amp;";  ","")&amp;IF(AND(EDATE($D50,Milestones!$AA$43)&lt;=AsOfDate,IF($Q50=0,$W50,IF(AND($S50&lt;&gt;"",EDATE($D50,Milestones!$AA$43)&gt;=$S50),$V50,IF(AND($R50&lt;&gt;"",EDATE($D50,Milestones!$AA$43)&gt;=$R50),$U50,$T50)))=Milestones!$AB$43),TEXT(EDATE($D50,Milestones!$AA$43),"dd/mm/yy")&amp;" "&amp;Milestones!$AB$43&amp;" "&amp;Milestones!$AC$43&amp;";  ","")&amp;IF(AND(EDATE($D50,Milestones!$AA$44)&lt;=AsOfDate,IF($Q50=0,$W50,IF(AND($S50&lt;&gt;"",EDATE($D50,Milestones!$AA$44)&gt;=$S50),$V50,IF(AND($R50&lt;&gt;"",EDATE($D50,Milestones!$AA$44)&gt;=$R50),$U50,$T50)))=Milestones!$AB$44),TEXT(EDATE($D50,Milestones!$AA$44),"dd/mm/yy")&amp;" "&amp;Milestones!$AB$44&amp;" "&amp;Milestones!$AC$44&amp;";  ","")&amp;IF(AND(EDATE($D50,Milestones!$AA$45)&lt;=AsOfDate,IF($Q50=0,$W50,IF(AND($S50&lt;&gt;"",EDATE($D50,Milestones!$AA$45)&gt;=$S50),$V50,IF(AND($R50&lt;&gt;"",EDATE($D50,Milestones!$AA$45)&gt;=$R50),$U50,$T50)))=Milestones!$AB$45),TEXT(EDATE($D50,Milestones!$AA$45),"dd/mm/yy")&amp;" "&amp;Milestones!$AB$45&amp;" "&amp;Milestones!$AC$45&amp;";  ","")&amp;IF(AND(EDATE($D50,Milestones!$AA$46)&lt;=AsOfDate,IF($Q50=0,$W50,IF(AND($S50&lt;&gt;"",EDATE($D50,Milestones!$AA$46)&gt;=$S50),$V50,IF(AND($R50&lt;&gt;"",EDATE($D50,Milestones!$AA$46)&gt;=$R50),$U50,$T50)))=Milestones!$AB$46),TEXT(EDATE($D50,Milestones!$AA$46),"dd/mm/yy")&amp;" "&amp;Milestones!$AB$46&amp;" "&amp;Milestones!$AC$46&amp;";  ","")&amp;IF(AND(EDATE($D50,Milestones!$AA$47)&lt;=AsOfDate,IF($Q50=0,$W50,IF(AND($S50&lt;&gt;"",EDATE($D50,Milestones!$AA$47)&gt;=$S50),$V50,IF(AND($R50&lt;&gt;"",EDATE($D50,Milestones!$AA$47)&gt;=$R50),$U50,$T50)))=Milestones!$AB$47),TEXT(EDATE($D50,Milestones!$AA$47),"dd/mm/yy")&amp;" "&amp;Milestones!$AB$47&amp;" "&amp;Milestones!$AC$47&amp;";  ","")&amp;IF(AND(EDATE($D50,Milestones!$AA$48)&lt;=AsOfDate,IF($Q50=0,$W50,IF(AND($S50&lt;&gt;"",EDATE($D50,Milestones!$AA$48)&gt;=$S50),$V50,IF(AND($R50&lt;&gt;"",EDATE($D50,Milestones!$AA$48)&gt;=$R50),$U50,$T50)))=Milestones!$AB$48),TEXT(EDATE($D50,Milestones!$AA$48),"dd/mm/yy")&amp;" "&amp;Milestones!$AB$48&amp;" "&amp;Milestones!$AC$48&amp;";  ","")&amp;IF(AND(EDATE($D50,Milestones!$AA$49)&lt;=AsOfDate,IF($Q50=0,$W50,IF(AND($S50&lt;&gt;"",EDATE($D50,Milestones!$AA$49)&gt;=$S50),$V50,IF(AND($R50&lt;&gt;"",EDATE($D50,Milestones!$AA$49)&gt;=$R50),$U50,$T50)))=Milestones!$AB$49),TEXT(EDATE($D50,Milestones!$AA$49),"dd/mm/yy")&amp;" "&amp;Milestones!$AB$49&amp;" "&amp;Milestones!$AC$49&amp;";  ","")&amp;IF(AND(EDATE($D50,Milestones!$AA$50)&lt;=AsOfDate,IF($Q50=0,$W50,IF(AND($S50&lt;&gt;"",EDATE($D50,Milestones!$AA$50)&gt;=$S50),$V50,IF(AND($R50&lt;&gt;"",EDATE($D50,Milestones!$AA$50)&gt;=$R50),$U50,$T50)))=Milestones!$AB$50),TEXT(EDATE($D50,Milestones!$AA$50),"dd/mm/yy")&amp;" "&amp;Milestones!$AB$50&amp;" "&amp;Milestones!$AC$50&amp;";  ","")&amp;IF(AND(EDATE($D50,Milestones!$AA$51)&lt;=AsOfDate,IF($Q50=0,$W50,IF(AND($S50&lt;&gt;"",EDATE($D50,Milestones!$AA$51)&gt;=$S50),$V50,IF(AND($R50&lt;&gt;"",EDATE($D50,Milestones!$AA$51)&gt;=$R50),$U50,$T50)))=Milestones!$AB$51),TEXT(EDATE($D50,Milestones!$AA$51),"dd/mm/yy")&amp;" "&amp;Milestones!$AB$51&amp;" "&amp;Milestones!$AC$51&amp;";  ","")&amp;IF(AND(EDATE($D50,Milestones!$AA$52)&lt;=AsOfDate,IF($Q50=0,$W50,IF(AND($S50&lt;&gt;"",EDATE($D50,Milestones!$AA$52)&gt;=$S50),$V50,IF(AND($R50&lt;&gt;"",EDATE($D50,Milestones!$AA$52)&gt;=$R50),$U50,$T50)))=Milestones!$AB$52),TEXT(EDATE($D50,Milestones!$AA$52),"dd/mm/yy")&amp;" "&amp;Milestones!$AB$52&amp;" "&amp;Milestones!$AC$52&amp;";  ","")&amp;IF(AND(EDATE($D50,Milestones!$AA$53)&lt;=AsOfDate,IF($Q50=0,$W50,IF(AND($S50&lt;&gt;"",EDATE($D50,Milestones!$AA$53)&gt;=$S50),$V50,IF(AND($R50&lt;&gt;"",EDATE($D50,Milestones!$AA$53)&gt;=$R50),$U50,$T50)))=Milestones!$AB$53),TEXT(EDATE($D50,Milestones!$AA$53),"dd/mm/yy")&amp;" "&amp;Milestones!$AB$53&amp;" "&amp;Milestones!$AC$53&amp;";  ","")&amp;IF(AND(EDATE($D50,Milestones!$AA$54)&lt;=AsOfDate,IF($Q50=0,$W50,IF(AND($S50&lt;&gt;"",EDATE($D50,Milestones!$AA$54)&gt;=$S50),$V50,IF(AND($R50&lt;&gt;"",EDATE($D50,Milestones!$AA$54)&gt;=$R50),$U50,$T50)))=Milestones!$AB$54),TEXT(EDATE($D50,Milestones!$AA$54),"dd/mm/yy")&amp;" "&amp;Milestones!$AB$54&amp;" "&amp;Milestones!$AC$54&amp;";  ","")&amp;IF(AND(EDATE($D50,Milestones!$AA$55)&lt;=AsOfDate,IF($Q50=0,$W50,IF(AND($S50&lt;&gt;"",EDATE($D50,Milestones!$AA$55)&gt;=$S50),$V50,IF(AND($R50&lt;&gt;"",EDATE($D50,Milestones!$AA$55)&gt;=$R50),$U50,$T50)))=Milestones!$AB$55),TEXT(EDATE($D50,Milestones!$AA$55),"dd/mm/yy")&amp;" "&amp;Milestones!$AB$55&amp;" "&amp;Milestones!$AC$55&amp;";  ","")&amp;IF(AND(EDATE($D50,Milestones!$AA$56)&lt;=AsOfDate,IF($Q50=0,$W50,IF(AND($S50&lt;&gt;"",EDATE($D50,Milestones!$AA$56)&gt;=$S50),$V50,IF(AND($R50&lt;&gt;"",EDATE($D50,Milestones!$AA$56)&gt;=$R50),$U50,$T50)))=Milestones!$AB$56),TEXT(EDATE($D50,Milestones!$AA$56),"dd/mm/yy")&amp;" "&amp;Milestones!$AB$56&amp;" "&amp;Milestones!$AC$56&amp;";  ","")&amp;IF(AND(EDATE($D50,Milestones!$AA$57)&lt;=AsOfDate,IF($Q50=0,$W50,IF(AND($S50&lt;&gt;"",EDATE($D50,Milestones!$AA$57)&gt;=$S50),$V50,IF(AND($R50&lt;&gt;"",EDATE($D50,Milestones!$AA$57)&gt;=$R50),$U50,$T50)))=Milestones!$AB$57),TEXT(EDATE($D50,Milestones!$AA$57),"dd/mm/yy")&amp;" "&amp;Milestones!$AB$57&amp;" "&amp;Milestones!$AC$57&amp;";  ","")&amp;IF(AND(EDATE($D50,Milestones!$AA$58)&lt;=AsOfDate,IF($Q50=0,$W50,IF(AND($S50&lt;&gt;"",EDATE($D50,Milestones!$AA$58)&gt;=$S50),$V50,IF(AND($R50&lt;&gt;"",EDATE($D50,Milestones!$AA$58)&gt;=$R50),$U50,$T50)))=Milestones!$AB$58),TEXT(EDATE($D50,Milestones!$AA$58),"dd/mm/yy")&amp;" "&amp;Milestones!$AB$58&amp;" "&amp;Milestones!$AC$58&amp;";  ","")&amp;IF(AND(EDATE($D50,Milestones!$AA$59)&lt;=AsOfDate,IF($Q50=0,$W50,IF(AND($S50&lt;&gt;"",EDATE($D50,Milestones!$AA$59)&gt;=$S50),$V50,IF(AND($R50&lt;&gt;"",EDATE($D50,Milestones!$AA$59)&gt;=$R50),$U50,$T50)))=Milestones!$AB$59),TEXT(EDATE($D50,Milestones!$AA$59),"dd/mm/yy")&amp;" "&amp;Milestones!$AB$59&amp;" "&amp;Milestones!$AC$59&amp;";  ",""))</f>
        <v/>
      </c>
      <c r="J50" s="0" t="str">
        <f aca="false">IF(OR($A50="",$D50=""),"",IF(AND(EDATE($D50,Milestones!$AA$60)&lt;=AsOfDate,IF($Q50=0,$W50,IF(AND($S50&lt;&gt;"",EDATE($D50,Milestones!$AA$60)&gt;=$S50),$V50,IF(AND($R50&lt;&gt;"",EDATE($D50,Milestones!$AA$60)&gt;=$R50),$U50,$T50)))=Milestones!$AB$60),TEXT(EDATE($D50,Milestones!$AA$60),"dd/mm/yy")&amp;" "&amp;Milestones!$AB$60&amp;" "&amp;Milestones!$AC$60&amp;";  ","")&amp;IF(AND(EDATE($D50,Milestones!$AA$61)&lt;=AsOfDate,IF($Q50=0,$W50,IF(AND($S50&lt;&gt;"",EDATE($D50,Milestones!$AA$61)&gt;=$S50),$V50,IF(AND($R50&lt;&gt;"",EDATE($D50,Milestones!$AA$61)&gt;=$R50),$U50,$T50)))=Milestones!$AB$61),TEXT(EDATE($D50,Milestones!$AA$61),"dd/mm/yy")&amp;" "&amp;Milestones!$AB$61&amp;" "&amp;Milestones!$AC$61&amp;";  ","")&amp;IF(AND(EDATE($D50,Milestones!$AA$62)&lt;=AsOfDate,IF($Q50=0,$W50,IF(AND($S50&lt;&gt;"",EDATE($D50,Milestones!$AA$62)&gt;=$S50),$V50,IF(AND($R50&lt;&gt;"",EDATE($D50,Milestones!$AA$62)&gt;=$R50),$U50,$T50)))=Milestones!$AB$62),TEXT(EDATE($D50,Milestones!$AA$62),"dd/mm/yy")&amp;" "&amp;Milestones!$AB$62&amp;" "&amp;Milestones!$AC$62&amp;";  ","")&amp;IF(AND(EDATE($D50,Milestones!$AA$63)&lt;=AsOfDate,IF($Q50=0,$W50,IF(AND($S50&lt;&gt;"",EDATE($D50,Milestones!$AA$63)&gt;=$S50),$V50,IF(AND($R50&lt;&gt;"",EDATE($D50,Milestones!$AA$63)&gt;=$R50),$U50,$T50)))=Milestones!$AB$63),TEXT(EDATE($D50,Milestones!$AA$63),"dd/mm/yy")&amp;" "&amp;Milestones!$AB$63&amp;" "&amp;Milestones!$AC$63&amp;";  ","")&amp;IF(AND(EDATE($D50,Milestones!$AA$64)&lt;=AsOfDate,IF($Q50=0,$W50,IF(AND($S50&lt;&gt;"",EDATE($D50,Milestones!$AA$64)&gt;=$S50),$V50,IF(AND($R50&lt;&gt;"",EDATE($D50,Milestones!$AA$64)&gt;=$R50),$U50,$T50)))=Milestones!$AB$64),TEXT(EDATE($D50,Milestones!$AA$64),"dd/mm/yy")&amp;" "&amp;Milestones!$AB$64&amp;" "&amp;Milestones!$AC$64&amp;";  ","")&amp;IF(AND(EDATE($D50,Milestones!$AA$65)&lt;=AsOfDate,IF($Q50=0,$W50,IF(AND($S50&lt;&gt;"",EDATE($D50,Milestones!$AA$65)&gt;=$S50),$V50,IF(AND($R50&lt;&gt;"",EDATE($D50,Milestones!$AA$65)&gt;=$R50),$U50,$T50)))=Milestones!$AB$65),TEXT(EDATE($D50,Milestones!$AA$65),"dd/mm/yy")&amp;" "&amp;Milestones!$AB$65&amp;" "&amp;Milestones!$AC$65&amp;";  ","")&amp;IF(AND(EDATE($D50,Milestones!$AA$66)&lt;=AsOfDate,IF($Q50=0,$W50,IF(AND($S50&lt;&gt;"",EDATE($D50,Milestones!$AA$66)&gt;=$S50),$V50,IF(AND($R50&lt;&gt;"",EDATE($D50,Milestones!$AA$66)&gt;=$R50),$U50,$T50)))=Milestones!$AB$66),TEXT(EDATE($D50,Milestones!$AA$66),"dd/mm/yy")&amp;" "&amp;Milestones!$AB$66&amp;" "&amp;Milestones!$AC$66&amp;";  ","")&amp;IF(AND(EDATE($D50,Milestones!$AA$67)&lt;=AsOfDate,IF($Q50=0,$W50,IF(AND($S50&lt;&gt;"",EDATE($D50,Milestones!$AA$67)&gt;=$S50),$V50,IF(AND($R50&lt;&gt;"",EDATE($D50,Milestones!$AA$67)&gt;=$R50),$U50,$T50)))=Milestones!$AB$67),TEXT(EDATE($D50,Milestones!$AA$67),"dd/mm/yy")&amp;" "&amp;Milestones!$AB$67&amp;" "&amp;Milestones!$AC$67&amp;";  ","")&amp;IF(AND(EDATE($D50,Milestones!$AA$68)&lt;=AsOfDate,IF($Q50=0,$W50,IF(AND($S50&lt;&gt;"",EDATE($D50,Milestones!$AA$68)&gt;=$S50),$V50,IF(AND($R50&lt;&gt;"",EDATE($D50,Milestones!$AA$68)&gt;=$R50),$U50,$T50)))=Milestones!$AB$68),TEXT(EDATE($D50,Milestones!$AA$68),"dd/mm/yy")&amp;" "&amp;Milestones!$AB$68&amp;" "&amp;Milestones!$AC$68&amp;";  ","")&amp;IF(AND(EDATE($D50,Milestones!$AA$69)&lt;=AsOfDate,IF($Q50=0,$W50,IF(AND($S50&lt;&gt;"",EDATE($D50,Milestones!$AA$69)&gt;=$S50),$V50,IF(AND($R50&lt;&gt;"",EDATE($D50,Milestones!$AA$69)&gt;=$R50),$U50,$T50)))=Milestones!$AB$69),TEXT(EDATE($D50,Milestones!$AA$69),"dd/mm/yy")&amp;" "&amp;Milestones!$AB$69&amp;" "&amp;Milestones!$AC$69&amp;";  ","")&amp;IF(AND(EDATE($D50,Milestones!$AA$70)&lt;=AsOfDate,IF($Q50=0,$W50,IF(AND($S50&lt;&gt;"",EDATE($D50,Milestones!$AA$70)&gt;=$S50),$V50,IF(AND($R50&lt;&gt;"",EDATE($D50,Milestones!$AA$70)&gt;=$R50),$U50,$T50)))=Milestones!$AB$70),TEXT(EDATE($D50,Milestones!$AA$70),"dd/mm/yy")&amp;" "&amp;Milestones!$AB$70&amp;" "&amp;Milestones!$AC$70&amp;";  ","")&amp;IF(AND(EDATE($D50,Milestones!$AA$71)&lt;=AsOfDate,IF($Q50=0,$W50,IF(AND($S50&lt;&gt;"",EDATE($D50,Milestones!$AA$71)&gt;=$S50),$V50,IF(AND($R50&lt;&gt;"",EDATE($D50,Milestones!$AA$71)&gt;=$R50),$U50,$T50)))=Milestones!$AB$71),TEXT(EDATE($D50,Milestones!$AA$71),"dd/mm/yy")&amp;" "&amp;Milestones!$AB$71&amp;" "&amp;Milestones!$AC$71&amp;";  ","")&amp;IF(AND(EDATE($D50,Milestones!$AA$72)&lt;=AsOfDate,IF($Q50=0,$W50,IF(AND($S50&lt;&gt;"",EDATE($D50,Milestones!$AA$72)&gt;=$S50),$V50,IF(AND($R50&lt;&gt;"",EDATE($D50,Milestones!$AA$72)&gt;=$R50),$U50,$T50)))=Milestones!$AB$72),TEXT(EDATE($D50,Milestones!$AA$72),"dd/mm/yy")&amp;" "&amp;Milestones!$AB$72&amp;" "&amp;Milestones!$AC$72&amp;";  ","")&amp;IF(AND(EDATE($D50,Milestones!$AA$73)&lt;=AsOfDate,IF($Q50=0,$W50,IF(AND($S50&lt;&gt;"",EDATE($D50,Milestones!$AA$73)&gt;=$S50),$V50,IF(AND($R50&lt;&gt;"",EDATE($D50,Milestones!$AA$73)&gt;=$R50),$U50,$T50)))=Milestones!$AB$73),TEXT(EDATE($D50,Milestones!$AA$73),"dd/mm/yy")&amp;" "&amp;Milestones!$AB$73&amp;" "&amp;Milestones!$AC$73&amp;";  ","")&amp;IF(AND(EDATE($D50,Milestones!$AA$74)&lt;=AsOfDate,IF($Q50=0,$W50,IF(AND($S50&lt;&gt;"",EDATE($D50,Milestones!$AA$74)&gt;=$S50),$V50,IF(AND($R50&lt;&gt;"",EDATE($D50,Milestones!$AA$74)&gt;=$R50),$U50,$T50)))=Milestones!$AB$74),TEXT(EDATE($D50,Milestones!$AA$74),"dd/mm/yy")&amp;" "&amp;Milestones!$AB$74&amp;" "&amp;Milestones!$AC$74&amp;";  ","")&amp;IF(AND(EDATE($D50,Milestones!$AA$75)&lt;=AsOfDate,IF($Q50=0,$W50,IF(AND($S50&lt;&gt;"",EDATE($D50,Milestones!$AA$75)&gt;=$S50),$V50,IF(AND($R50&lt;&gt;"",EDATE($D50,Milestones!$AA$75)&gt;=$R50),$U50,$T50)))=Milestones!$AB$75),TEXT(EDATE($D50,Milestones!$AA$75),"dd/mm/yy")&amp;" "&amp;Milestones!$AB$75&amp;" "&amp;Milestones!$AC$75&amp;";  ","")&amp;IF(AND(EDATE($D50,Milestones!$AA$76)&lt;=AsOfDate,IF($Q50=0,$W50,IF(AND($S50&lt;&gt;"",EDATE($D50,Milestones!$AA$76)&gt;=$S50),$V50,IF(AND($R50&lt;&gt;"",EDATE($D50,Milestones!$AA$76)&gt;=$R50),$U50,$T50)))=Milestones!$AB$76),TEXT(EDATE($D50,Milestones!$AA$76),"dd/mm/yy")&amp;" "&amp;Milestones!$AB$76&amp;" "&amp;Milestones!$AC$76&amp;";  ","")&amp;IF(AND(EDATE($D50,Milestones!$AA$77)&lt;=AsOfDate,IF($Q50=0,$W50,IF(AND($S50&lt;&gt;"",EDATE($D50,Milestones!$AA$77)&gt;=$S50),$V50,IF(AND($R50&lt;&gt;"",EDATE($D50,Milestones!$AA$77)&gt;=$R50),$U50,$T50)))=Milestones!$AB$77),TEXT(EDATE($D50,Milestones!$AA$77),"dd/mm/yy")&amp;" "&amp;Milestones!$AB$77&amp;" "&amp;Milestones!$AC$77&amp;";  ","")&amp;IF(AND(EDATE($D50,Milestones!$AA$78)&lt;=AsOfDate,IF($Q50=0,$W50,IF(AND($S50&lt;&gt;"",EDATE($D50,Milestones!$AA$78)&gt;=$S50),$V50,IF(AND($R50&lt;&gt;"",EDATE($D50,Milestones!$AA$78)&gt;=$R50),$U50,$T50)))=Milestones!$AB$78),TEXT(EDATE($D50,Milestones!$AA$78),"dd/mm/yy")&amp;" "&amp;Milestones!$AB$78&amp;" "&amp;Milestones!$AC$78&amp;";  ","")&amp;IF(AND(EDATE($D50,Milestones!$AA$79)&lt;=AsOfDate,IF($Q50=0,$W50,IF(AND($S50&lt;&gt;"",EDATE($D50,Milestones!$AA$79)&gt;=$S50),$V50,IF(AND($R50&lt;&gt;"",EDATE($D50,Milestones!$AA$79)&gt;=$R50),$U50,$T50)))=Milestones!$AB$79),TEXT(EDATE($D50,Milestones!$AA$79),"dd/mm/yy")&amp;" "&amp;Milestones!$AB$79&amp;" "&amp;Milestones!$AC$79&amp;";  ",""))</f>
        <v/>
      </c>
      <c r="K50" s="0" t="str">
        <f aca="false">IF(OR($A50="",$D50=""),"",IF(AND(EDATE($D50,Milestones!$AA$80)&lt;=AsOfDate,IF($Q50=0,$W50,IF(AND($S50&lt;&gt;"",EDATE($D50,Milestones!$AA$80)&gt;=$S50),$V50,IF(AND($R50&lt;&gt;"",EDATE($D50,Milestones!$AA$80)&gt;=$R50),$U50,$T50)))=Milestones!$AB$80),TEXT(EDATE($D50,Milestones!$AA$80),"dd/mm/yy")&amp;" "&amp;Milestones!$AB$80&amp;" "&amp;Milestones!$AC$80&amp;";  ","")&amp;IF(AND(EDATE($D50,Milestones!$AA$81)&lt;=AsOfDate,IF($Q50=0,$W50,IF(AND($S50&lt;&gt;"",EDATE($D50,Milestones!$AA$81)&gt;=$S50),$V50,IF(AND($R50&lt;&gt;"",EDATE($D50,Milestones!$AA$81)&gt;=$R50),$U50,$T50)))=Milestones!$AB$81),TEXT(EDATE($D50,Milestones!$AA$81),"dd/mm/yy")&amp;" "&amp;Milestones!$AB$81&amp;" "&amp;Milestones!$AC$81&amp;";  ","")&amp;IF(AND(EDATE($D50,Milestones!$AA$82)&lt;=AsOfDate,IF($Q50=0,$W50,IF(AND($S50&lt;&gt;"",EDATE($D50,Milestones!$AA$82)&gt;=$S50),$V50,IF(AND($R50&lt;&gt;"",EDATE($D50,Milestones!$AA$82)&gt;=$R50),$U50,$T50)))=Milestones!$AB$82),TEXT(EDATE($D50,Milestones!$AA$82),"dd/mm/yy")&amp;" "&amp;Milestones!$AB$82&amp;" "&amp;Milestones!$AC$82&amp;";  ","")&amp;IF(AND(EDATE($D50,Milestones!$AA$83)&lt;=AsOfDate,IF($Q50=0,$W50,IF(AND($S50&lt;&gt;"",EDATE($D50,Milestones!$AA$83)&gt;=$S50),$V50,IF(AND($R50&lt;&gt;"",EDATE($D50,Milestones!$AA$83)&gt;=$R50),$U50,$T50)))=Milestones!$AB$83),TEXT(EDATE($D50,Milestones!$AA$83),"dd/mm/yy")&amp;" "&amp;Milestones!$AB$83&amp;" "&amp;Milestones!$AC$83&amp;";  ","")&amp;IF(AND(EDATE($D50,Milestones!$AA$84)&lt;=AsOfDate,IF($Q50=0,$W50,IF(AND($S50&lt;&gt;"",EDATE($D50,Milestones!$AA$84)&gt;=$S50),$V50,IF(AND($R50&lt;&gt;"",EDATE($D50,Milestones!$AA$84)&gt;=$R50),$U50,$T50)))=Milestones!$AB$84),TEXT(EDATE($D50,Milestones!$AA$84),"dd/mm/yy")&amp;" "&amp;Milestones!$AB$84&amp;" "&amp;Milestones!$AC$84&amp;";  ","")&amp;IF(AND(EDATE($D50,Milestones!$AA$85)&lt;=AsOfDate,IF($Q50=0,$W50,IF(AND($S50&lt;&gt;"",EDATE($D50,Milestones!$AA$85)&gt;=$S50),$V50,IF(AND($R50&lt;&gt;"",EDATE($D50,Milestones!$AA$85)&gt;=$R50),$U50,$T50)))=Milestones!$AB$85),TEXT(EDATE($D50,Milestones!$AA$85),"dd/mm/yy")&amp;" "&amp;Milestones!$AB$85&amp;" "&amp;Milestones!$AC$85&amp;";  ","")&amp;IF(AND(EDATE($D50,Milestones!$AA$86)&lt;=AsOfDate,IF($Q50=0,$W50,IF(AND($S50&lt;&gt;"",EDATE($D50,Milestones!$AA$86)&gt;=$S50),$V50,IF(AND($R50&lt;&gt;"",EDATE($D50,Milestones!$AA$86)&gt;=$R50),$U50,$T50)))=Milestones!$AB$86),TEXT(EDATE($D50,Milestones!$AA$86),"dd/mm/yy")&amp;" "&amp;Milestones!$AB$86&amp;" "&amp;Milestones!$AC$86&amp;";  ","")&amp;IF(AND(EDATE($D50,Milestones!$AA$87)&lt;=AsOfDate,IF($Q50=0,$W50,IF(AND($S50&lt;&gt;"",EDATE($D50,Milestones!$AA$87)&gt;=$S50),$V50,IF(AND($R50&lt;&gt;"",EDATE($D50,Milestones!$AA$87)&gt;=$R50),$U50,$T50)))=Milestones!$AB$87),TEXT(EDATE($D50,Milestones!$AA$87),"dd/mm/yy")&amp;" "&amp;Milestones!$AB$87&amp;" "&amp;Milestones!$AC$87&amp;";  ","")&amp;IF(AND(EDATE($D50,Milestones!$AA$88)&lt;=AsOfDate,IF($Q50=0,$W50,IF(AND($S50&lt;&gt;"",EDATE($D50,Milestones!$AA$88)&gt;=$S50),$V50,IF(AND($R50&lt;&gt;"",EDATE($D50,Milestones!$AA$88)&gt;=$R50),$U50,$T50)))=Milestones!$AB$88),TEXT(EDATE($D50,Milestones!$AA$88),"dd/mm/yy")&amp;" "&amp;Milestones!$AB$88&amp;" "&amp;Milestones!$AC$88&amp;";  ","")&amp;IF(AND(EDATE($D50,Milestones!$AA$89)&lt;=AsOfDate,IF($Q50=0,$W50,IF(AND($S50&lt;&gt;"",EDATE($D50,Milestones!$AA$89)&gt;=$S50),$V50,IF(AND($R50&lt;&gt;"",EDATE($D50,Milestones!$AA$89)&gt;=$R50),$U50,$T50)))=Milestones!$AB$89),TEXT(EDATE($D50,Milestones!$AA$89),"dd/mm/yy")&amp;" "&amp;Milestones!$AB$89&amp;" "&amp;Milestones!$AC$89&amp;";  ","")&amp;IF(AND(EDATE($D50,Milestones!$AA$90)&lt;=AsOfDate,IF($Q50=0,$W50,IF(AND($S50&lt;&gt;"",EDATE($D50,Milestones!$AA$90)&gt;=$S50),$V50,IF(AND($R50&lt;&gt;"",EDATE($D50,Milestones!$AA$90)&gt;=$R50),$U50,$T50)))=Milestones!$AB$90),TEXT(EDATE($D50,Milestones!$AA$90),"dd/mm/yy")&amp;" "&amp;Milestones!$AB$90&amp;" "&amp;Milestones!$AC$90&amp;";  ","")&amp;IF(AND(EDATE($D50,Milestones!$AA$91)&lt;=AsOfDate,IF($Q50=0,$W50,IF(AND($S50&lt;&gt;"",EDATE($D50,Milestones!$AA$91)&gt;=$S50),$V50,IF(AND($R50&lt;&gt;"",EDATE($D50,Milestones!$AA$91)&gt;=$R50),$U50,$T50)))=Milestones!$AB$91),TEXT(EDATE($D50,Milestones!$AA$91),"dd/mm/yy")&amp;" "&amp;Milestones!$AB$91&amp;" "&amp;Milestones!$AC$91&amp;";  ","")&amp;IF(AND(EDATE($D50,Milestones!$AA$92)&lt;=AsOfDate,IF($Q50=0,$W50,IF(AND($S50&lt;&gt;"",EDATE($D50,Milestones!$AA$92)&gt;=$S50),$V50,IF(AND($R50&lt;&gt;"",EDATE($D50,Milestones!$AA$92)&gt;=$R50),$U50,$T50)))=Milestones!$AB$92),TEXT(EDATE($D50,Milestones!$AA$92),"dd/mm/yy")&amp;" "&amp;Milestones!$AB$92&amp;" "&amp;Milestones!$AC$92&amp;";  ","")&amp;IF(AND(EDATE($D50,Milestones!$AA$93)&lt;=AsOfDate,IF($Q50=0,$W50,IF(AND($S50&lt;&gt;"",EDATE($D50,Milestones!$AA$93)&gt;=$S50),$V50,IF(AND($R50&lt;&gt;"",EDATE($D50,Milestones!$AA$93)&gt;=$R50),$U50,$T50)))=Milestones!$AB$93),TEXT(EDATE($D50,Milestones!$AA$93),"dd/mm/yy")&amp;" "&amp;Milestones!$AB$93&amp;" "&amp;Milestones!$AC$93&amp;";  ","")&amp;IF(AND(EDATE($D50,Milestones!$AA$94)&lt;=AsOfDate,IF($Q50=0,$W50,IF(AND($S50&lt;&gt;"",EDATE($D50,Milestones!$AA$94)&gt;=$S50),$V50,IF(AND($R50&lt;&gt;"",EDATE($D50,Milestones!$AA$94)&gt;=$R50),$U50,$T50)))=Milestones!$AB$94),TEXT(EDATE($D50,Milestones!$AA$94),"dd/mm/yy")&amp;" "&amp;Milestones!$AB$94&amp;" "&amp;Milestones!$AC$94&amp;";  ","")&amp;IF(AND(EDATE($D50,Milestones!$AA$95)&lt;=AsOfDate,IF($Q50=0,$W50,IF(AND($S50&lt;&gt;"",EDATE($D50,Milestones!$AA$95)&gt;=$S50),$V50,IF(AND($R50&lt;&gt;"",EDATE($D50,Milestones!$AA$95)&gt;=$R50),$U50,$T50)))=Milestones!$AB$95),TEXT(EDATE($D50,Milestones!$AA$95),"dd/mm/yy")&amp;" "&amp;Milestones!$AB$95&amp;" "&amp;Milestones!$AC$95&amp;";  ","")&amp;IF(AND(EDATE($D50,Milestones!$AA$96)&lt;=AsOfDate,IF($Q50=0,$W50,IF(AND($S50&lt;&gt;"",EDATE($D50,Milestones!$AA$96)&gt;=$S50),$V50,IF(AND($R50&lt;&gt;"",EDATE($D50,Milestones!$AA$96)&gt;=$R50),$U50,$T50)))=Milestones!$AB$96),TEXT(EDATE($D50,Milestones!$AA$96),"dd/mm/yy")&amp;" "&amp;Milestones!$AB$96&amp;" "&amp;Milestones!$AC$96&amp;";  ","")&amp;IF(AND(EDATE($D50,Milestones!$AA$97)&lt;=AsOfDate,IF($Q50=0,$W50,IF(AND($S50&lt;&gt;"",EDATE($D50,Milestones!$AA$97)&gt;=$S50),$V50,IF(AND($R50&lt;&gt;"",EDATE($D50,Milestones!$AA$97)&gt;=$R50),$U50,$T50)))=Milestones!$AB$97),TEXT(EDATE($D50,Milestones!$AA$97),"dd/mm/yy")&amp;" "&amp;Milestones!$AB$97&amp;" "&amp;Milestones!$AC$97&amp;";  ","")&amp;IF(AND(EDATE($D50,Milestones!$AA$98)&lt;=AsOfDate,IF($Q50=0,$W50,IF(AND($S50&lt;&gt;"",EDATE($D50,Milestones!$AA$98)&gt;=$S50),$V50,IF(AND($R50&lt;&gt;"",EDATE($D50,Milestones!$AA$98)&gt;=$R50),$U50,$T50)))=Milestones!$AB$98),TEXT(EDATE($D50,Milestones!$AA$98),"dd/mm/yy")&amp;" "&amp;Milestones!$AB$98&amp;" "&amp;Milestones!$AC$98&amp;";  ","")&amp;IF(AND(EDATE($D50,Milestones!$AA$99)&lt;=AsOfDate,IF($Q50=0,$W50,IF(AND($S50&lt;&gt;"",EDATE($D50,Milestones!$AA$99)&gt;=$S50),$V50,IF(AND($R50&lt;&gt;"",EDATE($D50,Milestones!$AA$99)&gt;=$R50),$U50,$T50)))=Milestones!$AB$99),TEXT(EDATE($D50,Milestones!$AA$99),"dd/mm/yy")&amp;" "&amp;Milestones!$AB$99&amp;" "&amp;Milestones!$AC$99&amp;";  ",""))</f>
        <v/>
      </c>
      <c r="L50" s="0" t="str">
        <f aca="false">IF(OR($A50="",$D50=""),"",IF(AND(EDATE($D50,Milestones!$AA$100)&lt;=AsOfDate,IF($Q50=0,$W50,IF(AND($S50&lt;&gt;"",EDATE($D50,Milestones!$AA$100)&gt;=$S50),$V50,IF(AND($R50&lt;&gt;"",EDATE($D50,Milestones!$AA$100)&gt;=$R50),$U50,$T50)))=Milestones!$AB$100),TEXT(EDATE($D50,Milestones!$AA$100),"dd/mm/yy")&amp;" "&amp;Milestones!$AB$100&amp;" "&amp;Milestones!$AC$100&amp;";  ","")&amp;IF(AND(EDATE($D50,Milestones!$AA$101)&lt;=AsOfDate,IF($Q50=0,$W50,IF(AND($S50&lt;&gt;"",EDATE($D50,Milestones!$AA$101)&gt;=$S50),$V50,IF(AND($R50&lt;&gt;"",EDATE($D50,Milestones!$AA$101)&gt;=$R50),$U50,$T50)))=Milestones!$AB$101),TEXT(EDATE($D50,Milestones!$AA$101),"dd/mm/yy")&amp;" "&amp;Milestones!$AB$101&amp;" "&amp;Milestones!$AC$101&amp;";  ","")&amp;IF(AND(EDATE($D50,Milestones!$AA$102)&lt;=AsOfDate,IF($Q50=0,$W50,IF(AND($S50&lt;&gt;"",EDATE($D50,Milestones!$AA$102)&gt;=$S50),$V50,IF(AND($R50&lt;&gt;"",EDATE($D50,Milestones!$AA$102)&gt;=$R50),$U50,$T50)))=Milestones!$AB$102),TEXT(EDATE($D50,Milestones!$AA$102),"dd/mm/yy")&amp;" "&amp;Milestones!$AB$102&amp;" "&amp;Milestones!$AC$102&amp;";  ","")&amp;IF(AND(EDATE($D50,Milestones!$AA$103)&lt;=AsOfDate,IF($Q50=0,$W50,IF(AND($S50&lt;&gt;"",EDATE($D50,Milestones!$AA$103)&gt;=$S50),$V50,IF(AND($R50&lt;&gt;"",EDATE($D50,Milestones!$AA$103)&gt;=$R50),$U50,$T50)))=Milestones!$AB$103),TEXT(EDATE($D50,Milestones!$AA$103),"dd/mm/yy")&amp;" "&amp;Milestones!$AB$103&amp;" "&amp;Milestones!$AC$103&amp;";  ","")&amp;IF(AND(EDATE($D50,Milestones!$AA$104)&lt;=AsOfDate,IF($Q50=0,$W50,IF(AND($S50&lt;&gt;"",EDATE($D50,Milestones!$AA$104)&gt;=$S50),$V50,IF(AND($R50&lt;&gt;"",EDATE($D50,Milestones!$AA$104)&gt;=$R50),$U50,$T50)))=Milestones!$AB$104),TEXT(EDATE($D50,Milestones!$AA$104),"dd/mm/yy")&amp;" "&amp;Milestones!$AB$104&amp;" "&amp;Milestones!$AC$104&amp;";  ","")&amp;IF(AND(EDATE($D50,Milestones!$AA$105)&lt;=AsOfDate,IF($Q50=0,$W50,IF(AND($S50&lt;&gt;"",EDATE($D50,Milestones!$AA$105)&gt;=$S50),$V50,IF(AND($R50&lt;&gt;"",EDATE($D50,Milestones!$AA$105)&gt;=$R50),$U50,$T50)))=Milestones!$AB$105),TEXT(EDATE($D50,Milestones!$AA$105),"dd/mm/yy")&amp;" "&amp;Milestones!$AB$105&amp;" "&amp;Milestones!$AC$105&amp;";  ","")&amp;IF(AND(EDATE($D50,Milestones!$AA$106)&lt;=AsOfDate,IF($Q50=0,$W50,IF(AND($S50&lt;&gt;"",EDATE($D50,Milestones!$AA$106)&gt;=$S50),$V50,IF(AND($R50&lt;&gt;"",EDATE($D50,Milestones!$AA$106)&gt;=$R50),$U50,$T50)))=Milestones!$AB$106),TEXT(EDATE($D50,Milestones!$AA$106),"dd/mm/yy")&amp;" "&amp;Milestones!$AB$106&amp;" "&amp;Milestones!$AC$106&amp;";  ","")&amp;IF(AND(EDATE($D50,Milestones!$AA$107)&lt;=AsOfDate,IF($Q50=0,$W50,IF(AND($S50&lt;&gt;"",EDATE($D50,Milestones!$AA$107)&gt;=$S50),$V50,IF(AND($R50&lt;&gt;"",EDATE($D50,Milestones!$AA$107)&gt;=$R50),$U50,$T50)))=Milestones!$AB$107),TEXT(EDATE($D50,Milestones!$AA$107),"dd/mm/yy")&amp;" "&amp;Milestones!$AB$107&amp;" "&amp;Milestones!$AC$107&amp;";  ","")&amp;IF(AND(EDATE($D50,Milestones!$AA$108)&lt;=AsOfDate,IF($Q50=0,$W50,IF(AND($S50&lt;&gt;"",EDATE($D50,Milestones!$AA$108)&gt;=$S50),$V50,IF(AND($R50&lt;&gt;"",EDATE($D50,Milestones!$AA$108)&gt;=$R50),$U50,$T50)))=Milestones!$AB$108),TEXT(EDATE($D50,Milestones!$AA$108),"dd/mm/yy")&amp;" "&amp;Milestones!$AB$108&amp;" "&amp;Milestones!$AC$108&amp;";  ","")&amp;IF(AND(EDATE($D50,Milestones!$AA$109)&lt;=AsOfDate,IF($Q50=0,$W50,IF(AND($S50&lt;&gt;"",EDATE($D50,Milestones!$AA$109)&gt;=$S50),$V50,IF(AND($R50&lt;&gt;"",EDATE($D50,Milestones!$AA$109)&gt;=$R50),$U50,$T50)))=Milestones!$AB$109),TEXT(EDATE($D50,Milestones!$AA$109),"dd/mm/yy")&amp;" "&amp;Milestones!$AB$109&amp;" "&amp;Milestones!$AC$109&amp;";  ","")&amp;IF(AND(EDATE($D50,Milestones!$AA$110)&lt;=AsOfDate,IF($Q50=0,$W50,IF(AND($S50&lt;&gt;"",EDATE($D50,Milestones!$AA$110)&gt;=$S50),$V50,IF(AND($R50&lt;&gt;"",EDATE($D50,Milestones!$AA$110)&gt;=$R50),$U50,$T50)))=Milestones!$AB$110),TEXT(EDATE($D50,Milestones!$AA$110),"dd/mm/yy")&amp;" "&amp;Milestones!$AB$110&amp;" "&amp;Milestones!$AC$110&amp;";  ","")&amp;IF(AND(EDATE($D50,Milestones!$AA$111)&lt;=AsOfDate,IF($Q50=0,$W50,IF(AND($S50&lt;&gt;"",EDATE($D50,Milestones!$AA$111)&gt;=$S50),$V50,IF(AND($R50&lt;&gt;"",EDATE($D50,Milestones!$AA$111)&gt;=$R50),$U50,$T50)))=Milestones!$AB$111),TEXT(EDATE($D50,Milestones!$AA$111),"dd/mm/yy")&amp;" "&amp;Milestones!$AB$111&amp;" "&amp;Milestones!$AC$111&amp;";  ","")&amp;IF(AND(EDATE($D50,Milestones!$AA$112)&lt;=AsOfDate,IF($Q50=0,$W50,IF(AND($S50&lt;&gt;"",EDATE($D50,Milestones!$AA$112)&gt;=$S50),$V50,IF(AND($R50&lt;&gt;"",EDATE($D50,Milestones!$AA$112)&gt;=$R50),$U50,$T50)))=Milestones!$AB$112),TEXT(EDATE($D50,Milestones!$AA$112),"dd/mm/yy")&amp;" "&amp;Milestones!$AB$112&amp;" "&amp;Milestones!$AC$112&amp;";  ","")&amp;IF(AND(EDATE($D50,Milestones!$AA$113)&lt;=AsOfDate,IF($Q50=0,$W50,IF(AND($S50&lt;&gt;"",EDATE($D50,Milestones!$AA$113)&gt;=$S50),$V50,IF(AND($R50&lt;&gt;"",EDATE($D50,Milestones!$AA$113)&gt;=$R50),$U50,$T50)))=Milestones!$AB$113),TEXT(EDATE($D50,Milestones!$AA$113),"dd/mm/yy")&amp;" "&amp;Milestones!$AB$113&amp;" "&amp;Milestones!$AC$113&amp;";  ","")&amp;IF(AND(EDATE($D50,Milestones!$AA$114)&lt;=AsOfDate,IF($Q50=0,$W50,IF(AND($S50&lt;&gt;"",EDATE($D50,Milestones!$AA$114)&gt;=$S50),$V50,IF(AND($R50&lt;&gt;"",EDATE($D50,Milestones!$AA$114)&gt;=$R50),$U50,$T50)))=Milestones!$AB$114),TEXT(EDATE($D50,Milestones!$AA$114),"dd/mm/yy")&amp;" "&amp;Milestones!$AB$114&amp;" "&amp;Milestones!$AC$114&amp;";  ","")&amp;IF(AND(EDATE($D50,Milestones!$AA$115)&lt;=AsOfDate,IF($Q50=0,$W50,IF(AND($S50&lt;&gt;"",EDATE($D50,Milestones!$AA$115)&gt;=$S50),$V50,IF(AND($R50&lt;&gt;"",EDATE($D50,Milestones!$AA$115)&gt;=$R50),$U50,$T50)))=Milestones!$AB$115),TEXT(EDATE($D50,Milestones!$AA$115),"dd/mm/yy")&amp;" "&amp;Milestones!$AB$115&amp;" "&amp;Milestones!$AC$115&amp;";  ","")&amp;IF(AND(EDATE($D50,Milestones!$AA$116)&lt;=AsOfDate,IF($Q50=0,$W50,IF(AND($S50&lt;&gt;"",EDATE($D50,Milestones!$AA$116)&gt;=$S50),$V50,IF(AND($R50&lt;&gt;"",EDATE($D50,Milestones!$AA$116)&gt;=$R50),$U50,$T50)))=Milestones!$AB$116),TEXT(EDATE($D50,Milestones!$AA$116),"dd/mm/yy")&amp;" "&amp;Milestones!$AB$116&amp;" "&amp;Milestones!$AC$116&amp;";  ","")&amp;IF(AND(EDATE($D50,Milestones!$AA$117)&lt;=AsOfDate,IF($Q50=0,$W50,IF(AND($S50&lt;&gt;"",EDATE($D50,Milestones!$AA$117)&gt;=$S50),$V50,IF(AND($R50&lt;&gt;"",EDATE($D50,Milestones!$AA$117)&gt;=$R50),$U50,$T50)))=Milestones!$AB$117),TEXT(EDATE($D50,Milestones!$AA$117),"dd/mm/yy")&amp;" "&amp;Milestones!$AB$117&amp;" "&amp;Milestones!$AC$117&amp;";  ","")&amp;IF(AND(EDATE($D50,Milestones!$AA$118)&lt;=AsOfDate,IF($Q50=0,$W50,IF(AND($S50&lt;&gt;"",EDATE($D50,Milestones!$AA$118)&gt;=$S50),$V50,IF(AND($R50&lt;&gt;"",EDATE($D50,Milestones!$AA$118)&gt;=$R50),$U50,$T50)))=Milestones!$AB$118),TEXT(EDATE($D50,Milestones!$AA$118),"dd/mm/yy")&amp;" "&amp;Milestones!$AB$118&amp;" "&amp;Milestones!$AC$118&amp;";  ","")&amp;IF(AND(EDATE($D50,Milestones!$AA$119)&lt;=AsOfDate,IF($Q50=0,$W50,IF(AND($S50&lt;&gt;"",EDATE($D50,Milestones!$AA$119)&gt;=$S50),$V50,IF(AND($R50&lt;&gt;"",EDATE($D50,Milestones!$AA$119)&gt;=$R50),$U50,$T50)))=Milestones!$AB$119),TEXT(EDATE($D50,Milestones!$AA$119),"dd/mm/yy")&amp;" "&amp;Milestones!$AB$119&amp;" "&amp;Milestones!$AC$119&amp;";  ",""))</f>
        <v/>
      </c>
      <c r="M50" s="0" t="str">
        <f aca="false">IF(OR($A50="",$D50=""),"",IF(AND(EDATE($D50,Milestones!$AA$120)&lt;=AsOfDate,IF($Q50=0,$W50,IF(AND($S50&lt;&gt;"",EDATE($D50,Milestones!$AA$120)&gt;=$S50),$V50,IF(AND($R50&lt;&gt;"",EDATE($D50,Milestones!$AA$120)&gt;=$R50),$U50,$T50)))=Milestones!$AB$120),TEXT(EDATE($D50,Milestones!$AA$120),"dd/mm/yy")&amp;" "&amp;Milestones!$AB$120&amp;" "&amp;Milestones!$AC$120&amp;";  ","")&amp;IF(AND(EDATE($D50,Milestones!$AA$121)&lt;=AsOfDate,IF($Q50=0,$W50,IF(AND($S50&lt;&gt;"",EDATE($D50,Milestones!$AA$121)&gt;=$S50),$V50,IF(AND($R50&lt;&gt;"",EDATE($D50,Milestones!$AA$121)&gt;=$R50),$U50,$T50)))=Milestones!$AB$121),TEXT(EDATE($D50,Milestones!$AA$121),"dd/mm/yy")&amp;" "&amp;Milestones!$AB$121&amp;" "&amp;Milestones!$AC$121&amp;";  ","")&amp;IF(AND(EDATE($D50,Milestones!$AA$122)&lt;=AsOfDate,IF($Q50=0,$W50,IF(AND($S50&lt;&gt;"",EDATE($D50,Milestones!$AA$122)&gt;=$S50),$V50,IF(AND($R50&lt;&gt;"",EDATE($D50,Milestones!$AA$122)&gt;=$R50),$U50,$T50)))=Milestones!$AB$122),TEXT(EDATE($D50,Milestones!$AA$122),"dd/mm/yy")&amp;" "&amp;Milestones!$AB$122&amp;" "&amp;Milestones!$AC$122&amp;";  ","")&amp;IF(AND(EDATE($D50,Milestones!$AA$123)&lt;=AsOfDate,IF($Q50=0,$W50,IF(AND($S50&lt;&gt;"",EDATE($D50,Milestones!$AA$123)&gt;=$S50),$V50,IF(AND($R50&lt;&gt;"",EDATE($D50,Milestones!$AA$123)&gt;=$R50),$U50,$T50)))=Milestones!$AB$123),TEXT(EDATE($D50,Milestones!$AA$123),"dd/mm/yy")&amp;" "&amp;Milestones!$AB$123&amp;" "&amp;Milestones!$AC$123&amp;";  ","")&amp;IF(AND(EDATE($D50,Milestones!$AA$124)&lt;=AsOfDate,IF($Q50=0,$W50,IF(AND($S50&lt;&gt;"",EDATE($D50,Milestones!$AA$124)&gt;=$S50),$V50,IF(AND($R50&lt;&gt;"",EDATE($D50,Milestones!$AA$124)&gt;=$R50),$U50,$T50)))=Milestones!$AB$124),TEXT(EDATE($D50,Milestones!$AA$124),"dd/mm/yy")&amp;" "&amp;Milestones!$AB$124&amp;" "&amp;Milestones!$AC$124&amp;";  ","")&amp;IF(AND(EDATE($D50,Milestones!$AA$125)&lt;=AsOfDate,IF($Q50=0,$W50,IF(AND($S50&lt;&gt;"",EDATE($D50,Milestones!$AA$125)&gt;=$S50),$V50,IF(AND($R50&lt;&gt;"",EDATE($D50,Milestones!$AA$125)&gt;=$R50),$U50,$T50)))=Milestones!$AB$125),TEXT(EDATE($D50,Milestones!$AA$125),"dd/mm/yy")&amp;" "&amp;Milestones!$AB$125&amp;" "&amp;Milestones!$AC$125&amp;";  ","")&amp;IF(AND(EDATE($D50,Milestones!$AA$126)&lt;=AsOfDate,IF($Q50=0,$W50,IF(AND($S50&lt;&gt;"",EDATE($D50,Milestones!$AA$126)&gt;=$S50),$V50,IF(AND($R50&lt;&gt;"",EDATE($D50,Milestones!$AA$126)&gt;=$R50),$U50,$T50)))=Milestones!$AB$126),TEXT(EDATE($D50,Milestones!$AA$126),"dd/mm/yy")&amp;" "&amp;Milestones!$AB$126&amp;" "&amp;Milestones!$AC$126&amp;";  ","")&amp;IF(AND(EDATE($D50,Milestones!$AA$127)&lt;=AsOfDate,IF($Q50=0,$W50,IF(AND($S50&lt;&gt;"",EDATE($D50,Milestones!$AA$127)&gt;=$S50),$V50,IF(AND($R50&lt;&gt;"",EDATE($D50,Milestones!$AA$127)&gt;=$R50),$U50,$T50)))=Milestones!$AB$127),TEXT(EDATE($D50,Milestones!$AA$127),"dd/mm/yy")&amp;" "&amp;Milestones!$AB$127&amp;" "&amp;Milestones!$AC$127&amp;";  ","")&amp;IF(AND(EDATE($D50,Milestones!$AA$128)&lt;=AsOfDate,IF($Q50=0,$W50,IF(AND($S50&lt;&gt;"",EDATE($D50,Milestones!$AA$128)&gt;=$S50),$V50,IF(AND($R50&lt;&gt;"",EDATE($D50,Milestones!$AA$128)&gt;=$R50),$U50,$T50)))=Milestones!$AB$128),TEXT(EDATE($D50,Milestones!$AA$128),"dd/mm/yy")&amp;" "&amp;Milestones!$AB$128&amp;" "&amp;Milestones!$AC$128&amp;";  ","")&amp;IF(AND(EDATE($D50,Milestones!$AA$129)&lt;=AsOfDate,IF($Q50=0,$W50,IF(AND($S50&lt;&gt;"",EDATE($D50,Milestones!$AA$129)&gt;=$S50),$V50,IF(AND($R50&lt;&gt;"",EDATE($D50,Milestones!$AA$129)&gt;=$R50),$U50,$T50)))=Milestones!$AB$129),TEXT(EDATE($D50,Milestones!$AA$129),"dd/mm/yy")&amp;" "&amp;Milestones!$AB$129&amp;" "&amp;Milestones!$AC$129&amp;";  ","")&amp;IF(AND(EDATE($D50,Milestones!$AA$130)&lt;=AsOfDate,IF($Q50=0,$W50,IF(AND($S50&lt;&gt;"",EDATE($D50,Milestones!$AA$130)&gt;=$S50),$V50,IF(AND($R50&lt;&gt;"",EDATE($D50,Milestones!$AA$130)&gt;=$R50),$U50,$T50)))=Milestones!$AB$130),TEXT(EDATE($D50,Milestones!$AA$130),"dd/mm/yy")&amp;" "&amp;Milestones!$AB$130&amp;" "&amp;Milestones!$AC$130&amp;";  ","")&amp;IF(AND(EDATE($D50,Milestones!$AA$131)&lt;=AsOfDate,IF($Q50=0,$W50,IF(AND($S50&lt;&gt;"",EDATE($D50,Milestones!$AA$131)&gt;=$S50),$V50,IF(AND($R50&lt;&gt;"",EDATE($D50,Milestones!$AA$131)&gt;=$R50),$U50,$T50)))=Milestones!$AB$131),TEXT(EDATE($D50,Milestones!$AA$131),"dd/mm/yy")&amp;" "&amp;Milestones!$AB$131&amp;" "&amp;Milestones!$AC$131&amp;";  ","")&amp;IF(AND(EDATE($D50,Milestones!$AA$132)&lt;=AsOfDate,IF($Q50=0,$W50,IF(AND($S50&lt;&gt;"",EDATE($D50,Milestones!$AA$132)&gt;=$S50),$V50,IF(AND($R50&lt;&gt;"",EDATE($D50,Milestones!$AA$132)&gt;=$R50),$U50,$T50)))=Milestones!$AB$132),TEXT(EDATE($D50,Milestones!$AA$132),"dd/mm/yy")&amp;" "&amp;Milestones!$AB$132&amp;" "&amp;Milestones!$AC$132&amp;";  ","")&amp;IF(AND(EDATE($D50,Milestones!$AA$133)&lt;=AsOfDate,IF($Q50=0,$W50,IF(AND($S50&lt;&gt;"",EDATE($D50,Milestones!$AA$133)&gt;=$S50),$V50,IF(AND($R50&lt;&gt;"",EDATE($D50,Milestones!$AA$133)&gt;=$R50),$U50,$T50)))=Milestones!$AB$133),TEXT(EDATE($D50,Milestones!$AA$133),"dd/mm/yy")&amp;" "&amp;Milestones!$AB$133&amp;" "&amp;Milestones!$AC$133&amp;";  ","")&amp;IF(AND(EDATE($D50,Milestones!$AA$134)&lt;=AsOfDate,IF($Q50=0,$W50,IF(AND($S50&lt;&gt;"",EDATE($D50,Milestones!$AA$134)&gt;=$S50),$V50,IF(AND($R50&lt;&gt;"",EDATE($D50,Milestones!$AA$134)&gt;=$R50),$U50,$T50)))=Milestones!$AB$134),TEXT(EDATE($D50,Milestones!$AA$134),"dd/mm/yy")&amp;" "&amp;Milestones!$AB$134&amp;" "&amp;Milestones!$AC$134&amp;";  ","")&amp;IF(AND(EDATE($D50,Milestones!$AA$135)&lt;=AsOfDate,IF($Q50=0,$W50,IF(AND($S50&lt;&gt;"",EDATE($D50,Milestones!$AA$135)&gt;=$S50),$V50,IF(AND($R50&lt;&gt;"",EDATE($D50,Milestones!$AA$135)&gt;=$R50),$U50,$T50)))=Milestones!$AB$135),TEXT(EDATE($D50,Milestones!$AA$135),"dd/mm/yy")&amp;" "&amp;Milestones!$AB$135&amp;" "&amp;Milestones!$AC$135&amp;";  ","")&amp;IF(AND(EDATE($D50,Milestones!$AA$136)&lt;=AsOfDate,IF($Q50=0,$W50,IF(AND($S50&lt;&gt;"",EDATE($D50,Milestones!$AA$136)&gt;=$S50),$V50,IF(AND($R50&lt;&gt;"",EDATE($D50,Milestones!$AA$136)&gt;=$R50),$U50,$T50)))=Milestones!$AB$136),TEXT(EDATE($D50,Milestones!$AA$136),"dd/mm/yy")&amp;" "&amp;Milestones!$AB$136&amp;" "&amp;Milestones!$AC$136&amp;";  ","")&amp;IF(AND(EDATE($D50,Milestones!$AA$137)&lt;=AsOfDate,IF($Q50=0,$W50,IF(AND($S50&lt;&gt;"",EDATE($D50,Milestones!$AA$137)&gt;=$S50),$V50,IF(AND($R50&lt;&gt;"",EDATE($D50,Milestones!$AA$137)&gt;=$R50),$U50,$T50)))=Milestones!$AB$137),TEXT(EDATE($D50,Milestones!$AA$137),"dd/mm/yy")&amp;" "&amp;Milestones!$AB$137&amp;" "&amp;Milestones!$AC$137&amp;";  ","")&amp;IF(AND(EDATE($D50,Milestones!$AA$138)&lt;=AsOfDate,IF($Q50=0,$W50,IF(AND($S50&lt;&gt;"",EDATE($D50,Milestones!$AA$138)&gt;=$S50),$V50,IF(AND($R50&lt;&gt;"",EDATE($D50,Milestones!$AA$138)&gt;=$R50),$U50,$T50)))=Milestones!$AB$138),TEXT(EDATE($D50,Milestones!$AA$138),"dd/mm/yy")&amp;" "&amp;Milestones!$AB$138&amp;" "&amp;Milestones!$AC$138&amp;";  ","")&amp;IF(AND(EDATE($D50,Milestones!$AA$139)&lt;=AsOfDate,IF($Q50=0,$W50,IF(AND($S50&lt;&gt;"",EDATE($D50,Milestones!$AA$139)&gt;=$S50),$V50,IF(AND($R50&lt;&gt;"",EDATE($D50,Milestones!$AA$139)&gt;=$R50),$U50,$T50)))=Milestones!$AB$139),TEXT(EDATE($D50,Milestones!$AA$139),"dd/mm/yy")&amp;" "&amp;Milestones!$AB$139&amp;" "&amp;Milestones!$AC$139&amp;";  ",""))</f>
        <v/>
      </c>
      <c r="N50" s="0" t="str">
        <f aca="false">IF(OR($A50="",$D50=""),"",IF(AND(EDATE($D50,Milestones!$AA$140)&lt;=AsOfDate,IF($Q50=0,$W50,IF(AND($S50&lt;&gt;"",EDATE($D50,Milestones!$AA$140)&gt;=$S50),$V50,IF(AND($R50&lt;&gt;"",EDATE($D50,Milestones!$AA$140)&gt;=$R50),$U50,$T50)))=Milestones!$AB$140),TEXT(EDATE($D50,Milestones!$AA$140),"dd/mm/yy")&amp;" "&amp;Milestones!$AB$140&amp;" "&amp;Milestones!$AC$140&amp;";  ","")&amp;IF(AND(EDATE($D50,Milestones!$AA$141)&lt;=AsOfDate,IF($Q50=0,$W50,IF(AND($S50&lt;&gt;"",EDATE($D50,Milestones!$AA$141)&gt;=$S50),$V50,IF(AND($R50&lt;&gt;"",EDATE($D50,Milestones!$AA$141)&gt;=$R50),$U50,$T50)))=Milestones!$AB$141),TEXT(EDATE($D50,Milestones!$AA$141),"dd/mm/yy")&amp;" "&amp;Milestones!$AB$141&amp;" "&amp;Milestones!$AC$141&amp;";  ","")&amp;IF(AND(EDATE($D50,Milestones!$AA$142)&lt;=AsOfDate,IF($Q50=0,$W50,IF(AND($S50&lt;&gt;"",EDATE($D50,Milestones!$AA$142)&gt;=$S50),$V50,IF(AND($R50&lt;&gt;"",EDATE($D50,Milestones!$AA$142)&gt;=$R50),$U50,$T50)))=Milestones!$AB$142),TEXT(EDATE($D50,Milestones!$AA$142),"dd/mm/yy")&amp;" "&amp;Milestones!$AB$142&amp;" "&amp;Milestones!$AC$142&amp;";  ","")&amp;IF(AND(EDATE($D50,Milestones!$AA$143)&lt;=AsOfDate,IF($Q50=0,$W50,IF(AND($S50&lt;&gt;"",EDATE($D50,Milestones!$AA$143)&gt;=$S50),$V50,IF(AND($R50&lt;&gt;"",EDATE($D50,Milestones!$AA$143)&gt;=$R50),$U50,$T50)))=Milestones!$AB$143),TEXT(EDATE($D50,Milestones!$AA$143),"dd/mm/yy")&amp;" "&amp;Milestones!$AB$143&amp;" "&amp;Milestones!$AC$143&amp;";  ","")&amp;IF(AND(EDATE($D50,Milestones!$AA$144)&lt;=AsOfDate,IF($Q50=0,$W50,IF(AND($S50&lt;&gt;"",EDATE($D50,Milestones!$AA$144)&gt;=$S50),$V50,IF(AND($R50&lt;&gt;"",EDATE($D50,Milestones!$AA$144)&gt;=$R50),$U50,$T50)))=Milestones!$AB$144),TEXT(EDATE($D50,Milestones!$AA$144),"dd/mm/yy")&amp;" "&amp;Milestones!$AB$144&amp;" "&amp;Milestones!$AC$144&amp;";  ","")&amp;IF(AND(EDATE($D50,Milestones!$AA$145)&lt;=AsOfDate,IF($Q50=0,$W50,IF(AND($S50&lt;&gt;"",EDATE($D50,Milestones!$AA$145)&gt;=$S50),$V50,IF(AND($R50&lt;&gt;"",EDATE($D50,Milestones!$AA$145)&gt;=$R50),$U50,$T50)))=Milestones!$AB$145),TEXT(EDATE($D50,Milestones!$AA$145),"dd/mm/yy")&amp;" "&amp;Milestones!$AB$145&amp;" "&amp;Milestones!$AC$145&amp;";  ","")&amp;IF(AND(EDATE($D50,Milestones!$AA$146)&lt;=AsOfDate,IF($Q50=0,$W50,IF(AND($S50&lt;&gt;"",EDATE($D50,Milestones!$AA$146)&gt;=$S50),$V50,IF(AND($R50&lt;&gt;"",EDATE($D50,Milestones!$AA$146)&gt;=$R50),$U50,$T50)))=Milestones!$AB$146),TEXT(EDATE($D50,Milestones!$AA$146),"dd/mm/yy")&amp;" "&amp;Milestones!$AB$146&amp;" "&amp;Milestones!$AC$146&amp;";  ","")&amp;IF(AND(EDATE($D50,Milestones!$AA$147)&lt;=AsOfDate,IF($Q50=0,$W50,IF(AND($S50&lt;&gt;"",EDATE($D50,Milestones!$AA$147)&gt;=$S50),$V50,IF(AND($R50&lt;&gt;"",EDATE($D50,Milestones!$AA$147)&gt;=$R50),$U50,$T50)))=Milestones!$AB$147),TEXT(EDATE($D50,Milestones!$AA$147),"dd/mm/yy")&amp;" "&amp;Milestones!$AB$147&amp;" "&amp;Milestones!$AC$147&amp;";  ","")&amp;IF(AND(EDATE($D50,Milestones!$AA$148)&lt;=AsOfDate,IF($Q50=0,$W50,IF(AND($S50&lt;&gt;"",EDATE($D50,Milestones!$AA$148)&gt;=$S50),$V50,IF(AND($R50&lt;&gt;"",EDATE($D50,Milestones!$AA$148)&gt;=$R50),$U50,$T50)))=Milestones!$AB$148),TEXT(EDATE($D50,Milestones!$AA$148),"dd/mm/yy")&amp;" "&amp;Milestones!$AB$148&amp;" "&amp;Milestones!$AC$148&amp;";  ","")&amp;IF(AND(EDATE($D50,Milestones!$AA$149)&lt;=AsOfDate,IF($Q50=0,$W50,IF(AND($S50&lt;&gt;"",EDATE($D50,Milestones!$AA$149)&gt;=$S50),$V50,IF(AND($R50&lt;&gt;"",EDATE($D50,Milestones!$AA$149)&gt;=$R50),$U50,$T50)))=Milestones!$AB$149),TEXT(EDATE($D50,Milestones!$AA$149),"dd/mm/yy")&amp;" "&amp;Milestones!$AB$149&amp;" "&amp;Milestones!$AC$149&amp;";  ","")&amp;IF(AND(EDATE($D50,Milestones!$AA$150)&lt;=AsOfDate,IF($Q50=0,$W50,IF(AND($S50&lt;&gt;"",EDATE($D50,Milestones!$AA$150)&gt;=$S50),$V50,IF(AND($R50&lt;&gt;"",EDATE($D50,Milestones!$AA$150)&gt;=$R50),$U50,$T50)))=Milestones!$AB$150),TEXT(EDATE($D50,Milestones!$AA$150),"dd/mm/yy")&amp;" "&amp;Milestones!$AB$150&amp;" "&amp;Milestones!$AC$150&amp;";  ","")&amp;IF(AND(EDATE($D50,Milestones!$AA$151)&lt;=AsOfDate,IF($Q50=0,$W50,IF(AND($S50&lt;&gt;"",EDATE($D50,Milestones!$AA$151)&gt;=$S50),$V50,IF(AND($R50&lt;&gt;"",EDATE($D50,Milestones!$AA$151)&gt;=$R50),$U50,$T50)))=Milestones!$AB$151),TEXT(EDATE($D50,Milestones!$AA$151),"dd/mm/yy")&amp;" "&amp;Milestones!$AB$151&amp;" "&amp;Milestones!$AC$151&amp;";  ","")&amp;IF(AND(EDATE($D50,Milestones!$AA$152)&lt;=AsOfDate,IF($Q50=0,$W50,IF(AND($S50&lt;&gt;"",EDATE($D50,Milestones!$AA$152)&gt;=$S50),$V50,IF(AND($R50&lt;&gt;"",EDATE($D50,Milestones!$AA$152)&gt;=$R50),$U50,$T50)))=Milestones!$AB$152),TEXT(EDATE($D50,Milestones!$AA$152),"dd/mm/yy")&amp;" "&amp;Milestones!$AB$152&amp;" "&amp;Milestones!$AC$152&amp;";  ","")&amp;IF(AND(EDATE($D50,Milestones!$AA$153)&lt;=AsOfDate,IF($Q50=0,$W50,IF(AND($S50&lt;&gt;"",EDATE($D50,Milestones!$AA$153)&gt;=$S50),$V50,IF(AND($R50&lt;&gt;"",EDATE($D50,Milestones!$AA$153)&gt;=$R50),$U50,$T50)))=Milestones!$AB$153),TEXT(EDATE($D50,Milestones!$AA$153),"dd/mm/yy")&amp;" "&amp;Milestones!$AB$153&amp;" "&amp;Milestones!$AC$153&amp;";  ","")&amp;IF(AND(EDATE($D50,Milestones!$AA$154)&lt;=AsOfDate,IF($Q50=0,$W50,IF(AND($S50&lt;&gt;"",EDATE($D50,Milestones!$AA$154)&gt;=$S50),$V50,IF(AND($R50&lt;&gt;"",EDATE($D50,Milestones!$AA$154)&gt;=$R50),$U50,$T50)))=Milestones!$AB$154),TEXT(EDATE($D50,Milestones!$AA$154),"dd/mm/yy")&amp;" "&amp;Milestones!$AB$154&amp;" "&amp;Milestones!$AC$154&amp;";  ","")&amp;IF(AND(EDATE($D50,Milestones!$AA$155)&lt;=AsOfDate,IF($Q50=0,$W50,IF(AND($S50&lt;&gt;"",EDATE($D50,Milestones!$AA$155)&gt;=$S50),$V50,IF(AND($R50&lt;&gt;"",EDATE($D50,Milestones!$AA$155)&gt;=$R50),$U50,$T50)))=Milestones!$AB$155),TEXT(EDATE($D50,Milestones!$AA$155),"dd/mm/yy")&amp;" "&amp;Milestones!$AB$155&amp;" "&amp;Milestones!$AC$155&amp;";  ","")&amp;IF(AND(EDATE($D50,Milestones!$AA$156)&lt;=AsOfDate,IF($Q50=0,$W50,IF(AND($S50&lt;&gt;"",EDATE($D50,Milestones!$AA$156)&gt;=$S50),$V50,IF(AND($R50&lt;&gt;"",EDATE($D50,Milestones!$AA$156)&gt;=$R50),$U50,$T50)))=Milestones!$AB$156),TEXT(EDATE($D50,Milestones!$AA$156),"dd/mm/yy")&amp;" "&amp;Milestones!$AB$156&amp;" "&amp;Milestones!$AC$156&amp;";  ","")&amp;IF(AND(EDATE($D50,Milestones!$AA$157)&lt;=AsOfDate,IF($Q50=0,$W50,IF(AND($S50&lt;&gt;"",EDATE($D50,Milestones!$AA$157)&gt;=$S50),$V50,IF(AND($R50&lt;&gt;"",EDATE($D50,Milestones!$AA$157)&gt;=$R50),$U50,$T50)))=Milestones!$AB$157),TEXT(EDATE($D50,Milestones!$AA$157),"dd/mm/yy")&amp;" "&amp;Milestones!$AB$157&amp;" "&amp;Milestones!$AC$157&amp;";  ","")&amp;IF(AND(EDATE($D50,Milestones!$AA$158)&lt;=AsOfDate,IF($Q50=0,$W50,IF(AND($S50&lt;&gt;"",EDATE($D50,Milestones!$AA$158)&gt;=$S50),$V50,IF(AND($R50&lt;&gt;"",EDATE($D50,Milestones!$AA$158)&gt;=$R50),$U50,$T50)))=Milestones!$AB$158),TEXT(EDATE($D50,Milestones!$AA$158),"dd/mm/yy")&amp;" "&amp;Milestones!$AB$158&amp;" "&amp;Milestones!$AC$158&amp;";  ","")&amp;IF(AND(EDATE($D50,Milestones!$AA$159)&lt;=AsOfDate,IF($Q50=0,$W50,IF(AND($S50&lt;&gt;"",EDATE($D50,Milestones!$AA$159)&gt;=$S50),$V50,IF(AND($R50&lt;&gt;"",EDATE($D50,Milestones!$AA$159)&gt;=$R50),$U50,$T50)))=Milestones!$AB$159),TEXT(EDATE($D50,Milestones!$AA$159),"dd/mm/yy")&amp;" "&amp;Milestones!$AB$159&amp;" "&amp;Milestones!$AC$159&amp;";  ",""))</f>
        <v/>
      </c>
      <c r="O50" s="0" t="str">
        <f aca="false">IF(OR($A50="",$D50=""),"",IF(AND(EDATE($D50,Milestones!$AA$160)&lt;=AsOfDate,IF($Q50=0,$W50,IF(AND($S50&lt;&gt;"",EDATE($D50,Milestones!$AA$160)&gt;=$S50),$V50,IF(AND($R50&lt;&gt;"",EDATE($D50,Milestones!$AA$160)&gt;=$R50),$U50,$T50)))=Milestones!$AB$160),TEXT(EDATE($D50,Milestones!$AA$160),"dd/mm/yy")&amp;" "&amp;Milestones!$AB$160&amp;" "&amp;Milestones!$AC$160&amp;";  ","")&amp;IF(AND(EDATE($D50,Milestones!$AA$161)&lt;=AsOfDate,IF($Q50=0,$W50,IF(AND($S50&lt;&gt;"",EDATE($D50,Milestones!$AA$161)&gt;=$S50),$V50,IF(AND($R50&lt;&gt;"",EDATE($D50,Milestones!$AA$161)&gt;=$R50),$U50,$T50)))=Milestones!$AB$161),TEXT(EDATE($D50,Milestones!$AA$161),"dd/mm/yy")&amp;" "&amp;Milestones!$AB$161&amp;" "&amp;Milestones!$AC$161&amp;";  ","")&amp;IF(AND(EDATE($D50,Milestones!$AA$162)&lt;=AsOfDate,IF($Q50=0,$W50,IF(AND($S50&lt;&gt;"",EDATE($D50,Milestones!$AA$162)&gt;=$S50),$V50,IF(AND($R50&lt;&gt;"",EDATE($D50,Milestones!$AA$162)&gt;=$R50),$U50,$T50)))=Milestones!$AB$162),TEXT(EDATE($D50,Milestones!$AA$162),"dd/mm/yy")&amp;" "&amp;Milestones!$AB$162&amp;" "&amp;Milestones!$AC$162&amp;";  ","")&amp;IF(AND(EDATE($D50,Milestones!$AA$163)&lt;=AsOfDate,IF($Q50=0,$W50,IF(AND($S50&lt;&gt;"",EDATE($D50,Milestones!$AA$163)&gt;=$S50),$V50,IF(AND($R50&lt;&gt;"",EDATE($D50,Milestones!$AA$163)&gt;=$R50),$U50,$T50)))=Milestones!$AB$163),TEXT(EDATE($D50,Milestones!$AA$163),"dd/mm/yy")&amp;" "&amp;Milestones!$AB$163&amp;" "&amp;Milestones!$AC$163&amp;";  ","")&amp;IF(AND(EDATE($D50,Milestones!$AA$164)&lt;=AsOfDate,IF($Q50=0,$W50,IF(AND($S50&lt;&gt;"",EDATE($D50,Milestones!$AA$164)&gt;=$S50),$V50,IF(AND($R50&lt;&gt;"",EDATE($D50,Milestones!$AA$164)&gt;=$R50),$U50,$T50)))=Milestones!$AB$164),TEXT(EDATE($D50,Milestones!$AA$164),"dd/mm/yy")&amp;" "&amp;Milestones!$AB$164&amp;" "&amp;Milestones!$AC$164&amp;";  ","")&amp;IF(AND(EDATE($D50,Milestones!$AA$165)&lt;=AsOfDate,IF($Q50=0,$W50,IF(AND($S50&lt;&gt;"",EDATE($D50,Milestones!$AA$165)&gt;=$S50),$V50,IF(AND($R50&lt;&gt;"",EDATE($D50,Milestones!$AA$165)&gt;=$R50),$U50,$T50)))=Milestones!$AB$165),TEXT(EDATE($D50,Milestones!$AA$165),"dd/mm/yy")&amp;" "&amp;Milestones!$AB$165&amp;" "&amp;Milestones!$AC$165&amp;";  ","")&amp;IF(AND(EDATE($D50,Milestones!$AA$166)&lt;=AsOfDate,IF($Q50=0,$W50,IF(AND($S50&lt;&gt;"",EDATE($D50,Milestones!$AA$166)&gt;=$S50),$V50,IF(AND($R50&lt;&gt;"",EDATE($D50,Milestones!$AA$166)&gt;=$R50),$U50,$T50)))=Milestones!$AB$166),TEXT(EDATE($D50,Milestones!$AA$166),"dd/mm/yy")&amp;" "&amp;Milestones!$AB$166&amp;" "&amp;Milestones!$AC$166&amp;";  ","")&amp;IF(AND(EDATE($D50,Milestones!$AA$167)&lt;=AsOfDate,IF($Q50=0,$W50,IF(AND($S50&lt;&gt;"",EDATE($D50,Milestones!$AA$167)&gt;=$S50),$V50,IF(AND($R50&lt;&gt;"",EDATE($D50,Milestones!$AA$167)&gt;=$R50),$U50,$T50)))=Milestones!$AB$167),TEXT(EDATE($D50,Milestones!$AA$167),"dd/mm/yy")&amp;" "&amp;Milestones!$AB$167&amp;" "&amp;Milestones!$AC$167&amp;";  ","")&amp;IF(AND(EDATE($D50,Milestones!$AA$168)&lt;=AsOfDate,IF($Q50=0,$W50,IF(AND($S50&lt;&gt;"",EDATE($D50,Milestones!$AA$168)&gt;=$S50),$V50,IF(AND($R50&lt;&gt;"",EDATE($D50,Milestones!$AA$168)&gt;=$R50),$U50,$T50)))=Milestones!$AB$168),TEXT(EDATE($D50,Milestones!$AA$168),"dd/mm/yy")&amp;" "&amp;Milestones!$AB$168&amp;" "&amp;Milestones!$AC$168&amp;";  ","")&amp;IF(AND(EDATE($D50,Milestones!$AA$169)&lt;=AsOfDate,IF($Q50=0,$W50,IF(AND($S50&lt;&gt;"",EDATE($D50,Milestones!$AA$169)&gt;=$S50),$V50,IF(AND($R50&lt;&gt;"",EDATE($D50,Milestones!$AA$169)&gt;=$R50),$U50,$T50)))=Milestones!$AB$169),TEXT(EDATE($D50,Milestones!$AA$169),"dd/mm/yy")&amp;" "&amp;Milestones!$AB$169&amp;" "&amp;Milestones!$AC$169&amp;";  ","")&amp;IF(AND(EDATE($D50,Milestones!$AA$170)&lt;=AsOfDate,IF($Q50=0,$W50,IF(AND($S50&lt;&gt;"",EDATE($D50,Milestones!$AA$170)&gt;=$S50),$V50,IF(AND($R50&lt;&gt;"",EDATE($D50,Milestones!$AA$170)&gt;=$R50),$U50,$T50)))=Milestones!$AB$170),TEXT(EDATE($D50,Milestones!$AA$170),"dd/mm/yy")&amp;" "&amp;Milestones!$AB$170&amp;" "&amp;Milestones!$AC$170&amp;";  ","")&amp;IF(AND(EDATE($D50,Milestones!$AA$171)&lt;=AsOfDate,IF($Q50=0,$W50,IF(AND($S50&lt;&gt;"",EDATE($D50,Milestones!$AA$171)&gt;=$S50),$V50,IF(AND($R50&lt;&gt;"",EDATE($D50,Milestones!$AA$171)&gt;=$R50),$U50,$T50)))=Milestones!$AB$171),TEXT(EDATE($D50,Milestones!$AA$171),"dd/mm/yy")&amp;" "&amp;Milestones!$AB$171&amp;" "&amp;Milestones!$AC$171&amp;";  ","")&amp;IF(AND(EDATE($D50,Milestones!$AA$172)&lt;=AsOfDate,IF($Q50=0,$W50,IF(AND($S50&lt;&gt;"",EDATE($D50,Milestones!$AA$172)&gt;=$S50),$V50,IF(AND($R50&lt;&gt;"",EDATE($D50,Milestones!$AA$172)&gt;=$R50),$U50,$T50)))=Milestones!$AB$172),TEXT(EDATE($D50,Milestones!$AA$172),"dd/mm/yy")&amp;" "&amp;Milestones!$AB$172&amp;" "&amp;Milestones!$AC$172&amp;";  ","")&amp;IF(AND(EDATE($D50,Milestones!$AA$173)&lt;=AsOfDate,IF($Q50=0,$W50,IF(AND($S50&lt;&gt;"",EDATE($D50,Milestones!$AA$173)&gt;=$S50),$V50,IF(AND($R50&lt;&gt;"",EDATE($D50,Milestones!$AA$173)&gt;=$R50),$U50,$T50)))=Milestones!$AB$173),TEXT(EDATE($D50,Milestones!$AA$173),"dd/mm/yy")&amp;" "&amp;Milestones!$AB$173&amp;" "&amp;Milestones!$AC$173&amp;";  ","")&amp;IF(AND(EDATE($D50,Milestones!$AA$174)&lt;=AsOfDate,IF($Q50=0,$W50,IF(AND($S50&lt;&gt;"",EDATE($D50,Milestones!$AA$174)&gt;=$S50),$V50,IF(AND($R50&lt;&gt;"",EDATE($D50,Milestones!$AA$174)&gt;=$R50),$U50,$T50)))=Milestones!$AB$174),TEXT(EDATE($D50,Milestones!$AA$174),"dd/mm/yy")&amp;" "&amp;Milestones!$AB$174&amp;" "&amp;Milestones!$AC$174&amp;";  ","")&amp;IF(AND(EDATE($D50,Milestones!$AA$175)&lt;=AsOfDate,IF($Q50=0,$W50,IF(AND($S50&lt;&gt;"",EDATE($D50,Milestones!$AA$175)&gt;=$S50),$V50,IF(AND($R50&lt;&gt;"",EDATE($D50,Milestones!$AA$175)&gt;=$R50),$U50,$T50)))=Milestones!$AB$175),TEXT(EDATE($D50,Milestones!$AA$175),"dd/mm/yy")&amp;" "&amp;Milestones!$AB$175&amp;" "&amp;Milestones!$AC$175&amp;";  ","")&amp;IF(AND(EDATE($D50,Milestones!$AA$176)&lt;=AsOfDate,IF($Q50=0,$W50,IF(AND($S50&lt;&gt;"",EDATE($D50,Milestones!$AA$176)&gt;=$S50),$V50,IF(AND($R50&lt;&gt;"",EDATE($D50,Milestones!$AA$176)&gt;=$R50),$U50,$T50)))=Milestones!$AB$176),TEXT(EDATE($D50,Milestones!$AA$176),"dd/mm/yy")&amp;" "&amp;Milestones!$AB$176&amp;" "&amp;Milestones!$AC$176&amp;";  ","")&amp;IF(AND(EDATE($D50,Milestones!$AA$177)&lt;=AsOfDate,IF($Q50=0,$W50,IF(AND($S50&lt;&gt;"",EDATE($D50,Milestones!$AA$177)&gt;=$S50),$V50,IF(AND($R50&lt;&gt;"",EDATE($D50,Milestones!$AA$177)&gt;=$R50),$U50,$T50)))=Milestones!$AB$177),TEXT(EDATE($D50,Milestones!$AA$177),"dd/mm/yy")&amp;" "&amp;Milestones!$AB$177&amp;" "&amp;Milestones!$AC$177&amp;";  ","")&amp;IF(AND(EDATE($D50,Milestones!$AA$178)&lt;=AsOfDate,IF($Q50=0,$W50,IF(AND($S50&lt;&gt;"",EDATE($D50,Milestones!$AA$178)&gt;=$S50),$V50,IF(AND($R50&lt;&gt;"",EDATE($D50,Milestones!$AA$178)&gt;=$R50),$U50,$T50)))=Milestones!$AB$178),TEXT(EDATE($D50,Milestones!$AA$178),"dd/mm/yy")&amp;" "&amp;Milestones!$AB$178&amp;" "&amp;Milestones!$AC$178&amp;";  ","")&amp;IF(AND(EDATE($D50,Milestones!$AA$179)&lt;=AsOfDate,IF($Q50=0,$W50,IF(AND($S50&lt;&gt;"",EDATE($D50,Milestones!$AA$179)&gt;=$S50),$V50,IF(AND($R50&lt;&gt;"",EDATE($D50,Milestones!$AA$179)&gt;=$R50),$U50,$T50)))=Milestones!$AB$179),TEXT(EDATE($D50,Milestones!$AA$179),"dd/mm/yy")&amp;" "&amp;Milestones!$AB$179&amp;" "&amp;Milestones!$AC$179&amp;";  ",""))</f>
        <v/>
      </c>
      <c r="P50" s="0" t="str">
        <f aca="false">IF(OR($A50="",$D50=""),"",IF(AND(EDATE($D50,Milestones!$AA$180)&lt;=AsOfDate,IF($Q50=0,$W50,IF(AND($S50&lt;&gt;"",EDATE($D50,Milestones!$AA$180)&gt;=$S50),$V50,IF(AND($R50&lt;&gt;"",EDATE($D50,Milestones!$AA$180)&gt;=$R50),$U50,$T50)))=Milestones!$AB$180),TEXT(EDATE($D50,Milestones!$AA$180),"dd/mm/yy")&amp;" "&amp;Milestones!$AB$180&amp;" "&amp;Milestones!$AC$180&amp;";  ","")&amp;IF(AND(EDATE($D50,Milestones!$AA$181)&lt;=AsOfDate,IF($Q50=0,$W50,IF(AND($S50&lt;&gt;"",EDATE($D50,Milestones!$AA$181)&gt;=$S50),$V50,IF(AND($R50&lt;&gt;"",EDATE($D50,Milestones!$AA$181)&gt;=$R50),$U50,$T50)))=Milestones!$AB$181),TEXT(EDATE($D50,Milestones!$AA$181),"dd/mm/yy")&amp;" "&amp;Milestones!$AB$181&amp;" "&amp;Milestones!$AC$181&amp;";  ","")&amp;IF(AND(EDATE($D50,Milestones!$AA$182)&lt;=AsOfDate,IF($Q50=0,$W50,IF(AND($S50&lt;&gt;"",EDATE($D50,Milestones!$AA$182)&gt;=$S50),$V50,IF(AND($R50&lt;&gt;"",EDATE($D50,Milestones!$AA$182)&gt;=$R50),$U50,$T50)))=Milestones!$AB$182),TEXT(EDATE($D50,Milestones!$AA$182),"dd/mm/yy")&amp;" "&amp;Milestones!$AB$182&amp;" "&amp;Milestones!$AC$182&amp;";  ","")&amp;IF(AND(EDATE($D50,Milestones!$AA$183)&lt;=AsOfDate,IF($Q50=0,$W50,IF(AND($S50&lt;&gt;"",EDATE($D50,Milestones!$AA$183)&gt;=$S50),$V50,IF(AND($R50&lt;&gt;"",EDATE($D50,Milestones!$AA$183)&gt;=$R50),$U50,$T50)))=Milestones!$AB$183),TEXT(EDATE($D50,Milestones!$AA$183),"dd/mm/yy")&amp;" "&amp;Milestones!$AB$183&amp;" "&amp;Milestones!$AC$183&amp;";  ","")&amp;IF(AND(EDATE($D50,Milestones!$AA$184)&lt;=AsOfDate,IF($Q50=0,$W50,IF(AND($S50&lt;&gt;"",EDATE($D50,Milestones!$AA$184)&gt;=$S50),$V50,IF(AND($R50&lt;&gt;"",EDATE($D50,Milestones!$AA$184)&gt;=$R50),$U50,$T50)))=Milestones!$AB$184),TEXT(EDATE($D50,Milestones!$AA$184),"dd/mm/yy")&amp;" "&amp;Milestones!$AB$184&amp;" "&amp;Milestones!$AC$184&amp;";  ","")&amp;IF(AND(EDATE($D50,Milestones!$AA$185)&lt;=AsOfDate,IF($Q50=0,$W50,IF(AND($S50&lt;&gt;"",EDATE($D50,Milestones!$AA$185)&gt;=$S50),$V50,IF(AND($R50&lt;&gt;"",EDATE($D50,Milestones!$AA$185)&gt;=$R50),$U50,$T50)))=Milestones!$AB$185),TEXT(EDATE($D50,Milestones!$AA$185),"dd/mm/yy")&amp;" "&amp;Milestones!$AB$185&amp;" "&amp;Milestones!$AC$185&amp;";  ","")&amp;IF(AND(EDATE($D50,Milestones!$AA$186)&lt;=AsOfDate,IF($Q50=0,$W50,IF(AND($S50&lt;&gt;"",EDATE($D50,Milestones!$AA$186)&gt;=$S50),$V50,IF(AND($R50&lt;&gt;"",EDATE($D50,Milestones!$AA$186)&gt;=$R50),$U50,$T50)))=Milestones!$AB$186),TEXT(EDATE($D50,Milestones!$AA$186),"dd/mm/yy")&amp;" "&amp;Milestones!$AB$186&amp;" "&amp;Milestones!$AC$186&amp;";  ","")&amp;IF(AND(EDATE($D50,Milestones!$AA$187)&lt;=AsOfDate,IF($Q50=0,$W50,IF(AND($S50&lt;&gt;"",EDATE($D50,Milestones!$AA$187)&gt;=$S50),$V50,IF(AND($R50&lt;&gt;"",EDATE($D50,Milestones!$AA$187)&gt;=$R50),$U50,$T50)))=Milestones!$AB$187),TEXT(EDATE($D50,Milestones!$AA$187),"dd/mm/yy")&amp;" "&amp;Milestones!$AB$187&amp;" "&amp;Milestones!$AC$187&amp;";  ","")&amp;IF(AND(EDATE($D50,Milestones!$AA$188)&lt;=AsOfDate,IF($Q50=0,$W50,IF(AND($S50&lt;&gt;"",EDATE($D50,Milestones!$AA$188)&gt;=$S50),$V50,IF(AND($R50&lt;&gt;"",EDATE($D50,Milestones!$AA$188)&gt;=$R50),$U50,$T50)))=Milestones!$AB$188),TEXT(EDATE($D50,Milestones!$AA$188),"dd/mm/yy")&amp;" "&amp;Milestones!$AB$188&amp;" "&amp;Milestones!$AC$188&amp;";  ","")&amp;IF(AND(EDATE($D50,Milestones!$AA$189)&lt;=AsOfDate,IF($Q50=0,$W50,IF(AND($S50&lt;&gt;"",EDATE($D50,Milestones!$AA$189)&gt;=$S50),$V50,IF(AND($R50&lt;&gt;"",EDATE($D50,Milestones!$AA$189)&gt;=$R50),$U50,$T50)))=Milestones!$AB$189),TEXT(EDATE($D50,Milestones!$AA$189),"dd/mm/yy")&amp;" "&amp;Milestones!$AB$189&amp;" "&amp;Milestones!$AC$189&amp;";  ","")&amp;IF(AND(EDATE($D50,Milestones!$AA$190)&lt;=AsOfDate,IF($Q50=0,$W50,IF(AND($S50&lt;&gt;"",EDATE($D50,Milestones!$AA$190)&gt;=$S50),$V50,IF(AND($R50&lt;&gt;"",EDATE($D50,Milestones!$AA$190)&gt;=$R50),$U50,$T50)))=Milestones!$AB$190),TEXT(EDATE($D50,Milestones!$AA$190),"dd/mm/yy")&amp;" "&amp;Milestones!$AB$190&amp;" "&amp;Milestones!$AC$190&amp;";  ","")&amp;IF(AND(EDATE($D50,Milestones!$AA$191)&lt;=AsOfDate,IF($Q50=0,$W50,IF(AND($S50&lt;&gt;"",EDATE($D50,Milestones!$AA$191)&gt;=$S50),$V50,IF(AND($R50&lt;&gt;"",EDATE($D50,Milestones!$AA$191)&gt;=$R50),$U50,$T50)))=Milestones!$AB$191),TEXT(EDATE($D50,Milestones!$AA$191),"dd/mm/yy")&amp;" "&amp;Milestones!$AB$191&amp;" "&amp;Milestones!$AC$191&amp;";  ","")&amp;IF(AND(EDATE($D50,Milestones!$AA$192)&lt;=AsOfDate,IF($Q50=0,$W50,IF(AND($S50&lt;&gt;"",EDATE($D50,Milestones!$AA$192)&gt;=$S50),$V50,IF(AND($R50&lt;&gt;"",EDATE($D50,Milestones!$AA$192)&gt;=$R50),$U50,$T50)))=Milestones!$AB$192),TEXT(EDATE($D50,Milestones!$AA$192),"dd/mm/yy")&amp;" "&amp;Milestones!$AB$192&amp;" "&amp;Milestones!$AC$192&amp;";  ","")&amp;IF(AND(EDATE($D50,Milestones!$AA$193)&lt;=AsOfDate,IF($Q50=0,$W50,IF(AND($S50&lt;&gt;"",EDATE($D50,Milestones!$AA$193)&gt;=$S50),$V50,IF(AND($R50&lt;&gt;"",EDATE($D50,Milestones!$AA$193)&gt;=$R50),$U50,$T50)))=Milestones!$AB$193),TEXT(EDATE($D50,Milestones!$AA$193),"dd/mm/yy")&amp;" "&amp;Milestones!$AB$193&amp;" "&amp;Milestones!$AC$193&amp;";  ","")&amp;IF(AND(EDATE($D50,Milestones!$AA$194)&lt;=AsOfDate,IF($Q50=0,$W50,IF(AND($S50&lt;&gt;"",EDATE($D50,Milestones!$AA$194)&gt;=$S50),$V50,IF(AND($R50&lt;&gt;"",EDATE($D50,Milestones!$AA$194)&gt;=$R50),$U50,$T50)))=Milestones!$AB$194),TEXT(EDATE($D50,Milestones!$AA$194),"dd/mm/yy")&amp;" "&amp;Milestones!$AB$194&amp;" "&amp;Milestones!$AC$194&amp;";  ","")&amp;IF(AND(EDATE($D50,Milestones!$AA$195)&lt;=AsOfDate,IF($Q50=0,$W50,IF(AND($S50&lt;&gt;"",EDATE($D50,Milestones!$AA$195)&gt;=$S50),$V50,IF(AND($R50&lt;&gt;"",EDATE($D50,Milestones!$AA$195)&gt;=$R50),$U50,$T50)))=Milestones!$AB$195),TEXT(EDATE($D50,Milestones!$AA$195),"dd/mm/yy")&amp;" "&amp;Milestones!$AB$195&amp;" "&amp;Milestones!$AC$195&amp;";  ","")&amp;IF(AND(EDATE($D50,Milestones!$AA$196)&lt;=AsOfDate,IF($Q50=0,$W50,IF(AND($S50&lt;&gt;"",EDATE($D50,Milestones!$AA$196)&gt;=$S50),$V50,IF(AND($R50&lt;&gt;"",EDATE($D50,Milestones!$AA$196)&gt;=$R50),$U50,$T50)))=Milestones!$AB$196),TEXT(EDATE($D50,Milestones!$AA$196),"dd/mm/yy")&amp;" "&amp;Milestones!$AB$196&amp;" "&amp;Milestones!$AC$196&amp;";  ","")&amp;IF(AND(EDATE($D50,Milestones!$AA$197)&lt;=AsOfDate,IF($Q50=0,$W50,IF(AND($S50&lt;&gt;"",EDATE($D50,Milestones!$AA$197)&gt;=$S50),$V50,IF(AND($R50&lt;&gt;"",EDATE($D50,Milestones!$AA$197)&gt;=$R50),$U50,$T50)))=Milestones!$AB$197),TEXT(EDATE($D50,Milestones!$AA$197),"dd/mm/yy")&amp;" "&amp;Milestones!$AB$197&amp;" "&amp;Milestones!$AC$197&amp;";  ","")&amp;IF(AND(EDATE($D50,Milestones!$AA$198)&lt;=AsOfDate,IF($Q50=0,$W50,IF(AND($S50&lt;&gt;"",EDATE($D50,Milestones!$AA$198)&gt;=$S50),$V50,IF(AND($R50&lt;&gt;"",EDATE($D50,Milestones!$AA$198)&gt;=$R50),$U50,$T50)))=Milestones!$AB$198),TEXT(EDATE($D50,Milestones!$AA$198),"dd/mm/yy")&amp;" "&amp;Milestones!$AB$198&amp;" "&amp;Milestones!$AC$198&amp;";  ","")&amp;IF(AND(EDATE($D50,Milestones!$AA$199)&lt;=AsOfDate,IF($Q50=0,$W50,IF(AND($S50&lt;&gt;"",EDATE($D50,Milestones!$AA$199)&gt;=$S50),$V50,IF(AND($R50&lt;&gt;"",EDATE($D50,Milestones!$AA$199)&gt;=$R50),$U50,$T50)))=Milestones!$AB$199),TEXT(EDATE($D50,Milestones!$AA$199),"dd/mm/yy")&amp;" "&amp;Milestones!$AB$199&amp;" "&amp;Milestones!$AC$199&amp;";  ",""))</f>
        <v/>
      </c>
      <c r="Q50" s="0" t="str">
        <f aca="false">IF(Staff!$A50="","",Staff!$AG50)</f>
        <v/>
      </c>
      <c r="R50" s="0" t="str">
        <f aca="false">IF(Staff!$A50="","",Staff!$AI50)</f>
        <v/>
      </c>
      <c r="S50" s="0" t="str">
        <f aca="false">IF(Staff!$A50="","",Staff!$AJ50)</f>
        <v/>
      </c>
      <c r="T50" s="0" t="str">
        <f aca="false">IF(Staff!$A50="","",Staff!$AN50)</f>
        <v/>
      </c>
      <c r="U50" s="0" t="str">
        <f aca="false">IF(Staff!$A50="","",Staff!$AO50)</f>
        <v/>
      </c>
      <c r="V50" s="0" t="str">
        <f aca="false">IF(Staff!$A50="","",Staff!$AP50)</f>
        <v/>
      </c>
      <c r="W50" s="0" t="str">
        <f aca="false">IF(Staff!$A50="","",Staff!$AQ50)</f>
        <v/>
      </c>
    </row>
    <row r="51" customFormat="false" ht="15" hidden="false" customHeight="false" outlineLevel="0" collapsed="false">
      <c r="A51" s="13" t="str">
        <f aca="false">IF(Staff!$A51="","",Staff!$A51)</f>
        <v/>
      </c>
      <c r="B51" s="13" t="str">
        <f aca="false">IF(Staff!$A51="","",Staff!$B51)</f>
        <v/>
      </c>
      <c r="C51" s="13" t="str">
        <f aca="false">IF(Staff!$A51="","",Staff!$C51)</f>
        <v/>
      </c>
      <c r="D51" s="11" t="str">
        <f aca="false">IF(Staff!$A51="","",Staff!$AF51)</f>
        <v/>
      </c>
      <c r="E51" s="13" t="str">
        <f aca="false">IF(Staff!$A51="","",Staff!$O51)</f>
        <v/>
      </c>
      <c r="F51" s="13" t="str">
        <f aca="false">IF(E51="","",E51*HoursPerDay)</f>
        <v/>
      </c>
      <c r="G51" s="26" t="str">
        <f aca="false">IF($A51="","",H51&amp;I51&amp;J51&amp;K51&amp;L51&amp;M51&amp;N51&amp;O51&amp;P51)</f>
        <v/>
      </c>
      <c r="H51" s="0" t="str">
        <f aca="false">IF(OR($A51="",$D51=""),"",IF(AND(EDATE($D51,Milestones!$AA$20)&lt;=AsOfDate,IF($Q51=0,$W51,IF(AND($S51&lt;&gt;"",EDATE($D51,Milestones!$AA$20)&gt;=$S51),$V51,IF(AND($R51&lt;&gt;"",EDATE($D51,Milestones!$AA$20)&gt;=$R51),$U51,$T51)))=Milestones!$AB$20),TEXT(EDATE($D51,Milestones!$AA$20),"dd/mm/yy")&amp;" "&amp;Milestones!$AB$20&amp;" "&amp;Milestones!$AC$20&amp;";  ","")&amp;IF(AND(EDATE($D51,Milestones!$AA$21)&lt;=AsOfDate,IF($Q51=0,$W51,IF(AND($S51&lt;&gt;"",EDATE($D51,Milestones!$AA$21)&gt;=$S51),$V51,IF(AND($R51&lt;&gt;"",EDATE($D51,Milestones!$AA$21)&gt;=$R51),$U51,$T51)))=Milestones!$AB$21),TEXT(EDATE($D51,Milestones!$AA$21),"dd/mm/yy")&amp;" "&amp;Milestones!$AB$21&amp;" "&amp;Milestones!$AC$21&amp;";  ","")&amp;IF(AND(EDATE($D51,Milestones!$AA$22)&lt;=AsOfDate,IF($Q51=0,$W51,IF(AND($S51&lt;&gt;"",EDATE($D51,Milestones!$AA$22)&gt;=$S51),$V51,IF(AND($R51&lt;&gt;"",EDATE($D51,Milestones!$AA$22)&gt;=$R51),$U51,$T51)))=Milestones!$AB$22),TEXT(EDATE($D51,Milestones!$AA$22),"dd/mm/yy")&amp;" "&amp;Milestones!$AB$22&amp;" "&amp;Milestones!$AC$22&amp;";  ","")&amp;IF(AND(EDATE($D51,Milestones!$AA$23)&lt;=AsOfDate,IF($Q51=0,$W51,IF(AND($S51&lt;&gt;"",EDATE($D51,Milestones!$AA$23)&gt;=$S51),$V51,IF(AND($R51&lt;&gt;"",EDATE($D51,Milestones!$AA$23)&gt;=$R51),$U51,$T51)))=Milestones!$AB$23),TEXT(EDATE($D51,Milestones!$AA$23),"dd/mm/yy")&amp;" "&amp;Milestones!$AB$23&amp;" "&amp;Milestones!$AC$23&amp;";  ","")&amp;IF(AND(EDATE($D51,Milestones!$AA$24)&lt;=AsOfDate,IF($Q51=0,$W51,IF(AND($S51&lt;&gt;"",EDATE($D51,Milestones!$AA$24)&gt;=$S51),$V51,IF(AND($R51&lt;&gt;"",EDATE($D51,Milestones!$AA$24)&gt;=$R51),$U51,$T51)))=Milestones!$AB$24),TEXT(EDATE($D51,Milestones!$AA$24),"dd/mm/yy")&amp;" "&amp;Milestones!$AB$24&amp;" "&amp;Milestones!$AC$24&amp;";  ","")&amp;IF(AND(EDATE($D51,Milestones!$AA$25)&lt;=AsOfDate,IF($Q51=0,$W51,IF(AND($S51&lt;&gt;"",EDATE($D51,Milestones!$AA$25)&gt;=$S51),$V51,IF(AND($R51&lt;&gt;"",EDATE($D51,Milestones!$AA$25)&gt;=$R51),$U51,$T51)))=Milestones!$AB$25),TEXT(EDATE($D51,Milestones!$AA$25),"dd/mm/yy")&amp;" "&amp;Milestones!$AB$25&amp;" "&amp;Milestones!$AC$25&amp;";  ","")&amp;IF(AND(EDATE($D51,Milestones!$AA$26)&lt;=AsOfDate,IF($Q51=0,$W51,IF(AND($S51&lt;&gt;"",EDATE($D51,Milestones!$AA$26)&gt;=$S51),$V51,IF(AND($R51&lt;&gt;"",EDATE($D51,Milestones!$AA$26)&gt;=$R51),$U51,$T51)))=Milestones!$AB$26),TEXT(EDATE($D51,Milestones!$AA$26),"dd/mm/yy")&amp;" "&amp;Milestones!$AB$26&amp;" "&amp;Milestones!$AC$26&amp;";  ","")&amp;IF(AND(EDATE($D51,Milestones!$AA$27)&lt;=AsOfDate,IF($Q51=0,$W51,IF(AND($S51&lt;&gt;"",EDATE($D51,Milestones!$AA$27)&gt;=$S51),$V51,IF(AND($R51&lt;&gt;"",EDATE($D51,Milestones!$AA$27)&gt;=$R51),$U51,$T51)))=Milestones!$AB$27),TEXT(EDATE($D51,Milestones!$AA$27),"dd/mm/yy")&amp;" "&amp;Milestones!$AB$27&amp;" "&amp;Milestones!$AC$27&amp;";  ","")&amp;IF(AND(EDATE($D51,Milestones!$AA$28)&lt;=AsOfDate,IF($Q51=0,$W51,IF(AND($S51&lt;&gt;"",EDATE($D51,Milestones!$AA$28)&gt;=$S51),$V51,IF(AND($R51&lt;&gt;"",EDATE($D51,Milestones!$AA$28)&gt;=$R51),$U51,$T51)))=Milestones!$AB$28),TEXT(EDATE($D51,Milestones!$AA$28),"dd/mm/yy")&amp;" "&amp;Milestones!$AB$28&amp;" "&amp;Milestones!$AC$28&amp;";  ","")&amp;IF(AND(EDATE($D51,Milestones!$AA$29)&lt;=AsOfDate,IF($Q51=0,$W51,IF(AND($S51&lt;&gt;"",EDATE($D51,Milestones!$AA$29)&gt;=$S51),$V51,IF(AND($R51&lt;&gt;"",EDATE($D51,Milestones!$AA$29)&gt;=$R51),$U51,$T51)))=Milestones!$AB$29),TEXT(EDATE($D51,Milestones!$AA$29),"dd/mm/yy")&amp;" "&amp;Milestones!$AB$29&amp;" "&amp;Milestones!$AC$29&amp;";  ","")&amp;IF(AND(EDATE($D51,Milestones!$AA$30)&lt;=AsOfDate,IF($Q51=0,$W51,IF(AND($S51&lt;&gt;"",EDATE($D51,Milestones!$AA$30)&gt;=$S51),$V51,IF(AND($R51&lt;&gt;"",EDATE($D51,Milestones!$AA$30)&gt;=$R51),$U51,$T51)))=Milestones!$AB$30),TEXT(EDATE($D51,Milestones!$AA$30),"dd/mm/yy")&amp;" "&amp;Milestones!$AB$30&amp;" "&amp;Milestones!$AC$30&amp;";  ","")&amp;IF(AND(EDATE($D51,Milestones!$AA$31)&lt;=AsOfDate,IF($Q51=0,$W51,IF(AND($S51&lt;&gt;"",EDATE($D51,Milestones!$AA$31)&gt;=$S51),$V51,IF(AND($R51&lt;&gt;"",EDATE($D51,Milestones!$AA$31)&gt;=$R51),$U51,$T51)))=Milestones!$AB$31),TEXT(EDATE($D51,Milestones!$AA$31),"dd/mm/yy")&amp;" "&amp;Milestones!$AB$31&amp;" "&amp;Milestones!$AC$31&amp;";  ","")&amp;IF(AND(EDATE($D51,Milestones!$AA$32)&lt;=AsOfDate,IF($Q51=0,$W51,IF(AND($S51&lt;&gt;"",EDATE($D51,Milestones!$AA$32)&gt;=$S51),$V51,IF(AND($R51&lt;&gt;"",EDATE($D51,Milestones!$AA$32)&gt;=$R51),$U51,$T51)))=Milestones!$AB$32),TEXT(EDATE($D51,Milestones!$AA$32),"dd/mm/yy")&amp;" "&amp;Milestones!$AB$32&amp;" "&amp;Milestones!$AC$32&amp;";  ","")&amp;IF(AND(EDATE($D51,Milestones!$AA$33)&lt;=AsOfDate,IF($Q51=0,$W51,IF(AND($S51&lt;&gt;"",EDATE($D51,Milestones!$AA$33)&gt;=$S51),$V51,IF(AND($R51&lt;&gt;"",EDATE($D51,Milestones!$AA$33)&gt;=$R51),$U51,$T51)))=Milestones!$AB$33),TEXT(EDATE($D51,Milestones!$AA$33),"dd/mm/yy")&amp;" "&amp;Milestones!$AB$33&amp;" "&amp;Milestones!$AC$33&amp;";  ","")&amp;IF(AND(EDATE($D51,Milestones!$AA$34)&lt;=AsOfDate,IF($Q51=0,$W51,IF(AND($S51&lt;&gt;"",EDATE($D51,Milestones!$AA$34)&gt;=$S51),$V51,IF(AND($R51&lt;&gt;"",EDATE($D51,Milestones!$AA$34)&gt;=$R51),$U51,$T51)))=Milestones!$AB$34),TEXT(EDATE($D51,Milestones!$AA$34),"dd/mm/yy")&amp;" "&amp;Milestones!$AB$34&amp;" "&amp;Milestones!$AC$34&amp;";  ","")&amp;IF(AND(EDATE($D51,Milestones!$AA$35)&lt;=AsOfDate,IF($Q51=0,$W51,IF(AND($S51&lt;&gt;"",EDATE($D51,Milestones!$AA$35)&gt;=$S51),$V51,IF(AND($R51&lt;&gt;"",EDATE($D51,Milestones!$AA$35)&gt;=$R51),$U51,$T51)))=Milestones!$AB$35),TEXT(EDATE($D51,Milestones!$AA$35),"dd/mm/yy")&amp;" "&amp;Milestones!$AB$35&amp;" "&amp;Milestones!$AC$35&amp;";  ","")&amp;IF(AND(EDATE($D51,Milestones!$AA$36)&lt;=AsOfDate,IF($Q51=0,$W51,IF(AND($S51&lt;&gt;"",EDATE($D51,Milestones!$AA$36)&gt;=$S51),$V51,IF(AND($R51&lt;&gt;"",EDATE($D51,Milestones!$AA$36)&gt;=$R51),$U51,$T51)))=Milestones!$AB$36),TEXT(EDATE($D51,Milestones!$AA$36),"dd/mm/yy")&amp;" "&amp;Milestones!$AB$36&amp;" "&amp;Milestones!$AC$36&amp;";  ","")&amp;IF(AND(EDATE($D51,Milestones!$AA$37)&lt;=AsOfDate,IF($Q51=0,$W51,IF(AND($S51&lt;&gt;"",EDATE($D51,Milestones!$AA$37)&gt;=$S51),$V51,IF(AND($R51&lt;&gt;"",EDATE($D51,Milestones!$AA$37)&gt;=$R51),$U51,$T51)))=Milestones!$AB$37),TEXT(EDATE($D51,Milestones!$AA$37),"dd/mm/yy")&amp;" "&amp;Milestones!$AB$37&amp;" "&amp;Milestones!$AC$37&amp;";  ","")&amp;IF(AND(EDATE($D51,Milestones!$AA$38)&lt;=AsOfDate,IF($Q51=0,$W51,IF(AND($S51&lt;&gt;"",EDATE($D51,Milestones!$AA$38)&gt;=$S51),$V51,IF(AND($R51&lt;&gt;"",EDATE($D51,Milestones!$AA$38)&gt;=$R51),$U51,$T51)))=Milestones!$AB$38),TEXT(EDATE($D51,Milestones!$AA$38),"dd/mm/yy")&amp;" "&amp;Milestones!$AB$38&amp;" "&amp;Milestones!$AC$38&amp;";  ","")&amp;IF(AND(EDATE($D51,Milestones!$AA$39)&lt;=AsOfDate,IF($Q51=0,$W51,IF(AND($S51&lt;&gt;"",EDATE($D51,Milestones!$AA$39)&gt;=$S51),$V51,IF(AND($R51&lt;&gt;"",EDATE($D51,Milestones!$AA$39)&gt;=$R51),$U51,$T51)))=Milestones!$AB$39),TEXT(EDATE($D51,Milestones!$AA$39),"dd/mm/yy")&amp;" "&amp;Milestones!$AB$39&amp;" "&amp;Milestones!$AC$39&amp;";  ",""))</f>
        <v/>
      </c>
      <c r="I51" s="0" t="str">
        <f aca="false">IF(OR($A51="",$D51=""),"",IF(AND(EDATE($D51,Milestones!$AA$40)&lt;=AsOfDate,IF($Q51=0,$W51,IF(AND($S51&lt;&gt;"",EDATE($D51,Milestones!$AA$40)&gt;=$S51),$V51,IF(AND($R51&lt;&gt;"",EDATE($D51,Milestones!$AA$40)&gt;=$R51),$U51,$T51)))=Milestones!$AB$40),TEXT(EDATE($D51,Milestones!$AA$40),"dd/mm/yy")&amp;" "&amp;Milestones!$AB$40&amp;" "&amp;Milestones!$AC$40&amp;";  ","")&amp;IF(AND(EDATE($D51,Milestones!$AA$41)&lt;=AsOfDate,IF($Q51=0,$W51,IF(AND($S51&lt;&gt;"",EDATE($D51,Milestones!$AA$41)&gt;=$S51),$V51,IF(AND($R51&lt;&gt;"",EDATE($D51,Milestones!$AA$41)&gt;=$R51),$U51,$T51)))=Milestones!$AB$41),TEXT(EDATE($D51,Milestones!$AA$41),"dd/mm/yy")&amp;" "&amp;Milestones!$AB$41&amp;" "&amp;Milestones!$AC$41&amp;";  ","")&amp;IF(AND(EDATE($D51,Milestones!$AA$42)&lt;=AsOfDate,IF($Q51=0,$W51,IF(AND($S51&lt;&gt;"",EDATE($D51,Milestones!$AA$42)&gt;=$S51),$V51,IF(AND($R51&lt;&gt;"",EDATE($D51,Milestones!$AA$42)&gt;=$R51),$U51,$T51)))=Milestones!$AB$42),TEXT(EDATE($D51,Milestones!$AA$42),"dd/mm/yy")&amp;" "&amp;Milestones!$AB$42&amp;" "&amp;Milestones!$AC$42&amp;";  ","")&amp;IF(AND(EDATE($D51,Milestones!$AA$43)&lt;=AsOfDate,IF($Q51=0,$W51,IF(AND($S51&lt;&gt;"",EDATE($D51,Milestones!$AA$43)&gt;=$S51),$V51,IF(AND($R51&lt;&gt;"",EDATE($D51,Milestones!$AA$43)&gt;=$R51),$U51,$T51)))=Milestones!$AB$43),TEXT(EDATE($D51,Milestones!$AA$43),"dd/mm/yy")&amp;" "&amp;Milestones!$AB$43&amp;" "&amp;Milestones!$AC$43&amp;";  ","")&amp;IF(AND(EDATE($D51,Milestones!$AA$44)&lt;=AsOfDate,IF($Q51=0,$W51,IF(AND($S51&lt;&gt;"",EDATE($D51,Milestones!$AA$44)&gt;=$S51),$V51,IF(AND($R51&lt;&gt;"",EDATE($D51,Milestones!$AA$44)&gt;=$R51),$U51,$T51)))=Milestones!$AB$44),TEXT(EDATE($D51,Milestones!$AA$44),"dd/mm/yy")&amp;" "&amp;Milestones!$AB$44&amp;" "&amp;Milestones!$AC$44&amp;";  ","")&amp;IF(AND(EDATE($D51,Milestones!$AA$45)&lt;=AsOfDate,IF($Q51=0,$W51,IF(AND($S51&lt;&gt;"",EDATE($D51,Milestones!$AA$45)&gt;=$S51),$V51,IF(AND($R51&lt;&gt;"",EDATE($D51,Milestones!$AA$45)&gt;=$R51),$U51,$T51)))=Milestones!$AB$45),TEXT(EDATE($D51,Milestones!$AA$45),"dd/mm/yy")&amp;" "&amp;Milestones!$AB$45&amp;" "&amp;Milestones!$AC$45&amp;";  ","")&amp;IF(AND(EDATE($D51,Milestones!$AA$46)&lt;=AsOfDate,IF($Q51=0,$W51,IF(AND($S51&lt;&gt;"",EDATE($D51,Milestones!$AA$46)&gt;=$S51),$V51,IF(AND($R51&lt;&gt;"",EDATE($D51,Milestones!$AA$46)&gt;=$R51),$U51,$T51)))=Milestones!$AB$46),TEXT(EDATE($D51,Milestones!$AA$46),"dd/mm/yy")&amp;" "&amp;Milestones!$AB$46&amp;" "&amp;Milestones!$AC$46&amp;";  ","")&amp;IF(AND(EDATE($D51,Milestones!$AA$47)&lt;=AsOfDate,IF($Q51=0,$W51,IF(AND($S51&lt;&gt;"",EDATE($D51,Milestones!$AA$47)&gt;=$S51),$V51,IF(AND($R51&lt;&gt;"",EDATE($D51,Milestones!$AA$47)&gt;=$R51),$U51,$T51)))=Milestones!$AB$47),TEXT(EDATE($D51,Milestones!$AA$47),"dd/mm/yy")&amp;" "&amp;Milestones!$AB$47&amp;" "&amp;Milestones!$AC$47&amp;";  ","")&amp;IF(AND(EDATE($D51,Milestones!$AA$48)&lt;=AsOfDate,IF($Q51=0,$W51,IF(AND($S51&lt;&gt;"",EDATE($D51,Milestones!$AA$48)&gt;=$S51),$V51,IF(AND($R51&lt;&gt;"",EDATE($D51,Milestones!$AA$48)&gt;=$R51),$U51,$T51)))=Milestones!$AB$48),TEXT(EDATE($D51,Milestones!$AA$48),"dd/mm/yy")&amp;" "&amp;Milestones!$AB$48&amp;" "&amp;Milestones!$AC$48&amp;";  ","")&amp;IF(AND(EDATE($D51,Milestones!$AA$49)&lt;=AsOfDate,IF($Q51=0,$W51,IF(AND($S51&lt;&gt;"",EDATE($D51,Milestones!$AA$49)&gt;=$S51),$V51,IF(AND($R51&lt;&gt;"",EDATE($D51,Milestones!$AA$49)&gt;=$R51),$U51,$T51)))=Milestones!$AB$49),TEXT(EDATE($D51,Milestones!$AA$49),"dd/mm/yy")&amp;" "&amp;Milestones!$AB$49&amp;" "&amp;Milestones!$AC$49&amp;";  ","")&amp;IF(AND(EDATE($D51,Milestones!$AA$50)&lt;=AsOfDate,IF($Q51=0,$W51,IF(AND($S51&lt;&gt;"",EDATE($D51,Milestones!$AA$50)&gt;=$S51),$V51,IF(AND($R51&lt;&gt;"",EDATE($D51,Milestones!$AA$50)&gt;=$R51),$U51,$T51)))=Milestones!$AB$50),TEXT(EDATE($D51,Milestones!$AA$50),"dd/mm/yy")&amp;" "&amp;Milestones!$AB$50&amp;" "&amp;Milestones!$AC$50&amp;";  ","")&amp;IF(AND(EDATE($D51,Milestones!$AA$51)&lt;=AsOfDate,IF($Q51=0,$W51,IF(AND($S51&lt;&gt;"",EDATE($D51,Milestones!$AA$51)&gt;=$S51),$V51,IF(AND($R51&lt;&gt;"",EDATE($D51,Milestones!$AA$51)&gt;=$R51),$U51,$T51)))=Milestones!$AB$51),TEXT(EDATE($D51,Milestones!$AA$51),"dd/mm/yy")&amp;" "&amp;Milestones!$AB$51&amp;" "&amp;Milestones!$AC$51&amp;";  ","")&amp;IF(AND(EDATE($D51,Milestones!$AA$52)&lt;=AsOfDate,IF($Q51=0,$W51,IF(AND($S51&lt;&gt;"",EDATE($D51,Milestones!$AA$52)&gt;=$S51),$V51,IF(AND($R51&lt;&gt;"",EDATE($D51,Milestones!$AA$52)&gt;=$R51),$U51,$T51)))=Milestones!$AB$52),TEXT(EDATE($D51,Milestones!$AA$52),"dd/mm/yy")&amp;" "&amp;Milestones!$AB$52&amp;" "&amp;Milestones!$AC$52&amp;";  ","")&amp;IF(AND(EDATE($D51,Milestones!$AA$53)&lt;=AsOfDate,IF($Q51=0,$W51,IF(AND($S51&lt;&gt;"",EDATE($D51,Milestones!$AA$53)&gt;=$S51),$V51,IF(AND($R51&lt;&gt;"",EDATE($D51,Milestones!$AA$53)&gt;=$R51),$U51,$T51)))=Milestones!$AB$53),TEXT(EDATE($D51,Milestones!$AA$53),"dd/mm/yy")&amp;" "&amp;Milestones!$AB$53&amp;" "&amp;Milestones!$AC$53&amp;";  ","")&amp;IF(AND(EDATE($D51,Milestones!$AA$54)&lt;=AsOfDate,IF($Q51=0,$W51,IF(AND($S51&lt;&gt;"",EDATE($D51,Milestones!$AA$54)&gt;=$S51),$V51,IF(AND($R51&lt;&gt;"",EDATE($D51,Milestones!$AA$54)&gt;=$R51),$U51,$T51)))=Milestones!$AB$54),TEXT(EDATE($D51,Milestones!$AA$54),"dd/mm/yy")&amp;" "&amp;Milestones!$AB$54&amp;" "&amp;Milestones!$AC$54&amp;";  ","")&amp;IF(AND(EDATE($D51,Milestones!$AA$55)&lt;=AsOfDate,IF($Q51=0,$W51,IF(AND($S51&lt;&gt;"",EDATE($D51,Milestones!$AA$55)&gt;=$S51),$V51,IF(AND($R51&lt;&gt;"",EDATE($D51,Milestones!$AA$55)&gt;=$R51),$U51,$T51)))=Milestones!$AB$55),TEXT(EDATE($D51,Milestones!$AA$55),"dd/mm/yy")&amp;" "&amp;Milestones!$AB$55&amp;" "&amp;Milestones!$AC$55&amp;";  ","")&amp;IF(AND(EDATE($D51,Milestones!$AA$56)&lt;=AsOfDate,IF($Q51=0,$W51,IF(AND($S51&lt;&gt;"",EDATE($D51,Milestones!$AA$56)&gt;=$S51),$V51,IF(AND($R51&lt;&gt;"",EDATE($D51,Milestones!$AA$56)&gt;=$R51),$U51,$T51)))=Milestones!$AB$56),TEXT(EDATE($D51,Milestones!$AA$56),"dd/mm/yy")&amp;" "&amp;Milestones!$AB$56&amp;" "&amp;Milestones!$AC$56&amp;";  ","")&amp;IF(AND(EDATE($D51,Milestones!$AA$57)&lt;=AsOfDate,IF($Q51=0,$W51,IF(AND($S51&lt;&gt;"",EDATE($D51,Milestones!$AA$57)&gt;=$S51),$V51,IF(AND($R51&lt;&gt;"",EDATE($D51,Milestones!$AA$57)&gt;=$R51),$U51,$T51)))=Milestones!$AB$57),TEXT(EDATE($D51,Milestones!$AA$57),"dd/mm/yy")&amp;" "&amp;Milestones!$AB$57&amp;" "&amp;Milestones!$AC$57&amp;";  ","")&amp;IF(AND(EDATE($D51,Milestones!$AA$58)&lt;=AsOfDate,IF($Q51=0,$W51,IF(AND($S51&lt;&gt;"",EDATE($D51,Milestones!$AA$58)&gt;=$S51),$V51,IF(AND($R51&lt;&gt;"",EDATE($D51,Milestones!$AA$58)&gt;=$R51),$U51,$T51)))=Milestones!$AB$58),TEXT(EDATE($D51,Milestones!$AA$58),"dd/mm/yy")&amp;" "&amp;Milestones!$AB$58&amp;" "&amp;Milestones!$AC$58&amp;";  ","")&amp;IF(AND(EDATE($D51,Milestones!$AA$59)&lt;=AsOfDate,IF($Q51=0,$W51,IF(AND($S51&lt;&gt;"",EDATE($D51,Milestones!$AA$59)&gt;=$S51),$V51,IF(AND($R51&lt;&gt;"",EDATE($D51,Milestones!$AA$59)&gt;=$R51),$U51,$T51)))=Milestones!$AB$59),TEXT(EDATE($D51,Milestones!$AA$59),"dd/mm/yy")&amp;" "&amp;Milestones!$AB$59&amp;" "&amp;Milestones!$AC$59&amp;";  ",""))</f>
        <v/>
      </c>
      <c r="J51" s="0" t="str">
        <f aca="false">IF(OR($A51="",$D51=""),"",IF(AND(EDATE($D51,Milestones!$AA$60)&lt;=AsOfDate,IF($Q51=0,$W51,IF(AND($S51&lt;&gt;"",EDATE($D51,Milestones!$AA$60)&gt;=$S51),$V51,IF(AND($R51&lt;&gt;"",EDATE($D51,Milestones!$AA$60)&gt;=$R51),$U51,$T51)))=Milestones!$AB$60),TEXT(EDATE($D51,Milestones!$AA$60),"dd/mm/yy")&amp;" "&amp;Milestones!$AB$60&amp;" "&amp;Milestones!$AC$60&amp;";  ","")&amp;IF(AND(EDATE($D51,Milestones!$AA$61)&lt;=AsOfDate,IF($Q51=0,$W51,IF(AND($S51&lt;&gt;"",EDATE($D51,Milestones!$AA$61)&gt;=$S51),$V51,IF(AND($R51&lt;&gt;"",EDATE($D51,Milestones!$AA$61)&gt;=$R51),$U51,$T51)))=Milestones!$AB$61),TEXT(EDATE($D51,Milestones!$AA$61),"dd/mm/yy")&amp;" "&amp;Milestones!$AB$61&amp;" "&amp;Milestones!$AC$61&amp;";  ","")&amp;IF(AND(EDATE($D51,Milestones!$AA$62)&lt;=AsOfDate,IF($Q51=0,$W51,IF(AND($S51&lt;&gt;"",EDATE($D51,Milestones!$AA$62)&gt;=$S51),$V51,IF(AND($R51&lt;&gt;"",EDATE($D51,Milestones!$AA$62)&gt;=$R51),$U51,$T51)))=Milestones!$AB$62),TEXT(EDATE($D51,Milestones!$AA$62),"dd/mm/yy")&amp;" "&amp;Milestones!$AB$62&amp;" "&amp;Milestones!$AC$62&amp;";  ","")&amp;IF(AND(EDATE($D51,Milestones!$AA$63)&lt;=AsOfDate,IF($Q51=0,$W51,IF(AND($S51&lt;&gt;"",EDATE($D51,Milestones!$AA$63)&gt;=$S51),$V51,IF(AND($R51&lt;&gt;"",EDATE($D51,Milestones!$AA$63)&gt;=$R51),$U51,$T51)))=Milestones!$AB$63),TEXT(EDATE($D51,Milestones!$AA$63),"dd/mm/yy")&amp;" "&amp;Milestones!$AB$63&amp;" "&amp;Milestones!$AC$63&amp;";  ","")&amp;IF(AND(EDATE($D51,Milestones!$AA$64)&lt;=AsOfDate,IF($Q51=0,$W51,IF(AND($S51&lt;&gt;"",EDATE($D51,Milestones!$AA$64)&gt;=$S51),$V51,IF(AND($R51&lt;&gt;"",EDATE($D51,Milestones!$AA$64)&gt;=$R51),$U51,$T51)))=Milestones!$AB$64),TEXT(EDATE($D51,Milestones!$AA$64),"dd/mm/yy")&amp;" "&amp;Milestones!$AB$64&amp;" "&amp;Milestones!$AC$64&amp;";  ","")&amp;IF(AND(EDATE($D51,Milestones!$AA$65)&lt;=AsOfDate,IF($Q51=0,$W51,IF(AND($S51&lt;&gt;"",EDATE($D51,Milestones!$AA$65)&gt;=$S51),$V51,IF(AND($R51&lt;&gt;"",EDATE($D51,Milestones!$AA$65)&gt;=$R51),$U51,$T51)))=Milestones!$AB$65),TEXT(EDATE($D51,Milestones!$AA$65),"dd/mm/yy")&amp;" "&amp;Milestones!$AB$65&amp;" "&amp;Milestones!$AC$65&amp;";  ","")&amp;IF(AND(EDATE($D51,Milestones!$AA$66)&lt;=AsOfDate,IF($Q51=0,$W51,IF(AND($S51&lt;&gt;"",EDATE($D51,Milestones!$AA$66)&gt;=$S51),$V51,IF(AND($R51&lt;&gt;"",EDATE($D51,Milestones!$AA$66)&gt;=$R51),$U51,$T51)))=Milestones!$AB$66),TEXT(EDATE($D51,Milestones!$AA$66),"dd/mm/yy")&amp;" "&amp;Milestones!$AB$66&amp;" "&amp;Milestones!$AC$66&amp;";  ","")&amp;IF(AND(EDATE($D51,Milestones!$AA$67)&lt;=AsOfDate,IF($Q51=0,$W51,IF(AND($S51&lt;&gt;"",EDATE($D51,Milestones!$AA$67)&gt;=$S51),$V51,IF(AND($R51&lt;&gt;"",EDATE($D51,Milestones!$AA$67)&gt;=$R51),$U51,$T51)))=Milestones!$AB$67),TEXT(EDATE($D51,Milestones!$AA$67),"dd/mm/yy")&amp;" "&amp;Milestones!$AB$67&amp;" "&amp;Milestones!$AC$67&amp;";  ","")&amp;IF(AND(EDATE($D51,Milestones!$AA$68)&lt;=AsOfDate,IF($Q51=0,$W51,IF(AND($S51&lt;&gt;"",EDATE($D51,Milestones!$AA$68)&gt;=$S51),$V51,IF(AND($R51&lt;&gt;"",EDATE($D51,Milestones!$AA$68)&gt;=$R51),$U51,$T51)))=Milestones!$AB$68),TEXT(EDATE($D51,Milestones!$AA$68),"dd/mm/yy")&amp;" "&amp;Milestones!$AB$68&amp;" "&amp;Milestones!$AC$68&amp;";  ","")&amp;IF(AND(EDATE($D51,Milestones!$AA$69)&lt;=AsOfDate,IF($Q51=0,$W51,IF(AND($S51&lt;&gt;"",EDATE($D51,Milestones!$AA$69)&gt;=$S51),$V51,IF(AND($R51&lt;&gt;"",EDATE($D51,Milestones!$AA$69)&gt;=$R51),$U51,$T51)))=Milestones!$AB$69),TEXT(EDATE($D51,Milestones!$AA$69),"dd/mm/yy")&amp;" "&amp;Milestones!$AB$69&amp;" "&amp;Milestones!$AC$69&amp;";  ","")&amp;IF(AND(EDATE($D51,Milestones!$AA$70)&lt;=AsOfDate,IF($Q51=0,$W51,IF(AND($S51&lt;&gt;"",EDATE($D51,Milestones!$AA$70)&gt;=$S51),$V51,IF(AND($R51&lt;&gt;"",EDATE($D51,Milestones!$AA$70)&gt;=$R51),$U51,$T51)))=Milestones!$AB$70),TEXT(EDATE($D51,Milestones!$AA$70),"dd/mm/yy")&amp;" "&amp;Milestones!$AB$70&amp;" "&amp;Milestones!$AC$70&amp;";  ","")&amp;IF(AND(EDATE($D51,Milestones!$AA$71)&lt;=AsOfDate,IF($Q51=0,$W51,IF(AND($S51&lt;&gt;"",EDATE($D51,Milestones!$AA$71)&gt;=$S51),$V51,IF(AND($R51&lt;&gt;"",EDATE($D51,Milestones!$AA$71)&gt;=$R51),$U51,$T51)))=Milestones!$AB$71),TEXT(EDATE($D51,Milestones!$AA$71),"dd/mm/yy")&amp;" "&amp;Milestones!$AB$71&amp;" "&amp;Milestones!$AC$71&amp;";  ","")&amp;IF(AND(EDATE($D51,Milestones!$AA$72)&lt;=AsOfDate,IF($Q51=0,$W51,IF(AND($S51&lt;&gt;"",EDATE($D51,Milestones!$AA$72)&gt;=$S51),$V51,IF(AND($R51&lt;&gt;"",EDATE($D51,Milestones!$AA$72)&gt;=$R51),$U51,$T51)))=Milestones!$AB$72),TEXT(EDATE($D51,Milestones!$AA$72),"dd/mm/yy")&amp;" "&amp;Milestones!$AB$72&amp;" "&amp;Milestones!$AC$72&amp;";  ","")&amp;IF(AND(EDATE($D51,Milestones!$AA$73)&lt;=AsOfDate,IF($Q51=0,$W51,IF(AND($S51&lt;&gt;"",EDATE($D51,Milestones!$AA$73)&gt;=$S51),$V51,IF(AND($R51&lt;&gt;"",EDATE($D51,Milestones!$AA$73)&gt;=$R51),$U51,$T51)))=Milestones!$AB$73),TEXT(EDATE($D51,Milestones!$AA$73),"dd/mm/yy")&amp;" "&amp;Milestones!$AB$73&amp;" "&amp;Milestones!$AC$73&amp;";  ","")&amp;IF(AND(EDATE($D51,Milestones!$AA$74)&lt;=AsOfDate,IF($Q51=0,$W51,IF(AND($S51&lt;&gt;"",EDATE($D51,Milestones!$AA$74)&gt;=$S51),$V51,IF(AND($R51&lt;&gt;"",EDATE($D51,Milestones!$AA$74)&gt;=$R51),$U51,$T51)))=Milestones!$AB$74),TEXT(EDATE($D51,Milestones!$AA$74),"dd/mm/yy")&amp;" "&amp;Milestones!$AB$74&amp;" "&amp;Milestones!$AC$74&amp;";  ","")&amp;IF(AND(EDATE($D51,Milestones!$AA$75)&lt;=AsOfDate,IF($Q51=0,$W51,IF(AND($S51&lt;&gt;"",EDATE($D51,Milestones!$AA$75)&gt;=$S51),$V51,IF(AND($R51&lt;&gt;"",EDATE($D51,Milestones!$AA$75)&gt;=$R51),$U51,$T51)))=Milestones!$AB$75),TEXT(EDATE($D51,Milestones!$AA$75),"dd/mm/yy")&amp;" "&amp;Milestones!$AB$75&amp;" "&amp;Milestones!$AC$75&amp;";  ","")&amp;IF(AND(EDATE($D51,Milestones!$AA$76)&lt;=AsOfDate,IF($Q51=0,$W51,IF(AND($S51&lt;&gt;"",EDATE($D51,Milestones!$AA$76)&gt;=$S51),$V51,IF(AND($R51&lt;&gt;"",EDATE($D51,Milestones!$AA$76)&gt;=$R51),$U51,$T51)))=Milestones!$AB$76),TEXT(EDATE($D51,Milestones!$AA$76),"dd/mm/yy")&amp;" "&amp;Milestones!$AB$76&amp;" "&amp;Milestones!$AC$76&amp;";  ","")&amp;IF(AND(EDATE($D51,Milestones!$AA$77)&lt;=AsOfDate,IF($Q51=0,$W51,IF(AND($S51&lt;&gt;"",EDATE($D51,Milestones!$AA$77)&gt;=$S51),$V51,IF(AND($R51&lt;&gt;"",EDATE($D51,Milestones!$AA$77)&gt;=$R51),$U51,$T51)))=Milestones!$AB$77),TEXT(EDATE($D51,Milestones!$AA$77),"dd/mm/yy")&amp;" "&amp;Milestones!$AB$77&amp;" "&amp;Milestones!$AC$77&amp;";  ","")&amp;IF(AND(EDATE($D51,Milestones!$AA$78)&lt;=AsOfDate,IF($Q51=0,$W51,IF(AND($S51&lt;&gt;"",EDATE($D51,Milestones!$AA$78)&gt;=$S51),$V51,IF(AND($R51&lt;&gt;"",EDATE($D51,Milestones!$AA$78)&gt;=$R51),$U51,$T51)))=Milestones!$AB$78),TEXT(EDATE($D51,Milestones!$AA$78),"dd/mm/yy")&amp;" "&amp;Milestones!$AB$78&amp;" "&amp;Milestones!$AC$78&amp;";  ","")&amp;IF(AND(EDATE($D51,Milestones!$AA$79)&lt;=AsOfDate,IF($Q51=0,$W51,IF(AND($S51&lt;&gt;"",EDATE($D51,Milestones!$AA$79)&gt;=$S51),$V51,IF(AND($R51&lt;&gt;"",EDATE($D51,Milestones!$AA$79)&gt;=$R51),$U51,$T51)))=Milestones!$AB$79),TEXT(EDATE($D51,Milestones!$AA$79),"dd/mm/yy")&amp;" "&amp;Milestones!$AB$79&amp;" "&amp;Milestones!$AC$79&amp;";  ",""))</f>
        <v/>
      </c>
      <c r="K51" s="0" t="str">
        <f aca="false">IF(OR($A51="",$D51=""),"",IF(AND(EDATE($D51,Milestones!$AA$80)&lt;=AsOfDate,IF($Q51=0,$W51,IF(AND($S51&lt;&gt;"",EDATE($D51,Milestones!$AA$80)&gt;=$S51),$V51,IF(AND($R51&lt;&gt;"",EDATE($D51,Milestones!$AA$80)&gt;=$R51),$U51,$T51)))=Milestones!$AB$80),TEXT(EDATE($D51,Milestones!$AA$80),"dd/mm/yy")&amp;" "&amp;Milestones!$AB$80&amp;" "&amp;Milestones!$AC$80&amp;";  ","")&amp;IF(AND(EDATE($D51,Milestones!$AA$81)&lt;=AsOfDate,IF($Q51=0,$W51,IF(AND($S51&lt;&gt;"",EDATE($D51,Milestones!$AA$81)&gt;=$S51),$V51,IF(AND($R51&lt;&gt;"",EDATE($D51,Milestones!$AA$81)&gt;=$R51),$U51,$T51)))=Milestones!$AB$81),TEXT(EDATE($D51,Milestones!$AA$81),"dd/mm/yy")&amp;" "&amp;Milestones!$AB$81&amp;" "&amp;Milestones!$AC$81&amp;";  ","")&amp;IF(AND(EDATE($D51,Milestones!$AA$82)&lt;=AsOfDate,IF($Q51=0,$W51,IF(AND($S51&lt;&gt;"",EDATE($D51,Milestones!$AA$82)&gt;=$S51),$V51,IF(AND($R51&lt;&gt;"",EDATE($D51,Milestones!$AA$82)&gt;=$R51),$U51,$T51)))=Milestones!$AB$82),TEXT(EDATE($D51,Milestones!$AA$82),"dd/mm/yy")&amp;" "&amp;Milestones!$AB$82&amp;" "&amp;Milestones!$AC$82&amp;";  ","")&amp;IF(AND(EDATE($D51,Milestones!$AA$83)&lt;=AsOfDate,IF($Q51=0,$W51,IF(AND($S51&lt;&gt;"",EDATE($D51,Milestones!$AA$83)&gt;=$S51),$V51,IF(AND($R51&lt;&gt;"",EDATE($D51,Milestones!$AA$83)&gt;=$R51),$U51,$T51)))=Milestones!$AB$83),TEXT(EDATE($D51,Milestones!$AA$83),"dd/mm/yy")&amp;" "&amp;Milestones!$AB$83&amp;" "&amp;Milestones!$AC$83&amp;";  ","")&amp;IF(AND(EDATE($D51,Milestones!$AA$84)&lt;=AsOfDate,IF($Q51=0,$W51,IF(AND($S51&lt;&gt;"",EDATE($D51,Milestones!$AA$84)&gt;=$S51),$V51,IF(AND($R51&lt;&gt;"",EDATE($D51,Milestones!$AA$84)&gt;=$R51),$U51,$T51)))=Milestones!$AB$84),TEXT(EDATE($D51,Milestones!$AA$84),"dd/mm/yy")&amp;" "&amp;Milestones!$AB$84&amp;" "&amp;Milestones!$AC$84&amp;";  ","")&amp;IF(AND(EDATE($D51,Milestones!$AA$85)&lt;=AsOfDate,IF($Q51=0,$W51,IF(AND($S51&lt;&gt;"",EDATE($D51,Milestones!$AA$85)&gt;=$S51),$V51,IF(AND($R51&lt;&gt;"",EDATE($D51,Milestones!$AA$85)&gt;=$R51),$U51,$T51)))=Milestones!$AB$85),TEXT(EDATE($D51,Milestones!$AA$85),"dd/mm/yy")&amp;" "&amp;Milestones!$AB$85&amp;" "&amp;Milestones!$AC$85&amp;";  ","")&amp;IF(AND(EDATE($D51,Milestones!$AA$86)&lt;=AsOfDate,IF($Q51=0,$W51,IF(AND($S51&lt;&gt;"",EDATE($D51,Milestones!$AA$86)&gt;=$S51),$V51,IF(AND($R51&lt;&gt;"",EDATE($D51,Milestones!$AA$86)&gt;=$R51),$U51,$T51)))=Milestones!$AB$86),TEXT(EDATE($D51,Milestones!$AA$86),"dd/mm/yy")&amp;" "&amp;Milestones!$AB$86&amp;" "&amp;Milestones!$AC$86&amp;";  ","")&amp;IF(AND(EDATE($D51,Milestones!$AA$87)&lt;=AsOfDate,IF($Q51=0,$W51,IF(AND($S51&lt;&gt;"",EDATE($D51,Milestones!$AA$87)&gt;=$S51),$V51,IF(AND($R51&lt;&gt;"",EDATE($D51,Milestones!$AA$87)&gt;=$R51),$U51,$T51)))=Milestones!$AB$87),TEXT(EDATE($D51,Milestones!$AA$87),"dd/mm/yy")&amp;" "&amp;Milestones!$AB$87&amp;" "&amp;Milestones!$AC$87&amp;";  ","")&amp;IF(AND(EDATE($D51,Milestones!$AA$88)&lt;=AsOfDate,IF($Q51=0,$W51,IF(AND($S51&lt;&gt;"",EDATE($D51,Milestones!$AA$88)&gt;=$S51),$V51,IF(AND($R51&lt;&gt;"",EDATE($D51,Milestones!$AA$88)&gt;=$R51),$U51,$T51)))=Milestones!$AB$88),TEXT(EDATE($D51,Milestones!$AA$88),"dd/mm/yy")&amp;" "&amp;Milestones!$AB$88&amp;" "&amp;Milestones!$AC$88&amp;";  ","")&amp;IF(AND(EDATE($D51,Milestones!$AA$89)&lt;=AsOfDate,IF($Q51=0,$W51,IF(AND($S51&lt;&gt;"",EDATE($D51,Milestones!$AA$89)&gt;=$S51),$V51,IF(AND($R51&lt;&gt;"",EDATE($D51,Milestones!$AA$89)&gt;=$R51),$U51,$T51)))=Milestones!$AB$89),TEXT(EDATE($D51,Milestones!$AA$89),"dd/mm/yy")&amp;" "&amp;Milestones!$AB$89&amp;" "&amp;Milestones!$AC$89&amp;";  ","")&amp;IF(AND(EDATE($D51,Milestones!$AA$90)&lt;=AsOfDate,IF($Q51=0,$W51,IF(AND($S51&lt;&gt;"",EDATE($D51,Milestones!$AA$90)&gt;=$S51),$V51,IF(AND($R51&lt;&gt;"",EDATE($D51,Milestones!$AA$90)&gt;=$R51),$U51,$T51)))=Milestones!$AB$90),TEXT(EDATE($D51,Milestones!$AA$90),"dd/mm/yy")&amp;" "&amp;Milestones!$AB$90&amp;" "&amp;Milestones!$AC$90&amp;";  ","")&amp;IF(AND(EDATE($D51,Milestones!$AA$91)&lt;=AsOfDate,IF($Q51=0,$W51,IF(AND($S51&lt;&gt;"",EDATE($D51,Milestones!$AA$91)&gt;=$S51),$V51,IF(AND($R51&lt;&gt;"",EDATE($D51,Milestones!$AA$91)&gt;=$R51),$U51,$T51)))=Milestones!$AB$91),TEXT(EDATE($D51,Milestones!$AA$91),"dd/mm/yy")&amp;" "&amp;Milestones!$AB$91&amp;" "&amp;Milestones!$AC$91&amp;";  ","")&amp;IF(AND(EDATE($D51,Milestones!$AA$92)&lt;=AsOfDate,IF($Q51=0,$W51,IF(AND($S51&lt;&gt;"",EDATE($D51,Milestones!$AA$92)&gt;=$S51),$V51,IF(AND($R51&lt;&gt;"",EDATE($D51,Milestones!$AA$92)&gt;=$R51),$U51,$T51)))=Milestones!$AB$92),TEXT(EDATE($D51,Milestones!$AA$92),"dd/mm/yy")&amp;" "&amp;Milestones!$AB$92&amp;" "&amp;Milestones!$AC$92&amp;";  ","")&amp;IF(AND(EDATE($D51,Milestones!$AA$93)&lt;=AsOfDate,IF($Q51=0,$W51,IF(AND($S51&lt;&gt;"",EDATE($D51,Milestones!$AA$93)&gt;=$S51),$V51,IF(AND($R51&lt;&gt;"",EDATE($D51,Milestones!$AA$93)&gt;=$R51),$U51,$T51)))=Milestones!$AB$93),TEXT(EDATE($D51,Milestones!$AA$93),"dd/mm/yy")&amp;" "&amp;Milestones!$AB$93&amp;" "&amp;Milestones!$AC$93&amp;";  ","")&amp;IF(AND(EDATE($D51,Milestones!$AA$94)&lt;=AsOfDate,IF($Q51=0,$W51,IF(AND($S51&lt;&gt;"",EDATE($D51,Milestones!$AA$94)&gt;=$S51),$V51,IF(AND($R51&lt;&gt;"",EDATE($D51,Milestones!$AA$94)&gt;=$R51),$U51,$T51)))=Milestones!$AB$94),TEXT(EDATE($D51,Milestones!$AA$94),"dd/mm/yy")&amp;" "&amp;Milestones!$AB$94&amp;" "&amp;Milestones!$AC$94&amp;";  ","")&amp;IF(AND(EDATE($D51,Milestones!$AA$95)&lt;=AsOfDate,IF($Q51=0,$W51,IF(AND($S51&lt;&gt;"",EDATE($D51,Milestones!$AA$95)&gt;=$S51),$V51,IF(AND($R51&lt;&gt;"",EDATE($D51,Milestones!$AA$95)&gt;=$R51),$U51,$T51)))=Milestones!$AB$95),TEXT(EDATE($D51,Milestones!$AA$95),"dd/mm/yy")&amp;" "&amp;Milestones!$AB$95&amp;" "&amp;Milestones!$AC$95&amp;";  ","")&amp;IF(AND(EDATE($D51,Milestones!$AA$96)&lt;=AsOfDate,IF($Q51=0,$W51,IF(AND($S51&lt;&gt;"",EDATE($D51,Milestones!$AA$96)&gt;=$S51),$V51,IF(AND($R51&lt;&gt;"",EDATE($D51,Milestones!$AA$96)&gt;=$R51),$U51,$T51)))=Milestones!$AB$96),TEXT(EDATE($D51,Milestones!$AA$96),"dd/mm/yy")&amp;" "&amp;Milestones!$AB$96&amp;" "&amp;Milestones!$AC$96&amp;";  ","")&amp;IF(AND(EDATE($D51,Milestones!$AA$97)&lt;=AsOfDate,IF($Q51=0,$W51,IF(AND($S51&lt;&gt;"",EDATE($D51,Milestones!$AA$97)&gt;=$S51),$V51,IF(AND($R51&lt;&gt;"",EDATE($D51,Milestones!$AA$97)&gt;=$R51),$U51,$T51)))=Milestones!$AB$97),TEXT(EDATE($D51,Milestones!$AA$97),"dd/mm/yy")&amp;" "&amp;Milestones!$AB$97&amp;" "&amp;Milestones!$AC$97&amp;";  ","")&amp;IF(AND(EDATE($D51,Milestones!$AA$98)&lt;=AsOfDate,IF($Q51=0,$W51,IF(AND($S51&lt;&gt;"",EDATE($D51,Milestones!$AA$98)&gt;=$S51),$V51,IF(AND($R51&lt;&gt;"",EDATE($D51,Milestones!$AA$98)&gt;=$R51),$U51,$T51)))=Milestones!$AB$98),TEXT(EDATE($D51,Milestones!$AA$98),"dd/mm/yy")&amp;" "&amp;Milestones!$AB$98&amp;" "&amp;Milestones!$AC$98&amp;";  ","")&amp;IF(AND(EDATE($D51,Milestones!$AA$99)&lt;=AsOfDate,IF($Q51=0,$W51,IF(AND($S51&lt;&gt;"",EDATE($D51,Milestones!$AA$99)&gt;=$S51),$V51,IF(AND($R51&lt;&gt;"",EDATE($D51,Milestones!$AA$99)&gt;=$R51),$U51,$T51)))=Milestones!$AB$99),TEXT(EDATE($D51,Milestones!$AA$99),"dd/mm/yy")&amp;" "&amp;Milestones!$AB$99&amp;" "&amp;Milestones!$AC$99&amp;";  ",""))</f>
        <v/>
      </c>
      <c r="L51" s="0" t="str">
        <f aca="false">IF(OR($A51="",$D51=""),"",IF(AND(EDATE($D51,Milestones!$AA$100)&lt;=AsOfDate,IF($Q51=0,$W51,IF(AND($S51&lt;&gt;"",EDATE($D51,Milestones!$AA$100)&gt;=$S51),$V51,IF(AND($R51&lt;&gt;"",EDATE($D51,Milestones!$AA$100)&gt;=$R51),$U51,$T51)))=Milestones!$AB$100),TEXT(EDATE($D51,Milestones!$AA$100),"dd/mm/yy")&amp;" "&amp;Milestones!$AB$100&amp;" "&amp;Milestones!$AC$100&amp;";  ","")&amp;IF(AND(EDATE($D51,Milestones!$AA$101)&lt;=AsOfDate,IF($Q51=0,$W51,IF(AND($S51&lt;&gt;"",EDATE($D51,Milestones!$AA$101)&gt;=$S51),$V51,IF(AND($R51&lt;&gt;"",EDATE($D51,Milestones!$AA$101)&gt;=$R51),$U51,$T51)))=Milestones!$AB$101),TEXT(EDATE($D51,Milestones!$AA$101),"dd/mm/yy")&amp;" "&amp;Milestones!$AB$101&amp;" "&amp;Milestones!$AC$101&amp;";  ","")&amp;IF(AND(EDATE($D51,Milestones!$AA$102)&lt;=AsOfDate,IF($Q51=0,$W51,IF(AND($S51&lt;&gt;"",EDATE($D51,Milestones!$AA$102)&gt;=$S51),$V51,IF(AND($R51&lt;&gt;"",EDATE($D51,Milestones!$AA$102)&gt;=$R51),$U51,$T51)))=Milestones!$AB$102),TEXT(EDATE($D51,Milestones!$AA$102),"dd/mm/yy")&amp;" "&amp;Milestones!$AB$102&amp;" "&amp;Milestones!$AC$102&amp;";  ","")&amp;IF(AND(EDATE($D51,Milestones!$AA$103)&lt;=AsOfDate,IF($Q51=0,$W51,IF(AND($S51&lt;&gt;"",EDATE($D51,Milestones!$AA$103)&gt;=$S51),$V51,IF(AND($R51&lt;&gt;"",EDATE($D51,Milestones!$AA$103)&gt;=$R51),$U51,$T51)))=Milestones!$AB$103),TEXT(EDATE($D51,Milestones!$AA$103),"dd/mm/yy")&amp;" "&amp;Milestones!$AB$103&amp;" "&amp;Milestones!$AC$103&amp;";  ","")&amp;IF(AND(EDATE($D51,Milestones!$AA$104)&lt;=AsOfDate,IF($Q51=0,$W51,IF(AND($S51&lt;&gt;"",EDATE($D51,Milestones!$AA$104)&gt;=$S51),$V51,IF(AND($R51&lt;&gt;"",EDATE($D51,Milestones!$AA$104)&gt;=$R51),$U51,$T51)))=Milestones!$AB$104),TEXT(EDATE($D51,Milestones!$AA$104),"dd/mm/yy")&amp;" "&amp;Milestones!$AB$104&amp;" "&amp;Milestones!$AC$104&amp;";  ","")&amp;IF(AND(EDATE($D51,Milestones!$AA$105)&lt;=AsOfDate,IF($Q51=0,$W51,IF(AND($S51&lt;&gt;"",EDATE($D51,Milestones!$AA$105)&gt;=$S51),$V51,IF(AND($R51&lt;&gt;"",EDATE($D51,Milestones!$AA$105)&gt;=$R51),$U51,$T51)))=Milestones!$AB$105),TEXT(EDATE($D51,Milestones!$AA$105),"dd/mm/yy")&amp;" "&amp;Milestones!$AB$105&amp;" "&amp;Milestones!$AC$105&amp;";  ","")&amp;IF(AND(EDATE($D51,Milestones!$AA$106)&lt;=AsOfDate,IF($Q51=0,$W51,IF(AND($S51&lt;&gt;"",EDATE($D51,Milestones!$AA$106)&gt;=$S51),$V51,IF(AND($R51&lt;&gt;"",EDATE($D51,Milestones!$AA$106)&gt;=$R51),$U51,$T51)))=Milestones!$AB$106),TEXT(EDATE($D51,Milestones!$AA$106),"dd/mm/yy")&amp;" "&amp;Milestones!$AB$106&amp;" "&amp;Milestones!$AC$106&amp;";  ","")&amp;IF(AND(EDATE($D51,Milestones!$AA$107)&lt;=AsOfDate,IF($Q51=0,$W51,IF(AND($S51&lt;&gt;"",EDATE($D51,Milestones!$AA$107)&gt;=$S51),$V51,IF(AND($R51&lt;&gt;"",EDATE($D51,Milestones!$AA$107)&gt;=$R51),$U51,$T51)))=Milestones!$AB$107),TEXT(EDATE($D51,Milestones!$AA$107),"dd/mm/yy")&amp;" "&amp;Milestones!$AB$107&amp;" "&amp;Milestones!$AC$107&amp;";  ","")&amp;IF(AND(EDATE($D51,Milestones!$AA$108)&lt;=AsOfDate,IF($Q51=0,$W51,IF(AND($S51&lt;&gt;"",EDATE($D51,Milestones!$AA$108)&gt;=$S51),$V51,IF(AND($R51&lt;&gt;"",EDATE($D51,Milestones!$AA$108)&gt;=$R51),$U51,$T51)))=Milestones!$AB$108),TEXT(EDATE($D51,Milestones!$AA$108),"dd/mm/yy")&amp;" "&amp;Milestones!$AB$108&amp;" "&amp;Milestones!$AC$108&amp;";  ","")&amp;IF(AND(EDATE($D51,Milestones!$AA$109)&lt;=AsOfDate,IF($Q51=0,$W51,IF(AND($S51&lt;&gt;"",EDATE($D51,Milestones!$AA$109)&gt;=$S51),$V51,IF(AND($R51&lt;&gt;"",EDATE($D51,Milestones!$AA$109)&gt;=$R51),$U51,$T51)))=Milestones!$AB$109),TEXT(EDATE($D51,Milestones!$AA$109),"dd/mm/yy")&amp;" "&amp;Milestones!$AB$109&amp;" "&amp;Milestones!$AC$109&amp;";  ","")&amp;IF(AND(EDATE($D51,Milestones!$AA$110)&lt;=AsOfDate,IF($Q51=0,$W51,IF(AND($S51&lt;&gt;"",EDATE($D51,Milestones!$AA$110)&gt;=$S51),$V51,IF(AND($R51&lt;&gt;"",EDATE($D51,Milestones!$AA$110)&gt;=$R51),$U51,$T51)))=Milestones!$AB$110),TEXT(EDATE($D51,Milestones!$AA$110),"dd/mm/yy")&amp;" "&amp;Milestones!$AB$110&amp;" "&amp;Milestones!$AC$110&amp;";  ","")&amp;IF(AND(EDATE($D51,Milestones!$AA$111)&lt;=AsOfDate,IF($Q51=0,$W51,IF(AND($S51&lt;&gt;"",EDATE($D51,Milestones!$AA$111)&gt;=$S51),$V51,IF(AND($R51&lt;&gt;"",EDATE($D51,Milestones!$AA$111)&gt;=$R51),$U51,$T51)))=Milestones!$AB$111),TEXT(EDATE($D51,Milestones!$AA$111),"dd/mm/yy")&amp;" "&amp;Milestones!$AB$111&amp;" "&amp;Milestones!$AC$111&amp;";  ","")&amp;IF(AND(EDATE($D51,Milestones!$AA$112)&lt;=AsOfDate,IF($Q51=0,$W51,IF(AND($S51&lt;&gt;"",EDATE($D51,Milestones!$AA$112)&gt;=$S51),$V51,IF(AND($R51&lt;&gt;"",EDATE($D51,Milestones!$AA$112)&gt;=$R51),$U51,$T51)))=Milestones!$AB$112),TEXT(EDATE($D51,Milestones!$AA$112),"dd/mm/yy")&amp;" "&amp;Milestones!$AB$112&amp;" "&amp;Milestones!$AC$112&amp;";  ","")&amp;IF(AND(EDATE($D51,Milestones!$AA$113)&lt;=AsOfDate,IF($Q51=0,$W51,IF(AND($S51&lt;&gt;"",EDATE($D51,Milestones!$AA$113)&gt;=$S51),$V51,IF(AND($R51&lt;&gt;"",EDATE($D51,Milestones!$AA$113)&gt;=$R51),$U51,$T51)))=Milestones!$AB$113),TEXT(EDATE($D51,Milestones!$AA$113),"dd/mm/yy")&amp;" "&amp;Milestones!$AB$113&amp;" "&amp;Milestones!$AC$113&amp;";  ","")&amp;IF(AND(EDATE($D51,Milestones!$AA$114)&lt;=AsOfDate,IF($Q51=0,$W51,IF(AND($S51&lt;&gt;"",EDATE($D51,Milestones!$AA$114)&gt;=$S51),$V51,IF(AND($R51&lt;&gt;"",EDATE($D51,Milestones!$AA$114)&gt;=$R51),$U51,$T51)))=Milestones!$AB$114),TEXT(EDATE($D51,Milestones!$AA$114),"dd/mm/yy")&amp;" "&amp;Milestones!$AB$114&amp;" "&amp;Milestones!$AC$114&amp;";  ","")&amp;IF(AND(EDATE($D51,Milestones!$AA$115)&lt;=AsOfDate,IF($Q51=0,$W51,IF(AND($S51&lt;&gt;"",EDATE($D51,Milestones!$AA$115)&gt;=$S51),$V51,IF(AND($R51&lt;&gt;"",EDATE($D51,Milestones!$AA$115)&gt;=$R51),$U51,$T51)))=Milestones!$AB$115),TEXT(EDATE($D51,Milestones!$AA$115),"dd/mm/yy")&amp;" "&amp;Milestones!$AB$115&amp;" "&amp;Milestones!$AC$115&amp;";  ","")&amp;IF(AND(EDATE($D51,Milestones!$AA$116)&lt;=AsOfDate,IF($Q51=0,$W51,IF(AND($S51&lt;&gt;"",EDATE($D51,Milestones!$AA$116)&gt;=$S51),$V51,IF(AND($R51&lt;&gt;"",EDATE($D51,Milestones!$AA$116)&gt;=$R51),$U51,$T51)))=Milestones!$AB$116),TEXT(EDATE($D51,Milestones!$AA$116),"dd/mm/yy")&amp;" "&amp;Milestones!$AB$116&amp;" "&amp;Milestones!$AC$116&amp;";  ","")&amp;IF(AND(EDATE($D51,Milestones!$AA$117)&lt;=AsOfDate,IF($Q51=0,$W51,IF(AND($S51&lt;&gt;"",EDATE($D51,Milestones!$AA$117)&gt;=$S51),$V51,IF(AND($R51&lt;&gt;"",EDATE($D51,Milestones!$AA$117)&gt;=$R51),$U51,$T51)))=Milestones!$AB$117),TEXT(EDATE($D51,Milestones!$AA$117),"dd/mm/yy")&amp;" "&amp;Milestones!$AB$117&amp;" "&amp;Milestones!$AC$117&amp;";  ","")&amp;IF(AND(EDATE($D51,Milestones!$AA$118)&lt;=AsOfDate,IF($Q51=0,$W51,IF(AND($S51&lt;&gt;"",EDATE($D51,Milestones!$AA$118)&gt;=$S51),$V51,IF(AND($R51&lt;&gt;"",EDATE($D51,Milestones!$AA$118)&gt;=$R51),$U51,$T51)))=Milestones!$AB$118),TEXT(EDATE($D51,Milestones!$AA$118),"dd/mm/yy")&amp;" "&amp;Milestones!$AB$118&amp;" "&amp;Milestones!$AC$118&amp;";  ","")&amp;IF(AND(EDATE($D51,Milestones!$AA$119)&lt;=AsOfDate,IF($Q51=0,$W51,IF(AND($S51&lt;&gt;"",EDATE($D51,Milestones!$AA$119)&gt;=$S51),$V51,IF(AND($R51&lt;&gt;"",EDATE($D51,Milestones!$AA$119)&gt;=$R51),$U51,$T51)))=Milestones!$AB$119),TEXT(EDATE($D51,Milestones!$AA$119),"dd/mm/yy")&amp;" "&amp;Milestones!$AB$119&amp;" "&amp;Milestones!$AC$119&amp;";  ",""))</f>
        <v/>
      </c>
      <c r="M51" s="0" t="str">
        <f aca="false">IF(OR($A51="",$D51=""),"",IF(AND(EDATE($D51,Milestones!$AA$120)&lt;=AsOfDate,IF($Q51=0,$W51,IF(AND($S51&lt;&gt;"",EDATE($D51,Milestones!$AA$120)&gt;=$S51),$V51,IF(AND($R51&lt;&gt;"",EDATE($D51,Milestones!$AA$120)&gt;=$R51),$U51,$T51)))=Milestones!$AB$120),TEXT(EDATE($D51,Milestones!$AA$120),"dd/mm/yy")&amp;" "&amp;Milestones!$AB$120&amp;" "&amp;Milestones!$AC$120&amp;";  ","")&amp;IF(AND(EDATE($D51,Milestones!$AA$121)&lt;=AsOfDate,IF($Q51=0,$W51,IF(AND($S51&lt;&gt;"",EDATE($D51,Milestones!$AA$121)&gt;=$S51),$V51,IF(AND($R51&lt;&gt;"",EDATE($D51,Milestones!$AA$121)&gt;=$R51),$U51,$T51)))=Milestones!$AB$121),TEXT(EDATE($D51,Milestones!$AA$121),"dd/mm/yy")&amp;" "&amp;Milestones!$AB$121&amp;" "&amp;Milestones!$AC$121&amp;";  ","")&amp;IF(AND(EDATE($D51,Milestones!$AA$122)&lt;=AsOfDate,IF($Q51=0,$W51,IF(AND($S51&lt;&gt;"",EDATE($D51,Milestones!$AA$122)&gt;=$S51),$V51,IF(AND($R51&lt;&gt;"",EDATE($D51,Milestones!$AA$122)&gt;=$R51),$U51,$T51)))=Milestones!$AB$122),TEXT(EDATE($D51,Milestones!$AA$122),"dd/mm/yy")&amp;" "&amp;Milestones!$AB$122&amp;" "&amp;Milestones!$AC$122&amp;";  ","")&amp;IF(AND(EDATE($D51,Milestones!$AA$123)&lt;=AsOfDate,IF($Q51=0,$W51,IF(AND($S51&lt;&gt;"",EDATE($D51,Milestones!$AA$123)&gt;=$S51),$V51,IF(AND($R51&lt;&gt;"",EDATE($D51,Milestones!$AA$123)&gt;=$R51),$U51,$T51)))=Milestones!$AB$123),TEXT(EDATE($D51,Milestones!$AA$123),"dd/mm/yy")&amp;" "&amp;Milestones!$AB$123&amp;" "&amp;Milestones!$AC$123&amp;";  ","")&amp;IF(AND(EDATE($D51,Milestones!$AA$124)&lt;=AsOfDate,IF($Q51=0,$W51,IF(AND($S51&lt;&gt;"",EDATE($D51,Milestones!$AA$124)&gt;=$S51),$V51,IF(AND($R51&lt;&gt;"",EDATE($D51,Milestones!$AA$124)&gt;=$R51),$U51,$T51)))=Milestones!$AB$124),TEXT(EDATE($D51,Milestones!$AA$124),"dd/mm/yy")&amp;" "&amp;Milestones!$AB$124&amp;" "&amp;Milestones!$AC$124&amp;";  ","")&amp;IF(AND(EDATE($D51,Milestones!$AA$125)&lt;=AsOfDate,IF($Q51=0,$W51,IF(AND($S51&lt;&gt;"",EDATE($D51,Milestones!$AA$125)&gt;=$S51),$V51,IF(AND($R51&lt;&gt;"",EDATE($D51,Milestones!$AA$125)&gt;=$R51),$U51,$T51)))=Milestones!$AB$125),TEXT(EDATE($D51,Milestones!$AA$125),"dd/mm/yy")&amp;" "&amp;Milestones!$AB$125&amp;" "&amp;Milestones!$AC$125&amp;";  ","")&amp;IF(AND(EDATE($D51,Milestones!$AA$126)&lt;=AsOfDate,IF($Q51=0,$W51,IF(AND($S51&lt;&gt;"",EDATE($D51,Milestones!$AA$126)&gt;=$S51),$V51,IF(AND($R51&lt;&gt;"",EDATE($D51,Milestones!$AA$126)&gt;=$R51),$U51,$T51)))=Milestones!$AB$126),TEXT(EDATE($D51,Milestones!$AA$126),"dd/mm/yy")&amp;" "&amp;Milestones!$AB$126&amp;" "&amp;Milestones!$AC$126&amp;";  ","")&amp;IF(AND(EDATE($D51,Milestones!$AA$127)&lt;=AsOfDate,IF($Q51=0,$W51,IF(AND($S51&lt;&gt;"",EDATE($D51,Milestones!$AA$127)&gt;=$S51),$V51,IF(AND($R51&lt;&gt;"",EDATE($D51,Milestones!$AA$127)&gt;=$R51),$U51,$T51)))=Milestones!$AB$127),TEXT(EDATE($D51,Milestones!$AA$127),"dd/mm/yy")&amp;" "&amp;Milestones!$AB$127&amp;" "&amp;Milestones!$AC$127&amp;";  ","")&amp;IF(AND(EDATE($D51,Milestones!$AA$128)&lt;=AsOfDate,IF($Q51=0,$W51,IF(AND($S51&lt;&gt;"",EDATE($D51,Milestones!$AA$128)&gt;=$S51),$V51,IF(AND($R51&lt;&gt;"",EDATE($D51,Milestones!$AA$128)&gt;=$R51),$U51,$T51)))=Milestones!$AB$128),TEXT(EDATE($D51,Milestones!$AA$128),"dd/mm/yy")&amp;" "&amp;Milestones!$AB$128&amp;" "&amp;Milestones!$AC$128&amp;";  ","")&amp;IF(AND(EDATE($D51,Milestones!$AA$129)&lt;=AsOfDate,IF($Q51=0,$W51,IF(AND($S51&lt;&gt;"",EDATE($D51,Milestones!$AA$129)&gt;=$S51),$V51,IF(AND($R51&lt;&gt;"",EDATE($D51,Milestones!$AA$129)&gt;=$R51),$U51,$T51)))=Milestones!$AB$129),TEXT(EDATE($D51,Milestones!$AA$129),"dd/mm/yy")&amp;" "&amp;Milestones!$AB$129&amp;" "&amp;Milestones!$AC$129&amp;";  ","")&amp;IF(AND(EDATE($D51,Milestones!$AA$130)&lt;=AsOfDate,IF($Q51=0,$W51,IF(AND($S51&lt;&gt;"",EDATE($D51,Milestones!$AA$130)&gt;=$S51),$V51,IF(AND($R51&lt;&gt;"",EDATE($D51,Milestones!$AA$130)&gt;=$R51),$U51,$T51)))=Milestones!$AB$130),TEXT(EDATE($D51,Milestones!$AA$130),"dd/mm/yy")&amp;" "&amp;Milestones!$AB$130&amp;" "&amp;Milestones!$AC$130&amp;";  ","")&amp;IF(AND(EDATE($D51,Milestones!$AA$131)&lt;=AsOfDate,IF($Q51=0,$W51,IF(AND($S51&lt;&gt;"",EDATE($D51,Milestones!$AA$131)&gt;=$S51),$V51,IF(AND($R51&lt;&gt;"",EDATE($D51,Milestones!$AA$131)&gt;=$R51),$U51,$T51)))=Milestones!$AB$131),TEXT(EDATE($D51,Milestones!$AA$131),"dd/mm/yy")&amp;" "&amp;Milestones!$AB$131&amp;" "&amp;Milestones!$AC$131&amp;";  ","")&amp;IF(AND(EDATE($D51,Milestones!$AA$132)&lt;=AsOfDate,IF($Q51=0,$W51,IF(AND($S51&lt;&gt;"",EDATE($D51,Milestones!$AA$132)&gt;=$S51),$V51,IF(AND($R51&lt;&gt;"",EDATE($D51,Milestones!$AA$132)&gt;=$R51),$U51,$T51)))=Milestones!$AB$132),TEXT(EDATE($D51,Milestones!$AA$132),"dd/mm/yy")&amp;" "&amp;Milestones!$AB$132&amp;" "&amp;Milestones!$AC$132&amp;";  ","")&amp;IF(AND(EDATE($D51,Milestones!$AA$133)&lt;=AsOfDate,IF($Q51=0,$W51,IF(AND($S51&lt;&gt;"",EDATE($D51,Milestones!$AA$133)&gt;=$S51),$V51,IF(AND($R51&lt;&gt;"",EDATE($D51,Milestones!$AA$133)&gt;=$R51),$U51,$T51)))=Milestones!$AB$133),TEXT(EDATE($D51,Milestones!$AA$133),"dd/mm/yy")&amp;" "&amp;Milestones!$AB$133&amp;" "&amp;Milestones!$AC$133&amp;";  ","")&amp;IF(AND(EDATE($D51,Milestones!$AA$134)&lt;=AsOfDate,IF($Q51=0,$W51,IF(AND($S51&lt;&gt;"",EDATE($D51,Milestones!$AA$134)&gt;=$S51),$V51,IF(AND($R51&lt;&gt;"",EDATE($D51,Milestones!$AA$134)&gt;=$R51),$U51,$T51)))=Milestones!$AB$134),TEXT(EDATE($D51,Milestones!$AA$134),"dd/mm/yy")&amp;" "&amp;Milestones!$AB$134&amp;" "&amp;Milestones!$AC$134&amp;";  ","")&amp;IF(AND(EDATE($D51,Milestones!$AA$135)&lt;=AsOfDate,IF($Q51=0,$W51,IF(AND($S51&lt;&gt;"",EDATE($D51,Milestones!$AA$135)&gt;=$S51),$V51,IF(AND($R51&lt;&gt;"",EDATE($D51,Milestones!$AA$135)&gt;=$R51),$U51,$T51)))=Milestones!$AB$135),TEXT(EDATE($D51,Milestones!$AA$135),"dd/mm/yy")&amp;" "&amp;Milestones!$AB$135&amp;" "&amp;Milestones!$AC$135&amp;";  ","")&amp;IF(AND(EDATE($D51,Milestones!$AA$136)&lt;=AsOfDate,IF($Q51=0,$W51,IF(AND($S51&lt;&gt;"",EDATE($D51,Milestones!$AA$136)&gt;=$S51),$V51,IF(AND($R51&lt;&gt;"",EDATE($D51,Milestones!$AA$136)&gt;=$R51),$U51,$T51)))=Milestones!$AB$136),TEXT(EDATE($D51,Milestones!$AA$136),"dd/mm/yy")&amp;" "&amp;Milestones!$AB$136&amp;" "&amp;Milestones!$AC$136&amp;";  ","")&amp;IF(AND(EDATE($D51,Milestones!$AA$137)&lt;=AsOfDate,IF($Q51=0,$W51,IF(AND($S51&lt;&gt;"",EDATE($D51,Milestones!$AA$137)&gt;=$S51),$V51,IF(AND($R51&lt;&gt;"",EDATE($D51,Milestones!$AA$137)&gt;=$R51),$U51,$T51)))=Milestones!$AB$137),TEXT(EDATE($D51,Milestones!$AA$137),"dd/mm/yy")&amp;" "&amp;Milestones!$AB$137&amp;" "&amp;Milestones!$AC$137&amp;";  ","")&amp;IF(AND(EDATE($D51,Milestones!$AA$138)&lt;=AsOfDate,IF($Q51=0,$W51,IF(AND($S51&lt;&gt;"",EDATE($D51,Milestones!$AA$138)&gt;=$S51),$V51,IF(AND($R51&lt;&gt;"",EDATE($D51,Milestones!$AA$138)&gt;=$R51),$U51,$T51)))=Milestones!$AB$138),TEXT(EDATE($D51,Milestones!$AA$138),"dd/mm/yy")&amp;" "&amp;Milestones!$AB$138&amp;" "&amp;Milestones!$AC$138&amp;";  ","")&amp;IF(AND(EDATE($D51,Milestones!$AA$139)&lt;=AsOfDate,IF($Q51=0,$W51,IF(AND($S51&lt;&gt;"",EDATE($D51,Milestones!$AA$139)&gt;=$S51),$V51,IF(AND($R51&lt;&gt;"",EDATE($D51,Milestones!$AA$139)&gt;=$R51),$U51,$T51)))=Milestones!$AB$139),TEXT(EDATE($D51,Milestones!$AA$139),"dd/mm/yy")&amp;" "&amp;Milestones!$AB$139&amp;" "&amp;Milestones!$AC$139&amp;";  ",""))</f>
        <v/>
      </c>
      <c r="N51" s="0" t="str">
        <f aca="false">IF(OR($A51="",$D51=""),"",IF(AND(EDATE($D51,Milestones!$AA$140)&lt;=AsOfDate,IF($Q51=0,$W51,IF(AND($S51&lt;&gt;"",EDATE($D51,Milestones!$AA$140)&gt;=$S51),$V51,IF(AND($R51&lt;&gt;"",EDATE($D51,Milestones!$AA$140)&gt;=$R51),$U51,$T51)))=Milestones!$AB$140),TEXT(EDATE($D51,Milestones!$AA$140),"dd/mm/yy")&amp;" "&amp;Milestones!$AB$140&amp;" "&amp;Milestones!$AC$140&amp;";  ","")&amp;IF(AND(EDATE($D51,Milestones!$AA$141)&lt;=AsOfDate,IF($Q51=0,$W51,IF(AND($S51&lt;&gt;"",EDATE($D51,Milestones!$AA$141)&gt;=$S51),$V51,IF(AND($R51&lt;&gt;"",EDATE($D51,Milestones!$AA$141)&gt;=$R51),$U51,$T51)))=Milestones!$AB$141),TEXT(EDATE($D51,Milestones!$AA$141),"dd/mm/yy")&amp;" "&amp;Milestones!$AB$141&amp;" "&amp;Milestones!$AC$141&amp;";  ","")&amp;IF(AND(EDATE($D51,Milestones!$AA$142)&lt;=AsOfDate,IF($Q51=0,$W51,IF(AND($S51&lt;&gt;"",EDATE($D51,Milestones!$AA$142)&gt;=$S51),$V51,IF(AND($R51&lt;&gt;"",EDATE($D51,Milestones!$AA$142)&gt;=$R51),$U51,$T51)))=Milestones!$AB$142),TEXT(EDATE($D51,Milestones!$AA$142),"dd/mm/yy")&amp;" "&amp;Milestones!$AB$142&amp;" "&amp;Milestones!$AC$142&amp;";  ","")&amp;IF(AND(EDATE($D51,Milestones!$AA$143)&lt;=AsOfDate,IF($Q51=0,$W51,IF(AND($S51&lt;&gt;"",EDATE($D51,Milestones!$AA$143)&gt;=$S51),$V51,IF(AND($R51&lt;&gt;"",EDATE($D51,Milestones!$AA$143)&gt;=$R51),$U51,$T51)))=Milestones!$AB$143),TEXT(EDATE($D51,Milestones!$AA$143),"dd/mm/yy")&amp;" "&amp;Milestones!$AB$143&amp;" "&amp;Milestones!$AC$143&amp;";  ","")&amp;IF(AND(EDATE($D51,Milestones!$AA$144)&lt;=AsOfDate,IF($Q51=0,$W51,IF(AND($S51&lt;&gt;"",EDATE($D51,Milestones!$AA$144)&gt;=$S51),$V51,IF(AND($R51&lt;&gt;"",EDATE($D51,Milestones!$AA$144)&gt;=$R51),$U51,$T51)))=Milestones!$AB$144),TEXT(EDATE($D51,Milestones!$AA$144),"dd/mm/yy")&amp;" "&amp;Milestones!$AB$144&amp;" "&amp;Milestones!$AC$144&amp;";  ","")&amp;IF(AND(EDATE($D51,Milestones!$AA$145)&lt;=AsOfDate,IF($Q51=0,$W51,IF(AND($S51&lt;&gt;"",EDATE($D51,Milestones!$AA$145)&gt;=$S51),$V51,IF(AND($R51&lt;&gt;"",EDATE($D51,Milestones!$AA$145)&gt;=$R51),$U51,$T51)))=Milestones!$AB$145),TEXT(EDATE($D51,Milestones!$AA$145),"dd/mm/yy")&amp;" "&amp;Milestones!$AB$145&amp;" "&amp;Milestones!$AC$145&amp;";  ","")&amp;IF(AND(EDATE($D51,Milestones!$AA$146)&lt;=AsOfDate,IF($Q51=0,$W51,IF(AND($S51&lt;&gt;"",EDATE($D51,Milestones!$AA$146)&gt;=$S51),$V51,IF(AND($R51&lt;&gt;"",EDATE($D51,Milestones!$AA$146)&gt;=$R51),$U51,$T51)))=Milestones!$AB$146),TEXT(EDATE($D51,Milestones!$AA$146),"dd/mm/yy")&amp;" "&amp;Milestones!$AB$146&amp;" "&amp;Milestones!$AC$146&amp;";  ","")&amp;IF(AND(EDATE($D51,Milestones!$AA$147)&lt;=AsOfDate,IF($Q51=0,$W51,IF(AND($S51&lt;&gt;"",EDATE($D51,Milestones!$AA$147)&gt;=$S51),$V51,IF(AND($R51&lt;&gt;"",EDATE($D51,Milestones!$AA$147)&gt;=$R51),$U51,$T51)))=Milestones!$AB$147),TEXT(EDATE($D51,Milestones!$AA$147),"dd/mm/yy")&amp;" "&amp;Milestones!$AB$147&amp;" "&amp;Milestones!$AC$147&amp;";  ","")&amp;IF(AND(EDATE($D51,Milestones!$AA$148)&lt;=AsOfDate,IF($Q51=0,$W51,IF(AND($S51&lt;&gt;"",EDATE($D51,Milestones!$AA$148)&gt;=$S51),$V51,IF(AND($R51&lt;&gt;"",EDATE($D51,Milestones!$AA$148)&gt;=$R51),$U51,$T51)))=Milestones!$AB$148),TEXT(EDATE($D51,Milestones!$AA$148),"dd/mm/yy")&amp;" "&amp;Milestones!$AB$148&amp;" "&amp;Milestones!$AC$148&amp;";  ","")&amp;IF(AND(EDATE($D51,Milestones!$AA$149)&lt;=AsOfDate,IF($Q51=0,$W51,IF(AND($S51&lt;&gt;"",EDATE($D51,Milestones!$AA$149)&gt;=$S51),$V51,IF(AND($R51&lt;&gt;"",EDATE($D51,Milestones!$AA$149)&gt;=$R51),$U51,$T51)))=Milestones!$AB$149),TEXT(EDATE($D51,Milestones!$AA$149),"dd/mm/yy")&amp;" "&amp;Milestones!$AB$149&amp;" "&amp;Milestones!$AC$149&amp;";  ","")&amp;IF(AND(EDATE($D51,Milestones!$AA$150)&lt;=AsOfDate,IF($Q51=0,$W51,IF(AND($S51&lt;&gt;"",EDATE($D51,Milestones!$AA$150)&gt;=$S51),$V51,IF(AND($R51&lt;&gt;"",EDATE($D51,Milestones!$AA$150)&gt;=$R51),$U51,$T51)))=Milestones!$AB$150),TEXT(EDATE($D51,Milestones!$AA$150),"dd/mm/yy")&amp;" "&amp;Milestones!$AB$150&amp;" "&amp;Milestones!$AC$150&amp;";  ","")&amp;IF(AND(EDATE($D51,Milestones!$AA$151)&lt;=AsOfDate,IF($Q51=0,$W51,IF(AND($S51&lt;&gt;"",EDATE($D51,Milestones!$AA$151)&gt;=$S51),$V51,IF(AND($R51&lt;&gt;"",EDATE($D51,Milestones!$AA$151)&gt;=$R51),$U51,$T51)))=Milestones!$AB$151),TEXT(EDATE($D51,Milestones!$AA$151),"dd/mm/yy")&amp;" "&amp;Milestones!$AB$151&amp;" "&amp;Milestones!$AC$151&amp;";  ","")&amp;IF(AND(EDATE($D51,Milestones!$AA$152)&lt;=AsOfDate,IF($Q51=0,$W51,IF(AND($S51&lt;&gt;"",EDATE($D51,Milestones!$AA$152)&gt;=$S51),$V51,IF(AND($R51&lt;&gt;"",EDATE($D51,Milestones!$AA$152)&gt;=$R51),$U51,$T51)))=Milestones!$AB$152),TEXT(EDATE($D51,Milestones!$AA$152),"dd/mm/yy")&amp;" "&amp;Milestones!$AB$152&amp;" "&amp;Milestones!$AC$152&amp;";  ","")&amp;IF(AND(EDATE($D51,Milestones!$AA$153)&lt;=AsOfDate,IF($Q51=0,$W51,IF(AND($S51&lt;&gt;"",EDATE($D51,Milestones!$AA$153)&gt;=$S51),$V51,IF(AND($R51&lt;&gt;"",EDATE($D51,Milestones!$AA$153)&gt;=$R51),$U51,$T51)))=Milestones!$AB$153),TEXT(EDATE($D51,Milestones!$AA$153),"dd/mm/yy")&amp;" "&amp;Milestones!$AB$153&amp;" "&amp;Milestones!$AC$153&amp;";  ","")&amp;IF(AND(EDATE($D51,Milestones!$AA$154)&lt;=AsOfDate,IF($Q51=0,$W51,IF(AND($S51&lt;&gt;"",EDATE($D51,Milestones!$AA$154)&gt;=$S51),$V51,IF(AND($R51&lt;&gt;"",EDATE($D51,Milestones!$AA$154)&gt;=$R51),$U51,$T51)))=Milestones!$AB$154),TEXT(EDATE($D51,Milestones!$AA$154),"dd/mm/yy")&amp;" "&amp;Milestones!$AB$154&amp;" "&amp;Milestones!$AC$154&amp;";  ","")&amp;IF(AND(EDATE($D51,Milestones!$AA$155)&lt;=AsOfDate,IF($Q51=0,$W51,IF(AND($S51&lt;&gt;"",EDATE($D51,Milestones!$AA$155)&gt;=$S51),$V51,IF(AND($R51&lt;&gt;"",EDATE($D51,Milestones!$AA$155)&gt;=$R51),$U51,$T51)))=Milestones!$AB$155),TEXT(EDATE($D51,Milestones!$AA$155),"dd/mm/yy")&amp;" "&amp;Milestones!$AB$155&amp;" "&amp;Milestones!$AC$155&amp;";  ","")&amp;IF(AND(EDATE($D51,Milestones!$AA$156)&lt;=AsOfDate,IF($Q51=0,$W51,IF(AND($S51&lt;&gt;"",EDATE($D51,Milestones!$AA$156)&gt;=$S51),$V51,IF(AND($R51&lt;&gt;"",EDATE($D51,Milestones!$AA$156)&gt;=$R51),$U51,$T51)))=Milestones!$AB$156),TEXT(EDATE($D51,Milestones!$AA$156),"dd/mm/yy")&amp;" "&amp;Milestones!$AB$156&amp;" "&amp;Milestones!$AC$156&amp;";  ","")&amp;IF(AND(EDATE($D51,Milestones!$AA$157)&lt;=AsOfDate,IF($Q51=0,$W51,IF(AND($S51&lt;&gt;"",EDATE($D51,Milestones!$AA$157)&gt;=$S51),$V51,IF(AND($R51&lt;&gt;"",EDATE($D51,Milestones!$AA$157)&gt;=$R51),$U51,$T51)))=Milestones!$AB$157),TEXT(EDATE($D51,Milestones!$AA$157),"dd/mm/yy")&amp;" "&amp;Milestones!$AB$157&amp;" "&amp;Milestones!$AC$157&amp;";  ","")&amp;IF(AND(EDATE($D51,Milestones!$AA$158)&lt;=AsOfDate,IF($Q51=0,$W51,IF(AND($S51&lt;&gt;"",EDATE($D51,Milestones!$AA$158)&gt;=$S51),$V51,IF(AND($R51&lt;&gt;"",EDATE($D51,Milestones!$AA$158)&gt;=$R51),$U51,$T51)))=Milestones!$AB$158),TEXT(EDATE($D51,Milestones!$AA$158),"dd/mm/yy")&amp;" "&amp;Milestones!$AB$158&amp;" "&amp;Milestones!$AC$158&amp;";  ","")&amp;IF(AND(EDATE($D51,Milestones!$AA$159)&lt;=AsOfDate,IF($Q51=0,$W51,IF(AND($S51&lt;&gt;"",EDATE($D51,Milestones!$AA$159)&gt;=$S51),$V51,IF(AND($R51&lt;&gt;"",EDATE($D51,Milestones!$AA$159)&gt;=$R51),$U51,$T51)))=Milestones!$AB$159),TEXT(EDATE($D51,Milestones!$AA$159),"dd/mm/yy")&amp;" "&amp;Milestones!$AB$159&amp;" "&amp;Milestones!$AC$159&amp;";  ",""))</f>
        <v/>
      </c>
      <c r="O51" s="0" t="str">
        <f aca="false">IF(OR($A51="",$D51=""),"",IF(AND(EDATE($D51,Milestones!$AA$160)&lt;=AsOfDate,IF($Q51=0,$W51,IF(AND($S51&lt;&gt;"",EDATE($D51,Milestones!$AA$160)&gt;=$S51),$V51,IF(AND($R51&lt;&gt;"",EDATE($D51,Milestones!$AA$160)&gt;=$R51),$U51,$T51)))=Milestones!$AB$160),TEXT(EDATE($D51,Milestones!$AA$160),"dd/mm/yy")&amp;" "&amp;Milestones!$AB$160&amp;" "&amp;Milestones!$AC$160&amp;";  ","")&amp;IF(AND(EDATE($D51,Milestones!$AA$161)&lt;=AsOfDate,IF($Q51=0,$W51,IF(AND($S51&lt;&gt;"",EDATE($D51,Milestones!$AA$161)&gt;=$S51),$V51,IF(AND($R51&lt;&gt;"",EDATE($D51,Milestones!$AA$161)&gt;=$R51),$U51,$T51)))=Milestones!$AB$161),TEXT(EDATE($D51,Milestones!$AA$161),"dd/mm/yy")&amp;" "&amp;Milestones!$AB$161&amp;" "&amp;Milestones!$AC$161&amp;";  ","")&amp;IF(AND(EDATE($D51,Milestones!$AA$162)&lt;=AsOfDate,IF($Q51=0,$W51,IF(AND($S51&lt;&gt;"",EDATE($D51,Milestones!$AA$162)&gt;=$S51),$V51,IF(AND($R51&lt;&gt;"",EDATE($D51,Milestones!$AA$162)&gt;=$R51),$U51,$T51)))=Milestones!$AB$162),TEXT(EDATE($D51,Milestones!$AA$162),"dd/mm/yy")&amp;" "&amp;Milestones!$AB$162&amp;" "&amp;Milestones!$AC$162&amp;";  ","")&amp;IF(AND(EDATE($D51,Milestones!$AA$163)&lt;=AsOfDate,IF($Q51=0,$W51,IF(AND($S51&lt;&gt;"",EDATE($D51,Milestones!$AA$163)&gt;=$S51),$V51,IF(AND($R51&lt;&gt;"",EDATE($D51,Milestones!$AA$163)&gt;=$R51),$U51,$T51)))=Milestones!$AB$163),TEXT(EDATE($D51,Milestones!$AA$163),"dd/mm/yy")&amp;" "&amp;Milestones!$AB$163&amp;" "&amp;Milestones!$AC$163&amp;";  ","")&amp;IF(AND(EDATE($D51,Milestones!$AA$164)&lt;=AsOfDate,IF($Q51=0,$W51,IF(AND($S51&lt;&gt;"",EDATE($D51,Milestones!$AA$164)&gt;=$S51),$V51,IF(AND($R51&lt;&gt;"",EDATE($D51,Milestones!$AA$164)&gt;=$R51),$U51,$T51)))=Milestones!$AB$164),TEXT(EDATE($D51,Milestones!$AA$164),"dd/mm/yy")&amp;" "&amp;Milestones!$AB$164&amp;" "&amp;Milestones!$AC$164&amp;";  ","")&amp;IF(AND(EDATE($D51,Milestones!$AA$165)&lt;=AsOfDate,IF($Q51=0,$W51,IF(AND($S51&lt;&gt;"",EDATE($D51,Milestones!$AA$165)&gt;=$S51),$V51,IF(AND($R51&lt;&gt;"",EDATE($D51,Milestones!$AA$165)&gt;=$R51),$U51,$T51)))=Milestones!$AB$165),TEXT(EDATE($D51,Milestones!$AA$165),"dd/mm/yy")&amp;" "&amp;Milestones!$AB$165&amp;" "&amp;Milestones!$AC$165&amp;";  ","")&amp;IF(AND(EDATE($D51,Milestones!$AA$166)&lt;=AsOfDate,IF($Q51=0,$W51,IF(AND($S51&lt;&gt;"",EDATE($D51,Milestones!$AA$166)&gt;=$S51),$V51,IF(AND($R51&lt;&gt;"",EDATE($D51,Milestones!$AA$166)&gt;=$R51),$U51,$T51)))=Milestones!$AB$166),TEXT(EDATE($D51,Milestones!$AA$166),"dd/mm/yy")&amp;" "&amp;Milestones!$AB$166&amp;" "&amp;Milestones!$AC$166&amp;";  ","")&amp;IF(AND(EDATE($D51,Milestones!$AA$167)&lt;=AsOfDate,IF($Q51=0,$W51,IF(AND($S51&lt;&gt;"",EDATE($D51,Milestones!$AA$167)&gt;=$S51),$V51,IF(AND($R51&lt;&gt;"",EDATE($D51,Milestones!$AA$167)&gt;=$R51),$U51,$T51)))=Milestones!$AB$167),TEXT(EDATE($D51,Milestones!$AA$167),"dd/mm/yy")&amp;" "&amp;Milestones!$AB$167&amp;" "&amp;Milestones!$AC$167&amp;";  ","")&amp;IF(AND(EDATE($D51,Milestones!$AA$168)&lt;=AsOfDate,IF($Q51=0,$W51,IF(AND($S51&lt;&gt;"",EDATE($D51,Milestones!$AA$168)&gt;=$S51),$V51,IF(AND($R51&lt;&gt;"",EDATE($D51,Milestones!$AA$168)&gt;=$R51),$U51,$T51)))=Milestones!$AB$168),TEXT(EDATE($D51,Milestones!$AA$168),"dd/mm/yy")&amp;" "&amp;Milestones!$AB$168&amp;" "&amp;Milestones!$AC$168&amp;";  ","")&amp;IF(AND(EDATE($D51,Milestones!$AA$169)&lt;=AsOfDate,IF($Q51=0,$W51,IF(AND($S51&lt;&gt;"",EDATE($D51,Milestones!$AA$169)&gt;=$S51),$V51,IF(AND($R51&lt;&gt;"",EDATE($D51,Milestones!$AA$169)&gt;=$R51),$U51,$T51)))=Milestones!$AB$169),TEXT(EDATE($D51,Milestones!$AA$169),"dd/mm/yy")&amp;" "&amp;Milestones!$AB$169&amp;" "&amp;Milestones!$AC$169&amp;";  ","")&amp;IF(AND(EDATE($D51,Milestones!$AA$170)&lt;=AsOfDate,IF($Q51=0,$W51,IF(AND($S51&lt;&gt;"",EDATE($D51,Milestones!$AA$170)&gt;=$S51),$V51,IF(AND($R51&lt;&gt;"",EDATE($D51,Milestones!$AA$170)&gt;=$R51),$U51,$T51)))=Milestones!$AB$170),TEXT(EDATE($D51,Milestones!$AA$170),"dd/mm/yy")&amp;" "&amp;Milestones!$AB$170&amp;" "&amp;Milestones!$AC$170&amp;";  ","")&amp;IF(AND(EDATE($D51,Milestones!$AA$171)&lt;=AsOfDate,IF($Q51=0,$W51,IF(AND($S51&lt;&gt;"",EDATE($D51,Milestones!$AA$171)&gt;=$S51),$V51,IF(AND($R51&lt;&gt;"",EDATE($D51,Milestones!$AA$171)&gt;=$R51),$U51,$T51)))=Milestones!$AB$171),TEXT(EDATE($D51,Milestones!$AA$171),"dd/mm/yy")&amp;" "&amp;Milestones!$AB$171&amp;" "&amp;Milestones!$AC$171&amp;";  ","")&amp;IF(AND(EDATE($D51,Milestones!$AA$172)&lt;=AsOfDate,IF($Q51=0,$W51,IF(AND($S51&lt;&gt;"",EDATE($D51,Milestones!$AA$172)&gt;=$S51),$V51,IF(AND($R51&lt;&gt;"",EDATE($D51,Milestones!$AA$172)&gt;=$R51),$U51,$T51)))=Milestones!$AB$172),TEXT(EDATE($D51,Milestones!$AA$172),"dd/mm/yy")&amp;" "&amp;Milestones!$AB$172&amp;" "&amp;Milestones!$AC$172&amp;";  ","")&amp;IF(AND(EDATE($D51,Milestones!$AA$173)&lt;=AsOfDate,IF($Q51=0,$W51,IF(AND($S51&lt;&gt;"",EDATE($D51,Milestones!$AA$173)&gt;=$S51),$V51,IF(AND($R51&lt;&gt;"",EDATE($D51,Milestones!$AA$173)&gt;=$R51),$U51,$T51)))=Milestones!$AB$173),TEXT(EDATE($D51,Milestones!$AA$173),"dd/mm/yy")&amp;" "&amp;Milestones!$AB$173&amp;" "&amp;Milestones!$AC$173&amp;";  ","")&amp;IF(AND(EDATE($D51,Milestones!$AA$174)&lt;=AsOfDate,IF($Q51=0,$W51,IF(AND($S51&lt;&gt;"",EDATE($D51,Milestones!$AA$174)&gt;=$S51),$V51,IF(AND($R51&lt;&gt;"",EDATE($D51,Milestones!$AA$174)&gt;=$R51),$U51,$T51)))=Milestones!$AB$174),TEXT(EDATE($D51,Milestones!$AA$174),"dd/mm/yy")&amp;" "&amp;Milestones!$AB$174&amp;" "&amp;Milestones!$AC$174&amp;";  ","")&amp;IF(AND(EDATE($D51,Milestones!$AA$175)&lt;=AsOfDate,IF($Q51=0,$W51,IF(AND($S51&lt;&gt;"",EDATE($D51,Milestones!$AA$175)&gt;=$S51),$V51,IF(AND($R51&lt;&gt;"",EDATE($D51,Milestones!$AA$175)&gt;=$R51),$U51,$T51)))=Milestones!$AB$175),TEXT(EDATE($D51,Milestones!$AA$175),"dd/mm/yy")&amp;" "&amp;Milestones!$AB$175&amp;" "&amp;Milestones!$AC$175&amp;";  ","")&amp;IF(AND(EDATE($D51,Milestones!$AA$176)&lt;=AsOfDate,IF($Q51=0,$W51,IF(AND($S51&lt;&gt;"",EDATE($D51,Milestones!$AA$176)&gt;=$S51),$V51,IF(AND($R51&lt;&gt;"",EDATE($D51,Milestones!$AA$176)&gt;=$R51),$U51,$T51)))=Milestones!$AB$176),TEXT(EDATE($D51,Milestones!$AA$176),"dd/mm/yy")&amp;" "&amp;Milestones!$AB$176&amp;" "&amp;Milestones!$AC$176&amp;";  ","")&amp;IF(AND(EDATE($D51,Milestones!$AA$177)&lt;=AsOfDate,IF($Q51=0,$W51,IF(AND($S51&lt;&gt;"",EDATE($D51,Milestones!$AA$177)&gt;=$S51),$V51,IF(AND($R51&lt;&gt;"",EDATE($D51,Milestones!$AA$177)&gt;=$R51),$U51,$T51)))=Milestones!$AB$177),TEXT(EDATE($D51,Milestones!$AA$177),"dd/mm/yy")&amp;" "&amp;Milestones!$AB$177&amp;" "&amp;Milestones!$AC$177&amp;";  ","")&amp;IF(AND(EDATE($D51,Milestones!$AA$178)&lt;=AsOfDate,IF($Q51=0,$W51,IF(AND($S51&lt;&gt;"",EDATE($D51,Milestones!$AA$178)&gt;=$S51),$V51,IF(AND($R51&lt;&gt;"",EDATE($D51,Milestones!$AA$178)&gt;=$R51),$U51,$T51)))=Milestones!$AB$178),TEXT(EDATE($D51,Milestones!$AA$178),"dd/mm/yy")&amp;" "&amp;Milestones!$AB$178&amp;" "&amp;Milestones!$AC$178&amp;";  ","")&amp;IF(AND(EDATE($D51,Milestones!$AA$179)&lt;=AsOfDate,IF($Q51=0,$W51,IF(AND($S51&lt;&gt;"",EDATE($D51,Milestones!$AA$179)&gt;=$S51),$V51,IF(AND($R51&lt;&gt;"",EDATE($D51,Milestones!$AA$179)&gt;=$R51),$U51,$T51)))=Milestones!$AB$179),TEXT(EDATE($D51,Milestones!$AA$179),"dd/mm/yy")&amp;" "&amp;Milestones!$AB$179&amp;" "&amp;Milestones!$AC$179&amp;";  ",""))</f>
        <v/>
      </c>
      <c r="P51" s="0" t="str">
        <f aca="false">IF(OR($A51="",$D51=""),"",IF(AND(EDATE($D51,Milestones!$AA$180)&lt;=AsOfDate,IF($Q51=0,$W51,IF(AND($S51&lt;&gt;"",EDATE($D51,Milestones!$AA$180)&gt;=$S51),$V51,IF(AND($R51&lt;&gt;"",EDATE($D51,Milestones!$AA$180)&gt;=$R51),$U51,$T51)))=Milestones!$AB$180),TEXT(EDATE($D51,Milestones!$AA$180),"dd/mm/yy")&amp;" "&amp;Milestones!$AB$180&amp;" "&amp;Milestones!$AC$180&amp;";  ","")&amp;IF(AND(EDATE($D51,Milestones!$AA$181)&lt;=AsOfDate,IF($Q51=0,$W51,IF(AND($S51&lt;&gt;"",EDATE($D51,Milestones!$AA$181)&gt;=$S51),$V51,IF(AND($R51&lt;&gt;"",EDATE($D51,Milestones!$AA$181)&gt;=$R51),$U51,$T51)))=Milestones!$AB$181),TEXT(EDATE($D51,Milestones!$AA$181),"dd/mm/yy")&amp;" "&amp;Milestones!$AB$181&amp;" "&amp;Milestones!$AC$181&amp;";  ","")&amp;IF(AND(EDATE($D51,Milestones!$AA$182)&lt;=AsOfDate,IF($Q51=0,$W51,IF(AND($S51&lt;&gt;"",EDATE($D51,Milestones!$AA$182)&gt;=$S51),$V51,IF(AND($R51&lt;&gt;"",EDATE($D51,Milestones!$AA$182)&gt;=$R51),$U51,$T51)))=Milestones!$AB$182),TEXT(EDATE($D51,Milestones!$AA$182),"dd/mm/yy")&amp;" "&amp;Milestones!$AB$182&amp;" "&amp;Milestones!$AC$182&amp;";  ","")&amp;IF(AND(EDATE($D51,Milestones!$AA$183)&lt;=AsOfDate,IF($Q51=0,$W51,IF(AND($S51&lt;&gt;"",EDATE($D51,Milestones!$AA$183)&gt;=$S51),$V51,IF(AND($R51&lt;&gt;"",EDATE($D51,Milestones!$AA$183)&gt;=$R51),$U51,$T51)))=Milestones!$AB$183),TEXT(EDATE($D51,Milestones!$AA$183),"dd/mm/yy")&amp;" "&amp;Milestones!$AB$183&amp;" "&amp;Milestones!$AC$183&amp;";  ","")&amp;IF(AND(EDATE($D51,Milestones!$AA$184)&lt;=AsOfDate,IF($Q51=0,$W51,IF(AND($S51&lt;&gt;"",EDATE($D51,Milestones!$AA$184)&gt;=$S51),$V51,IF(AND($R51&lt;&gt;"",EDATE($D51,Milestones!$AA$184)&gt;=$R51),$U51,$T51)))=Milestones!$AB$184),TEXT(EDATE($D51,Milestones!$AA$184),"dd/mm/yy")&amp;" "&amp;Milestones!$AB$184&amp;" "&amp;Milestones!$AC$184&amp;";  ","")&amp;IF(AND(EDATE($D51,Milestones!$AA$185)&lt;=AsOfDate,IF($Q51=0,$W51,IF(AND($S51&lt;&gt;"",EDATE($D51,Milestones!$AA$185)&gt;=$S51),$V51,IF(AND($R51&lt;&gt;"",EDATE($D51,Milestones!$AA$185)&gt;=$R51),$U51,$T51)))=Milestones!$AB$185),TEXT(EDATE($D51,Milestones!$AA$185),"dd/mm/yy")&amp;" "&amp;Milestones!$AB$185&amp;" "&amp;Milestones!$AC$185&amp;";  ","")&amp;IF(AND(EDATE($D51,Milestones!$AA$186)&lt;=AsOfDate,IF($Q51=0,$W51,IF(AND($S51&lt;&gt;"",EDATE($D51,Milestones!$AA$186)&gt;=$S51),$V51,IF(AND($R51&lt;&gt;"",EDATE($D51,Milestones!$AA$186)&gt;=$R51),$U51,$T51)))=Milestones!$AB$186),TEXT(EDATE($D51,Milestones!$AA$186),"dd/mm/yy")&amp;" "&amp;Milestones!$AB$186&amp;" "&amp;Milestones!$AC$186&amp;";  ","")&amp;IF(AND(EDATE($D51,Milestones!$AA$187)&lt;=AsOfDate,IF($Q51=0,$W51,IF(AND($S51&lt;&gt;"",EDATE($D51,Milestones!$AA$187)&gt;=$S51),$V51,IF(AND($R51&lt;&gt;"",EDATE($D51,Milestones!$AA$187)&gt;=$R51),$U51,$T51)))=Milestones!$AB$187),TEXT(EDATE($D51,Milestones!$AA$187),"dd/mm/yy")&amp;" "&amp;Milestones!$AB$187&amp;" "&amp;Milestones!$AC$187&amp;";  ","")&amp;IF(AND(EDATE($D51,Milestones!$AA$188)&lt;=AsOfDate,IF($Q51=0,$W51,IF(AND($S51&lt;&gt;"",EDATE($D51,Milestones!$AA$188)&gt;=$S51),$V51,IF(AND($R51&lt;&gt;"",EDATE($D51,Milestones!$AA$188)&gt;=$R51),$U51,$T51)))=Milestones!$AB$188),TEXT(EDATE($D51,Milestones!$AA$188),"dd/mm/yy")&amp;" "&amp;Milestones!$AB$188&amp;" "&amp;Milestones!$AC$188&amp;";  ","")&amp;IF(AND(EDATE($D51,Milestones!$AA$189)&lt;=AsOfDate,IF($Q51=0,$W51,IF(AND($S51&lt;&gt;"",EDATE($D51,Milestones!$AA$189)&gt;=$S51),$V51,IF(AND($R51&lt;&gt;"",EDATE($D51,Milestones!$AA$189)&gt;=$R51),$U51,$T51)))=Milestones!$AB$189),TEXT(EDATE($D51,Milestones!$AA$189),"dd/mm/yy")&amp;" "&amp;Milestones!$AB$189&amp;" "&amp;Milestones!$AC$189&amp;";  ","")&amp;IF(AND(EDATE($D51,Milestones!$AA$190)&lt;=AsOfDate,IF($Q51=0,$W51,IF(AND($S51&lt;&gt;"",EDATE($D51,Milestones!$AA$190)&gt;=$S51),$V51,IF(AND($R51&lt;&gt;"",EDATE($D51,Milestones!$AA$190)&gt;=$R51),$U51,$T51)))=Milestones!$AB$190),TEXT(EDATE($D51,Milestones!$AA$190),"dd/mm/yy")&amp;" "&amp;Milestones!$AB$190&amp;" "&amp;Milestones!$AC$190&amp;";  ","")&amp;IF(AND(EDATE($D51,Milestones!$AA$191)&lt;=AsOfDate,IF($Q51=0,$W51,IF(AND($S51&lt;&gt;"",EDATE($D51,Milestones!$AA$191)&gt;=$S51),$V51,IF(AND($R51&lt;&gt;"",EDATE($D51,Milestones!$AA$191)&gt;=$R51),$U51,$T51)))=Milestones!$AB$191),TEXT(EDATE($D51,Milestones!$AA$191),"dd/mm/yy")&amp;" "&amp;Milestones!$AB$191&amp;" "&amp;Milestones!$AC$191&amp;";  ","")&amp;IF(AND(EDATE($D51,Milestones!$AA$192)&lt;=AsOfDate,IF($Q51=0,$W51,IF(AND($S51&lt;&gt;"",EDATE($D51,Milestones!$AA$192)&gt;=$S51),$V51,IF(AND($R51&lt;&gt;"",EDATE($D51,Milestones!$AA$192)&gt;=$R51),$U51,$T51)))=Milestones!$AB$192),TEXT(EDATE($D51,Milestones!$AA$192),"dd/mm/yy")&amp;" "&amp;Milestones!$AB$192&amp;" "&amp;Milestones!$AC$192&amp;";  ","")&amp;IF(AND(EDATE($D51,Milestones!$AA$193)&lt;=AsOfDate,IF($Q51=0,$W51,IF(AND($S51&lt;&gt;"",EDATE($D51,Milestones!$AA$193)&gt;=$S51),$V51,IF(AND($R51&lt;&gt;"",EDATE($D51,Milestones!$AA$193)&gt;=$R51),$U51,$T51)))=Milestones!$AB$193),TEXT(EDATE($D51,Milestones!$AA$193),"dd/mm/yy")&amp;" "&amp;Milestones!$AB$193&amp;" "&amp;Milestones!$AC$193&amp;";  ","")&amp;IF(AND(EDATE($D51,Milestones!$AA$194)&lt;=AsOfDate,IF($Q51=0,$W51,IF(AND($S51&lt;&gt;"",EDATE($D51,Milestones!$AA$194)&gt;=$S51),$V51,IF(AND($R51&lt;&gt;"",EDATE($D51,Milestones!$AA$194)&gt;=$R51),$U51,$T51)))=Milestones!$AB$194),TEXT(EDATE($D51,Milestones!$AA$194),"dd/mm/yy")&amp;" "&amp;Milestones!$AB$194&amp;" "&amp;Milestones!$AC$194&amp;";  ","")&amp;IF(AND(EDATE($D51,Milestones!$AA$195)&lt;=AsOfDate,IF($Q51=0,$W51,IF(AND($S51&lt;&gt;"",EDATE($D51,Milestones!$AA$195)&gt;=$S51),$V51,IF(AND($R51&lt;&gt;"",EDATE($D51,Milestones!$AA$195)&gt;=$R51),$U51,$T51)))=Milestones!$AB$195),TEXT(EDATE($D51,Milestones!$AA$195),"dd/mm/yy")&amp;" "&amp;Milestones!$AB$195&amp;" "&amp;Milestones!$AC$195&amp;";  ","")&amp;IF(AND(EDATE($D51,Milestones!$AA$196)&lt;=AsOfDate,IF($Q51=0,$W51,IF(AND($S51&lt;&gt;"",EDATE($D51,Milestones!$AA$196)&gt;=$S51),$V51,IF(AND($R51&lt;&gt;"",EDATE($D51,Milestones!$AA$196)&gt;=$R51),$U51,$T51)))=Milestones!$AB$196),TEXT(EDATE($D51,Milestones!$AA$196),"dd/mm/yy")&amp;" "&amp;Milestones!$AB$196&amp;" "&amp;Milestones!$AC$196&amp;";  ","")&amp;IF(AND(EDATE($D51,Milestones!$AA$197)&lt;=AsOfDate,IF($Q51=0,$W51,IF(AND($S51&lt;&gt;"",EDATE($D51,Milestones!$AA$197)&gt;=$S51),$V51,IF(AND($R51&lt;&gt;"",EDATE($D51,Milestones!$AA$197)&gt;=$R51),$U51,$T51)))=Milestones!$AB$197),TEXT(EDATE($D51,Milestones!$AA$197),"dd/mm/yy")&amp;" "&amp;Milestones!$AB$197&amp;" "&amp;Milestones!$AC$197&amp;";  ","")&amp;IF(AND(EDATE($D51,Milestones!$AA$198)&lt;=AsOfDate,IF($Q51=0,$W51,IF(AND($S51&lt;&gt;"",EDATE($D51,Milestones!$AA$198)&gt;=$S51),$V51,IF(AND($R51&lt;&gt;"",EDATE($D51,Milestones!$AA$198)&gt;=$R51),$U51,$T51)))=Milestones!$AB$198),TEXT(EDATE($D51,Milestones!$AA$198),"dd/mm/yy")&amp;" "&amp;Milestones!$AB$198&amp;" "&amp;Milestones!$AC$198&amp;";  ","")&amp;IF(AND(EDATE($D51,Milestones!$AA$199)&lt;=AsOfDate,IF($Q51=0,$W51,IF(AND($S51&lt;&gt;"",EDATE($D51,Milestones!$AA$199)&gt;=$S51),$V51,IF(AND($R51&lt;&gt;"",EDATE($D51,Milestones!$AA$199)&gt;=$R51),$U51,$T51)))=Milestones!$AB$199),TEXT(EDATE($D51,Milestones!$AA$199),"dd/mm/yy")&amp;" "&amp;Milestones!$AB$199&amp;" "&amp;Milestones!$AC$199&amp;";  ",""))</f>
        <v/>
      </c>
      <c r="Q51" s="0" t="str">
        <f aca="false">IF(Staff!$A51="","",Staff!$AG51)</f>
        <v/>
      </c>
      <c r="R51" s="0" t="str">
        <f aca="false">IF(Staff!$A51="","",Staff!$AI51)</f>
        <v/>
      </c>
      <c r="S51" s="0" t="str">
        <f aca="false">IF(Staff!$A51="","",Staff!$AJ51)</f>
        <v/>
      </c>
      <c r="T51" s="0" t="str">
        <f aca="false">IF(Staff!$A51="","",Staff!$AN51)</f>
        <v/>
      </c>
      <c r="U51" s="0" t="str">
        <f aca="false">IF(Staff!$A51="","",Staff!$AO51)</f>
        <v/>
      </c>
      <c r="V51" s="0" t="str">
        <f aca="false">IF(Staff!$A51="","",Staff!$AP51)</f>
        <v/>
      </c>
      <c r="W51" s="0" t="str">
        <f aca="false">IF(Staff!$A51="","",Staff!$AQ51)</f>
        <v/>
      </c>
    </row>
    <row r="52" customFormat="false" ht="15" hidden="false" customHeight="false" outlineLevel="0" collapsed="false">
      <c r="A52" s="13" t="str">
        <f aca="false">IF(Staff!$A52="","",Staff!$A52)</f>
        <v/>
      </c>
      <c r="B52" s="13" t="str">
        <f aca="false">IF(Staff!$A52="","",Staff!$B52)</f>
        <v/>
      </c>
      <c r="C52" s="13" t="str">
        <f aca="false">IF(Staff!$A52="","",Staff!$C52)</f>
        <v/>
      </c>
      <c r="D52" s="11" t="str">
        <f aca="false">IF(Staff!$A52="","",Staff!$AF52)</f>
        <v/>
      </c>
      <c r="E52" s="13" t="str">
        <f aca="false">IF(Staff!$A52="","",Staff!$O52)</f>
        <v/>
      </c>
      <c r="F52" s="13" t="str">
        <f aca="false">IF(E52="","",E52*HoursPerDay)</f>
        <v/>
      </c>
      <c r="G52" s="26" t="str">
        <f aca="false">IF($A52="","",H52&amp;I52&amp;J52&amp;K52&amp;L52&amp;M52&amp;N52&amp;O52&amp;P52)</f>
        <v/>
      </c>
      <c r="H52" s="0" t="str">
        <f aca="false">IF(OR($A52="",$D52=""),"",IF(AND(EDATE($D52,Milestones!$AA$20)&lt;=AsOfDate,IF($Q52=0,$W52,IF(AND($S52&lt;&gt;"",EDATE($D52,Milestones!$AA$20)&gt;=$S52),$V52,IF(AND($R52&lt;&gt;"",EDATE($D52,Milestones!$AA$20)&gt;=$R52),$U52,$T52)))=Milestones!$AB$20),TEXT(EDATE($D52,Milestones!$AA$20),"dd/mm/yy")&amp;" "&amp;Milestones!$AB$20&amp;" "&amp;Milestones!$AC$20&amp;";  ","")&amp;IF(AND(EDATE($D52,Milestones!$AA$21)&lt;=AsOfDate,IF($Q52=0,$W52,IF(AND($S52&lt;&gt;"",EDATE($D52,Milestones!$AA$21)&gt;=$S52),$V52,IF(AND($R52&lt;&gt;"",EDATE($D52,Milestones!$AA$21)&gt;=$R52),$U52,$T52)))=Milestones!$AB$21),TEXT(EDATE($D52,Milestones!$AA$21),"dd/mm/yy")&amp;" "&amp;Milestones!$AB$21&amp;" "&amp;Milestones!$AC$21&amp;";  ","")&amp;IF(AND(EDATE($D52,Milestones!$AA$22)&lt;=AsOfDate,IF($Q52=0,$W52,IF(AND($S52&lt;&gt;"",EDATE($D52,Milestones!$AA$22)&gt;=$S52),$V52,IF(AND($R52&lt;&gt;"",EDATE($D52,Milestones!$AA$22)&gt;=$R52),$U52,$T52)))=Milestones!$AB$22),TEXT(EDATE($D52,Milestones!$AA$22),"dd/mm/yy")&amp;" "&amp;Milestones!$AB$22&amp;" "&amp;Milestones!$AC$22&amp;";  ","")&amp;IF(AND(EDATE($D52,Milestones!$AA$23)&lt;=AsOfDate,IF($Q52=0,$W52,IF(AND($S52&lt;&gt;"",EDATE($D52,Milestones!$AA$23)&gt;=$S52),$V52,IF(AND($R52&lt;&gt;"",EDATE($D52,Milestones!$AA$23)&gt;=$R52),$U52,$T52)))=Milestones!$AB$23),TEXT(EDATE($D52,Milestones!$AA$23),"dd/mm/yy")&amp;" "&amp;Milestones!$AB$23&amp;" "&amp;Milestones!$AC$23&amp;";  ","")&amp;IF(AND(EDATE($D52,Milestones!$AA$24)&lt;=AsOfDate,IF($Q52=0,$W52,IF(AND($S52&lt;&gt;"",EDATE($D52,Milestones!$AA$24)&gt;=$S52),$V52,IF(AND($R52&lt;&gt;"",EDATE($D52,Milestones!$AA$24)&gt;=$R52),$U52,$T52)))=Milestones!$AB$24),TEXT(EDATE($D52,Milestones!$AA$24),"dd/mm/yy")&amp;" "&amp;Milestones!$AB$24&amp;" "&amp;Milestones!$AC$24&amp;";  ","")&amp;IF(AND(EDATE($D52,Milestones!$AA$25)&lt;=AsOfDate,IF($Q52=0,$W52,IF(AND($S52&lt;&gt;"",EDATE($D52,Milestones!$AA$25)&gt;=$S52),$V52,IF(AND($R52&lt;&gt;"",EDATE($D52,Milestones!$AA$25)&gt;=$R52),$U52,$T52)))=Milestones!$AB$25),TEXT(EDATE($D52,Milestones!$AA$25),"dd/mm/yy")&amp;" "&amp;Milestones!$AB$25&amp;" "&amp;Milestones!$AC$25&amp;";  ","")&amp;IF(AND(EDATE($D52,Milestones!$AA$26)&lt;=AsOfDate,IF($Q52=0,$W52,IF(AND($S52&lt;&gt;"",EDATE($D52,Milestones!$AA$26)&gt;=$S52),$V52,IF(AND($R52&lt;&gt;"",EDATE($D52,Milestones!$AA$26)&gt;=$R52),$U52,$T52)))=Milestones!$AB$26),TEXT(EDATE($D52,Milestones!$AA$26),"dd/mm/yy")&amp;" "&amp;Milestones!$AB$26&amp;" "&amp;Milestones!$AC$26&amp;";  ","")&amp;IF(AND(EDATE($D52,Milestones!$AA$27)&lt;=AsOfDate,IF($Q52=0,$W52,IF(AND($S52&lt;&gt;"",EDATE($D52,Milestones!$AA$27)&gt;=$S52),$V52,IF(AND($R52&lt;&gt;"",EDATE($D52,Milestones!$AA$27)&gt;=$R52),$U52,$T52)))=Milestones!$AB$27),TEXT(EDATE($D52,Milestones!$AA$27),"dd/mm/yy")&amp;" "&amp;Milestones!$AB$27&amp;" "&amp;Milestones!$AC$27&amp;";  ","")&amp;IF(AND(EDATE($D52,Milestones!$AA$28)&lt;=AsOfDate,IF($Q52=0,$W52,IF(AND($S52&lt;&gt;"",EDATE($D52,Milestones!$AA$28)&gt;=$S52),$V52,IF(AND($R52&lt;&gt;"",EDATE($D52,Milestones!$AA$28)&gt;=$R52),$U52,$T52)))=Milestones!$AB$28),TEXT(EDATE($D52,Milestones!$AA$28),"dd/mm/yy")&amp;" "&amp;Milestones!$AB$28&amp;" "&amp;Milestones!$AC$28&amp;";  ","")&amp;IF(AND(EDATE($D52,Milestones!$AA$29)&lt;=AsOfDate,IF($Q52=0,$W52,IF(AND($S52&lt;&gt;"",EDATE($D52,Milestones!$AA$29)&gt;=$S52),$V52,IF(AND($R52&lt;&gt;"",EDATE($D52,Milestones!$AA$29)&gt;=$R52),$U52,$T52)))=Milestones!$AB$29),TEXT(EDATE($D52,Milestones!$AA$29),"dd/mm/yy")&amp;" "&amp;Milestones!$AB$29&amp;" "&amp;Milestones!$AC$29&amp;";  ","")&amp;IF(AND(EDATE($D52,Milestones!$AA$30)&lt;=AsOfDate,IF($Q52=0,$W52,IF(AND($S52&lt;&gt;"",EDATE($D52,Milestones!$AA$30)&gt;=$S52),$V52,IF(AND($R52&lt;&gt;"",EDATE($D52,Milestones!$AA$30)&gt;=$R52),$U52,$T52)))=Milestones!$AB$30),TEXT(EDATE($D52,Milestones!$AA$30),"dd/mm/yy")&amp;" "&amp;Milestones!$AB$30&amp;" "&amp;Milestones!$AC$30&amp;";  ","")&amp;IF(AND(EDATE($D52,Milestones!$AA$31)&lt;=AsOfDate,IF($Q52=0,$W52,IF(AND($S52&lt;&gt;"",EDATE($D52,Milestones!$AA$31)&gt;=$S52),$V52,IF(AND($R52&lt;&gt;"",EDATE($D52,Milestones!$AA$31)&gt;=$R52),$U52,$T52)))=Milestones!$AB$31),TEXT(EDATE($D52,Milestones!$AA$31),"dd/mm/yy")&amp;" "&amp;Milestones!$AB$31&amp;" "&amp;Milestones!$AC$31&amp;";  ","")&amp;IF(AND(EDATE($D52,Milestones!$AA$32)&lt;=AsOfDate,IF($Q52=0,$W52,IF(AND($S52&lt;&gt;"",EDATE($D52,Milestones!$AA$32)&gt;=$S52),$V52,IF(AND($R52&lt;&gt;"",EDATE($D52,Milestones!$AA$32)&gt;=$R52),$U52,$T52)))=Milestones!$AB$32),TEXT(EDATE($D52,Milestones!$AA$32),"dd/mm/yy")&amp;" "&amp;Milestones!$AB$32&amp;" "&amp;Milestones!$AC$32&amp;";  ","")&amp;IF(AND(EDATE($D52,Milestones!$AA$33)&lt;=AsOfDate,IF($Q52=0,$W52,IF(AND($S52&lt;&gt;"",EDATE($D52,Milestones!$AA$33)&gt;=$S52),$V52,IF(AND($R52&lt;&gt;"",EDATE($D52,Milestones!$AA$33)&gt;=$R52),$U52,$T52)))=Milestones!$AB$33),TEXT(EDATE($D52,Milestones!$AA$33),"dd/mm/yy")&amp;" "&amp;Milestones!$AB$33&amp;" "&amp;Milestones!$AC$33&amp;";  ","")&amp;IF(AND(EDATE($D52,Milestones!$AA$34)&lt;=AsOfDate,IF($Q52=0,$W52,IF(AND($S52&lt;&gt;"",EDATE($D52,Milestones!$AA$34)&gt;=$S52),$V52,IF(AND($R52&lt;&gt;"",EDATE($D52,Milestones!$AA$34)&gt;=$R52),$U52,$T52)))=Milestones!$AB$34),TEXT(EDATE($D52,Milestones!$AA$34),"dd/mm/yy")&amp;" "&amp;Milestones!$AB$34&amp;" "&amp;Milestones!$AC$34&amp;";  ","")&amp;IF(AND(EDATE($D52,Milestones!$AA$35)&lt;=AsOfDate,IF($Q52=0,$W52,IF(AND($S52&lt;&gt;"",EDATE($D52,Milestones!$AA$35)&gt;=$S52),$V52,IF(AND($R52&lt;&gt;"",EDATE($D52,Milestones!$AA$35)&gt;=$R52),$U52,$T52)))=Milestones!$AB$35),TEXT(EDATE($D52,Milestones!$AA$35),"dd/mm/yy")&amp;" "&amp;Milestones!$AB$35&amp;" "&amp;Milestones!$AC$35&amp;";  ","")&amp;IF(AND(EDATE($D52,Milestones!$AA$36)&lt;=AsOfDate,IF($Q52=0,$W52,IF(AND($S52&lt;&gt;"",EDATE($D52,Milestones!$AA$36)&gt;=$S52),$V52,IF(AND($R52&lt;&gt;"",EDATE($D52,Milestones!$AA$36)&gt;=$R52),$U52,$T52)))=Milestones!$AB$36),TEXT(EDATE($D52,Milestones!$AA$36),"dd/mm/yy")&amp;" "&amp;Milestones!$AB$36&amp;" "&amp;Milestones!$AC$36&amp;";  ","")&amp;IF(AND(EDATE($D52,Milestones!$AA$37)&lt;=AsOfDate,IF($Q52=0,$W52,IF(AND($S52&lt;&gt;"",EDATE($D52,Milestones!$AA$37)&gt;=$S52),$V52,IF(AND($R52&lt;&gt;"",EDATE($D52,Milestones!$AA$37)&gt;=$R52),$U52,$T52)))=Milestones!$AB$37),TEXT(EDATE($D52,Milestones!$AA$37),"dd/mm/yy")&amp;" "&amp;Milestones!$AB$37&amp;" "&amp;Milestones!$AC$37&amp;";  ","")&amp;IF(AND(EDATE($D52,Milestones!$AA$38)&lt;=AsOfDate,IF($Q52=0,$W52,IF(AND($S52&lt;&gt;"",EDATE($D52,Milestones!$AA$38)&gt;=$S52),$V52,IF(AND($R52&lt;&gt;"",EDATE($D52,Milestones!$AA$38)&gt;=$R52),$U52,$T52)))=Milestones!$AB$38),TEXT(EDATE($D52,Milestones!$AA$38),"dd/mm/yy")&amp;" "&amp;Milestones!$AB$38&amp;" "&amp;Milestones!$AC$38&amp;";  ","")&amp;IF(AND(EDATE($D52,Milestones!$AA$39)&lt;=AsOfDate,IF($Q52=0,$W52,IF(AND($S52&lt;&gt;"",EDATE($D52,Milestones!$AA$39)&gt;=$S52),$V52,IF(AND($R52&lt;&gt;"",EDATE($D52,Milestones!$AA$39)&gt;=$R52),$U52,$T52)))=Milestones!$AB$39),TEXT(EDATE($D52,Milestones!$AA$39),"dd/mm/yy")&amp;" "&amp;Milestones!$AB$39&amp;" "&amp;Milestones!$AC$39&amp;";  ",""))</f>
        <v/>
      </c>
      <c r="I52" s="0" t="str">
        <f aca="false">IF(OR($A52="",$D52=""),"",IF(AND(EDATE($D52,Milestones!$AA$40)&lt;=AsOfDate,IF($Q52=0,$W52,IF(AND($S52&lt;&gt;"",EDATE($D52,Milestones!$AA$40)&gt;=$S52),$V52,IF(AND($R52&lt;&gt;"",EDATE($D52,Milestones!$AA$40)&gt;=$R52),$U52,$T52)))=Milestones!$AB$40),TEXT(EDATE($D52,Milestones!$AA$40),"dd/mm/yy")&amp;" "&amp;Milestones!$AB$40&amp;" "&amp;Milestones!$AC$40&amp;";  ","")&amp;IF(AND(EDATE($D52,Milestones!$AA$41)&lt;=AsOfDate,IF($Q52=0,$W52,IF(AND($S52&lt;&gt;"",EDATE($D52,Milestones!$AA$41)&gt;=$S52),$V52,IF(AND($R52&lt;&gt;"",EDATE($D52,Milestones!$AA$41)&gt;=$R52),$U52,$T52)))=Milestones!$AB$41),TEXT(EDATE($D52,Milestones!$AA$41),"dd/mm/yy")&amp;" "&amp;Milestones!$AB$41&amp;" "&amp;Milestones!$AC$41&amp;";  ","")&amp;IF(AND(EDATE($D52,Milestones!$AA$42)&lt;=AsOfDate,IF($Q52=0,$W52,IF(AND($S52&lt;&gt;"",EDATE($D52,Milestones!$AA$42)&gt;=$S52),$V52,IF(AND($R52&lt;&gt;"",EDATE($D52,Milestones!$AA$42)&gt;=$R52),$U52,$T52)))=Milestones!$AB$42),TEXT(EDATE($D52,Milestones!$AA$42),"dd/mm/yy")&amp;" "&amp;Milestones!$AB$42&amp;" "&amp;Milestones!$AC$42&amp;";  ","")&amp;IF(AND(EDATE($D52,Milestones!$AA$43)&lt;=AsOfDate,IF($Q52=0,$W52,IF(AND($S52&lt;&gt;"",EDATE($D52,Milestones!$AA$43)&gt;=$S52),$V52,IF(AND($R52&lt;&gt;"",EDATE($D52,Milestones!$AA$43)&gt;=$R52),$U52,$T52)))=Milestones!$AB$43),TEXT(EDATE($D52,Milestones!$AA$43),"dd/mm/yy")&amp;" "&amp;Milestones!$AB$43&amp;" "&amp;Milestones!$AC$43&amp;";  ","")&amp;IF(AND(EDATE($D52,Milestones!$AA$44)&lt;=AsOfDate,IF($Q52=0,$W52,IF(AND($S52&lt;&gt;"",EDATE($D52,Milestones!$AA$44)&gt;=$S52),$V52,IF(AND($R52&lt;&gt;"",EDATE($D52,Milestones!$AA$44)&gt;=$R52),$U52,$T52)))=Milestones!$AB$44),TEXT(EDATE($D52,Milestones!$AA$44),"dd/mm/yy")&amp;" "&amp;Milestones!$AB$44&amp;" "&amp;Milestones!$AC$44&amp;";  ","")&amp;IF(AND(EDATE($D52,Milestones!$AA$45)&lt;=AsOfDate,IF($Q52=0,$W52,IF(AND($S52&lt;&gt;"",EDATE($D52,Milestones!$AA$45)&gt;=$S52),$V52,IF(AND($R52&lt;&gt;"",EDATE($D52,Milestones!$AA$45)&gt;=$R52),$U52,$T52)))=Milestones!$AB$45),TEXT(EDATE($D52,Milestones!$AA$45),"dd/mm/yy")&amp;" "&amp;Milestones!$AB$45&amp;" "&amp;Milestones!$AC$45&amp;";  ","")&amp;IF(AND(EDATE($D52,Milestones!$AA$46)&lt;=AsOfDate,IF($Q52=0,$W52,IF(AND($S52&lt;&gt;"",EDATE($D52,Milestones!$AA$46)&gt;=$S52),$V52,IF(AND($R52&lt;&gt;"",EDATE($D52,Milestones!$AA$46)&gt;=$R52),$U52,$T52)))=Milestones!$AB$46),TEXT(EDATE($D52,Milestones!$AA$46),"dd/mm/yy")&amp;" "&amp;Milestones!$AB$46&amp;" "&amp;Milestones!$AC$46&amp;";  ","")&amp;IF(AND(EDATE($D52,Milestones!$AA$47)&lt;=AsOfDate,IF($Q52=0,$W52,IF(AND($S52&lt;&gt;"",EDATE($D52,Milestones!$AA$47)&gt;=$S52),$V52,IF(AND($R52&lt;&gt;"",EDATE($D52,Milestones!$AA$47)&gt;=$R52),$U52,$T52)))=Milestones!$AB$47),TEXT(EDATE($D52,Milestones!$AA$47),"dd/mm/yy")&amp;" "&amp;Milestones!$AB$47&amp;" "&amp;Milestones!$AC$47&amp;";  ","")&amp;IF(AND(EDATE($D52,Milestones!$AA$48)&lt;=AsOfDate,IF($Q52=0,$W52,IF(AND($S52&lt;&gt;"",EDATE($D52,Milestones!$AA$48)&gt;=$S52),$V52,IF(AND($R52&lt;&gt;"",EDATE($D52,Milestones!$AA$48)&gt;=$R52),$U52,$T52)))=Milestones!$AB$48),TEXT(EDATE($D52,Milestones!$AA$48),"dd/mm/yy")&amp;" "&amp;Milestones!$AB$48&amp;" "&amp;Milestones!$AC$48&amp;";  ","")&amp;IF(AND(EDATE($D52,Milestones!$AA$49)&lt;=AsOfDate,IF($Q52=0,$W52,IF(AND($S52&lt;&gt;"",EDATE($D52,Milestones!$AA$49)&gt;=$S52),$V52,IF(AND($R52&lt;&gt;"",EDATE($D52,Milestones!$AA$49)&gt;=$R52),$U52,$T52)))=Milestones!$AB$49),TEXT(EDATE($D52,Milestones!$AA$49),"dd/mm/yy")&amp;" "&amp;Milestones!$AB$49&amp;" "&amp;Milestones!$AC$49&amp;";  ","")&amp;IF(AND(EDATE($D52,Milestones!$AA$50)&lt;=AsOfDate,IF($Q52=0,$W52,IF(AND($S52&lt;&gt;"",EDATE($D52,Milestones!$AA$50)&gt;=$S52),$V52,IF(AND($R52&lt;&gt;"",EDATE($D52,Milestones!$AA$50)&gt;=$R52),$U52,$T52)))=Milestones!$AB$50),TEXT(EDATE($D52,Milestones!$AA$50),"dd/mm/yy")&amp;" "&amp;Milestones!$AB$50&amp;" "&amp;Milestones!$AC$50&amp;";  ","")&amp;IF(AND(EDATE($D52,Milestones!$AA$51)&lt;=AsOfDate,IF($Q52=0,$W52,IF(AND($S52&lt;&gt;"",EDATE($D52,Milestones!$AA$51)&gt;=$S52),$V52,IF(AND($R52&lt;&gt;"",EDATE($D52,Milestones!$AA$51)&gt;=$R52),$U52,$T52)))=Milestones!$AB$51),TEXT(EDATE($D52,Milestones!$AA$51),"dd/mm/yy")&amp;" "&amp;Milestones!$AB$51&amp;" "&amp;Milestones!$AC$51&amp;";  ","")&amp;IF(AND(EDATE($D52,Milestones!$AA$52)&lt;=AsOfDate,IF($Q52=0,$W52,IF(AND($S52&lt;&gt;"",EDATE($D52,Milestones!$AA$52)&gt;=$S52),$V52,IF(AND($R52&lt;&gt;"",EDATE($D52,Milestones!$AA$52)&gt;=$R52),$U52,$T52)))=Milestones!$AB$52),TEXT(EDATE($D52,Milestones!$AA$52),"dd/mm/yy")&amp;" "&amp;Milestones!$AB$52&amp;" "&amp;Milestones!$AC$52&amp;";  ","")&amp;IF(AND(EDATE($D52,Milestones!$AA$53)&lt;=AsOfDate,IF($Q52=0,$W52,IF(AND($S52&lt;&gt;"",EDATE($D52,Milestones!$AA$53)&gt;=$S52),$V52,IF(AND($R52&lt;&gt;"",EDATE($D52,Milestones!$AA$53)&gt;=$R52),$U52,$T52)))=Milestones!$AB$53),TEXT(EDATE($D52,Milestones!$AA$53),"dd/mm/yy")&amp;" "&amp;Milestones!$AB$53&amp;" "&amp;Milestones!$AC$53&amp;";  ","")&amp;IF(AND(EDATE($D52,Milestones!$AA$54)&lt;=AsOfDate,IF($Q52=0,$W52,IF(AND($S52&lt;&gt;"",EDATE($D52,Milestones!$AA$54)&gt;=$S52),$V52,IF(AND($R52&lt;&gt;"",EDATE($D52,Milestones!$AA$54)&gt;=$R52),$U52,$T52)))=Milestones!$AB$54),TEXT(EDATE($D52,Milestones!$AA$54),"dd/mm/yy")&amp;" "&amp;Milestones!$AB$54&amp;" "&amp;Milestones!$AC$54&amp;";  ","")&amp;IF(AND(EDATE($D52,Milestones!$AA$55)&lt;=AsOfDate,IF($Q52=0,$W52,IF(AND($S52&lt;&gt;"",EDATE($D52,Milestones!$AA$55)&gt;=$S52),$V52,IF(AND($R52&lt;&gt;"",EDATE($D52,Milestones!$AA$55)&gt;=$R52),$U52,$T52)))=Milestones!$AB$55),TEXT(EDATE($D52,Milestones!$AA$55),"dd/mm/yy")&amp;" "&amp;Milestones!$AB$55&amp;" "&amp;Milestones!$AC$55&amp;";  ","")&amp;IF(AND(EDATE($D52,Milestones!$AA$56)&lt;=AsOfDate,IF($Q52=0,$W52,IF(AND($S52&lt;&gt;"",EDATE($D52,Milestones!$AA$56)&gt;=$S52),$V52,IF(AND($R52&lt;&gt;"",EDATE($D52,Milestones!$AA$56)&gt;=$R52),$U52,$T52)))=Milestones!$AB$56),TEXT(EDATE($D52,Milestones!$AA$56),"dd/mm/yy")&amp;" "&amp;Milestones!$AB$56&amp;" "&amp;Milestones!$AC$56&amp;";  ","")&amp;IF(AND(EDATE($D52,Milestones!$AA$57)&lt;=AsOfDate,IF($Q52=0,$W52,IF(AND($S52&lt;&gt;"",EDATE($D52,Milestones!$AA$57)&gt;=$S52),$V52,IF(AND($R52&lt;&gt;"",EDATE($D52,Milestones!$AA$57)&gt;=$R52),$U52,$T52)))=Milestones!$AB$57),TEXT(EDATE($D52,Milestones!$AA$57),"dd/mm/yy")&amp;" "&amp;Milestones!$AB$57&amp;" "&amp;Milestones!$AC$57&amp;";  ","")&amp;IF(AND(EDATE($D52,Milestones!$AA$58)&lt;=AsOfDate,IF($Q52=0,$W52,IF(AND($S52&lt;&gt;"",EDATE($D52,Milestones!$AA$58)&gt;=$S52),$V52,IF(AND($R52&lt;&gt;"",EDATE($D52,Milestones!$AA$58)&gt;=$R52),$U52,$T52)))=Milestones!$AB$58),TEXT(EDATE($D52,Milestones!$AA$58),"dd/mm/yy")&amp;" "&amp;Milestones!$AB$58&amp;" "&amp;Milestones!$AC$58&amp;";  ","")&amp;IF(AND(EDATE($D52,Milestones!$AA$59)&lt;=AsOfDate,IF($Q52=0,$W52,IF(AND($S52&lt;&gt;"",EDATE($D52,Milestones!$AA$59)&gt;=$S52),$V52,IF(AND($R52&lt;&gt;"",EDATE($D52,Milestones!$AA$59)&gt;=$R52),$U52,$T52)))=Milestones!$AB$59),TEXT(EDATE($D52,Milestones!$AA$59),"dd/mm/yy")&amp;" "&amp;Milestones!$AB$59&amp;" "&amp;Milestones!$AC$59&amp;";  ",""))</f>
        <v/>
      </c>
      <c r="J52" s="0" t="str">
        <f aca="false">IF(OR($A52="",$D52=""),"",IF(AND(EDATE($D52,Milestones!$AA$60)&lt;=AsOfDate,IF($Q52=0,$W52,IF(AND($S52&lt;&gt;"",EDATE($D52,Milestones!$AA$60)&gt;=$S52),$V52,IF(AND($R52&lt;&gt;"",EDATE($D52,Milestones!$AA$60)&gt;=$R52),$U52,$T52)))=Milestones!$AB$60),TEXT(EDATE($D52,Milestones!$AA$60),"dd/mm/yy")&amp;" "&amp;Milestones!$AB$60&amp;" "&amp;Milestones!$AC$60&amp;";  ","")&amp;IF(AND(EDATE($D52,Milestones!$AA$61)&lt;=AsOfDate,IF($Q52=0,$W52,IF(AND($S52&lt;&gt;"",EDATE($D52,Milestones!$AA$61)&gt;=$S52),$V52,IF(AND($R52&lt;&gt;"",EDATE($D52,Milestones!$AA$61)&gt;=$R52),$U52,$T52)))=Milestones!$AB$61),TEXT(EDATE($D52,Milestones!$AA$61),"dd/mm/yy")&amp;" "&amp;Milestones!$AB$61&amp;" "&amp;Milestones!$AC$61&amp;";  ","")&amp;IF(AND(EDATE($D52,Milestones!$AA$62)&lt;=AsOfDate,IF($Q52=0,$W52,IF(AND($S52&lt;&gt;"",EDATE($D52,Milestones!$AA$62)&gt;=$S52),$V52,IF(AND($R52&lt;&gt;"",EDATE($D52,Milestones!$AA$62)&gt;=$R52),$U52,$T52)))=Milestones!$AB$62),TEXT(EDATE($D52,Milestones!$AA$62),"dd/mm/yy")&amp;" "&amp;Milestones!$AB$62&amp;" "&amp;Milestones!$AC$62&amp;";  ","")&amp;IF(AND(EDATE($D52,Milestones!$AA$63)&lt;=AsOfDate,IF($Q52=0,$W52,IF(AND($S52&lt;&gt;"",EDATE($D52,Milestones!$AA$63)&gt;=$S52),$V52,IF(AND($R52&lt;&gt;"",EDATE($D52,Milestones!$AA$63)&gt;=$R52),$U52,$T52)))=Milestones!$AB$63),TEXT(EDATE($D52,Milestones!$AA$63),"dd/mm/yy")&amp;" "&amp;Milestones!$AB$63&amp;" "&amp;Milestones!$AC$63&amp;";  ","")&amp;IF(AND(EDATE($D52,Milestones!$AA$64)&lt;=AsOfDate,IF($Q52=0,$W52,IF(AND($S52&lt;&gt;"",EDATE($D52,Milestones!$AA$64)&gt;=$S52),$V52,IF(AND($R52&lt;&gt;"",EDATE($D52,Milestones!$AA$64)&gt;=$R52),$U52,$T52)))=Milestones!$AB$64),TEXT(EDATE($D52,Milestones!$AA$64),"dd/mm/yy")&amp;" "&amp;Milestones!$AB$64&amp;" "&amp;Milestones!$AC$64&amp;";  ","")&amp;IF(AND(EDATE($D52,Milestones!$AA$65)&lt;=AsOfDate,IF($Q52=0,$W52,IF(AND($S52&lt;&gt;"",EDATE($D52,Milestones!$AA$65)&gt;=$S52),$V52,IF(AND($R52&lt;&gt;"",EDATE($D52,Milestones!$AA$65)&gt;=$R52),$U52,$T52)))=Milestones!$AB$65),TEXT(EDATE($D52,Milestones!$AA$65),"dd/mm/yy")&amp;" "&amp;Milestones!$AB$65&amp;" "&amp;Milestones!$AC$65&amp;";  ","")&amp;IF(AND(EDATE($D52,Milestones!$AA$66)&lt;=AsOfDate,IF($Q52=0,$W52,IF(AND($S52&lt;&gt;"",EDATE($D52,Milestones!$AA$66)&gt;=$S52),$V52,IF(AND($R52&lt;&gt;"",EDATE($D52,Milestones!$AA$66)&gt;=$R52),$U52,$T52)))=Milestones!$AB$66),TEXT(EDATE($D52,Milestones!$AA$66),"dd/mm/yy")&amp;" "&amp;Milestones!$AB$66&amp;" "&amp;Milestones!$AC$66&amp;";  ","")&amp;IF(AND(EDATE($D52,Milestones!$AA$67)&lt;=AsOfDate,IF($Q52=0,$W52,IF(AND($S52&lt;&gt;"",EDATE($D52,Milestones!$AA$67)&gt;=$S52),$V52,IF(AND($R52&lt;&gt;"",EDATE($D52,Milestones!$AA$67)&gt;=$R52),$U52,$T52)))=Milestones!$AB$67),TEXT(EDATE($D52,Milestones!$AA$67),"dd/mm/yy")&amp;" "&amp;Milestones!$AB$67&amp;" "&amp;Milestones!$AC$67&amp;";  ","")&amp;IF(AND(EDATE($D52,Milestones!$AA$68)&lt;=AsOfDate,IF($Q52=0,$W52,IF(AND($S52&lt;&gt;"",EDATE($D52,Milestones!$AA$68)&gt;=$S52),$V52,IF(AND($R52&lt;&gt;"",EDATE($D52,Milestones!$AA$68)&gt;=$R52),$U52,$T52)))=Milestones!$AB$68),TEXT(EDATE($D52,Milestones!$AA$68),"dd/mm/yy")&amp;" "&amp;Milestones!$AB$68&amp;" "&amp;Milestones!$AC$68&amp;";  ","")&amp;IF(AND(EDATE($D52,Milestones!$AA$69)&lt;=AsOfDate,IF($Q52=0,$W52,IF(AND($S52&lt;&gt;"",EDATE($D52,Milestones!$AA$69)&gt;=$S52),$V52,IF(AND($R52&lt;&gt;"",EDATE($D52,Milestones!$AA$69)&gt;=$R52),$U52,$T52)))=Milestones!$AB$69),TEXT(EDATE($D52,Milestones!$AA$69),"dd/mm/yy")&amp;" "&amp;Milestones!$AB$69&amp;" "&amp;Milestones!$AC$69&amp;";  ","")&amp;IF(AND(EDATE($D52,Milestones!$AA$70)&lt;=AsOfDate,IF($Q52=0,$W52,IF(AND($S52&lt;&gt;"",EDATE($D52,Milestones!$AA$70)&gt;=$S52),$V52,IF(AND($R52&lt;&gt;"",EDATE($D52,Milestones!$AA$70)&gt;=$R52),$U52,$T52)))=Milestones!$AB$70),TEXT(EDATE($D52,Milestones!$AA$70),"dd/mm/yy")&amp;" "&amp;Milestones!$AB$70&amp;" "&amp;Milestones!$AC$70&amp;";  ","")&amp;IF(AND(EDATE($D52,Milestones!$AA$71)&lt;=AsOfDate,IF($Q52=0,$W52,IF(AND($S52&lt;&gt;"",EDATE($D52,Milestones!$AA$71)&gt;=$S52),$V52,IF(AND($R52&lt;&gt;"",EDATE($D52,Milestones!$AA$71)&gt;=$R52),$U52,$T52)))=Milestones!$AB$71),TEXT(EDATE($D52,Milestones!$AA$71),"dd/mm/yy")&amp;" "&amp;Milestones!$AB$71&amp;" "&amp;Milestones!$AC$71&amp;";  ","")&amp;IF(AND(EDATE($D52,Milestones!$AA$72)&lt;=AsOfDate,IF($Q52=0,$W52,IF(AND($S52&lt;&gt;"",EDATE($D52,Milestones!$AA$72)&gt;=$S52),$V52,IF(AND($R52&lt;&gt;"",EDATE($D52,Milestones!$AA$72)&gt;=$R52),$U52,$T52)))=Milestones!$AB$72),TEXT(EDATE($D52,Milestones!$AA$72),"dd/mm/yy")&amp;" "&amp;Milestones!$AB$72&amp;" "&amp;Milestones!$AC$72&amp;";  ","")&amp;IF(AND(EDATE($D52,Milestones!$AA$73)&lt;=AsOfDate,IF($Q52=0,$W52,IF(AND($S52&lt;&gt;"",EDATE($D52,Milestones!$AA$73)&gt;=$S52),$V52,IF(AND($R52&lt;&gt;"",EDATE($D52,Milestones!$AA$73)&gt;=$R52),$U52,$T52)))=Milestones!$AB$73),TEXT(EDATE($D52,Milestones!$AA$73),"dd/mm/yy")&amp;" "&amp;Milestones!$AB$73&amp;" "&amp;Milestones!$AC$73&amp;";  ","")&amp;IF(AND(EDATE($D52,Milestones!$AA$74)&lt;=AsOfDate,IF($Q52=0,$W52,IF(AND($S52&lt;&gt;"",EDATE($D52,Milestones!$AA$74)&gt;=$S52),$V52,IF(AND($R52&lt;&gt;"",EDATE($D52,Milestones!$AA$74)&gt;=$R52),$U52,$T52)))=Milestones!$AB$74),TEXT(EDATE($D52,Milestones!$AA$74),"dd/mm/yy")&amp;" "&amp;Milestones!$AB$74&amp;" "&amp;Milestones!$AC$74&amp;";  ","")&amp;IF(AND(EDATE($D52,Milestones!$AA$75)&lt;=AsOfDate,IF($Q52=0,$W52,IF(AND($S52&lt;&gt;"",EDATE($D52,Milestones!$AA$75)&gt;=$S52),$V52,IF(AND($R52&lt;&gt;"",EDATE($D52,Milestones!$AA$75)&gt;=$R52),$U52,$T52)))=Milestones!$AB$75),TEXT(EDATE($D52,Milestones!$AA$75),"dd/mm/yy")&amp;" "&amp;Milestones!$AB$75&amp;" "&amp;Milestones!$AC$75&amp;";  ","")&amp;IF(AND(EDATE($D52,Milestones!$AA$76)&lt;=AsOfDate,IF($Q52=0,$W52,IF(AND($S52&lt;&gt;"",EDATE($D52,Milestones!$AA$76)&gt;=$S52),$V52,IF(AND($R52&lt;&gt;"",EDATE($D52,Milestones!$AA$76)&gt;=$R52),$U52,$T52)))=Milestones!$AB$76),TEXT(EDATE($D52,Milestones!$AA$76),"dd/mm/yy")&amp;" "&amp;Milestones!$AB$76&amp;" "&amp;Milestones!$AC$76&amp;";  ","")&amp;IF(AND(EDATE($D52,Milestones!$AA$77)&lt;=AsOfDate,IF($Q52=0,$W52,IF(AND($S52&lt;&gt;"",EDATE($D52,Milestones!$AA$77)&gt;=$S52),$V52,IF(AND($R52&lt;&gt;"",EDATE($D52,Milestones!$AA$77)&gt;=$R52),$U52,$T52)))=Milestones!$AB$77),TEXT(EDATE($D52,Milestones!$AA$77),"dd/mm/yy")&amp;" "&amp;Milestones!$AB$77&amp;" "&amp;Milestones!$AC$77&amp;";  ","")&amp;IF(AND(EDATE($D52,Milestones!$AA$78)&lt;=AsOfDate,IF($Q52=0,$W52,IF(AND($S52&lt;&gt;"",EDATE($D52,Milestones!$AA$78)&gt;=$S52),$V52,IF(AND($R52&lt;&gt;"",EDATE($D52,Milestones!$AA$78)&gt;=$R52),$U52,$T52)))=Milestones!$AB$78),TEXT(EDATE($D52,Milestones!$AA$78),"dd/mm/yy")&amp;" "&amp;Milestones!$AB$78&amp;" "&amp;Milestones!$AC$78&amp;";  ","")&amp;IF(AND(EDATE($D52,Milestones!$AA$79)&lt;=AsOfDate,IF($Q52=0,$W52,IF(AND($S52&lt;&gt;"",EDATE($D52,Milestones!$AA$79)&gt;=$S52),$V52,IF(AND($R52&lt;&gt;"",EDATE($D52,Milestones!$AA$79)&gt;=$R52),$U52,$T52)))=Milestones!$AB$79),TEXT(EDATE($D52,Milestones!$AA$79),"dd/mm/yy")&amp;" "&amp;Milestones!$AB$79&amp;" "&amp;Milestones!$AC$79&amp;";  ",""))</f>
        <v/>
      </c>
      <c r="K52" s="0" t="str">
        <f aca="false">IF(OR($A52="",$D52=""),"",IF(AND(EDATE($D52,Milestones!$AA$80)&lt;=AsOfDate,IF($Q52=0,$W52,IF(AND($S52&lt;&gt;"",EDATE($D52,Milestones!$AA$80)&gt;=$S52),$V52,IF(AND($R52&lt;&gt;"",EDATE($D52,Milestones!$AA$80)&gt;=$R52),$U52,$T52)))=Milestones!$AB$80),TEXT(EDATE($D52,Milestones!$AA$80),"dd/mm/yy")&amp;" "&amp;Milestones!$AB$80&amp;" "&amp;Milestones!$AC$80&amp;";  ","")&amp;IF(AND(EDATE($D52,Milestones!$AA$81)&lt;=AsOfDate,IF($Q52=0,$W52,IF(AND($S52&lt;&gt;"",EDATE($D52,Milestones!$AA$81)&gt;=$S52),$V52,IF(AND($R52&lt;&gt;"",EDATE($D52,Milestones!$AA$81)&gt;=$R52),$U52,$T52)))=Milestones!$AB$81),TEXT(EDATE($D52,Milestones!$AA$81),"dd/mm/yy")&amp;" "&amp;Milestones!$AB$81&amp;" "&amp;Milestones!$AC$81&amp;";  ","")&amp;IF(AND(EDATE($D52,Milestones!$AA$82)&lt;=AsOfDate,IF($Q52=0,$W52,IF(AND($S52&lt;&gt;"",EDATE($D52,Milestones!$AA$82)&gt;=$S52),$V52,IF(AND($R52&lt;&gt;"",EDATE($D52,Milestones!$AA$82)&gt;=$R52),$U52,$T52)))=Milestones!$AB$82),TEXT(EDATE($D52,Milestones!$AA$82),"dd/mm/yy")&amp;" "&amp;Milestones!$AB$82&amp;" "&amp;Milestones!$AC$82&amp;";  ","")&amp;IF(AND(EDATE($D52,Milestones!$AA$83)&lt;=AsOfDate,IF($Q52=0,$W52,IF(AND($S52&lt;&gt;"",EDATE($D52,Milestones!$AA$83)&gt;=$S52),$V52,IF(AND($R52&lt;&gt;"",EDATE($D52,Milestones!$AA$83)&gt;=$R52),$U52,$T52)))=Milestones!$AB$83),TEXT(EDATE($D52,Milestones!$AA$83),"dd/mm/yy")&amp;" "&amp;Milestones!$AB$83&amp;" "&amp;Milestones!$AC$83&amp;";  ","")&amp;IF(AND(EDATE($D52,Milestones!$AA$84)&lt;=AsOfDate,IF($Q52=0,$W52,IF(AND($S52&lt;&gt;"",EDATE($D52,Milestones!$AA$84)&gt;=$S52),$V52,IF(AND($R52&lt;&gt;"",EDATE($D52,Milestones!$AA$84)&gt;=$R52),$U52,$T52)))=Milestones!$AB$84),TEXT(EDATE($D52,Milestones!$AA$84),"dd/mm/yy")&amp;" "&amp;Milestones!$AB$84&amp;" "&amp;Milestones!$AC$84&amp;";  ","")&amp;IF(AND(EDATE($D52,Milestones!$AA$85)&lt;=AsOfDate,IF($Q52=0,$W52,IF(AND($S52&lt;&gt;"",EDATE($D52,Milestones!$AA$85)&gt;=$S52),$V52,IF(AND($R52&lt;&gt;"",EDATE($D52,Milestones!$AA$85)&gt;=$R52),$U52,$T52)))=Milestones!$AB$85),TEXT(EDATE($D52,Milestones!$AA$85),"dd/mm/yy")&amp;" "&amp;Milestones!$AB$85&amp;" "&amp;Milestones!$AC$85&amp;";  ","")&amp;IF(AND(EDATE($D52,Milestones!$AA$86)&lt;=AsOfDate,IF($Q52=0,$W52,IF(AND($S52&lt;&gt;"",EDATE($D52,Milestones!$AA$86)&gt;=$S52),$V52,IF(AND($R52&lt;&gt;"",EDATE($D52,Milestones!$AA$86)&gt;=$R52),$U52,$T52)))=Milestones!$AB$86),TEXT(EDATE($D52,Milestones!$AA$86),"dd/mm/yy")&amp;" "&amp;Milestones!$AB$86&amp;" "&amp;Milestones!$AC$86&amp;";  ","")&amp;IF(AND(EDATE($D52,Milestones!$AA$87)&lt;=AsOfDate,IF($Q52=0,$W52,IF(AND($S52&lt;&gt;"",EDATE($D52,Milestones!$AA$87)&gt;=$S52),$V52,IF(AND($R52&lt;&gt;"",EDATE($D52,Milestones!$AA$87)&gt;=$R52),$U52,$T52)))=Milestones!$AB$87),TEXT(EDATE($D52,Milestones!$AA$87),"dd/mm/yy")&amp;" "&amp;Milestones!$AB$87&amp;" "&amp;Milestones!$AC$87&amp;";  ","")&amp;IF(AND(EDATE($D52,Milestones!$AA$88)&lt;=AsOfDate,IF($Q52=0,$W52,IF(AND($S52&lt;&gt;"",EDATE($D52,Milestones!$AA$88)&gt;=$S52),$V52,IF(AND($R52&lt;&gt;"",EDATE($D52,Milestones!$AA$88)&gt;=$R52),$U52,$T52)))=Milestones!$AB$88),TEXT(EDATE($D52,Milestones!$AA$88),"dd/mm/yy")&amp;" "&amp;Milestones!$AB$88&amp;" "&amp;Milestones!$AC$88&amp;";  ","")&amp;IF(AND(EDATE($D52,Milestones!$AA$89)&lt;=AsOfDate,IF($Q52=0,$W52,IF(AND($S52&lt;&gt;"",EDATE($D52,Milestones!$AA$89)&gt;=$S52),$V52,IF(AND($R52&lt;&gt;"",EDATE($D52,Milestones!$AA$89)&gt;=$R52),$U52,$T52)))=Milestones!$AB$89),TEXT(EDATE($D52,Milestones!$AA$89),"dd/mm/yy")&amp;" "&amp;Milestones!$AB$89&amp;" "&amp;Milestones!$AC$89&amp;";  ","")&amp;IF(AND(EDATE($D52,Milestones!$AA$90)&lt;=AsOfDate,IF($Q52=0,$W52,IF(AND($S52&lt;&gt;"",EDATE($D52,Milestones!$AA$90)&gt;=$S52),$V52,IF(AND($R52&lt;&gt;"",EDATE($D52,Milestones!$AA$90)&gt;=$R52),$U52,$T52)))=Milestones!$AB$90),TEXT(EDATE($D52,Milestones!$AA$90),"dd/mm/yy")&amp;" "&amp;Milestones!$AB$90&amp;" "&amp;Milestones!$AC$90&amp;";  ","")&amp;IF(AND(EDATE($D52,Milestones!$AA$91)&lt;=AsOfDate,IF($Q52=0,$W52,IF(AND($S52&lt;&gt;"",EDATE($D52,Milestones!$AA$91)&gt;=$S52),$V52,IF(AND($R52&lt;&gt;"",EDATE($D52,Milestones!$AA$91)&gt;=$R52),$U52,$T52)))=Milestones!$AB$91),TEXT(EDATE($D52,Milestones!$AA$91),"dd/mm/yy")&amp;" "&amp;Milestones!$AB$91&amp;" "&amp;Milestones!$AC$91&amp;";  ","")&amp;IF(AND(EDATE($D52,Milestones!$AA$92)&lt;=AsOfDate,IF($Q52=0,$W52,IF(AND($S52&lt;&gt;"",EDATE($D52,Milestones!$AA$92)&gt;=$S52),$V52,IF(AND($R52&lt;&gt;"",EDATE($D52,Milestones!$AA$92)&gt;=$R52),$U52,$T52)))=Milestones!$AB$92),TEXT(EDATE($D52,Milestones!$AA$92),"dd/mm/yy")&amp;" "&amp;Milestones!$AB$92&amp;" "&amp;Milestones!$AC$92&amp;";  ","")&amp;IF(AND(EDATE($D52,Milestones!$AA$93)&lt;=AsOfDate,IF($Q52=0,$W52,IF(AND($S52&lt;&gt;"",EDATE($D52,Milestones!$AA$93)&gt;=$S52),$V52,IF(AND($R52&lt;&gt;"",EDATE($D52,Milestones!$AA$93)&gt;=$R52),$U52,$T52)))=Milestones!$AB$93),TEXT(EDATE($D52,Milestones!$AA$93),"dd/mm/yy")&amp;" "&amp;Milestones!$AB$93&amp;" "&amp;Milestones!$AC$93&amp;";  ","")&amp;IF(AND(EDATE($D52,Milestones!$AA$94)&lt;=AsOfDate,IF($Q52=0,$W52,IF(AND($S52&lt;&gt;"",EDATE($D52,Milestones!$AA$94)&gt;=$S52),$V52,IF(AND($R52&lt;&gt;"",EDATE($D52,Milestones!$AA$94)&gt;=$R52),$U52,$T52)))=Milestones!$AB$94),TEXT(EDATE($D52,Milestones!$AA$94),"dd/mm/yy")&amp;" "&amp;Milestones!$AB$94&amp;" "&amp;Milestones!$AC$94&amp;";  ","")&amp;IF(AND(EDATE($D52,Milestones!$AA$95)&lt;=AsOfDate,IF($Q52=0,$W52,IF(AND($S52&lt;&gt;"",EDATE($D52,Milestones!$AA$95)&gt;=$S52),$V52,IF(AND($R52&lt;&gt;"",EDATE($D52,Milestones!$AA$95)&gt;=$R52),$U52,$T52)))=Milestones!$AB$95),TEXT(EDATE($D52,Milestones!$AA$95),"dd/mm/yy")&amp;" "&amp;Milestones!$AB$95&amp;" "&amp;Milestones!$AC$95&amp;";  ","")&amp;IF(AND(EDATE($D52,Milestones!$AA$96)&lt;=AsOfDate,IF($Q52=0,$W52,IF(AND($S52&lt;&gt;"",EDATE($D52,Milestones!$AA$96)&gt;=$S52),$V52,IF(AND($R52&lt;&gt;"",EDATE($D52,Milestones!$AA$96)&gt;=$R52),$U52,$T52)))=Milestones!$AB$96),TEXT(EDATE($D52,Milestones!$AA$96),"dd/mm/yy")&amp;" "&amp;Milestones!$AB$96&amp;" "&amp;Milestones!$AC$96&amp;";  ","")&amp;IF(AND(EDATE($D52,Milestones!$AA$97)&lt;=AsOfDate,IF($Q52=0,$W52,IF(AND($S52&lt;&gt;"",EDATE($D52,Milestones!$AA$97)&gt;=$S52),$V52,IF(AND($R52&lt;&gt;"",EDATE($D52,Milestones!$AA$97)&gt;=$R52),$U52,$T52)))=Milestones!$AB$97),TEXT(EDATE($D52,Milestones!$AA$97),"dd/mm/yy")&amp;" "&amp;Milestones!$AB$97&amp;" "&amp;Milestones!$AC$97&amp;";  ","")&amp;IF(AND(EDATE($D52,Milestones!$AA$98)&lt;=AsOfDate,IF($Q52=0,$W52,IF(AND($S52&lt;&gt;"",EDATE($D52,Milestones!$AA$98)&gt;=$S52),$V52,IF(AND($R52&lt;&gt;"",EDATE($D52,Milestones!$AA$98)&gt;=$R52),$U52,$T52)))=Milestones!$AB$98),TEXT(EDATE($D52,Milestones!$AA$98),"dd/mm/yy")&amp;" "&amp;Milestones!$AB$98&amp;" "&amp;Milestones!$AC$98&amp;";  ","")&amp;IF(AND(EDATE($D52,Milestones!$AA$99)&lt;=AsOfDate,IF($Q52=0,$W52,IF(AND($S52&lt;&gt;"",EDATE($D52,Milestones!$AA$99)&gt;=$S52),$V52,IF(AND($R52&lt;&gt;"",EDATE($D52,Milestones!$AA$99)&gt;=$R52),$U52,$T52)))=Milestones!$AB$99),TEXT(EDATE($D52,Milestones!$AA$99),"dd/mm/yy")&amp;" "&amp;Milestones!$AB$99&amp;" "&amp;Milestones!$AC$99&amp;";  ",""))</f>
        <v/>
      </c>
      <c r="L52" s="0" t="str">
        <f aca="false">IF(OR($A52="",$D52=""),"",IF(AND(EDATE($D52,Milestones!$AA$100)&lt;=AsOfDate,IF($Q52=0,$W52,IF(AND($S52&lt;&gt;"",EDATE($D52,Milestones!$AA$100)&gt;=$S52),$V52,IF(AND($R52&lt;&gt;"",EDATE($D52,Milestones!$AA$100)&gt;=$R52),$U52,$T52)))=Milestones!$AB$100),TEXT(EDATE($D52,Milestones!$AA$100),"dd/mm/yy")&amp;" "&amp;Milestones!$AB$100&amp;" "&amp;Milestones!$AC$100&amp;";  ","")&amp;IF(AND(EDATE($D52,Milestones!$AA$101)&lt;=AsOfDate,IF($Q52=0,$W52,IF(AND($S52&lt;&gt;"",EDATE($D52,Milestones!$AA$101)&gt;=$S52),$V52,IF(AND($R52&lt;&gt;"",EDATE($D52,Milestones!$AA$101)&gt;=$R52),$U52,$T52)))=Milestones!$AB$101),TEXT(EDATE($D52,Milestones!$AA$101),"dd/mm/yy")&amp;" "&amp;Milestones!$AB$101&amp;" "&amp;Milestones!$AC$101&amp;";  ","")&amp;IF(AND(EDATE($D52,Milestones!$AA$102)&lt;=AsOfDate,IF($Q52=0,$W52,IF(AND($S52&lt;&gt;"",EDATE($D52,Milestones!$AA$102)&gt;=$S52),$V52,IF(AND($R52&lt;&gt;"",EDATE($D52,Milestones!$AA$102)&gt;=$R52),$U52,$T52)))=Milestones!$AB$102),TEXT(EDATE($D52,Milestones!$AA$102),"dd/mm/yy")&amp;" "&amp;Milestones!$AB$102&amp;" "&amp;Milestones!$AC$102&amp;";  ","")&amp;IF(AND(EDATE($D52,Milestones!$AA$103)&lt;=AsOfDate,IF($Q52=0,$W52,IF(AND($S52&lt;&gt;"",EDATE($D52,Milestones!$AA$103)&gt;=$S52),$V52,IF(AND($R52&lt;&gt;"",EDATE($D52,Milestones!$AA$103)&gt;=$R52),$U52,$T52)))=Milestones!$AB$103),TEXT(EDATE($D52,Milestones!$AA$103),"dd/mm/yy")&amp;" "&amp;Milestones!$AB$103&amp;" "&amp;Milestones!$AC$103&amp;";  ","")&amp;IF(AND(EDATE($D52,Milestones!$AA$104)&lt;=AsOfDate,IF($Q52=0,$W52,IF(AND($S52&lt;&gt;"",EDATE($D52,Milestones!$AA$104)&gt;=$S52),$V52,IF(AND($R52&lt;&gt;"",EDATE($D52,Milestones!$AA$104)&gt;=$R52),$U52,$T52)))=Milestones!$AB$104),TEXT(EDATE($D52,Milestones!$AA$104),"dd/mm/yy")&amp;" "&amp;Milestones!$AB$104&amp;" "&amp;Milestones!$AC$104&amp;";  ","")&amp;IF(AND(EDATE($D52,Milestones!$AA$105)&lt;=AsOfDate,IF($Q52=0,$W52,IF(AND($S52&lt;&gt;"",EDATE($D52,Milestones!$AA$105)&gt;=$S52),$V52,IF(AND($R52&lt;&gt;"",EDATE($D52,Milestones!$AA$105)&gt;=$R52),$U52,$T52)))=Milestones!$AB$105),TEXT(EDATE($D52,Milestones!$AA$105),"dd/mm/yy")&amp;" "&amp;Milestones!$AB$105&amp;" "&amp;Milestones!$AC$105&amp;";  ","")&amp;IF(AND(EDATE($D52,Milestones!$AA$106)&lt;=AsOfDate,IF($Q52=0,$W52,IF(AND($S52&lt;&gt;"",EDATE($D52,Milestones!$AA$106)&gt;=$S52),$V52,IF(AND($R52&lt;&gt;"",EDATE($D52,Milestones!$AA$106)&gt;=$R52),$U52,$T52)))=Milestones!$AB$106),TEXT(EDATE($D52,Milestones!$AA$106),"dd/mm/yy")&amp;" "&amp;Milestones!$AB$106&amp;" "&amp;Milestones!$AC$106&amp;";  ","")&amp;IF(AND(EDATE($D52,Milestones!$AA$107)&lt;=AsOfDate,IF($Q52=0,$W52,IF(AND($S52&lt;&gt;"",EDATE($D52,Milestones!$AA$107)&gt;=$S52),$V52,IF(AND($R52&lt;&gt;"",EDATE($D52,Milestones!$AA$107)&gt;=$R52),$U52,$T52)))=Milestones!$AB$107),TEXT(EDATE($D52,Milestones!$AA$107),"dd/mm/yy")&amp;" "&amp;Milestones!$AB$107&amp;" "&amp;Milestones!$AC$107&amp;";  ","")&amp;IF(AND(EDATE($D52,Milestones!$AA$108)&lt;=AsOfDate,IF($Q52=0,$W52,IF(AND($S52&lt;&gt;"",EDATE($D52,Milestones!$AA$108)&gt;=$S52),$V52,IF(AND($R52&lt;&gt;"",EDATE($D52,Milestones!$AA$108)&gt;=$R52),$U52,$T52)))=Milestones!$AB$108),TEXT(EDATE($D52,Milestones!$AA$108),"dd/mm/yy")&amp;" "&amp;Milestones!$AB$108&amp;" "&amp;Milestones!$AC$108&amp;";  ","")&amp;IF(AND(EDATE($D52,Milestones!$AA$109)&lt;=AsOfDate,IF($Q52=0,$W52,IF(AND($S52&lt;&gt;"",EDATE($D52,Milestones!$AA$109)&gt;=$S52),$V52,IF(AND($R52&lt;&gt;"",EDATE($D52,Milestones!$AA$109)&gt;=$R52),$U52,$T52)))=Milestones!$AB$109),TEXT(EDATE($D52,Milestones!$AA$109),"dd/mm/yy")&amp;" "&amp;Milestones!$AB$109&amp;" "&amp;Milestones!$AC$109&amp;";  ","")&amp;IF(AND(EDATE($D52,Milestones!$AA$110)&lt;=AsOfDate,IF($Q52=0,$W52,IF(AND($S52&lt;&gt;"",EDATE($D52,Milestones!$AA$110)&gt;=$S52),$V52,IF(AND($R52&lt;&gt;"",EDATE($D52,Milestones!$AA$110)&gt;=$R52),$U52,$T52)))=Milestones!$AB$110),TEXT(EDATE($D52,Milestones!$AA$110),"dd/mm/yy")&amp;" "&amp;Milestones!$AB$110&amp;" "&amp;Milestones!$AC$110&amp;";  ","")&amp;IF(AND(EDATE($D52,Milestones!$AA$111)&lt;=AsOfDate,IF($Q52=0,$W52,IF(AND($S52&lt;&gt;"",EDATE($D52,Milestones!$AA$111)&gt;=$S52),$V52,IF(AND($R52&lt;&gt;"",EDATE($D52,Milestones!$AA$111)&gt;=$R52),$U52,$T52)))=Milestones!$AB$111),TEXT(EDATE($D52,Milestones!$AA$111),"dd/mm/yy")&amp;" "&amp;Milestones!$AB$111&amp;" "&amp;Milestones!$AC$111&amp;";  ","")&amp;IF(AND(EDATE($D52,Milestones!$AA$112)&lt;=AsOfDate,IF($Q52=0,$W52,IF(AND($S52&lt;&gt;"",EDATE($D52,Milestones!$AA$112)&gt;=$S52),$V52,IF(AND($R52&lt;&gt;"",EDATE($D52,Milestones!$AA$112)&gt;=$R52),$U52,$T52)))=Milestones!$AB$112),TEXT(EDATE($D52,Milestones!$AA$112),"dd/mm/yy")&amp;" "&amp;Milestones!$AB$112&amp;" "&amp;Milestones!$AC$112&amp;";  ","")&amp;IF(AND(EDATE($D52,Milestones!$AA$113)&lt;=AsOfDate,IF($Q52=0,$W52,IF(AND($S52&lt;&gt;"",EDATE($D52,Milestones!$AA$113)&gt;=$S52),$V52,IF(AND($R52&lt;&gt;"",EDATE($D52,Milestones!$AA$113)&gt;=$R52),$U52,$T52)))=Milestones!$AB$113),TEXT(EDATE($D52,Milestones!$AA$113),"dd/mm/yy")&amp;" "&amp;Milestones!$AB$113&amp;" "&amp;Milestones!$AC$113&amp;";  ","")&amp;IF(AND(EDATE($D52,Milestones!$AA$114)&lt;=AsOfDate,IF($Q52=0,$W52,IF(AND($S52&lt;&gt;"",EDATE($D52,Milestones!$AA$114)&gt;=$S52),$V52,IF(AND($R52&lt;&gt;"",EDATE($D52,Milestones!$AA$114)&gt;=$R52),$U52,$T52)))=Milestones!$AB$114),TEXT(EDATE($D52,Milestones!$AA$114),"dd/mm/yy")&amp;" "&amp;Milestones!$AB$114&amp;" "&amp;Milestones!$AC$114&amp;";  ","")&amp;IF(AND(EDATE($D52,Milestones!$AA$115)&lt;=AsOfDate,IF($Q52=0,$W52,IF(AND($S52&lt;&gt;"",EDATE($D52,Milestones!$AA$115)&gt;=$S52),$V52,IF(AND($R52&lt;&gt;"",EDATE($D52,Milestones!$AA$115)&gt;=$R52),$U52,$T52)))=Milestones!$AB$115),TEXT(EDATE($D52,Milestones!$AA$115),"dd/mm/yy")&amp;" "&amp;Milestones!$AB$115&amp;" "&amp;Milestones!$AC$115&amp;";  ","")&amp;IF(AND(EDATE($D52,Milestones!$AA$116)&lt;=AsOfDate,IF($Q52=0,$W52,IF(AND($S52&lt;&gt;"",EDATE($D52,Milestones!$AA$116)&gt;=$S52),$V52,IF(AND($R52&lt;&gt;"",EDATE($D52,Milestones!$AA$116)&gt;=$R52),$U52,$T52)))=Milestones!$AB$116),TEXT(EDATE($D52,Milestones!$AA$116),"dd/mm/yy")&amp;" "&amp;Milestones!$AB$116&amp;" "&amp;Milestones!$AC$116&amp;";  ","")&amp;IF(AND(EDATE($D52,Milestones!$AA$117)&lt;=AsOfDate,IF($Q52=0,$W52,IF(AND($S52&lt;&gt;"",EDATE($D52,Milestones!$AA$117)&gt;=$S52),$V52,IF(AND($R52&lt;&gt;"",EDATE($D52,Milestones!$AA$117)&gt;=$R52),$U52,$T52)))=Milestones!$AB$117),TEXT(EDATE($D52,Milestones!$AA$117),"dd/mm/yy")&amp;" "&amp;Milestones!$AB$117&amp;" "&amp;Milestones!$AC$117&amp;";  ","")&amp;IF(AND(EDATE($D52,Milestones!$AA$118)&lt;=AsOfDate,IF($Q52=0,$W52,IF(AND($S52&lt;&gt;"",EDATE($D52,Milestones!$AA$118)&gt;=$S52),$V52,IF(AND($R52&lt;&gt;"",EDATE($D52,Milestones!$AA$118)&gt;=$R52),$U52,$T52)))=Milestones!$AB$118),TEXT(EDATE($D52,Milestones!$AA$118),"dd/mm/yy")&amp;" "&amp;Milestones!$AB$118&amp;" "&amp;Milestones!$AC$118&amp;";  ","")&amp;IF(AND(EDATE($D52,Milestones!$AA$119)&lt;=AsOfDate,IF($Q52=0,$W52,IF(AND($S52&lt;&gt;"",EDATE($D52,Milestones!$AA$119)&gt;=$S52),$V52,IF(AND($R52&lt;&gt;"",EDATE($D52,Milestones!$AA$119)&gt;=$R52),$U52,$T52)))=Milestones!$AB$119),TEXT(EDATE($D52,Milestones!$AA$119),"dd/mm/yy")&amp;" "&amp;Milestones!$AB$119&amp;" "&amp;Milestones!$AC$119&amp;";  ",""))</f>
        <v/>
      </c>
      <c r="M52" s="0" t="str">
        <f aca="false">IF(OR($A52="",$D52=""),"",IF(AND(EDATE($D52,Milestones!$AA$120)&lt;=AsOfDate,IF($Q52=0,$W52,IF(AND($S52&lt;&gt;"",EDATE($D52,Milestones!$AA$120)&gt;=$S52),$V52,IF(AND($R52&lt;&gt;"",EDATE($D52,Milestones!$AA$120)&gt;=$R52),$U52,$T52)))=Milestones!$AB$120),TEXT(EDATE($D52,Milestones!$AA$120),"dd/mm/yy")&amp;" "&amp;Milestones!$AB$120&amp;" "&amp;Milestones!$AC$120&amp;";  ","")&amp;IF(AND(EDATE($D52,Milestones!$AA$121)&lt;=AsOfDate,IF($Q52=0,$W52,IF(AND($S52&lt;&gt;"",EDATE($D52,Milestones!$AA$121)&gt;=$S52),$V52,IF(AND($R52&lt;&gt;"",EDATE($D52,Milestones!$AA$121)&gt;=$R52),$U52,$T52)))=Milestones!$AB$121),TEXT(EDATE($D52,Milestones!$AA$121),"dd/mm/yy")&amp;" "&amp;Milestones!$AB$121&amp;" "&amp;Milestones!$AC$121&amp;";  ","")&amp;IF(AND(EDATE($D52,Milestones!$AA$122)&lt;=AsOfDate,IF($Q52=0,$W52,IF(AND($S52&lt;&gt;"",EDATE($D52,Milestones!$AA$122)&gt;=$S52),$V52,IF(AND($R52&lt;&gt;"",EDATE($D52,Milestones!$AA$122)&gt;=$R52),$U52,$T52)))=Milestones!$AB$122),TEXT(EDATE($D52,Milestones!$AA$122),"dd/mm/yy")&amp;" "&amp;Milestones!$AB$122&amp;" "&amp;Milestones!$AC$122&amp;";  ","")&amp;IF(AND(EDATE($D52,Milestones!$AA$123)&lt;=AsOfDate,IF($Q52=0,$W52,IF(AND($S52&lt;&gt;"",EDATE($D52,Milestones!$AA$123)&gt;=$S52),$V52,IF(AND($R52&lt;&gt;"",EDATE($D52,Milestones!$AA$123)&gt;=$R52),$U52,$T52)))=Milestones!$AB$123),TEXT(EDATE($D52,Milestones!$AA$123),"dd/mm/yy")&amp;" "&amp;Milestones!$AB$123&amp;" "&amp;Milestones!$AC$123&amp;";  ","")&amp;IF(AND(EDATE($D52,Milestones!$AA$124)&lt;=AsOfDate,IF($Q52=0,$W52,IF(AND($S52&lt;&gt;"",EDATE($D52,Milestones!$AA$124)&gt;=$S52),$V52,IF(AND($R52&lt;&gt;"",EDATE($D52,Milestones!$AA$124)&gt;=$R52),$U52,$T52)))=Milestones!$AB$124),TEXT(EDATE($D52,Milestones!$AA$124),"dd/mm/yy")&amp;" "&amp;Milestones!$AB$124&amp;" "&amp;Milestones!$AC$124&amp;";  ","")&amp;IF(AND(EDATE($D52,Milestones!$AA$125)&lt;=AsOfDate,IF($Q52=0,$W52,IF(AND($S52&lt;&gt;"",EDATE($D52,Milestones!$AA$125)&gt;=$S52),$V52,IF(AND($R52&lt;&gt;"",EDATE($D52,Milestones!$AA$125)&gt;=$R52),$U52,$T52)))=Milestones!$AB$125),TEXT(EDATE($D52,Milestones!$AA$125),"dd/mm/yy")&amp;" "&amp;Milestones!$AB$125&amp;" "&amp;Milestones!$AC$125&amp;";  ","")&amp;IF(AND(EDATE($D52,Milestones!$AA$126)&lt;=AsOfDate,IF($Q52=0,$W52,IF(AND($S52&lt;&gt;"",EDATE($D52,Milestones!$AA$126)&gt;=$S52),$V52,IF(AND($R52&lt;&gt;"",EDATE($D52,Milestones!$AA$126)&gt;=$R52),$U52,$T52)))=Milestones!$AB$126),TEXT(EDATE($D52,Milestones!$AA$126),"dd/mm/yy")&amp;" "&amp;Milestones!$AB$126&amp;" "&amp;Milestones!$AC$126&amp;";  ","")&amp;IF(AND(EDATE($D52,Milestones!$AA$127)&lt;=AsOfDate,IF($Q52=0,$W52,IF(AND($S52&lt;&gt;"",EDATE($D52,Milestones!$AA$127)&gt;=$S52),$V52,IF(AND($R52&lt;&gt;"",EDATE($D52,Milestones!$AA$127)&gt;=$R52),$U52,$T52)))=Milestones!$AB$127),TEXT(EDATE($D52,Milestones!$AA$127),"dd/mm/yy")&amp;" "&amp;Milestones!$AB$127&amp;" "&amp;Milestones!$AC$127&amp;";  ","")&amp;IF(AND(EDATE($D52,Milestones!$AA$128)&lt;=AsOfDate,IF($Q52=0,$W52,IF(AND($S52&lt;&gt;"",EDATE($D52,Milestones!$AA$128)&gt;=$S52),$V52,IF(AND($R52&lt;&gt;"",EDATE($D52,Milestones!$AA$128)&gt;=$R52),$U52,$T52)))=Milestones!$AB$128),TEXT(EDATE($D52,Milestones!$AA$128),"dd/mm/yy")&amp;" "&amp;Milestones!$AB$128&amp;" "&amp;Milestones!$AC$128&amp;";  ","")&amp;IF(AND(EDATE($D52,Milestones!$AA$129)&lt;=AsOfDate,IF($Q52=0,$W52,IF(AND($S52&lt;&gt;"",EDATE($D52,Milestones!$AA$129)&gt;=$S52),$V52,IF(AND($R52&lt;&gt;"",EDATE($D52,Milestones!$AA$129)&gt;=$R52),$U52,$T52)))=Milestones!$AB$129),TEXT(EDATE($D52,Milestones!$AA$129),"dd/mm/yy")&amp;" "&amp;Milestones!$AB$129&amp;" "&amp;Milestones!$AC$129&amp;";  ","")&amp;IF(AND(EDATE($D52,Milestones!$AA$130)&lt;=AsOfDate,IF($Q52=0,$W52,IF(AND($S52&lt;&gt;"",EDATE($D52,Milestones!$AA$130)&gt;=$S52),$V52,IF(AND($R52&lt;&gt;"",EDATE($D52,Milestones!$AA$130)&gt;=$R52),$U52,$T52)))=Milestones!$AB$130),TEXT(EDATE($D52,Milestones!$AA$130),"dd/mm/yy")&amp;" "&amp;Milestones!$AB$130&amp;" "&amp;Milestones!$AC$130&amp;";  ","")&amp;IF(AND(EDATE($D52,Milestones!$AA$131)&lt;=AsOfDate,IF($Q52=0,$W52,IF(AND($S52&lt;&gt;"",EDATE($D52,Milestones!$AA$131)&gt;=$S52),$V52,IF(AND($R52&lt;&gt;"",EDATE($D52,Milestones!$AA$131)&gt;=$R52),$U52,$T52)))=Milestones!$AB$131),TEXT(EDATE($D52,Milestones!$AA$131),"dd/mm/yy")&amp;" "&amp;Milestones!$AB$131&amp;" "&amp;Milestones!$AC$131&amp;";  ","")&amp;IF(AND(EDATE($D52,Milestones!$AA$132)&lt;=AsOfDate,IF($Q52=0,$W52,IF(AND($S52&lt;&gt;"",EDATE($D52,Milestones!$AA$132)&gt;=$S52),$V52,IF(AND($R52&lt;&gt;"",EDATE($D52,Milestones!$AA$132)&gt;=$R52),$U52,$T52)))=Milestones!$AB$132),TEXT(EDATE($D52,Milestones!$AA$132),"dd/mm/yy")&amp;" "&amp;Milestones!$AB$132&amp;" "&amp;Milestones!$AC$132&amp;";  ","")&amp;IF(AND(EDATE($D52,Milestones!$AA$133)&lt;=AsOfDate,IF($Q52=0,$W52,IF(AND($S52&lt;&gt;"",EDATE($D52,Milestones!$AA$133)&gt;=$S52),$V52,IF(AND($R52&lt;&gt;"",EDATE($D52,Milestones!$AA$133)&gt;=$R52),$U52,$T52)))=Milestones!$AB$133),TEXT(EDATE($D52,Milestones!$AA$133),"dd/mm/yy")&amp;" "&amp;Milestones!$AB$133&amp;" "&amp;Milestones!$AC$133&amp;";  ","")&amp;IF(AND(EDATE($D52,Milestones!$AA$134)&lt;=AsOfDate,IF($Q52=0,$W52,IF(AND($S52&lt;&gt;"",EDATE($D52,Milestones!$AA$134)&gt;=$S52),$V52,IF(AND($R52&lt;&gt;"",EDATE($D52,Milestones!$AA$134)&gt;=$R52),$U52,$T52)))=Milestones!$AB$134),TEXT(EDATE($D52,Milestones!$AA$134),"dd/mm/yy")&amp;" "&amp;Milestones!$AB$134&amp;" "&amp;Milestones!$AC$134&amp;";  ","")&amp;IF(AND(EDATE($D52,Milestones!$AA$135)&lt;=AsOfDate,IF($Q52=0,$W52,IF(AND($S52&lt;&gt;"",EDATE($D52,Milestones!$AA$135)&gt;=$S52),$V52,IF(AND($R52&lt;&gt;"",EDATE($D52,Milestones!$AA$135)&gt;=$R52),$U52,$T52)))=Milestones!$AB$135),TEXT(EDATE($D52,Milestones!$AA$135),"dd/mm/yy")&amp;" "&amp;Milestones!$AB$135&amp;" "&amp;Milestones!$AC$135&amp;";  ","")&amp;IF(AND(EDATE($D52,Milestones!$AA$136)&lt;=AsOfDate,IF($Q52=0,$W52,IF(AND($S52&lt;&gt;"",EDATE($D52,Milestones!$AA$136)&gt;=$S52),$V52,IF(AND($R52&lt;&gt;"",EDATE($D52,Milestones!$AA$136)&gt;=$R52),$U52,$T52)))=Milestones!$AB$136),TEXT(EDATE($D52,Milestones!$AA$136),"dd/mm/yy")&amp;" "&amp;Milestones!$AB$136&amp;" "&amp;Milestones!$AC$136&amp;";  ","")&amp;IF(AND(EDATE($D52,Milestones!$AA$137)&lt;=AsOfDate,IF($Q52=0,$W52,IF(AND($S52&lt;&gt;"",EDATE($D52,Milestones!$AA$137)&gt;=$S52),$V52,IF(AND($R52&lt;&gt;"",EDATE($D52,Milestones!$AA$137)&gt;=$R52),$U52,$T52)))=Milestones!$AB$137),TEXT(EDATE($D52,Milestones!$AA$137),"dd/mm/yy")&amp;" "&amp;Milestones!$AB$137&amp;" "&amp;Milestones!$AC$137&amp;";  ","")&amp;IF(AND(EDATE($D52,Milestones!$AA$138)&lt;=AsOfDate,IF($Q52=0,$W52,IF(AND($S52&lt;&gt;"",EDATE($D52,Milestones!$AA$138)&gt;=$S52),$V52,IF(AND($R52&lt;&gt;"",EDATE($D52,Milestones!$AA$138)&gt;=$R52),$U52,$T52)))=Milestones!$AB$138),TEXT(EDATE($D52,Milestones!$AA$138),"dd/mm/yy")&amp;" "&amp;Milestones!$AB$138&amp;" "&amp;Milestones!$AC$138&amp;";  ","")&amp;IF(AND(EDATE($D52,Milestones!$AA$139)&lt;=AsOfDate,IF($Q52=0,$W52,IF(AND($S52&lt;&gt;"",EDATE($D52,Milestones!$AA$139)&gt;=$S52),$V52,IF(AND($R52&lt;&gt;"",EDATE($D52,Milestones!$AA$139)&gt;=$R52),$U52,$T52)))=Milestones!$AB$139),TEXT(EDATE($D52,Milestones!$AA$139),"dd/mm/yy")&amp;" "&amp;Milestones!$AB$139&amp;" "&amp;Milestones!$AC$139&amp;";  ",""))</f>
        <v/>
      </c>
      <c r="N52" s="0" t="str">
        <f aca="false">IF(OR($A52="",$D52=""),"",IF(AND(EDATE($D52,Milestones!$AA$140)&lt;=AsOfDate,IF($Q52=0,$W52,IF(AND($S52&lt;&gt;"",EDATE($D52,Milestones!$AA$140)&gt;=$S52),$V52,IF(AND($R52&lt;&gt;"",EDATE($D52,Milestones!$AA$140)&gt;=$R52),$U52,$T52)))=Milestones!$AB$140),TEXT(EDATE($D52,Milestones!$AA$140),"dd/mm/yy")&amp;" "&amp;Milestones!$AB$140&amp;" "&amp;Milestones!$AC$140&amp;";  ","")&amp;IF(AND(EDATE($D52,Milestones!$AA$141)&lt;=AsOfDate,IF($Q52=0,$W52,IF(AND($S52&lt;&gt;"",EDATE($D52,Milestones!$AA$141)&gt;=$S52),$V52,IF(AND($R52&lt;&gt;"",EDATE($D52,Milestones!$AA$141)&gt;=$R52),$U52,$T52)))=Milestones!$AB$141),TEXT(EDATE($D52,Milestones!$AA$141),"dd/mm/yy")&amp;" "&amp;Milestones!$AB$141&amp;" "&amp;Milestones!$AC$141&amp;";  ","")&amp;IF(AND(EDATE($D52,Milestones!$AA$142)&lt;=AsOfDate,IF($Q52=0,$W52,IF(AND($S52&lt;&gt;"",EDATE($D52,Milestones!$AA$142)&gt;=$S52),$V52,IF(AND($R52&lt;&gt;"",EDATE($D52,Milestones!$AA$142)&gt;=$R52),$U52,$T52)))=Milestones!$AB$142),TEXT(EDATE($D52,Milestones!$AA$142),"dd/mm/yy")&amp;" "&amp;Milestones!$AB$142&amp;" "&amp;Milestones!$AC$142&amp;";  ","")&amp;IF(AND(EDATE($D52,Milestones!$AA$143)&lt;=AsOfDate,IF($Q52=0,$W52,IF(AND($S52&lt;&gt;"",EDATE($D52,Milestones!$AA$143)&gt;=$S52),$V52,IF(AND($R52&lt;&gt;"",EDATE($D52,Milestones!$AA$143)&gt;=$R52),$U52,$T52)))=Milestones!$AB$143),TEXT(EDATE($D52,Milestones!$AA$143),"dd/mm/yy")&amp;" "&amp;Milestones!$AB$143&amp;" "&amp;Milestones!$AC$143&amp;";  ","")&amp;IF(AND(EDATE($D52,Milestones!$AA$144)&lt;=AsOfDate,IF($Q52=0,$W52,IF(AND($S52&lt;&gt;"",EDATE($D52,Milestones!$AA$144)&gt;=$S52),$V52,IF(AND($R52&lt;&gt;"",EDATE($D52,Milestones!$AA$144)&gt;=$R52),$U52,$T52)))=Milestones!$AB$144),TEXT(EDATE($D52,Milestones!$AA$144),"dd/mm/yy")&amp;" "&amp;Milestones!$AB$144&amp;" "&amp;Milestones!$AC$144&amp;";  ","")&amp;IF(AND(EDATE($D52,Milestones!$AA$145)&lt;=AsOfDate,IF($Q52=0,$W52,IF(AND($S52&lt;&gt;"",EDATE($D52,Milestones!$AA$145)&gt;=$S52),$V52,IF(AND($R52&lt;&gt;"",EDATE($D52,Milestones!$AA$145)&gt;=$R52),$U52,$T52)))=Milestones!$AB$145),TEXT(EDATE($D52,Milestones!$AA$145),"dd/mm/yy")&amp;" "&amp;Milestones!$AB$145&amp;" "&amp;Milestones!$AC$145&amp;";  ","")&amp;IF(AND(EDATE($D52,Milestones!$AA$146)&lt;=AsOfDate,IF($Q52=0,$W52,IF(AND($S52&lt;&gt;"",EDATE($D52,Milestones!$AA$146)&gt;=$S52),$V52,IF(AND($R52&lt;&gt;"",EDATE($D52,Milestones!$AA$146)&gt;=$R52),$U52,$T52)))=Milestones!$AB$146),TEXT(EDATE($D52,Milestones!$AA$146),"dd/mm/yy")&amp;" "&amp;Milestones!$AB$146&amp;" "&amp;Milestones!$AC$146&amp;";  ","")&amp;IF(AND(EDATE($D52,Milestones!$AA$147)&lt;=AsOfDate,IF($Q52=0,$W52,IF(AND($S52&lt;&gt;"",EDATE($D52,Milestones!$AA$147)&gt;=$S52),$V52,IF(AND($R52&lt;&gt;"",EDATE($D52,Milestones!$AA$147)&gt;=$R52),$U52,$T52)))=Milestones!$AB$147),TEXT(EDATE($D52,Milestones!$AA$147),"dd/mm/yy")&amp;" "&amp;Milestones!$AB$147&amp;" "&amp;Milestones!$AC$147&amp;";  ","")&amp;IF(AND(EDATE($D52,Milestones!$AA$148)&lt;=AsOfDate,IF($Q52=0,$W52,IF(AND($S52&lt;&gt;"",EDATE($D52,Milestones!$AA$148)&gt;=$S52),$V52,IF(AND($R52&lt;&gt;"",EDATE($D52,Milestones!$AA$148)&gt;=$R52),$U52,$T52)))=Milestones!$AB$148),TEXT(EDATE($D52,Milestones!$AA$148),"dd/mm/yy")&amp;" "&amp;Milestones!$AB$148&amp;" "&amp;Milestones!$AC$148&amp;";  ","")&amp;IF(AND(EDATE($D52,Milestones!$AA$149)&lt;=AsOfDate,IF($Q52=0,$W52,IF(AND($S52&lt;&gt;"",EDATE($D52,Milestones!$AA$149)&gt;=$S52),$V52,IF(AND($R52&lt;&gt;"",EDATE($D52,Milestones!$AA$149)&gt;=$R52),$U52,$T52)))=Milestones!$AB$149),TEXT(EDATE($D52,Milestones!$AA$149),"dd/mm/yy")&amp;" "&amp;Milestones!$AB$149&amp;" "&amp;Milestones!$AC$149&amp;";  ","")&amp;IF(AND(EDATE($D52,Milestones!$AA$150)&lt;=AsOfDate,IF($Q52=0,$W52,IF(AND($S52&lt;&gt;"",EDATE($D52,Milestones!$AA$150)&gt;=$S52),$V52,IF(AND($R52&lt;&gt;"",EDATE($D52,Milestones!$AA$150)&gt;=$R52),$U52,$T52)))=Milestones!$AB$150),TEXT(EDATE($D52,Milestones!$AA$150),"dd/mm/yy")&amp;" "&amp;Milestones!$AB$150&amp;" "&amp;Milestones!$AC$150&amp;";  ","")&amp;IF(AND(EDATE($D52,Milestones!$AA$151)&lt;=AsOfDate,IF($Q52=0,$W52,IF(AND($S52&lt;&gt;"",EDATE($D52,Milestones!$AA$151)&gt;=$S52),$V52,IF(AND($R52&lt;&gt;"",EDATE($D52,Milestones!$AA$151)&gt;=$R52),$U52,$T52)))=Milestones!$AB$151),TEXT(EDATE($D52,Milestones!$AA$151),"dd/mm/yy")&amp;" "&amp;Milestones!$AB$151&amp;" "&amp;Milestones!$AC$151&amp;";  ","")&amp;IF(AND(EDATE($D52,Milestones!$AA$152)&lt;=AsOfDate,IF($Q52=0,$W52,IF(AND($S52&lt;&gt;"",EDATE($D52,Milestones!$AA$152)&gt;=$S52),$V52,IF(AND($R52&lt;&gt;"",EDATE($D52,Milestones!$AA$152)&gt;=$R52),$U52,$T52)))=Milestones!$AB$152),TEXT(EDATE($D52,Milestones!$AA$152),"dd/mm/yy")&amp;" "&amp;Milestones!$AB$152&amp;" "&amp;Milestones!$AC$152&amp;";  ","")&amp;IF(AND(EDATE($D52,Milestones!$AA$153)&lt;=AsOfDate,IF($Q52=0,$W52,IF(AND($S52&lt;&gt;"",EDATE($D52,Milestones!$AA$153)&gt;=$S52),$V52,IF(AND($R52&lt;&gt;"",EDATE($D52,Milestones!$AA$153)&gt;=$R52),$U52,$T52)))=Milestones!$AB$153),TEXT(EDATE($D52,Milestones!$AA$153),"dd/mm/yy")&amp;" "&amp;Milestones!$AB$153&amp;" "&amp;Milestones!$AC$153&amp;";  ","")&amp;IF(AND(EDATE($D52,Milestones!$AA$154)&lt;=AsOfDate,IF($Q52=0,$W52,IF(AND($S52&lt;&gt;"",EDATE($D52,Milestones!$AA$154)&gt;=$S52),$V52,IF(AND($R52&lt;&gt;"",EDATE($D52,Milestones!$AA$154)&gt;=$R52),$U52,$T52)))=Milestones!$AB$154),TEXT(EDATE($D52,Milestones!$AA$154),"dd/mm/yy")&amp;" "&amp;Milestones!$AB$154&amp;" "&amp;Milestones!$AC$154&amp;";  ","")&amp;IF(AND(EDATE($D52,Milestones!$AA$155)&lt;=AsOfDate,IF($Q52=0,$W52,IF(AND($S52&lt;&gt;"",EDATE($D52,Milestones!$AA$155)&gt;=$S52),$V52,IF(AND($R52&lt;&gt;"",EDATE($D52,Milestones!$AA$155)&gt;=$R52),$U52,$T52)))=Milestones!$AB$155),TEXT(EDATE($D52,Milestones!$AA$155),"dd/mm/yy")&amp;" "&amp;Milestones!$AB$155&amp;" "&amp;Milestones!$AC$155&amp;";  ","")&amp;IF(AND(EDATE($D52,Milestones!$AA$156)&lt;=AsOfDate,IF($Q52=0,$W52,IF(AND($S52&lt;&gt;"",EDATE($D52,Milestones!$AA$156)&gt;=$S52),$V52,IF(AND($R52&lt;&gt;"",EDATE($D52,Milestones!$AA$156)&gt;=$R52),$U52,$T52)))=Milestones!$AB$156),TEXT(EDATE($D52,Milestones!$AA$156),"dd/mm/yy")&amp;" "&amp;Milestones!$AB$156&amp;" "&amp;Milestones!$AC$156&amp;";  ","")&amp;IF(AND(EDATE($D52,Milestones!$AA$157)&lt;=AsOfDate,IF($Q52=0,$W52,IF(AND($S52&lt;&gt;"",EDATE($D52,Milestones!$AA$157)&gt;=$S52),$V52,IF(AND($R52&lt;&gt;"",EDATE($D52,Milestones!$AA$157)&gt;=$R52),$U52,$T52)))=Milestones!$AB$157),TEXT(EDATE($D52,Milestones!$AA$157),"dd/mm/yy")&amp;" "&amp;Milestones!$AB$157&amp;" "&amp;Milestones!$AC$157&amp;";  ","")&amp;IF(AND(EDATE($D52,Milestones!$AA$158)&lt;=AsOfDate,IF($Q52=0,$W52,IF(AND($S52&lt;&gt;"",EDATE($D52,Milestones!$AA$158)&gt;=$S52),$V52,IF(AND($R52&lt;&gt;"",EDATE($D52,Milestones!$AA$158)&gt;=$R52),$U52,$T52)))=Milestones!$AB$158),TEXT(EDATE($D52,Milestones!$AA$158),"dd/mm/yy")&amp;" "&amp;Milestones!$AB$158&amp;" "&amp;Milestones!$AC$158&amp;";  ","")&amp;IF(AND(EDATE($D52,Milestones!$AA$159)&lt;=AsOfDate,IF($Q52=0,$W52,IF(AND($S52&lt;&gt;"",EDATE($D52,Milestones!$AA$159)&gt;=$S52),$V52,IF(AND($R52&lt;&gt;"",EDATE($D52,Milestones!$AA$159)&gt;=$R52),$U52,$T52)))=Milestones!$AB$159),TEXT(EDATE($D52,Milestones!$AA$159),"dd/mm/yy")&amp;" "&amp;Milestones!$AB$159&amp;" "&amp;Milestones!$AC$159&amp;";  ",""))</f>
        <v/>
      </c>
      <c r="O52" s="0" t="str">
        <f aca="false">IF(OR($A52="",$D52=""),"",IF(AND(EDATE($D52,Milestones!$AA$160)&lt;=AsOfDate,IF($Q52=0,$W52,IF(AND($S52&lt;&gt;"",EDATE($D52,Milestones!$AA$160)&gt;=$S52),$V52,IF(AND($R52&lt;&gt;"",EDATE($D52,Milestones!$AA$160)&gt;=$R52),$U52,$T52)))=Milestones!$AB$160),TEXT(EDATE($D52,Milestones!$AA$160),"dd/mm/yy")&amp;" "&amp;Milestones!$AB$160&amp;" "&amp;Milestones!$AC$160&amp;";  ","")&amp;IF(AND(EDATE($D52,Milestones!$AA$161)&lt;=AsOfDate,IF($Q52=0,$W52,IF(AND($S52&lt;&gt;"",EDATE($D52,Milestones!$AA$161)&gt;=$S52),$V52,IF(AND($R52&lt;&gt;"",EDATE($D52,Milestones!$AA$161)&gt;=$R52),$U52,$T52)))=Milestones!$AB$161),TEXT(EDATE($D52,Milestones!$AA$161),"dd/mm/yy")&amp;" "&amp;Milestones!$AB$161&amp;" "&amp;Milestones!$AC$161&amp;";  ","")&amp;IF(AND(EDATE($D52,Milestones!$AA$162)&lt;=AsOfDate,IF($Q52=0,$W52,IF(AND($S52&lt;&gt;"",EDATE($D52,Milestones!$AA$162)&gt;=$S52),$V52,IF(AND($R52&lt;&gt;"",EDATE($D52,Milestones!$AA$162)&gt;=$R52),$U52,$T52)))=Milestones!$AB$162),TEXT(EDATE($D52,Milestones!$AA$162),"dd/mm/yy")&amp;" "&amp;Milestones!$AB$162&amp;" "&amp;Milestones!$AC$162&amp;";  ","")&amp;IF(AND(EDATE($D52,Milestones!$AA$163)&lt;=AsOfDate,IF($Q52=0,$W52,IF(AND($S52&lt;&gt;"",EDATE($D52,Milestones!$AA$163)&gt;=$S52),$V52,IF(AND($R52&lt;&gt;"",EDATE($D52,Milestones!$AA$163)&gt;=$R52),$U52,$T52)))=Milestones!$AB$163),TEXT(EDATE($D52,Milestones!$AA$163),"dd/mm/yy")&amp;" "&amp;Milestones!$AB$163&amp;" "&amp;Milestones!$AC$163&amp;";  ","")&amp;IF(AND(EDATE($D52,Milestones!$AA$164)&lt;=AsOfDate,IF($Q52=0,$W52,IF(AND($S52&lt;&gt;"",EDATE($D52,Milestones!$AA$164)&gt;=$S52),$V52,IF(AND($R52&lt;&gt;"",EDATE($D52,Milestones!$AA$164)&gt;=$R52),$U52,$T52)))=Milestones!$AB$164),TEXT(EDATE($D52,Milestones!$AA$164),"dd/mm/yy")&amp;" "&amp;Milestones!$AB$164&amp;" "&amp;Milestones!$AC$164&amp;";  ","")&amp;IF(AND(EDATE($D52,Milestones!$AA$165)&lt;=AsOfDate,IF($Q52=0,$W52,IF(AND($S52&lt;&gt;"",EDATE($D52,Milestones!$AA$165)&gt;=$S52),$V52,IF(AND($R52&lt;&gt;"",EDATE($D52,Milestones!$AA$165)&gt;=$R52),$U52,$T52)))=Milestones!$AB$165),TEXT(EDATE($D52,Milestones!$AA$165),"dd/mm/yy")&amp;" "&amp;Milestones!$AB$165&amp;" "&amp;Milestones!$AC$165&amp;";  ","")&amp;IF(AND(EDATE($D52,Milestones!$AA$166)&lt;=AsOfDate,IF($Q52=0,$W52,IF(AND($S52&lt;&gt;"",EDATE($D52,Milestones!$AA$166)&gt;=$S52),$V52,IF(AND($R52&lt;&gt;"",EDATE($D52,Milestones!$AA$166)&gt;=$R52),$U52,$T52)))=Milestones!$AB$166),TEXT(EDATE($D52,Milestones!$AA$166),"dd/mm/yy")&amp;" "&amp;Milestones!$AB$166&amp;" "&amp;Milestones!$AC$166&amp;";  ","")&amp;IF(AND(EDATE($D52,Milestones!$AA$167)&lt;=AsOfDate,IF($Q52=0,$W52,IF(AND($S52&lt;&gt;"",EDATE($D52,Milestones!$AA$167)&gt;=$S52),$V52,IF(AND($R52&lt;&gt;"",EDATE($D52,Milestones!$AA$167)&gt;=$R52),$U52,$T52)))=Milestones!$AB$167),TEXT(EDATE($D52,Milestones!$AA$167),"dd/mm/yy")&amp;" "&amp;Milestones!$AB$167&amp;" "&amp;Milestones!$AC$167&amp;";  ","")&amp;IF(AND(EDATE($D52,Milestones!$AA$168)&lt;=AsOfDate,IF($Q52=0,$W52,IF(AND($S52&lt;&gt;"",EDATE($D52,Milestones!$AA$168)&gt;=$S52),$V52,IF(AND($R52&lt;&gt;"",EDATE($D52,Milestones!$AA$168)&gt;=$R52),$U52,$T52)))=Milestones!$AB$168),TEXT(EDATE($D52,Milestones!$AA$168),"dd/mm/yy")&amp;" "&amp;Milestones!$AB$168&amp;" "&amp;Milestones!$AC$168&amp;";  ","")&amp;IF(AND(EDATE($D52,Milestones!$AA$169)&lt;=AsOfDate,IF($Q52=0,$W52,IF(AND($S52&lt;&gt;"",EDATE($D52,Milestones!$AA$169)&gt;=$S52),$V52,IF(AND($R52&lt;&gt;"",EDATE($D52,Milestones!$AA$169)&gt;=$R52),$U52,$T52)))=Milestones!$AB$169),TEXT(EDATE($D52,Milestones!$AA$169),"dd/mm/yy")&amp;" "&amp;Milestones!$AB$169&amp;" "&amp;Milestones!$AC$169&amp;";  ","")&amp;IF(AND(EDATE($D52,Milestones!$AA$170)&lt;=AsOfDate,IF($Q52=0,$W52,IF(AND($S52&lt;&gt;"",EDATE($D52,Milestones!$AA$170)&gt;=$S52),$V52,IF(AND($R52&lt;&gt;"",EDATE($D52,Milestones!$AA$170)&gt;=$R52),$U52,$T52)))=Milestones!$AB$170),TEXT(EDATE($D52,Milestones!$AA$170),"dd/mm/yy")&amp;" "&amp;Milestones!$AB$170&amp;" "&amp;Milestones!$AC$170&amp;";  ","")&amp;IF(AND(EDATE($D52,Milestones!$AA$171)&lt;=AsOfDate,IF($Q52=0,$W52,IF(AND($S52&lt;&gt;"",EDATE($D52,Milestones!$AA$171)&gt;=$S52),$V52,IF(AND($R52&lt;&gt;"",EDATE($D52,Milestones!$AA$171)&gt;=$R52),$U52,$T52)))=Milestones!$AB$171),TEXT(EDATE($D52,Milestones!$AA$171),"dd/mm/yy")&amp;" "&amp;Milestones!$AB$171&amp;" "&amp;Milestones!$AC$171&amp;";  ","")&amp;IF(AND(EDATE($D52,Milestones!$AA$172)&lt;=AsOfDate,IF($Q52=0,$W52,IF(AND($S52&lt;&gt;"",EDATE($D52,Milestones!$AA$172)&gt;=$S52),$V52,IF(AND($R52&lt;&gt;"",EDATE($D52,Milestones!$AA$172)&gt;=$R52),$U52,$T52)))=Milestones!$AB$172),TEXT(EDATE($D52,Milestones!$AA$172),"dd/mm/yy")&amp;" "&amp;Milestones!$AB$172&amp;" "&amp;Milestones!$AC$172&amp;";  ","")&amp;IF(AND(EDATE($D52,Milestones!$AA$173)&lt;=AsOfDate,IF($Q52=0,$W52,IF(AND($S52&lt;&gt;"",EDATE($D52,Milestones!$AA$173)&gt;=$S52),$V52,IF(AND($R52&lt;&gt;"",EDATE($D52,Milestones!$AA$173)&gt;=$R52),$U52,$T52)))=Milestones!$AB$173),TEXT(EDATE($D52,Milestones!$AA$173),"dd/mm/yy")&amp;" "&amp;Milestones!$AB$173&amp;" "&amp;Milestones!$AC$173&amp;";  ","")&amp;IF(AND(EDATE($D52,Milestones!$AA$174)&lt;=AsOfDate,IF($Q52=0,$W52,IF(AND($S52&lt;&gt;"",EDATE($D52,Milestones!$AA$174)&gt;=$S52),$V52,IF(AND($R52&lt;&gt;"",EDATE($D52,Milestones!$AA$174)&gt;=$R52),$U52,$T52)))=Milestones!$AB$174),TEXT(EDATE($D52,Milestones!$AA$174),"dd/mm/yy")&amp;" "&amp;Milestones!$AB$174&amp;" "&amp;Milestones!$AC$174&amp;";  ","")&amp;IF(AND(EDATE($D52,Milestones!$AA$175)&lt;=AsOfDate,IF($Q52=0,$W52,IF(AND($S52&lt;&gt;"",EDATE($D52,Milestones!$AA$175)&gt;=$S52),$V52,IF(AND($R52&lt;&gt;"",EDATE($D52,Milestones!$AA$175)&gt;=$R52),$U52,$T52)))=Milestones!$AB$175),TEXT(EDATE($D52,Milestones!$AA$175),"dd/mm/yy")&amp;" "&amp;Milestones!$AB$175&amp;" "&amp;Milestones!$AC$175&amp;";  ","")&amp;IF(AND(EDATE($D52,Milestones!$AA$176)&lt;=AsOfDate,IF($Q52=0,$W52,IF(AND($S52&lt;&gt;"",EDATE($D52,Milestones!$AA$176)&gt;=$S52),$V52,IF(AND($R52&lt;&gt;"",EDATE($D52,Milestones!$AA$176)&gt;=$R52),$U52,$T52)))=Milestones!$AB$176),TEXT(EDATE($D52,Milestones!$AA$176),"dd/mm/yy")&amp;" "&amp;Milestones!$AB$176&amp;" "&amp;Milestones!$AC$176&amp;";  ","")&amp;IF(AND(EDATE($D52,Milestones!$AA$177)&lt;=AsOfDate,IF($Q52=0,$W52,IF(AND($S52&lt;&gt;"",EDATE($D52,Milestones!$AA$177)&gt;=$S52),$V52,IF(AND($R52&lt;&gt;"",EDATE($D52,Milestones!$AA$177)&gt;=$R52),$U52,$T52)))=Milestones!$AB$177),TEXT(EDATE($D52,Milestones!$AA$177),"dd/mm/yy")&amp;" "&amp;Milestones!$AB$177&amp;" "&amp;Milestones!$AC$177&amp;";  ","")&amp;IF(AND(EDATE($D52,Milestones!$AA$178)&lt;=AsOfDate,IF($Q52=0,$W52,IF(AND($S52&lt;&gt;"",EDATE($D52,Milestones!$AA$178)&gt;=$S52),$V52,IF(AND($R52&lt;&gt;"",EDATE($D52,Milestones!$AA$178)&gt;=$R52),$U52,$T52)))=Milestones!$AB$178),TEXT(EDATE($D52,Milestones!$AA$178),"dd/mm/yy")&amp;" "&amp;Milestones!$AB$178&amp;" "&amp;Milestones!$AC$178&amp;";  ","")&amp;IF(AND(EDATE($D52,Milestones!$AA$179)&lt;=AsOfDate,IF($Q52=0,$W52,IF(AND($S52&lt;&gt;"",EDATE($D52,Milestones!$AA$179)&gt;=$S52),$V52,IF(AND($R52&lt;&gt;"",EDATE($D52,Milestones!$AA$179)&gt;=$R52),$U52,$T52)))=Milestones!$AB$179),TEXT(EDATE($D52,Milestones!$AA$179),"dd/mm/yy")&amp;" "&amp;Milestones!$AB$179&amp;" "&amp;Milestones!$AC$179&amp;";  ",""))</f>
        <v/>
      </c>
      <c r="P52" s="0" t="str">
        <f aca="false">IF(OR($A52="",$D52=""),"",IF(AND(EDATE($D52,Milestones!$AA$180)&lt;=AsOfDate,IF($Q52=0,$W52,IF(AND($S52&lt;&gt;"",EDATE($D52,Milestones!$AA$180)&gt;=$S52),$V52,IF(AND($R52&lt;&gt;"",EDATE($D52,Milestones!$AA$180)&gt;=$R52),$U52,$T52)))=Milestones!$AB$180),TEXT(EDATE($D52,Milestones!$AA$180),"dd/mm/yy")&amp;" "&amp;Milestones!$AB$180&amp;" "&amp;Milestones!$AC$180&amp;";  ","")&amp;IF(AND(EDATE($D52,Milestones!$AA$181)&lt;=AsOfDate,IF($Q52=0,$W52,IF(AND($S52&lt;&gt;"",EDATE($D52,Milestones!$AA$181)&gt;=$S52),$V52,IF(AND($R52&lt;&gt;"",EDATE($D52,Milestones!$AA$181)&gt;=$R52),$U52,$T52)))=Milestones!$AB$181),TEXT(EDATE($D52,Milestones!$AA$181),"dd/mm/yy")&amp;" "&amp;Milestones!$AB$181&amp;" "&amp;Milestones!$AC$181&amp;";  ","")&amp;IF(AND(EDATE($D52,Milestones!$AA$182)&lt;=AsOfDate,IF($Q52=0,$W52,IF(AND($S52&lt;&gt;"",EDATE($D52,Milestones!$AA$182)&gt;=$S52),$V52,IF(AND($R52&lt;&gt;"",EDATE($D52,Milestones!$AA$182)&gt;=$R52),$U52,$T52)))=Milestones!$AB$182),TEXT(EDATE($D52,Milestones!$AA$182),"dd/mm/yy")&amp;" "&amp;Milestones!$AB$182&amp;" "&amp;Milestones!$AC$182&amp;";  ","")&amp;IF(AND(EDATE($D52,Milestones!$AA$183)&lt;=AsOfDate,IF($Q52=0,$W52,IF(AND($S52&lt;&gt;"",EDATE($D52,Milestones!$AA$183)&gt;=$S52),$V52,IF(AND($R52&lt;&gt;"",EDATE($D52,Milestones!$AA$183)&gt;=$R52),$U52,$T52)))=Milestones!$AB$183),TEXT(EDATE($D52,Milestones!$AA$183),"dd/mm/yy")&amp;" "&amp;Milestones!$AB$183&amp;" "&amp;Milestones!$AC$183&amp;";  ","")&amp;IF(AND(EDATE($D52,Milestones!$AA$184)&lt;=AsOfDate,IF($Q52=0,$W52,IF(AND($S52&lt;&gt;"",EDATE($D52,Milestones!$AA$184)&gt;=$S52),$V52,IF(AND($R52&lt;&gt;"",EDATE($D52,Milestones!$AA$184)&gt;=$R52),$U52,$T52)))=Milestones!$AB$184),TEXT(EDATE($D52,Milestones!$AA$184),"dd/mm/yy")&amp;" "&amp;Milestones!$AB$184&amp;" "&amp;Milestones!$AC$184&amp;";  ","")&amp;IF(AND(EDATE($D52,Milestones!$AA$185)&lt;=AsOfDate,IF($Q52=0,$W52,IF(AND($S52&lt;&gt;"",EDATE($D52,Milestones!$AA$185)&gt;=$S52),$V52,IF(AND($R52&lt;&gt;"",EDATE($D52,Milestones!$AA$185)&gt;=$R52),$U52,$T52)))=Milestones!$AB$185),TEXT(EDATE($D52,Milestones!$AA$185),"dd/mm/yy")&amp;" "&amp;Milestones!$AB$185&amp;" "&amp;Milestones!$AC$185&amp;";  ","")&amp;IF(AND(EDATE($D52,Milestones!$AA$186)&lt;=AsOfDate,IF($Q52=0,$W52,IF(AND($S52&lt;&gt;"",EDATE($D52,Milestones!$AA$186)&gt;=$S52),$V52,IF(AND($R52&lt;&gt;"",EDATE($D52,Milestones!$AA$186)&gt;=$R52),$U52,$T52)))=Milestones!$AB$186),TEXT(EDATE($D52,Milestones!$AA$186),"dd/mm/yy")&amp;" "&amp;Milestones!$AB$186&amp;" "&amp;Milestones!$AC$186&amp;";  ","")&amp;IF(AND(EDATE($D52,Milestones!$AA$187)&lt;=AsOfDate,IF($Q52=0,$W52,IF(AND($S52&lt;&gt;"",EDATE($D52,Milestones!$AA$187)&gt;=$S52),$V52,IF(AND($R52&lt;&gt;"",EDATE($D52,Milestones!$AA$187)&gt;=$R52),$U52,$T52)))=Milestones!$AB$187),TEXT(EDATE($D52,Milestones!$AA$187),"dd/mm/yy")&amp;" "&amp;Milestones!$AB$187&amp;" "&amp;Milestones!$AC$187&amp;";  ","")&amp;IF(AND(EDATE($D52,Milestones!$AA$188)&lt;=AsOfDate,IF($Q52=0,$W52,IF(AND($S52&lt;&gt;"",EDATE($D52,Milestones!$AA$188)&gt;=$S52),$V52,IF(AND($R52&lt;&gt;"",EDATE($D52,Milestones!$AA$188)&gt;=$R52),$U52,$T52)))=Milestones!$AB$188),TEXT(EDATE($D52,Milestones!$AA$188),"dd/mm/yy")&amp;" "&amp;Milestones!$AB$188&amp;" "&amp;Milestones!$AC$188&amp;";  ","")&amp;IF(AND(EDATE($D52,Milestones!$AA$189)&lt;=AsOfDate,IF($Q52=0,$W52,IF(AND($S52&lt;&gt;"",EDATE($D52,Milestones!$AA$189)&gt;=$S52),$V52,IF(AND($R52&lt;&gt;"",EDATE($D52,Milestones!$AA$189)&gt;=$R52),$U52,$T52)))=Milestones!$AB$189),TEXT(EDATE($D52,Milestones!$AA$189),"dd/mm/yy")&amp;" "&amp;Milestones!$AB$189&amp;" "&amp;Milestones!$AC$189&amp;";  ","")&amp;IF(AND(EDATE($D52,Milestones!$AA$190)&lt;=AsOfDate,IF($Q52=0,$W52,IF(AND($S52&lt;&gt;"",EDATE($D52,Milestones!$AA$190)&gt;=$S52),$V52,IF(AND($R52&lt;&gt;"",EDATE($D52,Milestones!$AA$190)&gt;=$R52),$U52,$T52)))=Milestones!$AB$190),TEXT(EDATE($D52,Milestones!$AA$190),"dd/mm/yy")&amp;" "&amp;Milestones!$AB$190&amp;" "&amp;Milestones!$AC$190&amp;";  ","")&amp;IF(AND(EDATE($D52,Milestones!$AA$191)&lt;=AsOfDate,IF($Q52=0,$W52,IF(AND($S52&lt;&gt;"",EDATE($D52,Milestones!$AA$191)&gt;=$S52),$V52,IF(AND($R52&lt;&gt;"",EDATE($D52,Milestones!$AA$191)&gt;=$R52),$U52,$T52)))=Milestones!$AB$191),TEXT(EDATE($D52,Milestones!$AA$191),"dd/mm/yy")&amp;" "&amp;Milestones!$AB$191&amp;" "&amp;Milestones!$AC$191&amp;";  ","")&amp;IF(AND(EDATE($D52,Milestones!$AA$192)&lt;=AsOfDate,IF($Q52=0,$W52,IF(AND($S52&lt;&gt;"",EDATE($D52,Milestones!$AA$192)&gt;=$S52),$V52,IF(AND($R52&lt;&gt;"",EDATE($D52,Milestones!$AA$192)&gt;=$R52),$U52,$T52)))=Milestones!$AB$192),TEXT(EDATE($D52,Milestones!$AA$192),"dd/mm/yy")&amp;" "&amp;Milestones!$AB$192&amp;" "&amp;Milestones!$AC$192&amp;";  ","")&amp;IF(AND(EDATE($D52,Milestones!$AA$193)&lt;=AsOfDate,IF($Q52=0,$W52,IF(AND($S52&lt;&gt;"",EDATE($D52,Milestones!$AA$193)&gt;=$S52),$V52,IF(AND($R52&lt;&gt;"",EDATE($D52,Milestones!$AA$193)&gt;=$R52),$U52,$T52)))=Milestones!$AB$193),TEXT(EDATE($D52,Milestones!$AA$193),"dd/mm/yy")&amp;" "&amp;Milestones!$AB$193&amp;" "&amp;Milestones!$AC$193&amp;";  ","")&amp;IF(AND(EDATE($D52,Milestones!$AA$194)&lt;=AsOfDate,IF($Q52=0,$W52,IF(AND($S52&lt;&gt;"",EDATE($D52,Milestones!$AA$194)&gt;=$S52),$V52,IF(AND($R52&lt;&gt;"",EDATE($D52,Milestones!$AA$194)&gt;=$R52),$U52,$T52)))=Milestones!$AB$194),TEXT(EDATE($D52,Milestones!$AA$194),"dd/mm/yy")&amp;" "&amp;Milestones!$AB$194&amp;" "&amp;Milestones!$AC$194&amp;";  ","")&amp;IF(AND(EDATE($D52,Milestones!$AA$195)&lt;=AsOfDate,IF($Q52=0,$W52,IF(AND($S52&lt;&gt;"",EDATE($D52,Milestones!$AA$195)&gt;=$S52),$V52,IF(AND($R52&lt;&gt;"",EDATE($D52,Milestones!$AA$195)&gt;=$R52),$U52,$T52)))=Milestones!$AB$195),TEXT(EDATE($D52,Milestones!$AA$195),"dd/mm/yy")&amp;" "&amp;Milestones!$AB$195&amp;" "&amp;Milestones!$AC$195&amp;";  ","")&amp;IF(AND(EDATE($D52,Milestones!$AA$196)&lt;=AsOfDate,IF($Q52=0,$W52,IF(AND($S52&lt;&gt;"",EDATE($D52,Milestones!$AA$196)&gt;=$S52),$V52,IF(AND($R52&lt;&gt;"",EDATE($D52,Milestones!$AA$196)&gt;=$R52),$U52,$T52)))=Milestones!$AB$196),TEXT(EDATE($D52,Milestones!$AA$196),"dd/mm/yy")&amp;" "&amp;Milestones!$AB$196&amp;" "&amp;Milestones!$AC$196&amp;";  ","")&amp;IF(AND(EDATE($D52,Milestones!$AA$197)&lt;=AsOfDate,IF($Q52=0,$W52,IF(AND($S52&lt;&gt;"",EDATE($D52,Milestones!$AA$197)&gt;=$S52),$V52,IF(AND($R52&lt;&gt;"",EDATE($D52,Milestones!$AA$197)&gt;=$R52),$U52,$T52)))=Milestones!$AB$197),TEXT(EDATE($D52,Milestones!$AA$197),"dd/mm/yy")&amp;" "&amp;Milestones!$AB$197&amp;" "&amp;Milestones!$AC$197&amp;";  ","")&amp;IF(AND(EDATE($D52,Milestones!$AA$198)&lt;=AsOfDate,IF($Q52=0,$W52,IF(AND($S52&lt;&gt;"",EDATE($D52,Milestones!$AA$198)&gt;=$S52),$V52,IF(AND($R52&lt;&gt;"",EDATE($D52,Milestones!$AA$198)&gt;=$R52),$U52,$T52)))=Milestones!$AB$198),TEXT(EDATE($D52,Milestones!$AA$198),"dd/mm/yy")&amp;" "&amp;Milestones!$AB$198&amp;" "&amp;Milestones!$AC$198&amp;";  ","")&amp;IF(AND(EDATE($D52,Milestones!$AA$199)&lt;=AsOfDate,IF($Q52=0,$W52,IF(AND($S52&lt;&gt;"",EDATE($D52,Milestones!$AA$199)&gt;=$S52),$V52,IF(AND($R52&lt;&gt;"",EDATE($D52,Milestones!$AA$199)&gt;=$R52),$U52,$T52)))=Milestones!$AB$199),TEXT(EDATE($D52,Milestones!$AA$199),"dd/mm/yy")&amp;" "&amp;Milestones!$AB$199&amp;" "&amp;Milestones!$AC$199&amp;";  ",""))</f>
        <v/>
      </c>
      <c r="Q52" s="0" t="str">
        <f aca="false">IF(Staff!$A52="","",Staff!$AG52)</f>
        <v/>
      </c>
      <c r="R52" s="0" t="str">
        <f aca="false">IF(Staff!$A52="","",Staff!$AI52)</f>
        <v/>
      </c>
      <c r="S52" s="0" t="str">
        <f aca="false">IF(Staff!$A52="","",Staff!$AJ52)</f>
        <v/>
      </c>
      <c r="T52" s="0" t="str">
        <f aca="false">IF(Staff!$A52="","",Staff!$AN52)</f>
        <v/>
      </c>
      <c r="U52" s="0" t="str">
        <f aca="false">IF(Staff!$A52="","",Staff!$AO52)</f>
        <v/>
      </c>
      <c r="V52" s="0" t="str">
        <f aca="false">IF(Staff!$A52="","",Staff!$AP52)</f>
        <v/>
      </c>
      <c r="W52" s="0" t="str">
        <f aca="false">IF(Staff!$A52="","",Staff!$AQ52)</f>
        <v/>
      </c>
    </row>
    <row r="53" customFormat="false" ht="15" hidden="false" customHeight="false" outlineLevel="0" collapsed="false">
      <c r="A53" s="13" t="str">
        <f aca="false">IF(Staff!$A53="","",Staff!$A53)</f>
        <v/>
      </c>
      <c r="B53" s="13" t="str">
        <f aca="false">IF(Staff!$A53="","",Staff!$B53)</f>
        <v/>
      </c>
      <c r="C53" s="13" t="str">
        <f aca="false">IF(Staff!$A53="","",Staff!$C53)</f>
        <v/>
      </c>
      <c r="D53" s="11" t="str">
        <f aca="false">IF(Staff!$A53="","",Staff!$AF53)</f>
        <v/>
      </c>
      <c r="E53" s="13" t="str">
        <f aca="false">IF(Staff!$A53="","",Staff!$O53)</f>
        <v/>
      </c>
      <c r="F53" s="13" t="str">
        <f aca="false">IF(E53="","",E53*HoursPerDay)</f>
        <v/>
      </c>
      <c r="G53" s="26" t="str">
        <f aca="false">IF($A53="","",H53&amp;I53&amp;J53&amp;K53&amp;L53&amp;M53&amp;N53&amp;O53&amp;P53)</f>
        <v/>
      </c>
      <c r="H53" s="0" t="str">
        <f aca="false">IF(OR($A53="",$D53=""),"",IF(AND(EDATE($D53,Milestones!$AA$20)&lt;=AsOfDate,IF($Q53=0,$W53,IF(AND($S53&lt;&gt;"",EDATE($D53,Milestones!$AA$20)&gt;=$S53),$V53,IF(AND($R53&lt;&gt;"",EDATE($D53,Milestones!$AA$20)&gt;=$R53),$U53,$T53)))=Milestones!$AB$20),TEXT(EDATE($D53,Milestones!$AA$20),"dd/mm/yy")&amp;" "&amp;Milestones!$AB$20&amp;" "&amp;Milestones!$AC$20&amp;";  ","")&amp;IF(AND(EDATE($D53,Milestones!$AA$21)&lt;=AsOfDate,IF($Q53=0,$W53,IF(AND($S53&lt;&gt;"",EDATE($D53,Milestones!$AA$21)&gt;=$S53),$V53,IF(AND($R53&lt;&gt;"",EDATE($D53,Milestones!$AA$21)&gt;=$R53),$U53,$T53)))=Milestones!$AB$21),TEXT(EDATE($D53,Milestones!$AA$21),"dd/mm/yy")&amp;" "&amp;Milestones!$AB$21&amp;" "&amp;Milestones!$AC$21&amp;";  ","")&amp;IF(AND(EDATE($D53,Milestones!$AA$22)&lt;=AsOfDate,IF($Q53=0,$W53,IF(AND($S53&lt;&gt;"",EDATE($D53,Milestones!$AA$22)&gt;=$S53),$V53,IF(AND($R53&lt;&gt;"",EDATE($D53,Milestones!$AA$22)&gt;=$R53),$U53,$T53)))=Milestones!$AB$22),TEXT(EDATE($D53,Milestones!$AA$22),"dd/mm/yy")&amp;" "&amp;Milestones!$AB$22&amp;" "&amp;Milestones!$AC$22&amp;";  ","")&amp;IF(AND(EDATE($D53,Milestones!$AA$23)&lt;=AsOfDate,IF($Q53=0,$W53,IF(AND($S53&lt;&gt;"",EDATE($D53,Milestones!$AA$23)&gt;=$S53),$V53,IF(AND($R53&lt;&gt;"",EDATE($D53,Milestones!$AA$23)&gt;=$R53),$U53,$T53)))=Milestones!$AB$23),TEXT(EDATE($D53,Milestones!$AA$23),"dd/mm/yy")&amp;" "&amp;Milestones!$AB$23&amp;" "&amp;Milestones!$AC$23&amp;";  ","")&amp;IF(AND(EDATE($D53,Milestones!$AA$24)&lt;=AsOfDate,IF($Q53=0,$W53,IF(AND($S53&lt;&gt;"",EDATE($D53,Milestones!$AA$24)&gt;=$S53),$V53,IF(AND($R53&lt;&gt;"",EDATE($D53,Milestones!$AA$24)&gt;=$R53),$U53,$T53)))=Milestones!$AB$24),TEXT(EDATE($D53,Milestones!$AA$24),"dd/mm/yy")&amp;" "&amp;Milestones!$AB$24&amp;" "&amp;Milestones!$AC$24&amp;";  ","")&amp;IF(AND(EDATE($D53,Milestones!$AA$25)&lt;=AsOfDate,IF($Q53=0,$W53,IF(AND($S53&lt;&gt;"",EDATE($D53,Milestones!$AA$25)&gt;=$S53),$V53,IF(AND($R53&lt;&gt;"",EDATE($D53,Milestones!$AA$25)&gt;=$R53),$U53,$T53)))=Milestones!$AB$25),TEXT(EDATE($D53,Milestones!$AA$25),"dd/mm/yy")&amp;" "&amp;Milestones!$AB$25&amp;" "&amp;Milestones!$AC$25&amp;";  ","")&amp;IF(AND(EDATE($D53,Milestones!$AA$26)&lt;=AsOfDate,IF($Q53=0,$W53,IF(AND($S53&lt;&gt;"",EDATE($D53,Milestones!$AA$26)&gt;=$S53),$V53,IF(AND($R53&lt;&gt;"",EDATE($D53,Milestones!$AA$26)&gt;=$R53),$U53,$T53)))=Milestones!$AB$26),TEXT(EDATE($D53,Milestones!$AA$26),"dd/mm/yy")&amp;" "&amp;Milestones!$AB$26&amp;" "&amp;Milestones!$AC$26&amp;";  ","")&amp;IF(AND(EDATE($D53,Milestones!$AA$27)&lt;=AsOfDate,IF($Q53=0,$W53,IF(AND($S53&lt;&gt;"",EDATE($D53,Milestones!$AA$27)&gt;=$S53),$V53,IF(AND($R53&lt;&gt;"",EDATE($D53,Milestones!$AA$27)&gt;=$R53),$U53,$T53)))=Milestones!$AB$27),TEXT(EDATE($D53,Milestones!$AA$27),"dd/mm/yy")&amp;" "&amp;Milestones!$AB$27&amp;" "&amp;Milestones!$AC$27&amp;";  ","")&amp;IF(AND(EDATE($D53,Milestones!$AA$28)&lt;=AsOfDate,IF($Q53=0,$W53,IF(AND($S53&lt;&gt;"",EDATE($D53,Milestones!$AA$28)&gt;=$S53),$V53,IF(AND($R53&lt;&gt;"",EDATE($D53,Milestones!$AA$28)&gt;=$R53),$U53,$T53)))=Milestones!$AB$28),TEXT(EDATE($D53,Milestones!$AA$28),"dd/mm/yy")&amp;" "&amp;Milestones!$AB$28&amp;" "&amp;Milestones!$AC$28&amp;";  ","")&amp;IF(AND(EDATE($D53,Milestones!$AA$29)&lt;=AsOfDate,IF($Q53=0,$W53,IF(AND($S53&lt;&gt;"",EDATE($D53,Milestones!$AA$29)&gt;=$S53),$V53,IF(AND($R53&lt;&gt;"",EDATE($D53,Milestones!$AA$29)&gt;=$R53),$U53,$T53)))=Milestones!$AB$29),TEXT(EDATE($D53,Milestones!$AA$29),"dd/mm/yy")&amp;" "&amp;Milestones!$AB$29&amp;" "&amp;Milestones!$AC$29&amp;";  ","")&amp;IF(AND(EDATE($D53,Milestones!$AA$30)&lt;=AsOfDate,IF($Q53=0,$W53,IF(AND($S53&lt;&gt;"",EDATE($D53,Milestones!$AA$30)&gt;=$S53),$V53,IF(AND($R53&lt;&gt;"",EDATE($D53,Milestones!$AA$30)&gt;=$R53),$U53,$T53)))=Milestones!$AB$30),TEXT(EDATE($D53,Milestones!$AA$30),"dd/mm/yy")&amp;" "&amp;Milestones!$AB$30&amp;" "&amp;Milestones!$AC$30&amp;";  ","")&amp;IF(AND(EDATE($D53,Milestones!$AA$31)&lt;=AsOfDate,IF($Q53=0,$W53,IF(AND($S53&lt;&gt;"",EDATE($D53,Milestones!$AA$31)&gt;=$S53),$V53,IF(AND($R53&lt;&gt;"",EDATE($D53,Milestones!$AA$31)&gt;=$R53),$U53,$T53)))=Milestones!$AB$31),TEXT(EDATE($D53,Milestones!$AA$31),"dd/mm/yy")&amp;" "&amp;Milestones!$AB$31&amp;" "&amp;Milestones!$AC$31&amp;";  ","")&amp;IF(AND(EDATE($D53,Milestones!$AA$32)&lt;=AsOfDate,IF($Q53=0,$W53,IF(AND($S53&lt;&gt;"",EDATE($D53,Milestones!$AA$32)&gt;=$S53),$V53,IF(AND($R53&lt;&gt;"",EDATE($D53,Milestones!$AA$32)&gt;=$R53),$U53,$T53)))=Milestones!$AB$32),TEXT(EDATE($D53,Milestones!$AA$32),"dd/mm/yy")&amp;" "&amp;Milestones!$AB$32&amp;" "&amp;Milestones!$AC$32&amp;";  ","")&amp;IF(AND(EDATE($D53,Milestones!$AA$33)&lt;=AsOfDate,IF($Q53=0,$W53,IF(AND($S53&lt;&gt;"",EDATE($D53,Milestones!$AA$33)&gt;=$S53),$V53,IF(AND($R53&lt;&gt;"",EDATE($D53,Milestones!$AA$33)&gt;=$R53),$U53,$T53)))=Milestones!$AB$33),TEXT(EDATE($D53,Milestones!$AA$33),"dd/mm/yy")&amp;" "&amp;Milestones!$AB$33&amp;" "&amp;Milestones!$AC$33&amp;";  ","")&amp;IF(AND(EDATE($D53,Milestones!$AA$34)&lt;=AsOfDate,IF($Q53=0,$W53,IF(AND($S53&lt;&gt;"",EDATE($D53,Milestones!$AA$34)&gt;=$S53),$V53,IF(AND($R53&lt;&gt;"",EDATE($D53,Milestones!$AA$34)&gt;=$R53),$U53,$T53)))=Milestones!$AB$34),TEXT(EDATE($D53,Milestones!$AA$34),"dd/mm/yy")&amp;" "&amp;Milestones!$AB$34&amp;" "&amp;Milestones!$AC$34&amp;";  ","")&amp;IF(AND(EDATE($D53,Milestones!$AA$35)&lt;=AsOfDate,IF($Q53=0,$W53,IF(AND($S53&lt;&gt;"",EDATE($D53,Milestones!$AA$35)&gt;=$S53),$V53,IF(AND($R53&lt;&gt;"",EDATE($D53,Milestones!$AA$35)&gt;=$R53),$U53,$T53)))=Milestones!$AB$35),TEXT(EDATE($D53,Milestones!$AA$35),"dd/mm/yy")&amp;" "&amp;Milestones!$AB$35&amp;" "&amp;Milestones!$AC$35&amp;";  ","")&amp;IF(AND(EDATE($D53,Milestones!$AA$36)&lt;=AsOfDate,IF($Q53=0,$W53,IF(AND($S53&lt;&gt;"",EDATE($D53,Milestones!$AA$36)&gt;=$S53),$V53,IF(AND($R53&lt;&gt;"",EDATE($D53,Milestones!$AA$36)&gt;=$R53),$U53,$T53)))=Milestones!$AB$36),TEXT(EDATE($D53,Milestones!$AA$36),"dd/mm/yy")&amp;" "&amp;Milestones!$AB$36&amp;" "&amp;Milestones!$AC$36&amp;";  ","")&amp;IF(AND(EDATE($D53,Milestones!$AA$37)&lt;=AsOfDate,IF($Q53=0,$W53,IF(AND($S53&lt;&gt;"",EDATE($D53,Milestones!$AA$37)&gt;=$S53),$V53,IF(AND($R53&lt;&gt;"",EDATE($D53,Milestones!$AA$37)&gt;=$R53),$U53,$T53)))=Milestones!$AB$37),TEXT(EDATE($D53,Milestones!$AA$37),"dd/mm/yy")&amp;" "&amp;Milestones!$AB$37&amp;" "&amp;Milestones!$AC$37&amp;";  ","")&amp;IF(AND(EDATE($D53,Milestones!$AA$38)&lt;=AsOfDate,IF($Q53=0,$W53,IF(AND($S53&lt;&gt;"",EDATE($D53,Milestones!$AA$38)&gt;=$S53),$V53,IF(AND($R53&lt;&gt;"",EDATE($D53,Milestones!$AA$38)&gt;=$R53),$U53,$T53)))=Milestones!$AB$38),TEXT(EDATE($D53,Milestones!$AA$38),"dd/mm/yy")&amp;" "&amp;Milestones!$AB$38&amp;" "&amp;Milestones!$AC$38&amp;";  ","")&amp;IF(AND(EDATE($D53,Milestones!$AA$39)&lt;=AsOfDate,IF($Q53=0,$W53,IF(AND($S53&lt;&gt;"",EDATE($D53,Milestones!$AA$39)&gt;=$S53),$V53,IF(AND($R53&lt;&gt;"",EDATE($D53,Milestones!$AA$39)&gt;=$R53),$U53,$T53)))=Milestones!$AB$39),TEXT(EDATE($D53,Milestones!$AA$39),"dd/mm/yy")&amp;" "&amp;Milestones!$AB$39&amp;" "&amp;Milestones!$AC$39&amp;";  ",""))</f>
        <v/>
      </c>
      <c r="I53" s="0" t="str">
        <f aca="false">IF(OR($A53="",$D53=""),"",IF(AND(EDATE($D53,Milestones!$AA$40)&lt;=AsOfDate,IF($Q53=0,$W53,IF(AND($S53&lt;&gt;"",EDATE($D53,Milestones!$AA$40)&gt;=$S53),$V53,IF(AND($R53&lt;&gt;"",EDATE($D53,Milestones!$AA$40)&gt;=$R53),$U53,$T53)))=Milestones!$AB$40),TEXT(EDATE($D53,Milestones!$AA$40),"dd/mm/yy")&amp;" "&amp;Milestones!$AB$40&amp;" "&amp;Milestones!$AC$40&amp;";  ","")&amp;IF(AND(EDATE($D53,Milestones!$AA$41)&lt;=AsOfDate,IF($Q53=0,$W53,IF(AND($S53&lt;&gt;"",EDATE($D53,Milestones!$AA$41)&gt;=$S53),$V53,IF(AND($R53&lt;&gt;"",EDATE($D53,Milestones!$AA$41)&gt;=$R53),$U53,$T53)))=Milestones!$AB$41),TEXT(EDATE($D53,Milestones!$AA$41),"dd/mm/yy")&amp;" "&amp;Milestones!$AB$41&amp;" "&amp;Milestones!$AC$41&amp;";  ","")&amp;IF(AND(EDATE($D53,Milestones!$AA$42)&lt;=AsOfDate,IF($Q53=0,$W53,IF(AND($S53&lt;&gt;"",EDATE($D53,Milestones!$AA$42)&gt;=$S53),$V53,IF(AND($R53&lt;&gt;"",EDATE($D53,Milestones!$AA$42)&gt;=$R53),$U53,$T53)))=Milestones!$AB$42),TEXT(EDATE($D53,Milestones!$AA$42),"dd/mm/yy")&amp;" "&amp;Milestones!$AB$42&amp;" "&amp;Milestones!$AC$42&amp;";  ","")&amp;IF(AND(EDATE($D53,Milestones!$AA$43)&lt;=AsOfDate,IF($Q53=0,$W53,IF(AND($S53&lt;&gt;"",EDATE($D53,Milestones!$AA$43)&gt;=$S53),$V53,IF(AND($R53&lt;&gt;"",EDATE($D53,Milestones!$AA$43)&gt;=$R53),$U53,$T53)))=Milestones!$AB$43),TEXT(EDATE($D53,Milestones!$AA$43),"dd/mm/yy")&amp;" "&amp;Milestones!$AB$43&amp;" "&amp;Milestones!$AC$43&amp;";  ","")&amp;IF(AND(EDATE($D53,Milestones!$AA$44)&lt;=AsOfDate,IF($Q53=0,$W53,IF(AND($S53&lt;&gt;"",EDATE($D53,Milestones!$AA$44)&gt;=$S53),$V53,IF(AND($R53&lt;&gt;"",EDATE($D53,Milestones!$AA$44)&gt;=$R53),$U53,$T53)))=Milestones!$AB$44),TEXT(EDATE($D53,Milestones!$AA$44),"dd/mm/yy")&amp;" "&amp;Milestones!$AB$44&amp;" "&amp;Milestones!$AC$44&amp;";  ","")&amp;IF(AND(EDATE($D53,Milestones!$AA$45)&lt;=AsOfDate,IF($Q53=0,$W53,IF(AND($S53&lt;&gt;"",EDATE($D53,Milestones!$AA$45)&gt;=$S53),$V53,IF(AND($R53&lt;&gt;"",EDATE($D53,Milestones!$AA$45)&gt;=$R53),$U53,$T53)))=Milestones!$AB$45),TEXT(EDATE($D53,Milestones!$AA$45),"dd/mm/yy")&amp;" "&amp;Milestones!$AB$45&amp;" "&amp;Milestones!$AC$45&amp;";  ","")&amp;IF(AND(EDATE($D53,Milestones!$AA$46)&lt;=AsOfDate,IF($Q53=0,$W53,IF(AND($S53&lt;&gt;"",EDATE($D53,Milestones!$AA$46)&gt;=$S53),$V53,IF(AND($R53&lt;&gt;"",EDATE($D53,Milestones!$AA$46)&gt;=$R53),$U53,$T53)))=Milestones!$AB$46),TEXT(EDATE($D53,Milestones!$AA$46),"dd/mm/yy")&amp;" "&amp;Milestones!$AB$46&amp;" "&amp;Milestones!$AC$46&amp;";  ","")&amp;IF(AND(EDATE($D53,Milestones!$AA$47)&lt;=AsOfDate,IF($Q53=0,$W53,IF(AND($S53&lt;&gt;"",EDATE($D53,Milestones!$AA$47)&gt;=$S53),$V53,IF(AND($R53&lt;&gt;"",EDATE($D53,Milestones!$AA$47)&gt;=$R53),$U53,$T53)))=Milestones!$AB$47),TEXT(EDATE($D53,Milestones!$AA$47),"dd/mm/yy")&amp;" "&amp;Milestones!$AB$47&amp;" "&amp;Milestones!$AC$47&amp;";  ","")&amp;IF(AND(EDATE($D53,Milestones!$AA$48)&lt;=AsOfDate,IF($Q53=0,$W53,IF(AND($S53&lt;&gt;"",EDATE($D53,Milestones!$AA$48)&gt;=$S53),$V53,IF(AND($R53&lt;&gt;"",EDATE($D53,Milestones!$AA$48)&gt;=$R53),$U53,$T53)))=Milestones!$AB$48),TEXT(EDATE($D53,Milestones!$AA$48),"dd/mm/yy")&amp;" "&amp;Milestones!$AB$48&amp;" "&amp;Milestones!$AC$48&amp;";  ","")&amp;IF(AND(EDATE($D53,Milestones!$AA$49)&lt;=AsOfDate,IF($Q53=0,$W53,IF(AND($S53&lt;&gt;"",EDATE($D53,Milestones!$AA$49)&gt;=$S53),$V53,IF(AND($R53&lt;&gt;"",EDATE($D53,Milestones!$AA$49)&gt;=$R53),$U53,$T53)))=Milestones!$AB$49),TEXT(EDATE($D53,Milestones!$AA$49),"dd/mm/yy")&amp;" "&amp;Milestones!$AB$49&amp;" "&amp;Milestones!$AC$49&amp;";  ","")&amp;IF(AND(EDATE($D53,Milestones!$AA$50)&lt;=AsOfDate,IF($Q53=0,$W53,IF(AND($S53&lt;&gt;"",EDATE($D53,Milestones!$AA$50)&gt;=$S53),$V53,IF(AND($R53&lt;&gt;"",EDATE($D53,Milestones!$AA$50)&gt;=$R53),$U53,$T53)))=Milestones!$AB$50),TEXT(EDATE($D53,Milestones!$AA$50),"dd/mm/yy")&amp;" "&amp;Milestones!$AB$50&amp;" "&amp;Milestones!$AC$50&amp;";  ","")&amp;IF(AND(EDATE($D53,Milestones!$AA$51)&lt;=AsOfDate,IF($Q53=0,$W53,IF(AND($S53&lt;&gt;"",EDATE($D53,Milestones!$AA$51)&gt;=$S53),$V53,IF(AND($R53&lt;&gt;"",EDATE($D53,Milestones!$AA$51)&gt;=$R53),$U53,$T53)))=Milestones!$AB$51),TEXT(EDATE($D53,Milestones!$AA$51),"dd/mm/yy")&amp;" "&amp;Milestones!$AB$51&amp;" "&amp;Milestones!$AC$51&amp;";  ","")&amp;IF(AND(EDATE($D53,Milestones!$AA$52)&lt;=AsOfDate,IF($Q53=0,$W53,IF(AND($S53&lt;&gt;"",EDATE($D53,Milestones!$AA$52)&gt;=$S53),$V53,IF(AND($R53&lt;&gt;"",EDATE($D53,Milestones!$AA$52)&gt;=$R53),$U53,$T53)))=Milestones!$AB$52),TEXT(EDATE($D53,Milestones!$AA$52),"dd/mm/yy")&amp;" "&amp;Milestones!$AB$52&amp;" "&amp;Milestones!$AC$52&amp;";  ","")&amp;IF(AND(EDATE($D53,Milestones!$AA$53)&lt;=AsOfDate,IF($Q53=0,$W53,IF(AND($S53&lt;&gt;"",EDATE($D53,Milestones!$AA$53)&gt;=$S53),$V53,IF(AND($R53&lt;&gt;"",EDATE($D53,Milestones!$AA$53)&gt;=$R53),$U53,$T53)))=Milestones!$AB$53),TEXT(EDATE($D53,Milestones!$AA$53),"dd/mm/yy")&amp;" "&amp;Milestones!$AB$53&amp;" "&amp;Milestones!$AC$53&amp;";  ","")&amp;IF(AND(EDATE($D53,Milestones!$AA$54)&lt;=AsOfDate,IF($Q53=0,$W53,IF(AND($S53&lt;&gt;"",EDATE($D53,Milestones!$AA$54)&gt;=$S53),$V53,IF(AND($R53&lt;&gt;"",EDATE($D53,Milestones!$AA$54)&gt;=$R53),$U53,$T53)))=Milestones!$AB$54),TEXT(EDATE($D53,Milestones!$AA$54),"dd/mm/yy")&amp;" "&amp;Milestones!$AB$54&amp;" "&amp;Milestones!$AC$54&amp;";  ","")&amp;IF(AND(EDATE($D53,Milestones!$AA$55)&lt;=AsOfDate,IF($Q53=0,$W53,IF(AND($S53&lt;&gt;"",EDATE($D53,Milestones!$AA$55)&gt;=$S53),$V53,IF(AND($R53&lt;&gt;"",EDATE($D53,Milestones!$AA$55)&gt;=$R53),$U53,$T53)))=Milestones!$AB$55),TEXT(EDATE($D53,Milestones!$AA$55),"dd/mm/yy")&amp;" "&amp;Milestones!$AB$55&amp;" "&amp;Milestones!$AC$55&amp;";  ","")&amp;IF(AND(EDATE($D53,Milestones!$AA$56)&lt;=AsOfDate,IF($Q53=0,$W53,IF(AND($S53&lt;&gt;"",EDATE($D53,Milestones!$AA$56)&gt;=$S53),$V53,IF(AND($R53&lt;&gt;"",EDATE($D53,Milestones!$AA$56)&gt;=$R53),$U53,$T53)))=Milestones!$AB$56),TEXT(EDATE($D53,Milestones!$AA$56),"dd/mm/yy")&amp;" "&amp;Milestones!$AB$56&amp;" "&amp;Milestones!$AC$56&amp;";  ","")&amp;IF(AND(EDATE($D53,Milestones!$AA$57)&lt;=AsOfDate,IF($Q53=0,$W53,IF(AND($S53&lt;&gt;"",EDATE($D53,Milestones!$AA$57)&gt;=$S53),$V53,IF(AND($R53&lt;&gt;"",EDATE($D53,Milestones!$AA$57)&gt;=$R53),$U53,$T53)))=Milestones!$AB$57),TEXT(EDATE($D53,Milestones!$AA$57),"dd/mm/yy")&amp;" "&amp;Milestones!$AB$57&amp;" "&amp;Milestones!$AC$57&amp;";  ","")&amp;IF(AND(EDATE($D53,Milestones!$AA$58)&lt;=AsOfDate,IF($Q53=0,$W53,IF(AND($S53&lt;&gt;"",EDATE($D53,Milestones!$AA$58)&gt;=$S53),$V53,IF(AND($R53&lt;&gt;"",EDATE($D53,Milestones!$AA$58)&gt;=$R53),$U53,$T53)))=Milestones!$AB$58),TEXT(EDATE($D53,Milestones!$AA$58),"dd/mm/yy")&amp;" "&amp;Milestones!$AB$58&amp;" "&amp;Milestones!$AC$58&amp;";  ","")&amp;IF(AND(EDATE($D53,Milestones!$AA$59)&lt;=AsOfDate,IF($Q53=0,$W53,IF(AND($S53&lt;&gt;"",EDATE($D53,Milestones!$AA$59)&gt;=$S53),$V53,IF(AND($R53&lt;&gt;"",EDATE($D53,Milestones!$AA$59)&gt;=$R53),$U53,$T53)))=Milestones!$AB$59),TEXT(EDATE($D53,Milestones!$AA$59),"dd/mm/yy")&amp;" "&amp;Milestones!$AB$59&amp;" "&amp;Milestones!$AC$59&amp;";  ",""))</f>
        <v/>
      </c>
      <c r="J53" s="0" t="str">
        <f aca="false">IF(OR($A53="",$D53=""),"",IF(AND(EDATE($D53,Milestones!$AA$60)&lt;=AsOfDate,IF($Q53=0,$W53,IF(AND($S53&lt;&gt;"",EDATE($D53,Milestones!$AA$60)&gt;=$S53),$V53,IF(AND($R53&lt;&gt;"",EDATE($D53,Milestones!$AA$60)&gt;=$R53),$U53,$T53)))=Milestones!$AB$60),TEXT(EDATE($D53,Milestones!$AA$60),"dd/mm/yy")&amp;" "&amp;Milestones!$AB$60&amp;" "&amp;Milestones!$AC$60&amp;";  ","")&amp;IF(AND(EDATE($D53,Milestones!$AA$61)&lt;=AsOfDate,IF($Q53=0,$W53,IF(AND($S53&lt;&gt;"",EDATE($D53,Milestones!$AA$61)&gt;=$S53),$V53,IF(AND($R53&lt;&gt;"",EDATE($D53,Milestones!$AA$61)&gt;=$R53),$U53,$T53)))=Milestones!$AB$61),TEXT(EDATE($D53,Milestones!$AA$61),"dd/mm/yy")&amp;" "&amp;Milestones!$AB$61&amp;" "&amp;Milestones!$AC$61&amp;";  ","")&amp;IF(AND(EDATE($D53,Milestones!$AA$62)&lt;=AsOfDate,IF($Q53=0,$W53,IF(AND($S53&lt;&gt;"",EDATE($D53,Milestones!$AA$62)&gt;=$S53),$V53,IF(AND($R53&lt;&gt;"",EDATE($D53,Milestones!$AA$62)&gt;=$R53),$U53,$T53)))=Milestones!$AB$62),TEXT(EDATE($D53,Milestones!$AA$62),"dd/mm/yy")&amp;" "&amp;Milestones!$AB$62&amp;" "&amp;Milestones!$AC$62&amp;";  ","")&amp;IF(AND(EDATE($D53,Milestones!$AA$63)&lt;=AsOfDate,IF($Q53=0,$W53,IF(AND($S53&lt;&gt;"",EDATE($D53,Milestones!$AA$63)&gt;=$S53),$V53,IF(AND($R53&lt;&gt;"",EDATE($D53,Milestones!$AA$63)&gt;=$R53),$U53,$T53)))=Milestones!$AB$63),TEXT(EDATE($D53,Milestones!$AA$63),"dd/mm/yy")&amp;" "&amp;Milestones!$AB$63&amp;" "&amp;Milestones!$AC$63&amp;";  ","")&amp;IF(AND(EDATE($D53,Milestones!$AA$64)&lt;=AsOfDate,IF($Q53=0,$W53,IF(AND($S53&lt;&gt;"",EDATE($D53,Milestones!$AA$64)&gt;=$S53),$V53,IF(AND($R53&lt;&gt;"",EDATE($D53,Milestones!$AA$64)&gt;=$R53),$U53,$T53)))=Milestones!$AB$64),TEXT(EDATE($D53,Milestones!$AA$64),"dd/mm/yy")&amp;" "&amp;Milestones!$AB$64&amp;" "&amp;Milestones!$AC$64&amp;";  ","")&amp;IF(AND(EDATE($D53,Milestones!$AA$65)&lt;=AsOfDate,IF($Q53=0,$W53,IF(AND($S53&lt;&gt;"",EDATE($D53,Milestones!$AA$65)&gt;=$S53),$V53,IF(AND($R53&lt;&gt;"",EDATE($D53,Milestones!$AA$65)&gt;=$R53),$U53,$T53)))=Milestones!$AB$65),TEXT(EDATE($D53,Milestones!$AA$65),"dd/mm/yy")&amp;" "&amp;Milestones!$AB$65&amp;" "&amp;Milestones!$AC$65&amp;";  ","")&amp;IF(AND(EDATE($D53,Milestones!$AA$66)&lt;=AsOfDate,IF($Q53=0,$W53,IF(AND($S53&lt;&gt;"",EDATE($D53,Milestones!$AA$66)&gt;=$S53),$V53,IF(AND($R53&lt;&gt;"",EDATE($D53,Milestones!$AA$66)&gt;=$R53),$U53,$T53)))=Milestones!$AB$66),TEXT(EDATE($D53,Milestones!$AA$66),"dd/mm/yy")&amp;" "&amp;Milestones!$AB$66&amp;" "&amp;Milestones!$AC$66&amp;";  ","")&amp;IF(AND(EDATE($D53,Milestones!$AA$67)&lt;=AsOfDate,IF($Q53=0,$W53,IF(AND($S53&lt;&gt;"",EDATE($D53,Milestones!$AA$67)&gt;=$S53),$V53,IF(AND($R53&lt;&gt;"",EDATE($D53,Milestones!$AA$67)&gt;=$R53),$U53,$T53)))=Milestones!$AB$67),TEXT(EDATE($D53,Milestones!$AA$67),"dd/mm/yy")&amp;" "&amp;Milestones!$AB$67&amp;" "&amp;Milestones!$AC$67&amp;";  ","")&amp;IF(AND(EDATE($D53,Milestones!$AA$68)&lt;=AsOfDate,IF($Q53=0,$W53,IF(AND($S53&lt;&gt;"",EDATE($D53,Milestones!$AA$68)&gt;=$S53),$V53,IF(AND($R53&lt;&gt;"",EDATE($D53,Milestones!$AA$68)&gt;=$R53),$U53,$T53)))=Milestones!$AB$68),TEXT(EDATE($D53,Milestones!$AA$68),"dd/mm/yy")&amp;" "&amp;Milestones!$AB$68&amp;" "&amp;Milestones!$AC$68&amp;";  ","")&amp;IF(AND(EDATE($D53,Milestones!$AA$69)&lt;=AsOfDate,IF($Q53=0,$W53,IF(AND($S53&lt;&gt;"",EDATE($D53,Milestones!$AA$69)&gt;=$S53),$V53,IF(AND($R53&lt;&gt;"",EDATE($D53,Milestones!$AA$69)&gt;=$R53),$U53,$T53)))=Milestones!$AB$69),TEXT(EDATE($D53,Milestones!$AA$69),"dd/mm/yy")&amp;" "&amp;Milestones!$AB$69&amp;" "&amp;Milestones!$AC$69&amp;";  ","")&amp;IF(AND(EDATE($D53,Milestones!$AA$70)&lt;=AsOfDate,IF($Q53=0,$W53,IF(AND($S53&lt;&gt;"",EDATE($D53,Milestones!$AA$70)&gt;=$S53),$V53,IF(AND($R53&lt;&gt;"",EDATE($D53,Milestones!$AA$70)&gt;=$R53),$U53,$T53)))=Milestones!$AB$70),TEXT(EDATE($D53,Milestones!$AA$70),"dd/mm/yy")&amp;" "&amp;Milestones!$AB$70&amp;" "&amp;Milestones!$AC$70&amp;";  ","")&amp;IF(AND(EDATE($D53,Milestones!$AA$71)&lt;=AsOfDate,IF($Q53=0,$W53,IF(AND($S53&lt;&gt;"",EDATE($D53,Milestones!$AA$71)&gt;=$S53),$V53,IF(AND($R53&lt;&gt;"",EDATE($D53,Milestones!$AA$71)&gt;=$R53),$U53,$T53)))=Milestones!$AB$71),TEXT(EDATE($D53,Milestones!$AA$71),"dd/mm/yy")&amp;" "&amp;Milestones!$AB$71&amp;" "&amp;Milestones!$AC$71&amp;";  ","")&amp;IF(AND(EDATE($D53,Milestones!$AA$72)&lt;=AsOfDate,IF($Q53=0,$W53,IF(AND($S53&lt;&gt;"",EDATE($D53,Milestones!$AA$72)&gt;=$S53),$V53,IF(AND($R53&lt;&gt;"",EDATE($D53,Milestones!$AA$72)&gt;=$R53),$U53,$T53)))=Milestones!$AB$72),TEXT(EDATE($D53,Milestones!$AA$72),"dd/mm/yy")&amp;" "&amp;Milestones!$AB$72&amp;" "&amp;Milestones!$AC$72&amp;";  ","")&amp;IF(AND(EDATE($D53,Milestones!$AA$73)&lt;=AsOfDate,IF($Q53=0,$W53,IF(AND($S53&lt;&gt;"",EDATE($D53,Milestones!$AA$73)&gt;=$S53),$V53,IF(AND($R53&lt;&gt;"",EDATE($D53,Milestones!$AA$73)&gt;=$R53),$U53,$T53)))=Milestones!$AB$73),TEXT(EDATE($D53,Milestones!$AA$73),"dd/mm/yy")&amp;" "&amp;Milestones!$AB$73&amp;" "&amp;Milestones!$AC$73&amp;";  ","")&amp;IF(AND(EDATE($D53,Milestones!$AA$74)&lt;=AsOfDate,IF($Q53=0,$W53,IF(AND($S53&lt;&gt;"",EDATE($D53,Milestones!$AA$74)&gt;=$S53),$V53,IF(AND($R53&lt;&gt;"",EDATE($D53,Milestones!$AA$74)&gt;=$R53),$U53,$T53)))=Milestones!$AB$74),TEXT(EDATE($D53,Milestones!$AA$74),"dd/mm/yy")&amp;" "&amp;Milestones!$AB$74&amp;" "&amp;Milestones!$AC$74&amp;";  ","")&amp;IF(AND(EDATE($D53,Milestones!$AA$75)&lt;=AsOfDate,IF($Q53=0,$W53,IF(AND($S53&lt;&gt;"",EDATE($D53,Milestones!$AA$75)&gt;=$S53),$V53,IF(AND($R53&lt;&gt;"",EDATE($D53,Milestones!$AA$75)&gt;=$R53),$U53,$T53)))=Milestones!$AB$75),TEXT(EDATE($D53,Milestones!$AA$75),"dd/mm/yy")&amp;" "&amp;Milestones!$AB$75&amp;" "&amp;Milestones!$AC$75&amp;";  ","")&amp;IF(AND(EDATE($D53,Milestones!$AA$76)&lt;=AsOfDate,IF($Q53=0,$W53,IF(AND($S53&lt;&gt;"",EDATE($D53,Milestones!$AA$76)&gt;=$S53),$V53,IF(AND($R53&lt;&gt;"",EDATE($D53,Milestones!$AA$76)&gt;=$R53),$U53,$T53)))=Milestones!$AB$76),TEXT(EDATE($D53,Milestones!$AA$76),"dd/mm/yy")&amp;" "&amp;Milestones!$AB$76&amp;" "&amp;Milestones!$AC$76&amp;";  ","")&amp;IF(AND(EDATE($D53,Milestones!$AA$77)&lt;=AsOfDate,IF($Q53=0,$W53,IF(AND($S53&lt;&gt;"",EDATE($D53,Milestones!$AA$77)&gt;=$S53),$V53,IF(AND($R53&lt;&gt;"",EDATE($D53,Milestones!$AA$77)&gt;=$R53),$U53,$T53)))=Milestones!$AB$77),TEXT(EDATE($D53,Milestones!$AA$77),"dd/mm/yy")&amp;" "&amp;Milestones!$AB$77&amp;" "&amp;Milestones!$AC$77&amp;";  ","")&amp;IF(AND(EDATE($D53,Milestones!$AA$78)&lt;=AsOfDate,IF($Q53=0,$W53,IF(AND($S53&lt;&gt;"",EDATE($D53,Milestones!$AA$78)&gt;=$S53),$V53,IF(AND($R53&lt;&gt;"",EDATE($D53,Milestones!$AA$78)&gt;=$R53),$U53,$T53)))=Milestones!$AB$78),TEXT(EDATE($D53,Milestones!$AA$78),"dd/mm/yy")&amp;" "&amp;Milestones!$AB$78&amp;" "&amp;Milestones!$AC$78&amp;";  ","")&amp;IF(AND(EDATE($D53,Milestones!$AA$79)&lt;=AsOfDate,IF($Q53=0,$W53,IF(AND($S53&lt;&gt;"",EDATE($D53,Milestones!$AA$79)&gt;=$S53),$V53,IF(AND($R53&lt;&gt;"",EDATE($D53,Milestones!$AA$79)&gt;=$R53),$U53,$T53)))=Milestones!$AB$79),TEXT(EDATE($D53,Milestones!$AA$79),"dd/mm/yy")&amp;" "&amp;Milestones!$AB$79&amp;" "&amp;Milestones!$AC$79&amp;";  ",""))</f>
        <v/>
      </c>
      <c r="K53" s="0" t="str">
        <f aca="false">IF(OR($A53="",$D53=""),"",IF(AND(EDATE($D53,Milestones!$AA$80)&lt;=AsOfDate,IF($Q53=0,$W53,IF(AND($S53&lt;&gt;"",EDATE($D53,Milestones!$AA$80)&gt;=$S53),$V53,IF(AND($R53&lt;&gt;"",EDATE($D53,Milestones!$AA$80)&gt;=$R53),$U53,$T53)))=Milestones!$AB$80),TEXT(EDATE($D53,Milestones!$AA$80),"dd/mm/yy")&amp;" "&amp;Milestones!$AB$80&amp;" "&amp;Milestones!$AC$80&amp;";  ","")&amp;IF(AND(EDATE($D53,Milestones!$AA$81)&lt;=AsOfDate,IF($Q53=0,$W53,IF(AND($S53&lt;&gt;"",EDATE($D53,Milestones!$AA$81)&gt;=$S53),$V53,IF(AND($R53&lt;&gt;"",EDATE($D53,Milestones!$AA$81)&gt;=$R53),$U53,$T53)))=Milestones!$AB$81),TEXT(EDATE($D53,Milestones!$AA$81),"dd/mm/yy")&amp;" "&amp;Milestones!$AB$81&amp;" "&amp;Milestones!$AC$81&amp;";  ","")&amp;IF(AND(EDATE($D53,Milestones!$AA$82)&lt;=AsOfDate,IF($Q53=0,$W53,IF(AND($S53&lt;&gt;"",EDATE($D53,Milestones!$AA$82)&gt;=$S53),$V53,IF(AND($R53&lt;&gt;"",EDATE($D53,Milestones!$AA$82)&gt;=$R53),$U53,$T53)))=Milestones!$AB$82),TEXT(EDATE($D53,Milestones!$AA$82),"dd/mm/yy")&amp;" "&amp;Milestones!$AB$82&amp;" "&amp;Milestones!$AC$82&amp;";  ","")&amp;IF(AND(EDATE($D53,Milestones!$AA$83)&lt;=AsOfDate,IF($Q53=0,$W53,IF(AND($S53&lt;&gt;"",EDATE($D53,Milestones!$AA$83)&gt;=$S53),$V53,IF(AND($R53&lt;&gt;"",EDATE($D53,Milestones!$AA$83)&gt;=$R53),$U53,$T53)))=Milestones!$AB$83),TEXT(EDATE($D53,Milestones!$AA$83),"dd/mm/yy")&amp;" "&amp;Milestones!$AB$83&amp;" "&amp;Milestones!$AC$83&amp;";  ","")&amp;IF(AND(EDATE($D53,Milestones!$AA$84)&lt;=AsOfDate,IF($Q53=0,$W53,IF(AND($S53&lt;&gt;"",EDATE($D53,Milestones!$AA$84)&gt;=$S53),$V53,IF(AND($R53&lt;&gt;"",EDATE($D53,Milestones!$AA$84)&gt;=$R53),$U53,$T53)))=Milestones!$AB$84),TEXT(EDATE($D53,Milestones!$AA$84),"dd/mm/yy")&amp;" "&amp;Milestones!$AB$84&amp;" "&amp;Milestones!$AC$84&amp;";  ","")&amp;IF(AND(EDATE($D53,Milestones!$AA$85)&lt;=AsOfDate,IF($Q53=0,$W53,IF(AND($S53&lt;&gt;"",EDATE($D53,Milestones!$AA$85)&gt;=$S53),$V53,IF(AND($R53&lt;&gt;"",EDATE($D53,Milestones!$AA$85)&gt;=$R53),$U53,$T53)))=Milestones!$AB$85),TEXT(EDATE($D53,Milestones!$AA$85),"dd/mm/yy")&amp;" "&amp;Milestones!$AB$85&amp;" "&amp;Milestones!$AC$85&amp;";  ","")&amp;IF(AND(EDATE($D53,Milestones!$AA$86)&lt;=AsOfDate,IF($Q53=0,$W53,IF(AND($S53&lt;&gt;"",EDATE($D53,Milestones!$AA$86)&gt;=$S53),$V53,IF(AND($R53&lt;&gt;"",EDATE($D53,Milestones!$AA$86)&gt;=$R53),$U53,$T53)))=Milestones!$AB$86),TEXT(EDATE($D53,Milestones!$AA$86),"dd/mm/yy")&amp;" "&amp;Milestones!$AB$86&amp;" "&amp;Milestones!$AC$86&amp;";  ","")&amp;IF(AND(EDATE($D53,Milestones!$AA$87)&lt;=AsOfDate,IF($Q53=0,$W53,IF(AND($S53&lt;&gt;"",EDATE($D53,Milestones!$AA$87)&gt;=$S53),$V53,IF(AND($R53&lt;&gt;"",EDATE($D53,Milestones!$AA$87)&gt;=$R53),$U53,$T53)))=Milestones!$AB$87),TEXT(EDATE($D53,Milestones!$AA$87),"dd/mm/yy")&amp;" "&amp;Milestones!$AB$87&amp;" "&amp;Milestones!$AC$87&amp;";  ","")&amp;IF(AND(EDATE($D53,Milestones!$AA$88)&lt;=AsOfDate,IF($Q53=0,$W53,IF(AND($S53&lt;&gt;"",EDATE($D53,Milestones!$AA$88)&gt;=$S53),$V53,IF(AND($R53&lt;&gt;"",EDATE($D53,Milestones!$AA$88)&gt;=$R53),$U53,$T53)))=Milestones!$AB$88),TEXT(EDATE($D53,Milestones!$AA$88),"dd/mm/yy")&amp;" "&amp;Milestones!$AB$88&amp;" "&amp;Milestones!$AC$88&amp;";  ","")&amp;IF(AND(EDATE($D53,Milestones!$AA$89)&lt;=AsOfDate,IF($Q53=0,$W53,IF(AND($S53&lt;&gt;"",EDATE($D53,Milestones!$AA$89)&gt;=$S53),$V53,IF(AND($R53&lt;&gt;"",EDATE($D53,Milestones!$AA$89)&gt;=$R53),$U53,$T53)))=Milestones!$AB$89),TEXT(EDATE($D53,Milestones!$AA$89),"dd/mm/yy")&amp;" "&amp;Milestones!$AB$89&amp;" "&amp;Milestones!$AC$89&amp;";  ","")&amp;IF(AND(EDATE($D53,Milestones!$AA$90)&lt;=AsOfDate,IF($Q53=0,$W53,IF(AND($S53&lt;&gt;"",EDATE($D53,Milestones!$AA$90)&gt;=$S53),$V53,IF(AND($R53&lt;&gt;"",EDATE($D53,Milestones!$AA$90)&gt;=$R53),$U53,$T53)))=Milestones!$AB$90),TEXT(EDATE($D53,Milestones!$AA$90),"dd/mm/yy")&amp;" "&amp;Milestones!$AB$90&amp;" "&amp;Milestones!$AC$90&amp;";  ","")&amp;IF(AND(EDATE($D53,Milestones!$AA$91)&lt;=AsOfDate,IF($Q53=0,$W53,IF(AND($S53&lt;&gt;"",EDATE($D53,Milestones!$AA$91)&gt;=$S53),$V53,IF(AND($R53&lt;&gt;"",EDATE($D53,Milestones!$AA$91)&gt;=$R53),$U53,$T53)))=Milestones!$AB$91),TEXT(EDATE($D53,Milestones!$AA$91),"dd/mm/yy")&amp;" "&amp;Milestones!$AB$91&amp;" "&amp;Milestones!$AC$91&amp;";  ","")&amp;IF(AND(EDATE($D53,Milestones!$AA$92)&lt;=AsOfDate,IF($Q53=0,$W53,IF(AND($S53&lt;&gt;"",EDATE($D53,Milestones!$AA$92)&gt;=$S53),$V53,IF(AND($R53&lt;&gt;"",EDATE($D53,Milestones!$AA$92)&gt;=$R53),$U53,$T53)))=Milestones!$AB$92),TEXT(EDATE($D53,Milestones!$AA$92),"dd/mm/yy")&amp;" "&amp;Milestones!$AB$92&amp;" "&amp;Milestones!$AC$92&amp;";  ","")&amp;IF(AND(EDATE($D53,Milestones!$AA$93)&lt;=AsOfDate,IF($Q53=0,$W53,IF(AND($S53&lt;&gt;"",EDATE($D53,Milestones!$AA$93)&gt;=$S53),$V53,IF(AND($R53&lt;&gt;"",EDATE($D53,Milestones!$AA$93)&gt;=$R53),$U53,$T53)))=Milestones!$AB$93),TEXT(EDATE($D53,Milestones!$AA$93),"dd/mm/yy")&amp;" "&amp;Milestones!$AB$93&amp;" "&amp;Milestones!$AC$93&amp;";  ","")&amp;IF(AND(EDATE($D53,Milestones!$AA$94)&lt;=AsOfDate,IF($Q53=0,$W53,IF(AND($S53&lt;&gt;"",EDATE($D53,Milestones!$AA$94)&gt;=$S53),$V53,IF(AND($R53&lt;&gt;"",EDATE($D53,Milestones!$AA$94)&gt;=$R53),$U53,$T53)))=Milestones!$AB$94),TEXT(EDATE($D53,Milestones!$AA$94),"dd/mm/yy")&amp;" "&amp;Milestones!$AB$94&amp;" "&amp;Milestones!$AC$94&amp;";  ","")&amp;IF(AND(EDATE($D53,Milestones!$AA$95)&lt;=AsOfDate,IF($Q53=0,$W53,IF(AND($S53&lt;&gt;"",EDATE($D53,Milestones!$AA$95)&gt;=$S53),$V53,IF(AND($R53&lt;&gt;"",EDATE($D53,Milestones!$AA$95)&gt;=$R53),$U53,$T53)))=Milestones!$AB$95),TEXT(EDATE($D53,Milestones!$AA$95),"dd/mm/yy")&amp;" "&amp;Milestones!$AB$95&amp;" "&amp;Milestones!$AC$95&amp;";  ","")&amp;IF(AND(EDATE($D53,Milestones!$AA$96)&lt;=AsOfDate,IF($Q53=0,$W53,IF(AND($S53&lt;&gt;"",EDATE($D53,Milestones!$AA$96)&gt;=$S53),$V53,IF(AND($R53&lt;&gt;"",EDATE($D53,Milestones!$AA$96)&gt;=$R53),$U53,$T53)))=Milestones!$AB$96),TEXT(EDATE($D53,Milestones!$AA$96),"dd/mm/yy")&amp;" "&amp;Milestones!$AB$96&amp;" "&amp;Milestones!$AC$96&amp;";  ","")&amp;IF(AND(EDATE($D53,Milestones!$AA$97)&lt;=AsOfDate,IF($Q53=0,$W53,IF(AND($S53&lt;&gt;"",EDATE($D53,Milestones!$AA$97)&gt;=$S53),$V53,IF(AND($R53&lt;&gt;"",EDATE($D53,Milestones!$AA$97)&gt;=$R53),$U53,$T53)))=Milestones!$AB$97),TEXT(EDATE($D53,Milestones!$AA$97),"dd/mm/yy")&amp;" "&amp;Milestones!$AB$97&amp;" "&amp;Milestones!$AC$97&amp;";  ","")&amp;IF(AND(EDATE($D53,Milestones!$AA$98)&lt;=AsOfDate,IF($Q53=0,$W53,IF(AND($S53&lt;&gt;"",EDATE($D53,Milestones!$AA$98)&gt;=$S53),$V53,IF(AND($R53&lt;&gt;"",EDATE($D53,Milestones!$AA$98)&gt;=$R53),$U53,$T53)))=Milestones!$AB$98),TEXT(EDATE($D53,Milestones!$AA$98),"dd/mm/yy")&amp;" "&amp;Milestones!$AB$98&amp;" "&amp;Milestones!$AC$98&amp;";  ","")&amp;IF(AND(EDATE($D53,Milestones!$AA$99)&lt;=AsOfDate,IF($Q53=0,$W53,IF(AND($S53&lt;&gt;"",EDATE($D53,Milestones!$AA$99)&gt;=$S53),$V53,IF(AND($R53&lt;&gt;"",EDATE($D53,Milestones!$AA$99)&gt;=$R53),$U53,$T53)))=Milestones!$AB$99),TEXT(EDATE($D53,Milestones!$AA$99),"dd/mm/yy")&amp;" "&amp;Milestones!$AB$99&amp;" "&amp;Milestones!$AC$99&amp;";  ",""))</f>
        <v/>
      </c>
      <c r="L53" s="0" t="str">
        <f aca="false">IF(OR($A53="",$D53=""),"",IF(AND(EDATE($D53,Milestones!$AA$100)&lt;=AsOfDate,IF($Q53=0,$W53,IF(AND($S53&lt;&gt;"",EDATE($D53,Milestones!$AA$100)&gt;=$S53),$V53,IF(AND($R53&lt;&gt;"",EDATE($D53,Milestones!$AA$100)&gt;=$R53),$U53,$T53)))=Milestones!$AB$100),TEXT(EDATE($D53,Milestones!$AA$100),"dd/mm/yy")&amp;" "&amp;Milestones!$AB$100&amp;" "&amp;Milestones!$AC$100&amp;";  ","")&amp;IF(AND(EDATE($D53,Milestones!$AA$101)&lt;=AsOfDate,IF($Q53=0,$W53,IF(AND($S53&lt;&gt;"",EDATE($D53,Milestones!$AA$101)&gt;=$S53),$V53,IF(AND($R53&lt;&gt;"",EDATE($D53,Milestones!$AA$101)&gt;=$R53),$U53,$T53)))=Milestones!$AB$101),TEXT(EDATE($D53,Milestones!$AA$101),"dd/mm/yy")&amp;" "&amp;Milestones!$AB$101&amp;" "&amp;Milestones!$AC$101&amp;";  ","")&amp;IF(AND(EDATE($D53,Milestones!$AA$102)&lt;=AsOfDate,IF($Q53=0,$W53,IF(AND($S53&lt;&gt;"",EDATE($D53,Milestones!$AA$102)&gt;=$S53),$V53,IF(AND($R53&lt;&gt;"",EDATE($D53,Milestones!$AA$102)&gt;=$R53),$U53,$T53)))=Milestones!$AB$102),TEXT(EDATE($D53,Milestones!$AA$102),"dd/mm/yy")&amp;" "&amp;Milestones!$AB$102&amp;" "&amp;Milestones!$AC$102&amp;";  ","")&amp;IF(AND(EDATE($D53,Milestones!$AA$103)&lt;=AsOfDate,IF($Q53=0,$W53,IF(AND($S53&lt;&gt;"",EDATE($D53,Milestones!$AA$103)&gt;=$S53),$V53,IF(AND($R53&lt;&gt;"",EDATE($D53,Milestones!$AA$103)&gt;=$R53),$U53,$T53)))=Milestones!$AB$103),TEXT(EDATE($D53,Milestones!$AA$103),"dd/mm/yy")&amp;" "&amp;Milestones!$AB$103&amp;" "&amp;Milestones!$AC$103&amp;";  ","")&amp;IF(AND(EDATE($D53,Milestones!$AA$104)&lt;=AsOfDate,IF($Q53=0,$W53,IF(AND($S53&lt;&gt;"",EDATE($D53,Milestones!$AA$104)&gt;=$S53),$V53,IF(AND($R53&lt;&gt;"",EDATE($D53,Milestones!$AA$104)&gt;=$R53),$U53,$T53)))=Milestones!$AB$104),TEXT(EDATE($D53,Milestones!$AA$104),"dd/mm/yy")&amp;" "&amp;Milestones!$AB$104&amp;" "&amp;Milestones!$AC$104&amp;";  ","")&amp;IF(AND(EDATE($D53,Milestones!$AA$105)&lt;=AsOfDate,IF($Q53=0,$W53,IF(AND($S53&lt;&gt;"",EDATE($D53,Milestones!$AA$105)&gt;=$S53),$V53,IF(AND($R53&lt;&gt;"",EDATE($D53,Milestones!$AA$105)&gt;=$R53),$U53,$T53)))=Milestones!$AB$105),TEXT(EDATE($D53,Milestones!$AA$105),"dd/mm/yy")&amp;" "&amp;Milestones!$AB$105&amp;" "&amp;Milestones!$AC$105&amp;";  ","")&amp;IF(AND(EDATE($D53,Milestones!$AA$106)&lt;=AsOfDate,IF($Q53=0,$W53,IF(AND($S53&lt;&gt;"",EDATE($D53,Milestones!$AA$106)&gt;=$S53),$V53,IF(AND($R53&lt;&gt;"",EDATE($D53,Milestones!$AA$106)&gt;=$R53),$U53,$T53)))=Milestones!$AB$106),TEXT(EDATE($D53,Milestones!$AA$106),"dd/mm/yy")&amp;" "&amp;Milestones!$AB$106&amp;" "&amp;Milestones!$AC$106&amp;";  ","")&amp;IF(AND(EDATE($D53,Milestones!$AA$107)&lt;=AsOfDate,IF($Q53=0,$W53,IF(AND($S53&lt;&gt;"",EDATE($D53,Milestones!$AA$107)&gt;=$S53),$V53,IF(AND($R53&lt;&gt;"",EDATE($D53,Milestones!$AA$107)&gt;=$R53),$U53,$T53)))=Milestones!$AB$107),TEXT(EDATE($D53,Milestones!$AA$107),"dd/mm/yy")&amp;" "&amp;Milestones!$AB$107&amp;" "&amp;Milestones!$AC$107&amp;";  ","")&amp;IF(AND(EDATE($D53,Milestones!$AA$108)&lt;=AsOfDate,IF($Q53=0,$W53,IF(AND($S53&lt;&gt;"",EDATE($D53,Milestones!$AA$108)&gt;=$S53),$V53,IF(AND($R53&lt;&gt;"",EDATE($D53,Milestones!$AA$108)&gt;=$R53),$U53,$T53)))=Milestones!$AB$108),TEXT(EDATE($D53,Milestones!$AA$108),"dd/mm/yy")&amp;" "&amp;Milestones!$AB$108&amp;" "&amp;Milestones!$AC$108&amp;";  ","")&amp;IF(AND(EDATE($D53,Milestones!$AA$109)&lt;=AsOfDate,IF($Q53=0,$W53,IF(AND($S53&lt;&gt;"",EDATE($D53,Milestones!$AA$109)&gt;=$S53),$V53,IF(AND($R53&lt;&gt;"",EDATE($D53,Milestones!$AA$109)&gt;=$R53),$U53,$T53)))=Milestones!$AB$109),TEXT(EDATE($D53,Milestones!$AA$109),"dd/mm/yy")&amp;" "&amp;Milestones!$AB$109&amp;" "&amp;Milestones!$AC$109&amp;";  ","")&amp;IF(AND(EDATE($D53,Milestones!$AA$110)&lt;=AsOfDate,IF($Q53=0,$W53,IF(AND($S53&lt;&gt;"",EDATE($D53,Milestones!$AA$110)&gt;=$S53),$V53,IF(AND($R53&lt;&gt;"",EDATE($D53,Milestones!$AA$110)&gt;=$R53),$U53,$T53)))=Milestones!$AB$110),TEXT(EDATE($D53,Milestones!$AA$110),"dd/mm/yy")&amp;" "&amp;Milestones!$AB$110&amp;" "&amp;Milestones!$AC$110&amp;";  ","")&amp;IF(AND(EDATE($D53,Milestones!$AA$111)&lt;=AsOfDate,IF($Q53=0,$W53,IF(AND($S53&lt;&gt;"",EDATE($D53,Milestones!$AA$111)&gt;=$S53),$V53,IF(AND($R53&lt;&gt;"",EDATE($D53,Milestones!$AA$111)&gt;=$R53),$U53,$T53)))=Milestones!$AB$111),TEXT(EDATE($D53,Milestones!$AA$111),"dd/mm/yy")&amp;" "&amp;Milestones!$AB$111&amp;" "&amp;Milestones!$AC$111&amp;";  ","")&amp;IF(AND(EDATE($D53,Milestones!$AA$112)&lt;=AsOfDate,IF($Q53=0,$W53,IF(AND($S53&lt;&gt;"",EDATE($D53,Milestones!$AA$112)&gt;=$S53),$V53,IF(AND($R53&lt;&gt;"",EDATE($D53,Milestones!$AA$112)&gt;=$R53),$U53,$T53)))=Milestones!$AB$112),TEXT(EDATE($D53,Milestones!$AA$112),"dd/mm/yy")&amp;" "&amp;Milestones!$AB$112&amp;" "&amp;Milestones!$AC$112&amp;";  ","")&amp;IF(AND(EDATE($D53,Milestones!$AA$113)&lt;=AsOfDate,IF($Q53=0,$W53,IF(AND($S53&lt;&gt;"",EDATE($D53,Milestones!$AA$113)&gt;=$S53),$V53,IF(AND($R53&lt;&gt;"",EDATE($D53,Milestones!$AA$113)&gt;=$R53),$U53,$T53)))=Milestones!$AB$113),TEXT(EDATE($D53,Milestones!$AA$113),"dd/mm/yy")&amp;" "&amp;Milestones!$AB$113&amp;" "&amp;Milestones!$AC$113&amp;";  ","")&amp;IF(AND(EDATE($D53,Milestones!$AA$114)&lt;=AsOfDate,IF($Q53=0,$W53,IF(AND($S53&lt;&gt;"",EDATE($D53,Milestones!$AA$114)&gt;=$S53),$V53,IF(AND($R53&lt;&gt;"",EDATE($D53,Milestones!$AA$114)&gt;=$R53),$U53,$T53)))=Milestones!$AB$114),TEXT(EDATE($D53,Milestones!$AA$114),"dd/mm/yy")&amp;" "&amp;Milestones!$AB$114&amp;" "&amp;Milestones!$AC$114&amp;";  ","")&amp;IF(AND(EDATE($D53,Milestones!$AA$115)&lt;=AsOfDate,IF($Q53=0,$W53,IF(AND($S53&lt;&gt;"",EDATE($D53,Milestones!$AA$115)&gt;=$S53),$V53,IF(AND($R53&lt;&gt;"",EDATE($D53,Milestones!$AA$115)&gt;=$R53),$U53,$T53)))=Milestones!$AB$115),TEXT(EDATE($D53,Milestones!$AA$115),"dd/mm/yy")&amp;" "&amp;Milestones!$AB$115&amp;" "&amp;Milestones!$AC$115&amp;";  ","")&amp;IF(AND(EDATE($D53,Milestones!$AA$116)&lt;=AsOfDate,IF($Q53=0,$W53,IF(AND($S53&lt;&gt;"",EDATE($D53,Milestones!$AA$116)&gt;=$S53),$V53,IF(AND($R53&lt;&gt;"",EDATE($D53,Milestones!$AA$116)&gt;=$R53),$U53,$T53)))=Milestones!$AB$116),TEXT(EDATE($D53,Milestones!$AA$116),"dd/mm/yy")&amp;" "&amp;Milestones!$AB$116&amp;" "&amp;Milestones!$AC$116&amp;";  ","")&amp;IF(AND(EDATE($D53,Milestones!$AA$117)&lt;=AsOfDate,IF($Q53=0,$W53,IF(AND($S53&lt;&gt;"",EDATE($D53,Milestones!$AA$117)&gt;=$S53),$V53,IF(AND($R53&lt;&gt;"",EDATE($D53,Milestones!$AA$117)&gt;=$R53),$U53,$T53)))=Milestones!$AB$117),TEXT(EDATE($D53,Milestones!$AA$117),"dd/mm/yy")&amp;" "&amp;Milestones!$AB$117&amp;" "&amp;Milestones!$AC$117&amp;";  ","")&amp;IF(AND(EDATE($D53,Milestones!$AA$118)&lt;=AsOfDate,IF($Q53=0,$W53,IF(AND($S53&lt;&gt;"",EDATE($D53,Milestones!$AA$118)&gt;=$S53),$V53,IF(AND($R53&lt;&gt;"",EDATE($D53,Milestones!$AA$118)&gt;=$R53),$U53,$T53)))=Milestones!$AB$118),TEXT(EDATE($D53,Milestones!$AA$118),"dd/mm/yy")&amp;" "&amp;Milestones!$AB$118&amp;" "&amp;Milestones!$AC$118&amp;";  ","")&amp;IF(AND(EDATE($D53,Milestones!$AA$119)&lt;=AsOfDate,IF($Q53=0,$W53,IF(AND($S53&lt;&gt;"",EDATE($D53,Milestones!$AA$119)&gt;=$S53),$V53,IF(AND($R53&lt;&gt;"",EDATE($D53,Milestones!$AA$119)&gt;=$R53),$U53,$T53)))=Milestones!$AB$119),TEXT(EDATE($D53,Milestones!$AA$119),"dd/mm/yy")&amp;" "&amp;Milestones!$AB$119&amp;" "&amp;Milestones!$AC$119&amp;";  ",""))</f>
        <v/>
      </c>
      <c r="M53" s="0" t="str">
        <f aca="false">IF(OR($A53="",$D53=""),"",IF(AND(EDATE($D53,Milestones!$AA$120)&lt;=AsOfDate,IF($Q53=0,$W53,IF(AND($S53&lt;&gt;"",EDATE($D53,Milestones!$AA$120)&gt;=$S53),$V53,IF(AND($R53&lt;&gt;"",EDATE($D53,Milestones!$AA$120)&gt;=$R53),$U53,$T53)))=Milestones!$AB$120),TEXT(EDATE($D53,Milestones!$AA$120),"dd/mm/yy")&amp;" "&amp;Milestones!$AB$120&amp;" "&amp;Milestones!$AC$120&amp;";  ","")&amp;IF(AND(EDATE($D53,Milestones!$AA$121)&lt;=AsOfDate,IF($Q53=0,$W53,IF(AND($S53&lt;&gt;"",EDATE($D53,Milestones!$AA$121)&gt;=$S53),$V53,IF(AND($R53&lt;&gt;"",EDATE($D53,Milestones!$AA$121)&gt;=$R53),$U53,$T53)))=Milestones!$AB$121),TEXT(EDATE($D53,Milestones!$AA$121),"dd/mm/yy")&amp;" "&amp;Milestones!$AB$121&amp;" "&amp;Milestones!$AC$121&amp;";  ","")&amp;IF(AND(EDATE($D53,Milestones!$AA$122)&lt;=AsOfDate,IF($Q53=0,$W53,IF(AND($S53&lt;&gt;"",EDATE($D53,Milestones!$AA$122)&gt;=$S53),$V53,IF(AND($R53&lt;&gt;"",EDATE($D53,Milestones!$AA$122)&gt;=$R53),$U53,$T53)))=Milestones!$AB$122),TEXT(EDATE($D53,Milestones!$AA$122),"dd/mm/yy")&amp;" "&amp;Milestones!$AB$122&amp;" "&amp;Milestones!$AC$122&amp;";  ","")&amp;IF(AND(EDATE($D53,Milestones!$AA$123)&lt;=AsOfDate,IF($Q53=0,$W53,IF(AND($S53&lt;&gt;"",EDATE($D53,Milestones!$AA$123)&gt;=$S53),$V53,IF(AND($R53&lt;&gt;"",EDATE($D53,Milestones!$AA$123)&gt;=$R53),$U53,$T53)))=Milestones!$AB$123),TEXT(EDATE($D53,Milestones!$AA$123),"dd/mm/yy")&amp;" "&amp;Milestones!$AB$123&amp;" "&amp;Milestones!$AC$123&amp;";  ","")&amp;IF(AND(EDATE($D53,Milestones!$AA$124)&lt;=AsOfDate,IF($Q53=0,$W53,IF(AND($S53&lt;&gt;"",EDATE($D53,Milestones!$AA$124)&gt;=$S53),$V53,IF(AND($R53&lt;&gt;"",EDATE($D53,Milestones!$AA$124)&gt;=$R53),$U53,$T53)))=Milestones!$AB$124),TEXT(EDATE($D53,Milestones!$AA$124),"dd/mm/yy")&amp;" "&amp;Milestones!$AB$124&amp;" "&amp;Milestones!$AC$124&amp;";  ","")&amp;IF(AND(EDATE($D53,Milestones!$AA$125)&lt;=AsOfDate,IF($Q53=0,$W53,IF(AND($S53&lt;&gt;"",EDATE($D53,Milestones!$AA$125)&gt;=$S53),$V53,IF(AND($R53&lt;&gt;"",EDATE($D53,Milestones!$AA$125)&gt;=$R53),$U53,$T53)))=Milestones!$AB$125),TEXT(EDATE($D53,Milestones!$AA$125),"dd/mm/yy")&amp;" "&amp;Milestones!$AB$125&amp;" "&amp;Milestones!$AC$125&amp;";  ","")&amp;IF(AND(EDATE($D53,Milestones!$AA$126)&lt;=AsOfDate,IF($Q53=0,$W53,IF(AND($S53&lt;&gt;"",EDATE($D53,Milestones!$AA$126)&gt;=$S53),$V53,IF(AND($R53&lt;&gt;"",EDATE($D53,Milestones!$AA$126)&gt;=$R53),$U53,$T53)))=Milestones!$AB$126),TEXT(EDATE($D53,Milestones!$AA$126),"dd/mm/yy")&amp;" "&amp;Milestones!$AB$126&amp;" "&amp;Milestones!$AC$126&amp;";  ","")&amp;IF(AND(EDATE($D53,Milestones!$AA$127)&lt;=AsOfDate,IF($Q53=0,$W53,IF(AND($S53&lt;&gt;"",EDATE($D53,Milestones!$AA$127)&gt;=$S53),$V53,IF(AND($R53&lt;&gt;"",EDATE($D53,Milestones!$AA$127)&gt;=$R53),$U53,$T53)))=Milestones!$AB$127),TEXT(EDATE($D53,Milestones!$AA$127),"dd/mm/yy")&amp;" "&amp;Milestones!$AB$127&amp;" "&amp;Milestones!$AC$127&amp;";  ","")&amp;IF(AND(EDATE($D53,Milestones!$AA$128)&lt;=AsOfDate,IF($Q53=0,$W53,IF(AND($S53&lt;&gt;"",EDATE($D53,Milestones!$AA$128)&gt;=$S53),$V53,IF(AND($R53&lt;&gt;"",EDATE($D53,Milestones!$AA$128)&gt;=$R53),$U53,$T53)))=Milestones!$AB$128),TEXT(EDATE($D53,Milestones!$AA$128),"dd/mm/yy")&amp;" "&amp;Milestones!$AB$128&amp;" "&amp;Milestones!$AC$128&amp;";  ","")&amp;IF(AND(EDATE($D53,Milestones!$AA$129)&lt;=AsOfDate,IF($Q53=0,$W53,IF(AND($S53&lt;&gt;"",EDATE($D53,Milestones!$AA$129)&gt;=$S53),$V53,IF(AND($R53&lt;&gt;"",EDATE($D53,Milestones!$AA$129)&gt;=$R53),$U53,$T53)))=Milestones!$AB$129),TEXT(EDATE($D53,Milestones!$AA$129),"dd/mm/yy")&amp;" "&amp;Milestones!$AB$129&amp;" "&amp;Milestones!$AC$129&amp;";  ","")&amp;IF(AND(EDATE($D53,Milestones!$AA$130)&lt;=AsOfDate,IF($Q53=0,$W53,IF(AND($S53&lt;&gt;"",EDATE($D53,Milestones!$AA$130)&gt;=$S53),$V53,IF(AND($R53&lt;&gt;"",EDATE($D53,Milestones!$AA$130)&gt;=$R53),$U53,$T53)))=Milestones!$AB$130),TEXT(EDATE($D53,Milestones!$AA$130),"dd/mm/yy")&amp;" "&amp;Milestones!$AB$130&amp;" "&amp;Milestones!$AC$130&amp;";  ","")&amp;IF(AND(EDATE($D53,Milestones!$AA$131)&lt;=AsOfDate,IF($Q53=0,$W53,IF(AND($S53&lt;&gt;"",EDATE($D53,Milestones!$AA$131)&gt;=$S53),$V53,IF(AND($R53&lt;&gt;"",EDATE($D53,Milestones!$AA$131)&gt;=$R53),$U53,$T53)))=Milestones!$AB$131),TEXT(EDATE($D53,Milestones!$AA$131),"dd/mm/yy")&amp;" "&amp;Milestones!$AB$131&amp;" "&amp;Milestones!$AC$131&amp;";  ","")&amp;IF(AND(EDATE($D53,Milestones!$AA$132)&lt;=AsOfDate,IF($Q53=0,$W53,IF(AND($S53&lt;&gt;"",EDATE($D53,Milestones!$AA$132)&gt;=$S53),$V53,IF(AND($R53&lt;&gt;"",EDATE($D53,Milestones!$AA$132)&gt;=$R53),$U53,$T53)))=Milestones!$AB$132),TEXT(EDATE($D53,Milestones!$AA$132),"dd/mm/yy")&amp;" "&amp;Milestones!$AB$132&amp;" "&amp;Milestones!$AC$132&amp;";  ","")&amp;IF(AND(EDATE($D53,Milestones!$AA$133)&lt;=AsOfDate,IF($Q53=0,$W53,IF(AND($S53&lt;&gt;"",EDATE($D53,Milestones!$AA$133)&gt;=$S53),$V53,IF(AND($R53&lt;&gt;"",EDATE($D53,Milestones!$AA$133)&gt;=$R53),$U53,$T53)))=Milestones!$AB$133),TEXT(EDATE($D53,Milestones!$AA$133),"dd/mm/yy")&amp;" "&amp;Milestones!$AB$133&amp;" "&amp;Milestones!$AC$133&amp;";  ","")&amp;IF(AND(EDATE($D53,Milestones!$AA$134)&lt;=AsOfDate,IF($Q53=0,$W53,IF(AND($S53&lt;&gt;"",EDATE($D53,Milestones!$AA$134)&gt;=$S53),$V53,IF(AND($R53&lt;&gt;"",EDATE($D53,Milestones!$AA$134)&gt;=$R53),$U53,$T53)))=Milestones!$AB$134),TEXT(EDATE($D53,Milestones!$AA$134),"dd/mm/yy")&amp;" "&amp;Milestones!$AB$134&amp;" "&amp;Milestones!$AC$134&amp;";  ","")&amp;IF(AND(EDATE($D53,Milestones!$AA$135)&lt;=AsOfDate,IF($Q53=0,$W53,IF(AND($S53&lt;&gt;"",EDATE($D53,Milestones!$AA$135)&gt;=$S53),$V53,IF(AND($R53&lt;&gt;"",EDATE($D53,Milestones!$AA$135)&gt;=$R53),$U53,$T53)))=Milestones!$AB$135),TEXT(EDATE($D53,Milestones!$AA$135),"dd/mm/yy")&amp;" "&amp;Milestones!$AB$135&amp;" "&amp;Milestones!$AC$135&amp;";  ","")&amp;IF(AND(EDATE($D53,Milestones!$AA$136)&lt;=AsOfDate,IF($Q53=0,$W53,IF(AND($S53&lt;&gt;"",EDATE($D53,Milestones!$AA$136)&gt;=$S53),$V53,IF(AND($R53&lt;&gt;"",EDATE($D53,Milestones!$AA$136)&gt;=$R53),$U53,$T53)))=Milestones!$AB$136),TEXT(EDATE($D53,Milestones!$AA$136),"dd/mm/yy")&amp;" "&amp;Milestones!$AB$136&amp;" "&amp;Milestones!$AC$136&amp;";  ","")&amp;IF(AND(EDATE($D53,Milestones!$AA$137)&lt;=AsOfDate,IF($Q53=0,$W53,IF(AND($S53&lt;&gt;"",EDATE($D53,Milestones!$AA$137)&gt;=$S53),$V53,IF(AND($R53&lt;&gt;"",EDATE($D53,Milestones!$AA$137)&gt;=$R53),$U53,$T53)))=Milestones!$AB$137),TEXT(EDATE($D53,Milestones!$AA$137),"dd/mm/yy")&amp;" "&amp;Milestones!$AB$137&amp;" "&amp;Milestones!$AC$137&amp;";  ","")&amp;IF(AND(EDATE($D53,Milestones!$AA$138)&lt;=AsOfDate,IF($Q53=0,$W53,IF(AND($S53&lt;&gt;"",EDATE($D53,Milestones!$AA$138)&gt;=$S53),$V53,IF(AND($R53&lt;&gt;"",EDATE($D53,Milestones!$AA$138)&gt;=$R53),$U53,$T53)))=Milestones!$AB$138),TEXT(EDATE($D53,Milestones!$AA$138),"dd/mm/yy")&amp;" "&amp;Milestones!$AB$138&amp;" "&amp;Milestones!$AC$138&amp;";  ","")&amp;IF(AND(EDATE($D53,Milestones!$AA$139)&lt;=AsOfDate,IF($Q53=0,$W53,IF(AND($S53&lt;&gt;"",EDATE($D53,Milestones!$AA$139)&gt;=$S53),$V53,IF(AND($R53&lt;&gt;"",EDATE($D53,Milestones!$AA$139)&gt;=$R53),$U53,$T53)))=Milestones!$AB$139),TEXT(EDATE($D53,Milestones!$AA$139),"dd/mm/yy")&amp;" "&amp;Milestones!$AB$139&amp;" "&amp;Milestones!$AC$139&amp;";  ",""))</f>
        <v/>
      </c>
      <c r="N53" s="0" t="str">
        <f aca="false">IF(OR($A53="",$D53=""),"",IF(AND(EDATE($D53,Milestones!$AA$140)&lt;=AsOfDate,IF($Q53=0,$W53,IF(AND($S53&lt;&gt;"",EDATE($D53,Milestones!$AA$140)&gt;=$S53),$V53,IF(AND($R53&lt;&gt;"",EDATE($D53,Milestones!$AA$140)&gt;=$R53),$U53,$T53)))=Milestones!$AB$140),TEXT(EDATE($D53,Milestones!$AA$140),"dd/mm/yy")&amp;" "&amp;Milestones!$AB$140&amp;" "&amp;Milestones!$AC$140&amp;";  ","")&amp;IF(AND(EDATE($D53,Milestones!$AA$141)&lt;=AsOfDate,IF($Q53=0,$W53,IF(AND($S53&lt;&gt;"",EDATE($D53,Milestones!$AA$141)&gt;=$S53),$V53,IF(AND($R53&lt;&gt;"",EDATE($D53,Milestones!$AA$141)&gt;=$R53),$U53,$T53)))=Milestones!$AB$141),TEXT(EDATE($D53,Milestones!$AA$141),"dd/mm/yy")&amp;" "&amp;Milestones!$AB$141&amp;" "&amp;Milestones!$AC$141&amp;";  ","")&amp;IF(AND(EDATE($D53,Milestones!$AA$142)&lt;=AsOfDate,IF($Q53=0,$W53,IF(AND($S53&lt;&gt;"",EDATE($D53,Milestones!$AA$142)&gt;=$S53),$V53,IF(AND($R53&lt;&gt;"",EDATE($D53,Milestones!$AA$142)&gt;=$R53),$U53,$T53)))=Milestones!$AB$142),TEXT(EDATE($D53,Milestones!$AA$142),"dd/mm/yy")&amp;" "&amp;Milestones!$AB$142&amp;" "&amp;Milestones!$AC$142&amp;";  ","")&amp;IF(AND(EDATE($D53,Milestones!$AA$143)&lt;=AsOfDate,IF($Q53=0,$W53,IF(AND($S53&lt;&gt;"",EDATE($D53,Milestones!$AA$143)&gt;=$S53),$V53,IF(AND($R53&lt;&gt;"",EDATE($D53,Milestones!$AA$143)&gt;=$R53),$U53,$T53)))=Milestones!$AB$143),TEXT(EDATE($D53,Milestones!$AA$143),"dd/mm/yy")&amp;" "&amp;Milestones!$AB$143&amp;" "&amp;Milestones!$AC$143&amp;";  ","")&amp;IF(AND(EDATE($D53,Milestones!$AA$144)&lt;=AsOfDate,IF($Q53=0,$W53,IF(AND($S53&lt;&gt;"",EDATE($D53,Milestones!$AA$144)&gt;=$S53),$V53,IF(AND($R53&lt;&gt;"",EDATE($D53,Milestones!$AA$144)&gt;=$R53),$U53,$T53)))=Milestones!$AB$144),TEXT(EDATE($D53,Milestones!$AA$144),"dd/mm/yy")&amp;" "&amp;Milestones!$AB$144&amp;" "&amp;Milestones!$AC$144&amp;";  ","")&amp;IF(AND(EDATE($D53,Milestones!$AA$145)&lt;=AsOfDate,IF($Q53=0,$W53,IF(AND($S53&lt;&gt;"",EDATE($D53,Milestones!$AA$145)&gt;=$S53),$V53,IF(AND($R53&lt;&gt;"",EDATE($D53,Milestones!$AA$145)&gt;=$R53),$U53,$T53)))=Milestones!$AB$145),TEXT(EDATE($D53,Milestones!$AA$145),"dd/mm/yy")&amp;" "&amp;Milestones!$AB$145&amp;" "&amp;Milestones!$AC$145&amp;";  ","")&amp;IF(AND(EDATE($D53,Milestones!$AA$146)&lt;=AsOfDate,IF($Q53=0,$W53,IF(AND($S53&lt;&gt;"",EDATE($D53,Milestones!$AA$146)&gt;=$S53),$V53,IF(AND($R53&lt;&gt;"",EDATE($D53,Milestones!$AA$146)&gt;=$R53),$U53,$T53)))=Milestones!$AB$146),TEXT(EDATE($D53,Milestones!$AA$146),"dd/mm/yy")&amp;" "&amp;Milestones!$AB$146&amp;" "&amp;Milestones!$AC$146&amp;";  ","")&amp;IF(AND(EDATE($D53,Milestones!$AA$147)&lt;=AsOfDate,IF($Q53=0,$W53,IF(AND($S53&lt;&gt;"",EDATE($D53,Milestones!$AA$147)&gt;=$S53),$V53,IF(AND($R53&lt;&gt;"",EDATE($D53,Milestones!$AA$147)&gt;=$R53),$U53,$T53)))=Milestones!$AB$147),TEXT(EDATE($D53,Milestones!$AA$147),"dd/mm/yy")&amp;" "&amp;Milestones!$AB$147&amp;" "&amp;Milestones!$AC$147&amp;";  ","")&amp;IF(AND(EDATE($D53,Milestones!$AA$148)&lt;=AsOfDate,IF($Q53=0,$W53,IF(AND($S53&lt;&gt;"",EDATE($D53,Milestones!$AA$148)&gt;=$S53),$V53,IF(AND($R53&lt;&gt;"",EDATE($D53,Milestones!$AA$148)&gt;=$R53),$U53,$T53)))=Milestones!$AB$148),TEXT(EDATE($D53,Milestones!$AA$148),"dd/mm/yy")&amp;" "&amp;Milestones!$AB$148&amp;" "&amp;Milestones!$AC$148&amp;";  ","")&amp;IF(AND(EDATE($D53,Milestones!$AA$149)&lt;=AsOfDate,IF($Q53=0,$W53,IF(AND($S53&lt;&gt;"",EDATE($D53,Milestones!$AA$149)&gt;=$S53),$V53,IF(AND($R53&lt;&gt;"",EDATE($D53,Milestones!$AA$149)&gt;=$R53),$U53,$T53)))=Milestones!$AB$149),TEXT(EDATE($D53,Milestones!$AA$149),"dd/mm/yy")&amp;" "&amp;Milestones!$AB$149&amp;" "&amp;Milestones!$AC$149&amp;";  ","")&amp;IF(AND(EDATE($D53,Milestones!$AA$150)&lt;=AsOfDate,IF($Q53=0,$W53,IF(AND($S53&lt;&gt;"",EDATE($D53,Milestones!$AA$150)&gt;=$S53),$V53,IF(AND($R53&lt;&gt;"",EDATE($D53,Milestones!$AA$150)&gt;=$R53),$U53,$T53)))=Milestones!$AB$150),TEXT(EDATE($D53,Milestones!$AA$150),"dd/mm/yy")&amp;" "&amp;Milestones!$AB$150&amp;" "&amp;Milestones!$AC$150&amp;";  ","")&amp;IF(AND(EDATE($D53,Milestones!$AA$151)&lt;=AsOfDate,IF($Q53=0,$W53,IF(AND($S53&lt;&gt;"",EDATE($D53,Milestones!$AA$151)&gt;=$S53),$V53,IF(AND($R53&lt;&gt;"",EDATE($D53,Milestones!$AA$151)&gt;=$R53),$U53,$T53)))=Milestones!$AB$151),TEXT(EDATE($D53,Milestones!$AA$151),"dd/mm/yy")&amp;" "&amp;Milestones!$AB$151&amp;" "&amp;Milestones!$AC$151&amp;";  ","")&amp;IF(AND(EDATE($D53,Milestones!$AA$152)&lt;=AsOfDate,IF($Q53=0,$W53,IF(AND($S53&lt;&gt;"",EDATE($D53,Milestones!$AA$152)&gt;=$S53),$V53,IF(AND($R53&lt;&gt;"",EDATE($D53,Milestones!$AA$152)&gt;=$R53),$U53,$T53)))=Milestones!$AB$152),TEXT(EDATE($D53,Milestones!$AA$152),"dd/mm/yy")&amp;" "&amp;Milestones!$AB$152&amp;" "&amp;Milestones!$AC$152&amp;";  ","")&amp;IF(AND(EDATE($D53,Milestones!$AA$153)&lt;=AsOfDate,IF($Q53=0,$W53,IF(AND($S53&lt;&gt;"",EDATE($D53,Milestones!$AA$153)&gt;=$S53),$V53,IF(AND($R53&lt;&gt;"",EDATE($D53,Milestones!$AA$153)&gt;=$R53),$U53,$T53)))=Milestones!$AB$153),TEXT(EDATE($D53,Milestones!$AA$153),"dd/mm/yy")&amp;" "&amp;Milestones!$AB$153&amp;" "&amp;Milestones!$AC$153&amp;";  ","")&amp;IF(AND(EDATE($D53,Milestones!$AA$154)&lt;=AsOfDate,IF($Q53=0,$W53,IF(AND($S53&lt;&gt;"",EDATE($D53,Milestones!$AA$154)&gt;=$S53),$V53,IF(AND($R53&lt;&gt;"",EDATE($D53,Milestones!$AA$154)&gt;=$R53),$U53,$T53)))=Milestones!$AB$154),TEXT(EDATE($D53,Milestones!$AA$154),"dd/mm/yy")&amp;" "&amp;Milestones!$AB$154&amp;" "&amp;Milestones!$AC$154&amp;";  ","")&amp;IF(AND(EDATE($D53,Milestones!$AA$155)&lt;=AsOfDate,IF($Q53=0,$W53,IF(AND($S53&lt;&gt;"",EDATE($D53,Milestones!$AA$155)&gt;=$S53),$V53,IF(AND($R53&lt;&gt;"",EDATE($D53,Milestones!$AA$155)&gt;=$R53),$U53,$T53)))=Milestones!$AB$155),TEXT(EDATE($D53,Milestones!$AA$155),"dd/mm/yy")&amp;" "&amp;Milestones!$AB$155&amp;" "&amp;Milestones!$AC$155&amp;";  ","")&amp;IF(AND(EDATE($D53,Milestones!$AA$156)&lt;=AsOfDate,IF($Q53=0,$W53,IF(AND($S53&lt;&gt;"",EDATE($D53,Milestones!$AA$156)&gt;=$S53),$V53,IF(AND($R53&lt;&gt;"",EDATE($D53,Milestones!$AA$156)&gt;=$R53),$U53,$T53)))=Milestones!$AB$156),TEXT(EDATE($D53,Milestones!$AA$156),"dd/mm/yy")&amp;" "&amp;Milestones!$AB$156&amp;" "&amp;Milestones!$AC$156&amp;";  ","")&amp;IF(AND(EDATE($D53,Milestones!$AA$157)&lt;=AsOfDate,IF($Q53=0,$W53,IF(AND($S53&lt;&gt;"",EDATE($D53,Milestones!$AA$157)&gt;=$S53),$V53,IF(AND($R53&lt;&gt;"",EDATE($D53,Milestones!$AA$157)&gt;=$R53),$U53,$T53)))=Milestones!$AB$157),TEXT(EDATE($D53,Milestones!$AA$157),"dd/mm/yy")&amp;" "&amp;Milestones!$AB$157&amp;" "&amp;Milestones!$AC$157&amp;";  ","")&amp;IF(AND(EDATE($D53,Milestones!$AA$158)&lt;=AsOfDate,IF($Q53=0,$W53,IF(AND($S53&lt;&gt;"",EDATE($D53,Milestones!$AA$158)&gt;=$S53),$V53,IF(AND($R53&lt;&gt;"",EDATE($D53,Milestones!$AA$158)&gt;=$R53),$U53,$T53)))=Milestones!$AB$158),TEXT(EDATE($D53,Milestones!$AA$158),"dd/mm/yy")&amp;" "&amp;Milestones!$AB$158&amp;" "&amp;Milestones!$AC$158&amp;";  ","")&amp;IF(AND(EDATE($D53,Milestones!$AA$159)&lt;=AsOfDate,IF($Q53=0,$W53,IF(AND($S53&lt;&gt;"",EDATE($D53,Milestones!$AA$159)&gt;=$S53),$V53,IF(AND($R53&lt;&gt;"",EDATE($D53,Milestones!$AA$159)&gt;=$R53),$U53,$T53)))=Milestones!$AB$159),TEXT(EDATE($D53,Milestones!$AA$159),"dd/mm/yy")&amp;" "&amp;Milestones!$AB$159&amp;" "&amp;Milestones!$AC$159&amp;";  ",""))</f>
        <v/>
      </c>
      <c r="O53" s="0" t="str">
        <f aca="false">IF(OR($A53="",$D53=""),"",IF(AND(EDATE($D53,Milestones!$AA$160)&lt;=AsOfDate,IF($Q53=0,$W53,IF(AND($S53&lt;&gt;"",EDATE($D53,Milestones!$AA$160)&gt;=$S53),$V53,IF(AND($R53&lt;&gt;"",EDATE($D53,Milestones!$AA$160)&gt;=$R53),$U53,$T53)))=Milestones!$AB$160),TEXT(EDATE($D53,Milestones!$AA$160),"dd/mm/yy")&amp;" "&amp;Milestones!$AB$160&amp;" "&amp;Milestones!$AC$160&amp;";  ","")&amp;IF(AND(EDATE($D53,Milestones!$AA$161)&lt;=AsOfDate,IF($Q53=0,$W53,IF(AND($S53&lt;&gt;"",EDATE($D53,Milestones!$AA$161)&gt;=$S53),$V53,IF(AND($R53&lt;&gt;"",EDATE($D53,Milestones!$AA$161)&gt;=$R53),$U53,$T53)))=Milestones!$AB$161),TEXT(EDATE($D53,Milestones!$AA$161),"dd/mm/yy")&amp;" "&amp;Milestones!$AB$161&amp;" "&amp;Milestones!$AC$161&amp;";  ","")&amp;IF(AND(EDATE($D53,Milestones!$AA$162)&lt;=AsOfDate,IF($Q53=0,$W53,IF(AND($S53&lt;&gt;"",EDATE($D53,Milestones!$AA$162)&gt;=$S53),$V53,IF(AND($R53&lt;&gt;"",EDATE($D53,Milestones!$AA$162)&gt;=$R53),$U53,$T53)))=Milestones!$AB$162),TEXT(EDATE($D53,Milestones!$AA$162),"dd/mm/yy")&amp;" "&amp;Milestones!$AB$162&amp;" "&amp;Milestones!$AC$162&amp;";  ","")&amp;IF(AND(EDATE($D53,Milestones!$AA$163)&lt;=AsOfDate,IF($Q53=0,$W53,IF(AND($S53&lt;&gt;"",EDATE($D53,Milestones!$AA$163)&gt;=$S53),$V53,IF(AND($R53&lt;&gt;"",EDATE($D53,Milestones!$AA$163)&gt;=$R53),$U53,$T53)))=Milestones!$AB$163),TEXT(EDATE($D53,Milestones!$AA$163),"dd/mm/yy")&amp;" "&amp;Milestones!$AB$163&amp;" "&amp;Milestones!$AC$163&amp;";  ","")&amp;IF(AND(EDATE($D53,Milestones!$AA$164)&lt;=AsOfDate,IF($Q53=0,$W53,IF(AND($S53&lt;&gt;"",EDATE($D53,Milestones!$AA$164)&gt;=$S53),$V53,IF(AND($R53&lt;&gt;"",EDATE($D53,Milestones!$AA$164)&gt;=$R53),$U53,$T53)))=Milestones!$AB$164),TEXT(EDATE($D53,Milestones!$AA$164),"dd/mm/yy")&amp;" "&amp;Milestones!$AB$164&amp;" "&amp;Milestones!$AC$164&amp;";  ","")&amp;IF(AND(EDATE($D53,Milestones!$AA$165)&lt;=AsOfDate,IF($Q53=0,$W53,IF(AND($S53&lt;&gt;"",EDATE($D53,Milestones!$AA$165)&gt;=$S53),$V53,IF(AND($R53&lt;&gt;"",EDATE($D53,Milestones!$AA$165)&gt;=$R53),$U53,$T53)))=Milestones!$AB$165),TEXT(EDATE($D53,Milestones!$AA$165),"dd/mm/yy")&amp;" "&amp;Milestones!$AB$165&amp;" "&amp;Milestones!$AC$165&amp;";  ","")&amp;IF(AND(EDATE($D53,Milestones!$AA$166)&lt;=AsOfDate,IF($Q53=0,$W53,IF(AND($S53&lt;&gt;"",EDATE($D53,Milestones!$AA$166)&gt;=$S53),$V53,IF(AND($R53&lt;&gt;"",EDATE($D53,Milestones!$AA$166)&gt;=$R53),$U53,$T53)))=Milestones!$AB$166),TEXT(EDATE($D53,Milestones!$AA$166),"dd/mm/yy")&amp;" "&amp;Milestones!$AB$166&amp;" "&amp;Milestones!$AC$166&amp;";  ","")&amp;IF(AND(EDATE($D53,Milestones!$AA$167)&lt;=AsOfDate,IF($Q53=0,$W53,IF(AND($S53&lt;&gt;"",EDATE($D53,Milestones!$AA$167)&gt;=$S53),$V53,IF(AND($R53&lt;&gt;"",EDATE($D53,Milestones!$AA$167)&gt;=$R53),$U53,$T53)))=Milestones!$AB$167),TEXT(EDATE($D53,Milestones!$AA$167),"dd/mm/yy")&amp;" "&amp;Milestones!$AB$167&amp;" "&amp;Milestones!$AC$167&amp;";  ","")&amp;IF(AND(EDATE($D53,Milestones!$AA$168)&lt;=AsOfDate,IF($Q53=0,$W53,IF(AND($S53&lt;&gt;"",EDATE($D53,Milestones!$AA$168)&gt;=$S53),$V53,IF(AND($R53&lt;&gt;"",EDATE($D53,Milestones!$AA$168)&gt;=$R53),$U53,$T53)))=Milestones!$AB$168),TEXT(EDATE($D53,Milestones!$AA$168),"dd/mm/yy")&amp;" "&amp;Milestones!$AB$168&amp;" "&amp;Milestones!$AC$168&amp;";  ","")&amp;IF(AND(EDATE($D53,Milestones!$AA$169)&lt;=AsOfDate,IF($Q53=0,$W53,IF(AND($S53&lt;&gt;"",EDATE($D53,Milestones!$AA$169)&gt;=$S53),$V53,IF(AND($R53&lt;&gt;"",EDATE($D53,Milestones!$AA$169)&gt;=$R53),$U53,$T53)))=Milestones!$AB$169),TEXT(EDATE($D53,Milestones!$AA$169),"dd/mm/yy")&amp;" "&amp;Milestones!$AB$169&amp;" "&amp;Milestones!$AC$169&amp;";  ","")&amp;IF(AND(EDATE($D53,Milestones!$AA$170)&lt;=AsOfDate,IF($Q53=0,$W53,IF(AND($S53&lt;&gt;"",EDATE($D53,Milestones!$AA$170)&gt;=$S53),$V53,IF(AND($R53&lt;&gt;"",EDATE($D53,Milestones!$AA$170)&gt;=$R53),$U53,$T53)))=Milestones!$AB$170),TEXT(EDATE($D53,Milestones!$AA$170),"dd/mm/yy")&amp;" "&amp;Milestones!$AB$170&amp;" "&amp;Milestones!$AC$170&amp;";  ","")&amp;IF(AND(EDATE($D53,Milestones!$AA$171)&lt;=AsOfDate,IF($Q53=0,$W53,IF(AND($S53&lt;&gt;"",EDATE($D53,Milestones!$AA$171)&gt;=$S53),$V53,IF(AND($R53&lt;&gt;"",EDATE($D53,Milestones!$AA$171)&gt;=$R53),$U53,$T53)))=Milestones!$AB$171),TEXT(EDATE($D53,Milestones!$AA$171),"dd/mm/yy")&amp;" "&amp;Milestones!$AB$171&amp;" "&amp;Milestones!$AC$171&amp;";  ","")&amp;IF(AND(EDATE($D53,Milestones!$AA$172)&lt;=AsOfDate,IF($Q53=0,$W53,IF(AND($S53&lt;&gt;"",EDATE($D53,Milestones!$AA$172)&gt;=$S53),$V53,IF(AND($R53&lt;&gt;"",EDATE($D53,Milestones!$AA$172)&gt;=$R53),$U53,$T53)))=Milestones!$AB$172),TEXT(EDATE($D53,Milestones!$AA$172),"dd/mm/yy")&amp;" "&amp;Milestones!$AB$172&amp;" "&amp;Milestones!$AC$172&amp;";  ","")&amp;IF(AND(EDATE($D53,Milestones!$AA$173)&lt;=AsOfDate,IF($Q53=0,$W53,IF(AND($S53&lt;&gt;"",EDATE($D53,Milestones!$AA$173)&gt;=$S53),$V53,IF(AND($R53&lt;&gt;"",EDATE($D53,Milestones!$AA$173)&gt;=$R53),$U53,$T53)))=Milestones!$AB$173),TEXT(EDATE($D53,Milestones!$AA$173),"dd/mm/yy")&amp;" "&amp;Milestones!$AB$173&amp;" "&amp;Milestones!$AC$173&amp;";  ","")&amp;IF(AND(EDATE($D53,Milestones!$AA$174)&lt;=AsOfDate,IF($Q53=0,$W53,IF(AND($S53&lt;&gt;"",EDATE($D53,Milestones!$AA$174)&gt;=$S53),$V53,IF(AND($R53&lt;&gt;"",EDATE($D53,Milestones!$AA$174)&gt;=$R53),$U53,$T53)))=Milestones!$AB$174),TEXT(EDATE($D53,Milestones!$AA$174),"dd/mm/yy")&amp;" "&amp;Milestones!$AB$174&amp;" "&amp;Milestones!$AC$174&amp;";  ","")&amp;IF(AND(EDATE($D53,Milestones!$AA$175)&lt;=AsOfDate,IF($Q53=0,$W53,IF(AND($S53&lt;&gt;"",EDATE($D53,Milestones!$AA$175)&gt;=$S53),$V53,IF(AND($R53&lt;&gt;"",EDATE($D53,Milestones!$AA$175)&gt;=$R53),$U53,$T53)))=Milestones!$AB$175),TEXT(EDATE($D53,Milestones!$AA$175),"dd/mm/yy")&amp;" "&amp;Milestones!$AB$175&amp;" "&amp;Milestones!$AC$175&amp;";  ","")&amp;IF(AND(EDATE($D53,Milestones!$AA$176)&lt;=AsOfDate,IF($Q53=0,$W53,IF(AND($S53&lt;&gt;"",EDATE($D53,Milestones!$AA$176)&gt;=$S53),$V53,IF(AND($R53&lt;&gt;"",EDATE($D53,Milestones!$AA$176)&gt;=$R53),$U53,$T53)))=Milestones!$AB$176),TEXT(EDATE($D53,Milestones!$AA$176),"dd/mm/yy")&amp;" "&amp;Milestones!$AB$176&amp;" "&amp;Milestones!$AC$176&amp;";  ","")&amp;IF(AND(EDATE($D53,Milestones!$AA$177)&lt;=AsOfDate,IF($Q53=0,$W53,IF(AND($S53&lt;&gt;"",EDATE($D53,Milestones!$AA$177)&gt;=$S53),$V53,IF(AND($R53&lt;&gt;"",EDATE($D53,Milestones!$AA$177)&gt;=$R53),$U53,$T53)))=Milestones!$AB$177),TEXT(EDATE($D53,Milestones!$AA$177),"dd/mm/yy")&amp;" "&amp;Milestones!$AB$177&amp;" "&amp;Milestones!$AC$177&amp;";  ","")&amp;IF(AND(EDATE($D53,Milestones!$AA$178)&lt;=AsOfDate,IF($Q53=0,$W53,IF(AND($S53&lt;&gt;"",EDATE($D53,Milestones!$AA$178)&gt;=$S53),$V53,IF(AND($R53&lt;&gt;"",EDATE($D53,Milestones!$AA$178)&gt;=$R53),$U53,$T53)))=Milestones!$AB$178),TEXT(EDATE($D53,Milestones!$AA$178),"dd/mm/yy")&amp;" "&amp;Milestones!$AB$178&amp;" "&amp;Milestones!$AC$178&amp;";  ","")&amp;IF(AND(EDATE($D53,Milestones!$AA$179)&lt;=AsOfDate,IF($Q53=0,$W53,IF(AND($S53&lt;&gt;"",EDATE($D53,Milestones!$AA$179)&gt;=$S53),$V53,IF(AND($R53&lt;&gt;"",EDATE($D53,Milestones!$AA$179)&gt;=$R53),$U53,$T53)))=Milestones!$AB$179),TEXT(EDATE($D53,Milestones!$AA$179),"dd/mm/yy")&amp;" "&amp;Milestones!$AB$179&amp;" "&amp;Milestones!$AC$179&amp;";  ",""))</f>
        <v/>
      </c>
      <c r="P53" s="0" t="str">
        <f aca="false">IF(OR($A53="",$D53=""),"",IF(AND(EDATE($D53,Milestones!$AA$180)&lt;=AsOfDate,IF($Q53=0,$W53,IF(AND($S53&lt;&gt;"",EDATE($D53,Milestones!$AA$180)&gt;=$S53),$V53,IF(AND($R53&lt;&gt;"",EDATE($D53,Milestones!$AA$180)&gt;=$R53),$U53,$T53)))=Milestones!$AB$180),TEXT(EDATE($D53,Milestones!$AA$180),"dd/mm/yy")&amp;" "&amp;Milestones!$AB$180&amp;" "&amp;Milestones!$AC$180&amp;";  ","")&amp;IF(AND(EDATE($D53,Milestones!$AA$181)&lt;=AsOfDate,IF($Q53=0,$W53,IF(AND($S53&lt;&gt;"",EDATE($D53,Milestones!$AA$181)&gt;=$S53),$V53,IF(AND($R53&lt;&gt;"",EDATE($D53,Milestones!$AA$181)&gt;=$R53),$U53,$T53)))=Milestones!$AB$181),TEXT(EDATE($D53,Milestones!$AA$181),"dd/mm/yy")&amp;" "&amp;Milestones!$AB$181&amp;" "&amp;Milestones!$AC$181&amp;";  ","")&amp;IF(AND(EDATE($D53,Milestones!$AA$182)&lt;=AsOfDate,IF($Q53=0,$W53,IF(AND($S53&lt;&gt;"",EDATE($D53,Milestones!$AA$182)&gt;=$S53),$V53,IF(AND($R53&lt;&gt;"",EDATE($D53,Milestones!$AA$182)&gt;=$R53),$U53,$T53)))=Milestones!$AB$182),TEXT(EDATE($D53,Milestones!$AA$182),"dd/mm/yy")&amp;" "&amp;Milestones!$AB$182&amp;" "&amp;Milestones!$AC$182&amp;";  ","")&amp;IF(AND(EDATE($D53,Milestones!$AA$183)&lt;=AsOfDate,IF($Q53=0,$W53,IF(AND($S53&lt;&gt;"",EDATE($D53,Milestones!$AA$183)&gt;=$S53),$V53,IF(AND($R53&lt;&gt;"",EDATE($D53,Milestones!$AA$183)&gt;=$R53),$U53,$T53)))=Milestones!$AB$183),TEXT(EDATE($D53,Milestones!$AA$183),"dd/mm/yy")&amp;" "&amp;Milestones!$AB$183&amp;" "&amp;Milestones!$AC$183&amp;";  ","")&amp;IF(AND(EDATE($D53,Milestones!$AA$184)&lt;=AsOfDate,IF($Q53=0,$W53,IF(AND($S53&lt;&gt;"",EDATE($D53,Milestones!$AA$184)&gt;=$S53),$V53,IF(AND($R53&lt;&gt;"",EDATE($D53,Milestones!$AA$184)&gt;=$R53),$U53,$T53)))=Milestones!$AB$184),TEXT(EDATE($D53,Milestones!$AA$184),"dd/mm/yy")&amp;" "&amp;Milestones!$AB$184&amp;" "&amp;Milestones!$AC$184&amp;";  ","")&amp;IF(AND(EDATE($D53,Milestones!$AA$185)&lt;=AsOfDate,IF($Q53=0,$W53,IF(AND($S53&lt;&gt;"",EDATE($D53,Milestones!$AA$185)&gt;=$S53),$V53,IF(AND($R53&lt;&gt;"",EDATE($D53,Milestones!$AA$185)&gt;=$R53),$U53,$T53)))=Milestones!$AB$185),TEXT(EDATE($D53,Milestones!$AA$185),"dd/mm/yy")&amp;" "&amp;Milestones!$AB$185&amp;" "&amp;Milestones!$AC$185&amp;";  ","")&amp;IF(AND(EDATE($D53,Milestones!$AA$186)&lt;=AsOfDate,IF($Q53=0,$W53,IF(AND($S53&lt;&gt;"",EDATE($D53,Milestones!$AA$186)&gt;=$S53),$V53,IF(AND($R53&lt;&gt;"",EDATE($D53,Milestones!$AA$186)&gt;=$R53),$U53,$T53)))=Milestones!$AB$186),TEXT(EDATE($D53,Milestones!$AA$186),"dd/mm/yy")&amp;" "&amp;Milestones!$AB$186&amp;" "&amp;Milestones!$AC$186&amp;";  ","")&amp;IF(AND(EDATE($D53,Milestones!$AA$187)&lt;=AsOfDate,IF($Q53=0,$W53,IF(AND($S53&lt;&gt;"",EDATE($D53,Milestones!$AA$187)&gt;=$S53),$V53,IF(AND($R53&lt;&gt;"",EDATE($D53,Milestones!$AA$187)&gt;=$R53),$U53,$T53)))=Milestones!$AB$187),TEXT(EDATE($D53,Milestones!$AA$187),"dd/mm/yy")&amp;" "&amp;Milestones!$AB$187&amp;" "&amp;Milestones!$AC$187&amp;";  ","")&amp;IF(AND(EDATE($D53,Milestones!$AA$188)&lt;=AsOfDate,IF($Q53=0,$W53,IF(AND($S53&lt;&gt;"",EDATE($D53,Milestones!$AA$188)&gt;=$S53),$V53,IF(AND($R53&lt;&gt;"",EDATE($D53,Milestones!$AA$188)&gt;=$R53),$U53,$T53)))=Milestones!$AB$188),TEXT(EDATE($D53,Milestones!$AA$188),"dd/mm/yy")&amp;" "&amp;Milestones!$AB$188&amp;" "&amp;Milestones!$AC$188&amp;";  ","")&amp;IF(AND(EDATE($D53,Milestones!$AA$189)&lt;=AsOfDate,IF($Q53=0,$W53,IF(AND($S53&lt;&gt;"",EDATE($D53,Milestones!$AA$189)&gt;=$S53),$V53,IF(AND($R53&lt;&gt;"",EDATE($D53,Milestones!$AA$189)&gt;=$R53),$U53,$T53)))=Milestones!$AB$189),TEXT(EDATE($D53,Milestones!$AA$189),"dd/mm/yy")&amp;" "&amp;Milestones!$AB$189&amp;" "&amp;Milestones!$AC$189&amp;";  ","")&amp;IF(AND(EDATE($D53,Milestones!$AA$190)&lt;=AsOfDate,IF($Q53=0,$W53,IF(AND($S53&lt;&gt;"",EDATE($D53,Milestones!$AA$190)&gt;=$S53),$V53,IF(AND($R53&lt;&gt;"",EDATE($D53,Milestones!$AA$190)&gt;=$R53),$U53,$T53)))=Milestones!$AB$190),TEXT(EDATE($D53,Milestones!$AA$190),"dd/mm/yy")&amp;" "&amp;Milestones!$AB$190&amp;" "&amp;Milestones!$AC$190&amp;";  ","")&amp;IF(AND(EDATE($D53,Milestones!$AA$191)&lt;=AsOfDate,IF($Q53=0,$W53,IF(AND($S53&lt;&gt;"",EDATE($D53,Milestones!$AA$191)&gt;=$S53),$V53,IF(AND($R53&lt;&gt;"",EDATE($D53,Milestones!$AA$191)&gt;=$R53),$U53,$T53)))=Milestones!$AB$191),TEXT(EDATE($D53,Milestones!$AA$191),"dd/mm/yy")&amp;" "&amp;Milestones!$AB$191&amp;" "&amp;Milestones!$AC$191&amp;";  ","")&amp;IF(AND(EDATE($D53,Milestones!$AA$192)&lt;=AsOfDate,IF($Q53=0,$W53,IF(AND($S53&lt;&gt;"",EDATE($D53,Milestones!$AA$192)&gt;=$S53),$V53,IF(AND($R53&lt;&gt;"",EDATE($D53,Milestones!$AA$192)&gt;=$R53),$U53,$T53)))=Milestones!$AB$192),TEXT(EDATE($D53,Milestones!$AA$192),"dd/mm/yy")&amp;" "&amp;Milestones!$AB$192&amp;" "&amp;Milestones!$AC$192&amp;";  ","")&amp;IF(AND(EDATE($D53,Milestones!$AA$193)&lt;=AsOfDate,IF($Q53=0,$W53,IF(AND($S53&lt;&gt;"",EDATE($D53,Milestones!$AA$193)&gt;=$S53),$V53,IF(AND($R53&lt;&gt;"",EDATE($D53,Milestones!$AA$193)&gt;=$R53),$U53,$T53)))=Milestones!$AB$193),TEXT(EDATE($D53,Milestones!$AA$193),"dd/mm/yy")&amp;" "&amp;Milestones!$AB$193&amp;" "&amp;Milestones!$AC$193&amp;";  ","")&amp;IF(AND(EDATE($D53,Milestones!$AA$194)&lt;=AsOfDate,IF($Q53=0,$W53,IF(AND($S53&lt;&gt;"",EDATE($D53,Milestones!$AA$194)&gt;=$S53),$V53,IF(AND($R53&lt;&gt;"",EDATE($D53,Milestones!$AA$194)&gt;=$R53),$U53,$T53)))=Milestones!$AB$194),TEXT(EDATE($D53,Milestones!$AA$194),"dd/mm/yy")&amp;" "&amp;Milestones!$AB$194&amp;" "&amp;Milestones!$AC$194&amp;";  ","")&amp;IF(AND(EDATE($D53,Milestones!$AA$195)&lt;=AsOfDate,IF($Q53=0,$W53,IF(AND($S53&lt;&gt;"",EDATE($D53,Milestones!$AA$195)&gt;=$S53),$V53,IF(AND($R53&lt;&gt;"",EDATE($D53,Milestones!$AA$195)&gt;=$R53),$U53,$T53)))=Milestones!$AB$195),TEXT(EDATE($D53,Milestones!$AA$195),"dd/mm/yy")&amp;" "&amp;Milestones!$AB$195&amp;" "&amp;Milestones!$AC$195&amp;";  ","")&amp;IF(AND(EDATE($D53,Milestones!$AA$196)&lt;=AsOfDate,IF($Q53=0,$W53,IF(AND($S53&lt;&gt;"",EDATE($D53,Milestones!$AA$196)&gt;=$S53),$V53,IF(AND($R53&lt;&gt;"",EDATE($D53,Milestones!$AA$196)&gt;=$R53),$U53,$T53)))=Milestones!$AB$196),TEXT(EDATE($D53,Milestones!$AA$196),"dd/mm/yy")&amp;" "&amp;Milestones!$AB$196&amp;" "&amp;Milestones!$AC$196&amp;";  ","")&amp;IF(AND(EDATE($D53,Milestones!$AA$197)&lt;=AsOfDate,IF($Q53=0,$W53,IF(AND($S53&lt;&gt;"",EDATE($D53,Milestones!$AA$197)&gt;=$S53),$V53,IF(AND($R53&lt;&gt;"",EDATE($D53,Milestones!$AA$197)&gt;=$R53),$U53,$T53)))=Milestones!$AB$197),TEXT(EDATE($D53,Milestones!$AA$197),"dd/mm/yy")&amp;" "&amp;Milestones!$AB$197&amp;" "&amp;Milestones!$AC$197&amp;";  ","")&amp;IF(AND(EDATE($D53,Milestones!$AA$198)&lt;=AsOfDate,IF($Q53=0,$W53,IF(AND($S53&lt;&gt;"",EDATE($D53,Milestones!$AA$198)&gt;=$S53),$V53,IF(AND($R53&lt;&gt;"",EDATE($D53,Milestones!$AA$198)&gt;=$R53),$U53,$T53)))=Milestones!$AB$198),TEXT(EDATE($D53,Milestones!$AA$198),"dd/mm/yy")&amp;" "&amp;Milestones!$AB$198&amp;" "&amp;Milestones!$AC$198&amp;";  ","")&amp;IF(AND(EDATE($D53,Milestones!$AA$199)&lt;=AsOfDate,IF($Q53=0,$W53,IF(AND($S53&lt;&gt;"",EDATE($D53,Milestones!$AA$199)&gt;=$S53),$V53,IF(AND($R53&lt;&gt;"",EDATE($D53,Milestones!$AA$199)&gt;=$R53),$U53,$T53)))=Milestones!$AB$199),TEXT(EDATE($D53,Milestones!$AA$199),"dd/mm/yy")&amp;" "&amp;Milestones!$AB$199&amp;" "&amp;Milestones!$AC$199&amp;";  ",""))</f>
        <v/>
      </c>
      <c r="Q53" s="0" t="str">
        <f aca="false">IF(Staff!$A53="","",Staff!$AG53)</f>
        <v/>
      </c>
      <c r="R53" s="0" t="str">
        <f aca="false">IF(Staff!$A53="","",Staff!$AI53)</f>
        <v/>
      </c>
      <c r="S53" s="0" t="str">
        <f aca="false">IF(Staff!$A53="","",Staff!$AJ53)</f>
        <v/>
      </c>
      <c r="T53" s="0" t="str">
        <f aca="false">IF(Staff!$A53="","",Staff!$AN53)</f>
        <v/>
      </c>
      <c r="U53" s="0" t="str">
        <f aca="false">IF(Staff!$A53="","",Staff!$AO53)</f>
        <v/>
      </c>
      <c r="V53" s="0" t="str">
        <f aca="false">IF(Staff!$A53="","",Staff!$AP53)</f>
        <v/>
      </c>
      <c r="W53" s="0" t="str">
        <f aca="false">IF(Staff!$A53="","",Staff!$AQ53)</f>
        <v/>
      </c>
    </row>
    <row r="54" customFormat="false" ht="15" hidden="false" customHeight="false" outlineLevel="0" collapsed="false">
      <c r="A54" s="13" t="str">
        <f aca="false">IF(Staff!$A54="","",Staff!$A54)</f>
        <v/>
      </c>
      <c r="B54" s="13" t="str">
        <f aca="false">IF(Staff!$A54="","",Staff!$B54)</f>
        <v/>
      </c>
      <c r="C54" s="13" t="str">
        <f aca="false">IF(Staff!$A54="","",Staff!$C54)</f>
        <v/>
      </c>
      <c r="D54" s="11" t="str">
        <f aca="false">IF(Staff!$A54="","",Staff!$AF54)</f>
        <v/>
      </c>
      <c r="E54" s="13" t="str">
        <f aca="false">IF(Staff!$A54="","",Staff!$O54)</f>
        <v/>
      </c>
      <c r="F54" s="13" t="str">
        <f aca="false">IF(E54="","",E54*HoursPerDay)</f>
        <v/>
      </c>
      <c r="G54" s="26" t="str">
        <f aca="false">IF($A54="","",H54&amp;I54&amp;J54&amp;K54&amp;L54&amp;M54&amp;N54&amp;O54&amp;P54)</f>
        <v/>
      </c>
      <c r="H54" s="0" t="str">
        <f aca="false">IF(OR($A54="",$D54=""),"",IF(AND(EDATE($D54,Milestones!$AA$20)&lt;=AsOfDate,IF($Q54=0,$W54,IF(AND($S54&lt;&gt;"",EDATE($D54,Milestones!$AA$20)&gt;=$S54),$V54,IF(AND($R54&lt;&gt;"",EDATE($D54,Milestones!$AA$20)&gt;=$R54),$U54,$T54)))=Milestones!$AB$20),TEXT(EDATE($D54,Milestones!$AA$20),"dd/mm/yy")&amp;" "&amp;Milestones!$AB$20&amp;" "&amp;Milestones!$AC$20&amp;";  ","")&amp;IF(AND(EDATE($D54,Milestones!$AA$21)&lt;=AsOfDate,IF($Q54=0,$W54,IF(AND($S54&lt;&gt;"",EDATE($D54,Milestones!$AA$21)&gt;=$S54),$V54,IF(AND($R54&lt;&gt;"",EDATE($D54,Milestones!$AA$21)&gt;=$R54),$U54,$T54)))=Milestones!$AB$21),TEXT(EDATE($D54,Milestones!$AA$21),"dd/mm/yy")&amp;" "&amp;Milestones!$AB$21&amp;" "&amp;Milestones!$AC$21&amp;";  ","")&amp;IF(AND(EDATE($D54,Milestones!$AA$22)&lt;=AsOfDate,IF($Q54=0,$W54,IF(AND($S54&lt;&gt;"",EDATE($D54,Milestones!$AA$22)&gt;=$S54),$V54,IF(AND($R54&lt;&gt;"",EDATE($D54,Milestones!$AA$22)&gt;=$R54),$U54,$T54)))=Milestones!$AB$22),TEXT(EDATE($D54,Milestones!$AA$22),"dd/mm/yy")&amp;" "&amp;Milestones!$AB$22&amp;" "&amp;Milestones!$AC$22&amp;";  ","")&amp;IF(AND(EDATE($D54,Milestones!$AA$23)&lt;=AsOfDate,IF($Q54=0,$W54,IF(AND($S54&lt;&gt;"",EDATE($D54,Milestones!$AA$23)&gt;=$S54),$V54,IF(AND($R54&lt;&gt;"",EDATE($D54,Milestones!$AA$23)&gt;=$R54),$U54,$T54)))=Milestones!$AB$23),TEXT(EDATE($D54,Milestones!$AA$23),"dd/mm/yy")&amp;" "&amp;Milestones!$AB$23&amp;" "&amp;Milestones!$AC$23&amp;";  ","")&amp;IF(AND(EDATE($D54,Milestones!$AA$24)&lt;=AsOfDate,IF($Q54=0,$W54,IF(AND($S54&lt;&gt;"",EDATE($D54,Milestones!$AA$24)&gt;=$S54),$V54,IF(AND($R54&lt;&gt;"",EDATE($D54,Milestones!$AA$24)&gt;=$R54),$U54,$T54)))=Milestones!$AB$24),TEXT(EDATE($D54,Milestones!$AA$24),"dd/mm/yy")&amp;" "&amp;Milestones!$AB$24&amp;" "&amp;Milestones!$AC$24&amp;";  ","")&amp;IF(AND(EDATE($D54,Milestones!$AA$25)&lt;=AsOfDate,IF($Q54=0,$W54,IF(AND($S54&lt;&gt;"",EDATE($D54,Milestones!$AA$25)&gt;=$S54),$V54,IF(AND($R54&lt;&gt;"",EDATE($D54,Milestones!$AA$25)&gt;=$R54),$U54,$T54)))=Milestones!$AB$25),TEXT(EDATE($D54,Milestones!$AA$25),"dd/mm/yy")&amp;" "&amp;Milestones!$AB$25&amp;" "&amp;Milestones!$AC$25&amp;";  ","")&amp;IF(AND(EDATE($D54,Milestones!$AA$26)&lt;=AsOfDate,IF($Q54=0,$W54,IF(AND($S54&lt;&gt;"",EDATE($D54,Milestones!$AA$26)&gt;=$S54),$V54,IF(AND($R54&lt;&gt;"",EDATE($D54,Milestones!$AA$26)&gt;=$R54),$U54,$T54)))=Milestones!$AB$26),TEXT(EDATE($D54,Milestones!$AA$26),"dd/mm/yy")&amp;" "&amp;Milestones!$AB$26&amp;" "&amp;Milestones!$AC$26&amp;";  ","")&amp;IF(AND(EDATE($D54,Milestones!$AA$27)&lt;=AsOfDate,IF($Q54=0,$W54,IF(AND($S54&lt;&gt;"",EDATE($D54,Milestones!$AA$27)&gt;=$S54),$V54,IF(AND($R54&lt;&gt;"",EDATE($D54,Milestones!$AA$27)&gt;=$R54),$U54,$T54)))=Milestones!$AB$27),TEXT(EDATE($D54,Milestones!$AA$27),"dd/mm/yy")&amp;" "&amp;Milestones!$AB$27&amp;" "&amp;Milestones!$AC$27&amp;";  ","")&amp;IF(AND(EDATE($D54,Milestones!$AA$28)&lt;=AsOfDate,IF($Q54=0,$W54,IF(AND($S54&lt;&gt;"",EDATE($D54,Milestones!$AA$28)&gt;=$S54),$V54,IF(AND($R54&lt;&gt;"",EDATE($D54,Milestones!$AA$28)&gt;=$R54),$U54,$T54)))=Milestones!$AB$28),TEXT(EDATE($D54,Milestones!$AA$28),"dd/mm/yy")&amp;" "&amp;Milestones!$AB$28&amp;" "&amp;Milestones!$AC$28&amp;";  ","")&amp;IF(AND(EDATE($D54,Milestones!$AA$29)&lt;=AsOfDate,IF($Q54=0,$W54,IF(AND($S54&lt;&gt;"",EDATE($D54,Milestones!$AA$29)&gt;=$S54),$V54,IF(AND($R54&lt;&gt;"",EDATE($D54,Milestones!$AA$29)&gt;=$R54),$U54,$T54)))=Milestones!$AB$29),TEXT(EDATE($D54,Milestones!$AA$29),"dd/mm/yy")&amp;" "&amp;Milestones!$AB$29&amp;" "&amp;Milestones!$AC$29&amp;";  ","")&amp;IF(AND(EDATE($D54,Milestones!$AA$30)&lt;=AsOfDate,IF($Q54=0,$W54,IF(AND($S54&lt;&gt;"",EDATE($D54,Milestones!$AA$30)&gt;=$S54),$V54,IF(AND($R54&lt;&gt;"",EDATE($D54,Milestones!$AA$30)&gt;=$R54),$U54,$T54)))=Milestones!$AB$30),TEXT(EDATE($D54,Milestones!$AA$30),"dd/mm/yy")&amp;" "&amp;Milestones!$AB$30&amp;" "&amp;Milestones!$AC$30&amp;";  ","")&amp;IF(AND(EDATE($D54,Milestones!$AA$31)&lt;=AsOfDate,IF($Q54=0,$W54,IF(AND($S54&lt;&gt;"",EDATE($D54,Milestones!$AA$31)&gt;=$S54),$V54,IF(AND($R54&lt;&gt;"",EDATE($D54,Milestones!$AA$31)&gt;=$R54),$U54,$T54)))=Milestones!$AB$31),TEXT(EDATE($D54,Milestones!$AA$31),"dd/mm/yy")&amp;" "&amp;Milestones!$AB$31&amp;" "&amp;Milestones!$AC$31&amp;";  ","")&amp;IF(AND(EDATE($D54,Milestones!$AA$32)&lt;=AsOfDate,IF($Q54=0,$W54,IF(AND($S54&lt;&gt;"",EDATE($D54,Milestones!$AA$32)&gt;=$S54),$V54,IF(AND($R54&lt;&gt;"",EDATE($D54,Milestones!$AA$32)&gt;=$R54),$U54,$T54)))=Milestones!$AB$32),TEXT(EDATE($D54,Milestones!$AA$32),"dd/mm/yy")&amp;" "&amp;Milestones!$AB$32&amp;" "&amp;Milestones!$AC$32&amp;";  ","")&amp;IF(AND(EDATE($D54,Milestones!$AA$33)&lt;=AsOfDate,IF($Q54=0,$W54,IF(AND($S54&lt;&gt;"",EDATE($D54,Milestones!$AA$33)&gt;=$S54),$V54,IF(AND($R54&lt;&gt;"",EDATE($D54,Milestones!$AA$33)&gt;=$R54),$U54,$T54)))=Milestones!$AB$33),TEXT(EDATE($D54,Milestones!$AA$33),"dd/mm/yy")&amp;" "&amp;Milestones!$AB$33&amp;" "&amp;Milestones!$AC$33&amp;";  ","")&amp;IF(AND(EDATE($D54,Milestones!$AA$34)&lt;=AsOfDate,IF($Q54=0,$W54,IF(AND($S54&lt;&gt;"",EDATE($D54,Milestones!$AA$34)&gt;=$S54),$V54,IF(AND($R54&lt;&gt;"",EDATE($D54,Milestones!$AA$34)&gt;=$R54),$U54,$T54)))=Milestones!$AB$34),TEXT(EDATE($D54,Milestones!$AA$34),"dd/mm/yy")&amp;" "&amp;Milestones!$AB$34&amp;" "&amp;Milestones!$AC$34&amp;";  ","")&amp;IF(AND(EDATE($D54,Milestones!$AA$35)&lt;=AsOfDate,IF($Q54=0,$W54,IF(AND($S54&lt;&gt;"",EDATE($D54,Milestones!$AA$35)&gt;=$S54),$V54,IF(AND($R54&lt;&gt;"",EDATE($D54,Milestones!$AA$35)&gt;=$R54),$U54,$T54)))=Milestones!$AB$35),TEXT(EDATE($D54,Milestones!$AA$35),"dd/mm/yy")&amp;" "&amp;Milestones!$AB$35&amp;" "&amp;Milestones!$AC$35&amp;";  ","")&amp;IF(AND(EDATE($D54,Milestones!$AA$36)&lt;=AsOfDate,IF($Q54=0,$W54,IF(AND($S54&lt;&gt;"",EDATE($D54,Milestones!$AA$36)&gt;=$S54),$V54,IF(AND($R54&lt;&gt;"",EDATE($D54,Milestones!$AA$36)&gt;=$R54),$U54,$T54)))=Milestones!$AB$36),TEXT(EDATE($D54,Milestones!$AA$36),"dd/mm/yy")&amp;" "&amp;Milestones!$AB$36&amp;" "&amp;Milestones!$AC$36&amp;";  ","")&amp;IF(AND(EDATE($D54,Milestones!$AA$37)&lt;=AsOfDate,IF($Q54=0,$W54,IF(AND($S54&lt;&gt;"",EDATE($D54,Milestones!$AA$37)&gt;=$S54),$V54,IF(AND($R54&lt;&gt;"",EDATE($D54,Milestones!$AA$37)&gt;=$R54),$U54,$T54)))=Milestones!$AB$37),TEXT(EDATE($D54,Milestones!$AA$37),"dd/mm/yy")&amp;" "&amp;Milestones!$AB$37&amp;" "&amp;Milestones!$AC$37&amp;";  ","")&amp;IF(AND(EDATE($D54,Milestones!$AA$38)&lt;=AsOfDate,IF($Q54=0,$W54,IF(AND($S54&lt;&gt;"",EDATE($D54,Milestones!$AA$38)&gt;=$S54),$V54,IF(AND($R54&lt;&gt;"",EDATE($D54,Milestones!$AA$38)&gt;=$R54),$U54,$T54)))=Milestones!$AB$38),TEXT(EDATE($D54,Milestones!$AA$38),"dd/mm/yy")&amp;" "&amp;Milestones!$AB$38&amp;" "&amp;Milestones!$AC$38&amp;";  ","")&amp;IF(AND(EDATE($D54,Milestones!$AA$39)&lt;=AsOfDate,IF($Q54=0,$W54,IF(AND($S54&lt;&gt;"",EDATE($D54,Milestones!$AA$39)&gt;=$S54),$V54,IF(AND($R54&lt;&gt;"",EDATE($D54,Milestones!$AA$39)&gt;=$R54),$U54,$T54)))=Milestones!$AB$39),TEXT(EDATE($D54,Milestones!$AA$39),"dd/mm/yy")&amp;" "&amp;Milestones!$AB$39&amp;" "&amp;Milestones!$AC$39&amp;";  ",""))</f>
        <v/>
      </c>
      <c r="I54" s="0" t="str">
        <f aca="false">IF(OR($A54="",$D54=""),"",IF(AND(EDATE($D54,Milestones!$AA$40)&lt;=AsOfDate,IF($Q54=0,$W54,IF(AND($S54&lt;&gt;"",EDATE($D54,Milestones!$AA$40)&gt;=$S54),$V54,IF(AND($R54&lt;&gt;"",EDATE($D54,Milestones!$AA$40)&gt;=$R54),$U54,$T54)))=Milestones!$AB$40),TEXT(EDATE($D54,Milestones!$AA$40),"dd/mm/yy")&amp;" "&amp;Milestones!$AB$40&amp;" "&amp;Milestones!$AC$40&amp;";  ","")&amp;IF(AND(EDATE($D54,Milestones!$AA$41)&lt;=AsOfDate,IF($Q54=0,$W54,IF(AND($S54&lt;&gt;"",EDATE($D54,Milestones!$AA$41)&gt;=$S54),$V54,IF(AND($R54&lt;&gt;"",EDATE($D54,Milestones!$AA$41)&gt;=$R54),$U54,$T54)))=Milestones!$AB$41),TEXT(EDATE($D54,Milestones!$AA$41),"dd/mm/yy")&amp;" "&amp;Milestones!$AB$41&amp;" "&amp;Milestones!$AC$41&amp;";  ","")&amp;IF(AND(EDATE($D54,Milestones!$AA$42)&lt;=AsOfDate,IF($Q54=0,$W54,IF(AND($S54&lt;&gt;"",EDATE($D54,Milestones!$AA$42)&gt;=$S54),$V54,IF(AND($R54&lt;&gt;"",EDATE($D54,Milestones!$AA$42)&gt;=$R54),$U54,$T54)))=Milestones!$AB$42),TEXT(EDATE($D54,Milestones!$AA$42),"dd/mm/yy")&amp;" "&amp;Milestones!$AB$42&amp;" "&amp;Milestones!$AC$42&amp;";  ","")&amp;IF(AND(EDATE($D54,Milestones!$AA$43)&lt;=AsOfDate,IF($Q54=0,$W54,IF(AND($S54&lt;&gt;"",EDATE($D54,Milestones!$AA$43)&gt;=$S54),$V54,IF(AND($R54&lt;&gt;"",EDATE($D54,Milestones!$AA$43)&gt;=$R54),$U54,$T54)))=Milestones!$AB$43),TEXT(EDATE($D54,Milestones!$AA$43),"dd/mm/yy")&amp;" "&amp;Milestones!$AB$43&amp;" "&amp;Milestones!$AC$43&amp;";  ","")&amp;IF(AND(EDATE($D54,Milestones!$AA$44)&lt;=AsOfDate,IF($Q54=0,$W54,IF(AND($S54&lt;&gt;"",EDATE($D54,Milestones!$AA$44)&gt;=$S54),$V54,IF(AND($R54&lt;&gt;"",EDATE($D54,Milestones!$AA$44)&gt;=$R54),$U54,$T54)))=Milestones!$AB$44),TEXT(EDATE($D54,Milestones!$AA$44),"dd/mm/yy")&amp;" "&amp;Milestones!$AB$44&amp;" "&amp;Milestones!$AC$44&amp;";  ","")&amp;IF(AND(EDATE($D54,Milestones!$AA$45)&lt;=AsOfDate,IF($Q54=0,$W54,IF(AND($S54&lt;&gt;"",EDATE($D54,Milestones!$AA$45)&gt;=$S54),$V54,IF(AND($R54&lt;&gt;"",EDATE($D54,Milestones!$AA$45)&gt;=$R54),$U54,$T54)))=Milestones!$AB$45),TEXT(EDATE($D54,Milestones!$AA$45),"dd/mm/yy")&amp;" "&amp;Milestones!$AB$45&amp;" "&amp;Milestones!$AC$45&amp;";  ","")&amp;IF(AND(EDATE($D54,Milestones!$AA$46)&lt;=AsOfDate,IF($Q54=0,$W54,IF(AND($S54&lt;&gt;"",EDATE($D54,Milestones!$AA$46)&gt;=$S54),$V54,IF(AND($R54&lt;&gt;"",EDATE($D54,Milestones!$AA$46)&gt;=$R54),$U54,$T54)))=Milestones!$AB$46),TEXT(EDATE($D54,Milestones!$AA$46),"dd/mm/yy")&amp;" "&amp;Milestones!$AB$46&amp;" "&amp;Milestones!$AC$46&amp;";  ","")&amp;IF(AND(EDATE($D54,Milestones!$AA$47)&lt;=AsOfDate,IF($Q54=0,$W54,IF(AND($S54&lt;&gt;"",EDATE($D54,Milestones!$AA$47)&gt;=$S54),$V54,IF(AND($R54&lt;&gt;"",EDATE($D54,Milestones!$AA$47)&gt;=$R54),$U54,$T54)))=Milestones!$AB$47),TEXT(EDATE($D54,Milestones!$AA$47),"dd/mm/yy")&amp;" "&amp;Milestones!$AB$47&amp;" "&amp;Milestones!$AC$47&amp;";  ","")&amp;IF(AND(EDATE($D54,Milestones!$AA$48)&lt;=AsOfDate,IF($Q54=0,$W54,IF(AND($S54&lt;&gt;"",EDATE($D54,Milestones!$AA$48)&gt;=$S54),$V54,IF(AND($R54&lt;&gt;"",EDATE($D54,Milestones!$AA$48)&gt;=$R54),$U54,$T54)))=Milestones!$AB$48),TEXT(EDATE($D54,Milestones!$AA$48),"dd/mm/yy")&amp;" "&amp;Milestones!$AB$48&amp;" "&amp;Milestones!$AC$48&amp;";  ","")&amp;IF(AND(EDATE($D54,Milestones!$AA$49)&lt;=AsOfDate,IF($Q54=0,$W54,IF(AND($S54&lt;&gt;"",EDATE($D54,Milestones!$AA$49)&gt;=$S54),$V54,IF(AND($R54&lt;&gt;"",EDATE($D54,Milestones!$AA$49)&gt;=$R54),$U54,$T54)))=Milestones!$AB$49),TEXT(EDATE($D54,Milestones!$AA$49),"dd/mm/yy")&amp;" "&amp;Milestones!$AB$49&amp;" "&amp;Milestones!$AC$49&amp;";  ","")&amp;IF(AND(EDATE($D54,Milestones!$AA$50)&lt;=AsOfDate,IF($Q54=0,$W54,IF(AND($S54&lt;&gt;"",EDATE($D54,Milestones!$AA$50)&gt;=$S54),$V54,IF(AND($R54&lt;&gt;"",EDATE($D54,Milestones!$AA$50)&gt;=$R54),$U54,$T54)))=Milestones!$AB$50),TEXT(EDATE($D54,Milestones!$AA$50),"dd/mm/yy")&amp;" "&amp;Milestones!$AB$50&amp;" "&amp;Milestones!$AC$50&amp;";  ","")&amp;IF(AND(EDATE($D54,Milestones!$AA$51)&lt;=AsOfDate,IF($Q54=0,$W54,IF(AND($S54&lt;&gt;"",EDATE($D54,Milestones!$AA$51)&gt;=$S54),$V54,IF(AND($R54&lt;&gt;"",EDATE($D54,Milestones!$AA$51)&gt;=$R54),$U54,$T54)))=Milestones!$AB$51),TEXT(EDATE($D54,Milestones!$AA$51),"dd/mm/yy")&amp;" "&amp;Milestones!$AB$51&amp;" "&amp;Milestones!$AC$51&amp;";  ","")&amp;IF(AND(EDATE($D54,Milestones!$AA$52)&lt;=AsOfDate,IF($Q54=0,$W54,IF(AND($S54&lt;&gt;"",EDATE($D54,Milestones!$AA$52)&gt;=$S54),$V54,IF(AND($R54&lt;&gt;"",EDATE($D54,Milestones!$AA$52)&gt;=$R54),$U54,$T54)))=Milestones!$AB$52),TEXT(EDATE($D54,Milestones!$AA$52),"dd/mm/yy")&amp;" "&amp;Milestones!$AB$52&amp;" "&amp;Milestones!$AC$52&amp;";  ","")&amp;IF(AND(EDATE($D54,Milestones!$AA$53)&lt;=AsOfDate,IF($Q54=0,$W54,IF(AND($S54&lt;&gt;"",EDATE($D54,Milestones!$AA$53)&gt;=$S54),$V54,IF(AND($R54&lt;&gt;"",EDATE($D54,Milestones!$AA$53)&gt;=$R54),$U54,$T54)))=Milestones!$AB$53),TEXT(EDATE($D54,Milestones!$AA$53),"dd/mm/yy")&amp;" "&amp;Milestones!$AB$53&amp;" "&amp;Milestones!$AC$53&amp;";  ","")&amp;IF(AND(EDATE($D54,Milestones!$AA$54)&lt;=AsOfDate,IF($Q54=0,$W54,IF(AND($S54&lt;&gt;"",EDATE($D54,Milestones!$AA$54)&gt;=$S54),$V54,IF(AND($R54&lt;&gt;"",EDATE($D54,Milestones!$AA$54)&gt;=$R54),$U54,$T54)))=Milestones!$AB$54),TEXT(EDATE($D54,Milestones!$AA$54),"dd/mm/yy")&amp;" "&amp;Milestones!$AB$54&amp;" "&amp;Milestones!$AC$54&amp;";  ","")&amp;IF(AND(EDATE($D54,Milestones!$AA$55)&lt;=AsOfDate,IF($Q54=0,$W54,IF(AND($S54&lt;&gt;"",EDATE($D54,Milestones!$AA$55)&gt;=$S54),$V54,IF(AND($R54&lt;&gt;"",EDATE($D54,Milestones!$AA$55)&gt;=$R54),$U54,$T54)))=Milestones!$AB$55),TEXT(EDATE($D54,Milestones!$AA$55),"dd/mm/yy")&amp;" "&amp;Milestones!$AB$55&amp;" "&amp;Milestones!$AC$55&amp;";  ","")&amp;IF(AND(EDATE($D54,Milestones!$AA$56)&lt;=AsOfDate,IF($Q54=0,$W54,IF(AND($S54&lt;&gt;"",EDATE($D54,Milestones!$AA$56)&gt;=$S54),$V54,IF(AND($R54&lt;&gt;"",EDATE($D54,Milestones!$AA$56)&gt;=$R54),$U54,$T54)))=Milestones!$AB$56),TEXT(EDATE($D54,Milestones!$AA$56),"dd/mm/yy")&amp;" "&amp;Milestones!$AB$56&amp;" "&amp;Milestones!$AC$56&amp;";  ","")&amp;IF(AND(EDATE($D54,Milestones!$AA$57)&lt;=AsOfDate,IF($Q54=0,$W54,IF(AND($S54&lt;&gt;"",EDATE($D54,Milestones!$AA$57)&gt;=$S54),$V54,IF(AND($R54&lt;&gt;"",EDATE($D54,Milestones!$AA$57)&gt;=$R54),$U54,$T54)))=Milestones!$AB$57),TEXT(EDATE($D54,Milestones!$AA$57),"dd/mm/yy")&amp;" "&amp;Milestones!$AB$57&amp;" "&amp;Milestones!$AC$57&amp;";  ","")&amp;IF(AND(EDATE($D54,Milestones!$AA$58)&lt;=AsOfDate,IF($Q54=0,$W54,IF(AND($S54&lt;&gt;"",EDATE($D54,Milestones!$AA$58)&gt;=$S54),$V54,IF(AND($R54&lt;&gt;"",EDATE($D54,Milestones!$AA$58)&gt;=$R54),$U54,$T54)))=Milestones!$AB$58),TEXT(EDATE($D54,Milestones!$AA$58),"dd/mm/yy")&amp;" "&amp;Milestones!$AB$58&amp;" "&amp;Milestones!$AC$58&amp;";  ","")&amp;IF(AND(EDATE($D54,Milestones!$AA$59)&lt;=AsOfDate,IF($Q54=0,$W54,IF(AND($S54&lt;&gt;"",EDATE($D54,Milestones!$AA$59)&gt;=$S54),$V54,IF(AND($R54&lt;&gt;"",EDATE($D54,Milestones!$AA$59)&gt;=$R54),$U54,$T54)))=Milestones!$AB$59),TEXT(EDATE($D54,Milestones!$AA$59),"dd/mm/yy")&amp;" "&amp;Milestones!$AB$59&amp;" "&amp;Milestones!$AC$59&amp;";  ",""))</f>
        <v/>
      </c>
      <c r="J54" s="0" t="str">
        <f aca="false">IF(OR($A54="",$D54=""),"",IF(AND(EDATE($D54,Milestones!$AA$60)&lt;=AsOfDate,IF($Q54=0,$W54,IF(AND($S54&lt;&gt;"",EDATE($D54,Milestones!$AA$60)&gt;=$S54),$V54,IF(AND($R54&lt;&gt;"",EDATE($D54,Milestones!$AA$60)&gt;=$R54),$U54,$T54)))=Milestones!$AB$60),TEXT(EDATE($D54,Milestones!$AA$60),"dd/mm/yy")&amp;" "&amp;Milestones!$AB$60&amp;" "&amp;Milestones!$AC$60&amp;";  ","")&amp;IF(AND(EDATE($D54,Milestones!$AA$61)&lt;=AsOfDate,IF($Q54=0,$W54,IF(AND($S54&lt;&gt;"",EDATE($D54,Milestones!$AA$61)&gt;=$S54),$V54,IF(AND($R54&lt;&gt;"",EDATE($D54,Milestones!$AA$61)&gt;=$R54),$U54,$T54)))=Milestones!$AB$61),TEXT(EDATE($D54,Milestones!$AA$61),"dd/mm/yy")&amp;" "&amp;Milestones!$AB$61&amp;" "&amp;Milestones!$AC$61&amp;";  ","")&amp;IF(AND(EDATE($D54,Milestones!$AA$62)&lt;=AsOfDate,IF($Q54=0,$W54,IF(AND($S54&lt;&gt;"",EDATE($D54,Milestones!$AA$62)&gt;=$S54),$V54,IF(AND($R54&lt;&gt;"",EDATE($D54,Milestones!$AA$62)&gt;=$R54),$U54,$T54)))=Milestones!$AB$62),TEXT(EDATE($D54,Milestones!$AA$62),"dd/mm/yy")&amp;" "&amp;Milestones!$AB$62&amp;" "&amp;Milestones!$AC$62&amp;";  ","")&amp;IF(AND(EDATE($D54,Milestones!$AA$63)&lt;=AsOfDate,IF($Q54=0,$W54,IF(AND($S54&lt;&gt;"",EDATE($D54,Milestones!$AA$63)&gt;=$S54),$V54,IF(AND($R54&lt;&gt;"",EDATE($D54,Milestones!$AA$63)&gt;=$R54),$U54,$T54)))=Milestones!$AB$63),TEXT(EDATE($D54,Milestones!$AA$63),"dd/mm/yy")&amp;" "&amp;Milestones!$AB$63&amp;" "&amp;Milestones!$AC$63&amp;";  ","")&amp;IF(AND(EDATE($D54,Milestones!$AA$64)&lt;=AsOfDate,IF($Q54=0,$W54,IF(AND($S54&lt;&gt;"",EDATE($D54,Milestones!$AA$64)&gt;=$S54),$V54,IF(AND($R54&lt;&gt;"",EDATE($D54,Milestones!$AA$64)&gt;=$R54),$U54,$T54)))=Milestones!$AB$64),TEXT(EDATE($D54,Milestones!$AA$64),"dd/mm/yy")&amp;" "&amp;Milestones!$AB$64&amp;" "&amp;Milestones!$AC$64&amp;";  ","")&amp;IF(AND(EDATE($D54,Milestones!$AA$65)&lt;=AsOfDate,IF($Q54=0,$W54,IF(AND($S54&lt;&gt;"",EDATE($D54,Milestones!$AA$65)&gt;=$S54),$V54,IF(AND($R54&lt;&gt;"",EDATE($D54,Milestones!$AA$65)&gt;=$R54),$U54,$T54)))=Milestones!$AB$65),TEXT(EDATE($D54,Milestones!$AA$65),"dd/mm/yy")&amp;" "&amp;Milestones!$AB$65&amp;" "&amp;Milestones!$AC$65&amp;";  ","")&amp;IF(AND(EDATE($D54,Milestones!$AA$66)&lt;=AsOfDate,IF($Q54=0,$W54,IF(AND($S54&lt;&gt;"",EDATE($D54,Milestones!$AA$66)&gt;=$S54),$V54,IF(AND($R54&lt;&gt;"",EDATE($D54,Milestones!$AA$66)&gt;=$R54),$U54,$T54)))=Milestones!$AB$66),TEXT(EDATE($D54,Milestones!$AA$66),"dd/mm/yy")&amp;" "&amp;Milestones!$AB$66&amp;" "&amp;Milestones!$AC$66&amp;";  ","")&amp;IF(AND(EDATE($D54,Milestones!$AA$67)&lt;=AsOfDate,IF($Q54=0,$W54,IF(AND($S54&lt;&gt;"",EDATE($D54,Milestones!$AA$67)&gt;=$S54),$V54,IF(AND($R54&lt;&gt;"",EDATE($D54,Milestones!$AA$67)&gt;=$R54),$U54,$T54)))=Milestones!$AB$67),TEXT(EDATE($D54,Milestones!$AA$67),"dd/mm/yy")&amp;" "&amp;Milestones!$AB$67&amp;" "&amp;Milestones!$AC$67&amp;";  ","")&amp;IF(AND(EDATE($D54,Milestones!$AA$68)&lt;=AsOfDate,IF($Q54=0,$W54,IF(AND($S54&lt;&gt;"",EDATE($D54,Milestones!$AA$68)&gt;=$S54),$V54,IF(AND($R54&lt;&gt;"",EDATE($D54,Milestones!$AA$68)&gt;=$R54),$U54,$T54)))=Milestones!$AB$68),TEXT(EDATE($D54,Milestones!$AA$68),"dd/mm/yy")&amp;" "&amp;Milestones!$AB$68&amp;" "&amp;Milestones!$AC$68&amp;";  ","")&amp;IF(AND(EDATE($D54,Milestones!$AA$69)&lt;=AsOfDate,IF($Q54=0,$W54,IF(AND($S54&lt;&gt;"",EDATE($D54,Milestones!$AA$69)&gt;=$S54),$V54,IF(AND($R54&lt;&gt;"",EDATE($D54,Milestones!$AA$69)&gt;=$R54),$U54,$T54)))=Milestones!$AB$69),TEXT(EDATE($D54,Milestones!$AA$69),"dd/mm/yy")&amp;" "&amp;Milestones!$AB$69&amp;" "&amp;Milestones!$AC$69&amp;";  ","")&amp;IF(AND(EDATE($D54,Milestones!$AA$70)&lt;=AsOfDate,IF($Q54=0,$W54,IF(AND($S54&lt;&gt;"",EDATE($D54,Milestones!$AA$70)&gt;=$S54),$V54,IF(AND($R54&lt;&gt;"",EDATE($D54,Milestones!$AA$70)&gt;=$R54),$U54,$T54)))=Milestones!$AB$70),TEXT(EDATE($D54,Milestones!$AA$70),"dd/mm/yy")&amp;" "&amp;Milestones!$AB$70&amp;" "&amp;Milestones!$AC$70&amp;";  ","")&amp;IF(AND(EDATE($D54,Milestones!$AA$71)&lt;=AsOfDate,IF($Q54=0,$W54,IF(AND($S54&lt;&gt;"",EDATE($D54,Milestones!$AA$71)&gt;=$S54),$V54,IF(AND($R54&lt;&gt;"",EDATE($D54,Milestones!$AA$71)&gt;=$R54),$U54,$T54)))=Milestones!$AB$71),TEXT(EDATE($D54,Milestones!$AA$71),"dd/mm/yy")&amp;" "&amp;Milestones!$AB$71&amp;" "&amp;Milestones!$AC$71&amp;";  ","")&amp;IF(AND(EDATE($D54,Milestones!$AA$72)&lt;=AsOfDate,IF($Q54=0,$W54,IF(AND($S54&lt;&gt;"",EDATE($D54,Milestones!$AA$72)&gt;=$S54),$V54,IF(AND($R54&lt;&gt;"",EDATE($D54,Milestones!$AA$72)&gt;=$R54),$U54,$T54)))=Milestones!$AB$72),TEXT(EDATE($D54,Milestones!$AA$72),"dd/mm/yy")&amp;" "&amp;Milestones!$AB$72&amp;" "&amp;Milestones!$AC$72&amp;";  ","")&amp;IF(AND(EDATE($D54,Milestones!$AA$73)&lt;=AsOfDate,IF($Q54=0,$W54,IF(AND($S54&lt;&gt;"",EDATE($D54,Milestones!$AA$73)&gt;=$S54),$V54,IF(AND($R54&lt;&gt;"",EDATE($D54,Milestones!$AA$73)&gt;=$R54),$U54,$T54)))=Milestones!$AB$73),TEXT(EDATE($D54,Milestones!$AA$73),"dd/mm/yy")&amp;" "&amp;Milestones!$AB$73&amp;" "&amp;Milestones!$AC$73&amp;";  ","")&amp;IF(AND(EDATE($D54,Milestones!$AA$74)&lt;=AsOfDate,IF($Q54=0,$W54,IF(AND($S54&lt;&gt;"",EDATE($D54,Milestones!$AA$74)&gt;=$S54),$V54,IF(AND($R54&lt;&gt;"",EDATE($D54,Milestones!$AA$74)&gt;=$R54),$U54,$T54)))=Milestones!$AB$74),TEXT(EDATE($D54,Milestones!$AA$74),"dd/mm/yy")&amp;" "&amp;Milestones!$AB$74&amp;" "&amp;Milestones!$AC$74&amp;";  ","")&amp;IF(AND(EDATE($D54,Milestones!$AA$75)&lt;=AsOfDate,IF($Q54=0,$W54,IF(AND($S54&lt;&gt;"",EDATE($D54,Milestones!$AA$75)&gt;=$S54),$V54,IF(AND($R54&lt;&gt;"",EDATE($D54,Milestones!$AA$75)&gt;=$R54),$U54,$T54)))=Milestones!$AB$75),TEXT(EDATE($D54,Milestones!$AA$75),"dd/mm/yy")&amp;" "&amp;Milestones!$AB$75&amp;" "&amp;Milestones!$AC$75&amp;";  ","")&amp;IF(AND(EDATE($D54,Milestones!$AA$76)&lt;=AsOfDate,IF($Q54=0,$W54,IF(AND($S54&lt;&gt;"",EDATE($D54,Milestones!$AA$76)&gt;=$S54),$V54,IF(AND($R54&lt;&gt;"",EDATE($D54,Milestones!$AA$76)&gt;=$R54),$U54,$T54)))=Milestones!$AB$76),TEXT(EDATE($D54,Milestones!$AA$76),"dd/mm/yy")&amp;" "&amp;Milestones!$AB$76&amp;" "&amp;Milestones!$AC$76&amp;";  ","")&amp;IF(AND(EDATE($D54,Milestones!$AA$77)&lt;=AsOfDate,IF($Q54=0,$W54,IF(AND($S54&lt;&gt;"",EDATE($D54,Milestones!$AA$77)&gt;=$S54),$V54,IF(AND($R54&lt;&gt;"",EDATE($D54,Milestones!$AA$77)&gt;=$R54),$U54,$T54)))=Milestones!$AB$77),TEXT(EDATE($D54,Milestones!$AA$77),"dd/mm/yy")&amp;" "&amp;Milestones!$AB$77&amp;" "&amp;Milestones!$AC$77&amp;";  ","")&amp;IF(AND(EDATE($D54,Milestones!$AA$78)&lt;=AsOfDate,IF($Q54=0,$W54,IF(AND($S54&lt;&gt;"",EDATE($D54,Milestones!$AA$78)&gt;=$S54),$V54,IF(AND($R54&lt;&gt;"",EDATE($D54,Milestones!$AA$78)&gt;=$R54),$U54,$T54)))=Milestones!$AB$78),TEXT(EDATE($D54,Milestones!$AA$78),"dd/mm/yy")&amp;" "&amp;Milestones!$AB$78&amp;" "&amp;Milestones!$AC$78&amp;";  ","")&amp;IF(AND(EDATE($D54,Milestones!$AA$79)&lt;=AsOfDate,IF($Q54=0,$W54,IF(AND($S54&lt;&gt;"",EDATE($D54,Milestones!$AA$79)&gt;=$S54),$V54,IF(AND($R54&lt;&gt;"",EDATE($D54,Milestones!$AA$79)&gt;=$R54),$U54,$T54)))=Milestones!$AB$79),TEXT(EDATE($D54,Milestones!$AA$79),"dd/mm/yy")&amp;" "&amp;Milestones!$AB$79&amp;" "&amp;Milestones!$AC$79&amp;";  ",""))</f>
        <v/>
      </c>
      <c r="K54" s="0" t="str">
        <f aca="false">IF(OR($A54="",$D54=""),"",IF(AND(EDATE($D54,Milestones!$AA$80)&lt;=AsOfDate,IF($Q54=0,$W54,IF(AND($S54&lt;&gt;"",EDATE($D54,Milestones!$AA$80)&gt;=$S54),$V54,IF(AND($R54&lt;&gt;"",EDATE($D54,Milestones!$AA$80)&gt;=$R54),$U54,$T54)))=Milestones!$AB$80),TEXT(EDATE($D54,Milestones!$AA$80),"dd/mm/yy")&amp;" "&amp;Milestones!$AB$80&amp;" "&amp;Milestones!$AC$80&amp;";  ","")&amp;IF(AND(EDATE($D54,Milestones!$AA$81)&lt;=AsOfDate,IF($Q54=0,$W54,IF(AND($S54&lt;&gt;"",EDATE($D54,Milestones!$AA$81)&gt;=$S54),$V54,IF(AND($R54&lt;&gt;"",EDATE($D54,Milestones!$AA$81)&gt;=$R54),$U54,$T54)))=Milestones!$AB$81),TEXT(EDATE($D54,Milestones!$AA$81),"dd/mm/yy")&amp;" "&amp;Milestones!$AB$81&amp;" "&amp;Milestones!$AC$81&amp;";  ","")&amp;IF(AND(EDATE($D54,Milestones!$AA$82)&lt;=AsOfDate,IF($Q54=0,$W54,IF(AND($S54&lt;&gt;"",EDATE($D54,Milestones!$AA$82)&gt;=$S54),$V54,IF(AND($R54&lt;&gt;"",EDATE($D54,Milestones!$AA$82)&gt;=$R54),$U54,$T54)))=Milestones!$AB$82),TEXT(EDATE($D54,Milestones!$AA$82),"dd/mm/yy")&amp;" "&amp;Milestones!$AB$82&amp;" "&amp;Milestones!$AC$82&amp;";  ","")&amp;IF(AND(EDATE($D54,Milestones!$AA$83)&lt;=AsOfDate,IF($Q54=0,$W54,IF(AND($S54&lt;&gt;"",EDATE($D54,Milestones!$AA$83)&gt;=$S54),$V54,IF(AND($R54&lt;&gt;"",EDATE($D54,Milestones!$AA$83)&gt;=$R54),$U54,$T54)))=Milestones!$AB$83),TEXT(EDATE($D54,Milestones!$AA$83),"dd/mm/yy")&amp;" "&amp;Milestones!$AB$83&amp;" "&amp;Milestones!$AC$83&amp;";  ","")&amp;IF(AND(EDATE($D54,Milestones!$AA$84)&lt;=AsOfDate,IF($Q54=0,$W54,IF(AND($S54&lt;&gt;"",EDATE($D54,Milestones!$AA$84)&gt;=$S54),$V54,IF(AND($R54&lt;&gt;"",EDATE($D54,Milestones!$AA$84)&gt;=$R54),$U54,$T54)))=Milestones!$AB$84),TEXT(EDATE($D54,Milestones!$AA$84),"dd/mm/yy")&amp;" "&amp;Milestones!$AB$84&amp;" "&amp;Milestones!$AC$84&amp;";  ","")&amp;IF(AND(EDATE($D54,Milestones!$AA$85)&lt;=AsOfDate,IF($Q54=0,$W54,IF(AND($S54&lt;&gt;"",EDATE($D54,Milestones!$AA$85)&gt;=$S54),$V54,IF(AND($R54&lt;&gt;"",EDATE($D54,Milestones!$AA$85)&gt;=$R54),$U54,$T54)))=Milestones!$AB$85),TEXT(EDATE($D54,Milestones!$AA$85),"dd/mm/yy")&amp;" "&amp;Milestones!$AB$85&amp;" "&amp;Milestones!$AC$85&amp;";  ","")&amp;IF(AND(EDATE($D54,Milestones!$AA$86)&lt;=AsOfDate,IF($Q54=0,$W54,IF(AND($S54&lt;&gt;"",EDATE($D54,Milestones!$AA$86)&gt;=$S54),$V54,IF(AND($R54&lt;&gt;"",EDATE($D54,Milestones!$AA$86)&gt;=$R54),$U54,$T54)))=Milestones!$AB$86),TEXT(EDATE($D54,Milestones!$AA$86),"dd/mm/yy")&amp;" "&amp;Milestones!$AB$86&amp;" "&amp;Milestones!$AC$86&amp;";  ","")&amp;IF(AND(EDATE($D54,Milestones!$AA$87)&lt;=AsOfDate,IF($Q54=0,$W54,IF(AND($S54&lt;&gt;"",EDATE($D54,Milestones!$AA$87)&gt;=$S54),$V54,IF(AND($R54&lt;&gt;"",EDATE($D54,Milestones!$AA$87)&gt;=$R54),$U54,$T54)))=Milestones!$AB$87),TEXT(EDATE($D54,Milestones!$AA$87),"dd/mm/yy")&amp;" "&amp;Milestones!$AB$87&amp;" "&amp;Milestones!$AC$87&amp;";  ","")&amp;IF(AND(EDATE($D54,Milestones!$AA$88)&lt;=AsOfDate,IF($Q54=0,$W54,IF(AND($S54&lt;&gt;"",EDATE($D54,Milestones!$AA$88)&gt;=$S54),$V54,IF(AND($R54&lt;&gt;"",EDATE($D54,Milestones!$AA$88)&gt;=$R54),$U54,$T54)))=Milestones!$AB$88),TEXT(EDATE($D54,Milestones!$AA$88),"dd/mm/yy")&amp;" "&amp;Milestones!$AB$88&amp;" "&amp;Milestones!$AC$88&amp;";  ","")&amp;IF(AND(EDATE($D54,Milestones!$AA$89)&lt;=AsOfDate,IF($Q54=0,$W54,IF(AND($S54&lt;&gt;"",EDATE($D54,Milestones!$AA$89)&gt;=$S54),$V54,IF(AND($R54&lt;&gt;"",EDATE($D54,Milestones!$AA$89)&gt;=$R54),$U54,$T54)))=Milestones!$AB$89),TEXT(EDATE($D54,Milestones!$AA$89),"dd/mm/yy")&amp;" "&amp;Milestones!$AB$89&amp;" "&amp;Milestones!$AC$89&amp;";  ","")&amp;IF(AND(EDATE($D54,Milestones!$AA$90)&lt;=AsOfDate,IF($Q54=0,$W54,IF(AND($S54&lt;&gt;"",EDATE($D54,Milestones!$AA$90)&gt;=$S54),$V54,IF(AND($R54&lt;&gt;"",EDATE($D54,Milestones!$AA$90)&gt;=$R54),$U54,$T54)))=Milestones!$AB$90),TEXT(EDATE($D54,Milestones!$AA$90),"dd/mm/yy")&amp;" "&amp;Milestones!$AB$90&amp;" "&amp;Milestones!$AC$90&amp;";  ","")&amp;IF(AND(EDATE($D54,Milestones!$AA$91)&lt;=AsOfDate,IF($Q54=0,$W54,IF(AND($S54&lt;&gt;"",EDATE($D54,Milestones!$AA$91)&gt;=$S54),$V54,IF(AND($R54&lt;&gt;"",EDATE($D54,Milestones!$AA$91)&gt;=$R54),$U54,$T54)))=Milestones!$AB$91),TEXT(EDATE($D54,Milestones!$AA$91),"dd/mm/yy")&amp;" "&amp;Milestones!$AB$91&amp;" "&amp;Milestones!$AC$91&amp;";  ","")&amp;IF(AND(EDATE($D54,Milestones!$AA$92)&lt;=AsOfDate,IF($Q54=0,$W54,IF(AND($S54&lt;&gt;"",EDATE($D54,Milestones!$AA$92)&gt;=$S54),$V54,IF(AND($R54&lt;&gt;"",EDATE($D54,Milestones!$AA$92)&gt;=$R54),$U54,$T54)))=Milestones!$AB$92),TEXT(EDATE($D54,Milestones!$AA$92),"dd/mm/yy")&amp;" "&amp;Milestones!$AB$92&amp;" "&amp;Milestones!$AC$92&amp;";  ","")&amp;IF(AND(EDATE($D54,Milestones!$AA$93)&lt;=AsOfDate,IF($Q54=0,$W54,IF(AND($S54&lt;&gt;"",EDATE($D54,Milestones!$AA$93)&gt;=$S54),$V54,IF(AND($R54&lt;&gt;"",EDATE($D54,Milestones!$AA$93)&gt;=$R54),$U54,$T54)))=Milestones!$AB$93),TEXT(EDATE($D54,Milestones!$AA$93),"dd/mm/yy")&amp;" "&amp;Milestones!$AB$93&amp;" "&amp;Milestones!$AC$93&amp;";  ","")&amp;IF(AND(EDATE($D54,Milestones!$AA$94)&lt;=AsOfDate,IF($Q54=0,$W54,IF(AND($S54&lt;&gt;"",EDATE($D54,Milestones!$AA$94)&gt;=$S54),$V54,IF(AND($R54&lt;&gt;"",EDATE($D54,Milestones!$AA$94)&gt;=$R54),$U54,$T54)))=Milestones!$AB$94),TEXT(EDATE($D54,Milestones!$AA$94),"dd/mm/yy")&amp;" "&amp;Milestones!$AB$94&amp;" "&amp;Milestones!$AC$94&amp;";  ","")&amp;IF(AND(EDATE($D54,Milestones!$AA$95)&lt;=AsOfDate,IF($Q54=0,$W54,IF(AND($S54&lt;&gt;"",EDATE($D54,Milestones!$AA$95)&gt;=$S54),$V54,IF(AND($R54&lt;&gt;"",EDATE($D54,Milestones!$AA$95)&gt;=$R54),$U54,$T54)))=Milestones!$AB$95),TEXT(EDATE($D54,Milestones!$AA$95),"dd/mm/yy")&amp;" "&amp;Milestones!$AB$95&amp;" "&amp;Milestones!$AC$95&amp;";  ","")&amp;IF(AND(EDATE($D54,Milestones!$AA$96)&lt;=AsOfDate,IF($Q54=0,$W54,IF(AND($S54&lt;&gt;"",EDATE($D54,Milestones!$AA$96)&gt;=$S54),$V54,IF(AND($R54&lt;&gt;"",EDATE($D54,Milestones!$AA$96)&gt;=$R54),$U54,$T54)))=Milestones!$AB$96),TEXT(EDATE($D54,Milestones!$AA$96),"dd/mm/yy")&amp;" "&amp;Milestones!$AB$96&amp;" "&amp;Milestones!$AC$96&amp;";  ","")&amp;IF(AND(EDATE($D54,Milestones!$AA$97)&lt;=AsOfDate,IF($Q54=0,$W54,IF(AND($S54&lt;&gt;"",EDATE($D54,Milestones!$AA$97)&gt;=$S54),$V54,IF(AND($R54&lt;&gt;"",EDATE($D54,Milestones!$AA$97)&gt;=$R54),$U54,$T54)))=Milestones!$AB$97),TEXT(EDATE($D54,Milestones!$AA$97),"dd/mm/yy")&amp;" "&amp;Milestones!$AB$97&amp;" "&amp;Milestones!$AC$97&amp;";  ","")&amp;IF(AND(EDATE($D54,Milestones!$AA$98)&lt;=AsOfDate,IF($Q54=0,$W54,IF(AND($S54&lt;&gt;"",EDATE($D54,Milestones!$AA$98)&gt;=$S54),$V54,IF(AND($R54&lt;&gt;"",EDATE($D54,Milestones!$AA$98)&gt;=$R54),$U54,$T54)))=Milestones!$AB$98),TEXT(EDATE($D54,Milestones!$AA$98),"dd/mm/yy")&amp;" "&amp;Milestones!$AB$98&amp;" "&amp;Milestones!$AC$98&amp;";  ","")&amp;IF(AND(EDATE($D54,Milestones!$AA$99)&lt;=AsOfDate,IF($Q54=0,$W54,IF(AND($S54&lt;&gt;"",EDATE($D54,Milestones!$AA$99)&gt;=$S54),$V54,IF(AND($R54&lt;&gt;"",EDATE($D54,Milestones!$AA$99)&gt;=$R54),$U54,$T54)))=Milestones!$AB$99),TEXT(EDATE($D54,Milestones!$AA$99),"dd/mm/yy")&amp;" "&amp;Milestones!$AB$99&amp;" "&amp;Milestones!$AC$99&amp;";  ",""))</f>
        <v/>
      </c>
      <c r="L54" s="0" t="str">
        <f aca="false">IF(OR($A54="",$D54=""),"",IF(AND(EDATE($D54,Milestones!$AA$100)&lt;=AsOfDate,IF($Q54=0,$W54,IF(AND($S54&lt;&gt;"",EDATE($D54,Milestones!$AA$100)&gt;=$S54),$V54,IF(AND($R54&lt;&gt;"",EDATE($D54,Milestones!$AA$100)&gt;=$R54),$U54,$T54)))=Milestones!$AB$100),TEXT(EDATE($D54,Milestones!$AA$100),"dd/mm/yy")&amp;" "&amp;Milestones!$AB$100&amp;" "&amp;Milestones!$AC$100&amp;";  ","")&amp;IF(AND(EDATE($D54,Milestones!$AA$101)&lt;=AsOfDate,IF($Q54=0,$W54,IF(AND($S54&lt;&gt;"",EDATE($D54,Milestones!$AA$101)&gt;=$S54),$V54,IF(AND($R54&lt;&gt;"",EDATE($D54,Milestones!$AA$101)&gt;=$R54),$U54,$T54)))=Milestones!$AB$101),TEXT(EDATE($D54,Milestones!$AA$101),"dd/mm/yy")&amp;" "&amp;Milestones!$AB$101&amp;" "&amp;Milestones!$AC$101&amp;";  ","")&amp;IF(AND(EDATE($D54,Milestones!$AA$102)&lt;=AsOfDate,IF($Q54=0,$W54,IF(AND($S54&lt;&gt;"",EDATE($D54,Milestones!$AA$102)&gt;=$S54),$V54,IF(AND($R54&lt;&gt;"",EDATE($D54,Milestones!$AA$102)&gt;=$R54),$U54,$T54)))=Milestones!$AB$102),TEXT(EDATE($D54,Milestones!$AA$102),"dd/mm/yy")&amp;" "&amp;Milestones!$AB$102&amp;" "&amp;Milestones!$AC$102&amp;";  ","")&amp;IF(AND(EDATE($D54,Milestones!$AA$103)&lt;=AsOfDate,IF($Q54=0,$W54,IF(AND($S54&lt;&gt;"",EDATE($D54,Milestones!$AA$103)&gt;=$S54),$V54,IF(AND($R54&lt;&gt;"",EDATE($D54,Milestones!$AA$103)&gt;=$R54),$U54,$T54)))=Milestones!$AB$103),TEXT(EDATE($D54,Milestones!$AA$103),"dd/mm/yy")&amp;" "&amp;Milestones!$AB$103&amp;" "&amp;Milestones!$AC$103&amp;";  ","")&amp;IF(AND(EDATE($D54,Milestones!$AA$104)&lt;=AsOfDate,IF($Q54=0,$W54,IF(AND($S54&lt;&gt;"",EDATE($D54,Milestones!$AA$104)&gt;=$S54),$V54,IF(AND($R54&lt;&gt;"",EDATE($D54,Milestones!$AA$104)&gt;=$R54),$U54,$T54)))=Milestones!$AB$104),TEXT(EDATE($D54,Milestones!$AA$104),"dd/mm/yy")&amp;" "&amp;Milestones!$AB$104&amp;" "&amp;Milestones!$AC$104&amp;";  ","")&amp;IF(AND(EDATE($D54,Milestones!$AA$105)&lt;=AsOfDate,IF($Q54=0,$W54,IF(AND($S54&lt;&gt;"",EDATE($D54,Milestones!$AA$105)&gt;=$S54),$V54,IF(AND($R54&lt;&gt;"",EDATE($D54,Milestones!$AA$105)&gt;=$R54),$U54,$T54)))=Milestones!$AB$105),TEXT(EDATE($D54,Milestones!$AA$105),"dd/mm/yy")&amp;" "&amp;Milestones!$AB$105&amp;" "&amp;Milestones!$AC$105&amp;";  ","")&amp;IF(AND(EDATE($D54,Milestones!$AA$106)&lt;=AsOfDate,IF($Q54=0,$W54,IF(AND($S54&lt;&gt;"",EDATE($D54,Milestones!$AA$106)&gt;=$S54),$V54,IF(AND($R54&lt;&gt;"",EDATE($D54,Milestones!$AA$106)&gt;=$R54),$U54,$T54)))=Milestones!$AB$106),TEXT(EDATE($D54,Milestones!$AA$106),"dd/mm/yy")&amp;" "&amp;Milestones!$AB$106&amp;" "&amp;Milestones!$AC$106&amp;";  ","")&amp;IF(AND(EDATE($D54,Milestones!$AA$107)&lt;=AsOfDate,IF($Q54=0,$W54,IF(AND($S54&lt;&gt;"",EDATE($D54,Milestones!$AA$107)&gt;=$S54),$V54,IF(AND($R54&lt;&gt;"",EDATE($D54,Milestones!$AA$107)&gt;=$R54),$U54,$T54)))=Milestones!$AB$107),TEXT(EDATE($D54,Milestones!$AA$107),"dd/mm/yy")&amp;" "&amp;Milestones!$AB$107&amp;" "&amp;Milestones!$AC$107&amp;";  ","")&amp;IF(AND(EDATE($D54,Milestones!$AA$108)&lt;=AsOfDate,IF($Q54=0,$W54,IF(AND($S54&lt;&gt;"",EDATE($D54,Milestones!$AA$108)&gt;=$S54),$V54,IF(AND($R54&lt;&gt;"",EDATE($D54,Milestones!$AA$108)&gt;=$R54),$U54,$T54)))=Milestones!$AB$108),TEXT(EDATE($D54,Milestones!$AA$108),"dd/mm/yy")&amp;" "&amp;Milestones!$AB$108&amp;" "&amp;Milestones!$AC$108&amp;";  ","")&amp;IF(AND(EDATE($D54,Milestones!$AA$109)&lt;=AsOfDate,IF($Q54=0,$W54,IF(AND($S54&lt;&gt;"",EDATE($D54,Milestones!$AA$109)&gt;=$S54),$V54,IF(AND($R54&lt;&gt;"",EDATE($D54,Milestones!$AA$109)&gt;=$R54),$U54,$T54)))=Milestones!$AB$109),TEXT(EDATE($D54,Milestones!$AA$109),"dd/mm/yy")&amp;" "&amp;Milestones!$AB$109&amp;" "&amp;Milestones!$AC$109&amp;";  ","")&amp;IF(AND(EDATE($D54,Milestones!$AA$110)&lt;=AsOfDate,IF($Q54=0,$W54,IF(AND($S54&lt;&gt;"",EDATE($D54,Milestones!$AA$110)&gt;=$S54),$V54,IF(AND($R54&lt;&gt;"",EDATE($D54,Milestones!$AA$110)&gt;=$R54),$U54,$T54)))=Milestones!$AB$110),TEXT(EDATE($D54,Milestones!$AA$110),"dd/mm/yy")&amp;" "&amp;Milestones!$AB$110&amp;" "&amp;Milestones!$AC$110&amp;";  ","")&amp;IF(AND(EDATE($D54,Milestones!$AA$111)&lt;=AsOfDate,IF($Q54=0,$W54,IF(AND($S54&lt;&gt;"",EDATE($D54,Milestones!$AA$111)&gt;=$S54),$V54,IF(AND($R54&lt;&gt;"",EDATE($D54,Milestones!$AA$111)&gt;=$R54),$U54,$T54)))=Milestones!$AB$111),TEXT(EDATE($D54,Milestones!$AA$111),"dd/mm/yy")&amp;" "&amp;Milestones!$AB$111&amp;" "&amp;Milestones!$AC$111&amp;";  ","")&amp;IF(AND(EDATE($D54,Milestones!$AA$112)&lt;=AsOfDate,IF($Q54=0,$W54,IF(AND($S54&lt;&gt;"",EDATE($D54,Milestones!$AA$112)&gt;=$S54),$V54,IF(AND($R54&lt;&gt;"",EDATE($D54,Milestones!$AA$112)&gt;=$R54),$U54,$T54)))=Milestones!$AB$112),TEXT(EDATE($D54,Milestones!$AA$112),"dd/mm/yy")&amp;" "&amp;Milestones!$AB$112&amp;" "&amp;Milestones!$AC$112&amp;";  ","")&amp;IF(AND(EDATE($D54,Milestones!$AA$113)&lt;=AsOfDate,IF($Q54=0,$W54,IF(AND($S54&lt;&gt;"",EDATE($D54,Milestones!$AA$113)&gt;=$S54),$V54,IF(AND($R54&lt;&gt;"",EDATE($D54,Milestones!$AA$113)&gt;=$R54),$U54,$T54)))=Milestones!$AB$113),TEXT(EDATE($D54,Milestones!$AA$113),"dd/mm/yy")&amp;" "&amp;Milestones!$AB$113&amp;" "&amp;Milestones!$AC$113&amp;";  ","")&amp;IF(AND(EDATE($D54,Milestones!$AA$114)&lt;=AsOfDate,IF($Q54=0,$W54,IF(AND($S54&lt;&gt;"",EDATE($D54,Milestones!$AA$114)&gt;=$S54),$V54,IF(AND($R54&lt;&gt;"",EDATE($D54,Milestones!$AA$114)&gt;=$R54),$U54,$T54)))=Milestones!$AB$114),TEXT(EDATE($D54,Milestones!$AA$114),"dd/mm/yy")&amp;" "&amp;Milestones!$AB$114&amp;" "&amp;Milestones!$AC$114&amp;";  ","")&amp;IF(AND(EDATE($D54,Milestones!$AA$115)&lt;=AsOfDate,IF($Q54=0,$W54,IF(AND($S54&lt;&gt;"",EDATE($D54,Milestones!$AA$115)&gt;=$S54),$V54,IF(AND($R54&lt;&gt;"",EDATE($D54,Milestones!$AA$115)&gt;=$R54),$U54,$T54)))=Milestones!$AB$115),TEXT(EDATE($D54,Milestones!$AA$115),"dd/mm/yy")&amp;" "&amp;Milestones!$AB$115&amp;" "&amp;Milestones!$AC$115&amp;";  ","")&amp;IF(AND(EDATE($D54,Milestones!$AA$116)&lt;=AsOfDate,IF($Q54=0,$W54,IF(AND($S54&lt;&gt;"",EDATE($D54,Milestones!$AA$116)&gt;=$S54),$V54,IF(AND($R54&lt;&gt;"",EDATE($D54,Milestones!$AA$116)&gt;=$R54),$U54,$T54)))=Milestones!$AB$116),TEXT(EDATE($D54,Milestones!$AA$116),"dd/mm/yy")&amp;" "&amp;Milestones!$AB$116&amp;" "&amp;Milestones!$AC$116&amp;";  ","")&amp;IF(AND(EDATE($D54,Milestones!$AA$117)&lt;=AsOfDate,IF($Q54=0,$W54,IF(AND($S54&lt;&gt;"",EDATE($D54,Milestones!$AA$117)&gt;=$S54),$V54,IF(AND($R54&lt;&gt;"",EDATE($D54,Milestones!$AA$117)&gt;=$R54),$U54,$T54)))=Milestones!$AB$117),TEXT(EDATE($D54,Milestones!$AA$117),"dd/mm/yy")&amp;" "&amp;Milestones!$AB$117&amp;" "&amp;Milestones!$AC$117&amp;";  ","")&amp;IF(AND(EDATE($D54,Milestones!$AA$118)&lt;=AsOfDate,IF($Q54=0,$W54,IF(AND($S54&lt;&gt;"",EDATE($D54,Milestones!$AA$118)&gt;=$S54),$V54,IF(AND($R54&lt;&gt;"",EDATE($D54,Milestones!$AA$118)&gt;=$R54),$U54,$T54)))=Milestones!$AB$118),TEXT(EDATE($D54,Milestones!$AA$118),"dd/mm/yy")&amp;" "&amp;Milestones!$AB$118&amp;" "&amp;Milestones!$AC$118&amp;";  ","")&amp;IF(AND(EDATE($D54,Milestones!$AA$119)&lt;=AsOfDate,IF($Q54=0,$W54,IF(AND($S54&lt;&gt;"",EDATE($D54,Milestones!$AA$119)&gt;=$S54),$V54,IF(AND($R54&lt;&gt;"",EDATE($D54,Milestones!$AA$119)&gt;=$R54),$U54,$T54)))=Milestones!$AB$119),TEXT(EDATE($D54,Milestones!$AA$119),"dd/mm/yy")&amp;" "&amp;Milestones!$AB$119&amp;" "&amp;Milestones!$AC$119&amp;";  ",""))</f>
        <v/>
      </c>
      <c r="M54" s="0" t="str">
        <f aca="false">IF(OR($A54="",$D54=""),"",IF(AND(EDATE($D54,Milestones!$AA$120)&lt;=AsOfDate,IF($Q54=0,$W54,IF(AND($S54&lt;&gt;"",EDATE($D54,Milestones!$AA$120)&gt;=$S54),$V54,IF(AND($R54&lt;&gt;"",EDATE($D54,Milestones!$AA$120)&gt;=$R54),$U54,$T54)))=Milestones!$AB$120),TEXT(EDATE($D54,Milestones!$AA$120),"dd/mm/yy")&amp;" "&amp;Milestones!$AB$120&amp;" "&amp;Milestones!$AC$120&amp;";  ","")&amp;IF(AND(EDATE($D54,Milestones!$AA$121)&lt;=AsOfDate,IF($Q54=0,$W54,IF(AND($S54&lt;&gt;"",EDATE($D54,Milestones!$AA$121)&gt;=$S54),$V54,IF(AND($R54&lt;&gt;"",EDATE($D54,Milestones!$AA$121)&gt;=$R54),$U54,$T54)))=Milestones!$AB$121),TEXT(EDATE($D54,Milestones!$AA$121),"dd/mm/yy")&amp;" "&amp;Milestones!$AB$121&amp;" "&amp;Milestones!$AC$121&amp;";  ","")&amp;IF(AND(EDATE($D54,Milestones!$AA$122)&lt;=AsOfDate,IF($Q54=0,$W54,IF(AND($S54&lt;&gt;"",EDATE($D54,Milestones!$AA$122)&gt;=$S54),$V54,IF(AND($R54&lt;&gt;"",EDATE($D54,Milestones!$AA$122)&gt;=$R54),$U54,$T54)))=Milestones!$AB$122),TEXT(EDATE($D54,Milestones!$AA$122),"dd/mm/yy")&amp;" "&amp;Milestones!$AB$122&amp;" "&amp;Milestones!$AC$122&amp;";  ","")&amp;IF(AND(EDATE($D54,Milestones!$AA$123)&lt;=AsOfDate,IF($Q54=0,$W54,IF(AND($S54&lt;&gt;"",EDATE($D54,Milestones!$AA$123)&gt;=$S54),$V54,IF(AND($R54&lt;&gt;"",EDATE($D54,Milestones!$AA$123)&gt;=$R54),$U54,$T54)))=Milestones!$AB$123),TEXT(EDATE($D54,Milestones!$AA$123),"dd/mm/yy")&amp;" "&amp;Milestones!$AB$123&amp;" "&amp;Milestones!$AC$123&amp;";  ","")&amp;IF(AND(EDATE($D54,Milestones!$AA$124)&lt;=AsOfDate,IF($Q54=0,$W54,IF(AND($S54&lt;&gt;"",EDATE($D54,Milestones!$AA$124)&gt;=$S54),$V54,IF(AND($R54&lt;&gt;"",EDATE($D54,Milestones!$AA$124)&gt;=$R54),$U54,$T54)))=Milestones!$AB$124),TEXT(EDATE($D54,Milestones!$AA$124),"dd/mm/yy")&amp;" "&amp;Milestones!$AB$124&amp;" "&amp;Milestones!$AC$124&amp;";  ","")&amp;IF(AND(EDATE($D54,Milestones!$AA$125)&lt;=AsOfDate,IF($Q54=0,$W54,IF(AND($S54&lt;&gt;"",EDATE($D54,Milestones!$AA$125)&gt;=$S54),$V54,IF(AND($R54&lt;&gt;"",EDATE($D54,Milestones!$AA$125)&gt;=$R54),$U54,$T54)))=Milestones!$AB$125),TEXT(EDATE($D54,Milestones!$AA$125),"dd/mm/yy")&amp;" "&amp;Milestones!$AB$125&amp;" "&amp;Milestones!$AC$125&amp;";  ","")&amp;IF(AND(EDATE($D54,Milestones!$AA$126)&lt;=AsOfDate,IF($Q54=0,$W54,IF(AND($S54&lt;&gt;"",EDATE($D54,Milestones!$AA$126)&gt;=$S54),$V54,IF(AND($R54&lt;&gt;"",EDATE($D54,Milestones!$AA$126)&gt;=$R54),$U54,$T54)))=Milestones!$AB$126),TEXT(EDATE($D54,Milestones!$AA$126),"dd/mm/yy")&amp;" "&amp;Milestones!$AB$126&amp;" "&amp;Milestones!$AC$126&amp;";  ","")&amp;IF(AND(EDATE($D54,Milestones!$AA$127)&lt;=AsOfDate,IF($Q54=0,$W54,IF(AND($S54&lt;&gt;"",EDATE($D54,Milestones!$AA$127)&gt;=$S54),$V54,IF(AND($R54&lt;&gt;"",EDATE($D54,Milestones!$AA$127)&gt;=$R54),$U54,$T54)))=Milestones!$AB$127),TEXT(EDATE($D54,Milestones!$AA$127),"dd/mm/yy")&amp;" "&amp;Milestones!$AB$127&amp;" "&amp;Milestones!$AC$127&amp;";  ","")&amp;IF(AND(EDATE($D54,Milestones!$AA$128)&lt;=AsOfDate,IF($Q54=0,$W54,IF(AND($S54&lt;&gt;"",EDATE($D54,Milestones!$AA$128)&gt;=$S54),$V54,IF(AND($R54&lt;&gt;"",EDATE($D54,Milestones!$AA$128)&gt;=$R54),$U54,$T54)))=Milestones!$AB$128),TEXT(EDATE($D54,Milestones!$AA$128),"dd/mm/yy")&amp;" "&amp;Milestones!$AB$128&amp;" "&amp;Milestones!$AC$128&amp;";  ","")&amp;IF(AND(EDATE($D54,Milestones!$AA$129)&lt;=AsOfDate,IF($Q54=0,$W54,IF(AND($S54&lt;&gt;"",EDATE($D54,Milestones!$AA$129)&gt;=$S54),$V54,IF(AND($R54&lt;&gt;"",EDATE($D54,Milestones!$AA$129)&gt;=$R54),$U54,$T54)))=Milestones!$AB$129),TEXT(EDATE($D54,Milestones!$AA$129),"dd/mm/yy")&amp;" "&amp;Milestones!$AB$129&amp;" "&amp;Milestones!$AC$129&amp;";  ","")&amp;IF(AND(EDATE($D54,Milestones!$AA$130)&lt;=AsOfDate,IF($Q54=0,$W54,IF(AND($S54&lt;&gt;"",EDATE($D54,Milestones!$AA$130)&gt;=$S54),$V54,IF(AND($R54&lt;&gt;"",EDATE($D54,Milestones!$AA$130)&gt;=$R54),$U54,$T54)))=Milestones!$AB$130),TEXT(EDATE($D54,Milestones!$AA$130),"dd/mm/yy")&amp;" "&amp;Milestones!$AB$130&amp;" "&amp;Milestones!$AC$130&amp;";  ","")&amp;IF(AND(EDATE($D54,Milestones!$AA$131)&lt;=AsOfDate,IF($Q54=0,$W54,IF(AND($S54&lt;&gt;"",EDATE($D54,Milestones!$AA$131)&gt;=$S54),$V54,IF(AND($R54&lt;&gt;"",EDATE($D54,Milestones!$AA$131)&gt;=$R54),$U54,$T54)))=Milestones!$AB$131),TEXT(EDATE($D54,Milestones!$AA$131),"dd/mm/yy")&amp;" "&amp;Milestones!$AB$131&amp;" "&amp;Milestones!$AC$131&amp;";  ","")&amp;IF(AND(EDATE($D54,Milestones!$AA$132)&lt;=AsOfDate,IF($Q54=0,$W54,IF(AND($S54&lt;&gt;"",EDATE($D54,Milestones!$AA$132)&gt;=$S54),$V54,IF(AND($R54&lt;&gt;"",EDATE($D54,Milestones!$AA$132)&gt;=$R54),$U54,$T54)))=Milestones!$AB$132),TEXT(EDATE($D54,Milestones!$AA$132),"dd/mm/yy")&amp;" "&amp;Milestones!$AB$132&amp;" "&amp;Milestones!$AC$132&amp;";  ","")&amp;IF(AND(EDATE($D54,Milestones!$AA$133)&lt;=AsOfDate,IF($Q54=0,$W54,IF(AND($S54&lt;&gt;"",EDATE($D54,Milestones!$AA$133)&gt;=$S54),$V54,IF(AND($R54&lt;&gt;"",EDATE($D54,Milestones!$AA$133)&gt;=$R54),$U54,$T54)))=Milestones!$AB$133),TEXT(EDATE($D54,Milestones!$AA$133),"dd/mm/yy")&amp;" "&amp;Milestones!$AB$133&amp;" "&amp;Milestones!$AC$133&amp;";  ","")&amp;IF(AND(EDATE($D54,Milestones!$AA$134)&lt;=AsOfDate,IF($Q54=0,$W54,IF(AND($S54&lt;&gt;"",EDATE($D54,Milestones!$AA$134)&gt;=$S54),$V54,IF(AND($R54&lt;&gt;"",EDATE($D54,Milestones!$AA$134)&gt;=$R54),$U54,$T54)))=Milestones!$AB$134),TEXT(EDATE($D54,Milestones!$AA$134),"dd/mm/yy")&amp;" "&amp;Milestones!$AB$134&amp;" "&amp;Milestones!$AC$134&amp;";  ","")&amp;IF(AND(EDATE($D54,Milestones!$AA$135)&lt;=AsOfDate,IF($Q54=0,$W54,IF(AND($S54&lt;&gt;"",EDATE($D54,Milestones!$AA$135)&gt;=$S54),$V54,IF(AND($R54&lt;&gt;"",EDATE($D54,Milestones!$AA$135)&gt;=$R54),$U54,$T54)))=Milestones!$AB$135),TEXT(EDATE($D54,Milestones!$AA$135),"dd/mm/yy")&amp;" "&amp;Milestones!$AB$135&amp;" "&amp;Milestones!$AC$135&amp;";  ","")&amp;IF(AND(EDATE($D54,Milestones!$AA$136)&lt;=AsOfDate,IF($Q54=0,$W54,IF(AND($S54&lt;&gt;"",EDATE($D54,Milestones!$AA$136)&gt;=$S54),$V54,IF(AND($R54&lt;&gt;"",EDATE($D54,Milestones!$AA$136)&gt;=$R54),$U54,$T54)))=Milestones!$AB$136),TEXT(EDATE($D54,Milestones!$AA$136),"dd/mm/yy")&amp;" "&amp;Milestones!$AB$136&amp;" "&amp;Milestones!$AC$136&amp;";  ","")&amp;IF(AND(EDATE($D54,Milestones!$AA$137)&lt;=AsOfDate,IF($Q54=0,$W54,IF(AND($S54&lt;&gt;"",EDATE($D54,Milestones!$AA$137)&gt;=$S54),$V54,IF(AND($R54&lt;&gt;"",EDATE($D54,Milestones!$AA$137)&gt;=$R54),$U54,$T54)))=Milestones!$AB$137),TEXT(EDATE($D54,Milestones!$AA$137),"dd/mm/yy")&amp;" "&amp;Milestones!$AB$137&amp;" "&amp;Milestones!$AC$137&amp;";  ","")&amp;IF(AND(EDATE($D54,Milestones!$AA$138)&lt;=AsOfDate,IF($Q54=0,$W54,IF(AND($S54&lt;&gt;"",EDATE($D54,Milestones!$AA$138)&gt;=$S54),$V54,IF(AND($R54&lt;&gt;"",EDATE($D54,Milestones!$AA$138)&gt;=$R54),$U54,$T54)))=Milestones!$AB$138),TEXT(EDATE($D54,Milestones!$AA$138),"dd/mm/yy")&amp;" "&amp;Milestones!$AB$138&amp;" "&amp;Milestones!$AC$138&amp;";  ","")&amp;IF(AND(EDATE($D54,Milestones!$AA$139)&lt;=AsOfDate,IF($Q54=0,$W54,IF(AND($S54&lt;&gt;"",EDATE($D54,Milestones!$AA$139)&gt;=$S54),$V54,IF(AND($R54&lt;&gt;"",EDATE($D54,Milestones!$AA$139)&gt;=$R54),$U54,$T54)))=Milestones!$AB$139),TEXT(EDATE($D54,Milestones!$AA$139),"dd/mm/yy")&amp;" "&amp;Milestones!$AB$139&amp;" "&amp;Milestones!$AC$139&amp;";  ",""))</f>
        <v/>
      </c>
      <c r="N54" s="0" t="str">
        <f aca="false">IF(OR($A54="",$D54=""),"",IF(AND(EDATE($D54,Milestones!$AA$140)&lt;=AsOfDate,IF($Q54=0,$W54,IF(AND($S54&lt;&gt;"",EDATE($D54,Milestones!$AA$140)&gt;=$S54),$V54,IF(AND($R54&lt;&gt;"",EDATE($D54,Milestones!$AA$140)&gt;=$R54),$U54,$T54)))=Milestones!$AB$140),TEXT(EDATE($D54,Milestones!$AA$140),"dd/mm/yy")&amp;" "&amp;Milestones!$AB$140&amp;" "&amp;Milestones!$AC$140&amp;";  ","")&amp;IF(AND(EDATE($D54,Milestones!$AA$141)&lt;=AsOfDate,IF($Q54=0,$W54,IF(AND($S54&lt;&gt;"",EDATE($D54,Milestones!$AA$141)&gt;=$S54),$V54,IF(AND($R54&lt;&gt;"",EDATE($D54,Milestones!$AA$141)&gt;=$R54),$U54,$T54)))=Milestones!$AB$141),TEXT(EDATE($D54,Milestones!$AA$141),"dd/mm/yy")&amp;" "&amp;Milestones!$AB$141&amp;" "&amp;Milestones!$AC$141&amp;";  ","")&amp;IF(AND(EDATE($D54,Milestones!$AA$142)&lt;=AsOfDate,IF($Q54=0,$W54,IF(AND($S54&lt;&gt;"",EDATE($D54,Milestones!$AA$142)&gt;=$S54),$V54,IF(AND($R54&lt;&gt;"",EDATE($D54,Milestones!$AA$142)&gt;=$R54),$U54,$T54)))=Milestones!$AB$142),TEXT(EDATE($D54,Milestones!$AA$142),"dd/mm/yy")&amp;" "&amp;Milestones!$AB$142&amp;" "&amp;Milestones!$AC$142&amp;";  ","")&amp;IF(AND(EDATE($D54,Milestones!$AA$143)&lt;=AsOfDate,IF($Q54=0,$W54,IF(AND($S54&lt;&gt;"",EDATE($D54,Milestones!$AA$143)&gt;=$S54),$V54,IF(AND($R54&lt;&gt;"",EDATE($D54,Milestones!$AA$143)&gt;=$R54),$U54,$T54)))=Milestones!$AB$143),TEXT(EDATE($D54,Milestones!$AA$143),"dd/mm/yy")&amp;" "&amp;Milestones!$AB$143&amp;" "&amp;Milestones!$AC$143&amp;";  ","")&amp;IF(AND(EDATE($D54,Milestones!$AA$144)&lt;=AsOfDate,IF($Q54=0,$W54,IF(AND($S54&lt;&gt;"",EDATE($D54,Milestones!$AA$144)&gt;=$S54),$V54,IF(AND($R54&lt;&gt;"",EDATE($D54,Milestones!$AA$144)&gt;=$R54),$U54,$T54)))=Milestones!$AB$144),TEXT(EDATE($D54,Milestones!$AA$144),"dd/mm/yy")&amp;" "&amp;Milestones!$AB$144&amp;" "&amp;Milestones!$AC$144&amp;";  ","")&amp;IF(AND(EDATE($D54,Milestones!$AA$145)&lt;=AsOfDate,IF($Q54=0,$W54,IF(AND($S54&lt;&gt;"",EDATE($D54,Milestones!$AA$145)&gt;=$S54),$V54,IF(AND($R54&lt;&gt;"",EDATE($D54,Milestones!$AA$145)&gt;=$R54),$U54,$T54)))=Milestones!$AB$145),TEXT(EDATE($D54,Milestones!$AA$145),"dd/mm/yy")&amp;" "&amp;Milestones!$AB$145&amp;" "&amp;Milestones!$AC$145&amp;";  ","")&amp;IF(AND(EDATE($D54,Milestones!$AA$146)&lt;=AsOfDate,IF($Q54=0,$W54,IF(AND($S54&lt;&gt;"",EDATE($D54,Milestones!$AA$146)&gt;=$S54),$V54,IF(AND($R54&lt;&gt;"",EDATE($D54,Milestones!$AA$146)&gt;=$R54),$U54,$T54)))=Milestones!$AB$146),TEXT(EDATE($D54,Milestones!$AA$146),"dd/mm/yy")&amp;" "&amp;Milestones!$AB$146&amp;" "&amp;Milestones!$AC$146&amp;";  ","")&amp;IF(AND(EDATE($D54,Milestones!$AA$147)&lt;=AsOfDate,IF($Q54=0,$W54,IF(AND($S54&lt;&gt;"",EDATE($D54,Milestones!$AA$147)&gt;=$S54),$V54,IF(AND($R54&lt;&gt;"",EDATE($D54,Milestones!$AA$147)&gt;=$R54),$U54,$T54)))=Milestones!$AB$147),TEXT(EDATE($D54,Milestones!$AA$147),"dd/mm/yy")&amp;" "&amp;Milestones!$AB$147&amp;" "&amp;Milestones!$AC$147&amp;";  ","")&amp;IF(AND(EDATE($D54,Milestones!$AA$148)&lt;=AsOfDate,IF($Q54=0,$W54,IF(AND($S54&lt;&gt;"",EDATE($D54,Milestones!$AA$148)&gt;=$S54),$V54,IF(AND($R54&lt;&gt;"",EDATE($D54,Milestones!$AA$148)&gt;=$R54),$U54,$T54)))=Milestones!$AB$148),TEXT(EDATE($D54,Milestones!$AA$148),"dd/mm/yy")&amp;" "&amp;Milestones!$AB$148&amp;" "&amp;Milestones!$AC$148&amp;";  ","")&amp;IF(AND(EDATE($D54,Milestones!$AA$149)&lt;=AsOfDate,IF($Q54=0,$W54,IF(AND($S54&lt;&gt;"",EDATE($D54,Milestones!$AA$149)&gt;=$S54),$V54,IF(AND($R54&lt;&gt;"",EDATE($D54,Milestones!$AA$149)&gt;=$R54),$U54,$T54)))=Milestones!$AB$149),TEXT(EDATE($D54,Milestones!$AA$149),"dd/mm/yy")&amp;" "&amp;Milestones!$AB$149&amp;" "&amp;Milestones!$AC$149&amp;";  ","")&amp;IF(AND(EDATE($D54,Milestones!$AA$150)&lt;=AsOfDate,IF($Q54=0,$W54,IF(AND($S54&lt;&gt;"",EDATE($D54,Milestones!$AA$150)&gt;=$S54),$V54,IF(AND($R54&lt;&gt;"",EDATE($D54,Milestones!$AA$150)&gt;=$R54),$U54,$T54)))=Milestones!$AB$150),TEXT(EDATE($D54,Milestones!$AA$150),"dd/mm/yy")&amp;" "&amp;Milestones!$AB$150&amp;" "&amp;Milestones!$AC$150&amp;";  ","")&amp;IF(AND(EDATE($D54,Milestones!$AA$151)&lt;=AsOfDate,IF($Q54=0,$W54,IF(AND($S54&lt;&gt;"",EDATE($D54,Milestones!$AA$151)&gt;=$S54),$V54,IF(AND($R54&lt;&gt;"",EDATE($D54,Milestones!$AA$151)&gt;=$R54),$U54,$T54)))=Milestones!$AB$151),TEXT(EDATE($D54,Milestones!$AA$151),"dd/mm/yy")&amp;" "&amp;Milestones!$AB$151&amp;" "&amp;Milestones!$AC$151&amp;";  ","")&amp;IF(AND(EDATE($D54,Milestones!$AA$152)&lt;=AsOfDate,IF($Q54=0,$W54,IF(AND($S54&lt;&gt;"",EDATE($D54,Milestones!$AA$152)&gt;=$S54),$V54,IF(AND($R54&lt;&gt;"",EDATE($D54,Milestones!$AA$152)&gt;=$R54),$U54,$T54)))=Milestones!$AB$152),TEXT(EDATE($D54,Milestones!$AA$152),"dd/mm/yy")&amp;" "&amp;Milestones!$AB$152&amp;" "&amp;Milestones!$AC$152&amp;";  ","")&amp;IF(AND(EDATE($D54,Milestones!$AA$153)&lt;=AsOfDate,IF($Q54=0,$W54,IF(AND($S54&lt;&gt;"",EDATE($D54,Milestones!$AA$153)&gt;=$S54),$V54,IF(AND($R54&lt;&gt;"",EDATE($D54,Milestones!$AA$153)&gt;=$R54),$U54,$T54)))=Milestones!$AB$153),TEXT(EDATE($D54,Milestones!$AA$153),"dd/mm/yy")&amp;" "&amp;Milestones!$AB$153&amp;" "&amp;Milestones!$AC$153&amp;";  ","")&amp;IF(AND(EDATE($D54,Milestones!$AA$154)&lt;=AsOfDate,IF($Q54=0,$W54,IF(AND($S54&lt;&gt;"",EDATE($D54,Milestones!$AA$154)&gt;=$S54),$V54,IF(AND($R54&lt;&gt;"",EDATE($D54,Milestones!$AA$154)&gt;=$R54),$U54,$T54)))=Milestones!$AB$154),TEXT(EDATE($D54,Milestones!$AA$154),"dd/mm/yy")&amp;" "&amp;Milestones!$AB$154&amp;" "&amp;Milestones!$AC$154&amp;";  ","")&amp;IF(AND(EDATE($D54,Milestones!$AA$155)&lt;=AsOfDate,IF($Q54=0,$W54,IF(AND($S54&lt;&gt;"",EDATE($D54,Milestones!$AA$155)&gt;=$S54),$V54,IF(AND($R54&lt;&gt;"",EDATE($D54,Milestones!$AA$155)&gt;=$R54),$U54,$T54)))=Milestones!$AB$155),TEXT(EDATE($D54,Milestones!$AA$155),"dd/mm/yy")&amp;" "&amp;Milestones!$AB$155&amp;" "&amp;Milestones!$AC$155&amp;";  ","")&amp;IF(AND(EDATE($D54,Milestones!$AA$156)&lt;=AsOfDate,IF($Q54=0,$W54,IF(AND($S54&lt;&gt;"",EDATE($D54,Milestones!$AA$156)&gt;=$S54),$V54,IF(AND($R54&lt;&gt;"",EDATE($D54,Milestones!$AA$156)&gt;=$R54),$U54,$T54)))=Milestones!$AB$156),TEXT(EDATE($D54,Milestones!$AA$156),"dd/mm/yy")&amp;" "&amp;Milestones!$AB$156&amp;" "&amp;Milestones!$AC$156&amp;";  ","")&amp;IF(AND(EDATE($D54,Milestones!$AA$157)&lt;=AsOfDate,IF($Q54=0,$W54,IF(AND($S54&lt;&gt;"",EDATE($D54,Milestones!$AA$157)&gt;=$S54),$V54,IF(AND($R54&lt;&gt;"",EDATE($D54,Milestones!$AA$157)&gt;=$R54),$U54,$T54)))=Milestones!$AB$157),TEXT(EDATE($D54,Milestones!$AA$157),"dd/mm/yy")&amp;" "&amp;Milestones!$AB$157&amp;" "&amp;Milestones!$AC$157&amp;";  ","")&amp;IF(AND(EDATE($D54,Milestones!$AA$158)&lt;=AsOfDate,IF($Q54=0,$W54,IF(AND($S54&lt;&gt;"",EDATE($D54,Milestones!$AA$158)&gt;=$S54),$V54,IF(AND($R54&lt;&gt;"",EDATE($D54,Milestones!$AA$158)&gt;=$R54),$U54,$T54)))=Milestones!$AB$158),TEXT(EDATE($D54,Milestones!$AA$158),"dd/mm/yy")&amp;" "&amp;Milestones!$AB$158&amp;" "&amp;Milestones!$AC$158&amp;";  ","")&amp;IF(AND(EDATE($D54,Milestones!$AA$159)&lt;=AsOfDate,IF($Q54=0,$W54,IF(AND($S54&lt;&gt;"",EDATE($D54,Milestones!$AA$159)&gt;=$S54),$V54,IF(AND($R54&lt;&gt;"",EDATE($D54,Milestones!$AA$159)&gt;=$R54),$U54,$T54)))=Milestones!$AB$159),TEXT(EDATE($D54,Milestones!$AA$159),"dd/mm/yy")&amp;" "&amp;Milestones!$AB$159&amp;" "&amp;Milestones!$AC$159&amp;";  ",""))</f>
        <v/>
      </c>
      <c r="O54" s="0" t="str">
        <f aca="false">IF(OR($A54="",$D54=""),"",IF(AND(EDATE($D54,Milestones!$AA$160)&lt;=AsOfDate,IF($Q54=0,$W54,IF(AND($S54&lt;&gt;"",EDATE($D54,Milestones!$AA$160)&gt;=$S54),$V54,IF(AND($R54&lt;&gt;"",EDATE($D54,Milestones!$AA$160)&gt;=$R54),$U54,$T54)))=Milestones!$AB$160),TEXT(EDATE($D54,Milestones!$AA$160),"dd/mm/yy")&amp;" "&amp;Milestones!$AB$160&amp;" "&amp;Milestones!$AC$160&amp;";  ","")&amp;IF(AND(EDATE($D54,Milestones!$AA$161)&lt;=AsOfDate,IF($Q54=0,$W54,IF(AND($S54&lt;&gt;"",EDATE($D54,Milestones!$AA$161)&gt;=$S54),$V54,IF(AND($R54&lt;&gt;"",EDATE($D54,Milestones!$AA$161)&gt;=$R54),$U54,$T54)))=Milestones!$AB$161),TEXT(EDATE($D54,Milestones!$AA$161),"dd/mm/yy")&amp;" "&amp;Milestones!$AB$161&amp;" "&amp;Milestones!$AC$161&amp;";  ","")&amp;IF(AND(EDATE($D54,Milestones!$AA$162)&lt;=AsOfDate,IF($Q54=0,$W54,IF(AND($S54&lt;&gt;"",EDATE($D54,Milestones!$AA$162)&gt;=$S54),$V54,IF(AND($R54&lt;&gt;"",EDATE($D54,Milestones!$AA$162)&gt;=$R54),$U54,$T54)))=Milestones!$AB$162),TEXT(EDATE($D54,Milestones!$AA$162),"dd/mm/yy")&amp;" "&amp;Milestones!$AB$162&amp;" "&amp;Milestones!$AC$162&amp;";  ","")&amp;IF(AND(EDATE($D54,Milestones!$AA$163)&lt;=AsOfDate,IF($Q54=0,$W54,IF(AND($S54&lt;&gt;"",EDATE($D54,Milestones!$AA$163)&gt;=$S54),$V54,IF(AND($R54&lt;&gt;"",EDATE($D54,Milestones!$AA$163)&gt;=$R54),$U54,$T54)))=Milestones!$AB$163),TEXT(EDATE($D54,Milestones!$AA$163),"dd/mm/yy")&amp;" "&amp;Milestones!$AB$163&amp;" "&amp;Milestones!$AC$163&amp;";  ","")&amp;IF(AND(EDATE($D54,Milestones!$AA$164)&lt;=AsOfDate,IF($Q54=0,$W54,IF(AND($S54&lt;&gt;"",EDATE($D54,Milestones!$AA$164)&gt;=$S54),$V54,IF(AND($R54&lt;&gt;"",EDATE($D54,Milestones!$AA$164)&gt;=$R54),$U54,$T54)))=Milestones!$AB$164),TEXT(EDATE($D54,Milestones!$AA$164),"dd/mm/yy")&amp;" "&amp;Milestones!$AB$164&amp;" "&amp;Milestones!$AC$164&amp;";  ","")&amp;IF(AND(EDATE($D54,Milestones!$AA$165)&lt;=AsOfDate,IF($Q54=0,$W54,IF(AND($S54&lt;&gt;"",EDATE($D54,Milestones!$AA$165)&gt;=$S54),$V54,IF(AND($R54&lt;&gt;"",EDATE($D54,Milestones!$AA$165)&gt;=$R54),$U54,$T54)))=Milestones!$AB$165),TEXT(EDATE($D54,Milestones!$AA$165),"dd/mm/yy")&amp;" "&amp;Milestones!$AB$165&amp;" "&amp;Milestones!$AC$165&amp;";  ","")&amp;IF(AND(EDATE($D54,Milestones!$AA$166)&lt;=AsOfDate,IF($Q54=0,$W54,IF(AND($S54&lt;&gt;"",EDATE($D54,Milestones!$AA$166)&gt;=$S54),$V54,IF(AND($R54&lt;&gt;"",EDATE($D54,Milestones!$AA$166)&gt;=$R54),$U54,$T54)))=Milestones!$AB$166),TEXT(EDATE($D54,Milestones!$AA$166),"dd/mm/yy")&amp;" "&amp;Milestones!$AB$166&amp;" "&amp;Milestones!$AC$166&amp;";  ","")&amp;IF(AND(EDATE($D54,Milestones!$AA$167)&lt;=AsOfDate,IF($Q54=0,$W54,IF(AND($S54&lt;&gt;"",EDATE($D54,Milestones!$AA$167)&gt;=$S54),$V54,IF(AND($R54&lt;&gt;"",EDATE($D54,Milestones!$AA$167)&gt;=$R54),$U54,$T54)))=Milestones!$AB$167),TEXT(EDATE($D54,Milestones!$AA$167),"dd/mm/yy")&amp;" "&amp;Milestones!$AB$167&amp;" "&amp;Milestones!$AC$167&amp;";  ","")&amp;IF(AND(EDATE($D54,Milestones!$AA$168)&lt;=AsOfDate,IF($Q54=0,$W54,IF(AND($S54&lt;&gt;"",EDATE($D54,Milestones!$AA$168)&gt;=$S54),$V54,IF(AND($R54&lt;&gt;"",EDATE($D54,Milestones!$AA$168)&gt;=$R54),$U54,$T54)))=Milestones!$AB$168),TEXT(EDATE($D54,Milestones!$AA$168),"dd/mm/yy")&amp;" "&amp;Milestones!$AB$168&amp;" "&amp;Milestones!$AC$168&amp;";  ","")&amp;IF(AND(EDATE($D54,Milestones!$AA$169)&lt;=AsOfDate,IF($Q54=0,$W54,IF(AND($S54&lt;&gt;"",EDATE($D54,Milestones!$AA$169)&gt;=$S54),$V54,IF(AND($R54&lt;&gt;"",EDATE($D54,Milestones!$AA$169)&gt;=$R54),$U54,$T54)))=Milestones!$AB$169),TEXT(EDATE($D54,Milestones!$AA$169),"dd/mm/yy")&amp;" "&amp;Milestones!$AB$169&amp;" "&amp;Milestones!$AC$169&amp;";  ","")&amp;IF(AND(EDATE($D54,Milestones!$AA$170)&lt;=AsOfDate,IF($Q54=0,$W54,IF(AND($S54&lt;&gt;"",EDATE($D54,Milestones!$AA$170)&gt;=$S54),$V54,IF(AND($R54&lt;&gt;"",EDATE($D54,Milestones!$AA$170)&gt;=$R54),$U54,$T54)))=Milestones!$AB$170),TEXT(EDATE($D54,Milestones!$AA$170),"dd/mm/yy")&amp;" "&amp;Milestones!$AB$170&amp;" "&amp;Milestones!$AC$170&amp;";  ","")&amp;IF(AND(EDATE($D54,Milestones!$AA$171)&lt;=AsOfDate,IF($Q54=0,$W54,IF(AND($S54&lt;&gt;"",EDATE($D54,Milestones!$AA$171)&gt;=$S54),$V54,IF(AND($R54&lt;&gt;"",EDATE($D54,Milestones!$AA$171)&gt;=$R54),$U54,$T54)))=Milestones!$AB$171),TEXT(EDATE($D54,Milestones!$AA$171),"dd/mm/yy")&amp;" "&amp;Milestones!$AB$171&amp;" "&amp;Milestones!$AC$171&amp;";  ","")&amp;IF(AND(EDATE($D54,Milestones!$AA$172)&lt;=AsOfDate,IF($Q54=0,$W54,IF(AND($S54&lt;&gt;"",EDATE($D54,Milestones!$AA$172)&gt;=$S54),$V54,IF(AND($R54&lt;&gt;"",EDATE($D54,Milestones!$AA$172)&gt;=$R54),$U54,$T54)))=Milestones!$AB$172),TEXT(EDATE($D54,Milestones!$AA$172),"dd/mm/yy")&amp;" "&amp;Milestones!$AB$172&amp;" "&amp;Milestones!$AC$172&amp;";  ","")&amp;IF(AND(EDATE($D54,Milestones!$AA$173)&lt;=AsOfDate,IF($Q54=0,$W54,IF(AND($S54&lt;&gt;"",EDATE($D54,Milestones!$AA$173)&gt;=$S54),$V54,IF(AND($R54&lt;&gt;"",EDATE($D54,Milestones!$AA$173)&gt;=$R54),$U54,$T54)))=Milestones!$AB$173),TEXT(EDATE($D54,Milestones!$AA$173),"dd/mm/yy")&amp;" "&amp;Milestones!$AB$173&amp;" "&amp;Milestones!$AC$173&amp;";  ","")&amp;IF(AND(EDATE($D54,Milestones!$AA$174)&lt;=AsOfDate,IF($Q54=0,$W54,IF(AND($S54&lt;&gt;"",EDATE($D54,Milestones!$AA$174)&gt;=$S54),$V54,IF(AND($R54&lt;&gt;"",EDATE($D54,Milestones!$AA$174)&gt;=$R54),$U54,$T54)))=Milestones!$AB$174),TEXT(EDATE($D54,Milestones!$AA$174),"dd/mm/yy")&amp;" "&amp;Milestones!$AB$174&amp;" "&amp;Milestones!$AC$174&amp;";  ","")&amp;IF(AND(EDATE($D54,Milestones!$AA$175)&lt;=AsOfDate,IF($Q54=0,$W54,IF(AND($S54&lt;&gt;"",EDATE($D54,Milestones!$AA$175)&gt;=$S54),$V54,IF(AND($R54&lt;&gt;"",EDATE($D54,Milestones!$AA$175)&gt;=$R54),$U54,$T54)))=Milestones!$AB$175),TEXT(EDATE($D54,Milestones!$AA$175),"dd/mm/yy")&amp;" "&amp;Milestones!$AB$175&amp;" "&amp;Milestones!$AC$175&amp;";  ","")&amp;IF(AND(EDATE($D54,Milestones!$AA$176)&lt;=AsOfDate,IF($Q54=0,$W54,IF(AND($S54&lt;&gt;"",EDATE($D54,Milestones!$AA$176)&gt;=$S54),$V54,IF(AND($R54&lt;&gt;"",EDATE($D54,Milestones!$AA$176)&gt;=$R54),$U54,$T54)))=Milestones!$AB$176),TEXT(EDATE($D54,Milestones!$AA$176),"dd/mm/yy")&amp;" "&amp;Milestones!$AB$176&amp;" "&amp;Milestones!$AC$176&amp;";  ","")&amp;IF(AND(EDATE($D54,Milestones!$AA$177)&lt;=AsOfDate,IF($Q54=0,$W54,IF(AND($S54&lt;&gt;"",EDATE($D54,Milestones!$AA$177)&gt;=$S54),$V54,IF(AND($R54&lt;&gt;"",EDATE($D54,Milestones!$AA$177)&gt;=$R54),$U54,$T54)))=Milestones!$AB$177),TEXT(EDATE($D54,Milestones!$AA$177),"dd/mm/yy")&amp;" "&amp;Milestones!$AB$177&amp;" "&amp;Milestones!$AC$177&amp;";  ","")&amp;IF(AND(EDATE($D54,Milestones!$AA$178)&lt;=AsOfDate,IF($Q54=0,$W54,IF(AND($S54&lt;&gt;"",EDATE($D54,Milestones!$AA$178)&gt;=$S54),$V54,IF(AND($R54&lt;&gt;"",EDATE($D54,Milestones!$AA$178)&gt;=$R54),$U54,$T54)))=Milestones!$AB$178),TEXT(EDATE($D54,Milestones!$AA$178),"dd/mm/yy")&amp;" "&amp;Milestones!$AB$178&amp;" "&amp;Milestones!$AC$178&amp;";  ","")&amp;IF(AND(EDATE($D54,Milestones!$AA$179)&lt;=AsOfDate,IF($Q54=0,$W54,IF(AND($S54&lt;&gt;"",EDATE($D54,Milestones!$AA$179)&gt;=$S54),$V54,IF(AND($R54&lt;&gt;"",EDATE($D54,Milestones!$AA$179)&gt;=$R54),$U54,$T54)))=Milestones!$AB$179),TEXT(EDATE($D54,Milestones!$AA$179),"dd/mm/yy")&amp;" "&amp;Milestones!$AB$179&amp;" "&amp;Milestones!$AC$179&amp;";  ",""))</f>
        <v/>
      </c>
      <c r="P54" s="0" t="str">
        <f aca="false">IF(OR($A54="",$D54=""),"",IF(AND(EDATE($D54,Milestones!$AA$180)&lt;=AsOfDate,IF($Q54=0,$W54,IF(AND($S54&lt;&gt;"",EDATE($D54,Milestones!$AA$180)&gt;=$S54),$V54,IF(AND($R54&lt;&gt;"",EDATE($D54,Milestones!$AA$180)&gt;=$R54),$U54,$T54)))=Milestones!$AB$180),TEXT(EDATE($D54,Milestones!$AA$180),"dd/mm/yy")&amp;" "&amp;Milestones!$AB$180&amp;" "&amp;Milestones!$AC$180&amp;";  ","")&amp;IF(AND(EDATE($D54,Milestones!$AA$181)&lt;=AsOfDate,IF($Q54=0,$W54,IF(AND($S54&lt;&gt;"",EDATE($D54,Milestones!$AA$181)&gt;=$S54),$V54,IF(AND($R54&lt;&gt;"",EDATE($D54,Milestones!$AA$181)&gt;=$R54),$U54,$T54)))=Milestones!$AB$181),TEXT(EDATE($D54,Milestones!$AA$181),"dd/mm/yy")&amp;" "&amp;Milestones!$AB$181&amp;" "&amp;Milestones!$AC$181&amp;";  ","")&amp;IF(AND(EDATE($D54,Milestones!$AA$182)&lt;=AsOfDate,IF($Q54=0,$W54,IF(AND($S54&lt;&gt;"",EDATE($D54,Milestones!$AA$182)&gt;=$S54),$V54,IF(AND($R54&lt;&gt;"",EDATE($D54,Milestones!$AA$182)&gt;=$R54),$U54,$T54)))=Milestones!$AB$182),TEXT(EDATE($D54,Milestones!$AA$182),"dd/mm/yy")&amp;" "&amp;Milestones!$AB$182&amp;" "&amp;Milestones!$AC$182&amp;";  ","")&amp;IF(AND(EDATE($D54,Milestones!$AA$183)&lt;=AsOfDate,IF($Q54=0,$W54,IF(AND($S54&lt;&gt;"",EDATE($D54,Milestones!$AA$183)&gt;=$S54),$V54,IF(AND($R54&lt;&gt;"",EDATE($D54,Milestones!$AA$183)&gt;=$R54),$U54,$T54)))=Milestones!$AB$183),TEXT(EDATE($D54,Milestones!$AA$183),"dd/mm/yy")&amp;" "&amp;Milestones!$AB$183&amp;" "&amp;Milestones!$AC$183&amp;";  ","")&amp;IF(AND(EDATE($D54,Milestones!$AA$184)&lt;=AsOfDate,IF($Q54=0,$W54,IF(AND($S54&lt;&gt;"",EDATE($D54,Milestones!$AA$184)&gt;=$S54),$V54,IF(AND($R54&lt;&gt;"",EDATE($D54,Milestones!$AA$184)&gt;=$R54),$U54,$T54)))=Milestones!$AB$184),TEXT(EDATE($D54,Milestones!$AA$184),"dd/mm/yy")&amp;" "&amp;Milestones!$AB$184&amp;" "&amp;Milestones!$AC$184&amp;";  ","")&amp;IF(AND(EDATE($D54,Milestones!$AA$185)&lt;=AsOfDate,IF($Q54=0,$W54,IF(AND($S54&lt;&gt;"",EDATE($D54,Milestones!$AA$185)&gt;=$S54),$V54,IF(AND($R54&lt;&gt;"",EDATE($D54,Milestones!$AA$185)&gt;=$R54),$U54,$T54)))=Milestones!$AB$185),TEXT(EDATE($D54,Milestones!$AA$185),"dd/mm/yy")&amp;" "&amp;Milestones!$AB$185&amp;" "&amp;Milestones!$AC$185&amp;";  ","")&amp;IF(AND(EDATE($D54,Milestones!$AA$186)&lt;=AsOfDate,IF($Q54=0,$W54,IF(AND($S54&lt;&gt;"",EDATE($D54,Milestones!$AA$186)&gt;=$S54),$V54,IF(AND($R54&lt;&gt;"",EDATE($D54,Milestones!$AA$186)&gt;=$R54),$U54,$T54)))=Milestones!$AB$186),TEXT(EDATE($D54,Milestones!$AA$186),"dd/mm/yy")&amp;" "&amp;Milestones!$AB$186&amp;" "&amp;Milestones!$AC$186&amp;";  ","")&amp;IF(AND(EDATE($D54,Milestones!$AA$187)&lt;=AsOfDate,IF($Q54=0,$W54,IF(AND($S54&lt;&gt;"",EDATE($D54,Milestones!$AA$187)&gt;=$S54),$V54,IF(AND($R54&lt;&gt;"",EDATE($D54,Milestones!$AA$187)&gt;=$R54),$U54,$T54)))=Milestones!$AB$187),TEXT(EDATE($D54,Milestones!$AA$187),"dd/mm/yy")&amp;" "&amp;Milestones!$AB$187&amp;" "&amp;Milestones!$AC$187&amp;";  ","")&amp;IF(AND(EDATE($D54,Milestones!$AA$188)&lt;=AsOfDate,IF($Q54=0,$W54,IF(AND($S54&lt;&gt;"",EDATE($D54,Milestones!$AA$188)&gt;=$S54),$V54,IF(AND($R54&lt;&gt;"",EDATE($D54,Milestones!$AA$188)&gt;=$R54),$U54,$T54)))=Milestones!$AB$188),TEXT(EDATE($D54,Milestones!$AA$188),"dd/mm/yy")&amp;" "&amp;Milestones!$AB$188&amp;" "&amp;Milestones!$AC$188&amp;";  ","")&amp;IF(AND(EDATE($D54,Milestones!$AA$189)&lt;=AsOfDate,IF($Q54=0,$W54,IF(AND($S54&lt;&gt;"",EDATE($D54,Milestones!$AA$189)&gt;=$S54),$V54,IF(AND($R54&lt;&gt;"",EDATE($D54,Milestones!$AA$189)&gt;=$R54),$U54,$T54)))=Milestones!$AB$189),TEXT(EDATE($D54,Milestones!$AA$189),"dd/mm/yy")&amp;" "&amp;Milestones!$AB$189&amp;" "&amp;Milestones!$AC$189&amp;";  ","")&amp;IF(AND(EDATE($D54,Milestones!$AA$190)&lt;=AsOfDate,IF($Q54=0,$W54,IF(AND($S54&lt;&gt;"",EDATE($D54,Milestones!$AA$190)&gt;=$S54),$V54,IF(AND($R54&lt;&gt;"",EDATE($D54,Milestones!$AA$190)&gt;=$R54),$U54,$T54)))=Milestones!$AB$190),TEXT(EDATE($D54,Milestones!$AA$190),"dd/mm/yy")&amp;" "&amp;Milestones!$AB$190&amp;" "&amp;Milestones!$AC$190&amp;";  ","")&amp;IF(AND(EDATE($D54,Milestones!$AA$191)&lt;=AsOfDate,IF($Q54=0,$W54,IF(AND($S54&lt;&gt;"",EDATE($D54,Milestones!$AA$191)&gt;=$S54),$V54,IF(AND($R54&lt;&gt;"",EDATE($D54,Milestones!$AA$191)&gt;=$R54),$U54,$T54)))=Milestones!$AB$191),TEXT(EDATE($D54,Milestones!$AA$191),"dd/mm/yy")&amp;" "&amp;Milestones!$AB$191&amp;" "&amp;Milestones!$AC$191&amp;";  ","")&amp;IF(AND(EDATE($D54,Milestones!$AA$192)&lt;=AsOfDate,IF($Q54=0,$W54,IF(AND($S54&lt;&gt;"",EDATE($D54,Milestones!$AA$192)&gt;=$S54),$V54,IF(AND($R54&lt;&gt;"",EDATE($D54,Milestones!$AA$192)&gt;=$R54),$U54,$T54)))=Milestones!$AB$192),TEXT(EDATE($D54,Milestones!$AA$192),"dd/mm/yy")&amp;" "&amp;Milestones!$AB$192&amp;" "&amp;Milestones!$AC$192&amp;";  ","")&amp;IF(AND(EDATE($D54,Milestones!$AA$193)&lt;=AsOfDate,IF($Q54=0,$W54,IF(AND($S54&lt;&gt;"",EDATE($D54,Milestones!$AA$193)&gt;=$S54),$V54,IF(AND($R54&lt;&gt;"",EDATE($D54,Milestones!$AA$193)&gt;=$R54),$U54,$T54)))=Milestones!$AB$193),TEXT(EDATE($D54,Milestones!$AA$193),"dd/mm/yy")&amp;" "&amp;Milestones!$AB$193&amp;" "&amp;Milestones!$AC$193&amp;";  ","")&amp;IF(AND(EDATE($D54,Milestones!$AA$194)&lt;=AsOfDate,IF($Q54=0,$W54,IF(AND($S54&lt;&gt;"",EDATE($D54,Milestones!$AA$194)&gt;=$S54),$V54,IF(AND($R54&lt;&gt;"",EDATE($D54,Milestones!$AA$194)&gt;=$R54),$U54,$T54)))=Milestones!$AB$194),TEXT(EDATE($D54,Milestones!$AA$194),"dd/mm/yy")&amp;" "&amp;Milestones!$AB$194&amp;" "&amp;Milestones!$AC$194&amp;";  ","")&amp;IF(AND(EDATE($D54,Milestones!$AA$195)&lt;=AsOfDate,IF($Q54=0,$W54,IF(AND($S54&lt;&gt;"",EDATE($D54,Milestones!$AA$195)&gt;=$S54),$V54,IF(AND($R54&lt;&gt;"",EDATE($D54,Milestones!$AA$195)&gt;=$R54),$U54,$T54)))=Milestones!$AB$195),TEXT(EDATE($D54,Milestones!$AA$195),"dd/mm/yy")&amp;" "&amp;Milestones!$AB$195&amp;" "&amp;Milestones!$AC$195&amp;";  ","")&amp;IF(AND(EDATE($D54,Milestones!$AA$196)&lt;=AsOfDate,IF($Q54=0,$W54,IF(AND($S54&lt;&gt;"",EDATE($D54,Milestones!$AA$196)&gt;=$S54),$V54,IF(AND($R54&lt;&gt;"",EDATE($D54,Milestones!$AA$196)&gt;=$R54),$U54,$T54)))=Milestones!$AB$196),TEXT(EDATE($D54,Milestones!$AA$196),"dd/mm/yy")&amp;" "&amp;Milestones!$AB$196&amp;" "&amp;Milestones!$AC$196&amp;";  ","")&amp;IF(AND(EDATE($D54,Milestones!$AA$197)&lt;=AsOfDate,IF($Q54=0,$W54,IF(AND($S54&lt;&gt;"",EDATE($D54,Milestones!$AA$197)&gt;=$S54),$V54,IF(AND($R54&lt;&gt;"",EDATE($D54,Milestones!$AA$197)&gt;=$R54),$U54,$T54)))=Milestones!$AB$197),TEXT(EDATE($D54,Milestones!$AA$197),"dd/mm/yy")&amp;" "&amp;Milestones!$AB$197&amp;" "&amp;Milestones!$AC$197&amp;";  ","")&amp;IF(AND(EDATE($D54,Milestones!$AA$198)&lt;=AsOfDate,IF($Q54=0,$W54,IF(AND($S54&lt;&gt;"",EDATE($D54,Milestones!$AA$198)&gt;=$S54),$V54,IF(AND($R54&lt;&gt;"",EDATE($D54,Milestones!$AA$198)&gt;=$R54),$U54,$T54)))=Milestones!$AB$198),TEXT(EDATE($D54,Milestones!$AA$198),"dd/mm/yy")&amp;" "&amp;Milestones!$AB$198&amp;" "&amp;Milestones!$AC$198&amp;";  ","")&amp;IF(AND(EDATE($D54,Milestones!$AA$199)&lt;=AsOfDate,IF($Q54=0,$W54,IF(AND($S54&lt;&gt;"",EDATE($D54,Milestones!$AA$199)&gt;=$S54),$V54,IF(AND($R54&lt;&gt;"",EDATE($D54,Milestones!$AA$199)&gt;=$R54),$U54,$T54)))=Milestones!$AB$199),TEXT(EDATE($D54,Milestones!$AA$199),"dd/mm/yy")&amp;" "&amp;Milestones!$AB$199&amp;" "&amp;Milestones!$AC$199&amp;";  ",""))</f>
        <v/>
      </c>
      <c r="Q54" s="0" t="str">
        <f aca="false">IF(Staff!$A54="","",Staff!$AG54)</f>
        <v/>
      </c>
      <c r="R54" s="0" t="str">
        <f aca="false">IF(Staff!$A54="","",Staff!$AI54)</f>
        <v/>
      </c>
      <c r="S54" s="0" t="str">
        <f aca="false">IF(Staff!$A54="","",Staff!$AJ54)</f>
        <v/>
      </c>
      <c r="T54" s="0" t="str">
        <f aca="false">IF(Staff!$A54="","",Staff!$AN54)</f>
        <v/>
      </c>
      <c r="U54" s="0" t="str">
        <f aca="false">IF(Staff!$A54="","",Staff!$AO54)</f>
        <v/>
      </c>
      <c r="V54" s="0" t="str">
        <f aca="false">IF(Staff!$A54="","",Staff!$AP54)</f>
        <v/>
      </c>
      <c r="W54" s="0" t="str">
        <f aca="false">IF(Staff!$A54="","",Staff!$AQ54)</f>
        <v/>
      </c>
    </row>
    <row r="55" customFormat="false" ht="15" hidden="false" customHeight="false" outlineLevel="0" collapsed="false">
      <c r="A55" s="13" t="str">
        <f aca="false">IF(Staff!$A55="","",Staff!$A55)</f>
        <v/>
      </c>
      <c r="B55" s="13" t="str">
        <f aca="false">IF(Staff!$A55="","",Staff!$B55)</f>
        <v/>
      </c>
      <c r="C55" s="13" t="str">
        <f aca="false">IF(Staff!$A55="","",Staff!$C55)</f>
        <v/>
      </c>
      <c r="D55" s="11" t="str">
        <f aca="false">IF(Staff!$A55="","",Staff!$AF55)</f>
        <v/>
      </c>
      <c r="E55" s="13" t="str">
        <f aca="false">IF(Staff!$A55="","",Staff!$O55)</f>
        <v/>
      </c>
      <c r="F55" s="13" t="str">
        <f aca="false">IF(E55="","",E55*HoursPerDay)</f>
        <v/>
      </c>
      <c r="G55" s="26" t="str">
        <f aca="false">IF($A55="","",H55&amp;I55&amp;J55&amp;K55&amp;L55&amp;M55&amp;N55&amp;O55&amp;P55)</f>
        <v/>
      </c>
      <c r="H55" s="0" t="str">
        <f aca="false">IF(OR($A55="",$D55=""),"",IF(AND(EDATE($D55,Milestones!$AA$20)&lt;=AsOfDate,IF($Q55=0,$W55,IF(AND($S55&lt;&gt;"",EDATE($D55,Milestones!$AA$20)&gt;=$S55),$V55,IF(AND($R55&lt;&gt;"",EDATE($D55,Milestones!$AA$20)&gt;=$R55),$U55,$T55)))=Milestones!$AB$20),TEXT(EDATE($D55,Milestones!$AA$20),"dd/mm/yy")&amp;" "&amp;Milestones!$AB$20&amp;" "&amp;Milestones!$AC$20&amp;";  ","")&amp;IF(AND(EDATE($D55,Milestones!$AA$21)&lt;=AsOfDate,IF($Q55=0,$W55,IF(AND($S55&lt;&gt;"",EDATE($D55,Milestones!$AA$21)&gt;=$S55),$V55,IF(AND($R55&lt;&gt;"",EDATE($D55,Milestones!$AA$21)&gt;=$R55),$U55,$T55)))=Milestones!$AB$21),TEXT(EDATE($D55,Milestones!$AA$21),"dd/mm/yy")&amp;" "&amp;Milestones!$AB$21&amp;" "&amp;Milestones!$AC$21&amp;";  ","")&amp;IF(AND(EDATE($D55,Milestones!$AA$22)&lt;=AsOfDate,IF($Q55=0,$W55,IF(AND($S55&lt;&gt;"",EDATE($D55,Milestones!$AA$22)&gt;=$S55),$V55,IF(AND($R55&lt;&gt;"",EDATE($D55,Milestones!$AA$22)&gt;=$R55),$U55,$T55)))=Milestones!$AB$22),TEXT(EDATE($D55,Milestones!$AA$22),"dd/mm/yy")&amp;" "&amp;Milestones!$AB$22&amp;" "&amp;Milestones!$AC$22&amp;";  ","")&amp;IF(AND(EDATE($D55,Milestones!$AA$23)&lt;=AsOfDate,IF($Q55=0,$W55,IF(AND($S55&lt;&gt;"",EDATE($D55,Milestones!$AA$23)&gt;=$S55),$V55,IF(AND($R55&lt;&gt;"",EDATE($D55,Milestones!$AA$23)&gt;=$R55),$U55,$T55)))=Milestones!$AB$23),TEXT(EDATE($D55,Milestones!$AA$23),"dd/mm/yy")&amp;" "&amp;Milestones!$AB$23&amp;" "&amp;Milestones!$AC$23&amp;";  ","")&amp;IF(AND(EDATE($D55,Milestones!$AA$24)&lt;=AsOfDate,IF($Q55=0,$W55,IF(AND($S55&lt;&gt;"",EDATE($D55,Milestones!$AA$24)&gt;=$S55),$V55,IF(AND($R55&lt;&gt;"",EDATE($D55,Milestones!$AA$24)&gt;=$R55),$U55,$T55)))=Milestones!$AB$24),TEXT(EDATE($D55,Milestones!$AA$24),"dd/mm/yy")&amp;" "&amp;Milestones!$AB$24&amp;" "&amp;Milestones!$AC$24&amp;";  ","")&amp;IF(AND(EDATE($D55,Milestones!$AA$25)&lt;=AsOfDate,IF($Q55=0,$W55,IF(AND($S55&lt;&gt;"",EDATE($D55,Milestones!$AA$25)&gt;=$S55),$V55,IF(AND($R55&lt;&gt;"",EDATE($D55,Milestones!$AA$25)&gt;=$R55),$U55,$T55)))=Milestones!$AB$25),TEXT(EDATE($D55,Milestones!$AA$25),"dd/mm/yy")&amp;" "&amp;Milestones!$AB$25&amp;" "&amp;Milestones!$AC$25&amp;";  ","")&amp;IF(AND(EDATE($D55,Milestones!$AA$26)&lt;=AsOfDate,IF($Q55=0,$W55,IF(AND($S55&lt;&gt;"",EDATE($D55,Milestones!$AA$26)&gt;=$S55),$V55,IF(AND($R55&lt;&gt;"",EDATE($D55,Milestones!$AA$26)&gt;=$R55),$U55,$T55)))=Milestones!$AB$26),TEXT(EDATE($D55,Milestones!$AA$26),"dd/mm/yy")&amp;" "&amp;Milestones!$AB$26&amp;" "&amp;Milestones!$AC$26&amp;";  ","")&amp;IF(AND(EDATE($D55,Milestones!$AA$27)&lt;=AsOfDate,IF($Q55=0,$W55,IF(AND($S55&lt;&gt;"",EDATE($D55,Milestones!$AA$27)&gt;=$S55),$V55,IF(AND($R55&lt;&gt;"",EDATE($D55,Milestones!$AA$27)&gt;=$R55),$U55,$T55)))=Milestones!$AB$27),TEXT(EDATE($D55,Milestones!$AA$27),"dd/mm/yy")&amp;" "&amp;Milestones!$AB$27&amp;" "&amp;Milestones!$AC$27&amp;";  ","")&amp;IF(AND(EDATE($D55,Milestones!$AA$28)&lt;=AsOfDate,IF($Q55=0,$W55,IF(AND($S55&lt;&gt;"",EDATE($D55,Milestones!$AA$28)&gt;=$S55),$V55,IF(AND($R55&lt;&gt;"",EDATE($D55,Milestones!$AA$28)&gt;=$R55),$U55,$T55)))=Milestones!$AB$28),TEXT(EDATE($D55,Milestones!$AA$28),"dd/mm/yy")&amp;" "&amp;Milestones!$AB$28&amp;" "&amp;Milestones!$AC$28&amp;";  ","")&amp;IF(AND(EDATE($D55,Milestones!$AA$29)&lt;=AsOfDate,IF($Q55=0,$W55,IF(AND($S55&lt;&gt;"",EDATE($D55,Milestones!$AA$29)&gt;=$S55),$V55,IF(AND($R55&lt;&gt;"",EDATE($D55,Milestones!$AA$29)&gt;=$R55),$U55,$T55)))=Milestones!$AB$29),TEXT(EDATE($D55,Milestones!$AA$29),"dd/mm/yy")&amp;" "&amp;Milestones!$AB$29&amp;" "&amp;Milestones!$AC$29&amp;";  ","")&amp;IF(AND(EDATE($D55,Milestones!$AA$30)&lt;=AsOfDate,IF($Q55=0,$W55,IF(AND($S55&lt;&gt;"",EDATE($D55,Milestones!$AA$30)&gt;=$S55),$V55,IF(AND($R55&lt;&gt;"",EDATE($D55,Milestones!$AA$30)&gt;=$R55),$U55,$T55)))=Milestones!$AB$30),TEXT(EDATE($D55,Milestones!$AA$30),"dd/mm/yy")&amp;" "&amp;Milestones!$AB$30&amp;" "&amp;Milestones!$AC$30&amp;";  ","")&amp;IF(AND(EDATE($D55,Milestones!$AA$31)&lt;=AsOfDate,IF($Q55=0,$W55,IF(AND($S55&lt;&gt;"",EDATE($D55,Milestones!$AA$31)&gt;=$S55),$V55,IF(AND($R55&lt;&gt;"",EDATE($D55,Milestones!$AA$31)&gt;=$R55),$U55,$T55)))=Milestones!$AB$31),TEXT(EDATE($D55,Milestones!$AA$31),"dd/mm/yy")&amp;" "&amp;Milestones!$AB$31&amp;" "&amp;Milestones!$AC$31&amp;";  ","")&amp;IF(AND(EDATE($D55,Milestones!$AA$32)&lt;=AsOfDate,IF($Q55=0,$W55,IF(AND($S55&lt;&gt;"",EDATE($D55,Milestones!$AA$32)&gt;=$S55),$V55,IF(AND($R55&lt;&gt;"",EDATE($D55,Milestones!$AA$32)&gt;=$R55),$U55,$T55)))=Milestones!$AB$32),TEXT(EDATE($D55,Milestones!$AA$32),"dd/mm/yy")&amp;" "&amp;Milestones!$AB$32&amp;" "&amp;Milestones!$AC$32&amp;";  ","")&amp;IF(AND(EDATE($D55,Milestones!$AA$33)&lt;=AsOfDate,IF($Q55=0,$W55,IF(AND($S55&lt;&gt;"",EDATE($D55,Milestones!$AA$33)&gt;=$S55),$V55,IF(AND($R55&lt;&gt;"",EDATE($D55,Milestones!$AA$33)&gt;=$R55),$U55,$T55)))=Milestones!$AB$33),TEXT(EDATE($D55,Milestones!$AA$33),"dd/mm/yy")&amp;" "&amp;Milestones!$AB$33&amp;" "&amp;Milestones!$AC$33&amp;";  ","")&amp;IF(AND(EDATE($D55,Milestones!$AA$34)&lt;=AsOfDate,IF($Q55=0,$W55,IF(AND($S55&lt;&gt;"",EDATE($D55,Milestones!$AA$34)&gt;=$S55),$V55,IF(AND($R55&lt;&gt;"",EDATE($D55,Milestones!$AA$34)&gt;=$R55),$U55,$T55)))=Milestones!$AB$34),TEXT(EDATE($D55,Milestones!$AA$34),"dd/mm/yy")&amp;" "&amp;Milestones!$AB$34&amp;" "&amp;Milestones!$AC$34&amp;";  ","")&amp;IF(AND(EDATE($D55,Milestones!$AA$35)&lt;=AsOfDate,IF($Q55=0,$W55,IF(AND($S55&lt;&gt;"",EDATE($D55,Milestones!$AA$35)&gt;=$S55),$V55,IF(AND($R55&lt;&gt;"",EDATE($D55,Milestones!$AA$35)&gt;=$R55),$U55,$T55)))=Milestones!$AB$35),TEXT(EDATE($D55,Milestones!$AA$35),"dd/mm/yy")&amp;" "&amp;Milestones!$AB$35&amp;" "&amp;Milestones!$AC$35&amp;";  ","")&amp;IF(AND(EDATE($D55,Milestones!$AA$36)&lt;=AsOfDate,IF($Q55=0,$W55,IF(AND($S55&lt;&gt;"",EDATE($D55,Milestones!$AA$36)&gt;=$S55),$V55,IF(AND($R55&lt;&gt;"",EDATE($D55,Milestones!$AA$36)&gt;=$R55),$U55,$T55)))=Milestones!$AB$36),TEXT(EDATE($D55,Milestones!$AA$36),"dd/mm/yy")&amp;" "&amp;Milestones!$AB$36&amp;" "&amp;Milestones!$AC$36&amp;";  ","")&amp;IF(AND(EDATE($D55,Milestones!$AA$37)&lt;=AsOfDate,IF($Q55=0,$W55,IF(AND($S55&lt;&gt;"",EDATE($D55,Milestones!$AA$37)&gt;=$S55),$V55,IF(AND($R55&lt;&gt;"",EDATE($D55,Milestones!$AA$37)&gt;=$R55),$U55,$T55)))=Milestones!$AB$37),TEXT(EDATE($D55,Milestones!$AA$37),"dd/mm/yy")&amp;" "&amp;Milestones!$AB$37&amp;" "&amp;Milestones!$AC$37&amp;";  ","")&amp;IF(AND(EDATE($D55,Milestones!$AA$38)&lt;=AsOfDate,IF($Q55=0,$W55,IF(AND($S55&lt;&gt;"",EDATE($D55,Milestones!$AA$38)&gt;=$S55),$V55,IF(AND($R55&lt;&gt;"",EDATE($D55,Milestones!$AA$38)&gt;=$R55),$U55,$T55)))=Milestones!$AB$38),TEXT(EDATE($D55,Milestones!$AA$38),"dd/mm/yy")&amp;" "&amp;Milestones!$AB$38&amp;" "&amp;Milestones!$AC$38&amp;";  ","")&amp;IF(AND(EDATE($D55,Milestones!$AA$39)&lt;=AsOfDate,IF($Q55=0,$W55,IF(AND($S55&lt;&gt;"",EDATE($D55,Milestones!$AA$39)&gt;=$S55),$V55,IF(AND($R55&lt;&gt;"",EDATE($D55,Milestones!$AA$39)&gt;=$R55),$U55,$T55)))=Milestones!$AB$39),TEXT(EDATE($D55,Milestones!$AA$39),"dd/mm/yy")&amp;" "&amp;Milestones!$AB$39&amp;" "&amp;Milestones!$AC$39&amp;";  ",""))</f>
        <v/>
      </c>
      <c r="I55" s="0" t="str">
        <f aca="false">IF(OR($A55="",$D55=""),"",IF(AND(EDATE($D55,Milestones!$AA$40)&lt;=AsOfDate,IF($Q55=0,$W55,IF(AND($S55&lt;&gt;"",EDATE($D55,Milestones!$AA$40)&gt;=$S55),$V55,IF(AND($R55&lt;&gt;"",EDATE($D55,Milestones!$AA$40)&gt;=$R55),$U55,$T55)))=Milestones!$AB$40),TEXT(EDATE($D55,Milestones!$AA$40),"dd/mm/yy")&amp;" "&amp;Milestones!$AB$40&amp;" "&amp;Milestones!$AC$40&amp;";  ","")&amp;IF(AND(EDATE($D55,Milestones!$AA$41)&lt;=AsOfDate,IF($Q55=0,$W55,IF(AND($S55&lt;&gt;"",EDATE($D55,Milestones!$AA$41)&gt;=$S55),$V55,IF(AND($R55&lt;&gt;"",EDATE($D55,Milestones!$AA$41)&gt;=$R55),$U55,$T55)))=Milestones!$AB$41),TEXT(EDATE($D55,Milestones!$AA$41),"dd/mm/yy")&amp;" "&amp;Milestones!$AB$41&amp;" "&amp;Milestones!$AC$41&amp;";  ","")&amp;IF(AND(EDATE($D55,Milestones!$AA$42)&lt;=AsOfDate,IF($Q55=0,$W55,IF(AND($S55&lt;&gt;"",EDATE($D55,Milestones!$AA$42)&gt;=$S55),$V55,IF(AND($R55&lt;&gt;"",EDATE($D55,Milestones!$AA$42)&gt;=$R55),$U55,$T55)))=Milestones!$AB$42),TEXT(EDATE($D55,Milestones!$AA$42),"dd/mm/yy")&amp;" "&amp;Milestones!$AB$42&amp;" "&amp;Milestones!$AC$42&amp;";  ","")&amp;IF(AND(EDATE($D55,Milestones!$AA$43)&lt;=AsOfDate,IF($Q55=0,$W55,IF(AND($S55&lt;&gt;"",EDATE($D55,Milestones!$AA$43)&gt;=$S55),$V55,IF(AND($R55&lt;&gt;"",EDATE($D55,Milestones!$AA$43)&gt;=$R55),$U55,$T55)))=Milestones!$AB$43),TEXT(EDATE($D55,Milestones!$AA$43),"dd/mm/yy")&amp;" "&amp;Milestones!$AB$43&amp;" "&amp;Milestones!$AC$43&amp;";  ","")&amp;IF(AND(EDATE($D55,Milestones!$AA$44)&lt;=AsOfDate,IF($Q55=0,$W55,IF(AND($S55&lt;&gt;"",EDATE($D55,Milestones!$AA$44)&gt;=$S55),$V55,IF(AND($R55&lt;&gt;"",EDATE($D55,Milestones!$AA$44)&gt;=$R55),$U55,$T55)))=Milestones!$AB$44),TEXT(EDATE($D55,Milestones!$AA$44),"dd/mm/yy")&amp;" "&amp;Milestones!$AB$44&amp;" "&amp;Milestones!$AC$44&amp;";  ","")&amp;IF(AND(EDATE($D55,Milestones!$AA$45)&lt;=AsOfDate,IF($Q55=0,$W55,IF(AND($S55&lt;&gt;"",EDATE($D55,Milestones!$AA$45)&gt;=$S55),$V55,IF(AND($R55&lt;&gt;"",EDATE($D55,Milestones!$AA$45)&gt;=$R55),$U55,$T55)))=Milestones!$AB$45),TEXT(EDATE($D55,Milestones!$AA$45),"dd/mm/yy")&amp;" "&amp;Milestones!$AB$45&amp;" "&amp;Milestones!$AC$45&amp;";  ","")&amp;IF(AND(EDATE($D55,Milestones!$AA$46)&lt;=AsOfDate,IF($Q55=0,$W55,IF(AND($S55&lt;&gt;"",EDATE($D55,Milestones!$AA$46)&gt;=$S55),$V55,IF(AND($R55&lt;&gt;"",EDATE($D55,Milestones!$AA$46)&gt;=$R55),$U55,$T55)))=Milestones!$AB$46),TEXT(EDATE($D55,Milestones!$AA$46),"dd/mm/yy")&amp;" "&amp;Milestones!$AB$46&amp;" "&amp;Milestones!$AC$46&amp;";  ","")&amp;IF(AND(EDATE($D55,Milestones!$AA$47)&lt;=AsOfDate,IF($Q55=0,$W55,IF(AND($S55&lt;&gt;"",EDATE($D55,Milestones!$AA$47)&gt;=$S55),$V55,IF(AND($R55&lt;&gt;"",EDATE($D55,Milestones!$AA$47)&gt;=$R55),$U55,$T55)))=Milestones!$AB$47),TEXT(EDATE($D55,Milestones!$AA$47),"dd/mm/yy")&amp;" "&amp;Milestones!$AB$47&amp;" "&amp;Milestones!$AC$47&amp;";  ","")&amp;IF(AND(EDATE($D55,Milestones!$AA$48)&lt;=AsOfDate,IF($Q55=0,$W55,IF(AND($S55&lt;&gt;"",EDATE($D55,Milestones!$AA$48)&gt;=$S55),$V55,IF(AND($R55&lt;&gt;"",EDATE($D55,Milestones!$AA$48)&gt;=$R55),$U55,$T55)))=Milestones!$AB$48),TEXT(EDATE($D55,Milestones!$AA$48),"dd/mm/yy")&amp;" "&amp;Milestones!$AB$48&amp;" "&amp;Milestones!$AC$48&amp;";  ","")&amp;IF(AND(EDATE($D55,Milestones!$AA$49)&lt;=AsOfDate,IF($Q55=0,$W55,IF(AND($S55&lt;&gt;"",EDATE($D55,Milestones!$AA$49)&gt;=$S55),$V55,IF(AND($R55&lt;&gt;"",EDATE($D55,Milestones!$AA$49)&gt;=$R55),$U55,$T55)))=Milestones!$AB$49),TEXT(EDATE($D55,Milestones!$AA$49),"dd/mm/yy")&amp;" "&amp;Milestones!$AB$49&amp;" "&amp;Milestones!$AC$49&amp;";  ","")&amp;IF(AND(EDATE($D55,Milestones!$AA$50)&lt;=AsOfDate,IF($Q55=0,$W55,IF(AND($S55&lt;&gt;"",EDATE($D55,Milestones!$AA$50)&gt;=$S55),$V55,IF(AND($R55&lt;&gt;"",EDATE($D55,Milestones!$AA$50)&gt;=$R55),$U55,$T55)))=Milestones!$AB$50),TEXT(EDATE($D55,Milestones!$AA$50),"dd/mm/yy")&amp;" "&amp;Milestones!$AB$50&amp;" "&amp;Milestones!$AC$50&amp;";  ","")&amp;IF(AND(EDATE($D55,Milestones!$AA$51)&lt;=AsOfDate,IF($Q55=0,$W55,IF(AND($S55&lt;&gt;"",EDATE($D55,Milestones!$AA$51)&gt;=$S55),$V55,IF(AND($R55&lt;&gt;"",EDATE($D55,Milestones!$AA$51)&gt;=$R55),$U55,$T55)))=Milestones!$AB$51),TEXT(EDATE($D55,Milestones!$AA$51),"dd/mm/yy")&amp;" "&amp;Milestones!$AB$51&amp;" "&amp;Milestones!$AC$51&amp;";  ","")&amp;IF(AND(EDATE($D55,Milestones!$AA$52)&lt;=AsOfDate,IF($Q55=0,$W55,IF(AND($S55&lt;&gt;"",EDATE($D55,Milestones!$AA$52)&gt;=$S55),$V55,IF(AND($R55&lt;&gt;"",EDATE($D55,Milestones!$AA$52)&gt;=$R55),$U55,$T55)))=Milestones!$AB$52),TEXT(EDATE($D55,Milestones!$AA$52),"dd/mm/yy")&amp;" "&amp;Milestones!$AB$52&amp;" "&amp;Milestones!$AC$52&amp;";  ","")&amp;IF(AND(EDATE($D55,Milestones!$AA$53)&lt;=AsOfDate,IF($Q55=0,$W55,IF(AND($S55&lt;&gt;"",EDATE($D55,Milestones!$AA$53)&gt;=$S55),$V55,IF(AND($R55&lt;&gt;"",EDATE($D55,Milestones!$AA$53)&gt;=$R55),$U55,$T55)))=Milestones!$AB$53),TEXT(EDATE($D55,Milestones!$AA$53),"dd/mm/yy")&amp;" "&amp;Milestones!$AB$53&amp;" "&amp;Milestones!$AC$53&amp;";  ","")&amp;IF(AND(EDATE($D55,Milestones!$AA$54)&lt;=AsOfDate,IF($Q55=0,$W55,IF(AND($S55&lt;&gt;"",EDATE($D55,Milestones!$AA$54)&gt;=$S55),$V55,IF(AND($R55&lt;&gt;"",EDATE($D55,Milestones!$AA$54)&gt;=$R55),$U55,$T55)))=Milestones!$AB$54),TEXT(EDATE($D55,Milestones!$AA$54),"dd/mm/yy")&amp;" "&amp;Milestones!$AB$54&amp;" "&amp;Milestones!$AC$54&amp;";  ","")&amp;IF(AND(EDATE($D55,Milestones!$AA$55)&lt;=AsOfDate,IF($Q55=0,$W55,IF(AND($S55&lt;&gt;"",EDATE($D55,Milestones!$AA$55)&gt;=$S55),$V55,IF(AND($R55&lt;&gt;"",EDATE($D55,Milestones!$AA$55)&gt;=$R55),$U55,$T55)))=Milestones!$AB$55),TEXT(EDATE($D55,Milestones!$AA$55),"dd/mm/yy")&amp;" "&amp;Milestones!$AB$55&amp;" "&amp;Milestones!$AC$55&amp;";  ","")&amp;IF(AND(EDATE($D55,Milestones!$AA$56)&lt;=AsOfDate,IF($Q55=0,$W55,IF(AND($S55&lt;&gt;"",EDATE($D55,Milestones!$AA$56)&gt;=$S55),$V55,IF(AND($R55&lt;&gt;"",EDATE($D55,Milestones!$AA$56)&gt;=$R55),$U55,$T55)))=Milestones!$AB$56),TEXT(EDATE($D55,Milestones!$AA$56),"dd/mm/yy")&amp;" "&amp;Milestones!$AB$56&amp;" "&amp;Milestones!$AC$56&amp;";  ","")&amp;IF(AND(EDATE($D55,Milestones!$AA$57)&lt;=AsOfDate,IF($Q55=0,$W55,IF(AND($S55&lt;&gt;"",EDATE($D55,Milestones!$AA$57)&gt;=$S55),$V55,IF(AND($R55&lt;&gt;"",EDATE($D55,Milestones!$AA$57)&gt;=$R55),$U55,$T55)))=Milestones!$AB$57),TEXT(EDATE($D55,Milestones!$AA$57),"dd/mm/yy")&amp;" "&amp;Milestones!$AB$57&amp;" "&amp;Milestones!$AC$57&amp;";  ","")&amp;IF(AND(EDATE($D55,Milestones!$AA$58)&lt;=AsOfDate,IF($Q55=0,$W55,IF(AND($S55&lt;&gt;"",EDATE($D55,Milestones!$AA$58)&gt;=$S55),$V55,IF(AND($R55&lt;&gt;"",EDATE($D55,Milestones!$AA$58)&gt;=$R55),$U55,$T55)))=Milestones!$AB$58),TEXT(EDATE($D55,Milestones!$AA$58),"dd/mm/yy")&amp;" "&amp;Milestones!$AB$58&amp;" "&amp;Milestones!$AC$58&amp;";  ","")&amp;IF(AND(EDATE($D55,Milestones!$AA$59)&lt;=AsOfDate,IF($Q55=0,$W55,IF(AND($S55&lt;&gt;"",EDATE($D55,Milestones!$AA$59)&gt;=$S55),$V55,IF(AND($R55&lt;&gt;"",EDATE($D55,Milestones!$AA$59)&gt;=$R55),$U55,$T55)))=Milestones!$AB$59),TEXT(EDATE($D55,Milestones!$AA$59),"dd/mm/yy")&amp;" "&amp;Milestones!$AB$59&amp;" "&amp;Milestones!$AC$59&amp;";  ",""))</f>
        <v/>
      </c>
      <c r="J55" s="0" t="str">
        <f aca="false">IF(OR($A55="",$D55=""),"",IF(AND(EDATE($D55,Milestones!$AA$60)&lt;=AsOfDate,IF($Q55=0,$W55,IF(AND($S55&lt;&gt;"",EDATE($D55,Milestones!$AA$60)&gt;=$S55),$V55,IF(AND($R55&lt;&gt;"",EDATE($D55,Milestones!$AA$60)&gt;=$R55),$U55,$T55)))=Milestones!$AB$60),TEXT(EDATE($D55,Milestones!$AA$60),"dd/mm/yy")&amp;" "&amp;Milestones!$AB$60&amp;" "&amp;Milestones!$AC$60&amp;";  ","")&amp;IF(AND(EDATE($D55,Milestones!$AA$61)&lt;=AsOfDate,IF($Q55=0,$W55,IF(AND($S55&lt;&gt;"",EDATE($D55,Milestones!$AA$61)&gt;=$S55),$V55,IF(AND($R55&lt;&gt;"",EDATE($D55,Milestones!$AA$61)&gt;=$R55),$U55,$T55)))=Milestones!$AB$61),TEXT(EDATE($D55,Milestones!$AA$61),"dd/mm/yy")&amp;" "&amp;Milestones!$AB$61&amp;" "&amp;Milestones!$AC$61&amp;";  ","")&amp;IF(AND(EDATE($D55,Milestones!$AA$62)&lt;=AsOfDate,IF($Q55=0,$W55,IF(AND($S55&lt;&gt;"",EDATE($D55,Milestones!$AA$62)&gt;=$S55),$V55,IF(AND($R55&lt;&gt;"",EDATE($D55,Milestones!$AA$62)&gt;=$R55),$U55,$T55)))=Milestones!$AB$62),TEXT(EDATE($D55,Milestones!$AA$62),"dd/mm/yy")&amp;" "&amp;Milestones!$AB$62&amp;" "&amp;Milestones!$AC$62&amp;";  ","")&amp;IF(AND(EDATE($D55,Milestones!$AA$63)&lt;=AsOfDate,IF($Q55=0,$W55,IF(AND($S55&lt;&gt;"",EDATE($D55,Milestones!$AA$63)&gt;=$S55),$V55,IF(AND($R55&lt;&gt;"",EDATE($D55,Milestones!$AA$63)&gt;=$R55),$U55,$T55)))=Milestones!$AB$63),TEXT(EDATE($D55,Milestones!$AA$63),"dd/mm/yy")&amp;" "&amp;Milestones!$AB$63&amp;" "&amp;Milestones!$AC$63&amp;";  ","")&amp;IF(AND(EDATE($D55,Milestones!$AA$64)&lt;=AsOfDate,IF($Q55=0,$W55,IF(AND($S55&lt;&gt;"",EDATE($D55,Milestones!$AA$64)&gt;=$S55),$V55,IF(AND($R55&lt;&gt;"",EDATE($D55,Milestones!$AA$64)&gt;=$R55),$U55,$T55)))=Milestones!$AB$64),TEXT(EDATE($D55,Milestones!$AA$64),"dd/mm/yy")&amp;" "&amp;Milestones!$AB$64&amp;" "&amp;Milestones!$AC$64&amp;";  ","")&amp;IF(AND(EDATE($D55,Milestones!$AA$65)&lt;=AsOfDate,IF($Q55=0,$W55,IF(AND($S55&lt;&gt;"",EDATE($D55,Milestones!$AA$65)&gt;=$S55),$V55,IF(AND($R55&lt;&gt;"",EDATE($D55,Milestones!$AA$65)&gt;=$R55),$U55,$T55)))=Milestones!$AB$65),TEXT(EDATE($D55,Milestones!$AA$65),"dd/mm/yy")&amp;" "&amp;Milestones!$AB$65&amp;" "&amp;Milestones!$AC$65&amp;";  ","")&amp;IF(AND(EDATE($D55,Milestones!$AA$66)&lt;=AsOfDate,IF($Q55=0,$W55,IF(AND($S55&lt;&gt;"",EDATE($D55,Milestones!$AA$66)&gt;=$S55),$V55,IF(AND($R55&lt;&gt;"",EDATE($D55,Milestones!$AA$66)&gt;=$R55),$U55,$T55)))=Milestones!$AB$66),TEXT(EDATE($D55,Milestones!$AA$66),"dd/mm/yy")&amp;" "&amp;Milestones!$AB$66&amp;" "&amp;Milestones!$AC$66&amp;";  ","")&amp;IF(AND(EDATE($D55,Milestones!$AA$67)&lt;=AsOfDate,IF($Q55=0,$W55,IF(AND($S55&lt;&gt;"",EDATE($D55,Milestones!$AA$67)&gt;=$S55),$V55,IF(AND($R55&lt;&gt;"",EDATE($D55,Milestones!$AA$67)&gt;=$R55),$U55,$T55)))=Milestones!$AB$67),TEXT(EDATE($D55,Milestones!$AA$67),"dd/mm/yy")&amp;" "&amp;Milestones!$AB$67&amp;" "&amp;Milestones!$AC$67&amp;";  ","")&amp;IF(AND(EDATE($D55,Milestones!$AA$68)&lt;=AsOfDate,IF($Q55=0,$W55,IF(AND($S55&lt;&gt;"",EDATE($D55,Milestones!$AA$68)&gt;=$S55),$V55,IF(AND($R55&lt;&gt;"",EDATE($D55,Milestones!$AA$68)&gt;=$R55),$U55,$T55)))=Milestones!$AB$68),TEXT(EDATE($D55,Milestones!$AA$68),"dd/mm/yy")&amp;" "&amp;Milestones!$AB$68&amp;" "&amp;Milestones!$AC$68&amp;";  ","")&amp;IF(AND(EDATE($D55,Milestones!$AA$69)&lt;=AsOfDate,IF($Q55=0,$W55,IF(AND($S55&lt;&gt;"",EDATE($D55,Milestones!$AA$69)&gt;=$S55),$V55,IF(AND($R55&lt;&gt;"",EDATE($D55,Milestones!$AA$69)&gt;=$R55),$U55,$T55)))=Milestones!$AB$69),TEXT(EDATE($D55,Milestones!$AA$69),"dd/mm/yy")&amp;" "&amp;Milestones!$AB$69&amp;" "&amp;Milestones!$AC$69&amp;";  ","")&amp;IF(AND(EDATE($D55,Milestones!$AA$70)&lt;=AsOfDate,IF($Q55=0,$W55,IF(AND($S55&lt;&gt;"",EDATE($D55,Milestones!$AA$70)&gt;=$S55),$V55,IF(AND($R55&lt;&gt;"",EDATE($D55,Milestones!$AA$70)&gt;=$R55),$U55,$T55)))=Milestones!$AB$70),TEXT(EDATE($D55,Milestones!$AA$70),"dd/mm/yy")&amp;" "&amp;Milestones!$AB$70&amp;" "&amp;Milestones!$AC$70&amp;";  ","")&amp;IF(AND(EDATE($D55,Milestones!$AA$71)&lt;=AsOfDate,IF($Q55=0,$W55,IF(AND($S55&lt;&gt;"",EDATE($D55,Milestones!$AA$71)&gt;=$S55),$V55,IF(AND($R55&lt;&gt;"",EDATE($D55,Milestones!$AA$71)&gt;=$R55),$U55,$T55)))=Milestones!$AB$71),TEXT(EDATE($D55,Milestones!$AA$71),"dd/mm/yy")&amp;" "&amp;Milestones!$AB$71&amp;" "&amp;Milestones!$AC$71&amp;";  ","")&amp;IF(AND(EDATE($D55,Milestones!$AA$72)&lt;=AsOfDate,IF($Q55=0,$W55,IF(AND($S55&lt;&gt;"",EDATE($D55,Milestones!$AA$72)&gt;=$S55),$V55,IF(AND($R55&lt;&gt;"",EDATE($D55,Milestones!$AA$72)&gt;=$R55),$U55,$T55)))=Milestones!$AB$72),TEXT(EDATE($D55,Milestones!$AA$72),"dd/mm/yy")&amp;" "&amp;Milestones!$AB$72&amp;" "&amp;Milestones!$AC$72&amp;";  ","")&amp;IF(AND(EDATE($D55,Milestones!$AA$73)&lt;=AsOfDate,IF($Q55=0,$W55,IF(AND($S55&lt;&gt;"",EDATE($D55,Milestones!$AA$73)&gt;=$S55),$V55,IF(AND($R55&lt;&gt;"",EDATE($D55,Milestones!$AA$73)&gt;=$R55),$U55,$T55)))=Milestones!$AB$73),TEXT(EDATE($D55,Milestones!$AA$73),"dd/mm/yy")&amp;" "&amp;Milestones!$AB$73&amp;" "&amp;Milestones!$AC$73&amp;";  ","")&amp;IF(AND(EDATE($D55,Milestones!$AA$74)&lt;=AsOfDate,IF($Q55=0,$W55,IF(AND($S55&lt;&gt;"",EDATE($D55,Milestones!$AA$74)&gt;=$S55),$V55,IF(AND($R55&lt;&gt;"",EDATE($D55,Milestones!$AA$74)&gt;=$R55),$U55,$T55)))=Milestones!$AB$74),TEXT(EDATE($D55,Milestones!$AA$74),"dd/mm/yy")&amp;" "&amp;Milestones!$AB$74&amp;" "&amp;Milestones!$AC$74&amp;";  ","")&amp;IF(AND(EDATE($D55,Milestones!$AA$75)&lt;=AsOfDate,IF($Q55=0,$W55,IF(AND($S55&lt;&gt;"",EDATE($D55,Milestones!$AA$75)&gt;=$S55),$V55,IF(AND($R55&lt;&gt;"",EDATE($D55,Milestones!$AA$75)&gt;=$R55),$U55,$T55)))=Milestones!$AB$75),TEXT(EDATE($D55,Milestones!$AA$75),"dd/mm/yy")&amp;" "&amp;Milestones!$AB$75&amp;" "&amp;Milestones!$AC$75&amp;";  ","")&amp;IF(AND(EDATE($D55,Milestones!$AA$76)&lt;=AsOfDate,IF($Q55=0,$W55,IF(AND($S55&lt;&gt;"",EDATE($D55,Milestones!$AA$76)&gt;=$S55),$V55,IF(AND($R55&lt;&gt;"",EDATE($D55,Milestones!$AA$76)&gt;=$R55),$U55,$T55)))=Milestones!$AB$76),TEXT(EDATE($D55,Milestones!$AA$76),"dd/mm/yy")&amp;" "&amp;Milestones!$AB$76&amp;" "&amp;Milestones!$AC$76&amp;";  ","")&amp;IF(AND(EDATE($D55,Milestones!$AA$77)&lt;=AsOfDate,IF($Q55=0,$W55,IF(AND($S55&lt;&gt;"",EDATE($D55,Milestones!$AA$77)&gt;=$S55),$V55,IF(AND($R55&lt;&gt;"",EDATE($D55,Milestones!$AA$77)&gt;=$R55),$U55,$T55)))=Milestones!$AB$77),TEXT(EDATE($D55,Milestones!$AA$77),"dd/mm/yy")&amp;" "&amp;Milestones!$AB$77&amp;" "&amp;Milestones!$AC$77&amp;";  ","")&amp;IF(AND(EDATE($D55,Milestones!$AA$78)&lt;=AsOfDate,IF($Q55=0,$W55,IF(AND($S55&lt;&gt;"",EDATE($D55,Milestones!$AA$78)&gt;=$S55),$V55,IF(AND($R55&lt;&gt;"",EDATE($D55,Milestones!$AA$78)&gt;=$R55),$U55,$T55)))=Milestones!$AB$78),TEXT(EDATE($D55,Milestones!$AA$78),"dd/mm/yy")&amp;" "&amp;Milestones!$AB$78&amp;" "&amp;Milestones!$AC$78&amp;";  ","")&amp;IF(AND(EDATE($D55,Milestones!$AA$79)&lt;=AsOfDate,IF($Q55=0,$W55,IF(AND($S55&lt;&gt;"",EDATE($D55,Milestones!$AA$79)&gt;=$S55),$V55,IF(AND($R55&lt;&gt;"",EDATE($D55,Milestones!$AA$79)&gt;=$R55),$U55,$T55)))=Milestones!$AB$79),TEXT(EDATE($D55,Milestones!$AA$79),"dd/mm/yy")&amp;" "&amp;Milestones!$AB$79&amp;" "&amp;Milestones!$AC$79&amp;";  ",""))</f>
        <v/>
      </c>
      <c r="K55" s="0" t="str">
        <f aca="false">IF(OR($A55="",$D55=""),"",IF(AND(EDATE($D55,Milestones!$AA$80)&lt;=AsOfDate,IF($Q55=0,$W55,IF(AND($S55&lt;&gt;"",EDATE($D55,Milestones!$AA$80)&gt;=$S55),$V55,IF(AND($R55&lt;&gt;"",EDATE($D55,Milestones!$AA$80)&gt;=$R55),$U55,$T55)))=Milestones!$AB$80),TEXT(EDATE($D55,Milestones!$AA$80),"dd/mm/yy")&amp;" "&amp;Milestones!$AB$80&amp;" "&amp;Milestones!$AC$80&amp;";  ","")&amp;IF(AND(EDATE($D55,Milestones!$AA$81)&lt;=AsOfDate,IF($Q55=0,$W55,IF(AND($S55&lt;&gt;"",EDATE($D55,Milestones!$AA$81)&gt;=$S55),$V55,IF(AND($R55&lt;&gt;"",EDATE($D55,Milestones!$AA$81)&gt;=$R55),$U55,$T55)))=Milestones!$AB$81),TEXT(EDATE($D55,Milestones!$AA$81),"dd/mm/yy")&amp;" "&amp;Milestones!$AB$81&amp;" "&amp;Milestones!$AC$81&amp;";  ","")&amp;IF(AND(EDATE($D55,Milestones!$AA$82)&lt;=AsOfDate,IF($Q55=0,$W55,IF(AND($S55&lt;&gt;"",EDATE($D55,Milestones!$AA$82)&gt;=$S55),$V55,IF(AND($R55&lt;&gt;"",EDATE($D55,Milestones!$AA$82)&gt;=$R55),$U55,$T55)))=Milestones!$AB$82),TEXT(EDATE($D55,Milestones!$AA$82),"dd/mm/yy")&amp;" "&amp;Milestones!$AB$82&amp;" "&amp;Milestones!$AC$82&amp;";  ","")&amp;IF(AND(EDATE($D55,Milestones!$AA$83)&lt;=AsOfDate,IF($Q55=0,$W55,IF(AND($S55&lt;&gt;"",EDATE($D55,Milestones!$AA$83)&gt;=$S55),$V55,IF(AND($R55&lt;&gt;"",EDATE($D55,Milestones!$AA$83)&gt;=$R55),$U55,$T55)))=Milestones!$AB$83),TEXT(EDATE($D55,Milestones!$AA$83),"dd/mm/yy")&amp;" "&amp;Milestones!$AB$83&amp;" "&amp;Milestones!$AC$83&amp;";  ","")&amp;IF(AND(EDATE($D55,Milestones!$AA$84)&lt;=AsOfDate,IF($Q55=0,$W55,IF(AND($S55&lt;&gt;"",EDATE($D55,Milestones!$AA$84)&gt;=$S55),$V55,IF(AND($R55&lt;&gt;"",EDATE($D55,Milestones!$AA$84)&gt;=$R55),$U55,$T55)))=Milestones!$AB$84),TEXT(EDATE($D55,Milestones!$AA$84),"dd/mm/yy")&amp;" "&amp;Milestones!$AB$84&amp;" "&amp;Milestones!$AC$84&amp;";  ","")&amp;IF(AND(EDATE($D55,Milestones!$AA$85)&lt;=AsOfDate,IF($Q55=0,$W55,IF(AND($S55&lt;&gt;"",EDATE($D55,Milestones!$AA$85)&gt;=$S55),$V55,IF(AND($R55&lt;&gt;"",EDATE($D55,Milestones!$AA$85)&gt;=$R55),$U55,$T55)))=Milestones!$AB$85),TEXT(EDATE($D55,Milestones!$AA$85),"dd/mm/yy")&amp;" "&amp;Milestones!$AB$85&amp;" "&amp;Milestones!$AC$85&amp;";  ","")&amp;IF(AND(EDATE($D55,Milestones!$AA$86)&lt;=AsOfDate,IF($Q55=0,$W55,IF(AND($S55&lt;&gt;"",EDATE($D55,Milestones!$AA$86)&gt;=$S55),$V55,IF(AND($R55&lt;&gt;"",EDATE($D55,Milestones!$AA$86)&gt;=$R55),$U55,$T55)))=Milestones!$AB$86),TEXT(EDATE($D55,Milestones!$AA$86),"dd/mm/yy")&amp;" "&amp;Milestones!$AB$86&amp;" "&amp;Milestones!$AC$86&amp;";  ","")&amp;IF(AND(EDATE($D55,Milestones!$AA$87)&lt;=AsOfDate,IF($Q55=0,$W55,IF(AND($S55&lt;&gt;"",EDATE($D55,Milestones!$AA$87)&gt;=$S55),$V55,IF(AND($R55&lt;&gt;"",EDATE($D55,Milestones!$AA$87)&gt;=$R55),$U55,$T55)))=Milestones!$AB$87),TEXT(EDATE($D55,Milestones!$AA$87),"dd/mm/yy")&amp;" "&amp;Milestones!$AB$87&amp;" "&amp;Milestones!$AC$87&amp;";  ","")&amp;IF(AND(EDATE($D55,Milestones!$AA$88)&lt;=AsOfDate,IF($Q55=0,$W55,IF(AND($S55&lt;&gt;"",EDATE($D55,Milestones!$AA$88)&gt;=$S55),$V55,IF(AND($R55&lt;&gt;"",EDATE($D55,Milestones!$AA$88)&gt;=$R55),$U55,$T55)))=Milestones!$AB$88),TEXT(EDATE($D55,Milestones!$AA$88),"dd/mm/yy")&amp;" "&amp;Milestones!$AB$88&amp;" "&amp;Milestones!$AC$88&amp;";  ","")&amp;IF(AND(EDATE($D55,Milestones!$AA$89)&lt;=AsOfDate,IF($Q55=0,$W55,IF(AND($S55&lt;&gt;"",EDATE($D55,Milestones!$AA$89)&gt;=$S55),$V55,IF(AND($R55&lt;&gt;"",EDATE($D55,Milestones!$AA$89)&gt;=$R55),$U55,$T55)))=Milestones!$AB$89),TEXT(EDATE($D55,Milestones!$AA$89),"dd/mm/yy")&amp;" "&amp;Milestones!$AB$89&amp;" "&amp;Milestones!$AC$89&amp;";  ","")&amp;IF(AND(EDATE($D55,Milestones!$AA$90)&lt;=AsOfDate,IF($Q55=0,$W55,IF(AND($S55&lt;&gt;"",EDATE($D55,Milestones!$AA$90)&gt;=$S55),$V55,IF(AND($R55&lt;&gt;"",EDATE($D55,Milestones!$AA$90)&gt;=$R55),$U55,$T55)))=Milestones!$AB$90),TEXT(EDATE($D55,Milestones!$AA$90),"dd/mm/yy")&amp;" "&amp;Milestones!$AB$90&amp;" "&amp;Milestones!$AC$90&amp;";  ","")&amp;IF(AND(EDATE($D55,Milestones!$AA$91)&lt;=AsOfDate,IF($Q55=0,$W55,IF(AND($S55&lt;&gt;"",EDATE($D55,Milestones!$AA$91)&gt;=$S55),$V55,IF(AND($R55&lt;&gt;"",EDATE($D55,Milestones!$AA$91)&gt;=$R55),$U55,$T55)))=Milestones!$AB$91),TEXT(EDATE($D55,Milestones!$AA$91),"dd/mm/yy")&amp;" "&amp;Milestones!$AB$91&amp;" "&amp;Milestones!$AC$91&amp;";  ","")&amp;IF(AND(EDATE($D55,Milestones!$AA$92)&lt;=AsOfDate,IF($Q55=0,$W55,IF(AND($S55&lt;&gt;"",EDATE($D55,Milestones!$AA$92)&gt;=$S55),$V55,IF(AND($R55&lt;&gt;"",EDATE($D55,Milestones!$AA$92)&gt;=$R55),$U55,$T55)))=Milestones!$AB$92),TEXT(EDATE($D55,Milestones!$AA$92),"dd/mm/yy")&amp;" "&amp;Milestones!$AB$92&amp;" "&amp;Milestones!$AC$92&amp;";  ","")&amp;IF(AND(EDATE($D55,Milestones!$AA$93)&lt;=AsOfDate,IF($Q55=0,$W55,IF(AND($S55&lt;&gt;"",EDATE($D55,Milestones!$AA$93)&gt;=$S55),$V55,IF(AND($R55&lt;&gt;"",EDATE($D55,Milestones!$AA$93)&gt;=$R55),$U55,$T55)))=Milestones!$AB$93),TEXT(EDATE($D55,Milestones!$AA$93),"dd/mm/yy")&amp;" "&amp;Milestones!$AB$93&amp;" "&amp;Milestones!$AC$93&amp;";  ","")&amp;IF(AND(EDATE($D55,Milestones!$AA$94)&lt;=AsOfDate,IF($Q55=0,$W55,IF(AND($S55&lt;&gt;"",EDATE($D55,Milestones!$AA$94)&gt;=$S55),$V55,IF(AND($R55&lt;&gt;"",EDATE($D55,Milestones!$AA$94)&gt;=$R55),$U55,$T55)))=Milestones!$AB$94),TEXT(EDATE($D55,Milestones!$AA$94),"dd/mm/yy")&amp;" "&amp;Milestones!$AB$94&amp;" "&amp;Milestones!$AC$94&amp;";  ","")&amp;IF(AND(EDATE($D55,Milestones!$AA$95)&lt;=AsOfDate,IF($Q55=0,$W55,IF(AND($S55&lt;&gt;"",EDATE($D55,Milestones!$AA$95)&gt;=$S55),$V55,IF(AND($R55&lt;&gt;"",EDATE($D55,Milestones!$AA$95)&gt;=$R55),$U55,$T55)))=Milestones!$AB$95),TEXT(EDATE($D55,Milestones!$AA$95),"dd/mm/yy")&amp;" "&amp;Milestones!$AB$95&amp;" "&amp;Milestones!$AC$95&amp;";  ","")&amp;IF(AND(EDATE($D55,Milestones!$AA$96)&lt;=AsOfDate,IF($Q55=0,$W55,IF(AND($S55&lt;&gt;"",EDATE($D55,Milestones!$AA$96)&gt;=$S55),$V55,IF(AND($R55&lt;&gt;"",EDATE($D55,Milestones!$AA$96)&gt;=$R55),$U55,$T55)))=Milestones!$AB$96),TEXT(EDATE($D55,Milestones!$AA$96),"dd/mm/yy")&amp;" "&amp;Milestones!$AB$96&amp;" "&amp;Milestones!$AC$96&amp;";  ","")&amp;IF(AND(EDATE($D55,Milestones!$AA$97)&lt;=AsOfDate,IF($Q55=0,$W55,IF(AND($S55&lt;&gt;"",EDATE($D55,Milestones!$AA$97)&gt;=$S55),$V55,IF(AND($R55&lt;&gt;"",EDATE($D55,Milestones!$AA$97)&gt;=$R55),$U55,$T55)))=Milestones!$AB$97),TEXT(EDATE($D55,Milestones!$AA$97),"dd/mm/yy")&amp;" "&amp;Milestones!$AB$97&amp;" "&amp;Milestones!$AC$97&amp;";  ","")&amp;IF(AND(EDATE($D55,Milestones!$AA$98)&lt;=AsOfDate,IF($Q55=0,$W55,IF(AND($S55&lt;&gt;"",EDATE($D55,Milestones!$AA$98)&gt;=$S55),$V55,IF(AND($R55&lt;&gt;"",EDATE($D55,Milestones!$AA$98)&gt;=$R55),$U55,$T55)))=Milestones!$AB$98),TEXT(EDATE($D55,Milestones!$AA$98),"dd/mm/yy")&amp;" "&amp;Milestones!$AB$98&amp;" "&amp;Milestones!$AC$98&amp;";  ","")&amp;IF(AND(EDATE($D55,Milestones!$AA$99)&lt;=AsOfDate,IF($Q55=0,$W55,IF(AND($S55&lt;&gt;"",EDATE($D55,Milestones!$AA$99)&gt;=$S55),$V55,IF(AND($R55&lt;&gt;"",EDATE($D55,Milestones!$AA$99)&gt;=$R55),$U55,$T55)))=Milestones!$AB$99),TEXT(EDATE($D55,Milestones!$AA$99),"dd/mm/yy")&amp;" "&amp;Milestones!$AB$99&amp;" "&amp;Milestones!$AC$99&amp;";  ",""))</f>
        <v/>
      </c>
      <c r="L55" s="0" t="str">
        <f aca="false">IF(OR($A55="",$D55=""),"",IF(AND(EDATE($D55,Milestones!$AA$100)&lt;=AsOfDate,IF($Q55=0,$W55,IF(AND($S55&lt;&gt;"",EDATE($D55,Milestones!$AA$100)&gt;=$S55),$V55,IF(AND($R55&lt;&gt;"",EDATE($D55,Milestones!$AA$100)&gt;=$R55),$U55,$T55)))=Milestones!$AB$100),TEXT(EDATE($D55,Milestones!$AA$100),"dd/mm/yy")&amp;" "&amp;Milestones!$AB$100&amp;" "&amp;Milestones!$AC$100&amp;";  ","")&amp;IF(AND(EDATE($D55,Milestones!$AA$101)&lt;=AsOfDate,IF($Q55=0,$W55,IF(AND($S55&lt;&gt;"",EDATE($D55,Milestones!$AA$101)&gt;=$S55),$V55,IF(AND($R55&lt;&gt;"",EDATE($D55,Milestones!$AA$101)&gt;=$R55),$U55,$T55)))=Milestones!$AB$101),TEXT(EDATE($D55,Milestones!$AA$101),"dd/mm/yy")&amp;" "&amp;Milestones!$AB$101&amp;" "&amp;Milestones!$AC$101&amp;";  ","")&amp;IF(AND(EDATE($D55,Milestones!$AA$102)&lt;=AsOfDate,IF($Q55=0,$W55,IF(AND($S55&lt;&gt;"",EDATE($D55,Milestones!$AA$102)&gt;=$S55),$V55,IF(AND($R55&lt;&gt;"",EDATE($D55,Milestones!$AA$102)&gt;=$R55),$U55,$T55)))=Milestones!$AB$102),TEXT(EDATE($D55,Milestones!$AA$102),"dd/mm/yy")&amp;" "&amp;Milestones!$AB$102&amp;" "&amp;Milestones!$AC$102&amp;";  ","")&amp;IF(AND(EDATE($D55,Milestones!$AA$103)&lt;=AsOfDate,IF($Q55=0,$W55,IF(AND($S55&lt;&gt;"",EDATE($D55,Milestones!$AA$103)&gt;=$S55),$V55,IF(AND($R55&lt;&gt;"",EDATE($D55,Milestones!$AA$103)&gt;=$R55),$U55,$T55)))=Milestones!$AB$103),TEXT(EDATE($D55,Milestones!$AA$103),"dd/mm/yy")&amp;" "&amp;Milestones!$AB$103&amp;" "&amp;Milestones!$AC$103&amp;";  ","")&amp;IF(AND(EDATE($D55,Milestones!$AA$104)&lt;=AsOfDate,IF($Q55=0,$W55,IF(AND($S55&lt;&gt;"",EDATE($D55,Milestones!$AA$104)&gt;=$S55),$V55,IF(AND($R55&lt;&gt;"",EDATE($D55,Milestones!$AA$104)&gt;=$R55),$U55,$T55)))=Milestones!$AB$104),TEXT(EDATE($D55,Milestones!$AA$104),"dd/mm/yy")&amp;" "&amp;Milestones!$AB$104&amp;" "&amp;Milestones!$AC$104&amp;";  ","")&amp;IF(AND(EDATE($D55,Milestones!$AA$105)&lt;=AsOfDate,IF($Q55=0,$W55,IF(AND($S55&lt;&gt;"",EDATE($D55,Milestones!$AA$105)&gt;=$S55),$V55,IF(AND($R55&lt;&gt;"",EDATE($D55,Milestones!$AA$105)&gt;=$R55),$U55,$T55)))=Milestones!$AB$105),TEXT(EDATE($D55,Milestones!$AA$105),"dd/mm/yy")&amp;" "&amp;Milestones!$AB$105&amp;" "&amp;Milestones!$AC$105&amp;";  ","")&amp;IF(AND(EDATE($D55,Milestones!$AA$106)&lt;=AsOfDate,IF($Q55=0,$W55,IF(AND($S55&lt;&gt;"",EDATE($D55,Milestones!$AA$106)&gt;=$S55),$V55,IF(AND($R55&lt;&gt;"",EDATE($D55,Milestones!$AA$106)&gt;=$R55),$U55,$T55)))=Milestones!$AB$106),TEXT(EDATE($D55,Milestones!$AA$106),"dd/mm/yy")&amp;" "&amp;Milestones!$AB$106&amp;" "&amp;Milestones!$AC$106&amp;";  ","")&amp;IF(AND(EDATE($D55,Milestones!$AA$107)&lt;=AsOfDate,IF($Q55=0,$W55,IF(AND($S55&lt;&gt;"",EDATE($D55,Milestones!$AA$107)&gt;=$S55),$V55,IF(AND($R55&lt;&gt;"",EDATE($D55,Milestones!$AA$107)&gt;=$R55),$U55,$T55)))=Milestones!$AB$107),TEXT(EDATE($D55,Milestones!$AA$107),"dd/mm/yy")&amp;" "&amp;Milestones!$AB$107&amp;" "&amp;Milestones!$AC$107&amp;";  ","")&amp;IF(AND(EDATE($D55,Milestones!$AA$108)&lt;=AsOfDate,IF($Q55=0,$W55,IF(AND($S55&lt;&gt;"",EDATE($D55,Milestones!$AA$108)&gt;=$S55),$V55,IF(AND($R55&lt;&gt;"",EDATE($D55,Milestones!$AA$108)&gt;=$R55),$U55,$T55)))=Milestones!$AB$108),TEXT(EDATE($D55,Milestones!$AA$108),"dd/mm/yy")&amp;" "&amp;Milestones!$AB$108&amp;" "&amp;Milestones!$AC$108&amp;";  ","")&amp;IF(AND(EDATE($D55,Milestones!$AA$109)&lt;=AsOfDate,IF($Q55=0,$W55,IF(AND($S55&lt;&gt;"",EDATE($D55,Milestones!$AA$109)&gt;=$S55),$V55,IF(AND($R55&lt;&gt;"",EDATE($D55,Milestones!$AA$109)&gt;=$R55),$U55,$T55)))=Milestones!$AB$109),TEXT(EDATE($D55,Milestones!$AA$109),"dd/mm/yy")&amp;" "&amp;Milestones!$AB$109&amp;" "&amp;Milestones!$AC$109&amp;";  ","")&amp;IF(AND(EDATE($D55,Milestones!$AA$110)&lt;=AsOfDate,IF($Q55=0,$W55,IF(AND($S55&lt;&gt;"",EDATE($D55,Milestones!$AA$110)&gt;=$S55),$V55,IF(AND($R55&lt;&gt;"",EDATE($D55,Milestones!$AA$110)&gt;=$R55),$U55,$T55)))=Milestones!$AB$110),TEXT(EDATE($D55,Milestones!$AA$110),"dd/mm/yy")&amp;" "&amp;Milestones!$AB$110&amp;" "&amp;Milestones!$AC$110&amp;";  ","")&amp;IF(AND(EDATE($D55,Milestones!$AA$111)&lt;=AsOfDate,IF($Q55=0,$W55,IF(AND($S55&lt;&gt;"",EDATE($D55,Milestones!$AA$111)&gt;=$S55),$V55,IF(AND($R55&lt;&gt;"",EDATE($D55,Milestones!$AA$111)&gt;=$R55),$U55,$T55)))=Milestones!$AB$111),TEXT(EDATE($D55,Milestones!$AA$111),"dd/mm/yy")&amp;" "&amp;Milestones!$AB$111&amp;" "&amp;Milestones!$AC$111&amp;";  ","")&amp;IF(AND(EDATE($D55,Milestones!$AA$112)&lt;=AsOfDate,IF($Q55=0,$W55,IF(AND($S55&lt;&gt;"",EDATE($D55,Milestones!$AA$112)&gt;=$S55),$V55,IF(AND($R55&lt;&gt;"",EDATE($D55,Milestones!$AA$112)&gt;=$R55),$U55,$T55)))=Milestones!$AB$112),TEXT(EDATE($D55,Milestones!$AA$112),"dd/mm/yy")&amp;" "&amp;Milestones!$AB$112&amp;" "&amp;Milestones!$AC$112&amp;";  ","")&amp;IF(AND(EDATE($D55,Milestones!$AA$113)&lt;=AsOfDate,IF($Q55=0,$W55,IF(AND($S55&lt;&gt;"",EDATE($D55,Milestones!$AA$113)&gt;=$S55),$V55,IF(AND($R55&lt;&gt;"",EDATE($D55,Milestones!$AA$113)&gt;=$R55),$U55,$T55)))=Milestones!$AB$113),TEXT(EDATE($D55,Milestones!$AA$113),"dd/mm/yy")&amp;" "&amp;Milestones!$AB$113&amp;" "&amp;Milestones!$AC$113&amp;";  ","")&amp;IF(AND(EDATE($D55,Milestones!$AA$114)&lt;=AsOfDate,IF($Q55=0,$W55,IF(AND($S55&lt;&gt;"",EDATE($D55,Milestones!$AA$114)&gt;=$S55),$V55,IF(AND($R55&lt;&gt;"",EDATE($D55,Milestones!$AA$114)&gt;=$R55),$U55,$T55)))=Milestones!$AB$114),TEXT(EDATE($D55,Milestones!$AA$114),"dd/mm/yy")&amp;" "&amp;Milestones!$AB$114&amp;" "&amp;Milestones!$AC$114&amp;";  ","")&amp;IF(AND(EDATE($D55,Milestones!$AA$115)&lt;=AsOfDate,IF($Q55=0,$W55,IF(AND($S55&lt;&gt;"",EDATE($D55,Milestones!$AA$115)&gt;=$S55),$V55,IF(AND($R55&lt;&gt;"",EDATE($D55,Milestones!$AA$115)&gt;=$R55),$U55,$T55)))=Milestones!$AB$115),TEXT(EDATE($D55,Milestones!$AA$115),"dd/mm/yy")&amp;" "&amp;Milestones!$AB$115&amp;" "&amp;Milestones!$AC$115&amp;";  ","")&amp;IF(AND(EDATE($D55,Milestones!$AA$116)&lt;=AsOfDate,IF($Q55=0,$W55,IF(AND($S55&lt;&gt;"",EDATE($D55,Milestones!$AA$116)&gt;=$S55),$V55,IF(AND($R55&lt;&gt;"",EDATE($D55,Milestones!$AA$116)&gt;=$R55),$U55,$T55)))=Milestones!$AB$116),TEXT(EDATE($D55,Milestones!$AA$116),"dd/mm/yy")&amp;" "&amp;Milestones!$AB$116&amp;" "&amp;Milestones!$AC$116&amp;";  ","")&amp;IF(AND(EDATE($D55,Milestones!$AA$117)&lt;=AsOfDate,IF($Q55=0,$W55,IF(AND($S55&lt;&gt;"",EDATE($D55,Milestones!$AA$117)&gt;=$S55),$V55,IF(AND($R55&lt;&gt;"",EDATE($D55,Milestones!$AA$117)&gt;=$R55),$U55,$T55)))=Milestones!$AB$117),TEXT(EDATE($D55,Milestones!$AA$117),"dd/mm/yy")&amp;" "&amp;Milestones!$AB$117&amp;" "&amp;Milestones!$AC$117&amp;";  ","")&amp;IF(AND(EDATE($D55,Milestones!$AA$118)&lt;=AsOfDate,IF($Q55=0,$W55,IF(AND($S55&lt;&gt;"",EDATE($D55,Milestones!$AA$118)&gt;=$S55),$V55,IF(AND($R55&lt;&gt;"",EDATE($D55,Milestones!$AA$118)&gt;=$R55),$U55,$T55)))=Milestones!$AB$118),TEXT(EDATE($D55,Milestones!$AA$118),"dd/mm/yy")&amp;" "&amp;Milestones!$AB$118&amp;" "&amp;Milestones!$AC$118&amp;";  ","")&amp;IF(AND(EDATE($D55,Milestones!$AA$119)&lt;=AsOfDate,IF($Q55=0,$W55,IF(AND($S55&lt;&gt;"",EDATE($D55,Milestones!$AA$119)&gt;=$S55),$V55,IF(AND($R55&lt;&gt;"",EDATE($D55,Milestones!$AA$119)&gt;=$R55),$U55,$T55)))=Milestones!$AB$119),TEXT(EDATE($D55,Milestones!$AA$119),"dd/mm/yy")&amp;" "&amp;Milestones!$AB$119&amp;" "&amp;Milestones!$AC$119&amp;";  ",""))</f>
        <v/>
      </c>
      <c r="M55" s="0" t="str">
        <f aca="false">IF(OR($A55="",$D55=""),"",IF(AND(EDATE($D55,Milestones!$AA$120)&lt;=AsOfDate,IF($Q55=0,$W55,IF(AND($S55&lt;&gt;"",EDATE($D55,Milestones!$AA$120)&gt;=$S55),$V55,IF(AND($R55&lt;&gt;"",EDATE($D55,Milestones!$AA$120)&gt;=$R55),$U55,$T55)))=Milestones!$AB$120),TEXT(EDATE($D55,Milestones!$AA$120),"dd/mm/yy")&amp;" "&amp;Milestones!$AB$120&amp;" "&amp;Milestones!$AC$120&amp;";  ","")&amp;IF(AND(EDATE($D55,Milestones!$AA$121)&lt;=AsOfDate,IF($Q55=0,$W55,IF(AND($S55&lt;&gt;"",EDATE($D55,Milestones!$AA$121)&gt;=$S55),$V55,IF(AND($R55&lt;&gt;"",EDATE($D55,Milestones!$AA$121)&gt;=$R55),$U55,$T55)))=Milestones!$AB$121),TEXT(EDATE($D55,Milestones!$AA$121),"dd/mm/yy")&amp;" "&amp;Milestones!$AB$121&amp;" "&amp;Milestones!$AC$121&amp;";  ","")&amp;IF(AND(EDATE($D55,Milestones!$AA$122)&lt;=AsOfDate,IF($Q55=0,$W55,IF(AND($S55&lt;&gt;"",EDATE($D55,Milestones!$AA$122)&gt;=$S55),$V55,IF(AND($R55&lt;&gt;"",EDATE($D55,Milestones!$AA$122)&gt;=$R55),$U55,$T55)))=Milestones!$AB$122),TEXT(EDATE($D55,Milestones!$AA$122),"dd/mm/yy")&amp;" "&amp;Milestones!$AB$122&amp;" "&amp;Milestones!$AC$122&amp;";  ","")&amp;IF(AND(EDATE($D55,Milestones!$AA$123)&lt;=AsOfDate,IF($Q55=0,$W55,IF(AND($S55&lt;&gt;"",EDATE($D55,Milestones!$AA$123)&gt;=$S55),$V55,IF(AND($R55&lt;&gt;"",EDATE($D55,Milestones!$AA$123)&gt;=$R55),$U55,$T55)))=Milestones!$AB$123),TEXT(EDATE($D55,Milestones!$AA$123),"dd/mm/yy")&amp;" "&amp;Milestones!$AB$123&amp;" "&amp;Milestones!$AC$123&amp;";  ","")&amp;IF(AND(EDATE($D55,Milestones!$AA$124)&lt;=AsOfDate,IF($Q55=0,$W55,IF(AND($S55&lt;&gt;"",EDATE($D55,Milestones!$AA$124)&gt;=$S55),$V55,IF(AND($R55&lt;&gt;"",EDATE($D55,Milestones!$AA$124)&gt;=$R55),$U55,$T55)))=Milestones!$AB$124),TEXT(EDATE($D55,Milestones!$AA$124),"dd/mm/yy")&amp;" "&amp;Milestones!$AB$124&amp;" "&amp;Milestones!$AC$124&amp;";  ","")&amp;IF(AND(EDATE($D55,Milestones!$AA$125)&lt;=AsOfDate,IF($Q55=0,$W55,IF(AND($S55&lt;&gt;"",EDATE($D55,Milestones!$AA$125)&gt;=$S55),$V55,IF(AND($R55&lt;&gt;"",EDATE($D55,Milestones!$AA$125)&gt;=$R55),$U55,$T55)))=Milestones!$AB$125),TEXT(EDATE($D55,Milestones!$AA$125),"dd/mm/yy")&amp;" "&amp;Milestones!$AB$125&amp;" "&amp;Milestones!$AC$125&amp;";  ","")&amp;IF(AND(EDATE($D55,Milestones!$AA$126)&lt;=AsOfDate,IF($Q55=0,$W55,IF(AND($S55&lt;&gt;"",EDATE($D55,Milestones!$AA$126)&gt;=$S55),$V55,IF(AND($R55&lt;&gt;"",EDATE($D55,Milestones!$AA$126)&gt;=$R55),$U55,$T55)))=Milestones!$AB$126),TEXT(EDATE($D55,Milestones!$AA$126),"dd/mm/yy")&amp;" "&amp;Milestones!$AB$126&amp;" "&amp;Milestones!$AC$126&amp;";  ","")&amp;IF(AND(EDATE($D55,Milestones!$AA$127)&lt;=AsOfDate,IF($Q55=0,$W55,IF(AND($S55&lt;&gt;"",EDATE($D55,Milestones!$AA$127)&gt;=$S55),$V55,IF(AND($R55&lt;&gt;"",EDATE($D55,Milestones!$AA$127)&gt;=$R55),$U55,$T55)))=Milestones!$AB$127),TEXT(EDATE($D55,Milestones!$AA$127),"dd/mm/yy")&amp;" "&amp;Milestones!$AB$127&amp;" "&amp;Milestones!$AC$127&amp;";  ","")&amp;IF(AND(EDATE($D55,Milestones!$AA$128)&lt;=AsOfDate,IF($Q55=0,$W55,IF(AND($S55&lt;&gt;"",EDATE($D55,Milestones!$AA$128)&gt;=$S55),$V55,IF(AND($R55&lt;&gt;"",EDATE($D55,Milestones!$AA$128)&gt;=$R55),$U55,$T55)))=Milestones!$AB$128),TEXT(EDATE($D55,Milestones!$AA$128),"dd/mm/yy")&amp;" "&amp;Milestones!$AB$128&amp;" "&amp;Milestones!$AC$128&amp;";  ","")&amp;IF(AND(EDATE($D55,Milestones!$AA$129)&lt;=AsOfDate,IF($Q55=0,$W55,IF(AND($S55&lt;&gt;"",EDATE($D55,Milestones!$AA$129)&gt;=$S55),$V55,IF(AND($R55&lt;&gt;"",EDATE($D55,Milestones!$AA$129)&gt;=$R55),$U55,$T55)))=Milestones!$AB$129),TEXT(EDATE($D55,Milestones!$AA$129),"dd/mm/yy")&amp;" "&amp;Milestones!$AB$129&amp;" "&amp;Milestones!$AC$129&amp;";  ","")&amp;IF(AND(EDATE($D55,Milestones!$AA$130)&lt;=AsOfDate,IF($Q55=0,$W55,IF(AND($S55&lt;&gt;"",EDATE($D55,Milestones!$AA$130)&gt;=$S55),$V55,IF(AND($R55&lt;&gt;"",EDATE($D55,Milestones!$AA$130)&gt;=$R55),$U55,$T55)))=Milestones!$AB$130),TEXT(EDATE($D55,Milestones!$AA$130),"dd/mm/yy")&amp;" "&amp;Milestones!$AB$130&amp;" "&amp;Milestones!$AC$130&amp;";  ","")&amp;IF(AND(EDATE($D55,Milestones!$AA$131)&lt;=AsOfDate,IF($Q55=0,$W55,IF(AND($S55&lt;&gt;"",EDATE($D55,Milestones!$AA$131)&gt;=$S55),$V55,IF(AND($R55&lt;&gt;"",EDATE($D55,Milestones!$AA$131)&gt;=$R55),$U55,$T55)))=Milestones!$AB$131),TEXT(EDATE($D55,Milestones!$AA$131),"dd/mm/yy")&amp;" "&amp;Milestones!$AB$131&amp;" "&amp;Milestones!$AC$131&amp;";  ","")&amp;IF(AND(EDATE($D55,Milestones!$AA$132)&lt;=AsOfDate,IF($Q55=0,$W55,IF(AND($S55&lt;&gt;"",EDATE($D55,Milestones!$AA$132)&gt;=$S55),$V55,IF(AND($R55&lt;&gt;"",EDATE($D55,Milestones!$AA$132)&gt;=$R55),$U55,$T55)))=Milestones!$AB$132),TEXT(EDATE($D55,Milestones!$AA$132),"dd/mm/yy")&amp;" "&amp;Milestones!$AB$132&amp;" "&amp;Milestones!$AC$132&amp;";  ","")&amp;IF(AND(EDATE($D55,Milestones!$AA$133)&lt;=AsOfDate,IF($Q55=0,$W55,IF(AND($S55&lt;&gt;"",EDATE($D55,Milestones!$AA$133)&gt;=$S55),$V55,IF(AND($R55&lt;&gt;"",EDATE($D55,Milestones!$AA$133)&gt;=$R55),$U55,$T55)))=Milestones!$AB$133),TEXT(EDATE($D55,Milestones!$AA$133),"dd/mm/yy")&amp;" "&amp;Milestones!$AB$133&amp;" "&amp;Milestones!$AC$133&amp;";  ","")&amp;IF(AND(EDATE($D55,Milestones!$AA$134)&lt;=AsOfDate,IF($Q55=0,$W55,IF(AND($S55&lt;&gt;"",EDATE($D55,Milestones!$AA$134)&gt;=$S55),$V55,IF(AND($R55&lt;&gt;"",EDATE($D55,Milestones!$AA$134)&gt;=$R55),$U55,$T55)))=Milestones!$AB$134),TEXT(EDATE($D55,Milestones!$AA$134),"dd/mm/yy")&amp;" "&amp;Milestones!$AB$134&amp;" "&amp;Milestones!$AC$134&amp;";  ","")&amp;IF(AND(EDATE($D55,Milestones!$AA$135)&lt;=AsOfDate,IF($Q55=0,$W55,IF(AND($S55&lt;&gt;"",EDATE($D55,Milestones!$AA$135)&gt;=$S55),$V55,IF(AND($R55&lt;&gt;"",EDATE($D55,Milestones!$AA$135)&gt;=$R55),$U55,$T55)))=Milestones!$AB$135),TEXT(EDATE($D55,Milestones!$AA$135),"dd/mm/yy")&amp;" "&amp;Milestones!$AB$135&amp;" "&amp;Milestones!$AC$135&amp;";  ","")&amp;IF(AND(EDATE($D55,Milestones!$AA$136)&lt;=AsOfDate,IF($Q55=0,$W55,IF(AND($S55&lt;&gt;"",EDATE($D55,Milestones!$AA$136)&gt;=$S55),$V55,IF(AND($R55&lt;&gt;"",EDATE($D55,Milestones!$AA$136)&gt;=$R55),$U55,$T55)))=Milestones!$AB$136),TEXT(EDATE($D55,Milestones!$AA$136),"dd/mm/yy")&amp;" "&amp;Milestones!$AB$136&amp;" "&amp;Milestones!$AC$136&amp;";  ","")&amp;IF(AND(EDATE($D55,Milestones!$AA$137)&lt;=AsOfDate,IF($Q55=0,$W55,IF(AND($S55&lt;&gt;"",EDATE($D55,Milestones!$AA$137)&gt;=$S55),$V55,IF(AND($R55&lt;&gt;"",EDATE($D55,Milestones!$AA$137)&gt;=$R55),$U55,$T55)))=Milestones!$AB$137),TEXT(EDATE($D55,Milestones!$AA$137),"dd/mm/yy")&amp;" "&amp;Milestones!$AB$137&amp;" "&amp;Milestones!$AC$137&amp;";  ","")&amp;IF(AND(EDATE($D55,Milestones!$AA$138)&lt;=AsOfDate,IF($Q55=0,$W55,IF(AND($S55&lt;&gt;"",EDATE($D55,Milestones!$AA$138)&gt;=$S55),$V55,IF(AND($R55&lt;&gt;"",EDATE($D55,Milestones!$AA$138)&gt;=$R55),$U55,$T55)))=Milestones!$AB$138),TEXT(EDATE($D55,Milestones!$AA$138),"dd/mm/yy")&amp;" "&amp;Milestones!$AB$138&amp;" "&amp;Milestones!$AC$138&amp;";  ","")&amp;IF(AND(EDATE($D55,Milestones!$AA$139)&lt;=AsOfDate,IF($Q55=0,$W55,IF(AND($S55&lt;&gt;"",EDATE($D55,Milestones!$AA$139)&gt;=$S55),$V55,IF(AND($R55&lt;&gt;"",EDATE($D55,Milestones!$AA$139)&gt;=$R55),$U55,$T55)))=Milestones!$AB$139),TEXT(EDATE($D55,Milestones!$AA$139),"dd/mm/yy")&amp;" "&amp;Milestones!$AB$139&amp;" "&amp;Milestones!$AC$139&amp;";  ",""))</f>
        <v/>
      </c>
      <c r="N55" s="0" t="str">
        <f aca="false">IF(OR($A55="",$D55=""),"",IF(AND(EDATE($D55,Milestones!$AA$140)&lt;=AsOfDate,IF($Q55=0,$W55,IF(AND($S55&lt;&gt;"",EDATE($D55,Milestones!$AA$140)&gt;=$S55),$V55,IF(AND($R55&lt;&gt;"",EDATE($D55,Milestones!$AA$140)&gt;=$R55),$U55,$T55)))=Milestones!$AB$140),TEXT(EDATE($D55,Milestones!$AA$140),"dd/mm/yy")&amp;" "&amp;Milestones!$AB$140&amp;" "&amp;Milestones!$AC$140&amp;";  ","")&amp;IF(AND(EDATE($D55,Milestones!$AA$141)&lt;=AsOfDate,IF($Q55=0,$W55,IF(AND($S55&lt;&gt;"",EDATE($D55,Milestones!$AA$141)&gt;=$S55),$V55,IF(AND($R55&lt;&gt;"",EDATE($D55,Milestones!$AA$141)&gt;=$R55),$U55,$T55)))=Milestones!$AB$141),TEXT(EDATE($D55,Milestones!$AA$141),"dd/mm/yy")&amp;" "&amp;Milestones!$AB$141&amp;" "&amp;Milestones!$AC$141&amp;";  ","")&amp;IF(AND(EDATE($D55,Milestones!$AA$142)&lt;=AsOfDate,IF($Q55=0,$W55,IF(AND($S55&lt;&gt;"",EDATE($D55,Milestones!$AA$142)&gt;=$S55),$V55,IF(AND($R55&lt;&gt;"",EDATE($D55,Milestones!$AA$142)&gt;=$R55),$U55,$T55)))=Milestones!$AB$142),TEXT(EDATE($D55,Milestones!$AA$142),"dd/mm/yy")&amp;" "&amp;Milestones!$AB$142&amp;" "&amp;Milestones!$AC$142&amp;";  ","")&amp;IF(AND(EDATE($D55,Milestones!$AA$143)&lt;=AsOfDate,IF($Q55=0,$W55,IF(AND($S55&lt;&gt;"",EDATE($D55,Milestones!$AA$143)&gt;=$S55),$V55,IF(AND($R55&lt;&gt;"",EDATE($D55,Milestones!$AA$143)&gt;=$R55),$U55,$T55)))=Milestones!$AB$143),TEXT(EDATE($D55,Milestones!$AA$143),"dd/mm/yy")&amp;" "&amp;Milestones!$AB$143&amp;" "&amp;Milestones!$AC$143&amp;";  ","")&amp;IF(AND(EDATE($D55,Milestones!$AA$144)&lt;=AsOfDate,IF($Q55=0,$W55,IF(AND($S55&lt;&gt;"",EDATE($D55,Milestones!$AA$144)&gt;=$S55),$V55,IF(AND($R55&lt;&gt;"",EDATE($D55,Milestones!$AA$144)&gt;=$R55),$U55,$T55)))=Milestones!$AB$144),TEXT(EDATE($D55,Milestones!$AA$144),"dd/mm/yy")&amp;" "&amp;Milestones!$AB$144&amp;" "&amp;Milestones!$AC$144&amp;";  ","")&amp;IF(AND(EDATE($D55,Milestones!$AA$145)&lt;=AsOfDate,IF($Q55=0,$W55,IF(AND($S55&lt;&gt;"",EDATE($D55,Milestones!$AA$145)&gt;=$S55),$V55,IF(AND($R55&lt;&gt;"",EDATE($D55,Milestones!$AA$145)&gt;=$R55),$U55,$T55)))=Milestones!$AB$145),TEXT(EDATE($D55,Milestones!$AA$145),"dd/mm/yy")&amp;" "&amp;Milestones!$AB$145&amp;" "&amp;Milestones!$AC$145&amp;";  ","")&amp;IF(AND(EDATE($D55,Milestones!$AA$146)&lt;=AsOfDate,IF($Q55=0,$W55,IF(AND($S55&lt;&gt;"",EDATE($D55,Milestones!$AA$146)&gt;=$S55),$V55,IF(AND($R55&lt;&gt;"",EDATE($D55,Milestones!$AA$146)&gt;=$R55),$U55,$T55)))=Milestones!$AB$146),TEXT(EDATE($D55,Milestones!$AA$146),"dd/mm/yy")&amp;" "&amp;Milestones!$AB$146&amp;" "&amp;Milestones!$AC$146&amp;";  ","")&amp;IF(AND(EDATE($D55,Milestones!$AA$147)&lt;=AsOfDate,IF($Q55=0,$W55,IF(AND($S55&lt;&gt;"",EDATE($D55,Milestones!$AA$147)&gt;=$S55),$V55,IF(AND($R55&lt;&gt;"",EDATE($D55,Milestones!$AA$147)&gt;=$R55),$U55,$T55)))=Milestones!$AB$147),TEXT(EDATE($D55,Milestones!$AA$147),"dd/mm/yy")&amp;" "&amp;Milestones!$AB$147&amp;" "&amp;Milestones!$AC$147&amp;";  ","")&amp;IF(AND(EDATE($D55,Milestones!$AA$148)&lt;=AsOfDate,IF($Q55=0,$W55,IF(AND($S55&lt;&gt;"",EDATE($D55,Milestones!$AA$148)&gt;=$S55),$V55,IF(AND($R55&lt;&gt;"",EDATE($D55,Milestones!$AA$148)&gt;=$R55),$U55,$T55)))=Milestones!$AB$148),TEXT(EDATE($D55,Milestones!$AA$148),"dd/mm/yy")&amp;" "&amp;Milestones!$AB$148&amp;" "&amp;Milestones!$AC$148&amp;";  ","")&amp;IF(AND(EDATE($D55,Milestones!$AA$149)&lt;=AsOfDate,IF($Q55=0,$W55,IF(AND($S55&lt;&gt;"",EDATE($D55,Milestones!$AA$149)&gt;=$S55),$V55,IF(AND($R55&lt;&gt;"",EDATE($D55,Milestones!$AA$149)&gt;=$R55),$U55,$T55)))=Milestones!$AB$149),TEXT(EDATE($D55,Milestones!$AA$149),"dd/mm/yy")&amp;" "&amp;Milestones!$AB$149&amp;" "&amp;Milestones!$AC$149&amp;";  ","")&amp;IF(AND(EDATE($D55,Milestones!$AA$150)&lt;=AsOfDate,IF($Q55=0,$W55,IF(AND($S55&lt;&gt;"",EDATE($D55,Milestones!$AA$150)&gt;=$S55),$V55,IF(AND($R55&lt;&gt;"",EDATE($D55,Milestones!$AA$150)&gt;=$R55),$U55,$T55)))=Milestones!$AB$150),TEXT(EDATE($D55,Milestones!$AA$150),"dd/mm/yy")&amp;" "&amp;Milestones!$AB$150&amp;" "&amp;Milestones!$AC$150&amp;";  ","")&amp;IF(AND(EDATE($D55,Milestones!$AA$151)&lt;=AsOfDate,IF($Q55=0,$W55,IF(AND($S55&lt;&gt;"",EDATE($D55,Milestones!$AA$151)&gt;=$S55),$V55,IF(AND($R55&lt;&gt;"",EDATE($D55,Milestones!$AA$151)&gt;=$R55),$U55,$T55)))=Milestones!$AB$151),TEXT(EDATE($D55,Milestones!$AA$151),"dd/mm/yy")&amp;" "&amp;Milestones!$AB$151&amp;" "&amp;Milestones!$AC$151&amp;";  ","")&amp;IF(AND(EDATE($D55,Milestones!$AA$152)&lt;=AsOfDate,IF($Q55=0,$W55,IF(AND($S55&lt;&gt;"",EDATE($D55,Milestones!$AA$152)&gt;=$S55),$V55,IF(AND($R55&lt;&gt;"",EDATE($D55,Milestones!$AA$152)&gt;=$R55),$U55,$T55)))=Milestones!$AB$152),TEXT(EDATE($D55,Milestones!$AA$152),"dd/mm/yy")&amp;" "&amp;Milestones!$AB$152&amp;" "&amp;Milestones!$AC$152&amp;";  ","")&amp;IF(AND(EDATE($D55,Milestones!$AA$153)&lt;=AsOfDate,IF($Q55=0,$W55,IF(AND($S55&lt;&gt;"",EDATE($D55,Milestones!$AA$153)&gt;=$S55),$V55,IF(AND($R55&lt;&gt;"",EDATE($D55,Milestones!$AA$153)&gt;=$R55),$U55,$T55)))=Milestones!$AB$153),TEXT(EDATE($D55,Milestones!$AA$153),"dd/mm/yy")&amp;" "&amp;Milestones!$AB$153&amp;" "&amp;Milestones!$AC$153&amp;";  ","")&amp;IF(AND(EDATE($D55,Milestones!$AA$154)&lt;=AsOfDate,IF($Q55=0,$W55,IF(AND($S55&lt;&gt;"",EDATE($D55,Milestones!$AA$154)&gt;=$S55),$V55,IF(AND($R55&lt;&gt;"",EDATE($D55,Milestones!$AA$154)&gt;=$R55),$U55,$T55)))=Milestones!$AB$154),TEXT(EDATE($D55,Milestones!$AA$154),"dd/mm/yy")&amp;" "&amp;Milestones!$AB$154&amp;" "&amp;Milestones!$AC$154&amp;";  ","")&amp;IF(AND(EDATE($D55,Milestones!$AA$155)&lt;=AsOfDate,IF($Q55=0,$W55,IF(AND($S55&lt;&gt;"",EDATE($D55,Milestones!$AA$155)&gt;=$S55),$V55,IF(AND($R55&lt;&gt;"",EDATE($D55,Milestones!$AA$155)&gt;=$R55),$U55,$T55)))=Milestones!$AB$155),TEXT(EDATE($D55,Milestones!$AA$155),"dd/mm/yy")&amp;" "&amp;Milestones!$AB$155&amp;" "&amp;Milestones!$AC$155&amp;";  ","")&amp;IF(AND(EDATE($D55,Milestones!$AA$156)&lt;=AsOfDate,IF($Q55=0,$W55,IF(AND($S55&lt;&gt;"",EDATE($D55,Milestones!$AA$156)&gt;=$S55),$V55,IF(AND($R55&lt;&gt;"",EDATE($D55,Milestones!$AA$156)&gt;=$R55),$U55,$T55)))=Milestones!$AB$156),TEXT(EDATE($D55,Milestones!$AA$156),"dd/mm/yy")&amp;" "&amp;Milestones!$AB$156&amp;" "&amp;Milestones!$AC$156&amp;";  ","")&amp;IF(AND(EDATE($D55,Milestones!$AA$157)&lt;=AsOfDate,IF($Q55=0,$W55,IF(AND($S55&lt;&gt;"",EDATE($D55,Milestones!$AA$157)&gt;=$S55),$V55,IF(AND($R55&lt;&gt;"",EDATE($D55,Milestones!$AA$157)&gt;=$R55),$U55,$T55)))=Milestones!$AB$157),TEXT(EDATE($D55,Milestones!$AA$157),"dd/mm/yy")&amp;" "&amp;Milestones!$AB$157&amp;" "&amp;Milestones!$AC$157&amp;";  ","")&amp;IF(AND(EDATE($D55,Milestones!$AA$158)&lt;=AsOfDate,IF($Q55=0,$W55,IF(AND($S55&lt;&gt;"",EDATE($D55,Milestones!$AA$158)&gt;=$S55),$V55,IF(AND($R55&lt;&gt;"",EDATE($D55,Milestones!$AA$158)&gt;=$R55),$U55,$T55)))=Milestones!$AB$158),TEXT(EDATE($D55,Milestones!$AA$158),"dd/mm/yy")&amp;" "&amp;Milestones!$AB$158&amp;" "&amp;Milestones!$AC$158&amp;";  ","")&amp;IF(AND(EDATE($D55,Milestones!$AA$159)&lt;=AsOfDate,IF($Q55=0,$W55,IF(AND($S55&lt;&gt;"",EDATE($D55,Milestones!$AA$159)&gt;=$S55),$V55,IF(AND($R55&lt;&gt;"",EDATE($D55,Milestones!$AA$159)&gt;=$R55),$U55,$T55)))=Milestones!$AB$159),TEXT(EDATE($D55,Milestones!$AA$159),"dd/mm/yy")&amp;" "&amp;Milestones!$AB$159&amp;" "&amp;Milestones!$AC$159&amp;";  ",""))</f>
        <v/>
      </c>
      <c r="O55" s="0" t="str">
        <f aca="false">IF(OR($A55="",$D55=""),"",IF(AND(EDATE($D55,Milestones!$AA$160)&lt;=AsOfDate,IF($Q55=0,$W55,IF(AND($S55&lt;&gt;"",EDATE($D55,Milestones!$AA$160)&gt;=$S55),$V55,IF(AND($R55&lt;&gt;"",EDATE($D55,Milestones!$AA$160)&gt;=$R55),$U55,$T55)))=Milestones!$AB$160),TEXT(EDATE($D55,Milestones!$AA$160),"dd/mm/yy")&amp;" "&amp;Milestones!$AB$160&amp;" "&amp;Milestones!$AC$160&amp;";  ","")&amp;IF(AND(EDATE($D55,Milestones!$AA$161)&lt;=AsOfDate,IF($Q55=0,$W55,IF(AND($S55&lt;&gt;"",EDATE($D55,Milestones!$AA$161)&gt;=$S55),$V55,IF(AND($R55&lt;&gt;"",EDATE($D55,Milestones!$AA$161)&gt;=$R55),$U55,$T55)))=Milestones!$AB$161),TEXT(EDATE($D55,Milestones!$AA$161),"dd/mm/yy")&amp;" "&amp;Milestones!$AB$161&amp;" "&amp;Milestones!$AC$161&amp;";  ","")&amp;IF(AND(EDATE($D55,Milestones!$AA$162)&lt;=AsOfDate,IF($Q55=0,$W55,IF(AND($S55&lt;&gt;"",EDATE($D55,Milestones!$AA$162)&gt;=$S55),$V55,IF(AND($R55&lt;&gt;"",EDATE($D55,Milestones!$AA$162)&gt;=$R55),$U55,$T55)))=Milestones!$AB$162),TEXT(EDATE($D55,Milestones!$AA$162),"dd/mm/yy")&amp;" "&amp;Milestones!$AB$162&amp;" "&amp;Milestones!$AC$162&amp;";  ","")&amp;IF(AND(EDATE($D55,Milestones!$AA$163)&lt;=AsOfDate,IF($Q55=0,$W55,IF(AND($S55&lt;&gt;"",EDATE($D55,Milestones!$AA$163)&gt;=$S55),$V55,IF(AND($R55&lt;&gt;"",EDATE($D55,Milestones!$AA$163)&gt;=$R55),$U55,$T55)))=Milestones!$AB$163),TEXT(EDATE($D55,Milestones!$AA$163),"dd/mm/yy")&amp;" "&amp;Milestones!$AB$163&amp;" "&amp;Milestones!$AC$163&amp;";  ","")&amp;IF(AND(EDATE($D55,Milestones!$AA$164)&lt;=AsOfDate,IF($Q55=0,$W55,IF(AND($S55&lt;&gt;"",EDATE($D55,Milestones!$AA$164)&gt;=$S55),$V55,IF(AND($R55&lt;&gt;"",EDATE($D55,Milestones!$AA$164)&gt;=$R55),$U55,$T55)))=Milestones!$AB$164),TEXT(EDATE($D55,Milestones!$AA$164),"dd/mm/yy")&amp;" "&amp;Milestones!$AB$164&amp;" "&amp;Milestones!$AC$164&amp;";  ","")&amp;IF(AND(EDATE($D55,Milestones!$AA$165)&lt;=AsOfDate,IF($Q55=0,$W55,IF(AND($S55&lt;&gt;"",EDATE($D55,Milestones!$AA$165)&gt;=$S55),$V55,IF(AND($R55&lt;&gt;"",EDATE($D55,Milestones!$AA$165)&gt;=$R55),$U55,$T55)))=Milestones!$AB$165),TEXT(EDATE($D55,Milestones!$AA$165),"dd/mm/yy")&amp;" "&amp;Milestones!$AB$165&amp;" "&amp;Milestones!$AC$165&amp;";  ","")&amp;IF(AND(EDATE($D55,Milestones!$AA$166)&lt;=AsOfDate,IF($Q55=0,$W55,IF(AND($S55&lt;&gt;"",EDATE($D55,Milestones!$AA$166)&gt;=$S55),$V55,IF(AND($R55&lt;&gt;"",EDATE($D55,Milestones!$AA$166)&gt;=$R55),$U55,$T55)))=Milestones!$AB$166),TEXT(EDATE($D55,Milestones!$AA$166),"dd/mm/yy")&amp;" "&amp;Milestones!$AB$166&amp;" "&amp;Milestones!$AC$166&amp;";  ","")&amp;IF(AND(EDATE($D55,Milestones!$AA$167)&lt;=AsOfDate,IF($Q55=0,$W55,IF(AND($S55&lt;&gt;"",EDATE($D55,Milestones!$AA$167)&gt;=$S55),$V55,IF(AND($R55&lt;&gt;"",EDATE($D55,Milestones!$AA$167)&gt;=$R55),$U55,$T55)))=Milestones!$AB$167),TEXT(EDATE($D55,Milestones!$AA$167),"dd/mm/yy")&amp;" "&amp;Milestones!$AB$167&amp;" "&amp;Milestones!$AC$167&amp;";  ","")&amp;IF(AND(EDATE($D55,Milestones!$AA$168)&lt;=AsOfDate,IF($Q55=0,$W55,IF(AND($S55&lt;&gt;"",EDATE($D55,Milestones!$AA$168)&gt;=$S55),$V55,IF(AND($R55&lt;&gt;"",EDATE($D55,Milestones!$AA$168)&gt;=$R55),$U55,$T55)))=Milestones!$AB$168),TEXT(EDATE($D55,Milestones!$AA$168),"dd/mm/yy")&amp;" "&amp;Milestones!$AB$168&amp;" "&amp;Milestones!$AC$168&amp;";  ","")&amp;IF(AND(EDATE($D55,Milestones!$AA$169)&lt;=AsOfDate,IF($Q55=0,$W55,IF(AND($S55&lt;&gt;"",EDATE($D55,Milestones!$AA$169)&gt;=$S55),$V55,IF(AND($R55&lt;&gt;"",EDATE($D55,Milestones!$AA$169)&gt;=$R55),$U55,$T55)))=Milestones!$AB$169),TEXT(EDATE($D55,Milestones!$AA$169),"dd/mm/yy")&amp;" "&amp;Milestones!$AB$169&amp;" "&amp;Milestones!$AC$169&amp;";  ","")&amp;IF(AND(EDATE($D55,Milestones!$AA$170)&lt;=AsOfDate,IF($Q55=0,$W55,IF(AND($S55&lt;&gt;"",EDATE($D55,Milestones!$AA$170)&gt;=$S55),$V55,IF(AND($R55&lt;&gt;"",EDATE($D55,Milestones!$AA$170)&gt;=$R55),$U55,$T55)))=Milestones!$AB$170),TEXT(EDATE($D55,Milestones!$AA$170),"dd/mm/yy")&amp;" "&amp;Milestones!$AB$170&amp;" "&amp;Milestones!$AC$170&amp;";  ","")&amp;IF(AND(EDATE($D55,Milestones!$AA$171)&lt;=AsOfDate,IF($Q55=0,$W55,IF(AND($S55&lt;&gt;"",EDATE($D55,Milestones!$AA$171)&gt;=$S55),$V55,IF(AND($R55&lt;&gt;"",EDATE($D55,Milestones!$AA$171)&gt;=$R55),$U55,$T55)))=Milestones!$AB$171),TEXT(EDATE($D55,Milestones!$AA$171),"dd/mm/yy")&amp;" "&amp;Milestones!$AB$171&amp;" "&amp;Milestones!$AC$171&amp;";  ","")&amp;IF(AND(EDATE($D55,Milestones!$AA$172)&lt;=AsOfDate,IF($Q55=0,$W55,IF(AND($S55&lt;&gt;"",EDATE($D55,Milestones!$AA$172)&gt;=$S55),$V55,IF(AND($R55&lt;&gt;"",EDATE($D55,Milestones!$AA$172)&gt;=$R55),$U55,$T55)))=Milestones!$AB$172),TEXT(EDATE($D55,Milestones!$AA$172),"dd/mm/yy")&amp;" "&amp;Milestones!$AB$172&amp;" "&amp;Milestones!$AC$172&amp;";  ","")&amp;IF(AND(EDATE($D55,Milestones!$AA$173)&lt;=AsOfDate,IF($Q55=0,$W55,IF(AND($S55&lt;&gt;"",EDATE($D55,Milestones!$AA$173)&gt;=$S55),$V55,IF(AND($R55&lt;&gt;"",EDATE($D55,Milestones!$AA$173)&gt;=$R55),$U55,$T55)))=Milestones!$AB$173),TEXT(EDATE($D55,Milestones!$AA$173),"dd/mm/yy")&amp;" "&amp;Milestones!$AB$173&amp;" "&amp;Milestones!$AC$173&amp;";  ","")&amp;IF(AND(EDATE($D55,Milestones!$AA$174)&lt;=AsOfDate,IF($Q55=0,$W55,IF(AND($S55&lt;&gt;"",EDATE($D55,Milestones!$AA$174)&gt;=$S55),$V55,IF(AND($R55&lt;&gt;"",EDATE($D55,Milestones!$AA$174)&gt;=$R55),$U55,$T55)))=Milestones!$AB$174),TEXT(EDATE($D55,Milestones!$AA$174),"dd/mm/yy")&amp;" "&amp;Milestones!$AB$174&amp;" "&amp;Milestones!$AC$174&amp;";  ","")&amp;IF(AND(EDATE($D55,Milestones!$AA$175)&lt;=AsOfDate,IF($Q55=0,$W55,IF(AND($S55&lt;&gt;"",EDATE($D55,Milestones!$AA$175)&gt;=$S55),$V55,IF(AND($R55&lt;&gt;"",EDATE($D55,Milestones!$AA$175)&gt;=$R55),$U55,$T55)))=Milestones!$AB$175),TEXT(EDATE($D55,Milestones!$AA$175),"dd/mm/yy")&amp;" "&amp;Milestones!$AB$175&amp;" "&amp;Milestones!$AC$175&amp;";  ","")&amp;IF(AND(EDATE($D55,Milestones!$AA$176)&lt;=AsOfDate,IF($Q55=0,$W55,IF(AND($S55&lt;&gt;"",EDATE($D55,Milestones!$AA$176)&gt;=$S55),$V55,IF(AND($R55&lt;&gt;"",EDATE($D55,Milestones!$AA$176)&gt;=$R55),$U55,$T55)))=Milestones!$AB$176),TEXT(EDATE($D55,Milestones!$AA$176),"dd/mm/yy")&amp;" "&amp;Milestones!$AB$176&amp;" "&amp;Milestones!$AC$176&amp;";  ","")&amp;IF(AND(EDATE($D55,Milestones!$AA$177)&lt;=AsOfDate,IF($Q55=0,$W55,IF(AND($S55&lt;&gt;"",EDATE($D55,Milestones!$AA$177)&gt;=$S55),$V55,IF(AND($R55&lt;&gt;"",EDATE($D55,Milestones!$AA$177)&gt;=$R55),$U55,$T55)))=Milestones!$AB$177),TEXT(EDATE($D55,Milestones!$AA$177),"dd/mm/yy")&amp;" "&amp;Milestones!$AB$177&amp;" "&amp;Milestones!$AC$177&amp;";  ","")&amp;IF(AND(EDATE($D55,Milestones!$AA$178)&lt;=AsOfDate,IF($Q55=0,$W55,IF(AND($S55&lt;&gt;"",EDATE($D55,Milestones!$AA$178)&gt;=$S55),$V55,IF(AND($R55&lt;&gt;"",EDATE($D55,Milestones!$AA$178)&gt;=$R55),$U55,$T55)))=Milestones!$AB$178),TEXT(EDATE($D55,Milestones!$AA$178),"dd/mm/yy")&amp;" "&amp;Milestones!$AB$178&amp;" "&amp;Milestones!$AC$178&amp;";  ","")&amp;IF(AND(EDATE($D55,Milestones!$AA$179)&lt;=AsOfDate,IF($Q55=0,$W55,IF(AND($S55&lt;&gt;"",EDATE($D55,Milestones!$AA$179)&gt;=$S55),$V55,IF(AND($R55&lt;&gt;"",EDATE($D55,Milestones!$AA$179)&gt;=$R55),$U55,$T55)))=Milestones!$AB$179),TEXT(EDATE($D55,Milestones!$AA$179),"dd/mm/yy")&amp;" "&amp;Milestones!$AB$179&amp;" "&amp;Milestones!$AC$179&amp;";  ",""))</f>
        <v/>
      </c>
      <c r="P55" s="0" t="str">
        <f aca="false">IF(OR($A55="",$D55=""),"",IF(AND(EDATE($D55,Milestones!$AA$180)&lt;=AsOfDate,IF($Q55=0,$W55,IF(AND($S55&lt;&gt;"",EDATE($D55,Milestones!$AA$180)&gt;=$S55),$V55,IF(AND($R55&lt;&gt;"",EDATE($D55,Milestones!$AA$180)&gt;=$R55),$U55,$T55)))=Milestones!$AB$180),TEXT(EDATE($D55,Milestones!$AA$180),"dd/mm/yy")&amp;" "&amp;Milestones!$AB$180&amp;" "&amp;Milestones!$AC$180&amp;";  ","")&amp;IF(AND(EDATE($D55,Milestones!$AA$181)&lt;=AsOfDate,IF($Q55=0,$W55,IF(AND($S55&lt;&gt;"",EDATE($D55,Milestones!$AA$181)&gt;=$S55),$V55,IF(AND($R55&lt;&gt;"",EDATE($D55,Milestones!$AA$181)&gt;=$R55),$U55,$T55)))=Milestones!$AB$181),TEXT(EDATE($D55,Milestones!$AA$181),"dd/mm/yy")&amp;" "&amp;Milestones!$AB$181&amp;" "&amp;Milestones!$AC$181&amp;";  ","")&amp;IF(AND(EDATE($D55,Milestones!$AA$182)&lt;=AsOfDate,IF($Q55=0,$W55,IF(AND($S55&lt;&gt;"",EDATE($D55,Milestones!$AA$182)&gt;=$S55),$V55,IF(AND($R55&lt;&gt;"",EDATE($D55,Milestones!$AA$182)&gt;=$R55),$U55,$T55)))=Milestones!$AB$182),TEXT(EDATE($D55,Milestones!$AA$182),"dd/mm/yy")&amp;" "&amp;Milestones!$AB$182&amp;" "&amp;Milestones!$AC$182&amp;";  ","")&amp;IF(AND(EDATE($D55,Milestones!$AA$183)&lt;=AsOfDate,IF($Q55=0,$W55,IF(AND($S55&lt;&gt;"",EDATE($D55,Milestones!$AA$183)&gt;=$S55),$V55,IF(AND($R55&lt;&gt;"",EDATE($D55,Milestones!$AA$183)&gt;=$R55),$U55,$T55)))=Milestones!$AB$183),TEXT(EDATE($D55,Milestones!$AA$183),"dd/mm/yy")&amp;" "&amp;Milestones!$AB$183&amp;" "&amp;Milestones!$AC$183&amp;";  ","")&amp;IF(AND(EDATE($D55,Milestones!$AA$184)&lt;=AsOfDate,IF($Q55=0,$W55,IF(AND($S55&lt;&gt;"",EDATE($D55,Milestones!$AA$184)&gt;=$S55),$V55,IF(AND($R55&lt;&gt;"",EDATE($D55,Milestones!$AA$184)&gt;=$R55),$U55,$T55)))=Milestones!$AB$184),TEXT(EDATE($D55,Milestones!$AA$184),"dd/mm/yy")&amp;" "&amp;Milestones!$AB$184&amp;" "&amp;Milestones!$AC$184&amp;";  ","")&amp;IF(AND(EDATE($D55,Milestones!$AA$185)&lt;=AsOfDate,IF($Q55=0,$W55,IF(AND($S55&lt;&gt;"",EDATE($D55,Milestones!$AA$185)&gt;=$S55),$V55,IF(AND($R55&lt;&gt;"",EDATE($D55,Milestones!$AA$185)&gt;=$R55),$U55,$T55)))=Milestones!$AB$185),TEXT(EDATE($D55,Milestones!$AA$185),"dd/mm/yy")&amp;" "&amp;Milestones!$AB$185&amp;" "&amp;Milestones!$AC$185&amp;";  ","")&amp;IF(AND(EDATE($D55,Milestones!$AA$186)&lt;=AsOfDate,IF($Q55=0,$W55,IF(AND($S55&lt;&gt;"",EDATE($D55,Milestones!$AA$186)&gt;=$S55),$V55,IF(AND($R55&lt;&gt;"",EDATE($D55,Milestones!$AA$186)&gt;=$R55),$U55,$T55)))=Milestones!$AB$186),TEXT(EDATE($D55,Milestones!$AA$186),"dd/mm/yy")&amp;" "&amp;Milestones!$AB$186&amp;" "&amp;Milestones!$AC$186&amp;";  ","")&amp;IF(AND(EDATE($D55,Milestones!$AA$187)&lt;=AsOfDate,IF($Q55=0,$W55,IF(AND($S55&lt;&gt;"",EDATE($D55,Milestones!$AA$187)&gt;=$S55),$V55,IF(AND($R55&lt;&gt;"",EDATE($D55,Milestones!$AA$187)&gt;=$R55),$U55,$T55)))=Milestones!$AB$187),TEXT(EDATE($D55,Milestones!$AA$187),"dd/mm/yy")&amp;" "&amp;Milestones!$AB$187&amp;" "&amp;Milestones!$AC$187&amp;";  ","")&amp;IF(AND(EDATE($D55,Milestones!$AA$188)&lt;=AsOfDate,IF($Q55=0,$W55,IF(AND($S55&lt;&gt;"",EDATE($D55,Milestones!$AA$188)&gt;=$S55),$V55,IF(AND($R55&lt;&gt;"",EDATE($D55,Milestones!$AA$188)&gt;=$R55),$U55,$T55)))=Milestones!$AB$188),TEXT(EDATE($D55,Milestones!$AA$188),"dd/mm/yy")&amp;" "&amp;Milestones!$AB$188&amp;" "&amp;Milestones!$AC$188&amp;";  ","")&amp;IF(AND(EDATE($D55,Milestones!$AA$189)&lt;=AsOfDate,IF($Q55=0,$W55,IF(AND($S55&lt;&gt;"",EDATE($D55,Milestones!$AA$189)&gt;=$S55),$V55,IF(AND($R55&lt;&gt;"",EDATE($D55,Milestones!$AA$189)&gt;=$R55),$U55,$T55)))=Milestones!$AB$189),TEXT(EDATE($D55,Milestones!$AA$189),"dd/mm/yy")&amp;" "&amp;Milestones!$AB$189&amp;" "&amp;Milestones!$AC$189&amp;";  ","")&amp;IF(AND(EDATE($D55,Milestones!$AA$190)&lt;=AsOfDate,IF($Q55=0,$W55,IF(AND($S55&lt;&gt;"",EDATE($D55,Milestones!$AA$190)&gt;=$S55),$V55,IF(AND($R55&lt;&gt;"",EDATE($D55,Milestones!$AA$190)&gt;=$R55),$U55,$T55)))=Milestones!$AB$190),TEXT(EDATE($D55,Milestones!$AA$190),"dd/mm/yy")&amp;" "&amp;Milestones!$AB$190&amp;" "&amp;Milestones!$AC$190&amp;";  ","")&amp;IF(AND(EDATE($D55,Milestones!$AA$191)&lt;=AsOfDate,IF($Q55=0,$W55,IF(AND($S55&lt;&gt;"",EDATE($D55,Milestones!$AA$191)&gt;=$S55),$V55,IF(AND($R55&lt;&gt;"",EDATE($D55,Milestones!$AA$191)&gt;=$R55),$U55,$T55)))=Milestones!$AB$191),TEXT(EDATE($D55,Milestones!$AA$191),"dd/mm/yy")&amp;" "&amp;Milestones!$AB$191&amp;" "&amp;Milestones!$AC$191&amp;";  ","")&amp;IF(AND(EDATE($D55,Milestones!$AA$192)&lt;=AsOfDate,IF($Q55=0,$W55,IF(AND($S55&lt;&gt;"",EDATE($D55,Milestones!$AA$192)&gt;=$S55),$V55,IF(AND($R55&lt;&gt;"",EDATE($D55,Milestones!$AA$192)&gt;=$R55),$U55,$T55)))=Milestones!$AB$192),TEXT(EDATE($D55,Milestones!$AA$192),"dd/mm/yy")&amp;" "&amp;Milestones!$AB$192&amp;" "&amp;Milestones!$AC$192&amp;";  ","")&amp;IF(AND(EDATE($D55,Milestones!$AA$193)&lt;=AsOfDate,IF($Q55=0,$W55,IF(AND($S55&lt;&gt;"",EDATE($D55,Milestones!$AA$193)&gt;=$S55),$V55,IF(AND($R55&lt;&gt;"",EDATE($D55,Milestones!$AA$193)&gt;=$R55),$U55,$T55)))=Milestones!$AB$193),TEXT(EDATE($D55,Milestones!$AA$193),"dd/mm/yy")&amp;" "&amp;Milestones!$AB$193&amp;" "&amp;Milestones!$AC$193&amp;";  ","")&amp;IF(AND(EDATE($D55,Milestones!$AA$194)&lt;=AsOfDate,IF($Q55=0,$W55,IF(AND($S55&lt;&gt;"",EDATE($D55,Milestones!$AA$194)&gt;=$S55),$V55,IF(AND($R55&lt;&gt;"",EDATE($D55,Milestones!$AA$194)&gt;=$R55),$U55,$T55)))=Milestones!$AB$194),TEXT(EDATE($D55,Milestones!$AA$194),"dd/mm/yy")&amp;" "&amp;Milestones!$AB$194&amp;" "&amp;Milestones!$AC$194&amp;";  ","")&amp;IF(AND(EDATE($D55,Milestones!$AA$195)&lt;=AsOfDate,IF($Q55=0,$W55,IF(AND($S55&lt;&gt;"",EDATE($D55,Milestones!$AA$195)&gt;=$S55),$V55,IF(AND($R55&lt;&gt;"",EDATE($D55,Milestones!$AA$195)&gt;=$R55),$U55,$T55)))=Milestones!$AB$195),TEXT(EDATE($D55,Milestones!$AA$195),"dd/mm/yy")&amp;" "&amp;Milestones!$AB$195&amp;" "&amp;Milestones!$AC$195&amp;";  ","")&amp;IF(AND(EDATE($D55,Milestones!$AA$196)&lt;=AsOfDate,IF($Q55=0,$W55,IF(AND($S55&lt;&gt;"",EDATE($D55,Milestones!$AA$196)&gt;=$S55),$V55,IF(AND($R55&lt;&gt;"",EDATE($D55,Milestones!$AA$196)&gt;=$R55),$U55,$T55)))=Milestones!$AB$196),TEXT(EDATE($D55,Milestones!$AA$196),"dd/mm/yy")&amp;" "&amp;Milestones!$AB$196&amp;" "&amp;Milestones!$AC$196&amp;";  ","")&amp;IF(AND(EDATE($D55,Milestones!$AA$197)&lt;=AsOfDate,IF($Q55=0,$W55,IF(AND($S55&lt;&gt;"",EDATE($D55,Milestones!$AA$197)&gt;=$S55),$V55,IF(AND($R55&lt;&gt;"",EDATE($D55,Milestones!$AA$197)&gt;=$R55),$U55,$T55)))=Milestones!$AB$197),TEXT(EDATE($D55,Milestones!$AA$197),"dd/mm/yy")&amp;" "&amp;Milestones!$AB$197&amp;" "&amp;Milestones!$AC$197&amp;";  ","")&amp;IF(AND(EDATE($D55,Milestones!$AA$198)&lt;=AsOfDate,IF($Q55=0,$W55,IF(AND($S55&lt;&gt;"",EDATE($D55,Milestones!$AA$198)&gt;=$S55),$V55,IF(AND($R55&lt;&gt;"",EDATE($D55,Milestones!$AA$198)&gt;=$R55),$U55,$T55)))=Milestones!$AB$198),TEXT(EDATE($D55,Milestones!$AA$198),"dd/mm/yy")&amp;" "&amp;Milestones!$AB$198&amp;" "&amp;Milestones!$AC$198&amp;";  ","")&amp;IF(AND(EDATE($D55,Milestones!$AA$199)&lt;=AsOfDate,IF($Q55=0,$W55,IF(AND($S55&lt;&gt;"",EDATE($D55,Milestones!$AA$199)&gt;=$S55),$V55,IF(AND($R55&lt;&gt;"",EDATE($D55,Milestones!$AA$199)&gt;=$R55),$U55,$T55)))=Milestones!$AB$199),TEXT(EDATE($D55,Milestones!$AA$199),"dd/mm/yy")&amp;" "&amp;Milestones!$AB$199&amp;" "&amp;Milestones!$AC$199&amp;";  ",""))</f>
        <v/>
      </c>
      <c r="Q55" s="0" t="str">
        <f aca="false">IF(Staff!$A55="","",Staff!$AG55)</f>
        <v/>
      </c>
      <c r="R55" s="0" t="str">
        <f aca="false">IF(Staff!$A55="","",Staff!$AI55)</f>
        <v/>
      </c>
      <c r="S55" s="0" t="str">
        <f aca="false">IF(Staff!$A55="","",Staff!$AJ55)</f>
        <v/>
      </c>
      <c r="T55" s="0" t="str">
        <f aca="false">IF(Staff!$A55="","",Staff!$AN55)</f>
        <v/>
      </c>
      <c r="U55" s="0" t="str">
        <f aca="false">IF(Staff!$A55="","",Staff!$AO55)</f>
        <v/>
      </c>
      <c r="V55" s="0" t="str">
        <f aca="false">IF(Staff!$A55="","",Staff!$AP55)</f>
        <v/>
      </c>
      <c r="W55" s="0" t="str">
        <f aca="false">IF(Staff!$A55="","",Staff!$AQ55)</f>
        <v/>
      </c>
    </row>
    <row r="56" customFormat="false" ht="15" hidden="false" customHeight="false" outlineLevel="0" collapsed="false">
      <c r="A56" s="13" t="str">
        <f aca="false">IF(Staff!$A56="","",Staff!$A56)</f>
        <v/>
      </c>
      <c r="B56" s="13" t="str">
        <f aca="false">IF(Staff!$A56="","",Staff!$B56)</f>
        <v/>
      </c>
      <c r="C56" s="13" t="str">
        <f aca="false">IF(Staff!$A56="","",Staff!$C56)</f>
        <v/>
      </c>
      <c r="D56" s="11" t="str">
        <f aca="false">IF(Staff!$A56="","",Staff!$AF56)</f>
        <v/>
      </c>
      <c r="E56" s="13" t="str">
        <f aca="false">IF(Staff!$A56="","",Staff!$O56)</f>
        <v/>
      </c>
      <c r="F56" s="13" t="str">
        <f aca="false">IF(E56="","",E56*HoursPerDay)</f>
        <v/>
      </c>
      <c r="G56" s="26" t="str">
        <f aca="false">IF($A56="","",H56&amp;I56&amp;J56&amp;K56&amp;L56&amp;M56&amp;N56&amp;O56&amp;P56)</f>
        <v/>
      </c>
      <c r="H56" s="0" t="str">
        <f aca="false">IF(OR($A56="",$D56=""),"",IF(AND(EDATE($D56,Milestones!$AA$20)&lt;=AsOfDate,IF($Q56=0,$W56,IF(AND($S56&lt;&gt;"",EDATE($D56,Milestones!$AA$20)&gt;=$S56),$V56,IF(AND($R56&lt;&gt;"",EDATE($D56,Milestones!$AA$20)&gt;=$R56),$U56,$T56)))=Milestones!$AB$20),TEXT(EDATE($D56,Milestones!$AA$20),"dd/mm/yy")&amp;" "&amp;Milestones!$AB$20&amp;" "&amp;Milestones!$AC$20&amp;";  ","")&amp;IF(AND(EDATE($D56,Milestones!$AA$21)&lt;=AsOfDate,IF($Q56=0,$W56,IF(AND($S56&lt;&gt;"",EDATE($D56,Milestones!$AA$21)&gt;=$S56),$V56,IF(AND($R56&lt;&gt;"",EDATE($D56,Milestones!$AA$21)&gt;=$R56),$U56,$T56)))=Milestones!$AB$21),TEXT(EDATE($D56,Milestones!$AA$21),"dd/mm/yy")&amp;" "&amp;Milestones!$AB$21&amp;" "&amp;Milestones!$AC$21&amp;";  ","")&amp;IF(AND(EDATE($D56,Milestones!$AA$22)&lt;=AsOfDate,IF($Q56=0,$W56,IF(AND($S56&lt;&gt;"",EDATE($D56,Milestones!$AA$22)&gt;=$S56),$V56,IF(AND($R56&lt;&gt;"",EDATE($D56,Milestones!$AA$22)&gt;=$R56),$U56,$T56)))=Milestones!$AB$22),TEXT(EDATE($D56,Milestones!$AA$22),"dd/mm/yy")&amp;" "&amp;Milestones!$AB$22&amp;" "&amp;Milestones!$AC$22&amp;";  ","")&amp;IF(AND(EDATE($D56,Milestones!$AA$23)&lt;=AsOfDate,IF($Q56=0,$W56,IF(AND($S56&lt;&gt;"",EDATE($D56,Milestones!$AA$23)&gt;=$S56),$V56,IF(AND($R56&lt;&gt;"",EDATE($D56,Milestones!$AA$23)&gt;=$R56),$U56,$T56)))=Milestones!$AB$23),TEXT(EDATE($D56,Milestones!$AA$23),"dd/mm/yy")&amp;" "&amp;Milestones!$AB$23&amp;" "&amp;Milestones!$AC$23&amp;";  ","")&amp;IF(AND(EDATE($D56,Milestones!$AA$24)&lt;=AsOfDate,IF($Q56=0,$W56,IF(AND($S56&lt;&gt;"",EDATE($D56,Milestones!$AA$24)&gt;=$S56),$V56,IF(AND($R56&lt;&gt;"",EDATE($D56,Milestones!$AA$24)&gt;=$R56),$U56,$T56)))=Milestones!$AB$24),TEXT(EDATE($D56,Milestones!$AA$24),"dd/mm/yy")&amp;" "&amp;Milestones!$AB$24&amp;" "&amp;Milestones!$AC$24&amp;";  ","")&amp;IF(AND(EDATE($D56,Milestones!$AA$25)&lt;=AsOfDate,IF($Q56=0,$W56,IF(AND($S56&lt;&gt;"",EDATE($D56,Milestones!$AA$25)&gt;=$S56),$V56,IF(AND($R56&lt;&gt;"",EDATE($D56,Milestones!$AA$25)&gt;=$R56),$U56,$T56)))=Milestones!$AB$25),TEXT(EDATE($D56,Milestones!$AA$25),"dd/mm/yy")&amp;" "&amp;Milestones!$AB$25&amp;" "&amp;Milestones!$AC$25&amp;";  ","")&amp;IF(AND(EDATE($D56,Milestones!$AA$26)&lt;=AsOfDate,IF($Q56=0,$W56,IF(AND($S56&lt;&gt;"",EDATE($D56,Milestones!$AA$26)&gt;=$S56),$V56,IF(AND($R56&lt;&gt;"",EDATE($D56,Milestones!$AA$26)&gt;=$R56),$U56,$T56)))=Milestones!$AB$26),TEXT(EDATE($D56,Milestones!$AA$26),"dd/mm/yy")&amp;" "&amp;Milestones!$AB$26&amp;" "&amp;Milestones!$AC$26&amp;";  ","")&amp;IF(AND(EDATE($D56,Milestones!$AA$27)&lt;=AsOfDate,IF($Q56=0,$W56,IF(AND($S56&lt;&gt;"",EDATE($D56,Milestones!$AA$27)&gt;=$S56),$V56,IF(AND($R56&lt;&gt;"",EDATE($D56,Milestones!$AA$27)&gt;=$R56),$U56,$T56)))=Milestones!$AB$27),TEXT(EDATE($D56,Milestones!$AA$27),"dd/mm/yy")&amp;" "&amp;Milestones!$AB$27&amp;" "&amp;Milestones!$AC$27&amp;";  ","")&amp;IF(AND(EDATE($D56,Milestones!$AA$28)&lt;=AsOfDate,IF($Q56=0,$W56,IF(AND($S56&lt;&gt;"",EDATE($D56,Milestones!$AA$28)&gt;=$S56),$V56,IF(AND($R56&lt;&gt;"",EDATE($D56,Milestones!$AA$28)&gt;=$R56),$U56,$T56)))=Milestones!$AB$28),TEXT(EDATE($D56,Milestones!$AA$28),"dd/mm/yy")&amp;" "&amp;Milestones!$AB$28&amp;" "&amp;Milestones!$AC$28&amp;";  ","")&amp;IF(AND(EDATE($D56,Milestones!$AA$29)&lt;=AsOfDate,IF($Q56=0,$W56,IF(AND($S56&lt;&gt;"",EDATE($D56,Milestones!$AA$29)&gt;=$S56),$V56,IF(AND($R56&lt;&gt;"",EDATE($D56,Milestones!$AA$29)&gt;=$R56),$U56,$T56)))=Milestones!$AB$29),TEXT(EDATE($D56,Milestones!$AA$29),"dd/mm/yy")&amp;" "&amp;Milestones!$AB$29&amp;" "&amp;Milestones!$AC$29&amp;";  ","")&amp;IF(AND(EDATE($D56,Milestones!$AA$30)&lt;=AsOfDate,IF($Q56=0,$W56,IF(AND($S56&lt;&gt;"",EDATE($D56,Milestones!$AA$30)&gt;=$S56),$V56,IF(AND($R56&lt;&gt;"",EDATE($D56,Milestones!$AA$30)&gt;=$R56),$U56,$T56)))=Milestones!$AB$30),TEXT(EDATE($D56,Milestones!$AA$30),"dd/mm/yy")&amp;" "&amp;Milestones!$AB$30&amp;" "&amp;Milestones!$AC$30&amp;";  ","")&amp;IF(AND(EDATE($D56,Milestones!$AA$31)&lt;=AsOfDate,IF($Q56=0,$W56,IF(AND($S56&lt;&gt;"",EDATE($D56,Milestones!$AA$31)&gt;=$S56),$V56,IF(AND($R56&lt;&gt;"",EDATE($D56,Milestones!$AA$31)&gt;=$R56),$U56,$T56)))=Milestones!$AB$31),TEXT(EDATE($D56,Milestones!$AA$31),"dd/mm/yy")&amp;" "&amp;Milestones!$AB$31&amp;" "&amp;Milestones!$AC$31&amp;";  ","")&amp;IF(AND(EDATE($D56,Milestones!$AA$32)&lt;=AsOfDate,IF($Q56=0,$W56,IF(AND($S56&lt;&gt;"",EDATE($D56,Milestones!$AA$32)&gt;=$S56),$V56,IF(AND($R56&lt;&gt;"",EDATE($D56,Milestones!$AA$32)&gt;=$R56),$U56,$T56)))=Milestones!$AB$32),TEXT(EDATE($D56,Milestones!$AA$32),"dd/mm/yy")&amp;" "&amp;Milestones!$AB$32&amp;" "&amp;Milestones!$AC$32&amp;";  ","")&amp;IF(AND(EDATE($D56,Milestones!$AA$33)&lt;=AsOfDate,IF($Q56=0,$W56,IF(AND($S56&lt;&gt;"",EDATE($D56,Milestones!$AA$33)&gt;=$S56),$V56,IF(AND($R56&lt;&gt;"",EDATE($D56,Milestones!$AA$33)&gt;=$R56),$U56,$T56)))=Milestones!$AB$33),TEXT(EDATE($D56,Milestones!$AA$33),"dd/mm/yy")&amp;" "&amp;Milestones!$AB$33&amp;" "&amp;Milestones!$AC$33&amp;";  ","")&amp;IF(AND(EDATE($D56,Milestones!$AA$34)&lt;=AsOfDate,IF($Q56=0,$W56,IF(AND($S56&lt;&gt;"",EDATE($D56,Milestones!$AA$34)&gt;=$S56),$V56,IF(AND($R56&lt;&gt;"",EDATE($D56,Milestones!$AA$34)&gt;=$R56),$U56,$T56)))=Milestones!$AB$34),TEXT(EDATE($D56,Milestones!$AA$34),"dd/mm/yy")&amp;" "&amp;Milestones!$AB$34&amp;" "&amp;Milestones!$AC$34&amp;";  ","")&amp;IF(AND(EDATE($D56,Milestones!$AA$35)&lt;=AsOfDate,IF($Q56=0,$W56,IF(AND($S56&lt;&gt;"",EDATE($D56,Milestones!$AA$35)&gt;=$S56),$V56,IF(AND($R56&lt;&gt;"",EDATE($D56,Milestones!$AA$35)&gt;=$R56),$U56,$T56)))=Milestones!$AB$35),TEXT(EDATE($D56,Milestones!$AA$35),"dd/mm/yy")&amp;" "&amp;Milestones!$AB$35&amp;" "&amp;Milestones!$AC$35&amp;";  ","")&amp;IF(AND(EDATE($D56,Milestones!$AA$36)&lt;=AsOfDate,IF($Q56=0,$W56,IF(AND($S56&lt;&gt;"",EDATE($D56,Milestones!$AA$36)&gt;=$S56),$V56,IF(AND($R56&lt;&gt;"",EDATE($D56,Milestones!$AA$36)&gt;=$R56),$U56,$T56)))=Milestones!$AB$36),TEXT(EDATE($D56,Milestones!$AA$36),"dd/mm/yy")&amp;" "&amp;Milestones!$AB$36&amp;" "&amp;Milestones!$AC$36&amp;";  ","")&amp;IF(AND(EDATE($D56,Milestones!$AA$37)&lt;=AsOfDate,IF($Q56=0,$W56,IF(AND($S56&lt;&gt;"",EDATE($D56,Milestones!$AA$37)&gt;=$S56),$V56,IF(AND($R56&lt;&gt;"",EDATE($D56,Milestones!$AA$37)&gt;=$R56),$U56,$T56)))=Milestones!$AB$37),TEXT(EDATE($D56,Milestones!$AA$37),"dd/mm/yy")&amp;" "&amp;Milestones!$AB$37&amp;" "&amp;Milestones!$AC$37&amp;";  ","")&amp;IF(AND(EDATE($D56,Milestones!$AA$38)&lt;=AsOfDate,IF($Q56=0,$W56,IF(AND($S56&lt;&gt;"",EDATE($D56,Milestones!$AA$38)&gt;=$S56),$V56,IF(AND($R56&lt;&gt;"",EDATE($D56,Milestones!$AA$38)&gt;=$R56),$U56,$T56)))=Milestones!$AB$38),TEXT(EDATE($D56,Milestones!$AA$38),"dd/mm/yy")&amp;" "&amp;Milestones!$AB$38&amp;" "&amp;Milestones!$AC$38&amp;";  ","")&amp;IF(AND(EDATE($D56,Milestones!$AA$39)&lt;=AsOfDate,IF($Q56=0,$W56,IF(AND($S56&lt;&gt;"",EDATE($D56,Milestones!$AA$39)&gt;=$S56),$V56,IF(AND($R56&lt;&gt;"",EDATE($D56,Milestones!$AA$39)&gt;=$R56),$U56,$T56)))=Milestones!$AB$39),TEXT(EDATE($D56,Milestones!$AA$39),"dd/mm/yy")&amp;" "&amp;Milestones!$AB$39&amp;" "&amp;Milestones!$AC$39&amp;";  ",""))</f>
        <v/>
      </c>
      <c r="I56" s="0" t="str">
        <f aca="false">IF(OR($A56="",$D56=""),"",IF(AND(EDATE($D56,Milestones!$AA$40)&lt;=AsOfDate,IF($Q56=0,$W56,IF(AND($S56&lt;&gt;"",EDATE($D56,Milestones!$AA$40)&gt;=$S56),$V56,IF(AND($R56&lt;&gt;"",EDATE($D56,Milestones!$AA$40)&gt;=$R56),$U56,$T56)))=Milestones!$AB$40),TEXT(EDATE($D56,Milestones!$AA$40),"dd/mm/yy")&amp;" "&amp;Milestones!$AB$40&amp;" "&amp;Milestones!$AC$40&amp;";  ","")&amp;IF(AND(EDATE($D56,Milestones!$AA$41)&lt;=AsOfDate,IF($Q56=0,$W56,IF(AND($S56&lt;&gt;"",EDATE($D56,Milestones!$AA$41)&gt;=$S56),$V56,IF(AND($R56&lt;&gt;"",EDATE($D56,Milestones!$AA$41)&gt;=$R56),$U56,$T56)))=Milestones!$AB$41),TEXT(EDATE($D56,Milestones!$AA$41),"dd/mm/yy")&amp;" "&amp;Milestones!$AB$41&amp;" "&amp;Milestones!$AC$41&amp;";  ","")&amp;IF(AND(EDATE($D56,Milestones!$AA$42)&lt;=AsOfDate,IF($Q56=0,$W56,IF(AND($S56&lt;&gt;"",EDATE($D56,Milestones!$AA$42)&gt;=$S56),$V56,IF(AND($R56&lt;&gt;"",EDATE($D56,Milestones!$AA$42)&gt;=$R56),$U56,$T56)))=Milestones!$AB$42),TEXT(EDATE($D56,Milestones!$AA$42),"dd/mm/yy")&amp;" "&amp;Milestones!$AB$42&amp;" "&amp;Milestones!$AC$42&amp;";  ","")&amp;IF(AND(EDATE($D56,Milestones!$AA$43)&lt;=AsOfDate,IF($Q56=0,$W56,IF(AND($S56&lt;&gt;"",EDATE($D56,Milestones!$AA$43)&gt;=$S56),$V56,IF(AND($R56&lt;&gt;"",EDATE($D56,Milestones!$AA$43)&gt;=$R56),$U56,$T56)))=Milestones!$AB$43),TEXT(EDATE($D56,Milestones!$AA$43),"dd/mm/yy")&amp;" "&amp;Milestones!$AB$43&amp;" "&amp;Milestones!$AC$43&amp;";  ","")&amp;IF(AND(EDATE($D56,Milestones!$AA$44)&lt;=AsOfDate,IF($Q56=0,$W56,IF(AND($S56&lt;&gt;"",EDATE($D56,Milestones!$AA$44)&gt;=$S56),$V56,IF(AND($R56&lt;&gt;"",EDATE($D56,Milestones!$AA$44)&gt;=$R56),$U56,$T56)))=Milestones!$AB$44),TEXT(EDATE($D56,Milestones!$AA$44),"dd/mm/yy")&amp;" "&amp;Milestones!$AB$44&amp;" "&amp;Milestones!$AC$44&amp;";  ","")&amp;IF(AND(EDATE($D56,Milestones!$AA$45)&lt;=AsOfDate,IF($Q56=0,$W56,IF(AND($S56&lt;&gt;"",EDATE($D56,Milestones!$AA$45)&gt;=$S56),$V56,IF(AND($R56&lt;&gt;"",EDATE($D56,Milestones!$AA$45)&gt;=$R56),$U56,$T56)))=Milestones!$AB$45),TEXT(EDATE($D56,Milestones!$AA$45),"dd/mm/yy")&amp;" "&amp;Milestones!$AB$45&amp;" "&amp;Milestones!$AC$45&amp;";  ","")&amp;IF(AND(EDATE($D56,Milestones!$AA$46)&lt;=AsOfDate,IF($Q56=0,$W56,IF(AND($S56&lt;&gt;"",EDATE($D56,Milestones!$AA$46)&gt;=$S56),$V56,IF(AND($R56&lt;&gt;"",EDATE($D56,Milestones!$AA$46)&gt;=$R56),$U56,$T56)))=Milestones!$AB$46),TEXT(EDATE($D56,Milestones!$AA$46),"dd/mm/yy")&amp;" "&amp;Milestones!$AB$46&amp;" "&amp;Milestones!$AC$46&amp;";  ","")&amp;IF(AND(EDATE($D56,Milestones!$AA$47)&lt;=AsOfDate,IF($Q56=0,$W56,IF(AND($S56&lt;&gt;"",EDATE($D56,Milestones!$AA$47)&gt;=$S56),$V56,IF(AND($R56&lt;&gt;"",EDATE($D56,Milestones!$AA$47)&gt;=$R56),$U56,$T56)))=Milestones!$AB$47),TEXT(EDATE($D56,Milestones!$AA$47),"dd/mm/yy")&amp;" "&amp;Milestones!$AB$47&amp;" "&amp;Milestones!$AC$47&amp;";  ","")&amp;IF(AND(EDATE($D56,Milestones!$AA$48)&lt;=AsOfDate,IF($Q56=0,$W56,IF(AND($S56&lt;&gt;"",EDATE($D56,Milestones!$AA$48)&gt;=$S56),$V56,IF(AND($R56&lt;&gt;"",EDATE($D56,Milestones!$AA$48)&gt;=$R56),$U56,$T56)))=Milestones!$AB$48),TEXT(EDATE($D56,Milestones!$AA$48),"dd/mm/yy")&amp;" "&amp;Milestones!$AB$48&amp;" "&amp;Milestones!$AC$48&amp;";  ","")&amp;IF(AND(EDATE($D56,Milestones!$AA$49)&lt;=AsOfDate,IF($Q56=0,$W56,IF(AND($S56&lt;&gt;"",EDATE($D56,Milestones!$AA$49)&gt;=$S56),$V56,IF(AND($R56&lt;&gt;"",EDATE($D56,Milestones!$AA$49)&gt;=$R56),$U56,$T56)))=Milestones!$AB$49),TEXT(EDATE($D56,Milestones!$AA$49),"dd/mm/yy")&amp;" "&amp;Milestones!$AB$49&amp;" "&amp;Milestones!$AC$49&amp;";  ","")&amp;IF(AND(EDATE($D56,Milestones!$AA$50)&lt;=AsOfDate,IF($Q56=0,$W56,IF(AND($S56&lt;&gt;"",EDATE($D56,Milestones!$AA$50)&gt;=$S56),$V56,IF(AND($R56&lt;&gt;"",EDATE($D56,Milestones!$AA$50)&gt;=$R56),$U56,$T56)))=Milestones!$AB$50),TEXT(EDATE($D56,Milestones!$AA$50),"dd/mm/yy")&amp;" "&amp;Milestones!$AB$50&amp;" "&amp;Milestones!$AC$50&amp;";  ","")&amp;IF(AND(EDATE($D56,Milestones!$AA$51)&lt;=AsOfDate,IF($Q56=0,$W56,IF(AND($S56&lt;&gt;"",EDATE($D56,Milestones!$AA$51)&gt;=$S56),$V56,IF(AND($R56&lt;&gt;"",EDATE($D56,Milestones!$AA$51)&gt;=$R56),$U56,$T56)))=Milestones!$AB$51),TEXT(EDATE($D56,Milestones!$AA$51),"dd/mm/yy")&amp;" "&amp;Milestones!$AB$51&amp;" "&amp;Milestones!$AC$51&amp;";  ","")&amp;IF(AND(EDATE($D56,Milestones!$AA$52)&lt;=AsOfDate,IF($Q56=0,$W56,IF(AND($S56&lt;&gt;"",EDATE($D56,Milestones!$AA$52)&gt;=$S56),$V56,IF(AND($R56&lt;&gt;"",EDATE($D56,Milestones!$AA$52)&gt;=$R56),$U56,$T56)))=Milestones!$AB$52),TEXT(EDATE($D56,Milestones!$AA$52),"dd/mm/yy")&amp;" "&amp;Milestones!$AB$52&amp;" "&amp;Milestones!$AC$52&amp;";  ","")&amp;IF(AND(EDATE($D56,Milestones!$AA$53)&lt;=AsOfDate,IF($Q56=0,$W56,IF(AND($S56&lt;&gt;"",EDATE($D56,Milestones!$AA$53)&gt;=$S56),$V56,IF(AND($R56&lt;&gt;"",EDATE($D56,Milestones!$AA$53)&gt;=$R56),$U56,$T56)))=Milestones!$AB$53),TEXT(EDATE($D56,Milestones!$AA$53),"dd/mm/yy")&amp;" "&amp;Milestones!$AB$53&amp;" "&amp;Milestones!$AC$53&amp;";  ","")&amp;IF(AND(EDATE($D56,Milestones!$AA$54)&lt;=AsOfDate,IF($Q56=0,$W56,IF(AND($S56&lt;&gt;"",EDATE($D56,Milestones!$AA$54)&gt;=$S56),$V56,IF(AND($R56&lt;&gt;"",EDATE($D56,Milestones!$AA$54)&gt;=$R56),$U56,$T56)))=Milestones!$AB$54),TEXT(EDATE($D56,Milestones!$AA$54),"dd/mm/yy")&amp;" "&amp;Milestones!$AB$54&amp;" "&amp;Milestones!$AC$54&amp;";  ","")&amp;IF(AND(EDATE($D56,Milestones!$AA$55)&lt;=AsOfDate,IF($Q56=0,$W56,IF(AND($S56&lt;&gt;"",EDATE($D56,Milestones!$AA$55)&gt;=$S56),$V56,IF(AND($R56&lt;&gt;"",EDATE($D56,Milestones!$AA$55)&gt;=$R56),$U56,$T56)))=Milestones!$AB$55),TEXT(EDATE($D56,Milestones!$AA$55),"dd/mm/yy")&amp;" "&amp;Milestones!$AB$55&amp;" "&amp;Milestones!$AC$55&amp;";  ","")&amp;IF(AND(EDATE($D56,Milestones!$AA$56)&lt;=AsOfDate,IF($Q56=0,$W56,IF(AND($S56&lt;&gt;"",EDATE($D56,Milestones!$AA$56)&gt;=$S56),$V56,IF(AND($R56&lt;&gt;"",EDATE($D56,Milestones!$AA$56)&gt;=$R56),$U56,$T56)))=Milestones!$AB$56),TEXT(EDATE($D56,Milestones!$AA$56),"dd/mm/yy")&amp;" "&amp;Milestones!$AB$56&amp;" "&amp;Milestones!$AC$56&amp;";  ","")&amp;IF(AND(EDATE($D56,Milestones!$AA$57)&lt;=AsOfDate,IF($Q56=0,$W56,IF(AND($S56&lt;&gt;"",EDATE($D56,Milestones!$AA$57)&gt;=$S56),$V56,IF(AND($R56&lt;&gt;"",EDATE($D56,Milestones!$AA$57)&gt;=$R56),$U56,$T56)))=Milestones!$AB$57),TEXT(EDATE($D56,Milestones!$AA$57),"dd/mm/yy")&amp;" "&amp;Milestones!$AB$57&amp;" "&amp;Milestones!$AC$57&amp;";  ","")&amp;IF(AND(EDATE($D56,Milestones!$AA$58)&lt;=AsOfDate,IF($Q56=0,$W56,IF(AND($S56&lt;&gt;"",EDATE($D56,Milestones!$AA$58)&gt;=$S56),$V56,IF(AND($R56&lt;&gt;"",EDATE($D56,Milestones!$AA$58)&gt;=$R56),$U56,$T56)))=Milestones!$AB$58),TEXT(EDATE($D56,Milestones!$AA$58),"dd/mm/yy")&amp;" "&amp;Milestones!$AB$58&amp;" "&amp;Milestones!$AC$58&amp;";  ","")&amp;IF(AND(EDATE($D56,Milestones!$AA$59)&lt;=AsOfDate,IF($Q56=0,$W56,IF(AND($S56&lt;&gt;"",EDATE($D56,Milestones!$AA$59)&gt;=$S56),$V56,IF(AND($R56&lt;&gt;"",EDATE($D56,Milestones!$AA$59)&gt;=$R56),$U56,$T56)))=Milestones!$AB$59),TEXT(EDATE($D56,Milestones!$AA$59),"dd/mm/yy")&amp;" "&amp;Milestones!$AB$59&amp;" "&amp;Milestones!$AC$59&amp;";  ",""))</f>
        <v/>
      </c>
      <c r="J56" s="0" t="str">
        <f aca="false">IF(OR($A56="",$D56=""),"",IF(AND(EDATE($D56,Milestones!$AA$60)&lt;=AsOfDate,IF($Q56=0,$W56,IF(AND($S56&lt;&gt;"",EDATE($D56,Milestones!$AA$60)&gt;=$S56),$V56,IF(AND($R56&lt;&gt;"",EDATE($D56,Milestones!$AA$60)&gt;=$R56),$U56,$T56)))=Milestones!$AB$60),TEXT(EDATE($D56,Milestones!$AA$60),"dd/mm/yy")&amp;" "&amp;Milestones!$AB$60&amp;" "&amp;Milestones!$AC$60&amp;";  ","")&amp;IF(AND(EDATE($D56,Milestones!$AA$61)&lt;=AsOfDate,IF($Q56=0,$W56,IF(AND($S56&lt;&gt;"",EDATE($D56,Milestones!$AA$61)&gt;=$S56),$V56,IF(AND($R56&lt;&gt;"",EDATE($D56,Milestones!$AA$61)&gt;=$R56),$U56,$T56)))=Milestones!$AB$61),TEXT(EDATE($D56,Milestones!$AA$61),"dd/mm/yy")&amp;" "&amp;Milestones!$AB$61&amp;" "&amp;Milestones!$AC$61&amp;";  ","")&amp;IF(AND(EDATE($D56,Milestones!$AA$62)&lt;=AsOfDate,IF($Q56=0,$W56,IF(AND($S56&lt;&gt;"",EDATE($D56,Milestones!$AA$62)&gt;=$S56),$V56,IF(AND($R56&lt;&gt;"",EDATE($D56,Milestones!$AA$62)&gt;=$R56),$U56,$T56)))=Milestones!$AB$62),TEXT(EDATE($D56,Milestones!$AA$62),"dd/mm/yy")&amp;" "&amp;Milestones!$AB$62&amp;" "&amp;Milestones!$AC$62&amp;";  ","")&amp;IF(AND(EDATE($D56,Milestones!$AA$63)&lt;=AsOfDate,IF($Q56=0,$W56,IF(AND($S56&lt;&gt;"",EDATE($D56,Milestones!$AA$63)&gt;=$S56),$V56,IF(AND($R56&lt;&gt;"",EDATE($D56,Milestones!$AA$63)&gt;=$R56),$U56,$T56)))=Milestones!$AB$63),TEXT(EDATE($D56,Milestones!$AA$63),"dd/mm/yy")&amp;" "&amp;Milestones!$AB$63&amp;" "&amp;Milestones!$AC$63&amp;";  ","")&amp;IF(AND(EDATE($D56,Milestones!$AA$64)&lt;=AsOfDate,IF($Q56=0,$W56,IF(AND($S56&lt;&gt;"",EDATE($D56,Milestones!$AA$64)&gt;=$S56),$V56,IF(AND($R56&lt;&gt;"",EDATE($D56,Milestones!$AA$64)&gt;=$R56),$U56,$T56)))=Milestones!$AB$64),TEXT(EDATE($D56,Milestones!$AA$64),"dd/mm/yy")&amp;" "&amp;Milestones!$AB$64&amp;" "&amp;Milestones!$AC$64&amp;";  ","")&amp;IF(AND(EDATE($D56,Milestones!$AA$65)&lt;=AsOfDate,IF($Q56=0,$W56,IF(AND($S56&lt;&gt;"",EDATE($D56,Milestones!$AA$65)&gt;=$S56),$V56,IF(AND($R56&lt;&gt;"",EDATE($D56,Milestones!$AA$65)&gt;=$R56),$U56,$T56)))=Milestones!$AB$65),TEXT(EDATE($D56,Milestones!$AA$65),"dd/mm/yy")&amp;" "&amp;Milestones!$AB$65&amp;" "&amp;Milestones!$AC$65&amp;";  ","")&amp;IF(AND(EDATE($D56,Milestones!$AA$66)&lt;=AsOfDate,IF($Q56=0,$W56,IF(AND($S56&lt;&gt;"",EDATE($D56,Milestones!$AA$66)&gt;=$S56),$V56,IF(AND($R56&lt;&gt;"",EDATE($D56,Milestones!$AA$66)&gt;=$R56),$U56,$T56)))=Milestones!$AB$66),TEXT(EDATE($D56,Milestones!$AA$66),"dd/mm/yy")&amp;" "&amp;Milestones!$AB$66&amp;" "&amp;Milestones!$AC$66&amp;";  ","")&amp;IF(AND(EDATE($D56,Milestones!$AA$67)&lt;=AsOfDate,IF($Q56=0,$W56,IF(AND($S56&lt;&gt;"",EDATE($D56,Milestones!$AA$67)&gt;=$S56),$V56,IF(AND($R56&lt;&gt;"",EDATE($D56,Milestones!$AA$67)&gt;=$R56),$U56,$T56)))=Milestones!$AB$67),TEXT(EDATE($D56,Milestones!$AA$67),"dd/mm/yy")&amp;" "&amp;Milestones!$AB$67&amp;" "&amp;Milestones!$AC$67&amp;";  ","")&amp;IF(AND(EDATE($D56,Milestones!$AA$68)&lt;=AsOfDate,IF($Q56=0,$W56,IF(AND($S56&lt;&gt;"",EDATE($D56,Milestones!$AA$68)&gt;=$S56),$V56,IF(AND($R56&lt;&gt;"",EDATE($D56,Milestones!$AA$68)&gt;=$R56),$U56,$T56)))=Milestones!$AB$68),TEXT(EDATE($D56,Milestones!$AA$68),"dd/mm/yy")&amp;" "&amp;Milestones!$AB$68&amp;" "&amp;Milestones!$AC$68&amp;";  ","")&amp;IF(AND(EDATE($D56,Milestones!$AA$69)&lt;=AsOfDate,IF($Q56=0,$W56,IF(AND($S56&lt;&gt;"",EDATE($D56,Milestones!$AA$69)&gt;=$S56),$V56,IF(AND($R56&lt;&gt;"",EDATE($D56,Milestones!$AA$69)&gt;=$R56),$U56,$T56)))=Milestones!$AB$69),TEXT(EDATE($D56,Milestones!$AA$69),"dd/mm/yy")&amp;" "&amp;Milestones!$AB$69&amp;" "&amp;Milestones!$AC$69&amp;";  ","")&amp;IF(AND(EDATE($D56,Milestones!$AA$70)&lt;=AsOfDate,IF($Q56=0,$W56,IF(AND($S56&lt;&gt;"",EDATE($D56,Milestones!$AA$70)&gt;=$S56),$V56,IF(AND($R56&lt;&gt;"",EDATE($D56,Milestones!$AA$70)&gt;=$R56),$U56,$T56)))=Milestones!$AB$70),TEXT(EDATE($D56,Milestones!$AA$70),"dd/mm/yy")&amp;" "&amp;Milestones!$AB$70&amp;" "&amp;Milestones!$AC$70&amp;";  ","")&amp;IF(AND(EDATE($D56,Milestones!$AA$71)&lt;=AsOfDate,IF($Q56=0,$W56,IF(AND($S56&lt;&gt;"",EDATE($D56,Milestones!$AA$71)&gt;=$S56),$V56,IF(AND($R56&lt;&gt;"",EDATE($D56,Milestones!$AA$71)&gt;=$R56),$U56,$T56)))=Milestones!$AB$71),TEXT(EDATE($D56,Milestones!$AA$71),"dd/mm/yy")&amp;" "&amp;Milestones!$AB$71&amp;" "&amp;Milestones!$AC$71&amp;";  ","")&amp;IF(AND(EDATE($D56,Milestones!$AA$72)&lt;=AsOfDate,IF($Q56=0,$W56,IF(AND($S56&lt;&gt;"",EDATE($D56,Milestones!$AA$72)&gt;=$S56),$V56,IF(AND($R56&lt;&gt;"",EDATE($D56,Milestones!$AA$72)&gt;=$R56),$U56,$T56)))=Milestones!$AB$72),TEXT(EDATE($D56,Milestones!$AA$72),"dd/mm/yy")&amp;" "&amp;Milestones!$AB$72&amp;" "&amp;Milestones!$AC$72&amp;";  ","")&amp;IF(AND(EDATE($D56,Milestones!$AA$73)&lt;=AsOfDate,IF($Q56=0,$W56,IF(AND($S56&lt;&gt;"",EDATE($D56,Milestones!$AA$73)&gt;=$S56),$V56,IF(AND($R56&lt;&gt;"",EDATE($D56,Milestones!$AA$73)&gt;=$R56),$U56,$T56)))=Milestones!$AB$73),TEXT(EDATE($D56,Milestones!$AA$73),"dd/mm/yy")&amp;" "&amp;Milestones!$AB$73&amp;" "&amp;Milestones!$AC$73&amp;";  ","")&amp;IF(AND(EDATE($D56,Milestones!$AA$74)&lt;=AsOfDate,IF($Q56=0,$W56,IF(AND($S56&lt;&gt;"",EDATE($D56,Milestones!$AA$74)&gt;=$S56),$V56,IF(AND($R56&lt;&gt;"",EDATE($D56,Milestones!$AA$74)&gt;=$R56),$U56,$T56)))=Milestones!$AB$74),TEXT(EDATE($D56,Milestones!$AA$74),"dd/mm/yy")&amp;" "&amp;Milestones!$AB$74&amp;" "&amp;Milestones!$AC$74&amp;";  ","")&amp;IF(AND(EDATE($D56,Milestones!$AA$75)&lt;=AsOfDate,IF($Q56=0,$W56,IF(AND($S56&lt;&gt;"",EDATE($D56,Milestones!$AA$75)&gt;=$S56),$V56,IF(AND($R56&lt;&gt;"",EDATE($D56,Milestones!$AA$75)&gt;=$R56),$U56,$T56)))=Milestones!$AB$75),TEXT(EDATE($D56,Milestones!$AA$75),"dd/mm/yy")&amp;" "&amp;Milestones!$AB$75&amp;" "&amp;Milestones!$AC$75&amp;";  ","")&amp;IF(AND(EDATE($D56,Milestones!$AA$76)&lt;=AsOfDate,IF($Q56=0,$W56,IF(AND($S56&lt;&gt;"",EDATE($D56,Milestones!$AA$76)&gt;=$S56),$V56,IF(AND($R56&lt;&gt;"",EDATE($D56,Milestones!$AA$76)&gt;=$R56),$U56,$T56)))=Milestones!$AB$76),TEXT(EDATE($D56,Milestones!$AA$76),"dd/mm/yy")&amp;" "&amp;Milestones!$AB$76&amp;" "&amp;Milestones!$AC$76&amp;";  ","")&amp;IF(AND(EDATE($D56,Milestones!$AA$77)&lt;=AsOfDate,IF($Q56=0,$W56,IF(AND($S56&lt;&gt;"",EDATE($D56,Milestones!$AA$77)&gt;=$S56),$V56,IF(AND($R56&lt;&gt;"",EDATE($D56,Milestones!$AA$77)&gt;=$R56),$U56,$T56)))=Milestones!$AB$77),TEXT(EDATE($D56,Milestones!$AA$77),"dd/mm/yy")&amp;" "&amp;Milestones!$AB$77&amp;" "&amp;Milestones!$AC$77&amp;";  ","")&amp;IF(AND(EDATE($D56,Milestones!$AA$78)&lt;=AsOfDate,IF($Q56=0,$W56,IF(AND($S56&lt;&gt;"",EDATE($D56,Milestones!$AA$78)&gt;=$S56),$V56,IF(AND($R56&lt;&gt;"",EDATE($D56,Milestones!$AA$78)&gt;=$R56),$U56,$T56)))=Milestones!$AB$78),TEXT(EDATE($D56,Milestones!$AA$78),"dd/mm/yy")&amp;" "&amp;Milestones!$AB$78&amp;" "&amp;Milestones!$AC$78&amp;";  ","")&amp;IF(AND(EDATE($D56,Milestones!$AA$79)&lt;=AsOfDate,IF($Q56=0,$W56,IF(AND($S56&lt;&gt;"",EDATE($D56,Milestones!$AA$79)&gt;=$S56),$V56,IF(AND($R56&lt;&gt;"",EDATE($D56,Milestones!$AA$79)&gt;=$R56),$U56,$T56)))=Milestones!$AB$79),TEXT(EDATE($D56,Milestones!$AA$79),"dd/mm/yy")&amp;" "&amp;Milestones!$AB$79&amp;" "&amp;Milestones!$AC$79&amp;";  ",""))</f>
        <v/>
      </c>
      <c r="K56" s="0" t="str">
        <f aca="false">IF(OR($A56="",$D56=""),"",IF(AND(EDATE($D56,Milestones!$AA$80)&lt;=AsOfDate,IF($Q56=0,$W56,IF(AND($S56&lt;&gt;"",EDATE($D56,Milestones!$AA$80)&gt;=$S56),$V56,IF(AND($R56&lt;&gt;"",EDATE($D56,Milestones!$AA$80)&gt;=$R56),$U56,$T56)))=Milestones!$AB$80),TEXT(EDATE($D56,Milestones!$AA$80),"dd/mm/yy")&amp;" "&amp;Milestones!$AB$80&amp;" "&amp;Milestones!$AC$80&amp;";  ","")&amp;IF(AND(EDATE($D56,Milestones!$AA$81)&lt;=AsOfDate,IF($Q56=0,$W56,IF(AND($S56&lt;&gt;"",EDATE($D56,Milestones!$AA$81)&gt;=$S56),$V56,IF(AND($R56&lt;&gt;"",EDATE($D56,Milestones!$AA$81)&gt;=$R56),$U56,$T56)))=Milestones!$AB$81),TEXT(EDATE($D56,Milestones!$AA$81),"dd/mm/yy")&amp;" "&amp;Milestones!$AB$81&amp;" "&amp;Milestones!$AC$81&amp;";  ","")&amp;IF(AND(EDATE($D56,Milestones!$AA$82)&lt;=AsOfDate,IF($Q56=0,$W56,IF(AND($S56&lt;&gt;"",EDATE($D56,Milestones!$AA$82)&gt;=$S56),$V56,IF(AND($R56&lt;&gt;"",EDATE($D56,Milestones!$AA$82)&gt;=$R56),$U56,$T56)))=Milestones!$AB$82),TEXT(EDATE($D56,Milestones!$AA$82),"dd/mm/yy")&amp;" "&amp;Milestones!$AB$82&amp;" "&amp;Milestones!$AC$82&amp;";  ","")&amp;IF(AND(EDATE($D56,Milestones!$AA$83)&lt;=AsOfDate,IF($Q56=0,$W56,IF(AND($S56&lt;&gt;"",EDATE($D56,Milestones!$AA$83)&gt;=$S56),$V56,IF(AND($R56&lt;&gt;"",EDATE($D56,Milestones!$AA$83)&gt;=$R56),$U56,$T56)))=Milestones!$AB$83),TEXT(EDATE($D56,Milestones!$AA$83),"dd/mm/yy")&amp;" "&amp;Milestones!$AB$83&amp;" "&amp;Milestones!$AC$83&amp;";  ","")&amp;IF(AND(EDATE($D56,Milestones!$AA$84)&lt;=AsOfDate,IF($Q56=0,$W56,IF(AND($S56&lt;&gt;"",EDATE($D56,Milestones!$AA$84)&gt;=$S56),$V56,IF(AND($R56&lt;&gt;"",EDATE($D56,Milestones!$AA$84)&gt;=$R56),$U56,$T56)))=Milestones!$AB$84),TEXT(EDATE($D56,Milestones!$AA$84),"dd/mm/yy")&amp;" "&amp;Milestones!$AB$84&amp;" "&amp;Milestones!$AC$84&amp;";  ","")&amp;IF(AND(EDATE($D56,Milestones!$AA$85)&lt;=AsOfDate,IF($Q56=0,$W56,IF(AND($S56&lt;&gt;"",EDATE($D56,Milestones!$AA$85)&gt;=$S56),$V56,IF(AND($R56&lt;&gt;"",EDATE($D56,Milestones!$AA$85)&gt;=$R56),$U56,$T56)))=Milestones!$AB$85),TEXT(EDATE($D56,Milestones!$AA$85),"dd/mm/yy")&amp;" "&amp;Milestones!$AB$85&amp;" "&amp;Milestones!$AC$85&amp;";  ","")&amp;IF(AND(EDATE($D56,Milestones!$AA$86)&lt;=AsOfDate,IF($Q56=0,$W56,IF(AND($S56&lt;&gt;"",EDATE($D56,Milestones!$AA$86)&gt;=$S56),$V56,IF(AND($R56&lt;&gt;"",EDATE($D56,Milestones!$AA$86)&gt;=$R56),$U56,$T56)))=Milestones!$AB$86),TEXT(EDATE($D56,Milestones!$AA$86),"dd/mm/yy")&amp;" "&amp;Milestones!$AB$86&amp;" "&amp;Milestones!$AC$86&amp;";  ","")&amp;IF(AND(EDATE($D56,Milestones!$AA$87)&lt;=AsOfDate,IF($Q56=0,$W56,IF(AND($S56&lt;&gt;"",EDATE($D56,Milestones!$AA$87)&gt;=$S56),$V56,IF(AND($R56&lt;&gt;"",EDATE($D56,Milestones!$AA$87)&gt;=$R56),$U56,$T56)))=Milestones!$AB$87),TEXT(EDATE($D56,Milestones!$AA$87),"dd/mm/yy")&amp;" "&amp;Milestones!$AB$87&amp;" "&amp;Milestones!$AC$87&amp;";  ","")&amp;IF(AND(EDATE($D56,Milestones!$AA$88)&lt;=AsOfDate,IF($Q56=0,$W56,IF(AND($S56&lt;&gt;"",EDATE($D56,Milestones!$AA$88)&gt;=$S56),$V56,IF(AND($R56&lt;&gt;"",EDATE($D56,Milestones!$AA$88)&gt;=$R56),$U56,$T56)))=Milestones!$AB$88),TEXT(EDATE($D56,Milestones!$AA$88),"dd/mm/yy")&amp;" "&amp;Milestones!$AB$88&amp;" "&amp;Milestones!$AC$88&amp;";  ","")&amp;IF(AND(EDATE($D56,Milestones!$AA$89)&lt;=AsOfDate,IF($Q56=0,$W56,IF(AND($S56&lt;&gt;"",EDATE($D56,Milestones!$AA$89)&gt;=$S56),$V56,IF(AND($R56&lt;&gt;"",EDATE($D56,Milestones!$AA$89)&gt;=$R56),$U56,$T56)))=Milestones!$AB$89),TEXT(EDATE($D56,Milestones!$AA$89),"dd/mm/yy")&amp;" "&amp;Milestones!$AB$89&amp;" "&amp;Milestones!$AC$89&amp;";  ","")&amp;IF(AND(EDATE($D56,Milestones!$AA$90)&lt;=AsOfDate,IF($Q56=0,$W56,IF(AND($S56&lt;&gt;"",EDATE($D56,Milestones!$AA$90)&gt;=$S56),$V56,IF(AND($R56&lt;&gt;"",EDATE($D56,Milestones!$AA$90)&gt;=$R56),$U56,$T56)))=Milestones!$AB$90),TEXT(EDATE($D56,Milestones!$AA$90),"dd/mm/yy")&amp;" "&amp;Milestones!$AB$90&amp;" "&amp;Milestones!$AC$90&amp;";  ","")&amp;IF(AND(EDATE($D56,Milestones!$AA$91)&lt;=AsOfDate,IF($Q56=0,$W56,IF(AND($S56&lt;&gt;"",EDATE($D56,Milestones!$AA$91)&gt;=$S56),$V56,IF(AND($R56&lt;&gt;"",EDATE($D56,Milestones!$AA$91)&gt;=$R56),$U56,$T56)))=Milestones!$AB$91),TEXT(EDATE($D56,Milestones!$AA$91),"dd/mm/yy")&amp;" "&amp;Milestones!$AB$91&amp;" "&amp;Milestones!$AC$91&amp;";  ","")&amp;IF(AND(EDATE($D56,Milestones!$AA$92)&lt;=AsOfDate,IF($Q56=0,$W56,IF(AND($S56&lt;&gt;"",EDATE($D56,Milestones!$AA$92)&gt;=$S56),$V56,IF(AND($R56&lt;&gt;"",EDATE($D56,Milestones!$AA$92)&gt;=$R56),$U56,$T56)))=Milestones!$AB$92),TEXT(EDATE($D56,Milestones!$AA$92),"dd/mm/yy")&amp;" "&amp;Milestones!$AB$92&amp;" "&amp;Milestones!$AC$92&amp;";  ","")&amp;IF(AND(EDATE($D56,Milestones!$AA$93)&lt;=AsOfDate,IF($Q56=0,$W56,IF(AND($S56&lt;&gt;"",EDATE($D56,Milestones!$AA$93)&gt;=$S56),$V56,IF(AND($R56&lt;&gt;"",EDATE($D56,Milestones!$AA$93)&gt;=$R56),$U56,$T56)))=Milestones!$AB$93),TEXT(EDATE($D56,Milestones!$AA$93),"dd/mm/yy")&amp;" "&amp;Milestones!$AB$93&amp;" "&amp;Milestones!$AC$93&amp;";  ","")&amp;IF(AND(EDATE($D56,Milestones!$AA$94)&lt;=AsOfDate,IF($Q56=0,$W56,IF(AND($S56&lt;&gt;"",EDATE($D56,Milestones!$AA$94)&gt;=$S56),$V56,IF(AND($R56&lt;&gt;"",EDATE($D56,Milestones!$AA$94)&gt;=$R56),$U56,$T56)))=Milestones!$AB$94),TEXT(EDATE($D56,Milestones!$AA$94),"dd/mm/yy")&amp;" "&amp;Milestones!$AB$94&amp;" "&amp;Milestones!$AC$94&amp;";  ","")&amp;IF(AND(EDATE($D56,Milestones!$AA$95)&lt;=AsOfDate,IF($Q56=0,$W56,IF(AND($S56&lt;&gt;"",EDATE($D56,Milestones!$AA$95)&gt;=$S56),$V56,IF(AND($R56&lt;&gt;"",EDATE($D56,Milestones!$AA$95)&gt;=$R56),$U56,$T56)))=Milestones!$AB$95),TEXT(EDATE($D56,Milestones!$AA$95),"dd/mm/yy")&amp;" "&amp;Milestones!$AB$95&amp;" "&amp;Milestones!$AC$95&amp;";  ","")&amp;IF(AND(EDATE($D56,Milestones!$AA$96)&lt;=AsOfDate,IF($Q56=0,$W56,IF(AND($S56&lt;&gt;"",EDATE($D56,Milestones!$AA$96)&gt;=$S56),$V56,IF(AND($R56&lt;&gt;"",EDATE($D56,Milestones!$AA$96)&gt;=$R56),$U56,$T56)))=Milestones!$AB$96),TEXT(EDATE($D56,Milestones!$AA$96),"dd/mm/yy")&amp;" "&amp;Milestones!$AB$96&amp;" "&amp;Milestones!$AC$96&amp;";  ","")&amp;IF(AND(EDATE($D56,Milestones!$AA$97)&lt;=AsOfDate,IF($Q56=0,$W56,IF(AND($S56&lt;&gt;"",EDATE($D56,Milestones!$AA$97)&gt;=$S56),$V56,IF(AND($R56&lt;&gt;"",EDATE($D56,Milestones!$AA$97)&gt;=$R56),$U56,$T56)))=Milestones!$AB$97),TEXT(EDATE($D56,Milestones!$AA$97),"dd/mm/yy")&amp;" "&amp;Milestones!$AB$97&amp;" "&amp;Milestones!$AC$97&amp;";  ","")&amp;IF(AND(EDATE($D56,Milestones!$AA$98)&lt;=AsOfDate,IF($Q56=0,$W56,IF(AND($S56&lt;&gt;"",EDATE($D56,Milestones!$AA$98)&gt;=$S56),$V56,IF(AND($R56&lt;&gt;"",EDATE($D56,Milestones!$AA$98)&gt;=$R56),$U56,$T56)))=Milestones!$AB$98),TEXT(EDATE($D56,Milestones!$AA$98),"dd/mm/yy")&amp;" "&amp;Milestones!$AB$98&amp;" "&amp;Milestones!$AC$98&amp;";  ","")&amp;IF(AND(EDATE($D56,Milestones!$AA$99)&lt;=AsOfDate,IF($Q56=0,$W56,IF(AND($S56&lt;&gt;"",EDATE($D56,Milestones!$AA$99)&gt;=$S56),$V56,IF(AND($R56&lt;&gt;"",EDATE($D56,Milestones!$AA$99)&gt;=$R56),$U56,$T56)))=Milestones!$AB$99),TEXT(EDATE($D56,Milestones!$AA$99),"dd/mm/yy")&amp;" "&amp;Milestones!$AB$99&amp;" "&amp;Milestones!$AC$99&amp;";  ",""))</f>
        <v/>
      </c>
      <c r="L56" s="0" t="str">
        <f aca="false">IF(OR($A56="",$D56=""),"",IF(AND(EDATE($D56,Milestones!$AA$100)&lt;=AsOfDate,IF($Q56=0,$W56,IF(AND($S56&lt;&gt;"",EDATE($D56,Milestones!$AA$100)&gt;=$S56),$V56,IF(AND($R56&lt;&gt;"",EDATE($D56,Milestones!$AA$100)&gt;=$R56),$U56,$T56)))=Milestones!$AB$100),TEXT(EDATE($D56,Milestones!$AA$100),"dd/mm/yy")&amp;" "&amp;Milestones!$AB$100&amp;" "&amp;Milestones!$AC$100&amp;";  ","")&amp;IF(AND(EDATE($D56,Milestones!$AA$101)&lt;=AsOfDate,IF($Q56=0,$W56,IF(AND($S56&lt;&gt;"",EDATE($D56,Milestones!$AA$101)&gt;=$S56),$V56,IF(AND($R56&lt;&gt;"",EDATE($D56,Milestones!$AA$101)&gt;=$R56),$U56,$T56)))=Milestones!$AB$101),TEXT(EDATE($D56,Milestones!$AA$101),"dd/mm/yy")&amp;" "&amp;Milestones!$AB$101&amp;" "&amp;Milestones!$AC$101&amp;";  ","")&amp;IF(AND(EDATE($D56,Milestones!$AA$102)&lt;=AsOfDate,IF($Q56=0,$W56,IF(AND($S56&lt;&gt;"",EDATE($D56,Milestones!$AA$102)&gt;=$S56),$V56,IF(AND($R56&lt;&gt;"",EDATE($D56,Milestones!$AA$102)&gt;=$R56),$U56,$T56)))=Milestones!$AB$102),TEXT(EDATE($D56,Milestones!$AA$102),"dd/mm/yy")&amp;" "&amp;Milestones!$AB$102&amp;" "&amp;Milestones!$AC$102&amp;";  ","")&amp;IF(AND(EDATE($D56,Milestones!$AA$103)&lt;=AsOfDate,IF($Q56=0,$W56,IF(AND($S56&lt;&gt;"",EDATE($D56,Milestones!$AA$103)&gt;=$S56),$V56,IF(AND($R56&lt;&gt;"",EDATE($D56,Milestones!$AA$103)&gt;=$R56),$U56,$T56)))=Milestones!$AB$103),TEXT(EDATE($D56,Milestones!$AA$103),"dd/mm/yy")&amp;" "&amp;Milestones!$AB$103&amp;" "&amp;Milestones!$AC$103&amp;";  ","")&amp;IF(AND(EDATE($D56,Milestones!$AA$104)&lt;=AsOfDate,IF($Q56=0,$W56,IF(AND($S56&lt;&gt;"",EDATE($D56,Milestones!$AA$104)&gt;=$S56),$V56,IF(AND($R56&lt;&gt;"",EDATE($D56,Milestones!$AA$104)&gt;=$R56),$U56,$T56)))=Milestones!$AB$104),TEXT(EDATE($D56,Milestones!$AA$104),"dd/mm/yy")&amp;" "&amp;Milestones!$AB$104&amp;" "&amp;Milestones!$AC$104&amp;";  ","")&amp;IF(AND(EDATE($D56,Milestones!$AA$105)&lt;=AsOfDate,IF($Q56=0,$W56,IF(AND($S56&lt;&gt;"",EDATE($D56,Milestones!$AA$105)&gt;=$S56),$V56,IF(AND($R56&lt;&gt;"",EDATE($D56,Milestones!$AA$105)&gt;=$R56),$U56,$T56)))=Milestones!$AB$105),TEXT(EDATE($D56,Milestones!$AA$105),"dd/mm/yy")&amp;" "&amp;Milestones!$AB$105&amp;" "&amp;Milestones!$AC$105&amp;";  ","")&amp;IF(AND(EDATE($D56,Milestones!$AA$106)&lt;=AsOfDate,IF($Q56=0,$W56,IF(AND($S56&lt;&gt;"",EDATE($D56,Milestones!$AA$106)&gt;=$S56),$V56,IF(AND($R56&lt;&gt;"",EDATE($D56,Milestones!$AA$106)&gt;=$R56),$U56,$T56)))=Milestones!$AB$106),TEXT(EDATE($D56,Milestones!$AA$106),"dd/mm/yy")&amp;" "&amp;Milestones!$AB$106&amp;" "&amp;Milestones!$AC$106&amp;";  ","")&amp;IF(AND(EDATE($D56,Milestones!$AA$107)&lt;=AsOfDate,IF($Q56=0,$W56,IF(AND($S56&lt;&gt;"",EDATE($D56,Milestones!$AA$107)&gt;=$S56),$V56,IF(AND($R56&lt;&gt;"",EDATE($D56,Milestones!$AA$107)&gt;=$R56),$U56,$T56)))=Milestones!$AB$107),TEXT(EDATE($D56,Milestones!$AA$107),"dd/mm/yy")&amp;" "&amp;Milestones!$AB$107&amp;" "&amp;Milestones!$AC$107&amp;";  ","")&amp;IF(AND(EDATE($D56,Milestones!$AA$108)&lt;=AsOfDate,IF($Q56=0,$W56,IF(AND($S56&lt;&gt;"",EDATE($D56,Milestones!$AA$108)&gt;=$S56),$V56,IF(AND($R56&lt;&gt;"",EDATE($D56,Milestones!$AA$108)&gt;=$R56),$U56,$T56)))=Milestones!$AB$108),TEXT(EDATE($D56,Milestones!$AA$108),"dd/mm/yy")&amp;" "&amp;Milestones!$AB$108&amp;" "&amp;Milestones!$AC$108&amp;";  ","")&amp;IF(AND(EDATE($D56,Milestones!$AA$109)&lt;=AsOfDate,IF($Q56=0,$W56,IF(AND($S56&lt;&gt;"",EDATE($D56,Milestones!$AA$109)&gt;=$S56),$V56,IF(AND($R56&lt;&gt;"",EDATE($D56,Milestones!$AA$109)&gt;=$R56),$U56,$T56)))=Milestones!$AB$109),TEXT(EDATE($D56,Milestones!$AA$109),"dd/mm/yy")&amp;" "&amp;Milestones!$AB$109&amp;" "&amp;Milestones!$AC$109&amp;";  ","")&amp;IF(AND(EDATE($D56,Milestones!$AA$110)&lt;=AsOfDate,IF($Q56=0,$W56,IF(AND($S56&lt;&gt;"",EDATE($D56,Milestones!$AA$110)&gt;=$S56),$V56,IF(AND($R56&lt;&gt;"",EDATE($D56,Milestones!$AA$110)&gt;=$R56),$U56,$T56)))=Milestones!$AB$110),TEXT(EDATE($D56,Milestones!$AA$110),"dd/mm/yy")&amp;" "&amp;Milestones!$AB$110&amp;" "&amp;Milestones!$AC$110&amp;";  ","")&amp;IF(AND(EDATE($D56,Milestones!$AA$111)&lt;=AsOfDate,IF($Q56=0,$W56,IF(AND($S56&lt;&gt;"",EDATE($D56,Milestones!$AA$111)&gt;=$S56),$V56,IF(AND($R56&lt;&gt;"",EDATE($D56,Milestones!$AA$111)&gt;=$R56),$U56,$T56)))=Milestones!$AB$111),TEXT(EDATE($D56,Milestones!$AA$111),"dd/mm/yy")&amp;" "&amp;Milestones!$AB$111&amp;" "&amp;Milestones!$AC$111&amp;";  ","")&amp;IF(AND(EDATE($D56,Milestones!$AA$112)&lt;=AsOfDate,IF($Q56=0,$W56,IF(AND($S56&lt;&gt;"",EDATE($D56,Milestones!$AA$112)&gt;=$S56),$V56,IF(AND($R56&lt;&gt;"",EDATE($D56,Milestones!$AA$112)&gt;=$R56),$U56,$T56)))=Milestones!$AB$112),TEXT(EDATE($D56,Milestones!$AA$112),"dd/mm/yy")&amp;" "&amp;Milestones!$AB$112&amp;" "&amp;Milestones!$AC$112&amp;";  ","")&amp;IF(AND(EDATE($D56,Milestones!$AA$113)&lt;=AsOfDate,IF($Q56=0,$W56,IF(AND($S56&lt;&gt;"",EDATE($D56,Milestones!$AA$113)&gt;=$S56),$V56,IF(AND($R56&lt;&gt;"",EDATE($D56,Milestones!$AA$113)&gt;=$R56),$U56,$T56)))=Milestones!$AB$113),TEXT(EDATE($D56,Milestones!$AA$113),"dd/mm/yy")&amp;" "&amp;Milestones!$AB$113&amp;" "&amp;Milestones!$AC$113&amp;";  ","")&amp;IF(AND(EDATE($D56,Milestones!$AA$114)&lt;=AsOfDate,IF($Q56=0,$W56,IF(AND($S56&lt;&gt;"",EDATE($D56,Milestones!$AA$114)&gt;=$S56),$V56,IF(AND($R56&lt;&gt;"",EDATE($D56,Milestones!$AA$114)&gt;=$R56),$U56,$T56)))=Milestones!$AB$114),TEXT(EDATE($D56,Milestones!$AA$114),"dd/mm/yy")&amp;" "&amp;Milestones!$AB$114&amp;" "&amp;Milestones!$AC$114&amp;";  ","")&amp;IF(AND(EDATE($D56,Milestones!$AA$115)&lt;=AsOfDate,IF($Q56=0,$W56,IF(AND($S56&lt;&gt;"",EDATE($D56,Milestones!$AA$115)&gt;=$S56),$V56,IF(AND($R56&lt;&gt;"",EDATE($D56,Milestones!$AA$115)&gt;=$R56),$U56,$T56)))=Milestones!$AB$115),TEXT(EDATE($D56,Milestones!$AA$115),"dd/mm/yy")&amp;" "&amp;Milestones!$AB$115&amp;" "&amp;Milestones!$AC$115&amp;";  ","")&amp;IF(AND(EDATE($D56,Milestones!$AA$116)&lt;=AsOfDate,IF($Q56=0,$W56,IF(AND($S56&lt;&gt;"",EDATE($D56,Milestones!$AA$116)&gt;=$S56),$V56,IF(AND($R56&lt;&gt;"",EDATE($D56,Milestones!$AA$116)&gt;=$R56),$U56,$T56)))=Milestones!$AB$116),TEXT(EDATE($D56,Milestones!$AA$116),"dd/mm/yy")&amp;" "&amp;Milestones!$AB$116&amp;" "&amp;Milestones!$AC$116&amp;";  ","")&amp;IF(AND(EDATE($D56,Milestones!$AA$117)&lt;=AsOfDate,IF($Q56=0,$W56,IF(AND($S56&lt;&gt;"",EDATE($D56,Milestones!$AA$117)&gt;=$S56),$V56,IF(AND($R56&lt;&gt;"",EDATE($D56,Milestones!$AA$117)&gt;=$R56),$U56,$T56)))=Milestones!$AB$117),TEXT(EDATE($D56,Milestones!$AA$117),"dd/mm/yy")&amp;" "&amp;Milestones!$AB$117&amp;" "&amp;Milestones!$AC$117&amp;";  ","")&amp;IF(AND(EDATE($D56,Milestones!$AA$118)&lt;=AsOfDate,IF($Q56=0,$W56,IF(AND($S56&lt;&gt;"",EDATE($D56,Milestones!$AA$118)&gt;=$S56),$V56,IF(AND($R56&lt;&gt;"",EDATE($D56,Milestones!$AA$118)&gt;=$R56),$U56,$T56)))=Milestones!$AB$118),TEXT(EDATE($D56,Milestones!$AA$118),"dd/mm/yy")&amp;" "&amp;Milestones!$AB$118&amp;" "&amp;Milestones!$AC$118&amp;";  ","")&amp;IF(AND(EDATE($D56,Milestones!$AA$119)&lt;=AsOfDate,IF($Q56=0,$W56,IF(AND($S56&lt;&gt;"",EDATE($D56,Milestones!$AA$119)&gt;=$S56),$V56,IF(AND($R56&lt;&gt;"",EDATE($D56,Milestones!$AA$119)&gt;=$R56),$U56,$T56)))=Milestones!$AB$119),TEXT(EDATE($D56,Milestones!$AA$119),"dd/mm/yy")&amp;" "&amp;Milestones!$AB$119&amp;" "&amp;Milestones!$AC$119&amp;";  ",""))</f>
        <v/>
      </c>
      <c r="M56" s="0" t="str">
        <f aca="false">IF(OR($A56="",$D56=""),"",IF(AND(EDATE($D56,Milestones!$AA$120)&lt;=AsOfDate,IF($Q56=0,$W56,IF(AND($S56&lt;&gt;"",EDATE($D56,Milestones!$AA$120)&gt;=$S56),$V56,IF(AND($R56&lt;&gt;"",EDATE($D56,Milestones!$AA$120)&gt;=$R56),$U56,$T56)))=Milestones!$AB$120),TEXT(EDATE($D56,Milestones!$AA$120),"dd/mm/yy")&amp;" "&amp;Milestones!$AB$120&amp;" "&amp;Milestones!$AC$120&amp;";  ","")&amp;IF(AND(EDATE($D56,Milestones!$AA$121)&lt;=AsOfDate,IF($Q56=0,$W56,IF(AND($S56&lt;&gt;"",EDATE($D56,Milestones!$AA$121)&gt;=$S56),$V56,IF(AND($R56&lt;&gt;"",EDATE($D56,Milestones!$AA$121)&gt;=$R56),$U56,$T56)))=Milestones!$AB$121),TEXT(EDATE($D56,Milestones!$AA$121),"dd/mm/yy")&amp;" "&amp;Milestones!$AB$121&amp;" "&amp;Milestones!$AC$121&amp;";  ","")&amp;IF(AND(EDATE($D56,Milestones!$AA$122)&lt;=AsOfDate,IF($Q56=0,$W56,IF(AND($S56&lt;&gt;"",EDATE($D56,Milestones!$AA$122)&gt;=$S56),$V56,IF(AND($R56&lt;&gt;"",EDATE($D56,Milestones!$AA$122)&gt;=$R56),$U56,$T56)))=Milestones!$AB$122),TEXT(EDATE($D56,Milestones!$AA$122),"dd/mm/yy")&amp;" "&amp;Milestones!$AB$122&amp;" "&amp;Milestones!$AC$122&amp;";  ","")&amp;IF(AND(EDATE($D56,Milestones!$AA$123)&lt;=AsOfDate,IF($Q56=0,$W56,IF(AND($S56&lt;&gt;"",EDATE($D56,Milestones!$AA$123)&gt;=$S56),$V56,IF(AND($R56&lt;&gt;"",EDATE($D56,Milestones!$AA$123)&gt;=$R56),$U56,$T56)))=Milestones!$AB$123),TEXT(EDATE($D56,Milestones!$AA$123),"dd/mm/yy")&amp;" "&amp;Milestones!$AB$123&amp;" "&amp;Milestones!$AC$123&amp;";  ","")&amp;IF(AND(EDATE($D56,Milestones!$AA$124)&lt;=AsOfDate,IF($Q56=0,$W56,IF(AND($S56&lt;&gt;"",EDATE($D56,Milestones!$AA$124)&gt;=$S56),$V56,IF(AND($R56&lt;&gt;"",EDATE($D56,Milestones!$AA$124)&gt;=$R56),$U56,$T56)))=Milestones!$AB$124),TEXT(EDATE($D56,Milestones!$AA$124),"dd/mm/yy")&amp;" "&amp;Milestones!$AB$124&amp;" "&amp;Milestones!$AC$124&amp;";  ","")&amp;IF(AND(EDATE($D56,Milestones!$AA$125)&lt;=AsOfDate,IF($Q56=0,$W56,IF(AND($S56&lt;&gt;"",EDATE($D56,Milestones!$AA$125)&gt;=$S56),$V56,IF(AND($R56&lt;&gt;"",EDATE($D56,Milestones!$AA$125)&gt;=$R56),$U56,$T56)))=Milestones!$AB$125),TEXT(EDATE($D56,Milestones!$AA$125),"dd/mm/yy")&amp;" "&amp;Milestones!$AB$125&amp;" "&amp;Milestones!$AC$125&amp;";  ","")&amp;IF(AND(EDATE($D56,Milestones!$AA$126)&lt;=AsOfDate,IF($Q56=0,$W56,IF(AND($S56&lt;&gt;"",EDATE($D56,Milestones!$AA$126)&gt;=$S56),$V56,IF(AND($R56&lt;&gt;"",EDATE($D56,Milestones!$AA$126)&gt;=$R56),$U56,$T56)))=Milestones!$AB$126),TEXT(EDATE($D56,Milestones!$AA$126),"dd/mm/yy")&amp;" "&amp;Milestones!$AB$126&amp;" "&amp;Milestones!$AC$126&amp;";  ","")&amp;IF(AND(EDATE($D56,Milestones!$AA$127)&lt;=AsOfDate,IF($Q56=0,$W56,IF(AND($S56&lt;&gt;"",EDATE($D56,Milestones!$AA$127)&gt;=$S56),$V56,IF(AND($R56&lt;&gt;"",EDATE($D56,Milestones!$AA$127)&gt;=$R56),$U56,$T56)))=Milestones!$AB$127),TEXT(EDATE($D56,Milestones!$AA$127),"dd/mm/yy")&amp;" "&amp;Milestones!$AB$127&amp;" "&amp;Milestones!$AC$127&amp;";  ","")&amp;IF(AND(EDATE($D56,Milestones!$AA$128)&lt;=AsOfDate,IF($Q56=0,$W56,IF(AND($S56&lt;&gt;"",EDATE($D56,Milestones!$AA$128)&gt;=$S56),$V56,IF(AND($R56&lt;&gt;"",EDATE($D56,Milestones!$AA$128)&gt;=$R56),$U56,$T56)))=Milestones!$AB$128),TEXT(EDATE($D56,Milestones!$AA$128),"dd/mm/yy")&amp;" "&amp;Milestones!$AB$128&amp;" "&amp;Milestones!$AC$128&amp;";  ","")&amp;IF(AND(EDATE($D56,Milestones!$AA$129)&lt;=AsOfDate,IF($Q56=0,$W56,IF(AND($S56&lt;&gt;"",EDATE($D56,Milestones!$AA$129)&gt;=$S56),$V56,IF(AND($R56&lt;&gt;"",EDATE($D56,Milestones!$AA$129)&gt;=$R56),$U56,$T56)))=Milestones!$AB$129),TEXT(EDATE($D56,Milestones!$AA$129),"dd/mm/yy")&amp;" "&amp;Milestones!$AB$129&amp;" "&amp;Milestones!$AC$129&amp;";  ","")&amp;IF(AND(EDATE($D56,Milestones!$AA$130)&lt;=AsOfDate,IF($Q56=0,$W56,IF(AND($S56&lt;&gt;"",EDATE($D56,Milestones!$AA$130)&gt;=$S56),$V56,IF(AND($R56&lt;&gt;"",EDATE($D56,Milestones!$AA$130)&gt;=$R56),$U56,$T56)))=Milestones!$AB$130),TEXT(EDATE($D56,Milestones!$AA$130),"dd/mm/yy")&amp;" "&amp;Milestones!$AB$130&amp;" "&amp;Milestones!$AC$130&amp;";  ","")&amp;IF(AND(EDATE($D56,Milestones!$AA$131)&lt;=AsOfDate,IF($Q56=0,$W56,IF(AND($S56&lt;&gt;"",EDATE($D56,Milestones!$AA$131)&gt;=$S56),$V56,IF(AND($R56&lt;&gt;"",EDATE($D56,Milestones!$AA$131)&gt;=$R56),$U56,$T56)))=Milestones!$AB$131),TEXT(EDATE($D56,Milestones!$AA$131),"dd/mm/yy")&amp;" "&amp;Milestones!$AB$131&amp;" "&amp;Milestones!$AC$131&amp;";  ","")&amp;IF(AND(EDATE($D56,Milestones!$AA$132)&lt;=AsOfDate,IF($Q56=0,$W56,IF(AND($S56&lt;&gt;"",EDATE($D56,Milestones!$AA$132)&gt;=$S56),$V56,IF(AND($R56&lt;&gt;"",EDATE($D56,Milestones!$AA$132)&gt;=$R56),$U56,$T56)))=Milestones!$AB$132),TEXT(EDATE($D56,Milestones!$AA$132),"dd/mm/yy")&amp;" "&amp;Milestones!$AB$132&amp;" "&amp;Milestones!$AC$132&amp;";  ","")&amp;IF(AND(EDATE($D56,Milestones!$AA$133)&lt;=AsOfDate,IF($Q56=0,$W56,IF(AND($S56&lt;&gt;"",EDATE($D56,Milestones!$AA$133)&gt;=$S56),$V56,IF(AND($R56&lt;&gt;"",EDATE($D56,Milestones!$AA$133)&gt;=$R56),$U56,$T56)))=Milestones!$AB$133),TEXT(EDATE($D56,Milestones!$AA$133),"dd/mm/yy")&amp;" "&amp;Milestones!$AB$133&amp;" "&amp;Milestones!$AC$133&amp;";  ","")&amp;IF(AND(EDATE($D56,Milestones!$AA$134)&lt;=AsOfDate,IF($Q56=0,$W56,IF(AND($S56&lt;&gt;"",EDATE($D56,Milestones!$AA$134)&gt;=$S56),$V56,IF(AND($R56&lt;&gt;"",EDATE($D56,Milestones!$AA$134)&gt;=$R56),$U56,$T56)))=Milestones!$AB$134),TEXT(EDATE($D56,Milestones!$AA$134),"dd/mm/yy")&amp;" "&amp;Milestones!$AB$134&amp;" "&amp;Milestones!$AC$134&amp;";  ","")&amp;IF(AND(EDATE($D56,Milestones!$AA$135)&lt;=AsOfDate,IF($Q56=0,$W56,IF(AND($S56&lt;&gt;"",EDATE($D56,Milestones!$AA$135)&gt;=$S56),$V56,IF(AND($R56&lt;&gt;"",EDATE($D56,Milestones!$AA$135)&gt;=$R56),$U56,$T56)))=Milestones!$AB$135),TEXT(EDATE($D56,Milestones!$AA$135),"dd/mm/yy")&amp;" "&amp;Milestones!$AB$135&amp;" "&amp;Milestones!$AC$135&amp;";  ","")&amp;IF(AND(EDATE($D56,Milestones!$AA$136)&lt;=AsOfDate,IF($Q56=0,$W56,IF(AND($S56&lt;&gt;"",EDATE($D56,Milestones!$AA$136)&gt;=$S56),$V56,IF(AND($R56&lt;&gt;"",EDATE($D56,Milestones!$AA$136)&gt;=$R56),$U56,$T56)))=Milestones!$AB$136),TEXT(EDATE($D56,Milestones!$AA$136),"dd/mm/yy")&amp;" "&amp;Milestones!$AB$136&amp;" "&amp;Milestones!$AC$136&amp;";  ","")&amp;IF(AND(EDATE($D56,Milestones!$AA$137)&lt;=AsOfDate,IF($Q56=0,$W56,IF(AND($S56&lt;&gt;"",EDATE($D56,Milestones!$AA$137)&gt;=$S56),$V56,IF(AND($R56&lt;&gt;"",EDATE($D56,Milestones!$AA$137)&gt;=$R56),$U56,$T56)))=Milestones!$AB$137),TEXT(EDATE($D56,Milestones!$AA$137),"dd/mm/yy")&amp;" "&amp;Milestones!$AB$137&amp;" "&amp;Milestones!$AC$137&amp;";  ","")&amp;IF(AND(EDATE($D56,Milestones!$AA$138)&lt;=AsOfDate,IF($Q56=0,$W56,IF(AND($S56&lt;&gt;"",EDATE($D56,Milestones!$AA$138)&gt;=$S56),$V56,IF(AND($R56&lt;&gt;"",EDATE($D56,Milestones!$AA$138)&gt;=$R56),$U56,$T56)))=Milestones!$AB$138),TEXT(EDATE($D56,Milestones!$AA$138),"dd/mm/yy")&amp;" "&amp;Milestones!$AB$138&amp;" "&amp;Milestones!$AC$138&amp;";  ","")&amp;IF(AND(EDATE($D56,Milestones!$AA$139)&lt;=AsOfDate,IF($Q56=0,$W56,IF(AND($S56&lt;&gt;"",EDATE($D56,Milestones!$AA$139)&gt;=$S56),$V56,IF(AND($R56&lt;&gt;"",EDATE($D56,Milestones!$AA$139)&gt;=$R56),$U56,$T56)))=Milestones!$AB$139),TEXT(EDATE($D56,Milestones!$AA$139),"dd/mm/yy")&amp;" "&amp;Milestones!$AB$139&amp;" "&amp;Milestones!$AC$139&amp;";  ",""))</f>
        <v/>
      </c>
      <c r="N56" s="0" t="str">
        <f aca="false">IF(OR($A56="",$D56=""),"",IF(AND(EDATE($D56,Milestones!$AA$140)&lt;=AsOfDate,IF($Q56=0,$W56,IF(AND($S56&lt;&gt;"",EDATE($D56,Milestones!$AA$140)&gt;=$S56),$V56,IF(AND($R56&lt;&gt;"",EDATE($D56,Milestones!$AA$140)&gt;=$R56),$U56,$T56)))=Milestones!$AB$140),TEXT(EDATE($D56,Milestones!$AA$140),"dd/mm/yy")&amp;" "&amp;Milestones!$AB$140&amp;" "&amp;Milestones!$AC$140&amp;";  ","")&amp;IF(AND(EDATE($D56,Milestones!$AA$141)&lt;=AsOfDate,IF($Q56=0,$W56,IF(AND($S56&lt;&gt;"",EDATE($D56,Milestones!$AA$141)&gt;=$S56),$V56,IF(AND($R56&lt;&gt;"",EDATE($D56,Milestones!$AA$141)&gt;=$R56),$U56,$T56)))=Milestones!$AB$141),TEXT(EDATE($D56,Milestones!$AA$141),"dd/mm/yy")&amp;" "&amp;Milestones!$AB$141&amp;" "&amp;Milestones!$AC$141&amp;";  ","")&amp;IF(AND(EDATE($D56,Milestones!$AA$142)&lt;=AsOfDate,IF($Q56=0,$W56,IF(AND($S56&lt;&gt;"",EDATE($D56,Milestones!$AA$142)&gt;=$S56),$V56,IF(AND($R56&lt;&gt;"",EDATE($D56,Milestones!$AA$142)&gt;=$R56),$U56,$T56)))=Milestones!$AB$142),TEXT(EDATE($D56,Milestones!$AA$142),"dd/mm/yy")&amp;" "&amp;Milestones!$AB$142&amp;" "&amp;Milestones!$AC$142&amp;";  ","")&amp;IF(AND(EDATE($D56,Milestones!$AA$143)&lt;=AsOfDate,IF($Q56=0,$W56,IF(AND($S56&lt;&gt;"",EDATE($D56,Milestones!$AA$143)&gt;=$S56),$V56,IF(AND($R56&lt;&gt;"",EDATE($D56,Milestones!$AA$143)&gt;=$R56),$U56,$T56)))=Milestones!$AB$143),TEXT(EDATE($D56,Milestones!$AA$143),"dd/mm/yy")&amp;" "&amp;Milestones!$AB$143&amp;" "&amp;Milestones!$AC$143&amp;";  ","")&amp;IF(AND(EDATE($D56,Milestones!$AA$144)&lt;=AsOfDate,IF($Q56=0,$W56,IF(AND($S56&lt;&gt;"",EDATE($D56,Milestones!$AA$144)&gt;=$S56),$V56,IF(AND($R56&lt;&gt;"",EDATE($D56,Milestones!$AA$144)&gt;=$R56),$U56,$T56)))=Milestones!$AB$144),TEXT(EDATE($D56,Milestones!$AA$144),"dd/mm/yy")&amp;" "&amp;Milestones!$AB$144&amp;" "&amp;Milestones!$AC$144&amp;";  ","")&amp;IF(AND(EDATE($D56,Milestones!$AA$145)&lt;=AsOfDate,IF($Q56=0,$W56,IF(AND($S56&lt;&gt;"",EDATE($D56,Milestones!$AA$145)&gt;=$S56),$V56,IF(AND($R56&lt;&gt;"",EDATE($D56,Milestones!$AA$145)&gt;=$R56),$U56,$T56)))=Milestones!$AB$145),TEXT(EDATE($D56,Milestones!$AA$145),"dd/mm/yy")&amp;" "&amp;Milestones!$AB$145&amp;" "&amp;Milestones!$AC$145&amp;";  ","")&amp;IF(AND(EDATE($D56,Milestones!$AA$146)&lt;=AsOfDate,IF($Q56=0,$W56,IF(AND($S56&lt;&gt;"",EDATE($D56,Milestones!$AA$146)&gt;=$S56),$V56,IF(AND($R56&lt;&gt;"",EDATE($D56,Milestones!$AA$146)&gt;=$R56),$U56,$T56)))=Milestones!$AB$146),TEXT(EDATE($D56,Milestones!$AA$146),"dd/mm/yy")&amp;" "&amp;Milestones!$AB$146&amp;" "&amp;Milestones!$AC$146&amp;";  ","")&amp;IF(AND(EDATE($D56,Milestones!$AA$147)&lt;=AsOfDate,IF($Q56=0,$W56,IF(AND($S56&lt;&gt;"",EDATE($D56,Milestones!$AA$147)&gt;=$S56),$V56,IF(AND($R56&lt;&gt;"",EDATE($D56,Milestones!$AA$147)&gt;=$R56),$U56,$T56)))=Milestones!$AB$147),TEXT(EDATE($D56,Milestones!$AA$147),"dd/mm/yy")&amp;" "&amp;Milestones!$AB$147&amp;" "&amp;Milestones!$AC$147&amp;";  ","")&amp;IF(AND(EDATE($D56,Milestones!$AA$148)&lt;=AsOfDate,IF($Q56=0,$W56,IF(AND($S56&lt;&gt;"",EDATE($D56,Milestones!$AA$148)&gt;=$S56),$V56,IF(AND($R56&lt;&gt;"",EDATE($D56,Milestones!$AA$148)&gt;=$R56),$U56,$T56)))=Milestones!$AB$148),TEXT(EDATE($D56,Milestones!$AA$148),"dd/mm/yy")&amp;" "&amp;Milestones!$AB$148&amp;" "&amp;Milestones!$AC$148&amp;";  ","")&amp;IF(AND(EDATE($D56,Milestones!$AA$149)&lt;=AsOfDate,IF($Q56=0,$W56,IF(AND($S56&lt;&gt;"",EDATE($D56,Milestones!$AA$149)&gt;=$S56),$V56,IF(AND($R56&lt;&gt;"",EDATE($D56,Milestones!$AA$149)&gt;=$R56),$U56,$T56)))=Milestones!$AB$149),TEXT(EDATE($D56,Milestones!$AA$149),"dd/mm/yy")&amp;" "&amp;Milestones!$AB$149&amp;" "&amp;Milestones!$AC$149&amp;";  ","")&amp;IF(AND(EDATE($D56,Milestones!$AA$150)&lt;=AsOfDate,IF($Q56=0,$W56,IF(AND($S56&lt;&gt;"",EDATE($D56,Milestones!$AA$150)&gt;=$S56),$V56,IF(AND($R56&lt;&gt;"",EDATE($D56,Milestones!$AA$150)&gt;=$R56),$U56,$T56)))=Milestones!$AB$150),TEXT(EDATE($D56,Milestones!$AA$150),"dd/mm/yy")&amp;" "&amp;Milestones!$AB$150&amp;" "&amp;Milestones!$AC$150&amp;";  ","")&amp;IF(AND(EDATE($D56,Milestones!$AA$151)&lt;=AsOfDate,IF($Q56=0,$W56,IF(AND($S56&lt;&gt;"",EDATE($D56,Milestones!$AA$151)&gt;=$S56),$V56,IF(AND($R56&lt;&gt;"",EDATE($D56,Milestones!$AA$151)&gt;=$R56),$U56,$T56)))=Milestones!$AB$151),TEXT(EDATE($D56,Milestones!$AA$151),"dd/mm/yy")&amp;" "&amp;Milestones!$AB$151&amp;" "&amp;Milestones!$AC$151&amp;";  ","")&amp;IF(AND(EDATE($D56,Milestones!$AA$152)&lt;=AsOfDate,IF($Q56=0,$W56,IF(AND($S56&lt;&gt;"",EDATE($D56,Milestones!$AA$152)&gt;=$S56),$V56,IF(AND($R56&lt;&gt;"",EDATE($D56,Milestones!$AA$152)&gt;=$R56),$U56,$T56)))=Milestones!$AB$152),TEXT(EDATE($D56,Milestones!$AA$152),"dd/mm/yy")&amp;" "&amp;Milestones!$AB$152&amp;" "&amp;Milestones!$AC$152&amp;";  ","")&amp;IF(AND(EDATE($D56,Milestones!$AA$153)&lt;=AsOfDate,IF($Q56=0,$W56,IF(AND($S56&lt;&gt;"",EDATE($D56,Milestones!$AA$153)&gt;=$S56),$V56,IF(AND($R56&lt;&gt;"",EDATE($D56,Milestones!$AA$153)&gt;=$R56),$U56,$T56)))=Milestones!$AB$153),TEXT(EDATE($D56,Milestones!$AA$153),"dd/mm/yy")&amp;" "&amp;Milestones!$AB$153&amp;" "&amp;Milestones!$AC$153&amp;";  ","")&amp;IF(AND(EDATE($D56,Milestones!$AA$154)&lt;=AsOfDate,IF($Q56=0,$W56,IF(AND($S56&lt;&gt;"",EDATE($D56,Milestones!$AA$154)&gt;=$S56),$V56,IF(AND($R56&lt;&gt;"",EDATE($D56,Milestones!$AA$154)&gt;=$R56),$U56,$T56)))=Milestones!$AB$154),TEXT(EDATE($D56,Milestones!$AA$154),"dd/mm/yy")&amp;" "&amp;Milestones!$AB$154&amp;" "&amp;Milestones!$AC$154&amp;";  ","")&amp;IF(AND(EDATE($D56,Milestones!$AA$155)&lt;=AsOfDate,IF($Q56=0,$W56,IF(AND($S56&lt;&gt;"",EDATE($D56,Milestones!$AA$155)&gt;=$S56),$V56,IF(AND($R56&lt;&gt;"",EDATE($D56,Milestones!$AA$155)&gt;=$R56),$U56,$T56)))=Milestones!$AB$155),TEXT(EDATE($D56,Milestones!$AA$155),"dd/mm/yy")&amp;" "&amp;Milestones!$AB$155&amp;" "&amp;Milestones!$AC$155&amp;";  ","")&amp;IF(AND(EDATE($D56,Milestones!$AA$156)&lt;=AsOfDate,IF($Q56=0,$W56,IF(AND($S56&lt;&gt;"",EDATE($D56,Milestones!$AA$156)&gt;=$S56),$V56,IF(AND($R56&lt;&gt;"",EDATE($D56,Milestones!$AA$156)&gt;=$R56),$U56,$T56)))=Milestones!$AB$156),TEXT(EDATE($D56,Milestones!$AA$156),"dd/mm/yy")&amp;" "&amp;Milestones!$AB$156&amp;" "&amp;Milestones!$AC$156&amp;";  ","")&amp;IF(AND(EDATE($D56,Milestones!$AA$157)&lt;=AsOfDate,IF($Q56=0,$W56,IF(AND($S56&lt;&gt;"",EDATE($D56,Milestones!$AA$157)&gt;=$S56),$V56,IF(AND($R56&lt;&gt;"",EDATE($D56,Milestones!$AA$157)&gt;=$R56),$U56,$T56)))=Milestones!$AB$157),TEXT(EDATE($D56,Milestones!$AA$157),"dd/mm/yy")&amp;" "&amp;Milestones!$AB$157&amp;" "&amp;Milestones!$AC$157&amp;";  ","")&amp;IF(AND(EDATE($D56,Milestones!$AA$158)&lt;=AsOfDate,IF($Q56=0,$W56,IF(AND($S56&lt;&gt;"",EDATE($D56,Milestones!$AA$158)&gt;=$S56),$V56,IF(AND($R56&lt;&gt;"",EDATE($D56,Milestones!$AA$158)&gt;=$R56),$U56,$T56)))=Milestones!$AB$158),TEXT(EDATE($D56,Milestones!$AA$158),"dd/mm/yy")&amp;" "&amp;Milestones!$AB$158&amp;" "&amp;Milestones!$AC$158&amp;";  ","")&amp;IF(AND(EDATE($D56,Milestones!$AA$159)&lt;=AsOfDate,IF($Q56=0,$W56,IF(AND($S56&lt;&gt;"",EDATE($D56,Milestones!$AA$159)&gt;=$S56),$V56,IF(AND($R56&lt;&gt;"",EDATE($D56,Milestones!$AA$159)&gt;=$R56),$U56,$T56)))=Milestones!$AB$159),TEXT(EDATE($D56,Milestones!$AA$159),"dd/mm/yy")&amp;" "&amp;Milestones!$AB$159&amp;" "&amp;Milestones!$AC$159&amp;";  ",""))</f>
        <v/>
      </c>
      <c r="O56" s="0" t="str">
        <f aca="false">IF(OR($A56="",$D56=""),"",IF(AND(EDATE($D56,Milestones!$AA$160)&lt;=AsOfDate,IF($Q56=0,$W56,IF(AND($S56&lt;&gt;"",EDATE($D56,Milestones!$AA$160)&gt;=$S56),$V56,IF(AND($R56&lt;&gt;"",EDATE($D56,Milestones!$AA$160)&gt;=$R56),$U56,$T56)))=Milestones!$AB$160),TEXT(EDATE($D56,Milestones!$AA$160),"dd/mm/yy")&amp;" "&amp;Milestones!$AB$160&amp;" "&amp;Milestones!$AC$160&amp;";  ","")&amp;IF(AND(EDATE($D56,Milestones!$AA$161)&lt;=AsOfDate,IF($Q56=0,$W56,IF(AND($S56&lt;&gt;"",EDATE($D56,Milestones!$AA$161)&gt;=$S56),$V56,IF(AND($R56&lt;&gt;"",EDATE($D56,Milestones!$AA$161)&gt;=$R56),$U56,$T56)))=Milestones!$AB$161),TEXT(EDATE($D56,Milestones!$AA$161),"dd/mm/yy")&amp;" "&amp;Milestones!$AB$161&amp;" "&amp;Milestones!$AC$161&amp;";  ","")&amp;IF(AND(EDATE($D56,Milestones!$AA$162)&lt;=AsOfDate,IF($Q56=0,$W56,IF(AND($S56&lt;&gt;"",EDATE($D56,Milestones!$AA$162)&gt;=$S56),$V56,IF(AND($R56&lt;&gt;"",EDATE($D56,Milestones!$AA$162)&gt;=$R56),$U56,$T56)))=Milestones!$AB$162),TEXT(EDATE($D56,Milestones!$AA$162),"dd/mm/yy")&amp;" "&amp;Milestones!$AB$162&amp;" "&amp;Milestones!$AC$162&amp;";  ","")&amp;IF(AND(EDATE($D56,Milestones!$AA$163)&lt;=AsOfDate,IF($Q56=0,$W56,IF(AND($S56&lt;&gt;"",EDATE($D56,Milestones!$AA$163)&gt;=$S56),$V56,IF(AND($R56&lt;&gt;"",EDATE($D56,Milestones!$AA$163)&gt;=$R56),$U56,$T56)))=Milestones!$AB$163),TEXT(EDATE($D56,Milestones!$AA$163),"dd/mm/yy")&amp;" "&amp;Milestones!$AB$163&amp;" "&amp;Milestones!$AC$163&amp;";  ","")&amp;IF(AND(EDATE($D56,Milestones!$AA$164)&lt;=AsOfDate,IF($Q56=0,$W56,IF(AND($S56&lt;&gt;"",EDATE($D56,Milestones!$AA$164)&gt;=$S56),$V56,IF(AND($R56&lt;&gt;"",EDATE($D56,Milestones!$AA$164)&gt;=$R56),$U56,$T56)))=Milestones!$AB$164),TEXT(EDATE($D56,Milestones!$AA$164),"dd/mm/yy")&amp;" "&amp;Milestones!$AB$164&amp;" "&amp;Milestones!$AC$164&amp;";  ","")&amp;IF(AND(EDATE($D56,Milestones!$AA$165)&lt;=AsOfDate,IF($Q56=0,$W56,IF(AND($S56&lt;&gt;"",EDATE($D56,Milestones!$AA$165)&gt;=$S56),$V56,IF(AND($R56&lt;&gt;"",EDATE($D56,Milestones!$AA$165)&gt;=$R56),$U56,$T56)))=Milestones!$AB$165),TEXT(EDATE($D56,Milestones!$AA$165),"dd/mm/yy")&amp;" "&amp;Milestones!$AB$165&amp;" "&amp;Milestones!$AC$165&amp;";  ","")&amp;IF(AND(EDATE($D56,Milestones!$AA$166)&lt;=AsOfDate,IF($Q56=0,$W56,IF(AND($S56&lt;&gt;"",EDATE($D56,Milestones!$AA$166)&gt;=$S56),$V56,IF(AND($R56&lt;&gt;"",EDATE($D56,Milestones!$AA$166)&gt;=$R56),$U56,$T56)))=Milestones!$AB$166),TEXT(EDATE($D56,Milestones!$AA$166),"dd/mm/yy")&amp;" "&amp;Milestones!$AB$166&amp;" "&amp;Milestones!$AC$166&amp;";  ","")&amp;IF(AND(EDATE($D56,Milestones!$AA$167)&lt;=AsOfDate,IF($Q56=0,$W56,IF(AND($S56&lt;&gt;"",EDATE($D56,Milestones!$AA$167)&gt;=$S56),$V56,IF(AND($R56&lt;&gt;"",EDATE($D56,Milestones!$AA$167)&gt;=$R56),$U56,$T56)))=Milestones!$AB$167),TEXT(EDATE($D56,Milestones!$AA$167),"dd/mm/yy")&amp;" "&amp;Milestones!$AB$167&amp;" "&amp;Milestones!$AC$167&amp;";  ","")&amp;IF(AND(EDATE($D56,Milestones!$AA$168)&lt;=AsOfDate,IF($Q56=0,$W56,IF(AND($S56&lt;&gt;"",EDATE($D56,Milestones!$AA$168)&gt;=$S56),$V56,IF(AND($R56&lt;&gt;"",EDATE($D56,Milestones!$AA$168)&gt;=$R56),$U56,$T56)))=Milestones!$AB$168),TEXT(EDATE($D56,Milestones!$AA$168),"dd/mm/yy")&amp;" "&amp;Milestones!$AB$168&amp;" "&amp;Milestones!$AC$168&amp;";  ","")&amp;IF(AND(EDATE($D56,Milestones!$AA$169)&lt;=AsOfDate,IF($Q56=0,$W56,IF(AND($S56&lt;&gt;"",EDATE($D56,Milestones!$AA$169)&gt;=$S56),$V56,IF(AND($R56&lt;&gt;"",EDATE($D56,Milestones!$AA$169)&gt;=$R56),$U56,$T56)))=Milestones!$AB$169),TEXT(EDATE($D56,Milestones!$AA$169),"dd/mm/yy")&amp;" "&amp;Milestones!$AB$169&amp;" "&amp;Milestones!$AC$169&amp;";  ","")&amp;IF(AND(EDATE($D56,Milestones!$AA$170)&lt;=AsOfDate,IF($Q56=0,$W56,IF(AND($S56&lt;&gt;"",EDATE($D56,Milestones!$AA$170)&gt;=$S56),$V56,IF(AND($R56&lt;&gt;"",EDATE($D56,Milestones!$AA$170)&gt;=$R56),$U56,$T56)))=Milestones!$AB$170),TEXT(EDATE($D56,Milestones!$AA$170),"dd/mm/yy")&amp;" "&amp;Milestones!$AB$170&amp;" "&amp;Milestones!$AC$170&amp;";  ","")&amp;IF(AND(EDATE($D56,Milestones!$AA$171)&lt;=AsOfDate,IF($Q56=0,$W56,IF(AND($S56&lt;&gt;"",EDATE($D56,Milestones!$AA$171)&gt;=$S56),$V56,IF(AND($R56&lt;&gt;"",EDATE($D56,Milestones!$AA$171)&gt;=$R56),$U56,$T56)))=Milestones!$AB$171),TEXT(EDATE($D56,Milestones!$AA$171),"dd/mm/yy")&amp;" "&amp;Milestones!$AB$171&amp;" "&amp;Milestones!$AC$171&amp;";  ","")&amp;IF(AND(EDATE($D56,Milestones!$AA$172)&lt;=AsOfDate,IF($Q56=0,$W56,IF(AND($S56&lt;&gt;"",EDATE($D56,Milestones!$AA$172)&gt;=$S56),$V56,IF(AND($R56&lt;&gt;"",EDATE($D56,Milestones!$AA$172)&gt;=$R56),$U56,$T56)))=Milestones!$AB$172),TEXT(EDATE($D56,Milestones!$AA$172),"dd/mm/yy")&amp;" "&amp;Milestones!$AB$172&amp;" "&amp;Milestones!$AC$172&amp;";  ","")&amp;IF(AND(EDATE($D56,Milestones!$AA$173)&lt;=AsOfDate,IF($Q56=0,$W56,IF(AND($S56&lt;&gt;"",EDATE($D56,Milestones!$AA$173)&gt;=$S56),$V56,IF(AND($R56&lt;&gt;"",EDATE($D56,Milestones!$AA$173)&gt;=$R56),$U56,$T56)))=Milestones!$AB$173),TEXT(EDATE($D56,Milestones!$AA$173),"dd/mm/yy")&amp;" "&amp;Milestones!$AB$173&amp;" "&amp;Milestones!$AC$173&amp;";  ","")&amp;IF(AND(EDATE($D56,Milestones!$AA$174)&lt;=AsOfDate,IF($Q56=0,$W56,IF(AND($S56&lt;&gt;"",EDATE($D56,Milestones!$AA$174)&gt;=$S56),$V56,IF(AND($R56&lt;&gt;"",EDATE($D56,Milestones!$AA$174)&gt;=$R56),$U56,$T56)))=Milestones!$AB$174),TEXT(EDATE($D56,Milestones!$AA$174),"dd/mm/yy")&amp;" "&amp;Milestones!$AB$174&amp;" "&amp;Milestones!$AC$174&amp;";  ","")&amp;IF(AND(EDATE($D56,Milestones!$AA$175)&lt;=AsOfDate,IF($Q56=0,$W56,IF(AND($S56&lt;&gt;"",EDATE($D56,Milestones!$AA$175)&gt;=$S56),$V56,IF(AND($R56&lt;&gt;"",EDATE($D56,Milestones!$AA$175)&gt;=$R56),$U56,$T56)))=Milestones!$AB$175),TEXT(EDATE($D56,Milestones!$AA$175),"dd/mm/yy")&amp;" "&amp;Milestones!$AB$175&amp;" "&amp;Milestones!$AC$175&amp;";  ","")&amp;IF(AND(EDATE($D56,Milestones!$AA$176)&lt;=AsOfDate,IF($Q56=0,$W56,IF(AND($S56&lt;&gt;"",EDATE($D56,Milestones!$AA$176)&gt;=$S56),$V56,IF(AND($R56&lt;&gt;"",EDATE($D56,Milestones!$AA$176)&gt;=$R56),$U56,$T56)))=Milestones!$AB$176),TEXT(EDATE($D56,Milestones!$AA$176),"dd/mm/yy")&amp;" "&amp;Milestones!$AB$176&amp;" "&amp;Milestones!$AC$176&amp;";  ","")&amp;IF(AND(EDATE($D56,Milestones!$AA$177)&lt;=AsOfDate,IF($Q56=0,$W56,IF(AND($S56&lt;&gt;"",EDATE($D56,Milestones!$AA$177)&gt;=$S56),$V56,IF(AND($R56&lt;&gt;"",EDATE($D56,Milestones!$AA$177)&gt;=$R56),$U56,$T56)))=Milestones!$AB$177),TEXT(EDATE($D56,Milestones!$AA$177),"dd/mm/yy")&amp;" "&amp;Milestones!$AB$177&amp;" "&amp;Milestones!$AC$177&amp;";  ","")&amp;IF(AND(EDATE($D56,Milestones!$AA$178)&lt;=AsOfDate,IF($Q56=0,$W56,IF(AND($S56&lt;&gt;"",EDATE($D56,Milestones!$AA$178)&gt;=$S56),$V56,IF(AND($R56&lt;&gt;"",EDATE($D56,Milestones!$AA$178)&gt;=$R56),$U56,$T56)))=Milestones!$AB$178),TEXT(EDATE($D56,Milestones!$AA$178),"dd/mm/yy")&amp;" "&amp;Milestones!$AB$178&amp;" "&amp;Milestones!$AC$178&amp;";  ","")&amp;IF(AND(EDATE($D56,Milestones!$AA$179)&lt;=AsOfDate,IF($Q56=0,$W56,IF(AND($S56&lt;&gt;"",EDATE($D56,Milestones!$AA$179)&gt;=$S56),$V56,IF(AND($R56&lt;&gt;"",EDATE($D56,Milestones!$AA$179)&gt;=$R56),$U56,$T56)))=Milestones!$AB$179),TEXT(EDATE($D56,Milestones!$AA$179),"dd/mm/yy")&amp;" "&amp;Milestones!$AB$179&amp;" "&amp;Milestones!$AC$179&amp;";  ",""))</f>
        <v/>
      </c>
      <c r="P56" s="0" t="str">
        <f aca="false">IF(OR($A56="",$D56=""),"",IF(AND(EDATE($D56,Milestones!$AA$180)&lt;=AsOfDate,IF($Q56=0,$W56,IF(AND($S56&lt;&gt;"",EDATE($D56,Milestones!$AA$180)&gt;=$S56),$V56,IF(AND($R56&lt;&gt;"",EDATE($D56,Milestones!$AA$180)&gt;=$R56),$U56,$T56)))=Milestones!$AB$180),TEXT(EDATE($D56,Milestones!$AA$180),"dd/mm/yy")&amp;" "&amp;Milestones!$AB$180&amp;" "&amp;Milestones!$AC$180&amp;";  ","")&amp;IF(AND(EDATE($D56,Milestones!$AA$181)&lt;=AsOfDate,IF($Q56=0,$W56,IF(AND($S56&lt;&gt;"",EDATE($D56,Milestones!$AA$181)&gt;=$S56),$V56,IF(AND($R56&lt;&gt;"",EDATE($D56,Milestones!$AA$181)&gt;=$R56),$U56,$T56)))=Milestones!$AB$181),TEXT(EDATE($D56,Milestones!$AA$181),"dd/mm/yy")&amp;" "&amp;Milestones!$AB$181&amp;" "&amp;Milestones!$AC$181&amp;";  ","")&amp;IF(AND(EDATE($D56,Milestones!$AA$182)&lt;=AsOfDate,IF($Q56=0,$W56,IF(AND($S56&lt;&gt;"",EDATE($D56,Milestones!$AA$182)&gt;=$S56),$V56,IF(AND($R56&lt;&gt;"",EDATE($D56,Milestones!$AA$182)&gt;=$R56),$U56,$T56)))=Milestones!$AB$182),TEXT(EDATE($D56,Milestones!$AA$182),"dd/mm/yy")&amp;" "&amp;Milestones!$AB$182&amp;" "&amp;Milestones!$AC$182&amp;";  ","")&amp;IF(AND(EDATE($D56,Milestones!$AA$183)&lt;=AsOfDate,IF($Q56=0,$W56,IF(AND($S56&lt;&gt;"",EDATE($D56,Milestones!$AA$183)&gt;=$S56),$V56,IF(AND($R56&lt;&gt;"",EDATE($D56,Milestones!$AA$183)&gt;=$R56),$U56,$T56)))=Milestones!$AB$183),TEXT(EDATE($D56,Milestones!$AA$183),"dd/mm/yy")&amp;" "&amp;Milestones!$AB$183&amp;" "&amp;Milestones!$AC$183&amp;";  ","")&amp;IF(AND(EDATE($D56,Milestones!$AA$184)&lt;=AsOfDate,IF($Q56=0,$W56,IF(AND($S56&lt;&gt;"",EDATE($D56,Milestones!$AA$184)&gt;=$S56),$V56,IF(AND($R56&lt;&gt;"",EDATE($D56,Milestones!$AA$184)&gt;=$R56),$U56,$T56)))=Milestones!$AB$184),TEXT(EDATE($D56,Milestones!$AA$184),"dd/mm/yy")&amp;" "&amp;Milestones!$AB$184&amp;" "&amp;Milestones!$AC$184&amp;";  ","")&amp;IF(AND(EDATE($D56,Milestones!$AA$185)&lt;=AsOfDate,IF($Q56=0,$W56,IF(AND($S56&lt;&gt;"",EDATE($D56,Milestones!$AA$185)&gt;=$S56),$V56,IF(AND($R56&lt;&gt;"",EDATE($D56,Milestones!$AA$185)&gt;=$R56),$U56,$T56)))=Milestones!$AB$185),TEXT(EDATE($D56,Milestones!$AA$185),"dd/mm/yy")&amp;" "&amp;Milestones!$AB$185&amp;" "&amp;Milestones!$AC$185&amp;";  ","")&amp;IF(AND(EDATE($D56,Milestones!$AA$186)&lt;=AsOfDate,IF($Q56=0,$W56,IF(AND($S56&lt;&gt;"",EDATE($D56,Milestones!$AA$186)&gt;=$S56),$V56,IF(AND($R56&lt;&gt;"",EDATE($D56,Milestones!$AA$186)&gt;=$R56),$U56,$T56)))=Milestones!$AB$186),TEXT(EDATE($D56,Milestones!$AA$186),"dd/mm/yy")&amp;" "&amp;Milestones!$AB$186&amp;" "&amp;Milestones!$AC$186&amp;";  ","")&amp;IF(AND(EDATE($D56,Milestones!$AA$187)&lt;=AsOfDate,IF($Q56=0,$W56,IF(AND($S56&lt;&gt;"",EDATE($D56,Milestones!$AA$187)&gt;=$S56),$V56,IF(AND($R56&lt;&gt;"",EDATE($D56,Milestones!$AA$187)&gt;=$R56),$U56,$T56)))=Milestones!$AB$187),TEXT(EDATE($D56,Milestones!$AA$187),"dd/mm/yy")&amp;" "&amp;Milestones!$AB$187&amp;" "&amp;Milestones!$AC$187&amp;";  ","")&amp;IF(AND(EDATE($D56,Milestones!$AA$188)&lt;=AsOfDate,IF($Q56=0,$W56,IF(AND($S56&lt;&gt;"",EDATE($D56,Milestones!$AA$188)&gt;=$S56),$V56,IF(AND($R56&lt;&gt;"",EDATE($D56,Milestones!$AA$188)&gt;=$R56),$U56,$T56)))=Milestones!$AB$188),TEXT(EDATE($D56,Milestones!$AA$188),"dd/mm/yy")&amp;" "&amp;Milestones!$AB$188&amp;" "&amp;Milestones!$AC$188&amp;";  ","")&amp;IF(AND(EDATE($D56,Milestones!$AA$189)&lt;=AsOfDate,IF($Q56=0,$W56,IF(AND($S56&lt;&gt;"",EDATE($D56,Milestones!$AA$189)&gt;=$S56),$V56,IF(AND($R56&lt;&gt;"",EDATE($D56,Milestones!$AA$189)&gt;=$R56),$U56,$T56)))=Milestones!$AB$189),TEXT(EDATE($D56,Milestones!$AA$189),"dd/mm/yy")&amp;" "&amp;Milestones!$AB$189&amp;" "&amp;Milestones!$AC$189&amp;";  ","")&amp;IF(AND(EDATE($D56,Milestones!$AA$190)&lt;=AsOfDate,IF($Q56=0,$W56,IF(AND($S56&lt;&gt;"",EDATE($D56,Milestones!$AA$190)&gt;=$S56),$V56,IF(AND($R56&lt;&gt;"",EDATE($D56,Milestones!$AA$190)&gt;=$R56),$U56,$T56)))=Milestones!$AB$190),TEXT(EDATE($D56,Milestones!$AA$190),"dd/mm/yy")&amp;" "&amp;Milestones!$AB$190&amp;" "&amp;Milestones!$AC$190&amp;";  ","")&amp;IF(AND(EDATE($D56,Milestones!$AA$191)&lt;=AsOfDate,IF($Q56=0,$W56,IF(AND($S56&lt;&gt;"",EDATE($D56,Milestones!$AA$191)&gt;=$S56),$V56,IF(AND($R56&lt;&gt;"",EDATE($D56,Milestones!$AA$191)&gt;=$R56),$U56,$T56)))=Milestones!$AB$191),TEXT(EDATE($D56,Milestones!$AA$191),"dd/mm/yy")&amp;" "&amp;Milestones!$AB$191&amp;" "&amp;Milestones!$AC$191&amp;";  ","")&amp;IF(AND(EDATE($D56,Milestones!$AA$192)&lt;=AsOfDate,IF($Q56=0,$W56,IF(AND($S56&lt;&gt;"",EDATE($D56,Milestones!$AA$192)&gt;=$S56),$V56,IF(AND($R56&lt;&gt;"",EDATE($D56,Milestones!$AA$192)&gt;=$R56),$U56,$T56)))=Milestones!$AB$192),TEXT(EDATE($D56,Milestones!$AA$192),"dd/mm/yy")&amp;" "&amp;Milestones!$AB$192&amp;" "&amp;Milestones!$AC$192&amp;";  ","")&amp;IF(AND(EDATE($D56,Milestones!$AA$193)&lt;=AsOfDate,IF($Q56=0,$W56,IF(AND($S56&lt;&gt;"",EDATE($D56,Milestones!$AA$193)&gt;=$S56),$V56,IF(AND($R56&lt;&gt;"",EDATE($D56,Milestones!$AA$193)&gt;=$R56),$U56,$T56)))=Milestones!$AB$193),TEXT(EDATE($D56,Milestones!$AA$193),"dd/mm/yy")&amp;" "&amp;Milestones!$AB$193&amp;" "&amp;Milestones!$AC$193&amp;";  ","")&amp;IF(AND(EDATE($D56,Milestones!$AA$194)&lt;=AsOfDate,IF($Q56=0,$W56,IF(AND($S56&lt;&gt;"",EDATE($D56,Milestones!$AA$194)&gt;=$S56),$V56,IF(AND($R56&lt;&gt;"",EDATE($D56,Milestones!$AA$194)&gt;=$R56),$U56,$T56)))=Milestones!$AB$194),TEXT(EDATE($D56,Milestones!$AA$194),"dd/mm/yy")&amp;" "&amp;Milestones!$AB$194&amp;" "&amp;Milestones!$AC$194&amp;";  ","")&amp;IF(AND(EDATE($D56,Milestones!$AA$195)&lt;=AsOfDate,IF($Q56=0,$W56,IF(AND($S56&lt;&gt;"",EDATE($D56,Milestones!$AA$195)&gt;=$S56),$V56,IF(AND($R56&lt;&gt;"",EDATE($D56,Milestones!$AA$195)&gt;=$R56),$U56,$T56)))=Milestones!$AB$195),TEXT(EDATE($D56,Milestones!$AA$195),"dd/mm/yy")&amp;" "&amp;Milestones!$AB$195&amp;" "&amp;Milestones!$AC$195&amp;";  ","")&amp;IF(AND(EDATE($D56,Milestones!$AA$196)&lt;=AsOfDate,IF($Q56=0,$W56,IF(AND($S56&lt;&gt;"",EDATE($D56,Milestones!$AA$196)&gt;=$S56),$V56,IF(AND($R56&lt;&gt;"",EDATE($D56,Milestones!$AA$196)&gt;=$R56),$U56,$T56)))=Milestones!$AB$196),TEXT(EDATE($D56,Milestones!$AA$196),"dd/mm/yy")&amp;" "&amp;Milestones!$AB$196&amp;" "&amp;Milestones!$AC$196&amp;";  ","")&amp;IF(AND(EDATE($D56,Milestones!$AA$197)&lt;=AsOfDate,IF($Q56=0,$W56,IF(AND($S56&lt;&gt;"",EDATE($D56,Milestones!$AA$197)&gt;=$S56),$V56,IF(AND($R56&lt;&gt;"",EDATE($D56,Milestones!$AA$197)&gt;=$R56),$U56,$T56)))=Milestones!$AB$197),TEXT(EDATE($D56,Milestones!$AA$197),"dd/mm/yy")&amp;" "&amp;Milestones!$AB$197&amp;" "&amp;Milestones!$AC$197&amp;";  ","")&amp;IF(AND(EDATE($D56,Milestones!$AA$198)&lt;=AsOfDate,IF($Q56=0,$W56,IF(AND($S56&lt;&gt;"",EDATE($D56,Milestones!$AA$198)&gt;=$S56),$V56,IF(AND($R56&lt;&gt;"",EDATE($D56,Milestones!$AA$198)&gt;=$R56),$U56,$T56)))=Milestones!$AB$198),TEXT(EDATE($D56,Milestones!$AA$198),"dd/mm/yy")&amp;" "&amp;Milestones!$AB$198&amp;" "&amp;Milestones!$AC$198&amp;";  ","")&amp;IF(AND(EDATE($D56,Milestones!$AA$199)&lt;=AsOfDate,IF($Q56=0,$W56,IF(AND($S56&lt;&gt;"",EDATE($D56,Milestones!$AA$199)&gt;=$S56),$V56,IF(AND($R56&lt;&gt;"",EDATE($D56,Milestones!$AA$199)&gt;=$R56),$U56,$T56)))=Milestones!$AB$199),TEXT(EDATE($D56,Milestones!$AA$199),"dd/mm/yy")&amp;" "&amp;Milestones!$AB$199&amp;" "&amp;Milestones!$AC$199&amp;";  ",""))</f>
        <v/>
      </c>
      <c r="Q56" s="0" t="str">
        <f aca="false">IF(Staff!$A56="","",Staff!$AG56)</f>
        <v/>
      </c>
      <c r="R56" s="0" t="str">
        <f aca="false">IF(Staff!$A56="","",Staff!$AI56)</f>
        <v/>
      </c>
      <c r="S56" s="0" t="str">
        <f aca="false">IF(Staff!$A56="","",Staff!$AJ56)</f>
        <v/>
      </c>
      <c r="T56" s="0" t="str">
        <f aca="false">IF(Staff!$A56="","",Staff!$AN56)</f>
        <v/>
      </c>
      <c r="U56" s="0" t="str">
        <f aca="false">IF(Staff!$A56="","",Staff!$AO56)</f>
        <v/>
      </c>
      <c r="V56" s="0" t="str">
        <f aca="false">IF(Staff!$A56="","",Staff!$AP56)</f>
        <v/>
      </c>
      <c r="W56" s="0" t="str">
        <f aca="false">IF(Staff!$A56="","",Staff!$AQ56)</f>
        <v/>
      </c>
    </row>
    <row r="57" customFormat="false" ht="15" hidden="false" customHeight="false" outlineLevel="0" collapsed="false">
      <c r="A57" s="13" t="str">
        <f aca="false">IF(Staff!$A57="","",Staff!$A57)</f>
        <v/>
      </c>
      <c r="B57" s="13" t="str">
        <f aca="false">IF(Staff!$A57="","",Staff!$B57)</f>
        <v/>
      </c>
      <c r="C57" s="13" t="str">
        <f aca="false">IF(Staff!$A57="","",Staff!$C57)</f>
        <v/>
      </c>
      <c r="D57" s="11" t="str">
        <f aca="false">IF(Staff!$A57="","",Staff!$AF57)</f>
        <v/>
      </c>
      <c r="E57" s="13" t="str">
        <f aca="false">IF(Staff!$A57="","",Staff!$O57)</f>
        <v/>
      </c>
      <c r="F57" s="13" t="str">
        <f aca="false">IF(E57="","",E57*HoursPerDay)</f>
        <v/>
      </c>
      <c r="G57" s="26" t="str">
        <f aca="false">IF($A57="","",H57&amp;I57&amp;J57&amp;K57&amp;L57&amp;M57&amp;N57&amp;O57&amp;P57)</f>
        <v/>
      </c>
      <c r="H57" s="0" t="str">
        <f aca="false">IF(OR($A57="",$D57=""),"",IF(AND(EDATE($D57,Milestones!$AA$20)&lt;=AsOfDate,IF($Q57=0,$W57,IF(AND($S57&lt;&gt;"",EDATE($D57,Milestones!$AA$20)&gt;=$S57),$V57,IF(AND($R57&lt;&gt;"",EDATE($D57,Milestones!$AA$20)&gt;=$R57),$U57,$T57)))=Milestones!$AB$20),TEXT(EDATE($D57,Milestones!$AA$20),"dd/mm/yy")&amp;" "&amp;Milestones!$AB$20&amp;" "&amp;Milestones!$AC$20&amp;";  ","")&amp;IF(AND(EDATE($D57,Milestones!$AA$21)&lt;=AsOfDate,IF($Q57=0,$W57,IF(AND($S57&lt;&gt;"",EDATE($D57,Milestones!$AA$21)&gt;=$S57),$V57,IF(AND($R57&lt;&gt;"",EDATE($D57,Milestones!$AA$21)&gt;=$R57),$U57,$T57)))=Milestones!$AB$21),TEXT(EDATE($D57,Milestones!$AA$21),"dd/mm/yy")&amp;" "&amp;Milestones!$AB$21&amp;" "&amp;Milestones!$AC$21&amp;";  ","")&amp;IF(AND(EDATE($D57,Milestones!$AA$22)&lt;=AsOfDate,IF($Q57=0,$W57,IF(AND($S57&lt;&gt;"",EDATE($D57,Milestones!$AA$22)&gt;=$S57),$V57,IF(AND($R57&lt;&gt;"",EDATE($D57,Milestones!$AA$22)&gt;=$R57),$U57,$T57)))=Milestones!$AB$22),TEXT(EDATE($D57,Milestones!$AA$22),"dd/mm/yy")&amp;" "&amp;Milestones!$AB$22&amp;" "&amp;Milestones!$AC$22&amp;";  ","")&amp;IF(AND(EDATE($D57,Milestones!$AA$23)&lt;=AsOfDate,IF($Q57=0,$W57,IF(AND($S57&lt;&gt;"",EDATE($D57,Milestones!$AA$23)&gt;=$S57),$V57,IF(AND($R57&lt;&gt;"",EDATE($D57,Milestones!$AA$23)&gt;=$R57),$U57,$T57)))=Milestones!$AB$23),TEXT(EDATE($D57,Milestones!$AA$23),"dd/mm/yy")&amp;" "&amp;Milestones!$AB$23&amp;" "&amp;Milestones!$AC$23&amp;";  ","")&amp;IF(AND(EDATE($D57,Milestones!$AA$24)&lt;=AsOfDate,IF($Q57=0,$W57,IF(AND($S57&lt;&gt;"",EDATE($D57,Milestones!$AA$24)&gt;=$S57),$V57,IF(AND($R57&lt;&gt;"",EDATE($D57,Milestones!$AA$24)&gt;=$R57),$U57,$T57)))=Milestones!$AB$24),TEXT(EDATE($D57,Milestones!$AA$24),"dd/mm/yy")&amp;" "&amp;Milestones!$AB$24&amp;" "&amp;Milestones!$AC$24&amp;";  ","")&amp;IF(AND(EDATE($D57,Milestones!$AA$25)&lt;=AsOfDate,IF($Q57=0,$W57,IF(AND($S57&lt;&gt;"",EDATE($D57,Milestones!$AA$25)&gt;=$S57),$V57,IF(AND($R57&lt;&gt;"",EDATE($D57,Milestones!$AA$25)&gt;=$R57),$U57,$T57)))=Milestones!$AB$25),TEXT(EDATE($D57,Milestones!$AA$25),"dd/mm/yy")&amp;" "&amp;Milestones!$AB$25&amp;" "&amp;Milestones!$AC$25&amp;";  ","")&amp;IF(AND(EDATE($D57,Milestones!$AA$26)&lt;=AsOfDate,IF($Q57=0,$W57,IF(AND($S57&lt;&gt;"",EDATE($D57,Milestones!$AA$26)&gt;=$S57),$V57,IF(AND($R57&lt;&gt;"",EDATE($D57,Milestones!$AA$26)&gt;=$R57),$U57,$T57)))=Milestones!$AB$26),TEXT(EDATE($D57,Milestones!$AA$26),"dd/mm/yy")&amp;" "&amp;Milestones!$AB$26&amp;" "&amp;Milestones!$AC$26&amp;";  ","")&amp;IF(AND(EDATE($D57,Milestones!$AA$27)&lt;=AsOfDate,IF($Q57=0,$W57,IF(AND($S57&lt;&gt;"",EDATE($D57,Milestones!$AA$27)&gt;=$S57),$V57,IF(AND($R57&lt;&gt;"",EDATE($D57,Milestones!$AA$27)&gt;=$R57),$U57,$T57)))=Milestones!$AB$27),TEXT(EDATE($D57,Milestones!$AA$27),"dd/mm/yy")&amp;" "&amp;Milestones!$AB$27&amp;" "&amp;Milestones!$AC$27&amp;";  ","")&amp;IF(AND(EDATE($D57,Milestones!$AA$28)&lt;=AsOfDate,IF($Q57=0,$W57,IF(AND($S57&lt;&gt;"",EDATE($D57,Milestones!$AA$28)&gt;=$S57),$V57,IF(AND($R57&lt;&gt;"",EDATE($D57,Milestones!$AA$28)&gt;=$R57),$U57,$T57)))=Milestones!$AB$28),TEXT(EDATE($D57,Milestones!$AA$28),"dd/mm/yy")&amp;" "&amp;Milestones!$AB$28&amp;" "&amp;Milestones!$AC$28&amp;";  ","")&amp;IF(AND(EDATE($D57,Milestones!$AA$29)&lt;=AsOfDate,IF($Q57=0,$W57,IF(AND($S57&lt;&gt;"",EDATE($D57,Milestones!$AA$29)&gt;=$S57),$V57,IF(AND($R57&lt;&gt;"",EDATE($D57,Milestones!$AA$29)&gt;=$R57),$U57,$T57)))=Milestones!$AB$29),TEXT(EDATE($D57,Milestones!$AA$29),"dd/mm/yy")&amp;" "&amp;Milestones!$AB$29&amp;" "&amp;Milestones!$AC$29&amp;";  ","")&amp;IF(AND(EDATE($D57,Milestones!$AA$30)&lt;=AsOfDate,IF($Q57=0,$W57,IF(AND($S57&lt;&gt;"",EDATE($D57,Milestones!$AA$30)&gt;=$S57),$V57,IF(AND($R57&lt;&gt;"",EDATE($D57,Milestones!$AA$30)&gt;=$R57),$U57,$T57)))=Milestones!$AB$30),TEXT(EDATE($D57,Milestones!$AA$30),"dd/mm/yy")&amp;" "&amp;Milestones!$AB$30&amp;" "&amp;Milestones!$AC$30&amp;";  ","")&amp;IF(AND(EDATE($D57,Milestones!$AA$31)&lt;=AsOfDate,IF($Q57=0,$W57,IF(AND($S57&lt;&gt;"",EDATE($D57,Milestones!$AA$31)&gt;=$S57),$V57,IF(AND($R57&lt;&gt;"",EDATE($D57,Milestones!$AA$31)&gt;=$R57),$U57,$T57)))=Milestones!$AB$31),TEXT(EDATE($D57,Milestones!$AA$31),"dd/mm/yy")&amp;" "&amp;Milestones!$AB$31&amp;" "&amp;Milestones!$AC$31&amp;";  ","")&amp;IF(AND(EDATE($D57,Milestones!$AA$32)&lt;=AsOfDate,IF($Q57=0,$W57,IF(AND($S57&lt;&gt;"",EDATE($D57,Milestones!$AA$32)&gt;=$S57),$V57,IF(AND($R57&lt;&gt;"",EDATE($D57,Milestones!$AA$32)&gt;=$R57),$U57,$T57)))=Milestones!$AB$32),TEXT(EDATE($D57,Milestones!$AA$32),"dd/mm/yy")&amp;" "&amp;Milestones!$AB$32&amp;" "&amp;Milestones!$AC$32&amp;";  ","")&amp;IF(AND(EDATE($D57,Milestones!$AA$33)&lt;=AsOfDate,IF($Q57=0,$W57,IF(AND($S57&lt;&gt;"",EDATE($D57,Milestones!$AA$33)&gt;=$S57),$V57,IF(AND($R57&lt;&gt;"",EDATE($D57,Milestones!$AA$33)&gt;=$R57),$U57,$T57)))=Milestones!$AB$33),TEXT(EDATE($D57,Milestones!$AA$33),"dd/mm/yy")&amp;" "&amp;Milestones!$AB$33&amp;" "&amp;Milestones!$AC$33&amp;";  ","")&amp;IF(AND(EDATE($D57,Milestones!$AA$34)&lt;=AsOfDate,IF($Q57=0,$W57,IF(AND($S57&lt;&gt;"",EDATE($D57,Milestones!$AA$34)&gt;=$S57),$V57,IF(AND($R57&lt;&gt;"",EDATE($D57,Milestones!$AA$34)&gt;=$R57),$U57,$T57)))=Milestones!$AB$34),TEXT(EDATE($D57,Milestones!$AA$34),"dd/mm/yy")&amp;" "&amp;Milestones!$AB$34&amp;" "&amp;Milestones!$AC$34&amp;";  ","")&amp;IF(AND(EDATE($D57,Milestones!$AA$35)&lt;=AsOfDate,IF($Q57=0,$W57,IF(AND($S57&lt;&gt;"",EDATE($D57,Milestones!$AA$35)&gt;=$S57),$V57,IF(AND($R57&lt;&gt;"",EDATE($D57,Milestones!$AA$35)&gt;=$R57),$U57,$T57)))=Milestones!$AB$35),TEXT(EDATE($D57,Milestones!$AA$35),"dd/mm/yy")&amp;" "&amp;Milestones!$AB$35&amp;" "&amp;Milestones!$AC$35&amp;";  ","")&amp;IF(AND(EDATE($D57,Milestones!$AA$36)&lt;=AsOfDate,IF($Q57=0,$W57,IF(AND($S57&lt;&gt;"",EDATE($D57,Milestones!$AA$36)&gt;=$S57),$V57,IF(AND($R57&lt;&gt;"",EDATE($D57,Milestones!$AA$36)&gt;=$R57),$U57,$T57)))=Milestones!$AB$36),TEXT(EDATE($D57,Milestones!$AA$36),"dd/mm/yy")&amp;" "&amp;Milestones!$AB$36&amp;" "&amp;Milestones!$AC$36&amp;";  ","")&amp;IF(AND(EDATE($D57,Milestones!$AA$37)&lt;=AsOfDate,IF($Q57=0,$W57,IF(AND($S57&lt;&gt;"",EDATE($D57,Milestones!$AA$37)&gt;=$S57),$V57,IF(AND($R57&lt;&gt;"",EDATE($D57,Milestones!$AA$37)&gt;=$R57),$U57,$T57)))=Milestones!$AB$37),TEXT(EDATE($D57,Milestones!$AA$37),"dd/mm/yy")&amp;" "&amp;Milestones!$AB$37&amp;" "&amp;Milestones!$AC$37&amp;";  ","")&amp;IF(AND(EDATE($D57,Milestones!$AA$38)&lt;=AsOfDate,IF($Q57=0,$W57,IF(AND($S57&lt;&gt;"",EDATE($D57,Milestones!$AA$38)&gt;=$S57),$V57,IF(AND($R57&lt;&gt;"",EDATE($D57,Milestones!$AA$38)&gt;=$R57),$U57,$T57)))=Milestones!$AB$38),TEXT(EDATE($D57,Milestones!$AA$38),"dd/mm/yy")&amp;" "&amp;Milestones!$AB$38&amp;" "&amp;Milestones!$AC$38&amp;";  ","")&amp;IF(AND(EDATE($D57,Milestones!$AA$39)&lt;=AsOfDate,IF($Q57=0,$W57,IF(AND($S57&lt;&gt;"",EDATE($D57,Milestones!$AA$39)&gt;=$S57),$V57,IF(AND($R57&lt;&gt;"",EDATE($D57,Milestones!$AA$39)&gt;=$R57),$U57,$T57)))=Milestones!$AB$39),TEXT(EDATE($D57,Milestones!$AA$39),"dd/mm/yy")&amp;" "&amp;Milestones!$AB$39&amp;" "&amp;Milestones!$AC$39&amp;";  ",""))</f>
        <v/>
      </c>
      <c r="I57" s="0" t="str">
        <f aca="false">IF(OR($A57="",$D57=""),"",IF(AND(EDATE($D57,Milestones!$AA$40)&lt;=AsOfDate,IF($Q57=0,$W57,IF(AND($S57&lt;&gt;"",EDATE($D57,Milestones!$AA$40)&gt;=$S57),$V57,IF(AND($R57&lt;&gt;"",EDATE($D57,Milestones!$AA$40)&gt;=$R57),$U57,$T57)))=Milestones!$AB$40),TEXT(EDATE($D57,Milestones!$AA$40),"dd/mm/yy")&amp;" "&amp;Milestones!$AB$40&amp;" "&amp;Milestones!$AC$40&amp;";  ","")&amp;IF(AND(EDATE($D57,Milestones!$AA$41)&lt;=AsOfDate,IF($Q57=0,$W57,IF(AND($S57&lt;&gt;"",EDATE($D57,Milestones!$AA$41)&gt;=$S57),$V57,IF(AND($R57&lt;&gt;"",EDATE($D57,Milestones!$AA$41)&gt;=$R57),$U57,$T57)))=Milestones!$AB$41),TEXT(EDATE($D57,Milestones!$AA$41),"dd/mm/yy")&amp;" "&amp;Milestones!$AB$41&amp;" "&amp;Milestones!$AC$41&amp;";  ","")&amp;IF(AND(EDATE($D57,Milestones!$AA$42)&lt;=AsOfDate,IF($Q57=0,$W57,IF(AND($S57&lt;&gt;"",EDATE($D57,Milestones!$AA$42)&gt;=$S57),$V57,IF(AND($R57&lt;&gt;"",EDATE($D57,Milestones!$AA$42)&gt;=$R57),$U57,$T57)))=Milestones!$AB$42),TEXT(EDATE($D57,Milestones!$AA$42),"dd/mm/yy")&amp;" "&amp;Milestones!$AB$42&amp;" "&amp;Milestones!$AC$42&amp;";  ","")&amp;IF(AND(EDATE($D57,Milestones!$AA$43)&lt;=AsOfDate,IF($Q57=0,$W57,IF(AND($S57&lt;&gt;"",EDATE($D57,Milestones!$AA$43)&gt;=$S57),$V57,IF(AND($R57&lt;&gt;"",EDATE($D57,Milestones!$AA$43)&gt;=$R57),$U57,$T57)))=Milestones!$AB$43),TEXT(EDATE($D57,Milestones!$AA$43),"dd/mm/yy")&amp;" "&amp;Milestones!$AB$43&amp;" "&amp;Milestones!$AC$43&amp;";  ","")&amp;IF(AND(EDATE($D57,Milestones!$AA$44)&lt;=AsOfDate,IF($Q57=0,$W57,IF(AND($S57&lt;&gt;"",EDATE($D57,Milestones!$AA$44)&gt;=$S57),$V57,IF(AND($R57&lt;&gt;"",EDATE($D57,Milestones!$AA$44)&gt;=$R57),$U57,$T57)))=Milestones!$AB$44),TEXT(EDATE($D57,Milestones!$AA$44),"dd/mm/yy")&amp;" "&amp;Milestones!$AB$44&amp;" "&amp;Milestones!$AC$44&amp;";  ","")&amp;IF(AND(EDATE($D57,Milestones!$AA$45)&lt;=AsOfDate,IF($Q57=0,$W57,IF(AND($S57&lt;&gt;"",EDATE($D57,Milestones!$AA$45)&gt;=$S57),$V57,IF(AND($R57&lt;&gt;"",EDATE($D57,Milestones!$AA$45)&gt;=$R57),$U57,$T57)))=Milestones!$AB$45),TEXT(EDATE($D57,Milestones!$AA$45),"dd/mm/yy")&amp;" "&amp;Milestones!$AB$45&amp;" "&amp;Milestones!$AC$45&amp;";  ","")&amp;IF(AND(EDATE($D57,Milestones!$AA$46)&lt;=AsOfDate,IF($Q57=0,$W57,IF(AND($S57&lt;&gt;"",EDATE($D57,Milestones!$AA$46)&gt;=$S57),$V57,IF(AND($R57&lt;&gt;"",EDATE($D57,Milestones!$AA$46)&gt;=$R57),$U57,$T57)))=Milestones!$AB$46),TEXT(EDATE($D57,Milestones!$AA$46),"dd/mm/yy")&amp;" "&amp;Milestones!$AB$46&amp;" "&amp;Milestones!$AC$46&amp;";  ","")&amp;IF(AND(EDATE($D57,Milestones!$AA$47)&lt;=AsOfDate,IF($Q57=0,$W57,IF(AND($S57&lt;&gt;"",EDATE($D57,Milestones!$AA$47)&gt;=$S57),$V57,IF(AND($R57&lt;&gt;"",EDATE($D57,Milestones!$AA$47)&gt;=$R57),$U57,$T57)))=Milestones!$AB$47),TEXT(EDATE($D57,Milestones!$AA$47),"dd/mm/yy")&amp;" "&amp;Milestones!$AB$47&amp;" "&amp;Milestones!$AC$47&amp;";  ","")&amp;IF(AND(EDATE($D57,Milestones!$AA$48)&lt;=AsOfDate,IF($Q57=0,$W57,IF(AND($S57&lt;&gt;"",EDATE($D57,Milestones!$AA$48)&gt;=$S57),$V57,IF(AND($R57&lt;&gt;"",EDATE($D57,Milestones!$AA$48)&gt;=$R57),$U57,$T57)))=Milestones!$AB$48),TEXT(EDATE($D57,Milestones!$AA$48),"dd/mm/yy")&amp;" "&amp;Milestones!$AB$48&amp;" "&amp;Milestones!$AC$48&amp;";  ","")&amp;IF(AND(EDATE($D57,Milestones!$AA$49)&lt;=AsOfDate,IF($Q57=0,$W57,IF(AND($S57&lt;&gt;"",EDATE($D57,Milestones!$AA$49)&gt;=$S57),$V57,IF(AND($R57&lt;&gt;"",EDATE($D57,Milestones!$AA$49)&gt;=$R57),$U57,$T57)))=Milestones!$AB$49),TEXT(EDATE($D57,Milestones!$AA$49),"dd/mm/yy")&amp;" "&amp;Milestones!$AB$49&amp;" "&amp;Milestones!$AC$49&amp;";  ","")&amp;IF(AND(EDATE($D57,Milestones!$AA$50)&lt;=AsOfDate,IF($Q57=0,$W57,IF(AND($S57&lt;&gt;"",EDATE($D57,Milestones!$AA$50)&gt;=$S57),$V57,IF(AND($R57&lt;&gt;"",EDATE($D57,Milestones!$AA$50)&gt;=$R57),$U57,$T57)))=Milestones!$AB$50),TEXT(EDATE($D57,Milestones!$AA$50),"dd/mm/yy")&amp;" "&amp;Milestones!$AB$50&amp;" "&amp;Milestones!$AC$50&amp;";  ","")&amp;IF(AND(EDATE($D57,Milestones!$AA$51)&lt;=AsOfDate,IF($Q57=0,$W57,IF(AND($S57&lt;&gt;"",EDATE($D57,Milestones!$AA$51)&gt;=$S57),$V57,IF(AND($R57&lt;&gt;"",EDATE($D57,Milestones!$AA$51)&gt;=$R57),$U57,$T57)))=Milestones!$AB$51),TEXT(EDATE($D57,Milestones!$AA$51),"dd/mm/yy")&amp;" "&amp;Milestones!$AB$51&amp;" "&amp;Milestones!$AC$51&amp;";  ","")&amp;IF(AND(EDATE($D57,Milestones!$AA$52)&lt;=AsOfDate,IF($Q57=0,$W57,IF(AND($S57&lt;&gt;"",EDATE($D57,Milestones!$AA$52)&gt;=$S57),$V57,IF(AND($R57&lt;&gt;"",EDATE($D57,Milestones!$AA$52)&gt;=$R57),$U57,$T57)))=Milestones!$AB$52),TEXT(EDATE($D57,Milestones!$AA$52),"dd/mm/yy")&amp;" "&amp;Milestones!$AB$52&amp;" "&amp;Milestones!$AC$52&amp;";  ","")&amp;IF(AND(EDATE($D57,Milestones!$AA$53)&lt;=AsOfDate,IF($Q57=0,$W57,IF(AND($S57&lt;&gt;"",EDATE($D57,Milestones!$AA$53)&gt;=$S57),$V57,IF(AND($R57&lt;&gt;"",EDATE($D57,Milestones!$AA$53)&gt;=$R57),$U57,$T57)))=Milestones!$AB$53),TEXT(EDATE($D57,Milestones!$AA$53),"dd/mm/yy")&amp;" "&amp;Milestones!$AB$53&amp;" "&amp;Milestones!$AC$53&amp;";  ","")&amp;IF(AND(EDATE($D57,Milestones!$AA$54)&lt;=AsOfDate,IF($Q57=0,$W57,IF(AND($S57&lt;&gt;"",EDATE($D57,Milestones!$AA$54)&gt;=$S57),$V57,IF(AND($R57&lt;&gt;"",EDATE($D57,Milestones!$AA$54)&gt;=$R57),$U57,$T57)))=Milestones!$AB$54),TEXT(EDATE($D57,Milestones!$AA$54),"dd/mm/yy")&amp;" "&amp;Milestones!$AB$54&amp;" "&amp;Milestones!$AC$54&amp;";  ","")&amp;IF(AND(EDATE($D57,Milestones!$AA$55)&lt;=AsOfDate,IF($Q57=0,$W57,IF(AND($S57&lt;&gt;"",EDATE($D57,Milestones!$AA$55)&gt;=$S57),$V57,IF(AND($R57&lt;&gt;"",EDATE($D57,Milestones!$AA$55)&gt;=$R57),$U57,$T57)))=Milestones!$AB$55),TEXT(EDATE($D57,Milestones!$AA$55),"dd/mm/yy")&amp;" "&amp;Milestones!$AB$55&amp;" "&amp;Milestones!$AC$55&amp;";  ","")&amp;IF(AND(EDATE($D57,Milestones!$AA$56)&lt;=AsOfDate,IF($Q57=0,$W57,IF(AND($S57&lt;&gt;"",EDATE($D57,Milestones!$AA$56)&gt;=$S57),$V57,IF(AND($R57&lt;&gt;"",EDATE($D57,Milestones!$AA$56)&gt;=$R57),$U57,$T57)))=Milestones!$AB$56),TEXT(EDATE($D57,Milestones!$AA$56),"dd/mm/yy")&amp;" "&amp;Milestones!$AB$56&amp;" "&amp;Milestones!$AC$56&amp;";  ","")&amp;IF(AND(EDATE($D57,Milestones!$AA$57)&lt;=AsOfDate,IF($Q57=0,$W57,IF(AND($S57&lt;&gt;"",EDATE($D57,Milestones!$AA$57)&gt;=$S57),$V57,IF(AND($R57&lt;&gt;"",EDATE($D57,Milestones!$AA$57)&gt;=$R57),$U57,$T57)))=Milestones!$AB$57),TEXT(EDATE($D57,Milestones!$AA$57),"dd/mm/yy")&amp;" "&amp;Milestones!$AB$57&amp;" "&amp;Milestones!$AC$57&amp;";  ","")&amp;IF(AND(EDATE($D57,Milestones!$AA$58)&lt;=AsOfDate,IF($Q57=0,$W57,IF(AND($S57&lt;&gt;"",EDATE($D57,Milestones!$AA$58)&gt;=$S57),$V57,IF(AND($R57&lt;&gt;"",EDATE($D57,Milestones!$AA$58)&gt;=$R57),$U57,$T57)))=Milestones!$AB$58),TEXT(EDATE($D57,Milestones!$AA$58),"dd/mm/yy")&amp;" "&amp;Milestones!$AB$58&amp;" "&amp;Milestones!$AC$58&amp;";  ","")&amp;IF(AND(EDATE($D57,Milestones!$AA$59)&lt;=AsOfDate,IF($Q57=0,$W57,IF(AND($S57&lt;&gt;"",EDATE($D57,Milestones!$AA$59)&gt;=$S57),$V57,IF(AND($R57&lt;&gt;"",EDATE($D57,Milestones!$AA$59)&gt;=$R57),$U57,$T57)))=Milestones!$AB$59),TEXT(EDATE($D57,Milestones!$AA$59),"dd/mm/yy")&amp;" "&amp;Milestones!$AB$59&amp;" "&amp;Milestones!$AC$59&amp;";  ",""))</f>
        <v/>
      </c>
      <c r="J57" s="0" t="str">
        <f aca="false">IF(OR($A57="",$D57=""),"",IF(AND(EDATE($D57,Milestones!$AA$60)&lt;=AsOfDate,IF($Q57=0,$W57,IF(AND($S57&lt;&gt;"",EDATE($D57,Milestones!$AA$60)&gt;=$S57),$V57,IF(AND($R57&lt;&gt;"",EDATE($D57,Milestones!$AA$60)&gt;=$R57),$U57,$T57)))=Milestones!$AB$60),TEXT(EDATE($D57,Milestones!$AA$60),"dd/mm/yy")&amp;" "&amp;Milestones!$AB$60&amp;" "&amp;Milestones!$AC$60&amp;";  ","")&amp;IF(AND(EDATE($D57,Milestones!$AA$61)&lt;=AsOfDate,IF($Q57=0,$W57,IF(AND($S57&lt;&gt;"",EDATE($D57,Milestones!$AA$61)&gt;=$S57),$V57,IF(AND($R57&lt;&gt;"",EDATE($D57,Milestones!$AA$61)&gt;=$R57),$U57,$T57)))=Milestones!$AB$61),TEXT(EDATE($D57,Milestones!$AA$61),"dd/mm/yy")&amp;" "&amp;Milestones!$AB$61&amp;" "&amp;Milestones!$AC$61&amp;";  ","")&amp;IF(AND(EDATE($D57,Milestones!$AA$62)&lt;=AsOfDate,IF($Q57=0,$W57,IF(AND($S57&lt;&gt;"",EDATE($D57,Milestones!$AA$62)&gt;=$S57),$V57,IF(AND($R57&lt;&gt;"",EDATE($D57,Milestones!$AA$62)&gt;=$R57),$U57,$T57)))=Milestones!$AB$62),TEXT(EDATE($D57,Milestones!$AA$62),"dd/mm/yy")&amp;" "&amp;Milestones!$AB$62&amp;" "&amp;Milestones!$AC$62&amp;";  ","")&amp;IF(AND(EDATE($D57,Milestones!$AA$63)&lt;=AsOfDate,IF($Q57=0,$W57,IF(AND($S57&lt;&gt;"",EDATE($D57,Milestones!$AA$63)&gt;=$S57),$V57,IF(AND($R57&lt;&gt;"",EDATE($D57,Milestones!$AA$63)&gt;=$R57),$U57,$T57)))=Milestones!$AB$63),TEXT(EDATE($D57,Milestones!$AA$63),"dd/mm/yy")&amp;" "&amp;Milestones!$AB$63&amp;" "&amp;Milestones!$AC$63&amp;";  ","")&amp;IF(AND(EDATE($D57,Milestones!$AA$64)&lt;=AsOfDate,IF($Q57=0,$W57,IF(AND($S57&lt;&gt;"",EDATE($D57,Milestones!$AA$64)&gt;=$S57),$V57,IF(AND($R57&lt;&gt;"",EDATE($D57,Milestones!$AA$64)&gt;=$R57),$U57,$T57)))=Milestones!$AB$64),TEXT(EDATE($D57,Milestones!$AA$64),"dd/mm/yy")&amp;" "&amp;Milestones!$AB$64&amp;" "&amp;Milestones!$AC$64&amp;";  ","")&amp;IF(AND(EDATE($D57,Milestones!$AA$65)&lt;=AsOfDate,IF($Q57=0,$W57,IF(AND($S57&lt;&gt;"",EDATE($D57,Milestones!$AA$65)&gt;=$S57),$V57,IF(AND($R57&lt;&gt;"",EDATE($D57,Milestones!$AA$65)&gt;=$R57),$U57,$T57)))=Milestones!$AB$65),TEXT(EDATE($D57,Milestones!$AA$65),"dd/mm/yy")&amp;" "&amp;Milestones!$AB$65&amp;" "&amp;Milestones!$AC$65&amp;";  ","")&amp;IF(AND(EDATE($D57,Milestones!$AA$66)&lt;=AsOfDate,IF($Q57=0,$W57,IF(AND($S57&lt;&gt;"",EDATE($D57,Milestones!$AA$66)&gt;=$S57),$V57,IF(AND($R57&lt;&gt;"",EDATE($D57,Milestones!$AA$66)&gt;=$R57),$U57,$T57)))=Milestones!$AB$66),TEXT(EDATE($D57,Milestones!$AA$66),"dd/mm/yy")&amp;" "&amp;Milestones!$AB$66&amp;" "&amp;Milestones!$AC$66&amp;";  ","")&amp;IF(AND(EDATE($D57,Milestones!$AA$67)&lt;=AsOfDate,IF($Q57=0,$W57,IF(AND($S57&lt;&gt;"",EDATE($D57,Milestones!$AA$67)&gt;=$S57),$V57,IF(AND($R57&lt;&gt;"",EDATE($D57,Milestones!$AA$67)&gt;=$R57),$U57,$T57)))=Milestones!$AB$67),TEXT(EDATE($D57,Milestones!$AA$67),"dd/mm/yy")&amp;" "&amp;Milestones!$AB$67&amp;" "&amp;Milestones!$AC$67&amp;";  ","")&amp;IF(AND(EDATE($D57,Milestones!$AA$68)&lt;=AsOfDate,IF($Q57=0,$W57,IF(AND($S57&lt;&gt;"",EDATE($D57,Milestones!$AA$68)&gt;=$S57),$V57,IF(AND($R57&lt;&gt;"",EDATE($D57,Milestones!$AA$68)&gt;=$R57),$U57,$T57)))=Milestones!$AB$68),TEXT(EDATE($D57,Milestones!$AA$68),"dd/mm/yy")&amp;" "&amp;Milestones!$AB$68&amp;" "&amp;Milestones!$AC$68&amp;";  ","")&amp;IF(AND(EDATE($D57,Milestones!$AA$69)&lt;=AsOfDate,IF($Q57=0,$W57,IF(AND($S57&lt;&gt;"",EDATE($D57,Milestones!$AA$69)&gt;=$S57),$V57,IF(AND($R57&lt;&gt;"",EDATE($D57,Milestones!$AA$69)&gt;=$R57),$U57,$T57)))=Milestones!$AB$69),TEXT(EDATE($D57,Milestones!$AA$69),"dd/mm/yy")&amp;" "&amp;Milestones!$AB$69&amp;" "&amp;Milestones!$AC$69&amp;";  ","")&amp;IF(AND(EDATE($D57,Milestones!$AA$70)&lt;=AsOfDate,IF($Q57=0,$W57,IF(AND($S57&lt;&gt;"",EDATE($D57,Milestones!$AA$70)&gt;=$S57),$V57,IF(AND($R57&lt;&gt;"",EDATE($D57,Milestones!$AA$70)&gt;=$R57),$U57,$T57)))=Milestones!$AB$70),TEXT(EDATE($D57,Milestones!$AA$70),"dd/mm/yy")&amp;" "&amp;Milestones!$AB$70&amp;" "&amp;Milestones!$AC$70&amp;";  ","")&amp;IF(AND(EDATE($D57,Milestones!$AA$71)&lt;=AsOfDate,IF($Q57=0,$W57,IF(AND($S57&lt;&gt;"",EDATE($D57,Milestones!$AA$71)&gt;=$S57),$V57,IF(AND($R57&lt;&gt;"",EDATE($D57,Milestones!$AA$71)&gt;=$R57),$U57,$T57)))=Milestones!$AB$71),TEXT(EDATE($D57,Milestones!$AA$71),"dd/mm/yy")&amp;" "&amp;Milestones!$AB$71&amp;" "&amp;Milestones!$AC$71&amp;";  ","")&amp;IF(AND(EDATE($D57,Milestones!$AA$72)&lt;=AsOfDate,IF($Q57=0,$W57,IF(AND($S57&lt;&gt;"",EDATE($D57,Milestones!$AA$72)&gt;=$S57),$V57,IF(AND($R57&lt;&gt;"",EDATE($D57,Milestones!$AA$72)&gt;=$R57),$U57,$T57)))=Milestones!$AB$72),TEXT(EDATE($D57,Milestones!$AA$72),"dd/mm/yy")&amp;" "&amp;Milestones!$AB$72&amp;" "&amp;Milestones!$AC$72&amp;";  ","")&amp;IF(AND(EDATE($D57,Milestones!$AA$73)&lt;=AsOfDate,IF($Q57=0,$W57,IF(AND($S57&lt;&gt;"",EDATE($D57,Milestones!$AA$73)&gt;=$S57),$V57,IF(AND($R57&lt;&gt;"",EDATE($D57,Milestones!$AA$73)&gt;=$R57),$U57,$T57)))=Milestones!$AB$73),TEXT(EDATE($D57,Milestones!$AA$73),"dd/mm/yy")&amp;" "&amp;Milestones!$AB$73&amp;" "&amp;Milestones!$AC$73&amp;";  ","")&amp;IF(AND(EDATE($D57,Milestones!$AA$74)&lt;=AsOfDate,IF($Q57=0,$W57,IF(AND($S57&lt;&gt;"",EDATE($D57,Milestones!$AA$74)&gt;=$S57),$V57,IF(AND($R57&lt;&gt;"",EDATE($D57,Milestones!$AA$74)&gt;=$R57),$U57,$T57)))=Milestones!$AB$74),TEXT(EDATE($D57,Milestones!$AA$74),"dd/mm/yy")&amp;" "&amp;Milestones!$AB$74&amp;" "&amp;Milestones!$AC$74&amp;";  ","")&amp;IF(AND(EDATE($D57,Milestones!$AA$75)&lt;=AsOfDate,IF($Q57=0,$W57,IF(AND($S57&lt;&gt;"",EDATE($D57,Milestones!$AA$75)&gt;=$S57),$V57,IF(AND($R57&lt;&gt;"",EDATE($D57,Milestones!$AA$75)&gt;=$R57),$U57,$T57)))=Milestones!$AB$75),TEXT(EDATE($D57,Milestones!$AA$75),"dd/mm/yy")&amp;" "&amp;Milestones!$AB$75&amp;" "&amp;Milestones!$AC$75&amp;";  ","")&amp;IF(AND(EDATE($D57,Milestones!$AA$76)&lt;=AsOfDate,IF($Q57=0,$W57,IF(AND($S57&lt;&gt;"",EDATE($D57,Milestones!$AA$76)&gt;=$S57),$V57,IF(AND($R57&lt;&gt;"",EDATE($D57,Milestones!$AA$76)&gt;=$R57),$U57,$T57)))=Milestones!$AB$76),TEXT(EDATE($D57,Milestones!$AA$76),"dd/mm/yy")&amp;" "&amp;Milestones!$AB$76&amp;" "&amp;Milestones!$AC$76&amp;";  ","")&amp;IF(AND(EDATE($D57,Milestones!$AA$77)&lt;=AsOfDate,IF($Q57=0,$W57,IF(AND($S57&lt;&gt;"",EDATE($D57,Milestones!$AA$77)&gt;=$S57),$V57,IF(AND($R57&lt;&gt;"",EDATE($D57,Milestones!$AA$77)&gt;=$R57),$U57,$T57)))=Milestones!$AB$77),TEXT(EDATE($D57,Milestones!$AA$77),"dd/mm/yy")&amp;" "&amp;Milestones!$AB$77&amp;" "&amp;Milestones!$AC$77&amp;";  ","")&amp;IF(AND(EDATE($D57,Milestones!$AA$78)&lt;=AsOfDate,IF($Q57=0,$W57,IF(AND($S57&lt;&gt;"",EDATE($D57,Milestones!$AA$78)&gt;=$S57),$V57,IF(AND($R57&lt;&gt;"",EDATE($D57,Milestones!$AA$78)&gt;=$R57),$U57,$T57)))=Milestones!$AB$78),TEXT(EDATE($D57,Milestones!$AA$78),"dd/mm/yy")&amp;" "&amp;Milestones!$AB$78&amp;" "&amp;Milestones!$AC$78&amp;";  ","")&amp;IF(AND(EDATE($D57,Milestones!$AA$79)&lt;=AsOfDate,IF($Q57=0,$W57,IF(AND($S57&lt;&gt;"",EDATE($D57,Milestones!$AA$79)&gt;=$S57),$V57,IF(AND($R57&lt;&gt;"",EDATE($D57,Milestones!$AA$79)&gt;=$R57),$U57,$T57)))=Milestones!$AB$79),TEXT(EDATE($D57,Milestones!$AA$79),"dd/mm/yy")&amp;" "&amp;Milestones!$AB$79&amp;" "&amp;Milestones!$AC$79&amp;";  ",""))</f>
        <v/>
      </c>
      <c r="K57" s="0" t="str">
        <f aca="false">IF(OR($A57="",$D57=""),"",IF(AND(EDATE($D57,Milestones!$AA$80)&lt;=AsOfDate,IF($Q57=0,$W57,IF(AND($S57&lt;&gt;"",EDATE($D57,Milestones!$AA$80)&gt;=$S57),$V57,IF(AND($R57&lt;&gt;"",EDATE($D57,Milestones!$AA$80)&gt;=$R57),$U57,$T57)))=Milestones!$AB$80),TEXT(EDATE($D57,Milestones!$AA$80),"dd/mm/yy")&amp;" "&amp;Milestones!$AB$80&amp;" "&amp;Milestones!$AC$80&amp;";  ","")&amp;IF(AND(EDATE($D57,Milestones!$AA$81)&lt;=AsOfDate,IF($Q57=0,$W57,IF(AND($S57&lt;&gt;"",EDATE($D57,Milestones!$AA$81)&gt;=$S57),$V57,IF(AND($R57&lt;&gt;"",EDATE($D57,Milestones!$AA$81)&gt;=$R57),$U57,$T57)))=Milestones!$AB$81),TEXT(EDATE($D57,Milestones!$AA$81),"dd/mm/yy")&amp;" "&amp;Milestones!$AB$81&amp;" "&amp;Milestones!$AC$81&amp;";  ","")&amp;IF(AND(EDATE($D57,Milestones!$AA$82)&lt;=AsOfDate,IF($Q57=0,$W57,IF(AND($S57&lt;&gt;"",EDATE($D57,Milestones!$AA$82)&gt;=$S57),$V57,IF(AND($R57&lt;&gt;"",EDATE($D57,Milestones!$AA$82)&gt;=$R57),$U57,$T57)))=Milestones!$AB$82),TEXT(EDATE($D57,Milestones!$AA$82),"dd/mm/yy")&amp;" "&amp;Milestones!$AB$82&amp;" "&amp;Milestones!$AC$82&amp;";  ","")&amp;IF(AND(EDATE($D57,Milestones!$AA$83)&lt;=AsOfDate,IF($Q57=0,$W57,IF(AND($S57&lt;&gt;"",EDATE($D57,Milestones!$AA$83)&gt;=$S57),$V57,IF(AND($R57&lt;&gt;"",EDATE($D57,Milestones!$AA$83)&gt;=$R57),$U57,$T57)))=Milestones!$AB$83),TEXT(EDATE($D57,Milestones!$AA$83),"dd/mm/yy")&amp;" "&amp;Milestones!$AB$83&amp;" "&amp;Milestones!$AC$83&amp;";  ","")&amp;IF(AND(EDATE($D57,Milestones!$AA$84)&lt;=AsOfDate,IF($Q57=0,$W57,IF(AND($S57&lt;&gt;"",EDATE($D57,Milestones!$AA$84)&gt;=$S57),$V57,IF(AND($R57&lt;&gt;"",EDATE($D57,Milestones!$AA$84)&gt;=$R57),$U57,$T57)))=Milestones!$AB$84),TEXT(EDATE($D57,Milestones!$AA$84),"dd/mm/yy")&amp;" "&amp;Milestones!$AB$84&amp;" "&amp;Milestones!$AC$84&amp;";  ","")&amp;IF(AND(EDATE($D57,Milestones!$AA$85)&lt;=AsOfDate,IF($Q57=0,$W57,IF(AND($S57&lt;&gt;"",EDATE($D57,Milestones!$AA$85)&gt;=$S57),$V57,IF(AND($R57&lt;&gt;"",EDATE($D57,Milestones!$AA$85)&gt;=$R57),$U57,$T57)))=Milestones!$AB$85),TEXT(EDATE($D57,Milestones!$AA$85),"dd/mm/yy")&amp;" "&amp;Milestones!$AB$85&amp;" "&amp;Milestones!$AC$85&amp;";  ","")&amp;IF(AND(EDATE($D57,Milestones!$AA$86)&lt;=AsOfDate,IF($Q57=0,$W57,IF(AND($S57&lt;&gt;"",EDATE($D57,Milestones!$AA$86)&gt;=$S57),$V57,IF(AND($R57&lt;&gt;"",EDATE($D57,Milestones!$AA$86)&gt;=$R57),$U57,$T57)))=Milestones!$AB$86),TEXT(EDATE($D57,Milestones!$AA$86),"dd/mm/yy")&amp;" "&amp;Milestones!$AB$86&amp;" "&amp;Milestones!$AC$86&amp;";  ","")&amp;IF(AND(EDATE($D57,Milestones!$AA$87)&lt;=AsOfDate,IF($Q57=0,$W57,IF(AND($S57&lt;&gt;"",EDATE($D57,Milestones!$AA$87)&gt;=$S57),$V57,IF(AND($R57&lt;&gt;"",EDATE($D57,Milestones!$AA$87)&gt;=$R57),$U57,$T57)))=Milestones!$AB$87),TEXT(EDATE($D57,Milestones!$AA$87),"dd/mm/yy")&amp;" "&amp;Milestones!$AB$87&amp;" "&amp;Milestones!$AC$87&amp;";  ","")&amp;IF(AND(EDATE($D57,Milestones!$AA$88)&lt;=AsOfDate,IF($Q57=0,$W57,IF(AND($S57&lt;&gt;"",EDATE($D57,Milestones!$AA$88)&gt;=$S57),$V57,IF(AND($R57&lt;&gt;"",EDATE($D57,Milestones!$AA$88)&gt;=$R57),$U57,$T57)))=Milestones!$AB$88),TEXT(EDATE($D57,Milestones!$AA$88),"dd/mm/yy")&amp;" "&amp;Milestones!$AB$88&amp;" "&amp;Milestones!$AC$88&amp;";  ","")&amp;IF(AND(EDATE($D57,Milestones!$AA$89)&lt;=AsOfDate,IF($Q57=0,$W57,IF(AND($S57&lt;&gt;"",EDATE($D57,Milestones!$AA$89)&gt;=$S57),$V57,IF(AND($R57&lt;&gt;"",EDATE($D57,Milestones!$AA$89)&gt;=$R57),$U57,$T57)))=Milestones!$AB$89),TEXT(EDATE($D57,Milestones!$AA$89),"dd/mm/yy")&amp;" "&amp;Milestones!$AB$89&amp;" "&amp;Milestones!$AC$89&amp;";  ","")&amp;IF(AND(EDATE($D57,Milestones!$AA$90)&lt;=AsOfDate,IF($Q57=0,$W57,IF(AND($S57&lt;&gt;"",EDATE($D57,Milestones!$AA$90)&gt;=$S57),$V57,IF(AND($R57&lt;&gt;"",EDATE($D57,Milestones!$AA$90)&gt;=$R57),$U57,$T57)))=Milestones!$AB$90),TEXT(EDATE($D57,Milestones!$AA$90),"dd/mm/yy")&amp;" "&amp;Milestones!$AB$90&amp;" "&amp;Milestones!$AC$90&amp;";  ","")&amp;IF(AND(EDATE($D57,Milestones!$AA$91)&lt;=AsOfDate,IF($Q57=0,$W57,IF(AND($S57&lt;&gt;"",EDATE($D57,Milestones!$AA$91)&gt;=$S57),$V57,IF(AND($R57&lt;&gt;"",EDATE($D57,Milestones!$AA$91)&gt;=$R57),$U57,$T57)))=Milestones!$AB$91),TEXT(EDATE($D57,Milestones!$AA$91),"dd/mm/yy")&amp;" "&amp;Milestones!$AB$91&amp;" "&amp;Milestones!$AC$91&amp;";  ","")&amp;IF(AND(EDATE($D57,Milestones!$AA$92)&lt;=AsOfDate,IF($Q57=0,$W57,IF(AND($S57&lt;&gt;"",EDATE($D57,Milestones!$AA$92)&gt;=$S57),$V57,IF(AND($R57&lt;&gt;"",EDATE($D57,Milestones!$AA$92)&gt;=$R57),$U57,$T57)))=Milestones!$AB$92),TEXT(EDATE($D57,Milestones!$AA$92),"dd/mm/yy")&amp;" "&amp;Milestones!$AB$92&amp;" "&amp;Milestones!$AC$92&amp;";  ","")&amp;IF(AND(EDATE($D57,Milestones!$AA$93)&lt;=AsOfDate,IF($Q57=0,$W57,IF(AND($S57&lt;&gt;"",EDATE($D57,Milestones!$AA$93)&gt;=$S57),$V57,IF(AND($R57&lt;&gt;"",EDATE($D57,Milestones!$AA$93)&gt;=$R57),$U57,$T57)))=Milestones!$AB$93),TEXT(EDATE($D57,Milestones!$AA$93),"dd/mm/yy")&amp;" "&amp;Milestones!$AB$93&amp;" "&amp;Milestones!$AC$93&amp;";  ","")&amp;IF(AND(EDATE($D57,Milestones!$AA$94)&lt;=AsOfDate,IF($Q57=0,$W57,IF(AND($S57&lt;&gt;"",EDATE($D57,Milestones!$AA$94)&gt;=$S57),$V57,IF(AND($R57&lt;&gt;"",EDATE($D57,Milestones!$AA$94)&gt;=$R57),$U57,$T57)))=Milestones!$AB$94),TEXT(EDATE($D57,Milestones!$AA$94),"dd/mm/yy")&amp;" "&amp;Milestones!$AB$94&amp;" "&amp;Milestones!$AC$94&amp;";  ","")&amp;IF(AND(EDATE($D57,Milestones!$AA$95)&lt;=AsOfDate,IF($Q57=0,$W57,IF(AND($S57&lt;&gt;"",EDATE($D57,Milestones!$AA$95)&gt;=$S57),$V57,IF(AND($R57&lt;&gt;"",EDATE($D57,Milestones!$AA$95)&gt;=$R57),$U57,$T57)))=Milestones!$AB$95),TEXT(EDATE($D57,Milestones!$AA$95),"dd/mm/yy")&amp;" "&amp;Milestones!$AB$95&amp;" "&amp;Milestones!$AC$95&amp;";  ","")&amp;IF(AND(EDATE($D57,Milestones!$AA$96)&lt;=AsOfDate,IF($Q57=0,$W57,IF(AND($S57&lt;&gt;"",EDATE($D57,Milestones!$AA$96)&gt;=$S57),$V57,IF(AND($R57&lt;&gt;"",EDATE($D57,Milestones!$AA$96)&gt;=$R57),$U57,$T57)))=Milestones!$AB$96),TEXT(EDATE($D57,Milestones!$AA$96),"dd/mm/yy")&amp;" "&amp;Milestones!$AB$96&amp;" "&amp;Milestones!$AC$96&amp;";  ","")&amp;IF(AND(EDATE($D57,Milestones!$AA$97)&lt;=AsOfDate,IF($Q57=0,$W57,IF(AND($S57&lt;&gt;"",EDATE($D57,Milestones!$AA$97)&gt;=$S57),$V57,IF(AND($R57&lt;&gt;"",EDATE($D57,Milestones!$AA$97)&gt;=$R57),$U57,$T57)))=Milestones!$AB$97),TEXT(EDATE($D57,Milestones!$AA$97),"dd/mm/yy")&amp;" "&amp;Milestones!$AB$97&amp;" "&amp;Milestones!$AC$97&amp;";  ","")&amp;IF(AND(EDATE($D57,Milestones!$AA$98)&lt;=AsOfDate,IF($Q57=0,$W57,IF(AND($S57&lt;&gt;"",EDATE($D57,Milestones!$AA$98)&gt;=$S57),$V57,IF(AND($R57&lt;&gt;"",EDATE($D57,Milestones!$AA$98)&gt;=$R57),$U57,$T57)))=Milestones!$AB$98),TEXT(EDATE($D57,Milestones!$AA$98),"dd/mm/yy")&amp;" "&amp;Milestones!$AB$98&amp;" "&amp;Milestones!$AC$98&amp;";  ","")&amp;IF(AND(EDATE($D57,Milestones!$AA$99)&lt;=AsOfDate,IF($Q57=0,$W57,IF(AND($S57&lt;&gt;"",EDATE($D57,Milestones!$AA$99)&gt;=$S57),$V57,IF(AND($R57&lt;&gt;"",EDATE($D57,Milestones!$AA$99)&gt;=$R57),$U57,$T57)))=Milestones!$AB$99),TEXT(EDATE($D57,Milestones!$AA$99),"dd/mm/yy")&amp;" "&amp;Milestones!$AB$99&amp;" "&amp;Milestones!$AC$99&amp;";  ",""))</f>
        <v/>
      </c>
      <c r="L57" s="0" t="str">
        <f aca="false">IF(OR($A57="",$D57=""),"",IF(AND(EDATE($D57,Milestones!$AA$100)&lt;=AsOfDate,IF($Q57=0,$W57,IF(AND($S57&lt;&gt;"",EDATE($D57,Milestones!$AA$100)&gt;=$S57),$V57,IF(AND($R57&lt;&gt;"",EDATE($D57,Milestones!$AA$100)&gt;=$R57),$U57,$T57)))=Milestones!$AB$100),TEXT(EDATE($D57,Milestones!$AA$100),"dd/mm/yy")&amp;" "&amp;Milestones!$AB$100&amp;" "&amp;Milestones!$AC$100&amp;";  ","")&amp;IF(AND(EDATE($D57,Milestones!$AA$101)&lt;=AsOfDate,IF($Q57=0,$W57,IF(AND($S57&lt;&gt;"",EDATE($D57,Milestones!$AA$101)&gt;=$S57),$V57,IF(AND($R57&lt;&gt;"",EDATE($D57,Milestones!$AA$101)&gt;=$R57),$U57,$T57)))=Milestones!$AB$101),TEXT(EDATE($D57,Milestones!$AA$101),"dd/mm/yy")&amp;" "&amp;Milestones!$AB$101&amp;" "&amp;Milestones!$AC$101&amp;";  ","")&amp;IF(AND(EDATE($D57,Milestones!$AA$102)&lt;=AsOfDate,IF($Q57=0,$W57,IF(AND($S57&lt;&gt;"",EDATE($D57,Milestones!$AA$102)&gt;=$S57),$V57,IF(AND($R57&lt;&gt;"",EDATE($D57,Milestones!$AA$102)&gt;=$R57),$U57,$T57)))=Milestones!$AB$102),TEXT(EDATE($D57,Milestones!$AA$102),"dd/mm/yy")&amp;" "&amp;Milestones!$AB$102&amp;" "&amp;Milestones!$AC$102&amp;";  ","")&amp;IF(AND(EDATE($D57,Milestones!$AA$103)&lt;=AsOfDate,IF($Q57=0,$W57,IF(AND($S57&lt;&gt;"",EDATE($D57,Milestones!$AA$103)&gt;=$S57),$V57,IF(AND($R57&lt;&gt;"",EDATE($D57,Milestones!$AA$103)&gt;=$R57),$U57,$T57)))=Milestones!$AB$103),TEXT(EDATE($D57,Milestones!$AA$103),"dd/mm/yy")&amp;" "&amp;Milestones!$AB$103&amp;" "&amp;Milestones!$AC$103&amp;";  ","")&amp;IF(AND(EDATE($D57,Milestones!$AA$104)&lt;=AsOfDate,IF($Q57=0,$W57,IF(AND($S57&lt;&gt;"",EDATE($D57,Milestones!$AA$104)&gt;=$S57),$V57,IF(AND($R57&lt;&gt;"",EDATE($D57,Milestones!$AA$104)&gt;=$R57),$U57,$T57)))=Milestones!$AB$104),TEXT(EDATE($D57,Milestones!$AA$104),"dd/mm/yy")&amp;" "&amp;Milestones!$AB$104&amp;" "&amp;Milestones!$AC$104&amp;";  ","")&amp;IF(AND(EDATE($D57,Milestones!$AA$105)&lt;=AsOfDate,IF($Q57=0,$W57,IF(AND($S57&lt;&gt;"",EDATE($D57,Milestones!$AA$105)&gt;=$S57),$V57,IF(AND($R57&lt;&gt;"",EDATE($D57,Milestones!$AA$105)&gt;=$R57),$U57,$T57)))=Milestones!$AB$105),TEXT(EDATE($D57,Milestones!$AA$105),"dd/mm/yy")&amp;" "&amp;Milestones!$AB$105&amp;" "&amp;Milestones!$AC$105&amp;";  ","")&amp;IF(AND(EDATE($D57,Milestones!$AA$106)&lt;=AsOfDate,IF($Q57=0,$W57,IF(AND($S57&lt;&gt;"",EDATE($D57,Milestones!$AA$106)&gt;=$S57),$V57,IF(AND($R57&lt;&gt;"",EDATE($D57,Milestones!$AA$106)&gt;=$R57),$U57,$T57)))=Milestones!$AB$106),TEXT(EDATE($D57,Milestones!$AA$106),"dd/mm/yy")&amp;" "&amp;Milestones!$AB$106&amp;" "&amp;Milestones!$AC$106&amp;";  ","")&amp;IF(AND(EDATE($D57,Milestones!$AA$107)&lt;=AsOfDate,IF($Q57=0,$W57,IF(AND($S57&lt;&gt;"",EDATE($D57,Milestones!$AA$107)&gt;=$S57),$V57,IF(AND($R57&lt;&gt;"",EDATE($D57,Milestones!$AA$107)&gt;=$R57),$U57,$T57)))=Milestones!$AB$107),TEXT(EDATE($D57,Milestones!$AA$107),"dd/mm/yy")&amp;" "&amp;Milestones!$AB$107&amp;" "&amp;Milestones!$AC$107&amp;";  ","")&amp;IF(AND(EDATE($D57,Milestones!$AA$108)&lt;=AsOfDate,IF($Q57=0,$W57,IF(AND($S57&lt;&gt;"",EDATE($D57,Milestones!$AA$108)&gt;=$S57),$V57,IF(AND($R57&lt;&gt;"",EDATE($D57,Milestones!$AA$108)&gt;=$R57),$U57,$T57)))=Milestones!$AB$108),TEXT(EDATE($D57,Milestones!$AA$108),"dd/mm/yy")&amp;" "&amp;Milestones!$AB$108&amp;" "&amp;Milestones!$AC$108&amp;";  ","")&amp;IF(AND(EDATE($D57,Milestones!$AA$109)&lt;=AsOfDate,IF($Q57=0,$W57,IF(AND($S57&lt;&gt;"",EDATE($D57,Milestones!$AA$109)&gt;=$S57),$V57,IF(AND($R57&lt;&gt;"",EDATE($D57,Milestones!$AA$109)&gt;=$R57),$U57,$T57)))=Milestones!$AB$109),TEXT(EDATE($D57,Milestones!$AA$109),"dd/mm/yy")&amp;" "&amp;Milestones!$AB$109&amp;" "&amp;Milestones!$AC$109&amp;";  ","")&amp;IF(AND(EDATE($D57,Milestones!$AA$110)&lt;=AsOfDate,IF($Q57=0,$W57,IF(AND($S57&lt;&gt;"",EDATE($D57,Milestones!$AA$110)&gt;=$S57),$V57,IF(AND($R57&lt;&gt;"",EDATE($D57,Milestones!$AA$110)&gt;=$R57),$U57,$T57)))=Milestones!$AB$110),TEXT(EDATE($D57,Milestones!$AA$110),"dd/mm/yy")&amp;" "&amp;Milestones!$AB$110&amp;" "&amp;Milestones!$AC$110&amp;";  ","")&amp;IF(AND(EDATE($D57,Milestones!$AA$111)&lt;=AsOfDate,IF($Q57=0,$W57,IF(AND($S57&lt;&gt;"",EDATE($D57,Milestones!$AA$111)&gt;=$S57),$V57,IF(AND($R57&lt;&gt;"",EDATE($D57,Milestones!$AA$111)&gt;=$R57),$U57,$T57)))=Milestones!$AB$111),TEXT(EDATE($D57,Milestones!$AA$111),"dd/mm/yy")&amp;" "&amp;Milestones!$AB$111&amp;" "&amp;Milestones!$AC$111&amp;";  ","")&amp;IF(AND(EDATE($D57,Milestones!$AA$112)&lt;=AsOfDate,IF($Q57=0,$W57,IF(AND($S57&lt;&gt;"",EDATE($D57,Milestones!$AA$112)&gt;=$S57),$V57,IF(AND($R57&lt;&gt;"",EDATE($D57,Milestones!$AA$112)&gt;=$R57),$U57,$T57)))=Milestones!$AB$112),TEXT(EDATE($D57,Milestones!$AA$112),"dd/mm/yy")&amp;" "&amp;Milestones!$AB$112&amp;" "&amp;Milestones!$AC$112&amp;";  ","")&amp;IF(AND(EDATE($D57,Milestones!$AA$113)&lt;=AsOfDate,IF($Q57=0,$W57,IF(AND($S57&lt;&gt;"",EDATE($D57,Milestones!$AA$113)&gt;=$S57),$V57,IF(AND($R57&lt;&gt;"",EDATE($D57,Milestones!$AA$113)&gt;=$R57),$U57,$T57)))=Milestones!$AB$113),TEXT(EDATE($D57,Milestones!$AA$113),"dd/mm/yy")&amp;" "&amp;Milestones!$AB$113&amp;" "&amp;Milestones!$AC$113&amp;";  ","")&amp;IF(AND(EDATE($D57,Milestones!$AA$114)&lt;=AsOfDate,IF($Q57=0,$W57,IF(AND($S57&lt;&gt;"",EDATE($D57,Milestones!$AA$114)&gt;=$S57),$V57,IF(AND($R57&lt;&gt;"",EDATE($D57,Milestones!$AA$114)&gt;=$R57),$U57,$T57)))=Milestones!$AB$114),TEXT(EDATE($D57,Milestones!$AA$114),"dd/mm/yy")&amp;" "&amp;Milestones!$AB$114&amp;" "&amp;Milestones!$AC$114&amp;";  ","")&amp;IF(AND(EDATE($D57,Milestones!$AA$115)&lt;=AsOfDate,IF($Q57=0,$W57,IF(AND($S57&lt;&gt;"",EDATE($D57,Milestones!$AA$115)&gt;=$S57),$V57,IF(AND($R57&lt;&gt;"",EDATE($D57,Milestones!$AA$115)&gt;=$R57),$U57,$T57)))=Milestones!$AB$115),TEXT(EDATE($D57,Milestones!$AA$115),"dd/mm/yy")&amp;" "&amp;Milestones!$AB$115&amp;" "&amp;Milestones!$AC$115&amp;";  ","")&amp;IF(AND(EDATE($D57,Milestones!$AA$116)&lt;=AsOfDate,IF($Q57=0,$W57,IF(AND($S57&lt;&gt;"",EDATE($D57,Milestones!$AA$116)&gt;=$S57),$V57,IF(AND($R57&lt;&gt;"",EDATE($D57,Milestones!$AA$116)&gt;=$R57),$U57,$T57)))=Milestones!$AB$116),TEXT(EDATE($D57,Milestones!$AA$116),"dd/mm/yy")&amp;" "&amp;Milestones!$AB$116&amp;" "&amp;Milestones!$AC$116&amp;";  ","")&amp;IF(AND(EDATE($D57,Milestones!$AA$117)&lt;=AsOfDate,IF($Q57=0,$W57,IF(AND($S57&lt;&gt;"",EDATE($D57,Milestones!$AA$117)&gt;=$S57),$V57,IF(AND($R57&lt;&gt;"",EDATE($D57,Milestones!$AA$117)&gt;=$R57),$U57,$T57)))=Milestones!$AB$117),TEXT(EDATE($D57,Milestones!$AA$117),"dd/mm/yy")&amp;" "&amp;Milestones!$AB$117&amp;" "&amp;Milestones!$AC$117&amp;";  ","")&amp;IF(AND(EDATE($D57,Milestones!$AA$118)&lt;=AsOfDate,IF($Q57=0,$W57,IF(AND($S57&lt;&gt;"",EDATE($D57,Milestones!$AA$118)&gt;=$S57),$V57,IF(AND($R57&lt;&gt;"",EDATE($D57,Milestones!$AA$118)&gt;=$R57),$U57,$T57)))=Milestones!$AB$118),TEXT(EDATE($D57,Milestones!$AA$118),"dd/mm/yy")&amp;" "&amp;Milestones!$AB$118&amp;" "&amp;Milestones!$AC$118&amp;";  ","")&amp;IF(AND(EDATE($D57,Milestones!$AA$119)&lt;=AsOfDate,IF($Q57=0,$W57,IF(AND($S57&lt;&gt;"",EDATE($D57,Milestones!$AA$119)&gt;=$S57),$V57,IF(AND($R57&lt;&gt;"",EDATE($D57,Milestones!$AA$119)&gt;=$R57),$U57,$T57)))=Milestones!$AB$119),TEXT(EDATE($D57,Milestones!$AA$119),"dd/mm/yy")&amp;" "&amp;Milestones!$AB$119&amp;" "&amp;Milestones!$AC$119&amp;";  ",""))</f>
        <v/>
      </c>
      <c r="M57" s="0" t="str">
        <f aca="false">IF(OR($A57="",$D57=""),"",IF(AND(EDATE($D57,Milestones!$AA$120)&lt;=AsOfDate,IF($Q57=0,$W57,IF(AND($S57&lt;&gt;"",EDATE($D57,Milestones!$AA$120)&gt;=$S57),$V57,IF(AND($R57&lt;&gt;"",EDATE($D57,Milestones!$AA$120)&gt;=$R57),$U57,$T57)))=Milestones!$AB$120),TEXT(EDATE($D57,Milestones!$AA$120),"dd/mm/yy")&amp;" "&amp;Milestones!$AB$120&amp;" "&amp;Milestones!$AC$120&amp;";  ","")&amp;IF(AND(EDATE($D57,Milestones!$AA$121)&lt;=AsOfDate,IF($Q57=0,$W57,IF(AND($S57&lt;&gt;"",EDATE($D57,Milestones!$AA$121)&gt;=$S57),$V57,IF(AND($R57&lt;&gt;"",EDATE($D57,Milestones!$AA$121)&gt;=$R57),$U57,$T57)))=Milestones!$AB$121),TEXT(EDATE($D57,Milestones!$AA$121),"dd/mm/yy")&amp;" "&amp;Milestones!$AB$121&amp;" "&amp;Milestones!$AC$121&amp;";  ","")&amp;IF(AND(EDATE($D57,Milestones!$AA$122)&lt;=AsOfDate,IF($Q57=0,$W57,IF(AND($S57&lt;&gt;"",EDATE($D57,Milestones!$AA$122)&gt;=$S57),$V57,IF(AND($R57&lt;&gt;"",EDATE($D57,Milestones!$AA$122)&gt;=$R57),$U57,$T57)))=Milestones!$AB$122),TEXT(EDATE($D57,Milestones!$AA$122),"dd/mm/yy")&amp;" "&amp;Milestones!$AB$122&amp;" "&amp;Milestones!$AC$122&amp;";  ","")&amp;IF(AND(EDATE($D57,Milestones!$AA$123)&lt;=AsOfDate,IF($Q57=0,$W57,IF(AND($S57&lt;&gt;"",EDATE($D57,Milestones!$AA$123)&gt;=$S57),$V57,IF(AND($R57&lt;&gt;"",EDATE($D57,Milestones!$AA$123)&gt;=$R57),$U57,$T57)))=Milestones!$AB$123),TEXT(EDATE($D57,Milestones!$AA$123),"dd/mm/yy")&amp;" "&amp;Milestones!$AB$123&amp;" "&amp;Milestones!$AC$123&amp;";  ","")&amp;IF(AND(EDATE($D57,Milestones!$AA$124)&lt;=AsOfDate,IF($Q57=0,$W57,IF(AND($S57&lt;&gt;"",EDATE($D57,Milestones!$AA$124)&gt;=$S57),$V57,IF(AND($R57&lt;&gt;"",EDATE($D57,Milestones!$AA$124)&gt;=$R57),$U57,$T57)))=Milestones!$AB$124),TEXT(EDATE($D57,Milestones!$AA$124),"dd/mm/yy")&amp;" "&amp;Milestones!$AB$124&amp;" "&amp;Milestones!$AC$124&amp;";  ","")&amp;IF(AND(EDATE($D57,Milestones!$AA$125)&lt;=AsOfDate,IF($Q57=0,$W57,IF(AND($S57&lt;&gt;"",EDATE($D57,Milestones!$AA$125)&gt;=$S57),$V57,IF(AND($R57&lt;&gt;"",EDATE($D57,Milestones!$AA$125)&gt;=$R57),$U57,$T57)))=Milestones!$AB$125),TEXT(EDATE($D57,Milestones!$AA$125),"dd/mm/yy")&amp;" "&amp;Milestones!$AB$125&amp;" "&amp;Milestones!$AC$125&amp;";  ","")&amp;IF(AND(EDATE($D57,Milestones!$AA$126)&lt;=AsOfDate,IF($Q57=0,$W57,IF(AND($S57&lt;&gt;"",EDATE($D57,Milestones!$AA$126)&gt;=$S57),$V57,IF(AND($R57&lt;&gt;"",EDATE($D57,Milestones!$AA$126)&gt;=$R57),$U57,$T57)))=Milestones!$AB$126),TEXT(EDATE($D57,Milestones!$AA$126),"dd/mm/yy")&amp;" "&amp;Milestones!$AB$126&amp;" "&amp;Milestones!$AC$126&amp;";  ","")&amp;IF(AND(EDATE($D57,Milestones!$AA$127)&lt;=AsOfDate,IF($Q57=0,$W57,IF(AND($S57&lt;&gt;"",EDATE($D57,Milestones!$AA$127)&gt;=$S57),$V57,IF(AND($R57&lt;&gt;"",EDATE($D57,Milestones!$AA$127)&gt;=$R57),$U57,$T57)))=Milestones!$AB$127),TEXT(EDATE($D57,Milestones!$AA$127),"dd/mm/yy")&amp;" "&amp;Milestones!$AB$127&amp;" "&amp;Milestones!$AC$127&amp;";  ","")&amp;IF(AND(EDATE($D57,Milestones!$AA$128)&lt;=AsOfDate,IF($Q57=0,$W57,IF(AND($S57&lt;&gt;"",EDATE($D57,Milestones!$AA$128)&gt;=$S57),$V57,IF(AND($R57&lt;&gt;"",EDATE($D57,Milestones!$AA$128)&gt;=$R57),$U57,$T57)))=Milestones!$AB$128),TEXT(EDATE($D57,Milestones!$AA$128),"dd/mm/yy")&amp;" "&amp;Milestones!$AB$128&amp;" "&amp;Milestones!$AC$128&amp;";  ","")&amp;IF(AND(EDATE($D57,Milestones!$AA$129)&lt;=AsOfDate,IF($Q57=0,$W57,IF(AND($S57&lt;&gt;"",EDATE($D57,Milestones!$AA$129)&gt;=$S57),$V57,IF(AND($R57&lt;&gt;"",EDATE($D57,Milestones!$AA$129)&gt;=$R57),$U57,$T57)))=Milestones!$AB$129),TEXT(EDATE($D57,Milestones!$AA$129),"dd/mm/yy")&amp;" "&amp;Milestones!$AB$129&amp;" "&amp;Milestones!$AC$129&amp;";  ","")&amp;IF(AND(EDATE($D57,Milestones!$AA$130)&lt;=AsOfDate,IF($Q57=0,$W57,IF(AND($S57&lt;&gt;"",EDATE($D57,Milestones!$AA$130)&gt;=$S57),$V57,IF(AND($R57&lt;&gt;"",EDATE($D57,Milestones!$AA$130)&gt;=$R57),$U57,$T57)))=Milestones!$AB$130),TEXT(EDATE($D57,Milestones!$AA$130),"dd/mm/yy")&amp;" "&amp;Milestones!$AB$130&amp;" "&amp;Milestones!$AC$130&amp;";  ","")&amp;IF(AND(EDATE($D57,Milestones!$AA$131)&lt;=AsOfDate,IF($Q57=0,$W57,IF(AND($S57&lt;&gt;"",EDATE($D57,Milestones!$AA$131)&gt;=$S57),$V57,IF(AND($R57&lt;&gt;"",EDATE($D57,Milestones!$AA$131)&gt;=$R57),$U57,$T57)))=Milestones!$AB$131),TEXT(EDATE($D57,Milestones!$AA$131),"dd/mm/yy")&amp;" "&amp;Milestones!$AB$131&amp;" "&amp;Milestones!$AC$131&amp;";  ","")&amp;IF(AND(EDATE($D57,Milestones!$AA$132)&lt;=AsOfDate,IF($Q57=0,$W57,IF(AND($S57&lt;&gt;"",EDATE($D57,Milestones!$AA$132)&gt;=$S57),$V57,IF(AND($R57&lt;&gt;"",EDATE($D57,Milestones!$AA$132)&gt;=$R57),$U57,$T57)))=Milestones!$AB$132),TEXT(EDATE($D57,Milestones!$AA$132),"dd/mm/yy")&amp;" "&amp;Milestones!$AB$132&amp;" "&amp;Milestones!$AC$132&amp;";  ","")&amp;IF(AND(EDATE($D57,Milestones!$AA$133)&lt;=AsOfDate,IF($Q57=0,$W57,IF(AND($S57&lt;&gt;"",EDATE($D57,Milestones!$AA$133)&gt;=$S57),$V57,IF(AND($R57&lt;&gt;"",EDATE($D57,Milestones!$AA$133)&gt;=$R57),$U57,$T57)))=Milestones!$AB$133),TEXT(EDATE($D57,Milestones!$AA$133),"dd/mm/yy")&amp;" "&amp;Milestones!$AB$133&amp;" "&amp;Milestones!$AC$133&amp;";  ","")&amp;IF(AND(EDATE($D57,Milestones!$AA$134)&lt;=AsOfDate,IF($Q57=0,$W57,IF(AND($S57&lt;&gt;"",EDATE($D57,Milestones!$AA$134)&gt;=$S57),$V57,IF(AND($R57&lt;&gt;"",EDATE($D57,Milestones!$AA$134)&gt;=$R57),$U57,$T57)))=Milestones!$AB$134),TEXT(EDATE($D57,Milestones!$AA$134),"dd/mm/yy")&amp;" "&amp;Milestones!$AB$134&amp;" "&amp;Milestones!$AC$134&amp;";  ","")&amp;IF(AND(EDATE($D57,Milestones!$AA$135)&lt;=AsOfDate,IF($Q57=0,$W57,IF(AND($S57&lt;&gt;"",EDATE($D57,Milestones!$AA$135)&gt;=$S57),$V57,IF(AND($R57&lt;&gt;"",EDATE($D57,Milestones!$AA$135)&gt;=$R57),$U57,$T57)))=Milestones!$AB$135),TEXT(EDATE($D57,Milestones!$AA$135),"dd/mm/yy")&amp;" "&amp;Milestones!$AB$135&amp;" "&amp;Milestones!$AC$135&amp;";  ","")&amp;IF(AND(EDATE($D57,Milestones!$AA$136)&lt;=AsOfDate,IF($Q57=0,$W57,IF(AND($S57&lt;&gt;"",EDATE($D57,Milestones!$AA$136)&gt;=$S57),$V57,IF(AND($R57&lt;&gt;"",EDATE($D57,Milestones!$AA$136)&gt;=$R57),$U57,$T57)))=Milestones!$AB$136),TEXT(EDATE($D57,Milestones!$AA$136),"dd/mm/yy")&amp;" "&amp;Milestones!$AB$136&amp;" "&amp;Milestones!$AC$136&amp;";  ","")&amp;IF(AND(EDATE($D57,Milestones!$AA$137)&lt;=AsOfDate,IF($Q57=0,$W57,IF(AND($S57&lt;&gt;"",EDATE($D57,Milestones!$AA$137)&gt;=$S57),$V57,IF(AND($R57&lt;&gt;"",EDATE($D57,Milestones!$AA$137)&gt;=$R57),$U57,$T57)))=Milestones!$AB$137),TEXT(EDATE($D57,Milestones!$AA$137),"dd/mm/yy")&amp;" "&amp;Milestones!$AB$137&amp;" "&amp;Milestones!$AC$137&amp;";  ","")&amp;IF(AND(EDATE($D57,Milestones!$AA$138)&lt;=AsOfDate,IF($Q57=0,$W57,IF(AND($S57&lt;&gt;"",EDATE($D57,Milestones!$AA$138)&gt;=$S57),$V57,IF(AND($R57&lt;&gt;"",EDATE($D57,Milestones!$AA$138)&gt;=$R57),$U57,$T57)))=Milestones!$AB$138),TEXT(EDATE($D57,Milestones!$AA$138),"dd/mm/yy")&amp;" "&amp;Milestones!$AB$138&amp;" "&amp;Milestones!$AC$138&amp;";  ","")&amp;IF(AND(EDATE($D57,Milestones!$AA$139)&lt;=AsOfDate,IF($Q57=0,$W57,IF(AND($S57&lt;&gt;"",EDATE($D57,Milestones!$AA$139)&gt;=$S57),$V57,IF(AND($R57&lt;&gt;"",EDATE($D57,Milestones!$AA$139)&gt;=$R57),$U57,$T57)))=Milestones!$AB$139),TEXT(EDATE($D57,Milestones!$AA$139),"dd/mm/yy")&amp;" "&amp;Milestones!$AB$139&amp;" "&amp;Milestones!$AC$139&amp;";  ",""))</f>
        <v/>
      </c>
      <c r="N57" s="0" t="str">
        <f aca="false">IF(OR($A57="",$D57=""),"",IF(AND(EDATE($D57,Milestones!$AA$140)&lt;=AsOfDate,IF($Q57=0,$W57,IF(AND($S57&lt;&gt;"",EDATE($D57,Milestones!$AA$140)&gt;=$S57),$V57,IF(AND($R57&lt;&gt;"",EDATE($D57,Milestones!$AA$140)&gt;=$R57),$U57,$T57)))=Milestones!$AB$140),TEXT(EDATE($D57,Milestones!$AA$140),"dd/mm/yy")&amp;" "&amp;Milestones!$AB$140&amp;" "&amp;Milestones!$AC$140&amp;";  ","")&amp;IF(AND(EDATE($D57,Milestones!$AA$141)&lt;=AsOfDate,IF($Q57=0,$W57,IF(AND($S57&lt;&gt;"",EDATE($D57,Milestones!$AA$141)&gt;=$S57),$V57,IF(AND($R57&lt;&gt;"",EDATE($D57,Milestones!$AA$141)&gt;=$R57),$U57,$T57)))=Milestones!$AB$141),TEXT(EDATE($D57,Milestones!$AA$141),"dd/mm/yy")&amp;" "&amp;Milestones!$AB$141&amp;" "&amp;Milestones!$AC$141&amp;";  ","")&amp;IF(AND(EDATE($D57,Milestones!$AA$142)&lt;=AsOfDate,IF($Q57=0,$W57,IF(AND($S57&lt;&gt;"",EDATE($D57,Milestones!$AA$142)&gt;=$S57),$V57,IF(AND($R57&lt;&gt;"",EDATE($D57,Milestones!$AA$142)&gt;=$R57),$U57,$T57)))=Milestones!$AB$142),TEXT(EDATE($D57,Milestones!$AA$142),"dd/mm/yy")&amp;" "&amp;Milestones!$AB$142&amp;" "&amp;Milestones!$AC$142&amp;";  ","")&amp;IF(AND(EDATE($D57,Milestones!$AA$143)&lt;=AsOfDate,IF($Q57=0,$W57,IF(AND($S57&lt;&gt;"",EDATE($D57,Milestones!$AA$143)&gt;=$S57),$V57,IF(AND($R57&lt;&gt;"",EDATE($D57,Milestones!$AA$143)&gt;=$R57),$U57,$T57)))=Milestones!$AB$143),TEXT(EDATE($D57,Milestones!$AA$143),"dd/mm/yy")&amp;" "&amp;Milestones!$AB$143&amp;" "&amp;Milestones!$AC$143&amp;";  ","")&amp;IF(AND(EDATE($D57,Milestones!$AA$144)&lt;=AsOfDate,IF($Q57=0,$W57,IF(AND($S57&lt;&gt;"",EDATE($D57,Milestones!$AA$144)&gt;=$S57),$V57,IF(AND($R57&lt;&gt;"",EDATE($D57,Milestones!$AA$144)&gt;=$R57),$U57,$T57)))=Milestones!$AB$144),TEXT(EDATE($D57,Milestones!$AA$144),"dd/mm/yy")&amp;" "&amp;Milestones!$AB$144&amp;" "&amp;Milestones!$AC$144&amp;";  ","")&amp;IF(AND(EDATE($D57,Milestones!$AA$145)&lt;=AsOfDate,IF($Q57=0,$W57,IF(AND($S57&lt;&gt;"",EDATE($D57,Milestones!$AA$145)&gt;=$S57),$V57,IF(AND($R57&lt;&gt;"",EDATE($D57,Milestones!$AA$145)&gt;=$R57),$U57,$T57)))=Milestones!$AB$145),TEXT(EDATE($D57,Milestones!$AA$145),"dd/mm/yy")&amp;" "&amp;Milestones!$AB$145&amp;" "&amp;Milestones!$AC$145&amp;";  ","")&amp;IF(AND(EDATE($D57,Milestones!$AA$146)&lt;=AsOfDate,IF($Q57=0,$W57,IF(AND($S57&lt;&gt;"",EDATE($D57,Milestones!$AA$146)&gt;=$S57),$V57,IF(AND($R57&lt;&gt;"",EDATE($D57,Milestones!$AA$146)&gt;=$R57),$U57,$T57)))=Milestones!$AB$146),TEXT(EDATE($D57,Milestones!$AA$146),"dd/mm/yy")&amp;" "&amp;Milestones!$AB$146&amp;" "&amp;Milestones!$AC$146&amp;";  ","")&amp;IF(AND(EDATE($D57,Milestones!$AA$147)&lt;=AsOfDate,IF($Q57=0,$W57,IF(AND($S57&lt;&gt;"",EDATE($D57,Milestones!$AA$147)&gt;=$S57),$V57,IF(AND($R57&lt;&gt;"",EDATE($D57,Milestones!$AA$147)&gt;=$R57),$U57,$T57)))=Milestones!$AB$147),TEXT(EDATE($D57,Milestones!$AA$147),"dd/mm/yy")&amp;" "&amp;Milestones!$AB$147&amp;" "&amp;Milestones!$AC$147&amp;";  ","")&amp;IF(AND(EDATE($D57,Milestones!$AA$148)&lt;=AsOfDate,IF($Q57=0,$W57,IF(AND($S57&lt;&gt;"",EDATE($D57,Milestones!$AA$148)&gt;=$S57),$V57,IF(AND($R57&lt;&gt;"",EDATE($D57,Milestones!$AA$148)&gt;=$R57),$U57,$T57)))=Milestones!$AB$148),TEXT(EDATE($D57,Milestones!$AA$148),"dd/mm/yy")&amp;" "&amp;Milestones!$AB$148&amp;" "&amp;Milestones!$AC$148&amp;";  ","")&amp;IF(AND(EDATE($D57,Milestones!$AA$149)&lt;=AsOfDate,IF($Q57=0,$W57,IF(AND($S57&lt;&gt;"",EDATE($D57,Milestones!$AA$149)&gt;=$S57),$V57,IF(AND($R57&lt;&gt;"",EDATE($D57,Milestones!$AA$149)&gt;=$R57),$U57,$T57)))=Milestones!$AB$149),TEXT(EDATE($D57,Milestones!$AA$149),"dd/mm/yy")&amp;" "&amp;Milestones!$AB$149&amp;" "&amp;Milestones!$AC$149&amp;";  ","")&amp;IF(AND(EDATE($D57,Milestones!$AA$150)&lt;=AsOfDate,IF($Q57=0,$W57,IF(AND($S57&lt;&gt;"",EDATE($D57,Milestones!$AA$150)&gt;=$S57),$V57,IF(AND($R57&lt;&gt;"",EDATE($D57,Milestones!$AA$150)&gt;=$R57),$U57,$T57)))=Milestones!$AB$150),TEXT(EDATE($D57,Milestones!$AA$150),"dd/mm/yy")&amp;" "&amp;Milestones!$AB$150&amp;" "&amp;Milestones!$AC$150&amp;";  ","")&amp;IF(AND(EDATE($D57,Milestones!$AA$151)&lt;=AsOfDate,IF($Q57=0,$W57,IF(AND($S57&lt;&gt;"",EDATE($D57,Milestones!$AA$151)&gt;=$S57),$V57,IF(AND($R57&lt;&gt;"",EDATE($D57,Milestones!$AA$151)&gt;=$R57),$U57,$T57)))=Milestones!$AB$151),TEXT(EDATE($D57,Milestones!$AA$151),"dd/mm/yy")&amp;" "&amp;Milestones!$AB$151&amp;" "&amp;Milestones!$AC$151&amp;";  ","")&amp;IF(AND(EDATE($D57,Milestones!$AA$152)&lt;=AsOfDate,IF($Q57=0,$W57,IF(AND($S57&lt;&gt;"",EDATE($D57,Milestones!$AA$152)&gt;=$S57),$V57,IF(AND($R57&lt;&gt;"",EDATE($D57,Milestones!$AA$152)&gt;=$R57),$U57,$T57)))=Milestones!$AB$152),TEXT(EDATE($D57,Milestones!$AA$152),"dd/mm/yy")&amp;" "&amp;Milestones!$AB$152&amp;" "&amp;Milestones!$AC$152&amp;";  ","")&amp;IF(AND(EDATE($D57,Milestones!$AA$153)&lt;=AsOfDate,IF($Q57=0,$W57,IF(AND($S57&lt;&gt;"",EDATE($D57,Milestones!$AA$153)&gt;=$S57),$V57,IF(AND($R57&lt;&gt;"",EDATE($D57,Milestones!$AA$153)&gt;=$R57),$U57,$T57)))=Milestones!$AB$153),TEXT(EDATE($D57,Milestones!$AA$153),"dd/mm/yy")&amp;" "&amp;Milestones!$AB$153&amp;" "&amp;Milestones!$AC$153&amp;";  ","")&amp;IF(AND(EDATE($D57,Milestones!$AA$154)&lt;=AsOfDate,IF($Q57=0,$W57,IF(AND($S57&lt;&gt;"",EDATE($D57,Milestones!$AA$154)&gt;=$S57),$V57,IF(AND($R57&lt;&gt;"",EDATE($D57,Milestones!$AA$154)&gt;=$R57),$U57,$T57)))=Milestones!$AB$154),TEXT(EDATE($D57,Milestones!$AA$154),"dd/mm/yy")&amp;" "&amp;Milestones!$AB$154&amp;" "&amp;Milestones!$AC$154&amp;";  ","")&amp;IF(AND(EDATE($D57,Milestones!$AA$155)&lt;=AsOfDate,IF($Q57=0,$W57,IF(AND($S57&lt;&gt;"",EDATE($D57,Milestones!$AA$155)&gt;=$S57),$V57,IF(AND($R57&lt;&gt;"",EDATE($D57,Milestones!$AA$155)&gt;=$R57),$U57,$T57)))=Milestones!$AB$155),TEXT(EDATE($D57,Milestones!$AA$155),"dd/mm/yy")&amp;" "&amp;Milestones!$AB$155&amp;" "&amp;Milestones!$AC$155&amp;";  ","")&amp;IF(AND(EDATE($D57,Milestones!$AA$156)&lt;=AsOfDate,IF($Q57=0,$W57,IF(AND($S57&lt;&gt;"",EDATE($D57,Milestones!$AA$156)&gt;=$S57),$V57,IF(AND($R57&lt;&gt;"",EDATE($D57,Milestones!$AA$156)&gt;=$R57),$U57,$T57)))=Milestones!$AB$156),TEXT(EDATE($D57,Milestones!$AA$156),"dd/mm/yy")&amp;" "&amp;Milestones!$AB$156&amp;" "&amp;Milestones!$AC$156&amp;";  ","")&amp;IF(AND(EDATE($D57,Milestones!$AA$157)&lt;=AsOfDate,IF($Q57=0,$W57,IF(AND($S57&lt;&gt;"",EDATE($D57,Milestones!$AA$157)&gt;=$S57),$V57,IF(AND($R57&lt;&gt;"",EDATE($D57,Milestones!$AA$157)&gt;=$R57),$U57,$T57)))=Milestones!$AB$157),TEXT(EDATE($D57,Milestones!$AA$157),"dd/mm/yy")&amp;" "&amp;Milestones!$AB$157&amp;" "&amp;Milestones!$AC$157&amp;";  ","")&amp;IF(AND(EDATE($D57,Milestones!$AA$158)&lt;=AsOfDate,IF($Q57=0,$W57,IF(AND($S57&lt;&gt;"",EDATE($D57,Milestones!$AA$158)&gt;=$S57),$V57,IF(AND($R57&lt;&gt;"",EDATE($D57,Milestones!$AA$158)&gt;=$R57),$U57,$T57)))=Milestones!$AB$158),TEXT(EDATE($D57,Milestones!$AA$158),"dd/mm/yy")&amp;" "&amp;Milestones!$AB$158&amp;" "&amp;Milestones!$AC$158&amp;";  ","")&amp;IF(AND(EDATE($D57,Milestones!$AA$159)&lt;=AsOfDate,IF($Q57=0,$W57,IF(AND($S57&lt;&gt;"",EDATE($D57,Milestones!$AA$159)&gt;=$S57),$V57,IF(AND($R57&lt;&gt;"",EDATE($D57,Milestones!$AA$159)&gt;=$R57),$U57,$T57)))=Milestones!$AB$159),TEXT(EDATE($D57,Milestones!$AA$159),"dd/mm/yy")&amp;" "&amp;Milestones!$AB$159&amp;" "&amp;Milestones!$AC$159&amp;";  ",""))</f>
        <v/>
      </c>
      <c r="O57" s="0" t="str">
        <f aca="false">IF(OR($A57="",$D57=""),"",IF(AND(EDATE($D57,Milestones!$AA$160)&lt;=AsOfDate,IF($Q57=0,$W57,IF(AND($S57&lt;&gt;"",EDATE($D57,Milestones!$AA$160)&gt;=$S57),$V57,IF(AND($R57&lt;&gt;"",EDATE($D57,Milestones!$AA$160)&gt;=$R57),$U57,$T57)))=Milestones!$AB$160),TEXT(EDATE($D57,Milestones!$AA$160),"dd/mm/yy")&amp;" "&amp;Milestones!$AB$160&amp;" "&amp;Milestones!$AC$160&amp;";  ","")&amp;IF(AND(EDATE($D57,Milestones!$AA$161)&lt;=AsOfDate,IF($Q57=0,$W57,IF(AND($S57&lt;&gt;"",EDATE($D57,Milestones!$AA$161)&gt;=$S57),$V57,IF(AND($R57&lt;&gt;"",EDATE($D57,Milestones!$AA$161)&gt;=$R57),$U57,$T57)))=Milestones!$AB$161),TEXT(EDATE($D57,Milestones!$AA$161),"dd/mm/yy")&amp;" "&amp;Milestones!$AB$161&amp;" "&amp;Milestones!$AC$161&amp;";  ","")&amp;IF(AND(EDATE($D57,Milestones!$AA$162)&lt;=AsOfDate,IF($Q57=0,$W57,IF(AND($S57&lt;&gt;"",EDATE($D57,Milestones!$AA$162)&gt;=$S57),$V57,IF(AND($R57&lt;&gt;"",EDATE($D57,Milestones!$AA$162)&gt;=$R57),$U57,$T57)))=Milestones!$AB$162),TEXT(EDATE($D57,Milestones!$AA$162),"dd/mm/yy")&amp;" "&amp;Milestones!$AB$162&amp;" "&amp;Milestones!$AC$162&amp;";  ","")&amp;IF(AND(EDATE($D57,Milestones!$AA$163)&lt;=AsOfDate,IF($Q57=0,$W57,IF(AND($S57&lt;&gt;"",EDATE($D57,Milestones!$AA$163)&gt;=$S57),$V57,IF(AND($R57&lt;&gt;"",EDATE($D57,Milestones!$AA$163)&gt;=$R57),$U57,$T57)))=Milestones!$AB$163),TEXT(EDATE($D57,Milestones!$AA$163),"dd/mm/yy")&amp;" "&amp;Milestones!$AB$163&amp;" "&amp;Milestones!$AC$163&amp;";  ","")&amp;IF(AND(EDATE($D57,Milestones!$AA$164)&lt;=AsOfDate,IF($Q57=0,$W57,IF(AND($S57&lt;&gt;"",EDATE($D57,Milestones!$AA$164)&gt;=$S57),$V57,IF(AND($R57&lt;&gt;"",EDATE($D57,Milestones!$AA$164)&gt;=$R57),$U57,$T57)))=Milestones!$AB$164),TEXT(EDATE($D57,Milestones!$AA$164),"dd/mm/yy")&amp;" "&amp;Milestones!$AB$164&amp;" "&amp;Milestones!$AC$164&amp;";  ","")&amp;IF(AND(EDATE($D57,Milestones!$AA$165)&lt;=AsOfDate,IF($Q57=0,$W57,IF(AND($S57&lt;&gt;"",EDATE($D57,Milestones!$AA$165)&gt;=$S57),$V57,IF(AND($R57&lt;&gt;"",EDATE($D57,Milestones!$AA$165)&gt;=$R57),$U57,$T57)))=Milestones!$AB$165),TEXT(EDATE($D57,Milestones!$AA$165),"dd/mm/yy")&amp;" "&amp;Milestones!$AB$165&amp;" "&amp;Milestones!$AC$165&amp;";  ","")&amp;IF(AND(EDATE($D57,Milestones!$AA$166)&lt;=AsOfDate,IF($Q57=0,$W57,IF(AND($S57&lt;&gt;"",EDATE($D57,Milestones!$AA$166)&gt;=$S57),$V57,IF(AND($R57&lt;&gt;"",EDATE($D57,Milestones!$AA$166)&gt;=$R57),$U57,$T57)))=Milestones!$AB$166),TEXT(EDATE($D57,Milestones!$AA$166),"dd/mm/yy")&amp;" "&amp;Milestones!$AB$166&amp;" "&amp;Milestones!$AC$166&amp;";  ","")&amp;IF(AND(EDATE($D57,Milestones!$AA$167)&lt;=AsOfDate,IF($Q57=0,$W57,IF(AND($S57&lt;&gt;"",EDATE($D57,Milestones!$AA$167)&gt;=$S57),$V57,IF(AND($R57&lt;&gt;"",EDATE($D57,Milestones!$AA$167)&gt;=$R57),$U57,$T57)))=Milestones!$AB$167),TEXT(EDATE($D57,Milestones!$AA$167),"dd/mm/yy")&amp;" "&amp;Milestones!$AB$167&amp;" "&amp;Milestones!$AC$167&amp;";  ","")&amp;IF(AND(EDATE($D57,Milestones!$AA$168)&lt;=AsOfDate,IF($Q57=0,$W57,IF(AND($S57&lt;&gt;"",EDATE($D57,Milestones!$AA$168)&gt;=$S57),$V57,IF(AND($R57&lt;&gt;"",EDATE($D57,Milestones!$AA$168)&gt;=$R57),$U57,$T57)))=Milestones!$AB$168),TEXT(EDATE($D57,Milestones!$AA$168),"dd/mm/yy")&amp;" "&amp;Milestones!$AB$168&amp;" "&amp;Milestones!$AC$168&amp;";  ","")&amp;IF(AND(EDATE($D57,Milestones!$AA$169)&lt;=AsOfDate,IF($Q57=0,$W57,IF(AND($S57&lt;&gt;"",EDATE($D57,Milestones!$AA$169)&gt;=$S57),$V57,IF(AND($R57&lt;&gt;"",EDATE($D57,Milestones!$AA$169)&gt;=$R57),$U57,$T57)))=Milestones!$AB$169),TEXT(EDATE($D57,Milestones!$AA$169),"dd/mm/yy")&amp;" "&amp;Milestones!$AB$169&amp;" "&amp;Milestones!$AC$169&amp;";  ","")&amp;IF(AND(EDATE($D57,Milestones!$AA$170)&lt;=AsOfDate,IF($Q57=0,$W57,IF(AND($S57&lt;&gt;"",EDATE($D57,Milestones!$AA$170)&gt;=$S57),$V57,IF(AND($R57&lt;&gt;"",EDATE($D57,Milestones!$AA$170)&gt;=$R57),$U57,$T57)))=Milestones!$AB$170),TEXT(EDATE($D57,Milestones!$AA$170),"dd/mm/yy")&amp;" "&amp;Milestones!$AB$170&amp;" "&amp;Milestones!$AC$170&amp;";  ","")&amp;IF(AND(EDATE($D57,Milestones!$AA$171)&lt;=AsOfDate,IF($Q57=0,$W57,IF(AND($S57&lt;&gt;"",EDATE($D57,Milestones!$AA$171)&gt;=$S57),$V57,IF(AND($R57&lt;&gt;"",EDATE($D57,Milestones!$AA$171)&gt;=$R57),$U57,$T57)))=Milestones!$AB$171),TEXT(EDATE($D57,Milestones!$AA$171),"dd/mm/yy")&amp;" "&amp;Milestones!$AB$171&amp;" "&amp;Milestones!$AC$171&amp;";  ","")&amp;IF(AND(EDATE($D57,Milestones!$AA$172)&lt;=AsOfDate,IF($Q57=0,$W57,IF(AND($S57&lt;&gt;"",EDATE($D57,Milestones!$AA$172)&gt;=$S57),$V57,IF(AND($R57&lt;&gt;"",EDATE($D57,Milestones!$AA$172)&gt;=$R57),$U57,$T57)))=Milestones!$AB$172),TEXT(EDATE($D57,Milestones!$AA$172),"dd/mm/yy")&amp;" "&amp;Milestones!$AB$172&amp;" "&amp;Milestones!$AC$172&amp;";  ","")&amp;IF(AND(EDATE($D57,Milestones!$AA$173)&lt;=AsOfDate,IF($Q57=0,$W57,IF(AND($S57&lt;&gt;"",EDATE($D57,Milestones!$AA$173)&gt;=$S57),$V57,IF(AND($R57&lt;&gt;"",EDATE($D57,Milestones!$AA$173)&gt;=$R57),$U57,$T57)))=Milestones!$AB$173),TEXT(EDATE($D57,Milestones!$AA$173),"dd/mm/yy")&amp;" "&amp;Milestones!$AB$173&amp;" "&amp;Milestones!$AC$173&amp;";  ","")&amp;IF(AND(EDATE($D57,Milestones!$AA$174)&lt;=AsOfDate,IF($Q57=0,$W57,IF(AND($S57&lt;&gt;"",EDATE($D57,Milestones!$AA$174)&gt;=$S57),$V57,IF(AND($R57&lt;&gt;"",EDATE($D57,Milestones!$AA$174)&gt;=$R57),$U57,$T57)))=Milestones!$AB$174),TEXT(EDATE($D57,Milestones!$AA$174),"dd/mm/yy")&amp;" "&amp;Milestones!$AB$174&amp;" "&amp;Milestones!$AC$174&amp;";  ","")&amp;IF(AND(EDATE($D57,Milestones!$AA$175)&lt;=AsOfDate,IF($Q57=0,$W57,IF(AND($S57&lt;&gt;"",EDATE($D57,Milestones!$AA$175)&gt;=$S57),$V57,IF(AND($R57&lt;&gt;"",EDATE($D57,Milestones!$AA$175)&gt;=$R57),$U57,$T57)))=Milestones!$AB$175),TEXT(EDATE($D57,Milestones!$AA$175),"dd/mm/yy")&amp;" "&amp;Milestones!$AB$175&amp;" "&amp;Milestones!$AC$175&amp;";  ","")&amp;IF(AND(EDATE($D57,Milestones!$AA$176)&lt;=AsOfDate,IF($Q57=0,$W57,IF(AND($S57&lt;&gt;"",EDATE($D57,Milestones!$AA$176)&gt;=$S57),$V57,IF(AND($R57&lt;&gt;"",EDATE($D57,Milestones!$AA$176)&gt;=$R57),$U57,$T57)))=Milestones!$AB$176),TEXT(EDATE($D57,Milestones!$AA$176),"dd/mm/yy")&amp;" "&amp;Milestones!$AB$176&amp;" "&amp;Milestones!$AC$176&amp;";  ","")&amp;IF(AND(EDATE($D57,Milestones!$AA$177)&lt;=AsOfDate,IF($Q57=0,$W57,IF(AND($S57&lt;&gt;"",EDATE($D57,Milestones!$AA$177)&gt;=$S57),$V57,IF(AND($R57&lt;&gt;"",EDATE($D57,Milestones!$AA$177)&gt;=$R57),$U57,$T57)))=Milestones!$AB$177),TEXT(EDATE($D57,Milestones!$AA$177),"dd/mm/yy")&amp;" "&amp;Milestones!$AB$177&amp;" "&amp;Milestones!$AC$177&amp;";  ","")&amp;IF(AND(EDATE($D57,Milestones!$AA$178)&lt;=AsOfDate,IF($Q57=0,$W57,IF(AND($S57&lt;&gt;"",EDATE($D57,Milestones!$AA$178)&gt;=$S57),$V57,IF(AND($R57&lt;&gt;"",EDATE($D57,Milestones!$AA$178)&gt;=$R57),$U57,$T57)))=Milestones!$AB$178),TEXT(EDATE($D57,Milestones!$AA$178),"dd/mm/yy")&amp;" "&amp;Milestones!$AB$178&amp;" "&amp;Milestones!$AC$178&amp;";  ","")&amp;IF(AND(EDATE($D57,Milestones!$AA$179)&lt;=AsOfDate,IF($Q57=0,$W57,IF(AND($S57&lt;&gt;"",EDATE($D57,Milestones!$AA$179)&gt;=$S57),$V57,IF(AND($R57&lt;&gt;"",EDATE($D57,Milestones!$AA$179)&gt;=$R57),$U57,$T57)))=Milestones!$AB$179),TEXT(EDATE($D57,Milestones!$AA$179),"dd/mm/yy")&amp;" "&amp;Milestones!$AB$179&amp;" "&amp;Milestones!$AC$179&amp;";  ",""))</f>
        <v/>
      </c>
      <c r="P57" s="0" t="str">
        <f aca="false">IF(OR($A57="",$D57=""),"",IF(AND(EDATE($D57,Milestones!$AA$180)&lt;=AsOfDate,IF($Q57=0,$W57,IF(AND($S57&lt;&gt;"",EDATE($D57,Milestones!$AA$180)&gt;=$S57),$V57,IF(AND($R57&lt;&gt;"",EDATE($D57,Milestones!$AA$180)&gt;=$R57),$U57,$T57)))=Milestones!$AB$180),TEXT(EDATE($D57,Milestones!$AA$180),"dd/mm/yy")&amp;" "&amp;Milestones!$AB$180&amp;" "&amp;Milestones!$AC$180&amp;";  ","")&amp;IF(AND(EDATE($D57,Milestones!$AA$181)&lt;=AsOfDate,IF($Q57=0,$W57,IF(AND($S57&lt;&gt;"",EDATE($D57,Milestones!$AA$181)&gt;=$S57),$V57,IF(AND($R57&lt;&gt;"",EDATE($D57,Milestones!$AA$181)&gt;=$R57),$U57,$T57)))=Milestones!$AB$181),TEXT(EDATE($D57,Milestones!$AA$181),"dd/mm/yy")&amp;" "&amp;Milestones!$AB$181&amp;" "&amp;Milestones!$AC$181&amp;";  ","")&amp;IF(AND(EDATE($D57,Milestones!$AA$182)&lt;=AsOfDate,IF($Q57=0,$W57,IF(AND($S57&lt;&gt;"",EDATE($D57,Milestones!$AA$182)&gt;=$S57),$V57,IF(AND($R57&lt;&gt;"",EDATE($D57,Milestones!$AA$182)&gt;=$R57),$U57,$T57)))=Milestones!$AB$182),TEXT(EDATE($D57,Milestones!$AA$182),"dd/mm/yy")&amp;" "&amp;Milestones!$AB$182&amp;" "&amp;Milestones!$AC$182&amp;";  ","")&amp;IF(AND(EDATE($D57,Milestones!$AA$183)&lt;=AsOfDate,IF($Q57=0,$W57,IF(AND($S57&lt;&gt;"",EDATE($D57,Milestones!$AA$183)&gt;=$S57),$V57,IF(AND($R57&lt;&gt;"",EDATE($D57,Milestones!$AA$183)&gt;=$R57),$U57,$T57)))=Milestones!$AB$183),TEXT(EDATE($D57,Milestones!$AA$183),"dd/mm/yy")&amp;" "&amp;Milestones!$AB$183&amp;" "&amp;Milestones!$AC$183&amp;";  ","")&amp;IF(AND(EDATE($D57,Milestones!$AA$184)&lt;=AsOfDate,IF($Q57=0,$W57,IF(AND($S57&lt;&gt;"",EDATE($D57,Milestones!$AA$184)&gt;=$S57),$V57,IF(AND($R57&lt;&gt;"",EDATE($D57,Milestones!$AA$184)&gt;=$R57),$U57,$T57)))=Milestones!$AB$184),TEXT(EDATE($D57,Milestones!$AA$184),"dd/mm/yy")&amp;" "&amp;Milestones!$AB$184&amp;" "&amp;Milestones!$AC$184&amp;";  ","")&amp;IF(AND(EDATE($D57,Milestones!$AA$185)&lt;=AsOfDate,IF($Q57=0,$W57,IF(AND($S57&lt;&gt;"",EDATE($D57,Milestones!$AA$185)&gt;=$S57),$V57,IF(AND($R57&lt;&gt;"",EDATE($D57,Milestones!$AA$185)&gt;=$R57),$U57,$T57)))=Milestones!$AB$185),TEXT(EDATE($D57,Milestones!$AA$185),"dd/mm/yy")&amp;" "&amp;Milestones!$AB$185&amp;" "&amp;Milestones!$AC$185&amp;";  ","")&amp;IF(AND(EDATE($D57,Milestones!$AA$186)&lt;=AsOfDate,IF($Q57=0,$W57,IF(AND($S57&lt;&gt;"",EDATE($D57,Milestones!$AA$186)&gt;=$S57),$V57,IF(AND($R57&lt;&gt;"",EDATE($D57,Milestones!$AA$186)&gt;=$R57),$U57,$T57)))=Milestones!$AB$186),TEXT(EDATE($D57,Milestones!$AA$186),"dd/mm/yy")&amp;" "&amp;Milestones!$AB$186&amp;" "&amp;Milestones!$AC$186&amp;";  ","")&amp;IF(AND(EDATE($D57,Milestones!$AA$187)&lt;=AsOfDate,IF($Q57=0,$W57,IF(AND($S57&lt;&gt;"",EDATE($D57,Milestones!$AA$187)&gt;=$S57),$V57,IF(AND($R57&lt;&gt;"",EDATE($D57,Milestones!$AA$187)&gt;=$R57),$U57,$T57)))=Milestones!$AB$187),TEXT(EDATE($D57,Milestones!$AA$187),"dd/mm/yy")&amp;" "&amp;Milestones!$AB$187&amp;" "&amp;Milestones!$AC$187&amp;";  ","")&amp;IF(AND(EDATE($D57,Milestones!$AA$188)&lt;=AsOfDate,IF($Q57=0,$W57,IF(AND($S57&lt;&gt;"",EDATE($D57,Milestones!$AA$188)&gt;=$S57),$V57,IF(AND($R57&lt;&gt;"",EDATE($D57,Milestones!$AA$188)&gt;=$R57),$U57,$T57)))=Milestones!$AB$188),TEXT(EDATE($D57,Milestones!$AA$188),"dd/mm/yy")&amp;" "&amp;Milestones!$AB$188&amp;" "&amp;Milestones!$AC$188&amp;";  ","")&amp;IF(AND(EDATE($D57,Milestones!$AA$189)&lt;=AsOfDate,IF($Q57=0,$W57,IF(AND($S57&lt;&gt;"",EDATE($D57,Milestones!$AA$189)&gt;=$S57),$V57,IF(AND($R57&lt;&gt;"",EDATE($D57,Milestones!$AA$189)&gt;=$R57),$U57,$T57)))=Milestones!$AB$189),TEXT(EDATE($D57,Milestones!$AA$189),"dd/mm/yy")&amp;" "&amp;Milestones!$AB$189&amp;" "&amp;Milestones!$AC$189&amp;";  ","")&amp;IF(AND(EDATE($D57,Milestones!$AA$190)&lt;=AsOfDate,IF($Q57=0,$W57,IF(AND($S57&lt;&gt;"",EDATE($D57,Milestones!$AA$190)&gt;=$S57),$V57,IF(AND($R57&lt;&gt;"",EDATE($D57,Milestones!$AA$190)&gt;=$R57),$U57,$T57)))=Milestones!$AB$190),TEXT(EDATE($D57,Milestones!$AA$190),"dd/mm/yy")&amp;" "&amp;Milestones!$AB$190&amp;" "&amp;Milestones!$AC$190&amp;";  ","")&amp;IF(AND(EDATE($D57,Milestones!$AA$191)&lt;=AsOfDate,IF($Q57=0,$W57,IF(AND($S57&lt;&gt;"",EDATE($D57,Milestones!$AA$191)&gt;=$S57),$V57,IF(AND($R57&lt;&gt;"",EDATE($D57,Milestones!$AA$191)&gt;=$R57),$U57,$T57)))=Milestones!$AB$191),TEXT(EDATE($D57,Milestones!$AA$191),"dd/mm/yy")&amp;" "&amp;Milestones!$AB$191&amp;" "&amp;Milestones!$AC$191&amp;";  ","")&amp;IF(AND(EDATE($D57,Milestones!$AA$192)&lt;=AsOfDate,IF($Q57=0,$W57,IF(AND($S57&lt;&gt;"",EDATE($D57,Milestones!$AA$192)&gt;=$S57),$V57,IF(AND($R57&lt;&gt;"",EDATE($D57,Milestones!$AA$192)&gt;=$R57),$U57,$T57)))=Milestones!$AB$192),TEXT(EDATE($D57,Milestones!$AA$192),"dd/mm/yy")&amp;" "&amp;Milestones!$AB$192&amp;" "&amp;Milestones!$AC$192&amp;";  ","")&amp;IF(AND(EDATE($D57,Milestones!$AA$193)&lt;=AsOfDate,IF($Q57=0,$W57,IF(AND($S57&lt;&gt;"",EDATE($D57,Milestones!$AA$193)&gt;=$S57),$V57,IF(AND($R57&lt;&gt;"",EDATE($D57,Milestones!$AA$193)&gt;=$R57),$U57,$T57)))=Milestones!$AB$193),TEXT(EDATE($D57,Milestones!$AA$193),"dd/mm/yy")&amp;" "&amp;Milestones!$AB$193&amp;" "&amp;Milestones!$AC$193&amp;";  ","")&amp;IF(AND(EDATE($D57,Milestones!$AA$194)&lt;=AsOfDate,IF($Q57=0,$W57,IF(AND($S57&lt;&gt;"",EDATE($D57,Milestones!$AA$194)&gt;=$S57),$V57,IF(AND($R57&lt;&gt;"",EDATE($D57,Milestones!$AA$194)&gt;=$R57),$U57,$T57)))=Milestones!$AB$194),TEXT(EDATE($D57,Milestones!$AA$194),"dd/mm/yy")&amp;" "&amp;Milestones!$AB$194&amp;" "&amp;Milestones!$AC$194&amp;";  ","")&amp;IF(AND(EDATE($D57,Milestones!$AA$195)&lt;=AsOfDate,IF($Q57=0,$W57,IF(AND($S57&lt;&gt;"",EDATE($D57,Milestones!$AA$195)&gt;=$S57),$V57,IF(AND($R57&lt;&gt;"",EDATE($D57,Milestones!$AA$195)&gt;=$R57),$U57,$T57)))=Milestones!$AB$195),TEXT(EDATE($D57,Milestones!$AA$195),"dd/mm/yy")&amp;" "&amp;Milestones!$AB$195&amp;" "&amp;Milestones!$AC$195&amp;";  ","")&amp;IF(AND(EDATE($D57,Milestones!$AA$196)&lt;=AsOfDate,IF($Q57=0,$W57,IF(AND($S57&lt;&gt;"",EDATE($D57,Milestones!$AA$196)&gt;=$S57),$V57,IF(AND($R57&lt;&gt;"",EDATE($D57,Milestones!$AA$196)&gt;=$R57),$U57,$T57)))=Milestones!$AB$196),TEXT(EDATE($D57,Milestones!$AA$196),"dd/mm/yy")&amp;" "&amp;Milestones!$AB$196&amp;" "&amp;Milestones!$AC$196&amp;";  ","")&amp;IF(AND(EDATE($D57,Milestones!$AA$197)&lt;=AsOfDate,IF($Q57=0,$W57,IF(AND($S57&lt;&gt;"",EDATE($D57,Milestones!$AA$197)&gt;=$S57),$V57,IF(AND($R57&lt;&gt;"",EDATE($D57,Milestones!$AA$197)&gt;=$R57),$U57,$T57)))=Milestones!$AB$197),TEXT(EDATE($D57,Milestones!$AA$197),"dd/mm/yy")&amp;" "&amp;Milestones!$AB$197&amp;" "&amp;Milestones!$AC$197&amp;";  ","")&amp;IF(AND(EDATE($D57,Milestones!$AA$198)&lt;=AsOfDate,IF($Q57=0,$W57,IF(AND($S57&lt;&gt;"",EDATE($D57,Milestones!$AA$198)&gt;=$S57),$V57,IF(AND($R57&lt;&gt;"",EDATE($D57,Milestones!$AA$198)&gt;=$R57),$U57,$T57)))=Milestones!$AB$198),TEXT(EDATE($D57,Milestones!$AA$198),"dd/mm/yy")&amp;" "&amp;Milestones!$AB$198&amp;" "&amp;Milestones!$AC$198&amp;";  ","")&amp;IF(AND(EDATE($D57,Milestones!$AA$199)&lt;=AsOfDate,IF($Q57=0,$W57,IF(AND($S57&lt;&gt;"",EDATE($D57,Milestones!$AA$199)&gt;=$S57),$V57,IF(AND($R57&lt;&gt;"",EDATE($D57,Milestones!$AA$199)&gt;=$R57),$U57,$T57)))=Milestones!$AB$199),TEXT(EDATE($D57,Milestones!$AA$199),"dd/mm/yy")&amp;" "&amp;Milestones!$AB$199&amp;" "&amp;Milestones!$AC$199&amp;";  ",""))</f>
        <v/>
      </c>
      <c r="Q57" s="0" t="str">
        <f aca="false">IF(Staff!$A57="","",Staff!$AG57)</f>
        <v/>
      </c>
      <c r="R57" s="0" t="str">
        <f aca="false">IF(Staff!$A57="","",Staff!$AI57)</f>
        <v/>
      </c>
      <c r="S57" s="0" t="str">
        <f aca="false">IF(Staff!$A57="","",Staff!$AJ57)</f>
        <v/>
      </c>
      <c r="T57" s="0" t="str">
        <f aca="false">IF(Staff!$A57="","",Staff!$AN57)</f>
        <v/>
      </c>
      <c r="U57" s="0" t="str">
        <f aca="false">IF(Staff!$A57="","",Staff!$AO57)</f>
        <v/>
      </c>
      <c r="V57" s="0" t="str">
        <f aca="false">IF(Staff!$A57="","",Staff!$AP57)</f>
        <v/>
      </c>
      <c r="W57" s="0" t="str">
        <f aca="false">IF(Staff!$A57="","",Staff!$AQ57)</f>
        <v/>
      </c>
    </row>
    <row r="58" customFormat="false" ht="15" hidden="false" customHeight="false" outlineLevel="0" collapsed="false">
      <c r="A58" s="13" t="str">
        <f aca="false">IF(Staff!$A58="","",Staff!$A58)</f>
        <v/>
      </c>
      <c r="B58" s="13" t="str">
        <f aca="false">IF(Staff!$A58="","",Staff!$B58)</f>
        <v/>
      </c>
      <c r="C58" s="13" t="str">
        <f aca="false">IF(Staff!$A58="","",Staff!$C58)</f>
        <v/>
      </c>
      <c r="D58" s="11" t="str">
        <f aca="false">IF(Staff!$A58="","",Staff!$AF58)</f>
        <v/>
      </c>
      <c r="E58" s="13" t="str">
        <f aca="false">IF(Staff!$A58="","",Staff!$O58)</f>
        <v/>
      </c>
      <c r="F58" s="13" t="str">
        <f aca="false">IF(E58="","",E58*HoursPerDay)</f>
        <v/>
      </c>
      <c r="G58" s="26" t="str">
        <f aca="false">IF($A58="","",H58&amp;I58&amp;J58&amp;K58&amp;L58&amp;M58&amp;N58&amp;O58&amp;P58)</f>
        <v/>
      </c>
      <c r="H58" s="0" t="str">
        <f aca="false">IF(OR($A58="",$D58=""),"",IF(AND(EDATE($D58,Milestones!$AA$20)&lt;=AsOfDate,IF($Q58=0,$W58,IF(AND($S58&lt;&gt;"",EDATE($D58,Milestones!$AA$20)&gt;=$S58),$V58,IF(AND($R58&lt;&gt;"",EDATE($D58,Milestones!$AA$20)&gt;=$R58),$U58,$T58)))=Milestones!$AB$20),TEXT(EDATE($D58,Milestones!$AA$20),"dd/mm/yy")&amp;" "&amp;Milestones!$AB$20&amp;" "&amp;Milestones!$AC$20&amp;";  ","")&amp;IF(AND(EDATE($D58,Milestones!$AA$21)&lt;=AsOfDate,IF($Q58=0,$W58,IF(AND($S58&lt;&gt;"",EDATE($D58,Milestones!$AA$21)&gt;=$S58),$V58,IF(AND($R58&lt;&gt;"",EDATE($D58,Milestones!$AA$21)&gt;=$R58),$U58,$T58)))=Milestones!$AB$21),TEXT(EDATE($D58,Milestones!$AA$21),"dd/mm/yy")&amp;" "&amp;Milestones!$AB$21&amp;" "&amp;Milestones!$AC$21&amp;";  ","")&amp;IF(AND(EDATE($D58,Milestones!$AA$22)&lt;=AsOfDate,IF($Q58=0,$W58,IF(AND($S58&lt;&gt;"",EDATE($D58,Milestones!$AA$22)&gt;=$S58),$V58,IF(AND($R58&lt;&gt;"",EDATE($D58,Milestones!$AA$22)&gt;=$R58),$U58,$T58)))=Milestones!$AB$22),TEXT(EDATE($D58,Milestones!$AA$22),"dd/mm/yy")&amp;" "&amp;Milestones!$AB$22&amp;" "&amp;Milestones!$AC$22&amp;";  ","")&amp;IF(AND(EDATE($D58,Milestones!$AA$23)&lt;=AsOfDate,IF($Q58=0,$W58,IF(AND($S58&lt;&gt;"",EDATE($D58,Milestones!$AA$23)&gt;=$S58),$V58,IF(AND($R58&lt;&gt;"",EDATE($D58,Milestones!$AA$23)&gt;=$R58),$U58,$T58)))=Milestones!$AB$23),TEXT(EDATE($D58,Milestones!$AA$23),"dd/mm/yy")&amp;" "&amp;Milestones!$AB$23&amp;" "&amp;Milestones!$AC$23&amp;";  ","")&amp;IF(AND(EDATE($D58,Milestones!$AA$24)&lt;=AsOfDate,IF($Q58=0,$W58,IF(AND($S58&lt;&gt;"",EDATE($D58,Milestones!$AA$24)&gt;=$S58),$V58,IF(AND($R58&lt;&gt;"",EDATE($D58,Milestones!$AA$24)&gt;=$R58),$U58,$T58)))=Milestones!$AB$24),TEXT(EDATE($D58,Milestones!$AA$24),"dd/mm/yy")&amp;" "&amp;Milestones!$AB$24&amp;" "&amp;Milestones!$AC$24&amp;";  ","")&amp;IF(AND(EDATE($D58,Milestones!$AA$25)&lt;=AsOfDate,IF($Q58=0,$W58,IF(AND($S58&lt;&gt;"",EDATE($D58,Milestones!$AA$25)&gt;=$S58),$V58,IF(AND($R58&lt;&gt;"",EDATE($D58,Milestones!$AA$25)&gt;=$R58),$U58,$T58)))=Milestones!$AB$25),TEXT(EDATE($D58,Milestones!$AA$25),"dd/mm/yy")&amp;" "&amp;Milestones!$AB$25&amp;" "&amp;Milestones!$AC$25&amp;";  ","")&amp;IF(AND(EDATE($D58,Milestones!$AA$26)&lt;=AsOfDate,IF($Q58=0,$W58,IF(AND($S58&lt;&gt;"",EDATE($D58,Milestones!$AA$26)&gt;=$S58),$V58,IF(AND($R58&lt;&gt;"",EDATE($D58,Milestones!$AA$26)&gt;=$R58),$U58,$T58)))=Milestones!$AB$26),TEXT(EDATE($D58,Milestones!$AA$26),"dd/mm/yy")&amp;" "&amp;Milestones!$AB$26&amp;" "&amp;Milestones!$AC$26&amp;";  ","")&amp;IF(AND(EDATE($D58,Milestones!$AA$27)&lt;=AsOfDate,IF($Q58=0,$W58,IF(AND($S58&lt;&gt;"",EDATE($D58,Milestones!$AA$27)&gt;=$S58),$V58,IF(AND($R58&lt;&gt;"",EDATE($D58,Milestones!$AA$27)&gt;=$R58),$U58,$T58)))=Milestones!$AB$27),TEXT(EDATE($D58,Milestones!$AA$27),"dd/mm/yy")&amp;" "&amp;Milestones!$AB$27&amp;" "&amp;Milestones!$AC$27&amp;";  ","")&amp;IF(AND(EDATE($D58,Milestones!$AA$28)&lt;=AsOfDate,IF($Q58=0,$W58,IF(AND($S58&lt;&gt;"",EDATE($D58,Milestones!$AA$28)&gt;=$S58),$V58,IF(AND($R58&lt;&gt;"",EDATE($D58,Milestones!$AA$28)&gt;=$R58),$U58,$T58)))=Milestones!$AB$28),TEXT(EDATE($D58,Milestones!$AA$28),"dd/mm/yy")&amp;" "&amp;Milestones!$AB$28&amp;" "&amp;Milestones!$AC$28&amp;";  ","")&amp;IF(AND(EDATE($D58,Milestones!$AA$29)&lt;=AsOfDate,IF($Q58=0,$W58,IF(AND($S58&lt;&gt;"",EDATE($D58,Milestones!$AA$29)&gt;=$S58),$V58,IF(AND($R58&lt;&gt;"",EDATE($D58,Milestones!$AA$29)&gt;=$R58),$U58,$T58)))=Milestones!$AB$29),TEXT(EDATE($D58,Milestones!$AA$29),"dd/mm/yy")&amp;" "&amp;Milestones!$AB$29&amp;" "&amp;Milestones!$AC$29&amp;";  ","")&amp;IF(AND(EDATE($D58,Milestones!$AA$30)&lt;=AsOfDate,IF($Q58=0,$W58,IF(AND($S58&lt;&gt;"",EDATE($D58,Milestones!$AA$30)&gt;=$S58),$V58,IF(AND($R58&lt;&gt;"",EDATE($D58,Milestones!$AA$30)&gt;=$R58),$U58,$T58)))=Milestones!$AB$30),TEXT(EDATE($D58,Milestones!$AA$30),"dd/mm/yy")&amp;" "&amp;Milestones!$AB$30&amp;" "&amp;Milestones!$AC$30&amp;";  ","")&amp;IF(AND(EDATE($D58,Milestones!$AA$31)&lt;=AsOfDate,IF($Q58=0,$W58,IF(AND($S58&lt;&gt;"",EDATE($D58,Milestones!$AA$31)&gt;=$S58),$V58,IF(AND($R58&lt;&gt;"",EDATE($D58,Milestones!$AA$31)&gt;=$R58),$U58,$T58)))=Milestones!$AB$31),TEXT(EDATE($D58,Milestones!$AA$31),"dd/mm/yy")&amp;" "&amp;Milestones!$AB$31&amp;" "&amp;Milestones!$AC$31&amp;";  ","")&amp;IF(AND(EDATE($D58,Milestones!$AA$32)&lt;=AsOfDate,IF($Q58=0,$W58,IF(AND($S58&lt;&gt;"",EDATE($D58,Milestones!$AA$32)&gt;=$S58),$V58,IF(AND($R58&lt;&gt;"",EDATE($D58,Milestones!$AA$32)&gt;=$R58),$U58,$T58)))=Milestones!$AB$32),TEXT(EDATE($D58,Milestones!$AA$32),"dd/mm/yy")&amp;" "&amp;Milestones!$AB$32&amp;" "&amp;Milestones!$AC$32&amp;";  ","")&amp;IF(AND(EDATE($D58,Milestones!$AA$33)&lt;=AsOfDate,IF($Q58=0,$W58,IF(AND($S58&lt;&gt;"",EDATE($D58,Milestones!$AA$33)&gt;=$S58),$V58,IF(AND($R58&lt;&gt;"",EDATE($D58,Milestones!$AA$33)&gt;=$R58),$U58,$T58)))=Milestones!$AB$33),TEXT(EDATE($D58,Milestones!$AA$33),"dd/mm/yy")&amp;" "&amp;Milestones!$AB$33&amp;" "&amp;Milestones!$AC$33&amp;";  ","")&amp;IF(AND(EDATE($D58,Milestones!$AA$34)&lt;=AsOfDate,IF($Q58=0,$W58,IF(AND($S58&lt;&gt;"",EDATE($D58,Milestones!$AA$34)&gt;=$S58),$V58,IF(AND($R58&lt;&gt;"",EDATE($D58,Milestones!$AA$34)&gt;=$R58),$U58,$T58)))=Milestones!$AB$34),TEXT(EDATE($D58,Milestones!$AA$34),"dd/mm/yy")&amp;" "&amp;Milestones!$AB$34&amp;" "&amp;Milestones!$AC$34&amp;";  ","")&amp;IF(AND(EDATE($D58,Milestones!$AA$35)&lt;=AsOfDate,IF($Q58=0,$W58,IF(AND($S58&lt;&gt;"",EDATE($D58,Milestones!$AA$35)&gt;=$S58),$V58,IF(AND($R58&lt;&gt;"",EDATE($D58,Milestones!$AA$35)&gt;=$R58),$U58,$T58)))=Milestones!$AB$35),TEXT(EDATE($D58,Milestones!$AA$35),"dd/mm/yy")&amp;" "&amp;Milestones!$AB$35&amp;" "&amp;Milestones!$AC$35&amp;";  ","")&amp;IF(AND(EDATE($D58,Milestones!$AA$36)&lt;=AsOfDate,IF($Q58=0,$W58,IF(AND($S58&lt;&gt;"",EDATE($D58,Milestones!$AA$36)&gt;=$S58),$V58,IF(AND($R58&lt;&gt;"",EDATE($D58,Milestones!$AA$36)&gt;=$R58),$U58,$T58)))=Milestones!$AB$36),TEXT(EDATE($D58,Milestones!$AA$36),"dd/mm/yy")&amp;" "&amp;Milestones!$AB$36&amp;" "&amp;Milestones!$AC$36&amp;";  ","")&amp;IF(AND(EDATE($D58,Milestones!$AA$37)&lt;=AsOfDate,IF($Q58=0,$W58,IF(AND($S58&lt;&gt;"",EDATE($D58,Milestones!$AA$37)&gt;=$S58),$V58,IF(AND($R58&lt;&gt;"",EDATE($D58,Milestones!$AA$37)&gt;=$R58),$U58,$T58)))=Milestones!$AB$37),TEXT(EDATE($D58,Milestones!$AA$37),"dd/mm/yy")&amp;" "&amp;Milestones!$AB$37&amp;" "&amp;Milestones!$AC$37&amp;";  ","")&amp;IF(AND(EDATE($D58,Milestones!$AA$38)&lt;=AsOfDate,IF($Q58=0,$W58,IF(AND($S58&lt;&gt;"",EDATE($D58,Milestones!$AA$38)&gt;=$S58),$V58,IF(AND($R58&lt;&gt;"",EDATE($D58,Milestones!$AA$38)&gt;=$R58),$U58,$T58)))=Milestones!$AB$38),TEXT(EDATE($D58,Milestones!$AA$38),"dd/mm/yy")&amp;" "&amp;Milestones!$AB$38&amp;" "&amp;Milestones!$AC$38&amp;";  ","")&amp;IF(AND(EDATE($D58,Milestones!$AA$39)&lt;=AsOfDate,IF($Q58=0,$W58,IF(AND($S58&lt;&gt;"",EDATE($D58,Milestones!$AA$39)&gt;=$S58),$V58,IF(AND($R58&lt;&gt;"",EDATE($D58,Milestones!$AA$39)&gt;=$R58),$U58,$T58)))=Milestones!$AB$39),TEXT(EDATE($D58,Milestones!$AA$39),"dd/mm/yy")&amp;" "&amp;Milestones!$AB$39&amp;" "&amp;Milestones!$AC$39&amp;";  ",""))</f>
        <v/>
      </c>
      <c r="I58" s="0" t="str">
        <f aca="false">IF(OR($A58="",$D58=""),"",IF(AND(EDATE($D58,Milestones!$AA$40)&lt;=AsOfDate,IF($Q58=0,$W58,IF(AND($S58&lt;&gt;"",EDATE($D58,Milestones!$AA$40)&gt;=$S58),$V58,IF(AND($R58&lt;&gt;"",EDATE($D58,Milestones!$AA$40)&gt;=$R58),$U58,$T58)))=Milestones!$AB$40),TEXT(EDATE($D58,Milestones!$AA$40),"dd/mm/yy")&amp;" "&amp;Milestones!$AB$40&amp;" "&amp;Milestones!$AC$40&amp;";  ","")&amp;IF(AND(EDATE($D58,Milestones!$AA$41)&lt;=AsOfDate,IF($Q58=0,$W58,IF(AND($S58&lt;&gt;"",EDATE($D58,Milestones!$AA$41)&gt;=$S58),$V58,IF(AND($R58&lt;&gt;"",EDATE($D58,Milestones!$AA$41)&gt;=$R58),$U58,$T58)))=Milestones!$AB$41),TEXT(EDATE($D58,Milestones!$AA$41),"dd/mm/yy")&amp;" "&amp;Milestones!$AB$41&amp;" "&amp;Milestones!$AC$41&amp;";  ","")&amp;IF(AND(EDATE($D58,Milestones!$AA$42)&lt;=AsOfDate,IF($Q58=0,$W58,IF(AND($S58&lt;&gt;"",EDATE($D58,Milestones!$AA$42)&gt;=$S58),$V58,IF(AND($R58&lt;&gt;"",EDATE($D58,Milestones!$AA$42)&gt;=$R58),$U58,$T58)))=Milestones!$AB$42),TEXT(EDATE($D58,Milestones!$AA$42),"dd/mm/yy")&amp;" "&amp;Milestones!$AB$42&amp;" "&amp;Milestones!$AC$42&amp;";  ","")&amp;IF(AND(EDATE($D58,Milestones!$AA$43)&lt;=AsOfDate,IF($Q58=0,$W58,IF(AND($S58&lt;&gt;"",EDATE($D58,Milestones!$AA$43)&gt;=$S58),$V58,IF(AND($R58&lt;&gt;"",EDATE($D58,Milestones!$AA$43)&gt;=$R58),$U58,$T58)))=Milestones!$AB$43),TEXT(EDATE($D58,Milestones!$AA$43),"dd/mm/yy")&amp;" "&amp;Milestones!$AB$43&amp;" "&amp;Milestones!$AC$43&amp;";  ","")&amp;IF(AND(EDATE($D58,Milestones!$AA$44)&lt;=AsOfDate,IF($Q58=0,$W58,IF(AND($S58&lt;&gt;"",EDATE($D58,Milestones!$AA$44)&gt;=$S58),$V58,IF(AND($R58&lt;&gt;"",EDATE($D58,Milestones!$AA$44)&gt;=$R58),$U58,$T58)))=Milestones!$AB$44),TEXT(EDATE($D58,Milestones!$AA$44),"dd/mm/yy")&amp;" "&amp;Milestones!$AB$44&amp;" "&amp;Milestones!$AC$44&amp;";  ","")&amp;IF(AND(EDATE($D58,Milestones!$AA$45)&lt;=AsOfDate,IF($Q58=0,$W58,IF(AND($S58&lt;&gt;"",EDATE($D58,Milestones!$AA$45)&gt;=$S58),$V58,IF(AND($R58&lt;&gt;"",EDATE($D58,Milestones!$AA$45)&gt;=$R58),$U58,$T58)))=Milestones!$AB$45),TEXT(EDATE($D58,Milestones!$AA$45),"dd/mm/yy")&amp;" "&amp;Milestones!$AB$45&amp;" "&amp;Milestones!$AC$45&amp;";  ","")&amp;IF(AND(EDATE($D58,Milestones!$AA$46)&lt;=AsOfDate,IF($Q58=0,$W58,IF(AND($S58&lt;&gt;"",EDATE($D58,Milestones!$AA$46)&gt;=$S58),$V58,IF(AND($R58&lt;&gt;"",EDATE($D58,Milestones!$AA$46)&gt;=$R58),$U58,$T58)))=Milestones!$AB$46),TEXT(EDATE($D58,Milestones!$AA$46),"dd/mm/yy")&amp;" "&amp;Milestones!$AB$46&amp;" "&amp;Milestones!$AC$46&amp;";  ","")&amp;IF(AND(EDATE($D58,Milestones!$AA$47)&lt;=AsOfDate,IF($Q58=0,$W58,IF(AND($S58&lt;&gt;"",EDATE($D58,Milestones!$AA$47)&gt;=$S58),$V58,IF(AND($R58&lt;&gt;"",EDATE($D58,Milestones!$AA$47)&gt;=$R58),$U58,$T58)))=Milestones!$AB$47),TEXT(EDATE($D58,Milestones!$AA$47),"dd/mm/yy")&amp;" "&amp;Milestones!$AB$47&amp;" "&amp;Milestones!$AC$47&amp;";  ","")&amp;IF(AND(EDATE($D58,Milestones!$AA$48)&lt;=AsOfDate,IF($Q58=0,$W58,IF(AND($S58&lt;&gt;"",EDATE($D58,Milestones!$AA$48)&gt;=$S58),$V58,IF(AND($R58&lt;&gt;"",EDATE($D58,Milestones!$AA$48)&gt;=$R58),$U58,$T58)))=Milestones!$AB$48),TEXT(EDATE($D58,Milestones!$AA$48),"dd/mm/yy")&amp;" "&amp;Milestones!$AB$48&amp;" "&amp;Milestones!$AC$48&amp;";  ","")&amp;IF(AND(EDATE($D58,Milestones!$AA$49)&lt;=AsOfDate,IF($Q58=0,$W58,IF(AND($S58&lt;&gt;"",EDATE($D58,Milestones!$AA$49)&gt;=$S58),$V58,IF(AND($R58&lt;&gt;"",EDATE($D58,Milestones!$AA$49)&gt;=$R58),$U58,$T58)))=Milestones!$AB$49),TEXT(EDATE($D58,Milestones!$AA$49),"dd/mm/yy")&amp;" "&amp;Milestones!$AB$49&amp;" "&amp;Milestones!$AC$49&amp;";  ","")&amp;IF(AND(EDATE($D58,Milestones!$AA$50)&lt;=AsOfDate,IF($Q58=0,$W58,IF(AND($S58&lt;&gt;"",EDATE($D58,Milestones!$AA$50)&gt;=$S58),$V58,IF(AND($R58&lt;&gt;"",EDATE($D58,Milestones!$AA$50)&gt;=$R58),$U58,$T58)))=Milestones!$AB$50),TEXT(EDATE($D58,Milestones!$AA$50),"dd/mm/yy")&amp;" "&amp;Milestones!$AB$50&amp;" "&amp;Milestones!$AC$50&amp;";  ","")&amp;IF(AND(EDATE($D58,Milestones!$AA$51)&lt;=AsOfDate,IF($Q58=0,$W58,IF(AND($S58&lt;&gt;"",EDATE($D58,Milestones!$AA$51)&gt;=$S58),$V58,IF(AND($R58&lt;&gt;"",EDATE($D58,Milestones!$AA$51)&gt;=$R58),$U58,$T58)))=Milestones!$AB$51),TEXT(EDATE($D58,Milestones!$AA$51),"dd/mm/yy")&amp;" "&amp;Milestones!$AB$51&amp;" "&amp;Milestones!$AC$51&amp;";  ","")&amp;IF(AND(EDATE($D58,Milestones!$AA$52)&lt;=AsOfDate,IF($Q58=0,$W58,IF(AND($S58&lt;&gt;"",EDATE($D58,Milestones!$AA$52)&gt;=$S58),$V58,IF(AND($R58&lt;&gt;"",EDATE($D58,Milestones!$AA$52)&gt;=$R58),$U58,$T58)))=Milestones!$AB$52),TEXT(EDATE($D58,Milestones!$AA$52),"dd/mm/yy")&amp;" "&amp;Milestones!$AB$52&amp;" "&amp;Milestones!$AC$52&amp;";  ","")&amp;IF(AND(EDATE($D58,Milestones!$AA$53)&lt;=AsOfDate,IF($Q58=0,$W58,IF(AND($S58&lt;&gt;"",EDATE($D58,Milestones!$AA$53)&gt;=$S58),$V58,IF(AND($R58&lt;&gt;"",EDATE($D58,Milestones!$AA$53)&gt;=$R58),$U58,$T58)))=Milestones!$AB$53),TEXT(EDATE($D58,Milestones!$AA$53),"dd/mm/yy")&amp;" "&amp;Milestones!$AB$53&amp;" "&amp;Milestones!$AC$53&amp;";  ","")&amp;IF(AND(EDATE($D58,Milestones!$AA$54)&lt;=AsOfDate,IF($Q58=0,$W58,IF(AND($S58&lt;&gt;"",EDATE($D58,Milestones!$AA$54)&gt;=$S58),$V58,IF(AND($R58&lt;&gt;"",EDATE($D58,Milestones!$AA$54)&gt;=$R58),$U58,$T58)))=Milestones!$AB$54),TEXT(EDATE($D58,Milestones!$AA$54),"dd/mm/yy")&amp;" "&amp;Milestones!$AB$54&amp;" "&amp;Milestones!$AC$54&amp;";  ","")&amp;IF(AND(EDATE($D58,Milestones!$AA$55)&lt;=AsOfDate,IF($Q58=0,$W58,IF(AND($S58&lt;&gt;"",EDATE($D58,Milestones!$AA$55)&gt;=$S58),$V58,IF(AND($R58&lt;&gt;"",EDATE($D58,Milestones!$AA$55)&gt;=$R58),$U58,$T58)))=Milestones!$AB$55),TEXT(EDATE($D58,Milestones!$AA$55),"dd/mm/yy")&amp;" "&amp;Milestones!$AB$55&amp;" "&amp;Milestones!$AC$55&amp;";  ","")&amp;IF(AND(EDATE($D58,Milestones!$AA$56)&lt;=AsOfDate,IF($Q58=0,$W58,IF(AND($S58&lt;&gt;"",EDATE($D58,Milestones!$AA$56)&gt;=$S58),$V58,IF(AND($R58&lt;&gt;"",EDATE($D58,Milestones!$AA$56)&gt;=$R58),$U58,$T58)))=Milestones!$AB$56),TEXT(EDATE($D58,Milestones!$AA$56),"dd/mm/yy")&amp;" "&amp;Milestones!$AB$56&amp;" "&amp;Milestones!$AC$56&amp;";  ","")&amp;IF(AND(EDATE($D58,Milestones!$AA$57)&lt;=AsOfDate,IF($Q58=0,$W58,IF(AND($S58&lt;&gt;"",EDATE($D58,Milestones!$AA$57)&gt;=$S58),$V58,IF(AND($R58&lt;&gt;"",EDATE($D58,Milestones!$AA$57)&gt;=$R58),$U58,$T58)))=Milestones!$AB$57),TEXT(EDATE($D58,Milestones!$AA$57),"dd/mm/yy")&amp;" "&amp;Milestones!$AB$57&amp;" "&amp;Milestones!$AC$57&amp;";  ","")&amp;IF(AND(EDATE($D58,Milestones!$AA$58)&lt;=AsOfDate,IF($Q58=0,$W58,IF(AND($S58&lt;&gt;"",EDATE($D58,Milestones!$AA$58)&gt;=$S58),$V58,IF(AND($R58&lt;&gt;"",EDATE($D58,Milestones!$AA$58)&gt;=$R58),$U58,$T58)))=Milestones!$AB$58),TEXT(EDATE($D58,Milestones!$AA$58),"dd/mm/yy")&amp;" "&amp;Milestones!$AB$58&amp;" "&amp;Milestones!$AC$58&amp;";  ","")&amp;IF(AND(EDATE($D58,Milestones!$AA$59)&lt;=AsOfDate,IF($Q58=0,$W58,IF(AND($S58&lt;&gt;"",EDATE($D58,Milestones!$AA$59)&gt;=$S58),$V58,IF(AND($R58&lt;&gt;"",EDATE($D58,Milestones!$AA$59)&gt;=$R58),$U58,$T58)))=Milestones!$AB$59),TEXT(EDATE($D58,Milestones!$AA$59),"dd/mm/yy")&amp;" "&amp;Milestones!$AB$59&amp;" "&amp;Milestones!$AC$59&amp;";  ",""))</f>
        <v/>
      </c>
      <c r="J58" s="0" t="str">
        <f aca="false">IF(OR($A58="",$D58=""),"",IF(AND(EDATE($D58,Milestones!$AA$60)&lt;=AsOfDate,IF($Q58=0,$W58,IF(AND($S58&lt;&gt;"",EDATE($D58,Milestones!$AA$60)&gt;=$S58),$V58,IF(AND($R58&lt;&gt;"",EDATE($D58,Milestones!$AA$60)&gt;=$R58),$U58,$T58)))=Milestones!$AB$60),TEXT(EDATE($D58,Milestones!$AA$60),"dd/mm/yy")&amp;" "&amp;Milestones!$AB$60&amp;" "&amp;Milestones!$AC$60&amp;";  ","")&amp;IF(AND(EDATE($D58,Milestones!$AA$61)&lt;=AsOfDate,IF($Q58=0,$W58,IF(AND($S58&lt;&gt;"",EDATE($D58,Milestones!$AA$61)&gt;=$S58),$V58,IF(AND($R58&lt;&gt;"",EDATE($D58,Milestones!$AA$61)&gt;=$R58),$U58,$T58)))=Milestones!$AB$61),TEXT(EDATE($D58,Milestones!$AA$61),"dd/mm/yy")&amp;" "&amp;Milestones!$AB$61&amp;" "&amp;Milestones!$AC$61&amp;";  ","")&amp;IF(AND(EDATE($D58,Milestones!$AA$62)&lt;=AsOfDate,IF($Q58=0,$W58,IF(AND($S58&lt;&gt;"",EDATE($D58,Milestones!$AA$62)&gt;=$S58),$V58,IF(AND($R58&lt;&gt;"",EDATE($D58,Milestones!$AA$62)&gt;=$R58),$U58,$T58)))=Milestones!$AB$62),TEXT(EDATE($D58,Milestones!$AA$62),"dd/mm/yy")&amp;" "&amp;Milestones!$AB$62&amp;" "&amp;Milestones!$AC$62&amp;";  ","")&amp;IF(AND(EDATE($D58,Milestones!$AA$63)&lt;=AsOfDate,IF($Q58=0,$W58,IF(AND($S58&lt;&gt;"",EDATE($D58,Milestones!$AA$63)&gt;=$S58),$V58,IF(AND($R58&lt;&gt;"",EDATE($D58,Milestones!$AA$63)&gt;=$R58),$U58,$T58)))=Milestones!$AB$63),TEXT(EDATE($D58,Milestones!$AA$63),"dd/mm/yy")&amp;" "&amp;Milestones!$AB$63&amp;" "&amp;Milestones!$AC$63&amp;";  ","")&amp;IF(AND(EDATE($D58,Milestones!$AA$64)&lt;=AsOfDate,IF($Q58=0,$W58,IF(AND($S58&lt;&gt;"",EDATE($D58,Milestones!$AA$64)&gt;=$S58),$V58,IF(AND($R58&lt;&gt;"",EDATE($D58,Milestones!$AA$64)&gt;=$R58),$U58,$T58)))=Milestones!$AB$64),TEXT(EDATE($D58,Milestones!$AA$64),"dd/mm/yy")&amp;" "&amp;Milestones!$AB$64&amp;" "&amp;Milestones!$AC$64&amp;";  ","")&amp;IF(AND(EDATE($D58,Milestones!$AA$65)&lt;=AsOfDate,IF($Q58=0,$W58,IF(AND($S58&lt;&gt;"",EDATE($D58,Milestones!$AA$65)&gt;=$S58),$V58,IF(AND($R58&lt;&gt;"",EDATE($D58,Milestones!$AA$65)&gt;=$R58),$U58,$T58)))=Milestones!$AB$65),TEXT(EDATE($D58,Milestones!$AA$65),"dd/mm/yy")&amp;" "&amp;Milestones!$AB$65&amp;" "&amp;Milestones!$AC$65&amp;";  ","")&amp;IF(AND(EDATE($D58,Milestones!$AA$66)&lt;=AsOfDate,IF($Q58=0,$W58,IF(AND($S58&lt;&gt;"",EDATE($D58,Milestones!$AA$66)&gt;=$S58),$V58,IF(AND($R58&lt;&gt;"",EDATE($D58,Milestones!$AA$66)&gt;=$R58),$U58,$T58)))=Milestones!$AB$66),TEXT(EDATE($D58,Milestones!$AA$66),"dd/mm/yy")&amp;" "&amp;Milestones!$AB$66&amp;" "&amp;Milestones!$AC$66&amp;";  ","")&amp;IF(AND(EDATE($D58,Milestones!$AA$67)&lt;=AsOfDate,IF($Q58=0,$W58,IF(AND($S58&lt;&gt;"",EDATE($D58,Milestones!$AA$67)&gt;=$S58),$V58,IF(AND($R58&lt;&gt;"",EDATE($D58,Milestones!$AA$67)&gt;=$R58),$U58,$T58)))=Milestones!$AB$67),TEXT(EDATE($D58,Milestones!$AA$67),"dd/mm/yy")&amp;" "&amp;Milestones!$AB$67&amp;" "&amp;Milestones!$AC$67&amp;";  ","")&amp;IF(AND(EDATE($D58,Milestones!$AA$68)&lt;=AsOfDate,IF($Q58=0,$W58,IF(AND($S58&lt;&gt;"",EDATE($D58,Milestones!$AA$68)&gt;=$S58),$V58,IF(AND($R58&lt;&gt;"",EDATE($D58,Milestones!$AA$68)&gt;=$R58),$U58,$T58)))=Milestones!$AB$68),TEXT(EDATE($D58,Milestones!$AA$68),"dd/mm/yy")&amp;" "&amp;Milestones!$AB$68&amp;" "&amp;Milestones!$AC$68&amp;";  ","")&amp;IF(AND(EDATE($D58,Milestones!$AA$69)&lt;=AsOfDate,IF($Q58=0,$W58,IF(AND($S58&lt;&gt;"",EDATE($D58,Milestones!$AA$69)&gt;=$S58),$V58,IF(AND($R58&lt;&gt;"",EDATE($D58,Milestones!$AA$69)&gt;=$R58),$U58,$T58)))=Milestones!$AB$69),TEXT(EDATE($D58,Milestones!$AA$69),"dd/mm/yy")&amp;" "&amp;Milestones!$AB$69&amp;" "&amp;Milestones!$AC$69&amp;";  ","")&amp;IF(AND(EDATE($D58,Milestones!$AA$70)&lt;=AsOfDate,IF($Q58=0,$W58,IF(AND($S58&lt;&gt;"",EDATE($D58,Milestones!$AA$70)&gt;=$S58),$V58,IF(AND($R58&lt;&gt;"",EDATE($D58,Milestones!$AA$70)&gt;=$R58),$U58,$T58)))=Milestones!$AB$70),TEXT(EDATE($D58,Milestones!$AA$70),"dd/mm/yy")&amp;" "&amp;Milestones!$AB$70&amp;" "&amp;Milestones!$AC$70&amp;";  ","")&amp;IF(AND(EDATE($D58,Milestones!$AA$71)&lt;=AsOfDate,IF($Q58=0,$W58,IF(AND($S58&lt;&gt;"",EDATE($D58,Milestones!$AA$71)&gt;=$S58),$V58,IF(AND($R58&lt;&gt;"",EDATE($D58,Milestones!$AA$71)&gt;=$R58),$U58,$T58)))=Milestones!$AB$71),TEXT(EDATE($D58,Milestones!$AA$71),"dd/mm/yy")&amp;" "&amp;Milestones!$AB$71&amp;" "&amp;Milestones!$AC$71&amp;";  ","")&amp;IF(AND(EDATE($D58,Milestones!$AA$72)&lt;=AsOfDate,IF($Q58=0,$W58,IF(AND($S58&lt;&gt;"",EDATE($D58,Milestones!$AA$72)&gt;=$S58),$V58,IF(AND($R58&lt;&gt;"",EDATE($D58,Milestones!$AA$72)&gt;=$R58),$U58,$T58)))=Milestones!$AB$72),TEXT(EDATE($D58,Milestones!$AA$72),"dd/mm/yy")&amp;" "&amp;Milestones!$AB$72&amp;" "&amp;Milestones!$AC$72&amp;";  ","")&amp;IF(AND(EDATE($D58,Milestones!$AA$73)&lt;=AsOfDate,IF($Q58=0,$W58,IF(AND($S58&lt;&gt;"",EDATE($D58,Milestones!$AA$73)&gt;=$S58),$V58,IF(AND($R58&lt;&gt;"",EDATE($D58,Milestones!$AA$73)&gt;=$R58),$U58,$T58)))=Milestones!$AB$73),TEXT(EDATE($D58,Milestones!$AA$73),"dd/mm/yy")&amp;" "&amp;Milestones!$AB$73&amp;" "&amp;Milestones!$AC$73&amp;";  ","")&amp;IF(AND(EDATE($D58,Milestones!$AA$74)&lt;=AsOfDate,IF($Q58=0,$W58,IF(AND($S58&lt;&gt;"",EDATE($D58,Milestones!$AA$74)&gt;=$S58),$V58,IF(AND($R58&lt;&gt;"",EDATE($D58,Milestones!$AA$74)&gt;=$R58),$U58,$T58)))=Milestones!$AB$74),TEXT(EDATE($D58,Milestones!$AA$74),"dd/mm/yy")&amp;" "&amp;Milestones!$AB$74&amp;" "&amp;Milestones!$AC$74&amp;";  ","")&amp;IF(AND(EDATE($D58,Milestones!$AA$75)&lt;=AsOfDate,IF($Q58=0,$W58,IF(AND($S58&lt;&gt;"",EDATE($D58,Milestones!$AA$75)&gt;=$S58),$V58,IF(AND($R58&lt;&gt;"",EDATE($D58,Milestones!$AA$75)&gt;=$R58),$U58,$T58)))=Milestones!$AB$75),TEXT(EDATE($D58,Milestones!$AA$75),"dd/mm/yy")&amp;" "&amp;Milestones!$AB$75&amp;" "&amp;Milestones!$AC$75&amp;";  ","")&amp;IF(AND(EDATE($D58,Milestones!$AA$76)&lt;=AsOfDate,IF($Q58=0,$W58,IF(AND($S58&lt;&gt;"",EDATE($D58,Milestones!$AA$76)&gt;=$S58),$V58,IF(AND($R58&lt;&gt;"",EDATE($D58,Milestones!$AA$76)&gt;=$R58),$U58,$T58)))=Milestones!$AB$76),TEXT(EDATE($D58,Milestones!$AA$76),"dd/mm/yy")&amp;" "&amp;Milestones!$AB$76&amp;" "&amp;Milestones!$AC$76&amp;";  ","")&amp;IF(AND(EDATE($D58,Milestones!$AA$77)&lt;=AsOfDate,IF($Q58=0,$W58,IF(AND($S58&lt;&gt;"",EDATE($D58,Milestones!$AA$77)&gt;=$S58),$V58,IF(AND($R58&lt;&gt;"",EDATE($D58,Milestones!$AA$77)&gt;=$R58),$U58,$T58)))=Milestones!$AB$77),TEXT(EDATE($D58,Milestones!$AA$77),"dd/mm/yy")&amp;" "&amp;Milestones!$AB$77&amp;" "&amp;Milestones!$AC$77&amp;";  ","")&amp;IF(AND(EDATE($D58,Milestones!$AA$78)&lt;=AsOfDate,IF($Q58=0,$W58,IF(AND($S58&lt;&gt;"",EDATE($D58,Milestones!$AA$78)&gt;=$S58),$V58,IF(AND($R58&lt;&gt;"",EDATE($D58,Milestones!$AA$78)&gt;=$R58),$U58,$T58)))=Milestones!$AB$78),TEXT(EDATE($D58,Milestones!$AA$78),"dd/mm/yy")&amp;" "&amp;Milestones!$AB$78&amp;" "&amp;Milestones!$AC$78&amp;";  ","")&amp;IF(AND(EDATE($D58,Milestones!$AA$79)&lt;=AsOfDate,IF($Q58=0,$W58,IF(AND($S58&lt;&gt;"",EDATE($D58,Milestones!$AA$79)&gt;=$S58),$V58,IF(AND($R58&lt;&gt;"",EDATE($D58,Milestones!$AA$79)&gt;=$R58),$U58,$T58)))=Milestones!$AB$79),TEXT(EDATE($D58,Milestones!$AA$79),"dd/mm/yy")&amp;" "&amp;Milestones!$AB$79&amp;" "&amp;Milestones!$AC$79&amp;";  ",""))</f>
        <v/>
      </c>
      <c r="K58" s="0" t="str">
        <f aca="false">IF(OR($A58="",$D58=""),"",IF(AND(EDATE($D58,Milestones!$AA$80)&lt;=AsOfDate,IF($Q58=0,$W58,IF(AND($S58&lt;&gt;"",EDATE($D58,Milestones!$AA$80)&gt;=$S58),$V58,IF(AND($R58&lt;&gt;"",EDATE($D58,Milestones!$AA$80)&gt;=$R58),$U58,$T58)))=Milestones!$AB$80),TEXT(EDATE($D58,Milestones!$AA$80),"dd/mm/yy")&amp;" "&amp;Milestones!$AB$80&amp;" "&amp;Milestones!$AC$80&amp;";  ","")&amp;IF(AND(EDATE($D58,Milestones!$AA$81)&lt;=AsOfDate,IF($Q58=0,$W58,IF(AND($S58&lt;&gt;"",EDATE($D58,Milestones!$AA$81)&gt;=$S58),$V58,IF(AND($R58&lt;&gt;"",EDATE($D58,Milestones!$AA$81)&gt;=$R58),$U58,$T58)))=Milestones!$AB$81),TEXT(EDATE($D58,Milestones!$AA$81),"dd/mm/yy")&amp;" "&amp;Milestones!$AB$81&amp;" "&amp;Milestones!$AC$81&amp;";  ","")&amp;IF(AND(EDATE($D58,Milestones!$AA$82)&lt;=AsOfDate,IF($Q58=0,$W58,IF(AND($S58&lt;&gt;"",EDATE($D58,Milestones!$AA$82)&gt;=$S58),$V58,IF(AND($R58&lt;&gt;"",EDATE($D58,Milestones!$AA$82)&gt;=$R58),$U58,$T58)))=Milestones!$AB$82),TEXT(EDATE($D58,Milestones!$AA$82),"dd/mm/yy")&amp;" "&amp;Milestones!$AB$82&amp;" "&amp;Milestones!$AC$82&amp;";  ","")&amp;IF(AND(EDATE($D58,Milestones!$AA$83)&lt;=AsOfDate,IF($Q58=0,$W58,IF(AND($S58&lt;&gt;"",EDATE($D58,Milestones!$AA$83)&gt;=$S58),$V58,IF(AND($R58&lt;&gt;"",EDATE($D58,Milestones!$AA$83)&gt;=$R58),$U58,$T58)))=Milestones!$AB$83),TEXT(EDATE($D58,Milestones!$AA$83),"dd/mm/yy")&amp;" "&amp;Milestones!$AB$83&amp;" "&amp;Milestones!$AC$83&amp;";  ","")&amp;IF(AND(EDATE($D58,Milestones!$AA$84)&lt;=AsOfDate,IF($Q58=0,$W58,IF(AND($S58&lt;&gt;"",EDATE($D58,Milestones!$AA$84)&gt;=$S58),$V58,IF(AND($R58&lt;&gt;"",EDATE($D58,Milestones!$AA$84)&gt;=$R58),$U58,$T58)))=Milestones!$AB$84),TEXT(EDATE($D58,Milestones!$AA$84),"dd/mm/yy")&amp;" "&amp;Milestones!$AB$84&amp;" "&amp;Milestones!$AC$84&amp;";  ","")&amp;IF(AND(EDATE($D58,Milestones!$AA$85)&lt;=AsOfDate,IF($Q58=0,$W58,IF(AND($S58&lt;&gt;"",EDATE($D58,Milestones!$AA$85)&gt;=$S58),$V58,IF(AND($R58&lt;&gt;"",EDATE($D58,Milestones!$AA$85)&gt;=$R58),$U58,$T58)))=Milestones!$AB$85),TEXT(EDATE($D58,Milestones!$AA$85),"dd/mm/yy")&amp;" "&amp;Milestones!$AB$85&amp;" "&amp;Milestones!$AC$85&amp;";  ","")&amp;IF(AND(EDATE($D58,Milestones!$AA$86)&lt;=AsOfDate,IF($Q58=0,$W58,IF(AND($S58&lt;&gt;"",EDATE($D58,Milestones!$AA$86)&gt;=$S58),$V58,IF(AND($R58&lt;&gt;"",EDATE($D58,Milestones!$AA$86)&gt;=$R58),$U58,$T58)))=Milestones!$AB$86),TEXT(EDATE($D58,Milestones!$AA$86),"dd/mm/yy")&amp;" "&amp;Milestones!$AB$86&amp;" "&amp;Milestones!$AC$86&amp;";  ","")&amp;IF(AND(EDATE($D58,Milestones!$AA$87)&lt;=AsOfDate,IF($Q58=0,$W58,IF(AND($S58&lt;&gt;"",EDATE($D58,Milestones!$AA$87)&gt;=$S58),$V58,IF(AND($R58&lt;&gt;"",EDATE($D58,Milestones!$AA$87)&gt;=$R58),$U58,$T58)))=Milestones!$AB$87),TEXT(EDATE($D58,Milestones!$AA$87),"dd/mm/yy")&amp;" "&amp;Milestones!$AB$87&amp;" "&amp;Milestones!$AC$87&amp;";  ","")&amp;IF(AND(EDATE($D58,Milestones!$AA$88)&lt;=AsOfDate,IF($Q58=0,$W58,IF(AND($S58&lt;&gt;"",EDATE($D58,Milestones!$AA$88)&gt;=$S58),$V58,IF(AND($R58&lt;&gt;"",EDATE($D58,Milestones!$AA$88)&gt;=$R58),$U58,$T58)))=Milestones!$AB$88),TEXT(EDATE($D58,Milestones!$AA$88),"dd/mm/yy")&amp;" "&amp;Milestones!$AB$88&amp;" "&amp;Milestones!$AC$88&amp;";  ","")&amp;IF(AND(EDATE($D58,Milestones!$AA$89)&lt;=AsOfDate,IF($Q58=0,$W58,IF(AND($S58&lt;&gt;"",EDATE($D58,Milestones!$AA$89)&gt;=$S58),$V58,IF(AND($R58&lt;&gt;"",EDATE($D58,Milestones!$AA$89)&gt;=$R58),$U58,$T58)))=Milestones!$AB$89),TEXT(EDATE($D58,Milestones!$AA$89),"dd/mm/yy")&amp;" "&amp;Milestones!$AB$89&amp;" "&amp;Milestones!$AC$89&amp;";  ","")&amp;IF(AND(EDATE($D58,Milestones!$AA$90)&lt;=AsOfDate,IF($Q58=0,$W58,IF(AND($S58&lt;&gt;"",EDATE($D58,Milestones!$AA$90)&gt;=$S58),$V58,IF(AND($R58&lt;&gt;"",EDATE($D58,Milestones!$AA$90)&gt;=$R58),$U58,$T58)))=Milestones!$AB$90),TEXT(EDATE($D58,Milestones!$AA$90),"dd/mm/yy")&amp;" "&amp;Milestones!$AB$90&amp;" "&amp;Milestones!$AC$90&amp;";  ","")&amp;IF(AND(EDATE($D58,Milestones!$AA$91)&lt;=AsOfDate,IF($Q58=0,$W58,IF(AND($S58&lt;&gt;"",EDATE($D58,Milestones!$AA$91)&gt;=$S58),$V58,IF(AND($R58&lt;&gt;"",EDATE($D58,Milestones!$AA$91)&gt;=$R58),$U58,$T58)))=Milestones!$AB$91),TEXT(EDATE($D58,Milestones!$AA$91),"dd/mm/yy")&amp;" "&amp;Milestones!$AB$91&amp;" "&amp;Milestones!$AC$91&amp;";  ","")&amp;IF(AND(EDATE($D58,Milestones!$AA$92)&lt;=AsOfDate,IF($Q58=0,$W58,IF(AND($S58&lt;&gt;"",EDATE($D58,Milestones!$AA$92)&gt;=$S58),$V58,IF(AND($R58&lt;&gt;"",EDATE($D58,Milestones!$AA$92)&gt;=$R58),$U58,$T58)))=Milestones!$AB$92),TEXT(EDATE($D58,Milestones!$AA$92),"dd/mm/yy")&amp;" "&amp;Milestones!$AB$92&amp;" "&amp;Milestones!$AC$92&amp;";  ","")&amp;IF(AND(EDATE($D58,Milestones!$AA$93)&lt;=AsOfDate,IF($Q58=0,$W58,IF(AND($S58&lt;&gt;"",EDATE($D58,Milestones!$AA$93)&gt;=$S58),$V58,IF(AND($R58&lt;&gt;"",EDATE($D58,Milestones!$AA$93)&gt;=$R58),$U58,$T58)))=Milestones!$AB$93),TEXT(EDATE($D58,Milestones!$AA$93),"dd/mm/yy")&amp;" "&amp;Milestones!$AB$93&amp;" "&amp;Milestones!$AC$93&amp;";  ","")&amp;IF(AND(EDATE($D58,Milestones!$AA$94)&lt;=AsOfDate,IF($Q58=0,$W58,IF(AND($S58&lt;&gt;"",EDATE($D58,Milestones!$AA$94)&gt;=$S58),$V58,IF(AND($R58&lt;&gt;"",EDATE($D58,Milestones!$AA$94)&gt;=$R58),$U58,$T58)))=Milestones!$AB$94),TEXT(EDATE($D58,Milestones!$AA$94),"dd/mm/yy")&amp;" "&amp;Milestones!$AB$94&amp;" "&amp;Milestones!$AC$94&amp;";  ","")&amp;IF(AND(EDATE($D58,Milestones!$AA$95)&lt;=AsOfDate,IF($Q58=0,$W58,IF(AND($S58&lt;&gt;"",EDATE($D58,Milestones!$AA$95)&gt;=$S58),$V58,IF(AND($R58&lt;&gt;"",EDATE($D58,Milestones!$AA$95)&gt;=$R58),$U58,$T58)))=Milestones!$AB$95),TEXT(EDATE($D58,Milestones!$AA$95),"dd/mm/yy")&amp;" "&amp;Milestones!$AB$95&amp;" "&amp;Milestones!$AC$95&amp;";  ","")&amp;IF(AND(EDATE($D58,Milestones!$AA$96)&lt;=AsOfDate,IF($Q58=0,$W58,IF(AND($S58&lt;&gt;"",EDATE($D58,Milestones!$AA$96)&gt;=$S58),$V58,IF(AND($R58&lt;&gt;"",EDATE($D58,Milestones!$AA$96)&gt;=$R58),$U58,$T58)))=Milestones!$AB$96),TEXT(EDATE($D58,Milestones!$AA$96),"dd/mm/yy")&amp;" "&amp;Milestones!$AB$96&amp;" "&amp;Milestones!$AC$96&amp;";  ","")&amp;IF(AND(EDATE($D58,Milestones!$AA$97)&lt;=AsOfDate,IF($Q58=0,$W58,IF(AND($S58&lt;&gt;"",EDATE($D58,Milestones!$AA$97)&gt;=$S58),$V58,IF(AND($R58&lt;&gt;"",EDATE($D58,Milestones!$AA$97)&gt;=$R58),$U58,$T58)))=Milestones!$AB$97),TEXT(EDATE($D58,Milestones!$AA$97),"dd/mm/yy")&amp;" "&amp;Milestones!$AB$97&amp;" "&amp;Milestones!$AC$97&amp;";  ","")&amp;IF(AND(EDATE($D58,Milestones!$AA$98)&lt;=AsOfDate,IF($Q58=0,$W58,IF(AND($S58&lt;&gt;"",EDATE($D58,Milestones!$AA$98)&gt;=$S58),$V58,IF(AND($R58&lt;&gt;"",EDATE($D58,Milestones!$AA$98)&gt;=$R58),$U58,$T58)))=Milestones!$AB$98),TEXT(EDATE($D58,Milestones!$AA$98),"dd/mm/yy")&amp;" "&amp;Milestones!$AB$98&amp;" "&amp;Milestones!$AC$98&amp;";  ","")&amp;IF(AND(EDATE($D58,Milestones!$AA$99)&lt;=AsOfDate,IF($Q58=0,$W58,IF(AND($S58&lt;&gt;"",EDATE($D58,Milestones!$AA$99)&gt;=$S58),$V58,IF(AND($R58&lt;&gt;"",EDATE($D58,Milestones!$AA$99)&gt;=$R58),$U58,$T58)))=Milestones!$AB$99),TEXT(EDATE($D58,Milestones!$AA$99),"dd/mm/yy")&amp;" "&amp;Milestones!$AB$99&amp;" "&amp;Milestones!$AC$99&amp;";  ",""))</f>
        <v/>
      </c>
      <c r="L58" s="0" t="str">
        <f aca="false">IF(OR($A58="",$D58=""),"",IF(AND(EDATE($D58,Milestones!$AA$100)&lt;=AsOfDate,IF($Q58=0,$W58,IF(AND($S58&lt;&gt;"",EDATE($D58,Milestones!$AA$100)&gt;=$S58),$V58,IF(AND($R58&lt;&gt;"",EDATE($D58,Milestones!$AA$100)&gt;=$R58),$U58,$T58)))=Milestones!$AB$100),TEXT(EDATE($D58,Milestones!$AA$100),"dd/mm/yy")&amp;" "&amp;Milestones!$AB$100&amp;" "&amp;Milestones!$AC$100&amp;";  ","")&amp;IF(AND(EDATE($D58,Milestones!$AA$101)&lt;=AsOfDate,IF($Q58=0,$W58,IF(AND($S58&lt;&gt;"",EDATE($D58,Milestones!$AA$101)&gt;=$S58),$V58,IF(AND($R58&lt;&gt;"",EDATE($D58,Milestones!$AA$101)&gt;=$R58),$U58,$T58)))=Milestones!$AB$101),TEXT(EDATE($D58,Milestones!$AA$101),"dd/mm/yy")&amp;" "&amp;Milestones!$AB$101&amp;" "&amp;Milestones!$AC$101&amp;";  ","")&amp;IF(AND(EDATE($D58,Milestones!$AA$102)&lt;=AsOfDate,IF($Q58=0,$W58,IF(AND($S58&lt;&gt;"",EDATE($D58,Milestones!$AA$102)&gt;=$S58),$V58,IF(AND($R58&lt;&gt;"",EDATE($D58,Milestones!$AA$102)&gt;=$R58),$U58,$T58)))=Milestones!$AB$102),TEXT(EDATE($D58,Milestones!$AA$102),"dd/mm/yy")&amp;" "&amp;Milestones!$AB$102&amp;" "&amp;Milestones!$AC$102&amp;";  ","")&amp;IF(AND(EDATE($D58,Milestones!$AA$103)&lt;=AsOfDate,IF($Q58=0,$W58,IF(AND($S58&lt;&gt;"",EDATE($D58,Milestones!$AA$103)&gt;=$S58),$V58,IF(AND($R58&lt;&gt;"",EDATE($D58,Milestones!$AA$103)&gt;=$R58),$U58,$T58)))=Milestones!$AB$103),TEXT(EDATE($D58,Milestones!$AA$103),"dd/mm/yy")&amp;" "&amp;Milestones!$AB$103&amp;" "&amp;Milestones!$AC$103&amp;";  ","")&amp;IF(AND(EDATE($D58,Milestones!$AA$104)&lt;=AsOfDate,IF($Q58=0,$W58,IF(AND($S58&lt;&gt;"",EDATE($D58,Milestones!$AA$104)&gt;=$S58),$V58,IF(AND($R58&lt;&gt;"",EDATE($D58,Milestones!$AA$104)&gt;=$R58),$U58,$T58)))=Milestones!$AB$104),TEXT(EDATE($D58,Milestones!$AA$104),"dd/mm/yy")&amp;" "&amp;Milestones!$AB$104&amp;" "&amp;Milestones!$AC$104&amp;";  ","")&amp;IF(AND(EDATE($D58,Milestones!$AA$105)&lt;=AsOfDate,IF($Q58=0,$W58,IF(AND($S58&lt;&gt;"",EDATE($D58,Milestones!$AA$105)&gt;=$S58),$V58,IF(AND($R58&lt;&gt;"",EDATE($D58,Milestones!$AA$105)&gt;=$R58),$U58,$T58)))=Milestones!$AB$105),TEXT(EDATE($D58,Milestones!$AA$105),"dd/mm/yy")&amp;" "&amp;Milestones!$AB$105&amp;" "&amp;Milestones!$AC$105&amp;";  ","")&amp;IF(AND(EDATE($D58,Milestones!$AA$106)&lt;=AsOfDate,IF($Q58=0,$W58,IF(AND($S58&lt;&gt;"",EDATE($D58,Milestones!$AA$106)&gt;=$S58),$V58,IF(AND($R58&lt;&gt;"",EDATE($D58,Milestones!$AA$106)&gt;=$R58),$U58,$T58)))=Milestones!$AB$106),TEXT(EDATE($D58,Milestones!$AA$106),"dd/mm/yy")&amp;" "&amp;Milestones!$AB$106&amp;" "&amp;Milestones!$AC$106&amp;";  ","")&amp;IF(AND(EDATE($D58,Milestones!$AA$107)&lt;=AsOfDate,IF($Q58=0,$W58,IF(AND($S58&lt;&gt;"",EDATE($D58,Milestones!$AA$107)&gt;=$S58),$V58,IF(AND($R58&lt;&gt;"",EDATE($D58,Milestones!$AA$107)&gt;=$R58),$U58,$T58)))=Milestones!$AB$107),TEXT(EDATE($D58,Milestones!$AA$107),"dd/mm/yy")&amp;" "&amp;Milestones!$AB$107&amp;" "&amp;Milestones!$AC$107&amp;";  ","")&amp;IF(AND(EDATE($D58,Milestones!$AA$108)&lt;=AsOfDate,IF($Q58=0,$W58,IF(AND($S58&lt;&gt;"",EDATE($D58,Milestones!$AA$108)&gt;=$S58),$V58,IF(AND($R58&lt;&gt;"",EDATE($D58,Milestones!$AA$108)&gt;=$R58),$U58,$T58)))=Milestones!$AB$108),TEXT(EDATE($D58,Milestones!$AA$108),"dd/mm/yy")&amp;" "&amp;Milestones!$AB$108&amp;" "&amp;Milestones!$AC$108&amp;";  ","")&amp;IF(AND(EDATE($D58,Milestones!$AA$109)&lt;=AsOfDate,IF($Q58=0,$W58,IF(AND($S58&lt;&gt;"",EDATE($D58,Milestones!$AA$109)&gt;=$S58),$V58,IF(AND($R58&lt;&gt;"",EDATE($D58,Milestones!$AA$109)&gt;=$R58),$U58,$T58)))=Milestones!$AB$109),TEXT(EDATE($D58,Milestones!$AA$109),"dd/mm/yy")&amp;" "&amp;Milestones!$AB$109&amp;" "&amp;Milestones!$AC$109&amp;";  ","")&amp;IF(AND(EDATE($D58,Milestones!$AA$110)&lt;=AsOfDate,IF($Q58=0,$W58,IF(AND($S58&lt;&gt;"",EDATE($D58,Milestones!$AA$110)&gt;=$S58),$V58,IF(AND($R58&lt;&gt;"",EDATE($D58,Milestones!$AA$110)&gt;=$R58),$U58,$T58)))=Milestones!$AB$110),TEXT(EDATE($D58,Milestones!$AA$110),"dd/mm/yy")&amp;" "&amp;Milestones!$AB$110&amp;" "&amp;Milestones!$AC$110&amp;";  ","")&amp;IF(AND(EDATE($D58,Milestones!$AA$111)&lt;=AsOfDate,IF($Q58=0,$W58,IF(AND($S58&lt;&gt;"",EDATE($D58,Milestones!$AA$111)&gt;=$S58),$V58,IF(AND($R58&lt;&gt;"",EDATE($D58,Milestones!$AA$111)&gt;=$R58),$U58,$T58)))=Milestones!$AB$111),TEXT(EDATE($D58,Milestones!$AA$111),"dd/mm/yy")&amp;" "&amp;Milestones!$AB$111&amp;" "&amp;Milestones!$AC$111&amp;";  ","")&amp;IF(AND(EDATE($D58,Milestones!$AA$112)&lt;=AsOfDate,IF($Q58=0,$W58,IF(AND($S58&lt;&gt;"",EDATE($D58,Milestones!$AA$112)&gt;=$S58),$V58,IF(AND($R58&lt;&gt;"",EDATE($D58,Milestones!$AA$112)&gt;=$R58),$U58,$T58)))=Milestones!$AB$112),TEXT(EDATE($D58,Milestones!$AA$112),"dd/mm/yy")&amp;" "&amp;Milestones!$AB$112&amp;" "&amp;Milestones!$AC$112&amp;";  ","")&amp;IF(AND(EDATE($D58,Milestones!$AA$113)&lt;=AsOfDate,IF($Q58=0,$W58,IF(AND($S58&lt;&gt;"",EDATE($D58,Milestones!$AA$113)&gt;=$S58),$V58,IF(AND($R58&lt;&gt;"",EDATE($D58,Milestones!$AA$113)&gt;=$R58),$U58,$T58)))=Milestones!$AB$113),TEXT(EDATE($D58,Milestones!$AA$113),"dd/mm/yy")&amp;" "&amp;Milestones!$AB$113&amp;" "&amp;Milestones!$AC$113&amp;";  ","")&amp;IF(AND(EDATE($D58,Milestones!$AA$114)&lt;=AsOfDate,IF($Q58=0,$W58,IF(AND($S58&lt;&gt;"",EDATE($D58,Milestones!$AA$114)&gt;=$S58),$V58,IF(AND($R58&lt;&gt;"",EDATE($D58,Milestones!$AA$114)&gt;=$R58),$U58,$T58)))=Milestones!$AB$114),TEXT(EDATE($D58,Milestones!$AA$114),"dd/mm/yy")&amp;" "&amp;Milestones!$AB$114&amp;" "&amp;Milestones!$AC$114&amp;";  ","")&amp;IF(AND(EDATE($D58,Milestones!$AA$115)&lt;=AsOfDate,IF($Q58=0,$W58,IF(AND($S58&lt;&gt;"",EDATE($D58,Milestones!$AA$115)&gt;=$S58),$V58,IF(AND($R58&lt;&gt;"",EDATE($D58,Milestones!$AA$115)&gt;=$R58),$U58,$T58)))=Milestones!$AB$115),TEXT(EDATE($D58,Milestones!$AA$115),"dd/mm/yy")&amp;" "&amp;Milestones!$AB$115&amp;" "&amp;Milestones!$AC$115&amp;";  ","")&amp;IF(AND(EDATE($D58,Milestones!$AA$116)&lt;=AsOfDate,IF($Q58=0,$W58,IF(AND($S58&lt;&gt;"",EDATE($D58,Milestones!$AA$116)&gt;=$S58),$V58,IF(AND($R58&lt;&gt;"",EDATE($D58,Milestones!$AA$116)&gt;=$R58),$U58,$T58)))=Milestones!$AB$116),TEXT(EDATE($D58,Milestones!$AA$116),"dd/mm/yy")&amp;" "&amp;Milestones!$AB$116&amp;" "&amp;Milestones!$AC$116&amp;";  ","")&amp;IF(AND(EDATE($D58,Milestones!$AA$117)&lt;=AsOfDate,IF($Q58=0,$W58,IF(AND($S58&lt;&gt;"",EDATE($D58,Milestones!$AA$117)&gt;=$S58),$V58,IF(AND($R58&lt;&gt;"",EDATE($D58,Milestones!$AA$117)&gt;=$R58),$U58,$T58)))=Milestones!$AB$117),TEXT(EDATE($D58,Milestones!$AA$117),"dd/mm/yy")&amp;" "&amp;Milestones!$AB$117&amp;" "&amp;Milestones!$AC$117&amp;";  ","")&amp;IF(AND(EDATE($D58,Milestones!$AA$118)&lt;=AsOfDate,IF($Q58=0,$W58,IF(AND($S58&lt;&gt;"",EDATE($D58,Milestones!$AA$118)&gt;=$S58),$V58,IF(AND($R58&lt;&gt;"",EDATE($D58,Milestones!$AA$118)&gt;=$R58),$U58,$T58)))=Milestones!$AB$118),TEXT(EDATE($D58,Milestones!$AA$118),"dd/mm/yy")&amp;" "&amp;Milestones!$AB$118&amp;" "&amp;Milestones!$AC$118&amp;";  ","")&amp;IF(AND(EDATE($D58,Milestones!$AA$119)&lt;=AsOfDate,IF($Q58=0,$W58,IF(AND($S58&lt;&gt;"",EDATE($D58,Milestones!$AA$119)&gt;=$S58),$V58,IF(AND($R58&lt;&gt;"",EDATE($D58,Milestones!$AA$119)&gt;=$R58),$U58,$T58)))=Milestones!$AB$119),TEXT(EDATE($D58,Milestones!$AA$119),"dd/mm/yy")&amp;" "&amp;Milestones!$AB$119&amp;" "&amp;Milestones!$AC$119&amp;";  ",""))</f>
        <v/>
      </c>
      <c r="M58" s="0" t="str">
        <f aca="false">IF(OR($A58="",$D58=""),"",IF(AND(EDATE($D58,Milestones!$AA$120)&lt;=AsOfDate,IF($Q58=0,$W58,IF(AND($S58&lt;&gt;"",EDATE($D58,Milestones!$AA$120)&gt;=$S58),$V58,IF(AND($R58&lt;&gt;"",EDATE($D58,Milestones!$AA$120)&gt;=$R58),$U58,$T58)))=Milestones!$AB$120),TEXT(EDATE($D58,Milestones!$AA$120),"dd/mm/yy")&amp;" "&amp;Milestones!$AB$120&amp;" "&amp;Milestones!$AC$120&amp;";  ","")&amp;IF(AND(EDATE($D58,Milestones!$AA$121)&lt;=AsOfDate,IF($Q58=0,$W58,IF(AND($S58&lt;&gt;"",EDATE($D58,Milestones!$AA$121)&gt;=$S58),$V58,IF(AND($R58&lt;&gt;"",EDATE($D58,Milestones!$AA$121)&gt;=$R58),$U58,$T58)))=Milestones!$AB$121),TEXT(EDATE($D58,Milestones!$AA$121),"dd/mm/yy")&amp;" "&amp;Milestones!$AB$121&amp;" "&amp;Milestones!$AC$121&amp;";  ","")&amp;IF(AND(EDATE($D58,Milestones!$AA$122)&lt;=AsOfDate,IF($Q58=0,$W58,IF(AND($S58&lt;&gt;"",EDATE($D58,Milestones!$AA$122)&gt;=$S58),$V58,IF(AND($R58&lt;&gt;"",EDATE($D58,Milestones!$AA$122)&gt;=$R58),$U58,$T58)))=Milestones!$AB$122),TEXT(EDATE($D58,Milestones!$AA$122),"dd/mm/yy")&amp;" "&amp;Milestones!$AB$122&amp;" "&amp;Milestones!$AC$122&amp;";  ","")&amp;IF(AND(EDATE($D58,Milestones!$AA$123)&lt;=AsOfDate,IF($Q58=0,$W58,IF(AND($S58&lt;&gt;"",EDATE($D58,Milestones!$AA$123)&gt;=$S58),$V58,IF(AND($R58&lt;&gt;"",EDATE($D58,Milestones!$AA$123)&gt;=$R58),$U58,$T58)))=Milestones!$AB$123),TEXT(EDATE($D58,Milestones!$AA$123),"dd/mm/yy")&amp;" "&amp;Milestones!$AB$123&amp;" "&amp;Milestones!$AC$123&amp;";  ","")&amp;IF(AND(EDATE($D58,Milestones!$AA$124)&lt;=AsOfDate,IF($Q58=0,$W58,IF(AND($S58&lt;&gt;"",EDATE($D58,Milestones!$AA$124)&gt;=$S58),$V58,IF(AND($R58&lt;&gt;"",EDATE($D58,Milestones!$AA$124)&gt;=$R58),$U58,$T58)))=Milestones!$AB$124),TEXT(EDATE($D58,Milestones!$AA$124),"dd/mm/yy")&amp;" "&amp;Milestones!$AB$124&amp;" "&amp;Milestones!$AC$124&amp;";  ","")&amp;IF(AND(EDATE($D58,Milestones!$AA$125)&lt;=AsOfDate,IF($Q58=0,$W58,IF(AND($S58&lt;&gt;"",EDATE($D58,Milestones!$AA$125)&gt;=$S58),$V58,IF(AND($R58&lt;&gt;"",EDATE($D58,Milestones!$AA$125)&gt;=$R58),$U58,$T58)))=Milestones!$AB$125),TEXT(EDATE($D58,Milestones!$AA$125),"dd/mm/yy")&amp;" "&amp;Milestones!$AB$125&amp;" "&amp;Milestones!$AC$125&amp;";  ","")&amp;IF(AND(EDATE($D58,Milestones!$AA$126)&lt;=AsOfDate,IF($Q58=0,$W58,IF(AND($S58&lt;&gt;"",EDATE($D58,Milestones!$AA$126)&gt;=$S58),$V58,IF(AND($R58&lt;&gt;"",EDATE($D58,Milestones!$AA$126)&gt;=$R58),$U58,$T58)))=Milestones!$AB$126),TEXT(EDATE($D58,Milestones!$AA$126),"dd/mm/yy")&amp;" "&amp;Milestones!$AB$126&amp;" "&amp;Milestones!$AC$126&amp;";  ","")&amp;IF(AND(EDATE($D58,Milestones!$AA$127)&lt;=AsOfDate,IF($Q58=0,$W58,IF(AND($S58&lt;&gt;"",EDATE($D58,Milestones!$AA$127)&gt;=$S58),$V58,IF(AND($R58&lt;&gt;"",EDATE($D58,Milestones!$AA$127)&gt;=$R58),$U58,$T58)))=Milestones!$AB$127),TEXT(EDATE($D58,Milestones!$AA$127),"dd/mm/yy")&amp;" "&amp;Milestones!$AB$127&amp;" "&amp;Milestones!$AC$127&amp;";  ","")&amp;IF(AND(EDATE($D58,Milestones!$AA$128)&lt;=AsOfDate,IF($Q58=0,$W58,IF(AND($S58&lt;&gt;"",EDATE($D58,Milestones!$AA$128)&gt;=$S58),$V58,IF(AND($R58&lt;&gt;"",EDATE($D58,Milestones!$AA$128)&gt;=$R58),$U58,$T58)))=Milestones!$AB$128),TEXT(EDATE($D58,Milestones!$AA$128),"dd/mm/yy")&amp;" "&amp;Milestones!$AB$128&amp;" "&amp;Milestones!$AC$128&amp;";  ","")&amp;IF(AND(EDATE($D58,Milestones!$AA$129)&lt;=AsOfDate,IF($Q58=0,$W58,IF(AND($S58&lt;&gt;"",EDATE($D58,Milestones!$AA$129)&gt;=$S58),$V58,IF(AND($R58&lt;&gt;"",EDATE($D58,Milestones!$AA$129)&gt;=$R58),$U58,$T58)))=Milestones!$AB$129),TEXT(EDATE($D58,Milestones!$AA$129),"dd/mm/yy")&amp;" "&amp;Milestones!$AB$129&amp;" "&amp;Milestones!$AC$129&amp;";  ","")&amp;IF(AND(EDATE($D58,Milestones!$AA$130)&lt;=AsOfDate,IF($Q58=0,$W58,IF(AND($S58&lt;&gt;"",EDATE($D58,Milestones!$AA$130)&gt;=$S58),$V58,IF(AND($R58&lt;&gt;"",EDATE($D58,Milestones!$AA$130)&gt;=$R58),$U58,$T58)))=Milestones!$AB$130),TEXT(EDATE($D58,Milestones!$AA$130),"dd/mm/yy")&amp;" "&amp;Milestones!$AB$130&amp;" "&amp;Milestones!$AC$130&amp;";  ","")&amp;IF(AND(EDATE($D58,Milestones!$AA$131)&lt;=AsOfDate,IF($Q58=0,$W58,IF(AND($S58&lt;&gt;"",EDATE($D58,Milestones!$AA$131)&gt;=$S58),$V58,IF(AND($R58&lt;&gt;"",EDATE($D58,Milestones!$AA$131)&gt;=$R58),$U58,$T58)))=Milestones!$AB$131),TEXT(EDATE($D58,Milestones!$AA$131),"dd/mm/yy")&amp;" "&amp;Milestones!$AB$131&amp;" "&amp;Milestones!$AC$131&amp;";  ","")&amp;IF(AND(EDATE($D58,Milestones!$AA$132)&lt;=AsOfDate,IF($Q58=0,$W58,IF(AND($S58&lt;&gt;"",EDATE($D58,Milestones!$AA$132)&gt;=$S58),$V58,IF(AND($R58&lt;&gt;"",EDATE($D58,Milestones!$AA$132)&gt;=$R58),$U58,$T58)))=Milestones!$AB$132),TEXT(EDATE($D58,Milestones!$AA$132),"dd/mm/yy")&amp;" "&amp;Milestones!$AB$132&amp;" "&amp;Milestones!$AC$132&amp;";  ","")&amp;IF(AND(EDATE($D58,Milestones!$AA$133)&lt;=AsOfDate,IF($Q58=0,$W58,IF(AND($S58&lt;&gt;"",EDATE($D58,Milestones!$AA$133)&gt;=$S58),$V58,IF(AND($R58&lt;&gt;"",EDATE($D58,Milestones!$AA$133)&gt;=$R58),$U58,$T58)))=Milestones!$AB$133),TEXT(EDATE($D58,Milestones!$AA$133),"dd/mm/yy")&amp;" "&amp;Milestones!$AB$133&amp;" "&amp;Milestones!$AC$133&amp;";  ","")&amp;IF(AND(EDATE($D58,Milestones!$AA$134)&lt;=AsOfDate,IF($Q58=0,$W58,IF(AND($S58&lt;&gt;"",EDATE($D58,Milestones!$AA$134)&gt;=$S58),$V58,IF(AND($R58&lt;&gt;"",EDATE($D58,Milestones!$AA$134)&gt;=$R58),$U58,$T58)))=Milestones!$AB$134),TEXT(EDATE($D58,Milestones!$AA$134),"dd/mm/yy")&amp;" "&amp;Milestones!$AB$134&amp;" "&amp;Milestones!$AC$134&amp;";  ","")&amp;IF(AND(EDATE($D58,Milestones!$AA$135)&lt;=AsOfDate,IF($Q58=0,$W58,IF(AND($S58&lt;&gt;"",EDATE($D58,Milestones!$AA$135)&gt;=$S58),$V58,IF(AND($R58&lt;&gt;"",EDATE($D58,Milestones!$AA$135)&gt;=$R58),$U58,$T58)))=Milestones!$AB$135),TEXT(EDATE($D58,Milestones!$AA$135),"dd/mm/yy")&amp;" "&amp;Milestones!$AB$135&amp;" "&amp;Milestones!$AC$135&amp;";  ","")&amp;IF(AND(EDATE($D58,Milestones!$AA$136)&lt;=AsOfDate,IF($Q58=0,$W58,IF(AND($S58&lt;&gt;"",EDATE($D58,Milestones!$AA$136)&gt;=$S58),$V58,IF(AND($R58&lt;&gt;"",EDATE($D58,Milestones!$AA$136)&gt;=$R58),$U58,$T58)))=Milestones!$AB$136),TEXT(EDATE($D58,Milestones!$AA$136),"dd/mm/yy")&amp;" "&amp;Milestones!$AB$136&amp;" "&amp;Milestones!$AC$136&amp;";  ","")&amp;IF(AND(EDATE($D58,Milestones!$AA$137)&lt;=AsOfDate,IF($Q58=0,$W58,IF(AND($S58&lt;&gt;"",EDATE($D58,Milestones!$AA$137)&gt;=$S58),$V58,IF(AND($R58&lt;&gt;"",EDATE($D58,Milestones!$AA$137)&gt;=$R58),$U58,$T58)))=Milestones!$AB$137),TEXT(EDATE($D58,Milestones!$AA$137),"dd/mm/yy")&amp;" "&amp;Milestones!$AB$137&amp;" "&amp;Milestones!$AC$137&amp;";  ","")&amp;IF(AND(EDATE($D58,Milestones!$AA$138)&lt;=AsOfDate,IF($Q58=0,$W58,IF(AND($S58&lt;&gt;"",EDATE($D58,Milestones!$AA$138)&gt;=$S58),$V58,IF(AND($R58&lt;&gt;"",EDATE($D58,Milestones!$AA$138)&gt;=$R58),$U58,$T58)))=Milestones!$AB$138),TEXT(EDATE($D58,Milestones!$AA$138),"dd/mm/yy")&amp;" "&amp;Milestones!$AB$138&amp;" "&amp;Milestones!$AC$138&amp;";  ","")&amp;IF(AND(EDATE($D58,Milestones!$AA$139)&lt;=AsOfDate,IF($Q58=0,$W58,IF(AND($S58&lt;&gt;"",EDATE($D58,Milestones!$AA$139)&gt;=$S58),$V58,IF(AND($R58&lt;&gt;"",EDATE($D58,Milestones!$AA$139)&gt;=$R58),$U58,$T58)))=Milestones!$AB$139),TEXT(EDATE($D58,Milestones!$AA$139),"dd/mm/yy")&amp;" "&amp;Milestones!$AB$139&amp;" "&amp;Milestones!$AC$139&amp;";  ",""))</f>
        <v/>
      </c>
      <c r="N58" s="0" t="str">
        <f aca="false">IF(OR($A58="",$D58=""),"",IF(AND(EDATE($D58,Milestones!$AA$140)&lt;=AsOfDate,IF($Q58=0,$W58,IF(AND($S58&lt;&gt;"",EDATE($D58,Milestones!$AA$140)&gt;=$S58),$V58,IF(AND($R58&lt;&gt;"",EDATE($D58,Milestones!$AA$140)&gt;=$R58),$U58,$T58)))=Milestones!$AB$140),TEXT(EDATE($D58,Milestones!$AA$140),"dd/mm/yy")&amp;" "&amp;Milestones!$AB$140&amp;" "&amp;Milestones!$AC$140&amp;";  ","")&amp;IF(AND(EDATE($D58,Milestones!$AA$141)&lt;=AsOfDate,IF($Q58=0,$W58,IF(AND($S58&lt;&gt;"",EDATE($D58,Milestones!$AA$141)&gt;=$S58),$V58,IF(AND($R58&lt;&gt;"",EDATE($D58,Milestones!$AA$141)&gt;=$R58),$U58,$T58)))=Milestones!$AB$141),TEXT(EDATE($D58,Milestones!$AA$141),"dd/mm/yy")&amp;" "&amp;Milestones!$AB$141&amp;" "&amp;Milestones!$AC$141&amp;";  ","")&amp;IF(AND(EDATE($D58,Milestones!$AA$142)&lt;=AsOfDate,IF($Q58=0,$W58,IF(AND($S58&lt;&gt;"",EDATE($D58,Milestones!$AA$142)&gt;=$S58),$V58,IF(AND($R58&lt;&gt;"",EDATE($D58,Milestones!$AA$142)&gt;=$R58),$U58,$T58)))=Milestones!$AB$142),TEXT(EDATE($D58,Milestones!$AA$142),"dd/mm/yy")&amp;" "&amp;Milestones!$AB$142&amp;" "&amp;Milestones!$AC$142&amp;";  ","")&amp;IF(AND(EDATE($D58,Milestones!$AA$143)&lt;=AsOfDate,IF($Q58=0,$W58,IF(AND($S58&lt;&gt;"",EDATE($D58,Milestones!$AA$143)&gt;=$S58),$V58,IF(AND($R58&lt;&gt;"",EDATE($D58,Milestones!$AA$143)&gt;=$R58),$U58,$T58)))=Milestones!$AB$143),TEXT(EDATE($D58,Milestones!$AA$143),"dd/mm/yy")&amp;" "&amp;Milestones!$AB$143&amp;" "&amp;Milestones!$AC$143&amp;";  ","")&amp;IF(AND(EDATE($D58,Milestones!$AA$144)&lt;=AsOfDate,IF($Q58=0,$W58,IF(AND($S58&lt;&gt;"",EDATE($D58,Milestones!$AA$144)&gt;=$S58),$V58,IF(AND($R58&lt;&gt;"",EDATE($D58,Milestones!$AA$144)&gt;=$R58),$U58,$T58)))=Milestones!$AB$144),TEXT(EDATE($D58,Milestones!$AA$144),"dd/mm/yy")&amp;" "&amp;Milestones!$AB$144&amp;" "&amp;Milestones!$AC$144&amp;";  ","")&amp;IF(AND(EDATE($D58,Milestones!$AA$145)&lt;=AsOfDate,IF($Q58=0,$W58,IF(AND($S58&lt;&gt;"",EDATE($D58,Milestones!$AA$145)&gt;=$S58),$V58,IF(AND($R58&lt;&gt;"",EDATE($D58,Milestones!$AA$145)&gt;=$R58),$U58,$T58)))=Milestones!$AB$145),TEXT(EDATE($D58,Milestones!$AA$145),"dd/mm/yy")&amp;" "&amp;Milestones!$AB$145&amp;" "&amp;Milestones!$AC$145&amp;";  ","")&amp;IF(AND(EDATE($D58,Milestones!$AA$146)&lt;=AsOfDate,IF($Q58=0,$W58,IF(AND($S58&lt;&gt;"",EDATE($D58,Milestones!$AA$146)&gt;=$S58),$V58,IF(AND($R58&lt;&gt;"",EDATE($D58,Milestones!$AA$146)&gt;=$R58),$U58,$T58)))=Milestones!$AB$146),TEXT(EDATE($D58,Milestones!$AA$146),"dd/mm/yy")&amp;" "&amp;Milestones!$AB$146&amp;" "&amp;Milestones!$AC$146&amp;";  ","")&amp;IF(AND(EDATE($D58,Milestones!$AA$147)&lt;=AsOfDate,IF($Q58=0,$W58,IF(AND($S58&lt;&gt;"",EDATE($D58,Milestones!$AA$147)&gt;=$S58),$V58,IF(AND($R58&lt;&gt;"",EDATE($D58,Milestones!$AA$147)&gt;=$R58),$U58,$T58)))=Milestones!$AB$147),TEXT(EDATE($D58,Milestones!$AA$147),"dd/mm/yy")&amp;" "&amp;Milestones!$AB$147&amp;" "&amp;Milestones!$AC$147&amp;";  ","")&amp;IF(AND(EDATE($D58,Milestones!$AA$148)&lt;=AsOfDate,IF($Q58=0,$W58,IF(AND($S58&lt;&gt;"",EDATE($D58,Milestones!$AA$148)&gt;=$S58),$V58,IF(AND($R58&lt;&gt;"",EDATE($D58,Milestones!$AA$148)&gt;=$R58),$U58,$T58)))=Milestones!$AB$148),TEXT(EDATE($D58,Milestones!$AA$148),"dd/mm/yy")&amp;" "&amp;Milestones!$AB$148&amp;" "&amp;Milestones!$AC$148&amp;";  ","")&amp;IF(AND(EDATE($D58,Milestones!$AA$149)&lt;=AsOfDate,IF($Q58=0,$W58,IF(AND($S58&lt;&gt;"",EDATE($D58,Milestones!$AA$149)&gt;=$S58),$V58,IF(AND($R58&lt;&gt;"",EDATE($D58,Milestones!$AA$149)&gt;=$R58),$U58,$T58)))=Milestones!$AB$149),TEXT(EDATE($D58,Milestones!$AA$149),"dd/mm/yy")&amp;" "&amp;Milestones!$AB$149&amp;" "&amp;Milestones!$AC$149&amp;";  ","")&amp;IF(AND(EDATE($D58,Milestones!$AA$150)&lt;=AsOfDate,IF($Q58=0,$W58,IF(AND($S58&lt;&gt;"",EDATE($D58,Milestones!$AA$150)&gt;=$S58),$V58,IF(AND($R58&lt;&gt;"",EDATE($D58,Milestones!$AA$150)&gt;=$R58),$U58,$T58)))=Milestones!$AB$150),TEXT(EDATE($D58,Milestones!$AA$150),"dd/mm/yy")&amp;" "&amp;Milestones!$AB$150&amp;" "&amp;Milestones!$AC$150&amp;";  ","")&amp;IF(AND(EDATE($D58,Milestones!$AA$151)&lt;=AsOfDate,IF($Q58=0,$W58,IF(AND($S58&lt;&gt;"",EDATE($D58,Milestones!$AA$151)&gt;=$S58),$V58,IF(AND($R58&lt;&gt;"",EDATE($D58,Milestones!$AA$151)&gt;=$R58),$U58,$T58)))=Milestones!$AB$151),TEXT(EDATE($D58,Milestones!$AA$151),"dd/mm/yy")&amp;" "&amp;Milestones!$AB$151&amp;" "&amp;Milestones!$AC$151&amp;";  ","")&amp;IF(AND(EDATE($D58,Milestones!$AA$152)&lt;=AsOfDate,IF($Q58=0,$W58,IF(AND($S58&lt;&gt;"",EDATE($D58,Milestones!$AA$152)&gt;=$S58),$V58,IF(AND($R58&lt;&gt;"",EDATE($D58,Milestones!$AA$152)&gt;=$R58),$U58,$T58)))=Milestones!$AB$152),TEXT(EDATE($D58,Milestones!$AA$152),"dd/mm/yy")&amp;" "&amp;Milestones!$AB$152&amp;" "&amp;Milestones!$AC$152&amp;";  ","")&amp;IF(AND(EDATE($D58,Milestones!$AA$153)&lt;=AsOfDate,IF($Q58=0,$W58,IF(AND($S58&lt;&gt;"",EDATE($D58,Milestones!$AA$153)&gt;=$S58),$V58,IF(AND($R58&lt;&gt;"",EDATE($D58,Milestones!$AA$153)&gt;=$R58),$U58,$T58)))=Milestones!$AB$153),TEXT(EDATE($D58,Milestones!$AA$153),"dd/mm/yy")&amp;" "&amp;Milestones!$AB$153&amp;" "&amp;Milestones!$AC$153&amp;";  ","")&amp;IF(AND(EDATE($D58,Milestones!$AA$154)&lt;=AsOfDate,IF($Q58=0,$W58,IF(AND($S58&lt;&gt;"",EDATE($D58,Milestones!$AA$154)&gt;=$S58),$V58,IF(AND($R58&lt;&gt;"",EDATE($D58,Milestones!$AA$154)&gt;=$R58),$U58,$T58)))=Milestones!$AB$154),TEXT(EDATE($D58,Milestones!$AA$154),"dd/mm/yy")&amp;" "&amp;Milestones!$AB$154&amp;" "&amp;Milestones!$AC$154&amp;";  ","")&amp;IF(AND(EDATE($D58,Milestones!$AA$155)&lt;=AsOfDate,IF($Q58=0,$W58,IF(AND($S58&lt;&gt;"",EDATE($D58,Milestones!$AA$155)&gt;=$S58),$V58,IF(AND($R58&lt;&gt;"",EDATE($D58,Milestones!$AA$155)&gt;=$R58),$U58,$T58)))=Milestones!$AB$155),TEXT(EDATE($D58,Milestones!$AA$155),"dd/mm/yy")&amp;" "&amp;Milestones!$AB$155&amp;" "&amp;Milestones!$AC$155&amp;";  ","")&amp;IF(AND(EDATE($D58,Milestones!$AA$156)&lt;=AsOfDate,IF($Q58=0,$W58,IF(AND($S58&lt;&gt;"",EDATE($D58,Milestones!$AA$156)&gt;=$S58),$V58,IF(AND($R58&lt;&gt;"",EDATE($D58,Milestones!$AA$156)&gt;=$R58),$U58,$T58)))=Milestones!$AB$156),TEXT(EDATE($D58,Milestones!$AA$156),"dd/mm/yy")&amp;" "&amp;Milestones!$AB$156&amp;" "&amp;Milestones!$AC$156&amp;";  ","")&amp;IF(AND(EDATE($D58,Milestones!$AA$157)&lt;=AsOfDate,IF($Q58=0,$W58,IF(AND($S58&lt;&gt;"",EDATE($D58,Milestones!$AA$157)&gt;=$S58),$V58,IF(AND($R58&lt;&gt;"",EDATE($D58,Milestones!$AA$157)&gt;=$R58),$U58,$T58)))=Milestones!$AB$157),TEXT(EDATE($D58,Milestones!$AA$157),"dd/mm/yy")&amp;" "&amp;Milestones!$AB$157&amp;" "&amp;Milestones!$AC$157&amp;";  ","")&amp;IF(AND(EDATE($D58,Milestones!$AA$158)&lt;=AsOfDate,IF($Q58=0,$W58,IF(AND($S58&lt;&gt;"",EDATE($D58,Milestones!$AA$158)&gt;=$S58),$V58,IF(AND($R58&lt;&gt;"",EDATE($D58,Milestones!$AA$158)&gt;=$R58),$U58,$T58)))=Milestones!$AB$158),TEXT(EDATE($D58,Milestones!$AA$158),"dd/mm/yy")&amp;" "&amp;Milestones!$AB$158&amp;" "&amp;Milestones!$AC$158&amp;";  ","")&amp;IF(AND(EDATE($D58,Milestones!$AA$159)&lt;=AsOfDate,IF($Q58=0,$W58,IF(AND($S58&lt;&gt;"",EDATE($D58,Milestones!$AA$159)&gt;=$S58),$V58,IF(AND($R58&lt;&gt;"",EDATE($D58,Milestones!$AA$159)&gt;=$R58),$U58,$T58)))=Milestones!$AB$159),TEXT(EDATE($D58,Milestones!$AA$159),"dd/mm/yy")&amp;" "&amp;Milestones!$AB$159&amp;" "&amp;Milestones!$AC$159&amp;";  ",""))</f>
        <v/>
      </c>
      <c r="O58" s="0" t="str">
        <f aca="false">IF(OR($A58="",$D58=""),"",IF(AND(EDATE($D58,Milestones!$AA$160)&lt;=AsOfDate,IF($Q58=0,$W58,IF(AND($S58&lt;&gt;"",EDATE($D58,Milestones!$AA$160)&gt;=$S58),$V58,IF(AND($R58&lt;&gt;"",EDATE($D58,Milestones!$AA$160)&gt;=$R58),$U58,$T58)))=Milestones!$AB$160),TEXT(EDATE($D58,Milestones!$AA$160),"dd/mm/yy")&amp;" "&amp;Milestones!$AB$160&amp;" "&amp;Milestones!$AC$160&amp;";  ","")&amp;IF(AND(EDATE($D58,Milestones!$AA$161)&lt;=AsOfDate,IF($Q58=0,$W58,IF(AND($S58&lt;&gt;"",EDATE($D58,Milestones!$AA$161)&gt;=$S58),$V58,IF(AND($R58&lt;&gt;"",EDATE($D58,Milestones!$AA$161)&gt;=$R58),$U58,$T58)))=Milestones!$AB$161),TEXT(EDATE($D58,Milestones!$AA$161),"dd/mm/yy")&amp;" "&amp;Milestones!$AB$161&amp;" "&amp;Milestones!$AC$161&amp;";  ","")&amp;IF(AND(EDATE($D58,Milestones!$AA$162)&lt;=AsOfDate,IF($Q58=0,$W58,IF(AND($S58&lt;&gt;"",EDATE($D58,Milestones!$AA$162)&gt;=$S58),$V58,IF(AND($R58&lt;&gt;"",EDATE($D58,Milestones!$AA$162)&gt;=$R58),$U58,$T58)))=Milestones!$AB$162),TEXT(EDATE($D58,Milestones!$AA$162),"dd/mm/yy")&amp;" "&amp;Milestones!$AB$162&amp;" "&amp;Milestones!$AC$162&amp;";  ","")&amp;IF(AND(EDATE($D58,Milestones!$AA$163)&lt;=AsOfDate,IF($Q58=0,$W58,IF(AND($S58&lt;&gt;"",EDATE($D58,Milestones!$AA$163)&gt;=$S58),$V58,IF(AND($R58&lt;&gt;"",EDATE($D58,Milestones!$AA$163)&gt;=$R58),$U58,$T58)))=Milestones!$AB$163),TEXT(EDATE($D58,Milestones!$AA$163),"dd/mm/yy")&amp;" "&amp;Milestones!$AB$163&amp;" "&amp;Milestones!$AC$163&amp;";  ","")&amp;IF(AND(EDATE($D58,Milestones!$AA$164)&lt;=AsOfDate,IF($Q58=0,$W58,IF(AND($S58&lt;&gt;"",EDATE($D58,Milestones!$AA$164)&gt;=$S58),$V58,IF(AND($R58&lt;&gt;"",EDATE($D58,Milestones!$AA$164)&gt;=$R58),$U58,$T58)))=Milestones!$AB$164),TEXT(EDATE($D58,Milestones!$AA$164),"dd/mm/yy")&amp;" "&amp;Milestones!$AB$164&amp;" "&amp;Milestones!$AC$164&amp;";  ","")&amp;IF(AND(EDATE($D58,Milestones!$AA$165)&lt;=AsOfDate,IF($Q58=0,$W58,IF(AND($S58&lt;&gt;"",EDATE($D58,Milestones!$AA$165)&gt;=$S58),$V58,IF(AND($R58&lt;&gt;"",EDATE($D58,Milestones!$AA$165)&gt;=$R58),$U58,$T58)))=Milestones!$AB$165),TEXT(EDATE($D58,Milestones!$AA$165),"dd/mm/yy")&amp;" "&amp;Milestones!$AB$165&amp;" "&amp;Milestones!$AC$165&amp;";  ","")&amp;IF(AND(EDATE($D58,Milestones!$AA$166)&lt;=AsOfDate,IF($Q58=0,$W58,IF(AND($S58&lt;&gt;"",EDATE($D58,Milestones!$AA$166)&gt;=$S58),$V58,IF(AND($R58&lt;&gt;"",EDATE($D58,Milestones!$AA$166)&gt;=$R58),$U58,$T58)))=Milestones!$AB$166),TEXT(EDATE($D58,Milestones!$AA$166),"dd/mm/yy")&amp;" "&amp;Milestones!$AB$166&amp;" "&amp;Milestones!$AC$166&amp;";  ","")&amp;IF(AND(EDATE($D58,Milestones!$AA$167)&lt;=AsOfDate,IF($Q58=0,$W58,IF(AND($S58&lt;&gt;"",EDATE($D58,Milestones!$AA$167)&gt;=$S58),$V58,IF(AND($R58&lt;&gt;"",EDATE($D58,Milestones!$AA$167)&gt;=$R58),$U58,$T58)))=Milestones!$AB$167),TEXT(EDATE($D58,Milestones!$AA$167),"dd/mm/yy")&amp;" "&amp;Milestones!$AB$167&amp;" "&amp;Milestones!$AC$167&amp;";  ","")&amp;IF(AND(EDATE($D58,Milestones!$AA$168)&lt;=AsOfDate,IF($Q58=0,$W58,IF(AND($S58&lt;&gt;"",EDATE($D58,Milestones!$AA$168)&gt;=$S58),$V58,IF(AND($R58&lt;&gt;"",EDATE($D58,Milestones!$AA$168)&gt;=$R58),$U58,$T58)))=Milestones!$AB$168),TEXT(EDATE($D58,Milestones!$AA$168),"dd/mm/yy")&amp;" "&amp;Milestones!$AB$168&amp;" "&amp;Milestones!$AC$168&amp;";  ","")&amp;IF(AND(EDATE($D58,Milestones!$AA$169)&lt;=AsOfDate,IF($Q58=0,$W58,IF(AND($S58&lt;&gt;"",EDATE($D58,Milestones!$AA$169)&gt;=$S58),$V58,IF(AND($R58&lt;&gt;"",EDATE($D58,Milestones!$AA$169)&gt;=$R58),$U58,$T58)))=Milestones!$AB$169),TEXT(EDATE($D58,Milestones!$AA$169),"dd/mm/yy")&amp;" "&amp;Milestones!$AB$169&amp;" "&amp;Milestones!$AC$169&amp;";  ","")&amp;IF(AND(EDATE($D58,Milestones!$AA$170)&lt;=AsOfDate,IF($Q58=0,$W58,IF(AND($S58&lt;&gt;"",EDATE($D58,Milestones!$AA$170)&gt;=$S58),$V58,IF(AND($R58&lt;&gt;"",EDATE($D58,Milestones!$AA$170)&gt;=$R58),$U58,$T58)))=Milestones!$AB$170),TEXT(EDATE($D58,Milestones!$AA$170),"dd/mm/yy")&amp;" "&amp;Milestones!$AB$170&amp;" "&amp;Milestones!$AC$170&amp;";  ","")&amp;IF(AND(EDATE($D58,Milestones!$AA$171)&lt;=AsOfDate,IF($Q58=0,$W58,IF(AND($S58&lt;&gt;"",EDATE($D58,Milestones!$AA$171)&gt;=$S58),$V58,IF(AND($R58&lt;&gt;"",EDATE($D58,Milestones!$AA$171)&gt;=$R58),$U58,$T58)))=Milestones!$AB$171),TEXT(EDATE($D58,Milestones!$AA$171),"dd/mm/yy")&amp;" "&amp;Milestones!$AB$171&amp;" "&amp;Milestones!$AC$171&amp;";  ","")&amp;IF(AND(EDATE($D58,Milestones!$AA$172)&lt;=AsOfDate,IF($Q58=0,$W58,IF(AND($S58&lt;&gt;"",EDATE($D58,Milestones!$AA$172)&gt;=$S58),$V58,IF(AND($R58&lt;&gt;"",EDATE($D58,Milestones!$AA$172)&gt;=$R58),$U58,$T58)))=Milestones!$AB$172),TEXT(EDATE($D58,Milestones!$AA$172),"dd/mm/yy")&amp;" "&amp;Milestones!$AB$172&amp;" "&amp;Milestones!$AC$172&amp;";  ","")&amp;IF(AND(EDATE($D58,Milestones!$AA$173)&lt;=AsOfDate,IF($Q58=0,$W58,IF(AND($S58&lt;&gt;"",EDATE($D58,Milestones!$AA$173)&gt;=$S58),$V58,IF(AND($R58&lt;&gt;"",EDATE($D58,Milestones!$AA$173)&gt;=$R58),$U58,$T58)))=Milestones!$AB$173),TEXT(EDATE($D58,Milestones!$AA$173),"dd/mm/yy")&amp;" "&amp;Milestones!$AB$173&amp;" "&amp;Milestones!$AC$173&amp;";  ","")&amp;IF(AND(EDATE($D58,Milestones!$AA$174)&lt;=AsOfDate,IF($Q58=0,$W58,IF(AND($S58&lt;&gt;"",EDATE($D58,Milestones!$AA$174)&gt;=$S58),$V58,IF(AND($R58&lt;&gt;"",EDATE($D58,Milestones!$AA$174)&gt;=$R58),$U58,$T58)))=Milestones!$AB$174),TEXT(EDATE($D58,Milestones!$AA$174),"dd/mm/yy")&amp;" "&amp;Milestones!$AB$174&amp;" "&amp;Milestones!$AC$174&amp;";  ","")&amp;IF(AND(EDATE($D58,Milestones!$AA$175)&lt;=AsOfDate,IF($Q58=0,$W58,IF(AND($S58&lt;&gt;"",EDATE($D58,Milestones!$AA$175)&gt;=$S58),$V58,IF(AND($R58&lt;&gt;"",EDATE($D58,Milestones!$AA$175)&gt;=$R58),$U58,$T58)))=Milestones!$AB$175),TEXT(EDATE($D58,Milestones!$AA$175),"dd/mm/yy")&amp;" "&amp;Milestones!$AB$175&amp;" "&amp;Milestones!$AC$175&amp;";  ","")&amp;IF(AND(EDATE($D58,Milestones!$AA$176)&lt;=AsOfDate,IF($Q58=0,$W58,IF(AND($S58&lt;&gt;"",EDATE($D58,Milestones!$AA$176)&gt;=$S58),$V58,IF(AND($R58&lt;&gt;"",EDATE($D58,Milestones!$AA$176)&gt;=$R58),$U58,$T58)))=Milestones!$AB$176),TEXT(EDATE($D58,Milestones!$AA$176),"dd/mm/yy")&amp;" "&amp;Milestones!$AB$176&amp;" "&amp;Milestones!$AC$176&amp;";  ","")&amp;IF(AND(EDATE($D58,Milestones!$AA$177)&lt;=AsOfDate,IF($Q58=0,$W58,IF(AND($S58&lt;&gt;"",EDATE($D58,Milestones!$AA$177)&gt;=$S58),$V58,IF(AND($R58&lt;&gt;"",EDATE($D58,Milestones!$AA$177)&gt;=$R58),$U58,$T58)))=Milestones!$AB$177),TEXT(EDATE($D58,Milestones!$AA$177),"dd/mm/yy")&amp;" "&amp;Milestones!$AB$177&amp;" "&amp;Milestones!$AC$177&amp;";  ","")&amp;IF(AND(EDATE($D58,Milestones!$AA$178)&lt;=AsOfDate,IF($Q58=0,$W58,IF(AND($S58&lt;&gt;"",EDATE($D58,Milestones!$AA$178)&gt;=$S58),$V58,IF(AND($R58&lt;&gt;"",EDATE($D58,Milestones!$AA$178)&gt;=$R58),$U58,$T58)))=Milestones!$AB$178),TEXT(EDATE($D58,Milestones!$AA$178),"dd/mm/yy")&amp;" "&amp;Milestones!$AB$178&amp;" "&amp;Milestones!$AC$178&amp;";  ","")&amp;IF(AND(EDATE($D58,Milestones!$AA$179)&lt;=AsOfDate,IF($Q58=0,$W58,IF(AND($S58&lt;&gt;"",EDATE($D58,Milestones!$AA$179)&gt;=$S58),$V58,IF(AND($R58&lt;&gt;"",EDATE($D58,Milestones!$AA$179)&gt;=$R58),$U58,$T58)))=Milestones!$AB$179),TEXT(EDATE($D58,Milestones!$AA$179),"dd/mm/yy")&amp;" "&amp;Milestones!$AB$179&amp;" "&amp;Milestones!$AC$179&amp;";  ",""))</f>
        <v/>
      </c>
      <c r="P58" s="0" t="str">
        <f aca="false">IF(OR($A58="",$D58=""),"",IF(AND(EDATE($D58,Milestones!$AA$180)&lt;=AsOfDate,IF($Q58=0,$W58,IF(AND($S58&lt;&gt;"",EDATE($D58,Milestones!$AA$180)&gt;=$S58),$V58,IF(AND($R58&lt;&gt;"",EDATE($D58,Milestones!$AA$180)&gt;=$R58),$U58,$T58)))=Milestones!$AB$180),TEXT(EDATE($D58,Milestones!$AA$180),"dd/mm/yy")&amp;" "&amp;Milestones!$AB$180&amp;" "&amp;Milestones!$AC$180&amp;";  ","")&amp;IF(AND(EDATE($D58,Milestones!$AA$181)&lt;=AsOfDate,IF($Q58=0,$W58,IF(AND($S58&lt;&gt;"",EDATE($D58,Milestones!$AA$181)&gt;=$S58),$V58,IF(AND($R58&lt;&gt;"",EDATE($D58,Milestones!$AA$181)&gt;=$R58),$U58,$T58)))=Milestones!$AB$181),TEXT(EDATE($D58,Milestones!$AA$181),"dd/mm/yy")&amp;" "&amp;Milestones!$AB$181&amp;" "&amp;Milestones!$AC$181&amp;";  ","")&amp;IF(AND(EDATE($D58,Milestones!$AA$182)&lt;=AsOfDate,IF($Q58=0,$W58,IF(AND($S58&lt;&gt;"",EDATE($D58,Milestones!$AA$182)&gt;=$S58),$V58,IF(AND($R58&lt;&gt;"",EDATE($D58,Milestones!$AA$182)&gt;=$R58),$U58,$T58)))=Milestones!$AB$182),TEXT(EDATE($D58,Milestones!$AA$182),"dd/mm/yy")&amp;" "&amp;Milestones!$AB$182&amp;" "&amp;Milestones!$AC$182&amp;";  ","")&amp;IF(AND(EDATE($D58,Milestones!$AA$183)&lt;=AsOfDate,IF($Q58=0,$W58,IF(AND($S58&lt;&gt;"",EDATE($D58,Milestones!$AA$183)&gt;=$S58),$V58,IF(AND($R58&lt;&gt;"",EDATE($D58,Milestones!$AA$183)&gt;=$R58),$U58,$T58)))=Milestones!$AB$183),TEXT(EDATE($D58,Milestones!$AA$183),"dd/mm/yy")&amp;" "&amp;Milestones!$AB$183&amp;" "&amp;Milestones!$AC$183&amp;";  ","")&amp;IF(AND(EDATE($D58,Milestones!$AA$184)&lt;=AsOfDate,IF($Q58=0,$W58,IF(AND($S58&lt;&gt;"",EDATE($D58,Milestones!$AA$184)&gt;=$S58),$V58,IF(AND($R58&lt;&gt;"",EDATE($D58,Milestones!$AA$184)&gt;=$R58),$U58,$T58)))=Milestones!$AB$184),TEXT(EDATE($D58,Milestones!$AA$184),"dd/mm/yy")&amp;" "&amp;Milestones!$AB$184&amp;" "&amp;Milestones!$AC$184&amp;";  ","")&amp;IF(AND(EDATE($D58,Milestones!$AA$185)&lt;=AsOfDate,IF($Q58=0,$W58,IF(AND($S58&lt;&gt;"",EDATE($D58,Milestones!$AA$185)&gt;=$S58),$V58,IF(AND($R58&lt;&gt;"",EDATE($D58,Milestones!$AA$185)&gt;=$R58),$U58,$T58)))=Milestones!$AB$185),TEXT(EDATE($D58,Milestones!$AA$185),"dd/mm/yy")&amp;" "&amp;Milestones!$AB$185&amp;" "&amp;Milestones!$AC$185&amp;";  ","")&amp;IF(AND(EDATE($D58,Milestones!$AA$186)&lt;=AsOfDate,IF($Q58=0,$W58,IF(AND($S58&lt;&gt;"",EDATE($D58,Milestones!$AA$186)&gt;=$S58),$V58,IF(AND($R58&lt;&gt;"",EDATE($D58,Milestones!$AA$186)&gt;=$R58),$U58,$T58)))=Milestones!$AB$186),TEXT(EDATE($D58,Milestones!$AA$186),"dd/mm/yy")&amp;" "&amp;Milestones!$AB$186&amp;" "&amp;Milestones!$AC$186&amp;";  ","")&amp;IF(AND(EDATE($D58,Milestones!$AA$187)&lt;=AsOfDate,IF($Q58=0,$W58,IF(AND($S58&lt;&gt;"",EDATE($D58,Milestones!$AA$187)&gt;=$S58),$V58,IF(AND($R58&lt;&gt;"",EDATE($D58,Milestones!$AA$187)&gt;=$R58),$U58,$T58)))=Milestones!$AB$187),TEXT(EDATE($D58,Milestones!$AA$187),"dd/mm/yy")&amp;" "&amp;Milestones!$AB$187&amp;" "&amp;Milestones!$AC$187&amp;";  ","")&amp;IF(AND(EDATE($D58,Milestones!$AA$188)&lt;=AsOfDate,IF($Q58=0,$W58,IF(AND($S58&lt;&gt;"",EDATE($D58,Milestones!$AA$188)&gt;=$S58),$V58,IF(AND($R58&lt;&gt;"",EDATE($D58,Milestones!$AA$188)&gt;=$R58),$U58,$T58)))=Milestones!$AB$188),TEXT(EDATE($D58,Milestones!$AA$188),"dd/mm/yy")&amp;" "&amp;Milestones!$AB$188&amp;" "&amp;Milestones!$AC$188&amp;";  ","")&amp;IF(AND(EDATE($D58,Milestones!$AA$189)&lt;=AsOfDate,IF($Q58=0,$W58,IF(AND($S58&lt;&gt;"",EDATE($D58,Milestones!$AA$189)&gt;=$S58),$V58,IF(AND($R58&lt;&gt;"",EDATE($D58,Milestones!$AA$189)&gt;=$R58),$U58,$T58)))=Milestones!$AB$189),TEXT(EDATE($D58,Milestones!$AA$189),"dd/mm/yy")&amp;" "&amp;Milestones!$AB$189&amp;" "&amp;Milestones!$AC$189&amp;";  ","")&amp;IF(AND(EDATE($D58,Milestones!$AA$190)&lt;=AsOfDate,IF($Q58=0,$W58,IF(AND($S58&lt;&gt;"",EDATE($D58,Milestones!$AA$190)&gt;=$S58),$V58,IF(AND($R58&lt;&gt;"",EDATE($D58,Milestones!$AA$190)&gt;=$R58),$U58,$T58)))=Milestones!$AB$190),TEXT(EDATE($D58,Milestones!$AA$190),"dd/mm/yy")&amp;" "&amp;Milestones!$AB$190&amp;" "&amp;Milestones!$AC$190&amp;";  ","")&amp;IF(AND(EDATE($D58,Milestones!$AA$191)&lt;=AsOfDate,IF($Q58=0,$W58,IF(AND($S58&lt;&gt;"",EDATE($D58,Milestones!$AA$191)&gt;=$S58),$V58,IF(AND($R58&lt;&gt;"",EDATE($D58,Milestones!$AA$191)&gt;=$R58),$U58,$T58)))=Milestones!$AB$191),TEXT(EDATE($D58,Milestones!$AA$191),"dd/mm/yy")&amp;" "&amp;Milestones!$AB$191&amp;" "&amp;Milestones!$AC$191&amp;";  ","")&amp;IF(AND(EDATE($D58,Milestones!$AA$192)&lt;=AsOfDate,IF($Q58=0,$W58,IF(AND($S58&lt;&gt;"",EDATE($D58,Milestones!$AA$192)&gt;=$S58),$V58,IF(AND($R58&lt;&gt;"",EDATE($D58,Milestones!$AA$192)&gt;=$R58),$U58,$T58)))=Milestones!$AB$192),TEXT(EDATE($D58,Milestones!$AA$192),"dd/mm/yy")&amp;" "&amp;Milestones!$AB$192&amp;" "&amp;Milestones!$AC$192&amp;";  ","")&amp;IF(AND(EDATE($D58,Milestones!$AA$193)&lt;=AsOfDate,IF($Q58=0,$W58,IF(AND($S58&lt;&gt;"",EDATE($D58,Milestones!$AA$193)&gt;=$S58),$V58,IF(AND($R58&lt;&gt;"",EDATE($D58,Milestones!$AA$193)&gt;=$R58),$U58,$T58)))=Milestones!$AB$193),TEXT(EDATE($D58,Milestones!$AA$193),"dd/mm/yy")&amp;" "&amp;Milestones!$AB$193&amp;" "&amp;Milestones!$AC$193&amp;";  ","")&amp;IF(AND(EDATE($D58,Milestones!$AA$194)&lt;=AsOfDate,IF($Q58=0,$W58,IF(AND($S58&lt;&gt;"",EDATE($D58,Milestones!$AA$194)&gt;=$S58),$V58,IF(AND($R58&lt;&gt;"",EDATE($D58,Milestones!$AA$194)&gt;=$R58),$U58,$T58)))=Milestones!$AB$194),TEXT(EDATE($D58,Milestones!$AA$194),"dd/mm/yy")&amp;" "&amp;Milestones!$AB$194&amp;" "&amp;Milestones!$AC$194&amp;";  ","")&amp;IF(AND(EDATE($D58,Milestones!$AA$195)&lt;=AsOfDate,IF($Q58=0,$W58,IF(AND($S58&lt;&gt;"",EDATE($D58,Milestones!$AA$195)&gt;=$S58),$V58,IF(AND($R58&lt;&gt;"",EDATE($D58,Milestones!$AA$195)&gt;=$R58),$U58,$T58)))=Milestones!$AB$195),TEXT(EDATE($D58,Milestones!$AA$195),"dd/mm/yy")&amp;" "&amp;Milestones!$AB$195&amp;" "&amp;Milestones!$AC$195&amp;";  ","")&amp;IF(AND(EDATE($D58,Milestones!$AA$196)&lt;=AsOfDate,IF($Q58=0,$W58,IF(AND($S58&lt;&gt;"",EDATE($D58,Milestones!$AA$196)&gt;=$S58),$V58,IF(AND($R58&lt;&gt;"",EDATE($D58,Milestones!$AA$196)&gt;=$R58),$U58,$T58)))=Milestones!$AB$196),TEXT(EDATE($D58,Milestones!$AA$196),"dd/mm/yy")&amp;" "&amp;Milestones!$AB$196&amp;" "&amp;Milestones!$AC$196&amp;";  ","")&amp;IF(AND(EDATE($D58,Milestones!$AA$197)&lt;=AsOfDate,IF($Q58=0,$W58,IF(AND($S58&lt;&gt;"",EDATE($D58,Milestones!$AA$197)&gt;=$S58),$V58,IF(AND($R58&lt;&gt;"",EDATE($D58,Milestones!$AA$197)&gt;=$R58),$U58,$T58)))=Milestones!$AB$197),TEXT(EDATE($D58,Milestones!$AA$197),"dd/mm/yy")&amp;" "&amp;Milestones!$AB$197&amp;" "&amp;Milestones!$AC$197&amp;";  ","")&amp;IF(AND(EDATE($D58,Milestones!$AA$198)&lt;=AsOfDate,IF($Q58=0,$W58,IF(AND($S58&lt;&gt;"",EDATE($D58,Milestones!$AA$198)&gt;=$S58),$V58,IF(AND($R58&lt;&gt;"",EDATE($D58,Milestones!$AA$198)&gt;=$R58),$U58,$T58)))=Milestones!$AB$198),TEXT(EDATE($D58,Milestones!$AA$198),"dd/mm/yy")&amp;" "&amp;Milestones!$AB$198&amp;" "&amp;Milestones!$AC$198&amp;";  ","")&amp;IF(AND(EDATE($D58,Milestones!$AA$199)&lt;=AsOfDate,IF($Q58=0,$W58,IF(AND($S58&lt;&gt;"",EDATE($D58,Milestones!$AA$199)&gt;=$S58),$V58,IF(AND($R58&lt;&gt;"",EDATE($D58,Milestones!$AA$199)&gt;=$R58),$U58,$T58)))=Milestones!$AB$199),TEXT(EDATE($D58,Milestones!$AA$199),"dd/mm/yy")&amp;" "&amp;Milestones!$AB$199&amp;" "&amp;Milestones!$AC$199&amp;";  ",""))</f>
        <v/>
      </c>
      <c r="Q58" s="0" t="str">
        <f aca="false">IF(Staff!$A58="","",Staff!$AG58)</f>
        <v/>
      </c>
      <c r="R58" s="0" t="str">
        <f aca="false">IF(Staff!$A58="","",Staff!$AI58)</f>
        <v/>
      </c>
      <c r="S58" s="0" t="str">
        <f aca="false">IF(Staff!$A58="","",Staff!$AJ58)</f>
        <v/>
      </c>
      <c r="T58" s="0" t="str">
        <f aca="false">IF(Staff!$A58="","",Staff!$AN58)</f>
        <v/>
      </c>
      <c r="U58" s="0" t="str">
        <f aca="false">IF(Staff!$A58="","",Staff!$AO58)</f>
        <v/>
      </c>
      <c r="V58" s="0" t="str">
        <f aca="false">IF(Staff!$A58="","",Staff!$AP58)</f>
        <v/>
      </c>
      <c r="W58" s="0" t="str">
        <f aca="false">IF(Staff!$A58="","",Staff!$AQ58)</f>
        <v/>
      </c>
    </row>
    <row r="59" customFormat="false" ht="15" hidden="false" customHeight="false" outlineLevel="0" collapsed="false">
      <c r="A59" s="13" t="str">
        <f aca="false">IF(Staff!$A59="","",Staff!$A59)</f>
        <v/>
      </c>
      <c r="B59" s="13" t="str">
        <f aca="false">IF(Staff!$A59="","",Staff!$B59)</f>
        <v/>
      </c>
      <c r="C59" s="13" t="str">
        <f aca="false">IF(Staff!$A59="","",Staff!$C59)</f>
        <v/>
      </c>
      <c r="D59" s="11" t="str">
        <f aca="false">IF(Staff!$A59="","",Staff!$AF59)</f>
        <v/>
      </c>
      <c r="E59" s="13" t="str">
        <f aca="false">IF(Staff!$A59="","",Staff!$O59)</f>
        <v/>
      </c>
      <c r="F59" s="13" t="str">
        <f aca="false">IF(E59="","",E59*HoursPerDay)</f>
        <v/>
      </c>
      <c r="G59" s="26" t="str">
        <f aca="false">IF($A59="","",H59&amp;I59&amp;J59&amp;K59&amp;L59&amp;M59&amp;N59&amp;O59&amp;P59)</f>
        <v/>
      </c>
      <c r="H59" s="0" t="str">
        <f aca="false">IF(OR($A59="",$D59=""),"",IF(AND(EDATE($D59,Milestones!$AA$20)&lt;=AsOfDate,IF($Q59=0,$W59,IF(AND($S59&lt;&gt;"",EDATE($D59,Milestones!$AA$20)&gt;=$S59),$V59,IF(AND($R59&lt;&gt;"",EDATE($D59,Milestones!$AA$20)&gt;=$R59),$U59,$T59)))=Milestones!$AB$20),TEXT(EDATE($D59,Milestones!$AA$20),"dd/mm/yy")&amp;" "&amp;Milestones!$AB$20&amp;" "&amp;Milestones!$AC$20&amp;";  ","")&amp;IF(AND(EDATE($D59,Milestones!$AA$21)&lt;=AsOfDate,IF($Q59=0,$W59,IF(AND($S59&lt;&gt;"",EDATE($D59,Milestones!$AA$21)&gt;=$S59),$V59,IF(AND($R59&lt;&gt;"",EDATE($D59,Milestones!$AA$21)&gt;=$R59),$U59,$T59)))=Milestones!$AB$21),TEXT(EDATE($D59,Milestones!$AA$21),"dd/mm/yy")&amp;" "&amp;Milestones!$AB$21&amp;" "&amp;Milestones!$AC$21&amp;";  ","")&amp;IF(AND(EDATE($D59,Milestones!$AA$22)&lt;=AsOfDate,IF($Q59=0,$W59,IF(AND($S59&lt;&gt;"",EDATE($D59,Milestones!$AA$22)&gt;=$S59),$V59,IF(AND($R59&lt;&gt;"",EDATE($D59,Milestones!$AA$22)&gt;=$R59),$U59,$T59)))=Milestones!$AB$22),TEXT(EDATE($D59,Milestones!$AA$22),"dd/mm/yy")&amp;" "&amp;Milestones!$AB$22&amp;" "&amp;Milestones!$AC$22&amp;";  ","")&amp;IF(AND(EDATE($D59,Milestones!$AA$23)&lt;=AsOfDate,IF($Q59=0,$W59,IF(AND($S59&lt;&gt;"",EDATE($D59,Milestones!$AA$23)&gt;=$S59),$V59,IF(AND($R59&lt;&gt;"",EDATE($D59,Milestones!$AA$23)&gt;=$R59),$U59,$T59)))=Milestones!$AB$23),TEXT(EDATE($D59,Milestones!$AA$23),"dd/mm/yy")&amp;" "&amp;Milestones!$AB$23&amp;" "&amp;Milestones!$AC$23&amp;";  ","")&amp;IF(AND(EDATE($D59,Milestones!$AA$24)&lt;=AsOfDate,IF($Q59=0,$W59,IF(AND($S59&lt;&gt;"",EDATE($D59,Milestones!$AA$24)&gt;=$S59),$V59,IF(AND($R59&lt;&gt;"",EDATE($D59,Milestones!$AA$24)&gt;=$R59),$U59,$T59)))=Milestones!$AB$24),TEXT(EDATE($D59,Milestones!$AA$24),"dd/mm/yy")&amp;" "&amp;Milestones!$AB$24&amp;" "&amp;Milestones!$AC$24&amp;";  ","")&amp;IF(AND(EDATE($D59,Milestones!$AA$25)&lt;=AsOfDate,IF($Q59=0,$W59,IF(AND($S59&lt;&gt;"",EDATE($D59,Milestones!$AA$25)&gt;=$S59),$V59,IF(AND($R59&lt;&gt;"",EDATE($D59,Milestones!$AA$25)&gt;=$R59),$U59,$T59)))=Milestones!$AB$25),TEXT(EDATE($D59,Milestones!$AA$25),"dd/mm/yy")&amp;" "&amp;Milestones!$AB$25&amp;" "&amp;Milestones!$AC$25&amp;";  ","")&amp;IF(AND(EDATE($D59,Milestones!$AA$26)&lt;=AsOfDate,IF($Q59=0,$W59,IF(AND($S59&lt;&gt;"",EDATE($D59,Milestones!$AA$26)&gt;=$S59),$V59,IF(AND($R59&lt;&gt;"",EDATE($D59,Milestones!$AA$26)&gt;=$R59),$U59,$T59)))=Milestones!$AB$26),TEXT(EDATE($D59,Milestones!$AA$26),"dd/mm/yy")&amp;" "&amp;Milestones!$AB$26&amp;" "&amp;Milestones!$AC$26&amp;";  ","")&amp;IF(AND(EDATE($D59,Milestones!$AA$27)&lt;=AsOfDate,IF($Q59=0,$W59,IF(AND($S59&lt;&gt;"",EDATE($D59,Milestones!$AA$27)&gt;=$S59),$V59,IF(AND($R59&lt;&gt;"",EDATE($D59,Milestones!$AA$27)&gt;=$R59),$U59,$T59)))=Milestones!$AB$27),TEXT(EDATE($D59,Milestones!$AA$27),"dd/mm/yy")&amp;" "&amp;Milestones!$AB$27&amp;" "&amp;Milestones!$AC$27&amp;";  ","")&amp;IF(AND(EDATE($D59,Milestones!$AA$28)&lt;=AsOfDate,IF($Q59=0,$W59,IF(AND($S59&lt;&gt;"",EDATE($D59,Milestones!$AA$28)&gt;=$S59),$V59,IF(AND($R59&lt;&gt;"",EDATE($D59,Milestones!$AA$28)&gt;=$R59),$U59,$T59)))=Milestones!$AB$28),TEXT(EDATE($D59,Milestones!$AA$28),"dd/mm/yy")&amp;" "&amp;Milestones!$AB$28&amp;" "&amp;Milestones!$AC$28&amp;";  ","")&amp;IF(AND(EDATE($D59,Milestones!$AA$29)&lt;=AsOfDate,IF($Q59=0,$W59,IF(AND($S59&lt;&gt;"",EDATE($D59,Milestones!$AA$29)&gt;=$S59),$V59,IF(AND($R59&lt;&gt;"",EDATE($D59,Milestones!$AA$29)&gt;=$R59),$U59,$T59)))=Milestones!$AB$29),TEXT(EDATE($D59,Milestones!$AA$29),"dd/mm/yy")&amp;" "&amp;Milestones!$AB$29&amp;" "&amp;Milestones!$AC$29&amp;";  ","")&amp;IF(AND(EDATE($D59,Milestones!$AA$30)&lt;=AsOfDate,IF($Q59=0,$W59,IF(AND($S59&lt;&gt;"",EDATE($D59,Milestones!$AA$30)&gt;=$S59),$V59,IF(AND($R59&lt;&gt;"",EDATE($D59,Milestones!$AA$30)&gt;=$R59),$U59,$T59)))=Milestones!$AB$30),TEXT(EDATE($D59,Milestones!$AA$30),"dd/mm/yy")&amp;" "&amp;Milestones!$AB$30&amp;" "&amp;Milestones!$AC$30&amp;";  ","")&amp;IF(AND(EDATE($D59,Milestones!$AA$31)&lt;=AsOfDate,IF($Q59=0,$W59,IF(AND($S59&lt;&gt;"",EDATE($D59,Milestones!$AA$31)&gt;=$S59),$V59,IF(AND($R59&lt;&gt;"",EDATE($D59,Milestones!$AA$31)&gt;=$R59),$U59,$T59)))=Milestones!$AB$31),TEXT(EDATE($D59,Milestones!$AA$31),"dd/mm/yy")&amp;" "&amp;Milestones!$AB$31&amp;" "&amp;Milestones!$AC$31&amp;";  ","")&amp;IF(AND(EDATE($D59,Milestones!$AA$32)&lt;=AsOfDate,IF($Q59=0,$W59,IF(AND($S59&lt;&gt;"",EDATE($D59,Milestones!$AA$32)&gt;=$S59),$V59,IF(AND($R59&lt;&gt;"",EDATE($D59,Milestones!$AA$32)&gt;=$R59),$U59,$T59)))=Milestones!$AB$32),TEXT(EDATE($D59,Milestones!$AA$32),"dd/mm/yy")&amp;" "&amp;Milestones!$AB$32&amp;" "&amp;Milestones!$AC$32&amp;";  ","")&amp;IF(AND(EDATE($D59,Milestones!$AA$33)&lt;=AsOfDate,IF($Q59=0,$W59,IF(AND($S59&lt;&gt;"",EDATE($D59,Milestones!$AA$33)&gt;=$S59),$V59,IF(AND($R59&lt;&gt;"",EDATE($D59,Milestones!$AA$33)&gt;=$R59),$U59,$T59)))=Milestones!$AB$33),TEXT(EDATE($D59,Milestones!$AA$33),"dd/mm/yy")&amp;" "&amp;Milestones!$AB$33&amp;" "&amp;Milestones!$AC$33&amp;";  ","")&amp;IF(AND(EDATE($D59,Milestones!$AA$34)&lt;=AsOfDate,IF($Q59=0,$W59,IF(AND($S59&lt;&gt;"",EDATE($D59,Milestones!$AA$34)&gt;=$S59),$V59,IF(AND($R59&lt;&gt;"",EDATE($D59,Milestones!$AA$34)&gt;=$R59),$U59,$T59)))=Milestones!$AB$34),TEXT(EDATE($D59,Milestones!$AA$34),"dd/mm/yy")&amp;" "&amp;Milestones!$AB$34&amp;" "&amp;Milestones!$AC$34&amp;";  ","")&amp;IF(AND(EDATE($D59,Milestones!$AA$35)&lt;=AsOfDate,IF($Q59=0,$W59,IF(AND($S59&lt;&gt;"",EDATE($D59,Milestones!$AA$35)&gt;=$S59),$V59,IF(AND($R59&lt;&gt;"",EDATE($D59,Milestones!$AA$35)&gt;=$R59),$U59,$T59)))=Milestones!$AB$35),TEXT(EDATE($D59,Milestones!$AA$35),"dd/mm/yy")&amp;" "&amp;Milestones!$AB$35&amp;" "&amp;Milestones!$AC$35&amp;";  ","")&amp;IF(AND(EDATE($D59,Milestones!$AA$36)&lt;=AsOfDate,IF($Q59=0,$W59,IF(AND($S59&lt;&gt;"",EDATE($D59,Milestones!$AA$36)&gt;=$S59),$V59,IF(AND($R59&lt;&gt;"",EDATE($D59,Milestones!$AA$36)&gt;=$R59),$U59,$T59)))=Milestones!$AB$36),TEXT(EDATE($D59,Milestones!$AA$36),"dd/mm/yy")&amp;" "&amp;Milestones!$AB$36&amp;" "&amp;Milestones!$AC$36&amp;";  ","")&amp;IF(AND(EDATE($D59,Milestones!$AA$37)&lt;=AsOfDate,IF($Q59=0,$W59,IF(AND($S59&lt;&gt;"",EDATE($D59,Milestones!$AA$37)&gt;=$S59),$V59,IF(AND($R59&lt;&gt;"",EDATE($D59,Milestones!$AA$37)&gt;=$R59),$U59,$T59)))=Milestones!$AB$37),TEXT(EDATE($D59,Milestones!$AA$37),"dd/mm/yy")&amp;" "&amp;Milestones!$AB$37&amp;" "&amp;Milestones!$AC$37&amp;";  ","")&amp;IF(AND(EDATE($D59,Milestones!$AA$38)&lt;=AsOfDate,IF($Q59=0,$W59,IF(AND($S59&lt;&gt;"",EDATE($D59,Milestones!$AA$38)&gt;=$S59),$V59,IF(AND($R59&lt;&gt;"",EDATE($D59,Milestones!$AA$38)&gt;=$R59),$U59,$T59)))=Milestones!$AB$38),TEXT(EDATE($D59,Milestones!$AA$38),"dd/mm/yy")&amp;" "&amp;Milestones!$AB$38&amp;" "&amp;Milestones!$AC$38&amp;";  ","")&amp;IF(AND(EDATE($D59,Milestones!$AA$39)&lt;=AsOfDate,IF($Q59=0,$W59,IF(AND($S59&lt;&gt;"",EDATE($D59,Milestones!$AA$39)&gt;=$S59),$V59,IF(AND($R59&lt;&gt;"",EDATE($D59,Milestones!$AA$39)&gt;=$R59),$U59,$T59)))=Milestones!$AB$39),TEXT(EDATE($D59,Milestones!$AA$39),"dd/mm/yy")&amp;" "&amp;Milestones!$AB$39&amp;" "&amp;Milestones!$AC$39&amp;";  ",""))</f>
        <v/>
      </c>
      <c r="I59" s="0" t="str">
        <f aca="false">IF(OR($A59="",$D59=""),"",IF(AND(EDATE($D59,Milestones!$AA$40)&lt;=AsOfDate,IF($Q59=0,$W59,IF(AND($S59&lt;&gt;"",EDATE($D59,Milestones!$AA$40)&gt;=$S59),$V59,IF(AND($R59&lt;&gt;"",EDATE($D59,Milestones!$AA$40)&gt;=$R59),$U59,$T59)))=Milestones!$AB$40),TEXT(EDATE($D59,Milestones!$AA$40),"dd/mm/yy")&amp;" "&amp;Milestones!$AB$40&amp;" "&amp;Milestones!$AC$40&amp;";  ","")&amp;IF(AND(EDATE($D59,Milestones!$AA$41)&lt;=AsOfDate,IF($Q59=0,$W59,IF(AND($S59&lt;&gt;"",EDATE($D59,Milestones!$AA$41)&gt;=$S59),$V59,IF(AND($R59&lt;&gt;"",EDATE($D59,Milestones!$AA$41)&gt;=$R59),$U59,$T59)))=Milestones!$AB$41),TEXT(EDATE($D59,Milestones!$AA$41),"dd/mm/yy")&amp;" "&amp;Milestones!$AB$41&amp;" "&amp;Milestones!$AC$41&amp;";  ","")&amp;IF(AND(EDATE($D59,Milestones!$AA$42)&lt;=AsOfDate,IF($Q59=0,$W59,IF(AND($S59&lt;&gt;"",EDATE($D59,Milestones!$AA$42)&gt;=$S59),$V59,IF(AND($R59&lt;&gt;"",EDATE($D59,Milestones!$AA$42)&gt;=$R59),$U59,$T59)))=Milestones!$AB$42),TEXT(EDATE($D59,Milestones!$AA$42),"dd/mm/yy")&amp;" "&amp;Milestones!$AB$42&amp;" "&amp;Milestones!$AC$42&amp;";  ","")&amp;IF(AND(EDATE($D59,Milestones!$AA$43)&lt;=AsOfDate,IF($Q59=0,$W59,IF(AND($S59&lt;&gt;"",EDATE($D59,Milestones!$AA$43)&gt;=$S59),$V59,IF(AND($R59&lt;&gt;"",EDATE($D59,Milestones!$AA$43)&gt;=$R59),$U59,$T59)))=Milestones!$AB$43),TEXT(EDATE($D59,Milestones!$AA$43),"dd/mm/yy")&amp;" "&amp;Milestones!$AB$43&amp;" "&amp;Milestones!$AC$43&amp;";  ","")&amp;IF(AND(EDATE($D59,Milestones!$AA$44)&lt;=AsOfDate,IF($Q59=0,$W59,IF(AND($S59&lt;&gt;"",EDATE($D59,Milestones!$AA$44)&gt;=$S59),$V59,IF(AND($R59&lt;&gt;"",EDATE($D59,Milestones!$AA$44)&gt;=$R59),$U59,$T59)))=Milestones!$AB$44),TEXT(EDATE($D59,Milestones!$AA$44),"dd/mm/yy")&amp;" "&amp;Milestones!$AB$44&amp;" "&amp;Milestones!$AC$44&amp;";  ","")&amp;IF(AND(EDATE($D59,Milestones!$AA$45)&lt;=AsOfDate,IF($Q59=0,$W59,IF(AND($S59&lt;&gt;"",EDATE($D59,Milestones!$AA$45)&gt;=$S59),$V59,IF(AND($R59&lt;&gt;"",EDATE($D59,Milestones!$AA$45)&gt;=$R59),$U59,$T59)))=Milestones!$AB$45),TEXT(EDATE($D59,Milestones!$AA$45),"dd/mm/yy")&amp;" "&amp;Milestones!$AB$45&amp;" "&amp;Milestones!$AC$45&amp;";  ","")&amp;IF(AND(EDATE($D59,Milestones!$AA$46)&lt;=AsOfDate,IF($Q59=0,$W59,IF(AND($S59&lt;&gt;"",EDATE($D59,Milestones!$AA$46)&gt;=$S59),$V59,IF(AND($R59&lt;&gt;"",EDATE($D59,Milestones!$AA$46)&gt;=$R59),$U59,$T59)))=Milestones!$AB$46),TEXT(EDATE($D59,Milestones!$AA$46),"dd/mm/yy")&amp;" "&amp;Milestones!$AB$46&amp;" "&amp;Milestones!$AC$46&amp;";  ","")&amp;IF(AND(EDATE($D59,Milestones!$AA$47)&lt;=AsOfDate,IF($Q59=0,$W59,IF(AND($S59&lt;&gt;"",EDATE($D59,Milestones!$AA$47)&gt;=$S59),$V59,IF(AND($R59&lt;&gt;"",EDATE($D59,Milestones!$AA$47)&gt;=$R59),$U59,$T59)))=Milestones!$AB$47),TEXT(EDATE($D59,Milestones!$AA$47),"dd/mm/yy")&amp;" "&amp;Milestones!$AB$47&amp;" "&amp;Milestones!$AC$47&amp;";  ","")&amp;IF(AND(EDATE($D59,Milestones!$AA$48)&lt;=AsOfDate,IF($Q59=0,$W59,IF(AND($S59&lt;&gt;"",EDATE($D59,Milestones!$AA$48)&gt;=$S59),$V59,IF(AND($R59&lt;&gt;"",EDATE($D59,Milestones!$AA$48)&gt;=$R59),$U59,$T59)))=Milestones!$AB$48),TEXT(EDATE($D59,Milestones!$AA$48),"dd/mm/yy")&amp;" "&amp;Milestones!$AB$48&amp;" "&amp;Milestones!$AC$48&amp;";  ","")&amp;IF(AND(EDATE($D59,Milestones!$AA$49)&lt;=AsOfDate,IF($Q59=0,$W59,IF(AND($S59&lt;&gt;"",EDATE($D59,Milestones!$AA$49)&gt;=$S59),$V59,IF(AND($R59&lt;&gt;"",EDATE($D59,Milestones!$AA$49)&gt;=$R59),$U59,$T59)))=Milestones!$AB$49),TEXT(EDATE($D59,Milestones!$AA$49),"dd/mm/yy")&amp;" "&amp;Milestones!$AB$49&amp;" "&amp;Milestones!$AC$49&amp;";  ","")&amp;IF(AND(EDATE($D59,Milestones!$AA$50)&lt;=AsOfDate,IF($Q59=0,$W59,IF(AND($S59&lt;&gt;"",EDATE($D59,Milestones!$AA$50)&gt;=$S59),$V59,IF(AND($R59&lt;&gt;"",EDATE($D59,Milestones!$AA$50)&gt;=$R59),$U59,$T59)))=Milestones!$AB$50),TEXT(EDATE($D59,Milestones!$AA$50),"dd/mm/yy")&amp;" "&amp;Milestones!$AB$50&amp;" "&amp;Milestones!$AC$50&amp;";  ","")&amp;IF(AND(EDATE($D59,Milestones!$AA$51)&lt;=AsOfDate,IF($Q59=0,$W59,IF(AND($S59&lt;&gt;"",EDATE($D59,Milestones!$AA$51)&gt;=$S59),$V59,IF(AND($R59&lt;&gt;"",EDATE($D59,Milestones!$AA$51)&gt;=$R59),$U59,$T59)))=Milestones!$AB$51),TEXT(EDATE($D59,Milestones!$AA$51),"dd/mm/yy")&amp;" "&amp;Milestones!$AB$51&amp;" "&amp;Milestones!$AC$51&amp;";  ","")&amp;IF(AND(EDATE($D59,Milestones!$AA$52)&lt;=AsOfDate,IF($Q59=0,$W59,IF(AND($S59&lt;&gt;"",EDATE($D59,Milestones!$AA$52)&gt;=$S59),$V59,IF(AND($R59&lt;&gt;"",EDATE($D59,Milestones!$AA$52)&gt;=$R59),$U59,$T59)))=Milestones!$AB$52),TEXT(EDATE($D59,Milestones!$AA$52),"dd/mm/yy")&amp;" "&amp;Milestones!$AB$52&amp;" "&amp;Milestones!$AC$52&amp;";  ","")&amp;IF(AND(EDATE($D59,Milestones!$AA$53)&lt;=AsOfDate,IF($Q59=0,$W59,IF(AND($S59&lt;&gt;"",EDATE($D59,Milestones!$AA$53)&gt;=$S59),$V59,IF(AND($R59&lt;&gt;"",EDATE($D59,Milestones!$AA$53)&gt;=$R59),$U59,$T59)))=Milestones!$AB$53),TEXT(EDATE($D59,Milestones!$AA$53),"dd/mm/yy")&amp;" "&amp;Milestones!$AB$53&amp;" "&amp;Milestones!$AC$53&amp;";  ","")&amp;IF(AND(EDATE($D59,Milestones!$AA$54)&lt;=AsOfDate,IF($Q59=0,$W59,IF(AND($S59&lt;&gt;"",EDATE($D59,Milestones!$AA$54)&gt;=$S59),$V59,IF(AND($R59&lt;&gt;"",EDATE($D59,Milestones!$AA$54)&gt;=$R59),$U59,$T59)))=Milestones!$AB$54),TEXT(EDATE($D59,Milestones!$AA$54),"dd/mm/yy")&amp;" "&amp;Milestones!$AB$54&amp;" "&amp;Milestones!$AC$54&amp;";  ","")&amp;IF(AND(EDATE($D59,Milestones!$AA$55)&lt;=AsOfDate,IF($Q59=0,$W59,IF(AND($S59&lt;&gt;"",EDATE($D59,Milestones!$AA$55)&gt;=$S59),$V59,IF(AND($R59&lt;&gt;"",EDATE($D59,Milestones!$AA$55)&gt;=$R59),$U59,$T59)))=Milestones!$AB$55),TEXT(EDATE($D59,Milestones!$AA$55),"dd/mm/yy")&amp;" "&amp;Milestones!$AB$55&amp;" "&amp;Milestones!$AC$55&amp;";  ","")&amp;IF(AND(EDATE($D59,Milestones!$AA$56)&lt;=AsOfDate,IF($Q59=0,$W59,IF(AND($S59&lt;&gt;"",EDATE($D59,Milestones!$AA$56)&gt;=$S59),$V59,IF(AND($R59&lt;&gt;"",EDATE($D59,Milestones!$AA$56)&gt;=$R59),$U59,$T59)))=Milestones!$AB$56),TEXT(EDATE($D59,Milestones!$AA$56),"dd/mm/yy")&amp;" "&amp;Milestones!$AB$56&amp;" "&amp;Milestones!$AC$56&amp;";  ","")&amp;IF(AND(EDATE($D59,Milestones!$AA$57)&lt;=AsOfDate,IF($Q59=0,$W59,IF(AND($S59&lt;&gt;"",EDATE($D59,Milestones!$AA$57)&gt;=$S59),$V59,IF(AND($R59&lt;&gt;"",EDATE($D59,Milestones!$AA$57)&gt;=$R59),$U59,$T59)))=Milestones!$AB$57),TEXT(EDATE($D59,Milestones!$AA$57),"dd/mm/yy")&amp;" "&amp;Milestones!$AB$57&amp;" "&amp;Milestones!$AC$57&amp;";  ","")&amp;IF(AND(EDATE($D59,Milestones!$AA$58)&lt;=AsOfDate,IF($Q59=0,$W59,IF(AND($S59&lt;&gt;"",EDATE($D59,Milestones!$AA$58)&gt;=$S59),$V59,IF(AND($R59&lt;&gt;"",EDATE($D59,Milestones!$AA$58)&gt;=$R59),$U59,$T59)))=Milestones!$AB$58),TEXT(EDATE($D59,Milestones!$AA$58),"dd/mm/yy")&amp;" "&amp;Milestones!$AB$58&amp;" "&amp;Milestones!$AC$58&amp;";  ","")&amp;IF(AND(EDATE($D59,Milestones!$AA$59)&lt;=AsOfDate,IF($Q59=0,$W59,IF(AND($S59&lt;&gt;"",EDATE($D59,Milestones!$AA$59)&gt;=$S59),$V59,IF(AND($R59&lt;&gt;"",EDATE($D59,Milestones!$AA$59)&gt;=$R59),$U59,$T59)))=Milestones!$AB$59),TEXT(EDATE($D59,Milestones!$AA$59),"dd/mm/yy")&amp;" "&amp;Milestones!$AB$59&amp;" "&amp;Milestones!$AC$59&amp;";  ",""))</f>
        <v/>
      </c>
      <c r="J59" s="0" t="str">
        <f aca="false">IF(OR($A59="",$D59=""),"",IF(AND(EDATE($D59,Milestones!$AA$60)&lt;=AsOfDate,IF($Q59=0,$W59,IF(AND($S59&lt;&gt;"",EDATE($D59,Milestones!$AA$60)&gt;=$S59),$V59,IF(AND($R59&lt;&gt;"",EDATE($D59,Milestones!$AA$60)&gt;=$R59),$U59,$T59)))=Milestones!$AB$60),TEXT(EDATE($D59,Milestones!$AA$60),"dd/mm/yy")&amp;" "&amp;Milestones!$AB$60&amp;" "&amp;Milestones!$AC$60&amp;";  ","")&amp;IF(AND(EDATE($D59,Milestones!$AA$61)&lt;=AsOfDate,IF($Q59=0,$W59,IF(AND($S59&lt;&gt;"",EDATE($D59,Milestones!$AA$61)&gt;=$S59),$V59,IF(AND($R59&lt;&gt;"",EDATE($D59,Milestones!$AA$61)&gt;=$R59),$U59,$T59)))=Milestones!$AB$61),TEXT(EDATE($D59,Milestones!$AA$61),"dd/mm/yy")&amp;" "&amp;Milestones!$AB$61&amp;" "&amp;Milestones!$AC$61&amp;";  ","")&amp;IF(AND(EDATE($D59,Milestones!$AA$62)&lt;=AsOfDate,IF($Q59=0,$W59,IF(AND($S59&lt;&gt;"",EDATE($D59,Milestones!$AA$62)&gt;=$S59),$V59,IF(AND($R59&lt;&gt;"",EDATE($D59,Milestones!$AA$62)&gt;=$R59),$U59,$T59)))=Milestones!$AB$62),TEXT(EDATE($D59,Milestones!$AA$62),"dd/mm/yy")&amp;" "&amp;Milestones!$AB$62&amp;" "&amp;Milestones!$AC$62&amp;";  ","")&amp;IF(AND(EDATE($D59,Milestones!$AA$63)&lt;=AsOfDate,IF($Q59=0,$W59,IF(AND($S59&lt;&gt;"",EDATE($D59,Milestones!$AA$63)&gt;=$S59),$V59,IF(AND($R59&lt;&gt;"",EDATE($D59,Milestones!$AA$63)&gt;=$R59),$U59,$T59)))=Milestones!$AB$63),TEXT(EDATE($D59,Milestones!$AA$63),"dd/mm/yy")&amp;" "&amp;Milestones!$AB$63&amp;" "&amp;Milestones!$AC$63&amp;";  ","")&amp;IF(AND(EDATE($D59,Milestones!$AA$64)&lt;=AsOfDate,IF($Q59=0,$W59,IF(AND($S59&lt;&gt;"",EDATE($D59,Milestones!$AA$64)&gt;=$S59),$V59,IF(AND($R59&lt;&gt;"",EDATE($D59,Milestones!$AA$64)&gt;=$R59),$U59,$T59)))=Milestones!$AB$64),TEXT(EDATE($D59,Milestones!$AA$64),"dd/mm/yy")&amp;" "&amp;Milestones!$AB$64&amp;" "&amp;Milestones!$AC$64&amp;";  ","")&amp;IF(AND(EDATE($D59,Milestones!$AA$65)&lt;=AsOfDate,IF($Q59=0,$W59,IF(AND($S59&lt;&gt;"",EDATE($D59,Milestones!$AA$65)&gt;=$S59),$V59,IF(AND($R59&lt;&gt;"",EDATE($D59,Milestones!$AA$65)&gt;=$R59),$U59,$T59)))=Milestones!$AB$65),TEXT(EDATE($D59,Milestones!$AA$65),"dd/mm/yy")&amp;" "&amp;Milestones!$AB$65&amp;" "&amp;Milestones!$AC$65&amp;";  ","")&amp;IF(AND(EDATE($D59,Milestones!$AA$66)&lt;=AsOfDate,IF($Q59=0,$W59,IF(AND($S59&lt;&gt;"",EDATE($D59,Milestones!$AA$66)&gt;=$S59),$V59,IF(AND($R59&lt;&gt;"",EDATE($D59,Milestones!$AA$66)&gt;=$R59),$U59,$T59)))=Milestones!$AB$66),TEXT(EDATE($D59,Milestones!$AA$66),"dd/mm/yy")&amp;" "&amp;Milestones!$AB$66&amp;" "&amp;Milestones!$AC$66&amp;";  ","")&amp;IF(AND(EDATE($D59,Milestones!$AA$67)&lt;=AsOfDate,IF($Q59=0,$W59,IF(AND($S59&lt;&gt;"",EDATE($D59,Milestones!$AA$67)&gt;=$S59),$V59,IF(AND($R59&lt;&gt;"",EDATE($D59,Milestones!$AA$67)&gt;=$R59),$U59,$T59)))=Milestones!$AB$67),TEXT(EDATE($D59,Milestones!$AA$67),"dd/mm/yy")&amp;" "&amp;Milestones!$AB$67&amp;" "&amp;Milestones!$AC$67&amp;";  ","")&amp;IF(AND(EDATE($D59,Milestones!$AA$68)&lt;=AsOfDate,IF($Q59=0,$W59,IF(AND($S59&lt;&gt;"",EDATE($D59,Milestones!$AA$68)&gt;=$S59),$V59,IF(AND($R59&lt;&gt;"",EDATE($D59,Milestones!$AA$68)&gt;=$R59),$U59,$T59)))=Milestones!$AB$68),TEXT(EDATE($D59,Milestones!$AA$68),"dd/mm/yy")&amp;" "&amp;Milestones!$AB$68&amp;" "&amp;Milestones!$AC$68&amp;";  ","")&amp;IF(AND(EDATE($D59,Milestones!$AA$69)&lt;=AsOfDate,IF($Q59=0,$W59,IF(AND($S59&lt;&gt;"",EDATE($D59,Milestones!$AA$69)&gt;=$S59),$V59,IF(AND($R59&lt;&gt;"",EDATE($D59,Milestones!$AA$69)&gt;=$R59),$U59,$T59)))=Milestones!$AB$69),TEXT(EDATE($D59,Milestones!$AA$69),"dd/mm/yy")&amp;" "&amp;Milestones!$AB$69&amp;" "&amp;Milestones!$AC$69&amp;";  ","")&amp;IF(AND(EDATE($D59,Milestones!$AA$70)&lt;=AsOfDate,IF($Q59=0,$W59,IF(AND($S59&lt;&gt;"",EDATE($D59,Milestones!$AA$70)&gt;=$S59),$V59,IF(AND($R59&lt;&gt;"",EDATE($D59,Milestones!$AA$70)&gt;=$R59),$U59,$T59)))=Milestones!$AB$70),TEXT(EDATE($D59,Milestones!$AA$70),"dd/mm/yy")&amp;" "&amp;Milestones!$AB$70&amp;" "&amp;Milestones!$AC$70&amp;";  ","")&amp;IF(AND(EDATE($D59,Milestones!$AA$71)&lt;=AsOfDate,IF($Q59=0,$W59,IF(AND($S59&lt;&gt;"",EDATE($D59,Milestones!$AA$71)&gt;=$S59),$V59,IF(AND($R59&lt;&gt;"",EDATE($D59,Milestones!$AA$71)&gt;=$R59),$U59,$T59)))=Milestones!$AB$71),TEXT(EDATE($D59,Milestones!$AA$71),"dd/mm/yy")&amp;" "&amp;Milestones!$AB$71&amp;" "&amp;Milestones!$AC$71&amp;";  ","")&amp;IF(AND(EDATE($D59,Milestones!$AA$72)&lt;=AsOfDate,IF($Q59=0,$W59,IF(AND($S59&lt;&gt;"",EDATE($D59,Milestones!$AA$72)&gt;=$S59),$V59,IF(AND($R59&lt;&gt;"",EDATE($D59,Milestones!$AA$72)&gt;=$R59),$U59,$T59)))=Milestones!$AB$72),TEXT(EDATE($D59,Milestones!$AA$72),"dd/mm/yy")&amp;" "&amp;Milestones!$AB$72&amp;" "&amp;Milestones!$AC$72&amp;";  ","")&amp;IF(AND(EDATE($D59,Milestones!$AA$73)&lt;=AsOfDate,IF($Q59=0,$W59,IF(AND($S59&lt;&gt;"",EDATE($D59,Milestones!$AA$73)&gt;=$S59),$V59,IF(AND($R59&lt;&gt;"",EDATE($D59,Milestones!$AA$73)&gt;=$R59),$U59,$T59)))=Milestones!$AB$73),TEXT(EDATE($D59,Milestones!$AA$73),"dd/mm/yy")&amp;" "&amp;Milestones!$AB$73&amp;" "&amp;Milestones!$AC$73&amp;";  ","")&amp;IF(AND(EDATE($D59,Milestones!$AA$74)&lt;=AsOfDate,IF($Q59=0,$W59,IF(AND($S59&lt;&gt;"",EDATE($D59,Milestones!$AA$74)&gt;=$S59),$V59,IF(AND($R59&lt;&gt;"",EDATE($D59,Milestones!$AA$74)&gt;=$R59),$U59,$T59)))=Milestones!$AB$74),TEXT(EDATE($D59,Milestones!$AA$74),"dd/mm/yy")&amp;" "&amp;Milestones!$AB$74&amp;" "&amp;Milestones!$AC$74&amp;";  ","")&amp;IF(AND(EDATE($D59,Milestones!$AA$75)&lt;=AsOfDate,IF($Q59=0,$W59,IF(AND($S59&lt;&gt;"",EDATE($D59,Milestones!$AA$75)&gt;=$S59),$V59,IF(AND($R59&lt;&gt;"",EDATE($D59,Milestones!$AA$75)&gt;=$R59),$U59,$T59)))=Milestones!$AB$75),TEXT(EDATE($D59,Milestones!$AA$75),"dd/mm/yy")&amp;" "&amp;Milestones!$AB$75&amp;" "&amp;Milestones!$AC$75&amp;";  ","")&amp;IF(AND(EDATE($D59,Milestones!$AA$76)&lt;=AsOfDate,IF($Q59=0,$W59,IF(AND($S59&lt;&gt;"",EDATE($D59,Milestones!$AA$76)&gt;=$S59),$V59,IF(AND($R59&lt;&gt;"",EDATE($D59,Milestones!$AA$76)&gt;=$R59),$U59,$T59)))=Milestones!$AB$76),TEXT(EDATE($D59,Milestones!$AA$76),"dd/mm/yy")&amp;" "&amp;Milestones!$AB$76&amp;" "&amp;Milestones!$AC$76&amp;";  ","")&amp;IF(AND(EDATE($D59,Milestones!$AA$77)&lt;=AsOfDate,IF($Q59=0,$W59,IF(AND($S59&lt;&gt;"",EDATE($D59,Milestones!$AA$77)&gt;=$S59),$V59,IF(AND($R59&lt;&gt;"",EDATE($D59,Milestones!$AA$77)&gt;=$R59),$U59,$T59)))=Milestones!$AB$77),TEXT(EDATE($D59,Milestones!$AA$77),"dd/mm/yy")&amp;" "&amp;Milestones!$AB$77&amp;" "&amp;Milestones!$AC$77&amp;";  ","")&amp;IF(AND(EDATE($D59,Milestones!$AA$78)&lt;=AsOfDate,IF($Q59=0,$W59,IF(AND($S59&lt;&gt;"",EDATE($D59,Milestones!$AA$78)&gt;=$S59),$V59,IF(AND($R59&lt;&gt;"",EDATE($D59,Milestones!$AA$78)&gt;=$R59),$U59,$T59)))=Milestones!$AB$78),TEXT(EDATE($D59,Milestones!$AA$78),"dd/mm/yy")&amp;" "&amp;Milestones!$AB$78&amp;" "&amp;Milestones!$AC$78&amp;";  ","")&amp;IF(AND(EDATE($D59,Milestones!$AA$79)&lt;=AsOfDate,IF($Q59=0,$W59,IF(AND($S59&lt;&gt;"",EDATE($D59,Milestones!$AA$79)&gt;=$S59),$V59,IF(AND($R59&lt;&gt;"",EDATE($D59,Milestones!$AA$79)&gt;=$R59),$U59,$T59)))=Milestones!$AB$79),TEXT(EDATE($D59,Milestones!$AA$79),"dd/mm/yy")&amp;" "&amp;Milestones!$AB$79&amp;" "&amp;Milestones!$AC$79&amp;";  ",""))</f>
        <v/>
      </c>
      <c r="K59" s="0" t="str">
        <f aca="false">IF(OR($A59="",$D59=""),"",IF(AND(EDATE($D59,Milestones!$AA$80)&lt;=AsOfDate,IF($Q59=0,$W59,IF(AND($S59&lt;&gt;"",EDATE($D59,Milestones!$AA$80)&gt;=$S59),$V59,IF(AND($R59&lt;&gt;"",EDATE($D59,Milestones!$AA$80)&gt;=$R59),$U59,$T59)))=Milestones!$AB$80),TEXT(EDATE($D59,Milestones!$AA$80),"dd/mm/yy")&amp;" "&amp;Milestones!$AB$80&amp;" "&amp;Milestones!$AC$80&amp;";  ","")&amp;IF(AND(EDATE($D59,Milestones!$AA$81)&lt;=AsOfDate,IF($Q59=0,$W59,IF(AND($S59&lt;&gt;"",EDATE($D59,Milestones!$AA$81)&gt;=$S59),$V59,IF(AND($R59&lt;&gt;"",EDATE($D59,Milestones!$AA$81)&gt;=$R59),$U59,$T59)))=Milestones!$AB$81),TEXT(EDATE($D59,Milestones!$AA$81),"dd/mm/yy")&amp;" "&amp;Milestones!$AB$81&amp;" "&amp;Milestones!$AC$81&amp;";  ","")&amp;IF(AND(EDATE($D59,Milestones!$AA$82)&lt;=AsOfDate,IF($Q59=0,$W59,IF(AND($S59&lt;&gt;"",EDATE($D59,Milestones!$AA$82)&gt;=$S59),$V59,IF(AND($R59&lt;&gt;"",EDATE($D59,Milestones!$AA$82)&gt;=$R59),$U59,$T59)))=Milestones!$AB$82),TEXT(EDATE($D59,Milestones!$AA$82),"dd/mm/yy")&amp;" "&amp;Milestones!$AB$82&amp;" "&amp;Milestones!$AC$82&amp;";  ","")&amp;IF(AND(EDATE($D59,Milestones!$AA$83)&lt;=AsOfDate,IF($Q59=0,$W59,IF(AND($S59&lt;&gt;"",EDATE($D59,Milestones!$AA$83)&gt;=$S59),$V59,IF(AND($R59&lt;&gt;"",EDATE($D59,Milestones!$AA$83)&gt;=$R59),$U59,$T59)))=Milestones!$AB$83),TEXT(EDATE($D59,Milestones!$AA$83),"dd/mm/yy")&amp;" "&amp;Milestones!$AB$83&amp;" "&amp;Milestones!$AC$83&amp;";  ","")&amp;IF(AND(EDATE($D59,Milestones!$AA$84)&lt;=AsOfDate,IF($Q59=0,$W59,IF(AND($S59&lt;&gt;"",EDATE($D59,Milestones!$AA$84)&gt;=$S59),$V59,IF(AND($R59&lt;&gt;"",EDATE($D59,Milestones!$AA$84)&gt;=$R59),$U59,$T59)))=Milestones!$AB$84),TEXT(EDATE($D59,Milestones!$AA$84),"dd/mm/yy")&amp;" "&amp;Milestones!$AB$84&amp;" "&amp;Milestones!$AC$84&amp;";  ","")&amp;IF(AND(EDATE($D59,Milestones!$AA$85)&lt;=AsOfDate,IF($Q59=0,$W59,IF(AND($S59&lt;&gt;"",EDATE($D59,Milestones!$AA$85)&gt;=$S59),$V59,IF(AND($R59&lt;&gt;"",EDATE($D59,Milestones!$AA$85)&gt;=$R59),$U59,$T59)))=Milestones!$AB$85),TEXT(EDATE($D59,Milestones!$AA$85),"dd/mm/yy")&amp;" "&amp;Milestones!$AB$85&amp;" "&amp;Milestones!$AC$85&amp;";  ","")&amp;IF(AND(EDATE($D59,Milestones!$AA$86)&lt;=AsOfDate,IF($Q59=0,$W59,IF(AND($S59&lt;&gt;"",EDATE($D59,Milestones!$AA$86)&gt;=$S59),$V59,IF(AND($R59&lt;&gt;"",EDATE($D59,Milestones!$AA$86)&gt;=$R59),$U59,$T59)))=Milestones!$AB$86),TEXT(EDATE($D59,Milestones!$AA$86),"dd/mm/yy")&amp;" "&amp;Milestones!$AB$86&amp;" "&amp;Milestones!$AC$86&amp;";  ","")&amp;IF(AND(EDATE($D59,Milestones!$AA$87)&lt;=AsOfDate,IF($Q59=0,$W59,IF(AND($S59&lt;&gt;"",EDATE($D59,Milestones!$AA$87)&gt;=$S59),$V59,IF(AND($R59&lt;&gt;"",EDATE($D59,Milestones!$AA$87)&gt;=$R59),$U59,$T59)))=Milestones!$AB$87),TEXT(EDATE($D59,Milestones!$AA$87),"dd/mm/yy")&amp;" "&amp;Milestones!$AB$87&amp;" "&amp;Milestones!$AC$87&amp;";  ","")&amp;IF(AND(EDATE($D59,Milestones!$AA$88)&lt;=AsOfDate,IF($Q59=0,$W59,IF(AND($S59&lt;&gt;"",EDATE($D59,Milestones!$AA$88)&gt;=$S59),$V59,IF(AND($R59&lt;&gt;"",EDATE($D59,Milestones!$AA$88)&gt;=$R59),$U59,$T59)))=Milestones!$AB$88),TEXT(EDATE($D59,Milestones!$AA$88),"dd/mm/yy")&amp;" "&amp;Milestones!$AB$88&amp;" "&amp;Milestones!$AC$88&amp;";  ","")&amp;IF(AND(EDATE($D59,Milestones!$AA$89)&lt;=AsOfDate,IF($Q59=0,$W59,IF(AND($S59&lt;&gt;"",EDATE($D59,Milestones!$AA$89)&gt;=$S59),$V59,IF(AND($R59&lt;&gt;"",EDATE($D59,Milestones!$AA$89)&gt;=$R59),$U59,$T59)))=Milestones!$AB$89),TEXT(EDATE($D59,Milestones!$AA$89),"dd/mm/yy")&amp;" "&amp;Milestones!$AB$89&amp;" "&amp;Milestones!$AC$89&amp;";  ","")&amp;IF(AND(EDATE($D59,Milestones!$AA$90)&lt;=AsOfDate,IF($Q59=0,$W59,IF(AND($S59&lt;&gt;"",EDATE($D59,Milestones!$AA$90)&gt;=$S59),$V59,IF(AND($R59&lt;&gt;"",EDATE($D59,Milestones!$AA$90)&gt;=$R59),$U59,$T59)))=Milestones!$AB$90),TEXT(EDATE($D59,Milestones!$AA$90),"dd/mm/yy")&amp;" "&amp;Milestones!$AB$90&amp;" "&amp;Milestones!$AC$90&amp;";  ","")&amp;IF(AND(EDATE($D59,Milestones!$AA$91)&lt;=AsOfDate,IF($Q59=0,$W59,IF(AND($S59&lt;&gt;"",EDATE($D59,Milestones!$AA$91)&gt;=$S59),$V59,IF(AND($R59&lt;&gt;"",EDATE($D59,Milestones!$AA$91)&gt;=$R59),$U59,$T59)))=Milestones!$AB$91),TEXT(EDATE($D59,Milestones!$AA$91),"dd/mm/yy")&amp;" "&amp;Milestones!$AB$91&amp;" "&amp;Milestones!$AC$91&amp;";  ","")&amp;IF(AND(EDATE($D59,Milestones!$AA$92)&lt;=AsOfDate,IF($Q59=0,$W59,IF(AND($S59&lt;&gt;"",EDATE($D59,Milestones!$AA$92)&gt;=$S59),$V59,IF(AND($R59&lt;&gt;"",EDATE($D59,Milestones!$AA$92)&gt;=$R59),$U59,$T59)))=Milestones!$AB$92),TEXT(EDATE($D59,Milestones!$AA$92),"dd/mm/yy")&amp;" "&amp;Milestones!$AB$92&amp;" "&amp;Milestones!$AC$92&amp;";  ","")&amp;IF(AND(EDATE($D59,Milestones!$AA$93)&lt;=AsOfDate,IF($Q59=0,$W59,IF(AND($S59&lt;&gt;"",EDATE($D59,Milestones!$AA$93)&gt;=$S59),$V59,IF(AND($R59&lt;&gt;"",EDATE($D59,Milestones!$AA$93)&gt;=$R59),$U59,$T59)))=Milestones!$AB$93),TEXT(EDATE($D59,Milestones!$AA$93),"dd/mm/yy")&amp;" "&amp;Milestones!$AB$93&amp;" "&amp;Milestones!$AC$93&amp;";  ","")&amp;IF(AND(EDATE($D59,Milestones!$AA$94)&lt;=AsOfDate,IF($Q59=0,$W59,IF(AND($S59&lt;&gt;"",EDATE($D59,Milestones!$AA$94)&gt;=$S59),$V59,IF(AND($R59&lt;&gt;"",EDATE($D59,Milestones!$AA$94)&gt;=$R59),$U59,$T59)))=Milestones!$AB$94),TEXT(EDATE($D59,Milestones!$AA$94),"dd/mm/yy")&amp;" "&amp;Milestones!$AB$94&amp;" "&amp;Milestones!$AC$94&amp;";  ","")&amp;IF(AND(EDATE($D59,Milestones!$AA$95)&lt;=AsOfDate,IF($Q59=0,$W59,IF(AND($S59&lt;&gt;"",EDATE($D59,Milestones!$AA$95)&gt;=$S59),$V59,IF(AND($R59&lt;&gt;"",EDATE($D59,Milestones!$AA$95)&gt;=$R59),$U59,$T59)))=Milestones!$AB$95),TEXT(EDATE($D59,Milestones!$AA$95),"dd/mm/yy")&amp;" "&amp;Milestones!$AB$95&amp;" "&amp;Milestones!$AC$95&amp;";  ","")&amp;IF(AND(EDATE($D59,Milestones!$AA$96)&lt;=AsOfDate,IF($Q59=0,$W59,IF(AND($S59&lt;&gt;"",EDATE($D59,Milestones!$AA$96)&gt;=$S59),$V59,IF(AND($R59&lt;&gt;"",EDATE($D59,Milestones!$AA$96)&gt;=$R59),$U59,$T59)))=Milestones!$AB$96),TEXT(EDATE($D59,Milestones!$AA$96),"dd/mm/yy")&amp;" "&amp;Milestones!$AB$96&amp;" "&amp;Milestones!$AC$96&amp;";  ","")&amp;IF(AND(EDATE($D59,Milestones!$AA$97)&lt;=AsOfDate,IF($Q59=0,$W59,IF(AND($S59&lt;&gt;"",EDATE($D59,Milestones!$AA$97)&gt;=$S59),$V59,IF(AND($R59&lt;&gt;"",EDATE($D59,Milestones!$AA$97)&gt;=$R59),$U59,$T59)))=Milestones!$AB$97),TEXT(EDATE($D59,Milestones!$AA$97),"dd/mm/yy")&amp;" "&amp;Milestones!$AB$97&amp;" "&amp;Milestones!$AC$97&amp;";  ","")&amp;IF(AND(EDATE($D59,Milestones!$AA$98)&lt;=AsOfDate,IF($Q59=0,$W59,IF(AND($S59&lt;&gt;"",EDATE($D59,Milestones!$AA$98)&gt;=$S59),$V59,IF(AND($R59&lt;&gt;"",EDATE($D59,Milestones!$AA$98)&gt;=$R59),$U59,$T59)))=Milestones!$AB$98),TEXT(EDATE($D59,Milestones!$AA$98),"dd/mm/yy")&amp;" "&amp;Milestones!$AB$98&amp;" "&amp;Milestones!$AC$98&amp;";  ","")&amp;IF(AND(EDATE($D59,Milestones!$AA$99)&lt;=AsOfDate,IF($Q59=0,$W59,IF(AND($S59&lt;&gt;"",EDATE($D59,Milestones!$AA$99)&gt;=$S59),$V59,IF(AND($R59&lt;&gt;"",EDATE($D59,Milestones!$AA$99)&gt;=$R59),$U59,$T59)))=Milestones!$AB$99),TEXT(EDATE($D59,Milestones!$AA$99),"dd/mm/yy")&amp;" "&amp;Milestones!$AB$99&amp;" "&amp;Milestones!$AC$99&amp;";  ",""))</f>
        <v/>
      </c>
      <c r="L59" s="0" t="str">
        <f aca="false">IF(OR($A59="",$D59=""),"",IF(AND(EDATE($D59,Milestones!$AA$100)&lt;=AsOfDate,IF($Q59=0,$W59,IF(AND($S59&lt;&gt;"",EDATE($D59,Milestones!$AA$100)&gt;=$S59),$V59,IF(AND($R59&lt;&gt;"",EDATE($D59,Milestones!$AA$100)&gt;=$R59),$U59,$T59)))=Milestones!$AB$100),TEXT(EDATE($D59,Milestones!$AA$100),"dd/mm/yy")&amp;" "&amp;Milestones!$AB$100&amp;" "&amp;Milestones!$AC$100&amp;";  ","")&amp;IF(AND(EDATE($D59,Milestones!$AA$101)&lt;=AsOfDate,IF($Q59=0,$W59,IF(AND($S59&lt;&gt;"",EDATE($D59,Milestones!$AA$101)&gt;=$S59),$V59,IF(AND($R59&lt;&gt;"",EDATE($D59,Milestones!$AA$101)&gt;=$R59),$U59,$T59)))=Milestones!$AB$101),TEXT(EDATE($D59,Milestones!$AA$101),"dd/mm/yy")&amp;" "&amp;Milestones!$AB$101&amp;" "&amp;Milestones!$AC$101&amp;";  ","")&amp;IF(AND(EDATE($D59,Milestones!$AA$102)&lt;=AsOfDate,IF($Q59=0,$W59,IF(AND($S59&lt;&gt;"",EDATE($D59,Milestones!$AA$102)&gt;=$S59),$V59,IF(AND($R59&lt;&gt;"",EDATE($D59,Milestones!$AA$102)&gt;=$R59),$U59,$T59)))=Milestones!$AB$102),TEXT(EDATE($D59,Milestones!$AA$102),"dd/mm/yy")&amp;" "&amp;Milestones!$AB$102&amp;" "&amp;Milestones!$AC$102&amp;";  ","")&amp;IF(AND(EDATE($D59,Milestones!$AA$103)&lt;=AsOfDate,IF($Q59=0,$W59,IF(AND($S59&lt;&gt;"",EDATE($D59,Milestones!$AA$103)&gt;=$S59),$V59,IF(AND($R59&lt;&gt;"",EDATE($D59,Milestones!$AA$103)&gt;=$R59),$U59,$T59)))=Milestones!$AB$103),TEXT(EDATE($D59,Milestones!$AA$103),"dd/mm/yy")&amp;" "&amp;Milestones!$AB$103&amp;" "&amp;Milestones!$AC$103&amp;";  ","")&amp;IF(AND(EDATE($D59,Milestones!$AA$104)&lt;=AsOfDate,IF($Q59=0,$W59,IF(AND($S59&lt;&gt;"",EDATE($D59,Milestones!$AA$104)&gt;=$S59),$V59,IF(AND($R59&lt;&gt;"",EDATE($D59,Milestones!$AA$104)&gt;=$R59),$U59,$T59)))=Milestones!$AB$104),TEXT(EDATE($D59,Milestones!$AA$104),"dd/mm/yy")&amp;" "&amp;Milestones!$AB$104&amp;" "&amp;Milestones!$AC$104&amp;";  ","")&amp;IF(AND(EDATE($D59,Milestones!$AA$105)&lt;=AsOfDate,IF($Q59=0,$W59,IF(AND($S59&lt;&gt;"",EDATE($D59,Milestones!$AA$105)&gt;=$S59),$V59,IF(AND($R59&lt;&gt;"",EDATE($D59,Milestones!$AA$105)&gt;=$R59),$U59,$T59)))=Milestones!$AB$105),TEXT(EDATE($D59,Milestones!$AA$105),"dd/mm/yy")&amp;" "&amp;Milestones!$AB$105&amp;" "&amp;Milestones!$AC$105&amp;";  ","")&amp;IF(AND(EDATE($D59,Milestones!$AA$106)&lt;=AsOfDate,IF($Q59=0,$W59,IF(AND($S59&lt;&gt;"",EDATE($D59,Milestones!$AA$106)&gt;=$S59),$V59,IF(AND($R59&lt;&gt;"",EDATE($D59,Milestones!$AA$106)&gt;=$R59),$U59,$T59)))=Milestones!$AB$106),TEXT(EDATE($D59,Milestones!$AA$106),"dd/mm/yy")&amp;" "&amp;Milestones!$AB$106&amp;" "&amp;Milestones!$AC$106&amp;";  ","")&amp;IF(AND(EDATE($D59,Milestones!$AA$107)&lt;=AsOfDate,IF($Q59=0,$W59,IF(AND($S59&lt;&gt;"",EDATE($D59,Milestones!$AA$107)&gt;=$S59),$V59,IF(AND($R59&lt;&gt;"",EDATE($D59,Milestones!$AA$107)&gt;=$R59),$U59,$T59)))=Milestones!$AB$107),TEXT(EDATE($D59,Milestones!$AA$107),"dd/mm/yy")&amp;" "&amp;Milestones!$AB$107&amp;" "&amp;Milestones!$AC$107&amp;";  ","")&amp;IF(AND(EDATE($D59,Milestones!$AA$108)&lt;=AsOfDate,IF($Q59=0,$W59,IF(AND($S59&lt;&gt;"",EDATE($D59,Milestones!$AA$108)&gt;=$S59),$V59,IF(AND($R59&lt;&gt;"",EDATE($D59,Milestones!$AA$108)&gt;=$R59),$U59,$T59)))=Milestones!$AB$108),TEXT(EDATE($D59,Milestones!$AA$108),"dd/mm/yy")&amp;" "&amp;Milestones!$AB$108&amp;" "&amp;Milestones!$AC$108&amp;";  ","")&amp;IF(AND(EDATE($D59,Milestones!$AA$109)&lt;=AsOfDate,IF($Q59=0,$W59,IF(AND($S59&lt;&gt;"",EDATE($D59,Milestones!$AA$109)&gt;=$S59),$V59,IF(AND($R59&lt;&gt;"",EDATE($D59,Milestones!$AA$109)&gt;=$R59),$U59,$T59)))=Milestones!$AB$109),TEXT(EDATE($D59,Milestones!$AA$109),"dd/mm/yy")&amp;" "&amp;Milestones!$AB$109&amp;" "&amp;Milestones!$AC$109&amp;";  ","")&amp;IF(AND(EDATE($D59,Milestones!$AA$110)&lt;=AsOfDate,IF($Q59=0,$W59,IF(AND($S59&lt;&gt;"",EDATE($D59,Milestones!$AA$110)&gt;=$S59),$V59,IF(AND($R59&lt;&gt;"",EDATE($D59,Milestones!$AA$110)&gt;=$R59),$U59,$T59)))=Milestones!$AB$110),TEXT(EDATE($D59,Milestones!$AA$110),"dd/mm/yy")&amp;" "&amp;Milestones!$AB$110&amp;" "&amp;Milestones!$AC$110&amp;";  ","")&amp;IF(AND(EDATE($D59,Milestones!$AA$111)&lt;=AsOfDate,IF($Q59=0,$W59,IF(AND($S59&lt;&gt;"",EDATE($D59,Milestones!$AA$111)&gt;=$S59),$V59,IF(AND($R59&lt;&gt;"",EDATE($D59,Milestones!$AA$111)&gt;=$R59),$U59,$T59)))=Milestones!$AB$111),TEXT(EDATE($D59,Milestones!$AA$111),"dd/mm/yy")&amp;" "&amp;Milestones!$AB$111&amp;" "&amp;Milestones!$AC$111&amp;";  ","")&amp;IF(AND(EDATE($D59,Milestones!$AA$112)&lt;=AsOfDate,IF($Q59=0,$W59,IF(AND($S59&lt;&gt;"",EDATE($D59,Milestones!$AA$112)&gt;=$S59),$V59,IF(AND($R59&lt;&gt;"",EDATE($D59,Milestones!$AA$112)&gt;=$R59),$U59,$T59)))=Milestones!$AB$112),TEXT(EDATE($D59,Milestones!$AA$112),"dd/mm/yy")&amp;" "&amp;Milestones!$AB$112&amp;" "&amp;Milestones!$AC$112&amp;";  ","")&amp;IF(AND(EDATE($D59,Milestones!$AA$113)&lt;=AsOfDate,IF($Q59=0,$W59,IF(AND($S59&lt;&gt;"",EDATE($D59,Milestones!$AA$113)&gt;=$S59),$V59,IF(AND($R59&lt;&gt;"",EDATE($D59,Milestones!$AA$113)&gt;=$R59),$U59,$T59)))=Milestones!$AB$113),TEXT(EDATE($D59,Milestones!$AA$113),"dd/mm/yy")&amp;" "&amp;Milestones!$AB$113&amp;" "&amp;Milestones!$AC$113&amp;";  ","")&amp;IF(AND(EDATE($D59,Milestones!$AA$114)&lt;=AsOfDate,IF($Q59=0,$W59,IF(AND($S59&lt;&gt;"",EDATE($D59,Milestones!$AA$114)&gt;=$S59),$V59,IF(AND($R59&lt;&gt;"",EDATE($D59,Milestones!$AA$114)&gt;=$R59),$U59,$T59)))=Milestones!$AB$114),TEXT(EDATE($D59,Milestones!$AA$114),"dd/mm/yy")&amp;" "&amp;Milestones!$AB$114&amp;" "&amp;Milestones!$AC$114&amp;";  ","")&amp;IF(AND(EDATE($D59,Milestones!$AA$115)&lt;=AsOfDate,IF($Q59=0,$W59,IF(AND($S59&lt;&gt;"",EDATE($D59,Milestones!$AA$115)&gt;=$S59),$V59,IF(AND($R59&lt;&gt;"",EDATE($D59,Milestones!$AA$115)&gt;=$R59),$U59,$T59)))=Milestones!$AB$115),TEXT(EDATE($D59,Milestones!$AA$115),"dd/mm/yy")&amp;" "&amp;Milestones!$AB$115&amp;" "&amp;Milestones!$AC$115&amp;";  ","")&amp;IF(AND(EDATE($D59,Milestones!$AA$116)&lt;=AsOfDate,IF($Q59=0,$W59,IF(AND($S59&lt;&gt;"",EDATE($D59,Milestones!$AA$116)&gt;=$S59),$V59,IF(AND($R59&lt;&gt;"",EDATE($D59,Milestones!$AA$116)&gt;=$R59),$U59,$T59)))=Milestones!$AB$116),TEXT(EDATE($D59,Milestones!$AA$116),"dd/mm/yy")&amp;" "&amp;Milestones!$AB$116&amp;" "&amp;Milestones!$AC$116&amp;";  ","")&amp;IF(AND(EDATE($D59,Milestones!$AA$117)&lt;=AsOfDate,IF($Q59=0,$W59,IF(AND($S59&lt;&gt;"",EDATE($D59,Milestones!$AA$117)&gt;=$S59),$V59,IF(AND($R59&lt;&gt;"",EDATE($D59,Milestones!$AA$117)&gt;=$R59),$U59,$T59)))=Milestones!$AB$117),TEXT(EDATE($D59,Milestones!$AA$117),"dd/mm/yy")&amp;" "&amp;Milestones!$AB$117&amp;" "&amp;Milestones!$AC$117&amp;";  ","")&amp;IF(AND(EDATE($D59,Milestones!$AA$118)&lt;=AsOfDate,IF($Q59=0,$W59,IF(AND($S59&lt;&gt;"",EDATE($D59,Milestones!$AA$118)&gt;=$S59),$V59,IF(AND($R59&lt;&gt;"",EDATE($D59,Milestones!$AA$118)&gt;=$R59),$U59,$T59)))=Milestones!$AB$118),TEXT(EDATE($D59,Milestones!$AA$118),"dd/mm/yy")&amp;" "&amp;Milestones!$AB$118&amp;" "&amp;Milestones!$AC$118&amp;";  ","")&amp;IF(AND(EDATE($D59,Milestones!$AA$119)&lt;=AsOfDate,IF($Q59=0,$W59,IF(AND($S59&lt;&gt;"",EDATE($D59,Milestones!$AA$119)&gt;=$S59),$V59,IF(AND($R59&lt;&gt;"",EDATE($D59,Milestones!$AA$119)&gt;=$R59),$U59,$T59)))=Milestones!$AB$119),TEXT(EDATE($D59,Milestones!$AA$119),"dd/mm/yy")&amp;" "&amp;Milestones!$AB$119&amp;" "&amp;Milestones!$AC$119&amp;";  ",""))</f>
        <v/>
      </c>
      <c r="M59" s="0" t="str">
        <f aca="false">IF(OR($A59="",$D59=""),"",IF(AND(EDATE($D59,Milestones!$AA$120)&lt;=AsOfDate,IF($Q59=0,$W59,IF(AND($S59&lt;&gt;"",EDATE($D59,Milestones!$AA$120)&gt;=$S59),$V59,IF(AND($R59&lt;&gt;"",EDATE($D59,Milestones!$AA$120)&gt;=$R59),$U59,$T59)))=Milestones!$AB$120),TEXT(EDATE($D59,Milestones!$AA$120),"dd/mm/yy")&amp;" "&amp;Milestones!$AB$120&amp;" "&amp;Milestones!$AC$120&amp;";  ","")&amp;IF(AND(EDATE($D59,Milestones!$AA$121)&lt;=AsOfDate,IF($Q59=0,$W59,IF(AND($S59&lt;&gt;"",EDATE($D59,Milestones!$AA$121)&gt;=$S59),$V59,IF(AND($R59&lt;&gt;"",EDATE($D59,Milestones!$AA$121)&gt;=$R59),$U59,$T59)))=Milestones!$AB$121),TEXT(EDATE($D59,Milestones!$AA$121),"dd/mm/yy")&amp;" "&amp;Milestones!$AB$121&amp;" "&amp;Milestones!$AC$121&amp;";  ","")&amp;IF(AND(EDATE($D59,Milestones!$AA$122)&lt;=AsOfDate,IF($Q59=0,$W59,IF(AND($S59&lt;&gt;"",EDATE($D59,Milestones!$AA$122)&gt;=$S59),$V59,IF(AND($R59&lt;&gt;"",EDATE($D59,Milestones!$AA$122)&gt;=$R59),$U59,$T59)))=Milestones!$AB$122),TEXT(EDATE($D59,Milestones!$AA$122),"dd/mm/yy")&amp;" "&amp;Milestones!$AB$122&amp;" "&amp;Milestones!$AC$122&amp;";  ","")&amp;IF(AND(EDATE($D59,Milestones!$AA$123)&lt;=AsOfDate,IF($Q59=0,$W59,IF(AND($S59&lt;&gt;"",EDATE($D59,Milestones!$AA$123)&gt;=$S59),$V59,IF(AND($R59&lt;&gt;"",EDATE($D59,Milestones!$AA$123)&gt;=$R59),$U59,$T59)))=Milestones!$AB$123),TEXT(EDATE($D59,Milestones!$AA$123),"dd/mm/yy")&amp;" "&amp;Milestones!$AB$123&amp;" "&amp;Milestones!$AC$123&amp;";  ","")&amp;IF(AND(EDATE($D59,Milestones!$AA$124)&lt;=AsOfDate,IF($Q59=0,$W59,IF(AND($S59&lt;&gt;"",EDATE($D59,Milestones!$AA$124)&gt;=$S59),$V59,IF(AND($R59&lt;&gt;"",EDATE($D59,Milestones!$AA$124)&gt;=$R59),$U59,$T59)))=Milestones!$AB$124),TEXT(EDATE($D59,Milestones!$AA$124),"dd/mm/yy")&amp;" "&amp;Milestones!$AB$124&amp;" "&amp;Milestones!$AC$124&amp;";  ","")&amp;IF(AND(EDATE($D59,Milestones!$AA$125)&lt;=AsOfDate,IF($Q59=0,$W59,IF(AND($S59&lt;&gt;"",EDATE($D59,Milestones!$AA$125)&gt;=$S59),$V59,IF(AND($R59&lt;&gt;"",EDATE($D59,Milestones!$AA$125)&gt;=$R59),$U59,$T59)))=Milestones!$AB$125),TEXT(EDATE($D59,Milestones!$AA$125),"dd/mm/yy")&amp;" "&amp;Milestones!$AB$125&amp;" "&amp;Milestones!$AC$125&amp;";  ","")&amp;IF(AND(EDATE($D59,Milestones!$AA$126)&lt;=AsOfDate,IF($Q59=0,$W59,IF(AND($S59&lt;&gt;"",EDATE($D59,Milestones!$AA$126)&gt;=$S59),$V59,IF(AND($R59&lt;&gt;"",EDATE($D59,Milestones!$AA$126)&gt;=$R59),$U59,$T59)))=Milestones!$AB$126),TEXT(EDATE($D59,Milestones!$AA$126),"dd/mm/yy")&amp;" "&amp;Milestones!$AB$126&amp;" "&amp;Milestones!$AC$126&amp;";  ","")&amp;IF(AND(EDATE($D59,Milestones!$AA$127)&lt;=AsOfDate,IF($Q59=0,$W59,IF(AND($S59&lt;&gt;"",EDATE($D59,Milestones!$AA$127)&gt;=$S59),$V59,IF(AND($R59&lt;&gt;"",EDATE($D59,Milestones!$AA$127)&gt;=$R59),$U59,$T59)))=Milestones!$AB$127),TEXT(EDATE($D59,Milestones!$AA$127),"dd/mm/yy")&amp;" "&amp;Milestones!$AB$127&amp;" "&amp;Milestones!$AC$127&amp;";  ","")&amp;IF(AND(EDATE($D59,Milestones!$AA$128)&lt;=AsOfDate,IF($Q59=0,$W59,IF(AND($S59&lt;&gt;"",EDATE($D59,Milestones!$AA$128)&gt;=$S59),$V59,IF(AND($R59&lt;&gt;"",EDATE($D59,Milestones!$AA$128)&gt;=$R59),$U59,$T59)))=Milestones!$AB$128),TEXT(EDATE($D59,Milestones!$AA$128),"dd/mm/yy")&amp;" "&amp;Milestones!$AB$128&amp;" "&amp;Milestones!$AC$128&amp;";  ","")&amp;IF(AND(EDATE($D59,Milestones!$AA$129)&lt;=AsOfDate,IF($Q59=0,$W59,IF(AND($S59&lt;&gt;"",EDATE($D59,Milestones!$AA$129)&gt;=$S59),$V59,IF(AND($R59&lt;&gt;"",EDATE($D59,Milestones!$AA$129)&gt;=$R59),$U59,$T59)))=Milestones!$AB$129),TEXT(EDATE($D59,Milestones!$AA$129),"dd/mm/yy")&amp;" "&amp;Milestones!$AB$129&amp;" "&amp;Milestones!$AC$129&amp;";  ","")&amp;IF(AND(EDATE($D59,Milestones!$AA$130)&lt;=AsOfDate,IF($Q59=0,$W59,IF(AND($S59&lt;&gt;"",EDATE($D59,Milestones!$AA$130)&gt;=$S59),$V59,IF(AND($R59&lt;&gt;"",EDATE($D59,Milestones!$AA$130)&gt;=$R59),$U59,$T59)))=Milestones!$AB$130),TEXT(EDATE($D59,Milestones!$AA$130),"dd/mm/yy")&amp;" "&amp;Milestones!$AB$130&amp;" "&amp;Milestones!$AC$130&amp;";  ","")&amp;IF(AND(EDATE($D59,Milestones!$AA$131)&lt;=AsOfDate,IF($Q59=0,$W59,IF(AND($S59&lt;&gt;"",EDATE($D59,Milestones!$AA$131)&gt;=$S59),$V59,IF(AND($R59&lt;&gt;"",EDATE($D59,Milestones!$AA$131)&gt;=$R59),$U59,$T59)))=Milestones!$AB$131),TEXT(EDATE($D59,Milestones!$AA$131),"dd/mm/yy")&amp;" "&amp;Milestones!$AB$131&amp;" "&amp;Milestones!$AC$131&amp;";  ","")&amp;IF(AND(EDATE($D59,Milestones!$AA$132)&lt;=AsOfDate,IF($Q59=0,$W59,IF(AND($S59&lt;&gt;"",EDATE($D59,Milestones!$AA$132)&gt;=$S59),$V59,IF(AND($R59&lt;&gt;"",EDATE($D59,Milestones!$AA$132)&gt;=$R59),$U59,$T59)))=Milestones!$AB$132),TEXT(EDATE($D59,Milestones!$AA$132),"dd/mm/yy")&amp;" "&amp;Milestones!$AB$132&amp;" "&amp;Milestones!$AC$132&amp;";  ","")&amp;IF(AND(EDATE($D59,Milestones!$AA$133)&lt;=AsOfDate,IF($Q59=0,$W59,IF(AND($S59&lt;&gt;"",EDATE($D59,Milestones!$AA$133)&gt;=$S59),$V59,IF(AND($R59&lt;&gt;"",EDATE($D59,Milestones!$AA$133)&gt;=$R59),$U59,$T59)))=Milestones!$AB$133),TEXT(EDATE($D59,Milestones!$AA$133),"dd/mm/yy")&amp;" "&amp;Milestones!$AB$133&amp;" "&amp;Milestones!$AC$133&amp;";  ","")&amp;IF(AND(EDATE($D59,Milestones!$AA$134)&lt;=AsOfDate,IF($Q59=0,$W59,IF(AND($S59&lt;&gt;"",EDATE($D59,Milestones!$AA$134)&gt;=$S59),$V59,IF(AND($R59&lt;&gt;"",EDATE($D59,Milestones!$AA$134)&gt;=$R59),$U59,$T59)))=Milestones!$AB$134),TEXT(EDATE($D59,Milestones!$AA$134),"dd/mm/yy")&amp;" "&amp;Milestones!$AB$134&amp;" "&amp;Milestones!$AC$134&amp;";  ","")&amp;IF(AND(EDATE($D59,Milestones!$AA$135)&lt;=AsOfDate,IF($Q59=0,$W59,IF(AND($S59&lt;&gt;"",EDATE($D59,Milestones!$AA$135)&gt;=$S59),$V59,IF(AND($R59&lt;&gt;"",EDATE($D59,Milestones!$AA$135)&gt;=$R59),$U59,$T59)))=Milestones!$AB$135),TEXT(EDATE($D59,Milestones!$AA$135),"dd/mm/yy")&amp;" "&amp;Milestones!$AB$135&amp;" "&amp;Milestones!$AC$135&amp;";  ","")&amp;IF(AND(EDATE($D59,Milestones!$AA$136)&lt;=AsOfDate,IF($Q59=0,$W59,IF(AND($S59&lt;&gt;"",EDATE($D59,Milestones!$AA$136)&gt;=$S59),$V59,IF(AND($R59&lt;&gt;"",EDATE($D59,Milestones!$AA$136)&gt;=$R59),$U59,$T59)))=Milestones!$AB$136),TEXT(EDATE($D59,Milestones!$AA$136),"dd/mm/yy")&amp;" "&amp;Milestones!$AB$136&amp;" "&amp;Milestones!$AC$136&amp;";  ","")&amp;IF(AND(EDATE($D59,Milestones!$AA$137)&lt;=AsOfDate,IF($Q59=0,$W59,IF(AND($S59&lt;&gt;"",EDATE($D59,Milestones!$AA$137)&gt;=$S59),$V59,IF(AND($R59&lt;&gt;"",EDATE($D59,Milestones!$AA$137)&gt;=$R59),$U59,$T59)))=Milestones!$AB$137),TEXT(EDATE($D59,Milestones!$AA$137),"dd/mm/yy")&amp;" "&amp;Milestones!$AB$137&amp;" "&amp;Milestones!$AC$137&amp;";  ","")&amp;IF(AND(EDATE($D59,Milestones!$AA$138)&lt;=AsOfDate,IF($Q59=0,$W59,IF(AND($S59&lt;&gt;"",EDATE($D59,Milestones!$AA$138)&gt;=$S59),$V59,IF(AND($R59&lt;&gt;"",EDATE($D59,Milestones!$AA$138)&gt;=$R59),$U59,$T59)))=Milestones!$AB$138),TEXT(EDATE($D59,Milestones!$AA$138),"dd/mm/yy")&amp;" "&amp;Milestones!$AB$138&amp;" "&amp;Milestones!$AC$138&amp;";  ","")&amp;IF(AND(EDATE($D59,Milestones!$AA$139)&lt;=AsOfDate,IF($Q59=0,$W59,IF(AND($S59&lt;&gt;"",EDATE($D59,Milestones!$AA$139)&gt;=$S59),$V59,IF(AND($R59&lt;&gt;"",EDATE($D59,Milestones!$AA$139)&gt;=$R59),$U59,$T59)))=Milestones!$AB$139),TEXT(EDATE($D59,Milestones!$AA$139),"dd/mm/yy")&amp;" "&amp;Milestones!$AB$139&amp;" "&amp;Milestones!$AC$139&amp;";  ",""))</f>
        <v/>
      </c>
      <c r="N59" s="0" t="str">
        <f aca="false">IF(OR($A59="",$D59=""),"",IF(AND(EDATE($D59,Milestones!$AA$140)&lt;=AsOfDate,IF($Q59=0,$W59,IF(AND($S59&lt;&gt;"",EDATE($D59,Milestones!$AA$140)&gt;=$S59),$V59,IF(AND($R59&lt;&gt;"",EDATE($D59,Milestones!$AA$140)&gt;=$R59),$U59,$T59)))=Milestones!$AB$140),TEXT(EDATE($D59,Milestones!$AA$140),"dd/mm/yy")&amp;" "&amp;Milestones!$AB$140&amp;" "&amp;Milestones!$AC$140&amp;";  ","")&amp;IF(AND(EDATE($D59,Milestones!$AA$141)&lt;=AsOfDate,IF($Q59=0,$W59,IF(AND($S59&lt;&gt;"",EDATE($D59,Milestones!$AA$141)&gt;=$S59),$V59,IF(AND($R59&lt;&gt;"",EDATE($D59,Milestones!$AA$141)&gt;=$R59),$U59,$T59)))=Milestones!$AB$141),TEXT(EDATE($D59,Milestones!$AA$141),"dd/mm/yy")&amp;" "&amp;Milestones!$AB$141&amp;" "&amp;Milestones!$AC$141&amp;";  ","")&amp;IF(AND(EDATE($D59,Milestones!$AA$142)&lt;=AsOfDate,IF($Q59=0,$W59,IF(AND($S59&lt;&gt;"",EDATE($D59,Milestones!$AA$142)&gt;=$S59),$V59,IF(AND($R59&lt;&gt;"",EDATE($D59,Milestones!$AA$142)&gt;=$R59),$U59,$T59)))=Milestones!$AB$142),TEXT(EDATE($D59,Milestones!$AA$142),"dd/mm/yy")&amp;" "&amp;Milestones!$AB$142&amp;" "&amp;Milestones!$AC$142&amp;";  ","")&amp;IF(AND(EDATE($D59,Milestones!$AA$143)&lt;=AsOfDate,IF($Q59=0,$W59,IF(AND($S59&lt;&gt;"",EDATE($D59,Milestones!$AA$143)&gt;=$S59),$V59,IF(AND($R59&lt;&gt;"",EDATE($D59,Milestones!$AA$143)&gt;=$R59),$U59,$T59)))=Milestones!$AB$143),TEXT(EDATE($D59,Milestones!$AA$143),"dd/mm/yy")&amp;" "&amp;Milestones!$AB$143&amp;" "&amp;Milestones!$AC$143&amp;";  ","")&amp;IF(AND(EDATE($D59,Milestones!$AA$144)&lt;=AsOfDate,IF($Q59=0,$W59,IF(AND($S59&lt;&gt;"",EDATE($D59,Milestones!$AA$144)&gt;=$S59),$V59,IF(AND($R59&lt;&gt;"",EDATE($D59,Milestones!$AA$144)&gt;=$R59),$U59,$T59)))=Milestones!$AB$144),TEXT(EDATE($D59,Milestones!$AA$144),"dd/mm/yy")&amp;" "&amp;Milestones!$AB$144&amp;" "&amp;Milestones!$AC$144&amp;";  ","")&amp;IF(AND(EDATE($D59,Milestones!$AA$145)&lt;=AsOfDate,IF($Q59=0,$W59,IF(AND($S59&lt;&gt;"",EDATE($D59,Milestones!$AA$145)&gt;=$S59),$V59,IF(AND($R59&lt;&gt;"",EDATE($D59,Milestones!$AA$145)&gt;=$R59),$U59,$T59)))=Milestones!$AB$145),TEXT(EDATE($D59,Milestones!$AA$145),"dd/mm/yy")&amp;" "&amp;Milestones!$AB$145&amp;" "&amp;Milestones!$AC$145&amp;";  ","")&amp;IF(AND(EDATE($D59,Milestones!$AA$146)&lt;=AsOfDate,IF($Q59=0,$W59,IF(AND($S59&lt;&gt;"",EDATE($D59,Milestones!$AA$146)&gt;=$S59),$V59,IF(AND($R59&lt;&gt;"",EDATE($D59,Milestones!$AA$146)&gt;=$R59),$U59,$T59)))=Milestones!$AB$146),TEXT(EDATE($D59,Milestones!$AA$146),"dd/mm/yy")&amp;" "&amp;Milestones!$AB$146&amp;" "&amp;Milestones!$AC$146&amp;";  ","")&amp;IF(AND(EDATE($D59,Milestones!$AA$147)&lt;=AsOfDate,IF($Q59=0,$W59,IF(AND($S59&lt;&gt;"",EDATE($D59,Milestones!$AA$147)&gt;=$S59),$V59,IF(AND($R59&lt;&gt;"",EDATE($D59,Milestones!$AA$147)&gt;=$R59),$U59,$T59)))=Milestones!$AB$147),TEXT(EDATE($D59,Milestones!$AA$147),"dd/mm/yy")&amp;" "&amp;Milestones!$AB$147&amp;" "&amp;Milestones!$AC$147&amp;";  ","")&amp;IF(AND(EDATE($D59,Milestones!$AA$148)&lt;=AsOfDate,IF($Q59=0,$W59,IF(AND($S59&lt;&gt;"",EDATE($D59,Milestones!$AA$148)&gt;=$S59),$V59,IF(AND($R59&lt;&gt;"",EDATE($D59,Milestones!$AA$148)&gt;=$R59),$U59,$T59)))=Milestones!$AB$148),TEXT(EDATE($D59,Milestones!$AA$148),"dd/mm/yy")&amp;" "&amp;Milestones!$AB$148&amp;" "&amp;Milestones!$AC$148&amp;";  ","")&amp;IF(AND(EDATE($D59,Milestones!$AA$149)&lt;=AsOfDate,IF($Q59=0,$W59,IF(AND($S59&lt;&gt;"",EDATE($D59,Milestones!$AA$149)&gt;=$S59),$V59,IF(AND($R59&lt;&gt;"",EDATE($D59,Milestones!$AA$149)&gt;=$R59),$U59,$T59)))=Milestones!$AB$149),TEXT(EDATE($D59,Milestones!$AA$149),"dd/mm/yy")&amp;" "&amp;Milestones!$AB$149&amp;" "&amp;Milestones!$AC$149&amp;";  ","")&amp;IF(AND(EDATE($D59,Milestones!$AA$150)&lt;=AsOfDate,IF($Q59=0,$W59,IF(AND($S59&lt;&gt;"",EDATE($D59,Milestones!$AA$150)&gt;=$S59),$V59,IF(AND($R59&lt;&gt;"",EDATE($D59,Milestones!$AA$150)&gt;=$R59),$U59,$T59)))=Milestones!$AB$150),TEXT(EDATE($D59,Milestones!$AA$150),"dd/mm/yy")&amp;" "&amp;Milestones!$AB$150&amp;" "&amp;Milestones!$AC$150&amp;";  ","")&amp;IF(AND(EDATE($D59,Milestones!$AA$151)&lt;=AsOfDate,IF($Q59=0,$W59,IF(AND($S59&lt;&gt;"",EDATE($D59,Milestones!$AA$151)&gt;=$S59),$V59,IF(AND($R59&lt;&gt;"",EDATE($D59,Milestones!$AA$151)&gt;=$R59),$U59,$T59)))=Milestones!$AB$151),TEXT(EDATE($D59,Milestones!$AA$151),"dd/mm/yy")&amp;" "&amp;Milestones!$AB$151&amp;" "&amp;Milestones!$AC$151&amp;";  ","")&amp;IF(AND(EDATE($D59,Milestones!$AA$152)&lt;=AsOfDate,IF($Q59=0,$W59,IF(AND($S59&lt;&gt;"",EDATE($D59,Milestones!$AA$152)&gt;=$S59),$V59,IF(AND($R59&lt;&gt;"",EDATE($D59,Milestones!$AA$152)&gt;=$R59),$U59,$T59)))=Milestones!$AB$152),TEXT(EDATE($D59,Milestones!$AA$152),"dd/mm/yy")&amp;" "&amp;Milestones!$AB$152&amp;" "&amp;Milestones!$AC$152&amp;";  ","")&amp;IF(AND(EDATE($D59,Milestones!$AA$153)&lt;=AsOfDate,IF($Q59=0,$W59,IF(AND($S59&lt;&gt;"",EDATE($D59,Milestones!$AA$153)&gt;=$S59),$V59,IF(AND($R59&lt;&gt;"",EDATE($D59,Milestones!$AA$153)&gt;=$R59),$U59,$T59)))=Milestones!$AB$153),TEXT(EDATE($D59,Milestones!$AA$153),"dd/mm/yy")&amp;" "&amp;Milestones!$AB$153&amp;" "&amp;Milestones!$AC$153&amp;";  ","")&amp;IF(AND(EDATE($D59,Milestones!$AA$154)&lt;=AsOfDate,IF($Q59=0,$W59,IF(AND($S59&lt;&gt;"",EDATE($D59,Milestones!$AA$154)&gt;=$S59),$V59,IF(AND($R59&lt;&gt;"",EDATE($D59,Milestones!$AA$154)&gt;=$R59),$U59,$T59)))=Milestones!$AB$154),TEXT(EDATE($D59,Milestones!$AA$154),"dd/mm/yy")&amp;" "&amp;Milestones!$AB$154&amp;" "&amp;Milestones!$AC$154&amp;";  ","")&amp;IF(AND(EDATE($D59,Milestones!$AA$155)&lt;=AsOfDate,IF($Q59=0,$W59,IF(AND($S59&lt;&gt;"",EDATE($D59,Milestones!$AA$155)&gt;=$S59),$V59,IF(AND($R59&lt;&gt;"",EDATE($D59,Milestones!$AA$155)&gt;=$R59),$U59,$T59)))=Milestones!$AB$155),TEXT(EDATE($D59,Milestones!$AA$155),"dd/mm/yy")&amp;" "&amp;Milestones!$AB$155&amp;" "&amp;Milestones!$AC$155&amp;";  ","")&amp;IF(AND(EDATE($D59,Milestones!$AA$156)&lt;=AsOfDate,IF($Q59=0,$W59,IF(AND($S59&lt;&gt;"",EDATE($D59,Milestones!$AA$156)&gt;=$S59),$V59,IF(AND($R59&lt;&gt;"",EDATE($D59,Milestones!$AA$156)&gt;=$R59),$U59,$T59)))=Milestones!$AB$156),TEXT(EDATE($D59,Milestones!$AA$156),"dd/mm/yy")&amp;" "&amp;Milestones!$AB$156&amp;" "&amp;Milestones!$AC$156&amp;";  ","")&amp;IF(AND(EDATE($D59,Milestones!$AA$157)&lt;=AsOfDate,IF($Q59=0,$W59,IF(AND($S59&lt;&gt;"",EDATE($D59,Milestones!$AA$157)&gt;=$S59),$V59,IF(AND($R59&lt;&gt;"",EDATE($D59,Milestones!$AA$157)&gt;=$R59),$U59,$T59)))=Milestones!$AB$157),TEXT(EDATE($D59,Milestones!$AA$157),"dd/mm/yy")&amp;" "&amp;Milestones!$AB$157&amp;" "&amp;Milestones!$AC$157&amp;";  ","")&amp;IF(AND(EDATE($D59,Milestones!$AA$158)&lt;=AsOfDate,IF($Q59=0,$W59,IF(AND($S59&lt;&gt;"",EDATE($D59,Milestones!$AA$158)&gt;=$S59),$V59,IF(AND($R59&lt;&gt;"",EDATE($D59,Milestones!$AA$158)&gt;=$R59),$U59,$T59)))=Milestones!$AB$158),TEXT(EDATE($D59,Milestones!$AA$158),"dd/mm/yy")&amp;" "&amp;Milestones!$AB$158&amp;" "&amp;Milestones!$AC$158&amp;";  ","")&amp;IF(AND(EDATE($D59,Milestones!$AA$159)&lt;=AsOfDate,IF($Q59=0,$W59,IF(AND($S59&lt;&gt;"",EDATE($D59,Milestones!$AA$159)&gt;=$S59),$V59,IF(AND($R59&lt;&gt;"",EDATE($D59,Milestones!$AA$159)&gt;=$R59),$U59,$T59)))=Milestones!$AB$159),TEXT(EDATE($D59,Milestones!$AA$159),"dd/mm/yy")&amp;" "&amp;Milestones!$AB$159&amp;" "&amp;Milestones!$AC$159&amp;";  ",""))</f>
        <v/>
      </c>
      <c r="O59" s="0" t="str">
        <f aca="false">IF(OR($A59="",$D59=""),"",IF(AND(EDATE($D59,Milestones!$AA$160)&lt;=AsOfDate,IF($Q59=0,$W59,IF(AND($S59&lt;&gt;"",EDATE($D59,Milestones!$AA$160)&gt;=$S59),$V59,IF(AND($R59&lt;&gt;"",EDATE($D59,Milestones!$AA$160)&gt;=$R59),$U59,$T59)))=Milestones!$AB$160),TEXT(EDATE($D59,Milestones!$AA$160),"dd/mm/yy")&amp;" "&amp;Milestones!$AB$160&amp;" "&amp;Milestones!$AC$160&amp;";  ","")&amp;IF(AND(EDATE($D59,Milestones!$AA$161)&lt;=AsOfDate,IF($Q59=0,$W59,IF(AND($S59&lt;&gt;"",EDATE($D59,Milestones!$AA$161)&gt;=$S59),$V59,IF(AND($R59&lt;&gt;"",EDATE($D59,Milestones!$AA$161)&gt;=$R59),$U59,$T59)))=Milestones!$AB$161),TEXT(EDATE($D59,Milestones!$AA$161),"dd/mm/yy")&amp;" "&amp;Milestones!$AB$161&amp;" "&amp;Milestones!$AC$161&amp;";  ","")&amp;IF(AND(EDATE($D59,Milestones!$AA$162)&lt;=AsOfDate,IF($Q59=0,$W59,IF(AND($S59&lt;&gt;"",EDATE($D59,Milestones!$AA$162)&gt;=$S59),$V59,IF(AND($R59&lt;&gt;"",EDATE($D59,Milestones!$AA$162)&gt;=$R59),$U59,$T59)))=Milestones!$AB$162),TEXT(EDATE($D59,Milestones!$AA$162),"dd/mm/yy")&amp;" "&amp;Milestones!$AB$162&amp;" "&amp;Milestones!$AC$162&amp;";  ","")&amp;IF(AND(EDATE($D59,Milestones!$AA$163)&lt;=AsOfDate,IF($Q59=0,$W59,IF(AND($S59&lt;&gt;"",EDATE($D59,Milestones!$AA$163)&gt;=$S59),$V59,IF(AND($R59&lt;&gt;"",EDATE($D59,Milestones!$AA$163)&gt;=$R59),$U59,$T59)))=Milestones!$AB$163),TEXT(EDATE($D59,Milestones!$AA$163),"dd/mm/yy")&amp;" "&amp;Milestones!$AB$163&amp;" "&amp;Milestones!$AC$163&amp;";  ","")&amp;IF(AND(EDATE($D59,Milestones!$AA$164)&lt;=AsOfDate,IF($Q59=0,$W59,IF(AND($S59&lt;&gt;"",EDATE($D59,Milestones!$AA$164)&gt;=$S59),$V59,IF(AND($R59&lt;&gt;"",EDATE($D59,Milestones!$AA$164)&gt;=$R59),$U59,$T59)))=Milestones!$AB$164),TEXT(EDATE($D59,Milestones!$AA$164),"dd/mm/yy")&amp;" "&amp;Milestones!$AB$164&amp;" "&amp;Milestones!$AC$164&amp;";  ","")&amp;IF(AND(EDATE($D59,Milestones!$AA$165)&lt;=AsOfDate,IF($Q59=0,$W59,IF(AND($S59&lt;&gt;"",EDATE($D59,Milestones!$AA$165)&gt;=$S59),$V59,IF(AND($R59&lt;&gt;"",EDATE($D59,Milestones!$AA$165)&gt;=$R59),$U59,$T59)))=Milestones!$AB$165),TEXT(EDATE($D59,Milestones!$AA$165),"dd/mm/yy")&amp;" "&amp;Milestones!$AB$165&amp;" "&amp;Milestones!$AC$165&amp;";  ","")&amp;IF(AND(EDATE($D59,Milestones!$AA$166)&lt;=AsOfDate,IF($Q59=0,$W59,IF(AND($S59&lt;&gt;"",EDATE($D59,Milestones!$AA$166)&gt;=$S59),$V59,IF(AND($R59&lt;&gt;"",EDATE($D59,Milestones!$AA$166)&gt;=$R59),$U59,$T59)))=Milestones!$AB$166),TEXT(EDATE($D59,Milestones!$AA$166),"dd/mm/yy")&amp;" "&amp;Milestones!$AB$166&amp;" "&amp;Milestones!$AC$166&amp;";  ","")&amp;IF(AND(EDATE($D59,Milestones!$AA$167)&lt;=AsOfDate,IF($Q59=0,$W59,IF(AND($S59&lt;&gt;"",EDATE($D59,Milestones!$AA$167)&gt;=$S59),$V59,IF(AND($R59&lt;&gt;"",EDATE($D59,Milestones!$AA$167)&gt;=$R59),$U59,$T59)))=Milestones!$AB$167),TEXT(EDATE($D59,Milestones!$AA$167),"dd/mm/yy")&amp;" "&amp;Milestones!$AB$167&amp;" "&amp;Milestones!$AC$167&amp;";  ","")&amp;IF(AND(EDATE($D59,Milestones!$AA$168)&lt;=AsOfDate,IF($Q59=0,$W59,IF(AND($S59&lt;&gt;"",EDATE($D59,Milestones!$AA$168)&gt;=$S59),$V59,IF(AND($R59&lt;&gt;"",EDATE($D59,Milestones!$AA$168)&gt;=$R59),$U59,$T59)))=Milestones!$AB$168),TEXT(EDATE($D59,Milestones!$AA$168),"dd/mm/yy")&amp;" "&amp;Milestones!$AB$168&amp;" "&amp;Milestones!$AC$168&amp;";  ","")&amp;IF(AND(EDATE($D59,Milestones!$AA$169)&lt;=AsOfDate,IF($Q59=0,$W59,IF(AND($S59&lt;&gt;"",EDATE($D59,Milestones!$AA$169)&gt;=$S59),$V59,IF(AND($R59&lt;&gt;"",EDATE($D59,Milestones!$AA$169)&gt;=$R59),$U59,$T59)))=Milestones!$AB$169),TEXT(EDATE($D59,Milestones!$AA$169),"dd/mm/yy")&amp;" "&amp;Milestones!$AB$169&amp;" "&amp;Milestones!$AC$169&amp;";  ","")&amp;IF(AND(EDATE($D59,Milestones!$AA$170)&lt;=AsOfDate,IF($Q59=0,$W59,IF(AND($S59&lt;&gt;"",EDATE($D59,Milestones!$AA$170)&gt;=$S59),$V59,IF(AND($R59&lt;&gt;"",EDATE($D59,Milestones!$AA$170)&gt;=$R59),$U59,$T59)))=Milestones!$AB$170),TEXT(EDATE($D59,Milestones!$AA$170),"dd/mm/yy")&amp;" "&amp;Milestones!$AB$170&amp;" "&amp;Milestones!$AC$170&amp;";  ","")&amp;IF(AND(EDATE($D59,Milestones!$AA$171)&lt;=AsOfDate,IF($Q59=0,$W59,IF(AND($S59&lt;&gt;"",EDATE($D59,Milestones!$AA$171)&gt;=$S59),$V59,IF(AND($R59&lt;&gt;"",EDATE($D59,Milestones!$AA$171)&gt;=$R59),$U59,$T59)))=Milestones!$AB$171),TEXT(EDATE($D59,Milestones!$AA$171),"dd/mm/yy")&amp;" "&amp;Milestones!$AB$171&amp;" "&amp;Milestones!$AC$171&amp;";  ","")&amp;IF(AND(EDATE($D59,Milestones!$AA$172)&lt;=AsOfDate,IF($Q59=0,$W59,IF(AND($S59&lt;&gt;"",EDATE($D59,Milestones!$AA$172)&gt;=$S59),$V59,IF(AND($R59&lt;&gt;"",EDATE($D59,Milestones!$AA$172)&gt;=$R59),$U59,$T59)))=Milestones!$AB$172),TEXT(EDATE($D59,Milestones!$AA$172),"dd/mm/yy")&amp;" "&amp;Milestones!$AB$172&amp;" "&amp;Milestones!$AC$172&amp;";  ","")&amp;IF(AND(EDATE($D59,Milestones!$AA$173)&lt;=AsOfDate,IF($Q59=0,$W59,IF(AND($S59&lt;&gt;"",EDATE($D59,Milestones!$AA$173)&gt;=$S59),$V59,IF(AND($R59&lt;&gt;"",EDATE($D59,Milestones!$AA$173)&gt;=$R59),$U59,$T59)))=Milestones!$AB$173),TEXT(EDATE($D59,Milestones!$AA$173),"dd/mm/yy")&amp;" "&amp;Milestones!$AB$173&amp;" "&amp;Milestones!$AC$173&amp;";  ","")&amp;IF(AND(EDATE($D59,Milestones!$AA$174)&lt;=AsOfDate,IF($Q59=0,$W59,IF(AND($S59&lt;&gt;"",EDATE($D59,Milestones!$AA$174)&gt;=$S59),$V59,IF(AND($R59&lt;&gt;"",EDATE($D59,Milestones!$AA$174)&gt;=$R59),$U59,$T59)))=Milestones!$AB$174),TEXT(EDATE($D59,Milestones!$AA$174),"dd/mm/yy")&amp;" "&amp;Milestones!$AB$174&amp;" "&amp;Milestones!$AC$174&amp;";  ","")&amp;IF(AND(EDATE($D59,Milestones!$AA$175)&lt;=AsOfDate,IF($Q59=0,$W59,IF(AND($S59&lt;&gt;"",EDATE($D59,Milestones!$AA$175)&gt;=$S59),$V59,IF(AND($R59&lt;&gt;"",EDATE($D59,Milestones!$AA$175)&gt;=$R59),$U59,$T59)))=Milestones!$AB$175),TEXT(EDATE($D59,Milestones!$AA$175),"dd/mm/yy")&amp;" "&amp;Milestones!$AB$175&amp;" "&amp;Milestones!$AC$175&amp;";  ","")&amp;IF(AND(EDATE($D59,Milestones!$AA$176)&lt;=AsOfDate,IF($Q59=0,$W59,IF(AND($S59&lt;&gt;"",EDATE($D59,Milestones!$AA$176)&gt;=$S59),$V59,IF(AND($R59&lt;&gt;"",EDATE($D59,Milestones!$AA$176)&gt;=$R59),$U59,$T59)))=Milestones!$AB$176),TEXT(EDATE($D59,Milestones!$AA$176),"dd/mm/yy")&amp;" "&amp;Milestones!$AB$176&amp;" "&amp;Milestones!$AC$176&amp;";  ","")&amp;IF(AND(EDATE($D59,Milestones!$AA$177)&lt;=AsOfDate,IF($Q59=0,$W59,IF(AND($S59&lt;&gt;"",EDATE($D59,Milestones!$AA$177)&gt;=$S59),$V59,IF(AND($R59&lt;&gt;"",EDATE($D59,Milestones!$AA$177)&gt;=$R59),$U59,$T59)))=Milestones!$AB$177),TEXT(EDATE($D59,Milestones!$AA$177),"dd/mm/yy")&amp;" "&amp;Milestones!$AB$177&amp;" "&amp;Milestones!$AC$177&amp;";  ","")&amp;IF(AND(EDATE($D59,Milestones!$AA$178)&lt;=AsOfDate,IF($Q59=0,$W59,IF(AND($S59&lt;&gt;"",EDATE($D59,Milestones!$AA$178)&gt;=$S59),$V59,IF(AND($R59&lt;&gt;"",EDATE($D59,Milestones!$AA$178)&gt;=$R59),$U59,$T59)))=Milestones!$AB$178),TEXT(EDATE($D59,Milestones!$AA$178),"dd/mm/yy")&amp;" "&amp;Milestones!$AB$178&amp;" "&amp;Milestones!$AC$178&amp;";  ","")&amp;IF(AND(EDATE($D59,Milestones!$AA$179)&lt;=AsOfDate,IF($Q59=0,$W59,IF(AND($S59&lt;&gt;"",EDATE($D59,Milestones!$AA$179)&gt;=$S59),$V59,IF(AND($R59&lt;&gt;"",EDATE($D59,Milestones!$AA$179)&gt;=$R59),$U59,$T59)))=Milestones!$AB$179),TEXT(EDATE($D59,Milestones!$AA$179),"dd/mm/yy")&amp;" "&amp;Milestones!$AB$179&amp;" "&amp;Milestones!$AC$179&amp;";  ",""))</f>
        <v/>
      </c>
      <c r="P59" s="0" t="str">
        <f aca="false">IF(OR($A59="",$D59=""),"",IF(AND(EDATE($D59,Milestones!$AA$180)&lt;=AsOfDate,IF($Q59=0,$W59,IF(AND($S59&lt;&gt;"",EDATE($D59,Milestones!$AA$180)&gt;=$S59),$V59,IF(AND($R59&lt;&gt;"",EDATE($D59,Milestones!$AA$180)&gt;=$R59),$U59,$T59)))=Milestones!$AB$180),TEXT(EDATE($D59,Milestones!$AA$180),"dd/mm/yy")&amp;" "&amp;Milestones!$AB$180&amp;" "&amp;Milestones!$AC$180&amp;";  ","")&amp;IF(AND(EDATE($D59,Milestones!$AA$181)&lt;=AsOfDate,IF($Q59=0,$W59,IF(AND($S59&lt;&gt;"",EDATE($D59,Milestones!$AA$181)&gt;=$S59),$V59,IF(AND($R59&lt;&gt;"",EDATE($D59,Milestones!$AA$181)&gt;=$R59),$U59,$T59)))=Milestones!$AB$181),TEXT(EDATE($D59,Milestones!$AA$181),"dd/mm/yy")&amp;" "&amp;Milestones!$AB$181&amp;" "&amp;Milestones!$AC$181&amp;";  ","")&amp;IF(AND(EDATE($D59,Milestones!$AA$182)&lt;=AsOfDate,IF($Q59=0,$W59,IF(AND($S59&lt;&gt;"",EDATE($D59,Milestones!$AA$182)&gt;=$S59),$V59,IF(AND($R59&lt;&gt;"",EDATE($D59,Milestones!$AA$182)&gt;=$R59),$U59,$T59)))=Milestones!$AB$182),TEXT(EDATE($D59,Milestones!$AA$182),"dd/mm/yy")&amp;" "&amp;Milestones!$AB$182&amp;" "&amp;Milestones!$AC$182&amp;";  ","")&amp;IF(AND(EDATE($D59,Milestones!$AA$183)&lt;=AsOfDate,IF($Q59=0,$W59,IF(AND($S59&lt;&gt;"",EDATE($D59,Milestones!$AA$183)&gt;=$S59),$V59,IF(AND($R59&lt;&gt;"",EDATE($D59,Milestones!$AA$183)&gt;=$R59),$U59,$T59)))=Milestones!$AB$183),TEXT(EDATE($D59,Milestones!$AA$183),"dd/mm/yy")&amp;" "&amp;Milestones!$AB$183&amp;" "&amp;Milestones!$AC$183&amp;";  ","")&amp;IF(AND(EDATE($D59,Milestones!$AA$184)&lt;=AsOfDate,IF($Q59=0,$W59,IF(AND($S59&lt;&gt;"",EDATE($D59,Milestones!$AA$184)&gt;=$S59),$V59,IF(AND($R59&lt;&gt;"",EDATE($D59,Milestones!$AA$184)&gt;=$R59),$U59,$T59)))=Milestones!$AB$184),TEXT(EDATE($D59,Milestones!$AA$184),"dd/mm/yy")&amp;" "&amp;Milestones!$AB$184&amp;" "&amp;Milestones!$AC$184&amp;";  ","")&amp;IF(AND(EDATE($D59,Milestones!$AA$185)&lt;=AsOfDate,IF($Q59=0,$W59,IF(AND($S59&lt;&gt;"",EDATE($D59,Milestones!$AA$185)&gt;=$S59),$V59,IF(AND($R59&lt;&gt;"",EDATE($D59,Milestones!$AA$185)&gt;=$R59),$U59,$T59)))=Milestones!$AB$185),TEXT(EDATE($D59,Milestones!$AA$185),"dd/mm/yy")&amp;" "&amp;Milestones!$AB$185&amp;" "&amp;Milestones!$AC$185&amp;";  ","")&amp;IF(AND(EDATE($D59,Milestones!$AA$186)&lt;=AsOfDate,IF($Q59=0,$W59,IF(AND($S59&lt;&gt;"",EDATE($D59,Milestones!$AA$186)&gt;=$S59),$V59,IF(AND($R59&lt;&gt;"",EDATE($D59,Milestones!$AA$186)&gt;=$R59),$U59,$T59)))=Milestones!$AB$186),TEXT(EDATE($D59,Milestones!$AA$186),"dd/mm/yy")&amp;" "&amp;Milestones!$AB$186&amp;" "&amp;Milestones!$AC$186&amp;";  ","")&amp;IF(AND(EDATE($D59,Milestones!$AA$187)&lt;=AsOfDate,IF($Q59=0,$W59,IF(AND($S59&lt;&gt;"",EDATE($D59,Milestones!$AA$187)&gt;=$S59),$V59,IF(AND($R59&lt;&gt;"",EDATE($D59,Milestones!$AA$187)&gt;=$R59),$U59,$T59)))=Milestones!$AB$187),TEXT(EDATE($D59,Milestones!$AA$187),"dd/mm/yy")&amp;" "&amp;Milestones!$AB$187&amp;" "&amp;Milestones!$AC$187&amp;";  ","")&amp;IF(AND(EDATE($D59,Milestones!$AA$188)&lt;=AsOfDate,IF($Q59=0,$W59,IF(AND($S59&lt;&gt;"",EDATE($D59,Milestones!$AA$188)&gt;=$S59),$V59,IF(AND($R59&lt;&gt;"",EDATE($D59,Milestones!$AA$188)&gt;=$R59),$U59,$T59)))=Milestones!$AB$188),TEXT(EDATE($D59,Milestones!$AA$188),"dd/mm/yy")&amp;" "&amp;Milestones!$AB$188&amp;" "&amp;Milestones!$AC$188&amp;";  ","")&amp;IF(AND(EDATE($D59,Milestones!$AA$189)&lt;=AsOfDate,IF($Q59=0,$W59,IF(AND($S59&lt;&gt;"",EDATE($D59,Milestones!$AA$189)&gt;=$S59),$V59,IF(AND($R59&lt;&gt;"",EDATE($D59,Milestones!$AA$189)&gt;=$R59),$U59,$T59)))=Milestones!$AB$189),TEXT(EDATE($D59,Milestones!$AA$189),"dd/mm/yy")&amp;" "&amp;Milestones!$AB$189&amp;" "&amp;Milestones!$AC$189&amp;";  ","")&amp;IF(AND(EDATE($D59,Milestones!$AA$190)&lt;=AsOfDate,IF($Q59=0,$W59,IF(AND($S59&lt;&gt;"",EDATE($D59,Milestones!$AA$190)&gt;=$S59),$V59,IF(AND($R59&lt;&gt;"",EDATE($D59,Milestones!$AA$190)&gt;=$R59),$U59,$T59)))=Milestones!$AB$190),TEXT(EDATE($D59,Milestones!$AA$190),"dd/mm/yy")&amp;" "&amp;Milestones!$AB$190&amp;" "&amp;Milestones!$AC$190&amp;";  ","")&amp;IF(AND(EDATE($D59,Milestones!$AA$191)&lt;=AsOfDate,IF($Q59=0,$W59,IF(AND($S59&lt;&gt;"",EDATE($D59,Milestones!$AA$191)&gt;=$S59),$V59,IF(AND($R59&lt;&gt;"",EDATE($D59,Milestones!$AA$191)&gt;=$R59),$U59,$T59)))=Milestones!$AB$191),TEXT(EDATE($D59,Milestones!$AA$191),"dd/mm/yy")&amp;" "&amp;Milestones!$AB$191&amp;" "&amp;Milestones!$AC$191&amp;";  ","")&amp;IF(AND(EDATE($D59,Milestones!$AA$192)&lt;=AsOfDate,IF($Q59=0,$W59,IF(AND($S59&lt;&gt;"",EDATE($D59,Milestones!$AA$192)&gt;=$S59),$V59,IF(AND($R59&lt;&gt;"",EDATE($D59,Milestones!$AA$192)&gt;=$R59),$U59,$T59)))=Milestones!$AB$192),TEXT(EDATE($D59,Milestones!$AA$192),"dd/mm/yy")&amp;" "&amp;Milestones!$AB$192&amp;" "&amp;Milestones!$AC$192&amp;";  ","")&amp;IF(AND(EDATE($D59,Milestones!$AA$193)&lt;=AsOfDate,IF($Q59=0,$W59,IF(AND($S59&lt;&gt;"",EDATE($D59,Milestones!$AA$193)&gt;=$S59),$V59,IF(AND($R59&lt;&gt;"",EDATE($D59,Milestones!$AA$193)&gt;=$R59),$U59,$T59)))=Milestones!$AB$193),TEXT(EDATE($D59,Milestones!$AA$193),"dd/mm/yy")&amp;" "&amp;Milestones!$AB$193&amp;" "&amp;Milestones!$AC$193&amp;";  ","")&amp;IF(AND(EDATE($D59,Milestones!$AA$194)&lt;=AsOfDate,IF($Q59=0,$W59,IF(AND($S59&lt;&gt;"",EDATE($D59,Milestones!$AA$194)&gt;=$S59),$V59,IF(AND($R59&lt;&gt;"",EDATE($D59,Milestones!$AA$194)&gt;=$R59),$U59,$T59)))=Milestones!$AB$194),TEXT(EDATE($D59,Milestones!$AA$194),"dd/mm/yy")&amp;" "&amp;Milestones!$AB$194&amp;" "&amp;Milestones!$AC$194&amp;";  ","")&amp;IF(AND(EDATE($D59,Milestones!$AA$195)&lt;=AsOfDate,IF($Q59=0,$W59,IF(AND($S59&lt;&gt;"",EDATE($D59,Milestones!$AA$195)&gt;=$S59),$V59,IF(AND($R59&lt;&gt;"",EDATE($D59,Milestones!$AA$195)&gt;=$R59),$U59,$T59)))=Milestones!$AB$195),TEXT(EDATE($D59,Milestones!$AA$195),"dd/mm/yy")&amp;" "&amp;Milestones!$AB$195&amp;" "&amp;Milestones!$AC$195&amp;";  ","")&amp;IF(AND(EDATE($D59,Milestones!$AA$196)&lt;=AsOfDate,IF($Q59=0,$W59,IF(AND($S59&lt;&gt;"",EDATE($D59,Milestones!$AA$196)&gt;=$S59),$V59,IF(AND($R59&lt;&gt;"",EDATE($D59,Milestones!$AA$196)&gt;=$R59),$U59,$T59)))=Milestones!$AB$196),TEXT(EDATE($D59,Milestones!$AA$196),"dd/mm/yy")&amp;" "&amp;Milestones!$AB$196&amp;" "&amp;Milestones!$AC$196&amp;";  ","")&amp;IF(AND(EDATE($D59,Milestones!$AA$197)&lt;=AsOfDate,IF($Q59=0,$W59,IF(AND($S59&lt;&gt;"",EDATE($D59,Milestones!$AA$197)&gt;=$S59),$V59,IF(AND($R59&lt;&gt;"",EDATE($D59,Milestones!$AA$197)&gt;=$R59),$U59,$T59)))=Milestones!$AB$197),TEXT(EDATE($D59,Milestones!$AA$197),"dd/mm/yy")&amp;" "&amp;Milestones!$AB$197&amp;" "&amp;Milestones!$AC$197&amp;";  ","")&amp;IF(AND(EDATE($D59,Milestones!$AA$198)&lt;=AsOfDate,IF($Q59=0,$W59,IF(AND($S59&lt;&gt;"",EDATE($D59,Milestones!$AA$198)&gt;=$S59),$V59,IF(AND($R59&lt;&gt;"",EDATE($D59,Milestones!$AA$198)&gt;=$R59),$U59,$T59)))=Milestones!$AB$198),TEXT(EDATE($D59,Milestones!$AA$198),"dd/mm/yy")&amp;" "&amp;Milestones!$AB$198&amp;" "&amp;Milestones!$AC$198&amp;";  ","")&amp;IF(AND(EDATE($D59,Milestones!$AA$199)&lt;=AsOfDate,IF($Q59=0,$W59,IF(AND($S59&lt;&gt;"",EDATE($D59,Milestones!$AA$199)&gt;=$S59),$V59,IF(AND($R59&lt;&gt;"",EDATE($D59,Milestones!$AA$199)&gt;=$R59),$U59,$T59)))=Milestones!$AB$199),TEXT(EDATE($D59,Milestones!$AA$199),"dd/mm/yy")&amp;" "&amp;Milestones!$AB$199&amp;" "&amp;Milestones!$AC$199&amp;";  ",""))</f>
        <v/>
      </c>
      <c r="Q59" s="0" t="str">
        <f aca="false">IF(Staff!$A59="","",Staff!$AG59)</f>
        <v/>
      </c>
      <c r="R59" s="0" t="str">
        <f aca="false">IF(Staff!$A59="","",Staff!$AI59)</f>
        <v/>
      </c>
      <c r="S59" s="0" t="str">
        <f aca="false">IF(Staff!$A59="","",Staff!$AJ59)</f>
        <v/>
      </c>
      <c r="T59" s="0" t="str">
        <f aca="false">IF(Staff!$A59="","",Staff!$AN59)</f>
        <v/>
      </c>
      <c r="U59" s="0" t="str">
        <f aca="false">IF(Staff!$A59="","",Staff!$AO59)</f>
        <v/>
      </c>
      <c r="V59" s="0" t="str">
        <f aca="false">IF(Staff!$A59="","",Staff!$AP59)</f>
        <v/>
      </c>
      <c r="W59" s="0" t="str">
        <f aca="false">IF(Staff!$A59="","",Staff!$AQ59)</f>
        <v/>
      </c>
    </row>
    <row r="60" customFormat="false" ht="15" hidden="false" customHeight="false" outlineLevel="0" collapsed="false">
      <c r="A60" s="13" t="str">
        <f aca="false">IF(Staff!$A60="","",Staff!$A60)</f>
        <v/>
      </c>
      <c r="B60" s="13" t="str">
        <f aca="false">IF(Staff!$A60="","",Staff!$B60)</f>
        <v/>
      </c>
      <c r="C60" s="13" t="str">
        <f aca="false">IF(Staff!$A60="","",Staff!$C60)</f>
        <v/>
      </c>
      <c r="D60" s="11" t="str">
        <f aca="false">IF(Staff!$A60="","",Staff!$AF60)</f>
        <v/>
      </c>
      <c r="E60" s="13" t="str">
        <f aca="false">IF(Staff!$A60="","",Staff!$O60)</f>
        <v/>
      </c>
      <c r="F60" s="13" t="str">
        <f aca="false">IF(E60="","",E60*HoursPerDay)</f>
        <v/>
      </c>
      <c r="G60" s="26" t="str">
        <f aca="false">IF($A60="","",H60&amp;I60&amp;J60&amp;K60&amp;L60&amp;M60&amp;N60&amp;O60&amp;P60)</f>
        <v/>
      </c>
      <c r="H60" s="0" t="str">
        <f aca="false">IF(OR($A60="",$D60=""),"",IF(AND(EDATE($D60,Milestones!$AA$20)&lt;=AsOfDate,IF($Q60=0,$W60,IF(AND($S60&lt;&gt;"",EDATE($D60,Milestones!$AA$20)&gt;=$S60),$V60,IF(AND($R60&lt;&gt;"",EDATE($D60,Milestones!$AA$20)&gt;=$R60),$U60,$T60)))=Milestones!$AB$20),TEXT(EDATE($D60,Milestones!$AA$20),"dd/mm/yy")&amp;" "&amp;Milestones!$AB$20&amp;" "&amp;Milestones!$AC$20&amp;";  ","")&amp;IF(AND(EDATE($D60,Milestones!$AA$21)&lt;=AsOfDate,IF($Q60=0,$W60,IF(AND($S60&lt;&gt;"",EDATE($D60,Milestones!$AA$21)&gt;=$S60),$V60,IF(AND($R60&lt;&gt;"",EDATE($D60,Milestones!$AA$21)&gt;=$R60),$U60,$T60)))=Milestones!$AB$21),TEXT(EDATE($D60,Milestones!$AA$21),"dd/mm/yy")&amp;" "&amp;Milestones!$AB$21&amp;" "&amp;Milestones!$AC$21&amp;";  ","")&amp;IF(AND(EDATE($D60,Milestones!$AA$22)&lt;=AsOfDate,IF($Q60=0,$W60,IF(AND($S60&lt;&gt;"",EDATE($D60,Milestones!$AA$22)&gt;=$S60),$V60,IF(AND($R60&lt;&gt;"",EDATE($D60,Milestones!$AA$22)&gt;=$R60),$U60,$T60)))=Milestones!$AB$22),TEXT(EDATE($D60,Milestones!$AA$22),"dd/mm/yy")&amp;" "&amp;Milestones!$AB$22&amp;" "&amp;Milestones!$AC$22&amp;";  ","")&amp;IF(AND(EDATE($D60,Milestones!$AA$23)&lt;=AsOfDate,IF($Q60=0,$W60,IF(AND($S60&lt;&gt;"",EDATE($D60,Milestones!$AA$23)&gt;=$S60),$V60,IF(AND($R60&lt;&gt;"",EDATE($D60,Milestones!$AA$23)&gt;=$R60),$U60,$T60)))=Milestones!$AB$23),TEXT(EDATE($D60,Milestones!$AA$23),"dd/mm/yy")&amp;" "&amp;Milestones!$AB$23&amp;" "&amp;Milestones!$AC$23&amp;";  ","")&amp;IF(AND(EDATE($D60,Milestones!$AA$24)&lt;=AsOfDate,IF($Q60=0,$W60,IF(AND($S60&lt;&gt;"",EDATE($D60,Milestones!$AA$24)&gt;=$S60),$V60,IF(AND($R60&lt;&gt;"",EDATE($D60,Milestones!$AA$24)&gt;=$R60),$U60,$T60)))=Milestones!$AB$24),TEXT(EDATE($D60,Milestones!$AA$24),"dd/mm/yy")&amp;" "&amp;Milestones!$AB$24&amp;" "&amp;Milestones!$AC$24&amp;";  ","")&amp;IF(AND(EDATE($D60,Milestones!$AA$25)&lt;=AsOfDate,IF($Q60=0,$W60,IF(AND($S60&lt;&gt;"",EDATE($D60,Milestones!$AA$25)&gt;=$S60),$V60,IF(AND($R60&lt;&gt;"",EDATE($D60,Milestones!$AA$25)&gt;=$R60),$U60,$T60)))=Milestones!$AB$25),TEXT(EDATE($D60,Milestones!$AA$25),"dd/mm/yy")&amp;" "&amp;Milestones!$AB$25&amp;" "&amp;Milestones!$AC$25&amp;";  ","")&amp;IF(AND(EDATE($D60,Milestones!$AA$26)&lt;=AsOfDate,IF($Q60=0,$W60,IF(AND($S60&lt;&gt;"",EDATE($D60,Milestones!$AA$26)&gt;=$S60),$V60,IF(AND($R60&lt;&gt;"",EDATE($D60,Milestones!$AA$26)&gt;=$R60),$U60,$T60)))=Milestones!$AB$26),TEXT(EDATE($D60,Milestones!$AA$26),"dd/mm/yy")&amp;" "&amp;Milestones!$AB$26&amp;" "&amp;Milestones!$AC$26&amp;";  ","")&amp;IF(AND(EDATE($D60,Milestones!$AA$27)&lt;=AsOfDate,IF($Q60=0,$W60,IF(AND($S60&lt;&gt;"",EDATE($D60,Milestones!$AA$27)&gt;=$S60),$V60,IF(AND($R60&lt;&gt;"",EDATE($D60,Milestones!$AA$27)&gt;=$R60),$U60,$T60)))=Milestones!$AB$27),TEXT(EDATE($D60,Milestones!$AA$27),"dd/mm/yy")&amp;" "&amp;Milestones!$AB$27&amp;" "&amp;Milestones!$AC$27&amp;";  ","")&amp;IF(AND(EDATE($D60,Milestones!$AA$28)&lt;=AsOfDate,IF($Q60=0,$W60,IF(AND($S60&lt;&gt;"",EDATE($D60,Milestones!$AA$28)&gt;=$S60),$V60,IF(AND($R60&lt;&gt;"",EDATE($D60,Milestones!$AA$28)&gt;=$R60),$U60,$T60)))=Milestones!$AB$28),TEXT(EDATE($D60,Milestones!$AA$28),"dd/mm/yy")&amp;" "&amp;Milestones!$AB$28&amp;" "&amp;Milestones!$AC$28&amp;";  ","")&amp;IF(AND(EDATE($D60,Milestones!$AA$29)&lt;=AsOfDate,IF($Q60=0,$W60,IF(AND($S60&lt;&gt;"",EDATE($D60,Milestones!$AA$29)&gt;=$S60),$V60,IF(AND($R60&lt;&gt;"",EDATE($D60,Milestones!$AA$29)&gt;=$R60),$U60,$T60)))=Milestones!$AB$29),TEXT(EDATE($D60,Milestones!$AA$29),"dd/mm/yy")&amp;" "&amp;Milestones!$AB$29&amp;" "&amp;Milestones!$AC$29&amp;";  ","")&amp;IF(AND(EDATE($D60,Milestones!$AA$30)&lt;=AsOfDate,IF($Q60=0,$W60,IF(AND($S60&lt;&gt;"",EDATE($D60,Milestones!$AA$30)&gt;=$S60),$V60,IF(AND($R60&lt;&gt;"",EDATE($D60,Milestones!$AA$30)&gt;=$R60),$U60,$T60)))=Milestones!$AB$30),TEXT(EDATE($D60,Milestones!$AA$30),"dd/mm/yy")&amp;" "&amp;Milestones!$AB$30&amp;" "&amp;Milestones!$AC$30&amp;";  ","")&amp;IF(AND(EDATE($D60,Milestones!$AA$31)&lt;=AsOfDate,IF($Q60=0,$W60,IF(AND($S60&lt;&gt;"",EDATE($D60,Milestones!$AA$31)&gt;=$S60),$V60,IF(AND($R60&lt;&gt;"",EDATE($D60,Milestones!$AA$31)&gt;=$R60),$U60,$T60)))=Milestones!$AB$31),TEXT(EDATE($D60,Milestones!$AA$31),"dd/mm/yy")&amp;" "&amp;Milestones!$AB$31&amp;" "&amp;Milestones!$AC$31&amp;";  ","")&amp;IF(AND(EDATE($D60,Milestones!$AA$32)&lt;=AsOfDate,IF($Q60=0,$W60,IF(AND($S60&lt;&gt;"",EDATE($D60,Milestones!$AA$32)&gt;=$S60),$V60,IF(AND($R60&lt;&gt;"",EDATE($D60,Milestones!$AA$32)&gt;=$R60),$U60,$T60)))=Milestones!$AB$32),TEXT(EDATE($D60,Milestones!$AA$32),"dd/mm/yy")&amp;" "&amp;Milestones!$AB$32&amp;" "&amp;Milestones!$AC$32&amp;";  ","")&amp;IF(AND(EDATE($D60,Milestones!$AA$33)&lt;=AsOfDate,IF($Q60=0,$W60,IF(AND($S60&lt;&gt;"",EDATE($D60,Milestones!$AA$33)&gt;=$S60),$V60,IF(AND($R60&lt;&gt;"",EDATE($D60,Milestones!$AA$33)&gt;=$R60),$U60,$T60)))=Milestones!$AB$33),TEXT(EDATE($D60,Milestones!$AA$33),"dd/mm/yy")&amp;" "&amp;Milestones!$AB$33&amp;" "&amp;Milestones!$AC$33&amp;";  ","")&amp;IF(AND(EDATE($D60,Milestones!$AA$34)&lt;=AsOfDate,IF($Q60=0,$W60,IF(AND($S60&lt;&gt;"",EDATE($D60,Milestones!$AA$34)&gt;=$S60),$V60,IF(AND($R60&lt;&gt;"",EDATE($D60,Milestones!$AA$34)&gt;=$R60),$U60,$T60)))=Milestones!$AB$34),TEXT(EDATE($D60,Milestones!$AA$34),"dd/mm/yy")&amp;" "&amp;Milestones!$AB$34&amp;" "&amp;Milestones!$AC$34&amp;";  ","")&amp;IF(AND(EDATE($D60,Milestones!$AA$35)&lt;=AsOfDate,IF($Q60=0,$W60,IF(AND($S60&lt;&gt;"",EDATE($D60,Milestones!$AA$35)&gt;=$S60),$V60,IF(AND($R60&lt;&gt;"",EDATE($D60,Milestones!$AA$35)&gt;=$R60),$U60,$T60)))=Milestones!$AB$35),TEXT(EDATE($D60,Milestones!$AA$35),"dd/mm/yy")&amp;" "&amp;Milestones!$AB$35&amp;" "&amp;Milestones!$AC$35&amp;";  ","")&amp;IF(AND(EDATE($D60,Milestones!$AA$36)&lt;=AsOfDate,IF($Q60=0,$W60,IF(AND($S60&lt;&gt;"",EDATE($D60,Milestones!$AA$36)&gt;=$S60),$V60,IF(AND($R60&lt;&gt;"",EDATE($D60,Milestones!$AA$36)&gt;=$R60),$U60,$T60)))=Milestones!$AB$36),TEXT(EDATE($D60,Milestones!$AA$36),"dd/mm/yy")&amp;" "&amp;Milestones!$AB$36&amp;" "&amp;Milestones!$AC$36&amp;";  ","")&amp;IF(AND(EDATE($D60,Milestones!$AA$37)&lt;=AsOfDate,IF($Q60=0,$W60,IF(AND($S60&lt;&gt;"",EDATE($D60,Milestones!$AA$37)&gt;=$S60),$V60,IF(AND($R60&lt;&gt;"",EDATE($D60,Milestones!$AA$37)&gt;=$R60),$U60,$T60)))=Milestones!$AB$37),TEXT(EDATE($D60,Milestones!$AA$37),"dd/mm/yy")&amp;" "&amp;Milestones!$AB$37&amp;" "&amp;Milestones!$AC$37&amp;";  ","")&amp;IF(AND(EDATE($D60,Milestones!$AA$38)&lt;=AsOfDate,IF($Q60=0,$W60,IF(AND($S60&lt;&gt;"",EDATE($D60,Milestones!$AA$38)&gt;=$S60),$V60,IF(AND($R60&lt;&gt;"",EDATE($D60,Milestones!$AA$38)&gt;=$R60),$U60,$T60)))=Milestones!$AB$38),TEXT(EDATE($D60,Milestones!$AA$38),"dd/mm/yy")&amp;" "&amp;Milestones!$AB$38&amp;" "&amp;Milestones!$AC$38&amp;";  ","")&amp;IF(AND(EDATE($D60,Milestones!$AA$39)&lt;=AsOfDate,IF($Q60=0,$W60,IF(AND($S60&lt;&gt;"",EDATE($D60,Milestones!$AA$39)&gt;=$S60),$V60,IF(AND($R60&lt;&gt;"",EDATE($D60,Milestones!$AA$39)&gt;=$R60),$U60,$T60)))=Milestones!$AB$39),TEXT(EDATE($D60,Milestones!$AA$39),"dd/mm/yy")&amp;" "&amp;Milestones!$AB$39&amp;" "&amp;Milestones!$AC$39&amp;";  ",""))</f>
        <v/>
      </c>
      <c r="I60" s="0" t="str">
        <f aca="false">IF(OR($A60="",$D60=""),"",IF(AND(EDATE($D60,Milestones!$AA$40)&lt;=AsOfDate,IF($Q60=0,$W60,IF(AND($S60&lt;&gt;"",EDATE($D60,Milestones!$AA$40)&gt;=$S60),$V60,IF(AND($R60&lt;&gt;"",EDATE($D60,Milestones!$AA$40)&gt;=$R60),$U60,$T60)))=Milestones!$AB$40),TEXT(EDATE($D60,Milestones!$AA$40),"dd/mm/yy")&amp;" "&amp;Milestones!$AB$40&amp;" "&amp;Milestones!$AC$40&amp;";  ","")&amp;IF(AND(EDATE($D60,Milestones!$AA$41)&lt;=AsOfDate,IF($Q60=0,$W60,IF(AND($S60&lt;&gt;"",EDATE($D60,Milestones!$AA$41)&gt;=$S60),$V60,IF(AND($R60&lt;&gt;"",EDATE($D60,Milestones!$AA$41)&gt;=$R60),$U60,$T60)))=Milestones!$AB$41),TEXT(EDATE($D60,Milestones!$AA$41),"dd/mm/yy")&amp;" "&amp;Milestones!$AB$41&amp;" "&amp;Milestones!$AC$41&amp;";  ","")&amp;IF(AND(EDATE($D60,Milestones!$AA$42)&lt;=AsOfDate,IF($Q60=0,$W60,IF(AND($S60&lt;&gt;"",EDATE($D60,Milestones!$AA$42)&gt;=$S60),$V60,IF(AND($R60&lt;&gt;"",EDATE($D60,Milestones!$AA$42)&gt;=$R60),$U60,$T60)))=Milestones!$AB$42),TEXT(EDATE($D60,Milestones!$AA$42),"dd/mm/yy")&amp;" "&amp;Milestones!$AB$42&amp;" "&amp;Milestones!$AC$42&amp;";  ","")&amp;IF(AND(EDATE($D60,Milestones!$AA$43)&lt;=AsOfDate,IF($Q60=0,$W60,IF(AND($S60&lt;&gt;"",EDATE($D60,Milestones!$AA$43)&gt;=$S60),$V60,IF(AND($R60&lt;&gt;"",EDATE($D60,Milestones!$AA$43)&gt;=$R60),$U60,$T60)))=Milestones!$AB$43),TEXT(EDATE($D60,Milestones!$AA$43),"dd/mm/yy")&amp;" "&amp;Milestones!$AB$43&amp;" "&amp;Milestones!$AC$43&amp;";  ","")&amp;IF(AND(EDATE($D60,Milestones!$AA$44)&lt;=AsOfDate,IF($Q60=0,$W60,IF(AND($S60&lt;&gt;"",EDATE($D60,Milestones!$AA$44)&gt;=$S60),$V60,IF(AND($R60&lt;&gt;"",EDATE($D60,Milestones!$AA$44)&gt;=$R60),$U60,$T60)))=Milestones!$AB$44),TEXT(EDATE($D60,Milestones!$AA$44),"dd/mm/yy")&amp;" "&amp;Milestones!$AB$44&amp;" "&amp;Milestones!$AC$44&amp;";  ","")&amp;IF(AND(EDATE($D60,Milestones!$AA$45)&lt;=AsOfDate,IF($Q60=0,$W60,IF(AND($S60&lt;&gt;"",EDATE($D60,Milestones!$AA$45)&gt;=$S60),$V60,IF(AND($R60&lt;&gt;"",EDATE($D60,Milestones!$AA$45)&gt;=$R60),$U60,$T60)))=Milestones!$AB$45),TEXT(EDATE($D60,Milestones!$AA$45),"dd/mm/yy")&amp;" "&amp;Milestones!$AB$45&amp;" "&amp;Milestones!$AC$45&amp;";  ","")&amp;IF(AND(EDATE($D60,Milestones!$AA$46)&lt;=AsOfDate,IF($Q60=0,$W60,IF(AND($S60&lt;&gt;"",EDATE($D60,Milestones!$AA$46)&gt;=$S60),$V60,IF(AND($R60&lt;&gt;"",EDATE($D60,Milestones!$AA$46)&gt;=$R60),$U60,$T60)))=Milestones!$AB$46),TEXT(EDATE($D60,Milestones!$AA$46),"dd/mm/yy")&amp;" "&amp;Milestones!$AB$46&amp;" "&amp;Milestones!$AC$46&amp;";  ","")&amp;IF(AND(EDATE($D60,Milestones!$AA$47)&lt;=AsOfDate,IF($Q60=0,$W60,IF(AND($S60&lt;&gt;"",EDATE($D60,Milestones!$AA$47)&gt;=$S60),$V60,IF(AND($R60&lt;&gt;"",EDATE($D60,Milestones!$AA$47)&gt;=$R60),$U60,$T60)))=Milestones!$AB$47),TEXT(EDATE($D60,Milestones!$AA$47),"dd/mm/yy")&amp;" "&amp;Milestones!$AB$47&amp;" "&amp;Milestones!$AC$47&amp;";  ","")&amp;IF(AND(EDATE($D60,Milestones!$AA$48)&lt;=AsOfDate,IF($Q60=0,$W60,IF(AND($S60&lt;&gt;"",EDATE($D60,Milestones!$AA$48)&gt;=$S60),$V60,IF(AND($R60&lt;&gt;"",EDATE($D60,Milestones!$AA$48)&gt;=$R60),$U60,$T60)))=Milestones!$AB$48),TEXT(EDATE($D60,Milestones!$AA$48),"dd/mm/yy")&amp;" "&amp;Milestones!$AB$48&amp;" "&amp;Milestones!$AC$48&amp;";  ","")&amp;IF(AND(EDATE($D60,Milestones!$AA$49)&lt;=AsOfDate,IF($Q60=0,$W60,IF(AND($S60&lt;&gt;"",EDATE($D60,Milestones!$AA$49)&gt;=$S60),$V60,IF(AND($R60&lt;&gt;"",EDATE($D60,Milestones!$AA$49)&gt;=$R60),$U60,$T60)))=Milestones!$AB$49),TEXT(EDATE($D60,Milestones!$AA$49),"dd/mm/yy")&amp;" "&amp;Milestones!$AB$49&amp;" "&amp;Milestones!$AC$49&amp;";  ","")&amp;IF(AND(EDATE($D60,Milestones!$AA$50)&lt;=AsOfDate,IF($Q60=0,$W60,IF(AND($S60&lt;&gt;"",EDATE($D60,Milestones!$AA$50)&gt;=$S60),$V60,IF(AND($R60&lt;&gt;"",EDATE($D60,Milestones!$AA$50)&gt;=$R60),$U60,$T60)))=Milestones!$AB$50),TEXT(EDATE($D60,Milestones!$AA$50),"dd/mm/yy")&amp;" "&amp;Milestones!$AB$50&amp;" "&amp;Milestones!$AC$50&amp;";  ","")&amp;IF(AND(EDATE($D60,Milestones!$AA$51)&lt;=AsOfDate,IF($Q60=0,$W60,IF(AND($S60&lt;&gt;"",EDATE($D60,Milestones!$AA$51)&gt;=$S60),$V60,IF(AND($R60&lt;&gt;"",EDATE($D60,Milestones!$AA$51)&gt;=$R60),$U60,$T60)))=Milestones!$AB$51),TEXT(EDATE($D60,Milestones!$AA$51),"dd/mm/yy")&amp;" "&amp;Milestones!$AB$51&amp;" "&amp;Milestones!$AC$51&amp;";  ","")&amp;IF(AND(EDATE($D60,Milestones!$AA$52)&lt;=AsOfDate,IF($Q60=0,$W60,IF(AND($S60&lt;&gt;"",EDATE($D60,Milestones!$AA$52)&gt;=$S60),$V60,IF(AND($R60&lt;&gt;"",EDATE($D60,Milestones!$AA$52)&gt;=$R60),$U60,$T60)))=Milestones!$AB$52),TEXT(EDATE($D60,Milestones!$AA$52),"dd/mm/yy")&amp;" "&amp;Milestones!$AB$52&amp;" "&amp;Milestones!$AC$52&amp;";  ","")&amp;IF(AND(EDATE($D60,Milestones!$AA$53)&lt;=AsOfDate,IF($Q60=0,$W60,IF(AND($S60&lt;&gt;"",EDATE($D60,Milestones!$AA$53)&gt;=$S60),$V60,IF(AND($R60&lt;&gt;"",EDATE($D60,Milestones!$AA$53)&gt;=$R60),$U60,$T60)))=Milestones!$AB$53),TEXT(EDATE($D60,Milestones!$AA$53),"dd/mm/yy")&amp;" "&amp;Milestones!$AB$53&amp;" "&amp;Milestones!$AC$53&amp;";  ","")&amp;IF(AND(EDATE($D60,Milestones!$AA$54)&lt;=AsOfDate,IF($Q60=0,$W60,IF(AND($S60&lt;&gt;"",EDATE($D60,Milestones!$AA$54)&gt;=$S60),$V60,IF(AND($R60&lt;&gt;"",EDATE($D60,Milestones!$AA$54)&gt;=$R60),$U60,$T60)))=Milestones!$AB$54),TEXT(EDATE($D60,Milestones!$AA$54),"dd/mm/yy")&amp;" "&amp;Milestones!$AB$54&amp;" "&amp;Milestones!$AC$54&amp;";  ","")&amp;IF(AND(EDATE($D60,Milestones!$AA$55)&lt;=AsOfDate,IF($Q60=0,$W60,IF(AND($S60&lt;&gt;"",EDATE($D60,Milestones!$AA$55)&gt;=$S60),$V60,IF(AND($R60&lt;&gt;"",EDATE($D60,Milestones!$AA$55)&gt;=$R60),$U60,$T60)))=Milestones!$AB$55),TEXT(EDATE($D60,Milestones!$AA$55),"dd/mm/yy")&amp;" "&amp;Milestones!$AB$55&amp;" "&amp;Milestones!$AC$55&amp;";  ","")&amp;IF(AND(EDATE($D60,Milestones!$AA$56)&lt;=AsOfDate,IF($Q60=0,$W60,IF(AND($S60&lt;&gt;"",EDATE($D60,Milestones!$AA$56)&gt;=$S60),$V60,IF(AND($R60&lt;&gt;"",EDATE($D60,Milestones!$AA$56)&gt;=$R60),$U60,$T60)))=Milestones!$AB$56),TEXT(EDATE($D60,Milestones!$AA$56),"dd/mm/yy")&amp;" "&amp;Milestones!$AB$56&amp;" "&amp;Milestones!$AC$56&amp;";  ","")&amp;IF(AND(EDATE($D60,Milestones!$AA$57)&lt;=AsOfDate,IF($Q60=0,$W60,IF(AND($S60&lt;&gt;"",EDATE($D60,Milestones!$AA$57)&gt;=$S60),$V60,IF(AND($R60&lt;&gt;"",EDATE($D60,Milestones!$AA$57)&gt;=$R60),$U60,$T60)))=Milestones!$AB$57),TEXT(EDATE($D60,Milestones!$AA$57),"dd/mm/yy")&amp;" "&amp;Milestones!$AB$57&amp;" "&amp;Milestones!$AC$57&amp;";  ","")&amp;IF(AND(EDATE($D60,Milestones!$AA$58)&lt;=AsOfDate,IF($Q60=0,$W60,IF(AND($S60&lt;&gt;"",EDATE($D60,Milestones!$AA$58)&gt;=$S60),$V60,IF(AND($R60&lt;&gt;"",EDATE($D60,Milestones!$AA$58)&gt;=$R60),$U60,$T60)))=Milestones!$AB$58),TEXT(EDATE($D60,Milestones!$AA$58),"dd/mm/yy")&amp;" "&amp;Milestones!$AB$58&amp;" "&amp;Milestones!$AC$58&amp;";  ","")&amp;IF(AND(EDATE($D60,Milestones!$AA$59)&lt;=AsOfDate,IF($Q60=0,$W60,IF(AND($S60&lt;&gt;"",EDATE($D60,Milestones!$AA$59)&gt;=$S60),$V60,IF(AND($R60&lt;&gt;"",EDATE($D60,Milestones!$AA$59)&gt;=$R60),$U60,$T60)))=Milestones!$AB$59),TEXT(EDATE($D60,Milestones!$AA$59),"dd/mm/yy")&amp;" "&amp;Milestones!$AB$59&amp;" "&amp;Milestones!$AC$59&amp;";  ",""))</f>
        <v/>
      </c>
      <c r="J60" s="0" t="str">
        <f aca="false">IF(OR($A60="",$D60=""),"",IF(AND(EDATE($D60,Milestones!$AA$60)&lt;=AsOfDate,IF($Q60=0,$W60,IF(AND($S60&lt;&gt;"",EDATE($D60,Milestones!$AA$60)&gt;=$S60),$V60,IF(AND($R60&lt;&gt;"",EDATE($D60,Milestones!$AA$60)&gt;=$R60),$U60,$T60)))=Milestones!$AB$60),TEXT(EDATE($D60,Milestones!$AA$60),"dd/mm/yy")&amp;" "&amp;Milestones!$AB$60&amp;" "&amp;Milestones!$AC$60&amp;";  ","")&amp;IF(AND(EDATE($D60,Milestones!$AA$61)&lt;=AsOfDate,IF($Q60=0,$W60,IF(AND($S60&lt;&gt;"",EDATE($D60,Milestones!$AA$61)&gt;=$S60),$V60,IF(AND($R60&lt;&gt;"",EDATE($D60,Milestones!$AA$61)&gt;=$R60),$U60,$T60)))=Milestones!$AB$61),TEXT(EDATE($D60,Milestones!$AA$61),"dd/mm/yy")&amp;" "&amp;Milestones!$AB$61&amp;" "&amp;Milestones!$AC$61&amp;";  ","")&amp;IF(AND(EDATE($D60,Milestones!$AA$62)&lt;=AsOfDate,IF($Q60=0,$W60,IF(AND($S60&lt;&gt;"",EDATE($D60,Milestones!$AA$62)&gt;=$S60),$V60,IF(AND($R60&lt;&gt;"",EDATE($D60,Milestones!$AA$62)&gt;=$R60),$U60,$T60)))=Milestones!$AB$62),TEXT(EDATE($D60,Milestones!$AA$62),"dd/mm/yy")&amp;" "&amp;Milestones!$AB$62&amp;" "&amp;Milestones!$AC$62&amp;";  ","")&amp;IF(AND(EDATE($D60,Milestones!$AA$63)&lt;=AsOfDate,IF($Q60=0,$W60,IF(AND($S60&lt;&gt;"",EDATE($D60,Milestones!$AA$63)&gt;=$S60),$V60,IF(AND($R60&lt;&gt;"",EDATE($D60,Milestones!$AA$63)&gt;=$R60),$U60,$T60)))=Milestones!$AB$63),TEXT(EDATE($D60,Milestones!$AA$63),"dd/mm/yy")&amp;" "&amp;Milestones!$AB$63&amp;" "&amp;Milestones!$AC$63&amp;";  ","")&amp;IF(AND(EDATE($D60,Milestones!$AA$64)&lt;=AsOfDate,IF($Q60=0,$W60,IF(AND($S60&lt;&gt;"",EDATE($D60,Milestones!$AA$64)&gt;=$S60),$V60,IF(AND($R60&lt;&gt;"",EDATE($D60,Milestones!$AA$64)&gt;=$R60),$U60,$T60)))=Milestones!$AB$64),TEXT(EDATE($D60,Milestones!$AA$64),"dd/mm/yy")&amp;" "&amp;Milestones!$AB$64&amp;" "&amp;Milestones!$AC$64&amp;";  ","")&amp;IF(AND(EDATE($D60,Milestones!$AA$65)&lt;=AsOfDate,IF($Q60=0,$W60,IF(AND($S60&lt;&gt;"",EDATE($D60,Milestones!$AA$65)&gt;=$S60),$V60,IF(AND($R60&lt;&gt;"",EDATE($D60,Milestones!$AA$65)&gt;=$R60),$U60,$T60)))=Milestones!$AB$65),TEXT(EDATE($D60,Milestones!$AA$65),"dd/mm/yy")&amp;" "&amp;Milestones!$AB$65&amp;" "&amp;Milestones!$AC$65&amp;";  ","")&amp;IF(AND(EDATE($D60,Milestones!$AA$66)&lt;=AsOfDate,IF($Q60=0,$W60,IF(AND($S60&lt;&gt;"",EDATE($D60,Milestones!$AA$66)&gt;=$S60),$V60,IF(AND($R60&lt;&gt;"",EDATE($D60,Milestones!$AA$66)&gt;=$R60),$U60,$T60)))=Milestones!$AB$66),TEXT(EDATE($D60,Milestones!$AA$66),"dd/mm/yy")&amp;" "&amp;Milestones!$AB$66&amp;" "&amp;Milestones!$AC$66&amp;";  ","")&amp;IF(AND(EDATE($D60,Milestones!$AA$67)&lt;=AsOfDate,IF($Q60=0,$W60,IF(AND($S60&lt;&gt;"",EDATE($D60,Milestones!$AA$67)&gt;=$S60),$V60,IF(AND($R60&lt;&gt;"",EDATE($D60,Milestones!$AA$67)&gt;=$R60),$U60,$T60)))=Milestones!$AB$67),TEXT(EDATE($D60,Milestones!$AA$67),"dd/mm/yy")&amp;" "&amp;Milestones!$AB$67&amp;" "&amp;Milestones!$AC$67&amp;";  ","")&amp;IF(AND(EDATE($D60,Milestones!$AA$68)&lt;=AsOfDate,IF($Q60=0,$W60,IF(AND($S60&lt;&gt;"",EDATE($D60,Milestones!$AA$68)&gt;=$S60),$V60,IF(AND($R60&lt;&gt;"",EDATE($D60,Milestones!$AA$68)&gt;=$R60),$U60,$T60)))=Milestones!$AB$68),TEXT(EDATE($D60,Milestones!$AA$68),"dd/mm/yy")&amp;" "&amp;Milestones!$AB$68&amp;" "&amp;Milestones!$AC$68&amp;";  ","")&amp;IF(AND(EDATE($D60,Milestones!$AA$69)&lt;=AsOfDate,IF($Q60=0,$W60,IF(AND($S60&lt;&gt;"",EDATE($D60,Milestones!$AA$69)&gt;=$S60),$V60,IF(AND($R60&lt;&gt;"",EDATE($D60,Milestones!$AA$69)&gt;=$R60),$U60,$T60)))=Milestones!$AB$69),TEXT(EDATE($D60,Milestones!$AA$69),"dd/mm/yy")&amp;" "&amp;Milestones!$AB$69&amp;" "&amp;Milestones!$AC$69&amp;";  ","")&amp;IF(AND(EDATE($D60,Milestones!$AA$70)&lt;=AsOfDate,IF($Q60=0,$W60,IF(AND($S60&lt;&gt;"",EDATE($D60,Milestones!$AA$70)&gt;=$S60),$V60,IF(AND($R60&lt;&gt;"",EDATE($D60,Milestones!$AA$70)&gt;=$R60),$U60,$T60)))=Milestones!$AB$70),TEXT(EDATE($D60,Milestones!$AA$70),"dd/mm/yy")&amp;" "&amp;Milestones!$AB$70&amp;" "&amp;Milestones!$AC$70&amp;";  ","")&amp;IF(AND(EDATE($D60,Milestones!$AA$71)&lt;=AsOfDate,IF($Q60=0,$W60,IF(AND($S60&lt;&gt;"",EDATE($D60,Milestones!$AA$71)&gt;=$S60),$V60,IF(AND($R60&lt;&gt;"",EDATE($D60,Milestones!$AA$71)&gt;=$R60),$U60,$T60)))=Milestones!$AB$71),TEXT(EDATE($D60,Milestones!$AA$71),"dd/mm/yy")&amp;" "&amp;Milestones!$AB$71&amp;" "&amp;Milestones!$AC$71&amp;";  ","")&amp;IF(AND(EDATE($D60,Milestones!$AA$72)&lt;=AsOfDate,IF($Q60=0,$W60,IF(AND($S60&lt;&gt;"",EDATE($D60,Milestones!$AA$72)&gt;=$S60),$V60,IF(AND($R60&lt;&gt;"",EDATE($D60,Milestones!$AA$72)&gt;=$R60),$U60,$T60)))=Milestones!$AB$72),TEXT(EDATE($D60,Milestones!$AA$72),"dd/mm/yy")&amp;" "&amp;Milestones!$AB$72&amp;" "&amp;Milestones!$AC$72&amp;";  ","")&amp;IF(AND(EDATE($D60,Milestones!$AA$73)&lt;=AsOfDate,IF($Q60=0,$W60,IF(AND($S60&lt;&gt;"",EDATE($D60,Milestones!$AA$73)&gt;=$S60),$V60,IF(AND($R60&lt;&gt;"",EDATE($D60,Milestones!$AA$73)&gt;=$R60),$U60,$T60)))=Milestones!$AB$73),TEXT(EDATE($D60,Milestones!$AA$73),"dd/mm/yy")&amp;" "&amp;Milestones!$AB$73&amp;" "&amp;Milestones!$AC$73&amp;";  ","")&amp;IF(AND(EDATE($D60,Milestones!$AA$74)&lt;=AsOfDate,IF($Q60=0,$W60,IF(AND($S60&lt;&gt;"",EDATE($D60,Milestones!$AA$74)&gt;=$S60),$V60,IF(AND($R60&lt;&gt;"",EDATE($D60,Milestones!$AA$74)&gt;=$R60),$U60,$T60)))=Milestones!$AB$74),TEXT(EDATE($D60,Milestones!$AA$74),"dd/mm/yy")&amp;" "&amp;Milestones!$AB$74&amp;" "&amp;Milestones!$AC$74&amp;";  ","")&amp;IF(AND(EDATE($D60,Milestones!$AA$75)&lt;=AsOfDate,IF($Q60=0,$W60,IF(AND($S60&lt;&gt;"",EDATE($D60,Milestones!$AA$75)&gt;=$S60),$V60,IF(AND($R60&lt;&gt;"",EDATE($D60,Milestones!$AA$75)&gt;=$R60),$U60,$T60)))=Milestones!$AB$75),TEXT(EDATE($D60,Milestones!$AA$75),"dd/mm/yy")&amp;" "&amp;Milestones!$AB$75&amp;" "&amp;Milestones!$AC$75&amp;";  ","")&amp;IF(AND(EDATE($D60,Milestones!$AA$76)&lt;=AsOfDate,IF($Q60=0,$W60,IF(AND($S60&lt;&gt;"",EDATE($D60,Milestones!$AA$76)&gt;=$S60),$V60,IF(AND($R60&lt;&gt;"",EDATE($D60,Milestones!$AA$76)&gt;=$R60),$U60,$T60)))=Milestones!$AB$76),TEXT(EDATE($D60,Milestones!$AA$76),"dd/mm/yy")&amp;" "&amp;Milestones!$AB$76&amp;" "&amp;Milestones!$AC$76&amp;";  ","")&amp;IF(AND(EDATE($D60,Milestones!$AA$77)&lt;=AsOfDate,IF($Q60=0,$W60,IF(AND($S60&lt;&gt;"",EDATE($D60,Milestones!$AA$77)&gt;=$S60),$V60,IF(AND($R60&lt;&gt;"",EDATE($D60,Milestones!$AA$77)&gt;=$R60),$U60,$T60)))=Milestones!$AB$77),TEXT(EDATE($D60,Milestones!$AA$77),"dd/mm/yy")&amp;" "&amp;Milestones!$AB$77&amp;" "&amp;Milestones!$AC$77&amp;";  ","")&amp;IF(AND(EDATE($D60,Milestones!$AA$78)&lt;=AsOfDate,IF($Q60=0,$W60,IF(AND($S60&lt;&gt;"",EDATE($D60,Milestones!$AA$78)&gt;=$S60),$V60,IF(AND($R60&lt;&gt;"",EDATE($D60,Milestones!$AA$78)&gt;=$R60),$U60,$T60)))=Milestones!$AB$78),TEXT(EDATE($D60,Milestones!$AA$78),"dd/mm/yy")&amp;" "&amp;Milestones!$AB$78&amp;" "&amp;Milestones!$AC$78&amp;";  ","")&amp;IF(AND(EDATE($D60,Milestones!$AA$79)&lt;=AsOfDate,IF($Q60=0,$W60,IF(AND($S60&lt;&gt;"",EDATE($D60,Milestones!$AA$79)&gt;=$S60),$V60,IF(AND($R60&lt;&gt;"",EDATE($D60,Milestones!$AA$79)&gt;=$R60),$U60,$T60)))=Milestones!$AB$79),TEXT(EDATE($D60,Milestones!$AA$79),"dd/mm/yy")&amp;" "&amp;Milestones!$AB$79&amp;" "&amp;Milestones!$AC$79&amp;";  ",""))</f>
        <v/>
      </c>
      <c r="K60" s="0" t="str">
        <f aca="false">IF(OR($A60="",$D60=""),"",IF(AND(EDATE($D60,Milestones!$AA$80)&lt;=AsOfDate,IF($Q60=0,$W60,IF(AND($S60&lt;&gt;"",EDATE($D60,Milestones!$AA$80)&gt;=$S60),$V60,IF(AND($R60&lt;&gt;"",EDATE($D60,Milestones!$AA$80)&gt;=$R60),$U60,$T60)))=Milestones!$AB$80),TEXT(EDATE($D60,Milestones!$AA$80),"dd/mm/yy")&amp;" "&amp;Milestones!$AB$80&amp;" "&amp;Milestones!$AC$80&amp;";  ","")&amp;IF(AND(EDATE($D60,Milestones!$AA$81)&lt;=AsOfDate,IF($Q60=0,$W60,IF(AND($S60&lt;&gt;"",EDATE($D60,Milestones!$AA$81)&gt;=$S60),$V60,IF(AND($R60&lt;&gt;"",EDATE($D60,Milestones!$AA$81)&gt;=$R60),$U60,$T60)))=Milestones!$AB$81),TEXT(EDATE($D60,Milestones!$AA$81),"dd/mm/yy")&amp;" "&amp;Milestones!$AB$81&amp;" "&amp;Milestones!$AC$81&amp;";  ","")&amp;IF(AND(EDATE($D60,Milestones!$AA$82)&lt;=AsOfDate,IF($Q60=0,$W60,IF(AND($S60&lt;&gt;"",EDATE($D60,Milestones!$AA$82)&gt;=$S60),$V60,IF(AND($R60&lt;&gt;"",EDATE($D60,Milestones!$AA$82)&gt;=$R60),$U60,$T60)))=Milestones!$AB$82),TEXT(EDATE($D60,Milestones!$AA$82),"dd/mm/yy")&amp;" "&amp;Milestones!$AB$82&amp;" "&amp;Milestones!$AC$82&amp;";  ","")&amp;IF(AND(EDATE($D60,Milestones!$AA$83)&lt;=AsOfDate,IF($Q60=0,$W60,IF(AND($S60&lt;&gt;"",EDATE($D60,Milestones!$AA$83)&gt;=$S60),$V60,IF(AND($R60&lt;&gt;"",EDATE($D60,Milestones!$AA$83)&gt;=$R60),$U60,$T60)))=Milestones!$AB$83),TEXT(EDATE($D60,Milestones!$AA$83),"dd/mm/yy")&amp;" "&amp;Milestones!$AB$83&amp;" "&amp;Milestones!$AC$83&amp;";  ","")&amp;IF(AND(EDATE($D60,Milestones!$AA$84)&lt;=AsOfDate,IF($Q60=0,$W60,IF(AND($S60&lt;&gt;"",EDATE($D60,Milestones!$AA$84)&gt;=$S60),$V60,IF(AND($R60&lt;&gt;"",EDATE($D60,Milestones!$AA$84)&gt;=$R60),$U60,$T60)))=Milestones!$AB$84),TEXT(EDATE($D60,Milestones!$AA$84),"dd/mm/yy")&amp;" "&amp;Milestones!$AB$84&amp;" "&amp;Milestones!$AC$84&amp;";  ","")&amp;IF(AND(EDATE($D60,Milestones!$AA$85)&lt;=AsOfDate,IF($Q60=0,$W60,IF(AND($S60&lt;&gt;"",EDATE($D60,Milestones!$AA$85)&gt;=$S60),$V60,IF(AND($R60&lt;&gt;"",EDATE($D60,Milestones!$AA$85)&gt;=$R60),$U60,$T60)))=Milestones!$AB$85),TEXT(EDATE($D60,Milestones!$AA$85),"dd/mm/yy")&amp;" "&amp;Milestones!$AB$85&amp;" "&amp;Milestones!$AC$85&amp;";  ","")&amp;IF(AND(EDATE($D60,Milestones!$AA$86)&lt;=AsOfDate,IF($Q60=0,$W60,IF(AND($S60&lt;&gt;"",EDATE($D60,Milestones!$AA$86)&gt;=$S60),$V60,IF(AND($R60&lt;&gt;"",EDATE($D60,Milestones!$AA$86)&gt;=$R60),$U60,$T60)))=Milestones!$AB$86),TEXT(EDATE($D60,Milestones!$AA$86),"dd/mm/yy")&amp;" "&amp;Milestones!$AB$86&amp;" "&amp;Milestones!$AC$86&amp;";  ","")&amp;IF(AND(EDATE($D60,Milestones!$AA$87)&lt;=AsOfDate,IF($Q60=0,$W60,IF(AND($S60&lt;&gt;"",EDATE($D60,Milestones!$AA$87)&gt;=$S60),$V60,IF(AND($R60&lt;&gt;"",EDATE($D60,Milestones!$AA$87)&gt;=$R60),$U60,$T60)))=Milestones!$AB$87),TEXT(EDATE($D60,Milestones!$AA$87),"dd/mm/yy")&amp;" "&amp;Milestones!$AB$87&amp;" "&amp;Milestones!$AC$87&amp;";  ","")&amp;IF(AND(EDATE($D60,Milestones!$AA$88)&lt;=AsOfDate,IF($Q60=0,$W60,IF(AND($S60&lt;&gt;"",EDATE($D60,Milestones!$AA$88)&gt;=$S60),$V60,IF(AND($R60&lt;&gt;"",EDATE($D60,Milestones!$AA$88)&gt;=$R60),$U60,$T60)))=Milestones!$AB$88),TEXT(EDATE($D60,Milestones!$AA$88),"dd/mm/yy")&amp;" "&amp;Milestones!$AB$88&amp;" "&amp;Milestones!$AC$88&amp;";  ","")&amp;IF(AND(EDATE($D60,Milestones!$AA$89)&lt;=AsOfDate,IF($Q60=0,$W60,IF(AND($S60&lt;&gt;"",EDATE($D60,Milestones!$AA$89)&gt;=$S60),$V60,IF(AND($R60&lt;&gt;"",EDATE($D60,Milestones!$AA$89)&gt;=$R60),$U60,$T60)))=Milestones!$AB$89),TEXT(EDATE($D60,Milestones!$AA$89),"dd/mm/yy")&amp;" "&amp;Milestones!$AB$89&amp;" "&amp;Milestones!$AC$89&amp;";  ","")&amp;IF(AND(EDATE($D60,Milestones!$AA$90)&lt;=AsOfDate,IF($Q60=0,$W60,IF(AND($S60&lt;&gt;"",EDATE($D60,Milestones!$AA$90)&gt;=$S60),$V60,IF(AND($R60&lt;&gt;"",EDATE($D60,Milestones!$AA$90)&gt;=$R60),$U60,$T60)))=Milestones!$AB$90),TEXT(EDATE($D60,Milestones!$AA$90),"dd/mm/yy")&amp;" "&amp;Milestones!$AB$90&amp;" "&amp;Milestones!$AC$90&amp;";  ","")&amp;IF(AND(EDATE($D60,Milestones!$AA$91)&lt;=AsOfDate,IF($Q60=0,$W60,IF(AND($S60&lt;&gt;"",EDATE($D60,Milestones!$AA$91)&gt;=$S60),$V60,IF(AND($R60&lt;&gt;"",EDATE($D60,Milestones!$AA$91)&gt;=$R60),$U60,$T60)))=Milestones!$AB$91),TEXT(EDATE($D60,Milestones!$AA$91),"dd/mm/yy")&amp;" "&amp;Milestones!$AB$91&amp;" "&amp;Milestones!$AC$91&amp;";  ","")&amp;IF(AND(EDATE($D60,Milestones!$AA$92)&lt;=AsOfDate,IF($Q60=0,$W60,IF(AND($S60&lt;&gt;"",EDATE($D60,Milestones!$AA$92)&gt;=$S60),$V60,IF(AND($R60&lt;&gt;"",EDATE($D60,Milestones!$AA$92)&gt;=$R60),$U60,$T60)))=Milestones!$AB$92),TEXT(EDATE($D60,Milestones!$AA$92),"dd/mm/yy")&amp;" "&amp;Milestones!$AB$92&amp;" "&amp;Milestones!$AC$92&amp;";  ","")&amp;IF(AND(EDATE($D60,Milestones!$AA$93)&lt;=AsOfDate,IF($Q60=0,$W60,IF(AND($S60&lt;&gt;"",EDATE($D60,Milestones!$AA$93)&gt;=$S60),$V60,IF(AND($R60&lt;&gt;"",EDATE($D60,Milestones!$AA$93)&gt;=$R60),$U60,$T60)))=Milestones!$AB$93),TEXT(EDATE($D60,Milestones!$AA$93),"dd/mm/yy")&amp;" "&amp;Milestones!$AB$93&amp;" "&amp;Milestones!$AC$93&amp;";  ","")&amp;IF(AND(EDATE($D60,Milestones!$AA$94)&lt;=AsOfDate,IF($Q60=0,$W60,IF(AND($S60&lt;&gt;"",EDATE($D60,Milestones!$AA$94)&gt;=$S60),$V60,IF(AND($R60&lt;&gt;"",EDATE($D60,Milestones!$AA$94)&gt;=$R60),$U60,$T60)))=Milestones!$AB$94),TEXT(EDATE($D60,Milestones!$AA$94),"dd/mm/yy")&amp;" "&amp;Milestones!$AB$94&amp;" "&amp;Milestones!$AC$94&amp;";  ","")&amp;IF(AND(EDATE($D60,Milestones!$AA$95)&lt;=AsOfDate,IF($Q60=0,$W60,IF(AND($S60&lt;&gt;"",EDATE($D60,Milestones!$AA$95)&gt;=$S60),$V60,IF(AND($R60&lt;&gt;"",EDATE($D60,Milestones!$AA$95)&gt;=$R60),$U60,$T60)))=Milestones!$AB$95),TEXT(EDATE($D60,Milestones!$AA$95),"dd/mm/yy")&amp;" "&amp;Milestones!$AB$95&amp;" "&amp;Milestones!$AC$95&amp;";  ","")&amp;IF(AND(EDATE($D60,Milestones!$AA$96)&lt;=AsOfDate,IF($Q60=0,$W60,IF(AND($S60&lt;&gt;"",EDATE($D60,Milestones!$AA$96)&gt;=$S60),$V60,IF(AND($R60&lt;&gt;"",EDATE($D60,Milestones!$AA$96)&gt;=$R60),$U60,$T60)))=Milestones!$AB$96),TEXT(EDATE($D60,Milestones!$AA$96),"dd/mm/yy")&amp;" "&amp;Milestones!$AB$96&amp;" "&amp;Milestones!$AC$96&amp;";  ","")&amp;IF(AND(EDATE($D60,Milestones!$AA$97)&lt;=AsOfDate,IF($Q60=0,$W60,IF(AND($S60&lt;&gt;"",EDATE($D60,Milestones!$AA$97)&gt;=$S60),$V60,IF(AND($R60&lt;&gt;"",EDATE($D60,Milestones!$AA$97)&gt;=$R60),$U60,$T60)))=Milestones!$AB$97),TEXT(EDATE($D60,Milestones!$AA$97),"dd/mm/yy")&amp;" "&amp;Milestones!$AB$97&amp;" "&amp;Milestones!$AC$97&amp;";  ","")&amp;IF(AND(EDATE($D60,Milestones!$AA$98)&lt;=AsOfDate,IF($Q60=0,$W60,IF(AND($S60&lt;&gt;"",EDATE($D60,Milestones!$AA$98)&gt;=$S60),$V60,IF(AND($R60&lt;&gt;"",EDATE($D60,Milestones!$AA$98)&gt;=$R60),$U60,$T60)))=Milestones!$AB$98),TEXT(EDATE($D60,Milestones!$AA$98),"dd/mm/yy")&amp;" "&amp;Milestones!$AB$98&amp;" "&amp;Milestones!$AC$98&amp;";  ","")&amp;IF(AND(EDATE($D60,Milestones!$AA$99)&lt;=AsOfDate,IF($Q60=0,$W60,IF(AND($S60&lt;&gt;"",EDATE($D60,Milestones!$AA$99)&gt;=$S60),$V60,IF(AND($R60&lt;&gt;"",EDATE($D60,Milestones!$AA$99)&gt;=$R60),$U60,$T60)))=Milestones!$AB$99),TEXT(EDATE($D60,Milestones!$AA$99),"dd/mm/yy")&amp;" "&amp;Milestones!$AB$99&amp;" "&amp;Milestones!$AC$99&amp;";  ",""))</f>
        <v/>
      </c>
      <c r="L60" s="0" t="str">
        <f aca="false">IF(OR($A60="",$D60=""),"",IF(AND(EDATE($D60,Milestones!$AA$100)&lt;=AsOfDate,IF($Q60=0,$W60,IF(AND($S60&lt;&gt;"",EDATE($D60,Milestones!$AA$100)&gt;=$S60),$V60,IF(AND($R60&lt;&gt;"",EDATE($D60,Milestones!$AA$100)&gt;=$R60),$U60,$T60)))=Milestones!$AB$100),TEXT(EDATE($D60,Milestones!$AA$100),"dd/mm/yy")&amp;" "&amp;Milestones!$AB$100&amp;" "&amp;Milestones!$AC$100&amp;";  ","")&amp;IF(AND(EDATE($D60,Milestones!$AA$101)&lt;=AsOfDate,IF($Q60=0,$W60,IF(AND($S60&lt;&gt;"",EDATE($D60,Milestones!$AA$101)&gt;=$S60),$V60,IF(AND($R60&lt;&gt;"",EDATE($D60,Milestones!$AA$101)&gt;=$R60),$U60,$T60)))=Milestones!$AB$101),TEXT(EDATE($D60,Milestones!$AA$101),"dd/mm/yy")&amp;" "&amp;Milestones!$AB$101&amp;" "&amp;Milestones!$AC$101&amp;";  ","")&amp;IF(AND(EDATE($D60,Milestones!$AA$102)&lt;=AsOfDate,IF($Q60=0,$W60,IF(AND($S60&lt;&gt;"",EDATE($D60,Milestones!$AA$102)&gt;=$S60),$V60,IF(AND($R60&lt;&gt;"",EDATE($D60,Milestones!$AA$102)&gt;=$R60),$U60,$T60)))=Milestones!$AB$102),TEXT(EDATE($D60,Milestones!$AA$102),"dd/mm/yy")&amp;" "&amp;Milestones!$AB$102&amp;" "&amp;Milestones!$AC$102&amp;";  ","")&amp;IF(AND(EDATE($D60,Milestones!$AA$103)&lt;=AsOfDate,IF($Q60=0,$W60,IF(AND($S60&lt;&gt;"",EDATE($D60,Milestones!$AA$103)&gt;=$S60),$V60,IF(AND($R60&lt;&gt;"",EDATE($D60,Milestones!$AA$103)&gt;=$R60),$U60,$T60)))=Milestones!$AB$103),TEXT(EDATE($D60,Milestones!$AA$103),"dd/mm/yy")&amp;" "&amp;Milestones!$AB$103&amp;" "&amp;Milestones!$AC$103&amp;";  ","")&amp;IF(AND(EDATE($D60,Milestones!$AA$104)&lt;=AsOfDate,IF($Q60=0,$W60,IF(AND($S60&lt;&gt;"",EDATE($D60,Milestones!$AA$104)&gt;=$S60),$V60,IF(AND($R60&lt;&gt;"",EDATE($D60,Milestones!$AA$104)&gt;=$R60),$U60,$T60)))=Milestones!$AB$104),TEXT(EDATE($D60,Milestones!$AA$104),"dd/mm/yy")&amp;" "&amp;Milestones!$AB$104&amp;" "&amp;Milestones!$AC$104&amp;";  ","")&amp;IF(AND(EDATE($D60,Milestones!$AA$105)&lt;=AsOfDate,IF($Q60=0,$W60,IF(AND($S60&lt;&gt;"",EDATE($D60,Milestones!$AA$105)&gt;=$S60),$V60,IF(AND($R60&lt;&gt;"",EDATE($D60,Milestones!$AA$105)&gt;=$R60),$U60,$T60)))=Milestones!$AB$105),TEXT(EDATE($D60,Milestones!$AA$105),"dd/mm/yy")&amp;" "&amp;Milestones!$AB$105&amp;" "&amp;Milestones!$AC$105&amp;";  ","")&amp;IF(AND(EDATE($D60,Milestones!$AA$106)&lt;=AsOfDate,IF($Q60=0,$W60,IF(AND($S60&lt;&gt;"",EDATE($D60,Milestones!$AA$106)&gt;=$S60),$V60,IF(AND($R60&lt;&gt;"",EDATE($D60,Milestones!$AA$106)&gt;=$R60),$U60,$T60)))=Milestones!$AB$106),TEXT(EDATE($D60,Milestones!$AA$106),"dd/mm/yy")&amp;" "&amp;Milestones!$AB$106&amp;" "&amp;Milestones!$AC$106&amp;";  ","")&amp;IF(AND(EDATE($D60,Milestones!$AA$107)&lt;=AsOfDate,IF($Q60=0,$W60,IF(AND($S60&lt;&gt;"",EDATE($D60,Milestones!$AA$107)&gt;=$S60),$V60,IF(AND($R60&lt;&gt;"",EDATE($D60,Milestones!$AA$107)&gt;=$R60),$U60,$T60)))=Milestones!$AB$107),TEXT(EDATE($D60,Milestones!$AA$107),"dd/mm/yy")&amp;" "&amp;Milestones!$AB$107&amp;" "&amp;Milestones!$AC$107&amp;";  ","")&amp;IF(AND(EDATE($D60,Milestones!$AA$108)&lt;=AsOfDate,IF($Q60=0,$W60,IF(AND($S60&lt;&gt;"",EDATE($D60,Milestones!$AA$108)&gt;=$S60),$V60,IF(AND($R60&lt;&gt;"",EDATE($D60,Milestones!$AA$108)&gt;=$R60),$U60,$T60)))=Milestones!$AB$108),TEXT(EDATE($D60,Milestones!$AA$108),"dd/mm/yy")&amp;" "&amp;Milestones!$AB$108&amp;" "&amp;Milestones!$AC$108&amp;";  ","")&amp;IF(AND(EDATE($D60,Milestones!$AA$109)&lt;=AsOfDate,IF($Q60=0,$W60,IF(AND($S60&lt;&gt;"",EDATE($D60,Milestones!$AA$109)&gt;=$S60),$V60,IF(AND($R60&lt;&gt;"",EDATE($D60,Milestones!$AA$109)&gt;=$R60),$U60,$T60)))=Milestones!$AB$109),TEXT(EDATE($D60,Milestones!$AA$109),"dd/mm/yy")&amp;" "&amp;Milestones!$AB$109&amp;" "&amp;Milestones!$AC$109&amp;";  ","")&amp;IF(AND(EDATE($D60,Milestones!$AA$110)&lt;=AsOfDate,IF($Q60=0,$W60,IF(AND($S60&lt;&gt;"",EDATE($D60,Milestones!$AA$110)&gt;=$S60),$V60,IF(AND($R60&lt;&gt;"",EDATE($D60,Milestones!$AA$110)&gt;=$R60),$U60,$T60)))=Milestones!$AB$110),TEXT(EDATE($D60,Milestones!$AA$110),"dd/mm/yy")&amp;" "&amp;Milestones!$AB$110&amp;" "&amp;Milestones!$AC$110&amp;";  ","")&amp;IF(AND(EDATE($D60,Milestones!$AA$111)&lt;=AsOfDate,IF($Q60=0,$W60,IF(AND($S60&lt;&gt;"",EDATE($D60,Milestones!$AA$111)&gt;=$S60),$V60,IF(AND($R60&lt;&gt;"",EDATE($D60,Milestones!$AA$111)&gt;=$R60),$U60,$T60)))=Milestones!$AB$111),TEXT(EDATE($D60,Milestones!$AA$111),"dd/mm/yy")&amp;" "&amp;Milestones!$AB$111&amp;" "&amp;Milestones!$AC$111&amp;";  ","")&amp;IF(AND(EDATE($D60,Milestones!$AA$112)&lt;=AsOfDate,IF($Q60=0,$W60,IF(AND($S60&lt;&gt;"",EDATE($D60,Milestones!$AA$112)&gt;=$S60),$V60,IF(AND($R60&lt;&gt;"",EDATE($D60,Milestones!$AA$112)&gt;=$R60),$U60,$T60)))=Milestones!$AB$112),TEXT(EDATE($D60,Milestones!$AA$112),"dd/mm/yy")&amp;" "&amp;Milestones!$AB$112&amp;" "&amp;Milestones!$AC$112&amp;";  ","")&amp;IF(AND(EDATE($D60,Milestones!$AA$113)&lt;=AsOfDate,IF($Q60=0,$W60,IF(AND($S60&lt;&gt;"",EDATE($D60,Milestones!$AA$113)&gt;=$S60),$V60,IF(AND($R60&lt;&gt;"",EDATE($D60,Milestones!$AA$113)&gt;=$R60),$U60,$T60)))=Milestones!$AB$113),TEXT(EDATE($D60,Milestones!$AA$113),"dd/mm/yy")&amp;" "&amp;Milestones!$AB$113&amp;" "&amp;Milestones!$AC$113&amp;";  ","")&amp;IF(AND(EDATE($D60,Milestones!$AA$114)&lt;=AsOfDate,IF($Q60=0,$W60,IF(AND($S60&lt;&gt;"",EDATE($D60,Milestones!$AA$114)&gt;=$S60),$V60,IF(AND($R60&lt;&gt;"",EDATE($D60,Milestones!$AA$114)&gt;=$R60),$U60,$T60)))=Milestones!$AB$114),TEXT(EDATE($D60,Milestones!$AA$114),"dd/mm/yy")&amp;" "&amp;Milestones!$AB$114&amp;" "&amp;Milestones!$AC$114&amp;";  ","")&amp;IF(AND(EDATE($D60,Milestones!$AA$115)&lt;=AsOfDate,IF($Q60=0,$W60,IF(AND($S60&lt;&gt;"",EDATE($D60,Milestones!$AA$115)&gt;=$S60),$V60,IF(AND($R60&lt;&gt;"",EDATE($D60,Milestones!$AA$115)&gt;=$R60),$U60,$T60)))=Milestones!$AB$115),TEXT(EDATE($D60,Milestones!$AA$115),"dd/mm/yy")&amp;" "&amp;Milestones!$AB$115&amp;" "&amp;Milestones!$AC$115&amp;";  ","")&amp;IF(AND(EDATE($D60,Milestones!$AA$116)&lt;=AsOfDate,IF($Q60=0,$W60,IF(AND($S60&lt;&gt;"",EDATE($D60,Milestones!$AA$116)&gt;=$S60),$V60,IF(AND($R60&lt;&gt;"",EDATE($D60,Milestones!$AA$116)&gt;=$R60),$U60,$T60)))=Milestones!$AB$116),TEXT(EDATE($D60,Milestones!$AA$116),"dd/mm/yy")&amp;" "&amp;Milestones!$AB$116&amp;" "&amp;Milestones!$AC$116&amp;";  ","")&amp;IF(AND(EDATE($D60,Milestones!$AA$117)&lt;=AsOfDate,IF($Q60=0,$W60,IF(AND($S60&lt;&gt;"",EDATE($D60,Milestones!$AA$117)&gt;=$S60),$V60,IF(AND($R60&lt;&gt;"",EDATE($D60,Milestones!$AA$117)&gt;=$R60),$U60,$T60)))=Milestones!$AB$117),TEXT(EDATE($D60,Milestones!$AA$117),"dd/mm/yy")&amp;" "&amp;Milestones!$AB$117&amp;" "&amp;Milestones!$AC$117&amp;";  ","")&amp;IF(AND(EDATE($D60,Milestones!$AA$118)&lt;=AsOfDate,IF($Q60=0,$W60,IF(AND($S60&lt;&gt;"",EDATE($D60,Milestones!$AA$118)&gt;=$S60),$V60,IF(AND($R60&lt;&gt;"",EDATE($D60,Milestones!$AA$118)&gt;=$R60),$U60,$T60)))=Milestones!$AB$118),TEXT(EDATE($D60,Milestones!$AA$118),"dd/mm/yy")&amp;" "&amp;Milestones!$AB$118&amp;" "&amp;Milestones!$AC$118&amp;";  ","")&amp;IF(AND(EDATE($D60,Milestones!$AA$119)&lt;=AsOfDate,IF($Q60=0,$W60,IF(AND($S60&lt;&gt;"",EDATE($D60,Milestones!$AA$119)&gt;=$S60),$V60,IF(AND($R60&lt;&gt;"",EDATE($D60,Milestones!$AA$119)&gt;=$R60),$U60,$T60)))=Milestones!$AB$119),TEXT(EDATE($D60,Milestones!$AA$119),"dd/mm/yy")&amp;" "&amp;Milestones!$AB$119&amp;" "&amp;Milestones!$AC$119&amp;";  ",""))</f>
        <v/>
      </c>
      <c r="M60" s="0" t="str">
        <f aca="false">IF(OR($A60="",$D60=""),"",IF(AND(EDATE($D60,Milestones!$AA$120)&lt;=AsOfDate,IF($Q60=0,$W60,IF(AND($S60&lt;&gt;"",EDATE($D60,Milestones!$AA$120)&gt;=$S60),$V60,IF(AND($R60&lt;&gt;"",EDATE($D60,Milestones!$AA$120)&gt;=$R60),$U60,$T60)))=Milestones!$AB$120),TEXT(EDATE($D60,Milestones!$AA$120),"dd/mm/yy")&amp;" "&amp;Milestones!$AB$120&amp;" "&amp;Milestones!$AC$120&amp;";  ","")&amp;IF(AND(EDATE($D60,Milestones!$AA$121)&lt;=AsOfDate,IF($Q60=0,$W60,IF(AND($S60&lt;&gt;"",EDATE($D60,Milestones!$AA$121)&gt;=$S60),$V60,IF(AND($R60&lt;&gt;"",EDATE($D60,Milestones!$AA$121)&gt;=$R60),$U60,$T60)))=Milestones!$AB$121),TEXT(EDATE($D60,Milestones!$AA$121),"dd/mm/yy")&amp;" "&amp;Milestones!$AB$121&amp;" "&amp;Milestones!$AC$121&amp;";  ","")&amp;IF(AND(EDATE($D60,Milestones!$AA$122)&lt;=AsOfDate,IF($Q60=0,$W60,IF(AND($S60&lt;&gt;"",EDATE($D60,Milestones!$AA$122)&gt;=$S60),$V60,IF(AND($R60&lt;&gt;"",EDATE($D60,Milestones!$AA$122)&gt;=$R60),$U60,$T60)))=Milestones!$AB$122),TEXT(EDATE($D60,Milestones!$AA$122),"dd/mm/yy")&amp;" "&amp;Milestones!$AB$122&amp;" "&amp;Milestones!$AC$122&amp;";  ","")&amp;IF(AND(EDATE($D60,Milestones!$AA$123)&lt;=AsOfDate,IF($Q60=0,$W60,IF(AND($S60&lt;&gt;"",EDATE($D60,Milestones!$AA$123)&gt;=$S60),$V60,IF(AND($R60&lt;&gt;"",EDATE($D60,Milestones!$AA$123)&gt;=$R60),$U60,$T60)))=Milestones!$AB$123),TEXT(EDATE($D60,Milestones!$AA$123),"dd/mm/yy")&amp;" "&amp;Milestones!$AB$123&amp;" "&amp;Milestones!$AC$123&amp;";  ","")&amp;IF(AND(EDATE($D60,Milestones!$AA$124)&lt;=AsOfDate,IF($Q60=0,$W60,IF(AND($S60&lt;&gt;"",EDATE($D60,Milestones!$AA$124)&gt;=$S60),$V60,IF(AND($R60&lt;&gt;"",EDATE($D60,Milestones!$AA$124)&gt;=$R60),$U60,$T60)))=Milestones!$AB$124),TEXT(EDATE($D60,Milestones!$AA$124),"dd/mm/yy")&amp;" "&amp;Milestones!$AB$124&amp;" "&amp;Milestones!$AC$124&amp;";  ","")&amp;IF(AND(EDATE($D60,Milestones!$AA$125)&lt;=AsOfDate,IF($Q60=0,$W60,IF(AND($S60&lt;&gt;"",EDATE($D60,Milestones!$AA$125)&gt;=$S60),$V60,IF(AND($R60&lt;&gt;"",EDATE($D60,Milestones!$AA$125)&gt;=$R60),$U60,$T60)))=Milestones!$AB$125),TEXT(EDATE($D60,Milestones!$AA$125),"dd/mm/yy")&amp;" "&amp;Milestones!$AB$125&amp;" "&amp;Milestones!$AC$125&amp;";  ","")&amp;IF(AND(EDATE($D60,Milestones!$AA$126)&lt;=AsOfDate,IF($Q60=0,$W60,IF(AND($S60&lt;&gt;"",EDATE($D60,Milestones!$AA$126)&gt;=$S60),$V60,IF(AND($R60&lt;&gt;"",EDATE($D60,Milestones!$AA$126)&gt;=$R60),$U60,$T60)))=Milestones!$AB$126),TEXT(EDATE($D60,Milestones!$AA$126),"dd/mm/yy")&amp;" "&amp;Milestones!$AB$126&amp;" "&amp;Milestones!$AC$126&amp;";  ","")&amp;IF(AND(EDATE($D60,Milestones!$AA$127)&lt;=AsOfDate,IF($Q60=0,$W60,IF(AND($S60&lt;&gt;"",EDATE($D60,Milestones!$AA$127)&gt;=$S60),$V60,IF(AND($R60&lt;&gt;"",EDATE($D60,Milestones!$AA$127)&gt;=$R60),$U60,$T60)))=Milestones!$AB$127),TEXT(EDATE($D60,Milestones!$AA$127),"dd/mm/yy")&amp;" "&amp;Milestones!$AB$127&amp;" "&amp;Milestones!$AC$127&amp;";  ","")&amp;IF(AND(EDATE($D60,Milestones!$AA$128)&lt;=AsOfDate,IF($Q60=0,$W60,IF(AND($S60&lt;&gt;"",EDATE($D60,Milestones!$AA$128)&gt;=$S60),$V60,IF(AND($R60&lt;&gt;"",EDATE($D60,Milestones!$AA$128)&gt;=$R60),$U60,$T60)))=Milestones!$AB$128),TEXT(EDATE($D60,Milestones!$AA$128),"dd/mm/yy")&amp;" "&amp;Milestones!$AB$128&amp;" "&amp;Milestones!$AC$128&amp;";  ","")&amp;IF(AND(EDATE($D60,Milestones!$AA$129)&lt;=AsOfDate,IF($Q60=0,$W60,IF(AND($S60&lt;&gt;"",EDATE($D60,Milestones!$AA$129)&gt;=$S60),$V60,IF(AND($R60&lt;&gt;"",EDATE($D60,Milestones!$AA$129)&gt;=$R60),$U60,$T60)))=Milestones!$AB$129),TEXT(EDATE($D60,Milestones!$AA$129),"dd/mm/yy")&amp;" "&amp;Milestones!$AB$129&amp;" "&amp;Milestones!$AC$129&amp;";  ","")&amp;IF(AND(EDATE($D60,Milestones!$AA$130)&lt;=AsOfDate,IF($Q60=0,$W60,IF(AND($S60&lt;&gt;"",EDATE($D60,Milestones!$AA$130)&gt;=$S60),$V60,IF(AND($R60&lt;&gt;"",EDATE($D60,Milestones!$AA$130)&gt;=$R60),$U60,$T60)))=Milestones!$AB$130),TEXT(EDATE($D60,Milestones!$AA$130),"dd/mm/yy")&amp;" "&amp;Milestones!$AB$130&amp;" "&amp;Milestones!$AC$130&amp;";  ","")&amp;IF(AND(EDATE($D60,Milestones!$AA$131)&lt;=AsOfDate,IF($Q60=0,$W60,IF(AND($S60&lt;&gt;"",EDATE($D60,Milestones!$AA$131)&gt;=$S60),$V60,IF(AND($R60&lt;&gt;"",EDATE($D60,Milestones!$AA$131)&gt;=$R60),$U60,$T60)))=Milestones!$AB$131),TEXT(EDATE($D60,Milestones!$AA$131),"dd/mm/yy")&amp;" "&amp;Milestones!$AB$131&amp;" "&amp;Milestones!$AC$131&amp;";  ","")&amp;IF(AND(EDATE($D60,Milestones!$AA$132)&lt;=AsOfDate,IF($Q60=0,$W60,IF(AND($S60&lt;&gt;"",EDATE($D60,Milestones!$AA$132)&gt;=$S60),$V60,IF(AND($R60&lt;&gt;"",EDATE($D60,Milestones!$AA$132)&gt;=$R60),$U60,$T60)))=Milestones!$AB$132),TEXT(EDATE($D60,Milestones!$AA$132),"dd/mm/yy")&amp;" "&amp;Milestones!$AB$132&amp;" "&amp;Milestones!$AC$132&amp;";  ","")&amp;IF(AND(EDATE($D60,Milestones!$AA$133)&lt;=AsOfDate,IF($Q60=0,$W60,IF(AND($S60&lt;&gt;"",EDATE($D60,Milestones!$AA$133)&gt;=$S60),$V60,IF(AND($R60&lt;&gt;"",EDATE($D60,Milestones!$AA$133)&gt;=$R60),$U60,$T60)))=Milestones!$AB$133),TEXT(EDATE($D60,Milestones!$AA$133),"dd/mm/yy")&amp;" "&amp;Milestones!$AB$133&amp;" "&amp;Milestones!$AC$133&amp;";  ","")&amp;IF(AND(EDATE($D60,Milestones!$AA$134)&lt;=AsOfDate,IF($Q60=0,$W60,IF(AND($S60&lt;&gt;"",EDATE($D60,Milestones!$AA$134)&gt;=$S60),$V60,IF(AND($R60&lt;&gt;"",EDATE($D60,Milestones!$AA$134)&gt;=$R60),$U60,$T60)))=Milestones!$AB$134),TEXT(EDATE($D60,Milestones!$AA$134),"dd/mm/yy")&amp;" "&amp;Milestones!$AB$134&amp;" "&amp;Milestones!$AC$134&amp;";  ","")&amp;IF(AND(EDATE($D60,Milestones!$AA$135)&lt;=AsOfDate,IF($Q60=0,$W60,IF(AND($S60&lt;&gt;"",EDATE($D60,Milestones!$AA$135)&gt;=$S60),$V60,IF(AND($R60&lt;&gt;"",EDATE($D60,Milestones!$AA$135)&gt;=$R60),$U60,$T60)))=Milestones!$AB$135),TEXT(EDATE($D60,Milestones!$AA$135),"dd/mm/yy")&amp;" "&amp;Milestones!$AB$135&amp;" "&amp;Milestones!$AC$135&amp;";  ","")&amp;IF(AND(EDATE($D60,Milestones!$AA$136)&lt;=AsOfDate,IF($Q60=0,$W60,IF(AND($S60&lt;&gt;"",EDATE($D60,Milestones!$AA$136)&gt;=$S60),$V60,IF(AND($R60&lt;&gt;"",EDATE($D60,Milestones!$AA$136)&gt;=$R60),$U60,$T60)))=Milestones!$AB$136),TEXT(EDATE($D60,Milestones!$AA$136),"dd/mm/yy")&amp;" "&amp;Milestones!$AB$136&amp;" "&amp;Milestones!$AC$136&amp;";  ","")&amp;IF(AND(EDATE($D60,Milestones!$AA$137)&lt;=AsOfDate,IF($Q60=0,$W60,IF(AND($S60&lt;&gt;"",EDATE($D60,Milestones!$AA$137)&gt;=$S60),$V60,IF(AND($R60&lt;&gt;"",EDATE($D60,Milestones!$AA$137)&gt;=$R60),$U60,$T60)))=Milestones!$AB$137),TEXT(EDATE($D60,Milestones!$AA$137),"dd/mm/yy")&amp;" "&amp;Milestones!$AB$137&amp;" "&amp;Milestones!$AC$137&amp;";  ","")&amp;IF(AND(EDATE($D60,Milestones!$AA$138)&lt;=AsOfDate,IF($Q60=0,$W60,IF(AND($S60&lt;&gt;"",EDATE($D60,Milestones!$AA$138)&gt;=$S60),$V60,IF(AND($R60&lt;&gt;"",EDATE($D60,Milestones!$AA$138)&gt;=$R60),$U60,$T60)))=Milestones!$AB$138),TEXT(EDATE($D60,Milestones!$AA$138),"dd/mm/yy")&amp;" "&amp;Milestones!$AB$138&amp;" "&amp;Milestones!$AC$138&amp;";  ","")&amp;IF(AND(EDATE($D60,Milestones!$AA$139)&lt;=AsOfDate,IF($Q60=0,$W60,IF(AND($S60&lt;&gt;"",EDATE($D60,Milestones!$AA$139)&gt;=$S60),$V60,IF(AND($R60&lt;&gt;"",EDATE($D60,Milestones!$AA$139)&gt;=$R60),$U60,$T60)))=Milestones!$AB$139),TEXT(EDATE($D60,Milestones!$AA$139),"dd/mm/yy")&amp;" "&amp;Milestones!$AB$139&amp;" "&amp;Milestones!$AC$139&amp;";  ",""))</f>
        <v/>
      </c>
      <c r="N60" s="0" t="str">
        <f aca="false">IF(OR($A60="",$D60=""),"",IF(AND(EDATE($D60,Milestones!$AA$140)&lt;=AsOfDate,IF($Q60=0,$W60,IF(AND($S60&lt;&gt;"",EDATE($D60,Milestones!$AA$140)&gt;=$S60),$V60,IF(AND($R60&lt;&gt;"",EDATE($D60,Milestones!$AA$140)&gt;=$R60),$U60,$T60)))=Milestones!$AB$140),TEXT(EDATE($D60,Milestones!$AA$140),"dd/mm/yy")&amp;" "&amp;Milestones!$AB$140&amp;" "&amp;Milestones!$AC$140&amp;";  ","")&amp;IF(AND(EDATE($D60,Milestones!$AA$141)&lt;=AsOfDate,IF($Q60=0,$W60,IF(AND($S60&lt;&gt;"",EDATE($D60,Milestones!$AA$141)&gt;=$S60),$V60,IF(AND($R60&lt;&gt;"",EDATE($D60,Milestones!$AA$141)&gt;=$R60),$U60,$T60)))=Milestones!$AB$141),TEXT(EDATE($D60,Milestones!$AA$141),"dd/mm/yy")&amp;" "&amp;Milestones!$AB$141&amp;" "&amp;Milestones!$AC$141&amp;";  ","")&amp;IF(AND(EDATE($D60,Milestones!$AA$142)&lt;=AsOfDate,IF($Q60=0,$W60,IF(AND($S60&lt;&gt;"",EDATE($D60,Milestones!$AA$142)&gt;=$S60),$V60,IF(AND($R60&lt;&gt;"",EDATE($D60,Milestones!$AA$142)&gt;=$R60),$U60,$T60)))=Milestones!$AB$142),TEXT(EDATE($D60,Milestones!$AA$142),"dd/mm/yy")&amp;" "&amp;Milestones!$AB$142&amp;" "&amp;Milestones!$AC$142&amp;";  ","")&amp;IF(AND(EDATE($D60,Milestones!$AA$143)&lt;=AsOfDate,IF($Q60=0,$W60,IF(AND($S60&lt;&gt;"",EDATE($D60,Milestones!$AA$143)&gt;=$S60),$V60,IF(AND($R60&lt;&gt;"",EDATE($D60,Milestones!$AA$143)&gt;=$R60),$U60,$T60)))=Milestones!$AB$143),TEXT(EDATE($D60,Milestones!$AA$143),"dd/mm/yy")&amp;" "&amp;Milestones!$AB$143&amp;" "&amp;Milestones!$AC$143&amp;";  ","")&amp;IF(AND(EDATE($D60,Milestones!$AA$144)&lt;=AsOfDate,IF($Q60=0,$W60,IF(AND($S60&lt;&gt;"",EDATE($D60,Milestones!$AA$144)&gt;=$S60),$V60,IF(AND($R60&lt;&gt;"",EDATE($D60,Milestones!$AA$144)&gt;=$R60),$U60,$T60)))=Milestones!$AB$144),TEXT(EDATE($D60,Milestones!$AA$144),"dd/mm/yy")&amp;" "&amp;Milestones!$AB$144&amp;" "&amp;Milestones!$AC$144&amp;";  ","")&amp;IF(AND(EDATE($D60,Milestones!$AA$145)&lt;=AsOfDate,IF($Q60=0,$W60,IF(AND($S60&lt;&gt;"",EDATE($D60,Milestones!$AA$145)&gt;=$S60),$V60,IF(AND($R60&lt;&gt;"",EDATE($D60,Milestones!$AA$145)&gt;=$R60),$U60,$T60)))=Milestones!$AB$145),TEXT(EDATE($D60,Milestones!$AA$145),"dd/mm/yy")&amp;" "&amp;Milestones!$AB$145&amp;" "&amp;Milestones!$AC$145&amp;";  ","")&amp;IF(AND(EDATE($D60,Milestones!$AA$146)&lt;=AsOfDate,IF($Q60=0,$W60,IF(AND($S60&lt;&gt;"",EDATE($D60,Milestones!$AA$146)&gt;=$S60),$V60,IF(AND($R60&lt;&gt;"",EDATE($D60,Milestones!$AA$146)&gt;=$R60),$U60,$T60)))=Milestones!$AB$146),TEXT(EDATE($D60,Milestones!$AA$146),"dd/mm/yy")&amp;" "&amp;Milestones!$AB$146&amp;" "&amp;Milestones!$AC$146&amp;";  ","")&amp;IF(AND(EDATE($D60,Milestones!$AA$147)&lt;=AsOfDate,IF($Q60=0,$W60,IF(AND($S60&lt;&gt;"",EDATE($D60,Milestones!$AA$147)&gt;=$S60),$V60,IF(AND($R60&lt;&gt;"",EDATE($D60,Milestones!$AA$147)&gt;=$R60),$U60,$T60)))=Milestones!$AB$147),TEXT(EDATE($D60,Milestones!$AA$147),"dd/mm/yy")&amp;" "&amp;Milestones!$AB$147&amp;" "&amp;Milestones!$AC$147&amp;";  ","")&amp;IF(AND(EDATE($D60,Milestones!$AA$148)&lt;=AsOfDate,IF($Q60=0,$W60,IF(AND($S60&lt;&gt;"",EDATE($D60,Milestones!$AA$148)&gt;=$S60),$V60,IF(AND($R60&lt;&gt;"",EDATE($D60,Milestones!$AA$148)&gt;=$R60),$U60,$T60)))=Milestones!$AB$148),TEXT(EDATE($D60,Milestones!$AA$148),"dd/mm/yy")&amp;" "&amp;Milestones!$AB$148&amp;" "&amp;Milestones!$AC$148&amp;";  ","")&amp;IF(AND(EDATE($D60,Milestones!$AA$149)&lt;=AsOfDate,IF($Q60=0,$W60,IF(AND($S60&lt;&gt;"",EDATE($D60,Milestones!$AA$149)&gt;=$S60),$V60,IF(AND($R60&lt;&gt;"",EDATE($D60,Milestones!$AA$149)&gt;=$R60),$U60,$T60)))=Milestones!$AB$149),TEXT(EDATE($D60,Milestones!$AA$149),"dd/mm/yy")&amp;" "&amp;Milestones!$AB$149&amp;" "&amp;Milestones!$AC$149&amp;";  ","")&amp;IF(AND(EDATE($D60,Milestones!$AA$150)&lt;=AsOfDate,IF($Q60=0,$W60,IF(AND($S60&lt;&gt;"",EDATE($D60,Milestones!$AA$150)&gt;=$S60),$V60,IF(AND($R60&lt;&gt;"",EDATE($D60,Milestones!$AA$150)&gt;=$R60),$U60,$T60)))=Milestones!$AB$150),TEXT(EDATE($D60,Milestones!$AA$150),"dd/mm/yy")&amp;" "&amp;Milestones!$AB$150&amp;" "&amp;Milestones!$AC$150&amp;";  ","")&amp;IF(AND(EDATE($D60,Milestones!$AA$151)&lt;=AsOfDate,IF($Q60=0,$W60,IF(AND($S60&lt;&gt;"",EDATE($D60,Milestones!$AA$151)&gt;=$S60),$V60,IF(AND($R60&lt;&gt;"",EDATE($D60,Milestones!$AA$151)&gt;=$R60),$U60,$T60)))=Milestones!$AB$151),TEXT(EDATE($D60,Milestones!$AA$151),"dd/mm/yy")&amp;" "&amp;Milestones!$AB$151&amp;" "&amp;Milestones!$AC$151&amp;";  ","")&amp;IF(AND(EDATE($D60,Milestones!$AA$152)&lt;=AsOfDate,IF($Q60=0,$W60,IF(AND($S60&lt;&gt;"",EDATE($D60,Milestones!$AA$152)&gt;=$S60),$V60,IF(AND($R60&lt;&gt;"",EDATE($D60,Milestones!$AA$152)&gt;=$R60),$U60,$T60)))=Milestones!$AB$152),TEXT(EDATE($D60,Milestones!$AA$152),"dd/mm/yy")&amp;" "&amp;Milestones!$AB$152&amp;" "&amp;Milestones!$AC$152&amp;";  ","")&amp;IF(AND(EDATE($D60,Milestones!$AA$153)&lt;=AsOfDate,IF($Q60=0,$W60,IF(AND($S60&lt;&gt;"",EDATE($D60,Milestones!$AA$153)&gt;=$S60),$V60,IF(AND($R60&lt;&gt;"",EDATE($D60,Milestones!$AA$153)&gt;=$R60),$U60,$T60)))=Milestones!$AB$153),TEXT(EDATE($D60,Milestones!$AA$153),"dd/mm/yy")&amp;" "&amp;Milestones!$AB$153&amp;" "&amp;Milestones!$AC$153&amp;";  ","")&amp;IF(AND(EDATE($D60,Milestones!$AA$154)&lt;=AsOfDate,IF($Q60=0,$W60,IF(AND($S60&lt;&gt;"",EDATE($D60,Milestones!$AA$154)&gt;=$S60),$V60,IF(AND($R60&lt;&gt;"",EDATE($D60,Milestones!$AA$154)&gt;=$R60),$U60,$T60)))=Milestones!$AB$154),TEXT(EDATE($D60,Milestones!$AA$154),"dd/mm/yy")&amp;" "&amp;Milestones!$AB$154&amp;" "&amp;Milestones!$AC$154&amp;";  ","")&amp;IF(AND(EDATE($D60,Milestones!$AA$155)&lt;=AsOfDate,IF($Q60=0,$W60,IF(AND($S60&lt;&gt;"",EDATE($D60,Milestones!$AA$155)&gt;=$S60),$V60,IF(AND($R60&lt;&gt;"",EDATE($D60,Milestones!$AA$155)&gt;=$R60),$U60,$T60)))=Milestones!$AB$155),TEXT(EDATE($D60,Milestones!$AA$155),"dd/mm/yy")&amp;" "&amp;Milestones!$AB$155&amp;" "&amp;Milestones!$AC$155&amp;";  ","")&amp;IF(AND(EDATE($D60,Milestones!$AA$156)&lt;=AsOfDate,IF($Q60=0,$W60,IF(AND($S60&lt;&gt;"",EDATE($D60,Milestones!$AA$156)&gt;=$S60),$V60,IF(AND($R60&lt;&gt;"",EDATE($D60,Milestones!$AA$156)&gt;=$R60),$U60,$T60)))=Milestones!$AB$156),TEXT(EDATE($D60,Milestones!$AA$156),"dd/mm/yy")&amp;" "&amp;Milestones!$AB$156&amp;" "&amp;Milestones!$AC$156&amp;";  ","")&amp;IF(AND(EDATE($D60,Milestones!$AA$157)&lt;=AsOfDate,IF($Q60=0,$W60,IF(AND($S60&lt;&gt;"",EDATE($D60,Milestones!$AA$157)&gt;=$S60),$V60,IF(AND($R60&lt;&gt;"",EDATE($D60,Milestones!$AA$157)&gt;=$R60),$U60,$T60)))=Milestones!$AB$157),TEXT(EDATE($D60,Milestones!$AA$157),"dd/mm/yy")&amp;" "&amp;Milestones!$AB$157&amp;" "&amp;Milestones!$AC$157&amp;";  ","")&amp;IF(AND(EDATE($D60,Milestones!$AA$158)&lt;=AsOfDate,IF($Q60=0,$W60,IF(AND($S60&lt;&gt;"",EDATE($D60,Milestones!$AA$158)&gt;=$S60),$V60,IF(AND($R60&lt;&gt;"",EDATE($D60,Milestones!$AA$158)&gt;=$R60),$U60,$T60)))=Milestones!$AB$158),TEXT(EDATE($D60,Milestones!$AA$158),"dd/mm/yy")&amp;" "&amp;Milestones!$AB$158&amp;" "&amp;Milestones!$AC$158&amp;";  ","")&amp;IF(AND(EDATE($D60,Milestones!$AA$159)&lt;=AsOfDate,IF($Q60=0,$W60,IF(AND($S60&lt;&gt;"",EDATE($D60,Milestones!$AA$159)&gt;=$S60),$V60,IF(AND($R60&lt;&gt;"",EDATE($D60,Milestones!$AA$159)&gt;=$R60),$U60,$T60)))=Milestones!$AB$159),TEXT(EDATE($D60,Milestones!$AA$159),"dd/mm/yy")&amp;" "&amp;Milestones!$AB$159&amp;" "&amp;Milestones!$AC$159&amp;";  ",""))</f>
        <v/>
      </c>
      <c r="O60" s="0" t="str">
        <f aca="false">IF(OR($A60="",$D60=""),"",IF(AND(EDATE($D60,Milestones!$AA$160)&lt;=AsOfDate,IF($Q60=0,$W60,IF(AND($S60&lt;&gt;"",EDATE($D60,Milestones!$AA$160)&gt;=$S60),$V60,IF(AND($R60&lt;&gt;"",EDATE($D60,Milestones!$AA$160)&gt;=$R60),$U60,$T60)))=Milestones!$AB$160),TEXT(EDATE($D60,Milestones!$AA$160),"dd/mm/yy")&amp;" "&amp;Milestones!$AB$160&amp;" "&amp;Milestones!$AC$160&amp;";  ","")&amp;IF(AND(EDATE($D60,Milestones!$AA$161)&lt;=AsOfDate,IF($Q60=0,$W60,IF(AND($S60&lt;&gt;"",EDATE($D60,Milestones!$AA$161)&gt;=$S60),$V60,IF(AND($R60&lt;&gt;"",EDATE($D60,Milestones!$AA$161)&gt;=$R60),$U60,$T60)))=Milestones!$AB$161),TEXT(EDATE($D60,Milestones!$AA$161),"dd/mm/yy")&amp;" "&amp;Milestones!$AB$161&amp;" "&amp;Milestones!$AC$161&amp;";  ","")&amp;IF(AND(EDATE($D60,Milestones!$AA$162)&lt;=AsOfDate,IF($Q60=0,$W60,IF(AND($S60&lt;&gt;"",EDATE($D60,Milestones!$AA$162)&gt;=$S60),$V60,IF(AND($R60&lt;&gt;"",EDATE($D60,Milestones!$AA$162)&gt;=$R60),$U60,$T60)))=Milestones!$AB$162),TEXT(EDATE($D60,Milestones!$AA$162),"dd/mm/yy")&amp;" "&amp;Milestones!$AB$162&amp;" "&amp;Milestones!$AC$162&amp;";  ","")&amp;IF(AND(EDATE($D60,Milestones!$AA$163)&lt;=AsOfDate,IF($Q60=0,$W60,IF(AND($S60&lt;&gt;"",EDATE($D60,Milestones!$AA$163)&gt;=$S60),$V60,IF(AND($R60&lt;&gt;"",EDATE($D60,Milestones!$AA$163)&gt;=$R60),$U60,$T60)))=Milestones!$AB$163),TEXT(EDATE($D60,Milestones!$AA$163),"dd/mm/yy")&amp;" "&amp;Milestones!$AB$163&amp;" "&amp;Milestones!$AC$163&amp;";  ","")&amp;IF(AND(EDATE($D60,Milestones!$AA$164)&lt;=AsOfDate,IF($Q60=0,$W60,IF(AND($S60&lt;&gt;"",EDATE($D60,Milestones!$AA$164)&gt;=$S60),$V60,IF(AND($R60&lt;&gt;"",EDATE($D60,Milestones!$AA$164)&gt;=$R60),$U60,$T60)))=Milestones!$AB$164),TEXT(EDATE($D60,Milestones!$AA$164),"dd/mm/yy")&amp;" "&amp;Milestones!$AB$164&amp;" "&amp;Milestones!$AC$164&amp;";  ","")&amp;IF(AND(EDATE($D60,Milestones!$AA$165)&lt;=AsOfDate,IF($Q60=0,$W60,IF(AND($S60&lt;&gt;"",EDATE($D60,Milestones!$AA$165)&gt;=$S60),$V60,IF(AND($R60&lt;&gt;"",EDATE($D60,Milestones!$AA$165)&gt;=$R60),$U60,$T60)))=Milestones!$AB$165),TEXT(EDATE($D60,Milestones!$AA$165),"dd/mm/yy")&amp;" "&amp;Milestones!$AB$165&amp;" "&amp;Milestones!$AC$165&amp;";  ","")&amp;IF(AND(EDATE($D60,Milestones!$AA$166)&lt;=AsOfDate,IF($Q60=0,$W60,IF(AND($S60&lt;&gt;"",EDATE($D60,Milestones!$AA$166)&gt;=$S60),$V60,IF(AND($R60&lt;&gt;"",EDATE($D60,Milestones!$AA$166)&gt;=$R60),$U60,$T60)))=Milestones!$AB$166),TEXT(EDATE($D60,Milestones!$AA$166),"dd/mm/yy")&amp;" "&amp;Milestones!$AB$166&amp;" "&amp;Milestones!$AC$166&amp;";  ","")&amp;IF(AND(EDATE($D60,Milestones!$AA$167)&lt;=AsOfDate,IF($Q60=0,$W60,IF(AND($S60&lt;&gt;"",EDATE($D60,Milestones!$AA$167)&gt;=$S60),$V60,IF(AND($R60&lt;&gt;"",EDATE($D60,Milestones!$AA$167)&gt;=$R60),$U60,$T60)))=Milestones!$AB$167),TEXT(EDATE($D60,Milestones!$AA$167),"dd/mm/yy")&amp;" "&amp;Milestones!$AB$167&amp;" "&amp;Milestones!$AC$167&amp;";  ","")&amp;IF(AND(EDATE($D60,Milestones!$AA$168)&lt;=AsOfDate,IF($Q60=0,$W60,IF(AND($S60&lt;&gt;"",EDATE($D60,Milestones!$AA$168)&gt;=$S60),$V60,IF(AND($R60&lt;&gt;"",EDATE($D60,Milestones!$AA$168)&gt;=$R60),$U60,$T60)))=Milestones!$AB$168),TEXT(EDATE($D60,Milestones!$AA$168),"dd/mm/yy")&amp;" "&amp;Milestones!$AB$168&amp;" "&amp;Milestones!$AC$168&amp;";  ","")&amp;IF(AND(EDATE($D60,Milestones!$AA$169)&lt;=AsOfDate,IF($Q60=0,$W60,IF(AND($S60&lt;&gt;"",EDATE($D60,Milestones!$AA$169)&gt;=$S60),$V60,IF(AND($R60&lt;&gt;"",EDATE($D60,Milestones!$AA$169)&gt;=$R60),$U60,$T60)))=Milestones!$AB$169),TEXT(EDATE($D60,Milestones!$AA$169),"dd/mm/yy")&amp;" "&amp;Milestones!$AB$169&amp;" "&amp;Milestones!$AC$169&amp;";  ","")&amp;IF(AND(EDATE($D60,Milestones!$AA$170)&lt;=AsOfDate,IF($Q60=0,$W60,IF(AND($S60&lt;&gt;"",EDATE($D60,Milestones!$AA$170)&gt;=$S60),$V60,IF(AND($R60&lt;&gt;"",EDATE($D60,Milestones!$AA$170)&gt;=$R60),$U60,$T60)))=Milestones!$AB$170),TEXT(EDATE($D60,Milestones!$AA$170),"dd/mm/yy")&amp;" "&amp;Milestones!$AB$170&amp;" "&amp;Milestones!$AC$170&amp;";  ","")&amp;IF(AND(EDATE($D60,Milestones!$AA$171)&lt;=AsOfDate,IF($Q60=0,$W60,IF(AND($S60&lt;&gt;"",EDATE($D60,Milestones!$AA$171)&gt;=$S60),$V60,IF(AND($R60&lt;&gt;"",EDATE($D60,Milestones!$AA$171)&gt;=$R60),$U60,$T60)))=Milestones!$AB$171),TEXT(EDATE($D60,Milestones!$AA$171),"dd/mm/yy")&amp;" "&amp;Milestones!$AB$171&amp;" "&amp;Milestones!$AC$171&amp;";  ","")&amp;IF(AND(EDATE($D60,Milestones!$AA$172)&lt;=AsOfDate,IF($Q60=0,$W60,IF(AND($S60&lt;&gt;"",EDATE($D60,Milestones!$AA$172)&gt;=$S60),$V60,IF(AND($R60&lt;&gt;"",EDATE($D60,Milestones!$AA$172)&gt;=$R60),$U60,$T60)))=Milestones!$AB$172),TEXT(EDATE($D60,Milestones!$AA$172),"dd/mm/yy")&amp;" "&amp;Milestones!$AB$172&amp;" "&amp;Milestones!$AC$172&amp;";  ","")&amp;IF(AND(EDATE($D60,Milestones!$AA$173)&lt;=AsOfDate,IF($Q60=0,$W60,IF(AND($S60&lt;&gt;"",EDATE($D60,Milestones!$AA$173)&gt;=$S60),$V60,IF(AND($R60&lt;&gt;"",EDATE($D60,Milestones!$AA$173)&gt;=$R60),$U60,$T60)))=Milestones!$AB$173),TEXT(EDATE($D60,Milestones!$AA$173),"dd/mm/yy")&amp;" "&amp;Milestones!$AB$173&amp;" "&amp;Milestones!$AC$173&amp;";  ","")&amp;IF(AND(EDATE($D60,Milestones!$AA$174)&lt;=AsOfDate,IF($Q60=0,$W60,IF(AND($S60&lt;&gt;"",EDATE($D60,Milestones!$AA$174)&gt;=$S60),$V60,IF(AND($R60&lt;&gt;"",EDATE($D60,Milestones!$AA$174)&gt;=$R60),$U60,$T60)))=Milestones!$AB$174),TEXT(EDATE($D60,Milestones!$AA$174),"dd/mm/yy")&amp;" "&amp;Milestones!$AB$174&amp;" "&amp;Milestones!$AC$174&amp;";  ","")&amp;IF(AND(EDATE($D60,Milestones!$AA$175)&lt;=AsOfDate,IF($Q60=0,$W60,IF(AND($S60&lt;&gt;"",EDATE($D60,Milestones!$AA$175)&gt;=$S60),$V60,IF(AND($R60&lt;&gt;"",EDATE($D60,Milestones!$AA$175)&gt;=$R60),$U60,$T60)))=Milestones!$AB$175),TEXT(EDATE($D60,Milestones!$AA$175),"dd/mm/yy")&amp;" "&amp;Milestones!$AB$175&amp;" "&amp;Milestones!$AC$175&amp;";  ","")&amp;IF(AND(EDATE($D60,Milestones!$AA$176)&lt;=AsOfDate,IF($Q60=0,$W60,IF(AND($S60&lt;&gt;"",EDATE($D60,Milestones!$AA$176)&gt;=$S60),$V60,IF(AND($R60&lt;&gt;"",EDATE($D60,Milestones!$AA$176)&gt;=$R60),$U60,$T60)))=Milestones!$AB$176),TEXT(EDATE($D60,Milestones!$AA$176),"dd/mm/yy")&amp;" "&amp;Milestones!$AB$176&amp;" "&amp;Milestones!$AC$176&amp;";  ","")&amp;IF(AND(EDATE($D60,Milestones!$AA$177)&lt;=AsOfDate,IF($Q60=0,$W60,IF(AND($S60&lt;&gt;"",EDATE($D60,Milestones!$AA$177)&gt;=$S60),$V60,IF(AND($R60&lt;&gt;"",EDATE($D60,Milestones!$AA$177)&gt;=$R60),$U60,$T60)))=Milestones!$AB$177),TEXT(EDATE($D60,Milestones!$AA$177),"dd/mm/yy")&amp;" "&amp;Milestones!$AB$177&amp;" "&amp;Milestones!$AC$177&amp;";  ","")&amp;IF(AND(EDATE($D60,Milestones!$AA$178)&lt;=AsOfDate,IF($Q60=0,$W60,IF(AND($S60&lt;&gt;"",EDATE($D60,Milestones!$AA$178)&gt;=$S60),$V60,IF(AND($R60&lt;&gt;"",EDATE($D60,Milestones!$AA$178)&gt;=$R60),$U60,$T60)))=Milestones!$AB$178),TEXT(EDATE($D60,Milestones!$AA$178),"dd/mm/yy")&amp;" "&amp;Milestones!$AB$178&amp;" "&amp;Milestones!$AC$178&amp;";  ","")&amp;IF(AND(EDATE($D60,Milestones!$AA$179)&lt;=AsOfDate,IF($Q60=0,$W60,IF(AND($S60&lt;&gt;"",EDATE($D60,Milestones!$AA$179)&gt;=$S60),$V60,IF(AND($R60&lt;&gt;"",EDATE($D60,Milestones!$AA$179)&gt;=$R60),$U60,$T60)))=Milestones!$AB$179),TEXT(EDATE($D60,Milestones!$AA$179),"dd/mm/yy")&amp;" "&amp;Milestones!$AB$179&amp;" "&amp;Milestones!$AC$179&amp;";  ",""))</f>
        <v/>
      </c>
      <c r="P60" s="0" t="str">
        <f aca="false">IF(OR($A60="",$D60=""),"",IF(AND(EDATE($D60,Milestones!$AA$180)&lt;=AsOfDate,IF($Q60=0,$W60,IF(AND($S60&lt;&gt;"",EDATE($D60,Milestones!$AA$180)&gt;=$S60),$V60,IF(AND($R60&lt;&gt;"",EDATE($D60,Milestones!$AA$180)&gt;=$R60),$U60,$T60)))=Milestones!$AB$180),TEXT(EDATE($D60,Milestones!$AA$180),"dd/mm/yy")&amp;" "&amp;Milestones!$AB$180&amp;" "&amp;Milestones!$AC$180&amp;";  ","")&amp;IF(AND(EDATE($D60,Milestones!$AA$181)&lt;=AsOfDate,IF($Q60=0,$W60,IF(AND($S60&lt;&gt;"",EDATE($D60,Milestones!$AA$181)&gt;=$S60),$V60,IF(AND($R60&lt;&gt;"",EDATE($D60,Milestones!$AA$181)&gt;=$R60),$U60,$T60)))=Milestones!$AB$181),TEXT(EDATE($D60,Milestones!$AA$181),"dd/mm/yy")&amp;" "&amp;Milestones!$AB$181&amp;" "&amp;Milestones!$AC$181&amp;";  ","")&amp;IF(AND(EDATE($D60,Milestones!$AA$182)&lt;=AsOfDate,IF($Q60=0,$W60,IF(AND($S60&lt;&gt;"",EDATE($D60,Milestones!$AA$182)&gt;=$S60),$V60,IF(AND($R60&lt;&gt;"",EDATE($D60,Milestones!$AA$182)&gt;=$R60),$U60,$T60)))=Milestones!$AB$182),TEXT(EDATE($D60,Milestones!$AA$182),"dd/mm/yy")&amp;" "&amp;Milestones!$AB$182&amp;" "&amp;Milestones!$AC$182&amp;";  ","")&amp;IF(AND(EDATE($D60,Milestones!$AA$183)&lt;=AsOfDate,IF($Q60=0,$W60,IF(AND($S60&lt;&gt;"",EDATE($D60,Milestones!$AA$183)&gt;=$S60),$V60,IF(AND($R60&lt;&gt;"",EDATE($D60,Milestones!$AA$183)&gt;=$R60),$U60,$T60)))=Milestones!$AB$183),TEXT(EDATE($D60,Milestones!$AA$183),"dd/mm/yy")&amp;" "&amp;Milestones!$AB$183&amp;" "&amp;Milestones!$AC$183&amp;";  ","")&amp;IF(AND(EDATE($D60,Milestones!$AA$184)&lt;=AsOfDate,IF($Q60=0,$W60,IF(AND($S60&lt;&gt;"",EDATE($D60,Milestones!$AA$184)&gt;=$S60),$V60,IF(AND($R60&lt;&gt;"",EDATE($D60,Milestones!$AA$184)&gt;=$R60),$U60,$T60)))=Milestones!$AB$184),TEXT(EDATE($D60,Milestones!$AA$184),"dd/mm/yy")&amp;" "&amp;Milestones!$AB$184&amp;" "&amp;Milestones!$AC$184&amp;";  ","")&amp;IF(AND(EDATE($D60,Milestones!$AA$185)&lt;=AsOfDate,IF($Q60=0,$W60,IF(AND($S60&lt;&gt;"",EDATE($D60,Milestones!$AA$185)&gt;=$S60),$V60,IF(AND($R60&lt;&gt;"",EDATE($D60,Milestones!$AA$185)&gt;=$R60),$U60,$T60)))=Milestones!$AB$185),TEXT(EDATE($D60,Milestones!$AA$185),"dd/mm/yy")&amp;" "&amp;Milestones!$AB$185&amp;" "&amp;Milestones!$AC$185&amp;";  ","")&amp;IF(AND(EDATE($D60,Milestones!$AA$186)&lt;=AsOfDate,IF($Q60=0,$W60,IF(AND($S60&lt;&gt;"",EDATE($D60,Milestones!$AA$186)&gt;=$S60),$V60,IF(AND($R60&lt;&gt;"",EDATE($D60,Milestones!$AA$186)&gt;=$R60),$U60,$T60)))=Milestones!$AB$186),TEXT(EDATE($D60,Milestones!$AA$186),"dd/mm/yy")&amp;" "&amp;Milestones!$AB$186&amp;" "&amp;Milestones!$AC$186&amp;";  ","")&amp;IF(AND(EDATE($D60,Milestones!$AA$187)&lt;=AsOfDate,IF($Q60=0,$W60,IF(AND($S60&lt;&gt;"",EDATE($D60,Milestones!$AA$187)&gt;=$S60),$V60,IF(AND($R60&lt;&gt;"",EDATE($D60,Milestones!$AA$187)&gt;=$R60),$U60,$T60)))=Milestones!$AB$187),TEXT(EDATE($D60,Milestones!$AA$187),"dd/mm/yy")&amp;" "&amp;Milestones!$AB$187&amp;" "&amp;Milestones!$AC$187&amp;";  ","")&amp;IF(AND(EDATE($D60,Milestones!$AA$188)&lt;=AsOfDate,IF($Q60=0,$W60,IF(AND($S60&lt;&gt;"",EDATE($D60,Milestones!$AA$188)&gt;=$S60),$V60,IF(AND($R60&lt;&gt;"",EDATE($D60,Milestones!$AA$188)&gt;=$R60),$U60,$T60)))=Milestones!$AB$188),TEXT(EDATE($D60,Milestones!$AA$188),"dd/mm/yy")&amp;" "&amp;Milestones!$AB$188&amp;" "&amp;Milestones!$AC$188&amp;";  ","")&amp;IF(AND(EDATE($D60,Milestones!$AA$189)&lt;=AsOfDate,IF($Q60=0,$W60,IF(AND($S60&lt;&gt;"",EDATE($D60,Milestones!$AA$189)&gt;=$S60),$V60,IF(AND($R60&lt;&gt;"",EDATE($D60,Milestones!$AA$189)&gt;=$R60),$U60,$T60)))=Milestones!$AB$189),TEXT(EDATE($D60,Milestones!$AA$189),"dd/mm/yy")&amp;" "&amp;Milestones!$AB$189&amp;" "&amp;Milestones!$AC$189&amp;";  ","")&amp;IF(AND(EDATE($D60,Milestones!$AA$190)&lt;=AsOfDate,IF($Q60=0,$W60,IF(AND($S60&lt;&gt;"",EDATE($D60,Milestones!$AA$190)&gt;=$S60),$V60,IF(AND($R60&lt;&gt;"",EDATE($D60,Milestones!$AA$190)&gt;=$R60),$U60,$T60)))=Milestones!$AB$190),TEXT(EDATE($D60,Milestones!$AA$190),"dd/mm/yy")&amp;" "&amp;Milestones!$AB$190&amp;" "&amp;Milestones!$AC$190&amp;";  ","")&amp;IF(AND(EDATE($D60,Milestones!$AA$191)&lt;=AsOfDate,IF($Q60=0,$W60,IF(AND($S60&lt;&gt;"",EDATE($D60,Milestones!$AA$191)&gt;=$S60),$V60,IF(AND($R60&lt;&gt;"",EDATE($D60,Milestones!$AA$191)&gt;=$R60),$U60,$T60)))=Milestones!$AB$191),TEXT(EDATE($D60,Milestones!$AA$191),"dd/mm/yy")&amp;" "&amp;Milestones!$AB$191&amp;" "&amp;Milestones!$AC$191&amp;";  ","")&amp;IF(AND(EDATE($D60,Milestones!$AA$192)&lt;=AsOfDate,IF($Q60=0,$W60,IF(AND($S60&lt;&gt;"",EDATE($D60,Milestones!$AA$192)&gt;=$S60),$V60,IF(AND($R60&lt;&gt;"",EDATE($D60,Milestones!$AA$192)&gt;=$R60),$U60,$T60)))=Milestones!$AB$192),TEXT(EDATE($D60,Milestones!$AA$192),"dd/mm/yy")&amp;" "&amp;Milestones!$AB$192&amp;" "&amp;Milestones!$AC$192&amp;";  ","")&amp;IF(AND(EDATE($D60,Milestones!$AA$193)&lt;=AsOfDate,IF($Q60=0,$W60,IF(AND($S60&lt;&gt;"",EDATE($D60,Milestones!$AA$193)&gt;=$S60),$V60,IF(AND($R60&lt;&gt;"",EDATE($D60,Milestones!$AA$193)&gt;=$R60),$U60,$T60)))=Milestones!$AB$193),TEXT(EDATE($D60,Milestones!$AA$193),"dd/mm/yy")&amp;" "&amp;Milestones!$AB$193&amp;" "&amp;Milestones!$AC$193&amp;";  ","")&amp;IF(AND(EDATE($D60,Milestones!$AA$194)&lt;=AsOfDate,IF($Q60=0,$W60,IF(AND($S60&lt;&gt;"",EDATE($D60,Milestones!$AA$194)&gt;=$S60),$V60,IF(AND($R60&lt;&gt;"",EDATE($D60,Milestones!$AA$194)&gt;=$R60),$U60,$T60)))=Milestones!$AB$194),TEXT(EDATE($D60,Milestones!$AA$194),"dd/mm/yy")&amp;" "&amp;Milestones!$AB$194&amp;" "&amp;Milestones!$AC$194&amp;";  ","")&amp;IF(AND(EDATE($D60,Milestones!$AA$195)&lt;=AsOfDate,IF($Q60=0,$W60,IF(AND($S60&lt;&gt;"",EDATE($D60,Milestones!$AA$195)&gt;=$S60),$V60,IF(AND($R60&lt;&gt;"",EDATE($D60,Milestones!$AA$195)&gt;=$R60),$U60,$T60)))=Milestones!$AB$195),TEXT(EDATE($D60,Milestones!$AA$195),"dd/mm/yy")&amp;" "&amp;Milestones!$AB$195&amp;" "&amp;Milestones!$AC$195&amp;";  ","")&amp;IF(AND(EDATE($D60,Milestones!$AA$196)&lt;=AsOfDate,IF($Q60=0,$W60,IF(AND($S60&lt;&gt;"",EDATE($D60,Milestones!$AA$196)&gt;=$S60),$V60,IF(AND($R60&lt;&gt;"",EDATE($D60,Milestones!$AA$196)&gt;=$R60),$U60,$T60)))=Milestones!$AB$196),TEXT(EDATE($D60,Milestones!$AA$196),"dd/mm/yy")&amp;" "&amp;Milestones!$AB$196&amp;" "&amp;Milestones!$AC$196&amp;";  ","")&amp;IF(AND(EDATE($D60,Milestones!$AA$197)&lt;=AsOfDate,IF($Q60=0,$W60,IF(AND($S60&lt;&gt;"",EDATE($D60,Milestones!$AA$197)&gt;=$S60),$V60,IF(AND($R60&lt;&gt;"",EDATE($D60,Milestones!$AA$197)&gt;=$R60),$U60,$T60)))=Milestones!$AB$197),TEXT(EDATE($D60,Milestones!$AA$197),"dd/mm/yy")&amp;" "&amp;Milestones!$AB$197&amp;" "&amp;Milestones!$AC$197&amp;";  ","")&amp;IF(AND(EDATE($D60,Milestones!$AA$198)&lt;=AsOfDate,IF($Q60=0,$W60,IF(AND($S60&lt;&gt;"",EDATE($D60,Milestones!$AA$198)&gt;=$S60),$V60,IF(AND($R60&lt;&gt;"",EDATE($D60,Milestones!$AA$198)&gt;=$R60),$U60,$T60)))=Milestones!$AB$198),TEXT(EDATE($D60,Milestones!$AA$198),"dd/mm/yy")&amp;" "&amp;Milestones!$AB$198&amp;" "&amp;Milestones!$AC$198&amp;";  ","")&amp;IF(AND(EDATE($D60,Milestones!$AA$199)&lt;=AsOfDate,IF($Q60=0,$W60,IF(AND($S60&lt;&gt;"",EDATE($D60,Milestones!$AA$199)&gt;=$S60),$V60,IF(AND($R60&lt;&gt;"",EDATE($D60,Milestones!$AA$199)&gt;=$R60),$U60,$T60)))=Milestones!$AB$199),TEXT(EDATE($D60,Milestones!$AA$199),"dd/mm/yy")&amp;" "&amp;Milestones!$AB$199&amp;" "&amp;Milestones!$AC$199&amp;";  ",""))</f>
        <v/>
      </c>
      <c r="Q60" s="0" t="str">
        <f aca="false">IF(Staff!$A60="","",Staff!$AG60)</f>
        <v/>
      </c>
      <c r="R60" s="0" t="str">
        <f aca="false">IF(Staff!$A60="","",Staff!$AI60)</f>
        <v/>
      </c>
      <c r="S60" s="0" t="str">
        <f aca="false">IF(Staff!$A60="","",Staff!$AJ60)</f>
        <v/>
      </c>
      <c r="T60" s="0" t="str">
        <f aca="false">IF(Staff!$A60="","",Staff!$AN60)</f>
        <v/>
      </c>
      <c r="U60" s="0" t="str">
        <f aca="false">IF(Staff!$A60="","",Staff!$AO60)</f>
        <v/>
      </c>
      <c r="V60" s="0" t="str">
        <f aca="false">IF(Staff!$A60="","",Staff!$AP60)</f>
        <v/>
      </c>
      <c r="W60" s="0" t="str">
        <f aca="false">IF(Staff!$A60="","",Staff!$AQ60)</f>
        <v/>
      </c>
    </row>
    <row r="61" customFormat="false" ht="15" hidden="false" customHeight="false" outlineLevel="0" collapsed="false">
      <c r="A61" s="13" t="str">
        <f aca="false">IF(Staff!$A61="","",Staff!$A61)</f>
        <v/>
      </c>
      <c r="B61" s="13" t="str">
        <f aca="false">IF(Staff!$A61="","",Staff!$B61)</f>
        <v/>
      </c>
      <c r="C61" s="13" t="str">
        <f aca="false">IF(Staff!$A61="","",Staff!$C61)</f>
        <v/>
      </c>
      <c r="D61" s="11" t="str">
        <f aca="false">IF(Staff!$A61="","",Staff!$AF61)</f>
        <v/>
      </c>
      <c r="E61" s="13" t="str">
        <f aca="false">IF(Staff!$A61="","",Staff!$O61)</f>
        <v/>
      </c>
      <c r="F61" s="13" t="str">
        <f aca="false">IF(E61="","",E61*HoursPerDay)</f>
        <v/>
      </c>
      <c r="G61" s="26" t="str">
        <f aca="false">IF($A61="","",H61&amp;I61&amp;J61&amp;K61&amp;L61&amp;M61&amp;N61&amp;O61&amp;P61)</f>
        <v/>
      </c>
      <c r="H61" s="0" t="str">
        <f aca="false">IF(OR($A61="",$D61=""),"",IF(AND(EDATE($D61,Milestones!$AA$20)&lt;=AsOfDate,IF($Q61=0,$W61,IF(AND($S61&lt;&gt;"",EDATE($D61,Milestones!$AA$20)&gt;=$S61),$V61,IF(AND($R61&lt;&gt;"",EDATE($D61,Milestones!$AA$20)&gt;=$R61),$U61,$T61)))=Milestones!$AB$20),TEXT(EDATE($D61,Milestones!$AA$20),"dd/mm/yy")&amp;" "&amp;Milestones!$AB$20&amp;" "&amp;Milestones!$AC$20&amp;";  ","")&amp;IF(AND(EDATE($D61,Milestones!$AA$21)&lt;=AsOfDate,IF($Q61=0,$W61,IF(AND($S61&lt;&gt;"",EDATE($D61,Milestones!$AA$21)&gt;=$S61),$V61,IF(AND($R61&lt;&gt;"",EDATE($D61,Milestones!$AA$21)&gt;=$R61),$U61,$T61)))=Milestones!$AB$21),TEXT(EDATE($D61,Milestones!$AA$21),"dd/mm/yy")&amp;" "&amp;Milestones!$AB$21&amp;" "&amp;Milestones!$AC$21&amp;";  ","")&amp;IF(AND(EDATE($D61,Milestones!$AA$22)&lt;=AsOfDate,IF($Q61=0,$W61,IF(AND($S61&lt;&gt;"",EDATE($D61,Milestones!$AA$22)&gt;=$S61),$V61,IF(AND($R61&lt;&gt;"",EDATE($D61,Milestones!$AA$22)&gt;=$R61),$U61,$T61)))=Milestones!$AB$22),TEXT(EDATE($D61,Milestones!$AA$22),"dd/mm/yy")&amp;" "&amp;Milestones!$AB$22&amp;" "&amp;Milestones!$AC$22&amp;";  ","")&amp;IF(AND(EDATE($D61,Milestones!$AA$23)&lt;=AsOfDate,IF($Q61=0,$W61,IF(AND($S61&lt;&gt;"",EDATE($D61,Milestones!$AA$23)&gt;=$S61),$V61,IF(AND($R61&lt;&gt;"",EDATE($D61,Milestones!$AA$23)&gt;=$R61),$U61,$T61)))=Milestones!$AB$23),TEXT(EDATE($D61,Milestones!$AA$23),"dd/mm/yy")&amp;" "&amp;Milestones!$AB$23&amp;" "&amp;Milestones!$AC$23&amp;";  ","")&amp;IF(AND(EDATE($D61,Milestones!$AA$24)&lt;=AsOfDate,IF($Q61=0,$W61,IF(AND($S61&lt;&gt;"",EDATE($D61,Milestones!$AA$24)&gt;=$S61),$V61,IF(AND($R61&lt;&gt;"",EDATE($D61,Milestones!$AA$24)&gt;=$R61),$U61,$T61)))=Milestones!$AB$24),TEXT(EDATE($D61,Milestones!$AA$24),"dd/mm/yy")&amp;" "&amp;Milestones!$AB$24&amp;" "&amp;Milestones!$AC$24&amp;";  ","")&amp;IF(AND(EDATE($D61,Milestones!$AA$25)&lt;=AsOfDate,IF($Q61=0,$W61,IF(AND($S61&lt;&gt;"",EDATE($D61,Milestones!$AA$25)&gt;=$S61),$V61,IF(AND($R61&lt;&gt;"",EDATE($D61,Milestones!$AA$25)&gt;=$R61),$U61,$T61)))=Milestones!$AB$25),TEXT(EDATE($D61,Milestones!$AA$25),"dd/mm/yy")&amp;" "&amp;Milestones!$AB$25&amp;" "&amp;Milestones!$AC$25&amp;";  ","")&amp;IF(AND(EDATE($D61,Milestones!$AA$26)&lt;=AsOfDate,IF($Q61=0,$W61,IF(AND($S61&lt;&gt;"",EDATE($D61,Milestones!$AA$26)&gt;=$S61),$V61,IF(AND($R61&lt;&gt;"",EDATE($D61,Milestones!$AA$26)&gt;=$R61),$U61,$T61)))=Milestones!$AB$26),TEXT(EDATE($D61,Milestones!$AA$26),"dd/mm/yy")&amp;" "&amp;Milestones!$AB$26&amp;" "&amp;Milestones!$AC$26&amp;";  ","")&amp;IF(AND(EDATE($D61,Milestones!$AA$27)&lt;=AsOfDate,IF($Q61=0,$W61,IF(AND($S61&lt;&gt;"",EDATE($D61,Milestones!$AA$27)&gt;=$S61),$V61,IF(AND($R61&lt;&gt;"",EDATE($D61,Milestones!$AA$27)&gt;=$R61),$U61,$T61)))=Milestones!$AB$27),TEXT(EDATE($D61,Milestones!$AA$27),"dd/mm/yy")&amp;" "&amp;Milestones!$AB$27&amp;" "&amp;Milestones!$AC$27&amp;";  ","")&amp;IF(AND(EDATE($D61,Milestones!$AA$28)&lt;=AsOfDate,IF($Q61=0,$W61,IF(AND($S61&lt;&gt;"",EDATE($D61,Milestones!$AA$28)&gt;=$S61),$V61,IF(AND($R61&lt;&gt;"",EDATE($D61,Milestones!$AA$28)&gt;=$R61),$U61,$T61)))=Milestones!$AB$28),TEXT(EDATE($D61,Milestones!$AA$28),"dd/mm/yy")&amp;" "&amp;Milestones!$AB$28&amp;" "&amp;Milestones!$AC$28&amp;";  ","")&amp;IF(AND(EDATE($D61,Milestones!$AA$29)&lt;=AsOfDate,IF($Q61=0,$W61,IF(AND($S61&lt;&gt;"",EDATE($D61,Milestones!$AA$29)&gt;=$S61),$V61,IF(AND($R61&lt;&gt;"",EDATE($D61,Milestones!$AA$29)&gt;=$R61),$U61,$T61)))=Milestones!$AB$29),TEXT(EDATE($D61,Milestones!$AA$29),"dd/mm/yy")&amp;" "&amp;Milestones!$AB$29&amp;" "&amp;Milestones!$AC$29&amp;";  ","")&amp;IF(AND(EDATE($D61,Milestones!$AA$30)&lt;=AsOfDate,IF($Q61=0,$W61,IF(AND($S61&lt;&gt;"",EDATE($D61,Milestones!$AA$30)&gt;=$S61),$V61,IF(AND($R61&lt;&gt;"",EDATE($D61,Milestones!$AA$30)&gt;=$R61),$U61,$T61)))=Milestones!$AB$30),TEXT(EDATE($D61,Milestones!$AA$30),"dd/mm/yy")&amp;" "&amp;Milestones!$AB$30&amp;" "&amp;Milestones!$AC$30&amp;";  ","")&amp;IF(AND(EDATE($D61,Milestones!$AA$31)&lt;=AsOfDate,IF($Q61=0,$W61,IF(AND($S61&lt;&gt;"",EDATE($D61,Milestones!$AA$31)&gt;=$S61),$V61,IF(AND($R61&lt;&gt;"",EDATE($D61,Milestones!$AA$31)&gt;=$R61),$U61,$T61)))=Milestones!$AB$31),TEXT(EDATE($D61,Milestones!$AA$31),"dd/mm/yy")&amp;" "&amp;Milestones!$AB$31&amp;" "&amp;Milestones!$AC$31&amp;";  ","")&amp;IF(AND(EDATE($D61,Milestones!$AA$32)&lt;=AsOfDate,IF($Q61=0,$W61,IF(AND($S61&lt;&gt;"",EDATE($D61,Milestones!$AA$32)&gt;=$S61),$V61,IF(AND($R61&lt;&gt;"",EDATE($D61,Milestones!$AA$32)&gt;=$R61),$U61,$T61)))=Milestones!$AB$32),TEXT(EDATE($D61,Milestones!$AA$32),"dd/mm/yy")&amp;" "&amp;Milestones!$AB$32&amp;" "&amp;Milestones!$AC$32&amp;";  ","")&amp;IF(AND(EDATE($D61,Milestones!$AA$33)&lt;=AsOfDate,IF($Q61=0,$W61,IF(AND($S61&lt;&gt;"",EDATE($D61,Milestones!$AA$33)&gt;=$S61),$V61,IF(AND($R61&lt;&gt;"",EDATE($D61,Milestones!$AA$33)&gt;=$R61),$U61,$T61)))=Milestones!$AB$33),TEXT(EDATE($D61,Milestones!$AA$33),"dd/mm/yy")&amp;" "&amp;Milestones!$AB$33&amp;" "&amp;Milestones!$AC$33&amp;";  ","")&amp;IF(AND(EDATE($D61,Milestones!$AA$34)&lt;=AsOfDate,IF($Q61=0,$W61,IF(AND($S61&lt;&gt;"",EDATE($D61,Milestones!$AA$34)&gt;=$S61),$V61,IF(AND($R61&lt;&gt;"",EDATE($D61,Milestones!$AA$34)&gt;=$R61),$U61,$T61)))=Milestones!$AB$34),TEXT(EDATE($D61,Milestones!$AA$34),"dd/mm/yy")&amp;" "&amp;Milestones!$AB$34&amp;" "&amp;Milestones!$AC$34&amp;";  ","")&amp;IF(AND(EDATE($D61,Milestones!$AA$35)&lt;=AsOfDate,IF($Q61=0,$W61,IF(AND($S61&lt;&gt;"",EDATE($D61,Milestones!$AA$35)&gt;=$S61),$V61,IF(AND($R61&lt;&gt;"",EDATE($D61,Milestones!$AA$35)&gt;=$R61),$U61,$T61)))=Milestones!$AB$35),TEXT(EDATE($D61,Milestones!$AA$35),"dd/mm/yy")&amp;" "&amp;Milestones!$AB$35&amp;" "&amp;Milestones!$AC$35&amp;";  ","")&amp;IF(AND(EDATE($D61,Milestones!$AA$36)&lt;=AsOfDate,IF($Q61=0,$W61,IF(AND($S61&lt;&gt;"",EDATE($D61,Milestones!$AA$36)&gt;=$S61),$V61,IF(AND($R61&lt;&gt;"",EDATE($D61,Milestones!$AA$36)&gt;=$R61),$U61,$T61)))=Milestones!$AB$36),TEXT(EDATE($D61,Milestones!$AA$36),"dd/mm/yy")&amp;" "&amp;Milestones!$AB$36&amp;" "&amp;Milestones!$AC$36&amp;";  ","")&amp;IF(AND(EDATE($D61,Milestones!$AA$37)&lt;=AsOfDate,IF($Q61=0,$W61,IF(AND($S61&lt;&gt;"",EDATE($D61,Milestones!$AA$37)&gt;=$S61),$V61,IF(AND($R61&lt;&gt;"",EDATE($D61,Milestones!$AA$37)&gt;=$R61),$U61,$T61)))=Milestones!$AB$37),TEXT(EDATE($D61,Milestones!$AA$37),"dd/mm/yy")&amp;" "&amp;Milestones!$AB$37&amp;" "&amp;Milestones!$AC$37&amp;";  ","")&amp;IF(AND(EDATE($D61,Milestones!$AA$38)&lt;=AsOfDate,IF($Q61=0,$W61,IF(AND($S61&lt;&gt;"",EDATE($D61,Milestones!$AA$38)&gt;=$S61),$V61,IF(AND($R61&lt;&gt;"",EDATE($D61,Milestones!$AA$38)&gt;=$R61),$U61,$T61)))=Milestones!$AB$38),TEXT(EDATE($D61,Milestones!$AA$38),"dd/mm/yy")&amp;" "&amp;Milestones!$AB$38&amp;" "&amp;Milestones!$AC$38&amp;";  ","")&amp;IF(AND(EDATE($D61,Milestones!$AA$39)&lt;=AsOfDate,IF($Q61=0,$W61,IF(AND($S61&lt;&gt;"",EDATE($D61,Milestones!$AA$39)&gt;=$S61),$V61,IF(AND($R61&lt;&gt;"",EDATE($D61,Milestones!$AA$39)&gt;=$R61),$U61,$T61)))=Milestones!$AB$39),TEXT(EDATE($D61,Milestones!$AA$39),"dd/mm/yy")&amp;" "&amp;Milestones!$AB$39&amp;" "&amp;Milestones!$AC$39&amp;";  ",""))</f>
        <v/>
      </c>
      <c r="I61" s="0" t="str">
        <f aca="false">IF(OR($A61="",$D61=""),"",IF(AND(EDATE($D61,Milestones!$AA$40)&lt;=AsOfDate,IF($Q61=0,$W61,IF(AND($S61&lt;&gt;"",EDATE($D61,Milestones!$AA$40)&gt;=$S61),$V61,IF(AND($R61&lt;&gt;"",EDATE($D61,Milestones!$AA$40)&gt;=$R61),$U61,$T61)))=Milestones!$AB$40),TEXT(EDATE($D61,Milestones!$AA$40),"dd/mm/yy")&amp;" "&amp;Milestones!$AB$40&amp;" "&amp;Milestones!$AC$40&amp;";  ","")&amp;IF(AND(EDATE($D61,Milestones!$AA$41)&lt;=AsOfDate,IF($Q61=0,$W61,IF(AND($S61&lt;&gt;"",EDATE($D61,Milestones!$AA$41)&gt;=$S61),$V61,IF(AND($R61&lt;&gt;"",EDATE($D61,Milestones!$AA$41)&gt;=$R61),$U61,$T61)))=Milestones!$AB$41),TEXT(EDATE($D61,Milestones!$AA$41),"dd/mm/yy")&amp;" "&amp;Milestones!$AB$41&amp;" "&amp;Milestones!$AC$41&amp;";  ","")&amp;IF(AND(EDATE($D61,Milestones!$AA$42)&lt;=AsOfDate,IF($Q61=0,$W61,IF(AND($S61&lt;&gt;"",EDATE($D61,Milestones!$AA$42)&gt;=$S61),$V61,IF(AND($R61&lt;&gt;"",EDATE($D61,Milestones!$AA$42)&gt;=$R61),$U61,$T61)))=Milestones!$AB$42),TEXT(EDATE($D61,Milestones!$AA$42),"dd/mm/yy")&amp;" "&amp;Milestones!$AB$42&amp;" "&amp;Milestones!$AC$42&amp;";  ","")&amp;IF(AND(EDATE($D61,Milestones!$AA$43)&lt;=AsOfDate,IF($Q61=0,$W61,IF(AND($S61&lt;&gt;"",EDATE($D61,Milestones!$AA$43)&gt;=$S61),$V61,IF(AND($R61&lt;&gt;"",EDATE($D61,Milestones!$AA$43)&gt;=$R61),$U61,$T61)))=Milestones!$AB$43),TEXT(EDATE($D61,Milestones!$AA$43),"dd/mm/yy")&amp;" "&amp;Milestones!$AB$43&amp;" "&amp;Milestones!$AC$43&amp;";  ","")&amp;IF(AND(EDATE($D61,Milestones!$AA$44)&lt;=AsOfDate,IF($Q61=0,$W61,IF(AND($S61&lt;&gt;"",EDATE($D61,Milestones!$AA$44)&gt;=$S61),$V61,IF(AND($R61&lt;&gt;"",EDATE($D61,Milestones!$AA$44)&gt;=$R61),$U61,$T61)))=Milestones!$AB$44),TEXT(EDATE($D61,Milestones!$AA$44),"dd/mm/yy")&amp;" "&amp;Milestones!$AB$44&amp;" "&amp;Milestones!$AC$44&amp;";  ","")&amp;IF(AND(EDATE($D61,Milestones!$AA$45)&lt;=AsOfDate,IF($Q61=0,$W61,IF(AND($S61&lt;&gt;"",EDATE($D61,Milestones!$AA$45)&gt;=$S61),$V61,IF(AND($R61&lt;&gt;"",EDATE($D61,Milestones!$AA$45)&gt;=$R61),$U61,$T61)))=Milestones!$AB$45),TEXT(EDATE($D61,Milestones!$AA$45),"dd/mm/yy")&amp;" "&amp;Milestones!$AB$45&amp;" "&amp;Milestones!$AC$45&amp;";  ","")&amp;IF(AND(EDATE($D61,Milestones!$AA$46)&lt;=AsOfDate,IF($Q61=0,$W61,IF(AND($S61&lt;&gt;"",EDATE($D61,Milestones!$AA$46)&gt;=$S61),$V61,IF(AND($R61&lt;&gt;"",EDATE($D61,Milestones!$AA$46)&gt;=$R61),$U61,$T61)))=Milestones!$AB$46),TEXT(EDATE($D61,Milestones!$AA$46),"dd/mm/yy")&amp;" "&amp;Milestones!$AB$46&amp;" "&amp;Milestones!$AC$46&amp;";  ","")&amp;IF(AND(EDATE($D61,Milestones!$AA$47)&lt;=AsOfDate,IF($Q61=0,$W61,IF(AND($S61&lt;&gt;"",EDATE($D61,Milestones!$AA$47)&gt;=$S61),$V61,IF(AND($R61&lt;&gt;"",EDATE($D61,Milestones!$AA$47)&gt;=$R61),$U61,$T61)))=Milestones!$AB$47),TEXT(EDATE($D61,Milestones!$AA$47),"dd/mm/yy")&amp;" "&amp;Milestones!$AB$47&amp;" "&amp;Milestones!$AC$47&amp;";  ","")&amp;IF(AND(EDATE($D61,Milestones!$AA$48)&lt;=AsOfDate,IF($Q61=0,$W61,IF(AND($S61&lt;&gt;"",EDATE($D61,Milestones!$AA$48)&gt;=$S61),$V61,IF(AND($R61&lt;&gt;"",EDATE($D61,Milestones!$AA$48)&gt;=$R61),$U61,$T61)))=Milestones!$AB$48),TEXT(EDATE($D61,Milestones!$AA$48),"dd/mm/yy")&amp;" "&amp;Milestones!$AB$48&amp;" "&amp;Milestones!$AC$48&amp;";  ","")&amp;IF(AND(EDATE($D61,Milestones!$AA$49)&lt;=AsOfDate,IF($Q61=0,$W61,IF(AND($S61&lt;&gt;"",EDATE($D61,Milestones!$AA$49)&gt;=$S61),$V61,IF(AND($R61&lt;&gt;"",EDATE($D61,Milestones!$AA$49)&gt;=$R61),$U61,$T61)))=Milestones!$AB$49),TEXT(EDATE($D61,Milestones!$AA$49),"dd/mm/yy")&amp;" "&amp;Milestones!$AB$49&amp;" "&amp;Milestones!$AC$49&amp;";  ","")&amp;IF(AND(EDATE($D61,Milestones!$AA$50)&lt;=AsOfDate,IF($Q61=0,$W61,IF(AND($S61&lt;&gt;"",EDATE($D61,Milestones!$AA$50)&gt;=$S61),$V61,IF(AND($R61&lt;&gt;"",EDATE($D61,Milestones!$AA$50)&gt;=$R61),$U61,$T61)))=Milestones!$AB$50),TEXT(EDATE($D61,Milestones!$AA$50),"dd/mm/yy")&amp;" "&amp;Milestones!$AB$50&amp;" "&amp;Milestones!$AC$50&amp;";  ","")&amp;IF(AND(EDATE($D61,Milestones!$AA$51)&lt;=AsOfDate,IF($Q61=0,$W61,IF(AND($S61&lt;&gt;"",EDATE($D61,Milestones!$AA$51)&gt;=$S61),$V61,IF(AND($R61&lt;&gt;"",EDATE($D61,Milestones!$AA$51)&gt;=$R61),$U61,$T61)))=Milestones!$AB$51),TEXT(EDATE($D61,Milestones!$AA$51),"dd/mm/yy")&amp;" "&amp;Milestones!$AB$51&amp;" "&amp;Milestones!$AC$51&amp;";  ","")&amp;IF(AND(EDATE($D61,Milestones!$AA$52)&lt;=AsOfDate,IF($Q61=0,$W61,IF(AND($S61&lt;&gt;"",EDATE($D61,Milestones!$AA$52)&gt;=$S61),$V61,IF(AND($R61&lt;&gt;"",EDATE($D61,Milestones!$AA$52)&gt;=$R61),$U61,$T61)))=Milestones!$AB$52),TEXT(EDATE($D61,Milestones!$AA$52),"dd/mm/yy")&amp;" "&amp;Milestones!$AB$52&amp;" "&amp;Milestones!$AC$52&amp;";  ","")&amp;IF(AND(EDATE($D61,Milestones!$AA$53)&lt;=AsOfDate,IF($Q61=0,$W61,IF(AND($S61&lt;&gt;"",EDATE($D61,Milestones!$AA$53)&gt;=$S61),$V61,IF(AND($R61&lt;&gt;"",EDATE($D61,Milestones!$AA$53)&gt;=$R61),$U61,$T61)))=Milestones!$AB$53),TEXT(EDATE($D61,Milestones!$AA$53),"dd/mm/yy")&amp;" "&amp;Milestones!$AB$53&amp;" "&amp;Milestones!$AC$53&amp;";  ","")&amp;IF(AND(EDATE($D61,Milestones!$AA$54)&lt;=AsOfDate,IF($Q61=0,$W61,IF(AND($S61&lt;&gt;"",EDATE($D61,Milestones!$AA$54)&gt;=$S61),$V61,IF(AND($R61&lt;&gt;"",EDATE($D61,Milestones!$AA$54)&gt;=$R61),$U61,$T61)))=Milestones!$AB$54),TEXT(EDATE($D61,Milestones!$AA$54),"dd/mm/yy")&amp;" "&amp;Milestones!$AB$54&amp;" "&amp;Milestones!$AC$54&amp;";  ","")&amp;IF(AND(EDATE($D61,Milestones!$AA$55)&lt;=AsOfDate,IF($Q61=0,$W61,IF(AND($S61&lt;&gt;"",EDATE($D61,Milestones!$AA$55)&gt;=$S61),$V61,IF(AND($R61&lt;&gt;"",EDATE($D61,Milestones!$AA$55)&gt;=$R61),$U61,$T61)))=Milestones!$AB$55),TEXT(EDATE($D61,Milestones!$AA$55),"dd/mm/yy")&amp;" "&amp;Milestones!$AB$55&amp;" "&amp;Milestones!$AC$55&amp;";  ","")&amp;IF(AND(EDATE($D61,Milestones!$AA$56)&lt;=AsOfDate,IF($Q61=0,$W61,IF(AND($S61&lt;&gt;"",EDATE($D61,Milestones!$AA$56)&gt;=$S61),$V61,IF(AND($R61&lt;&gt;"",EDATE($D61,Milestones!$AA$56)&gt;=$R61),$U61,$T61)))=Milestones!$AB$56),TEXT(EDATE($D61,Milestones!$AA$56),"dd/mm/yy")&amp;" "&amp;Milestones!$AB$56&amp;" "&amp;Milestones!$AC$56&amp;";  ","")&amp;IF(AND(EDATE($D61,Milestones!$AA$57)&lt;=AsOfDate,IF($Q61=0,$W61,IF(AND($S61&lt;&gt;"",EDATE($D61,Milestones!$AA$57)&gt;=$S61),$V61,IF(AND($R61&lt;&gt;"",EDATE($D61,Milestones!$AA$57)&gt;=$R61),$U61,$T61)))=Milestones!$AB$57),TEXT(EDATE($D61,Milestones!$AA$57),"dd/mm/yy")&amp;" "&amp;Milestones!$AB$57&amp;" "&amp;Milestones!$AC$57&amp;";  ","")&amp;IF(AND(EDATE($D61,Milestones!$AA$58)&lt;=AsOfDate,IF($Q61=0,$W61,IF(AND($S61&lt;&gt;"",EDATE($D61,Milestones!$AA$58)&gt;=$S61),$V61,IF(AND($R61&lt;&gt;"",EDATE($D61,Milestones!$AA$58)&gt;=$R61),$U61,$T61)))=Milestones!$AB$58),TEXT(EDATE($D61,Milestones!$AA$58),"dd/mm/yy")&amp;" "&amp;Milestones!$AB$58&amp;" "&amp;Milestones!$AC$58&amp;";  ","")&amp;IF(AND(EDATE($D61,Milestones!$AA$59)&lt;=AsOfDate,IF($Q61=0,$W61,IF(AND($S61&lt;&gt;"",EDATE($D61,Milestones!$AA$59)&gt;=$S61),$V61,IF(AND($R61&lt;&gt;"",EDATE($D61,Milestones!$AA$59)&gt;=$R61),$U61,$T61)))=Milestones!$AB$59),TEXT(EDATE($D61,Milestones!$AA$59),"dd/mm/yy")&amp;" "&amp;Milestones!$AB$59&amp;" "&amp;Milestones!$AC$59&amp;";  ",""))</f>
        <v/>
      </c>
      <c r="J61" s="0" t="str">
        <f aca="false">IF(OR($A61="",$D61=""),"",IF(AND(EDATE($D61,Milestones!$AA$60)&lt;=AsOfDate,IF($Q61=0,$W61,IF(AND($S61&lt;&gt;"",EDATE($D61,Milestones!$AA$60)&gt;=$S61),$V61,IF(AND($R61&lt;&gt;"",EDATE($D61,Milestones!$AA$60)&gt;=$R61),$U61,$T61)))=Milestones!$AB$60),TEXT(EDATE($D61,Milestones!$AA$60),"dd/mm/yy")&amp;" "&amp;Milestones!$AB$60&amp;" "&amp;Milestones!$AC$60&amp;";  ","")&amp;IF(AND(EDATE($D61,Milestones!$AA$61)&lt;=AsOfDate,IF($Q61=0,$W61,IF(AND($S61&lt;&gt;"",EDATE($D61,Milestones!$AA$61)&gt;=$S61),$V61,IF(AND($R61&lt;&gt;"",EDATE($D61,Milestones!$AA$61)&gt;=$R61),$U61,$T61)))=Milestones!$AB$61),TEXT(EDATE($D61,Milestones!$AA$61),"dd/mm/yy")&amp;" "&amp;Milestones!$AB$61&amp;" "&amp;Milestones!$AC$61&amp;";  ","")&amp;IF(AND(EDATE($D61,Milestones!$AA$62)&lt;=AsOfDate,IF($Q61=0,$W61,IF(AND($S61&lt;&gt;"",EDATE($D61,Milestones!$AA$62)&gt;=$S61),$V61,IF(AND($R61&lt;&gt;"",EDATE($D61,Milestones!$AA$62)&gt;=$R61),$U61,$T61)))=Milestones!$AB$62),TEXT(EDATE($D61,Milestones!$AA$62),"dd/mm/yy")&amp;" "&amp;Milestones!$AB$62&amp;" "&amp;Milestones!$AC$62&amp;";  ","")&amp;IF(AND(EDATE($D61,Milestones!$AA$63)&lt;=AsOfDate,IF($Q61=0,$W61,IF(AND($S61&lt;&gt;"",EDATE($D61,Milestones!$AA$63)&gt;=$S61),$V61,IF(AND($R61&lt;&gt;"",EDATE($D61,Milestones!$AA$63)&gt;=$R61),$U61,$T61)))=Milestones!$AB$63),TEXT(EDATE($D61,Milestones!$AA$63),"dd/mm/yy")&amp;" "&amp;Milestones!$AB$63&amp;" "&amp;Milestones!$AC$63&amp;";  ","")&amp;IF(AND(EDATE($D61,Milestones!$AA$64)&lt;=AsOfDate,IF($Q61=0,$W61,IF(AND($S61&lt;&gt;"",EDATE($D61,Milestones!$AA$64)&gt;=$S61),$V61,IF(AND($R61&lt;&gt;"",EDATE($D61,Milestones!$AA$64)&gt;=$R61),$U61,$T61)))=Milestones!$AB$64),TEXT(EDATE($D61,Milestones!$AA$64),"dd/mm/yy")&amp;" "&amp;Milestones!$AB$64&amp;" "&amp;Milestones!$AC$64&amp;";  ","")&amp;IF(AND(EDATE($D61,Milestones!$AA$65)&lt;=AsOfDate,IF($Q61=0,$W61,IF(AND($S61&lt;&gt;"",EDATE($D61,Milestones!$AA$65)&gt;=$S61),$V61,IF(AND($R61&lt;&gt;"",EDATE($D61,Milestones!$AA$65)&gt;=$R61),$U61,$T61)))=Milestones!$AB$65),TEXT(EDATE($D61,Milestones!$AA$65),"dd/mm/yy")&amp;" "&amp;Milestones!$AB$65&amp;" "&amp;Milestones!$AC$65&amp;";  ","")&amp;IF(AND(EDATE($D61,Milestones!$AA$66)&lt;=AsOfDate,IF($Q61=0,$W61,IF(AND($S61&lt;&gt;"",EDATE($D61,Milestones!$AA$66)&gt;=$S61),$V61,IF(AND($R61&lt;&gt;"",EDATE($D61,Milestones!$AA$66)&gt;=$R61),$U61,$T61)))=Milestones!$AB$66),TEXT(EDATE($D61,Milestones!$AA$66),"dd/mm/yy")&amp;" "&amp;Milestones!$AB$66&amp;" "&amp;Milestones!$AC$66&amp;";  ","")&amp;IF(AND(EDATE($D61,Milestones!$AA$67)&lt;=AsOfDate,IF($Q61=0,$W61,IF(AND($S61&lt;&gt;"",EDATE($D61,Milestones!$AA$67)&gt;=$S61),$V61,IF(AND($R61&lt;&gt;"",EDATE($D61,Milestones!$AA$67)&gt;=$R61),$U61,$T61)))=Milestones!$AB$67),TEXT(EDATE($D61,Milestones!$AA$67),"dd/mm/yy")&amp;" "&amp;Milestones!$AB$67&amp;" "&amp;Milestones!$AC$67&amp;";  ","")&amp;IF(AND(EDATE($D61,Milestones!$AA$68)&lt;=AsOfDate,IF($Q61=0,$W61,IF(AND($S61&lt;&gt;"",EDATE($D61,Milestones!$AA$68)&gt;=$S61),$V61,IF(AND($R61&lt;&gt;"",EDATE($D61,Milestones!$AA$68)&gt;=$R61),$U61,$T61)))=Milestones!$AB$68),TEXT(EDATE($D61,Milestones!$AA$68),"dd/mm/yy")&amp;" "&amp;Milestones!$AB$68&amp;" "&amp;Milestones!$AC$68&amp;";  ","")&amp;IF(AND(EDATE($D61,Milestones!$AA$69)&lt;=AsOfDate,IF($Q61=0,$W61,IF(AND($S61&lt;&gt;"",EDATE($D61,Milestones!$AA$69)&gt;=$S61),$V61,IF(AND($R61&lt;&gt;"",EDATE($D61,Milestones!$AA$69)&gt;=$R61),$U61,$T61)))=Milestones!$AB$69),TEXT(EDATE($D61,Milestones!$AA$69),"dd/mm/yy")&amp;" "&amp;Milestones!$AB$69&amp;" "&amp;Milestones!$AC$69&amp;";  ","")&amp;IF(AND(EDATE($D61,Milestones!$AA$70)&lt;=AsOfDate,IF($Q61=0,$W61,IF(AND($S61&lt;&gt;"",EDATE($D61,Milestones!$AA$70)&gt;=$S61),$V61,IF(AND($R61&lt;&gt;"",EDATE($D61,Milestones!$AA$70)&gt;=$R61),$U61,$T61)))=Milestones!$AB$70),TEXT(EDATE($D61,Milestones!$AA$70),"dd/mm/yy")&amp;" "&amp;Milestones!$AB$70&amp;" "&amp;Milestones!$AC$70&amp;";  ","")&amp;IF(AND(EDATE($D61,Milestones!$AA$71)&lt;=AsOfDate,IF($Q61=0,$W61,IF(AND($S61&lt;&gt;"",EDATE($D61,Milestones!$AA$71)&gt;=$S61),$V61,IF(AND($R61&lt;&gt;"",EDATE($D61,Milestones!$AA$71)&gt;=$R61),$U61,$T61)))=Milestones!$AB$71),TEXT(EDATE($D61,Milestones!$AA$71),"dd/mm/yy")&amp;" "&amp;Milestones!$AB$71&amp;" "&amp;Milestones!$AC$71&amp;";  ","")&amp;IF(AND(EDATE($D61,Milestones!$AA$72)&lt;=AsOfDate,IF($Q61=0,$W61,IF(AND($S61&lt;&gt;"",EDATE($D61,Milestones!$AA$72)&gt;=$S61),$V61,IF(AND($R61&lt;&gt;"",EDATE($D61,Milestones!$AA$72)&gt;=$R61),$U61,$T61)))=Milestones!$AB$72),TEXT(EDATE($D61,Milestones!$AA$72),"dd/mm/yy")&amp;" "&amp;Milestones!$AB$72&amp;" "&amp;Milestones!$AC$72&amp;";  ","")&amp;IF(AND(EDATE($D61,Milestones!$AA$73)&lt;=AsOfDate,IF($Q61=0,$W61,IF(AND($S61&lt;&gt;"",EDATE($D61,Milestones!$AA$73)&gt;=$S61),$V61,IF(AND($R61&lt;&gt;"",EDATE($D61,Milestones!$AA$73)&gt;=$R61),$U61,$T61)))=Milestones!$AB$73),TEXT(EDATE($D61,Milestones!$AA$73),"dd/mm/yy")&amp;" "&amp;Milestones!$AB$73&amp;" "&amp;Milestones!$AC$73&amp;";  ","")&amp;IF(AND(EDATE($D61,Milestones!$AA$74)&lt;=AsOfDate,IF($Q61=0,$W61,IF(AND($S61&lt;&gt;"",EDATE($D61,Milestones!$AA$74)&gt;=$S61),$V61,IF(AND($R61&lt;&gt;"",EDATE($D61,Milestones!$AA$74)&gt;=$R61),$U61,$T61)))=Milestones!$AB$74),TEXT(EDATE($D61,Milestones!$AA$74),"dd/mm/yy")&amp;" "&amp;Milestones!$AB$74&amp;" "&amp;Milestones!$AC$74&amp;";  ","")&amp;IF(AND(EDATE($D61,Milestones!$AA$75)&lt;=AsOfDate,IF($Q61=0,$W61,IF(AND($S61&lt;&gt;"",EDATE($D61,Milestones!$AA$75)&gt;=$S61),$V61,IF(AND($R61&lt;&gt;"",EDATE($D61,Milestones!$AA$75)&gt;=$R61),$U61,$T61)))=Milestones!$AB$75),TEXT(EDATE($D61,Milestones!$AA$75),"dd/mm/yy")&amp;" "&amp;Milestones!$AB$75&amp;" "&amp;Milestones!$AC$75&amp;";  ","")&amp;IF(AND(EDATE($D61,Milestones!$AA$76)&lt;=AsOfDate,IF($Q61=0,$W61,IF(AND($S61&lt;&gt;"",EDATE($D61,Milestones!$AA$76)&gt;=$S61),$V61,IF(AND($R61&lt;&gt;"",EDATE($D61,Milestones!$AA$76)&gt;=$R61),$U61,$T61)))=Milestones!$AB$76),TEXT(EDATE($D61,Milestones!$AA$76),"dd/mm/yy")&amp;" "&amp;Milestones!$AB$76&amp;" "&amp;Milestones!$AC$76&amp;";  ","")&amp;IF(AND(EDATE($D61,Milestones!$AA$77)&lt;=AsOfDate,IF($Q61=0,$W61,IF(AND($S61&lt;&gt;"",EDATE($D61,Milestones!$AA$77)&gt;=$S61),$V61,IF(AND($R61&lt;&gt;"",EDATE($D61,Milestones!$AA$77)&gt;=$R61),$U61,$T61)))=Milestones!$AB$77),TEXT(EDATE($D61,Milestones!$AA$77),"dd/mm/yy")&amp;" "&amp;Milestones!$AB$77&amp;" "&amp;Milestones!$AC$77&amp;";  ","")&amp;IF(AND(EDATE($D61,Milestones!$AA$78)&lt;=AsOfDate,IF($Q61=0,$W61,IF(AND($S61&lt;&gt;"",EDATE($D61,Milestones!$AA$78)&gt;=$S61),$V61,IF(AND($R61&lt;&gt;"",EDATE($D61,Milestones!$AA$78)&gt;=$R61),$U61,$T61)))=Milestones!$AB$78),TEXT(EDATE($D61,Milestones!$AA$78),"dd/mm/yy")&amp;" "&amp;Milestones!$AB$78&amp;" "&amp;Milestones!$AC$78&amp;";  ","")&amp;IF(AND(EDATE($D61,Milestones!$AA$79)&lt;=AsOfDate,IF($Q61=0,$W61,IF(AND($S61&lt;&gt;"",EDATE($D61,Milestones!$AA$79)&gt;=$S61),$V61,IF(AND($R61&lt;&gt;"",EDATE($D61,Milestones!$AA$79)&gt;=$R61),$U61,$T61)))=Milestones!$AB$79),TEXT(EDATE($D61,Milestones!$AA$79),"dd/mm/yy")&amp;" "&amp;Milestones!$AB$79&amp;" "&amp;Milestones!$AC$79&amp;";  ",""))</f>
        <v/>
      </c>
      <c r="K61" s="0" t="str">
        <f aca="false">IF(OR($A61="",$D61=""),"",IF(AND(EDATE($D61,Milestones!$AA$80)&lt;=AsOfDate,IF($Q61=0,$W61,IF(AND($S61&lt;&gt;"",EDATE($D61,Milestones!$AA$80)&gt;=$S61),$V61,IF(AND($R61&lt;&gt;"",EDATE($D61,Milestones!$AA$80)&gt;=$R61),$U61,$T61)))=Milestones!$AB$80),TEXT(EDATE($D61,Milestones!$AA$80),"dd/mm/yy")&amp;" "&amp;Milestones!$AB$80&amp;" "&amp;Milestones!$AC$80&amp;";  ","")&amp;IF(AND(EDATE($D61,Milestones!$AA$81)&lt;=AsOfDate,IF($Q61=0,$W61,IF(AND($S61&lt;&gt;"",EDATE($D61,Milestones!$AA$81)&gt;=$S61),$V61,IF(AND($R61&lt;&gt;"",EDATE($D61,Milestones!$AA$81)&gt;=$R61),$U61,$T61)))=Milestones!$AB$81),TEXT(EDATE($D61,Milestones!$AA$81),"dd/mm/yy")&amp;" "&amp;Milestones!$AB$81&amp;" "&amp;Milestones!$AC$81&amp;";  ","")&amp;IF(AND(EDATE($D61,Milestones!$AA$82)&lt;=AsOfDate,IF($Q61=0,$W61,IF(AND($S61&lt;&gt;"",EDATE($D61,Milestones!$AA$82)&gt;=$S61),$V61,IF(AND($R61&lt;&gt;"",EDATE($D61,Milestones!$AA$82)&gt;=$R61),$U61,$T61)))=Milestones!$AB$82),TEXT(EDATE($D61,Milestones!$AA$82),"dd/mm/yy")&amp;" "&amp;Milestones!$AB$82&amp;" "&amp;Milestones!$AC$82&amp;";  ","")&amp;IF(AND(EDATE($D61,Milestones!$AA$83)&lt;=AsOfDate,IF($Q61=0,$W61,IF(AND($S61&lt;&gt;"",EDATE($D61,Milestones!$AA$83)&gt;=$S61),$V61,IF(AND($R61&lt;&gt;"",EDATE($D61,Milestones!$AA$83)&gt;=$R61),$U61,$T61)))=Milestones!$AB$83),TEXT(EDATE($D61,Milestones!$AA$83),"dd/mm/yy")&amp;" "&amp;Milestones!$AB$83&amp;" "&amp;Milestones!$AC$83&amp;";  ","")&amp;IF(AND(EDATE($D61,Milestones!$AA$84)&lt;=AsOfDate,IF($Q61=0,$W61,IF(AND($S61&lt;&gt;"",EDATE($D61,Milestones!$AA$84)&gt;=$S61),$V61,IF(AND($R61&lt;&gt;"",EDATE($D61,Milestones!$AA$84)&gt;=$R61),$U61,$T61)))=Milestones!$AB$84),TEXT(EDATE($D61,Milestones!$AA$84),"dd/mm/yy")&amp;" "&amp;Milestones!$AB$84&amp;" "&amp;Milestones!$AC$84&amp;";  ","")&amp;IF(AND(EDATE($D61,Milestones!$AA$85)&lt;=AsOfDate,IF($Q61=0,$W61,IF(AND($S61&lt;&gt;"",EDATE($D61,Milestones!$AA$85)&gt;=$S61),$V61,IF(AND($R61&lt;&gt;"",EDATE($D61,Milestones!$AA$85)&gt;=$R61),$U61,$T61)))=Milestones!$AB$85),TEXT(EDATE($D61,Milestones!$AA$85),"dd/mm/yy")&amp;" "&amp;Milestones!$AB$85&amp;" "&amp;Milestones!$AC$85&amp;";  ","")&amp;IF(AND(EDATE($D61,Milestones!$AA$86)&lt;=AsOfDate,IF($Q61=0,$W61,IF(AND($S61&lt;&gt;"",EDATE($D61,Milestones!$AA$86)&gt;=$S61),$V61,IF(AND($R61&lt;&gt;"",EDATE($D61,Milestones!$AA$86)&gt;=$R61),$U61,$T61)))=Milestones!$AB$86),TEXT(EDATE($D61,Milestones!$AA$86),"dd/mm/yy")&amp;" "&amp;Milestones!$AB$86&amp;" "&amp;Milestones!$AC$86&amp;";  ","")&amp;IF(AND(EDATE($D61,Milestones!$AA$87)&lt;=AsOfDate,IF($Q61=0,$W61,IF(AND($S61&lt;&gt;"",EDATE($D61,Milestones!$AA$87)&gt;=$S61),$V61,IF(AND($R61&lt;&gt;"",EDATE($D61,Milestones!$AA$87)&gt;=$R61),$U61,$T61)))=Milestones!$AB$87),TEXT(EDATE($D61,Milestones!$AA$87),"dd/mm/yy")&amp;" "&amp;Milestones!$AB$87&amp;" "&amp;Milestones!$AC$87&amp;";  ","")&amp;IF(AND(EDATE($D61,Milestones!$AA$88)&lt;=AsOfDate,IF($Q61=0,$W61,IF(AND($S61&lt;&gt;"",EDATE($D61,Milestones!$AA$88)&gt;=$S61),$V61,IF(AND($R61&lt;&gt;"",EDATE($D61,Milestones!$AA$88)&gt;=$R61),$U61,$T61)))=Milestones!$AB$88),TEXT(EDATE($D61,Milestones!$AA$88),"dd/mm/yy")&amp;" "&amp;Milestones!$AB$88&amp;" "&amp;Milestones!$AC$88&amp;";  ","")&amp;IF(AND(EDATE($D61,Milestones!$AA$89)&lt;=AsOfDate,IF($Q61=0,$W61,IF(AND($S61&lt;&gt;"",EDATE($D61,Milestones!$AA$89)&gt;=$S61),$V61,IF(AND($R61&lt;&gt;"",EDATE($D61,Milestones!$AA$89)&gt;=$R61),$U61,$T61)))=Milestones!$AB$89),TEXT(EDATE($D61,Milestones!$AA$89),"dd/mm/yy")&amp;" "&amp;Milestones!$AB$89&amp;" "&amp;Milestones!$AC$89&amp;";  ","")&amp;IF(AND(EDATE($D61,Milestones!$AA$90)&lt;=AsOfDate,IF($Q61=0,$W61,IF(AND($S61&lt;&gt;"",EDATE($D61,Milestones!$AA$90)&gt;=$S61),$V61,IF(AND($R61&lt;&gt;"",EDATE($D61,Milestones!$AA$90)&gt;=$R61),$U61,$T61)))=Milestones!$AB$90),TEXT(EDATE($D61,Milestones!$AA$90),"dd/mm/yy")&amp;" "&amp;Milestones!$AB$90&amp;" "&amp;Milestones!$AC$90&amp;";  ","")&amp;IF(AND(EDATE($D61,Milestones!$AA$91)&lt;=AsOfDate,IF($Q61=0,$W61,IF(AND($S61&lt;&gt;"",EDATE($D61,Milestones!$AA$91)&gt;=$S61),$V61,IF(AND($R61&lt;&gt;"",EDATE($D61,Milestones!$AA$91)&gt;=$R61),$U61,$T61)))=Milestones!$AB$91),TEXT(EDATE($D61,Milestones!$AA$91),"dd/mm/yy")&amp;" "&amp;Milestones!$AB$91&amp;" "&amp;Milestones!$AC$91&amp;";  ","")&amp;IF(AND(EDATE($D61,Milestones!$AA$92)&lt;=AsOfDate,IF($Q61=0,$W61,IF(AND($S61&lt;&gt;"",EDATE($D61,Milestones!$AA$92)&gt;=$S61),$V61,IF(AND($R61&lt;&gt;"",EDATE($D61,Milestones!$AA$92)&gt;=$R61),$U61,$T61)))=Milestones!$AB$92),TEXT(EDATE($D61,Milestones!$AA$92),"dd/mm/yy")&amp;" "&amp;Milestones!$AB$92&amp;" "&amp;Milestones!$AC$92&amp;";  ","")&amp;IF(AND(EDATE($D61,Milestones!$AA$93)&lt;=AsOfDate,IF($Q61=0,$W61,IF(AND($S61&lt;&gt;"",EDATE($D61,Milestones!$AA$93)&gt;=$S61),$V61,IF(AND($R61&lt;&gt;"",EDATE($D61,Milestones!$AA$93)&gt;=$R61),$U61,$T61)))=Milestones!$AB$93),TEXT(EDATE($D61,Milestones!$AA$93),"dd/mm/yy")&amp;" "&amp;Milestones!$AB$93&amp;" "&amp;Milestones!$AC$93&amp;";  ","")&amp;IF(AND(EDATE($D61,Milestones!$AA$94)&lt;=AsOfDate,IF($Q61=0,$W61,IF(AND($S61&lt;&gt;"",EDATE($D61,Milestones!$AA$94)&gt;=$S61),$V61,IF(AND($R61&lt;&gt;"",EDATE($D61,Milestones!$AA$94)&gt;=$R61),$U61,$T61)))=Milestones!$AB$94),TEXT(EDATE($D61,Milestones!$AA$94),"dd/mm/yy")&amp;" "&amp;Milestones!$AB$94&amp;" "&amp;Milestones!$AC$94&amp;";  ","")&amp;IF(AND(EDATE($D61,Milestones!$AA$95)&lt;=AsOfDate,IF($Q61=0,$W61,IF(AND($S61&lt;&gt;"",EDATE($D61,Milestones!$AA$95)&gt;=$S61),$V61,IF(AND($R61&lt;&gt;"",EDATE($D61,Milestones!$AA$95)&gt;=$R61),$U61,$T61)))=Milestones!$AB$95),TEXT(EDATE($D61,Milestones!$AA$95),"dd/mm/yy")&amp;" "&amp;Milestones!$AB$95&amp;" "&amp;Milestones!$AC$95&amp;";  ","")&amp;IF(AND(EDATE($D61,Milestones!$AA$96)&lt;=AsOfDate,IF($Q61=0,$W61,IF(AND($S61&lt;&gt;"",EDATE($D61,Milestones!$AA$96)&gt;=$S61),$V61,IF(AND($R61&lt;&gt;"",EDATE($D61,Milestones!$AA$96)&gt;=$R61),$U61,$T61)))=Milestones!$AB$96),TEXT(EDATE($D61,Milestones!$AA$96),"dd/mm/yy")&amp;" "&amp;Milestones!$AB$96&amp;" "&amp;Milestones!$AC$96&amp;";  ","")&amp;IF(AND(EDATE($D61,Milestones!$AA$97)&lt;=AsOfDate,IF($Q61=0,$W61,IF(AND($S61&lt;&gt;"",EDATE($D61,Milestones!$AA$97)&gt;=$S61),$V61,IF(AND($R61&lt;&gt;"",EDATE($D61,Milestones!$AA$97)&gt;=$R61),$U61,$T61)))=Milestones!$AB$97),TEXT(EDATE($D61,Milestones!$AA$97),"dd/mm/yy")&amp;" "&amp;Milestones!$AB$97&amp;" "&amp;Milestones!$AC$97&amp;";  ","")&amp;IF(AND(EDATE($D61,Milestones!$AA$98)&lt;=AsOfDate,IF($Q61=0,$W61,IF(AND($S61&lt;&gt;"",EDATE($D61,Milestones!$AA$98)&gt;=$S61),$V61,IF(AND($R61&lt;&gt;"",EDATE($D61,Milestones!$AA$98)&gt;=$R61),$U61,$T61)))=Milestones!$AB$98),TEXT(EDATE($D61,Milestones!$AA$98),"dd/mm/yy")&amp;" "&amp;Milestones!$AB$98&amp;" "&amp;Milestones!$AC$98&amp;";  ","")&amp;IF(AND(EDATE($D61,Milestones!$AA$99)&lt;=AsOfDate,IF($Q61=0,$W61,IF(AND($S61&lt;&gt;"",EDATE($D61,Milestones!$AA$99)&gt;=$S61),$V61,IF(AND($R61&lt;&gt;"",EDATE($D61,Milestones!$AA$99)&gt;=$R61),$U61,$T61)))=Milestones!$AB$99),TEXT(EDATE($D61,Milestones!$AA$99),"dd/mm/yy")&amp;" "&amp;Milestones!$AB$99&amp;" "&amp;Milestones!$AC$99&amp;";  ",""))</f>
        <v/>
      </c>
      <c r="L61" s="0" t="str">
        <f aca="false">IF(OR($A61="",$D61=""),"",IF(AND(EDATE($D61,Milestones!$AA$100)&lt;=AsOfDate,IF($Q61=0,$W61,IF(AND($S61&lt;&gt;"",EDATE($D61,Milestones!$AA$100)&gt;=$S61),$V61,IF(AND($R61&lt;&gt;"",EDATE($D61,Milestones!$AA$100)&gt;=$R61),$U61,$T61)))=Milestones!$AB$100),TEXT(EDATE($D61,Milestones!$AA$100),"dd/mm/yy")&amp;" "&amp;Milestones!$AB$100&amp;" "&amp;Milestones!$AC$100&amp;";  ","")&amp;IF(AND(EDATE($D61,Milestones!$AA$101)&lt;=AsOfDate,IF($Q61=0,$W61,IF(AND($S61&lt;&gt;"",EDATE($D61,Milestones!$AA$101)&gt;=$S61),$V61,IF(AND($R61&lt;&gt;"",EDATE($D61,Milestones!$AA$101)&gt;=$R61),$U61,$T61)))=Milestones!$AB$101),TEXT(EDATE($D61,Milestones!$AA$101),"dd/mm/yy")&amp;" "&amp;Milestones!$AB$101&amp;" "&amp;Milestones!$AC$101&amp;";  ","")&amp;IF(AND(EDATE($D61,Milestones!$AA$102)&lt;=AsOfDate,IF($Q61=0,$W61,IF(AND($S61&lt;&gt;"",EDATE($D61,Milestones!$AA$102)&gt;=$S61),$V61,IF(AND($R61&lt;&gt;"",EDATE($D61,Milestones!$AA$102)&gt;=$R61),$U61,$T61)))=Milestones!$AB$102),TEXT(EDATE($D61,Milestones!$AA$102),"dd/mm/yy")&amp;" "&amp;Milestones!$AB$102&amp;" "&amp;Milestones!$AC$102&amp;";  ","")&amp;IF(AND(EDATE($D61,Milestones!$AA$103)&lt;=AsOfDate,IF($Q61=0,$W61,IF(AND($S61&lt;&gt;"",EDATE($D61,Milestones!$AA$103)&gt;=$S61),$V61,IF(AND($R61&lt;&gt;"",EDATE($D61,Milestones!$AA$103)&gt;=$R61),$U61,$T61)))=Milestones!$AB$103),TEXT(EDATE($D61,Milestones!$AA$103),"dd/mm/yy")&amp;" "&amp;Milestones!$AB$103&amp;" "&amp;Milestones!$AC$103&amp;";  ","")&amp;IF(AND(EDATE($D61,Milestones!$AA$104)&lt;=AsOfDate,IF($Q61=0,$W61,IF(AND($S61&lt;&gt;"",EDATE($D61,Milestones!$AA$104)&gt;=$S61),$V61,IF(AND($R61&lt;&gt;"",EDATE($D61,Milestones!$AA$104)&gt;=$R61),$U61,$T61)))=Milestones!$AB$104),TEXT(EDATE($D61,Milestones!$AA$104),"dd/mm/yy")&amp;" "&amp;Milestones!$AB$104&amp;" "&amp;Milestones!$AC$104&amp;";  ","")&amp;IF(AND(EDATE($D61,Milestones!$AA$105)&lt;=AsOfDate,IF($Q61=0,$W61,IF(AND($S61&lt;&gt;"",EDATE($D61,Milestones!$AA$105)&gt;=$S61),$V61,IF(AND($R61&lt;&gt;"",EDATE($D61,Milestones!$AA$105)&gt;=$R61),$U61,$T61)))=Milestones!$AB$105),TEXT(EDATE($D61,Milestones!$AA$105),"dd/mm/yy")&amp;" "&amp;Milestones!$AB$105&amp;" "&amp;Milestones!$AC$105&amp;";  ","")&amp;IF(AND(EDATE($D61,Milestones!$AA$106)&lt;=AsOfDate,IF($Q61=0,$W61,IF(AND($S61&lt;&gt;"",EDATE($D61,Milestones!$AA$106)&gt;=$S61),$V61,IF(AND($R61&lt;&gt;"",EDATE($D61,Milestones!$AA$106)&gt;=$R61),$U61,$T61)))=Milestones!$AB$106),TEXT(EDATE($D61,Milestones!$AA$106),"dd/mm/yy")&amp;" "&amp;Milestones!$AB$106&amp;" "&amp;Milestones!$AC$106&amp;";  ","")&amp;IF(AND(EDATE($D61,Milestones!$AA$107)&lt;=AsOfDate,IF($Q61=0,$W61,IF(AND($S61&lt;&gt;"",EDATE($D61,Milestones!$AA$107)&gt;=$S61),$V61,IF(AND($R61&lt;&gt;"",EDATE($D61,Milestones!$AA$107)&gt;=$R61),$U61,$T61)))=Milestones!$AB$107),TEXT(EDATE($D61,Milestones!$AA$107),"dd/mm/yy")&amp;" "&amp;Milestones!$AB$107&amp;" "&amp;Milestones!$AC$107&amp;";  ","")&amp;IF(AND(EDATE($D61,Milestones!$AA$108)&lt;=AsOfDate,IF($Q61=0,$W61,IF(AND($S61&lt;&gt;"",EDATE($D61,Milestones!$AA$108)&gt;=$S61),$V61,IF(AND($R61&lt;&gt;"",EDATE($D61,Milestones!$AA$108)&gt;=$R61),$U61,$T61)))=Milestones!$AB$108),TEXT(EDATE($D61,Milestones!$AA$108),"dd/mm/yy")&amp;" "&amp;Milestones!$AB$108&amp;" "&amp;Milestones!$AC$108&amp;";  ","")&amp;IF(AND(EDATE($D61,Milestones!$AA$109)&lt;=AsOfDate,IF($Q61=0,$W61,IF(AND($S61&lt;&gt;"",EDATE($D61,Milestones!$AA$109)&gt;=$S61),$V61,IF(AND($R61&lt;&gt;"",EDATE($D61,Milestones!$AA$109)&gt;=$R61),$U61,$T61)))=Milestones!$AB$109),TEXT(EDATE($D61,Milestones!$AA$109),"dd/mm/yy")&amp;" "&amp;Milestones!$AB$109&amp;" "&amp;Milestones!$AC$109&amp;";  ","")&amp;IF(AND(EDATE($D61,Milestones!$AA$110)&lt;=AsOfDate,IF($Q61=0,$W61,IF(AND($S61&lt;&gt;"",EDATE($D61,Milestones!$AA$110)&gt;=$S61),$V61,IF(AND($R61&lt;&gt;"",EDATE($D61,Milestones!$AA$110)&gt;=$R61),$U61,$T61)))=Milestones!$AB$110),TEXT(EDATE($D61,Milestones!$AA$110),"dd/mm/yy")&amp;" "&amp;Milestones!$AB$110&amp;" "&amp;Milestones!$AC$110&amp;";  ","")&amp;IF(AND(EDATE($D61,Milestones!$AA$111)&lt;=AsOfDate,IF($Q61=0,$W61,IF(AND($S61&lt;&gt;"",EDATE($D61,Milestones!$AA$111)&gt;=$S61),$V61,IF(AND($R61&lt;&gt;"",EDATE($D61,Milestones!$AA$111)&gt;=$R61),$U61,$T61)))=Milestones!$AB$111),TEXT(EDATE($D61,Milestones!$AA$111),"dd/mm/yy")&amp;" "&amp;Milestones!$AB$111&amp;" "&amp;Milestones!$AC$111&amp;";  ","")&amp;IF(AND(EDATE($D61,Milestones!$AA$112)&lt;=AsOfDate,IF($Q61=0,$W61,IF(AND($S61&lt;&gt;"",EDATE($D61,Milestones!$AA$112)&gt;=$S61),$V61,IF(AND($R61&lt;&gt;"",EDATE($D61,Milestones!$AA$112)&gt;=$R61),$U61,$T61)))=Milestones!$AB$112),TEXT(EDATE($D61,Milestones!$AA$112),"dd/mm/yy")&amp;" "&amp;Milestones!$AB$112&amp;" "&amp;Milestones!$AC$112&amp;";  ","")&amp;IF(AND(EDATE($D61,Milestones!$AA$113)&lt;=AsOfDate,IF($Q61=0,$W61,IF(AND($S61&lt;&gt;"",EDATE($D61,Milestones!$AA$113)&gt;=$S61),$V61,IF(AND($R61&lt;&gt;"",EDATE($D61,Milestones!$AA$113)&gt;=$R61),$U61,$T61)))=Milestones!$AB$113),TEXT(EDATE($D61,Milestones!$AA$113),"dd/mm/yy")&amp;" "&amp;Milestones!$AB$113&amp;" "&amp;Milestones!$AC$113&amp;";  ","")&amp;IF(AND(EDATE($D61,Milestones!$AA$114)&lt;=AsOfDate,IF($Q61=0,$W61,IF(AND($S61&lt;&gt;"",EDATE($D61,Milestones!$AA$114)&gt;=$S61),$V61,IF(AND($R61&lt;&gt;"",EDATE($D61,Milestones!$AA$114)&gt;=$R61),$U61,$T61)))=Milestones!$AB$114),TEXT(EDATE($D61,Milestones!$AA$114),"dd/mm/yy")&amp;" "&amp;Milestones!$AB$114&amp;" "&amp;Milestones!$AC$114&amp;";  ","")&amp;IF(AND(EDATE($D61,Milestones!$AA$115)&lt;=AsOfDate,IF($Q61=0,$W61,IF(AND($S61&lt;&gt;"",EDATE($D61,Milestones!$AA$115)&gt;=$S61),$V61,IF(AND($R61&lt;&gt;"",EDATE($D61,Milestones!$AA$115)&gt;=$R61),$U61,$T61)))=Milestones!$AB$115),TEXT(EDATE($D61,Milestones!$AA$115),"dd/mm/yy")&amp;" "&amp;Milestones!$AB$115&amp;" "&amp;Milestones!$AC$115&amp;";  ","")&amp;IF(AND(EDATE($D61,Milestones!$AA$116)&lt;=AsOfDate,IF($Q61=0,$W61,IF(AND($S61&lt;&gt;"",EDATE($D61,Milestones!$AA$116)&gt;=$S61),$V61,IF(AND($R61&lt;&gt;"",EDATE($D61,Milestones!$AA$116)&gt;=$R61),$U61,$T61)))=Milestones!$AB$116),TEXT(EDATE($D61,Milestones!$AA$116),"dd/mm/yy")&amp;" "&amp;Milestones!$AB$116&amp;" "&amp;Milestones!$AC$116&amp;";  ","")&amp;IF(AND(EDATE($D61,Milestones!$AA$117)&lt;=AsOfDate,IF($Q61=0,$W61,IF(AND($S61&lt;&gt;"",EDATE($D61,Milestones!$AA$117)&gt;=$S61),$V61,IF(AND($R61&lt;&gt;"",EDATE($D61,Milestones!$AA$117)&gt;=$R61),$U61,$T61)))=Milestones!$AB$117),TEXT(EDATE($D61,Milestones!$AA$117),"dd/mm/yy")&amp;" "&amp;Milestones!$AB$117&amp;" "&amp;Milestones!$AC$117&amp;";  ","")&amp;IF(AND(EDATE($D61,Milestones!$AA$118)&lt;=AsOfDate,IF($Q61=0,$W61,IF(AND($S61&lt;&gt;"",EDATE($D61,Milestones!$AA$118)&gt;=$S61),$V61,IF(AND($R61&lt;&gt;"",EDATE($D61,Milestones!$AA$118)&gt;=$R61),$U61,$T61)))=Milestones!$AB$118),TEXT(EDATE($D61,Milestones!$AA$118),"dd/mm/yy")&amp;" "&amp;Milestones!$AB$118&amp;" "&amp;Milestones!$AC$118&amp;";  ","")&amp;IF(AND(EDATE($D61,Milestones!$AA$119)&lt;=AsOfDate,IF($Q61=0,$W61,IF(AND($S61&lt;&gt;"",EDATE($D61,Milestones!$AA$119)&gt;=$S61),$V61,IF(AND($R61&lt;&gt;"",EDATE($D61,Milestones!$AA$119)&gt;=$R61),$U61,$T61)))=Milestones!$AB$119),TEXT(EDATE($D61,Milestones!$AA$119),"dd/mm/yy")&amp;" "&amp;Milestones!$AB$119&amp;" "&amp;Milestones!$AC$119&amp;";  ",""))</f>
        <v/>
      </c>
      <c r="M61" s="0" t="str">
        <f aca="false">IF(OR($A61="",$D61=""),"",IF(AND(EDATE($D61,Milestones!$AA$120)&lt;=AsOfDate,IF($Q61=0,$W61,IF(AND($S61&lt;&gt;"",EDATE($D61,Milestones!$AA$120)&gt;=$S61),$V61,IF(AND($R61&lt;&gt;"",EDATE($D61,Milestones!$AA$120)&gt;=$R61),$U61,$T61)))=Milestones!$AB$120),TEXT(EDATE($D61,Milestones!$AA$120),"dd/mm/yy")&amp;" "&amp;Milestones!$AB$120&amp;" "&amp;Milestones!$AC$120&amp;";  ","")&amp;IF(AND(EDATE($D61,Milestones!$AA$121)&lt;=AsOfDate,IF($Q61=0,$W61,IF(AND($S61&lt;&gt;"",EDATE($D61,Milestones!$AA$121)&gt;=$S61),$V61,IF(AND($R61&lt;&gt;"",EDATE($D61,Milestones!$AA$121)&gt;=$R61),$U61,$T61)))=Milestones!$AB$121),TEXT(EDATE($D61,Milestones!$AA$121),"dd/mm/yy")&amp;" "&amp;Milestones!$AB$121&amp;" "&amp;Milestones!$AC$121&amp;";  ","")&amp;IF(AND(EDATE($D61,Milestones!$AA$122)&lt;=AsOfDate,IF($Q61=0,$W61,IF(AND($S61&lt;&gt;"",EDATE($D61,Milestones!$AA$122)&gt;=$S61),$V61,IF(AND($R61&lt;&gt;"",EDATE($D61,Milestones!$AA$122)&gt;=$R61),$U61,$T61)))=Milestones!$AB$122),TEXT(EDATE($D61,Milestones!$AA$122),"dd/mm/yy")&amp;" "&amp;Milestones!$AB$122&amp;" "&amp;Milestones!$AC$122&amp;";  ","")&amp;IF(AND(EDATE($D61,Milestones!$AA$123)&lt;=AsOfDate,IF($Q61=0,$W61,IF(AND($S61&lt;&gt;"",EDATE($D61,Milestones!$AA$123)&gt;=$S61),$V61,IF(AND($R61&lt;&gt;"",EDATE($D61,Milestones!$AA$123)&gt;=$R61),$U61,$T61)))=Milestones!$AB$123),TEXT(EDATE($D61,Milestones!$AA$123),"dd/mm/yy")&amp;" "&amp;Milestones!$AB$123&amp;" "&amp;Milestones!$AC$123&amp;";  ","")&amp;IF(AND(EDATE($D61,Milestones!$AA$124)&lt;=AsOfDate,IF($Q61=0,$W61,IF(AND($S61&lt;&gt;"",EDATE($D61,Milestones!$AA$124)&gt;=$S61),$V61,IF(AND($R61&lt;&gt;"",EDATE($D61,Milestones!$AA$124)&gt;=$R61),$U61,$T61)))=Milestones!$AB$124),TEXT(EDATE($D61,Milestones!$AA$124),"dd/mm/yy")&amp;" "&amp;Milestones!$AB$124&amp;" "&amp;Milestones!$AC$124&amp;";  ","")&amp;IF(AND(EDATE($D61,Milestones!$AA$125)&lt;=AsOfDate,IF($Q61=0,$W61,IF(AND($S61&lt;&gt;"",EDATE($D61,Milestones!$AA$125)&gt;=$S61),$V61,IF(AND($R61&lt;&gt;"",EDATE($D61,Milestones!$AA$125)&gt;=$R61),$U61,$T61)))=Milestones!$AB$125),TEXT(EDATE($D61,Milestones!$AA$125),"dd/mm/yy")&amp;" "&amp;Milestones!$AB$125&amp;" "&amp;Milestones!$AC$125&amp;";  ","")&amp;IF(AND(EDATE($D61,Milestones!$AA$126)&lt;=AsOfDate,IF($Q61=0,$W61,IF(AND($S61&lt;&gt;"",EDATE($D61,Milestones!$AA$126)&gt;=$S61),$V61,IF(AND($R61&lt;&gt;"",EDATE($D61,Milestones!$AA$126)&gt;=$R61),$U61,$T61)))=Milestones!$AB$126),TEXT(EDATE($D61,Milestones!$AA$126),"dd/mm/yy")&amp;" "&amp;Milestones!$AB$126&amp;" "&amp;Milestones!$AC$126&amp;";  ","")&amp;IF(AND(EDATE($D61,Milestones!$AA$127)&lt;=AsOfDate,IF($Q61=0,$W61,IF(AND($S61&lt;&gt;"",EDATE($D61,Milestones!$AA$127)&gt;=$S61),$V61,IF(AND($R61&lt;&gt;"",EDATE($D61,Milestones!$AA$127)&gt;=$R61),$U61,$T61)))=Milestones!$AB$127),TEXT(EDATE($D61,Milestones!$AA$127),"dd/mm/yy")&amp;" "&amp;Milestones!$AB$127&amp;" "&amp;Milestones!$AC$127&amp;";  ","")&amp;IF(AND(EDATE($D61,Milestones!$AA$128)&lt;=AsOfDate,IF($Q61=0,$W61,IF(AND($S61&lt;&gt;"",EDATE($D61,Milestones!$AA$128)&gt;=$S61),$V61,IF(AND($R61&lt;&gt;"",EDATE($D61,Milestones!$AA$128)&gt;=$R61),$U61,$T61)))=Milestones!$AB$128),TEXT(EDATE($D61,Milestones!$AA$128),"dd/mm/yy")&amp;" "&amp;Milestones!$AB$128&amp;" "&amp;Milestones!$AC$128&amp;";  ","")&amp;IF(AND(EDATE($D61,Milestones!$AA$129)&lt;=AsOfDate,IF($Q61=0,$W61,IF(AND($S61&lt;&gt;"",EDATE($D61,Milestones!$AA$129)&gt;=$S61),$V61,IF(AND($R61&lt;&gt;"",EDATE($D61,Milestones!$AA$129)&gt;=$R61),$U61,$T61)))=Milestones!$AB$129),TEXT(EDATE($D61,Milestones!$AA$129),"dd/mm/yy")&amp;" "&amp;Milestones!$AB$129&amp;" "&amp;Milestones!$AC$129&amp;";  ","")&amp;IF(AND(EDATE($D61,Milestones!$AA$130)&lt;=AsOfDate,IF($Q61=0,$W61,IF(AND($S61&lt;&gt;"",EDATE($D61,Milestones!$AA$130)&gt;=$S61),$V61,IF(AND($R61&lt;&gt;"",EDATE($D61,Milestones!$AA$130)&gt;=$R61),$U61,$T61)))=Milestones!$AB$130),TEXT(EDATE($D61,Milestones!$AA$130),"dd/mm/yy")&amp;" "&amp;Milestones!$AB$130&amp;" "&amp;Milestones!$AC$130&amp;";  ","")&amp;IF(AND(EDATE($D61,Milestones!$AA$131)&lt;=AsOfDate,IF($Q61=0,$W61,IF(AND($S61&lt;&gt;"",EDATE($D61,Milestones!$AA$131)&gt;=$S61),$V61,IF(AND($R61&lt;&gt;"",EDATE($D61,Milestones!$AA$131)&gt;=$R61),$U61,$T61)))=Milestones!$AB$131),TEXT(EDATE($D61,Milestones!$AA$131),"dd/mm/yy")&amp;" "&amp;Milestones!$AB$131&amp;" "&amp;Milestones!$AC$131&amp;";  ","")&amp;IF(AND(EDATE($D61,Milestones!$AA$132)&lt;=AsOfDate,IF($Q61=0,$W61,IF(AND($S61&lt;&gt;"",EDATE($D61,Milestones!$AA$132)&gt;=$S61),$V61,IF(AND($R61&lt;&gt;"",EDATE($D61,Milestones!$AA$132)&gt;=$R61),$U61,$T61)))=Milestones!$AB$132),TEXT(EDATE($D61,Milestones!$AA$132),"dd/mm/yy")&amp;" "&amp;Milestones!$AB$132&amp;" "&amp;Milestones!$AC$132&amp;";  ","")&amp;IF(AND(EDATE($D61,Milestones!$AA$133)&lt;=AsOfDate,IF($Q61=0,$W61,IF(AND($S61&lt;&gt;"",EDATE($D61,Milestones!$AA$133)&gt;=$S61),$V61,IF(AND($R61&lt;&gt;"",EDATE($D61,Milestones!$AA$133)&gt;=$R61),$U61,$T61)))=Milestones!$AB$133),TEXT(EDATE($D61,Milestones!$AA$133),"dd/mm/yy")&amp;" "&amp;Milestones!$AB$133&amp;" "&amp;Milestones!$AC$133&amp;";  ","")&amp;IF(AND(EDATE($D61,Milestones!$AA$134)&lt;=AsOfDate,IF($Q61=0,$W61,IF(AND($S61&lt;&gt;"",EDATE($D61,Milestones!$AA$134)&gt;=$S61),$V61,IF(AND($R61&lt;&gt;"",EDATE($D61,Milestones!$AA$134)&gt;=$R61),$U61,$T61)))=Milestones!$AB$134),TEXT(EDATE($D61,Milestones!$AA$134),"dd/mm/yy")&amp;" "&amp;Milestones!$AB$134&amp;" "&amp;Milestones!$AC$134&amp;";  ","")&amp;IF(AND(EDATE($D61,Milestones!$AA$135)&lt;=AsOfDate,IF($Q61=0,$W61,IF(AND($S61&lt;&gt;"",EDATE($D61,Milestones!$AA$135)&gt;=$S61),$V61,IF(AND($R61&lt;&gt;"",EDATE($D61,Milestones!$AA$135)&gt;=$R61),$U61,$T61)))=Milestones!$AB$135),TEXT(EDATE($D61,Milestones!$AA$135),"dd/mm/yy")&amp;" "&amp;Milestones!$AB$135&amp;" "&amp;Milestones!$AC$135&amp;";  ","")&amp;IF(AND(EDATE($D61,Milestones!$AA$136)&lt;=AsOfDate,IF($Q61=0,$W61,IF(AND($S61&lt;&gt;"",EDATE($D61,Milestones!$AA$136)&gt;=$S61),$V61,IF(AND($R61&lt;&gt;"",EDATE($D61,Milestones!$AA$136)&gt;=$R61),$U61,$T61)))=Milestones!$AB$136),TEXT(EDATE($D61,Milestones!$AA$136),"dd/mm/yy")&amp;" "&amp;Milestones!$AB$136&amp;" "&amp;Milestones!$AC$136&amp;";  ","")&amp;IF(AND(EDATE($D61,Milestones!$AA$137)&lt;=AsOfDate,IF($Q61=0,$W61,IF(AND($S61&lt;&gt;"",EDATE($D61,Milestones!$AA$137)&gt;=$S61),$V61,IF(AND($R61&lt;&gt;"",EDATE($D61,Milestones!$AA$137)&gt;=$R61),$U61,$T61)))=Milestones!$AB$137),TEXT(EDATE($D61,Milestones!$AA$137),"dd/mm/yy")&amp;" "&amp;Milestones!$AB$137&amp;" "&amp;Milestones!$AC$137&amp;";  ","")&amp;IF(AND(EDATE($D61,Milestones!$AA$138)&lt;=AsOfDate,IF($Q61=0,$W61,IF(AND($S61&lt;&gt;"",EDATE($D61,Milestones!$AA$138)&gt;=$S61),$V61,IF(AND($R61&lt;&gt;"",EDATE($D61,Milestones!$AA$138)&gt;=$R61),$U61,$T61)))=Milestones!$AB$138),TEXT(EDATE($D61,Milestones!$AA$138),"dd/mm/yy")&amp;" "&amp;Milestones!$AB$138&amp;" "&amp;Milestones!$AC$138&amp;";  ","")&amp;IF(AND(EDATE($D61,Milestones!$AA$139)&lt;=AsOfDate,IF($Q61=0,$W61,IF(AND($S61&lt;&gt;"",EDATE($D61,Milestones!$AA$139)&gt;=$S61),$V61,IF(AND($R61&lt;&gt;"",EDATE($D61,Milestones!$AA$139)&gt;=$R61),$U61,$T61)))=Milestones!$AB$139),TEXT(EDATE($D61,Milestones!$AA$139),"dd/mm/yy")&amp;" "&amp;Milestones!$AB$139&amp;" "&amp;Milestones!$AC$139&amp;";  ",""))</f>
        <v/>
      </c>
      <c r="N61" s="0" t="str">
        <f aca="false">IF(OR($A61="",$D61=""),"",IF(AND(EDATE($D61,Milestones!$AA$140)&lt;=AsOfDate,IF($Q61=0,$W61,IF(AND($S61&lt;&gt;"",EDATE($D61,Milestones!$AA$140)&gt;=$S61),$V61,IF(AND($R61&lt;&gt;"",EDATE($D61,Milestones!$AA$140)&gt;=$R61),$U61,$T61)))=Milestones!$AB$140),TEXT(EDATE($D61,Milestones!$AA$140),"dd/mm/yy")&amp;" "&amp;Milestones!$AB$140&amp;" "&amp;Milestones!$AC$140&amp;";  ","")&amp;IF(AND(EDATE($D61,Milestones!$AA$141)&lt;=AsOfDate,IF($Q61=0,$W61,IF(AND($S61&lt;&gt;"",EDATE($D61,Milestones!$AA$141)&gt;=$S61),$V61,IF(AND($R61&lt;&gt;"",EDATE($D61,Milestones!$AA$141)&gt;=$R61),$U61,$T61)))=Milestones!$AB$141),TEXT(EDATE($D61,Milestones!$AA$141),"dd/mm/yy")&amp;" "&amp;Milestones!$AB$141&amp;" "&amp;Milestones!$AC$141&amp;";  ","")&amp;IF(AND(EDATE($D61,Milestones!$AA$142)&lt;=AsOfDate,IF($Q61=0,$W61,IF(AND($S61&lt;&gt;"",EDATE($D61,Milestones!$AA$142)&gt;=$S61),$V61,IF(AND($R61&lt;&gt;"",EDATE($D61,Milestones!$AA$142)&gt;=$R61),$U61,$T61)))=Milestones!$AB$142),TEXT(EDATE($D61,Milestones!$AA$142),"dd/mm/yy")&amp;" "&amp;Milestones!$AB$142&amp;" "&amp;Milestones!$AC$142&amp;";  ","")&amp;IF(AND(EDATE($D61,Milestones!$AA$143)&lt;=AsOfDate,IF($Q61=0,$W61,IF(AND($S61&lt;&gt;"",EDATE($D61,Milestones!$AA$143)&gt;=$S61),$V61,IF(AND($R61&lt;&gt;"",EDATE($D61,Milestones!$AA$143)&gt;=$R61),$U61,$T61)))=Milestones!$AB$143),TEXT(EDATE($D61,Milestones!$AA$143),"dd/mm/yy")&amp;" "&amp;Milestones!$AB$143&amp;" "&amp;Milestones!$AC$143&amp;";  ","")&amp;IF(AND(EDATE($D61,Milestones!$AA$144)&lt;=AsOfDate,IF($Q61=0,$W61,IF(AND($S61&lt;&gt;"",EDATE($D61,Milestones!$AA$144)&gt;=$S61),$V61,IF(AND($R61&lt;&gt;"",EDATE($D61,Milestones!$AA$144)&gt;=$R61),$U61,$T61)))=Milestones!$AB$144),TEXT(EDATE($D61,Milestones!$AA$144),"dd/mm/yy")&amp;" "&amp;Milestones!$AB$144&amp;" "&amp;Milestones!$AC$144&amp;";  ","")&amp;IF(AND(EDATE($D61,Milestones!$AA$145)&lt;=AsOfDate,IF($Q61=0,$W61,IF(AND($S61&lt;&gt;"",EDATE($D61,Milestones!$AA$145)&gt;=$S61),$V61,IF(AND($R61&lt;&gt;"",EDATE($D61,Milestones!$AA$145)&gt;=$R61),$U61,$T61)))=Milestones!$AB$145),TEXT(EDATE($D61,Milestones!$AA$145),"dd/mm/yy")&amp;" "&amp;Milestones!$AB$145&amp;" "&amp;Milestones!$AC$145&amp;";  ","")&amp;IF(AND(EDATE($D61,Milestones!$AA$146)&lt;=AsOfDate,IF($Q61=0,$W61,IF(AND($S61&lt;&gt;"",EDATE($D61,Milestones!$AA$146)&gt;=$S61),$V61,IF(AND($R61&lt;&gt;"",EDATE($D61,Milestones!$AA$146)&gt;=$R61),$U61,$T61)))=Milestones!$AB$146),TEXT(EDATE($D61,Milestones!$AA$146),"dd/mm/yy")&amp;" "&amp;Milestones!$AB$146&amp;" "&amp;Milestones!$AC$146&amp;";  ","")&amp;IF(AND(EDATE($D61,Milestones!$AA$147)&lt;=AsOfDate,IF($Q61=0,$W61,IF(AND($S61&lt;&gt;"",EDATE($D61,Milestones!$AA$147)&gt;=$S61),$V61,IF(AND($R61&lt;&gt;"",EDATE($D61,Milestones!$AA$147)&gt;=$R61),$U61,$T61)))=Milestones!$AB$147),TEXT(EDATE($D61,Milestones!$AA$147),"dd/mm/yy")&amp;" "&amp;Milestones!$AB$147&amp;" "&amp;Milestones!$AC$147&amp;";  ","")&amp;IF(AND(EDATE($D61,Milestones!$AA$148)&lt;=AsOfDate,IF($Q61=0,$W61,IF(AND($S61&lt;&gt;"",EDATE($D61,Milestones!$AA$148)&gt;=$S61),$V61,IF(AND($R61&lt;&gt;"",EDATE($D61,Milestones!$AA$148)&gt;=$R61),$U61,$T61)))=Milestones!$AB$148),TEXT(EDATE($D61,Milestones!$AA$148),"dd/mm/yy")&amp;" "&amp;Milestones!$AB$148&amp;" "&amp;Milestones!$AC$148&amp;";  ","")&amp;IF(AND(EDATE($D61,Milestones!$AA$149)&lt;=AsOfDate,IF($Q61=0,$W61,IF(AND($S61&lt;&gt;"",EDATE($D61,Milestones!$AA$149)&gt;=$S61),$V61,IF(AND($R61&lt;&gt;"",EDATE($D61,Milestones!$AA$149)&gt;=$R61),$U61,$T61)))=Milestones!$AB$149),TEXT(EDATE($D61,Milestones!$AA$149),"dd/mm/yy")&amp;" "&amp;Milestones!$AB$149&amp;" "&amp;Milestones!$AC$149&amp;";  ","")&amp;IF(AND(EDATE($D61,Milestones!$AA$150)&lt;=AsOfDate,IF($Q61=0,$W61,IF(AND($S61&lt;&gt;"",EDATE($D61,Milestones!$AA$150)&gt;=$S61),$V61,IF(AND($R61&lt;&gt;"",EDATE($D61,Milestones!$AA$150)&gt;=$R61),$U61,$T61)))=Milestones!$AB$150),TEXT(EDATE($D61,Milestones!$AA$150),"dd/mm/yy")&amp;" "&amp;Milestones!$AB$150&amp;" "&amp;Milestones!$AC$150&amp;";  ","")&amp;IF(AND(EDATE($D61,Milestones!$AA$151)&lt;=AsOfDate,IF($Q61=0,$W61,IF(AND($S61&lt;&gt;"",EDATE($D61,Milestones!$AA$151)&gt;=$S61),$V61,IF(AND($R61&lt;&gt;"",EDATE($D61,Milestones!$AA$151)&gt;=$R61),$U61,$T61)))=Milestones!$AB$151),TEXT(EDATE($D61,Milestones!$AA$151),"dd/mm/yy")&amp;" "&amp;Milestones!$AB$151&amp;" "&amp;Milestones!$AC$151&amp;";  ","")&amp;IF(AND(EDATE($D61,Milestones!$AA$152)&lt;=AsOfDate,IF($Q61=0,$W61,IF(AND($S61&lt;&gt;"",EDATE($D61,Milestones!$AA$152)&gt;=$S61),$V61,IF(AND($R61&lt;&gt;"",EDATE($D61,Milestones!$AA$152)&gt;=$R61),$U61,$T61)))=Milestones!$AB$152),TEXT(EDATE($D61,Milestones!$AA$152),"dd/mm/yy")&amp;" "&amp;Milestones!$AB$152&amp;" "&amp;Milestones!$AC$152&amp;";  ","")&amp;IF(AND(EDATE($D61,Milestones!$AA$153)&lt;=AsOfDate,IF($Q61=0,$W61,IF(AND($S61&lt;&gt;"",EDATE($D61,Milestones!$AA$153)&gt;=$S61),$V61,IF(AND($R61&lt;&gt;"",EDATE($D61,Milestones!$AA$153)&gt;=$R61),$U61,$T61)))=Milestones!$AB$153),TEXT(EDATE($D61,Milestones!$AA$153),"dd/mm/yy")&amp;" "&amp;Milestones!$AB$153&amp;" "&amp;Milestones!$AC$153&amp;";  ","")&amp;IF(AND(EDATE($D61,Milestones!$AA$154)&lt;=AsOfDate,IF($Q61=0,$W61,IF(AND($S61&lt;&gt;"",EDATE($D61,Milestones!$AA$154)&gt;=$S61),$V61,IF(AND($R61&lt;&gt;"",EDATE($D61,Milestones!$AA$154)&gt;=$R61),$U61,$T61)))=Milestones!$AB$154),TEXT(EDATE($D61,Milestones!$AA$154),"dd/mm/yy")&amp;" "&amp;Milestones!$AB$154&amp;" "&amp;Milestones!$AC$154&amp;";  ","")&amp;IF(AND(EDATE($D61,Milestones!$AA$155)&lt;=AsOfDate,IF($Q61=0,$W61,IF(AND($S61&lt;&gt;"",EDATE($D61,Milestones!$AA$155)&gt;=$S61),$V61,IF(AND($R61&lt;&gt;"",EDATE($D61,Milestones!$AA$155)&gt;=$R61),$U61,$T61)))=Milestones!$AB$155),TEXT(EDATE($D61,Milestones!$AA$155),"dd/mm/yy")&amp;" "&amp;Milestones!$AB$155&amp;" "&amp;Milestones!$AC$155&amp;";  ","")&amp;IF(AND(EDATE($D61,Milestones!$AA$156)&lt;=AsOfDate,IF($Q61=0,$W61,IF(AND($S61&lt;&gt;"",EDATE($D61,Milestones!$AA$156)&gt;=$S61),$V61,IF(AND($R61&lt;&gt;"",EDATE($D61,Milestones!$AA$156)&gt;=$R61),$U61,$T61)))=Milestones!$AB$156),TEXT(EDATE($D61,Milestones!$AA$156),"dd/mm/yy")&amp;" "&amp;Milestones!$AB$156&amp;" "&amp;Milestones!$AC$156&amp;";  ","")&amp;IF(AND(EDATE($D61,Milestones!$AA$157)&lt;=AsOfDate,IF($Q61=0,$W61,IF(AND($S61&lt;&gt;"",EDATE($D61,Milestones!$AA$157)&gt;=$S61),$V61,IF(AND($R61&lt;&gt;"",EDATE($D61,Milestones!$AA$157)&gt;=$R61),$U61,$T61)))=Milestones!$AB$157),TEXT(EDATE($D61,Milestones!$AA$157),"dd/mm/yy")&amp;" "&amp;Milestones!$AB$157&amp;" "&amp;Milestones!$AC$157&amp;";  ","")&amp;IF(AND(EDATE($D61,Milestones!$AA$158)&lt;=AsOfDate,IF($Q61=0,$W61,IF(AND($S61&lt;&gt;"",EDATE($D61,Milestones!$AA$158)&gt;=$S61),$V61,IF(AND($R61&lt;&gt;"",EDATE($D61,Milestones!$AA$158)&gt;=$R61),$U61,$T61)))=Milestones!$AB$158),TEXT(EDATE($D61,Milestones!$AA$158),"dd/mm/yy")&amp;" "&amp;Milestones!$AB$158&amp;" "&amp;Milestones!$AC$158&amp;";  ","")&amp;IF(AND(EDATE($D61,Milestones!$AA$159)&lt;=AsOfDate,IF($Q61=0,$W61,IF(AND($S61&lt;&gt;"",EDATE($D61,Milestones!$AA$159)&gt;=$S61),$V61,IF(AND($R61&lt;&gt;"",EDATE($D61,Milestones!$AA$159)&gt;=$R61),$U61,$T61)))=Milestones!$AB$159),TEXT(EDATE($D61,Milestones!$AA$159),"dd/mm/yy")&amp;" "&amp;Milestones!$AB$159&amp;" "&amp;Milestones!$AC$159&amp;";  ",""))</f>
        <v/>
      </c>
      <c r="O61" s="0" t="str">
        <f aca="false">IF(OR($A61="",$D61=""),"",IF(AND(EDATE($D61,Milestones!$AA$160)&lt;=AsOfDate,IF($Q61=0,$W61,IF(AND($S61&lt;&gt;"",EDATE($D61,Milestones!$AA$160)&gt;=$S61),$V61,IF(AND($R61&lt;&gt;"",EDATE($D61,Milestones!$AA$160)&gt;=$R61),$U61,$T61)))=Milestones!$AB$160),TEXT(EDATE($D61,Milestones!$AA$160),"dd/mm/yy")&amp;" "&amp;Milestones!$AB$160&amp;" "&amp;Milestones!$AC$160&amp;";  ","")&amp;IF(AND(EDATE($D61,Milestones!$AA$161)&lt;=AsOfDate,IF($Q61=0,$W61,IF(AND($S61&lt;&gt;"",EDATE($D61,Milestones!$AA$161)&gt;=$S61),$V61,IF(AND($R61&lt;&gt;"",EDATE($D61,Milestones!$AA$161)&gt;=$R61),$U61,$T61)))=Milestones!$AB$161),TEXT(EDATE($D61,Milestones!$AA$161),"dd/mm/yy")&amp;" "&amp;Milestones!$AB$161&amp;" "&amp;Milestones!$AC$161&amp;";  ","")&amp;IF(AND(EDATE($D61,Milestones!$AA$162)&lt;=AsOfDate,IF($Q61=0,$W61,IF(AND($S61&lt;&gt;"",EDATE($D61,Milestones!$AA$162)&gt;=$S61),$V61,IF(AND($R61&lt;&gt;"",EDATE($D61,Milestones!$AA$162)&gt;=$R61),$U61,$T61)))=Milestones!$AB$162),TEXT(EDATE($D61,Milestones!$AA$162),"dd/mm/yy")&amp;" "&amp;Milestones!$AB$162&amp;" "&amp;Milestones!$AC$162&amp;";  ","")&amp;IF(AND(EDATE($D61,Milestones!$AA$163)&lt;=AsOfDate,IF($Q61=0,$W61,IF(AND($S61&lt;&gt;"",EDATE($D61,Milestones!$AA$163)&gt;=$S61),$V61,IF(AND($R61&lt;&gt;"",EDATE($D61,Milestones!$AA$163)&gt;=$R61),$U61,$T61)))=Milestones!$AB$163),TEXT(EDATE($D61,Milestones!$AA$163),"dd/mm/yy")&amp;" "&amp;Milestones!$AB$163&amp;" "&amp;Milestones!$AC$163&amp;";  ","")&amp;IF(AND(EDATE($D61,Milestones!$AA$164)&lt;=AsOfDate,IF($Q61=0,$W61,IF(AND($S61&lt;&gt;"",EDATE($D61,Milestones!$AA$164)&gt;=$S61),$V61,IF(AND($R61&lt;&gt;"",EDATE($D61,Milestones!$AA$164)&gt;=$R61),$U61,$T61)))=Milestones!$AB$164),TEXT(EDATE($D61,Milestones!$AA$164),"dd/mm/yy")&amp;" "&amp;Milestones!$AB$164&amp;" "&amp;Milestones!$AC$164&amp;";  ","")&amp;IF(AND(EDATE($D61,Milestones!$AA$165)&lt;=AsOfDate,IF($Q61=0,$W61,IF(AND($S61&lt;&gt;"",EDATE($D61,Milestones!$AA$165)&gt;=$S61),$V61,IF(AND($R61&lt;&gt;"",EDATE($D61,Milestones!$AA$165)&gt;=$R61),$U61,$T61)))=Milestones!$AB$165),TEXT(EDATE($D61,Milestones!$AA$165),"dd/mm/yy")&amp;" "&amp;Milestones!$AB$165&amp;" "&amp;Milestones!$AC$165&amp;";  ","")&amp;IF(AND(EDATE($D61,Milestones!$AA$166)&lt;=AsOfDate,IF($Q61=0,$W61,IF(AND($S61&lt;&gt;"",EDATE($D61,Milestones!$AA$166)&gt;=$S61),$V61,IF(AND($R61&lt;&gt;"",EDATE($D61,Milestones!$AA$166)&gt;=$R61),$U61,$T61)))=Milestones!$AB$166),TEXT(EDATE($D61,Milestones!$AA$166),"dd/mm/yy")&amp;" "&amp;Milestones!$AB$166&amp;" "&amp;Milestones!$AC$166&amp;";  ","")&amp;IF(AND(EDATE($D61,Milestones!$AA$167)&lt;=AsOfDate,IF($Q61=0,$W61,IF(AND($S61&lt;&gt;"",EDATE($D61,Milestones!$AA$167)&gt;=$S61),$V61,IF(AND($R61&lt;&gt;"",EDATE($D61,Milestones!$AA$167)&gt;=$R61),$U61,$T61)))=Milestones!$AB$167),TEXT(EDATE($D61,Milestones!$AA$167),"dd/mm/yy")&amp;" "&amp;Milestones!$AB$167&amp;" "&amp;Milestones!$AC$167&amp;";  ","")&amp;IF(AND(EDATE($D61,Milestones!$AA$168)&lt;=AsOfDate,IF($Q61=0,$W61,IF(AND($S61&lt;&gt;"",EDATE($D61,Milestones!$AA$168)&gt;=$S61),$V61,IF(AND($R61&lt;&gt;"",EDATE($D61,Milestones!$AA$168)&gt;=$R61),$U61,$T61)))=Milestones!$AB$168),TEXT(EDATE($D61,Milestones!$AA$168),"dd/mm/yy")&amp;" "&amp;Milestones!$AB$168&amp;" "&amp;Milestones!$AC$168&amp;";  ","")&amp;IF(AND(EDATE($D61,Milestones!$AA$169)&lt;=AsOfDate,IF($Q61=0,$W61,IF(AND($S61&lt;&gt;"",EDATE($D61,Milestones!$AA$169)&gt;=$S61),$V61,IF(AND($R61&lt;&gt;"",EDATE($D61,Milestones!$AA$169)&gt;=$R61),$U61,$T61)))=Milestones!$AB$169),TEXT(EDATE($D61,Milestones!$AA$169),"dd/mm/yy")&amp;" "&amp;Milestones!$AB$169&amp;" "&amp;Milestones!$AC$169&amp;";  ","")&amp;IF(AND(EDATE($D61,Milestones!$AA$170)&lt;=AsOfDate,IF($Q61=0,$W61,IF(AND($S61&lt;&gt;"",EDATE($D61,Milestones!$AA$170)&gt;=$S61),$V61,IF(AND($R61&lt;&gt;"",EDATE($D61,Milestones!$AA$170)&gt;=$R61),$U61,$T61)))=Milestones!$AB$170),TEXT(EDATE($D61,Milestones!$AA$170),"dd/mm/yy")&amp;" "&amp;Milestones!$AB$170&amp;" "&amp;Milestones!$AC$170&amp;";  ","")&amp;IF(AND(EDATE($D61,Milestones!$AA$171)&lt;=AsOfDate,IF($Q61=0,$W61,IF(AND($S61&lt;&gt;"",EDATE($D61,Milestones!$AA$171)&gt;=$S61),$V61,IF(AND($R61&lt;&gt;"",EDATE($D61,Milestones!$AA$171)&gt;=$R61),$U61,$T61)))=Milestones!$AB$171),TEXT(EDATE($D61,Milestones!$AA$171),"dd/mm/yy")&amp;" "&amp;Milestones!$AB$171&amp;" "&amp;Milestones!$AC$171&amp;";  ","")&amp;IF(AND(EDATE($D61,Milestones!$AA$172)&lt;=AsOfDate,IF($Q61=0,$W61,IF(AND($S61&lt;&gt;"",EDATE($D61,Milestones!$AA$172)&gt;=$S61),$V61,IF(AND($R61&lt;&gt;"",EDATE($D61,Milestones!$AA$172)&gt;=$R61),$U61,$T61)))=Milestones!$AB$172),TEXT(EDATE($D61,Milestones!$AA$172),"dd/mm/yy")&amp;" "&amp;Milestones!$AB$172&amp;" "&amp;Milestones!$AC$172&amp;";  ","")&amp;IF(AND(EDATE($D61,Milestones!$AA$173)&lt;=AsOfDate,IF($Q61=0,$W61,IF(AND($S61&lt;&gt;"",EDATE($D61,Milestones!$AA$173)&gt;=$S61),$V61,IF(AND($R61&lt;&gt;"",EDATE($D61,Milestones!$AA$173)&gt;=$R61),$U61,$T61)))=Milestones!$AB$173),TEXT(EDATE($D61,Milestones!$AA$173),"dd/mm/yy")&amp;" "&amp;Milestones!$AB$173&amp;" "&amp;Milestones!$AC$173&amp;";  ","")&amp;IF(AND(EDATE($D61,Milestones!$AA$174)&lt;=AsOfDate,IF($Q61=0,$W61,IF(AND($S61&lt;&gt;"",EDATE($D61,Milestones!$AA$174)&gt;=$S61),$V61,IF(AND($R61&lt;&gt;"",EDATE($D61,Milestones!$AA$174)&gt;=$R61),$U61,$T61)))=Milestones!$AB$174),TEXT(EDATE($D61,Milestones!$AA$174),"dd/mm/yy")&amp;" "&amp;Milestones!$AB$174&amp;" "&amp;Milestones!$AC$174&amp;";  ","")&amp;IF(AND(EDATE($D61,Milestones!$AA$175)&lt;=AsOfDate,IF($Q61=0,$W61,IF(AND($S61&lt;&gt;"",EDATE($D61,Milestones!$AA$175)&gt;=$S61),$V61,IF(AND($R61&lt;&gt;"",EDATE($D61,Milestones!$AA$175)&gt;=$R61),$U61,$T61)))=Milestones!$AB$175),TEXT(EDATE($D61,Milestones!$AA$175),"dd/mm/yy")&amp;" "&amp;Milestones!$AB$175&amp;" "&amp;Milestones!$AC$175&amp;";  ","")&amp;IF(AND(EDATE($D61,Milestones!$AA$176)&lt;=AsOfDate,IF($Q61=0,$W61,IF(AND($S61&lt;&gt;"",EDATE($D61,Milestones!$AA$176)&gt;=$S61),$V61,IF(AND($R61&lt;&gt;"",EDATE($D61,Milestones!$AA$176)&gt;=$R61),$U61,$T61)))=Milestones!$AB$176),TEXT(EDATE($D61,Milestones!$AA$176),"dd/mm/yy")&amp;" "&amp;Milestones!$AB$176&amp;" "&amp;Milestones!$AC$176&amp;";  ","")&amp;IF(AND(EDATE($D61,Milestones!$AA$177)&lt;=AsOfDate,IF($Q61=0,$W61,IF(AND($S61&lt;&gt;"",EDATE($D61,Milestones!$AA$177)&gt;=$S61),$V61,IF(AND($R61&lt;&gt;"",EDATE($D61,Milestones!$AA$177)&gt;=$R61),$U61,$T61)))=Milestones!$AB$177),TEXT(EDATE($D61,Milestones!$AA$177),"dd/mm/yy")&amp;" "&amp;Milestones!$AB$177&amp;" "&amp;Milestones!$AC$177&amp;";  ","")&amp;IF(AND(EDATE($D61,Milestones!$AA$178)&lt;=AsOfDate,IF($Q61=0,$W61,IF(AND($S61&lt;&gt;"",EDATE($D61,Milestones!$AA$178)&gt;=$S61),$V61,IF(AND($R61&lt;&gt;"",EDATE($D61,Milestones!$AA$178)&gt;=$R61),$U61,$T61)))=Milestones!$AB$178),TEXT(EDATE($D61,Milestones!$AA$178),"dd/mm/yy")&amp;" "&amp;Milestones!$AB$178&amp;" "&amp;Milestones!$AC$178&amp;";  ","")&amp;IF(AND(EDATE($D61,Milestones!$AA$179)&lt;=AsOfDate,IF($Q61=0,$W61,IF(AND($S61&lt;&gt;"",EDATE($D61,Milestones!$AA$179)&gt;=$S61),$V61,IF(AND($R61&lt;&gt;"",EDATE($D61,Milestones!$AA$179)&gt;=$R61),$U61,$T61)))=Milestones!$AB$179),TEXT(EDATE($D61,Milestones!$AA$179),"dd/mm/yy")&amp;" "&amp;Milestones!$AB$179&amp;" "&amp;Milestones!$AC$179&amp;";  ",""))</f>
        <v/>
      </c>
      <c r="P61" s="0" t="str">
        <f aca="false">IF(OR($A61="",$D61=""),"",IF(AND(EDATE($D61,Milestones!$AA$180)&lt;=AsOfDate,IF($Q61=0,$W61,IF(AND($S61&lt;&gt;"",EDATE($D61,Milestones!$AA$180)&gt;=$S61),$V61,IF(AND($R61&lt;&gt;"",EDATE($D61,Milestones!$AA$180)&gt;=$R61),$U61,$T61)))=Milestones!$AB$180),TEXT(EDATE($D61,Milestones!$AA$180),"dd/mm/yy")&amp;" "&amp;Milestones!$AB$180&amp;" "&amp;Milestones!$AC$180&amp;";  ","")&amp;IF(AND(EDATE($D61,Milestones!$AA$181)&lt;=AsOfDate,IF($Q61=0,$W61,IF(AND($S61&lt;&gt;"",EDATE($D61,Milestones!$AA$181)&gt;=$S61),$V61,IF(AND($R61&lt;&gt;"",EDATE($D61,Milestones!$AA$181)&gt;=$R61),$U61,$T61)))=Milestones!$AB$181),TEXT(EDATE($D61,Milestones!$AA$181),"dd/mm/yy")&amp;" "&amp;Milestones!$AB$181&amp;" "&amp;Milestones!$AC$181&amp;";  ","")&amp;IF(AND(EDATE($D61,Milestones!$AA$182)&lt;=AsOfDate,IF($Q61=0,$W61,IF(AND($S61&lt;&gt;"",EDATE($D61,Milestones!$AA$182)&gt;=$S61),$V61,IF(AND($R61&lt;&gt;"",EDATE($D61,Milestones!$AA$182)&gt;=$R61),$U61,$T61)))=Milestones!$AB$182),TEXT(EDATE($D61,Milestones!$AA$182),"dd/mm/yy")&amp;" "&amp;Milestones!$AB$182&amp;" "&amp;Milestones!$AC$182&amp;";  ","")&amp;IF(AND(EDATE($D61,Milestones!$AA$183)&lt;=AsOfDate,IF($Q61=0,$W61,IF(AND($S61&lt;&gt;"",EDATE($D61,Milestones!$AA$183)&gt;=$S61),$V61,IF(AND($R61&lt;&gt;"",EDATE($D61,Milestones!$AA$183)&gt;=$R61),$U61,$T61)))=Milestones!$AB$183),TEXT(EDATE($D61,Milestones!$AA$183),"dd/mm/yy")&amp;" "&amp;Milestones!$AB$183&amp;" "&amp;Milestones!$AC$183&amp;";  ","")&amp;IF(AND(EDATE($D61,Milestones!$AA$184)&lt;=AsOfDate,IF($Q61=0,$W61,IF(AND($S61&lt;&gt;"",EDATE($D61,Milestones!$AA$184)&gt;=$S61),$V61,IF(AND($R61&lt;&gt;"",EDATE($D61,Milestones!$AA$184)&gt;=$R61),$U61,$T61)))=Milestones!$AB$184),TEXT(EDATE($D61,Milestones!$AA$184),"dd/mm/yy")&amp;" "&amp;Milestones!$AB$184&amp;" "&amp;Milestones!$AC$184&amp;";  ","")&amp;IF(AND(EDATE($D61,Milestones!$AA$185)&lt;=AsOfDate,IF($Q61=0,$W61,IF(AND($S61&lt;&gt;"",EDATE($D61,Milestones!$AA$185)&gt;=$S61),$V61,IF(AND($R61&lt;&gt;"",EDATE($D61,Milestones!$AA$185)&gt;=$R61),$U61,$T61)))=Milestones!$AB$185),TEXT(EDATE($D61,Milestones!$AA$185),"dd/mm/yy")&amp;" "&amp;Milestones!$AB$185&amp;" "&amp;Milestones!$AC$185&amp;";  ","")&amp;IF(AND(EDATE($D61,Milestones!$AA$186)&lt;=AsOfDate,IF($Q61=0,$W61,IF(AND($S61&lt;&gt;"",EDATE($D61,Milestones!$AA$186)&gt;=$S61),$V61,IF(AND($R61&lt;&gt;"",EDATE($D61,Milestones!$AA$186)&gt;=$R61),$U61,$T61)))=Milestones!$AB$186),TEXT(EDATE($D61,Milestones!$AA$186),"dd/mm/yy")&amp;" "&amp;Milestones!$AB$186&amp;" "&amp;Milestones!$AC$186&amp;";  ","")&amp;IF(AND(EDATE($D61,Milestones!$AA$187)&lt;=AsOfDate,IF($Q61=0,$W61,IF(AND($S61&lt;&gt;"",EDATE($D61,Milestones!$AA$187)&gt;=$S61),$V61,IF(AND($R61&lt;&gt;"",EDATE($D61,Milestones!$AA$187)&gt;=$R61),$U61,$T61)))=Milestones!$AB$187),TEXT(EDATE($D61,Milestones!$AA$187),"dd/mm/yy")&amp;" "&amp;Milestones!$AB$187&amp;" "&amp;Milestones!$AC$187&amp;";  ","")&amp;IF(AND(EDATE($D61,Milestones!$AA$188)&lt;=AsOfDate,IF($Q61=0,$W61,IF(AND($S61&lt;&gt;"",EDATE($D61,Milestones!$AA$188)&gt;=$S61),$V61,IF(AND($R61&lt;&gt;"",EDATE($D61,Milestones!$AA$188)&gt;=$R61),$U61,$T61)))=Milestones!$AB$188),TEXT(EDATE($D61,Milestones!$AA$188),"dd/mm/yy")&amp;" "&amp;Milestones!$AB$188&amp;" "&amp;Milestones!$AC$188&amp;";  ","")&amp;IF(AND(EDATE($D61,Milestones!$AA$189)&lt;=AsOfDate,IF($Q61=0,$W61,IF(AND($S61&lt;&gt;"",EDATE($D61,Milestones!$AA$189)&gt;=$S61),$V61,IF(AND($R61&lt;&gt;"",EDATE($D61,Milestones!$AA$189)&gt;=$R61),$U61,$T61)))=Milestones!$AB$189),TEXT(EDATE($D61,Milestones!$AA$189),"dd/mm/yy")&amp;" "&amp;Milestones!$AB$189&amp;" "&amp;Milestones!$AC$189&amp;";  ","")&amp;IF(AND(EDATE($D61,Milestones!$AA$190)&lt;=AsOfDate,IF($Q61=0,$W61,IF(AND($S61&lt;&gt;"",EDATE($D61,Milestones!$AA$190)&gt;=$S61),$V61,IF(AND($R61&lt;&gt;"",EDATE($D61,Milestones!$AA$190)&gt;=$R61),$U61,$T61)))=Milestones!$AB$190),TEXT(EDATE($D61,Milestones!$AA$190),"dd/mm/yy")&amp;" "&amp;Milestones!$AB$190&amp;" "&amp;Milestones!$AC$190&amp;";  ","")&amp;IF(AND(EDATE($D61,Milestones!$AA$191)&lt;=AsOfDate,IF($Q61=0,$W61,IF(AND($S61&lt;&gt;"",EDATE($D61,Milestones!$AA$191)&gt;=$S61),$V61,IF(AND($R61&lt;&gt;"",EDATE($D61,Milestones!$AA$191)&gt;=$R61),$U61,$T61)))=Milestones!$AB$191),TEXT(EDATE($D61,Milestones!$AA$191),"dd/mm/yy")&amp;" "&amp;Milestones!$AB$191&amp;" "&amp;Milestones!$AC$191&amp;";  ","")&amp;IF(AND(EDATE($D61,Milestones!$AA$192)&lt;=AsOfDate,IF($Q61=0,$W61,IF(AND($S61&lt;&gt;"",EDATE($D61,Milestones!$AA$192)&gt;=$S61),$V61,IF(AND($R61&lt;&gt;"",EDATE($D61,Milestones!$AA$192)&gt;=$R61),$U61,$T61)))=Milestones!$AB$192),TEXT(EDATE($D61,Milestones!$AA$192),"dd/mm/yy")&amp;" "&amp;Milestones!$AB$192&amp;" "&amp;Milestones!$AC$192&amp;";  ","")&amp;IF(AND(EDATE($D61,Milestones!$AA$193)&lt;=AsOfDate,IF($Q61=0,$W61,IF(AND($S61&lt;&gt;"",EDATE($D61,Milestones!$AA$193)&gt;=$S61),$V61,IF(AND($R61&lt;&gt;"",EDATE($D61,Milestones!$AA$193)&gt;=$R61),$U61,$T61)))=Milestones!$AB$193),TEXT(EDATE($D61,Milestones!$AA$193),"dd/mm/yy")&amp;" "&amp;Milestones!$AB$193&amp;" "&amp;Milestones!$AC$193&amp;";  ","")&amp;IF(AND(EDATE($D61,Milestones!$AA$194)&lt;=AsOfDate,IF($Q61=0,$W61,IF(AND($S61&lt;&gt;"",EDATE($D61,Milestones!$AA$194)&gt;=$S61),$V61,IF(AND($R61&lt;&gt;"",EDATE($D61,Milestones!$AA$194)&gt;=$R61),$U61,$T61)))=Milestones!$AB$194),TEXT(EDATE($D61,Milestones!$AA$194),"dd/mm/yy")&amp;" "&amp;Milestones!$AB$194&amp;" "&amp;Milestones!$AC$194&amp;";  ","")&amp;IF(AND(EDATE($D61,Milestones!$AA$195)&lt;=AsOfDate,IF($Q61=0,$W61,IF(AND($S61&lt;&gt;"",EDATE($D61,Milestones!$AA$195)&gt;=$S61),$V61,IF(AND($R61&lt;&gt;"",EDATE($D61,Milestones!$AA$195)&gt;=$R61),$U61,$T61)))=Milestones!$AB$195),TEXT(EDATE($D61,Milestones!$AA$195),"dd/mm/yy")&amp;" "&amp;Milestones!$AB$195&amp;" "&amp;Milestones!$AC$195&amp;";  ","")&amp;IF(AND(EDATE($D61,Milestones!$AA$196)&lt;=AsOfDate,IF($Q61=0,$W61,IF(AND($S61&lt;&gt;"",EDATE($D61,Milestones!$AA$196)&gt;=$S61),$V61,IF(AND($R61&lt;&gt;"",EDATE($D61,Milestones!$AA$196)&gt;=$R61),$U61,$T61)))=Milestones!$AB$196),TEXT(EDATE($D61,Milestones!$AA$196),"dd/mm/yy")&amp;" "&amp;Milestones!$AB$196&amp;" "&amp;Milestones!$AC$196&amp;";  ","")&amp;IF(AND(EDATE($D61,Milestones!$AA$197)&lt;=AsOfDate,IF($Q61=0,$W61,IF(AND($S61&lt;&gt;"",EDATE($D61,Milestones!$AA$197)&gt;=$S61),$V61,IF(AND($R61&lt;&gt;"",EDATE($D61,Milestones!$AA$197)&gt;=$R61),$U61,$T61)))=Milestones!$AB$197),TEXT(EDATE($D61,Milestones!$AA$197),"dd/mm/yy")&amp;" "&amp;Milestones!$AB$197&amp;" "&amp;Milestones!$AC$197&amp;";  ","")&amp;IF(AND(EDATE($D61,Milestones!$AA$198)&lt;=AsOfDate,IF($Q61=0,$W61,IF(AND($S61&lt;&gt;"",EDATE($D61,Milestones!$AA$198)&gt;=$S61),$V61,IF(AND($R61&lt;&gt;"",EDATE($D61,Milestones!$AA$198)&gt;=$R61),$U61,$T61)))=Milestones!$AB$198),TEXT(EDATE($D61,Milestones!$AA$198),"dd/mm/yy")&amp;" "&amp;Milestones!$AB$198&amp;" "&amp;Milestones!$AC$198&amp;";  ","")&amp;IF(AND(EDATE($D61,Milestones!$AA$199)&lt;=AsOfDate,IF($Q61=0,$W61,IF(AND($S61&lt;&gt;"",EDATE($D61,Milestones!$AA$199)&gt;=$S61),$V61,IF(AND($R61&lt;&gt;"",EDATE($D61,Milestones!$AA$199)&gt;=$R61),$U61,$T61)))=Milestones!$AB$199),TEXT(EDATE($D61,Milestones!$AA$199),"dd/mm/yy")&amp;" "&amp;Milestones!$AB$199&amp;" "&amp;Milestones!$AC$199&amp;";  ",""))</f>
        <v/>
      </c>
      <c r="Q61" s="0" t="str">
        <f aca="false">IF(Staff!$A61="","",Staff!$AG61)</f>
        <v/>
      </c>
      <c r="R61" s="0" t="str">
        <f aca="false">IF(Staff!$A61="","",Staff!$AI61)</f>
        <v/>
      </c>
      <c r="S61" s="0" t="str">
        <f aca="false">IF(Staff!$A61="","",Staff!$AJ61)</f>
        <v/>
      </c>
      <c r="T61" s="0" t="str">
        <f aca="false">IF(Staff!$A61="","",Staff!$AN61)</f>
        <v/>
      </c>
      <c r="U61" s="0" t="str">
        <f aca="false">IF(Staff!$A61="","",Staff!$AO61)</f>
        <v/>
      </c>
      <c r="V61" s="0" t="str">
        <f aca="false">IF(Staff!$A61="","",Staff!$AP61)</f>
        <v/>
      </c>
      <c r="W61" s="0" t="str">
        <f aca="false">IF(Staff!$A61="","",Staff!$AQ61)</f>
        <v/>
      </c>
    </row>
    <row r="62" customFormat="false" ht="15" hidden="false" customHeight="false" outlineLevel="0" collapsed="false">
      <c r="A62" s="13" t="str">
        <f aca="false">IF(Staff!$A62="","",Staff!$A62)</f>
        <v/>
      </c>
      <c r="B62" s="13" t="str">
        <f aca="false">IF(Staff!$A62="","",Staff!$B62)</f>
        <v/>
      </c>
      <c r="C62" s="13" t="str">
        <f aca="false">IF(Staff!$A62="","",Staff!$C62)</f>
        <v/>
      </c>
      <c r="D62" s="11" t="str">
        <f aca="false">IF(Staff!$A62="","",Staff!$AF62)</f>
        <v/>
      </c>
      <c r="E62" s="13" t="str">
        <f aca="false">IF(Staff!$A62="","",Staff!$O62)</f>
        <v/>
      </c>
      <c r="F62" s="13" t="str">
        <f aca="false">IF(E62="","",E62*HoursPerDay)</f>
        <v/>
      </c>
      <c r="G62" s="26" t="str">
        <f aca="false">IF($A62="","",H62&amp;I62&amp;J62&amp;K62&amp;L62&amp;M62&amp;N62&amp;O62&amp;P62)</f>
        <v/>
      </c>
      <c r="H62" s="0" t="str">
        <f aca="false">IF(OR($A62="",$D62=""),"",IF(AND(EDATE($D62,Milestones!$AA$20)&lt;=AsOfDate,IF($Q62=0,$W62,IF(AND($S62&lt;&gt;"",EDATE($D62,Milestones!$AA$20)&gt;=$S62),$V62,IF(AND($R62&lt;&gt;"",EDATE($D62,Milestones!$AA$20)&gt;=$R62),$U62,$T62)))=Milestones!$AB$20),TEXT(EDATE($D62,Milestones!$AA$20),"dd/mm/yy")&amp;" "&amp;Milestones!$AB$20&amp;" "&amp;Milestones!$AC$20&amp;";  ","")&amp;IF(AND(EDATE($D62,Milestones!$AA$21)&lt;=AsOfDate,IF($Q62=0,$W62,IF(AND($S62&lt;&gt;"",EDATE($D62,Milestones!$AA$21)&gt;=$S62),$V62,IF(AND($R62&lt;&gt;"",EDATE($D62,Milestones!$AA$21)&gt;=$R62),$U62,$T62)))=Milestones!$AB$21),TEXT(EDATE($D62,Milestones!$AA$21),"dd/mm/yy")&amp;" "&amp;Milestones!$AB$21&amp;" "&amp;Milestones!$AC$21&amp;";  ","")&amp;IF(AND(EDATE($D62,Milestones!$AA$22)&lt;=AsOfDate,IF($Q62=0,$W62,IF(AND($S62&lt;&gt;"",EDATE($D62,Milestones!$AA$22)&gt;=$S62),$V62,IF(AND($R62&lt;&gt;"",EDATE($D62,Milestones!$AA$22)&gt;=$R62),$U62,$T62)))=Milestones!$AB$22),TEXT(EDATE($D62,Milestones!$AA$22),"dd/mm/yy")&amp;" "&amp;Milestones!$AB$22&amp;" "&amp;Milestones!$AC$22&amp;";  ","")&amp;IF(AND(EDATE($D62,Milestones!$AA$23)&lt;=AsOfDate,IF($Q62=0,$W62,IF(AND($S62&lt;&gt;"",EDATE($D62,Milestones!$AA$23)&gt;=$S62),$V62,IF(AND($R62&lt;&gt;"",EDATE($D62,Milestones!$AA$23)&gt;=$R62),$U62,$T62)))=Milestones!$AB$23),TEXT(EDATE($D62,Milestones!$AA$23),"dd/mm/yy")&amp;" "&amp;Milestones!$AB$23&amp;" "&amp;Milestones!$AC$23&amp;";  ","")&amp;IF(AND(EDATE($D62,Milestones!$AA$24)&lt;=AsOfDate,IF($Q62=0,$W62,IF(AND($S62&lt;&gt;"",EDATE($D62,Milestones!$AA$24)&gt;=$S62),$V62,IF(AND($R62&lt;&gt;"",EDATE($D62,Milestones!$AA$24)&gt;=$R62),$U62,$T62)))=Milestones!$AB$24),TEXT(EDATE($D62,Milestones!$AA$24),"dd/mm/yy")&amp;" "&amp;Milestones!$AB$24&amp;" "&amp;Milestones!$AC$24&amp;";  ","")&amp;IF(AND(EDATE($D62,Milestones!$AA$25)&lt;=AsOfDate,IF($Q62=0,$W62,IF(AND($S62&lt;&gt;"",EDATE($D62,Milestones!$AA$25)&gt;=$S62),$V62,IF(AND($R62&lt;&gt;"",EDATE($D62,Milestones!$AA$25)&gt;=$R62),$U62,$T62)))=Milestones!$AB$25),TEXT(EDATE($D62,Milestones!$AA$25),"dd/mm/yy")&amp;" "&amp;Milestones!$AB$25&amp;" "&amp;Milestones!$AC$25&amp;";  ","")&amp;IF(AND(EDATE($D62,Milestones!$AA$26)&lt;=AsOfDate,IF($Q62=0,$W62,IF(AND($S62&lt;&gt;"",EDATE($D62,Milestones!$AA$26)&gt;=$S62),$V62,IF(AND($R62&lt;&gt;"",EDATE($D62,Milestones!$AA$26)&gt;=$R62),$U62,$T62)))=Milestones!$AB$26),TEXT(EDATE($D62,Milestones!$AA$26),"dd/mm/yy")&amp;" "&amp;Milestones!$AB$26&amp;" "&amp;Milestones!$AC$26&amp;";  ","")&amp;IF(AND(EDATE($D62,Milestones!$AA$27)&lt;=AsOfDate,IF($Q62=0,$W62,IF(AND($S62&lt;&gt;"",EDATE($D62,Milestones!$AA$27)&gt;=$S62),$V62,IF(AND($R62&lt;&gt;"",EDATE($D62,Milestones!$AA$27)&gt;=$R62),$U62,$T62)))=Milestones!$AB$27),TEXT(EDATE($D62,Milestones!$AA$27),"dd/mm/yy")&amp;" "&amp;Milestones!$AB$27&amp;" "&amp;Milestones!$AC$27&amp;";  ","")&amp;IF(AND(EDATE($D62,Milestones!$AA$28)&lt;=AsOfDate,IF($Q62=0,$W62,IF(AND($S62&lt;&gt;"",EDATE($D62,Milestones!$AA$28)&gt;=$S62),$V62,IF(AND($R62&lt;&gt;"",EDATE($D62,Milestones!$AA$28)&gt;=$R62),$U62,$T62)))=Milestones!$AB$28),TEXT(EDATE($D62,Milestones!$AA$28),"dd/mm/yy")&amp;" "&amp;Milestones!$AB$28&amp;" "&amp;Milestones!$AC$28&amp;";  ","")&amp;IF(AND(EDATE($D62,Milestones!$AA$29)&lt;=AsOfDate,IF($Q62=0,$W62,IF(AND($S62&lt;&gt;"",EDATE($D62,Milestones!$AA$29)&gt;=$S62),$V62,IF(AND($R62&lt;&gt;"",EDATE($D62,Milestones!$AA$29)&gt;=$R62),$U62,$T62)))=Milestones!$AB$29),TEXT(EDATE($D62,Milestones!$AA$29),"dd/mm/yy")&amp;" "&amp;Milestones!$AB$29&amp;" "&amp;Milestones!$AC$29&amp;";  ","")&amp;IF(AND(EDATE($D62,Milestones!$AA$30)&lt;=AsOfDate,IF($Q62=0,$W62,IF(AND($S62&lt;&gt;"",EDATE($D62,Milestones!$AA$30)&gt;=$S62),$V62,IF(AND($R62&lt;&gt;"",EDATE($D62,Milestones!$AA$30)&gt;=$R62),$U62,$T62)))=Milestones!$AB$30),TEXT(EDATE($D62,Milestones!$AA$30),"dd/mm/yy")&amp;" "&amp;Milestones!$AB$30&amp;" "&amp;Milestones!$AC$30&amp;";  ","")&amp;IF(AND(EDATE($D62,Milestones!$AA$31)&lt;=AsOfDate,IF($Q62=0,$W62,IF(AND($S62&lt;&gt;"",EDATE($D62,Milestones!$AA$31)&gt;=$S62),$V62,IF(AND($R62&lt;&gt;"",EDATE($D62,Milestones!$AA$31)&gt;=$R62),$U62,$T62)))=Milestones!$AB$31),TEXT(EDATE($D62,Milestones!$AA$31),"dd/mm/yy")&amp;" "&amp;Milestones!$AB$31&amp;" "&amp;Milestones!$AC$31&amp;";  ","")&amp;IF(AND(EDATE($D62,Milestones!$AA$32)&lt;=AsOfDate,IF($Q62=0,$W62,IF(AND($S62&lt;&gt;"",EDATE($D62,Milestones!$AA$32)&gt;=$S62),$V62,IF(AND($R62&lt;&gt;"",EDATE($D62,Milestones!$AA$32)&gt;=$R62),$U62,$T62)))=Milestones!$AB$32),TEXT(EDATE($D62,Milestones!$AA$32),"dd/mm/yy")&amp;" "&amp;Milestones!$AB$32&amp;" "&amp;Milestones!$AC$32&amp;";  ","")&amp;IF(AND(EDATE($D62,Milestones!$AA$33)&lt;=AsOfDate,IF($Q62=0,$W62,IF(AND($S62&lt;&gt;"",EDATE($D62,Milestones!$AA$33)&gt;=$S62),$V62,IF(AND($R62&lt;&gt;"",EDATE($D62,Milestones!$AA$33)&gt;=$R62),$U62,$T62)))=Milestones!$AB$33),TEXT(EDATE($D62,Milestones!$AA$33),"dd/mm/yy")&amp;" "&amp;Milestones!$AB$33&amp;" "&amp;Milestones!$AC$33&amp;";  ","")&amp;IF(AND(EDATE($D62,Milestones!$AA$34)&lt;=AsOfDate,IF($Q62=0,$W62,IF(AND($S62&lt;&gt;"",EDATE($D62,Milestones!$AA$34)&gt;=$S62),$V62,IF(AND($R62&lt;&gt;"",EDATE($D62,Milestones!$AA$34)&gt;=$R62),$U62,$T62)))=Milestones!$AB$34),TEXT(EDATE($D62,Milestones!$AA$34),"dd/mm/yy")&amp;" "&amp;Milestones!$AB$34&amp;" "&amp;Milestones!$AC$34&amp;";  ","")&amp;IF(AND(EDATE($D62,Milestones!$AA$35)&lt;=AsOfDate,IF($Q62=0,$W62,IF(AND($S62&lt;&gt;"",EDATE($D62,Milestones!$AA$35)&gt;=$S62),$V62,IF(AND($R62&lt;&gt;"",EDATE($D62,Milestones!$AA$35)&gt;=$R62),$U62,$T62)))=Milestones!$AB$35),TEXT(EDATE($D62,Milestones!$AA$35),"dd/mm/yy")&amp;" "&amp;Milestones!$AB$35&amp;" "&amp;Milestones!$AC$35&amp;";  ","")&amp;IF(AND(EDATE($D62,Milestones!$AA$36)&lt;=AsOfDate,IF($Q62=0,$W62,IF(AND($S62&lt;&gt;"",EDATE($D62,Milestones!$AA$36)&gt;=$S62),$V62,IF(AND($R62&lt;&gt;"",EDATE($D62,Milestones!$AA$36)&gt;=$R62),$U62,$T62)))=Milestones!$AB$36),TEXT(EDATE($D62,Milestones!$AA$36),"dd/mm/yy")&amp;" "&amp;Milestones!$AB$36&amp;" "&amp;Milestones!$AC$36&amp;";  ","")&amp;IF(AND(EDATE($D62,Milestones!$AA$37)&lt;=AsOfDate,IF($Q62=0,$W62,IF(AND($S62&lt;&gt;"",EDATE($D62,Milestones!$AA$37)&gt;=$S62),$V62,IF(AND($R62&lt;&gt;"",EDATE($D62,Milestones!$AA$37)&gt;=$R62),$U62,$T62)))=Milestones!$AB$37),TEXT(EDATE($D62,Milestones!$AA$37),"dd/mm/yy")&amp;" "&amp;Milestones!$AB$37&amp;" "&amp;Milestones!$AC$37&amp;";  ","")&amp;IF(AND(EDATE($D62,Milestones!$AA$38)&lt;=AsOfDate,IF($Q62=0,$W62,IF(AND($S62&lt;&gt;"",EDATE($D62,Milestones!$AA$38)&gt;=$S62),$V62,IF(AND($R62&lt;&gt;"",EDATE($D62,Milestones!$AA$38)&gt;=$R62),$U62,$T62)))=Milestones!$AB$38),TEXT(EDATE($D62,Milestones!$AA$38),"dd/mm/yy")&amp;" "&amp;Milestones!$AB$38&amp;" "&amp;Milestones!$AC$38&amp;";  ","")&amp;IF(AND(EDATE($D62,Milestones!$AA$39)&lt;=AsOfDate,IF($Q62=0,$W62,IF(AND($S62&lt;&gt;"",EDATE($D62,Milestones!$AA$39)&gt;=$S62),$V62,IF(AND($R62&lt;&gt;"",EDATE($D62,Milestones!$AA$39)&gt;=$R62),$U62,$T62)))=Milestones!$AB$39),TEXT(EDATE($D62,Milestones!$AA$39),"dd/mm/yy")&amp;" "&amp;Milestones!$AB$39&amp;" "&amp;Milestones!$AC$39&amp;";  ",""))</f>
        <v/>
      </c>
      <c r="I62" s="0" t="str">
        <f aca="false">IF(OR($A62="",$D62=""),"",IF(AND(EDATE($D62,Milestones!$AA$40)&lt;=AsOfDate,IF($Q62=0,$W62,IF(AND($S62&lt;&gt;"",EDATE($D62,Milestones!$AA$40)&gt;=$S62),$V62,IF(AND($R62&lt;&gt;"",EDATE($D62,Milestones!$AA$40)&gt;=$R62),$U62,$T62)))=Milestones!$AB$40),TEXT(EDATE($D62,Milestones!$AA$40),"dd/mm/yy")&amp;" "&amp;Milestones!$AB$40&amp;" "&amp;Milestones!$AC$40&amp;";  ","")&amp;IF(AND(EDATE($D62,Milestones!$AA$41)&lt;=AsOfDate,IF($Q62=0,$W62,IF(AND($S62&lt;&gt;"",EDATE($D62,Milestones!$AA$41)&gt;=$S62),$V62,IF(AND($R62&lt;&gt;"",EDATE($D62,Milestones!$AA$41)&gt;=$R62),$U62,$T62)))=Milestones!$AB$41),TEXT(EDATE($D62,Milestones!$AA$41),"dd/mm/yy")&amp;" "&amp;Milestones!$AB$41&amp;" "&amp;Milestones!$AC$41&amp;";  ","")&amp;IF(AND(EDATE($D62,Milestones!$AA$42)&lt;=AsOfDate,IF($Q62=0,$W62,IF(AND($S62&lt;&gt;"",EDATE($D62,Milestones!$AA$42)&gt;=$S62),$V62,IF(AND($R62&lt;&gt;"",EDATE($D62,Milestones!$AA$42)&gt;=$R62),$U62,$T62)))=Milestones!$AB$42),TEXT(EDATE($D62,Milestones!$AA$42),"dd/mm/yy")&amp;" "&amp;Milestones!$AB$42&amp;" "&amp;Milestones!$AC$42&amp;";  ","")&amp;IF(AND(EDATE($D62,Milestones!$AA$43)&lt;=AsOfDate,IF($Q62=0,$W62,IF(AND($S62&lt;&gt;"",EDATE($D62,Milestones!$AA$43)&gt;=$S62),$V62,IF(AND($R62&lt;&gt;"",EDATE($D62,Milestones!$AA$43)&gt;=$R62),$U62,$T62)))=Milestones!$AB$43),TEXT(EDATE($D62,Milestones!$AA$43),"dd/mm/yy")&amp;" "&amp;Milestones!$AB$43&amp;" "&amp;Milestones!$AC$43&amp;";  ","")&amp;IF(AND(EDATE($D62,Milestones!$AA$44)&lt;=AsOfDate,IF($Q62=0,$W62,IF(AND($S62&lt;&gt;"",EDATE($D62,Milestones!$AA$44)&gt;=$S62),$V62,IF(AND($R62&lt;&gt;"",EDATE($D62,Milestones!$AA$44)&gt;=$R62),$U62,$T62)))=Milestones!$AB$44),TEXT(EDATE($D62,Milestones!$AA$44),"dd/mm/yy")&amp;" "&amp;Milestones!$AB$44&amp;" "&amp;Milestones!$AC$44&amp;";  ","")&amp;IF(AND(EDATE($D62,Milestones!$AA$45)&lt;=AsOfDate,IF($Q62=0,$W62,IF(AND($S62&lt;&gt;"",EDATE($D62,Milestones!$AA$45)&gt;=$S62),$V62,IF(AND($R62&lt;&gt;"",EDATE($D62,Milestones!$AA$45)&gt;=$R62),$U62,$T62)))=Milestones!$AB$45),TEXT(EDATE($D62,Milestones!$AA$45),"dd/mm/yy")&amp;" "&amp;Milestones!$AB$45&amp;" "&amp;Milestones!$AC$45&amp;";  ","")&amp;IF(AND(EDATE($D62,Milestones!$AA$46)&lt;=AsOfDate,IF($Q62=0,$W62,IF(AND($S62&lt;&gt;"",EDATE($D62,Milestones!$AA$46)&gt;=$S62),$V62,IF(AND($R62&lt;&gt;"",EDATE($D62,Milestones!$AA$46)&gt;=$R62),$U62,$T62)))=Milestones!$AB$46),TEXT(EDATE($D62,Milestones!$AA$46),"dd/mm/yy")&amp;" "&amp;Milestones!$AB$46&amp;" "&amp;Milestones!$AC$46&amp;";  ","")&amp;IF(AND(EDATE($D62,Milestones!$AA$47)&lt;=AsOfDate,IF($Q62=0,$W62,IF(AND($S62&lt;&gt;"",EDATE($D62,Milestones!$AA$47)&gt;=$S62),$V62,IF(AND($R62&lt;&gt;"",EDATE($D62,Milestones!$AA$47)&gt;=$R62),$U62,$T62)))=Milestones!$AB$47),TEXT(EDATE($D62,Milestones!$AA$47),"dd/mm/yy")&amp;" "&amp;Milestones!$AB$47&amp;" "&amp;Milestones!$AC$47&amp;";  ","")&amp;IF(AND(EDATE($D62,Milestones!$AA$48)&lt;=AsOfDate,IF($Q62=0,$W62,IF(AND($S62&lt;&gt;"",EDATE($D62,Milestones!$AA$48)&gt;=$S62),$V62,IF(AND($R62&lt;&gt;"",EDATE($D62,Milestones!$AA$48)&gt;=$R62),$U62,$T62)))=Milestones!$AB$48),TEXT(EDATE($D62,Milestones!$AA$48),"dd/mm/yy")&amp;" "&amp;Milestones!$AB$48&amp;" "&amp;Milestones!$AC$48&amp;";  ","")&amp;IF(AND(EDATE($D62,Milestones!$AA$49)&lt;=AsOfDate,IF($Q62=0,$W62,IF(AND($S62&lt;&gt;"",EDATE($D62,Milestones!$AA$49)&gt;=$S62),$V62,IF(AND($R62&lt;&gt;"",EDATE($D62,Milestones!$AA$49)&gt;=$R62),$U62,$T62)))=Milestones!$AB$49),TEXT(EDATE($D62,Milestones!$AA$49),"dd/mm/yy")&amp;" "&amp;Milestones!$AB$49&amp;" "&amp;Milestones!$AC$49&amp;";  ","")&amp;IF(AND(EDATE($D62,Milestones!$AA$50)&lt;=AsOfDate,IF($Q62=0,$W62,IF(AND($S62&lt;&gt;"",EDATE($D62,Milestones!$AA$50)&gt;=$S62),$V62,IF(AND($R62&lt;&gt;"",EDATE($D62,Milestones!$AA$50)&gt;=$R62),$U62,$T62)))=Milestones!$AB$50),TEXT(EDATE($D62,Milestones!$AA$50),"dd/mm/yy")&amp;" "&amp;Milestones!$AB$50&amp;" "&amp;Milestones!$AC$50&amp;";  ","")&amp;IF(AND(EDATE($D62,Milestones!$AA$51)&lt;=AsOfDate,IF($Q62=0,$W62,IF(AND($S62&lt;&gt;"",EDATE($D62,Milestones!$AA$51)&gt;=$S62),$V62,IF(AND($R62&lt;&gt;"",EDATE($D62,Milestones!$AA$51)&gt;=$R62),$U62,$T62)))=Milestones!$AB$51),TEXT(EDATE($D62,Milestones!$AA$51),"dd/mm/yy")&amp;" "&amp;Milestones!$AB$51&amp;" "&amp;Milestones!$AC$51&amp;";  ","")&amp;IF(AND(EDATE($D62,Milestones!$AA$52)&lt;=AsOfDate,IF($Q62=0,$W62,IF(AND($S62&lt;&gt;"",EDATE($D62,Milestones!$AA$52)&gt;=$S62),$V62,IF(AND($R62&lt;&gt;"",EDATE($D62,Milestones!$AA$52)&gt;=$R62),$U62,$T62)))=Milestones!$AB$52),TEXT(EDATE($D62,Milestones!$AA$52),"dd/mm/yy")&amp;" "&amp;Milestones!$AB$52&amp;" "&amp;Milestones!$AC$52&amp;";  ","")&amp;IF(AND(EDATE($D62,Milestones!$AA$53)&lt;=AsOfDate,IF($Q62=0,$W62,IF(AND($S62&lt;&gt;"",EDATE($D62,Milestones!$AA$53)&gt;=$S62),$V62,IF(AND($R62&lt;&gt;"",EDATE($D62,Milestones!$AA$53)&gt;=$R62),$U62,$T62)))=Milestones!$AB$53),TEXT(EDATE($D62,Milestones!$AA$53),"dd/mm/yy")&amp;" "&amp;Milestones!$AB$53&amp;" "&amp;Milestones!$AC$53&amp;";  ","")&amp;IF(AND(EDATE($D62,Milestones!$AA$54)&lt;=AsOfDate,IF($Q62=0,$W62,IF(AND($S62&lt;&gt;"",EDATE($D62,Milestones!$AA$54)&gt;=$S62),$V62,IF(AND($R62&lt;&gt;"",EDATE($D62,Milestones!$AA$54)&gt;=$R62),$U62,$T62)))=Milestones!$AB$54),TEXT(EDATE($D62,Milestones!$AA$54),"dd/mm/yy")&amp;" "&amp;Milestones!$AB$54&amp;" "&amp;Milestones!$AC$54&amp;";  ","")&amp;IF(AND(EDATE($D62,Milestones!$AA$55)&lt;=AsOfDate,IF($Q62=0,$W62,IF(AND($S62&lt;&gt;"",EDATE($D62,Milestones!$AA$55)&gt;=$S62),$V62,IF(AND($R62&lt;&gt;"",EDATE($D62,Milestones!$AA$55)&gt;=$R62),$U62,$T62)))=Milestones!$AB$55),TEXT(EDATE($D62,Milestones!$AA$55),"dd/mm/yy")&amp;" "&amp;Milestones!$AB$55&amp;" "&amp;Milestones!$AC$55&amp;";  ","")&amp;IF(AND(EDATE($D62,Milestones!$AA$56)&lt;=AsOfDate,IF($Q62=0,$W62,IF(AND($S62&lt;&gt;"",EDATE($D62,Milestones!$AA$56)&gt;=$S62),$V62,IF(AND($R62&lt;&gt;"",EDATE($D62,Milestones!$AA$56)&gt;=$R62),$U62,$T62)))=Milestones!$AB$56),TEXT(EDATE($D62,Milestones!$AA$56),"dd/mm/yy")&amp;" "&amp;Milestones!$AB$56&amp;" "&amp;Milestones!$AC$56&amp;";  ","")&amp;IF(AND(EDATE($D62,Milestones!$AA$57)&lt;=AsOfDate,IF($Q62=0,$W62,IF(AND($S62&lt;&gt;"",EDATE($D62,Milestones!$AA$57)&gt;=$S62),$V62,IF(AND($R62&lt;&gt;"",EDATE($D62,Milestones!$AA$57)&gt;=$R62),$U62,$T62)))=Milestones!$AB$57),TEXT(EDATE($D62,Milestones!$AA$57),"dd/mm/yy")&amp;" "&amp;Milestones!$AB$57&amp;" "&amp;Milestones!$AC$57&amp;";  ","")&amp;IF(AND(EDATE($D62,Milestones!$AA$58)&lt;=AsOfDate,IF($Q62=0,$W62,IF(AND($S62&lt;&gt;"",EDATE($D62,Milestones!$AA$58)&gt;=$S62),$V62,IF(AND($R62&lt;&gt;"",EDATE($D62,Milestones!$AA$58)&gt;=$R62),$U62,$T62)))=Milestones!$AB$58),TEXT(EDATE($D62,Milestones!$AA$58),"dd/mm/yy")&amp;" "&amp;Milestones!$AB$58&amp;" "&amp;Milestones!$AC$58&amp;";  ","")&amp;IF(AND(EDATE($D62,Milestones!$AA$59)&lt;=AsOfDate,IF($Q62=0,$W62,IF(AND($S62&lt;&gt;"",EDATE($D62,Milestones!$AA$59)&gt;=$S62),$V62,IF(AND($R62&lt;&gt;"",EDATE($D62,Milestones!$AA$59)&gt;=$R62),$U62,$T62)))=Milestones!$AB$59),TEXT(EDATE($D62,Milestones!$AA$59),"dd/mm/yy")&amp;" "&amp;Milestones!$AB$59&amp;" "&amp;Milestones!$AC$59&amp;";  ",""))</f>
        <v/>
      </c>
      <c r="J62" s="0" t="str">
        <f aca="false">IF(OR($A62="",$D62=""),"",IF(AND(EDATE($D62,Milestones!$AA$60)&lt;=AsOfDate,IF($Q62=0,$W62,IF(AND($S62&lt;&gt;"",EDATE($D62,Milestones!$AA$60)&gt;=$S62),$V62,IF(AND($R62&lt;&gt;"",EDATE($D62,Milestones!$AA$60)&gt;=$R62),$U62,$T62)))=Milestones!$AB$60),TEXT(EDATE($D62,Milestones!$AA$60),"dd/mm/yy")&amp;" "&amp;Milestones!$AB$60&amp;" "&amp;Milestones!$AC$60&amp;";  ","")&amp;IF(AND(EDATE($D62,Milestones!$AA$61)&lt;=AsOfDate,IF($Q62=0,$W62,IF(AND($S62&lt;&gt;"",EDATE($D62,Milestones!$AA$61)&gt;=$S62),$V62,IF(AND($R62&lt;&gt;"",EDATE($D62,Milestones!$AA$61)&gt;=$R62),$U62,$T62)))=Milestones!$AB$61),TEXT(EDATE($D62,Milestones!$AA$61),"dd/mm/yy")&amp;" "&amp;Milestones!$AB$61&amp;" "&amp;Milestones!$AC$61&amp;";  ","")&amp;IF(AND(EDATE($D62,Milestones!$AA$62)&lt;=AsOfDate,IF($Q62=0,$W62,IF(AND($S62&lt;&gt;"",EDATE($D62,Milestones!$AA$62)&gt;=$S62),$V62,IF(AND($R62&lt;&gt;"",EDATE($D62,Milestones!$AA$62)&gt;=$R62),$U62,$T62)))=Milestones!$AB$62),TEXT(EDATE($D62,Milestones!$AA$62),"dd/mm/yy")&amp;" "&amp;Milestones!$AB$62&amp;" "&amp;Milestones!$AC$62&amp;";  ","")&amp;IF(AND(EDATE($D62,Milestones!$AA$63)&lt;=AsOfDate,IF($Q62=0,$W62,IF(AND($S62&lt;&gt;"",EDATE($D62,Milestones!$AA$63)&gt;=$S62),$V62,IF(AND($R62&lt;&gt;"",EDATE($D62,Milestones!$AA$63)&gt;=$R62),$U62,$T62)))=Milestones!$AB$63),TEXT(EDATE($D62,Milestones!$AA$63),"dd/mm/yy")&amp;" "&amp;Milestones!$AB$63&amp;" "&amp;Milestones!$AC$63&amp;";  ","")&amp;IF(AND(EDATE($D62,Milestones!$AA$64)&lt;=AsOfDate,IF($Q62=0,$W62,IF(AND($S62&lt;&gt;"",EDATE($D62,Milestones!$AA$64)&gt;=$S62),$V62,IF(AND($R62&lt;&gt;"",EDATE($D62,Milestones!$AA$64)&gt;=$R62),$U62,$T62)))=Milestones!$AB$64),TEXT(EDATE($D62,Milestones!$AA$64),"dd/mm/yy")&amp;" "&amp;Milestones!$AB$64&amp;" "&amp;Milestones!$AC$64&amp;";  ","")&amp;IF(AND(EDATE($D62,Milestones!$AA$65)&lt;=AsOfDate,IF($Q62=0,$W62,IF(AND($S62&lt;&gt;"",EDATE($D62,Milestones!$AA$65)&gt;=$S62),$V62,IF(AND($R62&lt;&gt;"",EDATE($D62,Milestones!$AA$65)&gt;=$R62),$U62,$T62)))=Milestones!$AB$65),TEXT(EDATE($D62,Milestones!$AA$65),"dd/mm/yy")&amp;" "&amp;Milestones!$AB$65&amp;" "&amp;Milestones!$AC$65&amp;";  ","")&amp;IF(AND(EDATE($D62,Milestones!$AA$66)&lt;=AsOfDate,IF($Q62=0,$W62,IF(AND($S62&lt;&gt;"",EDATE($D62,Milestones!$AA$66)&gt;=$S62),$V62,IF(AND($R62&lt;&gt;"",EDATE($D62,Milestones!$AA$66)&gt;=$R62),$U62,$T62)))=Milestones!$AB$66),TEXT(EDATE($D62,Milestones!$AA$66),"dd/mm/yy")&amp;" "&amp;Milestones!$AB$66&amp;" "&amp;Milestones!$AC$66&amp;";  ","")&amp;IF(AND(EDATE($D62,Milestones!$AA$67)&lt;=AsOfDate,IF($Q62=0,$W62,IF(AND($S62&lt;&gt;"",EDATE($D62,Milestones!$AA$67)&gt;=$S62),$V62,IF(AND($R62&lt;&gt;"",EDATE($D62,Milestones!$AA$67)&gt;=$R62),$U62,$T62)))=Milestones!$AB$67),TEXT(EDATE($D62,Milestones!$AA$67),"dd/mm/yy")&amp;" "&amp;Milestones!$AB$67&amp;" "&amp;Milestones!$AC$67&amp;";  ","")&amp;IF(AND(EDATE($D62,Milestones!$AA$68)&lt;=AsOfDate,IF($Q62=0,$W62,IF(AND($S62&lt;&gt;"",EDATE($D62,Milestones!$AA$68)&gt;=$S62),$V62,IF(AND($R62&lt;&gt;"",EDATE($D62,Milestones!$AA$68)&gt;=$R62),$U62,$T62)))=Milestones!$AB$68),TEXT(EDATE($D62,Milestones!$AA$68),"dd/mm/yy")&amp;" "&amp;Milestones!$AB$68&amp;" "&amp;Milestones!$AC$68&amp;";  ","")&amp;IF(AND(EDATE($D62,Milestones!$AA$69)&lt;=AsOfDate,IF($Q62=0,$W62,IF(AND($S62&lt;&gt;"",EDATE($D62,Milestones!$AA$69)&gt;=$S62),$V62,IF(AND($R62&lt;&gt;"",EDATE($D62,Milestones!$AA$69)&gt;=$R62),$U62,$T62)))=Milestones!$AB$69),TEXT(EDATE($D62,Milestones!$AA$69),"dd/mm/yy")&amp;" "&amp;Milestones!$AB$69&amp;" "&amp;Milestones!$AC$69&amp;";  ","")&amp;IF(AND(EDATE($D62,Milestones!$AA$70)&lt;=AsOfDate,IF($Q62=0,$W62,IF(AND($S62&lt;&gt;"",EDATE($D62,Milestones!$AA$70)&gt;=$S62),$V62,IF(AND($R62&lt;&gt;"",EDATE($D62,Milestones!$AA$70)&gt;=$R62),$U62,$T62)))=Milestones!$AB$70),TEXT(EDATE($D62,Milestones!$AA$70),"dd/mm/yy")&amp;" "&amp;Milestones!$AB$70&amp;" "&amp;Milestones!$AC$70&amp;";  ","")&amp;IF(AND(EDATE($D62,Milestones!$AA$71)&lt;=AsOfDate,IF($Q62=0,$W62,IF(AND($S62&lt;&gt;"",EDATE($D62,Milestones!$AA$71)&gt;=$S62),$V62,IF(AND($R62&lt;&gt;"",EDATE($D62,Milestones!$AA$71)&gt;=$R62),$U62,$T62)))=Milestones!$AB$71),TEXT(EDATE($D62,Milestones!$AA$71),"dd/mm/yy")&amp;" "&amp;Milestones!$AB$71&amp;" "&amp;Milestones!$AC$71&amp;";  ","")&amp;IF(AND(EDATE($D62,Milestones!$AA$72)&lt;=AsOfDate,IF($Q62=0,$W62,IF(AND($S62&lt;&gt;"",EDATE($D62,Milestones!$AA$72)&gt;=$S62),$V62,IF(AND($R62&lt;&gt;"",EDATE($D62,Milestones!$AA$72)&gt;=$R62),$U62,$T62)))=Milestones!$AB$72),TEXT(EDATE($D62,Milestones!$AA$72),"dd/mm/yy")&amp;" "&amp;Milestones!$AB$72&amp;" "&amp;Milestones!$AC$72&amp;";  ","")&amp;IF(AND(EDATE($D62,Milestones!$AA$73)&lt;=AsOfDate,IF($Q62=0,$W62,IF(AND($S62&lt;&gt;"",EDATE($D62,Milestones!$AA$73)&gt;=$S62),$V62,IF(AND($R62&lt;&gt;"",EDATE($D62,Milestones!$AA$73)&gt;=$R62),$U62,$T62)))=Milestones!$AB$73),TEXT(EDATE($D62,Milestones!$AA$73),"dd/mm/yy")&amp;" "&amp;Milestones!$AB$73&amp;" "&amp;Milestones!$AC$73&amp;";  ","")&amp;IF(AND(EDATE($D62,Milestones!$AA$74)&lt;=AsOfDate,IF($Q62=0,$W62,IF(AND($S62&lt;&gt;"",EDATE($D62,Milestones!$AA$74)&gt;=$S62),$V62,IF(AND($R62&lt;&gt;"",EDATE($D62,Milestones!$AA$74)&gt;=$R62),$U62,$T62)))=Milestones!$AB$74),TEXT(EDATE($D62,Milestones!$AA$74),"dd/mm/yy")&amp;" "&amp;Milestones!$AB$74&amp;" "&amp;Milestones!$AC$74&amp;";  ","")&amp;IF(AND(EDATE($D62,Milestones!$AA$75)&lt;=AsOfDate,IF($Q62=0,$W62,IF(AND($S62&lt;&gt;"",EDATE($D62,Milestones!$AA$75)&gt;=$S62),$V62,IF(AND($R62&lt;&gt;"",EDATE($D62,Milestones!$AA$75)&gt;=$R62),$U62,$T62)))=Milestones!$AB$75),TEXT(EDATE($D62,Milestones!$AA$75),"dd/mm/yy")&amp;" "&amp;Milestones!$AB$75&amp;" "&amp;Milestones!$AC$75&amp;";  ","")&amp;IF(AND(EDATE($D62,Milestones!$AA$76)&lt;=AsOfDate,IF($Q62=0,$W62,IF(AND($S62&lt;&gt;"",EDATE($D62,Milestones!$AA$76)&gt;=$S62),$V62,IF(AND($R62&lt;&gt;"",EDATE($D62,Milestones!$AA$76)&gt;=$R62),$U62,$T62)))=Milestones!$AB$76),TEXT(EDATE($D62,Milestones!$AA$76),"dd/mm/yy")&amp;" "&amp;Milestones!$AB$76&amp;" "&amp;Milestones!$AC$76&amp;";  ","")&amp;IF(AND(EDATE($D62,Milestones!$AA$77)&lt;=AsOfDate,IF($Q62=0,$W62,IF(AND($S62&lt;&gt;"",EDATE($D62,Milestones!$AA$77)&gt;=$S62),$V62,IF(AND($R62&lt;&gt;"",EDATE($D62,Milestones!$AA$77)&gt;=$R62),$U62,$T62)))=Milestones!$AB$77),TEXT(EDATE($D62,Milestones!$AA$77),"dd/mm/yy")&amp;" "&amp;Milestones!$AB$77&amp;" "&amp;Milestones!$AC$77&amp;";  ","")&amp;IF(AND(EDATE($D62,Milestones!$AA$78)&lt;=AsOfDate,IF($Q62=0,$W62,IF(AND($S62&lt;&gt;"",EDATE($D62,Milestones!$AA$78)&gt;=$S62),$V62,IF(AND($R62&lt;&gt;"",EDATE($D62,Milestones!$AA$78)&gt;=$R62),$U62,$T62)))=Milestones!$AB$78),TEXT(EDATE($D62,Milestones!$AA$78),"dd/mm/yy")&amp;" "&amp;Milestones!$AB$78&amp;" "&amp;Milestones!$AC$78&amp;";  ","")&amp;IF(AND(EDATE($D62,Milestones!$AA$79)&lt;=AsOfDate,IF($Q62=0,$W62,IF(AND($S62&lt;&gt;"",EDATE($D62,Milestones!$AA$79)&gt;=$S62),$V62,IF(AND($R62&lt;&gt;"",EDATE($D62,Milestones!$AA$79)&gt;=$R62),$U62,$T62)))=Milestones!$AB$79),TEXT(EDATE($D62,Milestones!$AA$79),"dd/mm/yy")&amp;" "&amp;Milestones!$AB$79&amp;" "&amp;Milestones!$AC$79&amp;";  ",""))</f>
        <v/>
      </c>
      <c r="K62" s="0" t="str">
        <f aca="false">IF(OR($A62="",$D62=""),"",IF(AND(EDATE($D62,Milestones!$AA$80)&lt;=AsOfDate,IF($Q62=0,$W62,IF(AND($S62&lt;&gt;"",EDATE($D62,Milestones!$AA$80)&gt;=$S62),$V62,IF(AND($R62&lt;&gt;"",EDATE($D62,Milestones!$AA$80)&gt;=$R62),$U62,$T62)))=Milestones!$AB$80),TEXT(EDATE($D62,Milestones!$AA$80),"dd/mm/yy")&amp;" "&amp;Milestones!$AB$80&amp;" "&amp;Milestones!$AC$80&amp;";  ","")&amp;IF(AND(EDATE($D62,Milestones!$AA$81)&lt;=AsOfDate,IF($Q62=0,$W62,IF(AND($S62&lt;&gt;"",EDATE($D62,Milestones!$AA$81)&gt;=$S62),$V62,IF(AND($R62&lt;&gt;"",EDATE($D62,Milestones!$AA$81)&gt;=$R62),$U62,$T62)))=Milestones!$AB$81),TEXT(EDATE($D62,Milestones!$AA$81),"dd/mm/yy")&amp;" "&amp;Milestones!$AB$81&amp;" "&amp;Milestones!$AC$81&amp;";  ","")&amp;IF(AND(EDATE($D62,Milestones!$AA$82)&lt;=AsOfDate,IF($Q62=0,$W62,IF(AND($S62&lt;&gt;"",EDATE($D62,Milestones!$AA$82)&gt;=$S62),$V62,IF(AND($R62&lt;&gt;"",EDATE($D62,Milestones!$AA$82)&gt;=$R62),$U62,$T62)))=Milestones!$AB$82),TEXT(EDATE($D62,Milestones!$AA$82),"dd/mm/yy")&amp;" "&amp;Milestones!$AB$82&amp;" "&amp;Milestones!$AC$82&amp;";  ","")&amp;IF(AND(EDATE($D62,Milestones!$AA$83)&lt;=AsOfDate,IF($Q62=0,$W62,IF(AND($S62&lt;&gt;"",EDATE($D62,Milestones!$AA$83)&gt;=$S62),$V62,IF(AND($R62&lt;&gt;"",EDATE($D62,Milestones!$AA$83)&gt;=$R62),$U62,$T62)))=Milestones!$AB$83),TEXT(EDATE($D62,Milestones!$AA$83),"dd/mm/yy")&amp;" "&amp;Milestones!$AB$83&amp;" "&amp;Milestones!$AC$83&amp;";  ","")&amp;IF(AND(EDATE($D62,Milestones!$AA$84)&lt;=AsOfDate,IF($Q62=0,$W62,IF(AND($S62&lt;&gt;"",EDATE($D62,Milestones!$AA$84)&gt;=$S62),$V62,IF(AND($R62&lt;&gt;"",EDATE($D62,Milestones!$AA$84)&gt;=$R62),$U62,$T62)))=Milestones!$AB$84),TEXT(EDATE($D62,Milestones!$AA$84),"dd/mm/yy")&amp;" "&amp;Milestones!$AB$84&amp;" "&amp;Milestones!$AC$84&amp;";  ","")&amp;IF(AND(EDATE($D62,Milestones!$AA$85)&lt;=AsOfDate,IF($Q62=0,$W62,IF(AND($S62&lt;&gt;"",EDATE($D62,Milestones!$AA$85)&gt;=$S62),$V62,IF(AND($R62&lt;&gt;"",EDATE($D62,Milestones!$AA$85)&gt;=$R62),$U62,$T62)))=Milestones!$AB$85),TEXT(EDATE($D62,Milestones!$AA$85),"dd/mm/yy")&amp;" "&amp;Milestones!$AB$85&amp;" "&amp;Milestones!$AC$85&amp;";  ","")&amp;IF(AND(EDATE($D62,Milestones!$AA$86)&lt;=AsOfDate,IF($Q62=0,$W62,IF(AND($S62&lt;&gt;"",EDATE($D62,Milestones!$AA$86)&gt;=$S62),$V62,IF(AND($R62&lt;&gt;"",EDATE($D62,Milestones!$AA$86)&gt;=$R62),$U62,$T62)))=Milestones!$AB$86),TEXT(EDATE($D62,Milestones!$AA$86),"dd/mm/yy")&amp;" "&amp;Milestones!$AB$86&amp;" "&amp;Milestones!$AC$86&amp;";  ","")&amp;IF(AND(EDATE($D62,Milestones!$AA$87)&lt;=AsOfDate,IF($Q62=0,$W62,IF(AND($S62&lt;&gt;"",EDATE($D62,Milestones!$AA$87)&gt;=$S62),$V62,IF(AND($R62&lt;&gt;"",EDATE($D62,Milestones!$AA$87)&gt;=$R62),$U62,$T62)))=Milestones!$AB$87),TEXT(EDATE($D62,Milestones!$AA$87),"dd/mm/yy")&amp;" "&amp;Milestones!$AB$87&amp;" "&amp;Milestones!$AC$87&amp;";  ","")&amp;IF(AND(EDATE($D62,Milestones!$AA$88)&lt;=AsOfDate,IF($Q62=0,$W62,IF(AND($S62&lt;&gt;"",EDATE($D62,Milestones!$AA$88)&gt;=$S62),$V62,IF(AND($R62&lt;&gt;"",EDATE($D62,Milestones!$AA$88)&gt;=$R62),$U62,$T62)))=Milestones!$AB$88),TEXT(EDATE($D62,Milestones!$AA$88),"dd/mm/yy")&amp;" "&amp;Milestones!$AB$88&amp;" "&amp;Milestones!$AC$88&amp;";  ","")&amp;IF(AND(EDATE($D62,Milestones!$AA$89)&lt;=AsOfDate,IF($Q62=0,$W62,IF(AND($S62&lt;&gt;"",EDATE($D62,Milestones!$AA$89)&gt;=$S62),$V62,IF(AND($R62&lt;&gt;"",EDATE($D62,Milestones!$AA$89)&gt;=$R62),$U62,$T62)))=Milestones!$AB$89),TEXT(EDATE($D62,Milestones!$AA$89),"dd/mm/yy")&amp;" "&amp;Milestones!$AB$89&amp;" "&amp;Milestones!$AC$89&amp;";  ","")&amp;IF(AND(EDATE($D62,Milestones!$AA$90)&lt;=AsOfDate,IF($Q62=0,$W62,IF(AND($S62&lt;&gt;"",EDATE($D62,Milestones!$AA$90)&gt;=$S62),$V62,IF(AND($R62&lt;&gt;"",EDATE($D62,Milestones!$AA$90)&gt;=$R62),$U62,$T62)))=Milestones!$AB$90),TEXT(EDATE($D62,Milestones!$AA$90),"dd/mm/yy")&amp;" "&amp;Milestones!$AB$90&amp;" "&amp;Milestones!$AC$90&amp;";  ","")&amp;IF(AND(EDATE($D62,Milestones!$AA$91)&lt;=AsOfDate,IF($Q62=0,$W62,IF(AND($S62&lt;&gt;"",EDATE($D62,Milestones!$AA$91)&gt;=$S62),$V62,IF(AND($R62&lt;&gt;"",EDATE($D62,Milestones!$AA$91)&gt;=$R62),$U62,$T62)))=Milestones!$AB$91),TEXT(EDATE($D62,Milestones!$AA$91),"dd/mm/yy")&amp;" "&amp;Milestones!$AB$91&amp;" "&amp;Milestones!$AC$91&amp;";  ","")&amp;IF(AND(EDATE($D62,Milestones!$AA$92)&lt;=AsOfDate,IF($Q62=0,$W62,IF(AND($S62&lt;&gt;"",EDATE($D62,Milestones!$AA$92)&gt;=$S62),$V62,IF(AND($R62&lt;&gt;"",EDATE($D62,Milestones!$AA$92)&gt;=$R62),$U62,$T62)))=Milestones!$AB$92),TEXT(EDATE($D62,Milestones!$AA$92),"dd/mm/yy")&amp;" "&amp;Milestones!$AB$92&amp;" "&amp;Milestones!$AC$92&amp;";  ","")&amp;IF(AND(EDATE($D62,Milestones!$AA$93)&lt;=AsOfDate,IF($Q62=0,$W62,IF(AND($S62&lt;&gt;"",EDATE($D62,Milestones!$AA$93)&gt;=$S62),$V62,IF(AND($R62&lt;&gt;"",EDATE($D62,Milestones!$AA$93)&gt;=$R62),$U62,$T62)))=Milestones!$AB$93),TEXT(EDATE($D62,Milestones!$AA$93),"dd/mm/yy")&amp;" "&amp;Milestones!$AB$93&amp;" "&amp;Milestones!$AC$93&amp;";  ","")&amp;IF(AND(EDATE($D62,Milestones!$AA$94)&lt;=AsOfDate,IF($Q62=0,$W62,IF(AND($S62&lt;&gt;"",EDATE($D62,Milestones!$AA$94)&gt;=$S62),$V62,IF(AND($R62&lt;&gt;"",EDATE($D62,Milestones!$AA$94)&gt;=$R62),$U62,$T62)))=Milestones!$AB$94),TEXT(EDATE($D62,Milestones!$AA$94),"dd/mm/yy")&amp;" "&amp;Milestones!$AB$94&amp;" "&amp;Milestones!$AC$94&amp;";  ","")&amp;IF(AND(EDATE($D62,Milestones!$AA$95)&lt;=AsOfDate,IF($Q62=0,$W62,IF(AND($S62&lt;&gt;"",EDATE($D62,Milestones!$AA$95)&gt;=$S62),$V62,IF(AND($R62&lt;&gt;"",EDATE($D62,Milestones!$AA$95)&gt;=$R62),$U62,$T62)))=Milestones!$AB$95),TEXT(EDATE($D62,Milestones!$AA$95),"dd/mm/yy")&amp;" "&amp;Milestones!$AB$95&amp;" "&amp;Milestones!$AC$95&amp;";  ","")&amp;IF(AND(EDATE($D62,Milestones!$AA$96)&lt;=AsOfDate,IF($Q62=0,$W62,IF(AND($S62&lt;&gt;"",EDATE($D62,Milestones!$AA$96)&gt;=$S62),$V62,IF(AND($R62&lt;&gt;"",EDATE($D62,Milestones!$AA$96)&gt;=$R62),$U62,$T62)))=Milestones!$AB$96),TEXT(EDATE($D62,Milestones!$AA$96),"dd/mm/yy")&amp;" "&amp;Milestones!$AB$96&amp;" "&amp;Milestones!$AC$96&amp;";  ","")&amp;IF(AND(EDATE($D62,Milestones!$AA$97)&lt;=AsOfDate,IF($Q62=0,$W62,IF(AND($S62&lt;&gt;"",EDATE($D62,Milestones!$AA$97)&gt;=$S62),$V62,IF(AND($R62&lt;&gt;"",EDATE($D62,Milestones!$AA$97)&gt;=$R62),$U62,$T62)))=Milestones!$AB$97),TEXT(EDATE($D62,Milestones!$AA$97),"dd/mm/yy")&amp;" "&amp;Milestones!$AB$97&amp;" "&amp;Milestones!$AC$97&amp;";  ","")&amp;IF(AND(EDATE($D62,Milestones!$AA$98)&lt;=AsOfDate,IF($Q62=0,$W62,IF(AND($S62&lt;&gt;"",EDATE($D62,Milestones!$AA$98)&gt;=$S62),$V62,IF(AND($R62&lt;&gt;"",EDATE($D62,Milestones!$AA$98)&gt;=$R62),$U62,$T62)))=Milestones!$AB$98),TEXT(EDATE($D62,Milestones!$AA$98),"dd/mm/yy")&amp;" "&amp;Milestones!$AB$98&amp;" "&amp;Milestones!$AC$98&amp;";  ","")&amp;IF(AND(EDATE($D62,Milestones!$AA$99)&lt;=AsOfDate,IF($Q62=0,$W62,IF(AND($S62&lt;&gt;"",EDATE($D62,Milestones!$AA$99)&gt;=$S62),$V62,IF(AND($R62&lt;&gt;"",EDATE($D62,Milestones!$AA$99)&gt;=$R62),$U62,$T62)))=Milestones!$AB$99),TEXT(EDATE($D62,Milestones!$AA$99),"dd/mm/yy")&amp;" "&amp;Milestones!$AB$99&amp;" "&amp;Milestones!$AC$99&amp;";  ",""))</f>
        <v/>
      </c>
      <c r="L62" s="0" t="str">
        <f aca="false">IF(OR($A62="",$D62=""),"",IF(AND(EDATE($D62,Milestones!$AA$100)&lt;=AsOfDate,IF($Q62=0,$W62,IF(AND($S62&lt;&gt;"",EDATE($D62,Milestones!$AA$100)&gt;=$S62),$V62,IF(AND($R62&lt;&gt;"",EDATE($D62,Milestones!$AA$100)&gt;=$R62),$U62,$T62)))=Milestones!$AB$100),TEXT(EDATE($D62,Milestones!$AA$100),"dd/mm/yy")&amp;" "&amp;Milestones!$AB$100&amp;" "&amp;Milestones!$AC$100&amp;";  ","")&amp;IF(AND(EDATE($D62,Milestones!$AA$101)&lt;=AsOfDate,IF($Q62=0,$W62,IF(AND($S62&lt;&gt;"",EDATE($D62,Milestones!$AA$101)&gt;=$S62),$V62,IF(AND($R62&lt;&gt;"",EDATE($D62,Milestones!$AA$101)&gt;=$R62),$U62,$T62)))=Milestones!$AB$101),TEXT(EDATE($D62,Milestones!$AA$101),"dd/mm/yy")&amp;" "&amp;Milestones!$AB$101&amp;" "&amp;Milestones!$AC$101&amp;";  ","")&amp;IF(AND(EDATE($D62,Milestones!$AA$102)&lt;=AsOfDate,IF($Q62=0,$W62,IF(AND($S62&lt;&gt;"",EDATE($D62,Milestones!$AA$102)&gt;=$S62),$V62,IF(AND($R62&lt;&gt;"",EDATE($D62,Milestones!$AA$102)&gt;=$R62),$U62,$T62)))=Milestones!$AB$102),TEXT(EDATE($D62,Milestones!$AA$102),"dd/mm/yy")&amp;" "&amp;Milestones!$AB$102&amp;" "&amp;Milestones!$AC$102&amp;";  ","")&amp;IF(AND(EDATE($D62,Milestones!$AA$103)&lt;=AsOfDate,IF($Q62=0,$W62,IF(AND($S62&lt;&gt;"",EDATE($D62,Milestones!$AA$103)&gt;=$S62),$V62,IF(AND($R62&lt;&gt;"",EDATE($D62,Milestones!$AA$103)&gt;=$R62),$U62,$T62)))=Milestones!$AB$103),TEXT(EDATE($D62,Milestones!$AA$103),"dd/mm/yy")&amp;" "&amp;Milestones!$AB$103&amp;" "&amp;Milestones!$AC$103&amp;";  ","")&amp;IF(AND(EDATE($D62,Milestones!$AA$104)&lt;=AsOfDate,IF($Q62=0,$W62,IF(AND($S62&lt;&gt;"",EDATE($D62,Milestones!$AA$104)&gt;=$S62),$V62,IF(AND($R62&lt;&gt;"",EDATE($D62,Milestones!$AA$104)&gt;=$R62),$U62,$T62)))=Milestones!$AB$104),TEXT(EDATE($D62,Milestones!$AA$104),"dd/mm/yy")&amp;" "&amp;Milestones!$AB$104&amp;" "&amp;Milestones!$AC$104&amp;";  ","")&amp;IF(AND(EDATE($D62,Milestones!$AA$105)&lt;=AsOfDate,IF($Q62=0,$W62,IF(AND($S62&lt;&gt;"",EDATE($D62,Milestones!$AA$105)&gt;=$S62),$V62,IF(AND($R62&lt;&gt;"",EDATE($D62,Milestones!$AA$105)&gt;=$R62),$U62,$T62)))=Milestones!$AB$105),TEXT(EDATE($D62,Milestones!$AA$105),"dd/mm/yy")&amp;" "&amp;Milestones!$AB$105&amp;" "&amp;Milestones!$AC$105&amp;";  ","")&amp;IF(AND(EDATE($D62,Milestones!$AA$106)&lt;=AsOfDate,IF($Q62=0,$W62,IF(AND($S62&lt;&gt;"",EDATE($D62,Milestones!$AA$106)&gt;=$S62),$V62,IF(AND($R62&lt;&gt;"",EDATE($D62,Milestones!$AA$106)&gt;=$R62),$U62,$T62)))=Milestones!$AB$106),TEXT(EDATE($D62,Milestones!$AA$106),"dd/mm/yy")&amp;" "&amp;Milestones!$AB$106&amp;" "&amp;Milestones!$AC$106&amp;";  ","")&amp;IF(AND(EDATE($D62,Milestones!$AA$107)&lt;=AsOfDate,IF($Q62=0,$W62,IF(AND($S62&lt;&gt;"",EDATE($D62,Milestones!$AA$107)&gt;=$S62),$V62,IF(AND($R62&lt;&gt;"",EDATE($D62,Milestones!$AA$107)&gt;=$R62),$U62,$T62)))=Milestones!$AB$107),TEXT(EDATE($D62,Milestones!$AA$107),"dd/mm/yy")&amp;" "&amp;Milestones!$AB$107&amp;" "&amp;Milestones!$AC$107&amp;";  ","")&amp;IF(AND(EDATE($D62,Milestones!$AA$108)&lt;=AsOfDate,IF($Q62=0,$W62,IF(AND($S62&lt;&gt;"",EDATE($D62,Milestones!$AA$108)&gt;=$S62),$V62,IF(AND($R62&lt;&gt;"",EDATE($D62,Milestones!$AA$108)&gt;=$R62),$U62,$T62)))=Milestones!$AB$108),TEXT(EDATE($D62,Milestones!$AA$108),"dd/mm/yy")&amp;" "&amp;Milestones!$AB$108&amp;" "&amp;Milestones!$AC$108&amp;";  ","")&amp;IF(AND(EDATE($D62,Milestones!$AA$109)&lt;=AsOfDate,IF($Q62=0,$W62,IF(AND($S62&lt;&gt;"",EDATE($D62,Milestones!$AA$109)&gt;=$S62),$V62,IF(AND($R62&lt;&gt;"",EDATE($D62,Milestones!$AA$109)&gt;=$R62),$U62,$T62)))=Milestones!$AB$109),TEXT(EDATE($D62,Milestones!$AA$109),"dd/mm/yy")&amp;" "&amp;Milestones!$AB$109&amp;" "&amp;Milestones!$AC$109&amp;";  ","")&amp;IF(AND(EDATE($D62,Milestones!$AA$110)&lt;=AsOfDate,IF($Q62=0,$W62,IF(AND($S62&lt;&gt;"",EDATE($D62,Milestones!$AA$110)&gt;=$S62),$V62,IF(AND($R62&lt;&gt;"",EDATE($D62,Milestones!$AA$110)&gt;=$R62),$U62,$T62)))=Milestones!$AB$110),TEXT(EDATE($D62,Milestones!$AA$110),"dd/mm/yy")&amp;" "&amp;Milestones!$AB$110&amp;" "&amp;Milestones!$AC$110&amp;";  ","")&amp;IF(AND(EDATE($D62,Milestones!$AA$111)&lt;=AsOfDate,IF($Q62=0,$W62,IF(AND($S62&lt;&gt;"",EDATE($D62,Milestones!$AA$111)&gt;=$S62),$V62,IF(AND($R62&lt;&gt;"",EDATE($D62,Milestones!$AA$111)&gt;=$R62),$U62,$T62)))=Milestones!$AB$111),TEXT(EDATE($D62,Milestones!$AA$111),"dd/mm/yy")&amp;" "&amp;Milestones!$AB$111&amp;" "&amp;Milestones!$AC$111&amp;";  ","")&amp;IF(AND(EDATE($D62,Milestones!$AA$112)&lt;=AsOfDate,IF($Q62=0,$W62,IF(AND($S62&lt;&gt;"",EDATE($D62,Milestones!$AA$112)&gt;=$S62),$V62,IF(AND($R62&lt;&gt;"",EDATE($D62,Milestones!$AA$112)&gt;=$R62),$U62,$T62)))=Milestones!$AB$112),TEXT(EDATE($D62,Milestones!$AA$112),"dd/mm/yy")&amp;" "&amp;Milestones!$AB$112&amp;" "&amp;Milestones!$AC$112&amp;";  ","")&amp;IF(AND(EDATE($D62,Milestones!$AA$113)&lt;=AsOfDate,IF($Q62=0,$W62,IF(AND($S62&lt;&gt;"",EDATE($D62,Milestones!$AA$113)&gt;=$S62),$V62,IF(AND($R62&lt;&gt;"",EDATE($D62,Milestones!$AA$113)&gt;=$R62),$U62,$T62)))=Milestones!$AB$113),TEXT(EDATE($D62,Milestones!$AA$113),"dd/mm/yy")&amp;" "&amp;Milestones!$AB$113&amp;" "&amp;Milestones!$AC$113&amp;";  ","")&amp;IF(AND(EDATE($D62,Milestones!$AA$114)&lt;=AsOfDate,IF($Q62=0,$W62,IF(AND($S62&lt;&gt;"",EDATE($D62,Milestones!$AA$114)&gt;=$S62),$V62,IF(AND($R62&lt;&gt;"",EDATE($D62,Milestones!$AA$114)&gt;=$R62),$U62,$T62)))=Milestones!$AB$114),TEXT(EDATE($D62,Milestones!$AA$114),"dd/mm/yy")&amp;" "&amp;Milestones!$AB$114&amp;" "&amp;Milestones!$AC$114&amp;";  ","")&amp;IF(AND(EDATE($D62,Milestones!$AA$115)&lt;=AsOfDate,IF($Q62=0,$W62,IF(AND($S62&lt;&gt;"",EDATE($D62,Milestones!$AA$115)&gt;=$S62),$V62,IF(AND($R62&lt;&gt;"",EDATE($D62,Milestones!$AA$115)&gt;=$R62),$U62,$T62)))=Milestones!$AB$115),TEXT(EDATE($D62,Milestones!$AA$115),"dd/mm/yy")&amp;" "&amp;Milestones!$AB$115&amp;" "&amp;Milestones!$AC$115&amp;";  ","")&amp;IF(AND(EDATE($D62,Milestones!$AA$116)&lt;=AsOfDate,IF($Q62=0,$W62,IF(AND($S62&lt;&gt;"",EDATE($D62,Milestones!$AA$116)&gt;=$S62),$V62,IF(AND($R62&lt;&gt;"",EDATE($D62,Milestones!$AA$116)&gt;=$R62),$U62,$T62)))=Milestones!$AB$116),TEXT(EDATE($D62,Milestones!$AA$116),"dd/mm/yy")&amp;" "&amp;Milestones!$AB$116&amp;" "&amp;Milestones!$AC$116&amp;";  ","")&amp;IF(AND(EDATE($D62,Milestones!$AA$117)&lt;=AsOfDate,IF($Q62=0,$W62,IF(AND($S62&lt;&gt;"",EDATE($D62,Milestones!$AA$117)&gt;=$S62),$V62,IF(AND($R62&lt;&gt;"",EDATE($D62,Milestones!$AA$117)&gt;=$R62),$U62,$T62)))=Milestones!$AB$117),TEXT(EDATE($D62,Milestones!$AA$117),"dd/mm/yy")&amp;" "&amp;Milestones!$AB$117&amp;" "&amp;Milestones!$AC$117&amp;";  ","")&amp;IF(AND(EDATE($D62,Milestones!$AA$118)&lt;=AsOfDate,IF($Q62=0,$W62,IF(AND($S62&lt;&gt;"",EDATE($D62,Milestones!$AA$118)&gt;=$S62),$V62,IF(AND($R62&lt;&gt;"",EDATE($D62,Milestones!$AA$118)&gt;=$R62),$U62,$T62)))=Milestones!$AB$118),TEXT(EDATE($D62,Milestones!$AA$118),"dd/mm/yy")&amp;" "&amp;Milestones!$AB$118&amp;" "&amp;Milestones!$AC$118&amp;";  ","")&amp;IF(AND(EDATE($D62,Milestones!$AA$119)&lt;=AsOfDate,IF($Q62=0,$W62,IF(AND($S62&lt;&gt;"",EDATE($D62,Milestones!$AA$119)&gt;=$S62),$V62,IF(AND($R62&lt;&gt;"",EDATE($D62,Milestones!$AA$119)&gt;=$R62),$U62,$T62)))=Milestones!$AB$119),TEXT(EDATE($D62,Milestones!$AA$119),"dd/mm/yy")&amp;" "&amp;Milestones!$AB$119&amp;" "&amp;Milestones!$AC$119&amp;";  ",""))</f>
        <v/>
      </c>
      <c r="M62" s="0" t="str">
        <f aca="false">IF(OR($A62="",$D62=""),"",IF(AND(EDATE($D62,Milestones!$AA$120)&lt;=AsOfDate,IF($Q62=0,$W62,IF(AND($S62&lt;&gt;"",EDATE($D62,Milestones!$AA$120)&gt;=$S62),$V62,IF(AND($R62&lt;&gt;"",EDATE($D62,Milestones!$AA$120)&gt;=$R62),$U62,$T62)))=Milestones!$AB$120),TEXT(EDATE($D62,Milestones!$AA$120),"dd/mm/yy")&amp;" "&amp;Milestones!$AB$120&amp;" "&amp;Milestones!$AC$120&amp;";  ","")&amp;IF(AND(EDATE($D62,Milestones!$AA$121)&lt;=AsOfDate,IF($Q62=0,$W62,IF(AND($S62&lt;&gt;"",EDATE($D62,Milestones!$AA$121)&gt;=$S62),$V62,IF(AND($R62&lt;&gt;"",EDATE($D62,Milestones!$AA$121)&gt;=$R62),$U62,$T62)))=Milestones!$AB$121),TEXT(EDATE($D62,Milestones!$AA$121),"dd/mm/yy")&amp;" "&amp;Milestones!$AB$121&amp;" "&amp;Milestones!$AC$121&amp;";  ","")&amp;IF(AND(EDATE($D62,Milestones!$AA$122)&lt;=AsOfDate,IF($Q62=0,$W62,IF(AND($S62&lt;&gt;"",EDATE($D62,Milestones!$AA$122)&gt;=$S62),$V62,IF(AND($R62&lt;&gt;"",EDATE($D62,Milestones!$AA$122)&gt;=$R62),$U62,$T62)))=Milestones!$AB$122),TEXT(EDATE($D62,Milestones!$AA$122),"dd/mm/yy")&amp;" "&amp;Milestones!$AB$122&amp;" "&amp;Milestones!$AC$122&amp;";  ","")&amp;IF(AND(EDATE($D62,Milestones!$AA$123)&lt;=AsOfDate,IF($Q62=0,$W62,IF(AND($S62&lt;&gt;"",EDATE($D62,Milestones!$AA$123)&gt;=$S62),$V62,IF(AND($R62&lt;&gt;"",EDATE($D62,Milestones!$AA$123)&gt;=$R62),$U62,$T62)))=Milestones!$AB$123),TEXT(EDATE($D62,Milestones!$AA$123),"dd/mm/yy")&amp;" "&amp;Milestones!$AB$123&amp;" "&amp;Milestones!$AC$123&amp;";  ","")&amp;IF(AND(EDATE($D62,Milestones!$AA$124)&lt;=AsOfDate,IF($Q62=0,$W62,IF(AND($S62&lt;&gt;"",EDATE($D62,Milestones!$AA$124)&gt;=$S62),$V62,IF(AND($R62&lt;&gt;"",EDATE($D62,Milestones!$AA$124)&gt;=$R62),$U62,$T62)))=Milestones!$AB$124),TEXT(EDATE($D62,Milestones!$AA$124),"dd/mm/yy")&amp;" "&amp;Milestones!$AB$124&amp;" "&amp;Milestones!$AC$124&amp;";  ","")&amp;IF(AND(EDATE($D62,Milestones!$AA$125)&lt;=AsOfDate,IF($Q62=0,$W62,IF(AND($S62&lt;&gt;"",EDATE($D62,Milestones!$AA$125)&gt;=$S62),$V62,IF(AND($R62&lt;&gt;"",EDATE($D62,Milestones!$AA$125)&gt;=$R62),$U62,$T62)))=Milestones!$AB$125),TEXT(EDATE($D62,Milestones!$AA$125),"dd/mm/yy")&amp;" "&amp;Milestones!$AB$125&amp;" "&amp;Milestones!$AC$125&amp;";  ","")&amp;IF(AND(EDATE($D62,Milestones!$AA$126)&lt;=AsOfDate,IF($Q62=0,$W62,IF(AND($S62&lt;&gt;"",EDATE($D62,Milestones!$AA$126)&gt;=$S62),$V62,IF(AND($R62&lt;&gt;"",EDATE($D62,Milestones!$AA$126)&gt;=$R62),$U62,$T62)))=Milestones!$AB$126),TEXT(EDATE($D62,Milestones!$AA$126),"dd/mm/yy")&amp;" "&amp;Milestones!$AB$126&amp;" "&amp;Milestones!$AC$126&amp;";  ","")&amp;IF(AND(EDATE($D62,Milestones!$AA$127)&lt;=AsOfDate,IF($Q62=0,$W62,IF(AND($S62&lt;&gt;"",EDATE($D62,Milestones!$AA$127)&gt;=$S62),$V62,IF(AND($R62&lt;&gt;"",EDATE($D62,Milestones!$AA$127)&gt;=$R62),$U62,$T62)))=Milestones!$AB$127),TEXT(EDATE($D62,Milestones!$AA$127),"dd/mm/yy")&amp;" "&amp;Milestones!$AB$127&amp;" "&amp;Milestones!$AC$127&amp;";  ","")&amp;IF(AND(EDATE($D62,Milestones!$AA$128)&lt;=AsOfDate,IF($Q62=0,$W62,IF(AND($S62&lt;&gt;"",EDATE($D62,Milestones!$AA$128)&gt;=$S62),$V62,IF(AND($R62&lt;&gt;"",EDATE($D62,Milestones!$AA$128)&gt;=$R62),$U62,$T62)))=Milestones!$AB$128),TEXT(EDATE($D62,Milestones!$AA$128),"dd/mm/yy")&amp;" "&amp;Milestones!$AB$128&amp;" "&amp;Milestones!$AC$128&amp;";  ","")&amp;IF(AND(EDATE($D62,Milestones!$AA$129)&lt;=AsOfDate,IF($Q62=0,$W62,IF(AND($S62&lt;&gt;"",EDATE($D62,Milestones!$AA$129)&gt;=$S62),$V62,IF(AND($R62&lt;&gt;"",EDATE($D62,Milestones!$AA$129)&gt;=$R62),$U62,$T62)))=Milestones!$AB$129),TEXT(EDATE($D62,Milestones!$AA$129),"dd/mm/yy")&amp;" "&amp;Milestones!$AB$129&amp;" "&amp;Milestones!$AC$129&amp;";  ","")&amp;IF(AND(EDATE($D62,Milestones!$AA$130)&lt;=AsOfDate,IF($Q62=0,$W62,IF(AND($S62&lt;&gt;"",EDATE($D62,Milestones!$AA$130)&gt;=$S62),$V62,IF(AND($R62&lt;&gt;"",EDATE($D62,Milestones!$AA$130)&gt;=$R62),$U62,$T62)))=Milestones!$AB$130),TEXT(EDATE($D62,Milestones!$AA$130),"dd/mm/yy")&amp;" "&amp;Milestones!$AB$130&amp;" "&amp;Milestones!$AC$130&amp;";  ","")&amp;IF(AND(EDATE($D62,Milestones!$AA$131)&lt;=AsOfDate,IF($Q62=0,$W62,IF(AND($S62&lt;&gt;"",EDATE($D62,Milestones!$AA$131)&gt;=$S62),$V62,IF(AND($R62&lt;&gt;"",EDATE($D62,Milestones!$AA$131)&gt;=$R62),$U62,$T62)))=Milestones!$AB$131),TEXT(EDATE($D62,Milestones!$AA$131),"dd/mm/yy")&amp;" "&amp;Milestones!$AB$131&amp;" "&amp;Milestones!$AC$131&amp;";  ","")&amp;IF(AND(EDATE($D62,Milestones!$AA$132)&lt;=AsOfDate,IF($Q62=0,$W62,IF(AND($S62&lt;&gt;"",EDATE($D62,Milestones!$AA$132)&gt;=$S62),$V62,IF(AND($R62&lt;&gt;"",EDATE($D62,Milestones!$AA$132)&gt;=$R62),$U62,$T62)))=Milestones!$AB$132),TEXT(EDATE($D62,Milestones!$AA$132),"dd/mm/yy")&amp;" "&amp;Milestones!$AB$132&amp;" "&amp;Milestones!$AC$132&amp;";  ","")&amp;IF(AND(EDATE($D62,Milestones!$AA$133)&lt;=AsOfDate,IF($Q62=0,$W62,IF(AND($S62&lt;&gt;"",EDATE($D62,Milestones!$AA$133)&gt;=$S62),$V62,IF(AND($R62&lt;&gt;"",EDATE($D62,Milestones!$AA$133)&gt;=$R62),$U62,$T62)))=Milestones!$AB$133),TEXT(EDATE($D62,Milestones!$AA$133),"dd/mm/yy")&amp;" "&amp;Milestones!$AB$133&amp;" "&amp;Milestones!$AC$133&amp;";  ","")&amp;IF(AND(EDATE($D62,Milestones!$AA$134)&lt;=AsOfDate,IF($Q62=0,$W62,IF(AND($S62&lt;&gt;"",EDATE($D62,Milestones!$AA$134)&gt;=$S62),$V62,IF(AND($R62&lt;&gt;"",EDATE($D62,Milestones!$AA$134)&gt;=$R62),$U62,$T62)))=Milestones!$AB$134),TEXT(EDATE($D62,Milestones!$AA$134),"dd/mm/yy")&amp;" "&amp;Milestones!$AB$134&amp;" "&amp;Milestones!$AC$134&amp;";  ","")&amp;IF(AND(EDATE($D62,Milestones!$AA$135)&lt;=AsOfDate,IF($Q62=0,$W62,IF(AND($S62&lt;&gt;"",EDATE($D62,Milestones!$AA$135)&gt;=$S62),$V62,IF(AND($R62&lt;&gt;"",EDATE($D62,Milestones!$AA$135)&gt;=$R62),$U62,$T62)))=Milestones!$AB$135),TEXT(EDATE($D62,Milestones!$AA$135),"dd/mm/yy")&amp;" "&amp;Milestones!$AB$135&amp;" "&amp;Milestones!$AC$135&amp;";  ","")&amp;IF(AND(EDATE($D62,Milestones!$AA$136)&lt;=AsOfDate,IF($Q62=0,$W62,IF(AND($S62&lt;&gt;"",EDATE($D62,Milestones!$AA$136)&gt;=$S62),$V62,IF(AND($R62&lt;&gt;"",EDATE($D62,Milestones!$AA$136)&gt;=$R62),$U62,$T62)))=Milestones!$AB$136),TEXT(EDATE($D62,Milestones!$AA$136),"dd/mm/yy")&amp;" "&amp;Milestones!$AB$136&amp;" "&amp;Milestones!$AC$136&amp;";  ","")&amp;IF(AND(EDATE($D62,Milestones!$AA$137)&lt;=AsOfDate,IF($Q62=0,$W62,IF(AND($S62&lt;&gt;"",EDATE($D62,Milestones!$AA$137)&gt;=$S62),$V62,IF(AND($R62&lt;&gt;"",EDATE($D62,Milestones!$AA$137)&gt;=$R62),$U62,$T62)))=Milestones!$AB$137),TEXT(EDATE($D62,Milestones!$AA$137),"dd/mm/yy")&amp;" "&amp;Milestones!$AB$137&amp;" "&amp;Milestones!$AC$137&amp;";  ","")&amp;IF(AND(EDATE($D62,Milestones!$AA$138)&lt;=AsOfDate,IF($Q62=0,$W62,IF(AND($S62&lt;&gt;"",EDATE($D62,Milestones!$AA$138)&gt;=$S62),$V62,IF(AND($R62&lt;&gt;"",EDATE($D62,Milestones!$AA$138)&gt;=$R62),$U62,$T62)))=Milestones!$AB$138),TEXT(EDATE($D62,Milestones!$AA$138),"dd/mm/yy")&amp;" "&amp;Milestones!$AB$138&amp;" "&amp;Milestones!$AC$138&amp;";  ","")&amp;IF(AND(EDATE($D62,Milestones!$AA$139)&lt;=AsOfDate,IF($Q62=0,$W62,IF(AND($S62&lt;&gt;"",EDATE($D62,Milestones!$AA$139)&gt;=$S62),$V62,IF(AND($R62&lt;&gt;"",EDATE($D62,Milestones!$AA$139)&gt;=$R62),$U62,$T62)))=Milestones!$AB$139),TEXT(EDATE($D62,Milestones!$AA$139),"dd/mm/yy")&amp;" "&amp;Milestones!$AB$139&amp;" "&amp;Milestones!$AC$139&amp;";  ",""))</f>
        <v/>
      </c>
      <c r="N62" s="0" t="str">
        <f aca="false">IF(OR($A62="",$D62=""),"",IF(AND(EDATE($D62,Milestones!$AA$140)&lt;=AsOfDate,IF($Q62=0,$W62,IF(AND($S62&lt;&gt;"",EDATE($D62,Milestones!$AA$140)&gt;=$S62),$V62,IF(AND($R62&lt;&gt;"",EDATE($D62,Milestones!$AA$140)&gt;=$R62),$U62,$T62)))=Milestones!$AB$140),TEXT(EDATE($D62,Milestones!$AA$140),"dd/mm/yy")&amp;" "&amp;Milestones!$AB$140&amp;" "&amp;Milestones!$AC$140&amp;";  ","")&amp;IF(AND(EDATE($D62,Milestones!$AA$141)&lt;=AsOfDate,IF($Q62=0,$W62,IF(AND($S62&lt;&gt;"",EDATE($D62,Milestones!$AA$141)&gt;=$S62),$V62,IF(AND($R62&lt;&gt;"",EDATE($D62,Milestones!$AA$141)&gt;=$R62),$U62,$T62)))=Milestones!$AB$141),TEXT(EDATE($D62,Milestones!$AA$141),"dd/mm/yy")&amp;" "&amp;Milestones!$AB$141&amp;" "&amp;Milestones!$AC$141&amp;";  ","")&amp;IF(AND(EDATE($D62,Milestones!$AA$142)&lt;=AsOfDate,IF($Q62=0,$W62,IF(AND($S62&lt;&gt;"",EDATE($D62,Milestones!$AA$142)&gt;=$S62),$V62,IF(AND($R62&lt;&gt;"",EDATE($D62,Milestones!$AA$142)&gt;=$R62),$U62,$T62)))=Milestones!$AB$142),TEXT(EDATE($D62,Milestones!$AA$142),"dd/mm/yy")&amp;" "&amp;Milestones!$AB$142&amp;" "&amp;Milestones!$AC$142&amp;";  ","")&amp;IF(AND(EDATE($D62,Milestones!$AA$143)&lt;=AsOfDate,IF($Q62=0,$W62,IF(AND($S62&lt;&gt;"",EDATE($D62,Milestones!$AA$143)&gt;=$S62),$V62,IF(AND($R62&lt;&gt;"",EDATE($D62,Milestones!$AA$143)&gt;=$R62),$U62,$T62)))=Milestones!$AB$143),TEXT(EDATE($D62,Milestones!$AA$143),"dd/mm/yy")&amp;" "&amp;Milestones!$AB$143&amp;" "&amp;Milestones!$AC$143&amp;";  ","")&amp;IF(AND(EDATE($D62,Milestones!$AA$144)&lt;=AsOfDate,IF($Q62=0,$W62,IF(AND($S62&lt;&gt;"",EDATE($D62,Milestones!$AA$144)&gt;=$S62),$V62,IF(AND($R62&lt;&gt;"",EDATE($D62,Milestones!$AA$144)&gt;=$R62),$U62,$T62)))=Milestones!$AB$144),TEXT(EDATE($D62,Milestones!$AA$144),"dd/mm/yy")&amp;" "&amp;Milestones!$AB$144&amp;" "&amp;Milestones!$AC$144&amp;";  ","")&amp;IF(AND(EDATE($D62,Milestones!$AA$145)&lt;=AsOfDate,IF($Q62=0,$W62,IF(AND($S62&lt;&gt;"",EDATE($D62,Milestones!$AA$145)&gt;=$S62),$V62,IF(AND($R62&lt;&gt;"",EDATE($D62,Milestones!$AA$145)&gt;=$R62),$U62,$T62)))=Milestones!$AB$145),TEXT(EDATE($D62,Milestones!$AA$145),"dd/mm/yy")&amp;" "&amp;Milestones!$AB$145&amp;" "&amp;Milestones!$AC$145&amp;";  ","")&amp;IF(AND(EDATE($D62,Milestones!$AA$146)&lt;=AsOfDate,IF($Q62=0,$W62,IF(AND($S62&lt;&gt;"",EDATE($D62,Milestones!$AA$146)&gt;=$S62),$V62,IF(AND($R62&lt;&gt;"",EDATE($D62,Milestones!$AA$146)&gt;=$R62),$U62,$T62)))=Milestones!$AB$146),TEXT(EDATE($D62,Milestones!$AA$146),"dd/mm/yy")&amp;" "&amp;Milestones!$AB$146&amp;" "&amp;Milestones!$AC$146&amp;";  ","")&amp;IF(AND(EDATE($D62,Milestones!$AA$147)&lt;=AsOfDate,IF($Q62=0,$W62,IF(AND($S62&lt;&gt;"",EDATE($D62,Milestones!$AA$147)&gt;=$S62),$V62,IF(AND($R62&lt;&gt;"",EDATE($D62,Milestones!$AA$147)&gt;=$R62),$U62,$T62)))=Milestones!$AB$147),TEXT(EDATE($D62,Milestones!$AA$147),"dd/mm/yy")&amp;" "&amp;Milestones!$AB$147&amp;" "&amp;Milestones!$AC$147&amp;";  ","")&amp;IF(AND(EDATE($D62,Milestones!$AA$148)&lt;=AsOfDate,IF($Q62=0,$W62,IF(AND($S62&lt;&gt;"",EDATE($D62,Milestones!$AA$148)&gt;=$S62),$V62,IF(AND($R62&lt;&gt;"",EDATE($D62,Milestones!$AA$148)&gt;=$R62),$U62,$T62)))=Milestones!$AB$148),TEXT(EDATE($D62,Milestones!$AA$148),"dd/mm/yy")&amp;" "&amp;Milestones!$AB$148&amp;" "&amp;Milestones!$AC$148&amp;";  ","")&amp;IF(AND(EDATE($D62,Milestones!$AA$149)&lt;=AsOfDate,IF($Q62=0,$W62,IF(AND($S62&lt;&gt;"",EDATE($D62,Milestones!$AA$149)&gt;=$S62),$V62,IF(AND($R62&lt;&gt;"",EDATE($D62,Milestones!$AA$149)&gt;=$R62),$U62,$T62)))=Milestones!$AB$149),TEXT(EDATE($D62,Milestones!$AA$149),"dd/mm/yy")&amp;" "&amp;Milestones!$AB$149&amp;" "&amp;Milestones!$AC$149&amp;";  ","")&amp;IF(AND(EDATE($D62,Milestones!$AA$150)&lt;=AsOfDate,IF($Q62=0,$W62,IF(AND($S62&lt;&gt;"",EDATE($D62,Milestones!$AA$150)&gt;=$S62),$V62,IF(AND($R62&lt;&gt;"",EDATE($D62,Milestones!$AA$150)&gt;=$R62),$U62,$T62)))=Milestones!$AB$150),TEXT(EDATE($D62,Milestones!$AA$150),"dd/mm/yy")&amp;" "&amp;Milestones!$AB$150&amp;" "&amp;Milestones!$AC$150&amp;";  ","")&amp;IF(AND(EDATE($D62,Milestones!$AA$151)&lt;=AsOfDate,IF($Q62=0,$W62,IF(AND($S62&lt;&gt;"",EDATE($D62,Milestones!$AA$151)&gt;=$S62),$V62,IF(AND($R62&lt;&gt;"",EDATE($D62,Milestones!$AA$151)&gt;=$R62),$U62,$T62)))=Milestones!$AB$151),TEXT(EDATE($D62,Milestones!$AA$151),"dd/mm/yy")&amp;" "&amp;Milestones!$AB$151&amp;" "&amp;Milestones!$AC$151&amp;";  ","")&amp;IF(AND(EDATE($D62,Milestones!$AA$152)&lt;=AsOfDate,IF($Q62=0,$W62,IF(AND($S62&lt;&gt;"",EDATE($D62,Milestones!$AA$152)&gt;=$S62),$V62,IF(AND($R62&lt;&gt;"",EDATE($D62,Milestones!$AA$152)&gt;=$R62),$U62,$T62)))=Milestones!$AB$152),TEXT(EDATE($D62,Milestones!$AA$152),"dd/mm/yy")&amp;" "&amp;Milestones!$AB$152&amp;" "&amp;Milestones!$AC$152&amp;";  ","")&amp;IF(AND(EDATE($D62,Milestones!$AA$153)&lt;=AsOfDate,IF($Q62=0,$W62,IF(AND($S62&lt;&gt;"",EDATE($D62,Milestones!$AA$153)&gt;=$S62),$V62,IF(AND($R62&lt;&gt;"",EDATE($D62,Milestones!$AA$153)&gt;=$R62),$U62,$T62)))=Milestones!$AB$153),TEXT(EDATE($D62,Milestones!$AA$153),"dd/mm/yy")&amp;" "&amp;Milestones!$AB$153&amp;" "&amp;Milestones!$AC$153&amp;";  ","")&amp;IF(AND(EDATE($D62,Milestones!$AA$154)&lt;=AsOfDate,IF($Q62=0,$W62,IF(AND($S62&lt;&gt;"",EDATE($D62,Milestones!$AA$154)&gt;=$S62),$V62,IF(AND($R62&lt;&gt;"",EDATE($D62,Milestones!$AA$154)&gt;=$R62),$U62,$T62)))=Milestones!$AB$154),TEXT(EDATE($D62,Milestones!$AA$154),"dd/mm/yy")&amp;" "&amp;Milestones!$AB$154&amp;" "&amp;Milestones!$AC$154&amp;";  ","")&amp;IF(AND(EDATE($D62,Milestones!$AA$155)&lt;=AsOfDate,IF($Q62=0,$W62,IF(AND($S62&lt;&gt;"",EDATE($D62,Milestones!$AA$155)&gt;=$S62),$V62,IF(AND($R62&lt;&gt;"",EDATE($D62,Milestones!$AA$155)&gt;=$R62),$U62,$T62)))=Milestones!$AB$155),TEXT(EDATE($D62,Milestones!$AA$155),"dd/mm/yy")&amp;" "&amp;Milestones!$AB$155&amp;" "&amp;Milestones!$AC$155&amp;";  ","")&amp;IF(AND(EDATE($D62,Milestones!$AA$156)&lt;=AsOfDate,IF($Q62=0,$W62,IF(AND($S62&lt;&gt;"",EDATE($D62,Milestones!$AA$156)&gt;=$S62),$V62,IF(AND($R62&lt;&gt;"",EDATE($D62,Milestones!$AA$156)&gt;=$R62),$U62,$T62)))=Milestones!$AB$156),TEXT(EDATE($D62,Milestones!$AA$156),"dd/mm/yy")&amp;" "&amp;Milestones!$AB$156&amp;" "&amp;Milestones!$AC$156&amp;";  ","")&amp;IF(AND(EDATE($D62,Milestones!$AA$157)&lt;=AsOfDate,IF($Q62=0,$W62,IF(AND($S62&lt;&gt;"",EDATE($D62,Milestones!$AA$157)&gt;=$S62),$V62,IF(AND($R62&lt;&gt;"",EDATE($D62,Milestones!$AA$157)&gt;=$R62),$U62,$T62)))=Milestones!$AB$157),TEXT(EDATE($D62,Milestones!$AA$157),"dd/mm/yy")&amp;" "&amp;Milestones!$AB$157&amp;" "&amp;Milestones!$AC$157&amp;";  ","")&amp;IF(AND(EDATE($D62,Milestones!$AA$158)&lt;=AsOfDate,IF($Q62=0,$W62,IF(AND($S62&lt;&gt;"",EDATE($D62,Milestones!$AA$158)&gt;=$S62),$V62,IF(AND($R62&lt;&gt;"",EDATE($D62,Milestones!$AA$158)&gt;=$R62),$U62,$T62)))=Milestones!$AB$158),TEXT(EDATE($D62,Milestones!$AA$158),"dd/mm/yy")&amp;" "&amp;Milestones!$AB$158&amp;" "&amp;Milestones!$AC$158&amp;";  ","")&amp;IF(AND(EDATE($D62,Milestones!$AA$159)&lt;=AsOfDate,IF($Q62=0,$W62,IF(AND($S62&lt;&gt;"",EDATE($D62,Milestones!$AA$159)&gt;=$S62),$V62,IF(AND($R62&lt;&gt;"",EDATE($D62,Milestones!$AA$159)&gt;=$R62),$U62,$T62)))=Milestones!$AB$159),TEXT(EDATE($D62,Milestones!$AA$159),"dd/mm/yy")&amp;" "&amp;Milestones!$AB$159&amp;" "&amp;Milestones!$AC$159&amp;";  ",""))</f>
        <v/>
      </c>
      <c r="O62" s="0" t="str">
        <f aca="false">IF(OR($A62="",$D62=""),"",IF(AND(EDATE($D62,Milestones!$AA$160)&lt;=AsOfDate,IF($Q62=0,$W62,IF(AND($S62&lt;&gt;"",EDATE($D62,Milestones!$AA$160)&gt;=$S62),$V62,IF(AND($R62&lt;&gt;"",EDATE($D62,Milestones!$AA$160)&gt;=$R62),$U62,$T62)))=Milestones!$AB$160),TEXT(EDATE($D62,Milestones!$AA$160),"dd/mm/yy")&amp;" "&amp;Milestones!$AB$160&amp;" "&amp;Milestones!$AC$160&amp;";  ","")&amp;IF(AND(EDATE($D62,Milestones!$AA$161)&lt;=AsOfDate,IF($Q62=0,$W62,IF(AND($S62&lt;&gt;"",EDATE($D62,Milestones!$AA$161)&gt;=$S62),$V62,IF(AND($R62&lt;&gt;"",EDATE($D62,Milestones!$AA$161)&gt;=$R62),$U62,$T62)))=Milestones!$AB$161),TEXT(EDATE($D62,Milestones!$AA$161),"dd/mm/yy")&amp;" "&amp;Milestones!$AB$161&amp;" "&amp;Milestones!$AC$161&amp;";  ","")&amp;IF(AND(EDATE($D62,Milestones!$AA$162)&lt;=AsOfDate,IF($Q62=0,$W62,IF(AND($S62&lt;&gt;"",EDATE($D62,Milestones!$AA$162)&gt;=$S62),$V62,IF(AND($R62&lt;&gt;"",EDATE($D62,Milestones!$AA$162)&gt;=$R62),$U62,$T62)))=Milestones!$AB$162),TEXT(EDATE($D62,Milestones!$AA$162),"dd/mm/yy")&amp;" "&amp;Milestones!$AB$162&amp;" "&amp;Milestones!$AC$162&amp;";  ","")&amp;IF(AND(EDATE($D62,Milestones!$AA$163)&lt;=AsOfDate,IF($Q62=0,$W62,IF(AND($S62&lt;&gt;"",EDATE($D62,Milestones!$AA$163)&gt;=$S62),$V62,IF(AND($R62&lt;&gt;"",EDATE($D62,Milestones!$AA$163)&gt;=$R62),$U62,$T62)))=Milestones!$AB$163),TEXT(EDATE($D62,Milestones!$AA$163),"dd/mm/yy")&amp;" "&amp;Milestones!$AB$163&amp;" "&amp;Milestones!$AC$163&amp;";  ","")&amp;IF(AND(EDATE($D62,Milestones!$AA$164)&lt;=AsOfDate,IF($Q62=0,$W62,IF(AND($S62&lt;&gt;"",EDATE($D62,Milestones!$AA$164)&gt;=$S62),$V62,IF(AND($R62&lt;&gt;"",EDATE($D62,Milestones!$AA$164)&gt;=$R62),$U62,$T62)))=Milestones!$AB$164),TEXT(EDATE($D62,Milestones!$AA$164),"dd/mm/yy")&amp;" "&amp;Milestones!$AB$164&amp;" "&amp;Milestones!$AC$164&amp;";  ","")&amp;IF(AND(EDATE($D62,Milestones!$AA$165)&lt;=AsOfDate,IF($Q62=0,$W62,IF(AND($S62&lt;&gt;"",EDATE($D62,Milestones!$AA$165)&gt;=$S62),$V62,IF(AND($R62&lt;&gt;"",EDATE($D62,Milestones!$AA$165)&gt;=$R62),$U62,$T62)))=Milestones!$AB$165),TEXT(EDATE($D62,Milestones!$AA$165),"dd/mm/yy")&amp;" "&amp;Milestones!$AB$165&amp;" "&amp;Milestones!$AC$165&amp;";  ","")&amp;IF(AND(EDATE($D62,Milestones!$AA$166)&lt;=AsOfDate,IF($Q62=0,$W62,IF(AND($S62&lt;&gt;"",EDATE($D62,Milestones!$AA$166)&gt;=$S62),$V62,IF(AND($R62&lt;&gt;"",EDATE($D62,Milestones!$AA$166)&gt;=$R62),$U62,$T62)))=Milestones!$AB$166),TEXT(EDATE($D62,Milestones!$AA$166),"dd/mm/yy")&amp;" "&amp;Milestones!$AB$166&amp;" "&amp;Milestones!$AC$166&amp;";  ","")&amp;IF(AND(EDATE($D62,Milestones!$AA$167)&lt;=AsOfDate,IF($Q62=0,$W62,IF(AND($S62&lt;&gt;"",EDATE($D62,Milestones!$AA$167)&gt;=$S62),$V62,IF(AND($R62&lt;&gt;"",EDATE($D62,Milestones!$AA$167)&gt;=$R62),$U62,$T62)))=Milestones!$AB$167),TEXT(EDATE($D62,Milestones!$AA$167),"dd/mm/yy")&amp;" "&amp;Milestones!$AB$167&amp;" "&amp;Milestones!$AC$167&amp;";  ","")&amp;IF(AND(EDATE($D62,Milestones!$AA$168)&lt;=AsOfDate,IF($Q62=0,$W62,IF(AND($S62&lt;&gt;"",EDATE($D62,Milestones!$AA$168)&gt;=$S62),$V62,IF(AND($R62&lt;&gt;"",EDATE($D62,Milestones!$AA$168)&gt;=$R62),$U62,$T62)))=Milestones!$AB$168),TEXT(EDATE($D62,Milestones!$AA$168),"dd/mm/yy")&amp;" "&amp;Milestones!$AB$168&amp;" "&amp;Milestones!$AC$168&amp;";  ","")&amp;IF(AND(EDATE($D62,Milestones!$AA$169)&lt;=AsOfDate,IF($Q62=0,$W62,IF(AND($S62&lt;&gt;"",EDATE($D62,Milestones!$AA$169)&gt;=$S62),$V62,IF(AND($R62&lt;&gt;"",EDATE($D62,Milestones!$AA$169)&gt;=$R62),$U62,$T62)))=Milestones!$AB$169),TEXT(EDATE($D62,Milestones!$AA$169),"dd/mm/yy")&amp;" "&amp;Milestones!$AB$169&amp;" "&amp;Milestones!$AC$169&amp;";  ","")&amp;IF(AND(EDATE($D62,Milestones!$AA$170)&lt;=AsOfDate,IF($Q62=0,$W62,IF(AND($S62&lt;&gt;"",EDATE($D62,Milestones!$AA$170)&gt;=$S62),$V62,IF(AND($R62&lt;&gt;"",EDATE($D62,Milestones!$AA$170)&gt;=$R62),$U62,$T62)))=Milestones!$AB$170),TEXT(EDATE($D62,Milestones!$AA$170),"dd/mm/yy")&amp;" "&amp;Milestones!$AB$170&amp;" "&amp;Milestones!$AC$170&amp;";  ","")&amp;IF(AND(EDATE($D62,Milestones!$AA$171)&lt;=AsOfDate,IF($Q62=0,$W62,IF(AND($S62&lt;&gt;"",EDATE($D62,Milestones!$AA$171)&gt;=$S62),$V62,IF(AND($R62&lt;&gt;"",EDATE($D62,Milestones!$AA$171)&gt;=$R62),$U62,$T62)))=Milestones!$AB$171),TEXT(EDATE($D62,Milestones!$AA$171),"dd/mm/yy")&amp;" "&amp;Milestones!$AB$171&amp;" "&amp;Milestones!$AC$171&amp;";  ","")&amp;IF(AND(EDATE($D62,Milestones!$AA$172)&lt;=AsOfDate,IF($Q62=0,$W62,IF(AND($S62&lt;&gt;"",EDATE($D62,Milestones!$AA$172)&gt;=$S62),$V62,IF(AND($R62&lt;&gt;"",EDATE($D62,Milestones!$AA$172)&gt;=$R62),$U62,$T62)))=Milestones!$AB$172),TEXT(EDATE($D62,Milestones!$AA$172),"dd/mm/yy")&amp;" "&amp;Milestones!$AB$172&amp;" "&amp;Milestones!$AC$172&amp;";  ","")&amp;IF(AND(EDATE($D62,Milestones!$AA$173)&lt;=AsOfDate,IF($Q62=0,$W62,IF(AND($S62&lt;&gt;"",EDATE($D62,Milestones!$AA$173)&gt;=$S62),$V62,IF(AND($R62&lt;&gt;"",EDATE($D62,Milestones!$AA$173)&gt;=$R62),$U62,$T62)))=Milestones!$AB$173),TEXT(EDATE($D62,Milestones!$AA$173),"dd/mm/yy")&amp;" "&amp;Milestones!$AB$173&amp;" "&amp;Milestones!$AC$173&amp;";  ","")&amp;IF(AND(EDATE($D62,Milestones!$AA$174)&lt;=AsOfDate,IF($Q62=0,$W62,IF(AND($S62&lt;&gt;"",EDATE($D62,Milestones!$AA$174)&gt;=$S62),$V62,IF(AND($R62&lt;&gt;"",EDATE($D62,Milestones!$AA$174)&gt;=$R62),$U62,$T62)))=Milestones!$AB$174),TEXT(EDATE($D62,Milestones!$AA$174),"dd/mm/yy")&amp;" "&amp;Milestones!$AB$174&amp;" "&amp;Milestones!$AC$174&amp;";  ","")&amp;IF(AND(EDATE($D62,Milestones!$AA$175)&lt;=AsOfDate,IF($Q62=0,$W62,IF(AND($S62&lt;&gt;"",EDATE($D62,Milestones!$AA$175)&gt;=$S62),$V62,IF(AND($R62&lt;&gt;"",EDATE($D62,Milestones!$AA$175)&gt;=$R62),$U62,$T62)))=Milestones!$AB$175),TEXT(EDATE($D62,Milestones!$AA$175),"dd/mm/yy")&amp;" "&amp;Milestones!$AB$175&amp;" "&amp;Milestones!$AC$175&amp;";  ","")&amp;IF(AND(EDATE($D62,Milestones!$AA$176)&lt;=AsOfDate,IF($Q62=0,$W62,IF(AND($S62&lt;&gt;"",EDATE($D62,Milestones!$AA$176)&gt;=$S62),$V62,IF(AND($R62&lt;&gt;"",EDATE($D62,Milestones!$AA$176)&gt;=$R62),$U62,$T62)))=Milestones!$AB$176),TEXT(EDATE($D62,Milestones!$AA$176),"dd/mm/yy")&amp;" "&amp;Milestones!$AB$176&amp;" "&amp;Milestones!$AC$176&amp;";  ","")&amp;IF(AND(EDATE($D62,Milestones!$AA$177)&lt;=AsOfDate,IF($Q62=0,$W62,IF(AND($S62&lt;&gt;"",EDATE($D62,Milestones!$AA$177)&gt;=$S62),$V62,IF(AND($R62&lt;&gt;"",EDATE($D62,Milestones!$AA$177)&gt;=$R62),$U62,$T62)))=Milestones!$AB$177),TEXT(EDATE($D62,Milestones!$AA$177),"dd/mm/yy")&amp;" "&amp;Milestones!$AB$177&amp;" "&amp;Milestones!$AC$177&amp;";  ","")&amp;IF(AND(EDATE($D62,Milestones!$AA$178)&lt;=AsOfDate,IF($Q62=0,$W62,IF(AND($S62&lt;&gt;"",EDATE($D62,Milestones!$AA$178)&gt;=$S62),$V62,IF(AND($R62&lt;&gt;"",EDATE($D62,Milestones!$AA$178)&gt;=$R62),$U62,$T62)))=Milestones!$AB$178),TEXT(EDATE($D62,Milestones!$AA$178),"dd/mm/yy")&amp;" "&amp;Milestones!$AB$178&amp;" "&amp;Milestones!$AC$178&amp;";  ","")&amp;IF(AND(EDATE($D62,Milestones!$AA$179)&lt;=AsOfDate,IF($Q62=0,$W62,IF(AND($S62&lt;&gt;"",EDATE($D62,Milestones!$AA$179)&gt;=$S62),$V62,IF(AND($R62&lt;&gt;"",EDATE($D62,Milestones!$AA$179)&gt;=$R62),$U62,$T62)))=Milestones!$AB$179),TEXT(EDATE($D62,Milestones!$AA$179),"dd/mm/yy")&amp;" "&amp;Milestones!$AB$179&amp;" "&amp;Milestones!$AC$179&amp;";  ",""))</f>
        <v/>
      </c>
      <c r="P62" s="0" t="str">
        <f aca="false">IF(OR($A62="",$D62=""),"",IF(AND(EDATE($D62,Milestones!$AA$180)&lt;=AsOfDate,IF($Q62=0,$W62,IF(AND($S62&lt;&gt;"",EDATE($D62,Milestones!$AA$180)&gt;=$S62),$V62,IF(AND($R62&lt;&gt;"",EDATE($D62,Milestones!$AA$180)&gt;=$R62),$U62,$T62)))=Milestones!$AB$180),TEXT(EDATE($D62,Milestones!$AA$180),"dd/mm/yy")&amp;" "&amp;Milestones!$AB$180&amp;" "&amp;Milestones!$AC$180&amp;";  ","")&amp;IF(AND(EDATE($D62,Milestones!$AA$181)&lt;=AsOfDate,IF($Q62=0,$W62,IF(AND($S62&lt;&gt;"",EDATE($D62,Milestones!$AA$181)&gt;=$S62),$V62,IF(AND($R62&lt;&gt;"",EDATE($D62,Milestones!$AA$181)&gt;=$R62),$U62,$T62)))=Milestones!$AB$181),TEXT(EDATE($D62,Milestones!$AA$181),"dd/mm/yy")&amp;" "&amp;Milestones!$AB$181&amp;" "&amp;Milestones!$AC$181&amp;";  ","")&amp;IF(AND(EDATE($D62,Milestones!$AA$182)&lt;=AsOfDate,IF($Q62=0,$W62,IF(AND($S62&lt;&gt;"",EDATE($D62,Milestones!$AA$182)&gt;=$S62),$V62,IF(AND($R62&lt;&gt;"",EDATE($D62,Milestones!$AA$182)&gt;=$R62),$U62,$T62)))=Milestones!$AB$182),TEXT(EDATE($D62,Milestones!$AA$182),"dd/mm/yy")&amp;" "&amp;Milestones!$AB$182&amp;" "&amp;Milestones!$AC$182&amp;";  ","")&amp;IF(AND(EDATE($D62,Milestones!$AA$183)&lt;=AsOfDate,IF($Q62=0,$W62,IF(AND($S62&lt;&gt;"",EDATE($D62,Milestones!$AA$183)&gt;=$S62),$V62,IF(AND($R62&lt;&gt;"",EDATE($D62,Milestones!$AA$183)&gt;=$R62),$U62,$T62)))=Milestones!$AB$183),TEXT(EDATE($D62,Milestones!$AA$183),"dd/mm/yy")&amp;" "&amp;Milestones!$AB$183&amp;" "&amp;Milestones!$AC$183&amp;";  ","")&amp;IF(AND(EDATE($D62,Milestones!$AA$184)&lt;=AsOfDate,IF($Q62=0,$W62,IF(AND($S62&lt;&gt;"",EDATE($D62,Milestones!$AA$184)&gt;=$S62),$V62,IF(AND($R62&lt;&gt;"",EDATE($D62,Milestones!$AA$184)&gt;=$R62),$U62,$T62)))=Milestones!$AB$184),TEXT(EDATE($D62,Milestones!$AA$184),"dd/mm/yy")&amp;" "&amp;Milestones!$AB$184&amp;" "&amp;Milestones!$AC$184&amp;";  ","")&amp;IF(AND(EDATE($D62,Milestones!$AA$185)&lt;=AsOfDate,IF($Q62=0,$W62,IF(AND($S62&lt;&gt;"",EDATE($D62,Milestones!$AA$185)&gt;=$S62),$V62,IF(AND($R62&lt;&gt;"",EDATE($D62,Milestones!$AA$185)&gt;=$R62),$U62,$T62)))=Milestones!$AB$185),TEXT(EDATE($D62,Milestones!$AA$185),"dd/mm/yy")&amp;" "&amp;Milestones!$AB$185&amp;" "&amp;Milestones!$AC$185&amp;";  ","")&amp;IF(AND(EDATE($D62,Milestones!$AA$186)&lt;=AsOfDate,IF($Q62=0,$W62,IF(AND($S62&lt;&gt;"",EDATE($D62,Milestones!$AA$186)&gt;=$S62),$V62,IF(AND($R62&lt;&gt;"",EDATE($D62,Milestones!$AA$186)&gt;=$R62),$U62,$T62)))=Milestones!$AB$186),TEXT(EDATE($D62,Milestones!$AA$186),"dd/mm/yy")&amp;" "&amp;Milestones!$AB$186&amp;" "&amp;Milestones!$AC$186&amp;";  ","")&amp;IF(AND(EDATE($D62,Milestones!$AA$187)&lt;=AsOfDate,IF($Q62=0,$W62,IF(AND($S62&lt;&gt;"",EDATE($D62,Milestones!$AA$187)&gt;=$S62),$V62,IF(AND($R62&lt;&gt;"",EDATE($D62,Milestones!$AA$187)&gt;=$R62),$U62,$T62)))=Milestones!$AB$187),TEXT(EDATE($D62,Milestones!$AA$187),"dd/mm/yy")&amp;" "&amp;Milestones!$AB$187&amp;" "&amp;Milestones!$AC$187&amp;";  ","")&amp;IF(AND(EDATE($D62,Milestones!$AA$188)&lt;=AsOfDate,IF($Q62=0,$W62,IF(AND($S62&lt;&gt;"",EDATE($D62,Milestones!$AA$188)&gt;=$S62),$V62,IF(AND($R62&lt;&gt;"",EDATE($D62,Milestones!$AA$188)&gt;=$R62),$U62,$T62)))=Milestones!$AB$188),TEXT(EDATE($D62,Milestones!$AA$188),"dd/mm/yy")&amp;" "&amp;Milestones!$AB$188&amp;" "&amp;Milestones!$AC$188&amp;";  ","")&amp;IF(AND(EDATE($D62,Milestones!$AA$189)&lt;=AsOfDate,IF($Q62=0,$W62,IF(AND($S62&lt;&gt;"",EDATE($D62,Milestones!$AA$189)&gt;=$S62),$V62,IF(AND($R62&lt;&gt;"",EDATE($D62,Milestones!$AA$189)&gt;=$R62),$U62,$T62)))=Milestones!$AB$189),TEXT(EDATE($D62,Milestones!$AA$189),"dd/mm/yy")&amp;" "&amp;Milestones!$AB$189&amp;" "&amp;Milestones!$AC$189&amp;";  ","")&amp;IF(AND(EDATE($D62,Milestones!$AA$190)&lt;=AsOfDate,IF($Q62=0,$W62,IF(AND($S62&lt;&gt;"",EDATE($D62,Milestones!$AA$190)&gt;=$S62),$V62,IF(AND($R62&lt;&gt;"",EDATE($D62,Milestones!$AA$190)&gt;=$R62),$U62,$T62)))=Milestones!$AB$190),TEXT(EDATE($D62,Milestones!$AA$190),"dd/mm/yy")&amp;" "&amp;Milestones!$AB$190&amp;" "&amp;Milestones!$AC$190&amp;";  ","")&amp;IF(AND(EDATE($D62,Milestones!$AA$191)&lt;=AsOfDate,IF($Q62=0,$W62,IF(AND($S62&lt;&gt;"",EDATE($D62,Milestones!$AA$191)&gt;=$S62),$V62,IF(AND($R62&lt;&gt;"",EDATE($D62,Milestones!$AA$191)&gt;=$R62),$U62,$T62)))=Milestones!$AB$191),TEXT(EDATE($D62,Milestones!$AA$191),"dd/mm/yy")&amp;" "&amp;Milestones!$AB$191&amp;" "&amp;Milestones!$AC$191&amp;";  ","")&amp;IF(AND(EDATE($D62,Milestones!$AA$192)&lt;=AsOfDate,IF($Q62=0,$W62,IF(AND($S62&lt;&gt;"",EDATE($D62,Milestones!$AA$192)&gt;=$S62),$V62,IF(AND($R62&lt;&gt;"",EDATE($D62,Milestones!$AA$192)&gt;=$R62),$U62,$T62)))=Milestones!$AB$192),TEXT(EDATE($D62,Milestones!$AA$192),"dd/mm/yy")&amp;" "&amp;Milestones!$AB$192&amp;" "&amp;Milestones!$AC$192&amp;";  ","")&amp;IF(AND(EDATE($D62,Milestones!$AA$193)&lt;=AsOfDate,IF($Q62=0,$W62,IF(AND($S62&lt;&gt;"",EDATE($D62,Milestones!$AA$193)&gt;=$S62),$V62,IF(AND($R62&lt;&gt;"",EDATE($D62,Milestones!$AA$193)&gt;=$R62),$U62,$T62)))=Milestones!$AB$193),TEXT(EDATE($D62,Milestones!$AA$193),"dd/mm/yy")&amp;" "&amp;Milestones!$AB$193&amp;" "&amp;Milestones!$AC$193&amp;";  ","")&amp;IF(AND(EDATE($D62,Milestones!$AA$194)&lt;=AsOfDate,IF($Q62=0,$W62,IF(AND($S62&lt;&gt;"",EDATE($D62,Milestones!$AA$194)&gt;=$S62),$V62,IF(AND($R62&lt;&gt;"",EDATE($D62,Milestones!$AA$194)&gt;=$R62),$U62,$T62)))=Milestones!$AB$194),TEXT(EDATE($D62,Milestones!$AA$194),"dd/mm/yy")&amp;" "&amp;Milestones!$AB$194&amp;" "&amp;Milestones!$AC$194&amp;";  ","")&amp;IF(AND(EDATE($D62,Milestones!$AA$195)&lt;=AsOfDate,IF($Q62=0,$W62,IF(AND($S62&lt;&gt;"",EDATE($D62,Milestones!$AA$195)&gt;=$S62),$V62,IF(AND($R62&lt;&gt;"",EDATE($D62,Milestones!$AA$195)&gt;=$R62),$U62,$T62)))=Milestones!$AB$195),TEXT(EDATE($D62,Milestones!$AA$195),"dd/mm/yy")&amp;" "&amp;Milestones!$AB$195&amp;" "&amp;Milestones!$AC$195&amp;";  ","")&amp;IF(AND(EDATE($D62,Milestones!$AA$196)&lt;=AsOfDate,IF($Q62=0,$W62,IF(AND($S62&lt;&gt;"",EDATE($D62,Milestones!$AA$196)&gt;=$S62),$V62,IF(AND($R62&lt;&gt;"",EDATE($D62,Milestones!$AA$196)&gt;=$R62),$U62,$T62)))=Milestones!$AB$196),TEXT(EDATE($D62,Milestones!$AA$196),"dd/mm/yy")&amp;" "&amp;Milestones!$AB$196&amp;" "&amp;Milestones!$AC$196&amp;";  ","")&amp;IF(AND(EDATE($D62,Milestones!$AA$197)&lt;=AsOfDate,IF($Q62=0,$W62,IF(AND($S62&lt;&gt;"",EDATE($D62,Milestones!$AA$197)&gt;=$S62),$V62,IF(AND($R62&lt;&gt;"",EDATE($D62,Milestones!$AA$197)&gt;=$R62),$U62,$T62)))=Milestones!$AB$197),TEXT(EDATE($D62,Milestones!$AA$197),"dd/mm/yy")&amp;" "&amp;Milestones!$AB$197&amp;" "&amp;Milestones!$AC$197&amp;";  ","")&amp;IF(AND(EDATE($D62,Milestones!$AA$198)&lt;=AsOfDate,IF($Q62=0,$W62,IF(AND($S62&lt;&gt;"",EDATE($D62,Milestones!$AA$198)&gt;=$S62),$V62,IF(AND($R62&lt;&gt;"",EDATE($D62,Milestones!$AA$198)&gt;=$R62),$U62,$T62)))=Milestones!$AB$198),TEXT(EDATE($D62,Milestones!$AA$198),"dd/mm/yy")&amp;" "&amp;Milestones!$AB$198&amp;" "&amp;Milestones!$AC$198&amp;";  ","")&amp;IF(AND(EDATE($D62,Milestones!$AA$199)&lt;=AsOfDate,IF($Q62=0,$W62,IF(AND($S62&lt;&gt;"",EDATE($D62,Milestones!$AA$199)&gt;=$S62),$V62,IF(AND($R62&lt;&gt;"",EDATE($D62,Milestones!$AA$199)&gt;=$R62),$U62,$T62)))=Milestones!$AB$199),TEXT(EDATE($D62,Milestones!$AA$199),"dd/mm/yy")&amp;" "&amp;Milestones!$AB$199&amp;" "&amp;Milestones!$AC$199&amp;";  ",""))</f>
        <v/>
      </c>
      <c r="Q62" s="0" t="str">
        <f aca="false">IF(Staff!$A62="","",Staff!$AG62)</f>
        <v/>
      </c>
      <c r="R62" s="0" t="str">
        <f aca="false">IF(Staff!$A62="","",Staff!$AI62)</f>
        <v/>
      </c>
      <c r="S62" s="0" t="str">
        <f aca="false">IF(Staff!$A62="","",Staff!$AJ62)</f>
        <v/>
      </c>
      <c r="T62" s="0" t="str">
        <f aca="false">IF(Staff!$A62="","",Staff!$AN62)</f>
        <v/>
      </c>
      <c r="U62" s="0" t="str">
        <f aca="false">IF(Staff!$A62="","",Staff!$AO62)</f>
        <v/>
      </c>
      <c r="V62" s="0" t="str">
        <f aca="false">IF(Staff!$A62="","",Staff!$AP62)</f>
        <v/>
      </c>
      <c r="W62" s="0" t="str">
        <f aca="false">IF(Staff!$A62="","",Staff!$AQ62)</f>
        <v/>
      </c>
    </row>
    <row r="63" customFormat="false" ht="15" hidden="false" customHeight="false" outlineLevel="0" collapsed="false">
      <c r="A63" s="13" t="str">
        <f aca="false">IF(Staff!$A63="","",Staff!$A63)</f>
        <v/>
      </c>
      <c r="B63" s="13" t="str">
        <f aca="false">IF(Staff!$A63="","",Staff!$B63)</f>
        <v/>
      </c>
      <c r="C63" s="13" t="str">
        <f aca="false">IF(Staff!$A63="","",Staff!$C63)</f>
        <v/>
      </c>
      <c r="D63" s="11" t="str">
        <f aca="false">IF(Staff!$A63="","",Staff!$AF63)</f>
        <v/>
      </c>
      <c r="E63" s="13" t="str">
        <f aca="false">IF(Staff!$A63="","",Staff!$O63)</f>
        <v/>
      </c>
      <c r="F63" s="13" t="str">
        <f aca="false">IF(E63="","",E63*HoursPerDay)</f>
        <v/>
      </c>
      <c r="G63" s="26" t="str">
        <f aca="false">IF($A63="","",H63&amp;I63&amp;J63&amp;K63&amp;L63&amp;M63&amp;N63&amp;O63&amp;P63)</f>
        <v/>
      </c>
      <c r="H63" s="0" t="str">
        <f aca="false">IF(OR($A63="",$D63=""),"",IF(AND(EDATE($D63,Milestones!$AA$20)&lt;=AsOfDate,IF($Q63=0,$W63,IF(AND($S63&lt;&gt;"",EDATE($D63,Milestones!$AA$20)&gt;=$S63),$V63,IF(AND($R63&lt;&gt;"",EDATE($D63,Milestones!$AA$20)&gt;=$R63),$U63,$T63)))=Milestones!$AB$20),TEXT(EDATE($D63,Milestones!$AA$20),"dd/mm/yy")&amp;" "&amp;Milestones!$AB$20&amp;" "&amp;Milestones!$AC$20&amp;";  ","")&amp;IF(AND(EDATE($D63,Milestones!$AA$21)&lt;=AsOfDate,IF($Q63=0,$W63,IF(AND($S63&lt;&gt;"",EDATE($D63,Milestones!$AA$21)&gt;=$S63),$V63,IF(AND($R63&lt;&gt;"",EDATE($D63,Milestones!$AA$21)&gt;=$R63),$U63,$T63)))=Milestones!$AB$21),TEXT(EDATE($D63,Milestones!$AA$21),"dd/mm/yy")&amp;" "&amp;Milestones!$AB$21&amp;" "&amp;Milestones!$AC$21&amp;";  ","")&amp;IF(AND(EDATE($D63,Milestones!$AA$22)&lt;=AsOfDate,IF($Q63=0,$W63,IF(AND($S63&lt;&gt;"",EDATE($D63,Milestones!$AA$22)&gt;=$S63),$V63,IF(AND($R63&lt;&gt;"",EDATE($D63,Milestones!$AA$22)&gt;=$R63),$U63,$T63)))=Milestones!$AB$22),TEXT(EDATE($D63,Milestones!$AA$22),"dd/mm/yy")&amp;" "&amp;Milestones!$AB$22&amp;" "&amp;Milestones!$AC$22&amp;";  ","")&amp;IF(AND(EDATE($D63,Milestones!$AA$23)&lt;=AsOfDate,IF($Q63=0,$W63,IF(AND($S63&lt;&gt;"",EDATE($D63,Milestones!$AA$23)&gt;=$S63),$V63,IF(AND($R63&lt;&gt;"",EDATE($D63,Milestones!$AA$23)&gt;=$R63),$U63,$T63)))=Milestones!$AB$23),TEXT(EDATE($D63,Milestones!$AA$23),"dd/mm/yy")&amp;" "&amp;Milestones!$AB$23&amp;" "&amp;Milestones!$AC$23&amp;";  ","")&amp;IF(AND(EDATE($D63,Milestones!$AA$24)&lt;=AsOfDate,IF($Q63=0,$W63,IF(AND($S63&lt;&gt;"",EDATE($D63,Milestones!$AA$24)&gt;=$S63),$V63,IF(AND($R63&lt;&gt;"",EDATE($D63,Milestones!$AA$24)&gt;=$R63),$U63,$T63)))=Milestones!$AB$24),TEXT(EDATE($D63,Milestones!$AA$24),"dd/mm/yy")&amp;" "&amp;Milestones!$AB$24&amp;" "&amp;Milestones!$AC$24&amp;";  ","")&amp;IF(AND(EDATE($D63,Milestones!$AA$25)&lt;=AsOfDate,IF($Q63=0,$W63,IF(AND($S63&lt;&gt;"",EDATE($D63,Milestones!$AA$25)&gt;=$S63),$V63,IF(AND($R63&lt;&gt;"",EDATE($D63,Milestones!$AA$25)&gt;=$R63),$U63,$T63)))=Milestones!$AB$25),TEXT(EDATE($D63,Milestones!$AA$25),"dd/mm/yy")&amp;" "&amp;Milestones!$AB$25&amp;" "&amp;Milestones!$AC$25&amp;";  ","")&amp;IF(AND(EDATE($D63,Milestones!$AA$26)&lt;=AsOfDate,IF($Q63=0,$W63,IF(AND($S63&lt;&gt;"",EDATE($D63,Milestones!$AA$26)&gt;=$S63),$V63,IF(AND($R63&lt;&gt;"",EDATE($D63,Milestones!$AA$26)&gt;=$R63),$U63,$T63)))=Milestones!$AB$26),TEXT(EDATE($D63,Milestones!$AA$26),"dd/mm/yy")&amp;" "&amp;Milestones!$AB$26&amp;" "&amp;Milestones!$AC$26&amp;";  ","")&amp;IF(AND(EDATE($D63,Milestones!$AA$27)&lt;=AsOfDate,IF($Q63=0,$W63,IF(AND($S63&lt;&gt;"",EDATE($D63,Milestones!$AA$27)&gt;=$S63),$V63,IF(AND($R63&lt;&gt;"",EDATE($D63,Milestones!$AA$27)&gt;=$R63),$U63,$T63)))=Milestones!$AB$27),TEXT(EDATE($D63,Milestones!$AA$27),"dd/mm/yy")&amp;" "&amp;Milestones!$AB$27&amp;" "&amp;Milestones!$AC$27&amp;";  ","")&amp;IF(AND(EDATE($D63,Milestones!$AA$28)&lt;=AsOfDate,IF($Q63=0,$W63,IF(AND($S63&lt;&gt;"",EDATE($D63,Milestones!$AA$28)&gt;=$S63),$V63,IF(AND($R63&lt;&gt;"",EDATE($D63,Milestones!$AA$28)&gt;=$R63),$U63,$T63)))=Milestones!$AB$28),TEXT(EDATE($D63,Milestones!$AA$28),"dd/mm/yy")&amp;" "&amp;Milestones!$AB$28&amp;" "&amp;Milestones!$AC$28&amp;";  ","")&amp;IF(AND(EDATE($D63,Milestones!$AA$29)&lt;=AsOfDate,IF($Q63=0,$W63,IF(AND($S63&lt;&gt;"",EDATE($D63,Milestones!$AA$29)&gt;=$S63),$V63,IF(AND($R63&lt;&gt;"",EDATE($D63,Milestones!$AA$29)&gt;=$R63),$U63,$T63)))=Milestones!$AB$29),TEXT(EDATE($D63,Milestones!$AA$29),"dd/mm/yy")&amp;" "&amp;Milestones!$AB$29&amp;" "&amp;Milestones!$AC$29&amp;";  ","")&amp;IF(AND(EDATE($D63,Milestones!$AA$30)&lt;=AsOfDate,IF($Q63=0,$W63,IF(AND($S63&lt;&gt;"",EDATE($D63,Milestones!$AA$30)&gt;=$S63),$V63,IF(AND($R63&lt;&gt;"",EDATE($D63,Milestones!$AA$30)&gt;=$R63),$U63,$T63)))=Milestones!$AB$30),TEXT(EDATE($D63,Milestones!$AA$30),"dd/mm/yy")&amp;" "&amp;Milestones!$AB$30&amp;" "&amp;Milestones!$AC$30&amp;";  ","")&amp;IF(AND(EDATE($D63,Milestones!$AA$31)&lt;=AsOfDate,IF($Q63=0,$W63,IF(AND($S63&lt;&gt;"",EDATE($D63,Milestones!$AA$31)&gt;=$S63),$V63,IF(AND($R63&lt;&gt;"",EDATE($D63,Milestones!$AA$31)&gt;=$R63),$U63,$T63)))=Milestones!$AB$31),TEXT(EDATE($D63,Milestones!$AA$31),"dd/mm/yy")&amp;" "&amp;Milestones!$AB$31&amp;" "&amp;Milestones!$AC$31&amp;";  ","")&amp;IF(AND(EDATE($D63,Milestones!$AA$32)&lt;=AsOfDate,IF($Q63=0,$W63,IF(AND($S63&lt;&gt;"",EDATE($D63,Milestones!$AA$32)&gt;=$S63),$V63,IF(AND($R63&lt;&gt;"",EDATE($D63,Milestones!$AA$32)&gt;=$R63),$U63,$T63)))=Milestones!$AB$32),TEXT(EDATE($D63,Milestones!$AA$32),"dd/mm/yy")&amp;" "&amp;Milestones!$AB$32&amp;" "&amp;Milestones!$AC$32&amp;";  ","")&amp;IF(AND(EDATE($D63,Milestones!$AA$33)&lt;=AsOfDate,IF($Q63=0,$W63,IF(AND($S63&lt;&gt;"",EDATE($D63,Milestones!$AA$33)&gt;=$S63),$V63,IF(AND($R63&lt;&gt;"",EDATE($D63,Milestones!$AA$33)&gt;=$R63),$U63,$T63)))=Milestones!$AB$33),TEXT(EDATE($D63,Milestones!$AA$33),"dd/mm/yy")&amp;" "&amp;Milestones!$AB$33&amp;" "&amp;Milestones!$AC$33&amp;";  ","")&amp;IF(AND(EDATE($D63,Milestones!$AA$34)&lt;=AsOfDate,IF($Q63=0,$W63,IF(AND($S63&lt;&gt;"",EDATE($D63,Milestones!$AA$34)&gt;=$S63),$V63,IF(AND($R63&lt;&gt;"",EDATE($D63,Milestones!$AA$34)&gt;=$R63),$U63,$T63)))=Milestones!$AB$34),TEXT(EDATE($D63,Milestones!$AA$34),"dd/mm/yy")&amp;" "&amp;Milestones!$AB$34&amp;" "&amp;Milestones!$AC$34&amp;";  ","")&amp;IF(AND(EDATE($D63,Milestones!$AA$35)&lt;=AsOfDate,IF($Q63=0,$W63,IF(AND($S63&lt;&gt;"",EDATE($D63,Milestones!$AA$35)&gt;=$S63),$V63,IF(AND($R63&lt;&gt;"",EDATE($D63,Milestones!$AA$35)&gt;=$R63),$U63,$T63)))=Milestones!$AB$35),TEXT(EDATE($D63,Milestones!$AA$35),"dd/mm/yy")&amp;" "&amp;Milestones!$AB$35&amp;" "&amp;Milestones!$AC$35&amp;";  ","")&amp;IF(AND(EDATE($D63,Milestones!$AA$36)&lt;=AsOfDate,IF($Q63=0,$W63,IF(AND($S63&lt;&gt;"",EDATE($D63,Milestones!$AA$36)&gt;=$S63),$V63,IF(AND($R63&lt;&gt;"",EDATE($D63,Milestones!$AA$36)&gt;=$R63),$U63,$T63)))=Milestones!$AB$36),TEXT(EDATE($D63,Milestones!$AA$36),"dd/mm/yy")&amp;" "&amp;Milestones!$AB$36&amp;" "&amp;Milestones!$AC$36&amp;";  ","")&amp;IF(AND(EDATE($D63,Milestones!$AA$37)&lt;=AsOfDate,IF($Q63=0,$W63,IF(AND($S63&lt;&gt;"",EDATE($D63,Milestones!$AA$37)&gt;=$S63),$V63,IF(AND($R63&lt;&gt;"",EDATE($D63,Milestones!$AA$37)&gt;=$R63),$U63,$T63)))=Milestones!$AB$37),TEXT(EDATE($D63,Milestones!$AA$37),"dd/mm/yy")&amp;" "&amp;Milestones!$AB$37&amp;" "&amp;Milestones!$AC$37&amp;";  ","")&amp;IF(AND(EDATE($D63,Milestones!$AA$38)&lt;=AsOfDate,IF($Q63=0,$W63,IF(AND($S63&lt;&gt;"",EDATE($D63,Milestones!$AA$38)&gt;=$S63),$V63,IF(AND($R63&lt;&gt;"",EDATE($D63,Milestones!$AA$38)&gt;=$R63),$U63,$T63)))=Milestones!$AB$38),TEXT(EDATE($D63,Milestones!$AA$38),"dd/mm/yy")&amp;" "&amp;Milestones!$AB$38&amp;" "&amp;Milestones!$AC$38&amp;";  ","")&amp;IF(AND(EDATE($D63,Milestones!$AA$39)&lt;=AsOfDate,IF($Q63=0,$W63,IF(AND($S63&lt;&gt;"",EDATE($D63,Milestones!$AA$39)&gt;=$S63),$V63,IF(AND($R63&lt;&gt;"",EDATE($D63,Milestones!$AA$39)&gt;=$R63),$U63,$T63)))=Milestones!$AB$39),TEXT(EDATE($D63,Milestones!$AA$39),"dd/mm/yy")&amp;" "&amp;Milestones!$AB$39&amp;" "&amp;Milestones!$AC$39&amp;";  ",""))</f>
        <v/>
      </c>
      <c r="I63" s="0" t="str">
        <f aca="false">IF(OR($A63="",$D63=""),"",IF(AND(EDATE($D63,Milestones!$AA$40)&lt;=AsOfDate,IF($Q63=0,$W63,IF(AND($S63&lt;&gt;"",EDATE($D63,Milestones!$AA$40)&gt;=$S63),$V63,IF(AND($R63&lt;&gt;"",EDATE($D63,Milestones!$AA$40)&gt;=$R63),$U63,$T63)))=Milestones!$AB$40),TEXT(EDATE($D63,Milestones!$AA$40),"dd/mm/yy")&amp;" "&amp;Milestones!$AB$40&amp;" "&amp;Milestones!$AC$40&amp;";  ","")&amp;IF(AND(EDATE($D63,Milestones!$AA$41)&lt;=AsOfDate,IF($Q63=0,$W63,IF(AND($S63&lt;&gt;"",EDATE($D63,Milestones!$AA$41)&gt;=$S63),$V63,IF(AND($R63&lt;&gt;"",EDATE($D63,Milestones!$AA$41)&gt;=$R63),$U63,$T63)))=Milestones!$AB$41),TEXT(EDATE($D63,Milestones!$AA$41),"dd/mm/yy")&amp;" "&amp;Milestones!$AB$41&amp;" "&amp;Milestones!$AC$41&amp;";  ","")&amp;IF(AND(EDATE($D63,Milestones!$AA$42)&lt;=AsOfDate,IF($Q63=0,$W63,IF(AND($S63&lt;&gt;"",EDATE($D63,Milestones!$AA$42)&gt;=$S63),$V63,IF(AND($R63&lt;&gt;"",EDATE($D63,Milestones!$AA$42)&gt;=$R63),$U63,$T63)))=Milestones!$AB$42),TEXT(EDATE($D63,Milestones!$AA$42),"dd/mm/yy")&amp;" "&amp;Milestones!$AB$42&amp;" "&amp;Milestones!$AC$42&amp;";  ","")&amp;IF(AND(EDATE($D63,Milestones!$AA$43)&lt;=AsOfDate,IF($Q63=0,$W63,IF(AND($S63&lt;&gt;"",EDATE($D63,Milestones!$AA$43)&gt;=$S63),$V63,IF(AND($R63&lt;&gt;"",EDATE($D63,Milestones!$AA$43)&gt;=$R63),$U63,$T63)))=Milestones!$AB$43),TEXT(EDATE($D63,Milestones!$AA$43),"dd/mm/yy")&amp;" "&amp;Milestones!$AB$43&amp;" "&amp;Milestones!$AC$43&amp;";  ","")&amp;IF(AND(EDATE($D63,Milestones!$AA$44)&lt;=AsOfDate,IF($Q63=0,$W63,IF(AND($S63&lt;&gt;"",EDATE($D63,Milestones!$AA$44)&gt;=$S63),$V63,IF(AND($R63&lt;&gt;"",EDATE($D63,Milestones!$AA$44)&gt;=$R63),$U63,$T63)))=Milestones!$AB$44),TEXT(EDATE($D63,Milestones!$AA$44),"dd/mm/yy")&amp;" "&amp;Milestones!$AB$44&amp;" "&amp;Milestones!$AC$44&amp;";  ","")&amp;IF(AND(EDATE($D63,Milestones!$AA$45)&lt;=AsOfDate,IF($Q63=0,$W63,IF(AND($S63&lt;&gt;"",EDATE($D63,Milestones!$AA$45)&gt;=$S63),$V63,IF(AND($R63&lt;&gt;"",EDATE($D63,Milestones!$AA$45)&gt;=$R63),$U63,$T63)))=Milestones!$AB$45),TEXT(EDATE($D63,Milestones!$AA$45),"dd/mm/yy")&amp;" "&amp;Milestones!$AB$45&amp;" "&amp;Milestones!$AC$45&amp;";  ","")&amp;IF(AND(EDATE($D63,Milestones!$AA$46)&lt;=AsOfDate,IF($Q63=0,$W63,IF(AND($S63&lt;&gt;"",EDATE($D63,Milestones!$AA$46)&gt;=$S63),$V63,IF(AND($R63&lt;&gt;"",EDATE($D63,Milestones!$AA$46)&gt;=$R63),$U63,$T63)))=Milestones!$AB$46),TEXT(EDATE($D63,Milestones!$AA$46),"dd/mm/yy")&amp;" "&amp;Milestones!$AB$46&amp;" "&amp;Milestones!$AC$46&amp;";  ","")&amp;IF(AND(EDATE($D63,Milestones!$AA$47)&lt;=AsOfDate,IF($Q63=0,$W63,IF(AND($S63&lt;&gt;"",EDATE($D63,Milestones!$AA$47)&gt;=$S63),$V63,IF(AND($R63&lt;&gt;"",EDATE($D63,Milestones!$AA$47)&gt;=$R63),$U63,$T63)))=Milestones!$AB$47),TEXT(EDATE($D63,Milestones!$AA$47),"dd/mm/yy")&amp;" "&amp;Milestones!$AB$47&amp;" "&amp;Milestones!$AC$47&amp;";  ","")&amp;IF(AND(EDATE($D63,Milestones!$AA$48)&lt;=AsOfDate,IF($Q63=0,$W63,IF(AND($S63&lt;&gt;"",EDATE($D63,Milestones!$AA$48)&gt;=$S63),$V63,IF(AND($R63&lt;&gt;"",EDATE($D63,Milestones!$AA$48)&gt;=$R63),$U63,$T63)))=Milestones!$AB$48),TEXT(EDATE($D63,Milestones!$AA$48),"dd/mm/yy")&amp;" "&amp;Milestones!$AB$48&amp;" "&amp;Milestones!$AC$48&amp;";  ","")&amp;IF(AND(EDATE($D63,Milestones!$AA$49)&lt;=AsOfDate,IF($Q63=0,$W63,IF(AND($S63&lt;&gt;"",EDATE($D63,Milestones!$AA$49)&gt;=$S63),$V63,IF(AND($R63&lt;&gt;"",EDATE($D63,Milestones!$AA$49)&gt;=$R63),$U63,$T63)))=Milestones!$AB$49),TEXT(EDATE($D63,Milestones!$AA$49),"dd/mm/yy")&amp;" "&amp;Milestones!$AB$49&amp;" "&amp;Milestones!$AC$49&amp;";  ","")&amp;IF(AND(EDATE($D63,Milestones!$AA$50)&lt;=AsOfDate,IF($Q63=0,$W63,IF(AND($S63&lt;&gt;"",EDATE($D63,Milestones!$AA$50)&gt;=$S63),$V63,IF(AND($R63&lt;&gt;"",EDATE($D63,Milestones!$AA$50)&gt;=$R63),$U63,$T63)))=Milestones!$AB$50),TEXT(EDATE($D63,Milestones!$AA$50),"dd/mm/yy")&amp;" "&amp;Milestones!$AB$50&amp;" "&amp;Milestones!$AC$50&amp;";  ","")&amp;IF(AND(EDATE($D63,Milestones!$AA$51)&lt;=AsOfDate,IF($Q63=0,$W63,IF(AND($S63&lt;&gt;"",EDATE($D63,Milestones!$AA$51)&gt;=$S63),$V63,IF(AND($R63&lt;&gt;"",EDATE($D63,Milestones!$AA$51)&gt;=$R63),$U63,$T63)))=Milestones!$AB$51),TEXT(EDATE($D63,Milestones!$AA$51),"dd/mm/yy")&amp;" "&amp;Milestones!$AB$51&amp;" "&amp;Milestones!$AC$51&amp;";  ","")&amp;IF(AND(EDATE($D63,Milestones!$AA$52)&lt;=AsOfDate,IF($Q63=0,$W63,IF(AND($S63&lt;&gt;"",EDATE($D63,Milestones!$AA$52)&gt;=$S63),$V63,IF(AND($R63&lt;&gt;"",EDATE($D63,Milestones!$AA$52)&gt;=$R63),$U63,$T63)))=Milestones!$AB$52),TEXT(EDATE($D63,Milestones!$AA$52),"dd/mm/yy")&amp;" "&amp;Milestones!$AB$52&amp;" "&amp;Milestones!$AC$52&amp;";  ","")&amp;IF(AND(EDATE($D63,Milestones!$AA$53)&lt;=AsOfDate,IF($Q63=0,$W63,IF(AND($S63&lt;&gt;"",EDATE($D63,Milestones!$AA$53)&gt;=$S63),$V63,IF(AND($R63&lt;&gt;"",EDATE($D63,Milestones!$AA$53)&gt;=$R63),$U63,$T63)))=Milestones!$AB$53),TEXT(EDATE($D63,Milestones!$AA$53),"dd/mm/yy")&amp;" "&amp;Milestones!$AB$53&amp;" "&amp;Milestones!$AC$53&amp;";  ","")&amp;IF(AND(EDATE($D63,Milestones!$AA$54)&lt;=AsOfDate,IF($Q63=0,$W63,IF(AND($S63&lt;&gt;"",EDATE($D63,Milestones!$AA$54)&gt;=$S63),$V63,IF(AND($R63&lt;&gt;"",EDATE($D63,Milestones!$AA$54)&gt;=$R63),$U63,$T63)))=Milestones!$AB$54),TEXT(EDATE($D63,Milestones!$AA$54),"dd/mm/yy")&amp;" "&amp;Milestones!$AB$54&amp;" "&amp;Milestones!$AC$54&amp;";  ","")&amp;IF(AND(EDATE($D63,Milestones!$AA$55)&lt;=AsOfDate,IF($Q63=0,$W63,IF(AND($S63&lt;&gt;"",EDATE($D63,Milestones!$AA$55)&gt;=$S63),$V63,IF(AND($R63&lt;&gt;"",EDATE($D63,Milestones!$AA$55)&gt;=$R63),$U63,$T63)))=Milestones!$AB$55),TEXT(EDATE($D63,Milestones!$AA$55),"dd/mm/yy")&amp;" "&amp;Milestones!$AB$55&amp;" "&amp;Milestones!$AC$55&amp;";  ","")&amp;IF(AND(EDATE($D63,Milestones!$AA$56)&lt;=AsOfDate,IF($Q63=0,$W63,IF(AND($S63&lt;&gt;"",EDATE($D63,Milestones!$AA$56)&gt;=$S63),$V63,IF(AND($R63&lt;&gt;"",EDATE($D63,Milestones!$AA$56)&gt;=$R63),$U63,$T63)))=Milestones!$AB$56),TEXT(EDATE($D63,Milestones!$AA$56),"dd/mm/yy")&amp;" "&amp;Milestones!$AB$56&amp;" "&amp;Milestones!$AC$56&amp;";  ","")&amp;IF(AND(EDATE($D63,Milestones!$AA$57)&lt;=AsOfDate,IF($Q63=0,$W63,IF(AND($S63&lt;&gt;"",EDATE($D63,Milestones!$AA$57)&gt;=$S63),$V63,IF(AND($R63&lt;&gt;"",EDATE($D63,Milestones!$AA$57)&gt;=$R63),$U63,$T63)))=Milestones!$AB$57),TEXT(EDATE($D63,Milestones!$AA$57),"dd/mm/yy")&amp;" "&amp;Milestones!$AB$57&amp;" "&amp;Milestones!$AC$57&amp;";  ","")&amp;IF(AND(EDATE($D63,Milestones!$AA$58)&lt;=AsOfDate,IF($Q63=0,$W63,IF(AND($S63&lt;&gt;"",EDATE($D63,Milestones!$AA$58)&gt;=$S63),$V63,IF(AND($R63&lt;&gt;"",EDATE($D63,Milestones!$AA$58)&gt;=$R63),$U63,$T63)))=Milestones!$AB$58),TEXT(EDATE($D63,Milestones!$AA$58),"dd/mm/yy")&amp;" "&amp;Milestones!$AB$58&amp;" "&amp;Milestones!$AC$58&amp;";  ","")&amp;IF(AND(EDATE($D63,Milestones!$AA$59)&lt;=AsOfDate,IF($Q63=0,$W63,IF(AND($S63&lt;&gt;"",EDATE($D63,Milestones!$AA$59)&gt;=$S63),$V63,IF(AND($R63&lt;&gt;"",EDATE($D63,Milestones!$AA$59)&gt;=$R63),$U63,$T63)))=Milestones!$AB$59),TEXT(EDATE($D63,Milestones!$AA$59),"dd/mm/yy")&amp;" "&amp;Milestones!$AB$59&amp;" "&amp;Milestones!$AC$59&amp;";  ",""))</f>
        <v/>
      </c>
      <c r="J63" s="0" t="str">
        <f aca="false">IF(OR($A63="",$D63=""),"",IF(AND(EDATE($D63,Milestones!$AA$60)&lt;=AsOfDate,IF($Q63=0,$W63,IF(AND($S63&lt;&gt;"",EDATE($D63,Milestones!$AA$60)&gt;=$S63),$V63,IF(AND($R63&lt;&gt;"",EDATE($D63,Milestones!$AA$60)&gt;=$R63),$U63,$T63)))=Milestones!$AB$60),TEXT(EDATE($D63,Milestones!$AA$60),"dd/mm/yy")&amp;" "&amp;Milestones!$AB$60&amp;" "&amp;Milestones!$AC$60&amp;";  ","")&amp;IF(AND(EDATE($D63,Milestones!$AA$61)&lt;=AsOfDate,IF($Q63=0,$W63,IF(AND($S63&lt;&gt;"",EDATE($D63,Milestones!$AA$61)&gt;=$S63),$V63,IF(AND($R63&lt;&gt;"",EDATE($D63,Milestones!$AA$61)&gt;=$R63),$U63,$T63)))=Milestones!$AB$61),TEXT(EDATE($D63,Milestones!$AA$61),"dd/mm/yy")&amp;" "&amp;Milestones!$AB$61&amp;" "&amp;Milestones!$AC$61&amp;";  ","")&amp;IF(AND(EDATE($D63,Milestones!$AA$62)&lt;=AsOfDate,IF($Q63=0,$W63,IF(AND($S63&lt;&gt;"",EDATE($D63,Milestones!$AA$62)&gt;=$S63),$V63,IF(AND($R63&lt;&gt;"",EDATE($D63,Milestones!$AA$62)&gt;=$R63),$U63,$T63)))=Milestones!$AB$62),TEXT(EDATE($D63,Milestones!$AA$62),"dd/mm/yy")&amp;" "&amp;Milestones!$AB$62&amp;" "&amp;Milestones!$AC$62&amp;";  ","")&amp;IF(AND(EDATE($D63,Milestones!$AA$63)&lt;=AsOfDate,IF($Q63=0,$W63,IF(AND($S63&lt;&gt;"",EDATE($D63,Milestones!$AA$63)&gt;=$S63),$V63,IF(AND($R63&lt;&gt;"",EDATE($D63,Milestones!$AA$63)&gt;=$R63),$U63,$T63)))=Milestones!$AB$63),TEXT(EDATE($D63,Milestones!$AA$63),"dd/mm/yy")&amp;" "&amp;Milestones!$AB$63&amp;" "&amp;Milestones!$AC$63&amp;";  ","")&amp;IF(AND(EDATE($D63,Milestones!$AA$64)&lt;=AsOfDate,IF($Q63=0,$W63,IF(AND($S63&lt;&gt;"",EDATE($D63,Milestones!$AA$64)&gt;=$S63),$V63,IF(AND($R63&lt;&gt;"",EDATE($D63,Milestones!$AA$64)&gt;=$R63),$U63,$T63)))=Milestones!$AB$64),TEXT(EDATE($D63,Milestones!$AA$64),"dd/mm/yy")&amp;" "&amp;Milestones!$AB$64&amp;" "&amp;Milestones!$AC$64&amp;";  ","")&amp;IF(AND(EDATE($D63,Milestones!$AA$65)&lt;=AsOfDate,IF($Q63=0,$W63,IF(AND($S63&lt;&gt;"",EDATE($D63,Milestones!$AA$65)&gt;=$S63),$V63,IF(AND($R63&lt;&gt;"",EDATE($D63,Milestones!$AA$65)&gt;=$R63),$U63,$T63)))=Milestones!$AB$65),TEXT(EDATE($D63,Milestones!$AA$65),"dd/mm/yy")&amp;" "&amp;Milestones!$AB$65&amp;" "&amp;Milestones!$AC$65&amp;";  ","")&amp;IF(AND(EDATE($D63,Milestones!$AA$66)&lt;=AsOfDate,IF($Q63=0,$W63,IF(AND($S63&lt;&gt;"",EDATE($D63,Milestones!$AA$66)&gt;=$S63),$V63,IF(AND($R63&lt;&gt;"",EDATE($D63,Milestones!$AA$66)&gt;=$R63),$U63,$T63)))=Milestones!$AB$66),TEXT(EDATE($D63,Milestones!$AA$66),"dd/mm/yy")&amp;" "&amp;Milestones!$AB$66&amp;" "&amp;Milestones!$AC$66&amp;";  ","")&amp;IF(AND(EDATE($D63,Milestones!$AA$67)&lt;=AsOfDate,IF($Q63=0,$W63,IF(AND($S63&lt;&gt;"",EDATE($D63,Milestones!$AA$67)&gt;=$S63),$V63,IF(AND($R63&lt;&gt;"",EDATE($D63,Milestones!$AA$67)&gt;=$R63),$U63,$T63)))=Milestones!$AB$67),TEXT(EDATE($D63,Milestones!$AA$67),"dd/mm/yy")&amp;" "&amp;Milestones!$AB$67&amp;" "&amp;Milestones!$AC$67&amp;";  ","")&amp;IF(AND(EDATE($D63,Milestones!$AA$68)&lt;=AsOfDate,IF($Q63=0,$W63,IF(AND($S63&lt;&gt;"",EDATE($D63,Milestones!$AA$68)&gt;=$S63),$V63,IF(AND($R63&lt;&gt;"",EDATE($D63,Milestones!$AA$68)&gt;=$R63),$U63,$T63)))=Milestones!$AB$68),TEXT(EDATE($D63,Milestones!$AA$68),"dd/mm/yy")&amp;" "&amp;Milestones!$AB$68&amp;" "&amp;Milestones!$AC$68&amp;";  ","")&amp;IF(AND(EDATE($D63,Milestones!$AA$69)&lt;=AsOfDate,IF($Q63=0,$W63,IF(AND($S63&lt;&gt;"",EDATE($D63,Milestones!$AA$69)&gt;=$S63),$V63,IF(AND($R63&lt;&gt;"",EDATE($D63,Milestones!$AA$69)&gt;=$R63),$U63,$T63)))=Milestones!$AB$69),TEXT(EDATE($D63,Milestones!$AA$69),"dd/mm/yy")&amp;" "&amp;Milestones!$AB$69&amp;" "&amp;Milestones!$AC$69&amp;";  ","")&amp;IF(AND(EDATE($D63,Milestones!$AA$70)&lt;=AsOfDate,IF($Q63=0,$W63,IF(AND($S63&lt;&gt;"",EDATE($D63,Milestones!$AA$70)&gt;=$S63),$V63,IF(AND($R63&lt;&gt;"",EDATE($D63,Milestones!$AA$70)&gt;=$R63),$U63,$T63)))=Milestones!$AB$70),TEXT(EDATE($D63,Milestones!$AA$70),"dd/mm/yy")&amp;" "&amp;Milestones!$AB$70&amp;" "&amp;Milestones!$AC$70&amp;";  ","")&amp;IF(AND(EDATE($D63,Milestones!$AA$71)&lt;=AsOfDate,IF($Q63=0,$W63,IF(AND($S63&lt;&gt;"",EDATE($D63,Milestones!$AA$71)&gt;=$S63),$V63,IF(AND($R63&lt;&gt;"",EDATE($D63,Milestones!$AA$71)&gt;=$R63),$U63,$T63)))=Milestones!$AB$71),TEXT(EDATE($D63,Milestones!$AA$71),"dd/mm/yy")&amp;" "&amp;Milestones!$AB$71&amp;" "&amp;Milestones!$AC$71&amp;";  ","")&amp;IF(AND(EDATE($D63,Milestones!$AA$72)&lt;=AsOfDate,IF($Q63=0,$W63,IF(AND($S63&lt;&gt;"",EDATE($D63,Milestones!$AA$72)&gt;=$S63),$V63,IF(AND($R63&lt;&gt;"",EDATE($D63,Milestones!$AA$72)&gt;=$R63),$U63,$T63)))=Milestones!$AB$72),TEXT(EDATE($D63,Milestones!$AA$72),"dd/mm/yy")&amp;" "&amp;Milestones!$AB$72&amp;" "&amp;Milestones!$AC$72&amp;";  ","")&amp;IF(AND(EDATE($D63,Milestones!$AA$73)&lt;=AsOfDate,IF($Q63=0,$W63,IF(AND($S63&lt;&gt;"",EDATE($D63,Milestones!$AA$73)&gt;=$S63),$V63,IF(AND($R63&lt;&gt;"",EDATE($D63,Milestones!$AA$73)&gt;=$R63),$U63,$T63)))=Milestones!$AB$73),TEXT(EDATE($D63,Milestones!$AA$73),"dd/mm/yy")&amp;" "&amp;Milestones!$AB$73&amp;" "&amp;Milestones!$AC$73&amp;";  ","")&amp;IF(AND(EDATE($D63,Milestones!$AA$74)&lt;=AsOfDate,IF($Q63=0,$W63,IF(AND($S63&lt;&gt;"",EDATE($D63,Milestones!$AA$74)&gt;=$S63),$V63,IF(AND($R63&lt;&gt;"",EDATE($D63,Milestones!$AA$74)&gt;=$R63),$U63,$T63)))=Milestones!$AB$74),TEXT(EDATE($D63,Milestones!$AA$74),"dd/mm/yy")&amp;" "&amp;Milestones!$AB$74&amp;" "&amp;Milestones!$AC$74&amp;";  ","")&amp;IF(AND(EDATE($D63,Milestones!$AA$75)&lt;=AsOfDate,IF($Q63=0,$W63,IF(AND($S63&lt;&gt;"",EDATE($D63,Milestones!$AA$75)&gt;=$S63),$V63,IF(AND($R63&lt;&gt;"",EDATE($D63,Milestones!$AA$75)&gt;=$R63),$U63,$T63)))=Milestones!$AB$75),TEXT(EDATE($D63,Milestones!$AA$75),"dd/mm/yy")&amp;" "&amp;Milestones!$AB$75&amp;" "&amp;Milestones!$AC$75&amp;";  ","")&amp;IF(AND(EDATE($D63,Milestones!$AA$76)&lt;=AsOfDate,IF($Q63=0,$W63,IF(AND($S63&lt;&gt;"",EDATE($D63,Milestones!$AA$76)&gt;=$S63),$V63,IF(AND($R63&lt;&gt;"",EDATE($D63,Milestones!$AA$76)&gt;=$R63),$U63,$T63)))=Milestones!$AB$76),TEXT(EDATE($D63,Milestones!$AA$76),"dd/mm/yy")&amp;" "&amp;Milestones!$AB$76&amp;" "&amp;Milestones!$AC$76&amp;";  ","")&amp;IF(AND(EDATE($D63,Milestones!$AA$77)&lt;=AsOfDate,IF($Q63=0,$W63,IF(AND($S63&lt;&gt;"",EDATE($D63,Milestones!$AA$77)&gt;=$S63),$V63,IF(AND($R63&lt;&gt;"",EDATE($D63,Milestones!$AA$77)&gt;=$R63),$U63,$T63)))=Milestones!$AB$77),TEXT(EDATE($D63,Milestones!$AA$77),"dd/mm/yy")&amp;" "&amp;Milestones!$AB$77&amp;" "&amp;Milestones!$AC$77&amp;";  ","")&amp;IF(AND(EDATE($D63,Milestones!$AA$78)&lt;=AsOfDate,IF($Q63=0,$W63,IF(AND($S63&lt;&gt;"",EDATE($D63,Milestones!$AA$78)&gt;=$S63),$V63,IF(AND($R63&lt;&gt;"",EDATE($D63,Milestones!$AA$78)&gt;=$R63),$U63,$T63)))=Milestones!$AB$78),TEXT(EDATE($D63,Milestones!$AA$78),"dd/mm/yy")&amp;" "&amp;Milestones!$AB$78&amp;" "&amp;Milestones!$AC$78&amp;";  ","")&amp;IF(AND(EDATE($D63,Milestones!$AA$79)&lt;=AsOfDate,IF($Q63=0,$W63,IF(AND($S63&lt;&gt;"",EDATE($D63,Milestones!$AA$79)&gt;=$S63),$V63,IF(AND($R63&lt;&gt;"",EDATE($D63,Milestones!$AA$79)&gt;=$R63),$U63,$T63)))=Milestones!$AB$79),TEXT(EDATE($D63,Milestones!$AA$79),"dd/mm/yy")&amp;" "&amp;Milestones!$AB$79&amp;" "&amp;Milestones!$AC$79&amp;";  ",""))</f>
        <v/>
      </c>
      <c r="K63" s="0" t="str">
        <f aca="false">IF(OR($A63="",$D63=""),"",IF(AND(EDATE($D63,Milestones!$AA$80)&lt;=AsOfDate,IF($Q63=0,$W63,IF(AND($S63&lt;&gt;"",EDATE($D63,Milestones!$AA$80)&gt;=$S63),$V63,IF(AND($R63&lt;&gt;"",EDATE($D63,Milestones!$AA$80)&gt;=$R63),$U63,$T63)))=Milestones!$AB$80),TEXT(EDATE($D63,Milestones!$AA$80),"dd/mm/yy")&amp;" "&amp;Milestones!$AB$80&amp;" "&amp;Milestones!$AC$80&amp;";  ","")&amp;IF(AND(EDATE($D63,Milestones!$AA$81)&lt;=AsOfDate,IF($Q63=0,$W63,IF(AND($S63&lt;&gt;"",EDATE($D63,Milestones!$AA$81)&gt;=$S63),$V63,IF(AND($R63&lt;&gt;"",EDATE($D63,Milestones!$AA$81)&gt;=$R63),$U63,$T63)))=Milestones!$AB$81),TEXT(EDATE($D63,Milestones!$AA$81),"dd/mm/yy")&amp;" "&amp;Milestones!$AB$81&amp;" "&amp;Milestones!$AC$81&amp;";  ","")&amp;IF(AND(EDATE($D63,Milestones!$AA$82)&lt;=AsOfDate,IF($Q63=0,$W63,IF(AND($S63&lt;&gt;"",EDATE($D63,Milestones!$AA$82)&gt;=$S63),$V63,IF(AND($R63&lt;&gt;"",EDATE($D63,Milestones!$AA$82)&gt;=$R63),$U63,$T63)))=Milestones!$AB$82),TEXT(EDATE($D63,Milestones!$AA$82),"dd/mm/yy")&amp;" "&amp;Milestones!$AB$82&amp;" "&amp;Milestones!$AC$82&amp;";  ","")&amp;IF(AND(EDATE($D63,Milestones!$AA$83)&lt;=AsOfDate,IF($Q63=0,$W63,IF(AND($S63&lt;&gt;"",EDATE($D63,Milestones!$AA$83)&gt;=$S63),$V63,IF(AND($R63&lt;&gt;"",EDATE($D63,Milestones!$AA$83)&gt;=$R63),$U63,$T63)))=Milestones!$AB$83),TEXT(EDATE($D63,Milestones!$AA$83),"dd/mm/yy")&amp;" "&amp;Milestones!$AB$83&amp;" "&amp;Milestones!$AC$83&amp;";  ","")&amp;IF(AND(EDATE($D63,Milestones!$AA$84)&lt;=AsOfDate,IF($Q63=0,$W63,IF(AND($S63&lt;&gt;"",EDATE($D63,Milestones!$AA$84)&gt;=$S63),$V63,IF(AND($R63&lt;&gt;"",EDATE($D63,Milestones!$AA$84)&gt;=$R63),$U63,$T63)))=Milestones!$AB$84),TEXT(EDATE($D63,Milestones!$AA$84),"dd/mm/yy")&amp;" "&amp;Milestones!$AB$84&amp;" "&amp;Milestones!$AC$84&amp;";  ","")&amp;IF(AND(EDATE($D63,Milestones!$AA$85)&lt;=AsOfDate,IF($Q63=0,$W63,IF(AND($S63&lt;&gt;"",EDATE($D63,Milestones!$AA$85)&gt;=$S63),$V63,IF(AND($R63&lt;&gt;"",EDATE($D63,Milestones!$AA$85)&gt;=$R63),$U63,$T63)))=Milestones!$AB$85),TEXT(EDATE($D63,Milestones!$AA$85),"dd/mm/yy")&amp;" "&amp;Milestones!$AB$85&amp;" "&amp;Milestones!$AC$85&amp;";  ","")&amp;IF(AND(EDATE($D63,Milestones!$AA$86)&lt;=AsOfDate,IF($Q63=0,$W63,IF(AND($S63&lt;&gt;"",EDATE($D63,Milestones!$AA$86)&gt;=$S63),$V63,IF(AND($R63&lt;&gt;"",EDATE($D63,Milestones!$AA$86)&gt;=$R63),$U63,$T63)))=Milestones!$AB$86),TEXT(EDATE($D63,Milestones!$AA$86),"dd/mm/yy")&amp;" "&amp;Milestones!$AB$86&amp;" "&amp;Milestones!$AC$86&amp;";  ","")&amp;IF(AND(EDATE($D63,Milestones!$AA$87)&lt;=AsOfDate,IF($Q63=0,$W63,IF(AND($S63&lt;&gt;"",EDATE($D63,Milestones!$AA$87)&gt;=$S63),$V63,IF(AND($R63&lt;&gt;"",EDATE($D63,Milestones!$AA$87)&gt;=$R63),$U63,$T63)))=Milestones!$AB$87),TEXT(EDATE($D63,Milestones!$AA$87),"dd/mm/yy")&amp;" "&amp;Milestones!$AB$87&amp;" "&amp;Milestones!$AC$87&amp;";  ","")&amp;IF(AND(EDATE($D63,Milestones!$AA$88)&lt;=AsOfDate,IF($Q63=0,$W63,IF(AND($S63&lt;&gt;"",EDATE($D63,Milestones!$AA$88)&gt;=$S63),$V63,IF(AND($R63&lt;&gt;"",EDATE($D63,Milestones!$AA$88)&gt;=$R63),$U63,$T63)))=Milestones!$AB$88),TEXT(EDATE($D63,Milestones!$AA$88),"dd/mm/yy")&amp;" "&amp;Milestones!$AB$88&amp;" "&amp;Milestones!$AC$88&amp;";  ","")&amp;IF(AND(EDATE($D63,Milestones!$AA$89)&lt;=AsOfDate,IF($Q63=0,$W63,IF(AND($S63&lt;&gt;"",EDATE($D63,Milestones!$AA$89)&gt;=$S63),$V63,IF(AND($R63&lt;&gt;"",EDATE($D63,Milestones!$AA$89)&gt;=$R63),$U63,$T63)))=Milestones!$AB$89),TEXT(EDATE($D63,Milestones!$AA$89),"dd/mm/yy")&amp;" "&amp;Milestones!$AB$89&amp;" "&amp;Milestones!$AC$89&amp;";  ","")&amp;IF(AND(EDATE($D63,Milestones!$AA$90)&lt;=AsOfDate,IF($Q63=0,$W63,IF(AND($S63&lt;&gt;"",EDATE($D63,Milestones!$AA$90)&gt;=$S63),$V63,IF(AND($R63&lt;&gt;"",EDATE($D63,Milestones!$AA$90)&gt;=$R63),$U63,$T63)))=Milestones!$AB$90),TEXT(EDATE($D63,Milestones!$AA$90),"dd/mm/yy")&amp;" "&amp;Milestones!$AB$90&amp;" "&amp;Milestones!$AC$90&amp;";  ","")&amp;IF(AND(EDATE($D63,Milestones!$AA$91)&lt;=AsOfDate,IF($Q63=0,$W63,IF(AND($S63&lt;&gt;"",EDATE($D63,Milestones!$AA$91)&gt;=$S63),$V63,IF(AND($R63&lt;&gt;"",EDATE($D63,Milestones!$AA$91)&gt;=$R63),$U63,$T63)))=Milestones!$AB$91),TEXT(EDATE($D63,Milestones!$AA$91),"dd/mm/yy")&amp;" "&amp;Milestones!$AB$91&amp;" "&amp;Milestones!$AC$91&amp;";  ","")&amp;IF(AND(EDATE($D63,Milestones!$AA$92)&lt;=AsOfDate,IF($Q63=0,$W63,IF(AND($S63&lt;&gt;"",EDATE($D63,Milestones!$AA$92)&gt;=$S63),$V63,IF(AND($R63&lt;&gt;"",EDATE($D63,Milestones!$AA$92)&gt;=$R63),$U63,$T63)))=Milestones!$AB$92),TEXT(EDATE($D63,Milestones!$AA$92),"dd/mm/yy")&amp;" "&amp;Milestones!$AB$92&amp;" "&amp;Milestones!$AC$92&amp;";  ","")&amp;IF(AND(EDATE($D63,Milestones!$AA$93)&lt;=AsOfDate,IF($Q63=0,$W63,IF(AND($S63&lt;&gt;"",EDATE($D63,Milestones!$AA$93)&gt;=$S63),$V63,IF(AND($R63&lt;&gt;"",EDATE($D63,Milestones!$AA$93)&gt;=$R63),$U63,$T63)))=Milestones!$AB$93),TEXT(EDATE($D63,Milestones!$AA$93),"dd/mm/yy")&amp;" "&amp;Milestones!$AB$93&amp;" "&amp;Milestones!$AC$93&amp;";  ","")&amp;IF(AND(EDATE($D63,Milestones!$AA$94)&lt;=AsOfDate,IF($Q63=0,$W63,IF(AND($S63&lt;&gt;"",EDATE($D63,Milestones!$AA$94)&gt;=$S63),$V63,IF(AND($R63&lt;&gt;"",EDATE($D63,Milestones!$AA$94)&gt;=$R63),$U63,$T63)))=Milestones!$AB$94),TEXT(EDATE($D63,Milestones!$AA$94),"dd/mm/yy")&amp;" "&amp;Milestones!$AB$94&amp;" "&amp;Milestones!$AC$94&amp;";  ","")&amp;IF(AND(EDATE($D63,Milestones!$AA$95)&lt;=AsOfDate,IF($Q63=0,$W63,IF(AND($S63&lt;&gt;"",EDATE($D63,Milestones!$AA$95)&gt;=$S63),$V63,IF(AND($R63&lt;&gt;"",EDATE($D63,Milestones!$AA$95)&gt;=$R63),$U63,$T63)))=Milestones!$AB$95),TEXT(EDATE($D63,Milestones!$AA$95),"dd/mm/yy")&amp;" "&amp;Milestones!$AB$95&amp;" "&amp;Milestones!$AC$95&amp;";  ","")&amp;IF(AND(EDATE($D63,Milestones!$AA$96)&lt;=AsOfDate,IF($Q63=0,$W63,IF(AND($S63&lt;&gt;"",EDATE($D63,Milestones!$AA$96)&gt;=$S63),$V63,IF(AND($R63&lt;&gt;"",EDATE($D63,Milestones!$AA$96)&gt;=$R63),$U63,$T63)))=Milestones!$AB$96),TEXT(EDATE($D63,Milestones!$AA$96),"dd/mm/yy")&amp;" "&amp;Milestones!$AB$96&amp;" "&amp;Milestones!$AC$96&amp;";  ","")&amp;IF(AND(EDATE($D63,Milestones!$AA$97)&lt;=AsOfDate,IF($Q63=0,$W63,IF(AND($S63&lt;&gt;"",EDATE($D63,Milestones!$AA$97)&gt;=$S63),$V63,IF(AND($R63&lt;&gt;"",EDATE($D63,Milestones!$AA$97)&gt;=$R63),$U63,$T63)))=Milestones!$AB$97),TEXT(EDATE($D63,Milestones!$AA$97),"dd/mm/yy")&amp;" "&amp;Milestones!$AB$97&amp;" "&amp;Milestones!$AC$97&amp;";  ","")&amp;IF(AND(EDATE($D63,Milestones!$AA$98)&lt;=AsOfDate,IF($Q63=0,$W63,IF(AND($S63&lt;&gt;"",EDATE($D63,Milestones!$AA$98)&gt;=$S63),$V63,IF(AND($R63&lt;&gt;"",EDATE($D63,Milestones!$AA$98)&gt;=$R63),$U63,$T63)))=Milestones!$AB$98),TEXT(EDATE($D63,Milestones!$AA$98),"dd/mm/yy")&amp;" "&amp;Milestones!$AB$98&amp;" "&amp;Milestones!$AC$98&amp;";  ","")&amp;IF(AND(EDATE($D63,Milestones!$AA$99)&lt;=AsOfDate,IF($Q63=0,$W63,IF(AND($S63&lt;&gt;"",EDATE($D63,Milestones!$AA$99)&gt;=$S63),$V63,IF(AND($R63&lt;&gt;"",EDATE($D63,Milestones!$AA$99)&gt;=$R63),$U63,$T63)))=Milestones!$AB$99),TEXT(EDATE($D63,Milestones!$AA$99),"dd/mm/yy")&amp;" "&amp;Milestones!$AB$99&amp;" "&amp;Milestones!$AC$99&amp;";  ",""))</f>
        <v/>
      </c>
      <c r="L63" s="0" t="str">
        <f aca="false">IF(OR($A63="",$D63=""),"",IF(AND(EDATE($D63,Milestones!$AA$100)&lt;=AsOfDate,IF($Q63=0,$W63,IF(AND($S63&lt;&gt;"",EDATE($D63,Milestones!$AA$100)&gt;=$S63),$V63,IF(AND($R63&lt;&gt;"",EDATE($D63,Milestones!$AA$100)&gt;=$R63),$U63,$T63)))=Milestones!$AB$100),TEXT(EDATE($D63,Milestones!$AA$100),"dd/mm/yy")&amp;" "&amp;Milestones!$AB$100&amp;" "&amp;Milestones!$AC$100&amp;";  ","")&amp;IF(AND(EDATE($D63,Milestones!$AA$101)&lt;=AsOfDate,IF($Q63=0,$W63,IF(AND($S63&lt;&gt;"",EDATE($D63,Milestones!$AA$101)&gt;=$S63),$V63,IF(AND($R63&lt;&gt;"",EDATE($D63,Milestones!$AA$101)&gt;=$R63),$U63,$T63)))=Milestones!$AB$101),TEXT(EDATE($D63,Milestones!$AA$101),"dd/mm/yy")&amp;" "&amp;Milestones!$AB$101&amp;" "&amp;Milestones!$AC$101&amp;";  ","")&amp;IF(AND(EDATE($D63,Milestones!$AA$102)&lt;=AsOfDate,IF($Q63=0,$W63,IF(AND($S63&lt;&gt;"",EDATE($D63,Milestones!$AA$102)&gt;=$S63),$V63,IF(AND($R63&lt;&gt;"",EDATE($D63,Milestones!$AA$102)&gt;=$R63),$U63,$T63)))=Milestones!$AB$102),TEXT(EDATE($D63,Milestones!$AA$102),"dd/mm/yy")&amp;" "&amp;Milestones!$AB$102&amp;" "&amp;Milestones!$AC$102&amp;";  ","")&amp;IF(AND(EDATE($D63,Milestones!$AA$103)&lt;=AsOfDate,IF($Q63=0,$W63,IF(AND($S63&lt;&gt;"",EDATE($D63,Milestones!$AA$103)&gt;=$S63),$V63,IF(AND($R63&lt;&gt;"",EDATE($D63,Milestones!$AA$103)&gt;=$R63),$U63,$T63)))=Milestones!$AB$103),TEXT(EDATE($D63,Milestones!$AA$103),"dd/mm/yy")&amp;" "&amp;Milestones!$AB$103&amp;" "&amp;Milestones!$AC$103&amp;";  ","")&amp;IF(AND(EDATE($D63,Milestones!$AA$104)&lt;=AsOfDate,IF($Q63=0,$W63,IF(AND($S63&lt;&gt;"",EDATE($D63,Milestones!$AA$104)&gt;=$S63),$V63,IF(AND($R63&lt;&gt;"",EDATE($D63,Milestones!$AA$104)&gt;=$R63),$U63,$T63)))=Milestones!$AB$104),TEXT(EDATE($D63,Milestones!$AA$104),"dd/mm/yy")&amp;" "&amp;Milestones!$AB$104&amp;" "&amp;Milestones!$AC$104&amp;";  ","")&amp;IF(AND(EDATE($D63,Milestones!$AA$105)&lt;=AsOfDate,IF($Q63=0,$W63,IF(AND($S63&lt;&gt;"",EDATE($D63,Milestones!$AA$105)&gt;=$S63),$V63,IF(AND($R63&lt;&gt;"",EDATE($D63,Milestones!$AA$105)&gt;=$R63),$U63,$T63)))=Milestones!$AB$105),TEXT(EDATE($D63,Milestones!$AA$105),"dd/mm/yy")&amp;" "&amp;Milestones!$AB$105&amp;" "&amp;Milestones!$AC$105&amp;";  ","")&amp;IF(AND(EDATE($D63,Milestones!$AA$106)&lt;=AsOfDate,IF($Q63=0,$W63,IF(AND($S63&lt;&gt;"",EDATE($D63,Milestones!$AA$106)&gt;=$S63),$V63,IF(AND($R63&lt;&gt;"",EDATE($D63,Milestones!$AA$106)&gt;=$R63),$U63,$T63)))=Milestones!$AB$106),TEXT(EDATE($D63,Milestones!$AA$106),"dd/mm/yy")&amp;" "&amp;Milestones!$AB$106&amp;" "&amp;Milestones!$AC$106&amp;";  ","")&amp;IF(AND(EDATE($D63,Milestones!$AA$107)&lt;=AsOfDate,IF($Q63=0,$W63,IF(AND($S63&lt;&gt;"",EDATE($D63,Milestones!$AA$107)&gt;=$S63),$V63,IF(AND($R63&lt;&gt;"",EDATE($D63,Milestones!$AA$107)&gt;=$R63),$U63,$T63)))=Milestones!$AB$107),TEXT(EDATE($D63,Milestones!$AA$107),"dd/mm/yy")&amp;" "&amp;Milestones!$AB$107&amp;" "&amp;Milestones!$AC$107&amp;";  ","")&amp;IF(AND(EDATE($D63,Milestones!$AA$108)&lt;=AsOfDate,IF($Q63=0,$W63,IF(AND($S63&lt;&gt;"",EDATE($D63,Milestones!$AA$108)&gt;=$S63),$V63,IF(AND($R63&lt;&gt;"",EDATE($D63,Milestones!$AA$108)&gt;=$R63),$U63,$T63)))=Milestones!$AB$108),TEXT(EDATE($D63,Milestones!$AA$108),"dd/mm/yy")&amp;" "&amp;Milestones!$AB$108&amp;" "&amp;Milestones!$AC$108&amp;";  ","")&amp;IF(AND(EDATE($D63,Milestones!$AA$109)&lt;=AsOfDate,IF($Q63=0,$W63,IF(AND($S63&lt;&gt;"",EDATE($D63,Milestones!$AA$109)&gt;=$S63),$V63,IF(AND($R63&lt;&gt;"",EDATE($D63,Milestones!$AA$109)&gt;=$R63),$U63,$T63)))=Milestones!$AB$109),TEXT(EDATE($D63,Milestones!$AA$109),"dd/mm/yy")&amp;" "&amp;Milestones!$AB$109&amp;" "&amp;Milestones!$AC$109&amp;";  ","")&amp;IF(AND(EDATE($D63,Milestones!$AA$110)&lt;=AsOfDate,IF($Q63=0,$W63,IF(AND($S63&lt;&gt;"",EDATE($D63,Milestones!$AA$110)&gt;=$S63),$V63,IF(AND($R63&lt;&gt;"",EDATE($D63,Milestones!$AA$110)&gt;=$R63),$U63,$T63)))=Milestones!$AB$110),TEXT(EDATE($D63,Milestones!$AA$110),"dd/mm/yy")&amp;" "&amp;Milestones!$AB$110&amp;" "&amp;Milestones!$AC$110&amp;";  ","")&amp;IF(AND(EDATE($D63,Milestones!$AA$111)&lt;=AsOfDate,IF($Q63=0,$W63,IF(AND($S63&lt;&gt;"",EDATE($D63,Milestones!$AA$111)&gt;=$S63),$V63,IF(AND($R63&lt;&gt;"",EDATE($D63,Milestones!$AA$111)&gt;=$R63),$U63,$T63)))=Milestones!$AB$111),TEXT(EDATE($D63,Milestones!$AA$111),"dd/mm/yy")&amp;" "&amp;Milestones!$AB$111&amp;" "&amp;Milestones!$AC$111&amp;";  ","")&amp;IF(AND(EDATE($D63,Milestones!$AA$112)&lt;=AsOfDate,IF($Q63=0,$W63,IF(AND($S63&lt;&gt;"",EDATE($D63,Milestones!$AA$112)&gt;=$S63),$V63,IF(AND($R63&lt;&gt;"",EDATE($D63,Milestones!$AA$112)&gt;=$R63),$U63,$T63)))=Milestones!$AB$112),TEXT(EDATE($D63,Milestones!$AA$112),"dd/mm/yy")&amp;" "&amp;Milestones!$AB$112&amp;" "&amp;Milestones!$AC$112&amp;";  ","")&amp;IF(AND(EDATE($D63,Milestones!$AA$113)&lt;=AsOfDate,IF($Q63=0,$W63,IF(AND($S63&lt;&gt;"",EDATE($D63,Milestones!$AA$113)&gt;=$S63),$V63,IF(AND($R63&lt;&gt;"",EDATE($D63,Milestones!$AA$113)&gt;=$R63),$U63,$T63)))=Milestones!$AB$113),TEXT(EDATE($D63,Milestones!$AA$113),"dd/mm/yy")&amp;" "&amp;Milestones!$AB$113&amp;" "&amp;Milestones!$AC$113&amp;";  ","")&amp;IF(AND(EDATE($D63,Milestones!$AA$114)&lt;=AsOfDate,IF($Q63=0,$W63,IF(AND($S63&lt;&gt;"",EDATE($D63,Milestones!$AA$114)&gt;=$S63),$V63,IF(AND($R63&lt;&gt;"",EDATE($D63,Milestones!$AA$114)&gt;=$R63),$U63,$T63)))=Milestones!$AB$114),TEXT(EDATE($D63,Milestones!$AA$114),"dd/mm/yy")&amp;" "&amp;Milestones!$AB$114&amp;" "&amp;Milestones!$AC$114&amp;";  ","")&amp;IF(AND(EDATE($D63,Milestones!$AA$115)&lt;=AsOfDate,IF($Q63=0,$W63,IF(AND($S63&lt;&gt;"",EDATE($D63,Milestones!$AA$115)&gt;=$S63),$V63,IF(AND($R63&lt;&gt;"",EDATE($D63,Milestones!$AA$115)&gt;=$R63),$U63,$T63)))=Milestones!$AB$115),TEXT(EDATE($D63,Milestones!$AA$115),"dd/mm/yy")&amp;" "&amp;Milestones!$AB$115&amp;" "&amp;Milestones!$AC$115&amp;";  ","")&amp;IF(AND(EDATE($D63,Milestones!$AA$116)&lt;=AsOfDate,IF($Q63=0,$W63,IF(AND($S63&lt;&gt;"",EDATE($D63,Milestones!$AA$116)&gt;=$S63),$V63,IF(AND($R63&lt;&gt;"",EDATE($D63,Milestones!$AA$116)&gt;=$R63),$U63,$T63)))=Milestones!$AB$116),TEXT(EDATE($D63,Milestones!$AA$116),"dd/mm/yy")&amp;" "&amp;Milestones!$AB$116&amp;" "&amp;Milestones!$AC$116&amp;";  ","")&amp;IF(AND(EDATE($D63,Milestones!$AA$117)&lt;=AsOfDate,IF($Q63=0,$W63,IF(AND($S63&lt;&gt;"",EDATE($D63,Milestones!$AA$117)&gt;=$S63),$V63,IF(AND($R63&lt;&gt;"",EDATE($D63,Milestones!$AA$117)&gt;=$R63),$U63,$T63)))=Milestones!$AB$117),TEXT(EDATE($D63,Milestones!$AA$117),"dd/mm/yy")&amp;" "&amp;Milestones!$AB$117&amp;" "&amp;Milestones!$AC$117&amp;";  ","")&amp;IF(AND(EDATE($D63,Milestones!$AA$118)&lt;=AsOfDate,IF($Q63=0,$W63,IF(AND($S63&lt;&gt;"",EDATE($D63,Milestones!$AA$118)&gt;=$S63),$V63,IF(AND($R63&lt;&gt;"",EDATE($D63,Milestones!$AA$118)&gt;=$R63),$U63,$T63)))=Milestones!$AB$118),TEXT(EDATE($D63,Milestones!$AA$118),"dd/mm/yy")&amp;" "&amp;Milestones!$AB$118&amp;" "&amp;Milestones!$AC$118&amp;";  ","")&amp;IF(AND(EDATE($D63,Milestones!$AA$119)&lt;=AsOfDate,IF($Q63=0,$W63,IF(AND($S63&lt;&gt;"",EDATE($D63,Milestones!$AA$119)&gt;=$S63),$V63,IF(AND($R63&lt;&gt;"",EDATE($D63,Milestones!$AA$119)&gt;=$R63),$U63,$T63)))=Milestones!$AB$119),TEXT(EDATE($D63,Milestones!$AA$119),"dd/mm/yy")&amp;" "&amp;Milestones!$AB$119&amp;" "&amp;Milestones!$AC$119&amp;";  ",""))</f>
        <v/>
      </c>
      <c r="M63" s="0" t="str">
        <f aca="false">IF(OR($A63="",$D63=""),"",IF(AND(EDATE($D63,Milestones!$AA$120)&lt;=AsOfDate,IF($Q63=0,$W63,IF(AND($S63&lt;&gt;"",EDATE($D63,Milestones!$AA$120)&gt;=$S63),$V63,IF(AND($R63&lt;&gt;"",EDATE($D63,Milestones!$AA$120)&gt;=$R63),$U63,$T63)))=Milestones!$AB$120),TEXT(EDATE($D63,Milestones!$AA$120),"dd/mm/yy")&amp;" "&amp;Milestones!$AB$120&amp;" "&amp;Milestones!$AC$120&amp;";  ","")&amp;IF(AND(EDATE($D63,Milestones!$AA$121)&lt;=AsOfDate,IF($Q63=0,$W63,IF(AND($S63&lt;&gt;"",EDATE($D63,Milestones!$AA$121)&gt;=$S63),$V63,IF(AND($R63&lt;&gt;"",EDATE($D63,Milestones!$AA$121)&gt;=$R63),$U63,$T63)))=Milestones!$AB$121),TEXT(EDATE($D63,Milestones!$AA$121),"dd/mm/yy")&amp;" "&amp;Milestones!$AB$121&amp;" "&amp;Milestones!$AC$121&amp;";  ","")&amp;IF(AND(EDATE($D63,Milestones!$AA$122)&lt;=AsOfDate,IF($Q63=0,$W63,IF(AND($S63&lt;&gt;"",EDATE($D63,Milestones!$AA$122)&gt;=$S63),$V63,IF(AND($R63&lt;&gt;"",EDATE($D63,Milestones!$AA$122)&gt;=$R63),$U63,$T63)))=Milestones!$AB$122),TEXT(EDATE($D63,Milestones!$AA$122),"dd/mm/yy")&amp;" "&amp;Milestones!$AB$122&amp;" "&amp;Milestones!$AC$122&amp;";  ","")&amp;IF(AND(EDATE($D63,Milestones!$AA$123)&lt;=AsOfDate,IF($Q63=0,$W63,IF(AND($S63&lt;&gt;"",EDATE($D63,Milestones!$AA$123)&gt;=$S63),$V63,IF(AND($R63&lt;&gt;"",EDATE($D63,Milestones!$AA$123)&gt;=$R63),$U63,$T63)))=Milestones!$AB$123),TEXT(EDATE($D63,Milestones!$AA$123),"dd/mm/yy")&amp;" "&amp;Milestones!$AB$123&amp;" "&amp;Milestones!$AC$123&amp;";  ","")&amp;IF(AND(EDATE($D63,Milestones!$AA$124)&lt;=AsOfDate,IF($Q63=0,$W63,IF(AND($S63&lt;&gt;"",EDATE($D63,Milestones!$AA$124)&gt;=$S63),$V63,IF(AND($R63&lt;&gt;"",EDATE($D63,Milestones!$AA$124)&gt;=$R63),$U63,$T63)))=Milestones!$AB$124),TEXT(EDATE($D63,Milestones!$AA$124),"dd/mm/yy")&amp;" "&amp;Milestones!$AB$124&amp;" "&amp;Milestones!$AC$124&amp;";  ","")&amp;IF(AND(EDATE($D63,Milestones!$AA$125)&lt;=AsOfDate,IF($Q63=0,$W63,IF(AND($S63&lt;&gt;"",EDATE($D63,Milestones!$AA$125)&gt;=$S63),$V63,IF(AND($R63&lt;&gt;"",EDATE($D63,Milestones!$AA$125)&gt;=$R63),$U63,$T63)))=Milestones!$AB$125),TEXT(EDATE($D63,Milestones!$AA$125),"dd/mm/yy")&amp;" "&amp;Milestones!$AB$125&amp;" "&amp;Milestones!$AC$125&amp;";  ","")&amp;IF(AND(EDATE($D63,Milestones!$AA$126)&lt;=AsOfDate,IF($Q63=0,$W63,IF(AND($S63&lt;&gt;"",EDATE($D63,Milestones!$AA$126)&gt;=$S63),$V63,IF(AND($R63&lt;&gt;"",EDATE($D63,Milestones!$AA$126)&gt;=$R63),$U63,$T63)))=Milestones!$AB$126),TEXT(EDATE($D63,Milestones!$AA$126),"dd/mm/yy")&amp;" "&amp;Milestones!$AB$126&amp;" "&amp;Milestones!$AC$126&amp;";  ","")&amp;IF(AND(EDATE($D63,Milestones!$AA$127)&lt;=AsOfDate,IF($Q63=0,$W63,IF(AND($S63&lt;&gt;"",EDATE($D63,Milestones!$AA$127)&gt;=$S63),$V63,IF(AND($R63&lt;&gt;"",EDATE($D63,Milestones!$AA$127)&gt;=$R63),$U63,$T63)))=Milestones!$AB$127),TEXT(EDATE($D63,Milestones!$AA$127),"dd/mm/yy")&amp;" "&amp;Milestones!$AB$127&amp;" "&amp;Milestones!$AC$127&amp;";  ","")&amp;IF(AND(EDATE($D63,Milestones!$AA$128)&lt;=AsOfDate,IF($Q63=0,$W63,IF(AND($S63&lt;&gt;"",EDATE($D63,Milestones!$AA$128)&gt;=$S63),$V63,IF(AND($R63&lt;&gt;"",EDATE($D63,Milestones!$AA$128)&gt;=$R63),$U63,$T63)))=Milestones!$AB$128),TEXT(EDATE($D63,Milestones!$AA$128),"dd/mm/yy")&amp;" "&amp;Milestones!$AB$128&amp;" "&amp;Milestones!$AC$128&amp;";  ","")&amp;IF(AND(EDATE($D63,Milestones!$AA$129)&lt;=AsOfDate,IF($Q63=0,$W63,IF(AND($S63&lt;&gt;"",EDATE($D63,Milestones!$AA$129)&gt;=$S63),$V63,IF(AND($R63&lt;&gt;"",EDATE($D63,Milestones!$AA$129)&gt;=$R63),$U63,$T63)))=Milestones!$AB$129),TEXT(EDATE($D63,Milestones!$AA$129),"dd/mm/yy")&amp;" "&amp;Milestones!$AB$129&amp;" "&amp;Milestones!$AC$129&amp;";  ","")&amp;IF(AND(EDATE($D63,Milestones!$AA$130)&lt;=AsOfDate,IF($Q63=0,$W63,IF(AND($S63&lt;&gt;"",EDATE($D63,Milestones!$AA$130)&gt;=$S63),$V63,IF(AND($R63&lt;&gt;"",EDATE($D63,Milestones!$AA$130)&gt;=$R63),$U63,$T63)))=Milestones!$AB$130),TEXT(EDATE($D63,Milestones!$AA$130),"dd/mm/yy")&amp;" "&amp;Milestones!$AB$130&amp;" "&amp;Milestones!$AC$130&amp;";  ","")&amp;IF(AND(EDATE($D63,Milestones!$AA$131)&lt;=AsOfDate,IF($Q63=0,$W63,IF(AND($S63&lt;&gt;"",EDATE($D63,Milestones!$AA$131)&gt;=$S63),$V63,IF(AND($R63&lt;&gt;"",EDATE($D63,Milestones!$AA$131)&gt;=$R63),$U63,$T63)))=Milestones!$AB$131),TEXT(EDATE($D63,Milestones!$AA$131),"dd/mm/yy")&amp;" "&amp;Milestones!$AB$131&amp;" "&amp;Milestones!$AC$131&amp;";  ","")&amp;IF(AND(EDATE($D63,Milestones!$AA$132)&lt;=AsOfDate,IF($Q63=0,$W63,IF(AND($S63&lt;&gt;"",EDATE($D63,Milestones!$AA$132)&gt;=$S63),$V63,IF(AND($R63&lt;&gt;"",EDATE($D63,Milestones!$AA$132)&gt;=$R63),$U63,$T63)))=Milestones!$AB$132),TEXT(EDATE($D63,Milestones!$AA$132),"dd/mm/yy")&amp;" "&amp;Milestones!$AB$132&amp;" "&amp;Milestones!$AC$132&amp;";  ","")&amp;IF(AND(EDATE($D63,Milestones!$AA$133)&lt;=AsOfDate,IF($Q63=0,$W63,IF(AND($S63&lt;&gt;"",EDATE($D63,Milestones!$AA$133)&gt;=$S63),$V63,IF(AND($R63&lt;&gt;"",EDATE($D63,Milestones!$AA$133)&gt;=$R63),$U63,$T63)))=Milestones!$AB$133),TEXT(EDATE($D63,Milestones!$AA$133),"dd/mm/yy")&amp;" "&amp;Milestones!$AB$133&amp;" "&amp;Milestones!$AC$133&amp;";  ","")&amp;IF(AND(EDATE($D63,Milestones!$AA$134)&lt;=AsOfDate,IF($Q63=0,$W63,IF(AND($S63&lt;&gt;"",EDATE($D63,Milestones!$AA$134)&gt;=$S63),$V63,IF(AND($R63&lt;&gt;"",EDATE($D63,Milestones!$AA$134)&gt;=$R63),$U63,$T63)))=Milestones!$AB$134),TEXT(EDATE($D63,Milestones!$AA$134),"dd/mm/yy")&amp;" "&amp;Milestones!$AB$134&amp;" "&amp;Milestones!$AC$134&amp;";  ","")&amp;IF(AND(EDATE($D63,Milestones!$AA$135)&lt;=AsOfDate,IF($Q63=0,$W63,IF(AND($S63&lt;&gt;"",EDATE($D63,Milestones!$AA$135)&gt;=$S63),$V63,IF(AND($R63&lt;&gt;"",EDATE($D63,Milestones!$AA$135)&gt;=$R63),$U63,$T63)))=Milestones!$AB$135),TEXT(EDATE($D63,Milestones!$AA$135),"dd/mm/yy")&amp;" "&amp;Milestones!$AB$135&amp;" "&amp;Milestones!$AC$135&amp;";  ","")&amp;IF(AND(EDATE($D63,Milestones!$AA$136)&lt;=AsOfDate,IF($Q63=0,$W63,IF(AND($S63&lt;&gt;"",EDATE($D63,Milestones!$AA$136)&gt;=$S63),$V63,IF(AND($R63&lt;&gt;"",EDATE($D63,Milestones!$AA$136)&gt;=$R63),$U63,$T63)))=Milestones!$AB$136),TEXT(EDATE($D63,Milestones!$AA$136),"dd/mm/yy")&amp;" "&amp;Milestones!$AB$136&amp;" "&amp;Milestones!$AC$136&amp;";  ","")&amp;IF(AND(EDATE($D63,Milestones!$AA$137)&lt;=AsOfDate,IF($Q63=0,$W63,IF(AND($S63&lt;&gt;"",EDATE($D63,Milestones!$AA$137)&gt;=$S63),$V63,IF(AND($R63&lt;&gt;"",EDATE($D63,Milestones!$AA$137)&gt;=$R63),$U63,$T63)))=Milestones!$AB$137),TEXT(EDATE($D63,Milestones!$AA$137),"dd/mm/yy")&amp;" "&amp;Milestones!$AB$137&amp;" "&amp;Milestones!$AC$137&amp;";  ","")&amp;IF(AND(EDATE($D63,Milestones!$AA$138)&lt;=AsOfDate,IF($Q63=0,$W63,IF(AND($S63&lt;&gt;"",EDATE($D63,Milestones!$AA$138)&gt;=$S63),$V63,IF(AND($R63&lt;&gt;"",EDATE($D63,Milestones!$AA$138)&gt;=$R63),$U63,$T63)))=Milestones!$AB$138),TEXT(EDATE($D63,Milestones!$AA$138),"dd/mm/yy")&amp;" "&amp;Milestones!$AB$138&amp;" "&amp;Milestones!$AC$138&amp;";  ","")&amp;IF(AND(EDATE($D63,Milestones!$AA$139)&lt;=AsOfDate,IF($Q63=0,$W63,IF(AND($S63&lt;&gt;"",EDATE($D63,Milestones!$AA$139)&gt;=$S63),$V63,IF(AND($R63&lt;&gt;"",EDATE($D63,Milestones!$AA$139)&gt;=$R63),$U63,$T63)))=Milestones!$AB$139),TEXT(EDATE($D63,Milestones!$AA$139),"dd/mm/yy")&amp;" "&amp;Milestones!$AB$139&amp;" "&amp;Milestones!$AC$139&amp;";  ",""))</f>
        <v/>
      </c>
      <c r="N63" s="0" t="str">
        <f aca="false">IF(OR($A63="",$D63=""),"",IF(AND(EDATE($D63,Milestones!$AA$140)&lt;=AsOfDate,IF($Q63=0,$W63,IF(AND($S63&lt;&gt;"",EDATE($D63,Milestones!$AA$140)&gt;=$S63),$V63,IF(AND($R63&lt;&gt;"",EDATE($D63,Milestones!$AA$140)&gt;=$R63),$U63,$T63)))=Milestones!$AB$140),TEXT(EDATE($D63,Milestones!$AA$140),"dd/mm/yy")&amp;" "&amp;Milestones!$AB$140&amp;" "&amp;Milestones!$AC$140&amp;";  ","")&amp;IF(AND(EDATE($D63,Milestones!$AA$141)&lt;=AsOfDate,IF($Q63=0,$W63,IF(AND($S63&lt;&gt;"",EDATE($D63,Milestones!$AA$141)&gt;=$S63),$V63,IF(AND($R63&lt;&gt;"",EDATE($D63,Milestones!$AA$141)&gt;=$R63),$U63,$T63)))=Milestones!$AB$141),TEXT(EDATE($D63,Milestones!$AA$141),"dd/mm/yy")&amp;" "&amp;Milestones!$AB$141&amp;" "&amp;Milestones!$AC$141&amp;";  ","")&amp;IF(AND(EDATE($D63,Milestones!$AA$142)&lt;=AsOfDate,IF($Q63=0,$W63,IF(AND($S63&lt;&gt;"",EDATE($D63,Milestones!$AA$142)&gt;=$S63),$V63,IF(AND($R63&lt;&gt;"",EDATE($D63,Milestones!$AA$142)&gt;=$R63),$U63,$T63)))=Milestones!$AB$142),TEXT(EDATE($D63,Milestones!$AA$142),"dd/mm/yy")&amp;" "&amp;Milestones!$AB$142&amp;" "&amp;Milestones!$AC$142&amp;";  ","")&amp;IF(AND(EDATE($D63,Milestones!$AA$143)&lt;=AsOfDate,IF($Q63=0,$W63,IF(AND($S63&lt;&gt;"",EDATE($D63,Milestones!$AA$143)&gt;=$S63),$V63,IF(AND($R63&lt;&gt;"",EDATE($D63,Milestones!$AA$143)&gt;=$R63),$U63,$T63)))=Milestones!$AB$143),TEXT(EDATE($D63,Milestones!$AA$143),"dd/mm/yy")&amp;" "&amp;Milestones!$AB$143&amp;" "&amp;Milestones!$AC$143&amp;";  ","")&amp;IF(AND(EDATE($D63,Milestones!$AA$144)&lt;=AsOfDate,IF($Q63=0,$W63,IF(AND($S63&lt;&gt;"",EDATE($D63,Milestones!$AA$144)&gt;=$S63),$V63,IF(AND($R63&lt;&gt;"",EDATE($D63,Milestones!$AA$144)&gt;=$R63),$U63,$T63)))=Milestones!$AB$144),TEXT(EDATE($D63,Milestones!$AA$144),"dd/mm/yy")&amp;" "&amp;Milestones!$AB$144&amp;" "&amp;Milestones!$AC$144&amp;";  ","")&amp;IF(AND(EDATE($D63,Milestones!$AA$145)&lt;=AsOfDate,IF($Q63=0,$W63,IF(AND($S63&lt;&gt;"",EDATE($D63,Milestones!$AA$145)&gt;=$S63),$V63,IF(AND($R63&lt;&gt;"",EDATE($D63,Milestones!$AA$145)&gt;=$R63),$U63,$T63)))=Milestones!$AB$145),TEXT(EDATE($D63,Milestones!$AA$145),"dd/mm/yy")&amp;" "&amp;Milestones!$AB$145&amp;" "&amp;Milestones!$AC$145&amp;";  ","")&amp;IF(AND(EDATE($D63,Milestones!$AA$146)&lt;=AsOfDate,IF($Q63=0,$W63,IF(AND($S63&lt;&gt;"",EDATE($D63,Milestones!$AA$146)&gt;=$S63),$V63,IF(AND($R63&lt;&gt;"",EDATE($D63,Milestones!$AA$146)&gt;=$R63),$U63,$T63)))=Milestones!$AB$146),TEXT(EDATE($D63,Milestones!$AA$146),"dd/mm/yy")&amp;" "&amp;Milestones!$AB$146&amp;" "&amp;Milestones!$AC$146&amp;";  ","")&amp;IF(AND(EDATE($D63,Milestones!$AA$147)&lt;=AsOfDate,IF($Q63=0,$W63,IF(AND($S63&lt;&gt;"",EDATE($D63,Milestones!$AA$147)&gt;=$S63),$V63,IF(AND($R63&lt;&gt;"",EDATE($D63,Milestones!$AA$147)&gt;=$R63),$U63,$T63)))=Milestones!$AB$147),TEXT(EDATE($D63,Milestones!$AA$147),"dd/mm/yy")&amp;" "&amp;Milestones!$AB$147&amp;" "&amp;Milestones!$AC$147&amp;";  ","")&amp;IF(AND(EDATE($D63,Milestones!$AA$148)&lt;=AsOfDate,IF($Q63=0,$W63,IF(AND($S63&lt;&gt;"",EDATE($D63,Milestones!$AA$148)&gt;=$S63),$V63,IF(AND($R63&lt;&gt;"",EDATE($D63,Milestones!$AA$148)&gt;=$R63),$U63,$T63)))=Milestones!$AB$148),TEXT(EDATE($D63,Milestones!$AA$148),"dd/mm/yy")&amp;" "&amp;Milestones!$AB$148&amp;" "&amp;Milestones!$AC$148&amp;";  ","")&amp;IF(AND(EDATE($D63,Milestones!$AA$149)&lt;=AsOfDate,IF($Q63=0,$W63,IF(AND($S63&lt;&gt;"",EDATE($D63,Milestones!$AA$149)&gt;=$S63),$V63,IF(AND($R63&lt;&gt;"",EDATE($D63,Milestones!$AA$149)&gt;=$R63),$U63,$T63)))=Milestones!$AB$149),TEXT(EDATE($D63,Milestones!$AA$149),"dd/mm/yy")&amp;" "&amp;Milestones!$AB$149&amp;" "&amp;Milestones!$AC$149&amp;";  ","")&amp;IF(AND(EDATE($D63,Milestones!$AA$150)&lt;=AsOfDate,IF($Q63=0,$W63,IF(AND($S63&lt;&gt;"",EDATE($D63,Milestones!$AA$150)&gt;=$S63),$V63,IF(AND($R63&lt;&gt;"",EDATE($D63,Milestones!$AA$150)&gt;=$R63),$U63,$T63)))=Milestones!$AB$150),TEXT(EDATE($D63,Milestones!$AA$150),"dd/mm/yy")&amp;" "&amp;Milestones!$AB$150&amp;" "&amp;Milestones!$AC$150&amp;";  ","")&amp;IF(AND(EDATE($D63,Milestones!$AA$151)&lt;=AsOfDate,IF($Q63=0,$W63,IF(AND($S63&lt;&gt;"",EDATE($D63,Milestones!$AA$151)&gt;=$S63),$V63,IF(AND($R63&lt;&gt;"",EDATE($D63,Milestones!$AA$151)&gt;=$R63),$U63,$T63)))=Milestones!$AB$151),TEXT(EDATE($D63,Milestones!$AA$151),"dd/mm/yy")&amp;" "&amp;Milestones!$AB$151&amp;" "&amp;Milestones!$AC$151&amp;";  ","")&amp;IF(AND(EDATE($D63,Milestones!$AA$152)&lt;=AsOfDate,IF($Q63=0,$W63,IF(AND($S63&lt;&gt;"",EDATE($D63,Milestones!$AA$152)&gt;=$S63),$V63,IF(AND($R63&lt;&gt;"",EDATE($D63,Milestones!$AA$152)&gt;=$R63),$U63,$T63)))=Milestones!$AB$152),TEXT(EDATE($D63,Milestones!$AA$152),"dd/mm/yy")&amp;" "&amp;Milestones!$AB$152&amp;" "&amp;Milestones!$AC$152&amp;";  ","")&amp;IF(AND(EDATE($D63,Milestones!$AA$153)&lt;=AsOfDate,IF($Q63=0,$W63,IF(AND($S63&lt;&gt;"",EDATE($D63,Milestones!$AA$153)&gt;=$S63),$V63,IF(AND($R63&lt;&gt;"",EDATE($D63,Milestones!$AA$153)&gt;=$R63),$U63,$T63)))=Milestones!$AB$153),TEXT(EDATE($D63,Milestones!$AA$153),"dd/mm/yy")&amp;" "&amp;Milestones!$AB$153&amp;" "&amp;Milestones!$AC$153&amp;";  ","")&amp;IF(AND(EDATE($D63,Milestones!$AA$154)&lt;=AsOfDate,IF($Q63=0,$W63,IF(AND($S63&lt;&gt;"",EDATE($D63,Milestones!$AA$154)&gt;=$S63),$V63,IF(AND($R63&lt;&gt;"",EDATE($D63,Milestones!$AA$154)&gt;=$R63),$U63,$T63)))=Milestones!$AB$154),TEXT(EDATE($D63,Milestones!$AA$154),"dd/mm/yy")&amp;" "&amp;Milestones!$AB$154&amp;" "&amp;Milestones!$AC$154&amp;";  ","")&amp;IF(AND(EDATE($D63,Milestones!$AA$155)&lt;=AsOfDate,IF($Q63=0,$W63,IF(AND($S63&lt;&gt;"",EDATE($D63,Milestones!$AA$155)&gt;=$S63),$V63,IF(AND($R63&lt;&gt;"",EDATE($D63,Milestones!$AA$155)&gt;=$R63),$U63,$T63)))=Milestones!$AB$155),TEXT(EDATE($D63,Milestones!$AA$155),"dd/mm/yy")&amp;" "&amp;Milestones!$AB$155&amp;" "&amp;Milestones!$AC$155&amp;";  ","")&amp;IF(AND(EDATE($D63,Milestones!$AA$156)&lt;=AsOfDate,IF($Q63=0,$W63,IF(AND($S63&lt;&gt;"",EDATE($D63,Milestones!$AA$156)&gt;=$S63),$V63,IF(AND($R63&lt;&gt;"",EDATE($D63,Milestones!$AA$156)&gt;=$R63),$U63,$T63)))=Milestones!$AB$156),TEXT(EDATE($D63,Milestones!$AA$156),"dd/mm/yy")&amp;" "&amp;Milestones!$AB$156&amp;" "&amp;Milestones!$AC$156&amp;";  ","")&amp;IF(AND(EDATE($D63,Milestones!$AA$157)&lt;=AsOfDate,IF($Q63=0,$W63,IF(AND($S63&lt;&gt;"",EDATE($D63,Milestones!$AA$157)&gt;=$S63),$V63,IF(AND($R63&lt;&gt;"",EDATE($D63,Milestones!$AA$157)&gt;=$R63),$U63,$T63)))=Milestones!$AB$157),TEXT(EDATE($D63,Milestones!$AA$157),"dd/mm/yy")&amp;" "&amp;Milestones!$AB$157&amp;" "&amp;Milestones!$AC$157&amp;";  ","")&amp;IF(AND(EDATE($D63,Milestones!$AA$158)&lt;=AsOfDate,IF($Q63=0,$W63,IF(AND($S63&lt;&gt;"",EDATE($D63,Milestones!$AA$158)&gt;=$S63),$V63,IF(AND($R63&lt;&gt;"",EDATE($D63,Milestones!$AA$158)&gt;=$R63),$U63,$T63)))=Milestones!$AB$158),TEXT(EDATE($D63,Milestones!$AA$158),"dd/mm/yy")&amp;" "&amp;Milestones!$AB$158&amp;" "&amp;Milestones!$AC$158&amp;";  ","")&amp;IF(AND(EDATE($D63,Milestones!$AA$159)&lt;=AsOfDate,IF($Q63=0,$W63,IF(AND($S63&lt;&gt;"",EDATE($D63,Milestones!$AA$159)&gt;=$S63),$V63,IF(AND($R63&lt;&gt;"",EDATE($D63,Milestones!$AA$159)&gt;=$R63),$U63,$T63)))=Milestones!$AB$159),TEXT(EDATE($D63,Milestones!$AA$159),"dd/mm/yy")&amp;" "&amp;Milestones!$AB$159&amp;" "&amp;Milestones!$AC$159&amp;";  ",""))</f>
        <v/>
      </c>
      <c r="O63" s="0" t="str">
        <f aca="false">IF(OR($A63="",$D63=""),"",IF(AND(EDATE($D63,Milestones!$AA$160)&lt;=AsOfDate,IF($Q63=0,$W63,IF(AND($S63&lt;&gt;"",EDATE($D63,Milestones!$AA$160)&gt;=$S63),$V63,IF(AND($R63&lt;&gt;"",EDATE($D63,Milestones!$AA$160)&gt;=$R63),$U63,$T63)))=Milestones!$AB$160),TEXT(EDATE($D63,Milestones!$AA$160),"dd/mm/yy")&amp;" "&amp;Milestones!$AB$160&amp;" "&amp;Milestones!$AC$160&amp;";  ","")&amp;IF(AND(EDATE($D63,Milestones!$AA$161)&lt;=AsOfDate,IF($Q63=0,$W63,IF(AND($S63&lt;&gt;"",EDATE($D63,Milestones!$AA$161)&gt;=$S63),$V63,IF(AND($R63&lt;&gt;"",EDATE($D63,Milestones!$AA$161)&gt;=$R63),$U63,$T63)))=Milestones!$AB$161),TEXT(EDATE($D63,Milestones!$AA$161),"dd/mm/yy")&amp;" "&amp;Milestones!$AB$161&amp;" "&amp;Milestones!$AC$161&amp;";  ","")&amp;IF(AND(EDATE($D63,Milestones!$AA$162)&lt;=AsOfDate,IF($Q63=0,$W63,IF(AND($S63&lt;&gt;"",EDATE($D63,Milestones!$AA$162)&gt;=$S63),$V63,IF(AND($R63&lt;&gt;"",EDATE($D63,Milestones!$AA$162)&gt;=$R63),$U63,$T63)))=Milestones!$AB$162),TEXT(EDATE($D63,Milestones!$AA$162),"dd/mm/yy")&amp;" "&amp;Milestones!$AB$162&amp;" "&amp;Milestones!$AC$162&amp;";  ","")&amp;IF(AND(EDATE($D63,Milestones!$AA$163)&lt;=AsOfDate,IF($Q63=0,$W63,IF(AND($S63&lt;&gt;"",EDATE($D63,Milestones!$AA$163)&gt;=$S63),$V63,IF(AND($R63&lt;&gt;"",EDATE($D63,Milestones!$AA$163)&gt;=$R63),$U63,$T63)))=Milestones!$AB$163),TEXT(EDATE($D63,Milestones!$AA$163),"dd/mm/yy")&amp;" "&amp;Milestones!$AB$163&amp;" "&amp;Milestones!$AC$163&amp;";  ","")&amp;IF(AND(EDATE($D63,Milestones!$AA$164)&lt;=AsOfDate,IF($Q63=0,$W63,IF(AND($S63&lt;&gt;"",EDATE($D63,Milestones!$AA$164)&gt;=$S63),$V63,IF(AND($R63&lt;&gt;"",EDATE($D63,Milestones!$AA$164)&gt;=$R63),$U63,$T63)))=Milestones!$AB$164),TEXT(EDATE($D63,Milestones!$AA$164),"dd/mm/yy")&amp;" "&amp;Milestones!$AB$164&amp;" "&amp;Milestones!$AC$164&amp;";  ","")&amp;IF(AND(EDATE($D63,Milestones!$AA$165)&lt;=AsOfDate,IF($Q63=0,$W63,IF(AND($S63&lt;&gt;"",EDATE($D63,Milestones!$AA$165)&gt;=$S63),$V63,IF(AND($R63&lt;&gt;"",EDATE($D63,Milestones!$AA$165)&gt;=$R63),$U63,$T63)))=Milestones!$AB$165),TEXT(EDATE($D63,Milestones!$AA$165),"dd/mm/yy")&amp;" "&amp;Milestones!$AB$165&amp;" "&amp;Milestones!$AC$165&amp;";  ","")&amp;IF(AND(EDATE($D63,Milestones!$AA$166)&lt;=AsOfDate,IF($Q63=0,$W63,IF(AND($S63&lt;&gt;"",EDATE($D63,Milestones!$AA$166)&gt;=$S63),$V63,IF(AND($R63&lt;&gt;"",EDATE($D63,Milestones!$AA$166)&gt;=$R63),$U63,$T63)))=Milestones!$AB$166),TEXT(EDATE($D63,Milestones!$AA$166),"dd/mm/yy")&amp;" "&amp;Milestones!$AB$166&amp;" "&amp;Milestones!$AC$166&amp;";  ","")&amp;IF(AND(EDATE($D63,Milestones!$AA$167)&lt;=AsOfDate,IF($Q63=0,$W63,IF(AND($S63&lt;&gt;"",EDATE($D63,Milestones!$AA$167)&gt;=$S63),$V63,IF(AND($R63&lt;&gt;"",EDATE($D63,Milestones!$AA$167)&gt;=$R63),$U63,$T63)))=Milestones!$AB$167),TEXT(EDATE($D63,Milestones!$AA$167),"dd/mm/yy")&amp;" "&amp;Milestones!$AB$167&amp;" "&amp;Milestones!$AC$167&amp;";  ","")&amp;IF(AND(EDATE($D63,Milestones!$AA$168)&lt;=AsOfDate,IF($Q63=0,$W63,IF(AND($S63&lt;&gt;"",EDATE($D63,Milestones!$AA$168)&gt;=$S63),$V63,IF(AND($R63&lt;&gt;"",EDATE($D63,Milestones!$AA$168)&gt;=$R63),$U63,$T63)))=Milestones!$AB$168),TEXT(EDATE($D63,Milestones!$AA$168),"dd/mm/yy")&amp;" "&amp;Milestones!$AB$168&amp;" "&amp;Milestones!$AC$168&amp;";  ","")&amp;IF(AND(EDATE($D63,Milestones!$AA$169)&lt;=AsOfDate,IF($Q63=0,$W63,IF(AND($S63&lt;&gt;"",EDATE($D63,Milestones!$AA$169)&gt;=$S63),$V63,IF(AND($R63&lt;&gt;"",EDATE($D63,Milestones!$AA$169)&gt;=$R63),$U63,$T63)))=Milestones!$AB$169),TEXT(EDATE($D63,Milestones!$AA$169),"dd/mm/yy")&amp;" "&amp;Milestones!$AB$169&amp;" "&amp;Milestones!$AC$169&amp;";  ","")&amp;IF(AND(EDATE($D63,Milestones!$AA$170)&lt;=AsOfDate,IF($Q63=0,$W63,IF(AND($S63&lt;&gt;"",EDATE($D63,Milestones!$AA$170)&gt;=$S63),$V63,IF(AND($R63&lt;&gt;"",EDATE($D63,Milestones!$AA$170)&gt;=$R63),$U63,$T63)))=Milestones!$AB$170),TEXT(EDATE($D63,Milestones!$AA$170),"dd/mm/yy")&amp;" "&amp;Milestones!$AB$170&amp;" "&amp;Milestones!$AC$170&amp;";  ","")&amp;IF(AND(EDATE($D63,Milestones!$AA$171)&lt;=AsOfDate,IF($Q63=0,$W63,IF(AND($S63&lt;&gt;"",EDATE($D63,Milestones!$AA$171)&gt;=$S63),$V63,IF(AND($R63&lt;&gt;"",EDATE($D63,Milestones!$AA$171)&gt;=$R63),$U63,$T63)))=Milestones!$AB$171),TEXT(EDATE($D63,Milestones!$AA$171),"dd/mm/yy")&amp;" "&amp;Milestones!$AB$171&amp;" "&amp;Milestones!$AC$171&amp;";  ","")&amp;IF(AND(EDATE($D63,Milestones!$AA$172)&lt;=AsOfDate,IF($Q63=0,$W63,IF(AND($S63&lt;&gt;"",EDATE($D63,Milestones!$AA$172)&gt;=$S63),$V63,IF(AND($R63&lt;&gt;"",EDATE($D63,Milestones!$AA$172)&gt;=$R63),$U63,$T63)))=Milestones!$AB$172),TEXT(EDATE($D63,Milestones!$AA$172),"dd/mm/yy")&amp;" "&amp;Milestones!$AB$172&amp;" "&amp;Milestones!$AC$172&amp;";  ","")&amp;IF(AND(EDATE($D63,Milestones!$AA$173)&lt;=AsOfDate,IF($Q63=0,$W63,IF(AND($S63&lt;&gt;"",EDATE($D63,Milestones!$AA$173)&gt;=$S63),$V63,IF(AND($R63&lt;&gt;"",EDATE($D63,Milestones!$AA$173)&gt;=$R63),$U63,$T63)))=Milestones!$AB$173),TEXT(EDATE($D63,Milestones!$AA$173),"dd/mm/yy")&amp;" "&amp;Milestones!$AB$173&amp;" "&amp;Milestones!$AC$173&amp;";  ","")&amp;IF(AND(EDATE($D63,Milestones!$AA$174)&lt;=AsOfDate,IF($Q63=0,$W63,IF(AND($S63&lt;&gt;"",EDATE($D63,Milestones!$AA$174)&gt;=$S63),$V63,IF(AND($R63&lt;&gt;"",EDATE($D63,Milestones!$AA$174)&gt;=$R63),$U63,$T63)))=Milestones!$AB$174),TEXT(EDATE($D63,Milestones!$AA$174),"dd/mm/yy")&amp;" "&amp;Milestones!$AB$174&amp;" "&amp;Milestones!$AC$174&amp;";  ","")&amp;IF(AND(EDATE($D63,Milestones!$AA$175)&lt;=AsOfDate,IF($Q63=0,$W63,IF(AND($S63&lt;&gt;"",EDATE($D63,Milestones!$AA$175)&gt;=$S63),$V63,IF(AND($R63&lt;&gt;"",EDATE($D63,Milestones!$AA$175)&gt;=$R63),$U63,$T63)))=Milestones!$AB$175),TEXT(EDATE($D63,Milestones!$AA$175),"dd/mm/yy")&amp;" "&amp;Milestones!$AB$175&amp;" "&amp;Milestones!$AC$175&amp;";  ","")&amp;IF(AND(EDATE($D63,Milestones!$AA$176)&lt;=AsOfDate,IF($Q63=0,$W63,IF(AND($S63&lt;&gt;"",EDATE($D63,Milestones!$AA$176)&gt;=$S63),$V63,IF(AND($R63&lt;&gt;"",EDATE($D63,Milestones!$AA$176)&gt;=$R63),$U63,$T63)))=Milestones!$AB$176),TEXT(EDATE($D63,Milestones!$AA$176),"dd/mm/yy")&amp;" "&amp;Milestones!$AB$176&amp;" "&amp;Milestones!$AC$176&amp;";  ","")&amp;IF(AND(EDATE($D63,Milestones!$AA$177)&lt;=AsOfDate,IF($Q63=0,$W63,IF(AND($S63&lt;&gt;"",EDATE($D63,Milestones!$AA$177)&gt;=$S63),$V63,IF(AND($R63&lt;&gt;"",EDATE($D63,Milestones!$AA$177)&gt;=$R63),$U63,$T63)))=Milestones!$AB$177),TEXT(EDATE($D63,Milestones!$AA$177),"dd/mm/yy")&amp;" "&amp;Milestones!$AB$177&amp;" "&amp;Milestones!$AC$177&amp;";  ","")&amp;IF(AND(EDATE($D63,Milestones!$AA$178)&lt;=AsOfDate,IF($Q63=0,$W63,IF(AND($S63&lt;&gt;"",EDATE($D63,Milestones!$AA$178)&gt;=$S63),$V63,IF(AND($R63&lt;&gt;"",EDATE($D63,Milestones!$AA$178)&gt;=$R63),$U63,$T63)))=Milestones!$AB$178),TEXT(EDATE($D63,Milestones!$AA$178),"dd/mm/yy")&amp;" "&amp;Milestones!$AB$178&amp;" "&amp;Milestones!$AC$178&amp;";  ","")&amp;IF(AND(EDATE($D63,Milestones!$AA$179)&lt;=AsOfDate,IF($Q63=0,$W63,IF(AND($S63&lt;&gt;"",EDATE($D63,Milestones!$AA$179)&gt;=$S63),$V63,IF(AND($R63&lt;&gt;"",EDATE($D63,Milestones!$AA$179)&gt;=$R63),$U63,$T63)))=Milestones!$AB$179),TEXT(EDATE($D63,Milestones!$AA$179),"dd/mm/yy")&amp;" "&amp;Milestones!$AB$179&amp;" "&amp;Milestones!$AC$179&amp;";  ",""))</f>
        <v/>
      </c>
      <c r="P63" s="0" t="str">
        <f aca="false">IF(OR($A63="",$D63=""),"",IF(AND(EDATE($D63,Milestones!$AA$180)&lt;=AsOfDate,IF($Q63=0,$W63,IF(AND($S63&lt;&gt;"",EDATE($D63,Milestones!$AA$180)&gt;=$S63),$V63,IF(AND($R63&lt;&gt;"",EDATE($D63,Milestones!$AA$180)&gt;=$R63),$U63,$T63)))=Milestones!$AB$180),TEXT(EDATE($D63,Milestones!$AA$180),"dd/mm/yy")&amp;" "&amp;Milestones!$AB$180&amp;" "&amp;Milestones!$AC$180&amp;";  ","")&amp;IF(AND(EDATE($D63,Milestones!$AA$181)&lt;=AsOfDate,IF($Q63=0,$W63,IF(AND($S63&lt;&gt;"",EDATE($D63,Milestones!$AA$181)&gt;=$S63),$V63,IF(AND($R63&lt;&gt;"",EDATE($D63,Milestones!$AA$181)&gt;=$R63),$U63,$T63)))=Milestones!$AB$181),TEXT(EDATE($D63,Milestones!$AA$181),"dd/mm/yy")&amp;" "&amp;Milestones!$AB$181&amp;" "&amp;Milestones!$AC$181&amp;";  ","")&amp;IF(AND(EDATE($D63,Milestones!$AA$182)&lt;=AsOfDate,IF($Q63=0,$W63,IF(AND($S63&lt;&gt;"",EDATE($D63,Milestones!$AA$182)&gt;=$S63),$V63,IF(AND($R63&lt;&gt;"",EDATE($D63,Milestones!$AA$182)&gt;=$R63),$U63,$T63)))=Milestones!$AB$182),TEXT(EDATE($D63,Milestones!$AA$182),"dd/mm/yy")&amp;" "&amp;Milestones!$AB$182&amp;" "&amp;Milestones!$AC$182&amp;";  ","")&amp;IF(AND(EDATE($D63,Milestones!$AA$183)&lt;=AsOfDate,IF($Q63=0,$W63,IF(AND($S63&lt;&gt;"",EDATE($D63,Milestones!$AA$183)&gt;=$S63),$V63,IF(AND($R63&lt;&gt;"",EDATE($D63,Milestones!$AA$183)&gt;=$R63),$U63,$T63)))=Milestones!$AB$183),TEXT(EDATE($D63,Milestones!$AA$183),"dd/mm/yy")&amp;" "&amp;Milestones!$AB$183&amp;" "&amp;Milestones!$AC$183&amp;";  ","")&amp;IF(AND(EDATE($D63,Milestones!$AA$184)&lt;=AsOfDate,IF($Q63=0,$W63,IF(AND($S63&lt;&gt;"",EDATE($D63,Milestones!$AA$184)&gt;=$S63),$V63,IF(AND($R63&lt;&gt;"",EDATE($D63,Milestones!$AA$184)&gt;=$R63),$U63,$T63)))=Milestones!$AB$184),TEXT(EDATE($D63,Milestones!$AA$184),"dd/mm/yy")&amp;" "&amp;Milestones!$AB$184&amp;" "&amp;Milestones!$AC$184&amp;";  ","")&amp;IF(AND(EDATE($D63,Milestones!$AA$185)&lt;=AsOfDate,IF($Q63=0,$W63,IF(AND($S63&lt;&gt;"",EDATE($D63,Milestones!$AA$185)&gt;=$S63),$V63,IF(AND($R63&lt;&gt;"",EDATE($D63,Milestones!$AA$185)&gt;=$R63),$U63,$T63)))=Milestones!$AB$185),TEXT(EDATE($D63,Milestones!$AA$185),"dd/mm/yy")&amp;" "&amp;Milestones!$AB$185&amp;" "&amp;Milestones!$AC$185&amp;";  ","")&amp;IF(AND(EDATE($D63,Milestones!$AA$186)&lt;=AsOfDate,IF($Q63=0,$W63,IF(AND($S63&lt;&gt;"",EDATE($D63,Milestones!$AA$186)&gt;=$S63),$V63,IF(AND($R63&lt;&gt;"",EDATE($D63,Milestones!$AA$186)&gt;=$R63),$U63,$T63)))=Milestones!$AB$186),TEXT(EDATE($D63,Milestones!$AA$186),"dd/mm/yy")&amp;" "&amp;Milestones!$AB$186&amp;" "&amp;Milestones!$AC$186&amp;";  ","")&amp;IF(AND(EDATE($D63,Milestones!$AA$187)&lt;=AsOfDate,IF($Q63=0,$W63,IF(AND($S63&lt;&gt;"",EDATE($D63,Milestones!$AA$187)&gt;=$S63),$V63,IF(AND($R63&lt;&gt;"",EDATE($D63,Milestones!$AA$187)&gt;=$R63),$U63,$T63)))=Milestones!$AB$187),TEXT(EDATE($D63,Milestones!$AA$187),"dd/mm/yy")&amp;" "&amp;Milestones!$AB$187&amp;" "&amp;Milestones!$AC$187&amp;";  ","")&amp;IF(AND(EDATE($D63,Milestones!$AA$188)&lt;=AsOfDate,IF($Q63=0,$W63,IF(AND($S63&lt;&gt;"",EDATE($D63,Milestones!$AA$188)&gt;=$S63),$V63,IF(AND($R63&lt;&gt;"",EDATE($D63,Milestones!$AA$188)&gt;=$R63),$U63,$T63)))=Milestones!$AB$188),TEXT(EDATE($D63,Milestones!$AA$188),"dd/mm/yy")&amp;" "&amp;Milestones!$AB$188&amp;" "&amp;Milestones!$AC$188&amp;";  ","")&amp;IF(AND(EDATE($D63,Milestones!$AA$189)&lt;=AsOfDate,IF($Q63=0,$W63,IF(AND($S63&lt;&gt;"",EDATE($D63,Milestones!$AA$189)&gt;=$S63),$V63,IF(AND($R63&lt;&gt;"",EDATE($D63,Milestones!$AA$189)&gt;=$R63),$U63,$T63)))=Milestones!$AB$189),TEXT(EDATE($D63,Milestones!$AA$189),"dd/mm/yy")&amp;" "&amp;Milestones!$AB$189&amp;" "&amp;Milestones!$AC$189&amp;";  ","")&amp;IF(AND(EDATE($D63,Milestones!$AA$190)&lt;=AsOfDate,IF($Q63=0,$W63,IF(AND($S63&lt;&gt;"",EDATE($D63,Milestones!$AA$190)&gt;=$S63),$V63,IF(AND($R63&lt;&gt;"",EDATE($D63,Milestones!$AA$190)&gt;=$R63),$U63,$T63)))=Milestones!$AB$190),TEXT(EDATE($D63,Milestones!$AA$190),"dd/mm/yy")&amp;" "&amp;Milestones!$AB$190&amp;" "&amp;Milestones!$AC$190&amp;";  ","")&amp;IF(AND(EDATE($D63,Milestones!$AA$191)&lt;=AsOfDate,IF($Q63=0,$W63,IF(AND($S63&lt;&gt;"",EDATE($D63,Milestones!$AA$191)&gt;=$S63),$V63,IF(AND($R63&lt;&gt;"",EDATE($D63,Milestones!$AA$191)&gt;=$R63),$U63,$T63)))=Milestones!$AB$191),TEXT(EDATE($D63,Milestones!$AA$191),"dd/mm/yy")&amp;" "&amp;Milestones!$AB$191&amp;" "&amp;Milestones!$AC$191&amp;";  ","")&amp;IF(AND(EDATE($D63,Milestones!$AA$192)&lt;=AsOfDate,IF($Q63=0,$W63,IF(AND($S63&lt;&gt;"",EDATE($D63,Milestones!$AA$192)&gt;=$S63),$V63,IF(AND($R63&lt;&gt;"",EDATE($D63,Milestones!$AA$192)&gt;=$R63),$U63,$T63)))=Milestones!$AB$192),TEXT(EDATE($D63,Milestones!$AA$192),"dd/mm/yy")&amp;" "&amp;Milestones!$AB$192&amp;" "&amp;Milestones!$AC$192&amp;";  ","")&amp;IF(AND(EDATE($D63,Milestones!$AA$193)&lt;=AsOfDate,IF($Q63=0,$W63,IF(AND($S63&lt;&gt;"",EDATE($D63,Milestones!$AA$193)&gt;=$S63),$V63,IF(AND($R63&lt;&gt;"",EDATE($D63,Milestones!$AA$193)&gt;=$R63),$U63,$T63)))=Milestones!$AB$193),TEXT(EDATE($D63,Milestones!$AA$193),"dd/mm/yy")&amp;" "&amp;Milestones!$AB$193&amp;" "&amp;Milestones!$AC$193&amp;";  ","")&amp;IF(AND(EDATE($D63,Milestones!$AA$194)&lt;=AsOfDate,IF($Q63=0,$W63,IF(AND($S63&lt;&gt;"",EDATE($D63,Milestones!$AA$194)&gt;=$S63),$V63,IF(AND($R63&lt;&gt;"",EDATE($D63,Milestones!$AA$194)&gt;=$R63),$U63,$T63)))=Milestones!$AB$194),TEXT(EDATE($D63,Milestones!$AA$194),"dd/mm/yy")&amp;" "&amp;Milestones!$AB$194&amp;" "&amp;Milestones!$AC$194&amp;";  ","")&amp;IF(AND(EDATE($D63,Milestones!$AA$195)&lt;=AsOfDate,IF($Q63=0,$W63,IF(AND($S63&lt;&gt;"",EDATE($D63,Milestones!$AA$195)&gt;=$S63),$V63,IF(AND($R63&lt;&gt;"",EDATE($D63,Milestones!$AA$195)&gt;=$R63),$U63,$T63)))=Milestones!$AB$195),TEXT(EDATE($D63,Milestones!$AA$195),"dd/mm/yy")&amp;" "&amp;Milestones!$AB$195&amp;" "&amp;Milestones!$AC$195&amp;";  ","")&amp;IF(AND(EDATE($D63,Milestones!$AA$196)&lt;=AsOfDate,IF($Q63=0,$W63,IF(AND($S63&lt;&gt;"",EDATE($D63,Milestones!$AA$196)&gt;=$S63),$V63,IF(AND($R63&lt;&gt;"",EDATE($D63,Milestones!$AA$196)&gt;=$R63),$U63,$T63)))=Milestones!$AB$196),TEXT(EDATE($D63,Milestones!$AA$196),"dd/mm/yy")&amp;" "&amp;Milestones!$AB$196&amp;" "&amp;Milestones!$AC$196&amp;";  ","")&amp;IF(AND(EDATE($D63,Milestones!$AA$197)&lt;=AsOfDate,IF($Q63=0,$W63,IF(AND($S63&lt;&gt;"",EDATE($D63,Milestones!$AA$197)&gt;=$S63),$V63,IF(AND($R63&lt;&gt;"",EDATE($D63,Milestones!$AA$197)&gt;=$R63),$U63,$T63)))=Milestones!$AB$197),TEXT(EDATE($D63,Milestones!$AA$197),"dd/mm/yy")&amp;" "&amp;Milestones!$AB$197&amp;" "&amp;Milestones!$AC$197&amp;";  ","")&amp;IF(AND(EDATE($D63,Milestones!$AA$198)&lt;=AsOfDate,IF($Q63=0,$W63,IF(AND($S63&lt;&gt;"",EDATE($D63,Milestones!$AA$198)&gt;=$S63),$V63,IF(AND($R63&lt;&gt;"",EDATE($D63,Milestones!$AA$198)&gt;=$R63),$U63,$T63)))=Milestones!$AB$198),TEXT(EDATE($D63,Milestones!$AA$198),"dd/mm/yy")&amp;" "&amp;Milestones!$AB$198&amp;" "&amp;Milestones!$AC$198&amp;";  ","")&amp;IF(AND(EDATE($D63,Milestones!$AA$199)&lt;=AsOfDate,IF($Q63=0,$W63,IF(AND($S63&lt;&gt;"",EDATE($D63,Milestones!$AA$199)&gt;=$S63),$V63,IF(AND($R63&lt;&gt;"",EDATE($D63,Milestones!$AA$199)&gt;=$R63),$U63,$T63)))=Milestones!$AB$199),TEXT(EDATE($D63,Milestones!$AA$199),"dd/mm/yy")&amp;" "&amp;Milestones!$AB$199&amp;" "&amp;Milestones!$AC$199&amp;";  ",""))</f>
        <v/>
      </c>
      <c r="Q63" s="0" t="str">
        <f aca="false">IF(Staff!$A63="","",Staff!$AG63)</f>
        <v/>
      </c>
      <c r="R63" s="0" t="str">
        <f aca="false">IF(Staff!$A63="","",Staff!$AI63)</f>
        <v/>
      </c>
      <c r="S63" s="0" t="str">
        <f aca="false">IF(Staff!$A63="","",Staff!$AJ63)</f>
        <v/>
      </c>
      <c r="T63" s="0" t="str">
        <f aca="false">IF(Staff!$A63="","",Staff!$AN63)</f>
        <v/>
      </c>
      <c r="U63" s="0" t="str">
        <f aca="false">IF(Staff!$A63="","",Staff!$AO63)</f>
        <v/>
      </c>
      <c r="V63" s="0" t="str">
        <f aca="false">IF(Staff!$A63="","",Staff!$AP63)</f>
        <v/>
      </c>
      <c r="W63" s="0" t="str">
        <f aca="false">IF(Staff!$A63="","",Staff!$AQ63)</f>
        <v/>
      </c>
    </row>
    <row r="64" customFormat="false" ht="15" hidden="false" customHeight="false" outlineLevel="0" collapsed="false">
      <c r="A64" s="13" t="str">
        <f aca="false">IF(Staff!$A64="","",Staff!$A64)</f>
        <v/>
      </c>
      <c r="B64" s="13" t="str">
        <f aca="false">IF(Staff!$A64="","",Staff!$B64)</f>
        <v/>
      </c>
      <c r="C64" s="13" t="str">
        <f aca="false">IF(Staff!$A64="","",Staff!$C64)</f>
        <v/>
      </c>
      <c r="D64" s="11" t="str">
        <f aca="false">IF(Staff!$A64="","",Staff!$AF64)</f>
        <v/>
      </c>
      <c r="E64" s="13" t="str">
        <f aca="false">IF(Staff!$A64="","",Staff!$O64)</f>
        <v/>
      </c>
      <c r="F64" s="13" t="str">
        <f aca="false">IF(E64="","",E64*HoursPerDay)</f>
        <v/>
      </c>
      <c r="G64" s="26" t="str">
        <f aca="false">IF($A64="","",H64&amp;I64&amp;J64&amp;K64&amp;L64&amp;M64&amp;N64&amp;O64&amp;P64)</f>
        <v/>
      </c>
      <c r="H64" s="0" t="str">
        <f aca="false">IF(OR($A64="",$D64=""),"",IF(AND(EDATE($D64,Milestones!$AA$20)&lt;=AsOfDate,IF($Q64=0,$W64,IF(AND($S64&lt;&gt;"",EDATE($D64,Milestones!$AA$20)&gt;=$S64),$V64,IF(AND($R64&lt;&gt;"",EDATE($D64,Milestones!$AA$20)&gt;=$R64),$U64,$T64)))=Milestones!$AB$20),TEXT(EDATE($D64,Milestones!$AA$20),"dd/mm/yy")&amp;" "&amp;Milestones!$AB$20&amp;" "&amp;Milestones!$AC$20&amp;";  ","")&amp;IF(AND(EDATE($D64,Milestones!$AA$21)&lt;=AsOfDate,IF($Q64=0,$W64,IF(AND($S64&lt;&gt;"",EDATE($D64,Milestones!$AA$21)&gt;=$S64),$V64,IF(AND($R64&lt;&gt;"",EDATE($D64,Milestones!$AA$21)&gt;=$R64),$U64,$T64)))=Milestones!$AB$21),TEXT(EDATE($D64,Milestones!$AA$21),"dd/mm/yy")&amp;" "&amp;Milestones!$AB$21&amp;" "&amp;Milestones!$AC$21&amp;";  ","")&amp;IF(AND(EDATE($D64,Milestones!$AA$22)&lt;=AsOfDate,IF($Q64=0,$W64,IF(AND($S64&lt;&gt;"",EDATE($D64,Milestones!$AA$22)&gt;=$S64),$V64,IF(AND($R64&lt;&gt;"",EDATE($D64,Milestones!$AA$22)&gt;=$R64),$U64,$T64)))=Milestones!$AB$22),TEXT(EDATE($D64,Milestones!$AA$22),"dd/mm/yy")&amp;" "&amp;Milestones!$AB$22&amp;" "&amp;Milestones!$AC$22&amp;";  ","")&amp;IF(AND(EDATE($D64,Milestones!$AA$23)&lt;=AsOfDate,IF($Q64=0,$W64,IF(AND($S64&lt;&gt;"",EDATE($D64,Milestones!$AA$23)&gt;=$S64),$V64,IF(AND($R64&lt;&gt;"",EDATE($D64,Milestones!$AA$23)&gt;=$R64),$U64,$T64)))=Milestones!$AB$23),TEXT(EDATE($D64,Milestones!$AA$23),"dd/mm/yy")&amp;" "&amp;Milestones!$AB$23&amp;" "&amp;Milestones!$AC$23&amp;";  ","")&amp;IF(AND(EDATE($D64,Milestones!$AA$24)&lt;=AsOfDate,IF($Q64=0,$W64,IF(AND($S64&lt;&gt;"",EDATE($D64,Milestones!$AA$24)&gt;=$S64),$V64,IF(AND($R64&lt;&gt;"",EDATE($D64,Milestones!$AA$24)&gt;=$R64),$U64,$T64)))=Milestones!$AB$24),TEXT(EDATE($D64,Milestones!$AA$24),"dd/mm/yy")&amp;" "&amp;Milestones!$AB$24&amp;" "&amp;Milestones!$AC$24&amp;";  ","")&amp;IF(AND(EDATE($D64,Milestones!$AA$25)&lt;=AsOfDate,IF($Q64=0,$W64,IF(AND($S64&lt;&gt;"",EDATE($D64,Milestones!$AA$25)&gt;=$S64),$V64,IF(AND($R64&lt;&gt;"",EDATE($D64,Milestones!$AA$25)&gt;=$R64),$U64,$T64)))=Milestones!$AB$25),TEXT(EDATE($D64,Milestones!$AA$25),"dd/mm/yy")&amp;" "&amp;Milestones!$AB$25&amp;" "&amp;Milestones!$AC$25&amp;";  ","")&amp;IF(AND(EDATE($D64,Milestones!$AA$26)&lt;=AsOfDate,IF($Q64=0,$W64,IF(AND($S64&lt;&gt;"",EDATE($D64,Milestones!$AA$26)&gt;=$S64),$V64,IF(AND($R64&lt;&gt;"",EDATE($D64,Milestones!$AA$26)&gt;=$R64),$U64,$T64)))=Milestones!$AB$26),TEXT(EDATE($D64,Milestones!$AA$26),"dd/mm/yy")&amp;" "&amp;Milestones!$AB$26&amp;" "&amp;Milestones!$AC$26&amp;";  ","")&amp;IF(AND(EDATE($D64,Milestones!$AA$27)&lt;=AsOfDate,IF($Q64=0,$W64,IF(AND($S64&lt;&gt;"",EDATE($D64,Milestones!$AA$27)&gt;=$S64),$V64,IF(AND($R64&lt;&gt;"",EDATE($D64,Milestones!$AA$27)&gt;=$R64),$U64,$T64)))=Milestones!$AB$27),TEXT(EDATE($D64,Milestones!$AA$27),"dd/mm/yy")&amp;" "&amp;Milestones!$AB$27&amp;" "&amp;Milestones!$AC$27&amp;";  ","")&amp;IF(AND(EDATE($D64,Milestones!$AA$28)&lt;=AsOfDate,IF($Q64=0,$W64,IF(AND($S64&lt;&gt;"",EDATE($D64,Milestones!$AA$28)&gt;=$S64),$V64,IF(AND($R64&lt;&gt;"",EDATE($D64,Milestones!$AA$28)&gt;=$R64),$U64,$T64)))=Milestones!$AB$28),TEXT(EDATE($D64,Milestones!$AA$28),"dd/mm/yy")&amp;" "&amp;Milestones!$AB$28&amp;" "&amp;Milestones!$AC$28&amp;";  ","")&amp;IF(AND(EDATE($D64,Milestones!$AA$29)&lt;=AsOfDate,IF($Q64=0,$W64,IF(AND($S64&lt;&gt;"",EDATE($D64,Milestones!$AA$29)&gt;=$S64),$V64,IF(AND($R64&lt;&gt;"",EDATE($D64,Milestones!$AA$29)&gt;=$R64),$U64,$T64)))=Milestones!$AB$29),TEXT(EDATE($D64,Milestones!$AA$29),"dd/mm/yy")&amp;" "&amp;Milestones!$AB$29&amp;" "&amp;Milestones!$AC$29&amp;";  ","")&amp;IF(AND(EDATE($D64,Milestones!$AA$30)&lt;=AsOfDate,IF($Q64=0,$W64,IF(AND($S64&lt;&gt;"",EDATE($D64,Milestones!$AA$30)&gt;=$S64),$V64,IF(AND($R64&lt;&gt;"",EDATE($D64,Milestones!$AA$30)&gt;=$R64),$U64,$T64)))=Milestones!$AB$30),TEXT(EDATE($D64,Milestones!$AA$30),"dd/mm/yy")&amp;" "&amp;Milestones!$AB$30&amp;" "&amp;Milestones!$AC$30&amp;";  ","")&amp;IF(AND(EDATE($D64,Milestones!$AA$31)&lt;=AsOfDate,IF($Q64=0,$W64,IF(AND($S64&lt;&gt;"",EDATE($D64,Milestones!$AA$31)&gt;=$S64),$V64,IF(AND($R64&lt;&gt;"",EDATE($D64,Milestones!$AA$31)&gt;=$R64),$U64,$T64)))=Milestones!$AB$31),TEXT(EDATE($D64,Milestones!$AA$31),"dd/mm/yy")&amp;" "&amp;Milestones!$AB$31&amp;" "&amp;Milestones!$AC$31&amp;";  ","")&amp;IF(AND(EDATE($D64,Milestones!$AA$32)&lt;=AsOfDate,IF($Q64=0,$W64,IF(AND($S64&lt;&gt;"",EDATE($D64,Milestones!$AA$32)&gt;=$S64),$V64,IF(AND($R64&lt;&gt;"",EDATE($D64,Milestones!$AA$32)&gt;=$R64),$U64,$T64)))=Milestones!$AB$32),TEXT(EDATE($D64,Milestones!$AA$32),"dd/mm/yy")&amp;" "&amp;Milestones!$AB$32&amp;" "&amp;Milestones!$AC$32&amp;";  ","")&amp;IF(AND(EDATE($D64,Milestones!$AA$33)&lt;=AsOfDate,IF($Q64=0,$W64,IF(AND($S64&lt;&gt;"",EDATE($D64,Milestones!$AA$33)&gt;=$S64),$V64,IF(AND($R64&lt;&gt;"",EDATE($D64,Milestones!$AA$33)&gt;=$R64),$U64,$T64)))=Milestones!$AB$33),TEXT(EDATE($D64,Milestones!$AA$33),"dd/mm/yy")&amp;" "&amp;Milestones!$AB$33&amp;" "&amp;Milestones!$AC$33&amp;";  ","")&amp;IF(AND(EDATE($D64,Milestones!$AA$34)&lt;=AsOfDate,IF($Q64=0,$W64,IF(AND($S64&lt;&gt;"",EDATE($D64,Milestones!$AA$34)&gt;=$S64),$V64,IF(AND($R64&lt;&gt;"",EDATE($D64,Milestones!$AA$34)&gt;=$R64),$U64,$T64)))=Milestones!$AB$34),TEXT(EDATE($D64,Milestones!$AA$34),"dd/mm/yy")&amp;" "&amp;Milestones!$AB$34&amp;" "&amp;Milestones!$AC$34&amp;";  ","")&amp;IF(AND(EDATE($D64,Milestones!$AA$35)&lt;=AsOfDate,IF($Q64=0,$W64,IF(AND($S64&lt;&gt;"",EDATE($D64,Milestones!$AA$35)&gt;=$S64),$V64,IF(AND($R64&lt;&gt;"",EDATE($D64,Milestones!$AA$35)&gt;=$R64),$U64,$T64)))=Milestones!$AB$35),TEXT(EDATE($D64,Milestones!$AA$35),"dd/mm/yy")&amp;" "&amp;Milestones!$AB$35&amp;" "&amp;Milestones!$AC$35&amp;";  ","")&amp;IF(AND(EDATE($D64,Milestones!$AA$36)&lt;=AsOfDate,IF($Q64=0,$W64,IF(AND($S64&lt;&gt;"",EDATE($D64,Milestones!$AA$36)&gt;=$S64),$V64,IF(AND($R64&lt;&gt;"",EDATE($D64,Milestones!$AA$36)&gt;=$R64),$U64,$T64)))=Milestones!$AB$36),TEXT(EDATE($D64,Milestones!$AA$36),"dd/mm/yy")&amp;" "&amp;Milestones!$AB$36&amp;" "&amp;Milestones!$AC$36&amp;";  ","")&amp;IF(AND(EDATE($D64,Milestones!$AA$37)&lt;=AsOfDate,IF($Q64=0,$W64,IF(AND($S64&lt;&gt;"",EDATE($D64,Milestones!$AA$37)&gt;=$S64),$V64,IF(AND($R64&lt;&gt;"",EDATE($D64,Milestones!$AA$37)&gt;=$R64),$U64,$T64)))=Milestones!$AB$37),TEXT(EDATE($D64,Milestones!$AA$37),"dd/mm/yy")&amp;" "&amp;Milestones!$AB$37&amp;" "&amp;Milestones!$AC$37&amp;";  ","")&amp;IF(AND(EDATE($D64,Milestones!$AA$38)&lt;=AsOfDate,IF($Q64=0,$W64,IF(AND($S64&lt;&gt;"",EDATE($D64,Milestones!$AA$38)&gt;=$S64),$V64,IF(AND($R64&lt;&gt;"",EDATE($D64,Milestones!$AA$38)&gt;=$R64),$U64,$T64)))=Milestones!$AB$38),TEXT(EDATE($D64,Milestones!$AA$38),"dd/mm/yy")&amp;" "&amp;Milestones!$AB$38&amp;" "&amp;Milestones!$AC$38&amp;";  ","")&amp;IF(AND(EDATE($D64,Milestones!$AA$39)&lt;=AsOfDate,IF($Q64=0,$W64,IF(AND($S64&lt;&gt;"",EDATE($D64,Milestones!$AA$39)&gt;=$S64),$V64,IF(AND($R64&lt;&gt;"",EDATE($D64,Milestones!$AA$39)&gt;=$R64),$U64,$T64)))=Milestones!$AB$39),TEXT(EDATE($D64,Milestones!$AA$39),"dd/mm/yy")&amp;" "&amp;Milestones!$AB$39&amp;" "&amp;Milestones!$AC$39&amp;";  ",""))</f>
        <v/>
      </c>
      <c r="I64" s="0" t="str">
        <f aca="false">IF(OR($A64="",$D64=""),"",IF(AND(EDATE($D64,Milestones!$AA$40)&lt;=AsOfDate,IF($Q64=0,$W64,IF(AND($S64&lt;&gt;"",EDATE($D64,Milestones!$AA$40)&gt;=$S64),$V64,IF(AND($R64&lt;&gt;"",EDATE($D64,Milestones!$AA$40)&gt;=$R64),$U64,$T64)))=Milestones!$AB$40),TEXT(EDATE($D64,Milestones!$AA$40),"dd/mm/yy")&amp;" "&amp;Milestones!$AB$40&amp;" "&amp;Milestones!$AC$40&amp;";  ","")&amp;IF(AND(EDATE($D64,Milestones!$AA$41)&lt;=AsOfDate,IF($Q64=0,$W64,IF(AND($S64&lt;&gt;"",EDATE($D64,Milestones!$AA$41)&gt;=$S64),$V64,IF(AND($R64&lt;&gt;"",EDATE($D64,Milestones!$AA$41)&gt;=$R64),$U64,$T64)))=Milestones!$AB$41),TEXT(EDATE($D64,Milestones!$AA$41),"dd/mm/yy")&amp;" "&amp;Milestones!$AB$41&amp;" "&amp;Milestones!$AC$41&amp;";  ","")&amp;IF(AND(EDATE($D64,Milestones!$AA$42)&lt;=AsOfDate,IF($Q64=0,$W64,IF(AND($S64&lt;&gt;"",EDATE($D64,Milestones!$AA$42)&gt;=$S64),$V64,IF(AND($R64&lt;&gt;"",EDATE($D64,Milestones!$AA$42)&gt;=$R64),$U64,$T64)))=Milestones!$AB$42),TEXT(EDATE($D64,Milestones!$AA$42),"dd/mm/yy")&amp;" "&amp;Milestones!$AB$42&amp;" "&amp;Milestones!$AC$42&amp;";  ","")&amp;IF(AND(EDATE($D64,Milestones!$AA$43)&lt;=AsOfDate,IF($Q64=0,$W64,IF(AND($S64&lt;&gt;"",EDATE($D64,Milestones!$AA$43)&gt;=$S64),$V64,IF(AND($R64&lt;&gt;"",EDATE($D64,Milestones!$AA$43)&gt;=$R64),$U64,$T64)))=Milestones!$AB$43),TEXT(EDATE($D64,Milestones!$AA$43),"dd/mm/yy")&amp;" "&amp;Milestones!$AB$43&amp;" "&amp;Milestones!$AC$43&amp;";  ","")&amp;IF(AND(EDATE($D64,Milestones!$AA$44)&lt;=AsOfDate,IF($Q64=0,$W64,IF(AND($S64&lt;&gt;"",EDATE($D64,Milestones!$AA$44)&gt;=$S64),$V64,IF(AND($R64&lt;&gt;"",EDATE($D64,Milestones!$AA$44)&gt;=$R64),$U64,$T64)))=Milestones!$AB$44),TEXT(EDATE($D64,Milestones!$AA$44),"dd/mm/yy")&amp;" "&amp;Milestones!$AB$44&amp;" "&amp;Milestones!$AC$44&amp;";  ","")&amp;IF(AND(EDATE($D64,Milestones!$AA$45)&lt;=AsOfDate,IF($Q64=0,$W64,IF(AND($S64&lt;&gt;"",EDATE($D64,Milestones!$AA$45)&gt;=$S64),$V64,IF(AND($R64&lt;&gt;"",EDATE($D64,Milestones!$AA$45)&gt;=$R64),$U64,$T64)))=Milestones!$AB$45),TEXT(EDATE($D64,Milestones!$AA$45),"dd/mm/yy")&amp;" "&amp;Milestones!$AB$45&amp;" "&amp;Milestones!$AC$45&amp;";  ","")&amp;IF(AND(EDATE($D64,Milestones!$AA$46)&lt;=AsOfDate,IF($Q64=0,$W64,IF(AND($S64&lt;&gt;"",EDATE($D64,Milestones!$AA$46)&gt;=$S64),$V64,IF(AND($R64&lt;&gt;"",EDATE($D64,Milestones!$AA$46)&gt;=$R64),$U64,$T64)))=Milestones!$AB$46),TEXT(EDATE($D64,Milestones!$AA$46),"dd/mm/yy")&amp;" "&amp;Milestones!$AB$46&amp;" "&amp;Milestones!$AC$46&amp;";  ","")&amp;IF(AND(EDATE($D64,Milestones!$AA$47)&lt;=AsOfDate,IF($Q64=0,$W64,IF(AND($S64&lt;&gt;"",EDATE($D64,Milestones!$AA$47)&gt;=$S64),$V64,IF(AND($R64&lt;&gt;"",EDATE($D64,Milestones!$AA$47)&gt;=$R64),$U64,$T64)))=Milestones!$AB$47),TEXT(EDATE($D64,Milestones!$AA$47),"dd/mm/yy")&amp;" "&amp;Milestones!$AB$47&amp;" "&amp;Milestones!$AC$47&amp;";  ","")&amp;IF(AND(EDATE($D64,Milestones!$AA$48)&lt;=AsOfDate,IF($Q64=0,$W64,IF(AND($S64&lt;&gt;"",EDATE($D64,Milestones!$AA$48)&gt;=$S64),$V64,IF(AND($R64&lt;&gt;"",EDATE($D64,Milestones!$AA$48)&gt;=$R64),$U64,$T64)))=Milestones!$AB$48),TEXT(EDATE($D64,Milestones!$AA$48),"dd/mm/yy")&amp;" "&amp;Milestones!$AB$48&amp;" "&amp;Milestones!$AC$48&amp;";  ","")&amp;IF(AND(EDATE($D64,Milestones!$AA$49)&lt;=AsOfDate,IF($Q64=0,$W64,IF(AND($S64&lt;&gt;"",EDATE($D64,Milestones!$AA$49)&gt;=$S64),$V64,IF(AND($R64&lt;&gt;"",EDATE($D64,Milestones!$AA$49)&gt;=$R64),$U64,$T64)))=Milestones!$AB$49),TEXT(EDATE($D64,Milestones!$AA$49),"dd/mm/yy")&amp;" "&amp;Milestones!$AB$49&amp;" "&amp;Milestones!$AC$49&amp;";  ","")&amp;IF(AND(EDATE($D64,Milestones!$AA$50)&lt;=AsOfDate,IF($Q64=0,$W64,IF(AND($S64&lt;&gt;"",EDATE($D64,Milestones!$AA$50)&gt;=$S64),$V64,IF(AND($R64&lt;&gt;"",EDATE($D64,Milestones!$AA$50)&gt;=$R64),$U64,$T64)))=Milestones!$AB$50),TEXT(EDATE($D64,Milestones!$AA$50),"dd/mm/yy")&amp;" "&amp;Milestones!$AB$50&amp;" "&amp;Milestones!$AC$50&amp;";  ","")&amp;IF(AND(EDATE($D64,Milestones!$AA$51)&lt;=AsOfDate,IF($Q64=0,$W64,IF(AND($S64&lt;&gt;"",EDATE($D64,Milestones!$AA$51)&gt;=$S64),$V64,IF(AND($R64&lt;&gt;"",EDATE($D64,Milestones!$AA$51)&gt;=$R64),$U64,$T64)))=Milestones!$AB$51),TEXT(EDATE($D64,Milestones!$AA$51),"dd/mm/yy")&amp;" "&amp;Milestones!$AB$51&amp;" "&amp;Milestones!$AC$51&amp;";  ","")&amp;IF(AND(EDATE($D64,Milestones!$AA$52)&lt;=AsOfDate,IF($Q64=0,$W64,IF(AND($S64&lt;&gt;"",EDATE($D64,Milestones!$AA$52)&gt;=$S64),$V64,IF(AND($R64&lt;&gt;"",EDATE($D64,Milestones!$AA$52)&gt;=$R64),$U64,$T64)))=Milestones!$AB$52),TEXT(EDATE($D64,Milestones!$AA$52),"dd/mm/yy")&amp;" "&amp;Milestones!$AB$52&amp;" "&amp;Milestones!$AC$52&amp;";  ","")&amp;IF(AND(EDATE($D64,Milestones!$AA$53)&lt;=AsOfDate,IF($Q64=0,$W64,IF(AND($S64&lt;&gt;"",EDATE($D64,Milestones!$AA$53)&gt;=$S64),$V64,IF(AND($R64&lt;&gt;"",EDATE($D64,Milestones!$AA$53)&gt;=$R64),$U64,$T64)))=Milestones!$AB$53),TEXT(EDATE($D64,Milestones!$AA$53),"dd/mm/yy")&amp;" "&amp;Milestones!$AB$53&amp;" "&amp;Milestones!$AC$53&amp;";  ","")&amp;IF(AND(EDATE($D64,Milestones!$AA$54)&lt;=AsOfDate,IF($Q64=0,$W64,IF(AND($S64&lt;&gt;"",EDATE($D64,Milestones!$AA$54)&gt;=$S64),$V64,IF(AND($R64&lt;&gt;"",EDATE($D64,Milestones!$AA$54)&gt;=$R64),$U64,$T64)))=Milestones!$AB$54),TEXT(EDATE($D64,Milestones!$AA$54),"dd/mm/yy")&amp;" "&amp;Milestones!$AB$54&amp;" "&amp;Milestones!$AC$54&amp;";  ","")&amp;IF(AND(EDATE($D64,Milestones!$AA$55)&lt;=AsOfDate,IF($Q64=0,$W64,IF(AND($S64&lt;&gt;"",EDATE($D64,Milestones!$AA$55)&gt;=$S64),$V64,IF(AND($R64&lt;&gt;"",EDATE($D64,Milestones!$AA$55)&gt;=$R64),$U64,$T64)))=Milestones!$AB$55),TEXT(EDATE($D64,Milestones!$AA$55),"dd/mm/yy")&amp;" "&amp;Milestones!$AB$55&amp;" "&amp;Milestones!$AC$55&amp;";  ","")&amp;IF(AND(EDATE($D64,Milestones!$AA$56)&lt;=AsOfDate,IF($Q64=0,$W64,IF(AND($S64&lt;&gt;"",EDATE($D64,Milestones!$AA$56)&gt;=$S64),$V64,IF(AND($R64&lt;&gt;"",EDATE($D64,Milestones!$AA$56)&gt;=$R64),$U64,$T64)))=Milestones!$AB$56),TEXT(EDATE($D64,Milestones!$AA$56),"dd/mm/yy")&amp;" "&amp;Milestones!$AB$56&amp;" "&amp;Milestones!$AC$56&amp;";  ","")&amp;IF(AND(EDATE($D64,Milestones!$AA$57)&lt;=AsOfDate,IF($Q64=0,$W64,IF(AND($S64&lt;&gt;"",EDATE($D64,Milestones!$AA$57)&gt;=$S64),$V64,IF(AND($R64&lt;&gt;"",EDATE($D64,Milestones!$AA$57)&gt;=$R64),$U64,$T64)))=Milestones!$AB$57),TEXT(EDATE($D64,Milestones!$AA$57),"dd/mm/yy")&amp;" "&amp;Milestones!$AB$57&amp;" "&amp;Milestones!$AC$57&amp;";  ","")&amp;IF(AND(EDATE($D64,Milestones!$AA$58)&lt;=AsOfDate,IF($Q64=0,$W64,IF(AND($S64&lt;&gt;"",EDATE($D64,Milestones!$AA$58)&gt;=$S64),$V64,IF(AND($R64&lt;&gt;"",EDATE($D64,Milestones!$AA$58)&gt;=$R64),$U64,$T64)))=Milestones!$AB$58),TEXT(EDATE($D64,Milestones!$AA$58),"dd/mm/yy")&amp;" "&amp;Milestones!$AB$58&amp;" "&amp;Milestones!$AC$58&amp;";  ","")&amp;IF(AND(EDATE($D64,Milestones!$AA$59)&lt;=AsOfDate,IF($Q64=0,$W64,IF(AND($S64&lt;&gt;"",EDATE($D64,Milestones!$AA$59)&gt;=$S64),$V64,IF(AND($R64&lt;&gt;"",EDATE($D64,Milestones!$AA$59)&gt;=$R64),$U64,$T64)))=Milestones!$AB$59),TEXT(EDATE($D64,Milestones!$AA$59),"dd/mm/yy")&amp;" "&amp;Milestones!$AB$59&amp;" "&amp;Milestones!$AC$59&amp;";  ",""))</f>
        <v/>
      </c>
      <c r="J64" s="0" t="str">
        <f aca="false">IF(OR($A64="",$D64=""),"",IF(AND(EDATE($D64,Milestones!$AA$60)&lt;=AsOfDate,IF($Q64=0,$W64,IF(AND($S64&lt;&gt;"",EDATE($D64,Milestones!$AA$60)&gt;=$S64),$V64,IF(AND($R64&lt;&gt;"",EDATE($D64,Milestones!$AA$60)&gt;=$R64),$U64,$T64)))=Milestones!$AB$60),TEXT(EDATE($D64,Milestones!$AA$60),"dd/mm/yy")&amp;" "&amp;Milestones!$AB$60&amp;" "&amp;Milestones!$AC$60&amp;";  ","")&amp;IF(AND(EDATE($D64,Milestones!$AA$61)&lt;=AsOfDate,IF($Q64=0,$W64,IF(AND($S64&lt;&gt;"",EDATE($D64,Milestones!$AA$61)&gt;=$S64),$V64,IF(AND($R64&lt;&gt;"",EDATE($D64,Milestones!$AA$61)&gt;=$R64),$U64,$T64)))=Milestones!$AB$61),TEXT(EDATE($D64,Milestones!$AA$61),"dd/mm/yy")&amp;" "&amp;Milestones!$AB$61&amp;" "&amp;Milestones!$AC$61&amp;";  ","")&amp;IF(AND(EDATE($D64,Milestones!$AA$62)&lt;=AsOfDate,IF($Q64=0,$W64,IF(AND($S64&lt;&gt;"",EDATE($D64,Milestones!$AA$62)&gt;=$S64),$V64,IF(AND($R64&lt;&gt;"",EDATE($D64,Milestones!$AA$62)&gt;=$R64),$U64,$T64)))=Milestones!$AB$62),TEXT(EDATE($D64,Milestones!$AA$62),"dd/mm/yy")&amp;" "&amp;Milestones!$AB$62&amp;" "&amp;Milestones!$AC$62&amp;";  ","")&amp;IF(AND(EDATE($D64,Milestones!$AA$63)&lt;=AsOfDate,IF($Q64=0,$W64,IF(AND($S64&lt;&gt;"",EDATE($D64,Milestones!$AA$63)&gt;=$S64),$V64,IF(AND($R64&lt;&gt;"",EDATE($D64,Milestones!$AA$63)&gt;=$R64),$U64,$T64)))=Milestones!$AB$63),TEXT(EDATE($D64,Milestones!$AA$63),"dd/mm/yy")&amp;" "&amp;Milestones!$AB$63&amp;" "&amp;Milestones!$AC$63&amp;";  ","")&amp;IF(AND(EDATE($D64,Milestones!$AA$64)&lt;=AsOfDate,IF($Q64=0,$W64,IF(AND($S64&lt;&gt;"",EDATE($D64,Milestones!$AA$64)&gt;=$S64),$V64,IF(AND($R64&lt;&gt;"",EDATE($D64,Milestones!$AA$64)&gt;=$R64),$U64,$T64)))=Milestones!$AB$64),TEXT(EDATE($D64,Milestones!$AA$64),"dd/mm/yy")&amp;" "&amp;Milestones!$AB$64&amp;" "&amp;Milestones!$AC$64&amp;";  ","")&amp;IF(AND(EDATE($D64,Milestones!$AA$65)&lt;=AsOfDate,IF($Q64=0,$W64,IF(AND($S64&lt;&gt;"",EDATE($D64,Milestones!$AA$65)&gt;=$S64),$V64,IF(AND($R64&lt;&gt;"",EDATE($D64,Milestones!$AA$65)&gt;=$R64),$U64,$T64)))=Milestones!$AB$65),TEXT(EDATE($D64,Milestones!$AA$65),"dd/mm/yy")&amp;" "&amp;Milestones!$AB$65&amp;" "&amp;Milestones!$AC$65&amp;";  ","")&amp;IF(AND(EDATE($D64,Milestones!$AA$66)&lt;=AsOfDate,IF($Q64=0,$W64,IF(AND($S64&lt;&gt;"",EDATE($D64,Milestones!$AA$66)&gt;=$S64),$V64,IF(AND($R64&lt;&gt;"",EDATE($D64,Milestones!$AA$66)&gt;=$R64),$U64,$T64)))=Milestones!$AB$66),TEXT(EDATE($D64,Milestones!$AA$66),"dd/mm/yy")&amp;" "&amp;Milestones!$AB$66&amp;" "&amp;Milestones!$AC$66&amp;";  ","")&amp;IF(AND(EDATE($D64,Milestones!$AA$67)&lt;=AsOfDate,IF($Q64=0,$W64,IF(AND($S64&lt;&gt;"",EDATE($D64,Milestones!$AA$67)&gt;=$S64),$V64,IF(AND($R64&lt;&gt;"",EDATE($D64,Milestones!$AA$67)&gt;=$R64),$U64,$T64)))=Milestones!$AB$67),TEXT(EDATE($D64,Milestones!$AA$67),"dd/mm/yy")&amp;" "&amp;Milestones!$AB$67&amp;" "&amp;Milestones!$AC$67&amp;";  ","")&amp;IF(AND(EDATE($D64,Milestones!$AA$68)&lt;=AsOfDate,IF($Q64=0,$W64,IF(AND($S64&lt;&gt;"",EDATE($D64,Milestones!$AA$68)&gt;=$S64),$V64,IF(AND($R64&lt;&gt;"",EDATE($D64,Milestones!$AA$68)&gt;=$R64),$U64,$T64)))=Milestones!$AB$68),TEXT(EDATE($D64,Milestones!$AA$68),"dd/mm/yy")&amp;" "&amp;Milestones!$AB$68&amp;" "&amp;Milestones!$AC$68&amp;";  ","")&amp;IF(AND(EDATE($D64,Milestones!$AA$69)&lt;=AsOfDate,IF($Q64=0,$W64,IF(AND($S64&lt;&gt;"",EDATE($D64,Milestones!$AA$69)&gt;=$S64),$V64,IF(AND($R64&lt;&gt;"",EDATE($D64,Milestones!$AA$69)&gt;=$R64),$U64,$T64)))=Milestones!$AB$69),TEXT(EDATE($D64,Milestones!$AA$69),"dd/mm/yy")&amp;" "&amp;Milestones!$AB$69&amp;" "&amp;Milestones!$AC$69&amp;";  ","")&amp;IF(AND(EDATE($D64,Milestones!$AA$70)&lt;=AsOfDate,IF($Q64=0,$W64,IF(AND($S64&lt;&gt;"",EDATE($D64,Milestones!$AA$70)&gt;=$S64),$V64,IF(AND($R64&lt;&gt;"",EDATE($D64,Milestones!$AA$70)&gt;=$R64),$U64,$T64)))=Milestones!$AB$70),TEXT(EDATE($D64,Milestones!$AA$70),"dd/mm/yy")&amp;" "&amp;Milestones!$AB$70&amp;" "&amp;Milestones!$AC$70&amp;";  ","")&amp;IF(AND(EDATE($D64,Milestones!$AA$71)&lt;=AsOfDate,IF($Q64=0,$W64,IF(AND($S64&lt;&gt;"",EDATE($D64,Milestones!$AA$71)&gt;=$S64),$V64,IF(AND($R64&lt;&gt;"",EDATE($D64,Milestones!$AA$71)&gt;=$R64),$U64,$T64)))=Milestones!$AB$71),TEXT(EDATE($D64,Milestones!$AA$71),"dd/mm/yy")&amp;" "&amp;Milestones!$AB$71&amp;" "&amp;Milestones!$AC$71&amp;";  ","")&amp;IF(AND(EDATE($D64,Milestones!$AA$72)&lt;=AsOfDate,IF($Q64=0,$W64,IF(AND($S64&lt;&gt;"",EDATE($D64,Milestones!$AA$72)&gt;=$S64),$V64,IF(AND($R64&lt;&gt;"",EDATE($D64,Milestones!$AA$72)&gt;=$R64),$U64,$T64)))=Milestones!$AB$72),TEXT(EDATE($D64,Milestones!$AA$72),"dd/mm/yy")&amp;" "&amp;Milestones!$AB$72&amp;" "&amp;Milestones!$AC$72&amp;";  ","")&amp;IF(AND(EDATE($D64,Milestones!$AA$73)&lt;=AsOfDate,IF($Q64=0,$W64,IF(AND($S64&lt;&gt;"",EDATE($D64,Milestones!$AA$73)&gt;=$S64),$V64,IF(AND($R64&lt;&gt;"",EDATE($D64,Milestones!$AA$73)&gt;=$R64),$U64,$T64)))=Milestones!$AB$73),TEXT(EDATE($D64,Milestones!$AA$73),"dd/mm/yy")&amp;" "&amp;Milestones!$AB$73&amp;" "&amp;Milestones!$AC$73&amp;";  ","")&amp;IF(AND(EDATE($D64,Milestones!$AA$74)&lt;=AsOfDate,IF($Q64=0,$W64,IF(AND($S64&lt;&gt;"",EDATE($D64,Milestones!$AA$74)&gt;=$S64),$V64,IF(AND($R64&lt;&gt;"",EDATE($D64,Milestones!$AA$74)&gt;=$R64),$U64,$T64)))=Milestones!$AB$74),TEXT(EDATE($D64,Milestones!$AA$74),"dd/mm/yy")&amp;" "&amp;Milestones!$AB$74&amp;" "&amp;Milestones!$AC$74&amp;";  ","")&amp;IF(AND(EDATE($D64,Milestones!$AA$75)&lt;=AsOfDate,IF($Q64=0,$W64,IF(AND($S64&lt;&gt;"",EDATE($D64,Milestones!$AA$75)&gt;=$S64),$V64,IF(AND($R64&lt;&gt;"",EDATE($D64,Milestones!$AA$75)&gt;=$R64),$U64,$T64)))=Milestones!$AB$75),TEXT(EDATE($D64,Milestones!$AA$75),"dd/mm/yy")&amp;" "&amp;Milestones!$AB$75&amp;" "&amp;Milestones!$AC$75&amp;";  ","")&amp;IF(AND(EDATE($D64,Milestones!$AA$76)&lt;=AsOfDate,IF($Q64=0,$W64,IF(AND($S64&lt;&gt;"",EDATE($D64,Milestones!$AA$76)&gt;=$S64),$V64,IF(AND($R64&lt;&gt;"",EDATE($D64,Milestones!$AA$76)&gt;=$R64),$U64,$T64)))=Milestones!$AB$76),TEXT(EDATE($D64,Milestones!$AA$76),"dd/mm/yy")&amp;" "&amp;Milestones!$AB$76&amp;" "&amp;Milestones!$AC$76&amp;";  ","")&amp;IF(AND(EDATE($D64,Milestones!$AA$77)&lt;=AsOfDate,IF($Q64=0,$W64,IF(AND($S64&lt;&gt;"",EDATE($D64,Milestones!$AA$77)&gt;=$S64),$V64,IF(AND($R64&lt;&gt;"",EDATE($D64,Milestones!$AA$77)&gt;=$R64),$U64,$T64)))=Milestones!$AB$77),TEXT(EDATE($D64,Milestones!$AA$77),"dd/mm/yy")&amp;" "&amp;Milestones!$AB$77&amp;" "&amp;Milestones!$AC$77&amp;";  ","")&amp;IF(AND(EDATE($D64,Milestones!$AA$78)&lt;=AsOfDate,IF($Q64=0,$W64,IF(AND($S64&lt;&gt;"",EDATE($D64,Milestones!$AA$78)&gt;=$S64),$V64,IF(AND($R64&lt;&gt;"",EDATE($D64,Milestones!$AA$78)&gt;=$R64),$U64,$T64)))=Milestones!$AB$78),TEXT(EDATE($D64,Milestones!$AA$78),"dd/mm/yy")&amp;" "&amp;Milestones!$AB$78&amp;" "&amp;Milestones!$AC$78&amp;";  ","")&amp;IF(AND(EDATE($D64,Milestones!$AA$79)&lt;=AsOfDate,IF($Q64=0,$W64,IF(AND($S64&lt;&gt;"",EDATE($D64,Milestones!$AA$79)&gt;=$S64),$V64,IF(AND($R64&lt;&gt;"",EDATE($D64,Milestones!$AA$79)&gt;=$R64),$U64,$T64)))=Milestones!$AB$79),TEXT(EDATE($D64,Milestones!$AA$79),"dd/mm/yy")&amp;" "&amp;Milestones!$AB$79&amp;" "&amp;Milestones!$AC$79&amp;";  ",""))</f>
        <v/>
      </c>
      <c r="K64" s="0" t="str">
        <f aca="false">IF(OR($A64="",$D64=""),"",IF(AND(EDATE($D64,Milestones!$AA$80)&lt;=AsOfDate,IF($Q64=0,$W64,IF(AND($S64&lt;&gt;"",EDATE($D64,Milestones!$AA$80)&gt;=$S64),$V64,IF(AND($R64&lt;&gt;"",EDATE($D64,Milestones!$AA$80)&gt;=$R64),$U64,$T64)))=Milestones!$AB$80),TEXT(EDATE($D64,Milestones!$AA$80),"dd/mm/yy")&amp;" "&amp;Milestones!$AB$80&amp;" "&amp;Milestones!$AC$80&amp;";  ","")&amp;IF(AND(EDATE($D64,Milestones!$AA$81)&lt;=AsOfDate,IF($Q64=0,$W64,IF(AND($S64&lt;&gt;"",EDATE($D64,Milestones!$AA$81)&gt;=$S64),$V64,IF(AND($R64&lt;&gt;"",EDATE($D64,Milestones!$AA$81)&gt;=$R64),$U64,$T64)))=Milestones!$AB$81),TEXT(EDATE($D64,Milestones!$AA$81),"dd/mm/yy")&amp;" "&amp;Milestones!$AB$81&amp;" "&amp;Milestones!$AC$81&amp;";  ","")&amp;IF(AND(EDATE($D64,Milestones!$AA$82)&lt;=AsOfDate,IF($Q64=0,$W64,IF(AND($S64&lt;&gt;"",EDATE($D64,Milestones!$AA$82)&gt;=$S64),$V64,IF(AND($R64&lt;&gt;"",EDATE($D64,Milestones!$AA$82)&gt;=$R64),$U64,$T64)))=Milestones!$AB$82),TEXT(EDATE($D64,Milestones!$AA$82),"dd/mm/yy")&amp;" "&amp;Milestones!$AB$82&amp;" "&amp;Milestones!$AC$82&amp;";  ","")&amp;IF(AND(EDATE($D64,Milestones!$AA$83)&lt;=AsOfDate,IF($Q64=0,$W64,IF(AND($S64&lt;&gt;"",EDATE($D64,Milestones!$AA$83)&gt;=$S64),$V64,IF(AND($R64&lt;&gt;"",EDATE($D64,Milestones!$AA$83)&gt;=$R64),$U64,$T64)))=Milestones!$AB$83),TEXT(EDATE($D64,Milestones!$AA$83),"dd/mm/yy")&amp;" "&amp;Milestones!$AB$83&amp;" "&amp;Milestones!$AC$83&amp;";  ","")&amp;IF(AND(EDATE($D64,Milestones!$AA$84)&lt;=AsOfDate,IF($Q64=0,$W64,IF(AND($S64&lt;&gt;"",EDATE($D64,Milestones!$AA$84)&gt;=$S64),$V64,IF(AND($R64&lt;&gt;"",EDATE($D64,Milestones!$AA$84)&gt;=$R64),$U64,$T64)))=Milestones!$AB$84),TEXT(EDATE($D64,Milestones!$AA$84),"dd/mm/yy")&amp;" "&amp;Milestones!$AB$84&amp;" "&amp;Milestones!$AC$84&amp;";  ","")&amp;IF(AND(EDATE($D64,Milestones!$AA$85)&lt;=AsOfDate,IF($Q64=0,$W64,IF(AND($S64&lt;&gt;"",EDATE($D64,Milestones!$AA$85)&gt;=$S64),$V64,IF(AND($R64&lt;&gt;"",EDATE($D64,Milestones!$AA$85)&gt;=$R64),$U64,$T64)))=Milestones!$AB$85),TEXT(EDATE($D64,Milestones!$AA$85),"dd/mm/yy")&amp;" "&amp;Milestones!$AB$85&amp;" "&amp;Milestones!$AC$85&amp;";  ","")&amp;IF(AND(EDATE($D64,Milestones!$AA$86)&lt;=AsOfDate,IF($Q64=0,$W64,IF(AND($S64&lt;&gt;"",EDATE($D64,Milestones!$AA$86)&gt;=$S64),$V64,IF(AND($R64&lt;&gt;"",EDATE($D64,Milestones!$AA$86)&gt;=$R64),$U64,$T64)))=Milestones!$AB$86),TEXT(EDATE($D64,Milestones!$AA$86),"dd/mm/yy")&amp;" "&amp;Milestones!$AB$86&amp;" "&amp;Milestones!$AC$86&amp;";  ","")&amp;IF(AND(EDATE($D64,Milestones!$AA$87)&lt;=AsOfDate,IF($Q64=0,$W64,IF(AND($S64&lt;&gt;"",EDATE($D64,Milestones!$AA$87)&gt;=$S64),$V64,IF(AND($R64&lt;&gt;"",EDATE($D64,Milestones!$AA$87)&gt;=$R64),$U64,$T64)))=Milestones!$AB$87),TEXT(EDATE($D64,Milestones!$AA$87),"dd/mm/yy")&amp;" "&amp;Milestones!$AB$87&amp;" "&amp;Milestones!$AC$87&amp;";  ","")&amp;IF(AND(EDATE($D64,Milestones!$AA$88)&lt;=AsOfDate,IF($Q64=0,$W64,IF(AND($S64&lt;&gt;"",EDATE($D64,Milestones!$AA$88)&gt;=$S64),$V64,IF(AND($R64&lt;&gt;"",EDATE($D64,Milestones!$AA$88)&gt;=$R64),$U64,$T64)))=Milestones!$AB$88),TEXT(EDATE($D64,Milestones!$AA$88),"dd/mm/yy")&amp;" "&amp;Milestones!$AB$88&amp;" "&amp;Milestones!$AC$88&amp;";  ","")&amp;IF(AND(EDATE($D64,Milestones!$AA$89)&lt;=AsOfDate,IF($Q64=0,$W64,IF(AND($S64&lt;&gt;"",EDATE($D64,Milestones!$AA$89)&gt;=$S64),$V64,IF(AND($R64&lt;&gt;"",EDATE($D64,Milestones!$AA$89)&gt;=$R64),$U64,$T64)))=Milestones!$AB$89),TEXT(EDATE($D64,Milestones!$AA$89),"dd/mm/yy")&amp;" "&amp;Milestones!$AB$89&amp;" "&amp;Milestones!$AC$89&amp;";  ","")&amp;IF(AND(EDATE($D64,Milestones!$AA$90)&lt;=AsOfDate,IF($Q64=0,$W64,IF(AND($S64&lt;&gt;"",EDATE($D64,Milestones!$AA$90)&gt;=$S64),$V64,IF(AND($R64&lt;&gt;"",EDATE($D64,Milestones!$AA$90)&gt;=$R64),$U64,$T64)))=Milestones!$AB$90),TEXT(EDATE($D64,Milestones!$AA$90),"dd/mm/yy")&amp;" "&amp;Milestones!$AB$90&amp;" "&amp;Milestones!$AC$90&amp;";  ","")&amp;IF(AND(EDATE($D64,Milestones!$AA$91)&lt;=AsOfDate,IF($Q64=0,$W64,IF(AND($S64&lt;&gt;"",EDATE($D64,Milestones!$AA$91)&gt;=$S64),$V64,IF(AND($R64&lt;&gt;"",EDATE($D64,Milestones!$AA$91)&gt;=$R64),$U64,$T64)))=Milestones!$AB$91),TEXT(EDATE($D64,Milestones!$AA$91),"dd/mm/yy")&amp;" "&amp;Milestones!$AB$91&amp;" "&amp;Milestones!$AC$91&amp;";  ","")&amp;IF(AND(EDATE($D64,Milestones!$AA$92)&lt;=AsOfDate,IF($Q64=0,$W64,IF(AND($S64&lt;&gt;"",EDATE($D64,Milestones!$AA$92)&gt;=$S64),$V64,IF(AND($R64&lt;&gt;"",EDATE($D64,Milestones!$AA$92)&gt;=$R64),$U64,$T64)))=Milestones!$AB$92),TEXT(EDATE($D64,Milestones!$AA$92),"dd/mm/yy")&amp;" "&amp;Milestones!$AB$92&amp;" "&amp;Milestones!$AC$92&amp;";  ","")&amp;IF(AND(EDATE($D64,Milestones!$AA$93)&lt;=AsOfDate,IF($Q64=0,$W64,IF(AND($S64&lt;&gt;"",EDATE($D64,Milestones!$AA$93)&gt;=$S64),$V64,IF(AND($R64&lt;&gt;"",EDATE($D64,Milestones!$AA$93)&gt;=$R64),$U64,$T64)))=Milestones!$AB$93),TEXT(EDATE($D64,Milestones!$AA$93),"dd/mm/yy")&amp;" "&amp;Milestones!$AB$93&amp;" "&amp;Milestones!$AC$93&amp;";  ","")&amp;IF(AND(EDATE($D64,Milestones!$AA$94)&lt;=AsOfDate,IF($Q64=0,$W64,IF(AND($S64&lt;&gt;"",EDATE($D64,Milestones!$AA$94)&gt;=$S64),$V64,IF(AND($R64&lt;&gt;"",EDATE($D64,Milestones!$AA$94)&gt;=$R64),$U64,$T64)))=Milestones!$AB$94),TEXT(EDATE($D64,Milestones!$AA$94),"dd/mm/yy")&amp;" "&amp;Milestones!$AB$94&amp;" "&amp;Milestones!$AC$94&amp;";  ","")&amp;IF(AND(EDATE($D64,Milestones!$AA$95)&lt;=AsOfDate,IF($Q64=0,$W64,IF(AND($S64&lt;&gt;"",EDATE($D64,Milestones!$AA$95)&gt;=$S64),$V64,IF(AND($R64&lt;&gt;"",EDATE($D64,Milestones!$AA$95)&gt;=$R64),$U64,$T64)))=Milestones!$AB$95),TEXT(EDATE($D64,Milestones!$AA$95),"dd/mm/yy")&amp;" "&amp;Milestones!$AB$95&amp;" "&amp;Milestones!$AC$95&amp;";  ","")&amp;IF(AND(EDATE($D64,Milestones!$AA$96)&lt;=AsOfDate,IF($Q64=0,$W64,IF(AND($S64&lt;&gt;"",EDATE($D64,Milestones!$AA$96)&gt;=$S64),$V64,IF(AND($R64&lt;&gt;"",EDATE($D64,Milestones!$AA$96)&gt;=$R64),$U64,$T64)))=Milestones!$AB$96),TEXT(EDATE($D64,Milestones!$AA$96),"dd/mm/yy")&amp;" "&amp;Milestones!$AB$96&amp;" "&amp;Milestones!$AC$96&amp;";  ","")&amp;IF(AND(EDATE($D64,Milestones!$AA$97)&lt;=AsOfDate,IF($Q64=0,$W64,IF(AND($S64&lt;&gt;"",EDATE($D64,Milestones!$AA$97)&gt;=$S64),$V64,IF(AND($R64&lt;&gt;"",EDATE($D64,Milestones!$AA$97)&gt;=$R64),$U64,$T64)))=Milestones!$AB$97),TEXT(EDATE($D64,Milestones!$AA$97),"dd/mm/yy")&amp;" "&amp;Milestones!$AB$97&amp;" "&amp;Milestones!$AC$97&amp;";  ","")&amp;IF(AND(EDATE($D64,Milestones!$AA$98)&lt;=AsOfDate,IF($Q64=0,$W64,IF(AND($S64&lt;&gt;"",EDATE($D64,Milestones!$AA$98)&gt;=$S64),$V64,IF(AND($R64&lt;&gt;"",EDATE($D64,Milestones!$AA$98)&gt;=$R64),$U64,$T64)))=Milestones!$AB$98),TEXT(EDATE($D64,Milestones!$AA$98),"dd/mm/yy")&amp;" "&amp;Milestones!$AB$98&amp;" "&amp;Milestones!$AC$98&amp;";  ","")&amp;IF(AND(EDATE($D64,Milestones!$AA$99)&lt;=AsOfDate,IF($Q64=0,$W64,IF(AND($S64&lt;&gt;"",EDATE($D64,Milestones!$AA$99)&gt;=$S64),$V64,IF(AND($R64&lt;&gt;"",EDATE($D64,Milestones!$AA$99)&gt;=$R64),$U64,$T64)))=Milestones!$AB$99),TEXT(EDATE($D64,Milestones!$AA$99),"dd/mm/yy")&amp;" "&amp;Milestones!$AB$99&amp;" "&amp;Milestones!$AC$99&amp;";  ",""))</f>
        <v/>
      </c>
      <c r="L64" s="0" t="str">
        <f aca="false">IF(OR($A64="",$D64=""),"",IF(AND(EDATE($D64,Milestones!$AA$100)&lt;=AsOfDate,IF($Q64=0,$W64,IF(AND($S64&lt;&gt;"",EDATE($D64,Milestones!$AA$100)&gt;=$S64),$V64,IF(AND($R64&lt;&gt;"",EDATE($D64,Milestones!$AA$100)&gt;=$R64),$U64,$T64)))=Milestones!$AB$100),TEXT(EDATE($D64,Milestones!$AA$100),"dd/mm/yy")&amp;" "&amp;Milestones!$AB$100&amp;" "&amp;Milestones!$AC$100&amp;";  ","")&amp;IF(AND(EDATE($D64,Milestones!$AA$101)&lt;=AsOfDate,IF($Q64=0,$W64,IF(AND($S64&lt;&gt;"",EDATE($D64,Milestones!$AA$101)&gt;=$S64),$V64,IF(AND($R64&lt;&gt;"",EDATE($D64,Milestones!$AA$101)&gt;=$R64),$U64,$T64)))=Milestones!$AB$101),TEXT(EDATE($D64,Milestones!$AA$101),"dd/mm/yy")&amp;" "&amp;Milestones!$AB$101&amp;" "&amp;Milestones!$AC$101&amp;";  ","")&amp;IF(AND(EDATE($D64,Milestones!$AA$102)&lt;=AsOfDate,IF($Q64=0,$W64,IF(AND($S64&lt;&gt;"",EDATE($D64,Milestones!$AA$102)&gt;=$S64),$V64,IF(AND($R64&lt;&gt;"",EDATE($D64,Milestones!$AA$102)&gt;=$R64),$U64,$T64)))=Milestones!$AB$102),TEXT(EDATE($D64,Milestones!$AA$102),"dd/mm/yy")&amp;" "&amp;Milestones!$AB$102&amp;" "&amp;Milestones!$AC$102&amp;";  ","")&amp;IF(AND(EDATE($D64,Milestones!$AA$103)&lt;=AsOfDate,IF($Q64=0,$W64,IF(AND($S64&lt;&gt;"",EDATE($D64,Milestones!$AA$103)&gt;=$S64),$V64,IF(AND($R64&lt;&gt;"",EDATE($D64,Milestones!$AA$103)&gt;=$R64),$U64,$T64)))=Milestones!$AB$103),TEXT(EDATE($D64,Milestones!$AA$103),"dd/mm/yy")&amp;" "&amp;Milestones!$AB$103&amp;" "&amp;Milestones!$AC$103&amp;";  ","")&amp;IF(AND(EDATE($D64,Milestones!$AA$104)&lt;=AsOfDate,IF($Q64=0,$W64,IF(AND($S64&lt;&gt;"",EDATE($D64,Milestones!$AA$104)&gt;=$S64),$V64,IF(AND($R64&lt;&gt;"",EDATE($D64,Milestones!$AA$104)&gt;=$R64),$U64,$T64)))=Milestones!$AB$104),TEXT(EDATE($D64,Milestones!$AA$104),"dd/mm/yy")&amp;" "&amp;Milestones!$AB$104&amp;" "&amp;Milestones!$AC$104&amp;";  ","")&amp;IF(AND(EDATE($D64,Milestones!$AA$105)&lt;=AsOfDate,IF($Q64=0,$W64,IF(AND($S64&lt;&gt;"",EDATE($D64,Milestones!$AA$105)&gt;=$S64),$V64,IF(AND($R64&lt;&gt;"",EDATE($D64,Milestones!$AA$105)&gt;=$R64),$U64,$T64)))=Milestones!$AB$105),TEXT(EDATE($D64,Milestones!$AA$105),"dd/mm/yy")&amp;" "&amp;Milestones!$AB$105&amp;" "&amp;Milestones!$AC$105&amp;";  ","")&amp;IF(AND(EDATE($D64,Milestones!$AA$106)&lt;=AsOfDate,IF($Q64=0,$W64,IF(AND($S64&lt;&gt;"",EDATE($D64,Milestones!$AA$106)&gt;=$S64),$V64,IF(AND($R64&lt;&gt;"",EDATE($D64,Milestones!$AA$106)&gt;=$R64),$U64,$T64)))=Milestones!$AB$106),TEXT(EDATE($D64,Milestones!$AA$106),"dd/mm/yy")&amp;" "&amp;Milestones!$AB$106&amp;" "&amp;Milestones!$AC$106&amp;";  ","")&amp;IF(AND(EDATE($D64,Milestones!$AA$107)&lt;=AsOfDate,IF($Q64=0,$W64,IF(AND($S64&lt;&gt;"",EDATE($D64,Milestones!$AA$107)&gt;=$S64),$V64,IF(AND($R64&lt;&gt;"",EDATE($D64,Milestones!$AA$107)&gt;=$R64),$U64,$T64)))=Milestones!$AB$107),TEXT(EDATE($D64,Milestones!$AA$107),"dd/mm/yy")&amp;" "&amp;Milestones!$AB$107&amp;" "&amp;Milestones!$AC$107&amp;";  ","")&amp;IF(AND(EDATE($D64,Milestones!$AA$108)&lt;=AsOfDate,IF($Q64=0,$W64,IF(AND($S64&lt;&gt;"",EDATE($D64,Milestones!$AA$108)&gt;=$S64),$V64,IF(AND($R64&lt;&gt;"",EDATE($D64,Milestones!$AA$108)&gt;=$R64),$U64,$T64)))=Milestones!$AB$108),TEXT(EDATE($D64,Milestones!$AA$108),"dd/mm/yy")&amp;" "&amp;Milestones!$AB$108&amp;" "&amp;Milestones!$AC$108&amp;";  ","")&amp;IF(AND(EDATE($D64,Milestones!$AA$109)&lt;=AsOfDate,IF($Q64=0,$W64,IF(AND($S64&lt;&gt;"",EDATE($D64,Milestones!$AA$109)&gt;=$S64),$V64,IF(AND($R64&lt;&gt;"",EDATE($D64,Milestones!$AA$109)&gt;=$R64),$U64,$T64)))=Milestones!$AB$109),TEXT(EDATE($D64,Milestones!$AA$109),"dd/mm/yy")&amp;" "&amp;Milestones!$AB$109&amp;" "&amp;Milestones!$AC$109&amp;";  ","")&amp;IF(AND(EDATE($D64,Milestones!$AA$110)&lt;=AsOfDate,IF($Q64=0,$W64,IF(AND($S64&lt;&gt;"",EDATE($D64,Milestones!$AA$110)&gt;=$S64),$V64,IF(AND($R64&lt;&gt;"",EDATE($D64,Milestones!$AA$110)&gt;=$R64),$U64,$T64)))=Milestones!$AB$110),TEXT(EDATE($D64,Milestones!$AA$110),"dd/mm/yy")&amp;" "&amp;Milestones!$AB$110&amp;" "&amp;Milestones!$AC$110&amp;";  ","")&amp;IF(AND(EDATE($D64,Milestones!$AA$111)&lt;=AsOfDate,IF($Q64=0,$W64,IF(AND($S64&lt;&gt;"",EDATE($D64,Milestones!$AA$111)&gt;=$S64),$V64,IF(AND($R64&lt;&gt;"",EDATE($D64,Milestones!$AA$111)&gt;=$R64),$U64,$T64)))=Milestones!$AB$111),TEXT(EDATE($D64,Milestones!$AA$111),"dd/mm/yy")&amp;" "&amp;Milestones!$AB$111&amp;" "&amp;Milestones!$AC$111&amp;";  ","")&amp;IF(AND(EDATE($D64,Milestones!$AA$112)&lt;=AsOfDate,IF($Q64=0,$W64,IF(AND($S64&lt;&gt;"",EDATE($D64,Milestones!$AA$112)&gt;=$S64),$V64,IF(AND($R64&lt;&gt;"",EDATE($D64,Milestones!$AA$112)&gt;=$R64),$U64,$T64)))=Milestones!$AB$112),TEXT(EDATE($D64,Milestones!$AA$112),"dd/mm/yy")&amp;" "&amp;Milestones!$AB$112&amp;" "&amp;Milestones!$AC$112&amp;";  ","")&amp;IF(AND(EDATE($D64,Milestones!$AA$113)&lt;=AsOfDate,IF($Q64=0,$W64,IF(AND($S64&lt;&gt;"",EDATE($D64,Milestones!$AA$113)&gt;=$S64),$V64,IF(AND($R64&lt;&gt;"",EDATE($D64,Milestones!$AA$113)&gt;=$R64),$U64,$T64)))=Milestones!$AB$113),TEXT(EDATE($D64,Milestones!$AA$113),"dd/mm/yy")&amp;" "&amp;Milestones!$AB$113&amp;" "&amp;Milestones!$AC$113&amp;";  ","")&amp;IF(AND(EDATE($D64,Milestones!$AA$114)&lt;=AsOfDate,IF($Q64=0,$W64,IF(AND($S64&lt;&gt;"",EDATE($D64,Milestones!$AA$114)&gt;=$S64),$V64,IF(AND($R64&lt;&gt;"",EDATE($D64,Milestones!$AA$114)&gt;=$R64),$U64,$T64)))=Milestones!$AB$114),TEXT(EDATE($D64,Milestones!$AA$114),"dd/mm/yy")&amp;" "&amp;Milestones!$AB$114&amp;" "&amp;Milestones!$AC$114&amp;";  ","")&amp;IF(AND(EDATE($D64,Milestones!$AA$115)&lt;=AsOfDate,IF($Q64=0,$W64,IF(AND($S64&lt;&gt;"",EDATE($D64,Milestones!$AA$115)&gt;=$S64),$V64,IF(AND($R64&lt;&gt;"",EDATE($D64,Milestones!$AA$115)&gt;=$R64),$U64,$T64)))=Milestones!$AB$115),TEXT(EDATE($D64,Milestones!$AA$115),"dd/mm/yy")&amp;" "&amp;Milestones!$AB$115&amp;" "&amp;Milestones!$AC$115&amp;";  ","")&amp;IF(AND(EDATE($D64,Milestones!$AA$116)&lt;=AsOfDate,IF($Q64=0,$W64,IF(AND($S64&lt;&gt;"",EDATE($D64,Milestones!$AA$116)&gt;=$S64),$V64,IF(AND($R64&lt;&gt;"",EDATE($D64,Milestones!$AA$116)&gt;=$R64),$U64,$T64)))=Milestones!$AB$116),TEXT(EDATE($D64,Milestones!$AA$116),"dd/mm/yy")&amp;" "&amp;Milestones!$AB$116&amp;" "&amp;Milestones!$AC$116&amp;";  ","")&amp;IF(AND(EDATE($D64,Milestones!$AA$117)&lt;=AsOfDate,IF($Q64=0,$W64,IF(AND($S64&lt;&gt;"",EDATE($D64,Milestones!$AA$117)&gt;=$S64),$V64,IF(AND($R64&lt;&gt;"",EDATE($D64,Milestones!$AA$117)&gt;=$R64),$U64,$T64)))=Milestones!$AB$117),TEXT(EDATE($D64,Milestones!$AA$117),"dd/mm/yy")&amp;" "&amp;Milestones!$AB$117&amp;" "&amp;Milestones!$AC$117&amp;";  ","")&amp;IF(AND(EDATE($D64,Milestones!$AA$118)&lt;=AsOfDate,IF($Q64=0,$W64,IF(AND($S64&lt;&gt;"",EDATE($D64,Milestones!$AA$118)&gt;=$S64),$V64,IF(AND($R64&lt;&gt;"",EDATE($D64,Milestones!$AA$118)&gt;=$R64),$U64,$T64)))=Milestones!$AB$118),TEXT(EDATE($D64,Milestones!$AA$118),"dd/mm/yy")&amp;" "&amp;Milestones!$AB$118&amp;" "&amp;Milestones!$AC$118&amp;";  ","")&amp;IF(AND(EDATE($D64,Milestones!$AA$119)&lt;=AsOfDate,IF($Q64=0,$W64,IF(AND($S64&lt;&gt;"",EDATE($D64,Milestones!$AA$119)&gt;=$S64),$V64,IF(AND($R64&lt;&gt;"",EDATE($D64,Milestones!$AA$119)&gt;=$R64),$U64,$T64)))=Milestones!$AB$119),TEXT(EDATE($D64,Milestones!$AA$119),"dd/mm/yy")&amp;" "&amp;Milestones!$AB$119&amp;" "&amp;Milestones!$AC$119&amp;";  ",""))</f>
        <v/>
      </c>
      <c r="M64" s="0" t="str">
        <f aca="false">IF(OR($A64="",$D64=""),"",IF(AND(EDATE($D64,Milestones!$AA$120)&lt;=AsOfDate,IF($Q64=0,$W64,IF(AND($S64&lt;&gt;"",EDATE($D64,Milestones!$AA$120)&gt;=$S64),$V64,IF(AND($R64&lt;&gt;"",EDATE($D64,Milestones!$AA$120)&gt;=$R64),$U64,$T64)))=Milestones!$AB$120),TEXT(EDATE($D64,Milestones!$AA$120),"dd/mm/yy")&amp;" "&amp;Milestones!$AB$120&amp;" "&amp;Milestones!$AC$120&amp;";  ","")&amp;IF(AND(EDATE($D64,Milestones!$AA$121)&lt;=AsOfDate,IF($Q64=0,$W64,IF(AND($S64&lt;&gt;"",EDATE($D64,Milestones!$AA$121)&gt;=$S64),$V64,IF(AND($R64&lt;&gt;"",EDATE($D64,Milestones!$AA$121)&gt;=$R64),$U64,$T64)))=Milestones!$AB$121),TEXT(EDATE($D64,Milestones!$AA$121),"dd/mm/yy")&amp;" "&amp;Milestones!$AB$121&amp;" "&amp;Milestones!$AC$121&amp;";  ","")&amp;IF(AND(EDATE($D64,Milestones!$AA$122)&lt;=AsOfDate,IF($Q64=0,$W64,IF(AND($S64&lt;&gt;"",EDATE($D64,Milestones!$AA$122)&gt;=$S64),$V64,IF(AND($R64&lt;&gt;"",EDATE($D64,Milestones!$AA$122)&gt;=$R64),$U64,$T64)))=Milestones!$AB$122),TEXT(EDATE($D64,Milestones!$AA$122),"dd/mm/yy")&amp;" "&amp;Milestones!$AB$122&amp;" "&amp;Milestones!$AC$122&amp;";  ","")&amp;IF(AND(EDATE($D64,Milestones!$AA$123)&lt;=AsOfDate,IF($Q64=0,$W64,IF(AND($S64&lt;&gt;"",EDATE($D64,Milestones!$AA$123)&gt;=$S64),$V64,IF(AND($R64&lt;&gt;"",EDATE($D64,Milestones!$AA$123)&gt;=$R64),$U64,$T64)))=Milestones!$AB$123),TEXT(EDATE($D64,Milestones!$AA$123),"dd/mm/yy")&amp;" "&amp;Milestones!$AB$123&amp;" "&amp;Milestones!$AC$123&amp;";  ","")&amp;IF(AND(EDATE($D64,Milestones!$AA$124)&lt;=AsOfDate,IF($Q64=0,$W64,IF(AND($S64&lt;&gt;"",EDATE($D64,Milestones!$AA$124)&gt;=$S64),$V64,IF(AND($R64&lt;&gt;"",EDATE($D64,Milestones!$AA$124)&gt;=$R64),$U64,$T64)))=Milestones!$AB$124),TEXT(EDATE($D64,Milestones!$AA$124),"dd/mm/yy")&amp;" "&amp;Milestones!$AB$124&amp;" "&amp;Milestones!$AC$124&amp;";  ","")&amp;IF(AND(EDATE($D64,Milestones!$AA$125)&lt;=AsOfDate,IF($Q64=0,$W64,IF(AND($S64&lt;&gt;"",EDATE($D64,Milestones!$AA$125)&gt;=$S64),$V64,IF(AND($R64&lt;&gt;"",EDATE($D64,Milestones!$AA$125)&gt;=$R64),$U64,$T64)))=Milestones!$AB$125),TEXT(EDATE($D64,Milestones!$AA$125),"dd/mm/yy")&amp;" "&amp;Milestones!$AB$125&amp;" "&amp;Milestones!$AC$125&amp;";  ","")&amp;IF(AND(EDATE($D64,Milestones!$AA$126)&lt;=AsOfDate,IF($Q64=0,$W64,IF(AND($S64&lt;&gt;"",EDATE($D64,Milestones!$AA$126)&gt;=$S64),$V64,IF(AND($R64&lt;&gt;"",EDATE($D64,Milestones!$AA$126)&gt;=$R64),$U64,$T64)))=Milestones!$AB$126),TEXT(EDATE($D64,Milestones!$AA$126),"dd/mm/yy")&amp;" "&amp;Milestones!$AB$126&amp;" "&amp;Milestones!$AC$126&amp;";  ","")&amp;IF(AND(EDATE($D64,Milestones!$AA$127)&lt;=AsOfDate,IF($Q64=0,$W64,IF(AND($S64&lt;&gt;"",EDATE($D64,Milestones!$AA$127)&gt;=$S64),$V64,IF(AND($R64&lt;&gt;"",EDATE($D64,Milestones!$AA$127)&gt;=$R64),$U64,$T64)))=Milestones!$AB$127),TEXT(EDATE($D64,Milestones!$AA$127),"dd/mm/yy")&amp;" "&amp;Milestones!$AB$127&amp;" "&amp;Milestones!$AC$127&amp;";  ","")&amp;IF(AND(EDATE($D64,Milestones!$AA$128)&lt;=AsOfDate,IF($Q64=0,$W64,IF(AND($S64&lt;&gt;"",EDATE($D64,Milestones!$AA$128)&gt;=$S64),$V64,IF(AND($R64&lt;&gt;"",EDATE($D64,Milestones!$AA$128)&gt;=$R64),$U64,$T64)))=Milestones!$AB$128),TEXT(EDATE($D64,Milestones!$AA$128),"dd/mm/yy")&amp;" "&amp;Milestones!$AB$128&amp;" "&amp;Milestones!$AC$128&amp;";  ","")&amp;IF(AND(EDATE($D64,Milestones!$AA$129)&lt;=AsOfDate,IF($Q64=0,$W64,IF(AND($S64&lt;&gt;"",EDATE($D64,Milestones!$AA$129)&gt;=$S64),$V64,IF(AND($R64&lt;&gt;"",EDATE($D64,Milestones!$AA$129)&gt;=$R64),$U64,$T64)))=Milestones!$AB$129),TEXT(EDATE($D64,Milestones!$AA$129),"dd/mm/yy")&amp;" "&amp;Milestones!$AB$129&amp;" "&amp;Milestones!$AC$129&amp;";  ","")&amp;IF(AND(EDATE($D64,Milestones!$AA$130)&lt;=AsOfDate,IF($Q64=0,$W64,IF(AND($S64&lt;&gt;"",EDATE($D64,Milestones!$AA$130)&gt;=$S64),$V64,IF(AND($R64&lt;&gt;"",EDATE($D64,Milestones!$AA$130)&gt;=$R64),$U64,$T64)))=Milestones!$AB$130),TEXT(EDATE($D64,Milestones!$AA$130),"dd/mm/yy")&amp;" "&amp;Milestones!$AB$130&amp;" "&amp;Milestones!$AC$130&amp;";  ","")&amp;IF(AND(EDATE($D64,Milestones!$AA$131)&lt;=AsOfDate,IF($Q64=0,$W64,IF(AND($S64&lt;&gt;"",EDATE($D64,Milestones!$AA$131)&gt;=$S64),$V64,IF(AND($R64&lt;&gt;"",EDATE($D64,Milestones!$AA$131)&gt;=$R64),$U64,$T64)))=Milestones!$AB$131),TEXT(EDATE($D64,Milestones!$AA$131),"dd/mm/yy")&amp;" "&amp;Milestones!$AB$131&amp;" "&amp;Milestones!$AC$131&amp;";  ","")&amp;IF(AND(EDATE($D64,Milestones!$AA$132)&lt;=AsOfDate,IF($Q64=0,$W64,IF(AND($S64&lt;&gt;"",EDATE($D64,Milestones!$AA$132)&gt;=$S64),$V64,IF(AND($R64&lt;&gt;"",EDATE($D64,Milestones!$AA$132)&gt;=$R64),$U64,$T64)))=Milestones!$AB$132),TEXT(EDATE($D64,Milestones!$AA$132),"dd/mm/yy")&amp;" "&amp;Milestones!$AB$132&amp;" "&amp;Milestones!$AC$132&amp;";  ","")&amp;IF(AND(EDATE($D64,Milestones!$AA$133)&lt;=AsOfDate,IF($Q64=0,$W64,IF(AND($S64&lt;&gt;"",EDATE($D64,Milestones!$AA$133)&gt;=$S64),$V64,IF(AND($R64&lt;&gt;"",EDATE($D64,Milestones!$AA$133)&gt;=$R64),$U64,$T64)))=Milestones!$AB$133),TEXT(EDATE($D64,Milestones!$AA$133),"dd/mm/yy")&amp;" "&amp;Milestones!$AB$133&amp;" "&amp;Milestones!$AC$133&amp;";  ","")&amp;IF(AND(EDATE($D64,Milestones!$AA$134)&lt;=AsOfDate,IF($Q64=0,$W64,IF(AND($S64&lt;&gt;"",EDATE($D64,Milestones!$AA$134)&gt;=$S64),$V64,IF(AND($R64&lt;&gt;"",EDATE($D64,Milestones!$AA$134)&gt;=$R64),$U64,$T64)))=Milestones!$AB$134),TEXT(EDATE($D64,Milestones!$AA$134),"dd/mm/yy")&amp;" "&amp;Milestones!$AB$134&amp;" "&amp;Milestones!$AC$134&amp;";  ","")&amp;IF(AND(EDATE($D64,Milestones!$AA$135)&lt;=AsOfDate,IF($Q64=0,$W64,IF(AND($S64&lt;&gt;"",EDATE($D64,Milestones!$AA$135)&gt;=$S64),$V64,IF(AND($R64&lt;&gt;"",EDATE($D64,Milestones!$AA$135)&gt;=$R64),$U64,$T64)))=Milestones!$AB$135),TEXT(EDATE($D64,Milestones!$AA$135),"dd/mm/yy")&amp;" "&amp;Milestones!$AB$135&amp;" "&amp;Milestones!$AC$135&amp;";  ","")&amp;IF(AND(EDATE($D64,Milestones!$AA$136)&lt;=AsOfDate,IF($Q64=0,$W64,IF(AND($S64&lt;&gt;"",EDATE($D64,Milestones!$AA$136)&gt;=$S64),$V64,IF(AND($R64&lt;&gt;"",EDATE($D64,Milestones!$AA$136)&gt;=$R64),$U64,$T64)))=Milestones!$AB$136),TEXT(EDATE($D64,Milestones!$AA$136),"dd/mm/yy")&amp;" "&amp;Milestones!$AB$136&amp;" "&amp;Milestones!$AC$136&amp;";  ","")&amp;IF(AND(EDATE($D64,Milestones!$AA$137)&lt;=AsOfDate,IF($Q64=0,$W64,IF(AND($S64&lt;&gt;"",EDATE($D64,Milestones!$AA$137)&gt;=$S64),$V64,IF(AND($R64&lt;&gt;"",EDATE($D64,Milestones!$AA$137)&gt;=$R64),$U64,$T64)))=Milestones!$AB$137),TEXT(EDATE($D64,Milestones!$AA$137),"dd/mm/yy")&amp;" "&amp;Milestones!$AB$137&amp;" "&amp;Milestones!$AC$137&amp;";  ","")&amp;IF(AND(EDATE($D64,Milestones!$AA$138)&lt;=AsOfDate,IF($Q64=0,$W64,IF(AND($S64&lt;&gt;"",EDATE($D64,Milestones!$AA$138)&gt;=$S64),$V64,IF(AND($R64&lt;&gt;"",EDATE($D64,Milestones!$AA$138)&gt;=$R64),$U64,$T64)))=Milestones!$AB$138),TEXT(EDATE($D64,Milestones!$AA$138),"dd/mm/yy")&amp;" "&amp;Milestones!$AB$138&amp;" "&amp;Milestones!$AC$138&amp;";  ","")&amp;IF(AND(EDATE($D64,Milestones!$AA$139)&lt;=AsOfDate,IF($Q64=0,$W64,IF(AND($S64&lt;&gt;"",EDATE($D64,Milestones!$AA$139)&gt;=$S64),$V64,IF(AND($R64&lt;&gt;"",EDATE($D64,Milestones!$AA$139)&gt;=$R64),$U64,$T64)))=Milestones!$AB$139),TEXT(EDATE($D64,Milestones!$AA$139),"dd/mm/yy")&amp;" "&amp;Milestones!$AB$139&amp;" "&amp;Milestones!$AC$139&amp;";  ",""))</f>
        <v/>
      </c>
      <c r="N64" s="0" t="str">
        <f aca="false">IF(OR($A64="",$D64=""),"",IF(AND(EDATE($D64,Milestones!$AA$140)&lt;=AsOfDate,IF($Q64=0,$W64,IF(AND($S64&lt;&gt;"",EDATE($D64,Milestones!$AA$140)&gt;=$S64),$V64,IF(AND($R64&lt;&gt;"",EDATE($D64,Milestones!$AA$140)&gt;=$R64),$U64,$T64)))=Milestones!$AB$140),TEXT(EDATE($D64,Milestones!$AA$140),"dd/mm/yy")&amp;" "&amp;Milestones!$AB$140&amp;" "&amp;Milestones!$AC$140&amp;";  ","")&amp;IF(AND(EDATE($D64,Milestones!$AA$141)&lt;=AsOfDate,IF($Q64=0,$W64,IF(AND($S64&lt;&gt;"",EDATE($D64,Milestones!$AA$141)&gt;=$S64),$V64,IF(AND($R64&lt;&gt;"",EDATE($D64,Milestones!$AA$141)&gt;=$R64),$U64,$T64)))=Milestones!$AB$141),TEXT(EDATE($D64,Milestones!$AA$141),"dd/mm/yy")&amp;" "&amp;Milestones!$AB$141&amp;" "&amp;Milestones!$AC$141&amp;";  ","")&amp;IF(AND(EDATE($D64,Milestones!$AA$142)&lt;=AsOfDate,IF($Q64=0,$W64,IF(AND($S64&lt;&gt;"",EDATE($D64,Milestones!$AA$142)&gt;=$S64),$V64,IF(AND($R64&lt;&gt;"",EDATE($D64,Milestones!$AA$142)&gt;=$R64),$U64,$T64)))=Milestones!$AB$142),TEXT(EDATE($D64,Milestones!$AA$142),"dd/mm/yy")&amp;" "&amp;Milestones!$AB$142&amp;" "&amp;Milestones!$AC$142&amp;";  ","")&amp;IF(AND(EDATE($D64,Milestones!$AA$143)&lt;=AsOfDate,IF($Q64=0,$W64,IF(AND($S64&lt;&gt;"",EDATE($D64,Milestones!$AA$143)&gt;=$S64),$V64,IF(AND($R64&lt;&gt;"",EDATE($D64,Milestones!$AA$143)&gt;=$R64),$U64,$T64)))=Milestones!$AB$143),TEXT(EDATE($D64,Milestones!$AA$143),"dd/mm/yy")&amp;" "&amp;Milestones!$AB$143&amp;" "&amp;Milestones!$AC$143&amp;";  ","")&amp;IF(AND(EDATE($D64,Milestones!$AA$144)&lt;=AsOfDate,IF($Q64=0,$W64,IF(AND($S64&lt;&gt;"",EDATE($D64,Milestones!$AA$144)&gt;=$S64),$V64,IF(AND($R64&lt;&gt;"",EDATE($D64,Milestones!$AA$144)&gt;=$R64),$U64,$T64)))=Milestones!$AB$144),TEXT(EDATE($D64,Milestones!$AA$144),"dd/mm/yy")&amp;" "&amp;Milestones!$AB$144&amp;" "&amp;Milestones!$AC$144&amp;";  ","")&amp;IF(AND(EDATE($D64,Milestones!$AA$145)&lt;=AsOfDate,IF($Q64=0,$W64,IF(AND($S64&lt;&gt;"",EDATE($D64,Milestones!$AA$145)&gt;=$S64),$V64,IF(AND($R64&lt;&gt;"",EDATE($D64,Milestones!$AA$145)&gt;=$R64),$U64,$T64)))=Milestones!$AB$145),TEXT(EDATE($D64,Milestones!$AA$145),"dd/mm/yy")&amp;" "&amp;Milestones!$AB$145&amp;" "&amp;Milestones!$AC$145&amp;";  ","")&amp;IF(AND(EDATE($D64,Milestones!$AA$146)&lt;=AsOfDate,IF($Q64=0,$W64,IF(AND($S64&lt;&gt;"",EDATE($D64,Milestones!$AA$146)&gt;=$S64),$V64,IF(AND($R64&lt;&gt;"",EDATE($D64,Milestones!$AA$146)&gt;=$R64),$U64,$T64)))=Milestones!$AB$146),TEXT(EDATE($D64,Milestones!$AA$146),"dd/mm/yy")&amp;" "&amp;Milestones!$AB$146&amp;" "&amp;Milestones!$AC$146&amp;";  ","")&amp;IF(AND(EDATE($D64,Milestones!$AA$147)&lt;=AsOfDate,IF($Q64=0,$W64,IF(AND($S64&lt;&gt;"",EDATE($D64,Milestones!$AA$147)&gt;=$S64),$V64,IF(AND($R64&lt;&gt;"",EDATE($D64,Milestones!$AA$147)&gt;=$R64),$U64,$T64)))=Milestones!$AB$147),TEXT(EDATE($D64,Milestones!$AA$147),"dd/mm/yy")&amp;" "&amp;Milestones!$AB$147&amp;" "&amp;Milestones!$AC$147&amp;";  ","")&amp;IF(AND(EDATE($D64,Milestones!$AA$148)&lt;=AsOfDate,IF($Q64=0,$W64,IF(AND($S64&lt;&gt;"",EDATE($D64,Milestones!$AA$148)&gt;=$S64),$V64,IF(AND($R64&lt;&gt;"",EDATE($D64,Milestones!$AA$148)&gt;=$R64),$U64,$T64)))=Milestones!$AB$148),TEXT(EDATE($D64,Milestones!$AA$148),"dd/mm/yy")&amp;" "&amp;Milestones!$AB$148&amp;" "&amp;Milestones!$AC$148&amp;";  ","")&amp;IF(AND(EDATE($D64,Milestones!$AA$149)&lt;=AsOfDate,IF($Q64=0,$W64,IF(AND($S64&lt;&gt;"",EDATE($D64,Milestones!$AA$149)&gt;=$S64),$V64,IF(AND($R64&lt;&gt;"",EDATE($D64,Milestones!$AA$149)&gt;=$R64),$U64,$T64)))=Milestones!$AB$149),TEXT(EDATE($D64,Milestones!$AA$149),"dd/mm/yy")&amp;" "&amp;Milestones!$AB$149&amp;" "&amp;Milestones!$AC$149&amp;";  ","")&amp;IF(AND(EDATE($D64,Milestones!$AA$150)&lt;=AsOfDate,IF($Q64=0,$W64,IF(AND($S64&lt;&gt;"",EDATE($D64,Milestones!$AA$150)&gt;=$S64),$V64,IF(AND($R64&lt;&gt;"",EDATE($D64,Milestones!$AA$150)&gt;=$R64),$U64,$T64)))=Milestones!$AB$150),TEXT(EDATE($D64,Milestones!$AA$150),"dd/mm/yy")&amp;" "&amp;Milestones!$AB$150&amp;" "&amp;Milestones!$AC$150&amp;";  ","")&amp;IF(AND(EDATE($D64,Milestones!$AA$151)&lt;=AsOfDate,IF($Q64=0,$W64,IF(AND($S64&lt;&gt;"",EDATE($D64,Milestones!$AA$151)&gt;=$S64),$V64,IF(AND($R64&lt;&gt;"",EDATE($D64,Milestones!$AA$151)&gt;=$R64),$U64,$T64)))=Milestones!$AB$151),TEXT(EDATE($D64,Milestones!$AA$151),"dd/mm/yy")&amp;" "&amp;Milestones!$AB$151&amp;" "&amp;Milestones!$AC$151&amp;";  ","")&amp;IF(AND(EDATE($D64,Milestones!$AA$152)&lt;=AsOfDate,IF($Q64=0,$W64,IF(AND($S64&lt;&gt;"",EDATE($D64,Milestones!$AA$152)&gt;=$S64),$V64,IF(AND($R64&lt;&gt;"",EDATE($D64,Milestones!$AA$152)&gt;=$R64),$U64,$T64)))=Milestones!$AB$152),TEXT(EDATE($D64,Milestones!$AA$152),"dd/mm/yy")&amp;" "&amp;Milestones!$AB$152&amp;" "&amp;Milestones!$AC$152&amp;";  ","")&amp;IF(AND(EDATE($D64,Milestones!$AA$153)&lt;=AsOfDate,IF($Q64=0,$W64,IF(AND($S64&lt;&gt;"",EDATE($D64,Milestones!$AA$153)&gt;=$S64),$V64,IF(AND($R64&lt;&gt;"",EDATE($D64,Milestones!$AA$153)&gt;=$R64),$U64,$T64)))=Milestones!$AB$153),TEXT(EDATE($D64,Milestones!$AA$153),"dd/mm/yy")&amp;" "&amp;Milestones!$AB$153&amp;" "&amp;Milestones!$AC$153&amp;";  ","")&amp;IF(AND(EDATE($D64,Milestones!$AA$154)&lt;=AsOfDate,IF($Q64=0,$W64,IF(AND($S64&lt;&gt;"",EDATE($D64,Milestones!$AA$154)&gt;=$S64),$V64,IF(AND($R64&lt;&gt;"",EDATE($D64,Milestones!$AA$154)&gt;=$R64),$U64,$T64)))=Milestones!$AB$154),TEXT(EDATE($D64,Milestones!$AA$154),"dd/mm/yy")&amp;" "&amp;Milestones!$AB$154&amp;" "&amp;Milestones!$AC$154&amp;";  ","")&amp;IF(AND(EDATE($D64,Milestones!$AA$155)&lt;=AsOfDate,IF($Q64=0,$W64,IF(AND($S64&lt;&gt;"",EDATE($D64,Milestones!$AA$155)&gt;=$S64),$V64,IF(AND($R64&lt;&gt;"",EDATE($D64,Milestones!$AA$155)&gt;=$R64),$U64,$T64)))=Milestones!$AB$155),TEXT(EDATE($D64,Milestones!$AA$155),"dd/mm/yy")&amp;" "&amp;Milestones!$AB$155&amp;" "&amp;Milestones!$AC$155&amp;";  ","")&amp;IF(AND(EDATE($D64,Milestones!$AA$156)&lt;=AsOfDate,IF($Q64=0,$W64,IF(AND($S64&lt;&gt;"",EDATE($D64,Milestones!$AA$156)&gt;=$S64),$V64,IF(AND($R64&lt;&gt;"",EDATE($D64,Milestones!$AA$156)&gt;=$R64),$U64,$T64)))=Milestones!$AB$156),TEXT(EDATE($D64,Milestones!$AA$156),"dd/mm/yy")&amp;" "&amp;Milestones!$AB$156&amp;" "&amp;Milestones!$AC$156&amp;";  ","")&amp;IF(AND(EDATE($D64,Milestones!$AA$157)&lt;=AsOfDate,IF($Q64=0,$W64,IF(AND($S64&lt;&gt;"",EDATE($D64,Milestones!$AA$157)&gt;=$S64),$V64,IF(AND($R64&lt;&gt;"",EDATE($D64,Milestones!$AA$157)&gt;=$R64),$U64,$T64)))=Milestones!$AB$157),TEXT(EDATE($D64,Milestones!$AA$157),"dd/mm/yy")&amp;" "&amp;Milestones!$AB$157&amp;" "&amp;Milestones!$AC$157&amp;";  ","")&amp;IF(AND(EDATE($D64,Milestones!$AA$158)&lt;=AsOfDate,IF($Q64=0,$W64,IF(AND($S64&lt;&gt;"",EDATE($D64,Milestones!$AA$158)&gt;=$S64),$V64,IF(AND($R64&lt;&gt;"",EDATE($D64,Milestones!$AA$158)&gt;=$R64),$U64,$T64)))=Milestones!$AB$158),TEXT(EDATE($D64,Milestones!$AA$158),"dd/mm/yy")&amp;" "&amp;Milestones!$AB$158&amp;" "&amp;Milestones!$AC$158&amp;";  ","")&amp;IF(AND(EDATE($D64,Milestones!$AA$159)&lt;=AsOfDate,IF($Q64=0,$W64,IF(AND($S64&lt;&gt;"",EDATE($D64,Milestones!$AA$159)&gt;=$S64),$V64,IF(AND($R64&lt;&gt;"",EDATE($D64,Milestones!$AA$159)&gt;=$R64),$U64,$T64)))=Milestones!$AB$159),TEXT(EDATE($D64,Milestones!$AA$159),"dd/mm/yy")&amp;" "&amp;Milestones!$AB$159&amp;" "&amp;Milestones!$AC$159&amp;";  ",""))</f>
        <v/>
      </c>
      <c r="O64" s="0" t="str">
        <f aca="false">IF(OR($A64="",$D64=""),"",IF(AND(EDATE($D64,Milestones!$AA$160)&lt;=AsOfDate,IF($Q64=0,$W64,IF(AND($S64&lt;&gt;"",EDATE($D64,Milestones!$AA$160)&gt;=$S64),$V64,IF(AND($R64&lt;&gt;"",EDATE($D64,Milestones!$AA$160)&gt;=$R64),$U64,$T64)))=Milestones!$AB$160),TEXT(EDATE($D64,Milestones!$AA$160),"dd/mm/yy")&amp;" "&amp;Milestones!$AB$160&amp;" "&amp;Milestones!$AC$160&amp;";  ","")&amp;IF(AND(EDATE($D64,Milestones!$AA$161)&lt;=AsOfDate,IF($Q64=0,$W64,IF(AND($S64&lt;&gt;"",EDATE($D64,Milestones!$AA$161)&gt;=$S64),$V64,IF(AND($R64&lt;&gt;"",EDATE($D64,Milestones!$AA$161)&gt;=$R64),$U64,$T64)))=Milestones!$AB$161),TEXT(EDATE($D64,Milestones!$AA$161),"dd/mm/yy")&amp;" "&amp;Milestones!$AB$161&amp;" "&amp;Milestones!$AC$161&amp;";  ","")&amp;IF(AND(EDATE($D64,Milestones!$AA$162)&lt;=AsOfDate,IF($Q64=0,$W64,IF(AND($S64&lt;&gt;"",EDATE($D64,Milestones!$AA$162)&gt;=$S64),$V64,IF(AND($R64&lt;&gt;"",EDATE($D64,Milestones!$AA$162)&gt;=$R64),$U64,$T64)))=Milestones!$AB$162),TEXT(EDATE($D64,Milestones!$AA$162),"dd/mm/yy")&amp;" "&amp;Milestones!$AB$162&amp;" "&amp;Milestones!$AC$162&amp;";  ","")&amp;IF(AND(EDATE($D64,Milestones!$AA$163)&lt;=AsOfDate,IF($Q64=0,$W64,IF(AND($S64&lt;&gt;"",EDATE($D64,Milestones!$AA$163)&gt;=$S64),$V64,IF(AND($R64&lt;&gt;"",EDATE($D64,Milestones!$AA$163)&gt;=$R64),$U64,$T64)))=Milestones!$AB$163),TEXT(EDATE($D64,Milestones!$AA$163),"dd/mm/yy")&amp;" "&amp;Milestones!$AB$163&amp;" "&amp;Milestones!$AC$163&amp;";  ","")&amp;IF(AND(EDATE($D64,Milestones!$AA$164)&lt;=AsOfDate,IF($Q64=0,$W64,IF(AND($S64&lt;&gt;"",EDATE($D64,Milestones!$AA$164)&gt;=$S64),$V64,IF(AND($R64&lt;&gt;"",EDATE($D64,Milestones!$AA$164)&gt;=$R64),$U64,$T64)))=Milestones!$AB$164),TEXT(EDATE($D64,Milestones!$AA$164),"dd/mm/yy")&amp;" "&amp;Milestones!$AB$164&amp;" "&amp;Milestones!$AC$164&amp;";  ","")&amp;IF(AND(EDATE($D64,Milestones!$AA$165)&lt;=AsOfDate,IF($Q64=0,$W64,IF(AND($S64&lt;&gt;"",EDATE($D64,Milestones!$AA$165)&gt;=$S64),$V64,IF(AND($R64&lt;&gt;"",EDATE($D64,Milestones!$AA$165)&gt;=$R64),$U64,$T64)))=Milestones!$AB$165),TEXT(EDATE($D64,Milestones!$AA$165),"dd/mm/yy")&amp;" "&amp;Milestones!$AB$165&amp;" "&amp;Milestones!$AC$165&amp;";  ","")&amp;IF(AND(EDATE($D64,Milestones!$AA$166)&lt;=AsOfDate,IF($Q64=0,$W64,IF(AND($S64&lt;&gt;"",EDATE($D64,Milestones!$AA$166)&gt;=$S64),$V64,IF(AND($R64&lt;&gt;"",EDATE($D64,Milestones!$AA$166)&gt;=$R64),$U64,$T64)))=Milestones!$AB$166),TEXT(EDATE($D64,Milestones!$AA$166),"dd/mm/yy")&amp;" "&amp;Milestones!$AB$166&amp;" "&amp;Milestones!$AC$166&amp;";  ","")&amp;IF(AND(EDATE($D64,Milestones!$AA$167)&lt;=AsOfDate,IF($Q64=0,$W64,IF(AND($S64&lt;&gt;"",EDATE($D64,Milestones!$AA$167)&gt;=$S64),$V64,IF(AND($R64&lt;&gt;"",EDATE($D64,Milestones!$AA$167)&gt;=$R64),$U64,$T64)))=Milestones!$AB$167),TEXT(EDATE($D64,Milestones!$AA$167),"dd/mm/yy")&amp;" "&amp;Milestones!$AB$167&amp;" "&amp;Milestones!$AC$167&amp;";  ","")&amp;IF(AND(EDATE($D64,Milestones!$AA$168)&lt;=AsOfDate,IF($Q64=0,$W64,IF(AND($S64&lt;&gt;"",EDATE($D64,Milestones!$AA$168)&gt;=$S64),$V64,IF(AND($R64&lt;&gt;"",EDATE($D64,Milestones!$AA$168)&gt;=$R64),$U64,$T64)))=Milestones!$AB$168),TEXT(EDATE($D64,Milestones!$AA$168),"dd/mm/yy")&amp;" "&amp;Milestones!$AB$168&amp;" "&amp;Milestones!$AC$168&amp;";  ","")&amp;IF(AND(EDATE($D64,Milestones!$AA$169)&lt;=AsOfDate,IF($Q64=0,$W64,IF(AND($S64&lt;&gt;"",EDATE($D64,Milestones!$AA$169)&gt;=$S64),$V64,IF(AND($R64&lt;&gt;"",EDATE($D64,Milestones!$AA$169)&gt;=$R64),$U64,$T64)))=Milestones!$AB$169),TEXT(EDATE($D64,Milestones!$AA$169),"dd/mm/yy")&amp;" "&amp;Milestones!$AB$169&amp;" "&amp;Milestones!$AC$169&amp;";  ","")&amp;IF(AND(EDATE($D64,Milestones!$AA$170)&lt;=AsOfDate,IF($Q64=0,$W64,IF(AND($S64&lt;&gt;"",EDATE($D64,Milestones!$AA$170)&gt;=$S64),$V64,IF(AND($R64&lt;&gt;"",EDATE($D64,Milestones!$AA$170)&gt;=$R64),$U64,$T64)))=Milestones!$AB$170),TEXT(EDATE($D64,Milestones!$AA$170),"dd/mm/yy")&amp;" "&amp;Milestones!$AB$170&amp;" "&amp;Milestones!$AC$170&amp;";  ","")&amp;IF(AND(EDATE($D64,Milestones!$AA$171)&lt;=AsOfDate,IF($Q64=0,$W64,IF(AND($S64&lt;&gt;"",EDATE($D64,Milestones!$AA$171)&gt;=$S64),$V64,IF(AND($R64&lt;&gt;"",EDATE($D64,Milestones!$AA$171)&gt;=$R64),$U64,$T64)))=Milestones!$AB$171),TEXT(EDATE($D64,Milestones!$AA$171),"dd/mm/yy")&amp;" "&amp;Milestones!$AB$171&amp;" "&amp;Milestones!$AC$171&amp;";  ","")&amp;IF(AND(EDATE($D64,Milestones!$AA$172)&lt;=AsOfDate,IF($Q64=0,$W64,IF(AND($S64&lt;&gt;"",EDATE($D64,Milestones!$AA$172)&gt;=$S64),$V64,IF(AND($R64&lt;&gt;"",EDATE($D64,Milestones!$AA$172)&gt;=$R64),$U64,$T64)))=Milestones!$AB$172),TEXT(EDATE($D64,Milestones!$AA$172),"dd/mm/yy")&amp;" "&amp;Milestones!$AB$172&amp;" "&amp;Milestones!$AC$172&amp;";  ","")&amp;IF(AND(EDATE($D64,Milestones!$AA$173)&lt;=AsOfDate,IF($Q64=0,$W64,IF(AND($S64&lt;&gt;"",EDATE($D64,Milestones!$AA$173)&gt;=$S64),$V64,IF(AND($R64&lt;&gt;"",EDATE($D64,Milestones!$AA$173)&gt;=$R64),$U64,$T64)))=Milestones!$AB$173),TEXT(EDATE($D64,Milestones!$AA$173),"dd/mm/yy")&amp;" "&amp;Milestones!$AB$173&amp;" "&amp;Milestones!$AC$173&amp;";  ","")&amp;IF(AND(EDATE($D64,Milestones!$AA$174)&lt;=AsOfDate,IF($Q64=0,$W64,IF(AND($S64&lt;&gt;"",EDATE($D64,Milestones!$AA$174)&gt;=$S64),$V64,IF(AND($R64&lt;&gt;"",EDATE($D64,Milestones!$AA$174)&gt;=$R64),$U64,$T64)))=Milestones!$AB$174),TEXT(EDATE($D64,Milestones!$AA$174),"dd/mm/yy")&amp;" "&amp;Milestones!$AB$174&amp;" "&amp;Milestones!$AC$174&amp;";  ","")&amp;IF(AND(EDATE($D64,Milestones!$AA$175)&lt;=AsOfDate,IF($Q64=0,$W64,IF(AND($S64&lt;&gt;"",EDATE($D64,Milestones!$AA$175)&gt;=$S64),$V64,IF(AND($R64&lt;&gt;"",EDATE($D64,Milestones!$AA$175)&gt;=$R64),$U64,$T64)))=Milestones!$AB$175),TEXT(EDATE($D64,Milestones!$AA$175),"dd/mm/yy")&amp;" "&amp;Milestones!$AB$175&amp;" "&amp;Milestones!$AC$175&amp;";  ","")&amp;IF(AND(EDATE($D64,Milestones!$AA$176)&lt;=AsOfDate,IF($Q64=0,$W64,IF(AND($S64&lt;&gt;"",EDATE($D64,Milestones!$AA$176)&gt;=$S64),$V64,IF(AND($R64&lt;&gt;"",EDATE($D64,Milestones!$AA$176)&gt;=$R64),$U64,$T64)))=Milestones!$AB$176),TEXT(EDATE($D64,Milestones!$AA$176),"dd/mm/yy")&amp;" "&amp;Milestones!$AB$176&amp;" "&amp;Milestones!$AC$176&amp;";  ","")&amp;IF(AND(EDATE($D64,Milestones!$AA$177)&lt;=AsOfDate,IF($Q64=0,$W64,IF(AND($S64&lt;&gt;"",EDATE($D64,Milestones!$AA$177)&gt;=$S64),$V64,IF(AND($R64&lt;&gt;"",EDATE($D64,Milestones!$AA$177)&gt;=$R64),$U64,$T64)))=Milestones!$AB$177),TEXT(EDATE($D64,Milestones!$AA$177),"dd/mm/yy")&amp;" "&amp;Milestones!$AB$177&amp;" "&amp;Milestones!$AC$177&amp;";  ","")&amp;IF(AND(EDATE($D64,Milestones!$AA$178)&lt;=AsOfDate,IF($Q64=0,$W64,IF(AND($S64&lt;&gt;"",EDATE($D64,Milestones!$AA$178)&gt;=$S64),$V64,IF(AND($R64&lt;&gt;"",EDATE($D64,Milestones!$AA$178)&gt;=$R64),$U64,$T64)))=Milestones!$AB$178),TEXT(EDATE($D64,Milestones!$AA$178),"dd/mm/yy")&amp;" "&amp;Milestones!$AB$178&amp;" "&amp;Milestones!$AC$178&amp;";  ","")&amp;IF(AND(EDATE($D64,Milestones!$AA$179)&lt;=AsOfDate,IF($Q64=0,$W64,IF(AND($S64&lt;&gt;"",EDATE($D64,Milestones!$AA$179)&gt;=$S64),$V64,IF(AND($R64&lt;&gt;"",EDATE($D64,Milestones!$AA$179)&gt;=$R64),$U64,$T64)))=Milestones!$AB$179),TEXT(EDATE($D64,Milestones!$AA$179),"dd/mm/yy")&amp;" "&amp;Milestones!$AB$179&amp;" "&amp;Milestones!$AC$179&amp;";  ",""))</f>
        <v/>
      </c>
      <c r="P64" s="0" t="str">
        <f aca="false">IF(OR($A64="",$D64=""),"",IF(AND(EDATE($D64,Milestones!$AA$180)&lt;=AsOfDate,IF($Q64=0,$W64,IF(AND($S64&lt;&gt;"",EDATE($D64,Milestones!$AA$180)&gt;=$S64),$V64,IF(AND($R64&lt;&gt;"",EDATE($D64,Milestones!$AA$180)&gt;=$R64),$U64,$T64)))=Milestones!$AB$180),TEXT(EDATE($D64,Milestones!$AA$180),"dd/mm/yy")&amp;" "&amp;Milestones!$AB$180&amp;" "&amp;Milestones!$AC$180&amp;";  ","")&amp;IF(AND(EDATE($D64,Milestones!$AA$181)&lt;=AsOfDate,IF($Q64=0,$W64,IF(AND($S64&lt;&gt;"",EDATE($D64,Milestones!$AA$181)&gt;=$S64),$V64,IF(AND($R64&lt;&gt;"",EDATE($D64,Milestones!$AA$181)&gt;=$R64),$U64,$T64)))=Milestones!$AB$181),TEXT(EDATE($D64,Milestones!$AA$181),"dd/mm/yy")&amp;" "&amp;Milestones!$AB$181&amp;" "&amp;Milestones!$AC$181&amp;";  ","")&amp;IF(AND(EDATE($D64,Milestones!$AA$182)&lt;=AsOfDate,IF($Q64=0,$W64,IF(AND($S64&lt;&gt;"",EDATE($D64,Milestones!$AA$182)&gt;=$S64),$V64,IF(AND($R64&lt;&gt;"",EDATE($D64,Milestones!$AA$182)&gt;=$R64),$U64,$T64)))=Milestones!$AB$182),TEXT(EDATE($D64,Milestones!$AA$182),"dd/mm/yy")&amp;" "&amp;Milestones!$AB$182&amp;" "&amp;Milestones!$AC$182&amp;";  ","")&amp;IF(AND(EDATE($D64,Milestones!$AA$183)&lt;=AsOfDate,IF($Q64=0,$W64,IF(AND($S64&lt;&gt;"",EDATE($D64,Milestones!$AA$183)&gt;=$S64),$V64,IF(AND($R64&lt;&gt;"",EDATE($D64,Milestones!$AA$183)&gt;=$R64),$U64,$T64)))=Milestones!$AB$183),TEXT(EDATE($D64,Milestones!$AA$183),"dd/mm/yy")&amp;" "&amp;Milestones!$AB$183&amp;" "&amp;Milestones!$AC$183&amp;";  ","")&amp;IF(AND(EDATE($D64,Milestones!$AA$184)&lt;=AsOfDate,IF($Q64=0,$W64,IF(AND($S64&lt;&gt;"",EDATE($D64,Milestones!$AA$184)&gt;=$S64),$V64,IF(AND($R64&lt;&gt;"",EDATE($D64,Milestones!$AA$184)&gt;=$R64),$U64,$T64)))=Milestones!$AB$184),TEXT(EDATE($D64,Milestones!$AA$184),"dd/mm/yy")&amp;" "&amp;Milestones!$AB$184&amp;" "&amp;Milestones!$AC$184&amp;";  ","")&amp;IF(AND(EDATE($D64,Milestones!$AA$185)&lt;=AsOfDate,IF($Q64=0,$W64,IF(AND($S64&lt;&gt;"",EDATE($D64,Milestones!$AA$185)&gt;=$S64),$V64,IF(AND($R64&lt;&gt;"",EDATE($D64,Milestones!$AA$185)&gt;=$R64),$U64,$T64)))=Milestones!$AB$185),TEXT(EDATE($D64,Milestones!$AA$185),"dd/mm/yy")&amp;" "&amp;Milestones!$AB$185&amp;" "&amp;Milestones!$AC$185&amp;";  ","")&amp;IF(AND(EDATE($D64,Milestones!$AA$186)&lt;=AsOfDate,IF($Q64=0,$W64,IF(AND($S64&lt;&gt;"",EDATE($D64,Milestones!$AA$186)&gt;=$S64),$V64,IF(AND($R64&lt;&gt;"",EDATE($D64,Milestones!$AA$186)&gt;=$R64),$U64,$T64)))=Milestones!$AB$186),TEXT(EDATE($D64,Milestones!$AA$186),"dd/mm/yy")&amp;" "&amp;Milestones!$AB$186&amp;" "&amp;Milestones!$AC$186&amp;";  ","")&amp;IF(AND(EDATE($D64,Milestones!$AA$187)&lt;=AsOfDate,IF($Q64=0,$W64,IF(AND($S64&lt;&gt;"",EDATE($D64,Milestones!$AA$187)&gt;=$S64),$V64,IF(AND($R64&lt;&gt;"",EDATE($D64,Milestones!$AA$187)&gt;=$R64),$U64,$T64)))=Milestones!$AB$187),TEXT(EDATE($D64,Milestones!$AA$187),"dd/mm/yy")&amp;" "&amp;Milestones!$AB$187&amp;" "&amp;Milestones!$AC$187&amp;";  ","")&amp;IF(AND(EDATE($D64,Milestones!$AA$188)&lt;=AsOfDate,IF($Q64=0,$W64,IF(AND($S64&lt;&gt;"",EDATE($D64,Milestones!$AA$188)&gt;=$S64),$V64,IF(AND($R64&lt;&gt;"",EDATE($D64,Milestones!$AA$188)&gt;=$R64),$U64,$T64)))=Milestones!$AB$188),TEXT(EDATE($D64,Milestones!$AA$188),"dd/mm/yy")&amp;" "&amp;Milestones!$AB$188&amp;" "&amp;Milestones!$AC$188&amp;";  ","")&amp;IF(AND(EDATE($D64,Milestones!$AA$189)&lt;=AsOfDate,IF($Q64=0,$W64,IF(AND($S64&lt;&gt;"",EDATE($D64,Milestones!$AA$189)&gt;=$S64),$V64,IF(AND($R64&lt;&gt;"",EDATE($D64,Milestones!$AA$189)&gt;=$R64),$U64,$T64)))=Milestones!$AB$189),TEXT(EDATE($D64,Milestones!$AA$189),"dd/mm/yy")&amp;" "&amp;Milestones!$AB$189&amp;" "&amp;Milestones!$AC$189&amp;";  ","")&amp;IF(AND(EDATE($D64,Milestones!$AA$190)&lt;=AsOfDate,IF($Q64=0,$W64,IF(AND($S64&lt;&gt;"",EDATE($D64,Milestones!$AA$190)&gt;=$S64),$V64,IF(AND($R64&lt;&gt;"",EDATE($D64,Milestones!$AA$190)&gt;=$R64),$U64,$T64)))=Milestones!$AB$190),TEXT(EDATE($D64,Milestones!$AA$190),"dd/mm/yy")&amp;" "&amp;Milestones!$AB$190&amp;" "&amp;Milestones!$AC$190&amp;";  ","")&amp;IF(AND(EDATE($D64,Milestones!$AA$191)&lt;=AsOfDate,IF($Q64=0,$W64,IF(AND($S64&lt;&gt;"",EDATE($D64,Milestones!$AA$191)&gt;=$S64),$V64,IF(AND($R64&lt;&gt;"",EDATE($D64,Milestones!$AA$191)&gt;=$R64),$U64,$T64)))=Milestones!$AB$191),TEXT(EDATE($D64,Milestones!$AA$191),"dd/mm/yy")&amp;" "&amp;Milestones!$AB$191&amp;" "&amp;Milestones!$AC$191&amp;";  ","")&amp;IF(AND(EDATE($D64,Milestones!$AA$192)&lt;=AsOfDate,IF($Q64=0,$W64,IF(AND($S64&lt;&gt;"",EDATE($D64,Milestones!$AA$192)&gt;=$S64),$V64,IF(AND($R64&lt;&gt;"",EDATE($D64,Milestones!$AA$192)&gt;=$R64),$U64,$T64)))=Milestones!$AB$192),TEXT(EDATE($D64,Milestones!$AA$192),"dd/mm/yy")&amp;" "&amp;Milestones!$AB$192&amp;" "&amp;Milestones!$AC$192&amp;";  ","")&amp;IF(AND(EDATE($D64,Milestones!$AA$193)&lt;=AsOfDate,IF($Q64=0,$W64,IF(AND($S64&lt;&gt;"",EDATE($D64,Milestones!$AA$193)&gt;=$S64),$V64,IF(AND($R64&lt;&gt;"",EDATE($D64,Milestones!$AA$193)&gt;=$R64),$U64,$T64)))=Milestones!$AB$193),TEXT(EDATE($D64,Milestones!$AA$193),"dd/mm/yy")&amp;" "&amp;Milestones!$AB$193&amp;" "&amp;Milestones!$AC$193&amp;";  ","")&amp;IF(AND(EDATE($D64,Milestones!$AA$194)&lt;=AsOfDate,IF($Q64=0,$W64,IF(AND($S64&lt;&gt;"",EDATE($D64,Milestones!$AA$194)&gt;=$S64),$V64,IF(AND($R64&lt;&gt;"",EDATE($D64,Milestones!$AA$194)&gt;=$R64),$U64,$T64)))=Milestones!$AB$194),TEXT(EDATE($D64,Milestones!$AA$194),"dd/mm/yy")&amp;" "&amp;Milestones!$AB$194&amp;" "&amp;Milestones!$AC$194&amp;";  ","")&amp;IF(AND(EDATE($D64,Milestones!$AA$195)&lt;=AsOfDate,IF($Q64=0,$W64,IF(AND($S64&lt;&gt;"",EDATE($D64,Milestones!$AA$195)&gt;=$S64),$V64,IF(AND($R64&lt;&gt;"",EDATE($D64,Milestones!$AA$195)&gt;=$R64),$U64,$T64)))=Milestones!$AB$195),TEXT(EDATE($D64,Milestones!$AA$195),"dd/mm/yy")&amp;" "&amp;Milestones!$AB$195&amp;" "&amp;Milestones!$AC$195&amp;";  ","")&amp;IF(AND(EDATE($D64,Milestones!$AA$196)&lt;=AsOfDate,IF($Q64=0,$W64,IF(AND($S64&lt;&gt;"",EDATE($D64,Milestones!$AA$196)&gt;=$S64),$V64,IF(AND($R64&lt;&gt;"",EDATE($D64,Milestones!$AA$196)&gt;=$R64),$U64,$T64)))=Milestones!$AB$196),TEXT(EDATE($D64,Milestones!$AA$196),"dd/mm/yy")&amp;" "&amp;Milestones!$AB$196&amp;" "&amp;Milestones!$AC$196&amp;";  ","")&amp;IF(AND(EDATE($D64,Milestones!$AA$197)&lt;=AsOfDate,IF($Q64=0,$W64,IF(AND($S64&lt;&gt;"",EDATE($D64,Milestones!$AA$197)&gt;=$S64),$V64,IF(AND($R64&lt;&gt;"",EDATE($D64,Milestones!$AA$197)&gt;=$R64),$U64,$T64)))=Milestones!$AB$197),TEXT(EDATE($D64,Milestones!$AA$197),"dd/mm/yy")&amp;" "&amp;Milestones!$AB$197&amp;" "&amp;Milestones!$AC$197&amp;";  ","")&amp;IF(AND(EDATE($D64,Milestones!$AA$198)&lt;=AsOfDate,IF($Q64=0,$W64,IF(AND($S64&lt;&gt;"",EDATE($D64,Milestones!$AA$198)&gt;=$S64),$V64,IF(AND($R64&lt;&gt;"",EDATE($D64,Milestones!$AA$198)&gt;=$R64),$U64,$T64)))=Milestones!$AB$198),TEXT(EDATE($D64,Milestones!$AA$198),"dd/mm/yy")&amp;" "&amp;Milestones!$AB$198&amp;" "&amp;Milestones!$AC$198&amp;";  ","")&amp;IF(AND(EDATE($D64,Milestones!$AA$199)&lt;=AsOfDate,IF($Q64=0,$W64,IF(AND($S64&lt;&gt;"",EDATE($D64,Milestones!$AA$199)&gt;=$S64),$V64,IF(AND($R64&lt;&gt;"",EDATE($D64,Milestones!$AA$199)&gt;=$R64),$U64,$T64)))=Milestones!$AB$199),TEXT(EDATE($D64,Milestones!$AA$199),"dd/mm/yy")&amp;" "&amp;Milestones!$AB$199&amp;" "&amp;Milestones!$AC$199&amp;";  ",""))</f>
        <v/>
      </c>
      <c r="Q64" s="0" t="str">
        <f aca="false">IF(Staff!$A64="","",Staff!$AG64)</f>
        <v/>
      </c>
      <c r="R64" s="0" t="str">
        <f aca="false">IF(Staff!$A64="","",Staff!$AI64)</f>
        <v/>
      </c>
      <c r="S64" s="0" t="str">
        <f aca="false">IF(Staff!$A64="","",Staff!$AJ64)</f>
        <v/>
      </c>
      <c r="T64" s="0" t="str">
        <f aca="false">IF(Staff!$A64="","",Staff!$AN64)</f>
        <v/>
      </c>
      <c r="U64" s="0" t="str">
        <f aca="false">IF(Staff!$A64="","",Staff!$AO64)</f>
        <v/>
      </c>
      <c r="V64" s="0" t="str">
        <f aca="false">IF(Staff!$A64="","",Staff!$AP64)</f>
        <v/>
      </c>
      <c r="W64" s="0" t="str">
        <f aca="false">IF(Staff!$A64="","",Staff!$AQ64)</f>
        <v/>
      </c>
    </row>
    <row r="65" customFormat="false" ht="15" hidden="false" customHeight="false" outlineLevel="0" collapsed="false">
      <c r="A65" s="13" t="str">
        <f aca="false">IF(Staff!$A65="","",Staff!$A65)</f>
        <v/>
      </c>
      <c r="B65" s="13" t="str">
        <f aca="false">IF(Staff!$A65="","",Staff!$B65)</f>
        <v/>
      </c>
      <c r="C65" s="13" t="str">
        <f aca="false">IF(Staff!$A65="","",Staff!$C65)</f>
        <v/>
      </c>
      <c r="D65" s="11" t="str">
        <f aca="false">IF(Staff!$A65="","",Staff!$AF65)</f>
        <v/>
      </c>
      <c r="E65" s="13" t="str">
        <f aca="false">IF(Staff!$A65="","",Staff!$O65)</f>
        <v/>
      </c>
      <c r="F65" s="13" t="str">
        <f aca="false">IF(E65="","",E65*HoursPerDay)</f>
        <v/>
      </c>
      <c r="G65" s="26" t="str">
        <f aca="false">IF($A65="","",H65&amp;I65&amp;J65&amp;K65&amp;L65&amp;M65&amp;N65&amp;O65&amp;P65)</f>
        <v/>
      </c>
      <c r="H65" s="0" t="str">
        <f aca="false">IF(OR($A65="",$D65=""),"",IF(AND(EDATE($D65,Milestones!$AA$20)&lt;=AsOfDate,IF($Q65=0,$W65,IF(AND($S65&lt;&gt;"",EDATE($D65,Milestones!$AA$20)&gt;=$S65),$V65,IF(AND($R65&lt;&gt;"",EDATE($D65,Milestones!$AA$20)&gt;=$R65),$U65,$T65)))=Milestones!$AB$20),TEXT(EDATE($D65,Milestones!$AA$20),"dd/mm/yy")&amp;" "&amp;Milestones!$AB$20&amp;" "&amp;Milestones!$AC$20&amp;";  ","")&amp;IF(AND(EDATE($D65,Milestones!$AA$21)&lt;=AsOfDate,IF($Q65=0,$W65,IF(AND($S65&lt;&gt;"",EDATE($D65,Milestones!$AA$21)&gt;=$S65),$V65,IF(AND($R65&lt;&gt;"",EDATE($D65,Milestones!$AA$21)&gt;=$R65),$U65,$T65)))=Milestones!$AB$21),TEXT(EDATE($D65,Milestones!$AA$21),"dd/mm/yy")&amp;" "&amp;Milestones!$AB$21&amp;" "&amp;Milestones!$AC$21&amp;";  ","")&amp;IF(AND(EDATE($D65,Milestones!$AA$22)&lt;=AsOfDate,IF($Q65=0,$W65,IF(AND($S65&lt;&gt;"",EDATE($D65,Milestones!$AA$22)&gt;=$S65),$V65,IF(AND($R65&lt;&gt;"",EDATE($D65,Milestones!$AA$22)&gt;=$R65),$U65,$T65)))=Milestones!$AB$22),TEXT(EDATE($D65,Milestones!$AA$22),"dd/mm/yy")&amp;" "&amp;Milestones!$AB$22&amp;" "&amp;Milestones!$AC$22&amp;";  ","")&amp;IF(AND(EDATE($D65,Milestones!$AA$23)&lt;=AsOfDate,IF($Q65=0,$W65,IF(AND($S65&lt;&gt;"",EDATE($D65,Milestones!$AA$23)&gt;=$S65),$V65,IF(AND($R65&lt;&gt;"",EDATE($D65,Milestones!$AA$23)&gt;=$R65),$U65,$T65)))=Milestones!$AB$23),TEXT(EDATE($D65,Milestones!$AA$23),"dd/mm/yy")&amp;" "&amp;Milestones!$AB$23&amp;" "&amp;Milestones!$AC$23&amp;";  ","")&amp;IF(AND(EDATE($D65,Milestones!$AA$24)&lt;=AsOfDate,IF($Q65=0,$W65,IF(AND($S65&lt;&gt;"",EDATE($D65,Milestones!$AA$24)&gt;=$S65),$V65,IF(AND($R65&lt;&gt;"",EDATE($D65,Milestones!$AA$24)&gt;=$R65),$U65,$T65)))=Milestones!$AB$24),TEXT(EDATE($D65,Milestones!$AA$24),"dd/mm/yy")&amp;" "&amp;Milestones!$AB$24&amp;" "&amp;Milestones!$AC$24&amp;";  ","")&amp;IF(AND(EDATE($D65,Milestones!$AA$25)&lt;=AsOfDate,IF($Q65=0,$W65,IF(AND($S65&lt;&gt;"",EDATE($D65,Milestones!$AA$25)&gt;=$S65),$V65,IF(AND($R65&lt;&gt;"",EDATE($D65,Milestones!$AA$25)&gt;=$R65),$U65,$T65)))=Milestones!$AB$25),TEXT(EDATE($D65,Milestones!$AA$25),"dd/mm/yy")&amp;" "&amp;Milestones!$AB$25&amp;" "&amp;Milestones!$AC$25&amp;";  ","")&amp;IF(AND(EDATE($D65,Milestones!$AA$26)&lt;=AsOfDate,IF($Q65=0,$W65,IF(AND($S65&lt;&gt;"",EDATE($D65,Milestones!$AA$26)&gt;=$S65),$V65,IF(AND($R65&lt;&gt;"",EDATE($D65,Milestones!$AA$26)&gt;=$R65),$U65,$T65)))=Milestones!$AB$26),TEXT(EDATE($D65,Milestones!$AA$26),"dd/mm/yy")&amp;" "&amp;Milestones!$AB$26&amp;" "&amp;Milestones!$AC$26&amp;";  ","")&amp;IF(AND(EDATE($D65,Milestones!$AA$27)&lt;=AsOfDate,IF($Q65=0,$W65,IF(AND($S65&lt;&gt;"",EDATE($D65,Milestones!$AA$27)&gt;=$S65),$V65,IF(AND($R65&lt;&gt;"",EDATE($D65,Milestones!$AA$27)&gt;=$R65),$U65,$T65)))=Milestones!$AB$27),TEXT(EDATE($D65,Milestones!$AA$27),"dd/mm/yy")&amp;" "&amp;Milestones!$AB$27&amp;" "&amp;Milestones!$AC$27&amp;";  ","")&amp;IF(AND(EDATE($D65,Milestones!$AA$28)&lt;=AsOfDate,IF($Q65=0,$W65,IF(AND($S65&lt;&gt;"",EDATE($D65,Milestones!$AA$28)&gt;=$S65),$V65,IF(AND($R65&lt;&gt;"",EDATE($D65,Milestones!$AA$28)&gt;=$R65),$U65,$T65)))=Milestones!$AB$28),TEXT(EDATE($D65,Milestones!$AA$28),"dd/mm/yy")&amp;" "&amp;Milestones!$AB$28&amp;" "&amp;Milestones!$AC$28&amp;";  ","")&amp;IF(AND(EDATE($D65,Milestones!$AA$29)&lt;=AsOfDate,IF($Q65=0,$W65,IF(AND($S65&lt;&gt;"",EDATE($D65,Milestones!$AA$29)&gt;=$S65),$V65,IF(AND($R65&lt;&gt;"",EDATE($D65,Milestones!$AA$29)&gt;=$R65),$U65,$T65)))=Milestones!$AB$29),TEXT(EDATE($D65,Milestones!$AA$29),"dd/mm/yy")&amp;" "&amp;Milestones!$AB$29&amp;" "&amp;Milestones!$AC$29&amp;";  ","")&amp;IF(AND(EDATE($D65,Milestones!$AA$30)&lt;=AsOfDate,IF($Q65=0,$W65,IF(AND($S65&lt;&gt;"",EDATE($D65,Milestones!$AA$30)&gt;=$S65),$V65,IF(AND($R65&lt;&gt;"",EDATE($D65,Milestones!$AA$30)&gt;=$R65),$U65,$T65)))=Milestones!$AB$30),TEXT(EDATE($D65,Milestones!$AA$30),"dd/mm/yy")&amp;" "&amp;Milestones!$AB$30&amp;" "&amp;Milestones!$AC$30&amp;";  ","")&amp;IF(AND(EDATE($D65,Milestones!$AA$31)&lt;=AsOfDate,IF($Q65=0,$W65,IF(AND($S65&lt;&gt;"",EDATE($D65,Milestones!$AA$31)&gt;=$S65),$V65,IF(AND($R65&lt;&gt;"",EDATE($D65,Milestones!$AA$31)&gt;=$R65),$U65,$T65)))=Milestones!$AB$31),TEXT(EDATE($D65,Milestones!$AA$31),"dd/mm/yy")&amp;" "&amp;Milestones!$AB$31&amp;" "&amp;Milestones!$AC$31&amp;";  ","")&amp;IF(AND(EDATE($D65,Milestones!$AA$32)&lt;=AsOfDate,IF($Q65=0,$W65,IF(AND($S65&lt;&gt;"",EDATE($D65,Milestones!$AA$32)&gt;=$S65),$V65,IF(AND($R65&lt;&gt;"",EDATE($D65,Milestones!$AA$32)&gt;=$R65),$U65,$T65)))=Milestones!$AB$32),TEXT(EDATE($D65,Milestones!$AA$32),"dd/mm/yy")&amp;" "&amp;Milestones!$AB$32&amp;" "&amp;Milestones!$AC$32&amp;";  ","")&amp;IF(AND(EDATE($D65,Milestones!$AA$33)&lt;=AsOfDate,IF($Q65=0,$W65,IF(AND($S65&lt;&gt;"",EDATE($D65,Milestones!$AA$33)&gt;=$S65),$V65,IF(AND($R65&lt;&gt;"",EDATE($D65,Milestones!$AA$33)&gt;=$R65),$U65,$T65)))=Milestones!$AB$33),TEXT(EDATE($D65,Milestones!$AA$33),"dd/mm/yy")&amp;" "&amp;Milestones!$AB$33&amp;" "&amp;Milestones!$AC$33&amp;";  ","")&amp;IF(AND(EDATE($D65,Milestones!$AA$34)&lt;=AsOfDate,IF($Q65=0,$W65,IF(AND($S65&lt;&gt;"",EDATE($D65,Milestones!$AA$34)&gt;=$S65),$V65,IF(AND($R65&lt;&gt;"",EDATE($D65,Milestones!$AA$34)&gt;=$R65),$U65,$T65)))=Milestones!$AB$34),TEXT(EDATE($D65,Milestones!$AA$34),"dd/mm/yy")&amp;" "&amp;Milestones!$AB$34&amp;" "&amp;Milestones!$AC$34&amp;";  ","")&amp;IF(AND(EDATE($D65,Milestones!$AA$35)&lt;=AsOfDate,IF($Q65=0,$W65,IF(AND($S65&lt;&gt;"",EDATE($D65,Milestones!$AA$35)&gt;=$S65),$V65,IF(AND($R65&lt;&gt;"",EDATE($D65,Milestones!$AA$35)&gt;=$R65),$U65,$T65)))=Milestones!$AB$35),TEXT(EDATE($D65,Milestones!$AA$35),"dd/mm/yy")&amp;" "&amp;Milestones!$AB$35&amp;" "&amp;Milestones!$AC$35&amp;";  ","")&amp;IF(AND(EDATE($D65,Milestones!$AA$36)&lt;=AsOfDate,IF($Q65=0,$W65,IF(AND($S65&lt;&gt;"",EDATE($D65,Milestones!$AA$36)&gt;=$S65),$V65,IF(AND($R65&lt;&gt;"",EDATE($D65,Milestones!$AA$36)&gt;=$R65),$U65,$T65)))=Milestones!$AB$36),TEXT(EDATE($D65,Milestones!$AA$36),"dd/mm/yy")&amp;" "&amp;Milestones!$AB$36&amp;" "&amp;Milestones!$AC$36&amp;";  ","")&amp;IF(AND(EDATE($D65,Milestones!$AA$37)&lt;=AsOfDate,IF($Q65=0,$W65,IF(AND($S65&lt;&gt;"",EDATE($D65,Milestones!$AA$37)&gt;=$S65),$V65,IF(AND($R65&lt;&gt;"",EDATE($D65,Milestones!$AA$37)&gt;=$R65),$U65,$T65)))=Milestones!$AB$37),TEXT(EDATE($D65,Milestones!$AA$37),"dd/mm/yy")&amp;" "&amp;Milestones!$AB$37&amp;" "&amp;Milestones!$AC$37&amp;";  ","")&amp;IF(AND(EDATE($D65,Milestones!$AA$38)&lt;=AsOfDate,IF($Q65=0,$W65,IF(AND($S65&lt;&gt;"",EDATE($D65,Milestones!$AA$38)&gt;=$S65),$V65,IF(AND($R65&lt;&gt;"",EDATE($D65,Milestones!$AA$38)&gt;=$R65),$U65,$T65)))=Milestones!$AB$38),TEXT(EDATE($D65,Milestones!$AA$38),"dd/mm/yy")&amp;" "&amp;Milestones!$AB$38&amp;" "&amp;Milestones!$AC$38&amp;";  ","")&amp;IF(AND(EDATE($D65,Milestones!$AA$39)&lt;=AsOfDate,IF($Q65=0,$W65,IF(AND($S65&lt;&gt;"",EDATE($D65,Milestones!$AA$39)&gt;=$S65),$V65,IF(AND($R65&lt;&gt;"",EDATE($D65,Milestones!$AA$39)&gt;=$R65),$U65,$T65)))=Milestones!$AB$39),TEXT(EDATE($D65,Milestones!$AA$39),"dd/mm/yy")&amp;" "&amp;Milestones!$AB$39&amp;" "&amp;Milestones!$AC$39&amp;";  ",""))</f>
        <v/>
      </c>
      <c r="I65" s="0" t="str">
        <f aca="false">IF(OR($A65="",$D65=""),"",IF(AND(EDATE($D65,Milestones!$AA$40)&lt;=AsOfDate,IF($Q65=0,$W65,IF(AND($S65&lt;&gt;"",EDATE($D65,Milestones!$AA$40)&gt;=$S65),$V65,IF(AND($R65&lt;&gt;"",EDATE($D65,Milestones!$AA$40)&gt;=$R65),$U65,$T65)))=Milestones!$AB$40),TEXT(EDATE($D65,Milestones!$AA$40),"dd/mm/yy")&amp;" "&amp;Milestones!$AB$40&amp;" "&amp;Milestones!$AC$40&amp;";  ","")&amp;IF(AND(EDATE($D65,Milestones!$AA$41)&lt;=AsOfDate,IF($Q65=0,$W65,IF(AND($S65&lt;&gt;"",EDATE($D65,Milestones!$AA$41)&gt;=$S65),$V65,IF(AND($R65&lt;&gt;"",EDATE($D65,Milestones!$AA$41)&gt;=$R65),$U65,$T65)))=Milestones!$AB$41),TEXT(EDATE($D65,Milestones!$AA$41),"dd/mm/yy")&amp;" "&amp;Milestones!$AB$41&amp;" "&amp;Milestones!$AC$41&amp;";  ","")&amp;IF(AND(EDATE($D65,Milestones!$AA$42)&lt;=AsOfDate,IF($Q65=0,$W65,IF(AND($S65&lt;&gt;"",EDATE($D65,Milestones!$AA$42)&gt;=$S65),$V65,IF(AND($R65&lt;&gt;"",EDATE($D65,Milestones!$AA$42)&gt;=$R65),$U65,$T65)))=Milestones!$AB$42),TEXT(EDATE($D65,Milestones!$AA$42),"dd/mm/yy")&amp;" "&amp;Milestones!$AB$42&amp;" "&amp;Milestones!$AC$42&amp;";  ","")&amp;IF(AND(EDATE($D65,Milestones!$AA$43)&lt;=AsOfDate,IF($Q65=0,$W65,IF(AND($S65&lt;&gt;"",EDATE($D65,Milestones!$AA$43)&gt;=$S65),$V65,IF(AND($R65&lt;&gt;"",EDATE($D65,Milestones!$AA$43)&gt;=$R65),$U65,$T65)))=Milestones!$AB$43),TEXT(EDATE($D65,Milestones!$AA$43),"dd/mm/yy")&amp;" "&amp;Milestones!$AB$43&amp;" "&amp;Milestones!$AC$43&amp;";  ","")&amp;IF(AND(EDATE($D65,Milestones!$AA$44)&lt;=AsOfDate,IF($Q65=0,$W65,IF(AND($S65&lt;&gt;"",EDATE($D65,Milestones!$AA$44)&gt;=$S65),$V65,IF(AND($R65&lt;&gt;"",EDATE($D65,Milestones!$AA$44)&gt;=$R65),$U65,$T65)))=Milestones!$AB$44),TEXT(EDATE($D65,Milestones!$AA$44),"dd/mm/yy")&amp;" "&amp;Milestones!$AB$44&amp;" "&amp;Milestones!$AC$44&amp;";  ","")&amp;IF(AND(EDATE($D65,Milestones!$AA$45)&lt;=AsOfDate,IF($Q65=0,$W65,IF(AND($S65&lt;&gt;"",EDATE($D65,Milestones!$AA$45)&gt;=$S65),$V65,IF(AND($R65&lt;&gt;"",EDATE($D65,Milestones!$AA$45)&gt;=$R65),$U65,$T65)))=Milestones!$AB$45),TEXT(EDATE($D65,Milestones!$AA$45),"dd/mm/yy")&amp;" "&amp;Milestones!$AB$45&amp;" "&amp;Milestones!$AC$45&amp;";  ","")&amp;IF(AND(EDATE($D65,Milestones!$AA$46)&lt;=AsOfDate,IF($Q65=0,$W65,IF(AND($S65&lt;&gt;"",EDATE($D65,Milestones!$AA$46)&gt;=$S65),$V65,IF(AND($R65&lt;&gt;"",EDATE($D65,Milestones!$AA$46)&gt;=$R65),$U65,$T65)))=Milestones!$AB$46),TEXT(EDATE($D65,Milestones!$AA$46),"dd/mm/yy")&amp;" "&amp;Milestones!$AB$46&amp;" "&amp;Milestones!$AC$46&amp;";  ","")&amp;IF(AND(EDATE($D65,Milestones!$AA$47)&lt;=AsOfDate,IF($Q65=0,$W65,IF(AND($S65&lt;&gt;"",EDATE($D65,Milestones!$AA$47)&gt;=$S65),$V65,IF(AND($R65&lt;&gt;"",EDATE($D65,Milestones!$AA$47)&gt;=$R65),$U65,$T65)))=Milestones!$AB$47),TEXT(EDATE($D65,Milestones!$AA$47),"dd/mm/yy")&amp;" "&amp;Milestones!$AB$47&amp;" "&amp;Milestones!$AC$47&amp;";  ","")&amp;IF(AND(EDATE($D65,Milestones!$AA$48)&lt;=AsOfDate,IF($Q65=0,$W65,IF(AND($S65&lt;&gt;"",EDATE($D65,Milestones!$AA$48)&gt;=$S65),$V65,IF(AND($R65&lt;&gt;"",EDATE($D65,Milestones!$AA$48)&gt;=$R65),$U65,$T65)))=Milestones!$AB$48),TEXT(EDATE($D65,Milestones!$AA$48),"dd/mm/yy")&amp;" "&amp;Milestones!$AB$48&amp;" "&amp;Milestones!$AC$48&amp;";  ","")&amp;IF(AND(EDATE($D65,Milestones!$AA$49)&lt;=AsOfDate,IF($Q65=0,$W65,IF(AND($S65&lt;&gt;"",EDATE($D65,Milestones!$AA$49)&gt;=$S65),$V65,IF(AND($R65&lt;&gt;"",EDATE($D65,Milestones!$AA$49)&gt;=$R65),$U65,$T65)))=Milestones!$AB$49),TEXT(EDATE($D65,Milestones!$AA$49),"dd/mm/yy")&amp;" "&amp;Milestones!$AB$49&amp;" "&amp;Milestones!$AC$49&amp;";  ","")&amp;IF(AND(EDATE($D65,Milestones!$AA$50)&lt;=AsOfDate,IF($Q65=0,$W65,IF(AND($S65&lt;&gt;"",EDATE($D65,Milestones!$AA$50)&gt;=$S65),$V65,IF(AND($R65&lt;&gt;"",EDATE($D65,Milestones!$AA$50)&gt;=$R65),$U65,$T65)))=Milestones!$AB$50),TEXT(EDATE($D65,Milestones!$AA$50),"dd/mm/yy")&amp;" "&amp;Milestones!$AB$50&amp;" "&amp;Milestones!$AC$50&amp;";  ","")&amp;IF(AND(EDATE($D65,Milestones!$AA$51)&lt;=AsOfDate,IF($Q65=0,$W65,IF(AND($S65&lt;&gt;"",EDATE($D65,Milestones!$AA$51)&gt;=$S65),$V65,IF(AND($R65&lt;&gt;"",EDATE($D65,Milestones!$AA$51)&gt;=$R65),$U65,$T65)))=Milestones!$AB$51),TEXT(EDATE($D65,Milestones!$AA$51),"dd/mm/yy")&amp;" "&amp;Milestones!$AB$51&amp;" "&amp;Milestones!$AC$51&amp;";  ","")&amp;IF(AND(EDATE($D65,Milestones!$AA$52)&lt;=AsOfDate,IF($Q65=0,$W65,IF(AND($S65&lt;&gt;"",EDATE($D65,Milestones!$AA$52)&gt;=$S65),$V65,IF(AND($R65&lt;&gt;"",EDATE($D65,Milestones!$AA$52)&gt;=$R65),$U65,$T65)))=Milestones!$AB$52),TEXT(EDATE($D65,Milestones!$AA$52),"dd/mm/yy")&amp;" "&amp;Milestones!$AB$52&amp;" "&amp;Milestones!$AC$52&amp;";  ","")&amp;IF(AND(EDATE($D65,Milestones!$AA$53)&lt;=AsOfDate,IF($Q65=0,$W65,IF(AND($S65&lt;&gt;"",EDATE($D65,Milestones!$AA$53)&gt;=$S65),$V65,IF(AND($R65&lt;&gt;"",EDATE($D65,Milestones!$AA$53)&gt;=$R65),$U65,$T65)))=Milestones!$AB$53),TEXT(EDATE($D65,Milestones!$AA$53),"dd/mm/yy")&amp;" "&amp;Milestones!$AB$53&amp;" "&amp;Milestones!$AC$53&amp;";  ","")&amp;IF(AND(EDATE($D65,Milestones!$AA$54)&lt;=AsOfDate,IF($Q65=0,$W65,IF(AND($S65&lt;&gt;"",EDATE($D65,Milestones!$AA$54)&gt;=$S65),$V65,IF(AND($R65&lt;&gt;"",EDATE($D65,Milestones!$AA$54)&gt;=$R65),$U65,$T65)))=Milestones!$AB$54),TEXT(EDATE($D65,Milestones!$AA$54),"dd/mm/yy")&amp;" "&amp;Milestones!$AB$54&amp;" "&amp;Milestones!$AC$54&amp;";  ","")&amp;IF(AND(EDATE($D65,Milestones!$AA$55)&lt;=AsOfDate,IF($Q65=0,$W65,IF(AND($S65&lt;&gt;"",EDATE($D65,Milestones!$AA$55)&gt;=$S65),$V65,IF(AND($R65&lt;&gt;"",EDATE($D65,Milestones!$AA$55)&gt;=$R65),$U65,$T65)))=Milestones!$AB$55),TEXT(EDATE($D65,Milestones!$AA$55),"dd/mm/yy")&amp;" "&amp;Milestones!$AB$55&amp;" "&amp;Milestones!$AC$55&amp;";  ","")&amp;IF(AND(EDATE($D65,Milestones!$AA$56)&lt;=AsOfDate,IF($Q65=0,$W65,IF(AND($S65&lt;&gt;"",EDATE($D65,Milestones!$AA$56)&gt;=$S65),$V65,IF(AND($R65&lt;&gt;"",EDATE($D65,Milestones!$AA$56)&gt;=$R65),$U65,$T65)))=Milestones!$AB$56),TEXT(EDATE($D65,Milestones!$AA$56),"dd/mm/yy")&amp;" "&amp;Milestones!$AB$56&amp;" "&amp;Milestones!$AC$56&amp;";  ","")&amp;IF(AND(EDATE($D65,Milestones!$AA$57)&lt;=AsOfDate,IF($Q65=0,$W65,IF(AND($S65&lt;&gt;"",EDATE($D65,Milestones!$AA$57)&gt;=$S65),$V65,IF(AND($R65&lt;&gt;"",EDATE($D65,Milestones!$AA$57)&gt;=$R65),$U65,$T65)))=Milestones!$AB$57),TEXT(EDATE($D65,Milestones!$AA$57),"dd/mm/yy")&amp;" "&amp;Milestones!$AB$57&amp;" "&amp;Milestones!$AC$57&amp;";  ","")&amp;IF(AND(EDATE($D65,Milestones!$AA$58)&lt;=AsOfDate,IF($Q65=0,$W65,IF(AND($S65&lt;&gt;"",EDATE($D65,Milestones!$AA$58)&gt;=$S65),$V65,IF(AND($R65&lt;&gt;"",EDATE($D65,Milestones!$AA$58)&gt;=$R65),$U65,$T65)))=Milestones!$AB$58),TEXT(EDATE($D65,Milestones!$AA$58),"dd/mm/yy")&amp;" "&amp;Milestones!$AB$58&amp;" "&amp;Milestones!$AC$58&amp;";  ","")&amp;IF(AND(EDATE($D65,Milestones!$AA$59)&lt;=AsOfDate,IF($Q65=0,$W65,IF(AND($S65&lt;&gt;"",EDATE($D65,Milestones!$AA$59)&gt;=$S65),$V65,IF(AND($R65&lt;&gt;"",EDATE($D65,Milestones!$AA$59)&gt;=$R65),$U65,$T65)))=Milestones!$AB$59),TEXT(EDATE($D65,Milestones!$AA$59),"dd/mm/yy")&amp;" "&amp;Milestones!$AB$59&amp;" "&amp;Milestones!$AC$59&amp;";  ",""))</f>
        <v/>
      </c>
      <c r="J65" s="0" t="str">
        <f aca="false">IF(OR($A65="",$D65=""),"",IF(AND(EDATE($D65,Milestones!$AA$60)&lt;=AsOfDate,IF($Q65=0,$W65,IF(AND($S65&lt;&gt;"",EDATE($D65,Milestones!$AA$60)&gt;=$S65),$V65,IF(AND($R65&lt;&gt;"",EDATE($D65,Milestones!$AA$60)&gt;=$R65),$U65,$T65)))=Milestones!$AB$60),TEXT(EDATE($D65,Milestones!$AA$60),"dd/mm/yy")&amp;" "&amp;Milestones!$AB$60&amp;" "&amp;Milestones!$AC$60&amp;";  ","")&amp;IF(AND(EDATE($D65,Milestones!$AA$61)&lt;=AsOfDate,IF($Q65=0,$W65,IF(AND($S65&lt;&gt;"",EDATE($D65,Milestones!$AA$61)&gt;=$S65),$V65,IF(AND($R65&lt;&gt;"",EDATE($D65,Milestones!$AA$61)&gt;=$R65),$U65,$T65)))=Milestones!$AB$61),TEXT(EDATE($D65,Milestones!$AA$61),"dd/mm/yy")&amp;" "&amp;Milestones!$AB$61&amp;" "&amp;Milestones!$AC$61&amp;";  ","")&amp;IF(AND(EDATE($D65,Milestones!$AA$62)&lt;=AsOfDate,IF($Q65=0,$W65,IF(AND($S65&lt;&gt;"",EDATE($D65,Milestones!$AA$62)&gt;=$S65),$V65,IF(AND($R65&lt;&gt;"",EDATE($D65,Milestones!$AA$62)&gt;=$R65),$U65,$T65)))=Milestones!$AB$62),TEXT(EDATE($D65,Milestones!$AA$62),"dd/mm/yy")&amp;" "&amp;Milestones!$AB$62&amp;" "&amp;Milestones!$AC$62&amp;";  ","")&amp;IF(AND(EDATE($D65,Milestones!$AA$63)&lt;=AsOfDate,IF($Q65=0,$W65,IF(AND($S65&lt;&gt;"",EDATE($D65,Milestones!$AA$63)&gt;=$S65),$V65,IF(AND($R65&lt;&gt;"",EDATE($D65,Milestones!$AA$63)&gt;=$R65),$U65,$T65)))=Milestones!$AB$63),TEXT(EDATE($D65,Milestones!$AA$63),"dd/mm/yy")&amp;" "&amp;Milestones!$AB$63&amp;" "&amp;Milestones!$AC$63&amp;";  ","")&amp;IF(AND(EDATE($D65,Milestones!$AA$64)&lt;=AsOfDate,IF($Q65=0,$W65,IF(AND($S65&lt;&gt;"",EDATE($D65,Milestones!$AA$64)&gt;=$S65),$V65,IF(AND($R65&lt;&gt;"",EDATE($D65,Milestones!$AA$64)&gt;=$R65),$U65,$T65)))=Milestones!$AB$64),TEXT(EDATE($D65,Milestones!$AA$64),"dd/mm/yy")&amp;" "&amp;Milestones!$AB$64&amp;" "&amp;Milestones!$AC$64&amp;";  ","")&amp;IF(AND(EDATE($D65,Milestones!$AA$65)&lt;=AsOfDate,IF($Q65=0,$W65,IF(AND($S65&lt;&gt;"",EDATE($D65,Milestones!$AA$65)&gt;=$S65),$V65,IF(AND($R65&lt;&gt;"",EDATE($D65,Milestones!$AA$65)&gt;=$R65),$U65,$T65)))=Milestones!$AB$65),TEXT(EDATE($D65,Milestones!$AA$65),"dd/mm/yy")&amp;" "&amp;Milestones!$AB$65&amp;" "&amp;Milestones!$AC$65&amp;";  ","")&amp;IF(AND(EDATE($D65,Milestones!$AA$66)&lt;=AsOfDate,IF($Q65=0,$W65,IF(AND($S65&lt;&gt;"",EDATE($D65,Milestones!$AA$66)&gt;=$S65),$V65,IF(AND($R65&lt;&gt;"",EDATE($D65,Milestones!$AA$66)&gt;=$R65),$U65,$T65)))=Milestones!$AB$66),TEXT(EDATE($D65,Milestones!$AA$66),"dd/mm/yy")&amp;" "&amp;Milestones!$AB$66&amp;" "&amp;Milestones!$AC$66&amp;";  ","")&amp;IF(AND(EDATE($D65,Milestones!$AA$67)&lt;=AsOfDate,IF($Q65=0,$W65,IF(AND($S65&lt;&gt;"",EDATE($D65,Milestones!$AA$67)&gt;=$S65),$V65,IF(AND($R65&lt;&gt;"",EDATE($D65,Milestones!$AA$67)&gt;=$R65),$U65,$T65)))=Milestones!$AB$67),TEXT(EDATE($D65,Milestones!$AA$67),"dd/mm/yy")&amp;" "&amp;Milestones!$AB$67&amp;" "&amp;Milestones!$AC$67&amp;";  ","")&amp;IF(AND(EDATE($D65,Milestones!$AA$68)&lt;=AsOfDate,IF($Q65=0,$W65,IF(AND($S65&lt;&gt;"",EDATE($D65,Milestones!$AA$68)&gt;=$S65),$V65,IF(AND($R65&lt;&gt;"",EDATE($D65,Milestones!$AA$68)&gt;=$R65),$U65,$T65)))=Milestones!$AB$68),TEXT(EDATE($D65,Milestones!$AA$68),"dd/mm/yy")&amp;" "&amp;Milestones!$AB$68&amp;" "&amp;Milestones!$AC$68&amp;";  ","")&amp;IF(AND(EDATE($D65,Milestones!$AA$69)&lt;=AsOfDate,IF($Q65=0,$W65,IF(AND($S65&lt;&gt;"",EDATE($D65,Milestones!$AA$69)&gt;=$S65),$V65,IF(AND($R65&lt;&gt;"",EDATE($D65,Milestones!$AA$69)&gt;=$R65),$U65,$T65)))=Milestones!$AB$69),TEXT(EDATE($D65,Milestones!$AA$69),"dd/mm/yy")&amp;" "&amp;Milestones!$AB$69&amp;" "&amp;Milestones!$AC$69&amp;";  ","")&amp;IF(AND(EDATE($D65,Milestones!$AA$70)&lt;=AsOfDate,IF($Q65=0,$W65,IF(AND($S65&lt;&gt;"",EDATE($D65,Milestones!$AA$70)&gt;=$S65),$V65,IF(AND($R65&lt;&gt;"",EDATE($D65,Milestones!$AA$70)&gt;=$R65),$U65,$T65)))=Milestones!$AB$70),TEXT(EDATE($D65,Milestones!$AA$70),"dd/mm/yy")&amp;" "&amp;Milestones!$AB$70&amp;" "&amp;Milestones!$AC$70&amp;";  ","")&amp;IF(AND(EDATE($D65,Milestones!$AA$71)&lt;=AsOfDate,IF($Q65=0,$W65,IF(AND($S65&lt;&gt;"",EDATE($D65,Milestones!$AA$71)&gt;=$S65),$V65,IF(AND($R65&lt;&gt;"",EDATE($D65,Milestones!$AA$71)&gt;=$R65),$U65,$T65)))=Milestones!$AB$71),TEXT(EDATE($D65,Milestones!$AA$71),"dd/mm/yy")&amp;" "&amp;Milestones!$AB$71&amp;" "&amp;Milestones!$AC$71&amp;";  ","")&amp;IF(AND(EDATE($D65,Milestones!$AA$72)&lt;=AsOfDate,IF($Q65=0,$W65,IF(AND($S65&lt;&gt;"",EDATE($D65,Milestones!$AA$72)&gt;=$S65),$V65,IF(AND($R65&lt;&gt;"",EDATE($D65,Milestones!$AA$72)&gt;=$R65),$U65,$T65)))=Milestones!$AB$72),TEXT(EDATE($D65,Milestones!$AA$72),"dd/mm/yy")&amp;" "&amp;Milestones!$AB$72&amp;" "&amp;Milestones!$AC$72&amp;";  ","")&amp;IF(AND(EDATE($D65,Milestones!$AA$73)&lt;=AsOfDate,IF($Q65=0,$W65,IF(AND($S65&lt;&gt;"",EDATE($D65,Milestones!$AA$73)&gt;=$S65),$V65,IF(AND($R65&lt;&gt;"",EDATE($D65,Milestones!$AA$73)&gt;=$R65),$U65,$T65)))=Milestones!$AB$73),TEXT(EDATE($D65,Milestones!$AA$73),"dd/mm/yy")&amp;" "&amp;Milestones!$AB$73&amp;" "&amp;Milestones!$AC$73&amp;";  ","")&amp;IF(AND(EDATE($D65,Milestones!$AA$74)&lt;=AsOfDate,IF($Q65=0,$W65,IF(AND($S65&lt;&gt;"",EDATE($D65,Milestones!$AA$74)&gt;=$S65),$V65,IF(AND($R65&lt;&gt;"",EDATE($D65,Milestones!$AA$74)&gt;=$R65),$U65,$T65)))=Milestones!$AB$74),TEXT(EDATE($D65,Milestones!$AA$74),"dd/mm/yy")&amp;" "&amp;Milestones!$AB$74&amp;" "&amp;Milestones!$AC$74&amp;";  ","")&amp;IF(AND(EDATE($D65,Milestones!$AA$75)&lt;=AsOfDate,IF($Q65=0,$W65,IF(AND($S65&lt;&gt;"",EDATE($D65,Milestones!$AA$75)&gt;=$S65),$V65,IF(AND($R65&lt;&gt;"",EDATE($D65,Milestones!$AA$75)&gt;=$R65),$U65,$T65)))=Milestones!$AB$75),TEXT(EDATE($D65,Milestones!$AA$75),"dd/mm/yy")&amp;" "&amp;Milestones!$AB$75&amp;" "&amp;Milestones!$AC$75&amp;";  ","")&amp;IF(AND(EDATE($D65,Milestones!$AA$76)&lt;=AsOfDate,IF($Q65=0,$W65,IF(AND($S65&lt;&gt;"",EDATE($D65,Milestones!$AA$76)&gt;=$S65),$V65,IF(AND($R65&lt;&gt;"",EDATE($D65,Milestones!$AA$76)&gt;=$R65),$U65,$T65)))=Milestones!$AB$76),TEXT(EDATE($D65,Milestones!$AA$76),"dd/mm/yy")&amp;" "&amp;Milestones!$AB$76&amp;" "&amp;Milestones!$AC$76&amp;";  ","")&amp;IF(AND(EDATE($D65,Milestones!$AA$77)&lt;=AsOfDate,IF($Q65=0,$W65,IF(AND($S65&lt;&gt;"",EDATE($D65,Milestones!$AA$77)&gt;=$S65),$V65,IF(AND($R65&lt;&gt;"",EDATE($D65,Milestones!$AA$77)&gt;=$R65),$U65,$T65)))=Milestones!$AB$77),TEXT(EDATE($D65,Milestones!$AA$77),"dd/mm/yy")&amp;" "&amp;Milestones!$AB$77&amp;" "&amp;Milestones!$AC$77&amp;";  ","")&amp;IF(AND(EDATE($D65,Milestones!$AA$78)&lt;=AsOfDate,IF($Q65=0,$W65,IF(AND($S65&lt;&gt;"",EDATE($D65,Milestones!$AA$78)&gt;=$S65),$V65,IF(AND($R65&lt;&gt;"",EDATE($D65,Milestones!$AA$78)&gt;=$R65),$U65,$T65)))=Milestones!$AB$78),TEXT(EDATE($D65,Milestones!$AA$78),"dd/mm/yy")&amp;" "&amp;Milestones!$AB$78&amp;" "&amp;Milestones!$AC$78&amp;";  ","")&amp;IF(AND(EDATE($D65,Milestones!$AA$79)&lt;=AsOfDate,IF($Q65=0,$W65,IF(AND($S65&lt;&gt;"",EDATE($D65,Milestones!$AA$79)&gt;=$S65),$V65,IF(AND($R65&lt;&gt;"",EDATE($D65,Milestones!$AA$79)&gt;=$R65),$U65,$T65)))=Milestones!$AB$79),TEXT(EDATE($D65,Milestones!$AA$79),"dd/mm/yy")&amp;" "&amp;Milestones!$AB$79&amp;" "&amp;Milestones!$AC$79&amp;";  ",""))</f>
        <v/>
      </c>
      <c r="K65" s="0" t="str">
        <f aca="false">IF(OR($A65="",$D65=""),"",IF(AND(EDATE($D65,Milestones!$AA$80)&lt;=AsOfDate,IF($Q65=0,$W65,IF(AND($S65&lt;&gt;"",EDATE($D65,Milestones!$AA$80)&gt;=$S65),$V65,IF(AND($R65&lt;&gt;"",EDATE($D65,Milestones!$AA$80)&gt;=$R65),$U65,$T65)))=Milestones!$AB$80),TEXT(EDATE($D65,Milestones!$AA$80),"dd/mm/yy")&amp;" "&amp;Milestones!$AB$80&amp;" "&amp;Milestones!$AC$80&amp;";  ","")&amp;IF(AND(EDATE($D65,Milestones!$AA$81)&lt;=AsOfDate,IF($Q65=0,$W65,IF(AND($S65&lt;&gt;"",EDATE($D65,Milestones!$AA$81)&gt;=$S65),$V65,IF(AND($R65&lt;&gt;"",EDATE($D65,Milestones!$AA$81)&gt;=$R65),$U65,$T65)))=Milestones!$AB$81),TEXT(EDATE($D65,Milestones!$AA$81),"dd/mm/yy")&amp;" "&amp;Milestones!$AB$81&amp;" "&amp;Milestones!$AC$81&amp;";  ","")&amp;IF(AND(EDATE($D65,Milestones!$AA$82)&lt;=AsOfDate,IF($Q65=0,$W65,IF(AND($S65&lt;&gt;"",EDATE($D65,Milestones!$AA$82)&gt;=$S65),$V65,IF(AND($R65&lt;&gt;"",EDATE($D65,Milestones!$AA$82)&gt;=$R65),$U65,$T65)))=Milestones!$AB$82),TEXT(EDATE($D65,Milestones!$AA$82),"dd/mm/yy")&amp;" "&amp;Milestones!$AB$82&amp;" "&amp;Milestones!$AC$82&amp;";  ","")&amp;IF(AND(EDATE($D65,Milestones!$AA$83)&lt;=AsOfDate,IF($Q65=0,$W65,IF(AND($S65&lt;&gt;"",EDATE($D65,Milestones!$AA$83)&gt;=$S65),$V65,IF(AND($R65&lt;&gt;"",EDATE($D65,Milestones!$AA$83)&gt;=$R65),$U65,$T65)))=Milestones!$AB$83),TEXT(EDATE($D65,Milestones!$AA$83),"dd/mm/yy")&amp;" "&amp;Milestones!$AB$83&amp;" "&amp;Milestones!$AC$83&amp;";  ","")&amp;IF(AND(EDATE($D65,Milestones!$AA$84)&lt;=AsOfDate,IF($Q65=0,$W65,IF(AND($S65&lt;&gt;"",EDATE($D65,Milestones!$AA$84)&gt;=$S65),$V65,IF(AND($R65&lt;&gt;"",EDATE($D65,Milestones!$AA$84)&gt;=$R65),$U65,$T65)))=Milestones!$AB$84),TEXT(EDATE($D65,Milestones!$AA$84),"dd/mm/yy")&amp;" "&amp;Milestones!$AB$84&amp;" "&amp;Milestones!$AC$84&amp;";  ","")&amp;IF(AND(EDATE($D65,Milestones!$AA$85)&lt;=AsOfDate,IF($Q65=0,$W65,IF(AND($S65&lt;&gt;"",EDATE($D65,Milestones!$AA$85)&gt;=$S65),$V65,IF(AND($R65&lt;&gt;"",EDATE($D65,Milestones!$AA$85)&gt;=$R65),$U65,$T65)))=Milestones!$AB$85),TEXT(EDATE($D65,Milestones!$AA$85),"dd/mm/yy")&amp;" "&amp;Milestones!$AB$85&amp;" "&amp;Milestones!$AC$85&amp;";  ","")&amp;IF(AND(EDATE($D65,Milestones!$AA$86)&lt;=AsOfDate,IF($Q65=0,$W65,IF(AND($S65&lt;&gt;"",EDATE($D65,Milestones!$AA$86)&gt;=$S65),$V65,IF(AND($R65&lt;&gt;"",EDATE($D65,Milestones!$AA$86)&gt;=$R65),$U65,$T65)))=Milestones!$AB$86),TEXT(EDATE($D65,Milestones!$AA$86),"dd/mm/yy")&amp;" "&amp;Milestones!$AB$86&amp;" "&amp;Milestones!$AC$86&amp;";  ","")&amp;IF(AND(EDATE($D65,Milestones!$AA$87)&lt;=AsOfDate,IF($Q65=0,$W65,IF(AND($S65&lt;&gt;"",EDATE($D65,Milestones!$AA$87)&gt;=$S65),$V65,IF(AND($R65&lt;&gt;"",EDATE($D65,Milestones!$AA$87)&gt;=$R65),$U65,$T65)))=Milestones!$AB$87),TEXT(EDATE($D65,Milestones!$AA$87),"dd/mm/yy")&amp;" "&amp;Milestones!$AB$87&amp;" "&amp;Milestones!$AC$87&amp;";  ","")&amp;IF(AND(EDATE($D65,Milestones!$AA$88)&lt;=AsOfDate,IF($Q65=0,$W65,IF(AND($S65&lt;&gt;"",EDATE($D65,Milestones!$AA$88)&gt;=$S65),$V65,IF(AND($R65&lt;&gt;"",EDATE($D65,Milestones!$AA$88)&gt;=$R65),$U65,$T65)))=Milestones!$AB$88),TEXT(EDATE($D65,Milestones!$AA$88),"dd/mm/yy")&amp;" "&amp;Milestones!$AB$88&amp;" "&amp;Milestones!$AC$88&amp;";  ","")&amp;IF(AND(EDATE($D65,Milestones!$AA$89)&lt;=AsOfDate,IF($Q65=0,$W65,IF(AND($S65&lt;&gt;"",EDATE($D65,Milestones!$AA$89)&gt;=$S65),$V65,IF(AND($R65&lt;&gt;"",EDATE($D65,Milestones!$AA$89)&gt;=$R65),$U65,$T65)))=Milestones!$AB$89),TEXT(EDATE($D65,Milestones!$AA$89),"dd/mm/yy")&amp;" "&amp;Milestones!$AB$89&amp;" "&amp;Milestones!$AC$89&amp;";  ","")&amp;IF(AND(EDATE($D65,Milestones!$AA$90)&lt;=AsOfDate,IF($Q65=0,$W65,IF(AND($S65&lt;&gt;"",EDATE($D65,Milestones!$AA$90)&gt;=$S65),$V65,IF(AND($R65&lt;&gt;"",EDATE($D65,Milestones!$AA$90)&gt;=$R65),$U65,$T65)))=Milestones!$AB$90),TEXT(EDATE($D65,Milestones!$AA$90),"dd/mm/yy")&amp;" "&amp;Milestones!$AB$90&amp;" "&amp;Milestones!$AC$90&amp;";  ","")&amp;IF(AND(EDATE($D65,Milestones!$AA$91)&lt;=AsOfDate,IF($Q65=0,$W65,IF(AND($S65&lt;&gt;"",EDATE($D65,Milestones!$AA$91)&gt;=$S65),$V65,IF(AND($R65&lt;&gt;"",EDATE($D65,Milestones!$AA$91)&gt;=$R65),$U65,$T65)))=Milestones!$AB$91),TEXT(EDATE($D65,Milestones!$AA$91),"dd/mm/yy")&amp;" "&amp;Milestones!$AB$91&amp;" "&amp;Milestones!$AC$91&amp;";  ","")&amp;IF(AND(EDATE($D65,Milestones!$AA$92)&lt;=AsOfDate,IF($Q65=0,$W65,IF(AND($S65&lt;&gt;"",EDATE($D65,Milestones!$AA$92)&gt;=$S65),$V65,IF(AND($R65&lt;&gt;"",EDATE($D65,Milestones!$AA$92)&gt;=$R65),$U65,$T65)))=Milestones!$AB$92),TEXT(EDATE($D65,Milestones!$AA$92),"dd/mm/yy")&amp;" "&amp;Milestones!$AB$92&amp;" "&amp;Milestones!$AC$92&amp;";  ","")&amp;IF(AND(EDATE($D65,Milestones!$AA$93)&lt;=AsOfDate,IF($Q65=0,$W65,IF(AND($S65&lt;&gt;"",EDATE($D65,Milestones!$AA$93)&gt;=$S65),$V65,IF(AND($R65&lt;&gt;"",EDATE($D65,Milestones!$AA$93)&gt;=$R65),$U65,$T65)))=Milestones!$AB$93),TEXT(EDATE($D65,Milestones!$AA$93),"dd/mm/yy")&amp;" "&amp;Milestones!$AB$93&amp;" "&amp;Milestones!$AC$93&amp;";  ","")&amp;IF(AND(EDATE($D65,Milestones!$AA$94)&lt;=AsOfDate,IF($Q65=0,$W65,IF(AND($S65&lt;&gt;"",EDATE($D65,Milestones!$AA$94)&gt;=$S65),$V65,IF(AND($R65&lt;&gt;"",EDATE($D65,Milestones!$AA$94)&gt;=$R65),$U65,$T65)))=Milestones!$AB$94),TEXT(EDATE($D65,Milestones!$AA$94),"dd/mm/yy")&amp;" "&amp;Milestones!$AB$94&amp;" "&amp;Milestones!$AC$94&amp;";  ","")&amp;IF(AND(EDATE($D65,Milestones!$AA$95)&lt;=AsOfDate,IF($Q65=0,$W65,IF(AND($S65&lt;&gt;"",EDATE($D65,Milestones!$AA$95)&gt;=$S65),$V65,IF(AND($R65&lt;&gt;"",EDATE($D65,Milestones!$AA$95)&gt;=$R65),$U65,$T65)))=Milestones!$AB$95),TEXT(EDATE($D65,Milestones!$AA$95),"dd/mm/yy")&amp;" "&amp;Milestones!$AB$95&amp;" "&amp;Milestones!$AC$95&amp;";  ","")&amp;IF(AND(EDATE($D65,Milestones!$AA$96)&lt;=AsOfDate,IF($Q65=0,$W65,IF(AND($S65&lt;&gt;"",EDATE($D65,Milestones!$AA$96)&gt;=$S65),$V65,IF(AND($R65&lt;&gt;"",EDATE($D65,Milestones!$AA$96)&gt;=$R65),$U65,$T65)))=Milestones!$AB$96),TEXT(EDATE($D65,Milestones!$AA$96),"dd/mm/yy")&amp;" "&amp;Milestones!$AB$96&amp;" "&amp;Milestones!$AC$96&amp;";  ","")&amp;IF(AND(EDATE($D65,Milestones!$AA$97)&lt;=AsOfDate,IF($Q65=0,$W65,IF(AND($S65&lt;&gt;"",EDATE($D65,Milestones!$AA$97)&gt;=$S65),$V65,IF(AND($R65&lt;&gt;"",EDATE($D65,Milestones!$AA$97)&gt;=$R65),$U65,$T65)))=Milestones!$AB$97),TEXT(EDATE($D65,Milestones!$AA$97),"dd/mm/yy")&amp;" "&amp;Milestones!$AB$97&amp;" "&amp;Milestones!$AC$97&amp;";  ","")&amp;IF(AND(EDATE($D65,Milestones!$AA$98)&lt;=AsOfDate,IF($Q65=0,$W65,IF(AND($S65&lt;&gt;"",EDATE($D65,Milestones!$AA$98)&gt;=$S65),$V65,IF(AND($R65&lt;&gt;"",EDATE($D65,Milestones!$AA$98)&gt;=$R65),$U65,$T65)))=Milestones!$AB$98),TEXT(EDATE($D65,Milestones!$AA$98),"dd/mm/yy")&amp;" "&amp;Milestones!$AB$98&amp;" "&amp;Milestones!$AC$98&amp;";  ","")&amp;IF(AND(EDATE($D65,Milestones!$AA$99)&lt;=AsOfDate,IF($Q65=0,$W65,IF(AND($S65&lt;&gt;"",EDATE($D65,Milestones!$AA$99)&gt;=$S65),$V65,IF(AND($R65&lt;&gt;"",EDATE($D65,Milestones!$AA$99)&gt;=$R65),$U65,$T65)))=Milestones!$AB$99),TEXT(EDATE($D65,Milestones!$AA$99),"dd/mm/yy")&amp;" "&amp;Milestones!$AB$99&amp;" "&amp;Milestones!$AC$99&amp;";  ",""))</f>
        <v/>
      </c>
      <c r="L65" s="0" t="str">
        <f aca="false">IF(OR($A65="",$D65=""),"",IF(AND(EDATE($D65,Milestones!$AA$100)&lt;=AsOfDate,IF($Q65=0,$W65,IF(AND($S65&lt;&gt;"",EDATE($D65,Milestones!$AA$100)&gt;=$S65),$V65,IF(AND($R65&lt;&gt;"",EDATE($D65,Milestones!$AA$100)&gt;=$R65),$U65,$T65)))=Milestones!$AB$100),TEXT(EDATE($D65,Milestones!$AA$100),"dd/mm/yy")&amp;" "&amp;Milestones!$AB$100&amp;" "&amp;Milestones!$AC$100&amp;";  ","")&amp;IF(AND(EDATE($D65,Milestones!$AA$101)&lt;=AsOfDate,IF($Q65=0,$W65,IF(AND($S65&lt;&gt;"",EDATE($D65,Milestones!$AA$101)&gt;=$S65),$V65,IF(AND($R65&lt;&gt;"",EDATE($D65,Milestones!$AA$101)&gt;=$R65),$U65,$T65)))=Milestones!$AB$101),TEXT(EDATE($D65,Milestones!$AA$101),"dd/mm/yy")&amp;" "&amp;Milestones!$AB$101&amp;" "&amp;Milestones!$AC$101&amp;";  ","")&amp;IF(AND(EDATE($D65,Milestones!$AA$102)&lt;=AsOfDate,IF($Q65=0,$W65,IF(AND($S65&lt;&gt;"",EDATE($D65,Milestones!$AA$102)&gt;=$S65),$V65,IF(AND($R65&lt;&gt;"",EDATE($D65,Milestones!$AA$102)&gt;=$R65),$U65,$T65)))=Milestones!$AB$102),TEXT(EDATE($D65,Milestones!$AA$102),"dd/mm/yy")&amp;" "&amp;Milestones!$AB$102&amp;" "&amp;Milestones!$AC$102&amp;";  ","")&amp;IF(AND(EDATE($D65,Milestones!$AA$103)&lt;=AsOfDate,IF($Q65=0,$W65,IF(AND($S65&lt;&gt;"",EDATE($D65,Milestones!$AA$103)&gt;=$S65),$V65,IF(AND($R65&lt;&gt;"",EDATE($D65,Milestones!$AA$103)&gt;=$R65),$U65,$T65)))=Milestones!$AB$103),TEXT(EDATE($D65,Milestones!$AA$103),"dd/mm/yy")&amp;" "&amp;Milestones!$AB$103&amp;" "&amp;Milestones!$AC$103&amp;";  ","")&amp;IF(AND(EDATE($D65,Milestones!$AA$104)&lt;=AsOfDate,IF($Q65=0,$W65,IF(AND($S65&lt;&gt;"",EDATE($D65,Milestones!$AA$104)&gt;=$S65),$V65,IF(AND($R65&lt;&gt;"",EDATE($D65,Milestones!$AA$104)&gt;=$R65),$U65,$T65)))=Milestones!$AB$104),TEXT(EDATE($D65,Milestones!$AA$104),"dd/mm/yy")&amp;" "&amp;Milestones!$AB$104&amp;" "&amp;Milestones!$AC$104&amp;";  ","")&amp;IF(AND(EDATE($D65,Milestones!$AA$105)&lt;=AsOfDate,IF($Q65=0,$W65,IF(AND($S65&lt;&gt;"",EDATE($D65,Milestones!$AA$105)&gt;=$S65),$V65,IF(AND($R65&lt;&gt;"",EDATE($D65,Milestones!$AA$105)&gt;=$R65),$U65,$T65)))=Milestones!$AB$105),TEXT(EDATE($D65,Milestones!$AA$105),"dd/mm/yy")&amp;" "&amp;Milestones!$AB$105&amp;" "&amp;Milestones!$AC$105&amp;";  ","")&amp;IF(AND(EDATE($D65,Milestones!$AA$106)&lt;=AsOfDate,IF($Q65=0,$W65,IF(AND($S65&lt;&gt;"",EDATE($D65,Milestones!$AA$106)&gt;=$S65),$V65,IF(AND($R65&lt;&gt;"",EDATE($D65,Milestones!$AA$106)&gt;=$R65),$U65,$T65)))=Milestones!$AB$106),TEXT(EDATE($D65,Milestones!$AA$106),"dd/mm/yy")&amp;" "&amp;Milestones!$AB$106&amp;" "&amp;Milestones!$AC$106&amp;";  ","")&amp;IF(AND(EDATE($D65,Milestones!$AA$107)&lt;=AsOfDate,IF($Q65=0,$W65,IF(AND($S65&lt;&gt;"",EDATE($D65,Milestones!$AA$107)&gt;=$S65),$V65,IF(AND($R65&lt;&gt;"",EDATE($D65,Milestones!$AA$107)&gt;=$R65),$U65,$T65)))=Milestones!$AB$107),TEXT(EDATE($D65,Milestones!$AA$107),"dd/mm/yy")&amp;" "&amp;Milestones!$AB$107&amp;" "&amp;Milestones!$AC$107&amp;";  ","")&amp;IF(AND(EDATE($D65,Milestones!$AA$108)&lt;=AsOfDate,IF($Q65=0,$W65,IF(AND($S65&lt;&gt;"",EDATE($D65,Milestones!$AA$108)&gt;=$S65),$V65,IF(AND($R65&lt;&gt;"",EDATE($D65,Milestones!$AA$108)&gt;=$R65),$U65,$T65)))=Milestones!$AB$108),TEXT(EDATE($D65,Milestones!$AA$108),"dd/mm/yy")&amp;" "&amp;Milestones!$AB$108&amp;" "&amp;Milestones!$AC$108&amp;";  ","")&amp;IF(AND(EDATE($D65,Milestones!$AA$109)&lt;=AsOfDate,IF($Q65=0,$W65,IF(AND($S65&lt;&gt;"",EDATE($D65,Milestones!$AA$109)&gt;=$S65),$V65,IF(AND($R65&lt;&gt;"",EDATE($D65,Milestones!$AA$109)&gt;=$R65),$U65,$T65)))=Milestones!$AB$109),TEXT(EDATE($D65,Milestones!$AA$109),"dd/mm/yy")&amp;" "&amp;Milestones!$AB$109&amp;" "&amp;Milestones!$AC$109&amp;";  ","")&amp;IF(AND(EDATE($D65,Milestones!$AA$110)&lt;=AsOfDate,IF($Q65=0,$W65,IF(AND($S65&lt;&gt;"",EDATE($D65,Milestones!$AA$110)&gt;=$S65),$V65,IF(AND($R65&lt;&gt;"",EDATE($D65,Milestones!$AA$110)&gt;=$R65),$U65,$T65)))=Milestones!$AB$110),TEXT(EDATE($D65,Milestones!$AA$110),"dd/mm/yy")&amp;" "&amp;Milestones!$AB$110&amp;" "&amp;Milestones!$AC$110&amp;";  ","")&amp;IF(AND(EDATE($D65,Milestones!$AA$111)&lt;=AsOfDate,IF($Q65=0,$W65,IF(AND($S65&lt;&gt;"",EDATE($D65,Milestones!$AA$111)&gt;=$S65),$V65,IF(AND($R65&lt;&gt;"",EDATE($D65,Milestones!$AA$111)&gt;=$R65),$U65,$T65)))=Milestones!$AB$111),TEXT(EDATE($D65,Milestones!$AA$111),"dd/mm/yy")&amp;" "&amp;Milestones!$AB$111&amp;" "&amp;Milestones!$AC$111&amp;";  ","")&amp;IF(AND(EDATE($D65,Milestones!$AA$112)&lt;=AsOfDate,IF($Q65=0,$W65,IF(AND($S65&lt;&gt;"",EDATE($D65,Milestones!$AA$112)&gt;=$S65),$V65,IF(AND($R65&lt;&gt;"",EDATE($D65,Milestones!$AA$112)&gt;=$R65),$U65,$T65)))=Milestones!$AB$112),TEXT(EDATE($D65,Milestones!$AA$112),"dd/mm/yy")&amp;" "&amp;Milestones!$AB$112&amp;" "&amp;Milestones!$AC$112&amp;";  ","")&amp;IF(AND(EDATE($D65,Milestones!$AA$113)&lt;=AsOfDate,IF($Q65=0,$W65,IF(AND($S65&lt;&gt;"",EDATE($D65,Milestones!$AA$113)&gt;=$S65),$V65,IF(AND($R65&lt;&gt;"",EDATE($D65,Milestones!$AA$113)&gt;=$R65),$U65,$T65)))=Milestones!$AB$113),TEXT(EDATE($D65,Milestones!$AA$113),"dd/mm/yy")&amp;" "&amp;Milestones!$AB$113&amp;" "&amp;Milestones!$AC$113&amp;";  ","")&amp;IF(AND(EDATE($D65,Milestones!$AA$114)&lt;=AsOfDate,IF($Q65=0,$W65,IF(AND($S65&lt;&gt;"",EDATE($D65,Milestones!$AA$114)&gt;=$S65),$V65,IF(AND($R65&lt;&gt;"",EDATE($D65,Milestones!$AA$114)&gt;=$R65),$U65,$T65)))=Milestones!$AB$114),TEXT(EDATE($D65,Milestones!$AA$114),"dd/mm/yy")&amp;" "&amp;Milestones!$AB$114&amp;" "&amp;Milestones!$AC$114&amp;";  ","")&amp;IF(AND(EDATE($D65,Milestones!$AA$115)&lt;=AsOfDate,IF($Q65=0,$W65,IF(AND($S65&lt;&gt;"",EDATE($D65,Milestones!$AA$115)&gt;=$S65),$V65,IF(AND($R65&lt;&gt;"",EDATE($D65,Milestones!$AA$115)&gt;=$R65),$U65,$T65)))=Milestones!$AB$115),TEXT(EDATE($D65,Milestones!$AA$115),"dd/mm/yy")&amp;" "&amp;Milestones!$AB$115&amp;" "&amp;Milestones!$AC$115&amp;";  ","")&amp;IF(AND(EDATE($D65,Milestones!$AA$116)&lt;=AsOfDate,IF($Q65=0,$W65,IF(AND($S65&lt;&gt;"",EDATE($D65,Milestones!$AA$116)&gt;=$S65),$V65,IF(AND($R65&lt;&gt;"",EDATE($D65,Milestones!$AA$116)&gt;=$R65),$U65,$T65)))=Milestones!$AB$116),TEXT(EDATE($D65,Milestones!$AA$116),"dd/mm/yy")&amp;" "&amp;Milestones!$AB$116&amp;" "&amp;Milestones!$AC$116&amp;";  ","")&amp;IF(AND(EDATE($D65,Milestones!$AA$117)&lt;=AsOfDate,IF($Q65=0,$W65,IF(AND($S65&lt;&gt;"",EDATE($D65,Milestones!$AA$117)&gt;=$S65),$V65,IF(AND($R65&lt;&gt;"",EDATE($D65,Milestones!$AA$117)&gt;=$R65),$U65,$T65)))=Milestones!$AB$117),TEXT(EDATE($D65,Milestones!$AA$117),"dd/mm/yy")&amp;" "&amp;Milestones!$AB$117&amp;" "&amp;Milestones!$AC$117&amp;";  ","")&amp;IF(AND(EDATE($D65,Milestones!$AA$118)&lt;=AsOfDate,IF($Q65=0,$W65,IF(AND($S65&lt;&gt;"",EDATE($D65,Milestones!$AA$118)&gt;=$S65),$V65,IF(AND($R65&lt;&gt;"",EDATE($D65,Milestones!$AA$118)&gt;=$R65),$U65,$T65)))=Milestones!$AB$118),TEXT(EDATE($D65,Milestones!$AA$118),"dd/mm/yy")&amp;" "&amp;Milestones!$AB$118&amp;" "&amp;Milestones!$AC$118&amp;";  ","")&amp;IF(AND(EDATE($D65,Milestones!$AA$119)&lt;=AsOfDate,IF($Q65=0,$W65,IF(AND($S65&lt;&gt;"",EDATE($D65,Milestones!$AA$119)&gt;=$S65),$V65,IF(AND($R65&lt;&gt;"",EDATE($D65,Milestones!$AA$119)&gt;=$R65),$U65,$T65)))=Milestones!$AB$119),TEXT(EDATE($D65,Milestones!$AA$119),"dd/mm/yy")&amp;" "&amp;Milestones!$AB$119&amp;" "&amp;Milestones!$AC$119&amp;";  ",""))</f>
        <v/>
      </c>
      <c r="M65" s="0" t="str">
        <f aca="false">IF(OR($A65="",$D65=""),"",IF(AND(EDATE($D65,Milestones!$AA$120)&lt;=AsOfDate,IF($Q65=0,$W65,IF(AND($S65&lt;&gt;"",EDATE($D65,Milestones!$AA$120)&gt;=$S65),$V65,IF(AND($R65&lt;&gt;"",EDATE($D65,Milestones!$AA$120)&gt;=$R65),$U65,$T65)))=Milestones!$AB$120),TEXT(EDATE($D65,Milestones!$AA$120),"dd/mm/yy")&amp;" "&amp;Milestones!$AB$120&amp;" "&amp;Milestones!$AC$120&amp;";  ","")&amp;IF(AND(EDATE($D65,Milestones!$AA$121)&lt;=AsOfDate,IF($Q65=0,$W65,IF(AND($S65&lt;&gt;"",EDATE($D65,Milestones!$AA$121)&gt;=$S65),$V65,IF(AND($R65&lt;&gt;"",EDATE($D65,Milestones!$AA$121)&gt;=$R65),$U65,$T65)))=Milestones!$AB$121),TEXT(EDATE($D65,Milestones!$AA$121),"dd/mm/yy")&amp;" "&amp;Milestones!$AB$121&amp;" "&amp;Milestones!$AC$121&amp;";  ","")&amp;IF(AND(EDATE($D65,Milestones!$AA$122)&lt;=AsOfDate,IF($Q65=0,$W65,IF(AND($S65&lt;&gt;"",EDATE($D65,Milestones!$AA$122)&gt;=$S65),$V65,IF(AND($R65&lt;&gt;"",EDATE($D65,Milestones!$AA$122)&gt;=$R65),$U65,$T65)))=Milestones!$AB$122),TEXT(EDATE($D65,Milestones!$AA$122),"dd/mm/yy")&amp;" "&amp;Milestones!$AB$122&amp;" "&amp;Milestones!$AC$122&amp;";  ","")&amp;IF(AND(EDATE($D65,Milestones!$AA$123)&lt;=AsOfDate,IF($Q65=0,$W65,IF(AND($S65&lt;&gt;"",EDATE($D65,Milestones!$AA$123)&gt;=$S65),$V65,IF(AND($R65&lt;&gt;"",EDATE($D65,Milestones!$AA$123)&gt;=$R65),$U65,$T65)))=Milestones!$AB$123),TEXT(EDATE($D65,Milestones!$AA$123),"dd/mm/yy")&amp;" "&amp;Milestones!$AB$123&amp;" "&amp;Milestones!$AC$123&amp;";  ","")&amp;IF(AND(EDATE($D65,Milestones!$AA$124)&lt;=AsOfDate,IF($Q65=0,$W65,IF(AND($S65&lt;&gt;"",EDATE($D65,Milestones!$AA$124)&gt;=$S65),$V65,IF(AND($R65&lt;&gt;"",EDATE($D65,Milestones!$AA$124)&gt;=$R65),$U65,$T65)))=Milestones!$AB$124),TEXT(EDATE($D65,Milestones!$AA$124),"dd/mm/yy")&amp;" "&amp;Milestones!$AB$124&amp;" "&amp;Milestones!$AC$124&amp;";  ","")&amp;IF(AND(EDATE($D65,Milestones!$AA$125)&lt;=AsOfDate,IF($Q65=0,$W65,IF(AND($S65&lt;&gt;"",EDATE($D65,Milestones!$AA$125)&gt;=$S65),$V65,IF(AND($R65&lt;&gt;"",EDATE($D65,Milestones!$AA$125)&gt;=$R65),$U65,$T65)))=Milestones!$AB$125),TEXT(EDATE($D65,Milestones!$AA$125),"dd/mm/yy")&amp;" "&amp;Milestones!$AB$125&amp;" "&amp;Milestones!$AC$125&amp;";  ","")&amp;IF(AND(EDATE($D65,Milestones!$AA$126)&lt;=AsOfDate,IF($Q65=0,$W65,IF(AND($S65&lt;&gt;"",EDATE($D65,Milestones!$AA$126)&gt;=$S65),$V65,IF(AND($R65&lt;&gt;"",EDATE($D65,Milestones!$AA$126)&gt;=$R65),$U65,$T65)))=Milestones!$AB$126),TEXT(EDATE($D65,Milestones!$AA$126),"dd/mm/yy")&amp;" "&amp;Milestones!$AB$126&amp;" "&amp;Milestones!$AC$126&amp;";  ","")&amp;IF(AND(EDATE($D65,Milestones!$AA$127)&lt;=AsOfDate,IF($Q65=0,$W65,IF(AND($S65&lt;&gt;"",EDATE($D65,Milestones!$AA$127)&gt;=$S65),$V65,IF(AND($R65&lt;&gt;"",EDATE($D65,Milestones!$AA$127)&gt;=$R65),$U65,$T65)))=Milestones!$AB$127),TEXT(EDATE($D65,Milestones!$AA$127),"dd/mm/yy")&amp;" "&amp;Milestones!$AB$127&amp;" "&amp;Milestones!$AC$127&amp;";  ","")&amp;IF(AND(EDATE($D65,Milestones!$AA$128)&lt;=AsOfDate,IF($Q65=0,$W65,IF(AND($S65&lt;&gt;"",EDATE($D65,Milestones!$AA$128)&gt;=$S65),$V65,IF(AND($R65&lt;&gt;"",EDATE($D65,Milestones!$AA$128)&gt;=$R65),$U65,$T65)))=Milestones!$AB$128),TEXT(EDATE($D65,Milestones!$AA$128),"dd/mm/yy")&amp;" "&amp;Milestones!$AB$128&amp;" "&amp;Milestones!$AC$128&amp;";  ","")&amp;IF(AND(EDATE($D65,Milestones!$AA$129)&lt;=AsOfDate,IF($Q65=0,$W65,IF(AND($S65&lt;&gt;"",EDATE($D65,Milestones!$AA$129)&gt;=$S65),$V65,IF(AND($R65&lt;&gt;"",EDATE($D65,Milestones!$AA$129)&gt;=$R65),$U65,$T65)))=Milestones!$AB$129),TEXT(EDATE($D65,Milestones!$AA$129),"dd/mm/yy")&amp;" "&amp;Milestones!$AB$129&amp;" "&amp;Milestones!$AC$129&amp;";  ","")&amp;IF(AND(EDATE($D65,Milestones!$AA$130)&lt;=AsOfDate,IF($Q65=0,$W65,IF(AND($S65&lt;&gt;"",EDATE($D65,Milestones!$AA$130)&gt;=$S65),$V65,IF(AND($R65&lt;&gt;"",EDATE($D65,Milestones!$AA$130)&gt;=$R65),$U65,$T65)))=Milestones!$AB$130),TEXT(EDATE($D65,Milestones!$AA$130),"dd/mm/yy")&amp;" "&amp;Milestones!$AB$130&amp;" "&amp;Milestones!$AC$130&amp;";  ","")&amp;IF(AND(EDATE($D65,Milestones!$AA$131)&lt;=AsOfDate,IF($Q65=0,$W65,IF(AND($S65&lt;&gt;"",EDATE($D65,Milestones!$AA$131)&gt;=$S65),$V65,IF(AND($R65&lt;&gt;"",EDATE($D65,Milestones!$AA$131)&gt;=$R65),$U65,$T65)))=Milestones!$AB$131),TEXT(EDATE($D65,Milestones!$AA$131),"dd/mm/yy")&amp;" "&amp;Milestones!$AB$131&amp;" "&amp;Milestones!$AC$131&amp;";  ","")&amp;IF(AND(EDATE($D65,Milestones!$AA$132)&lt;=AsOfDate,IF($Q65=0,$W65,IF(AND($S65&lt;&gt;"",EDATE($D65,Milestones!$AA$132)&gt;=$S65),$V65,IF(AND($R65&lt;&gt;"",EDATE($D65,Milestones!$AA$132)&gt;=$R65),$U65,$T65)))=Milestones!$AB$132),TEXT(EDATE($D65,Milestones!$AA$132),"dd/mm/yy")&amp;" "&amp;Milestones!$AB$132&amp;" "&amp;Milestones!$AC$132&amp;";  ","")&amp;IF(AND(EDATE($D65,Milestones!$AA$133)&lt;=AsOfDate,IF($Q65=0,$W65,IF(AND($S65&lt;&gt;"",EDATE($D65,Milestones!$AA$133)&gt;=$S65),$V65,IF(AND($R65&lt;&gt;"",EDATE($D65,Milestones!$AA$133)&gt;=$R65),$U65,$T65)))=Milestones!$AB$133),TEXT(EDATE($D65,Milestones!$AA$133),"dd/mm/yy")&amp;" "&amp;Milestones!$AB$133&amp;" "&amp;Milestones!$AC$133&amp;";  ","")&amp;IF(AND(EDATE($D65,Milestones!$AA$134)&lt;=AsOfDate,IF($Q65=0,$W65,IF(AND($S65&lt;&gt;"",EDATE($D65,Milestones!$AA$134)&gt;=$S65),$V65,IF(AND($R65&lt;&gt;"",EDATE($D65,Milestones!$AA$134)&gt;=$R65),$U65,$T65)))=Milestones!$AB$134),TEXT(EDATE($D65,Milestones!$AA$134),"dd/mm/yy")&amp;" "&amp;Milestones!$AB$134&amp;" "&amp;Milestones!$AC$134&amp;";  ","")&amp;IF(AND(EDATE($D65,Milestones!$AA$135)&lt;=AsOfDate,IF($Q65=0,$W65,IF(AND($S65&lt;&gt;"",EDATE($D65,Milestones!$AA$135)&gt;=$S65),$V65,IF(AND($R65&lt;&gt;"",EDATE($D65,Milestones!$AA$135)&gt;=$R65),$U65,$T65)))=Milestones!$AB$135),TEXT(EDATE($D65,Milestones!$AA$135),"dd/mm/yy")&amp;" "&amp;Milestones!$AB$135&amp;" "&amp;Milestones!$AC$135&amp;";  ","")&amp;IF(AND(EDATE($D65,Milestones!$AA$136)&lt;=AsOfDate,IF($Q65=0,$W65,IF(AND($S65&lt;&gt;"",EDATE($D65,Milestones!$AA$136)&gt;=$S65),$V65,IF(AND($R65&lt;&gt;"",EDATE($D65,Milestones!$AA$136)&gt;=$R65),$U65,$T65)))=Milestones!$AB$136),TEXT(EDATE($D65,Milestones!$AA$136),"dd/mm/yy")&amp;" "&amp;Milestones!$AB$136&amp;" "&amp;Milestones!$AC$136&amp;";  ","")&amp;IF(AND(EDATE($D65,Milestones!$AA$137)&lt;=AsOfDate,IF($Q65=0,$W65,IF(AND($S65&lt;&gt;"",EDATE($D65,Milestones!$AA$137)&gt;=$S65),$V65,IF(AND($R65&lt;&gt;"",EDATE($D65,Milestones!$AA$137)&gt;=$R65),$U65,$T65)))=Milestones!$AB$137),TEXT(EDATE($D65,Milestones!$AA$137),"dd/mm/yy")&amp;" "&amp;Milestones!$AB$137&amp;" "&amp;Milestones!$AC$137&amp;";  ","")&amp;IF(AND(EDATE($D65,Milestones!$AA$138)&lt;=AsOfDate,IF($Q65=0,$W65,IF(AND($S65&lt;&gt;"",EDATE($D65,Milestones!$AA$138)&gt;=$S65),$V65,IF(AND($R65&lt;&gt;"",EDATE($D65,Milestones!$AA$138)&gt;=$R65),$U65,$T65)))=Milestones!$AB$138),TEXT(EDATE($D65,Milestones!$AA$138),"dd/mm/yy")&amp;" "&amp;Milestones!$AB$138&amp;" "&amp;Milestones!$AC$138&amp;";  ","")&amp;IF(AND(EDATE($D65,Milestones!$AA$139)&lt;=AsOfDate,IF($Q65=0,$W65,IF(AND($S65&lt;&gt;"",EDATE($D65,Milestones!$AA$139)&gt;=$S65),$V65,IF(AND($R65&lt;&gt;"",EDATE($D65,Milestones!$AA$139)&gt;=$R65),$U65,$T65)))=Milestones!$AB$139),TEXT(EDATE($D65,Milestones!$AA$139),"dd/mm/yy")&amp;" "&amp;Milestones!$AB$139&amp;" "&amp;Milestones!$AC$139&amp;";  ",""))</f>
        <v/>
      </c>
      <c r="N65" s="0" t="str">
        <f aca="false">IF(OR($A65="",$D65=""),"",IF(AND(EDATE($D65,Milestones!$AA$140)&lt;=AsOfDate,IF($Q65=0,$W65,IF(AND($S65&lt;&gt;"",EDATE($D65,Milestones!$AA$140)&gt;=$S65),$V65,IF(AND($R65&lt;&gt;"",EDATE($D65,Milestones!$AA$140)&gt;=$R65),$U65,$T65)))=Milestones!$AB$140),TEXT(EDATE($D65,Milestones!$AA$140),"dd/mm/yy")&amp;" "&amp;Milestones!$AB$140&amp;" "&amp;Milestones!$AC$140&amp;";  ","")&amp;IF(AND(EDATE($D65,Milestones!$AA$141)&lt;=AsOfDate,IF($Q65=0,$W65,IF(AND($S65&lt;&gt;"",EDATE($D65,Milestones!$AA$141)&gt;=$S65),$V65,IF(AND($R65&lt;&gt;"",EDATE($D65,Milestones!$AA$141)&gt;=$R65),$U65,$T65)))=Milestones!$AB$141),TEXT(EDATE($D65,Milestones!$AA$141),"dd/mm/yy")&amp;" "&amp;Milestones!$AB$141&amp;" "&amp;Milestones!$AC$141&amp;";  ","")&amp;IF(AND(EDATE($D65,Milestones!$AA$142)&lt;=AsOfDate,IF($Q65=0,$W65,IF(AND($S65&lt;&gt;"",EDATE($D65,Milestones!$AA$142)&gt;=$S65),$V65,IF(AND($R65&lt;&gt;"",EDATE($D65,Milestones!$AA$142)&gt;=$R65),$U65,$T65)))=Milestones!$AB$142),TEXT(EDATE($D65,Milestones!$AA$142),"dd/mm/yy")&amp;" "&amp;Milestones!$AB$142&amp;" "&amp;Milestones!$AC$142&amp;";  ","")&amp;IF(AND(EDATE($D65,Milestones!$AA$143)&lt;=AsOfDate,IF($Q65=0,$W65,IF(AND($S65&lt;&gt;"",EDATE($D65,Milestones!$AA$143)&gt;=$S65),$V65,IF(AND($R65&lt;&gt;"",EDATE($D65,Milestones!$AA$143)&gt;=$R65),$U65,$T65)))=Milestones!$AB$143),TEXT(EDATE($D65,Milestones!$AA$143),"dd/mm/yy")&amp;" "&amp;Milestones!$AB$143&amp;" "&amp;Milestones!$AC$143&amp;";  ","")&amp;IF(AND(EDATE($D65,Milestones!$AA$144)&lt;=AsOfDate,IF($Q65=0,$W65,IF(AND($S65&lt;&gt;"",EDATE($D65,Milestones!$AA$144)&gt;=$S65),$V65,IF(AND($R65&lt;&gt;"",EDATE($D65,Milestones!$AA$144)&gt;=$R65),$U65,$T65)))=Milestones!$AB$144),TEXT(EDATE($D65,Milestones!$AA$144),"dd/mm/yy")&amp;" "&amp;Milestones!$AB$144&amp;" "&amp;Milestones!$AC$144&amp;";  ","")&amp;IF(AND(EDATE($D65,Milestones!$AA$145)&lt;=AsOfDate,IF($Q65=0,$W65,IF(AND($S65&lt;&gt;"",EDATE($D65,Milestones!$AA$145)&gt;=$S65),$V65,IF(AND($R65&lt;&gt;"",EDATE($D65,Milestones!$AA$145)&gt;=$R65),$U65,$T65)))=Milestones!$AB$145),TEXT(EDATE($D65,Milestones!$AA$145),"dd/mm/yy")&amp;" "&amp;Milestones!$AB$145&amp;" "&amp;Milestones!$AC$145&amp;";  ","")&amp;IF(AND(EDATE($D65,Milestones!$AA$146)&lt;=AsOfDate,IF($Q65=0,$W65,IF(AND($S65&lt;&gt;"",EDATE($D65,Milestones!$AA$146)&gt;=$S65),$V65,IF(AND($R65&lt;&gt;"",EDATE($D65,Milestones!$AA$146)&gt;=$R65),$U65,$T65)))=Milestones!$AB$146),TEXT(EDATE($D65,Milestones!$AA$146),"dd/mm/yy")&amp;" "&amp;Milestones!$AB$146&amp;" "&amp;Milestones!$AC$146&amp;";  ","")&amp;IF(AND(EDATE($D65,Milestones!$AA$147)&lt;=AsOfDate,IF($Q65=0,$W65,IF(AND($S65&lt;&gt;"",EDATE($D65,Milestones!$AA$147)&gt;=$S65),$V65,IF(AND($R65&lt;&gt;"",EDATE($D65,Milestones!$AA$147)&gt;=$R65),$U65,$T65)))=Milestones!$AB$147),TEXT(EDATE($D65,Milestones!$AA$147),"dd/mm/yy")&amp;" "&amp;Milestones!$AB$147&amp;" "&amp;Milestones!$AC$147&amp;";  ","")&amp;IF(AND(EDATE($D65,Milestones!$AA$148)&lt;=AsOfDate,IF($Q65=0,$W65,IF(AND($S65&lt;&gt;"",EDATE($D65,Milestones!$AA$148)&gt;=$S65),$V65,IF(AND($R65&lt;&gt;"",EDATE($D65,Milestones!$AA$148)&gt;=$R65),$U65,$T65)))=Milestones!$AB$148),TEXT(EDATE($D65,Milestones!$AA$148),"dd/mm/yy")&amp;" "&amp;Milestones!$AB$148&amp;" "&amp;Milestones!$AC$148&amp;";  ","")&amp;IF(AND(EDATE($D65,Milestones!$AA$149)&lt;=AsOfDate,IF($Q65=0,$W65,IF(AND($S65&lt;&gt;"",EDATE($D65,Milestones!$AA$149)&gt;=$S65),$V65,IF(AND($R65&lt;&gt;"",EDATE($D65,Milestones!$AA$149)&gt;=$R65),$U65,$T65)))=Milestones!$AB$149),TEXT(EDATE($D65,Milestones!$AA$149),"dd/mm/yy")&amp;" "&amp;Milestones!$AB$149&amp;" "&amp;Milestones!$AC$149&amp;";  ","")&amp;IF(AND(EDATE($D65,Milestones!$AA$150)&lt;=AsOfDate,IF($Q65=0,$W65,IF(AND($S65&lt;&gt;"",EDATE($D65,Milestones!$AA$150)&gt;=$S65),$V65,IF(AND($R65&lt;&gt;"",EDATE($D65,Milestones!$AA$150)&gt;=$R65),$U65,$T65)))=Milestones!$AB$150),TEXT(EDATE($D65,Milestones!$AA$150),"dd/mm/yy")&amp;" "&amp;Milestones!$AB$150&amp;" "&amp;Milestones!$AC$150&amp;";  ","")&amp;IF(AND(EDATE($D65,Milestones!$AA$151)&lt;=AsOfDate,IF($Q65=0,$W65,IF(AND($S65&lt;&gt;"",EDATE($D65,Milestones!$AA$151)&gt;=$S65),$V65,IF(AND($R65&lt;&gt;"",EDATE($D65,Milestones!$AA$151)&gt;=$R65),$U65,$T65)))=Milestones!$AB$151),TEXT(EDATE($D65,Milestones!$AA$151),"dd/mm/yy")&amp;" "&amp;Milestones!$AB$151&amp;" "&amp;Milestones!$AC$151&amp;";  ","")&amp;IF(AND(EDATE($D65,Milestones!$AA$152)&lt;=AsOfDate,IF($Q65=0,$W65,IF(AND($S65&lt;&gt;"",EDATE($D65,Milestones!$AA$152)&gt;=$S65),$V65,IF(AND($R65&lt;&gt;"",EDATE($D65,Milestones!$AA$152)&gt;=$R65),$U65,$T65)))=Milestones!$AB$152),TEXT(EDATE($D65,Milestones!$AA$152),"dd/mm/yy")&amp;" "&amp;Milestones!$AB$152&amp;" "&amp;Milestones!$AC$152&amp;";  ","")&amp;IF(AND(EDATE($D65,Milestones!$AA$153)&lt;=AsOfDate,IF($Q65=0,$W65,IF(AND($S65&lt;&gt;"",EDATE($D65,Milestones!$AA$153)&gt;=$S65),$V65,IF(AND($R65&lt;&gt;"",EDATE($D65,Milestones!$AA$153)&gt;=$R65),$U65,$T65)))=Milestones!$AB$153),TEXT(EDATE($D65,Milestones!$AA$153),"dd/mm/yy")&amp;" "&amp;Milestones!$AB$153&amp;" "&amp;Milestones!$AC$153&amp;";  ","")&amp;IF(AND(EDATE($D65,Milestones!$AA$154)&lt;=AsOfDate,IF($Q65=0,$W65,IF(AND($S65&lt;&gt;"",EDATE($D65,Milestones!$AA$154)&gt;=$S65),$V65,IF(AND($R65&lt;&gt;"",EDATE($D65,Milestones!$AA$154)&gt;=$R65),$U65,$T65)))=Milestones!$AB$154),TEXT(EDATE($D65,Milestones!$AA$154),"dd/mm/yy")&amp;" "&amp;Milestones!$AB$154&amp;" "&amp;Milestones!$AC$154&amp;";  ","")&amp;IF(AND(EDATE($D65,Milestones!$AA$155)&lt;=AsOfDate,IF($Q65=0,$W65,IF(AND($S65&lt;&gt;"",EDATE($D65,Milestones!$AA$155)&gt;=$S65),$V65,IF(AND($R65&lt;&gt;"",EDATE($D65,Milestones!$AA$155)&gt;=$R65),$U65,$T65)))=Milestones!$AB$155),TEXT(EDATE($D65,Milestones!$AA$155),"dd/mm/yy")&amp;" "&amp;Milestones!$AB$155&amp;" "&amp;Milestones!$AC$155&amp;";  ","")&amp;IF(AND(EDATE($D65,Milestones!$AA$156)&lt;=AsOfDate,IF($Q65=0,$W65,IF(AND($S65&lt;&gt;"",EDATE($D65,Milestones!$AA$156)&gt;=$S65),$V65,IF(AND($R65&lt;&gt;"",EDATE($D65,Milestones!$AA$156)&gt;=$R65),$U65,$T65)))=Milestones!$AB$156),TEXT(EDATE($D65,Milestones!$AA$156),"dd/mm/yy")&amp;" "&amp;Milestones!$AB$156&amp;" "&amp;Milestones!$AC$156&amp;";  ","")&amp;IF(AND(EDATE($D65,Milestones!$AA$157)&lt;=AsOfDate,IF($Q65=0,$W65,IF(AND($S65&lt;&gt;"",EDATE($D65,Milestones!$AA$157)&gt;=$S65),$V65,IF(AND($R65&lt;&gt;"",EDATE($D65,Milestones!$AA$157)&gt;=$R65),$U65,$T65)))=Milestones!$AB$157),TEXT(EDATE($D65,Milestones!$AA$157),"dd/mm/yy")&amp;" "&amp;Milestones!$AB$157&amp;" "&amp;Milestones!$AC$157&amp;";  ","")&amp;IF(AND(EDATE($D65,Milestones!$AA$158)&lt;=AsOfDate,IF($Q65=0,$W65,IF(AND($S65&lt;&gt;"",EDATE($D65,Milestones!$AA$158)&gt;=$S65),$V65,IF(AND($R65&lt;&gt;"",EDATE($D65,Milestones!$AA$158)&gt;=$R65),$U65,$T65)))=Milestones!$AB$158),TEXT(EDATE($D65,Milestones!$AA$158),"dd/mm/yy")&amp;" "&amp;Milestones!$AB$158&amp;" "&amp;Milestones!$AC$158&amp;";  ","")&amp;IF(AND(EDATE($D65,Milestones!$AA$159)&lt;=AsOfDate,IF($Q65=0,$W65,IF(AND($S65&lt;&gt;"",EDATE($D65,Milestones!$AA$159)&gt;=$S65),$V65,IF(AND($R65&lt;&gt;"",EDATE($D65,Milestones!$AA$159)&gt;=$R65),$U65,$T65)))=Milestones!$AB$159),TEXT(EDATE($D65,Milestones!$AA$159),"dd/mm/yy")&amp;" "&amp;Milestones!$AB$159&amp;" "&amp;Milestones!$AC$159&amp;";  ",""))</f>
        <v/>
      </c>
      <c r="O65" s="0" t="str">
        <f aca="false">IF(OR($A65="",$D65=""),"",IF(AND(EDATE($D65,Milestones!$AA$160)&lt;=AsOfDate,IF($Q65=0,$W65,IF(AND($S65&lt;&gt;"",EDATE($D65,Milestones!$AA$160)&gt;=$S65),$V65,IF(AND($R65&lt;&gt;"",EDATE($D65,Milestones!$AA$160)&gt;=$R65),$U65,$T65)))=Milestones!$AB$160),TEXT(EDATE($D65,Milestones!$AA$160),"dd/mm/yy")&amp;" "&amp;Milestones!$AB$160&amp;" "&amp;Milestones!$AC$160&amp;";  ","")&amp;IF(AND(EDATE($D65,Milestones!$AA$161)&lt;=AsOfDate,IF($Q65=0,$W65,IF(AND($S65&lt;&gt;"",EDATE($D65,Milestones!$AA$161)&gt;=$S65),$V65,IF(AND($R65&lt;&gt;"",EDATE($D65,Milestones!$AA$161)&gt;=$R65),$U65,$T65)))=Milestones!$AB$161),TEXT(EDATE($D65,Milestones!$AA$161),"dd/mm/yy")&amp;" "&amp;Milestones!$AB$161&amp;" "&amp;Milestones!$AC$161&amp;";  ","")&amp;IF(AND(EDATE($D65,Milestones!$AA$162)&lt;=AsOfDate,IF($Q65=0,$W65,IF(AND($S65&lt;&gt;"",EDATE($D65,Milestones!$AA$162)&gt;=$S65),$V65,IF(AND($R65&lt;&gt;"",EDATE($D65,Milestones!$AA$162)&gt;=$R65),$U65,$T65)))=Milestones!$AB$162),TEXT(EDATE($D65,Milestones!$AA$162),"dd/mm/yy")&amp;" "&amp;Milestones!$AB$162&amp;" "&amp;Milestones!$AC$162&amp;";  ","")&amp;IF(AND(EDATE($D65,Milestones!$AA$163)&lt;=AsOfDate,IF($Q65=0,$W65,IF(AND($S65&lt;&gt;"",EDATE($D65,Milestones!$AA$163)&gt;=$S65),$V65,IF(AND($R65&lt;&gt;"",EDATE($D65,Milestones!$AA$163)&gt;=$R65),$U65,$T65)))=Milestones!$AB$163),TEXT(EDATE($D65,Milestones!$AA$163),"dd/mm/yy")&amp;" "&amp;Milestones!$AB$163&amp;" "&amp;Milestones!$AC$163&amp;";  ","")&amp;IF(AND(EDATE($D65,Milestones!$AA$164)&lt;=AsOfDate,IF($Q65=0,$W65,IF(AND($S65&lt;&gt;"",EDATE($D65,Milestones!$AA$164)&gt;=$S65),$V65,IF(AND($R65&lt;&gt;"",EDATE($D65,Milestones!$AA$164)&gt;=$R65),$U65,$T65)))=Milestones!$AB$164),TEXT(EDATE($D65,Milestones!$AA$164),"dd/mm/yy")&amp;" "&amp;Milestones!$AB$164&amp;" "&amp;Milestones!$AC$164&amp;";  ","")&amp;IF(AND(EDATE($D65,Milestones!$AA$165)&lt;=AsOfDate,IF($Q65=0,$W65,IF(AND($S65&lt;&gt;"",EDATE($D65,Milestones!$AA$165)&gt;=$S65),$V65,IF(AND($R65&lt;&gt;"",EDATE($D65,Milestones!$AA$165)&gt;=$R65),$U65,$T65)))=Milestones!$AB$165),TEXT(EDATE($D65,Milestones!$AA$165),"dd/mm/yy")&amp;" "&amp;Milestones!$AB$165&amp;" "&amp;Milestones!$AC$165&amp;";  ","")&amp;IF(AND(EDATE($D65,Milestones!$AA$166)&lt;=AsOfDate,IF($Q65=0,$W65,IF(AND($S65&lt;&gt;"",EDATE($D65,Milestones!$AA$166)&gt;=$S65),$V65,IF(AND($R65&lt;&gt;"",EDATE($D65,Milestones!$AA$166)&gt;=$R65),$U65,$T65)))=Milestones!$AB$166),TEXT(EDATE($D65,Milestones!$AA$166),"dd/mm/yy")&amp;" "&amp;Milestones!$AB$166&amp;" "&amp;Milestones!$AC$166&amp;";  ","")&amp;IF(AND(EDATE($D65,Milestones!$AA$167)&lt;=AsOfDate,IF($Q65=0,$W65,IF(AND($S65&lt;&gt;"",EDATE($D65,Milestones!$AA$167)&gt;=$S65),$V65,IF(AND($R65&lt;&gt;"",EDATE($D65,Milestones!$AA$167)&gt;=$R65),$U65,$T65)))=Milestones!$AB$167),TEXT(EDATE($D65,Milestones!$AA$167),"dd/mm/yy")&amp;" "&amp;Milestones!$AB$167&amp;" "&amp;Milestones!$AC$167&amp;";  ","")&amp;IF(AND(EDATE($D65,Milestones!$AA$168)&lt;=AsOfDate,IF($Q65=0,$W65,IF(AND($S65&lt;&gt;"",EDATE($D65,Milestones!$AA$168)&gt;=$S65),$V65,IF(AND($R65&lt;&gt;"",EDATE($D65,Milestones!$AA$168)&gt;=$R65),$U65,$T65)))=Milestones!$AB$168),TEXT(EDATE($D65,Milestones!$AA$168),"dd/mm/yy")&amp;" "&amp;Milestones!$AB$168&amp;" "&amp;Milestones!$AC$168&amp;";  ","")&amp;IF(AND(EDATE($D65,Milestones!$AA$169)&lt;=AsOfDate,IF($Q65=0,$W65,IF(AND($S65&lt;&gt;"",EDATE($D65,Milestones!$AA$169)&gt;=$S65),$V65,IF(AND($R65&lt;&gt;"",EDATE($D65,Milestones!$AA$169)&gt;=$R65),$U65,$T65)))=Milestones!$AB$169),TEXT(EDATE($D65,Milestones!$AA$169),"dd/mm/yy")&amp;" "&amp;Milestones!$AB$169&amp;" "&amp;Milestones!$AC$169&amp;";  ","")&amp;IF(AND(EDATE($D65,Milestones!$AA$170)&lt;=AsOfDate,IF($Q65=0,$W65,IF(AND($S65&lt;&gt;"",EDATE($D65,Milestones!$AA$170)&gt;=$S65),$V65,IF(AND($R65&lt;&gt;"",EDATE($D65,Milestones!$AA$170)&gt;=$R65),$U65,$T65)))=Milestones!$AB$170),TEXT(EDATE($D65,Milestones!$AA$170),"dd/mm/yy")&amp;" "&amp;Milestones!$AB$170&amp;" "&amp;Milestones!$AC$170&amp;";  ","")&amp;IF(AND(EDATE($D65,Milestones!$AA$171)&lt;=AsOfDate,IF($Q65=0,$W65,IF(AND($S65&lt;&gt;"",EDATE($D65,Milestones!$AA$171)&gt;=$S65),$V65,IF(AND($R65&lt;&gt;"",EDATE($D65,Milestones!$AA$171)&gt;=$R65),$U65,$T65)))=Milestones!$AB$171),TEXT(EDATE($D65,Milestones!$AA$171),"dd/mm/yy")&amp;" "&amp;Milestones!$AB$171&amp;" "&amp;Milestones!$AC$171&amp;";  ","")&amp;IF(AND(EDATE($D65,Milestones!$AA$172)&lt;=AsOfDate,IF($Q65=0,$W65,IF(AND($S65&lt;&gt;"",EDATE($D65,Milestones!$AA$172)&gt;=$S65),$V65,IF(AND($R65&lt;&gt;"",EDATE($D65,Milestones!$AA$172)&gt;=$R65),$U65,$T65)))=Milestones!$AB$172),TEXT(EDATE($D65,Milestones!$AA$172),"dd/mm/yy")&amp;" "&amp;Milestones!$AB$172&amp;" "&amp;Milestones!$AC$172&amp;";  ","")&amp;IF(AND(EDATE($D65,Milestones!$AA$173)&lt;=AsOfDate,IF($Q65=0,$W65,IF(AND($S65&lt;&gt;"",EDATE($D65,Milestones!$AA$173)&gt;=$S65),$V65,IF(AND($R65&lt;&gt;"",EDATE($D65,Milestones!$AA$173)&gt;=$R65),$U65,$T65)))=Milestones!$AB$173),TEXT(EDATE($D65,Milestones!$AA$173),"dd/mm/yy")&amp;" "&amp;Milestones!$AB$173&amp;" "&amp;Milestones!$AC$173&amp;";  ","")&amp;IF(AND(EDATE($D65,Milestones!$AA$174)&lt;=AsOfDate,IF($Q65=0,$W65,IF(AND($S65&lt;&gt;"",EDATE($D65,Milestones!$AA$174)&gt;=$S65),$V65,IF(AND($R65&lt;&gt;"",EDATE($D65,Milestones!$AA$174)&gt;=$R65),$U65,$T65)))=Milestones!$AB$174),TEXT(EDATE($D65,Milestones!$AA$174),"dd/mm/yy")&amp;" "&amp;Milestones!$AB$174&amp;" "&amp;Milestones!$AC$174&amp;";  ","")&amp;IF(AND(EDATE($D65,Milestones!$AA$175)&lt;=AsOfDate,IF($Q65=0,$W65,IF(AND($S65&lt;&gt;"",EDATE($D65,Milestones!$AA$175)&gt;=$S65),$V65,IF(AND($R65&lt;&gt;"",EDATE($D65,Milestones!$AA$175)&gt;=$R65),$U65,$T65)))=Milestones!$AB$175),TEXT(EDATE($D65,Milestones!$AA$175),"dd/mm/yy")&amp;" "&amp;Milestones!$AB$175&amp;" "&amp;Milestones!$AC$175&amp;";  ","")&amp;IF(AND(EDATE($D65,Milestones!$AA$176)&lt;=AsOfDate,IF($Q65=0,$W65,IF(AND($S65&lt;&gt;"",EDATE($D65,Milestones!$AA$176)&gt;=$S65),$V65,IF(AND($R65&lt;&gt;"",EDATE($D65,Milestones!$AA$176)&gt;=$R65),$U65,$T65)))=Milestones!$AB$176),TEXT(EDATE($D65,Milestones!$AA$176),"dd/mm/yy")&amp;" "&amp;Milestones!$AB$176&amp;" "&amp;Milestones!$AC$176&amp;";  ","")&amp;IF(AND(EDATE($D65,Milestones!$AA$177)&lt;=AsOfDate,IF($Q65=0,$W65,IF(AND($S65&lt;&gt;"",EDATE($D65,Milestones!$AA$177)&gt;=$S65),$V65,IF(AND($R65&lt;&gt;"",EDATE($D65,Milestones!$AA$177)&gt;=$R65),$U65,$T65)))=Milestones!$AB$177),TEXT(EDATE($D65,Milestones!$AA$177),"dd/mm/yy")&amp;" "&amp;Milestones!$AB$177&amp;" "&amp;Milestones!$AC$177&amp;";  ","")&amp;IF(AND(EDATE($D65,Milestones!$AA$178)&lt;=AsOfDate,IF($Q65=0,$W65,IF(AND($S65&lt;&gt;"",EDATE($D65,Milestones!$AA$178)&gt;=$S65),$V65,IF(AND($R65&lt;&gt;"",EDATE($D65,Milestones!$AA$178)&gt;=$R65),$U65,$T65)))=Milestones!$AB$178),TEXT(EDATE($D65,Milestones!$AA$178),"dd/mm/yy")&amp;" "&amp;Milestones!$AB$178&amp;" "&amp;Milestones!$AC$178&amp;";  ","")&amp;IF(AND(EDATE($D65,Milestones!$AA$179)&lt;=AsOfDate,IF($Q65=0,$W65,IF(AND($S65&lt;&gt;"",EDATE($D65,Milestones!$AA$179)&gt;=$S65),$V65,IF(AND($R65&lt;&gt;"",EDATE($D65,Milestones!$AA$179)&gt;=$R65),$U65,$T65)))=Milestones!$AB$179),TEXT(EDATE($D65,Milestones!$AA$179),"dd/mm/yy")&amp;" "&amp;Milestones!$AB$179&amp;" "&amp;Milestones!$AC$179&amp;";  ",""))</f>
        <v/>
      </c>
      <c r="P65" s="0" t="str">
        <f aca="false">IF(OR($A65="",$D65=""),"",IF(AND(EDATE($D65,Milestones!$AA$180)&lt;=AsOfDate,IF($Q65=0,$W65,IF(AND($S65&lt;&gt;"",EDATE($D65,Milestones!$AA$180)&gt;=$S65),$V65,IF(AND($R65&lt;&gt;"",EDATE($D65,Milestones!$AA$180)&gt;=$R65),$U65,$T65)))=Milestones!$AB$180),TEXT(EDATE($D65,Milestones!$AA$180),"dd/mm/yy")&amp;" "&amp;Milestones!$AB$180&amp;" "&amp;Milestones!$AC$180&amp;";  ","")&amp;IF(AND(EDATE($D65,Milestones!$AA$181)&lt;=AsOfDate,IF($Q65=0,$W65,IF(AND($S65&lt;&gt;"",EDATE($D65,Milestones!$AA$181)&gt;=$S65),$V65,IF(AND($R65&lt;&gt;"",EDATE($D65,Milestones!$AA$181)&gt;=$R65),$U65,$T65)))=Milestones!$AB$181),TEXT(EDATE($D65,Milestones!$AA$181),"dd/mm/yy")&amp;" "&amp;Milestones!$AB$181&amp;" "&amp;Milestones!$AC$181&amp;";  ","")&amp;IF(AND(EDATE($D65,Milestones!$AA$182)&lt;=AsOfDate,IF($Q65=0,$W65,IF(AND($S65&lt;&gt;"",EDATE($D65,Milestones!$AA$182)&gt;=$S65),$V65,IF(AND($R65&lt;&gt;"",EDATE($D65,Milestones!$AA$182)&gt;=$R65),$U65,$T65)))=Milestones!$AB$182),TEXT(EDATE($D65,Milestones!$AA$182),"dd/mm/yy")&amp;" "&amp;Milestones!$AB$182&amp;" "&amp;Milestones!$AC$182&amp;";  ","")&amp;IF(AND(EDATE($D65,Milestones!$AA$183)&lt;=AsOfDate,IF($Q65=0,$W65,IF(AND($S65&lt;&gt;"",EDATE($D65,Milestones!$AA$183)&gt;=$S65),$V65,IF(AND($R65&lt;&gt;"",EDATE($D65,Milestones!$AA$183)&gt;=$R65),$U65,$T65)))=Milestones!$AB$183),TEXT(EDATE($D65,Milestones!$AA$183),"dd/mm/yy")&amp;" "&amp;Milestones!$AB$183&amp;" "&amp;Milestones!$AC$183&amp;";  ","")&amp;IF(AND(EDATE($D65,Milestones!$AA$184)&lt;=AsOfDate,IF($Q65=0,$W65,IF(AND($S65&lt;&gt;"",EDATE($D65,Milestones!$AA$184)&gt;=$S65),$V65,IF(AND($R65&lt;&gt;"",EDATE($D65,Milestones!$AA$184)&gt;=$R65),$U65,$T65)))=Milestones!$AB$184),TEXT(EDATE($D65,Milestones!$AA$184),"dd/mm/yy")&amp;" "&amp;Milestones!$AB$184&amp;" "&amp;Milestones!$AC$184&amp;";  ","")&amp;IF(AND(EDATE($D65,Milestones!$AA$185)&lt;=AsOfDate,IF($Q65=0,$W65,IF(AND($S65&lt;&gt;"",EDATE($D65,Milestones!$AA$185)&gt;=$S65),$V65,IF(AND($R65&lt;&gt;"",EDATE($D65,Milestones!$AA$185)&gt;=$R65),$U65,$T65)))=Milestones!$AB$185),TEXT(EDATE($D65,Milestones!$AA$185),"dd/mm/yy")&amp;" "&amp;Milestones!$AB$185&amp;" "&amp;Milestones!$AC$185&amp;";  ","")&amp;IF(AND(EDATE($D65,Milestones!$AA$186)&lt;=AsOfDate,IF($Q65=0,$W65,IF(AND($S65&lt;&gt;"",EDATE($D65,Milestones!$AA$186)&gt;=$S65),$V65,IF(AND($R65&lt;&gt;"",EDATE($D65,Milestones!$AA$186)&gt;=$R65),$U65,$T65)))=Milestones!$AB$186),TEXT(EDATE($D65,Milestones!$AA$186),"dd/mm/yy")&amp;" "&amp;Milestones!$AB$186&amp;" "&amp;Milestones!$AC$186&amp;";  ","")&amp;IF(AND(EDATE($D65,Milestones!$AA$187)&lt;=AsOfDate,IF($Q65=0,$W65,IF(AND($S65&lt;&gt;"",EDATE($D65,Milestones!$AA$187)&gt;=$S65),$V65,IF(AND($R65&lt;&gt;"",EDATE($D65,Milestones!$AA$187)&gt;=$R65),$U65,$T65)))=Milestones!$AB$187),TEXT(EDATE($D65,Milestones!$AA$187),"dd/mm/yy")&amp;" "&amp;Milestones!$AB$187&amp;" "&amp;Milestones!$AC$187&amp;";  ","")&amp;IF(AND(EDATE($D65,Milestones!$AA$188)&lt;=AsOfDate,IF($Q65=0,$W65,IF(AND($S65&lt;&gt;"",EDATE($D65,Milestones!$AA$188)&gt;=$S65),$V65,IF(AND($R65&lt;&gt;"",EDATE($D65,Milestones!$AA$188)&gt;=$R65),$U65,$T65)))=Milestones!$AB$188),TEXT(EDATE($D65,Milestones!$AA$188),"dd/mm/yy")&amp;" "&amp;Milestones!$AB$188&amp;" "&amp;Milestones!$AC$188&amp;";  ","")&amp;IF(AND(EDATE($D65,Milestones!$AA$189)&lt;=AsOfDate,IF($Q65=0,$W65,IF(AND($S65&lt;&gt;"",EDATE($D65,Milestones!$AA$189)&gt;=$S65),$V65,IF(AND($R65&lt;&gt;"",EDATE($D65,Milestones!$AA$189)&gt;=$R65),$U65,$T65)))=Milestones!$AB$189),TEXT(EDATE($D65,Milestones!$AA$189),"dd/mm/yy")&amp;" "&amp;Milestones!$AB$189&amp;" "&amp;Milestones!$AC$189&amp;";  ","")&amp;IF(AND(EDATE($D65,Milestones!$AA$190)&lt;=AsOfDate,IF($Q65=0,$W65,IF(AND($S65&lt;&gt;"",EDATE($D65,Milestones!$AA$190)&gt;=$S65),$V65,IF(AND($R65&lt;&gt;"",EDATE($D65,Milestones!$AA$190)&gt;=$R65),$U65,$T65)))=Milestones!$AB$190),TEXT(EDATE($D65,Milestones!$AA$190),"dd/mm/yy")&amp;" "&amp;Milestones!$AB$190&amp;" "&amp;Milestones!$AC$190&amp;";  ","")&amp;IF(AND(EDATE($D65,Milestones!$AA$191)&lt;=AsOfDate,IF($Q65=0,$W65,IF(AND($S65&lt;&gt;"",EDATE($D65,Milestones!$AA$191)&gt;=$S65),$V65,IF(AND($R65&lt;&gt;"",EDATE($D65,Milestones!$AA$191)&gt;=$R65),$U65,$T65)))=Milestones!$AB$191),TEXT(EDATE($D65,Milestones!$AA$191),"dd/mm/yy")&amp;" "&amp;Milestones!$AB$191&amp;" "&amp;Milestones!$AC$191&amp;";  ","")&amp;IF(AND(EDATE($D65,Milestones!$AA$192)&lt;=AsOfDate,IF($Q65=0,$W65,IF(AND($S65&lt;&gt;"",EDATE($D65,Milestones!$AA$192)&gt;=$S65),$V65,IF(AND($R65&lt;&gt;"",EDATE($D65,Milestones!$AA$192)&gt;=$R65),$U65,$T65)))=Milestones!$AB$192),TEXT(EDATE($D65,Milestones!$AA$192),"dd/mm/yy")&amp;" "&amp;Milestones!$AB$192&amp;" "&amp;Milestones!$AC$192&amp;";  ","")&amp;IF(AND(EDATE($D65,Milestones!$AA$193)&lt;=AsOfDate,IF($Q65=0,$W65,IF(AND($S65&lt;&gt;"",EDATE($D65,Milestones!$AA$193)&gt;=$S65),$V65,IF(AND($R65&lt;&gt;"",EDATE($D65,Milestones!$AA$193)&gt;=$R65),$U65,$T65)))=Milestones!$AB$193),TEXT(EDATE($D65,Milestones!$AA$193),"dd/mm/yy")&amp;" "&amp;Milestones!$AB$193&amp;" "&amp;Milestones!$AC$193&amp;";  ","")&amp;IF(AND(EDATE($D65,Milestones!$AA$194)&lt;=AsOfDate,IF($Q65=0,$W65,IF(AND($S65&lt;&gt;"",EDATE($D65,Milestones!$AA$194)&gt;=$S65),$V65,IF(AND($R65&lt;&gt;"",EDATE($D65,Milestones!$AA$194)&gt;=$R65),$U65,$T65)))=Milestones!$AB$194),TEXT(EDATE($D65,Milestones!$AA$194),"dd/mm/yy")&amp;" "&amp;Milestones!$AB$194&amp;" "&amp;Milestones!$AC$194&amp;";  ","")&amp;IF(AND(EDATE($D65,Milestones!$AA$195)&lt;=AsOfDate,IF($Q65=0,$W65,IF(AND($S65&lt;&gt;"",EDATE($D65,Milestones!$AA$195)&gt;=$S65),$V65,IF(AND($R65&lt;&gt;"",EDATE($D65,Milestones!$AA$195)&gt;=$R65),$U65,$T65)))=Milestones!$AB$195),TEXT(EDATE($D65,Milestones!$AA$195),"dd/mm/yy")&amp;" "&amp;Milestones!$AB$195&amp;" "&amp;Milestones!$AC$195&amp;";  ","")&amp;IF(AND(EDATE($D65,Milestones!$AA$196)&lt;=AsOfDate,IF($Q65=0,$W65,IF(AND($S65&lt;&gt;"",EDATE($D65,Milestones!$AA$196)&gt;=$S65),$V65,IF(AND($R65&lt;&gt;"",EDATE($D65,Milestones!$AA$196)&gt;=$R65),$U65,$T65)))=Milestones!$AB$196),TEXT(EDATE($D65,Milestones!$AA$196),"dd/mm/yy")&amp;" "&amp;Milestones!$AB$196&amp;" "&amp;Milestones!$AC$196&amp;";  ","")&amp;IF(AND(EDATE($D65,Milestones!$AA$197)&lt;=AsOfDate,IF($Q65=0,$W65,IF(AND($S65&lt;&gt;"",EDATE($D65,Milestones!$AA$197)&gt;=$S65),$V65,IF(AND($R65&lt;&gt;"",EDATE($D65,Milestones!$AA$197)&gt;=$R65),$U65,$T65)))=Milestones!$AB$197),TEXT(EDATE($D65,Milestones!$AA$197),"dd/mm/yy")&amp;" "&amp;Milestones!$AB$197&amp;" "&amp;Milestones!$AC$197&amp;";  ","")&amp;IF(AND(EDATE($D65,Milestones!$AA$198)&lt;=AsOfDate,IF($Q65=0,$W65,IF(AND($S65&lt;&gt;"",EDATE($D65,Milestones!$AA$198)&gt;=$S65),$V65,IF(AND($R65&lt;&gt;"",EDATE($D65,Milestones!$AA$198)&gt;=$R65),$U65,$T65)))=Milestones!$AB$198),TEXT(EDATE($D65,Milestones!$AA$198),"dd/mm/yy")&amp;" "&amp;Milestones!$AB$198&amp;" "&amp;Milestones!$AC$198&amp;";  ","")&amp;IF(AND(EDATE($D65,Milestones!$AA$199)&lt;=AsOfDate,IF($Q65=0,$W65,IF(AND($S65&lt;&gt;"",EDATE($D65,Milestones!$AA$199)&gt;=$S65),$V65,IF(AND($R65&lt;&gt;"",EDATE($D65,Milestones!$AA$199)&gt;=$R65),$U65,$T65)))=Milestones!$AB$199),TEXT(EDATE($D65,Milestones!$AA$199),"dd/mm/yy")&amp;" "&amp;Milestones!$AB$199&amp;" "&amp;Milestones!$AC$199&amp;";  ",""))</f>
        <v/>
      </c>
      <c r="Q65" s="0" t="str">
        <f aca="false">IF(Staff!$A65="","",Staff!$AG65)</f>
        <v/>
      </c>
      <c r="R65" s="0" t="str">
        <f aca="false">IF(Staff!$A65="","",Staff!$AI65)</f>
        <v/>
      </c>
      <c r="S65" s="0" t="str">
        <f aca="false">IF(Staff!$A65="","",Staff!$AJ65)</f>
        <v/>
      </c>
      <c r="T65" s="0" t="str">
        <f aca="false">IF(Staff!$A65="","",Staff!$AN65)</f>
        <v/>
      </c>
      <c r="U65" s="0" t="str">
        <f aca="false">IF(Staff!$A65="","",Staff!$AO65)</f>
        <v/>
      </c>
      <c r="V65" s="0" t="str">
        <f aca="false">IF(Staff!$A65="","",Staff!$AP65)</f>
        <v/>
      </c>
      <c r="W65" s="0" t="str">
        <f aca="false">IF(Staff!$A65="","",Staff!$AQ65)</f>
        <v/>
      </c>
    </row>
    <row r="66" customFormat="false" ht="15" hidden="false" customHeight="false" outlineLevel="0" collapsed="false">
      <c r="A66" s="13" t="str">
        <f aca="false">IF(Staff!$A66="","",Staff!$A66)</f>
        <v/>
      </c>
      <c r="B66" s="13" t="str">
        <f aca="false">IF(Staff!$A66="","",Staff!$B66)</f>
        <v/>
      </c>
      <c r="C66" s="13" t="str">
        <f aca="false">IF(Staff!$A66="","",Staff!$C66)</f>
        <v/>
      </c>
      <c r="D66" s="11" t="str">
        <f aca="false">IF(Staff!$A66="","",Staff!$AF66)</f>
        <v/>
      </c>
      <c r="E66" s="13" t="str">
        <f aca="false">IF(Staff!$A66="","",Staff!$O66)</f>
        <v/>
      </c>
      <c r="F66" s="13" t="str">
        <f aca="false">IF(E66="","",E66*HoursPerDay)</f>
        <v/>
      </c>
      <c r="G66" s="26" t="str">
        <f aca="false">IF($A66="","",H66&amp;I66&amp;J66&amp;K66&amp;L66&amp;M66&amp;N66&amp;O66&amp;P66)</f>
        <v/>
      </c>
      <c r="H66" s="0" t="str">
        <f aca="false">IF(OR($A66="",$D66=""),"",IF(AND(EDATE($D66,Milestones!$AA$20)&lt;=AsOfDate,IF($Q66=0,$W66,IF(AND($S66&lt;&gt;"",EDATE($D66,Milestones!$AA$20)&gt;=$S66),$V66,IF(AND($R66&lt;&gt;"",EDATE($D66,Milestones!$AA$20)&gt;=$R66),$U66,$T66)))=Milestones!$AB$20),TEXT(EDATE($D66,Milestones!$AA$20),"dd/mm/yy")&amp;" "&amp;Milestones!$AB$20&amp;" "&amp;Milestones!$AC$20&amp;";  ","")&amp;IF(AND(EDATE($D66,Milestones!$AA$21)&lt;=AsOfDate,IF($Q66=0,$W66,IF(AND($S66&lt;&gt;"",EDATE($D66,Milestones!$AA$21)&gt;=$S66),$V66,IF(AND($R66&lt;&gt;"",EDATE($D66,Milestones!$AA$21)&gt;=$R66),$U66,$T66)))=Milestones!$AB$21),TEXT(EDATE($D66,Milestones!$AA$21),"dd/mm/yy")&amp;" "&amp;Milestones!$AB$21&amp;" "&amp;Milestones!$AC$21&amp;";  ","")&amp;IF(AND(EDATE($D66,Milestones!$AA$22)&lt;=AsOfDate,IF($Q66=0,$W66,IF(AND($S66&lt;&gt;"",EDATE($D66,Milestones!$AA$22)&gt;=$S66),$V66,IF(AND($R66&lt;&gt;"",EDATE($D66,Milestones!$AA$22)&gt;=$R66),$U66,$T66)))=Milestones!$AB$22),TEXT(EDATE($D66,Milestones!$AA$22),"dd/mm/yy")&amp;" "&amp;Milestones!$AB$22&amp;" "&amp;Milestones!$AC$22&amp;";  ","")&amp;IF(AND(EDATE($D66,Milestones!$AA$23)&lt;=AsOfDate,IF($Q66=0,$W66,IF(AND($S66&lt;&gt;"",EDATE($D66,Milestones!$AA$23)&gt;=$S66),$V66,IF(AND($R66&lt;&gt;"",EDATE($D66,Milestones!$AA$23)&gt;=$R66),$U66,$T66)))=Milestones!$AB$23),TEXT(EDATE($D66,Milestones!$AA$23),"dd/mm/yy")&amp;" "&amp;Milestones!$AB$23&amp;" "&amp;Milestones!$AC$23&amp;";  ","")&amp;IF(AND(EDATE($D66,Milestones!$AA$24)&lt;=AsOfDate,IF($Q66=0,$W66,IF(AND($S66&lt;&gt;"",EDATE($D66,Milestones!$AA$24)&gt;=$S66),$V66,IF(AND($R66&lt;&gt;"",EDATE($D66,Milestones!$AA$24)&gt;=$R66),$U66,$T66)))=Milestones!$AB$24),TEXT(EDATE($D66,Milestones!$AA$24),"dd/mm/yy")&amp;" "&amp;Milestones!$AB$24&amp;" "&amp;Milestones!$AC$24&amp;";  ","")&amp;IF(AND(EDATE($D66,Milestones!$AA$25)&lt;=AsOfDate,IF($Q66=0,$W66,IF(AND($S66&lt;&gt;"",EDATE($D66,Milestones!$AA$25)&gt;=$S66),$V66,IF(AND($R66&lt;&gt;"",EDATE($D66,Milestones!$AA$25)&gt;=$R66),$U66,$T66)))=Milestones!$AB$25),TEXT(EDATE($D66,Milestones!$AA$25),"dd/mm/yy")&amp;" "&amp;Milestones!$AB$25&amp;" "&amp;Milestones!$AC$25&amp;";  ","")&amp;IF(AND(EDATE($D66,Milestones!$AA$26)&lt;=AsOfDate,IF($Q66=0,$W66,IF(AND($S66&lt;&gt;"",EDATE($D66,Milestones!$AA$26)&gt;=$S66),$V66,IF(AND($R66&lt;&gt;"",EDATE($D66,Milestones!$AA$26)&gt;=$R66),$U66,$T66)))=Milestones!$AB$26),TEXT(EDATE($D66,Milestones!$AA$26),"dd/mm/yy")&amp;" "&amp;Milestones!$AB$26&amp;" "&amp;Milestones!$AC$26&amp;";  ","")&amp;IF(AND(EDATE($D66,Milestones!$AA$27)&lt;=AsOfDate,IF($Q66=0,$W66,IF(AND($S66&lt;&gt;"",EDATE($D66,Milestones!$AA$27)&gt;=$S66),$V66,IF(AND($R66&lt;&gt;"",EDATE($D66,Milestones!$AA$27)&gt;=$R66),$U66,$T66)))=Milestones!$AB$27),TEXT(EDATE($D66,Milestones!$AA$27),"dd/mm/yy")&amp;" "&amp;Milestones!$AB$27&amp;" "&amp;Milestones!$AC$27&amp;";  ","")&amp;IF(AND(EDATE($D66,Milestones!$AA$28)&lt;=AsOfDate,IF($Q66=0,$W66,IF(AND($S66&lt;&gt;"",EDATE($D66,Milestones!$AA$28)&gt;=$S66),$V66,IF(AND($R66&lt;&gt;"",EDATE($D66,Milestones!$AA$28)&gt;=$R66),$U66,$T66)))=Milestones!$AB$28),TEXT(EDATE($D66,Milestones!$AA$28),"dd/mm/yy")&amp;" "&amp;Milestones!$AB$28&amp;" "&amp;Milestones!$AC$28&amp;";  ","")&amp;IF(AND(EDATE($D66,Milestones!$AA$29)&lt;=AsOfDate,IF($Q66=0,$W66,IF(AND($S66&lt;&gt;"",EDATE($D66,Milestones!$AA$29)&gt;=$S66),$V66,IF(AND($R66&lt;&gt;"",EDATE($D66,Milestones!$AA$29)&gt;=$R66),$U66,$T66)))=Milestones!$AB$29),TEXT(EDATE($D66,Milestones!$AA$29),"dd/mm/yy")&amp;" "&amp;Milestones!$AB$29&amp;" "&amp;Milestones!$AC$29&amp;";  ","")&amp;IF(AND(EDATE($D66,Milestones!$AA$30)&lt;=AsOfDate,IF($Q66=0,$W66,IF(AND($S66&lt;&gt;"",EDATE($D66,Milestones!$AA$30)&gt;=$S66),$V66,IF(AND($R66&lt;&gt;"",EDATE($D66,Milestones!$AA$30)&gt;=$R66),$U66,$T66)))=Milestones!$AB$30),TEXT(EDATE($D66,Milestones!$AA$30),"dd/mm/yy")&amp;" "&amp;Milestones!$AB$30&amp;" "&amp;Milestones!$AC$30&amp;";  ","")&amp;IF(AND(EDATE($D66,Milestones!$AA$31)&lt;=AsOfDate,IF($Q66=0,$W66,IF(AND($S66&lt;&gt;"",EDATE($D66,Milestones!$AA$31)&gt;=$S66),$V66,IF(AND($R66&lt;&gt;"",EDATE($D66,Milestones!$AA$31)&gt;=$R66),$U66,$T66)))=Milestones!$AB$31),TEXT(EDATE($D66,Milestones!$AA$31),"dd/mm/yy")&amp;" "&amp;Milestones!$AB$31&amp;" "&amp;Milestones!$AC$31&amp;";  ","")&amp;IF(AND(EDATE($D66,Milestones!$AA$32)&lt;=AsOfDate,IF($Q66=0,$W66,IF(AND($S66&lt;&gt;"",EDATE($D66,Milestones!$AA$32)&gt;=$S66),$V66,IF(AND($R66&lt;&gt;"",EDATE($D66,Milestones!$AA$32)&gt;=$R66),$U66,$T66)))=Milestones!$AB$32),TEXT(EDATE($D66,Milestones!$AA$32),"dd/mm/yy")&amp;" "&amp;Milestones!$AB$32&amp;" "&amp;Milestones!$AC$32&amp;";  ","")&amp;IF(AND(EDATE($D66,Milestones!$AA$33)&lt;=AsOfDate,IF($Q66=0,$W66,IF(AND($S66&lt;&gt;"",EDATE($D66,Milestones!$AA$33)&gt;=$S66),$V66,IF(AND($R66&lt;&gt;"",EDATE($D66,Milestones!$AA$33)&gt;=$R66),$U66,$T66)))=Milestones!$AB$33),TEXT(EDATE($D66,Milestones!$AA$33),"dd/mm/yy")&amp;" "&amp;Milestones!$AB$33&amp;" "&amp;Milestones!$AC$33&amp;";  ","")&amp;IF(AND(EDATE($D66,Milestones!$AA$34)&lt;=AsOfDate,IF($Q66=0,$W66,IF(AND($S66&lt;&gt;"",EDATE($D66,Milestones!$AA$34)&gt;=$S66),$V66,IF(AND($R66&lt;&gt;"",EDATE($D66,Milestones!$AA$34)&gt;=$R66),$U66,$T66)))=Milestones!$AB$34),TEXT(EDATE($D66,Milestones!$AA$34),"dd/mm/yy")&amp;" "&amp;Milestones!$AB$34&amp;" "&amp;Milestones!$AC$34&amp;";  ","")&amp;IF(AND(EDATE($D66,Milestones!$AA$35)&lt;=AsOfDate,IF($Q66=0,$W66,IF(AND($S66&lt;&gt;"",EDATE($D66,Milestones!$AA$35)&gt;=$S66),$V66,IF(AND($R66&lt;&gt;"",EDATE($D66,Milestones!$AA$35)&gt;=$R66),$U66,$T66)))=Milestones!$AB$35),TEXT(EDATE($D66,Milestones!$AA$35),"dd/mm/yy")&amp;" "&amp;Milestones!$AB$35&amp;" "&amp;Milestones!$AC$35&amp;";  ","")&amp;IF(AND(EDATE($D66,Milestones!$AA$36)&lt;=AsOfDate,IF($Q66=0,$W66,IF(AND($S66&lt;&gt;"",EDATE($D66,Milestones!$AA$36)&gt;=$S66),$V66,IF(AND($R66&lt;&gt;"",EDATE($D66,Milestones!$AA$36)&gt;=$R66),$U66,$T66)))=Milestones!$AB$36),TEXT(EDATE($D66,Milestones!$AA$36),"dd/mm/yy")&amp;" "&amp;Milestones!$AB$36&amp;" "&amp;Milestones!$AC$36&amp;";  ","")&amp;IF(AND(EDATE($D66,Milestones!$AA$37)&lt;=AsOfDate,IF($Q66=0,$W66,IF(AND($S66&lt;&gt;"",EDATE($D66,Milestones!$AA$37)&gt;=$S66),$V66,IF(AND($R66&lt;&gt;"",EDATE($D66,Milestones!$AA$37)&gt;=$R66),$U66,$T66)))=Milestones!$AB$37),TEXT(EDATE($D66,Milestones!$AA$37),"dd/mm/yy")&amp;" "&amp;Milestones!$AB$37&amp;" "&amp;Milestones!$AC$37&amp;";  ","")&amp;IF(AND(EDATE($D66,Milestones!$AA$38)&lt;=AsOfDate,IF($Q66=0,$W66,IF(AND($S66&lt;&gt;"",EDATE($D66,Milestones!$AA$38)&gt;=$S66),$V66,IF(AND($R66&lt;&gt;"",EDATE($D66,Milestones!$AA$38)&gt;=$R66),$U66,$T66)))=Milestones!$AB$38),TEXT(EDATE($D66,Milestones!$AA$38),"dd/mm/yy")&amp;" "&amp;Milestones!$AB$38&amp;" "&amp;Milestones!$AC$38&amp;";  ","")&amp;IF(AND(EDATE($D66,Milestones!$AA$39)&lt;=AsOfDate,IF($Q66=0,$W66,IF(AND($S66&lt;&gt;"",EDATE($D66,Milestones!$AA$39)&gt;=$S66),$V66,IF(AND($R66&lt;&gt;"",EDATE($D66,Milestones!$AA$39)&gt;=$R66),$U66,$T66)))=Milestones!$AB$39),TEXT(EDATE($D66,Milestones!$AA$39),"dd/mm/yy")&amp;" "&amp;Milestones!$AB$39&amp;" "&amp;Milestones!$AC$39&amp;";  ",""))</f>
        <v/>
      </c>
      <c r="I66" s="0" t="str">
        <f aca="false">IF(OR($A66="",$D66=""),"",IF(AND(EDATE($D66,Milestones!$AA$40)&lt;=AsOfDate,IF($Q66=0,$W66,IF(AND($S66&lt;&gt;"",EDATE($D66,Milestones!$AA$40)&gt;=$S66),$V66,IF(AND($R66&lt;&gt;"",EDATE($D66,Milestones!$AA$40)&gt;=$R66),$U66,$T66)))=Milestones!$AB$40),TEXT(EDATE($D66,Milestones!$AA$40),"dd/mm/yy")&amp;" "&amp;Milestones!$AB$40&amp;" "&amp;Milestones!$AC$40&amp;";  ","")&amp;IF(AND(EDATE($D66,Milestones!$AA$41)&lt;=AsOfDate,IF($Q66=0,$W66,IF(AND($S66&lt;&gt;"",EDATE($D66,Milestones!$AA$41)&gt;=$S66),$V66,IF(AND($R66&lt;&gt;"",EDATE($D66,Milestones!$AA$41)&gt;=$R66),$U66,$T66)))=Milestones!$AB$41),TEXT(EDATE($D66,Milestones!$AA$41),"dd/mm/yy")&amp;" "&amp;Milestones!$AB$41&amp;" "&amp;Milestones!$AC$41&amp;";  ","")&amp;IF(AND(EDATE($D66,Milestones!$AA$42)&lt;=AsOfDate,IF($Q66=0,$W66,IF(AND($S66&lt;&gt;"",EDATE($D66,Milestones!$AA$42)&gt;=$S66),$V66,IF(AND($R66&lt;&gt;"",EDATE($D66,Milestones!$AA$42)&gt;=$R66),$U66,$T66)))=Milestones!$AB$42),TEXT(EDATE($D66,Milestones!$AA$42),"dd/mm/yy")&amp;" "&amp;Milestones!$AB$42&amp;" "&amp;Milestones!$AC$42&amp;";  ","")&amp;IF(AND(EDATE($D66,Milestones!$AA$43)&lt;=AsOfDate,IF($Q66=0,$W66,IF(AND($S66&lt;&gt;"",EDATE($D66,Milestones!$AA$43)&gt;=$S66),$V66,IF(AND($R66&lt;&gt;"",EDATE($D66,Milestones!$AA$43)&gt;=$R66),$U66,$T66)))=Milestones!$AB$43),TEXT(EDATE($D66,Milestones!$AA$43),"dd/mm/yy")&amp;" "&amp;Milestones!$AB$43&amp;" "&amp;Milestones!$AC$43&amp;";  ","")&amp;IF(AND(EDATE($D66,Milestones!$AA$44)&lt;=AsOfDate,IF($Q66=0,$W66,IF(AND($S66&lt;&gt;"",EDATE($D66,Milestones!$AA$44)&gt;=$S66),$V66,IF(AND($R66&lt;&gt;"",EDATE($D66,Milestones!$AA$44)&gt;=$R66),$U66,$T66)))=Milestones!$AB$44),TEXT(EDATE($D66,Milestones!$AA$44),"dd/mm/yy")&amp;" "&amp;Milestones!$AB$44&amp;" "&amp;Milestones!$AC$44&amp;";  ","")&amp;IF(AND(EDATE($D66,Milestones!$AA$45)&lt;=AsOfDate,IF($Q66=0,$W66,IF(AND($S66&lt;&gt;"",EDATE($D66,Milestones!$AA$45)&gt;=$S66),$V66,IF(AND($R66&lt;&gt;"",EDATE($D66,Milestones!$AA$45)&gt;=$R66),$U66,$T66)))=Milestones!$AB$45),TEXT(EDATE($D66,Milestones!$AA$45),"dd/mm/yy")&amp;" "&amp;Milestones!$AB$45&amp;" "&amp;Milestones!$AC$45&amp;";  ","")&amp;IF(AND(EDATE($D66,Milestones!$AA$46)&lt;=AsOfDate,IF($Q66=0,$W66,IF(AND($S66&lt;&gt;"",EDATE($D66,Milestones!$AA$46)&gt;=$S66),$V66,IF(AND($R66&lt;&gt;"",EDATE($D66,Milestones!$AA$46)&gt;=$R66),$U66,$T66)))=Milestones!$AB$46),TEXT(EDATE($D66,Milestones!$AA$46),"dd/mm/yy")&amp;" "&amp;Milestones!$AB$46&amp;" "&amp;Milestones!$AC$46&amp;";  ","")&amp;IF(AND(EDATE($D66,Milestones!$AA$47)&lt;=AsOfDate,IF($Q66=0,$W66,IF(AND($S66&lt;&gt;"",EDATE($D66,Milestones!$AA$47)&gt;=$S66),$V66,IF(AND($R66&lt;&gt;"",EDATE($D66,Milestones!$AA$47)&gt;=$R66),$U66,$T66)))=Milestones!$AB$47),TEXT(EDATE($D66,Milestones!$AA$47),"dd/mm/yy")&amp;" "&amp;Milestones!$AB$47&amp;" "&amp;Milestones!$AC$47&amp;";  ","")&amp;IF(AND(EDATE($D66,Milestones!$AA$48)&lt;=AsOfDate,IF($Q66=0,$W66,IF(AND($S66&lt;&gt;"",EDATE($D66,Milestones!$AA$48)&gt;=$S66),$V66,IF(AND($R66&lt;&gt;"",EDATE($D66,Milestones!$AA$48)&gt;=$R66),$U66,$T66)))=Milestones!$AB$48),TEXT(EDATE($D66,Milestones!$AA$48),"dd/mm/yy")&amp;" "&amp;Milestones!$AB$48&amp;" "&amp;Milestones!$AC$48&amp;";  ","")&amp;IF(AND(EDATE($D66,Milestones!$AA$49)&lt;=AsOfDate,IF($Q66=0,$W66,IF(AND($S66&lt;&gt;"",EDATE($D66,Milestones!$AA$49)&gt;=$S66),$V66,IF(AND($R66&lt;&gt;"",EDATE($D66,Milestones!$AA$49)&gt;=$R66),$U66,$T66)))=Milestones!$AB$49),TEXT(EDATE($D66,Milestones!$AA$49),"dd/mm/yy")&amp;" "&amp;Milestones!$AB$49&amp;" "&amp;Milestones!$AC$49&amp;";  ","")&amp;IF(AND(EDATE($D66,Milestones!$AA$50)&lt;=AsOfDate,IF($Q66=0,$W66,IF(AND($S66&lt;&gt;"",EDATE($D66,Milestones!$AA$50)&gt;=$S66),$V66,IF(AND($R66&lt;&gt;"",EDATE($D66,Milestones!$AA$50)&gt;=$R66),$U66,$T66)))=Milestones!$AB$50),TEXT(EDATE($D66,Milestones!$AA$50),"dd/mm/yy")&amp;" "&amp;Milestones!$AB$50&amp;" "&amp;Milestones!$AC$50&amp;";  ","")&amp;IF(AND(EDATE($D66,Milestones!$AA$51)&lt;=AsOfDate,IF($Q66=0,$W66,IF(AND($S66&lt;&gt;"",EDATE($D66,Milestones!$AA$51)&gt;=$S66),$V66,IF(AND($R66&lt;&gt;"",EDATE($D66,Milestones!$AA$51)&gt;=$R66),$U66,$T66)))=Milestones!$AB$51),TEXT(EDATE($D66,Milestones!$AA$51),"dd/mm/yy")&amp;" "&amp;Milestones!$AB$51&amp;" "&amp;Milestones!$AC$51&amp;";  ","")&amp;IF(AND(EDATE($D66,Milestones!$AA$52)&lt;=AsOfDate,IF($Q66=0,$W66,IF(AND($S66&lt;&gt;"",EDATE($D66,Milestones!$AA$52)&gt;=$S66),$V66,IF(AND($R66&lt;&gt;"",EDATE($D66,Milestones!$AA$52)&gt;=$R66),$U66,$T66)))=Milestones!$AB$52),TEXT(EDATE($D66,Milestones!$AA$52),"dd/mm/yy")&amp;" "&amp;Milestones!$AB$52&amp;" "&amp;Milestones!$AC$52&amp;";  ","")&amp;IF(AND(EDATE($D66,Milestones!$AA$53)&lt;=AsOfDate,IF($Q66=0,$W66,IF(AND($S66&lt;&gt;"",EDATE($D66,Milestones!$AA$53)&gt;=$S66),$V66,IF(AND($R66&lt;&gt;"",EDATE($D66,Milestones!$AA$53)&gt;=$R66),$U66,$T66)))=Milestones!$AB$53),TEXT(EDATE($D66,Milestones!$AA$53),"dd/mm/yy")&amp;" "&amp;Milestones!$AB$53&amp;" "&amp;Milestones!$AC$53&amp;";  ","")&amp;IF(AND(EDATE($D66,Milestones!$AA$54)&lt;=AsOfDate,IF($Q66=0,$W66,IF(AND($S66&lt;&gt;"",EDATE($D66,Milestones!$AA$54)&gt;=$S66),$V66,IF(AND($R66&lt;&gt;"",EDATE($D66,Milestones!$AA$54)&gt;=$R66),$U66,$T66)))=Milestones!$AB$54),TEXT(EDATE($D66,Milestones!$AA$54),"dd/mm/yy")&amp;" "&amp;Milestones!$AB$54&amp;" "&amp;Milestones!$AC$54&amp;";  ","")&amp;IF(AND(EDATE($D66,Milestones!$AA$55)&lt;=AsOfDate,IF($Q66=0,$W66,IF(AND($S66&lt;&gt;"",EDATE($D66,Milestones!$AA$55)&gt;=$S66),$V66,IF(AND($R66&lt;&gt;"",EDATE($D66,Milestones!$AA$55)&gt;=$R66),$U66,$T66)))=Milestones!$AB$55),TEXT(EDATE($D66,Milestones!$AA$55),"dd/mm/yy")&amp;" "&amp;Milestones!$AB$55&amp;" "&amp;Milestones!$AC$55&amp;";  ","")&amp;IF(AND(EDATE($D66,Milestones!$AA$56)&lt;=AsOfDate,IF($Q66=0,$W66,IF(AND($S66&lt;&gt;"",EDATE($D66,Milestones!$AA$56)&gt;=$S66),$V66,IF(AND($R66&lt;&gt;"",EDATE($D66,Milestones!$AA$56)&gt;=$R66),$U66,$T66)))=Milestones!$AB$56),TEXT(EDATE($D66,Milestones!$AA$56),"dd/mm/yy")&amp;" "&amp;Milestones!$AB$56&amp;" "&amp;Milestones!$AC$56&amp;";  ","")&amp;IF(AND(EDATE($D66,Milestones!$AA$57)&lt;=AsOfDate,IF($Q66=0,$W66,IF(AND($S66&lt;&gt;"",EDATE($D66,Milestones!$AA$57)&gt;=$S66),$V66,IF(AND($R66&lt;&gt;"",EDATE($D66,Milestones!$AA$57)&gt;=$R66),$U66,$T66)))=Milestones!$AB$57),TEXT(EDATE($D66,Milestones!$AA$57),"dd/mm/yy")&amp;" "&amp;Milestones!$AB$57&amp;" "&amp;Milestones!$AC$57&amp;";  ","")&amp;IF(AND(EDATE($D66,Milestones!$AA$58)&lt;=AsOfDate,IF($Q66=0,$W66,IF(AND($S66&lt;&gt;"",EDATE($D66,Milestones!$AA$58)&gt;=$S66),$V66,IF(AND($R66&lt;&gt;"",EDATE($D66,Milestones!$AA$58)&gt;=$R66),$U66,$T66)))=Milestones!$AB$58),TEXT(EDATE($D66,Milestones!$AA$58),"dd/mm/yy")&amp;" "&amp;Milestones!$AB$58&amp;" "&amp;Milestones!$AC$58&amp;";  ","")&amp;IF(AND(EDATE($D66,Milestones!$AA$59)&lt;=AsOfDate,IF($Q66=0,$W66,IF(AND($S66&lt;&gt;"",EDATE($D66,Milestones!$AA$59)&gt;=$S66),$V66,IF(AND($R66&lt;&gt;"",EDATE($D66,Milestones!$AA$59)&gt;=$R66),$U66,$T66)))=Milestones!$AB$59),TEXT(EDATE($D66,Milestones!$AA$59),"dd/mm/yy")&amp;" "&amp;Milestones!$AB$59&amp;" "&amp;Milestones!$AC$59&amp;";  ",""))</f>
        <v/>
      </c>
      <c r="J66" s="0" t="str">
        <f aca="false">IF(OR($A66="",$D66=""),"",IF(AND(EDATE($D66,Milestones!$AA$60)&lt;=AsOfDate,IF($Q66=0,$W66,IF(AND($S66&lt;&gt;"",EDATE($D66,Milestones!$AA$60)&gt;=$S66),$V66,IF(AND($R66&lt;&gt;"",EDATE($D66,Milestones!$AA$60)&gt;=$R66),$U66,$T66)))=Milestones!$AB$60),TEXT(EDATE($D66,Milestones!$AA$60),"dd/mm/yy")&amp;" "&amp;Milestones!$AB$60&amp;" "&amp;Milestones!$AC$60&amp;";  ","")&amp;IF(AND(EDATE($D66,Milestones!$AA$61)&lt;=AsOfDate,IF($Q66=0,$W66,IF(AND($S66&lt;&gt;"",EDATE($D66,Milestones!$AA$61)&gt;=$S66),$V66,IF(AND($R66&lt;&gt;"",EDATE($D66,Milestones!$AA$61)&gt;=$R66),$U66,$T66)))=Milestones!$AB$61),TEXT(EDATE($D66,Milestones!$AA$61),"dd/mm/yy")&amp;" "&amp;Milestones!$AB$61&amp;" "&amp;Milestones!$AC$61&amp;";  ","")&amp;IF(AND(EDATE($D66,Milestones!$AA$62)&lt;=AsOfDate,IF($Q66=0,$W66,IF(AND($S66&lt;&gt;"",EDATE($D66,Milestones!$AA$62)&gt;=$S66),$V66,IF(AND($R66&lt;&gt;"",EDATE($D66,Milestones!$AA$62)&gt;=$R66),$U66,$T66)))=Milestones!$AB$62),TEXT(EDATE($D66,Milestones!$AA$62),"dd/mm/yy")&amp;" "&amp;Milestones!$AB$62&amp;" "&amp;Milestones!$AC$62&amp;";  ","")&amp;IF(AND(EDATE($D66,Milestones!$AA$63)&lt;=AsOfDate,IF($Q66=0,$W66,IF(AND($S66&lt;&gt;"",EDATE($D66,Milestones!$AA$63)&gt;=$S66),$V66,IF(AND($R66&lt;&gt;"",EDATE($D66,Milestones!$AA$63)&gt;=$R66),$U66,$T66)))=Milestones!$AB$63),TEXT(EDATE($D66,Milestones!$AA$63),"dd/mm/yy")&amp;" "&amp;Milestones!$AB$63&amp;" "&amp;Milestones!$AC$63&amp;";  ","")&amp;IF(AND(EDATE($D66,Milestones!$AA$64)&lt;=AsOfDate,IF($Q66=0,$W66,IF(AND($S66&lt;&gt;"",EDATE($D66,Milestones!$AA$64)&gt;=$S66),$V66,IF(AND($R66&lt;&gt;"",EDATE($D66,Milestones!$AA$64)&gt;=$R66),$U66,$T66)))=Milestones!$AB$64),TEXT(EDATE($D66,Milestones!$AA$64),"dd/mm/yy")&amp;" "&amp;Milestones!$AB$64&amp;" "&amp;Milestones!$AC$64&amp;";  ","")&amp;IF(AND(EDATE($D66,Milestones!$AA$65)&lt;=AsOfDate,IF($Q66=0,$W66,IF(AND($S66&lt;&gt;"",EDATE($D66,Milestones!$AA$65)&gt;=$S66),$V66,IF(AND($R66&lt;&gt;"",EDATE($D66,Milestones!$AA$65)&gt;=$R66),$U66,$T66)))=Milestones!$AB$65),TEXT(EDATE($D66,Milestones!$AA$65),"dd/mm/yy")&amp;" "&amp;Milestones!$AB$65&amp;" "&amp;Milestones!$AC$65&amp;";  ","")&amp;IF(AND(EDATE($D66,Milestones!$AA$66)&lt;=AsOfDate,IF($Q66=0,$W66,IF(AND($S66&lt;&gt;"",EDATE($D66,Milestones!$AA$66)&gt;=$S66),$V66,IF(AND($R66&lt;&gt;"",EDATE($D66,Milestones!$AA$66)&gt;=$R66),$U66,$T66)))=Milestones!$AB$66),TEXT(EDATE($D66,Milestones!$AA$66),"dd/mm/yy")&amp;" "&amp;Milestones!$AB$66&amp;" "&amp;Milestones!$AC$66&amp;";  ","")&amp;IF(AND(EDATE($D66,Milestones!$AA$67)&lt;=AsOfDate,IF($Q66=0,$W66,IF(AND($S66&lt;&gt;"",EDATE($D66,Milestones!$AA$67)&gt;=$S66),$V66,IF(AND($R66&lt;&gt;"",EDATE($D66,Milestones!$AA$67)&gt;=$R66),$U66,$T66)))=Milestones!$AB$67),TEXT(EDATE($D66,Milestones!$AA$67),"dd/mm/yy")&amp;" "&amp;Milestones!$AB$67&amp;" "&amp;Milestones!$AC$67&amp;";  ","")&amp;IF(AND(EDATE($D66,Milestones!$AA$68)&lt;=AsOfDate,IF($Q66=0,$W66,IF(AND($S66&lt;&gt;"",EDATE($D66,Milestones!$AA$68)&gt;=$S66),$V66,IF(AND($R66&lt;&gt;"",EDATE($D66,Milestones!$AA$68)&gt;=$R66),$U66,$T66)))=Milestones!$AB$68),TEXT(EDATE($D66,Milestones!$AA$68),"dd/mm/yy")&amp;" "&amp;Milestones!$AB$68&amp;" "&amp;Milestones!$AC$68&amp;";  ","")&amp;IF(AND(EDATE($D66,Milestones!$AA$69)&lt;=AsOfDate,IF($Q66=0,$W66,IF(AND($S66&lt;&gt;"",EDATE($D66,Milestones!$AA$69)&gt;=$S66),$V66,IF(AND($R66&lt;&gt;"",EDATE($D66,Milestones!$AA$69)&gt;=$R66),$U66,$T66)))=Milestones!$AB$69),TEXT(EDATE($D66,Milestones!$AA$69),"dd/mm/yy")&amp;" "&amp;Milestones!$AB$69&amp;" "&amp;Milestones!$AC$69&amp;";  ","")&amp;IF(AND(EDATE($D66,Milestones!$AA$70)&lt;=AsOfDate,IF($Q66=0,$W66,IF(AND($S66&lt;&gt;"",EDATE($D66,Milestones!$AA$70)&gt;=$S66),$V66,IF(AND($R66&lt;&gt;"",EDATE($D66,Milestones!$AA$70)&gt;=$R66),$U66,$T66)))=Milestones!$AB$70),TEXT(EDATE($D66,Milestones!$AA$70),"dd/mm/yy")&amp;" "&amp;Milestones!$AB$70&amp;" "&amp;Milestones!$AC$70&amp;";  ","")&amp;IF(AND(EDATE($D66,Milestones!$AA$71)&lt;=AsOfDate,IF($Q66=0,$W66,IF(AND($S66&lt;&gt;"",EDATE($D66,Milestones!$AA$71)&gt;=$S66),$V66,IF(AND($R66&lt;&gt;"",EDATE($D66,Milestones!$AA$71)&gt;=$R66),$U66,$T66)))=Milestones!$AB$71),TEXT(EDATE($D66,Milestones!$AA$71),"dd/mm/yy")&amp;" "&amp;Milestones!$AB$71&amp;" "&amp;Milestones!$AC$71&amp;";  ","")&amp;IF(AND(EDATE($D66,Milestones!$AA$72)&lt;=AsOfDate,IF($Q66=0,$W66,IF(AND($S66&lt;&gt;"",EDATE($D66,Milestones!$AA$72)&gt;=$S66),$V66,IF(AND($R66&lt;&gt;"",EDATE($D66,Milestones!$AA$72)&gt;=$R66),$U66,$T66)))=Milestones!$AB$72),TEXT(EDATE($D66,Milestones!$AA$72),"dd/mm/yy")&amp;" "&amp;Milestones!$AB$72&amp;" "&amp;Milestones!$AC$72&amp;";  ","")&amp;IF(AND(EDATE($D66,Milestones!$AA$73)&lt;=AsOfDate,IF($Q66=0,$W66,IF(AND($S66&lt;&gt;"",EDATE($D66,Milestones!$AA$73)&gt;=$S66),$V66,IF(AND($R66&lt;&gt;"",EDATE($D66,Milestones!$AA$73)&gt;=$R66),$U66,$T66)))=Milestones!$AB$73),TEXT(EDATE($D66,Milestones!$AA$73),"dd/mm/yy")&amp;" "&amp;Milestones!$AB$73&amp;" "&amp;Milestones!$AC$73&amp;";  ","")&amp;IF(AND(EDATE($D66,Milestones!$AA$74)&lt;=AsOfDate,IF($Q66=0,$W66,IF(AND($S66&lt;&gt;"",EDATE($D66,Milestones!$AA$74)&gt;=$S66),$V66,IF(AND($R66&lt;&gt;"",EDATE($D66,Milestones!$AA$74)&gt;=$R66),$U66,$T66)))=Milestones!$AB$74),TEXT(EDATE($D66,Milestones!$AA$74),"dd/mm/yy")&amp;" "&amp;Milestones!$AB$74&amp;" "&amp;Milestones!$AC$74&amp;";  ","")&amp;IF(AND(EDATE($D66,Milestones!$AA$75)&lt;=AsOfDate,IF($Q66=0,$W66,IF(AND($S66&lt;&gt;"",EDATE($D66,Milestones!$AA$75)&gt;=$S66),$V66,IF(AND($R66&lt;&gt;"",EDATE($D66,Milestones!$AA$75)&gt;=$R66),$U66,$T66)))=Milestones!$AB$75),TEXT(EDATE($D66,Milestones!$AA$75),"dd/mm/yy")&amp;" "&amp;Milestones!$AB$75&amp;" "&amp;Milestones!$AC$75&amp;";  ","")&amp;IF(AND(EDATE($D66,Milestones!$AA$76)&lt;=AsOfDate,IF($Q66=0,$W66,IF(AND($S66&lt;&gt;"",EDATE($D66,Milestones!$AA$76)&gt;=$S66),$V66,IF(AND($R66&lt;&gt;"",EDATE($D66,Milestones!$AA$76)&gt;=$R66),$U66,$T66)))=Milestones!$AB$76),TEXT(EDATE($D66,Milestones!$AA$76),"dd/mm/yy")&amp;" "&amp;Milestones!$AB$76&amp;" "&amp;Milestones!$AC$76&amp;";  ","")&amp;IF(AND(EDATE($D66,Milestones!$AA$77)&lt;=AsOfDate,IF($Q66=0,$W66,IF(AND($S66&lt;&gt;"",EDATE($D66,Milestones!$AA$77)&gt;=$S66),$V66,IF(AND($R66&lt;&gt;"",EDATE($D66,Milestones!$AA$77)&gt;=$R66),$U66,$T66)))=Milestones!$AB$77),TEXT(EDATE($D66,Milestones!$AA$77),"dd/mm/yy")&amp;" "&amp;Milestones!$AB$77&amp;" "&amp;Milestones!$AC$77&amp;";  ","")&amp;IF(AND(EDATE($D66,Milestones!$AA$78)&lt;=AsOfDate,IF($Q66=0,$W66,IF(AND($S66&lt;&gt;"",EDATE($D66,Milestones!$AA$78)&gt;=$S66),$V66,IF(AND($R66&lt;&gt;"",EDATE($D66,Milestones!$AA$78)&gt;=$R66),$U66,$T66)))=Milestones!$AB$78),TEXT(EDATE($D66,Milestones!$AA$78),"dd/mm/yy")&amp;" "&amp;Milestones!$AB$78&amp;" "&amp;Milestones!$AC$78&amp;";  ","")&amp;IF(AND(EDATE($D66,Milestones!$AA$79)&lt;=AsOfDate,IF($Q66=0,$W66,IF(AND($S66&lt;&gt;"",EDATE($D66,Milestones!$AA$79)&gt;=$S66),$V66,IF(AND($R66&lt;&gt;"",EDATE($D66,Milestones!$AA$79)&gt;=$R66),$U66,$T66)))=Milestones!$AB$79),TEXT(EDATE($D66,Milestones!$AA$79),"dd/mm/yy")&amp;" "&amp;Milestones!$AB$79&amp;" "&amp;Milestones!$AC$79&amp;";  ",""))</f>
        <v/>
      </c>
      <c r="K66" s="0" t="str">
        <f aca="false">IF(OR($A66="",$D66=""),"",IF(AND(EDATE($D66,Milestones!$AA$80)&lt;=AsOfDate,IF($Q66=0,$W66,IF(AND($S66&lt;&gt;"",EDATE($D66,Milestones!$AA$80)&gt;=$S66),$V66,IF(AND($R66&lt;&gt;"",EDATE($D66,Milestones!$AA$80)&gt;=$R66),$U66,$T66)))=Milestones!$AB$80),TEXT(EDATE($D66,Milestones!$AA$80),"dd/mm/yy")&amp;" "&amp;Milestones!$AB$80&amp;" "&amp;Milestones!$AC$80&amp;";  ","")&amp;IF(AND(EDATE($D66,Milestones!$AA$81)&lt;=AsOfDate,IF($Q66=0,$W66,IF(AND($S66&lt;&gt;"",EDATE($D66,Milestones!$AA$81)&gt;=$S66),$V66,IF(AND($R66&lt;&gt;"",EDATE($D66,Milestones!$AA$81)&gt;=$R66),$U66,$T66)))=Milestones!$AB$81),TEXT(EDATE($D66,Milestones!$AA$81),"dd/mm/yy")&amp;" "&amp;Milestones!$AB$81&amp;" "&amp;Milestones!$AC$81&amp;";  ","")&amp;IF(AND(EDATE($D66,Milestones!$AA$82)&lt;=AsOfDate,IF($Q66=0,$W66,IF(AND($S66&lt;&gt;"",EDATE($D66,Milestones!$AA$82)&gt;=$S66),$V66,IF(AND($R66&lt;&gt;"",EDATE($D66,Milestones!$AA$82)&gt;=$R66),$U66,$T66)))=Milestones!$AB$82),TEXT(EDATE($D66,Milestones!$AA$82),"dd/mm/yy")&amp;" "&amp;Milestones!$AB$82&amp;" "&amp;Milestones!$AC$82&amp;";  ","")&amp;IF(AND(EDATE($D66,Milestones!$AA$83)&lt;=AsOfDate,IF($Q66=0,$W66,IF(AND($S66&lt;&gt;"",EDATE($D66,Milestones!$AA$83)&gt;=$S66),$V66,IF(AND($R66&lt;&gt;"",EDATE($D66,Milestones!$AA$83)&gt;=$R66),$U66,$T66)))=Milestones!$AB$83),TEXT(EDATE($D66,Milestones!$AA$83),"dd/mm/yy")&amp;" "&amp;Milestones!$AB$83&amp;" "&amp;Milestones!$AC$83&amp;";  ","")&amp;IF(AND(EDATE($D66,Milestones!$AA$84)&lt;=AsOfDate,IF($Q66=0,$W66,IF(AND($S66&lt;&gt;"",EDATE($D66,Milestones!$AA$84)&gt;=$S66),$V66,IF(AND($R66&lt;&gt;"",EDATE($D66,Milestones!$AA$84)&gt;=$R66),$U66,$T66)))=Milestones!$AB$84),TEXT(EDATE($D66,Milestones!$AA$84),"dd/mm/yy")&amp;" "&amp;Milestones!$AB$84&amp;" "&amp;Milestones!$AC$84&amp;";  ","")&amp;IF(AND(EDATE($D66,Milestones!$AA$85)&lt;=AsOfDate,IF($Q66=0,$W66,IF(AND($S66&lt;&gt;"",EDATE($D66,Milestones!$AA$85)&gt;=$S66),$V66,IF(AND($R66&lt;&gt;"",EDATE($D66,Milestones!$AA$85)&gt;=$R66),$U66,$T66)))=Milestones!$AB$85),TEXT(EDATE($D66,Milestones!$AA$85),"dd/mm/yy")&amp;" "&amp;Milestones!$AB$85&amp;" "&amp;Milestones!$AC$85&amp;";  ","")&amp;IF(AND(EDATE($D66,Milestones!$AA$86)&lt;=AsOfDate,IF($Q66=0,$W66,IF(AND($S66&lt;&gt;"",EDATE($D66,Milestones!$AA$86)&gt;=$S66),$V66,IF(AND($R66&lt;&gt;"",EDATE($D66,Milestones!$AA$86)&gt;=$R66),$U66,$T66)))=Milestones!$AB$86),TEXT(EDATE($D66,Milestones!$AA$86),"dd/mm/yy")&amp;" "&amp;Milestones!$AB$86&amp;" "&amp;Milestones!$AC$86&amp;";  ","")&amp;IF(AND(EDATE($D66,Milestones!$AA$87)&lt;=AsOfDate,IF($Q66=0,$W66,IF(AND($S66&lt;&gt;"",EDATE($D66,Milestones!$AA$87)&gt;=$S66),$V66,IF(AND($R66&lt;&gt;"",EDATE($D66,Milestones!$AA$87)&gt;=$R66),$U66,$T66)))=Milestones!$AB$87),TEXT(EDATE($D66,Milestones!$AA$87),"dd/mm/yy")&amp;" "&amp;Milestones!$AB$87&amp;" "&amp;Milestones!$AC$87&amp;";  ","")&amp;IF(AND(EDATE($D66,Milestones!$AA$88)&lt;=AsOfDate,IF($Q66=0,$W66,IF(AND($S66&lt;&gt;"",EDATE($D66,Milestones!$AA$88)&gt;=$S66),$V66,IF(AND($R66&lt;&gt;"",EDATE($D66,Milestones!$AA$88)&gt;=$R66),$U66,$T66)))=Milestones!$AB$88),TEXT(EDATE($D66,Milestones!$AA$88),"dd/mm/yy")&amp;" "&amp;Milestones!$AB$88&amp;" "&amp;Milestones!$AC$88&amp;";  ","")&amp;IF(AND(EDATE($D66,Milestones!$AA$89)&lt;=AsOfDate,IF($Q66=0,$W66,IF(AND($S66&lt;&gt;"",EDATE($D66,Milestones!$AA$89)&gt;=$S66),$V66,IF(AND($R66&lt;&gt;"",EDATE($D66,Milestones!$AA$89)&gt;=$R66),$U66,$T66)))=Milestones!$AB$89),TEXT(EDATE($D66,Milestones!$AA$89),"dd/mm/yy")&amp;" "&amp;Milestones!$AB$89&amp;" "&amp;Milestones!$AC$89&amp;";  ","")&amp;IF(AND(EDATE($D66,Milestones!$AA$90)&lt;=AsOfDate,IF($Q66=0,$W66,IF(AND($S66&lt;&gt;"",EDATE($D66,Milestones!$AA$90)&gt;=$S66),$V66,IF(AND($R66&lt;&gt;"",EDATE($D66,Milestones!$AA$90)&gt;=$R66),$U66,$T66)))=Milestones!$AB$90),TEXT(EDATE($D66,Milestones!$AA$90),"dd/mm/yy")&amp;" "&amp;Milestones!$AB$90&amp;" "&amp;Milestones!$AC$90&amp;";  ","")&amp;IF(AND(EDATE($D66,Milestones!$AA$91)&lt;=AsOfDate,IF($Q66=0,$W66,IF(AND($S66&lt;&gt;"",EDATE($D66,Milestones!$AA$91)&gt;=$S66),$V66,IF(AND($R66&lt;&gt;"",EDATE($D66,Milestones!$AA$91)&gt;=$R66),$U66,$T66)))=Milestones!$AB$91),TEXT(EDATE($D66,Milestones!$AA$91),"dd/mm/yy")&amp;" "&amp;Milestones!$AB$91&amp;" "&amp;Milestones!$AC$91&amp;";  ","")&amp;IF(AND(EDATE($D66,Milestones!$AA$92)&lt;=AsOfDate,IF($Q66=0,$W66,IF(AND($S66&lt;&gt;"",EDATE($D66,Milestones!$AA$92)&gt;=$S66),$V66,IF(AND($R66&lt;&gt;"",EDATE($D66,Milestones!$AA$92)&gt;=$R66),$U66,$T66)))=Milestones!$AB$92),TEXT(EDATE($D66,Milestones!$AA$92),"dd/mm/yy")&amp;" "&amp;Milestones!$AB$92&amp;" "&amp;Milestones!$AC$92&amp;";  ","")&amp;IF(AND(EDATE($D66,Milestones!$AA$93)&lt;=AsOfDate,IF($Q66=0,$W66,IF(AND($S66&lt;&gt;"",EDATE($D66,Milestones!$AA$93)&gt;=$S66),$V66,IF(AND($R66&lt;&gt;"",EDATE($D66,Milestones!$AA$93)&gt;=$R66),$U66,$T66)))=Milestones!$AB$93),TEXT(EDATE($D66,Milestones!$AA$93),"dd/mm/yy")&amp;" "&amp;Milestones!$AB$93&amp;" "&amp;Milestones!$AC$93&amp;";  ","")&amp;IF(AND(EDATE($D66,Milestones!$AA$94)&lt;=AsOfDate,IF($Q66=0,$W66,IF(AND($S66&lt;&gt;"",EDATE($D66,Milestones!$AA$94)&gt;=$S66),$V66,IF(AND($R66&lt;&gt;"",EDATE($D66,Milestones!$AA$94)&gt;=$R66),$U66,$T66)))=Milestones!$AB$94),TEXT(EDATE($D66,Milestones!$AA$94),"dd/mm/yy")&amp;" "&amp;Milestones!$AB$94&amp;" "&amp;Milestones!$AC$94&amp;";  ","")&amp;IF(AND(EDATE($D66,Milestones!$AA$95)&lt;=AsOfDate,IF($Q66=0,$W66,IF(AND($S66&lt;&gt;"",EDATE($D66,Milestones!$AA$95)&gt;=$S66),$V66,IF(AND($R66&lt;&gt;"",EDATE($D66,Milestones!$AA$95)&gt;=$R66),$U66,$T66)))=Milestones!$AB$95),TEXT(EDATE($D66,Milestones!$AA$95),"dd/mm/yy")&amp;" "&amp;Milestones!$AB$95&amp;" "&amp;Milestones!$AC$95&amp;";  ","")&amp;IF(AND(EDATE($D66,Milestones!$AA$96)&lt;=AsOfDate,IF($Q66=0,$W66,IF(AND($S66&lt;&gt;"",EDATE($D66,Milestones!$AA$96)&gt;=$S66),$V66,IF(AND($R66&lt;&gt;"",EDATE($D66,Milestones!$AA$96)&gt;=$R66),$U66,$T66)))=Milestones!$AB$96),TEXT(EDATE($D66,Milestones!$AA$96),"dd/mm/yy")&amp;" "&amp;Milestones!$AB$96&amp;" "&amp;Milestones!$AC$96&amp;";  ","")&amp;IF(AND(EDATE($D66,Milestones!$AA$97)&lt;=AsOfDate,IF($Q66=0,$W66,IF(AND($S66&lt;&gt;"",EDATE($D66,Milestones!$AA$97)&gt;=$S66),$V66,IF(AND($R66&lt;&gt;"",EDATE($D66,Milestones!$AA$97)&gt;=$R66),$U66,$T66)))=Milestones!$AB$97),TEXT(EDATE($D66,Milestones!$AA$97),"dd/mm/yy")&amp;" "&amp;Milestones!$AB$97&amp;" "&amp;Milestones!$AC$97&amp;";  ","")&amp;IF(AND(EDATE($D66,Milestones!$AA$98)&lt;=AsOfDate,IF($Q66=0,$W66,IF(AND($S66&lt;&gt;"",EDATE($D66,Milestones!$AA$98)&gt;=$S66),$V66,IF(AND($R66&lt;&gt;"",EDATE($D66,Milestones!$AA$98)&gt;=$R66),$U66,$T66)))=Milestones!$AB$98),TEXT(EDATE($D66,Milestones!$AA$98),"dd/mm/yy")&amp;" "&amp;Milestones!$AB$98&amp;" "&amp;Milestones!$AC$98&amp;";  ","")&amp;IF(AND(EDATE($D66,Milestones!$AA$99)&lt;=AsOfDate,IF($Q66=0,$W66,IF(AND($S66&lt;&gt;"",EDATE($D66,Milestones!$AA$99)&gt;=$S66),$V66,IF(AND($R66&lt;&gt;"",EDATE($D66,Milestones!$AA$99)&gt;=$R66),$U66,$T66)))=Milestones!$AB$99),TEXT(EDATE($D66,Milestones!$AA$99),"dd/mm/yy")&amp;" "&amp;Milestones!$AB$99&amp;" "&amp;Milestones!$AC$99&amp;";  ",""))</f>
        <v/>
      </c>
      <c r="L66" s="0" t="str">
        <f aca="false">IF(OR($A66="",$D66=""),"",IF(AND(EDATE($D66,Milestones!$AA$100)&lt;=AsOfDate,IF($Q66=0,$W66,IF(AND($S66&lt;&gt;"",EDATE($D66,Milestones!$AA$100)&gt;=$S66),$V66,IF(AND($R66&lt;&gt;"",EDATE($D66,Milestones!$AA$100)&gt;=$R66),$U66,$T66)))=Milestones!$AB$100),TEXT(EDATE($D66,Milestones!$AA$100),"dd/mm/yy")&amp;" "&amp;Milestones!$AB$100&amp;" "&amp;Milestones!$AC$100&amp;";  ","")&amp;IF(AND(EDATE($D66,Milestones!$AA$101)&lt;=AsOfDate,IF($Q66=0,$W66,IF(AND($S66&lt;&gt;"",EDATE($D66,Milestones!$AA$101)&gt;=$S66),$V66,IF(AND($R66&lt;&gt;"",EDATE($D66,Milestones!$AA$101)&gt;=$R66),$U66,$T66)))=Milestones!$AB$101),TEXT(EDATE($D66,Milestones!$AA$101),"dd/mm/yy")&amp;" "&amp;Milestones!$AB$101&amp;" "&amp;Milestones!$AC$101&amp;";  ","")&amp;IF(AND(EDATE($D66,Milestones!$AA$102)&lt;=AsOfDate,IF($Q66=0,$W66,IF(AND($S66&lt;&gt;"",EDATE($D66,Milestones!$AA$102)&gt;=$S66),$V66,IF(AND($R66&lt;&gt;"",EDATE($D66,Milestones!$AA$102)&gt;=$R66),$U66,$T66)))=Milestones!$AB$102),TEXT(EDATE($D66,Milestones!$AA$102),"dd/mm/yy")&amp;" "&amp;Milestones!$AB$102&amp;" "&amp;Milestones!$AC$102&amp;";  ","")&amp;IF(AND(EDATE($D66,Milestones!$AA$103)&lt;=AsOfDate,IF($Q66=0,$W66,IF(AND($S66&lt;&gt;"",EDATE($D66,Milestones!$AA$103)&gt;=$S66),$V66,IF(AND($R66&lt;&gt;"",EDATE($D66,Milestones!$AA$103)&gt;=$R66),$U66,$T66)))=Milestones!$AB$103),TEXT(EDATE($D66,Milestones!$AA$103),"dd/mm/yy")&amp;" "&amp;Milestones!$AB$103&amp;" "&amp;Milestones!$AC$103&amp;";  ","")&amp;IF(AND(EDATE($D66,Milestones!$AA$104)&lt;=AsOfDate,IF($Q66=0,$W66,IF(AND($S66&lt;&gt;"",EDATE($D66,Milestones!$AA$104)&gt;=$S66),$V66,IF(AND($R66&lt;&gt;"",EDATE($D66,Milestones!$AA$104)&gt;=$R66),$U66,$T66)))=Milestones!$AB$104),TEXT(EDATE($D66,Milestones!$AA$104),"dd/mm/yy")&amp;" "&amp;Milestones!$AB$104&amp;" "&amp;Milestones!$AC$104&amp;";  ","")&amp;IF(AND(EDATE($D66,Milestones!$AA$105)&lt;=AsOfDate,IF($Q66=0,$W66,IF(AND($S66&lt;&gt;"",EDATE($D66,Milestones!$AA$105)&gt;=$S66),$V66,IF(AND($R66&lt;&gt;"",EDATE($D66,Milestones!$AA$105)&gt;=$R66),$U66,$T66)))=Milestones!$AB$105),TEXT(EDATE($D66,Milestones!$AA$105),"dd/mm/yy")&amp;" "&amp;Milestones!$AB$105&amp;" "&amp;Milestones!$AC$105&amp;";  ","")&amp;IF(AND(EDATE($D66,Milestones!$AA$106)&lt;=AsOfDate,IF($Q66=0,$W66,IF(AND($S66&lt;&gt;"",EDATE($D66,Milestones!$AA$106)&gt;=$S66),$V66,IF(AND($R66&lt;&gt;"",EDATE($D66,Milestones!$AA$106)&gt;=$R66),$U66,$T66)))=Milestones!$AB$106),TEXT(EDATE($D66,Milestones!$AA$106),"dd/mm/yy")&amp;" "&amp;Milestones!$AB$106&amp;" "&amp;Milestones!$AC$106&amp;";  ","")&amp;IF(AND(EDATE($D66,Milestones!$AA$107)&lt;=AsOfDate,IF($Q66=0,$W66,IF(AND($S66&lt;&gt;"",EDATE($D66,Milestones!$AA$107)&gt;=$S66),$V66,IF(AND($R66&lt;&gt;"",EDATE($D66,Milestones!$AA$107)&gt;=$R66),$U66,$T66)))=Milestones!$AB$107),TEXT(EDATE($D66,Milestones!$AA$107),"dd/mm/yy")&amp;" "&amp;Milestones!$AB$107&amp;" "&amp;Milestones!$AC$107&amp;";  ","")&amp;IF(AND(EDATE($D66,Milestones!$AA$108)&lt;=AsOfDate,IF($Q66=0,$W66,IF(AND($S66&lt;&gt;"",EDATE($D66,Milestones!$AA$108)&gt;=$S66),$V66,IF(AND($R66&lt;&gt;"",EDATE($D66,Milestones!$AA$108)&gt;=$R66),$U66,$T66)))=Milestones!$AB$108),TEXT(EDATE($D66,Milestones!$AA$108),"dd/mm/yy")&amp;" "&amp;Milestones!$AB$108&amp;" "&amp;Milestones!$AC$108&amp;";  ","")&amp;IF(AND(EDATE($D66,Milestones!$AA$109)&lt;=AsOfDate,IF($Q66=0,$W66,IF(AND($S66&lt;&gt;"",EDATE($D66,Milestones!$AA$109)&gt;=$S66),$V66,IF(AND($R66&lt;&gt;"",EDATE($D66,Milestones!$AA$109)&gt;=$R66),$U66,$T66)))=Milestones!$AB$109),TEXT(EDATE($D66,Milestones!$AA$109),"dd/mm/yy")&amp;" "&amp;Milestones!$AB$109&amp;" "&amp;Milestones!$AC$109&amp;";  ","")&amp;IF(AND(EDATE($D66,Milestones!$AA$110)&lt;=AsOfDate,IF($Q66=0,$W66,IF(AND($S66&lt;&gt;"",EDATE($D66,Milestones!$AA$110)&gt;=$S66),$V66,IF(AND($R66&lt;&gt;"",EDATE($D66,Milestones!$AA$110)&gt;=$R66),$U66,$T66)))=Milestones!$AB$110),TEXT(EDATE($D66,Milestones!$AA$110),"dd/mm/yy")&amp;" "&amp;Milestones!$AB$110&amp;" "&amp;Milestones!$AC$110&amp;";  ","")&amp;IF(AND(EDATE($D66,Milestones!$AA$111)&lt;=AsOfDate,IF($Q66=0,$W66,IF(AND($S66&lt;&gt;"",EDATE($D66,Milestones!$AA$111)&gt;=$S66),$V66,IF(AND($R66&lt;&gt;"",EDATE($D66,Milestones!$AA$111)&gt;=$R66),$U66,$T66)))=Milestones!$AB$111),TEXT(EDATE($D66,Milestones!$AA$111),"dd/mm/yy")&amp;" "&amp;Milestones!$AB$111&amp;" "&amp;Milestones!$AC$111&amp;";  ","")&amp;IF(AND(EDATE($D66,Milestones!$AA$112)&lt;=AsOfDate,IF($Q66=0,$W66,IF(AND($S66&lt;&gt;"",EDATE($D66,Milestones!$AA$112)&gt;=$S66),$V66,IF(AND($R66&lt;&gt;"",EDATE($D66,Milestones!$AA$112)&gt;=$R66),$U66,$T66)))=Milestones!$AB$112),TEXT(EDATE($D66,Milestones!$AA$112),"dd/mm/yy")&amp;" "&amp;Milestones!$AB$112&amp;" "&amp;Milestones!$AC$112&amp;";  ","")&amp;IF(AND(EDATE($D66,Milestones!$AA$113)&lt;=AsOfDate,IF($Q66=0,$W66,IF(AND($S66&lt;&gt;"",EDATE($D66,Milestones!$AA$113)&gt;=$S66),$V66,IF(AND($R66&lt;&gt;"",EDATE($D66,Milestones!$AA$113)&gt;=$R66),$U66,$T66)))=Milestones!$AB$113),TEXT(EDATE($D66,Milestones!$AA$113),"dd/mm/yy")&amp;" "&amp;Milestones!$AB$113&amp;" "&amp;Milestones!$AC$113&amp;";  ","")&amp;IF(AND(EDATE($D66,Milestones!$AA$114)&lt;=AsOfDate,IF($Q66=0,$W66,IF(AND($S66&lt;&gt;"",EDATE($D66,Milestones!$AA$114)&gt;=$S66),$V66,IF(AND($R66&lt;&gt;"",EDATE($D66,Milestones!$AA$114)&gt;=$R66),$U66,$T66)))=Milestones!$AB$114),TEXT(EDATE($D66,Milestones!$AA$114),"dd/mm/yy")&amp;" "&amp;Milestones!$AB$114&amp;" "&amp;Milestones!$AC$114&amp;";  ","")&amp;IF(AND(EDATE($D66,Milestones!$AA$115)&lt;=AsOfDate,IF($Q66=0,$W66,IF(AND($S66&lt;&gt;"",EDATE($D66,Milestones!$AA$115)&gt;=$S66),$V66,IF(AND($R66&lt;&gt;"",EDATE($D66,Milestones!$AA$115)&gt;=$R66),$U66,$T66)))=Milestones!$AB$115),TEXT(EDATE($D66,Milestones!$AA$115),"dd/mm/yy")&amp;" "&amp;Milestones!$AB$115&amp;" "&amp;Milestones!$AC$115&amp;";  ","")&amp;IF(AND(EDATE($D66,Milestones!$AA$116)&lt;=AsOfDate,IF($Q66=0,$W66,IF(AND($S66&lt;&gt;"",EDATE($D66,Milestones!$AA$116)&gt;=$S66),$V66,IF(AND($R66&lt;&gt;"",EDATE($D66,Milestones!$AA$116)&gt;=$R66),$U66,$T66)))=Milestones!$AB$116),TEXT(EDATE($D66,Milestones!$AA$116),"dd/mm/yy")&amp;" "&amp;Milestones!$AB$116&amp;" "&amp;Milestones!$AC$116&amp;";  ","")&amp;IF(AND(EDATE($D66,Milestones!$AA$117)&lt;=AsOfDate,IF($Q66=0,$W66,IF(AND($S66&lt;&gt;"",EDATE($D66,Milestones!$AA$117)&gt;=$S66),$V66,IF(AND($R66&lt;&gt;"",EDATE($D66,Milestones!$AA$117)&gt;=$R66),$U66,$T66)))=Milestones!$AB$117),TEXT(EDATE($D66,Milestones!$AA$117),"dd/mm/yy")&amp;" "&amp;Milestones!$AB$117&amp;" "&amp;Milestones!$AC$117&amp;";  ","")&amp;IF(AND(EDATE($D66,Milestones!$AA$118)&lt;=AsOfDate,IF($Q66=0,$W66,IF(AND($S66&lt;&gt;"",EDATE($D66,Milestones!$AA$118)&gt;=$S66),$V66,IF(AND($R66&lt;&gt;"",EDATE($D66,Milestones!$AA$118)&gt;=$R66),$U66,$T66)))=Milestones!$AB$118),TEXT(EDATE($D66,Milestones!$AA$118),"dd/mm/yy")&amp;" "&amp;Milestones!$AB$118&amp;" "&amp;Milestones!$AC$118&amp;";  ","")&amp;IF(AND(EDATE($D66,Milestones!$AA$119)&lt;=AsOfDate,IF($Q66=0,$W66,IF(AND($S66&lt;&gt;"",EDATE($D66,Milestones!$AA$119)&gt;=$S66),$V66,IF(AND($R66&lt;&gt;"",EDATE($D66,Milestones!$AA$119)&gt;=$R66),$U66,$T66)))=Milestones!$AB$119),TEXT(EDATE($D66,Milestones!$AA$119),"dd/mm/yy")&amp;" "&amp;Milestones!$AB$119&amp;" "&amp;Milestones!$AC$119&amp;";  ",""))</f>
        <v/>
      </c>
      <c r="M66" s="0" t="str">
        <f aca="false">IF(OR($A66="",$D66=""),"",IF(AND(EDATE($D66,Milestones!$AA$120)&lt;=AsOfDate,IF($Q66=0,$W66,IF(AND($S66&lt;&gt;"",EDATE($D66,Milestones!$AA$120)&gt;=$S66),$V66,IF(AND($R66&lt;&gt;"",EDATE($D66,Milestones!$AA$120)&gt;=$R66),$U66,$T66)))=Milestones!$AB$120),TEXT(EDATE($D66,Milestones!$AA$120),"dd/mm/yy")&amp;" "&amp;Milestones!$AB$120&amp;" "&amp;Milestones!$AC$120&amp;";  ","")&amp;IF(AND(EDATE($D66,Milestones!$AA$121)&lt;=AsOfDate,IF($Q66=0,$W66,IF(AND($S66&lt;&gt;"",EDATE($D66,Milestones!$AA$121)&gt;=$S66),$V66,IF(AND($R66&lt;&gt;"",EDATE($D66,Milestones!$AA$121)&gt;=$R66),$U66,$T66)))=Milestones!$AB$121),TEXT(EDATE($D66,Milestones!$AA$121),"dd/mm/yy")&amp;" "&amp;Milestones!$AB$121&amp;" "&amp;Milestones!$AC$121&amp;";  ","")&amp;IF(AND(EDATE($D66,Milestones!$AA$122)&lt;=AsOfDate,IF($Q66=0,$W66,IF(AND($S66&lt;&gt;"",EDATE($D66,Milestones!$AA$122)&gt;=$S66),$V66,IF(AND($R66&lt;&gt;"",EDATE($D66,Milestones!$AA$122)&gt;=$R66),$U66,$T66)))=Milestones!$AB$122),TEXT(EDATE($D66,Milestones!$AA$122),"dd/mm/yy")&amp;" "&amp;Milestones!$AB$122&amp;" "&amp;Milestones!$AC$122&amp;";  ","")&amp;IF(AND(EDATE($D66,Milestones!$AA$123)&lt;=AsOfDate,IF($Q66=0,$W66,IF(AND($S66&lt;&gt;"",EDATE($D66,Milestones!$AA$123)&gt;=$S66),$V66,IF(AND($R66&lt;&gt;"",EDATE($D66,Milestones!$AA$123)&gt;=$R66),$U66,$T66)))=Milestones!$AB$123),TEXT(EDATE($D66,Milestones!$AA$123),"dd/mm/yy")&amp;" "&amp;Milestones!$AB$123&amp;" "&amp;Milestones!$AC$123&amp;";  ","")&amp;IF(AND(EDATE($D66,Milestones!$AA$124)&lt;=AsOfDate,IF($Q66=0,$W66,IF(AND($S66&lt;&gt;"",EDATE($D66,Milestones!$AA$124)&gt;=$S66),$V66,IF(AND($R66&lt;&gt;"",EDATE($D66,Milestones!$AA$124)&gt;=$R66),$U66,$T66)))=Milestones!$AB$124),TEXT(EDATE($D66,Milestones!$AA$124),"dd/mm/yy")&amp;" "&amp;Milestones!$AB$124&amp;" "&amp;Milestones!$AC$124&amp;";  ","")&amp;IF(AND(EDATE($D66,Milestones!$AA$125)&lt;=AsOfDate,IF($Q66=0,$W66,IF(AND($S66&lt;&gt;"",EDATE($D66,Milestones!$AA$125)&gt;=$S66),$V66,IF(AND($R66&lt;&gt;"",EDATE($D66,Milestones!$AA$125)&gt;=$R66),$U66,$T66)))=Milestones!$AB$125),TEXT(EDATE($D66,Milestones!$AA$125),"dd/mm/yy")&amp;" "&amp;Milestones!$AB$125&amp;" "&amp;Milestones!$AC$125&amp;";  ","")&amp;IF(AND(EDATE($D66,Milestones!$AA$126)&lt;=AsOfDate,IF($Q66=0,$W66,IF(AND($S66&lt;&gt;"",EDATE($D66,Milestones!$AA$126)&gt;=$S66),$V66,IF(AND($R66&lt;&gt;"",EDATE($D66,Milestones!$AA$126)&gt;=$R66),$U66,$T66)))=Milestones!$AB$126),TEXT(EDATE($D66,Milestones!$AA$126),"dd/mm/yy")&amp;" "&amp;Milestones!$AB$126&amp;" "&amp;Milestones!$AC$126&amp;";  ","")&amp;IF(AND(EDATE($D66,Milestones!$AA$127)&lt;=AsOfDate,IF($Q66=0,$W66,IF(AND($S66&lt;&gt;"",EDATE($D66,Milestones!$AA$127)&gt;=$S66),$V66,IF(AND($R66&lt;&gt;"",EDATE($D66,Milestones!$AA$127)&gt;=$R66),$U66,$T66)))=Milestones!$AB$127),TEXT(EDATE($D66,Milestones!$AA$127),"dd/mm/yy")&amp;" "&amp;Milestones!$AB$127&amp;" "&amp;Milestones!$AC$127&amp;";  ","")&amp;IF(AND(EDATE($D66,Milestones!$AA$128)&lt;=AsOfDate,IF($Q66=0,$W66,IF(AND($S66&lt;&gt;"",EDATE($D66,Milestones!$AA$128)&gt;=$S66),$V66,IF(AND($R66&lt;&gt;"",EDATE($D66,Milestones!$AA$128)&gt;=$R66),$U66,$T66)))=Milestones!$AB$128),TEXT(EDATE($D66,Milestones!$AA$128),"dd/mm/yy")&amp;" "&amp;Milestones!$AB$128&amp;" "&amp;Milestones!$AC$128&amp;";  ","")&amp;IF(AND(EDATE($D66,Milestones!$AA$129)&lt;=AsOfDate,IF($Q66=0,$W66,IF(AND($S66&lt;&gt;"",EDATE($D66,Milestones!$AA$129)&gt;=$S66),$V66,IF(AND($R66&lt;&gt;"",EDATE($D66,Milestones!$AA$129)&gt;=$R66),$U66,$T66)))=Milestones!$AB$129),TEXT(EDATE($D66,Milestones!$AA$129),"dd/mm/yy")&amp;" "&amp;Milestones!$AB$129&amp;" "&amp;Milestones!$AC$129&amp;";  ","")&amp;IF(AND(EDATE($D66,Milestones!$AA$130)&lt;=AsOfDate,IF($Q66=0,$W66,IF(AND($S66&lt;&gt;"",EDATE($D66,Milestones!$AA$130)&gt;=$S66),$V66,IF(AND($R66&lt;&gt;"",EDATE($D66,Milestones!$AA$130)&gt;=$R66),$U66,$T66)))=Milestones!$AB$130),TEXT(EDATE($D66,Milestones!$AA$130),"dd/mm/yy")&amp;" "&amp;Milestones!$AB$130&amp;" "&amp;Milestones!$AC$130&amp;";  ","")&amp;IF(AND(EDATE($D66,Milestones!$AA$131)&lt;=AsOfDate,IF($Q66=0,$W66,IF(AND($S66&lt;&gt;"",EDATE($D66,Milestones!$AA$131)&gt;=$S66),$V66,IF(AND($R66&lt;&gt;"",EDATE($D66,Milestones!$AA$131)&gt;=$R66),$U66,$T66)))=Milestones!$AB$131),TEXT(EDATE($D66,Milestones!$AA$131),"dd/mm/yy")&amp;" "&amp;Milestones!$AB$131&amp;" "&amp;Milestones!$AC$131&amp;";  ","")&amp;IF(AND(EDATE($D66,Milestones!$AA$132)&lt;=AsOfDate,IF($Q66=0,$W66,IF(AND($S66&lt;&gt;"",EDATE($D66,Milestones!$AA$132)&gt;=$S66),$V66,IF(AND($R66&lt;&gt;"",EDATE($D66,Milestones!$AA$132)&gt;=$R66),$U66,$T66)))=Milestones!$AB$132),TEXT(EDATE($D66,Milestones!$AA$132),"dd/mm/yy")&amp;" "&amp;Milestones!$AB$132&amp;" "&amp;Milestones!$AC$132&amp;";  ","")&amp;IF(AND(EDATE($D66,Milestones!$AA$133)&lt;=AsOfDate,IF($Q66=0,$W66,IF(AND($S66&lt;&gt;"",EDATE($D66,Milestones!$AA$133)&gt;=$S66),$V66,IF(AND($R66&lt;&gt;"",EDATE($D66,Milestones!$AA$133)&gt;=$R66),$U66,$T66)))=Milestones!$AB$133),TEXT(EDATE($D66,Milestones!$AA$133),"dd/mm/yy")&amp;" "&amp;Milestones!$AB$133&amp;" "&amp;Milestones!$AC$133&amp;";  ","")&amp;IF(AND(EDATE($D66,Milestones!$AA$134)&lt;=AsOfDate,IF($Q66=0,$W66,IF(AND($S66&lt;&gt;"",EDATE($D66,Milestones!$AA$134)&gt;=$S66),$V66,IF(AND($R66&lt;&gt;"",EDATE($D66,Milestones!$AA$134)&gt;=$R66),$U66,$T66)))=Milestones!$AB$134),TEXT(EDATE($D66,Milestones!$AA$134),"dd/mm/yy")&amp;" "&amp;Milestones!$AB$134&amp;" "&amp;Milestones!$AC$134&amp;";  ","")&amp;IF(AND(EDATE($D66,Milestones!$AA$135)&lt;=AsOfDate,IF($Q66=0,$W66,IF(AND($S66&lt;&gt;"",EDATE($D66,Milestones!$AA$135)&gt;=$S66),$V66,IF(AND($R66&lt;&gt;"",EDATE($D66,Milestones!$AA$135)&gt;=$R66),$U66,$T66)))=Milestones!$AB$135),TEXT(EDATE($D66,Milestones!$AA$135),"dd/mm/yy")&amp;" "&amp;Milestones!$AB$135&amp;" "&amp;Milestones!$AC$135&amp;";  ","")&amp;IF(AND(EDATE($D66,Milestones!$AA$136)&lt;=AsOfDate,IF($Q66=0,$W66,IF(AND($S66&lt;&gt;"",EDATE($D66,Milestones!$AA$136)&gt;=$S66),$V66,IF(AND($R66&lt;&gt;"",EDATE($D66,Milestones!$AA$136)&gt;=$R66),$U66,$T66)))=Milestones!$AB$136),TEXT(EDATE($D66,Milestones!$AA$136),"dd/mm/yy")&amp;" "&amp;Milestones!$AB$136&amp;" "&amp;Milestones!$AC$136&amp;";  ","")&amp;IF(AND(EDATE($D66,Milestones!$AA$137)&lt;=AsOfDate,IF($Q66=0,$W66,IF(AND($S66&lt;&gt;"",EDATE($D66,Milestones!$AA$137)&gt;=$S66),$V66,IF(AND($R66&lt;&gt;"",EDATE($D66,Milestones!$AA$137)&gt;=$R66),$U66,$T66)))=Milestones!$AB$137),TEXT(EDATE($D66,Milestones!$AA$137),"dd/mm/yy")&amp;" "&amp;Milestones!$AB$137&amp;" "&amp;Milestones!$AC$137&amp;";  ","")&amp;IF(AND(EDATE($D66,Milestones!$AA$138)&lt;=AsOfDate,IF($Q66=0,$W66,IF(AND($S66&lt;&gt;"",EDATE($D66,Milestones!$AA$138)&gt;=$S66),$V66,IF(AND($R66&lt;&gt;"",EDATE($D66,Milestones!$AA$138)&gt;=$R66),$U66,$T66)))=Milestones!$AB$138),TEXT(EDATE($D66,Milestones!$AA$138),"dd/mm/yy")&amp;" "&amp;Milestones!$AB$138&amp;" "&amp;Milestones!$AC$138&amp;";  ","")&amp;IF(AND(EDATE($D66,Milestones!$AA$139)&lt;=AsOfDate,IF($Q66=0,$W66,IF(AND($S66&lt;&gt;"",EDATE($D66,Milestones!$AA$139)&gt;=$S66),$V66,IF(AND($R66&lt;&gt;"",EDATE($D66,Milestones!$AA$139)&gt;=$R66),$U66,$T66)))=Milestones!$AB$139),TEXT(EDATE($D66,Milestones!$AA$139),"dd/mm/yy")&amp;" "&amp;Milestones!$AB$139&amp;" "&amp;Milestones!$AC$139&amp;";  ",""))</f>
        <v/>
      </c>
      <c r="N66" s="0" t="str">
        <f aca="false">IF(OR($A66="",$D66=""),"",IF(AND(EDATE($D66,Milestones!$AA$140)&lt;=AsOfDate,IF($Q66=0,$W66,IF(AND($S66&lt;&gt;"",EDATE($D66,Milestones!$AA$140)&gt;=$S66),$V66,IF(AND($R66&lt;&gt;"",EDATE($D66,Milestones!$AA$140)&gt;=$R66),$U66,$T66)))=Milestones!$AB$140),TEXT(EDATE($D66,Milestones!$AA$140),"dd/mm/yy")&amp;" "&amp;Milestones!$AB$140&amp;" "&amp;Milestones!$AC$140&amp;";  ","")&amp;IF(AND(EDATE($D66,Milestones!$AA$141)&lt;=AsOfDate,IF($Q66=0,$W66,IF(AND($S66&lt;&gt;"",EDATE($D66,Milestones!$AA$141)&gt;=$S66),$V66,IF(AND($R66&lt;&gt;"",EDATE($D66,Milestones!$AA$141)&gt;=$R66),$U66,$T66)))=Milestones!$AB$141),TEXT(EDATE($D66,Milestones!$AA$141),"dd/mm/yy")&amp;" "&amp;Milestones!$AB$141&amp;" "&amp;Milestones!$AC$141&amp;";  ","")&amp;IF(AND(EDATE($D66,Milestones!$AA$142)&lt;=AsOfDate,IF($Q66=0,$W66,IF(AND($S66&lt;&gt;"",EDATE($D66,Milestones!$AA$142)&gt;=$S66),$V66,IF(AND($R66&lt;&gt;"",EDATE($D66,Milestones!$AA$142)&gt;=$R66),$U66,$T66)))=Milestones!$AB$142),TEXT(EDATE($D66,Milestones!$AA$142),"dd/mm/yy")&amp;" "&amp;Milestones!$AB$142&amp;" "&amp;Milestones!$AC$142&amp;";  ","")&amp;IF(AND(EDATE($D66,Milestones!$AA$143)&lt;=AsOfDate,IF($Q66=0,$W66,IF(AND($S66&lt;&gt;"",EDATE($D66,Milestones!$AA$143)&gt;=$S66),$V66,IF(AND($R66&lt;&gt;"",EDATE($D66,Milestones!$AA$143)&gt;=$R66),$U66,$T66)))=Milestones!$AB$143),TEXT(EDATE($D66,Milestones!$AA$143),"dd/mm/yy")&amp;" "&amp;Milestones!$AB$143&amp;" "&amp;Milestones!$AC$143&amp;";  ","")&amp;IF(AND(EDATE($D66,Milestones!$AA$144)&lt;=AsOfDate,IF($Q66=0,$W66,IF(AND($S66&lt;&gt;"",EDATE($D66,Milestones!$AA$144)&gt;=$S66),$V66,IF(AND($R66&lt;&gt;"",EDATE($D66,Milestones!$AA$144)&gt;=$R66),$U66,$T66)))=Milestones!$AB$144),TEXT(EDATE($D66,Milestones!$AA$144),"dd/mm/yy")&amp;" "&amp;Milestones!$AB$144&amp;" "&amp;Milestones!$AC$144&amp;";  ","")&amp;IF(AND(EDATE($D66,Milestones!$AA$145)&lt;=AsOfDate,IF($Q66=0,$W66,IF(AND($S66&lt;&gt;"",EDATE($D66,Milestones!$AA$145)&gt;=$S66),$V66,IF(AND($R66&lt;&gt;"",EDATE($D66,Milestones!$AA$145)&gt;=$R66),$U66,$T66)))=Milestones!$AB$145),TEXT(EDATE($D66,Milestones!$AA$145),"dd/mm/yy")&amp;" "&amp;Milestones!$AB$145&amp;" "&amp;Milestones!$AC$145&amp;";  ","")&amp;IF(AND(EDATE($D66,Milestones!$AA$146)&lt;=AsOfDate,IF($Q66=0,$W66,IF(AND($S66&lt;&gt;"",EDATE($D66,Milestones!$AA$146)&gt;=$S66),$V66,IF(AND($R66&lt;&gt;"",EDATE($D66,Milestones!$AA$146)&gt;=$R66),$U66,$T66)))=Milestones!$AB$146),TEXT(EDATE($D66,Milestones!$AA$146),"dd/mm/yy")&amp;" "&amp;Milestones!$AB$146&amp;" "&amp;Milestones!$AC$146&amp;";  ","")&amp;IF(AND(EDATE($D66,Milestones!$AA$147)&lt;=AsOfDate,IF($Q66=0,$W66,IF(AND($S66&lt;&gt;"",EDATE($D66,Milestones!$AA$147)&gt;=$S66),$V66,IF(AND($R66&lt;&gt;"",EDATE($D66,Milestones!$AA$147)&gt;=$R66),$U66,$T66)))=Milestones!$AB$147),TEXT(EDATE($D66,Milestones!$AA$147),"dd/mm/yy")&amp;" "&amp;Milestones!$AB$147&amp;" "&amp;Milestones!$AC$147&amp;";  ","")&amp;IF(AND(EDATE($D66,Milestones!$AA$148)&lt;=AsOfDate,IF($Q66=0,$W66,IF(AND($S66&lt;&gt;"",EDATE($D66,Milestones!$AA$148)&gt;=$S66),$V66,IF(AND($R66&lt;&gt;"",EDATE($D66,Milestones!$AA$148)&gt;=$R66),$U66,$T66)))=Milestones!$AB$148),TEXT(EDATE($D66,Milestones!$AA$148),"dd/mm/yy")&amp;" "&amp;Milestones!$AB$148&amp;" "&amp;Milestones!$AC$148&amp;";  ","")&amp;IF(AND(EDATE($D66,Milestones!$AA$149)&lt;=AsOfDate,IF($Q66=0,$W66,IF(AND($S66&lt;&gt;"",EDATE($D66,Milestones!$AA$149)&gt;=$S66),$V66,IF(AND($R66&lt;&gt;"",EDATE($D66,Milestones!$AA$149)&gt;=$R66),$U66,$T66)))=Milestones!$AB$149),TEXT(EDATE($D66,Milestones!$AA$149),"dd/mm/yy")&amp;" "&amp;Milestones!$AB$149&amp;" "&amp;Milestones!$AC$149&amp;";  ","")&amp;IF(AND(EDATE($D66,Milestones!$AA$150)&lt;=AsOfDate,IF($Q66=0,$W66,IF(AND($S66&lt;&gt;"",EDATE($D66,Milestones!$AA$150)&gt;=$S66),$V66,IF(AND($R66&lt;&gt;"",EDATE($D66,Milestones!$AA$150)&gt;=$R66),$U66,$T66)))=Milestones!$AB$150),TEXT(EDATE($D66,Milestones!$AA$150),"dd/mm/yy")&amp;" "&amp;Milestones!$AB$150&amp;" "&amp;Milestones!$AC$150&amp;";  ","")&amp;IF(AND(EDATE($D66,Milestones!$AA$151)&lt;=AsOfDate,IF($Q66=0,$W66,IF(AND($S66&lt;&gt;"",EDATE($D66,Milestones!$AA$151)&gt;=$S66),$V66,IF(AND($R66&lt;&gt;"",EDATE($D66,Milestones!$AA$151)&gt;=$R66),$U66,$T66)))=Milestones!$AB$151),TEXT(EDATE($D66,Milestones!$AA$151),"dd/mm/yy")&amp;" "&amp;Milestones!$AB$151&amp;" "&amp;Milestones!$AC$151&amp;";  ","")&amp;IF(AND(EDATE($D66,Milestones!$AA$152)&lt;=AsOfDate,IF($Q66=0,$W66,IF(AND($S66&lt;&gt;"",EDATE($D66,Milestones!$AA$152)&gt;=$S66),$V66,IF(AND($R66&lt;&gt;"",EDATE($D66,Milestones!$AA$152)&gt;=$R66),$U66,$T66)))=Milestones!$AB$152),TEXT(EDATE($D66,Milestones!$AA$152),"dd/mm/yy")&amp;" "&amp;Milestones!$AB$152&amp;" "&amp;Milestones!$AC$152&amp;";  ","")&amp;IF(AND(EDATE($D66,Milestones!$AA$153)&lt;=AsOfDate,IF($Q66=0,$W66,IF(AND($S66&lt;&gt;"",EDATE($D66,Milestones!$AA$153)&gt;=$S66),$V66,IF(AND($R66&lt;&gt;"",EDATE($D66,Milestones!$AA$153)&gt;=$R66),$U66,$T66)))=Milestones!$AB$153),TEXT(EDATE($D66,Milestones!$AA$153),"dd/mm/yy")&amp;" "&amp;Milestones!$AB$153&amp;" "&amp;Milestones!$AC$153&amp;";  ","")&amp;IF(AND(EDATE($D66,Milestones!$AA$154)&lt;=AsOfDate,IF($Q66=0,$W66,IF(AND($S66&lt;&gt;"",EDATE($D66,Milestones!$AA$154)&gt;=$S66),$V66,IF(AND($R66&lt;&gt;"",EDATE($D66,Milestones!$AA$154)&gt;=$R66),$U66,$T66)))=Milestones!$AB$154),TEXT(EDATE($D66,Milestones!$AA$154),"dd/mm/yy")&amp;" "&amp;Milestones!$AB$154&amp;" "&amp;Milestones!$AC$154&amp;";  ","")&amp;IF(AND(EDATE($D66,Milestones!$AA$155)&lt;=AsOfDate,IF($Q66=0,$W66,IF(AND($S66&lt;&gt;"",EDATE($D66,Milestones!$AA$155)&gt;=$S66),$V66,IF(AND($R66&lt;&gt;"",EDATE($D66,Milestones!$AA$155)&gt;=$R66),$U66,$T66)))=Milestones!$AB$155),TEXT(EDATE($D66,Milestones!$AA$155),"dd/mm/yy")&amp;" "&amp;Milestones!$AB$155&amp;" "&amp;Milestones!$AC$155&amp;";  ","")&amp;IF(AND(EDATE($D66,Milestones!$AA$156)&lt;=AsOfDate,IF($Q66=0,$W66,IF(AND($S66&lt;&gt;"",EDATE($D66,Milestones!$AA$156)&gt;=$S66),$V66,IF(AND($R66&lt;&gt;"",EDATE($D66,Milestones!$AA$156)&gt;=$R66),$U66,$T66)))=Milestones!$AB$156),TEXT(EDATE($D66,Milestones!$AA$156),"dd/mm/yy")&amp;" "&amp;Milestones!$AB$156&amp;" "&amp;Milestones!$AC$156&amp;";  ","")&amp;IF(AND(EDATE($D66,Milestones!$AA$157)&lt;=AsOfDate,IF($Q66=0,$W66,IF(AND($S66&lt;&gt;"",EDATE($D66,Milestones!$AA$157)&gt;=$S66),$V66,IF(AND($R66&lt;&gt;"",EDATE($D66,Milestones!$AA$157)&gt;=$R66),$U66,$T66)))=Milestones!$AB$157),TEXT(EDATE($D66,Milestones!$AA$157),"dd/mm/yy")&amp;" "&amp;Milestones!$AB$157&amp;" "&amp;Milestones!$AC$157&amp;";  ","")&amp;IF(AND(EDATE($D66,Milestones!$AA$158)&lt;=AsOfDate,IF($Q66=0,$W66,IF(AND($S66&lt;&gt;"",EDATE($D66,Milestones!$AA$158)&gt;=$S66),$V66,IF(AND($R66&lt;&gt;"",EDATE($D66,Milestones!$AA$158)&gt;=$R66),$U66,$T66)))=Milestones!$AB$158),TEXT(EDATE($D66,Milestones!$AA$158),"dd/mm/yy")&amp;" "&amp;Milestones!$AB$158&amp;" "&amp;Milestones!$AC$158&amp;";  ","")&amp;IF(AND(EDATE($D66,Milestones!$AA$159)&lt;=AsOfDate,IF($Q66=0,$W66,IF(AND($S66&lt;&gt;"",EDATE($D66,Milestones!$AA$159)&gt;=$S66),$V66,IF(AND($R66&lt;&gt;"",EDATE($D66,Milestones!$AA$159)&gt;=$R66),$U66,$T66)))=Milestones!$AB$159),TEXT(EDATE($D66,Milestones!$AA$159),"dd/mm/yy")&amp;" "&amp;Milestones!$AB$159&amp;" "&amp;Milestones!$AC$159&amp;";  ",""))</f>
        <v/>
      </c>
      <c r="O66" s="0" t="str">
        <f aca="false">IF(OR($A66="",$D66=""),"",IF(AND(EDATE($D66,Milestones!$AA$160)&lt;=AsOfDate,IF($Q66=0,$W66,IF(AND($S66&lt;&gt;"",EDATE($D66,Milestones!$AA$160)&gt;=$S66),$V66,IF(AND($R66&lt;&gt;"",EDATE($D66,Milestones!$AA$160)&gt;=$R66),$U66,$T66)))=Milestones!$AB$160),TEXT(EDATE($D66,Milestones!$AA$160),"dd/mm/yy")&amp;" "&amp;Milestones!$AB$160&amp;" "&amp;Milestones!$AC$160&amp;";  ","")&amp;IF(AND(EDATE($D66,Milestones!$AA$161)&lt;=AsOfDate,IF($Q66=0,$W66,IF(AND($S66&lt;&gt;"",EDATE($D66,Milestones!$AA$161)&gt;=$S66),$V66,IF(AND($R66&lt;&gt;"",EDATE($D66,Milestones!$AA$161)&gt;=$R66),$U66,$T66)))=Milestones!$AB$161),TEXT(EDATE($D66,Milestones!$AA$161),"dd/mm/yy")&amp;" "&amp;Milestones!$AB$161&amp;" "&amp;Milestones!$AC$161&amp;";  ","")&amp;IF(AND(EDATE($D66,Milestones!$AA$162)&lt;=AsOfDate,IF($Q66=0,$W66,IF(AND($S66&lt;&gt;"",EDATE($D66,Milestones!$AA$162)&gt;=$S66),$V66,IF(AND($R66&lt;&gt;"",EDATE($D66,Milestones!$AA$162)&gt;=$R66),$U66,$T66)))=Milestones!$AB$162),TEXT(EDATE($D66,Milestones!$AA$162),"dd/mm/yy")&amp;" "&amp;Milestones!$AB$162&amp;" "&amp;Milestones!$AC$162&amp;";  ","")&amp;IF(AND(EDATE($D66,Milestones!$AA$163)&lt;=AsOfDate,IF($Q66=0,$W66,IF(AND($S66&lt;&gt;"",EDATE($D66,Milestones!$AA$163)&gt;=$S66),$V66,IF(AND($R66&lt;&gt;"",EDATE($D66,Milestones!$AA$163)&gt;=$R66),$U66,$T66)))=Milestones!$AB$163),TEXT(EDATE($D66,Milestones!$AA$163),"dd/mm/yy")&amp;" "&amp;Milestones!$AB$163&amp;" "&amp;Milestones!$AC$163&amp;";  ","")&amp;IF(AND(EDATE($D66,Milestones!$AA$164)&lt;=AsOfDate,IF($Q66=0,$W66,IF(AND($S66&lt;&gt;"",EDATE($D66,Milestones!$AA$164)&gt;=$S66),$V66,IF(AND($R66&lt;&gt;"",EDATE($D66,Milestones!$AA$164)&gt;=$R66),$U66,$T66)))=Milestones!$AB$164),TEXT(EDATE($D66,Milestones!$AA$164),"dd/mm/yy")&amp;" "&amp;Milestones!$AB$164&amp;" "&amp;Milestones!$AC$164&amp;";  ","")&amp;IF(AND(EDATE($D66,Milestones!$AA$165)&lt;=AsOfDate,IF($Q66=0,$W66,IF(AND($S66&lt;&gt;"",EDATE($D66,Milestones!$AA$165)&gt;=$S66),$V66,IF(AND($R66&lt;&gt;"",EDATE($D66,Milestones!$AA$165)&gt;=$R66),$U66,$T66)))=Milestones!$AB$165),TEXT(EDATE($D66,Milestones!$AA$165),"dd/mm/yy")&amp;" "&amp;Milestones!$AB$165&amp;" "&amp;Milestones!$AC$165&amp;";  ","")&amp;IF(AND(EDATE($D66,Milestones!$AA$166)&lt;=AsOfDate,IF($Q66=0,$W66,IF(AND($S66&lt;&gt;"",EDATE($D66,Milestones!$AA$166)&gt;=$S66),$V66,IF(AND($R66&lt;&gt;"",EDATE($D66,Milestones!$AA$166)&gt;=$R66),$U66,$T66)))=Milestones!$AB$166),TEXT(EDATE($D66,Milestones!$AA$166),"dd/mm/yy")&amp;" "&amp;Milestones!$AB$166&amp;" "&amp;Milestones!$AC$166&amp;";  ","")&amp;IF(AND(EDATE($D66,Milestones!$AA$167)&lt;=AsOfDate,IF($Q66=0,$W66,IF(AND($S66&lt;&gt;"",EDATE($D66,Milestones!$AA$167)&gt;=$S66),$V66,IF(AND($R66&lt;&gt;"",EDATE($D66,Milestones!$AA$167)&gt;=$R66),$U66,$T66)))=Milestones!$AB$167),TEXT(EDATE($D66,Milestones!$AA$167),"dd/mm/yy")&amp;" "&amp;Milestones!$AB$167&amp;" "&amp;Milestones!$AC$167&amp;";  ","")&amp;IF(AND(EDATE($D66,Milestones!$AA$168)&lt;=AsOfDate,IF($Q66=0,$W66,IF(AND($S66&lt;&gt;"",EDATE($D66,Milestones!$AA$168)&gt;=$S66),$V66,IF(AND($R66&lt;&gt;"",EDATE($D66,Milestones!$AA$168)&gt;=$R66),$U66,$T66)))=Milestones!$AB$168),TEXT(EDATE($D66,Milestones!$AA$168),"dd/mm/yy")&amp;" "&amp;Milestones!$AB$168&amp;" "&amp;Milestones!$AC$168&amp;";  ","")&amp;IF(AND(EDATE($D66,Milestones!$AA$169)&lt;=AsOfDate,IF($Q66=0,$W66,IF(AND($S66&lt;&gt;"",EDATE($D66,Milestones!$AA$169)&gt;=$S66),$V66,IF(AND($R66&lt;&gt;"",EDATE($D66,Milestones!$AA$169)&gt;=$R66),$U66,$T66)))=Milestones!$AB$169),TEXT(EDATE($D66,Milestones!$AA$169),"dd/mm/yy")&amp;" "&amp;Milestones!$AB$169&amp;" "&amp;Milestones!$AC$169&amp;";  ","")&amp;IF(AND(EDATE($D66,Milestones!$AA$170)&lt;=AsOfDate,IF($Q66=0,$W66,IF(AND($S66&lt;&gt;"",EDATE($D66,Milestones!$AA$170)&gt;=$S66),$V66,IF(AND($R66&lt;&gt;"",EDATE($D66,Milestones!$AA$170)&gt;=$R66),$U66,$T66)))=Milestones!$AB$170),TEXT(EDATE($D66,Milestones!$AA$170),"dd/mm/yy")&amp;" "&amp;Milestones!$AB$170&amp;" "&amp;Milestones!$AC$170&amp;";  ","")&amp;IF(AND(EDATE($D66,Milestones!$AA$171)&lt;=AsOfDate,IF($Q66=0,$W66,IF(AND($S66&lt;&gt;"",EDATE($D66,Milestones!$AA$171)&gt;=$S66),$V66,IF(AND($R66&lt;&gt;"",EDATE($D66,Milestones!$AA$171)&gt;=$R66),$U66,$T66)))=Milestones!$AB$171),TEXT(EDATE($D66,Milestones!$AA$171),"dd/mm/yy")&amp;" "&amp;Milestones!$AB$171&amp;" "&amp;Milestones!$AC$171&amp;";  ","")&amp;IF(AND(EDATE($D66,Milestones!$AA$172)&lt;=AsOfDate,IF($Q66=0,$W66,IF(AND($S66&lt;&gt;"",EDATE($D66,Milestones!$AA$172)&gt;=$S66),$V66,IF(AND($R66&lt;&gt;"",EDATE($D66,Milestones!$AA$172)&gt;=$R66),$U66,$T66)))=Milestones!$AB$172),TEXT(EDATE($D66,Milestones!$AA$172),"dd/mm/yy")&amp;" "&amp;Milestones!$AB$172&amp;" "&amp;Milestones!$AC$172&amp;";  ","")&amp;IF(AND(EDATE($D66,Milestones!$AA$173)&lt;=AsOfDate,IF($Q66=0,$W66,IF(AND($S66&lt;&gt;"",EDATE($D66,Milestones!$AA$173)&gt;=$S66),$V66,IF(AND($R66&lt;&gt;"",EDATE($D66,Milestones!$AA$173)&gt;=$R66),$U66,$T66)))=Milestones!$AB$173),TEXT(EDATE($D66,Milestones!$AA$173),"dd/mm/yy")&amp;" "&amp;Milestones!$AB$173&amp;" "&amp;Milestones!$AC$173&amp;";  ","")&amp;IF(AND(EDATE($D66,Milestones!$AA$174)&lt;=AsOfDate,IF($Q66=0,$W66,IF(AND($S66&lt;&gt;"",EDATE($D66,Milestones!$AA$174)&gt;=$S66),$V66,IF(AND($R66&lt;&gt;"",EDATE($D66,Milestones!$AA$174)&gt;=$R66),$U66,$T66)))=Milestones!$AB$174),TEXT(EDATE($D66,Milestones!$AA$174),"dd/mm/yy")&amp;" "&amp;Milestones!$AB$174&amp;" "&amp;Milestones!$AC$174&amp;";  ","")&amp;IF(AND(EDATE($D66,Milestones!$AA$175)&lt;=AsOfDate,IF($Q66=0,$W66,IF(AND($S66&lt;&gt;"",EDATE($D66,Milestones!$AA$175)&gt;=$S66),$V66,IF(AND($R66&lt;&gt;"",EDATE($D66,Milestones!$AA$175)&gt;=$R66),$U66,$T66)))=Milestones!$AB$175),TEXT(EDATE($D66,Milestones!$AA$175),"dd/mm/yy")&amp;" "&amp;Milestones!$AB$175&amp;" "&amp;Milestones!$AC$175&amp;";  ","")&amp;IF(AND(EDATE($D66,Milestones!$AA$176)&lt;=AsOfDate,IF($Q66=0,$W66,IF(AND($S66&lt;&gt;"",EDATE($D66,Milestones!$AA$176)&gt;=$S66),$V66,IF(AND($R66&lt;&gt;"",EDATE($D66,Milestones!$AA$176)&gt;=$R66),$U66,$T66)))=Milestones!$AB$176),TEXT(EDATE($D66,Milestones!$AA$176),"dd/mm/yy")&amp;" "&amp;Milestones!$AB$176&amp;" "&amp;Milestones!$AC$176&amp;";  ","")&amp;IF(AND(EDATE($D66,Milestones!$AA$177)&lt;=AsOfDate,IF($Q66=0,$W66,IF(AND($S66&lt;&gt;"",EDATE($D66,Milestones!$AA$177)&gt;=$S66),$V66,IF(AND($R66&lt;&gt;"",EDATE($D66,Milestones!$AA$177)&gt;=$R66),$U66,$T66)))=Milestones!$AB$177),TEXT(EDATE($D66,Milestones!$AA$177),"dd/mm/yy")&amp;" "&amp;Milestones!$AB$177&amp;" "&amp;Milestones!$AC$177&amp;";  ","")&amp;IF(AND(EDATE($D66,Milestones!$AA$178)&lt;=AsOfDate,IF($Q66=0,$W66,IF(AND($S66&lt;&gt;"",EDATE($D66,Milestones!$AA$178)&gt;=$S66),$V66,IF(AND($R66&lt;&gt;"",EDATE($D66,Milestones!$AA$178)&gt;=$R66),$U66,$T66)))=Milestones!$AB$178),TEXT(EDATE($D66,Milestones!$AA$178),"dd/mm/yy")&amp;" "&amp;Milestones!$AB$178&amp;" "&amp;Milestones!$AC$178&amp;";  ","")&amp;IF(AND(EDATE($D66,Milestones!$AA$179)&lt;=AsOfDate,IF($Q66=0,$W66,IF(AND($S66&lt;&gt;"",EDATE($D66,Milestones!$AA$179)&gt;=$S66),$V66,IF(AND($R66&lt;&gt;"",EDATE($D66,Milestones!$AA$179)&gt;=$R66),$U66,$T66)))=Milestones!$AB$179),TEXT(EDATE($D66,Milestones!$AA$179),"dd/mm/yy")&amp;" "&amp;Milestones!$AB$179&amp;" "&amp;Milestones!$AC$179&amp;";  ",""))</f>
        <v/>
      </c>
      <c r="P66" s="0" t="str">
        <f aca="false">IF(OR($A66="",$D66=""),"",IF(AND(EDATE($D66,Milestones!$AA$180)&lt;=AsOfDate,IF($Q66=0,$W66,IF(AND($S66&lt;&gt;"",EDATE($D66,Milestones!$AA$180)&gt;=$S66),$V66,IF(AND($R66&lt;&gt;"",EDATE($D66,Milestones!$AA$180)&gt;=$R66),$U66,$T66)))=Milestones!$AB$180),TEXT(EDATE($D66,Milestones!$AA$180),"dd/mm/yy")&amp;" "&amp;Milestones!$AB$180&amp;" "&amp;Milestones!$AC$180&amp;";  ","")&amp;IF(AND(EDATE($D66,Milestones!$AA$181)&lt;=AsOfDate,IF($Q66=0,$W66,IF(AND($S66&lt;&gt;"",EDATE($D66,Milestones!$AA$181)&gt;=$S66),$V66,IF(AND($R66&lt;&gt;"",EDATE($D66,Milestones!$AA$181)&gt;=$R66),$U66,$T66)))=Milestones!$AB$181),TEXT(EDATE($D66,Milestones!$AA$181),"dd/mm/yy")&amp;" "&amp;Milestones!$AB$181&amp;" "&amp;Milestones!$AC$181&amp;";  ","")&amp;IF(AND(EDATE($D66,Milestones!$AA$182)&lt;=AsOfDate,IF($Q66=0,$W66,IF(AND($S66&lt;&gt;"",EDATE($D66,Milestones!$AA$182)&gt;=$S66),$V66,IF(AND($R66&lt;&gt;"",EDATE($D66,Milestones!$AA$182)&gt;=$R66),$U66,$T66)))=Milestones!$AB$182),TEXT(EDATE($D66,Milestones!$AA$182),"dd/mm/yy")&amp;" "&amp;Milestones!$AB$182&amp;" "&amp;Milestones!$AC$182&amp;";  ","")&amp;IF(AND(EDATE($D66,Milestones!$AA$183)&lt;=AsOfDate,IF($Q66=0,$W66,IF(AND($S66&lt;&gt;"",EDATE($D66,Milestones!$AA$183)&gt;=$S66),$V66,IF(AND($R66&lt;&gt;"",EDATE($D66,Milestones!$AA$183)&gt;=$R66),$U66,$T66)))=Milestones!$AB$183),TEXT(EDATE($D66,Milestones!$AA$183),"dd/mm/yy")&amp;" "&amp;Milestones!$AB$183&amp;" "&amp;Milestones!$AC$183&amp;";  ","")&amp;IF(AND(EDATE($D66,Milestones!$AA$184)&lt;=AsOfDate,IF($Q66=0,$W66,IF(AND($S66&lt;&gt;"",EDATE($D66,Milestones!$AA$184)&gt;=$S66),$V66,IF(AND($R66&lt;&gt;"",EDATE($D66,Milestones!$AA$184)&gt;=$R66),$U66,$T66)))=Milestones!$AB$184),TEXT(EDATE($D66,Milestones!$AA$184),"dd/mm/yy")&amp;" "&amp;Milestones!$AB$184&amp;" "&amp;Milestones!$AC$184&amp;";  ","")&amp;IF(AND(EDATE($D66,Milestones!$AA$185)&lt;=AsOfDate,IF($Q66=0,$W66,IF(AND($S66&lt;&gt;"",EDATE($D66,Milestones!$AA$185)&gt;=$S66),$V66,IF(AND($R66&lt;&gt;"",EDATE($D66,Milestones!$AA$185)&gt;=$R66),$U66,$T66)))=Milestones!$AB$185),TEXT(EDATE($D66,Milestones!$AA$185),"dd/mm/yy")&amp;" "&amp;Milestones!$AB$185&amp;" "&amp;Milestones!$AC$185&amp;";  ","")&amp;IF(AND(EDATE($D66,Milestones!$AA$186)&lt;=AsOfDate,IF($Q66=0,$W66,IF(AND($S66&lt;&gt;"",EDATE($D66,Milestones!$AA$186)&gt;=$S66),$V66,IF(AND($R66&lt;&gt;"",EDATE($D66,Milestones!$AA$186)&gt;=$R66),$U66,$T66)))=Milestones!$AB$186),TEXT(EDATE($D66,Milestones!$AA$186),"dd/mm/yy")&amp;" "&amp;Milestones!$AB$186&amp;" "&amp;Milestones!$AC$186&amp;";  ","")&amp;IF(AND(EDATE($D66,Milestones!$AA$187)&lt;=AsOfDate,IF($Q66=0,$W66,IF(AND($S66&lt;&gt;"",EDATE($D66,Milestones!$AA$187)&gt;=$S66),$V66,IF(AND($R66&lt;&gt;"",EDATE($D66,Milestones!$AA$187)&gt;=$R66),$U66,$T66)))=Milestones!$AB$187),TEXT(EDATE($D66,Milestones!$AA$187),"dd/mm/yy")&amp;" "&amp;Milestones!$AB$187&amp;" "&amp;Milestones!$AC$187&amp;";  ","")&amp;IF(AND(EDATE($D66,Milestones!$AA$188)&lt;=AsOfDate,IF($Q66=0,$W66,IF(AND($S66&lt;&gt;"",EDATE($D66,Milestones!$AA$188)&gt;=$S66),$V66,IF(AND($R66&lt;&gt;"",EDATE($D66,Milestones!$AA$188)&gt;=$R66),$U66,$T66)))=Milestones!$AB$188),TEXT(EDATE($D66,Milestones!$AA$188),"dd/mm/yy")&amp;" "&amp;Milestones!$AB$188&amp;" "&amp;Milestones!$AC$188&amp;";  ","")&amp;IF(AND(EDATE($D66,Milestones!$AA$189)&lt;=AsOfDate,IF($Q66=0,$W66,IF(AND($S66&lt;&gt;"",EDATE($D66,Milestones!$AA$189)&gt;=$S66),$V66,IF(AND($R66&lt;&gt;"",EDATE($D66,Milestones!$AA$189)&gt;=$R66),$U66,$T66)))=Milestones!$AB$189),TEXT(EDATE($D66,Milestones!$AA$189),"dd/mm/yy")&amp;" "&amp;Milestones!$AB$189&amp;" "&amp;Milestones!$AC$189&amp;";  ","")&amp;IF(AND(EDATE($D66,Milestones!$AA$190)&lt;=AsOfDate,IF($Q66=0,$W66,IF(AND($S66&lt;&gt;"",EDATE($D66,Milestones!$AA$190)&gt;=$S66),$V66,IF(AND($R66&lt;&gt;"",EDATE($D66,Milestones!$AA$190)&gt;=$R66),$U66,$T66)))=Milestones!$AB$190),TEXT(EDATE($D66,Milestones!$AA$190),"dd/mm/yy")&amp;" "&amp;Milestones!$AB$190&amp;" "&amp;Milestones!$AC$190&amp;";  ","")&amp;IF(AND(EDATE($D66,Milestones!$AA$191)&lt;=AsOfDate,IF($Q66=0,$W66,IF(AND($S66&lt;&gt;"",EDATE($D66,Milestones!$AA$191)&gt;=$S66),$V66,IF(AND($R66&lt;&gt;"",EDATE($D66,Milestones!$AA$191)&gt;=$R66),$U66,$T66)))=Milestones!$AB$191),TEXT(EDATE($D66,Milestones!$AA$191),"dd/mm/yy")&amp;" "&amp;Milestones!$AB$191&amp;" "&amp;Milestones!$AC$191&amp;";  ","")&amp;IF(AND(EDATE($D66,Milestones!$AA$192)&lt;=AsOfDate,IF($Q66=0,$W66,IF(AND($S66&lt;&gt;"",EDATE($D66,Milestones!$AA$192)&gt;=$S66),$V66,IF(AND($R66&lt;&gt;"",EDATE($D66,Milestones!$AA$192)&gt;=$R66),$U66,$T66)))=Milestones!$AB$192),TEXT(EDATE($D66,Milestones!$AA$192),"dd/mm/yy")&amp;" "&amp;Milestones!$AB$192&amp;" "&amp;Milestones!$AC$192&amp;";  ","")&amp;IF(AND(EDATE($D66,Milestones!$AA$193)&lt;=AsOfDate,IF($Q66=0,$W66,IF(AND($S66&lt;&gt;"",EDATE($D66,Milestones!$AA$193)&gt;=$S66),$V66,IF(AND($R66&lt;&gt;"",EDATE($D66,Milestones!$AA$193)&gt;=$R66),$U66,$T66)))=Milestones!$AB$193),TEXT(EDATE($D66,Milestones!$AA$193),"dd/mm/yy")&amp;" "&amp;Milestones!$AB$193&amp;" "&amp;Milestones!$AC$193&amp;";  ","")&amp;IF(AND(EDATE($D66,Milestones!$AA$194)&lt;=AsOfDate,IF($Q66=0,$W66,IF(AND($S66&lt;&gt;"",EDATE($D66,Milestones!$AA$194)&gt;=$S66),$V66,IF(AND($R66&lt;&gt;"",EDATE($D66,Milestones!$AA$194)&gt;=$R66),$U66,$T66)))=Milestones!$AB$194),TEXT(EDATE($D66,Milestones!$AA$194),"dd/mm/yy")&amp;" "&amp;Milestones!$AB$194&amp;" "&amp;Milestones!$AC$194&amp;";  ","")&amp;IF(AND(EDATE($D66,Milestones!$AA$195)&lt;=AsOfDate,IF($Q66=0,$W66,IF(AND($S66&lt;&gt;"",EDATE($D66,Milestones!$AA$195)&gt;=$S66),$V66,IF(AND($R66&lt;&gt;"",EDATE($D66,Milestones!$AA$195)&gt;=$R66),$U66,$T66)))=Milestones!$AB$195),TEXT(EDATE($D66,Milestones!$AA$195),"dd/mm/yy")&amp;" "&amp;Milestones!$AB$195&amp;" "&amp;Milestones!$AC$195&amp;";  ","")&amp;IF(AND(EDATE($D66,Milestones!$AA$196)&lt;=AsOfDate,IF($Q66=0,$W66,IF(AND($S66&lt;&gt;"",EDATE($D66,Milestones!$AA$196)&gt;=$S66),$V66,IF(AND($R66&lt;&gt;"",EDATE($D66,Milestones!$AA$196)&gt;=$R66),$U66,$T66)))=Milestones!$AB$196),TEXT(EDATE($D66,Milestones!$AA$196),"dd/mm/yy")&amp;" "&amp;Milestones!$AB$196&amp;" "&amp;Milestones!$AC$196&amp;";  ","")&amp;IF(AND(EDATE($D66,Milestones!$AA$197)&lt;=AsOfDate,IF($Q66=0,$W66,IF(AND($S66&lt;&gt;"",EDATE($D66,Milestones!$AA$197)&gt;=$S66),$V66,IF(AND($R66&lt;&gt;"",EDATE($D66,Milestones!$AA$197)&gt;=$R66),$U66,$T66)))=Milestones!$AB$197),TEXT(EDATE($D66,Milestones!$AA$197),"dd/mm/yy")&amp;" "&amp;Milestones!$AB$197&amp;" "&amp;Milestones!$AC$197&amp;";  ","")&amp;IF(AND(EDATE($D66,Milestones!$AA$198)&lt;=AsOfDate,IF($Q66=0,$W66,IF(AND($S66&lt;&gt;"",EDATE($D66,Milestones!$AA$198)&gt;=$S66),$V66,IF(AND($R66&lt;&gt;"",EDATE($D66,Milestones!$AA$198)&gt;=$R66),$U66,$T66)))=Milestones!$AB$198),TEXT(EDATE($D66,Milestones!$AA$198),"dd/mm/yy")&amp;" "&amp;Milestones!$AB$198&amp;" "&amp;Milestones!$AC$198&amp;";  ","")&amp;IF(AND(EDATE($D66,Milestones!$AA$199)&lt;=AsOfDate,IF($Q66=0,$W66,IF(AND($S66&lt;&gt;"",EDATE($D66,Milestones!$AA$199)&gt;=$S66),$V66,IF(AND($R66&lt;&gt;"",EDATE($D66,Milestones!$AA$199)&gt;=$R66),$U66,$T66)))=Milestones!$AB$199),TEXT(EDATE($D66,Milestones!$AA$199),"dd/mm/yy")&amp;" "&amp;Milestones!$AB$199&amp;" "&amp;Milestones!$AC$199&amp;";  ",""))</f>
        <v/>
      </c>
      <c r="Q66" s="0" t="str">
        <f aca="false">IF(Staff!$A66="","",Staff!$AG66)</f>
        <v/>
      </c>
      <c r="R66" s="0" t="str">
        <f aca="false">IF(Staff!$A66="","",Staff!$AI66)</f>
        <v/>
      </c>
      <c r="S66" s="0" t="str">
        <f aca="false">IF(Staff!$A66="","",Staff!$AJ66)</f>
        <v/>
      </c>
      <c r="T66" s="0" t="str">
        <f aca="false">IF(Staff!$A66="","",Staff!$AN66)</f>
        <v/>
      </c>
      <c r="U66" s="0" t="str">
        <f aca="false">IF(Staff!$A66="","",Staff!$AO66)</f>
        <v/>
      </c>
      <c r="V66" s="0" t="str">
        <f aca="false">IF(Staff!$A66="","",Staff!$AP66)</f>
        <v/>
      </c>
      <c r="W66" s="0" t="str">
        <f aca="false">IF(Staff!$A66="","",Staff!$AQ66)</f>
        <v/>
      </c>
    </row>
    <row r="67" customFormat="false" ht="15" hidden="false" customHeight="false" outlineLevel="0" collapsed="false">
      <c r="A67" s="13" t="str">
        <f aca="false">IF(Staff!$A67="","",Staff!$A67)</f>
        <v/>
      </c>
      <c r="B67" s="13" t="str">
        <f aca="false">IF(Staff!$A67="","",Staff!$B67)</f>
        <v/>
      </c>
      <c r="C67" s="13" t="str">
        <f aca="false">IF(Staff!$A67="","",Staff!$C67)</f>
        <v/>
      </c>
      <c r="D67" s="11" t="str">
        <f aca="false">IF(Staff!$A67="","",Staff!$AF67)</f>
        <v/>
      </c>
      <c r="E67" s="13" t="str">
        <f aca="false">IF(Staff!$A67="","",Staff!$O67)</f>
        <v/>
      </c>
      <c r="F67" s="13" t="str">
        <f aca="false">IF(E67="","",E67*HoursPerDay)</f>
        <v/>
      </c>
      <c r="G67" s="26" t="str">
        <f aca="false">IF($A67="","",H67&amp;I67&amp;J67&amp;K67&amp;L67&amp;M67&amp;N67&amp;O67&amp;P67)</f>
        <v/>
      </c>
      <c r="H67" s="0" t="str">
        <f aca="false">IF(OR($A67="",$D67=""),"",IF(AND(EDATE($D67,Milestones!$AA$20)&lt;=AsOfDate,IF($Q67=0,$W67,IF(AND($S67&lt;&gt;"",EDATE($D67,Milestones!$AA$20)&gt;=$S67),$V67,IF(AND($R67&lt;&gt;"",EDATE($D67,Milestones!$AA$20)&gt;=$R67),$U67,$T67)))=Milestones!$AB$20),TEXT(EDATE($D67,Milestones!$AA$20),"dd/mm/yy")&amp;" "&amp;Milestones!$AB$20&amp;" "&amp;Milestones!$AC$20&amp;";  ","")&amp;IF(AND(EDATE($D67,Milestones!$AA$21)&lt;=AsOfDate,IF($Q67=0,$W67,IF(AND($S67&lt;&gt;"",EDATE($D67,Milestones!$AA$21)&gt;=$S67),$V67,IF(AND($R67&lt;&gt;"",EDATE($D67,Milestones!$AA$21)&gt;=$R67),$U67,$T67)))=Milestones!$AB$21),TEXT(EDATE($D67,Milestones!$AA$21),"dd/mm/yy")&amp;" "&amp;Milestones!$AB$21&amp;" "&amp;Milestones!$AC$21&amp;";  ","")&amp;IF(AND(EDATE($D67,Milestones!$AA$22)&lt;=AsOfDate,IF($Q67=0,$W67,IF(AND($S67&lt;&gt;"",EDATE($D67,Milestones!$AA$22)&gt;=$S67),$V67,IF(AND($R67&lt;&gt;"",EDATE($D67,Milestones!$AA$22)&gt;=$R67),$U67,$T67)))=Milestones!$AB$22),TEXT(EDATE($D67,Milestones!$AA$22),"dd/mm/yy")&amp;" "&amp;Milestones!$AB$22&amp;" "&amp;Milestones!$AC$22&amp;";  ","")&amp;IF(AND(EDATE($D67,Milestones!$AA$23)&lt;=AsOfDate,IF($Q67=0,$W67,IF(AND($S67&lt;&gt;"",EDATE($D67,Milestones!$AA$23)&gt;=$S67),$V67,IF(AND($R67&lt;&gt;"",EDATE($D67,Milestones!$AA$23)&gt;=$R67),$U67,$T67)))=Milestones!$AB$23),TEXT(EDATE($D67,Milestones!$AA$23),"dd/mm/yy")&amp;" "&amp;Milestones!$AB$23&amp;" "&amp;Milestones!$AC$23&amp;";  ","")&amp;IF(AND(EDATE($D67,Milestones!$AA$24)&lt;=AsOfDate,IF($Q67=0,$W67,IF(AND($S67&lt;&gt;"",EDATE($D67,Milestones!$AA$24)&gt;=$S67),$V67,IF(AND($R67&lt;&gt;"",EDATE($D67,Milestones!$AA$24)&gt;=$R67),$U67,$T67)))=Milestones!$AB$24),TEXT(EDATE($D67,Milestones!$AA$24),"dd/mm/yy")&amp;" "&amp;Milestones!$AB$24&amp;" "&amp;Milestones!$AC$24&amp;";  ","")&amp;IF(AND(EDATE($D67,Milestones!$AA$25)&lt;=AsOfDate,IF($Q67=0,$W67,IF(AND($S67&lt;&gt;"",EDATE($D67,Milestones!$AA$25)&gt;=$S67),$V67,IF(AND($R67&lt;&gt;"",EDATE($D67,Milestones!$AA$25)&gt;=$R67),$U67,$T67)))=Milestones!$AB$25),TEXT(EDATE($D67,Milestones!$AA$25),"dd/mm/yy")&amp;" "&amp;Milestones!$AB$25&amp;" "&amp;Milestones!$AC$25&amp;";  ","")&amp;IF(AND(EDATE($D67,Milestones!$AA$26)&lt;=AsOfDate,IF($Q67=0,$W67,IF(AND($S67&lt;&gt;"",EDATE($D67,Milestones!$AA$26)&gt;=$S67),$V67,IF(AND($R67&lt;&gt;"",EDATE($D67,Milestones!$AA$26)&gt;=$R67),$U67,$T67)))=Milestones!$AB$26),TEXT(EDATE($D67,Milestones!$AA$26),"dd/mm/yy")&amp;" "&amp;Milestones!$AB$26&amp;" "&amp;Milestones!$AC$26&amp;";  ","")&amp;IF(AND(EDATE($D67,Milestones!$AA$27)&lt;=AsOfDate,IF($Q67=0,$W67,IF(AND($S67&lt;&gt;"",EDATE($D67,Milestones!$AA$27)&gt;=$S67),$V67,IF(AND($R67&lt;&gt;"",EDATE($D67,Milestones!$AA$27)&gt;=$R67),$U67,$T67)))=Milestones!$AB$27),TEXT(EDATE($D67,Milestones!$AA$27),"dd/mm/yy")&amp;" "&amp;Milestones!$AB$27&amp;" "&amp;Milestones!$AC$27&amp;";  ","")&amp;IF(AND(EDATE($D67,Milestones!$AA$28)&lt;=AsOfDate,IF($Q67=0,$W67,IF(AND($S67&lt;&gt;"",EDATE($D67,Milestones!$AA$28)&gt;=$S67),$V67,IF(AND($R67&lt;&gt;"",EDATE($D67,Milestones!$AA$28)&gt;=$R67),$U67,$T67)))=Milestones!$AB$28),TEXT(EDATE($D67,Milestones!$AA$28),"dd/mm/yy")&amp;" "&amp;Milestones!$AB$28&amp;" "&amp;Milestones!$AC$28&amp;";  ","")&amp;IF(AND(EDATE($D67,Milestones!$AA$29)&lt;=AsOfDate,IF($Q67=0,$W67,IF(AND($S67&lt;&gt;"",EDATE($D67,Milestones!$AA$29)&gt;=$S67),$V67,IF(AND($R67&lt;&gt;"",EDATE($D67,Milestones!$AA$29)&gt;=$R67),$U67,$T67)))=Milestones!$AB$29),TEXT(EDATE($D67,Milestones!$AA$29),"dd/mm/yy")&amp;" "&amp;Milestones!$AB$29&amp;" "&amp;Milestones!$AC$29&amp;";  ","")&amp;IF(AND(EDATE($D67,Milestones!$AA$30)&lt;=AsOfDate,IF($Q67=0,$W67,IF(AND($S67&lt;&gt;"",EDATE($D67,Milestones!$AA$30)&gt;=$S67),$V67,IF(AND($R67&lt;&gt;"",EDATE($D67,Milestones!$AA$30)&gt;=$R67),$U67,$T67)))=Milestones!$AB$30),TEXT(EDATE($D67,Milestones!$AA$30),"dd/mm/yy")&amp;" "&amp;Milestones!$AB$30&amp;" "&amp;Milestones!$AC$30&amp;";  ","")&amp;IF(AND(EDATE($D67,Milestones!$AA$31)&lt;=AsOfDate,IF($Q67=0,$W67,IF(AND($S67&lt;&gt;"",EDATE($D67,Milestones!$AA$31)&gt;=$S67),$V67,IF(AND($R67&lt;&gt;"",EDATE($D67,Milestones!$AA$31)&gt;=$R67),$U67,$T67)))=Milestones!$AB$31),TEXT(EDATE($D67,Milestones!$AA$31),"dd/mm/yy")&amp;" "&amp;Milestones!$AB$31&amp;" "&amp;Milestones!$AC$31&amp;";  ","")&amp;IF(AND(EDATE($D67,Milestones!$AA$32)&lt;=AsOfDate,IF($Q67=0,$W67,IF(AND($S67&lt;&gt;"",EDATE($D67,Milestones!$AA$32)&gt;=$S67),$V67,IF(AND($R67&lt;&gt;"",EDATE($D67,Milestones!$AA$32)&gt;=$R67),$U67,$T67)))=Milestones!$AB$32),TEXT(EDATE($D67,Milestones!$AA$32),"dd/mm/yy")&amp;" "&amp;Milestones!$AB$32&amp;" "&amp;Milestones!$AC$32&amp;";  ","")&amp;IF(AND(EDATE($D67,Milestones!$AA$33)&lt;=AsOfDate,IF($Q67=0,$W67,IF(AND($S67&lt;&gt;"",EDATE($D67,Milestones!$AA$33)&gt;=$S67),$V67,IF(AND($R67&lt;&gt;"",EDATE($D67,Milestones!$AA$33)&gt;=$R67),$U67,$T67)))=Milestones!$AB$33),TEXT(EDATE($D67,Milestones!$AA$33),"dd/mm/yy")&amp;" "&amp;Milestones!$AB$33&amp;" "&amp;Milestones!$AC$33&amp;";  ","")&amp;IF(AND(EDATE($D67,Milestones!$AA$34)&lt;=AsOfDate,IF($Q67=0,$W67,IF(AND($S67&lt;&gt;"",EDATE($D67,Milestones!$AA$34)&gt;=$S67),$V67,IF(AND($R67&lt;&gt;"",EDATE($D67,Milestones!$AA$34)&gt;=$R67),$U67,$T67)))=Milestones!$AB$34),TEXT(EDATE($D67,Milestones!$AA$34),"dd/mm/yy")&amp;" "&amp;Milestones!$AB$34&amp;" "&amp;Milestones!$AC$34&amp;";  ","")&amp;IF(AND(EDATE($D67,Milestones!$AA$35)&lt;=AsOfDate,IF($Q67=0,$W67,IF(AND($S67&lt;&gt;"",EDATE($D67,Milestones!$AA$35)&gt;=$S67),$V67,IF(AND($R67&lt;&gt;"",EDATE($D67,Milestones!$AA$35)&gt;=$R67),$U67,$T67)))=Milestones!$AB$35),TEXT(EDATE($D67,Milestones!$AA$35),"dd/mm/yy")&amp;" "&amp;Milestones!$AB$35&amp;" "&amp;Milestones!$AC$35&amp;";  ","")&amp;IF(AND(EDATE($D67,Milestones!$AA$36)&lt;=AsOfDate,IF($Q67=0,$W67,IF(AND($S67&lt;&gt;"",EDATE($D67,Milestones!$AA$36)&gt;=$S67),$V67,IF(AND($R67&lt;&gt;"",EDATE($D67,Milestones!$AA$36)&gt;=$R67),$U67,$T67)))=Milestones!$AB$36),TEXT(EDATE($D67,Milestones!$AA$36),"dd/mm/yy")&amp;" "&amp;Milestones!$AB$36&amp;" "&amp;Milestones!$AC$36&amp;";  ","")&amp;IF(AND(EDATE($D67,Milestones!$AA$37)&lt;=AsOfDate,IF($Q67=0,$W67,IF(AND($S67&lt;&gt;"",EDATE($D67,Milestones!$AA$37)&gt;=$S67),$V67,IF(AND($R67&lt;&gt;"",EDATE($D67,Milestones!$AA$37)&gt;=$R67),$U67,$T67)))=Milestones!$AB$37),TEXT(EDATE($D67,Milestones!$AA$37),"dd/mm/yy")&amp;" "&amp;Milestones!$AB$37&amp;" "&amp;Milestones!$AC$37&amp;";  ","")&amp;IF(AND(EDATE($D67,Milestones!$AA$38)&lt;=AsOfDate,IF($Q67=0,$W67,IF(AND($S67&lt;&gt;"",EDATE($D67,Milestones!$AA$38)&gt;=$S67),$V67,IF(AND($R67&lt;&gt;"",EDATE($D67,Milestones!$AA$38)&gt;=$R67),$U67,$T67)))=Milestones!$AB$38),TEXT(EDATE($D67,Milestones!$AA$38),"dd/mm/yy")&amp;" "&amp;Milestones!$AB$38&amp;" "&amp;Milestones!$AC$38&amp;";  ","")&amp;IF(AND(EDATE($D67,Milestones!$AA$39)&lt;=AsOfDate,IF($Q67=0,$W67,IF(AND($S67&lt;&gt;"",EDATE($D67,Milestones!$AA$39)&gt;=$S67),$V67,IF(AND($R67&lt;&gt;"",EDATE($D67,Milestones!$AA$39)&gt;=$R67),$U67,$T67)))=Milestones!$AB$39),TEXT(EDATE($D67,Milestones!$AA$39),"dd/mm/yy")&amp;" "&amp;Milestones!$AB$39&amp;" "&amp;Milestones!$AC$39&amp;";  ",""))</f>
        <v/>
      </c>
      <c r="I67" s="0" t="str">
        <f aca="false">IF(OR($A67="",$D67=""),"",IF(AND(EDATE($D67,Milestones!$AA$40)&lt;=AsOfDate,IF($Q67=0,$W67,IF(AND($S67&lt;&gt;"",EDATE($D67,Milestones!$AA$40)&gt;=$S67),$V67,IF(AND($R67&lt;&gt;"",EDATE($D67,Milestones!$AA$40)&gt;=$R67),$U67,$T67)))=Milestones!$AB$40),TEXT(EDATE($D67,Milestones!$AA$40),"dd/mm/yy")&amp;" "&amp;Milestones!$AB$40&amp;" "&amp;Milestones!$AC$40&amp;";  ","")&amp;IF(AND(EDATE($D67,Milestones!$AA$41)&lt;=AsOfDate,IF($Q67=0,$W67,IF(AND($S67&lt;&gt;"",EDATE($D67,Milestones!$AA$41)&gt;=$S67),$V67,IF(AND($R67&lt;&gt;"",EDATE($D67,Milestones!$AA$41)&gt;=$R67),$U67,$T67)))=Milestones!$AB$41),TEXT(EDATE($D67,Milestones!$AA$41),"dd/mm/yy")&amp;" "&amp;Milestones!$AB$41&amp;" "&amp;Milestones!$AC$41&amp;";  ","")&amp;IF(AND(EDATE($D67,Milestones!$AA$42)&lt;=AsOfDate,IF($Q67=0,$W67,IF(AND($S67&lt;&gt;"",EDATE($D67,Milestones!$AA$42)&gt;=$S67),$V67,IF(AND($R67&lt;&gt;"",EDATE($D67,Milestones!$AA$42)&gt;=$R67),$U67,$T67)))=Milestones!$AB$42),TEXT(EDATE($D67,Milestones!$AA$42),"dd/mm/yy")&amp;" "&amp;Milestones!$AB$42&amp;" "&amp;Milestones!$AC$42&amp;";  ","")&amp;IF(AND(EDATE($D67,Milestones!$AA$43)&lt;=AsOfDate,IF($Q67=0,$W67,IF(AND($S67&lt;&gt;"",EDATE($D67,Milestones!$AA$43)&gt;=$S67),$V67,IF(AND($R67&lt;&gt;"",EDATE($D67,Milestones!$AA$43)&gt;=$R67),$U67,$T67)))=Milestones!$AB$43),TEXT(EDATE($D67,Milestones!$AA$43),"dd/mm/yy")&amp;" "&amp;Milestones!$AB$43&amp;" "&amp;Milestones!$AC$43&amp;";  ","")&amp;IF(AND(EDATE($D67,Milestones!$AA$44)&lt;=AsOfDate,IF($Q67=0,$W67,IF(AND($S67&lt;&gt;"",EDATE($D67,Milestones!$AA$44)&gt;=$S67),$V67,IF(AND($R67&lt;&gt;"",EDATE($D67,Milestones!$AA$44)&gt;=$R67),$U67,$T67)))=Milestones!$AB$44),TEXT(EDATE($D67,Milestones!$AA$44),"dd/mm/yy")&amp;" "&amp;Milestones!$AB$44&amp;" "&amp;Milestones!$AC$44&amp;";  ","")&amp;IF(AND(EDATE($D67,Milestones!$AA$45)&lt;=AsOfDate,IF($Q67=0,$W67,IF(AND($S67&lt;&gt;"",EDATE($D67,Milestones!$AA$45)&gt;=$S67),$V67,IF(AND($R67&lt;&gt;"",EDATE($D67,Milestones!$AA$45)&gt;=$R67),$U67,$T67)))=Milestones!$AB$45),TEXT(EDATE($D67,Milestones!$AA$45),"dd/mm/yy")&amp;" "&amp;Milestones!$AB$45&amp;" "&amp;Milestones!$AC$45&amp;";  ","")&amp;IF(AND(EDATE($D67,Milestones!$AA$46)&lt;=AsOfDate,IF($Q67=0,$W67,IF(AND($S67&lt;&gt;"",EDATE($D67,Milestones!$AA$46)&gt;=$S67),$V67,IF(AND($R67&lt;&gt;"",EDATE($D67,Milestones!$AA$46)&gt;=$R67),$U67,$T67)))=Milestones!$AB$46),TEXT(EDATE($D67,Milestones!$AA$46),"dd/mm/yy")&amp;" "&amp;Milestones!$AB$46&amp;" "&amp;Milestones!$AC$46&amp;";  ","")&amp;IF(AND(EDATE($D67,Milestones!$AA$47)&lt;=AsOfDate,IF($Q67=0,$W67,IF(AND($S67&lt;&gt;"",EDATE($D67,Milestones!$AA$47)&gt;=$S67),$V67,IF(AND($R67&lt;&gt;"",EDATE($D67,Milestones!$AA$47)&gt;=$R67),$U67,$T67)))=Milestones!$AB$47),TEXT(EDATE($D67,Milestones!$AA$47),"dd/mm/yy")&amp;" "&amp;Milestones!$AB$47&amp;" "&amp;Milestones!$AC$47&amp;";  ","")&amp;IF(AND(EDATE($D67,Milestones!$AA$48)&lt;=AsOfDate,IF($Q67=0,$W67,IF(AND($S67&lt;&gt;"",EDATE($D67,Milestones!$AA$48)&gt;=$S67),$V67,IF(AND($R67&lt;&gt;"",EDATE($D67,Milestones!$AA$48)&gt;=$R67),$U67,$T67)))=Milestones!$AB$48),TEXT(EDATE($D67,Milestones!$AA$48),"dd/mm/yy")&amp;" "&amp;Milestones!$AB$48&amp;" "&amp;Milestones!$AC$48&amp;";  ","")&amp;IF(AND(EDATE($D67,Milestones!$AA$49)&lt;=AsOfDate,IF($Q67=0,$W67,IF(AND($S67&lt;&gt;"",EDATE($D67,Milestones!$AA$49)&gt;=$S67),$V67,IF(AND($R67&lt;&gt;"",EDATE($D67,Milestones!$AA$49)&gt;=$R67),$U67,$T67)))=Milestones!$AB$49),TEXT(EDATE($D67,Milestones!$AA$49),"dd/mm/yy")&amp;" "&amp;Milestones!$AB$49&amp;" "&amp;Milestones!$AC$49&amp;";  ","")&amp;IF(AND(EDATE($D67,Milestones!$AA$50)&lt;=AsOfDate,IF($Q67=0,$W67,IF(AND($S67&lt;&gt;"",EDATE($D67,Milestones!$AA$50)&gt;=$S67),$V67,IF(AND($R67&lt;&gt;"",EDATE($D67,Milestones!$AA$50)&gt;=$R67),$U67,$T67)))=Milestones!$AB$50),TEXT(EDATE($D67,Milestones!$AA$50),"dd/mm/yy")&amp;" "&amp;Milestones!$AB$50&amp;" "&amp;Milestones!$AC$50&amp;";  ","")&amp;IF(AND(EDATE($D67,Milestones!$AA$51)&lt;=AsOfDate,IF($Q67=0,$W67,IF(AND($S67&lt;&gt;"",EDATE($D67,Milestones!$AA$51)&gt;=$S67),$V67,IF(AND($R67&lt;&gt;"",EDATE($D67,Milestones!$AA$51)&gt;=$R67),$U67,$T67)))=Milestones!$AB$51),TEXT(EDATE($D67,Milestones!$AA$51),"dd/mm/yy")&amp;" "&amp;Milestones!$AB$51&amp;" "&amp;Milestones!$AC$51&amp;";  ","")&amp;IF(AND(EDATE($D67,Milestones!$AA$52)&lt;=AsOfDate,IF($Q67=0,$W67,IF(AND($S67&lt;&gt;"",EDATE($D67,Milestones!$AA$52)&gt;=$S67),$V67,IF(AND($R67&lt;&gt;"",EDATE($D67,Milestones!$AA$52)&gt;=$R67),$U67,$T67)))=Milestones!$AB$52),TEXT(EDATE($D67,Milestones!$AA$52),"dd/mm/yy")&amp;" "&amp;Milestones!$AB$52&amp;" "&amp;Milestones!$AC$52&amp;";  ","")&amp;IF(AND(EDATE($D67,Milestones!$AA$53)&lt;=AsOfDate,IF($Q67=0,$W67,IF(AND($S67&lt;&gt;"",EDATE($D67,Milestones!$AA$53)&gt;=$S67),$V67,IF(AND($R67&lt;&gt;"",EDATE($D67,Milestones!$AA$53)&gt;=$R67),$U67,$T67)))=Milestones!$AB$53),TEXT(EDATE($D67,Milestones!$AA$53),"dd/mm/yy")&amp;" "&amp;Milestones!$AB$53&amp;" "&amp;Milestones!$AC$53&amp;";  ","")&amp;IF(AND(EDATE($D67,Milestones!$AA$54)&lt;=AsOfDate,IF($Q67=0,$W67,IF(AND($S67&lt;&gt;"",EDATE($D67,Milestones!$AA$54)&gt;=$S67),$V67,IF(AND($R67&lt;&gt;"",EDATE($D67,Milestones!$AA$54)&gt;=$R67),$U67,$T67)))=Milestones!$AB$54),TEXT(EDATE($D67,Milestones!$AA$54),"dd/mm/yy")&amp;" "&amp;Milestones!$AB$54&amp;" "&amp;Milestones!$AC$54&amp;";  ","")&amp;IF(AND(EDATE($D67,Milestones!$AA$55)&lt;=AsOfDate,IF($Q67=0,$W67,IF(AND($S67&lt;&gt;"",EDATE($D67,Milestones!$AA$55)&gt;=$S67),$V67,IF(AND($R67&lt;&gt;"",EDATE($D67,Milestones!$AA$55)&gt;=$R67),$U67,$T67)))=Milestones!$AB$55),TEXT(EDATE($D67,Milestones!$AA$55),"dd/mm/yy")&amp;" "&amp;Milestones!$AB$55&amp;" "&amp;Milestones!$AC$55&amp;";  ","")&amp;IF(AND(EDATE($D67,Milestones!$AA$56)&lt;=AsOfDate,IF($Q67=0,$W67,IF(AND($S67&lt;&gt;"",EDATE($D67,Milestones!$AA$56)&gt;=$S67),$V67,IF(AND($R67&lt;&gt;"",EDATE($D67,Milestones!$AA$56)&gt;=$R67),$U67,$T67)))=Milestones!$AB$56),TEXT(EDATE($D67,Milestones!$AA$56),"dd/mm/yy")&amp;" "&amp;Milestones!$AB$56&amp;" "&amp;Milestones!$AC$56&amp;";  ","")&amp;IF(AND(EDATE($D67,Milestones!$AA$57)&lt;=AsOfDate,IF($Q67=0,$W67,IF(AND($S67&lt;&gt;"",EDATE($D67,Milestones!$AA$57)&gt;=$S67),$V67,IF(AND($R67&lt;&gt;"",EDATE($D67,Milestones!$AA$57)&gt;=$R67),$U67,$T67)))=Milestones!$AB$57),TEXT(EDATE($D67,Milestones!$AA$57),"dd/mm/yy")&amp;" "&amp;Milestones!$AB$57&amp;" "&amp;Milestones!$AC$57&amp;";  ","")&amp;IF(AND(EDATE($D67,Milestones!$AA$58)&lt;=AsOfDate,IF($Q67=0,$W67,IF(AND($S67&lt;&gt;"",EDATE($D67,Milestones!$AA$58)&gt;=$S67),$V67,IF(AND($R67&lt;&gt;"",EDATE($D67,Milestones!$AA$58)&gt;=$R67),$U67,$T67)))=Milestones!$AB$58),TEXT(EDATE($D67,Milestones!$AA$58),"dd/mm/yy")&amp;" "&amp;Milestones!$AB$58&amp;" "&amp;Milestones!$AC$58&amp;";  ","")&amp;IF(AND(EDATE($D67,Milestones!$AA$59)&lt;=AsOfDate,IF($Q67=0,$W67,IF(AND($S67&lt;&gt;"",EDATE($D67,Milestones!$AA$59)&gt;=$S67),$V67,IF(AND($R67&lt;&gt;"",EDATE($D67,Milestones!$AA$59)&gt;=$R67),$U67,$T67)))=Milestones!$AB$59),TEXT(EDATE($D67,Milestones!$AA$59),"dd/mm/yy")&amp;" "&amp;Milestones!$AB$59&amp;" "&amp;Milestones!$AC$59&amp;";  ",""))</f>
        <v/>
      </c>
      <c r="J67" s="0" t="str">
        <f aca="false">IF(OR($A67="",$D67=""),"",IF(AND(EDATE($D67,Milestones!$AA$60)&lt;=AsOfDate,IF($Q67=0,$W67,IF(AND($S67&lt;&gt;"",EDATE($D67,Milestones!$AA$60)&gt;=$S67),$V67,IF(AND($R67&lt;&gt;"",EDATE($D67,Milestones!$AA$60)&gt;=$R67),$U67,$T67)))=Milestones!$AB$60),TEXT(EDATE($D67,Milestones!$AA$60),"dd/mm/yy")&amp;" "&amp;Milestones!$AB$60&amp;" "&amp;Milestones!$AC$60&amp;";  ","")&amp;IF(AND(EDATE($D67,Milestones!$AA$61)&lt;=AsOfDate,IF($Q67=0,$W67,IF(AND($S67&lt;&gt;"",EDATE($D67,Milestones!$AA$61)&gt;=$S67),$V67,IF(AND($R67&lt;&gt;"",EDATE($D67,Milestones!$AA$61)&gt;=$R67),$U67,$T67)))=Milestones!$AB$61),TEXT(EDATE($D67,Milestones!$AA$61),"dd/mm/yy")&amp;" "&amp;Milestones!$AB$61&amp;" "&amp;Milestones!$AC$61&amp;";  ","")&amp;IF(AND(EDATE($D67,Milestones!$AA$62)&lt;=AsOfDate,IF($Q67=0,$W67,IF(AND($S67&lt;&gt;"",EDATE($D67,Milestones!$AA$62)&gt;=$S67),$V67,IF(AND($R67&lt;&gt;"",EDATE($D67,Milestones!$AA$62)&gt;=$R67),$U67,$T67)))=Milestones!$AB$62),TEXT(EDATE($D67,Milestones!$AA$62),"dd/mm/yy")&amp;" "&amp;Milestones!$AB$62&amp;" "&amp;Milestones!$AC$62&amp;";  ","")&amp;IF(AND(EDATE($D67,Milestones!$AA$63)&lt;=AsOfDate,IF($Q67=0,$W67,IF(AND($S67&lt;&gt;"",EDATE($D67,Milestones!$AA$63)&gt;=$S67),$V67,IF(AND($R67&lt;&gt;"",EDATE($D67,Milestones!$AA$63)&gt;=$R67),$U67,$T67)))=Milestones!$AB$63),TEXT(EDATE($D67,Milestones!$AA$63),"dd/mm/yy")&amp;" "&amp;Milestones!$AB$63&amp;" "&amp;Milestones!$AC$63&amp;";  ","")&amp;IF(AND(EDATE($D67,Milestones!$AA$64)&lt;=AsOfDate,IF($Q67=0,$W67,IF(AND($S67&lt;&gt;"",EDATE($D67,Milestones!$AA$64)&gt;=$S67),$V67,IF(AND($R67&lt;&gt;"",EDATE($D67,Milestones!$AA$64)&gt;=$R67),$U67,$T67)))=Milestones!$AB$64),TEXT(EDATE($D67,Milestones!$AA$64),"dd/mm/yy")&amp;" "&amp;Milestones!$AB$64&amp;" "&amp;Milestones!$AC$64&amp;";  ","")&amp;IF(AND(EDATE($D67,Milestones!$AA$65)&lt;=AsOfDate,IF($Q67=0,$W67,IF(AND($S67&lt;&gt;"",EDATE($D67,Milestones!$AA$65)&gt;=$S67),$V67,IF(AND($R67&lt;&gt;"",EDATE($D67,Milestones!$AA$65)&gt;=$R67),$U67,$T67)))=Milestones!$AB$65),TEXT(EDATE($D67,Milestones!$AA$65),"dd/mm/yy")&amp;" "&amp;Milestones!$AB$65&amp;" "&amp;Milestones!$AC$65&amp;";  ","")&amp;IF(AND(EDATE($D67,Milestones!$AA$66)&lt;=AsOfDate,IF($Q67=0,$W67,IF(AND($S67&lt;&gt;"",EDATE($D67,Milestones!$AA$66)&gt;=$S67),$V67,IF(AND($R67&lt;&gt;"",EDATE($D67,Milestones!$AA$66)&gt;=$R67),$U67,$T67)))=Milestones!$AB$66),TEXT(EDATE($D67,Milestones!$AA$66),"dd/mm/yy")&amp;" "&amp;Milestones!$AB$66&amp;" "&amp;Milestones!$AC$66&amp;";  ","")&amp;IF(AND(EDATE($D67,Milestones!$AA$67)&lt;=AsOfDate,IF($Q67=0,$W67,IF(AND($S67&lt;&gt;"",EDATE($D67,Milestones!$AA$67)&gt;=$S67),$V67,IF(AND($R67&lt;&gt;"",EDATE($D67,Milestones!$AA$67)&gt;=$R67),$U67,$T67)))=Milestones!$AB$67),TEXT(EDATE($D67,Milestones!$AA$67),"dd/mm/yy")&amp;" "&amp;Milestones!$AB$67&amp;" "&amp;Milestones!$AC$67&amp;";  ","")&amp;IF(AND(EDATE($D67,Milestones!$AA$68)&lt;=AsOfDate,IF($Q67=0,$W67,IF(AND($S67&lt;&gt;"",EDATE($D67,Milestones!$AA$68)&gt;=$S67),$V67,IF(AND($R67&lt;&gt;"",EDATE($D67,Milestones!$AA$68)&gt;=$R67),$U67,$T67)))=Milestones!$AB$68),TEXT(EDATE($D67,Milestones!$AA$68),"dd/mm/yy")&amp;" "&amp;Milestones!$AB$68&amp;" "&amp;Milestones!$AC$68&amp;";  ","")&amp;IF(AND(EDATE($D67,Milestones!$AA$69)&lt;=AsOfDate,IF($Q67=0,$W67,IF(AND($S67&lt;&gt;"",EDATE($D67,Milestones!$AA$69)&gt;=$S67),$V67,IF(AND($R67&lt;&gt;"",EDATE($D67,Milestones!$AA$69)&gt;=$R67),$U67,$T67)))=Milestones!$AB$69),TEXT(EDATE($D67,Milestones!$AA$69),"dd/mm/yy")&amp;" "&amp;Milestones!$AB$69&amp;" "&amp;Milestones!$AC$69&amp;";  ","")&amp;IF(AND(EDATE($D67,Milestones!$AA$70)&lt;=AsOfDate,IF($Q67=0,$W67,IF(AND($S67&lt;&gt;"",EDATE($D67,Milestones!$AA$70)&gt;=$S67),$V67,IF(AND($R67&lt;&gt;"",EDATE($D67,Milestones!$AA$70)&gt;=$R67),$U67,$T67)))=Milestones!$AB$70),TEXT(EDATE($D67,Milestones!$AA$70),"dd/mm/yy")&amp;" "&amp;Milestones!$AB$70&amp;" "&amp;Milestones!$AC$70&amp;";  ","")&amp;IF(AND(EDATE($D67,Milestones!$AA$71)&lt;=AsOfDate,IF($Q67=0,$W67,IF(AND($S67&lt;&gt;"",EDATE($D67,Milestones!$AA$71)&gt;=$S67),$V67,IF(AND($R67&lt;&gt;"",EDATE($D67,Milestones!$AA$71)&gt;=$R67),$U67,$T67)))=Milestones!$AB$71),TEXT(EDATE($D67,Milestones!$AA$71),"dd/mm/yy")&amp;" "&amp;Milestones!$AB$71&amp;" "&amp;Milestones!$AC$71&amp;";  ","")&amp;IF(AND(EDATE($D67,Milestones!$AA$72)&lt;=AsOfDate,IF($Q67=0,$W67,IF(AND($S67&lt;&gt;"",EDATE($D67,Milestones!$AA$72)&gt;=$S67),$V67,IF(AND($R67&lt;&gt;"",EDATE($D67,Milestones!$AA$72)&gt;=$R67),$U67,$T67)))=Milestones!$AB$72),TEXT(EDATE($D67,Milestones!$AA$72),"dd/mm/yy")&amp;" "&amp;Milestones!$AB$72&amp;" "&amp;Milestones!$AC$72&amp;";  ","")&amp;IF(AND(EDATE($D67,Milestones!$AA$73)&lt;=AsOfDate,IF($Q67=0,$W67,IF(AND($S67&lt;&gt;"",EDATE($D67,Milestones!$AA$73)&gt;=$S67),$V67,IF(AND($R67&lt;&gt;"",EDATE($D67,Milestones!$AA$73)&gt;=$R67),$U67,$T67)))=Milestones!$AB$73),TEXT(EDATE($D67,Milestones!$AA$73),"dd/mm/yy")&amp;" "&amp;Milestones!$AB$73&amp;" "&amp;Milestones!$AC$73&amp;";  ","")&amp;IF(AND(EDATE($D67,Milestones!$AA$74)&lt;=AsOfDate,IF($Q67=0,$W67,IF(AND($S67&lt;&gt;"",EDATE($D67,Milestones!$AA$74)&gt;=$S67),$V67,IF(AND($R67&lt;&gt;"",EDATE($D67,Milestones!$AA$74)&gt;=$R67),$U67,$T67)))=Milestones!$AB$74),TEXT(EDATE($D67,Milestones!$AA$74),"dd/mm/yy")&amp;" "&amp;Milestones!$AB$74&amp;" "&amp;Milestones!$AC$74&amp;";  ","")&amp;IF(AND(EDATE($D67,Milestones!$AA$75)&lt;=AsOfDate,IF($Q67=0,$W67,IF(AND($S67&lt;&gt;"",EDATE($D67,Milestones!$AA$75)&gt;=$S67),$V67,IF(AND($R67&lt;&gt;"",EDATE($D67,Milestones!$AA$75)&gt;=$R67),$U67,$T67)))=Milestones!$AB$75),TEXT(EDATE($D67,Milestones!$AA$75),"dd/mm/yy")&amp;" "&amp;Milestones!$AB$75&amp;" "&amp;Milestones!$AC$75&amp;";  ","")&amp;IF(AND(EDATE($D67,Milestones!$AA$76)&lt;=AsOfDate,IF($Q67=0,$W67,IF(AND($S67&lt;&gt;"",EDATE($D67,Milestones!$AA$76)&gt;=$S67),$V67,IF(AND($R67&lt;&gt;"",EDATE($D67,Milestones!$AA$76)&gt;=$R67),$U67,$T67)))=Milestones!$AB$76),TEXT(EDATE($D67,Milestones!$AA$76),"dd/mm/yy")&amp;" "&amp;Milestones!$AB$76&amp;" "&amp;Milestones!$AC$76&amp;";  ","")&amp;IF(AND(EDATE($D67,Milestones!$AA$77)&lt;=AsOfDate,IF($Q67=0,$W67,IF(AND($S67&lt;&gt;"",EDATE($D67,Milestones!$AA$77)&gt;=$S67),$V67,IF(AND($R67&lt;&gt;"",EDATE($D67,Milestones!$AA$77)&gt;=$R67),$U67,$T67)))=Milestones!$AB$77),TEXT(EDATE($D67,Milestones!$AA$77),"dd/mm/yy")&amp;" "&amp;Milestones!$AB$77&amp;" "&amp;Milestones!$AC$77&amp;";  ","")&amp;IF(AND(EDATE($D67,Milestones!$AA$78)&lt;=AsOfDate,IF($Q67=0,$W67,IF(AND($S67&lt;&gt;"",EDATE($D67,Milestones!$AA$78)&gt;=$S67),$V67,IF(AND($R67&lt;&gt;"",EDATE($D67,Milestones!$AA$78)&gt;=$R67),$U67,$T67)))=Milestones!$AB$78),TEXT(EDATE($D67,Milestones!$AA$78),"dd/mm/yy")&amp;" "&amp;Milestones!$AB$78&amp;" "&amp;Milestones!$AC$78&amp;";  ","")&amp;IF(AND(EDATE($D67,Milestones!$AA$79)&lt;=AsOfDate,IF($Q67=0,$W67,IF(AND($S67&lt;&gt;"",EDATE($D67,Milestones!$AA$79)&gt;=$S67),$V67,IF(AND($R67&lt;&gt;"",EDATE($D67,Milestones!$AA$79)&gt;=$R67),$U67,$T67)))=Milestones!$AB$79),TEXT(EDATE($D67,Milestones!$AA$79),"dd/mm/yy")&amp;" "&amp;Milestones!$AB$79&amp;" "&amp;Milestones!$AC$79&amp;";  ",""))</f>
        <v/>
      </c>
      <c r="K67" s="0" t="str">
        <f aca="false">IF(OR($A67="",$D67=""),"",IF(AND(EDATE($D67,Milestones!$AA$80)&lt;=AsOfDate,IF($Q67=0,$W67,IF(AND($S67&lt;&gt;"",EDATE($D67,Milestones!$AA$80)&gt;=$S67),$V67,IF(AND($R67&lt;&gt;"",EDATE($D67,Milestones!$AA$80)&gt;=$R67),$U67,$T67)))=Milestones!$AB$80),TEXT(EDATE($D67,Milestones!$AA$80),"dd/mm/yy")&amp;" "&amp;Milestones!$AB$80&amp;" "&amp;Milestones!$AC$80&amp;";  ","")&amp;IF(AND(EDATE($D67,Milestones!$AA$81)&lt;=AsOfDate,IF($Q67=0,$W67,IF(AND($S67&lt;&gt;"",EDATE($D67,Milestones!$AA$81)&gt;=$S67),$V67,IF(AND($R67&lt;&gt;"",EDATE($D67,Milestones!$AA$81)&gt;=$R67),$U67,$T67)))=Milestones!$AB$81),TEXT(EDATE($D67,Milestones!$AA$81),"dd/mm/yy")&amp;" "&amp;Milestones!$AB$81&amp;" "&amp;Milestones!$AC$81&amp;";  ","")&amp;IF(AND(EDATE($D67,Milestones!$AA$82)&lt;=AsOfDate,IF($Q67=0,$W67,IF(AND($S67&lt;&gt;"",EDATE($D67,Milestones!$AA$82)&gt;=$S67),$V67,IF(AND($R67&lt;&gt;"",EDATE($D67,Milestones!$AA$82)&gt;=$R67),$U67,$T67)))=Milestones!$AB$82),TEXT(EDATE($D67,Milestones!$AA$82),"dd/mm/yy")&amp;" "&amp;Milestones!$AB$82&amp;" "&amp;Milestones!$AC$82&amp;";  ","")&amp;IF(AND(EDATE($D67,Milestones!$AA$83)&lt;=AsOfDate,IF($Q67=0,$W67,IF(AND($S67&lt;&gt;"",EDATE($D67,Milestones!$AA$83)&gt;=$S67),$V67,IF(AND($R67&lt;&gt;"",EDATE($D67,Milestones!$AA$83)&gt;=$R67),$U67,$T67)))=Milestones!$AB$83),TEXT(EDATE($D67,Milestones!$AA$83),"dd/mm/yy")&amp;" "&amp;Milestones!$AB$83&amp;" "&amp;Milestones!$AC$83&amp;";  ","")&amp;IF(AND(EDATE($D67,Milestones!$AA$84)&lt;=AsOfDate,IF($Q67=0,$W67,IF(AND($S67&lt;&gt;"",EDATE($D67,Milestones!$AA$84)&gt;=$S67),$V67,IF(AND($R67&lt;&gt;"",EDATE($D67,Milestones!$AA$84)&gt;=$R67),$U67,$T67)))=Milestones!$AB$84),TEXT(EDATE($D67,Milestones!$AA$84),"dd/mm/yy")&amp;" "&amp;Milestones!$AB$84&amp;" "&amp;Milestones!$AC$84&amp;";  ","")&amp;IF(AND(EDATE($D67,Milestones!$AA$85)&lt;=AsOfDate,IF($Q67=0,$W67,IF(AND($S67&lt;&gt;"",EDATE($D67,Milestones!$AA$85)&gt;=$S67),$V67,IF(AND($R67&lt;&gt;"",EDATE($D67,Milestones!$AA$85)&gt;=$R67),$U67,$T67)))=Milestones!$AB$85),TEXT(EDATE($D67,Milestones!$AA$85),"dd/mm/yy")&amp;" "&amp;Milestones!$AB$85&amp;" "&amp;Milestones!$AC$85&amp;";  ","")&amp;IF(AND(EDATE($D67,Milestones!$AA$86)&lt;=AsOfDate,IF($Q67=0,$W67,IF(AND($S67&lt;&gt;"",EDATE($D67,Milestones!$AA$86)&gt;=$S67),$V67,IF(AND($R67&lt;&gt;"",EDATE($D67,Milestones!$AA$86)&gt;=$R67),$U67,$T67)))=Milestones!$AB$86),TEXT(EDATE($D67,Milestones!$AA$86),"dd/mm/yy")&amp;" "&amp;Milestones!$AB$86&amp;" "&amp;Milestones!$AC$86&amp;";  ","")&amp;IF(AND(EDATE($D67,Milestones!$AA$87)&lt;=AsOfDate,IF($Q67=0,$W67,IF(AND($S67&lt;&gt;"",EDATE($D67,Milestones!$AA$87)&gt;=$S67),$V67,IF(AND($R67&lt;&gt;"",EDATE($D67,Milestones!$AA$87)&gt;=$R67),$U67,$T67)))=Milestones!$AB$87),TEXT(EDATE($D67,Milestones!$AA$87),"dd/mm/yy")&amp;" "&amp;Milestones!$AB$87&amp;" "&amp;Milestones!$AC$87&amp;";  ","")&amp;IF(AND(EDATE($D67,Milestones!$AA$88)&lt;=AsOfDate,IF($Q67=0,$W67,IF(AND($S67&lt;&gt;"",EDATE($D67,Milestones!$AA$88)&gt;=$S67),$V67,IF(AND($R67&lt;&gt;"",EDATE($D67,Milestones!$AA$88)&gt;=$R67),$U67,$T67)))=Milestones!$AB$88),TEXT(EDATE($D67,Milestones!$AA$88),"dd/mm/yy")&amp;" "&amp;Milestones!$AB$88&amp;" "&amp;Milestones!$AC$88&amp;";  ","")&amp;IF(AND(EDATE($D67,Milestones!$AA$89)&lt;=AsOfDate,IF($Q67=0,$W67,IF(AND($S67&lt;&gt;"",EDATE($D67,Milestones!$AA$89)&gt;=$S67),$V67,IF(AND($R67&lt;&gt;"",EDATE($D67,Milestones!$AA$89)&gt;=$R67),$U67,$T67)))=Milestones!$AB$89),TEXT(EDATE($D67,Milestones!$AA$89),"dd/mm/yy")&amp;" "&amp;Milestones!$AB$89&amp;" "&amp;Milestones!$AC$89&amp;";  ","")&amp;IF(AND(EDATE($D67,Milestones!$AA$90)&lt;=AsOfDate,IF($Q67=0,$W67,IF(AND($S67&lt;&gt;"",EDATE($D67,Milestones!$AA$90)&gt;=$S67),$V67,IF(AND($R67&lt;&gt;"",EDATE($D67,Milestones!$AA$90)&gt;=$R67),$U67,$T67)))=Milestones!$AB$90),TEXT(EDATE($D67,Milestones!$AA$90),"dd/mm/yy")&amp;" "&amp;Milestones!$AB$90&amp;" "&amp;Milestones!$AC$90&amp;";  ","")&amp;IF(AND(EDATE($D67,Milestones!$AA$91)&lt;=AsOfDate,IF($Q67=0,$W67,IF(AND($S67&lt;&gt;"",EDATE($D67,Milestones!$AA$91)&gt;=$S67),$V67,IF(AND($R67&lt;&gt;"",EDATE($D67,Milestones!$AA$91)&gt;=$R67),$U67,$T67)))=Milestones!$AB$91),TEXT(EDATE($D67,Milestones!$AA$91),"dd/mm/yy")&amp;" "&amp;Milestones!$AB$91&amp;" "&amp;Milestones!$AC$91&amp;";  ","")&amp;IF(AND(EDATE($D67,Milestones!$AA$92)&lt;=AsOfDate,IF($Q67=0,$W67,IF(AND($S67&lt;&gt;"",EDATE($D67,Milestones!$AA$92)&gt;=$S67),$V67,IF(AND($R67&lt;&gt;"",EDATE($D67,Milestones!$AA$92)&gt;=$R67),$U67,$T67)))=Milestones!$AB$92),TEXT(EDATE($D67,Milestones!$AA$92),"dd/mm/yy")&amp;" "&amp;Milestones!$AB$92&amp;" "&amp;Milestones!$AC$92&amp;";  ","")&amp;IF(AND(EDATE($D67,Milestones!$AA$93)&lt;=AsOfDate,IF($Q67=0,$W67,IF(AND($S67&lt;&gt;"",EDATE($D67,Milestones!$AA$93)&gt;=$S67),$V67,IF(AND($R67&lt;&gt;"",EDATE($D67,Milestones!$AA$93)&gt;=$R67),$U67,$T67)))=Milestones!$AB$93),TEXT(EDATE($D67,Milestones!$AA$93),"dd/mm/yy")&amp;" "&amp;Milestones!$AB$93&amp;" "&amp;Milestones!$AC$93&amp;";  ","")&amp;IF(AND(EDATE($D67,Milestones!$AA$94)&lt;=AsOfDate,IF($Q67=0,$W67,IF(AND($S67&lt;&gt;"",EDATE($D67,Milestones!$AA$94)&gt;=$S67),$V67,IF(AND($R67&lt;&gt;"",EDATE($D67,Milestones!$AA$94)&gt;=$R67),$U67,$T67)))=Milestones!$AB$94),TEXT(EDATE($D67,Milestones!$AA$94),"dd/mm/yy")&amp;" "&amp;Milestones!$AB$94&amp;" "&amp;Milestones!$AC$94&amp;";  ","")&amp;IF(AND(EDATE($D67,Milestones!$AA$95)&lt;=AsOfDate,IF($Q67=0,$W67,IF(AND($S67&lt;&gt;"",EDATE($D67,Milestones!$AA$95)&gt;=$S67),$V67,IF(AND($R67&lt;&gt;"",EDATE($D67,Milestones!$AA$95)&gt;=$R67),$U67,$T67)))=Milestones!$AB$95),TEXT(EDATE($D67,Milestones!$AA$95),"dd/mm/yy")&amp;" "&amp;Milestones!$AB$95&amp;" "&amp;Milestones!$AC$95&amp;";  ","")&amp;IF(AND(EDATE($D67,Milestones!$AA$96)&lt;=AsOfDate,IF($Q67=0,$W67,IF(AND($S67&lt;&gt;"",EDATE($D67,Milestones!$AA$96)&gt;=$S67),$V67,IF(AND($R67&lt;&gt;"",EDATE($D67,Milestones!$AA$96)&gt;=$R67),$U67,$T67)))=Milestones!$AB$96),TEXT(EDATE($D67,Milestones!$AA$96),"dd/mm/yy")&amp;" "&amp;Milestones!$AB$96&amp;" "&amp;Milestones!$AC$96&amp;";  ","")&amp;IF(AND(EDATE($D67,Milestones!$AA$97)&lt;=AsOfDate,IF($Q67=0,$W67,IF(AND($S67&lt;&gt;"",EDATE($D67,Milestones!$AA$97)&gt;=$S67),$V67,IF(AND($R67&lt;&gt;"",EDATE($D67,Milestones!$AA$97)&gt;=$R67),$U67,$T67)))=Milestones!$AB$97),TEXT(EDATE($D67,Milestones!$AA$97),"dd/mm/yy")&amp;" "&amp;Milestones!$AB$97&amp;" "&amp;Milestones!$AC$97&amp;";  ","")&amp;IF(AND(EDATE($D67,Milestones!$AA$98)&lt;=AsOfDate,IF($Q67=0,$W67,IF(AND($S67&lt;&gt;"",EDATE($D67,Milestones!$AA$98)&gt;=$S67),$V67,IF(AND($R67&lt;&gt;"",EDATE($D67,Milestones!$AA$98)&gt;=$R67),$U67,$T67)))=Milestones!$AB$98),TEXT(EDATE($D67,Milestones!$AA$98),"dd/mm/yy")&amp;" "&amp;Milestones!$AB$98&amp;" "&amp;Milestones!$AC$98&amp;";  ","")&amp;IF(AND(EDATE($D67,Milestones!$AA$99)&lt;=AsOfDate,IF($Q67=0,$W67,IF(AND($S67&lt;&gt;"",EDATE($D67,Milestones!$AA$99)&gt;=$S67),$V67,IF(AND($R67&lt;&gt;"",EDATE($D67,Milestones!$AA$99)&gt;=$R67),$U67,$T67)))=Milestones!$AB$99),TEXT(EDATE($D67,Milestones!$AA$99),"dd/mm/yy")&amp;" "&amp;Milestones!$AB$99&amp;" "&amp;Milestones!$AC$99&amp;";  ",""))</f>
        <v/>
      </c>
      <c r="L67" s="0" t="str">
        <f aca="false">IF(OR($A67="",$D67=""),"",IF(AND(EDATE($D67,Milestones!$AA$100)&lt;=AsOfDate,IF($Q67=0,$W67,IF(AND($S67&lt;&gt;"",EDATE($D67,Milestones!$AA$100)&gt;=$S67),$V67,IF(AND($R67&lt;&gt;"",EDATE($D67,Milestones!$AA$100)&gt;=$R67),$U67,$T67)))=Milestones!$AB$100),TEXT(EDATE($D67,Milestones!$AA$100),"dd/mm/yy")&amp;" "&amp;Milestones!$AB$100&amp;" "&amp;Milestones!$AC$100&amp;";  ","")&amp;IF(AND(EDATE($D67,Milestones!$AA$101)&lt;=AsOfDate,IF($Q67=0,$W67,IF(AND($S67&lt;&gt;"",EDATE($D67,Milestones!$AA$101)&gt;=$S67),$V67,IF(AND($R67&lt;&gt;"",EDATE($D67,Milestones!$AA$101)&gt;=$R67),$U67,$T67)))=Milestones!$AB$101),TEXT(EDATE($D67,Milestones!$AA$101),"dd/mm/yy")&amp;" "&amp;Milestones!$AB$101&amp;" "&amp;Milestones!$AC$101&amp;";  ","")&amp;IF(AND(EDATE($D67,Milestones!$AA$102)&lt;=AsOfDate,IF($Q67=0,$W67,IF(AND($S67&lt;&gt;"",EDATE($D67,Milestones!$AA$102)&gt;=$S67),$V67,IF(AND($R67&lt;&gt;"",EDATE($D67,Milestones!$AA$102)&gt;=$R67),$U67,$T67)))=Milestones!$AB$102),TEXT(EDATE($D67,Milestones!$AA$102),"dd/mm/yy")&amp;" "&amp;Milestones!$AB$102&amp;" "&amp;Milestones!$AC$102&amp;";  ","")&amp;IF(AND(EDATE($D67,Milestones!$AA$103)&lt;=AsOfDate,IF($Q67=0,$W67,IF(AND($S67&lt;&gt;"",EDATE($D67,Milestones!$AA$103)&gt;=$S67),$V67,IF(AND($R67&lt;&gt;"",EDATE($D67,Milestones!$AA$103)&gt;=$R67),$U67,$T67)))=Milestones!$AB$103),TEXT(EDATE($D67,Milestones!$AA$103),"dd/mm/yy")&amp;" "&amp;Milestones!$AB$103&amp;" "&amp;Milestones!$AC$103&amp;";  ","")&amp;IF(AND(EDATE($D67,Milestones!$AA$104)&lt;=AsOfDate,IF($Q67=0,$W67,IF(AND($S67&lt;&gt;"",EDATE($D67,Milestones!$AA$104)&gt;=$S67),$V67,IF(AND($R67&lt;&gt;"",EDATE($D67,Milestones!$AA$104)&gt;=$R67),$U67,$T67)))=Milestones!$AB$104),TEXT(EDATE($D67,Milestones!$AA$104),"dd/mm/yy")&amp;" "&amp;Milestones!$AB$104&amp;" "&amp;Milestones!$AC$104&amp;";  ","")&amp;IF(AND(EDATE($D67,Milestones!$AA$105)&lt;=AsOfDate,IF($Q67=0,$W67,IF(AND($S67&lt;&gt;"",EDATE($D67,Milestones!$AA$105)&gt;=$S67),$V67,IF(AND($R67&lt;&gt;"",EDATE($D67,Milestones!$AA$105)&gt;=$R67),$U67,$T67)))=Milestones!$AB$105),TEXT(EDATE($D67,Milestones!$AA$105),"dd/mm/yy")&amp;" "&amp;Milestones!$AB$105&amp;" "&amp;Milestones!$AC$105&amp;";  ","")&amp;IF(AND(EDATE($D67,Milestones!$AA$106)&lt;=AsOfDate,IF($Q67=0,$W67,IF(AND($S67&lt;&gt;"",EDATE($D67,Milestones!$AA$106)&gt;=$S67),$V67,IF(AND($R67&lt;&gt;"",EDATE($D67,Milestones!$AA$106)&gt;=$R67),$U67,$T67)))=Milestones!$AB$106),TEXT(EDATE($D67,Milestones!$AA$106),"dd/mm/yy")&amp;" "&amp;Milestones!$AB$106&amp;" "&amp;Milestones!$AC$106&amp;";  ","")&amp;IF(AND(EDATE($D67,Milestones!$AA$107)&lt;=AsOfDate,IF($Q67=0,$W67,IF(AND($S67&lt;&gt;"",EDATE($D67,Milestones!$AA$107)&gt;=$S67),$V67,IF(AND($R67&lt;&gt;"",EDATE($D67,Milestones!$AA$107)&gt;=$R67),$U67,$T67)))=Milestones!$AB$107),TEXT(EDATE($D67,Milestones!$AA$107),"dd/mm/yy")&amp;" "&amp;Milestones!$AB$107&amp;" "&amp;Milestones!$AC$107&amp;";  ","")&amp;IF(AND(EDATE($D67,Milestones!$AA$108)&lt;=AsOfDate,IF($Q67=0,$W67,IF(AND($S67&lt;&gt;"",EDATE($D67,Milestones!$AA$108)&gt;=$S67),$V67,IF(AND($R67&lt;&gt;"",EDATE($D67,Milestones!$AA$108)&gt;=$R67),$U67,$T67)))=Milestones!$AB$108),TEXT(EDATE($D67,Milestones!$AA$108),"dd/mm/yy")&amp;" "&amp;Milestones!$AB$108&amp;" "&amp;Milestones!$AC$108&amp;";  ","")&amp;IF(AND(EDATE($D67,Milestones!$AA$109)&lt;=AsOfDate,IF($Q67=0,$W67,IF(AND($S67&lt;&gt;"",EDATE($D67,Milestones!$AA$109)&gt;=$S67),$V67,IF(AND($R67&lt;&gt;"",EDATE($D67,Milestones!$AA$109)&gt;=$R67),$U67,$T67)))=Milestones!$AB$109),TEXT(EDATE($D67,Milestones!$AA$109),"dd/mm/yy")&amp;" "&amp;Milestones!$AB$109&amp;" "&amp;Milestones!$AC$109&amp;";  ","")&amp;IF(AND(EDATE($D67,Milestones!$AA$110)&lt;=AsOfDate,IF($Q67=0,$W67,IF(AND($S67&lt;&gt;"",EDATE($D67,Milestones!$AA$110)&gt;=$S67),$V67,IF(AND($R67&lt;&gt;"",EDATE($D67,Milestones!$AA$110)&gt;=$R67),$U67,$T67)))=Milestones!$AB$110),TEXT(EDATE($D67,Milestones!$AA$110),"dd/mm/yy")&amp;" "&amp;Milestones!$AB$110&amp;" "&amp;Milestones!$AC$110&amp;";  ","")&amp;IF(AND(EDATE($D67,Milestones!$AA$111)&lt;=AsOfDate,IF($Q67=0,$W67,IF(AND($S67&lt;&gt;"",EDATE($D67,Milestones!$AA$111)&gt;=$S67),$V67,IF(AND($R67&lt;&gt;"",EDATE($D67,Milestones!$AA$111)&gt;=$R67),$U67,$T67)))=Milestones!$AB$111),TEXT(EDATE($D67,Milestones!$AA$111),"dd/mm/yy")&amp;" "&amp;Milestones!$AB$111&amp;" "&amp;Milestones!$AC$111&amp;";  ","")&amp;IF(AND(EDATE($D67,Milestones!$AA$112)&lt;=AsOfDate,IF($Q67=0,$W67,IF(AND($S67&lt;&gt;"",EDATE($D67,Milestones!$AA$112)&gt;=$S67),$V67,IF(AND($R67&lt;&gt;"",EDATE($D67,Milestones!$AA$112)&gt;=$R67),$U67,$T67)))=Milestones!$AB$112),TEXT(EDATE($D67,Milestones!$AA$112),"dd/mm/yy")&amp;" "&amp;Milestones!$AB$112&amp;" "&amp;Milestones!$AC$112&amp;";  ","")&amp;IF(AND(EDATE($D67,Milestones!$AA$113)&lt;=AsOfDate,IF($Q67=0,$W67,IF(AND($S67&lt;&gt;"",EDATE($D67,Milestones!$AA$113)&gt;=$S67),$V67,IF(AND($R67&lt;&gt;"",EDATE($D67,Milestones!$AA$113)&gt;=$R67),$U67,$T67)))=Milestones!$AB$113),TEXT(EDATE($D67,Milestones!$AA$113),"dd/mm/yy")&amp;" "&amp;Milestones!$AB$113&amp;" "&amp;Milestones!$AC$113&amp;";  ","")&amp;IF(AND(EDATE($D67,Milestones!$AA$114)&lt;=AsOfDate,IF($Q67=0,$W67,IF(AND($S67&lt;&gt;"",EDATE($D67,Milestones!$AA$114)&gt;=$S67),$V67,IF(AND($R67&lt;&gt;"",EDATE($D67,Milestones!$AA$114)&gt;=$R67),$U67,$T67)))=Milestones!$AB$114),TEXT(EDATE($D67,Milestones!$AA$114),"dd/mm/yy")&amp;" "&amp;Milestones!$AB$114&amp;" "&amp;Milestones!$AC$114&amp;";  ","")&amp;IF(AND(EDATE($D67,Milestones!$AA$115)&lt;=AsOfDate,IF($Q67=0,$W67,IF(AND($S67&lt;&gt;"",EDATE($D67,Milestones!$AA$115)&gt;=$S67),$V67,IF(AND($R67&lt;&gt;"",EDATE($D67,Milestones!$AA$115)&gt;=$R67),$U67,$T67)))=Milestones!$AB$115),TEXT(EDATE($D67,Milestones!$AA$115),"dd/mm/yy")&amp;" "&amp;Milestones!$AB$115&amp;" "&amp;Milestones!$AC$115&amp;";  ","")&amp;IF(AND(EDATE($D67,Milestones!$AA$116)&lt;=AsOfDate,IF($Q67=0,$W67,IF(AND($S67&lt;&gt;"",EDATE($D67,Milestones!$AA$116)&gt;=$S67),$V67,IF(AND($R67&lt;&gt;"",EDATE($D67,Milestones!$AA$116)&gt;=$R67),$U67,$T67)))=Milestones!$AB$116),TEXT(EDATE($D67,Milestones!$AA$116),"dd/mm/yy")&amp;" "&amp;Milestones!$AB$116&amp;" "&amp;Milestones!$AC$116&amp;";  ","")&amp;IF(AND(EDATE($D67,Milestones!$AA$117)&lt;=AsOfDate,IF($Q67=0,$W67,IF(AND($S67&lt;&gt;"",EDATE($D67,Milestones!$AA$117)&gt;=$S67),$V67,IF(AND($R67&lt;&gt;"",EDATE($D67,Milestones!$AA$117)&gt;=$R67),$U67,$T67)))=Milestones!$AB$117),TEXT(EDATE($D67,Milestones!$AA$117),"dd/mm/yy")&amp;" "&amp;Milestones!$AB$117&amp;" "&amp;Milestones!$AC$117&amp;";  ","")&amp;IF(AND(EDATE($D67,Milestones!$AA$118)&lt;=AsOfDate,IF($Q67=0,$W67,IF(AND($S67&lt;&gt;"",EDATE($D67,Milestones!$AA$118)&gt;=$S67),$V67,IF(AND($R67&lt;&gt;"",EDATE($D67,Milestones!$AA$118)&gt;=$R67),$U67,$T67)))=Milestones!$AB$118),TEXT(EDATE($D67,Milestones!$AA$118),"dd/mm/yy")&amp;" "&amp;Milestones!$AB$118&amp;" "&amp;Milestones!$AC$118&amp;";  ","")&amp;IF(AND(EDATE($D67,Milestones!$AA$119)&lt;=AsOfDate,IF($Q67=0,$W67,IF(AND($S67&lt;&gt;"",EDATE($D67,Milestones!$AA$119)&gt;=$S67),$V67,IF(AND($R67&lt;&gt;"",EDATE($D67,Milestones!$AA$119)&gt;=$R67),$U67,$T67)))=Milestones!$AB$119),TEXT(EDATE($D67,Milestones!$AA$119),"dd/mm/yy")&amp;" "&amp;Milestones!$AB$119&amp;" "&amp;Milestones!$AC$119&amp;";  ",""))</f>
        <v/>
      </c>
      <c r="M67" s="0" t="str">
        <f aca="false">IF(OR($A67="",$D67=""),"",IF(AND(EDATE($D67,Milestones!$AA$120)&lt;=AsOfDate,IF($Q67=0,$W67,IF(AND($S67&lt;&gt;"",EDATE($D67,Milestones!$AA$120)&gt;=$S67),$V67,IF(AND($R67&lt;&gt;"",EDATE($D67,Milestones!$AA$120)&gt;=$R67),$U67,$T67)))=Milestones!$AB$120),TEXT(EDATE($D67,Milestones!$AA$120),"dd/mm/yy")&amp;" "&amp;Milestones!$AB$120&amp;" "&amp;Milestones!$AC$120&amp;";  ","")&amp;IF(AND(EDATE($D67,Milestones!$AA$121)&lt;=AsOfDate,IF($Q67=0,$W67,IF(AND($S67&lt;&gt;"",EDATE($D67,Milestones!$AA$121)&gt;=$S67),$V67,IF(AND($R67&lt;&gt;"",EDATE($D67,Milestones!$AA$121)&gt;=$R67),$U67,$T67)))=Milestones!$AB$121),TEXT(EDATE($D67,Milestones!$AA$121),"dd/mm/yy")&amp;" "&amp;Milestones!$AB$121&amp;" "&amp;Milestones!$AC$121&amp;";  ","")&amp;IF(AND(EDATE($D67,Milestones!$AA$122)&lt;=AsOfDate,IF($Q67=0,$W67,IF(AND($S67&lt;&gt;"",EDATE($D67,Milestones!$AA$122)&gt;=$S67),$V67,IF(AND($R67&lt;&gt;"",EDATE($D67,Milestones!$AA$122)&gt;=$R67),$U67,$T67)))=Milestones!$AB$122),TEXT(EDATE($D67,Milestones!$AA$122),"dd/mm/yy")&amp;" "&amp;Milestones!$AB$122&amp;" "&amp;Milestones!$AC$122&amp;";  ","")&amp;IF(AND(EDATE($D67,Milestones!$AA$123)&lt;=AsOfDate,IF($Q67=0,$W67,IF(AND($S67&lt;&gt;"",EDATE($D67,Milestones!$AA$123)&gt;=$S67),$V67,IF(AND($R67&lt;&gt;"",EDATE($D67,Milestones!$AA$123)&gt;=$R67),$U67,$T67)))=Milestones!$AB$123),TEXT(EDATE($D67,Milestones!$AA$123),"dd/mm/yy")&amp;" "&amp;Milestones!$AB$123&amp;" "&amp;Milestones!$AC$123&amp;";  ","")&amp;IF(AND(EDATE($D67,Milestones!$AA$124)&lt;=AsOfDate,IF($Q67=0,$W67,IF(AND($S67&lt;&gt;"",EDATE($D67,Milestones!$AA$124)&gt;=$S67),$V67,IF(AND($R67&lt;&gt;"",EDATE($D67,Milestones!$AA$124)&gt;=$R67),$U67,$T67)))=Milestones!$AB$124),TEXT(EDATE($D67,Milestones!$AA$124),"dd/mm/yy")&amp;" "&amp;Milestones!$AB$124&amp;" "&amp;Milestones!$AC$124&amp;";  ","")&amp;IF(AND(EDATE($D67,Milestones!$AA$125)&lt;=AsOfDate,IF($Q67=0,$W67,IF(AND($S67&lt;&gt;"",EDATE($D67,Milestones!$AA$125)&gt;=$S67),$V67,IF(AND($R67&lt;&gt;"",EDATE($D67,Milestones!$AA$125)&gt;=$R67),$U67,$T67)))=Milestones!$AB$125),TEXT(EDATE($D67,Milestones!$AA$125),"dd/mm/yy")&amp;" "&amp;Milestones!$AB$125&amp;" "&amp;Milestones!$AC$125&amp;";  ","")&amp;IF(AND(EDATE($D67,Milestones!$AA$126)&lt;=AsOfDate,IF($Q67=0,$W67,IF(AND($S67&lt;&gt;"",EDATE($D67,Milestones!$AA$126)&gt;=$S67),$V67,IF(AND($R67&lt;&gt;"",EDATE($D67,Milestones!$AA$126)&gt;=$R67),$U67,$T67)))=Milestones!$AB$126),TEXT(EDATE($D67,Milestones!$AA$126),"dd/mm/yy")&amp;" "&amp;Milestones!$AB$126&amp;" "&amp;Milestones!$AC$126&amp;";  ","")&amp;IF(AND(EDATE($D67,Milestones!$AA$127)&lt;=AsOfDate,IF($Q67=0,$W67,IF(AND($S67&lt;&gt;"",EDATE($D67,Milestones!$AA$127)&gt;=$S67),$V67,IF(AND($R67&lt;&gt;"",EDATE($D67,Milestones!$AA$127)&gt;=$R67),$U67,$T67)))=Milestones!$AB$127),TEXT(EDATE($D67,Milestones!$AA$127),"dd/mm/yy")&amp;" "&amp;Milestones!$AB$127&amp;" "&amp;Milestones!$AC$127&amp;";  ","")&amp;IF(AND(EDATE($D67,Milestones!$AA$128)&lt;=AsOfDate,IF($Q67=0,$W67,IF(AND($S67&lt;&gt;"",EDATE($D67,Milestones!$AA$128)&gt;=$S67),$V67,IF(AND($R67&lt;&gt;"",EDATE($D67,Milestones!$AA$128)&gt;=$R67),$U67,$T67)))=Milestones!$AB$128),TEXT(EDATE($D67,Milestones!$AA$128),"dd/mm/yy")&amp;" "&amp;Milestones!$AB$128&amp;" "&amp;Milestones!$AC$128&amp;";  ","")&amp;IF(AND(EDATE($D67,Milestones!$AA$129)&lt;=AsOfDate,IF($Q67=0,$W67,IF(AND($S67&lt;&gt;"",EDATE($D67,Milestones!$AA$129)&gt;=$S67),$V67,IF(AND($R67&lt;&gt;"",EDATE($D67,Milestones!$AA$129)&gt;=$R67),$U67,$T67)))=Milestones!$AB$129),TEXT(EDATE($D67,Milestones!$AA$129),"dd/mm/yy")&amp;" "&amp;Milestones!$AB$129&amp;" "&amp;Milestones!$AC$129&amp;";  ","")&amp;IF(AND(EDATE($D67,Milestones!$AA$130)&lt;=AsOfDate,IF($Q67=0,$W67,IF(AND($S67&lt;&gt;"",EDATE($D67,Milestones!$AA$130)&gt;=$S67),$V67,IF(AND($R67&lt;&gt;"",EDATE($D67,Milestones!$AA$130)&gt;=$R67),$U67,$T67)))=Milestones!$AB$130),TEXT(EDATE($D67,Milestones!$AA$130),"dd/mm/yy")&amp;" "&amp;Milestones!$AB$130&amp;" "&amp;Milestones!$AC$130&amp;";  ","")&amp;IF(AND(EDATE($D67,Milestones!$AA$131)&lt;=AsOfDate,IF($Q67=0,$W67,IF(AND($S67&lt;&gt;"",EDATE($D67,Milestones!$AA$131)&gt;=$S67),$V67,IF(AND($R67&lt;&gt;"",EDATE($D67,Milestones!$AA$131)&gt;=$R67),$U67,$T67)))=Milestones!$AB$131),TEXT(EDATE($D67,Milestones!$AA$131),"dd/mm/yy")&amp;" "&amp;Milestones!$AB$131&amp;" "&amp;Milestones!$AC$131&amp;";  ","")&amp;IF(AND(EDATE($D67,Milestones!$AA$132)&lt;=AsOfDate,IF($Q67=0,$W67,IF(AND($S67&lt;&gt;"",EDATE($D67,Milestones!$AA$132)&gt;=$S67),$V67,IF(AND($R67&lt;&gt;"",EDATE($D67,Milestones!$AA$132)&gt;=$R67),$U67,$T67)))=Milestones!$AB$132),TEXT(EDATE($D67,Milestones!$AA$132),"dd/mm/yy")&amp;" "&amp;Milestones!$AB$132&amp;" "&amp;Milestones!$AC$132&amp;";  ","")&amp;IF(AND(EDATE($D67,Milestones!$AA$133)&lt;=AsOfDate,IF($Q67=0,$W67,IF(AND($S67&lt;&gt;"",EDATE($D67,Milestones!$AA$133)&gt;=$S67),$V67,IF(AND($R67&lt;&gt;"",EDATE($D67,Milestones!$AA$133)&gt;=$R67),$U67,$T67)))=Milestones!$AB$133),TEXT(EDATE($D67,Milestones!$AA$133),"dd/mm/yy")&amp;" "&amp;Milestones!$AB$133&amp;" "&amp;Milestones!$AC$133&amp;";  ","")&amp;IF(AND(EDATE($D67,Milestones!$AA$134)&lt;=AsOfDate,IF($Q67=0,$W67,IF(AND($S67&lt;&gt;"",EDATE($D67,Milestones!$AA$134)&gt;=$S67),$V67,IF(AND($R67&lt;&gt;"",EDATE($D67,Milestones!$AA$134)&gt;=$R67),$U67,$T67)))=Milestones!$AB$134),TEXT(EDATE($D67,Milestones!$AA$134),"dd/mm/yy")&amp;" "&amp;Milestones!$AB$134&amp;" "&amp;Milestones!$AC$134&amp;";  ","")&amp;IF(AND(EDATE($D67,Milestones!$AA$135)&lt;=AsOfDate,IF($Q67=0,$W67,IF(AND($S67&lt;&gt;"",EDATE($D67,Milestones!$AA$135)&gt;=$S67),$V67,IF(AND($R67&lt;&gt;"",EDATE($D67,Milestones!$AA$135)&gt;=$R67),$U67,$T67)))=Milestones!$AB$135),TEXT(EDATE($D67,Milestones!$AA$135),"dd/mm/yy")&amp;" "&amp;Milestones!$AB$135&amp;" "&amp;Milestones!$AC$135&amp;";  ","")&amp;IF(AND(EDATE($D67,Milestones!$AA$136)&lt;=AsOfDate,IF($Q67=0,$W67,IF(AND($S67&lt;&gt;"",EDATE($D67,Milestones!$AA$136)&gt;=$S67),$V67,IF(AND($R67&lt;&gt;"",EDATE($D67,Milestones!$AA$136)&gt;=$R67),$U67,$T67)))=Milestones!$AB$136),TEXT(EDATE($D67,Milestones!$AA$136),"dd/mm/yy")&amp;" "&amp;Milestones!$AB$136&amp;" "&amp;Milestones!$AC$136&amp;";  ","")&amp;IF(AND(EDATE($D67,Milestones!$AA$137)&lt;=AsOfDate,IF($Q67=0,$W67,IF(AND($S67&lt;&gt;"",EDATE($D67,Milestones!$AA$137)&gt;=$S67),$V67,IF(AND($R67&lt;&gt;"",EDATE($D67,Milestones!$AA$137)&gt;=$R67),$U67,$T67)))=Milestones!$AB$137),TEXT(EDATE($D67,Milestones!$AA$137),"dd/mm/yy")&amp;" "&amp;Milestones!$AB$137&amp;" "&amp;Milestones!$AC$137&amp;";  ","")&amp;IF(AND(EDATE($D67,Milestones!$AA$138)&lt;=AsOfDate,IF($Q67=0,$W67,IF(AND($S67&lt;&gt;"",EDATE($D67,Milestones!$AA$138)&gt;=$S67),$V67,IF(AND($R67&lt;&gt;"",EDATE($D67,Milestones!$AA$138)&gt;=$R67),$U67,$T67)))=Milestones!$AB$138),TEXT(EDATE($D67,Milestones!$AA$138),"dd/mm/yy")&amp;" "&amp;Milestones!$AB$138&amp;" "&amp;Milestones!$AC$138&amp;";  ","")&amp;IF(AND(EDATE($D67,Milestones!$AA$139)&lt;=AsOfDate,IF($Q67=0,$W67,IF(AND($S67&lt;&gt;"",EDATE($D67,Milestones!$AA$139)&gt;=$S67),$V67,IF(AND($R67&lt;&gt;"",EDATE($D67,Milestones!$AA$139)&gt;=$R67),$U67,$T67)))=Milestones!$AB$139),TEXT(EDATE($D67,Milestones!$AA$139),"dd/mm/yy")&amp;" "&amp;Milestones!$AB$139&amp;" "&amp;Milestones!$AC$139&amp;";  ",""))</f>
        <v/>
      </c>
      <c r="N67" s="0" t="str">
        <f aca="false">IF(OR($A67="",$D67=""),"",IF(AND(EDATE($D67,Milestones!$AA$140)&lt;=AsOfDate,IF($Q67=0,$W67,IF(AND($S67&lt;&gt;"",EDATE($D67,Milestones!$AA$140)&gt;=$S67),$V67,IF(AND($R67&lt;&gt;"",EDATE($D67,Milestones!$AA$140)&gt;=$R67),$U67,$T67)))=Milestones!$AB$140),TEXT(EDATE($D67,Milestones!$AA$140),"dd/mm/yy")&amp;" "&amp;Milestones!$AB$140&amp;" "&amp;Milestones!$AC$140&amp;";  ","")&amp;IF(AND(EDATE($D67,Milestones!$AA$141)&lt;=AsOfDate,IF($Q67=0,$W67,IF(AND($S67&lt;&gt;"",EDATE($D67,Milestones!$AA$141)&gt;=$S67),$V67,IF(AND($R67&lt;&gt;"",EDATE($D67,Milestones!$AA$141)&gt;=$R67),$U67,$T67)))=Milestones!$AB$141),TEXT(EDATE($D67,Milestones!$AA$141),"dd/mm/yy")&amp;" "&amp;Milestones!$AB$141&amp;" "&amp;Milestones!$AC$141&amp;";  ","")&amp;IF(AND(EDATE($D67,Milestones!$AA$142)&lt;=AsOfDate,IF($Q67=0,$W67,IF(AND($S67&lt;&gt;"",EDATE($D67,Milestones!$AA$142)&gt;=$S67),$V67,IF(AND($R67&lt;&gt;"",EDATE($D67,Milestones!$AA$142)&gt;=$R67),$U67,$T67)))=Milestones!$AB$142),TEXT(EDATE($D67,Milestones!$AA$142),"dd/mm/yy")&amp;" "&amp;Milestones!$AB$142&amp;" "&amp;Milestones!$AC$142&amp;";  ","")&amp;IF(AND(EDATE($D67,Milestones!$AA$143)&lt;=AsOfDate,IF($Q67=0,$W67,IF(AND($S67&lt;&gt;"",EDATE($D67,Milestones!$AA$143)&gt;=$S67),$V67,IF(AND($R67&lt;&gt;"",EDATE($D67,Milestones!$AA$143)&gt;=$R67),$U67,$T67)))=Milestones!$AB$143),TEXT(EDATE($D67,Milestones!$AA$143),"dd/mm/yy")&amp;" "&amp;Milestones!$AB$143&amp;" "&amp;Milestones!$AC$143&amp;";  ","")&amp;IF(AND(EDATE($D67,Milestones!$AA$144)&lt;=AsOfDate,IF($Q67=0,$W67,IF(AND($S67&lt;&gt;"",EDATE($D67,Milestones!$AA$144)&gt;=$S67),$V67,IF(AND($R67&lt;&gt;"",EDATE($D67,Milestones!$AA$144)&gt;=$R67),$U67,$T67)))=Milestones!$AB$144),TEXT(EDATE($D67,Milestones!$AA$144),"dd/mm/yy")&amp;" "&amp;Milestones!$AB$144&amp;" "&amp;Milestones!$AC$144&amp;";  ","")&amp;IF(AND(EDATE($D67,Milestones!$AA$145)&lt;=AsOfDate,IF($Q67=0,$W67,IF(AND($S67&lt;&gt;"",EDATE($D67,Milestones!$AA$145)&gt;=$S67),$V67,IF(AND($R67&lt;&gt;"",EDATE($D67,Milestones!$AA$145)&gt;=$R67),$U67,$T67)))=Milestones!$AB$145),TEXT(EDATE($D67,Milestones!$AA$145),"dd/mm/yy")&amp;" "&amp;Milestones!$AB$145&amp;" "&amp;Milestones!$AC$145&amp;";  ","")&amp;IF(AND(EDATE($D67,Milestones!$AA$146)&lt;=AsOfDate,IF($Q67=0,$W67,IF(AND($S67&lt;&gt;"",EDATE($D67,Milestones!$AA$146)&gt;=$S67),$V67,IF(AND($R67&lt;&gt;"",EDATE($D67,Milestones!$AA$146)&gt;=$R67),$U67,$T67)))=Milestones!$AB$146),TEXT(EDATE($D67,Milestones!$AA$146),"dd/mm/yy")&amp;" "&amp;Milestones!$AB$146&amp;" "&amp;Milestones!$AC$146&amp;";  ","")&amp;IF(AND(EDATE($D67,Milestones!$AA$147)&lt;=AsOfDate,IF($Q67=0,$W67,IF(AND($S67&lt;&gt;"",EDATE($D67,Milestones!$AA$147)&gt;=$S67),$V67,IF(AND($R67&lt;&gt;"",EDATE($D67,Milestones!$AA$147)&gt;=$R67),$U67,$T67)))=Milestones!$AB$147),TEXT(EDATE($D67,Milestones!$AA$147),"dd/mm/yy")&amp;" "&amp;Milestones!$AB$147&amp;" "&amp;Milestones!$AC$147&amp;";  ","")&amp;IF(AND(EDATE($D67,Milestones!$AA$148)&lt;=AsOfDate,IF($Q67=0,$W67,IF(AND($S67&lt;&gt;"",EDATE($D67,Milestones!$AA$148)&gt;=$S67),$V67,IF(AND($R67&lt;&gt;"",EDATE($D67,Milestones!$AA$148)&gt;=$R67),$U67,$T67)))=Milestones!$AB$148),TEXT(EDATE($D67,Milestones!$AA$148),"dd/mm/yy")&amp;" "&amp;Milestones!$AB$148&amp;" "&amp;Milestones!$AC$148&amp;";  ","")&amp;IF(AND(EDATE($D67,Milestones!$AA$149)&lt;=AsOfDate,IF($Q67=0,$W67,IF(AND($S67&lt;&gt;"",EDATE($D67,Milestones!$AA$149)&gt;=$S67),$V67,IF(AND($R67&lt;&gt;"",EDATE($D67,Milestones!$AA$149)&gt;=$R67),$U67,$T67)))=Milestones!$AB$149),TEXT(EDATE($D67,Milestones!$AA$149),"dd/mm/yy")&amp;" "&amp;Milestones!$AB$149&amp;" "&amp;Milestones!$AC$149&amp;";  ","")&amp;IF(AND(EDATE($D67,Milestones!$AA$150)&lt;=AsOfDate,IF($Q67=0,$W67,IF(AND($S67&lt;&gt;"",EDATE($D67,Milestones!$AA$150)&gt;=$S67),$V67,IF(AND($R67&lt;&gt;"",EDATE($D67,Milestones!$AA$150)&gt;=$R67),$U67,$T67)))=Milestones!$AB$150),TEXT(EDATE($D67,Milestones!$AA$150),"dd/mm/yy")&amp;" "&amp;Milestones!$AB$150&amp;" "&amp;Milestones!$AC$150&amp;";  ","")&amp;IF(AND(EDATE($D67,Milestones!$AA$151)&lt;=AsOfDate,IF($Q67=0,$W67,IF(AND($S67&lt;&gt;"",EDATE($D67,Milestones!$AA$151)&gt;=$S67),$V67,IF(AND($R67&lt;&gt;"",EDATE($D67,Milestones!$AA$151)&gt;=$R67),$U67,$T67)))=Milestones!$AB$151),TEXT(EDATE($D67,Milestones!$AA$151),"dd/mm/yy")&amp;" "&amp;Milestones!$AB$151&amp;" "&amp;Milestones!$AC$151&amp;";  ","")&amp;IF(AND(EDATE($D67,Milestones!$AA$152)&lt;=AsOfDate,IF($Q67=0,$W67,IF(AND($S67&lt;&gt;"",EDATE($D67,Milestones!$AA$152)&gt;=$S67),$V67,IF(AND($R67&lt;&gt;"",EDATE($D67,Milestones!$AA$152)&gt;=$R67),$U67,$T67)))=Milestones!$AB$152),TEXT(EDATE($D67,Milestones!$AA$152),"dd/mm/yy")&amp;" "&amp;Milestones!$AB$152&amp;" "&amp;Milestones!$AC$152&amp;";  ","")&amp;IF(AND(EDATE($D67,Milestones!$AA$153)&lt;=AsOfDate,IF($Q67=0,$W67,IF(AND($S67&lt;&gt;"",EDATE($D67,Milestones!$AA$153)&gt;=$S67),$V67,IF(AND($R67&lt;&gt;"",EDATE($D67,Milestones!$AA$153)&gt;=$R67),$U67,$T67)))=Milestones!$AB$153),TEXT(EDATE($D67,Milestones!$AA$153),"dd/mm/yy")&amp;" "&amp;Milestones!$AB$153&amp;" "&amp;Milestones!$AC$153&amp;";  ","")&amp;IF(AND(EDATE($D67,Milestones!$AA$154)&lt;=AsOfDate,IF($Q67=0,$W67,IF(AND($S67&lt;&gt;"",EDATE($D67,Milestones!$AA$154)&gt;=$S67),$V67,IF(AND($R67&lt;&gt;"",EDATE($D67,Milestones!$AA$154)&gt;=$R67),$U67,$T67)))=Milestones!$AB$154),TEXT(EDATE($D67,Milestones!$AA$154),"dd/mm/yy")&amp;" "&amp;Milestones!$AB$154&amp;" "&amp;Milestones!$AC$154&amp;";  ","")&amp;IF(AND(EDATE($D67,Milestones!$AA$155)&lt;=AsOfDate,IF($Q67=0,$W67,IF(AND($S67&lt;&gt;"",EDATE($D67,Milestones!$AA$155)&gt;=$S67),$V67,IF(AND($R67&lt;&gt;"",EDATE($D67,Milestones!$AA$155)&gt;=$R67),$U67,$T67)))=Milestones!$AB$155),TEXT(EDATE($D67,Milestones!$AA$155),"dd/mm/yy")&amp;" "&amp;Milestones!$AB$155&amp;" "&amp;Milestones!$AC$155&amp;";  ","")&amp;IF(AND(EDATE($D67,Milestones!$AA$156)&lt;=AsOfDate,IF($Q67=0,$W67,IF(AND($S67&lt;&gt;"",EDATE($D67,Milestones!$AA$156)&gt;=$S67),$V67,IF(AND($R67&lt;&gt;"",EDATE($D67,Milestones!$AA$156)&gt;=$R67),$U67,$T67)))=Milestones!$AB$156),TEXT(EDATE($D67,Milestones!$AA$156),"dd/mm/yy")&amp;" "&amp;Milestones!$AB$156&amp;" "&amp;Milestones!$AC$156&amp;";  ","")&amp;IF(AND(EDATE($D67,Milestones!$AA$157)&lt;=AsOfDate,IF($Q67=0,$W67,IF(AND($S67&lt;&gt;"",EDATE($D67,Milestones!$AA$157)&gt;=$S67),$V67,IF(AND($R67&lt;&gt;"",EDATE($D67,Milestones!$AA$157)&gt;=$R67),$U67,$T67)))=Milestones!$AB$157),TEXT(EDATE($D67,Milestones!$AA$157),"dd/mm/yy")&amp;" "&amp;Milestones!$AB$157&amp;" "&amp;Milestones!$AC$157&amp;";  ","")&amp;IF(AND(EDATE($D67,Milestones!$AA$158)&lt;=AsOfDate,IF($Q67=0,$W67,IF(AND($S67&lt;&gt;"",EDATE($D67,Milestones!$AA$158)&gt;=$S67),$V67,IF(AND($R67&lt;&gt;"",EDATE($D67,Milestones!$AA$158)&gt;=$R67),$U67,$T67)))=Milestones!$AB$158),TEXT(EDATE($D67,Milestones!$AA$158),"dd/mm/yy")&amp;" "&amp;Milestones!$AB$158&amp;" "&amp;Milestones!$AC$158&amp;";  ","")&amp;IF(AND(EDATE($D67,Milestones!$AA$159)&lt;=AsOfDate,IF($Q67=0,$W67,IF(AND($S67&lt;&gt;"",EDATE($D67,Milestones!$AA$159)&gt;=$S67),$V67,IF(AND($R67&lt;&gt;"",EDATE($D67,Milestones!$AA$159)&gt;=$R67),$U67,$T67)))=Milestones!$AB$159),TEXT(EDATE($D67,Milestones!$AA$159),"dd/mm/yy")&amp;" "&amp;Milestones!$AB$159&amp;" "&amp;Milestones!$AC$159&amp;";  ",""))</f>
        <v/>
      </c>
      <c r="O67" s="0" t="str">
        <f aca="false">IF(OR($A67="",$D67=""),"",IF(AND(EDATE($D67,Milestones!$AA$160)&lt;=AsOfDate,IF($Q67=0,$W67,IF(AND($S67&lt;&gt;"",EDATE($D67,Milestones!$AA$160)&gt;=$S67),$V67,IF(AND($R67&lt;&gt;"",EDATE($D67,Milestones!$AA$160)&gt;=$R67),$U67,$T67)))=Milestones!$AB$160),TEXT(EDATE($D67,Milestones!$AA$160),"dd/mm/yy")&amp;" "&amp;Milestones!$AB$160&amp;" "&amp;Milestones!$AC$160&amp;";  ","")&amp;IF(AND(EDATE($D67,Milestones!$AA$161)&lt;=AsOfDate,IF($Q67=0,$W67,IF(AND($S67&lt;&gt;"",EDATE($D67,Milestones!$AA$161)&gt;=$S67),$V67,IF(AND($R67&lt;&gt;"",EDATE($D67,Milestones!$AA$161)&gt;=$R67),$U67,$T67)))=Milestones!$AB$161),TEXT(EDATE($D67,Milestones!$AA$161),"dd/mm/yy")&amp;" "&amp;Milestones!$AB$161&amp;" "&amp;Milestones!$AC$161&amp;";  ","")&amp;IF(AND(EDATE($D67,Milestones!$AA$162)&lt;=AsOfDate,IF($Q67=0,$W67,IF(AND($S67&lt;&gt;"",EDATE($D67,Milestones!$AA$162)&gt;=$S67),$V67,IF(AND($R67&lt;&gt;"",EDATE($D67,Milestones!$AA$162)&gt;=$R67),$U67,$T67)))=Milestones!$AB$162),TEXT(EDATE($D67,Milestones!$AA$162),"dd/mm/yy")&amp;" "&amp;Milestones!$AB$162&amp;" "&amp;Milestones!$AC$162&amp;";  ","")&amp;IF(AND(EDATE($D67,Milestones!$AA$163)&lt;=AsOfDate,IF($Q67=0,$W67,IF(AND($S67&lt;&gt;"",EDATE($D67,Milestones!$AA$163)&gt;=$S67),$V67,IF(AND($R67&lt;&gt;"",EDATE($D67,Milestones!$AA$163)&gt;=$R67),$U67,$T67)))=Milestones!$AB$163),TEXT(EDATE($D67,Milestones!$AA$163),"dd/mm/yy")&amp;" "&amp;Milestones!$AB$163&amp;" "&amp;Milestones!$AC$163&amp;";  ","")&amp;IF(AND(EDATE($D67,Milestones!$AA$164)&lt;=AsOfDate,IF($Q67=0,$W67,IF(AND($S67&lt;&gt;"",EDATE($D67,Milestones!$AA$164)&gt;=$S67),$V67,IF(AND($R67&lt;&gt;"",EDATE($D67,Milestones!$AA$164)&gt;=$R67),$U67,$T67)))=Milestones!$AB$164),TEXT(EDATE($D67,Milestones!$AA$164),"dd/mm/yy")&amp;" "&amp;Milestones!$AB$164&amp;" "&amp;Milestones!$AC$164&amp;";  ","")&amp;IF(AND(EDATE($D67,Milestones!$AA$165)&lt;=AsOfDate,IF($Q67=0,$W67,IF(AND($S67&lt;&gt;"",EDATE($D67,Milestones!$AA$165)&gt;=$S67),$V67,IF(AND($R67&lt;&gt;"",EDATE($D67,Milestones!$AA$165)&gt;=$R67),$U67,$T67)))=Milestones!$AB$165),TEXT(EDATE($D67,Milestones!$AA$165),"dd/mm/yy")&amp;" "&amp;Milestones!$AB$165&amp;" "&amp;Milestones!$AC$165&amp;";  ","")&amp;IF(AND(EDATE($D67,Milestones!$AA$166)&lt;=AsOfDate,IF($Q67=0,$W67,IF(AND($S67&lt;&gt;"",EDATE($D67,Milestones!$AA$166)&gt;=$S67),$V67,IF(AND($R67&lt;&gt;"",EDATE($D67,Milestones!$AA$166)&gt;=$R67),$U67,$T67)))=Milestones!$AB$166),TEXT(EDATE($D67,Milestones!$AA$166),"dd/mm/yy")&amp;" "&amp;Milestones!$AB$166&amp;" "&amp;Milestones!$AC$166&amp;";  ","")&amp;IF(AND(EDATE($D67,Milestones!$AA$167)&lt;=AsOfDate,IF($Q67=0,$W67,IF(AND($S67&lt;&gt;"",EDATE($D67,Milestones!$AA$167)&gt;=$S67),$V67,IF(AND($R67&lt;&gt;"",EDATE($D67,Milestones!$AA$167)&gt;=$R67),$U67,$T67)))=Milestones!$AB$167),TEXT(EDATE($D67,Milestones!$AA$167),"dd/mm/yy")&amp;" "&amp;Milestones!$AB$167&amp;" "&amp;Milestones!$AC$167&amp;";  ","")&amp;IF(AND(EDATE($D67,Milestones!$AA$168)&lt;=AsOfDate,IF($Q67=0,$W67,IF(AND($S67&lt;&gt;"",EDATE($D67,Milestones!$AA$168)&gt;=$S67),$V67,IF(AND($R67&lt;&gt;"",EDATE($D67,Milestones!$AA$168)&gt;=$R67),$U67,$T67)))=Milestones!$AB$168),TEXT(EDATE($D67,Milestones!$AA$168),"dd/mm/yy")&amp;" "&amp;Milestones!$AB$168&amp;" "&amp;Milestones!$AC$168&amp;";  ","")&amp;IF(AND(EDATE($D67,Milestones!$AA$169)&lt;=AsOfDate,IF($Q67=0,$W67,IF(AND($S67&lt;&gt;"",EDATE($D67,Milestones!$AA$169)&gt;=$S67),$V67,IF(AND($R67&lt;&gt;"",EDATE($D67,Milestones!$AA$169)&gt;=$R67),$U67,$T67)))=Milestones!$AB$169),TEXT(EDATE($D67,Milestones!$AA$169),"dd/mm/yy")&amp;" "&amp;Milestones!$AB$169&amp;" "&amp;Milestones!$AC$169&amp;";  ","")&amp;IF(AND(EDATE($D67,Milestones!$AA$170)&lt;=AsOfDate,IF($Q67=0,$W67,IF(AND($S67&lt;&gt;"",EDATE($D67,Milestones!$AA$170)&gt;=$S67),$V67,IF(AND($R67&lt;&gt;"",EDATE($D67,Milestones!$AA$170)&gt;=$R67),$U67,$T67)))=Milestones!$AB$170),TEXT(EDATE($D67,Milestones!$AA$170),"dd/mm/yy")&amp;" "&amp;Milestones!$AB$170&amp;" "&amp;Milestones!$AC$170&amp;";  ","")&amp;IF(AND(EDATE($D67,Milestones!$AA$171)&lt;=AsOfDate,IF($Q67=0,$W67,IF(AND($S67&lt;&gt;"",EDATE($D67,Milestones!$AA$171)&gt;=$S67),$V67,IF(AND($R67&lt;&gt;"",EDATE($D67,Milestones!$AA$171)&gt;=$R67),$U67,$T67)))=Milestones!$AB$171),TEXT(EDATE($D67,Milestones!$AA$171),"dd/mm/yy")&amp;" "&amp;Milestones!$AB$171&amp;" "&amp;Milestones!$AC$171&amp;";  ","")&amp;IF(AND(EDATE($D67,Milestones!$AA$172)&lt;=AsOfDate,IF($Q67=0,$W67,IF(AND($S67&lt;&gt;"",EDATE($D67,Milestones!$AA$172)&gt;=$S67),$V67,IF(AND($R67&lt;&gt;"",EDATE($D67,Milestones!$AA$172)&gt;=$R67),$U67,$T67)))=Milestones!$AB$172),TEXT(EDATE($D67,Milestones!$AA$172),"dd/mm/yy")&amp;" "&amp;Milestones!$AB$172&amp;" "&amp;Milestones!$AC$172&amp;";  ","")&amp;IF(AND(EDATE($D67,Milestones!$AA$173)&lt;=AsOfDate,IF($Q67=0,$W67,IF(AND($S67&lt;&gt;"",EDATE($D67,Milestones!$AA$173)&gt;=$S67),$V67,IF(AND($R67&lt;&gt;"",EDATE($D67,Milestones!$AA$173)&gt;=$R67),$U67,$T67)))=Milestones!$AB$173),TEXT(EDATE($D67,Milestones!$AA$173),"dd/mm/yy")&amp;" "&amp;Milestones!$AB$173&amp;" "&amp;Milestones!$AC$173&amp;";  ","")&amp;IF(AND(EDATE($D67,Milestones!$AA$174)&lt;=AsOfDate,IF($Q67=0,$W67,IF(AND($S67&lt;&gt;"",EDATE($D67,Milestones!$AA$174)&gt;=$S67),$V67,IF(AND($R67&lt;&gt;"",EDATE($D67,Milestones!$AA$174)&gt;=$R67),$U67,$T67)))=Milestones!$AB$174),TEXT(EDATE($D67,Milestones!$AA$174),"dd/mm/yy")&amp;" "&amp;Milestones!$AB$174&amp;" "&amp;Milestones!$AC$174&amp;";  ","")&amp;IF(AND(EDATE($D67,Milestones!$AA$175)&lt;=AsOfDate,IF($Q67=0,$W67,IF(AND($S67&lt;&gt;"",EDATE($D67,Milestones!$AA$175)&gt;=$S67),$V67,IF(AND($R67&lt;&gt;"",EDATE($D67,Milestones!$AA$175)&gt;=$R67),$U67,$T67)))=Milestones!$AB$175),TEXT(EDATE($D67,Milestones!$AA$175),"dd/mm/yy")&amp;" "&amp;Milestones!$AB$175&amp;" "&amp;Milestones!$AC$175&amp;";  ","")&amp;IF(AND(EDATE($D67,Milestones!$AA$176)&lt;=AsOfDate,IF($Q67=0,$W67,IF(AND($S67&lt;&gt;"",EDATE($D67,Milestones!$AA$176)&gt;=$S67),$V67,IF(AND($R67&lt;&gt;"",EDATE($D67,Milestones!$AA$176)&gt;=$R67),$U67,$T67)))=Milestones!$AB$176),TEXT(EDATE($D67,Milestones!$AA$176),"dd/mm/yy")&amp;" "&amp;Milestones!$AB$176&amp;" "&amp;Milestones!$AC$176&amp;";  ","")&amp;IF(AND(EDATE($D67,Milestones!$AA$177)&lt;=AsOfDate,IF($Q67=0,$W67,IF(AND($S67&lt;&gt;"",EDATE($D67,Milestones!$AA$177)&gt;=$S67),$V67,IF(AND($R67&lt;&gt;"",EDATE($D67,Milestones!$AA$177)&gt;=$R67),$U67,$T67)))=Milestones!$AB$177),TEXT(EDATE($D67,Milestones!$AA$177),"dd/mm/yy")&amp;" "&amp;Milestones!$AB$177&amp;" "&amp;Milestones!$AC$177&amp;";  ","")&amp;IF(AND(EDATE($D67,Milestones!$AA$178)&lt;=AsOfDate,IF($Q67=0,$W67,IF(AND($S67&lt;&gt;"",EDATE($D67,Milestones!$AA$178)&gt;=$S67),$V67,IF(AND($R67&lt;&gt;"",EDATE($D67,Milestones!$AA$178)&gt;=$R67),$U67,$T67)))=Milestones!$AB$178),TEXT(EDATE($D67,Milestones!$AA$178),"dd/mm/yy")&amp;" "&amp;Milestones!$AB$178&amp;" "&amp;Milestones!$AC$178&amp;";  ","")&amp;IF(AND(EDATE($D67,Milestones!$AA$179)&lt;=AsOfDate,IF($Q67=0,$W67,IF(AND($S67&lt;&gt;"",EDATE($D67,Milestones!$AA$179)&gt;=$S67),$V67,IF(AND($R67&lt;&gt;"",EDATE($D67,Milestones!$AA$179)&gt;=$R67),$U67,$T67)))=Milestones!$AB$179),TEXT(EDATE($D67,Milestones!$AA$179),"dd/mm/yy")&amp;" "&amp;Milestones!$AB$179&amp;" "&amp;Milestones!$AC$179&amp;";  ",""))</f>
        <v/>
      </c>
      <c r="P67" s="0" t="str">
        <f aca="false">IF(OR($A67="",$D67=""),"",IF(AND(EDATE($D67,Milestones!$AA$180)&lt;=AsOfDate,IF($Q67=0,$W67,IF(AND($S67&lt;&gt;"",EDATE($D67,Milestones!$AA$180)&gt;=$S67),$V67,IF(AND($R67&lt;&gt;"",EDATE($D67,Milestones!$AA$180)&gt;=$R67),$U67,$T67)))=Milestones!$AB$180),TEXT(EDATE($D67,Milestones!$AA$180),"dd/mm/yy")&amp;" "&amp;Milestones!$AB$180&amp;" "&amp;Milestones!$AC$180&amp;";  ","")&amp;IF(AND(EDATE($D67,Milestones!$AA$181)&lt;=AsOfDate,IF($Q67=0,$W67,IF(AND($S67&lt;&gt;"",EDATE($D67,Milestones!$AA$181)&gt;=$S67),$V67,IF(AND($R67&lt;&gt;"",EDATE($D67,Milestones!$AA$181)&gt;=$R67),$U67,$T67)))=Milestones!$AB$181),TEXT(EDATE($D67,Milestones!$AA$181),"dd/mm/yy")&amp;" "&amp;Milestones!$AB$181&amp;" "&amp;Milestones!$AC$181&amp;";  ","")&amp;IF(AND(EDATE($D67,Milestones!$AA$182)&lt;=AsOfDate,IF($Q67=0,$W67,IF(AND($S67&lt;&gt;"",EDATE($D67,Milestones!$AA$182)&gt;=$S67),$V67,IF(AND($R67&lt;&gt;"",EDATE($D67,Milestones!$AA$182)&gt;=$R67),$U67,$T67)))=Milestones!$AB$182),TEXT(EDATE($D67,Milestones!$AA$182),"dd/mm/yy")&amp;" "&amp;Milestones!$AB$182&amp;" "&amp;Milestones!$AC$182&amp;";  ","")&amp;IF(AND(EDATE($D67,Milestones!$AA$183)&lt;=AsOfDate,IF($Q67=0,$W67,IF(AND($S67&lt;&gt;"",EDATE($D67,Milestones!$AA$183)&gt;=$S67),$V67,IF(AND($R67&lt;&gt;"",EDATE($D67,Milestones!$AA$183)&gt;=$R67),$U67,$T67)))=Milestones!$AB$183),TEXT(EDATE($D67,Milestones!$AA$183),"dd/mm/yy")&amp;" "&amp;Milestones!$AB$183&amp;" "&amp;Milestones!$AC$183&amp;";  ","")&amp;IF(AND(EDATE($D67,Milestones!$AA$184)&lt;=AsOfDate,IF($Q67=0,$W67,IF(AND($S67&lt;&gt;"",EDATE($D67,Milestones!$AA$184)&gt;=$S67),$V67,IF(AND($R67&lt;&gt;"",EDATE($D67,Milestones!$AA$184)&gt;=$R67),$U67,$T67)))=Milestones!$AB$184),TEXT(EDATE($D67,Milestones!$AA$184),"dd/mm/yy")&amp;" "&amp;Milestones!$AB$184&amp;" "&amp;Milestones!$AC$184&amp;";  ","")&amp;IF(AND(EDATE($D67,Milestones!$AA$185)&lt;=AsOfDate,IF($Q67=0,$W67,IF(AND($S67&lt;&gt;"",EDATE($D67,Milestones!$AA$185)&gt;=$S67),$V67,IF(AND($R67&lt;&gt;"",EDATE($D67,Milestones!$AA$185)&gt;=$R67),$U67,$T67)))=Milestones!$AB$185),TEXT(EDATE($D67,Milestones!$AA$185),"dd/mm/yy")&amp;" "&amp;Milestones!$AB$185&amp;" "&amp;Milestones!$AC$185&amp;";  ","")&amp;IF(AND(EDATE($D67,Milestones!$AA$186)&lt;=AsOfDate,IF($Q67=0,$W67,IF(AND($S67&lt;&gt;"",EDATE($D67,Milestones!$AA$186)&gt;=$S67),$V67,IF(AND($R67&lt;&gt;"",EDATE($D67,Milestones!$AA$186)&gt;=$R67),$U67,$T67)))=Milestones!$AB$186),TEXT(EDATE($D67,Milestones!$AA$186),"dd/mm/yy")&amp;" "&amp;Milestones!$AB$186&amp;" "&amp;Milestones!$AC$186&amp;";  ","")&amp;IF(AND(EDATE($D67,Milestones!$AA$187)&lt;=AsOfDate,IF($Q67=0,$W67,IF(AND($S67&lt;&gt;"",EDATE($D67,Milestones!$AA$187)&gt;=$S67),$V67,IF(AND($R67&lt;&gt;"",EDATE($D67,Milestones!$AA$187)&gt;=$R67),$U67,$T67)))=Milestones!$AB$187),TEXT(EDATE($D67,Milestones!$AA$187),"dd/mm/yy")&amp;" "&amp;Milestones!$AB$187&amp;" "&amp;Milestones!$AC$187&amp;";  ","")&amp;IF(AND(EDATE($D67,Milestones!$AA$188)&lt;=AsOfDate,IF($Q67=0,$W67,IF(AND($S67&lt;&gt;"",EDATE($D67,Milestones!$AA$188)&gt;=$S67),$V67,IF(AND($R67&lt;&gt;"",EDATE($D67,Milestones!$AA$188)&gt;=$R67),$U67,$T67)))=Milestones!$AB$188),TEXT(EDATE($D67,Milestones!$AA$188),"dd/mm/yy")&amp;" "&amp;Milestones!$AB$188&amp;" "&amp;Milestones!$AC$188&amp;";  ","")&amp;IF(AND(EDATE($D67,Milestones!$AA$189)&lt;=AsOfDate,IF($Q67=0,$W67,IF(AND($S67&lt;&gt;"",EDATE($D67,Milestones!$AA$189)&gt;=$S67),$V67,IF(AND($R67&lt;&gt;"",EDATE($D67,Milestones!$AA$189)&gt;=$R67),$U67,$T67)))=Milestones!$AB$189),TEXT(EDATE($D67,Milestones!$AA$189),"dd/mm/yy")&amp;" "&amp;Milestones!$AB$189&amp;" "&amp;Milestones!$AC$189&amp;";  ","")&amp;IF(AND(EDATE($D67,Milestones!$AA$190)&lt;=AsOfDate,IF($Q67=0,$W67,IF(AND($S67&lt;&gt;"",EDATE($D67,Milestones!$AA$190)&gt;=$S67),$V67,IF(AND($R67&lt;&gt;"",EDATE($D67,Milestones!$AA$190)&gt;=$R67),$U67,$T67)))=Milestones!$AB$190),TEXT(EDATE($D67,Milestones!$AA$190),"dd/mm/yy")&amp;" "&amp;Milestones!$AB$190&amp;" "&amp;Milestones!$AC$190&amp;";  ","")&amp;IF(AND(EDATE($D67,Milestones!$AA$191)&lt;=AsOfDate,IF($Q67=0,$W67,IF(AND($S67&lt;&gt;"",EDATE($D67,Milestones!$AA$191)&gt;=$S67),$V67,IF(AND($R67&lt;&gt;"",EDATE($D67,Milestones!$AA$191)&gt;=$R67),$U67,$T67)))=Milestones!$AB$191),TEXT(EDATE($D67,Milestones!$AA$191),"dd/mm/yy")&amp;" "&amp;Milestones!$AB$191&amp;" "&amp;Milestones!$AC$191&amp;";  ","")&amp;IF(AND(EDATE($D67,Milestones!$AA$192)&lt;=AsOfDate,IF($Q67=0,$W67,IF(AND($S67&lt;&gt;"",EDATE($D67,Milestones!$AA$192)&gt;=$S67),$V67,IF(AND($R67&lt;&gt;"",EDATE($D67,Milestones!$AA$192)&gt;=$R67),$U67,$T67)))=Milestones!$AB$192),TEXT(EDATE($D67,Milestones!$AA$192),"dd/mm/yy")&amp;" "&amp;Milestones!$AB$192&amp;" "&amp;Milestones!$AC$192&amp;";  ","")&amp;IF(AND(EDATE($D67,Milestones!$AA$193)&lt;=AsOfDate,IF($Q67=0,$W67,IF(AND($S67&lt;&gt;"",EDATE($D67,Milestones!$AA$193)&gt;=$S67),$V67,IF(AND($R67&lt;&gt;"",EDATE($D67,Milestones!$AA$193)&gt;=$R67),$U67,$T67)))=Milestones!$AB$193),TEXT(EDATE($D67,Milestones!$AA$193),"dd/mm/yy")&amp;" "&amp;Milestones!$AB$193&amp;" "&amp;Milestones!$AC$193&amp;";  ","")&amp;IF(AND(EDATE($D67,Milestones!$AA$194)&lt;=AsOfDate,IF($Q67=0,$W67,IF(AND($S67&lt;&gt;"",EDATE($D67,Milestones!$AA$194)&gt;=$S67),$V67,IF(AND($R67&lt;&gt;"",EDATE($D67,Milestones!$AA$194)&gt;=$R67),$U67,$T67)))=Milestones!$AB$194),TEXT(EDATE($D67,Milestones!$AA$194),"dd/mm/yy")&amp;" "&amp;Milestones!$AB$194&amp;" "&amp;Milestones!$AC$194&amp;";  ","")&amp;IF(AND(EDATE($D67,Milestones!$AA$195)&lt;=AsOfDate,IF($Q67=0,$W67,IF(AND($S67&lt;&gt;"",EDATE($D67,Milestones!$AA$195)&gt;=$S67),$V67,IF(AND($R67&lt;&gt;"",EDATE($D67,Milestones!$AA$195)&gt;=$R67),$U67,$T67)))=Milestones!$AB$195),TEXT(EDATE($D67,Milestones!$AA$195),"dd/mm/yy")&amp;" "&amp;Milestones!$AB$195&amp;" "&amp;Milestones!$AC$195&amp;";  ","")&amp;IF(AND(EDATE($D67,Milestones!$AA$196)&lt;=AsOfDate,IF($Q67=0,$W67,IF(AND($S67&lt;&gt;"",EDATE($D67,Milestones!$AA$196)&gt;=$S67),$V67,IF(AND($R67&lt;&gt;"",EDATE($D67,Milestones!$AA$196)&gt;=$R67),$U67,$T67)))=Milestones!$AB$196),TEXT(EDATE($D67,Milestones!$AA$196),"dd/mm/yy")&amp;" "&amp;Milestones!$AB$196&amp;" "&amp;Milestones!$AC$196&amp;";  ","")&amp;IF(AND(EDATE($D67,Milestones!$AA$197)&lt;=AsOfDate,IF($Q67=0,$W67,IF(AND($S67&lt;&gt;"",EDATE($D67,Milestones!$AA$197)&gt;=$S67),$V67,IF(AND($R67&lt;&gt;"",EDATE($D67,Milestones!$AA$197)&gt;=$R67),$U67,$T67)))=Milestones!$AB$197),TEXT(EDATE($D67,Milestones!$AA$197),"dd/mm/yy")&amp;" "&amp;Milestones!$AB$197&amp;" "&amp;Milestones!$AC$197&amp;";  ","")&amp;IF(AND(EDATE($D67,Milestones!$AA$198)&lt;=AsOfDate,IF($Q67=0,$W67,IF(AND($S67&lt;&gt;"",EDATE($D67,Milestones!$AA$198)&gt;=$S67),$V67,IF(AND($R67&lt;&gt;"",EDATE($D67,Milestones!$AA$198)&gt;=$R67),$U67,$T67)))=Milestones!$AB$198),TEXT(EDATE($D67,Milestones!$AA$198),"dd/mm/yy")&amp;" "&amp;Milestones!$AB$198&amp;" "&amp;Milestones!$AC$198&amp;";  ","")&amp;IF(AND(EDATE($D67,Milestones!$AA$199)&lt;=AsOfDate,IF($Q67=0,$W67,IF(AND($S67&lt;&gt;"",EDATE($D67,Milestones!$AA$199)&gt;=$S67),$V67,IF(AND($R67&lt;&gt;"",EDATE($D67,Milestones!$AA$199)&gt;=$R67),$U67,$T67)))=Milestones!$AB$199),TEXT(EDATE($D67,Milestones!$AA$199),"dd/mm/yy")&amp;" "&amp;Milestones!$AB$199&amp;" "&amp;Milestones!$AC$199&amp;";  ",""))</f>
        <v/>
      </c>
      <c r="Q67" s="0" t="str">
        <f aca="false">IF(Staff!$A67="","",Staff!$AG67)</f>
        <v/>
      </c>
      <c r="R67" s="0" t="str">
        <f aca="false">IF(Staff!$A67="","",Staff!$AI67)</f>
        <v/>
      </c>
      <c r="S67" s="0" t="str">
        <f aca="false">IF(Staff!$A67="","",Staff!$AJ67)</f>
        <v/>
      </c>
      <c r="T67" s="0" t="str">
        <f aca="false">IF(Staff!$A67="","",Staff!$AN67)</f>
        <v/>
      </c>
      <c r="U67" s="0" t="str">
        <f aca="false">IF(Staff!$A67="","",Staff!$AO67)</f>
        <v/>
      </c>
      <c r="V67" s="0" t="str">
        <f aca="false">IF(Staff!$A67="","",Staff!$AP67)</f>
        <v/>
      </c>
      <c r="W67" s="0" t="str">
        <f aca="false">IF(Staff!$A67="","",Staff!$AQ67)</f>
        <v/>
      </c>
    </row>
    <row r="68" customFormat="false" ht="15" hidden="false" customHeight="false" outlineLevel="0" collapsed="false">
      <c r="A68" s="13" t="str">
        <f aca="false">IF(Staff!$A68="","",Staff!$A68)</f>
        <v/>
      </c>
      <c r="B68" s="13" t="str">
        <f aca="false">IF(Staff!$A68="","",Staff!$B68)</f>
        <v/>
      </c>
      <c r="C68" s="13" t="str">
        <f aca="false">IF(Staff!$A68="","",Staff!$C68)</f>
        <v/>
      </c>
      <c r="D68" s="11" t="str">
        <f aca="false">IF(Staff!$A68="","",Staff!$AF68)</f>
        <v/>
      </c>
      <c r="E68" s="13" t="str">
        <f aca="false">IF(Staff!$A68="","",Staff!$O68)</f>
        <v/>
      </c>
      <c r="F68" s="13" t="str">
        <f aca="false">IF(E68="","",E68*HoursPerDay)</f>
        <v/>
      </c>
      <c r="G68" s="26" t="str">
        <f aca="false">IF($A68="","",H68&amp;I68&amp;J68&amp;K68&amp;L68&amp;M68&amp;N68&amp;O68&amp;P68)</f>
        <v/>
      </c>
      <c r="H68" s="0" t="str">
        <f aca="false">IF(OR($A68="",$D68=""),"",IF(AND(EDATE($D68,Milestones!$AA$20)&lt;=AsOfDate,IF($Q68=0,$W68,IF(AND($S68&lt;&gt;"",EDATE($D68,Milestones!$AA$20)&gt;=$S68),$V68,IF(AND($R68&lt;&gt;"",EDATE($D68,Milestones!$AA$20)&gt;=$R68),$U68,$T68)))=Milestones!$AB$20),TEXT(EDATE($D68,Milestones!$AA$20),"dd/mm/yy")&amp;" "&amp;Milestones!$AB$20&amp;" "&amp;Milestones!$AC$20&amp;";  ","")&amp;IF(AND(EDATE($D68,Milestones!$AA$21)&lt;=AsOfDate,IF($Q68=0,$W68,IF(AND($S68&lt;&gt;"",EDATE($D68,Milestones!$AA$21)&gt;=$S68),$V68,IF(AND($R68&lt;&gt;"",EDATE($D68,Milestones!$AA$21)&gt;=$R68),$U68,$T68)))=Milestones!$AB$21),TEXT(EDATE($D68,Milestones!$AA$21),"dd/mm/yy")&amp;" "&amp;Milestones!$AB$21&amp;" "&amp;Milestones!$AC$21&amp;";  ","")&amp;IF(AND(EDATE($D68,Milestones!$AA$22)&lt;=AsOfDate,IF($Q68=0,$W68,IF(AND($S68&lt;&gt;"",EDATE($D68,Milestones!$AA$22)&gt;=$S68),$V68,IF(AND($R68&lt;&gt;"",EDATE($D68,Milestones!$AA$22)&gt;=$R68),$U68,$T68)))=Milestones!$AB$22),TEXT(EDATE($D68,Milestones!$AA$22),"dd/mm/yy")&amp;" "&amp;Milestones!$AB$22&amp;" "&amp;Milestones!$AC$22&amp;";  ","")&amp;IF(AND(EDATE($D68,Milestones!$AA$23)&lt;=AsOfDate,IF($Q68=0,$W68,IF(AND($S68&lt;&gt;"",EDATE($D68,Milestones!$AA$23)&gt;=$S68),$V68,IF(AND($R68&lt;&gt;"",EDATE($D68,Milestones!$AA$23)&gt;=$R68),$U68,$T68)))=Milestones!$AB$23),TEXT(EDATE($D68,Milestones!$AA$23),"dd/mm/yy")&amp;" "&amp;Milestones!$AB$23&amp;" "&amp;Milestones!$AC$23&amp;";  ","")&amp;IF(AND(EDATE($D68,Milestones!$AA$24)&lt;=AsOfDate,IF($Q68=0,$W68,IF(AND($S68&lt;&gt;"",EDATE($D68,Milestones!$AA$24)&gt;=$S68),$V68,IF(AND($R68&lt;&gt;"",EDATE($D68,Milestones!$AA$24)&gt;=$R68),$U68,$T68)))=Milestones!$AB$24),TEXT(EDATE($D68,Milestones!$AA$24),"dd/mm/yy")&amp;" "&amp;Milestones!$AB$24&amp;" "&amp;Milestones!$AC$24&amp;";  ","")&amp;IF(AND(EDATE($D68,Milestones!$AA$25)&lt;=AsOfDate,IF($Q68=0,$W68,IF(AND($S68&lt;&gt;"",EDATE($D68,Milestones!$AA$25)&gt;=$S68),$V68,IF(AND($R68&lt;&gt;"",EDATE($D68,Milestones!$AA$25)&gt;=$R68),$U68,$T68)))=Milestones!$AB$25),TEXT(EDATE($D68,Milestones!$AA$25),"dd/mm/yy")&amp;" "&amp;Milestones!$AB$25&amp;" "&amp;Milestones!$AC$25&amp;";  ","")&amp;IF(AND(EDATE($D68,Milestones!$AA$26)&lt;=AsOfDate,IF($Q68=0,$W68,IF(AND($S68&lt;&gt;"",EDATE($D68,Milestones!$AA$26)&gt;=$S68),$V68,IF(AND($R68&lt;&gt;"",EDATE($D68,Milestones!$AA$26)&gt;=$R68),$U68,$T68)))=Milestones!$AB$26),TEXT(EDATE($D68,Milestones!$AA$26),"dd/mm/yy")&amp;" "&amp;Milestones!$AB$26&amp;" "&amp;Milestones!$AC$26&amp;";  ","")&amp;IF(AND(EDATE($D68,Milestones!$AA$27)&lt;=AsOfDate,IF($Q68=0,$W68,IF(AND($S68&lt;&gt;"",EDATE($D68,Milestones!$AA$27)&gt;=$S68),$V68,IF(AND($R68&lt;&gt;"",EDATE($D68,Milestones!$AA$27)&gt;=$R68),$U68,$T68)))=Milestones!$AB$27),TEXT(EDATE($D68,Milestones!$AA$27),"dd/mm/yy")&amp;" "&amp;Milestones!$AB$27&amp;" "&amp;Milestones!$AC$27&amp;";  ","")&amp;IF(AND(EDATE($D68,Milestones!$AA$28)&lt;=AsOfDate,IF($Q68=0,$W68,IF(AND($S68&lt;&gt;"",EDATE($D68,Milestones!$AA$28)&gt;=$S68),$V68,IF(AND($R68&lt;&gt;"",EDATE($D68,Milestones!$AA$28)&gt;=$R68),$U68,$T68)))=Milestones!$AB$28),TEXT(EDATE($D68,Milestones!$AA$28),"dd/mm/yy")&amp;" "&amp;Milestones!$AB$28&amp;" "&amp;Milestones!$AC$28&amp;";  ","")&amp;IF(AND(EDATE($D68,Milestones!$AA$29)&lt;=AsOfDate,IF($Q68=0,$W68,IF(AND($S68&lt;&gt;"",EDATE($D68,Milestones!$AA$29)&gt;=$S68),$V68,IF(AND($R68&lt;&gt;"",EDATE($D68,Milestones!$AA$29)&gt;=$R68),$U68,$T68)))=Milestones!$AB$29),TEXT(EDATE($D68,Milestones!$AA$29),"dd/mm/yy")&amp;" "&amp;Milestones!$AB$29&amp;" "&amp;Milestones!$AC$29&amp;";  ","")&amp;IF(AND(EDATE($D68,Milestones!$AA$30)&lt;=AsOfDate,IF($Q68=0,$W68,IF(AND($S68&lt;&gt;"",EDATE($D68,Milestones!$AA$30)&gt;=$S68),$V68,IF(AND($R68&lt;&gt;"",EDATE($D68,Milestones!$AA$30)&gt;=$R68),$U68,$T68)))=Milestones!$AB$30),TEXT(EDATE($D68,Milestones!$AA$30),"dd/mm/yy")&amp;" "&amp;Milestones!$AB$30&amp;" "&amp;Milestones!$AC$30&amp;";  ","")&amp;IF(AND(EDATE($D68,Milestones!$AA$31)&lt;=AsOfDate,IF($Q68=0,$W68,IF(AND($S68&lt;&gt;"",EDATE($D68,Milestones!$AA$31)&gt;=$S68),$V68,IF(AND($R68&lt;&gt;"",EDATE($D68,Milestones!$AA$31)&gt;=$R68),$U68,$T68)))=Milestones!$AB$31),TEXT(EDATE($D68,Milestones!$AA$31),"dd/mm/yy")&amp;" "&amp;Milestones!$AB$31&amp;" "&amp;Milestones!$AC$31&amp;";  ","")&amp;IF(AND(EDATE($D68,Milestones!$AA$32)&lt;=AsOfDate,IF($Q68=0,$W68,IF(AND($S68&lt;&gt;"",EDATE($D68,Milestones!$AA$32)&gt;=$S68),$V68,IF(AND($R68&lt;&gt;"",EDATE($D68,Milestones!$AA$32)&gt;=$R68),$U68,$T68)))=Milestones!$AB$32),TEXT(EDATE($D68,Milestones!$AA$32),"dd/mm/yy")&amp;" "&amp;Milestones!$AB$32&amp;" "&amp;Milestones!$AC$32&amp;";  ","")&amp;IF(AND(EDATE($D68,Milestones!$AA$33)&lt;=AsOfDate,IF($Q68=0,$W68,IF(AND($S68&lt;&gt;"",EDATE($D68,Milestones!$AA$33)&gt;=$S68),$V68,IF(AND($R68&lt;&gt;"",EDATE($D68,Milestones!$AA$33)&gt;=$R68),$U68,$T68)))=Milestones!$AB$33),TEXT(EDATE($D68,Milestones!$AA$33),"dd/mm/yy")&amp;" "&amp;Milestones!$AB$33&amp;" "&amp;Milestones!$AC$33&amp;";  ","")&amp;IF(AND(EDATE($D68,Milestones!$AA$34)&lt;=AsOfDate,IF($Q68=0,$W68,IF(AND($S68&lt;&gt;"",EDATE($D68,Milestones!$AA$34)&gt;=$S68),$V68,IF(AND($R68&lt;&gt;"",EDATE($D68,Milestones!$AA$34)&gt;=$R68),$U68,$T68)))=Milestones!$AB$34),TEXT(EDATE($D68,Milestones!$AA$34),"dd/mm/yy")&amp;" "&amp;Milestones!$AB$34&amp;" "&amp;Milestones!$AC$34&amp;";  ","")&amp;IF(AND(EDATE($D68,Milestones!$AA$35)&lt;=AsOfDate,IF($Q68=0,$W68,IF(AND($S68&lt;&gt;"",EDATE($D68,Milestones!$AA$35)&gt;=$S68),$V68,IF(AND($R68&lt;&gt;"",EDATE($D68,Milestones!$AA$35)&gt;=$R68),$U68,$T68)))=Milestones!$AB$35),TEXT(EDATE($D68,Milestones!$AA$35),"dd/mm/yy")&amp;" "&amp;Milestones!$AB$35&amp;" "&amp;Milestones!$AC$35&amp;";  ","")&amp;IF(AND(EDATE($D68,Milestones!$AA$36)&lt;=AsOfDate,IF($Q68=0,$W68,IF(AND($S68&lt;&gt;"",EDATE($D68,Milestones!$AA$36)&gt;=$S68),$V68,IF(AND($R68&lt;&gt;"",EDATE($D68,Milestones!$AA$36)&gt;=$R68),$U68,$T68)))=Milestones!$AB$36),TEXT(EDATE($D68,Milestones!$AA$36),"dd/mm/yy")&amp;" "&amp;Milestones!$AB$36&amp;" "&amp;Milestones!$AC$36&amp;";  ","")&amp;IF(AND(EDATE($D68,Milestones!$AA$37)&lt;=AsOfDate,IF($Q68=0,$W68,IF(AND($S68&lt;&gt;"",EDATE($D68,Milestones!$AA$37)&gt;=$S68),$V68,IF(AND($R68&lt;&gt;"",EDATE($D68,Milestones!$AA$37)&gt;=$R68),$U68,$T68)))=Milestones!$AB$37),TEXT(EDATE($D68,Milestones!$AA$37),"dd/mm/yy")&amp;" "&amp;Milestones!$AB$37&amp;" "&amp;Milestones!$AC$37&amp;";  ","")&amp;IF(AND(EDATE($D68,Milestones!$AA$38)&lt;=AsOfDate,IF($Q68=0,$W68,IF(AND($S68&lt;&gt;"",EDATE($D68,Milestones!$AA$38)&gt;=$S68),$V68,IF(AND($R68&lt;&gt;"",EDATE($D68,Milestones!$AA$38)&gt;=$R68),$U68,$T68)))=Milestones!$AB$38),TEXT(EDATE($D68,Milestones!$AA$38),"dd/mm/yy")&amp;" "&amp;Milestones!$AB$38&amp;" "&amp;Milestones!$AC$38&amp;";  ","")&amp;IF(AND(EDATE($D68,Milestones!$AA$39)&lt;=AsOfDate,IF($Q68=0,$W68,IF(AND($S68&lt;&gt;"",EDATE($D68,Milestones!$AA$39)&gt;=$S68),$V68,IF(AND($R68&lt;&gt;"",EDATE($D68,Milestones!$AA$39)&gt;=$R68),$U68,$T68)))=Milestones!$AB$39),TEXT(EDATE($D68,Milestones!$AA$39),"dd/mm/yy")&amp;" "&amp;Milestones!$AB$39&amp;" "&amp;Milestones!$AC$39&amp;";  ",""))</f>
        <v/>
      </c>
      <c r="I68" s="0" t="str">
        <f aca="false">IF(OR($A68="",$D68=""),"",IF(AND(EDATE($D68,Milestones!$AA$40)&lt;=AsOfDate,IF($Q68=0,$W68,IF(AND($S68&lt;&gt;"",EDATE($D68,Milestones!$AA$40)&gt;=$S68),$V68,IF(AND($R68&lt;&gt;"",EDATE($D68,Milestones!$AA$40)&gt;=$R68),$U68,$T68)))=Milestones!$AB$40),TEXT(EDATE($D68,Milestones!$AA$40),"dd/mm/yy")&amp;" "&amp;Milestones!$AB$40&amp;" "&amp;Milestones!$AC$40&amp;";  ","")&amp;IF(AND(EDATE($D68,Milestones!$AA$41)&lt;=AsOfDate,IF($Q68=0,$W68,IF(AND($S68&lt;&gt;"",EDATE($D68,Milestones!$AA$41)&gt;=$S68),$V68,IF(AND($R68&lt;&gt;"",EDATE($D68,Milestones!$AA$41)&gt;=$R68),$U68,$T68)))=Milestones!$AB$41),TEXT(EDATE($D68,Milestones!$AA$41),"dd/mm/yy")&amp;" "&amp;Milestones!$AB$41&amp;" "&amp;Milestones!$AC$41&amp;";  ","")&amp;IF(AND(EDATE($D68,Milestones!$AA$42)&lt;=AsOfDate,IF($Q68=0,$W68,IF(AND($S68&lt;&gt;"",EDATE($D68,Milestones!$AA$42)&gt;=$S68),$V68,IF(AND($R68&lt;&gt;"",EDATE($D68,Milestones!$AA$42)&gt;=$R68),$U68,$T68)))=Milestones!$AB$42),TEXT(EDATE($D68,Milestones!$AA$42),"dd/mm/yy")&amp;" "&amp;Milestones!$AB$42&amp;" "&amp;Milestones!$AC$42&amp;";  ","")&amp;IF(AND(EDATE($D68,Milestones!$AA$43)&lt;=AsOfDate,IF($Q68=0,$W68,IF(AND($S68&lt;&gt;"",EDATE($D68,Milestones!$AA$43)&gt;=$S68),$V68,IF(AND($R68&lt;&gt;"",EDATE($D68,Milestones!$AA$43)&gt;=$R68),$U68,$T68)))=Milestones!$AB$43),TEXT(EDATE($D68,Milestones!$AA$43),"dd/mm/yy")&amp;" "&amp;Milestones!$AB$43&amp;" "&amp;Milestones!$AC$43&amp;";  ","")&amp;IF(AND(EDATE($D68,Milestones!$AA$44)&lt;=AsOfDate,IF($Q68=0,$W68,IF(AND($S68&lt;&gt;"",EDATE($D68,Milestones!$AA$44)&gt;=$S68),$V68,IF(AND($R68&lt;&gt;"",EDATE($D68,Milestones!$AA$44)&gt;=$R68),$U68,$T68)))=Milestones!$AB$44),TEXT(EDATE($D68,Milestones!$AA$44),"dd/mm/yy")&amp;" "&amp;Milestones!$AB$44&amp;" "&amp;Milestones!$AC$44&amp;";  ","")&amp;IF(AND(EDATE($D68,Milestones!$AA$45)&lt;=AsOfDate,IF($Q68=0,$W68,IF(AND($S68&lt;&gt;"",EDATE($D68,Milestones!$AA$45)&gt;=$S68),$V68,IF(AND($R68&lt;&gt;"",EDATE($D68,Milestones!$AA$45)&gt;=$R68),$U68,$T68)))=Milestones!$AB$45),TEXT(EDATE($D68,Milestones!$AA$45),"dd/mm/yy")&amp;" "&amp;Milestones!$AB$45&amp;" "&amp;Milestones!$AC$45&amp;";  ","")&amp;IF(AND(EDATE($D68,Milestones!$AA$46)&lt;=AsOfDate,IF($Q68=0,$W68,IF(AND($S68&lt;&gt;"",EDATE($D68,Milestones!$AA$46)&gt;=$S68),$V68,IF(AND($R68&lt;&gt;"",EDATE($D68,Milestones!$AA$46)&gt;=$R68),$U68,$T68)))=Milestones!$AB$46),TEXT(EDATE($D68,Milestones!$AA$46),"dd/mm/yy")&amp;" "&amp;Milestones!$AB$46&amp;" "&amp;Milestones!$AC$46&amp;";  ","")&amp;IF(AND(EDATE($D68,Milestones!$AA$47)&lt;=AsOfDate,IF($Q68=0,$W68,IF(AND($S68&lt;&gt;"",EDATE($D68,Milestones!$AA$47)&gt;=$S68),$V68,IF(AND($R68&lt;&gt;"",EDATE($D68,Milestones!$AA$47)&gt;=$R68),$U68,$T68)))=Milestones!$AB$47),TEXT(EDATE($D68,Milestones!$AA$47),"dd/mm/yy")&amp;" "&amp;Milestones!$AB$47&amp;" "&amp;Milestones!$AC$47&amp;";  ","")&amp;IF(AND(EDATE($D68,Milestones!$AA$48)&lt;=AsOfDate,IF($Q68=0,$W68,IF(AND($S68&lt;&gt;"",EDATE($D68,Milestones!$AA$48)&gt;=$S68),$V68,IF(AND($R68&lt;&gt;"",EDATE($D68,Milestones!$AA$48)&gt;=$R68),$U68,$T68)))=Milestones!$AB$48),TEXT(EDATE($D68,Milestones!$AA$48),"dd/mm/yy")&amp;" "&amp;Milestones!$AB$48&amp;" "&amp;Milestones!$AC$48&amp;";  ","")&amp;IF(AND(EDATE($D68,Milestones!$AA$49)&lt;=AsOfDate,IF($Q68=0,$W68,IF(AND($S68&lt;&gt;"",EDATE($D68,Milestones!$AA$49)&gt;=$S68),$V68,IF(AND($R68&lt;&gt;"",EDATE($D68,Milestones!$AA$49)&gt;=$R68),$U68,$T68)))=Milestones!$AB$49),TEXT(EDATE($D68,Milestones!$AA$49),"dd/mm/yy")&amp;" "&amp;Milestones!$AB$49&amp;" "&amp;Milestones!$AC$49&amp;";  ","")&amp;IF(AND(EDATE($D68,Milestones!$AA$50)&lt;=AsOfDate,IF($Q68=0,$W68,IF(AND($S68&lt;&gt;"",EDATE($D68,Milestones!$AA$50)&gt;=$S68),$V68,IF(AND($R68&lt;&gt;"",EDATE($D68,Milestones!$AA$50)&gt;=$R68),$U68,$T68)))=Milestones!$AB$50),TEXT(EDATE($D68,Milestones!$AA$50),"dd/mm/yy")&amp;" "&amp;Milestones!$AB$50&amp;" "&amp;Milestones!$AC$50&amp;";  ","")&amp;IF(AND(EDATE($D68,Milestones!$AA$51)&lt;=AsOfDate,IF($Q68=0,$W68,IF(AND($S68&lt;&gt;"",EDATE($D68,Milestones!$AA$51)&gt;=$S68),$V68,IF(AND($R68&lt;&gt;"",EDATE($D68,Milestones!$AA$51)&gt;=$R68),$U68,$T68)))=Milestones!$AB$51),TEXT(EDATE($D68,Milestones!$AA$51),"dd/mm/yy")&amp;" "&amp;Milestones!$AB$51&amp;" "&amp;Milestones!$AC$51&amp;";  ","")&amp;IF(AND(EDATE($D68,Milestones!$AA$52)&lt;=AsOfDate,IF($Q68=0,$W68,IF(AND($S68&lt;&gt;"",EDATE($D68,Milestones!$AA$52)&gt;=$S68),$V68,IF(AND($R68&lt;&gt;"",EDATE($D68,Milestones!$AA$52)&gt;=$R68),$U68,$T68)))=Milestones!$AB$52),TEXT(EDATE($D68,Milestones!$AA$52),"dd/mm/yy")&amp;" "&amp;Milestones!$AB$52&amp;" "&amp;Milestones!$AC$52&amp;";  ","")&amp;IF(AND(EDATE($D68,Milestones!$AA$53)&lt;=AsOfDate,IF($Q68=0,$W68,IF(AND($S68&lt;&gt;"",EDATE($D68,Milestones!$AA$53)&gt;=$S68),$V68,IF(AND($R68&lt;&gt;"",EDATE($D68,Milestones!$AA$53)&gt;=$R68),$U68,$T68)))=Milestones!$AB$53),TEXT(EDATE($D68,Milestones!$AA$53),"dd/mm/yy")&amp;" "&amp;Milestones!$AB$53&amp;" "&amp;Milestones!$AC$53&amp;";  ","")&amp;IF(AND(EDATE($D68,Milestones!$AA$54)&lt;=AsOfDate,IF($Q68=0,$W68,IF(AND($S68&lt;&gt;"",EDATE($D68,Milestones!$AA$54)&gt;=$S68),$V68,IF(AND($R68&lt;&gt;"",EDATE($D68,Milestones!$AA$54)&gt;=$R68),$U68,$T68)))=Milestones!$AB$54),TEXT(EDATE($D68,Milestones!$AA$54),"dd/mm/yy")&amp;" "&amp;Milestones!$AB$54&amp;" "&amp;Milestones!$AC$54&amp;";  ","")&amp;IF(AND(EDATE($D68,Milestones!$AA$55)&lt;=AsOfDate,IF($Q68=0,$W68,IF(AND($S68&lt;&gt;"",EDATE($D68,Milestones!$AA$55)&gt;=$S68),$V68,IF(AND($R68&lt;&gt;"",EDATE($D68,Milestones!$AA$55)&gt;=$R68),$U68,$T68)))=Milestones!$AB$55),TEXT(EDATE($D68,Milestones!$AA$55),"dd/mm/yy")&amp;" "&amp;Milestones!$AB$55&amp;" "&amp;Milestones!$AC$55&amp;";  ","")&amp;IF(AND(EDATE($D68,Milestones!$AA$56)&lt;=AsOfDate,IF($Q68=0,$W68,IF(AND($S68&lt;&gt;"",EDATE($D68,Milestones!$AA$56)&gt;=$S68),$V68,IF(AND($R68&lt;&gt;"",EDATE($D68,Milestones!$AA$56)&gt;=$R68),$U68,$T68)))=Milestones!$AB$56),TEXT(EDATE($D68,Milestones!$AA$56),"dd/mm/yy")&amp;" "&amp;Milestones!$AB$56&amp;" "&amp;Milestones!$AC$56&amp;";  ","")&amp;IF(AND(EDATE($D68,Milestones!$AA$57)&lt;=AsOfDate,IF($Q68=0,$W68,IF(AND($S68&lt;&gt;"",EDATE($D68,Milestones!$AA$57)&gt;=$S68),$V68,IF(AND($R68&lt;&gt;"",EDATE($D68,Milestones!$AA$57)&gt;=$R68),$U68,$T68)))=Milestones!$AB$57),TEXT(EDATE($D68,Milestones!$AA$57),"dd/mm/yy")&amp;" "&amp;Milestones!$AB$57&amp;" "&amp;Milestones!$AC$57&amp;";  ","")&amp;IF(AND(EDATE($D68,Milestones!$AA$58)&lt;=AsOfDate,IF($Q68=0,$W68,IF(AND($S68&lt;&gt;"",EDATE($D68,Milestones!$AA$58)&gt;=$S68),$V68,IF(AND($R68&lt;&gt;"",EDATE($D68,Milestones!$AA$58)&gt;=$R68),$U68,$T68)))=Milestones!$AB$58),TEXT(EDATE($D68,Milestones!$AA$58),"dd/mm/yy")&amp;" "&amp;Milestones!$AB$58&amp;" "&amp;Milestones!$AC$58&amp;";  ","")&amp;IF(AND(EDATE($D68,Milestones!$AA$59)&lt;=AsOfDate,IF($Q68=0,$W68,IF(AND($S68&lt;&gt;"",EDATE($D68,Milestones!$AA$59)&gt;=$S68),$V68,IF(AND($R68&lt;&gt;"",EDATE($D68,Milestones!$AA$59)&gt;=$R68),$U68,$T68)))=Milestones!$AB$59),TEXT(EDATE($D68,Milestones!$AA$59),"dd/mm/yy")&amp;" "&amp;Milestones!$AB$59&amp;" "&amp;Milestones!$AC$59&amp;";  ",""))</f>
        <v/>
      </c>
      <c r="J68" s="0" t="str">
        <f aca="false">IF(OR($A68="",$D68=""),"",IF(AND(EDATE($D68,Milestones!$AA$60)&lt;=AsOfDate,IF($Q68=0,$W68,IF(AND($S68&lt;&gt;"",EDATE($D68,Milestones!$AA$60)&gt;=$S68),$V68,IF(AND($R68&lt;&gt;"",EDATE($D68,Milestones!$AA$60)&gt;=$R68),$U68,$T68)))=Milestones!$AB$60),TEXT(EDATE($D68,Milestones!$AA$60),"dd/mm/yy")&amp;" "&amp;Milestones!$AB$60&amp;" "&amp;Milestones!$AC$60&amp;";  ","")&amp;IF(AND(EDATE($D68,Milestones!$AA$61)&lt;=AsOfDate,IF($Q68=0,$W68,IF(AND($S68&lt;&gt;"",EDATE($D68,Milestones!$AA$61)&gt;=$S68),$V68,IF(AND($R68&lt;&gt;"",EDATE($D68,Milestones!$AA$61)&gt;=$R68),$U68,$T68)))=Milestones!$AB$61),TEXT(EDATE($D68,Milestones!$AA$61),"dd/mm/yy")&amp;" "&amp;Milestones!$AB$61&amp;" "&amp;Milestones!$AC$61&amp;";  ","")&amp;IF(AND(EDATE($D68,Milestones!$AA$62)&lt;=AsOfDate,IF($Q68=0,$W68,IF(AND($S68&lt;&gt;"",EDATE($D68,Milestones!$AA$62)&gt;=$S68),$V68,IF(AND($R68&lt;&gt;"",EDATE($D68,Milestones!$AA$62)&gt;=$R68),$U68,$T68)))=Milestones!$AB$62),TEXT(EDATE($D68,Milestones!$AA$62),"dd/mm/yy")&amp;" "&amp;Milestones!$AB$62&amp;" "&amp;Milestones!$AC$62&amp;";  ","")&amp;IF(AND(EDATE($D68,Milestones!$AA$63)&lt;=AsOfDate,IF($Q68=0,$W68,IF(AND($S68&lt;&gt;"",EDATE($D68,Milestones!$AA$63)&gt;=$S68),$V68,IF(AND($R68&lt;&gt;"",EDATE($D68,Milestones!$AA$63)&gt;=$R68),$U68,$T68)))=Milestones!$AB$63),TEXT(EDATE($D68,Milestones!$AA$63),"dd/mm/yy")&amp;" "&amp;Milestones!$AB$63&amp;" "&amp;Milestones!$AC$63&amp;";  ","")&amp;IF(AND(EDATE($D68,Milestones!$AA$64)&lt;=AsOfDate,IF($Q68=0,$W68,IF(AND($S68&lt;&gt;"",EDATE($D68,Milestones!$AA$64)&gt;=$S68),$V68,IF(AND($R68&lt;&gt;"",EDATE($D68,Milestones!$AA$64)&gt;=$R68),$U68,$T68)))=Milestones!$AB$64),TEXT(EDATE($D68,Milestones!$AA$64),"dd/mm/yy")&amp;" "&amp;Milestones!$AB$64&amp;" "&amp;Milestones!$AC$64&amp;";  ","")&amp;IF(AND(EDATE($D68,Milestones!$AA$65)&lt;=AsOfDate,IF($Q68=0,$W68,IF(AND($S68&lt;&gt;"",EDATE($D68,Milestones!$AA$65)&gt;=$S68),$V68,IF(AND($R68&lt;&gt;"",EDATE($D68,Milestones!$AA$65)&gt;=$R68),$U68,$T68)))=Milestones!$AB$65),TEXT(EDATE($D68,Milestones!$AA$65),"dd/mm/yy")&amp;" "&amp;Milestones!$AB$65&amp;" "&amp;Milestones!$AC$65&amp;";  ","")&amp;IF(AND(EDATE($D68,Milestones!$AA$66)&lt;=AsOfDate,IF($Q68=0,$W68,IF(AND($S68&lt;&gt;"",EDATE($D68,Milestones!$AA$66)&gt;=$S68),$V68,IF(AND($R68&lt;&gt;"",EDATE($D68,Milestones!$AA$66)&gt;=$R68),$U68,$T68)))=Milestones!$AB$66),TEXT(EDATE($D68,Milestones!$AA$66),"dd/mm/yy")&amp;" "&amp;Milestones!$AB$66&amp;" "&amp;Milestones!$AC$66&amp;";  ","")&amp;IF(AND(EDATE($D68,Milestones!$AA$67)&lt;=AsOfDate,IF($Q68=0,$W68,IF(AND($S68&lt;&gt;"",EDATE($D68,Milestones!$AA$67)&gt;=$S68),$V68,IF(AND($R68&lt;&gt;"",EDATE($D68,Milestones!$AA$67)&gt;=$R68),$U68,$T68)))=Milestones!$AB$67),TEXT(EDATE($D68,Milestones!$AA$67),"dd/mm/yy")&amp;" "&amp;Milestones!$AB$67&amp;" "&amp;Milestones!$AC$67&amp;";  ","")&amp;IF(AND(EDATE($D68,Milestones!$AA$68)&lt;=AsOfDate,IF($Q68=0,$W68,IF(AND($S68&lt;&gt;"",EDATE($D68,Milestones!$AA$68)&gt;=$S68),$V68,IF(AND($R68&lt;&gt;"",EDATE($D68,Milestones!$AA$68)&gt;=$R68),$U68,$T68)))=Milestones!$AB$68),TEXT(EDATE($D68,Milestones!$AA$68),"dd/mm/yy")&amp;" "&amp;Milestones!$AB$68&amp;" "&amp;Milestones!$AC$68&amp;";  ","")&amp;IF(AND(EDATE($D68,Milestones!$AA$69)&lt;=AsOfDate,IF($Q68=0,$W68,IF(AND($S68&lt;&gt;"",EDATE($D68,Milestones!$AA$69)&gt;=$S68),$V68,IF(AND($R68&lt;&gt;"",EDATE($D68,Milestones!$AA$69)&gt;=$R68),$U68,$T68)))=Milestones!$AB$69),TEXT(EDATE($D68,Milestones!$AA$69),"dd/mm/yy")&amp;" "&amp;Milestones!$AB$69&amp;" "&amp;Milestones!$AC$69&amp;";  ","")&amp;IF(AND(EDATE($D68,Milestones!$AA$70)&lt;=AsOfDate,IF($Q68=0,$W68,IF(AND($S68&lt;&gt;"",EDATE($D68,Milestones!$AA$70)&gt;=$S68),$V68,IF(AND($R68&lt;&gt;"",EDATE($D68,Milestones!$AA$70)&gt;=$R68),$U68,$T68)))=Milestones!$AB$70),TEXT(EDATE($D68,Milestones!$AA$70),"dd/mm/yy")&amp;" "&amp;Milestones!$AB$70&amp;" "&amp;Milestones!$AC$70&amp;";  ","")&amp;IF(AND(EDATE($D68,Milestones!$AA$71)&lt;=AsOfDate,IF($Q68=0,$W68,IF(AND($S68&lt;&gt;"",EDATE($D68,Milestones!$AA$71)&gt;=$S68),$V68,IF(AND($R68&lt;&gt;"",EDATE($D68,Milestones!$AA$71)&gt;=$R68),$U68,$T68)))=Milestones!$AB$71),TEXT(EDATE($D68,Milestones!$AA$71),"dd/mm/yy")&amp;" "&amp;Milestones!$AB$71&amp;" "&amp;Milestones!$AC$71&amp;";  ","")&amp;IF(AND(EDATE($D68,Milestones!$AA$72)&lt;=AsOfDate,IF($Q68=0,$W68,IF(AND($S68&lt;&gt;"",EDATE($D68,Milestones!$AA$72)&gt;=$S68),$V68,IF(AND($R68&lt;&gt;"",EDATE($D68,Milestones!$AA$72)&gt;=$R68),$U68,$T68)))=Milestones!$AB$72),TEXT(EDATE($D68,Milestones!$AA$72),"dd/mm/yy")&amp;" "&amp;Milestones!$AB$72&amp;" "&amp;Milestones!$AC$72&amp;";  ","")&amp;IF(AND(EDATE($D68,Milestones!$AA$73)&lt;=AsOfDate,IF($Q68=0,$W68,IF(AND($S68&lt;&gt;"",EDATE($D68,Milestones!$AA$73)&gt;=$S68),$V68,IF(AND($R68&lt;&gt;"",EDATE($D68,Milestones!$AA$73)&gt;=$R68),$U68,$T68)))=Milestones!$AB$73),TEXT(EDATE($D68,Milestones!$AA$73),"dd/mm/yy")&amp;" "&amp;Milestones!$AB$73&amp;" "&amp;Milestones!$AC$73&amp;";  ","")&amp;IF(AND(EDATE($D68,Milestones!$AA$74)&lt;=AsOfDate,IF($Q68=0,$W68,IF(AND($S68&lt;&gt;"",EDATE($D68,Milestones!$AA$74)&gt;=$S68),$V68,IF(AND($R68&lt;&gt;"",EDATE($D68,Milestones!$AA$74)&gt;=$R68),$U68,$T68)))=Milestones!$AB$74),TEXT(EDATE($D68,Milestones!$AA$74),"dd/mm/yy")&amp;" "&amp;Milestones!$AB$74&amp;" "&amp;Milestones!$AC$74&amp;";  ","")&amp;IF(AND(EDATE($D68,Milestones!$AA$75)&lt;=AsOfDate,IF($Q68=0,$W68,IF(AND($S68&lt;&gt;"",EDATE($D68,Milestones!$AA$75)&gt;=$S68),$V68,IF(AND($R68&lt;&gt;"",EDATE($D68,Milestones!$AA$75)&gt;=$R68),$U68,$T68)))=Milestones!$AB$75),TEXT(EDATE($D68,Milestones!$AA$75),"dd/mm/yy")&amp;" "&amp;Milestones!$AB$75&amp;" "&amp;Milestones!$AC$75&amp;";  ","")&amp;IF(AND(EDATE($D68,Milestones!$AA$76)&lt;=AsOfDate,IF($Q68=0,$W68,IF(AND($S68&lt;&gt;"",EDATE($D68,Milestones!$AA$76)&gt;=$S68),$V68,IF(AND($R68&lt;&gt;"",EDATE($D68,Milestones!$AA$76)&gt;=$R68),$U68,$T68)))=Milestones!$AB$76),TEXT(EDATE($D68,Milestones!$AA$76),"dd/mm/yy")&amp;" "&amp;Milestones!$AB$76&amp;" "&amp;Milestones!$AC$76&amp;";  ","")&amp;IF(AND(EDATE($D68,Milestones!$AA$77)&lt;=AsOfDate,IF($Q68=0,$W68,IF(AND($S68&lt;&gt;"",EDATE($D68,Milestones!$AA$77)&gt;=$S68),$V68,IF(AND($R68&lt;&gt;"",EDATE($D68,Milestones!$AA$77)&gt;=$R68),$U68,$T68)))=Milestones!$AB$77),TEXT(EDATE($D68,Milestones!$AA$77),"dd/mm/yy")&amp;" "&amp;Milestones!$AB$77&amp;" "&amp;Milestones!$AC$77&amp;";  ","")&amp;IF(AND(EDATE($D68,Milestones!$AA$78)&lt;=AsOfDate,IF($Q68=0,$W68,IF(AND($S68&lt;&gt;"",EDATE($D68,Milestones!$AA$78)&gt;=$S68),$V68,IF(AND($R68&lt;&gt;"",EDATE($D68,Milestones!$AA$78)&gt;=$R68),$U68,$T68)))=Milestones!$AB$78),TEXT(EDATE($D68,Milestones!$AA$78),"dd/mm/yy")&amp;" "&amp;Milestones!$AB$78&amp;" "&amp;Milestones!$AC$78&amp;";  ","")&amp;IF(AND(EDATE($D68,Milestones!$AA$79)&lt;=AsOfDate,IF($Q68=0,$W68,IF(AND($S68&lt;&gt;"",EDATE($D68,Milestones!$AA$79)&gt;=$S68),$V68,IF(AND($R68&lt;&gt;"",EDATE($D68,Milestones!$AA$79)&gt;=$R68),$U68,$T68)))=Milestones!$AB$79),TEXT(EDATE($D68,Milestones!$AA$79),"dd/mm/yy")&amp;" "&amp;Milestones!$AB$79&amp;" "&amp;Milestones!$AC$79&amp;";  ",""))</f>
        <v/>
      </c>
      <c r="K68" s="0" t="str">
        <f aca="false">IF(OR($A68="",$D68=""),"",IF(AND(EDATE($D68,Milestones!$AA$80)&lt;=AsOfDate,IF($Q68=0,$W68,IF(AND($S68&lt;&gt;"",EDATE($D68,Milestones!$AA$80)&gt;=$S68),$V68,IF(AND($R68&lt;&gt;"",EDATE($D68,Milestones!$AA$80)&gt;=$R68),$U68,$T68)))=Milestones!$AB$80),TEXT(EDATE($D68,Milestones!$AA$80),"dd/mm/yy")&amp;" "&amp;Milestones!$AB$80&amp;" "&amp;Milestones!$AC$80&amp;";  ","")&amp;IF(AND(EDATE($D68,Milestones!$AA$81)&lt;=AsOfDate,IF($Q68=0,$W68,IF(AND($S68&lt;&gt;"",EDATE($D68,Milestones!$AA$81)&gt;=$S68),$V68,IF(AND($R68&lt;&gt;"",EDATE($D68,Milestones!$AA$81)&gt;=$R68),$U68,$T68)))=Milestones!$AB$81),TEXT(EDATE($D68,Milestones!$AA$81),"dd/mm/yy")&amp;" "&amp;Milestones!$AB$81&amp;" "&amp;Milestones!$AC$81&amp;";  ","")&amp;IF(AND(EDATE($D68,Milestones!$AA$82)&lt;=AsOfDate,IF($Q68=0,$W68,IF(AND($S68&lt;&gt;"",EDATE($D68,Milestones!$AA$82)&gt;=$S68),$V68,IF(AND($R68&lt;&gt;"",EDATE($D68,Milestones!$AA$82)&gt;=$R68),$U68,$T68)))=Milestones!$AB$82),TEXT(EDATE($D68,Milestones!$AA$82),"dd/mm/yy")&amp;" "&amp;Milestones!$AB$82&amp;" "&amp;Milestones!$AC$82&amp;";  ","")&amp;IF(AND(EDATE($D68,Milestones!$AA$83)&lt;=AsOfDate,IF($Q68=0,$W68,IF(AND($S68&lt;&gt;"",EDATE($D68,Milestones!$AA$83)&gt;=$S68),$V68,IF(AND($R68&lt;&gt;"",EDATE($D68,Milestones!$AA$83)&gt;=$R68),$U68,$T68)))=Milestones!$AB$83),TEXT(EDATE($D68,Milestones!$AA$83),"dd/mm/yy")&amp;" "&amp;Milestones!$AB$83&amp;" "&amp;Milestones!$AC$83&amp;";  ","")&amp;IF(AND(EDATE($D68,Milestones!$AA$84)&lt;=AsOfDate,IF($Q68=0,$W68,IF(AND($S68&lt;&gt;"",EDATE($D68,Milestones!$AA$84)&gt;=$S68),$V68,IF(AND($R68&lt;&gt;"",EDATE($D68,Milestones!$AA$84)&gt;=$R68),$U68,$T68)))=Milestones!$AB$84),TEXT(EDATE($D68,Milestones!$AA$84),"dd/mm/yy")&amp;" "&amp;Milestones!$AB$84&amp;" "&amp;Milestones!$AC$84&amp;";  ","")&amp;IF(AND(EDATE($D68,Milestones!$AA$85)&lt;=AsOfDate,IF($Q68=0,$W68,IF(AND($S68&lt;&gt;"",EDATE($D68,Milestones!$AA$85)&gt;=$S68),$V68,IF(AND($R68&lt;&gt;"",EDATE($D68,Milestones!$AA$85)&gt;=$R68),$U68,$T68)))=Milestones!$AB$85),TEXT(EDATE($D68,Milestones!$AA$85),"dd/mm/yy")&amp;" "&amp;Milestones!$AB$85&amp;" "&amp;Milestones!$AC$85&amp;";  ","")&amp;IF(AND(EDATE($D68,Milestones!$AA$86)&lt;=AsOfDate,IF($Q68=0,$W68,IF(AND($S68&lt;&gt;"",EDATE($D68,Milestones!$AA$86)&gt;=$S68),$V68,IF(AND($R68&lt;&gt;"",EDATE($D68,Milestones!$AA$86)&gt;=$R68),$U68,$T68)))=Milestones!$AB$86),TEXT(EDATE($D68,Milestones!$AA$86),"dd/mm/yy")&amp;" "&amp;Milestones!$AB$86&amp;" "&amp;Milestones!$AC$86&amp;";  ","")&amp;IF(AND(EDATE($D68,Milestones!$AA$87)&lt;=AsOfDate,IF($Q68=0,$W68,IF(AND($S68&lt;&gt;"",EDATE($D68,Milestones!$AA$87)&gt;=$S68),$V68,IF(AND($R68&lt;&gt;"",EDATE($D68,Milestones!$AA$87)&gt;=$R68),$U68,$T68)))=Milestones!$AB$87),TEXT(EDATE($D68,Milestones!$AA$87),"dd/mm/yy")&amp;" "&amp;Milestones!$AB$87&amp;" "&amp;Milestones!$AC$87&amp;";  ","")&amp;IF(AND(EDATE($D68,Milestones!$AA$88)&lt;=AsOfDate,IF($Q68=0,$W68,IF(AND($S68&lt;&gt;"",EDATE($D68,Milestones!$AA$88)&gt;=$S68),$V68,IF(AND($R68&lt;&gt;"",EDATE($D68,Milestones!$AA$88)&gt;=$R68),$U68,$T68)))=Milestones!$AB$88),TEXT(EDATE($D68,Milestones!$AA$88),"dd/mm/yy")&amp;" "&amp;Milestones!$AB$88&amp;" "&amp;Milestones!$AC$88&amp;";  ","")&amp;IF(AND(EDATE($D68,Milestones!$AA$89)&lt;=AsOfDate,IF($Q68=0,$W68,IF(AND($S68&lt;&gt;"",EDATE($D68,Milestones!$AA$89)&gt;=$S68),$V68,IF(AND($R68&lt;&gt;"",EDATE($D68,Milestones!$AA$89)&gt;=$R68),$U68,$T68)))=Milestones!$AB$89),TEXT(EDATE($D68,Milestones!$AA$89),"dd/mm/yy")&amp;" "&amp;Milestones!$AB$89&amp;" "&amp;Milestones!$AC$89&amp;";  ","")&amp;IF(AND(EDATE($D68,Milestones!$AA$90)&lt;=AsOfDate,IF($Q68=0,$W68,IF(AND($S68&lt;&gt;"",EDATE($D68,Milestones!$AA$90)&gt;=$S68),$V68,IF(AND($R68&lt;&gt;"",EDATE($D68,Milestones!$AA$90)&gt;=$R68),$U68,$T68)))=Milestones!$AB$90),TEXT(EDATE($D68,Milestones!$AA$90),"dd/mm/yy")&amp;" "&amp;Milestones!$AB$90&amp;" "&amp;Milestones!$AC$90&amp;";  ","")&amp;IF(AND(EDATE($D68,Milestones!$AA$91)&lt;=AsOfDate,IF($Q68=0,$W68,IF(AND($S68&lt;&gt;"",EDATE($D68,Milestones!$AA$91)&gt;=$S68),$V68,IF(AND($R68&lt;&gt;"",EDATE($D68,Milestones!$AA$91)&gt;=$R68),$U68,$T68)))=Milestones!$AB$91),TEXT(EDATE($D68,Milestones!$AA$91),"dd/mm/yy")&amp;" "&amp;Milestones!$AB$91&amp;" "&amp;Milestones!$AC$91&amp;";  ","")&amp;IF(AND(EDATE($D68,Milestones!$AA$92)&lt;=AsOfDate,IF($Q68=0,$W68,IF(AND($S68&lt;&gt;"",EDATE($D68,Milestones!$AA$92)&gt;=$S68),$V68,IF(AND($R68&lt;&gt;"",EDATE($D68,Milestones!$AA$92)&gt;=$R68),$U68,$T68)))=Milestones!$AB$92),TEXT(EDATE($D68,Milestones!$AA$92),"dd/mm/yy")&amp;" "&amp;Milestones!$AB$92&amp;" "&amp;Milestones!$AC$92&amp;";  ","")&amp;IF(AND(EDATE($D68,Milestones!$AA$93)&lt;=AsOfDate,IF($Q68=0,$W68,IF(AND($S68&lt;&gt;"",EDATE($D68,Milestones!$AA$93)&gt;=$S68),$V68,IF(AND($R68&lt;&gt;"",EDATE($D68,Milestones!$AA$93)&gt;=$R68),$U68,$T68)))=Milestones!$AB$93),TEXT(EDATE($D68,Milestones!$AA$93),"dd/mm/yy")&amp;" "&amp;Milestones!$AB$93&amp;" "&amp;Milestones!$AC$93&amp;";  ","")&amp;IF(AND(EDATE($D68,Milestones!$AA$94)&lt;=AsOfDate,IF($Q68=0,$W68,IF(AND($S68&lt;&gt;"",EDATE($D68,Milestones!$AA$94)&gt;=$S68),$V68,IF(AND($R68&lt;&gt;"",EDATE($D68,Milestones!$AA$94)&gt;=$R68),$U68,$T68)))=Milestones!$AB$94),TEXT(EDATE($D68,Milestones!$AA$94),"dd/mm/yy")&amp;" "&amp;Milestones!$AB$94&amp;" "&amp;Milestones!$AC$94&amp;";  ","")&amp;IF(AND(EDATE($D68,Milestones!$AA$95)&lt;=AsOfDate,IF($Q68=0,$W68,IF(AND($S68&lt;&gt;"",EDATE($D68,Milestones!$AA$95)&gt;=$S68),$V68,IF(AND($R68&lt;&gt;"",EDATE($D68,Milestones!$AA$95)&gt;=$R68),$U68,$T68)))=Milestones!$AB$95),TEXT(EDATE($D68,Milestones!$AA$95),"dd/mm/yy")&amp;" "&amp;Milestones!$AB$95&amp;" "&amp;Milestones!$AC$95&amp;";  ","")&amp;IF(AND(EDATE($D68,Milestones!$AA$96)&lt;=AsOfDate,IF($Q68=0,$W68,IF(AND($S68&lt;&gt;"",EDATE($D68,Milestones!$AA$96)&gt;=$S68),$V68,IF(AND($R68&lt;&gt;"",EDATE($D68,Milestones!$AA$96)&gt;=$R68),$U68,$T68)))=Milestones!$AB$96),TEXT(EDATE($D68,Milestones!$AA$96),"dd/mm/yy")&amp;" "&amp;Milestones!$AB$96&amp;" "&amp;Milestones!$AC$96&amp;";  ","")&amp;IF(AND(EDATE($D68,Milestones!$AA$97)&lt;=AsOfDate,IF($Q68=0,$W68,IF(AND($S68&lt;&gt;"",EDATE($D68,Milestones!$AA$97)&gt;=$S68),$V68,IF(AND($R68&lt;&gt;"",EDATE($D68,Milestones!$AA$97)&gt;=$R68),$U68,$T68)))=Milestones!$AB$97),TEXT(EDATE($D68,Milestones!$AA$97),"dd/mm/yy")&amp;" "&amp;Milestones!$AB$97&amp;" "&amp;Milestones!$AC$97&amp;";  ","")&amp;IF(AND(EDATE($D68,Milestones!$AA$98)&lt;=AsOfDate,IF($Q68=0,$W68,IF(AND($S68&lt;&gt;"",EDATE($D68,Milestones!$AA$98)&gt;=$S68),$V68,IF(AND($R68&lt;&gt;"",EDATE($D68,Milestones!$AA$98)&gt;=$R68),$U68,$T68)))=Milestones!$AB$98),TEXT(EDATE($D68,Milestones!$AA$98),"dd/mm/yy")&amp;" "&amp;Milestones!$AB$98&amp;" "&amp;Milestones!$AC$98&amp;";  ","")&amp;IF(AND(EDATE($D68,Milestones!$AA$99)&lt;=AsOfDate,IF($Q68=0,$W68,IF(AND($S68&lt;&gt;"",EDATE($D68,Milestones!$AA$99)&gt;=$S68),$V68,IF(AND($R68&lt;&gt;"",EDATE($D68,Milestones!$AA$99)&gt;=$R68),$U68,$T68)))=Milestones!$AB$99),TEXT(EDATE($D68,Milestones!$AA$99),"dd/mm/yy")&amp;" "&amp;Milestones!$AB$99&amp;" "&amp;Milestones!$AC$99&amp;";  ",""))</f>
        <v/>
      </c>
      <c r="L68" s="0" t="str">
        <f aca="false">IF(OR($A68="",$D68=""),"",IF(AND(EDATE($D68,Milestones!$AA$100)&lt;=AsOfDate,IF($Q68=0,$W68,IF(AND($S68&lt;&gt;"",EDATE($D68,Milestones!$AA$100)&gt;=$S68),$V68,IF(AND($R68&lt;&gt;"",EDATE($D68,Milestones!$AA$100)&gt;=$R68),$U68,$T68)))=Milestones!$AB$100),TEXT(EDATE($D68,Milestones!$AA$100),"dd/mm/yy")&amp;" "&amp;Milestones!$AB$100&amp;" "&amp;Milestones!$AC$100&amp;";  ","")&amp;IF(AND(EDATE($D68,Milestones!$AA$101)&lt;=AsOfDate,IF($Q68=0,$W68,IF(AND($S68&lt;&gt;"",EDATE($D68,Milestones!$AA$101)&gt;=$S68),$V68,IF(AND($R68&lt;&gt;"",EDATE($D68,Milestones!$AA$101)&gt;=$R68),$U68,$T68)))=Milestones!$AB$101),TEXT(EDATE($D68,Milestones!$AA$101),"dd/mm/yy")&amp;" "&amp;Milestones!$AB$101&amp;" "&amp;Milestones!$AC$101&amp;";  ","")&amp;IF(AND(EDATE($D68,Milestones!$AA$102)&lt;=AsOfDate,IF($Q68=0,$W68,IF(AND($S68&lt;&gt;"",EDATE($D68,Milestones!$AA$102)&gt;=$S68),$V68,IF(AND($R68&lt;&gt;"",EDATE($D68,Milestones!$AA$102)&gt;=$R68),$U68,$T68)))=Milestones!$AB$102),TEXT(EDATE($D68,Milestones!$AA$102),"dd/mm/yy")&amp;" "&amp;Milestones!$AB$102&amp;" "&amp;Milestones!$AC$102&amp;";  ","")&amp;IF(AND(EDATE($D68,Milestones!$AA$103)&lt;=AsOfDate,IF($Q68=0,$W68,IF(AND($S68&lt;&gt;"",EDATE($D68,Milestones!$AA$103)&gt;=$S68),$V68,IF(AND($R68&lt;&gt;"",EDATE($D68,Milestones!$AA$103)&gt;=$R68),$U68,$T68)))=Milestones!$AB$103),TEXT(EDATE($D68,Milestones!$AA$103),"dd/mm/yy")&amp;" "&amp;Milestones!$AB$103&amp;" "&amp;Milestones!$AC$103&amp;";  ","")&amp;IF(AND(EDATE($D68,Milestones!$AA$104)&lt;=AsOfDate,IF($Q68=0,$W68,IF(AND($S68&lt;&gt;"",EDATE($D68,Milestones!$AA$104)&gt;=$S68),$V68,IF(AND($R68&lt;&gt;"",EDATE($D68,Milestones!$AA$104)&gt;=$R68),$U68,$T68)))=Milestones!$AB$104),TEXT(EDATE($D68,Milestones!$AA$104),"dd/mm/yy")&amp;" "&amp;Milestones!$AB$104&amp;" "&amp;Milestones!$AC$104&amp;";  ","")&amp;IF(AND(EDATE($D68,Milestones!$AA$105)&lt;=AsOfDate,IF($Q68=0,$W68,IF(AND($S68&lt;&gt;"",EDATE($D68,Milestones!$AA$105)&gt;=$S68),$V68,IF(AND($R68&lt;&gt;"",EDATE($D68,Milestones!$AA$105)&gt;=$R68),$U68,$T68)))=Milestones!$AB$105),TEXT(EDATE($D68,Milestones!$AA$105),"dd/mm/yy")&amp;" "&amp;Milestones!$AB$105&amp;" "&amp;Milestones!$AC$105&amp;";  ","")&amp;IF(AND(EDATE($D68,Milestones!$AA$106)&lt;=AsOfDate,IF($Q68=0,$W68,IF(AND($S68&lt;&gt;"",EDATE($D68,Milestones!$AA$106)&gt;=$S68),$V68,IF(AND($R68&lt;&gt;"",EDATE($D68,Milestones!$AA$106)&gt;=$R68),$U68,$T68)))=Milestones!$AB$106),TEXT(EDATE($D68,Milestones!$AA$106),"dd/mm/yy")&amp;" "&amp;Milestones!$AB$106&amp;" "&amp;Milestones!$AC$106&amp;";  ","")&amp;IF(AND(EDATE($D68,Milestones!$AA$107)&lt;=AsOfDate,IF($Q68=0,$W68,IF(AND($S68&lt;&gt;"",EDATE($D68,Milestones!$AA$107)&gt;=$S68),$V68,IF(AND($R68&lt;&gt;"",EDATE($D68,Milestones!$AA$107)&gt;=$R68),$U68,$T68)))=Milestones!$AB$107),TEXT(EDATE($D68,Milestones!$AA$107),"dd/mm/yy")&amp;" "&amp;Milestones!$AB$107&amp;" "&amp;Milestones!$AC$107&amp;";  ","")&amp;IF(AND(EDATE($D68,Milestones!$AA$108)&lt;=AsOfDate,IF($Q68=0,$W68,IF(AND($S68&lt;&gt;"",EDATE($D68,Milestones!$AA$108)&gt;=$S68),$V68,IF(AND($R68&lt;&gt;"",EDATE($D68,Milestones!$AA$108)&gt;=$R68),$U68,$T68)))=Milestones!$AB$108),TEXT(EDATE($D68,Milestones!$AA$108),"dd/mm/yy")&amp;" "&amp;Milestones!$AB$108&amp;" "&amp;Milestones!$AC$108&amp;";  ","")&amp;IF(AND(EDATE($D68,Milestones!$AA$109)&lt;=AsOfDate,IF($Q68=0,$W68,IF(AND($S68&lt;&gt;"",EDATE($D68,Milestones!$AA$109)&gt;=$S68),$V68,IF(AND($R68&lt;&gt;"",EDATE($D68,Milestones!$AA$109)&gt;=$R68),$U68,$T68)))=Milestones!$AB$109),TEXT(EDATE($D68,Milestones!$AA$109),"dd/mm/yy")&amp;" "&amp;Milestones!$AB$109&amp;" "&amp;Milestones!$AC$109&amp;";  ","")&amp;IF(AND(EDATE($D68,Milestones!$AA$110)&lt;=AsOfDate,IF($Q68=0,$W68,IF(AND($S68&lt;&gt;"",EDATE($D68,Milestones!$AA$110)&gt;=$S68),$V68,IF(AND($R68&lt;&gt;"",EDATE($D68,Milestones!$AA$110)&gt;=$R68),$U68,$T68)))=Milestones!$AB$110),TEXT(EDATE($D68,Milestones!$AA$110),"dd/mm/yy")&amp;" "&amp;Milestones!$AB$110&amp;" "&amp;Milestones!$AC$110&amp;";  ","")&amp;IF(AND(EDATE($D68,Milestones!$AA$111)&lt;=AsOfDate,IF($Q68=0,$W68,IF(AND($S68&lt;&gt;"",EDATE($D68,Milestones!$AA$111)&gt;=$S68),$V68,IF(AND($R68&lt;&gt;"",EDATE($D68,Milestones!$AA$111)&gt;=$R68),$U68,$T68)))=Milestones!$AB$111),TEXT(EDATE($D68,Milestones!$AA$111),"dd/mm/yy")&amp;" "&amp;Milestones!$AB$111&amp;" "&amp;Milestones!$AC$111&amp;";  ","")&amp;IF(AND(EDATE($D68,Milestones!$AA$112)&lt;=AsOfDate,IF($Q68=0,$W68,IF(AND($S68&lt;&gt;"",EDATE($D68,Milestones!$AA$112)&gt;=$S68),$V68,IF(AND($R68&lt;&gt;"",EDATE($D68,Milestones!$AA$112)&gt;=$R68),$U68,$T68)))=Milestones!$AB$112),TEXT(EDATE($D68,Milestones!$AA$112),"dd/mm/yy")&amp;" "&amp;Milestones!$AB$112&amp;" "&amp;Milestones!$AC$112&amp;";  ","")&amp;IF(AND(EDATE($D68,Milestones!$AA$113)&lt;=AsOfDate,IF($Q68=0,$W68,IF(AND($S68&lt;&gt;"",EDATE($D68,Milestones!$AA$113)&gt;=$S68),$V68,IF(AND($R68&lt;&gt;"",EDATE($D68,Milestones!$AA$113)&gt;=$R68),$U68,$T68)))=Milestones!$AB$113),TEXT(EDATE($D68,Milestones!$AA$113),"dd/mm/yy")&amp;" "&amp;Milestones!$AB$113&amp;" "&amp;Milestones!$AC$113&amp;";  ","")&amp;IF(AND(EDATE($D68,Milestones!$AA$114)&lt;=AsOfDate,IF($Q68=0,$W68,IF(AND($S68&lt;&gt;"",EDATE($D68,Milestones!$AA$114)&gt;=$S68),$V68,IF(AND($R68&lt;&gt;"",EDATE($D68,Milestones!$AA$114)&gt;=$R68),$U68,$T68)))=Milestones!$AB$114),TEXT(EDATE($D68,Milestones!$AA$114),"dd/mm/yy")&amp;" "&amp;Milestones!$AB$114&amp;" "&amp;Milestones!$AC$114&amp;";  ","")&amp;IF(AND(EDATE($D68,Milestones!$AA$115)&lt;=AsOfDate,IF($Q68=0,$W68,IF(AND($S68&lt;&gt;"",EDATE($D68,Milestones!$AA$115)&gt;=$S68),$V68,IF(AND($R68&lt;&gt;"",EDATE($D68,Milestones!$AA$115)&gt;=$R68),$U68,$T68)))=Milestones!$AB$115),TEXT(EDATE($D68,Milestones!$AA$115),"dd/mm/yy")&amp;" "&amp;Milestones!$AB$115&amp;" "&amp;Milestones!$AC$115&amp;";  ","")&amp;IF(AND(EDATE($D68,Milestones!$AA$116)&lt;=AsOfDate,IF($Q68=0,$W68,IF(AND($S68&lt;&gt;"",EDATE($D68,Milestones!$AA$116)&gt;=$S68),$V68,IF(AND($R68&lt;&gt;"",EDATE($D68,Milestones!$AA$116)&gt;=$R68),$U68,$T68)))=Milestones!$AB$116),TEXT(EDATE($D68,Milestones!$AA$116),"dd/mm/yy")&amp;" "&amp;Milestones!$AB$116&amp;" "&amp;Milestones!$AC$116&amp;";  ","")&amp;IF(AND(EDATE($D68,Milestones!$AA$117)&lt;=AsOfDate,IF($Q68=0,$W68,IF(AND($S68&lt;&gt;"",EDATE($D68,Milestones!$AA$117)&gt;=$S68),$V68,IF(AND($R68&lt;&gt;"",EDATE($D68,Milestones!$AA$117)&gt;=$R68),$U68,$T68)))=Milestones!$AB$117),TEXT(EDATE($D68,Milestones!$AA$117),"dd/mm/yy")&amp;" "&amp;Milestones!$AB$117&amp;" "&amp;Milestones!$AC$117&amp;";  ","")&amp;IF(AND(EDATE($D68,Milestones!$AA$118)&lt;=AsOfDate,IF($Q68=0,$W68,IF(AND($S68&lt;&gt;"",EDATE($D68,Milestones!$AA$118)&gt;=$S68),$V68,IF(AND($R68&lt;&gt;"",EDATE($D68,Milestones!$AA$118)&gt;=$R68),$U68,$T68)))=Milestones!$AB$118),TEXT(EDATE($D68,Milestones!$AA$118),"dd/mm/yy")&amp;" "&amp;Milestones!$AB$118&amp;" "&amp;Milestones!$AC$118&amp;";  ","")&amp;IF(AND(EDATE($D68,Milestones!$AA$119)&lt;=AsOfDate,IF($Q68=0,$W68,IF(AND($S68&lt;&gt;"",EDATE($D68,Milestones!$AA$119)&gt;=$S68),$V68,IF(AND($R68&lt;&gt;"",EDATE($D68,Milestones!$AA$119)&gt;=$R68),$U68,$T68)))=Milestones!$AB$119),TEXT(EDATE($D68,Milestones!$AA$119),"dd/mm/yy")&amp;" "&amp;Milestones!$AB$119&amp;" "&amp;Milestones!$AC$119&amp;";  ",""))</f>
        <v/>
      </c>
      <c r="M68" s="0" t="str">
        <f aca="false">IF(OR($A68="",$D68=""),"",IF(AND(EDATE($D68,Milestones!$AA$120)&lt;=AsOfDate,IF($Q68=0,$W68,IF(AND($S68&lt;&gt;"",EDATE($D68,Milestones!$AA$120)&gt;=$S68),$V68,IF(AND($R68&lt;&gt;"",EDATE($D68,Milestones!$AA$120)&gt;=$R68),$U68,$T68)))=Milestones!$AB$120),TEXT(EDATE($D68,Milestones!$AA$120),"dd/mm/yy")&amp;" "&amp;Milestones!$AB$120&amp;" "&amp;Milestones!$AC$120&amp;";  ","")&amp;IF(AND(EDATE($D68,Milestones!$AA$121)&lt;=AsOfDate,IF($Q68=0,$W68,IF(AND($S68&lt;&gt;"",EDATE($D68,Milestones!$AA$121)&gt;=$S68),$V68,IF(AND($R68&lt;&gt;"",EDATE($D68,Milestones!$AA$121)&gt;=$R68),$U68,$T68)))=Milestones!$AB$121),TEXT(EDATE($D68,Milestones!$AA$121),"dd/mm/yy")&amp;" "&amp;Milestones!$AB$121&amp;" "&amp;Milestones!$AC$121&amp;";  ","")&amp;IF(AND(EDATE($D68,Milestones!$AA$122)&lt;=AsOfDate,IF($Q68=0,$W68,IF(AND($S68&lt;&gt;"",EDATE($D68,Milestones!$AA$122)&gt;=$S68),$V68,IF(AND($R68&lt;&gt;"",EDATE($D68,Milestones!$AA$122)&gt;=$R68),$U68,$T68)))=Milestones!$AB$122),TEXT(EDATE($D68,Milestones!$AA$122),"dd/mm/yy")&amp;" "&amp;Milestones!$AB$122&amp;" "&amp;Milestones!$AC$122&amp;";  ","")&amp;IF(AND(EDATE($D68,Milestones!$AA$123)&lt;=AsOfDate,IF($Q68=0,$W68,IF(AND($S68&lt;&gt;"",EDATE($D68,Milestones!$AA$123)&gt;=$S68),$V68,IF(AND($R68&lt;&gt;"",EDATE($D68,Milestones!$AA$123)&gt;=$R68),$U68,$T68)))=Milestones!$AB$123),TEXT(EDATE($D68,Milestones!$AA$123),"dd/mm/yy")&amp;" "&amp;Milestones!$AB$123&amp;" "&amp;Milestones!$AC$123&amp;";  ","")&amp;IF(AND(EDATE($D68,Milestones!$AA$124)&lt;=AsOfDate,IF($Q68=0,$W68,IF(AND($S68&lt;&gt;"",EDATE($D68,Milestones!$AA$124)&gt;=$S68),$V68,IF(AND($R68&lt;&gt;"",EDATE($D68,Milestones!$AA$124)&gt;=$R68),$U68,$T68)))=Milestones!$AB$124),TEXT(EDATE($D68,Milestones!$AA$124),"dd/mm/yy")&amp;" "&amp;Milestones!$AB$124&amp;" "&amp;Milestones!$AC$124&amp;";  ","")&amp;IF(AND(EDATE($D68,Milestones!$AA$125)&lt;=AsOfDate,IF($Q68=0,$W68,IF(AND($S68&lt;&gt;"",EDATE($D68,Milestones!$AA$125)&gt;=$S68),$V68,IF(AND($R68&lt;&gt;"",EDATE($D68,Milestones!$AA$125)&gt;=$R68),$U68,$T68)))=Milestones!$AB$125),TEXT(EDATE($D68,Milestones!$AA$125),"dd/mm/yy")&amp;" "&amp;Milestones!$AB$125&amp;" "&amp;Milestones!$AC$125&amp;";  ","")&amp;IF(AND(EDATE($D68,Milestones!$AA$126)&lt;=AsOfDate,IF($Q68=0,$W68,IF(AND($S68&lt;&gt;"",EDATE($D68,Milestones!$AA$126)&gt;=$S68),$V68,IF(AND($R68&lt;&gt;"",EDATE($D68,Milestones!$AA$126)&gt;=$R68),$U68,$T68)))=Milestones!$AB$126),TEXT(EDATE($D68,Milestones!$AA$126),"dd/mm/yy")&amp;" "&amp;Milestones!$AB$126&amp;" "&amp;Milestones!$AC$126&amp;";  ","")&amp;IF(AND(EDATE($D68,Milestones!$AA$127)&lt;=AsOfDate,IF($Q68=0,$W68,IF(AND($S68&lt;&gt;"",EDATE($D68,Milestones!$AA$127)&gt;=$S68),$V68,IF(AND($R68&lt;&gt;"",EDATE($D68,Milestones!$AA$127)&gt;=$R68),$U68,$T68)))=Milestones!$AB$127),TEXT(EDATE($D68,Milestones!$AA$127),"dd/mm/yy")&amp;" "&amp;Milestones!$AB$127&amp;" "&amp;Milestones!$AC$127&amp;";  ","")&amp;IF(AND(EDATE($D68,Milestones!$AA$128)&lt;=AsOfDate,IF($Q68=0,$W68,IF(AND($S68&lt;&gt;"",EDATE($D68,Milestones!$AA$128)&gt;=$S68),$V68,IF(AND($R68&lt;&gt;"",EDATE($D68,Milestones!$AA$128)&gt;=$R68),$U68,$T68)))=Milestones!$AB$128),TEXT(EDATE($D68,Milestones!$AA$128),"dd/mm/yy")&amp;" "&amp;Milestones!$AB$128&amp;" "&amp;Milestones!$AC$128&amp;";  ","")&amp;IF(AND(EDATE($D68,Milestones!$AA$129)&lt;=AsOfDate,IF($Q68=0,$W68,IF(AND($S68&lt;&gt;"",EDATE($D68,Milestones!$AA$129)&gt;=$S68),$V68,IF(AND($R68&lt;&gt;"",EDATE($D68,Milestones!$AA$129)&gt;=$R68),$U68,$T68)))=Milestones!$AB$129),TEXT(EDATE($D68,Milestones!$AA$129),"dd/mm/yy")&amp;" "&amp;Milestones!$AB$129&amp;" "&amp;Milestones!$AC$129&amp;";  ","")&amp;IF(AND(EDATE($D68,Milestones!$AA$130)&lt;=AsOfDate,IF($Q68=0,$W68,IF(AND($S68&lt;&gt;"",EDATE($D68,Milestones!$AA$130)&gt;=$S68),$V68,IF(AND($R68&lt;&gt;"",EDATE($D68,Milestones!$AA$130)&gt;=$R68),$U68,$T68)))=Milestones!$AB$130),TEXT(EDATE($D68,Milestones!$AA$130),"dd/mm/yy")&amp;" "&amp;Milestones!$AB$130&amp;" "&amp;Milestones!$AC$130&amp;";  ","")&amp;IF(AND(EDATE($D68,Milestones!$AA$131)&lt;=AsOfDate,IF($Q68=0,$W68,IF(AND($S68&lt;&gt;"",EDATE($D68,Milestones!$AA$131)&gt;=$S68),$V68,IF(AND($R68&lt;&gt;"",EDATE($D68,Milestones!$AA$131)&gt;=$R68),$U68,$T68)))=Milestones!$AB$131),TEXT(EDATE($D68,Milestones!$AA$131),"dd/mm/yy")&amp;" "&amp;Milestones!$AB$131&amp;" "&amp;Milestones!$AC$131&amp;";  ","")&amp;IF(AND(EDATE($D68,Milestones!$AA$132)&lt;=AsOfDate,IF($Q68=0,$W68,IF(AND($S68&lt;&gt;"",EDATE($D68,Milestones!$AA$132)&gt;=$S68),$V68,IF(AND($R68&lt;&gt;"",EDATE($D68,Milestones!$AA$132)&gt;=$R68),$U68,$T68)))=Milestones!$AB$132),TEXT(EDATE($D68,Milestones!$AA$132),"dd/mm/yy")&amp;" "&amp;Milestones!$AB$132&amp;" "&amp;Milestones!$AC$132&amp;";  ","")&amp;IF(AND(EDATE($D68,Milestones!$AA$133)&lt;=AsOfDate,IF($Q68=0,$W68,IF(AND($S68&lt;&gt;"",EDATE($D68,Milestones!$AA$133)&gt;=$S68),$V68,IF(AND($R68&lt;&gt;"",EDATE($D68,Milestones!$AA$133)&gt;=$R68),$U68,$T68)))=Milestones!$AB$133),TEXT(EDATE($D68,Milestones!$AA$133),"dd/mm/yy")&amp;" "&amp;Milestones!$AB$133&amp;" "&amp;Milestones!$AC$133&amp;";  ","")&amp;IF(AND(EDATE($D68,Milestones!$AA$134)&lt;=AsOfDate,IF($Q68=0,$W68,IF(AND($S68&lt;&gt;"",EDATE($D68,Milestones!$AA$134)&gt;=$S68),$V68,IF(AND($R68&lt;&gt;"",EDATE($D68,Milestones!$AA$134)&gt;=$R68),$U68,$T68)))=Milestones!$AB$134),TEXT(EDATE($D68,Milestones!$AA$134),"dd/mm/yy")&amp;" "&amp;Milestones!$AB$134&amp;" "&amp;Milestones!$AC$134&amp;";  ","")&amp;IF(AND(EDATE($D68,Milestones!$AA$135)&lt;=AsOfDate,IF($Q68=0,$W68,IF(AND($S68&lt;&gt;"",EDATE($D68,Milestones!$AA$135)&gt;=$S68),$V68,IF(AND($R68&lt;&gt;"",EDATE($D68,Milestones!$AA$135)&gt;=$R68),$U68,$T68)))=Milestones!$AB$135),TEXT(EDATE($D68,Milestones!$AA$135),"dd/mm/yy")&amp;" "&amp;Milestones!$AB$135&amp;" "&amp;Milestones!$AC$135&amp;";  ","")&amp;IF(AND(EDATE($D68,Milestones!$AA$136)&lt;=AsOfDate,IF($Q68=0,$W68,IF(AND($S68&lt;&gt;"",EDATE($D68,Milestones!$AA$136)&gt;=$S68),$V68,IF(AND($R68&lt;&gt;"",EDATE($D68,Milestones!$AA$136)&gt;=$R68),$U68,$T68)))=Milestones!$AB$136),TEXT(EDATE($D68,Milestones!$AA$136),"dd/mm/yy")&amp;" "&amp;Milestones!$AB$136&amp;" "&amp;Milestones!$AC$136&amp;";  ","")&amp;IF(AND(EDATE($D68,Milestones!$AA$137)&lt;=AsOfDate,IF($Q68=0,$W68,IF(AND($S68&lt;&gt;"",EDATE($D68,Milestones!$AA$137)&gt;=$S68),$V68,IF(AND($R68&lt;&gt;"",EDATE($D68,Milestones!$AA$137)&gt;=$R68),$U68,$T68)))=Milestones!$AB$137),TEXT(EDATE($D68,Milestones!$AA$137),"dd/mm/yy")&amp;" "&amp;Milestones!$AB$137&amp;" "&amp;Milestones!$AC$137&amp;";  ","")&amp;IF(AND(EDATE($D68,Milestones!$AA$138)&lt;=AsOfDate,IF($Q68=0,$W68,IF(AND($S68&lt;&gt;"",EDATE($D68,Milestones!$AA$138)&gt;=$S68),$V68,IF(AND($R68&lt;&gt;"",EDATE($D68,Milestones!$AA$138)&gt;=$R68),$U68,$T68)))=Milestones!$AB$138),TEXT(EDATE($D68,Milestones!$AA$138),"dd/mm/yy")&amp;" "&amp;Milestones!$AB$138&amp;" "&amp;Milestones!$AC$138&amp;";  ","")&amp;IF(AND(EDATE($D68,Milestones!$AA$139)&lt;=AsOfDate,IF($Q68=0,$W68,IF(AND($S68&lt;&gt;"",EDATE($D68,Milestones!$AA$139)&gt;=$S68),$V68,IF(AND($R68&lt;&gt;"",EDATE($D68,Milestones!$AA$139)&gt;=$R68),$U68,$T68)))=Milestones!$AB$139),TEXT(EDATE($D68,Milestones!$AA$139),"dd/mm/yy")&amp;" "&amp;Milestones!$AB$139&amp;" "&amp;Milestones!$AC$139&amp;";  ",""))</f>
        <v/>
      </c>
      <c r="N68" s="0" t="str">
        <f aca="false">IF(OR($A68="",$D68=""),"",IF(AND(EDATE($D68,Milestones!$AA$140)&lt;=AsOfDate,IF($Q68=0,$W68,IF(AND($S68&lt;&gt;"",EDATE($D68,Milestones!$AA$140)&gt;=$S68),$V68,IF(AND($R68&lt;&gt;"",EDATE($D68,Milestones!$AA$140)&gt;=$R68),$U68,$T68)))=Milestones!$AB$140),TEXT(EDATE($D68,Milestones!$AA$140),"dd/mm/yy")&amp;" "&amp;Milestones!$AB$140&amp;" "&amp;Milestones!$AC$140&amp;";  ","")&amp;IF(AND(EDATE($D68,Milestones!$AA$141)&lt;=AsOfDate,IF($Q68=0,$W68,IF(AND($S68&lt;&gt;"",EDATE($D68,Milestones!$AA$141)&gt;=$S68),$V68,IF(AND($R68&lt;&gt;"",EDATE($D68,Milestones!$AA$141)&gt;=$R68),$U68,$T68)))=Milestones!$AB$141),TEXT(EDATE($D68,Milestones!$AA$141),"dd/mm/yy")&amp;" "&amp;Milestones!$AB$141&amp;" "&amp;Milestones!$AC$141&amp;";  ","")&amp;IF(AND(EDATE($D68,Milestones!$AA$142)&lt;=AsOfDate,IF($Q68=0,$W68,IF(AND($S68&lt;&gt;"",EDATE($D68,Milestones!$AA$142)&gt;=$S68),$V68,IF(AND($R68&lt;&gt;"",EDATE($D68,Milestones!$AA$142)&gt;=$R68),$U68,$T68)))=Milestones!$AB$142),TEXT(EDATE($D68,Milestones!$AA$142),"dd/mm/yy")&amp;" "&amp;Milestones!$AB$142&amp;" "&amp;Milestones!$AC$142&amp;";  ","")&amp;IF(AND(EDATE($D68,Milestones!$AA$143)&lt;=AsOfDate,IF($Q68=0,$W68,IF(AND($S68&lt;&gt;"",EDATE($D68,Milestones!$AA$143)&gt;=$S68),$V68,IF(AND($R68&lt;&gt;"",EDATE($D68,Milestones!$AA$143)&gt;=$R68),$U68,$T68)))=Milestones!$AB$143),TEXT(EDATE($D68,Milestones!$AA$143),"dd/mm/yy")&amp;" "&amp;Milestones!$AB$143&amp;" "&amp;Milestones!$AC$143&amp;";  ","")&amp;IF(AND(EDATE($D68,Milestones!$AA$144)&lt;=AsOfDate,IF($Q68=0,$W68,IF(AND($S68&lt;&gt;"",EDATE($D68,Milestones!$AA$144)&gt;=$S68),$V68,IF(AND($R68&lt;&gt;"",EDATE($D68,Milestones!$AA$144)&gt;=$R68),$U68,$T68)))=Milestones!$AB$144),TEXT(EDATE($D68,Milestones!$AA$144),"dd/mm/yy")&amp;" "&amp;Milestones!$AB$144&amp;" "&amp;Milestones!$AC$144&amp;";  ","")&amp;IF(AND(EDATE($D68,Milestones!$AA$145)&lt;=AsOfDate,IF($Q68=0,$W68,IF(AND($S68&lt;&gt;"",EDATE($D68,Milestones!$AA$145)&gt;=$S68),$V68,IF(AND($R68&lt;&gt;"",EDATE($D68,Milestones!$AA$145)&gt;=$R68),$U68,$T68)))=Milestones!$AB$145),TEXT(EDATE($D68,Milestones!$AA$145),"dd/mm/yy")&amp;" "&amp;Milestones!$AB$145&amp;" "&amp;Milestones!$AC$145&amp;";  ","")&amp;IF(AND(EDATE($D68,Milestones!$AA$146)&lt;=AsOfDate,IF($Q68=0,$W68,IF(AND($S68&lt;&gt;"",EDATE($D68,Milestones!$AA$146)&gt;=$S68),$V68,IF(AND($R68&lt;&gt;"",EDATE($D68,Milestones!$AA$146)&gt;=$R68),$U68,$T68)))=Milestones!$AB$146),TEXT(EDATE($D68,Milestones!$AA$146),"dd/mm/yy")&amp;" "&amp;Milestones!$AB$146&amp;" "&amp;Milestones!$AC$146&amp;";  ","")&amp;IF(AND(EDATE($D68,Milestones!$AA$147)&lt;=AsOfDate,IF($Q68=0,$W68,IF(AND($S68&lt;&gt;"",EDATE($D68,Milestones!$AA$147)&gt;=$S68),$V68,IF(AND($R68&lt;&gt;"",EDATE($D68,Milestones!$AA$147)&gt;=$R68),$U68,$T68)))=Milestones!$AB$147),TEXT(EDATE($D68,Milestones!$AA$147),"dd/mm/yy")&amp;" "&amp;Milestones!$AB$147&amp;" "&amp;Milestones!$AC$147&amp;";  ","")&amp;IF(AND(EDATE($D68,Milestones!$AA$148)&lt;=AsOfDate,IF($Q68=0,$W68,IF(AND($S68&lt;&gt;"",EDATE($D68,Milestones!$AA$148)&gt;=$S68),$V68,IF(AND($R68&lt;&gt;"",EDATE($D68,Milestones!$AA$148)&gt;=$R68),$U68,$T68)))=Milestones!$AB$148),TEXT(EDATE($D68,Milestones!$AA$148),"dd/mm/yy")&amp;" "&amp;Milestones!$AB$148&amp;" "&amp;Milestones!$AC$148&amp;";  ","")&amp;IF(AND(EDATE($D68,Milestones!$AA$149)&lt;=AsOfDate,IF($Q68=0,$W68,IF(AND($S68&lt;&gt;"",EDATE($D68,Milestones!$AA$149)&gt;=$S68),$V68,IF(AND($R68&lt;&gt;"",EDATE($D68,Milestones!$AA$149)&gt;=$R68),$U68,$T68)))=Milestones!$AB$149),TEXT(EDATE($D68,Milestones!$AA$149),"dd/mm/yy")&amp;" "&amp;Milestones!$AB$149&amp;" "&amp;Milestones!$AC$149&amp;";  ","")&amp;IF(AND(EDATE($D68,Milestones!$AA$150)&lt;=AsOfDate,IF($Q68=0,$W68,IF(AND($S68&lt;&gt;"",EDATE($D68,Milestones!$AA$150)&gt;=$S68),$V68,IF(AND($R68&lt;&gt;"",EDATE($D68,Milestones!$AA$150)&gt;=$R68),$U68,$T68)))=Milestones!$AB$150),TEXT(EDATE($D68,Milestones!$AA$150),"dd/mm/yy")&amp;" "&amp;Milestones!$AB$150&amp;" "&amp;Milestones!$AC$150&amp;";  ","")&amp;IF(AND(EDATE($D68,Milestones!$AA$151)&lt;=AsOfDate,IF($Q68=0,$W68,IF(AND($S68&lt;&gt;"",EDATE($D68,Milestones!$AA$151)&gt;=$S68),$V68,IF(AND($R68&lt;&gt;"",EDATE($D68,Milestones!$AA$151)&gt;=$R68),$U68,$T68)))=Milestones!$AB$151),TEXT(EDATE($D68,Milestones!$AA$151),"dd/mm/yy")&amp;" "&amp;Milestones!$AB$151&amp;" "&amp;Milestones!$AC$151&amp;";  ","")&amp;IF(AND(EDATE($D68,Milestones!$AA$152)&lt;=AsOfDate,IF($Q68=0,$W68,IF(AND($S68&lt;&gt;"",EDATE($D68,Milestones!$AA$152)&gt;=$S68),$V68,IF(AND($R68&lt;&gt;"",EDATE($D68,Milestones!$AA$152)&gt;=$R68),$U68,$T68)))=Milestones!$AB$152),TEXT(EDATE($D68,Milestones!$AA$152),"dd/mm/yy")&amp;" "&amp;Milestones!$AB$152&amp;" "&amp;Milestones!$AC$152&amp;";  ","")&amp;IF(AND(EDATE($D68,Milestones!$AA$153)&lt;=AsOfDate,IF($Q68=0,$W68,IF(AND($S68&lt;&gt;"",EDATE($D68,Milestones!$AA$153)&gt;=$S68),$V68,IF(AND($R68&lt;&gt;"",EDATE($D68,Milestones!$AA$153)&gt;=$R68),$U68,$T68)))=Milestones!$AB$153),TEXT(EDATE($D68,Milestones!$AA$153),"dd/mm/yy")&amp;" "&amp;Milestones!$AB$153&amp;" "&amp;Milestones!$AC$153&amp;";  ","")&amp;IF(AND(EDATE($D68,Milestones!$AA$154)&lt;=AsOfDate,IF($Q68=0,$W68,IF(AND($S68&lt;&gt;"",EDATE($D68,Milestones!$AA$154)&gt;=$S68),$V68,IF(AND($R68&lt;&gt;"",EDATE($D68,Milestones!$AA$154)&gt;=$R68),$U68,$T68)))=Milestones!$AB$154),TEXT(EDATE($D68,Milestones!$AA$154),"dd/mm/yy")&amp;" "&amp;Milestones!$AB$154&amp;" "&amp;Milestones!$AC$154&amp;";  ","")&amp;IF(AND(EDATE($D68,Milestones!$AA$155)&lt;=AsOfDate,IF($Q68=0,$W68,IF(AND($S68&lt;&gt;"",EDATE($D68,Milestones!$AA$155)&gt;=$S68),$V68,IF(AND($R68&lt;&gt;"",EDATE($D68,Milestones!$AA$155)&gt;=$R68),$U68,$T68)))=Milestones!$AB$155),TEXT(EDATE($D68,Milestones!$AA$155),"dd/mm/yy")&amp;" "&amp;Milestones!$AB$155&amp;" "&amp;Milestones!$AC$155&amp;";  ","")&amp;IF(AND(EDATE($D68,Milestones!$AA$156)&lt;=AsOfDate,IF($Q68=0,$W68,IF(AND($S68&lt;&gt;"",EDATE($D68,Milestones!$AA$156)&gt;=$S68),$V68,IF(AND($R68&lt;&gt;"",EDATE($D68,Milestones!$AA$156)&gt;=$R68),$U68,$T68)))=Milestones!$AB$156),TEXT(EDATE($D68,Milestones!$AA$156),"dd/mm/yy")&amp;" "&amp;Milestones!$AB$156&amp;" "&amp;Milestones!$AC$156&amp;";  ","")&amp;IF(AND(EDATE($D68,Milestones!$AA$157)&lt;=AsOfDate,IF($Q68=0,$W68,IF(AND($S68&lt;&gt;"",EDATE($D68,Milestones!$AA$157)&gt;=$S68),$V68,IF(AND($R68&lt;&gt;"",EDATE($D68,Milestones!$AA$157)&gt;=$R68),$U68,$T68)))=Milestones!$AB$157),TEXT(EDATE($D68,Milestones!$AA$157),"dd/mm/yy")&amp;" "&amp;Milestones!$AB$157&amp;" "&amp;Milestones!$AC$157&amp;";  ","")&amp;IF(AND(EDATE($D68,Milestones!$AA$158)&lt;=AsOfDate,IF($Q68=0,$W68,IF(AND($S68&lt;&gt;"",EDATE($D68,Milestones!$AA$158)&gt;=$S68),$V68,IF(AND($R68&lt;&gt;"",EDATE($D68,Milestones!$AA$158)&gt;=$R68),$U68,$T68)))=Milestones!$AB$158),TEXT(EDATE($D68,Milestones!$AA$158),"dd/mm/yy")&amp;" "&amp;Milestones!$AB$158&amp;" "&amp;Milestones!$AC$158&amp;";  ","")&amp;IF(AND(EDATE($D68,Milestones!$AA$159)&lt;=AsOfDate,IF($Q68=0,$W68,IF(AND($S68&lt;&gt;"",EDATE($D68,Milestones!$AA$159)&gt;=$S68),$V68,IF(AND($R68&lt;&gt;"",EDATE($D68,Milestones!$AA$159)&gt;=$R68),$U68,$T68)))=Milestones!$AB$159),TEXT(EDATE($D68,Milestones!$AA$159),"dd/mm/yy")&amp;" "&amp;Milestones!$AB$159&amp;" "&amp;Milestones!$AC$159&amp;";  ",""))</f>
        <v/>
      </c>
      <c r="O68" s="0" t="str">
        <f aca="false">IF(OR($A68="",$D68=""),"",IF(AND(EDATE($D68,Milestones!$AA$160)&lt;=AsOfDate,IF($Q68=0,$W68,IF(AND($S68&lt;&gt;"",EDATE($D68,Milestones!$AA$160)&gt;=$S68),$V68,IF(AND($R68&lt;&gt;"",EDATE($D68,Milestones!$AA$160)&gt;=$R68),$U68,$T68)))=Milestones!$AB$160),TEXT(EDATE($D68,Milestones!$AA$160),"dd/mm/yy")&amp;" "&amp;Milestones!$AB$160&amp;" "&amp;Milestones!$AC$160&amp;";  ","")&amp;IF(AND(EDATE($D68,Milestones!$AA$161)&lt;=AsOfDate,IF($Q68=0,$W68,IF(AND($S68&lt;&gt;"",EDATE($D68,Milestones!$AA$161)&gt;=$S68),$V68,IF(AND($R68&lt;&gt;"",EDATE($D68,Milestones!$AA$161)&gt;=$R68),$U68,$T68)))=Milestones!$AB$161),TEXT(EDATE($D68,Milestones!$AA$161),"dd/mm/yy")&amp;" "&amp;Milestones!$AB$161&amp;" "&amp;Milestones!$AC$161&amp;";  ","")&amp;IF(AND(EDATE($D68,Milestones!$AA$162)&lt;=AsOfDate,IF($Q68=0,$W68,IF(AND($S68&lt;&gt;"",EDATE($D68,Milestones!$AA$162)&gt;=$S68),$V68,IF(AND($R68&lt;&gt;"",EDATE($D68,Milestones!$AA$162)&gt;=$R68),$U68,$T68)))=Milestones!$AB$162),TEXT(EDATE($D68,Milestones!$AA$162),"dd/mm/yy")&amp;" "&amp;Milestones!$AB$162&amp;" "&amp;Milestones!$AC$162&amp;";  ","")&amp;IF(AND(EDATE($D68,Milestones!$AA$163)&lt;=AsOfDate,IF($Q68=0,$W68,IF(AND($S68&lt;&gt;"",EDATE($D68,Milestones!$AA$163)&gt;=$S68),$V68,IF(AND($R68&lt;&gt;"",EDATE($D68,Milestones!$AA$163)&gt;=$R68),$U68,$T68)))=Milestones!$AB$163),TEXT(EDATE($D68,Milestones!$AA$163),"dd/mm/yy")&amp;" "&amp;Milestones!$AB$163&amp;" "&amp;Milestones!$AC$163&amp;";  ","")&amp;IF(AND(EDATE($D68,Milestones!$AA$164)&lt;=AsOfDate,IF($Q68=0,$W68,IF(AND($S68&lt;&gt;"",EDATE($D68,Milestones!$AA$164)&gt;=$S68),$V68,IF(AND($R68&lt;&gt;"",EDATE($D68,Milestones!$AA$164)&gt;=$R68),$U68,$T68)))=Milestones!$AB$164),TEXT(EDATE($D68,Milestones!$AA$164),"dd/mm/yy")&amp;" "&amp;Milestones!$AB$164&amp;" "&amp;Milestones!$AC$164&amp;";  ","")&amp;IF(AND(EDATE($D68,Milestones!$AA$165)&lt;=AsOfDate,IF($Q68=0,$W68,IF(AND($S68&lt;&gt;"",EDATE($D68,Milestones!$AA$165)&gt;=$S68),$V68,IF(AND($R68&lt;&gt;"",EDATE($D68,Milestones!$AA$165)&gt;=$R68),$U68,$T68)))=Milestones!$AB$165),TEXT(EDATE($D68,Milestones!$AA$165),"dd/mm/yy")&amp;" "&amp;Milestones!$AB$165&amp;" "&amp;Milestones!$AC$165&amp;";  ","")&amp;IF(AND(EDATE($D68,Milestones!$AA$166)&lt;=AsOfDate,IF($Q68=0,$W68,IF(AND($S68&lt;&gt;"",EDATE($D68,Milestones!$AA$166)&gt;=$S68),$V68,IF(AND($R68&lt;&gt;"",EDATE($D68,Milestones!$AA$166)&gt;=$R68),$U68,$T68)))=Milestones!$AB$166),TEXT(EDATE($D68,Milestones!$AA$166),"dd/mm/yy")&amp;" "&amp;Milestones!$AB$166&amp;" "&amp;Milestones!$AC$166&amp;";  ","")&amp;IF(AND(EDATE($D68,Milestones!$AA$167)&lt;=AsOfDate,IF($Q68=0,$W68,IF(AND($S68&lt;&gt;"",EDATE($D68,Milestones!$AA$167)&gt;=$S68),$V68,IF(AND($R68&lt;&gt;"",EDATE($D68,Milestones!$AA$167)&gt;=$R68),$U68,$T68)))=Milestones!$AB$167),TEXT(EDATE($D68,Milestones!$AA$167),"dd/mm/yy")&amp;" "&amp;Milestones!$AB$167&amp;" "&amp;Milestones!$AC$167&amp;";  ","")&amp;IF(AND(EDATE($D68,Milestones!$AA$168)&lt;=AsOfDate,IF($Q68=0,$W68,IF(AND($S68&lt;&gt;"",EDATE($D68,Milestones!$AA$168)&gt;=$S68),$V68,IF(AND($R68&lt;&gt;"",EDATE($D68,Milestones!$AA$168)&gt;=$R68),$U68,$T68)))=Milestones!$AB$168),TEXT(EDATE($D68,Milestones!$AA$168),"dd/mm/yy")&amp;" "&amp;Milestones!$AB$168&amp;" "&amp;Milestones!$AC$168&amp;";  ","")&amp;IF(AND(EDATE($D68,Milestones!$AA$169)&lt;=AsOfDate,IF($Q68=0,$W68,IF(AND($S68&lt;&gt;"",EDATE($D68,Milestones!$AA$169)&gt;=$S68),$V68,IF(AND($R68&lt;&gt;"",EDATE($D68,Milestones!$AA$169)&gt;=$R68),$U68,$T68)))=Milestones!$AB$169),TEXT(EDATE($D68,Milestones!$AA$169),"dd/mm/yy")&amp;" "&amp;Milestones!$AB$169&amp;" "&amp;Milestones!$AC$169&amp;";  ","")&amp;IF(AND(EDATE($D68,Milestones!$AA$170)&lt;=AsOfDate,IF($Q68=0,$W68,IF(AND($S68&lt;&gt;"",EDATE($D68,Milestones!$AA$170)&gt;=$S68),$V68,IF(AND($R68&lt;&gt;"",EDATE($D68,Milestones!$AA$170)&gt;=$R68),$U68,$T68)))=Milestones!$AB$170),TEXT(EDATE($D68,Milestones!$AA$170),"dd/mm/yy")&amp;" "&amp;Milestones!$AB$170&amp;" "&amp;Milestones!$AC$170&amp;";  ","")&amp;IF(AND(EDATE($D68,Milestones!$AA$171)&lt;=AsOfDate,IF($Q68=0,$W68,IF(AND($S68&lt;&gt;"",EDATE($D68,Milestones!$AA$171)&gt;=$S68),$V68,IF(AND($R68&lt;&gt;"",EDATE($D68,Milestones!$AA$171)&gt;=$R68),$U68,$T68)))=Milestones!$AB$171),TEXT(EDATE($D68,Milestones!$AA$171),"dd/mm/yy")&amp;" "&amp;Milestones!$AB$171&amp;" "&amp;Milestones!$AC$171&amp;";  ","")&amp;IF(AND(EDATE($D68,Milestones!$AA$172)&lt;=AsOfDate,IF($Q68=0,$W68,IF(AND($S68&lt;&gt;"",EDATE($D68,Milestones!$AA$172)&gt;=$S68),$V68,IF(AND($R68&lt;&gt;"",EDATE($D68,Milestones!$AA$172)&gt;=$R68),$U68,$T68)))=Milestones!$AB$172),TEXT(EDATE($D68,Milestones!$AA$172),"dd/mm/yy")&amp;" "&amp;Milestones!$AB$172&amp;" "&amp;Milestones!$AC$172&amp;";  ","")&amp;IF(AND(EDATE($D68,Milestones!$AA$173)&lt;=AsOfDate,IF($Q68=0,$W68,IF(AND($S68&lt;&gt;"",EDATE($D68,Milestones!$AA$173)&gt;=$S68),$V68,IF(AND($R68&lt;&gt;"",EDATE($D68,Milestones!$AA$173)&gt;=$R68),$U68,$T68)))=Milestones!$AB$173),TEXT(EDATE($D68,Milestones!$AA$173),"dd/mm/yy")&amp;" "&amp;Milestones!$AB$173&amp;" "&amp;Milestones!$AC$173&amp;";  ","")&amp;IF(AND(EDATE($D68,Milestones!$AA$174)&lt;=AsOfDate,IF($Q68=0,$W68,IF(AND($S68&lt;&gt;"",EDATE($D68,Milestones!$AA$174)&gt;=$S68),$V68,IF(AND($R68&lt;&gt;"",EDATE($D68,Milestones!$AA$174)&gt;=$R68),$U68,$T68)))=Milestones!$AB$174),TEXT(EDATE($D68,Milestones!$AA$174),"dd/mm/yy")&amp;" "&amp;Milestones!$AB$174&amp;" "&amp;Milestones!$AC$174&amp;";  ","")&amp;IF(AND(EDATE($D68,Milestones!$AA$175)&lt;=AsOfDate,IF($Q68=0,$W68,IF(AND($S68&lt;&gt;"",EDATE($D68,Milestones!$AA$175)&gt;=$S68),$V68,IF(AND($R68&lt;&gt;"",EDATE($D68,Milestones!$AA$175)&gt;=$R68),$U68,$T68)))=Milestones!$AB$175),TEXT(EDATE($D68,Milestones!$AA$175),"dd/mm/yy")&amp;" "&amp;Milestones!$AB$175&amp;" "&amp;Milestones!$AC$175&amp;";  ","")&amp;IF(AND(EDATE($D68,Milestones!$AA$176)&lt;=AsOfDate,IF($Q68=0,$W68,IF(AND($S68&lt;&gt;"",EDATE($D68,Milestones!$AA$176)&gt;=$S68),$V68,IF(AND($R68&lt;&gt;"",EDATE($D68,Milestones!$AA$176)&gt;=$R68),$U68,$T68)))=Milestones!$AB$176),TEXT(EDATE($D68,Milestones!$AA$176),"dd/mm/yy")&amp;" "&amp;Milestones!$AB$176&amp;" "&amp;Milestones!$AC$176&amp;";  ","")&amp;IF(AND(EDATE($D68,Milestones!$AA$177)&lt;=AsOfDate,IF($Q68=0,$W68,IF(AND($S68&lt;&gt;"",EDATE($D68,Milestones!$AA$177)&gt;=$S68),$V68,IF(AND($R68&lt;&gt;"",EDATE($D68,Milestones!$AA$177)&gt;=$R68),$U68,$T68)))=Milestones!$AB$177),TEXT(EDATE($D68,Milestones!$AA$177),"dd/mm/yy")&amp;" "&amp;Milestones!$AB$177&amp;" "&amp;Milestones!$AC$177&amp;";  ","")&amp;IF(AND(EDATE($D68,Milestones!$AA$178)&lt;=AsOfDate,IF($Q68=0,$W68,IF(AND($S68&lt;&gt;"",EDATE($D68,Milestones!$AA$178)&gt;=$S68),$V68,IF(AND($R68&lt;&gt;"",EDATE($D68,Milestones!$AA$178)&gt;=$R68),$U68,$T68)))=Milestones!$AB$178),TEXT(EDATE($D68,Milestones!$AA$178),"dd/mm/yy")&amp;" "&amp;Milestones!$AB$178&amp;" "&amp;Milestones!$AC$178&amp;";  ","")&amp;IF(AND(EDATE($D68,Milestones!$AA$179)&lt;=AsOfDate,IF($Q68=0,$W68,IF(AND($S68&lt;&gt;"",EDATE($D68,Milestones!$AA$179)&gt;=$S68),$V68,IF(AND($R68&lt;&gt;"",EDATE($D68,Milestones!$AA$179)&gt;=$R68),$U68,$T68)))=Milestones!$AB$179),TEXT(EDATE($D68,Milestones!$AA$179),"dd/mm/yy")&amp;" "&amp;Milestones!$AB$179&amp;" "&amp;Milestones!$AC$179&amp;";  ",""))</f>
        <v/>
      </c>
      <c r="P68" s="0" t="str">
        <f aca="false">IF(OR($A68="",$D68=""),"",IF(AND(EDATE($D68,Milestones!$AA$180)&lt;=AsOfDate,IF($Q68=0,$W68,IF(AND($S68&lt;&gt;"",EDATE($D68,Milestones!$AA$180)&gt;=$S68),$V68,IF(AND($R68&lt;&gt;"",EDATE($D68,Milestones!$AA$180)&gt;=$R68),$U68,$T68)))=Milestones!$AB$180),TEXT(EDATE($D68,Milestones!$AA$180),"dd/mm/yy")&amp;" "&amp;Milestones!$AB$180&amp;" "&amp;Milestones!$AC$180&amp;";  ","")&amp;IF(AND(EDATE($D68,Milestones!$AA$181)&lt;=AsOfDate,IF($Q68=0,$W68,IF(AND($S68&lt;&gt;"",EDATE($D68,Milestones!$AA$181)&gt;=$S68),$V68,IF(AND($R68&lt;&gt;"",EDATE($D68,Milestones!$AA$181)&gt;=$R68),$U68,$T68)))=Milestones!$AB$181),TEXT(EDATE($D68,Milestones!$AA$181),"dd/mm/yy")&amp;" "&amp;Milestones!$AB$181&amp;" "&amp;Milestones!$AC$181&amp;";  ","")&amp;IF(AND(EDATE($D68,Milestones!$AA$182)&lt;=AsOfDate,IF($Q68=0,$W68,IF(AND($S68&lt;&gt;"",EDATE($D68,Milestones!$AA$182)&gt;=$S68),$V68,IF(AND($R68&lt;&gt;"",EDATE($D68,Milestones!$AA$182)&gt;=$R68),$U68,$T68)))=Milestones!$AB$182),TEXT(EDATE($D68,Milestones!$AA$182),"dd/mm/yy")&amp;" "&amp;Milestones!$AB$182&amp;" "&amp;Milestones!$AC$182&amp;";  ","")&amp;IF(AND(EDATE($D68,Milestones!$AA$183)&lt;=AsOfDate,IF($Q68=0,$W68,IF(AND($S68&lt;&gt;"",EDATE($D68,Milestones!$AA$183)&gt;=$S68),$V68,IF(AND($R68&lt;&gt;"",EDATE($D68,Milestones!$AA$183)&gt;=$R68),$U68,$T68)))=Milestones!$AB$183),TEXT(EDATE($D68,Milestones!$AA$183),"dd/mm/yy")&amp;" "&amp;Milestones!$AB$183&amp;" "&amp;Milestones!$AC$183&amp;";  ","")&amp;IF(AND(EDATE($D68,Milestones!$AA$184)&lt;=AsOfDate,IF($Q68=0,$W68,IF(AND($S68&lt;&gt;"",EDATE($D68,Milestones!$AA$184)&gt;=$S68),$V68,IF(AND($R68&lt;&gt;"",EDATE($D68,Milestones!$AA$184)&gt;=$R68),$U68,$T68)))=Milestones!$AB$184),TEXT(EDATE($D68,Milestones!$AA$184),"dd/mm/yy")&amp;" "&amp;Milestones!$AB$184&amp;" "&amp;Milestones!$AC$184&amp;";  ","")&amp;IF(AND(EDATE($D68,Milestones!$AA$185)&lt;=AsOfDate,IF($Q68=0,$W68,IF(AND($S68&lt;&gt;"",EDATE($D68,Milestones!$AA$185)&gt;=$S68),$V68,IF(AND($R68&lt;&gt;"",EDATE($D68,Milestones!$AA$185)&gt;=$R68),$U68,$T68)))=Milestones!$AB$185),TEXT(EDATE($D68,Milestones!$AA$185),"dd/mm/yy")&amp;" "&amp;Milestones!$AB$185&amp;" "&amp;Milestones!$AC$185&amp;";  ","")&amp;IF(AND(EDATE($D68,Milestones!$AA$186)&lt;=AsOfDate,IF($Q68=0,$W68,IF(AND($S68&lt;&gt;"",EDATE($D68,Milestones!$AA$186)&gt;=$S68),$V68,IF(AND($R68&lt;&gt;"",EDATE($D68,Milestones!$AA$186)&gt;=$R68),$U68,$T68)))=Milestones!$AB$186),TEXT(EDATE($D68,Milestones!$AA$186),"dd/mm/yy")&amp;" "&amp;Milestones!$AB$186&amp;" "&amp;Milestones!$AC$186&amp;";  ","")&amp;IF(AND(EDATE($D68,Milestones!$AA$187)&lt;=AsOfDate,IF($Q68=0,$W68,IF(AND($S68&lt;&gt;"",EDATE($D68,Milestones!$AA$187)&gt;=$S68),$V68,IF(AND($R68&lt;&gt;"",EDATE($D68,Milestones!$AA$187)&gt;=$R68),$U68,$T68)))=Milestones!$AB$187),TEXT(EDATE($D68,Milestones!$AA$187),"dd/mm/yy")&amp;" "&amp;Milestones!$AB$187&amp;" "&amp;Milestones!$AC$187&amp;";  ","")&amp;IF(AND(EDATE($D68,Milestones!$AA$188)&lt;=AsOfDate,IF($Q68=0,$W68,IF(AND($S68&lt;&gt;"",EDATE($D68,Milestones!$AA$188)&gt;=$S68),$V68,IF(AND($R68&lt;&gt;"",EDATE($D68,Milestones!$AA$188)&gt;=$R68),$U68,$T68)))=Milestones!$AB$188),TEXT(EDATE($D68,Milestones!$AA$188),"dd/mm/yy")&amp;" "&amp;Milestones!$AB$188&amp;" "&amp;Milestones!$AC$188&amp;";  ","")&amp;IF(AND(EDATE($D68,Milestones!$AA$189)&lt;=AsOfDate,IF($Q68=0,$W68,IF(AND($S68&lt;&gt;"",EDATE($D68,Milestones!$AA$189)&gt;=$S68),$V68,IF(AND($R68&lt;&gt;"",EDATE($D68,Milestones!$AA$189)&gt;=$R68),$U68,$T68)))=Milestones!$AB$189),TEXT(EDATE($D68,Milestones!$AA$189),"dd/mm/yy")&amp;" "&amp;Milestones!$AB$189&amp;" "&amp;Milestones!$AC$189&amp;";  ","")&amp;IF(AND(EDATE($D68,Milestones!$AA$190)&lt;=AsOfDate,IF($Q68=0,$W68,IF(AND($S68&lt;&gt;"",EDATE($D68,Milestones!$AA$190)&gt;=$S68),$V68,IF(AND($R68&lt;&gt;"",EDATE($D68,Milestones!$AA$190)&gt;=$R68),$U68,$T68)))=Milestones!$AB$190),TEXT(EDATE($D68,Milestones!$AA$190),"dd/mm/yy")&amp;" "&amp;Milestones!$AB$190&amp;" "&amp;Milestones!$AC$190&amp;";  ","")&amp;IF(AND(EDATE($D68,Milestones!$AA$191)&lt;=AsOfDate,IF($Q68=0,$W68,IF(AND($S68&lt;&gt;"",EDATE($D68,Milestones!$AA$191)&gt;=$S68),$V68,IF(AND($R68&lt;&gt;"",EDATE($D68,Milestones!$AA$191)&gt;=$R68),$U68,$T68)))=Milestones!$AB$191),TEXT(EDATE($D68,Milestones!$AA$191),"dd/mm/yy")&amp;" "&amp;Milestones!$AB$191&amp;" "&amp;Milestones!$AC$191&amp;";  ","")&amp;IF(AND(EDATE($D68,Milestones!$AA$192)&lt;=AsOfDate,IF($Q68=0,$W68,IF(AND($S68&lt;&gt;"",EDATE($D68,Milestones!$AA$192)&gt;=$S68),$V68,IF(AND($R68&lt;&gt;"",EDATE($D68,Milestones!$AA$192)&gt;=$R68),$U68,$T68)))=Milestones!$AB$192),TEXT(EDATE($D68,Milestones!$AA$192),"dd/mm/yy")&amp;" "&amp;Milestones!$AB$192&amp;" "&amp;Milestones!$AC$192&amp;";  ","")&amp;IF(AND(EDATE($D68,Milestones!$AA$193)&lt;=AsOfDate,IF($Q68=0,$W68,IF(AND($S68&lt;&gt;"",EDATE($D68,Milestones!$AA$193)&gt;=$S68),$V68,IF(AND($R68&lt;&gt;"",EDATE($D68,Milestones!$AA$193)&gt;=$R68),$U68,$T68)))=Milestones!$AB$193),TEXT(EDATE($D68,Milestones!$AA$193),"dd/mm/yy")&amp;" "&amp;Milestones!$AB$193&amp;" "&amp;Milestones!$AC$193&amp;";  ","")&amp;IF(AND(EDATE($D68,Milestones!$AA$194)&lt;=AsOfDate,IF($Q68=0,$W68,IF(AND($S68&lt;&gt;"",EDATE($D68,Milestones!$AA$194)&gt;=$S68),$V68,IF(AND($R68&lt;&gt;"",EDATE($D68,Milestones!$AA$194)&gt;=$R68),$U68,$T68)))=Milestones!$AB$194),TEXT(EDATE($D68,Milestones!$AA$194),"dd/mm/yy")&amp;" "&amp;Milestones!$AB$194&amp;" "&amp;Milestones!$AC$194&amp;";  ","")&amp;IF(AND(EDATE($D68,Milestones!$AA$195)&lt;=AsOfDate,IF($Q68=0,$W68,IF(AND($S68&lt;&gt;"",EDATE($D68,Milestones!$AA$195)&gt;=$S68),$V68,IF(AND($R68&lt;&gt;"",EDATE($D68,Milestones!$AA$195)&gt;=$R68),$U68,$T68)))=Milestones!$AB$195),TEXT(EDATE($D68,Milestones!$AA$195),"dd/mm/yy")&amp;" "&amp;Milestones!$AB$195&amp;" "&amp;Milestones!$AC$195&amp;";  ","")&amp;IF(AND(EDATE($D68,Milestones!$AA$196)&lt;=AsOfDate,IF($Q68=0,$W68,IF(AND($S68&lt;&gt;"",EDATE($D68,Milestones!$AA$196)&gt;=$S68),$V68,IF(AND($R68&lt;&gt;"",EDATE($D68,Milestones!$AA$196)&gt;=$R68),$U68,$T68)))=Milestones!$AB$196),TEXT(EDATE($D68,Milestones!$AA$196),"dd/mm/yy")&amp;" "&amp;Milestones!$AB$196&amp;" "&amp;Milestones!$AC$196&amp;";  ","")&amp;IF(AND(EDATE($D68,Milestones!$AA$197)&lt;=AsOfDate,IF($Q68=0,$W68,IF(AND($S68&lt;&gt;"",EDATE($D68,Milestones!$AA$197)&gt;=$S68),$V68,IF(AND($R68&lt;&gt;"",EDATE($D68,Milestones!$AA$197)&gt;=$R68),$U68,$T68)))=Milestones!$AB$197),TEXT(EDATE($D68,Milestones!$AA$197),"dd/mm/yy")&amp;" "&amp;Milestones!$AB$197&amp;" "&amp;Milestones!$AC$197&amp;";  ","")&amp;IF(AND(EDATE($D68,Milestones!$AA$198)&lt;=AsOfDate,IF($Q68=0,$W68,IF(AND($S68&lt;&gt;"",EDATE($D68,Milestones!$AA$198)&gt;=$S68),$V68,IF(AND($R68&lt;&gt;"",EDATE($D68,Milestones!$AA$198)&gt;=$R68),$U68,$T68)))=Milestones!$AB$198),TEXT(EDATE($D68,Milestones!$AA$198),"dd/mm/yy")&amp;" "&amp;Milestones!$AB$198&amp;" "&amp;Milestones!$AC$198&amp;";  ","")&amp;IF(AND(EDATE($D68,Milestones!$AA$199)&lt;=AsOfDate,IF($Q68=0,$W68,IF(AND($S68&lt;&gt;"",EDATE($D68,Milestones!$AA$199)&gt;=$S68),$V68,IF(AND($R68&lt;&gt;"",EDATE($D68,Milestones!$AA$199)&gt;=$R68),$U68,$T68)))=Milestones!$AB$199),TEXT(EDATE($D68,Milestones!$AA$199),"dd/mm/yy")&amp;" "&amp;Milestones!$AB$199&amp;" "&amp;Milestones!$AC$199&amp;";  ",""))</f>
        <v/>
      </c>
      <c r="Q68" s="0" t="str">
        <f aca="false">IF(Staff!$A68="","",Staff!$AG68)</f>
        <v/>
      </c>
      <c r="R68" s="0" t="str">
        <f aca="false">IF(Staff!$A68="","",Staff!$AI68)</f>
        <v/>
      </c>
      <c r="S68" s="0" t="str">
        <f aca="false">IF(Staff!$A68="","",Staff!$AJ68)</f>
        <v/>
      </c>
      <c r="T68" s="0" t="str">
        <f aca="false">IF(Staff!$A68="","",Staff!$AN68)</f>
        <v/>
      </c>
      <c r="U68" s="0" t="str">
        <f aca="false">IF(Staff!$A68="","",Staff!$AO68)</f>
        <v/>
      </c>
      <c r="V68" s="0" t="str">
        <f aca="false">IF(Staff!$A68="","",Staff!$AP68)</f>
        <v/>
      </c>
      <c r="W68" s="0" t="str">
        <f aca="false">IF(Staff!$A68="","",Staff!$AQ68)</f>
        <v/>
      </c>
    </row>
    <row r="69" customFormat="false" ht="15" hidden="false" customHeight="false" outlineLevel="0" collapsed="false">
      <c r="A69" s="13" t="str">
        <f aca="false">IF(Staff!$A69="","",Staff!$A69)</f>
        <v/>
      </c>
      <c r="B69" s="13" t="str">
        <f aca="false">IF(Staff!$A69="","",Staff!$B69)</f>
        <v/>
      </c>
      <c r="C69" s="13" t="str">
        <f aca="false">IF(Staff!$A69="","",Staff!$C69)</f>
        <v/>
      </c>
      <c r="D69" s="11" t="str">
        <f aca="false">IF(Staff!$A69="","",Staff!$AF69)</f>
        <v/>
      </c>
      <c r="E69" s="13" t="str">
        <f aca="false">IF(Staff!$A69="","",Staff!$O69)</f>
        <v/>
      </c>
      <c r="F69" s="13" t="str">
        <f aca="false">IF(E69="","",E69*HoursPerDay)</f>
        <v/>
      </c>
      <c r="G69" s="26" t="str">
        <f aca="false">IF($A69="","",H69&amp;I69&amp;J69&amp;K69&amp;L69&amp;M69&amp;N69&amp;O69&amp;P69)</f>
        <v/>
      </c>
      <c r="H69" s="0" t="str">
        <f aca="false">IF(OR($A69="",$D69=""),"",IF(AND(EDATE($D69,Milestones!$AA$20)&lt;=AsOfDate,IF($Q69=0,$W69,IF(AND($S69&lt;&gt;"",EDATE($D69,Milestones!$AA$20)&gt;=$S69),$V69,IF(AND($R69&lt;&gt;"",EDATE($D69,Milestones!$AA$20)&gt;=$R69),$U69,$T69)))=Milestones!$AB$20),TEXT(EDATE($D69,Milestones!$AA$20),"dd/mm/yy")&amp;" "&amp;Milestones!$AB$20&amp;" "&amp;Milestones!$AC$20&amp;";  ","")&amp;IF(AND(EDATE($D69,Milestones!$AA$21)&lt;=AsOfDate,IF($Q69=0,$W69,IF(AND($S69&lt;&gt;"",EDATE($D69,Milestones!$AA$21)&gt;=$S69),$V69,IF(AND($R69&lt;&gt;"",EDATE($D69,Milestones!$AA$21)&gt;=$R69),$U69,$T69)))=Milestones!$AB$21),TEXT(EDATE($D69,Milestones!$AA$21),"dd/mm/yy")&amp;" "&amp;Milestones!$AB$21&amp;" "&amp;Milestones!$AC$21&amp;";  ","")&amp;IF(AND(EDATE($D69,Milestones!$AA$22)&lt;=AsOfDate,IF($Q69=0,$W69,IF(AND($S69&lt;&gt;"",EDATE($D69,Milestones!$AA$22)&gt;=$S69),$V69,IF(AND($R69&lt;&gt;"",EDATE($D69,Milestones!$AA$22)&gt;=$R69),$U69,$T69)))=Milestones!$AB$22),TEXT(EDATE($D69,Milestones!$AA$22),"dd/mm/yy")&amp;" "&amp;Milestones!$AB$22&amp;" "&amp;Milestones!$AC$22&amp;";  ","")&amp;IF(AND(EDATE($D69,Milestones!$AA$23)&lt;=AsOfDate,IF($Q69=0,$W69,IF(AND($S69&lt;&gt;"",EDATE($D69,Milestones!$AA$23)&gt;=$S69),$V69,IF(AND($R69&lt;&gt;"",EDATE($D69,Milestones!$AA$23)&gt;=$R69),$U69,$T69)))=Milestones!$AB$23),TEXT(EDATE($D69,Milestones!$AA$23),"dd/mm/yy")&amp;" "&amp;Milestones!$AB$23&amp;" "&amp;Milestones!$AC$23&amp;";  ","")&amp;IF(AND(EDATE($D69,Milestones!$AA$24)&lt;=AsOfDate,IF($Q69=0,$W69,IF(AND($S69&lt;&gt;"",EDATE($D69,Milestones!$AA$24)&gt;=$S69),$V69,IF(AND($R69&lt;&gt;"",EDATE($D69,Milestones!$AA$24)&gt;=$R69),$U69,$T69)))=Milestones!$AB$24),TEXT(EDATE($D69,Milestones!$AA$24),"dd/mm/yy")&amp;" "&amp;Milestones!$AB$24&amp;" "&amp;Milestones!$AC$24&amp;";  ","")&amp;IF(AND(EDATE($D69,Milestones!$AA$25)&lt;=AsOfDate,IF($Q69=0,$W69,IF(AND($S69&lt;&gt;"",EDATE($D69,Milestones!$AA$25)&gt;=$S69),$V69,IF(AND($R69&lt;&gt;"",EDATE($D69,Milestones!$AA$25)&gt;=$R69),$U69,$T69)))=Milestones!$AB$25),TEXT(EDATE($D69,Milestones!$AA$25),"dd/mm/yy")&amp;" "&amp;Milestones!$AB$25&amp;" "&amp;Milestones!$AC$25&amp;";  ","")&amp;IF(AND(EDATE($D69,Milestones!$AA$26)&lt;=AsOfDate,IF($Q69=0,$W69,IF(AND($S69&lt;&gt;"",EDATE($D69,Milestones!$AA$26)&gt;=$S69),$V69,IF(AND($R69&lt;&gt;"",EDATE($D69,Milestones!$AA$26)&gt;=$R69),$U69,$T69)))=Milestones!$AB$26),TEXT(EDATE($D69,Milestones!$AA$26),"dd/mm/yy")&amp;" "&amp;Milestones!$AB$26&amp;" "&amp;Milestones!$AC$26&amp;";  ","")&amp;IF(AND(EDATE($D69,Milestones!$AA$27)&lt;=AsOfDate,IF($Q69=0,$W69,IF(AND($S69&lt;&gt;"",EDATE($D69,Milestones!$AA$27)&gt;=$S69),$V69,IF(AND($R69&lt;&gt;"",EDATE($D69,Milestones!$AA$27)&gt;=$R69),$U69,$T69)))=Milestones!$AB$27),TEXT(EDATE($D69,Milestones!$AA$27),"dd/mm/yy")&amp;" "&amp;Milestones!$AB$27&amp;" "&amp;Milestones!$AC$27&amp;";  ","")&amp;IF(AND(EDATE($D69,Milestones!$AA$28)&lt;=AsOfDate,IF($Q69=0,$W69,IF(AND($S69&lt;&gt;"",EDATE($D69,Milestones!$AA$28)&gt;=$S69),$V69,IF(AND($R69&lt;&gt;"",EDATE($D69,Milestones!$AA$28)&gt;=$R69),$U69,$T69)))=Milestones!$AB$28),TEXT(EDATE($D69,Milestones!$AA$28),"dd/mm/yy")&amp;" "&amp;Milestones!$AB$28&amp;" "&amp;Milestones!$AC$28&amp;";  ","")&amp;IF(AND(EDATE($D69,Milestones!$AA$29)&lt;=AsOfDate,IF($Q69=0,$W69,IF(AND($S69&lt;&gt;"",EDATE($D69,Milestones!$AA$29)&gt;=$S69),$V69,IF(AND($R69&lt;&gt;"",EDATE($D69,Milestones!$AA$29)&gt;=$R69),$U69,$T69)))=Milestones!$AB$29),TEXT(EDATE($D69,Milestones!$AA$29),"dd/mm/yy")&amp;" "&amp;Milestones!$AB$29&amp;" "&amp;Milestones!$AC$29&amp;";  ","")&amp;IF(AND(EDATE($D69,Milestones!$AA$30)&lt;=AsOfDate,IF($Q69=0,$W69,IF(AND($S69&lt;&gt;"",EDATE($D69,Milestones!$AA$30)&gt;=$S69),$V69,IF(AND($R69&lt;&gt;"",EDATE($D69,Milestones!$AA$30)&gt;=$R69),$U69,$T69)))=Milestones!$AB$30),TEXT(EDATE($D69,Milestones!$AA$30),"dd/mm/yy")&amp;" "&amp;Milestones!$AB$30&amp;" "&amp;Milestones!$AC$30&amp;";  ","")&amp;IF(AND(EDATE($D69,Milestones!$AA$31)&lt;=AsOfDate,IF($Q69=0,$W69,IF(AND($S69&lt;&gt;"",EDATE($D69,Milestones!$AA$31)&gt;=$S69),$V69,IF(AND($R69&lt;&gt;"",EDATE($D69,Milestones!$AA$31)&gt;=$R69),$U69,$T69)))=Milestones!$AB$31),TEXT(EDATE($D69,Milestones!$AA$31),"dd/mm/yy")&amp;" "&amp;Milestones!$AB$31&amp;" "&amp;Milestones!$AC$31&amp;";  ","")&amp;IF(AND(EDATE($D69,Milestones!$AA$32)&lt;=AsOfDate,IF($Q69=0,$W69,IF(AND($S69&lt;&gt;"",EDATE($D69,Milestones!$AA$32)&gt;=$S69),$V69,IF(AND($R69&lt;&gt;"",EDATE($D69,Milestones!$AA$32)&gt;=$R69),$U69,$T69)))=Milestones!$AB$32),TEXT(EDATE($D69,Milestones!$AA$32),"dd/mm/yy")&amp;" "&amp;Milestones!$AB$32&amp;" "&amp;Milestones!$AC$32&amp;";  ","")&amp;IF(AND(EDATE($D69,Milestones!$AA$33)&lt;=AsOfDate,IF($Q69=0,$W69,IF(AND($S69&lt;&gt;"",EDATE($D69,Milestones!$AA$33)&gt;=$S69),$V69,IF(AND($R69&lt;&gt;"",EDATE($D69,Milestones!$AA$33)&gt;=$R69),$U69,$T69)))=Milestones!$AB$33),TEXT(EDATE($D69,Milestones!$AA$33),"dd/mm/yy")&amp;" "&amp;Milestones!$AB$33&amp;" "&amp;Milestones!$AC$33&amp;";  ","")&amp;IF(AND(EDATE($D69,Milestones!$AA$34)&lt;=AsOfDate,IF($Q69=0,$W69,IF(AND($S69&lt;&gt;"",EDATE($D69,Milestones!$AA$34)&gt;=$S69),$V69,IF(AND($R69&lt;&gt;"",EDATE($D69,Milestones!$AA$34)&gt;=$R69),$U69,$T69)))=Milestones!$AB$34),TEXT(EDATE($D69,Milestones!$AA$34),"dd/mm/yy")&amp;" "&amp;Milestones!$AB$34&amp;" "&amp;Milestones!$AC$34&amp;";  ","")&amp;IF(AND(EDATE($D69,Milestones!$AA$35)&lt;=AsOfDate,IF($Q69=0,$W69,IF(AND($S69&lt;&gt;"",EDATE($D69,Milestones!$AA$35)&gt;=$S69),$V69,IF(AND($R69&lt;&gt;"",EDATE($D69,Milestones!$AA$35)&gt;=$R69),$U69,$T69)))=Milestones!$AB$35),TEXT(EDATE($D69,Milestones!$AA$35),"dd/mm/yy")&amp;" "&amp;Milestones!$AB$35&amp;" "&amp;Milestones!$AC$35&amp;";  ","")&amp;IF(AND(EDATE($D69,Milestones!$AA$36)&lt;=AsOfDate,IF($Q69=0,$W69,IF(AND($S69&lt;&gt;"",EDATE($D69,Milestones!$AA$36)&gt;=$S69),$V69,IF(AND($R69&lt;&gt;"",EDATE($D69,Milestones!$AA$36)&gt;=$R69),$U69,$T69)))=Milestones!$AB$36),TEXT(EDATE($D69,Milestones!$AA$36),"dd/mm/yy")&amp;" "&amp;Milestones!$AB$36&amp;" "&amp;Milestones!$AC$36&amp;";  ","")&amp;IF(AND(EDATE($D69,Milestones!$AA$37)&lt;=AsOfDate,IF($Q69=0,$W69,IF(AND($S69&lt;&gt;"",EDATE($D69,Milestones!$AA$37)&gt;=$S69),$V69,IF(AND($R69&lt;&gt;"",EDATE($D69,Milestones!$AA$37)&gt;=$R69),$U69,$T69)))=Milestones!$AB$37),TEXT(EDATE($D69,Milestones!$AA$37),"dd/mm/yy")&amp;" "&amp;Milestones!$AB$37&amp;" "&amp;Milestones!$AC$37&amp;";  ","")&amp;IF(AND(EDATE($D69,Milestones!$AA$38)&lt;=AsOfDate,IF($Q69=0,$W69,IF(AND($S69&lt;&gt;"",EDATE($D69,Milestones!$AA$38)&gt;=$S69),$V69,IF(AND($R69&lt;&gt;"",EDATE($D69,Milestones!$AA$38)&gt;=$R69),$U69,$T69)))=Milestones!$AB$38),TEXT(EDATE($D69,Milestones!$AA$38),"dd/mm/yy")&amp;" "&amp;Milestones!$AB$38&amp;" "&amp;Milestones!$AC$38&amp;";  ","")&amp;IF(AND(EDATE($D69,Milestones!$AA$39)&lt;=AsOfDate,IF($Q69=0,$W69,IF(AND($S69&lt;&gt;"",EDATE($D69,Milestones!$AA$39)&gt;=$S69),$V69,IF(AND($R69&lt;&gt;"",EDATE($D69,Milestones!$AA$39)&gt;=$R69),$U69,$T69)))=Milestones!$AB$39),TEXT(EDATE($D69,Milestones!$AA$39),"dd/mm/yy")&amp;" "&amp;Milestones!$AB$39&amp;" "&amp;Milestones!$AC$39&amp;";  ",""))</f>
        <v/>
      </c>
      <c r="I69" s="0" t="str">
        <f aca="false">IF(OR($A69="",$D69=""),"",IF(AND(EDATE($D69,Milestones!$AA$40)&lt;=AsOfDate,IF($Q69=0,$W69,IF(AND($S69&lt;&gt;"",EDATE($D69,Milestones!$AA$40)&gt;=$S69),$V69,IF(AND($R69&lt;&gt;"",EDATE($D69,Milestones!$AA$40)&gt;=$R69),$U69,$T69)))=Milestones!$AB$40),TEXT(EDATE($D69,Milestones!$AA$40),"dd/mm/yy")&amp;" "&amp;Milestones!$AB$40&amp;" "&amp;Milestones!$AC$40&amp;";  ","")&amp;IF(AND(EDATE($D69,Milestones!$AA$41)&lt;=AsOfDate,IF($Q69=0,$W69,IF(AND($S69&lt;&gt;"",EDATE($D69,Milestones!$AA$41)&gt;=$S69),$V69,IF(AND($R69&lt;&gt;"",EDATE($D69,Milestones!$AA$41)&gt;=$R69),$U69,$T69)))=Milestones!$AB$41),TEXT(EDATE($D69,Milestones!$AA$41),"dd/mm/yy")&amp;" "&amp;Milestones!$AB$41&amp;" "&amp;Milestones!$AC$41&amp;";  ","")&amp;IF(AND(EDATE($D69,Milestones!$AA$42)&lt;=AsOfDate,IF($Q69=0,$W69,IF(AND($S69&lt;&gt;"",EDATE($D69,Milestones!$AA$42)&gt;=$S69),$V69,IF(AND($R69&lt;&gt;"",EDATE($D69,Milestones!$AA$42)&gt;=$R69),$U69,$T69)))=Milestones!$AB$42),TEXT(EDATE($D69,Milestones!$AA$42),"dd/mm/yy")&amp;" "&amp;Milestones!$AB$42&amp;" "&amp;Milestones!$AC$42&amp;";  ","")&amp;IF(AND(EDATE($D69,Milestones!$AA$43)&lt;=AsOfDate,IF($Q69=0,$W69,IF(AND($S69&lt;&gt;"",EDATE($D69,Milestones!$AA$43)&gt;=$S69),$V69,IF(AND($R69&lt;&gt;"",EDATE($D69,Milestones!$AA$43)&gt;=$R69),$U69,$T69)))=Milestones!$AB$43),TEXT(EDATE($D69,Milestones!$AA$43),"dd/mm/yy")&amp;" "&amp;Milestones!$AB$43&amp;" "&amp;Milestones!$AC$43&amp;";  ","")&amp;IF(AND(EDATE($D69,Milestones!$AA$44)&lt;=AsOfDate,IF($Q69=0,$W69,IF(AND($S69&lt;&gt;"",EDATE($D69,Milestones!$AA$44)&gt;=$S69),$V69,IF(AND($R69&lt;&gt;"",EDATE($D69,Milestones!$AA$44)&gt;=$R69),$U69,$T69)))=Milestones!$AB$44),TEXT(EDATE($D69,Milestones!$AA$44),"dd/mm/yy")&amp;" "&amp;Milestones!$AB$44&amp;" "&amp;Milestones!$AC$44&amp;";  ","")&amp;IF(AND(EDATE($D69,Milestones!$AA$45)&lt;=AsOfDate,IF($Q69=0,$W69,IF(AND($S69&lt;&gt;"",EDATE($D69,Milestones!$AA$45)&gt;=$S69),$V69,IF(AND($R69&lt;&gt;"",EDATE($D69,Milestones!$AA$45)&gt;=$R69),$U69,$T69)))=Milestones!$AB$45),TEXT(EDATE($D69,Milestones!$AA$45),"dd/mm/yy")&amp;" "&amp;Milestones!$AB$45&amp;" "&amp;Milestones!$AC$45&amp;";  ","")&amp;IF(AND(EDATE($D69,Milestones!$AA$46)&lt;=AsOfDate,IF($Q69=0,$W69,IF(AND($S69&lt;&gt;"",EDATE($D69,Milestones!$AA$46)&gt;=$S69),$V69,IF(AND($R69&lt;&gt;"",EDATE($D69,Milestones!$AA$46)&gt;=$R69),$U69,$T69)))=Milestones!$AB$46),TEXT(EDATE($D69,Milestones!$AA$46),"dd/mm/yy")&amp;" "&amp;Milestones!$AB$46&amp;" "&amp;Milestones!$AC$46&amp;";  ","")&amp;IF(AND(EDATE($D69,Milestones!$AA$47)&lt;=AsOfDate,IF($Q69=0,$W69,IF(AND($S69&lt;&gt;"",EDATE($D69,Milestones!$AA$47)&gt;=$S69),$V69,IF(AND($R69&lt;&gt;"",EDATE($D69,Milestones!$AA$47)&gt;=$R69),$U69,$T69)))=Milestones!$AB$47),TEXT(EDATE($D69,Milestones!$AA$47),"dd/mm/yy")&amp;" "&amp;Milestones!$AB$47&amp;" "&amp;Milestones!$AC$47&amp;";  ","")&amp;IF(AND(EDATE($D69,Milestones!$AA$48)&lt;=AsOfDate,IF($Q69=0,$W69,IF(AND($S69&lt;&gt;"",EDATE($D69,Milestones!$AA$48)&gt;=$S69),$V69,IF(AND($R69&lt;&gt;"",EDATE($D69,Milestones!$AA$48)&gt;=$R69),$U69,$T69)))=Milestones!$AB$48),TEXT(EDATE($D69,Milestones!$AA$48),"dd/mm/yy")&amp;" "&amp;Milestones!$AB$48&amp;" "&amp;Milestones!$AC$48&amp;";  ","")&amp;IF(AND(EDATE($D69,Milestones!$AA$49)&lt;=AsOfDate,IF($Q69=0,$W69,IF(AND($S69&lt;&gt;"",EDATE($D69,Milestones!$AA$49)&gt;=$S69),$V69,IF(AND($R69&lt;&gt;"",EDATE($D69,Milestones!$AA$49)&gt;=$R69),$U69,$T69)))=Milestones!$AB$49),TEXT(EDATE($D69,Milestones!$AA$49),"dd/mm/yy")&amp;" "&amp;Milestones!$AB$49&amp;" "&amp;Milestones!$AC$49&amp;";  ","")&amp;IF(AND(EDATE($D69,Milestones!$AA$50)&lt;=AsOfDate,IF($Q69=0,$W69,IF(AND($S69&lt;&gt;"",EDATE($D69,Milestones!$AA$50)&gt;=$S69),$V69,IF(AND($R69&lt;&gt;"",EDATE($D69,Milestones!$AA$50)&gt;=$R69),$U69,$T69)))=Milestones!$AB$50),TEXT(EDATE($D69,Milestones!$AA$50),"dd/mm/yy")&amp;" "&amp;Milestones!$AB$50&amp;" "&amp;Milestones!$AC$50&amp;";  ","")&amp;IF(AND(EDATE($D69,Milestones!$AA$51)&lt;=AsOfDate,IF($Q69=0,$W69,IF(AND($S69&lt;&gt;"",EDATE($D69,Milestones!$AA$51)&gt;=$S69),$V69,IF(AND($R69&lt;&gt;"",EDATE($D69,Milestones!$AA$51)&gt;=$R69),$U69,$T69)))=Milestones!$AB$51),TEXT(EDATE($D69,Milestones!$AA$51),"dd/mm/yy")&amp;" "&amp;Milestones!$AB$51&amp;" "&amp;Milestones!$AC$51&amp;";  ","")&amp;IF(AND(EDATE($D69,Milestones!$AA$52)&lt;=AsOfDate,IF($Q69=0,$W69,IF(AND($S69&lt;&gt;"",EDATE($D69,Milestones!$AA$52)&gt;=$S69),$V69,IF(AND($R69&lt;&gt;"",EDATE($D69,Milestones!$AA$52)&gt;=$R69),$U69,$T69)))=Milestones!$AB$52),TEXT(EDATE($D69,Milestones!$AA$52),"dd/mm/yy")&amp;" "&amp;Milestones!$AB$52&amp;" "&amp;Milestones!$AC$52&amp;";  ","")&amp;IF(AND(EDATE($D69,Milestones!$AA$53)&lt;=AsOfDate,IF($Q69=0,$W69,IF(AND($S69&lt;&gt;"",EDATE($D69,Milestones!$AA$53)&gt;=$S69),$V69,IF(AND($R69&lt;&gt;"",EDATE($D69,Milestones!$AA$53)&gt;=$R69),$U69,$T69)))=Milestones!$AB$53),TEXT(EDATE($D69,Milestones!$AA$53),"dd/mm/yy")&amp;" "&amp;Milestones!$AB$53&amp;" "&amp;Milestones!$AC$53&amp;";  ","")&amp;IF(AND(EDATE($D69,Milestones!$AA$54)&lt;=AsOfDate,IF($Q69=0,$W69,IF(AND($S69&lt;&gt;"",EDATE($D69,Milestones!$AA$54)&gt;=$S69),$V69,IF(AND($R69&lt;&gt;"",EDATE($D69,Milestones!$AA$54)&gt;=$R69),$U69,$T69)))=Milestones!$AB$54),TEXT(EDATE($D69,Milestones!$AA$54),"dd/mm/yy")&amp;" "&amp;Milestones!$AB$54&amp;" "&amp;Milestones!$AC$54&amp;";  ","")&amp;IF(AND(EDATE($D69,Milestones!$AA$55)&lt;=AsOfDate,IF($Q69=0,$W69,IF(AND($S69&lt;&gt;"",EDATE($D69,Milestones!$AA$55)&gt;=$S69),$V69,IF(AND($R69&lt;&gt;"",EDATE($D69,Milestones!$AA$55)&gt;=$R69),$U69,$T69)))=Milestones!$AB$55),TEXT(EDATE($D69,Milestones!$AA$55),"dd/mm/yy")&amp;" "&amp;Milestones!$AB$55&amp;" "&amp;Milestones!$AC$55&amp;";  ","")&amp;IF(AND(EDATE($D69,Milestones!$AA$56)&lt;=AsOfDate,IF($Q69=0,$W69,IF(AND($S69&lt;&gt;"",EDATE($D69,Milestones!$AA$56)&gt;=$S69),$V69,IF(AND($R69&lt;&gt;"",EDATE($D69,Milestones!$AA$56)&gt;=$R69),$U69,$T69)))=Milestones!$AB$56),TEXT(EDATE($D69,Milestones!$AA$56),"dd/mm/yy")&amp;" "&amp;Milestones!$AB$56&amp;" "&amp;Milestones!$AC$56&amp;";  ","")&amp;IF(AND(EDATE($D69,Milestones!$AA$57)&lt;=AsOfDate,IF($Q69=0,$W69,IF(AND($S69&lt;&gt;"",EDATE($D69,Milestones!$AA$57)&gt;=$S69),$V69,IF(AND($R69&lt;&gt;"",EDATE($D69,Milestones!$AA$57)&gt;=$R69),$U69,$T69)))=Milestones!$AB$57),TEXT(EDATE($D69,Milestones!$AA$57),"dd/mm/yy")&amp;" "&amp;Milestones!$AB$57&amp;" "&amp;Milestones!$AC$57&amp;";  ","")&amp;IF(AND(EDATE($D69,Milestones!$AA$58)&lt;=AsOfDate,IF($Q69=0,$W69,IF(AND($S69&lt;&gt;"",EDATE($D69,Milestones!$AA$58)&gt;=$S69),$V69,IF(AND($R69&lt;&gt;"",EDATE($D69,Milestones!$AA$58)&gt;=$R69),$U69,$T69)))=Milestones!$AB$58),TEXT(EDATE($D69,Milestones!$AA$58),"dd/mm/yy")&amp;" "&amp;Milestones!$AB$58&amp;" "&amp;Milestones!$AC$58&amp;";  ","")&amp;IF(AND(EDATE($D69,Milestones!$AA$59)&lt;=AsOfDate,IF($Q69=0,$W69,IF(AND($S69&lt;&gt;"",EDATE($D69,Milestones!$AA$59)&gt;=$S69),$V69,IF(AND($R69&lt;&gt;"",EDATE($D69,Milestones!$AA$59)&gt;=$R69),$U69,$T69)))=Milestones!$AB$59),TEXT(EDATE($D69,Milestones!$AA$59),"dd/mm/yy")&amp;" "&amp;Milestones!$AB$59&amp;" "&amp;Milestones!$AC$59&amp;";  ",""))</f>
        <v/>
      </c>
      <c r="J69" s="0" t="str">
        <f aca="false">IF(OR($A69="",$D69=""),"",IF(AND(EDATE($D69,Milestones!$AA$60)&lt;=AsOfDate,IF($Q69=0,$W69,IF(AND($S69&lt;&gt;"",EDATE($D69,Milestones!$AA$60)&gt;=$S69),$V69,IF(AND($R69&lt;&gt;"",EDATE($D69,Milestones!$AA$60)&gt;=$R69),$U69,$T69)))=Milestones!$AB$60),TEXT(EDATE($D69,Milestones!$AA$60),"dd/mm/yy")&amp;" "&amp;Milestones!$AB$60&amp;" "&amp;Milestones!$AC$60&amp;";  ","")&amp;IF(AND(EDATE($D69,Milestones!$AA$61)&lt;=AsOfDate,IF($Q69=0,$W69,IF(AND($S69&lt;&gt;"",EDATE($D69,Milestones!$AA$61)&gt;=$S69),$V69,IF(AND($R69&lt;&gt;"",EDATE($D69,Milestones!$AA$61)&gt;=$R69),$U69,$T69)))=Milestones!$AB$61),TEXT(EDATE($D69,Milestones!$AA$61),"dd/mm/yy")&amp;" "&amp;Milestones!$AB$61&amp;" "&amp;Milestones!$AC$61&amp;";  ","")&amp;IF(AND(EDATE($D69,Milestones!$AA$62)&lt;=AsOfDate,IF($Q69=0,$W69,IF(AND($S69&lt;&gt;"",EDATE($D69,Milestones!$AA$62)&gt;=$S69),$V69,IF(AND($R69&lt;&gt;"",EDATE($D69,Milestones!$AA$62)&gt;=$R69),$U69,$T69)))=Milestones!$AB$62),TEXT(EDATE($D69,Milestones!$AA$62),"dd/mm/yy")&amp;" "&amp;Milestones!$AB$62&amp;" "&amp;Milestones!$AC$62&amp;";  ","")&amp;IF(AND(EDATE($D69,Milestones!$AA$63)&lt;=AsOfDate,IF($Q69=0,$W69,IF(AND($S69&lt;&gt;"",EDATE($D69,Milestones!$AA$63)&gt;=$S69),$V69,IF(AND($R69&lt;&gt;"",EDATE($D69,Milestones!$AA$63)&gt;=$R69),$U69,$T69)))=Milestones!$AB$63),TEXT(EDATE($D69,Milestones!$AA$63),"dd/mm/yy")&amp;" "&amp;Milestones!$AB$63&amp;" "&amp;Milestones!$AC$63&amp;";  ","")&amp;IF(AND(EDATE($D69,Milestones!$AA$64)&lt;=AsOfDate,IF($Q69=0,$W69,IF(AND($S69&lt;&gt;"",EDATE($D69,Milestones!$AA$64)&gt;=$S69),$V69,IF(AND($R69&lt;&gt;"",EDATE($D69,Milestones!$AA$64)&gt;=$R69),$U69,$T69)))=Milestones!$AB$64),TEXT(EDATE($D69,Milestones!$AA$64),"dd/mm/yy")&amp;" "&amp;Milestones!$AB$64&amp;" "&amp;Milestones!$AC$64&amp;";  ","")&amp;IF(AND(EDATE($D69,Milestones!$AA$65)&lt;=AsOfDate,IF($Q69=0,$W69,IF(AND($S69&lt;&gt;"",EDATE($D69,Milestones!$AA$65)&gt;=$S69),$V69,IF(AND($R69&lt;&gt;"",EDATE($D69,Milestones!$AA$65)&gt;=$R69),$U69,$T69)))=Milestones!$AB$65),TEXT(EDATE($D69,Milestones!$AA$65),"dd/mm/yy")&amp;" "&amp;Milestones!$AB$65&amp;" "&amp;Milestones!$AC$65&amp;";  ","")&amp;IF(AND(EDATE($D69,Milestones!$AA$66)&lt;=AsOfDate,IF($Q69=0,$W69,IF(AND($S69&lt;&gt;"",EDATE($D69,Milestones!$AA$66)&gt;=$S69),$V69,IF(AND($R69&lt;&gt;"",EDATE($D69,Milestones!$AA$66)&gt;=$R69),$U69,$T69)))=Milestones!$AB$66),TEXT(EDATE($D69,Milestones!$AA$66),"dd/mm/yy")&amp;" "&amp;Milestones!$AB$66&amp;" "&amp;Milestones!$AC$66&amp;";  ","")&amp;IF(AND(EDATE($D69,Milestones!$AA$67)&lt;=AsOfDate,IF($Q69=0,$W69,IF(AND($S69&lt;&gt;"",EDATE($D69,Milestones!$AA$67)&gt;=$S69),$V69,IF(AND($R69&lt;&gt;"",EDATE($D69,Milestones!$AA$67)&gt;=$R69),$U69,$T69)))=Milestones!$AB$67),TEXT(EDATE($D69,Milestones!$AA$67),"dd/mm/yy")&amp;" "&amp;Milestones!$AB$67&amp;" "&amp;Milestones!$AC$67&amp;";  ","")&amp;IF(AND(EDATE($D69,Milestones!$AA$68)&lt;=AsOfDate,IF($Q69=0,$W69,IF(AND($S69&lt;&gt;"",EDATE($D69,Milestones!$AA$68)&gt;=$S69),$V69,IF(AND($R69&lt;&gt;"",EDATE($D69,Milestones!$AA$68)&gt;=$R69),$U69,$T69)))=Milestones!$AB$68),TEXT(EDATE($D69,Milestones!$AA$68),"dd/mm/yy")&amp;" "&amp;Milestones!$AB$68&amp;" "&amp;Milestones!$AC$68&amp;";  ","")&amp;IF(AND(EDATE($D69,Milestones!$AA$69)&lt;=AsOfDate,IF($Q69=0,$W69,IF(AND($S69&lt;&gt;"",EDATE($D69,Milestones!$AA$69)&gt;=$S69),$V69,IF(AND($R69&lt;&gt;"",EDATE($D69,Milestones!$AA$69)&gt;=$R69),$U69,$T69)))=Milestones!$AB$69),TEXT(EDATE($D69,Milestones!$AA$69),"dd/mm/yy")&amp;" "&amp;Milestones!$AB$69&amp;" "&amp;Milestones!$AC$69&amp;";  ","")&amp;IF(AND(EDATE($D69,Milestones!$AA$70)&lt;=AsOfDate,IF($Q69=0,$W69,IF(AND($S69&lt;&gt;"",EDATE($D69,Milestones!$AA$70)&gt;=$S69),$V69,IF(AND($R69&lt;&gt;"",EDATE($D69,Milestones!$AA$70)&gt;=$R69),$U69,$T69)))=Milestones!$AB$70),TEXT(EDATE($D69,Milestones!$AA$70),"dd/mm/yy")&amp;" "&amp;Milestones!$AB$70&amp;" "&amp;Milestones!$AC$70&amp;";  ","")&amp;IF(AND(EDATE($D69,Milestones!$AA$71)&lt;=AsOfDate,IF($Q69=0,$W69,IF(AND($S69&lt;&gt;"",EDATE($D69,Milestones!$AA$71)&gt;=$S69),$V69,IF(AND($R69&lt;&gt;"",EDATE($D69,Milestones!$AA$71)&gt;=$R69),$U69,$T69)))=Milestones!$AB$71),TEXT(EDATE($D69,Milestones!$AA$71),"dd/mm/yy")&amp;" "&amp;Milestones!$AB$71&amp;" "&amp;Milestones!$AC$71&amp;";  ","")&amp;IF(AND(EDATE($D69,Milestones!$AA$72)&lt;=AsOfDate,IF($Q69=0,$W69,IF(AND($S69&lt;&gt;"",EDATE($D69,Milestones!$AA$72)&gt;=$S69),$V69,IF(AND($R69&lt;&gt;"",EDATE($D69,Milestones!$AA$72)&gt;=$R69),$U69,$T69)))=Milestones!$AB$72),TEXT(EDATE($D69,Milestones!$AA$72),"dd/mm/yy")&amp;" "&amp;Milestones!$AB$72&amp;" "&amp;Milestones!$AC$72&amp;";  ","")&amp;IF(AND(EDATE($D69,Milestones!$AA$73)&lt;=AsOfDate,IF($Q69=0,$W69,IF(AND($S69&lt;&gt;"",EDATE($D69,Milestones!$AA$73)&gt;=$S69),$V69,IF(AND($R69&lt;&gt;"",EDATE($D69,Milestones!$AA$73)&gt;=$R69),$U69,$T69)))=Milestones!$AB$73),TEXT(EDATE($D69,Milestones!$AA$73),"dd/mm/yy")&amp;" "&amp;Milestones!$AB$73&amp;" "&amp;Milestones!$AC$73&amp;";  ","")&amp;IF(AND(EDATE($D69,Milestones!$AA$74)&lt;=AsOfDate,IF($Q69=0,$W69,IF(AND($S69&lt;&gt;"",EDATE($D69,Milestones!$AA$74)&gt;=$S69),$V69,IF(AND($R69&lt;&gt;"",EDATE($D69,Milestones!$AA$74)&gt;=$R69),$U69,$T69)))=Milestones!$AB$74),TEXT(EDATE($D69,Milestones!$AA$74),"dd/mm/yy")&amp;" "&amp;Milestones!$AB$74&amp;" "&amp;Milestones!$AC$74&amp;";  ","")&amp;IF(AND(EDATE($D69,Milestones!$AA$75)&lt;=AsOfDate,IF($Q69=0,$W69,IF(AND($S69&lt;&gt;"",EDATE($D69,Milestones!$AA$75)&gt;=$S69),$V69,IF(AND($R69&lt;&gt;"",EDATE($D69,Milestones!$AA$75)&gt;=$R69),$U69,$T69)))=Milestones!$AB$75),TEXT(EDATE($D69,Milestones!$AA$75),"dd/mm/yy")&amp;" "&amp;Milestones!$AB$75&amp;" "&amp;Milestones!$AC$75&amp;";  ","")&amp;IF(AND(EDATE($D69,Milestones!$AA$76)&lt;=AsOfDate,IF($Q69=0,$W69,IF(AND($S69&lt;&gt;"",EDATE($D69,Milestones!$AA$76)&gt;=$S69),$V69,IF(AND($R69&lt;&gt;"",EDATE($D69,Milestones!$AA$76)&gt;=$R69),$U69,$T69)))=Milestones!$AB$76),TEXT(EDATE($D69,Milestones!$AA$76),"dd/mm/yy")&amp;" "&amp;Milestones!$AB$76&amp;" "&amp;Milestones!$AC$76&amp;";  ","")&amp;IF(AND(EDATE($D69,Milestones!$AA$77)&lt;=AsOfDate,IF($Q69=0,$W69,IF(AND($S69&lt;&gt;"",EDATE($D69,Milestones!$AA$77)&gt;=$S69),$V69,IF(AND($R69&lt;&gt;"",EDATE($D69,Milestones!$AA$77)&gt;=$R69),$U69,$T69)))=Milestones!$AB$77),TEXT(EDATE($D69,Milestones!$AA$77),"dd/mm/yy")&amp;" "&amp;Milestones!$AB$77&amp;" "&amp;Milestones!$AC$77&amp;";  ","")&amp;IF(AND(EDATE($D69,Milestones!$AA$78)&lt;=AsOfDate,IF($Q69=0,$W69,IF(AND($S69&lt;&gt;"",EDATE($D69,Milestones!$AA$78)&gt;=$S69),$V69,IF(AND($R69&lt;&gt;"",EDATE($D69,Milestones!$AA$78)&gt;=$R69),$U69,$T69)))=Milestones!$AB$78),TEXT(EDATE($D69,Milestones!$AA$78),"dd/mm/yy")&amp;" "&amp;Milestones!$AB$78&amp;" "&amp;Milestones!$AC$78&amp;";  ","")&amp;IF(AND(EDATE($D69,Milestones!$AA$79)&lt;=AsOfDate,IF($Q69=0,$W69,IF(AND($S69&lt;&gt;"",EDATE($D69,Milestones!$AA$79)&gt;=$S69),$V69,IF(AND($R69&lt;&gt;"",EDATE($D69,Milestones!$AA$79)&gt;=$R69),$U69,$T69)))=Milestones!$AB$79),TEXT(EDATE($D69,Milestones!$AA$79),"dd/mm/yy")&amp;" "&amp;Milestones!$AB$79&amp;" "&amp;Milestones!$AC$79&amp;";  ",""))</f>
        <v/>
      </c>
      <c r="K69" s="0" t="str">
        <f aca="false">IF(OR($A69="",$D69=""),"",IF(AND(EDATE($D69,Milestones!$AA$80)&lt;=AsOfDate,IF($Q69=0,$W69,IF(AND($S69&lt;&gt;"",EDATE($D69,Milestones!$AA$80)&gt;=$S69),$V69,IF(AND($R69&lt;&gt;"",EDATE($D69,Milestones!$AA$80)&gt;=$R69),$U69,$T69)))=Milestones!$AB$80),TEXT(EDATE($D69,Milestones!$AA$80),"dd/mm/yy")&amp;" "&amp;Milestones!$AB$80&amp;" "&amp;Milestones!$AC$80&amp;";  ","")&amp;IF(AND(EDATE($D69,Milestones!$AA$81)&lt;=AsOfDate,IF($Q69=0,$W69,IF(AND($S69&lt;&gt;"",EDATE($D69,Milestones!$AA$81)&gt;=$S69),$V69,IF(AND($R69&lt;&gt;"",EDATE($D69,Milestones!$AA$81)&gt;=$R69),$U69,$T69)))=Milestones!$AB$81),TEXT(EDATE($D69,Milestones!$AA$81),"dd/mm/yy")&amp;" "&amp;Milestones!$AB$81&amp;" "&amp;Milestones!$AC$81&amp;";  ","")&amp;IF(AND(EDATE($D69,Milestones!$AA$82)&lt;=AsOfDate,IF($Q69=0,$W69,IF(AND($S69&lt;&gt;"",EDATE($D69,Milestones!$AA$82)&gt;=$S69),$V69,IF(AND($R69&lt;&gt;"",EDATE($D69,Milestones!$AA$82)&gt;=$R69),$U69,$T69)))=Milestones!$AB$82),TEXT(EDATE($D69,Milestones!$AA$82),"dd/mm/yy")&amp;" "&amp;Milestones!$AB$82&amp;" "&amp;Milestones!$AC$82&amp;";  ","")&amp;IF(AND(EDATE($D69,Milestones!$AA$83)&lt;=AsOfDate,IF($Q69=0,$W69,IF(AND($S69&lt;&gt;"",EDATE($D69,Milestones!$AA$83)&gt;=$S69),$V69,IF(AND($R69&lt;&gt;"",EDATE($D69,Milestones!$AA$83)&gt;=$R69),$U69,$T69)))=Milestones!$AB$83),TEXT(EDATE($D69,Milestones!$AA$83),"dd/mm/yy")&amp;" "&amp;Milestones!$AB$83&amp;" "&amp;Milestones!$AC$83&amp;";  ","")&amp;IF(AND(EDATE($D69,Milestones!$AA$84)&lt;=AsOfDate,IF($Q69=0,$W69,IF(AND($S69&lt;&gt;"",EDATE($D69,Milestones!$AA$84)&gt;=$S69),$V69,IF(AND($R69&lt;&gt;"",EDATE($D69,Milestones!$AA$84)&gt;=$R69),$U69,$T69)))=Milestones!$AB$84),TEXT(EDATE($D69,Milestones!$AA$84),"dd/mm/yy")&amp;" "&amp;Milestones!$AB$84&amp;" "&amp;Milestones!$AC$84&amp;";  ","")&amp;IF(AND(EDATE($D69,Milestones!$AA$85)&lt;=AsOfDate,IF($Q69=0,$W69,IF(AND($S69&lt;&gt;"",EDATE($D69,Milestones!$AA$85)&gt;=$S69),$V69,IF(AND($R69&lt;&gt;"",EDATE($D69,Milestones!$AA$85)&gt;=$R69),$U69,$T69)))=Milestones!$AB$85),TEXT(EDATE($D69,Milestones!$AA$85),"dd/mm/yy")&amp;" "&amp;Milestones!$AB$85&amp;" "&amp;Milestones!$AC$85&amp;";  ","")&amp;IF(AND(EDATE($D69,Milestones!$AA$86)&lt;=AsOfDate,IF($Q69=0,$W69,IF(AND($S69&lt;&gt;"",EDATE($D69,Milestones!$AA$86)&gt;=$S69),$V69,IF(AND($R69&lt;&gt;"",EDATE($D69,Milestones!$AA$86)&gt;=$R69),$U69,$T69)))=Milestones!$AB$86),TEXT(EDATE($D69,Milestones!$AA$86),"dd/mm/yy")&amp;" "&amp;Milestones!$AB$86&amp;" "&amp;Milestones!$AC$86&amp;";  ","")&amp;IF(AND(EDATE($D69,Milestones!$AA$87)&lt;=AsOfDate,IF($Q69=0,$W69,IF(AND($S69&lt;&gt;"",EDATE($D69,Milestones!$AA$87)&gt;=$S69),$V69,IF(AND($R69&lt;&gt;"",EDATE($D69,Milestones!$AA$87)&gt;=$R69),$U69,$T69)))=Milestones!$AB$87),TEXT(EDATE($D69,Milestones!$AA$87),"dd/mm/yy")&amp;" "&amp;Milestones!$AB$87&amp;" "&amp;Milestones!$AC$87&amp;";  ","")&amp;IF(AND(EDATE($D69,Milestones!$AA$88)&lt;=AsOfDate,IF($Q69=0,$W69,IF(AND($S69&lt;&gt;"",EDATE($D69,Milestones!$AA$88)&gt;=$S69),$V69,IF(AND($R69&lt;&gt;"",EDATE($D69,Milestones!$AA$88)&gt;=$R69),$U69,$T69)))=Milestones!$AB$88),TEXT(EDATE($D69,Milestones!$AA$88),"dd/mm/yy")&amp;" "&amp;Milestones!$AB$88&amp;" "&amp;Milestones!$AC$88&amp;";  ","")&amp;IF(AND(EDATE($D69,Milestones!$AA$89)&lt;=AsOfDate,IF($Q69=0,$W69,IF(AND($S69&lt;&gt;"",EDATE($D69,Milestones!$AA$89)&gt;=$S69),$V69,IF(AND($R69&lt;&gt;"",EDATE($D69,Milestones!$AA$89)&gt;=$R69),$U69,$T69)))=Milestones!$AB$89),TEXT(EDATE($D69,Milestones!$AA$89),"dd/mm/yy")&amp;" "&amp;Milestones!$AB$89&amp;" "&amp;Milestones!$AC$89&amp;";  ","")&amp;IF(AND(EDATE($D69,Milestones!$AA$90)&lt;=AsOfDate,IF($Q69=0,$W69,IF(AND($S69&lt;&gt;"",EDATE($D69,Milestones!$AA$90)&gt;=$S69),$V69,IF(AND($R69&lt;&gt;"",EDATE($D69,Milestones!$AA$90)&gt;=$R69),$U69,$T69)))=Milestones!$AB$90),TEXT(EDATE($D69,Milestones!$AA$90),"dd/mm/yy")&amp;" "&amp;Milestones!$AB$90&amp;" "&amp;Milestones!$AC$90&amp;";  ","")&amp;IF(AND(EDATE($D69,Milestones!$AA$91)&lt;=AsOfDate,IF($Q69=0,$W69,IF(AND($S69&lt;&gt;"",EDATE($D69,Milestones!$AA$91)&gt;=$S69),$V69,IF(AND($R69&lt;&gt;"",EDATE($D69,Milestones!$AA$91)&gt;=$R69),$U69,$T69)))=Milestones!$AB$91),TEXT(EDATE($D69,Milestones!$AA$91),"dd/mm/yy")&amp;" "&amp;Milestones!$AB$91&amp;" "&amp;Milestones!$AC$91&amp;";  ","")&amp;IF(AND(EDATE($D69,Milestones!$AA$92)&lt;=AsOfDate,IF($Q69=0,$W69,IF(AND($S69&lt;&gt;"",EDATE($D69,Milestones!$AA$92)&gt;=$S69),$V69,IF(AND($R69&lt;&gt;"",EDATE($D69,Milestones!$AA$92)&gt;=$R69),$U69,$T69)))=Milestones!$AB$92),TEXT(EDATE($D69,Milestones!$AA$92),"dd/mm/yy")&amp;" "&amp;Milestones!$AB$92&amp;" "&amp;Milestones!$AC$92&amp;";  ","")&amp;IF(AND(EDATE($D69,Milestones!$AA$93)&lt;=AsOfDate,IF($Q69=0,$W69,IF(AND($S69&lt;&gt;"",EDATE($D69,Milestones!$AA$93)&gt;=$S69),$V69,IF(AND($R69&lt;&gt;"",EDATE($D69,Milestones!$AA$93)&gt;=$R69),$U69,$T69)))=Milestones!$AB$93),TEXT(EDATE($D69,Milestones!$AA$93),"dd/mm/yy")&amp;" "&amp;Milestones!$AB$93&amp;" "&amp;Milestones!$AC$93&amp;";  ","")&amp;IF(AND(EDATE($D69,Milestones!$AA$94)&lt;=AsOfDate,IF($Q69=0,$W69,IF(AND($S69&lt;&gt;"",EDATE($D69,Milestones!$AA$94)&gt;=$S69),$V69,IF(AND($R69&lt;&gt;"",EDATE($D69,Milestones!$AA$94)&gt;=$R69),$U69,$T69)))=Milestones!$AB$94),TEXT(EDATE($D69,Milestones!$AA$94),"dd/mm/yy")&amp;" "&amp;Milestones!$AB$94&amp;" "&amp;Milestones!$AC$94&amp;";  ","")&amp;IF(AND(EDATE($D69,Milestones!$AA$95)&lt;=AsOfDate,IF($Q69=0,$W69,IF(AND($S69&lt;&gt;"",EDATE($D69,Milestones!$AA$95)&gt;=$S69),$V69,IF(AND($R69&lt;&gt;"",EDATE($D69,Milestones!$AA$95)&gt;=$R69),$U69,$T69)))=Milestones!$AB$95),TEXT(EDATE($D69,Milestones!$AA$95),"dd/mm/yy")&amp;" "&amp;Milestones!$AB$95&amp;" "&amp;Milestones!$AC$95&amp;";  ","")&amp;IF(AND(EDATE($D69,Milestones!$AA$96)&lt;=AsOfDate,IF($Q69=0,$W69,IF(AND($S69&lt;&gt;"",EDATE($D69,Milestones!$AA$96)&gt;=$S69),$V69,IF(AND($R69&lt;&gt;"",EDATE($D69,Milestones!$AA$96)&gt;=$R69),$U69,$T69)))=Milestones!$AB$96),TEXT(EDATE($D69,Milestones!$AA$96),"dd/mm/yy")&amp;" "&amp;Milestones!$AB$96&amp;" "&amp;Milestones!$AC$96&amp;";  ","")&amp;IF(AND(EDATE($D69,Milestones!$AA$97)&lt;=AsOfDate,IF($Q69=0,$W69,IF(AND($S69&lt;&gt;"",EDATE($D69,Milestones!$AA$97)&gt;=$S69),$V69,IF(AND($R69&lt;&gt;"",EDATE($D69,Milestones!$AA$97)&gt;=$R69),$U69,$T69)))=Milestones!$AB$97),TEXT(EDATE($D69,Milestones!$AA$97),"dd/mm/yy")&amp;" "&amp;Milestones!$AB$97&amp;" "&amp;Milestones!$AC$97&amp;";  ","")&amp;IF(AND(EDATE($D69,Milestones!$AA$98)&lt;=AsOfDate,IF($Q69=0,$W69,IF(AND($S69&lt;&gt;"",EDATE($D69,Milestones!$AA$98)&gt;=$S69),$V69,IF(AND($R69&lt;&gt;"",EDATE($D69,Milestones!$AA$98)&gt;=$R69),$U69,$T69)))=Milestones!$AB$98),TEXT(EDATE($D69,Milestones!$AA$98),"dd/mm/yy")&amp;" "&amp;Milestones!$AB$98&amp;" "&amp;Milestones!$AC$98&amp;";  ","")&amp;IF(AND(EDATE($D69,Milestones!$AA$99)&lt;=AsOfDate,IF($Q69=0,$W69,IF(AND($S69&lt;&gt;"",EDATE($D69,Milestones!$AA$99)&gt;=$S69),$V69,IF(AND($R69&lt;&gt;"",EDATE($D69,Milestones!$AA$99)&gt;=$R69),$U69,$T69)))=Milestones!$AB$99),TEXT(EDATE($D69,Milestones!$AA$99),"dd/mm/yy")&amp;" "&amp;Milestones!$AB$99&amp;" "&amp;Milestones!$AC$99&amp;";  ",""))</f>
        <v/>
      </c>
      <c r="L69" s="0" t="str">
        <f aca="false">IF(OR($A69="",$D69=""),"",IF(AND(EDATE($D69,Milestones!$AA$100)&lt;=AsOfDate,IF($Q69=0,$W69,IF(AND($S69&lt;&gt;"",EDATE($D69,Milestones!$AA$100)&gt;=$S69),$V69,IF(AND($R69&lt;&gt;"",EDATE($D69,Milestones!$AA$100)&gt;=$R69),$U69,$T69)))=Milestones!$AB$100),TEXT(EDATE($D69,Milestones!$AA$100),"dd/mm/yy")&amp;" "&amp;Milestones!$AB$100&amp;" "&amp;Milestones!$AC$100&amp;";  ","")&amp;IF(AND(EDATE($D69,Milestones!$AA$101)&lt;=AsOfDate,IF($Q69=0,$W69,IF(AND($S69&lt;&gt;"",EDATE($D69,Milestones!$AA$101)&gt;=$S69),$V69,IF(AND($R69&lt;&gt;"",EDATE($D69,Milestones!$AA$101)&gt;=$R69),$U69,$T69)))=Milestones!$AB$101),TEXT(EDATE($D69,Milestones!$AA$101),"dd/mm/yy")&amp;" "&amp;Milestones!$AB$101&amp;" "&amp;Milestones!$AC$101&amp;";  ","")&amp;IF(AND(EDATE($D69,Milestones!$AA$102)&lt;=AsOfDate,IF($Q69=0,$W69,IF(AND($S69&lt;&gt;"",EDATE($D69,Milestones!$AA$102)&gt;=$S69),$V69,IF(AND($R69&lt;&gt;"",EDATE($D69,Milestones!$AA$102)&gt;=$R69),$U69,$T69)))=Milestones!$AB$102),TEXT(EDATE($D69,Milestones!$AA$102),"dd/mm/yy")&amp;" "&amp;Milestones!$AB$102&amp;" "&amp;Milestones!$AC$102&amp;";  ","")&amp;IF(AND(EDATE($D69,Milestones!$AA$103)&lt;=AsOfDate,IF($Q69=0,$W69,IF(AND($S69&lt;&gt;"",EDATE($D69,Milestones!$AA$103)&gt;=$S69),$V69,IF(AND($R69&lt;&gt;"",EDATE($D69,Milestones!$AA$103)&gt;=$R69),$U69,$T69)))=Milestones!$AB$103),TEXT(EDATE($D69,Milestones!$AA$103),"dd/mm/yy")&amp;" "&amp;Milestones!$AB$103&amp;" "&amp;Milestones!$AC$103&amp;";  ","")&amp;IF(AND(EDATE($D69,Milestones!$AA$104)&lt;=AsOfDate,IF($Q69=0,$W69,IF(AND($S69&lt;&gt;"",EDATE($D69,Milestones!$AA$104)&gt;=$S69),$V69,IF(AND($R69&lt;&gt;"",EDATE($D69,Milestones!$AA$104)&gt;=$R69),$U69,$T69)))=Milestones!$AB$104),TEXT(EDATE($D69,Milestones!$AA$104),"dd/mm/yy")&amp;" "&amp;Milestones!$AB$104&amp;" "&amp;Milestones!$AC$104&amp;";  ","")&amp;IF(AND(EDATE($D69,Milestones!$AA$105)&lt;=AsOfDate,IF($Q69=0,$W69,IF(AND($S69&lt;&gt;"",EDATE($D69,Milestones!$AA$105)&gt;=$S69),$V69,IF(AND($R69&lt;&gt;"",EDATE($D69,Milestones!$AA$105)&gt;=$R69),$U69,$T69)))=Milestones!$AB$105),TEXT(EDATE($D69,Milestones!$AA$105),"dd/mm/yy")&amp;" "&amp;Milestones!$AB$105&amp;" "&amp;Milestones!$AC$105&amp;";  ","")&amp;IF(AND(EDATE($D69,Milestones!$AA$106)&lt;=AsOfDate,IF($Q69=0,$W69,IF(AND($S69&lt;&gt;"",EDATE($D69,Milestones!$AA$106)&gt;=$S69),$V69,IF(AND($R69&lt;&gt;"",EDATE($D69,Milestones!$AA$106)&gt;=$R69),$U69,$T69)))=Milestones!$AB$106),TEXT(EDATE($D69,Milestones!$AA$106),"dd/mm/yy")&amp;" "&amp;Milestones!$AB$106&amp;" "&amp;Milestones!$AC$106&amp;";  ","")&amp;IF(AND(EDATE($D69,Milestones!$AA$107)&lt;=AsOfDate,IF($Q69=0,$W69,IF(AND($S69&lt;&gt;"",EDATE($D69,Milestones!$AA$107)&gt;=$S69),$V69,IF(AND($R69&lt;&gt;"",EDATE($D69,Milestones!$AA$107)&gt;=$R69),$U69,$T69)))=Milestones!$AB$107),TEXT(EDATE($D69,Milestones!$AA$107),"dd/mm/yy")&amp;" "&amp;Milestones!$AB$107&amp;" "&amp;Milestones!$AC$107&amp;";  ","")&amp;IF(AND(EDATE($D69,Milestones!$AA$108)&lt;=AsOfDate,IF($Q69=0,$W69,IF(AND($S69&lt;&gt;"",EDATE($D69,Milestones!$AA$108)&gt;=$S69),$V69,IF(AND($R69&lt;&gt;"",EDATE($D69,Milestones!$AA$108)&gt;=$R69),$U69,$T69)))=Milestones!$AB$108),TEXT(EDATE($D69,Milestones!$AA$108),"dd/mm/yy")&amp;" "&amp;Milestones!$AB$108&amp;" "&amp;Milestones!$AC$108&amp;";  ","")&amp;IF(AND(EDATE($D69,Milestones!$AA$109)&lt;=AsOfDate,IF($Q69=0,$W69,IF(AND($S69&lt;&gt;"",EDATE($D69,Milestones!$AA$109)&gt;=$S69),$V69,IF(AND($R69&lt;&gt;"",EDATE($D69,Milestones!$AA$109)&gt;=$R69),$U69,$T69)))=Milestones!$AB$109),TEXT(EDATE($D69,Milestones!$AA$109),"dd/mm/yy")&amp;" "&amp;Milestones!$AB$109&amp;" "&amp;Milestones!$AC$109&amp;";  ","")&amp;IF(AND(EDATE($D69,Milestones!$AA$110)&lt;=AsOfDate,IF($Q69=0,$W69,IF(AND($S69&lt;&gt;"",EDATE($D69,Milestones!$AA$110)&gt;=$S69),$V69,IF(AND($R69&lt;&gt;"",EDATE($D69,Milestones!$AA$110)&gt;=$R69),$U69,$T69)))=Milestones!$AB$110),TEXT(EDATE($D69,Milestones!$AA$110),"dd/mm/yy")&amp;" "&amp;Milestones!$AB$110&amp;" "&amp;Milestones!$AC$110&amp;";  ","")&amp;IF(AND(EDATE($D69,Milestones!$AA$111)&lt;=AsOfDate,IF($Q69=0,$W69,IF(AND($S69&lt;&gt;"",EDATE($D69,Milestones!$AA$111)&gt;=$S69),$V69,IF(AND($R69&lt;&gt;"",EDATE($D69,Milestones!$AA$111)&gt;=$R69),$U69,$T69)))=Milestones!$AB$111),TEXT(EDATE($D69,Milestones!$AA$111),"dd/mm/yy")&amp;" "&amp;Milestones!$AB$111&amp;" "&amp;Milestones!$AC$111&amp;";  ","")&amp;IF(AND(EDATE($D69,Milestones!$AA$112)&lt;=AsOfDate,IF($Q69=0,$W69,IF(AND($S69&lt;&gt;"",EDATE($D69,Milestones!$AA$112)&gt;=$S69),$V69,IF(AND($R69&lt;&gt;"",EDATE($D69,Milestones!$AA$112)&gt;=$R69),$U69,$T69)))=Milestones!$AB$112),TEXT(EDATE($D69,Milestones!$AA$112),"dd/mm/yy")&amp;" "&amp;Milestones!$AB$112&amp;" "&amp;Milestones!$AC$112&amp;";  ","")&amp;IF(AND(EDATE($D69,Milestones!$AA$113)&lt;=AsOfDate,IF($Q69=0,$W69,IF(AND($S69&lt;&gt;"",EDATE($D69,Milestones!$AA$113)&gt;=$S69),$V69,IF(AND($R69&lt;&gt;"",EDATE($D69,Milestones!$AA$113)&gt;=$R69),$U69,$T69)))=Milestones!$AB$113),TEXT(EDATE($D69,Milestones!$AA$113),"dd/mm/yy")&amp;" "&amp;Milestones!$AB$113&amp;" "&amp;Milestones!$AC$113&amp;";  ","")&amp;IF(AND(EDATE($D69,Milestones!$AA$114)&lt;=AsOfDate,IF($Q69=0,$W69,IF(AND($S69&lt;&gt;"",EDATE($D69,Milestones!$AA$114)&gt;=$S69),$V69,IF(AND($R69&lt;&gt;"",EDATE($D69,Milestones!$AA$114)&gt;=$R69),$U69,$T69)))=Milestones!$AB$114),TEXT(EDATE($D69,Milestones!$AA$114),"dd/mm/yy")&amp;" "&amp;Milestones!$AB$114&amp;" "&amp;Milestones!$AC$114&amp;";  ","")&amp;IF(AND(EDATE($D69,Milestones!$AA$115)&lt;=AsOfDate,IF($Q69=0,$W69,IF(AND($S69&lt;&gt;"",EDATE($D69,Milestones!$AA$115)&gt;=$S69),$V69,IF(AND($R69&lt;&gt;"",EDATE($D69,Milestones!$AA$115)&gt;=$R69),$U69,$T69)))=Milestones!$AB$115),TEXT(EDATE($D69,Milestones!$AA$115),"dd/mm/yy")&amp;" "&amp;Milestones!$AB$115&amp;" "&amp;Milestones!$AC$115&amp;";  ","")&amp;IF(AND(EDATE($D69,Milestones!$AA$116)&lt;=AsOfDate,IF($Q69=0,$W69,IF(AND($S69&lt;&gt;"",EDATE($D69,Milestones!$AA$116)&gt;=$S69),$V69,IF(AND($R69&lt;&gt;"",EDATE($D69,Milestones!$AA$116)&gt;=$R69),$U69,$T69)))=Milestones!$AB$116),TEXT(EDATE($D69,Milestones!$AA$116),"dd/mm/yy")&amp;" "&amp;Milestones!$AB$116&amp;" "&amp;Milestones!$AC$116&amp;";  ","")&amp;IF(AND(EDATE($D69,Milestones!$AA$117)&lt;=AsOfDate,IF($Q69=0,$W69,IF(AND($S69&lt;&gt;"",EDATE($D69,Milestones!$AA$117)&gt;=$S69),$V69,IF(AND($R69&lt;&gt;"",EDATE($D69,Milestones!$AA$117)&gt;=$R69),$U69,$T69)))=Milestones!$AB$117),TEXT(EDATE($D69,Milestones!$AA$117),"dd/mm/yy")&amp;" "&amp;Milestones!$AB$117&amp;" "&amp;Milestones!$AC$117&amp;";  ","")&amp;IF(AND(EDATE($D69,Milestones!$AA$118)&lt;=AsOfDate,IF($Q69=0,$W69,IF(AND($S69&lt;&gt;"",EDATE($D69,Milestones!$AA$118)&gt;=$S69),$V69,IF(AND($R69&lt;&gt;"",EDATE($D69,Milestones!$AA$118)&gt;=$R69),$U69,$T69)))=Milestones!$AB$118),TEXT(EDATE($D69,Milestones!$AA$118),"dd/mm/yy")&amp;" "&amp;Milestones!$AB$118&amp;" "&amp;Milestones!$AC$118&amp;";  ","")&amp;IF(AND(EDATE($D69,Milestones!$AA$119)&lt;=AsOfDate,IF($Q69=0,$W69,IF(AND($S69&lt;&gt;"",EDATE($D69,Milestones!$AA$119)&gt;=$S69),$V69,IF(AND($R69&lt;&gt;"",EDATE($D69,Milestones!$AA$119)&gt;=$R69),$U69,$T69)))=Milestones!$AB$119),TEXT(EDATE($D69,Milestones!$AA$119),"dd/mm/yy")&amp;" "&amp;Milestones!$AB$119&amp;" "&amp;Milestones!$AC$119&amp;";  ",""))</f>
        <v/>
      </c>
      <c r="M69" s="0" t="str">
        <f aca="false">IF(OR($A69="",$D69=""),"",IF(AND(EDATE($D69,Milestones!$AA$120)&lt;=AsOfDate,IF($Q69=0,$W69,IF(AND($S69&lt;&gt;"",EDATE($D69,Milestones!$AA$120)&gt;=$S69),$V69,IF(AND($R69&lt;&gt;"",EDATE($D69,Milestones!$AA$120)&gt;=$R69),$U69,$T69)))=Milestones!$AB$120),TEXT(EDATE($D69,Milestones!$AA$120),"dd/mm/yy")&amp;" "&amp;Milestones!$AB$120&amp;" "&amp;Milestones!$AC$120&amp;";  ","")&amp;IF(AND(EDATE($D69,Milestones!$AA$121)&lt;=AsOfDate,IF($Q69=0,$W69,IF(AND($S69&lt;&gt;"",EDATE($D69,Milestones!$AA$121)&gt;=$S69),$V69,IF(AND($R69&lt;&gt;"",EDATE($D69,Milestones!$AA$121)&gt;=$R69),$U69,$T69)))=Milestones!$AB$121),TEXT(EDATE($D69,Milestones!$AA$121),"dd/mm/yy")&amp;" "&amp;Milestones!$AB$121&amp;" "&amp;Milestones!$AC$121&amp;";  ","")&amp;IF(AND(EDATE($D69,Milestones!$AA$122)&lt;=AsOfDate,IF($Q69=0,$W69,IF(AND($S69&lt;&gt;"",EDATE($D69,Milestones!$AA$122)&gt;=$S69),$V69,IF(AND($R69&lt;&gt;"",EDATE($D69,Milestones!$AA$122)&gt;=$R69),$U69,$T69)))=Milestones!$AB$122),TEXT(EDATE($D69,Milestones!$AA$122),"dd/mm/yy")&amp;" "&amp;Milestones!$AB$122&amp;" "&amp;Milestones!$AC$122&amp;";  ","")&amp;IF(AND(EDATE($D69,Milestones!$AA$123)&lt;=AsOfDate,IF($Q69=0,$W69,IF(AND($S69&lt;&gt;"",EDATE($D69,Milestones!$AA$123)&gt;=$S69),$V69,IF(AND($R69&lt;&gt;"",EDATE($D69,Milestones!$AA$123)&gt;=$R69),$U69,$T69)))=Milestones!$AB$123),TEXT(EDATE($D69,Milestones!$AA$123),"dd/mm/yy")&amp;" "&amp;Milestones!$AB$123&amp;" "&amp;Milestones!$AC$123&amp;";  ","")&amp;IF(AND(EDATE($D69,Milestones!$AA$124)&lt;=AsOfDate,IF($Q69=0,$W69,IF(AND($S69&lt;&gt;"",EDATE($D69,Milestones!$AA$124)&gt;=$S69),$V69,IF(AND($R69&lt;&gt;"",EDATE($D69,Milestones!$AA$124)&gt;=$R69),$U69,$T69)))=Milestones!$AB$124),TEXT(EDATE($D69,Milestones!$AA$124),"dd/mm/yy")&amp;" "&amp;Milestones!$AB$124&amp;" "&amp;Milestones!$AC$124&amp;";  ","")&amp;IF(AND(EDATE($D69,Milestones!$AA$125)&lt;=AsOfDate,IF($Q69=0,$W69,IF(AND($S69&lt;&gt;"",EDATE($D69,Milestones!$AA$125)&gt;=$S69),$V69,IF(AND($R69&lt;&gt;"",EDATE($D69,Milestones!$AA$125)&gt;=$R69),$U69,$T69)))=Milestones!$AB$125),TEXT(EDATE($D69,Milestones!$AA$125),"dd/mm/yy")&amp;" "&amp;Milestones!$AB$125&amp;" "&amp;Milestones!$AC$125&amp;";  ","")&amp;IF(AND(EDATE($D69,Milestones!$AA$126)&lt;=AsOfDate,IF($Q69=0,$W69,IF(AND($S69&lt;&gt;"",EDATE($D69,Milestones!$AA$126)&gt;=$S69),$V69,IF(AND($R69&lt;&gt;"",EDATE($D69,Milestones!$AA$126)&gt;=$R69),$U69,$T69)))=Milestones!$AB$126),TEXT(EDATE($D69,Milestones!$AA$126),"dd/mm/yy")&amp;" "&amp;Milestones!$AB$126&amp;" "&amp;Milestones!$AC$126&amp;";  ","")&amp;IF(AND(EDATE($D69,Milestones!$AA$127)&lt;=AsOfDate,IF($Q69=0,$W69,IF(AND($S69&lt;&gt;"",EDATE($D69,Milestones!$AA$127)&gt;=$S69),$V69,IF(AND($R69&lt;&gt;"",EDATE($D69,Milestones!$AA$127)&gt;=$R69),$U69,$T69)))=Milestones!$AB$127),TEXT(EDATE($D69,Milestones!$AA$127),"dd/mm/yy")&amp;" "&amp;Milestones!$AB$127&amp;" "&amp;Milestones!$AC$127&amp;";  ","")&amp;IF(AND(EDATE($D69,Milestones!$AA$128)&lt;=AsOfDate,IF($Q69=0,$W69,IF(AND($S69&lt;&gt;"",EDATE($D69,Milestones!$AA$128)&gt;=$S69),$V69,IF(AND($R69&lt;&gt;"",EDATE($D69,Milestones!$AA$128)&gt;=$R69),$U69,$T69)))=Milestones!$AB$128),TEXT(EDATE($D69,Milestones!$AA$128),"dd/mm/yy")&amp;" "&amp;Milestones!$AB$128&amp;" "&amp;Milestones!$AC$128&amp;";  ","")&amp;IF(AND(EDATE($D69,Milestones!$AA$129)&lt;=AsOfDate,IF($Q69=0,$W69,IF(AND($S69&lt;&gt;"",EDATE($D69,Milestones!$AA$129)&gt;=$S69),$V69,IF(AND($R69&lt;&gt;"",EDATE($D69,Milestones!$AA$129)&gt;=$R69),$U69,$T69)))=Milestones!$AB$129),TEXT(EDATE($D69,Milestones!$AA$129),"dd/mm/yy")&amp;" "&amp;Milestones!$AB$129&amp;" "&amp;Milestones!$AC$129&amp;";  ","")&amp;IF(AND(EDATE($D69,Milestones!$AA$130)&lt;=AsOfDate,IF($Q69=0,$W69,IF(AND($S69&lt;&gt;"",EDATE($D69,Milestones!$AA$130)&gt;=$S69),$V69,IF(AND($R69&lt;&gt;"",EDATE($D69,Milestones!$AA$130)&gt;=$R69),$U69,$T69)))=Milestones!$AB$130),TEXT(EDATE($D69,Milestones!$AA$130),"dd/mm/yy")&amp;" "&amp;Milestones!$AB$130&amp;" "&amp;Milestones!$AC$130&amp;";  ","")&amp;IF(AND(EDATE($D69,Milestones!$AA$131)&lt;=AsOfDate,IF($Q69=0,$W69,IF(AND($S69&lt;&gt;"",EDATE($D69,Milestones!$AA$131)&gt;=$S69),$V69,IF(AND($R69&lt;&gt;"",EDATE($D69,Milestones!$AA$131)&gt;=$R69),$U69,$T69)))=Milestones!$AB$131),TEXT(EDATE($D69,Milestones!$AA$131),"dd/mm/yy")&amp;" "&amp;Milestones!$AB$131&amp;" "&amp;Milestones!$AC$131&amp;";  ","")&amp;IF(AND(EDATE($D69,Milestones!$AA$132)&lt;=AsOfDate,IF($Q69=0,$W69,IF(AND($S69&lt;&gt;"",EDATE($D69,Milestones!$AA$132)&gt;=$S69),$V69,IF(AND($R69&lt;&gt;"",EDATE($D69,Milestones!$AA$132)&gt;=$R69),$U69,$T69)))=Milestones!$AB$132),TEXT(EDATE($D69,Milestones!$AA$132),"dd/mm/yy")&amp;" "&amp;Milestones!$AB$132&amp;" "&amp;Milestones!$AC$132&amp;";  ","")&amp;IF(AND(EDATE($D69,Milestones!$AA$133)&lt;=AsOfDate,IF($Q69=0,$W69,IF(AND($S69&lt;&gt;"",EDATE($D69,Milestones!$AA$133)&gt;=$S69),$V69,IF(AND($R69&lt;&gt;"",EDATE($D69,Milestones!$AA$133)&gt;=$R69),$U69,$T69)))=Milestones!$AB$133),TEXT(EDATE($D69,Milestones!$AA$133),"dd/mm/yy")&amp;" "&amp;Milestones!$AB$133&amp;" "&amp;Milestones!$AC$133&amp;";  ","")&amp;IF(AND(EDATE($D69,Milestones!$AA$134)&lt;=AsOfDate,IF($Q69=0,$W69,IF(AND($S69&lt;&gt;"",EDATE($D69,Milestones!$AA$134)&gt;=$S69),$V69,IF(AND($R69&lt;&gt;"",EDATE($D69,Milestones!$AA$134)&gt;=$R69),$U69,$T69)))=Milestones!$AB$134),TEXT(EDATE($D69,Milestones!$AA$134),"dd/mm/yy")&amp;" "&amp;Milestones!$AB$134&amp;" "&amp;Milestones!$AC$134&amp;";  ","")&amp;IF(AND(EDATE($D69,Milestones!$AA$135)&lt;=AsOfDate,IF($Q69=0,$W69,IF(AND($S69&lt;&gt;"",EDATE($D69,Milestones!$AA$135)&gt;=$S69),$V69,IF(AND($R69&lt;&gt;"",EDATE($D69,Milestones!$AA$135)&gt;=$R69),$U69,$T69)))=Milestones!$AB$135),TEXT(EDATE($D69,Milestones!$AA$135),"dd/mm/yy")&amp;" "&amp;Milestones!$AB$135&amp;" "&amp;Milestones!$AC$135&amp;";  ","")&amp;IF(AND(EDATE($D69,Milestones!$AA$136)&lt;=AsOfDate,IF($Q69=0,$W69,IF(AND($S69&lt;&gt;"",EDATE($D69,Milestones!$AA$136)&gt;=$S69),$V69,IF(AND($R69&lt;&gt;"",EDATE($D69,Milestones!$AA$136)&gt;=$R69),$U69,$T69)))=Milestones!$AB$136),TEXT(EDATE($D69,Milestones!$AA$136),"dd/mm/yy")&amp;" "&amp;Milestones!$AB$136&amp;" "&amp;Milestones!$AC$136&amp;";  ","")&amp;IF(AND(EDATE($D69,Milestones!$AA$137)&lt;=AsOfDate,IF($Q69=0,$W69,IF(AND($S69&lt;&gt;"",EDATE($D69,Milestones!$AA$137)&gt;=$S69),$V69,IF(AND($R69&lt;&gt;"",EDATE($D69,Milestones!$AA$137)&gt;=$R69),$U69,$T69)))=Milestones!$AB$137),TEXT(EDATE($D69,Milestones!$AA$137),"dd/mm/yy")&amp;" "&amp;Milestones!$AB$137&amp;" "&amp;Milestones!$AC$137&amp;";  ","")&amp;IF(AND(EDATE($D69,Milestones!$AA$138)&lt;=AsOfDate,IF($Q69=0,$W69,IF(AND($S69&lt;&gt;"",EDATE($D69,Milestones!$AA$138)&gt;=$S69),$V69,IF(AND($R69&lt;&gt;"",EDATE($D69,Milestones!$AA$138)&gt;=$R69),$U69,$T69)))=Milestones!$AB$138),TEXT(EDATE($D69,Milestones!$AA$138),"dd/mm/yy")&amp;" "&amp;Milestones!$AB$138&amp;" "&amp;Milestones!$AC$138&amp;";  ","")&amp;IF(AND(EDATE($D69,Milestones!$AA$139)&lt;=AsOfDate,IF($Q69=0,$W69,IF(AND($S69&lt;&gt;"",EDATE($D69,Milestones!$AA$139)&gt;=$S69),$V69,IF(AND($R69&lt;&gt;"",EDATE($D69,Milestones!$AA$139)&gt;=$R69),$U69,$T69)))=Milestones!$AB$139),TEXT(EDATE($D69,Milestones!$AA$139),"dd/mm/yy")&amp;" "&amp;Milestones!$AB$139&amp;" "&amp;Milestones!$AC$139&amp;";  ",""))</f>
        <v/>
      </c>
      <c r="N69" s="0" t="str">
        <f aca="false">IF(OR($A69="",$D69=""),"",IF(AND(EDATE($D69,Milestones!$AA$140)&lt;=AsOfDate,IF($Q69=0,$W69,IF(AND($S69&lt;&gt;"",EDATE($D69,Milestones!$AA$140)&gt;=$S69),$V69,IF(AND($R69&lt;&gt;"",EDATE($D69,Milestones!$AA$140)&gt;=$R69),$U69,$T69)))=Milestones!$AB$140),TEXT(EDATE($D69,Milestones!$AA$140),"dd/mm/yy")&amp;" "&amp;Milestones!$AB$140&amp;" "&amp;Milestones!$AC$140&amp;";  ","")&amp;IF(AND(EDATE($D69,Milestones!$AA$141)&lt;=AsOfDate,IF($Q69=0,$W69,IF(AND($S69&lt;&gt;"",EDATE($D69,Milestones!$AA$141)&gt;=$S69),$V69,IF(AND($R69&lt;&gt;"",EDATE($D69,Milestones!$AA$141)&gt;=$R69),$U69,$T69)))=Milestones!$AB$141),TEXT(EDATE($D69,Milestones!$AA$141),"dd/mm/yy")&amp;" "&amp;Milestones!$AB$141&amp;" "&amp;Milestones!$AC$141&amp;";  ","")&amp;IF(AND(EDATE($D69,Milestones!$AA$142)&lt;=AsOfDate,IF($Q69=0,$W69,IF(AND($S69&lt;&gt;"",EDATE($D69,Milestones!$AA$142)&gt;=$S69),$V69,IF(AND($R69&lt;&gt;"",EDATE($D69,Milestones!$AA$142)&gt;=$R69),$U69,$T69)))=Milestones!$AB$142),TEXT(EDATE($D69,Milestones!$AA$142),"dd/mm/yy")&amp;" "&amp;Milestones!$AB$142&amp;" "&amp;Milestones!$AC$142&amp;";  ","")&amp;IF(AND(EDATE($D69,Milestones!$AA$143)&lt;=AsOfDate,IF($Q69=0,$W69,IF(AND($S69&lt;&gt;"",EDATE($D69,Milestones!$AA$143)&gt;=$S69),$V69,IF(AND($R69&lt;&gt;"",EDATE($D69,Milestones!$AA$143)&gt;=$R69),$U69,$T69)))=Milestones!$AB$143),TEXT(EDATE($D69,Milestones!$AA$143),"dd/mm/yy")&amp;" "&amp;Milestones!$AB$143&amp;" "&amp;Milestones!$AC$143&amp;";  ","")&amp;IF(AND(EDATE($D69,Milestones!$AA$144)&lt;=AsOfDate,IF($Q69=0,$W69,IF(AND($S69&lt;&gt;"",EDATE($D69,Milestones!$AA$144)&gt;=$S69),$V69,IF(AND($R69&lt;&gt;"",EDATE($D69,Milestones!$AA$144)&gt;=$R69),$U69,$T69)))=Milestones!$AB$144),TEXT(EDATE($D69,Milestones!$AA$144),"dd/mm/yy")&amp;" "&amp;Milestones!$AB$144&amp;" "&amp;Milestones!$AC$144&amp;";  ","")&amp;IF(AND(EDATE($D69,Milestones!$AA$145)&lt;=AsOfDate,IF($Q69=0,$W69,IF(AND($S69&lt;&gt;"",EDATE($D69,Milestones!$AA$145)&gt;=$S69),$V69,IF(AND($R69&lt;&gt;"",EDATE($D69,Milestones!$AA$145)&gt;=$R69),$U69,$T69)))=Milestones!$AB$145),TEXT(EDATE($D69,Milestones!$AA$145),"dd/mm/yy")&amp;" "&amp;Milestones!$AB$145&amp;" "&amp;Milestones!$AC$145&amp;";  ","")&amp;IF(AND(EDATE($D69,Milestones!$AA$146)&lt;=AsOfDate,IF($Q69=0,$W69,IF(AND($S69&lt;&gt;"",EDATE($D69,Milestones!$AA$146)&gt;=$S69),$V69,IF(AND($R69&lt;&gt;"",EDATE($D69,Milestones!$AA$146)&gt;=$R69),$U69,$T69)))=Milestones!$AB$146),TEXT(EDATE($D69,Milestones!$AA$146),"dd/mm/yy")&amp;" "&amp;Milestones!$AB$146&amp;" "&amp;Milestones!$AC$146&amp;";  ","")&amp;IF(AND(EDATE($D69,Milestones!$AA$147)&lt;=AsOfDate,IF($Q69=0,$W69,IF(AND($S69&lt;&gt;"",EDATE($D69,Milestones!$AA$147)&gt;=$S69),$V69,IF(AND($R69&lt;&gt;"",EDATE($D69,Milestones!$AA$147)&gt;=$R69),$U69,$T69)))=Milestones!$AB$147),TEXT(EDATE($D69,Milestones!$AA$147),"dd/mm/yy")&amp;" "&amp;Milestones!$AB$147&amp;" "&amp;Milestones!$AC$147&amp;";  ","")&amp;IF(AND(EDATE($D69,Milestones!$AA$148)&lt;=AsOfDate,IF($Q69=0,$W69,IF(AND($S69&lt;&gt;"",EDATE($D69,Milestones!$AA$148)&gt;=$S69),$V69,IF(AND($R69&lt;&gt;"",EDATE($D69,Milestones!$AA$148)&gt;=$R69),$U69,$T69)))=Milestones!$AB$148),TEXT(EDATE($D69,Milestones!$AA$148),"dd/mm/yy")&amp;" "&amp;Milestones!$AB$148&amp;" "&amp;Milestones!$AC$148&amp;";  ","")&amp;IF(AND(EDATE($D69,Milestones!$AA$149)&lt;=AsOfDate,IF($Q69=0,$W69,IF(AND($S69&lt;&gt;"",EDATE($D69,Milestones!$AA$149)&gt;=$S69),$V69,IF(AND($R69&lt;&gt;"",EDATE($D69,Milestones!$AA$149)&gt;=$R69),$U69,$T69)))=Milestones!$AB$149),TEXT(EDATE($D69,Milestones!$AA$149),"dd/mm/yy")&amp;" "&amp;Milestones!$AB$149&amp;" "&amp;Milestones!$AC$149&amp;";  ","")&amp;IF(AND(EDATE($D69,Milestones!$AA$150)&lt;=AsOfDate,IF($Q69=0,$W69,IF(AND($S69&lt;&gt;"",EDATE($D69,Milestones!$AA$150)&gt;=$S69),$V69,IF(AND($R69&lt;&gt;"",EDATE($D69,Milestones!$AA$150)&gt;=$R69),$U69,$T69)))=Milestones!$AB$150),TEXT(EDATE($D69,Milestones!$AA$150),"dd/mm/yy")&amp;" "&amp;Milestones!$AB$150&amp;" "&amp;Milestones!$AC$150&amp;";  ","")&amp;IF(AND(EDATE($D69,Milestones!$AA$151)&lt;=AsOfDate,IF($Q69=0,$W69,IF(AND($S69&lt;&gt;"",EDATE($D69,Milestones!$AA$151)&gt;=$S69),$V69,IF(AND($R69&lt;&gt;"",EDATE($D69,Milestones!$AA$151)&gt;=$R69),$U69,$T69)))=Milestones!$AB$151),TEXT(EDATE($D69,Milestones!$AA$151),"dd/mm/yy")&amp;" "&amp;Milestones!$AB$151&amp;" "&amp;Milestones!$AC$151&amp;";  ","")&amp;IF(AND(EDATE($D69,Milestones!$AA$152)&lt;=AsOfDate,IF($Q69=0,$W69,IF(AND($S69&lt;&gt;"",EDATE($D69,Milestones!$AA$152)&gt;=$S69),$V69,IF(AND($R69&lt;&gt;"",EDATE($D69,Milestones!$AA$152)&gt;=$R69),$U69,$T69)))=Milestones!$AB$152),TEXT(EDATE($D69,Milestones!$AA$152),"dd/mm/yy")&amp;" "&amp;Milestones!$AB$152&amp;" "&amp;Milestones!$AC$152&amp;";  ","")&amp;IF(AND(EDATE($D69,Milestones!$AA$153)&lt;=AsOfDate,IF($Q69=0,$W69,IF(AND($S69&lt;&gt;"",EDATE($D69,Milestones!$AA$153)&gt;=$S69),$V69,IF(AND($R69&lt;&gt;"",EDATE($D69,Milestones!$AA$153)&gt;=$R69),$U69,$T69)))=Milestones!$AB$153),TEXT(EDATE($D69,Milestones!$AA$153),"dd/mm/yy")&amp;" "&amp;Milestones!$AB$153&amp;" "&amp;Milestones!$AC$153&amp;";  ","")&amp;IF(AND(EDATE($D69,Milestones!$AA$154)&lt;=AsOfDate,IF($Q69=0,$W69,IF(AND($S69&lt;&gt;"",EDATE($D69,Milestones!$AA$154)&gt;=$S69),$V69,IF(AND($R69&lt;&gt;"",EDATE($D69,Milestones!$AA$154)&gt;=$R69),$U69,$T69)))=Milestones!$AB$154),TEXT(EDATE($D69,Milestones!$AA$154),"dd/mm/yy")&amp;" "&amp;Milestones!$AB$154&amp;" "&amp;Milestones!$AC$154&amp;";  ","")&amp;IF(AND(EDATE($D69,Milestones!$AA$155)&lt;=AsOfDate,IF($Q69=0,$W69,IF(AND($S69&lt;&gt;"",EDATE($D69,Milestones!$AA$155)&gt;=$S69),$V69,IF(AND($R69&lt;&gt;"",EDATE($D69,Milestones!$AA$155)&gt;=$R69),$U69,$T69)))=Milestones!$AB$155),TEXT(EDATE($D69,Milestones!$AA$155),"dd/mm/yy")&amp;" "&amp;Milestones!$AB$155&amp;" "&amp;Milestones!$AC$155&amp;";  ","")&amp;IF(AND(EDATE($D69,Milestones!$AA$156)&lt;=AsOfDate,IF($Q69=0,$W69,IF(AND($S69&lt;&gt;"",EDATE($D69,Milestones!$AA$156)&gt;=$S69),$V69,IF(AND($R69&lt;&gt;"",EDATE($D69,Milestones!$AA$156)&gt;=$R69),$U69,$T69)))=Milestones!$AB$156),TEXT(EDATE($D69,Milestones!$AA$156),"dd/mm/yy")&amp;" "&amp;Milestones!$AB$156&amp;" "&amp;Milestones!$AC$156&amp;";  ","")&amp;IF(AND(EDATE($D69,Milestones!$AA$157)&lt;=AsOfDate,IF($Q69=0,$W69,IF(AND($S69&lt;&gt;"",EDATE($D69,Milestones!$AA$157)&gt;=$S69),$V69,IF(AND($R69&lt;&gt;"",EDATE($D69,Milestones!$AA$157)&gt;=$R69),$U69,$T69)))=Milestones!$AB$157),TEXT(EDATE($D69,Milestones!$AA$157),"dd/mm/yy")&amp;" "&amp;Milestones!$AB$157&amp;" "&amp;Milestones!$AC$157&amp;";  ","")&amp;IF(AND(EDATE($D69,Milestones!$AA$158)&lt;=AsOfDate,IF($Q69=0,$W69,IF(AND($S69&lt;&gt;"",EDATE($D69,Milestones!$AA$158)&gt;=$S69),$V69,IF(AND($R69&lt;&gt;"",EDATE($D69,Milestones!$AA$158)&gt;=$R69),$U69,$T69)))=Milestones!$AB$158),TEXT(EDATE($D69,Milestones!$AA$158),"dd/mm/yy")&amp;" "&amp;Milestones!$AB$158&amp;" "&amp;Milestones!$AC$158&amp;";  ","")&amp;IF(AND(EDATE($D69,Milestones!$AA$159)&lt;=AsOfDate,IF($Q69=0,$W69,IF(AND($S69&lt;&gt;"",EDATE($D69,Milestones!$AA$159)&gt;=$S69),$V69,IF(AND($R69&lt;&gt;"",EDATE($D69,Milestones!$AA$159)&gt;=$R69),$U69,$T69)))=Milestones!$AB$159),TEXT(EDATE($D69,Milestones!$AA$159),"dd/mm/yy")&amp;" "&amp;Milestones!$AB$159&amp;" "&amp;Milestones!$AC$159&amp;";  ",""))</f>
        <v/>
      </c>
      <c r="O69" s="0" t="str">
        <f aca="false">IF(OR($A69="",$D69=""),"",IF(AND(EDATE($D69,Milestones!$AA$160)&lt;=AsOfDate,IF($Q69=0,$W69,IF(AND($S69&lt;&gt;"",EDATE($D69,Milestones!$AA$160)&gt;=$S69),$V69,IF(AND($R69&lt;&gt;"",EDATE($D69,Milestones!$AA$160)&gt;=$R69),$U69,$T69)))=Milestones!$AB$160),TEXT(EDATE($D69,Milestones!$AA$160),"dd/mm/yy")&amp;" "&amp;Milestones!$AB$160&amp;" "&amp;Milestones!$AC$160&amp;";  ","")&amp;IF(AND(EDATE($D69,Milestones!$AA$161)&lt;=AsOfDate,IF($Q69=0,$W69,IF(AND($S69&lt;&gt;"",EDATE($D69,Milestones!$AA$161)&gt;=$S69),$V69,IF(AND($R69&lt;&gt;"",EDATE($D69,Milestones!$AA$161)&gt;=$R69),$U69,$T69)))=Milestones!$AB$161),TEXT(EDATE($D69,Milestones!$AA$161),"dd/mm/yy")&amp;" "&amp;Milestones!$AB$161&amp;" "&amp;Milestones!$AC$161&amp;";  ","")&amp;IF(AND(EDATE($D69,Milestones!$AA$162)&lt;=AsOfDate,IF($Q69=0,$W69,IF(AND($S69&lt;&gt;"",EDATE($D69,Milestones!$AA$162)&gt;=$S69),$V69,IF(AND($R69&lt;&gt;"",EDATE($D69,Milestones!$AA$162)&gt;=$R69),$U69,$T69)))=Milestones!$AB$162),TEXT(EDATE($D69,Milestones!$AA$162),"dd/mm/yy")&amp;" "&amp;Milestones!$AB$162&amp;" "&amp;Milestones!$AC$162&amp;";  ","")&amp;IF(AND(EDATE($D69,Milestones!$AA$163)&lt;=AsOfDate,IF($Q69=0,$W69,IF(AND($S69&lt;&gt;"",EDATE($D69,Milestones!$AA$163)&gt;=$S69),$V69,IF(AND($R69&lt;&gt;"",EDATE($D69,Milestones!$AA$163)&gt;=$R69),$U69,$T69)))=Milestones!$AB$163),TEXT(EDATE($D69,Milestones!$AA$163),"dd/mm/yy")&amp;" "&amp;Milestones!$AB$163&amp;" "&amp;Milestones!$AC$163&amp;";  ","")&amp;IF(AND(EDATE($D69,Milestones!$AA$164)&lt;=AsOfDate,IF($Q69=0,$W69,IF(AND($S69&lt;&gt;"",EDATE($D69,Milestones!$AA$164)&gt;=$S69),$V69,IF(AND($R69&lt;&gt;"",EDATE($D69,Milestones!$AA$164)&gt;=$R69),$U69,$T69)))=Milestones!$AB$164),TEXT(EDATE($D69,Milestones!$AA$164),"dd/mm/yy")&amp;" "&amp;Milestones!$AB$164&amp;" "&amp;Milestones!$AC$164&amp;";  ","")&amp;IF(AND(EDATE($D69,Milestones!$AA$165)&lt;=AsOfDate,IF($Q69=0,$W69,IF(AND($S69&lt;&gt;"",EDATE($D69,Milestones!$AA$165)&gt;=$S69),$V69,IF(AND($R69&lt;&gt;"",EDATE($D69,Milestones!$AA$165)&gt;=$R69),$U69,$T69)))=Milestones!$AB$165),TEXT(EDATE($D69,Milestones!$AA$165),"dd/mm/yy")&amp;" "&amp;Milestones!$AB$165&amp;" "&amp;Milestones!$AC$165&amp;";  ","")&amp;IF(AND(EDATE($D69,Milestones!$AA$166)&lt;=AsOfDate,IF($Q69=0,$W69,IF(AND($S69&lt;&gt;"",EDATE($D69,Milestones!$AA$166)&gt;=$S69),$V69,IF(AND($R69&lt;&gt;"",EDATE($D69,Milestones!$AA$166)&gt;=$R69),$U69,$T69)))=Milestones!$AB$166),TEXT(EDATE($D69,Milestones!$AA$166),"dd/mm/yy")&amp;" "&amp;Milestones!$AB$166&amp;" "&amp;Milestones!$AC$166&amp;";  ","")&amp;IF(AND(EDATE($D69,Milestones!$AA$167)&lt;=AsOfDate,IF($Q69=0,$W69,IF(AND($S69&lt;&gt;"",EDATE($D69,Milestones!$AA$167)&gt;=$S69),$V69,IF(AND($R69&lt;&gt;"",EDATE($D69,Milestones!$AA$167)&gt;=$R69),$U69,$T69)))=Milestones!$AB$167),TEXT(EDATE($D69,Milestones!$AA$167),"dd/mm/yy")&amp;" "&amp;Milestones!$AB$167&amp;" "&amp;Milestones!$AC$167&amp;";  ","")&amp;IF(AND(EDATE($D69,Milestones!$AA$168)&lt;=AsOfDate,IF($Q69=0,$W69,IF(AND($S69&lt;&gt;"",EDATE($D69,Milestones!$AA$168)&gt;=$S69),$V69,IF(AND($R69&lt;&gt;"",EDATE($D69,Milestones!$AA$168)&gt;=$R69),$U69,$T69)))=Milestones!$AB$168),TEXT(EDATE($D69,Milestones!$AA$168),"dd/mm/yy")&amp;" "&amp;Milestones!$AB$168&amp;" "&amp;Milestones!$AC$168&amp;";  ","")&amp;IF(AND(EDATE($D69,Milestones!$AA$169)&lt;=AsOfDate,IF($Q69=0,$W69,IF(AND($S69&lt;&gt;"",EDATE($D69,Milestones!$AA$169)&gt;=$S69),$V69,IF(AND($R69&lt;&gt;"",EDATE($D69,Milestones!$AA$169)&gt;=$R69),$U69,$T69)))=Milestones!$AB$169),TEXT(EDATE($D69,Milestones!$AA$169),"dd/mm/yy")&amp;" "&amp;Milestones!$AB$169&amp;" "&amp;Milestones!$AC$169&amp;";  ","")&amp;IF(AND(EDATE($D69,Milestones!$AA$170)&lt;=AsOfDate,IF($Q69=0,$W69,IF(AND($S69&lt;&gt;"",EDATE($D69,Milestones!$AA$170)&gt;=$S69),$V69,IF(AND($R69&lt;&gt;"",EDATE($D69,Milestones!$AA$170)&gt;=$R69),$U69,$T69)))=Milestones!$AB$170),TEXT(EDATE($D69,Milestones!$AA$170),"dd/mm/yy")&amp;" "&amp;Milestones!$AB$170&amp;" "&amp;Milestones!$AC$170&amp;";  ","")&amp;IF(AND(EDATE($D69,Milestones!$AA$171)&lt;=AsOfDate,IF($Q69=0,$W69,IF(AND($S69&lt;&gt;"",EDATE($D69,Milestones!$AA$171)&gt;=$S69),$V69,IF(AND($R69&lt;&gt;"",EDATE($D69,Milestones!$AA$171)&gt;=$R69),$U69,$T69)))=Milestones!$AB$171),TEXT(EDATE($D69,Milestones!$AA$171),"dd/mm/yy")&amp;" "&amp;Milestones!$AB$171&amp;" "&amp;Milestones!$AC$171&amp;";  ","")&amp;IF(AND(EDATE($D69,Milestones!$AA$172)&lt;=AsOfDate,IF($Q69=0,$W69,IF(AND($S69&lt;&gt;"",EDATE($D69,Milestones!$AA$172)&gt;=$S69),$V69,IF(AND($R69&lt;&gt;"",EDATE($D69,Milestones!$AA$172)&gt;=$R69),$U69,$T69)))=Milestones!$AB$172),TEXT(EDATE($D69,Milestones!$AA$172),"dd/mm/yy")&amp;" "&amp;Milestones!$AB$172&amp;" "&amp;Milestones!$AC$172&amp;";  ","")&amp;IF(AND(EDATE($D69,Milestones!$AA$173)&lt;=AsOfDate,IF($Q69=0,$W69,IF(AND($S69&lt;&gt;"",EDATE($D69,Milestones!$AA$173)&gt;=$S69),$V69,IF(AND($R69&lt;&gt;"",EDATE($D69,Milestones!$AA$173)&gt;=$R69),$U69,$T69)))=Milestones!$AB$173),TEXT(EDATE($D69,Milestones!$AA$173),"dd/mm/yy")&amp;" "&amp;Milestones!$AB$173&amp;" "&amp;Milestones!$AC$173&amp;";  ","")&amp;IF(AND(EDATE($D69,Milestones!$AA$174)&lt;=AsOfDate,IF($Q69=0,$W69,IF(AND($S69&lt;&gt;"",EDATE($D69,Milestones!$AA$174)&gt;=$S69),$V69,IF(AND($R69&lt;&gt;"",EDATE($D69,Milestones!$AA$174)&gt;=$R69),$U69,$T69)))=Milestones!$AB$174),TEXT(EDATE($D69,Milestones!$AA$174),"dd/mm/yy")&amp;" "&amp;Milestones!$AB$174&amp;" "&amp;Milestones!$AC$174&amp;";  ","")&amp;IF(AND(EDATE($D69,Milestones!$AA$175)&lt;=AsOfDate,IF($Q69=0,$W69,IF(AND($S69&lt;&gt;"",EDATE($D69,Milestones!$AA$175)&gt;=$S69),$V69,IF(AND($R69&lt;&gt;"",EDATE($D69,Milestones!$AA$175)&gt;=$R69),$U69,$T69)))=Milestones!$AB$175),TEXT(EDATE($D69,Milestones!$AA$175),"dd/mm/yy")&amp;" "&amp;Milestones!$AB$175&amp;" "&amp;Milestones!$AC$175&amp;";  ","")&amp;IF(AND(EDATE($D69,Milestones!$AA$176)&lt;=AsOfDate,IF($Q69=0,$W69,IF(AND($S69&lt;&gt;"",EDATE($D69,Milestones!$AA$176)&gt;=$S69),$V69,IF(AND($R69&lt;&gt;"",EDATE($D69,Milestones!$AA$176)&gt;=$R69),$U69,$T69)))=Milestones!$AB$176),TEXT(EDATE($D69,Milestones!$AA$176),"dd/mm/yy")&amp;" "&amp;Milestones!$AB$176&amp;" "&amp;Milestones!$AC$176&amp;";  ","")&amp;IF(AND(EDATE($D69,Milestones!$AA$177)&lt;=AsOfDate,IF($Q69=0,$W69,IF(AND($S69&lt;&gt;"",EDATE($D69,Milestones!$AA$177)&gt;=$S69),$V69,IF(AND($R69&lt;&gt;"",EDATE($D69,Milestones!$AA$177)&gt;=$R69),$U69,$T69)))=Milestones!$AB$177),TEXT(EDATE($D69,Milestones!$AA$177),"dd/mm/yy")&amp;" "&amp;Milestones!$AB$177&amp;" "&amp;Milestones!$AC$177&amp;";  ","")&amp;IF(AND(EDATE($D69,Milestones!$AA$178)&lt;=AsOfDate,IF($Q69=0,$W69,IF(AND($S69&lt;&gt;"",EDATE($D69,Milestones!$AA$178)&gt;=$S69),$V69,IF(AND($R69&lt;&gt;"",EDATE($D69,Milestones!$AA$178)&gt;=$R69),$U69,$T69)))=Milestones!$AB$178),TEXT(EDATE($D69,Milestones!$AA$178),"dd/mm/yy")&amp;" "&amp;Milestones!$AB$178&amp;" "&amp;Milestones!$AC$178&amp;";  ","")&amp;IF(AND(EDATE($D69,Milestones!$AA$179)&lt;=AsOfDate,IF($Q69=0,$W69,IF(AND($S69&lt;&gt;"",EDATE($D69,Milestones!$AA$179)&gt;=$S69),$V69,IF(AND($R69&lt;&gt;"",EDATE($D69,Milestones!$AA$179)&gt;=$R69),$U69,$T69)))=Milestones!$AB$179),TEXT(EDATE($D69,Milestones!$AA$179),"dd/mm/yy")&amp;" "&amp;Milestones!$AB$179&amp;" "&amp;Milestones!$AC$179&amp;";  ",""))</f>
        <v/>
      </c>
      <c r="P69" s="0" t="str">
        <f aca="false">IF(OR($A69="",$D69=""),"",IF(AND(EDATE($D69,Milestones!$AA$180)&lt;=AsOfDate,IF($Q69=0,$W69,IF(AND($S69&lt;&gt;"",EDATE($D69,Milestones!$AA$180)&gt;=$S69),$V69,IF(AND($R69&lt;&gt;"",EDATE($D69,Milestones!$AA$180)&gt;=$R69),$U69,$T69)))=Milestones!$AB$180),TEXT(EDATE($D69,Milestones!$AA$180),"dd/mm/yy")&amp;" "&amp;Milestones!$AB$180&amp;" "&amp;Milestones!$AC$180&amp;";  ","")&amp;IF(AND(EDATE($D69,Milestones!$AA$181)&lt;=AsOfDate,IF($Q69=0,$W69,IF(AND($S69&lt;&gt;"",EDATE($D69,Milestones!$AA$181)&gt;=$S69),$V69,IF(AND($R69&lt;&gt;"",EDATE($D69,Milestones!$AA$181)&gt;=$R69),$U69,$T69)))=Milestones!$AB$181),TEXT(EDATE($D69,Milestones!$AA$181),"dd/mm/yy")&amp;" "&amp;Milestones!$AB$181&amp;" "&amp;Milestones!$AC$181&amp;";  ","")&amp;IF(AND(EDATE($D69,Milestones!$AA$182)&lt;=AsOfDate,IF($Q69=0,$W69,IF(AND($S69&lt;&gt;"",EDATE($D69,Milestones!$AA$182)&gt;=$S69),$V69,IF(AND($R69&lt;&gt;"",EDATE($D69,Milestones!$AA$182)&gt;=$R69),$U69,$T69)))=Milestones!$AB$182),TEXT(EDATE($D69,Milestones!$AA$182),"dd/mm/yy")&amp;" "&amp;Milestones!$AB$182&amp;" "&amp;Milestones!$AC$182&amp;";  ","")&amp;IF(AND(EDATE($D69,Milestones!$AA$183)&lt;=AsOfDate,IF($Q69=0,$W69,IF(AND($S69&lt;&gt;"",EDATE($D69,Milestones!$AA$183)&gt;=$S69),$V69,IF(AND($R69&lt;&gt;"",EDATE($D69,Milestones!$AA$183)&gt;=$R69),$U69,$T69)))=Milestones!$AB$183),TEXT(EDATE($D69,Milestones!$AA$183),"dd/mm/yy")&amp;" "&amp;Milestones!$AB$183&amp;" "&amp;Milestones!$AC$183&amp;";  ","")&amp;IF(AND(EDATE($D69,Milestones!$AA$184)&lt;=AsOfDate,IF($Q69=0,$W69,IF(AND($S69&lt;&gt;"",EDATE($D69,Milestones!$AA$184)&gt;=$S69),$V69,IF(AND($R69&lt;&gt;"",EDATE($D69,Milestones!$AA$184)&gt;=$R69),$U69,$T69)))=Milestones!$AB$184),TEXT(EDATE($D69,Milestones!$AA$184),"dd/mm/yy")&amp;" "&amp;Milestones!$AB$184&amp;" "&amp;Milestones!$AC$184&amp;";  ","")&amp;IF(AND(EDATE($D69,Milestones!$AA$185)&lt;=AsOfDate,IF($Q69=0,$W69,IF(AND($S69&lt;&gt;"",EDATE($D69,Milestones!$AA$185)&gt;=$S69),$V69,IF(AND($R69&lt;&gt;"",EDATE($D69,Milestones!$AA$185)&gt;=$R69),$U69,$T69)))=Milestones!$AB$185),TEXT(EDATE($D69,Milestones!$AA$185),"dd/mm/yy")&amp;" "&amp;Milestones!$AB$185&amp;" "&amp;Milestones!$AC$185&amp;";  ","")&amp;IF(AND(EDATE($D69,Milestones!$AA$186)&lt;=AsOfDate,IF($Q69=0,$W69,IF(AND($S69&lt;&gt;"",EDATE($D69,Milestones!$AA$186)&gt;=$S69),$V69,IF(AND($R69&lt;&gt;"",EDATE($D69,Milestones!$AA$186)&gt;=$R69),$U69,$T69)))=Milestones!$AB$186),TEXT(EDATE($D69,Milestones!$AA$186),"dd/mm/yy")&amp;" "&amp;Milestones!$AB$186&amp;" "&amp;Milestones!$AC$186&amp;";  ","")&amp;IF(AND(EDATE($D69,Milestones!$AA$187)&lt;=AsOfDate,IF($Q69=0,$W69,IF(AND($S69&lt;&gt;"",EDATE($D69,Milestones!$AA$187)&gt;=$S69),$V69,IF(AND($R69&lt;&gt;"",EDATE($D69,Milestones!$AA$187)&gt;=$R69),$U69,$T69)))=Milestones!$AB$187),TEXT(EDATE($D69,Milestones!$AA$187),"dd/mm/yy")&amp;" "&amp;Milestones!$AB$187&amp;" "&amp;Milestones!$AC$187&amp;";  ","")&amp;IF(AND(EDATE($D69,Milestones!$AA$188)&lt;=AsOfDate,IF($Q69=0,$W69,IF(AND($S69&lt;&gt;"",EDATE($D69,Milestones!$AA$188)&gt;=$S69),$V69,IF(AND($R69&lt;&gt;"",EDATE($D69,Milestones!$AA$188)&gt;=$R69),$U69,$T69)))=Milestones!$AB$188),TEXT(EDATE($D69,Milestones!$AA$188),"dd/mm/yy")&amp;" "&amp;Milestones!$AB$188&amp;" "&amp;Milestones!$AC$188&amp;";  ","")&amp;IF(AND(EDATE($D69,Milestones!$AA$189)&lt;=AsOfDate,IF($Q69=0,$W69,IF(AND($S69&lt;&gt;"",EDATE($D69,Milestones!$AA$189)&gt;=$S69),$V69,IF(AND($R69&lt;&gt;"",EDATE($D69,Milestones!$AA$189)&gt;=$R69),$U69,$T69)))=Milestones!$AB$189),TEXT(EDATE($D69,Milestones!$AA$189),"dd/mm/yy")&amp;" "&amp;Milestones!$AB$189&amp;" "&amp;Milestones!$AC$189&amp;";  ","")&amp;IF(AND(EDATE($D69,Milestones!$AA$190)&lt;=AsOfDate,IF($Q69=0,$W69,IF(AND($S69&lt;&gt;"",EDATE($D69,Milestones!$AA$190)&gt;=$S69),$V69,IF(AND($R69&lt;&gt;"",EDATE($D69,Milestones!$AA$190)&gt;=$R69),$U69,$T69)))=Milestones!$AB$190),TEXT(EDATE($D69,Milestones!$AA$190),"dd/mm/yy")&amp;" "&amp;Milestones!$AB$190&amp;" "&amp;Milestones!$AC$190&amp;";  ","")&amp;IF(AND(EDATE($D69,Milestones!$AA$191)&lt;=AsOfDate,IF($Q69=0,$W69,IF(AND($S69&lt;&gt;"",EDATE($D69,Milestones!$AA$191)&gt;=$S69),$V69,IF(AND($R69&lt;&gt;"",EDATE($D69,Milestones!$AA$191)&gt;=$R69),$U69,$T69)))=Milestones!$AB$191),TEXT(EDATE($D69,Milestones!$AA$191),"dd/mm/yy")&amp;" "&amp;Milestones!$AB$191&amp;" "&amp;Milestones!$AC$191&amp;";  ","")&amp;IF(AND(EDATE($D69,Milestones!$AA$192)&lt;=AsOfDate,IF($Q69=0,$W69,IF(AND($S69&lt;&gt;"",EDATE($D69,Milestones!$AA$192)&gt;=$S69),$V69,IF(AND($R69&lt;&gt;"",EDATE($D69,Milestones!$AA$192)&gt;=$R69),$U69,$T69)))=Milestones!$AB$192),TEXT(EDATE($D69,Milestones!$AA$192),"dd/mm/yy")&amp;" "&amp;Milestones!$AB$192&amp;" "&amp;Milestones!$AC$192&amp;";  ","")&amp;IF(AND(EDATE($D69,Milestones!$AA$193)&lt;=AsOfDate,IF($Q69=0,$W69,IF(AND($S69&lt;&gt;"",EDATE($D69,Milestones!$AA$193)&gt;=$S69),$V69,IF(AND($R69&lt;&gt;"",EDATE($D69,Milestones!$AA$193)&gt;=$R69),$U69,$T69)))=Milestones!$AB$193),TEXT(EDATE($D69,Milestones!$AA$193),"dd/mm/yy")&amp;" "&amp;Milestones!$AB$193&amp;" "&amp;Milestones!$AC$193&amp;";  ","")&amp;IF(AND(EDATE($D69,Milestones!$AA$194)&lt;=AsOfDate,IF($Q69=0,$W69,IF(AND($S69&lt;&gt;"",EDATE($D69,Milestones!$AA$194)&gt;=$S69),$V69,IF(AND($R69&lt;&gt;"",EDATE($D69,Milestones!$AA$194)&gt;=$R69),$U69,$T69)))=Milestones!$AB$194),TEXT(EDATE($D69,Milestones!$AA$194),"dd/mm/yy")&amp;" "&amp;Milestones!$AB$194&amp;" "&amp;Milestones!$AC$194&amp;";  ","")&amp;IF(AND(EDATE($D69,Milestones!$AA$195)&lt;=AsOfDate,IF($Q69=0,$W69,IF(AND($S69&lt;&gt;"",EDATE($D69,Milestones!$AA$195)&gt;=$S69),$V69,IF(AND($R69&lt;&gt;"",EDATE($D69,Milestones!$AA$195)&gt;=$R69),$U69,$T69)))=Milestones!$AB$195),TEXT(EDATE($D69,Milestones!$AA$195),"dd/mm/yy")&amp;" "&amp;Milestones!$AB$195&amp;" "&amp;Milestones!$AC$195&amp;";  ","")&amp;IF(AND(EDATE($D69,Milestones!$AA$196)&lt;=AsOfDate,IF($Q69=0,$W69,IF(AND($S69&lt;&gt;"",EDATE($D69,Milestones!$AA$196)&gt;=$S69),$V69,IF(AND($R69&lt;&gt;"",EDATE($D69,Milestones!$AA$196)&gt;=$R69),$U69,$T69)))=Milestones!$AB$196),TEXT(EDATE($D69,Milestones!$AA$196),"dd/mm/yy")&amp;" "&amp;Milestones!$AB$196&amp;" "&amp;Milestones!$AC$196&amp;";  ","")&amp;IF(AND(EDATE($D69,Milestones!$AA$197)&lt;=AsOfDate,IF($Q69=0,$W69,IF(AND($S69&lt;&gt;"",EDATE($D69,Milestones!$AA$197)&gt;=$S69),$V69,IF(AND($R69&lt;&gt;"",EDATE($D69,Milestones!$AA$197)&gt;=$R69),$U69,$T69)))=Milestones!$AB$197),TEXT(EDATE($D69,Milestones!$AA$197),"dd/mm/yy")&amp;" "&amp;Milestones!$AB$197&amp;" "&amp;Milestones!$AC$197&amp;";  ","")&amp;IF(AND(EDATE($D69,Milestones!$AA$198)&lt;=AsOfDate,IF($Q69=0,$W69,IF(AND($S69&lt;&gt;"",EDATE($D69,Milestones!$AA$198)&gt;=$S69),$V69,IF(AND($R69&lt;&gt;"",EDATE($D69,Milestones!$AA$198)&gt;=$R69),$U69,$T69)))=Milestones!$AB$198),TEXT(EDATE($D69,Milestones!$AA$198),"dd/mm/yy")&amp;" "&amp;Milestones!$AB$198&amp;" "&amp;Milestones!$AC$198&amp;";  ","")&amp;IF(AND(EDATE($D69,Milestones!$AA$199)&lt;=AsOfDate,IF($Q69=0,$W69,IF(AND($S69&lt;&gt;"",EDATE($D69,Milestones!$AA$199)&gt;=$S69),$V69,IF(AND($R69&lt;&gt;"",EDATE($D69,Milestones!$AA$199)&gt;=$R69),$U69,$T69)))=Milestones!$AB$199),TEXT(EDATE($D69,Milestones!$AA$199),"dd/mm/yy")&amp;" "&amp;Milestones!$AB$199&amp;" "&amp;Milestones!$AC$199&amp;";  ",""))</f>
        <v/>
      </c>
      <c r="Q69" s="0" t="str">
        <f aca="false">IF(Staff!$A69="","",Staff!$AG69)</f>
        <v/>
      </c>
      <c r="R69" s="0" t="str">
        <f aca="false">IF(Staff!$A69="","",Staff!$AI69)</f>
        <v/>
      </c>
      <c r="S69" s="0" t="str">
        <f aca="false">IF(Staff!$A69="","",Staff!$AJ69)</f>
        <v/>
      </c>
      <c r="T69" s="0" t="str">
        <f aca="false">IF(Staff!$A69="","",Staff!$AN69)</f>
        <v/>
      </c>
      <c r="U69" s="0" t="str">
        <f aca="false">IF(Staff!$A69="","",Staff!$AO69)</f>
        <v/>
      </c>
      <c r="V69" s="0" t="str">
        <f aca="false">IF(Staff!$A69="","",Staff!$AP69)</f>
        <v/>
      </c>
      <c r="W69" s="0" t="str">
        <f aca="false">IF(Staff!$A69="","",Staff!$AQ69)</f>
        <v/>
      </c>
    </row>
    <row r="70" customFormat="false" ht="15" hidden="false" customHeight="false" outlineLevel="0" collapsed="false">
      <c r="A70" s="13" t="str">
        <f aca="false">IF(Staff!$A70="","",Staff!$A70)</f>
        <v/>
      </c>
      <c r="B70" s="13" t="str">
        <f aca="false">IF(Staff!$A70="","",Staff!$B70)</f>
        <v/>
      </c>
      <c r="C70" s="13" t="str">
        <f aca="false">IF(Staff!$A70="","",Staff!$C70)</f>
        <v/>
      </c>
      <c r="D70" s="11" t="str">
        <f aca="false">IF(Staff!$A70="","",Staff!$AF70)</f>
        <v/>
      </c>
      <c r="E70" s="13" t="str">
        <f aca="false">IF(Staff!$A70="","",Staff!$O70)</f>
        <v/>
      </c>
      <c r="F70" s="13" t="str">
        <f aca="false">IF(E70="","",E70*HoursPerDay)</f>
        <v/>
      </c>
      <c r="G70" s="26" t="str">
        <f aca="false">IF($A70="","",H70&amp;I70&amp;J70&amp;K70&amp;L70&amp;M70&amp;N70&amp;O70&amp;P70)</f>
        <v/>
      </c>
      <c r="H70" s="0" t="str">
        <f aca="false">IF(OR($A70="",$D70=""),"",IF(AND(EDATE($D70,Milestones!$AA$20)&lt;=AsOfDate,IF($Q70=0,$W70,IF(AND($S70&lt;&gt;"",EDATE($D70,Milestones!$AA$20)&gt;=$S70),$V70,IF(AND($R70&lt;&gt;"",EDATE($D70,Milestones!$AA$20)&gt;=$R70),$U70,$T70)))=Milestones!$AB$20),TEXT(EDATE($D70,Milestones!$AA$20),"dd/mm/yy")&amp;" "&amp;Milestones!$AB$20&amp;" "&amp;Milestones!$AC$20&amp;";  ","")&amp;IF(AND(EDATE($D70,Milestones!$AA$21)&lt;=AsOfDate,IF($Q70=0,$W70,IF(AND($S70&lt;&gt;"",EDATE($D70,Milestones!$AA$21)&gt;=$S70),$V70,IF(AND($R70&lt;&gt;"",EDATE($D70,Milestones!$AA$21)&gt;=$R70),$U70,$T70)))=Milestones!$AB$21),TEXT(EDATE($D70,Milestones!$AA$21),"dd/mm/yy")&amp;" "&amp;Milestones!$AB$21&amp;" "&amp;Milestones!$AC$21&amp;";  ","")&amp;IF(AND(EDATE($D70,Milestones!$AA$22)&lt;=AsOfDate,IF($Q70=0,$W70,IF(AND($S70&lt;&gt;"",EDATE($D70,Milestones!$AA$22)&gt;=$S70),$V70,IF(AND($R70&lt;&gt;"",EDATE($D70,Milestones!$AA$22)&gt;=$R70),$U70,$T70)))=Milestones!$AB$22),TEXT(EDATE($D70,Milestones!$AA$22),"dd/mm/yy")&amp;" "&amp;Milestones!$AB$22&amp;" "&amp;Milestones!$AC$22&amp;";  ","")&amp;IF(AND(EDATE($D70,Milestones!$AA$23)&lt;=AsOfDate,IF($Q70=0,$W70,IF(AND($S70&lt;&gt;"",EDATE($D70,Milestones!$AA$23)&gt;=$S70),$V70,IF(AND($R70&lt;&gt;"",EDATE($D70,Milestones!$AA$23)&gt;=$R70),$U70,$T70)))=Milestones!$AB$23),TEXT(EDATE($D70,Milestones!$AA$23),"dd/mm/yy")&amp;" "&amp;Milestones!$AB$23&amp;" "&amp;Milestones!$AC$23&amp;";  ","")&amp;IF(AND(EDATE($D70,Milestones!$AA$24)&lt;=AsOfDate,IF($Q70=0,$W70,IF(AND($S70&lt;&gt;"",EDATE($D70,Milestones!$AA$24)&gt;=$S70),$V70,IF(AND($R70&lt;&gt;"",EDATE($D70,Milestones!$AA$24)&gt;=$R70),$U70,$T70)))=Milestones!$AB$24),TEXT(EDATE($D70,Milestones!$AA$24),"dd/mm/yy")&amp;" "&amp;Milestones!$AB$24&amp;" "&amp;Milestones!$AC$24&amp;";  ","")&amp;IF(AND(EDATE($D70,Milestones!$AA$25)&lt;=AsOfDate,IF($Q70=0,$W70,IF(AND($S70&lt;&gt;"",EDATE($D70,Milestones!$AA$25)&gt;=$S70),$V70,IF(AND($R70&lt;&gt;"",EDATE($D70,Milestones!$AA$25)&gt;=$R70),$U70,$T70)))=Milestones!$AB$25),TEXT(EDATE($D70,Milestones!$AA$25),"dd/mm/yy")&amp;" "&amp;Milestones!$AB$25&amp;" "&amp;Milestones!$AC$25&amp;";  ","")&amp;IF(AND(EDATE($D70,Milestones!$AA$26)&lt;=AsOfDate,IF($Q70=0,$W70,IF(AND($S70&lt;&gt;"",EDATE($D70,Milestones!$AA$26)&gt;=$S70),$V70,IF(AND($R70&lt;&gt;"",EDATE($D70,Milestones!$AA$26)&gt;=$R70),$U70,$T70)))=Milestones!$AB$26),TEXT(EDATE($D70,Milestones!$AA$26),"dd/mm/yy")&amp;" "&amp;Milestones!$AB$26&amp;" "&amp;Milestones!$AC$26&amp;";  ","")&amp;IF(AND(EDATE($D70,Milestones!$AA$27)&lt;=AsOfDate,IF($Q70=0,$W70,IF(AND($S70&lt;&gt;"",EDATE($D70,Milestones!$AA$27)&gt;=$S70),$V70,IF(AND($R70&lt;&gt;"",EDATE($D70,Milestones!$AA$27)&gt;=$R70),$U70,$T70)))=Milestones!$AB$27),TEXT(EDATE($D70,Milestones!$AA$27),"dd/mm/yy")&amp;" "&amp;Milestones!$AB$27&amp;" "&amp;Milestones!$AC$27&amp;";  ","")&amp;IF(AND(EDATE($D70,Milestones!$AA$28)&lt;=AsOfDate,IF($Q70=0,$W70,IF(AND($S70&lt;&gt;"",EDATE($D70,Milestones!$AA$28)&gt;=$S70),$V70,IF(AND($R70&lt;&gt;"",EDATE($D70,Milestones!$AA$28)&gt;=$R70),$U70,$T70)))=Milestones!$AB$28),TEXT(EDATE($D70,Milestones!$AA$28),"dd/mm/yy")&amp;" "&amp;Milestones!$AB$28&amp;" "&amp;Milestones!$AC$28&amp;";  ","")&amp;IF(AND(EDATE($D70,Milestones!$AA$29)&lt;=AsOfDate,IF($Q70=0,$W70,IF(AND($S70&lt;&gt;"",EDATE($D70,Milestones!$AA$29)&gt;=$S70),$V70,IF(AND($R70&lt;&gt;"",EDATE($D70,Milestones!$AA$29)&gt;=$R70),$U70,$T70)))=Milestones!$AB$29),TEXT(EDATE($D70,Milestones!$AA$29),"dd/mm/yy")&amp;" "&amp;Milestones!$AB$29&amp;" "&amp;Milestones!$AC$29&amp;";  ","")&amp;IF(AND(EDATE($D70,Milestones!$AA$30)&lt;=AsOfDate,IF($Q70=0,$W70,IF(AND($S70&lt;&gt;"",EDATE($D70,Milestones!$AA$30)&gt;=$S70),$V70,IF(AND($R70&lt;&gt;"",EDATE($D70,Milestones!$AA$30)&gt;=$R70),$U70,$T70)))=Milestones!$AB$30),TEXT(EDATE($D70,Milestones!$AA$30),"dd/mm/yy")&amp;" "&amp;Milestones!$AB$30&amp;" "&amp;Milestones!$AC$30&amp;";  ","")&amp;IF(AND(EDATE($D70,Milestones!$AA$31)&lt;=AsOfDate,IF($Q70=0,$W70,IF(AND($S70&lt;&gt;"",EDATE($D70,Milestones!$AA$31)&gt;=$S70),$V70,IF(AND($R70&lt;&gt;"",EDATE($D70,Milestones!$AA$31)&gt;=$R70),$U70,$T70)))=Milestones!$AB$31),TEXT(EDATE($D70,Milestones!$AA$31),"dd/mm/yy")&amp;" "&amp;Milestones!$AB$31&amp;" "&amp;Milestones!$AC$31&amp;";  ","")&amp;IF(AND(EDATE($D70,Milestones!$AA$32)&lt;=AsOfDate,IF($Q70=0,$W70,IF(AND($S70&lt;&gt;"",EDATE($D70,Milestones!$AA$32)&gt;=$S70),$V70,IF(AND($R70&lt;&gt;"",EDATE($D70,Milestones!$AA$32)&gt;=$R70),$U70,$T70)))=Milestones!$AB$32),TEXT(EDATE($D70,Milestones!$AA$32),"dd/mm/yy")&amp;" "&amp;Milestones!$AB$32&amp;" "&amp;Milestones!$AC$32&amp;";  ","")&amp;IF(AND(EDATE($D70,Milestones!$AA$33)&lt;=AsOfDate,IF($Q70=0,$W70,IF(AND($S70&lt;&gt;"",EDATE($D70,Milestones!$AA$33)&gt;=$S70),$V70,IF(AND($R70&lt;&gt;"",EDATE($D70,Milestones!$AA$33)&gt;=$R70),$U70,$T70)))=Milestones!$AB$33),TEXT(EDATE($D70,Milestones!$AA$33),"dd/mm/yy")&amp;" "&amp;Milestones!$AB$33&amp;" "&amp;Milestones!$AC$33&amp;";  ","")&amp;IF(AND(EDATE($D70,Milestones!$AA$34)&lt;=AsOfDate,IF($Q70=0,$W70,IF(AND($S70&lt;&gt;"",EDATE($D70,Milestones!$AA$34)&gt;=$S70),$V70,IF(AND($R70&lt;&gt;"",EDATE($D70,Milestones!$AA$34)&gt;=$R70),$U70,$T70)))=Milestones!$AB$34),TEXT(EDATE($D70,Milestones!$AA$34),"dd/mm/yy")&amp;" "&amp;Milestones!$AB$34&amp;" "&amp;Milestones!$AC$34&amp;";  ","")&amp;IF(AND(EDATE($D70,Milestones!$AA$35)&lt;=AsOfDate,IF($Q70=0,$W70,IF(AND($S70&lt;&gt;"",EDATE($D70,Milestones!$AA$35)&gt;=$S70),$V70,IF(AND($R70&lt;&gt;"",EDATE($D70,Milestones!$AA$35)&gt;=$R70),$U70,$T70)))=Milestones!$AB$35),TEXT(EDATE($D70,Milestones!$AA$35),"dd/mm/yy")&amp;" "&amp;Milestones!$AB$35&amp;" "&amp;Milestones!$AC$35&amp;";  ","")&amp;IF(AND(EDATE($D70,Milestones!$AA$36)&lt;=AsOfDate,IF($Q70=0,$W70,IF(AND($S70&lt;&gt;"",EDATE($D70,Milestones!$AA$36)&gt;=$S70),$V70,IF(AND($R70&lt;&gt;"",EDATE($D70,Milestones!$AA$36)&gt;=$R70),$U70,$T70)))=Milestones!$AB$36),TEXT(EDATE($D70,Milestones!$AA$36),"dd/mm/yy")&amp;" "&amp;Milestones!$AB$36&amp;" "&amp;Milestones!$AC$36&amp;";  ","")&amp;IF(AND(EDATE($D70,Milestones!$AA$37)&lt;=AsOfDate,IF($Q70=0,$W70,IF(AND($S70&lt;&gt;"",EDATE($D70,Milestones!$AA$37)&gt;=$S70),$V70,IF(AND($R70&lt;&gt;"",EDATE($D70,Milestones!$AA$37)&gt;=$R70),$U70,$T70)))=Milestones!$AB$37),TEXT(EDATE($D70,Milestones!$AA$37),"dd/mm/yy")&amp;" "&amp;Milestones!$AB$37&amp;" "&amp;Milestones!$AC$37&amp;";  ","")&amp;IF(AND(EDATE($D70,Milestones!$AA$38)&lt;=AsOfDate,IF($Q70=0,$W70,IF(AND($S70&lt;&gt;"",EDATE($D70,Milestones!$AA$38)&gt;=$S70),$V70,IF(AND($R70&lt;&gt;"",EDATE($D70,Milestones!$AA$38)&gt;=$R70),$U70,$T70)))=Milestones!$AB$38),TEXT(EDATE($D70,Milestones!$AA$38),"dd/mm/yy")&amp;" "&amp;Milestones!$AB$38&amp;" "&amp;Milestones!$AC$38&amp;";  ","")&amp;IF(AND(EDATE($D70,Milestones!$AA$39)&lt;=AsOfDate,IF($Q70=0,$W70,IF(AND($S70&lt;&gt;"",EDATE($D70,Milestones!$AA$39)&gt;=$S70),$V70,IF(AND($R70&lt;&gt;"",EDATE($D70,Milestones!$AA$39)&gt;=$R70),$U70,$T70)))=Milestones!$AB$39),TEXT(EDATE($D70,Milestones!$AA$39),"dd/mm/yy")&amp;" "&amp;Milestones!$AB$39&amp;" "&amp;Milestones!$AC$39&amp;";  ",""))</f>
        <v/>
      </c>
      <c r="I70" s="0" t="str">
        <f aca="false">IF(OR($A70="",$D70=""),"",IF(AND(EDATE($D70,Milestones!$AA$40)&lt;=AsOfDate,IF($Q70=0,$W70,IF(AND($S70&lt;&gt;"",EDATE($D70,Milestones!$AA$40)&gt;=$S70),$V70,IF(AND($R70&lt;&gt;"",EDATE($D70,Milestones!$AA$40)&gt;=$R70),$U70,$T70)))=Milestones!$AB$40),TEXT(EDATE($D70,Milestones!$AA$40),"dd/mm/yy")&amp;" "&amp;Milestones!$AB$40&amp;" "&amp;Milestones!$AC$40&amp;";  ","")&amp;IF(AND(EDATE($D70,Milestones!$AA$41)&lt;=AsOfDate,IF($Q70=0,$W70,IF(AND($S70&lt;&gt;"",EDATE($D70,Milestones!$AA$41)&gt;=$S70),$V70,IF(AND($R70&lt;&gt;"",EDATE($D70,Milestones!$AA$41)&gt;=$R70),$U70,$T70)))=Milestones!$AB$41),TEXT(EDATE($D70,Milestones!$AA$41),"dd/mm/yy")&amp;" "&amp;Milestones!$AB$41&amp;" "&amp;Milestones!$AC$41&amp;";  ","")&amp;IF(AND(EDATE($D70,Milestones!$AA$42)&lt;=AsOfDate,IF($Q70=0,$W70,IF(AND($S70&lt;&gt;"",EDATE($D70,Milestones!$AA$42)&gt;=$S70),$V70,IF(AND($R70&lt;&gt;"",EDATE($D70,Milestones!$AA$42)&gt;=$R70),$U70,$T70)))=Milestones!$AB$42),TEXT(EDATE($D70,Milestones!$AA$42),"dd/mm/yy")&amp;" "&amp;Milestones!$AB$42&amp;" "&amp;Milestones!$AC$42&amp;";  ","")&amp;IF(AND(EDATE($D70,Milestones!$AA$43)&lt;=AsOfDate,IF($Q70=0,$W70,IF(AND($S70&lt;&gt;"",EDATE($D70,Milestones!$AA$43)&gt;=$S70),$V70,IF(AND($R70&lt;&gt;"",EDATE($D70,Milestones!$AA$43)&gt;=$R70),$U70,$T70)))=Milestones!$AB$43),TEXT(EDATE($D70,Milestones!$AA$43),"dd/mm/yy")&amp;" "&amp;Milestones!$AB$43&amp;" "&amp;Milestones!$AC$43&amp;";  ","")&amp;IF(AND(EDATE($D70,Milestones!$AA$44)&lt;=AsOfDate,IF($Q70=0,$W70,IF(AND($S70&lt;&gt;"",EDATE($D70,Milestones!$AA$44)&gt;=$S70),$V70,IF(AND($R70&lt;&gt;"",EDATE($D70,Milestones!$AA$44)&gt;=$R70),$U70,$T70)))=Milestones!$AB$44),TEXT(EDATE($D70,Milestones!$AA$44),"dd/mm/yy")&amp;" "&amp;Milestones!$AB$44&amp;" "&amp;Milestones!$AC$44&amp;";  ","")&amp;IF(AND(EDATE($D70,Milestones!$AA$45)&lt;=AsOfDate,IF($Q70=0,$W70,IF(AND($S70&lt;&gt;"",EDATE($D70,Milestones!$AA$45)&gt;=$S70),$V70,IF(AND($R70&lt;&gt;"",EDATE($D70,Milestones!$AA$45)&gt;=$R70),$U70,$T70)))=Milestones!$AB$45),TEXT(EDATE($D70,Milestones!$AA$45),"dd/mm/yy")&amp;" "&amp;Milestones!$AB$45&amp;" "&amp;Milestones!$AC$45&amp;";  ","")&amp;IF(AND(EDATE($D70,Milestones!$AA$46)&lt;=AsOfDate,IF($Q70=0,$W70,IF(AND($S70&lt;&gt;"",EDATE($D70,Milestones!$AA$46)&gt;=$S70),$V70,IF(AND($R70&lt;&gt;"",EDATE($D70,Milestones!$AA$46)&gt;=$R70),$U70,$T70)))=Milestones!$AB$46),TEXT(EDATE($D70,Milestones!$AA$46),"dd/mm/yy")&amp;" "&amp;Milestones!$AB$46&amp;" "&amp;Milestones!$AC$46&amp;";  ","")&amp;IF(AND(EDATE($D70,Milestones!$AA$47)&lt;=AsOfDate,IF($Q70=0,$W70,IF(AND($S70&lt;&gt;"",EDATE($D70,Milestones!$AA$47)&gt;=$S70),$V70,IF(AND($R70&lt;&gt;"",EDATE($D70,Milestones!$AA$47)&gt;=$R70),$U70,$T70)))=Milestones!$AB$47),TEXT(EDATE($D70,Milestones!$AA$47),"dd/mm/yy")&amp;" "&amp;Milestones!$AB$47&amp;" "&amp;Milestones!$AC$47&amp;";  ","")&amp;IF(AND(EDATE($D70,Milestones!$AA$48)&lt;=AsOfDate,IF($Q70=0,$W70,IF(AND($S70&lt;&gt;"",EDATE($D70,Milestones!$AA$48)&gt;=$S70),$V70,IF(AND($R70&lt;&gt;"",EDATE($D70,Milestones!$AA$48)&gt;=$R70),$U70,$T70)))=Milestones!$AB$48),TEXT(EDATE($D70,Milestones!$AA$48),"dd/mm/yy")&amp;" "&amp;Milestones!$AB$48&amp;" "&amp;Milestones!$AC$48&amp;";  ","")&amp;IF(AND(EDATE($D70,Milestones!$AA$49)&lt;=AsOfDate,IF($Q70=0,$W70,IF(AND($S70&lt;&gt;"",EDATE($D70,Milestones!$AA$49)&gt;=$S70),$V70,IF(AND($R70&lt;&gt;"",EDATE($D70,Milestones!$AA$49)&gt;=$R70),$U70,$T70)))=Milestones!$AB$49),TEXT(EDATE($D70,Milestones!$AA$49),"dd/mm/yy")&amp;" "&amp;Milestones!$AB$49&amp;" "&amp;Milestones!$AC$49&amp;";  ","")&amp;IF(AND(EDATE($D70,Milestones!$AA$50)&lt;=AsOfDate,IF($Q70=0,$W70,IF(AND($S70&lt;&gt;"",EDATE($D70,Milestones!$AA$50)&gt;=$S70),$V70,IF(AND($R70&lt;&gt;"",EDATE($D70,Milestones!$AA$50)&gt;=$R70),$U70,$T70)))=Milestones!$AB$50),TEXT(EDATE($D70,Milestones!$AA$50),"dd/mm/yy")&amp;" "&amp;Milestones!$AB$50&amp;" "&amp;Milestones!$AC$50&amp;";  ","")&amp;IF(AND(EDATE($D70,Milestones!$AA$51)&lt;=AsOfDate,IF($Q70=0,$W70,IF(AND($S70&lt;&gt;"",EDATE($D70,Milestones!$AA$51)&gt;=$S70),$V70,IF(AND($R70&lt;&gt;"",EDATE($D70,Milestones!$AA$51)&gt;=$R70),$U70,$T70)))=Milestones!$AB$51),TEXT(EDATE($D70,Milestones!$AA$51),"dd/mm/yy")&amp;" "&amp;Milestones!$AB$51&amp;" "&amp;Milestones!$AC$51&amp;";  ","")&amp;IF(AND(EDATE($D70,Milestones!$AA$52)&lt;=AsOfDate,IF($Q70=0,$W70,IF(AND($S70&lt;&gt;"",EDATE($D70,Milestones!$AA$52)&gt;=$S70),$V70,IF(AND($R70&lt;&gt;"",EDATE($D70,Milestones!$AA$52)&gt;=$R70),$U70,$T70)))=Milestones!$AB$52),TEXT(EDATE($D70,Milestones!$AA$52),"dd/mm/yy")&amp;" "&amp;Milestones!$AB$52&amp;" "&amp;Milestones!$AC$52&amp;";  ","")&amp;IF(AND(EDATE($D70,Milestones!$AA$53)&lt;=AsOfDate,IF($Q70=0,$W70,IF(AND($S70&lt;&gt;"",EDATE($D70,Milestones!$AA$53)&gt;=$S70),$V70,IF(AND($R70&lt;&gt;"",EDATE($D70,Milestones!$AA$53)&gt;=$R70),$U70,$T70)))=Milestones!$AB$53),TEXT(EDATE($D70,Milestones!$AA$53),"dd/mm/yy")&amp;" "&amp;Milestones!$AB$53&amp;" "&amp;Milestones!$AC$53&amp;";  ","")&amp;IF(AND(EDATE($D70,Milestones!$AA$54)&lt;=AsOfDate,IF($Q70=0,$W70,IF(AND($S70&lt;&gt;"",EDATE($D70,Milestones!$AA$54)&gt;=$S70),$V70,IF(AND($R70&lt;&gt;"",EDATE($D70,Milestones!$AA$54)&gt;=$R70),$U70,$T70)))=Milestones!$AB$54),TEXT(EDATE($D70,Milestones!$AA$54),"dd/mm/yy")&amp;" "&amp;Milestones!$AB$54&amp;" "&amp;Milestones!$AC$54&amp;";  ","")&amp;IF(AND(EDATE($D70,Milestones!$AA$55)&lt;=AsOfDate,IF($Q70=0,$W70,IF(AND($S70&lt;&gt;"",EDATE($D70,Milestones!$AA$55)&gt;=$S70),$V70,IF(AND($R70&lt;&gt;"",EDATE($D70,Milestones!$AA$55)&gt;=$R70),$U70,$T70)))=Milestones!$AB$55),TEXT(EDATE($D70,Milestones!$AA$55),"dd/mm/yy")&amp;" "&amp;Milestones!$AB$55&amp;" "&amp;Milestones!$AC$55&amp;";  ","")&amp;IF(AND(EDATE($D70,Milestones!$AA$56)&lt;=AsOfDate,IF($Q70=0,$W70,IF(AND($S70&lt;&gt;"",EDATE($D70,Milestones!$AA$56)&gt;=$S70),$V70,IF(AND($R70&lt;&gt;"",EDATE($D70,Milestones!$AA$56)&gt;=$R70),$U70,$T70)))=Milestones!$AB$56),TEXT(EDATE($D70,Milestones!$AA$56),"dd/mm/yy")&amp;" "&amp;Milestones!$AB$56&amp;" "&amp;Milestones!$AC$56&amp;";  ","")&amp;IF(AND(EDATE($D70,Milestones!$AA$57)&lt;=AsOfDate,IF($Q70=0,$W70,IF(AND($S70&lt;&gt;"",EDATE($D70,Milestones!$AA$57)&gt;=$S70),$V70,IF(AND($R70&lt;&gt;"",EDATE($D70,Milestones!$AA$57)&gt;=$R70),$U70,$T70)))=Milestones!$AB$57),TEXT(EDATE($D70,Milestones!$AA$57),"dd/mm/yy")&amp;" "&amp;Milestones!$AB$57&amp;" "&amp;Milestones!$AC$57&amp;";  ","")&amp;IF(AND(EDATE($D70,Milestones!$AA$58)&lt;=AsOfDate,IF($Q70=0,$W70,IF(AND($S70&lt;&gt;"",EDATE($D70,Milestones!$AA$58)&gt;=$S70),$V70,IF(AND($R70&lt;&gt;"",EDATE($D70,Milestones!$AA$58)&gt;=$R70),$U70,$T70)))=Milestones!$AB$58),TEXT(EDATE($D70,Milestones!$AA$58),"dd/mm/yy")&amp;" "&amp;Milestones!$AB$58&amp;" "&amp;Milestones!$AC$58&amp;";  ","")&amp;IF(AND(EDATE($D70,Milestones!$AA$59)&lt;=AsOfDate,IF($Q70=0,$W70,IF(AND($S70&lt;&gt;"",EDATE($D70,Milestones!$AA$59)&gt;=$S70),$V70,IF(AND($R70&lt;&gt;"",EDATE($D70,Milestones!$AA$59)&gt;=$R70),$U70,$T70)))=Milestones!$AB$59),TEXT(EDATE($D70,Milestones!$AA$59),"dd/mm/yy")&amp;" "&amp;Milestones!$AB$59&amp;" "&amp;Milestones!$AC$59&amp;";  ",""))</f>
        <v/>
      </c>
      <c r="J70" s="0" t="str">
        <f aca="false">IF(OR($A70="",$D70=""),"",IF(AND(EDATE($D70,Milestones!$AA$60)&lt;=AsOfDate,IF($Q70=0,$W70,IF(AND($S70&lt;&gt;"",EDATE($D70,Milestones!$AA$60)&gt;=$S70),$V70,IF(AND($R70&lt;&gt;"",EDATE($D70,Milestones!$AA$60)&gt;=$R70),$U70,$T70)))=Milestones!$AB$60),TEXT(EDATE($D70,Milestones!$AA$60),"dd/mm/yy")&amp;" "&amp;Milestones!$AB$60&amp;" "&amp;Milestones!$AC$60&amp;";  ","")&amp;IF(AND(EDATE($D70,Milestones!$AA$61)&lt;=AsOfDate,IF($Q70=0,$W70,IF(AND($S70&lt;&gt;"",EDATE($D70,Milestones!$AA$61)&gt;=$S70),$V70,IF(AND($R70&lt;&gt;"",EDATE($D70,Milestones!$AA$61)&gt;=$R70),$U70,$T70)))=Milestones!$AB$61),TEXT(EDATE($D70,Milestones!$AA$61),"dd/mm/yy")&amp;" "&amp;Milestones!$AB$61&amp;" "&amp;Milestones!$AC$61&amp;";  ","")&amp;IF(AND(EDATE($D70,Milestones!$AA$62)&lt;=AsOfDate,IF($Q70=0,$W70,IF(AND($S70&lt;&gt;"",EDATE($D70,Milestones!$AA$62)&gt;=$S70),$V70,IF(AND($R70&lt;&gt;"",EDATE($D70,Milestones!$AA$62)&gt;=$R70),$U70,$T70)))=Milestones!$AB$62),TEXT(EDATE($D70,Milestones!$AA$62),"dd/mm/yy")&amp;" "&amp;Milestones!$AB$62&amp;" "&amp;Milestones!$AC$62&amp;";  ","")&amp;IF(AND(EDATE($D70,Milestones!$AA$63)&lt;=AsOfDate,IF($Q70=0,$W70,IF(AND($S70&lt;&gt;"",EDATE($D70,Milestones!$AA$63)&gt;=$S70),$V70,IF(AND($R70&lt;&gt;"",EDATE($D70,Milestones!$AA$63)&gt;=$R70),$U70,$T70)))=Milestones!$AB$63),TEXT(EDATE($D70,Milestones!$AA$63),"dd/mm/yy")&amp;" "&amp;Milestones!$AB$63&amp;" "&amp;Milestones!$AC$63&amp;";  ","")&amp;IF(AND(EDATE($D70,Milestones!$AA$64)&lt;=AsOfDate,IF($Q70=0,$W70,IF(AND($S70&lt;&gt;"",EDATE($D70,Milestones!$AA$64)&gt;=$S70),$V70,IF(AND($R70&lt;&gt;"",EDATE($D70,Milestones!$AA$64)&gt;=$R70),$U70,$T70)))=Milestones!$AB$64),TEXT(EDATE($D70,Milestones!$AA$64),"dd/mm/yy")&amp;" "&amp;Milestones!$AB$64&amp;" "&amp;Milestones!$AC$64&amp;";  ","")&amp;IF(AND(EDATE($D70,Milestones!$AA$65)&lt;=AsOfDate,IF($Q70=0,$W70,IF(AND($S70&lt;&gt;"",EDATE($D70,Milestones!$AA$65)&gt;=$S70),$V70,IF(AND($R70&lt;&gt;"",EDATE($D70,Milestones!$AA$65)&gt;=$R70),$U70,$T70)))=Milestones!$AB$65),TEXT(EDATE($D70,Milestones!$AA$65),"dd/mm/yy")&amp;" "&amp;Milestones!$AB$65&amp;" "&amp;Milestones!$AC$65&amp;";  ","")&amp;IF(AND(EDATE($D70,Milestones!$AA$66)&lt;=AsOfDate,IF($Q70=0,$W70,IF(AND($S70&lt;&gt;"",EDATE($D70,Milestones!$AA$66)&gt;=$S70),$V70,IF(AND($R70&lt;&gt;"",EDATE($D70,Milestones!$AA$66)&gt;=$R70),$U70,$T70)))=Milestones!$AB$66),TEXT(EDATE($D70,Milestones!$AA$66),"dd/mm/yy")&amp;" "&amp;Milestones!$AB$66&amp;" "&amp;Milestones!$AC$66&amp;";  ","")&amp;IF(AND(EDATE($D70,Milestones!$AA$67)&lt;=AsOfDate,IF($Q70=0,$W70,IF(AND($S70&lt;&gt;"",EDATE($D70,Milestones!$AA$67)&gt;=$S70),$V70,IF(AND($R70&lt;&gt;"",EDATE($D70,Milestones!$AA$67)&gt;=$R70),$U70,$T70)))=Milestones!$AB$67),TEXT(EDATE($D70,Milestones!$AA$67),"dd/mm/yy")&amp;" "&amp;Milestones!$AB$67&amp;" "&amp;Milestones!$AC$67&amp;";  ","")&amp;IF(AND(EDATE($D70,Milestones!$AA$68)&lt;=AsOfDate,IF($Q70=0,$W70,IF(AND($S70&lt;&gt;"",EDATE($D70,Milestones!$AA$68)&gt;=$S70),$V70,IF(AND($R70&lt;&gt;"",EDATE($D70,Milestones!$AA$68)&gt;=$R70),$U70,$T70)))=Milestones!$AB$68),TEXT(EDATE($D70,Milestones!$AA$68),"dd/mm/yy")&amp;" "&amp;Milestones!$AB$68&amp;" "&amp;Milestones!$AC$68&amp;";  ","")&amp;IF(AND(EDATE($D70,Milestones!$AA$69)&lt;=AsOfDate,IF($Q70=0,$W70,IF(AND($S70&lt;&gt;"",EDATE($D70,Milestones!$AA$69)&gt;=$S70),$V70,IF(AND($R70&lt;&gt;"",EDATE($D70,Milestones!$AA$69)&gt;=$R70),$U70,$T70)))=Milestones!$AB$69),TEXT(EDATE($D70,Milestones!$AA$69),"dd/mm/yy")&amp;" "&amp;Milestones!$AB$69&amp;" "&amp;Milestones!$AC$69&amp;";  ","")&amp;IF(AND(EDATE($D70,Milestones!$AA$70)&lt;=AsOfDate,IF($Q70=0,$W70,IF(AND($S70&lt;&gt;"",EDATE($D70,Milestones!$AA$70)&gt;=$S70),$V70,IF(AND($R70&lt;&gt;"",EDATE($D70,Milestones!$AA$70)&gt;=$R70),$U70,$T70)))=Milestones!$AB$70),TEXT(EDATE($D70,Milestones!$AA$70),"dd/mm/yy")&amp;" "&amp;Milestones!$AB$70&amp;" "&amp;Milestones!$AC$70&amp;";  ","")&amp;IF(AND(EDATE($D70,Milestones!$AA$71)&lt;=AsOfDate,IF($Q70=0,$W70,IF(AND($S70&lt;&gt;"",EDATE($D70,Milestones!$AA$71)&gt;=$S70),$V70,IF(AND($R70&lt;&gt;"",EDATE($D70,Milestones!$AA$71)&gt;=$R70),$U70,$T70)))=Milestones!$AB$71),TEXT(EDATE($D70,Milestones!$AA$71),"dd/mm/yy")&amp;" "&amp;Milestones!$AB$71&amp;" "&amp;Milestones!$AC$71&amp;";  ","")&amp;IF(AND(EDATE($D70,Milestones!$AA$72)&lt;=AsOfDate,IF($Q70=0,$W70,IF(AND($S70&lt;&gt;"",EDATE($D70,Milestones!$AA$72)&gt;=$S70),$V70,IF(AND($R70&lt;&gt;"",EDATE($D70,Milestones!$AA$72)&gt;=$R70),$U70,$T70)))=Milestones!$AB$72),TEXT(EDATE($D70,Milestones!$AA$72),"dd/mm/yy")&amp;" "&amp;Milestones!$AB$72&amp;" "&amp;Milestones!$AC$72&amp;";  ","")&amp;IF(AND(EDATE($D70,Milestones!$AA$73)&lt;=AsOfDate,IF($Q70=0,$W70,IF(AND($S70&lt;&gt;"",EDATE($D70,Milestones!$AA$73)&gt;=$S70),$V70,IF(AND($R70&lt;&gt;"",EDATE($D70,Milestones!$AA$73)&gt;=$R70),$U70,$T70)))=Milestones!$AB$73),TEXT(EDATE($D70,Milestones!$AA$73),"dd/mm/yy")&amp;" "&amp;Milestones!$AB$73&amp;" "&amp;Milestones!$AC$73&amp;";  ","")&amp;IF(AND(EDATE($D70,Milestones!$AA$74)&lt;=AsOfDate,IF($Q70=0,$W70,IF(AND($S70&lt;&gt;"",EDATE($D70,Milestones!$AA$74)&gt;=$S70),$V70,IF(AND($R70&lt;&gt;"",EDATE($D70,Milestones!$AA$74)&gt;=$R70),$U70,$T70)))=Milestones!$AB$74),TEXT(EDATE($D70,Milestones!$AA$74),"dd/mm/yy")&amp;" "&amp;Milestones!$AB$74&amp;" "&amp;Milestones!$AC$74&amp;";  ","")&amp;IF(AND(EDATE($D70,Milestones!$AA$75)&lt;=AsOfDate,IF($Q70=0,$W70,IF(AND($S70&lt;&gt;"",EDATE($D70,Milestones!$AA$75)&gt;=$S70),$V70,IF(AND($R70&lt;&gt;"",EDATE($D70,Milestones!$AA$75)&gt;=$R70),$U70,$T70)))=Milestones!$AB$75),TEXT(EDATE($D70,Milestones!$AA$75),"dd/mm/yy")&amp;" "&amp;Milestones!$AB$75&amp;" "&amp;Milestones!$AC$75&amp;";  ","")&amp;IF(AND(EDATE($D70,Milestones!$AA$76)&lt;=AsOfDate,IF($Q70=0,$W70,IF(AND($S70&lt;&gt;"",EDATE($D70,Milestones!$AA$76)&gt;=$S70),$V70,IF(AND($R70&lt;&gt;"",EDATE($D70,Milestones!$AA$76)&gt;=$R70),$U70,$T70)))=Milestones!$AB$76),TEXT(EDATE($D70,Milestones!$AA$76),"dd/mm/yy")&amp;" "&amp;Milestones!$AB$76&amp;" "&amp;Milestones!$AC$76&amp;";  ","")&amp;IF(AND(EDATE($D70,Milestones!$AA$77)&lt;=AsOfDate,IF($Q70=0,$W70,IF(AND($S70&lt;&gt;"",EDATE($D70,Milestones!$AA$77)&gt;=$S70),$V70,IF(AND($R70&lt;&gt;"",EDATE($D70,Milestones!$AA$77)&gt;=$R70),$U70,$T70)))=Milestones!$AB$77),TEXT(EDATE($D70,Milestones!$AA$77),"dd/mm/yy")&amp;" "&amp;Milestones!$AB$77&amp;" "&amp;Milestones!$AC$77&amp;";  ","")&amp;IF(AND(EDATE($D70,Milestones!$AA$78)&lt;=AsOfDate,IF($Q70=0,$W70,IF(AND($S70&lt;&gt;"",EDATE($D70,Milestones!$AA$78)&gt;=$S70),$V70,IF(AND($R70&lt;&gt;"",EDATE($D70,Milestones!$AA$78)&gt;=$R70),$U70,$T70)))=Milestones!$AB$78),TEXT(EDATE($D70,Milestones!$AA$78),"dd/mm/yy")&amp;" "&amp;Milestones!$AB$78&amp;" "&amp;Milestones!$AC$78&amp;";  ","")&amp;IF(AND(EDATE($D70,Milestones!$AA$79)&lt;=AsOfDate,IF($Q70=0,$W70,IF(AND($S70&lt;&gt;"",EDATE($D70,Milestones!$AA$79)&gt;=$S70),$V70,IF(AND($R70&lt;&gt;"",EDATE($D70,Milestones!$AA$79)&gt;=$R70),$U70,$T70)))=Milestones!$AB$79),TEXT(EDATE($D70,Milestones!$AA$79),"dd/mm/yy")&amp;" "&amp;Milestones!$AB$79&amp;" "&amp;Milestones!$AC$79&amp;";  ",""))</f>
        <v/>
      </c>
      <c r="K70" s="0" t="str">
        <f aca="false">IF(OR($A70="",$D70=""),"",IF(AND(EDATE($D70,Milestones!$AA$80)&lt;=AsOfDate,IF($Q70=0,$W70,IF(AND($S70&lt;&gt;"",EDATE($D70,Milestones!$AA$80)&gt;=$S70),$V70,IF(AND($R70&lt;&gt;"",EDATE($D70,Milestones!$AA$80)&gt;=$R70),$U70,$T70)))=Milestones!$AB$80),TEXT(EDATE($D70,Milestones!$AA$80),"dd/mm/yy")&amp;" "&amp;Milestones!$AB$80&amp;" "&amp;Milestones!$AC$80&amp;";  ","")&amp;IF(AND(EDATE($D70,Milestones!$AA$81)&lt;=AsOfDate,IF($Q70=0,$W70,IF(AND($S70&lt;&gt;"",EDATE($D70,Milestones!$AA$81)&gt;=$S70),$V70,IF(AND($R70&lt;&gt;"",EDATE($D70,Milestones!$AA$81)&gt;=$R70),$U70,$T70)))=Milestones!$AB$81),TEXT(EDATE($D70,Milestones!$AA$81),"dd/mm/yy")&amp;" "&amp;Milestones!$AB$81&amp;" "&amp;Milestones!$AC$81&amp;";  ","")&amp;IF(AND(EDATE($D70,Milestones!$AA$82)&lt;=AsOfDate,IF($Q70=0,$W70,IF(AND($S70&lt;&gt;"",EDATE($D70,Milestones!$AA$82)&gt;=$S70),$V70,IF(AND($R70&lt;&gt;"",EDATE($D70,Milestones!$AA$82)&gt;=$R70),$U70,$T70)))=Milestones!$AB$82),TEXT(EDATE($D70,Milestones!$AA$82),"dd/mm/yy")&amp;" "&amp;Milestones!$AB$82&amp;" "&amp;Milestones!$AC$82&amp;";  ","")&amp;IF(AND(EDATE($D70,Milestones!$AA$83)&lt;=AsOfDate,IF($Q70=0,$W70,IF(AND($S70&lt;&gt;"",EDATE($D70,Milestones!$AA$83)&gt;=$S70),$V70,IF(AND($R70&lt;&gt;"",EDATE($D70,Milestones!$AA$83)&gt;=$R70),$U70,$T70)))=Milestones!$AB$83),TEXT(EDATE($D70,Milestones!$AA$83),"dd/mm/yy")&amp;" "&amp;Milestones!$AB$83&amp;" "&amp;Milestones!$AC$83&amp;";  ","")&amp;IF(AND(EDATE($D70,Milestones!$AA$84)&lt;=AsOfDate,IF($Q70=0,$W70,IF(AND($S70&lt;&gt;"",EDATE($D70,Milestones!$AA$84)&gt;=$S70),$V70,IF(AND($R70&lt;&gt;"",EDATE($D70,Milestones!$AA$84)&gt;=$R70),$U70,$T70)))=Milestones!$AB$84),TEXT(EDATE($D70,Milestones!$AA$84),"dd/mm/yy")&amp;" "&amp;Milestones!$AB$84&amp;" "&amp;Milestones!$AC$84&amp;";  ","")&amp;IF(AND(EDATE($D70,Milestones!$AA$85)&lt;=AsOfDate,IF($Q70=0,$W70,IF(AND($S70&lt;&gt;"",EDATE($D70,Milestones!$AA$85)&gt;=$S70),$V70,IF(AND($R70&lt;&gt;"",EDATE($D70,Milestones!$AA$85)&gt;=$R70),$U70,$T70)))=Milestones!$AB$85),TEXT(EDATE($D70,Milestones!$AA$85),"dd/mm/yy")&amp;" "&amp;Milestones!$AB$85&amp;" "&amp;Milestones!$AC$85&amp;";  ","")&amp;IF(AND(EDATE($D70,Milestones!$AA$86)&lt;=AsOfDate,IF($Q70=0,$W70,IF(AND($S70&lt;&gt;"",EDATE($D70,Milestones!$AA$86)&gt;=$S70),$V70,IF(AND($R70&lt;&gt;"",EDATE($D70,Milestones!$AA$86)&gt;=$R70),$U70,$T70)))=Milestones!$AB$86),TEXT(EDATE($D70,Milestones!$AA$86),"dd/mm/yy")&amp;" "&amp;Milestones!$AB$86&amp;" "&amp;Milestones!$AC$86&amp;";  ","")&amp;IF(AND(EDATE($D70,Milestones!$AA$87)&lt;=AsOfDate,IF($Q70=0,$W70,IF(AND($S70&lt;&gt;"",EDATE($D70,Milestones!$AA$87)&gt;=$S70),$V70,IF(AND($R70&lt;&gt;"",EDATE($D70,Milestones!$AA$87)&gt;=$R70),$U70,$T70)))=Milestones!$AB$87),TEXT(EDATE($D70,Milestones!$AA$87),"dd/mm/yy")&amp;" "&amp;Milestones!$AB$87&amp;" "&amp;Milestones!$AC$87&amp;";  ","")&amp;IF(AND(EDATE($D70,Milestones!$AA$88)&lt;=AsOfDate,IF($Q70=0,$W70,IF(AND($S70&lt;&gt;"",EDATE($D70,Milestones!$AA$88)&gt;=$S70),$V70,IF(AND($R70&lt;&gt;"",EDATE($D70,Milestones!$AA$88)&gt;=$R70),$U70,$T70)))=Milestones!$AB$88),TEXT(EDATE($D70,Milestones!$AA$88),"dd/mm/yy")&amp;" "&amp;Milestones!$AB$88&amp;" "&amp;Milestones!$AC$88&amp;";  ","")&amp;IF(AND(EDATE($D70,Milestones!$AA$89)&lt;=AsOfDate,IF($Q70=0,$W70,IF(AND($S70&lt;&gt;"",EDATE($D70,Milestones!$AA$89)&gt;=$S70),$V70,IF(AND($R70&lt;&gt;"",EDATE($D70,Milestones!$AA$89)&gt;=$R70),$U70,$T70)))=Milestones!$AB$89),TEXT(EDATE($D70,Milestones!$AA$89),"dd/mm/yy")&amp;" "&amp;Milestones!$AB$89&amp;" "&amp;Milestones!$AC$89&amp;";  ","")&amp;IF(AND(EDATE($D70,Milestones!$AA$90)&lt;=AsOfDate,IF($Q70=0,$W70,IF(AND($S70&lt;&gt;"",EDATE($D70,Milestones!$AA$90)&gt;=$S70),$V70,IF(AND($R70&lt;&gt;"",EDATE($D70,Milestones!$AA$90)&gt;=$R70),$U70,$T70)))=Milestones!$AB$90),TEXT(EDATE($D70,Milestones!$AA$90),"dd/mm/yy")&amp;" "&amp;Milestones!$AB$90&amp;" "&amp;Milestones!$AC$90&amp;";  ","")&amp;IF(AND(EDATE($D70,Milestones!$AA$91)&lt;=AsOfDate,IF($Q70=0,$W70,IF(AND($S70&lt;&gt;"",EDATE($D70,Milestones!$AA$91)&gt;=$S70),$V70,IF(AND($R70&lt;&gt;"",EDATE($D70,Milestones!$AA$91)&gt;=$R70),$U70,$T70)))=Milestones!$AB$91),TEXT(EDATE($D70,Milestones!$AA$91),"dd/mm/yy")&amp;" "&amp;Milestones!$AB$91&amp;" "&amp;Milestones!$AC$91&amp;";  ","")&amp;IF(AND(EDATE($D70,Milestones!$AA$92)&lt;=AsOfDate,IF($Q70=0,$W70,IF(AND($S70&lt;&gt;"",EDATE($D70,Milestones!$AA$92)&gt;=$S70),$V70,IF(AND($R70&lt;&gt;"",EDATE($D70,Milestones!$AA$92)&gt;=$R70),$U70,$T70)))=Milestones!$AB$92),TEXT(EDATE($D70,Milestones!$AA$92),"dd/mm/yy")&amp;" "&amp;Milestones!$AB$92&amp;" "&amp;Milestones!$AC$92&amp;";  ","")&amp;IF(AND(EDATE($D70,Milestones!$AA$93)&lt;=AsOfDate,IF($Q70=0,$W70,IF(AND($S70&lt;&gt;"",EDATE($D70,Milestones!$AA$93)&gt;=$S70),$V70,IF(AND($R70&lt;&gt;"",EDATE($D70,Milestones!$AA$93)&gt;=$R70),$U70,$T70)))=Milestones!$AB$93),TEXT(EDATE($D70,Milestones!$AA$93),"dd/mm/yy")&amp;" "&amp;Milestones!$AB$93&amp;" "&amp;Milestones!$AC$93&amp;";  ","")&amp;IF(AND(EDATE($D70,Milestones!$AA$94)&lt;=AsOfDate,IF($Q70=0,$W70,IF(AND($S70&lt;&gt;"",EDATE($D70,Milestones!$AA$94)&gt;=$S70),$V70,IF(AND($R70&lt;&gt;"",EDATE($D70,Milestones!$AA$94)&gt;=$R70),$U70,$T70)))=Milestones!$AB$94),TEXT(EDATE($D70,Milestones!$AA$94),"dd/mm/yy")&amp;" "&amp;Milestones!$AB$94&amp;" "&amp;Milestones!$AC$94&amp;";  ","")&amp;IF(AND(EDATE($D70,Milestones!$AA$95)&lt;=AsOfDate,IF($Q70=0,$W70,IF(AND($S70&lt;&gt;"",EDATE($D70,Milestones!$AA$95)&gt;=$S70),$V70,IF(AND($R70&lt;&gt;"",EDATE($D70,Milestones!$AA$95)&gt;=$R70),$U70,$T70)))=Milestones!$AB$95),TEXT(EDATE($D70,Milestones!$AA$95),"dd/mm/yy")&amp;" "&amp;Milestones!$AB$95&amp;" "&amp;Milestones!$AC$95&amp;";  ","")&amp;IF(AND(EDATE($D70,Milestones!$AA$96)&lt;=AsOfDate,IF($Q70=0,$W70,IF(AND($S70&lt;&gt;"",EDATE($D70,Milestones!$AA$96)&gt;=$S70),$V70,IF(AND($R70&lt;&gt;"",EDATE($D70,Milestones!$AA$96)&gt;=$R70),$U70,$T70)))=Milestones!$AB$96),TEXT(EDATE($D70,Milestones!$AA$96),"dd/mm/yy")&amp;" "&amp;Milestones!$AB$96&amp;" "&amp;Milestones!$AC$96&amp;";  ","")&amp;IF(AND(EDATE($D70,Milestones!$AA$97)&lt;=AsOfDate,IF($Q70=0,$W70,IF(AND($S70&lt;&gt;"",EDATE($D70,Milestones!$AA$97)&gt;=$S70),$V70,IF(AND($R70&lt;&gt;"",EDATE($D70,Milestones!$AA$97)&gt;=$R70),$U70,$T70)))=Milestones!$AB$97),TEXT(EDATE($D70,Milestones!$AA$97),"dd/mm/yy")&amp;" "&amp;Milestones!$AB$97&amp;" "&amp;Milestones!$AC$97&amp;";  ","")&amp;IF(AND(EDATE($D70,Milestones!$AA$98)&lt;=AsOfDate,IF($Q70=0,$W70,IF(AND($S70&lt;&gt;"",EDATE($D70,Milestones!$AA$98)&gt;=$S70),$V70,IF(AND($R70&lt;&gt;"",EDATE($D70,Milestones!$AA$98)&gt;=$R70),$U70,$T70)))=Milestones!$AB$98),TEXT(EDATE($D70,Milestones!$AA$98),"dd/mm/yy")&amp;" "&amp;Milestones!$AB$98&amp;" "&amp;Milestones!$AC$98&amp;";  ","")&amp;IF(AND(EDATE($D70,Milestones!$AA$99)&lt;=AsOfDate,IF($Q70=0,$W70,IF(AND($S70&lt;&gt;"",EDATE($D70,Milestones!$AA$99)&gt;=$S70),$V70,IF(AND($R70&lt;&gt;"",EDATE($D70,Milestones!$AA$99)&gt;=$R70),$U70,$T70)))=Milestones!$AB$99),TEXT(EDATE($D70,Milestones!$AA$99),"dd/mm/yy")&amp;" "&amp;Milestones!$AB$99&amp;" "&amp;Milestones!$AC$99&amp;";  ",""))</f>
        <v/>
      </c>
      <c r="L70" s="0" t="str">
        <f aca="false">IF(OR($A70="",$D70=""),"",IF(AND(EDATE($D70,Milestones!$AA$100)&lt;=AsOfDate,IF($Q70=0,$W70,IF(AND($S70&lt;&gt;"",EDATE($D70,Milestones!$AA$100)&gt;=$S70),$V70,IF(AND($R70&lt;&gt;"",EDATE($D70,Milestones!$AA$100)&gt;=$R70),$U70,$T70)))=Milestones!$AB$100),TEXT(EDATE($D70,Milestones!$AA$100),"dd/mm/yy")&amp;" "&amp;Milestones!$AB$100&amp;" "&amp;Milestones!$AC$100&amp;";  ","")&amp;IF(AND(EDATE($D70,Milestones!$AA$101)&lt;=AsOfDate,IF($Q70=0,$W70,IF(AND($S70&lt;&gt;"",EDATE($D70,Milestones!$AA$101)&gt;=$S70),$V70,IF(AND($R70&lt;&gt;"",EDATE($D70,Milestones!$AA$101)&gt;=$R70),$U70,$T70)))=Milestones!$AB$101),TEXT(EDATE($D70,Milestones!$AA$101),"dd/mm/yy")&amp;" "&amp;Milestones!$AB$101&amp;" "&amp;Milestones!$AC$101&amp;";  ","")&amp;IF(AND(EDATE($D70,Milestones!$AA$102)&lt;=AsOfDate,IF($Q70=0,$W70,IF(AND($S70&lt;&gt;"",EDATE($D70,Milestones!$AA$102)&gt;=$S70),$V70,IF(AND($R70&lt;&gt;"",EDATE($D70,Milestones!$AA$102)&gt;=$R70),$U70,$T70)))=Milestones!$AB$102),TEXT(EDATE($D70,Milestones!$AA$102),"dd/mm/yy")&amp;" "&amp;Milestones!$AB$102&amp;" "&amp;Milestones!$AC$102&amp;";  ","")&amp;IF(AND(EDATE($D70,Milestones!$AA$103)&lt;=AsOfDate,IF($Q70=0,$W70,IF(AND($S70&lt;&gt;"",EDATE($D70,Milestones!$AA$103)&gt;=$S70),$V70,IF(AND($R70&lt;&gt;"",EDATE($D70,Milestones!$AA$103)&gt;=$R70),$U70,$T70)))=Milestones!$AB$103),TEXT(EDATE($D70,Milestones!$AA$103),"dd/mm/yy")&amp;" "&amp;Milestones!$AB$103&amp;" "&amp;Milestones!$AC$103&amp;";  ","")&amp;IF(AND(EDATE($D70,Milestones!$AA$104)&lt;=AsOfDate,IF($Q70=0,$W70,IF(AND($S70&lt;&gt;"",EDATE($D70,Milestones!$AA$104)&gt;=$S70),$V70,IF(AND($R70&lt;&gt;"",EDATE($D70,Milestones!$AA$104)&gt;=$R70),$U70,$T70)))=Milestones!$AB$104),TEXT(EDATE($D70,Milestones!$AA$104),"dd/mm/yy")&amp;" "&amp;Milestones!$AB$104&amp;" "&amp;Milestones!$AC$104&amp;";  ","")&amp;IF(AND(EDATE($D70,Milestones!$AA$105)&lt;=AsOfDate,IF($Q70=0,$W70,IF(AND($S70&lt;&gt;"",EDATE($D70,Milestones!$AA$105)&gt;=$S70),$V70,IF(AND($R70&lt;&gt;"",EDATE($D70,Milestones!$AA$105)&gt;=$R70),$U70,$T70)))=Milestones!$AB$105),TEXT(EDATE($D70,Milestones!$AA$105),"dd/mm/yy")&amp;" "&amp;Milestones!$AB$105&amp;" "&amp;Milestones!$AC$105&amp;";  ","")&amp;IF(AND(EDATE($D70,Milestones!$AA$106)&lt;=AsOfDate,IF($Q70=0,$W70,IF(AND($S70&lt;&gt;"",EDATE($D70,Milestones!$AA$106)&gt;=$S70),$V70,IF(AND($R70&lt;&gt;"",EDATE($D70,Milestones!$AA$106)&gt;=$R70),$U70,$T70)))=Milestones!$AB$106),TEXT(EDATE($D70,Milestones!$AA$106),"dd/mm/yy")&amp;" "&amp;Milestones!$AB$106&amp;" "&amp;Milestones!$AC$106&amp;";  ","")&amp;IF(AND(EDATE($D70,Milestones!$AA$107)&lt;=AsOfDate,IF($Q70=0,$W70,IF(AND($S70&lt;&gt;"",EDATE($D70,Milestones!$AA$107)&gt;=$S70),$V70,IF(AND($R70&lt;&gt;"",EDATE($D70,Milestones!$AA$107)&gt;=$R70),$U70,$T70)))=Milestones!$AB$107),TEXT(EDATE($D70,Milestones!$AA$107),"dd/mm/yy")&amp;" "&amp;Milestones!$AB$107&amp;" "&amp;Milestones!$AC$107&amp;";  ","")&amp;IF(AND(EDATE($D70,Milestones!$AA$108)&lt;=AsOfDate,IF($Q70=0,$W70,IF(AND($S70&lt;&gt;"",EDATE($D70,Milestones!$AA$108)&gt;=$S70),$V70,IF(AND($R70&lt;&gt;"",EDATE($D70,Milestones!$AA$108)&gt;=$R70),$U70,$T70)))=Milestones!$AB$108),TEXT(EDATE($D70,Milestones!$AA$108),"dd/mm/yy")&amp;" "&amp;Milestones!$AB$108&amp;" "&amp;Milestones!$AC$108&amp;";  ","")&amp;IF(AND(EDATE($D70,Milestones!$AA$109)&lt;=AsOfDate,IF($Q70=0,$W70,IF(AND($S70&lt;&gt;"",EDATE($D70,Milestones!$AA$109)&gt;=$S70),$V70,IF(AND($R70&lt;&gt;"",EDATE($D70,Milestones!$AA$109)&gt;=$R70),$U70,$T70)))=Milestones!$AB$109),TEXT(EDATE($D70,Milestones!$AA$109),"dd/mm/yy")&amp;" "&amp;Milestones!$AB$109&amp;" "&amp;Milestones!$AC$109&amp;";  ","")&amp;IF(AND(EDATE($D70,Milestones!$AA$110)&lt;=AsOfDate,IF($Q70=0,$W70,IF(AND($S70&lt;&gt;"",EDATE($D70,Milestones!$AA$110)&gt;=$S70),$V70,IF(AND($R70&lt;&gt;"",EDATE($D70,Milestones!$AA$110)&gt;=$R70),$U70,$T70)))=Milestones!$AB$110),TEXT(EDATE($D70,Milestones!$AA$110),"dd/mm/yy")&amp;" "&amp;Milestones!$AB$110&amp;" "&amp;Milestones!$AC$110&amp;";  ","")&amp;IF(AND(EDATE($D70,Milestones!$AA$111)&lt;=AsOfDate,IF($Q70=0,$W70,IF(AND($S70&lt;&gt;"",EDATE($D70,Milestones!$AA$111)&gt;=$S70),$V70,IF(AND($R70&lt;&gt;"",EDATE($D70,Milestones!$AA$111)&gt;=$R70),$U70,$T70)))=Milestones!$AB$111),TEXT(EDATE($D70,Milestones!$AA$111),"dd/mm/yy")&amp;" "&amp;Milestones!$AB$111&amp;" "&amp;Milestones!$AC$111&amp;";  ","")&amp;IF(AND(EDATE($D70,Milestones!$AA$112)&lt;=AsOfDate,IF($Q70=0,$W70,IF(AND($S70&lt;&gt;"",EDATE($D70,Milestones!$AA$112)&gt;=$S70),$V70,IF(AND($R70&lt;&gt;"",EDATE($D70,Milestones!$AA$112)&gt;=$R70),$U70,$T70)))=Milestones!$AB$112),TEXT(EDATE($D70,Milestones!$AA$112),"dd/mm/yy")&amp;" "&amp;Milestones!$AB$112&amp;" "&amp;Milestones!$AC$112&amp;";  ","")&amp;IF(AND(EDATE($D70,Milestones!$AA$113)&lt;=AsOfDate,IF($Q70=0,$W70,IF(AND($S70&lt;&gt;"",EDATE($D70,Milestones!$AA$113)&gt;=$S70),$V70,IF(AND($R70&lt;&gt;"",EDATE($D70,Milestones!$AA$113)&gt;=$R70),$U70,$T70)))=Milestones!$AB$113),TEXT(EDATE($D70,Milestones!$AA$113),"dd/mm/yy")&amp;" "&amp;Milestones!$AB$113&amp;" "&amp;Milestones!$AC$113&amp;";  ","")&amp;IF(AND(EDATE($D70,Milestones!$AA$114)&lt;=AsOfDate,IF($Q70=0,$W70,IF(AND($S70&lt;&gt;"",EDATE($D70,Milestones!$AA$114)&gt;=$S70),$V70,IF(AND($R70&lt;&gt;"",EDATE($D70,Milestones!$AA$114)&gt;=$R70),$U70,$T70)))=Milestones!$AB$114),TEXT(EDATE($D70,Milestones!$AA$114),"dd/mm/yy")&amp;" "&amp;Milestones!$AB$114&amp;" "&amp;Milestones!$AC$114&amp;";  ","")&amp;IF(AND(EDATE($D70,Milestones!$AA$115)&lt;=AsOfDate,IF($Q70=0,$W70,IF(AND($S70&lt;&gt;"",EDATE($D70,Milestones!$AA$115)&gt;=$S70),$V70,IF(AND($R70&lt;&gt;"",EDATE($D70,Milestones!$AA$115)&gt;=$R70),$U70,$T70)))=Milestones!$AB$115),TEXT(EDATE($D70,Milestones!$AA$115),"dd/mm/yy")&amp;" "&amp;Milestones!$AB$115&amp;" "&amp;Milestones!$AC$115&amp;";  ","")&amp;IF(AND(EDATE($D70,Milestones!$AA$116)&lt;=AsOfDate,IF($Q70=0,$W70,IF(AND($S70&lt;&gt;"",EDATE($D70,Milestones!$AA$116)&gt;=$S70),$V70,IF(AND($R70&lt;&gt;"",EDATE($D70,Milestones!$AA$116)&gt;=$R70),$U70,$T70)))=Milestones!$AB$116),TEXT(EDATE($D70,Milestones!$AA$116),"dd/mm/yy")&amp;" "&amp;Milestones!$AB$116&amp;" "&amp;Milestones!$AC$116&amp;";  ","")&amp;IF(AND(EDATE($D70,Milestones!$AA$117)&lt;=AsOfDate,IF($Q70=0,$W70,IF(AND($S70&lt;&gt;"",EDATE($D70,Milestones!$AA$117)&gt;=$S70),$V70,IF(AND($R70&lt;&gt;"",EDATE($D70,Milestones!$AA$117)&gt;=$R70),$U70,$T70)))=Milestones!$AB$117),TEXT(EDATE($D70,Milestones!$AA$117),"dd/mm/yy")&amp;" "&amp;Milestones!$AB$117&amp;" "&amp;Milestones!$AC$117&amp;";  ","")&amp;IF(AND(EDATE($D70,Milestones!$AA$118)&lt;=AsOfDate,IF($Q70=0,$W70,IF(AND($S70&lt;&gt;"",EDATE($D70,Milestones!$AA$118)&gt;=$S70),$V70,IF(AND($R70&lt;&gt;"",EDATE($D70,Milestones!$AA$118)&gt;=$R70),$U70,$T70)))=Milestones!$AB$118),TEXT(EDATE($D70,Milestones!$AA$118),"dd/mm/yy")&amp;" "&amp;Milestones!$AB$118&amp;" "&amp;Milestones!$AC$118&amp;";  ","")&amp;IF(AND(EDATE($D70,Milestones!$AA$119)&lt;=AsOfDate,IF($Q70=0,$W70,IF(AND($S70&lt;&gt;"",EDATE($D70,Milestones!$AA$119)&gt;=$S70),$V70,IF(AND($R70&lt;&gt;"",EDATE($D70,Milestones!$AA$119)&gt;=$R70),$U70,$T70)))=Milestones!$AB$119),TEXT(EDATE($D70,Milestones!$AA$119),"dd/mm/yy")&amp;" "&amp;Milestones!$AB$119&amp;" "&amp;Milestones!$AC$119&amp;";  ",""))</f>
        <v/>
      </c>
      <c r="M70" s="0" t="str">
        <f aca="false">IF(OR($A70="",$D70=""),"",IF(AND(EDATE($D70,Milestones!$AA$120)&lt;=AsOfDate,IF($Q70=0,$W70,IF(AND($S70&lt;&gt;"",EDATE($D70,Milestones!$AA$120)&gt;=$S70),$V70,IF(AND($R70&lt;&gt;"",EDATE($D70,Milestones!$AA$120)&gt;=$R70),$U70,$T70)))=Milestones!$AB$120),TEXT(EDATE($D70,Milestones!$AA$120),"dd/mm/yy")&amp;" "&amp;Milestones!$AB$120&amp;" "&amp;Milestones!$AC$120&amp;";  ","")&amp;IF(AND(EDATE($D70,Milestones!$AA$121)&lt;=AsOfDate,IF($Q70=0,$W70,IF(AND($S70&lt;&gt;"",EDATE($D70,Milestones!$AA$121)&gt;=$S70),$V70,IF(AND($R70&lt;&gt;"",EDATE($D70,Milestones!$AA$121)&gt;=$R70),$U70,$T70)))=Milestones!$AB$121),TEXT(EDATE($D70,Milestones!$AA$121),"dd/mm/yy")&amp;" "&amp;Milestones!$AB$121&amp;" "&amp;Milestones!$AC$121&amp;";  ","")&amp;IF(AND(EDATE($D70,Milestones!$AA$122)&lt;=AsOfDate,IF($Q70=0,$W70,IF(AND($S70&lt;&gt;"",EDATE($D70,Milestones!$AA$122)&gt;=$S70),$V70,IF(AND($R70&lt;&gt;"",EDATE($D70,Milestones!$AA$122)&gt;=$R70),$U70,$T70)))=Milestones!$AB$122),TEXT(EDATE($D70,Milestones!$AA$122),"dd/mm/yy")&amp;" "&amp;Milestones!$AB$122&amp;" "&amp;Milestones!$AC$122&amp;";  ","")&amp;IF(AND(EDATE($D70,Milestones!$AA$123)&lt;=AsOfDate,IF($Q70=0,$W70,IF(AND($S70&lt;&gt;"",EDATE($D70,Milestones!$AA$123)&gt;=$S70),$V70,IF(AND($R70&lt;&gt;"",EDATE($D70,Milestones!$AA$123)&gt;=$R70),$U70,$T70)))=Milestones!$AB$123),TEXT(EDATE($D70,Milestones!$AA$123),"dd/mm/yy")&amp;" "&amp;Milestones!$AB$123&amp;" "&amp;Milestones!$AC$123&amp;";  ","")&amp;IF(AND(EDATE($D70,Milestones!$AA$124)&lt;=AsOfDate,IF($Q70=0,$W70,IF(AND($S70&lt;&gt;"",EDATE($D70,Milestones!$AA$124)&gt;=$S70),$V70,IF(AND($R70&lt;&gt;"",EDATE($D70,Milestones!$AA$124)&gt;=$R70),$U70,$T70)))=Milestones!$AB$124),TEXT(EDATE($D70,Milestones!$AA$124),"dd/mm/yy")&amp;" "&amp;Milestones!$AB$124&amp;" "&amp;Milestones!$AC$124&amp;";  ","")&amp;IF(AND(EDATE($D70,Milestones!$AA$125)&lt;=AsOfDate,IF($Q70=0,$W70,IF(AND($S70&lt;&gt;"",EDATE($D70,Milestones!$AA$125)&gt;=$S70),$V70,IF(AND($R70&lt;&gt;"",EDATE($D70,Milestones!$AA$125)&gt;=$R70),$U70,$T70)))=Milestones!$AB$125),TEXT(EDATE($D70,Milestones!$AA$125),"dd/mm/yy")&amp;" "&amp;Milestones!$AB$125&amp;" "&amp;Milestones!$AC$125&amp;";  ","")&amp;IF(AND(EDATE($D70,Milestones!$AA$126)&lt;=AsOfDate,IF($Q70=0,$W70,IF(AND($S70&lt;&gt;"",EDATE($D70,Milestones!$AA$126)&gt;=$S70),$V70,IF(AND($R70&lt;&gt;"",EDATE($D70,Milestones!$AA$126)&gt;=$R70),$U70,$T70)))=Milestones!$AB$126),TEXT(EDATE($D70,Milestones!$AA$126),"dd/mm/yy")&amp;" "&amp;Milestones!$AB$126&amp;" "&amp;Milestones!$AC$126&amp;";  ","")&amp;IF(AND(EDATE($D70,Milestones!$AA$127)&lt;=AsOfDate,IF($Q70=0,$W70,IF(AND($S70&lt;&gt;"",EDATE($D70,Milestones!$AA$127)&gt;=$S70),$V70,IF(AND($R70&lt;&gt;"",EDATE($D70,Milestones!$AA$127)&gt;=$R70),$U70,$T70)))=Milestones!$AB$127),TEXT(EDATE($D70,Milestones!$AA$127),"dd/mm/yy")&amp;" "&amp;Milestones!$AB$127&amp;" "&amp;Milestones!$AC$127&amp;";  ","")&amp;IF(AND(EDATE($D70,Milestones!$AA$128)&lt;=AsOfDate,IF($Q70=0,$W70,IF(AND($S70&lt;&gt;"",EDATE($D70,Milestones!$AA$128)&gt;=$S70),$V70,IF(AND($R70&lt;&gt;"",EDATE($D70,Milestones!$AA$128)&gt;=$R70),$U70,$T70)))=Milestones!$AB$128),TEXT(EDATE($D70,Milestones!$AA$128),"dd/mm/yy")&amp;" "&amp;Milestones!$AB$128&amp;" "&amp;Milestones!$AC$128&amp;";  ","")&amp;IF(AND(EDATE($D70,Milestones!$AA$129)&lt;=AsOfDate,IF($Q70=0,$W70,IF(AND($S70&lt;&gt;"",EDATE($D70,Milestones!$AA$129)&gt;=$S70),$V70,IF(AND($R70&lt;&gt;"",EDATE($D70,Milestones!$AA$129)&gt;=$R70),$U70,$T70)))=Milestones!$AB$129),TEXT(EDATE($D70,Milestones!$AA$129),"dd/mm/yy")&amp;" "&amp;Milestones!$AB$129&amp;" "&amp;Milestones!$AC$129&amp;";  ","")&amp;IF(AND(EDATE($D70,Milestones!$AA$130)&lt;=AsOfDate,IF($Q70=0,$W70,IF(AND($S70&lt;&gt;"",EDATE($D70,Milestones!$AA$130)&gt;=$S70),$V70,IF(AND($R70&lt;&gt;"",EDATE($D70,Milestones!$AA$130)&gt;=$R70),$U70,$T70)))=Milestones!$AB$130),TEXT(EDATE($D70,Milestones!$AA$130),"dd/mm/yy")&amp;" "&amp;Milestones!$AB$130&amp;" "&amp;Milestones!$AC$130&amp;";  ","")&amp;IF(AND(EDATE($D70,Milestones!$AA$131)&lt;=AsOfDate,IF($Q70=0,$W70,IF(AND($S70&lt;&gt;"",EDATE($D70,Milestones!$AA$131)&gt;=$S70),$V70,IF(AND($R70&lt;&gt;"",EDATE($D70,Milestones!$AA$131)&gt;=$R70),$U70,$T70)))=Milestones!$AB$131),TEXT(EDATE($D70,Milestones!$AA$131),"dd/mm/yy")&amp;" "&amp;Milestones!$AB$131&amp;" "&amp;Milestones!$AC$131&amp;";  ","")&amp;IF(AND(EDATE($D70,Milestones!$AA$132)&lt;=AsOfDate,IF($Q70=0,$W70,IF(AND($S70&lt;&gt;"",EDATE($D70,Milestones!$AA$132)&gt;=$S70),$V70,IF(AND($R70&lt;&gt;"",EDATE($D70,Milestones!$AA$132)&gt;=$R70),$U70,$T70)))=Milestones!$AB$132),TEXT(EDATE($D70,Milestones!$AA$132),"dd/mm/yy")&amp;" "&amp;Milestones!$AB$132&amp;" "&amp;Milestones!$AC$132&amp;";  ","")&amp;IF(AND(EDATE($D70,Milestones!$AA$133)&lt;=AsOfDate,IF($Q70=0,$W70,IF(AND($S70&lt;&gt;"",EDATE($D70,Milestones!$AA$133)&gt;=$S70),$V70,IF(AND($R70&lt;&gt;"",EDATE($D70,Milestones!$AA$133)&gt;=$R70),$U70,$T70)))=Milestones!$AB$133),TEXT(EDATE($D70,Milestones!$AA$133),"dd/mm/yy")&amp;" "&amp;Milestones!$AB$133&amp;" "&amp;Milestones!$AC$133&amp;";  ","")&amp;IF(AND(EDATE($D70,Milestones!$AA$134)&lt;=AsOfDate,IF($Q70=0,$W70,IF(AND($S70&lt;&gt;"",EDATE($D70,Milestones!$AA$134)&gt;=$S70),$V70,IF(AND($R70&lt;&gt;"",EDATE($D70,Milestones!$AA$134)&gt;=$R70),$U70,$T70)))=Milestones!$AB$134),TEXT(EDATE($D70,Milestones!$AA$134),"dd/mm/yy")&amp;" "&amp;Milestones!$AB$134&amp;" "&amp;Milestones!$AC$134&amp;";  ","")&amp;IF(AND(EDATE($D70,Milestones!$AA$135)&lt;=AsOfDate,IF($Q70=0,$W70,IF(AND($S70&lt;&gt;"",EDATE($D70,Milestones!$AA$135)&gt;=$S70),$V70,IF(AND($R70&lt;&gt;"",EDATE($D70,Milestones!$AA$135)&gt;=$R70),$U70,$T70)))=Milestones!$AB$135),TEXT(EDATE($D70,Milestones!$AA$135),"dd/mm/yy")&amp;" "&amp;Milestones!$AB$135&amp;" "&amp;Milestones!$AC$135&amp;";  ","")&amp;IF(AND(EDATE($D70,Milestones!$AA$136)&lt;=AsOfDate,IF($Q70=0,$W70,IF(AND($S70&lt;&gt;"",EDATE($D70,Milestones!$AA$136)&gt;=$S70),$V70,IF(AND($R70&lt;&gt;"",EDATE($D70,Milestones!$AA$136)&gt;=$R70),$U70,$T70)))=Milestones!$AB$136),TEXT(EDATE($D70,Milestones!$AA$136),"dd/mm/yy")&amp;" "&amp;Milestones!$AB$136&amp;" "&amp;Milestones!$AC$136&amp;";  ","")&amp;IF(AND(EDATE($D70,Milestones!$AA$137)&lt;=AsOfDate,IF($Q70=0,$W70,IF(AND($S70&lt;&gt;"",EDATE($D70,Milestones!$AA$137)&gt;=$S70),$V70,IF(AND($R70&lt;&gt;"",EDATE($D70,Milestones!$AA$137)&gt;=$R70),$U70,$T70)))=Milestones!$AB$137),TEXT(EDATE($D70,Milestones!$AA$137),"dd/mm/yy")&amp;" "&amp;Milestones!$AB$137&amp;" "&amp;Milestones!$AC$137&amp;";  ","")&amp;IF(AND(EDATE($D70,Milestones!$AA$138)&lt;=AsOfDate,IF($Q70=0,$W70,IF(AND($S70&lt;&gt;"",EDATE($D70,Milestones!$AA$138)&gt;=$S70),$V70,IF(AND($R70&lt;&gt;"",EDATE($D70,Milestones!$AA$138)&gt;=$R70),$U70,$T70)))=Milestones!$AB$138),TEXT(EDATE($D70,Milestones!$AA$138),"dd/mm/yy")&amp;" "&amp;Milestones!$AB$138&amp;" "&amp;Milestones!$AC$138&amp;";  ","")&amp;IF(AND(EDATE($D70,Milestones!$AA$139)&lt;=AsOfDate,IF($Q70=0,$W70,IF(AND($S70&lt;&gt;"",EDATE($D70,Milestones!$AA$139)&gt;=$S70),$V70,IF(AND($R70&lt;&gt;"",EDATE($D70,Milestones!$AA$139)&gt;=$R70),$U70,$T70)))=Milestones!$AB$139),TEXT(EDATE($D70,Milestones!$AA$139),"dd/mm/yy")&amp;" "&amp;Milestones!$AB$139&amp;" "&amp;Milestones!$AC$139&amp;";  ",""))</f>
        <v/>
      </c>
      <c r="N70" s="0" t="str">
        <f aca="false">IF(OR($A70="",$D70=""),"",IF(AND(EDATE($D70,Milestones!$AA$140)&lt;=AsOfDate,IF($Q70=0,$W70,IF(AND($S70&lt;&gt;"",EDATE($D70,Milestones!$AA$140)&gt;=$S70),$V70,IF(AND($R70&lt;&gt;"",EDATE($D70,Milestones!$AA$140)&gt;=$R70),$U70,$T70)))=Milestones!$AB$140),TEXT(EDATE($D70,Milestones!$AA$140),"dd/mm/yy")&amp;" "&amp;Milestones!$AB$140&amp;" "&amp;Milestones!$AC$140&amp;";  ","")&amp;IF(AND(EDATE($D70,Milestones!$AA$141)&lt;=AsOfDate,IF($Q70=0,$W70,IF(AND($S70&lt;&gt;"",EDATE($D70,Milestones!$AA$141)&gt;=$S70),$V70,IF(AND($R70&lt;&gt;"",EDATE($D70,Milestones!$AA$141)&gt;=$R70),$U70,$T70)))=Milestones!$AB$141),TEXT(EDATE($D70,Milestones!$AA$141),"dd/mm/yy")&amp;" "&amp;Milestones!$AB$141&amp;" "&amp;Milestones!$AC$141&amp;";  ","")&amp;IF(AND(EDATE($D70,Milestones!$AA$142)&lt;=AsOfDate,IF($Q70=0,$W70,IF(AND($S70&lt;&gt;"",EDATE($D70,Milestones!$AA$142)&gt;=$S70),$V70,IF(AND($R70&lt;&gt;"",EDATE($D70,Milestones!$AA$142)&gt;=$R70),$U70,$T70)))=Milestones!$AB$142),TEXT(EDATE($D70,Milestones!$AA$142),"dd/mm/yy")&amp;" "&amp;Milestones!$AB$142&amp;" "&amp;Milestones!$AC$142&amp;";  ","")&amp;IF(AND(EDATE($D70,Milestones!$AA$143)&lt;=AsOfDate,IF($Q70=0,$W70,IF(AND($S70&lt;&gt;"",EDATE($D70,Milestones!$AA$143)&gt;=$S70),$V70,IF(AND($R70&lt;&gt;"",EDATE($D70,Milestones!$AA$143)&gt;=$R70),$U70,$T70)))=Milestones!$AB$143),TEXT(EDATE($D70,Milestones!$AA$143),"dd/mm/yy")&amp;" "&amp;Milestones!$AB$143&amp;" "&amp;Milestones!$AC$143&amp;";  ","")&amp;IF(AND(EDATE($D70,Milestones!$AA$144)&lt;=AsOfDate,IF($Q70=0,$W70,IF(AND($S70&lt;&gt;"",EDATE($D70,Milestones!$AA$144)&gt;=$S70),$V70,IF(AND($R70&lt;&gt;"",EDATE($D70,Milestones!$AA$144)&gt;=$R70),$U70,$T70)))=Milestones!$AB$144),TEXT(EDATE($D70,Milestones!$AA$144),"dd/mm/yy")&amp;" "&amp;Milestones!$AB$144&amp;" "&amp;Milestones!$AC$144&amp;";  ","")&amp;IF(AND(EDATE($D70,Milestones!$AA$145)&lt;=AsOfDate,IF($Q70=0,$W70,IF(AND($S70&lt;&gt;"",EDATE($D70,Milestones!$AA$145)&gt;=$S70),$V70,IF(AND($R70&lt;&gt;"",EDATE($D70,Milestones!$AA$145)&gt;=$R70),$U70,$T70)))=Milestones!$AB$145),TEXT(EDATE($D70,Milestones!$AA$145),"dd/mm/yy")&amp;" "&amp;Milestones!$AB$145&amp;" "&amp;Milestones!$AC$145&amp;";  ","")&amp;IF(AND(EDATE($D70,Milestones!$AA$146)&lt;=AsOfDate,IF($Q70=0,$W70,IF(AND($S70&lt;&gt;"",EDATE($D70,Milestones!$AA$146)&gt;=$S70),$V70,IF(AND($R70&lt;&gt;"",EDATE($D70,Milestones!$AA$146)&gt;=$R70),$U70,$T70)))=Milestones!$AB$146),TEXT(EDATE($D70,Milestones!$AA$146),"dd/mm/yy")&amp;" "&amp;Milestones!$AB$146&amp;" "&amp;Milestones!$AC$146&amp;";  ","")&amp;IF(AND(EDATE($D70,Milestones!$AA$147)&lt;=AsOfDate,IF($Q70=0,$W70,IF(AND($S70&lt;&gt;"",EDATE($D70,Milestones!$AA$147)&gt;=$S70),$V70,IF(AND($R70&lt;&gt;"",EDATE($D70,Milestones!$AA$147)&gt;=$R70),$U70,$T70)))=Milestones!$AB$147),TEXT(EDATE($D70,Milestones!$AA$147),"dd/mm/yy")&amp;" "&amp;Milestones!$AB$147&amp;" "&amp;Milestones!$AC$147&amp;";  ","")&amp;IF(AND(EDATE($D70,Milestones!$AA$148)&lt;=AsOfDate,IF($Q70=0,$W70,IF(AND($S70&lt;&gt;"",EDATE($D70,Milestones!$AA$148)&gt;=$S70),$V70,IF(AND($R70&lt;&gt;"",EDATE($D70,Milestones!$AA$148)&gt;=$R70),$U70,$T70)))=Milestones!$AB$148),TEXT(EDATE($D70,Milestones!$AA$148),"dd/mm/yy")&amp;" "&amp;Milestones!$AB$148&amp;" "&amp;Milestones!$AC$148&amp;";  ","")&amp;IF(AND(EDATE($D70,Milestones!$AA$149)&lt;=AsOfDate,IF($Q70=0,$W70,IF(AND($S70&lt;&gt;"",EDATE($D70,Milestones!$AA$149)&gt;=$S70),$V70,IF(AND($R70&lt;&gt;"",EDATE($D70,Milestones!$AA$149)&gt;=$R70),$U70,$T70)))=Milestones!$AB$149),TEXT(EDATE($D70,Milestones!$AA$149),"dd/mm/yy")&amp;" "&amp;Milestones!$AB$149&amp;" "&amp;Milestones!$AC$149&amp;";  ","")&amp;IF(AND(EDATE($D70,Milestones!$AA$150)&lt;=AsOfDate,IF($Q70=0,$W70,IF(AND($S70&lt;&gt;"",EDATE($D70,Milestones!$AA$150)&gt;=$S70),$V70,IF(AND($R70&lt;&gt;"",EDATE($D70,Milestones!$AA$150)&gt;=$R70),$U70,$T70)))=Milestones!$AB$150),TEXT(EDATE($D70,Milestones!$AA$150),"dd/mm/yy")&amp;" "&amp;Milestones!$AB$150&amp;" "&amp;Milestones!$AC$150&amp;";  ","")&amp;IF(AND(EDATE($D70,Milestones!$AA$151)&lt;=AsOfDate,IF($Q70=0,$W70,IF(AND($S70&lt;&gt;"",EDATE($D70,Milestones!$AA$151)&gt;=$S70),$V70,IF(AND($R70&lt;&gt;"",EDATE($D70,Milestones!$AA$151)&gt;=$R70),$U70,$T70)))=Milestones!$AB$151),TEXT(EDATE($D70,Milestones!$AA$151),"dd/mm/yy")&amp;" "&amp;Milestones!$AB$151&amp;" "&amp;Milestones!$AC$151&amp;";  ","")&amp;IF(AND(EDATE($D70,Milestones!$AA$152)&lt;=AsOfDate,IF($Q70=0,$W70,IF(AND($S70&lt;&gt;"",EDATE($D70,Milestones!$AA$152)&gt;=$S70),$V70,IF(AND($R70&lt;&gt;"",EDATE($D70,Milestones!$AA$152)&gt;=$R70),$U70,$T70)))=Milestones!$AB$152),TEXT(EDATE($D70,Milestones!$AA$152),"dd/mm/yy")&amp;" "&amp;Milestones!$AB$152&amp;" "&amp;Milestones!$AC$152&amp;";  ","")&amp;IF(AND(EDATE($D70,Milestones!$AA$153)&lt;=AsOfDate,IF($Q70=0,$W70,IF(AND($S70&lt;&gt;"",EDATE($D70,Milestones!$AA$153)&gt;=$S70),$V70,IF(AND($R70&lt;&gt;"",EDATE($D70,Milestones!$AA$153)&gt;=$R70),$U70,$T70)))=Milestones!$AB$153),TEXT(EDATE($D70,Milestones!$AA$153),"dd/mm/yy")&amp;" "&amp;Milestones!$AB$153&amp;" "&amp;Milestones!$AC$153&amp;";  ","")&amp;IF(AND(EDATE($D70,Milestones!$AA$154)&lt;=AsOfDate,IF($Q70=0,$W70,IF(AND($S70&lt;&gt;"",EDATE($D70,Milestones!$AA$154)&gt;=$S70),$V70,IF(AND($R70&lt;&gt;"",EDATE($D70,Milestones!$AA$154)&gt;=$R70),$U70,$T70)))=Milestones!$AB$154),TEXT(EDATE($D70,Milestones!$AA$154),"dd/mm/yy")&amp;" "&amp;Milestones!$AB$154&amp;" "&amp;Milestones!$AC$154&amp;";  ","")&amp;IF(AND(EDATE($D70,Milestones!$AA$155)&lt;=AsOfDate,IF($Q70=0,$W70,IF(AND($S70&lt;&gt;"",EDATE($D70,Milestones!$AA$155)&gt;=$S70),$V70,IF(AND($R70&lt;&gt;"",EDATE($D70,Milestones!$AA$155)&gt;=$R70),$U70,$T70)))=Milestones!$AB$155),TEXT(EDATE($D70,Milestones!$AA$155),"dd/mm/yy")&amp;" "&amp;Milestones!$AB$155&amp;" "&amp;Milestones!$AC$155&amp;";  ","")&amp;IF(AND(EDATE($D70,Milestones!$AA$156)&lt;=AsOfDate,IF($Q70=0,$W70,IF(AND($S70&lt;&gt;"",EDATE($D70,Milestones!$AA$156)&gt;=$S70),$V70,IF(AND($R70&lt;&gt;"",EDATE($D70,Milestones!$AA$156)&gt;=$R70),$U70,$T70)))=Milestones!$AB$156),TEXT(EDATE($D70,Milestones!$AA$156),"dd/mm/yy")&amp;" "&amp;Milestones!$AB$156&amp;" "&amp;Milestones!$AC$156&amp;";  ","")&amp;IF(AND(EDATE($D70,Milestones!$AA$157)&lt;=AsOfDate,IF($Q70=0,$W70,IF(AND($S70&lt;&gt;"",EDATE($D70,Milestones!$AA$157)&gt;=$S70),$V70,IF(AND($R70&lt;&gt;"",EDATE($D70,Milestones!$AA$157)&gt;=$R70),$U70,$T70)))=Milestones!$AB$157),TEXT(EDATE($D70,Milestones!$AA$157),"dd/mm/yy")&amp;" "&amp;Milestones!$AB$157&amp;" "&amp;Milestones!$AC$157&amp;";  ","")&amp;IF(AND(EDATE($D70,Milestones!$AA$158)&lt;=AsOfDate,IF($Q70=0,$W70,IF(AND($S70&lt;&gt;"",EDATE($D70,Milestones!$AA$158)&gt;=$S70),$V70,IF(AND($R70&lt;&gt;"",EDATE($D70,Milestones!$AA$158)&gt;=$R70),$U70,$T70)))=Milestones!$AB$158),TEXT(EDATE($D70,Milestones!$AA$158),"dd/mm/yy")&amp;" "&amp;Milestones!$AB$158&amp;" "&amp;Milestones!$AC$158&amp;";  ","")&amp;IF(AND(EDATE($D70,Milestones!$AA$159)&lt;=AsOfDate,IF($Q70=0,$W70,IF(AND($S70&lt;&gt;"",EDATE($D70,Milestones!$AA$159)&gt;=$S70),$V70,IF(AND($R70&lt;&gt;"",EDATE($D70,Milestones!$AA$159)&gt;=$R70),$U70,$T70)))=Milestones!$AB$159),TEXT(EDATE($D70,Milestones!$AA$159),"dd/mm/yy")&amp;" "&amp;Milestones!$AB$159&amp;" "&amp;Milestones!$AC$159&amp;";  ",""))</f>
        <v/>
      </c>
      <c r="O70" s="0" t="str">
        <f aca="false">IF(OR($A70="",$D70=""),"",IF(AND(EDATE($D70,Milestones!$AA$160)&lt;=AsOfDate,IF($Q70=0,$W70,IF(AND($S70&lt;&gt;"",EDATE($D70,Milestones!$AA$160)&gt;=$S70),$V70,IF(AND($R70&lt;&gt;"",EDATE($D70,Milestones!$AA$160)&gt;=$R70),$U70,$T70)))=Milestones!$AB$160),TEXT(EDATE($D70,Milestones!$AA$160),"dd/mm/yy")&amp;" "&amp;Milestones!$AB$160&amp;" "&amp;Milestones!$AC$160&amp;";  ","")&amp;IF(AND(EDATE($D70,Milestones!$AA$161)&lt;=AsOfDate,IF($Q70=0,$W70,IF(AND($S70&lt;&gt;"",EDATE($D70,Milestones!$AA$161)&gt;=$S70),$V70,IF(AND($R70&lt;&gt;"",EDATE($D70,Milestones!$AA$161)&gt;=$R70),$U70,$T70)))=Milestones!$AB$161),TEXT(EDATE($D70,Milestones!$AA$161),"dd/mm/yy")&amp;" "&amp;Milestones!$AB$161&amp;" "&amp;Milestones!$AC$161&amp;";  ","")&amp;IF(AND(EDATE($D70,Milestones!$AA$162)&lt;=AsOfDate,IF($Q70=0,$W70,IF(AND($S70&lt;&gt;"",EDATE($D70,Milestones!$AA$162)&gt;=$S70),$V70,IF(AND($R70&lt;&gt;"",EDATE($D70,Milestones!$AA$162)&gt;=$R70),$U70,$T70)))=Milestones!$AB$162),TEXT(EDATE($D70,Milestones!$AA$162),"dd/mm/yy")&amp;" "&amp;Milestones!$AB$162&amp;" "&amp;Milestones!$AC$162&amp;";  ","")&amp;IF(AND(EDATE($D70,Milestones!$AA$163)&lt;=AsOfDate,IF($Q70=0,$W70,IF(AND($S70&lt;&gt;"",EDATE($D70,Milestones!$AA$163)&gt;=$S70),$V70,IF(AND($R70&lt;&gt;"",EDATE($D70,Milestones!$AA$163)&gt;=$R70),$U70,$T70)))=Milestones!$AB$163),TEXT(EDATE($D70,Milestones!$AA$163),"dd/mm/yy")&amp;" "&amp;Milestones!$AB$163&amp;" "&amp;Milestones!$AC$163&amp;";  ","")&amp;IF(AND(EDATE($D70,Milestones!$AA$164)&lt;=AsOfDate,IF($Q70=0,$W70,IF(AND($S70&lt;&gt;"",EDATE($D70,Milestones!$AA$164)&gt;=$S70),$V70,IF(AND($R70&lt;&gt;"",EDATE($D70,Milestones!$AA$164)&gt;=$R70),$U70,$T70)))=Milestones!$AB$164),TEXT(EDATE($D70,Milestones!$AA$164),"dd/mm/yy")&amp;" "&amp;Milestones!$AB$164&amp;" "&amp;Milestones!$AC$164&amp;";  ","")&amp;IF(AND(EDATE($D70,Milestones!$AA$165)&lt;=AsOfDate,IF($Q70=0,$W70,IF(AND($S70&lt;&gt;"",EDATE($D70,Milestones!$AA$165)&gt;=$S70),$V70,IF(AND($R70&lt;&gt;"",EDATE($D70,Milestones!$AA$165)&gt;=$R70),$U70,$T70)))=Milestones!$AB$165),TEXT(EDATE($D70,Milestones!$AA$165),"dd/mm/yy")&amp;" "&amp;Milestones!$AB$165&amp;" "&amp;Milestones!$AC$165&amp;";  ","")&amp;IF(AND(EDATE($D70,Milestones!$AA$166)&lt;=AsOfDate,IF($Q70=0,$W70,IF(AND($S70&lt;&gt;"",EDATE($D70,Milestones!$AA$166)&gt;=$S70),$V70,IF(AND($R70&lt;&gt;"",EDATE($D70,Milestones!$AA$166)&gt;=$R70),$U70,$T70)))=Milestones!$AB$166),TEXT(EDATE($D70,Milestones!$AA$166),"dd/mm/yy")&amp;" "&amp;Milestones!$AB$166&amp;" "&amp;Milestones!$AC$166&amp;";  ","")&amp;IF(AND(EDATE($D70,Milestones!$AA$167)&lt;=AsOfDate,IF($Q70=0,$W70,IF(AND($S70&lt;&gt;"",EDATE($D70,Milestones!$AA$167)&gt;=$S70),$V70,IF(AND($R70&lt;&gt;"",EDATE($D70,Milestones!$AA$167)&gt;=$R70),$U70,$T70)))=Milestones!$AB$167),TEXT(EDATE($D70,Milestones!$AA$167),"dd/mm/yy")&amp;" "&amp;Milestones!$AB$167&amp;" "&amp;Milestones!$AC$167&amp;";  ","")&amp;IF(AND(EDATE($D70,Milestones!$AA$168)&lt;=AsOfDate,IF($Q70=0,$W70,IF(AND($S70&lt;&gt;"",EDATE($D70,Milestones!$AA$168)&gt;=$S70),$V70,IF(AND($R70&lt;&gt;"",EDATE($D70,Milestones!$AA$168)&gt;=$R70),$U70,$T70)))=Milestones!$AB$168),TEXT(EDATE($D70,Milestones!$AA$168),"dd/mm/yy")&amp;" "&amp;Milestones!$AB$168&amp;" "&amp;Milestones!$AC$168&amp;";  ","")&amp;IF(AND(EDATE($D70,Milestones!$AA$169)&lt;=AsOfDate,IF($Q70=0,$W70,IF(AND($S70&lt;&gt;"",EDATE($D70,Milestones!$AA$169)&gt;=$S70),$V70,IF(AND($R70&lt;&gt;"",EDATE($D70,Milestones!$AA$169)&gt;=$R70),$U70,$T70)))=Milestones!$AB$169),TEXT(EDATE($D70,Milestones!$AA$169),"dd/mm/yy")&amp;" "&amp;Milestones!$AB$169&amp;" "&amp;Milestones!$AC$169&amp;";  ","")&amp;IF(AND(EDATE($D70,Milestones!$AA$170)&lt;=AsOfDate,IF($Q70=0,$W70,IF(AND($S70&lt;&gt;"",EDATE($D70,Milestones!$AA$170)&gt;=$S70),$V70,IF(AND($R70&lt;&gt;"",EDATE($D70,Milestones!$AA$170)&gt;=$R70),$U70,$T70)))=Milestones!$AB$170),TEXT(EDATE($D70,Milestones!$AA$170),"dd/mm/yy")&amp;" "&amp;Milestones!$AB$170&amp;" "&amp;Milestones!$AC$170&amp;";  ","")&amp;IF(AND(EDATE($D70,Milestones!$AA$171)&lt;=AsOfDate,IF($Q70=0,$W70,IF(AND($S70&lt;&gt;"",EDATE($D70,Milestones!$AA$171)&gt;=$S70),$V70,IF(AND($R70&lt;&gt;"",EDATE($D70,Milestones!$AA$171)&gt;=$R70),$U70,$T70)))=Milestones!$AB$171),TEXT(EDATE($D70,Milestones!$AA$171),"dd/mm/yy")&amp;" "&amp;Milestones!$AB$171&amp;" "&amp;Milestones!$AC$171&amp;";  ","")&amp;IF(AND(EDATE($D70,Milestones!$AA$172)&lt;=AsOfDate,IF($Q70=0,$W70,IF(AND($S70&lt;&gt;"",EDATE($D70,Milestones!$AA$172)&gt;=$S70),$V70,IF(AND($R70&lt;&gt;"",EDATE($D70,Milestones!$AA$172)&gt;=$R70),$U70,$T70)))=Milestones!$AB$172),TEXT(EDATE($D70,Milestones!$AA$172),"dd/mm/yy")&amp;" "&amp;Milestones!$AB$172&amp;" "&amp;Milestones!$AC$172&amp;";  ","")&amp;IF(AND(EDATE($D70,Milestones!$AA$173)&lt;=AsOfDate,IF($Q70=0,$W70,IF(AND($S70&lt;&gt;"",EDATE($D70,Milestones!$AA$173)&gt;=$S70),$V70,IF(AND($R70&lt;&gt;"",EDATE($D70,Milestones!$AA$173)&gt;=$R70),$U70,$T70)))=Milestones!$AB$173),TEXT(EDATE($D70,Milestones!$AA$173),"dd/mm/yy")&amp;" "&amp;Milestones!$AB$173&amp;" "&amp;Milestones!$AC$173&amp;";  ","")&amp;IF(AND(EDATE($D70,Milestones!$AA$174)&lt;=AsOfDate,IF($Q70=0,$W70,IF(AND($S70&lt;&gt;"",EDATE($D70,Milestones!$AA$174)&gt;=$S70),$V70,IF(AND($R70&lt;&gt;"",EDATE($D70,Milestones!$AA$174)&gt;=$R70),$U70,$T70)))=Milestones!$AB$174),TEXT(EDATE($D70,Milestones!$AA$174),"dd/mm/yy")&amp;" "&amp;Milestones!$AB$174&amp;" "&amp;Milestones!$AC$174&amp;";  ","")&amp;IF(AND(EDATE($D70,Milestones!$AA$175)&lt;=AsOfDate,IF($Q70=0,$W70,IF(AND($S70&lt;&gt;"",EDATE($D70,Milestones!$AA$175)&gt;=$S70),$V70,IF(AND($R70&lt;&gt;"",EDATE($D70,Milestones!$AA$175)&gt;=$R70),$U70,$T70)))=Milestones!$AB$175),TEXT(EDATE($D70,Milestones!$AA$175),"dd/mm/yy")&amp;" "&amp;Milestones!$AB$175&amp;" "&amp;Milestones!$AC$175&amp;";  ","")&amp;IF(AND(EDATE($D70,Milestones!$AA$176)&lt;=AsOfDate,IF($Q70=0,$W70,IF(AND($S70&lt;&gt;"",EDATE($D70,Milestones!$AA$176)&gt;=$S70),$V70,IF(AND($R70&lt;&gt;"",EDATE($D70,Milestones!$AA$176)&gt;=$R70),$U70,$T70)))=Milestones!$AB$176),TEXT(EDATE($D70,Milestones!$AA$176),"dd/mm/yy")&amp;" "&amp;Milestones!$AB$176&amp;" "&amp;Milestones!$AC$176&amp;";  ","")&amp;IF(AND(EDATE($D70,Milestones!$AA$177)&lt;=AsOfDate,IF($Q70=0,$W70,IF(AND($S70&lt;&gt;"",EDATE($D70,Milestones!$AA$177)&gt;=$S70),$V70,IF(AND($R70&lt;&gt;"",EDATE($D70,Milestones!$AA$177)&gt;=$R70),$U70,$T70)))=Milestones!$AB$177),TEXT(EDATE($D70,Milestones!$AA$177),"dd/mm/yy")&amp;" "&amp;Milestones!$AB$177&amp;" "&amp;Milestones!$AC$177&amp;";  ","")&amp;IF(AND(EDATE($D70,Milestones!$AA$178)&lt;=AsOfDate,IF($Q70=0,$W70,IF(AND($S70&lt;&gt;"",EDATE($D70,Milestones!$AA$178)&gt;=$S70),$V70,IF(AND($R70&lt;&gt;"",EDATE($D70,Milestones!$AA$178)&gt;=$R70),$U70,$T70)))=Milestones!$AB$178),TEXT(EDATE($D70,Milestones!$AA$178),"dd/mm/yy")&amp;" "&amp;Milestones!$AB$178&amp;" "&amp;Milestones!$AC$178&amp;";  ","")&amp;IF(AND(EDATE($D70,Milestones!$AA$179)&lt;=AsOfDate,IF($Q70=0,$W70,IF(AND($S70&lt;&gt;"",EDATE($D70,Milestones!$AA$179)&gt;=$S70),$V70,IF(AND($R70&lt;&gt;"",EDATE($D70,Milestones!$AA$179)&gt;=$R70),$U70,$T70)))=Milestones!$AB$179),TEXT(EDATE($D70,Milestones!$AA$179),"dd/mm/yy")&amp;" "&amp;Milestones!$AB$179&amp;" "&amp;Milestones!$AC$179&amp;";  ",""))</f>
        <v/>
      </c>
      <c r="P70" s="0" t="str">
        <f aca="false">IF(OR($A70="",$D70=""),"",IF(AND(EDATE($D70,Milestones!$AA$180)&lt;=AsOfDate,IF($Q70=0,$W70,IF(AND($S70&lt;&gt;"",EDATE($D70,Milestones!$AA$180)&gt;=$S70),$V70,IF(AND($R70&lt;&gt;"",EDATE($D70,Milestones!$AA$180)&gt;=$R70),$U70,$T70)))=Milestones!$AB$180),TEXT(EDATE($D70,Milestones!$AA$180),"dd/mm/yy")&amp;" "&amp;Milestones!$AB$180&amp;" "&amp;Milestones!$AC$180&amp;";  ","")&amp;IF(AND(EDATE($D70,Milestones!$AA$181)&lt;=AsOfDate,IF($Q70=0,$W70,IF(AND($S70&lt;&gt;"",EDATE($D70,Milestones!$AA$181)&gt;=$S70),$V70,IF(AND($R70&lt;&gt;"",EDATE($D70,Milestones!$AA$181)&gt;=$R70),$U70,$T70)))=Milestones!$AB$181),TEXT(EDATE($D70,Milestones!$AA$181),"dd/mm/yy")&amp;" "&amp;Milestones!$AB$181&amp;" "&amp;Milestones!$AC$181&amp;";  ","")&amp;IF(AND(EDATE($D70,Milestones!$AA$182)&lt;=AsOfDate,IF($Q70=0,$W70,IF(AND($S70&lt;&gt;"",EDATE($D70,Milestones!$AA$182)&gt;=$S70),$V70,IF(AND($R70&lt;&gt;"",EDATE($D70,Milestones!$AA$182)&gt;=$R70),$U70,$T70)))=Milestones!$AB$182),TEXT(EDATE($D70,Milestones!$AA$182),"dd/mm/yy")&amp;" "&amp;Milestones!$AB$182&amp;" "&amp;Milestones!$AC$182&amp;";  ","")&amp;IF(AND(EDATE($D70,Milestones!$AA$183)&lt;=AsOfDate,IF($Q70=0,$W70,IF(AND($S70&lt;&gt;"",EDATE($D70,Milestones!$AA$183)&gt;=$S70),$V70,IF(AND($R70&lt;&gt;"",EDATE($D70,Milestones!$AA$183)&gt;=$R70),$U70,$T70)))=Milestones!$AB$183),TEXT(EDATE($D70,Milestones!$AA$183),"dd/mm/yy")&amp;" "&amp;Milestones!$AB$183&amp;" "&amp;Milestones!$AC$183&amp;";  ","")&amp;IF(AND(EDATE($D70,Milestones!$AA$184)&lt;=AsOfDate,IF($Q70=0,$W70,IF(AND($S70&lt;&gt;"",EDATE($D70,Milestones!$AA$184)&gt;=$S70),$V70,IF(AND($R70&lt;&gt;"",EDATE($D70,Milestones!$AA$184)&gt;=$R70),$U70,$T70)))=Milestones!$AB$184),TEXT(EDATE($D70,Milestones!$AA$184),"dd/mm/yy")&amp;" "&amp;Milestones!$AB$184&amp;" "&amp;Milestones!$AC$184&amp;";  ","")&amp;IF(AND(EDATE($D70,Milestones!$AA$185)&lt;=AsOfDate,IF($Q70=0,$W70,IF(AND($S70&lt;&gt;"",EDATE($D70,Milestones!$AA$185)&gt;=$S70),$V70,IF(AND($R70&lt;&gt;"",EDATE($D70,Milestones!$AA$185)&gt;=$R70),$U70,$T70)))=Milestones!$AB$185),TEXT(EDATE($D70,Milestones!$AA$185),"dd/mm/yy")&amp;" "&amp;Milestones!$AB$185&amp;" "&amp;Milestones!$AC$185&amp;";  ","")&amp;IF(AND(EDATE($D70,Milestones!$AA$186)&lt;=AsOfDate,IF($Q70=0,$W70,IF(AND($S70&lt;&gt;"",EDATE($D70,Milestones!$AA$186)&gt;=$S70),$V70,IF(AND($R70&lt;&gt;"",EDATE($D70,Milestones!$AA$186)&gt;=$R70),$U70,$T70)))=Milestones!$AB$186),TEXT(EDATE($D70,Milestones!$AA$186),"dd/mm/yy")&amp;" "&amp;Milestones!$AB$186&amp;" "&amp;Milestones!$AC$186&amp;";  ","")&amp;IF(AND(EDATE($D70,Milestones!$AA$187)&lt;=AsOfDate,IF($Q70=0,$W70,IF(AND($S70&lt;&gt;"",EDATE($D70,Milestones!$AA$187)&gt;=$S70),$V70,IF(AND($R70&lt;&gt;"",EDATE($D70,Milestones!$AA$187)&gt;=$R70),$U70,$T70)))=Milestones!$AB$187),TEXT(EDATE($D70,Milestones!$AA$187),"dd/mm/yy")&amp;" "&amp;Milestones!$AB$187&amp;" "&amp;Milestones!$AC$187&amp;";  ","")&amp;IF(AND(EDATE($D70,Milestones!$AA$188)&lt;=AsOfDate,IF($Q70=0,$W70,IF(AND($S70&lt;&gt;"",EDATE($D70,Milestones!$AA$188)&gt;=$S70),$V70,IF(AND($R70&lt;&gt;"",EDATE($D70,Milestones!$AA$188)&gt;=$R70),$U70,$T70)))=Milestones!$AB$188),TEXT(EDATE($D70,Milestones!$AA$188),"dd/mm/yy")&amp;" "&amp;Milestones!$AB$188&amp;" "&amp;Milestones!$AC$188&amp;";  ","")&amp;IF(AND(EDATE($D70,Milestones!$AA$189)&lt;=AsOfDate,IF($Q70=0,$W70,IF(AND($S70&lt;&gt;"",EDATE($D70,Milestones!$AA$189)&gt;=$S70),$V70,IF(AND($R70&lt;&gt;"",EDATE($D70,Milestones!$AA$189)&gt;=$R70),$U70,$T70)))=Milestones!$AB$189),TEXT(EDATE($D70,Milestones!$AA$189),"dd/mm/yy")&amp;" "&amp;Milestones!$AB$189&amp;" "&amp;Milestones!$AC$189&amp;";  ","")&amp;IF(AND(EDATE($D70,Milestones!$AA$190)&lt;=AsOfDate,IF($Q70=0,$W70,IF(AND($S70&lt;&gt;"",EDATE($D70,Milestones!$AA$190)&gt;=$S70),$V70,IF(AND($R70&lt;&gt;"",EDATE($D70,Milestones!$AA$190)&gt;=$R70),$U70,$T70)))=Milestones!$AB$190),TEXT(EDATE($D70,Milestones!$AA$190),"dd/mm/yy")&amp;" "&amp;Milestones!$AB$190&amp;" "&amp;Milestones!$AC$190&amp;";  ","")&amp;IF(AND(EDATE($D70,Milestones!$AA$191)&lt;=AsOfDate,IF($Q70=0,$W70,IF(AND($S70&lt;&gt;"",EDATE($D70,Milestones!$AA$191)&gt;=$S70),$V70,IF(AND($R70&lt;&gt;"",EDATE($D70,Milestones!$AA$191)&gt;=$R70),$U70,$T70)))=Milestones!$AB$191),TEXT(EDATE($D70,Milestones!$AA$191),"dd/mm/yy")&amp;" "&amp;Milestones!$AB$191&amp;" "&amp;Milestones!$AC$191&amp;";  ","")&amp;IF(AND(EDATE($D70,Milestones!$AA$192)&lt;=AsOfDate,IF($Q70=0,$W70,IF(AND($S70&lt;&gt;"",EDATE($D70,Milestones!$AA$192)&gt;=$S70),$V70,IF(AND($R70&lt;&gt;"",EDATE($D70,Milestones!$AA$192)&gt;=$R70),$U70,$T70)))=Milestones!$AB$192),TEXT(EDATE($D70,Milestones!$AA$192),"dd/mm/yy")&amp;" "&amp;Milestones!$AB$192&amp;" "&amp;Milestones!$AC$192&amp;";  ","")&amp;IF(AND(EDATE($D70,Milestones!$AA$193)&lt;=AsOfDate,IF($Q70=0,$W70,IF(AND($S70&lt;&gt;"",EDATE($D70,Milestones!$AA$193)&gt;=$S70),$V70,IF(AND($R70&lt;&gt;"",EDATE($D70,Milestones!$AA$193)&gt;=$R70),$U70,$T70)))=Milestones!$AB$193),TEXT(EDATE($D70,Milestones!$AA$193),"dd/mm/yy")&amp;" "&amp;Milestones!$AB$193&amp;" "&amp;Milestones!$AC$193&amp;";  ","")&amp;IF(AND(EDATE($D70,Milestones!$AA$194)&lt;=AsOfDate,IF($Q70=0,$W70,IF(AND($S70&lt;&gt;"",EDATE($D70,Milestones!$AA$194)&gt;=$S70),$V70,IF(AND($R70&lt;&gt;"",EDATE($D70,Milestones!$AA$194)&gt;=$R70),$U70,$T70)))=Milestones!$AB$194),TEXT(EDATE($D70,Milestones!$AA$194),"dd/mm/yy")&amp;" "&amp;Milestones!$AB$194&amp;" "&amp;Milestones!$AC$194&amp;";  ","")&amp;IF(AND(EDATE($D70,Milestones!$AA$195)&lt;=AsOfDate,IF($Q70=0,$W70,IF(AND($S70&lt;&gt;"",EDATE($D70,Milestones!$AA$195)&gt;=$S70),$V70,IF(AND($R70&lt;&gt;"",EDATE($D70,Milestones!$AA$195)&gt;=$R70),$U70,$T70)))=Milestones!$AB$195),TEXT(EDATE($D70,Milestones!$AA$195),"dd/mm/yy")&amp;" "&amp;Milestones!$AB$195&amp;" "&amp;Milestones!$AC$195&amp;";  ","")&amp;IF(AND(EDATE($D70,Milestones!$AA$196)&lt;=AsOfDate,IF($Q70=0,$W70,IF(AND($S70&lt;&gt;"",EDATE($D70,Milestones!$AA$196)&gt;=$S70),$V70,IF(AND($R70&lt;&gt;"",EDATE($D70,Milestones!$AA$196)&gt;=$R70),$U70,$T70)))=Milestones!$AB$196),TEXT(EDATE($D70,Milestones!$AA$196),"dd/mm/yy")&amp;" "&amp;Milestones!$AB$196&amp;" "&amp;Milestones!$AC$196&amp;";  ","")&amp;IF(AND(EDATE($D70,Milestones!$AA$197)&lt;=AsOfDate,IF($Q70=0,$W70,IF(AND($S70&lt;&gt;"",EDATE($D70,Milestones!$AA$197)&gt;=$S70),$V70,IF(AND($R70&lt;&gt;"",EDATE($D70,Milestones!$AA$197)&gt;=$R70),$U70,$T70)))=Milestones!$AB$197),TEXT(EDATE($D70,Milestones!$AA$197),"dd/mm/yy")&amp;" "&amp;Milestones!$AB$197&amp;" "&amp;Milestones!$AC$197&amp;";  ","")&amp;IF(AND(EDATE($D70,Milestones!$AA$198)&lt;=AsOfDate,IF($Q70=0,$W70,IF(AND($S70&lt;&gt;"",EDATE($D70,Milestones!$AA$198)&gt;=$S70),$V70,IF(AND($R70&lt;&gt;"",EDATE($D70,Milestones!$AA$198)&gt;=$R70),$U70,$T70)))=Milestones!$AB$198),TEXT(EDATE($D70,Milestones!$AA$198),"dd/mm/yy")&amp;" "&amp;Milestones!$AB$198&amp;" "&amp;Milestones!$AC$198&amp;";  ","")&amp;IF(AND(EDATE($D70,Milestones!$AA$199)&lt;=AsOfDate,IF($Q70=0,$W70,IF(AND($S70&lt;&gt;"",EDATE($D70,Milestones!$AA$199)&gt;=$S70),$V70,IF(AND($R70&lt;&gt;"",EDATE($D70,Milestones!$AA$199)&gt;=$R70),$U70,$T70)))=Milestones!$AB$199),TEXT(EDATE($D70,Milestones!$AA$199),"dd/mm/yy")&amp;" "&amp;Milestones!$AB$199&amp;" "&amp;Milestones!$AC$199&amp;";  ",""))</f>
        <v/>
      </c>
      <c r="Q70" s="0" t="str">
        <f aca="false">IF(Staff!$A70="","",Staff!$AG70)</f>
        <v/>
      </c>
      <c r="R70" s="0" t="str">
        <f aca="false">IF(Staff!$A70="","",Staff!$AI70)</f>
        <v/>
      </c>
      <c r="S70" s="0" t="str">
        <f aca="false">IF(Staff!$A70="","",Staff!$AJ70)</f>
        <v/>
      </c>
      <c r="T70" s="0" t="str">
        <f aca="false">IF(Staff!$A70="","",Staff!$AN70)</f>
        <v/>
      </c>
      <c r="U70" s="0" t="str">
        <f aca="false">IF(Staff!$A70="","",Staff!$AO70)</f>
        <v/>
      </c>
      <c r="V70" s="0" t="str">
        <f aca="false">IF(Staff!$A70="","",Staff!$AP70)</f>
        <v/>
      </c>
      <c r="W70" s="0" t="str">
        <f aca="false">IF(Staff!$A70="","",Staff!$AQ70)</f>
        <v/>
      </c>
    </row>
    <row r="71" customFormat="false" ht="15" hidden="false" customHeight="false" outlineLevel="0" collapsed="false">
      <c r="A71" s="13" t="str">
        <f aca="false">IF(Staff!$A71="","",Staff!$A71)</f>
        <v/>
      </c>
      <c r="B71" s="13" t="str">
        <f aca="false">IF(Staff!$A71="","",Staff!$B71)</f>
        <v/>
      </c>
      <c r="C71" s="13" t="str">
        <f aca="false">IF(Staff!$A71="","",Staff!$C71)</f>
        <v/>
      </c>
      <c r="D71" s="11" t="str">
        <f aca="false">IF(Staff!$A71="","",Staff!$AF71)</f>
        <v/>
      </c>
      <c r="E71" s="13" t="str">
        <f aca="false">IF(Staff!$A71="","",Staff!$O71)</f>
        <v/>
      </c>
      <c r="F71" s="13" t="str">
        <f aca="false">IF(E71="","",E71*HoursPerDay)</f>
        <v/>
      </c>
      <c r="G71" s="26" t="str">
        <f aca="false">IF($A71="","",H71&amp;I71&amp;J71&amp;K71&amp;L71&amp;M71&amp;N71&amp;O71&amp;P71)</f>
        <v/>
      </c>
      <c r="H71" s="0" t="str">
        <f aca="false">IF(OR($A71="",$D71=""),"",IF(AND(EDATE($D71,Milestones!$AA$20)&lt;=AsOfDate,IF($Q71=0,$W71,IF(AND($S71&lt;&gt;"",EDATE($D71,Milestones!$AA$20)&gt;=$S71),$V71,IF(AND($R71&lt;&gt;"",EDATE($D71,Milestones!$AA$20)&gt;=$R71),$U71,$T71)))=Milestones!$AB$20),TEXT(EDATE($D71,Milestones!$AA$20),"dd/mm/yy")&amp;" "&amp;Milestones!$AB$20&amp;" "&amp;Milestones!$AC$20&amp;";  ","")&amp;IF(AND(EDATE($D71,Milestones!$AA$21)&lt;=AsOfDate,IF($Q71=0,$W71,IF(AND($S71&lt;&gt;"",EDATE($D71,Milestones!$AA$21)&gt;=$S71),$V71,IF(AND($R71&lt;&gt;"",EDATE($D71,Milestones!$AA$21)&gt;=$R71),$U71,$T71)))=Milestones!$AB$21),TEXT(EDATE($D71,Milestones!$AA$21),"dd/mm/yy")&amp;" "&amp;Milestones!$AB$21&amp;" "&amp;Milestones!$AC$21&amp;";  ","")&amp;IF(AND(EDATE($D71,Milestones!$AA$22)&lt;=AsOfDate,IF($Q71=0,$W71,IF(AND($S71&lt;&gt;"",EDATE($D71,Milestones!$AA$22)&gt;=$S71),$V71,IF(AND($R71&lt;&gt;"",EDATE($D71,Milestones!$AA$22)&gt;=$R71),$U71,$T71)))=Milestones!$AB$22),TEXT(EDATE($D71,Milestones!$AA$22),"dd/mm/yy")&amp;" "&amp;Milestones!$AB$22&amp;" "&amp;Milestones!$AC$22&amp;";  ","")&amp;IF(AND(EDATE($D71,Milestones!$AA$23)&lt;=AsOfDate,IF($Q71=0,$W71,IF(AND($S71&lt;&gt;"",EDATE($D71,Milestones!$AA$23)&gt;=$S71),$V71,IF(AND($R71&lt;&gt;"",EDATE($D71,Milestones!$AA$23)&gt;=$R71),$U71,$T71)))=Milestones!$AB$23),TEXT(EDATE($D71,Milestones!$AA$23),"dd/mm/yy")&amp;" "&amp;Milestones!$AB$23&amp;" "&amp;Milestones!$AC$23&amp;";  ","")&amp;IF(AND(EDATE($D71,Milestones!$AA$24)&lt;=AsOfDate,IF($Q71=0,$W71,IF(AND($S71&lt;&gt;"",EDATE($D71,Milestones!$AA$24)&gt;=$S71),$V71,IF(AND($R71&lt;&gt;"",EDATE($D71,Milestones!$AA$24)&gt;=$R71),$U71,$T71)))=Milestones!$AB$24),TEXT(EDATE($D71,Milestones!$AA$24),"dd/mm/yy")&amp;" "&amp;Milestones!$AB$24&amp;" "&amp;Milestones!$AC$24&amp;";  ","")&amp;IF(AND(EDATE($D71,Milestones!$AA$25)&lt;=AsOfDate,IF($Q71=0,$W71,IF(AND($S71&lt;&gt;"",EDATE($D71,Milestones!$AA$25)&gt;=$S71),$V71,IF(AND($R71&lt;&gt;"",EDATE($D71,Milestones!$AA$25)&gt;=$R71),$U71,$T71)))=Milestones!$AB$25),TEXT(EDATE($D71,Milestones!$AA$25),"dd/mm/yy")&amp;" "&amp;Milestones!$AB$25&amp;" "&amp;Milestones!$AC$25&amp;";  ","")&amp;IF(AND(EDATE($D71,Milestones!$AA$26)&lt;=AsOfDate,IF($Q71=0,$W71,IF(AND($S71&lt;&gt;"",EDATE($D71,Milestones!$AA$26)&gt;=$S71),$V71,IF(AND($R71&lt;&gt;"",EDATE($D71,Milestones!$AA$26)&gt;=$R71),$U71,$T71)))=Milestones!$AB$26),TEXT(EDATE($D71,Milestones!$AA$26),"dd/mm/yy")&amp;" "&amp;Milestones!$AB$26&amp;" "&amp;Milestones!$AC$26&amp;";  ","")&amp;IF(AND(EDATE($D71,Milestones!$AA$27)&lt;=AsOfDate,IF($Q71=0,$W71,IF(AND($S71&lt;&gt;"",EDATE($D71,Milestones!$AA$27)&gt;=$S71),$V71,IF(AND($R71&lt;&gt;"",EDATE($D71,Milestones!$AA$27)&gt;=$R71),$U71,$T71)))=Milestones!$AB$27),TEXT(EDATE($D71,Milestones!$AA$27),"dd/mm/yy")&amp;" "&amp;Milestones!$AB$27&amp;" "&amp;Milestones!$AC$27&amp;";  ","")&amp;IF(AND(EDATE($D71,Milestones!$AA$28)&lt;=AsOfDate,IF($Q71=0,$W71,IF(AND($S71&lt;&gt;"",EDATE($D71,Milestones!$AA$28)&gt;=$S71),$V71,IF(AND($R71&lt;&gt;"",EDATE($D71,Milestones!$AA$28)&gt;=$R71),$U71,$T71)))=Milestones!$AB$28),TEXT(EDATE($D71,Milestones!$AA$28),"dd/mm/yy")&amp;" "&amp;Milestones!$AB$28&amp;" "&amp;Milestones!$AC$28&amp;";  ","")&amp;IF(AND(EDATE($D71,Milestones!$AA$29)&lt;=AsOfDate,IF($Q71=0,$W71,IF(AND($S71&lt;&gt;"",EDATE($D71,Milestones!$AA$29)&gt;=$S71),$V71,IF(AND($R71&lt;&gt;"",EDATE($D71,Milestones!$AA$29)&gt;=$R71),$U71,$T71)))=Milestones!$AB$29),TEXT(EDATE($D71,Milestones!$AA$29),"dd/mm/yy")&amp;" "&amp;Milestones!$AB$29&amp;" "&amp;Milestones!$AC$29&amp;";  ","")&amp;IF(AND(EDATE($D71,Milestones!$AA$30)&lt;=AsOfDate,IF($Q71=0,$W71,IF(AND($S71&lt;&gt;"",EDATE($D71,Milestones!$AA$30)&gt;=$S71),$V71,IF(AND($R71&lt;&gt;"",EDATE($D71,Milestones!$AA$30)&gt;=$R71),$U71,$T71)))=Milestones!$AB$30),TEXT(EDATE($D71,Milestones!$AA$30),"dd/mm/yy")&amp;" "&amp;Milestones!$AB$30&amp;" "&amp;Milestones!$AC$30&amp;";  ","")&amp;IF(AND(EDATE($D71,Milestones!$AA$31)&lt;=AsOfDate,IF($Q71=0,$W71,IF(AND($S71&lt;&gt;"",EDATE($D71,Milestones!$AA$31)&gt;=$S71),$V71,IF(AND($R71&lt;&gt;"",EDATE($D71,Milestones!$AA$31)&gt;=$R71),$U71,$T71)))=Milestones!$AB$31),TEXT(EDATE($D71,Milestones!$AA$31),"dd/mm/yy")&amp;" "&amp;Milestones!$AB$31&amp;" "&amp;Milestones!$AC$31&amp;";  ","")&amp;IF(AND(EDATE($D71,Milestones!$AA$32)&lt;=AsOfDate,IF($Q71=0,$W71,IF(AND($S71&lt;&gt;"",EDATE($D71,Milestones!$AA$32)&gt;=$S71),$V71,IF(AND($R71&lt;&gt;"",EDATE($D71,Milestones!$AA$32)&gt;=$R71),$U71,$T71)))=Milestones!$AB$32),TEXT(EDATE($D71,Milestones!$AA$32),"dd/mm/yy")&amp;" "&amp;Milestones!$AB$32&amp;" "&amp;Milestones!$AC$32&amp;";  ","")&amp;IF(AND(EDATE($D71,Milestones!$AA$33)&lt;=AsOfDate,IF($Q71=0,$W71,IF(AND($S71&lt;&gt;"",EDATE($D71,Milestones!$AA$33)&gt;=$S71),$V71,IF(AND($R71&lt;&gt;"",EDATE($D71,Milestones!$AA$33)&gt;=$R71),$U71,$T71)))=Milestones!$AB$33),TEXT(EDATE($D71,Milestones!$AA$33),"dd/mm/yy")&amp;" "&amp;Milestones!$AB$33&amp;" "&amp;Milestones!$AC$33&amp;";  ","")&amp;IF(AND(EDATE($D71,Milestones!$AA$34)&lt;=AsOfDate,IF($Q71=0,$W71,IF(AND($S71&lt;&gt;"",EDATE($D71,Milestones!$AA$34)&gt;=$S71),$V71,IF(AND($R71&lt;&gt;"",EDATE($D71,Milestones!$AA$34)&gt;=$R71),$U71,$T71)))=Milestones!$AB$34),TEXT(EDATE($D71,Milestones!$AA$34),"dd/mm/yy")&amp;" "&amp;Milestones!$AB$34&amp;" "&amp;Milestones!$AC$34&amp;";  ","")&amp;IF(AND(EDATE($D71,Milestones!$AA$35)&lt;=AsOfDate,IF($Q71=0,$W71,IF(AND($S71&lt;&gt;"",EDATE($D71,Milestones!$AA$35)&gt;=$S71),$V71,IF(AND($R71&lt;&gt;"",EDATE($D71,Milestones!$AA$35)&gt;=$R71),$U71,$T71)))=Milestones!$AB$35),TEXT(EDATE($D71,Milestones!$AA$35),"dd/mm/yy")&amp;" "&amp;Milestones!$AB$35&amp;" "&amp;Milestones!$AC$35&amp;";  ","")&amp;IF(AND(EDATE($D71,Milestones!$AA$36)&lt;=AsOfDate,IF($Q71=0,$W71,IF(AND($S71&lt;&gt;"",EDATE($D71,Milestones!$AA$36)&gt;=$S71),$V71,IF(AND($R71&lt;&gt;"",EDATE($D71,Milestones!$AA$36)&gt;=$R71),$U71,$T71)))=Milestones!$AB$36),TEXT(EDATE($D71,Milestones!$AA$36),"dd/mm/yy")&amp;" "&amp;Milestones!$AB$36&amp;" "&amp;Milestones!$AC$36&amp;";  ","")&amp;IF(AND(EDATE($D71,Milestones!$AA$37)&lt;=AsOfDate,IF($Q71=0,$W71,IF(AND($S71&lt;&gt;"",EDATE($D71,Milestones!$AA$37)&gt;=$S71),$V71,IF(AND($R71&lt;&gt;"",EDATE($D71,Milestones!$AA$37)&gt;=$R71),$U71,$T71)))=Milestones!$AB$37),TEXT(EDATE($D71,Milestones!$AA$37),"dd/mm/yy")&amp;" "&amp;Milestones!$AB$37&amp;" "&amp;Milestones!$AC$37&amp;";  ","")&amp;IF(AND(EDATE($D71,Milestones!$AA$38)&lt;=AsOfDate,IF($Q71=0,$W71,IF(AND($S71&lt;&gt;"",EDATE($D71,Milestones!$AA$38)&gt;=$S71),$V71,IF(AND($R71&lt;&gt;"",EDATE($D71,Milestones!$AA$38)&gt;=$R71),$U71,$T71)))=Milestones!$AB$38),TEXT(EDATE($D71,Milestones!$AA$38),"dd/mm/yy")&amp;" "&amp;Milestones!$AB$38&amp;" "&amp;Milestones!$AC$38&amp;";  ","")&amp;IF(AND(EDATE($D71,Milestones!$AA$39)&lt;=AsOfDate,IF($Q71=0,$W71,IF(AND($S71&lt;&gt;"",EDATE($D71,Milestones!$AA$39)&gt;=$S71),$V71,IF(AND($R71&lt;&gt;"",EDATE($D71,Milestones!$AA$39)&gt;=$R71),$U71,$T71)))=Milestones!$AB$39),TEXT(EDATE($D71,Milestones!$AA$39),"dd/mm/yy")&amp;" "&amp;Milestones!$AB$39&amp;" "&amp;Milestones!$AC$39&amp;";  ",""))</f>
        <v/>
      </c>
      <c r="I71" s="0" t="str">
        <f aca="false">IF(OR($A71="",$D71=""),"",IF(AND(EDATE($D71,Milestones!$AA$40)&lt;=AsOfDate,IF($Q71=0,$W71,IF(AND($S71&lt;&gt;"",EDATE($D71,Milestones!$AA$40)&gt;=$S71),$V71,IF(AND($R71&lt;&gt;"",EDATE($D71,Milestones!$AA$40)&gt;=$R71),$U71,$T71)))=Milestones!$AB$40),TEXT(EDATE($D71,Milestones!$AA$40),"dd/mm/yy")&amp;" "&amp;Milestones!$AB$40&amp;" "&amp;Milestones!$AC$40&amp;";  ","")&amp;IF(AND(EDATE($D71,Milestones!$AA$41)&lt;=AsOfDate,IF($Q71=0,$W71,IF(AND($S71&lt;&gt;"",EDATE($D71,Milestones!$AA$41)&gt;=$S71),$V71,IF(AND($R71&lt;&gt;"",EDATE($D71,Milestones!$AA$41)&gt;=$R71),$U71,$T71)))=Milestones!$AB$41),TEXT(EDATE($D71,Milestones!$AA$41),"dd/mm/yy")&amp;" "&amp;Milestones!$AB$41&amp;" "&amp;Milestones!$AC$41&amp;";  ","")&amp;IF(AND(EDATE($D71,Milestones!$AA$42)&lt;=AsOfDate,IF($Q71=0,$W71,IF(AND($S71&lt;&gt;"",EDATE($D71,Milestones!$AA$42)&gt;=$S71),$V71,IF(AND($R71&lt;&gt;"",EDATE($D71,Milestones!$AA$42)&gt;=$R71),$U71,$T71)))=Milestones!$AB$42),TEXT(EDATE($D71,Milestones!$AA$42),"dd/mm/yy")&amp;" "&amp;Milestones!$AB$42&amp;" "&amp;Milestones!$AC$42&amp;";  ","")&amp;IF(AND(EDATE($D71,Milestones!$AA$43)&lt;=AsOfDate,IF($Q71=0,$W71,IF(AND($S71&lt;&gt;"",EDATE($D71,Milestones!$AA$43)&gt;=$S71),$V71,IF(AND($R71&lt;&gt;"",EDATE($D71,Milestones!$AA$43)&gt;=$R71),$U71,$T71)))=Milestones!$AB$43),TEXT(EDATE($D71,Milestones!$AA$43),"dd/mm/yy")&amp;" "&amp;Milestones!$AB$43&amp;" "&amp;Milestones!$AC$43&amp;";  ","")&amp;IF(AND(EDATE($D71,Milestones!$AA$44)&lt;=AsOfDate,IF($Q71=0,$W71,IF(AND($S71&lt;&gt;"",EDATE($D71,Milestones!$AA$44)&gt;=$S71),$V71,IF(AND($R71&lt;&gt;"",EDATE($D71,Milestones!$AA$44)&gt;=$R71),$U71,$T71)))=Milestones!$AB$44),TEXT(EDATE($D71,Milestones!$AA$44),"dd/mm/yy")&amp;" "&amp;Milestones!$AB$44&amp;" "&amp;Milestones!$AC$44&amp;";  ","")&amp;IF(AND(EDATE($D71,Milestones!$AA$45)&lt;=AsOfDate,IF($Q71=0,$W71,IF(AND($S71&lt;&gt;"",EDATE($D71,Milestones!$AA$45)&gt;=$S71),$V71,IF(AND($R71&lt;&gt;"",EDATE($D71,Milestones!$AA$45)&gt;=$R71),$U71,$T71)))=Milestones!$AB$45),TEXT(EDATE($D71,Milestones!$AA$45),"dd/mm/yy")&amp;" "&amp;Milestones!$AB$45&amp;" "&amp;Milestones!$AC$45&amp;";  ","")&amp;IF(AND(EDATE($D71,Milestones!$AA$46)&lt;=AsOfDate,IF($Q71=0,$W71,IF(AND($S71&lt;&gt;"",EDATE($D71,Milestones!$AA$46)&gt;=$S71),$V71,IF(AND($R71&lt;&gt;"",EDATE($D71,Milestones!$AA$46)&gt;=$R71),$U71,$T71)))=Milestones!$AB$46),TEXT(EDATE($D71,Milestones!$AA$46),"dd/mm/yy")&amp;" "&amp;Milestones!$AB$46&amp;" "&amp;Milestones!$AC$46&amp;";  ","")&amp;IF(AND(EDATE($D71,Milestones!$AA$47)&lt;=AsOfDate,IF($Q71=0,$W71,IF(AND($S71&lt;&gt;"",EDATE($D71,Milestones!$AA$47)&gt;=$S71),$V71,IF(AND($R71&lt;&gt;"",EDATE($D71,Milestones!$AA$47)&gt;=$R71),$U71,$T71)))=Milestones!$AB$47),TEXT(EDATE($D71,Milestones!$AA$47),"dd/mm/yy")&amp;" "&amp;Milestones!$AB$47&amp;" "&amp;Milestones!$AC$47&amp;";  ","")&amp;IF(AND(EDATE($D71,Milestones!$AA$48)&lt;=AsOfDate,IF($Q71=0,$W71,IF(AND($S71&lt;&gt;"",EDATE($D71,Milestones!$AA$48)&gt;=$S71),$V71,IF(AND($R71&lt;&gt;"",EDATE($D71,Milestones!$AA$48)&gt;=$R71),$U71,$T71)))=Milestones!$AB$48),TEXT(EDATE($D71,Milestones!$AA$48),"dd/mm/yy")&amp;" "&amp;Milestones!$AB$48&amp;" "&amp;Milestones!$AC$48&amp;";  ","")&amp;IF(AND(EDATE($D71,Milestones!$AA$49)&lt;=AsOfDate,IF($Q71=0,$W71,IF(AND($S71&lt;&gt;"",EDATE($D71,Milestones!$AA$49)&gt;=$S71),$V71,IF(AND($R71&lt;&gt;"",EDATE($D71,Milestones!$AA$49)&gt;=$R71),$U71,$T71)))=Milestones!$AB$49),TEXT(EDATE($D71,Milestones!$AA$49),"dd/mm/yy")&amp;" "&amp;Milestones!$AB$49&amp;" "&amp;Milestones!$AC$49&amp;";  ","")&amp;IF(AND(EDATE($D71,Milestones!$AA$50)&lt;=AsOfDate,IF($Q71=0,$W71,IF(AND($S71&lt;&gt;"",EDATE($D71,Milestones!$AA$50)&gt;=$S71),$V71,IF(AND($R71&lt;&gt;"",EDATE($D71,Milestones!$AA$50)&gt;=$R71),$U71,$T71)))=Milestones!$AB$50),TEXT(EDATE($D71,Milestones!$AA$50),"dd/mm/yy")&amp;" "&amp;Milestones!$AB$50&amp;" "&amp;Milestones!$AC$50&amp;";  ","")&amp;IF(AND(EDATE($D71,Milestones!$AA$51)&lt;=AsOfDate,IF($Q71=0,$W71,IF(AND($S71&lt;&gt;"",EDATE($D71,Milestones!$AA$51)&gt;=$S71),$V71,IF(AND($R71&lt;&gt;"",EDATE($D71,Milestones!$AA$51)&gt;=$R71),$U71,$T71)))=Milestones!$AB$51),TEXT(EDATE($D71,Milestones!$AA$51),"dd/mm/yy")&amp;" "&amp;Milestones!$AB$51&amp;" "&amp;Milestones!$AC$51&amp;";  ","")&amp;IF(AND(EDATE($D71,Milestones!$AA$52)&lt;=AsOfDate,IF($Q71=0,$W71,IF(AND($S71&lt;&gt;"",EDATE($D71,Milestones!$AA$52)&gt;=$S71),$V71,IF(AND($R71&lt;&gt;"",EDATE($D71,Milestones!$AA$52)&gt;=$R71),$U71,$T71)))=Milestones!$AB$52),TEXT(EDATE($D71,Milestones!$AA$52),"dd/mm/yy")&amp;" "&amp;Milestones!$AB$52&amp;" "&amp;Milestones!$AC$52&amp;";  ","")&amp;IF(AND(EDATE($D71,Milestones!$AA$53)&lt;=AsOfDate,IF($Q71=0,$W71,IF(AND($S71&lt;&gt;"",EDATE($D71,Milestones!$AA$53)&gt;=$S71),$V71,IF(AND($R71&lt;&gt;"",EDATE($D71,Milestones!$AA$53)&gt;=$R71),$U71,$T71)))=Milestones!$AB$53),TEXT(EDATE($D71,Milestones!$AA$53),"dd/mm/yy")&amp;" "&amp;Milestones!$AB$53&amp;" "&amp;Milestones!$AC$53&amp;";  ","")&amp;IF(AND(EDATE($D71,Milestones!$AA$54)&lt;=AsOfDate,IF($Q71=0,$W71,IF(AND($S71&lt;&gt;"",EDATE($D71,Milestones!$AA$54)&gt;=$S71),$V71,IF(AND($R71&lt;&gt;"",EDATE($D71,Milestones!$AA$54)&gt;=$R71),$U71,$T71)))=Milestones!$AB$54),TEXT(EDATE($D71,Milestones!$AA$54),"dd/mm/yy")&amp;" "&amp;Milestones!$AB$54&amp;" "&amp;Milestones!$AC$54&amp;";  ","")&amp;IF(AND(EDATE($D71,Milestones!$AA$55)&lt;=AsOfDate,IF($Q71=0,$W71,IF(AND($S71&lt;&gt;"",EDATE($D71,Milestones!$AA$55)&gt;=$S71),$V71,IF(AND($R71&lt;&gt;"",EDATE($D71,Milestones!$AA$55)&gt;=$R71),$U71,$T71)))=Milestones!$AB$55),TEXT(EDATE($D71,Milestones!$AA$55),"dd/mm/yy")&amp;" "&amp;Milestones!$AB$55&amp;" "&amp;Milestones!$AC$55&amp;";  ","")&amp;IF(AND(EDATE($D71,Milestones!$AA$56)&lt;=AsOfDate,IF($Q71=0,$W71,IF(AND($S71&lt;&gt;"",EDATE($D71,Milestones!$AA$56)&gt;=$S71),$V71,IF(AND($R71&lt;&gt;"",EDATE($D71,Milestones!$AA$56)&gt;=$R71),$U71,$T71)))=Milestones!$AB$56),TEXT(EDATE($D71,Milestones!$AA$56),"dd/mm/yy")&amp;" "&amp;Milestones!$AB$56&amp;" "&amp;Milestones!$AC$56&amp;";  ","")&amp;IF(AND(EDATE($D71,Milestones!$AA$57)&lt;=AsOfDate,IF($Q71=0,$W71,IF(AND($S71&lt;&gt;"",EDATE($D71,Milestones!$AA$57)&gt;=$S71),$V71,IF(AND($R71&lt;&gt;"",EDATE($D71,Milestones!$AA$57)&gt;=$R71),$U71,$T71)))=Milestones!$AB$57),TEXT(EDATE($D71,Milestones!$AA$57),"dd/mm/yy")&amp;" "&amp;Milestones!$AB$57&amp;" "&amp;Milestones!$AC$57&amp;";  ","")&amp;IF(AND(EDATE($D71,Milestones!$AA$58)&lt;=AsOfDate,IF($Q71=0,$W71,IF(AND($S71&lt;&gt;"",EDATE($D71,Milestones!$AA$58)&gt;=$S71),$V71,IF(AND($R71&lt;&gt;"",EDATE($D71,Milestones!$AA$58)&gt;=$R71),$U71,$T71)))=Milestones!$AB$58),TEXT(EDATE($D71,Milestones!$AA$58),"dd/mm/yy")&amp;" "&amp;Milestones!$AB$58&amp;" "&amp;Milestones!$AC$58&amp;";  ","")&amp;IF(AND(EDATE($D71,Milestones!$AA$59)&lt;=AsOfDate,IF($Q71=0,$W71,IF(AND($S71&lt;&gt;"",EDATE($D71,Milestones!$AA$59)&gt;=$S71),$V71,IF(AND($R71&lt;&gt;"",EDATE($D71,Milestones!$AA$59)&gt;=$R71),$U71,$T71)))=Milestones!$AB$59),TEXT(EDATE($D71,Milestones!$AA$59),"dd/mm/yy")&amp;" "&amp;Milestones!$AB$59&amp;" "&amp;Milestones!$AC$59&amp;";  ",""))</f>
        <v/>
      </c>
      <c r="J71" s="0" t="str">
        <f aca="false">IF(OR($A71="",$D71=""),"",IF(AND(EDATE($D71,Milestones!$AA$60)&lt;=AsOfDate,IF($Q71=0,$W71,IF(AND($S71&lt;&gt;"",EDATE($D71,Milestones!$AA$60)&gt;=$S71),$V71,IF(AND($R71&lt;&gt;"",EDATE($D71,Milestones!$AA$60)&gt;=$R71),$U71,$T71)))=Milestones!$AB$60),TEXT(EDATE($D71,Milestones!$AA$60),"dd/mm/yy")&amp;" "&amp;Milestones!$AB$60&amp;" "&amp;Milestones!$AC$60&amp;";  ","")&amp;IF(AND(EDATE($D71,Milestones!$AA$61)&lt;=AsOfDate,IF($Q71=0,$W71,IF(AND($S71&lt;&gt;"",EDATE($D71,Milestones!$AA$61)&gt;=$S71),$V71,IF(AND($R71&lt;&gt;"",EDATE($D71,Milestones!$AA$61)&gt;=$R71),$U71,$T71)))=Milestones!$AB$61),TEXT(EDATE($D71,Milestones!$AA$61),"dd/mm/yy")&amp;" "&amp;Milestones!$AB$61&amp;" "&amp;Milestones!$AC$61&amp;";  ","")&amp;IF(AND(EDATE($D71,Milestones!$AA$62)&lt;=AsOfDate,IF($Q71=0,$W71,IF(AND($S71&lt;&gt;"",EDATE($D71,Milestones!$AA$62)&gt;=$S71),$V71,IF(AND($R71&lt;&gt;"",EDATE($D71,Milestones!$AA$62)&gt;=$R71),$U71,$T71)))=Milestones!$AB$62),TEXT(EDATE($D71,Milestones!$AA$62),"dd/mm/yy")&amp;" "&amp;Milestones!$AB$62&amp;" "&amp;Milestones!$AC$62&amp;";  ","")&amp;IF(AND(EDATE($D71,Milestones!$AA$63)&lt;=AsOfDate,IF($Q71=0,$W71,IF(AND($S71&lt;&gt;"",EDATE($D71,Milestones!$AA$63)&gt;=$S71),$V71,IF(AND($R71&lt;&gt;"",EDATE($D71,Milestones!$AA$63)&gt;=$R71),$U71,$T71)))=Milestones!$AB$63),TEXT(EDATE($D71,Milestones!$AA$63),"dd/mm/yy")&amp;" "&amp;Milestones!$AB$63&amp;" "&amp;Milestones!$AC$63&amp;";  ","")&amp;IF(AND(EDATE($D71,Milestones!$AA$64)&lt;=AsOfDate,IF($Q71=0,$W71,IF(AND($S71&lt;&gt;"",EDATE($D71,Milestones!$AA$64)&gt;=$S71),$V71,IF(AND($R71&lt;&gt;"",EDATE($D71,Milestones!$AA$64)&gt;=$R71),$U71,$T71)))=Milestones!$AB$64),TEXT(EDATE($D71,Milestones!$AA$64),"dd/mm/yy")&amp;" "&amp;Milestones!$AB$64&amp;" "&amp;Milestones!$AC$64&amp;";  ","")&amp;IF(AND(EDATE($D71,Milestones!$AA$65)&lt;=AsOfDate,IF($Q71=0,$W71,IF(AND($S71&lt;&gt;"",EDATE($D71,Milestones!$AA$65)&gt;=$S71),$V71,IF(AND($R71&lt;&gt;"",EDATE($D71,Milestones!$AA$65)&gt;=$R71),$U71,$T71)))=Milestones!$AB$65),TEXT(EDATE($D71,Milestones!$AA$65),"dd/mm/yy")&amp;" "&amp;Milestones!$AB$65&amp;" "&amp;Milestones!$AC$65&amp;";  ","")&amp;IF(AND(EDATE($D71,Milestones!$AA$66)&lt;=AsOfDate,IF($Q71=0,$W71,IF(AND($S71&lt;&gt;"",EDATE($D71,Milestones!$AA$66)&gt;=$S71),$V71,IF(AND($R71&lt;&gt;"",EDATE($D71,Milestones!$AA$66)&gt;=$R71),$U71,$T71)))=Milestones!$AB$66),TEXT(EDATE($D71,Milestones!$AA$66),"dd/mm/yy")&amp;" "&amp;Milestones!$AB$66&amp;" "&amp;Milestones!$AC$66&amp;";  ","")&amp;IF(AND(EDATE($D71,Milestones!$AA$67)&lt;=AsOfDate,IF($Q71=0,$W71,IF(AND($S71&lt;&gt;"",EDATE($D71,Milestones!$AA$67)&gt;=$S71),$V71,IF(AND($R71&lt;&gt;"",EDATE($D71,Milestones!$AA$67)&gt;=$R71),$U71,$T71)))=Milestones!$AB$67),TEXT(EDATE($D71,Milestones!$AA$67),"dd/mm/yy")&amp;" "&amp;Milestones!$AB$67&amp;" "&amp;Milestones!$AC$67&amp;";  ","")&amp;IF(AND(EDATE($D71,Milestones!$AA$68)&lt;=AsOfDate,IF($Q71=0,$W71,IF(AND($S71&lt;&gt;"",EDATE($D71,Milestones!$AA$68)&gt;=$S71),$V71,IF(AND($R71&lt;&gt;"",EDATE($D71,Milestones!$AA$68)&gt;=$R71),$U71,$T71)))=Milestones!$AB$68),TEXT(EDATE($D71,Milestones!$AA$68),"dd/mm/yy")&amp;" "&amp;Milestones!$AB$68&amp;" "&amp;Milestones!$AC$68&amp;";  ","")&amp;IF(AND(EDATE($D71,Milestones!$AA$69)&lt;=AsOfDate,IF($Q71=0,$W71,IF(AND($S71&lt;&gt;"",EDATE($D71,Milestones!$AA$69)&gt;=$S71),$V71,IF(AND($R71&lt;&gt;"",EDATE($D71,Milestones!$AA$69)&gt;=$R71),$U71,$T71)))=Milestones!$AB$69),TEXT(EDATE($D71,Milestones!$AA$69),"dd/mm/yy")&amp;" "&amp;Milestones!$AB$69&amp;" "&amp;Milestones!$AC$69&amp;";  ","")&amp;IF(AND(EDATE($D71,Milestones!$AA$70)&lt;=AsOfDate,IF($Q71=0,$W71,IF(AND($S71&lt;&gt;"",EDATE($D71,Milestones!$AA$70)&gt;=$S71),$V71,IF(AND($R71&lt;&gt;"",EDATE($D71,Milestones!$AA$70)&gt;=$R71),$U71,$T71)))=Milestones!$AB$70),TEXT(EDATE($D71,Milestones!$AA$70),"dd/mm/yy")&amp;" "&amp;Milestones!$AB$70&amp;" "&amp;Milestones!$AC$70&amp;";  ","")&amp;IF(AND(EDATE($D71,Milestones!$AA$71)&lt;=AsOfDate,IF($Q71=0,$W71,IF(AND($S71&lt;&gt;"",EDATE($D71,Milestones!$AA$71)&gt;=$S71),$V71,IF(AND($R71&lt;&gt;"",EDATE($D71,Milestones!$AA$71)&gt;=$R71),$U71,$T71)))=Milestones!$AB$71),TEXT(EDATE($D71,Milestones!$AA$71),"dd/mm/yy")&amp;" "&amp;Milestones!$AB$71&amp;" "&amp;Milestones!$AC$71&amp;";  ","")&amp;IF(AND(EDATE($D71,Milestones!$AA$72)&lt;=AsOfDate,IF($Q71=0,$W71,IF(AND($S71&lt;&gt;"",EDATE($D71,Milestones!$AA$72)&gt;=$S71),$V71,IF(AND($R71&lt;&gt;"",EDATE($D71,Milestones!$AA$72)&gt;=$R71),$U71,$T71)))=Milestones!$AB$72),TEXT(EDATE($D71,Milestones!$AA$72),"dd/mm/yy")&amp;" "&amp;Milestones!$AB$72&amp;" "&amp;Milestones!$AC$72&amp;";  ","")&amp;IF(AND(EDATE($D71,Milestones!$AA$73)&lt;=AsOfDate,IF($Q71=0,$W71,IF(AND($S71&lt;&gt;"",EDATE($D71,Milestones!$AA$73)&gt;=$S71),$V71,IF(AND($R71&lt;&gt;"",EDATE($D71,Milestones!$AA$73)&gt;=$R71),$U71,$T71)))=Milestones!$AB$73),TEXT(EDATE($D71,Milestones!$AA$73),"dd/mm/yy")&amp;" "&amp;Milestones!$AB$73&amp;" "&amp;Milestones!$AC$73&amp;";  ","")&amp;IF(AND(EDATE($D71,Milestones!$AA$74)&lt;=AsOfDate,IF($Q71=0,$W71,IF(AND($S71&lt;&gt;"",EDATE($D71,Milestones!$AA$74)&gt;=$S71),$V71,IF(AND($R71&lt;&gt;"",EDATE($D71,Milestones!$AA$74)&gt;=$R71),$U71,$T71)))=Milestones!$AB$74),TEXT(EDATE($D71,Milestones!$AA$74),"dd/mm/yy")&amp;" "&amp;Milestones!$AB$74&amp;" "&amp;Milestones!$AC$74&amp;";  ","")&amp;IF(AND(EDATE($D71,Milestones!$AA$75)&lt;=AsOfDate,IF($Q71=0,$W71,IF(AND($S71&lt;&gt;"",EDATE($D71,Milestones!$AA$75)&gt;=$S71),$V71,IF(AND($R71&lt;&gt;"",EDATE($D71,Milestones!$AA$75)&gt;=$R71),$U71,$T71)))=Milestones!$AB$75),TEXT(EDATE($D71,Milestones!$AA$75),"dd/mm/yy")&amp;" "&amp;Milestones!$AB$75&amp;" "&amp;Milestones!$AC$75&amp;";  ","")&amp;IF(AND(EDATE($D71,Milestones!$AA$76)&lt;=AsOfDate,IF($Q71=0,$W71,IF(AND($S71&lt;&gt;"",EDATE($D71,Milestones!$AA$76)&gt;=$S71),$V71,IF(AND($R71&lt;&gt;"",EDATE($D71,Milestones!$AA$76)&gt;=$R71),$U71,$T71)))=Milestones!$AB$76),TEXT(EDATE($D71,Milestones!$AA$76),"dd/mm/yy")&amp;" "&amp;Milestones!$AB$76&amp;" "&amp;Milestones!$AC$76&amp;";  ","")&amp;IF(AND(EDATE($D71,Milestones!$AA$77)&lt;=AsOfDate,IF($Q71=0,$W71,IF(AND($S71&lt;&gt;"",EDATE($D71,Milestones!$AA$77)&gt;=$S71),$V71,IF(AND($R71&lt;&gt;"",EDATE($D71,Milestones!$AA$77)&gt;=$R71),$U71,$T71)))=Milestones!$AB$77),TEXT(EDATE($D71,Milestones!$AA$77),"dd/mm/yy")&amp;" "&amp;Milestones!$AB$77&amp;" "&amp;Milestones!$AC$77&amp;";  ","")&amp;IF(AND(EDATE($D71,Milestones!$AA$78)&lt;=AsOfDate,IF($Q71=0,$W71,IF(AND($S71&lt;&gt;"",EDATE($D71,Milestones!$AA$78)&gt;=$S71),$V71,IF(AND($R71&lt;&gt;"",EDATE($D71,Milestones!$AA$78)&gt;=$R71),$U71,$T71)))=Milestones!$AB$78),TEXT(EDATE($D71,Milestones!$AA$78),"dd/mm/yy")&amp;" "&amp;Milestones!$AB$78&amp;" "&amp;Milestones!$AC$78&amp;";  ","")&amp;IF(AND(EDATE($D71,Milestones!$AA$79)&lt;=AsOfDate,IF($Q71=0,$W71,IF(AND($S71&lt;&gt;"",EDATE($D71,Milestones!$AA$79)&gt;=$S71),$V71,IF(AND($R71&lt;&gt;"",EDATE($D71,Milestones!$AA$79)&gt;=$R71),$U71,$T71)))=Milestones!$AB$79),TEXT(EDATE($D71,Milestones!$AA$79),"dd/mm/yy")&amp;" "&amp;Milestones!$AB$79&amp;" "&amp;Milestones!$AC$79&amp;";  ",""))</f>
        <v/>
      </c>
      <c r="K71" s="0" t="str">
        <f aca="false">IF(OR($A71="",$D71=""),"",IF(AND(EDATE($D71,Milestones!$AA$80)&lt;=AsOfDate,IF($Q71=0,$W71,IF(AND($S71&lt;&gt;"",EDATE($D71,Milestones!$AA$80)&gt;=$S71),$V71,IF(AND($R71&lt;&gt;"",EDATE($D71,Milestones!$AA$80)&gt;=$R71),$U71,$T71)))=Milestones!$AB$80),TEXT(EDATE($D71,Milestones!$AA$80),"dd/mm/yy")&amp;" "&amp;Milestones!$AB$80&amp;" "&amp;Milestones!$AC$80&amp;";  ","")&amp;IF(AND(EDATE($D71,Milestones!$AA$81)&lt;=AsOfDate,IF($Q71=0,$W71,IF(AND($S71&lt;&gt;"",EDATE($D71,Milestones!$AA$81)&gt;=$S71),$V71,IF(AND($R71&lt;&gt;"",EDATE($D71,Milestones!$AA$81)&gt;=$R71),$U71,$T71)))=Milestones!$AB$81),TEXT(EDATE($D71,Milestones!$AA$81),"dd/mm/yy")&amp;" "&amp;Milestones!$AB$81&amp;" "&amp;Milestones!$AC$81&amp;";  ","")&amp;IF(AND(EDATE($D71,Milestones!$AA$82)&lt;=AsOfDate,IF($Q71=0,$W71,IF(AND($S71&lt;&gt;"",EDATE($D71,Milestones!$AA$82)&gt;=$S71),$V71,IF(AND($R71&lt;&gt;"",EDATE($D71,Milestones!$AA$82)&gt;=$R71),$U71,$T71)))=Milestones!$AB$82),TEXT(EDATE($D71,Milestones!$AA$82),"dd/mm/yy")&amp;" "&amp;Milestones!$AB$82&amp;" "&amp;Milestones!$AC$82&amp;";  ","")&amp;IF(AND(EDATE($D71,Milestones!$AA$83)&lt;=AsOfDate,IF($Q71=0,$W71,IF(AND($S71&lt;&gt;"",EDATE($D71,Milestones!$AA$83)&gt;=$S71),$V71,IF(AND($R71&lt;&gt;"",EDATE($D71,Milestones!$AA$83)&gt;=$R71),$U71,$T71)))=Milestones!$AB$83),TEXT(EDATE($D71,Milestones!$AA$83),"dd/mm/yy")&amp;" "&amp;Milestones!$AB$83&amp;" "&amp;Milestones!$AC$83&amp;";  ","")&amp;IF(AND(EDATE($D71,Milestones!$AA$84)&lt;=AsOfDate,IF($Q71=0,$W71,IF(AND($S71&lt;&gt;"",EDATE($D71,Milestones!$AA$84)&gt;=$S71),$V71,IF(AND($R71&lt;&gt;"",EDATE($D71,Milestones!$AA$84)&gt;=$R71),$U71,$T71)))=Milestones!$AB$84),TEXT(EDATE($D71,Milestones!$AA$84),"dd/mm/yy")&amp;" "&amp;Milestones!$AB$84&amp;" "&amp;Milestones!$AC$84&amp;";  ","")&amp;IF(AND(EDATE($D71,Milestones!$AA$85)&lt;=AsOfDate,IF($Q71=0,$W71,IF(AND($S71&lt;&gt;"",EDATE($D71,Milestones!$AA$85)&gt;=$S71),$V71,IF(AND($R71&lt;&gt;"",EDATE($D71,Milestones!$AA$85)&gt;=$R71),$U71,$T71)))=Milestones!$AB$85),TEXT(EDATE($D71,Milestones!$AA$85),"dd/mm/yy")&amp;" "&amp;Milestones!$AB$85&amp;" "&amp;Milestones!$AC$85&amp;";  ","")&amp;IF(AND(EDATE($D71,Milestones!$AA$86)&lt;=AsOfDate,IF($Q71=0,$W71,IF(AND($S71&lt;&gt;"",EDATE($D71,Milestones!$AA$86)&gt;=$S71),$V71,IF(AND($R71&lt;&gt;"",EDATE($D71,Milestones!$AA$86)&gt;=$R71),$U71,$T71)))=Milestones!$AB$86),TEXT(EDATE($D71,Milestones!$AA$86),"dd/mm/yy")&amp;" "&amp;Milestones!$AB$86&amp;" "&amp;Milestones!$AC$86&amp;";  ","")&amp;IF(AND(EDATE($D71,Milestones!$AA$87)&lt;=AsOfDate,IF($Q71=0,$W71,IF(AND($S71&lt;&gt;"",EDATE($D71,Milestones!$AA$87)&gt;=$S71),$V71,IF(AND($R71&lt;&gt;"",EDATE($D71,Milestones!$AA$87)&gt;=$R71),$U71,$T71)))=Milestones!$AB$87),TEXT(EDATE($D71,Milestones!$AA$87),"dd/mm/yy")&amp;" "&amp;Milestones!$AB$87&amp;" "&amp;Milestones!$AC$87&amp;";  ","")&amp;IF(AND(EDATE($D71,Milestones!$AA$88)&lt;=AsOfDate,IF($Q71=0,$W71,IF(AND($S71&lt;&gt;"",EDATE($D71,Milestones!$AA$88)&gt;=$S71),$V71,IF(AND($R71&lt;&gt;"",EDATE($D71,Milestones!$AA$88)&gt;=$R71),$U71,$T71)))=Milestones!$AB$88),TEXT(EDATE($D71,Milestones!$AA$88),"dd/mm/yy")&amp;" "&amp;Milestones!$AB$88&amp;" "&amp;Milestones!$AC$88&amp;";  ","")&amp;IF(AND(EDATE($D71,Milestones!$AA$89)&lt;=AsOfDate,IF($Q71=0,$W71,IF(AND($S71&lt;&gt;"",EDATE($D71,Milestones!$AA$89)&gt;=$S71),$V71,IF(AND($R71&lt;&gt;"",EDATE($D71,Milestones!$AA$89)&gt;=$R71),$U71,$T71)))=Milestones!$AB$89),TEXT(EDATE($D71,Milestones!$AA$89),"dd/mm/yy")&amp;" "&amp;Milestones!$AB$89&amp;" "&amp;Milestones!$AC$89&amp;";  ","")&amp;IF(AND(EDATE($D71,Milestones!$AA$90)&lt;=AsOfDate,IF($Q71=0,$W71,IF(AND($S71&lt;&gt;"",EDATE($D71,Milestones!$AA$90)&gt;=$S71),$V71,IF(AND($R71&lt;&gt;"",EDATE($D71,Milestones!$AA$90)&gt;=$R71),$U71,$T71)))=Milestones!$AB$90),TEXT(EDATE($D71,Milestones!$AA$90),"dd/mm/yy")&amp;" "&amp;Milestones!$AB$90&amp;" "&amp;Milestones!$AC$90&amp;";  ","")&amp;IF(AND(EDATE($D71,Milestones!$AA$91)&lt;=AsOfDate,IF($Q71=0,$W71,IF(AND($S71&lt;&gt;"",EDATE($D71,Milestones!$AA$91)&gt;=$S71),$V71,IF(AND($R71&lt;&gt;"",EDATE($D71,Milestones!$AA$91)&gt;=$R71),$U71,$T71)))=Milestones!$AB$91),TEXT(EDATE($D71,Milestones!$AA$91),"dd/mm/yy")&amp;" "&amp;Milestones!$AB$91&amp;" "&amp;Milestones!$AC$91&amp;";  ","")&amp;IF(AND(EDATE($D71,Milestones!$AA$92)&lt;=AsOfDate,IF($Q71=0,$W71,IF(AND($S71&lt;&gt;"",EDATE($D71,Milestones!$AA$92)&gt;=$S71),$V71,IF(AND($R71&lt;&gt;"",EDATE($D71,Milestones!$AA$92)&gt;=$R71),$U71,$T71)))=Milestones!$AB$92),TEXT(EDATE($D71,Milestones!$AA$92),"dd/mm/yy")&amp;" "&amp;Milestones!$AB$92&amp;" "&amp;Milestones!$AC$92&amp;";  ","")&amp;IF(AND(EDATE($D71,Milestones!$AA$93)&lt;=AsOfDate,IF($Q71=0,$W71,IF(AND($S71&lt;&gt;"",EDATE($D71,Milestones!$AA$93)&gt;=$S71),$V71,IF(AND($R71&lt;&gt;"",EDATE($D71,Milestones!$AA$93)&gt;=$R71),$U71,$T71)))=Milestones!$AB$93),TEXT(EDATE($D71,Milestones!$AA$93),"dd/mm/yy")&amp;" "&amp;Milestones!$AB$93&amp;" "&amp;Milestones!$AC$93&amp;";  ","")&amp;IF(AND(EDATE($D71,Milestones!$AA$94)&lt;=AsOfDate,IF($Q71=0,$W71,IF(AND($S71&lt;&gt;"",EDATE($D71,Milestones!$AA$94)&gt;=$S71),$V71,IF(AND($R71&lt;&gt;"",EDATE($D71,Milestones!$AA$94)&gt;=$R71),$U71,$T71)))=Milestones!$AB$94),TEXT(EDATE($D71,Milestones!$AA$94),"dd/mm/yy")&amp;" "&amp;Milestones!$AB$94&amp;" "&amp;Milestones!$AC$94&amp;";  ","")&amp;IF(AND(EDATE($D71,Milestones!$AA$95)&lt;=AsOfDate,IF($Q71=0,$W71,IF(AND($S71&lt;&gt;"",EDATE($D71,Milestones!$AA$95)&gt;=$S71),$V71,IF(AND($R71&lt;&gt;"",EDATE($D71,Milestones!$AA$95)&gt;=$R71),$U71,$T71)))=Milestones!$AB$95),TEXT(EDATE($D71,Milestones!$AA$95),"dd/mm/yy")&amp;" "&amp;Milestones!$AB$95&amp;" "&amp;Milestones!$AC$95&amp;";  ","")&amp;IF(AND(EDATE($D71,Milestones!$AA$96)&lt;=AsOfDate,IF($Q71=0,$W71,IF(AND($S71&lt;&gt;"",EDATE($D71,Milestones!$AA$96)&gt;=$S71),$V71,IF(AND($R71&lt;&gt;"",EDATE($D71,Milestones!$AA$96)&gt;=$R71),$U71,$T71)))=Milestones!$AB$96),TEXT(EDATE($D71,Milestones!$AA$96),"dd/mm/yy")&amp;" "&amp;Milestones!$AB$96&amp;" "&amp;Milestones!$AC$96&amp;";  ","")&amp;IF(AND(EDATE($D71,Milestones!$AA$97)&lt;=AsOfDate,IF($Q71=0,$W71,IF(AND($S71&lt;&gt;"",EDATE($D71,Milestones!$AA$97)&gt;=$S71),$V71,IF(AND($R71&lt;&gt;"",EDATE($D71,Milestones!$AA$97)&gt;=$R71),$U71,$T71)))=Milestones!$AB$97),TEXT(EDATE($D71,Milestones!$AA$97),"dd/mm/yy")&amp;" "&amp;Milestones!$AB$97&amp;" "&amp;Milestones!$AC$97&amp;";  ","")&amp;IF(AND(EDATE($D71,Milestones!$AA$98)&lt;=AsOfDate,IF($Q71=0,$W71,IF(AND($S71&lt;&gt;"",EDATE($D71,Milestones!$AA$98)&gt;=$S71),$V71,IF(AND($R71&lt;&gt;"",EDATE($D71,Milestones!$AA$98)&gt;=$R71),$U71,$T71)))=Milestones!$AB$98),TEXT(EDATE($D71,Milestones!$AA$98),"dd/mm/yy")&amp;" "&amp;Milestones!$AB$98&amp;" "&amp;Milestones!$AC$98&amp;";  ","")&amp;IF(AND(EDATE($D71,Milestones!$AA$99)&lt;=AsOfDate,IF($Q71=0,$W71,IF(AND($S71&lt;&gt;"",EDATE($D71,Milestones!$AA$99)&gt;=$S71),$V71,IF(AND($R71&lt;&gt;"",EDATE($D71,Milestones!$AA$99)&gt;=$R71),$U71,$T71)))=Milestones!$AB$99),TEXT(EDATE($D71,Milestones!$AA$99),"dd/mm/yy")&amp;" "&amp;Milestones!$AB$99&amp;" "&amp;Milestones!$AC$99&amp;";  ",""))</f>
        <v/>
      </c>
      <c r="L71" s="0" t="str">
        <f aca="false">IF(OR($A71="",$D71=""),"",IF(AND(EDATE($D71,Milestones!$AA$100)&lt;=AsOfDate,IF($Q71=0,$W71,IF(AND($S71&lt;&gt;"",EDATE($D71,Milestones!$AA$100)&gt;=$S71),$V71,IF(AND($R71&lt;&gt;"",EDATE($D71,Milestones!$AA$100)&gt;=$R71),$U71,$T71)))=Milestones!$AB$100),TEXT(EDATE($D71,Milestones!$AA$100),"dd/mm/yy")&amp;" "&amp;Milestones!$AB$100&amp;" "&amp;Milestones!$AC$100&amp;";  ","")&amp;IF(AND(EDATE($D71,Milestones!$AA$101)&lt;=AsOfDate,IF($Q71=0,$W71,IF(AND($S71&lt;&gt;"",EDATE($D71,Milestones!$AA$101)&gt;=$S71),$V71,IF(AND($R71&lt;&gt;"",EDATE($D71,Milestones!$AA$101)&gt;=$R71),$U71,$T71)))=Milestones!$AB$101),TEXT(EDATE($D71,Milestones!$AA$101),"dd/mm/yy")&amp;" "&amp;Milestones!$AB$101&amp;" "&amp;Milestones!$AC$101&amp;";  ","")&amp;IF(AND(EDATE($D71,Milestones!$AA$102)&lt;=AsOfDate,IF($Q71=0,$W71,IF(AND($S71&lt;&gt;"",EDATE($D71,Milestones!$AA$102)&gt;=$S71),$V71,IF(AND($R71&lt;&gt;"",EDATE($D71,Milestones!$AA$102)&gt;=$R71),$U71,$T71)))=Milestones!$AB$102),TEXT(EDATE($D71,Milestones!$AA$102),"dd/mm/yy")&amp;" "&amp;Milestones!$AB$102&amp;" "&amp;Milestones!$AC$102&amp;";  ","")&amp;IF(AND(EDATE($D71,Milestones!$AA$103)&lt;=AsOfDate,IF($Q71=0,$W71,IF(AND($S71&lt;&gt;"",EDATE($D71,Milestones!$AA$103)&gt;=$S71),$V71,IF(AND($R71&lt;&gt;"",EDATE($D71,Milestones!$AA$103)&gt;=$R71),$U71,$T71)))=Milestones!$AB$103),TEXT(EDATE($D71,Milestones!$AA$103),"dd/mm/yy")&amp;" "&amp;Milestones!$AB$103&amp;" "&amp;Milestones!$AC$103&amp;";  ","")&amp;IF(AND(EDATE($D71,Milestones!$AA$104)&lt;=AsOfDate,IF($Q71=0,$W71,IF(AND($S71&lt;&gt;"",EDATE($D71,Milestones!$AA$104)&gt;=$S71),$V71,IF(AND($R71&lt;&gt;"",EDATE($D71,Milestones!$AA$104)&gt;=$R71),$U71,$T71)))=Milestones!$AB$104),TEXT(EDATE($D71,Milestones!$AA$104),"dd/mm/yy")&amp;" "&amp;Milestones!$AB$104&amp;" "&amp;Milestones!$AC$104&amp;";  ","")&amp;IF(AND(EDATE($D71,Milestones!$AA$105)&lt;=AsOfDate,IF($Q71=0,$W71,IF(AND($S71&lt;&gt;"",EDATE($D71,Milestones!$AA$105)&gt;=$S71),$V71,IF(AND($R71&lt;&gt;"",EDATE($D71,Milestones!$AA$105)&gt;=$R71),$U71,$T71)))=Milestones!$AB$105),TEXT(EDATE($D71,Milestones!$AA$105),"dd/mm/yy")&amp;" "&amp;Milestones!$AB$105&amp;" "&amp;Milestones!$AC$105&amp;";  ","")&amp;IF(AND(EDATE($D71,Milestones!$AA$106)&lt;=AsOfDate,IF($Q71=0,$W71,IF(AND($S71&lt;&gt;"",EDATE($D71,Milestones!$AA$106)&gt;=$S71),$V71,IF(AND($R71&lt;&gt;"",EDATE($D71,Milestones!$AA$106)&gt;=$R71),$U71,$T71)))=Milestones!$AB$106),TEXT(EDATE($D71,Milestones!$AA$106),"dd/mm/yy")&amp;" "&amp;Milestones!$AB$106&amp;" "&amp;Milestones!$AC$106&amp;";  ","")&amp;IF(AND(EDATE($D71,Milestones!$AA$107)&lt;=AsOfDate,IF($Q71=0,$W71,IF(AND($S71&lt;&gt;"",EDATE($D71,Milestones!$AA$107)&gt;=$S71),$V71,IF(AND($R71&lt;&gt;"",EDATE($D71,Milestones!$AA$107)&gt;=$R71),$U71,$T71)))=Milestones!$AB$107),TEXT(EDATE($D71,Milestones!$AA$107),"dd/mm/yy")&amp;" "&amp;Milestones!$AB$107&amp;" "&amp;Milestones!$AC$107&amp;";  ","")&amp;IF(AND(EDATE($D71,Milestones!$AA$108)&lt;=AsOfDate,IF($Q71=0,$W71,IF(AND($S71&lt;&gt;"",EDATE($D71,Milestones!$AA$108)&gt;=$S71),$V71,IF(AND($R71&lt;&gt;"",EDATE($D71,Milestones!$AA$108)&gt;=$R71),$U71,$T71)))=Milestones!$AB$108),TEXT(EDATE($D71,Milestones!$AA$108),"dd/mm/yy")&amp;" "&amp;Milestones!$AB$108&amp;" "&amp;Milestones!$AC$108&amp;";  ","")&amp;IF(AND(EDATE($D71,Milestones!$AA$109)&lt;=AsOfDate,IF($Q71=0,$W71,IF(AND($S71&lt;&gt;"",EDATE($D71,Milestones!$AA$109)&gt;=$S71),$V71,IF(AND($R71&lt;&gt;"",EDATE($D71,Milestones!$AA$109)&gt;=$R71),$U71,$T71)))=Milestones!$AB$109),TEXT(EDATE($D71,Milestones!$AA$109),"dd/mm/yy")&amp;" "&amp;Milestones!$AB$109&amp;" "&amp;Milestones!$AC$109&amp;";  ","")&amp;IF(AND(EDATE($D71,Milestones!$AA$110)&lt;=AsOfDate,IF($Q71=0,$W71,IF(AND($S71&lt;&gt;"",EDATE($D71,Milestones!$AA$110)&gt;=$S71),$V71,IF(AND($R71&lt;&gt;"",EDATE($D71,Milestones!$AA$110)&gt;=$R71),$U71,$T71)))=Milestones!$AB$110),TEXT(EDATE($D71,Milestones!$AA$110),"dd/mm/yy")&amp;" "&amp;Milestones!$AB$110&amp;" "&amp;Milestones!$AC$110&amp;";  ","")&amp;IF(AND(EDATE($D71,Milestones!$AA$111)&lt;=AsOfDate,IF($Q71=0,$W71,IF(AND($S71&lt;&gt;"",EDATE($D71,Milestones!$AA$111)&gt;=$S71),$V71,IF(AND($R71&lt;&gt;"",EDATE($D71,Milestones!$AA$111)&gt;=$R71),$U71,$T71)))=Milestones!$AB$111),TEXT(EDATE($D71,Milestones!$AA$111),"dd/mm/yy")&amp;" "&amp;Milestones!$AB$111&amp;" "&amp;Milestones!$AC$111&amp;";  ","")&amp;IF(AND(EDATE($D71,Milestones!$AA$112)&lt;=AsOfDate,IF($Q71=0,$W71,IF(AND($S71&lt;&gt;"",EDATE($D71,Milestones!$AA$112)&gt;=$S71),$V71,IF(AND($R71&lt;&gt;"",EDATE($D71,Milestones!$AA$112)&gt;=$R71),$U71,$T71)))=Milestones!$AB$112),TEXT(EDATE($D71,Milestones!$AA$112),"dd/mm/yy")&amp;" "&amp;Milestones!$AB$112&amp;" "&amp;Milestones!$AC$112&amp;";  ","")&amp;IF(AND(EDATE($D71,Milestones!$AA$113)&lt;=AsOfDate,IF($Q71=0,$W71,IF(AND($S71&lt;&gt;"",EDATE($D71,Milestones!$AA$113)&gt;=$S71),$V71,IF(AND($R71&lt;&gt;"",EDATE($D71,Milestones!$AA$113)&gt;=$R71),$U71,$T71)))=Milestones!$AB$113),TEXT(EDATE($D71,Milestones!$AA$113),"dd/mm/yy")&amp;" "&amp;Milestones!$AB$113&amp;" "&amp;Milestones!$AC$113&amp;";  ","")&amp;IF(AND(EDATE($D71,Milestones!$AA$114)&lt;=AsOfDate,IF($Q71=0,$W71,IF(AND($S71&lt;&gt;"",EDATE($D71,Milestones!$AA$114)&gt;=$S71),$V71,IF(AND($R71&lt;&gt;"",EDATE($D71,Milestones!$AA$114)&gt;=$R71),$U71,$T71)))=Milestones!$AB$114),TEXT(EDATE($D71,Milestones!$AA$114),"dd/mm/yy")&amp;" "&amp;Milestones!$AB$114&amp;" "&amp;Milestones!$AC$114&amp;";  ","")&amp;IF(AND(EDATE($D71,Milestones!$AA$115)&lt;=AsOfDate,IF($Q71=0,$W71,IF(AND($S71&lt;&gt;"",EDATE($D71,Milestones!$AA$115)&gt;=$S71),$V71,IF(AND($R71&lt;&gt;"",EDATE($D71,Milestones!$AA$115)&gt;=$R71),$U71,$T71)))=Milestones!$AB$115),TEXT(EDATE($D71,Milestones!$AA$115),"dd/mm/yy")&amp;" "&amp;Milestones!$AB$115&amp;" "&amp;Milestones!$AC$115&amp;";  ","")&amp;IF(AND(EDATE($D71,Milestones!$AA$116)&lt;=AsOfDate,IF($Q71=0,$W71,IF(AND($S71&lt;&gt;"",EDATE($D71,Milestones!$AA$116)&gt;=$S71),$V71,IF(AND($R71&lt;&gt;"",EDATE($D71,Milestones!$AA$116)&gt;=$R71),$U71,$T71)))=Milestones!$AB$116),TEXT(EDATE($D71,Milestones!$AA$116),"dd/mm/yy")&amp;" "&amp;Milestones!$AB$116&amp;" "&amp;Milestones!$AC$116&amp;";  ","")&amp;IF(AND(EDATE($D71,Milestones!$AA$117)&lt;=AsOfDate,IF($Q71=0,$W71,IF(AND($S71&lt;&gt;"",EDATE($D71,Milestones!$AA$117)&gt;=$S71),$V71,IF(AND($R71&lt;&gt;"",EDATE($D71,Milestones!$AA$117)&gt;=$R71),$U71,$T71)))=Milestones!$AB$117),TEXT(EDATE($D71,Milestones!$AA$117),"dd/mm/yy")&amp;" "&amp;Milestones!$AB$117&amp;" "&amp;Milestones!$AC$117&amp;";  ","")&amp;IF(AND(EDATE($D71,Milestones!$AA$118)&lt;=AsOfDate,IF($Q71=0,$W71,IF(AND($S71&lt;&gt;"",EDATE($D71,Milestones!$AA$118)&gt;=$S71),$V71,IF(AND($R71&lt;&gt;"",EDATE($D71,Milestones!$AA$118)&gt;=$R71),$U71,$T71)))=Milestones!$AB$118),TEXT(EDATE($D71,Milestones!$AA$118),"dd/mm/yy")&amp;" "&amp;Milestones!$AB$118&amp;" "&amp;Milestones!$AC$118&amp;";  ","")&amp;IF(AND(EDATE($D71,Milestones!$AA$119)&lt;=AsOfDate,IF($Q71=0,$W71,IF(AND($S71&lt;&gt;"",EDATE($D71,Milestones!$AA$119)&gt;=$S71),$V71,IF(AND($R71&lt;&gt;"",EDATE($D71,Milestones!$AA$119)&gt;=$R71),$U71,$T71)))=Milestones!$AB$119),TEXT(EDATE($D71,Milestones!$AA$119),"dd/mm/yy")&amp;" "&amp;Milestones!$AB$119&amp;" "&amp;Milestones!$AC$119&amp;";  ",""))</f>
        <v/>
      </c>
      <c r="M71" s="0" t="str">
        <f aca="false">IF(OR($A71="",$D71=""),"",IF(AND(EDATE($D71,Milestones!$AA$120)&lt;=AsOfDate,IF($Q71=0,$W71,IF(AND($S71&lt;&gt;"",EDATE($D71,Milestones!$AA$120)&gt;=$S71),$V71,IF(AND($R71&lt;&gt;"",EDATE($D71,Milestones!$AA$120)&gt;=$R71),$U71,$T71)))=Milestones!$AB$120),TEXT(EDATE($D71,Milestones!$AA$120),"dd/mm/yy")&amp;" "&amp;Milestones!$AB$120&amp;" "&amp;Milestones!$AC$120&amp;";  ","")&amp;IF(AND(EDATE($D71,Milestones!$AA$121)&lt;=AsOfDate,IF($Q71=0,$W71,IF(AND($S71&lt;&gt;"",EDATE($D71,Milestones!$AA$121)&gt;=$S71),$V71,IF(AND($R71&lt;&gt;"",EDATE($D71,Milestones!$AA$121)&gt;=$R71),$U71,$T71)))=Milestones!$AB$121),TEXT(EDATE($D71,Milestones!$AA$121),"dd/mm/yy")&amp;" "&amp;Milestones!$AB$121&amp;" "&amp;Milestones!$AC$121&amp;";  ","")&amp;IF(AND(EDATE($D71,Milestones!$AA$122)&lt;=AsOfDate,IF($Q71=0,$W71,IF(AND($S71&lt;&gt;"",EDATE($D71,Milestones!$AA$122)&gt;=$S71),$V71,IF(AND($R71&lt;&gt;"",EDATE($D71,Milestones!$AA$122)&gt;=$R71),$U71,$T71)))=Milestones!$AB$122),TEXT(EDATE($D71,Milestones!$AA$122),"dd/mm/yy")&amp;" "&amp;Milestones!$AB$122&amp;" "&amp;Milestones!$AC$122&amp;";  ","")&amp;IF(AND(EDATE($D71,Milestones!$AA$123)&lt;=AsOfDate,IF($Q71=0,$W71,IF(AND($S71&lt;&gt;"",EDATE($D71,Milestones!$AA$123)&gt;=$S71),$V71,IF(AND($R71&lt;&gt;"",EDATE($D71,Milestones!$AA$123)&gt;=$R71),$U71,$T71)))=Milestones!$AB$123),TEXT(EDATE($D71,Milestones!$AA$123),"dd/mm/yy")&amp;" "&amp;Milestones!$AB$123&amp;" "&amp;Milestones!$AC$123&amp;";  ","")&amp;IF(AND(EDATE($D71,Milestones!$AA$124)&lt;=AsOfDate,IF($Q71=0,$W71,IF(AND($S71&lt;&gt;"",EDATE($D71,Milestones!$AA$124)&gt;=$S71),$V71,IF(AND($R71&lt;&gt;"",EDATE($D71,Milestones!$AA$124)&gt;=$R71),$U71,$T71)))=Milestones!$AB$124),TEXT(EDATE($D71,Milestones!$AA$124),"dd/mm/yy")&amp;" "&amp;Milestones!$AB$124&amp;" "&amp;Milestones!$AC$124&amp;";  ","")&amp;IF(AND(EDATE($D71,Milestones!$AA$125)&lt;=AsOfDate,IF($Q71=0,$W71,IF(AND($S71&lt;&gt;"",EDATE($D71,Milestones!$AA$125)&gt;=$S71),$V71,IF(AND($R71&lt;&gt;"",EDATE($D71,Milestones!$AA$125)&gt;=$R71),$U71,$T71)))=Milestones!$AB$125),TEXT(EDATE($D71,Milestones!$AA$125),"dd/mm/yy")&amp;" "&amp;Milestones!$AB$125&amp;" "&amp;Milestones!$AC$125&amp;";  ","")&amp;IF(AND(EDATE($D71,Milestones!$AA$126)&lt;=AsOfDate,IF($Q71=0,$W71,IF(AND($S71&lt;&gt;"",EDATE($D71,Milestones!$AA$126)&gt;=$S71),$V71,IF(AND($R71&lt;&gt;"",EDATE($D71,Milestones!$AA$126)&gt;=$R71),$U71,$T71)))=Milestones!$AB$126),TEXT(EDATE($D71,Milestones!$AA$126),"dd/mm/yy")&amp;" "&amp;Milestones!$AB$126&amp;" "&amp;Milestones!$AC$126&amp;";  ","")&amp;IF(AND(EDATE($D71,Milestones!$AA$127)&lt;=AsOfDate,IF($Q71=0,$W71,IF(AND($S71&lt;&gt;"",EDATE($D71,Milestones!$AA$127)&gt;=$S71),$V71,IF(AND($R71&lt;&gt;"",EDATE($D71,Milestones!$AA$127)&gt;=$R71),$U71,$T71)))=Milestones!$AB$127),TEXT(EDATE($D71,Milestones!$AA$127),"dd/mm/yy")&amp;" "&amp;Milestones!$AB$127&amp;" "&amp;Milestones!$AC$127&amp;";  ","")&amp;IF(AND(EDATE($D71,Milestones!$AA$128)&lt;=AsOfDate,IF($Q71=0,$W71,IF(AND($S71&lt;&gt;"",EDATE($D71,Milestones!$AA$128)&gt;=$S71),$V71,IF(AND($R71&lt;&gt;"",EDATE($D71,Milestones!$AA$128)&gt;=$R71),$U71,$T71)))=Milestones!$AB$128),TEXT(EDATE($D71,Milestones!$AA$128),"dd/mm/yy")&amp;" "&amp;Milestones!$AB$128&amp;" "&amp;Milestones!$AC$128&amp;";  ","")&amp;IF(AND(EDATE($D71,Milestones!$AA$129)&lt;=AsOfDate,IF($Q71=0,$W71,IF(AND($S71&lt;&gt;"",EDATE($D71,Milestones!$AA$129)&gt;=$S71),$V71,IF(AND($R71&lt;&gt;"",EDATE($D71,Milestones!$AA$129)&gt;=$R71),$U71,$T71)))=Milestones!$AB$129),TEXT(EDATE($D71,Milestones!$AA$129),"dd/mm/yy")&amp;" "&amp;Milestones!$AB$129&amp;" "&amp;Milestones!$AC$129&amp;";  ","")&amp;IF(AND(EDATE($D71,Milestones!$AA$130)&lt;=AsOfDate,IF($Q71=0,$W71,IF(AND($S71&lt;&gt;"",EDATE($D71,Milestones!$AA$130)&gt;=$S71),$V71,IF(AND($R71&lt;&gt;"",EDATE($D71,Milestones!$AA$130)&gt;=$R71),$U71,$T71)))=Milestones!$AB$130),TEXT(EDATE($D71,Milestones!$AA$130),"dd/mm/yy")&amp;" "&amp;Milestones!$AB$130&amp;" "&amp;Milestones!$AC$130&amp;";  ","")&amp;IF(AND(EDATE($D71,Milestones!$AA$131)&lt;=AsOfDate,IF($Q71=0,$W71,IF(AND($S71&lt;&gt;"",EDATE($D71,Milestones!$AA$131)&gt;=$S71),$V71,IF(AND($R71&lt;&gt;"",EDATE($D71,Milestones!$AA$131)&gt;=$R71),$U71,$T71)))=Milestones!$AB$131),TEXT(EDATE($D71,Milestones!$AA$131),"dd/mm/yy")&amp;" "&amp;Milestones!$AB$131&amp;" "&amp;Milestones!$AC$131&amp;";  ","")&amp;IF(AND(EDATE($D71,Milestones!$AA$132)&lt;=AsOfDate,IF($Q71=0,$W71,IF(AND($S71&lt;&gt;"",EDATE($D71,Milestones!$AA$132)&gt;=$S71),$V71,IF(AND($R71&lt;&gt;"",EDATE($D71,Milestones!$AA$132)&gt;=$R71),$U71,$T71)))=Milestones!$AB$132),TEXT(EDATE($D71,Milestones!$AA$132),"dd/mm/yy")&amp;" "&amp;Milestones!$AB$132&amp;" "&amp;Milestones!$AC$132&amp;";  ","")&amp;IF(AND(EDATE($D71,Milestones!$AA$133)&lt;=AsOfDate,IF($Q71=0,$W71,IF(AND($S71&lt;&gt;"",EDATE($D71,Milestones!$AA$133)&gt;=$S71),$V71,IF(AND($R71&lt;&gt;"",EDATE($D71,Milestones!$AA$133)&gt;=$R71),$U71,$T71)))=Milestones!$AB$133),TEXT(EDATE($D71,Milestones!$AA$133),"dd/mm/yy")&amp;" "&amp;Milestones!$AB$133&amp;" "&amp;Milestones!$AC$133&amp;";  ","")&amp;IF(AND(EDATE($D71,Milestones!$AA$134)&lt;=AsOfDate,IF($Q71=0,$W71,IF(AND($S71&lt;&gt;"",EDATE($D71,Milestones!$AA$134)&gt;=$S71),$V71,IF(AND($R71&lt;&gt;"",EDATE($D71,Milestones!$AA$134)&gt;=$R71),$U71,$T71)))=Milestones!$AB$134),TEXT(EDATE($D71,Milestones!$AA$134),"dd/mm/yy")&amp;" "&amp;Milestones!$AB$134&amp;" "&amp;Milestones!$AC$134&amp;";  ","")&amp;IF(AND(EDATE($D71,Milestones!$AA$135)&lt;=AsOfDate,IF($Q71=0,$W71,IF(AND($S71&lt;&gt;"",EDATE($D71,Milestones!$AA$135)&gt;=$S71),$V71,IF(AND($R71&lt;&gt;"",EDATE($D71,Milestones!$AA$135)&gt;=$R71),$U71,$T71)))=Milestones!$AB$135),TEXT(EDATE($D71,Milestones!$AA$135),"dd/mm/yy")&amp;" "&amp;Milestones!$AB$135&amp;" "&amp;Milestones!$AC$135&amp;";  ","")&amp;IF(AND(EDATE($D71,Milestones!$AA$136)&lt;=AsOfDate,IF($Q71=0,$W71,IF(AND($S71&lt;&gt;"",EDATE($D71,Milestones!$AA$136)&gt;=$S71),$V71,IF(AND($R71&lt;&gt;"",EDATE($D71,Milestones!$AA$136)&gt;=$R71),$U71,$T71)))=Milestones!$AB$136),TEXT(EDATE($D71,Milestones!$AA$136),"dd/mm/yy")&amp;" "&amp;Milestones!$AB$136&amp;" "&amp;Milestones!$AC$136&amp;";  ","")&amp;IF(AND(EDATE($D71,Milestones!$AA$137)&lt;=AsOfDate,IF($Q71=0,$W71,IF(AND($S71&lt;&gt;"",EDATE($D71,Milestones!$AA$137)&gt;=$S71),$V71,IF(AND($R71&lt;&gt;"",EDATE($D71,Milestones!$AA$137)&gt;=$R71),$U71,$T71)))=Milestones!$AB$137),TEXT(EDATE($D71,Milestones!$AA$137),"dd/mm/yy")&amp;" "&amp;Milestones!$AB$137&amp;" "&amp;Milestones!$AC$137&amp;";  ","")&amp;IF(AND(EDATE($D71,Milestones!$AA$138)&lt;=AsOfDate,IF($Q71=0,$W71,IF(AND($S71&lt;&gt;"",EDATE($D71,Milestones!$AA$138)&gt;=$S71),$V71,IF(AND($R71&lt;&gt;"",EDATE($D71,Milestones!$AA$138)&gt;=$R71),$U71,$T71)))=Milestones!$AB$138),TEXT(EDATE($D71,Milestones!$AA$138),"dd/mm/yy")&amp;" "&amp;Milestones!$AB$138&amp;" "&amp;Milestones!$AC$138&amp;";  ","")&amp;IF(AND(EDATE($D71,Milestones!$AA$139)&lt;=AsOfDate,IF($Q71=0,$W71,IF(AND($S71&lt;&gt;"",EDATE($D71,Milestones!$AA$139)&gt;=$S71),$V71,IF(AND($R71&lt;&gt;"",EDATE($D71,Milestones!$AA$139)&gt;=$R71),$U71,$T71)))=Milestones!$AB$139),TEXT(EDATE($D71,Milestones!$AA$139),"dd/mm/yy")&amp;" "&amp;Milestones!$AB$139&amp;" "&amp;Milestones!$AC$139&amp;";  ",""))</f>
        <v/>
      </c>
      <c r="N71" s="0" t="str">
        <f aca="false">IF(OR($A71="",$D71=""),"",IF(AND(EDATE($D71,Milestones!$AA$140)&lt;=AsOfDate,IF($Q71=0,$W71,IF(AND($S71&lt;&gt;"",EDATE($D71,Milestones!$AA$140)&gt;=$S71),$V71,IF(AND($R71&lt;&gt;"",EDATE($D71,Milestones!$AA$140)&gt;=$R71),$U71,$T71)))=Milestones!$AB$140),TEXT(EDATE($D71,Milestones!$AA$140),"dd/mm/yy")&amp;" "&amp;Milestones!$AB$140&amp;" "&amp;Milestones!$AC$140&amp;";  ","")&amp;IF(AND(EDATE($D71,Milestones!$AA$141)&lt;=AsOfDate,IF($Q71=0,$W71,IF(AND($S71&lt;&gt;"",EDATE($D71,Milestones!$AA$141)&gt;=$S71),$V71,IF(AND($R71&lt;&gt;"",EDATE($D71,Milestones!$AA$141)&gt;=$R71),$U71,$T71)))=Milestones!$AB$141),TEXT(EDATE($D71,Milestones!$AA$141),"dd/mm/yy")&amp;" "&amp;Milestones!$AB$141&amp;" "&amp;Milestones!$AC$141&amp;";  ","")&amp;IF(AND(EDATE($D71,Milestones!$AA$142)&lt;=AsOfDate,IF($Q71=0,$W71,IF(AND($S71&lt;&gt;"",EDATE($D71,Milestones!$AA$142)&gt;=$S71),$V71,IF(AND($R71&lt;&gt;"",EDATE($D71,Milestones!$AA$142)&gt;=$R71),$U71,$T71)))=Milestones!$AB$142),TEXT(EDATE($D71,Milestones!$AA$142),"dd/mm/yy")&amp;" "&amp;Milestones!$AB$142&amp;" "&amp;Milestones!$AC$142&amp;";  ","")&amp;IF(AND(EDATE($D71,Milestones!$AA$143)&lt;=AsOfDate,IF($Q71=0,$W71,IF(AND($S71&lt;&gt;"",EDATE($D71,Milestones!$AA$143)&gt;=$S71),$V71,IF(AND($R71&lt;&gt;"",EDATE($D71,Milestones!$AA$143)&gt;=$R71),$U71,$T71)))=Milestones!$AB$143),TEXT(EDATE($D71,Milestones!$AA$143),"dd/mm/yy")&amp;" "&amp;Milestones!$AB$143&amp;" "&amp;Milestones!$AC$143&amp;";  ","")&amp;IF(AND(EDATE($D71,Milestones!$AA$144)&lt;=AsOfDate,IF($Q71=0,$W71,IF(AND($S71&lt;&gt;"",EDATE($D71,Milestones!$AA$144)&gt;=$S71),$V71,IF(AND($R71&lt;&gt;"",EDATE($D71,Milestones!$AA$144)&gt;=$R71),$U71,$T71)))=Milestones!$AB$144),TEXT(EDATE($D71,Milestones!$AA$144),"dd/mm/yy")&amp;" "&amp;Milestones!$AB$144&amp;" "&amp;Milestones!$AC$144&amp;";  ","")&amp;IF(AND(EDATE($D71,Milestones!$AA$145)&lt;=AsOfDate,IF($Q71=0,$W71,IF(AND($S71&lt;&gt;"",EDATE($D71,Milestones!$AA$145)&gt;=$S71),$V71,IF(AND($R71&lt;&gt;"",EDATE($D71,Milestones!$AA$145)&gt;=$R71),$U71,$T71)))=Milestones!$AB$145),TEXT(EDATE($D71,Milestones!$AA$145),"dd/mm/yy")&amp;" "&amp;Milestones!$AB$145&amp;" "&amp;Milestones!$AC$145&amp;";  ","")&amp;IF(AND(EDATE($D71,Milestones!$AA$146)&lt;=AsOfDate,IF($Q71=0,$W71,IF(AND($S71&lt;&gt;"",EDATE($D71,Milestones!$AA$146)&gt;=$S71),$V71,IF(AND($R71&lt;&gt;"",EDATE($D71,Milestones!$AA$146)&gt;=$R71),$U71,$T71)))=Milestones!$AB$146),TEXT(EDATE($D71,Milestones!$AA$146),"dd/mm/yy")&amp;" "&amp;Milestones!$AB$146&amp;" "&amp;Milestones!$AC$146&amp;";  ","")&amp;IF(AND(EDATE($D71,Milestones!$AA$147)&lt;=AsOfDate,IF($Q71=0,$W71,IF(AND($S71&lt;&gt;"",EDATE($D71,Milestones!$AA$147)&gt;=$S71),$V71,IF(AND($R71&lt;&gt;"",EDATE($D71,Milestones!$AA$147)&gt;=$R71),$U71,$T71)))=Milestones!$AB$147),TEXT(EDATE($D71,Milestones!$AA$147),"dd/mm/yy")&amp;" "&amp;Milestones!$AB$147&amp;" "&amp;Milestones!$AC$147&amp;";  ","")&amp;IF(AND(EDATE($D71,Milestones!$AA$148)&lt;=AsOfDate,IF($Q71=0,$W71,IF(AND($S71&lt;&gt;"",EDATE($D71,Milestones!$AA$148)&gt;=$S71),$V71,IF(AND($R71&lt;&gt;"",EDATE($D71,Milestones!$AA$148)&gt;=$R71),$U71,$T71)))=Milestones!$AB$148),TEXT(EDATE($D71,Milestones!$AA$148),"dd/mm/yy")&amp;" "&amp;Milestones!$AB$148&amp;" "&amp;Milestones!$AC$148&amp;";  ","")&amp;IF(AND(EDATE($D71,Milestones!$AA$149)&lt;=AsOfDate,IF($Q71=0,$W71,IF(AND($S71&lt;&gt;"",EDATE($D71,Milestones!$AA$149)&gt;=$S71),$V71,IF(AND($R71&lt;&gt;"",EDATE($D71,Milestones!$AA$149)&gt;=$R71),$U71,$T71)))=Milestones!$AB$149),TEXT(EDATE($D71,Milestones!$AA$149),"dd/mm/yy")&amp;" "&amp;Milestones!$AB$149&amp;" "&amp;Milestones!$AC$149&amp;";  ","")&amp;IF(AND(EDATE($D71,Milestones!$AA$150)&lt;=AsOfDate,IF($Q71=0,$W71,IF(AND($S71&lt;&gt;"",EDATE($D71,Milestones!$AA$150)&gt;=$S71),$V71,IF(AND($R71&lt;&gt;"",EDATE($D71,Milestones!$AA$150)&gt;=$R71),$U71,$T71)))=Milestones!$AB$150),TEXT(EDATE($D71,Milestones!$AA$150),"dd/mm/yy")&amp;" "&amp;Milestones!$AB$150&amp;" "&amp;Milestones!$AC$150&amp;";  ","")&amp;IF(AND(EDATE($D71,Milestones!$AA$151)&lt;=AsOfDate,IF($Q71=0,$W71,IF(AND($S71&lt;&gt;"",EDATE($D71,Milestones!$AA$151)&gt;=$S71),$V71,IF(AND($R71&lt;&gt;"",EDATE($D71,Milestones!$AA$151)&gt;=$R71),$U71,$T71)))=Milestones!$AB$151),TEXT(EDATE($D71,Milestones!$AA$151),"dd/mm/yy")&amp;" "&amp;Milestones!$AB$151&amp;" "&amp;Milestones!$AC$151&amp;";  ","")&amp;IF(AND(EDATE($D71,Milestones!$AA$152)&lt;=AsOfDate,IF($Q71=0,$W71,IF(AND($S71&lt;&gt;"",EDATE($D71,Milestones!$AA$152)&gt;=$S71),$V71,IF(AND($R71&lt;&gt;"",EDATE($D71,Milestones!$AA$152)&gt;=$R71),$U71,$T71)))=Milestones!$AB$152),TEXT(EDATE($D71,Milestones!$AA$152),"dd/mm/yy")&amp;" "&amp;Milestones!$AB$152&amp;" "&amp;Milestones!$AC$152&amp;";  ","")&amp;IF(AND(EDATE($D71,Milestones!$AA$153)&lt;=AsOfDate,IF($Q71=0,$W71,IF(AND($S71&lt;&gt;"",EDATE($D71,Milestones!$AA$153)&gt;=$S71),$V71,IF(AND($R71&lt;&gt;"",EDATE($D71,Milestones!$AA$153)&gt;=$R71),$U71,$T71)))=Milestones!$AB$153),TEXT(EDATE($D71,Milestones!$AA$153),"dd/mm/yy")&amp;" "&amp;Milestones!$AB$153&amp;" "&amp;Milestones!$AC$153&amp;";  ","")&amp;IF(AND(EDATE($D71,Milestones!$AA$154)&lt;=AsOfDate,IF($Q71=0,$W71,IF(AND($S71&lt;&gt;"",EDATE($D71,Milestones!$AA$154)&gt;=$S71),$V71,IF(AND($R71&lt;&gt;"",EDATE($D71,Milestones!$AA$154)&gt;=$R71),$U71,$T71)))=Milestones!$AB$154),TEXT(EDATE($D71,Milestones!$AA$154),"dd/mm/yy")&amp;" "&amp;Milestones!$AB$154&amp;" "&amp;Milestones!$AC$154&amp;";  ","")&amp;IF(AND(EDATE($D71,Milestones!$AA$155)&lt;=AsOfDate,IF($Q71=0,$W71,IF(AND($S71&lt;&gt;"",EDATE($D71,Milestones!$AA$155)&gt;=$S71),$V71,IF(AND($R71&lt;&gt;"",EDATE($D71,Milestones!$AA$155)&gt;=$R71),$U71,$T71)))=Milestones!$AB$155),TEXT(EDATE($D71,Milestones!$AA$155),"dd/mm/yy")&amp;" "&amp;Milestones!$AB$155&amp;" "&amp;Milestones!$AC$155&amp;";  ","")&amp;IF(AND(EDATE($D71,Milestones!$AA$156)&lt;=AsOfDate,IF($Q71=0,$W71,IF(AND($S71&lt;&gt;"",EDATE($D71,Milestones!$AA$156)&gt;=$S71),$V71,IF(AND($R71&lt;&gt;"",EDATE($D71,Milestones!$AA$156)&gt;=$R71),$U71,$T71)))=Milestones!$AB$156),TEXT(EDATE($D71,Milestones!$AA$156),"dd/mm/yy")&amp;" "&amp;Milestones!$AB$156&amp;" "&amp;Milestones!$AC$156&amp;";  ","")&amp;IF(AND(EDATE($D71,Milestones!$AA$157)&lt;=AsOfDate,IF($Q71=0,$W71,IF(AND($S71&lt;&gt;"",EDATE($D71,Milestones!$AA$157)&gt;=$S71),$V71,IF(AND($R71&lt;&gt;"",EDATE($D71,Milestones!$AA$157)&gt;=$R71),$U71,$T71)))=Milestones!$AB$157),TEXT(EDATE($D71,Milestones!$AA$157),"dd/mm/yy")&amp;" "&amp;Milestones!$AB$157&amp;" "&amp;Milestones!$AC$157&amp;";  ","")&amp;IF(AND(EDATE($D71,Milestones!$AA$158)&lt;=AsOfDate,IF($Q71=0,$W71,IF(AND($S71&lt;&gt;"",EDATE($D71,Milestones!$AA$158)&gt;=$S71),$V71,IF(AND($R71&lt;&gt;"",EDATE($D71,Milestones!$AA$158)&gt;=$R71),$U71,$T71)))=Milestones!$AB$158),TEXT(EDATE($D71,Milestones!$AA$158),"dd/mm/yy")&amp;" "&amp;Milestones!$AB$158&amp;" "&amp;Milestones!$AC$158&amp;";  ","")&amp;IF(AND(EDATE($D71,Milestones!$AA$159)&lt;=AsOfDate,IF($Q71=0,$W71,IF(AND($S71&lt;&gt;"",EDATE($D71,Milestones!$AA$159)&gt;=$S71),$V71,IF(AND($R71&lt;&gt;"",EDATE($D71,Milestones!$AA$159)&gt;=$R71),$U71,$T71)))=Milestones!$AB$159),TEXT(EDATE($D71,Milestones!$AA$159),"dd/mm/yy")&amp;" "&amp;Milestones!$AB$159&amp;" "&amp;Milestones!$AC$159&amp;";  ",""))</f>
        <v/>
      </c>
      <c r="O71" s="0" t="str">
        <f aca="false">IF(OR($A71="",$D71=""),"",IF(AND(EDATE($D71,Milestones!$AA$160)&lt;=AsOfDate,IF($Q71=0,$W71,IF(AND($S71&lt;&gt;"",EDATE($D71,Milestones!$AA$160)&gt;=$S71),$V71,IF(AND($R71&lt;&gt;"",EDATE($D71,Milestones!$AA$160)&gt;=$R71),$U71,$T71)))=Milestones!$AB$160),TEXT(EDATE($D71,Milestones!$AA$160),"dd/mm/yy")&amp;" "&amp;Milestones!$AB$160&amp;" "&amp;Milestones!$AC$160&amp;";  ","")&amp;IF(AND(EDATE($D71,Milestones!$AA$161)&lt;=AsOfDate,IF($Q71=0,$W71,IF(AND($S71&lt;&gt;"",EDATE($D71,Milestones!$AA$161)&gt;=$S71),$V71,IF(AND($R71&lt;&gt;"",EDATE($D71,Milestones!$AA$161)&gt;=$R71),$U71,$T71)))=Milestones!$AB$161),TEXT(EDATE($D71,Milestones!$AA$161),"dd/mm/yy")&amp;" "&amp;Milestones!$AB$161&amp;" "&amp;Milestones!$AC$161&amp;";  ","")&amp;IF(AND(EDATE($D71,Milestones!$AA$162)&lt;=AsOfDate,IF($Q71=0,$W71,IF(AND($S71&lt;&gt;"",EDATE($D71,Milestones!$AA$162)&gt;=$S71),$V71,IF(AND($R71&lt;&gt;"",EDATE($D71,Milestones!$AA$162)&gt;=$R71),$U71,$T71)))=Milestones!$AB$162),TEXT(EDATE($D71,Milestones!$AA$162),"dd/mm/yy")&amp;" "&amp;Milestones!$AB$162&amp;" "&amp;Milestones!$AC$162&amp;";  ","")&amp;IF(AND(EDATE($D71,Milestones!$AA$163)&lt;=AsOfDate,IF($Q71=0,$W71,IF(AND($S71&lt;&gt;"",EDATE($D71,Milestones!$AA$163)&gt;=$S71),$V71,IF(AND($R71&lt;&gt;"",EDATE($D71,Milestones!$AA$163)&gt;=$R71),$U71,$T71)))=Milestones!$AB$163),TEXT(EDATE($D71,Milestones!$AA$163),"dd/mm/yy")&amp;" "&amp;Milestones!$AB$163&amp;" "&amp;Milestones!$AC$163&amp;";  ","")&amp;IF(AND(EDATE($D71,Milestones!$AA$164)&lt;=AsOfDate,IF($Q71=0,$W71,IF(AND($S71&lt;&gt;"",EDATE($D71,Milestones!$AA$164)&gt;=$S71),$V71,IF(AND($R71&lt;&gt;"",EDATE($D71,Milestones!$AA$164)&gt;=$R71),$U71,$T71)))=Milestones!$AB$164),TEXT(EDATE($D71,Milestones!$AA$164),"dd/mm/yy")&amp;" "&amp;Milestones!$AB$164&amp;" "&amp;Milestones!$AC$164&amp;";  ","")&amp;IF(AND(EDATE($D71,Milestones!$AA$165)&lt;=AsOfDate,IF($Q71=0,$W71,IF(AND($S71&lt;&gt;"",EDATE($D71,Milestones!$AA$165)&gt;=$S71),$V71,IF(AND($R71&lt;&gt;"",EDATE($D71,Milestones!$AA$165)&gt;=$R71),$U71,$T71)))=Milestones!$AB$165),TEXT(EDATE($D71,Milestones!$AA$165),"dd/mm/yy")&amp;" "&amp;Milestones!$AB$165&amp;" "&amp;Milestones!$AC$165&amp;";  ","")&amp;IF(AND(EDATE($D71,Milestones!$AA$166)&lt;=AsOfDate,IF($Q71=0,$W71,IF(AND($S71&lt;&gt;"",EDATE($D71,Milestones!$AA$166)&gt;=$S71),$V71,IF(AND($R71&lt;&gt;"",EDATE($D71,Milestones!$AA$166)&gt;=$R71),$U71,$T71)))=Milestones!$AB$166),TEXT(EDATE($D71,Milestones!$AA$166),"dd/mm/yy")&amp;" "&amp;Milestones!$AB$166&amp;" "&amp;Milestones!$AC$166&amp;";  ","")&amp;IF(AND(EDATE($D71,Milestones!$AA$167)&lt;=AsOfDate,IF($Q71=0,$W71,IF(AND($S71&lt;&gt;"",EDATE($D71,Milestones!$AA$167)&gt;=$S71),$V71,IF(AND($R71&lt;&gt;"",EDATE($D71,Milestones!$AA$167)&gt;=$R71),$U71,$T71)))=Milestones!$AB$167),TEXT(EDATE($D71,Milestones!$AA$167),"dd/mm/yy")&amp;" "&amp;Milestones!$AB$167&amp;" "&amp;Milestones!$AC$167&amp;";  ","")&amp;IF(AND(EDATE($D71,Milestones!$AA$168)&lt;=AsOfDate,IF($Q71=0,$W71,IF(AND($S71&lt;&gt;"",EDATE($D71,Milestones!$AA$168)&gt;=$S71),$V71,IF(AND($R71&lt;&gt;"",EDATE($D71,Milestones!$AA$168)&gt;=$R71),$U71,$T71)))=Milestones!$AB$168),TEXT(EDATE($D71,Milestones!$AA$168),"dd/mm/yy")&amp;" "&amp;Milestones!$AB$168&amp;" "&amp;Milestones!$AC$168&amp;";  ","")&amp;IF(AND(EDATE($D71,Milestones!$AA$169)&lt;=AsOfDate,IF($Q71=0,$W71,IF(AND($S71&lt;&gt;"",EDATE($D71,Milestones!$AA$169)&gt;=$S71),$V71,IF(AND($R71&lt;&gt;"",EDATE($D71,Milestones!$AA$169)&gt;=$R71),$U71,$T71)))=Milestones!$AB$169),TEXT(EDATE($D71,Milestones!$AA$169),"dd/mm/yy")&amp;" "&amp;Milestones!$AB$169&amp;" "&amp;Milestones!$AC$169&amp;";  ","")&amp;IF(AND(EDATE($D71,Milestones!$AA$170)&lt;=AsOfDate,IF($Q71=0,$W71,IF(AND($S71&lt;&gt;"",EDATE($D71,Milestones!$AA$170)&gt;=$S71),$V71,IF(AND($R71&lt;&gt;"",EDATE($D71,Milestones!$AA$170)&gt;=$R71),$U71,$T71)))=Milestones!$AB$170),TEXT(EDATE($D71,Milestones!$AA$170),"dd/mm/yy")&amp;" "&amp;Milestones!$AB$170&amp;" "&amp;Milestones!$AC$170&amp;";  ","")&amp;IF(AND(EDATE($D71,Milestones!$AA$171)&lt;=AsOfDate,IF($Q71=0,$W71,IF(AND($S71&lt;&gt;"",EDATE($D71,Milestones!$AA$171)&gt;=$S71),$V71,IF(AND($R71&lt;&gt;"",EDATE($D71,Milestones!$AA$171)&gt;=$R71),$U71,$T71)))=Milestones!$AB$171),TEXT(EDATE($D71,Milestones!$AA$171),"dd/mm/yy")&amp;" "&amp;Milestones!$AB$171&amp;" "&amp;Milestones!$AC$171&amp;";  ","")&amp;IF(AND(EDATE($D71,Milestones!$AA$172)&lt;=AsOfDate,IF($Q71=0,$W71,IF(AND($S71&lt;&gt;"",EDATE($D71,Milestones!$AA$172)&gt;=$S71),$V71,IF(AND($R71&lt;&gt;"",EDATE($D71,Milestones!$AA$172)&gt;=$R71),$U71,$T71)))=Milestones!$AB$172),TEXT(EDATE($D71,Milestones!$AA$172),"dd/mm/yy")&amp;" "&amp;Milestones!$AB$172&amp;" "&amp;Milestones!$AC$172&amp;";  ","")&amp;IF(AND(EDATE($D71,Milestones!$AA$173)&lt;=AsOfDate,IF($Q71=0,$W71,IF(AND($S71&lt;&gt;"",EDATE($D71,Milestones!$AA$173)&gt;=$S71),$V71,IF(AND($R71&lt;&gt;"",EDATE($D71,Milestones!$AA$173)&gt;=$R71),$U71,$T71)))=Milestones!$AB$173),TEXT(EDATE($D71,Milestones!$AA$173),"dd/mm/yy")&amp;" "&amp;Milestones!$AB$173&amp;" "&amp;Milestones!$AC$173&amp;";  ","")&amp;IF(AND(EDATE($D71,Milestones!$AA$174)&lt;=AsOfDate,IF($Q71=0,$W71,IF(AND($S71&lt;&gt;"",EDATE($D71,Milestones!$AA$174)&gt;=$S71),$V71,IF(AND($R71&lt;&gt;"",EDATE($D71,Milestones!$AA$174)&gt;=$R71),$U71,$T71)))=Milestones!$AB$174),TEXT(EDATE($D71,Milestones!$AA$174),"dd/mm/yy")&amp;" "&amp;Milestones!$AB$174&amp;" "&amp;Milestones!$AC$174&amp;";  ","")&amp;IF(AND(EDATE($D71,Milestones!$AA$175)&lt;=AsOfDate,IF($Q71=0,$W71,IF(AND($S71&lt;&gt;"",EDATE($D71,Milestones!$AA$175)&gt;=$S71),$V71,IF(AND($R71&lt;&gt;"",EDATE($D71,Milestones!$AA$175)&gt;=$R71),$U71,$T71)))=Milestones!$AB$175),TEXT(EDATE($D71,Milestones!$AA$175),"dd/mm/yy")&amp;" "&amp;Milestones!$AB$175&amp;" "&amp;Milestones!$AC$175&amp;";  ","")&amp;IF(AND(EDATE($D71,Milestones!$AA$176)&lt;=AsOfDate,IF($Q71=0,$W71,IF(AND($S71&lt;&gt;"",EDATE($D71,Milestones!$AA$176)&gt;=$S71),$V71,IF(AND($R71&lt;&gt;"",EDATE($D71,Milestones!$AA$176)&gt;=$R71),$U71,$T71)))=Milestones!$AB$176),TEXT(EDATE($D71,Milestones!$AA$176),"dd/mm/yy")&amp;" "&amp;Milestones!$AB$176&amp;" "&amp;Milestones!$AC$176&amp;";  ","")&amp;IF(AND(EDATE($D71,Milestones!$AA$177)&lt;=AsOfDate,IF($Q71=0,$W71,IF(AND($S71&lt;&gt;"",EDATE($D71,Milestones!$AA$177)&gt;=$S71),$V71,IF(AND($R71&lt;&gt;"",EDATE($D71,Milestones!$AA$177)&gt;=$R71),$U71,$T71)))=Milestones!$AB$177),TEXT(EDATE($D71,Milestones!$AA$177),"dd/mm/yy")&amp;" "&amp;Milestones!$AB$177&amp;" "&amp;Milestones!$AC$177&amp;";  ","")&amp;IF(AND(EDATE($D71,Milestones!$AA$178)&lt;=AsOfDate,IF($Q71=0,$W71,IF(AND($S71&lt;&gt;"",EDATE($D71,Milestones!$AA$178)&gt;=$S71),$V71,IF(AND($R71&lt;&gt;"",EDATE($D71,Milestones!$AA$178)&gt;=$R71),$U71,$T71)))=Milestones!$AB$178),TEXT(EDATE($D71,Milestones!$AA$178),"dd/mm/yy")&amp;" "&amp;Milestones!$AB$178&amp;" "&amp;Milestones!$AC$178&amp;";  ","")&amp;IF(AND(EDATE($D71,Milestones!$AA$179)&lt;=AsOfDate,IF($Q71=0,$W71,IF(AND($S71&lt;&gt;"",EDATE($D71,Milestones!$AA$179)&gt;=$S71),$V71,IF(AND($R71&lt;&gt;"",EDATE($D71,Milestones!$AA$179)&gt;=$R71),$U71,$T71)))=Milestones!$AB$179),TEXT(EDATE($D71,Milestones!$AA$179),"dd/mm/yy")&amp;" "&amp;Milestones!$AB$179&amp;" "&amp;Milestones!$AC$179&amp;";  ",""))</f>
        <v/>
      </c>
      <c r="P71" s="0" t="str">
        <f aca="false">IF(OR($A71="",$D71=""),"",IF(AND(EDATE($D71,Milestones!$AA$180)&lt;=AsOfDate,IF($Q71=0,$W71,IF(AND($S71&lt;&gt;"",EDATE($D71,Milestones!$AA$180)&gt;=$S71),$V71,IF(AND($R71&lt;&gt;"",EDATE($D71,Milestones!$AA$180)&gt;=$R71),$U71,$T71)))=Milestones!$AB$180),TEXT(EDATE($D71,Milestones!$AA$180),"dd/mm/yy")&amp;" "&amp;Milestones!$AB$180&amp;" "&amp;Milestones!$AC$180&amp;";  ","")&amp;IF(AND(EDATE($D71,Milestones!$AA$181)&lt;=AsOfDate,IF($Q71=0,$W71,IF(AND($S71&lt;&gt;"",EDATE($D71,Milestones!$AA$181)&gt;=$S71),$V71,IF(AND($R71&lt;&gt;"",EDATE($D71,Milestones!$AA$181)&gt;=$R71),$U71,$T71)))=Milestones!$AB$181),TEXT(EDATE($D71,Milestones!$AA$181),"dd/mm/yy")&amp;" "&amp;Milestones!$AB$181&amp;" "&amp;Milestones!$AC$181&amp;";  ","")&amp;IF(AND(EDATE($D71,Milestones!$AA$182)&lt;=AsOfDate,IF($Q71=0,$W71,IF(AND($S71&lt;&gt;"",EDATE($D71,Milestones!$AA$182)&gt;=$S71),$V71,IF(AND($R71&lt;&gt;"",EDATE($D71,Milestones!$AA$182)&gt;=$R71),$U71,$T71)))=Milestones!$AB$182),TEXT(EDATE($D71,Milestones!$AA$182),"dd/mm/yy")&amp;" "&amp;Milestones!$AB$182&amp;" "&amp;Milestones!$AC$182&amp;";  ","")&amp;IF(AND(EDATE($D71,Milestones!$AA$183)&lt;=AsOfDate,IF($Q71=0,$W71,IF(AND($S71&lt;&gt;"",EDATE($D71,Milestones!$AA$183)&gt;=$S71),$V71,IF(AND($R71&lt;&gt;"",EDATE($D71,Milestones!$AA$183)&gt;=$R71),$U71,$T71)))=Milestones!$AB$183),TEXT(EDATE($D71,Milestones!$AA$183),"dd/mm/yy")&amp;" "&amp;Milestones!$AB$183&amp;" "&amp;Milestones!$AC$183&amp;";  ","")&amp;IF(AND(EDATE($D71,Milestones!$AA$184)&lt;=AsOfDate,IF($Q71=0,$W71,IF(AND($S71&lt;&gt;"",EDATE($D71,Milestones!$AA$184)&gt;=$S71),$V71,IF(AND($R71&lt;&gt;"",EDATE($D71,Milestones!$AA$184)&gt;=$R71),$U71,$T71)))=Milestones!$AB$184),TEXT(EDATE($D71,Milestones!$AA$184),"dd/mm/yy")&amp;" "&amp;Milestones!$AB$184&amp;" "&amp;Milestones!$AC$184&amp;";  ","")&amp;IF(AND(EDATE($D71,Milestones!$AA$185)&lt;=AsOfDate,IF($Q71=0,$W71,IF(AND($S71&lt;&gt;"",EDATE($D71,Milestones!$AA$185)&gt;=$S71),$V71,IF(AND($R71&lt;&gt;"",EDATE($D71,Milestones!$AA$185)&gt;=$R71),$U71,$T71)))=Milestones!$AB$185),TEXT(EDATE($D71,Milestones!$AA$185),"dd/mm/yy")&amp;" "&amp;Milestones!$AB$185&amp;" "&amp;Milestones!$AC$185&amp;";  ","")&amp;IF(AND(EDATE($D71,Milestones!$AA$186)&lt;=AsOfDate,IF($Q71=0,$W71,IF(AND($S71&lt;&gt;"",EDATE($D71,Milestones!$AA$186)&gt;=$S71),$V71,IF(AND($R71&lt;&gt;"",EDATE($D71,Milestones!$AA$186)&gt;=$R71),$U71,$T71)))=Milestones!$AB$186),TEXT(EDATE($D71,Milestones!$AA$186),"dd/mm/yy")&amp;" "&amp;Milestones!$AB$186&amp;" "&amp;Milestones!$AC$186&amp;";  ","")&amp;IF(AND(EDATE($D71,Milestones!$AA$187)&lt;=AsOfDate,IF($Q71=0,$W71,IF(AND($S71&lt;&gt;"",EDATE($D71,Milestones!$AA$187)&gt;=$S71),$V71,IF(AND($R71&lt;&gt;"",EDATE($D71,Milestones!$AA$187)&gt;=$R71),$U71,$T71)))=Milestones!$AB$187),TEXT(EDATE($D71,Milestones!$AA$187),"dd/mm/yy")&amp;" "&amp;Milestones!$AB$187&amp;" "&amp;Milestones!$AC$187&amp;";  ","")&amp;IF(AND(EDATE($D71,Milestones!$AA$188)&lt;=AsOfDate,IF($Q71=0,$W71,IF(AND($S71&lt;&gt;"",EDATE($D71,Milestones!$AA$188)&gt;=$S71),$V71,IF(AND($R71&lt;&gt;"",EDATE($D71,Milestones!$AA$188)&gt;=$R71),$U71,$T71)))=Milestones!$AB$188),TEXT(EDATE($D71,Milestones!$AA$188),"dd/mm/yy")&amp;" "&amp;Milestones!$AB$188&amp;" "&amp;Milestones!$AC$188&amp;";  ","")&amp;IF(AND(EDATE($D71,Milestones!$AA$189)&lt;=AsOfDate,IF($Q71=0,$W71,IF(AND($S71&lt;&gt;"",EDATE($D71,Milestones!$AA$189)&gt;=$S71),$V71,IF(AND($R71&lt;&gt;"",EDATE($D71,Milestones!$AA$189)&gt;=$R71),$U71,$T71)))=Milestones!$AB$189),TEXT(EDATE($D71,Milestones!$AA$189),"dd/mm/yy")&amp;" "&amp;Milestones!$AB$189&amp;" "&amp;Milestones!$AC$189&amp;";  ","")&amp;IF(AND(EDATE($D71,Milestones!$AA$190)&lt;=AsOfDate,IF($Q71=0,$W71,IF(AND($S71&lt;&gt;"",EDATE($D71,Milestones!$AA$190)&gt;=$S71),$V71,IF(AND($R71&lt;&gt;"",EDATE($D71,Milestones!$AA$190)&gt;=$R71),$U71,$T71)))=Milestones!$AB$190),TEXT(EDATE($D71,Milestones!$AA$190),"dd/mm/yy")&amp;" "&amp;Milestones!$AB$190&amp;" "&amp;Milestones!$AC$190&amp;";  ","")&amp;IF(AND(EDATE($D71,Milestones!$AA$191)&lt;=AsOfDate,IF($Q71=0,$W71,IF(AND($S71&lt;&gt;"",EDATE($D71,Milestones!$AA$191)&gt;=$S71),$V71,IF(AND($R71&lt;&gt;"",EDATE($D71,Milestones!$AA$191)&gt;=$R71),$U71,$T71)))=Milestones!$AB$191),TEXT(EDATE($D71,Milestones!$AA$191),"dd/mm/yy")&amp;" "&amp;Milestones!$AB$191&amp;" "&amp;Milestones!$AC$191&amp;";  ","")&amp;IF(AND(EDATE($D71,Milestones!$AA$192)&lt;=AsOfDate,IF($Q71=0,$W71,IF(AND($S71&lt;&gt;"",EDATE($D71,Milestones!$AA$192)&gt;=$S71),$V71,IF(AND($R71&lt;&gt;"",EDATE($D71,Milestones!$AA$192)&gt;=$R71),$U71,$T71)))=Milestones!$AB$192),TEXT(EDATE($D71,Milestones!$AA$192),"dd/mm/yy")&amp;" "&amp;Milestones!$AB$192&amp;" "&amp;Milestones!$AC$192&amp;";  ","")&amp;IF(AND(EDATE($D71,Milestones!$AA$193)&lt;=AsOfDate,IF($Q71=0,$W71,IF(AND($S71&lt;&gt;"",EDATE($D71,Milestones!$AA$193)&gt;=$S71),$V71,IF(AND($R71&lt;&gt;"",EDATE($D71,Milestones!$AA$193)&gt;=$R71),$U71,$T71)))=Milestones!$AB$193),TEXT(EDATE($D71,Milestones!$AA$193),"dd/mm/yy")&amp;" "&amp;Milestones!$AB$193&amp;" "&amp;Milestones!$AC$193&amp;";  ","")&amp;IF(AND(EDATE($D71,Milestones!$AA$194)&lt;=AsOfDate,IF($Q71=0,$W71,IF(AND($S71&lt;&gt;"",EDATE($D71,Milestones!$AA$194)&gt;=$S71),$V71,IF(AND($R71&lt;&gt;"",EDATE($D71,Milestones!$AA$194)&gt;=$R71),$U71,$T71)))=Milestones!$AB$194),TEXT(EDATE($D71,Milestones!$AA$194),"dd/mm/yy")&amp;" "&amp;Milestones!$AB$194&amp;" "&amp;Milestones!$AC$194&amp;";  ","")&amp;IF(AND(EDATE($D71,Milestones!$AA$195)&lt;=AsOfDate,IF($Q71=0,$W71,IF(AND($S71&lt;&gt;"",EDATE($D71,Milestones!$AA$195)&gt;=$S71),$V71,IF(AND($R71&lt;&gt;"",EDATE($D71,Milestones!$AA$195)&gt;=$R71),$U71,$T71)))=Milestones!$AB$195),TEXT(EDATE($D71,Milestones!$AA$195),"dd/mm/yy")&amp;" "&amp;Milestones!$AB$195&amp;" "&amp;Milestones!$AC$195&amp;";  ","")&amp;IF(AND(EDATE($D71,Milestones!$AA$196)&lt;=AsOfDate,IF($Q71=0,$W71,IF(AND($S71&lt;&gt;"",EDATE($D71,Milestones!$AA$196)&gt;=$S71),$V71,IF(AND($R71&lt;&gt;"",EDATE($D71,Milestones!$AA$196)&gt;=$R71),$U71,$T71)))=Milestones!$AB$196),TEXT(EDATE($D71,Milestones!$AA$196),"dd/mm/yy")&amp;" "&amp;Milestones!$AB$196&amp;" "&amp;Milestones!$AC$196&amp;";  ","")&amp;IF(AND(EDATE($D71,Milestones!$AA$197)&lt;=AsOfDate,IF($Q71=0,$W71,IF(AND($S71&lt;&gt;"",EDATE($D71,Milestones!$AA$197)&gt;=$S71),$V71,IF(AND($R71&lt;&gt;"",EDATE($D71,Milestones!$AA$197)&gt;=$R71),$U71,$T71)))=Milestones!$AB$197),TEXT(EDATE($D71,Milestones!$AA$197),"dd/mm/yy")&amp;" "&amp;Milestones!$AB$197&amp;" "&amp;Milestones!$AC$197&amp;";  ","")&amp;IF(AND(EDATE($D71,Milestones!$AA$198)&lt;=AsOfDate,IF($Q71=0,$W71,IF(AND($S71&lt;&gt;"",EDATE($D71,Milestones!$AA$198)&gt;=$S71),$V71,IF(AND($R71&lt;&gt;"",EDATE($D71,Milestones!$AA$198)&gt;=$R71),$U71,$T71)))=Milestones!$AB$198),TEXT(EDATE($D71,Milestones!$AA$198),"dd/mm/yy")&amp;" "&amp;Milestones!$AB$198&amp;" "&amp;Milestones!$AC$198&amp;";  ","")&amp;IF(AND(EDATE($D71,Milestones!$AA$199)&lt;=AsOfDate,IF($Q71=0,$W71,IF(AND($S71&lt;&gt;"",EDATE($D71,Milestones!$AA$199)&gt;=$S71),$V71,IF(AND($R71&lt;&gt;"",EDATE($D71,Milestones!$AA$199)&gt;=$R71),$U71,$T71)))=Milestones!$AB$199),TEXT(EDATE($D71,Milestones!$AA$199),"dd/mm/yy")&amp;" "&amp;Milestones!$AB$199&amp;" "&amp;Milestones!$AC$199&amp;";  ",""))</f>
        <v/>
      </c>
      <c r="Q71" s="0" t="str">
        <f aca="false">IF(Staff!$A71="","",Staff!$AG71)</f>
        <v/>
      </c>
      <c r="R71" s="0" t="str">
        <f aca="false">IF(Staff!$A71="","",Staff!$AI71)</f>
        <v/>
      </c>
      <c r="S71" s="0" t="str">
        <f aca="false">IF(Staff!$A71="","",Staff!$AJ71)</f>
        <v/>
      </c>
      <c r="T71" s="0" t="str">
        <f aca="false">IF(Staff!$A71="","",Staff!$AN71)</f>
        <v/>
      </c>
      <c r="U71" s="0" t="str">
        <f aca="false">IF(Staff!$A71="","",Staff!$AO71)</f>
        <v/>
      </c>
      <c r="V71" s="0" t="str">
        <f aca="false">IF(Staff!$A71="","",Staff!$AP71)</f>
        <v/>
      </c>
      <c r="W71" s="0" t="str">
        <f aca="false">IF(Staff!$A71="","",Staff!$AQ71)</f>
        <v/>
      </c>
    </row>
    <row r="72" customFormat="false" ht="15" hidden="false" customHeight="false" outlineLevel="0" collapsed="false">
      <c r="A72" s="13" t="str">
        <f aca="false">IF(Staff!$A72="","",Staff!$A72)</f>
        <v/>
      </c>
      <c r="B72" s="13" t="str">
        <f aca="false">IF(Staff!$A72="","",Staff!$B72)</f>
        <v/>
      </c>
      <c r="C72" s="13" t="str">
        <f aca="false">IF(Staff!$A72="","",Staff!$C72)</f>
        <v/>
      </c>
      <c r="D72" s="11" t="str">
        <f aca="false">IF(Staff!$A72="","",Staff!$AF72)</f>
        <v/>
      </c>
      <c r="E72" s="13" t="str">
        <f aca="false">IF(Staff!$A72="","",Staff!$O72)</f>
        <v/>
      </c>
      <c r="F72" s="13" t="str">
        <f aca="false">IF(E72="","",E72*HoursPerDay)</f>
        <v/>
      </c>
      <c r="G72" s="26" t="str">
        <f aca="false">IF($A72="","",H72&amp;I72&amp;J72&amp;K72&amp;L72&amp;M72&amp;N72&amp;O72&amp;P72)</f>
        <v/>
      </c>
      <c r="H72" s="0" t="str">
        <f aca="false">IF(OR($A72="",$D72=""),"",IF(AND(EDATE($D72,Milestones!$AA$20)&lt;=AsOfDate,IF($Q72=0,$W72,IF(AND($S72&lt;&gt;"",EDATE($D72,Milestones!$AA$20)&gt;=$S72),$V72,IF(AND($R72&lt;&gt;"",EDATE($D72,Milestones!$AA$20)&gt;=$R72),$U72,$T72)))=Milestones!$AB$20),TEXT(EDATE($D72,Milestones!$AA$20),"dd/mm/yy")&amp;" "&amp;Milestones!$AB$20&amp;" "&amp;Milestones!$AC$20&amp;";  ","")&amp;IF(AND(EDATE($D72,Milestones!$AA$21)&lt;=AsOfDate,IF($Q72=0,$W72,IF(AND($S72&lt;&gt;"",EDATE($D72,Milestones!$AA$21)&gt;=$S72),$V72,IF(AND($R72&lt;&gt;"",EDATE($D72,Milestones!$AA$21)&gt;=$R72),$U72,$T72)))=Milestones!$AB$21),TEXT(EDATE($D72,Milestones!$AA$21),"dd/mm/yy")&amp;" "&amp;Milestones!$AB$21&amp;" "&amp;Milestones!$AC$21&amp;";  ","")&amp;IF(AND(EDATE($D72,Milestones!$AA$22)&lt;=AsOfDate,IF($Q72=0,$W72,IF(AND($S72&lt;&gt;"",EDATE($D72,Milestones!$AA$22)&gt;=$S72),$V72,IF(AND($R72&lt;&gt;"",EDATE($D72,Milestones!$AA$22)&gt;=$R72),$U72,$T72)))=Milestones!$AB$22),TEXT(EDATE($D72,Milestones!$AA$22),"dd/mm/yy")&amp;" "&amp;Milestones!$AB$22&amp;" "&amp;Milestones!$AC$22&amp;";  ","")&amp;IF(AND(EDATE($D72,Milestones!$AA$23)&lt;=AsOfDate,IF($Q72=0,$W72,IF(AND($S72&lt;&gt;"",EDATE($D72,Milestones!$AA$23)&gt;=$S72),$V72,IF(AND($R72&lt;&gt;"",EDATE($D72,Milestones!$AA$23)&gt;=$R72),$U72,$T72)))=Milestones!$AB$23),TEXT(EDATE($D72,Milestones!$AA$23),"dd/mm/yy")&amp;" "&amp;Milestones!$AB$23&amp;" "&amp;Milestones!$AC$23&amp;";  ","")&amp;IF(AND(EDATE($D72,Milestones!$AA$24)&lt;=AsOfDate,IF($Q72=0,$W72,IF(AND($S72&lt;&gt;"",EDATE($D72,Milestones!$AA$24)&gt;=$S72),$V72,IF(AND($R72&lt;&gt;"",EDATE($D72,Milestones!$AA$24)&gt;=$R72),$U72,$T72)))=Milestones!$AB$24),TEXT(EDATE($D72,Milestones!$AA$24),"dd/mm/yy")&amp;" "&amp;Milestones!$AB$24&amp;" "&amp;Milestones!$AC$24&amp;";  ","")&amp;IF(AND(EDATE($D72,Milestones!$AA$25)&lt;=AsOfDate,IF($Q72=0,$W72,IF(AND($S72&lt;&gt;"",EDATE($D72,Milestones!$AA$25)&gt;=$S72),$V72,IF(AND($R72&lt;&gt;"",EDATE($D72,Milestones!$AA$25)&gt;=$R72),$U72,$T72)))=Milestones!$AB$25),TEXT(EDATE($D72,Milestones!$AA$25),"dd/mm/yy")&amp;" "&amp;Milestones!$AB$25&amp;" "&amp;Milestones!$AC$25&amp;";  ","")&amp;IF(AND(EDATE($D72,Milestones!$AA$26)&lt;=AsOfDate,IF($Q72=0,$W72,IF(AND($S72&lt;&gt;"",EDATE($D72,Milestones!$AA$26)&gt;=$S72),$V72,IF(AND($R72&lt;&gt;"",EDATE($D72,Milestones!$AA$26)&gt;=$R72),$U72,$T72)))=Milestones!$AB$26),TEXT(EDATE($D72,Milestones!$AA$26),"dd/mm/yy")&amp;" "&amp;Milestones!$AB$26&amp;" "&amp;Milestones!$AC$26&amp;";  ","")&amp;IF(AND(EDATE($D72,Milestones!$AA$27)&lt;=AsOfDate,IF($Q72=0,$W72,IF(AND($S72&lt;&gt;"",EDATE($D72,Milestones!$AA$27)&gt;=$S72),$V72,IF(AND($R72&lt;&gt;"",EDATE($D72,Milestones!$AA$27)&gt;=$R72),$U72,$T72)))=Milestones!$AB$27),TEXT(EDATE($D72,Milestones!$AA$27),"dd/mm/yy")&amp;" "&amp;Milestones!$AB$27&amp;" "&amp;Milestones!$AC$27&amp;";  ","")&amp;IF(AND(EDATE($D72,Milestones!$AA$28)&lt;=AsOfDate,IF($Q72=0,$W72,IF(AND($S72&lt;&gt;"",EDATE($D72,Milestones!$AA$28)&gt;=$S72),$V72,IF(AND($R72&lt;&gt;"",EDATE($D72,Milestones!$AA$28)&gt;=$R72),$U72,$T72)))=Milestones!$AB$28),TEXT(EDATE($D72,Milestones!$AA$28),"dd/mm/yy")&amp;" "&amp;Milestones!$AB$28&amp;" "&amp;Milestones!$AC$28&amp;";  ","")&amp;IF(AND(EDATE($D72,Milestones!$AA$29)&lt;=AsOfDate,IF($Q72=0,$W72,IF(AND($S72&lt;&gt;"",EDATE($D72,Milestones!$AA$29)&gt;=$S72),$V72,IF(AND($R72&lt;&gt;"",EDATE($D72,Milestones!$AA$29)&gt;=$R72),$U72,$T72)))=Milestones!$AB$29),TEXT(EDATE($D72,Milestones!$AA$29),"dd/mm/yy")&amp;" "&amp;Milestones!$AB$29&amp;" "&amp;Milestones!$AC$29&amp;";  ","")&amp;IF(AND(EDATE($D72,Milestones!$AA$30)&lt;=AsOfDate,IF($Q72=0,$W72,IF(AND($S72&lt;&gt;"",EDATE($D72,Milestones!$AA$30)&gt;=$S72),$V72,IF(AND($R72&lt;&gt;"",EDATE($D72,Milestones!$AA$30)&gt;=$R72),$U72,$T72)))=Milestones!$AB$30),TEXT(EDATE($D72,Milestones!$AA$30),"dd/mm/yy")&amp;" "&amp;Milestones!$AB$30&amp;" "&amp;Milestones!$AC$30&amp;";  ","")&amp;IF(AND(EDATE($D72,Milestones!$AA$31)&lt;=AsOfDate,IF($Q72=0,$W72,IF(AND($S72&lt;&gt;"",EDATE($D72,Milestones!$AA$31)&gt;=$S72),$V72,IF(AND($R72&lt;&gt;"",EDATE($D72,Milestones!$AA$31)&gt;=$R72),$U72,$T72)))=Milestones!$AB$31),TEXT(EDATE($D72,Milestones!$AA$31),"dd/mm/yy")&amp;" "&amp;Milestones!$AB$31&amp;" "&amp;Milestones!$AC$31&amp;";  ","")&amp;IF(AND(EDATE($D72,Milestones!$AA$32)&lt;=AsOfDate,IF($Q72=0,$W72,IF(AND($S72&lt;&gt;"",EDATE($D72,Milestones!$AA$32)&gt;=$S72),$V72,IF(AND($R72&lt;&gt;"",EDATE($D72,Milestones!$AA$32)&gt;=$R72),$U72,$T72)))=Milestones!$AB$32),TEXT(EDATE($D72,Milestones!$AA$32),"dd/mm/yy")&amp;" "&amp;Milestones!$AB$32&amp;" "&amp;Milestones!$AC$32&amp;";  ","")&amp;IF(AND(EDATE($D72,Milestones!$AA$33)&lt;=AsOfDate,IF($Q72=0,$W72,IF(AND($S72&lt;&gt;"",EDATE($D72,Milestones!$AA$33)&gt;=$S72),$V72,IF(AND($R72&lt;&gt;"",EDATE($D72,Milestones!$AA$33)&gt;=$R72),$U72,$T72)))=Milestones!$AB$33),TEXT(EDATE($D72,Milestones!$AA$33),"dd/mm/yy")&amp;" "&amp;Milestones!$AB$33&amp;" "&amp;Milestones!$AC$33&amp;";  ","")&amp;IF(AND(EDATE($D72,Milestones!$AA$34)&lt;=AsOfDate,IF($Q72=0,$W72,IF(AND($S72&lt;&gt;"",EDATE($D72,Milestones!$AA$34)&gt;=$S72),$V72,IF(AND($R72&lt;&gt;"",EDATE($D72,Milestones!$AA$34)&gt;=$R72),$U72,$T72)))=Milestones!$AB$34),TEXT(EDATE($D72,Milestones!$AA$34),"dd/mm/yy")&amp;" "&amp;Milestones!$AB$34&amp;" "&amp;Milestones!$AC$34&amp;";  ","")&amp;IF(AND(EDATE($D72,Milestones!$AA$35)&lt;=AsOfDate,IF($Q72=0,$W72,IF(AND($S72&lt;&gt;"",EDATE($D72,Milestones!$AA$35)&gt;=$S72),$V72,IF(AND($R72&lt;&gt;"",EDATE($D72,Milestones!$AA$35)&gt;=$R72),$U72,$T72)))=Milestones!$AB$35),TEXT(EDATE($D72,Milestones!$AA$35),"dd/mm/yy")&amp;" "&amp;Milestones!$AB$35&amp;" "&amp;Milestones!$AC$35&amp;";  ","")&amp;IF(AND(EDATE($D72,Milestones!$AA$36)&lt;=AsOfDate,IF($Q72=0,$W72,IF(AND($S72&lt;&gt;"",EDATE($D72,Milestones!$AA$36)&gt;=$S72),$V72,IF(AND($R72&lt;&gt;"",EDATE($D72,Milestones!$AA$36)&gt;=$R72),$U72,$T72)))=Milestones!$AB$36),TEXT(EDATE($D72,Milestones!$AA$36),"dd/mm/yy")&amp;" "&amp;Milestones!$AB$36&amp;" "&amp;Milestones!$AC$36&amp;";  ","")&amp;IF(AND(EDATE($D72,Milestones!$AA$37)&lt;=AsOfDate,IF($Q72=0,$W72,IF(AND($S72&lt;&gt;"",EDATE($D72,Milestones!$AA$37)&gt;=$S72),$V72,IF(AND($R72&lt;&gt;"",EDATE($D72,Milestones!$AA$37)&gt;=$R72),$U72,$T72)))=Milestones!$AB$37),TEXT(EDATE($D72,Milestones!$AA$37),"dd/mm/yy")&amp;" "&amp;Milestones!$AB$37&amp;" "&amp;Milestones!$AC$37&amp;";  ","")&amp;IF(AND(EDATE($D72,Milestones!$AA$38)&lt;=AsOfDate,IF($Q72=0,$W72,IF(AND($S72&lt;&gt;"",EDATE($D72,Milestones!$AA$38)&gt;=$S72),$V72,IF(AND($R72&lt;&gt;"",EDATE($D72,Milestones!$AA$38)&gt;=$R72),$U72,$T72)))=Milestones!$AB$38),TEXT(EDATE($D72,Milestones!$AA$38),"dd/mm/yy")&amp;" "&amp;Milestones!$AB$38&amp;" "&amp;Milestones!$AC$38&amp;";  ","")&amp;IF(AND(EDATE($D72,Milestones!$AA$39)&lt;=AsOfDate,IF($Q72=0,$W72,IF(AND($S72&lt;&gt;"",EDATE($D72,Milestones!$AA$39)&gt;=$S72),$V72,IF(AND($R72&lt;&gt;"",EDATE($D72,Milestones!$AA$39)&gt;=$R72),$U72,$T72)))=Milestones!$AB$39),TEXT(EDATE($D72,Milestones!$AA$39),"dd/mm/yy")&amp;" "&amp;Milestones!$AB$39&amp;" "&amp;Milestones!$AC$39&amp;";  ",""))</f>
        <v/>
      </c>
      <c r="I72" s="0" t="str">
        <f aca="false">IF(OR($A72="",$D72=""),"",IF(AND(EDATE($D72,Milestones!$AA$40)&lt;=AsOfDate,IF($Q72=0,$W72,IF(AND($S72&lt;&gt;"",EDATE($D72,Milestones!$AA$40)&gt;=$S72),$V72,IF(AND($R72&lt;&gt;"",EDATE($D72,Milestones!$AA$40)&gt;=$R72),$U72,$T72)))=Milestones!$AB$40),TEXT(EDATE($D72,Milestones!$AA$40),"dd/mm/yy")&amp;" "&amp;Milestones!$AB$40&amp;" "&amp;Milestones!$AC$40&amp;";  ","")&amp;IF(AND(EDATE($D72,Milestones!$AA$41)&lt;=AsOfDate,IF($Q72=0,$W72,IF(AND($S72&lt;&gt;"",EDATE($D72,Milestones!$AA$41)&gt;=$S72),$V72,IF(AND($R72&lt;&gt;"",EDATE($D72,Milestones!$AA$41)&gt;=$R72),$U72,$T72)))=Milestones!$AB$41),TEXT(EDATE($D72,Milestones!$AA$41),"dd/mm/yy")&amp;" "&amp;Milestones!$AB$41&amp;" "&amp;Milestones!$AC$41&amp;";  ","")&amp;IF(AND(EDATE($D72,Milestones!$AA$42)&lt;=AsOfDate,IF($Q72=0,$W72,IF(AND($S72&lt;&gt;"",EDATE($D72,Milestones!$AA$42)&gt;=$S72),$V72,IF(AND($R72&lt;&gt;"",EDATE($D72,Milestones!$AA$42)&gt;=$R72),$U72,$T72)))=Milestones!$AB$42),TEXT(EDATE($D72,Milestones!$AA$42),"dd/mm/yy")&amp;" "&amp;Milestones!$AB$42&amp;" "&amp;Milestones!$AC$42&amp;";  ","")&amp;IF(AND(EDATE($D72,Milestones!$AA$43)&lt;=AsOfDate,IF($Q72=0,$W72,IF(AND($S72&lt;&gt;"",EDATE($D72,Milestones!$AA$43)&gt;=$S72),$V72,IF(AND($R72&lt;&gt;"",EDATE($D72,Milestones!$AA$43)&gt;=$R72),$U72,$T72)))=Milestones!$AB$43),TEXT(EDATE($D72,Milestones!$AA$43),"dd/mm/yy")&amp;" "&amp;Milestones!$AB$43&amp;" "&amp;Milestones!$AC$43&amp;";  ","")&amp;IF(AND(EDATE($D72,Milestones!$AA$44)&lt;=AsOfDate,IF($Q72=0,$W72,IF(AND($S72&lt;&gt;"",EDATE($D72,Milestones!$AA$44)&gt;=$S72),$V72,IF(AND($R72&lt;&gt;"",EDATE($D72,Milestones!$AA$44)&gt;=$R72),$U72,$T72)))=Milestones!$AB$44),TEXT(EDATE($D72,Milestones!$AA$44),"dd/mm/yy")&amp;" "&amp;Milestones!$AB$44&amp;" "&amp;Milestones!$AC$44&amp;";  ","")&amp;IF(AND(EDATE($D72,Milestones!$AA$45)&lt;=AsOfDate,IF($Q72=0,$W72,IF(AND($S72&lt;&gt;"",EDATE($D72,Milestones!$AA$45)&gt;=$S72),$V72,IF(AND($R72&lt;&gt;"",EDATE($D72,Milestones!$AA$45)&gt;=$R72),$U72,$T72)))=Milestones!$AB$45),TEXT(EDATE($D72,Milestones!$AA$45),"dd/mm/yy")&amp;" "&amp;Milestones!$AB$45&amp;" "&amp;Milestones!$AC$45&amp;";  ","")&amp;IF(AND(EDATE($D72,Milestones!$AA$46)&lt;=AsOfDate,IF($Q72=0,$W72,IF(AND($S72&lt;&gt;"",EDATE($D72,Milestones!$AA$46)&gt;=$S72),$V72,IF(AND($R72&lt;&gt;"",EDATE($D72,Milestones!$AA$46)&gt;=$R72),$U72,$T72)))=Milestones!$AB$46),TEXT(EDATE($D72,Milestones!$AA$46),"dd/mm/yy")&amp;" "&amp;Milestones!$AB$46&amp;" "&amp;Milestones!$AC$46&amp;";  ","")&amp;IF(AND(EDATE($D72,Milestones!$AA$47)&lt;=AsOfDate,IF($Q72=0,$W72,IF(AND($S72&lt;&gt;"",EDATE($D72,Milestones!$AA$47)&gt;=$S72),$V72,IF(AND($R72&lt;&gt;"",EDATE($D72,Milestones!$AA$47)&gt;=$R72),$U72,$T72)))=Milestones!$AB$47),TEXT(EDATE($D72,Milestones!$AA$47),"dd/mm/yy")&amp;" "&amp;Milestones!$AB$47&amp;" "&amp;Milestones!$AC$47&amp;";  ","")&amp;IF(AND(EDATE($D72,Milestones!$AA$48)&lt;=AsOfDate,IF($Q72=0,$W72,IF(AND($S72&lt;&gt;"",EDATE($D72,Milestones!$AA$48)&gt;=$S72),$V72,IF(AND($R72&lt;&gt;"",EDATE($D72,Milestones!$AA$48)&gt;=$R72),$U72,$T72)))=Milestones!$AB$48),TEXT(EDATE($D72,Milestones!$AA$48),"dd/mm/yy")&amp;" "&amp;Milestones!$AB$48&amp;" "&amp;Milestones!$AC$48&amp;";  ","")&amp;IF(AND(EDATE($D72,Milestones!$AA$49)&lt;=AsOfDate,IF($Q72=0,$W72,IF(AND($S72&lt;&gt;"",EDATE($D72,Milestones!$AA$49)&gt;=$S72),$V72,IF(AND($R72&lt;&gt;"",EDATE($D72,Milestones!$AA$49)&gt;=$R72),$U72,$T72)))=Milestones!$AB$49),TEXT(EDATE($D72,Milestones!$AA$49),"dd/mm/yy")&amp;" "&amp;Milestones!$AB$49&amp;" "&amp;Milestones!$AC$49&amp;";  ","")&amp;IF(AND(EDATE($D72,Milestones!$AA$50)&lt;=AsOfDate,IF($Q72=0,$W72,IF(AND($S72&lt;&gt;"",EDATE($D72,Milestones!$AA$50)&gt;=$S72),$V72,IF(AND($R72&lt;&gt;"",EDATE($D72,Milestones!$AA$50)&gt;=$R72),$U72,$T72)))=Milestones!$AB$50),TEXT(EDATE($D72,Milestones!$AA$50),"dd/mm/yy")&amp;" "&amp;Milestones!$AB$50&amp;" "&amp;Milestones!$AC$50&amp;";  ","")&amp;IF(AND(EDATE($D72,Milestones!$AA$51)&lt;=AsOfDate,IF($Q72=0,$W72,IF(AND($S72&lt;&gt;"",EDATE($D72,Milestones!$AA$51)&gt;=$S72),$V72,IF(AND($R72&lt;&gt;"",EDATE($D72,Milestones!$AA$51)&gt;=$R72),$U72,$T72)))=Milestones!$AB$51),TEXT(EDATE($D72,Milestones!$AA$51),"dd/mm/yy")&amp;" "&amp;Milestones!$AB$51&amp;" "&amp;Milestones!$AC$51&amp;";  ","")&amp;IF(AND(EDATE($D72,Milestones!$AA$52)&lt;=AsOfDate,IF($Q72=0,$W72,IF(AND($S72&lt;&gt;"",EDATE($D72,Milestones!$AA$52)&gt;=$S72),$V72,IF(AND($R72&lt;&gt;"",EDATE($D72,Milestones!$AA$52)&gt;=$R72),$U72,$T72)))=Milestones!$AB$52),TEXT(EDATE($D72,Milestones!$AA$52),"dd/mm/yy")&amp;" "&amp;Milestones!$AB$52&amp;" "&amp;Milestones!$AC$52&amp;";  ","")&amp;IF(AND(EDATE($D72,Milestones!$AA$53)&lt;=AsOfDate,IF($Q72=0,$W72,IF(AND($S72&lt;&gt;"",EDATE($D72,Milestones!$AA$53)&gt;=$S72),$V72,IF(AND($R72&lt;&gt;"",EDATE($D72,Milestones!$AA$53)&gt;=$R72),$U72,$T72)))=Milestones!$AB$53),TEXT(EDATE($D72,Milestones!$AA$53),"dd/mm/yy")&amp;" "&amp;Milestones!$AB$53&amp;" "&amp;Milestones!$AC$53&amp;";  ","")&amp;IF(AND(EDATE($D72,Milestones!$AA$54)&lt;=AsOfDate,IF($Q72=0,$W72,IF(AND($S72&lt;&gt;"",EDATE($D72,Milestones!$AA$54)&gt;=$S72),$V72,IF(AND($R72&lt;&gt;"",EDATE($D72,Milestones!$AA$54)&gt;=$R72),$U72,$T72)))=Milestones!$AB$54),TEXT(EDATE($D72,Milestones!$AA$54),"dd/mm/yy")&amp;" "&amp;Milestones!$AB$54&amp;" "&amp;Milestones!$AC$54&amp;";  ","")&amp;IF(AND(EDATE($D72,Milestones!$AA$55)&lt;=AsOfDate,IF($Q72=0,$W72,IF(AND($S72&lt;&gt;"",EDATE($D72,Milestones!$AA$55)&gt;=$S72),$V72,IF(AND($R72&lt;&gt;"",EDATE($D72,Milestones!$AA$55)&gt;=$R72),$U72,$T72)))=Milestones!$AB$55),TEXT(EDATE($D72,Milestones!$AA$55),"dd/mm/yy")&amp;" "&amp;Milestones!$AB$55&amp;" "&amp;Milestones!$AC$55&amp;";  ","")&amp;IF(AND(EDATE($D72,Milestones!$AA$56)&lt;=AsOfDate,IF($Q72=0,$W72,IF(AND($S72&lt;&gt;"",EDATE($D72,Milestones!$AA$56)&gt;=$S72),$V72,IF(AND($R72&lt;&gt;"",EDATE($D72,Milestones!$AA$56)&gt;=$R72),$U72,$T72)))=Milestones!$AB$56),TEXT(EDATE($D72,Milestones!$AA$56),"dd/mm/yy")&amp;" "&amp;Milestones!$AB$56&amp;" "&amp;Milestones!$AC$56&amp;";  ","")&amp;IF(AND(EDATE($D72,Milestones!$AA$57)&lt;=AsOfDate,IF($Q72=0,$W72,IF(AND($S72&lt;&gt;"",EDATE($D72,Milestones!$AA$57)&gt;=$S72),$V72,IF(AND($R72&lt;&gt;"",EDATE($D72,Milestones!$AA$57)&gt;=$R72),$U72,$T72)))=Milestones!$AB$57),TEXT(EDATE($D72,Milestones!$AA$57),"dd/mm/yy")&amp;" "&amp;Milestones!$AB$57&amp;" "&amp;Milestones!$AC$57&amp;";  ","")&amp;IF(AND(EDATE($D72,Milestones!$AA$58)&lt;=AsOfDate,IF($Q72=0,$W72,IF(AND($S72&lt;&gt;"",EDATE($D72,Milestones!$AA$58)&gt;=$S72),$V72,IF(AND($R72&lt;&gt;"",EDATE($D72,Milestones!$AA$58)&gt;=$R72),$U72,$T72)))=Milestones!$AB$58),TEXT(EDATE($D72,Milestones!$AA$58),"dd/mm/yy")&amp;" "&amp;Milestones!$AB$58&amp;" "&amp;Milestones!$AC$58&amp;";  ","")&amp;IF(AND(EDATE($D72,Milestones!$AA$59)&lt;=AsOfDate,IF($Q72=0,$W72,IF(AND($S72&lt;&gt;"",EDATE($D72,Milestones!$AA$59)&gt;=$S72),$V72,IF(AND($R72&lt;&gt;"",EDATE($D72,Milestones!$AA$59)&gt;=$R72),$U72,$T72)))=Milestones!$AB$59),TEXT(EDATE($D72,Milestones!$AA$59),"dd/mm/yy")&amp;" "&amp;Milestones!$AB$59&amp;" "&amp;Milestones!$AC$59&amp;";  ",""))</f>
        <v/>
      </c>
      <c r="J72" s="0" t="str">
        <f aca="false">IF(OR($A72="",$D72=""),"",IF(AND(EDATE($D72,Milestones!$AA$60)&lt;=AsOfDate,IF($Q72=0,$W72,IF(AND($S72&lt;&gt;"",EDATE($D72,Milestones!$AA$60)&gt;=$S72),$V72,IF(AND($R72&lt;&gt;"",EDATE($D72,Milestones!$AA$60)&gt;=$R72),$U72,$T72)))=Milestones!$AB$60),TEXT(EDATE($D72,Milestones!$AA$60),"dd/mm/yy")&amp;" "&amp;Milestones!$AB$60&amp;" "&amp;Milestones!$AC$60&amp;";  ","")&amp;IF(AND(EDATE($D72,Milestones!$AA$61)&lt;=AsOfDate,IF($Q72=0,$W72,IF(AND($S72&lt;&gt;"",EDATE($D72,Milestones!$AA$61)&gt;=$S72),$V72,IF(AND($R72&lt;&gt;"",EDATE($D72,Milestones!$AA$61)&gt;=$R72),$U72,$T72)))=Milestones!$AB$61),TEXT(EDATE($D72,Milestones!$AA$61),"dd/mm/yy")&amp;" "&amp;Milestones!$AB$61&amp;" "&amp;Milestones!$AC$61&amp;";  ","")&amp;IF(AND(EDATE($D72,Milestones!$AA$62)&lt;=AsOfDate,IF($Q72=0,$W72,IF(AND($S72&lt;&gt;"",EDATE($D72,Milestones!$AA$62)&gt;=$S72),$V72,IF(AND($R72&lt;&gt;"",EDATE($D72,Milestones!$AA$62)&gt;=$R72),$U72,$T72)))=Milestones!$AB$62),TEXT(EDATE($D72,Milestones!$AA$62),"dd/mm/yy")&amp;" "&amp;Milestones!$AB$62&amp;" "&amp;Milestones!$AC$62&amp;";  ","")&amp;IF(AND(EDATE($D72,Milestones!$AA$63)&lt;=AsOfDate,IF($Q72=0,$W72,IF(AND($S72&lt;&gt;"",EDATE($D72,Milestones!$AA$63)&gt;=$S72),$V72,IF(AND($R72&lt;&gt;"",EDATE($D72,Milestones!$AA$63)&gt;=$R72),$U72,$T72)))=Milestones!$AB$63),TEXT(EDATE($D72,Milestones!$AA$63),"dd/mm/yy")&amp;" "&amp;Milestones!$AB$63&amp;" "&amp;Milestones!$AC$63&amp;";  ","")&amp;IF(AND(EDATE($D72,Milestones!$AA$64)&lt;=AsOfDate,IF($Q72=0,$W72,IF(AND($S72&lt;&gt;"",EDATE($D72,Milestones!$AA$64)&gt;=$S72),$V72,IF(AND($R72&lt;&gt;"",EDATE($D72,Milestones!$AA$64)&gt;=$R72),$U72,$T72)))=Milestones!$AB$64),TEXT(EDATE($D72,Milestones!$AA$64),"dd/mm/yy")&amp;" "&amp;Milestones!$AB$64&amp;" "&amp;Milestones!$AC$64&amp;";  ","")&amp;IF(AND(EDATE($D72,Milestones!$AA$65)&lt;=AsOfDate,IF($Q72=0,$W72,IF(AND($S72&lt;&gt;"",EDATE($D72,Milestones!$AA$65)&gt;=$S72),$V72,IF(AND($R72&lt;&gt;"",EDATE($D72,Milestones!$AA$65)&gt;=$R72),$U72,$T72)))=Milestones!$AB$65),TEXT(EDATE($D72,Milestones!$AA$65),"dd/mm/yy")&amp;" "&amp;Milestones!$AB$65&amp;" "&amp;Milestones!$AC$65&amp;";  ","")&amp;IF(AND(EDATE($D72,Milestones!$AA$66)&lt;=AsOfDate,IF($Q72=0,$W72,IF(AND($S72&lt;&gt;"",EDATE($D72,Milestones!$AA$66)&gt;=$S72),$V72,IF(AND($R72&lt;&gt;"",EDATE($D72,Milestones!$AA$66)&gt;=$R72),$U72,$T72)))=Milestones!$AB$66),TEXT(EDATE($D72,Milestones!$AA$66),"dd/mm/yy")&amp;" "&amp;Milestones!$AB$66&amp;" "&amp;Milestones!$AC$66&amp;";  ","")&amp;IF(AND(EDATE($D72,Milestones!$AA$67)&lt;=AsOfDate,IF($Q72=0,$W72,IF(AND($S72&lt;&gt;"",EDATE($D72,Milestones!$AA$67)&gt;=$S72),$V72,IF(AND($R72&lt;&gt;"",EDATE($D72,Milestones!$AA$67)&gt;=$R72),$U72,$T72)))=Milestones!$AB$67),TEXT(EDATE($D72,Milestones!$AA$67),"dd/mm/yy")&amp;" "&amp;Milestones!$AB$67&amp;" "&amp;Milestones!$AC$67&amp;";  ","")&amp;IF(AND(EDATE($D72,Milestones!$AA$68)&lt;=AsOfDate,IF($Q72=0,$W72,IF(AND($S72&lt;&gt;"",EDATE($D72,Milestones!$AA$68)&gt;=$S72),$V72,IF(AND($R72&lt;&gt;"",EDATE($D72,Milestones!$AA$68)&gt;=$R72),$U72,$T72)))=Milestones!$AB$68),TEXT(EDATE($D72,Milestones!$AA$68),"dd/mm/yy")&amp;" "&amp;Milestones!$AB$68&amp;" "&amp;Milestones!$AC$68&amp;";  ","")&amp;IF(AND(EDATE($D72,Milestones!$AA$69)&lt;=AsOfDate,IF($Q72=0,$W72,IF(AND($S72&lt;&gt;"",EDATE($D72,Milestones!$AA$69)&gt;=$S72),$V72,IF(AND($R72&lt;&gt;"",EDATE($D72,Milestones!$AA$69)&gt;=$R72),$U72,$T72)))=Milestones!$AB$69),TEXT(EDATE($D72,Milestones!$AA$69),"dd/mm/yy")&amp;" "&amp;Milestones!$AB$69&amp;" "&amp;Milestones!$AC$69&amp;";  ","")&amp;IF(AND(EDATE($D72,Milestones!$AA$70)&lt;=AsOfDate,IF($Q72=0,$W72,IF(AND($S72&lt;&gt;"",EDATE($D72,Milestones!$AA$70)&gt;=$S72),$V72,IF(AND($R72&lt;&gt;"",EDATE($D72,Milestones!$AA$70)&gt;=$R72),$U72,$T72)))=Milestones!$AB$70),TEXT(EDATE($D72,Milestones!$AA$70),"dd/mm/yy")&amp;" "&amp;Milestones!$AB$70&amp;" "&amp;Milestones!$AC$70&amp;";  ","")&amp;IF(AND(EDATE($D72,Milestones!$AA$71)&lt;=AsOfDate,IF($Q72=0,$W72,IF(AND($S72&lt;&gt;"",EDATE($D72,Milestones!$AA$71)&gt;=$S72),$V72,IF(AND($R72&lt;&gt;"",EDATE($D72,Milestones!$AA$71)&gt;=$R72),$U72,$T72)))=Milestones!$AB$71),TEXT(EDATE($D72,Milestones!$AA$71),"dd/mm/yy")&amp;" "&amp;Milestones!$AB$71&amp;" "&amp;Milestones!$AC$71&amp;";  ","")&amp;IF(AND(EDATE($D72,Milestones!$AA$72)&lt;=AsOfDate,IF($Q72=0,$W72,IF(AND($S72&lt;&gt;"",EDATE($D72,Milestones!$AA$72)&gt;=$S72),$V72,IF(AND($R72&lt;&gt;"",EDATE($D72,Milestones!$AA$72)&gt;=$R72),$U72,$T72)))=Milestones!$AB$72),TEXT(EDATE($D72,Milestones!$AA$72),"dd/mm/yy")&amp;" "&amp;Milestones!$AB$72&amp;" "&amp;Milestones!$AC$72&amp;";  ","")&amp;IF(AND(EDATE($D72,Milestones!$AA$73)&lt;=AsOfDate,IF($Q72=0,$W72,IF(AND($S72&lt;&gt;"",EDATE($D72,Milestones!$AA$73)&gt;=$S72),$V72,IF(AND($R72&lt;&gt;"",EDATE($D72,Milestones!$AA$73)&gt;=$R72),$U72,$T72)))=Milestones!$AB$73),TEXT(EDATE($D72,Milestones!$AA$73),"dd/mm/yy")&amp;" "&amp;Milestones!$AB$73&amp;" "&amp;Milestones!$AC$73&amp;";  ","")&amp;IF(AND(EDATE($D72,Milestones!$AA$74)&lt;=AsOfDate,IF($Q72=0,$W72,IF(AND($S72&lt;&gt;"",EDATE($D72,Milestones!$AA$74)&gt;=$S72),$V72,IF(AND($R72&lt;&gt;"",EDATE($D72,Milestones!$AA$74)&gt;=$R72),$U72,$T72)))=Milestones!$AB$74),TEXT(EDATE($D72,Milestones!$AA$74),"dd/mm/yy")&amp;" "&amp;Milestones!$AB$74&amp;" "&amp;Milestones!$AC$74&amp;";  ","")&amp;IF(AND(EDATE($D72,Milestones!$AA$75)&lt;=AsOfDate,IF($Q72=0,$W72,IF(AND($S72&lt;&gt;"",EDATE($D72,Milestones!$AA$75)&gt;=$S72),$V72,IF(AND($R72&lt;&gt;"",EDATE($D72,Milestones!$AA$75)&gt;=$R72),$U72,$T72)))=Milestones!$AB$75),TEXT(EDATE($D72,Milestones!$AA$75),"dd/mm/yy")&amp;" "&amp;Milestones!$AB$75&amp;" "&amp;Milestones!$AC$75&amp;";  ","")&amp;IF(AND(EDATE($D72,Milestones!$AA$76)&lt;=AsOfDate,IF($Q72=0,$W72,IF(AND($S72&lt;&gt;"",EDATE($D72,Milestones!$AA$76)&gt;=$S72),$V72,IF(AND($R72&lt;&gt;"",EDATE($D72,Milestones!$AA$76)&gt;=$R72),$U72,$T72)))=Milestones!$AB$76),TEXT(EDATE($D72,Milestones!$AA$76),"dd/mm/yy")&amp;" "&amp;Milestones!$AB$76&amp;" "&amp;Milestones!$AC$76&amp;";  ","")&amp;IF(AND(EDATE($D72,Milestones!$AA$77)&lt;=AsOfDate,IF($Q72=0,$W72,IF(AND($S72&lt;&gt;"",EDATE($D72,Milestones!$AA$77)&gt;=$S72),$V72,IF(AND($R72&lt;&gt;"",EDATE($D72,Milestones!$AA$77)&gt;=$R72),$U72,$T72)))=Milestones!$AB$77),TEXT(EDATE($D72,Milestones!$AA$77),"dd/mm/yy")&amp;" "&amp;Milestones!$AB$77&amp;" "&amp;Milestones!$AC$77&amp;";  ","")&amp;IF(AND(EDATE($D72,Milestones!$AA$78)&lt;=AsOfDate,IF($Q72=0,$W72,IF(AND($S72&lt;&gt;"",EDATE($D72,Milestones!$AA$78)&gt;=$S72),$V72,IF(AND($R72&lt;&gt;"",EDATE($D72,Milestones!$AA$78)&gt;=$R72),$U72,$T72)))=Milestones!$AB$78),TEXT(EDATE($D72,Milestones!$AA$78),"dd/mm/yy")&amp;" "&amp;Milestones!$AB$78&amp;" "&amp;Milestones!$AC$78&amp;";  ","")&amp;IF(AND(EDATE($D72,Milestones!$AA$79)&lt;=AsOfDate,IF($Q72=0,$W72,IF(AND($S72&lt;&gt;"",EDATE($D72,Milestones!$AA$79)&gt;=$S72),$V72,IF(AND($R72&lt;&gt;"",EDATE($D72,Milestones!$AA$79)&gt;=$R72),$U72,$T72)))=Milestones!$AB$79),TEXT(EDATE($D72,Milestones!$AA$79),"dd/mm/yy")&amp;" "&amp;Milestones!$AB$79&amp;" "&amp;Milestones!$AC$79&amp;";  ",""))</f>
        <v/>
      </c>
      <c r="K72" s="0" t="str">
        <f aca="false">IF(OR($A72="",$D72=""),"",IF(AND(EDATE($D72,Milestones!$AA$80)&lt;=AsOfDate,IF($Q72=0,$W72,IF(AND($S72&lt;&gt;"",EDATE($D72,Milestones!$AA$80)&gt;=$S72),$V72,IF(AND($R72&lt;&gt;"",EDATE($D72,Milestones!$AA$80)&gt;=$R72),$U72,$T72)))=Milestones!$AB$80),TEXT(EDATE($D72,Milestones!$AA$80),"dd/mm/yy")&amp;" "&amp;Milestones!$AB$80&amp;" "&amp;Milestones!$AC$80&amp;";  ","")&amp;IF(AND(EDATE($D72,Milestones!$AA$81)&lt;=AsOfDate,IF($Q72=0,$W72,IF(AND($S72&lt;&gt;"",EDATE($D72,Milestones!$AA$81)&gt;=$S72),$V72,IF(AND($R72&lt;&gt;"",EDATE($D72,Milestones!$AA$81)&gt;=$R72),$U72,$T72)))=Milestones!$AB$81),TEXT(EDATE($D72,Milestones!$AA$81),"dd/mm/yy")&amp;" "&amp;Milestones!$AB$81&amp;" "&amp;Milestones!$AC$81&amp;";  ","")&amp;IF(AND(EDATE($D72,Milestones!$AA$82)&lt;=AsOfDate,IF($Q72=0,$W72,IF(AND($S72&lt;&gt;"",EDATE($D72,Milestones!$AA$82)&gt;=$S72),$V72,IF(AND($R72&lt;&gt;"",EDATE($D72,Milestones!$AA$82)&gt;=$R72),$U72,$T72)))=Milestones!$AB$82),TEXT(EDATE($D72,Milestones!$AA$82),"dd/mm/yy")&amp;" "&amp;Milestones!$AB$82&amp;" "&amp;Milestones!$AC$82&amp;";  ","")&amp;IF(AND(EDATE($D72,Milestones!$AA$83)&lt;=AsOfDate,IF($Q72=0,$W72,IF(AND($S72&lt;&gt;"",EDATE($D72,Milestones!$AA$83)&gt;=$S72),$V72,IF(AND($R72&lt;&gt;"",EDATE($D72,Milestones!$AA$83)&gt;=$R72),$U72,$T72)))=Milestones!$AB$83),TEXT(EDATE($D72,Milestones!$AA$83),"dd/mm/yy")&amp;" "&amp;Milestones!$AB$83&amp;" "&amp;Milestones!$AC$83&amp;";  ","")&amp;IF(AND(EDATE($D72,Milestones!$AA$84)&lt;=AsOfDate,IF($Q72=0,$W72,IF(AND($S72&lt;&gt;"",EDATE($D72,Milestones!$AA$84)&gt;=$S72),$V72,IF(AND($R72&lt;&gt;"",EDATE($D72,Milestones!$AA$84)&gt;=$R72),$U72,$T72)))=Milestones!$AB$84),TEXT(EDATE($D72,Milestones!$AA$84),"dd/mm/yy")&amp;" "&amp;Milestones!$AB$84&amp;" "&amp;Milestones!$AC$84&amp;";  ","")&amp;IF(AND(EDATE($D72,Milestones!$AA$85)&lt;=AsOfDate,IF($Q72=0,$W72,IF(AND($S72&lt;&gt;"",EDATE($D72,Milestones!$AA$85)&gt;=$S72),$V72,IF(AND($R72&lt;&gt;"",EDATE($D72,Milestones!$AA$85)&gt;=$R72),$U72,$T72)))=Milestones!$AB$85),TEXT(EDATE($D72,Milestones!$AA$85),"dd/mm/yy")&amp;" "&amp;Milestones!$AB$85&amp;" "&amp;Milestones!$AC$85&amp;";  ","")&amp;IF(AND(EDATE($D72,Milestones!$AA$86)&lt;=AsOfDate,IF($Q72=0,$W72,IF(AND($S72&lt;&gt;"",EDATE($D72,Milestones!$AA$86)&gt;=$S72),$V72,IF(AND($R72&lt;&gt;"",EDATE($D72,Milestones!$AA$86)&gt;=$R72),$U72,$T72)))=Milestones!$AB$86),TEXT(EDATE($D72,Milestones!$AA$86),"dd/mm/yy")&amp;" "&amp;Milestones!$AB$86&amp;" "&amp;Milestones!$AC$86&amp;";  ","")&amp;IF(AND(EDATE($D72,Milestones!$AA$87)&lt;=AsOfDate,IF($Q72=0,$W72,IF(AND($S72&lt;&gt;"",EDATE($D72,Milestones!$AA$87)&gt;=$S72),$V72,IF(AND($R72&lt;&gt;"",EDATE($D72,Milestones!$AA$87)&gt;=$R72),$U72,$T72)))=Milestones!$AB$87),TEXT(EDATE($D72,Milestones!$AA$87),"dd/mm/yy")&amp;" "&amp;Milestones!$AB$87&amp;" "&amp;Milestones!$AC$87&amp;";  ","")&amp;IF(AND(EDATE($D72,Milestones!$AA$88)&lt;=AsOfDate,IF($Q72=0,$W72,IF(AND($S72&lt;&gt;"",EDATE($D72,Milestones!$AA$88)&gt;=$S72),$V72,IF(AND($R72&lt;&gt;"",EDATE($D72,Milestones!$AA$88)&gt;=$R72),$U72,$T72)))=Milestones!$AB$88),TEXT(EDATE($D72,Milestones!$AA$88),"dd/mm/yy")&amp;" "&amp;Milestones!$AB$88&amp;" "&amp;Milestones!$AC$88&amp;";  ","")&amp;IF(AND(EDATE($D72,Milestones!$AA$89)&lt;=AsOfDate,IF($Q72=0,$W72,IF(AND($S72&lt;&gt;"",EDATE($D72,Milestones!$AA$89)&gt;=$S72),$V72,IF(AND($R72&lt;&gt;"",EDATE($D72,Milestones!$AA$89)&gt;=$R72),$U72,$T72)))=Milestones!$AB$89),TEXT(EDATE($D72,Milestones!$AA$89),"dd/mm/yy")&amp;" "&amp;Milestones!$AB$89&amp;" "&amp;Milestones!$AC$89&amp;";  ","")&amp;IF(AND(EDATE($D72,Milestones!$AA$90)&lt;=AsOfDate,IF($Q72=0,$W72,IF(AND($S72&lt;&gt;"",EDATE($D72,Milestones!$AA$90)&gt;=$S72),$V72,IF(AND($R72&lt;&gt;"",EDATE($D72,Milestones!$AA$90)&gt;=$R72),$U72,$T72)))=Milestones!$AB$90),TEXT(EDATE($D72,Milestones!$AA$90),"dd/mm/yy")&amp;" "&amp;Milestones!$AB$90&amp;" "&amp;Milestones!$AC$90&amp;";  ","")&amp;IF(AND(EDATE($D72,Milestones!$AA$91)&lt;=AsOfDate,IF($Q72=0,$W72,IF(AND($S72&lt;&gt;"",EDATE($D72,Milestones!$AA$91)&gt;=$S72),$V72,IF(AND($R72&lt;&gt;"",EDATE($D72,Milestones!$AA$91)&gt;=$R72),$U72,$T72)))=Milestones!$AB$91),TEXT(EDATE($D72,Milestones!$AA$91),"dd/mm/yy")&amp;" "&amp;Milestones!$AB$91&amp;" "&amp;Milestones!$AC$91&amp;";  ","")&amp;IF(AND(EDATE($D72,Milestones!$AA$92)&lt;=AsOfDate,IF($Q72=0,$W72,IF(AND($S72&lt;&gt;"",EDATE($D72,Milestones!$AA$92)&gt;=$S72),$V72,IF(AND($R72&lt;&gt;"",EDATE($D72,Milestones!$AA$92)&gt;=$R72),$U72,$T72)))=Milestones!$AB$92),TEXT(EDATE($D72,Milestones!$AA$92),"dd/mm/yy")&amp;" "&amp;Milestones!$AB$92&amp;" "&amp;Milestones!$AC$92&amp;";  ","")&amp;IF(AND(EDATE($D72,Milestones!$AA$93)&lt;=AsOfDate,IF($Q72=0,$W72,IF(AND($S72&lt;&gt;"",EDATE($D72,Milestones!$AA$93)&gt;=$S72),$V72,IF(AND($R72&lt;&gt;"",EDATE($D72,Milestones!$AA$93)&gt;=$R72),$U72,$T72)))=Milestones!$AB$93),TEXT(EDATE($D72,Milestones!$AA$93),"dd/mm/yy")&amp;" "&amp;Milestones!$AB$93&amp;" "&amp;Milestones!$AC$93&amp;";  ","")&amp;IF(AND(EDATE($D72,Milestones!$AA$94)&lt;=AsOfDate,IF($Q72=0,$W72,IF(AND($S72&lt;&gt;"",EDATE($D72,Milestones!$AA$94)&gt;=$S72),$V72,IF(AND($R72&lt;&gt;"",EDATE($D72,Milestones!$AA$94)&gt;=$R72),$U72,$T72)))=Milestones!$AB$94),TEXT(EDATE($D72,Milestones!$AA$94),"dd/mm/yy")&amp;" "&amp;Milestones!$AB$94&amp;" "&amp;Milestones!$AC$94&amp;";  ","")&amp;IF(AND(EDATE($D72,Milestones!$AA$95)&lt;=AsOfDate,IF($Q72=0,$W72,IF(AND($S72&lt;&gt;"",EDATE($D72,Milestones!$AA$95)&gt;=$S72),$V72,IF(AND($R72&lt;&gt;"",EDATE($D72,Milestones!$AA$95)&gt;=$R72),$U72,$T72)))=Milestones!$AB$95),TEXT(EDATE($D72,Milestones!$AA$95),"dd/mm/yy")&amp;" "&amp;Milestones!$AB$95&amp;" "&amp;Milestones!$AC$95&amp;";  ","")&amp;IF(AND(EDATE($D72,Milestones!$AA$96)&lt;=AsOfDate,IF($Q72=0,$W72,IF(AND($S72&lt;&gt;"",EDATE($D72,Milestones!$AA$96)&gt;=$S72),$V72,IF(AND($R72&lt;&gt;"",EDATE($D72,Milestones!$AA$96)&gt;=$R72),$U72,$T72)))=Milestones!$AB$96),TEXT(EDATE($D72,Milestones!$AA$96),"dd/mm/yy")&amp;" "&amp;Milestones!$AB$96&amp;" "&amp;Milestones!$AC$96&amp;";  ","")&amp;IF(AND(EDATE($D72,Milestones!$AA$97)&lt;=AsOfDate,IF($Q72=0,$W72,IF(AND($S72&lt;&gt;"",EDATE($D72,Milestones!$AA$97)&gt;=$S72),$V72,IF(AND($R72&lt;&gt;"",EDATE($D72,Milestones!$AA$97)&gt;=$R72),$U72,$T72)))=Milestones!$AB$97),TEXT(EDATE($D72,Milestones!$AA$97),"dd/mm/yy")&amp;" "&amp;Milestones!$AB$97&amp;" "&amp;Milestones!$AC$97&amp;";  ","")&amp;IF(AND(EDATE($D72,Milestones!$AA$98)&lt;=AsOfDate,IF($Q72=0,$W72,IF(AND($S72&lt;&gt;"",EDATE($D72,Milestones!$AA$98)&gt;=$S72),$V72,IF(AND($R72&lt;&gt;"",EDATE($D72,Milestones!$AA$98)&gt;=$R72),$U72,$T72)))=Milestones!$AB$98),TEXT(EDATE($D72,Milestones!$AA$98),"dd/mm/yy")&amp;" "&amp;Milestones!$AB$98&amp;" "&amp;Milestones!$AC$98&amp;";  ","")&amp;IF(AND(EDATE($D72,Milestones!$AA$99)&lt;=AsOfDate,IF($Q72=0,$W72,IF(AND($S72&lt;&gt;"",EDATE($D72,Milestones!$AA$99)&gt;=$S72),$V72,IF(AND($R72&lt;&gt;"",EDATE($D72,Milestones!$AA$99)&gt;=$R72),$U72,$T72)))=Milestones!$AB$99),TEXT(EDATE($D72,Milestones!$AA$99),"dd/mm/yy")&amp;" "&amp;Milestones!$AB$99&amp;" "&amp;Milestones!$AC$99&amp;";  ",""))</f>
        <v/>
      </c>
      <c r="L72" s="0" t="str">
        <f aca="false">IF(OR($A72="",$D72=""),"",IF(AND(EDATE($D72,Milestones!$AA$100)&lt;=AsOfDate,IF($Q72=0,$W72,IF(AND($S72&lt;&gt;"",EDATE($D72,Milestones!$AA$100)&gt;=$S72),$V72,IF(AND($R72&lt;&gt;"",EDATE($D72,Milestones!$AA$100)&gt;=$R72),$U72,$T72)))=Milestones!$AB$100),TEXT(EDATE($D72,Milestones!$AA$100),"dd/mm/yy")&amp;" "&amp;Milestones!$AB$100&amp;" "&amp;Milestones!$AC$100&amp;";  ","")&amp;IF(AND(EDATE($D72,Milestones!$AA$101)&lt;=AsOfDate,IF($Q72=0,$W72,IF(AND($S72&lt;&gt;"",EDATE($D72,Milestones!$AA$101)&gt;=$S72),$V72,IF(AND($R72&lt;&gt;"",EDATE($D72,Milestones!$AA$101)&gt;=$R72),$U72,$T72)))=Milestones!$AB$101),TEXT(EDATE($D72,Milestones!$AA$101),"dd/mm/yy")&amp;" "&amp;Milestones!$AB$101&amp;" "&amp;Milestones!$AC$101&amp;";  ","")&amp;IF(AND(EDATE($D72,Milestones!$AA$102)&lt;=AsOfDate,IF($Q72=0,$W72,IF(AND($S72&lt;&gt;"",EDATE($D72,Milestones!$AA$102)&gt;=$S72),$V72,IF(AND($R72&lt;&gt;"",EDATE($D72,Milestones!$AA$102)&gt;=$R72),$U72,$T72)))=Milestones!$AB$102),TEXT(EDATE($D72,Milestones!$AA$102),"dd/mm/yy")&amp;" "&amp;Milestones!$AB$102&amp;" "&amp;Milestones!$AC$102&amp;";  ","")&amp;IF(AND(EDATE($D72,Milestones!$AA$103)&lt;=AsOfDate,IF($Q72=0,$W72,IF(AND($S72&lt;&gt;"",EDATE($D72,Milestones!$AA$103)&gt;=$S72),$V72,IF(AND($R72&lt;&gt;"",EDATE($D72,Milestones!$AA$103)&gt;=$R72),$U72,$T72)))=Milestones!$AB$103),TEXT(EDATE($D72,Milestones!$AA$103),"dd/mm/yy")&amp;" "&amp;Milestones!$AB$103&amp;" "&amp;Milestones!$AC$103&amp;";  ","")&amp;IF(AND(EDATE($D72,Milestones!$AA$104)&lt;=AsOfDate,IF($Q72=0,$W72,IF(AND($S72&lt;&gt;"",EDATE($D72,Milestones!$AA$104)&gt;=$S72),$V72,IF(AND($R72&lt;&gt;"",EDATE($D72,Milestones!$AA$104)&gt;=$R72),$U72,$T72)))=Milestones!$AB$104),TEXT(EDATE($D72,Milestones!$AA$104),"dd/mm/yy")&amp;" "&amp;Milestones!$AB$104&amp;" "&amp;Milestones!$AC$104&amp;";  ","")&amp;IF(AND(EDATE($D72,Milestones!$AA$105)&lt;=AsOfDate,IF($Q72=0,$W72,IF(AND($S72&lt;&gt;"",EDATE($D72,Milestones!$AA$105)&gt;=$S72),$V72,IF(AND($R72&lt;&gt;"",EDATE($D72,Milestones!$AA$105)&gt;=$R72),$U72,$T72)))=Milestones!$AB$105),TEXT(EDATE($D72,Milestones!$AA$105),"dd/mm/yy")&amp;" "&amp;Milestones!$AB$105&amp;" "&amp;Milestones!$AC$105&amp;";  ","")&amp;IF(AND(EDATE($D72,Milestones!$AA$106)&lt;=AsOfDate,IF($Q72=0,$W72,IF(AND($S72&lt;&gt;"",EDATE($D72,Milestones!$AA$106)&gt;=$S72),$V72,IF(AND($R72&lt;&gt;"",EDATE($D72,Milestones!$AA$106)&gt;=$R72),$U72,$T72)))=Milestones!$AB$106),TEXT(EDATE($D72,Milestones!$AA$106),"dd/mm/yy")&amp;" "&amp;Milestones!$AB$106&amp;" "&amp;Milestones!$AC$106&amp;";  ","")&amp;IF(AND(EDATE($D72,Milestones!$AA$107)&lt;=AsOfDate,IF($Q72=0,$W72,IF(AND($S72&lt;&gt;"",EDATE($D72,Milestones!$AA$107)&gt;=$S72),$V72,IF(AND($R72&lt;&gt;"",EDATE($D72,Milestones!$AA$107)&gt;=$R72),$U72,$T72)))=Milestones!$AB$107),TEXT(EDATE($D72,Milestones!$AA$107),"dd/mm/yy")&amp;" "&amp;Milestones!$AB$107&amp;" "&amp;Milestones!$AC$107&amp;";  ","")&amp;IF(AND(EDATE($D72,Milestones!$AA$108)&lt;=AsOfDate,IF($Q72=0,$W72,IF(AND($S72&lt;&gt;"",EDATE($D72,Milestones!$AA$108)&gt;=$S72),$V72,IF(AND($R72&lt;&gt;"",EDATE($D72,Milestones!$AA$108)&gt;=$R72),$U72,$T72)))=Milestones!$AB$108),TEXT(EDATE($D72,Milestones!$AA$108),"dd/mm/yy")&amp;" "&amp;Milestones!$AB$108&amp;" "&amp;Milestones!$AC$108&amp;";  ","")&amp;IF(AND(EDATE($D72,Milestones!$AA$109)&lt;=AsOfDate,IF($Q72=0,$W72,IF(AND($S72&lt;&gt;"",EDATE($D72,Milestones!$AA$109)&gt;=$S72),$V72,IF(AND($R72&lt;&gt;"",EDATE($D72,Milestones!$AA$109)&gt;=$R72),$U72,$T72)))=Milestones!$AB$109),TEXT(EDATE($D72,Milestones!$AA$109),"dd/mm/yy")&amp;" "&amp;Milestones!$AB$109&amp;" "&amp;Milestones!$AC$109&amp;";  ","")&amp;IF(AND(EDATE($D72,Milestones!$AA$110)&lt;=AsOfDate,IF($Q72=0,$W72,IF(AND($S72&lt;&gt;"",EDATE($D72,Milestones!$AA$110)&gt;=$S72),$V72,IF(AND($R72&lt;&gt;"",EDATE($D72,Milestones!$AA$110)&gt;=$R72),$U72,$T72)))=Milestones!$AB$110),TEXT(EDATE($D72,Milestones!$AA$110),"dd/mm/yy")&amp;" "&amp;Milestones!$AB$110&amp;" "&amp;Milestones!$AC$110&amp;";  ","")&amp;IF(AND(EDATE($D72,Milestones!$AA$111)&lt;=AsOfDate,IF($Q72=0,$W72,IF(AND($S72&lt;&gt;"",EDATE($D72,Milestones!$AA$111)&gt;=$S72),$V72,IF(AND($R72&lt;&gt;"",EDATE($D72,Milestones!$AA$111)&gt;=$R72),$U72,$T72)))=Milestones!$AB$111),TEXT(EDATE($D72,Milestones!$AA$111),"dd/mm/yy")&amp;" "&amp;Milestones!$AB$111&amp;" "&amp;Milestones!$AC$111&amp;";  ","")&amp;IF(AND(EDATE($D72,Milestones!$AA$112)&lt;=AsOfDate,IF($Q72=0,$W72,IF(AND($S72&lt;&gt;"",EDATE($D72,Milestones!$AA$112)&gt;=$S72),$V72,IF(AND($R72&lt;&gt;"",EDATE($D72,Milestones!$AA$112)&gt;=$R72),$U72,$T72)))=Milestones!$AB$112),TEXT(EDATE($D72,Milestones!$AA$112),"dd/mm/yy")&amp;" "&amp;Milestones!$AB$112&amp;" "&amp;Milestones!$AC$112&amp;";  ","")&amp;IF(AND(EDATE($D72,Milestones!$AA$113)&lt;=AsOfDate,IF($Q72=0,$W72,IF(AND($S72&lt;&gt;"",EDATE($D72,Milestones!$AA$113)&gt;=$S72),$V72,IF(AND($R72&lt;&gt;"",EDATE($D72,Milestones!$AA$113)&gt;=$R72),$U72,$T72)))=Milestones!$AB$113),TEXT(EDATE($D72,Milestones!$AA$113),"dd/mm/yy")&amp;" "&amp;Milestones!$AB$113&amp;" "&amp;Milestones!$AC$113&amp;";  ","")&amp;IF(AND(EDATE($D72,Milestones!$AA$114)&lt;=AsOfDate,IF($Q72=0,$W72,IF(AND($S72&lt;&gt;"",EDATE($D72,Milestones!$AA$114)&gt;=$S72),$V72,IF(AND($R72&lt;&gt;"",EDATE($D72,Milestones!$AA$114)&gt;=$R72),$U72,$T72)))=Milestones!$AB$114),TEXT(EDATE($D72,Milestones!$AA$114),"dd/mm/yy")&amp;" "&amp;Milestones!$AB$114&amp;" "&amp;Milestones!$AC$114&amp;";  ","")&amp;IF(AND(EDATE($D72,Milestones!$AA$115)&lt;=AsOfDate,IF($Q72=0,$W72,IF(AND($S72&lt;&gt;"",EDATE($D72,Milestones!$AA$115)&gt;=$S72),$V72,IF(AND($R72&lt;&gt;"",EDATE($D72,Milestones!$AA$115)&gt;=$R72),$U72,$T72)))=Milestones!$AB$115),TEXT(EDATE($D72,Milestones!$AA$115),"dd/mm/yy")&amp;" "&amp;Milestones!$AB$115&amp;" "&amp;Milestones!$AC$115&amp;";  ","")&amp;IF(AND(EDATE($D72,Milestones!$AA$116)&lt;=AsOfDate,IF($Q72=0,$W72,IF(AND($S72&lt;&gt;"",EDATE($D72,Milestones!$AA$116)&gt;=$S72),$V72,IF(AND($R72&lt;&gt;"",EDATE($D72,Milestones!$AA$116)&gt;=$R72),$U72,$T72)))=Milestones!$AB$116),TEXT(EDATE($D72,Milestones!$AA$116),"dd/mm/yy")&amp;" "&amp;Milestones!$AB$116&amp;" "&amp;Milestones!$AC$116&amp;";  ","")&amp;IF(AND(EDATE($D72,Milestones!$AA$117)&lt;=AsOfDate,IF($Q72=0,$W72,IF(AND($S72&lt;&gt;"",EDATE($D72,Milestones!$AA$117)&gt;=$S72),$V72,IF(AND($R72&lt;&gt;"",EDATE($D72,Milestones!$AA$117)&gt;=$R72),$U72,$T72)))=Milestones!$AB$117),TEXT(EDATE($D72,Milestones!$AA$117),"dd/mm/yy")&amp;" "&amp;Milestones!$AB$117&amp;" "&amp;Milestones!$AC$117&amp;";  ","")&amp;IF(AND(EDATE($D72,Milestones!$AA$118)&lt;=AsOfDate,IF($Q72=0,$W72,IF(AND($S72&lt;&gt;"",EDATE($D72,Milestones!$AA$118)&gt;=$S72),$V72,IF(AND($R72&lt;&gt;"",EDATE($D72,Milestones!$AA$118)&gt;=$R72),$U72,$T72)))=Milestones!$AB$118),TEXT(EDATE($D72,Milestones!$AA$118),"dd/mm/yy")&amp;" "&amp;Milestones!$AB$118&amp;" "&amp;Milestones!$AC$118&amp;";  ","")&amp;IF(AND(EDATE($D72,Milestones!$AA$119)&lt;=AsOfDate,IF($Q72=0,$W72,IF(AND($S72&lt;&gt;"",EDATE($D72,Milestones!$AA$119)&gt;=$S72),$V72,IF(AND($R72&lt;&gt;"",EDATE($D72,Milestones!$AA$119)&gt;=$R72),$U72,$T72)))=Milestones!$AB$119),TEXT(EDATE($D72,Milestones!$AA$119),"dd/mm/yy")&amp;" "&amp;Milestones!$AB$119&amp;" "&amp;Milestones!$AC$119&amp;";  ",""))</f>
        <v/>
      </c>
      <c r="M72" s="0" t="str">
        <f aca="false">IF(OR($A72="",$D72=""),"",IF(AND(EDATE($D72,Milestones!$AA$120)&lt;=AsOfDate,IF($Q72=0,$W72,IF(AND($S72&lt;&gt;"",EDATE($D72,Milestones!$AA$120)&gt;=$S72),$V72,IF(AND($R72&lt;&gt;"",EDATE($D72,Milestones!$AA$120)&gt;=$R72),$U72,$T72)))=Milestones!$AB$120),TEXT(EDATE($D72,Milestones!$AA$120),"dd/mm/yy")&amp;" "&amp;Milestones!$AB$120&amp;" "&amp;Milestones!$AC$120&amp;";  ","")&amp;IF(AND(EDATE($D72,Milestones!$AA$121)&lt;=AsOfDate,IF($Q72=0,$W72,IF(AND($S72&lt;&gt;"",EDATE($D72,Milestones!$AA$121)&gt;=$S72),$V72,IF(AND($R72&lt;&gt;"",EDATE($D72,Milestones!$AA$121)&gt;=$R72),$U72,$T72)))=Milestones!$AB$121),TEXT(EDATE($D72,Milestones!$AA$121),"dd/mm/yy")&amp;" "&amp;Milestones!$AB$121&amp;" "&amp;Milestones!$AC$121&amp;";  ","")&amp;IF(AND(EDATE($D72,Milestones!$AA$122)&lt;=AsOfDate,IF($Q72=0,$W72,IF(AND($S72&lt;&gt;"",EDATE($D72,Milestones!$AA$122)&gt;=$S72),$V72,IF(AND($R72&lt;&gt;"",EDATE($D72,Milestones!$AA$122)&gt;=$R72),$U72,$T72)))=Milestones!$AB$122),TEXT(EDATE($D72,Milestones!$AA$122),"dd/mm/yy")&amp;" "&amp;Milestones!$AB$122&amp;" "&amp;Milestones!$AC$122&amp;";  ","")&amp;IF(AND(EDATE($D72,Milestones!$AA$123)&lt;=AsOfDate,IF($Q72=0,$W72,IF(AND($S72&lt;&gt;"",EDATE($D72,Milestones!$AA$123)&gt;=$S72),$V72,IF(AND($R72&lt;&gt;"",EDATE($D72,Milestones!$AA$123)&gt;=$R72),$U72,$T72)))=Milestones!$AB$123),TEXT(EDATE($D72,Milestones!$AA$123),"dd/mm/yy")&amp;" "&amp;Milestones!$AB$123&amp;" "&amp;Milestones!$AC$123&amp;";  ","")&amp;IF(AND(EDATE($D72,Milestones!$AA$124)&lt;=AsOfDate,IF($Q72=0,$W72,IF(AND($S72&lt;&gt;"",EDATE($D72,Milestones!$AA$124)&gt;=$S72),$V72,IF(AND($R72&lt;&gt;"",EDATE($D72,Milestones!$AA$124)&gt;=$R72),$U72,$T72)))=Milestones!$AB$124),TEXT(EDATE($D72,Milestones!$AA$124),"dd/mm/yy")&amp;" "&amp;Milestones!$AB$124&amp;" "&amp;Milestones!$AC$124&amp;";  ","")&amp;IF(AND(EDATE($D72,Milestones!$AA$125)&lt;=AsOfDate,IF($Q72=0,$W72,IF(AND($S72&lt;&gt;"",EDATE($D72,Milestones!$AA$125)&gt;=$S72),$V72,IF(AND($R72&lt;&gt;"",EDATE($D72,Milestones!$AA$125)&gt;=$R72),$U72,$T72)))=Milestones!$AB$125),TEXT(EDATE($D72,Milestones!$AA$125),"dd/mm/yy")&amp;" "&amp;Milestones!$AB$125&amp;" "&amp;Milestones!$AC$125&amp;";  ","")&amp;IF(AND(EDATE($D72,Milestones!$AA$126)&lt;=AsOfDate,IF($Q72=0,$W72,IF(AND($S72&lt;&gt;"",EDATE($D72,Milestones!$AA$126)&gt;=$S72),$V72,IF(AND($R72&lt;&gt;"",EDATE($D72,Milestones!$AA$126)&gt;=$R72),$U72,$T72)))=Milestones!$AB$126),TEXT(EDATE($D72,Milestones!$AA$126),"dd/mm/yy")&amp;" "&amp;Milestones!$AB$126&amp;" "&amp;Milestones!$AC$126&amp;";  ","")&amp;IF(AND(EDATE($D72,Milestones!$AA$127)&lt;=AsOfDate,IF($Q72=0,$W72,IF(AND($S72&lt;&gt;"",EDATE($D72,Milestones!$AA$127)&gt;=$S72),$V72,IF(AND($R72&lt;&gt;"",EDATE($D72,Milestones!$AA$127)&gt;=$R72),$U72,$T72)))=Milestones!$AB$127),TEXT(EDATE($D72,Milestones!$AA$127),"dd/mm/yy")&amp;" "&amp;Milestones!$AB$127&amp;" "&amp;Milestones!$AC$127&amp;";  ","")&amp;IF(AND(EDATE($D72,Milestones!$AA$128)&lt;=AsOfDate,IF($Q72=0,$W72,IF(AND($S72&lt;&gt;"",EDATE($D72,Milestones!$AA$128)&gt;=$S72),$V72,IF(AND($R72&lt;&gt;"",EDATE($D72,Milestones!$AA$128)&gt;=$R72),$U72,$T72)))=Milestones!$AB$128),TEXT(EDATE($D72,Milestones!$AA$128),"dd/mm/yy")&amp;" "&amp;Milestones!$AB$128&amp;" "&amp;Milestones!$AC$128&amp;";  ","")&amp;IF(AND(EDATE($D72,Milestones!$AA$129)&lt;=AsOfDate,IF($Q72=0,$W72,IF(AND($S72&lt;&gt;"",EDATE($D72,Milestones!$AA$129)&gt;=$S72),$V72,IF(AND($R72&lt;&gt;"",EDATE($D72,Milestones!$AA$129)&gt;=$R72),$U72,$T72)))=Milestones!$AB$129),TEXT(EDATE($D72,Milestones!$AA$129),"dd/mm/yy")&amp;" "&amp;Milestones!$AB$129&amp;" "&amp;Milestones!$AC$129&amp;";  ","")&amp;IF(AND(EDATE($D72,Milestones!$AA$130)&lt;=AsOfDate,IF($Q72=0,$W72,IF(AND($S72&lt;&gt;"",EDATE($D72,Milestones!$AA$130)&gt;=$S72),$V72,IF(AND($R72&lt;&gt;"",EDATE($D72,Milestones!$AA$130)&gt;=$R72),$U72,$T72)))=Milestones!$AB$130),TEXT(EDATE($D72,Milestones!$AA$130),"dd/mm/yy")&amp;" "&amp;Milestones!$AB$130&amp;" "&amp;Milestones!$AC$130&amp;";  ","")&amp;IF(AND(EDATE($D72,Milestones!$AA$131)&lt;=AsOfDate,IF($Q72=0,$W72,IF(AND($S72&lt;&gt;"",EDATE($D72,Milestones!$AA$131)&gt;=$S72),$V72,IF(AND($R72&lt;&gt;"",EDATE($D72,Milestones!$AA$131)&gt;=$R72),$U72,$T72)))=Milestones!$AB$131),TEXT(EDATE($D72,Milestones!$AA$131),"dd/mm/yy")&amp;" "&amp;Milestones!$AB$131&amp;" "&amp;Milestones!$AC$131&amp;";  ","")&amp;IF(AND(EDATE($D72,Milestones!$AA$132)&lt;=AsOfDate,IF($Q72=0,$W72,IF(AND($S72&lt;&gt;"",EDATE($D72,Milestones!$AA$132)&gt;=$S72),$V72,IF(AND($R72&lt;&gt;"",EDATE($D72,Milestones!$AA$132)&gt;=$R72),$U72,$T72)))=Milestones!$AB$132),TEXT(EDATE($D72,Milestones!$AA$132),"dd/mm/yy")&amp;" "&amp;Milestones!$AB$132&amp;" "&amp;Milestones!$AC$132&amp;";  ","")&amp;IF(AND(EDATE($D72,Milestones!$AA$133)&lt;=AsOfDate,IF($Q72=0,$W72,IF(AND($S72&lt;&gt;"",EDATE($D72,Milestones!$AA$133)&gt;=$S72),$V72,IF(AND($R72&lt;&gt;"",EDATE($D72,Milestones!$AA$133)&gt;=$R72),$U72,$T72)))=Milestones!$AB$133),TEXT(EDATE($D72,Milestones!$AA$133),"dd/mm/yy")&amp;" "&amp;Milestones!$AB$133&amp;" "&amp;Milestones!$AC$133&amp;";  ","")&amp;IF(AND(EDATE($D72,Milestones!$AA$134)&lt;=AsOfDate,IF($Q72=0,$W72,IF(AND($S72&lt;&gt;"",EDATE($D72,Milestones!$AA$134)&gt;=$S72),$V72,IF(AND($R72&lt;&gt;"",EDATE($D72,Milestones!$AA$134)&gt;=$R72),$U72,$T72)))=Milestones!$AB$134),TEXT(EDATE($D72,Milestones!$AA$134),"dd/mm/yy")&amp;" "&amp;Milestones!$AB$134&amp;" "&amp;Milestones!$AC$134&amp;";  ","")&amp;IF(AND(EDATE($D72,Milestones!$AA$135)&lt;=AsOfDate,IF($Q72=0,$W72,IF(AND($S72&lt;&gt;"",EDATE($D72,Milestones!$AA$135)&gt;=$S72),$V72,IF(AND($R72&lt;&gt;"",EDATE($D72,Milestones!$AA$135)&gt;=$R72),$U72,$T72)))=Milestones!$AB$135),TEXT(EDATE($D72,Milestones!$AA$135),"dd/mm/yy")&amp;" "&amp;Milestones!$AB$135&amp;" "&amp;Milestones!$AC$135&amp;";  ","")&amp;IF(AND(EDATE($D72,Milestones!$AA$136)&lt;=AsOfDate,IF($Q72=0,$W72,IF(AND($S72&lt;&gt;"",EDATE($D72,Milestones!$AA$136)&gt;=$S72),$V72,IF(AND($R72&lt;&gt;"",EDATE($D72,Milestones!$AA$136)&gt;=$R72),$U72,$T72)))=Milestones!$AB$136),TEXT(EDATE($D72,Milestones!$AA$136),"dd/mm/yy")&amp;" "&amp;Milestones!$AB$136&amp;" "&amp;Milestones!$AC$136&amp;";  ","")&amp;IF(AND(EDATE($D72,Milestones!$AA$137)&lt;=AsOfDate,IF($Q72=0,$W72,IF(AND($S72&lt;&gt;"",EDATE($D72,Milestones!$AA$137)&gt;=$S72),$V72,IF(AND($R72&lt;&gt;"",EDATE($D72,Milestones!$AA$137)&gt;=$R72),$U72,$T72)))=Milestones!$AB$137),TEXT(EDATE($D72,Milestones!$AA$137),"dd/mm/yy")&amp;" "&amp;Milestones!$AB$137&amp;" "&amp;Milestones!$AC$137&amp;";  ","")&amp;IF(AND(EDATE($D72,Milestones!$AA$138)&lt;=AsOfDate,IF($Q72=0,$W72,IF(AND($S72&lt;&gt;"",EDATE($D72,Milestones!$AA$138)&gt;=$S72),$V72,IF(AND($R72&lt;&gt;"",EDATE($D72,Milestones!$AA$138)&gt;=$R72),$U72,$T72)))=Milestones!$AB$138),TEXT(EDATE($D72,Milestones!$AA$138),"dd/mm/yy")&amp;" "&amp;Milestones!$AB$138&amp;" "&amp;Milestones!$AC$138&amp;";  ","")&amp;IF(AND(EDATE($D72,Milestones!$AA$139)&lt;=AsOfDate,IF($Q72=0,$W72,IF(AND($S72&lt;&gt;"",EDATE($D72,Milestones!$AA$139)&gt;=$S72),$V72,IF(AND($R72&lt;&gt;"",EDATE($D72,Milestones!$AA$139)&gt;=$R72),$U72,$T72)))=Milestones!$AB$139),TEXT(EDATE($D72,Milestones!$AA$139),"dd/mm/yy")&amp;" "&amp;Milestones!$AB$139&amp;" "&amp;Milestones!$AC$139&amp;";  ",""))</f>
        <v/>
      </c>
      <c r="N72" s="0" t="str">
        <f aca="false">IF(OR($A72="",$D72=""),"",IF(AND(EDATE($D72,Milestones!$AA$140)&lt;=AsOfDate,IF($Q72=0,$W72,IF(AND($S72&lt;&gt;"",EDATE($D72,Milestones!$AA$140)&gt;=$S72),$V72,IF(AND($R72&lt;&gt;"",EDATE($D72,Milestones!$AA$140)&gt;=$R72),$U72,$T72)))=Milestones!$AB$140),TEXT(EDATE($D72,Milestones!$AA$140),"dd/mm/yy")&amp;" "&amp;Milestones!$AB$140&amp;" "&amp;Milestones!$AC$140&amp;";  ","")&amp;IF(AND(EDATE($D72,Milestones!$AA$141)&lt;=AsOfDate,IF($Q72=0,$W72,IF(AND($S72&lt;&gt;"",EDATE($D72,Milestones!$AA$141)&gt;=$S72),$V72,IF(AND($R72&lt;&gt;"",EDATE($D72,Milestones!$AA$141)&gt;=$R72),$U72,$T72)))=Milestones!$AB$141),TEXT(EDATE($D72,Milestones!$AA$141),"dd/mm/yy")&amp;" "&amp;Milestones!$AB$141&amp;" "&amp;Milestones!$AC$141&amp;";  ","")&amp;IF(AND(EDATE($D72,Milestones!$AA$142)&lt;=AsOfDate,IF($Q72=0,$W72,IF(AND($S72&lt;&gt;"",EDATE($D72,Milestones!$AA$142)&gt;=$S72),$V72,IF(AND($R72&lt;&gt;"",EDATE($D72,Milestones!$AA$142)&gt;=$R72),$U72,$T72)))=Milestones!$AB$142),TEXT(EDATE($D72,Milestones!$AA$142),"dd/mm/yy")&amp;" "&amp;Milestones!$AB$142&amp;" "&amp;Milestones!$AC$142&amp;";  ","")&amp;IF(AND(EDATE($D72,Milestones!$AA$143)&lt;=AsOfDate,IF($Q72=0,$W72,IF(AND($S72&lt;&gt;"",EDATE($D72,Milestones!$AA$143)&gt;=$S72),$V72,IF(AND($R72&lt;&gt;"",EDATE($D72,Milestones!$AA$143)&gt;=$R72),$U72,$T72)))=Milestones!$AB$143),TEXT(EDATE($D72,Milestones!$AA$143),"dd/mm/yy")&amp;" "&amp;Milestones!$AB$143&amp;" "&amp;Milestones!$AC$143&amp;";  ","")&amp;IF(AND(EDATE($D72,Milestones!$AA$144)&lt;=AsOfDate,IF($Q72=0,$W72,IF(AND($S72&lt;&gt;"",EDATE($D72,Milestones!$AA$144)&gt;=$S72),$V72,IF(AND($R72&lt;&gt;"",EDATE($D72,Milestones!$AA$144)&gt;=$R72),$U72,$T72)))=Milestones!$AB$144),TEXT(EDATE($D72,Milestones!$AA$144),"dd/mm/yy")&amp;" "&amp;Milestones!$AB$144&amp;" "&amp;Milestones!$AC$144&amp;";  ","")&amp;IF(AND(EDATE($D72,Milestones!$AA$145)&lt;=AsOfDate,IF($Q72=0,$W72,IF(AND($S72&lt;&gt;"",EDATE($D72,Milestones!$AA$145)&gt;=$S72),$V72,IF(AND($R72&lt;&gt;"",EDATE($D72,Milestones!$AA$145)&gt;=$R72),$U72,$T72)))=Milestones!$AB$145),TEXT(EDATE($D72,Milestones!$AA$145),"dd/mm/yy")&amp;" "&amp;Milestones!$AB$145&amp;" "&amp;Milestones!$AC$145&amp;";  ","")&amp;IF(AND(EDATE($D72,Milestones!$AA$146)&lt;=AsOfDate,IF($Q72=0,$W72,IF(AND($S72&lt;&gt;"",EDATE($D72,Milestones!$AA$146)&gt;=$S72),$V72,IF(AND($R72&lt;&gt;"",EDATE($D72,Milestones!$AA$146)&gt;=$R72),$U72,$T72)))=Milestones!$AB$146),TEXT(EDATE($D72,Milestones!$AA$146),"dd/mm/yy")&amp;" "&amp;Milestones!$AB$146&amp;" "&amp;Milestones!$AC$146&amp;";  ","")&amp;IF(AND(EDATE($D72,Milestones!$AA$147)&lt;=AsOfDate,IF($Q72=0,$W72,IF(AND($S72&lt;&gt;"",EDATE($D72,Milestones!$AA$147)&gt;=$S72),$V72,IF(AND($R72&lt;&gt;"",EDATE($D72,Milestones!$AA$147)&gt;=$R72),$U72,$T72)))=Milestones!$AB$147),TEXT(EDATE($D72,Milestones!$AA$147),"dd/mm/yy")&amp;" "&amp;Milestones!$AB$147&amp;" "&amp;Milestones!$AC$147&amp;";  ","")&amp;IF(AND(EDATE($D72,Milestones!$AA$148)&lt;=AsOfDate,IF($Q72=0,$W72,IF(AND($S72&lt;&gt;"",EDATE($D72,Milestones!$AA$148)&gt;=$S72),$V72,IF(AND($R72&lt;&gt;"",EDATE($D72,Milestones!$AA$148)&gt;=$R72),$U72,$T72)))=Milestones!$AB$148),TEXT(EDATE($D72,Milestones!$AA$148),"dd/mm/yy")&amp;" "&amp;Milestones!$AB$148&amp;" "&amp;Milestones!$AC$148&amp;";  ","")&amp;IF(AND(EDATE($D72,Milestones!$AA$149)&lt;=AsOfDate,IF($Q72=0,$W72,IF(AND($S72&lt;&gt;"",EDATE($D72,Milestones!$AA$149)&gt;=$S72),$V72,IF(AND($R72&lt;&gt;"",EDATE($D72,Milestones!$AA$149)&gt;=$R72),$U72,$T72)))=Milestones!$AB$149),TEXT(EDATE($D72,Milestones!$AA$149),"dd/mm/yy")&amp;" "&amp;Milestones!$AB$149&amp;" "&amp;Milestones!$AC$149&amp;";  ","")&amp;IF(AND(EDATE($D72,Milestones!$AA$150)&lt;=AsOfDate,IF($Q72=0,$W72,IF(AND($S72&lt;&gt;"",EDATE($D72,Milestones!$AA$150)&gt;=$S72),$V72,IF(AND($R72&lt;&gt;"",EDATE($D72,Milestones!$AA$150)&gt;=$R72),$U72,$T72)))=Milestones!$AB$150),TEXT(EDATE($D72,Milestones!$AA$150),"dd/mm/yy")&amp;" "&amp;Milestones!$AB$150&amp;" "&amp;Milestones!$AC$150&amp;";  ","")&amp;IF(AND(EDATE($D72,Milestones!$AA$151)&lt;=AsOfDate,IF($Q72=0,$W72,IF(AND($S72&lt;&gt;"",EDATE($D72,Milestones!$AA$151)&gt;=$S72),$V72,IF(AND($R72&lt;&gt;"",EDATE($D72,Milestones!$AA$151)&gt;=$R72),$U72,$T72)))=Milestones!$AB$151),TEXT(EDATE($D72,Milestones!$AA$151),"dd/mm/yy")&amp;" "&amp;Milestones!$AB$151&amp;" "&amp;Milestones!$AC$151&amp;";  ","")&amp;IF(AND(EDATE($D72,Milestones!$AA$152)&lt;=AsOfDate,IF($Q72=0,$W72,IF(AND($S72&lt;&gt;"",EDATE($D72,Milestones!$AA$152)&gt;=$S72),$V72,IF(AND($R72&lt;&gt;"",EDATE($D72,Milestones!$AA$152)&gt;=$R72),$U72,$T72)))=Milestones!$AB$152),TEXT(EDATE($D72,Milestones!$AA$152),"dd/mm/yy")&amp;" "&amp;Milestones!$AB$152&amp;" "&amp;Milestones!$AC$152&amp;";  ","")&amp;IF(AND(EDATE($D72,Milestones!$AA$153)&lt;=AsOfDate,IF($Q72=0,$W72,IF(AND($S72&lt;&gt;"",EDATE($D72,Milestones!$AA$153)&gt;=$S72),$V72,IF(AND($R72&lt;&gt;"",EDATE($D72,Milestones!$AA$153)&gt;=$R72),$U72,$T72)))=Milestones!$AB$153),TEXT(EDATE($D72,Milestones!$AA$153),"dd/mm/yy")&amp;" "&amp;Milestones!$AB$153&amp;" "&amp;Milestones!$AC$153&amp;";  ","")&amp;IF(AND(EDATE($D72,Milestones!$AA$154)&lt;=AsOfDate,IF($Q72=0,$W72,IF(AND($S72&lt;&gt;"",EDATE($D72,Milestones!$AA$154)&gt;=$S72),$V72,IF(AND($R72&lt;&gt;"",EDATE($D72,Milestones!$AA$154)&gt;=$R72),$U72,$T72)))=Milestones!$AB$154),TEXT(EDATE($D72,Milestones!$AA$154),"dd/mm/yy")&amp;" "&amp;Milestones!$AB$154&amp;" "&amp;Milestones!$AC$154&amp;";  ","")&amp;IF(AND(EDATE($D72,Milestones!$AA$155)&lt;=AsOfDate,IF($Q72=0,$W72,IF(AND($S72&lt;&gt;"",EDATE($D72,Milestones!$AA$155)&gt;=$S72),$V72,IF(AND($R72&lt;&gt;"",EDATE($D72,Milestones!$AA$155)&gt;=$R72),$U72,$T72)))=Milestones!$AB$155),TEXT(EDATE($D72,Milestones!$AA$155),"dd/mm/yy")&amp;" "&amp;Milestones!$AB$155&amp;" "&amp;Milestones!$AC$155&amp;";  ","")&amp;IF(AND(EDATE($D72,Milestones!$AA$156)&lt;=AsOfDate,IF($Q72=0,$W72,IF(AND($S72&lt;&gt;"",EDATE($D72,Milestones!$AA$156)&gt;=$S72),$V72,IF(AND($R72&lt;&gt;"",EDATE($D72,Milestones!$AA$156)&gt;=$R72),$U72,$T72)))=Milestones!$AB$156),TEXT(EDATE($D72,Milestones!$AA$156),"dd/mm/yy")&amp;" "&amp;Milestones!$AB$156&amp;" "&amp;Milestones!$AC$156&amp;";  ","")&amp;IF(AND(EDATE($D72,Milestones!$AA$157)&lt;=AsOfDate,IF($Q72=0,$W72,IF(AND($S72&lt;&gt;"",EDATE($D72,Milestones!$AA$157)&gt;=$S72),$V72,IF(AND($R72&lt;&gt;"",EDATE($D72,Milestones!$AA$157)&gt;=$R72),$U72,$T72)))=Milestones!$AB$157),TEXT(EDATE($D72,Milestones!$AA$157),"dd/mm/yy")&amp;" "&amp;Milestones!$AB$157&amp;" "&amp;Milestones!$AC$157&amp;";  ","")&amp;IF(AND(EDATE($D72,Milestones!$AA$158)&lt;=AsOfDate,IF($Q72=0,$W72,IF(AND($S72&lt;&gt;"",EDATE($D72,Milestones!$AA$158)&gt;=$S72),$V72,IF(AND($R72&lt;&gt;"",EDATE($D72,Milestones!$AA$158)&gt;=$R72),$U72,$T72)))=Milestones!$AB$158),TEXT(EDATE($D72,Milestones!$AA$158),"dd/mm/yy")&amp;" "&amp;Milestones!$AB$158&amp;" "&amp;Milestones!$AC$158&amp;";  ","")&amp;IF(AND(EDATE($D72,Milestones!$AA$159)&lt;=AsOfDate,IF($Q72=0,$W72,IF(AND($S72&lt;&gt;"",EDATE($D72,Milestones!$AA$159)&gt;=$S72),$V72,IF(AND($R72&lt;&gt;"",EDATE($D72,Milestones!$AA$159)&gt;=$R72),$U72,$T72)))=Milestones!$AB$159),TEXT(EDATE($D72,Milestones!$AA$159),"dd/mm/yy")&amp;" "&amp;Milestones!$AB$159&amp;" "&amp;Milestones!$AC$159&amp;";  ",""))</f>
        <v/>
      </c>
      <c r="O72" s="0" t="str">
        <f aca="false">IF(OR($A72="",$D72=""),"",IF(AND(EDATE($D72,Milestones!$AA$160)&lt;=AsOfDate,IF($Q72=0,$W72,IF(AND($S72&lt;&gt;"",EDATE($D72,Milestones!$AA$160)&gt;=$S72),$V72,IF(AND($R72&lt;&gt;"",EDATE($D72,Milestones!$AA$160)&gt;=$R72),$U72,$T72)))=Milestones!$AB$160),TEXT(EDATE($D72,Milestones!$AA$160),"dd/mm/yy")&amp;" "&amp;Milestones!$AB$160&amp;" "&amp;Milestones!$AC$160&amp;";  ","")&amp;IF(AND(EDATE($D72,Milestones!$AA$161)&lt;=AsOfDate,IF($Q72=0,$W72,IF(AND($S72&lt;&gt;"",EDATE($D72,Milestones!$AA$161)&gt;=$S72),$V72,IF(AND($R72&lt;&gt;"",EDATE($D72,Milestones!$AA$161)&gt;=$R72),$U72,$T72)))=Milestones!$AB$161),TEXT(EDATE($D72,Milestones!$AA$161),"dd/mm/yy")&amp;" "&amp;Milestones!$AB$161&amp;" "&amp;Milestones!$AC$161&amp;";  ","")&amp;IF(AND(EDATE($D72,Milestones!$AA$162)&lt;=AsOfDate,IF($Q72=0,$W72,IF(AND($S72&lt;&gt;"",EDATE($D72,Milestones!$AA$162)&gt;=$S72),$V72,IF(AND($R72&lt;&gt;"",EDATE($D72,Milestones!$AA$162)&gt;=$R72),$U72,$T72)))=Milestones!$AB$162),TEXT(EDATE($D72,Milestones!$AA$162),"dd/mm/yy")&amp;" "&amp;Milestones!$AB$162&amp;" "&amp;Milestones!$AC$162&amp;";  ","")&amp;IF(AND(EDATE($D72,Milestones!$AA$163)&lt;=AsOfDate,IF($Q72=0,$W72,IF(AND($S72&lt;&gt;"",EDATE($D72,Milestones!$AA$163)&gt;=$S72),$V72,IF(AND($R72&lt;&gt;"",EDATE($D72,Milestones!$AA$163)&gt;=$R72),$U72,$T72)))=Milestones!$AB$163),TEXT(EDATE($D72,Milestones!$AA$163),"dd/mm/yy")&amp;" "&amp;Milestones!$AB$163&amp;" "&amp;Milestones!$AC$163&amp;";  ","")&amp;IF(AND(EDATE($D72,Milestones!$AA$164)&lt;=AsOfDate,IF($Q72=0,$W72,IF(AND($S72&lt;&gt;"",EDATE($D72,Milestones!$AA$164)&gt;=$S72),$V72,IF(AND($R72&lt;&gt;"",EDATE($D72,Milestones!$AA$164)&gt;=$R72),$U72,$T72)))=Milestones!$AB$164),TEXT(EDATE($D72,Milestones!$AA$164),"dd/mm/yy")&amp;" "&amp;Milestones!$AB$164&amp;" "&amp;Milestones!$AC$164&amp;";  ","")&amp;IF(AND(EDATE($D72,Milestones!$AA$165)&lt;=AsOfDate,IF($Q72=0,$W72,IF(AND($S72&lt;&gt;"",EDATE($D72,Milestones!$AA$165)&gt;=$S72),$V72,IF(AND($R72&lt;&gt;"",EDATE($D72,Milestones!$AA$165)&gt;=$R72),$U72,$T72)))=Milestones!$AB$165),TEXT(EDATE($D72,Milestones!$AA$165),"dd/mm/yy")&amp;" "&amp;Milestones!$AB$165&amp;" "&amp;Milestones!$AC$165&amp;";  ","")&amp;IF(AND(EDATE($D72,Milestones!$AA$166)&lt;=AsOfDate,IF($Q72=0,$W72,IF(AND($S72&lt;&gt;"",EDATE($D72,Milestones!$AA$166)&gt;=$S72),$V72,IF(AND($R72&lt;&gt;"",EDATE($D72,Milestones!$AA$166)&gt;=$R72),$U72,$T72)))=Milestones!$AB$166),TEXT(EDATE($D72,Milestones!$AA$166),"dd/mm/yy")&amp;" "&amp;Milestones!$AB$166&amp;" "&amp;Milestones!$AC$166&amp;";  ","")&amp;IF(AND(EDATE($D72,Milestones!$AA$167)&lt;=AsOfDate,IF($Q72=0,$W72,IF(AND($S72&lt;&gt;"",EDATE($D72,Milestones!$AA$167)&gt;=$S72),$V72,IF(AND($R72&lt;&gt;"",EDATE($D72,Milestones!$AA$167)&gt;=$R72),$U72,$T72)))=Milestones!$AB$167),TEXT(EDATE($D72,Milestones!$AA$167),"dd/mm/yy")&amp;" "&amp;Milestones!$AB$167&amp;" "&amp;Milestones!$AC$167&amp;";  ","")&amp;IF(AND(EDATE($D72,Milestones!$AA$168)&lt;=AsOfDate,IF($Q72=0,$W72,IF(AND($S72&lt;&gt;"",EDATE($D72,Milestones!$AA$168)&gt;=$S72),$V72,IF(AND($R72&lt;&gt;"",EDATE($D72,Milestones!$AA$168)&gt;=$R72),$U72,$T72)))=Milestones!$AB$168),TEXT(EDATE($D72,Milestones!$AA$168),"dd/mm/yy")&amp;" "&amp;Milestones!$AB$168&amp;" "&amp;Milestones!$AC$168&amp;";  ","")&amp;IF(AND(EDATE($D72,Milestones!$AA$169)&lt;=AsOfDate,IF($Q72=0,$W72,IF(AND($S72&lt;&gt;"",EDATE($D72,Milestones!$AA$169)&gt;=$S72),$V72,IF(AND($R72&lt;&gt;"",EDATE($D72,Milestones!$AA$169)&gt;=$R72),$U72,$T72)))=Milestones!$AB$169),TEXT(EDATE($D72,Milestones!$AA$169),"dd/mm/yy")&amp;" "&amp;Milestones!$AB$169&amp;" "&amp;Milestones!$AC$169&amp;";  ","")&amp;IF(AND(EDATE($D72,Milestones!$AA$170)&lt;=AsOfDate,IF($Q72=0,$W72,IF(AND($S72&lt;&gt;"",EDATE($D72,Milestones!$AA$170)&gt;=$S72),$V72,IF(AND($R72&lt;&gt;"",EDATE($D72,Milestones!$AA$170)&gt;=$R72),$U72,$T72)))=Milestones!$AB$170),TEXT(EDATE($D72,Milestones!$AA$170),"dd/mm/yy")&amp;" "&amp;Milestones!$AB$170&amp;" "&amp;Milestones!$AC$170&amp;";  ","")&amp;IF(AND(EDATE($D72,Milestones!$AA$171)&lt;=AsOfDate,IF($Q72=0,$W72,IF(AND($S72&lt;&gt;"",EDATE($D72,Milestones!$AA$171)&gt;=$S72),$V72,IF(AND($R72&lt;&gt;"",EDATE($D72,Milestones!$AA$171)&gt;=$R72),$U72,$T72)))=Milestones!$AB$171),TEXT(EDATE($D72,Milestones!$AA$171),"dd/mm/yy")&amp;" "&amp;Milestones!$AB$171&amp;" "&amp;Milestones!$AC$171&amp;";  ","")&amp;IF(AND(EDATE($D72,Milestones!$AA$172)&lt;=AsOfDate,IF($Q72=0,$W72,IF(AND($S72&lt;&gt;"",EDATE($D72,Milestones!$AA$172)&gt;=$S72),$V72,IF(AND($R72&lt;&gt;"",EDATE($D72,Milestones!$AA$172)&gt;=$R72),$U72,$T72)))=Milestones!$AB$172),TEXT(EDATE($D72,Milestones!$AA$172),"dd/mm/yy")&amp;" "&amp;Milestones!$AB$172&amp;" "&amp;Milestones!$AC$172&amp;";  ","")&amp;IF(AND(EDATE($D72,Milestones!$AA$173)&lt;=AsOfDate,IF($Q72=0,$W72,IF(AND($S72&lt;&gt;"",EDATE($D72,Milestones!$AA$173)&gt;=$S72),$V72,IF(AND($R72&lt;&gt;"",EDATE($D72,Milestones!$AA$173)&gt;=$R72),$U72,$T72)))=Milestones!$AB$173),TEXT(EDATE($D72,Milestones!$AA$173),"dd/mm/yy")&amp;" "&amp;Milestones!$AB$173&amp;" "&amp;Milestones!$AC$173&amp;";  ","")&amp;IF(AND(EDATE($D72,Milestones!$AA$174)&lt;=AsOfDate,IF($Q72=0,$W72,IF(AND($S72&lt;&gt;"",EDATE($D72,Milestones!$AA$174)&gt;=$S72),$V72,IF(AND($R72&lt;&gt;"",EDATE($D72,Milestones!$AA$174)&gt;=$R72),$U72,$T72)))=Milestones!$AB$174),TEXT(EDATE($D72,Milestones!$AA$174),"dd/mm/yy")&amp;" "&amp;Milestones!$AB$174&amp;" "&amp;Milestones!$AC$174&amp;";  ","")&amp;IF(AND(EDATE($D72,Milestones!$AA$175)&lt;=AsOfDate,IF($Q72=0,$W72,IF(AND($S72&lt;&gt;"",EDATE($D72,Milestones!$AA$175)&gt;=$S72),$V72,IF(AND($R72&lt;&gt;"",EDATE($D72,Milestones!$AA$175)&gt;=$R72),$U72,$T72)))=Milestones!$AB$175),TEXT(EDATE($D72,Milestones!$AA$175),"dd/mm/yy")&amp;" "&amp;Milestones!$AB$175&amp;" "&amp;Milestones!$AC$175&amp;";  ","")&amp;IF(AND(EDATE($D72,Milestones!$AA$176)&lt;=AsOfDate,IF($Q72=0,$W72,IF(AND($S72&lt;&gt;"",EDATE($D72,Milestones!$AA$176)&gt;=$S72),$V72,IF(AND($R72&lt;&gt;"",EDATE($D72,Milestones!$AA$176)&gt;=$R72),$U72,$T72)))=Milestones!$AB$176),TEXT(EDATE($D72,Milestones!$AA$176),"dd/mm/yy")&amp;" "&amp;Milestones!$AB$176&amp;" "&amp;Milestones!$AC$176&amp;";  ","")&amp;IF(AND(EDATE($D72,Milestones!$AA$177)&lt;=AsOfDate,IF($Q72=0,$W72,IF(AND($S72&lt;&gt;"",EDATE($D72,Milestones!$AA$177)&gt;=$S72),$V72,IF(AND($R72&lt;&gt;"",EDATE($D72,Milestones!$AA$177)&gt;=$R72),$U72,$T72)))=Milestones!$AB$177),TEXT(EDATE($D72,Milestones!$AA$177),"dd/mm/yy")&amp;" "&amp;Milestones!$AB$177&amp;" "&amp;Milestones!$AC$177&amp;";  ","")&amp;IF(AND(EDATE($D72,Milestones!$AA$178)&lt;=AsOfDate,IF($Q72=0,$W72,IF(AND($S72&lt;&gt;"",EDATE($D72,Milestones!$AA$178)&gt;=$S72),$V72,IF(AND($R72&lt;&gt;"",EDATE($D72,Milestones!$AA$178)&gt;=$R72),$U72,$T72)))=Milestones!$AB$178),TEXT(EDATE($D72,Milestones!$AA$178),"dd/mm/yy")&amp;" "&amp;Milestones!$AB$178&amp;" "&amp;Milestones!$AC$178&amp;";  ","")&amp;IF(AND(EDATE($D72,Milestones!$AA$179)&lt;=AsOfDate,IF($Q72=0,$W72,IF(AND($S72&lt;&gt;"",EDATE($D72,Milestones!$AA$179)&gt;=$S72),$V72,IF(AND($R72&lt;&gt;"",EDATE($D72,Milestones!$AA$179)&gt;=$R72),$U72,$T72)))=Milestones!$AB$179),TEXT(EDATE($D72,Milestones!$AA$179),"dd/mm/yy")&amp;" "&amp;Milestones!$AB$179&amp;" "&amp;Milestones!$AC$179&amp;";  ",""))</f>
        <v/>
      </c>
      <c r="P72" s="0" t="str">
        <f aca="false">IF(OR($A72="",$D72=""),"",IF(AND(EDATE($D72,Milestones!$AA$180)&lt;=AsOfDate,IF($Q72=0,$W72,IF(AND($S72&lt;&gt;"",EDATE($D72,Milestones!$AA$180)&gt;=$S72),$V72,IF(AND($R72&lt;&gt;"",EDATE($D72,Milestones!$AA$180)&gt;=$R72),$U72,$T72)))=Milestones!$AB$180),TEXT(EDATE($D72,Milestones!$AA$180),"dd/mm/yy")&amp;" "&amp;Milestones!$AB$180&amp;" "&amp;Milestones!$AC$180&amp;";  ","")&amp;IF(AND(EDATE($D72,Milestones!$AA$181)&lt;=AsOfDate,IF($Q72=0,$W72,IF(AND($S72&lt;&gt;"",EDATE($D72,Milestones!$AA$181)&gt;=$S72),$V72,IF(AND($R72&lt;&gt;"",EDATE($D72,Milestones!$AA$181)&gt;=$R72),$U72,$T72)))=Milestones!$AB$181),TEXT(EDATE($D72,Milestones!$AA$181),"dd/mm/yy")&amp;" "&amp;Milestones!$AB$181&amp;" "&amp;Milestones!$AC$181&amp;";  ","")&amp;IF(AND(EDATE($D72,Milestones!$AA$182)&lt;=AsOfDate,IF($Q72=0,$W72,IF(AND($S72&lt;&gt;"",EDATE($D72,Milestones!$AA$182)&gt;=$S72),$V72,IF(AND($R72&lt;&gt;"",EDATE($D72,Milestones!$AA$182)&gt;=$R72),$U72,$T72)))=Milestones!$AB$182),TEXT(EDATE($D72,Milestones!$AA$182),"dd/mm/yy")&amp;" "&amp;Milestones!$AB$182&amp;" "&amp;Milestones!$AC$182&amp;";  ","")&amp;IF(AND(EDATE($D72,Milestones!$AA$183)&lt;=AsOfDate,IF($Q72=0,$W72,IF(AND($S72&lt;&gt;"",EDATE($D72,Milestones!$AA$183)&gt;=$S72),$V72,IF(AND($R72&lt;&gt;"",EDATE($D72,Milestones!$AA$183)&gt;=$R72),$U72,$T72)))=Milestones!$AB$183),TEXT(EDATE($D72,Milestones!$AA$183),"dd/mm/yy")&amp;" "&amp;Milestones!$AB$183&amp;" "&amp;Milestones!$AC$183&amp;";  ","")&amp;IF(AND(EDATE($D72,Milestones!$AA$184)&lt;=AsOfDate,IF($Q72=0,$W72,IF(AND($S72&lt;&gt;"",EDATE($D72,Milestones!$AA$184)&gt;=$S72),$V72,IF(AND($R72&lt;&gt;"",EDATE($D72,Milestones!$AA$184)&gt;=$R72),$U72,$T72)))=Milestones!$AB$184),TEXT(EDATE($D72,Milestones!$AA$184),"dd/mm/yy")&amp;" "&amp;Milestones!$AB$184&amp;" "&amp;Milestones!$AC$184&amp;";  ","")&amp;IF(AND(EDATE($D72,Milestones!$AA$185)&lt;=AsOfDate,IF($Q72=0,$W72,IF(AND($S72&lt;&gt;"",EDATE($D72,Milestones!$AA$185)&gt;=$S72),$V72,IF(AND($R72&lt;&gt;"",EDATE($D72,Milestones!$AA$185)&gt;=$R72),$U72,$T72)))=Milestones!$AB$185),TEXT(EDATE($D72,Milestones!$AA$185),"dd/mm/yy")&amp;" "&amp;Milestones!$AB$185&amp;" "&amp;Milestones!$AC$185&amp;";  ","")&amp;IF(AND(EDATE($D72,Milestones!$AA$186)&lt;=AsOfDate,IF($Q72=0,$W72,IF(AND($S72&lt;&gt;"",EDATE($D72,Milestones!$AA$186)&gt;=$S72),$V72,IF(AND($R72&lt;&gt;"",EDATE($D72,Milestones!$AA$186)&gt;=$R72),$U72,$T72)))=Milestones!$AB$186),TEXT(EDATE($D72,Milestones!$AA$186),"dd/mm/yy")&amp;" "&amp;Milestones!$AB$186&amp;" "&amp;Milestones!$AC$186&amp;";  ","")&amp;IF(AND(EDATE($D72,Milestones!$AA$187)&lt;=AsOfDate,IF($Q72=0,$W72,IF(AND($S72&lt;&gt;"",EDATE($D72,Milestones!$AA$187)&gt;=$S72),$V72,IF(AND($R72&lt;&gt;"",EDATE($D72,Milestones!$AA$187)&gt;=$R72),$U72,$T72)))=Milestones!$AB$187),TEXT(EDATE($D72,Milestones!$AA$187),"dd/mm/yy")&amp;" "&amp;Milestones!$AB$187&amp;" "&amp;Milestones!$AC$187&amp;";  ","")&amp;IF(AND(EDATE($D72,Milestones!$AA$188)&lt;=AsOfDate,IF($Q72=0,$W72,IF(AND($S72&lt;&gt;"",EDATE($D72,Milestones!$AA$188)&gt;=$S72),$V72,IF(AND($R72&lt;&gt;"",EDATE($D72,Milestones!$AA$188)&gt;=$R72),$U72,$T72)))=Milestones!$AB$188),TEXT(EDATE($D72,Milestones!$AA$188),"dd/mm/yy")&amp;" "&amp;Milestones!$AB$188&amp;" "&amp;Milestones!$AC$188&amp;";  ","")&amp;IF(AND(EDATE($D72,Milestones!$AA$189)&lt;=AsOfDate,IF($Q72=0,$W72,IF(AND($S72&lt;&gt;"",EDATE($D72,Milestones!$AA$189)&gt;=$S72),$V72,IF(AND($R72&lt;&gt;"",EDATE($D72,Milestones!$AA$189)&gt;=$R72),$U72,$T72)))=Milestones!$AB$189),TEXT(EDATE($D72,Milestones!$AA$189),"dd/mm/yy")&amp;" "&amp;Milestones!$AB$189&amp;" "&amp;Milestones!$AC$189&amp;";  ","")&amp;IF(AND(EDATE($D72,Milestones!$AA$190)&lt;=AsOfDate,IF($Q72=0,$W72,IF(AND($S72&lt;&gt;"",EDATE($D72,Milestones!$AA$190)&gt;=$S72),$V72,IF(AND($R72&lt;&gt;"",EDATE($D72,Milestones!$AA$190)&gt;=$R72),$U72,$T72)))=Milestones!$AB$190),TEXT(EDATE($D72,Milestones!$AA$190),"dd/mm/yy")&amp;" "&amp;Milestones!$AB$190&amp;" "&amp;Milestones!$AC$190&amp;";  ","")&amp;IF(AND(EDATE($D72,Milestones!$AA$191)&lt;=AsOfDate,IF($Q72=0,$W72,IF(AND($S72&lt;&gt;"",EDATE($D72,Milestones!$AA$191)&gt;=$S72),$V72,IF(AND($R72&lt;&gt;"",EDATE($D72,Milestones!$AA$191)&gt;=$R72),$U72,$T72)))=Milestones!$AB$191),TEXT(EDATE($D72,Milestones!$AA$191),"dd/mm/yy")&amp;" "&amp;Milestones!$AB$191&amp;" "&amp;Milestones!$AC$191&amp;";  ","")&amp;IF(AND(EDATE($D72,Milestones!$AA$192)&lt;=AsOfDate,IF($Q72=0,$W72,IF(AND($S72&lt;&gt;"",EDATE($D72,Milestones!$AA$192)&gt;=$S72),$V72,IF(AND($R72&lt;&gt;"",EDATE($D72,Milestones!$AA$192)&gt;=$R72),$U72,$T72)))=Milestones!$AB$192),TEXT(EDATE($D72,Milestones!$AA$192),"dd/mm/yy")&amp;" "&amp;Milestones!$AB$192&amp;" "&amp;Milestones!$AC$192&amp;";  ","")&amp;IF(AND(EDATE($D72,Milestones!$AA$193)&lt;=AsOfDate,IF($Q72=0,$W72,IF(AND($S72&lt;&gt;"",EDATE($D72,Milestones!$AA$193)&gt;=$S72),$V72,IF(AND($R72&lt;&gt;"",EDATE($D72,Milestones!$AA$193)&gt;=$R72),$U72,$T72)))=Milestones!$AB$193),TEXT(EDATE($D72,Milestones!$AA$193),"dd/mm/yy")&amp;" "&amp;Milestones!$AB$193&amp;" "&amp;Milestones!$AC$193&amp;";  ","")&amp;IF(AND(EDATE($D72,Milestones!$AA$194)&lt;=AsOfDate,IF($Q72=0,$W72,IF(AND($S72&lt;&gt;"",EDATE($D72,Milestones!$AA$194)&gt;=$S72),$V72,IF(AND($R72&lt;&gt;"",EDATE($D72,Milestones!$AA$194)&gt;=$R72),$U72,$T72)))=Milestones!$AB$194),TEXT(EDATE($D72,Milestones!$AA$194),"dd/mm/yy")&amp;" "&amp;Milestones!$AB$194&amp;" "&amp;Milestones!$AC$194&amp;";  ","")&amp;IF(AND(EDATE($D72,Milestones!$AA$195)&lt;=AsOfDate,IF($Q72=0,$W72,IF(AND($S72&lt;&gt;"",EDATE($D72,Milestones!$AA$195)&gt;=$S72),$V72,IF(AND($R72&lt;&gt;"",EDATE($D72,Milestones!$AA$195)&gt;=$R72),$U72,$T72)))=Milestones!$AB$195),TEXT(EDATE($D72,Milestones!$AA$195),"dd/mm/yy")&amp;" "&amp;Milestones!$AB$195&amp;" "&amp;Milestones!$AC$195&amp;";  ","")&amp;IF(AND(EDATE($D72,Milestones!$AA$196)&lt;=AsOfDate,IF($Q72=0,$W72,IF(AND($S72&lt;&gt;"",EDATE($D72,Milestones!$AA$196)&gt;=$S72),$V72,IF(AND($R72&lt;&gt;"",EDATE($D72,Milestones!$AA$196)&gt;=$R72),$U72,$T72)))=Milestones!$AB$196),TEXT(EDATE($D72,Milestones!$AA$196),"dd/mm/yy")&amp;" "&amp;Milestones!$AB$196&amp;" "&amp;Milestones!$AC$196&amp;";  ","")&amp;IF(AND(EDATE($D72,Milestones!$AA$197)&lt;=AsOfDate,IF($Q72=0,$W72,IF(AND($S72&lt;&gt;"",EDATE($D72,Milestones!$AA$197)&gt;=$S72),$V72,IF(AND($R72&lt;&gt;"",EDATE($D72,Milestones!$AA$197)&gt;=$R72),$U72,$T72)))=Milestones!$AB$197),TEXT(EDATE($D72,Milestones!$AA$197),"dd/mm/yy")&amp;" "&amp;Milestones!$AB$197&amp;" "&amp;Milestones!$AC$197&amp;";  ","")&amp;IF(AND(EDATE($D72,Milestones!$AA$198)&lt;=AsOfDate,IF($Q72=0,$W72,IF(AND($S72&lt;&gt;"",EDATE($D72,Milestones!$AA$198)&gt;=$S72),$V72,IF(AND($R72&lt;&gt;"",EDATE($D72,Milestones!$AA$198)&gt;=$R72),$U72,$T72)))=Milestones!$AB$198),TEXT(EDATE($D72,Milestones!$AA$198),"dd/mm/yy")&amp;" "&amp;Milestones!$AB$198&amp;" "&amp;Milestones!$AC$198&amp;";  ","")&amp;IF(AND(EDATE($D72,Milestones!$AA$199)&lt;=AsOfDate,IF($Q72=0,$W72,IF(AND($S72&lt;&gt;"",EDATE($D72,Milestones!$AA$199)&gt;=$S72),$V72,IF(AND($R72&lt;&gt;"",EDATE($D72,Milestones!$AA$199)&gt;=$R72),$U72,$T72)))=Milestones!$AB$199),TEXT(EDATE($D72,Milestones!$AA$199),"dd/mm/yy")&amp;" "&amp;Milestones!$AB$199&amp;" "&amp;Milestones!$AC$199&amp;";  ",""))</f>
        <v/>
      </c>
      <c r="Q72" s="0" t="str">
        <f aca="false">IF(Staff!$A72="","",Staff!$AG72)</f>
        <v/>
      </c>
      <c r="R72" s="0" t="str">
        <f aca="false">IF(Staff!$A72="","",Staff!$AI72)</f>
        <v/>
      </c>
      <c r="S72" s="0" t="str">
        <f aca="false">IF(Staff!$A72="","",Staff!$AJ72)</f>
        <v/>
      </c>
      <c r="T72" s="0" t="str">
        <f aca="false">IF(Staff!$A72="","",Staff!$AN72)</f>
        <v/>
      </c>
      <c r="U72" s="0" t="str">
        <f aca="false">IF(Staff!$A72="","",Staff!$AO72)</f>
        <v/>
      </c>
      <c r="V72" s="0" t="str">
        <f aca="false">IF(Staff!$A72="","",Staff!$AP72)</f>
        <v/>
      </c>
      <c r="W72" s="0" t="str">
        <f aca="false">IF(Staff!$A72="","",Staff!$AQ72)</f>
        <v/>
      </c>
    </row>
    <row r="73" customFormat="false" ht="15" hidden="false" customHeight="false" outlineLevel="0" collapsed="false">
      <c r="A73" s="13" t="str">
        <f aca="false">IF(Staff!$A73="","",Staff!$A73)</f>
        <v/>
      </c>
      <c r="B73" s="13" t="str">
        <f aca="false">IF(Staff!$A73="","",Staff!$B73)</f>
        <v/>
      </c>
      <c r="C73" s="13" t="str">
        <f aca="false">IF(Staff!$A73="","",Staff!$C73)</f>
        <v/>
      </c>
      <c r="D73" s="11" t="str">
        <f aca="false">IF(Staff!$A73="","",Staff!$AF73)</f>
        <v/>
      </c>
      <c r="E73" s="13" t="str">
        <f aca="false">IF(Staff!$A73="","",Staff!$O73)</f>
        <v/>
      </c>
      <c r="F73" s="13" t="str">
        <f aca="false">IF(E73="","",E73*HoursPerDay)</f>
        <v/>
      </c>
      <c r="G73" s="26" t="str">
        <f aca="false">IF($A73="","",H73&amp;I73&amp;J73&amp;K73&amp;L73&amp;M73&amp;N73&amp;O73&amp;P73)</f>
        <v/>
      </c>
      <c r="H73" s="0" t="str">
        <f aca="false">IF(OR($A73="",$D73=""),"",IF(AND(EDATE($D73,Milestones!$AA$20)&lt;=AsOfDate,IF($Q73=0,$W73,IF(AND($S73&lt;&gt;"",EDATE($D73,Milestones!$AA$20)&gt;=$S73),$V73,IF(AND($R73&lt;&gt;"",EDATE($D73,Milestones!$AA$20)&gt;=$R73),$U73,$T73)))=Milestones!$AB$20),TEXT(EDATE($D73,Milestones!$AA$20),"dd/mm/yy")&amp;" "&amp;Milestones!$AB$20&amp;" "&amp;Milestones!$AC$20&amp;";  ","")&amp;IF(AND(EDATE($D73,Milestones!$AA$21)&lt;=AsOfDate,IF($Q73=0,$W73,IF(AND($S73&lt;&gt;"",EDATE($D73,Milestones!$AA$21)&gt;=$S73),$V73,IF(AND($R73&lt;&gt;"",EDATE($D73,Milestones!$AA$21)&gt;=$R73),$U73,$T73)))=Milestones!$AB$21),TEXT(EDATE($D73,Milestones!$AA$21),"dd/mm/yy")&amp;" "&amp;Milestones!$AB$21&amp;" "&amp;Milestones!$AC$21&amp;";  ","")&amp;IF(AND(EDATE($D73,Milestones!$AA$22)&lt;=AsOfDate,IF($Q73=0,$W73,IF(AND($S73&lt;&gt;"",EDATE($D73,Milestones!$AA$22)&gt;=$S73),$V73,IF(AND($R73&lt;&gt;"",EDATE($D73,Milestones!$AA$22)&gt;=$R73),$U73,$T73)))=Milestones!$AB$22),TEXT(EDATE($D73,Milestones!$AA$22),"dd/mm/yy")&amp;" "&amp;Milestones!$AB$22&amp;" "&amp;Milestones!$AC$22&amp;";  ","")&amp;IF(AND(EDATE($D73,Milestones!$AA$23)&lt;=AsOfDate,IF($Q73=0,$W73,IF(AND($S73&lt;&gt;"",EDATE($D73,Milestones!$AA$23)&gt;=$S73),$V73,IF(AND($R73&lt;&gt;"",EDATE($D73,Milestones!$AA$23)&gt;=$R73),$U73,$T73)))=Milestones!$AB$23),TEXT(EDATE($D73,Milestones!$AA$23),"dd/mm/yy")&amp;" "&amp;Milestones!$AB$23&amp;" "&amp;Milestones!$AC$23&amp;";  ","")&amp;IF(AND(EDATE($D73,Milestones!$AA$24)&lt;=AsOfDate,IF($Q73=0,$W73,IF(AND($S73&lt;&gt;"",EDATE($D73,Milestones!$AA$24)&gt;=$S73),$V73,IF(AND($R73&lt;&gt;"",EDATE($D73,Milestones!$AA$24)&gt;=$R73),$U73,$T73)))=Milestones!$AB$24),TEXT(EDATE($D73,Milestones!$AA$24),"dd/mm/yy")&amp;" "&amp;Milestones!$AB$24&amp;" "&amp;Milestones!$AC$24&amp;";  ","")&amp;IF(AND(EDATE($D73,Milestones!$AA$25)&lt;=AsOfDate,IF($Q73=0,$W73,IF(AND($S73&lt;&gt;"",EDATE($D73,Milestones!$AA$25)&gt;=$S73),$V73,IF(AND($R73&lt;&gt;"",EDATE($D73,Milestones!$AA$25)&gt;=$R73),$U73,$T73)))=Milestones!$AB$25),TEXT(EDATE($D73,Milestones!$AA$25),"dd/mm/yy")&amp;" "&amp;Milestones!$AB$25&amp;" "&amp;Milestones!$AC$25&amp;";  ","")&amp;IF(AND(EDATE($D73,Milestones!$AA$26)&lt;=AsOfDate,IF($Q73=0,$W73,IF(AND($S73&lt;&gt;"",EDATE($D73,Milestones!$AA$26)&gt;=$S73),$V73,IF(AND($R73&lt;&gt;"",EDATE($D73,Milestones!$AA$26)&gt;=$R73),$U73,$T73)))=Milestones!$AB$26),TEXT(EDATE($D73,Milestones!$AA$26),"dd/mm/yy")&amp;" "&amp;Milestones!$AB$26&amp;" "&amp;Milestones!$AC$26&amp;";  ","")&amp;IF(AND(EDATE($D73,Milestones!$AA$27)&lt;=AsOfDate,IF($Q73=0,$W73,IF(AND($S73&lt;&gt;"",EDATE($D73,Milestones!$AA$27)&gt;=$S73),$V73,IF(AND($R73&lt;&gt;"",EDATE($D73,Milestones!$AA$27)&gt;=$R73),$U73,$T73)))=Milestones!$AB$27),TEXT(EDATE($D73,Milestones!$AA$27),"dd/mm/yy")&amp;" "&amp;Milestones!$AB$27&amp;" "&amp;Milestones!$AC$27&amp;";  ","")&amp;IF(AND(EDATE($D73,Milestones!$AA$28)&lt;=AsOfDate,IF($Q73=0,$W73,IF(AND($S73&lt;&gt;"",EDATE($D73,Milestones!$AA$28)&gt;=$S73),$V73,IF(AND($R73&lt;&gt;"",EDATE($D73,Milestones!$AA$28)&gt;=$R73),$U73,$T73)))=Milestones!$AB$28),TEXT(EDATE($D73,Milestones!$AA$28),"dd/mm/yy")&amp;" "&amp;Milestones!$AB$28&amp;" "&amp;Milestones!$AC$28&amp;";  ","")&amp;IF(AND(EDATE($D73,Milestones!$AA$29)&lt;=AsOfDate,IF($Q73=0,$W73,IF(AND($S73&lt;&gt;"",EDATE($D73,Milestones!$AA$29)&gt;=$S73),$V73,IF(AND($R73&lt;&gt;"",EDATE($D73,Milestones!$AA$29)&gt;=$R73),$U73,$T73)))=Milestones!$AB$29),TEXT(EDATE($D73,Milestones!$AA$29),"dd/mm/yy")&amp;" "&amp;Milestones!$AB$29&amp;" "&amp;Milestones!$AC$29&amp;";  ","")&amp;IF(AND(EDATE($D73,Milestones!$AA$30)&lt;=AsOfDate,IF($Q73=0,$W73,IF(AND($S73&lt;&gt;"",EDATE($D73,Milestones!$AA$30)&gt;=$S73),$V73,IF(AND($R73&lt;&gt;"",EDATE($D73,Milestones!$AA$30)&gt;=$R73),$U73,$T73)))=Milestones!$AB$30),TEXT(EDATE($D73,Milestones!$AA$30),"dd/mm/yy")&amp;" "&amp;Milestones!$AB$30&amp;" "&amp;Milestones!$AC$30&amp;";  ","")&amp;IF(AND(EDATE($D73,Milestones!$AA$31)&lt;=AsOfDate,IF($Q73=0,$W73,IF(AND($S73&lt;&gt;"",EDATE($D73,Milestones!$AA$31)&gt;=$S73),$V73,IF(AND($R73&lt;&gt;"",EDATE($D73,Milestones!$AA$31)&gt;=$R73),$U73,$T73)))=Milestones!$AB$31),TEXT(EDATE($D73,Milestones!$AA$31),"dd/mm/yy")&amp;" "&amp;Milestones!$AB$31&amp;" "&amp;Milestones!$AC$31&amp;";  ","")&amp;IF(AND(EDATE($D73,Milestones!$AA$32)&lt;=AsOfDate,IF($Q73=0,$W73,IF(AND($S73&lt;&gt;"",EDATE($D73,Milestones!$AA$32)&gt;=$S73),$V73,IF(AND($R73&lt;&gt;"",EDATE($D73,Milestones!$AA$32)&gt;=$R73),$U73,$T73)))=Milestones!$AB$32),TEXT(EDATE($D73,Milestones!$AA$32),"dd/mm/yy")&amp;" "&amp;Milestones!$AB$32&amp;" "&amp;Milestones!$AC$32&amp;";  ","")&amp;IF(AND(EDATE($D73,Milestones!$AA$33)&lt;=AsOfDate,IF($Q73=0,$W73,IF(AND($S73&lt;&gt;"",EDATE($D73,Milestones!$AA$33)&gt;=$S73),$V73,IF(AND($R73&lt;&gt;"",EDATE($D73,Milestones!$AA$33)&gt;=$R73),$U73,$T73)))=Milestones!$AB$33),TEXT(EDATE($D73,Milestones!$AA$33),"dd/mm/yy")&amp;" "&amp;Milestones!$AB$33&amp;" "&amp;Milestones!$AC$33&amp;";  ","")&amp;IF(AND(EDATE($D73,Milestones!$AA$34)&lt;=AsOfDate,IF($Q73=0,$W73,IF(AND($S73&lt;&gt;"",EDATE($D73,Milestones!$AA$34)&gt;=$S73),$V73,IF(AND($R73&lt;&gt;"",EDATE($D73,Milestones!$AA$34)&gt;=$R73),$U73,$T73)))=Milestones!$AB$34),TEXT(EDATE($D73,Milestones!$AA$34),"dd/mm/yy")&amp;" "&amp;Milestones!$AB$34&amp;" "&amp;Milestones!$AC$34&amp;";  ","")&amp;IF(AND(EDATE($D73,Milestones!$AA$35)&lt;=AsOfDate,IF($Q73=0,$W73,IF(AND($S73&lt;&gt;"",EDATE($D73,Milestones!$AA$35)&gt;=$S73),$V73,IF(AND($R73&lt;&gt;"",EDATE($D73,Milestones!$AA$35)&gt;=$R73),$U73,$T73)))=Milestones!$AB$35),TEXT(EDATE($D73,Milestones!$AA$35),"dd/mm/yy")&amp;" "&amp;Milestones!$AB$35&amp;" "&amp;Milestones!$AC$35&amp;";  ","")&amp;IF(AND(EDATE($D73,Milestones!$AA$36)&lt;=AsOfDate,IF($Q73=0,$W73,IF(AND($S73&lt;&gt;"",EDATE($D73,Milestones!$AA$36)&gt;=$S73),$V73,IF(AND($R73&lt;&gt;"",EDATE($D73,Milestones!$AA$36)&gt;=$R73),$U73,$T73)))=Milestones!$AB$36),TEXT(EDATE($D73,Milestones!$AA$36),"dd/mm/yy")&amp;" "&amp;Milestones!$AB$36&amp;" "&amp;Milestones!$AC$36&amp;";  ","")&amp;IF(AND(EDATE($D73,Milestones!$AA$37)&lt;=AsOfDate,IF($Q73=0,$W73,IF(AND($S73&lt;&gt;"",EDATE($D73,Milestones!$AA$37)&gt;=$S73),$V73,IF(AND($R73&lt;&gt;"",EDATE($D73,Milestones!$AA$37)&gt;=$R73),$U73,$T73)))=Milestones!$AB$37),TEXT(EDATE($D73,Milestones!$AA$37),"dd/mm/yy")&amp;" "&amp;Milestones!$AB$37&amp;" "&amp;Milestones!$AC$37&amp;";  ","")&amp;IF(AND(EDATE($D73,Milestones!$AA$38)&lt;=AsOfDate,IF($Q73=0,$W73,IF(AND($S73&lt;&gt;"",EDATE($D73,Milestones!$AA$38)&gt;=$S73),$V73,IF(AND($R73&lt;&gt;"",EDATE($D73,Milestones!$AA$38)&gt;=$R73),$U73,$T73)))=Milestones!$AB$38),TEXT(EDATE($D73,Milestones!$AA$38),"dd/mm/yy")&amp;" "&amp;Milestones!$AB$38&amp;" "&amp;Milestones!$AC$38&amp;";  ","")&amp;IF(AND(EDATE($D73,Milestones!$AA$39)&lt;=AsOfDate,IF($Q73=0,$W73,IF(AND($S73&lt;&gt;"",EDATE($D73,Milestones!$AA$39)&gt;=$S73),$V73,IF(AND($R73&lt;&gt;"",EDATE($D73,Milestones!$AA$39)&gt;=$R73),$U73,$T73)))=Milestones!$AB$39),TEXT(EDATE($D73,Milestones!$AA$39),"dd/mm/yy")&amp;" "&amp;Milestones!$AB$39&amp;" "&amp;Milestones!$AC$39&amp;";  ",""))</f>
        <v/>
      </c>
      <c r="I73" s="0" t="str">
        <f aca="false">IF(OR($A73="",$D73=""),"",IF(AND(EDATE($D73,Milestones!$AA$40)&lt;=AsOfDate,IF($Q73=0,$W73,IF(AND($S73&lt;&gt;"",EDATE($D73,Milestones!$AA$40)&gt;=$S73),$V73,IF(AND($R73&lt;&gt;"",EDATE($D73,Milestones!$AA$40)&gt;=$R73),$U73,$T73)))=Milestones!$AB$40),TEXT(EDATE($D73,Milestones!$AA$40),"dd/mm/yy")&amp;" "&amp;Milestones!$AB$40&amp;" "&amp;Milestones!$AC$40&amp;";  ","")&amp;IF(AND(EDATE($D73,Milestones!$AA$41)&lt;=AsOfDate,IF($Q73=0,$W73,IF(AND($S73&lt;&gt;"",EDATE($D73,Milestones!$AA$41)&gt;=$S73),$V73,IF(AND($R73&lt;&gt;"",EDATE($D73,Milestones!$AA$41)&gt;=$R73),$U73,$T73)))=Milestones!$AB$41),TEXT(EDATE($D73,Milestones!$AA$41),"dd/mm/yy")&amp;" "&amp;Milestones!$AB$41&amp;" "&amp;Milestones!$AC$41&amp;";  ","")&amp;IF(AND(EDATE($D73,Milestones!$AA$42)&lt;=AsOfDate,IF($Q73=0,$W73,IF(AND($S73&lt;&gt;"",EDATE($D73,Milestones!$AA$42)&gt;=$S73),$V73,IF(AND($R73&lt;&gt;"",EDATE($D73,Milestones!$AA$42)&gt;=$R73),$U73,$T73)))=Milestones!$AB$42),TEXT(EDATE($D73,Milestones!$AA$42),"dd/mm/yy")&amp;" "&amp;Milestones!$AB$42&amp;" "&amp;Milestones!$AC$42&amp;";  ","")&amp;IF(AND(EDATE($D73,Milestones!$AA$43)&lt;=AsOfDate,IF($Q73=0,$W73,IF(AND($S73&lt;&gt;"",EDATE($D73,Milestones!$AA$43)&gt;=$S73),$V73,IF(AND($R73&lt;&gt;"",EDATE($D73,Milestones!$AA$43)&gt;=$R73),$U73,$T73)))=Milestones!$AB$43),TEXT(EDATE($D73,Milestones!$AA$43),"dd/mm/yy")&amp;" "&amp;Milestones!$AB$43&amp;" "&amp;Milestones!$AC$43&amp;";  ","")&amp;IF(AND(EDATE($D73,Milestones!$AA$44)&lt;=AsOfDate,IF($Q73=0,$W73,IF(AND($S73&lt;&gt;"",EDATE($D73,Milestones!$AA$44)&gt;=$S73),$V73,IF(AND($R73&lt;&gt;"",EDATE($D73,Milestones!$AA$44)&gt;=$R73),$U73,$T73)))=Milestones!$AB$44),TEXT(EDATE($D73,Milestones!$AA$44),"dd/mm/yy")&amp;" "&amp;Milestones!$AB$44&amp;" "&amp;Milestones!$AC$44&amp;";  ","")&amp;IF(AND(EDATE($D73,Milestones!$AA$45)&lt;=AsOfDate,IF($Q73=0,$W73,IF(AND($S73&lt;&gt;"",EDATE($D73,Milestones!$AA$45)&gt;=$S73),$V73,IF(AND($R73&lt;&gt;"",EDATE($D73,Milestones!$AA$45)&gt;=$R73),$U73,$T73)))=Milestones!$AB$45),TEXT(EDATE($D73,Milestones!$AA$45),"dd/mm/yy")&amp;" "&amp;Milestones!$AB$45&amp;" "&amp;Milestones!$AC$45&amp;";  ","")&amp;IF(AND(EDATE($D73,Milestones!$AA$46)&lt;=AsOfDate,IF($Q73=0,$W73,IF(AND($S73&lt;&gt;"",EDATE($D73,Milestones!$AA$46)&gt;=$S73),$V73,IF(AND($R73&lt;&gt;"",EDATE($D73,Milestones!$AA$46)&gt;=$R73),$U73,$T73)))=Milestones!$AB$46),TEXT(EDATE($D73,Milestones!$AA$46),"dd/mm/yy")&amp;" "&amp;Milestones!$AB$46&amp;" "&amp;Milestones!$AC$46&amp;";  ","")&amp;IF(AND(EDATE($D73,Milestones!$AA$47)&lt;=AsOfDate,IF($Q73=0,$W73,IF(AND($S73&lt;&gt;"",EDATE($D73,Milestones!$AA$47)&gt;=$S73),$V73,IF(AND($R73&lt;&gt;"",EDATE($D73,Milestones!$AA$47)&gt;=$R73),$U73,$T73)))=Milestones!$AB$47),TEXT(EDATE($D73,Milestones!$AA$47),"dd/mm/yy")&amp;" "&amp;Milestones!$AB$47&amp;" "&amp;Milestones!$AC$47&amp;";  ","")&amp;IF(AND(EDATE($D73,Milestones!$AA$48)&lt;=AsOfDate,IF($Q73=0,$W73,IF(AND($S73&lt;&gt;"",EDATE($D73,Milestones!$AA$48)&gt;=$S73),$V73,IF(AND($R73&lt;&gt;"",EDATE($D73,Milestones!$AA$48)&gt;=$R73),$U73,$T73)))=Milestones!$AB$48),TEXT(EDATE($D73,Milestones!$AA$48),"dd/mm/yy")&amp;" "&amp;Milestones!$AB$48&amp;" "&amp;Milestones!$AC$48&amp;";  ","")&amp;IF(AND(EDATE($D73,Milestones!$AA$49)&lt;=AsOfDate,IF($Q73=0,$W73,IF(AND($S73&lt;&gt;"",EDATE($D73,Milestones!$AA$49)&gt;=$S73),$V73,IF(AND($R73&lt;&gt;"",EDATE($D73,Milestones!$AA$49)&gt;=$R73),$U73,$T73)))=Milestones!$AB$49),TEXT(EDATE($D73,Milestones!$AA$49),"dd/mm/yy")&amp;" "&amp;Milestones!$AB$49&amp;" "&amp;Milestones!$AC$49&amp;";  ","")&amp;IF(AND(EDATE($D73,Milestones!$AA$50)&lt;=AsOfDate,IF($Q73=0,$W73,IF(AND($S73&lt;&gt;"",EDATE($D73,Milestones!$AA$50)&gt;=$S73),$V73,IF(AND($R73&lt;&gt;"",EDATE($D73,Milestones!$AA$50)&gt;=$R73),$U73,$T73)))=Milestones!$AB$50),TEXT(EDATE($D73,Milestones!$AA$50),"dd/mm/yy")&amp;" "&amp;Milestones!$AB$50&amp;" "&amp;Milestones!$AC$50&amp;";  ","")&amp;IF(AND(EDATE($D73,Milestones!$AA$51)&lt;=AsOfDate,IF($Q73=0,$W73,IF(AND($S73&lt;&gt;"",EDATE($D73,Milestones!$AA$51)&gt;=$S73),$V73,IF(AND($R73&lt;&gt;"",EDATE($D73,Milestones!$AA$51)&gt;=$R73),$U73,$T73)))=Milestones!$AB$51),TEXT(EDATE($D73,Milestones!$AA$51),"dd/mm/yy")&amp;" "&amp;Milestones!$AB$51&amp;" "&amp;Milestones!$AC$51&amp;";  ","")&amp;IF(AND(EDATE($D73,Milestones!$AA$52)&lt;=AsOfDate,IF($Q73=0,$W73,IF(AND($S73&lt;&gt;"",EDATE($D73,Milestones!$AA$52)&gt;=$S73),$V73,IF(AND($R73&lt;&gt;"",EDATE($D73,Milestones!$AA$52)&gt;=$R73),$U73,$T73)))=Milestones!$AB$52),TEXT(EDATE($D73,Milestones!$AA$52),"dd/mm/yy")&amp;" "&amp;Milestones!$AB$52&amp;" "&amp;Milestones!$AC$52&amp;";  ","")&amp;IF(AND(EDATE($D73,Milestones!$AA$53)&lt;=AsOfDate,IF($Q73=0,$W73,IF(AND($S73&lt;&gt;"",EDATE($D73,Milestones!$AA$53)&gt;=$S73),$V73,IF(AND($R73&lt;&gt;"",EDATE($D73,Milestones!$AA$53)&gt;=$R73),$U73,$T73)))=Milestones!$AB$53),TEXT(EDATE($D73,Milestones!$AA$53),"dd/mm/yy")&amp;" "&amp;Milestones!$AB$53&amp;" "&amp;Milestones!$AC$53&amp;";  ","")&amp;IF(AND(EDATE($D73,Milestones!$AA$54)&lt;=AsOfDate,IF($Q73=0,$W73,IF(AND($S73&lt;&gt;"",EDATE($D73,Milestones!$AA$54)&gt;=$S73),$V73,IF(AND($R73&lt;&gt;"",EDATE($D73,Milestones!$AA$54)&gt;=$R73),$U73,$T73)))=Milestones!$AB$54),TEXT(EDATE($D73,Milestones!$AA$54),"dd/mm/yy")&amp;" "&amp;Milestones!$AB$54&amp;" "&amp;Milestones!$AC$54&amp;";  ","")&amp;IF(AND(EDATE($D73,Milestones!$AA$55)&lt;=AsOfDate,IF($Q73=0,$W73,IF(AND($S73&lt;&gt;"",EDATE($D73,Milestones!$AA$55)&gt;=$S73),$V73,IF(AND($R73&lt;&gt;"",EDATE($D73,Milestones!$AA$55)&gt;=$R73),$U73,$T73)))=Milestones!$AB$55),TEXT(EDATE($D73,Milestones!$AA$55),"dd/mm/yy")&amp;" "&amp;Milestones!$AB$55&amp;" "&amp;Milestones!$AC$55&amp;";  ","")&amp;IF(AND(EDATE($D73,Milestones!$AA$56)&lt;=AsOfDate,IF($Q73=0,$W73,IF(AND($S73&lt;&gt;"",EDATE($D73,Milestones!$AA$56)&gt;=$S73),$V73,IF(AND($R73&lt;&gt;"",EDATE($D73,Milestones!$AA$56)&gt;=$R73),$U73,$T73)))=Milestones!$AB$56),TEXT(EDATE($D73,Milestones!$AA$56),"dd/mm/yy")&amp;" "&amp;Milestones!$AB$56&amp;" "&amp;Milestones!$AC$56&amp;";  ","")&amp;IF(AND(EDATE($D73,Milestones!$AA$57)&lt;=AsOfDate,IF($Q73=0,$W73,IF(AND($S73&lt;&gt;"",EDATE($D73,Milestones!$AA$57)&gt;=$S73),$V73,IF(AND($R73&lt;&gt;"",EDATE($D73,Milestones!$AA$57)&gt;=$R73),$U73,$T73)))=Milestones!$AB$57),TEXT(EDATE($D73,Milestones!$AA$57),"dd/mm/yy")&amp;" "&amp;Milestones!$AB$57&amp;" "&amp;Milestones!$AC$57&amp;";  ","")&amp;IF(AND(EDATE($D73,Milestones!$AA$58)&lt;=AsOfDate,IF($Q73=0,$W73,IF(AND($S73&lt;&gt;"",EDATE($D73,Milestones!$AA$58)&gt;=$S73),$V73,IF(AND($R73&lt;&gt;"",EDATE($D73,Milestones!$AA$58)&gt;=$R73),$U73,$T73)))=Milestones!$AB$58),TEXT(EDATE($D73,Milestones!$AA$58),"dd/mm/yy")&amp;" "&amp;Milestones!$AB$58&amp;" "&amp;Milestones!$AC$58&amp;";  ","")&amp;IF(AND(EDATE($D73,Milestones!$AA$59)&lt;=AsOfDate,IF($Q73=0,$W73,IF(AND($S73&lt;&gt;"",EDATE($D73,Milestones!$AA$59)&gt;=$S73),$V73,IF(AND($R73&lt;&gt;"",EDATE($D73,Milestones!$AA$59)&gt;=$R73),$U73,$T73)))=Milestones!$AB$59),TEXT(EDATE($D73,Milestones!$AA$59),"dd/mm/yy")&amp;" "&amp;Milestones!$AB$59&amp;" "&amp;Milestones!$AC$59&amp;";  ",""))</f>
        <v/>
      </c>
      <c r="J73" s="0" t="str">
        <f aca="false">IF(OR($A73="",$D73=""),"",IF(AND(EDATE($D73,Milestones!$AA$60)&lt;=AsOfDate,IF($Q73=0,$W73,IF(AND($S73&lt;&gt;"",EDATE($D73,Milestones!$AA$60)&gt;=$S73),$V73,IF(AND($R73&lt;&gt;"",EDATE($D73,Milestones!$AA$60)&gt;=$R73),$U73,$T73)))=Milestones!$AB$60),TEXT(EDATE($D73,Milestones!$AA$60),"dd/mm/yy")&amp;" "&amp;Milestones!$AB$60&amp;" "&amp;Milestones!$AC$60&amp;";  ","")&amp;IF(AND(EDATE($D73,Milestones!$AA$61)&lt;=AsOfDate,IF($Q73=0,$W73,IF(AND($S73&lt;&gt;"",EDATE($D73,Milestones!$AA$61)&gt;=$S73),$V73,IF(AND($R73&lt;&gt;"",EDATE($D73,Milestones!$AA$61)&gt;=$R73),$U73,$T73)))=Milestones!$AB$61),TEXT(EDATE($D73,Milestones!$AA$61),"dd/mm/yy")&amp;" "&amp;Milestones!$AB$61&amp;" "&amp;Milestones!$AC$61&amp;";  ","")&amp;IF(AND(EDATE($D73,Milestones!$AA$62)&lt;=AsOfDate,IF($Q73=0,$W73,IF(AND($S73&lt;&gt;"",EDATE($D73,Milestones!$AA$62)&gt;=$S73),$V73,IF(AND($R73&lt;&gt;"",EDATE($D73,Milestones!$AA$62)&gt;=$R73),$U73,$T73)))=Milestones!$AB$62),TEXT(EDATE($D73,Milestones!$AA$62),"dd/mm/yy")&amp;" "&amp;Milestones!$AB$62&amp;" "&amp;Milestones!$AC$62&amp;";  ","")&amp;IF(AND(EDATE($D73,Milestones!$AA$63)&lt;=AsOfDate,IF($Q73=0,$W73,IF(AND($S73&lt;&gt;"",EDATE($D73,Milestones!$AA$63)&gt;=$S73),$V73,IF(AND($R73&lt;&gt;"",EDATE($D73,Milestones!$AA$63)&gt;=$R73),$U73,$T73)))=Milestones!$AB$63),TEXT(EDATE($D73,Milestones!$AA$63),"dd/mm/yy")&amp;" "&amp;Milestones!$AB$63&amp;" "&amp;Milestones!$AC$63&amp;";  ","")&amp;IF(AND(EDATE($D73,Milestones!$AA$64)&lt;=AsOfDate,IF($Q73=0,$W73,IF(AND($S73&lt;&gt;"",EDATE($D73,Milestones!$AA$64)&gt;=$S73),$V73,IF(AND($R73&lt;&gt;"",EDATE($D73,Milestones!$AA$64)&gt;=$R73),$U73,$T73)))=Milestones!$AB$64),TEXT(EDATE($D73,Milestones!$AA$64),"dd/mm/yy")&amp;" "&amp;Milestones!$AB$64&amp;" "&amp;Milestones!$AC$64&amp;";  ","")&amp;IF(AND(EDATE($D73,Milestones!$AA$65)&lt;=AsOfDate,IF($Q73=0,$W73,IF(AND($S73&lt;&gt;"",EDATE($D73,Milestones!$AA$65)&gt;=$S73),$V73,IF(AND($R73&lt;&gt;"",EDATE($D73,Milestones!$AA$65)&gt;=$R73),$U73,$T73)))=Milestones!$AB$65),TEXT(EDATE($D73,Milestones!$AA$65),"dd/mm/yy")&amp;" "&amp;Milestones!$AB$65&amp;" "&amp;Milestones!$AC$65&amp;";  ","")&amp;IF(AND(EDATE($D73,Milestones!$AA$66)&lt;=AsOfDate,IF($Q73=0,$W73,IF(AND($S73&lt;&gt;"",EDATE($D73,Milestones!$AA$66)&gt;=$S73),$V73,IF(AND($R73&lt;&gt;"",EDATE($D73,Milestones!$AA$66)&gt;=$R73),$U73,$T73)))=Milestones!$AB$66),TEXT(EDATE($D73,Milestones!$AA$66),"dd/mm/yy")&amp;" "&amp;Milestones!$AB$66&amp;" "&amp;Milestones!$AC$66&amp;";  ","")&amp;IF(AND(EDATE($D73,Milestones!$AA$67)&lt;=AsOfDate,IF($Q73=0,$W73,IF(AND($S73&lt;&gt;"",EDATE($D73,Milestones!$AA$67)&gt;=$S73),$V73,IF(AND($R73&lt;&gt;"",EDATE($D73,Milestones!$AA$67)&gt;=$R73),$U73,$T73)))=Milestones!$AB$67),TEXT(EDATE($D73,Milestones!$AA$67),"dd/mm/yy")&amp;" "&amp;Milestones!$AB$67&amp;" "&amp;Milestones!$AC$67&amp;";  ","")&amp;IF(AND(EDATE($D73,Milestones!$AA$68)&lt;=AsOfDate,IF($Q73=0,$W73,IF(AND($S73&lt;&gt;"",EDATE($D73,Milestones!$AA$68)&gt;=$S73),$V73,IF(AND($R73&lt;&gt;"",EDATE($D73,Milestones!$AA$68)&gt;=$R73),$U73,$T73)))=Milestones!$AB$68),TEXT(EDATE($D73,Milestones!$AA$68),"dd/mm/yy")&amp;" "&amp;Milestones!$AB$68&amp;" "&amp;Milestones!$AC$68&amp;";  ","")&amp;IF(AND(EDATE($D73,Milestones!$AA$69)&lt;=AsOfDate,IF($Q73=0,$W73,IF(AND($S73&lt;&gt;"",EDATE($D73,Milestones!$AA$69)&gt;=$S73),$V73,IF(AND($R73&lt;&gt;"",EDATE($D73,Milestones!$AA$69)&gt;=$R73),$U73,$T73)))=Milestones!$AB$69),TEXT(EDATE($D73,Milestones!$AA$69),"dd/mm/yy")&amp;" "&amp;Milestones!$AB$69&amp;" "&amp;Milestones!$AC$69&amp;";  ","")&amp;IF(AND(EDATE($D73,Milestones!$AA$70)&lt;=AsOfDate,IF($Q73=0,$W73,IF(AND($S73&lt;&gt;"",EDATE($D73,Milestones!$AA$70)&gt;=$S73),$V73,IF(AND($R73&lt;&gt;"",EDATE($D73,Milestones!$AA$70)&gt;=$R73),$U73,$T73)))=Milestones!$AB$70),TEXT(EDATE($D73,Milestones!$AA$70),"dd/mm/yy")&amp;" "&amp;Milestones!$AB$70&amp;" "&amp;Milestones!$AC$70&amp;";  ","")&amp;IF(AND(EDATE($D73,Milestones!$AA$71)&lt;=AsOfDate,IF($Q73=0,$W73,IF(AND($S73&lt;&gt;"",EDATE($D73,Milestones!$AA$71)&gt;=$S73),$V73,IF(AND($R73&lt;&gt;"",EDATE($D73,Milestones!$AA$71)&gt;=$R73),$U73,$T73)))=Milestones!$AB$71),TEXT(EDATE($D73,Milestones!$AA$71),"dd/mm/yy")&amp;" "&amp;Milestones!$AB$71&amp;" "&amp;Milestones!$AC$71&amp;";  ","")&amp;IF(AND(EDATE($D73,Milestones!$AA$72)&lt;=AsOfDate,IF($Q73=0,$W73,IF(AND($S73&lt;&gt;"",EDATE($D73,Milestones!$AA$72)&gt;=$S73),$V73,IF(AND($R73&lt;&gt;"",EDATE($D73,Milestones!$AA$72)&gt;=$R73),$U73,$T73)))=Milestones!$AB$72),TEXT(EDATE($D73,Milestones!$AA$72),"dd/mm/yy")&amp;" "&amp;Milestones!$AB$72&amp;" "&amp;Milestones!$AC$72&amp;";  ","")&amp;IF(AND(EDATE($D73,Milestones!$AA$73)&lt;=AsOfDate,IF($Q73=0,$W73,IF(AND($S73&lt;&gt;"",EDATE($D73,Milestones!$AA$73)&gt;=$S73),$V73,IF(AND($R73&lt;&gt;"",EDATE($D73,Milestones!$AA$73)&gt;=$R73),$U73,$T73)))=Milestones!$AB$73),TEXT(EDATE($D73,Milestones!$AA$73),"dd/mm/yy")&amp;" "&amp;Milestones!$AB$73&amp;" "&amp;Milestones!$AC$73&amp;";  ","")&amp;IF(AND(EDATE($D73,Milestones!$AA$74)&lt;=AsOfDate,IF($Q73=0,$W73,IF(AND($S73&lt;&gt;"",EDATE($D73,Milestones!$AA$74)&gt;=$S73),$V73,IF(AND($R73&lt;&gt;"",EDATE($D73,Milestones!$AA$74)&gt;=$R73),$U73,$T73)))=Milestones!$AB$74),TEXT(EDATE($D73,Milestones!$AA$74),"dd/mm/yy")&amp;" "&amp;Milestones!$AB$74&amp;" "&amp;Milestones!$AC$74&amp;";  ","")&amp;IF(AND(EDATE($D73,Milestones!$AA$75)&lt;=AsOfDate,IF($Q73=0,$W73,IF(AND($S73&lt;&gt;"",EDATE($D73,Milestones!$AA$75)&gt;=$S73),$V73,IF(AND($R73&lt;&gt;"",EDATE($D73,Milestones!$AA$75)&gt;=$R73),$U73,$T73)))=Milestones!$AB$75),TEXT(EDATE($D73,Milestones!$AA$75),"dd/mm/yy")&amp;" "&amp;Milestones!$AB$75&amp;" "&amp;Milestones!$AC$75&amp;";  ","")&amp;IF(AND(EDATE($D73,Milestones!$AA$76)&lt;=AsOfDate,IF($Q73=0,$W73,IF(AND($S73&lt;&gt;"",EDATE($D73,Milestones!$AA$76)&gt;=$S73),$V73,IF(AND($R73&lt;&gt;"",EDATE($D73,Milestones!$AA$76)&gt;=$R73),$U73,$T73)))=Milestones!$AB$76),TEXT(EDATE($D73,Milestones!$AA$76),"dd/mm/yy")&amp;" "&amp;Milestones!$AB$76&amp;" "&amp;Milestones!$AC$76&amp;";  ","")&amp;IF(AND(EDATE($D73,Milestones!$AA$77)&lt;=AsOfDate,IF($Q73=0,$W73,IF(AND($S73&lt;&gt;"",EDATE($D73,Milestones!$AA$77)&gt;=$S73),$V73,IF(AND($R73&lt;&gt;"",EDATE($D73,Milestones!$AA$77)&gt;=$R73),$U73,$T73)))=Milestones!$AB$77),TEXT(EDATE($D73,Milestones!$AA$77),"dd/mm/yy")&amp;" "&amp;Milestones!$AB$77&amp;" "&amp;Milestones!$AC$77&amp;";  ","")&amp;IF(AND(EDATE($D73,Milestones!$AA$78)&lt;=AsOfDate,IF($Q73=0,$W73,IF(AND($S73&lt;&gt;"",EDATE($D73,Milestones!$AA$78)&gt;=$S73),$V73,IF(AND($R73&lt;&gt;"",EDATE($D73,Milestones!$AA$78)&gt;=$R73),$U73,$T73)))=Milestones!$AB$78),TEXT(EDATE($D73,Milestones!$AA$78),"dd/mm/yy")&amp;" "&amp;Milestones!$AB$78&amp;" "&amp;Milestones!$AC$78&amp;";  ","")&amp;IF(AND(EDATE($D73,Milestones!$AA$79)&lt;=AsOfDate,IF($Q73=0,$W73,IF(AND($S73&lt;&gt;"",EDATE($D73,Milestones!$AA$79)&gt;=$S73),$V73,IF(AND($R73&lt;&gt;"",EDATE($D73,Milestones!$AA$79)&gt;=$R73),$U73,$T73)))=Milestones!$AB$79),TEXT(EDATE($D73,Milestones!$AA$79),"dd/mm/yy")&amp;" "&amp;Milestones!$AB$79&amp;" "&amp;Milestones!$AC$79&amp;";  ",""))</f>
        <v/>
      </c>
      <c r="K73" s="0" t="str">
        <f aca="false">IF(OR($A73="",$D73=""),"",IF(AND(EDATE($D73,Milestones!$AA$80)&lt;=AsOfDate,IF($Q73=0,$W73,IF(AND($S73&lt;&gt;"",EDATE($D73,Milestones!$AA$80)&gt;=$S73),$V73,IF(AND($R73&lt;&gt;"",EDATE($D73,Milestones!$AA$80)&gt;=$R73),$U73,$T73)))=Milestones!$AB$80),TEXT(EDATE($D73,Milestones!$AA$80),"dd/mm/yy")&amp;" "&amp;Milestones!$AB$80&amp;" "&amp;Milestones!$AC$80&amp;";  ","")&amp;IF(AND(EDATE($D73,Milestones!$AA$81)&lt;=AsOfDate,IF($Q73=0,$W73,IF(AND($S73&lt;&gt;"",EDATE($D73,Milestones!$AA$81)&gt;=$S73),$V73,IF(AND($R73&lt;&gt;"",EDATE($D73,Milestones!$AA$81)&gt;=$R73),$U73,$T73)))=Milestones!$AB$81),TEXT(EDATE($D73,Milestones!$AA$81),"dd/mm/yy")&amp;" "&amp;Milestones!$AB$81&amp;" "&amp;Milestones!$AC$81&amp;";  ","")&amp;IF(AND(EDATE($D73,Milestones!$AA$82)&lt;=AsOfDate,IF($Q73=0,$W73,IF(AND($S73&lt;&gt;"",EDATE($D73,Milestones!$AA$82)&gt;=$S73),$V73,IF(AND($R73&lt;&gt;"",EDATE($D73,Milestones!$AA$82)&gt;=$R73),$U73,$T73)))=Milestones!$AB$82),TEXT(EDATE($D73,Milestones!$AA$82),"dd/mm/yy")&amp;" "&amp;Milestones!$AB$82&amp;" "&amp;Milestones!$AC$82&amp;";  ","")&amp;IF(AND(EDATE($D73,Milestones!$AA$83)&lt;=AsOfDate,IF($Q73=0,$W73,IF(AND($S73&lt;&gt;"",EDATE($D73,Milestones!$AA$83)&gt;=$S73),$V73,IF(AND($R73&lt;&gt;"",EDATE($D73,Milestones!$AA$83)&gt;=$R73),$U73,$T73)))=Milestones!$AB$83),TEXT(EDATE($D73,Milestones!$AA$83),"dd/mm/yy")&amp;" "&amp;Milestones!$AB$83&amp;" "&amp;Milestones!$AC$83&amp;";  ","")&amp;IF(AND(EDATE($D73,Milestones!$AA$84)&lt;=AsOfDate,IF($Q73=0,$W73,IF(AND($S73&lt;&gt;"",EDATE($D73,Milestones!$AA$84)&gt;=$S73),$V73,IF(AND($R73&lt;&gt;"",EDATE($D73,Milestones!$AA$84)&gt;=$R73),$U73,$T73)))=Milestones!$AB$84),TEXT(EDATE($D73,Milestones!$AA$84),"dd/mm/yy")&amp;" "&amp;Milestones!$AB$84&amp;" "&amp;Milestones!$AC$84&amp;";  ","")&amp;IF(AND(EDATE($D73,Milestones!$AA$85)&lt;=AsOfDate,IF($Q73=0,$W73,IF(AND($S73&lt;&gt;"",EDATE($D73,Milestones!$AA$85)&gt;=$S73),$V73,IF(AND($R73&lt;&gt;"",EDATE($D73,Milestones!$AA$85)&gt;=$R73),$U73,$T73)))=Milestones!$AB$85),TEXT(EDATE($D73,Milestones!$AA$85),"dd/mm/yy")&amp;" "&amp;Milestones!$AB$85&amp;" "&amp;Milestones!$AC$85&amp;";  ","")&amp;IF(AND(EDATE($D73,Milestones!$AA$86)&lt;=AsOfDate,IF($Q73=0,$W73,IF(AND($S73&lt;&gt;"",EDATE($D73,Milestones!$AA$86)&gt;=$S73),$V73,IF(AND($R73&lt;&gt;"",EDATE($D73,Milestones!$AA$86)&gt;=$R73),$U73,$T73)))=Milestones!$AB$86),TEXT(EDATE($D73,Milestones!$AA$86),"dd/mm/yy")&amp;" "&amp;Milestones!$AB$86&amp;" "&amp;Milestones!$AC$86&amp;";  ","")&amp;IF(AND(EDATE($D73,Milestones!$AA$87)&lt;=AsOfDate,IF($Q73=0,$W73,IF(AND($S73&lt;&gt;"",EDATE($D73,Milestones!$AA$87)&gt;=$S73),$V73,IF(AND($R73&lt;&gt;"",EDATE($D73,Milestones!$AA$87)&gt;=$R73),$U73,$T73)))=Milestones!$AB$87),TEXT(EDATE($D73,Milestones!$AA$87),"dd/mm/yy")&amp;" "&amp;Milestones!$AB$87&amp;" "&amp;Milestones!$AC$87&amp;";  ","")&amp;IF(AND(EDATE($D73,Milestones!$AA$88)&lt;=AsOfDate,IF($Q73=0,$W73,IF(AND($S73&lt;&gt;"",EDATE($D73,Milestones!$AA$88)&gt;=$S73),$V73,IF(AND($R73&lt;&gt;"",EDATE($D73,Milestones!$AA$88)&gt;=$R73),$U73,$T73)))=Milestones!$AB$88),TEXT(EDATE($D73,Milestones!$AA$88),"dd/mm/yy")&amp;" "&amp;Milestones!$AB$88&amp;" "&amp;Milestones!$AC$88&amp;";  ","")&amp;IF(AND(EDATE($D73,Milestones!$AA$89)&lt;=AsOfDate,IF($Q73=0,$W73,IF(AND($S73&lt;&gt;"",EDATE($D73,Milestones!$AA$89)&gt;=$S73),$V73,IF(AND($R73&lt;&gt;"",EDATE($D73,Milestones!$AA$89)&gt;=$R73),$U73,$T73)))=Milestones!$AB$89),TEXT(EDATE($D73,Milestones!$AA$89),"dd/mm/yy")&amp;" "&amp;Milestones!$AB$89&amp;" "&amp;Milestones!$AC$89&amp;";  ","")&amp;IF(AND(EDATE($D73,Milestones!$AA$90)&lt;=AsOfDate,IF($Q73=0,$W73,IF(AND($S73&lt;&gt;"",EDATE($D73,Milestones!$AA$90)&gt;=$S73),$V73,IF(AND($R73&lt;&gt;"",EDATE($D73,Milestones!$AA$90)&gt;=$R73),$U73,$T73)))=Milestones!$AB$90),TEXT(EDATE($D73,Milestones!$AA$90),"dd/mm/yy")&amp;" "&amp;Milestones!$AB$90&amp;" "&amp;Milestones!$AC$90&amp;";  ","")&amp;IF(AND(EDATE($D73,Milestones!$AA$91)&lt;=AsOfDate,IF($Q73=0,$W73,IF(AND($S73&lt;&gt;"",EDATE($D73,Milestones!$AA$91)&gt;=$S73),$V73,IF(AND($R73&lt;&gt;"",EDATE($D73,Milestones!$AA$91)&gt;=$R73),$U73,$T73)))=Milestones!$AB$91),TEXT(EDATE($D73,Milestones!$AA$91),"dd/mm/yy")&amp;" "&amp;Milestones!$AB$91&amp;" "&amp;Milestones!$AC$91&amp;";  ","")&amp;IF(AND(EDATE($D73,Milestones!$AA$92)&lt;=AsOfDate,IF($Q73=0,$W73,IF(AND($S73&lt;&gt;"",EDATE($D73,Milestones!$AA$92)&gt;=$S73),$V73,IF(AND($R73&lt;&gt;"",EDATE($D73,Milestones!$AA$92)&gt;=$R73),$U73,$T73)))=Milestones!$AB$92),TEXT(EDATE($D73,Milestones!$AA$92),"dd/mm/yy")&amp;" "&amp;Milestones!$AB$92&amp;" "&amp;Milestones!$AC$92&amp;";  ","")&amp;IF(AND(EDATE($D73,Milestones!$AA$93)&lt;=AsOfDate,IF($Q73=0,$W73,IF(AND($S73&lt;&gt;"",EDATE($D73,Milestones!$AA$93)&gt;=$S73),$V73,IF(AND($R73&lt;&gt;"",EDATE($D73,Milestones!$AA$93)&gt;=$R73),$U73,$T73)))=Milestones!$AB$93),TEXT(EDATE($D73,Milestones!$AA$93),"dd/mm/yy")&amp;" "&amp;Milestones!$AB$93&amp;" "&amp;Milestones!$AC$93&amp;";  ","")&amp;IF(AND(EDATE($D73,Milestones!$AA$94)&lt;=AsOfDate,IF($Q73=0,$W73,IF(AND($S73&lt;&gt;"",EDATE($D73,Milestones!$AA$94)&gt;=$S73),$V73,IF(AND($R73&lt;&gt;"",EDATE($D73,Milestones!$AA$94)&gt;=$R73),$U73,$T73)))=Milestones!$AB$94),TEXT(EDATE($D73,Milestones!$AA$94),"dd/mm/yy")&amp;" "&amp;Milestones!$AB$94&amp;" "&amp;Milestones!$AC$94&amp;";  ","")&amp;IF(AND(EDATE($D73,Milestones!$AA$95)&lt;=AsOfDate,IF($Q73=0,$W73,IF(AND($S73&lt;&gt;"",EDATE($D73,Milestones!$AA$95)&gt;=$S73),$V73,IF(AND($R73&lt;&gt;"",EDATE($D73,Milestones!$AA$95)&gt;=$R73),$U73,$T73)))=Milestones!$AB$95),TEXT(EDATE($D73,Milestones!$AA$95),"dd/mm/yy")&amp;" "&amp;Milestones!$AB$95&amp;" "&amp;Milestones!$AC$95&amp;";  ","")&amp;IF(AND(EDATE($D73,Milestones!$AA$96)&lt;=AsOfDate,IF($Q73=0,$W73,IF(AND($S73&lt;&gt;"",EDATE($D73,Milestones!$AA$96)&gt;=$S73),$V73,IF(AND($R73&lt;&gt;"",EDATE($D73,Milestones!$AA$96)&gt;=$R73),$U73,$T73)))=Milestones!$AB$96),TEXT(EDATE($D73,Milestones!$AA$96),"dd/mm/yy")&amp;" "&amp;Milestones!$AB$96&amp;" "&amp;Milestones!$AC$96&amp;";  ","")&amp;IF(AND(EDATE($D73,Milestones!$AA$97)&lt;=AsOfDate,IF($Q73=0,$W73,IF(AND($S73&lt;&gt;"",EDATE($D73,Milestones!$AA$97)&gt;=$S73),$V73,IF(AND($R73&lt;&gt;"",EDATE($D73,Milestones!$AA$97)&gt;=$R73),$U73,$T73)))=Milestones!$AB$97),TEXT(EDATE($D73,Milestones!$AA$97),"dd/mm/yy")&amp;" "&amp;Milestones!$AB$97&amp;" "&amp;Milestones!$AC$97&amp;";  ","")&amp;IF(AND(EDATE($D73,Milestones!$AA$98)&lt;=AsOfDate,IF($Q73=0,$W73,IF(AND($S73&lt;&gt;"",EDATE($D73,Milestones!$AA$98)&gt;=$S73),$V73,IF(AND($R73&lt;&gt;"",EDATE($D73,Milestones!$AA$98)&gt;=$R73),$U73,$T73)))=Milestones!$AB$98),TEXT(EDATE($D73,Milestones!$AA$98),"dd/mm/yy")&amp;" "&amp;Milestones!$AB$98&amp;" "&amp;Milestones!$AC$98&amp;";  ","")&amp;IF(AND(EDATE($D73,Milestones!$AA$99)&lt;=AsOfDate,IF($Q73=0,$W73,IF(AND($S73&lt;&gt;"",EDATE($D73,Milestones!$AA$99)&gt;=$S73),$V73,IF(AND($R73&lt;&gt;"",EDATE($D73,Milestones!$AA$99)&gt;=$R73),$U73,$T73)))=Milestones!$AB$99),TEXT(EDATE($D73,Milestones!$AA$99),"dd/mm/yy")&amp;" "&amp;Milestones!$AB$99&amp;" "&amp;Milestones!$AC$99&amp;";  ",""))</f>
        <v/>
      </c>
      <c r="L73" s="0" t="str">
        <f aca="false">IF(OR($A73="",$D73=""),"",IF(AND(EDATE($D73,Milestones!$AA$100)&lt;=AsOfDate,IF($Q73=0,$W73,IF(AND($S73&lt;&gt;"",EDATE($D73,Milestones!$AA$100)&gt;=$S73),$V73,IF(AND($R73&lt;&gt;"",EDATE($D73,Milestones!$AA$100)&gt;=$R73),$U73,$T73)))=Milestones!$AB$100),TEXT(EDATE($D73,Milestones!$AA$100),"dd/mm/yy")&amp;" "&amp;Milestones!$AB$100&amp;" "&amp;Milestones!$AC$100&amp;";  ","")&amp;IF(AND(EDATE($D73,Milestones!$AA$101)&lt;=AsOfDate,IF($Q73=0,$W73,IF(AND($S73&lt;&gt;"",EDATE($D73,Milestones!$AA$101)&gt;=$S73),$V73,IF(AND($R73&lt;&gt;"",EDATE($D73,Milestones!$AA$101)&gt;=$R73),$U73,$T73)))=Milestones!$AB$101),TEXT(EDATE($D73,Milestones!$AA$101),"dd/mm/yy")&amp;" "&amp;Milestones!$AB$101&amp;" "&amp;Milestones!$AC$101&amp;";  ","")&amp;IF(AND(EDATE($D73,Milestones!$AA$102)&lt;=AsOfDate,IF($Q73=0,$W73,IF(AND($S73&lt;&gt;"",EDATE($D73,Milestones!$AA$102)&gt;=$S73),$V73,IF(AND($R73&lt;&gt;"",EDATE($D73,Milestones!$AA$102)&gt;=$R73),$U73,$T73)))=Milestones!$AB$102),TEXT(EDATE($D73,Milestones!$AA$102),"dd/mm/yy")&amp;" "&amp;Milestones!$AB$102&amp;" "&amp;Milestones!$AC$102&amp;";  ","")&amp;IF(AND(EDATE($D73,Milestones!$AA$103)&lt;=AsOfDate,IF($Q73=0,$W73,IF(AND($S73&lt;&gt;"",EDATE($D73,Milestones!$AA$103)&gt;=$S73),$V73,IF(AND($R73&lt;&gt;"",EDATE($D73,Milestones!$AA$103)&gt;=$R73),$U73,$T73)))=Milestones!$AB$103),TEXT(EDATE($D73,Milestones!$AA$103),"dd/mm/yy")&amp;" "&amp;Milestones!$AB$103&amp;" "&amp;Milestones!$AC$103&amp;";  ","")&amp;IF(AND(EDATE($D73,Milestones!$AA$104)&lt;=AsOfDate,IF($Q73=0,$W73,IF(AND($S73&lt;&gt;"",EDATE($D73,Milestones!$AA$104)&gt;=$S73),$V73,IF(AND($R73&lt;&gt;"",EDATE($D73,Milestones!$AA$104)&gt;=$R73),$U73,$T73)))=Milestones!$AB$104),TEXT(EDATE($D73,Milestones!$AA$104),"dd/mm/yy")&amp;" "&amp;Milestones!$AB$104&amp;" "&amp;Milestones!$AC$104&amp;";  ","")&amp;IF(AND(EDATE($D73,Milestones!$AA$105)&lt;=AsOfDate,IF($Q73=0,$W73,IF(AND($S73&lt;&gt;"",EDATE($D73,Milestones!$AA$105)&gt;=$S73),$V73,IF(AND($R73&lt;&gt;"",EDATE($D73,Milestones!$AA$105)&gt;=$R73),$U73,$T73)))=Milestones!$AB$105),TEXT(EDATE($D73,Milestones!$AA$105),"dd/mm/yy")&amp;" "&amp;Milestones!$AB$105&amp;" "&amp;Milestones!$AC$105&amp;";  ","")&amp;IF(AND(EDATE($D73,Milestones!$AA$106)&lt;=AsOfDate,IF($Q73=0,$W73,IF(AND($S73&lt;&gt;"",EDATE($D73,Milestones!$AA$106)&gt;=$S73),$V73,IF(AND($R73&lt;&gt;"",EDATE($D73,Milestones!$AA$106)&gt;=$R73),$U73,$T73)))=Milestones!$AB$106),TEXT(EDATE($D73,Milestones!$AA$106),"dd/mm/yy")&amp;" "&amp;Milestones!$AB$106&amp;" "&amp;Milestones!$AC$106&amp;";  ","")&amp;IF(AND(EDATE($D73,Milestones!$AA$107)&lt;=AsOfDate,IF($Q73=0,$W73,IF(AND($S73&lt;&gt;"",EDATE($D73,Milestones!$AA$107)&gt;=$S73),$V73,IF(AND($R73&lt;&gt;"",EDATE($D73,Milestones!$AA$107)&gt;=$R73),$U73,$T73)))=Milestones!$AB$107),TEXT(EDATE($D73,Milestones!$AA$107),"dd/mm/yy")&amp;" "&amp;Milestones!$AB$107&amp;" "&amp;Milestones!$AC$107&amp;";  ","")&amp;IF(AND(EDATE($D73,Milestones!$AA$108)&lt;=AsOfDate,IF($Q73=0,$W73,IF(AND($S73&lt;&gt;"",EDATE($D73,Milestones!$AA$108)&gt;=$S73),$V73,IF(AND($R73&lt;&gt;"",EDATE($D73,Milestones!$AA$108)&gt;=$R73),$U73,$T73)))=Milestones!$AB$108),TEXT(EDATE($D73,Milestones!$AA$108),"dd/mm/yy")&amp;" "&amp;Milestones!$AB$108&amp;" "&amp;Milestones!$AC$108&amp;";  ","")&amp;IF(AND(EDATE($D73,Milestones!$AA$109)&lt;=AsOfDate,IF($Q73=0,$W73,IF(AND($S73&lt;&gt;"",EDATE($D73,Milestones!$AA$109)&gt;=$S73),$V73,IF(AND($R73&lt;&gt;"",EDATE($D73,Milestones!$AA$109)&gt;=$R73),$U73,$T73)))=Milestones!$AB$109),TEXT(EDATE($D73,Milestones!$AA$109),"dd/mm/yy")&amp;" "&amp;Milestones!$AB$109&amp;" "&amp;Milestones!$AC$109&amp;";  ","")&amp;IF(AND(EDATE($D73,Milestones!$AA$110)&lt;=AsOfDate,IF($Q73=0,$W73,IF(AND($S73&lt;&gt;"",EDATE($D73,Milestones!$AA$110)&gt;=$S73),$V73,IF(AND($R73&lt;&gt;"",EDATE($D73,Milestones!$AA$110)&gt;=$R73),$U73,$T73)))=Milestones!$AB$110),TEXT(EDATE($D73,Milestones!$AA$110),"dd/mm/yy")&amp;" "&amp;Milestones!$AB$110&amp;" "&amp;Milestones!$AC$110&amp;";  ","")&amp;IF(AND(EDATE($D73,Milestones!$AA$111)&lt;=AsOfDate,IF($Q73=0,$W73,IF(AND($S73&lt;&gt;"",EDATE($D73,Milestones!$AA$111)&gt;=$S73),$V73,IF(AND($R73&lt;&gt;"",EDATE($D73,Milestones!$AA$111)&gt;=$R73),$U73,$T73)))=Milestones!$AB$111),TEXT(EDATE($D73,Milestones!$AA$111),"dd/mm/yy")&amp;" "&amp;Milestones!$AB$111&amp;" "&amp;Milestones!$AC$111&amp;";  ","")&amp;IF(AND(EDATE($D73,Milestones!$AA$112)&lt;=AsOfDate,IF($Q73=0,$W73,IF(AND($S73&lt;&gt;"",EDATE($D73,Milestones!$AA$112)&gt;=$S73),$V73,IF(AND($R73&lt;&gt;"",EDATE($D73,Milestones!$AA$112)&gt;=$R73),$U73,$T73)))=Milestones!$AB$112),TEXT(EDATE($D73,Milestones!$AA$112),"dd/mm/yy")&amp;" "&amp;Milestones!$AB$112&amp;" "&amp;Milestones!$AC$112&amp;";  ","")&amp;IF(AND(EDATE($D73,Milestones!$AA$113)&lt;=AsOfDate,IF($Q73=0,$W73,IF(AND($S73&lt;&gt;"",EDATE($D73,Milestones!$AA$113)&gt;=$S73),$V73,IF(AND($R73&lt;&gt;"",EDATE($D73,Milestones!$AA$113)&gt;=$R73),$U73,$T73)))=Milestones!$AB$113),TEXT(EDATE($D73,Milestones!$AA$113),"dd/mm/yy")&amp;" "&amp;Milestones!$AB$113&amp;" "&amp;Milestones!$AC$113&amp;";  ","")&amp;IF(AND(EDATE($D73,Milestones!$AA$114)&lt;=AsOfDate,IF($Q73=0,$W73,IF(AND($S73&lt;&gt;"",EDATE($D73,Milestones!$AA$114)&gt;=$S73),$V73,IF(AND($R73&lt;&gt;"",EDATE($D73,Milestones!$AA$114)&gt;=$R73),$U73,$T73)))=Milestones!$AB$114),TEXT(EDATE($D73,Milestones!$AA$114),"dd/mm/yy")&amp;" "&amp;Milestones!$AB$114&amp;" "&amp;Milestones!$AC$114&amp;";  ","")&amp;IF(AND(EDATE($D73,Milestones!$AA$115)&lt;=AsOfDate,IF($Q73=0,$W73,IF(AND($S73&lt;&gt;"",EDATE($D73,Milestones!$AA$115)&gt;=$S73),$V73,IF(AND($R73&lt;&gt;"",EDATE($D73,Milestones!$AA$115)&gt;=$R73),$U73,$T73)))=Milestones!$AB$115),TEXT(EDATE($D73,Milestones!$AA$115),"dd/mm/yy")&amp;" "&amp;Milestones!$AB$115&amp;" "&amp;Milestones!$AC$115&amp;";  ","")&amp;IF(AND(EDATE($D73,Milestones!$AA$116)&lt;=AsOfDate,IF($Q73=0,$W73,IF(AND($S73&lt;&gt;"",EDATE($D73,Milestones!$AA$116)&gt;=$S73),$V73,IF(AND($R73&lt;&gt;"",EDATE($D73,Milestones!$AA$116)&gt;=$R73),$U73,$T73)))=Milestones!$AB$116),TEXT(EDATE($D73,Milestones!$AA$116),"dd/mm/yy")&amp;" "&amp;Milestones!$AB$116&amp;" "&amp;Milestones!$AC$116&amp;";  ","")&amp;IF(AND(EDATE($D73,Milestones!$AA$117)&lt;=AsOfDate,IF($Q73=0,$W73,IF(AND($S73&lt;&gt;"",EDATE($D73,Milestones!$AA$117)&gt;=$S73),$V73,IF(AND($R73&lt;&gt;"",EDATE($D73,Milestones!$AA$117)&gt;=$R73),$U73,$T73)))=Milestones!$AB$117),TEXT(EDATE($D73,Milestones!$AA$117),"dd/mm/yy")&amp;" "&amp;Milestones!$AB$117&amp;" "&amp;Milestones!$AC$117&amp;";  ","")&amp;IF(AND(EDATE($D73,Milestones!$AA$118)&lt;=AsOfDate,IF($Q73=0,$W73,IF(AND($S73&lt;&gt;"",EDATE($D73,Milestones!$AA$118)&gt;=$S73),$V73,IF(AND($R73&lt;&gt;"",EDATE($D73,Milestones!$AA$118)&gt;=$R73),$U73,$T73)))=Milestones!$AB$118),TEXT(EDATE($D73,Milestones!$AA$118),"dd/mm/yy")&amp;" "&amp;Milestones!$AB$118&amp;" "&amp;Milestones!$AC$118&amp;";  ","")&amp;IF(AND(EDATE($D73,Milestones!$AA$119)&lt;=AsOfDate,IF($Q73=0,$W73,IF(AND($S73&lt;&gt;"",EDATE($D73,Milestones!$AA$119)&gt;=$S73),$V73,IF(AND($R73&lt;&gt;"",EDATE($D73,Milestones!$AA$119)&gt;=$R73),$U73,$T73)))=Milestones!$AB$119),TEXT(EDATE($D73,Milestones!$AA$119),"dd/mm/yy")&amp;" "&amp;Milestones!$AB$119&amp;" "&amp;Milestones!$AC$119&amp;";  ",""))</f>
        <v/>
      </c>
      <c r="M73" s="0" t="str">
        <f aca="false">IF(OR($A73="",$D73=""),"",IF(AND(EDATE($D73,Milestones!$AA$120)&lt;=AsOfDate,IF($Q73=0,$W73,IF(AND($S73&lt;&gt;"",EDATE($D73,Milestones!$AA$120)&gt;=$S73),$V73,IF(AND($R73&lt;&gt;"",EDATE($D73,Milestones!$AA$120)&gt;=$R73),$U73,$T73)))=Milestones!$AB$120),TEXT(EDATE($D73,Milestones!$AA$120),"dd/mm/yy")&amp;" "&amp;Milestones!$AB$120&amp;" "&amp;Milestones!$AC$120&amp;";  ","")&amp;IF(AND(EDATE($D73,Milestones!$AA$121)&lt;=AsOfDate,IF($Q73=0,$W73,IF(AND($S73&lt;&gt;"",EDATE($D73,Milestones!$AA$121)&gt;=$S73),$V73,IF(AND($R73&lt;&gt;"",EDATE($D73,Milestones!$AA$121)&gt;=$R73),$U73,$T73)))=Milestones!$AB$121),TEXT(EDATE($D73,Milestones!$AA$121),"dd/mm/yy")&amp;" "&amp;Milestones!$AB$121&amp;" "&amp;Milestones!$AC$121&amp;";  ","")&amp;IF(AND(EDATE($D73,Milestones!$AA$122)&lt;=AsOfDate,IF($Q73=0,$W73,IF(AND($S73&lt;&gt;"",EDATE($D73,Milestones!$AA$122)&gt;=$S73),$V73,IF(AND($R73&lt;&gt;"",EDATE($D73,Milestones!$AA$122)&gt;=$R73),$U73,$T73)))=Milestones!$AB$122),TEXT(EDATE($D73,Milestones!$AA$122),"dd/mm/yy")&amp;" "&amp;Milestones!$AB$122&amp;" "&amp;Milestones!$AC$122&amp;";  ","")&amp;IF(AND(EDATE($D73,Milestones!$AA$123)&lt;=AsOfDate,IF($Q73=0,$W73,IF(AND($S73&lt;&gt;"",EDATE($D73,Milestones!$AA$123)&gt;=$S73),$V73,IF(AND($R73&lt;&gt;"",EDATE($D73,Milestones!$AA$123)&gt;=$R73),$U73,$T73)))=Milestones!$AB$123),TEXT(EDATE($D73,Milestones!$AA$123),"dd/mm/yy")&amp;" "&amp;Milestones!$AB$123&amp;" "&amp;Milestones!$AC$123&amp;";  ","")&amp;IF(AND(EDATE($D73,Milestones!$AA$124)&lt;=AsOfDate,IF($Q73=0,$W73,IF(AND($S73&lt;&gt;"",EDATE($D73,Milestones!$AA$124)&gt;=$S73),$V73,IF(AND($R73&lt;&gt;"",EDATE($D73,Milestones!$AA$124)&gt;=$R73),$U73,$T73)))=Milestones!$AB$124),TEXT(EDATE($D73,Milestones!$AA$124),"dd/mm/yy")&amp;" "&amp;Milestones!$AB$124&amp;" "&amp;Milestones!$AC$124&amp;";  ","")&amp;IF(AND(EDATE($D73,Milestones!$AA$125)&lt;=AsOfDate,IF($Q73=0,$W73,IF(AND($S73&lt;&gt;"",EDATE($D73,Milestones!$AA$125)&gt;=$S73),$V73,IF(AND($R73&lt;&gt;"",EDATE($D73,Milestones!$AA$125)&gt;=$R73),$U73,$T73)))=Milestones!$AB$125),TEXT(EDATE($D73,Milestones!$AA$125),"dd/mm/yy")&amp;" "&amp;Milestones!$AB$125&amp;" "&amp;Milestones!$AC$125&amp;";  ","")&amp;IF(AND(EDATE($D73,Milestones!$AA$126)&lt;=AsOfDate,IF($Q73=0,$W73,IF(AND($S73&lt;&gt;"",EDATE($D73,Milestones!$AA$126)&gt;=$S73),$V73,IF(AND($R73&lt;&gt;"",EDATE($D73,Milestones!$AA$126)&gt;=$R73),$U73,$T73)))=Milestones!$AB$126),TEXT(EDATE($D73,Milestones!$AA$126),"dd/mm/yy")&amp;" "&amp;Milestones!$AB$126&amp;" "&amp;Milestones!$AC$126&amp;";  ","")&amp;IF(AND(EDATE($D73,Milestones!$AA$127)&lt;=AsOfDate,IF($Q73=0,$W73,IF(AND($S73&lt;&gt;"",EDATE($D73,Milestones!$AA$127)&gt;=$S73),$V73,IF(AND($R73&lt;&gt;"",EDATE($D73,Milestones!$AA$127)&gt;=$R73),$U73,$T73)))=Milestones!$AB$127),TEXT(EDATE($D73,Milestones!$AA$127),"dd/mm/yy")&amp;" "&amp;Milestones!$AB$127&amp;" "&amp;Milestones!$AC$127&amp;";  ","")&amp;IF(AND(EDATE($D73,Milestones!$AA$128)&lt;=AsOfDate,IF($Q73=0,$W73,IF(AND($S73&lt;&gt;"",EDATE($D73,Milestones!$AA$128)&gt;=$S73),$V73,IF(AND($R73&lt;&gt;"",EDATE($D73,Milestones!$AA$128)&gt;=$R73),$U73,$T73)))=Milestones!$AB$128),TEXT(EDATE($D73,Milestones!$AA$128),"dd/mm/yy")&amp;" "&amp;Milestones!$AB$128&amp;" "&amp;Milestones!$AC$128&amp;";  ","")&amp;IF(AND(EDATE($D73,Milestones!$AA$129)&lt;=AsOfDate,IF($Q73=0,$W73,IF(AND($S73&lt;&gt;"",EDATE($D73,Milestones!$AA$129)&gt;=$S73),$V73,IF(AND($R73&lt;&gt;"",EDATE($D73,Milestones!$AA$129)&gt;=$R73),$U73,$T73)))=Milestones!$AB$129),TEXT(EDATE($D73,Milestones!$AA$129),"dd/mm/yy")&amp;" "&amp;Milestones!$AB$129&amp;" "&amp;Milestones!$AC$129&amp;";  ","")&amp;IF(AND(EDATE($D73,Milestones!$AA$130)&lt;=AsOfDate,IF($Q73=0,$W73,IF(AND($S73&lt;&gt;"",EDATE($D73,Milestones!$AA$130)&gt;=$S73),$V73,IF(AND($R73&lt;&gt;"",EDATE($D73,Milestones!$AA$130)&gt;=$R73),$U73,$T73)))=Milestones!$AB$130),TEXT(EDATE($D73,Milestones!$AA$130),"dd/mm/yy")&amp;" "&amp;Milestones!$AB$130&amp;" "&amp;Milestones!$AC$130&amp;";  ","")&amp;IF(AND(EDATE($D73,Milestones!$AA$131)&lt;=AsOfDate,IF($Q73=0,$W73,IF(AND($S73&lt;&gt;"",EDATE($D73,Milestones!$AA$131)&gt;=$S73),$V73,IF(AND($R73&lt;&gt;"",EDATE($D73,Milestones!$AA$131)&gt;=$R73),$U73,$T73)))=Milestones!$AB$131),TEXT(EDATE($D73,Milestones!$AA$131),"dd/mm/yy")&amp;" "&amp;Milestones!$AB$131&amp;" "&amp;Milestones!$AC$131&amp;";  ","")&amp;IF(AND(EDATE($D73,Milestones!$AA$132)&lt;=AsOfDate,IF($Q73=0,$W73,IF(AND($S73&lt;&gt;"",EDATE($D73,Milestones!$AA$132)&gt;=$S73),$V73,IF(AND($R73&lt;&gt;"",EDATE($D73,Milestones!$AA$132)&gt;=$R73),$U73,$T73)))=Milestones!$AB$132),TEXT(EDATE($D73,Milestones!$AA$132),"dd/mm/yy")&amp;" "&amp;Milestones!$AB$132&amp;" "&amp;Milestones!$AC$132&amp;";  ","")&amp;IF(AND(EDATE($D73,Milestones!$AA$133)&lt;=AsOfDate,IF($Q73=0,$W73,IF(AND($S73&lt;&gt;"",EDATE($D73,Milestones!$AA$133)&gt;=$S73),$V73,IF(AND($R73&lt;&gt;"",EDATE($D73,Milestones!$AA$133)&gt;=$R73),$U73,$T73)))=Milestones!$AB$133),TEXT(EDATE($D73,Milestones!$AA$133),"dd/mm/yy")&amp;" "&amp;Milestones!$AB$133&amp;" "&amp;Milestones!$AC$133&amp;";  ","")&amp;IF(AND(EDATE($D73,Milestones!$AA$134)&lt;=AsOfDate,IF($Q73=0,$W73,IF(AND($S73&lt;&gt;"",EDATE($D73,Milestones!$AA$134)&gt;=$S73),$V73,IF(AND($R73&lt;&gt;"",EDATE($D73,Milestones!$AA$134)&gt;=$R73),$U73,$T73)))=Milestones!$AB$134),TEXT(EDATE($D73,Milestones!$AA$134),"dd/mm/yy")&amp;" "&amp;Milestones!$AB$134&amp;" "&amp;Milestones!$AC$134&amp;";  ","")&amp;IF(AND(EDATE($D73,Milestones!$AA$135)&lt;=AsOfDate,IF($Q73=0,$W73,IF(AND($S73&lt;&gt;"",EDATE($D73,Milestones!$AA$135)&gt;=$S73),$V73,IF(AND($R73&lt;&gt;"",EDATE($D73,Milestones!$AA$135)&gt;=$R73),$U73,$T73)))=Milestones!$AB$135),TEXT(EDATE($D73,Milestones!$AA$135),"dd/mm/yy")&amp;" "&amp;Milestones!$AB$135&amp;" "&amp;Milestones!$AC$135&amp;";  ","")&amp;IF(AND(EDATE($D73,Milestones!$AA$136)&lt;=AsOfDate,IF($Q73=0,$W73,IF(AND($S73&lt;&gt;"",EDATE($D73,Milestones!$AA$136)&gt;=$S73),$V73,IF(AND($R73&lt;&gt;"",EDATE($D73,Milestones!$AA$136)&gt;=$R73),$U73,$T73)))=Milestones!$AB$136),TEXT(EDATE($D73,Milestones!$AA$136),"dd/mm/yy")&amp;" "&amp;Milestones!$AB$136&amp;" "&amp;Milestones!$AC$136&amp;";  ","")&amp;IF(AND(EDATE($D73,Milestones!$AA$137)&lt;=AsOfDate,IF($Q73=0,$W73,IF(AND($S73&lt;&gt;"",EDATE($D73,Milestones!$AA$137)&gt;=$S73),$V73,IF(AND($R73&lt;&gt;"",EDATE($D73,Milestones!$AA$137)&gt;=$R73),$U73,$T73)))=Milestones!$AB$137),TEXT(EDATE($D73,Milestones!$AA$137),"dd/mm/yy")&amp;" "&amp;Milestones!$AB$137&amp;" "&amp;Milestones!$AC$137&amp;";  ","")&amp;IF(AND(EDATE($D73,Milestones!$AA$138)&lt;=AsOfDate,IF($Q73=0,$W73,IF(AND($S73&lt;&gt;"",EDATE($D73,Milestones!$AA$138)&gt;=$S73),$V73,IF(AND($R73&lt;&gt;"",EDATE($D73,Milestones!$AA$138)&gt;=$R73),$U73,$T73)))=Milestones!$AB$138),TEXT(EDATE($D73,Milestones!$AA$138),"dd/mm/yy")&amp;" "&amp;Milestones!$AB$138&amp;" "&amp;Milestones!$AC$138&amp;";  ","")&amp;IF(AND(EDATE($D73,Milestones!$AA$139)&lt;=AsOfDate,IF($Q73=0,$W73,IF(AND($S73&lt;&gt;"",EDATE($D73,Milestones!$AA$139)&gt;=$S73),$V73,IF(AND($R73&lt;&gt;"",EDATE($D73,Milestones!$AA$139)&gt;=$R73),$U73,$T73)))=Milestones!$AB$139),TEXT(EDATE($D73,Milestones!$AA$139),"dd/mm/yy")&amp;" "&amp;Milestones!$AB$139&amp;" "&amp;Milestones!$AC$139&amp;";  ",""))</f>
        <v/>
      </c>
      <c r="N73" s="0" t="str">
        <f aca="false">IF(OR($A73="",$D73=""),"",IF(AND(EDATE($D73,Milestones!$AA$140)&lt;=AsOfDate,IF($Q73=0,$W73,IF(AND($S73&lt;&gt;"",EDATE($D73,Milestones!$AA$140)&gt;=$S73),$V73,IF(AND($R73&lt;&gt;"",EDATE($D73,Milestones!$AA$140)&gt;=$R73),$U73,$T73)))=Milestones!$AB$140),TEXT(EDATE($D73,Milestones!$AA$140),"dd/mm/yy")&amp;" "&amp;Milestones!$AB$140&amp;" "&amp;Milestones!$AC$140&amp;";  ","")&amp;IF(AND(EDATE($D73,Milestones!$AA$141)&lt;=AsOfDate,IF($Q73=0,$W73,IF(AND($S73&lt;&gt;"",EDATE($D73,Milestones!$AA$141)&gt;=$S73),$V73,IF(AND($R73&lt;&gt;"",EDATE($D73,Milestones!$AA$141)&gt;=$R73),$U73,$T73)))=Milestones!$AB$141),TEXT(EDATE($D73,Milestones!$AA$141),"dd/mm/yy")&amp;" "&amp;Milestones!$AB$141&amp;" "&amp;Milestones!$AC$141&amp;";  ","")&amp;IF(AND(EDATE($D73,Milestones!$AA$142)&lt;=AsOfDate,IF($Q73=0,$W73,IF(AND($S73&lt;&gt;"",EDATE($D73,Milestones!$AA$142)&gt;=$S73),$V73,IF(AND($R73&lt;&gt;"",EDATE($D73,Milestones!$AA$142)&gt;=$R73),$U73,$T73)))=Milestones!$AB$142),TEXT(EDATE($D73,Milestones!$AA$142),"dd/mm/yy")&amp;" "&amp;Milestones!$AB$142&amp;" "&amp;Milestones!$AC$142&amp;";  ","")&amp;IF(AND(EDATE($D73,Milestones!$AA$143)&lt;=AsOfDate,IF($Q73=0,$W73,IF(AND($S73&lt;&gt;"",EDATE($D73,Milestones!$AA$143)&gt;=$S73),$V73,IF(AND($R73&lt;&gt;"",EDATE($D73,Milestones!$AA$143)&gt;=$R73),$U73,$T73)))=Milestones!$AB$143),TEXT(EDATE($D73,Milestones!$AA$143),"dd/mm/yy")&amp;" "&amp;Milestones!$AB$143&amp;" "&amp;Milestones!$AC$143&amp;";  ","")&amp;IF(AND(EDATE($D73,Milestones!$AA$144)&lt;=AsOfDate,IF($Q73=0,$W73,IF(AND($S73&lt;&gt;"",EDATE($D73,Milestones!$AA$144)&gt;=$S73),$V73,IF(AND($R73&lt;&gt;"",EDATE($D73,Milestones!$AA$144)&gt;=$R73),$U73,$T73)))=Milestones!$AB$144),TEXT(EDATE($D73,Milestones!$AA$144),"dd/mm/yy")&amp;" "&amp;Milestones!$AB$144&amp;" "&amp;Milestones!$AC$144&amp;";  ","")&amp;IF(AND(EDATE($D73,Milestones!$AA$145)&lt;=AsOfDate,IF($Q73=0,$W73,IF(AND($S73&lt;&gt;"",EDATE($D73,Milestones!$AA$145)&gt;=$S73),$V73,IF(AND($R73&lt;&gt;"",EDATE($D73,Milestones!$AA$145)&gt;=$R73),$U73,$T73)))=Milestones!$AB$145),TEXT(EDATE($D73,Milestones!$AA$145),"dd/mm/yy")&amp;" "&amp;Milestones!$AB$145&amp;" "&amp;Milestones!$AC$145&amp;";  ","")&amp;IF(AND(EDATE($D73,Milestones!$AA$146)&lt;=AsOfDate,IF($Q73=0,$W73,IF(AND($S73&lt;&gt;"",EDATE($D73,Milestones!$AA$146)&gt;=$S73),$V73,IF(AND($R73&lt;&gt;"",EDATE($D73,Milestones!$AA$146)&gt;=$R73),$U73,$T73)))=Milestones!$AB$146),TEXT(EDATE($D73,Milestones!$AA$146),"dd/mm/yy")&amp;" "&amp;Milestones!$AB$146&amp;" "&amp;Milestones!$AC$146&amp;";  ","")&amp;IF(AND(EDATE($D73,Milestones!$AA$147)&lt;=AsOfDate,IF($Q73=0,$W73,IF(AND($S73&lt;&gt;"",EDATE($D73,Milestones!$AA$147)&gt;=$S73),$V73,IF(AND($R73&lt;&gt;"",EDATE($D73,Milestones!$AA$147)&gt;=$R73),$U73,$T73)))=Milestones!$AB$147),TEXT(EDATE($D73,Milestones!$AA$147),"dd/mm/yy")&amp;" "&amp;Milestones!$AB$147&amp;" "&amp;Milestones!$AC$147&amp;";  ","")&amp;IF(AND(EDATE($D73,Milestones!$AA$148)&lt;=AsOfDate,IF($Q73=0,$W73,IF(AND($S73&lt;&gt;"",EDATE($D73,Milestones!$AA$148)&gt;=$S73),$V73,IF(AND($R73&lt;&gt;"",EDATE($D73,Milestones!$AA$148)&gt;=$R73),$U73,$T73)))=Milestones!$AB$148),TEXT(EDATE($D73,Milestones!$AA$148),"dd/mm/yy")&amp;" "&amp;Milestones!$AB$148&amp;" "&amp;Milestones!$AC$148&amp;";  ","")&amp;IF(AND(EDATE($D73,Milestones!$AA$149)&lt;=AsOfDate,IF($Q73=0,$W73,IF(AND($S73&lt;&gt;"",EDATE($D73,Milestones!$AA$149)&gt;=$S73),$V73,IF(AND($R73&lt;&gt;"",EDATE($D73,Milestones!$AA$149)&gt;=$R73),$U73,$T73)))=Milestones!$AB$149),TEXT(EDATE($D73,Milestones!$AA$149),"dd/mm/yy")&amp;" "&amp;Milestones!$AB$149&amp;" "&amp;Milestones!$AC$149&amp;";  ","")&amp;IF(AND(EDATE($D73,Milestones!$AA$150)&lt;=AsOfDate,IF($Q73=0,$W73,IF(AND($S73&lt;&gt;"",EDATE($D73,Milestones!$AA$150)&gt;=$S73),$V73,IF(AND($R73&lt;&gt;"",EDATE($D73,Milestones!$AA$150)&gt;=$R73),$U73,$T73)))=Milestones!$AB$150),TEXT(EDATE($D73,Milestones!$AA$150),"dd/mm/yy")&amp;" "&amp;Milestones!$AB$150&amp;" "&amp;Milestones!$AC$150&amp;";  ","")&amp;IF(AND(EDATE($D73,Milestones!$AA$151)&lt;=AsOfDate,IF($Q73=0,$W73,IF(AND($S73&lt;&gt;"",EDATE($D73,Milestones!$AA$151)&gt;=$S73),$V73,IF(AND($R73&lt;&gt;"",EDATE($D73,Milestones!$AA$151)&gt;=$R73),$U73,$T73)))=Milestones!$AB$151),TEXT(EDATE($D73,Milestones!$AA$151),"dd/mm/yy")&amp;" "&amp;Milestones!$AB$151&amp;" "&amp;Milestones!$AC$151&amp;";  ","")&amp;IF(AND(EDATE($D73,Milestones!$AA$152)&lt;=AsOfDate,IF($Q73=0,$W73,IF(AND($S73&lt;&gt;"",EDATE($D73,Milestones!$AA$152)&gt;=$S73),$V73,IF(AND($R73&lt;&gt;"",EDATE($D73,Milestones!$AA$152)&gt;=$R73),$U73,$T73)))=Milestones!$AB$152),TEXT(EDATE($D73,Milestones!$AA$152),"dd/mm/yy")&amp;" "&amp;Milestones!$AB$152&amp;" "&amp;Milestones!$AC$152&amp;";  ","")&amp;IF(AND(EDATE($D73,Milestones!$AA$153)&lt;=AsOfDate,IF($Q73=0,$W73,IF(AND($S73&lt;&gt;"",EDATE($D73,Milestones!$AA$153)&gt;=$S73),$V73,IF(AND($R73&lt;&gt;"",EDATE($D73,Milestones!$AA$153)&gt;=$R73),$U73,$T73)))=Milestones!$AB$153),TEXT(EDATE($D73,Milestones!$AA$153),"dd/mm/yy")&amp;" "&amp;Milestones!$AB$153&amp;" "&amp;Milestones!$AC$153&amp;";  ","")&amp;IF(AND(EDATE($D73,Milestones!$AA$154)&lt;=AsOfDate,IF($Q73=0,$W73,IF(AND($S73&lt;&gt;"",EDATE($D73,Milestones!$AA$154)&gt;=$S73),$V73,IF(AND($R73&lt;&gt;"",EDATE($D73,Milestones!$AA$154)&gt;=$R73),$U73,$T73)))=Milestones!$AB$154),TEXT(EDATE($D73,Milestones!$AA$154),"dd/mm/yy")&amp;" "&amp;Milestones!$AB$154&amp;" "&amp;Milestones!$AC$154&amp;";  ","")&amp;IF(AND(EDATE($D73,Milestones!$AA$155)&lt;=AsOfDate,IF($Q73=0,$W73,IF(AND($S73&lt;&gt;"",EDATE($D73,Milestones!$AA$155)&gt;=$S73),$V73,IF(AND($R73&lt;&gt;"",EDATE($D73,Milestones!$AA$155)&gt;=$R73),$U73,$T73)))=Milestones!$AB$155),TEXT(EDATE($D73,Milestones!$AA$155),"dd/mm/yy")&amp;" "&amp;Milestones!$AB$155&amp;" "&amp;Milestones!$AC$155&amp;";  ","")&amp;IF(AND(EDATE($D73,Milestones!$AA$156)&lt;=AsOfDate,IF($Q73=0,$W73,IF(AND($S73&lt;&gt;"",EDATE($D73,Milestones!$AA$156)&gt;=$S73),$V73,IF(AND($R73&lt;&gt;"",EDATE($D73,Milestones!$AA$156)&gt;=$R73),$U73,$T73)))=Milestones!$AB$156),TEXT(EDATE($D73,Milestones!$AA$156),"dd/mm/yy")&amp;" "&amp;Milestones!$AB$156&amp;" "&amp;Milestones!$AC$156&amp;";  ","")&amp;IF(AND(EDATE($D73,Milestones!$AA$157)&lt;=AsOfDate,IF($Q73=0,$W73,IF(AND($S73&lt;&gt;"",EDATE($D73,Milestones!$AA$157)&gt;=$S73),$V73,IF(AND($R73&lt;&gt;"",EDATE($D73,Milestones!$AA$157)&gt;=$R73),$U73,$T73)))=Milestones!$AB$157),TEXT(EDATE($D73,Milestones!$AA$157),"dd/mm/yy")&amp;" "&amp;Milestones!$AB$157&amp;" "&amp;Milestones!$AC$157&amp;";  ","")&amp;IF(AND(EDATE($D73,Milestones!$AA$158)&lt;=AsOfDate,IF($Q73=0,$W73,IF(AND($S73&lt;&gt;"",EDATE($D73,Milestones!$AA$158)&gt;=$S73),$V73,IF(AND($R73&lt;&gt;"",EDATE($D73,Milestones!$AA$158)&gt;=$R73),$U73,$T73)))=Milestones!$AB$158),TEXT(EDATE($D73,Milestones!$AA$158),"dd/mm/yy")&amp;" "&amp;Milestones!$AB$158&amp;" "&amp;Milestones!$AC$158&amp;";  ","")&amp;IF(AND(EDATE($D73,Milestones!$AA$159)&lt;=AsOfDate,IF($Q73=0,$W73,IF(AND($S73&lt;&gt;"",EDATE($D73,Milestones!$AA$159)&gt;=$S73),$V73,IF(AND($R73&lt;&gt;"",EDATE($D73,Milestones!$AA$159)&gt;=$R73),$U73,$T73)))=Milestones!$AB$159),TEXT(EDATE($D73,Milestones!$AA$159),"dd/mm/yy")&amp;" "&amp;Milestones!$AB$159&amp;" "&amp;Milestones!$AC$159&amp;";  ",""))</f>
        <v/>
      </c>
      <c r="O73" s="0" t="str">
        <f aca="false">IF(OR($A73="",$D73=""),"",IF(AND(EDATE($D73,Milestones!$AA$160)&lt;=AsOfDate,IF($Q73=0,$W73,IF(AND($S73&lt;&gt;"",EDATE($D73,Milestones!$AA$160)&gt;=$S73),$V73,IF(AND($R73&lt;&gt;"",EDATE($D73,Milestones!$AA$160)&gt;=$R73),$U73,$T73)))=Milestones!$AB$160),TEXT(EDATE($D73,Milestones!$AA$160),"dd/mm/yy")&amp;" "&amp;Milestones!$AB$160&amp;" "&amp;Milestones!$AC$160&amp;";  ","")&amp;IF(AND(EDATE($D73,Milestones!$AA$161)&lt;=AsOfDate,IF($Q73=0,$W73,IF(AND($S73&lt;&gt;"",EDATE($D73,Milestones!$AA$161)&gt;=$S73),$V73,IF(AND($R73&lt;&gt;"",EDATE($D73,Milestones!$AA$161)&gt;=$R73),$U73,$T73)))=Milestones!$AB$161),TEXT(EDATE($D73,Milestones!$AA$161),"dd/mm/yy")&amp;" "&amp;Milestones!$AB$161&amp;" "&amp;Milestones!$AC$161&amp;";  ","")&amp;IF(AND(EDATE($D73,Milestones!$AA$162)&lt;=AsOfDate,IF($Q73=0,$W73,IF(AND($S73&lt;&gt;"",EDATE($D73,Milestones!$AA$162)&gt;=$S73),$V73,IF(AND($R73&lt;&gt;"",EDATE($D73,Milestones!$AA$162)&gt;=$R73),$U73,$T73)))=Milestones!$AB$162),TEXT(EDATE($D73,Milestones!$AA$162),"dd/mm/yy")&amp;" "&amp;Milestones!$AB$162&amp;" "&amp;Milestones!$AC$162&amp;";  ","")&amp;IF(AND(EDATE($D73,Milestones!$AA$163)&lt;=AsOfDate,IF($Q73=0,$W73,IF(AND($S73&lt;&gt;"",EDATE($D73,Milestones!$AA$163)&gt;=$S73),$V73,IF(AND($R73&lt;&gt;"",EDATE($D73,Milestones!$AA$163)&gt;=$R73),$U73,$T73)))=Milestones!$AB$163),TEXT(EDATE($D73,Milestones!$AA$163),"dd/mm/yy")&amp;" "&amp;Milestones!$AB$163&amp;" "&amp;Milestones!$AC$163&amp;";  ","")&amp;IF(AND(EDATE($D73,Milestones!$AA$164)&lt;=AsOfDate,IF($Q73=0,$W73,IF(AND($S73&lt;&gt;"",EDATE($D73,Milestones!$AA$164)&gt;=$S73),$V73,IF(AND($R73&lt;&gt;"",EDATE($D73,Milestones!$AA$164)&gt;=$R73),$U73,$T73)))=Milestones!$AB$164),TEXT(EDATE($D73,Milestones!$AA$164),"dd/mm/yy")&amp;" "&amp;Milestones!$AB$164&amp;" "&amp;Milestones!$AC$164&amp;";  ","")&amp;IF(AND(EDATE($D73,Milestones!$AA$165)&lt;=AsOfDate,IF($Q73=0,$W73,IF(AND($S73&lt;&gt;"",EDATE($D73,Milestones!$AA$165)&gt;=$S73),$V73,IF(AND($R73&lt;&gt;"",EDATE($D73,Milestones!$AA$165)&gt;=$R73),$U73,$T73)))=Milestones!$AB$165),TEXT(EDATE($D73,Milestones!$AA$165),"dd/mm/yy")&amp;" "&amp;Milestones!$AB$165&amp;" "&amp;Milestones!$AC$165&amp;";  ","")&amp;IF(AND(EDATE($D73,Milestones!$AA$166)&lt;=AsOfDate,IF($Q73=0,$W73,IF(AND($S73&lt;&gt;"",EDATE($D73,Milestones!$AA$166)&gt;=$S73),$V73,IF(AND($R73&lt;&gt;"",EDATE($D73,Milestones!$AA$166)&gt;=$R73),$U73,$T73)))=Milestones!$AB$166),TEXT(EDATE($D73,Milestones!$AA$166),"dd/mm/yy")&amp;" "&amp;Milestones!$AB$166&amp;" "&amp;Milestones!$AC$166&amp;";  ","")&amp;IF(AND(EDATE($D73,Milestones!$AA$167)&lt;=AsOfDate,IF($Q73=0,$W73,IF(AND($S73&lt;&gt;"",EDATE($D73,Milestones!$AA$167)&gt;=$S73),$V73,IF(AND($R73&lt;&gt;"",EDATE($D73,Milestones!$AA$167)&gt;=$R73),$U73,$T73)))=Milestones!$AB$167),TEXT(EDATE($D73,Milestones!$AA$167),"dd/mm/yy")&amp;" "&amp;Milestones!$AB$167&amp;" "&amp;Milestones!$AC$167&amp;";  ","")&amp;IF(AND(EDATE($D73,Milestones!$AA$168)&lt;=AsOfDate,IF($Q73=0,$W73,IF(AND($S73&lt;&gt;"",EDATE($D73,Milestones!$AA$168)&gt;=$S73),$V73,IF(AND($R73&lt;&gt;"",EDATE($D73,Milestones!$AA$168)&gt;=$R73),$U73,$T73)))=Milestones!$AB$168),TEXT(EDATE($D73,Milestones!$AA$168),"dd/mm/yy")&amp;" "&amp;Milestones!$AB$168&amp;" "&amp;Milestones!$AC$168&amp;";  ","")&amp;IF(AND(EDATE($D73,Milestones!$AA$169)&lt;=AsOfDate,IF($Q73=0,$W73,IF(AND($S73&lt;&gt;"",EDATE($D73,Milestones!$AA$169)&gt;=$S73),$V73,IF(AND($R73&lt;&gt;"",EDATE($D73,Milestones!$AA$169)&gt;=$R73),$U73,$T73)))=Milestones!$AB$169),TEXT(EDATE($D73,Milestones!$AA$169),"dd/mm/yy")&amp;" "&amp;Milestones!$AB$169&amp;" "&amp;Milestones!$AC$169&amp;";  ","")&amp;IF(AND(EDATE($D73,Milestones!$AA$170)&lt;=AsOfDate,IF($Q73=0,$W73,IF(AND($S73&lt;&gt;"",EDATE($D73,Milestones!$AA$170)&gt;=$S73),$V73,IF(AND($R73&lt;&gt;"",EDATE($D73,Milestones!$AA$170)&gt;=$R73),$U73,$T73)))=Milestones!$AB$170),TEXT(EDATE($D73,Milestones!$AA$170),"dd/mm/yy")&amp;" "&amp;Milestones!$AB$170&amp;" "&amp;Milestones!$AC$170&amp;";  ","")&amp;IF(AND(EDATE($D73,Milestones!$AA$171)&lt;=AsOfDate,IF($Q73=0,$W73,IF(AND($S73&lt;&gt;"",EDATE($D73,Milestones!$AA$171)&gt;=$S73),$V73,IF(AND($R73&lt;&gt;"",EDATE($D73,Milestones!$AA$171)&gt;=$R73),$U73,$T73)))=Milestones!$AB$171),TEXT(EDATE($D73,Milestones!$AA$171),"dd/mm/yy")&amp;" "&amp;Milestones!$AB$171&amp;" "&amp;Milestones!$AC$171&amp;";  ","")&amp;IF(AND(EDATE($D73,Milestones!$AA$172)&lt;=AsOfDate,IF($Q73=0,$W73,IF(AND($S73&lt;&gt;"",EDATE($D73,Milestones!$AA$172)&gt;=$S73),$V73,IF(AND($R73&lt;&gt;"",EDATE($D73,Milestones!$AA$172)&gt;=$R73),$U73,$T73)))=Milestones!$AB$172),TEXT(EDATE($D73,Milestones!$AA$172),"dd/mm/yy")&amp;" "&amp;Milestones!$AB$172&amp;" "&amp;Milestones!$AC$172&amp;";  ","")&amp;IF(AND(EDATE($D73,Milestones!$AA$173)&lt;=AsOfDate,IF($Q73=0,$W73,IF(AND($S73&lt;&gt;"",EDATE($D73,Milestones!$AA$173)&gt;=$S73),$V73,IF(AND($R73&lt;&gt;"",EDATE($D73,Milestones!$AA$173)&gt;=$R73),$U73,$T73)))=Milestones!$AB$173),TEXT(EDATE($D73,Milestones!$AA$173),"dd/mm/yy")&amp;" "&amp;Milestones!$AB$173&amp;" "&amp;Milestones!$AC$173&amp;";  ","")&amp;IF(AND(EDATE($D73,Milestones!$AA$174)&lt;=AsOfDate,IF($Q73=0,$W73,IF(AND($S73&lt;&gt;"",EDATE($D73,Milestones!$AA$174)&gt;=$S73),$V73,IF(AND($R73&lt;&gt;"",EDATE($D73,Milestones!$AA$174)&gt;=$R73),$U73,$T73)))=Milestones!$AB$174),TEXT(EDATE($D73,Milestones!$AA$174),"dd/mm/yy")&amp;" "&amp;Milestones!$AB$174&amp;" "&amp;Milestones!$AC$174&amp;";  ","")&amp;IF(AND(EDATE($D73,Milestones!$AA$175)&lt;=AsOfDate,IF($Q73=0,$W73,IF(AND($S73&lt;&gt;"",EDATE($D73,Milestones!$AA$175)&gt;=$S73),$V73,IF(AND($R73&lt;&gt;"",EDATE($D73,Milestones!$AA$175)&gt;=$R73),$U73,$T73)))=Milestones!$AB$175),TEXT(EDATE($D73,Milestones!$AA$175),"dd/mm/yy")&amp;" "&amp;Milestones!$AB$175&amp;" "&amp;Milestones!$AC$175&amp;";  ","")&amp;IF(AND(EDATE($D73,Milestones!$AA$176)&lt;=AsOfDate,IF($Q73=0,$W73,IF(AND($S73&lt;&gt;"",EDATE($D73,Milestones!$AA$176)&gt;=$S73),$V73,IF(AND($R73&lt;&gt;"",EDATE($D73,Milestones!$AA$176)&gt;=$R73),$U73,$T73)))=Milestones!$AB$176),TEXT(EDATE($D73,Milestones!$AA$176),"dd/mm/yy")&amp;" "&amp;Milestones!$AB$176&amp;" "&amp;Milestones!$AC$176&amp;";  ","")&amp;IF(AND(EDATE($D73,Milestones!$AA$177)&lt;=AsOfDate,IF($Q73=0,$W73,IF(AND($S73&lt;&gt;"",EDATE($D73,Milestones!$AA$177)&gt;=$S73),$V73,IF(AND($R73&lt;&gt;"",EDATE($D73,Milestones!$AA$177)&gt;=$R73),$U73,$T73)))=Milestones!$AB$177),TEXT(EDATE($D73,Milestones!$AA$177),"dd/mm/yy")&amp;" "&amp;Milestones!$AB$177&amp;" "&amp;Milestones!$AC$177&amp;";  ","")&amp;IF(AND(EDATE($D73,Milestones!$AA$178)&lt;=AsOfDate,IF($Q73=0,$W73,IF(AND($S73&lt;&gt;"",EDATE($D73,Milestones!$AA$178)&gt;=$S73),$V73,IF(AND($R73&lt;&gt;"",EDATE($D73,Milestones!$AA$178)&gt;=$R73),$U73,$T73)))=Milestones!$AB$178),TEXT(EDATE($D73,Milestones!$AA$178),"dd/mm/yy")&amp;" "&amp;Milestones!$AB$178&amp;" "&amp;Milestones!$AC$178&amp;";  ","")&amp;IF(AND(EDATE($D73,Milestones!$AA$179)&lt;=AsOfDate,IF($Q73=0,$W73,IF(AND($S73&lt;&gt;"",EDATE($D73,Milestones!$AA$179)&gt;=$S73),$V73,IF(AND($R73&lt;&gt;"",EDATE($D73,Milestones!$AA$179)&gt;=$R73),$U73,$T73)))=Milestones!$AB$179),TEXT(EDATE($D73,Milestones!$AA$179),"dd/mm/yy")&amp;" "&amp;Milestones!$AB$179&amp;" "&amp;Milestones!$AC$179&amp;";  ",""))</f>
        <v/>
      </c>
      <c r="P73" s="0" t="str">
        <f aca="false">IF(OR($A73="",$D73=""),"",IF(AND(EDATE($D73,Milestones!$AA$180)&lt;=AsOfDate,IF($Q73=0,$W73,IF(AND($S73&lt;&gt;"",EDATE($D73,Milestones!$AA$180)&gt;=$S73),$V73,IF(AND($R73&lt;&gt;"",EDATE($D73,Milestones!$AA$180)&gt;=$R73),$U73,$T73)))=Milestones!$AB$180),TEXT(EDATE($D73,Milestones!$AA$180),"dd/mm/yy")&amp;" "&amp;Milestones!$AB$180&amp;" "&amp;Milestones!$AC$180&amp;";  ","")&amp;IF(AND(EDATE($D73,Milestones!$AA$181)&lt;=AsOfDate,IF($Q73=0,$W73,IF(AND($S73&lt;&gt;"",EDATE($D73,Milestones!$AA$181)&gt;=$S73),$V73,IF(AND($R73&lt;&gt;"",EDATE($D73,Milestones!$AA$181)&gt;=$R73),$U73,$T73)))=Milestones!$AB$181),TEXT(EDATE($D73,Milestones!$AA$181),"dd/mm/yy")&amp;" "&amp;Milestones!$AB$181&amp;" "&amp;Milestones!$AC$181&amp;";  ","")&amp;IF(AND(EDATE($D73,Milestones!$AA$182)&lt;=AsOfDate,IF($Q73=0,$W73,IF(AND($S73&lt;&gt;"",EDATE($D73,Milestones!$AA$182)&gt;=$S73),$V73,IF(AND($R73&lt;&gt;"",EDATE($D73,Milestones!$AA$182)&gt;=$R73),$U73,$T73)))=Milestones!$AB$182),TEXT(EDATE($D73,Milestones!$AA$182),"dd/mm/yy")&amp;" "&amp;Milestones!$AB$182&amp;" "&amp;Milestones!$AC$182&amp;";  ","")&amp;IF(AND(EDATE($D73,Milestones!$AA$183)&lt;=AsOfDate,IF($Q73=0,$W73,IF(AND($S73&lt;&gt;"",EDATE($D73,Milestones!$AA$183)&gt;=$S73),$V73,IF(AND($R73&lt;&gt;"",EDATE($D73,Milestones!$AA$183)&gt;=$R73),$U73,$T73)))=Milestones!$AB$183),TEXT(EDATE($D73,Milestones!$AA$183),"dd/mm/yy")&amp;" "&amp;Milestones!$AB$183&amp;" "&amp;Milestones!$AC$183&amp;";  ","")&amp;IF(AND(EDATE($D73,Milestones!$AA$184)&lt;=AsOfDate,IF($Q73=0,$W73,IF(AND($S73&lt;&gt;"",EDATE($D73,Milestones!$AA$184)&gt;=$S73),$V73,IF(AND($R73&lt;&gt;"",EDATE($D73,Milestones!$AA$184)&gt;=$R73),$U73,$T73)))=Milestones!$AB$184),TEXT(EDATE($D73,Milestones!$AA$184),"dd/mm/yy")&amp;" "&amp;Milestones!$AB$184&amp;" "&amp;Milestones!$AC$184&amp;";  ","")&amp;IF(AND(EDATE($D73,Milestones!$AA$185)&lt;=AsOfDate,IF($Q73=0,$W73,IF(AND($S73&lt;&gt;"",EDATE($D73,Milestones!$AA$185)&gt;=$S73),$V73,IF(AND($R73&lt;&gt;"",EDATE($D73,Milestones!$AA$185)&gt;=$R73),$U73,$T73)))=Milestones!$AB$185),TEXT(EDATE($D73,Milestones!$AA$185),"dd/mm/yy")&amp;" "&amp;Milestones!$AB$185&amp;" "&amp;Milestones!$AC$185&amp;";  ","")&amp;IF(AND(EDATE($D73,Milestones!$AA$186)&lt;=AsOfDate,IF($Q73=0,$W73,IF(AND($S73&lt;&gt;"",EDATE($D73,Milestones!$AA$186)&gt;=$S73),$V73,IF(AND($R73&lt;&gt;"",EDATE($D73,Milestones!$AA$186)&gt;=$R73),$U73,$T73)))=Milestones!$AB$186),TEXT(EDATE($D73,Milestones!$AA$186),"dd/mm/yy")&amp;" "&amp;Milestones!$AB$186&amp;" "&amp;Milestones!$AC$186&amp;";  ","")&amp;IF(AND(EDATE($D73,Milestones!$AA$187)&lt;=AsOfDate,IF($Q73=0,$W73,IF(AND($S73&lt;&gt;"",EDATE($D73,Milestones!$AA$187)&gt;=$S73),$V73,IF(AND($R73&lt;&gt;"",EDATE($D73,Milestones!$AA$187)&gt;=$R73),$U73,$T73)))=Milestones!$AB$187),TEXT(EDATE($D73,Milestones!$AA$187),"dd/mm/yy")&amp;" "&amp;Milestones!$AB$187&amp;" "&amp;Milestones!$AC$187&amp;";  ","")&amp;IF(AND(EDATE($D73,Milestones!$AA$188)&lt;=AsOfDate,IF($Q73=0,$W73,IF(AND($S73&lt;&gt;"",EDATE($D73,Milestones!$AA$188)&gt;=$S73),$V73,IF(AND($R73&lt;&gt;"",EDATE($D73,Milestones!$AA$188)&gt;=$R73),$U73,$T73)))=Milestones!$AB$188),TEXT(EDATE($D73,Milestones!$AA$188),"dd/mm/yy")&amp;" "&amp;Milestones!$AB$188&amp;" "&amp;Milestones!$AC$188&amp;";  ","")&amp;IF(AND(EDATE($D73,Milestones!$AA$189)&lt;=AsOfDate,IF($Q73=0,$W73,IF(AND($S73&lt;&gt;"",EDATE($D73,Milestones!$AA$189)&gt;=$S73),$V73,IF(AND($R73&lt;&gt;"",EDATE($D73,Milestones!$AA$189)&gt;=$R73),$U73,$T73)))=Milestones!$AB$189),TEXT(EDATE($D73,Milestones!$AA$189),"dd/mm/yy")&amp;" "&amp;Milestones!$AB$189&amp;" "&amp;Milestones!$AC$189&amp;";  ","")&amp;IF(AND(EDATE($D73,Milestones!$AA$190)&lt;=AsOfDate,IF($Q73=0,$W73,IF(AND($S73&lt;&gt;"",EDATE($D73,Milestones!$AA$190)&gt;=$S73),$V73,IF(AND($R73&lt;&gt;"",EDATE($D73,Milestones!$AA$190)&gt;=$R73),$U73,$T73)))=Milestones!$AB$190),TEXT(EDATE($D73,Milestones!$AA$190),"dd/mm/yy")&amp;" "&amp;Milestones!$AB$190&amp;" "&amp;Milestones!$AC$190&amp;";  ","")&amp;IF(AND(EDATE($D73,Milestones!$AA$191)&lt;=AsOfDate,IF($Q73=0,$W73,IF(AND($S73&lt;&gt;"",EDATE($D73,Milestones!$AA$191)&gt;=$S73),$V73,IF(AND($R73&lt;&gt;"",EDATE($D73,Milestones!$AA$191)&gt;=$R73),$U73,$T73)))=Milestones!$AB$191),TEXT(EDATE($D73,Milestones!$AA$191),"dd/mm/yy")&amp;" "&amp;Milestones!$AB$191&amp;" "&amp;Milestones!$AC$191&amp;";  ","")&amp;IF(AND(EDATE($D73,Milestones!$AA$192)&lt;=AsOfDate,IF($Q73=0,$W73,IF(AND($S73&lt;&gt;"",EDATE($D73,Milestones!$AA$192)&gt;=$S73),$V73,IF(AND($R73&lt;&gt;"",EDATE($D73,Milestones!$AA$192)&gt;=$R73),$U73,$T73)))=Milestones!$AB$192),TEXT(EDATE($D73,Milestones!$AA$192),"dd/mm/yy")&amp;" "&amp;Milestones!$AB$192&amp;" "&amp;Milestones!$AC$192&amp;";  ","")&amp;IF(AND(EDATE($D73,Milestones!$AA$193)&lt;=AsOfDate,IF($Q73=0,$W73,IF(AND($S73&lt;&gt;"",EDATE($D73,Milestones!$AA$193)&gt;=$S73),$V73,IF(AND($R73&lt;&gt;"",EDATE($D73,Milestones!$AA$193)&gt;=$R73),$U73,$T73)))=Milestones!$AB$193),TEXT(EDATE($D73,Milestones!$AA$193),"dd/mm/yy")&amp;" "&amp;Milestones!$AB$193&amp;" "&amp;Milestones!$AC$193&amp;";  ","")&amp;IF(AND(EDATE($D73,Milestones!$AA$194)&lt;=AsOfDate,IF($Q73=0,$W73,IF(AND($S73&lt;&gt;"",EDATE($D73,Milestones!$AA$194)&gt;=$S73),$V73,IF(AND($R73&lt;&gt;"",EDATE($D73,Milestones!$AA$194)&gt;=$R73),$U73,$T73)))=Milestones!$AB$194),TEXT(EDATE($D73,Milestones!$AA$194),"dd/mm/yy")&amp;" "&amp;Milestones!$AB$194&amp;" "&amp;Milestones!$AC$194&amp;";  ","")&amp;IF(AND(EDATE($D73,Milestones!$AA$195)&lt;=AsOfDate,IF($Q73=0,$W73,IF(AND($S73&lt;&gt;"",EDATE($D73,Milestones!$AA$195)&gt;=$S73),$V73,IF(AND($R73&lt;&gt;"",EDATE($D73,Milestones!$AA$195)&gt;=$R73),$U73,$T73)))=Milestones!$AB$195),TEXT(EDATE($D73,Milestones!$AA$195),"dd/mm/yy")&amp;" "&amp;Milestones!$AB$195&amp;" "&amp;Milestones!$AC$195&amp;";  ","")&amp;IF(AND(EDATE($D73,Milestones!$AA$196)&lt;=AsOfDate,IF($Q73=0,$W73,IF(AND($S73&lt;&gt;"",EDATE($D73,Milestones!$AA$196)&gt;=$S73),$V73,IF(AND($R73&lt;&gt;"",EDATE($D73,Milestones!$AA$196)&gt;=$R73),$U73,$T73)))=Milestones!$AB$196),TEXT(EDATE($D73,Milestones!$AA$196),"dd/mm/yy")&amp;" "&amp;Milestones!$AB$196&amp;" "&amp;Milestones!$AC$196&amp;";  ","")&amp;IF(AND(EDATE($D73,Milestones!$AA$197)&lt;=AsOfDate,IF($Q73=0,$W73,IF(AND($S73&lt;&gt;"",EDATE($D73,Milestones!$AA$197)&gt;=$S73),$V73,IF(AND($R73&lt;&gt;"",EDATE($D73,Milestones!$AA$197)&gt;=$R73),$U73,$T73)))=Milestones!$AB$197),TEXT(EDATE($D73,Milestones!$AA$197),"dd/mm/yy")&amp;" "&amp;Milestones!$AB$197&amp;" "&amp;Milestones!$AC$197&amp;";  ","")&amp;IF(AND(EDATE($D73,Milestones!$AA$198)&lt;=AsOfDate,IF($Q73=0,$W73,IF(AND($S73&lt;&gt;"",EDATE($D73,Milestones!$AA$198)&gt;=$S73),$V73,IF(AND($R73&lt;&gt;"",EDATE($D73,Milestones!$AA$198)&gt;=$R73),$U73,$T73)))=Milestones!$AB$198),TEXT(EDATE($D73,Milestones!$AA$198),"dd/mm/yy")&amp;" "&amp;Milestones!$AB$198&amp;" "&amp;Milestones!$AC$198&amp;";  ","")&amp;IF(AND(EDATE($D73,Milestones!$AA$199)&lt;=AsOfDate,IF($Q73=0,$W73,IF(AND($S73&lt;&gt;"",EDATE($D73,Milestones!$AA$199)&gt;=$S73),$V73,IF(AND($R73&lt;&gt;"",EDATE($D73,Milestones!$AA$199)&gt;=$R73),$U73,$T73)))=Milestones!$AB$199),TEXT(EDATE($D73,Milestones!$AA$199),"dd/mm/yy")&amp;" "&amp;Milestones!$AB$199&amp;" "&amp;Milestones!$AC$199&amp;";  ",""))</f>
        <v/>
      </c>
      <c r="Q73" s="0" t="str">
        <f aca="false">IF(Staff!$A73="","",Staff!$AG73)</f>
        <v/>
      </c>
      <c r="R73" s="0" t="str">
        <f aca="false">IF(Staff!$A73="","",Staff!$AI73)</f>
        <v/>
      </c>
      <c r="S73" s="0" t="str">
        <f aca="false">IF(Staff!$A73="","",Staff!$AJ73)</f>
        <v/>
      </c>
      <c r="T73" s="0" t="str">
        <f aca="false">IF(Staff!$A73="","",Staff!$AN73)</f>
        <v/>
      </c>
      <c r="U73" s="0" t="str">
        <f aca="false">IF(Staff!$A73="","",Staff!$AO73)</f>
        <v/>
      </c>
      <c r="V73" s="0" t="str">
        <f aca="false">IF(Staff!$A73="","",Staff!$AP73)</f>
        <v/>
      </c>
      <c r="W73" s="0" t="str">
        <f aca="false">IF(Staff!$A73="","",Staff!$AQ73)</f>
        <v/>
      </c>
    </row>
    <row r="74" customFormat="false" ht="15" hidden="false" customHeight="false" outlineLevel="0" collapsed="false">
      <c r="A74" s="13" t="str">
        <f aca="false">IF(Staff!$A74="","",Staff!$A74)</f>
        <v/>
      </c>
      <c r="B74" s="13" t="str">
        <f aca="false">IF(Staff!$A74="","",Staff!$B74)</f>
        <v/>
      </c>
      <c r="C74" s="13" t="str">
        <f aca="false">IF(Staff!$A74="","",Staff!$C74)</f>
        <v/>
      </c>
      <c r="D74" s="11" t="str">
        <f aca="false">IF(Staff!$A74="","",Staff!$AF74)</f>
        <v/>
      </c>
      <c r="E74" s="13" t="str">
        <f aca="false">IF(Staff!$A74="","",Staff!$O74)</f>
        <v/>
      </c>
      <c r="F74" s="13" t="str">
        <f aca="false">IF(E74="","",E74*HoursPerDay)</f>
        <v/>
      </c>
      <c r="G74" s="26" t="str">
        <f aca="false">IF($A74="","",H74&amp;I74&amp;J74&amp;K74&amp;L74&amp;M74&amp;N74&amp;O74&amp;P74)</f>
        <v/>
      </c>
      <c r="H74" s="0" t="str">
        <f aca="false">IF(OR($A74="",$D74=""),"",IF(AND(EDATE($D74,Milestones!$AA$20)&lt;=AsOfDate,IF($Q74=0,$W74,IF(AND($S74&lt;&gt;"",EDATE($D74,Milestones!$AA$20)&gt;=$S74),$V74,IF(AND($R74&lt;&gt;"",EDATE($D74,Milestones!$AA$20)&gt;=$R74),$U74,$T74)))=Milestones!$AB$20),TEXT(EDATE($D74,Milestones!$AA$20),"dd/mm/yy")&amp;" "&amp;Milestones!$AB$20&amp;" "&amp;Milestones!$AC$20&amp;";  ","")&amp;IF(AND(EDATE($D74,Milestones!$AA$21)&lt;=AsOfDate,IF($Q74=0,$W74,IF(AND($S74&lt;&gt;"",EDATE($D74,Milestones!$AA$21)&gt;=$S74),$V74,IF(AND($R74&lt;&gt;"",EDATE($D74,Milestones!$AA$21)&gt;=$R74),$U74,$T74)))=Milestones!$AB$21),TEXT(EDATE($D74,Milestones!$AA$21),"dd/mm/yy")&amp;" "&amp;Milestones!$AB$21&amp;" "&amp;Milestones!$AC$21&amp;";  ","")&amp;IF(AND(EDATE($D74,Milestones!$AA$22)&lt;=AsOfDate,IF($Q74=0,$W74,IF(AND($S74&lt;&gt;"",EDATE($D74,Milestones!$AA$22)&gt;=$S74),$V74,IF(AND($R74&lt;&gt;"",EDATE($D74,Milestones!$AA$22)&gt;=$R74),$U74,$T74)))=Milestones!$AB$22),TEXT(EDATE($D74,Milestones!$AA$22),"dd/mm/yy")&amp;" "&amp;Milestones!$AB$22&amp;" "&amp;Milestones!$AC$22&amp;";  ","")&amp;IF(AND(EDATE($D74,Milestones!$AA$23)&lt;=AsOfDate,IF($Q74=0,$W74,IF(AND($S74&lt;&gt;"",EDATE($D74,Milestones!$AA$23)&gt;=$S74),$V74,IF(AND($R74&lt;&gt;"",EDATE($D74,Milestones!$AA$23)&gt;=$R74),$U74,$T74)))=Milestones!$AB$23),TEXT(EDATE($D74,Milestones!$AA$23),"dd/mm/yy")&amp;" "&amp;Milestones!$AB$23&amp;" "&amp;Milestones!$AC$23&amp;";  ","")&amp;IF(AND(EDATE($D74,Milestones!$AA$24)&lt;=AsOfDate,IF($Q74=0,$W74,IF(AND($S74&lt;&gt;"",EDATE($D74,Milestones!$AA$24)&gt;=$S74),$V74,IF(AND($R74&lt;&gt;"",EDATE($D74,Milestones!$AA$24)&gt;=$R74),$U74,$T74)))=Milestones!$AB$24),TEXT(EDATE($D74,Milestones!$AA$24),"dd/mm/yy")&amp;" "&amp;Milestones!$AB$24&amp;" "&amp;Milestones!$AC$24&amp;";  ","")&amp;IF(AND(EDATE($D74,Milestones!$AA$25)&lt;=AsOfDate,IF($Q74=0,$W74,IF(AND($S74&lt;&gt;"",EDATE($D74,Milestones!$AA$25)&gt;=$S74),$V74,IF(AND($R74&lt;&gt;"",EDATE($D74,Milestones!$AA$25)&gt;=$R74),$U74,$T74)))=Milestones!$AB$25),TEXT(EDATE($D74,Milestones!$AA$25),"dd/mm/yy")&amp;" "&amp;Milestones!$AB$25&amp;" "&amp;Milestones!$AC$25&amp;";  ","")&amp;IF(AND(EDATE($D74,Milestones!$AA$26)&lt;=AsOfDate,IF($Q74=0,$W74,IF(AND($S74&lt;&gt;"",EDATE($D74,Milestones!$AA$26)&gt;=$S74),$V74,IF(AND($R74&lt;&gt;"",EDATE($D74,Milestones!$AA$26)&gt;=$R74),$U74,$T74)))=Milestones!$AB$26),TEXT(EDATE($D74,Milestones!$AA$26),"dd/mm/yy")&amp;" "&amp;Milestones!$AB$26&amp;" "&amp;Milestones!$AC$26&amp;";  ","")&amp;IF(AND(EDATE($D74,Milestones!$AA$27)&lt;=AsOfDate,IF($Q74=0,$W74,IF(AND($S74&lt;&gt;"",EDATE($D74,Milestones!$AA$27)&gt;=$S74),$V74,IF(AND($R74&lt;&gt;"",EDATE($D74,Milestones!$AA$27)&gt;=$R74),$U74,$T74)))=Milestones!$AB$27),TEXT(EDATE($D74,Milestones!$AA$27),"dd/mm/yy")&amp;" "&amp;Milestones!$AB$27&amp;" "&amp;Milestones!$AC$27&amp;";  ","")&amp;IF(AND(EDATE($D74,Milestones!$AA$28)&lt;=AsOfDate,IF($Q74=0,$W74,IF(AND($S74&lt;&gt;"",EDATE($D74,Milestones!$AA$28)&gt;=$S74),$V74,IF(AND($R74&lt;&gt;"",EDATE($D74,Milestones!$AA$28)&gt;=$R74),$U74,$T74)))=Milestones!$AB$28),TEXT(EDATE($D74,Milestones!$AA$28),"dd/mm/yy")&amp;" "&amp;Milestones!$AB$28&amp;" "&amp;Milestones!$AC$28&amp;";  ","")&amp;IF(AND(EDATE($D74,Milestones!$AA$29)&lt;=AsOfDate,IF($Q74=0,$W74,IF(AND($S74&lt;&gt;"",EDATE($D74,Milestones!$AA$29)&gt;=$S74),$V74,IF(AND($R74&lt;&gt;"",EDATE($D74,Milestones!$AA$29)&gt;=$R74),$U74,$T74)))=Milestones!$AB$29),TEXT(EDATE($D74,Milestones!$AA$29),"dd/mm/yy")&amp;" "&amp;Milestones!$AB$29&amp;" "&amp;Milestones!$AC$29&amp;";  ","")&amp;IF(AND(EDATE($D74,Milestones!$AA$30)&lt;=AsOfDate,IF($Q74=0,$W74,IF(AND($S74&lt;&gt;"",EDATE($D74,Milestones!$AA$30)&gt;=$S74),$V74,IF(AND($R74&lt;&gt;"",EDATE($D74,Milestones!$AA$30)&gt;=$R74),$U74,$T74)))=Milestones!$AB$30),TEXT(EDATE($D74,Milestones!$AA$30),"dd/mm/yy")&amp;" "&amp;Milestones!$AB$30&amp;" "&amp;Milestones!$AC$30&amp;";  ","")&amp;IF(AND(EDATE($D74,Milestones!$AA$31)&lt;=AsOfDate,IF($Q74=0,$W74,IF(AND($S74&lt;&gt;"",EDATE($D74,Milestones!$AA$31)&gt;=$S74),$V74,IF(AND($R74&lt;&gt;"",EDATE($D74,Milestones!$AA$31)&gt;=$R74),$U74,$T74)))=Milestones!$AB$31),TEXT(EDATE($D74,Milestones!$AA$31),"dd/mm/yy")&amp;" "&amp;Milestones!$AB$31&amp;" "&amp;Milestones!$AC$31&amp;";  ","")&amp;IF(AND(EDATE($D74,Milestones!$AA$32)&lt;=AsOfDate,IF($Q74=0,$W74,IF(AND($S74&lt;&gt;"",EDATE($D74,Milestones!$AA$32)&gt;=$S74),$V74,IF(AND($R74&lt;&gt;"",EDATE($D74,Milestones!$AA$32)&gt;=$R74),$U74,$T74)))=Milestones!$AB$32),TEXT(EDATE($D74,Milestones!$AA$32),"dd/mm/yy")&amp;" "&amp;Milestones!$AB$32&amp;" "&amp;Milestones!$AC$32&amp;";  ","")&amp;IF(AND(EDATE($D74,Milestones!$AA$33)&lt;=AsOfDate,IF($Q74=0,$W74,IF(AND($S74&lt;&gt;"",EDATE($D74,Milestones!$AA$33)&gt;=$S74),$V74,IF(AND($R74&lt;&gt;"",EDATE($D74,Milestones!$AA$33)&gt;=$R74),$U74,$T74)))=Milestones!$AB$33),TEXT(EDATE($D74,Milestones!$AA$33),"dd/mm/yy")&amp;" "&amp;Milestones!$AB$33&amp;" "&amp;Milestones!$AC$33&amp;";  ","")&amp;IF(AND(EDATE($D74,Milestones!$AA$34)&lt;=AsOfDate,IF($Q74=0,$W74,IF(AND($S74&lt;&gt;"",EDATE($D74,Milestones!$AA$34)&gt;=$S74),$V74,IF(AND($R74&lt;&gt;"",EDATE($D74,Milestones!$AA$34)&gt;=$R74),$U74,$T74)))=Milestones!$AB$34),TEXT(EDATE($D74,Milestones!$AA$34),"dd/mm/yy")&amp;" "&amp;Milestones!$AB$34&amp;" "&amp;Milestones!$AC$34&amp;";  ","")&amp;IF(AND(EDATE($D74,Milestones!$AA$35)&lt;=AsOfDate,IF($Q74=0,$W74,IF(AND($S74&lt;&gt;"",EDATE($D74,Milestones!$AA$35)&gt;=$S74),$V74,IF(AND($R74&lt;&gt;"",EDATE($D74,Milestones!$AA$35)&gt;=$R74),$U74,$T74)))=Milestones!$AB$35),TEXT(EDATE($D74,Milestones!$AA$35),"dd/mm/yy")&amp;" "&amp;Milestones!$AB$35&amp;" "&amp;Milestones!$AC$35&amp;";  ","")&amp;IF(AND(EDATE($D74,Milestones!$AA$36)&lt;=AsOfDate,IF($Q74=0,$W74,IF(AND($S74&lt;&gt;"",EDATE($D74,Milestones!$AA$36)&gt;=$S74),$V74,IF(AND($R74&lt;&gt;"",EDATE($D74,Milestones!$AA$36)&gt;=$R74),$U74,$T74)))=Milestones!$AB$36),TEXT(EDATE($D74,Milestones!$AA$36),"dd/mm/yy")&amp;" "&amp;Milestones!$AB$36&amp;" "&amp;Milestones!$AC$36&amp;";  ","")&amp;IF(AND(EDATE($D74,Milestones!$AA$37)&lt;=AsOfDate,IF($Q74=0,$W74,IF(AND($S74&lt;&gt;"",EDATE($D74,Milestones!$AA$37)&gt;=$S74),$V74,IF(AND($R74&lt;&gt;"",EDATE($D74,Milestones!$AA$37)&gt;=$R74),$U74,$T74)))=Milestones!$AB$37),TEXT(EDATE($D74,Milestones!$AA$37),"dd/mm/yy")&amp;" "&amp;Milestones!$AB$37&amp;" "&amp;Milestones!$AC$37&amp;";  ","")&amp;IF(AND(EDATE($D74,Milestones!$AA$38)&lt;=AsOfDate,IF($Q74=0,$W74,IF(AND($S74&lt;&gt;"",EDATE($D74,Milestones!$AA$38)&gt;=$S74),$V74,IF(AND($R74&lt;&gt;"",EDATE($D74,Milestones!$AA$38)&gt;=$R74),$U74,$T74)))=Milestones!$AB$38),TEXT(EDATE($D74,Milestones!$AA$38),"dd/mm/yy")&amp;" "&amp;Milestones!$AB$38&amp;" "&amp;Milestones!$AC$38&amp;";  ","")&amp;IF(AND(EDATE($D74,Milestones!$AA$39)&lt;=AsOfDate,IF($Q74=0,$W74,IF(AND($S74&lt;&gt;"",EDATE($D74,Milestones!$AA$39)&gt;=$S74),$V74,IF(AND($R74&lt;&gt;"",EDATE($D74,Milestones!$AA$39)&gt;=$R74),$U74,$T74)))=Milestones!$AB$39),TEXT(EDATE($D74,Milestones!$AA$39),"dd/mm/yy")&amp;" "&amp;Milestones!$AB$39&amp;" "&amp;Milestones!$AC$39&amp;";  ",""))</f>
        <v/>
      </c>
      <c r="I74" s="0" t="str">
        <f aca="false">IF(OR($A74="",$D74=""),"",IF(AND(EDATE($D74,Milestones!$AA$40)&lt;=AsOfDate,IF($Q74=0,$W74,IF(AND($S74&lt;&gt;"",EDATE($D74,Milestones!$AA$40)&gt;=$S74),$V74,IF(AND($R74&lt;&gt;"",EDATE($D74,Milestones!$AA$40)&gt;=$R74),$U74,$T74)))=Milestones!$AB$40),TEXT(EDATE($D74,Milestones!$AA$40),"dd/mm/yy")&amp;" "&amp;Milestones!$AB$40&amp;" "&amp;Milestones!$AC$40&amp;";  ","")&amp;IF(AND(EDATE($D74,Milestones!$AA$41)&lt;=AsOfDate,IF($Q74=0,$W74,IF(AND($S74&lt;&gt;"",EDATE($D74,Milestones!$AA$41)&gt;=$S74),$V74,IF(AND($R74&lt;&gt;"",EDATE($D74,Milestones!$AA$41)&gt;=$R74),$U74,$T74)))=Milestones!$AB$41),TEXT(EDATE($D74,Milestones!$AA$41),"dd/mm/yy")&amp;" "&amp;Milestones!$AB$41&amp;" "&amp;Milestones!$AC$41&amp;";  ","")&amp;IF(AND(EDATE($D74,Milestones!$AA$42)&lt;=AsOfDate,IF($Q74=0,$W74,IF(AND($S74&lt;&gt;"",EDATE($D74,Milestones!$AA$42)&gt;=$S74),$V74,IF(AND($R74&lt;&gt;"",EDATE($D74,Milestones!$AA$42)&gt;=$R74),$U74,$T74)))=Milestones!$AB$42),TEXT(EDATE($D74,Milestones!$AA$42),"dd/mm/yy")&amp;" "&amp;Milestones!$AB$42&amp;" "&amp;Milestones!$AC$42&amp;";  ","")&amp;IF(AND(EDATE($D74,Milestones!$AA$43)&lt;=AsOfDate,IF($Q74=0,$W74,IF(AND($S74&lt;&gt;"",EDATE($D74,Milestones!$AA$43)&gt;=$S74),$V74,IF(AND($R74&lt;&gt;"",EDATE($D74,Milestones!$AA$43)&gt;=$R74),$U74,$T74)))=Milestones!$AB$43),TEXT(EDATE($D74,Milestones!$AA$43),"dd/mm/yy")&amp;" "&amp;Milestones!$AB$43&amp;" "&amp;Milestones!$AC$43&amp;";  ","")&amp;IF(AND(EDATE($D74,Milestones!$AA$44)&lt;=AsOfDate,IF($Q74=0,$W74,IF(AND($S74&lt;&gt;"",EDATE($D74,Milestones!$AA$44)&gt;=$S74),$V74,IF(AND($R74&lt;&gt;"",EDATE($D74,Milestones!$AA$44)&gt;=$R74),$U74,$T74)))=Milestones!$AB$44),TEXT(EDATE($D74,Milestones!$AA$44),"dd/mm/yy")&amp;" "&amp;Milestones!$AB$44&amp;" "&amp;Milestones!$AC$44&amp;";  ","")&amp;IF(AND(EDATE($D74,Milestones!$AA$45)&lt;=AsOfDate,IF($Q74=0,$W74,IF(AND($S74&lt;&gt;"",EDATE($D74,Milestones!$AA$45)&gt;=$S74),$V74,IF(AND($R74&lt;&gt;"",EDATE($D74,Milestones!$AA$45)&gt;=$R74),$U74,$T74)))=Milestones!$AB$45),TEXT(EDATE($D74,Milestones!$AA$45),"dd/mm/yy")&amp;" "&amp;Milestones!$AB$45&amp;" "&amp;Milestones!$AC$45&amp;";  ","")&amp;IF(AND(EDATE($D74,Milestones!$AA$46)&lt;=AsOfDate,IF($Q74=0,$W74,IF(AND($S74&lt;&gt;"",EDATE($D74,Milestones!$AA$46)&gt;=$S74),$V74,IF(AND($R74&lt;&gt;"",EDATE($D74,Milestones!$AA$46)&gt;=$R74),$U74,$T74)))=Milestones!$AB$46),TEXT(EDATE($D74,Milestones!$AA$46),"dd/mm/yy")&amp;" "&amp;Milestones!$AB$46&amp;" "&amp;Milestones!$AC$46&amp;";  ","")&amp;IF(AND(EDATE($D74,Milestones!$AA$47)&lt;=AsOfDate,IF($Q74=0,$W74,IF(AND($S74&lt;&gt;"",EDATE($D74,Milestones!$AA$47)&gt;=$S74),$V74,IF(AND($R74&lt;&gt;"",EDATE($D74,Milestones!$AA$47)&gt;=$R74),$U74,$T74)))=Milestones!$AB$47),TEXT(EDATE($D74,Milestones!$AA$47),"dd/mm/yy")&amp;" "&amp;Milestones!$AB$47&amp;" "&amp;Milestones!$AC$47&amp;";  ","")&amp;IF(AND(EDATE($D74,Milestones!$AA$48)&lt;=AsOfDate,IF($Q74=0,$W74,IF(AND($S74&lt;&gt;"",EDATE($D74,Milestones!$AA$48)&gt;=$S74),$V74,IF(AND($R74&lt;&gt;"",EDATE($D74,Milestones!$AA$48)&gt;=$R74),$U74,$T74)))=Milestones!$AB$48),TEXT(EDATE($D74,Milestones!$AA$48),"dd/mm/yy")&amp;" "&amp;Milestones!$AB$48&amp;" "&amp;Milestones!$AC$48&amp;";  ","")&amp;IF(AND(EDATE($D74,Milestones!$AA$49)&lt;=AsOfDate,IF($Q74=0,$W74,IF(AND($S74&lt;&gt;"",EDATE($D74,Milestones!$AA$49)&gt;=$S74),$V74,IF(AND($R74&lt;&gt;"",EDATE($D74,Milestones!$AA$49)&gt;=$R74),$U74,$T74)))=Milestones!$AB$49),TEXT(EDATE($D74,Milestones!$AA$49),"dd/mm/yy")&amp;" "&amp;Milestones!$AB$49&amp;" "&amp;Milestones!$AC$49&amp;";  ","")&amp;IF(AND(EDATE($D74,Milestones!$AA$50)&lt;=AsOfDate,IF($Q74=0,$W74,IF(AND($S74&lt;&gt;"",EDATE($D74,Milestones!$AA$50)&gt;=$S74),$V74,IF(AND($R74&lt;&gt;"",EDATE($D74,Milestones!$AA$50)&gt;=$R74),$U74,$T74)))=Milestones!$AB$50),TEXT(EDATE($D74,Milestones!$AA$50),"dd/mm/yy")&amp;" "&amp;Milestones!$AB$50&amp;" "&amp;Milestones!$AC$50&amp;";  ","")&amp;IF(AND(EDATE($D74,Milestones!$AA$51)&lt;=AsOfDate,IF($Q74=0,$W74,IF(AND($S74&lt;&gt;"",EDATE($D74,Milestones!$AA$51)&gt;=$S74),$V74,IF(AND($R74&lt;&gt;"",EDATE($D74,Milestones!$AA$51)&gt;=$R74),$U74,$T74)))=Milestones!$AB$51),TEXT(EDATE($D74,Milestones!$AA$51),"dd/mm/yy")&amp;" "&amp;Milestones!$AB$51&amp;" "&amp;Milestones!$AC$51&amp;";  ","")&amp;IF(AND(EDATE($D74,Milestones!$AA$52)&lt;=AsOfDate,IF($Q74=0,$W74,IF(AND($S74&lt;&gt;"",EDATE($D74,Milestones!$AA$52)&gt;=$S74),$V74,IF(AND($R74&lt;&gt;"",EDATE($D74,Milestones!$AA$52)&gt;=$R74),$U74,$T74)))=Milestones!$AB$52),TEXT(EDATE($D74,Milestones!$AA$52),"dd/mm/yy")&amp;" "&amp;Milestones!$AB$52&amp;" "&amp;Milestones!$AC$52&amp;";  ","")&amp;IF(AND(EDATE($D74,Milestones!$AA$53)&lt;=AsOfDate,IF($Q74=0,$W74,IF(AND($S74&lt;&gt;"",EDATE($D74,Milestones!$AA$53)&gt;=$S74),$V74,IF(AND($R74&lt;&gt;"",EDATE($D74,Milestones!$AA$53)&gt;=$R74),$U74,$T74)))=Milestones!$AB$53),TEXT(EDATE($D74,Milestones!$AA$53),"dd/mm/yy")&amp;" "&amp;Milestones!$AB$53&amp;" "&amp;Milestones!$AC$53&amp;";  ","")&amp;IF(AND(EDATE($D74,Milestones!$AA$54)&lt;=AsOfDate,IF($Q74=0,$W74,IF(AND($S74&lt;&gt;"",EDATE($D74,Milestones!$AA$54)&gt;=$S74),$V74,IF(AND($R74&lt;&gt;"",EDATE($D74,Milestones!$AA$54)&gt;=$R74),$U74,$T74)))=Milestones!$AB$54),TEXT(EDATE($D74,Milestones!$AA$54),"dd/mm/yy")&amp;" "&amp;Milestones!$AB$54&amp;" "&amp;Milestones!$AC$54&amp;";  ","")&amp;IF(AND(EDATE($D74,Milestones!$AA$55)&lt;=AsOfDate,IF($Q74=0,$W74,IF(AND($S74&lt;&gt;"",EDATE($D74,Milestones!$AA$55)&gt;=$S74),$V74,IF(AND($R74&lt;&gt;"",EDATE($D74,Milestones!$AA$55)&gt;=$R74),$U74,$T74)))=Milestones!$AB$55),TEXT(EDATE($D74,Milestones!$AA$55),"dd/mm/yy")&amp;" "&amp;Milestones!$AB$55&amp;" "&amp;Milestones!$AC$55&amp;";  ","")&amp;IF(AND(EDATE($D74,Milestones!$AA$56)&lt;=AsOfDate,IF($Q74=0,$W74,IF(AND($S74&lt;&gt;"",EDATE($D74,Milestones!$AA$56)&gt;=$S74),$V74,IF(AND($R74&lt;&gt;"",EDATE($D74,Milestones!$AA$56)&gt;=$R74),$U74,$T74)))=Milestones!$AB$56),TEXT(EDATE($D74,Milestones!$AA$56),"dd/mm/yy")&amp;" "&amp;Milestones!$AB$56&amp;" "&amp;Milestones!$AC$56&amp;";  ","")&amp;IF(AND(EDATE($D74,Milestones!$AA$57)&lt;=AsOfDate,IF($Q74=0,$W74,IF(AND($S74&lt;&gt;"",EDATE($D74,Milestones!$AA$57)&gt;=$S74),$V74,IF(AND($R74&lt;&gt;"",EDATE($D74,Milestones!$AA$57)&gt;=$R74),$U74,$T74)))=Milestones!$AB$57),TEXT(EDATE($D74,Milestones!$AA$57),"dd/mm/yy")&amp;" "&amp;Milestones!$AB$57&amp;" "&amp;Milestones!$AC$57&amp;";  ","")&amp;IF(AND(EDATE($D74,Milestones!$AA$58)&lt;=AsOfDate,IF($Q74=0,$W74,IF(AND($S74&lt;&gt;"",EDATE($D74,Milestones!$AA$58)&gt;=$S74),$V74,IF(AND($R74&lt;&gt;"",EDATE($D74,Milestones!$AA$58)&gt;=$R74),$U74,$T74)))=Milestones!$AB$58),TEXT(EDATE($D74,Milestones!$AA$58),"dd/mm/yy")&amp;" "&amp;Milestones!$AB$58&amp;" "&amp;Milestones!$AC$58&amp;";  ","")&amp;IF(AND(EDATE($D74,Milestones!$AA$59)&lt;=AsOfDate,IF($Q74=0,$W74,IF(AND($S74&lt;&gt;"",EDATE($D74,Milestones!$AA$59)&gt;=$S74),$V74,IF(AND($R74&lt;&gt;"",EDATE($D74,Milestones!$AA$59)&gt;=$R74),$U74,$T74)))=Milestones!$AB$59),TEXT(EDATE($D74,Milestones!$AA$59),"dd/mm/yy")&amp;" "&amp;Milestones!$AB$59&amp;" "&amp;Milestones!$AC$59&amp;";  ",""))</f>
        <v/>
      </c>
      <c r="J74" s="0" t="str">
        <f aca="false">IF(OR($A74="",$D74=""),"",IF(AND(EDATE($D74,Milestones!$AA$60)&lt;=AsOfDate,IF($Q74=0,$W74,IF(AND($S74&lt;&gt;"",EDATE($D74,Milestones!$AA$60)&gt;=$S74),$V74,IF(AND($R74&lt;&gt;"",EDATE($D74,Milestones!$AA$60)&gt;=$R74),$U74,$T74)))=Milestones!$AB$60),TEXT(EDATE($D74,Milestones!$AA$60),"dd/mm/yy")&amp;" "&amp;Milestones!$AB$60&amp;" "&amp;Milestones!$AC$60&amp;";  ","")&amp;IF(AND(EDATE($D74,Milestones!$AA$61)&lt;=AsOfDate,IF($Q74=0,$W74,IF(AND($S74&lt;&gt;"",EDATE($D74,Milestones!$AA$61)&gt;=$S74),$V74,IF(AND($R74&lt;&gt;"",EDATE($D74,Milestones!$AA$61)&gt;=$R74),$U74,$T74)))=Milestones!$AB$61),TEXT(EDATE($D74,Milestones!$AA$61),"dd/mm/yy")&amp;" "&amp;Milestones!$AB$61&amp;" "&amp;Milestones!$AC$61&amp;";  ","")&amp;IF(AND(EDATE($D74,Milestones!$AA$62)&lt;=AsOfDate,IF($Q74=0,$W74,IF(AND($S74&lt;&gt;"",EDATE($D74,Milestones!$AA$62)&gt;=$S74),$V74,IF(AND($R74&lt;&gt;"",EDATE($D74,Milestones!$AA$62)&gt;=$R74),$U74,$T74)))=Milestones!$AB$62),TEXT(EDATE($D74,Milestones!$AA$62),"dd/mm/yy")&amp;" "&amp;Milestones!$AB$62&amp;" "&amp;Milestones!$AC$62&amp;";  ","")&amp;IF(AND(EDATE($D74,Milestones!$AA$63)&lt;=AsOfDate,IF($Q74=0,$W74,IF(AND($S74&lt;&gt;"",EDATE($D74,Milestones!$AA$63)&gt;=$S74),$V74,IF(AND($R74&lt;&gt;"",EDATE($D74,Milestones!$AA$63)&gt;=$R74),$U74,$T74)))=Milestones!$AB$63),TEXT(EDATE($D74,Milestones!$AA$63),"dd/mm/yy")&amp;" "&amp;Milestones!$AB$63&amp;" "&amp;Milestones!$AC$63&amp;";  ","")&amp;IF(AND(EDATE($D74,Milestones!$AA$64)&lt;=AsOfDate,IF($Q74=0,$W74,IF(AND($S74&lt;&gt;"",EDATE($D74,Milestones!$AA$64)&gt;=$S74),$V74,IF(AND($R74&lt;&gt;"",EDATE($D74,Milestones!$AA$64)&gt;=$R74),$U74,$T74)))=Milestones!$AB$64),TEXT(EDATE($D74,Milestones!$AA$64),"dd/mm/yy")&amp;" "&amp;Milestones!$AB$64&amp;" "&amp;Milestones!$AC$64&amp;";  ","")&amp;IF(AND(EDATE($D74,Milestones!$AA$65)&lt;=AsOfDate,IF($Q74=0,$W74,IF(AND($S74&lt;&gt;"",EDATE($D74,Milestones!$AA$65)&gt;=$S74),$V74,IF(AND($R74&lt;&gt;"",EDATE($D74,Milestones!$AA$65)&gt;=$R74),$U74,$T74)))=Milestones!$AB$65),TEXT(EDATE($D74,Milestones!$AA$65),"dd/mm/yy")&amp;" "&amp;Milestones!$AB$65&amp;" "&amp;Milestones!$AC$65&amp;";  ","")&amp;IF(AND(EDATE($D74,Milestones!$AA$66)&lt;=AsOfDate,IF($Q74=0,$W74,IF(AND($S74&lt;&gt;"",EDATE($D74,Milestones!$AA$66)&gt;=$S74),$V74,IF(AND($R74&lt;&gt;"",EDATE($D74,Milestones!$AA$66)&gt;=$R74),$U74,$T74)))=Milestones!$AB$66),TEXT(EDATE($D74,Milestones!$AA$66),"dd/mm/yy")&amp;" "&amp;Milestones!$AB$66&amp;" "&amp;Milestones!$AC$66&amp;";  ","")&amp;IF(AND(EDATE($D74,Milestones!$AA$67)&lt;=AsOfDate,IF($Q74=0,$W74,IF(AND($S74&lt;&gt;"",EDATE($D74,Milestones!$AA$67)&gt;=$S74),$V74,IF(AND($R74&lt;&gt;"",EDATE($D74,Milestones!$AA$67)&gt;=$R74),$U74,$T74)))=Milestones!$AB$67),TEXT(EDATE($D74,Milestones!$AA$67),"dd/mm/yy")&amp;" "&amp;Milestones!$AB$67&amp;" "&amp;Milestones!$AC$67&amp;";  ","")&amp;IF(AND(EDATE($D74,Milestones!$AA$68)&lt;=AsOfDate,IF($Q74=0,$W74,IF(AND($S74&lt;&gt;"",EDATE($D74,Milestones!$AA$68)&gt;=$S74),$V74,IF(AND($R74&lt;&gt;"",EDATE($D74,Milestones!$AA$68)&gt;=$R74),$U74,$T74)))=Milestones!$AB$68),TEXT(EDATE($D74,Milestones!$AA$68),"dd/mm/yy")&amp;" "&amp;Milestones!$AB$68&amp;" "&amp;Milestones!$AC$68&amp;";  ","")&amp;IF(AND(EDATE($D74,Milestones!$AA$69)&lt;=AsOfDate,IF($Q74=0,$W74,IF(AND($S74&lt;&gt;"",EDATE($D74,Milestones!$AA$69)&gt;=$S74),$V74,IF(AND($R74&lt;&gt;"",EDATE($D74,Milestones!$AA$69)&gt;=$R74),$U74,$T74)))=Milestones!$AB$69),TEXT(EDATE($D74,Milestones!$AA$69),"dd/mm/yy")&amp;" "&amp;Milestones!$AB$69&amp;" "&amp;Milestones!$AC$69&amp;";  ","")&amp;IF(AND(EDATE($D74,Milestones!$AA$70)&lt;=AsOfDate,IF($Q74=0,$W74,IF(AND($S74&lt;&gt;"",EDATE($D74,Milestones!$AA$70)&gt;=$S74),$V74,IF(AND($R74&lt;&gt;"",EDATE($D74,Milestones!$AA$70)&gt;=$R74),$U74,$T74)))=Milestones!$AB$70),TEXT(EDATE($D74,Milestones!$AA$70),"dd/mm/yy")&amp;" "&amp;Milestones!$AB$70&amp;" "&amp;Milestones!$AC$70&amp;";  ","")&amp;IF(AND(EDATE($D74,Milestones!$AA$71)&lt;=AsOfDate,IF($Q74=0,$W74,IF(AND($S74&lt;&gt;"",EDATE($D74,Milestones!$AA$71)&gt;=$S74),$V74,IF(AND($R74&lt;&gt;"",EDATE($D74,Milestones!$AA$71)&gt;=$R74),$U74,$T74)))=Milestones!$AB$71),TEXT(EDATE($D74,Milestones!$AA$71),"dd/mm/yy")&amp;" "&amp;Milestones!$AB$71&amp;" "&amp;Milestones!$AC$71&amp;";  ","")&amp;IF(AND(EDATE($D74,Milestones!$AA$72)&lt;=AsOfDate,IF($Q74=0,$W74,IF(AND($S74&lt;&gt;"",EDATE($D74,Milestones!$AA$72)&gt;=$S74),$V74,IF(AND($R74&lt;&gt;"",EDATE($D74,Milestones!$AA$72)&gt;=$R74),$U74,$T74)))=Milestones!$AB$72),TEXT(EDATE($D74,Milestones!$AA$72),"dd/mm/yy")&amp;" "&amp;Milestones!$AB$72&amp;" "&amp;Milestones!$AC$72&amp;";  ","")&amp;IF(AND(EDATE($D74,Milestones!$AA$73)&lt;=AsOfDate,IF($Q74=0,$W74,IF(AND($S74&lt;&gt;"",EDATE($D74,Milestones!$AA$73)&gt;=$S74),$V74,IF(AND($R74&lt;&gt;"",EDATE($D74,Milestones!$AA$73)&gt;=$R74),$U74,$T74)))=Milestones!$AB$73),TEXT(EDATE($D74,Milestones!$AA$73),"dd/mm/yy")&amp;" "&amp;Milestones!$AB$73&amp;" "&amp;Milestones!$AC$73&amp;";  ","")&amp;IF(AND(EDATE($D74,Milestones!$AA$74)&lt;=AsOfDate,IF($Q74=0,$W74,IF(AND($S74&lt;&gt;"",EDATE($D74,Milestones!$AA$74)&gt;=$S74),$V74,IF(AND($R74&lt;&gt;"",EDATE($D74,Milestones!$AA$74)&gt;=$R74),$U74,$T74)))=Milestones!$AB$74),TEXT(EDATE($D74,Milestones!$AA$74),"dd/mm/yy")&amp;" "&amp;Milestones!$AB$74&amp;" "&amp;Milestones!$AC$74&amp;";  ","")&amp;IF(AND(EDATE($D74,Milestones!$AA$75)&lt;=AsOfDate,IF($Q74=0,$W74,IF(AND($S74&lt;&gt;"",EDATE($D74,Milestones!$AA$75)&gt;=$S74),$V74,IF(AND($R74&lt;&gt;"",EDATE($D74,Milestones!$AA$75)&gt;=$R74),$U74,$T74)))=Milestones!$AB$75),TEXT(EDATE($D74,Milestones!$AA$75),"dd/mm/yy")&amp;" "&amp;Milestones!$AB$75&amp;" "&amp;Milestones!$AC$75&amp;";  ","")&amp;IF(AND(EDATE($D74,Milestones!$AA$76)&lt;=AsOfDate,IF($Q74=0,$W74,IF(AND($S74&lt;&gt;"",EDATE($D74,Milestones!$AA$76)&gt;=$S74),$V74,IF(AND($R74&lt;&gt;"",EDATE($D74,Milestones!$AA$76)&gt;=$R74),$U74,$T74)))=Milestones!$AB$76),TEXT(EDATE($D74,Milestones!$AA$76),"dd/mm/yy")&amp;" "&amp;Milestones!$AB$76&amp;" "&amp;Milestones!$AC$76&amp;";  ","")&amp;IF(AND(EDATE($D74,Milestones!$AA$77)&lt;=AsOfDate,IF($Q74=0,$W74,IF(AND($S74&lt;&gt;"",EDATE($D74,Milestones!$AA$77)&gt;=$S74),$V74,IF(AND($R74&lt;&gt;"",EDATE($D74,Milestones!$AA$77)&gt;=$R74),$U74,$T74)))=Milestones!$AB$77),TEXT(EDATE($D74,Milestones!$AA$77),"dd/mm/yy")&amp;" "&amp;Milestones!$AB$77&amp;" "&amp;Milestones!$AC$77&amp;";  ","")&amp;IF(AND(EDATE($D74,Milestones!$AA$78)&lt;=AsOfDate,IF($Q74=0,$W74,IF(AND($S74&lt;&gt;"",EDATE($D74,Milestones!$AA$78)&gt;=$S74),$V74,IF(AND($R74&lt;&gt;"",EDATE($D74,Milestones!$AA$78)&gt;=$R74),$U74,$T74)))=Milestones!$AB$78),TEXT(EDATE($D74,Milestones!$AA$78),"dd/mm/yy")&amp;" "&amp;Milestones!$AB$78&amp;" "&amp;Milestones!$AC$78&amp;";  ","")&amp;IF(AND(EDATE($D74,Milestones!$AA$79)&lt;=AsOfDate,IF($Q74=0,$W74,IF(AND($S74&lt;&gt;"",EDATE($D74,Milestones!$AA$79)&gt;=$S74),$V74,IF(AND($R74&lt;&gt;"",EDATE($D74,Milestones!$AA$79)&gt;=$R74),$U74,$T74)))=Milestones!$AB$79),TEXT(EDATE($D74,Milestones!$AA$79),"dd/mm/yy")&amp;" "&amp;Milestones!$AB$79&amp;" "&amp;Milestones!$AC$79&amp;";  ",""))</f>
        <v/>
      </c>
      <c r="K74" s="0" t="str">
        <f aca="false">IF(OR($A74="",$D74=""),"",IF(AND(EDATE($D74,Milestones!$AA$80)&lt;=AsOfDate,IF($Q74=0,$W74,IF(AND($S74&lt;&gt;"",EDATE($D74,Milestones!$AA$80)&gt;=$S74),$V74,IF(AND($R74&lt;&gt;"",EDATE($D74,Milestones!$AA$80)&gt;=$R74),$U74,$T74)))=Milestones!$AB$80),TEXT(EDATE($D74,Milestones!$AA$80),"dd/mm/yy")&amp;" "&amp;Milestones!$AB$80&amp;" "&amp;Milestones!$AC$80&amp;";  ","")&amp;IF(AND(EDATE($D74,Milestones!$AA$81)&lt;=AsOfDate,IF($Q74=0,$W74,IF(AND($S74&lt;&gt;"",EDATE($D74,Milestones!$AA$81)&gt;=$S74),$V74,IF(AND($R74&lt;&gt;"",EDATE($D74,Milestones!$AA$81)&gt;=$R74),$U74,$T74)))=Milestones!$AB$81),TEXT(EDATE($D74,Milestones!$AA$81),"dd/mm/yy")&amp;" "&amp;Milestones!$AB$81&amp;" "&amp;Milestones!$AC$81&amp;";  ","")&amp;IF(AND(EDATE($D74,Milestones!$AA$82)&lt;=AsOfDate,IF($Q74=0,$W74,IF(AND($S74&lt;&gt;"",EDATE($D74,Milestones!$AA$82)&gt;=$S74),$V74,IF(AND($R74&lt;&gt;"",EDATE($D74,Milestones!$AA$82)&gt;=$R74),$U74,$T74)))=Milestones!$AB$82),TEXT(EDATE($D74,Milestones!$AA$82),"dd/mm/yy")&amp;" "&amp;Milestones!$AB$82&amp;" "&amp;Milestones!$AC$82&amp;";  ","")&amp;IF(AND(EDATE($D74,Milestones!$AA$83)&lt;=AsOfDate,IF($Q74=0,$W74,IF(AND($S74&lt;&gt;"",EDATE($D74,Milestones!$AA$83)&gt;=$S74),$V74,IF(AND($R74&lt;&gt;"",EDATE($D74,Milestones!$AA$83)&gt;=$R74),$U74,$T74)))=Milestones!$AB$83),TEXT(EDATE($D74,Milestones!$AA$83),"dd/mm/yy")&amp;" "&amp;Milestones!$AB$83&amp;" "&amp;Milestones!$AC$83&amp;";  ","")&amp;IF(AND(EDATE($D74,Milestones!$AA$84)&lt;=AsOfDate,IF($Q74=0,$W74,IF(AND($S74&lt;&gt;"",EDATE($D74,Milestones!$AA$84)&gt;=$S74),$V74,IF(AND($R74&lt;&gt;"",EDATE($D74,Milestones!$AA$84)&gt;=$R74),$U74,$T74)))=Milestones!$AB$84),TEXT(EDATE($D74,Milestones!$AA$84),"dd/mm/yy")&amp;" "&amp;Milestones!$AB$84&amp;" "&amp;Milestones!$AC$84&amp;";  ","")&amp;IF(AND(EDATE($D74,Milestones!$AA$85)&lt;=AsOfDate,IF($Q74=0,$W74,IF(AND($S74&lt;&gt;"",EDATE($D74,Milestones!$AA$85)&gt;=$S74),$V74,IF(AND($R74&lt;&gt;"",EDATE($D74,Milestones!$AA$85)&gt;=$R74),$U74,$T74)))=Milestones!$AB$85),TEXT(EDATE($D74,Milestones!$AA$85),"dd/mm/yy")&amp;" "&amp;Milestones!$AB$85&amp;" "&amp;Milestones!$AC$85&amp;";  ","")&amp;IF(AND(EDATE($D74,Milestones!$AA$86)&lt;=AsOfDate,IF($Q74=0,$W74,IF(AND($S74&lt;&gt;"",EDATE($D74,Milestones!$AA$86)&gt;=$S74),$V74,IF(AND($R74&lt;&gt;"",EDATE($D74,Milestones!$AA$86)&gt;=$R74),$U74,$T74)))=Milestones!$AB$86),TEXT(EDATE($D74,Milestones!$AA$86),"dd/mm/yy")&amp;" "&amp;Milestones!$AB$86&amp;" "&amp;Milestones!$AC$86&amp;";  ","")&amp;IF(AND(EDATE($D74,Milestones!$AA$87)&lt;=AsOfDate,IF($Q74=0,$W74,IF(AND($S74&lt;&gt;"",EDATE($D74,Milestones!$AA$87)&gt;=$S74),$V74,IF(AND($R74&lt;&gt;"",EDATE($D74,Milestones!$AA$87)&gt;=$R74),$U74,$T74)))=Milestones!$AB$87),TEXT(EDATE($D74,Milestones!$AA$87),"dd/mm/yy")&amp;" "&amp;Milestones!$AB$87&amp;" "&amp;Milestones!$AC$87&amp;";  ","")&amp;IF(AND(EDATE($D74,Milestones!$AA$88)&lt;=AsOfDate,IF($Q74=0,$W74,IF(AND($S74&lt;&gt;"",EDATE($D74,Milestones!$AA$88)&gt;=$S74),$V74,IF(AND($R74&lt;&gt;"",EDATE($D74,Milestones!$AA$88)&gt;=$R74),$U74,$T74)))=Milestones!$AB$88),TEXT(EDATE($D74,Milestones!$AA$88),"dd/mm/yy")&amp;" "&amp;Milestones!$AB$88&amp;" "&amp;Milestones!$AC$88&amp;";  ","")&amp;IF(AND(EDATE($D74,Milestones!$AA$89)&lt;=AsOfDate,IF($Q74=0,$W74,IF(AND($S74&lt;&gt;"",EDATE($D74,Milestones!$AA$89)&gt;=$S74),$V74,IF(AND($R74&lt;&gt;"",EDATE($D74,Milestones!$AA$89)&gt;=$R74),$U74,$T74)))=Milestones!$AB$89),TEXT(EDATE($D74,Milestones!$AA$89),"dd/mm/yy")&amp;" "&amp;Milestones!$AB$89&amp;" "&amp;Milestones!$AC$89&amp;";  ","")&amp;IF(AND(EDATE($D74,Milestones!$AA$90)&lt;=AsOfDate,IF($Q74=0,$W74,IF(AND($S74&lt;&gt;"",EDATE($D74,Milestones!$AA$90)&gt;=$S74),$V74,IF(AND($R74&lt;&gt;"",EDATE($D74,Milestones!$AA$90)&gt;=$R74),$U74,$T74)))=Milestones!$AB$90),TEXT(EDATE($D74,Milestones!$AA$90),"dd/mm/yy")&amp;" "&amp;Milestones!$AB$90&amp;" "&amp;Milestones!$AC$90&amp;";  ","")&amp;IF(AND(EDATE($D74,Milestones!$AA$91)&lt;=AsOfDate,IF($Q74=0,$W74,IF(AND($S74&lt;&gt;"",EDATE($D74,Milestones!$AA$91)&gt;=$S74),$V74,IF(AND($R74&lt;&gt;"",EDATE($D74,Milestones!$AA$91)&gt;=$R74),$U74,$T74)))=Milestones!$AB$91),TEXT(EDATE($D74,Milestones!$AA$91),"dd/mm/yy")&amp;" "&amp;Milestones!$AB$91&amp;" "&amp;Milestones!$AC$91&amp;";  ","")&amp;IF(AND(EDATE($D74,Milestones!$AA$92)&lt;=AsOfDate,IF($Q74=0,$W74,IF(AND($S74&lt;&gt;"",EDATE($D74,Milestones!$AA$92)&gt;=$S74),$V74,IF(AND($R74&lt;&gt;"",EDATE($D74,Milestones!$AA$92)&gt;=$R74),$U74,$T74)))=Milestones!$AB$92),TEXT(EDATE($D74,Milestones!$AA$92),"dd/mm/yy")&amp;" "&amp;Milestones!$AB$92&amp;" "&amp;Milestones!$AC$92&amp;";  ","")&amp;IF(AND(EDATE($D74,Milestones!$AA$93)&lt;=AsOfDate,IF($Q74=0,$W74,IF(AND($S74&lt;&gt;"",EDATE($D74,Milestones!$AA$93)&gt;=$S74),$V74,IF(AND($R74&lt;&gt;"",EDATE($D74,Milestones!$AA$93)&gt;=$R74),$U74,$T74)))=Milestones!$AB$93),TEXT(EDATE($D74,Milestones!$AA$93),"dd/mm/yy")&amp;" "&amp;Milestones!$AB$93&amp;" "&amp;Milestones!$AC$93&amp;";  ","")&amp;IF(AND(EDATE($D74,Milestones!$AA$94)&lt;=AsOfDate,IF($Q74=0,$W74,IF(AND($S74&lt;&gt;"",EDATE($D74,Milestones!$AA$94)&gt;=$S74),$V74,IF(AND($R74&lt;&gt;"",EDATE($D74,Milestones!$AA$94)&gt;=$R74),$U74,$T74)))=Milestones!$AB$94),TEXT(EDATE($D74,Milestones!$AA$94),"dd/mm/yy")&amp;" "&amp;Milestones!$AB$94&amp;" "&amp;Milestones!$AC$94&amp;";  ","")&amp;IF(AND(EDATE($D74,Milestones!$AA$95)&lt;=AsOfDate,IF($Q74=0,$W74,IF(AND($S74&lt;&gt;"",EDATE($D74,Milestones!$AA$95)&gt;=$S74),$V74,IF(AND($R74&lt;&gt;"",EDATE($D74,Milestones!$AA$95)&gt;=$R74),$U74,$T74)))=Milestones!$AB$95),TEXT(EDATE($D74,Milestones!$AA$95),"dd/mm/yy")&amp;" "&amp;Milestones!$AB$95&amp;" "&amp;Milestones!$AC$95&amp;";  ","")&amp;IF(AND(EDATE($D74,Milestones!$AA$96)&lt;=AsOfDate,IF($Q74=0,$W74,IF(AND($S74&lt;&gt;"",EDATE($D74,Milestones!$AA$96)&gt;=$S74),$V74,IF(AND($R74&lt;&gt;"",EDATE($D74,Milestones!$AA$96)&gt;=$R74),$U74,$T74)))=Milestones!$AB$96),TEXT(EDATE($D74,Milestones!$AA$96),"dd/mm/yy")&amp;" "&amp;Milestones!$AB$96&amp;" "&amp;Milestones!$AC$96&amp;";  ","")&amp;IF(AND(EDATE($D74,Milestones!$AA$97)&lt;=AsOfDate,IF($Q74=0,$W74,IF(AND($S74&lt;&gt;"",EDATE($D74,Milestones!$AA$97)&gt;=$S74),$V74,IF(AND($R74&lt;&gt;"",EDATE($D74,Milestones!$AA$97)&gt;=$R74),$U74,$T74)))=Milestones!$AB$97),TEXT(EDATE($D74,Milestones!$AA$97),"dd/mm/yy")&amp;" "&amp;Milestones!$AB$97&amp;" "&amp;Milestones!$AC$97&amp;";  ","")&amp;IF(AND(EDATE($D74,Milestones!$AA$98)&lt;=AsOfDate,IF($Q74=0,$W74,IF(AND($S74&lt;&gt;"",EDATE($D74,Milestones!$AA$98)&gt;=$S74),$V74,IF(AND($R74&lt;&gt;"",EDATE($D74,Milestones!$AA$98)&gt;=$R74),$U74,$T74)))=Milestones!$AB$98),TEXT(EDATE($D74,Milestones!$AA$98),"dd/mm/yy")&amp;" "&amp;Milestones!$AB$98&amp;" "&amp;Milestones!$AC$98&amp;";  ","")&amp;IF(AND(EDATE($D74,Milestones!$AA$99)&lt;=AsOfDate,IF($Q74=0,$W74,IF(AND($S74&lt;&gt;"",EDATE($D74,Milestones!$AA$99)&gt;=$S74),$V74,IF(AND($R74&lt;&gt;"",EDATE($D74,Milestones!$AA$99)&gt;=$R74),$U74,$T74)))=Milestones!$AB$99),TEXT(EDATE($D74,Milestones!$AA$99),"dd/mm/yy")&amp;" "&amp;Milestones!$AB$99&amp;" "&amp;Milestones!$AC$99&amp;";  ",""))</f>
        <v/>
      </c>
      <c r="L74" s="0" t="str">
        <f aca="false">IF(OR($A74="",$D74=""),"",IF(AND(EDATE($D74,Milestones!$AA$100)&lt;=AsOfDate,IF($Q74=0,$W74,IF(AND($S74&lt;&gt;"",EDATE($D74,Milestones!$AA$100)&gt;=$S74),$V74,IF(AND($R74&lt;&gt;"",EDATE($D74,Milestones!$AA$100)&gt;=$R74),$U74,$T74)))=Milestones!$AB$100),TEXT(EDATE($D74,Milestones!$AA$100),"dd/mm/yy")&amp;" "&amp;Milestones!$AB$100&amp;" "&amp;Milestones!$AC$100&amp;";  ","")&amp;IF(AND(EDATE($D74,Milestones!$AA$101)&lt;=AsOfDate,IF($Q74=0,$W74,IF(AND($S74&lt;&gt;"",EDATE($D74,Milestones!$AA$101)&gt;=$S74),$V74,IF(AND($R74&lt;&gt;"",EDATE($D74,Milestones!$AA$101)&gt;=$R74),$U74,$T74)))=Milestones!$AB$101),TEXT(EDATE($D74,Milestones!$AA$101),"dd/mm/yy")&amp;" "&amp;Milestones!$AB$101&amp;" "&amp;Milestones!$AC$101&amp;";  ","")&amp;IF(AND(EDATE($D74,Milestones!$AA$102)&lt;=AsOfDate,IF($Q74=0,$W74,IF(AND($S74&lt;&gt;"",EDATE($D74,Milestones!$AA$102)&gt;=$S74),$V74,IF(AND($R74&lt;&gt;"",EDATE($D74,Milestones!$AA$102)&gt;=$R74),$U74,$T74)))=Milestones!$AB$102),TEXT(EDATE($D74,Milestones!$AA$102),"dd/mm/yy")&amp;" "&amp;Milestones!$AB$102&amp;" "&amp;Milestones!$AC$102&amp;";  ","")&amp;IF(AND(EDATE($D74,Milestones!$AA$103)&lt;=AsOfDate,IF($Q74=0,$W74,IF(AND($S74&lt;&gt;"",EDATE($D74,Milestones!$AA$103)&gt;=$S74),$V74,IF(AND($R74&lt;&gt;"",EDATE($D74,Milestones!$AA$103)&gt;=$R74),$U74,$T74)))=Milestones!$AB$103),TEXT(EDATE($D74,Milestones!$AA$103),"dd/mm/yy")&amp;" "&amp;Milestones!$AB$103&amp;" "&amp;Milestones!$AC$103&amp;";  ","")&amp;IF(AND(EDATE($D74,Milestones!$AA$104)&lt;=AsOfDate,IF($Q74=0,$W74,IF(AND($S74&lt;&gt;"",EDATE($D74,Milestones!$AA$104)&gt;=$S74),$V74,IF(AND($R74&lt;&gt;"",EDATE($D74,Milestones!$AA$104)&gt;=$R74),$U74,$T74)))=Milestones!$AB$104),TEXT(EDATE($D74,Milestones!$AA$104),"dd/mm/yy")&amp;" "&amp;Milestones!$AB$104&amp;" "&amp;Milestones!$AC$104&amp;";  ","")&amp;IF(AND(EDATE($D74,Milestones!$AA$105)&lt;=AsOfDate,IF($Q74=0,$W74,IF(AND($S74&lt;&gt;"",EDATE($D74,Milestones!$AA$105)&gt;=$S74),$V74,IF(AND($R74&lt;&gt;"",EDATE($D74,Milestones!$AA$105)&gt;=$R74),$U74,$T74)))=Milestones!$AB$105),TEXT(EDATE($D74,Milestones!$AA$105),"dd/mm/yy")&amp;" "&amp;Milestones!$AB$105&amp;" "&amp;Milestones!$AC$105&amp;";  ","")&amp;IF(AND(EDATE($D74,Milestones!$AA$106)&lt;=AsOfDate,IF($Q74=0,$W74,IF(AND($S74&lt;&gt;"",EDATE($D74,Milestones!$AA$106)&gt;=$S74),$V74,IF(AND($R74&lt;&gt;"",EDATE($D74,Milestones!$AA$106)&gt;=$R74),$U74,$T74)))=Milestones!$AB$106),TEXT(EDATE($D74,Milestones!$AA$106),"dd/mm/yy")&amp;" "&amp;Milestones!$AB$106&amp;" "&amp;Milestones!$AC$106&amp;";  ","")&amp;IF(AND(EDATE($D74,Milestones!$AA$107)&lt;=AsOfDate,IF($Q74=0,$W74,IF(AND($S74&lt;&gt;"",EDATE($D74,Milestones!$AA$107)&gt;=$S74),$V74,IF(AND($R74&lt;&gt;"",EDATE($D74,Milestones!$AA$107)&gt;=$R74),$U74,$T74)))=Milestones!$AB$107),TEXT(EDATE($D74,Milestones!$AA$107),"dd/mm/yy")&amp;" "&amp;Milestones!$AB$107&amp;" "&amp;Milestones!$AC$107&amp;";  ","")&amp;IF(AND(EDATE($D74,Milestones!$AA$108)&lt;=AsOfDate,IF($Q74=0,$W74,IF(AND($S74&lt;&gt;"",EDATE($D74,Milestones!$AA$108)&gt;=$S74),$V74,IF(AND($R74&lt;&gt;"",EDATE($D74,Milestones!$AA$108)&gt;=$R74),$U74,$T74)))=Milestones!$AB$108),TEXT(EDATE($D74,Milestones!$AA$108),"dd/mm/yy")&amp;" "&amp;Milestones!$AB$108&amp;" "&amp;Milestones!$AC$108&amp;";  ","")&amp;IF(AND(EDATE($D74,Milestones!$AA$109)&lt;=AsOfDate,IF($Q74=0,$W74,IF(AND($S74&lt;&gt;"",EDATE($D74,Milestones!$AA$109)&gt;=$S74),$V74,IF(AND($R74&lt;&gt;"",EDATE($D74,Milestones!$AA$109)&gt;=$R74),$U74,$T74)))=Milestones!$AB$109),TEXT(EDATE($D74,Milestones!$AA$109),"dd/mm/yy")&amp;" "&amp;Milestones!$AB$109&amp;" "&amp;Milestones!$AC$109&amp;";  ","")&amp;IF(AND(EDATE($D74,Milestones!$AA$110)&lt;=AsOfDate,IF($Q74=0,$W74,IF(AND($S74&lt;&gt;"",EDATE($D74,Milestones!$AA$110)&gt;=$S74),$V74,IF(AND($R74&lt;&gt;"",EDATE($D74,Milestones!$AA$110)&gt;=$R74),$U74,$T74)))=Milestones!$AB$110),TEXT(EDATE($D74,Milestones!$AA$110),"dd/mm/yy")&amp;" "&amp;Milestones!$AB$110&amp;" "&amp;Milestones!$AC$110&amp;";  ","")&amp;IF(AND(EDATE($D74,Milestones!$AA$111)&lt;=AsOfDate,IF($Q74=0,$W74,IF(AND($S74&lt;&gt;"",EDATE($D74,Milestones!$AA$111)&gt;=$S74),$V74,IF(AND($R74&lt;&gt;"",EDATE($D74,Milestones!$AA$111)&gt;=$R74),$U74,$T74)))=Milestones!$AB$111),TEXT(EDATE($D74,Milestones!$AA$111),"dd/mm/yy")&amp;" "&amp;Milestones!$AB$111&amp;" "&amp;Milestones!$AC$111&amp;";  ","")&amp;IF(AND(EDATE($D74,Milestones!$AA$112)&lt;=AsOfDate,IF($Q74=0,$W74,IF(AND($S74&lt;&gt;"",EDATE($D74,Milestones!$AA$112)&gt;=$S74),$V74,IF(AND($R74&lt;&gt;"",EDATE($D74,Milestones!$AA$112)&gt;=$R74),$U74,$T74)))=Milestones!$AB$112),TEXT(EDATE($D74,Milestones!$AA$112),"dd/mm/yy")&amp;" "&amp;Milestones!$AB$112&amp;" "&amp;Milestones!$AC$112&amp;";  ","")&amp;IF(AND(EDATE($D74,Milestones!$AA$113)&lt;=AsOfDate,IF($Q74=0,$W74,IF(AND($S74&lt;&gt;"",EDATE($D74,Milestones!$AA$113)&gt;=$S74),$V74,IF(AND($R74&lt;&gt;"",EDATE($D74,Milestones!$AA$113)&gt;=$R74),$U74,$T74)))=Milestones!$AB$113),TEXT(EDATE($D74,Milestones!$AA$113),"dd/mm/yy")&amp;" "&amp;Milestones!$AB$113&amp;" "&amp;Milestones!$AC$113&amp;";  ","")&amp;IF(AND(EDATE($D74,Milestones!$AA$114)&lt;=AsOfDate,IF($Q74=0,$W74,IF(AND($S74&lt;&gt;"",EDATE($D74,Milestones!$AA$114)&gt;=$S74),$V74,IF(AND($R74&lt;&gt;"",EDATE($D74,Milestones!$AA$114)&gt;=$R74),$U74,$T74)))=Milestones!$AB$114),TEXT(EDATE($D74,Milestones!$AA$114),"dd/mm/yy")&amp;" "&amp;Milestones!$AB$114&amp;" "&amp;Milestones!$AC$114&amp;";  ","")&amp;IF(AND(EDATE($D74,Milestones!$AA$115)&lt;=AsOfDate,IF($Q74=0,$W74,IF(AND($S74&lt;&gt;"",EDATE($D74,Milestones!$AA$115)&gt;=$S74),$V74,IF(AND($R74&lt;&gt;"",EDATE($D74,Milestones!$AA$115)&gt;=$R74),$U74,$T74)))=Milestones!$AB$115),TEXT(EDATE($D74,Milestones!$AA$115),"dd/mm/yy")&amp;" "&amp;Milestones!$AB$115&amp;" "&amp;Milestones!$AC$115&amp;";  ","")&amp;IF(AND(EDATE($D74,Milestones!$AA$116)&lt;=AsOfDate,IF($Q74=0,$W74,IF(AND($S74&lt;&gt;"",EDATE($D74,Milestones!$AA$116)&gt;=$S74),$V74,IF(AND($R74&lt;&gt;"",EDATE($D74,Milestones!$AA$116)&gt;=$R74),$U74,$T74)))=Milestones!$AB$116),TEXT(EDATE($D74,Milestones!$AA$116),"dd/mm/yy")&amp;" "&amp;Milestones!$AB$116&amp;" "&amp;Milestones!$AC$116&amp;";  ","")&amp;IF(AND(EDATE($D74,Milestones!$AA$117)&lt;=AsOfDate,IF($Q74=0,$W74,IF(AND($S74&lt;&gt;"",EDATE($D74,Milestones!$AA$117)&gt;=$S74),$V74,IF(AND($R74&lt;&gt;"",EDATE($D74,Milestones!$AA$117)&gt;=$R74),$U74,$T74)))=Milestones!$AB$117),TEXT(EDATE($D74,Milestones!$AA$117),"dd/mm/yy")&amp;" "&amp;Milestones!$AB$117&amp;" "&amp;Milestones!$AC$117&amp;";  ","")&amp;IF(AND(EDATE($D74,Milestones!$AA$118)&lt;=AsOfDate,IF($Q74=0,$W74,IF(AND($S74&lt;&gt;"",EDATE($D74,Milestones!$AA$118)&gt;=$S74),$V74,IF(AND($R74&lt;&gt;"",EDATE($D74,Milestones!$AA$118)&gt;=$R74),$U74,$T74)))=Milestones!$AB$118),TEXT(EDATE($D74,Milestones!$AA$118),"dd/mm/yy")&amp;" "&amp;Milestones!$AB$118&amp;" "&amp;Milestones!$AC$118&amp;";  ","")&amp;IF(AND(EDATE($D74,Milestones!$AA$119)&lt;=AsOfDate,IF($Q74=0,$W74,IF(AND($S74&lt;&gt;"",EDATE($D74,Milestones!$AA$119)&gt;=$S74),$V74,IF(AND($R74&lt;&gt;"",EDATE($D74,Milestones!$AA$119)&gt;=$R74),$U74,$T74)))=Milestones!$AB$119),TEXT(EDATE($D74,Milestones!$AA$119),"dd/mm/yy")&amp;" "&amp;Milestones!$AB$119&amp;" "&amp;Milestones!$AC$119&amp;";  ",""))</f>
        <v/>
      </c>
      <c r="M74" s="0" t="str">
        <f aca="false">IF(OR($A74="",$D74=""),"",IF(AND(EDATE($D74,Milestones!$AA$120)&lt;=AsOfDate,IF($Q74=0,$W74,IF(AND($S74&lt;&gt;"",EDATE($D74,Milestones!$AA$120)&gt;=$S74),$V74,IF(AND($R74&lt;&gt;"",EDATE($D74,Milestones!$AA$120)&gt;=$R74),$U74,$T74)))=Milestones!$AB$120),TEXT(EDATE($D74,Milestones!$AA$120),"dd/mm/yy")&amp;" "&amp;Milestones!$AB$120&amp;" "&amp;Milestones!$AC$120&amp;";  ","")&amp;IF(AND(EDATE($D74,Milestones!$AA$121)&lt;=AsOfDate,IF($Q74=0,$W74,IF(AND($S74&lt;&gt;"",EDATE($D74,Milestones!$AA$121)&gt;=$S74),$V74,IF(AND($R74&lt;&gt;"",EDATE($D74,Milestones!$AA$121)&gt;=$R74),$U74,$T74)))=Milestones!$AB$121),TEXT(EDATE($D74,Milestones!$AA$121),"dd/mm/yy")&amp;" "&amp;Milestones!$AB$121&amp;" "&amp;Milestones!$AC$121&amp;";  ","")&amp;IF(AND(EDATE($D74,Milestones!$AA$122)&lt;=AsOfDate,IF($Q74=0,$W74,IF(AND($S74&lt;&gt;"",EDATE($D74,Milestones!$AA$122)&gt;=$S74),$V74,IF(AND($R74&lt;&gt;"",EDATE($D74,Milestones!$AA$122)&gt;=$R74),$U74,$T74)))=Milestones!$AB$122),TEXT(EDATE($D74,Milestones!$AA$122),"dd/mm/yy")&amp;" "&amp;Milestones!$AB$122&amp;" "&amp;Milestones!$AC$122&amp;";  ","")&amp;IF(AND(EDATE($D74,Milestones!$AA$123)&lt;=AsOfDate,IF($Q74=0,$W74,IF(AND($S74&lt;&gt;"",EDATE($D74,Milestones!$AA$123)&gt;=$S74),$V74,IF(AND($R74&lt;&gt;"",EDATE($D74,Milestones!$AA$123)&gt;=$R74),$U74,$T74)))=Milestones!$AB$123),TEXT(EDATE($D74,Milestones!$AA$123),"dd/mm/yy")&amp;" "&amp;Milestones!$AB$123&amp;" "&amp;Milestones!$AC$123&amp;";  ","")&amp;IF(AND(EDATE($D74,Milestones!$AA$124)&lt;=AsOfDate,IF($Q74=0,$W74,IF(AND($S74&lt;&gt;"",EDATE($D74,Milestones!$AA$124)&gt;=$S74),$V74,IF(AND($R74&lt;&gt;"",EDATE($D74,Milestones!$AA$124)&gt;=$R74),$U74,$T74)))=Milestones!$AB$124),TEXT(EDATE($D74,Milestones!$AA$124),"dd/mm/yy")&amp;" "&amp;Milestones!$AB$124&amp;" "&amp;Milestones!$AC$124&amp;";  ","")&amp;IF(AND(EDATE($D74,Milestones!$AA$125)&lt;=AsOfDate,IF($Q74=0,$W74,IF(AND($S74&lt;&gt;"",EDATE($D74,Milestones!$AA$125)&gt;=$S74),$V74,IF(AND($R74&lt;&gt;"",EDATE($D74,Milestones!$AA$125)&gt;=$R74),$U74,$T74)))=Milestones!$AB$125),TEXT(EDATE($D74,Milestones!$AA$125),"dd/mm/yy")&amp;" "&amp;Milestones!$AB$125&amp;" "&amp;Milestones!$AC$125&amp;";  ","")&amp;IF(AND(EDATE($D74,Milestones!$AA$126)&lt;=AsOfDate,IF($Q74=0,$W74,IF(AND($S74&lt;&gt;"",EDATE($D74,Milestones!$AA$126)&gt;=$S74),$V74,IF(AND($R74&lt;&gt;"",EDATE($D74,Milestones!$AA$126)&gt;=$R74),$U74,$T74)))=Milestones!$AB$126),TEXT(EDATE($D74,Milestones!$AA$126),"dd/mm/yy")&amp;" "&amp;Milestones!$AB$126&amp;" "&amp;Milestones!$AC$126&amp;";  ","")&amp;IF(AND(EDATE($D74,Milestones!$AA$127)&lt;=AsOfDate,IF($Q74=0,$W74,IF(AND($S74&lt;&gt;"",EDATE($D74,Milestones!$AA$127)&gt;=$S74),$V74,IF(AND($R74&lt;&gt;"",EDATE($D74,Milestones!$AA$127)&gt;=$R74),$U74,$T74)))=Milestones!$AB$127),TEXT(EDATE($D74,Milestones!$AA$127),"dd/mm/yy")&amp;" "&amp;Milestones!$AB$127&amp;" "&amp;Milestones!$AC$127&amp;";  ","")&amp;IF(AND(EDATE($D74,Milestones!$AA$128)&lt;=AsOfDate,IF($Q74=0,$W74,IF(AND($S74&lt;&gt;"",EDATE($D74,Milestones!$AA$128)&gt;=$S74),$V74,IF(AND($R74&lt;&gt;"",EDATE($D74,Milestones!$AA$128)&gt;=$R74),$U74,$T74)))=Milestones!$AB$128),TEXT(EDATE($D74,Milestones!$AA$128),"dd/mm/yy")&amp;" "&amp;Milestones!$AB$128&amp;" "&amp;Milestones!$AC$128&amp;";  ","")&amp;IF(AND(EDATE($D74,Milestones!$AA$129)&lt;=AsOfDate,IF($Q74=0,$W74,IF(AND($S74&lt;&gt;"",EDATE($D74,Milestones!$AA$129)&gt;=$S74),$V74,IF(AND($R74&lt;&gt;"",EDATE($D74,Milestones!$AA$129)&gt;=$R74),$U74,$T74)))=Milestones!$AB$129),TEXT(EDATE($D74,Milestones!$AA$129),"dd/mm/yy")&amp;" "&amp;Milestones!$AB$129&amp;" "&amp;Milestones!$AC$129&amp;";  ","")&amp;IF(AND(EDATE($D74,Milestones!$AA$130)&lt;=AsOfDate,IF($Q74=0,$W74,IF(AND($S74&lt;&gt;"",EDATE($D74,Milestones!$AA$130)&gt;=$S74),$V74,IF(AND($R74&lt;&gt;"",EDATE($D74,Milestones!$AA$130)&gt;=$R74),$U74,$T74)))=Milestones!$AB$130),TEXT(EDATE($D74,Milestones!$AA$130),"dd/mm/yy")&amp;" "&amp;Milestones!$AB$130&amp;" "&amp;Milestones!$AC$130&amp;";  ","")&amp;IF(AND(EDATE($D74,Milestones!$AA$131)&lt;=AsOfDate,IF($Q74=0,$W74,IF(AND($S74&lt;&gt;"",EDATE($D74,Milestones!$AA$131)&gt;=$S74),$V74,IF(AND($R74&lt;&gt;"",EDATE($D74,Milestones!$AA$131)&gt;=$R74),$U74,$T74)))=Milestones!$AB$131),TEXT(EDATE($D74,Milestones!$AA$131),"dd/mm/yy")&amp;" "&amp;Milestones!$AB$131&amp;" "&amp;Milestones!$AC$131&amp;";  ","")&amp;IF(AND(EDATE($D74,Milestones!$AA$132)&lt;=AsOfDate,IF($Q74=0,$W74,IF(AND($S74&lt;&gt;"",EDATE($D74,Milestones!$AA$132)&gt;=$S74),$V74,IF(AND($R74&lt;&gt;"",EDATE($D74,Milestones!$AA$132)&gt;=$R74),$U74,$T74)))=Milestones!$AB$132),TEXT(EDATE($D74,Milestones!$AA$132),"dd/mm/yy")&amp;" "&amp;Milestones!$AB$132&amp;" "&amp;Milestones!$AC$132&amp;";  ","")&amp;IF(AND(EDATE($D74,Milestones!$AA$133)&lt;=AsOfDate,IF($Q74=0,$W74,IF(AND($S74&lt;&gt;"",EDATE($D74,Milestones!$AA$133)&gt;=$S74),$V74,IF(AND($R74&lt;&gt;"",EDATE($D74,Milestones!$AA$133)&gt;=$R74),$U74,$T74)))=Milestones!$AB$133),TEXT(EDATE($D74,Milestones!$AA$133),"dd/mm/yy")&amp;" "&amp;Milestones!$AB$133&amp;" "&amp;Milestones!$AC$133&amp;";  ","")&amp;IF(AND(EDATE($D74,Milestones!$AA$134)&lt;=AsOfDate,IF($Q74=0,$W74,IF(AND($S74&lt;&gt;"",EDATE($D74,Milestones!$AA$134)&gt;=$S74),$V74,IF(AND($R74&lt;&gt;"",EDATE($D74,Milestones!$AA$134)&gt;=$R74),$U74,$T74)))=Milestones!$AB$134),TEXT(EDATE($D74,Milestones!$AA$134),"dd/mm/yy")&amp;" "&amp;Milestones!$AB$134&amp;" "&amp;Milestones!$AC$134&amp;";  ","")&amp;IF(AND(EDATE($D74,Milestones!$AA$135)&lt;=AsOfDate,IF($Q74=0,$W74,IF(AND($S74&lt;&gt;"",EDATE($D74,Milestones!$AA$135)&gt;=$S74),$V74,IF(AND($R74&lt;&gt;"",EDATE($D74,Milestones!$AA$135)&gt;=$R74),$U74,$T74)))=Milestones!$AB$135),TEXT(EDATE($D74,Milestones!$AA$135),"dd/mm/yy")&amp;" "&amp;Milestones!$AB$135&amp;" "&amp;Milestones!$AC$135&amp;";  ","")&amp;IF(AND(EDATE($D74,Milestones!$AA$136)&lt;=AsOfDate,IF($Q74=0,$W74,IF(AND($S74&lt;&gt;"",EDATE($D74,Milestones!$AA$136)&gt;=$S74),$V74,IF(AND($R74&lt;&gt;"",EDATE($D74,Milestones!$AA$136)&gt;=$R74),$U74,$T74)))=Milestones!$AB$136),TEXT(EDATE($D74,Milestones!$AA$136),"dd/mm/yy")&amp;" "&amp;Milestones!$AB$136&amp;" "&amp;Milestones!$AC$136&amp;";  ","")&amp;IF(AND(EDATE($D74,Milestones!$AA$137)&lt;=AsOfDate,IF($Q74=0,$W74,IF(AND($S74&lt;&gt;"",EDATE($D74,Milestones!$AA$137)&gt;=$S74),$V74,IF(AND($R74&lt;&gt;"",EDATE($D74,Milestones!$AA$137)&gt;=$R74),$U74,$T74)))=Milestones!$AB$137),TEXT(EDATE($D74,Milestones!$AA$137),"dd/mm/yy")&amp;" "&amp;Milestones!$AB$137&amp;" "&amp;Milestones!$AC$137&amp;";  ","")&amp;IF(AND(EDATE($D74,Milestones!$AA$138)&lt;=AsOfDate,IF($Q74=0,$W74,IF(AND($S74&lt;&gt;"",EDATE($D74,Milestones!$AA$138)&gt;=$S74),$V74,IF(AND($R74&lt;&gt;"",EDATE($D74,Milestones!$AA$138)&gt;=$R74),$U74,$T74)))=Milestones!$AB$138),TEXT(EDATE($D74,Milestones!$AA$138),"dd/mm/yy")&amp;" "&amp;Milestones!$AB$138&amp;" "&amp;Milestones!$AC$138&amp;";  ","")&amp;IF(AND(EDATE($D74,Milestones!$AA$139)&lt;=AsOfDate,IF($Q74=0,$W74,IF(AND($S74&lt;&gt;"",EDATE($D74,Milestones!$AA$139)&gt;=$S74),$V74,IF(AND($R74&lt;&gt;"",EDATE($D74,Milestones!$AA$139)&gt;=$R74),$U74,$T74)))=Milestones!$AB$139),TEXT(EDATE($D74,Milestones!$AA$139),"dd/mm/yy")&amp;" "&amp;Milestones!$AB$139&amp;" "&amp;Milestones!$AC$139&amp;";  ",""))</f>
        <v/>
      </c>
      <c r="N74" s="0" t="str">
        <f aca="false">IF(OR($A74="",$D74=""),"",IF(AND(EDATE($D74,Milestones!$AA$140)&lt;=AsOfDate,IF($Q74=0,$W74,IF(AND($S74&lt;&gt;"",EDATE($D74,Milestones!$AA$140)&gt;=$S74),$V74,IF(AND($R74&lt;&gt;"",EDATE($D74,Milestones!$AA$140)&gt;=$R74),$U74,$T74)))=Milestones!$AB$140),TEXT(EDATE($D74,Milestones!$AA$140),"dd/mm/yy")&amp;" "&amp;Milestones!$AB$140&amp;" "&amp;Milestones!$AC$140&amp;";  ","")&amp;IF(AND(EDATE($D74,Milestones!$AA$141)&lt;=AsOfDate,IF($Q74=0,$W74,IF(AND($S74&lt;&gt;"",EDATE($D74,Milestones!$AA$141)&gt;=$S74),$V74,IF(AND($R74&lt;&gt;"",EDATE($D74,Milestones!$AA$141)&gt;=$R74),$U74,$T74)))=Milestones!$AB$141),TEXT(EDATE($D74,Milestones!$AA$141),"dd/mm/yy")&amp;" "&amp;Milestones!$AB$141&amp;" "&amp;Milestones!$AC$141&amp;";  ","")&amp;IF(AND(EDATE($D74,Milestones!$AA$142)&lt;=AsOfDate,IF($Q74=0,$W74,IF(AND($S74&lt;&gt;"",EDATE($D74,Milestones!$AA$142)&gt;=$S74),$V74,IF(AND($R74&lt;&gt;"",EDATE($D74,Milestones!$AA$142)&gt;=$R74),$U74,$T74)))=Milestones!$AB$142),TEXT(EDATE($D74,Milestones!$AA$142),"dd/mm/yy")&amp;" "&amp;Milestones!$AB$142&amp;" "&amp;Milestones!$AC$142&amp;";  ","")&amp;IF(AND(EDATE($D74,Milestones!$AA$143)&lt;=AsOfDate,IF($Q74=0,$W74,IF(AND($S74&lt;&gt;"",EDATE($D74,Milestones!$AA$143)&gt;=$S74),$V74,IF(AND($R74&lt;&gt;"",EDATE($D74,Milestones!$AA$143)&gt;=$R74),$U74,$T74)))=Milestones!$AB$143),TEXT(EDATE($D74,Milestones!$AA$143),"dd/mm/yy")&amp;" "&amp;Milestones!$AB$143&amp;" "&amp;Milestones!$AC$143&amp;";  ","")&amp;IF(AND(EDATE($D74,Milestones!$AA$144)&lt;=AsOfDate,IF($Q74=0,$W74,IF(AND($S74&lt;&gt;"",EDATE($D74,Milestones!$AA$144)&gt;=$S74),$V74,IF(AND($R74&lt;&gt;"",EDATE($D74,Milestones!$AA$144)&gt;=$R74),$U74,$T74)))=Milestones!$AB$144),TEXT(EDATE($D74,Milestones!$AA$144),"dd/mm/yy")&amp;" "&amp;Milestones!$AB$144&amp;" "&amp;Milestones!$AC$144&amp;";  ","")&amp;IF(AND(EDATE($D74,Milestones!$AA$145)&lt;=AsOfDate,IF($Q74=0,$W74,IF(AND($S74&lt;&gt;"",EDATE($D74,Milestones!$AA$145)&gt;=$S74),$V74,IF(AND($R74&lt;&gt;"",EDATE($D74,Milestones!$AA$145)&gt;=$R74),$U74,$T74)))=Milestones!$AB$145),TEXT(EDATE($D74,Milestones!$AA$145),"dd/mm/yy")&amp;" "&amp;Milestones!$AB$145&amp;" "&amp;Milestones!$AC$145&amp;";  ","")&amp;IF(AND(EDATE($D74,Milestones!$AA$146)&lt;=AsOfDate,IF($Q74=0,$W74,IF(AND($S74&lt;&gt;"",EDATE($D74,Milestones!$AA$146)&gt;=$S74),$V74,IF(AND($R74&lt;&gt;"",EDATE($D74,Milestones!$AA$146)&gt;=$R74),$U74,$T74)))=Milestones!$AB$146),TEXT(EDATE($D74,Milestones!$AA$146),"dd/mm/yy")&amp;" "&amp;Milestones!$AB$146&amp;" "&amp;Milestones!$AC$146&amp;";  ","")&amp;IF(AND(EDATE($D74,Milestones!$AA$147)&lt;=AsOfDate,IF($Q74=0,$W74,IF(AND($S74&lt;&gt;"",EDATE($D74,Milestones!$AA$147)&gt;=$S74),$V74,IF(AND($R74&lt;&gt;"",EDATE($D74,Milestones!$AA$147)&gt;=$R74),$U74,$T74)))=Milestones!$AB$147),TEXT(EDATE($D74,Milestones!$AA$147),"dd/mm/yy")&amp;" "&amp;Milestones!$AB$147&amp;" "&amp;Milestones!$AC$147&amp;";  ","")&amp;IF(AND(EDATE($D74,Milestones!$AA$148)&lt;=AsOfDate,IF($Q74=0,$W74,IF(AND($S74&lt;&gt;"",EDATE($D74,Milestones!$AA$148)&gt;=$S74),$V74,IF(AND($R74&lt;&gt;"",EDATE($D74,Milestones!$AA$148)&gt;=$R74),$U74,$T74)))=Milestones!$AB$148),TEXT(EDATE($D74,Milestones!$AA$148),"dd/mm/yy")&amp;" "&amp;Milestones!$AB$148&amp;" "&amp;Milestones!$AC$148&amp;";  ","")&amp;IF(AND(EDATE($D74,Milestones!$AA$149)&lt;=AsOfDate,IF($Q74=0,$W74,IF(AND($S74&lt;&gt;"",EDATE($D74,Milestones!$AA$149)&gt;=$S74),$V74,IF(AND($R74&lt;&gt;"",EDATE($D74,Milestones!$AA$149)&gt;=$R74),$U74,$T74)))=Milestones!$AB$149),TEXT(EDATE($D74,Milestones!$AA$149),"dd/mm/yy")&amp;" "&amp;Milestones!$AB$149&amp;" "&amp;Milestones!$AC$149&amp;";  ","")&amp;IF(AND(EDATE($D74,Milestones!$AA$150)&lt;=AsOfDate,IF($Q74=0,$W74,IF(AND($S74&lt;&gt;"",EDATE($D74,Milestones!$AA$150)&gt;=$S74),$V74,IF(AND($R74&lt;&gt;"",EDATE($D74,Milestones!$AA$150)&gt;=$R74),$U74,$T74)))=Milestones!$AB$150),TEXT(EDATE($D74,Milestones!$AA$150),"dd/mm/yy")&amp;" "&amp;Milestones!$AB$150&amp;" "&amp;Milestones!$AC$150&amp;";  ","")&amp;IF(AND(EDATE($D74,Milestones!$AA$151)&lt;=AsOfDate,IF($Q74=0,$W74,IF(AND($S74&lt;&gt;"",EDATE($D74,Milestones!$AA$151)&gt;=$S74),$V74,IF(AND($R74&lt;&gt;"",EDATE($D74,Milestones!$AA$151)&gt;=$R74),$U74,$T74)))=Milestones!$AB$151),TEXT(EDATE($D74,Milestones!$AA$151),"dd/mm/yy")&amp;" "&amp;Milestones!$AB$151&amp;" "&amp;Milestones!$AC$151&amp;";  ","")&amp;IF(AND(EDATE($D74,Milestones!$AA$152)&lt;=AsOfDate,IF($Q74=0,$W74,IF(AND($S74&lt;&gt;"",EDATE($D74,Milestones!$AA$152)&gt;=$S74),$V74,IF(AND($R74&lt;&gt;"",EDATE($D74,Milestones!$AA$152)&gt;=$R74),$U74,$T74)))=Milestones!$AB$152),TEXT(EDATE($D74,Milestones!$AA$152),"dd/mm/yy")&amp;" "&amp;Milestones!$AB$152&amp;" "&amp;Milestones!$AC$152&amp;";  ","")&amp;IF(AND(EDATE($D74,Milestones!$AA$153)&lt;=AsOfDate,IF($Q74=0,$W74,IF(AND($S74&lt;&gt;"",EDATE($D74,Milestones!$AA$153)&gt;=$S74),$V74,IF(AND($R74&lt;&gt;"",EDATE($D74,Milestones!$AA$153)&gt;=$R74),$U74,$T74)))=Milestones!$AB$153),TEXT(EDATE($D74,Milestones!$AA$153),"dd/mm/yy")&amp;" "&amp;Milestones!$AB$153&amp;" "&amp;Milestones!$AC$153&amp;";  ","")&amp;IF(AND(EDATE($D74,Milestones!$AA$154)&lt;=AsOfDate,IF($Q74=0,$W74,IF(AND($S74&lt;&gt;"",EDATE($D74,Milestones!$AA$154)&gt;=$S74),$V74,IF(AND($R74&lt;&gt;"",EDATE($D74,Milestones!$AA$154)&gt;=$R74),$U74,$T74)))=Milestones!$AB$154),TEXT(EDATE($D74,Milestones!$AA$154),"dd/mm/yy")&amp;" "&amp;Milestones!$AB$154&amp;" "&amp;Milestones!$AC$154&amp;";  ","")&amp;IF(AND(EDATE($D74,Milestones!$AA$155)&lt;=AsOfDate,IF($Q74=0,$W74,IF(AND($S74&lt;&gt;"",EDATE($D74,Milestones!$AA$155)&gt;=$S74),$V74,IF(AND($R74&lt;&gt;"",EDATE($D74,Milestones!$AA$155)&gt;=$R74),$U74,$T74)))=Milestones!$AB$155),TEXT(EDATE($D74,Milestones!$AA$155),"dd/mm/yy")&amp;" "&amp;Milestones!$AB$155&amp;" "&amp;Milestones!$AC$155&amp;";  ","")&amp;IF(AND(EDATE($D74,Milestones!$AA$156)&lt;=AsOfDate,IF($Q74=0,$W74,IF(AND($S74&lt;&gt;"",EDATE($D74,Milestones!$AA$156)&gt;=$S74),$V74,IF(AND($R74&lt;&gt;"",EDATE($D74,Milestones!$AA$156)&gt;=$R74),$U74,$T74)))=Milestones!$AB$156),TEXT(EDATE($D74,Milestones!$AA$156),"dd/mm/yy")&amp;" "&amp;Milestones!$AB$156&amp;" "&amp;Milestones!$AC$156&amp;";  ","")&amp;IF(AND(EDATE($D74,Milestones!$AA$157)&lt;=AsOfDate,IF($Q74=0,$W74,IF(AND($S74&lt;&gt;"",EDATE($D74,Milestones!$AA$157)&gt;=$S74),$V74,IF(AND($R74&lt;&gt;"",EDATE($D74,Milestones!$AA$157)&gt;=$R74),$U74,$T74)))=Milestones!$AB$157),TEXT(EDATE($D74,Milestones!$AA$157),"dd/mm/yy")&amp;" "&amp;Milestones!$AB$157&amp;" "&amp;Milestones!$AC$157&amp;";  ","")&amp;IF(AND(EDATE($D74,Milestones!$AA$158)&lt;=AsOfDate,IF($Q74=0,$W74,IF(AND($S74&lt;&gt;"",EDATE($D74,Milestones!$AA$158)&gt;=$S74),$V74,IF(AND($R74&lt;&gt;"",EDATE($D74,Milestones!$AA$158)&gt;=$R74),$U74,$T74)))=Milestones!$AB$158),TEXT(EDATE($D74,Milestones!$AA$158),"dd/mm/yy")&amp;" "&amp;Milestones!$AB$158&amp;" "&amp;Milestones!$AC$158&amp;";  ","")&amp;IF(AND(EDATE($D74,Milestones!$AA$159)&lt;=AsOfDate,IF($Q74=0,$W74,IF(AND($S74&lt;&gt;"",EDATE($D74,Milestones!$AA$159)&gt;=$S74),$V74,IF(AND($R74&lt;&gt;"",EDATE($D74,Milestones!$AA$159)&gt;=$R74),$U74,$T74)))=Milestones!$AB$159),TEXT(EDATE($D74,Milestones!$AA$159),"dd/mm/yy")&amp;" "&amp;Milestones!$AB$159&amp;" "&amp;Milestones!$AC$159&amp;";  ",""))</f>
        <v/>
      </c>
      <c r="O74" s="0" t="str">
        <f aca="false">IF(OR($A74="",$D74=""),"",IF(AND(EDATE($D74,Milestones!$AA$160)&lt;=AsOfDate,IF($Q74=0,$W74,IF(AND($S74&lt;&gt;"",EDATE($D74,Milestones!$AA$160)&gt;=$S74),$V74,IF(AND($R74&lt;&gt;"",EDATE($D74,Milestones!$AA$160)&gt;=$R74),$U74,$T74)))=Milestones!$AB$160),TEXT(EDATE($D74,Milestones!$AA$160),"dd/mm/yy")&amp;" "&amp;Milestones!$AB$160&amp;" "&amp;Milestones!$AC$160&amp;";  ","")&amp;IF(AND(EDATE($D74,Milestones!$AA$161)&lt;=AsOfDate,IF($Q74=0,$W74,IF(AND($S74&lt;&gt;"",EDATE($D74,Milestones!$AA$161)&gt;=$S74),$V74,IF(AND($R74&lt;&gt;"",EDATE($D74,Milestones!$AA$161)&gt;=$R74),$U74,$T74)))=Milestones!$AB$161),TEXT(EDATE($D74,Milestones!$AA$161),"dd/mm/yy")&amp;" "&amp;Milestones!$AB$161&amp;" "&amp;Milestones!$AC$161&amp;";  ","")&amp;IF(AND(EDATE($D74,Milestones!$AA$162)&lt;=AsOfDate,IF($Q74=0,$W74,IF(AND($S74&lt;&gt;"",EDATE($D74,Milestones!$AA$162)&gt;=$S74),$V74,IF(AND($R74&lt;&gt;"",EDATE($D74,Milestones!$AA$162)&gt;=$R74),$U74,$T74)))=Milestones!$AB$162),TEXT(EDATE($D74,Milestones!$AA$162),"dd/mm/yy")&amp;" "&amp;Milestones!$AB$162&amp;" "&amp;Milestones!$AC$162&amp;";  ","")&amp;IF(AND(EDATE($D74,Milestones!$AA$163)&lt;=AsOfDate,IF($Q74=0,$W74,IF(AND($S74&lt;&gt;"",EDATE($D74,Milestones!$AA$163)&gt;=$S74),$V74,IF(AND($R74&lt;&gt;"",EDATE($D74,Milestones!$AA$163)&gt;=$R74),$U74,$T74)))=Milestones!$AB$163),TEXT(EDATE($D74,Milestones!$AA$163),"dd/mm/yy")&amp;" "&amp;Milestones!$AB$163&amp;" "&amp;Milestones!$AC$163&amp;";  ","")&amp;IF(AND(EDATE($D74,Milestones!$AA$164)&lt;=AsOfDate,IF($Q74=0,$W74,IF(AND($S74&lt;&gt;"",EDATE($D74,Milestones!$AA$164)&gt;=$S74),$V74,IF(AND($R74&lt;&gt;"",EDATE($D74,Milestones!$AA$164)&gt;=$R74),$U74,$T74)))=Milestones!$AB$164),TEXT(EDATE($D74,Milestones!$AA$164),"dd/mm/yy")&amp;" "&amp;Milestones!$AB$164&amp;" "&amp;Milestones!$AC$164&amp;";  ","")&amp;IF(AND(EDATE($D74,Milestones!$AA$165)&lt;=AsOfDate,IF($Q74=0,$W74,IF(AND($S74&lt;&gt;"",EDATE($D74,Milestones!$AA$165)&gt;=$S74),$V74,IF(AND($R74&lt;&gt;"",EDATE($D74,Milestones!$AA$165)&gt;=$R74),$U74,$T74)))=Milestones!$AB$165),TEXT(EDATE($D74,Milestones!$AA$165),"dd/mm/yy")&amp;" "&amp;Milestones!$AB$165&amp;" "&amp;Milestones!$AC$165&amp;";  ","")&amp;IF(AND(EDATE($D74,Milestones!$AA$166)&lt;=AsOfDate,IF($Q74=0,$W74,IF(AND($S74&lt;&gt;"",EDATE($D74,Milestones!$AA$166)&gt;=$S74),$V74,IF(AND($R74&lt;&gt;"",EDATE($D74,Milestones!$AA$166)&gt;=$R74),$U74,$T74)))=Milestones!$AB$166),TEXT(EDATE($D74,Milestones!$AA$166),"dd/mm/yy")&amp;" "&amp;Milestones!$AB$166&amp;" "&amp;Milestones!$AC$166&amp;";  ","")&amp;IF(AND(EDATE($D74,Milestones!$AA$167)&lt;=AsOfDate,IF($Q74=0,$W74,IF(AND($S74&lt;&gt;"",EDATE($D74,Milestones!$AA$167)&gt;=$S74),$V74,IF(AND($R74&lt;&gt;"",EDATE($D74,Milestones!$AA$167)&gt;=$R74),$U74,$T74)))=Milestones!$AB$167),TEXT(EDATE($D74,Milestones!$AA$167),"dd/mm/yy")&amp;" "&amp;Milestones!$AB$167&amp;" "&amp;Milestones!$AC$167&amp;";  ","")&amp;IF(AND(EDATE($D74,Milestones!$AA$168)&lt;=AsOfDate,IF($Q74=0,$W74,IF(AND($S74&lt;&gt;"",EDATE($D74,Milestones!$AA$168)&gt;=$S74),$V74,IF(AND($R74&lt;&gt;"",EDATE($D74,Milestones!$AA$168)&gt;=$R74),$U74,$T74)))=Milestones!$AB$168),TEXT(EDATE($D74,Milestones!$AA$168),"dd/mm/yy")&amp;" "&amp;Milestones!$AB$168&amp;" "&amp;Milestones!$AC$168&amp;";  ","")&amp;IF(AND(EDATE($D74,Milestones!$AA$169)&lt;=AsOfDate,IF($Q74=0,$W74,IF(AND($S74&lt;&gt;"",EDATE($D74,Milestones!$AA$169)&gt;=$S74),$V74,IF(AND($R74&lt;&gt;"",EDATE($D74,Milestones!$AA$169)&gt;=$R74),$U74,$T74)))=Milestones!$AB$169),TEXT(EDATE($D74,Milestones!$AA$169),"dd/mm/yy")&amp;" "&amp;Milestones!$AB$169&amp;" "&amp;Milestones!$AC$169&amp;";  ","")&amp;IF(AND(EDATE($D74,Milestones!$AA$170)&lt;=AsOfDate,IF($Q74=0,$W74,IF(AND($S74&lt;&gt;"",EDATE($D74,Milestones!$AA$170)&gt;=$S74),$V74,IF(AND($R74&lt;&gt;"",EDATE($D74,Milestones!$AA$170)&gt;=$R74),$U74,$T74)))=Milestones!$AB$170),TEXT(EDATE($D74,Milestones!$AA$170),"dd/mm/yy")&amp;" "&amp;Milestones!$AB$170&amp;" "&amp;Milestones!$AC$170&amp;";  ","")&amp;IF(AND(EDATE($D74,Milestones!$AA$171)&lt;=AsOfDate,IF($Q74=0,$W74,IF(AND($S74&lt;&gt;"",EDATE($D74,Milestones!$AA$171)&gt;=$S74),$V74,IF(AND($R74&lt;&gt;"",EDATE($D74,Milestones!$AA$171)&gt;=$R74),$U74,$T74)))=Milestones!$AB$171),TEXT(EDATE($D74,Milestones!$AA$171),"dd/mm/yy")&amp;" "&amp;Milestones!$AB$171&amp;" "&amp;Milestones!$AC$171&amp;";  ","")&amp;IF(AND(EDATE($D74,Milestones!$AA$172)&lt;=AsOfDate,IF($Q74=0,$W74,IF(AND($S74&lt;&gt;"",EDATE($D74,Milestones!$AA$172)&gt;=$S74),$V74,IF(AND($R74&lt;&gt;"",EDATE($D74,Milestones!$AA$172)&gt;=$R74),$U74,$T74)))=Milestones!$AB$172),TEXT(EDATE($D74,Milestones!$AA$172),"dd/mm/yy")&amp;" "&amp;Milestones!$AB$172&amp;" "&amp;Milestones!$AC$172&amp;";  ","")&amp;IF(AND(EDATE($D74,Milestones!$AA$173)&lt;=AsOfDate,IF($Q74=0,$W74,IF(AND($S74&lt;&gt;"",EDATE($D74,Milestones!$AA$173)&gt;=$S74),$V74,IF(AND($R74&lt;&gt;"",EDATE($D74,Milestones!$AA$173)&gt;=$R74),$U74,$T74)))=Milestones!$AB$173),TEXT(EDATE($D74,Milestones!$AA$173),"dd/mm/yy")&amp;" "&amp;Milestones!$AB$173&amp;" "&amp;Milestones!$AC$173&amp;";  ","")&amp;IF(AND(EDATE($D74,Milestones!$AA$174)&lt;=AsOfDate,IF($Q74=0,$W74,IF(AND($S74&lt;&gt;"",EDATE($D74,Milestones!$AA$174)&gt;=$S74),$V74,IF(AND($R74&lt;&gt;"",EDATE($D74,Milestones!$AA$174)&gt;=$R74),$U74,$T74)))=Milestones!$AB$174),TEXT(EDATE($D74,Milestones!$AA$174),"dd/mm/yy")&amp;" "&amp;Milestones!$AB$174&amp;" "&amp;Milestones!$AC$174&amp;";  ","")&amp;IF(AND(EDATE($D74,Milestones!$AA$175)&lt;=AsOfDate,IF($Q74=0,$W74,IF(AND($S74&lt;&gt;"",EDATE($D74,Milestones!$AA$175)&gt;=$S74),$V74,IF(AND($R74&lt;&gt;"",EDATE($D74,Milestones!$AA$175)&gt;=$R74),$U74,$T74)))=Milestones!$AB$175),TEXT(EDATE($D74,Milestones!$AA$175),"dd/mm/yy")&amp;" "&amp;Milestones!$AB$175&amp;" "&amp;Milestones!$AC$175&amp;";  ","")&amp;IF(AND(EDATE($D74,Milestones!$AA$176)&lt;=AsOfDate,IF($Q74=0,$W74,IF(AND($S74&lt;&gt;"",EDATE($D74,Milestones!$AA$176)&gt;=$S74),$V74,IF(AND($R74&lt;&gt;"",EDATE($D74,Milestones!$AA$176)&gt;=$R74),$U74,$T74)))=Milestones!$AB$176),TEXT(EDATE($D74,Milestones!$AA$176),"dd/mm/yy")&amp;" "&amp;Milestones!$AB$176&amp;" "&amp;Milestones!$AC$176&amp;";  ","")&amp;IF(AND(EDATE($D74,Milestones!$AA$177)&lt;=AsOfDate,IF($Q74=0,$W74,IF(AND($S74&lt;&gt;"",EDATE($D74,Milestones!$AA$177)&gt;=$S74),$V74,IF(AND($R74&lt;&gt;"",EDATE($D74,Milestones!$AA$177)&gt;=$R74),$U74,$T74)))=Milestones!$AB$177),TEXT(EDATE($D74,Milestones!$AA$177),"dd/mm/yy")&amp;" "&amp;Milestones!$AB$177&amp;" "&amp;Milestones!$AC$177&amp;";  ","")&amp;IF(AND(EDATE($D74,Milestones!$AA$178)&lt;=AsOfDate,IF($Q74=0,$W74,IF(AND($S74&lt;&gt;"",EDATE($D74,Milestones!$AA$178)&gt;=$S74),$V74,IF(AND($R74&lt;&gt;"",EDATE($D74,Milestones!$AA$178)&gt;=$R74),$U74,$T74)))=Milestones!$AB$178),TEXT(EDATE($D74,Milestones!$AA$178),"dd/mm/yy")&amp;" "&amp;Milestones!$AB$178&amp;" "&amp;Milestones!$AC$178&amp;";  ","")&amp;IF(AND(EDATE($D74,Milestones!$AA$179)&lt;=AsOfDate,IF($Q74=0,$W74,IF(AND($S74&lt;&gt;"",EDATE($D74,Milestones!$AA$179)&gt;=$S74),$V74,IF(AND($R74&lt;&gt;"",EDATE($D74,Milestones!$AA$179)&gt;=$R74),$U74,$T74)))=Milestones!$AB$179),TEXT(EDATE($D74,Milestones!$AA$179),"dd/mm/yy")&amp;" "&amp;Milestones!$AB$179&amp;" "&amp;Milestones!$AC$179&amp;";  ",""))</f>
        <v/>
      </c>
      <c r="P74" s="0" t="str">
        <f aca="false">IF(OR($A74="",$D74=""),"",IF(AND(EDATE($D74,Milestones!$AA$180)&lt;=AsOfDate,IF($Q74=0,$W74,IF(AND($S74&lt;&gt;"",EDATE($D74,Milestones!$AA$180)&gt;=$S74),$V74,IF(AND($R74&lt;&gt;"",EDATE($D74,Milestones!$AA$180)&gt;=$R74),$U74,$T74)))=Milestones!$AB$180),TEXT(EDATE($D74,Milestones!$AA$180),"dd/mm/yy")&amp;" "&amp;Milestones!$AB$180&amp;" "&amp;Milestones!$AC$180&amp;";  ","")&amp;IF(AND(EDATE($D74,Milestones!$AA$181)&lt;=AsOfDate,IF($Q74=0,$W74,IF(AND($S74&lt;&gt;"",EDATE($D74,Milestones!$AA$181)&gt;=$S74),$V74,IF(AND($R74&lt;&gt;"",EDATE($D74,Milestones!$AA$181)&gt;=$R74),$U74,$T74)))=Milestones!$AB$181),TEXT(EDATE($D74,Milestones!$AA$181),"dd/mm/yy")&amp;" "&amp;Milestones!$AB$181&amp;" "&amp;Milestones!$AC$181&amp;";  ","")&amp;IF(AND(EDATE($D74,Milestones!$AA$182)&lt;=AsOfDate,IF($Q74=0,$W74,IF(AND($S74&lt;&gt;"",EDATE($D74,Milestones!$AA$182)&gt;=$S74),$V74,IF(AND($R74&lt;&gt;"",EDATE($D74,Milestones!$AA$182)&gt;=$R74),$U74,$T74)))=Milestones!$AB$182),TEXT(EDATE($D74,Milestones!$AA$182),"dd/mm/yy")&amp;" "&amp;Milestones!$AB$182&amp;" "&amp;Milestones!$AC$182&amp;";  ","")&amp;IF(AND(EDATE($D74,Milestones!$AA$183)&lt;=AsOfDate,IF($Q74=0,$W74,IF(AND($S74&lt;&gt;"",EDATE($D74,Milestones!$AA$183)&gt;=$S74),$V74,IF(AND($R74&lt;&gt;"",EDATE($D74,Milestones!$AA$183)&gt;=$R74),$U74,$T74)))=Milestones!$AB$183),TEXT(EDATE($D74,Milestones!$AA$183),"dd/mm/yy")&amp;" "&amp;Milestones!$AB$183&amp;" "&amp;Milestones!$AC$183&amp;";  ","")&amp;IF(AND(EDATE($D74,Milestones!$AA$184)&lt;=AsOfDate,IF($Q74=0,$W74,IF(AND($S74&lt;&gt;"",EDATE($D74,Milestones!$AA$184)&gt;=$S74),$V74,IF(AND($R74&lt;&gt;"",EDATE($D74,Milestones!$AA$184)&gt;=$R74),$U74,$T74)))=Milestones!$AB$184),TEXT(EDATE($D74,Milestones!$AA$184),"dd/mm/yy")&amp;" "&amp;Milestones!$AB$184&amp;" "&amp;Milestones!$AC$184&amp;";  ","")&amp;IF(AND(EDATE($D74,Milestones!$AA$185)&lt;=AsOfDate,IF($Q74=0,$W74,IF(AND($S74&lt;&gt;"",EDATE($D74,Milestones!$AA$185)&gt;=$S74),$V74,IF(AND($R74&lt;&gt;"",EDATE($D74,Milestones!$AA$185)&gt;=$R74),$U74,$T74)))=Milestones!$AB$185),TEXT(EDATE($D74,Milestones!$AA$185),"dd/mm/yy")&amp;" "&amp;Milestones!$AB$185&amp;" "&amp;Milestones!$AC$185&amp;";  ","")&amp;IF(AND(EDATE($D74,Milestones!$AA$186)&lt;=AsOfDate,IF($Q74=0,$W74,IF(AND($S74&lt;&gt;"",EDATE($D74,Milestones!$AA$186)&gt;=$S74),$V74,IF(AND($R74&lt;&gt;"",EDATE($D74,Milestones!$AA$186)&gt;=$R74),$U74,$T74)))=Milestones!$AB$186),TEXT(EDATE($D74,Milestones!$AA$186),"dd/mm/yy")&amp;" "&amp;Milestones!$AB$186&amp;" "&amp;Milestones!$AC$186&amp;";  ","")&amp;IF(AND(EDATE($D74,Milestones!$AA$187)&lt;=AsOfDate,IF($Q74=0,$W74,IF(AND($S74&lt;&gt;"",EDATE($D74,Milestones!$AA$187)&gt;=$S74),$V74,IF(AND($R74&lt;&gt;"",EDATE($D74,Milestones!$AA$187)&gt;=$R74),$U74,$T74)))=Milestones!$AB$187),TEXT(EDATE($D74,Milestones!$AA$187),"dd/mm/yy")&amp;" "&amp;Milestones!$AB$187&amp;" "&amp;Milestones!$AC$187&amp;";  ","")&amp;IF(AND(EDATE($D74,Milestones!$AA$188)&lt;=AsOfDate,IF($Q74=0,$W74,IF(AND($S74&lt;&gt;"",EDATE($D74,Milestones!$AA$188)&gt;=$S74),$V74,IF(AND($R74&lt;&gt;"",EDATE($D74,Milestones!$AA$188)&gt;=$R74),$U74,$T74)))=Milestones!$AB$188),TEXT(EDATE($D74,Milestones!$AA$188),"dd/mm/yy")&amp;" "&amp;Milestones!$AB$188&amp;" "&amp;Milestones!$AC$188&amp;";  ","")&amp;IF(AND(EDATE($D74,Milestones!$AA$189)&lt;=AsOfDate,IF($Q74=0,$W74,IF(AND($S74&lt;&gt;"",EDATE($D74,Milestones!$AA$189)&gt;=$S74),$V74,IF(AND($R74&lt;&gt;"",EDATE($D74,Milestones!$AA$189)&gt;=$R74),$U74,$T74)))=Milestones!$AB$189),TEXT(EDATE($D74,Milestones!$AA$189),"dd/mm/yy")&amp;" "&amp;Milestones!$AB$189&amp;" "&amp;Milestones!$AC$189&amp;";  ","")&amp;IF(AND(EDATE($D74,Milestones!$AA$190)&lt;=AsOfDate,IF($Q74=0,$W74,IF(AND($S74&lt;&gt;"",EDATE($D74,Milestones!$AA$190)&gt;=$S74),$V74,IF(AND($R74&lt;&gt;"",EDATE($D74,Milestones!$AA$190)&gt;=$R74),$U74,$T74)))=Milestones!$AB$190),TEXT(EDATE($D74,Milestones!$AA$190),"dd/mm/yy")&amp;" "&amp;Milestones!$AB$190&amp;" "&amp;Milestones!$AC$190&amp;";  ","")&amp;IF(AND(EDATE($D74,Milestones!$AA$191)&lt;=AsOfDate,IF($Q74=0,$W74,IF(AND($S74&lt;&gt;"",EDATE($D74,Milestones!$AA$191)&gt;=$S74),$V74,IF(AND($R74&lt;&gt;"",EDATE($D74,Milestones!$AA$191)&gt;=$R74),$U74,$T74)))=Milestones!$AB$191),TEXT(EDATE($D74,Milestones!$AA$191),"dd/mm/yy")&amp;" "&amp;Milestones!$AB$191&amp;" "&amp;Milestones!$AC$191&amp;";  ","")&amp;IF(AND(EDATE($D74,Milestones!$AA$192)&lt;=AsOfDate,IF($Q74=0,$W74,IF(AND($S74&lt;&gt;"",EDATE($D74,Milestones!$AA$192)&gt;=$S74),$V74,IF(AND($R74&lt;&gt;"",EDATE($D74,Milestones!$AA$192)&gt;=$R74),$U74,$T74)))=Milestones!$AB$192),TEXT(EDATE($D74,Milestones!$AA$192),"dd/mm/yy")&amp;" "&amp;Milestones!$AB$192&amp;" "&amp;Milestones!$AC$192&amp;";  ","")&amp;IF(AND(EDATE($D74,Milestones!$AA$193)&lt;=AsOfDate,IF($Q74=0,$W74,IF(AND($S74&lt;&gt;"",EDATE($D74,Milestones!$AA$193)&gt;=$S74),$V74,IF(AND($R74&lt;&gt;"",EDATE($D74,Milestones!$AA$193)&gt;=$R74),$U74,$T74)))=Milestones!$AB$193),TEXT(EDATE($D74,Milestones!$AA$193),"dd/mm/yy")&amp;" "&amp;Milestones!$AB$193&amp;" "&amp;Milestones!$AC$193&amp;";  ","")&amp;IF(AND(EDATE($D74,Milestones!$AA$194)&lt;=AsOfDate,IF($Q74=0,$W74,IF(AND($S74&lt;&gt;"",EDATE($D74,Milestones!$AA$194)&gt;=$S74),$V74,IF(AND($R74&lt;&gt;"",EDATE($D74,Milestones!$AA$194)&gt;=$R74),$U74,$T74)))=Milestones!$AB$194),TEXT(EDATE($D74,Milestones!$AA$194),"dd/mm/yy")&amp;" "&amp;Milestones!$AB$194&amp;" "&amp;Milestones!$AC$194&amp;";  ","")&amp;IF(AND(EDATE($D74,Milestones!$AA$195)&lt;=AsOfDate,IF($Q74=0,$W74,IF(AND($S74&lt;&gt;"",EDATE($D74,Milestones!$AA$195)&gt;=$S74),$V74,IF(AND($R74&lt;&gt;"",EDATE($D74,Milestones!$AA$195)&gt;=$R74),$U74,$T74)))=Milestones!$AB$195),TEXT(EDATE($D74,Milestones!$AA$195),"dd/mm/yy")&amp;" "&amp;Milestones!$AB$195&amp;" "&amp;Milestones!$AC$195&amp;";  ","")&amp;IF(AND(EDATE($D74,Milestones!$AA$196)&lt;=AsOfDate,IF($Q74=0,$W74,IF(AND($S74&lt;&gt;"",EDATE($D74,Milestones!$AA$196)&gt;=$S74),$V74,IF(AND($R74&lt;&gt;"",EDATE($D74,Milestones!$AA$196)&gt;=$R74),$U74,$T74)))=Milestones!$AB$196),TEXT(EDATE($D74,Milestones!$AA$196),"dd/mm/yy")&amp;" "&amp;Milestones!$AB$196&amp;" "&amp;Milestones!$AC$196&amp;";  ","")&amp;IF(AND(EDATE($D74,Milestones!$AA$197)&lt;=AsOfDate,IF($Q74=0,$W74,IF(AND($S74&lt;&gt;"",EDATE($D74,Milestones!$AA$197)&gt;=$S74),$V74,IF(AND($R74&lt;&gt;"",EDATE($D74,Milestones!$AA$197)&gt;=$R74),$U74,$T74)))=Milestones!$AB$197),TEXT(EDATE($D74,Milestones!$AA$197),"dd/mm/yy")&amp;" "&amp;Milestones!$AB$197&amp;" "&amp;Milestones!$AC$197&amp;";  ","")&amp;IF(AND(EDATE($D74,Milestones!$AA$198)&lt;=AsOfDate,IF($Q74=0,$W74,IF(AND($S74&lt;&gt;"",EDATE($D74,Milestones!$AA$198)&gt;=$S74),$V74,IF(AND($R74&lt;&gt;"",EDATE($D74,Milestones!$AA$198)&gt;=$R74),$U74,$T74)))=Milestones!$AB$198),TEXT(EDATE($D74,Milestones!$AA$198),"dd/mm/yy")&amp;" "&amp;Milestones!$AB$198&amp;" "&amp;Milestones!$AC$198&amp;";  ","")&amp;IF(AND(EDATE($D74,Milestones!$AA$199)&lt;=AsOfDate,IF($Q74=0,$W74,IF(AND($S74&lt;&gt;"",EDATE($D74,Milestones!$AA$199)&gt;=$S74),$V74,IF(AND($R74&lt;&gt;"",EDATE($D74,Milestones!$AA$199)&gt;=$R74),$U74,$T74)))=Milestones!$AB$199),TEXT(EDATE($D74,Milestones!$AA$199),"dd/mm/yy")&amp;" "&amp;Milestones!$AB$199&amp;" "&amp;Milestones!$AC$199&amp;";  ",""))</f>
        <v/>
      </c>
      <c r="Q74" s="0" t="str">
        <f aca="false">IF(Staff!$A74="","",Staff!$AG74)</f>
        <v/>
      </c>
      <c r="R74" s="0" t="str">
        <f aca="false">IF(Staff!$A74="","",Staff!$AI74)</f>
        <v/>
      </c>
      <c r="S74" s="0" t="str">
        <f aca="false">IF(Staff!$A74="","",Staff!$AJ74)</f>
        <v/>
      </c>
      <c r="T74" s="0" t="str">
        <f aca="false">IF(Staff!$A74="","",Staff!$AN74)</f>
        <v/>
      </c>
      <c r="U74" s="0" t="str">
        <f aca="false">IF(Staff!$A74="","",Staff!$AO74)</f>
        <v/>
      </c>
      <c r="V74" s="0" t="str">
        <f aca="false">IF(Staff!$A74="","",Staff!$AP74)</f>
        <v/>
      </c>
      <c r="W74" s="0" t="str">
        <f aca="false">IF(Staff!$A74="","",Staff!$AQ74)</f>
        <v/>
      </c>
    </row>
    <row r="75" customFormat="false" ht="15" hidden="false" customHeight="false" outlineLevel="0" collapsed="false">
      <c r="A75" s="13" t="str">
        <f aca="false">IF(Staff!$A75="","",Staff!$A75)</f>
        <v/>
      </c>
      <c r="B75" s="13" t="str">
        <f aca="false">IF(Staff!$A75="","",Staff!$B75)</f>
        <v/>
      </c>
      <c r="C75" s="13" t="str">
        <f aca="false">IF(Staff!$A75="","",Staff!$C75)</f>
        <v/>
      </c>
      <c r="D75" s="11" t="str">
        <f aca="false">IF(Staff!$A75="","",Staff!$AF75)</f>
        <v/>
      </c>
      <c r="E75" s="13" t="str">
        <f aca="false">IF(Staff!$A75="","",Staff!$O75)</f>
        <v/>
      </c>
      <c r="F75" s="13" t="str">
        <f aca="false">IF(E75="","",E75*HoursPerDay)</f>
        <v/>
      </c>
      <c r="G75" s="26" t="str">
        <f aca="false">IF($A75="","",H75&amp;I75&amp;J75&amp;K75&amp;L75&amp;M75&amp;N75&amp;O75&amp;P75)</f>
        <v/>
      </c>
      <c r="H75" s="0" t="str">
        <f aca="false">IF(OR($A75="",$D75=""),"",IF(AND(EDATE($D75,Milestones!$AA$20)&lt;=AsOfDate,IF($Q75=0,$W75,IF(AND($S75&lt;&gt;"",EDATE($D75,Milestones!$AA$20)&gt;=$S75),$V75,IF(AND($R75&lt;&gt;"",EDATE($D75,Milestones!$AA$20)&gt;=$R75),$U75,$T75)))=Milestones!$AB$20),TEXT(EDATE($D75,Milestones!$AA$20),"dd/mm/yy")&amp;" "&amp;Milestones!$AB$20&amp;" "&amp;Milestones!$AC$20&amp;";  ","")&amp;IF(AND(EDATE($D75,Milestones!$AA$21)&lt;=AsOfDate,IF($Q75=0,$W75,IF(AND($S75&lt;&gt;"",EDATE($D75,Milestones!$AA$21)&gt;=$S75),$V75,IF(AND($R75&lt;&gt;"",EDATE($D75,Milestones!$AA$21)&gt;=$R75),$U75,$T75)))=Milestones!$AB$21),TEXT(EDATE($D75,Milestones!$AA$21),"dd/mm/yy")&amp;" "&amp;Milestones!$AB$21&amp;" "&amp;Milestones!$AC$21&amp;";  ","")&amp;IF(AND(EDATE($D75,Milestones!$AA$22)&lt;=AsOfDate,IF($Q75=0,$W75,IF(AND($S75&lt;&gt;"",EDATE($D75,Milestones!$AA$22)&gt;=$S75),$V75,IF(AND($R75&lt;&gt;"",EDATE($D75,Milestones!$AA$22)&gt;=$R75),$U75,$T75)))=Milestones!$AB$22),TEXT(EDATE($D75,Milestones!$AA$22),"dd/mm/yy")&amp;" "&amp;Milestones!$AB$22&amp;" "&amp;Milestones!$AC$22&amp;";  ","")&amp;IF(AND(EDATE($D75,Milestones!$AA$23)&lt;=AsOfDate,IF($Q75=0,$W75,IF(AND($S75&lt;&gt;"",EDATE($D75,Milestones!$AA$23)&gt;=$S75),$V75,IF(AND($R75&lt;&gt;"",EDATE($D75,Milestones!$AA$23)&gt;=$R75),$U75,$T75)))=Milestones!$AB$23),TEXT(EDATE($D75,Milestones!$AA$23),"dd/mm/yy")&amp;" "&amp;Milestones!$AB$23&amp;" "&amp;Milestones!$AC$23&amp;";  ","")&amp;IF(AND(EDATE($D75,Milestones!$AA$24)&lt;=AsOfDate,IF($Q75=0,$W75,IF(AND($S75&lt;&gt;"",EDATE($D75,Milestones!$AA$24)&gt;=$S75),$V75,IF(AND($R75&lt;&gt;"",EDATE($D75,Milestones!$AA$24)&gt;=$R75),$U75,$T75)))=Milestones!$AB$24),TEXT(EDATE($D75,Milestones!$AA$24),"dd/mm/yy")&amp;" "&amp;Milestones!$AB$24&amp;" "&amp;Milestones!$AC$24&amp;";  ","")&amp;IF(AND(EDATE($D75,Milestones!$AA$25)&lt;=AsOfDate,IF($Q75=0,$W75,IF(AND($S75&lt;&gt;"",EDATE($D75,Milestones!$AA$25)&gt;=$S75),$V75,IF(AND($R75&lt;&gt;"",EDATE($D75,Milestones!$AA$25)&gt;=$R75),$U75,$T75)))=Milestones!$AB$25),TEXT(EDATE($D75,Milestones!$AA$25),"dd/mm/yy")&amp;" "&amp;Milestones!$AB$25&amp;" "&amp;Milestones!$AC$25&amp;";  ","")&amp;IF(AND(EDATE($D75,Milestones!$AA$26)&lt;=AsOfDate,IF($Q75=0,$W75,IF(AND($S75&lt;&gt;"",EDATE($D75,Milestones!$AA$26)&gt;=$S75),$V75,IF(AND($R75&lt;&gt;"",EDATE($D75,Milestones!$AA$26)&gt;=$R75),$U75,$T75)))=Milestones!$AB$26),TEXT(EDATE($D75,Milestones!$AA$26),"dd/mm/yy")&amp;" "&amp;Milestones!$AB$26&amp;" "&amp;Milestones!$AC$26&amp;";  ","")&amp;IF(AND(EDATE($D75,Milestones!$AA$27)&lt;=AsOfDate,IF($Q75=0,$W75,IF(AND($S75&lt;&gt;"",EDATE($D75,Milestones!$AA$27)&gt;=$S75),$V75,IF(AND($R75&lt;&gt;"",EDATE($D75,Milestones!$AA$27)&gt;=$R75),$U75,$T75)))=Milestones!$AB$27),TEXT(EDATE($D75,Milestones!$AA$27),"dd/mm/yy")&amp;" "&amp;Milestones!$AB$27&amp;" "&amp;Milestones!$AC$27&amp;";  ","")&amp;IF(AND(EDATE($D75,Milestones!$AA$28)&lt;=AsOfDate,IF($Q75=0,$W75,IF(AND($S75&lt;&gt;"",EDATE($D75,Milestones!$AA$28)&gt;=$S75),$V75,IF(AND($R75&lt;&gt;"",EDATE($D75,Milestones!$AA$28)&gt;=$R75),$U75,$T75)))=Milestones!$AB$28),TEXT(EDATE($D75,Milestones!$AA$28),"dd/mm/yy")&amp;" "&amp;Milestones!$AB$28&amp;" "&amp;Milestones!$AC$28&amp;";  ","")&amp;IF(AND(EDATE($D75,Milestones!$AA$29)&lt;=AsOfDate,IF($Q75=0,$W75,IF(AND($S75&lt;&gt;"",EDATE($D75,Milestones!$AA$29)&gt;=$S75),$V75,IF(AND($R75&lt;&gt;"",EDATE($D75,Milestones!$AA$29)&gt;=$R75),$U75,$T75)))=Milestones!$AB$29),TEXT(EDATE($D75,Milestones!$AA$29),"dd/mm/yy")&amp;" "&amp;Milestones!$AB$29&amp;" "&amp;Milestones!$AC$29&amp;";  ","")&amp;IF(AND(EDATE($D75,Milestones!$AA$30)&lt;=AsOfDate,IF($Q75=0,$W75,IF(AND($S75&lt;&gt;"",EDATE($D75,Milestones!$AA$30)&gt;=$S75),$V75,IF(AND($R75&lt;&gt;"",EDATE($D75,Milestones!$AA$30)&gt;=$R75),$U75,$T75)))=Milestones!$AB$30),TEXT(EDATE($D75,Milestones!$AA$30),"dd/mm/yy")&amp;" "&amp;Milestones!$AB$30&amp;" "&amp;Milestones!$AC$30&amp;";  ","")&amp;IF(AND(EDATE($D75,Milestones!$AA$31)&lt;=AsOfDate,IF($Q75=0,$W75,IF(AND($S75&lt;&gt;"",EDATE($D75,Milestones!$AA$31)&gt;=$S75),$V75,IF(AND($R75&lt;&gt;"",EDATE($D75,Milestones!$AA$31)&gt;=$R75),$U75,$T75)))=Milestones!$AB$31),TEXT(EDATE($D75,Milestones!$AA$31),"dd/mm/yy")&amp;" "&amp;Milestones!$AB$31&amp;" "&amp;Milestones!$AC$31&amp;";  ","")&amp;IF(AND(EDATE($D75,Milestones!$AA$32)&lt;=AsOfDate,IF($Q75=0,$W75,IF(AND($S75&lt;&gt;"",EDATE($D75,Milestones!$AA$32)&gt;=$S75),$V75,IF(AND($R75&lt;&gt;"",EDATE($D75,Milestones!$AA$32)&gt;=$R75),$U75,$T75)))=Milestones!$AB$32),TEXT(EDATE($D75,Milestones!$AA$32),"dd/mm/yy")&amp;" "&amp;Milestones!$AB$32&amp;" "&amp;Milestones!$AC$32&amp;";  ","")&amp;IF(AND(EDATE($D75,Milestones!$AA$33)&lt;=AsOfDate,IF($Q75=0,$W75,IF(AND($S75&lt;&gt;"",EDATE($D75,Milestones!$AA$33)&gt;=$S75),$V75,IF(AND($R75&lt;&gt;"",EDATE($D75,Milestones!$AA$33)&gt;=$R75),$U75,$T75)))=Milestones!$AB$33),TEXT(EDATE($D75,Milestones!$AA$33),"dd/mm/yy")&amp;" "&amp;Milestones!$AB$33&amp;" "&amp;Milestones!$AC$33&amp;";  ","")&amp;IF(AND(EDATE($D75,Milestones!$AA$34)&lt;=AsOfDate,IF($Q75=0,$W75,IF(AND($S75&lt;&gt;"",EDATE($D75,Milestones!$AA$34)&gt;=$S75),$V75,IF(AND($R75&lt;&gt;"",EDATE($D75,Milestones!$AA$34)&gt;=$R75),$U75,$T75)))=Milestones!$AB$34),TEXT(EDATE($D75,Milestones!$AA$34),"dd/mm/yy")&amp;" "&amp;Milestones!$AB$34&amp;" "&amp;Milestones!$AC$34&amp;";  ","")&amp;IF(AND(EDATE($D75,Milestones!$AA$35)&lt;=AsOfDate,IF($Q75=0,$W75,IF(AND($S75&lt;&gt;"",EDATE($D75,Milestones!$AA$35)&gt;=$S75),$V75,IF(AND($R75&lt;&gt;"",EDATE($D75,Milestones!$AA$35)&gt;=$R75),$U75,$T75)))=Milestones!$AB$35),TEXT(EDATE($D75,Milestones!$AA$35),"dd/mm/yy")&amp;" "&amp;Milestones!$AB$35&amp;" "&amp;Milestones!$AC$35&amp;";  ","")&amp;IF(AND(EDATE($D75,Milestones!$AA$36)&lt;=AsOfDate,IF($Q75=0,$W75,IF(AND($S75&lt;&gt;"",EDATE($D75,Milestones!$AA$36)&gt;=$S75),$V75,IF(AND($R75&lt;&gt;"",EDATE($D75,Milestones!$AA$36)&gt;=$R75),$U75,$T75)))=Milestones!$AB$36),TEXT(EDATE($D75,Milestones!$AA$36),"dd/mm/yy")&amp;" "&amp;Milestones!$AB$36&amp;" "&amp;Milestones!$AC$36&amp;";  ","")&amp;IF(AND(EDATE($D75,Milestones!$AA$37)&lt;=AsOfDate,IF($Q75=0,$W75,IF(AND($S75&lt;&gt;"",EDATE($D75,Milestones!$AA$37)&gt;=$S75),$V75,IF(AND($R75&lt;&gt;"",EDATE($D75,Milestones!$AA$37)&gt;=$R75),$U75,$T75)))=Milestones!$AB$37),TEXT(EDATE($D75,Milestones!$AA$37),"dd/mm/yy")&amp;" "&amp;Milestones!$AB$37&amp;" "&amp;Milestones!$AC$37&amp;";  ","")&amp;IF(AND(EDATE($D75,Milestones!$AA$38)&lt;=AsOfDate,IF($Q75=0,$W75,IF(AND($S75&lt;&gt;"",EDATE($D75,Milestones!$AA$38)&gt;=$S75),$V75,IF(AND($R75&lt;&gt;"",EDATE($D75,Milestones!$AA$38)&gt;=$R75),$U75,$T75)))=Milestones!$AB$38),TEXT(EDATE($D75,Milestones!$AA$38),"dd/mm/yy")&amp;" "&amp;Milestones!$AB$38&amp;" "&amp;Milestones!$AC$38&amp;";  ","")&amp;IF(AND(EDATE($D75,Milestones!$AA$39)&lt;=AsOfDate,IF($Q75=0,$W75,IF(AND($S75&lt;&gt;"",EDATE($D75,Milestones!$AA$39)&gt;=$S75),$V75,IF(AND($R75&lt;&gt;"",EDATE($D75,Milestones!$AA$39)&gt;=$R75),$U75,$T75)))=Milestones!$AB$39),TEXT(EDATE($D75,Milestones!$AA$39),"dd/mm/yy")&amp;" "&amp;Milestones!$AB$39&amp;" "&amp;Milestones!$AC$39&amp;";  ",""))</f>
        <v/>
      </c>
      <c r="I75" s="0" t="str">
        <f aca="false">IF(OR($A75="",$D75=""),"",IF(AND(EDATE($D75,Milestones!$AA$40)&lt;=AsOfDate,IF($Q75=0,$W75,IF(AND($S75&lt;&gt;"",EDATE($D75,Milestones!$AA$40)&gt;=$S75),$V75,IF(AND($R75&lt;&gt;"",EDATE($D75,Milestones!$AA$40)&gt;=$R75),$U75,$T75)))=Milestones!$AB$40),TEXT(EDATE($D75,Milestones!$AA$40),"dd/mm/yy")&amp;" "&amp;Milestones!$AB$40&amp;" "&amp;Milestones!$AC$40&amp;";  ","")&amp;IF(AND(EDATE($D75,Milestones!$AA$41)&lt;=AsOfDate,IF($Q75=0,$W75,IF(AND($S75&lt;&gt;"",EDATE($D75,Milestones!$AA$41)&gt;=$S75),$V75,IF(AND($R75&lt;&gt;"",EDATE($D75,Milestones!$AA$41)&gt;=$R75),$U75,$T75)))=Milestones!$AB$41),TEXT(EDATE($D75,Milestones!$AA$41),"dd/mm/yy")&amp;" "&amp;Milestones!$AB$41&amp;" "&amp;Milestones!$AC$41&amp;";  ","")&amp;IF(AND(EDATE($D75,Milestones!$AA$42)&lt;=AsOfDate,IF($Q75=0,$W75,IF(AND($S75&lt;&gt;"",EDATE($D75,Milestones!$AA$42)&gt;=$S75),$V75,IF(AND($R75&lt;&gt;"",EDATE($D75,Milestones!$AA$42)&gt;=$R75),$U75,$T75)))=Milestones!$AB$42),TEXT(EDATE($D75,Milestones!$AA$42),"dd/mm/yy")&amp;" "&amp;Milestones!$AB$42&amp;" "&amp;Milestones!$AC$42&amp;";  ","")&amp;IF(AND(EDATE($D75,Milestones!$AA$43)&lt;=AsOfDate,IF($Q75=0,$W75,IF(AND($S75&lt;&gt;"",EDATE($D75,Milestones!$AA$43)&gt;=$S75),$V75,IF(AND($R75&lt;&gt;"",EDATE($D75,Milestones!$AA$43)&gt;=$R75),$U75,$T75)))=Milestones!$AB$43),TEXT(EDATE($D75,Milestones!$AA$43),"dd/mm/yy")&amp;" "&amp;Milestones!$AB$43&amp;" "&amp;Milestones!$AC$43&amp;";  ","")&amp;IF(AND(EDATE($D75,Milestones!$AA$44)&lt;=AsOfDate,IF($Q75=0,$W75,IF(AND($S75&lt;&gt;"",EDATE($D75,Milestones!$AA$44)&gt;=$S75),$V75,IF(AND($R75&lt;&gt;"",EDATE($D75,Milestones!$AA$44)&gt;=$R75),$U75,$T75)))=Milestones!$AB$44),TEXT(EDATE($D75,Milestones!$AA$44),"dd/mm/yy")&amp;" "&amp;Milestones!$AB$44&amp;" "&amp;Milestones!$AC$44&amp;";  ","")&amp;IF(AND(EDATE($D75,Milestones!$AA$45)&lt;=AsOfDate,IF($Q75=0,$W75,IF(AND($S75&lt;&gt;"",EDATE($D75,Milestones!$AA$45)&gt;=$S75),$V75,IF(AND($R75&lt;&gt;"",EDATE($D75,Milestones!$AA$45)&gt;=$R75),$U75,$T75)))=Milestones!$AB$45),TEXT(EDATE($D75,Milestones!$AA$45),"dd/mm/yy")&amp;" "&amp;Milestones!$AB$45&amp;" "&amp;Milestones!$AC$45&amp;";  ","")&amp;IF(AND(EDATE($D75,Milestones!$AA$46)&lt;=AsOfDate,IF($Q75=0,$W75,IF(AND($S75&lt;&gt;"",EDATE($D75,Milestones!$AA$46)&gt;=$S75),$V75,IF(AND($R75&lt;&gt;"",EDATE($D75,Milestones!$AA$46)&gt;=$R75),$U75,$T75)))=Milestones!$AB$46),TEXT(EDATE($D75,Milestones!$AA$46),"dd/mm/yy")&amp;" "&amp;Milestones!$AB$46&amp;" "&amp;Milestones!$AC$46&amp;";  ","")&amp;IF(AND(EDATE($D75,Milestones!$AA$47)&lt;=AsOfDate,IF($Q75=0,$W75,IF(AND($S75&lt;&gt;"",EDATE($D75,Milestones!$AA$47)&gt;=$S75),$V75,IF(AND($R75&lt;&gt;"",EDATE($D75,Milestones!$AA$47)&gt;=$R75),$U75,$T75)))=Milestones!$AB$47),TEXT(EDATE($D75,Milestones!$AA$47),"dd/mm/yy")&amp;" "&amp;Milestones!$AB$47&amp;" "&amp;Milestones!$AC$47&amp;";  ","")&amp;IF(AND(EDATE($D75,Milestones!$AA$48)&lt;=AsOfDate,IF($Q75=0,$W75,IF(AND($S75&lt;&gt;"",EDATE($D75,Milestones!$AA$48)&gt;=$S75),$V75,IF(AND($R75&lt;&gt;"",EDATE($D75,Milestones!$AA$48)&gt;=$R75),$U75,$T75)))=Milestones!$AB$48),TEXT(EDATE($D75,Milestones!$AA$48),"dd/mm/yy")&amp;" "&amp;Milestones!$AB$48&amp;" "&amp;Milestones!$AC$48&amp;";  ","")&amp;IF(AND(EDATE($D75,Milestones!$AA$49)&lt;=AsOfDate,IF($Q75=0,$W75,IF(AND($S75&lt;&gt;"",EDATE($D75,Milestones!$AA$49)&gt;=$S75),$V75,IF(AND($R75&lt;&gt;"",EDATE($D75,Milestones!$AA$49)&gt;=$R75),$U75,$T75)))=Milestones!$AB$49),TEXT(EDATE($D75,Milestones!$AA$49),"dd/mm/yy")&amp;" "&amp;Milestones!$AB$49&amp;" "&amp;Milestones!$AC$49&amp;";  ","")&amp;IF(AND(EDATE($D75,Milestones!$AA$50)&lt;=AsOfDate,IF($Q75=0,$W75,IF(AND($S75&lt;&gt;"",EDATE($D75,Milestones!$AA$50)&gt;=$S75),$V75,IF(AND($R75&lt;&gt;"",EDATE($D75,Milestones!$AA$50)&gt;=$R75),$U75,$T75)))=Milestones!$AB$50),TEXT(EDATE($D75,Milestones!$AA$50),"dd/mm/yy")&amp;" "&amp;Milestones!$AB$50&amp;" "&amp;Milestones!$AC$50&amp;";  ","")&amp;IF(AND(EDATE($D75,Milestones!$AA$51)&lt;=AsOfDate,IF($Q75=0,$W75,IF(AND($S75&lt;&gt;"",EDATE($D75,Milestones!$AA$51)&gt;=$S75),$V75,IF(AND($R75&lt;&gt;"",EDATE($D75,Milestones!$AA$51)&gt;=$R75),$U75,$T75)))=Milestones!$AB$51),TEXT(EDATE($D75,Milestones!$AA$51),"dd/mm/yy")&amp;" "&amp;Milestones!$AB$51&amp;" "&amp;Milestones!$AC$51&amp;";  ","")&amp;IF(AND(EDATE($D75,Milestones!$AA$52)&lt;=AsOfDate,IF($Q75=0,$W75,IF(AND($S75&lt;&gt;"",EDATE($D75,Milestones!$AA$52)&gt;=$S75),$V75,IF(AND($R75&lt;&gt;"",EDATE($D75,Milestones!$AA$52)&gt;=$R75),$U75,$T75)))=Milestones!$AB$52),TEXT(EDATE($D75,Milestones!$AA$52),"dd/mm/yy")&amp;" "&amp;Milestones!$AB$52&amp;" "&amp;Milestones!$AC$52&amp;";  ","")&amp;IF(AND(EDATE($D75,Milestones!$AA$53)&lt;=AsOfDate,IF($Q75=0,$W75,IF(AND($S75&lt;&gt;"",EDATE($D75,Milestones!$AA$53)&gt;=$S75),$V75,IF(AND($R75&lt;&gt;"",EDATE($D75,Milestones!$AA$53)&gt;=$R75),$U75,$T75)))=Milestones!$AB$53),TEXT(EDATE($D75,Milestones!$AA$53),"dd/mm/yy")&amp;" "&amp;Milestones!$AB$53&amp;" "&amp;Milestones!$AC$53&amp;";  ","")&amp;IF(AND(EDATE($D75,Milestones!$AA$54)&lt;=AsOfDate,IF($Q75=0,$W75,IF(AND($S75&lt;&gt;"",EDATE($D75,Milestones!$AA$54)&gt;=$S75),$V75,IF(AND($R75&lt;&gt;"",EDATE($D75,Milestones!$AA$54)&gt;=$R75),$U75,$T75)))=Milestones!$AB$54),TEXT(EDATE($D75,Milestones!$AA$54),"dd/mm/yy")&amp;" "&amp;Milestones!$AB$54&amp;" "&amp;Milestones!$AC$54&amp;";  ","")&amp;IF(AND(EDATE($D75,Milestones!$AA$55)&lt;=AsOfDate,IF($Q75=0,$W75,IF(AND($S75&lt;&gt;"",EDATE($D75,Milestones!$AA$55)&gt;=$S75),$V75,IF(AND($R75&lt;&gt;"",EDATE($D75,Milestones!$AA$55)&gt;=$R75),$U75,$T75)))=Milestones!$AB$55),TEXT(EDATE($D75,Milestones!$AA$55),"dd/mm/yy")&amp;" "&amp;Milestones!$AB$55&amp;" "&amp;Milestones!$AC$55&amp;";  ","")&amp;IF(AND(EDATE($D75,Milestones!$AA$56)&lt;=AsOfDate,IF($Q75=0,$W75,IF(AND($S75&lt;&gt;"",EDATE($D75,Milestones!$AA$56)&gt;=$S75),$V75,IF(AND($R75&lt;&gt;"",EDATE($D75,Milestones!$AA$56)&gt;=$R75),$U75,$T75)))=Milestones!$AB$56),TEXT(EDATE($D75,Milestones!$AA$56),"dd/mm/yy")&amp;" "&amp;Milestones!$AB$56&amp;" "&amp;Milestones!$AC$56&amp;";  ","")&amp;IF(AND(EDATE($D75,Milestones!$AA$57)&lt;=AsOfDate,IF($Q75=0,$W75,IF(AND($S75&lt;&gt;"",EDATE($D75,Milestones!$AA$57)&gt;=$S75),$V75,IF(AND($R75&lt;&gt;"",EDATE($D75,Milestones!$AA$57)&gt;=$R75),$U75,$T75)))=Milestones!$AB$57),TEXT(EDATE($D75,Milestones!$AA$57),"dd/mm/yy")&amp;" "&amp;Milestones!$AB$57&amp;" "&amp;Milestones!$AC$57&amp;";  ","")&amp;IF(AND(EDATE($D75,Milestones!$AA$58)&lt;=AsOfDate,IF($Q75=0,$W75,IF(AND($S75&lt;&gt;"",EDATE($D75,Milestones!$AA$58)&gt;=$S75),$V75,IF(AND($R75&lt;&gt;"",EDATE($D75,Milestones!$AA$58)&gt;=$R75),$U75,$T75)))=Milestones!$AB$58),TEXT(EDATE($D75,Milestones!$AA$58),"dd/mm/yy")&amp;" "&amp;Milestones!$AB$58&amp;" "&amp;Milestones!$AC$58&amp;";  ","")&amp;IF(AND(EDATE($D75,Milestones!$AA$59)&lt;=AsOfDate,IF($Q75=0,$W75,IF(AND($S75&lt;&gt;"",EDATE($D75,Milestones!$AA$59)&gt;=$S75),$V75,IF(AND($R75&lt;&gt;"",EDATE($D75,Milestones!$AA$59)&gt;=$R75),$U75,$T75)))=Milestones!$AB$59),TEXT(EDATE($D75,Milestones!$AA$59),"dd/mm/yy")&amp;" "&amp;Milestones!$AB$59&amp;" "&amp;Milestones!$AC$59&amp;";  ",""))</f>
        <v/>
      </c>
      <c r="J75" s="0" t="str">
        <f aca="false">IF(OR($A75="",$D75=""),"",IF(AND(EDATE($D75,Milestones!$AA$60)&lt;=AsOfDate,IF($Q75=0,$W75,IF(AND($S75&lt;&gt;"",EDATE($D75,Milestones!$AA$60)&gt;=$S75),$V75,IF(AND($R75&lt;&gt;"",EDATE($D75,Milestones!$AA$60)&gt;=$R75),$U75,$T75)))=Milestones!$AB$60),TEXT(EDATE($D75,Milestones!$AA$60),"dd/mm/yy")&amp;" "&amp;Milestones!$AB$60&amp;" "&amp;Milestones!$AC$60&amp;";  ","")&amp;IF(AND(EDATE($D75,Milestones!$AA$61)&lt;=AsOfDate,IF($Q75=0,$W75,IF(AND($S75&lt;&gt;"",EDATE($D75,Milestones!$AA$61)&gt;=$S75),$V75,IF(AND($R75&lt;&gt;"",EDATE($D75,Milestones!$AA$61)&gt;=$R75),$U75,$T75)))=Milestones!$AB$61),TEXT(EDATE($D75,Milestones!$AA$61),"dd/mm/yy")&amp;" "&amp;Milestones!$AB$61&amp;" "&amp;Milestones!$AC$61&amp;";  ","")&amp;IF(AND(EDATE($D75,Milestones!$AA$62)&lt;=AsOfDate,IF($Q75=0,$W75,IF(AND($S75&lt;&gt;"",EDATE($D75,Milestones!$AA$62)&gt;=$S75),$V75,IF(AND($R75&lt;&gt;"",EDATE($D75,Milestones!$AA$62)&gt;=$R75),$U75,$T75)))=Milestones!$AB$62),TEXT(EDATE($D75,Milestones!$AA$62),"dd/mm/yy")&amp;" "&amp;Milestones!$AB$62&amp;" "&amp;Milestones!$AC$62&amp;";  ","")&amp;IF(AND(EDATE($D75,Milestones!$AA$63)&lt;=AsOfDate,IF($Q75=0,$W75,IF(AND($S75&lt;&gt;"",EDATE($D75,Milestones!$AA$63)&gt;=$S75),$V75,IF(AND($R75&lt;&gt;"",EDATE($D75,Milestones!$AA$63)&gt;=$R75),$U75,$T75)))=Milestones!$AB$63),TEXT(EDATE($D75,Milestones!$AA$63),"dd/mm/yy")&amp;" "&amp;Milestones!$AB$63&amp;" "&amp;Milestones!$AC$63&amp;";  ","")&amp;IF(AND(EDATE($D75,Milestones!$AA$64)&lt;=AsOfDate,IF($Q75=0,$W75,IF(AND($S75&lt;&gt;"",EDATE($D75,Milestones!$AA$64)&gt;=$S75),$V75,IF(AND($R75&lt;&gt;"",EDATE($D75,Milestones!$AA$64)&gt;=$R75),$U75,$T75)))=Milestones!$AB$64),TEXT(EDATE($D75,Milestones!$AA$64),"dd/mm/yy")&amp;" "&amp;Milestones!$AB$64&amp;" "&amp;Milestones!$AC$64&amp;";  ","")&amp;IF(AND(EDATE($D75,Milestones!$AA$65)&lt;=AsOfDate,IF($Q75=0,$W75,IF(AND($S75&lt;&gt;"",EDATE($D75,Milestones!$AA$65)&gt;=$S75),$V75,IF(AND($R75&lt;&gt;"",EDATE($D75,Milestones!$AA$65)&gt;=$R75),$U75,$T75)))=Milestones!$AB$65),TEXT(EDATE($D75,Milestones!$AA$65),"dd/mm/yy")&amp;" "&amp;Milestones!$AB$65&amp;" "&amp;Milestones!$AC$65&amp;";  ","")&amp;IF(AND(EDATE($D75,Milestones!$AA$66)&lt;=AsOfDate,IF($Q75=0,$W75,IF(AND($S75&lt;&gt;"",EDATE($D75,Milestones!$AA$66)&gt;=$S75),$V75,IF(AND($R75&lt;&gt;"",EDATE($D75,Milestones!$AA$66)&gt;=$R75),$U75,$T75)))=Milestones!$AB$66),TEXT(EDATE($D75,Milestones!$AA$66),"dd/mm/yy")&amp;" "&amp;Milestones!$AB$66&amp;" "&amp;Milestones!$AC$66&amp;";  ","")&amp;IF(AND(EDATE($D75,Milestones!$AA$67)&lt;=AsOfDate,IF($Q75=0,$W75,IF(AND($S75&lt;&gt;"",EDATE($D75,Milestones!$AA$67)&gt;=$S75),$V75,IF(AND($R75&lt;&gt;"",EDATE($D75,Milestones!$AA$67)&gt;=$R75),$U75,$T75)))=Milestones!$AB$67),TEXT(EDATE($D75,Milestones!$AA$67),"dd/mm/yy")&amp;" "&amp;Milestones!$AB$67&amp;" "&amp;Milestones!$AC$67&amp;";  ","")&amp;IF(AND(EDATE($D75,Milestones!$AA$68)&lt;=AsOfDate,IF($Q75=0,$W75,IF(AND($S75&lt;&gt;"",EDATE($D75,Milestones!$AA$68)&gt;=$S75),$V75,IF(AND($R75&lt;&gt;"",EDATE($D75,Milestones!$AA$68)&gt;=$R75),$U75,$T75)))=Milestones!$AB$68),TEXT(EDATE($D75,Milestones!$AA$68),"dd/mm/yy")&amp;" "&amp;Milestones!$AB$68&amp;" "&amp;Milestones!$AC$68&amp;";  ","")&amp;IF(AND(EDATE($D75,Milestones!$AA$69)&lt;=AsOfDate,IF($Q75=0,$W75,IF(AND($S75&lt;&gt;"",EDATE($D75,Milestones!$AA$69)&gt;=$S75),$V75,IF(AND($R75&lt;&gt;"",EDATE($D75,Milestones!$AA$69)&gt;=$R75),$U75,$T75)))=Milestones!$AB$69),TEXT(EDATE($D75,Milestones!$AA$69),"dd/mm/yy")&amp;" "&amp;Milestones!$AB$69&amp;" "&amp;Milestones!$AC$69&amp;";  ","")&amp;IF(AND(EDATE($D75,Milestones!$AA$70)&lt;=AsOfDate,IF($Q75=0,$W75,IF(AND($S75&lt;&gt;"",EDATE($D75,Milestones!$AA$70)&gt;=$S75),$V75,IF(AND($R75&lt;&gt;"",EDATE($D75,Milestones!$AA$70)&gt;=$R75),$U75,$T75)))=Milestones!$AB$70),TEXT(EDATE($D75,Milestones!$AA$70),"dd/mm/yy")&amp;" "&amp;Milestones!$AB$70&amp;" "&amp;Milestones!$AC$70&amp;";  ","")&amp;IF(AND(EDATE($D75,Milestones!$AA$71)&lt;=AsOfDate,IF($Q75=0,$W75,IF(AND($S75&lt;&gt;"",EDATE($D75,Milestones!$AA$71)&gt;=$S75),$V75,IF(AND($R75&lt;&gt;"",EDATE($D75,Milestones!$AA$71)&gt;=$R75),$U75,$T75)))=Milestones!$AB$71),TEXT(EDATE($D75,Milestones!$AA$71),"dd/mm/yy")&amp;" "&amp;Milestones!$AB$71&amp;" "&amp;Milestones!$AC$71&amp;";  ","")&amp;IF(AND(EDATE($D75,Milestones!$AA$72)&lt;=AsOfDate,IF($Q75=0,$W75,IF(AND($S75&lt;&gt;"",EDATE($D75,Milestones!$AA$72)&gt;=$S75),$V75,IF(AND($R75&lt;&gt;"",EDATE($D75,Milestones!$AA$72)&gt;=$R75),$U75,$T75)))=Milestones!$AB$72),TEXT(EDATE($D75,Milestones!$AA$72),"dd/mm/yy")&amp;" "&amp;Milestones!$AB$72&amp;" "&amp;Milestones!$AC$72&amp;";  ","")&amp;IF(AND(EDATE($D75,Milestones!$AA$73)&lt;=AsOfDate,IF($Q75=0,$W75,IF(AND($S75&lt;&gt;"",EDATE($D75,Milestones!$AA$73)&gt;=$S75),$V75,IF(AND($R75&lt;&gt;"",EDATE($D75,Milestones!$AA$73)&gt;=$R75),$U75,$T75)))=Milestones!$AB$73),TEXT(EDATE($D75,Milestones!$AA$73),"dd/mm/yy")&amp;" "&amp;Milestones!$AB$73&amp;" "&amp;Milestones!$AC$73&amp;";  ","")&amp;IF(AND(EDATE($D75,Milestones!$AA$74)&lt;=AsOfDate,IF($Q75=0,$W75,IF(AND($S75&lt;&gt;"",EDATE($D75,Milestones!$AA$74)&gt;=$S75),$V75,IF(AND($R75&lt;&gt;"",EDATE($D75,Milestones!$AA$74)&gt;=$R75),$U75,$T75)))=Milestones!$AB$74),TEXT(EDATE($D75,Milestones!$AA$74),"dd/mm/yy")&amp;" "&amp;Milestones!$AB$74&amp;" "&amp;Milestones!$AC$74&amp;";  ","")&amp;IF(AND(EDATE($D75,Milestones!$AA$75)&lt;=AsOfDate,IF($Q75=0,$W75,IF(AND($S75&lt;&gt;"",EDATE($D75,Milestones!$AA$75)&gt;=$S75),$V75,IF(AND($R75&lt;&gt;"",EDATE($D75,Milestones!$AA$75)&gt;=$R75),$U75,$T75)))=Milestones!$AB$75),TEXT(EDATE($D75,Milestones!$AA$75),"dd/mm/yy")&amp;" "&amp;Milestones!$AB$75&amp;" "&amp;Milestones!$AC$75&amp;";  ","")&amp;IF(AND(EDATE($D75,Milestones!$AA$76)&lt;=AsOfDate,IF($Q75=0,$W75,IF(AND($S75&lt;&gt;"",EDATE($D75,Milestones!$AA$76)&gt;=$S75),$V75,IF(AND($R75&lt;&gt;"",EDATE($D75,Milestones!$AA$76)&gt;=$R75),$U75,$T75)))=Milestones!$AB$76),TEXT(EDATE($D75,Milestones!$AA$76),"dd/mm/yy")&amp;" "&amp;Milestones!$AB$76&amp;" "&amp;Milestones!$AC$76&amp;";  ","")&amp;IF(AND(EDATE($D75,Milestones!$AA$77)&lt;=AsOfDate,IF($Q75=0,$W75,IF(AND($S75&lt;&gt;"",EDATE($D75,Milestones!$AA$77)&gt;=$S75),$V75,IF(AND($R75&lt;&gt;"",EDATE($D75,Milestones!$AA$77)&gt;=$R75),$U75,$T75)))=Milestones!$AB$77),TEXT(EDATE($D75,Milestones!$AA$77),"dd/mm/yy")&amp;" "&amp;Milestones!$AB$77&amp;" "&amp;Milestones!$AC$77&amp;";  ","")&amp;IF(AND(EDATE($D75,Milestones!$AA$78)&lt;=AsOfDate,IF($Q75=0,$W75,IF(AND($S75&lt;&gt;"",EDATE($D75,Milestones!$AA$78)&gt;=$S75),$V75,IF(AND($R75&lt;&gt;"",EDATE($D75,Milestones!$AA$78)&gt;=$R75),$U75,$T75)))=Milestones!$AB$78),TEXT(EDATE($D75,Milestones!$AA$78),"dd/mm/yy")&amp;" "&amp;Milestones!$AB$78&amp;" "&amp;Milestones!$AC$78&amp;";  ","")&amp;IF(AND(EDATE($D75,Milestones!$AA$79)&lt;=AsOfDate,IF($Q75=0,$W75,IF(AND($S75&lt;&gt;"",EDATE($D75,Milestones!$AA$79)&gt;=$S75),$V75,IF(AND($R75&lt;&gt;"",EDATE($D75,Milestones!$AA$79)&gt;=$R75),$U75,$T75)))=Milestones!$AB$79),TEXT(EDATE($D75,Milestones!$AA$79),"dd/mm/yy")&amp;" "&amp;Milestones!$AB$79&amp;" "&amp;Milestones!$AC$79&amp;";  ",""))</f>
        <v/>
      </c>
      <c r="K75" s="0" t="str">
        <f aca="false">IF(OR($A75="",$D75=""),"",IF(AND(EDATE($D75,Milestones!$AA$80)&lt;=AsOfDate,IF($Q75=0,$W75,IF(AND($S75&lt;&gt;"",EDATE($D75,Milestones!$AA$80)&gt;=$S75),$V75,IF(AND($R75&lt;&gt;"",EDATE($D75,Milestones!$AA$80)&gt;=$R75),$U75,$T75)))=Milestones!$AB$80),TEXT(EDATE($D75,Milestones!$AA$80),"dd/mm/yy")&amp;" "&amp;Milestones!$AB$80&amp;" "&amp;Milestones!$AC$80&amp;";  ","")&amp;IF(AND(EDATE($D75,Milestones!$AA$81)&lt;=AsOfDate,IF($Q75=0,$W75,IF(AND($S75&lt;&gt;"",EDATE($D75,Milestones!$AA$81)&gt;=$S75),$V75,IF(AND($R75&lt;&gt;"",EDATE($D75,Milestones!$AA$81)&gt;=$R75),$U75,$T75)))=Milestones!$AB$81),TEXT(EDATE($D75,Milestones!$AA$81),"dd/mm/yy")&amp;" "&amp;Milestones!$AB$81&amp;" "&amp;Milestones!$AC$81&amp;";  ","")&amp;IF(AND(EDATE($D75,Milestones!$AA$82)&lt;=AsOfDate,IF($Q75=0,$W75,IF(AND($S75&lt;&gt;"",EDATE($D75,Milestones!$AA$82)&gt;=$S75),$V75,IF(AND($R75&lt;&gt;"",EDATE($D75,Milestones!$AA$82)&gt;=$R75),$U75,$T75)))=Milestones!$AB$82),TEXT(EDATE($D75,Milestones!$AA$82),"dd/mm/yy")&amp;" "&amp;Milestones!$AB$82&amp;" "&amp;Milestones!$AC$82&amp;";  ","")&amp;IF(AND(EDATE($D75,Milestones!$AA$83)&lt;=AsOfDate,IF($Q75=0,$W75,IF(AND($S75&lt;&gt;"",EDATE($D75,Milestones!$AA$83)&gt;=$S75),$V75,IF(AND($R75&lt;&gt;"",EDATE($D75,Milestones!$AA$83)&gt;=$R75),$U75,$T75)))=Milestones!$AB$83),TEXT(EDATE($D75,Milestones!$AA$83),"dd/mm/yy")&amp;" "&amp;Milestones!$AB$83&amp;" "&amp;Milestones!$AC$83&amp;";  ","")&amp;IF(AND(EDATE($D75,Milestones!$AA$84)&lt;=AsOfDate,IF($Q75=0,$W75,IF(AND($S75&lt;&gt;"",EDATE($D75,Milestones!$AA$84)&gt;=$S75),$V75,IF(AND($R75&lt;&gt;"",EDATE($D75,Milestones!$AA$84)&gt;=$R75),$U75,$T75)))=Milestones!$AB$84),TEXT(EDATE($D75,Milestones!$AA$84),"dd/mm/yy")&amp;" "&amp;Milestones!$AB$84&amp;" "&amp;Milestones!$AC$84&amp;";  ","")&amp;IF(AND(EDATE($D75,Milestones!$AA$85)&lt;=AsOfDate,IF($Q75=0,$W75,IF(AND($S75&lt;&gt;"",EDATE($D75,Milestones!$AA$85)&gt;=$S75),$V75,IF(AND($R75&lt;&gt;"",EDATE($D75,Milestones!$AA$85)&gt;=$R75),$U75,$T75)))=Milestones!$AB$85),TEXT(EDATE($D75,Milestones!$AA$85),"dd/mm/yy")&amp;" "&amp;Milestones!$AB$85&amp;" "&amp;Milestones!$AC$85&amp;";  ","")&amp;IF(AND(EDATE($D75,Milestones!$AA$86)&lt;=AsOfDate,IF($Q75=0,$W75,IF(AND($S75&lt;&gt;"",EDATE($D75,Milestones!$AA$86)&gt;=$S75),$V75,IF(AND($R75&lt;&gt;"",EDATE($D75,Milestones!$AA$86)&gt;=$R75),$U75,$T75)))=Milestones!$AB$86),TEXT(EDATE($D75,Milestones!$AA$86),"dd/mm/yy")&amp;" "&amp;Milestones!$AB$86&amp;" "&amp;Milestones!$AC$86&amp;";  ","")&amp;IF(AND(EDATE($D75,Milestones!$AA$87)&lt;=AsOfDate,IF($Q75=0,$W75,IF(AND($S75&lt;&gt;"",EDATE($D75,Milestones!$AA$87)&gt;=$S75),$V75,IF(AND($R75&lt;&gt;"",EDATE($D75,Milestones!$AA$87)&gt;=$R75),$U75,$T75)))=Milestones!$AB$87),TEXT(EDATE($D75,Milestones!$AA$87),"dd/mm/yy")&amp;" "&amp;Milestones!$AB$87&amp;" "&amp;Milestones!$AC$87&amp;";  ","")&amp;IF(AND(EDATE($D75,Milestones!$AA$88)&lt;=AsOfDate,IF($Q75=0,$W75,IF(AND($S75&lt;&gt;"",EDATE($D75,Milestones!$AA$88)&gt;=$S75),$V75,IF(AND($R75&lt;&gt;"",EDATE($D75,Milestones!$AA$88)&gt;=$R75),$U75,$T75)))=Milestones!$AB$88),TEXT(EDATE($D75,Milestones!$AA$88),"dd/mm/yy")&amp;" "&amp;Milestones!$AB$88&amp;" "&amp;Milestones!$AC$88&amp;";  ","")&amp;IF(AND(EDATE($D75,Milestones!$AA$89)&lt;=AsOfDate,IF($Q75=0,$W75,IF(AND($S75&lt;&gt;"",EDATE($D75,Milestones!$AA$89)&gt;=$S75),$V75,IF(AND($R75&lt;&gt;"",EDATE($D75,Milestones!$AA$89)&gt;=$R75),$U75,$T75)))=Milestones!$AB$89),TEXT(EDATE($D75,Milestones!$AA$89),"dd/mm/yy")&amp;" "&amp;Milestones!$AB$89&amp;" "&amp;Milestones!$AC$89&amp;";  ","")&amp;IF(AND(EDATE($D75,Milestones!$AA$90)&lt;=AsOfDate,IF($Q75=0,$W75,IF(AND($S75&lt;&gt;"",EDATE($D75,Milestones!$AA$90)&gt;=$S75),$V75,IF(AND($R75&lt;&gt;"",EDATE($D75,Milestones!$AA$90)&gt;=$R75),$U75,$T75)))=Milestones!$AB$90),TEXT(EDATE($D75,Milestones!$AA$90),"dd/mm/yy")&amp;" "&amp;Milestones!$AB$90&amp;" "&amp;Milestones!$AC$90&amp;";  ","")&amp;IF(AND(EDATE($D75,Milestones!$AA$91)&lt;=AsOfDate,IF($Q75=0,$W75,IF(AND($S75&lt;&gt;"",EDATE($D75,Milestones!$AA$91)&gt;=$S75),$V75,IF(AND($R75&lt;&gt;"",EDATE($D75,Milestones!$AA$91)&gt;=$R75),$U75,$T75)))=Milestones!$AB$91),TEXT(EDATE($D75,Milestones!$AA$91),"dd/mm/yy")&amp;" "&amp;Milestones!$AB$91&amp;" "&amp;Milestones!$AC$91&amp;";  ","")&amp;IF(AND(EDATE($D75,Milestones!$AA$92)&lt;=AsOfDate,IF($Q75=0,$W75,IF(AND($S75&lt;&gt;"",EDATE($D75,Milestones!$AA$92)&gt;=$S75),$V75,IF(AND($R75&lt;&gt;"",EDATE($D75,Milestones!$AA$92)&gt;=$R75),$U75,$T75)))=Milestones!$AB$92),TEXT(EDATE($D75,Milestones!$AA$92),"dd/mm/yy")&amp;" "&amp;Milestones!$AB$92&amp;" "&amp;Milestones!$AC$92&amp;";  ","")&amp;IF(AND(EDATE($D75,Milestones!$AA$93)&lt;=AsOfDate,IF($Q75=0,$W75,IF(AND($S75&lt;&gt;"",EDATE($D75,Milestones!$AA$93)&gt;=$S75),$V75,IF(AND($R75&lt;&gt;"",EDATE($D75,Milestones!$AA$93)&gt;=$R75),$U75,$T75)))=Milestones!$AB$93),TEXT(EDATE($D75,Milestones!$AA$93),"dd/mm/yy")&amp;" "&amp;Milestones!$AB$93&amp;" "&amp;Milestones!$AC$93&amp;";  ","")&amp;IF(AND(EDATE($D75,Milestones!$AA$94)&lt;=AsOfDate,IF($Q75=0,$W75,IF(AND($S75&lt;&gt;"",EDATE($D75,Milestones!$AA$94)&gt;=$S75),$V75,IF(AND($R75&lt;&gt;"",EDATE($D75,Milestones!$AA$94)&gt;=$R75),$U75,$T75)))=Milestones!$AB$94),TEXT(EDATE($D75,Milestones!$AA$94),"dd/mm/yy")&amp;" "&amp;Milestones!$AB$94&amp;" "&amp;Milestones!$AC$94&amp;";  ","")&amp;IF(AND(EDATE($D75,Milestones!$AA$95)&lt;=AsOfDate,IF($Q75=0,$W75,IF(AND($S75&lt;&gt;"",EDATE($D75,Milestones!$AA$95)&gt;=$S75),$V75,IF(AND($R75&lt;&gt;"",EDATE($D75,Milestones!$AA$95)&gt;=$R75),$U75,$T75)))=Milestones!$AB$95),TEXT(EDATE($D75,Milestones!$AA$95),"dd/mm/yy")&amp;" "&amp;Milestones!$AB$95&amp;" "&amp;Milestones!$AC$95&amp;";  ","")&amp;IF(AND(EDATE($D75,Milestones!$AA$96)&lt;=AsOfDate,IF($Q75=0,$W75,IF(AND($S75&lt;&gt;"",EDATE($D75,Milestones!$AA$96)&gt;=$S75),$V75,IF(AND($R75&lt;&gt;"",EDATE($D75,Milestones!$AA$96)&gt;=$R75),$U75,$T75)))=Milestones!$AB$96),TEXT(EDATE($D75,Milestones!$AA$96),"dd/mm/yy")&amp;" "&amp;Milestones!$AB$96&amp;" "&amp;Milestones!$AC$96&amp;";  ","")&amp;IF(AND(EDATE($D75,Milestones!$AA$97)&lt;=AsOfDate,IF($Q75=0,$W75,IF(AND($S75&lt;&gt;"",EDATE($D75,Milestones!$AA$97)&gt;=$S75),$V75,IF(AND($R75&lt;&gt;"",EDATE($D75,Milestones!$AA$97)&gt;=$R75),$U75,$T75)))=Milestones!$AB$97),TEXT(EDATE($D75,Milestones!$AA$97),"dd/mm/yy")&amp;" "&amp;Milestones!$AB$97&amp;" "&amp;Milestones!$AC$97&amp;";  ","")&amp;IF(AND(EDATE($D75,Milestones!$AA$98)&lt;=AsOfDate,IF($Q75=0,$W75,IF(AND($S75&lt;&gt;"",EDATE($D75,Milestones!$AA$98)&gt;=$S75),$V75,IF(AND($R75&lt;&gt;"",EDATE($D75,Milestones!$AA$98)&gt;=$R75),$U75,$T75)))=Milestones!$AB$98),TEXT(EDATE($D75,Milestones!$AA$98),"dd/mm/yy")&amp;" "&amp;Milestones!$AB$98&amp;" "&amp;Milestones!$AC$98&amp;";  ","")&amp;IF(AND(EDATE($D75,Milestones!$AA$99)&lt;=AsOfDate,IF($Q75=0,$W75,IF(AND($S75&lt;&gt;"",EDATE($D75,Milestones!$AA$99)&gt;=$S75),$V75,IF(AND($R75&lt;&gt;"",EDATE($D75,Milestones!$AA$99)&gt;=$R75),$U75,$T75)))=Milestones!$AB$99),TEXT(EDATE($D75,Milestones!$AA$99),"dd/mm/yy")&amp;" "&amp;Milestones!$AB$99&amp;" "&amp;Milestones!$AC$99&amp;";  ",""))</f>
        <v/>
      </c>
      <c r="L75" s="0" t="str">
        <f aca="false">IF(OR($A75="",$D75=""),"",IF(AND(EDATE($D75,Milestones!$AA$100)&lt;=AsOfDate,IF($Q75=0,$W75,IF(AND($S75&lt;&gt;"",EDATE($D75,Milestones!$AA$100)&gt;=$S75),$V75,IF(AND($R75&lt;&gt;"",EDATE($D75,Milestones!$AA$100)&gt;=$R75),$U75,$T75)))=Milestones!$AB$100),TEXT(EDATE($D75,Milestones!$AA$100),"dd/mm/yy")&amp;" "&amp;Milestones!$AB$100&amp;" "&amp;Milestones!$AC$100&amp;";  ","")&amp;IF(AND(EDATE($D75,Milestones!$AA$101)&lt;=AsOfDate,IF($Q75=0,$W75,IF(AND($S75&lt;&gt;"",EDATE($D75,Milestones!$AA$101)&gt;=$S75),$V75,IF(AND($R75&lt;&gt;"",EDATE($D75,Milestones!$AA$101)&gt;=$R75),$U75,$T75)))=Milestones!$AB$101),TEXT(EDATE($D75,Milestones!$AA$101),"dd/mm/yy")&amp;" "&amp;Milestones!$AB$101&amp;" "&amp;Milestones!$AC$101&amp;";  ","")&amp;IF(AND(EDATE($D75,Milestones!$AA$102)&lt;=AsOfDate,IF($Q75=0,$W75,IF(AND($S75&lt;&gt;"",EDATE($D75,Milestones!$AA$102)&gt;=$S75),$V75,IF(AND($R75&lt;&gt;"",EDATE($D75,Milestones!$AA$102)&gt;=$R75),$U75,$T75)))=Milestones!$AB$102),TEXT(EDATE($D75,Milestones!$AA$102),"dd/mm/yy")&amp;" "&amp;Milestones!$AB$102&amp;" "&amp;Milestones!$AC$102&amp;";  ","")&amp;IF(AND(EDATE($D75,Milestones!$AA$103)&lt;=AsOfDate,IF($Q75=0,$W75,IF(AND($S75&lt;&gt;"",EDATE($D75,Milestones!$AA$103)&gt;=$S75),$V75,IF(AND($R75&lt;&gt;"",EDATE($D75,Milestones!$AA$103)&gt;=$R75),$U75,$T75)))=Milestones!$AB$103),TEXT(EDATE($D75,Milestones!$AA$103),"dd/mm/yy")&amp;" "&amp;Milestones!$AB$103&amp;" "&amp;Milestones!$AC$103&amp;";  ","")&amp;IF(AND(EDATE($D75,Milestones!$AA$104)&lt;=AsOfDate,IF($Q75=0,$W75,IF(AND($S75&lt;&gt;"",EDATE($D75,Milestones!$AA$104)&gt;=$S75),$V75,IF(AND($R75&lt;&gt;"",EDATE($D75,Milestones!$AA$104)&gt;=$R75),$U75,$T75)))=Milestones!$AB$104),TEXT(EDATE($D75,Milestones!$AA$104),"dd/mm/yy")&amp;" "&amp;Milestones!$AB$104&amp;" "&amp;Milestones!$AC$104&amp;";  ","")&amp;IF(AND(EDATE($D75,Milestones!$AA$105)&lt;=AsOfDate,IF($Q75=0,$W75,IF(AND($S75&lt;&gt;"",EDATE($D75,Milestones!$AA$105)&gt;=$S75),$V75,IF(AND($R75&lt;&gt;"",EDATE($D75,Milestones!$AA$105)&gt;=$R75),$U75,$T75)))=Milestones!$AB$105),TEXT(EDATE($D75,Milestones!$AA$105),"dd/mm/yy")&amp;" "&amp;Milestones!$AB$105&amp;" "&amp;Milestones!$AC$105&amp;";  ","")&amp;IF(AND(EDATE($D75,Milestones!$AA$106)&lt;=AsOfDate,IF($Q75=0,$W75,IF(AND($S75&lt;&gt;"",EDATE($D75,Milestones!$AA$106)&gt;=$S75),$V75,IF(AND($R75&lt;&gt;"",EDATE($D75,Milestones!$AA$106)&gt;=$R75),$U75,$T75)))=Milestones!$AB$106),TEXT(EDATE($D75,Milestones!$AA$106),"dd/mm/yy")&amp;" "&amp;Milestones!$AB$106&amp;" "&amp;Milestones!$AC$106&amp;";  ","")&amp;IF(AND(EDATE($D75,Milestones!$AA$107)&lt;=AsOfDate,IF($Q75=0,$W75,IF(AND($S75&lt;&gt;"",EDATE($D75,Milestones!$AA$107)&gt;=$S75),$V75,IF(AND($R75&lt;&gt;"",EDATE($D75,Milestones!$AA$107)&gt;=$R75),$U75,$T75)))=Milestones!$AB$107),TEXT(EDATE($D75,Milestones!$AA$107),"dd/mm/yy")&amp;" "&amp;Milestones!$AB$107&amp;" "&amp;Milestones!$AC$107&amp;";  ","")&amp;IF(AND(EDATE($D75,Milestones!$AA$108)&lt;=AsOfDate,IF($Q75=0,$W75,IF(AND($S75&lt;&gt;"",EDATE($D75,Milestones!$AA$108)&gt;=$S75),$V75,IF(AND($R75&lt;&gt;"",EDATE($D75,Milestones!$AA$108)&gt;=$R75),$U75,$T75)))=Milestones!$AB$108),TEXT(EDATE($D75,Milestones!$AA$108),"dd/mm/yy")&amp;" "&amp;Milestones!$AB$108&amp;" "&amp;Milestones!$AC$108&amp;";  ","")&amp;IF(AND(EDATE($D75,Milestones!$AA$109)&lt;=AsOfDate,IF($Q75=0,$W75,IF(AND($S75&lt;&gt;"",EDATE($D75,Milestones!$AA$109)&gt;=$S75),$V75,IF(AND($R75&lt;&gt;"",EDATE($D75,Milestones!$AA$109)&gt;=$R75),$U75,$T75)))=Milestones!$AB$109),TEXT(EDATE($D75,Milestones!$AA$109),"dd/mm/yy")&amp;" "&amp;Milestones!$AB$109&amp;" "&amp;Milestones!$AC$109&amp;";  ","")&amp;IF(AND(EDATE($D75,Milestones!$AA$110)&lt;=AsOfDate,IF($Q75=0,$W75,IF(AND($S75&lt;&gt;"",EDATE($D75,Milestones!$AA$110)&gt;=$S75),$V75,IF(AND($R75&lt;&gt;"",EDATE($D75,Milestones!$AA$110)&gt;=$R75),$U75,$T75)))=Milestones!$AB$110),TEXT(EDATE($D75,Milestones!$AA$110),"dd/mm/yy")&amp;" "&amp;Milestones!$AB$110&amp;" "&amp;Milestones!$AC$110&amp;";  ","")&amp;IF(AND(EDATE($D75,Milestones!$AA$111)&lt;=AsOfDate,IF($Q75=0,$W75,IF(AND($S75&lt;&gt;"",EDATE($D75,Milestones!$AA$111)&gt;=$S75),$V75,IF(AND($R75&lt;&gt;"",EDATE($D75,Milestones!$AA$111)&gt;=$R75),$U75,$T75)))=Milestones!$AB$111),TEXT(EDATE($D75,Milestones!$AA$111),"dd/mm/yy")&amp;" "&amp;Milestones!$AB$111&amp;" "&amp;Milestones!$AC$111&amp;";  ","")&amp;IF(AND(EDATE($D75,Milestones!$AA$112)&lt;=AsOfDate,IF($Q75=0,$W75,IF(AND($S75&lt;&gt;"",EDATE($D75,Milestones!$AA$112)&gt;=$S75),$V75,IF(AND($R75&lt;&gt;"",EDATE($D75,Milestones!$AA$112)&gt;=$R75),$U75,$T75)))=Milestones!$AB$112),TEXT(EDATE($D75,Milestones!$AA$112),"dd/mm/yy")&amp;" "&amp;Milestones!$AB$112&amp;" "&amp;Milestones!$AC$112&amp;";  ","")&amp;IF(AND(EDATE($D75,Milestones!$AA$113)&lt;=AsOfDate,IF($Q75=0,$W75,IF(AND($S75&lt;&gt;"",EDATE($D75,Milestones!$AA$113)&gt;=$S75),$V75,IF(AND($R75&lt;&gt;"",EDATE($D75,Milestones!$AA$113)&gt;=$R75),$U75,$T75)))=Milestones!$AB$113),TEXT(EDATE($D75,Milestones!$AA$113),"dd/mm/yy")&amp;" "&amp;Milestones!$AB$113&amp;" "&amp;Milestones!$AC$113&amp;";  ","")&amp;IF(AND(EDATE($D75,Milestones!$AA$114)&lt;=AsOfDate,IF($Q75=0,$W75,IF(AND($S75&lt;&gt;"",EDATE($D75,Milestones!$AA$114)&gt;=$S75),$V75,IF(AND($R75&lt;&gt;"",EDATE($D75,Milestones!$AA$114)&gt;=$R75),$U75,$T75)))=Milestones!$AB$114),TEXT(EDATE($D75,Milestones!$AA$114),"dd/mm/yy")&amp;" "&amp;Milestones!$AB$114&amp;" "&amp;Milestones!$AC$114&amp;";  ","")&amp;IF(AND(EDATE($D75,Milestones!$AA$115)&lt;=AsOfDate,IF($Q75=0,$W75,IF(AND($S75&lt;&gt;"",EDATE($D75,Milestones!$AA$115)&gt;=$S75),$V75,IF(AND($R75&lt;&gt;"",EDATE($D75,Milestones!$AA$115)&gt;=$R75),$U75,$T75)))=Milestones!$AB$115),TEXT(EDATE($D75,Milestones!$AA$115),"dd/mm/yy")&amp;" "&amp;Milestones!$AB$115&amp;" "&amp;Milestones!$AC$115&amp;";  ","")&amp;IF(AND(EDATE($D75,Milestones!$AA$116)&lt;=AsOfDate,IF($Q75=0,$W75,IF(AND($S75&lt;&gt;"",EDATE($D75,Milestones!$AA$116)&gt;=$S75),$V75,IF(AND($R75&lt;&gt;"",EDATE($D75,Milestones!$AA$116)&gt;=$R75),$U75,$T75)))=Milestones!$AB$116),TEXT(EDATE($D75,Milestones!$AA$116),"dd/mm/yy")&amp;" "&amp;Milestones!$AB$116&amp;" "&amp;Milestones!$AC$116&amp;";  ","")&amp;IF(AND(EDATE($D75,Milestones!$AA$117)&lt;=AsOfDate,IF($Q75=0,$W75,IF(AND($S75&lt;&gt;"",EDATE($D75,Milestones!$AA$117)&gt;=$S75),$V75,IF(AND($R75&lt;&gt;"",EDATE($D75,Milestones!$AA$117)&gt;=$R75),$U75,$T75)))=Milestones!$AB$117),TEXT(EDATE($D75,Milestones!$AA$117),"dd/mm/yy")&amp;" "&amp;Milestones!$AB$117&amp;" "&amp;Milestones!$AC$117&amp;";  ","")&amp;IF(AND(EDATE($D75,Milestones!$AA$118)&lt;=AsOfDate,IF($Q75=0,$W75,IF(AND($S75&lt;&gt;"",EDATE($D75,Milestones!$AA$118)&gt;=$S75),$V75,IF(AND($R75&lt;&gt;"",EDATE($D75,Milestones!$AA$118)&gt;=$R75),$U75,$T75)))=Milestones!$AB$118),TEXT(EDATE($D75,Milestones!$AA$118),"dd/mm/yy")&amp;" "&amp;Milestones!$AB$118&amp;" "&amp;Milestones!$AC$118&amp;";  ","")&amp;IF(AND(EDATE($D75,Milestones!$AA$119)&lt;=AsOfDate,IF($Q75=0,$W75,IF(AND($S75&lt;&gt;"",EDATE($D75,Milestones!$AA$119)&gt;=$S75),$V75,IF(AND($R75&lt;&gt;"",EDATE($D75,Milestones!$AA$119)&gt;=$R75),$U75,$T75)))=Milestones!$AB$119),TEXT(EDATE($D75,Milestones!$AA$119),"dd/mm/yy")&amp;" "&amp;Milestones!$AB$119&amp;" "&amp;Milestones!$AC$119&amp;";  ",""))</f>
        <v/>
      </c>
      <c r="M75" s="0" t="str">
        <f aca="false">IF(OR($A75="",$D75=""),"",IF(AND(EDATE($D75,Milestones!$AA$120)&lt;=AsOfDate,IF($Q75=0,$W75,IF(AND($S75&lt;&gt;"",EDATE($D75,Milestones!$AA$120)&gt;=$S75),$V75,IF(AND($R75&lt;&gt;"",EDATE($D75,Milestones!$AA$120)&gt;=$R75),$U75,$T75)))=Milestones!$AB$120),TEXT(EDATE($D75,Milestones!$AA$120),"dd/mm/yy")&amp;" "&amp;Milestones!$AB$120&amp;" "&amp;Milestones!$AC$120&amp;";  ","")&amp;IF(AND(EDATE($D75,Milestones!$AA$121)&lt;=AsOfDate,IF($Q75=0,$W75,IF(AND($S75&lt;&gt;"",EDATE($D75,Milestones!$AA$121)&gt;=$S75),$V75,IF(AND($R75&lt;&gt;"",EDATE($D75,Milestones!$AA$121)&gt;=$R75),$U75,$T75)))=Milestones!$AB$121),TEXT(EDATE($D75,Milestones!$AA$121),"dd/mm/yy")&amp;" "&amp;Milestones!$AB$121&amp;" "&amp;Milestones!$AC$121&amp;";  ","")&amp;IF(AND(EDATE($D75,Milestones!$AA$122)&lt;=AsOfDate,IF($Q75=0,$W75,IF(AND($S75&lt;&gt;"",EDATE($D75,Milestones!$AA$122)&gt;=$S75),$V75,IF(AND($R75&lt;&gt;"",EDATE($D75,Milestones!$AA$122)&gt;=$R75),$U75,$T75)))=Milestones!$AB$122),TEXT(EDATE($D75,Milestones!$AA$122),"dd/mm/yy")&amp;" "&amp;Milestones!$AB$122&amp;" "&amp;Milestones!$AC$122&amp;";  ","")&amp;IF(AND(EDATE($D75,Milestones!$AA$123)&lt;=AsOfDate,IF($Q75=0,$W75,IF(AND($S75&lt;&gt;"",EDATE($D75,Milestones!$AA$123)&gt;=$S75),$V75,IF(AND($R75&lt;&gt;"",EDATE($D75,Milestones!$AA$123)&gt;=$R75),$U75,$T75)))=Milestones!$AB$123),TEXT(EDATE($D75,Milestones!$AA$123),"dd/mm/yy")&amp;" "&amp;Milestones!$AB$123&amp;" "&amp;Milestones!$AC$123&amp;";  ","")&amp;IF(AND(EDATE($D75,Milestones!$AA$124)&lt;=AsOfDate,IF($Q75=0,$W75,IF(AND($S75&lt;&gt;"",EDATE($D75,Milestones!$AA$124)&gt;=$S75),$V75,IF(AND($R75&lt;&gt;"",EDATE($D75,Milestones!$AA$124)&gt;=$R75),$U75,$T75)))=Milestones!$AB$124),TEXT(EDATE($D75,Milestones!$AA$124),"dd/mm/yy")&amp;" "&amp;Milestones!$AB$124&amp;" "&amp;Milestones!$AC$124&amp;";  ","")&amp;IF(AND(EDATE($D75,Milestones!$AA$125)&lt;=AsOfDate,IF($Q75=0,$W75,IF(AND($S75&lt;&gt;"",EDATE($D75,Milestones!$AA$125)&gt;=$S75),$V75,IF(AND($R75&lt;&gt;"",EDATE($D75,Milestones!$AA$125)&gt;=$R75),$U75,$T75)))=Milestones!$AB$125),TEXT(EDATE($D75,Milestones!$AA$125),"dd/mm/yy")&amp;" "&amp;Milestones!$AB$125&amp;" "&amp;Milestones!$AC$125&amp;";  ","")&amp;IF(AND(EDATE($D75,Milestones!$AA$126)&lt;=AsOfDate,IF($Q75=0,$W75,IF(AND($S75&lt;&gt;"",EDATE($D75,Milestones!$AA$126)&gt;=$S75),$V75,IF(AND($R75&lt;&gt;"",EDATE($D75,Milestones!$AA$126)&gt;=$R75),$U75,$T75)))=Milestones!$AB$126),TEXT(EDATE($D75,Milestones!$AA$126),"dd/mm/yy")&amp;" "&amp;Milestones!$AB$126&amp;" "&amp;Milestones!$AC$126&amp;";  ","")&amp;IF(AND(EDATE($D75,Milestones!$AA$127)&lt;=AsOfDate,IF($Q75=0,$W75,IF(AND($S75&lt;&gt;"",EDATE($D75,Milestones!$AA$127)&gt;=$S75),$V75,IF(AND($R75&lt;&gt;"",EDATE($D75,Milestones!$AA$127)&gt;=$R75),$U75,$T75)))=Milestones!$AB$127),TEXT(EDATE($D75,Milestones!$AA$127),"dd/mm/yy")&amp;" "&amp;Milestones!$AB$127&amp;" "&amp;Milestones!$AC$127&amp;";  ","")&amp;IF(AND(EDATE($D75,Milestones!$AA$128)&lt;=AsOfDate,IF($Q75=0,$W75,IF(AND($S75&lt;&gt;"",EDATE($D75,Milestones!$AA$128)&gt;=$S75),$V75,IF(AND($R75&lt;&gt;"",EDATE($D75,Milestones!$AA$128)&gt;=$R75),$U75,$T75)))=Milestones!$AB$128),TEXT(EDATE($D75,Milestones!$AA$128),"dd/mm/yy")&amp;" "&amp;Milestones!$AB$128&amp;" "&amp;Milestones!$AC$128&amp;";  ","")&amp;IF(AND(EDATE($D75,Milestones!$AA$129)&lt;=AsOfDate,IF($Q75=0,$W75,IF(AND($S75&lt;&gt;"",EDATE($D75,Milestones!$AA$129)&gt;=$S75),$V75,IF(AND($R75&lt;&gt;"",EDATE($D75,Milestones!$AA$129)&gt;=$R75),$U75,$T75)))=Milestones!$AB$129),TEXT(EDATE($D75,Milestones!$AA$129),"dd/mm/yy")&amp;" "&amp;Milestones!$AB$129&amp;" "&amp;Milestones!$AC$129&amp;";  ","")&amp;IF(AND(EDATE($D75,Milestones!$AA$130)&lt;=AsOfDate,IF($Q75=0,$W75,IF(AND($S75&lt;&gt;"",EDATE($D75,Milestones!$AA$130)&gt;=$S75),$V75,IF(AND($R75&lt;&gt;"",EDATE($D75,Milestones!$AA$130)&gt;=$R75),$U75,$T75)))=Milestones!$AB$130),TEXT(EDATE($D75,Milestones!$AA$130),"dd/mm/yy")&amp;" "&amp;Milestones!$AB$130&amp;" "&amp;Milestones!$AC$130&amp;";  ","")&amp;IF(AND(EDATE($D75,Milestones!$AA$131)&lt;=AsOfDate,IF($Q75=0,$W75,IF(AND($S75&lt;&gt;"",EDATE($D75,Milestones!$AA$131)&gt;=$S75),$V75,IF(AND($R75&lt;&gt;"",EDATE($D75,Milestones!$AA$131)&gt;=$R75),$U75,$T75)))=Milestones!$AB$131),TEXT(EDATE($D75,Milestones!$AA$131),"dd/mm/yy")&amp;" "&amp;Milestones!$AB$131&amp;" "&amp;Milestones!$AC$131&amp;";  ","")&amp;IF(AND(EDATE($D75,Milestones!$AA$132)&lt;=AsOfDate,IF($Q75=0,$W75,IF(AND($S75&lt;&gt;"",EDATE($D75,Milestones!$AA$132)&gt;=$S75),$V75,IF(AND($R75&lt;&gt;"",EDATE($D75,Milestones!$AA$132)&gt;=$R75),$U75,$T75)))=Milestones!$AB$132),TEXT(EDATE($D75,Milestones!$AA$132),"dd/mm/yy")&amp;" "&amp;Milestones!$AB$132&amp;" "&amp;Milestones!$AC$132&amp;";  ","")&amp;IF(AND(EDATE($D75,Milestones!$AA$133)&lt;=AsOfDate,IF($Q75=0,$W75,IF(AND($S75&lt;&gt;"",EDATE($D75,Milestones!$AA$133)&gt;=$S75),$V75,IF(AND($R75&lt;&gt;"",EDATE($D75,Milestones!$AA$133)&gt;=$R75),$U75,$T75)))=Milestones!$AB$133),TEXT(EDATE($D75,Milestones!$AA$133),"dd/mm/yy")&amp;" "&amp;Milestones!$AB$133&amp;" "&amp;Milestones!$AC$133&amp;";  ","")&amp;IF(AND(EDATE($D75,Milestones!$AA$134)&lt;=AsOfDate,IF($Q75=0,$W75,IF(AND($S75&lt;&gt;"",EDATE($D75,Milestones!$AA$134)&gt;=$S75),$V75,IF(AND($R75&lt;&gt;"",EDATE($D75,Milestones!$AA$134)&gt;=$R75),$U75,$T75)))=Milestones!$AB$134),TEXT(EDATE($D75,Milestones!$AA$134),"dd/mm/yy")&amp;" "&amp;Milestones!$AB$134&amp;" "&amp;Milestones!$AC$134&amp;";  ","")&amp;IF(AND(EDATE($D75,Milestones!$AA$135)&lt;=AsOfDate,IF($Q75=0,$W75,IF(AND($S75&lt;&gt;"",EDATE($D75,Milestones!$AA$135)&gt;=$S75),$V75,IF(AND($R75&lt;&gt;"",EDATE($D75,Milestones!$AA$135)&gt;=$R75),$U75,$T75)))=Milestones!$AB$135),TEXT(EDATE($D75,Milestones!$AA$135),"dd/mm/yy")&amp;" "&amp;Milestones!$AB$135&amp;" "&amp;Milestones!$AC$135&amp;";  ","")&amp;IF(AND(EDATE($D75,Milestones!$AA$136)&lt;=AsOfDate,IF($Q75=0,$W75,IF(AND($S75&lt;&gt;"",EDATE($D75,Milestones!$AA$136)&gt;=$S75),$V75,IF(AND($R75&lt;&gt;"",EDATE($D75,Milestones!$AA$136)&gt;=$R75),$U75,$T75)))=Milestones!$AB$136),TEXT(EDATE($D75,Milestones!$AA$136),"dd/mm/yy")&amp;" "&amp;Milestones!$AB$136&amp;" "&amp;Milestones!$AC$136&amp;";  ","")&amp;IF(AND(EDATE($D75,Milestones!$AA$137)&lt;=AsOfDate,IF($Q75=0,$W75,IF(AND($S75&lt;&gt;"",EDATE($D75,Milestones!$AA$137)&gt;=$S75),$V75,IF(AND($R75&lt;&gt;"",EDATE($D75,Milestones!$AA$137)&gt;=$R75),$U75,$T75)))=Milestones!$AB$137),TEXT(EDATE($D75,Milestones!$AA$137),"dd/mm/yy")&amp;" "&amp;Milestones!$AB$137&amp;" "&amp;Milestones!$AC$137&amp;";  ","")&amp;IF(AND(EDATE($D75,Milestones!$AA$138)&lt;=AsOfDate,IF($Q75=0,$W75,IF(AND($S75&lt;&gt;"",EDATE($D75,Milestones!$AA$138)&gt;=$S75),$V75,IF(AND($R75&lt;&gt;"",EDATE($D75,Milestones!$AA$138)&gt;=$R75),$U75,$T75)))=Milestones!$AB$138),TEXT(EDATE($D75,Milestones!$AA$138),"dd/mm/yy")&amp;" "&amp;Milestones!$AB$138&amp;" "&amp;Milestones!$AC$138&amp;";  ","")&amp;IF(AND(EDATE($D75,Milestones!$AA$139)&lt;=AsOfDate,IF($Q75=0,$W75,IF(AND($S75&lt;&gt;"",EDATE($D75,Milestones!$AA$139)&gt;=$S75),$V75,IF(AND($R75&lt;&gt;"",EDATE($D75,Milestones!$AA$139)&gt;=$R75),$U75,$T75)))=Milestones!$AB$139),TEXT(EDATE($D75,Milestones!$AA$139),"dd/mm/yy")&amp;" "&amp;Milestones!$AB$139&amp;" "&amp;Milestones!$AC$139&amp;";  ",""))</f>
        <v/>
      </c>
      <c r="N75" s="0" t="str">
        <f aca="false">IF(OR($A75="",$D75=""),"",IF(AND(EDATE($D75,Milestones!$AA$140)&lt;=AsOfDate,IF($Q75=0,$W75,IF(AND($S75&lt;&gt;"",EDATE($D75,Milestones!$AA$140)&gt;=$S75),$V75,IF(AND($R75&lt;&gt;"",EDATE($D75,Milestones!$AA$140)&gt;=$R75),$U75,$T75)))=Milestones!$AB$140),TEXT(EDATE($D75,Milestones!$AA$140),"dd/mm/yy")&amp;" "&amp;Milestones!$AB$140&amp;" "&amp;Milestones!$AC$140&amp;";  ","")&amp;IF(AND(EDATE($D75,Milestones!$AA$141)&lt;=AsOfDate,IF($Q75=0,$W75,IF(AND($S75&lt;&gt;"",EDATE($D75,Milestones!$AA$141)&gt;=$S75),$V75,IF(AND($R75&lt;&gt;"",EDATE($D75,Milestones!$AA$141)&gt;=$R75),$U75,$T75)))=Milestones!$AB$141),TEXT(EDATE($D75,Milestones!$AA$141),"dd/mm/yy")&amp;" "&amp;Milestones!$AB$141&amp;" "&amp;Milestones!$AC$141&amp;";  ","")&amp;IF(AND(EDATE($D75,Milestones!$AA$142)&lt;=AsOfDate,IF($Q75=0,$W75,IF(AND($S75&lt;&gt;"",EDATE($D75,Milestones!$AA$142)&gt;=$S75),$V75,IF(AND($R75&lt;&gt;"",EDATE($D75,Milestones!$AA$142)&gt;=$R75),$U75,$T75)))=Milestones!$AB$142),TEXT(EDATE($D75,Milestones!$AA$142),"dd/mm/yy")&amp;" "&amp;Milestones!$AB$142&amp;" "&amp;Milestones!$AC$142&amp;";  ","")&amp;IF(AND(EDATE($D75,Milestones!$AA$143)&lt;=AsOfDate,IF($Q75=0,$W75,IF(AND($S75&lt;&gt;"",EDATE($D75,Milestones!$AA$143)&gt;=$S75),$V75,IF(AND($R75&lt;&gt;"",EDATE($D75,Milestones!$AA$143)&gt;=$R75),$U75,$T75)))=Milestones!$AB$143),TEXT(EDATE($D75,Milestones!$AA$143),"dd/mm/yy")&amp;" "&amp;Milestones!$AB$143&amp;" "&amp;Milestones!$AC$143&amp;";  ","")&amp;IF(AND(EDATE($D75,Milestones!$AA$144)&lt;=AsOfDate,IF($Q75=0,$W75,IF(AND($S75&lt;&gt;"",EDATE($D75,Milestones!$AA$144)&gt;=$S75),$V75,IF(AND($R75&lt;&gt;"",EDATE($D75,Milestones!$AA$144)&gt;=$R75),$U75,$T75)))=Milestones!$AB$144),TEXT(EDATE($D75,Milestones!$AA$144),"dd/mm/yy")&amp;" "&amp;Milestones!$AB$144&amp;" "&amp;Milestones!$AC$144&amp;";  ","")&amp;IF(AND(EDATE($D75,Milestones!$AA$145)&lt;=AsOfDate,IF($Q75=0,$W75,IF(AND($S75&lt;&gt;"",EDATE($D75,Milestones!$AA$145)&gt;=$S75),$V75,IF(AND($R75&lt;&gt;"",EDATE($D75,Milestones!$AA$145)&gt;=$R75),$U75,$T75)))=Milestones!$AB$145),TEXT(EDATE($D75,Milestones!$AA$145),"dd/mm/yy")&amp;" "&amp;Milestones!$AB$145&amp;" "&amp;Milestones!$AC$145&amp;";  ","")&amp;IF(AND(EDATE($D75,Milestones!$AA$146)&lt;=AsOfDate,IF($Q75=0,$W75,IF(AND($S75&lt;&gt;"",EDATE($D75,Milestones!$AA$146)&gt;=$S75),$V75,IF(AND($R75&lt;&gt;"",EDATE($D75,Milestones!$AA$146)&gt;=$R75),$U75,$T75)))=Milestones!$AB$146),TEXT(EDATE($D75,Milestones!$AA$146),"dd/mm/yy")&amp;" "&amp;Milestones!$AB$146&amp;" "&amp;Milestones!$AC$146&amp;";  ","")&amp;IF(AND(EDATE($D75,Milestones!$AA$147)&lt;=AsOfDate,IF($Q75=0,$W75,IF(AND($S75&lt;&gt;"",EDATE($D75,Milestones!$AA$147)&gt;=$S75),$V75,IF(AND($R75&lt;&gt;"",EDATE($D75,Milestones!$AA$147)&gt;=$R75),$U75,$T75)))=Milestones!$AB$147),TEXT(EDATE($D75,Milestones!$AA$147),"dd/mm/yy")&amp;" "&amp;Milestones!$AB$147&amp;" "&amp;Milestones!$AC$147&amp;";  ","")&amp;IF(AND(EDATE($D75,Milestones!$AA$148)&lt;=AsOfDate,IF($Q75=0,$W75,IF(AND($S75&lt;&gt;"",EDATE($D75,Milestones!$AA$148)&gt;=$S75),$V75,IF(AND($R75&lt;&gt;"",EDATE($D75,Milestones!$AA$148)&gt;=$R75),$U75,$T75)))=Milestones!$AB$148),TEXT(EDATE($D75,Milestones!$AA$148),"dd/mm/yy")&amp;" "&amp;Milestones!$AB$148&amp;" "&amp;Milestones!$AC$148&amp;";  ","")&amp;IF(AND(EDATE($D75,Milestones!$AA$149)&lt;=AsOfDate,IF($Q75=0,$W75,IF(AND($S75&lt;&gt;"",EDATE($D75,Milestones!$AA$149)&gt;=$S75),$V75,IF(AND($R75&lt;&gt;"",EDATE($D75,Milestones!$AA$149)&gt;=$R75),$U75,$T75)))=Milestones!$AB$149),TEXT(EDATE($D75,Milestones!$AA$149),"dd/mm/yy")&amp;" "&amp;Milestones!$AB$149&amp;" "&amp;Milestones!$AC$149&amp;";  ","")&amp;IF(AND(EDATE($D75,Milestones!$AA$150)&lt;=AsOfDate,IF($Q75=0,$W75,IF(AND($S75&lt;&gt;"",EDATE($D75,Milestones!$AA$150)&gt;=$S75),$V75,IF(AND($R75&lt;&gt;"",EDATE($D75,Milestones!$AA$150)&gt;=$R75),$U75,$T75)))=Milestones!$AB$150),TEXT(EDATE($D75,Milestones!$AA$150),"dd/mm/yy")&amp;" "&amp;Milestones!$AB$150&amp;" "&amp;Milestones!$AC$150&amp;";  ","")&amp;IF(AND(EDATE($D75,Milestones!$AA$151)&lt;=AsOfDate,IF($Q75=0,$W75,IF(AND($S75&lt;&gt;"",EDATE($D75,Milestones!$AA$151)&gt;=$S75),$V75,IF(AND($R75&lt;&gt;"",EDATE($D75,Milestones!$AA$151)&gt;=$R75),$U75,$T75)))=Milestones!$AB$151),TEXT(EDATE($D75,Milestones!$AA$151),"dd/mm/yy")&amp;" "&amp;Milestones!$AB$151&amp;" "&amp;Milestones!$AC$151&amp;";  ","")&amp;IF(AND(EDATE($D75,Milestones!$AA$152)&lt;=AsOfDate,IF($Q75=0,$W75,IF(AND($S75&lt;&gt;"",EDATE($D75,Milestones!$AA$152)&gt;=$S75),$V75,IF(AND($R75&lt;&gt;"",EDATE($D75,Milestones!$AA$152)&gt;=$R75),$U75,$T75)))=Milestones!$AB$152),TEXT(EDATE($D75,Milestones!$AA$152),"dd/mm/yy")&amp;" "&amp;Milestones!$AB$152&amp;" "&amp;Milestones!$AC$152&amp;";  ","")&amp;IF(AND(EDATE($D75,Milestones!$AA$153)&lt;=AsOfDate,IF($Q75=0,$W75,IF(AND($S75&lt;&gt;"",EDATE($D75,Milestones!$AA$153)&gt;=$S75),$V75,IF(AND($R75&lt;&gt;"",EDATE($D75,Milestones!$AA$153)&gt;=$R75),$U75,$T75)))=Milestones!$AB$153),TEXT(EDATE($D75,Milestones!$AA$153),"dd/mm/yy")&amp;" "&amp;Milestones!$AB$153&amp;" "&amp;Milestones!$AC$153&amp;";  ","")&amp;IF(AND(EDATE($D75,Milestones!$AA$154)&lt;=AsOfDate,IF($Q75=0,$W75,IF(AND($S75&lt;&gt;"",EDATE($D75,Milestones!$AA$154)&gt;=$S75),$V75,IF(AND($R75&lt;&gt;"",EDATE($D75,Milestones!$AA$154)&gt;=$R75),$U75,$T75)))=Milestones!$AB$154),TEXT(EDATE($D75,Milestones!$AA$154),"dd/mm/yy")&amp;" "&amp;Milestones!$AB$154&amp;" "&amp;Milestones!$AC$154&amp;";  ","")&amp;IF(AND(EDATE($D75,Milestones!$AA$155)&lt;=AsOfDate,IF($Q75=0,$W75,IF(AND($S75&lt;&gt;"",EDATE($D75,Milestones!$AA$155)&gt;=$S75),$V75,IF(AND($R75&lt;&gt;"",EDATE($D75,Milestones!$AA$155)&gt;=$R75),$U75,$T75)))=Milestones!$AB$155),TEXT(EDATE($D75,Milestones!$AA$155),"dd/mm/yy")&amp;" "&amp;Milestones!$AB$155&amp;" "&amp;Milestones!$AC$155&amp;";  ","")&amp;IF(AND(EDATE($D75,Milestones!$AA$156)&lt;=AsOfDate,IF($Q75=0,$W75,IF(AND($S75&lt;&gt;"",EDATE($D75,Milestones!$AA$156)&gt;=$S75),$V75,IF(AND($R75&lt;&gt;"",EDATE($D75,Milestones!$AA$156)&gt;=$R75),$U75,$T75)))=Milestones!$AB$156),TEXT(EDATE($D75,Milestones!$AA$156),"dd/mm/yy")&amp;" "&amp;Milestones!$AB$156&amp;" "&amp;Milestones!$AC$156&amp;";  ","")&amp;IF(AND(EDATE($D75,Milestones!$AA$157)&lt;=AsOfDate,IF($Q75=0,$W75,IF(AND($S75&lt;&gt;"",EDATE($D75,Milestones!$AA$157)&gt;=$S75),$V75,IF(AND($R75&lt;&gt;"",EDATE($D75,Milestones!$AA$157)&gt;=$R75),$U75,$T75)))=Milestones!$AB$157),TEXT(EDATE($D75,Milestones!$AA$157),"dd/mm/yy")&amp;" "&amp;Milestones!$AB$157&amp;" "&amp;Milestones!$AC$157&amp;";  ","")&amp;IF(AND(EDATE($D75,Milestones!$AA$158)&lt;=AsOfDate,IF($Q75=0,$W75,IF(AND($S75&lt;&gt;"",EDATE($D75,Milestones!$AA$158)&gt;=$S75),$V75,IF(AND($R75&lt;&gt;"",EDATE($D75,Milestones!$AA$158)&gt;=$R75),$U75,$T75)))=Milestones!$AB$158),TEXT(EDATE($D75,Milestones!$AA$158),"dd/mm/yy")&amp;" "&amp;Milestones!$AB$158&amp;" "&amp;Milestones!$AC$158&amp;";  ","")&amp;IF(AND(EDATE($D75,Milestones!$AA$159)&lt;=AsOfDate,IF($Q75=0,$W75,IF(AND($S75&lt;&gt;"",EDATE($D75,Milestones!$AA$159)&gt;=$S75),$V75,IF(AND($R75&lt;&gt;"",EDATE($D75,Milestones!$AA$159)&gt;=$R75),$U75,$T75)))=Milestones!$AB$159),TEXT(EDATE($D75,Milestones!$AA$159),"dd/mm/yy")&amp;" "&amp;Milestones!$AB$159&amp;" "&amp;Milestones!$AC$159&amp;";  ",""))</f>
        <v/>
      </c>
      <c r="O75" s="0" t="str">
        <f aca="false">IF(OR($A75="",$D75=""),"",IF(AND(EDATE($D75,Milestones!$AA$160)&lt;=AsOfDate,IF($Q75=0,$W75,IF(AND($S75&lt;&gt;"",EDATE($D75,Milestones!$AA$160)&gt;=$S75),$V75,IF(AND($R75&lt;&gt;"",EDATE($D75,Milestones!$AA$160)&gt;=$R75),$U75,$T75)))=Milestones!$AB$160),TEXT(EDATE($D75,Milestones!$AA$160),"dd/mm/yy")&amp;" "&amp;Milestones!$AB$160&amp;" "&amp;Milestones!$AC$160&amp;";  ","")&amp;IF(AND(EDATE($D75,Milestones!$AA$161)&lt;=AsOfDate,IF($Q75=0,$W75,IF(AND($S75&lt;&gt;"",EDATE($D75,Milestones!$AA$161)&gt;=$S75),$V75,IF(AND($R75&lt;&gt;"",EDATE($D75,Milestones!$AA$161)&gt;=$R75),$U75,$T75)))=Milestones!$AB$161),TEXT(EDATE($D75,Milestones!$AA$161),"dd/mm/yy")&amp;" "&amp;Milestones!$AB$161&amp;" "&amp;Milestones!$AC$161&amp;";  ","")&amp;IF(AND(EDATE($D75,Milestones!$AA$162)&lt;=AsOfDate,IF($Q75=0,$W75,IF(AND($S75&lt;&gt;"",EDATE($D75,Milestones!$AA$162)&gt;=$S75),$V75,IF(AND($R75&lt;&gt;"",EDATE($D75,Milestones!$AA$162)&gt;=$R75),$U75,$T75)))=Milestones!$AB$162),TEXT(EDATE($D75,Milestones!$AA$162),"dd/mm/yy")&amp;" "&amp;Milestones!$AB$162&amp;" "&amp;Milestones!$AC$162&amp;";  ","")&amp;IF(AND(EDATE($D75,Milestones!$AA$163)&lt;=AsOfDate,IF($Q75=0,$W75,IF(AND($S75&lt;&gt;"",EDATE($D75,Milestones!$AA$163)&gt;=$S75),$V75,IF(AND($R75&lt;&gt;"",EDATE($D75,Milestones!$AA$163)&gt;=$R75),$U75,$T75)))=Milestones!$AB$163),TEXT(EDATE($D75,Milestones!$AA$163),"dd/mm/yy")&amp;" "&amp;Milestones!$AB$163&amp;" "&amp;Milestones!$AC$163&amp;";  ","")&amp;IF(AND(EDATE($D75,Milestones!$AA$164)&lt;=AsOfDate,IF($Q75=0,$W75,IF(AND($S75&lt;&gt;"",EDATE($D75,Milestones!$AA$164)&gt;=$S75),$V75,IF(AND($R75&lt;&gt;"",EDATE($D75,Milestones!$AA$164)&gt;=$R75),$U75,$T75)))=Milestones!$AB$164),TEXT(EDATE($D75,Milestones!$AA$164),"dd/mm/yy")&amp;" "&amp;Milestones!$AB$164&amp;" "&amp;Milestones!$AC$164&amp;";  ","")&amp;IF(AND(EDATE($D75,Milestones!$AA$165)&lt;=AsOfDate,IF($Q75=0,$W75,IF(AND($S75&lt;&gt;"",EDATE($D75,Milestones!$AA$165)&gt;=$S75),$V75,IF(AND($R75&lt;&gt;"",EDATE($D75,Milestones!$AA$165)&gt;=$R75),$U75,$T75)))=Milestones!$AB$165),TEXT(EDATE($D75,Milestones!$AA$165),"dd/mm/yy")&amp;" "&amp;Milestones!$AB$165&amp;" "&amp;Milestones!$AC$165&amp;";  ","")&amp;IF(AND(EDATE($D75,Milestones!$AA$166)&lt;=AsOfDate,IF($Q75=0,$W75,IF(AND($S75&lt;&gt;"",EDATE($D75,Milestones!$AA$166)&gt;=$S75),$V75,IF(AND($R75&lt;&gt;"",EDATE($D75,Milestones!$AA$166)&gt;=$R75),$U75,$T75)))=Milestones!$AB$166),TEXT(EDATE($D75,Milestones!$AA$166),"dd/mm/yy")&amp;" "&amp;Milestones!$AB$166&amp;" "&amp;Milestones!$AC$166&amp;";  ","")&amp;IF(AND(EDATE($D75,Milestones!$AA$167)&lt;=AsOfDate,IF($Q75=0,$W75,IF(AND($S75&lt;&gt;"",EDATE($D75,Milestones!$AA$167)&gt;=$S75),$V75,IF(AND($R75&lt;&gt;"",EDATE($D75,Milestones!$AA$167)&gt;=$R75),$U75,$T75)))=Milestones!$AB$167),TEXT(EDATE($D75,Milestones!$AA$167),"dd/mm/yy")&amp;" "&amp;Milestones!$AB$167&amp;" "&amp;Milestones!$AC$167&amp;";  ","")&amp;IF(AND(EDATE($D75,Milestones!$AA$168)&lt;=AsOfDate,IF($Q75=0,$W75,IF(AND($S75&lt;&gt;"",EDATE($D75,Milestones!$AA$168)&gt;=$S75),$V75,IF(AND($R75&lt;&gt;"",EDATE($D75,Milestones!$AA$168)&gt;=$R75),$U75,$T75)))=Milestones!$AB$168),TEXT(EDATE($D75,Milestones!$AA$168),"dd/mm/yy")&amp;" "&amp;Milestones!$AB$168&amp;" "&amp;Milestones!$AC$168&amp;";  ","")&amp;IF(AND(EDATE($D75,Milestones!$AA$169)&lt;=AsOfDate,IF($Q75=0,$W75,IF(AND($S75&lt;&gt;"",EDATE($D75,Milestones!$AA$169)&gt;=$S75),$V75,IF(AND($R75&lt;&gt;"",EDATE($D75,Milestones!$AA$169)&gt;=$R75),$U75,$T75)))=Milestones!$AB$169),TEXT(EDATE($D75,Milestones!$AA$169),"dd/mm/yy")&amp;" "&amp;Milestones!$AB$169&amp;" "&amp;Milestones!$AC$169&amp;";  ","")&amp;IF(AND(EDATE($D75,Milestones!$AA$170)&lt;=AsOfDate,IF($Q75=0,$W75,IF(AND($S75&lt;&gt;"",EDATE($D75,Milestones!$AA$170)&gt;=$S75),$V75,IF(AND($R75&lt;&gt;"",EDATE($D75,Milestones!$AA$170)&gt;=$R75),$U75,$T75)))=Milestones!$AB$170),TEXT(EDATE($D75,Milestones!$AA$170),"dd/mm/yy")&amp;" "&amp;Milestones!$AB$170&amp;" "&amp;Milestones!$AC$170&amp;";  ","")&amp;IF(AND(EDATE($D75,Milestones!$AA$171)&lt;=AsOfDate,IF($Q75=0,$W75,IF(AND($S75&lt;&gt;"",EDATE($D75,Milestones!$AA$171)&gt;=$S75),$V75,IF(AND($R75&lt;&gt;"",EDATE($D75,Milestones!$AA$171)&gt;=$R75),$U75,$T75)))=Milestones!$AB$171),TEXT(EDATE($D75,Milestones!$AA$171),"dd/mm/yy")&amp;" "&amp;Milestones!$AB$171&amp;" "&amp;Milestones!$AC$171&amp;";  ","")&amp;IF(AND(EDATE($D75,Milestones!$AA$172)&lt;=AsOfDate,IF($Q75=0,$W75,IF(AND($S75&lt;&gt;"",EDATE($D75,Milestones!$AA$172)&gt;=$S75),$V75,IF(AND($R75&lt;&gt;"",EDATE($D75,Milestones!$AA$172)&gt;=$R75),$U75,$T75)))=Milestones!$AB$172),TEXT(EDATE($D75,Milestones!$AA$172),"dd/mm/yy")&amp;" "&amp;Milestones!$AB$172&amp;" "&amp;Milestones!$AC$172&amp;";  ","")&amp;IF(AND(EDATE($D75,Milestones!$AA$173)&lt;=AsOfDate,IF($Q75=0,$W75,IF(AND($S75&lt;&gt;"",EDATE($D75,Milestones!$AA$173)&gt;=$S75),$V75,IF(AND($R75&lt;&gt;"",EDATE($D75,Milestones!$AA$173)&gt;=$R75),$U75,$T75)))=Milestones!$AB$173),TEXT(EDATE($D75,Milestones!$AA$173),"dd/mm/yy")&amp;" "&amp;Milestones!$AB$173&amp;" "&amp;Milestones!$AC$173&amp;";  ","")&amp;IF(AND(EDATE($D75,Milestones!$AA$174)&lt;=AsOfDate,IF($Q75=0,$W75,IF(AND($S75&lt;&gt;"",EDATE($D75,Milestones!$AA$174)&gt;=$S75),$V75,IF(AND($R75&lt;&gt;"",EDATE($D75,Milestones!$AA$174)&gt;=$R75),$U75,$T75)))=Milestones!$AB$174),TEXT(EDATE($D75,Milestones!$AA$174),"dd/mm/yy")&amp;" "&amp;Milestones!$AB$174&amp;" "&amp;Milestones!$AC$174&amp;";  ","")&amp;IF(AND(EDATE($D75,Milestones!$AA$175)&lt;=AsOfDate,IF($Q75=0,$W75,IF(AND($S75&lt;&gt;"",EDATE($D75,Milestones!$AA$175)&gt;=$S75),$V75,IF(AND($R75&lt;&gt;"",EDATE($D75,Milestones!$AA$175)&gt;=$R75),$U75,$T75)))=Milestones!$AB$175),TEXT(EDATE($D75,Milestones!$AA$175),"dd/mm/yy")&amp;" "&amp;Milestones!$AB$175&amp;" "&amp;Milestones!$AC$175&amp;";  ","")&amp;IF(AND(EDATE($D75,Milestones!$AA$176)&lt;=AsOfDate,IF($Q75=0,$W75,IF(AND($S75&lt;&gt;"",EDATE($D75,Milestones!$AA$176)&gt;=$S75),$V75,IF(AND($R75&lt;&gt;"",EDATE($D75,Milestones!$AA$176)&gt;=$R75),$U75,$T75)))=Milestones!$AB$176),TEXT(EDATE($D75,Milestones!$AA$176),"dd/mm/yy")&amp;" "&amp;Milestones!$AB$176&amp;" "&amp;Milestones!$AC$176&amp;";  ","")&amp;IF(AND(EDATE($D75,Milestones!$AA$177)&lt;=AsOfDate,IF($Q75=0,$W75,IF(AND($S75&lt;&gt;"",EDATE($D75,Milestones!$AA$177)&gt;=$S75),$V75,IF(AND($R75&lt;&gt;"",EDATE($D75,Milestones!$AA$177)&gt;=$R75),$U75,$T75)))=Milestones!$AB$177),TEXT(EDATE($D75,Milestones!$AA$177),"dd/mm/yy")&amp;" "&amp;Milestones!$AB$177&amp;" "&amp;Milestones!$AC$177&amp;";  ","")&amp;IF(AND(EDATE($D75,Milestones!$AA$178)&lt;=AsOfDate,IF($Q75=0,$W75,IF(AND($S75&lt;&gt;"",EDATE($D75,Milestones!$AA$178)&gt;=$S75),$V75,IF(AND($R75&lt;&gt;"",EDATE($D75,Milestones!$AA$178)&gt;=$R75),$U75,$T75)))=Milestones!$AB$178),TEXT(EDATE($D75,Milestones!$AA$178),"dd/mm/yy")&amp;" "&amp;Milestones!$AB$178&amp;" "&amp;Milestones!$AC$178&amp;";  ","")&amp;IF(AND(EDATE($D75,Milestones!$AA$179)&lt;=AsOfDate,IF($Q75=0,$W75,IF(AND($S75&lt;&gt;"",EDATE($D75,Milestones!$AA$179)&gt;=$S75),$V75,IF(AND($R75&lt;&gt;"",EDATE($D75,Milestones!$AA$179)&gt;=$R75),$U75,$T75)))=Milestones!$AB$179),TEXT(EDATE($D75,Milestones!$AA$179),"dd/mm/yy")&amp;" "&amp;Milestones!$AB$179&amp;" "&amp;Milestones!$AC$179&amp;";  ",""))</f>
        <v/>
      </c>
      <c r="P75" s="0" t="str">
        <f aca="false">IF(OR($A75="",$D75=""),"",IF(AND(EDATE($D75,Milestones!$AA$180)&lt;=AsOfDate,IF($Q75=0,$W75,IF(AND($S75&lt;&gt;"",EDATE($D75,Milestones!$AA$180)&gt;=$S75),$V75,IF(AND($R75&lt;&gt;"",EDATE($D75,Milestones!$AA$180)&gt;=$R75),$U75,$T75)))=Milestones!$AB$180),TEXT(EDATE($D75,Milestones!$AA$180),"dd/mm/yy")&amp;" "&amp;Milestones!$AB$180&amp;" "&amp;Milestones!$AC$180&amp;";  ","")&amp;IF(AND(EDATE($D75,Milestones!$AA$181)&lt;=AsOfDate,IF($Q75=0,$W75,IF(AND($S75&lt;&gt;"",EDATE($D75,Milestones!$AA$181)&gt;=$S75),$V75,IF(AND($R75&lt;&gt;"",EDATE($D75,Milestones!$AA$181)&gt;=$R75),$U75,$T75)))=Milestones!$AB$181),TEXT(EDATE($D75,Milestones!$AA$181),"dd/mm/yy")&amp;" "&amp;Milestones!$AB$181&amp;" "&amp;Milestones!$AC$181&amp;";  ","")&amp;IF(AND(EDATE($D75,Milestones!$AA$182)&lt;=AsOfDate,IF($Q75=0,$W75,IF(AND($S75&lt;&gt;"",EDATE($D75,Milestones!$AA$182)&gt;=$S75),$V75,IF(AND($R75&lt;&gt;"",EDATE($D75,Milestones!$AA$182)&gt;=$R75),$U75,$T75)))=Milestones!$AB$182),TEXT(EDATE($D75,Milestones!$AA$182),"dd/mm/yy")&amp;" "&amp;Milestones!$AB$182&amp;" "&amp;Milestones!$AC$182&amp;";  ","")&amp;IF(AND(EDATE($D75,Milestones!$AA$183)&lt;=AsOfDate,IF($Q75=0,$W75,IF(AND($S75&lt;&gt;"",EDATE($D75,Milestones!$AA$183)&gt;=$S75),$V75,IF(AND($R75&lt;&gt;"",EDATE($D75,Milestones!$AA$183)&gt;=$R75),$U75,$T75)))=Milestones!$AB$183),TEXT(EDATE($D75,Milestones!$AA$183),"dd/mm/yy")&amp;" "&amp;Milestones!$AB$183&amp;" "&amp;Milestones!$AC$183&amp;";  ","")&amp;IF(AND(EDATE($D75,Milestones!$AA$184)&lt;=AsOfDate,IF($Q75=0,$W75,IF(AND($S75&lt;&gt;"",EDATE($D75,Milestones!$AA$184)&gt;=$S75),$V75,IF(AND($R75&lt;&gt;"",EDATE($D75,Milestones!$AA$184)&gt;=$R75),$U75,$T75)))=Milestones!$AB$184),TEXT(EDATE($D75,Milestones!$AA$184),"dd/mm/yy")&amp;" "&amp;Milestones!$AB$184&amp;" "&amp;Milestones!$AC$184&amp;";  ","")&amp;IF(AND(EDATE($D75,Milestones!$AA$185)&lt;=AsOfDate,IF($Q75=0,$W75,IF(AND($S75&lt;&gt;"",EDATE($D75,Milestones!$AA$185)&gt;=$S75),$V75,IF(AND($R75&lt;&gt;"",EDATE($D75,Milestones!$AA$185)&gt;=$R75),$U75,$T75)))=Milestones!$AB$185),TEXT(EDATE($D75,Milestones!$AA$185),"dd/mm/yy")&amp;" "&amp;Milestones!$AB$185&amp;" "&amp;Milestones!$AC$185&amp;";  ","")&amp;IF(AND(EDATE($D75,Milestones!$AA$186)&lt;=AsOfDate,IF($Q75=0,$W75,IF(AND($S75&lt;&gt;"",EDATE($D75,Milestones!$AA$186)&gt;=$S75),$V75,IF(AND($R75&lt;&gt;"",EDATE($D75,Milestones!$AA$186)&gt;=$R75),$U75,$T75)))=Milestones!$AB$186),TEXT(EDATE($D75,Milestones!$AA$186),"dd/mm/yy")&amp;" "&amp;Milestones!$AB$186&amp;" "&amp;Milestones!$AC$186&amp;";  ","")&amp;IF(AND(EDATE($D75,Milestones!$AA$187)&lt;=AsOfDate,IF($Q75=0,$W75,IF(AND($S75&lt;&gt;"",EDATE($D75,Milestones!$AA$187)&gt;=$S75),$V75,IF(AND($R75&lt;&gt;"",EDATE($D75,Milestones!$AA$187)&gt;=$R75),$U75,$T75)))=Milestones!$AB$187),TEXT(EDATE($D75,Milestones!$AA$187),"dd/mm/yy")&amp;" "&amp;Milestones!$AB$187&amp;" "&amp;Milestones!$AC$187&amp;";  ","")&amp;IF(AND(EDATE($D75,Milestones!$AA$188)&lt;=AsOfDate,IF($Q75=0,$W75,IF(AND($S75&lt;&gt;"",EDATE($D75,Milestones!$AA$188)&gt;=$S75),$V75,IF(AND($R75&lt;&gt;"",EDATE($D75,Milestones!$AA$188)&gt;=$R75),$U75,$T75)))=Milestones!$AB$188),TEXT(EDATE($D75,Milestones!$AA$188),"dd/mm/yy")&amp;" "&amp;Milestones!$AB$188&amp;" "&amp;Milestones!$AC$188&amp;";  ","")&amp;IF(AND(EDATE($D75,Milestones!$AA$189)&lt;=AsOfDate,IF($Q75=0,$W75,IF(AND($S75&lt;&gt;"",EDATE($D75,Milestones!$AA$189)&gt;=$S75),$V75,IF(AND($R75&lt;&gt;"",EDATE($D75,Milestones!$AA$189)&gt;=$R75),$U75,$T75)))=Milestones!$AB$189),TEXT(EDATE($D75,Milestones!$AA$189),"dd/mm/yy")&amp;" "&amp;Milestones!$AB$189&amp;" "&amp;Milestones!$AC$189&amp;";  ","")&amp;IF(AND(EDATE($D75,Milestones!$AA$190)&lt;=AsOfDate,IF($Q75=0,$W75,IF(AND($S75&lt;&gt;"",EDATE($D75,Milestones!$AA$190)&gt;=$S75),$V75,IF(AND($R75&lt;&gt;"",EDATE($D75,Milestones!$AA$190)&gt;=$R75),$U75,$T75)))=Milestones!$AB$190),TEXT(EDATE($D75,Milestones!$AA$190),"dd/mm/yy")&amp;" "&amp;Milestones!$AB$190&amp;" "&amp;Milestones!$AC$190&amp;";  ","")&amp;IF(AND(EDATE($D75,Milestones!$AA$191)&lt;=AsOfDate,IF($Q75=0,$W75,IF(AND($S75&lt;&gt;"",EDATE($D75,Milestones!$AA$191)&gt;=$S75),$V75,IF(AND($R75&lt;&gt;"",EDATE($D75,Milestones!$AA$191)&gt;=$R75),$U75,$T75)))=Milestones!$AB$191),TEXT(EDATE($D75,Milestones!$AA$191),"dd/mm/yy")&amp;" "&amp;Milestones!$AB$191&amp;" "&amp;Milestones!$AC$191&amp;";  ","")&amp;IF(AND(EDATE($D75,Milestones!$AA$192)&lt;=AsOfDate,IF($Q75=0,$W75,IF(AND($S75&lt;&gt;"",EDATE($D75,Milestones!$AA$192)&gt;=$S75),$V75,IF(AND($R75&lt;&gt;"",EDATE($D75,Milestones!$AA$192)&gt;=$R75),$U75,$T75)))=Milestones!$AB$192),TEXT(EDATE($D75,Milestones!$AA$192),"dd/mm/yy")&amp;" "&amp;Milestones!$AB$192&amp;" "&amp;Milestones!$AC$192&amp;";  ","")&amp;IF(AND(EDATE($D75,Milestones!$AA$193)&lt;=AsOfDate,IF($Q75=0,$W75,IF(AND($S75&lt;&gt;"",EDATE($D75,Milestones!$AA$193)&gt;=$S75),$V75,IF(AND($R75&lt;&gt;"",EDATE($D75,Milestones!$AA$193)&gt;=$R75),$U75,$T75)))=Milestones!$AB$193),TEXT(EDATE($D75,Milestones!$AA$193),"dd/mm/yy")&amp;" "&amp;Milestones!$AB$193&amp;" "&amp;Milestones!$AC$193&amp;";  ","")&amp;IF(AND(EDATE($D75,Milestones!$AA$194)&lt;=AsOfDate,IF($Q75=0,$W75,IF(AND($S75&lt;&gt;"",EDATE($D75,Milestones!$AA$194)&gt;=$S75),$V75,IF(AND($R75&lt;&gt;"",EDATE($D75,Milestones!$AA$194)&gt;=$R75),$U75,$T75)))=Milestones!$AB$194),TEXT(EDATE($D75,Milestones!$AA$194),"dd/mm/yy")&amp;" "&amp;Milestones!$AB$194&amp;" "&amp;Milestones!$AC$194&amp;";  ","")&amp;IF(AND(EDATE($D75,Milestones!$AA$195)&lt;=AsOfDate,IF($Q75=0,$W75,IF(AND($S75&lt;&gt;"",EDATE($D75,Milestones!$AA$195)&gt;=$S75),$V75,IF(AND($R75&lt;&gt;"",EDATE($D75,Milestones!$AA$195)&gt;=$R75),$U75,$T75)))=Milestones!$AB$195),TEXT(EDATE($D75,Milestones!$AA$195),"dd/mm/yy")&amp;" "&amp;Milestones!$AB$195&amp;" "&amp;Milestones!$AC$195&amp;";  ","")&amp;IF(AND(EDATE($D75,Milestones!$AA$196)&lt;=AsOfDate,IF($Q75=0,$W75,IF(AND($S75&lt;&gt;"",EDATE($D75,Milestones!$AA$196)&gt;=$S75),$V75,IF(AND($R75&lt;&gt;"",EDATE($D75,Milestones!$AA$196)&gt;=$R75),$U75,$T75)))=Milestones!$AB$196),TEXT(EDATE($D75,Milestones!$AA$196),"dd/mm/yy")&amp;" "&amp;Milestones!$AB$196&amp;" "&amp;Milestones!$AC$196&amp;";  ","")&amp;IF(AND(EDATE($D75,Milestones!$AA$197)&lt;=AsOfDate,IF($Q75=0,$W75,IF(AND($S75&lt;&gt;"",EDATE($D75,Milestones!$AA$197)&gt;=$S75),$V75,IF(AND($R75&lt;&gt;"",EDATE($D75,Milestones!$AA$197)&gt;=$R75),$U75,$T75)))=Milestones!$AB$197),TEXT(EDATE($D75,Milestones!$AA$197),"dd/mm/yy")&amp;" "&amp;Milestones!$AB$197&amp;" "&amp;Milestones!$AC$197&amp;";  ","")&amp;IF(AND(EDATE($D75,Milestones!$AA$198)&lt;=AsOfDate,IF($Q75=0,$W75,IF(AND($S75&lt;&gt;"",EDATE($D75,Milestones!$AA$198)&gt;=$S75),$V75,IF(AND($R75&lt;&gt;"",EDATE($D75,Milestones!$AA$198)&gt;=$R75),$U75,$T75)))=Milestones!$AB$198),TEXT(EDATE($D75,Milestones!$AA$198),"dd/mm/yy")&amp;" "&amp;Milestones!$AB$198&amp;" "&amp;Milestones!$AC$198&amp;";  ","")&amp;IF(AND(EDATE($D75,Milestones!$AA$199)&lt;=AsOfDate,IF($Q75=0,$W75,IF(AND($S75&lt;&gt;"",EDATE($D75,Milestones!$AA$199)&gt;=$S75),$V75,IF(AND($R75&lt;&gt;"",EDATE($D75,Milestones!$AA$199)&gt;=$R75),$U75,$T75)))=Milestones!$AB$199),TEXT(EDATE($D75,Milestones!$AA$199),"dd/mm/yy")&amp;" "&amp;Milestones!$AB$199&amp;" "&amp;Milestones!$AC$199&amp;";  ",""))</f>
        <v/>
      </c>
      <c r="Q75" s="0" t="str">
        <f aca="false">IF(Staff!$A75="","",Staff!$AG75)</f>
        <v/>
      </c>
      <c r="R75" s="0" t="str">
        <f aca="false">IF(Staff!$A75="","",Staff!$AI75)</f>
        <v/>
      </c>
      <c r="S75" s="0" t="str">
        <f aca="false">IF(Staff!$A75="","",Staff!$AJ75)</f>
        <v/>
      </c>
      <c r="T75" s="0" t="str">
        <f aca="false">IF(Staff!$A75="","",Staff!$AN75)</f>
        <v/>
      </c>
      <c r="U75" s="0" t="str">
        <f aca="false">IF(Staff!$A75="","",Staff!$AO75)</f>
        <v/>
      </c>
      <c r="V75" s="0" t="str">
        <f aca="false">IF(Staff!$A75="","",Staff!$AP75)</f>
        <v/>
      </c>
      <c r="W75" s="0" t="str">
        <f aca="false">IF(Staff!$A75="","",Staff!$AQ75)</f>
        <v/>
      </c>
    </row>
    <row r="76" customFormat="false" ht="15" hidden="false" customHeight="false" outlineLevel="0" collapsed="false">
      <c r="A76" s="13" t="str">
        <f aca="false">IF(Staff!$A76="","",Staff!$A76)</f>
        <v/>
      </c>
      <c r="B76" s="13" t="str">
        <f aca="false">IF(Staff!$A76="","",Staff!$B76)</f>
        <v/>
      </c>
      <c r="C76" s="13" t="str">
        <f aca="false">IF(Staff!$A76="","",Staff!$C76)</f>
        <v/>
      </c>
      <c r="D76" s="11" t="str">
        <f aca="false">IF(Staff!$A76="","",Staff!$AF76)</f>
        <v/>
      </c>
      <c r="E76" s="13" t="str">
        <f aca="false">IF(Staff!$A76="","",Staff!$O76)</f>
        <v/>
      </c>
      <c r="F76" s="13" t="str">
        <f aca="false">IF(E76="","",E76*HoursPerDay)</f>
        <v/>
      </c>
      <c r="G76" s="26" t="str">
        <f aca="false">IF($A76="","",H76&amp;I76&amp;J76&amp;K76&amp;L76&amp;M76&amp;N76&amp;O76&amp;P76)</f>
        <v/>
      </c>
      <c r="H76" s="0" t="str">
        <f aca="false">IF(OR($A76="",$D76=""),"",IF(AND(EDATE($D76,Milestones!$AA$20)&lt;=AsOfDate,IF($Q76=0,$W76,IF(AND($S76&lt;&gt;"",EDATE($D76,Milestones!$AA$20)&gt;=$S76),$V76,IF(AND($R76&lt;&gt;"",EDATE($D76,Milestones!$AA$20)&gt;=$R76),$U76,$T76)))=Milestones!$AB$20),TEXT(EDATE($D76,Milestones!$AA$20),"dd/mm/yy")&amp;" "&amp;Milestones!$AB$20&amp;" "&amp;Milestones!$AC$20&amp;";  ","")&amp;IF(AND(EDATE($D76,Milestones!$AA$21)&lt;=AsOfDate,IF($Q76=0,$W76,IF(AND($S76&lt;&gt;"",EDATE($D76,Milestones!$AA$21)&gt;=$S76),$V76,IF(AND($R76&lt;&gt;"",EDATE($D76,Milestones!$AA$21)&gt;=$R76),$U76,$T76)))=Milestones!$AB$21),TEXT(EDATE($D76,Milestones!$AA$21),"dd/mm/yy")&amp;" "&amp;Milestones!$AB$21&amp;" "&amp;Milestones!$AC$21&amp;";  ","")&amp;IF(AND(EDATE($D76,Milestones!$AA$22)&lt;=AsOfDate,IF($Q76=0,$W76,IF(AND($S76&lt;&gt;"",EDATE($D76,Milestones!$AA$22)&gt;=$S76),$V76,IF(AND($R76&lt;&gt;"",EDATE($D76,Milestones!$AA$22)&gt;=$R76),$U76,$T76)))=Milestones!$AB$22),TEXT(EDATE($D76,Milestones!$AA$22),"dd/mm/yy")&amp;" "&amp;Milestones!$AB$22&amp;" "&amp;Milestones!$AC$22&amp;";  ","")&amp;IF(AND(EDATE($D76,Milestones!$AA$23)&lt;=AsOfDate,IF($Q76=0,$W76,IF(AND($S76&lt;&gt;"",EDATE($D76,Milestones!$AA$23)&gt;=$S76),$V76,IF(AND($R76&lt;&gt;"",EDATE($D76,Milestones!$AA$23)&gt;=$R76),$U76,$T76)))=Milestones!$AB$23),TEXT(EDATE($D76,Milestones!$AA$23),"dd/mm/yy")&amp;" "&amp;Milestones!$AB$23&amp;" "&amp;Milestones!$AC$23&amp;";  ","")&amp;IF(AND(EDATE($D76,Milestones!$AA$24)&lt;=AsOfDate,IF($Q76=0,$W76,IF(AND($S76&lt;&gt;"",EDATE($D76,Milestones!$AA$24)&gt;=$S76),$V76,IF(AND($R76&lt;&gt;"",EDATE($D76,Milestones!$AA$24)&gt;=$R76),$U76,$T76)))=Milestones!$AB$24),TEXT(EDATE($D76,Milestones!$AA$24),"dd/mm/yy")&amp;" "&amp;Milestones!$AB$24&amp;" "&amp;Milestones!$AC$24&amp;";  ","")&amp;IF(AND(EDATE($D76,Milestones!$AA$25)&lt;=AsOfDate,IF($Q76=0,$W76,IF(AND($S76&lt;&gt;"",EDATE($D76,Milestones!$AA$25)&gt;=$S76),$V76,IF(AND($R76&lt;&gt;"",EDATE($D76,Milestones!$AA$25)&gt;=$R76),$U76,$T76)))=Milestones!$AB$25),TEXT(EDATE($D76,Milestones!$AA$25),"dd/mm/yy")&amp;" "&amp;Milestones!$AB$25&amp;" "&amp;Milestones!$AC$25&amp;";  ","")&amp;IF(AND(EDATE($D76,Milestones!$AA$26)&lt;=AsOfDate,IF($Q76=0,$W76,IF(AND($S76&lt;&gt;"",EDATE($D76,Milestones!$AA$26)&gt;=$S76),$V76,IF(AND($R76&lt;&gt;"",EDATE($D76,Milestones!$AA$26)&gt;=$R76),$U76,$T76)))=Milestones!$AB$26),TEXT(EDATE($D76,Milestones!$AA$26),"dd/mm/yy")&amp;" "&amp;Milestones!$AB$26&amp;" "&amp;Milestones!$AC$26&amp;";  ","")&amp;IF(AND(EDATE($D76,Milestones!$AA$27)&lt;=AsOfDate,IF($Q76=0,$W76,IF(AND($S76&lt;&gt;"",EDATE($D76,Milestones!$AA$27)&gt;=$S76),$V76,IF(AND($R76&lt;&gt;"",EDATE($D76,Milestones!$AA$27)&gt;=$R76),$U76,$T76)))=Milestones!$AB$27),TEXT(EDATE($D76,Milestones!$AA$27),"dd/mm/yy")&amp;" "&amp;Milestones!$AB$27&amp;" "&amp;Milestones!$AC$27&amp;";  ","")&amp;IF(AND(EDATE($D76,Milestones!$AA$28)&lt;=AsOfDate,IF($Q76=0,$W76,IF(AND($S76&lt;&gt;"",EDATE($D76,Milestones!$AA$28)&gt;=$S76),$V76,IF(AND($R76&lt;&gt;"",EDATE($D76,Milestones!$AA$28)&gt;=$R76),$U76,$T76)))=Milestones!$AB$28),TEXT(EDATE($D76,Milestones!$AA$28),"dd/mm/yy")&amp;" "&amp;Milestones!$AB$28&amp;" "&amp;Milestones!$AC$28&amp;";  ","")&amp;IF(AND(EDATE($D76,Milestones!$AA$29)&lt;=AsOfDate,IF($Q76=0,$W76,IF(AND($S76&lt;&gt;"",EDATE($D76,Milestones!$AA$29)&gt;=$S76),$V76,IF(AND($R76&lt;&gt;"",EDATE($D76,Milestones!$AA$29)&gt;=$R76),$U76,$T76)))=Milestones!$AB$29),TEXT(EDATE($D76,Milestones!$AA$29),"dd/mm/yy")&amp;" "&amp;Milestones!$AB$29&amp;" "&amp;Milestones!$AC$29&amp;";  ","")&amp;IF(AND(EDATE($D76,Milestones!$AA$30)&lt;=AsOfDate,IF($Q76=0,$W76,IF(AND($S76&lt;&gt;"",EDATE($D76,Milestones!$AA$30)&gt;=$S76),$V76,IF(AND($R76&lt;&gt;"",EDATE($D76,Milestones!$AA$30)&gt;=$R76),$U76,$T76)))=Milestones!$AB$30),TEXT(EDATE($D76,Milestones!$AA$30),"dd/mm/yy")&amp;" "&amp;Milestones!$AB$30&amp;" "&amp;Milestones!$AC$30&amp;";  ","")&amp;IF(AND(EDATE($D76,Milestones!$AA$31)&lt;=AsOfDate,IF($Q76=0,$W76,IF(AND($S76&lt;&gt;"",EDATE($D76,Milestones!$AA$31)&gt;=$S76),$V76,IF(AND($R76&lt;&gt;"",EDATE($D76,Milestones!$AA$31)&gt;=$R76),$U76,$T76)))=Milestones!$AB$31),TEXT(EDATE($D76,Milestones!$AA$31),"dd/mm/yy")&amp;" "&amp;Milestones!$AB$31&amp;" "&amp;Milestones!$AC$31&amp;";  ","")&amp;IF(AND(EDATE($D76,Milestones!$AA$32)&lt;=AsOfDate,IF($Q76=0,$W76,IF(AND($S76&lt;&gt;"",EDATE($D76,Milestones!$AA$32)&gt;=$S76),$V76,IF(AND($R76&lt;&gt;"",EDATE($D76,Milestones!$AA$32)&gt;=$R76),$U76,$T76)))=Milestones!$AB$32),TEXT(EDATE($D76,Milestones!$AA$32),"dd/mm/yy")&amp;" "&amp;Milestones!$AB$32&amp;" "&amp;Milestones!$AC$32&amp;";  ","")&amp;IF(AND(EDATE($D76,Milestones!$AA$33)&lt;=AsOfDate,IF($Q76=0,$W76,IF(AND($S76&lt;&gt;"",EDATE($D76,Milestones!$AA$33)&gt;=$S76),$V76,IF(AND($R76&lt;&gt;"",EDATE($D76,Milestones!$AA$33)&gt;=$R76),$U76,$T76)))=Milestones!$AB$33),TEXT(EDATE($D76,Milestones!$AA$33),"dd/mm/yy")&amp;" "&amp;Milestones!$AB$33&amp;" "&amp;Milestones!$AC$33&amp;";  ","")&amp;IF(AND(EDATE($D76,Milestones!$AA$34)&lt;=AsOfDate,IF($Q76=0,$W76,IF(AND($S76&lt;&gt;"",EDATE($D76,Milestones!$AA$34)&gt;=$S76),$V76,IF(AND($R76&lt;&gt;"",EDATE($D76,Milestones!$AA$34)&gt;=$R76),$U76,$T76)))=Milestones!$AB$34),TEXT(EDATE($D76,Milestones!$AA$34),"dd/mm/yy")&amp;" "&amp;Milestones!$AB$34&amp;" "&amp;Milestones!$AC$34&amp;";  ","")&amp;IF(AND(EDATE($D76,Milestones!$AA$35)&lt;=AsOfDate,IF($Q76=0,$W76,IF(AND($S76&lt;&gt;"",EDATE($D76,Milestones!$AA$35)&gt;=$S76),$V76,IF(AND($R76&lt;&gt;"",EDATE($D76,Milestones!$AA$35)&gt;=$R76),$U76,$T76)))=Milestones!$AB$35),TEXT(EDATE($D76,Milestones!$AA$35),"dd/mm/yy")&amp;" "&amp;Milestones!$AB$35&amp;" "&amp;Milestones!$AC$35&amp;";  ","")&amp;IF(AND(EDATE($D76,Milestones!$AA$36)&lt;=AsOfDate,IF($Q76=0,$W76,IF(AND($S76&lt;&gt;"",EDATE($D76,Milestones!$AA$36)&gt;=$S76),$V76,IF(AND($R76&lt;&gt;"",EDATE($D76,Milestones!$AA$36)&gt;=$R76),$U76,$T76)))=Milestones!$AB$36),TEXT(EDATE($D76,Milestones!$AA$36),"dd/mm/yy")&amp;" "&amp;Milestones!$AB$36&amp;" "&amp;Milestones!$AC$36&amp;";  ","")&amp;IF(AND(EDATE($D76,Milestones!$AA$37)&lt;=AsOfDate,IF($Q76=0,$W76,IF(AND($S76&lt;&gt;"",EDATE($D76,Milestones!$AA$37)&gt;=$S76),$V76,IF(AND($R76&lt;&gt;"",EDATE($D76,Milestones!$AA$37)&gt;=$R76),$U76,$T76)))=Milestones!$AB$37),TEXT(EDATE($D76,Milestones!$AA$37),"dd/mm/yy")&amp;" "&amp;Milestones!$AB$37&amp;" "&amp;Milestones!$AC$37&amp;";  ","")&amp;IF(AND(EDATE($D76,Milestones!$AA$38)&lt;=AsOfDate,IF($Q76=0,$W76,IF(AND($S76&lt;&gt;"",EDATE($D76,Milestones!$AA$38)&gt;=$S76),$V76,IF(AND($R76&lt;&gt;"",EDATE($D76,Milestones!$AA$38)&gt;=$R76),$U76,$T76)))=Milestones!$AB$38),TEXT(EDATE($D76,Milestones!$AA$38),"dd/mm/yy")&amp;" "&amp;Milestones!$AB$38&amp;" "&amp;Milestones!$AC$38&amp;";  ","")&amp;IF(AND(EDATE($D76,Milestones!$AA$39)&lt;=AsOfDate,IF($Q76=0,$W76,IF(AND($S76&lt;&gt;"",EDATE($D76,Milestones!$AA$39)&gt;=$S76),$V76,IF(AND($R76&lt;&gt;"",EDATE($D76,Milestones!$AA$39)&gt;=$R76),$U76,$T76)))=Milestones!$AB$39),TEXT(EDATE($D76,Milestones!$AA$39),"dd/mm/yy")&amp;" "&amp;Milestones!$AB$39&amp;" "&amp;Milestones!$AC$39&amp;";  ",""))</f>
        <v/>
      </c>
      <c r="I76" s="0" t="str">
        <f aca="false">IF(OR($A76="",$D76=""),"",IF(AND(EDATE($D76,Milestones!$AA$40)&lt;=AsOfDate,IF($Q76=0,$W76,IF(AND($S76&lt;&gt;"",EDATE($D76,Milestones!$AA$40)&gt;=$S76),$V76,IF(AND($R76&lt;&gt;"",EDATE($D76,Milestones!$AA$40)&gt;=$R76),$U76,$T76)))=Milestones!$AB$40),TEXT(EDATE($D76,Milestones!$AA$40),"dd/mm/yy")&amp;" "&amp;Milestones!$AB$40&amp;" "&amp;Milestones!$AC$40&amp;";  ","")&amp;IF(AND(EDATE($D76,Milestones!$AA$41)&lt;=AsOfDate,IF($Q76=0,$W76,IF(AND($S76&lt;&gt;"",EDATE($D76,Milestones!$AA$41)&gt;=$S76),$V76,IF(AND($R76&lt;&gt;"",EDATE($D76,Milestones!$AA$41)&gt;=$R76),$U76,$T76)))=Milestones!$AB$41),TEXT(EDATE($D76,Milestones!$AA$41),"dd/mm/yy")&amp;" "&amp;Milestones!$AB$41&amp;" "&amp;Milestones!$AC$41&amp;";  ","")&amp;IF(AND(EDATE($D76,Milestones!$AA$42)&lt;=AsOfDate,IF($Q76=0,$W76,IF(AND($S76&lt;&gt;"",EDATE($D76,Milestones!$AA$42)&gt;=$S76),$V76,IF(AND($R76&lt;&gt;"",EDATE($D76,Milestones!$AA$42)&gt;=$R76),$U76,$T76)))=Milestones!$AB$42),TEXT(EDATE($D76,Milestones!$AA$42),"dd/mm/yy")&amp;" "&amp;Milestones!$AB$42&amp;" "&amp;Milestones!$AC$42&amp;";  ","")&amp;IF(AND(EDATE($D76,Milestones!$AA$43)&lt;=AsOfDate,IF($Q76=0,$W76,IF(AND($S76&lt;&gt;"",EDATE($D76,Milestones!$AA$43)&gt;=$S76),$V76,IF(AND($R76&lt;&gt;"",EDATE($D76,Milestones!$AA$43)&gt;=$R76),$U76,$T76)))=Milestones!$AB$43),TEXT(EDATE($D76,Milestones!$AA$43),"dd/mm/yy")&amp;" "&amp;Milestones!$AB$43&amp;" "&amp;Milestones!$AC$43&amp;";  ","")&amp;IF(AND(EDATE($D76,Milestones!$AA$44)&lt;=AsOfDate,IF($Q76=0,$W76,IF(AND($S76&lt;&gt;"",EDATE($D76,Milestones!$AA$44)&gt;=$S76),$V76,IF(AND($R76&lt;&gt;"",EDATE($D76,Milestones!$AA$44)&gt;=$R76),$U76,$T76)))=Milestones!$AB$44),TEXT(EDATE($D76,Milestones!$AA$44),"dd/mm/yy")&amp;" "&amp;Milestones!$AB$44&amp;" "&amp;Milestones!$AC$44&amp;";  ","")&amp;IF(AND(EDATE($D76,Milestones!$AA$45)&lt;=AsOfDate,IF($Q76=0,$W76,IF(AND($S76&lt;&gt;"",EDATE($D76,Milestones!$AA$45)&gt;=$S76),$V76,IF(AND($R76&lt;&gt;"",EDATE($D76,Milestones!$AA$45)&gt;=$R76),$U76,$T76)))=Milestones!$AB$45),TEXT(EDATE($D76,Milestones!$AA$45),"dd/mm/yy")&amp;" "&amp;Milestones!$AB$45&amp;" "&amp;Milestones!$AC$45&amp;";  ","")&amp;IF(AND(EDATE($D76,Milestones!$AA$46)&lt;=AsOfDate,IF($Q76=0,$W76,IF(AND($S76&lt;&gt;"",EDATE($D76,Milestones!$AA$46)&gt;=$S76),$V76,IF(AND($R76&lt;&gt;"",EDATE($D76,Milestones!$AA$46)&gt;=$R76),$U76,$T76)))=Milestones!$AB$46),TEXT(EDATE($D76,Milestones!$AA$46),"dd/mm/yy")&amp;" "&amp;Milestones!$AB$46&amp;" "&amp;Milestones!$AC$46&amp;";  ","")&amp;IF(AND(EDATE($D76,Milestones!$AA$47)&lt;=AsOfDate,IF($Q76=0,$W76,IF(AND($S76&lt;&gt;"",EDATE($D76,Milestones!$AA$47)&gt;=$S76),$V76,IF(AND($R76&lt;&gt;"",EDATE($D76,Milestones!$AA$47)&gt;=$R76),$U76,$T76)))=Milestones!$AB$47),TEXT(EDATE($D76,Milestones!$AA$47),"dd/mm/yy")&amp;" "&amp;Milestones!$AB$47&amp;" "&amp;Milestones!$AC$47&amp;";  ","")&amp;IF(AND(EDATE($D76,Milestones!$AA$48)&lt;=AsOfDate,IF($Q76=0,$W76,IF(AND($S76&lt;&gt;"",EDATE($D76,Milestones!$AA$48)&gt;=$S76),$V76,IF(AND($R76&lt;&gt;"",EDATE($D76,Milestones!$AA$48)&gt;=$R76),$U76,$T76)))=Milestones!$AB$48),TEXT(EDATE($D76,Milestones!$AA$48),"dd/mm/yy")&amp;" "&amp;Milestones!$AB$48&amp;" "&amp;Milestones!$AC$48&amp;";  ","")&amp;IF(AND(EDATE($D76,Milestones!$AA$49)&lt;=AsOfDate,IF($Q76=0,$W76,IF(AND($S76&lt;&gt;"",EDATE($D76,Milestones!$AA$49)&gt;=$S76),$V76,IF(AND($R76&lt;&gt;"",EDATE($D76,Milestones!$AA$49)&gt;=$R76),$U76,$T76)))=Milestones!$AB$49),TEXT(EDATE($D76,Milestones!$AA$49),"dd/mm/yy")&amp;" "&amp;Milestones!$AB$49&amp;" "&amp;Milestones!$AC$49&amp;";  ","")&amp;IF(AND(EDATE($D76,Milestones!$AA$50)&lt;=AsOfDate,IF($Q76=0,$W76,IF(AND($S76&lt;&gt;"",EDATE($D76,Milestones!$AA$50)&gt;=$S76),$V76,IF(AND($R76&lt;&gt;"",EDATE($D76,Milestones!$AA$50)&gt;=$R76),$U76,$T76)))=Milestones!$AB$50),TEXT(EDATE($D76,Milestones!$AA$50),"dd/mm/yy")&amp;" "&amp;Milestones!$AB$50&amp;" "&amp;Milestones!$AC$50&amp;";  ","")&amp;IF(AND(EDATE($D76,Milestones!$AA$51)&lt;=AsOfDate,IF($Q76=0,$W76,IF(AND($S76&lt;&gt;"",EDATE($D76,Milestones!$AA$51)&gt;=$S76),$V76,IF(AND($R76&lt;&gt;"",EDATE($D76,Milestones!$AA$51)&gt;=$R76),$U76,$T76)))=Milestones!$AB$51),TEXT(EDATE($D76,Milestones!$AA$51),"dd/mm/yy")&amp;" "&amp;Milestones!$AB$51&amp;" "&amp;Milestones!$AC$51&amp;";  ","")&amp;IF(AND(EDATE($D76,Milestones!$AA$52)&lt;=AsOfDate,IF($Q76=0,$W76,IF(AND($S76&lt;&gt;"",EDATE($D76,Milestones!$AA$52)&gt;=$S76),$V76,IF(AND($R76&lt;&gt;"",EDATE($D76,Milestones!$AA$52)&gt;=$R76),$U76,$T76)))=Milestones!$AB$52),TEXT(EDATE($D76,Milestones!$AA$52),"dd/mm/yy")&amp;" "&amp;Milestones!$AB$52&amp;" "&amp;Milestones!$AC$52&amp;";  ","")&amp;IF(AND(EDATE($D76,Milestones!$AA$53)&lt;=AsOfDate,IF($Q76=0,$W76,IF(AND($S76&lt;&gt;"",EDATE($D76,Milestones!$AA$53)&gt;=$S76),$V76,IF(AND($R76&lt;&gt;"",EDATE($D76,Milestones!$AA$53)&gt;=$R76),$U76,$T76)))=Milestones!$AB$53),TEXT(EDATE($D76,Milestones!$AA$53),"dd/mm/yy")&amp;" "&amp;Milestones!$AB$53&amp;" "&amp;Milestones!$AC$53&amp;";  ","")&amp;IF(AND(EDATE($D76,Milestones!$AA$54)&lt;=AsOfDate,IF($Q76=0,$W76,IF(AND($S76&lt;&gt;"",EDATE($D76,Milestones!$AA$54)&gt;=$S76),$V76,IF(AND($R76&lt;&gt;"",EDATE($D76,Milestones!$AA$54)&gt;=$R76),$U76,$T76)))=Milestones!$AB$54),TEXT(EDATE($D76,Milestones!$AA$54),"dd/mm/yy")&amp;" "&amp;Milestones!$AB$54&amp;" "&amp;Milestones!$AC$54&amp;";  ","")&amp;IF(AND(EDATE($D76,Milestones!$AA$55)&lt;=AsOfDate,IF($Q76=0,$W76,IF(AND($S76&lt;&gt;"",EDATE($D76,Milestones!$AA$55)&gt;=$S76),$V76,IF(AND($R76&lt;&gt;"",EDATE($D76,Milestones!$AA$55)&gt;=$R76),$U76,$T76)))=Milestones!$AB$55),TEXT(EDATE($D76,Milestones!$AA$55),"dd/mm/yy")&amp;" "&amp;Milestones!$AB$55&amp;" "&amp;Milestones!$AC$55&amp;";  ","")&amp;IF(AND(EDATE($D76,Milestones!$AA$56)&lt;=AsOfDate,IF($Q76=0,$W76,IF(AND($S76&lt;&gt;"",EDATE($D76,Milestones!$AA$56)&gt;=$S76),$V76,IF(AND($R76&lt;&gt;"",EDATE($D76,Milestones!$AA$56)&gt;=$R76),$U76,$T76)))=Milestones!$AB$56),TEXT(EDATE($D76,Milestones!$AA$56),"dd/mm/yy")&amp;" "&amp;Milestones!$AB$56&amp;" "&amp;Milestones!$AC$56&amp;";  ","")&amp;IF(AND(EDATE($D76,Milestones!$AA$57)&lt;=AsOfDate,IF($Q76=0,$W76,IF(AND($S76&lt;&gt;"",EDATE($D76,Milestones!$AA$57)&gt;=$S76),$V76,IF(AND($R76&lt;&gt;"",EDATE($D76,Milestones!$AA$57)&gt;=$R76),$U76,$T76)))=Milestones!$AB$57),TEXT(EDATE($D76,Milestones!$AA$57),"dd/mm/yy")&amp;" "&amp;Milestones!$AB$57&amp;" "&amp;Milestones!$AC$57&amp;";  ","")&amp;IF(AND(EDATE($D76,Milestones!$AA$58)&lt;=AsOfDate,IF($Q76=0,$W76,IF(AND($S76&lt;&gt;"",EDATE($D76,Milestones!$AA$58)&gt;=$S76),$V76,IF(AND($R76&lt;&gt;"",EDATE($D76,Milestones!$AA$58)&gt;=$R76),$U76,$T76)))=Milestones!$AB$58),TEXT(EDATE($D76,Milestones!$AA$58),"dd/mm/yy")&amp;" "&amp;Milestones!$AB$58&amp;" "&amp;Milestones!$AC$58&amp;";  ","")&amp;IF(AND(EDATE($D76,Milestones!$AA$59)&lt;=AsOfDate,IF($Q76=0,$W76,IF(AND($S76&lt;&gt;"",EDATE($D76,Milestones!$AA$59)&gt;=$S76),$V76,IF(AND($R76&lt;&gt;"",EDATE($D76,Milestones!$AA$59)&gt;=$R76),$U76,$T76)))=Milestones!$AB$59),TEXT(EDATE($D76,Milestones!$AA$59),"dd/mm/yy")&amp;" "&amp;Milestones!$AB$59&amp;" "&amp;Milestones!$AC$59&amp;";  ",""))</f>
        <v/>
      </c>
      <c r="J76" s="0" t="str">
        <f aca="false">IF(OR($A76="",$D76=""),"",IF(AND(EDATE($D76,Milestones!$AA$60)&lt;=AsOfDate,IF($Q76=0,$W76,IF(AND($S76&lt;&gt;"",EDATE($D76,Milestones!$AA$60)&gt;=$S76),$V76,IF(AND($R76&lt;&gt;"",EDATE($D76,Milestones!$AA$60)&gt;=$R76),$U76,$T76)))=Milestones!$AB$60),TEXT(EDATE($D76,Milestones!$AA$60),"dd/mm/yy")&amp;" "&amp;Milestones!$AB$60&amp;" "&amp;Milestones!$AC$60&amp;";  ","")&amp;IF(AND(EDATE($D76,Milestones!$AA$61)&lt;=AsOfDate,IF($Q76=0,$W76,IF(AND($S76&lt;&gt;"",EDATE($D76,Milestones!$AA$61)&gt;=$S76),$V76,IF(AND($R76&lt;&gt;"",EDATE($D76,Milestones!$AA$61)&gt;=$R76),$U76,$T76)))=Milestones!$AB$61),TEXT(EDATE($D76,Milestones!$AA$61),"dd/mm/yy")&amp;" "&amp;Milestones!$AB$61&amp;" "&amp;Milestones!$AC$61&amp;";  ","")&amp;IF(AND(EDATE($D76,Milestones!$AA$62)&lt;=AsOfDate,IF($Q76=0,$W76,IF(AND($S76&lt;&gt;"",EDATE($D76,Milestones!$AA$62)&gt;=$S76),$V76,IF(AND($R76&lt;&gt;"",EDATE($D76,Milestones!$AA$62)&gt;=$R76),$U76,$T76)))=Milestones!$AB$62),TEXT(EDATE($D76,Milestones!$AA$62),"dd/mm/yy")&amp;" "&amp;Milestones!$AB$62&amp;" "&amp;Milestones!$AC$62&amp;";  ","")&amp;IF(AND(EDATE($D76,Milestones!$AA$63)&lt;=AsOfDate,IF($Q76=0,$W76,IF(AND($S76&lt;&gt;"",EDATE($D76,Milestones!$AA$63)&gt;=$S76),$V76,IF(AND($R76&lt;&gt;"",EDATE($D76,Milestones!$AA$63)&gt;=$R76),$U76,$T76)))=Milestones!$AB$63),TEXT(EDATE($D76,Milestones!$AA$63),"dd/mm/yy")&amp;" "&amp;Milestones!$AB$63&amp;" "&amp;Milestones!$AC$63&amp;";  ","")&amp;IF(AND(EDATE($D76,Milestones!$AA$64)&lt;=AsOfDate,IF($Q76=0,$W76,IF(AND($S76&lt;&gt;"",EDATE($D76,Milestones!$AA$64)&gt;=$S76),$V76,IF(AND($R76&lt;&gt;"",EDATE($D76,Milestones!$AA$64)&gt;=$R76),$U76,$T76)))=Milestones!$AB$64),TEXT(EDATE($D76,Milestones!$AA$64),"dd/mm/yy")&amp;" "&amp;Milestones!$AB$64&amp;" "&amp;Milestones!$AC$64&amp;";  ","")&amp;IF(AND(EDATE($D76,Milestones!$AA$65)&lt;=AsOfDate,IF($Q76=0,$W76,IF(AND($S76&lt;&gt;"",EDATE($D76,Milestones!$AA$65)&gt;=$S76),$V76,IF(AND($R76&lt;&gt;"",EDATE($D76,Milestones!$AA$65)&gt;=$R76),$U76,$T76)))=Milestones!$AB$65),TEXT(EDATE($D76,Milestones!$AA$65),"dd/mm/yy")&amp;" "&amp;Milestones!$AB$65&amp;" "&amp;Milestones!$AC$65&amp;";  ","")&amp;IF(AND(EDATE($D76,Milestones!$AA$66)&lt;=AsOfDate,IF($Q76=0,$W76,IF(AND($S76&lt;&gt;"",EDATE($D76,Milestones!$AA$66)&gt;=$S76),$V76,IF(AND($R76&lt;&gt;"",EDATE($D76,Milestones!$AA$66)&gt;=$R76),$U76,$T76)))=Milestones!$AB$66),TEXT(EDATE($D76,Milestones!$AA$66),"dd/mm/yy")&amp;" "&amp;Milestones!$AB$66&amp;" "&amp;Milestones!$AC$66&amp;";  ","")&amp;IF(AND(EDATE($D76,Milestones!$AA$67)&lt;=AsOfDate,IF($Q76=0,$W76,IF(AND($S76&lt;&gt;"",EDATE($D76,Milestones!$AA$67)&gt;=$S76),$V76,IF(AND($R76&lt;&gt;"",EDATE($D76,Milestones!$AA$67)&gt;=$R76),$U76,$T76)))=Milestones!$AB$67),TEXT(EDATE($D76,Milestones!$AA$67),"dd/mm/yy")&amp;" "&amp;Milestones!$AB$67&amp;" "&amp;Milestones!$AC$67&amp;";  ","")&amp;IF(AND(EDATE($D76,Milestones!$AA$68)&lt;=AsOfDate,IF($Q76=0,$W76,IF(AND($S76&lt;&gt;"",EDATE($D76,Milestones!$AA$68)&gt;=$S76),$V76,IF(AND($R76&lt;&gt;"",EDATE($D76,Milestones!$AA$68)&gt;=$R76),$U76,$T76)))=Milestones!$AB$68),TEXT(EDATE($D76,Milestones!$AA$68),"dd/mm/yy")&amp;" "&amp;Milestones!$AB$68&amp;" "&amp;Milestones!$AC$68&amp;";  ","")&amp;IF(AND(EDATE($D76,Milestones!$AA$69)&lt;=AsOfDate,IF($Q76=0,$W76,IF(AND($S76&lt;&gt;"",EDATE($D76,Milestones!$AA$69)&gt;=$S76),$V76,IF(AND($R76&lt;&gt;"",EDATE($D76,Milestones!$AA$69)&gt;=$R76),$U76,$T76)))=Milestones!$AB$69),TEXT(EDATE($D76,Milestones!$AA$69),"dd/mm/yy")&amp;" "&amp;Milestones!$AB$69&amp;" "&amp;Milestones!$AC$69&amp;";  ","")&amp;IF(AND(EDATE($D76,Milestones!$AA$70)&lt;=AsOfDate,IF($Q76=0,$W76,IF(AND($S76&lt;&gt;"",EDATE($D76,Milestones!$AA$70)&gt;=$S76),$V76,IF(AND($R76&lt;&gt;"",EDATE($D76,Milestones!$AA$70)&gt;=$R76),$U76,$T76)))=Milestones!$AB$70),TEXT(EDATE($D76,Milestones!$AA$70),"dd/mm/yy")&amp;" "&amp;Milestones!$AB$70&amp;" "&amp;Milestones!$AC$70&amp;";  ","")&amp;IF(AND(EDATE($D76,Milestones!$AA$71)&lt;=AsOfDate,IF($Q76=0,$W76,IF(AND($S76&lt;&gt;"",EDATE($D76,Milestones!$AA$71)&gt;=$S76),$V76,IF(AND($R76&lt;&gt;"",EDATE($D76,Milestones!$AA$71)&gt;=$R76),$U76,$T76)))=Milestones!$AB$71),TEXT(EDATE($D76,Milestones!$AA$71),"dd/mm/yy")&amp;" "&amp;Milestones!$AB$71&amp;" "&amp;Milestones!$AC$71&amp;";  ","")&amp;IF(AND(EDATE($D76,Milestones!$AA$72)&lt;=AsOfDate,IF($Q76=0,$W76,IF(AND($S76&lt;&gt;"",EDATE($D76,Milestones!$AA$72)&gt;=$S76),$V76,IF(AND($R76&lt;&gt;"",EDATE($D76,Milestones!$AA$72)&gt;=$R76),$U76,$T76)))=Milestones!$AB$72),TEXT(EDATE($D76,Milestones!$AA$72),"dd/mm/yy")&amp;" "&amp;Milestones!$AB$72&amp;" "&amp;Milestones!$AC$72&amp;";  ","")&amp;IF(AND(EDATE($D76,Milestones!$AA$73)&lt;=AsOfDate,IF($Q76=0,$W76,IF(AND($S76&lt;&gt;"",EDATE($D76,Milestones!$AA$73)&gt;=$S76),$V76,IF(AND($R76&lt;&gt;"",EDATE($D76,Milestones!$AA$73)&gt;=$R76),$U76,$T76)))=Milestones!$AB$73),TEXT(EDATE($D76,Milestones!$AA$73),"dd/mm/yy")&amp;" "&amp;Milestones!$AB$73&amp;" "&amp;Milestones!$AC$73&amp;";  ","")&amp;IF(AND(EDATE($D76,Milestones!$AA$74)&lt;=AsOfDate,IF($Q76=0,$W76,IF(AND($S76&lt;&gt;"",EDATE($D76,Milestones!$AA$74)&gt;=$S76),$V76,IF(AND($R76&lt;&gt;"",EDATE($D76,Milestones!$AA$74)&gt;=$R76),$U76,$T76)))=Milestones!$AB$74),TEXT(EDATE($D76,Milestones!$AA$74),"dd/mm/yy")&amp;" "&amp;Milestones!$AB$74&amp;" "&amp;Milestones!$AC$74&amp;";  ","")&amp;IF(AND(EDATE($D76,Milestones!$AA$75)&lt;=AsOfDate,IF($Q76=0,$W76,IF(AND($S76&lt;&gt;"",EDATE($D76,Milestones!$AA$75)&gt;=$S76),$V76,IF(AND($R76&lt;&gt;"",EDATE($D76,Milestones!$AA$75)&gt;=$R76),$U76,$T76)))=Milestones!$AB$75),TEXT(EDATE($D76,Milestones!$AA$75),"dd/mm/yy")&amp;" "&amp;Milestones!$AB$75&amp;" "&amp;Milestones!$AC$75&amp;";  ","")&amp;IF(AND(EDATE($D76,Milestones!$AA$76)&lt;=AsOfDate,IF($Q76=0,$W76,IF(AND($S76&lt;&gt;"",EDATE($D76,Milestones!$AA$76)&gt;=$S76),$V76,IF(AND($R76&lt;&gt;"",EDATE($D76,Milestones!$AA$76)&gt;=$R76),$U76,$T76)))=Milestones!$AB$76),TEXT(EDATE($D76,Milestones!$AA$76),"dd/mm/yy")&amp;" "&amp;Milestones!$AB$76&amp;" "&amp;Milestones!$AC$76&amp;";  ","")&amp;IF(AND(EDATE($D76,Milestones!$AA$77)&lt;=AsOfDate,IF($Q76=0,$W76,IF(AND($S76&lt;&gt;"",EDATE($D76,Milestones!$AA$77)&gt;=$S76),$V76,IF(AND($R76&lt;&gt;"",EDATE($D76,Milestones!$AA$77)&gt;=$R76),$U76,$T76)))=Milestones!$AB$77),TEXT(EDATE($D76,Milestones!$AA$77),"dd/mm/yy")&amp;" "&amp;Milestones!$AB$77&amp;" "&amp;Milestones!$AC$77&amp;";  ","")&amp;IF(AND(EDATE($D76,Milestones!$AA$78)&lt;=AsOfDate,IF($Q76=0,$W76,IF(AND($S76&lt;&gt;"",EDATE($D76,Milestones!$AA$78)&gt;=$S76),$V76,IF(AND($R76&lt;&gt;"",EDATE($D76,Milestones!$AA$78)&gt;=$R76),$U76,$T76)))=Milestones!$AB$78),TEXT(EDATE($D76,Milestones!$AA$78),"dd/mm/yy")&amp;" "&amp;Milestones!$AB$78&amp;" "&amp;Milestones!$AC$78&amp;";  ","")&amp;IF(AND(EDATE($D76,Milestones!$AA$79)&lt;=AsOfDate,IF($Q76=0,$W76,IF(AND($S76&lt;&gt;"",EDATE($D76,Milestones!$AA$79)&gt;=$S76),$V76,IF(AND($R76&lt;&gt;"",EDATE($D76,Milestones!$AA$79)&gt;=$R76),$U76,$T76)))=Milestones!$AB$79),TEXT(EDATE($D76,Milestones!$AA$79),"dd/mm/yy")&amp;" "&amp;Milestones!$AB$79&amp;" "&amp;Milestones!$AC$79&amp;";  ",""))</f>
        <v/>
      </c>
      <c r="K76" s="0" t="str">
        <f aca="false">IF(OR($A76="",$D76=""),"",IF(AND(EDATE($D76,Milestones!$AA$80)&lt;=AsOfDate,IF($Q76=0,$W76,IF(AND($S76&lt;&gt;"",EDATE($D76,Milestones!$AA$80)&gt;=$S76),$V76,IF(AND($R76&lt;&gt;"",EDATE($D76,Milestones!$AA$80)&gt;=$R76),$U76,$T76)))=Milestones!$AB$80),TEXT(EDATE($D76,Milestones!$AA$80),"dd/mm/yy")&amp;" "&amp;Milestones!$AB$80&amp;" "&amp;Milestones!$AC$80&amp;";  ","")&amp;IF(AND(EDATE($D76,Milestones!$AA$81)&lt;=AsOfDate,IF($Q76=0,$W76,IF(AND($S76&lt;&gt;"",EDATE($D76,Milestones!$AA$81)&gt;=$S76),$V76,IF(AND($R76&lt;&gt;"",EDATE($D76,Milestones!$AA$81)&gt;=$R76),$U76,$T76)))=Milestones!$AB$81),TEXT(EDATE($D76,Milestones!$AA$81),"dd/mm/yy")&amp;" "&amp;Milestones!$AB$81&amp;" "&amp;Milestones!$AC$81&amp;";  ","")&amp;IF(AND(EDATE($D76,Milestones!$AA$82)&lt;=AsOfDate,IF($Q76=0,$W76,IF(AND($S76&lt;&gt;"",EDATE($D76,Milestones!$AA$82)&gt;=$S76),$V76,IF(AND($R76&lt;&gt;"",EDATE($D76,Milestones!$AA$82)&gt;=$R76),$U76,$T76)))=Milestones!$AB$82),TEXT(EDATE($D76,Milestones!$AA$82),"dd/mm/yy")&amp;" "&amp;Milestones!$AB$82&amp;" "&amp;Milestones!$AC$82&amp;";  ","")&amp;IF(AND(EDATE($D76,Milestones!$AA$83)&lt;=AsOfDate,IF($Q76=0,$W76,IF(AND($S76&lt;&gt;"",EDATE($D76,Milestones!$AA$83)&gt;=$S76),$V76,IF(AND($R76&lt;&gt;"",EDATE($D76,Milestones!$AA$83)&gt;=$R76),$U76,$T76)))=Milestones!$AB$83),TEXT(EDATE($D76,Milestones!$AA$83),"dd/mm/yy")&amp;" "&amp;Milestones!$AB$83&amp;" "&amp;Milestones!$AC$83&amp;";  ","")&amp;IF(AND(EDATE($D76,Milestones!$AA$84)&lt;=AsOfDate,IF($Q76=0,$W76,IF(AND($S76&lt;&gt;"",EDATE($D76,Milestones!$AA$84)&gt;=$S76),$V76,IF(AND($R76&lt;&gt;"",EDATE($D76,Milestones!$AA$84)&gt;=$R76),$U76,$T76)))=Milestones!$AB$84),TEXT(EDATE($D76,Milestones!$AA$84),"dd/mm/yy")&amp;" "&amp;Milestones!$AB$84&amp;" "&amp;Milestones!$AC$84&amp;";  ","")&amp;IF(AND(EDATE($D76,Milestones!$AA$85)&lt;=AsOfDate,IF($Q76=0,$W76,IF(AND($S76&lt;&gt;"",EDATE($D76,Milestones!$AA$85)&gt;=$S76),$V76,IF(AND($R76&lt;&gt;"",EDATE($D76,Milestones!$AA$85)&gt;=$R76),$U76,$T76)))=Milestones!$AB$85),TEXT(EDATE($D76,Milestones!$AA$85),"dd/mm/yy")&amp;" "&amp;Milestones!$AB$85&amp;" "&amp;Milestones!$AC$85&amp;";  ","")&amp;IF(AND(EDATE($D76,Milestones!$AA$86)&lt;=AsOfDate,IF($Q76=0,$W76,IF(AND($S76&lt;&gt;"",EDATE($D76,Milestones!$AA$86)&gt;=$S76),$V76,IF(AND($R76&lt;&gt;"",EDATE($D76,Milestones!$AA$86)&gt;=$R76),$U76,$T76)))=Milestones!$AB$86),TEXT(EDATE($D76,Milestones!$AA$86),"dd/mm/yy")&amp;" "&amp;Milestones!$AB$86&amp;" "&amp;Milestones!$AC$86&amp;";  ","")&amp;IF(AND(EDATE($D76,Milestones!$AA$87)&lt;=AsOfDate,IF($Q76=0,$W76,IF(AND($S76&lt;&gt;"",EDATE($D76,Milestones!$AA$87)&gt;=$S76),$V76,IF(AND($R76&lt;&gt;"",EDATE($D76,Milestones!$AA$87)&gt;=$R76),$U76,$T76)))=Milestones!$AB$87),TEXT(EDATE($D76,Milestones!$AA$87),"dd/mm/yy")&amp;" "&amp;Milestones!$AB$87&amp;" "&amp;Milestones!$AC$87&amp;";  ","")&amp;IF(AND(EDATE($D76,Milestones!$AA$88)&lt;=AsOfDate,IF($Q76=0,$W76,IF(AND($S76&lt;&gt;"",EDATE($D76,Milestones!$AA$88)&gt;=$S76),$V76,IF(AND($R76&lt;&gt;"",EDATE($D76,Milestones!$AA$88)&gt;=$R76),$U76,$T76)))=Milestones!$AB$88),TEXT(EDATE($D76,Milestones!$AA$88),"dd/mm/yy")&amp;" "&amp;Milestones!$AB$88&amp;" "&amp;Milestones!$AC$88&amp;";  ","")&amp;IF(AND(EDATE($D76,Milestones!$AA$89)&lt;=AsOfDate,IF($Q76=0,$W76,IF(AND($S76&lt;&gt;"",EDATE($D76,Milestones!$AA$89)&gt;=$S76),$V76,IF(AND($R76&lt;&gt;"",EDATE($D76,Milestones!$AA$89)&gt;=$R76),$U76,$T76)))=Milestones!$AB$89),TEXT(EDATE($D76,Milestones!$AA$89),"dd/mm/yy")&amp;" "&amp;Milestones!$AB$89&amp;" "&amp;Milestones!$AC$89&amp;";  ","")&amp;IF(AND(EDATE($D76,Milestones!$AA$90)&lt;=AsOfDate,IF($Q76=0,$W76,IF(AND($S76&lt;&gt;"",EDATE($D76,Milestones!$AA$90)&gt;=$S76),$V76,IF(AND($R76&lt;&gt;"",EDATE($D76,Milestones!$AA$90)&gt;=$R76),$U76,$T76)))=Milestones!$AB$90),TEXT(EDATE($D76,Milestones!$AA$90),"dd/mm/yy")&amp;" "&amp;Milestones!$AB$90&amp;" "&amp;Milestones!$AC$90&amp;";  ","")&amp;IF(AND(EDATE($D76,Milestones!$AA$91)&lt;=AsOfDate,IF($Q76=0,$W76,IF(AND($S76&lt;&gt;"",EDATE($D76,Milestones!$AA$91)&gt;=$S76),$V76,IF(AND($R76&lt;&gt;"",EDATE($D76,Milestones!$AA$91)&gt;=$R76),$U76,$T76)))=Milestones!$AB$91),TEXT(EDATE($D76,Milestones!$AA$91),"dd/mm/yy")&amp;" "&amp;Milestones!$AB$91&amp;" "&amp;Milestones!$AC$91&amp;";  ","")&amp;IF(AND(EDATE($D76,Milestones!$AA$92)&lt;=AsOfDate,IF($Q76=0,$W76,IF(AND($S76&lt;&gt;"",EDATE($D76,Milestones!$AA$92)&gt;=$S76),$V76,IF(AND($R76&lt;&gt;"",EDATE($D76,Milestones!$AA$92)&gt;=$R76),$U76,$T76)))=Milestones!$AB$92),TEXT(EDATE($D76,Milestones!$AA$92),"dd/mm/yy")&amp;" "&amp;Milestones!$AB$92&amp;" "&amp;Milestones!$AC$92&amp;";  ","")&amp;IF(AND(EDATE($D76,Milestones!$AA$93)&lt;=AsOfDate,IF($Q76=0,$W76,IF(AND($S76&lt;&gt;"",EDATE($D76,Milestones!$AA$93)&gt;=$S76),$V76,IF(AND($R76&lt;&gt;"",EDATE($D76,Milestones!$AA$93)&gt;=$R76),$U76,$T76)))=Milestones!$AB$93),TEXT(EDATE($D76,Milestones!$AA$93),"dd/mm/yy")&amp;" "&amp;Milestones!$AB$93&amp;" "&amp;Milestones!$AC$93&amp;";  ","")&amp;IF(AND(EDATE($D76,Milestones!$AA$94)&lt;=AsOfDate,IF($Q76=0,$W76,IF(AND($S76&lt;&gt;"",EDATE($D76,Milestones!$AA$94)&gt;=$S76),$V76,IF(AND($R76&lt;&gt;"",EDATE($D76,Milestones!$AA$94)&gt;=$R76),$U76,$T76)))=Milestones!$AB$94),TEXT(EDATE($D76,Milestones!$AA$94),"dd/mm/yy")&amp;" "&amp;Milestones!$AB$94&amp;" "&amp;Milestones!$AC$94&amp;";  ","")&amp;IF(AND(EDATE($D76,Milestones!$AA$95)&lt;=AsOfDate,IF($Q76=0,$W76,IF(AND($S76&lt;&gt;"",EDATE($D76,Milestones!$AA$95)&gt;=$S76),$V76,IF(AND($R76&lt;&gt;"",EDATE($D76,Milestones!$AA$95)&gt;=$R76),$U76,$T76)))=Milestones!$AB$95),TEXT(EDATE($D76,Milestones!$AA$95),"dd/mm/yy")&amp;" "&amp;Milestones!$AB$95&amp;" "&amp;Milestones!$AC$95&amp;";  ","")&amp;IF(AND(EDATE($D76,Milestones!$AA$96)&lt;=AsOfDate,IF($Q76=0,$W76,IF(AND($S76&lt;&gt;"",EDATE($D76,Milestones!$AA$96)&gt;=$S76),$V76,IF(AND($R76&lt;&gt;"",EDATE($D76,Milestones!$AA$96)&gt;=$R76),$U76,$T76)))=Milestones!$AB$96),TEXT(EDATE($D76,Milestones!$AA$96),"dd/mm/yy")&amp;" "&amp;Milestones!$AB$96&amp;" "&amp;Milestones!$AC$96&amp;";  ","")&amp;IF(AND(EDATE($D76,Milestones!$AA$97)&lt;=AsOfDate,IF($Q76=0,$W76,IF(AND($S76&lt;&gt;"",EDATE($D76,Milestones!$AA$97)&gt;=$S76),$V76,IF(AND($R76&lt;&gt;"",EDATE($D76,Milestones!$AA$97)&gt;=$R76),$U76,$T76)))=Milestones!$AB$97),TEXT(EDATE($D76,Milestones!$AA$97),"dd/mm/yy")&amp;" "&amp;Milestones!$AB$97&amp;" "&amp;Milestones!$AC$97&amp;";  ","")&amp;IF(AND(EDATE($D76,Milestones!$AA$98)&lt;=AsOfDate,IF($Q76=0,$W76,IF(AND($S76&lt;&gt;"",EDATE($D76,Milestones!$AA$98)&gt;=$S76),$V76,IF(AND($R76&lt;&gt;"",EDATE($D76,Milestones!$AA$98)&gt;=$R76),$U76,$T76)))=Milestones!$AB$98),TEXT(EDATE($D76,Milestones!$AA$98),"dd/mm/yy")&amp;" "&amp;Milestones!$AB$98&amp;" "&amp;Milestones!$AC$98&amp;";  ","")&amp;IF(AND(EDATE($D76,Milestones!$AA$99)&lt;=AsOfDate,IF($Q76=0,$W76,IF(AND($S76&lt;&gt;"",EDATE($D76,Milestones!$AA$99)&gt;=$S76),$V76,IF(AND($R76&lt;&gt;"",EDATE($D76,Milestones!$AA$99)&gt;=$R76),$U76,$T76)))=Milestones!$AB$99),TEXT(EDATE($D76,Milestones!$AA$99),"dd/mm/yy")&amp;" "&amp;Milestones!$AB$99&amp;" "&amp;Milestones!$AC$99&amp;";  ",""))</f>
        <v/>
      </c>
      <c r="L76" s="0" t="str">
        <f aca="false">IF(OR($A76="",$D76=""),"",IF(AND(EDATE($D76,Milestones!$AA$100)&lt;=AsOfDate,IF($Q76=0,$W76,IF(AND($S76&lt;&gt;"",EDATE($D76,Milestones!$AA$100)&gt;=$S76),$V76,IF(AND($R76&lt;&gt;"",EDATE($D76,Milestones!$AA$100)&gt;=$R76),$U76,$T76)))=Milestones!$AB$100),TEXT(EDATE($D76,Milestones!$AA$100),"dd/mm/yy")&amp;" "&amp;Milestones!$AB$100&amp;" "&amp;Milestones!$AC$100&amp;";  ","")&amp;IF(AND(EDATE($D76,Milestones!$AA$101)&lt;=AsOfDate,IF($Q76=0,$W76,IF(AND($S76&lt;&gt;"",EDATE($D76,Milestones!$AA$101)&gt;=$S76),$V76,IF(AND($R76&lt;&gt;"",EDATE($D76,Milestones!$AA$101)&gt;=$R76),$U76,$T76)))=Milestones!$AB$101),TEXT(EDATE($D76,Milestones!$AA$101),"dd/mm/yy")&amp;" "&amp;Milestones!$AB$101&amp;" "&amp;Milestones!$AC$101&amp;";  ","")&amp;IF(AND(EDATE($D76,Milestones!$AA$102)&lt;=AsOfDate,IF($Q76=0,$W76,IF(AND($S76&lt;&gt;"",EDATE($D76,Milestones!$AA$102)&gt;=$S76),$V76,IF(AND($R76&lt;&gt;"",EDATE($D76,Milestones!$AA$102)&gt;=$R76),$U76,$T76)))=Milestones!$AB$102),TEXT(EDATE($D76,Milestones!$AA$102),"dd/mm/yy")&amp;" "&amp;Milestones!$AB$102&amp;" "&amp;Milestones!$AC$102&amp;";  ","")&amp;IF(AND(EDATE($D76,Milestones!$AA$103)&lt;=AsOfDate,IF($Q76=0,$W76,IF(AND($S76&lt;&gt;"",EDATE($D76,Milestones!$AA$103)&gt;=$S76),$V76,IF(AND($R76&lt;&gt;"",EDATE($D76,Milestones!$AA$103)&gt;=$R76),$U76,$T76)))=Milestones!$AB$103),TEXT(EDATE($D76,Milestones!$AA$103),"dd/mm/yy")&amp;" "&amp;Milestones!$AB$103&amp;" "&amp;Milestones!$AC$103&amp;";  ","")&amp;IF(AND(EDATE($D76,Milestones!$AA$104)&lt;=AsOfDate,IF($Q76=0,$W76,IF(AND($S76&lt;&gt;"",EDATE($D76,Milestones!$AA$104)&gt;=$S76),$V76,IF(AND($R76&lt;&gt;"",EDATE($D76,Milestones!$AA$104)&gt;=$R76),$U76,$T76)))=Milestones!$AB$104),TEXT(EDATE($D76,Milestones!$AA$104),"dd/mm/yy")&amp;" "&amp;Milestones!$AB$104&amp;" "&amp;Milestones!$AC$104&amp;";  ","")&amp;IF(AND(EDATE($D76,Milestones!$AA$105)&lt;=AsOfDate,IF($Q76=0,$W76,IF(AND($S76&lt;&gt;"",EDATE($D76,Milestones!$AA$105)&gt;=$S76),$V76,IF(AND($R76&lt;&gt;"",EDATE($D76,Milestones!$AA$105)&gt;=$R76),$U76,$T76)))=Milestones!$AB$105),TEXT(EDATE($D76,Milestones!$AA$105),"dd/mm/yy")&amp;" "&amp;Milestones!$AB$105&amp;" "&amp;Milestones!$AC$105&amp;";  ","")&amp;IF(AND(EDATE($D76,Milestones!$AA$106)&lt;=AsOfDate,IF($Q76=0,$W76,IF(AND($S76&lt;&gt;"",EDATE($D76,Milestones!$AA$106)&gt;=$S76),$V76,IF(AND($R76&lt;&gt;"",EDATE($D76,Milestones!$AA$106)&gt;=$R76),$U76,$T76)))=Milestones!$AB$106),TEXT(EDATE($D76,Milestones!$AA$106),"dd/mm/yy")&amp;" "&amp;Milestones!$AB$106&amp;" "&amp;Milestones!$AC$106&amp;";  ","")&amp;IF(AND(EDATE($D76,Milestones!$AA$107)&lt;=AsOfDate,IF($Q76=0,$W76,IF(AND($S76&lt;&gt;"",EDATE($D76,Milestones!$AA$107)&gt;=$S76),$V76,IF(AND($R76&lt;&gt;"",EDATE($D76,Milestones!$AA$107)&gt;=$R76),$U76,$T76)))=Milestones!$AB$107),TEXT(EDATE($D76,Milestones!$AA$107),"dd/mm/yy")&amp;" "&amp;Milestones!$AB$107&amp;" "&amp;Milestones!$AC$107&amp;";  ","")&amp;IF(AND(EDATE($D76,Milestones!$AA$108)&lt;=AsOfDate,IF($Q76=0,$W76,IF(AND($S76&lt;&gt;"",EDATE($D76,Milestones!$AA$108)&gt;=$S76),$V76,IF(AND($R76&lt;&gt;"",EDATE($D76,Milestones!$AA$108)&gt;=$R76),$U76,$T76)))=Milestones!$AB$108),TEXT(EDATE($D76,Milestones!$AA$108),"dd/mm/yy")&amp;" "&amp;Milestones!$AB$108&amp;" "&amp;Milestones!$AC$108&amp;";  ","")&amp;IF(AND(EDATE($D76,Milestones!$AA$109)&lt;=AsOfDate,IF($Q76=0,$W76,IF(AND($S76&lt;&gt;"",EDATE($D76,Milestones!$AA$109)&gt;=$S76),$V76,IF(AND($R76&lt;&gt;"",EDATE($D76,Milestones!$AA$109)&gt;=$R76),$U76,$T76)))=Milestones!$AB$109),TEXT(EDATE($D76,Milestones!$AA$109),"dd/mm/yy")&amp;" "&amp;Milestones!$AB$109&amp;" "&amp;Milestones!$AC$109&amp;";  ","")&amp;IF(AND(EDATE($D76,Milestones!$AA$110)&lt;=AsOfDate,IF($Q76=0,$W76,IF(AND($S76&lt;&gt;"",EDATE($D76,Milestones!$AA$110)&gt;=$S76),$V76,IF(AND($R76&lt;&gt;"",EDATE($D76,Milestones!$AA$110)&gt;=$R76),$U76,$T76)))=Milestones!$AB$110),TEXT(EDATE($D76,Milestones!$AA$110),"dd/mm/yy")&amp;" "&amp;Milestones!$AB$110&amp;" "&amp;Milestones!$AC$110&amp;";  ","")&amp;IF(AND(EDATE($D76,Milestones!$AA$111)&lt;=AsOfDate,IF($Q76=0,$W76,IF(AND($S76&lt;&gt;"",EDATE($D76,Milestones!$AA$111)&gt;=$S76),$V76,IF(AND($R76&lt;&gt;"",EDATE($D76,Milestones!$AA$111)&gt;=$R76),$U76,$T76)))=Milestones!$AB$111),TEXT(EDATE($D76,Milestones!$AA$111),"dd/mm/yy")&amp;" "&amp;Milestones!$AB$111&amp;" "&amp;Milestones!$AC$111&amp;";  ","")&amp;IF(AND(EDATE($D76,Milestones!$AA$112)&lt;=AsOfDate,IF($Q76=0,$W76,IF(AND($S76&lt;&gt;"",EDATE($D76,Milestones!$AA$112)&gt;=$S76),$V76,IF(AND($R76&lt;&gt;"",EDATE($D76,Milestones!$AA$112)&gt;=$R76),$U76,$T76)))=Milestones!$AB$112),TEXT(EDATE($D76,Milestones!$AA$112),"dd/mm/yy")&amp;" "&amp;Milestones!$AB$112&amp;" "&amp;Milestones!$AC$112&amp;";  ","")&amp;IF(AND(EDATE($D76,Milestones!$AA$113)&lt;=AsOfDate,IF($Q76=0,$W76,IF(AND($S76&lt;&gt;"",EDATE($D76,Milestones!$AA$113)&gt;=$S76),$V76,IF(AND($R76&lt;&gt;"",EDATE($D76,Milestones!$AA$113)&gt;=$R76),$U76,$T76)))=Milestones!$AB$113),TEXT(EDATE($D76,Milestones!$AA$113),"dd/mm/yy")&amp;" "&amp;Milestones!$AB$113&amp;" "&amp;Milestones!$AC$113&amp;";  ","")&amp;IF(AND(EDATE($D76,Milestones!$AA$114)&lt;=AsOfDate,IF($Q76=0,$W76,IF(AND($S76&lt;&gt;"",EDATE($D76,Milestones!$AA$114)&gt;=$S76),$V76,IF(AND($R76&lt;&gt;"",EDATE($D76,Milestones!$AA$114)&gt;=$R76),$U76,$T76)))=Milestones!$AB$114),TEXT(EDATE($D76,Milestones!$AA$114),"dd/mm/yy")&amp;" "&amp;Milestones!$AB$114&amp;" "&amp;Milestones!$AC$114&amp;";  ","")&amp;IF(AND(EDATE($D76,Milestones!$AA$115)&lt;=AsOfDate,IF($Q76=0,$W76,IF(AND($S76&lt;&gt;"",EDATE($D76,Milestones!$AA$115)&gt;=$S76),$V76,IF(AND($R76&lt;&gt;"",EDATE($D76,Milestones!$AA$115)&gt;=$R76),$U76,$T76)))=Milestones!$AB$115),TEXT(EDATE($D76,Milestones!$AA$115),"dd/mm/yy")&amp;" "&amp;Milestones!$AB$115&amp;" "&amp;Milestones!$AC$115&amp;";  ","")&amp;IF(AND(EDATE($D76,Milestones!$AA$116)&lt;=AsOfDate,IF($Q76=0,$W76,IF(AND($S76&lt;&gt;"",EDATE($D76,Milestones!$AA$116)&gt;=$S76),$V76,IF(AND($R76&lt;&gt;"",EDATE($D76,Milestones!$AA$116)&gt;=$R76),$U76,$T76)))=Milestones!$AB$116),TEXT(EDATE($D76,Milestones!$AA$116),"dd/mm/yy")&amp;" "&amp;Milestones!$AB$116&amp;" "&amp;Milestones!$AC$116&amp;";  ","")&amp;IF(AND(EDATE($D76,Milestones!$AA$117)&lt;=AsOfDate,IF($Q76=0,$W76,IF(AND($S76&lt;&gt;"",EDATE($D76,Milestones!$AA$117)&gt;=$S76),$V76,IF(AND($R76&lt;&gt;"",EDATE($D76,Milestones!$AA$117)&gt;=$R76),$U76,$T76)))=Milestones!$AB$117),TEXT(EDATE($D76,Milestones!$AA$117),"dd/mm/yy")&amp;" "&amp;Milestones!$AB$117&amp;" "&amp;Milestones!$AC$117&amp;";  ","")&amp;IF(AND(EDATE($D76,Milestones!$AA$118)&lt;=AsOfDate,IF($Q76=0,$W76,IF(AND($S76&lt;&gt;"",EDATE($D76,Milestones!$AA$118)&gt;=$S76),$V76,IF(AND($R76&lt;&gt;"",EDATE($D76,Milestones!$AA$118)&gt;=$R76),$U76,$T76)))=Milestones!$AB$118),TEXT(EDATE($D76,Milestones!$AA$118),"dd/mm/yy")&amp;" "&amp;Milestones!$AB$118&amp;" "&amp;Milestones!$AC$118&amp;";  ","")&amp;IF(AND(EDATE($D76,Milestones!$AA$119)&lt;=AsOfDate,IF($Q76=0,$W76,IF(AND($S76&lt;&gt;"",EDATE($D76,Milestones!$AA$119)&gt;=$S76),$V76,IF(AND($R76&lt;&gt;"",EDATE($D76,Milestones!$AA$119)&gt;=$R76),$U76,$T76)))=Milestones!$AB$119),TEXT(EDATE($D76,Milestones!$AA$119),"dd/mm/yy")&amp;" "&amp;Milestones!$AB$119&amp;" "&amp;Milestones!$AC$119&amp;";  ",""))</f>
        <v/>
      </c>
      <c r="M76" s="0" t="str">
        <f aca="false">IF(OR($A76="",$D76=""),"",IF(AND(EDATE($D76,Milestones!$AA$120)&lt;=AsOfDate,IF($Q76=0,$W76,IF(AND($S76&lt;&gt;"",EDATE($D76,Milestones!$AA$120)&gt;=$S76),$V76,IF(AND($R76&lt;&gt;"",EDATE($D76,Milestones!$AA$120)&gt;=$R76),$U76,$T76)))=Milestones!$AB$120),TEXT(EDATE($D76,Milestones!$AA$120),"dd/mm/yy")&amp;" "&amp;Milestones!$AB$120&amp;" "&amp;Milestones!$AC$120&amp;";  ","")&amp;IF(AND(EDATE($D76,Milestones!$AA$121)&lt;=AsOfDate,IF($Q76=0,$W76,IF(AND($S76&lt;&gt;"",EDATE($D76,Milestones!$AA$121)&gt;=$S76),$V76,IF(AND($R76&lt;&gt;"",EDATE($D76,Milestones!$AA$121)&gt;=$R76),$U76,$T76)))=Milestones!$AB$121),TEXT(EDATE($D76,Milestones!$AA$121),"dd/mm/yy")&amp;" "&amp;Milestones!$AB$121&amp;" "&amp;Milestones!$AC$121&amp;";  ","")&amp;IF(AND(EDATE($D76,Milestones!$AA$122)&lt;=AsOfDate,IF($Q76=0,$W76,IF(AND($S76&lt;&gt;"",EDATE($D76,Milestones!$AA$122)&gt;=$S76),$V76,IF(AND($R76&lt;&gt;"",EDATE($D76,Milestones!$AA$122)&gt;=$R76),$U76,$T76)))=Milestones!$AB$122),TEXT(EDATE($D76,Milestones!$AA$122),"dd/mm/yy")&amp;" "&amp;Milestones!$AB$122&amp;" "&amp;Milestones!$AC$122&amp;";  ","")&amp;IF(AND(EDATE($D76,Milestones!$AA$123)&lt;=AsOfDate,IF($Q76=0,$W76,IF(AND($S76&lt;&gt;"",EDATE($D76,Milestones!$AA$123)&gt;=$S76),$V76,IF(AND($R76&lt;&gt;"",EDATE($D76,Milestones!$AA$123)&gt;=$R76),$U76,$T76)))=Milestones!$AB$123),TEXT(EDATE($D76,Milestones!$AA$123),"dd/mm/yy")&amp;" "&amp;Milestones!$AB$123&amp;" "&amp;Milestones!$AC$123&amp;";  ","")&amp;IF(AND(EDATE($D76,Milestones!$AA$124)&lt;=AsOfDate,IF($Q76=0,$W76,IF(AND($S76&lt;&gt;"",EDATE($D76,Milestones!$AA$124)&gt;=$S76),$V76,IF(AND($R76&lt;&gt;"",EDATE($D76,Milestones!$AA$124)&gt;=$R76),$U76,$T76)))=Milestones!$AB$124),TEXT(EDATE($D76,Milestones!$AA$124),"dd/mm/yy")&amp;" "&amp;Milestones!$AB$124&amp;" "&amp;Milestones!$AC$124&amp;";  ","")&amp;IF(AND(EDATE($D76,Milestones!$AA$125)&lt;=AsOfDate,IF($Q76=0,$W76,IF(AND($S76&lt;&gt;"",EDATE($D76,Milestones!$AA$125)&gt;=$S76),$V76,IF(AND($R76&lt;&gt;"",EDATE($D76,Milestones!$AA$125)&gt;=$R76),$U76,$T76)))=Milestones!$AB$125),TEXT(EDATE($D76,Milestones!$AA$125),"dd/mm/yy")&amp;" "&amp;Milestones!$AB$125&amp;" "&amp;Milestones!$AC$125&amp;";  ","")&amp;IF(AND(EDATE($D76,Milestones!$AA$126)&lt;=AsOfDate,IF($Q76=0,$W76,IF(AND($S76&lt;&gt;"",EDATE($D76,Milestones!$AA$126)&gt;=$S76),$V76,IF(AND($R76&lt;&gt;"",EDATE($D76,Milestones!$AA$126)&gt;=$R76),$U76,$T76)))=Milestones!$AB$126),TEXT(EDATE($D76,Milestones!$AA$126),"dd/mm/yy")&amp;" "&amp;Milestones!$AB$126&amp;" "&amp;Milestones!$AC$126&amp;";  ","")&amp;IF(AND(EDATE($D76,Milestones!$AA$127)&lt;=AsOfDate,IF($Q76=0,$W76,IF(AND($S76&lt;&gt;"",EDATE($D76,Milestones!$AA$127)&gt;=$S76),$V76,IF(AND($R76&lt;&gt;"",EDATE($D76,Milestones!$AA$127)&gt;=$R76),$U76,$T76)))=Milestones!$AB$127),TEXT(EDATE($D76,Milestones!$AA$127),"dd/mm/yy")&amp;" "&amp;Milestones!$AB$127&amp;" "&amp;Milestones!$AC$127&amp;";  ","")&amp;IF(AND(EDATE($D76,Milestones!$AA$128)&lt;=AsOfDate,IF($Q76=0,$W76,IF(AND($S76&lt;&gt;"",EDATE($D76,Milestones!$AA$128)&gt;=$S76),$V76,IF(AND($R76&lt;&gt;"",EDATE($D76,Milestones!$AA$128)&gt;=$R76),$U76,$T76)))=Milestones!$AB$128),TEXT(EDATE($D76,Milestones!$AA$128),"dd/mm/yy")&amp;" "&amp;Milestones!$AB$128&amp;" "&amp;Milestones!$AC$128&amp;";  ","")&amp;IF(AND(EDATE($D76,Milestones!$AA$129)&lt;=AsOfDate,IF($Q76=0,$W76,IF(AND($S76&lt;&gt;"",EDATE($D76,Milestones!$AA$129)&gt;=$S76),$V76,IF(AND($R76&lt;&gt;"",EDATE($D76,Milestones!$AA$129)&gt;=$R76),$U76,$T76)))=Milestones!$AB$129),TEXT(EDATE($D76,Milestones!$AA$129),"dd/mm/yy")&amp;" "&amp;Milestones!$AB$129&amp;" "&amp;Milestones!$AC$129&amp;";  ","")&amp;IF(AND(EDATE($D76,Milestones!$AA$130)&lt;=AsOfDate,IF($Q76=0,$W76,IF(AND($S76&lt;&gt;"",EDATE($D76,Milestones!$AA$130)&gt;=$S76),$V76,IF(AND($R76&lt;&gt;"",EDATE($D76,Milestones!$AA$130)&gt;=$R76),$U76,$T76)))=Milestones!$AB$130),TEXT(EDATE($D76,Milestones!$AA$130),"dd/mm/yy")&amp;" "&amp;Milestones!$AB$130&amp;" "&amp;Milestones!$AC$130&amp;";  ","")&amp;IF(AND(EDATE($D76,Milestones!$AA$131)&lt;=AsOfDate,IF($Q76=0,$W76,IF(AND($S76&lt;&gt;"",EDATE($D76,Milestones!$AA$131)&gt;=$S76),$V76,IF(AND($R76&lt;&gt;"",EDATE($D76,Milestones!$AA$131)&gt;=$R76),$U76,$T76)))=Milestones!$AB$131),TEXT(EDATE($D76,Milestones!$AA$131),"dd/mm/yy")&amp;" "&amp;Milestones!$AB$131&amp;" "&amp;Milestones!$AC$131&amp;";  ","")&amp;IF(AND(EDATE($D76,Milestones!$AA$132)&lt;=AsOfDate,IF($Q76=0,$W76,IF(AND($S76&lt;&gt;"",EDATE($D76,Milestones!$AA$132)&gt;=$S76),$V76,IF(AND($R76&lt;&gt;"",EDATE($D76,Milestones!$AA$132)&gt;=$R76),$U76,$T76)))=Milestones!$AB$132),TEXT(EDATE($D76,Milestones!$AA$132),"dd/mm/yy")&amp;" "&amp;Milestones!$AB$132&amp;" "&amp;Milestones!$AC$132&amp;";  ","")&amp;IF(AND(EDATE($D76,Milestones!$AA$133)&lt;=AsOfDate,IF($Q76=0,$W76,IF(AND($S76&lt;&gt;"",EDATE($D76,Milestones!$AA$133)&gt;=$S76),$V76,IF(AND($R76&lt;&gt;"",EDATE($D76,Milestones!$AA$133)&gt;=$R76),$U76,$T76)))=Milestones!$AB$133),TEXT(EDATE($D76,Milestones!$AA$133),"dd/mm/yy")&amp;" "&amp;Milestones!$AB$133&amp;" "&amp;Milestones!$AC$133&amp;";  ","")&amp;IF(AND(EDATE($D76,Milestones!$AA$134)&lt;=AsOfDate,IF($Q76=0,$W76,IF(AND($S76&lt;&gt;"",EDATE($D76,Milestones!$AA$134)&gt;=$S76),$V76,IF(AND($R76&lt;&gt;"",EDATE($D76,Milestones!$AA$134)&gt;=$R76),$U76,$T76)))=Milestones!$AB$134),TEXT(EDATE($D76,Milestones!$AA$134),"dd/mm/yy")&amp;" "&amp;Milestones!$AB$134&amp;" "&amp;Milestones!$AC$134&amp;";  ","")&amp;IF(AND(EDATE($D76,Milestones!$AA$135)&lt;=AsOfDate,IF($Q76=0,$W76,IF(AND($S76&lt;&gt;"",EDATE($D76,Milestones!$AA$135)&gt;=$S76),$V76,IF(AND($R76&lt;&gt;"",EDATE($D76,Milestones!$AA$135)&gt;=$R76),$U76,$T76)))=Milestones!$AB$135),TEXT(EDATE($D76,Milestones!$AA$135),"dd/mm/yy")&amp;" "&amp;Milestones!$AB$135&amp;" "&amp;Milestones!$AC$135&amp;";  ","")&amp;IF(AND(EDATE($D76,Milestones!$AA$136)&lt;=AsOfDate,IF($Q76=0,$W76,IF(AND($S76&lt;&gt;"",EDATE($D76,Milestones!$AA$136)&gt;=$S76),$V76,IF(AND($R76&lt;&gt;"",EDATE($D76,Milestones!$AA$136)&gt;=$R76),$U76,$T76)))=Milestones!$AB$136),TEXT(EDATE($D76,Milestones!$AA$136),"dd/mm/yy")&amp;" "&amp;Milestones!$AB$136&amp;" "&amp;Milestones!$AC$136&amp;";  ","")&amp;IF(AND(EDATE($D76,Milestones!$AA$137)&lt;=AsOfDate,IF($Q76=0,$W76,IF(AND($S76&lt;&gt;"",EDATE($D76,Milestones!$AA$137)&gt;=$S76),$V76,IF(AND($R76&lt;&gt;"",EDATE($D76,Milestones!$AA$137)&gt;=$R76),$U76,$T76)))=Milestones!$AB$137),TEXT(EDATE($D76,Milestones!$AA$137),"dd/mm/yy")&amp;" "&amp;Milestones!$AB$137&amp;" "&amp;Milestones!$AC$137&amp;";  ","")&amp;IF(AND(EDATE($D76,Milestones!$AA$138)&lt;=AsOfDate,IF($Q76=0,$W76,IF(AND($S76&lt;&gt;"",EDATE($D76,Milestones!$AA$138)&gt;=$S76),$V76,IF(AND($R76&lt;&gt;"",EDATE($D76,Milestones!$AA$138)&gt;=$R76),$U76,$T76)))=Milestones!$AB$138),TEXT(EDATE($D76,Milestones!$AA$138),"dd/mm/yy")&amp;" "&amp;Milestones!$AB$138&amp;" "&amp;Milestones!$AC$138&amp;";  ","")&amp;IF(AND(EDATE($D76,Milestones!$AA$139)&lt;=AsOfDate,IF($Q76=0,$W76,IF(AND($S76&lt;&gt;"",EDATE($D76,Milestones!$AA$139)&gt;=$S76),$V76,IF(AND($R76&lt;&gt;"",EDATE($D76,Milestones!$AA$139)&gt;=$R76),$U76,$T76)))=Milestones!$AB$139),TEXT(EDATE($D76,Milestones!$AA$139),"dd/mm/yy")&amp;" "&amp;Milestones!$AB$139&amp;" "&amp;Milestones!$AC$139&amp;";  ",""))</f>
        <v/>
      </c>
      <c r="N76" s="0" t="str">
        <f aca="false">IF(OR($A76="",$D76=""),"",IF(AND(EDATE($D76,Milestones!$AA$140)&lt;=AsOfDate,IF($Q76=0,$W76,IF(AND($S76&lt;&gt;"",EDATE($D76,Milestones!$AA$140)&gt;=$S76),$V76,IF(AND($R76&lt;&gt;"",EDATE($D76,Milestones!$AA$140)&gt;=$R76),$U76,$T76)))=Milestones!$AB$140),TEXT(EDATE($D76,Milestones!$AA$140),"dd/mm/yy")&amp;" "&amp;Milestones!$AB$140&amp;" "&amp;Milestones!$AC$140&amp;";  ","")&amp;IF(AND(EDATE($D76,Milestones!$AA$141)&lt;=AsOfDate,IF($Q76=0,$W76,IF(AND($S76&lt;&gt;"",EDATE($D76,Milestones!$AA$141)&gt;=$S76),$V76,IF(AND($R76&lt;&gt;"",EDATE($D76,Milestones!$AA$141)&gt;=$R76),$U76,$T76)))=Milestones!$AB$141),TEXT(EDATE($D76,Milestones!$AA$141),"dd/mm/yy")&amp;" "&amp;Milestones!$AB$141&amp;" "&amp;Milestones!$AC$141&amp;";  ","")&amp;IF(AND(EDATE($D76,Milestones!$AA$142)&lt;=AsOfDate,IF($Q76=0,$W76,IF(AND($S76&lt;&gt;"",EDATE($D76,Milestones!$AA$142)&gt;=$S76),$V76,IF(AND($R76&lt;&gt;"",EDATE($D76,Milestones!$AA$142)&gt;=$R76),$U76,$T76)))=Milestones!$AB$142),TEXT(EDATE($D76,Milestones!$AA$142),"dd/mm/yy")&amp;" "&amp;Milestones!$AB$142&amp;" "&amp;Milestones!$AC$142&amp;";  ","")&amp;IF(AND(EDATE($D76,Milestones!$AA$143)&lt;=AsOfDate,IF($Q76=0,$W76,IF(AND($S76&lt;&gt;"",EDATE($D76,Milestones!$AA$143)&gt;=$S76),$V76,IF(AND($R76&lt;&gt;"",EDATE($D76,Milestones!$AA$143)&gt;=$R76),$U76,$T76)))=Milestones!$AB$143),TEXT(EDATE($D76,Milestones!$AA$143),"dd/mm/yy")&amp;" "&amp;Milestones!$AB$143&amp;" "&amp;Milestones!$AC$143&amp;";  ","")&amp;IF(AND(EDATE($D76,Milestones!$AA$144)&lt;=AsOfDate,IF($Q76=0,$W76,IF(AND($S76&lt;&gt;"",EDATE($D76,Milestones!$AA$144)&gt;=$S76),$V76,IF(AND($R76&lt;&gt;"",EDATE($D76,Milestones!$AA$144)&gt;=$R76),$U76,$T76)))=Milestones!$AB$144),TEXT(EDATE($D76,Milestones!$AA$144),"dd/mm/yy")&amp;" "&amp;Milestones!$AB$144&amp;" "&amp;Milestones!$AC$144&amp;";  ","")&amp;IF(AND(EDATE($D76,Milestones!$AA$145)&lt;=AsOfDate,IF($Q76=0,$W76,IF(AND($S76&lt;&gt;"",EDATE($D76,Milestones!$AA$145)&gt;=$S76),$V76,IF(AND($R76&lt;&gt;"",EDATE($D76,Milestones!$AA$145)&gt;=$R76),$U76,$T76)))=Milestones!$AB$145),TEXT(EDATE($D76,Milestones!$AA$145),"dd/mm/yy")&amp;" "&amp;Milestones!$AB$145&amp;" "&amp;Milestones!$AC$145&amp;";  ","")&amp;IF(AND(EDATE($D76,Milestones!$AA$146)&lt;=AsOfDate,IF($Q76=0,$W76,IF(AND($S76&lt;&gt;"",EDATE($D76,Milestones!$AA$146)&gt;=$S76),$V76,IF(AND($R76&lt;&gt;"",EDATE($D76,Milestones!$AA$146)&gt;=$R76),$U76,$T76)))=Milestones!$AB$146),TEXT(EDATE($D76,Milestones!$AA$146),"dd/mm/yy")&amp;" "&amp;Milestones!$AB$146&amp;" "&amp;Milestones!$AC$146&amp;";  ","")&amp;IF(AND(EDATE($D76,Milestones!$AA$147)&lt;=AsOfDate,IF($Q76=0,$W76,IF(AND($S76&lt;&gt;"",EDATE($D76,Milestones!$AA$147)&gt;=$S76),$V76,IF(AND($R76&lt;&gt;"",EDATE($D76,Milestones!$AA$147)&gt;=$R76),$U76,$T76)))=Milestones!$AB$147),TEXT(EDATE($D76,Milestones!$AA$147),"dd/mm/yy")&amp;" "&amp;Milestones!$AB$147&amp;" "&amp;Milestones!$AC$147&amp;";  ","")&amp;IF(AND(EDATE($D76,Milestones!$AA$148)&lt;=AsOfDate,IF($Q76=0,$W76,IF(AND($S76&lt;&gt;"",EDATE($D76,Milestones!$AA$148)&gt;=$S76),$V76,IF(AND($R76&lt;&gt;"",EDATE($D76,Milestones!$AA$148)&gt;=$R76),$U76,$T76)))=Milestones!$AB$148),TEXT(EDATE($D76,Milestones!$AA$148),"dd/mm/yy")&amp;" "&amp;Milestones!$AB$148&amp;" "&amp;Milestones!$AC$148&amp;";  ","")&amp;IF(AND(EDATE($D76,Milestones!$AA$149)&lt;=AsOfDate,IF($Q76=0,$W76,IF(AND($S76&lt;&gt;"",EDATE($D76,Milestones!$AA$149)&gt;=$S76),$V76,IF(AND($R76&lt;&gt;"",EDATE($D76,Milestones!$AA$149)&gt;=$R76),$U76,$T76)))=Milestones!$AB$149),TEXT(EDATE($D76,Milestones!$AA$149),"dd/mm/yy")&amp;" "&amp;Milestones!$AB$149&amp;" "&amp;Milestones!$AC$149&amp;";  ","")&amp;IF(AND(EDATE($D76,Milestones!$AA$150)&lt;=AsOfDate,IF($Q76=0,$W76,IF(AND($S76&lt;&gt;"",EDATE($D76,Milestones!$AA$150)&gt;=$S76),$V76,IF(AND($R76&lt;&gt;"",EDATE($D76,Milestones!$AA$150)&gt;=$R76),$U76,$T76)))=Milestones!$AB$150),TEXT(EDATE($D76,Milestones!$AA$150),"dd/mm/yy")&amp;" "&amp;Milestones!$AB$150&amp;" "&amp;Milestones!$AC$150&amp;";  ","")&amp;IF(AND(EDATE($D76,Milestones!$AA$151)&lt;=AsOfDate,IF($Q76=0,$W76,IF(AND($S76&lt;&gt;"",EDATE($D76,Milestones!$AA$151)&gt;=$S76),$V76,IF(AND($R76&lt;&gt;"",EDATE($D76,Milestones!$AA$151)&gt;=$R76),$U76,$T76)))=Milestones!$AB$151),TEXT(EDATE($D76,Milestones!$AA$151),"dd/mm/yy")&amp;" "&amp;Milestones!$AB$151&amp;" "&amp;Milestones!$AC$151&amp;";  ","")&amp;IF(AND(EDATE($D76,Milestones!$AA$152)&lt;=AsOfDate,IF($Q76=0,$W76,IF(AND($S76&lt;&gt;"",EDATE($D76,Milestones!$AA$152)&gt;=$S76),$V76,IF(AND($R76&lt;&gt;"",EDATE($D76,Milestones!$AA$152)&gt;=$R76),$U76,$T76)))=Milestones!$AB$152),TEXT(EDATE($D76,Milestones!$AA$152),"dd/mm/yy")&amp;" "&amp;Milestones!$AB$152&amp;" "&amp;Milestones!$AC$152&amp;";  ","")&amp;IF(AND(EDATE($D76,Milestones!$AA$153)&lt;=AsOfDate,IF($Q76=0,$W76,IF(AND($S76&lt;&gt;"",EDATE($D76,Milestones!$AA$153)&gt;=$S76),$V76,IF(AND($R76&lt;&gt;"",EDATE($D76,Milestones!$AA$153)&gt;=$R76),$U76,$T76)))=Milestones!$AB$153),TEXT(EDATE($D76,Milestones!$AA$153),"dd/mm/yy")&amp;" "&amp;Milestones!$AB$153&amp;" "&amp;Milestones!$AC$153&amp;";  ","")&amp;IF(AND(EDATE($D76,Milestones!$AA$154)&lt;=AsOfDate,IF($Q76=0,$W76,IF(AND($S76&lt;&gt;"",EDATE($D76,Milestones!$AA$154)&gt;=$S76),$V76,IF(AND($R76&lt;&gt;"",EDATE($D76,Milestones!$AA$154)&gt;=$R76),$U76,$T76)))=Milestones!$AB$154),TEXT(EDATE($D76,Milestones!$AA$154),"dd/mm/yy")&amp;" "&amp;Milestones!$AB$154&amp;" "&amp;Milestones!$AC$154&amp;";  ","")&amp;IF(AND(EDATE($D76,Milestones!$AA$155)&lt;=AsOfDate,IF($Q76=0,$W76,IF(AND($S76&lt;&gt;"",EDATE($D76,Milestones!$AA$155)&gt;=$S76),$V76,IF(AND($R76&lt;&gt;"",EDATE($D76,Milestones!$AA$155)&gt;=$R76),$U76,$T76)))=Milestones!$AB$155),TEXT(EDATE($D76,Milestones!$AA$155),"dd/mm/yy")&amp;" "&amp;Milestones!$AB$155&amp;" "&amp;Milestones!$AC$155&amp;";  ","")&amp;IF(AND(EDATE($D76,Milestones!$AA$156)&lt;=AsOfDate,IF($Q76=0,$W76,IF(AND($S76&lt;&gt;"",EDATE($D76,Milestones!$AA$156)&gt;=$S76),$V76,IF(AND($R76&lt;&gt;"",EDATE($D76,Milestones!$AA$156)&gt;=$R76),$U76,$T76)))=Milestones!$AB$156),TEXT(EDATE($D76,Milestones!$AA$156),"dd/mm/yy")&amp;" "&amp;Milestones!$AB$156&amp;" "&amp;Milestones!$AC$156&amp;";  ","")&amp;IF(AND(EDATE($D76,Milestones!$AA$157)&lt;=AsOfDate,IF($Q76=0,$W76,IF(AND($S76&lt;&gt;"",EDATE($D76,Milestones!$AA$157)&gt;=$S76),$V76,IF(AND($R76&lt;&gt;"",EDATE($D76,Milestones!$AA$157)&gt;=$R76),$U76,$T76)))=Milestones!$AB$157),TEXT(EDATE($D76,Milestones!$AA$157),"dd/mm/yy")&amp;" "&amp;Milestones!$AB$157&amp;" "&amp;Milestones!$AC$157&amp;";  ","")&amp;IF(AND(EDATE($D76,Milestones!$AA$158)&lt;=AsOfDate,IF($Q76=0,$W76,IF(AND($S76&lt;&gt;"",EDATE($D76,Milestones!$AA$158)&gt;=$S76),$V76,IF(AND($R76&lt;&gt;"",EDATE($D76,Milestones!$AA$158)&gt;=$R76),$U76,$T76)))=Milestones!$AB$158),TEXT(EDATE($D76,Milestones!$AA$158),"dd/mm/yy")&amp;" "&amp;Milestones!$AB$158&amp;" "&amp;Milestones!$AC$158&amp;";  ","")&amp;IF(AND(EDATE($D76,Milestones!$AA$159)&lt;=AsOfDate,IF($Q76=0,$W76,IF(AND($S76&lt;&gt;"",EDATE($D76,Milestones!$AA$159)&gt;=$S76),$V76,IF(AND($R76&lt;&gt;"",EDATE($D76,Milestones!$AA$159)&gt;=$R76),$U76,$T76)))=Milestones!$AB$159),TEXT(EDATE($D76,Milestones!$AA$159),"dd/mm/yy")&amp;" "&amp;Milestones!$AB$159&amp;" "&amp;Milestones!$AC$159&amp;";  ",""))</f>
        <v/>
      </c>
      <c r="O76" s="0" t="str">
        <f aca="false">IF(OR($A76="",$D76=""),"",IF(AND(EDATE($D76,Milestones!$AA$160)&lt;=AsOfDate,IF($Q76=0,$W76,IF(AND($S76&lt;&gt;"",EDATE($D76,Milestones!$AA$160)&gt;=$S76),$V76,IF(AND($R76&lt;&gt;"",EDATE($D76,Milestones!$AA$160)&gt;=$R76),$U76,$T76)))=Milestones!$AB$160),TEXT(EDATE($D76,Milestones!$AA$160),"dd/mm/yy")&amp;" "&amp;Milestones!$AB$160&amp;" "&amp;Milestones!$AC$160&amp;";  ","")&amp;IF(AND(EDATE($D76,Milestones!$AA$161)&lt;=AsOfDate,IF($Q76=0,$W76,IF(AND($S76&lt;&gt;"",EDATE($D76,Milestones!$AA$161)&gt;=$S76),$V76,IF(AND($R76&lt;&gt;"",EDATE($D76,Milestones!$AA$161)&gt;=$R76),$U76,$T76)))=Milestones!$AB$161),TEXT(EDATE($D76,Milestones!$AA$161),"dd/mm/yy")&amp;" "&amp;Milestones!$AB$161&amp;" "&amp;Milestones!$AC$161&amp;";  ","")&amp;IF(AND(EDATE($D76,Milestones!$AA$162)&lt;=AsOfDate,IF($Q76=0,$W76,IF(AND($S76&lt;&gt;"",EDATE($D76,Milestones!$AA$162)&gt;=$S76),$V76,IF(AND($R76&lt;&gt;"",EDATE($D76,Milestones!$AA$162)&gt;=$R76),$U76,$T76)))=Milestones!$AB$162),TEXT(EDATE($D76,Milestones!$AA$162),"dd/mm/yy")&amp;" "&amp;Milestones!$AB$162&amp;" "&amp;Milestones!$AC$162&amp;";  ","")&amp;IF(AND(EDATE($D76,Milestones!$AA$163)&lt;=AsOfDate,IF($Q76=0,$W76,IF(AND($S76&lt;&gt;"",EDATE($D76,Milestones!$AA$163)&gt;=$S76),$V76,IF(AND($R76&lt;&gt;"",EDATE($D76,Milestones!$AA$163)&gt;=$R76),$U76,$T76)))=Milestones!$AB$163),TEXT(EDATE($D76,Milestones!$AA$163),"dd/mm/yy")&amp;" "&amp;Milestones!$AB$163&amp;" "&amp;Milestones!$AC$163&amp;";  ","")&amp;IF(AND(EDATE($D76,Milestones!$AA$164)&lt;=AsOfDate,IF($Q76=0,$W76,IF(AND($S76&lt;&gt;"",EDATE($D76,Milestones!$AA$164)&gt;=$S76),$V76,IF(AND($R76&lt;&gt;"",EDATE($D76,Milestones!$AA$164)&gt;=$R76),$U76,$T76)))=Milestones!$AB$164),TEXT(EDATE($D76,Milestones!$AA$164),"dd/mm/yy")&amp;" "&amp;Milestones!$AB$164&amp;" "&amp;Milestones!$AC$164&amp;";  ","")&amp;IF(AND(EDATE($D76,Milestones!$AA$165)&lt;=AsOfDate,IF($Q76=0,$W76,IF(AND($S76&lt;&gt;"",EDATE($D76,Milestones!$AA$165)&gt;=$S76),$V76,IF(AND($R76&lt;&gt;"",EDATE($D76,Milestones!$AA$165)&gt;=$R76),$U76,$T76)))=Milestones!$AB$165),TEXT(EDATE($D76,Milestones!$AA$165),"dd/mm/yy")&amp;" "&amp;Milestones!$AB$165&amp;" "&amp;Milestones!$AC$165&amp;";  ","")&amp;IF(AND(EDATE($D76,Milestones!$AA$166)&lt;=AsOfDate,IF($Q76=0,$W76,IF(AND($S76&lt;&gt;"",EDATE($D76,Milestones!$AA$166)&gt;=$S76),$V76,IF(AND($R76&lt;&gt;"",EDATE($D76,Milestones!$AA$166)&gt;=$R76),$U76,$T76)))=Milestones!$AB$166),TEXT(EDATE($D76,Milestones!$AA$166),"dd/mm/yy")&amp;" "&amp;Milestones!$AB$166&amp;" "&amp;Milestones!$AC$166&amp;";  ","")&amp;IF(AND(EDATE($D76,Milestones!$AA$167)&lt;=AsOfDate,IF($Q76=0,$W76,IF(AND($S76&lt;&gt;"",EDATE($D76,Milestones!$AA$167)&gt;=$S76),$V76,IF(AND($R76&lt;&gt;"",EDATE($D76,Milestones!$AA$167)&gt;=$R76),$U76,$T76)))=Milestones!$AB$167),TEXT(EDATE($D76,Milestones!$AA$167),"dd/mm/yy")&amp;" "&amp;Milestones!$AB$167&amp;" "&amp;Milestones!$AC$167&amp;";  ","")&amp;IF(AND(EDATE($D76,Milestones!$AA$168)&lt;=AsOfDate,IF($Q76=0,$W76,IF(AND($S76&lt;&gt;"",EDATE($D76,Milestones!$AA$168)&gt;=$S76),$V76,IF(AND($R76&lt;&gt;"",EDATE($D76,Milestones!$AA$168)&gt;=$R76),$U76,$T76)))=Milestones!$AB$168),TEXT(EDATE($D76,Milestones!$AA$168),"dd/mm/yy")&amp;" "&amp;Milestones!$AB$168&amp;" "&amp;Milestones!$AC$168&amp;";  ","")&amp;IF(AND(EDATE($D76,Milestones!$AA$169)&lt;=AsOfDate,IF($Q76=0,$W76,IF(AND($S76&lt;&gt;"",EDATE($D76,Milestones!$AA$169)&gt;=$S76),$V76,IF(AND($R76&lt;&gt;"",EDATE($D76,Milestones!$AA$169)&gt;=$R76),$U76,$T76)))=Milestones!$AB$169),TEXT(EDATE($D76,Milestones!$AA$169),"dd/mm/yy")&amp;" "&amp;Milestones!$AB$169&amp;" "&amp;Milestones!$AC$169&amp;";  ","")&amp;IF(AND(EDATE($D76,Milestones!$AA$170)&lt;=AsOfDate,IF($Q76=0,$W76,IF(AND($S76&lt;&gt;"",EDATE($D76,Milestones!$AA$170)&gt;=$S76),$V76,IF(AND($R76&lt;&gt;"",EDATE($D76,Milestones!$AA$170)&gt;=$R76),$U76,$T76)))=Milestones!$AB$170),TEXT(EDATE($D76,Milestones!$AA$170),"dd/mm/yy")&amp;" "&amp;Milestones!$AB$170&amp;" "&amp;Milestones!$AC$170&amp;";  ","")&amp;IF(AND(EDATE($D76,Milestones!$AA$171)&lt;=AsOfDate,IF($Q76=0,$W76,IF(AND($S76&lt;&gt;"",EDATE($D76,Milestones!$AA$171)&gt;=$S76),$V76,IF(AND($R76&lt;&gt;"",EDATE($D76,Milestones!$AA$171)&gt;=$R76),$U76,$T76)))=Milestones!$AB$171),TEXT(EDATE($D76,Milestones!$AA$171),"dd/mm/yy")&amp;" "&amp;Milestones!$AB$171&amp;" "&amp;Milestones!$AC$171&amp;";  ","")&amp;IF(AND(EDATE($D76,Milestones!$AA$172)&lt;=AsOfDate,IF($Q76=0,$W76,IF(AND($S76&lt;&gt;"",EDATE($D76,Milestones!$AA$172)&gt;=$S76),$V76,IF(AND($R76&lt;&gt;"",EDATE($D76,Milestones!$AA$172)&gt;=$R76),$U76,$T76)))=Milestones!$AB$172),TEXT(EDATE($D76,Milestones!$AA$172),"dd/mm/yy")&amp;" "&amp;Milestones!$AB$172&amp;" "&amp;Milestones!$AC$172&amp;";  ","")&amp;IF(AND(EDATE($D76,Milestones!$AA$173)&lt;=AsOfDate,IF($Q76=0,$W76,IF(AND($S76&lt;&gt;"",EDATE($D76,Milestones!$AA$173)&gt;=$S76),$V76,IF(AND($R76&lt;&gt;"",EDATE($D76,Milestones!$AA$173)&gt;=$R76),$U76,$T76)))=Milestones!$AB$173),TEXT(EDATE($D76,Milestones!$AA$173),"dd/mm/yy")&amp;" "&amp;Milestones!$AB$173&amp;" "&amp;Milestones!$AC$173&amp;";  ","")&amp;IF(AND(EDATE($D76,Milestones!$AA$174)&lt;=AsOfDate,IF($Q76=0,$W76,IF(AND($S76&lt;&gt;"",EDATE($D76,Milestones!$AA$174)&gt;=$S76),$V76,IF(AND($R76&lt;&gt;"",EDATE($D76,Milestones!$AA$174)&gt;=$R76),$U76,$T76)))=Milestones!$AB$174),TEXT(EDATE($D76,Milestones!$AA$174),"dd/mm/yy")&amp;" "&amp;Milestones!$AB$174&amp;" "&amp;Milestones!$AC$174&amp;";  ","")&amp;IF(AND(EDATE($D76,Milestones!$AA$175)&lt;=AsOfDate,IF($Q76=0,$W76,IF(AND($S76&lt;&gt;"",EDATE($D76,Milestones!$AA$175)&gt;=$S76),$V76,IF(AND($R76&lt;&gt;"",EDATE($D76,Milestones!$AA$175)&gt;=$R76),$U76,$T76)))=Milestones!$AB$175),TEXT(EDATE($D76,Milestones!$AA$175),"dd/mm/yy")&amp;" "&amp;Milestones!$AB$175&amp;" "&amp;Milestones!$AC$175&amp;";  ","")&amp;IF(AND(EDATE($D76,Milestones!$AA$176)&lt;=AsOfDate,IF($Q76=0,$W76,IF(AND($S76&lt;&gt;"",EDATE($D76,Milestones!$AA$176)&gt;=$S76),$V76,IF(AND($R76&lt;&gt;"",EDATE($D76,Milestones!$AA$176)&gt;=$R76),$U76,$T76)))=Milestones!$AB$176),TEXT(EDATE($D76,Milestones!$AA$176),"dd/mm/yy")&amp;" "&amp;Milestones!$AB$176&amp;" "&amp;Milestones!$AC$176&amp;";  ","")&amp;IF(AND(EDATE($D76,Milestones!$AA$177)&lt;=AsOfDate,IF($Q76=0,$W76,IF(AND($S76&lt;&gt;"",EDATE($D76,Milestones!$AA$177)&gt;=$S76),$V76,IF(AND($R76&lt;&gt;"",EDATE($D76,Milestones!$AA$177)&gt;=$R76),$U76,$T76)))=Milestones!$AB$177),TEXT(EDATE($D76,Milestones!$AA$177),"dd/mm/yy")&amp;" "&amp;Milestones!$AB$177&amp;" "&amp;Milestones!$AC$177&amp;";  ","")&amp;IF(AND(EDATE($D76,Milestones!$AA$178)&lt;=AsOfDate,IF($Q76=0,$W76,IF(AND($S76&lt;&gt;"",EDATE($D76,Milestones!$AA$178)&gt;=$S76),$V76,IF(AND($R76&lt;&gt;"",EDATE($D76,Milestones!$AA$178)&gt;=$R76),$U76,$T76)))=Milestones!$AB$178),TEXT(EDATE($D76,Milestones!$AA$178),"dd/mm/yy")&amp;" "&amp;Milestones!$AB$178&amp;" "&amp;Milestones!$AC$178&amp;";  ","")&amp;IF(AND(EDATE($D76,Milestones!$AA$179)&lt;=AsOfDate,IF($Q76=0,$W76,IF(AND($S76&lt;&gt;"",EDATE($D76,Milestones!$AA$179)&gt;=$S76),$V76,IF(AND($R76&lt;&gt;"",EDATE($D76,Milestones!$AA$179)&gt;=$R76),$U76,$T76)))=Milestones!$AB$179),TEXT(EDATE($D76,Milestones!$AA$179),"dd/mm/yy")&amp;" "&amp;Milestones!$AB$179&amp;" "&amp;Milestones!$AC$179&amp;";  ",""))</f>
        <v/>
      </c>
      <c r="P76" s="0" t="str">
        <f aca="false">IF(OR($A76="",$D76=""),"",IF(AND(EDATE($D76,Milestones!$AA$180)&lt;=AsOfDate,IF($Q76=0,$W76,IF(AND($S76&lt;&gt;"",EDATE($D76,Milestones!$AA$180)&gt;=$S76),$V76,IF(AND($R76&lt;&gt;"",EDATE($D76,Milestones!$AA$180)&gt;=$R76),$U76,$T76)))=Milestones!$AB$180),TEXT(EDATE($D76,Milestones!$AA$180),"dd/mm/yy")&amp;" "&amp;Milestones!$AB$180&amp;" "&amp;Milestones!$AC$180&amp;";  ","")&amp;IF(AND(EDATE($D76,Milestones!$AA$181)&lt;=AsOfDate,IF($Q76=0,$W76,IF(AND($S76&lt;&gt;"",EDATE($D76,Milestones!$AA$181)&gt;=$S76),$V76,IF(AND($R76&lt;&gt;"",EDATE($D76,Milestones!$AA$181)&gt;=$R76),$U76,$T76)))=Milestones!$AB$181),TEXT(EDATE($D76,Milestones!$AA$181),"dd/mm/yy")&amp;" "&amp;Milestones!$AB$181&amp;" "&amp;Milestones!$AC$181&amp;";  ","")&amp;IF(AND(EDATE($D76,Milestones!$AA$182)&lt;=AsOfDate,IF($Q76=0,$W76,IF(AND($S76&lt;&gt;"",EDATE($D76,Milestones!$AA$182)&gt;=$S76),$V76,IF(AND($R76&lt;&gt;"",EDATE($D76,Milestones!$AA$182)&gt;=$R76),$U76,$T76)))=Milestones!$AB$182),TEXT(EDATE($D76,Milestones!$AA$182),"dd/mm/yy")&amp;" "&amp;Milestones!$AB$182&amp;" "&amp;Milestones!$AC$182&amp;";  ","")&amp;IF(AND(EDATE($D76,Milestones!$AA$183)&lt;=AsOfDate,IF($Q76=0,$W76,IF(AND($S76&lt;&gt;"",EDATE($D76,Milestones!$AA$183)&gt;=$S76),$V76,IF(AND($R76&lt;&gt;"",EDATE($D76,Milestones!$AA$183)&gt;=$R76),$U76,$T76)))=Milestones!$AB$183),TEXT(EDATE($D76,Milestones!$AA$183),"dd/mm/yy")&amp;" "&amp;Milestones!$AB$183&amp;" "&amp;Milestones!$AC$183&amp;";  ","")&amp;IF(AND(EDATE($D76,Milestones!$AA$184)&lt;=AsOfDate,IF($Q76=0,$W76,IF(AND($S76&lt;&gt;"",EDATE($D76,Milestones!$AA$184)&gt;=$S76),$V76,IF(AND($R76&lt;&gt;"",EDATE($D76,Milestones!$AA$184)&gt;=$R76),$U76,$T76)))=Milestones!$AB$184),TEXT(EDATE($D76,Milestones!$AA$184),"dd/mm/yy")&amp;" "&amp;Milestones!$AB$184&amp;" "&amp;Milestones!$AC$184&amp;";  ","")&amp;IF(AND(EDATE($D76,Milestones!$AA$185)&lt;=AsOfDate,IF($Q76=0,$W76,IF(AND($S76&lt;&gt;"",EDATE($D76,Milestones!$AA$185)&gt;=$S76),$V76,IF(AND($R76&lt;&gt;"",EDATE($D76,Milestones!$AA$185)&gt;=$R76),$U76,$T76)))=Milestones!$AB$185),TEXT(EDATE($D76,Milestones!$AA$185),"dd/mm/yy")&amp;" "&amp;Milestones!$AB$185&amp;" "&amp;Milestones!$AC$185&amp;";  ","")&amp;IF(AND(EDATE($D76,Milestones!$AA$186)&lt;=AsOfDate,IF($Q76=0,$W76,IF(AND($S76&lt;&gt;"",EDATE($D76,Milestones!$AA$186)&gt;=$S76),$V76,IF(AND($R76&lt;&gt;"",EDATE($D76,Milestones!$AA$186)&gt;=$R76),$U76,$T76)))=Milestones!$AB$186),TEXT(EDATE($D76,Milestones!$AA$186),"dd/mm/yy")&amp;" "&amp;Milestones!$AB$186&amp;" "&amp;Milestones!$AC$186&amp;";  ","")&amp;IF(AND(EDATE($D76,Milestones!$AA$187)&lt;=AsOfDate,IF($Q76=0,$W76,IF(AND($S76&lt;&gt;"",EDATE($D76,Milestones!$AA$187)&gt;=$S76),$V76,IF(AND($R76&lt;&gt;"",EDATE($D76,Milestones!$AA$187)&gt;=$R76),$U76,$T76)))=Milestones!$AB$187),TEXT(EDATE($D76,Milestones!$AA$187),"dd/mm/yy")&amp;" "&amp;Milestones!$AB$187&amp;" "&amp;Milestones!$AC$187&amp;";  ","")&amp;IF(AND(EDATE($D76,Milestones!$AA$188)&lt;=AsOfDate,IF($Q76=0,$W76,IF(AND($S76&lt;&gt;"",EDATE($D76,Milestones!$AA$188)&gt;=$S76),$V76,IF(AND($R76&lt;&gt;"",EDATE($D76,Milestones!$AA$188)&gt;=$R76),$U76,$T76)))=Milestones!$AB$188),TEXT(EDATE($D76,Milestones!$AA$188),"dd/mm/yy")&amp;" "&amp;Milestones!$AB$188&amp;" "&amp;Milestones!$AC$188&amp;";  ","")&amp;IF(AND(EDATE($D76,Milestones!$AA$189)&lt;=AsOfDate,IF($Q76=0,$W76,IF(AND($S76&lt;&gt;"",EDATE($D76,Milestones!$AA$189)&gt;=$S76),$V76,IF(AND($R76&lt;&gt;"",EDATE($D76,Milestones!$AA$189)&gt;=$R76),$U76,$T76)))=Milestones!$AB$189),TEXT(EDATE($D76,Milestones!$AA$189),"dd/mm/yy")&amp;" "&amp;Milestones!$AB$189&amp;" "&amp;Milestones!$AC$189&amp;";  ","")&amp;IF(AND(EDATE($D76,Milestones!$AA$190)&lt;=AsOfDate,IF($Q76=0,$W76,IF(AND($S76&lt;&gt;"",EDATE($D76,Milestones!$AA$190)&gt;=$S76),$V76,IF(AND($R76&lt;&gt;"",EDATE($D76,Milestones!$AA$190)&gt;=$R76),$U76,$T76)))=Milestones!$AB$190),TEXT(EDATE($D76,Milestones!$AA$190),"dd/mm/yy")&amp;" "&amp;Milestones!$AB$190&amp;" "&amp;Milestones!$AC$190&amp;";  ","")&amp;IF(AND(EDATE($D76,Milestones!$AA$191)&lt;=AsOfDate,IF($Q76=0,$W76,IF(AND($S76&lt;&gt;"",EDATE($D76,Milestones!$AA$191)&gt;=$S76),$V76,IF(AND($R76&lt;&gt;"",EDATE($D76,Milestones!$AA$191)&gt;=$R76),$U76,$T76)))=Milestones!$AB$191),TEXT(EDATE($D76,Milestones!$AA$191),"dd/mm/yy")&amp;" "&amp;Milestones!$AB$191&amp;" "&amp;Milestones!$AC$191&amp;";  ","")&amp;IF(AND(EDATE($D76,Milestones!$AA$192)&lt;=AsOfDate,IF($Q76=0,$W76,IF(AND($S76&lt;&gt;"",EDATE($D76,Milestones!$AA$192)&gt;=$S76),$V76,IF(AND($R76&lt;&gt;"",EDATE($D76,Milestones!$AA$192)&gt;=$R76),$U76,$T76)))=Milestones!$AB$192),TEXT(EDATE($D76,Milestones!$AA$192),"dd/mm/yy")&amp;" "&amp;Milestones!$AB$192&amp;" "&amp;Milestones!$AC$192&amp;";  ","")&amp;IF(AND(EDATE($D76,Milestones!$AA$193)&lt;=AsOfDate,IF($Q76=0,$W76,IF(AND($S76&lt;&gt;"",EDATE($D76,Milestones!$AA$193)&gt;=$S76),$V76,IF(AND($R76&lt;&gt;"",EDATE($D76,Milestones!$AA$193)&gt;=$R76),$U76,$T76)))=Milestones!$AB$193),TEXT(EDATE($D76,Milestones!$AA$193),"dd/mm/yy")&amp;" "&amp;Milestones!$AB$193&amp;" "&amp;Milestones!$AC$193&amp;";  ","")&amp;IF(AND(EDATE($D76,Milestones!$AA$194)&lt;=AsOfDate,IF($Q76=0,$W76,IF(AND($S76&lt;&gt;"",EDATE($D76,Milestones!$AA$194)&gt;=$S76),$V76,IF(AND($R76&lt;&gt;"",EDATE($D76,Milestones!$AA$194)&gt;=$R76),$U76,$T76)))=Milestones!$AB$194),TEXT(EDATE($D76,Milestones!$AA$194),"dd/mm/yy")&amp;" "&amp;Milestones!$AB$194&amp;" "&amp;Milestones!$AC$194&amp;";  ","")&amp;IF(AND(EDATE($D76,Milestones!$AA$195)&lt;=AsOfDate,IF($Q76=0,$W76,IF(AND($S76&lt;&gt;"",EDATE($D76,Milestones!$AA$195)&gt;=$S76),$V76,IF(AND($R76&lt;&gt;"",EDATE($D76,Milestones!$AA$195)&gt;=$R76),$U76,$T76)))=Milestones!$AB$195),TEXT(EDATE($D76,Milestones!$AA$195),"dd/mm/yy")&amp;" "&amp;Milestones!$AB$195&amp;" "&amp;Milestones!$AC$195&amp;";  ","")&amp;IF(AND(EDATE($D76,Milestones!$AA$196)&lt;=AsOfDate,IF($Q76=0,$W76,IF(AND($S76&lt;&gt;"",EDATE($D76,Milestones!$AA$196)&gt;=$S76),$V76,IF(AND($R76&lt;&gt;"",EDATE($D76,Milestones!$AA$196)&gt;=$R76),$U76,$T76)))=Milestones!$AB$196),TEXT(EDATE($D76,Milestones!$AA$196),"dd/mm/yy")&amp;" "&amp;Milestones!$AB$196&amp;" "&amp;Milestones!$AC$196&amp;";  ","")&amp;IF(AND(EDATE($D76,Milestones!$AA$197)&lt;=AsOfDate,IF($Q76=0,$W76,IF(AND($S76&lt;&gt;"",EDATE($D76,Milestones!$AA$197)&gt;=$S76),$V76,IF(AND($R76&lt;&gt;"",EDATE($D76,Milestones!$AA$197)&gt;=$R76),$U76,$T76)))=Milestones!$AB$197),TEXT(EDATE($D76,Milestones!$AA$197),"dd/mm/yy")&amp;" "&amp;Milestones!$AB$197&amp;" "&amp;Milestones!$AC$197&amp;";  ","")&amp;IF(AND(EDATE($D76,Milestones!$AA$198)&lt;=AsOfDate,IF($Q76=0,$W76,IF(AND($S76&lt;&gt;"",EDATE($D76,Milestones!$AA$198)&gt;=$S76),$V76,IF(AND($R76&lt;&gt;"",EDATE($D76,Milestones!$AA$198)&gt;=$R76),$U76,$T76)))=Milestones!$AB$198),TEXT(EDATE($D76,Milestones!$AA$198),"dd/mm/yy")&amp;" "&amp;Milestones!$AB$198&amp;" "&amp;Milestones!$AC$198&amp;";  ","")&amp;IF(AND(EDATE($D76,Milestones!$AA$199)&lt;=AsOfDate,IF($Q76=0,$W76,IF(AND($S76&lt;&gt;"",EDATE($D76,Milestones!$AA$199)&gt;=$S76),$V76,IF(AND($R76&lt;&gt;"",EDATE($D76,Milestones!$AA$199)&gt;=$R76),$U76,$T76)))=Milestones!$AB$199),TEXT(EDATE($D76,Milestones!$AA$199),"dd/mm/yy")&amp;" "&amp;Milestones!$AB$199&amp;" "&amp;Milestones!$AC$199&amp;";  ",""))</f>
        <v/>
      </c>
      <c r="Q76" s="0" t="str">
        <f aca="false">IF(Staff!$A76="","",Staff!$AG76)</f>
        <v/>
      </c>
      <c r="R76" s="0" t="str">
        <f aca="false">IF(Staff!$A76="","",Staff!$AI76)</f>
        <v/>
      </c>
      <c r="S76" s="0" t="str">
        <f aca="false">IF(Staff!$A76="","",Staff!$AJ76)</f>
        <v/>
      </c>
      <c r="T76" s="0" t="str">
        <f aca="false">IF(Staff!$A76="","",Staff!$AN76)</f>
        <v/>
      </c>
      <c r="U76" s="0" t="str">
        <f aca="false">IF(Staff!$A76="","",Staff!$AO76)</f>
        <v/>
      </c>
      <c r="V76" s="0" t="str">
        <f aca="false">IF(Staff!$A76="","",Staff!$AP76)</f>
        <v/>
      </c>
      <c r="W76" s="0" t="str">
        <f aca="false">IF(Staff!$A76="","",Staff!$AQ76)</f>
        <v/>
      </c>
    </row>
    <row r="77" customFormat="false" ht="15" hidden="false" customHeight="false" outlineLevel="0" collapsed="false">
      <c r="A77" s="13" t="str">
        <f aca="false">IF(Staff!$A77="","",Staff!$A77)</f>
        <v/>
      </c>
      <c r="B77" s="13" t="str">
        <f aca="false">IF(Staff!$A77="","",Staff!$B77)</f>
        <v/>
      </c>
      <c r="C77" s="13" t="str">
        <f aca="false">IF(Staff!$A77="","",Staff!$C77)</f>
        <v/>
      </c>
      <c r="D77" s="11" t="str">
        <f aca="false">IF(Staff!$A77="","",Staff!$AF77)</f>
        <v/>
      </c>
      <c r="E77" s="13" t="str">
        <f aca="false">IF(Staff!$A77="","",Staff!$O77)</f>
        <v/>
      </c>
      <c r="F77" s="13" t="str">
        <f aca="false">IF(E77="","",E77*HoursPerDay)</f>
        <v/>
      </c>
      <c r="G77" s="26" t="str">
        <f aca="false">IF($A77="","",H77&amp;I77&amp;J77&amp;K77&amp;L77&amp;M77&amp;N77&amp;O77&amp;P77)</f>
        <v/>
      </c>
      <c r="H77" s="0" t="str">
        <f aca="false">IF(OR($A77="",$D77=""),"",IF(AND(EDATE($D77,Milestones!$AA$20)&lt;=AsOfDate,IF($Q77=0,$W77,IF(AND($S77&lt;&gt;"",EDATE($D77,Milestones!$AA$20)&gt;=$S77),$V77,IF(AND($R77&lt;&gt;"",EDATE($D77,Milestones!$AA$20)&gt;=$R77),$U77,$T77)))=Milestones!$AB$20),TEXT(EDATE($D77,Milestones!$AA$20),"dd/mm/yy")&amp;" "&amp;Milestones!$AB$20&amp;" "&amp;Milestones!$AC$20&amp;";  ","")&amp;IF(AND(EDATE($D77,Milestones!$AA$21)&lt;=AsOfDate,IF($Q77=0,$W77,IF(AND($S77&lt;&gt;"",EDATE($D77,Milestones!$AA$21)&gt;=$S77),$V77,IF(AND($R77&lt;&gt;"",EDATE($D77,Milestones!$AA$21)&gt;=$R77),$U77,$T77)))=Milestones!$AB$21),TEXT(EDATE($D77,Milestones!$AA$21),"dd/mm/yy")&amp;" "&amp;Milestones!$AB$21&amp;" "&amp;Milestones!$AC$21&amp;";  ","")&amp;IF(AND(EDATE($D77,Milestones!$AA$22)&lt;=AsOfDate,IF($Q77=0,$W77,IF(AND($S77&lt;&gt;"",EDATE($D77,Milestones!$AA$22)&gt;=$S77),$V77,IF(AND($R77&lt;&gt;"",EDATE($D77,Milestones!$AA$22)&gt;=$R77),$U77,$T77)))=Milestones!$AB$22),TEXT(EDATE($D77,Milestones!$AA$22),"dd/mm/yy")&amp;" "&amp;Milestones!$AB$22&amp;" "&amp;Milestones!$AC$22&amp;";  ","")&amp;IF(AND(EDATE($D77,Milestones!$AA$23)&lt;=AsOfDate,IF($Q77=0,$W77,IF(AND($S77&lt;&gt;"",EDATE($D77,Milestones!$AA$23)&gt;=$S77),$V77,IF(AND($R77&lt;&gt;"",EDATE($D77,Milestones!$AA$23)&gt;=$R77),$U77,$T77)))=Milestones!$AB$23),TEXT(EDATE($D77,Milestones!$AA$23),"dd/mm/yy")&amp;" "&amp;Milestones!$AB$23&amp;" "&amp;Milestones!$AC$23&amp;";  ","")&amp;IF(AND(EDATE($D77,Milestones!$AA$24)&lt;=AsOfDate,IF($Q77=0,$W77,IF(AND($S77&lt;&gt;"",EDATE($D77,Milestones!$AA$24)&gt;=$S77),$V77,IF(AND($R77&lt;&gt;"",EDATE($D77,Milestones!$AA$24)&gt;=$R77),$U77,$T77)))=Milestones!$AB$24),TEXT(EDATE($D77,Milestones!$AA$24),"dd/mm/yy")&amp;" "&amp;Milestones!$AB$24&amp;" "&amp;Milestones!$AC$24&amp;";  ","")&amp;IF(AND(EDATE($D77,Milestones!$AA$25)&lt;=AsOfDate,IF($Q77=0,$W77,IF(AND($S77&lt;&gt;"",EDATE($D77,Milestones!$AA$25)&gt;=$S77),$V77,IF(AND($R77&lt;&gt;"",EDATE($D77,Milestones!$AA$25)&gt;=$R77),$U77,$T77)))=Milestones!$AB$25),TEXT(EDATE($D77,Milestones!$AA$25),"dd/mm/yy")&amp;" "&amp;Milestones!$AB$25&amp;" "&amp;Milestones!$AC$25&amp;";  ","")&amp;IF(AND(EDATE($D77,Milestones!$AA$26)&lt;=AsOfDate,IF($Q77=0,$W77,IF(AND($S77&lt;&gt;"",EDATE($D77,Milestones!$AA$26)&gt;=$S77),$V77,IF(AND($R77&lt;&gt;"",EDATE($D77,Milestones!$AA$26)&gt;=$R77),$U77,$T77)))=Milestones!$AB$26),TEXT(EDATE($D77,Milestones!$AA$26),"dd/mm/yy")&amp;" "&amp;Milestones!$AB$26&amp;" "&amp;Milestones!$AC$26&amp;";  ","")&amp;IF(AND(EDATE($D77,Milestones!$AA$27)&lt;=AsOfDate,IF($Q77=0,$W77,IF(AND($S77&lt;&gt;"",EDATE($D77,Milestones!$AA$27)&gt;=$S77),$V77,IF(AND($R77&lt;&gt;"",EDATE($D77,Milestones!$AA$27)&gt;=$R77),$U77,$T77)))=Milestones!$AB$27),TEXT(EDATE($D77,Milestones!$AA$27),"dd/mm/yy")&amp;" "&amp;Milestones!$AB$27&amp;" "&amp;Milestones!$AC$27&amp;";  ","")&amp;IF(AND(EDATE($D77,Milestones!$AA$28)&lt;=AsOfDate,IF($Q77=0,$W77,IF(AND($S77&lt;&gt;"",EDATE($D77,Milestones!$AA$28)&gt;=$S77),$V77,IF(AND($R77&lt;&gt;"",EDATE($D77,Milestones!$AA$28)&gt;=$R77),$U77,$T77)))=Milestones!$AB$28),TEXT(EDATE($D77,Milestones!$AA$28),"dd/mm/yy")&amp;" "&amp;Milestones!$AB$28&amp;" "&amp;Milestones!$AC$28&amp;";  ","")&amp;IF(AND(EDATE($D77,Milestones!$AA$29)&lt;=AsOfDate,IF($Q77=0,$W77,IF(AND($S77&lt;&gt;"",EDATE($D77,Milestones!$AA$29)&gt;=$S77),$V77,IF(AND($R77&lt;&gt;"",EDATE($D77,Milestones!$AA$29)&gt;=$R77),$U77,$T77)))=Milestones!$AB$29),TEXT(EDATE($D77,Milestones!$AA$29),"dd/mm/yy")&amp;" "&amp;Milestones!$AB$29&amp;" "&amp;Milestones!$AC$29&amp;";  ","")&amp;IF(AND(EDATE($D77,Milestones!$AA$30)&lt;=AsOfDate,IF($Q77=0,$W77,IF(AND($S77&lt;&gt;"",EDATE($D77,Milestones!$AA$30)&gt;=$S77),$V77,IF(AND($R77&lt;&gt;"",EDATE($D77,Milestones!$AA$30)&gt;=$R77),$U77,$T77)))=Milestones!$AB$30),TEXT(EDATE($D77,Milestones!$AA$30),"dd/mm/yy")&amp;" "&amp;Milestones!$AB$30&amp;" "&amp;Milestones!$AC$30&amp;";  ","")&amp;IF(AND(EDATE($D77,Milestones!$AA$31)&lt;=AsOfDate,IF($Q77=0,$W77,IF(AND($S77&lt;&gt;"",EDATE($D77,Milestones!$AA$31)&gt;=$S77),$V77,IF(AND($R77&lt;&gt;"",EDATE($D77,Milestones!$AA$31)&gt;=$R77),$U77,$T77)))=Milestones!$AB$31),TEXT(EDATE($D77,Milestones!$AA$31),"dd/mm/yy")&amp;" "&amp;Milestones!$AB$31&amp;" "&amp;Milestones!$AC$31&amp;";  ","")&amp;IF(AND(EDATE($D77,Milestones!$AA$32)&lt;=AsOfDate,IF($Q77=0,$W77,IF(AND($S77&lt;&gt;"",EDATE($D77,Milestones!$AA$32)&gt;=$S77),$V77,IF(AND($R77&lt;&gt;"",EDATE($D77,Milestones!$AA$32)&gt;=$R77),$U77,$T77)))=Milestones!$AB$32),TEXT(EDATE($D77,Milestones!$AA$32),"dd/mm/yy")&amp;" "&amp;Milestones!$AB$32&amp;" "&amp;Milestones!$AC$32&amp;";  ","")&amp;IF(AND(EDATE($D77,Milestones!$AA$33)&lt;=AsOfDate,IF($Q77=0,$W77,IF(AND($S77&lt;&gt;"",EDATE($D77,Milestones!$AA$33)&gt;=$S77),$V77,IF(AND($R77&lt;&gt;"",EDATE($D77,Milestones!$AA$33)&gt;=$R77),$U77,$T77)))=Milestones!$AB$33),TEXT(EDATE($D77,Milestones!$AA$33),"dd/mm/yy")&amp;" "&amp;Milestones!$AB$33&amp;" "&amp;Milestones!$AC$33&amp;";  ","")&amp;IF(AND(EDATE($D77,Milestones!$AA$34)&lt;=AsOfDate,IF($Q77=0,$W77,IF(AND($S77&lt;&gt;"",EDATE($D77,Milestones!$AA$34)&gt;=$S77),$V77,IF(AND($R77&lt;&gt;"",EDATE($D77,Milestones!$AA$34)&gt;=$R77),$U77,$T77)))=Milestones!$AB$34),TEXT(EDATE($D77,Milestones!$AA$34),"dd/mm/yy")&amp;" "&amp;Milestones!$AB$34&amp;" "&amp;Milestones!$AC$34&amp;";  ","")&amp;IF(AND(EDATE($D77,Milestones!$AA$35)&lt;=AsOfDate,IF($Q77=0,$W77,IF(AND($S77&lt;&gt;"",EDATE($D77,Milestones!$AA$35)&gt;=$S77),$V77,IF(AND($R77&lt;&gt;"",EDATE($D77,Milestones!$AA$35)&gt;=$R77),$U77,$T77)))=Milestones!$AB$35),TEXT(EDATE($D77,Milestones!$AA$35),"dd/mm/yy")&amp;" "&amp;Milestones!$AB$35&amp;" "&amp;Milestones!$AC$35&amp;";  ","")&amp;IF(AND(EDATE($D77,Milestones!$AA$36)&lt;=AsOfDate,IF($Q77=0,$W77,IF(AND($S77&lt;&gt;"",EDATE($D77,Milestones!$AA$36)&gt;=$S77),$V77,IF(AND($R77&lt;&gt;"",EDATE($D77,Milestones!$AA$36)&gt;=$R77),$U77,$T77)))=Milestones!$AB$36),TEXT(EDATE($D77,Milestones!$AA$36),"dd/mm/yy")&amp;" "&amp;Milestones!$AB$36&amp;" "&amp;Milestones!$AC$36&amp;";  ","")&amp;IF(AND(EDATE($D77,Milestones!$AA$37)&lt;=AsOfDate,IF($Q77=0,$W77,IF(AND($S77&lt;&gt;"",EDATE($D77,Milestones!$AA$37)&gt;=$S77),$V77,IF(AND($R77&lt;&gt;"",EDATE($D77,Milestones!$AA$37)&gt;=$R77),$U77,$T77)))=Milestones!$AB$37),TEXT(EDATE($D77,Milestones!$AA$37),"dd/mm/yy")&amp;" "&amp;Milestones!$AB$37&amp;" "&amp;Milestones!$AC$37&amp;";  ","")&amp;IF(AND(EDATE($D77,Milestones!$AA$38)&lt;=AsOfDate,IF($Q77=0,$W77,IF(AND($S77&lt;&gt;"",EDATE($D77,Milestones!$AA$38)&gt;=$S77),$V77,IF(AND($R77&lt;&gt;"",EDATE($D77,Milestones!$AA$38)&gt;=$R77),$U77,$T77)))=Milestones!$AB$38),TEXT(EDATE($D77,Milestones!$AA$38),"dd/mm/yy")&amp;" "&amp;Milestones!$AB$38&amp;" "&amp;Milestones!$AC$38&amp;";  ","")&amp;IF(AND(EDATE($D77,Milestones!$AA$39)&lt;=AsOfDate,IF($Q77=0,$W77,IF(AND($S77&lt;&gt;"",EDATE($D77,Milestones!$AA$39)&gt;=$S77),$V77,IF(AND($R77&lt;&gt;"",EDATE($D77,Milestones!$AA$39)&gt;=$R77),$U77,$T77)))=Milestones!$AB$39),TEXT(EDATE($D77,Milestones!$AA$39),"dd/mm/yy")&amp;" "&amp;Milestones!$AB$39&amp;" "&amp;Milestones!$AC$39&amp;";  ",""))</f>
        <v/>
      </c>
      <c r="I77" s="0" t="str">
        <f aca="false">IF(OR($A77="",$D77=""),"",IF(AND(EDATE($D77,Milestones!$AA$40)&lt;=AsOfDate,IF($Q77=0,$W77,IF(AND($S77&lt;&gt;"",EDATE($D77,Milestones!$AA$40)&gt;=$S77),$V77,IF(AND($R77&lt;&gt;"",EDATE($D77,Milestones!$AA$40)&gt;=$R77),$U77,$T77)))=Milestones!$AB$40),TEXT(EDATE($D77,Milestones!$AA$40),"dd/mm/yy")&amp;" "&amp;Milestones!$AB$40&amp;" "&amp;Milestones!$AC$40&amp;";  ","")&amp;IF(AND(EDATE($D77,Milestones!$AA$41)&lt;=AsOfDate,IF($Q77=0,$W77,IF(AND($S77&lt;&gt;"",EDATE($D77,Milestones!$AA$41)&gt;=$S77),$V77,IF(AND($R77&lt;&gt;"",EDATE($D77,Milestones!$AA$41)&gt;=$R77),$U77,$T77)))=Milestones!$AB$41),TEXT(EDATE($D77,Milestones!$AA$41),"dd/mm/yy")&amp;" "&amp;Milestones!$AB$41&amp;" "&amp;Milestones!$AC$41&amp;";  ","")&amp;IF(AND(EDATE($D77,Milestones!$AA$42)&lt;=AsOfDate,IF($Q77=0,$W77,IF(AND($S77&lt;&gt;"",EDATE($D77,Milestones!$AA$42)&gt;=$S77),$V77,IF(AND($R77&lt;&gt;"",EDATE($D77,Milestones!$AA$42)&gt;=$R77),$U77,$T77)))=Milestones!$AB$42),TEXT(EDATE($D77,Milestones!$AA$42),"dd/mm/yy")&amp;" "&amp;Milestones!$AB$42&amp;" "&amp;Milestones!$AC$42&amp;";  ","")&amp;IF(AND(EDATE($D77,Milestones!$AA$43)&lt;=AsOfDate,IF($Q77=0,$W77,IF(AND($S77&lt;&gt;"",EDATE($D77,Milestones!$AA$43)&gt;=$S77),$V77,IF(AND($R77&lt;&gt;"",EDATE($D77,Milestones!$AA$43)&gt;=$R77),$U77,$T77)))=Milestones!$AB$43),TEXT(EDATE($D77,Milestones!$AA$43),"dd/mm/yy")&amp;" "&amp;Milestones!$AB$43&amp;" "&amp;Milestones!$AC$43&amp;";  ","")&amp;IF(AND(EDATE($D77,Milestones!$AA$44)&lt;=AsOfDate,IF($Q77=0,$W77,IF(AND($S77&lt;&gt;"",EDATE($D77,Milestones!$AA$44)&gt;=$S77),$V77,IF(AND($R77&lt;&gt;"",EDATE($D77,Milestones!$AA$44)&gt;=$R77),$U77,$T77)))=Milestones!$AB$44),TEXT(EDATE($D77,Milestones!$AA$44),"dd/mm/yy")&amp;" "&amp;Milestones!$AB$44&amp;" "&amp;Milestones!$AC$44&amp;";  ","")&amp;IF(AND(EDATE($D77,Milestones!$AA$45)&lt;=AsOfDate,IF($Q77=0,$W77,IF(AND($S77&lt;&gt;"",EDATE($D77,Milestones!$AA$45)&gt;=$S77),$V77,IF(AND($R77&lt;&gt;"",EDATE($D77,Milestones!$AA$45)&gt;=$R77),$U77,$T77)))=Milestones!$AB$45),TEXT(EDATE($D77,Milestones!$AA$45),"dd/mm/yy")&amp;" "&amp;Milestones!$AB$45&amp;" "&amp;Milestones!$AC$45&amp;";  ","")&amp;IF(AND(EDATE($D77,Milestones!$AA$46)&lt;=AsOfDate,IF($Q77=0,$W77,IF(AND($S77&lt;&gt;"",EDATE($D77,Milestones!$AA$46)&gt;=$S77),$V77,IF(AND($R77&lt;&gt;"",EDATE($D77,Milestones!$AA$46)&gt;=$R77),$U77,$T77)))=Milestones!$AB$46),TEXT(EDATE($D77,Milestones!$AA$46),"dd/mm/yy")&amp;" "&amp;Milestones!$AB$46&amp;" "&amp;Milestones!$AC$46&amp;";  ","")&amp;IF(AND(EDATE($D77,Milestones!$AA$47)&lt;=AsOfDate,IF($Q77=0,$W77,IF(AND($S77&lt;&gt;"",EDATE($D77,Milestones!$AA$47)&gt;=$S77),$V77,IF(AND($R77&lt;&gt;"",EDATE($D77,Milestones!$AA$47)&gt;=$R77),$U77,$T77)))=Milestones!$AB$47),TEXT(EDATE($D77,Milestones!$AA$47),"dd/mm/yy")&amp;" "&amp;Milestones!$AB$47&amp;" "&amp;Milestones!$AC$47&amp;";  ","")&amp;IF(AND(EDATE($D77,Milestones!$AA$48)&lt;=AsOfDate,IF($Q77=0,$W77,IF(AND($S77&lt;&gt;"",EDATE($D77,Milestones!$AA$48)&gt;=$S77),$V77,IF(AND($R77&lt;&gt;"",EDATE($D77,Milestones!$AA$48)&gt;=$R77),$U77,$T77)))=Milestones!$AB$48),TEXT(EDATE($D77,Milestones!$AA$48),"dd/mm/yy")&amp;" "&amp;Milestones!$AB$48&amp;" "&amp;Milestones!$AC$48&amp;";  ","")&amp;IF(AND(EDATE($D77,Milestones!$AA$49)&lt;=AsOfDate,IF($Q77=0,$W77,IF(AND($S77&lt;&gt;"",EDATE($D77,Milestones!$AA$49)&gt;=$S77),$V77,IF(AND($R77&lt;&gt;"",EDATE($D77,Milestones!$AA$49)&gt;=$R77),$U77,$T77)))=Milestones!$AB$49),TEXT(EDATE($D77,Milestones!$AA$49),"dd/mm/yy")&amp;" "&amp;Milestones!$AB$49&amp;" "&amp;Milestones!$AC$49&amp;";  ","")&amp;IF(AND(EDATE($D77,Milestones!$AA$50)&lt;=AsOfDate,IF($Q77=0,$W77,IF(AND($S77&lt;&gt;"",EDATE($D77,Milestones!$AA$50)&gt;=$S77),$V77,IF(AND($R77&lt;&gt;"",EDATE($D77,Milestones!$AA$50)&gt;=$R77),$U77,$T77)))=Milestones!$AB$50),TEXT(EDATE($D77,Milestones!$AA$50),"dd/mm/yy")&amp;" "&amp;Milestones!$AB$50&amp;" "&amp;Milestones!$AC$50&amp;";  ","")&amp;IF(AND(EDATE($D77,Milestones!$AA$51)&lt;=AsOfDate,IF($Q77=0,$W77,IF(AND($S77&lt;&gt;"",EDATE($D77,Milestones!$AA$51)&gt;=$S77),$V77,IF(AND($R77&lt;&gt;"",EDATE($D77,Milestones!$AA$51)&gt;=$R77),$U77,$T77)))=Milestones!$AB$51),TEXT(EDATE($D77,Milestones!$AA$51),"dd/mm/yy")&amp;" "&amp;Milestones!$AB$51&amp;" "&amp;Milestones!$AC$51&amp;";  ","")&amp;IF(AND(EDATE($D77,Milestones!$AA$52)&lt;=AsOfDate,IF($Q77=0,$W77,IF(AND($S77&lt;&gt;"",EDATE($D77,Milestones!$AA$52)&gt;=$S77),$V77,IF(AND($R77&lt;&gt;"",EDATE($D77,Milestones!$AA$52)&gt;=$R77),$U77,$T77)))=Milestones!$AB$52),TEXT(EDATE($D77,Milestones!$AA$52),"dd/mm/yy")&amp;" "&amp;Milestones!$AB$52&amp;" "&amp;Milestones!$AC$52&amp;";  ","")&amp;IF(AND(EDATE($D77,Milestones!$AA$53)&lt;=AsOfDate,IF($Q77=0,$W77,IF(AND($S77&lt;&gt;"",EDATE($D77,Milestones!$AA$53)&gt;=$S77),$V77,IF(AND($R77&lt;&gt;"",EDATE($D77,Milestones!$AA$53)&gt;=$R77),$U77,$T77)))=Milestones!$AB$53),TEXT(EDATE($D77,Milestones!$AA$53),"dd/mm/yy")&amp;" "&amp;Milestones!$AB$53&amp;" "&amp;Milestones!$AC$53&amp;";  ","")&amp;IF(AND(EDATE($D77,Milestones!$AA$54)&lt;=AsOfDate,IF($Q77=0,$W77,IF(AND($S77&lt;&gt;"",EDATE($D77,Milestones!$AA$54)&gt;=$S77),$V77,IF(AND($R77&lt;&gt;"",EDATE($D77,Milestones!$AA$54)&gt;=$R77),$U77,$T77)))=Milestones!$AB$54),TEXT(EDATE($D77,Milestones!$AA$54),"dd/mm/yy")&amp;" "&amp;Milestones!$AB$54&amp;" "&amp;Milestones!$AC$54&amp;";  ","")&amp;IF(AND(EDATE($D77,Milestones!$AA$55)&lt;=AsOfDate,IF($Q77=0,$W77,IF(AND($S77&lt;&gt;"",EDATE($D77,Milestones!$AA$55)&gt;=$S77),$V77,IF(AND($R77&lt;&gt;"",EDATE($D77,Milestones!$AA$55)&gt;=$R77),$U77,$T77)))=Milestones!$AB$55),TEXT(EDATE($D77,Milestones!$AA$55),"dd/mm/yy")&amp;" "&amp;Milestones!$AB$55&amp;" "&amp;Milestones!$AC$55&amp;";  ","")&amp;IF(AND(EDATE($D77,Milestones!$AA$56)&lt;=AsOfDate,IF($Q77=0,$W77,IF(AND($S77&lt;&gt;"",EDATE($D77,Milestones!$AA$56)&gt;=$S77),$V77,IF(AND($R77&lt;&gt;"",EDATE($D77,Milestones!$AA$56)&gt;=$R77),$U77,$T77)))=Milestones!$AB$56),TEXT(EDATE($D77,Milestones!$AA$56),"dd/mm/yy")&amp;" "&amp;Milestones!$AB$56&amp;" "&amp;Milestones!$AC$56&amp;";  ","")&amp;IF(AND(EDATE($D77,Milestones!$AA$57)&lt;=AsOfDate,IF($Q77=0,$W77,IF(AND($S77&lt;&gt;"",EDATE($D77,Milestones!$AA$57)&gt;=$S77),$V77,IF(AND($R77&lt;&gt;"",EDATE($D77,Milestones!$AA$57)&gt;=$R77),$U77,$T77)))=Milestones!$AB$57),TEXT(EDATE($D77,Milestones!$AA$57),"dd/mm/yy")&amp;" "&amp;Milestones!$AB$57&amp;" "&amp;Milestones!$AC$57&amp;";  ","")&amp;IF(AND(EDATE($D77,Milestones!$AA$58)&lt;=AsOfDate,IF($Q77=0,$W77,IF(AND($S77&lt;&gt;"",EDATE($D77,Milestones!$AA$58)&gt;=$S77),$V77,IF(AND($R77&lt;&gt;"",EDATE($D77,Milestones!$AA$58)&gt;=$R77),$U77,$T77)))=Milestones!$AB$58),TEXT(EDATE($D77,Milestones!$AA$58),"dd/mm/yy")&amp;" "&amp;Milestones!$AB$58&amp;" "&amp;Milestones!$AC$58&amp;";  ","")&amp;IF(AND(EDATE($D77,Milestones!$AA$59)&lt;=AsOfDate,IF($Q77=0,$W77,IF(AND($S77&lt;&gt;"",EDATE($D77,Milestones!$AA$59)&gt;=$S77),$V77,IF(AND($R77&lt;&gt;"",EDATE($D77,Milestones!$AA$59)&gt;=$R77),$U77,$T77)))=Milestones!$AB$59),TEXT(EDATE($D77,Milestones!$AA$59),"dd/mm/yy")&amp;" "&amp;Milestones!$AB$59&amp;" "&amp;Milestones!$AC$59&amp;";  ",""))</f>
        <v/>
      </c>
      <c r="J77" s="0" t="str">
        <f aca="false">IF(OR($A77="",$D77=""),"",IF(AND(EDATE($D77,Milestones!$AA$60)&lt;=AsOfDate,IF($Q77=0,$W77,IF(AND($S77&lt;&gt;"",EDATE($D77,Milestones!$AA$60)&gt;=$S77),$V77,IF(AND($R77&lt;&gt;"",EDATE($D77,Milestones!$AA$60)&gt;=$R77),$U77,$T77)))=Milestones!$AB$60),TEXT(EDATE($D77,Milestones!$AA$60),"dd/mm/yy")&amp;" "&amp;Milestones!$AB$60&amp;" "&amp;Milestones!$AC$60&amp;";  ","")&amp;IF(AND(EDATE($D77,Milestones!$AA$61)&lt;=AsOfDate,IF($Q77=0,$W77,IF(AND($S77&lt;&gt;"",EDATE($D77,Milestones!$AA$61)&gt;=$S77),$V77,IF(AND($R77&lt;&gt;"",EDATE($D77,Milestones!$AA$61)&gt;=$R77),$U77,$T77)))=Milestones!$AB$61),TEXT(EDATE($D77,Milestones!$AA$61),"dd/mm/yy")&amp;" "&amp;Milestones!$AB$61&amp;" "&amp;Milestones!$AC$61&amp;";  ","")&amp;IF(AND(EDATE($D77,Milestones!$AA$62)&lt;=AsOfDate,IF($Q77=0,$W77,IF(AND($S77&lt;&gt;"",EDATE($D77,Milestones!$AA$62)&gt;=$S77),$V77,IF(AND($R77&lt;&gt;"",EDATE($D77,Milestones!$AA$62)&gt;=$R77),$U77,$T77)))=Milestones!$AB$62),TEXT(EDATE($D77,Milestones!$AA$62),"dd/mm/yy")&amp;" "&amp;Milestones!$AB$62&amp;" "&amp;Milestones!$AC$62&amp;";  ","")&amp;IF(AND(EDATE($D77,Milestones!$AA$63)&lt;=AsOfDate,IF($Q77=0,$W77,IF(AND($S77&lt;&gt;"",EDATE($D77,Milestones!$AA$63)&gt;=$S77),$V77,IF(AND($R77&lt;&gt;"",EDATE($D77,Milestones!$AA$63)&gt;=$R77),$U77,$T77)))=Milestones!$AB$63),TEXT(EDATE($D77,Milestones!$AA$63),"dd/mm/yy")&amp;" "&amp;Milestones!$AB$63&amp;" "&amp;Milestones!$AC$63&amp;";  ","")&amp;IF(AND(EDATE($D77,Milestones!$AA$64)&lt;=AsOfDate,IF($Q77=0,$W77,IF(AND($S77&lt;&gt;"",EDATE($D77,Milestones!$AA$64)&gt;=$S77),$V77,IF(AND($R77&lt;&gt;"",EDATE($D77,Milestones!$AA$64)&gt;=$R77),$U77,$T77)))=Milestones!$AB$64),TEXT(EDATE($D77,Milestones!$AA$64),"dd/mm/yy")&amp;" "&amp;Milestones!$AB$64&amp;" "&amp;Milestones!$AC$64&amp;";  ","")&amp;IF(AND(EDATE($D77,Milestones!$AA$65)&lt;=AsOfDate,IF($Q77=0,$W77,IF(AND($S77&lt;&gt;"",EDATE($D77,Milestones!$AA$65)&gt;=$S77),$V77,IF(AND($R77&lt;&gt;"",EDATE($D77,Milestones!$AA$65)&gt;=$R77),$U77,$T77)))=Milestones!$AB$65),TEXT(EDATE($D77,Milestones!$AA$65),"dd/mm/yy")&amp;" "&amp;Milestones!$AB$65&amp;" "&amp;Milestones!$AC$65&amp;";  ","")&amp;IF(AND(EDATE($D77,Milestones!$AA$66)&lt;=AsOfDate,IF($Q77=0,$W77,IF(AND($S77&lt;&gt;"",EDATE($D77,Milestones!$AA$66)&gt;=$S77),$V77,IF(AND($R77&lt;&gt;"",EDATE($D77,Milestones!$AA$66)&gt;=$R77),$U77,$T77)))=Milestones!$AB$66),TEXT(EDATE($D77,Milestones!$AA$66),"dd/mm/yy")&amp;" "&amp;Milestones!$AB$66&amp;" "&amp;Milestones!$AC$66&amp;";  ","")&amp;IF(AND(EDATE($D77,Milestones!$AA$67)&lt;=AsOfDate,IF($Q77=0,$W77,IF(AND($S77&lt;&gt;"",EDATE($D77,Milestones!$AA$67)&gt;=$S77),$V77,IF(AND($R77&lt;&gt;"",EDATE($D77,Milestones!$AA$67)&gt;=$R77),$U77,$T77)))=Milestones!$AB$67),TEXT(EDATE($D77,Milestones!$AA$67),"dd/mm/yy")&amp;" "&amp;Milestones!$AB$67&amp;" "&amp;Milestones!$AC$67&amp;";  ","")&amp;IF(AND(EDATE($D77,Milestones!$AA$68)&lt;=AsOfDate,IF($Q77=0,$W77,IF(AND($S77&lt;&gt;"",EDATE($D77,Milestones!$AA$68)&gt;=$S77),$V77,IF(AND($R77&lt;&gt;"",EDATE($D77,Milestones!$AA$68)&gt;=$R77),$U77,$T77)))=Milestones!$AB$68),TEXT(EDATE($D77,Milestones!$AA$68),"dd/mm/yy")&amp;" "&amp;Milestones!$AB$68&amp;" "&amp;Milestones!$AC$68&amp;";  ","")&amp;IF(AND(EDATE($D77,Milestones!$AA$69)&lt;=AsOfDate,IF($Q77=0,$W77,IF(AND($S77&lt;&gt;"",EDATE($D77,Milestones!$AA$69)&gt;=$S77),$V77,IF(AND($R77&lt;&gt;"",EDATE($D77,Milestones!$AA$69)&gt;=$R77),$U77,$T77)))=Milestones!$AB$69),TEXT(EDATE($D77,Milestones!$AA$69),"dd/mm/yy")&amp;" "&amp;Milestones!$AB$69&amp;" "&amp;Milestones!$AC$69&amp;";  ","")&amp;IF(AND(EDATE($D77,Milestones!$AA$70)&lt;=AsOfDate,IF($Q77=0,$W77,IF(AND($S77&lt;&gt;"",EDATE($D77,Milestones!$AA$70)&gt;=$S77),$V77,IF(AND($R77&lt;&gt;"",EDATE($D77,Milestones!$AA$70)&gt;=$R77),$U77,$T77)))=Milestones!$AB$70),TEXT(EDATE($D77,Milestones!$AA$70),"dd/mm/yy")&amp;" "&amp;Milestones!$AB$70&amp;" "&amp;Milestones!$AC$70&amp;";  ","")&amp;IF(AND(EDATE($D77,Milestones!$AA$71)&lt;=AsOfDate,IF($Q77=0,$W77,IF(AND($S77&lt;&gt;"",EDATE($D77,Milestones!$AA$71)&gt;=$S77),$V77,IF(AND($R77&lt;&gt;"",EDATE($D77,Milestones!$AA$71)&gt;=$R77),$U77,$T77)))=Milestones!$AB$71),TEXT(EDATE($D77,Milestones!$AA$71),"dd/mm/yy")&amp;" "&amp;Milestones!$AB$71&amp;" "&amp;Milestones!$AC$71&amp;";  ","")&amp;IF(AND(EDATE($D77,Milestones!$AA$72)&lt;=AsOfDate,IF($Q77=0,$W77,IF(AND($S77&lt;&gt;"",EDATE($D77,Milestones!$AA$72)&gt;=$S77),$V77,IF(AND($R77&lt;&gt;"",EDATE($D77,Milestones!$AA$72)&gt;=$R77),$U77,$T77)))=Milestones!$AB$72),TEXT(EDATE($D77,Milestones!$AA$72),"dd/mm/yy")&amp;" "&amp;Milestones!$AB$72&amp;" "&amp;Milestones!$AC$72&amp;";  ","")&amp;IF(AND(EDATE($D77,Milestones!$AA$73)&lt;=AsOfDate,IF($Q77=0,$W77,IF(AND($S77&lt;&gt;"",EDATE($D77,Milestones!$AA$73)&gt;=$S77),$V77,IF(AND($R77&lt;&gt;"",EDATE($D77,Milestones!$AA$73)&gt;=$R77),$U77,$T77)))=Milestones!$AB$73),TEXT(EDATE($D77,Milestones!$AA$73),"dd/mm/yy")&amp;" "&amp;Milestones!$AB$73&amp;" "&amp;Milestones!$AC$73&amp;";  ","")&amp;IF(AND(EDATE($D77,Milestones!$AA$74)&lt;=AsOfDate,IF($Q77=0,$W77,IF(AND($S77&lt;&gt;"",EDATE($D77,Milestones!$AA$74)&gt;=$S77),$V77,IF(AND($R77&lt;&gt;"",EDATE($D77,Milestones!$AA$74)&gt;=$R77),$U77,$T77)))=Milestones!$AB$74),TEXT(EDATE($D77,Milestones!$AA$74),"dd/mm/yy")&amp;" "&amp;Milestones!$AB$74&amp;" "&amp;Milestones!$AC$74&amp;";  ","")&amp;IF(AND(EDATE($D77,Milestones!$AA$75)&lt;=AsOfDate,IF($Q77=0,$W77,IF(AND($S77&lt;&gt;"",EDATE($D77,Milestones!$AA$75)&gt;=$S77),$V77,IF(AND($R77&lt;&gt;"",EDATE($D77,Milestones!$AA$75)&gt;=$R77),$U77,$T77)))=Milestones!$AB$75),TEXT(EDATE($D77,Milestones!$AA$75),"dd/mm/yy")&amp;" "&amp;Milestones!$AB$75&amp;" "&amp;Milestones!$AC$75&amp;";  ","")&amp;IF(AND(EDATE($D77,Milestones!$AA$76)&lt;=AsOfDate,IF($Q77=0,$W77,IF(AND($S77&lt;&gt;"",EDATE($D77,Milestones!$AA$76)&gt;=$S77),$V77,IF(AND($R77&lt;&gt;"",EDATE($D77,Milestones!$AA$76)&gt;=$R77),$U77,$T77)))=Milestones!$AB$76),TEXT(EDATE($D77,Milestones!$AA$76),"dd/mm/yy")&amp;" "&amp;Milestones!$AB$76&amp;" "&amp;Milestones!$AC$76&amp;";  ","")&amp;IF(AND(EDATE($D77,Milestones!$AA$77)&lt;=AsOfDate,IF($Q77=0,$W77,IF(AND($S77&lt;&gt;"",EDATE($D77,Milestones!$AA$77)&gt;=$S77),$V77,IF(AND($R77&lt;&gt;"",EDATE($D77,Milestones!$AA$77)&gt;=$R77),$U77,$T77)))=Milestones!$AB$77),TEXT(EDATE($D77,Milestones!$AA$77),"dd/mm/yy")&amp;" "&amp;Milestones!$AB$77&amp;" "&amp;Milestones!$AC$77&amp;";  ","")&amp;IF(AND(EDATE($D77,Milestones!$AA$78)&lt;=AsOfDate,IF($Q77=0,$W77,IF(AND($S77&lt;&gt;"",EDATE($D77,Milestones!$AA$78)&gt;=$S77),$V77,IF(AND($R77&lt;&gt;"",EDATE($D77,Milestones!$AA$78)&gt;=$R77),$U77,$T77)))=Milestones!$AB$78),TEXT(EDATE($D77,Milestones!$AA$78),"dd/mm/yy")&amp;" "&amp;Milestones!$AB$78&amp;" "&amp;Milestones!$AC$78&amp;";  ","")&amp;IF(AND(EDATE($D77,Milestones!$AA$79)&lt;=AsOfDate,IF($Q77=0,$W77,IF(AND($S77&lt;&gt;"",EDATE($D77,Milestones!$AA$79)&gt;=$S77),$V77,IF(AND($R77&lt;&gt;"",EDATE($D77,Milestones!$AA$79)&gt;=$R77),$U77,$T77)))=Milestones!$AB$79),TEXT(EDATE($D77,Milestones!$AA$79),"dd/mm/yy")&amp;" "&amp;Milestones!$AB$79&amp;" "&amp;Milestones!$AC$79&amp;";  ",""))</f>
        <v/>
      </c>
      <c r="K77" s="0" t="str">
        <f aca="false">IF(OR($A77="",$D77=""),"",IF(AND(EDATE($D77,Milestones!$AA$80)&lt;=AsOfDate,IF($Q77=0,$W77,IF(AND($S77&lt;&gt;"",EDATE($D77,Milestones!$AA$80)&gt;=$S77),$V77,IF(AND($R77&lt;&gt;"",EDATE($D77,Milestones!$AA$80)&gt;=$R77),$U77,$T77)))=Milestones!$AB$80),TEXT(EDATE($D77,Milestones!$AA$80),"dd/mm/yy")&amp;" "&amp;Milestones!$AB$80&amp;" "&amp;Milestones!$AC$80&amp;";  ","")&amp;IF(AND(EDATE($D77,Milestones!$AA$81)&lt;=AsOfDate,IF($Q77=0,$W77,IF(AND($S77&lt;&gt;"",EDATE($D77,Milestones!$AA$81)&gt;=$S77),$V77,IF(AND($R77&lt;&gt;"",EDATE($D77,Milestones!$AA$81)&gt;=$R77),$U77,$T77)))=Milestones!$AB$81),TEXT(EDATE($D77,Milestones!$AA$81),"dd/mm/yy")&amp;" "&amp;Milestones!$AB$81&amp;" "&amp;Milestones!$AC$81&amp;";  ","")&amp;IF(AND(EDATE($D77,Milestones!$AA$82)&lt;=AsOfDate,IF($Q77=0,$W77,IF(AND($S77&lt;&gt;"",EDATE($D77,Milestones!$AA$82)&gt;=$S77),$V77,IF(AND($R77&lt;&gt;"",EDATE($D77,Milestones!$AA$82)&gt;=$R77),$U77,$T77)))=Milestones!$AB$82),TEXT(EDATE($D77,Milestones!$AA$82),"dd/mm/yy")&amp;" "&amp;Milestones!$AB$82&amp;" "&amp;Milestones!$AC$82&amp;";  ","")&amp;IF(AND(EDATE($D77,Milestones!$AA$83)&lt;=AsOfDate,IF($Q77=0,$W77,IF(AND($S77&lt;&gt;"",EDATE($D77,Milestones!$AA$83)&gt;=$S77),$V77,IF(AND($R77&lt;&gt;"",EDATE($D77,Milestones!$AA$83)&gt;=$R77),$U77,$T77)))=Milestones!$AB$83),TEXT(EDATE($D77,Milestones!$AA$83),"dd/mm/yy")&amp;" "&amp;Milestones!$AB$83&amp;" "&amp;Milestones!$AC$83&amp;";  ","")&amp;IF(AND(EDATE($D77,Milestones!$AA$84)&lt;=AsOfDate,IF($Q77=0,$W77,IF(AND($S77&lt;&gt;"",EDATE($D77,Milestones!$AA$84)&gt;=$S77),$V77,IF(AND($R77&lt;&gt;"",EDATE($D77,Milestones!$AA$84)&gt;=$R77),$U77,$T77)))=Milestones!$AB$84),TEXT(EDATE($D77,Milestones!$AA$84),"dd/mm/yy")&amp;" "&amp;Milestones!$AB$84&amp;" "&amp;Milestones!$AC$84&amp;";  ","")&amp;IF(AND(EDATE($D77,Milestones!$AA$85)&lt;=AsOfDate,IF($Q77=0,$W77,IF(AND($S77&lt;&gt;"",EDATE($D77,Milestones!$AA$85)&gt;=$S77),$V77,IF(AND($R77&lt;&gt;"",EDATE($D77,Milestones!$AA$85)&gt;=$R77),$U77,$T77)))=Milestones!$AB$85),TEXT(EDATE($D77,Milestones!$AA$85),"dd/mm/yy")&amp;" "&amp;Milestones!$AB$85&amp;" "&amp;Milestones!$AC$85&amp;";  ","")&amp;IF(AND(EDATE($D77,Milestones!$AA$86)&lt;=AsOfDate,IF($Q77=0,$W77,IF(AND($S77&lt;&gt;"",EDATE($D77,Milestones!$AA$86)&gt;=$S77),$V77,IF(AND($R77&lt;&gt;"",EDATE($D77,Milestones!$AA$86)&gt;=$R77),$U77,$T77)))=Milestones!$AB$86),TEXT(EDATE($D77,Milestones!$AA$86),"dd/mm/yy")&amp;" "&amp;Milestones!$AB$86&amp;" "&amp;Milestones!$AC$86&amp;";  ","")&amp;IF(AND(EDATE($D77,Milestones!$AA$87)&lt;=AsOfDate,IF($Q77=0,$W77,IF(AND($S77&lt;&gt;"",EDATE($D77,Milestones!$AA$87)&gt;=$S77),$V77,IF(AND($R77&lt;&gt;"",EDATE($D77,Milestones!$AA$87)&gt;=$R77),$U77,$T77)))=Milestones!$AB$87),TEXT(EDATE($D77,Milestones!$AA$87),"dd/mm/yy")&amp;" "&amp;Milestones!$AB$87&amp;" "&amp;Milestones!$AC$87&amp;";  ","")&amp;IF(AND(EDATE($D77,Milestones!$AA$88)&lt;=AsOfDate,IF($Q77=0,$W77,IF(AND($S77&lt;&gt;"",EDATE($D77,Milestones!$AA$88)&gt;=$S77),$V77,IF(AND($R77&lt;&gt;"",EDATE($D77,Milestones!$AA$88)&gt;=$R77),$U77,$T77)))=Milestones!$AB$88),TEXT(EDATE($D77,Milestones!$AA$88),"dd/mm/yy")&amp;" "&amp;Milestones!$AB$88&amp;" "&amp;Milestones!$AC$88&amp;";  ","")&amp;IF(AND(EDATE($D77,Milestones!$AA$89)&lt;=AsOfDate,IF($Q77=0,$W77,IF(AND($S77&lt;&gt;"",EDATE($D77,Milestones!$AA$89)&gt;=$S77),$V77,IF(AND($R77&lt;&gt;"",EDATE($D77,Milestones!$AA$89)&gt;=$R77),$U77,$T77)))=Milestones!$AB$89),TEXT(EDATE($D77,Milestones!$AA$89),"dd/mm/yy")&amp;" "&amp;Milestones!$AB$89&amp;" "&amp;Milestones!$AC$89&amp;";  ","")&amp;IF(AND(EDATE($D77,Milestones!$AA$90)&lt;=AsOfDate,IF($Q77=0,$W77,IF(AND($S77&lt;&gt;"",EDATE($D77,Milestones!$AA$90)&gt;=$S77),$V77,IF(AND($R77&lt;&gt;"",EDATE($D77,Milestones!$AA$90)&gt;=$R77),$U77,$T77)))=Milestones!$AB$90),TEXT(EDATE($D77,Milestones!$AA$90),"dd/mm/yy")&amp;" "&amp;Milestones!$AB$90&amp;" "&amp;Milestones!$AC$90&amp;";  ","")&amp;IF(AND(EDATE($D77,Milestones!$AA$91)&lt;=AsOfDate,IF($Q77=0,$W77,IF(AND($S77&lt;&gt;"",EDATE($D77,Milestones!$AA$91)&gt;=$S77),$V77,IF(AND($R77&lt;&gt;"",EDATE($D77,Milestones!$AA$91)&gt;=$R77),$U77,$T77)))=Milestones!$AB$91),TEXT(EDATE($D77,Milestones!$AA$91),"dd/mm/yy")&amp;" "&amp;Milestones!$AB$91&amp;" "&amp;Milestones!$AC$91&amp;";  ","")&amp;IF(AND(EDATE($D77,Milestones!$AA$92)&lt;=AsOfDate,IF($Q77=0,$W77,IF(AND($S77&lt;&gt;"",EDATE($D77,Milestones!$AA$92)&gt;=$S77),$V77,IF(AND($R77&lt;&gt;"",EDATE($D77,Milestones!$AA$92)&gt;=$R77),$U77,$T77)))=Milestones!$AB$92),TEXT(EDATE($D77,Milestones!$AA$92),"dd/mm/yy")&amp;" "&amp;Milestones!$AB$92&amp;" "&amp;Milestones!$AC$92&amp;";  ","")&amp;IF(AND(EDATE($D77,Milestones!$AA$93)&lt;=AsOfDate,IF($Q77=0,$W77,IF(AND($S77&lt;&gt;"",EDATE($D77,Milestones!$AA$93)&gt;=$S77),$V77,IF(AND($R77&lt;&gt;"",EDATE($D77,Milestones!$AA$93)&gt;=$R77),$U77,$T77)))=Milestones!$AB$93),TEXT(EDATE($D77,Milestones!$AA$93),"dd/mm/yy")&amp;" "&amp;Milestones!$AB$93&amp;" "&amp;Milestones!$AC$93&amp;";  ","")&amp;IF(AND(EDATE($D77,Milestones!$AA$94)&lt;=AsOfDate,IF($Q77=0,$W77,IF(AND($S77&lt;&gt;"",EDATE($D77,Milestones!$AA$94)&gt;=$S77),$V77,IF(AND($R77&lt;&gt;"",EDATE($D77,Milestones!$AA$94)&gt;=$R77),$U77,$T77)))=Milestones!$AB$94),TEXT(EDATE($D77,Milestones!$AA$94),"dd/mm/yy")&amp;" "&amp;Milestones!$AB$94&amp;" "&amp;Milestones!$AC$94&amp;";  ","")&amp;IF(AND(EDATE($D77,Milestones!$AA$95)&lt;=AsOfDate,IF($Q77=0,$W77,IF(AND($S77&lt;&gt;"",EDATE($D77,Milestones!$AA$95)&gt;=$S77),$V77,IF(AND($R77&lt;&gt;"",EDATE($D77,Milestones!$AA$95)&gt;=$R77),$U77,$T77)))=Milestones!$AB$95),TEXT(EDATE($D77,Milestones!$AA$95),"dd/mm/yy")&amp;" "&amp;Milestones!$AB$95&amp;" "&amp;Milestones!$AC$95&amp;";  ","")&amp;IF(AND(EDATE($D77,Milestones!$AA$96)&lt;=AsOfDate,IF($Q77=0,$W77,IF(AND($S77&lt;&gt;"",EDATE($D77,Milestones!$AA$96)&gt;=$S77),$V77,IF(AND($R77&lt;&gt;"",EDATE($D77,Milestones!$AA$96)&gt;=$R77),$U77,$T77)))=Milestones!$AB$96),TEXT(EDATE($D77,Milestones!$AA$96),"dd/mm/yy")&amp;" "&amp;Milestones!$AB$96&amp;" "&amp;Milestones!$AC$96&amp;";  ","")&amp;IF(AND(EDATE($D77,Milestones!$AA$97)&lt;=AsOfDate,IF($Q77=0,$W77,IF(AND($S77&lt;&gt;"",EDATE($D77,Milestones!$AA$97)&gt;=$S77),$V77,IF(AND($R77&lt;&gt;"",EDATE($D77,Milestones!$AA$97)&gt;=$R77),$U77,$T77)))=Milestones!$AB$97),TEXT(EDATE($D77,Milestones!$AA$97),"dd/mm/yy")&amp;" "&amp;Milestones!$AB$97&amp;" "&amp;Milestones!$AC$97&amp;";  ","")&amp;IF(AND(EDATE($D77,Milestones!$AA$98)&lt;=AsOfDate,IF($Q77=0,$W77,IF(AND($S77&lt;&gt;"",EDATE($D77,Milestones!$AA$98)&gt;=$S77),$V77,IF(AND($R77&lt;&gt;"",EDATE($D77,Milestones!$AA$98)&gt;=$R77),$U77,$T77)))=Milestones!$AB$98),TEXT(EDATE($D77,Milestones!$AA$98),"dd/mm/yy")&amp;" "&amp;Milestones!$AB$98&amp;" "&amp;Milestones!$AC$98&amp;";  ","")&amp;IF(AND(EDATE($D77,Milestones!$AA$99)&lt;=AsOfDate,IF($Q77=0,$W77,IF(AND($S77&lt;&gt;"",EDATE($D77,Milestones!$AA$99)&gt;=$S77),$V77,IF(AND($R77&lt;&gt;"",EDATE($D77,Milestones!$AA$99)&gt;=$R77),$U77,$T77)))=Milestones!$AB$99),TEXT(EDATE($D77,Milestones!$AA$99),"dd/mm/yy")&amp;" "&amp;Milestones!$AB$99&amp;" "&amp;Milestones!$AC$99&amp;";  ",""))</f>
        <v/>
      </c>
      <c r="L77" s="0" t="str">
        <f aca="false">IF(OR($A77="",$D77=""),"",IF(AND(EDATE($D77,Milestones!$AA$100)&lt;=AsOfDate,IF($Q77=0,$W77,IF(AND($S77&lt;&gt;"",EDATE($D77,Milestones!$AA$100)&gt;=$S77),$V77,IF(AND($R77&lt;&gt;"",EDATE($D77,Milestones!$AA$100)&gt;=$R77),$U77,$T77)))=Milestones!$AB$100),TEXT(EDATE($D77,Milestones!$AA$100),"dd/mm/yy")&amp;" "&amp;Milestones!$AB$100&amp;" "&amp;Milestones!$AC$100&amp;";  ","")&amp;IF(AND(EDATE($D77,Milestones!$AA$101)&lt;=AsOfDate,IF($Q77=0,$W77,IF(AND($S77&lt;&gt;"",EDATE($D77,Milestones!$AA$101)&gt;=$S77),$V77,IF(AND($R77&lt;&gt;"",EDATE($D77,Milestones!$AA$101)&gt;=$R77),$U77,$T77)))=Milestones!$AB$101),TEXT(EDATE($D77,Milestones!$AA$101),"dd/mm/yy")&amp;" "&amp;Milestones!$AB$101&amp;" "&amp;Milestones!$AC$101&amp;";  ","")&amp;IF(AND(EDATE($D77,Milestones!$AA$102)&lt;=AsOfDate,IF($Q77=0,$W77,IF(AND($S77&lt;&gt;"",EDATE($D77,Milestones!$AA$102)&gt;=$S77),$V77,IF(AND($R77&lt;&gt;"",EDATE($D77,Milestones!$AA$102)&gt;=$R77),$U77,$T77)))=Milestones!$AB$102),TEXT(EDATE($D77,Milestones!$AA$102),"dd/mm/yy")&amp;" "&amp;Milestones!$AB$102&amp;" "&amp;Milestones!$AC$102&amp;";  ","")&amp;IF(AND(EDATE($D77,Milestones!$AA$103)&lt;=AsOfDate,IF($Q77=0,$W77,IF(AND($S77&lt;&gt;"",EDATE($D77,Milestones!$AA$103)&gt;=$S77),$V77,IF(AND($R77&lt;&gt;"",EDATE($D77,Milestones!$AA$103)&gt;=$R77),$U77,$T77)))=Milestones!$AB$103),TEXT(EDATE($D77,Milestones!$AA$103),"dd/mm/yy")&amp;" "&amp;Milestones!$AB$103&amp;" "&amp;Milestones!$AC$103&amp;";  ","")&amp;IF(AND(EDATE($D77,Milestones!$AA$104)&lt;=AsOfDate,IF($Q77=0,$W77,IF(AND($S77&lt;&gt;"",EDATE($D77,Milestones!$AA$104)&gt;=$S77),$V77,IF(AND($R77&lt;&gt;"",EDATE($D77,Milestones!$AA$104)&gt;=$R77),$U77,$T77)))=Milestones!$AB$104),TEXT(EDATE($D77,Milestones!$AA$104),"dd/mm/yy")&amp;" "&amp;Milestones!$AB$104&amp;" "&amp;Milestones!$AC$104&amp;";  ","")&amp;IF(AND(EDATE($D77,Milestones!$AA$105)&lt;=AsOfDate,IF($Q77=0,$W77,IF(AND($S77&lt;&gt;"",EDATE($D77,Milestones!$AA$105)&gt;=$S77),$V77,IF(AND($R77&lt;&gt;"",EDATE($D77,Milestones!$AA$105)&gt;=$R77),$U77,$T77)))=Milestones!$AB$105),TEXT(EDATE($D77,Milestones!$AA$105),"dd/mm/yy")&amp;" "&amp;Milestones!$AB$105&amp;" "&amp;Milestones!$AC$105&amp;";  ","")&amp;IF(AND(EDATE($D77,Milestones!$AA$106)&lt;=AsOfDate,IF($Q77=0,$W77,IF(AND($S77&lt;&gt;"",EDATE($D77,Milestones!$AA$106)&gt;=$S77),$V77,IF(AND($R77&lt;&gt;"",EDATE($D77,Milestones!$AA$106)&gt;=$R77),$U77,$T77)))=Milestones!$AB$106),TEXT(EDATE($D77,Milestones!$AA$106),"dd/mm/yy")&amp;" "&amp;Milestones!$AB$106&amp;" "&amp;Milestones!$AC$106&amp;";  ","")&amp;IF(AND(EDATE($D77,Milestones!$AA$107)&lt;=AsOfDate,IF($Q77=0,$W77,IF(AND($S77&lt;&gt;"",EDATE($D77,Milestones!$AA$107)&gt;=$S77),$V77,IF(AND($R77&lt;&gt;"",EDATE($D77,Milestones!$AA$107)&gt;=$R77),$U77,$T77)))=Milestones!$AB$107),TEXT(EDATE($D77,Milestones!$AA$107),"dd/mm/yy")&amp;" "&amp;Milestones!$AB$107&amp;" "&amp;Milestones!$AC$107&amp;";  ","")&amp;IF(AND(EDATE($D77,Milestones!$AA$108)&lt;=AsOfDate,IF($Q77=0,$W77,IF(AND($S77&lt;&gt;"",EDATE($D77,Milestones!$AA$108)&gt;=$S77),$V77,IF(AND($R77&lt;&gt;"",EDATE($D77,Milestones!$AA$108)&gt;=$R77),$U77,$T77)))=Milestones!$AB$108),TEXT(EDATE($D77,Milestones!$AA$108),"dd/mm/yy")&amp;" "&amp;Milestones!$AB$108&amp;" "&amp;Milestones!$AC$108&amp;";  ","")&amp;IF(AND(EDATE($D77,Milestones!$AA$109)&lt;=AsOfDate,IF($Q77=0,$W77,IF(AND($S77&lt;&gt;"",EDATE($D77,Milestones!$AA$109)&gt;=$S77),$V77,IF(AND($R77&lt;&gt;"",EDATE($D77,Milestones!$AA$109)&gt;=$R77),$U77,$T77)))=Milestones!$AB$109),TEXT(EDATE($D77,Milestones!$AA$109),"dd/mm/yy")&amp;" "&amp;Milestones!$AB$109&amp;" "&amp;Milestones!$AC$109&amp;";  ","")&amp;IF(AND(EDATE($D77,Milestones!$AA$110)&lt;=AsOfDate,IF($Q77=0,$W77,IF(AND($S77&lt;&gt;"",EDATE($D77,Milestones!$AA$110)&gt;=$S77),$V77,IF(AND($R77&lt;&gt;"",EDATE($D77,Milestones!$AA$110)&gt;=$R77),$U77,$T77)))=Milestones!$AB$110),TEXT(EDATE($D77,Milestones!$AA$110),"dd/mm/yy")&amp;" "&amp;Milestones!$AB$110&amp;" "&amp;Milestones!$AC$110&amp;";  ","")&amp;IF(AND(EDATE($D77,Milestones!$AA$111)&lt;=AsOfDate,IF($Q77=0,$W77,IF(AND($S77&lt;&gt;"",EDATE($D77,Milestones!$AA$111)&gt;=$S77),$V77,IF(AND($R77&lt;&gt;"",EDATE($D77,Milestones!$AA$111)&gt;=$R77),$U77,$T77)))=Milestones!$AB$111),TEXT(EDATE($D77,Milestones!$AA$111),"dd/mm/yy")&amp;" "&amp;Milestones!$AB$111&amp;" "&amp;Milestones!$AC$111&amp;";  ","")&amp;IF(AND(EDATE($D77,Milestones!$AA$112)&lt;=AsOfDate,IF($Q77=0,$W77,IF(AND($S77&lt;&gt;"",EDATE($D77,Milestones!$AA$112)&gt;=$S77),$V77,IF(AND($R77&lt;&gt;"",EDATE($D77,Milestones!$AA$112)&gt;=$R77),$U77,$T77)))=Milestones!$AB$112),TEXT(EDATE($D77,Milestones!$AA$112),"dd/mm/yy")&amp;" "&amp;Milestones!$AB$112&amp;" "&amp;Milestones!$AC$112&amp;";  ","")&amp;IF(AND(EDATE($D77,Milestones!$AA$113)&lt;=AsOfDate,IF($Q77=0,$W77,IF(AND($S77&lt;&gt;"",EDATE($D77,Milestones!$AA$113)&gt;=$S77),$V77,IF(AND($R77&lt;&gt;"",EDATE($D77,Milestones!$AA$113)&gt;=$R77),$U77,$T77)))=Milestones!$AB$113),TEXT(EDATE($D77,Milestones!$AA$113),"dd/mm/yy")&amp;" "&amp;Milestones!$AB$113&amp;" "&amp;Milestones!$AC$113&amp;";  ","")&amp;IF(AND(EDATE($D77,Milestones!$AA$114)&lt;=AsOfDate,IF($Q77=0,$W77,IF(AND($S77&lt;&gt;"",EDATE($D77,Milestones!$AA$114)&gt;=$S77),$V77,IF(AND($R77&lt;&gt;"",EDATE($D77,Milestones!$AA$114)&gt;=$R77),$U77,$T77)))=Milestones!$AB$114),TEXT(EDATE($D77,Milestones!$AA$114),"dd/mm/yy")&amp;" "&amp;Milestones!$AB$114&amp;" "&amp;Milestones!$AC$114&amp;";  ","")&amp;IF(AND(EDATE($D77,Milestones!$AA$115)&lt;=AsOfDate,IF($Q77=0,$W77,IF(AND($S77&lt;&gt;"",EDATE($D77,Milestones!$AA$115)&gt;=$S77),$V77,IF(AND($R77&lt;&gt;"",EDATE($D77,Milestones!$AA$115)&gt;=$R77),$U77,$T77)))=Milestones!$AB$115),TEXT(EDATE($D77,Milestones!$AA$115),"dd/mm/yy")&amp;" "&amp;Milestones!$AB$115&amp;" "&amp;Milestones!$AC$115&amp;";  ","")&amp;IF(AND(EDATE($D77,Milestones!$AA$116)&lt;=AsOfDate,IF($Q77=0,$W77,IF(AND($S77&lt;&gt;"",EDATE($D77,Milestones!$AA$116)&gt;=$S77),$V77,IF(AND($R77&lt;&gt;"",EDATE($D77,Milestones!$AA$116)&gt;=$R77),$U77,$T77)))=Milestones!$AB$116),TEXT(EDATE($D77,Milestones!$AA$116),"dd/mm/yy")&amp;" "&amp;Milestones!$AB$116&amp;" "&amp;Milestones!$AC$116&amp;";  ","")&amp;IF(AND(EDATE($D77,Milestones!$AA$117)&lt;=AsOfDate,IF($Q77=0,$W77,IF(AND($S77&lt;&gt;"",EDATE($D77,Milestones!$AA$117)&gt;=$S77),$V77,IF(AND($R77&lt;&gt;"",EDATE($D77,Milestones!$AA$117)&gt;=$R77),$U77,$T77)))=Milestones!$AB$117),TEXT(EDATE($D77,Milestones!$AA$117),"dd/mm/yy")&amp;" "&amp;Milestones!$AB$117&amp;" "&amp;Milestones!$AC$117&amp;";  ","")&amp;IF(AND(EDATE($D77,Milestones!$AA$118)&lt;=AsOfDate,IF($Q77=0,$W77,IF(AND($S77&lt;&gt;"",EDATE($D77,Milestones!$AA$118)&gt;=$S77),$V77,IF(AND($R77&lt;&gt;"",EDATE($D77,Milestones!$AA$118)&gt;=$R77),$U77,$T77)))=Milestones!$AB$118),TEXT(EDATE($D77,Milestones!$AA$118),"dd/mm/yy")&amp;" "&amp;Milestones!$AB$118&amp;" "&amp;Milestones!$AC$118&amp;";  ","")&amp;IF(AND(EDATE($D77,Milestones!$AA$119)&lt;=AsOfDate,IF($Q77=0,$W77,IF(AND($S77&lt;&gt;"",EDATE($D77,Milestones!$AA$119)&gt;=$S77),$V77,IF(AND($R77&lt;&gt;"",EDATE($D77,Milestones!$AA$119)&gt;=$R77),$U77,$T77)))=Milestones!$AB$119),TEXT(EDATE($D77,Milestones!$AA$119),"dd/mm/yy")&amp;" "&amp;Milestones!$AB$119&amp;" "&amp;Milestones!$AC$119&amp;";  ",""))</f>
        <v/>
      </c>
      <c r="M77" s="0" t="str">
        <f aca="false">IF(OR($A77="",$D77=""),"",IF(AND(EDATE($D77,Milestones!$AA$120)&lt;=AsOfDate,IF($Q77=0,$W77,IF(AND($S77&lt;&gt;"",EDATE($D77,Milestones!$AA$120)&gt;=$S77),$V77,IF(AND($R77&lt;&gt;"",EDATE($D77,Milestones!$AA$120)&gt;=$R77),$U77,$T77)))=Milestones!$AB$120),TEXT(EDATE($D77,Milestones!$AA$120),"dd/mm/yy")&amp;" "&amp;Milestones!$AB$120&amp;" "&amp;Milestones!$AC$120&amp;";  ","")&amp;IF(AND(EDATE($D77,Milestones!$AA$121)&lt;=AsOfDate,IF($Q77=0,$W77,IF(AND($S77&lt;&gt;"",EDATE($D77,Milestones!$AA$121)&gt;=$S77),$V77,IF(AND($R77&lt;&gt;"",EDATE($D77,Milestones!$AA$121)&gt;=$R77),$U77,$T77)))=Milestones!$AB$121),TEXT(EDATE($D77,Milestones!$AA$121),"dd/mm/yy")&amp;" "&amp;Milestones!$AB$121&amp;" "&amp;Milestones!$AC$121&amp;";  ","")&amp;IF(AND(EDATE($D77,Milestones!$AA$122)&lt;=AsOfDate,IF($Q77=0,$W77,IF(AND($S77&lt;&gt;"",EDATE($D77,Milestones!$AA$122)&gt;=$S77),$V77,IF(AND($R77&lt;&gt;"",EDATE($D77,Milestones!$AA$122)&gt;=$R77),$U77,$T77)))=Milestones!$AB$122),TEXT(EDATE($D77,Milestones!$AA$122),"dd/mm/yy")&amp;" "&amp;Milestones!$AB$122&amp;" "&amp;Milestones!$AC$122&amp;";  ","")&amp;IF(AND(EDATE($D77,Milestones!$AA$123)&lt;=AsOfDate,IF($Q77=0,$W77,IF(AND($S77&lt;&gt;"",EDATE($D77,Milestones!$AA$123)&gt;=$S77),$V77,IF(AND($R77&lt;&gt;"",EDATE($D77,Milestones!$AA$123)&gt;=$R77),$U77,$T77)))=Milestones!$AB$123),TEXT(EDATE($D77,Milestones!$AA$123),"dd/mm/yy")&amp;" "&amp;Milestones!$AB$123&amp;" "&amp;Milestones!$AC$123&amp;";  ","")&amp;IF(AND(EDATE($D77,Milestones!$AA$124)&lt;=AsOfDate,IF($Q77=0,$W77,IF(AND($S77&lt;&gt;"",EDATE($D77,Milestones!$AA$124)&gt;=$S77),$V77,IF(AND($R77&lt;&gt;"",EDATE($D77,Milestones!$AA$124)&gt;=$R77),$U77,$T77)))=Milestones!$AB$124),TEXT(EDATE($D77,Milestones!$AA$124),"dd/mm/yy")&amp;" "&amp;Milestones!$AB$124&amp;" "&amp;Milestones!$AC$124&amp;";  ","")&amp;IF(AND(EDATE($D77,Milestones!$AA$125)&lt;=AsOfDate,IF($Q77=0,$W77,IF(AND($S77&lt;&gt;"",EDATE($D77,Milestones!$AA$125)&gt;=$S77),$V77,IF(AND($R77&lt;&gt;"",EDATE($D77,Milestones!$AA$125)&gt;=$R77),$U77,$T77)))=Milestones!$AB$125),TEXT(EDATE($D77,Milestones!$AA$125),"dd/mm/yy")&amp;" "&amp;Milestones!$AB$125&amp;" "&amp;Milestones!$AC$125&amp;";  ","")&amp;IF(AND(EDATE($D77,Milestones!$AA$126)&lt;=AsOfDate,IF($Q77=0,$W77,IF(AND($S77&lt;&gt;"",EDATE($D77,Milestones!$AA$126)&gt;=$S77),$V77,IF(AND($R77&lt;&gt;"",EDATE($D77,Milestones!$AA$126)&gt;=$R77),$U77,$T77)))=Milestones!$AB$126),TEXT(EDATE($D77,Milestones!$AA$126),"dd/mm/yy")&amp;" "&amp;Milestones!$AB$126&amp;" "&amp;Milestones!$AC$126&amp;";  ","")&amp;IF(AND(EDATE($D77,Milestones!$AA$127)&lt;=AsOfDate,IF($Q77=0,$W77,IF(AND($S77&lt;&gt;"",EDATE($D77,Milestones!$AA$127)&gt;=$S77),$V77,IF(AND($R77&lt;&gt;"",EDATE($D77,Milestones!$AA$127)&gt;=$R77),$U77,$T77)))=Milestones!$AB$127),TEXT(EDATE($D77,Milestones!$AA$127),"dd/mm/yy")&amp;" "&amp;Milestones!$AB$127&amp;" "&amp;Milestones!$AC$127&amp;";  ","")&amp;IF(AND(EDATE($D77,Milestones!$AA$128)&lt;=AsOfDate,IF($Q77=0,$W77,IF(AND($S77&lt;&gt;"",EDATE($D77,Milestones!$AA$128)&gt;=$S77),$V77,IF(AND($R77&lt;&gt;"",EDATE($D77,Milestones!$AA$128)&gt;=$R77),$U77,$T77)))=Milestones!$AB$128),TEXT(EDATE($D77,Milestones!$AA$128),"dd/mm/yy")&amp;" "&amp;Milestones!$AB$128&amp;" "&amp;Milestones!$AC$128&amp;";  ","")&amp;IF(AND(EDATE($D77,Milestones!$AA$129)&lt;=AsOfDate,IF($Q77=0,$W77,IF(AND($S77&lt;&gt;"",EDATE($D77,Milestones!$AA$129)&gt;=$S77),$V77,IF(AND($R77&lt;&gt;"",EDATE($D77,Milestones!$AA$129)&gt;=$R77),$U77,$T77)))=Milestones!$AB$129),TEXT(EDATE($D77,Milestones!$AA$129),"dd/mm/yy")&amp;" "&amp;Milestones!$AB$129&amp;" "&amp;Milestones!$AC$129&amp;";  ","")&amp;IF(AND(EDATE($D77,Milestones!$AA$130)&lt;=AsOfDate,IF($Q77=0,$W77,IF(AND($S77&lt;&gt;"",EDATE($D77,Milestones!$AA$130)&gt;=$S77),$V77,IF(AND($R77&lt;&gt;"",EDATE($D77,Milestones!$AA$130)&gt;=$R77),$U77,$T77)))=Milestones!$AB$130),TEXT(EDATE($D77,Milestones!$AA$130),"dd/mm/yy")&amp;" "&amp;Milestones!$AB$130&amp;" "&amp;Milestones!$AC$130&amp;";  ","")&amp;IF(AND(EDATE($D77,Milestones!$AA$131)&lt;=AsOfDate,IF($Q77=0,$W77,IF(AND($S77&lt;&gt;"",EDATE($D77,Milestones!$AA$131)&gt;=$S77),$V77,IF(AND($R77&lt;&gt;"",EDATE($D77,Milestones!$AA$131)&gt;=$R77),$U77,$T77)))=Milestones!$AB$131),TEXT(EDATE($D77,Milestones!$AA$131),"dd/mm/yy")&amp;" "&amp;Milestones!$AB$131&amp;" "&amp;Milestones!$AC$131&amp;";  ","")&amp;IF(AND(EDATE($D77,Milestones!$AA$132)&lt;=AsOfDate,IF($Q77=0,$W77,IF(AND($S77&lt;&gt;"",EDATE($D77,Milestones!$AA$132)&gt;=$S77),$V77,IF(AND($R77&lt;&gt;"",EDATE($D77,Milestones!$AA$132)&gt;=$R77),$U77,$T77)))=Milestones!$AB$132),TEXT(EDATE($D77,Milestones!$AA$132),"dd/mm/yy")&amp;" "&amp;Milestones!$AB$132&amp;" "&amp;Milestones!$AC$132&amp;";  ","")&amp;IF(AND(EDATE($D77,Milestones!$AA$133)&lt;=AsOfDate,IF($Q77=0,$W77,IF(AND($S77&lt;&gt;"",EDATE($D77,Milestones!$AA$133)&gt;=$S77),$V77,IF(AND($R77&lt;&gt;"",EDATE($D77,Milestones!$AA$133)&gt;=$R77),$U77,$T77)))=Milestones!$AB$133),TEXT(EDATE($D77,Milestones!$AA$133),"dd/mm/yy")&amp;" "&amp;Milestones!$AB$133&amp;" "&amp;Milestones!$AC$133&amp;";  ","")&amp;IF(AND(EDATE($D77,Milestones!$AA$134)&lt;=AsOfDate,IF($Q77=0,$W77,IF(AND($S77&lt;&gt;"",EDATE($D77,Milestones!$AA$134)&gt;=$S77),$V77,IF(AND($R77&lt;&gt;"",EDATE($D77,Milestones!$AA$134)&gt;=$R77),$U77,$T77)))=Milestones!$AB$134),TEXT(EDATE($D77,Milestones!$AA$134),"dd/mm/yy")&amp;" "&amp;Milestones!$AB$134&amp;" "&amp;Milestones!$AC$134&amp;";  ","")&amp;IF(AND(EDATE($D77,Milestones!$AA$135)&lt;=AsOfDate,IF($Q77=0,$W77,IF(AND($S77&lt;&gt;"",EDATE($D77,Milestones!$AA$135)&gt;=$S77),$V77,IF(AND($R77&lt;&gt;"",EDATE($D77,Milestones!$AA$135)&gt;=$R77),$U77,$T77)))=Milestones!$AB$135),TEXT(EDATE($D77,Milestones!$AA$135),"dd/mm/yy")&amp;" "&amp;Milestones!$AB$135&amp;" "&amp;Milestones!$AC$135&amp;";  ","")&amp;IF(AND(EDATE($D77,Milestones!$AA$136)&lt;=AsOfDate,IF($Q77=0,$W77,IF(AND($S77&lt;&gt;"",EDATE($D77,Milestones!$AA$136)&gt;=$S77),$V77,IF(AND($R77&lt;&gt;"",EDATE($D77,Milestones!$AA$136)&gt;=$R77),$U77,$T77)))=Milestones!$AB$136),TEXT(EDATE($D77,Milestones!$AA$136),"dd/mm/yy")&amp;" "&amp;Milestones!$AB$136&amp;" "&amp;Milestones!$AC$136&amp;";  ","")&amp;IF(AND(EDATE($D77,Milestones!$AA$137)&lt;=AsOfDate,IF($Q77=0,$W77,IF(AND($S77&lt;&gt;"",EDATE($D77,Milestones!$AA$137)&gt;=$S77),$V77,IF(AND($R77&lt;&gt;"",EDATE($D77,Milestones!$AA$137)&gt;=$R77),$U77,$T77)))=Milestones!$AB$137),TEXT(EDATE($D77,Milestones!$AA$137),"dd/mm/yy")&amp;" "&amp;Milestones!$AB$137&amp;" "&amp;Milestones!$AC$137&amp;";  ","")&amp;IF(AND(EDATE($D77,Milestones!$AA$138)&lt;=AsOfDate,IF($Q77=0,$W77,IF(AND($S77&lt;&gt;"",EDATE($D77,Milestones!$AA$138)&gt;=$S77),$V77,IF(AND($R77&lt;&gt;"",EDATE($D77,Milestones!$AA$138)&gt;=$R77),$U77,$T77)))=Milestones!$AB$138),TEXT(EDATE($D77,Milestones!$AA$138),"dd/mm/yy")&amp;" "&amp;Milestones!$AB$138&amp;" "&amp;Milestones!$AC$138&amp;";  ","")&amp;IF(AND(EDATE($D77,Milestones!$AA$139)&lt;=AsOfDate,IF($Q77=0,$W77,IF(AND($S77&lt;&gt;"",EDATE($D77,Milestones!$AA$139)&gt;=$S77),$V77,IF(AND($R77&lt;&gt;"",EDATE($D77,Milestones!$AA$139)&gt;=$R77),$U77,$T77)))=Milestones!$AB$139),TEXT(EDATE($D77,Milestones!$AA$139),"dd/mm/yy")&amp;" "&amp;Milestones!$AB$139&amp;" "&amp;Milestones!$AC$139&amp;";  ",""))</f>
        <v/>
      </c>
      <c r="N77" s="0" t="str">
        <f aca="false">IF(OR($A77="",$D77=""),"",IF(AND(EDATE($D77,Milestones!$AA$140)&lt;=AsOfDate,IF($Q77=0,$W77,IF(AND($S77&lt;&gt;"",EDATE($D77,Milestones!$AA$140)&gt;=$S77),$V77,IF(AND($R77&lt;&gt;"",EDATE($D77,Milestones!$AA$140)&gt;=$R77),$U77,$T77)))=Milestones!$AB$140),TEXT(EDATE($D77,Milestones!$AA$140),"dd/mm/yy")&amp;" "&amp;Milestones!$AB$140&amp;" "&amp;Milestones!$AC$140&amp;";  ","")&amp;IF(AND(EDATE($D77,Milestones!$AA$141)&lt;=AsOfDate,IF($Q77=0,$W77,IF(AND($S77&lt;&gt;"",EDATE($D77,Milestones!$AA$141)&gt;=$S77),$V77,IF(AND($R77&lt;&gt;"",EDATE($D77,Milestones!$AA$141)&gt;=$R77),$U77,$T77)))=Milestones!$AB$141),TEXT(EDATE($D77,Milestones!$AA$141),"dd/mm/yy")&amp;" "&amp;Milestones!$AB$141&amp;" "&amp;Milestones!$AC$141&amp;";  ","")&amp;IF(AND(EDATE($D77,Milestones!$AA$142)&lt;=AsOfDate,IF($Q77=0,$W77,IF(AND($S77&lt;&gt;"",EDATE($D77,Milestones!$AA$142)&gt;=$S77),$V77,IF(AND($R77&lt;&gt;"",EDATE($D77,Milestones!$AA$142)&gt;=$R77),$U77,$T77)))=Milestones!$AB$142),TEXT(EDATE($D77,Milestones!$AA$142),"dd/mm/yy")&amp;" "&amp;Milestones!$AB$142&amp;" "&amp;Milestones!$AC$142&amp;";  ","")&amp;IF(AND(EDATE($D77,Milestones!$AA$143)&lt;=AsOfDate,IF($Q77=0,$W77,IF(AND($S77&lt;&gt;"",EDATE($D77,Milestones!$AA$143)&gt;=$S77),$V77,IF(AND($R77&lt;&gt;"",EDATE($D77,Milestones!$AA$143)&gt;=$R77),$U77,$T77)))=Milestones!$AB$143),TEXT(EDATE($D77,Milestones!$AA$143),"dd/mm/yy")&amp;" "&amp;Milestones!$AB$143&amp;" "&amp;Milestones!$AC$143&amp;";  ","")&amp;IF(AND(EDATE($D77,Milestones!$AA$144)&lt;=AsOfDate,IF($Q77=0,$W77,IF(AND($S77&lt;&gt;"",EDATE($D77,Milestones!$AA$144)&gt;=$S77),$V77,IF(AND($R77&lt;&gt;"",EDATE($D77,Milestones!$AA$144)&gt;=$R77),$U77,$T77)))=Milestones!$AB$144),TEXT(EDATE($D77,Milestones!$AA$144),"dd/mm/yy")&amp;" "&amp;Milestones!$AB$144&amp;" "&amp;Milestones!$AC$144&amp;";  ","")&amp;IF(AND(EDATE($D77,Milestones!$AA$145)&lt;=AsOfDate,IF($Q77=0,$W77,IF(AND($S77&lt;&gt;"",EDATE($D77,Milestones!$AA$145)&gt;=$S77),$V77,IF(AND($R77&lt;&gt;"",EDATE($D77,Milestones!$AA$145)&gt;=$R77),$U77,$T77)))=Milestones!$AB$145),TEXT(EDATE($D77,Milestones!$AA$145),"dd/mm/yy")&amp;" "&amp;Milestones!$AB$145&amp;" "&amp;Milestones!$AC$145&amp;";  ","")&amp;IF(AND(EDATE($D77,Milestones!$AA$146)&lt;=AsOfDate,IF($Q77=0,$W77,IF(AND($S77&lt;&gt;"",EDATE($D77,Milestones!$AA$146)&gt;=$S77),$V77,IF(AND($R77&lt;&gt;"",EDATE($D77,Milestones!$AA$146)&gt;=$R77),$U77,$T77)))=Milestones!$AB$146),TEXT(EDATE($D77,Milestones!$AA$146),"dd/mm/yy")&amp;" "&amp;Milestones!$AB$146&amp;" "&amp;Milestones!$AC$146&amp;";  ","")&amp;IF(AND(EDATE($D77,Milestones!$AA$147)&lt;=AsOfDate,IF($Q77=0,$W77,IF(AND($S77&lt;&gt;"",EDATE($D77,Milestones!$AA$147)&gt;=$S77),$V77,IF(AND($R77&lt;&gt;"",EDATE($D77,Milestones!$AA$147)&gt;=$R77),$U77,$T77)))=Milestones!$AB$147),TEXT(EDATE($D77,Milestones!$AA$147),"dd/mm/yy")&amp;" "&amp;Milestones!$AB$147&amp;" "&amp;Milestones!$AC$147&amp;";  ","")&amp;IF(AND(EDATE($D77,Milestones!$AA$148)&lt;=AsOfDate,IF($Q77=0,$W77,IF(AND($S77&lt;&gt;"",EDATE($D77,Milestones!$AA$148)&gt;=$S77),$V77,IF(AND($R77&lt;&gt;"",EDATE($D77,Milestones!$AA$148)&gt;=$R77),$U77,$T77)))=Milestones!$AB$148),TEXT(EDATE($D77,Milestones!$AA$148),"dd/mm/yy")&amp;" "&amp;Milestones!$AB$148&amp;" "&amp;Milestones!$AC$148&amp;";  ","")&amp;IF(AND(EDATE($D77,Milestones!$AA$149)&lt;=AsOfDate,IF($Q77=0,$W77,IF(AND($S77&lt;&gt;"",EDATE($D77,Milestones!$AA$149)&gt;=$S77),$V77,IF(AND($R77&lt;&gt;"",EDATE($D77,Milestones!$AA$149)&gt;=$R77),$U77,$T77)))=Milestones!$AB$149),TEXT(EDATE($D77,Milestones!$AA$149),"dd/mm/yy")&amp;" "&amp;Milestones!$AB$149&amp;" "&amp;Milestones!$AC$149&amp;";  ","")&amp;IF(AND(EDATE($D77,Milestones!$AA$150)&lt;=AsOfDate,IF($Q77=0,$W77,IF(AND($S77&lt;&gt;"",EDATE($D77,Milestones!$AA$150)&gt;=$S77),$V77,IF(AND($R77&lt;&gt;"",EDATE($D77,Milestones!$AA$150)&gt;=$R77),$U77,$T77)))=Milestones!$AB$150),TEXT(EDATE($D77,Milestones!$AA$150),"dd/mm/yy")&amp;" "&amp;Milestones!$AB$150&amp;" "&amp;Milestones!$AC$150&amp;";  ","")&amp;IF(AND(EDATE($D77,Milestones!$AA$151)&lt;=AsOfDate,IF($Q77=0,$W77,IF(AND($S77&lt;&gt;"",EDATE($D77,Milestones!$AA$151)&gt;=$S77),$V77,IF(AND($R77&lt;&gt;"",EDATE($D77,Milestones!$AA$151)&gt;=$R77),$U77,$T77)))=Milestones!$AB$151),TEXT(EDATE($D77,Milestones!$AA$151),"dd/mm/yy")&amp;" "&amp;Milestones!$AB$151&amp;" "&amp;Milestones!$AC$151&amp;";  ","")&amp;IF(AND(EDATE($D77,Milestones!$AA$152)&lt;=AsOfDate,IF($Q77=0,$W77,IF(AND($S77&lt;&gt;"",EDATE($D77,Milestones!$AA$152)&gt;=$S77),$V77,IF(AND($R77&lt;&gt;"",EDATE($D77,Milestones!$AA$152)&gt;=$R77),$U77,$T77)))=Milestones!$AB$152),TEXT(EDATE($D77,Milestones!$AA$152),"dd/mm/yy")&amp;" "&amp;Milestones!$AB$152&amp;" "&amp;Milestones!$AC$152&amp;";  ","")&amp;IF(AND(EDATE($D77,Milestones!$AA$153)&lt;=AsOfDate,IF($Q77=0,$W77,IF(AND($S77&lt;&gt;"",EDATE($D77,Milestones!$AA$153)&gt;=$S77),$V77,IF(AND($R77&lt;&gt;"",EDATE($D77,Milestones!$AA$153)&gt;=$R77),$U77,$T77)))=Milestones!$AB$153),TEXT(EDATE($D77,Milestones!$AA$153),"dd/mm/yy")&amp;" "&amp;Milestones!$AB$153&amp;" "&amp;Milestones!$AC$153&amp;";  ","")&amp;IF(AND(EDATE($D77,Milestones!$AA$154)&lt;=AsOfDate,IF($Q77=0,$W77,IF(AND($S77&lt;&gt;"",EDATE($D77,Milestones!$AA$154)&gt;=$S77),$V77,IF(AND($R77&lt;&gt;"",EDATE($D77,Milestones!$AA$154)&gt;=$R77),$U77,$T77)))=Milestones!$AB$154),TEXT(EDATE($D77,Milestones!$AA$154),"dd/mm/yy")&amp;" "&amp;Milestones!$AB$154&amp;" "&amp;Milestones!$AC$154&amp;";  ","")&amp;IF(AND(EDATE($D77,Milestones!$AA$155)&lt;=AsOfDate,IF($Q77=0,$W77,IF(AND($S77&lt;&gt;"",EDATE($D77,Milestones!$AA$155)&gt;=$S77),$V77,IF(AND($R77&lt;&gt;"",EDATE($D77,Milestones!$AA$155)&gt;=$R77),$U77,$T77)))=Milestones!$AB$155),TEXT(EDATE($D77,Milestones!$AA$155),"dd/mm/yy")&amp;" "&amp;Milestones!$AB$155&amp;" "&amp;Milestones!$AC$155&amp;";  ","")&amp;IF(AND(EDATE($D77,Milestones!$AA$156)&lt;=AsOfDate,IF($Q77=0,$W77,IF(AND($S77&lt;&gt;"",EDATE($D77,Milestones!$AA$156)&gt;=$S77),$V77,IF(AND($R77&lt;&gt;"",EDATE($D77,Milestones!$AA$156)&gt;=$R77),$U77,$T77)))=Milestones!$AB$156),TEXT(EDATE($D77,Milestones!$AA$156),"dd/mm/yy")&amp;" "&amp;Milestones!$AB$156&amp;" "&amp;Milestones!$AC$156&amp;";  ","")&amp;IF(AND(EDATE($D77,Milestones!$AA$157)&lt;=AsOfDate,IF($Q77=0,$W77,IF(AND($S77&lt;&gt;"",EDATE($D77,Milestones!$AA$157)&gt;=$S77),$V77,IF(AND($R77&lt;&gt;"",EDATE($D77,Milestones!$AA$157)&gt;=$R77),$U77,$T77)))=Milestones!$AB$157),TEXT(EDATE($D77,Milestones!$AA$157),"dd/mm/yy")&amp;" "&amp;Milestones!$AB$157&amp;" "&amp;Milestones!$AC$157&amp;";  ","")&amp;IF(AND(EDATE($D77,Milestones!$AA$158)&lt;=AsOfDate,IF($Q77=0,$W77,IF(AND($S77&lt;&gt;"",EDATE($D77,Milestones!$AA$158)&gt;=$S77),$V77,IF(AND($R77&lt;&gt;"",EDATE($D77,Milestones!$AA$158)&gt;=$R77),$U77,$T77)))=Milestones!$AB$158),TEXT(EDATE($D77,Milestones!$AA$158),"dd/mm/yy")&amp;" "&amp;Milestones!$AB$158&amp;" "&amp;Milestones!$AC$158&amp;";  ","")&amp;IF(AND(EDATE($D77,Milestones!$AA$159)&lt;=AsOfDate,IF($Q77=0,$W77,IF(AND($S77&lt;&gt;"",EDATE($D77,Milestones!$AA$159)&gt;=$S77),$V77,IF(AND($R77&lt;&gt;"",EDATE($D77,Milestones!$AA$159)&gt;=$R77),$U77,$T77)))=Milestones!$AB$159),TEXT(EDATE($D77,Milestones!$AA$159),"dd/mm/yy")&amp;" "&amp;Milestones!$AB$159&amp;" "&amp;Milestones!$AC$159&amp;";  ",""))</f>
        <v/>
      </c>
      <c r="O77" s="0" t="str">
        <f aca="false">IF(OR($A77="",$D77=""),"",IF(AND(EDATE($D77,Milestones!$AA$160)&lt;=AsOfDate,IF($Q77=0,$W77,IF(AND($S77&lt;&gt;"",EDATE($D77,Milestones!$AA$160)&gt;=$S77),$V77,IF(AND($R77&lt;&gt;"",EDATE($D77,Milestones!$AA$160)&gt;=$R77),$U77,$T77)))=Milestones!$AB$160),TEXT(EDATE($D77,Milestones!$AA$160),"dd/mm/yy")&amp;" "&amp;Milestones!$AB$160&amp;" "&amp;Milestones!$AC$160&amp;";  ","")&amp;IF(AND(EDATE($D77,Milestones!$AA$161)&lt;=AsOfDate,IF($Q77=0,$W77,IF(AND($S77&lt;&gt;"",EDATE($D77,Milestones!$AA$161)&gt;=$S77),$V77,IF(AND($R77&lt;&gt;"",EDATE($D77,Milestones!$AA$161)&gt;=$R77),$U77,$T77)))=Milestones!$AB$161),TEXT(EDATE($D77,Milestones!$AA$161),"dd/mm/yy")&amp;" "&amp;Milestones!$AB$161&amp;" "&amp;Milestones!$AC$161&amp;";  ","")&amp;IF(AND(EDATE($D77,Milestones!$AA$162)&lt;=AsOfDate,IF($Q77=0,$W77,IF(AND($S77&lt;&gt;"",EDATE($D77,Milestones!$AA$162)&gt;=$S77),$V77,IF(AND($R77&lt;&gt;"",EDATE($D77,Milestones!$AA$162)&gt;=$R77),$U77,$T77)))=Milestones!$AB$162),TEXT(EDATE($D77,Milestones!$AA$162),"dd/mm/yy")&amp;" "&amp;Milestones!$AB$162&amp;" "&amp;Milestones!$AC$162&amp;";  ","")&amp;IF(AND(EDATE($D77,Milestones!$AA$163)&lt;=AsOfDate,IF($Q77=0,$W77,IF(AND($S77&lt;&gt;"",EDATE($D77,Milestones!$AA$163)&gt;=$S77),$V77,IF(AND($R77&lt;&gt;"",EDATE($D77,Milestones!$AA$163)&gt;=$R77),$U77,$T77)))=Milestones!$AB$163),TEXT(EDATE($D77,Milestones!$AA$163),"dd/mm/yy")&amp;" "&amp;Milestones!$AB$163&amp;" "&amp;Milestones!$AC$163&amp;";  ","")&amp;IF(AND(EDATE($D77,Milestones!$AA$164)&lt;=AsOfDate,IF($Q77=0,$W77,IF(AND($S77&lt;&gt;"",EDATE($D77,Milestones!$AA$164)&gt;=$S77),$V77,IF(AND($R77&lt;&gt;"",EDATE($D77,Milestones!$AA$164)&gt;=$R77),$U77,$T77)))=Milestones!$AB$164),TEXT(EDATE($D77,Milestones!$AA$164),"dd/mm/yy")&amp;" "&amp;Milestones!$AB$164&amp;" "&amp;Milestones!$AC$164&amp;";  ","")&amp;IF(AND(EDATE($D77,Milestones!$AA$165)&lt;=AsOfDate,IF($Q77=0,$W77,IF(AND($S77&lt;&gt;"",EDATE($D77,Milestones!$AA$165)&gt;=$S77),$V77,IF(AND($R77&lt;&gt;"",EDATE($D77,Milestones!$AA$165)&gt;=$R77),$U77,$T77)))=Milestones!$AB$165),TEXT(EDATE($D77,Milestones!$AA$165),"dd/mm/yy")&amp;" "&amp;Milestones!$AB$165&amp;" "&amp;Milestones!$AC$165&amp;";  ","")&amp;IF(AND(EDATE($D77,Milestones!$AA$166)&lt;=AsOfDate,IF($Q77=0,$W77,IF(AND($S77&lt;&gt;"",EDATE($D77,Milestones!$AA$166)&gt;=$S77),$V77,IF(AND($R77&lt;&gt;"",EDATE($D77,Milestones!$AA$166)&gt;=$R77),$U77,$T77)))=Milestones!$AB$166),TEXT(EDATE($D77,Milestones!$AA$166),"dd/mm/yy")&amp;" "&amp;Milestones!$AB$166&amp;" "&amp;Milestones!$AC$166&amp;";  ","")&amp;IF(AND(EDATE($D77,Milestones!$AA$167)&lt;=AsOfDate,IF($Q77=0,$W77,IF(AND($S77&lt;&gt;"",EDATE($D77,Milestones!$AA$167)&gt;=$S77),$V77,IF(AND($R77&lt;&gt;"",EDATE($D77,Milestones!$AA$167)&gt;=$R77),$U77,$T77)))=Milestones!$AB$167),TEXT(EDATE($D77,Milestones!$AA$167),"dd/mm/yy")&amp;" "&amp;Milestones!$AB$167&amp;" "&amp;Milestones!$AC$167&amp;";  ","")&amp;IF(AND(EDATE($D77,Milestones!$AA$168)&lt;=AsOfDate,IF($Q77=0,$W77,IF(AND($S77&lt;&gt;"",EDATE($D77,Milestones!$AA$168)&gt;=$S77),$V77,IF(AND($R77&lt;&gt;"",EDATE($D77,Milestones!$AA$168)&gt;=$R77),$U77,$T77)))=Milestones!$AB$168),TEXT(EDATE($D77,Milestones!$AA$168),"dd/mm/yy")&amp;" "&amp;Milestones!$AB$168&amp;" "&amp;Milestones!$AC$168&amp;";  ","")&amp;IF(AND(EDATE($D77,Milestones!$AA$169)&lt;=AsOfDate,IF($Q77=0,$W77,IF(AND($S77&lt;&gt;"",EDATE($D77,Milestones!$AA$169)&gt;=$S77),$V77,IF(AND($R77&lt;&gt;"",EDATE($D77,Milestones!$AA$169)&gt;=$R77),$U77,$T77)))=Milestones!$AB$169),TEXT(EDATE($D77,Milestones!$AA$169),"dd/mm/yy")&amp;" "&amp;Milestones!$AB$169&amp;" "&amp;Milestones!$AC$169&amp;";  ","")&amp;IF(AND(EDATE($D77,Milestones!$AA$170)&lt;=AsOfDate,IF($Q77=0,$W77,IF(AND($S77&lt;&gt;"",EDATE($D77,Milestones!$AA$170)&gt;=$S77),$V77,IF(AND($R77&lt;&gt;"",EDATE($D77,Milestones!$AA$170)&gt;=$R77),$U77,$T77)))=Milestones!$AB$170),TEXT(EDATE($D77,Milestones!$AA$170),"dd/mm/yy")&amp;" "&amp;Milestones!$AB$170&amp;" "&amp;Milestones!$AC$170&amp;";  ","")&amp;IF(AND(EDATE($D77,Milestones!$AA$171)&lt;=AsOfDate,IF($Q77=0,$W77,IF(AND($S77&lt;&gt;"",EDATE($D77,Milestones!$AA$171)&gt;=$S77),$V77,IF(AND($R77&lt;&gt;"",EDATE($D77,Milestones!$AA$171)&gt;=$R77),$U77,$T77)))=Milestones!$AB$171),TEXT(EDATE($D77,Milestones!$AA$171),"dd/mm/yy")&amp;" "&amp;Milestones!$AB$171&amp;" "&amp;Milestones!$AC$171&amp;";  ","")&amp;IF(AND(EDATE($D77,Milestones!$AA$172)&lt;=AsOfDate,IF($Q77=0,$W77,IF(AND($S77&lt;&gt;"",EDATE($D77,Milestones!$AA$172)&gt;=$S77),$V77,IF(AND($R77&lt;&gt;"",EDATE($D77,Milestones!$AA$172)&gt;=$R77),$U77,$T77)))=Milestones!$AB$172),TEXT(EDATE($D77,Milestones!$AA$172),"dd/mm/yy")&amp;" "&amp;Milestones!$AB$172&amp;" "&amp;Milestones!$AC$172&amp;";  ","")&amp;IF(AND(EDATE($D77,Milestones!$AA$173)&lt;=AsOfDate,IF($Q77=0,$W77,IF(AND($S77&lt;&gt;"",EDATE($D77,Milestones!$AA$173)&gt;=$S77),$V77,IF(AND($R77&lt;&gt;"",EDATE($D77,Milestones!$AA$173)&gt;=$R77),$U77,$T77)))=Milestones!$AB$173),TEXT(EDATE($D77,Milestones!$AA$173),"dd/mm/yy")&amp;" "&amp;Milestones!$AB$173&amp;" "&amp;Milestones!$AC$173&amp;";  ","")&amp;IF(AND(EDATE($D77,Milestones!$AA$174)&lt;=AsOfDate,IF($Q77=0,$W77,IF(AND($S77&lt;&gt;"",EDATE($D77,Milestones!$AA$174)&gt;=$S77),$V77,IF(AND($R77&lt;&gt;"",EDATE($D77,Milestones!$AA$174)&gt;=$R77),$U77,$T77)))=Milestones!$AB$174),TEXT(EDATE($D77,Milestones!$AA$174),"dd/mm/yy")&amp;" "&amp;Milestones!$AB$174&amp;" "&amp;Milestones!$AC$174&amp;";  ","")&amp;IF(AND(EDATE($D77,Milestones!$AA$175)&lt;=AsOfDate,IF($Q77=0,$W77,IF(AND($S77&lt;&gt;"",EDATE($D77,Milestones!$AA$175)&gt;=$S77),$V77,IF(AND($R77&lt;&gt;"",EDATE($D77,Milestones!$AA$175)&gt;=$R77),$U77,$T77)))=Milestones!$AB$175),TEXT(EDATE($D77,Milestones!$AA$175),"dd/mm/yy")&amp;" "&amp;Milestones!$AB$175&amp;" "&amp;Milestones!$AC$175&amp;";  ","")&amp;IF(AND(EDATE($D77,Milestones!$AA$176)&lt;=AsOfDate,IF($Q77=0,$W77,IF(AND($S77&lt;&gt;"",EDATE($D77,Milestones!$AA$176)&gt;=$S77),$V77,IF(AND($R77&lt;&gt;"",EDATE($D77,Milestones!$AA$176)&gt;=$R77),$U77,$T77)))=Milestones!$AB$176),TEXT(EDATE($D77,Milestones!$AA$176),"dd/mm/yy")&amp;" "&amp;Milestones!$AB$176&amp;" "&amp;Milestones!$AC$176&amp;";  ","")&amp;IF(AND(EDATE($D77,Milestones!$AA$177)&lt;=AsOfDate,IF($Q77=0,$W77,IF(AND($S77&lt;&gt;"",EDATE($D77,Milestones!$AA$177)&gt;=$S77),$V77,IF(AND($R77&lt;&gt;"",EDATE($D77,Milestones!$AA$177)&gt;=$R77),$U77,$T77)))=Milestones!$AB$177),TEXT(EDATE($D77,Milestones!$AA$177),"dd/mm/yy")&amp;" "&amp;Milestones!$AB$177&amp;" "&amp;Milestones!$AC$177&amp;";  ","")&amp;IF(AND(EDATE($D77,Milestones!$AA$178)&lt;=AsOfDate,IF($Q77=0,$W77,IF(AND($S77&lt;&gt;"",EDATE($D77,Milestones!$AA$178)&gt;=$S77),$V77,IF(AND($R77&lt;&gt;"",EDATE($D77,Milestones!$AA$178)&gt;=$R77),$U77,$T77)))=Milestones!$AB$178),TEXT(EDATE($D77,Milestones!$AA$178),"dd/mm/yy")&amp;" "&amp;Milestones!$AB$178&amp;" "&amp;Milestones!$AC$178&amp;";  ","")&amp;IF(AND(EDATE($D77,Milestones!$AA$179)&lt;=AsOfDate,IF($Q77=0,$W77,IF(AND($S77&lt;&gt;"",EDATE($D77,Milestones!$AA$179)&gt;=$S77),$V77,IF(AND($R77&lt;&gt;"",EDATE($D77,Milestones!$AA$179)&gt;=$R77),$U77,$T77)))=Milestones!$AB$179),TEXT(EDATE($D77,Milestones!$AA$179),"dd/mm/yy")&amp;" "&amp;Milestones!$AB$179&amp;" "&amp;Milestones!$AC$179&amp;";  ",""))</f>
        <v/>
      </c>
      <c r="P77" s="0" t="str">
        <f aca="false">IF(OR($A77="",$D77=""),"",IF(AND(EDATE($D77,Milestones!$AA$180)&lt;=AsOfDate,IF($Q77=0,$W77,IF(AND($S77&lt;&gt;"",EDATE($D77,Milestones!$AA$180)&gt;=$S77),$V77,IF(AND($R77&lt;&gt;"",EDATE($D77,Milestones!$AA$180)&gt;=$R77),$U77,$T77)))=Milestones!$AB$180),TEXT(EDATE($D77,Milestones!$AA$180),"dd/mm/yy")&amp;" "&amp;Milestones!$AB$180&amp;" "&amp;Milestones!$AC$180&amp;";  ","")&amp;IF(AND(EDATE($D77,Milestones!$AA$181)&lt;=AsOfDate,IF($Q77=0,$W77,IF(AND($S77&lt;&gt;"",EDATE($D77,Milestones!$AA$181)&gt;=$S77),$V77,IF(AND($R77&lt;&gt;"",EDATE($D77,Milestones!$AA$181)&gt;=$R77),$U77,$T77)))=Milestones!$AB$181),TEXT(EDATE($D77,Milestones!$AA$181),"dd/mm/yy")&amp;" "&amp;Milestones!$AB$181&amp;" "&amp;Milestones!$AC$181&amp;";  ","")&amp;IF(AND(EDATE($D77,Milestones!$AA$182)&lt;=AsOfDate,IF($Q77=0,$W77,IF(AND($S77&lt;&gt;"",EDATE($D77,Milestones!$AA$182)&gt;=$S77),$V77,IF(AND($R77&lt;&gt;"",EDATE($D77,Milestones!$AA$182)&gt;=$R77),$U77,$T77)))=Milestones!$AB$182),TEXT(EDATE($D77,Milestones!$AA$182),"dd/mm/yy")&amp;" "&amp;Milestones!$AB$182&amp;" "&amp;Milestones!$AC$182&amp;";  ","")&amp;IF(AND(EDATE($D77,Milestones!$AA$183)&lt;=AsOfDate,IF($Q77=0,$W77,IF(AND($S77&lt;&gt;"",EDATE($D77,Milestones!$AA$183)&gt;=$S77),$V77,IF(AND($R77&lt;&gt;"",EDATE($D77,Milestones!$AA$183)&gt;=$R77),$U77,$T77)))=Milestones!$AB$183),TEXT(EDATE($D77,Milestones!$AA$183),"dd/mm/yy")&amp;" "&amp;Milestones!$AB$183&amp;" "&amp;Milestones!$AC$183&amp;";  ","")&amp;IF(AND(EDATE($D77,Milestones!$AA$184)&lt;=AsOfDate,IF($Q77=0,$W77,IF(AND($S77&lt;&gt;"",EDATE($D77,Milestones!$AA$184)&gt;=$S77),$V77,IF(AND($R77&lt;&gt;"",EDATE($D77,Milestones!$AA$184)&gt;=$R77),$U77,$T77)))=Milestones!$AB$184),TEXT(EDATE($D77,Milestones!$AA$184),"dd/mm/yy")&amp;" "&amp;Milestones!$AB$184&amp;" "&amp;Milestones!$AC$184&amp;";  ","")&amp;IF(AND(EDATE($D77,Milestones!$AA$185)&lt;=AsOfDate,IF($Q77=0,$W77,IF(AND($S77&lt;&gt;"",EDATE($D77,Milestones!$AA$185)&gt;=$S77),$V77,IF(AND($R77&lt;&gt;"",EDATE($D77,Milestones!$AA$185)&gt;=$R77),$U77,$T77)))=Milestones!$AB$185),TEXT(EDATE($D77,Milestones!$AA$185),"dd/mm/yy")&amp;" "&amp;Milestones!$AB$185&amp;" "&amp;Milestones!$AC$185&amp;";  ","")&amp;IF(AND(EDATE($D77,Milestones!$AA$186)&lt;=AsOfDate,IF($Q77=0,$W77,IF(AND($S77&lt;&gt;"",EDATE($D77,Milestones!$AA$186)&gt;=$S77),$V77,IF(AND($R77&lt;&gt;"",EDATE($D77,Milestones!$AA$186)&gt;=$R77),$U77,$T77)))=Milestones!$AB$186),TEXT(EDATE($D77,Milestones!$AA$186),"dd/mm/yy")&amp;" "&amp;Milestones!$AB$186&amp;" "&amp;Milestones!$AC$186&amp;";  ","")&amp;IF(AND(EDATE($D77,Milestones!$AA$187)&lt;=AsOfDate,IF($Q77=0,$W77,IF(AND($S77&lt;&gt;"",EDATE($D77,Milestones!$AA$187)&gt;=$S77),$V77,IF(AND($R77&lt;&gt;"",EDATE($D77,Milestones!$AA$187)&gt;=$R77),$U77,$T77)))=Milestones!$AB$187),TEXT(EDATE($D77,Milestones!$AA$187),"dd/mm/yy")&amp;" "&amp;Milestones!$AB$187&amp;" "&amp;Milestones!$AC$187&amp;";  ","")&amp;IF(AND(EDATE($D77,Milestones!$AA$188)&lt;=AsOfDate,IF($Q77=0,$W77,IF(AND($S77&lt;&gt;"",EDATE($D77,Milestones!$AA$188)&gt;=$S77),$V77,IF(AND($R77&lt;&gt;"",EDATE($D77,Milestones!$AA$188)&gt;=$R77),$U77,$T77)))=Milestones!$AB$188),TEXT(EDATE($D77,Milestones!$AA$188),"dd/mm/yy")&amp;" "&amp;Milestones!$AB$188&amp;" "&amp;Milestones!$AC$188&amp;";  ","")&amp;IF(AND(EDATE($D77,Milestones!$AA$189)&lt;=AsOfDate,IF($Q77=0,$W77,IF(AND($S77&lt;&gt;"",EDATE($D77,Milestones!$AA$189)&gt;=$S77),$V77,IF(AND($R77&lt;&gt;"",EDATE($D77,Milestones!$AA$189)&gt;=$R77),$U77,$T77)))=Milestones!$AB$189),TEXT(EDATE($D77,Milestones!$AA$189),"dd/mm/yy")&amp;" "&amp;Milestones!$AB$189&amp;" "&amp;Milestones!$AC$189&amp;";  ","")&amp;IF(AND(EDATE($D77,Milestones!$AA$190)&lt;=AsOfDate,IF($Q77=0,$W77,IF(AND($S77&lt;&gt;"",EDATE($D77,Milestones!$AA$190)&gt;=$S77),$V77,IF(AND($R77&lt;&gt;"",EDATE($D77,Milestones!$AA$190)&gt;=$R77),$U77,$T77)))=Milestones!$AB$190),TEXT(EDATE($D77,Milestones!$AA$190),"dd/mm/yy")&amp;" "&amp;Milestones!$AB$190&amp;" "&amp;Milestones!$AC$190&amp;";  ","")&amp;IF(AND(EDATE($D77,Milestones!$AA$191)&lt;=AsOfDate,IF($Q77=0,$W77,IF(AND($S77&lt;&gt;"",EDATE($D77,Milestones!$AA$191)&gt;=$S77),$V77,IF(AND($R77&lt;&gt;"",EDATE($D77,Milestones!$AA$191)&gt;=$R77),$U77,$T77)))=Milestones!$AB$191),TEXT(EDATE($D77,Milestones!$AA$191),"dd/mm/yy")&amp;" "&amp;Milestones!$AB$191&amp;" "&amp;Milestones!$AC$191&amp;";  ","")&amp;IF(AND(EDATE($D77,Milestones!$AA$192)&lt;=AsOfDate,IF($Q77=0,$W77,IF(AND($S77&lt;&gt;"",EDATE($D77,Milestones!$AA$192)&gt;=$S77),$V77,IF(AND($R77&lt;&gt;"",EDATE($D77,Milestones!$AA$192)&gt;=$R77),$U77,$T77)))=Milestones!$AB$192),TEXT(EDATE($D77,Milestones!$AA$192),"dd/mm/yy")&amp;" "&amp;Milestones!$AB$192&amp;" "&amp;Milestones!$AC$192&amp;";  ","")&amp;IF(AND(EDATE($D77,Milestones!$AA$193)&lt;=AsOfDate,IF($Q77=0,$W77,IF(AND($S77&lt;&gt;"",EDATE($D77,Milestones!$AA$193)&gt;=$S77),$V77,IF(AND($R77&lt;&gt;"",EDATE($D77,Milestones!$AA$193)&gt;=$R77),$U77,$T77)))=Milestones!$AB$193),TEXT(EDATE($D77,Milestones!$AA$193),"dd/mm/yy")&amp;" "&amp;Milestones!$AB$193&amp;" "&amp;Milestones!$AC$193&amp;";  ","")&amp;IF(AND(EDATE($D77,Milestones!$AA$194)&lt;=AsOfDate,IF($Q77=0,$W77,IF(AND($S77&lt;&gt;"",EDATE($D77,Milestones!$AA$194)&gt;=$S77),$V77,IF(AND($R77&lt;&gt;"",EDATE($D77,Milestones!$AA$194)&gt;=$R77),$U77,$T77)))=Milestones!$AB$194),TEXT(EDATE($D77,Milestones!$AA$194),"dd/mm/yy")&amp;" "&amp;Milestones!$AB$194&amp;" "&amp;Milestones!$AC$194&amp;";  ","")&amp;IF(AND(EDATE($D77,Milestones!$AA$195)&lt;=AsOfDate,IF($Q77=0,$W77,IF(AND($S77&lt;&gt;"",EDATE($D77,Milestones!$AA$195)&gt;=$S77),$V77,IF(AND($R77&lt;&gt;"",EDATE($D77,Milestones!$AA$195)&gt;=$R77),$U77,$T77)))=Milestones!$AB$195),TEXT(EDATE($D77,Milestones!$AA$195),"dd/mm/yy")&amp;" "&amp;Milestones!$AB$195&amp;" "&amp;Milestones!$AC$195&amp;";  ","")&amp;IF(AND(EDATE($D77,Milestones!$AA$196)&lt;=AsOfDate,IF($Q77=0,$W77,IF(AND($S77&lt;&gt;"",EDATE($D77,Milestones!$AA$196)&gt;=$S77),$V77,IF(AND($R77&lt;&gt;"",EDATE($D77,Milestones!$AA$196)&gt;=$R77),$U77,$T77)))=Milestones!$AB$196),TEXT(EDATE($D77,Milestones!$AA$196),"dd/mm/yy")&amp;" "&amp;Milestones!$AB$196&amp;" "&amp;Milestones!$AC$196&amp;";  ","")&amp;IF(AND(EDATE($D77,Milestones!$AA$197)&lt;=AsOfDate,IF($Q77=0,$W77,IF(AND($S77&lt;&gt;"",EDATE($D77,Milestones!$AA$197)&gt;=$S77),$V77,IF(AND($R77&lt;&gt;"",EDATE($D77,Milestones!$AA$197)&gt;=$R77),$U77,$T77)))=Milestones!$AB$197),TEXT(EDATE($D77,Milestones!$AA$197),"dd/mm/yy")&amp;" "&amp;Milestones!$AB$197&amp;" "&amp;Milestones!$AC$197&amp;";  ","")&amp;IF(AND(EDATE($D77,Milestones!$AA$198)&lt;=AsOfDate,IF($Q77=0,$W77,IF(AND($S77&lt;&gt;"",EDATE($D77,Milestones!$AA$198)&gt;=$S77),$V77,IF(AND($R77&lt;&gt;"",EDATE($D77,Milestones!$AA$198)&gt;=$R77),$U77,$T77)))=Milestones!$AB$198),TEXT(EDATE($D77,Milestones!$AA$198),"dd/mm/yy")&amp;" "&amp;Milestones!$AB$198&amp;" "&amp;Milestones!$AC$198&amp;";  ","")&amp;IF(AND(EDATE($D77,Milestones!$AA$199)&lt;=AsOfDate,IF($Q77=0,$W77,IF(AND($S77&lt;&gt;"",EDATE($D77,Milestones!$AA$199)&gt;=$S77),$V77,IF(AND($R77&lt;&gt;"",EDATE($D77,Milestones!$AA$199)&gt;=$R77),$U77,$T77)))=Milestones!$AB$199),TEXT(EDATE($D77,Milestones!$AA$199),"dd/mm/yy")&amp;" "&amp;Milestones!$AB$199&amp;" "&amp;Milestones!$AC$199&amp;";  ",""))</f>
        <v/>
      </c>
      <c r="Q77" s="0" t="str">
        <f aca="false">IF(Staff!$A77="","",Staff!$AG77)</f>
        <v/>
      </c>
      <c r="R77" s="0" t="str">
        <f aca="false">IF(Staff!$A77="","",Staff!$AI77)</f>
        <v/>
      </c>
      <c r="S77" s="0" t="str">
        <f aca="false">IF(Staff!$A77="","",Staff!$AJ77)</f>
        <v/>
      </c>
      <c r="T77" s="0" t="str">
        <f aca="false">IF(Staff!$A77="","",Staff!$AN77)</f>
        <v/>
      </c>
      <c r="U77" s="0" t="str">
        <f aca="false">IF(Staff!$A77="","",Staff!$AO77)</f>
        <v/>
      </c>
      <c r="V77" s="0" t="str">
        <f aca="false">IF(Staff!$A77="","",Staff!$AP77)</f>
        <v/>
      </c>
      <c r="W77" s="0" t="str">
        <f aca="false">IF(Staff!$A77="","",Staff!$AQ77)</f>
        <v/>
      </c>
    </row>
    <row r="78" customFormat="false" ht="15" hidden="false" customHeight="false" outlineLevel="0" collapsed="false">
      <c r="A78" s="13" t="str">
        <f aca="false">IF(Staff!$A78="","",Staff!$A78)</f>
        <v/>
      </c>
      <c r="B78" s="13" t="str">
        <f aca="false">IF(Staff!$A78="","",Staff!$B78)</f>
        <v/>
      </c>
      <c r="C78" s="13" t="str">
        <f aca="false">IF(Staff!$A78="","",Staff!$C78)</f>
        <v/>
      </c>
      <c r="D78" s="11" t="str">
        <f aca="false">IF(Staff!$A78="","",Staff!$AF78)</f>
        <v/>
      </c>
      <c r="E78" s="13" t="str">
        <f aca="false">IF(Staff!$A78="","",Staff!$O78)</f>
        <v/>
      </c>
      <c r="F78" s="13" t="str">
        <f aca="false">IF(E78="","",E78*HoursPerDay)</f>
        <v/>
      </c>
      <c r="G78" s="26" t="str">
        <f aca="false">IF($A78="","",H78&amp;I78&amp;J78&amp;K78&amp;L78&amp;M78&amp;N78&amp;O78&amp;P78)</f>
        <v/>
      </c>
      <c r="H78" s="0" t="str">
        <f aca="false">IF(OR($A78="",$D78=""),"",IF(AND(EDATE($D78,Milestones!$AA$20)&lt;=AsOfDate,IF($Q78=0,$W78,IF(AND($S78&lt;&gt;"",EDATE($D78,Milestones!$AA$20)&gt;=$S78),$V78,IF(AND($R78&lt;&gt;"",EDATE($D78,Milestones!$AA$20)&gt;=$R78),$U78,$T78)))=Milestones!$AB$20),TEXT(EDATE($D78,Milestones!$AA$20),"dd/mm/yy")&amp;" "&amp;Milestones!$AB$20&amp;" "&amp;Milestones!$AC$20&amp;";  ","")&amp;IF(AND(EDATE($D78,Milestones!$AA$21)&lt;=AsOfDate,IF($Q78=0,$W78,IF(AND($S78&lt;&gt;"",EDATE($D78,Milestones!$AA$21)&gt;=$S78),$V78,IF(AND($R78&lt;&gt;"",EDATE($D78,Milestones!$AA$21)&gt;=$R78),$U78,$T78)))=Milestones!$AB$21),TEXT(EDATE($D78,Milestones!$AA$21),"dd/mm/yy")&amp;" "&amp;Milestones!$AB$21&amp;" "&amp;Milestones!$AC$21&amp;";  ","")&amp;IF(AND(EDATE($D78,Milestones!$AA$22)&lt;=AsOfDate,IF($Q78=0,$W78,IF(AND($S78&lt;&gt;"",EDATE($D78,Milestones!$AA$22)&gt;=$S78),$V78,IF(AND($R78&lt;&gt;"",EDATE($D78,Milestones!$AA$22)&gt;=$R78),$U78,$T78)))=Milestones!$AB$22),TEXT(EDATE($D78,Milestones!$AA$22),"dd/mm/yy")&amp;" "&amp;Milestones!$AB$22&amp;" "&amp;Milestones!$AC$22&amp;";  ","")&amp;IF(AND(EDATE($D78,Milestones!$AA$23)&lt;=AsOfDate,IF($Q78=0,$W78,IF(AND($S78&lt;&gt;"",EDATE($D78,Milestones!$AA$23)&gt;=$S78),$V78,IF(AND($R78&lt;&gt;"",EDATE($D78,Milestones!$AA$23)&gt;=$R78),$U78,$T78)))=Milestones!$AB$23),TEXT(EDATE($D78,Milestones!$AA$23),"dd/mm/yy")&amp;" "&amp;Milestones!$AB$23&amp;" "&amp;Milestones!$AC$23&amp;";  ","")&amp;IF(AND(EDATE($D78,Milestones!$AA$24)&lt;=AsOfDate,IF($Q78=0,$W78,IF(AND($S78&lt;&gt;"",EDATE($D78,Milestones!$AA$24)&gt;=$S78),$V78,IF(AND($R78&lt;&gt;"",EDATE($D78,Milestones!$AA$24)&gt;=$R78),$U78,$T78)))=Milestones!$AB$24),TEXT(EDATE($D78,Milestones!$AA$24),"dd/mm/yy")&amp;" "&amp;Milestones!$AB$24&amp;" "&amp;Milestones!$AC$24&amp;";  ","")&amp;IF(AND(EDATE($D78,Milestones!$AA$25)&lt;=AsOfDate,IF($Q78=0,$W78,IF(AND($S78&lt;&gt;"",EDATE($D78,Milestones!$AA$25)&gt;=$S78),$V78,IF(AND($R78&lt;&gt;"",EDATE($D78,Milestones!$AA$25)&gt;=$R78),$U78,$T78)))=Milestones!$AB$25),TEXT(EDATE($D78,Milestones!$AA$25),"dd/mm/yy")&amp;" "&amp;Milestones!$AB$25&amp;" "&amp;Milestones!$AC$25&amp;";  ","")&amp;IF(AND(EDATE($D78,Milestones!$AA$26)&lt;=AsOfDate,IF($Q78=0,$W78,IF(AND($S78&lt;&gt;"",EDATE($D78,Milestones!$AA$26)&gt;=$S78),$V78,IF(AND($R78&lt;&gt;"",EDATE($D78,Milestones!$AA$26)&gt;=$R78),$U78,$T78)))=Milestones!$AB$26),TEXT(EDATE($D78,Milestones!$AA$26),"dd/mm/yy")&amp;" "&amp;Milestones!$AB$26&amp;" "&amp;Milestones!$AC$26&amp;";  ","")&amp;IF(AND(EDATE($D78,Milestones!$AA$27)&lt;=AsOfDate,IF($Q78=0,$W78,IF(AND($S78&lt;&gt;"",EDATE($D78,Milestones!$AA$27)&gt;=$S78),$V78,IF(AND($R78&lt;&gt;"",EDATE($D78,Milestones!$AA$27)&gt;=$R78),$U78,$T78)))=Milestones!$AB$27),TEXT(EDATE($D78,Milestones!$AA$27),"dd/mm/yy")&amp;" "&amp;Milestones!$AB$27&amp;" "&amp;Milestones!$AC$27&amp;";  ","")&amp;IF(AND(EDATE($D78,Milestones!$AA$28)&lt;=AsOfDate,IF($Q78=0,$W78,IF(AND($S78&lt;&gt;"",EDATE($D78,Milestones!$AA$28)&gt;=$S78),$V78,IF(AND($R78&lt;&gt;"",EDATE($D78,Milestones!$AA$28)&gt;=$R78),$U78,$T78)))=Milestones!$AB$28),TEXT(EDATE($D78,Milestones!$AA$28),"dd/mm/yy")&amp;" "&amp;Milestones!$AB$28&amp;" "&amp;Milestones!$AC$28&amp;";  ","")&amp;IF(AND(EDATE($D78,Milestones!$AA$29)&lt;=AsOfDate,IF($Q78=0,$W78,IF(AND($S78&lt;&gt;"",EDATE($D78,Milestones!$AA$29)&gt;=$S78),$V78,IF(AND($R78&lt;&gt;"",EDATE($D78,Milestones!$AA$29)&gt;=$R78),$U78,$T78)))=Milestones!$AB$29),TEXT(EDATE($D78,Milestones!$AA$29),"dd/mm/yy")&amp;" "&amp;Milestones!$AB$29&amp;" "&amp;Milestones!$AC$29&amp;";  ","")&amp;IF(AND(EDATE($D78,Milestones!$AA$30)&lt;=AsOfDate,IF($Q78=0,$W78,IF(AND($S78&lt;&gt;"",EDATE($D78,Milestones!$AA$30)&gt;=$S78),$V78,IF(AND($R78&lt;&gt;"",EDATE($D78,Milestones!$AA$30)&gt;=$R78),$U78,$T78)))=Milestones!$AB$30),TEXT(EDATE($D78,Milestones!$AA$30),"dd/mm/yy")&amp;" "&amp;Milestones!$AB$30&amp;" "&amp;Milestones!$AC$30&amp;";  ","")&amp;IF(AND(EDATE($D78,Milestones!$AA$31)&lt;=AsOfDate,IF($Q78=0,$W78,IF(AND($S78&lt;&gt;"",EDATE($D78,Milestones!$AA$31)&gt;=$S78),$V78,IF(AND($R78&lt;&gt;"",EDATE($D78,Milestones!$AA$31)&gt;=$R78),$U78,$T78)))=Milestones!$AB$31),TEXT(EDATE($D78,Milestones!$AA$31),"dd/mm/yy")&amp;" "&amp;Milestones!$AB$31&amp;" "&amp;Milestones!$AC$31&amp;";  ","")&amp;IF(AND(EDATE($D78,Milestones!$AA$32)&lt;=AsOfDate,IF($Q78=0,$W78,IF(AND($S78&lt;&gt;"",EDATE($D78,Milestones!$AA$32)&gt;=$S78),$V78,IF(AND($R78&lt;&gt;"",EDATE($D78,Milestones!$AA$32)&gt;=$R78),$U78,$T78)))=Milestones!$AB$32),TEXT(EDATE($D78,Milestones!$AA$32),"dd/mm/yy")&amp;" "&amp;Milestones!$AB$32&amp;" "&amp;Milestones!$AC$32&amp;";  ","")&amp;IF(AND(EDATE($D78,Milestones!$AA$33)&lt;=AsOfDate,IF($Q78=0,$W78,IF(AND($S78&lt;&gt;"",EDATE($D78,Milestones!$AA$33)&gt;=$S78),$V78,IF(AND($R78&lt;&gt;"",EDATE($D78,Milestones!$AA$33)&gt;=$R78),$U78,$T78)))=Milestones!$AB$33),TEXT(EDATE($D78,Milestones!$AA$33),"dd/mm/yy")&amp;" "&amp;Milestones!$AB$33&amp;" "&amp;Milestones!$AC$33&amp;";  ","")&amp;IF(AND(EDATE($D78,Milestones!$AA$34)&lt;=AsOfDate,IF($Q78=0,$W78,IF(AND($S78&lt;&gt;"",EDATE($D78,Milestones!$AA$34)&gt;=$S78),$V78,IF(AND($R78&lt;&gt;"",EDATE($D78,Milestones!$AA$34)&gt;=$R78),$U78,$T78)))=Milestones!$AB$34),TEXT(EDATE($D78,Milestones!$AA$34),"dd/mm/yy")&amp;" "&amp;Milestones!$AB$34&amp;" "&amp;Milestones!$AC$34&amp;";  ","")&amp;IF(AND(EDATE($D78,Milestones!$AA$35)&lt;=AsOfDate,IF($Q78=0,$W78,IF(AND($S78&lt;&gt;"",EDATE($D78,Milestones!$AA$35)&gt;=$S78),$V78,IF(AND($R78&lt;&gt;"",EDATE($D78,Milestones!$AA$35)&gt;=$R78),$U78,$T78)))=Milestones!$AB$35),TEXT(EDATE($D78,Milestones!$AA$35),"dd/mm/yy")&amp;" "&amp;Milestones!$AB$35&amp;" "&amp;Milestones!$AC$35&amp;";  ","")&amp;IF(AND(EDATE($D78,Milestones!$AA$36)&lt;=AsOfDate,IF($Q78=0,$W78,IF(AND($S78&lt;&gt;"",EDATE($D78,Milestones!$AA$36)&gt;=$S78),$V78,IF(AND($R78&lt;&gt;"",EDATE($D78,Milestones!$AA$36)&gt;=$R78),$U78,$T78)))=Milestones!$AB$36),TEXT(EDATE($D78,Milestones!$AA$36),"dd/mm/yy")&amp;" "&amp;Milestones!$AB$36&amp;" "&amp;Milestones!$AC$36&amp;";  ","")&amp;IF(AND(EDATE($D78,Milestones!$AA$37)&lt;=AsOfDate,IF($Q78=0,$W78,IF(AND($S78&lt;&gt;"",EDATE($D78,Milestones!$AA$37)&gt;=$S78),$V78,IF(AND($R78&lt;&gt;"",EDATE($D78,Milestones!$AA$37)&gt;=$R78),$U78,$T78)))=Milestones!$AB$37),TEXT(EDATE($D78,Milestones!$AA$37),"dd/mm/yy")&amp;" "&amp;Milestones!$AB$37&amp;" "&amp;Milestones!$AC$37&amp;";  ","")&amp;IF(AND(EDATE($D78,Milestones!$AA$38)&lt;=AsOfDate,IF($Q78=0,$W78,IF(AND($S78&lt;&gt;"",EDATE($D78,Milestones!$AA$38)&gt;=$S78),$V78,IF(AND($R78&lt;&gt;"",EDATE($D78,Milestones!$AA$38)&gt;=$R78),$U78,$T78)))=Milestones!$AB$38),TEXT(EDATE($D78,Milestones!$AA$38),"dd/mm/yy")&amp;" "&amp;Milestones!$AB$38&amp;" "&amp;Milestones!$AC$38&amp;";  ","")&amp;IF(AND(EDATE($D78,Milestones!$AA$39)&lt;=AsOfDate,IF($Q78=0,$W78,IF(AND($S78&lt;&gt;"",EDATE($D78,Milestones!$AA$39)&gt;=$S78),$V78,IF(AND($R78&lt;&gt;"",EDATE($D78,Milestones!$AA$39)&gt;=$R78),$U78,$T78)))=Milestones!$AB$39),TEXT(EDATE($D78,Milestones!$AA$39),"dd/mm/yy")&amp;" "&amp;Milestones!$AB$39&amp;" "&amp;Milestones!$AC$39&amp;";  ",""))</f>
        <v/>
      </c>
      <c r="I78" s="0" t="str">
        <f aca="false">IF(OR($A78="",$D78=""),"",IF(AND(EDATE($D78,Milestones!$AA$40)&lt;=AsOfDate,IF($Q78=0,$W78,IF(AND($S78&lt;&gt;"",EDATE($D78,Milestones!$AA$40)&gt;=$S78),$V78,IF(AND($R78&lt;&gt;"",EDATE($D78,Milestones!$AA$40)&gt;=$R78),$U78,$T78)))=Milestones!$AB$40),TEXT(EDATE($D78,Milestones!$AA$40),"dd/mm/yy")&amp;" "&amp;Milestones!$AB$40&amp;" "&amp;Milestones!$AC$40&amp;";  ","")&amp;IF(AND(EDATE($D78,Milestones!$AA$41)&lt;=AsOfDate,IF($Q78=0,$W78,IF(AND($S78&lt;&gt;"",EDATE($D78,Milestones!$AA$41)&gt;=$S78),$V78,IF(AND($R78&lt;&gt;"",EDATE($D78,Milestones!$AA$41)&gt;=$R78),$U78,$T78)))=Milestones!$AB$41),TEXT(EDATE($D78,Milestones!$AA$41),"dd/mm/yy")&amp;" "&amp;Milestones!$AB$41&amp;" "&amp;Milestones!$AC$41&amp;";  ","")&amp;IF(AND(EDATE($D78,Milestones!$AA$42)&lt;=AsOfDate,IF($Q78=0,$W78,IF(AND($S78&lt;&gt;"",EDATE($D78,Milestones!$AA$42)&gt;=$S78),$V78,IF(AND($R78&lt;&gt;"",EDATE($D78,Milestones!$AA$42)&gt;=$R78),$U78,$T78)))=Milestones!$AB$42),TEXT(EDATE($D78,Milestones!$AA$42),"dd/mm/yy")&amp;" "&amp;Milestones!$AB$42&amp;" "&amp;Milestones!$AC$42&amp;";  ","")&amp;IF(AND(EDATE($D78,Milestones!$AA$43)&lt;=AsOfDate,IF($Q78=0,$W78,IF(AND($S78&lt;&gt;"",EDATE($D78,Milestones!$AA$43)&gt;=$S78),$V78,IF(AND($R78&lt;&gt;"",EDATE($D78,Milestones!$AA$43)&gt;=$R78),$U78,$T78)))=Milestones!$AB$43),TEXT(EDATE($D78,Milestones!$AA$43),"dd/mm/yy")&amp;" "&amp;Milestones!$AB$43&amp;" "&amp;Milestones!$AC$43&amp;";  ","")&amp;IF(AND(EDATE($D78,Milestones!$AA$44)&lt;=AsOfDate,IF($Q78=0,$W78,IF(AND($S78&lt;&gt;"",EDATE($D78,Milestones!$AA$44)&gt;=$S78),$V78,IF(AND($R78&lt;&gt;"",EDATE($D78,Milestones!$AA$44)&gt;=$R78),$U78,$T78)))=Milestones!$AB$44),TEXT(EDATE($D78,Milestones!$AA$44),"dd/mm/yy")&amp;" "&amp;Milestones!$AB$44&amp;" "&amp;Milestones!$AC$44&amp;";  ","")&amp;IF(AND(EDATE($D78,Milestones!$AA$45)&lt;=AsOfDate,IF($Q78=0,$W78,IF(AND($S78&lt;&gt;"",EDATE($D78,Milestones!$AA$45)&gt;=$S78),$V78,IF(AND($R78&lt;&gt;"",EDATE($D78,Milestones!$AA$45)&gt;=$R78),$U78,$T78)))=Milestones!$AB$45),TEXT(EDATE($D78,Milestones!$AA$45),"dd/mm/yy")&amp;" "&amp;Milestones!$AB$45&amp;" "&amp;Milestones!$AC$45&amp;";  ","")&amp;IF(AND(EDATE($D78,Milestones!$AA$46)&lt;=AsOfDate,IF($Q78=0,$W78,IF(AND($S78&lt;&gt;"",EDATE($D78,Milestones!$AA$46)&gt;=$S78),$V78,IF(AND($R78&lt;&gt;"",EDATE($D78,Milestones!$AA$46)&gt;=$R78),$U78,$T78)))=Milestones!$AB$46),TEXT(EDATE($D78,Milestones!$AA$46),"dd/mm/yy")&amp;" "&amp;Milestones!$AB$46&amp;" "&amp;Milestones!$AC$46&amp;";  ","")&amp;IF(AND(EDATE($D78,Milestones!$AA$47)&lt;=AsOfDate,IF($Q78=0,$W78,IF(AND($S78&lt;&gt;"",EDATE($D78,Milestones!$AA$47)&gt;=$S78),$V78,IF(AND($R78&lt;&gt;"",EDATE($D78,Milestones!$AA$47)&gt;=$R78),$U78,$T78)))=Milestones!$AB$47),TEXT(EDATE($D78,Milestones!$AA$47),"dd/mm/yy")&amp;" "&amp;Milestones!$AB$47&amp;" "&amp;Milestones!$AC$47&amp;";  ","")&amp;IF(AND(EDATE($D78,Milestones!$AA$48)&lt;=AsOfDate,IF($Q78=0,$W78,IF(AND($S78&lt;&gt;"",EDATE($D78,Milestones!$AA$48)&gt;=$S78),$V78,IF(AND($R78&lt;&gt;"",EDATE($D78,Milestones!$AA$48)&gt;=$R78),$U78,$T78)))=Milestones!$AB$48),TEXT(EDATE($D78,Milestones!$AA$48),"dd/mm/yy")&amp;" "&amp;Milestones!$AB$48&amp;" "&amp;Milestones!$AC$48&amp;";  ","")&amp;IF(AND(EDATE($D78,Milestones!$AA$49)&lt;=AsOfDate,IF($Q78=0,$W78,IF(AND($S78&lt;&gt;"",EDATE($D78,Milestones!$AA$49)&gt;=$S78),$V78,IF(AND($R78&lt;&gt;"",EDATE($D78,Milestones!$AA$49)&gt;=$R78),$U78,$T78)))=Milestones!$AB$49),TEXT(EDATE($D78,Milestones!$AA$49),"dd/mm/yy")&amp;" "&amp;Milestones!$AB$49&amp;" "&amp;Milestones!$AC$49&amp;";  ","")&amp;IF(AND(EDATE($D78,Milestones!$AA$50)&lt;=AsOfDate,IF($Q78=0,$W78,IF(AND($S78&lt;&gt;"",EDATE($D78,Milestones!$AA$50)&gt;=$S78),$V78,IF(AND($R78&lt;&gt;"",EDATE($D78,Milestones!$AA$50)&gt;=$R78),$U78,$T78)))=Milestones!$AB$50),TEXT(EDATE($D78,Milestones!$AA$50),"dd/mm/yy")&amp;" "&amp;Milestones!$AB$50&amp;" "&amp;Milestones!$AC$50&amp;";  ","")&amp;IF(AND(EDATE($D78,Milestones!$AA$51)&lt;=AsOfDate,IF($Q78=0,$W78,IF(AND($S78&lt;&gt;"",EDATE($D78,Milestones!$AA$51)&gt;=$S78),$V78,IF(AND($R78&lt;&gt;"",EDATE($D78,Milestones!$AA$51)&gt;=$R78),$U78,$T78)))=Milestones!$AB$51),TEXT(EDATE($D78,Milestones!$AA$51),"dd/mm/yy")&amp;" "&amp;Milestones!$AB$51&amp;" "&amp;Milestones!$AC$51&amp;";  ","")&amp;IF(AND(EDATE($D78,Milestones!$AA$52)&lt;=AsOfDate,IF($Q78=0,$W78,IF(AND($S78&lt;&gt;"",EDATE($D78,Milestones!$AA$52)&gt;=$S78),$V78,IF(AND($R78&lt;&gt;"",EDATE($D78,Milestones!$AA$52)&gt;=$R78),$U78,$T78)))=Milestones!$AB$52),TEXT(EDATE($D78,Milestones!$AA$52),"dd/mm/yy")&amp;" "&amp;Milestones!$AB$52&amp;" "&amp;Milestones!$AC$52&amp;";  ","")&amp;IF(AND(EDATE($D78,Milestones!$AA$53)&lt;=AsOfDate,IF($Q78=0,$W78,IF(AND($S78&lt;&gt;"",EDATE($D78,Milestones!$AA$53)&gt;=$S78),$V78,IF(AND($R78&lt;&gt;"",EDATE($D78,Milestones!$AA$53)&gt;=$R78),$U78,$T78)))=Milestones!$AB$53),TEXT(EDATE($D78,Milestones!$AA$53),"dd/mm/yy")&amp;" "&amp;Milestones!$AB$53&amp;" "&amp;Milestones!$AC$53&amp;";  ","")&amp;IF(AND(EDATE($D78,Milestones!$AA$54)&lt;=AsOfDate,IF($Q78=0,$W78,IF(AND($S78&lt;&gt;"",EDATE($D78,Milestones!$AA$54)&gt;=$S78),$V78,IF(AND($R78&lt;&gt;"",EDATE($D78,Milestones!$AA$54)&gt;=$R78),$U78,$T78)))=Milestones!$AB$54),TEXT(EDATE($D78,Milestones!$AA$54),"dd/mm/yy")&amp;" "&amp;Milestones!$AB$54&amp;" "&amp;Milestones!$AC$54&amp;";  ","")&amp;IF(AND(EDATE($D78,Milestones!$AA$55)&lt;=AsOfDate,IF($Q78=0,$W78,IF(AND($S78&lt;&gt;"",EDATE($D78,Milestones!$AA$55)&gt;=$S78),$V78,IF(AND($R78&lt;&gt;"",EDATE($D78,Milestones!$AA$55)&gt;=$R78),$U78,$T78)))=Milestones!$AB$55),TEXT(EDATE($D78,Milestones!$AA$55),"dd/mm/yy")&amp;" "&amp;Milestones!$AB$55&amp;" "&amp;Milestones!$AC$55&amp;";  ","")&amp;IF(AND(EDATE($D78,Milestones!$AA$56)&lt;=AsOfDate,IF($Q78=0,$W78,IF(AND($S78&lt;&gt;"",EDATE($D78,Milestones!$AA$56)&gt;=$S78),$V78,IF(AND($R78&lt;&gt;"",EDATE($D78,Milestones!$AA$56)&gt;=$R78),$U78,$T78)))=Milestones!$AB$56),TEXT(EDATE($D78,Milestones!$AA$56),"dd/mm/yy")&amp;" "&amp;Milestones!$AB$56&amp;" "&amp;Milestones!$AC$56&amp;";  ","")&amp;IF(AND(EDATE($D78,Milestones!$AA$57)&lt;=AsOfDate,IF($Q78=0,$W78,IF(AND($S78&lt;&gt;"",EDATE($D78,Milestones!$AA$57)&gt;=$S78),$V78,IF(AND($R78&lt;&gt;"",EDATE($D78,Milestones!$AA$57)&gt;=$R78),$U78,$T78)))=Milestones!$AB$57),TEXT(EDATE($D78,Milestones!$AA$57),"dd/mm/yy")&amp;" "&amp;Milestones!$AB$57&amp;" "&amp;Milestones!$AC$57&amp;";  ","")&amp;IF(AND(EDATE($D78,Milestones!$AA$58)&lt;=AsOfDate,IF($Q78=0,$W78,IF(AND($S78&lt;&gt;"",EDATE($D78,Milestones!$AA$58)&gt;=$S78),$V78,IF(AND($R78&lt;&gt;"",EDATE($D78,Milestones!$AA$58)&gt;=$R78),$U78,$T78)))=Milestones!$AB$58),TEXT(EDATE($D78,Milestones!$AA$58),"dd/mm/yy")&amp;" "&amp;Milestones!$AB$58&amp;" "&amp;Milestones!$AC$58&amp;";  ","")&amp;IF(AND(EDATE($D78,Milestones!$AA$59)&lt;=AsOfDate,IF($Q78=0,$W78,IF(AND($S78&lt;&gt;"",EDATE($D78,Milestones!$AA$59)&gt;=$S78),$V78,IF(AND($R78&lt;&gt;"",EDATE($D78,Milestones!$AA$59)&gt;=$R78),$U78,$T78)))=Milestones!$AB$59),TEXT(EDATE($D78,Milestones!$AA$59),"dd/mm/yy")&amp;" "&amp;Milestones!$AB$59&amp;" "&amp;Milestones!$AC$59&amp;";  ",""))</f>
        <v/>
      </c>
      <c r="J78" s="0" t="str">
        <f aca="false">IF(OR($A78="",$D78=""),"",IF(AND(EDATE($D78,Milestones!$AA$60)&lt;=AsOfDate,IF($Q78=0,$W78,IF(AND($S78&lt;&gt;"",EDATE($D78,Milestones!$AA$60)&gt;=$S78),$V78,IF(AND($R78&lt;&gt;"",EDATE($D78,Milestones!$AA$60)&gt;=$R78),$U78,$T78)))=Milestones!$AB$60),TEXT(EDATE($D78,Milestones!$AA$60),"dd/mm/yy")&amp;" "&amp;Milestones!$AB$60&amp;" "&amp;Milestones!$AC$60&amp;";  ","")&amp;IF(AND(EDATE($D78,Milestones!$AA$61)&lt;=AsOfDate,IF($Q78=0,$W78,IF(AND($S78&lt;&gt;"",EDATE($D78,Milestones!$AA$61)&gt;=$S78),$V78,IF(AND($R78&lt;&gt;"",EDATE($D78,Milestones!$AA$61)&gt;=$R78),$U78,$T78)))=Milestones!$AB$61),TEXT(EDATE($D78,Milestones!$AA$61),"dd/mm/yy")&amp;" "&amp;Milestones!$AB$61&amp;" "&amp;Milestones!$AC$61&amp;";  ","")&amp;IF(AND(EDATE($D78,Milestones!$AA$62)&lt;=AsOfDate,IF($Q78=0,$W78,IF(AND($S78&lt;&gt;"",EDATE($D78,Milestones!$AA$62)&gt;=$S78),$V78,IF(AND($R78&lt;&gt;"",EDATE($D78,Milestones!$AA$62)&gt;=$R78),$U78,$T78)))=Milestones!$AB$62),TEXT(EDATE($D78,Milestones!$AA$62),"dd/mm/yy")&amp;" "&amp;Milestones!$AB$62&amp;" "&amp;Milestones!$AC$62&amp;";  ","")&amp;IF(AND(EDATE($D78,Milestones!$AA$63)&lt;=AsOfDate,IF($Q78=0,$W78,IF(AND($S78&lt;&gt;"",EDATE($D78,Milestones!$AA$63)&gt;=$S78),$V78,IF(AND($R78&lt;&gt;"",EDATE($D78,Milestones!$AA$63)&gt;=$R78),$U78,$T78)))=Milestones!$AB$63),TEXT(EDATE($D78,Milestones!$AA$63),"dd/mm/yy")&amp;" "&amp;Milestones!$AB$63&amp;" "&amp;Milestones!$AC$63&amp;";  ","")&amp;IF(AND(EDATE($D78,Milestones!$AA$64)&lt;=AsOfDate,IF($Q78=0,$W78,IF(AND($S78&lt;&gt;"",EDATE($D78,Milestones!$AA$64)&gt;=$S78),$V78,IF(AND($R78&lt;&gt;"",EDATE($D78,Milestones!$AA$64)&gt;=$R78),$U78,$T78)))=Milestones!$AB$64),TEXT(EDATE($D78,Milestones!$AA$64),"dd/mm/yy")&amp;" "&amp;Milestones!$AB$64&amp;" "&amp;Milestones!$AC$64&amp;";  ","")&amp;IF(AND(EDATE($D78,Milestones!$AA$65)&lt;=AsOfDate,IF($Q78=0,$W78,IF(AND($S78&lt;&gt;"",EDATE($D78,Milestones!$AA$65)&gt;=$S78),$V78,IF(AND($R78&lt;&gt;"",EDATE($D78,Milestones!$AA$65)&gt;=$R78),$U78,$T78)))=Milestones!$AB$65),TEXT(EDATE($D78,Milestones!$AA$65),"dd/mm/yy")&amp;" "&amp;Milestones!$AB$65&amp;" "&amp;Milestones!$AC$65&amp;";  ","")&amp;IF(AND(EDATE($D78,Milestones!$AA$66)&lt;=AsOfDate,IF($Q78=0,$W78,IF(AND($S78&lt;&gt;"",EDATE($D78,Milestones!$AA$66)&gt;=$S78),$V78,IF(AND($R78&lt;&gt;"",EDATE($D78,Milestones!$AA$66)&gt;=$R78),$U78,$T78)))=Milestones!$AB$66),TEXT(EDATE($D78,Milestones!$AA$66),"dd/mm/yy")&amp;" "&amp;Milestones!$AB$66&amp;" "&amp;Milestones!$AC$66&amp;";  ","")&amp;IF(AND(EDATE($D78,Milestones!$AA$67)&lt;=AsOfDate,IF($Q78=0,$W78,IF(AND($S78&lt;&gt;"",EDATE($D78,Milestones!$AA$67)&gt;=$S78),$V78,IF(AND($R78&lt;&gt;"",EDATE($D78,Milestones!$AA$67)&gt;=$R78),$U78,$T78)))=Milestones!$AB$67),TEXT(EDATE($D78,Milestones!$AA$67),"dd/mm/yy")&amp;" "&amp;Milestones!$AB$67&amp;" "&amp;Milestones!$AC$67&amp;";  ","")&amp;IF(AND(EDATE($D78,Milestones!$AA$68)&lt;=AsOfDate,IF($Q78=0,$W78,IF(AND($S78&lt;&gt;"",EDATE($D78,Milestones!$AA$68)&gt;=$S78),$V78,IF(AND($R78&lt;&gt;"",EDATE($D78,Milestones!$AA$68)&gt;=$R78),$U78,$T78)))=Milestones!$AB$68),TEXT(EDATE($D78,Milestones!$AA$68),"dd/mm/yy")&amp;" "&amp;Milestones!$AB$68&amp;" "&amp;Milestones!$AC$68&amp;";  ","")&amp;IF(AND(EDATE($D78,Milestones!$AA$69)&lt;=AsOfDate,IF($Q78=0,$W78,IF(AND($S78&lt;&gt;"",EDATE($D78,Milestones!$AA$69)&gt;=$S78),$V78,IF(AND($R78&lt;&gt;"",EDATE($D78,Milestones!$AA$69)&gt;=$R78),$U78,$T78)))=Milestones!$AB$69),TEXT(EDATE($D78,Milestones!$AA$69),"dd/mm/yy")&amp;" "&amp;Milestones!$AB$69&amp;" "&amp;Milestones!$AC$69&amp;";  ","")&amp;IF(AND(EDATE($D78,Milestones!$AA$70)&lt;=AsOfDate,IF($Q78=0,$W78,IF(AND($S78&lt;&gt;"",EDATE($D78,Milestones!$AA$70)&gt;=$S78),$V78,IF(AND($R78&lt;&gt;"",EDATE($D78,Milestones!$AA$70)&gt;=$R78),$U78,$T78)))=Milestones!$AB$70),TEXT(EDATE($D78,Milestones!$AA$70),"dd/mm/yy")&amp;" "&amp;Milestones!$AB$70&amp;" "&amp;Milestones!$AC$70&amp;";  ","")&amp;IF(AND(EDATE($D78,Milestones!$AA$71)&lt;=AsOfDate,IF($Q78=0,$W78,IF(AND($S78&lt;&gt;"",EDATE($D78,Milestones!$AA$71)&gt;=$S78),$V78,IF(AND($R78&lt;&gt;"",EDATE($D78,Milestones!$AA$71)&gt;=$R78),$U78,$T78)))=Milestones!$AB$71),TEXT(EDATE($D78,Milestones!$AA$71),"dd/mm/yy")&amp;" "&amp;Milestones!$AB$71&amp;" "&amp;Milestones!$AC$71&amp;";  ","")&amp;IF(AND(EDATE($D78,Milestones!$AA$72)&lt;=AsOfDate,IF($Q78=0,$W78,IF(AND($S78&lt;&gt;"",EDATE($D78,Milestones!$AA$72)&gt;=$S78),$V78,IF(AND($R78&lt;&gt;"",EDATE($D78,Milestones!$AA$72)&gt;=$R78),$U78,$T78)))=Milestones!$AB$72),TEXT(EDATE($D78,Milestones!$AA$72),"dd/mm/yy")&amp;" "&amp;Milestones!$AB$72&amp;" "&amp;Milestones!$AC$72&amp;";  ","")&amp;IF(AND(EDATE($D78,Milestones!$AA$73)&lt;=AsOfDate,IF($Q78=0,$W78,IF(AND($S78&lt;&gt;"",EDATE($D78,Milestones!$AA$73)&gt;=$S78),$V78,IF(AND($R78&lt;&gt;"",EDATE($D78,Milestones!$AA$73)&gt;=$R78),$U78,$T78)))=Milestones!$AB$73),TEXT(EDATE($D78,Milestones!$AA$73),"dd/mm/yy")&amp;" "&amp;Milestones!$AB$73&amp;" "&amp;Milestones!$AC$73&amp;";  ","")&amp;IF(AND(EDATE($D78,Milestones!$AA$74)&lt;=AsOfDate,IF($Q78=0,$W78,IF(AND($S78&lt;&gt;"",EDATE($D78,Milestones!$AA$74)&gt;=$S78),$V78,IF(AND($R78&lt;&gt;"",EDATE($D78,Milestones!$AA$74)&gt;=$R78),$U78,$T78)))=Milestones!$AB$74),TEXT(EDATE($D78,Milestones!$AA$74),"dd/mm/yy")&amp;" "&amp;Milestones!$AB$74&amp;" "&amp;Milestones!$AC$74&amp;";  ","")&amp;IF(AND(EDATE($D78,Milestones!$AA$75)&lt;=AsOfDate,IF($Q78=0,$W78,IF(AND($S78&lt;&gt;"",EDATE($D78,Milestones!$AA$75)&gt;=$S78),$V78,IF(AND($R78&lt;&gt;"",EDATE($D78,Milestones!$AA$75)&gt;=$R78),$U78,$T78)))=Milestones!$AB$75),TEXT(EDATE($D78,Milestones!$AA$75),"dd/mm/yy")&amp;" "&amp;Milestones!$AB$75&amp;" "&amp;Milestones!$AC$75&amp;";  ","")&amp;IF(AND(EDATE($D78,Milestones!$AA$76)&lt;=AsOfDate,IF($Q78=0,$W78,IF(AND($S78&lt;&gt;"",EDATE($D78,Milestones!$AA$76)&gt;=$S78),$V78,IF(AND($R78&lt;&gt;"",EDATE($D78,Milestones!$AA$76)&gt;=$R78),$U78,$T78)))=Milestones!$AB$76),TEXT(EDATE($D78,Milestones!$AA$76),"dd/mm/yy")&amp;" "&amp;Milestones!$AB$76&amp;" "&amp;Milestones!$AC$76&amp;";  ","")&amp;IF(AND(EDATE($D78,Milestones!$AA$77)&lt;=AsOfDate,IF($Q78=0,$W78,IF(AND($S78&lt;&gt;"",EDATE($D78,Milestones!$AA$77)&gt;=$S78),$V78,IF(AND($R78&lt;&gt;"",EDATE($D78,Milestones!$AA$77)&gt;=$R78),$U78,$T78)))=Milestones!$AB$77),TEXT(EDATE($D78,Milestones!$AA$77),"dd/mm/yy")&amp;" "&amp;Milestones!$AB$77&amp;" "&amp;Milestones!$AC$77&amp;";  ","")&amp;IF(AND(EDATE($D78,Milestones!$AA$78)&lt;=AsOfDate,IF($Q78=0,$W78,IF(AND($S78&lt;&gt;"",EDATE($D78,Milestones!$AA$78)&gt;=$S78),$V78,IF(AND($R78&lt;&gt;"",EDATE($D78,Milestones!$AA$78)&gt;=$R78),$U78,$T78)))=Milestones!$AB$78),TEXT(EDATE($D78,Milestones!$AA$78),"dd/mm/yy")&amp;" "&amp;Milestones!$AB$78&amp;" "&amp;Milestones!$AC$78&amp;";  ","")&amp;IF(AND(EDATE($D78,Milestones!$AA$79)&lt;=AsOfDate,IF($Q78=0,$W78,IF(AND($S78&lt;&gt;"",EDATE($D78,Milestones!$AA$79)&gt;=$S78),$V78,IF(AND($R78&lt;&gt;"",EDATE($D78,Milestones!$AA$79)&gt;=$R78),$U78,$T78)))=Milestones!$AB$79),TEXT(EDATE($D78,Milestones!$AA$79),"dd/mm/yy")&amp;" "&amp;Milestones!$AB$79&amp;" "&amp;Milestones!$AC$79&amp;";  ",""))</f>
        <v/>
      </c>
      <c r="K78" s="0" t="str">
        <f aca="false">IF(OR($A78="",$D78=""),"",IF(AND(EDATE($D78,Milestones!$AA$80)&lt;=AsOfDate,IF($Q78=0,$W78,IF(AND($S78&lt;&gt;"",EDATE($D78,Milestones!$AA$80)&gt;=$S78),$V78,IF(AND($R78&lt;&gt;"",EDATE($D78,Milestones!$AA$80)&gt;=$R78),$U78,$T78)))=Milestones!$AB$80),TEXT(EDATE($D78,Milestones!$AA$80),"dd/mm/yy")&amp;" "&amp;Milestones!$AB$80&amp;" "&amp;Milestones!$AC$80&amp;";  ","")&amp;IF(AND(EDATE($D78,Milestones!$AA$81)&lt;=AsOfDate,IF($Q78=0,$W78,IF(AND($S78&lt;&gt;"",EDATE($D78,Milestones!$AA$81)&gt;=$S78),$V78,IF(AND($R78&lt;&gt;"",EDATE($D78,Milestones!$AA$81)&gt;=$R78),$U78,$T78)))=Milestones!$AB$81),TEXT(EDATE($D78,Milestones!$AA$81),"dd/mm/yy")&amp;" "&amp;Milestones!$AB$81&amp;" "&amp;Milestones!$AC$81&amp;";  ","")&amp;IF(AND(EDATE($D78,Milestones!$AA$82)&lt;=AsOfDate,IF($Q78=0,$W78,IF(AND($S78&lt;&gt;"",EDATE($D78,Milestones!$AA$82)&gt;=$S78),$V78,IF(AND($R78&lt;&gt;"",EDATE($D78,Milestones!$AA$82)&gt;=$R78),$U78,$T78)))=Milestones!$AB$82),TEXT(EDATE($D78,Milestones!$AA$82),"dd/mm/yy")&amp;" "&amp;Milestones!$AB$82&amp;" "&amp;Milestones!$AC$82&amp;";  ","")&amp;IF(AND(EDATE($D78,Milestones!$AA$83)&lt;=AsOfDate,IF($Q78=0,$W78,IF(AND($S78&lt;&gt;"",EDATE($D78,Milestones!$AA$83)&gt;=$S78),$V78,IF(AND($R78&lt;&gt;"",EDATE($D78,Milestones!$AA$83)&gt;=$R78),$U78,$T78)))=Milestones!$AB$83),TEXT(EDATE($D78,Milestones!$AA$83),"dd/mm/yy")&amp;" "&amp;Milestones!$AB$83&amp;" "&amp;Milestones!$AC$83&amp;";  ","")&amp;IF(AND(EDATE($D78,Milestones!$AA$84)&lt;=AsOfDate,IF($Q78=0,$W78,IF(AND($S78&lt;&gt;"",EDATE($D78,Milestones!$AA$84)&gt;=$S78),$V78,IF(AND($R78&lt;&gt;"",EDATE($D78,Milestones!$AA$84)&gt;=$R78),$U78,$T78)))=Milestones!$AB$84),TEXT(EDATE($D78,Milestones!$AA$84),"dd/mm/yy")&amp;" "&amp;Milestones!$AB$84&amp;" "&amp;Milestones!$AC$84&amp;";  ","")&amp;IF(AND(EDATE($D78,Milestones!$AA$85)&lt;=AsOfDate,IF($Q78=0,$W78,IF(AND($S78&lt;&gt;"",EDATE($D78,Milestones!$AA$85)&gt;=$S78),$V78,IF(AND($R78&lt;&gt;"",EDATE($D78,Milestones!$AA$85)&gt;=$R78),$U78,$T78)))=Milestones!$AB$85),TEXT(EDATE($D78,Milestones!$AA$85),"dd/mm/yy")&amp;" "&amp;Milestones!$AB$85&amp;" "&amp;Milestones!$AC$85&amp;";  ","")&amp;IF(AND(EDATE($D78,Milestones!$AA$86)&lt;=AsOfDate,IF($Q78=0,$W78,IF(AND($S78&lt;&gt;"",EDATE($D78,Milestones!$AA$86)&gt;=$S78),$V78,IF(AND($R78&lt;&gt;"",EDATE($D78,Milestones!$AA$86)&gt;=$R78),$U78,$T78)))=Milestones!$AB$86),TEXT(EDATE($D78,Milestones!$AA$86),"dd/mm/yy")&amp;" "&amp;Milestones!$AB$86&amp;" "&amp;Milestones!$AC$86&amp;";  ","")&amp;IF(AND(EDATE($D78,Milestones!$AA$87)&lt;=AsOfDate,IF($Q78=0,$W78,IF(AND($S78&lt;&gt;"",EDATE($D78,Milestones!$AA$87)&gt;=$S78),$V78,IF(AND($R78&lt;&gt;"",EDATE($D78,Milestones!$AA$87)&gt;=$R78),$U78,$T78)))=Milestones!$AB$87),TEXT(EDATE($D78,Milestones!$AA$87),"dd/mm/yy")&amp;" "&amp;Milestones!$AB$87&amp;" "&amp;Milestones!$AC$87&amp;";  ","")&amp;IF(AND(EDATE($D78,Milestones!$AA$88)&lt;=AsOfDate,IF($Q78=0,$W78,IF(AND($S78&lt;&gt;"",EDATE($D78,Milestones!$AA$88)&gt;=$S78),$V78,IF(AND($R78&lt;&gt;"",EDATE($D78,Milestones!$AA$88)&gt;=$R78),$U78,$T78)))=Milestones!$AB$88),TEXT(EDATE($D78,Milestones!$AA$88),"dd/mm/yy")&amp;" "&amp;Milestones!$AB$88&amp;" "&amp;Milestones!$AC$88&amp;";  ","")&amp;IF(AND(EDATE($D78,Milestones!$AA$89)&lt;=AsOfDate,IF($Q78=0,$W78,IF(AND($S78&lt;&gt;"",EDATE($D78,Milestones!$AA$89)&gt;=$S78),$V78,IF(AND($R78&lt;&gt;"",EDATE($D78,Milestones!$AA$89)&gt;=$R78),$U78,$T78)))=Milestones!$AB$89),TEXT(EDATE($D78,Milestones!$AA$89),"dd/mm/yy")&amp;" "&amp;Milestones!$AB$89&amp;" "&amp;Milestones!$AC$89&amp;";  ","")&amp;IF(AND(EDATE($D78,Milestones!$AA$90)&lt;=AsOfDate,IF($Q78=0,$W78,IF(AND($S78&lt;&gt;"",EDATE($D78,Milestones!$AA$90)&gt;=$S78),$V78,IF(AND($R78&lt;&gt;"",EDATE($D78,Milestones!$AA$90)&gt;=$R78),$U78,$T78)))=Milestones!$AB$90),TEXT(EDATE($D78,Milestones!$AA$90),"dd/mm/yy")&amp;" "&amp;Milestones!$AB$90&amp;" "&amp;Milestones!$AC$90&amp;";  ","")&amp;IF(AND(EDATE($D78,Milestones!$AA$91)&lt;=AsOfDate,IF($Q78=0,$W78,IF(AND($S78&lt;&gt;"",EDATE($D78,Milestones!$AA$91)&gt;=$S78),$V78,IF(AND($R78&lt;&gt;"",EDATE($D78,Milestones!$AA$91)&gt;=$R78),$U78,$T78)))=Milestones!$AB$91),TEXT(EDATE($D78,Milestones!$AA$91),"dd/mm/yy")&amp;" "&amp;Milestones!$AB$91&amp;" "&amp;Milestones!$AC$91&amp;";  ","")&amp;IF(AND(EDATE($D78,Milestones!$AA$92)&lt;=AsOfDate,IF($Q78=0,$W78,IF(AND($S78&lt;&gt;"",EDATE($D78,Milestones!$AA$92)&gt;=$S78),$V78,IF(AND($R78&lt;&gt;"",EDATE($D78,Milestones!$AA$92)&gt;=$R78),$U78,$T78)))=Milestones!$AB$92),TEXT(EDATE($D78,Milestones!$AA$92),"dd/mm/yy")&amp;" "&amp;Milestones!$AB$92&amp;" "&amp;Milestones!$AC$92&amp;";  ","")&amp;IF(AND(EDATE($D78,Milestones!$AA$93)&lt;=AsOfDate,IF($Q78=0,$W78,IF(AND($S78&lt;&gt;"",EDATE($D78,Milestones!$AA$93)&gt;=$S78),$V78,IF(AND($R78&lt;&gt;"",EDATE($D78,Milestones!$AA$93)&gt;=$R78),$U78,$T78)))=Milestones!$AB$93),TEXT(EDATE($D78,Milestones!$AA$93),"dd/mm/yy")&amp;" "&amp;Milestones!$AB$93&amp;" "&amp;Milestones!$AC$93&amp;";  ","")&amp;IF(AND(EDATE($D78,Milestones!$AA$94)&lt;=AsOfDate,IF($Q78=0,$W78,IF(AND($S78&lt;&gt;"",EDATE($D78,Milestones!$AA$94)&gt;=$S78),$V78,IF(AND($R78&lt;&gt;"",EDATE($D78,Milestones!$AA$94)&gt;=$R78),$U78,$T78)))=Milestones!$AB$94),TEXT(EDATE($D78,Milestones!$AA$94),"dd/mm/yy")&amp;" "&amp;Milestones!$AB$94&amp;" "&amp;Milestones!$AC$94&amp;";  ","")&amp;IF(AND(EDATE($D78,Milestones!$AA$95)&lt;=AsOfDate,IF($Q78=0,$W78,IF(AND($S78&lt;&gt;"",EDATE($D78,Milestones!$AA$95)&gt;=$S78),$V78,IF(AND($R78&lt;&gt;"",EDATE($D78,Milestones!$AA$95)&gt;=$R78),$U78,$T78)))=Milestones!$AB$95),TEXT(EDATE($D78,Milestones!$AA$95),"dd/mm/yy")&amp;" "&amp;Milestones!$AB$95&amp;" "&amp;Milestones!$AC$95&amp;";  ","")&amp;IF(AND(EDATE($D78,Milestones!$AA$96)&lt;=AsOfDate,IF($Q78=0,$W78,IF(AND($S78&lt;&gt;"",EDATE($D78,Milestones!$AA$96)&gt;=$S78),$V78,IF(AND($R78&lt;&gt;"",EDATE($D78,Milestones!$AA$96)&gt;=$R78),$U78,$T78)))=Milestones!$AB$96),TEXT(EDATE($D78,Milestones!$AA$96),"dd/mm/yy")&amp;" "&amp;Milestones!$AB$96&amp;" "&amp;Milestones!$AC$96&amp;";  ","")&amp;IF(AND(EDATE($D78,Milestones!$AA$97)&lt;=AsOfDate,IF($Q78=0,$W78,IF(AND($S78&lt;&gt;"",EDATE($D78,Milestones!$AA$97)&gt;=$S78),$V78,IF(AND($R78&lt;&gt;"",EDATE($D78,Milestones!$AA$97)&gt;=$R78),$U78,$T78)))=Milestones!$AB$97),TEXT(EDATE($D78,Milestones!$AA$97),"dd/mm/yy")&amp;" "&amp;Milestones!$AB$97&amp;" "&amp;Milestones!$AC$97&amp;";  ","")&amp;IF(AND(EDATE($D78,Milestones!$AA$98)&lt;=AsOfDate,IF($Q78=0,$W78,IF(AND($S78&lt;&gt;"",EDATE($D78,Milestones!$AA$98)&gt;=$S78),$V78,IF(AND($R78&lt;&gt;"",EDATE($D78,Milestones!$AA$98)&gt;=$R78),$U78,$T78)))=Milestones!$AB$98),TEXT(EDATE($D78,Milestones!$AA$98),"dd/mm/yy")&amp;" "&amp;Milestones!$AB$98&amp;" "&amp;Milestones!$AC$98&amp;";  ","")&amp;IF(AND(EDATE($D78,Milestones!$AA$99)&lt;=AsOfDate,IF($Q78=0,$W78,IF(AND($S78&lt;&gt;"",EDATE($D78,Milestones!$AA$99)&gt;=$S78),$V78,IF(AND($R78&lt;&gt;"",EDATE($D78,Milestones!$AA$99)&gt;=$R78),$U78,$T78)))=Milestones!$AB$99),TEXT(EDATE($D78,Milestones!$AA$99),"dd/mm/yy")&amp;" "&amp;Milestones!$AB$99&amp;" "&amp;Milestones!$AC$99&amp;";  ",""))</f>
        <v/>
      </c>
      <c r="L78" s="0" t="str">
        <f aca="false">IF(OR($A78="",$D78=""),"",IF(AND(EDATE($D78,Milestones!$AA$100)&lt;=AsOfDate,IF($Q78=0,$W78,IF(AND($S78&lt;&gt;"",EDATE($D78,Milestones!$AA$100)&gt;=$S78),$V78,IF(AND($R78&lt;&gt;"",EDATE($D78,Milestones!$AA$100)&gt;=$R78),$U78,$T78)))=Milestones!$AB$100),TEXT(EDATE($D78,Milestones!$AA$100),"dd/mm/yy")&amp;" "&amp;Milestones!$AB$100&amp;" "&amp;Milestones!$AC$100&amp;";  ","")&amp;IF(AND(EDATE($D78,Milestones!$AA$101)&lt;=AsOfDate,IF($Q78=0,$W78,IF(AND($S78&lt;&gt;"",EDATE($D78,Milestones!$AA$101)&gt;=$S78),$V78,IF(AND($R78&lt;&gt;"",EDATE($D78,Milestones!$AA$101)&gt;=$R78),$U78,$T78)))=Milestones!$AB$101),TEXT(EDATE($D78,Milestones!$AA$101),"dd/mm/yy")&amp;" "&amp;Milestones!$AB$101&amp;" "&amp;Milestones!$AC$101&amp;";  ","")&amp;IF(AND(EDATE($D78,Milestones!$AA$102)&lt;=AsOfDate,IF($Q78=0,$W78,IF(AND($S78&lt;&gt;"",EDATE($D78,Milestones!$AA$102)&gt;=$S78),$V78,IF(AND($R78&lt;&gt;"",EDATE($D78,Milestones!$AA$102)&gt;=$R78),$U78,$T78)))=Milestones!$AB$102),TEXT(EDATE($D78,Milestones!$AA$102),"dd/mm/yy")&amp;" "&amp;Milestones!$AB$102&amp;" "&amp;Milestones!$AC$102&amp;";  ","")&amp;IF(AND(EDATE($D78,Milestones!$AA$103)&lt;=AsOfDate,IF($Q78=0,$W78,IF(AND($S78&lt;&gt;"",EDATE($D78,Milestones!$AA$103)&gt;=$S78),$V78,IF(AND($R78&lt;&gt;"",EDATE($D78,Milestones!$AA$103)&gt;=$R78),$U78,$T78)))=Milestones!$AB$103),TEXT(EDATE($D78,Milestones!$AA$103),"dd/mm/yy")&amp;" "&amp;Milestones!$AB$103&amp;" "&amp;Milestones!$AC$103&amp;";  ","")&amp;IF(AND(EDATE($D78,Milestones!$AA$104)&lt;=AsOfDate,IF($Q78=0,$W78,IF(AND($S78&lt;&gt;"",EDATE($D78,Milestones!$AA$104)&gt;=$S78),$V78,IF(AND($R78&lt;&gt;"",EDATE($D78,Milestones!$AA$104)&gt;=$R78),$U78,$T78)))=Milestones!$AB$104),TEXT(EDATE($D78,Milestones!$AA$104),"dd/mm/yy")&amp;" "&amp;Milestones!$AB$104&amp;" "&amp;Milestones!$AC$104&amp;";  ","")&amp;IF(AND(EDATE($D78,Milestones!$AA$105)&lt;=AsOfDate,IF($Q78=0,$W78,IF(AND($S78&lt;&gt;"",EDATE($D78,Milestones!$AA$105)&gt;=$S78),$V78,IF(AND($R78&lt;&gt;"",EDATE($D78,Milestones!$AA$105)&gt;=$R78),$U78,$T78)))=Milestones!$AB$105),TEXT(EDATE($D78,Milestones!$AA$105),"dd/mm/yy")&amp;" "&amp;Milestones!$AB$105&amp;" "&amp;Milestones!$AC$105&amp;";  ","")&amp;IF(AND(EDATE($D78,Milestones!$AA$106)&lt;=AsOfDate,IF($Q78=0,$W78,IF(AND($S78&lt;&gt;"",EDATE($D78,Milestones!$AA$106)&gt;=$S78),$V78,IF(AND($R78&lt;&gt;"",EDATE($D78,Milestones!$AA$106)&gt;=$R78),$U78,$T78)))=Milestones!$AB$106),TEXT(EDATE($D78,Milestones!$AA$106),"dd/mm/yy")&amp;" "&amp;Milestones!$AB$106&amp;" "&amp;Milestones!$AC$106&amp;";  ","")&amp;IF(AND(EDATE($D78,Milestones!$AA$107)&lt;=AsOfDate,IF($Q78=0,$W78,IF(AND($S78&lt;&gt;"",EDATE($D78,Milestones!$AA$107)&gt;=$S78),$V78,IF(AND($R78&lt;&gt;"",EDATE($D78,Milestones!$AA$107)&gt;=$R78),$U78,$T78)))=Milestones!$AB$107),TEXT(EDATE($D78,Milestones!$AA$107),"dd/mm/yy")&amp;" "&amp;Milestones!$AB$107&amp;" "&amp;Milestones!$AC$107&amp;";  ","")&amp;IF(AND(EDATE($D78,Milestones!$AA$108)&lt;=AsOfDate,IF($Q78=0,$W78,IF(AND($S78&lt;&gt;"",EDATE($D78,Milestones!$AA$108)&gt;=$S78),$V78,IF(AND($R78&lt;&gt;"",EDATE($D78,Milestones!$AA$108)&gt;=$R78),$U78,$T78)))=Milestones!$AB$108),TEXT(EDATE($D78,Milestones!$AA$108),"dd/mm/yy")&amp;" "&amp;Milestones!$AB$108&amp;" "&amp;Milestones!$AC$108&amp;";  ","")&amp;IF(AND(EDATE($D78,Milestones!$AA$109)&lt;=AsOfDate,IF($Q78=0,$W78,IF(AND($S78&lt;&gt;"",EDATE($D78,Milestones!$AA$109)&gt;=$S78),$V78,IF(AND($R78&lt;&gt;"",EDATE($D78,Milestones!$AA$109)&gt;=$R78),$U78,$T78)))=Milestones!$AB$109),TEXT(EDATE($D78,Milestones!$AA$109),"dd/mm/yy")&amp;" "&amp;Milestones!$AB$109&amp;" "&amp;Milestones!$AC$109&amp;";  ","")&amp;IF(AND(EDATE($D78,Milestones!$AA$110)&lt;=AsOfDate,IF($Q78=0,$W78,IF(AND($S78&lt;&gt;"",EDATE($D78,Milestones!$AA$110)&gt;=$S78),$V78,IF(AND($R78&lt;&gt;"",EDATE($D78,Milestones!$AA$110)&gt;=$R78),$U78,$T78)))=Milestones!$AB$110),TEXT(EDATE($D78,Milestones!$AA$110),"dd/mm/yy")&amp;" "&amp;Milestones!$AB$110&amp;" "&amp;Milestones!$AC$110&amp;";  ","")&amp;IF(AND(EDATE($D78,Milestones!$AA$111)&lt;=AsOfDate,IF($Q78=0,$W78,IF(AND($S78&lt;&gt;"",EDATE($D78,Milestones!$AA$111)&gt;=$S78),$V78,IF(AND($R78&lt;&gt;"",EDATE($D78,Milestones!$AA$111)&gt;=$R78),$U78,$T78)))=Milestones!$AB$111),TEXT(EDATE($D78,Milestones!$AA$111),"dd/mm/yy")&amp;" "&amp;Milestones!$AB$111&amp;" "&amp;Milestones!$AC$111&amp;";  ","")&amp;IF(AND(EDATE($D78,Milestones!$AA$112)&lt;=AsOfDate,IF($Q78=0,$W78,IF(AND($S78&lt;&gt;"",EDATE($D78,Milestones!$AA$112)&gt;=$S78),$V78,IF(AND($R78&lt;&gt;"",EDATE($D78,Milestones!$AA$112)&gt;=$R78),$U78,$T78)))=Milestones!$AB$112),TEXT(EDATE($D78,Milestones!$AA$112),"dd/mm/yy")&amp;" "&amp;Milestones!$AB$112&amp;" "&amp;Milestones!$AC$112&amp;";  ","")&amp;IF(AND(EDATE($D78,Milestones!$AA$113)&lt;=AsOfDate,IF($Q78=0,$W78,IF(AND($S78&lt;&gt;"",EDATE($D78,Milestones!$AA$113)&gt;=$S78),$V78,IF(AND($R78&lt;&gt;"",EDATE($D78,Milestones!$AA$113)&gt;=$R78),$U78,$T78)))=Milestones!$AB$113),TEXT(EDATE($D78,Milestones!$AA$113),"dd/mm/yy")&amp;" "&amp;Milestones!$AB$113&amp;" "&amp;Milestones!$AC$113&amp;";  ","")&amp;IF(AND(EDATE($D78,Milestones!$AA$114)&lt;=AsOfDate,IF($Q78=0,$W78,IF(AND($S78&lt;&gt;"",EDATE($D78,Milestones!$AA$114)&gt;=$S78),$V78,IF(AND($R78&lt;&gt;"",EDATE($D78,Milestones!$AA$114)&gt;=$R78),$U78,$T78)))=Milestones!$AB$114),TEXT(EDATE($D78,Milestones!$AA$114),"dd/mm/yy")&amp;" "&amp;Milestones!$AB$114&amp;" "&amp;Milestones!$AC$114&amp;";  ","")&amp;IF(AND(EDATE($D78,Milestones!$AA$115)&lt;=AsOfDate,IF($Q78=0,$W78,IF(AND($S78&lt;&gt;"",EDATE($D78,Milestones!$AA$115)&gt;=$S78),$V78,IF(AND($R78&lt;&gt;"",EDATE($D78,Milestones!$AA$115)&gt;=$R78),$U78,$T78)))=Milestones!$AB$115),TEXT(EDATE($D78,Milestones!$AA$115),"dd/mm/yy")&amp;" "&amp;Milestones!$AB$115&amp;" "&amp;Milestones!$AC$115&amp;";  ","")&amp;IF(AND(EDATE($D78,Milestones!$AA$116)&lt;=AsOfDate,IF($Q78=0,$W78,IF(AND($S78&lt;&gt;"",EDATE($D78,Milestones!$AA$116)&gt;=$S78),$V78,IF(AND($R78&lt;&gt;"",EDATE($D78,Milestones!$AA$116)&gt;=$R78),$U78,$T78)))=Milestones!$AB$116),TEXT(EDATE($D78,Milestones!$AA$116),"dd/mm/yy")&amp;" "&amp;Milestones!$AB$116&amp;" "&amp;Milestones!$AC$116&amp;";  ","")&amp;IF(AND(EDATE($D78,Milestones!$AA$117)&lt;=AsOfDate,IF($Q78=0,$W78,IF(AND($S78&lt;&gt;"",EDATE($D78,Milestones!$AA$117)&gt;=$S78),$V78,IF(AND($R78&lt;&gt;"",EDATE($D78,Milestones!$AA$117)&gt;=$R78),$U78,$T78)))=Milestones!$AB$117),TEXT(EDATE($D78,Milestones!$AA$117),"dd/mm/yy")&amp;" "&amp;Milestones!$AB$117&amp;" "&amp;Milestones!$AC$117&amp;";  ","")&amp;IF(AND(EDATE($D78,Milestones!$AA$118)&lt;=AsOfDate,IF($Q78=0,$W78,IF(AND($S78&lt;&gt;"",EDATE($D78,Milestones!$AA$118)&gt;=$S78),$V78,IF(AND($R78&lt;&gt;"",EDATE($D78,Milestones!$AA$118)&gt;=$R78),$U78,$T78)))=Milestones!$AB$118),TEXT(EDATE($D78,Milestones!$AA$118),"dd/mm/yy")&amp;" "&amp;Milestones!$AB$118&amp;" "&amp;Milestones!$AC$118&amp;";  ","")&amp;IF(AND(EDATE($D78,Milestones!$AA$119)&lt;=AsOfDate,IF($Q78=0,$W78,IF(AND($S78&lt;&gt;"",EDATE($D78,Milestones!$AA$119)&gt;=$S78),$V78,IF(AND($R78&lt;&gt;"",EDATE($D78,Milestones!$AA$119)&gt;=$R78),$U78,$T78)))=Milestones!$AB$119),TEXT(EDATE($D78,Milestones!$AA$119),"dd/mm/yy")&amp;" "&amp;Milestones!$AB$119&amp;" "&amp;Milestones!$AC$119&amp;";  ",""))</f>
        <v/>
      </c>
      <c r="M78" s="0" t="str">
        <f aca="false">IF(OR($A78="",$D78=""),"",IF(AND(EDATE($D78,Milestones!$AA$120)&lt;=AsOfDate,IF($Q78=0,$W78,IF(AND($S78&lt;&gt;"",EDATE($D78,Milestones!$AA$120)&gt;=$S78),$V78,IF(AND($R78&lt;&gt;"",EDATE($D78,Milestones!$AA$120)&gt;=$R78),$U78,$T78)))=Milestones!$AB$120),TEXT(EDATE($D78,Milestones!$AA$120),"dd/mm/yy")&amp;" "&amp;Milestones!$AB$120&amp;" "&amp;Milestones!$AC$120&amp;";  ","")&amp;IF(AND(EDATE($D78,Milestones!$AA$121)&lt;=AsOfDate,IF($Q78=0,$W78,IF(AND($S78&lt;&gt;"",EDATE($D78,Milestones!$AA$121)&gt;=$S78),$V78,IF(AND($R78&lt;&gt;"",EDATE($D78,Milestones!$AA$121)&gt;=$R78),$U78,$T78)))=Milestones!$AB$121),TEXT(EDATE($D78,Milestones!$AA$121),"dd/mm/yy")&amp;" "&amp;Milestones!$AB$121&amp;" "&amp;Milestones!$AC$121&amp;";  ","")&amp;IF(AND(EDATE($D78,Milestones!$AA$122)&lt;=AsOfDate,IF($Q78=0,$W78,IF(AND($S78&lt;&gt;"",EDATE($D78,Milestones!$AA$122)&gt;=$S78),$V78,IF(AND($R78&lt;&gt;"",EDATE($D78,Milestones!$AA$122)&gt;=$R78),$U78,$T78)))=Milestones!$AB$122),TEXT(EDATE($D78,Milestones!$AA$122),"dd/mm/yy")&amp;" "&amp;Milestones!$AB$122&amp;" "&amp;Milestones!$AC$122&amp;";  ","")&amp;IF(AND(EDATE($D78,Milestones!$AA$123)&lt;=AsOfDate,IF($Q78=0,$W78,IF(AND($S78&lt;&gt;"",EDATE($D78,Milestones!$AA$123)&gt;=$S78),$V78,IF(AND($R78&lt;&gt;"",EDATE($D78,Milestones!$AA$123)&gt;=$R78),$U78,$T78)))=Milestones!$AB$123),TEXT(EDATE($D78,Milestones!$AA$123),"dd/mm/yy")&amp;" "&amp;Milestones!$AB$123&amp;" "&amp;Milestones!$AC$123&amp;";  ","")&amp;IF(AND(EDATE($D78,Milestones!$AA$124)&lt;=AsOfDate,IF($Q78=0,$W78,IF(AND($S78&lt;&gt;"",EDATE($D78,Milestones!$AA$124)&gt;=$S78),$V78,IF(AND($R78&lt;&gt;"",EDATE($D78,Milestones!$AA$124)&gt;=$R78),$U78,$T78)))=Milestones!$AB$124),TEXT(EDATE($D78,Milestones!$AA$124),"dd/mm/yy")&amp;" "&amp;Milestones!$AB$124&amp;" "&amp;Milestones!$AC$124&amp;";  ","")&amp;IF(AND(EDATE($D78,Milestones!$AA$125)&lt;=AsOfDate,IF($Q78=0,$W78,IF(AND($S78&lt;&gt;"",EDATE($D78,Milestones!$AA$125)&gt;=$S78),$V78,IF(AND($R78&lt;&gt;"",EDATE($D78,Milestones!$AA$125)&gt;=$R78),$U78,$T78)))=Milestones!$AB$125),TEXT(EDATE($D78,Milestones!$AA$125),"dd/mm/yy")&amp;" "&amp;Milestones!$AB$125&amp;" "&amp;Milestones!$AC$125&amp;";  ","")&amp;IF(AND(EDATE($D78,Milestones!$AA$126)&lt;=AsOfDate,IF($Q78=0,$W78,IF(AND($S78&lt;&gt;"",EDATE($D78,Milestones!$AA$126)&gt;=$S78),$V78,IF(AND($R78&lt;&gt;"",EDATE($D78,Milestones!$AA$126)&gt;=$R78),$U78,$T78)))=Milestones!$AB$126),TEXT(EDATE($D78,Milestones!$AA$126),"dd/mm/yy")&amp;" "&amp;Milestones!$AB$126&amp;" "&amp;Milestones!$AC$126&amp;";  ","")&amp;IF(AND(EDATE($D78,Milestones!$AA$127)&lt;=AsOfDate,IF($Q78=0,$W78,IF(AND($S78&lt;&gt;"",EDATE($D78,Milestones!$AA$127)&gt;=$S78),$V78,IF(AND($R78&lt;&gt;"",EDATE($D78,Milestones!$AA$127)&gt;=$R78),$U78,$T78)))=Milestones!$AB$127),TEXT(EDATE($D78,Milestones!$AA$127),"dd/mm/yy")&amp;" "&amp;Milestones!$AB$127&amp;" "&amp;Milestones!$AC$127&amp;";  ","")&amp;IF(AND(EDATE($D78,Milestones!$AA$128)&lt;=AsOfDate,IF($Q78=0,$W78,IF(AND($S78&lt;&gt;"",EDATE($D78,Milestones!$AA$128)&gt;=$S78),$V78,IF(AND($R78&lt;&gt;"",EDATE($D78,Milestones!$AA$128)&gt;=$R78),$U78,$T78)))=Milestones!$AB$128),TEXT(EDATE($D78,Milestones!$AA$128),"dd/mm/yy")&amp;" "&amp;Milestones!$AB$128&amp;" "&amp;Milestones!$AC$128&amp;";  ","")&amp;IF(AND(EDATE($D78,Milestones!$AA$129)&lt;=AsOfDate,IF($Q78=0,$W78,IF(AND($S78&lt;&gt;"",EDATE($D78,Milestones!$AA$129)&gt;=$S78),$V78,IF(AND($R78&lt;&gt;"",EDATE($D78,Milestones!$AA$129)&gt;=$R78),$U78,$T78)))=Milestones!$AB$129),TEXT(EDATE($D78,Milestones!$AA$129),"dd/mm/yy")&amp;" "&amp;Milestones!$AB$129&amp;" "&amp;Milestones!$AC$129&amp;";  ","")&amp;IF(AND(EDATE($D78,Milestones!$AA$130)&lt;=AsOfDate,IF($Q78=0,$W78,IF(AND($S78&lt;&gt;"",EDATE($D78,Milestones!$AA$130)&gt;=$S78),$V78,IF(AND($R78&lt;&gt;"",EDATE($D78,Milestones!$AA$130)&gt;=$R78),$U78,$T78)))=Milestones!$AB$130),TEXT(EDATE($D78,Milestones!$AA$130),"dd/mm/yy")&amp;" "&amp;Milestones!$AB$130&amp;" "&amp;Milestones!$AC$130&amp;";  ","")&amp;IF(AND(EDATE($D78,Milestones!$AA$131)&lt;=AsOfDate,IF($Q78=0,$W78,IF(AND($S78&lt;&gt;"",EDATE($D78,Milestones!$AA$131)&gt;=$S78),$V78,IF(AND($R78&lt;&gt;"",EDATE($D78,Milestones!$AA$131)&gt;=$R78),$U78,$T78)))=Milestones!$AB$131),TEXT(EDATE($D78,Milestones!$AA$131),"dd/mm/yy")&amp;" "&amp;Milestones!$AB$131&amp;" "&amp;Milestones!$AC$131&amp;";  ","")&amp;IF(AND(EDATE($D78,Milestones!$AA$132)&lt;=AsOfDate,IF($Q78=0,$W78,IF(AND($S78&lt;&gt;"",EDATE($D78,Milestones!$AA$132)&gt;=$S78),$V78,IF(AND($R78&lt;&gt;"",EDATE($D78,Milestones!$AA$132)&gt;=$R78),$U78,$T78)))=Milestones!$AB$132),TEXT(EDATE($D78,Milestones!$AA$132),"dd/mm/yy")&amp;" "&amp;Milestones!$AB$132&amp;" "&amp;Milestones!$AC$132&amp;";  ","")&amp;IF(AND(EDATE($D78,Milestones!$AA$133)&lt;=AsOfDate,IF($Q78=0,$W78,IF(AND($S78&lt;&gt;"",EDATE($D78,Milestones!$AA$133)&gt;=$S78),$V78,IF(AND($R78&lt;&gt;"",EDATE($D78,Milestones!$AA$133)&gt;=$R78),$U78,$T78)))=Milestones!$AB$133),TEXT(EDATE($D78,Milestones!$AA$133),"dd/mm/yy")&amp;" "&amp;Milestones!$AB$133&amp;" "&amp;Milestones!$AC$133&amp;";  ","")&amp;IF(AND(EDATE($D78,Milestones!$AA$134)&lt;=AsOfDate,IF($Q78=0,$W78,IF(AND($S78&lt;&gt;"",EDATE($D78,Milestones!$AA$134)&gt;=$S78),$V78,IF(AND($R78&lt;&gt;"",EDATE($D78,Milestones!$AA$134)&gt;=$R78),$U78,$T78)))=Milestones!$AB$134),TEXT(EDATE($D78,Milestones!$AA$134),"dd/mm/yy")&amp;" "&amp;Milestones!$AB$134&amp;" "&amp;Milestones!$AC$134&amp;";  ","")&amp;IF(AND(EDATE($D78,Milestones!$AA$135)&lt;=AsOfDate,IF($Q78=0,$W78,IF(AND($S78&lt;&gt;"",EDATE($D78,Milestones!$AA$135)&gt;=$S78),$V78,IF(AND($R78&lt;&gt;"",EDATE($D78,Milestones!$AA$135)&gt;=$R78),$U78,$T78)))=Milestones!$AB$135),TEXT(EDATE($D78,Milestones!$AA$135),"dd/mm/yy")&amp;" "&amp;Milestones!$AB$135&amp;" "&amp;Milestones!$AC$135&amp;";  ","")&amp;IF(AND(EDATE($D78,Milestones!$AA$136)&lt;=AsOfDate,IF($Q78=0,$W78,IF(AND($S78&lt;&gt;"",EDATE($D78,Milestones!$AA$136)&gt;=$S78),$V78,IF(AND($R78&lt;&gt;"",EDATE($D78,Milestones!$AA$136)&gt;=$R78),$U78,$T78)))=Milestones!$AB$136),TEXT(EDATE($D78,Milestones!$AA$136),"dd/mm/yy")&amp;" "&amp;Milestones!$AB$136&amp;" "&amp;Milestones!$AC$136&amp;";  ","")&amp;IF(AND(EDATE($D78,Milestones!$AA$137)&lt;=AsOfDate,IF($Q78=0,$W78,IF(AND($S78&lt;&gt;"",EDATE($D78,Milestones!$AA$137)&gt;=$S78),$V78,IF(AND($R78&lt;&gt;"",EDATE($D78,Milestones!$AA$137)&gt;=$R78),$U78,$T78)))=Milestones!$AB$137),TEXT(EDATE($D78,Milestones!$AA$137),"dd/mm/yy")&amp;" "&amp;Milestones!$AB$137&amp;" "&amp;Milestones!$AC$137&amp;";  ","")&amp;IF(AND(EDATE($D78,Milestones!$AA$138)&lt;=AsOfDate,IF($Q78=0,$W78,IF(AND($S78&lt;&gt;"",EDATE($D78,Milestones!$AA$138)&gt;=$S78),$V78,IF(AND($R78&lt;&gt;"",EDATE($D78,Milestones!$AA$138)&gt;=$R78),$U78,$T78)))=Milestones!$AB$138),TEXT(EDATE($D78,Milestones!$AA$138),"dd/mm/yy")&amp;" "&amp;Milestones!$AB$138&amp;" "&amp;Milestones!$AC$138&amp;";  ","")&amp;IF(AND(EDATE($D78,Milestones!$AA$139)&lt;=AsOfDate,IF($Q78=0,$W78,IF(AND($S78&lt;&gt;"",EDATE($D78,Milestones!$AA$139)&gt;=$S78),$V78,IF(AND($R78&lt;&gt;"",EDATE($D78,Milestones!$AA$139)&gt;=$R78),$U78,$T78)))=Milestones!$AB$139),TEXT(EDATE($D78,Milestones!$AA$139),"dd/mm/yy")&amp;" "&amp;Milestones!$AB$139&amp;" "&amp;Milestones!$AC$139&amp;";  ",""))</f>
        <v/>
      </c>
      <c r="N78" s="0" t="str">
        <f aca="false">IF(OR($A78="",$D78=""),"",IF(AND(EDATE($D78,Milestones!$AA$140)&lt;=AsOfDate,IF($Q78=0,$W78,IF(AND($S78&lt;&gt;"",EDATE($D78,Milestones!$AA$140)&gt;=$S78),$V78,IF(AND($R78&lt;&gt;"",EDATE($D78,Milestones!$AA$140)&gt;=$R78),$U78,$T78)))=Milestones!$AB$140),TEXT(EDATE($D78,Milestones!$AA$140),"dd/mm/yy")&amp;" "&amp;Milestones!$AB$140&amp;" "&amp;Milestones!$AC$140&amp;";  ","")&amp;IF(AND(EDATE($D78,Milestones!$AA$141)&lt;=AsOfDate,IF($Q78=0,$W78,IF(AND($S78&lt;&gt;"",EDATE($D78,Milestones!$AA$141)&gt;=$S78),$V78,IF(AND($R78&lt;&gt;"",EDATE($D78,Milestones!$AA$141)&gt;=$R78),$U78,$T78)))=Milestones!$AB$141),TEXT(EDATE($D78,Milestones!$AA$141),"dd/mm/yy")&amp;" "&amp;Milestones!$AB$141&amp;" "&amp;Milestones!$AC$141&amp;";  ","")&amp;IF(AND(EDATE($D78,Milestones!$AA$142)&lt;=AsOfDate,IF($Q78=0,$W78,IF(AND($S78&lt;&gt;"",EDATE($D78,Milestones!$AA$142)&gt;=$S78),$V78,IF(AND($R78&lt;&gt;"",EDATE($D78,Milestones!$AA$142)&gt;=$R78),$U78,$T78)))=Milestones!$AB$142),TEXT(EDATE($D78,Milestones!$AA$142),"dd/mm/yy")&amp;" "&amp;Milestones!$AB$142&amp;" "&amp;Milestones!$AC$142&amp;";  ","")&amp;IF(AND(EDATE($D78,Milestones!$AA$143)&lt;=AsOfDate,IF($Q78=0,$W78,IF(AND($S78&lt;&gt;"",EDATE($D78,Milestones!$AA$143)&gt;=$S78),$V78,IF(AND($R78&lt;&gt;"",EDATE($D78,Milestones!$AA$143)&gt;=$R78),$U78,$T78)))=Milestones!$AB$143),TEXT(EDATE($D78,Milestones!$AA$143),"dd/mm/yy")&amp;" "&amp;Milestones!$AB$143&amp;" "&amp;Milestones!$AC$143&amp;";  ","")&amp;IF(AND(EDATE($D78,Milestones!$AA$144)&lt;=AsOfDate,IF($Q78=0,$W78,IF(AND($S78&lt;&gt;"",EDATE($D78,Milestones!$AA$144)&gt;=$S78),$V78,IF(AND($R78&lt;&gt;"",EDATE($D78,Milestones!$AA$144)&gt;=$R78),$U78,$T78)))=Milestones!$AB$144),TEXT(EDATE($D78,Milestones!$AA$144),"dd/mm/yy")&amp;" "&amp;Milestones!$AB$144&amp;" "&amp;Milestones!$AC$144&amp;";  ","")&amp;IF(AND(EDATE($D78,Milestones!$AA$145)&lt;=AsOfDate,IF($Q78=0,$W78,IF(AND($S78&lt;&gt;"",EDATE($D78,Milestones!$AA$145)&gt;=$S78),$V78,IF(AND($R78&lt;&gt;"",EDATE($D78,Milestones!$AA$145)&gt;=$R78),$U78,$T78)))=Milestones!$AB$145),TEXT(EDATE($D78,Milestones!$AA$145),"dd/mm/yy")&amp;" "&amp;Milestones!$AB$145&amp;" "&amp;Milestones!$AC$145&amp;";  ","")&amp;IF(AND(EDATE($D78,Milestones!$AA$146)&lt;=AsOfDate,IF($Q78=0,$W78,IF(AND($S78&lt;&gt;"",EDATE($D78,Milestones!$AA$146)&gt;=$S78),$V78,IF(AND($R78&lt;&gt;"",EDATE($D78,Milestones!$AA$146)&gt;=$R78),$U78,$T78)))=Milestones!$AB$146),TEXT(EDATE($D78,Milestones!$AA$146),"dd/mm/yy")&amp;" "&amp;Milestones!$AB$146&amp;" "&amp;Milestones!$AC$146&amp;";  ","")&amp;IF(AND(EDATE($D78,Milestones!$AA$147)&lt;=AsOfDate,IF($Q78=0,$W78,IF(AND($S78&lt;&gt;"",EDATE($D78,Milestones!$AA$147)&gt;=$S78),$V78,IF(AND($R78&lt;&gt;"",EDATE($D78,Milestones!$AA$147)&gt;=$R78),$U78,$T78)))=Milestones!$AB$147),TEXT(EDATE($D78,Milestones!$AA$147),"dd/mm/yy")&amp;" "&amp;Milestones!$AB$147&amp;" "&amp;Milestones!$AC$147&amp;";  ","")&amp;IF(AND(EDATE($D78,Milestones!$AA$148)&lt;=AsOfDate,IF($Q78=0,$W78,IF(AND($S78&lt;&gt;"",EDATE($D78,Milestones!$AA$148)&gt;=$S78),$V78,IF(AND($R78&lt;&gt;"",EDATE($D78,Milestones!$AA$148)&gt;=$R78),$U78,$T78)))=Milestones!$AB$148),TEXT(EDATE($D78,Milestones!$AA$148),"dd/mm/yy")&amp;" "&amp;Milestones!$AB$148&amp;" "&amp;Milestones!$AC$148&amp;";  ","")&amp;IF(AND(EDATE($D78,Milestones!$AA$149)&lt;=AsOfDate,IF($Q78=0,$W78,IF(AND($S78&lt;&gt;"",EDATE($D78,Milestones!$AA$149)&gt;=$S78),$V78,IF(AND($R78&lt;&gt;"",EDATE($D78,Milestones!$AA$149)&gt;=$R78),$U78,$T78)))=Milestones!$AB$149),TEXT(EDATE($D78,Milestones!$AA$149),"dd/mm/yy")&amp;" "&amp;Milestones!$AB$149&amp;" "&amp;Milestones!$AC$149&amp;";  ","")&amp;IF(AND(EDATE($D78,Milestones!$AA$150)&lt;=AsOfDate,IF($Q78=0,$W78,IF(AND($S78&lt;&gt;"",EDATE($D78,Milestones!$AA$150)&gt;=$S78),$V78,IF(AND($R78&lt;&gt;"",EDATE($D78,Milestones!$AA$150)&gt;=$R78),$U78,$T78)))=Milestones!$AB$150),TEXT(EDATE($D78,Milestones!$AA$150),"dd/mm/yy")&amp;" "&amp;Milestones!$AB$150&amp;" "&amp;Milestones!$AC$150&amp;";  ","")&amp;IF(AND(EDATE($D78,Milestones!$AA$151)&lt;=AsOfDate,IF($Q78=0,$W78,IF(AND($S78&lt;&gt;"",EDATE($D78,Milestones!$AA$151)&gt;=$S78),$V78,IF(AND($R78&lt;&gt;"",EDATE($D78,Milestones!$AA$151)&gt;=$R78),$U78,$T78)))=Milestones!$AB$151),TEXT(EDATE($D78,Milestones!$AA$151),"dd/mm/yy")&amp;" "&amp;Milestones!$AB$151&amp;" "&amp;Milestones!$AC$151&amp;";  ","")&amp;IF(AND(EDATE($D78,Milestones!$AA$152)&lt;=AsOfDate,IF($Q78=0,$W78,IF(AND($S78&lt;&gt;"",EDATE($D78,Milestones!$AA$152)&gt;=$S78),$V78,IF(AND($R78&lt;&gt;"",EDATE($D78,Milestones!$AA$152)&gt;=$R78),$U78,$T78)))=Milestones!$AB$152),TEXT(EDATE($D78,Milestones!$AA$152),"dd/mm/yy")&amp;" "&amp;Milestones!$AB$152&amp;" "&amp;Milestones!$AC$152&amp;";  ","")&amp;IF(AND(EDATE($D78,Milestones!$AA$153)&lt;=AsOfDate,IF($Q78=0,$W78,IF(AND($S78&lt;&gt;"",EDATE($D78,Milestones!$AA$153)&gt;=$S78),$V78,IF(AND($R78&lt;&gt;"",EDATE($D78,Milestones!$AA$153)&gt;=$R78),$U78,$T78)))=Milestones!$AB$153),TEXT(EDATE($D78,Milestones!$AA$153),"dd/mm/yy")&amp;" "&amp;Milestones!$AB$153&amp;" "&amp;Milestones!$AC$153&amp;";  ","")&amp;IF(AND(EDATE($D78,Milestones!$AA$154)&lt;=AsOfDate,IF($Q78=0,$W78,IF(AND($S78&lt;&gt;"",EDATE($D78,Milestones!$AA$154)&gt;=$S78),$V78,IF(AND($R78&lt;&gt;"",EDATE($D78,Milestones!$AA$154)&gt;=$R78),$U78,$T78)))=Milestones!$AB$154),TEXT(EDATE($D78,Milestones!$AA$154),"dd/mm/yy")&amp;" "&amp;Milestones!$AB$154&amp;" "&amp;Milestones!$AC$154&amp;";  ","")&amp;IF(AND(EDATE($D78,Milestones!$AA$155)&lt;=AsOfDate,IF($Q78=0,$W78,IF(AND($S78&lt;&gt;"",EDATE($D78,Milestones!$AA$155)&gt;=$S78),$V78,IF(AND($R78&lt;&gt;"",EDATE($D78,Milestones!$AA$155)&gt;=$R78),$U78,$T78)))=Milestones!$AB$155),TEXT(EDATE($D78,Milestones!$AA$155),"dd/mm/yy")&amp;" "&amp;Milestones!$AB$155&amp;" "&amp;Milestones!$AC$155&amp;";  ","")&amp;IF(AND(EDATE($D78,Milestones!$AA$156)&lt;=AsOfDate,IF($Q78=0,$W78,IF(AND($S78&lt;&gt;"",EDATE($D78,Milestones!$AA$156)&gt;=$S78),$V78,IF(AND($R78&lt;&gt;"",EDATE($D78,Milestones!$AA$156)&gt;=$R78),$U78,$T78)))=Milestones!$AB$156),TEXT(EDATE($D78,Milestones!$AA$156),"dd/mm/yy")&amp;" "&amp;Milestones!$AB$156&amp;" "&amp;Milestones!$AC$156&amp;";  ","")&amp;IF(AND(EDATE($D78,Milestones!$AA$157)&lt;=AsOfDate,IF($Q78=0,$W78,IF(AND($S78&lt;&gt;"",EDATE($D78,Milestones!$AA$157)&gt;=$S78),$V78,IF(AND($R78&lt;&gt;"",EDATE($D78,Milestones!$AA$157)&gt;=$R78),$U78,$T78)))=Milestones!$AB$157),TEXT(EDATE($D78,Milestones!$AA$157),"dd/mm/yy")&amp;" "&amp;Milestones!$AB$157&amp;" "&amp;Milestones!$AC$157&amp;";  ","")&amp;IF(AND(EDATE($D78,Milestones!$AA$158)&lt;=AsOfDate,IF($Q78=0,$W78,IF(AND($S78&lt;&gt;"",EDATE($D78,Milestones!$AA$158)&gt;=$S78),$V78,IF(AND($R78&lt;&gt;"",EDATE($D78,Milestones!$AA$158)&gt;=$R78),$U78,$T78)))=Milestones!$AB$158),TEXT(EDATE($D78,Milestones!$AA$158),"dd/mm/yy")&amp;" "&amp;Milestones!$AB$158&amp;" "&amp;Milestones!$AC$158&amp;";  ","")&amp;IF(AND(EDATE($D78,Milestones!$AA$159)&lt;=AsOfDate,IF($Q78=0,$W78,IF(AND($S78&lt;&gt;"",EDATE($D78,Milestones!$AA$159)&gt;=$S78),$V78,IF(AND($R78&lt;&gt;"",EDATE($D78,Milestones!$AA$159)&gt;=$R78),$U78,$T78)))=Milestones!$AB$159),TEXT(EDATE($D78,Milestones!$AA$159),"dd/mm/yy")&amp;" "&amp;Milestones!$AB$159&amp;" "&amp;Milestones!$AC$159&amp;";  ",""))</f>
        <v/>
      </c>
      <c r="O78" s="0" t="str">
        <f aca="false">IF(OR($A78="",$D78=""),"",IF(AND(EDATE($D78,Milestones!$AA$160)&lt;=AsOfDate,IF($Q78=0,$W78,IF(AND($S78&lt;&gt;"",EDATE($D78,Milestones!$AA$160)&gt;=$S78),$V78,IF(AND($R78&lt;&gt;"",EDATE($D78,Milestones!$AA$160)&gt;=$R78),$U78,$T78)))=Milestones!$AB$160),TEXT(EDATE($D78,Milestones!$AA$160),"dd/mm/yy")&amp;" "&amp;Milestones!$AB$160&amp;" "&amp;Milestones!$AC$160&amp;";  ","")&amp;IF(AND(EDATE($D78,Milestones!$AA$161)&lt;=AsOfDate,IF($Q78=0,$W78,IF(AND($S78&lt;&gt;"",EDATE($D78,Milestones!$AA$161)&gt;=$S78),$V78,IF(AND($R78&lt;&gt;"",EDATE($D78,Milestones!$AA$161)&gt;=$R78),$U78,$T78)))=Milestones!$AB$161),TEXT(EDATE($D78,Milestones!$AA$161),"dd/mm/yy")&amp;" "&amp;Milestones!$AB$161&amp;" "&amp;Milestones!$AC$161&amp;";  ","")&amp;IF(AND(EDATE($D78,Milestones!$AA$162)&lt;=AsOfDate,IF($Q78=0,$W78,IF(AND($S78&lt;&gt;"",EDATE($D78,Milestones!$AA$162)&gt;=$S78),$V78,IF(AND($R78&lt;&gt;"",EDATE($D78,Milestones!$AA$162)&gt;=$R78),$U78,$T78)))=Milestones!$AB$162),TEXT(EDATE($D78,Milestones!$AA$162),"dd/mm/yy")&amp;" "&amp;Milestones!$AB$162&amp;" "&amp;Milestones!$AC$162&amp;";  ","")&amp;IF(AND(EDATE($D78,Milestones!$AA$163)&lt;=AsOfDate,IF($Q78=0,$W78,IF(AND($S78&lt;&gt;"",EDATE($D78,Milestones!$AA$163)&gt;=$S78),$V78,IF(AND($R78&lt;&gt;"",EDATE($D78,Milestones!$AA$163)&gt;=$R78),$U78,$T78)))=Milestones!$AB$163),TEXT(EDATE($D78,Milestones!$AA$163),"dd/mm/yy")&amp;" "&amp;Milestones!$AB$163&amp;" "&amp;Milestones!$AC$163&amp;";  ","")&amp;IF(AND(EDATE($D78,Milestones!$AA$164)&lt;=AsOfDate,IF($Q78=0,$W78,IF(AND($S78&lt;&gt;"",EDATE($D78,Milestones!$AA$164)&gt;=$S78),$V78,IF(AND($R78&lt;&gt;"",EDATE($D78,Milestones!$AA$164)&gt;=$R78),$U78,$T78)))=Milestones!$AB$164),TEXT(EDATE($D78,Milestones!$AA$164),"dd/mm/yy")&amp;" "&amp;Milestones!$AB$164&amp;" "&amp;Milestones!$AC$164&amp;";  ","")&amp;IF(AND(EDATE($D78,Milestones!$AA$165)&lt;=AsOfDate,IF($Q78=0,$W78,IF(AND($S78&lt;&gt;"",EDATE($D78,Milestones!$AA$165)&gt;=$S78),$V78,IF(AND($R78&lt;&gt;"",EDATE($D78,Milestones!$AA$165)&gt;=$R78),$U78,$T78)))=Milestones!$AB$165),TEXT(EDATE($D78,Milestones!$AA$165),"dd/mm/yy")&amp;" "&amp;Milestones!$AB$165&amp;" "&amp;Milestones!$AC$165&amp;";  ","")&amp;IF(AND(EDATE($D78,Milestones!$AA$166)&lt;=AsOfDate,IF($Q78=0,$W78,IF(AND($S78&lt;&gt;"",EDATE($D78,Milestones!$AA$166)&gt;=$S78),$V78,IF(AND($R78&lt;&gt;"",EDATE($D78,Milestones!$AA$166)&gt;=$R78),$U78,$T78)))=Milestones!$AB$166),TEXT(EDATE($D78,Milestones!$AA$166),"dd/mm/yy")&amp;" "&amp;Milestones!$AB$166&amp;" "&amp;Milestones!$AC$166&amp;";  ","")&amp;IF(AND(EDATE($D78,Milestones!$AA$167)&lt;=AsOfDate,IF($Q78=0,$W78,IF(AND($S78&lt;&gt;"",EDATE($D78,Milestones!$AA$167)&gt;=$S78),$V78,IF(AND($R78&lt;&gt;"",EDATE($D78,Milestones!$AA$167)&gt;=$R78),$U78,$T78)))=Milestones!$AB$167),TEXT(EDATE($D78,Milestones!$AA$167),"dd/mm/yy")&amp;" "&amp;Milestones!$AB$167&amp;" "&amp;Milestones!$AC$167&amp;";  ","")&amp;IF(AND(EDATE($D78,Milestones!$AA$168)&lt;=AsOfDate,IF($Q78=0,$W78,IF(AND($S78&lt;&gt;"",EDATE($D78,Milestones!$AA$168)&gt;=$S78),$V78,IF(AND($R78&lt;&gt;"",EDATE($D78,Milestones!$AA$168)&gt;=$R78),$U78,$T78)))=Milestones!$AB$168),TEXT(EDATE($D78,Milestones!$AA$168),"dd/mm/yy")&amp;" "&amp;Milestones!$AB$168&amp;" "&amp;Milestones!$AC$168&amp;";  ","")&amp;IF(AND(EDATE($D78,Milestones!$AA$169)&lt;=AsOfDate,IF($Q78=0,$W78,IF(AND($S78&lt;&gt;"",EDATE($D78,Milestones!$AA$169)&gt;=$S78),$V78,IF(AND($R78&lt;&gt;"",EDATE($D78,Milestones!$AA$169)&gt;=$R78),$U78,$T78)))=Milestones!$AB$169),TEXT(EDATE($D78,Milestones!$AA$169),"dd/mm/yy")&amp;" "&amp;Milestones!$AB$169&amp;" "&amp;Milestones!$AC$169&amp;";  ","")&amp;IF(AND(EDATE($D78,Milestones!$AA$170)&lt;=AsOfDate,IF($Q78=0,$W78,IF(AND($S78&lt;&gt;"",EDATE($D78,Milestones!$AA$170)&gt;=$S78),$V78,IF(AND($R78&lt;&gt;"",EDATE($D78,Milestones!$AA$170)&gt;=$R78),$U78,$T78)))=Milestones!$AB$170),TEXT(EDATE($D78,Milestones!$AA$170),"dd/mm/yy")&amp;" "&amp;Milestones!$AB$170&amp;" "&amp;Milestones!$AC$170&amp;";  ","")&amp;IF(AND(EDATE($D78,Milestones!$AA$171)&lt;=AsOfDate,IF($Q78=0,$W78,IF(AND($S78&lt;&gt;"",EDATE($D78,Milestones!$AA$171)&gt;=$S78),$V78,IF(AND($R78&lt;&gt;"",EDATE($D78,Milestones!$AA$171)&gt;=$R78),$U78,$T78)))=Milestones!$AB$171),TEXT(EDATE($D78,Milestones!$AA$171),"dd/mm/yy")&amp;" "&amp;Milestones!$AB$171&amp;" "&amp;Milestones!$AC$171&amp;";  ","")&amp;IF(AND(EDATE($D78,Milestones!$AA$172)&lt;=AsOfDate,IF($Q78=0,$W78,IF(AND($S78&lt;&gt;"",EDATE($D78,Milestones!$AA$172)&gt;=$S78),$V78,IF(AND($R78&lt;&gt;"",EDATE($D78,Milestones!$AA$172)&gt;=$R78),$U78,$T78)))=Milestones!$AB$172),TEXT(EDATE($D78,Milestones!$AA$172),"dd/mm/yy")&amp;" "&amp;Milestones!$AB$172&amp;" "&amp;Milestones!$AC$172&amp;";  ","")&amp;IF(AND(EDATE($D78,Milestones!$AA$173)&lt;=AsOfDate,IF($Q78=0,$W78,IF(AND($S78&lt;&gt;"",EDATE($D78,Milestones!$AA$173)&gt;=$S78),$V78,IF(AND($R78&lt;&gt;"",EDATE($D78,Milestones!$AA$173)&gt;=$R78),$U78,$T78)))=Milestones!$AB$173),TEXT(EDATE($D78,Milestones!$AA$173),"dd/mm/yy")&amp;" "&amp;Milestones!$AB$173&amp;" "&amp;Milestones!$AC$173&amp;";  ","")&amp;IF(AND(EDATE($D78,Milestones!$AA$174)&lt;=AsOfDate,IF($Q78=0,$W78,IF(AND($S78&lt;&gt;"",EDATE($D78,Milestones!$AA$174)&gt;=$S78),$V78,IF(AND($R78&lt;&gt;"",EDATE($D78,Milestones!$AA$174)&gt;=$R78),$U78,$T78)))=Milestones!$AB$174),TEXT(EDATE($D78,Milestones!$AA$174),"dd/mm/yy")&amp;" "&amp;Milestones!$AB$174&amp;" "&amp;Milestones!$AC$174&amp;";  ","")&amp;IF(AND(EDATE($D78,Milestones!$AA$175)&lt;=AsOfDate,IF($Q78=0,$W78,IF(AND($S78&lt;&gt;"",EDATE($D78,Milestones!$AA$175)&gt;=$S78),$V78,IF(AND($R78&lt;&gt;"",EDATE($D78,Milestones!$AA$175)&gt;=$R78),$U78,$T78)))=Milestones!$AB$175),TEXT(EDATE($D78,Milestones!$AA$175),"dd/mm/yy")&amp;" "&amp;Milestones!$AB$175&amp;" "&amp;Milestones!$AC$175&amp;";  ","")&amp;IF(AND(EDATE($D78,Milestones!$AA$176)&lt;=AsOfDate,IF($Q78=0,$W78,IF(AND($S78&lt;&gt;"",EDATE($D78,Milestones!$AA$176)&gt;=$S78),$V78,IF(AND($R78&lt;&gt;"",EDATE($D78,Milestones!$AA$176)&gt;=$R78),$U78,$T78)))=Milestones!$AB$176),TEXT(EDATE($D78,Milestones!$AA$176),"dd/mm/yy")&amp;" "&amp;Milestones!$AB$176&amp;" "&amp;Milestones!$AC$176&amp;";  ","")&amp;IF(AND(EDATE($D78,Milestones!$AA$177)&lt;=AsOfDate,IF($Q78=0,$W78,IF(AND($S78&lt;&gt;"",EDATE($D78,Milestones!$AA$177)&gt;=$S78),$V78,IF(AND($R78&lt;&gt;"",EDATE($D78,Milestones!$AA$177)&gt;=$R78),$U78,$T78)))=Milestones!$AB$177),TEXT(EDATE($D78,Milestones!$AA$177),"dd/mm/yy")&amp;" "&amp;Milestones!$AB$177&amp;" "&amp;Milestones!$AC$177&amp;";  ","")&amp;IF(AND(EDATE($D78,Milestones!$AA$178)&lt;=AsOfDate,IF($Q78=0,$W78,IF(AND($S78&lt;&gt;"",EDATE($D78,Milestones!$AA$178)&gt;=$S78),$V78,IF(AND($R78&lt;&gt;"",EDATE($D78,Milestones!$AA$178)&gt;=$R78),$U78,$T78)))=Milestones!$AB$178),TEXT(EDATE($D78,Milestones!$AA$178),"dd/mm/yy")&amp;" "&amp;Milestones!$AB$178&amp;" "&amp;Milestones!$AC$178&amp;";  ","")&amp;IF(AND(EDATE($D78,Milestones!$AA$179)&lt;=AsOfDate,IF($Q78=0,$W78,IF(AND($S78&lt;&gt;"",EDATE($D78,Milestones!$AA$179)&gt;=$S78),$V78,IF(AND($R78&lt;&gt;"",EDATE($D78,Milestones!$AA$179)&gt;=$R78),$U78,$T78)))=Milestones!$AB$179),TEXT(EDATE($D78,Milestones!$AA$179),"dd/mm/yy")&amp;" "&amp;Milestones!$AB$179&amp;" "&amp;Milestones!$AC$179&amp;";  ",""))</f>
        <v/>
      </c>
      <c r="P78" s="0" t="str">
        <f aca="false">IF(OR($A78="",$D78=""),"",IF(AND(EDATE($D78,Milestones!$AA$180)&lt;=AsOfDate,IF($Q78=0,$W78,IF(AND($S78&lt;&gt;"",EDATE($D78,Milestones!$AA$180)&gt;=$S78),$V78,IF(AND($R78&lt;&gt;"",EDATE($D78,Milestones!$AA$180)&gt;=$R78),$U78,$T78)))=Milestones!$AB$180),TEXT(EDATE($D78,Milestones!$AA$180),"dd/mm/yy")&amp;" "&amp;Milestones!$AB$180&amp;" "&amp;Milestones!$AC$180&amp;";  ","")&amp;IF(AND(EDATE($D78,Milestones!$AA$181)&lt;=AsOfDate,IF($Q78=0,$W78,IF(AND($S78&lt;&gt;"",EDATE($D78,Milestones!$AA$181)&gt;=$S78),$V78,IF(AND($R78&lt;&gt;"",EDATE($D78,Milestones!$AA$181)&gt;=$R78),$U78,$T78)))=Milestones!$AB$181),TEXT(EDATE($D78,Milestones!$AA$181),"dd/mm/yy")&amp;" "&amp;Milestones!$AB$181&amp;" "&amp;Milestones!$AC$181&amp;";  ","")&amp;IF(AND(EDATE($D78,Milestones!$AA$182)&lt;=AsOfDate,IF($Q78=0,$W78,IF(AND($S78&lt;&gt;"",EDATE($D78,Milestones!$AA$182)&gt;=$S78),$V78,IF(AND($R78&lt;&gt;"",EDATE($D78,Milestones!$AA$182)&gt;=$R78),$U78,$T78)))=Milestones!$AB$182),TEXT(EDATE($D78,Milestones!$AA$182),"dd/mm/yy")&amp;" "&amp;Milestones!$AB$182&amp;" "&amp;Milestones!$AC$182&amp;";  ","")&amp;IF(AND(EDATE($D78,Milestones!$AA$183)&lt;=AsOfDate,IF($Q78=0,$W78,IF(AND($S78&lt;&gt;"",EDATE($D78,Milestones!$AA$183)&gt;=$S78),$V78,IF(AND($R78&lt;&gt;"",EDATE($D78,Milestones!$AA$183)&gt;=$R78),$U78,$T78)))=Milestones!$AB$183),TEXT(EDATE($D78,Milestones!$AA$183),"dd/mm/yy")&amp;" "&amp;Milestones!$AB$183&amp;" "&amp;Milestones!$AC$183&amp;";  ","")&amp;IF(AND(EDATE($D78,Milestones!$AA$184)&lt;=AsOfDate,IF($Q78=0,$W78,IF(AND($S78&lt;&gt;"",EDATE($D78,Milestones!$AA$184)&gt;=$S78),$V78,IF(AND($R78&lt;&gt;"",EDATE($D78,Milestones!$AA$184)&gt;=$R78),$U78,$T78)))=Milestones!$AB$184),TEXT(EDATE($D78,Milestones!$AA$184),"dd/mm/yy")&amp;" "&amp;Milestones!$AB$184&amp;" "&amp;Milestones!$AC$184&amp;";  ","")&amp;IF(AND(EDATE($D78,Milestones!$AA$185)&lt;=AsOfDate,IF($Q78=0,$W78,IF(AND($S78&lt;&gt;"",EDATE($D78,Milestones!$AA$185)&gt;=$S78),$V78,IF(AND($R78&lt;&gt;"",EDATE($D78,Milestones!$AA$185)&gt;=$R78),$U78,$T78)))=Milestones!$AB$185),TEXT(EDATE($D78,Milestones!$AA$185),"dd/mm/yy")&amp;" "&amp;Milestones!$AB$185&amp;" "&amp;Milestones!$AC$185&amp;";  ","")&amp;IF(AND(EDATE($D78,Milestones!$AA$186)&lt;=AsOfDate,IF($Q78=0,$W78,IF(AND($S78&lt;&gt;"",EDATE($D78,Milestones!$AA$186)&gt;=$S78),$V78,IF(AND($R78&lt;&gt;"",EDATE($D78,Milestones!$AA$186)&gt;=$R78),$U78,$T78)))=Milestones!$AB$186),TEXT(EDATE($D78,Milestones!$AA$186),"dd/mm/yy")&amp;" "&amp;Milestones!$AB$186&amp;" "&amp;Milestones!$AC$186&amp;";  ","")&amp;IF(AND(EDATE($D78,Milestones!$AA$187)&lt;=AsOfDate,IF($Q78=0,$W78,IF(AND($S78&lt;&gt;"",EDATE($D78,Milestones!$AA$187)&gt;=$S78),$V78,IF(AND($R78&lt;&gt;"",EDATE($D78,Milestones!$AA$187)&gt;=$R78),$U78,$T78)))=Milestones!$AB$187),TEXT(EDATE($D78,Milestones!$AA$187),"dd/mm/yy")&amp;" "&amp;Milestones!$AB$187&amp;" "&amp;Milestones!$AC$187&amp;";  ","")&amp;IF(AND(EDATE($D78,Milestones!$AA$188)&lt;=AsOfDate,IF($Q78=0,$W78,IF(AND($S78&lt;&gt;"",EDATE($D78,Milestones!$AA$188)&gt;=$S78),$V78,IF(AND($R78&lt;&gt;"",EDATE($D78,Milestones!$AA$188)&gt;=$R78),$U78,$T78)))=Milestones!$AB$188),TEXT(EDATE($D78,Milestones!$AA$188),"dd/mm/yy")&amp;" "&amp;Milestones!$AB$188&amp;" "&amp;Milestones!$AC$188&amp;";  ","")&amp;IF(AND(EDATE($D78,Milestones!$AA$189)&lt;=AsOfDate,IF($Q78=0,$W78,IF(AND($S78&lt;&gt;"",EDATE($D78,Milestones!$AA$189)&gt;=$S78),$V78,IF(AND($R78&lt;&gt;"",EDATE($D78,Milestones!$AA$189)&gt;=$R78),$U78,$T78)))=Milestones!$AB$189),TEXT(EDATE($D78,Milestones!$AA$189),"dd/mm/yy")&amp;" "&amp;Milestones!$AB$189&amp;" "&amp;Milestones!$AC$189&amp;";  ","")&amp;IF(AND(EDATE($D78,Milestones!$AA$190)&lt;=AsOfDate,IF($Q78=0,$W78,IF(AND($S78&lt;&gt;"",EDATE($D78,Milestones!$AA$190)&gt;=$S78),$V78,IF(AND($R78&lt;&gt;"",EDATE($D78,Milestones!$AA$190)&gt;=$R78),$U78,$T78)))=Milestones!$AB$190),TEXT(EDATE($D78,Milestones!$AA$190),"dd/mm/yy")&amp;" "&amp;Milestones!$AB$190&amp;" "&amp;Milestones!$AC$190&amp;";  ","")&amp;IF(AND(EDATE($D78,Milestones!$AA$191)&lt;=AsOfDate,IF($Q78=0,$W78,IF(AND($S78&lt;&gt;"",EDATE($D78,Milestones!$AA$191)&gt;=$S78),$V78,IF(AND($R78&lt;&gt;"",EDATE($D78,Milestones!$AA$191)&gt;=$R78),$U78,$T78)))=Milestones!$AB$191),TEXT(EDATE($D78,Milestones!$AA$191),"dd/mm/yy")&amp;" "&amp;Milestones!$AB$191&amp;" "&amp;Milestones!$AC$191&amp;";  ","")&amp;IF(AND(EDATE($D78,Milestones!$AA$192)&lt;=AsOfDate,IF($Q78=0,$W78,IF(AND($S78&lt;&gt;"",EDATE($D78,Milestones!$AA$192)&gt;=$S78),$V78,IF(AND($R78&lt;&gt;"",EDATE($D78,Milestones!$AA$192)&gt;=$R78),$U78,$T78)))=Milestones!$AB$192),TEXT(EDATE($D78,Milestones!$AA$192),"dd/mm/yy")&amp;" "&amp;Milestones!$AB$192&amp;" "&amp;Milestones!$AC$192&amp;";  ","")&amp;IF(AND(EDATE($D78,Milestones!$AA$193)&lt;=AsOfDate,IF($Q78=0,$W78,IF(AND($S78&lt;&gt;"",EDATE($D78,Milestones!$AA$193)&gt;=$S78),$V78,IF(AND($R78&lt;&gt;"",EDATE($D78,Milestones!$AA$193)&gt;=$R78),$U78,$T78)))=Milestones!$AB$193),TEXT(EDATE($D78,Milestones!$AA$193),"dd/mm/yy")&amp;" "&amp;Milestones!$AB$193&amp;" "&amp;Milestones!$AC$193&amp;";  ","")&amp;IF(AND(EDATE($D78,Milestones!$AA$194)&lt;=AsOfDate,IF($Q78=0,$W78,IF(AND($S78&lt;&gt;"",EDATE($D78,Milestones!$AA$194)&gt;=$S78),$V78,IF(AND($R78&lt;&gt;"",EDATE($D78,Milestones!$AA$194)&gt;=$R78),$U78,$T78)))=Milestones!$AB$194),TEXT(EDATE($D78,Milestones!$AA$194),"dd/mm/yy")&amp;" "&amp;Milestones!$AB$194&amp;" "&amp;Milestones!$AC$194&amp;";  ","")&amp;IF(AND(EDATE($D78,Milestones!$AA$195)&lt;=AsOfDate,IF($Q78=0,$W78,IF(AND($S78&lt;&gt;"",EDATE($D78,Milestones!$AA$195)&gt;=$S78),$V78,IF(AND($R78&lt;&gt;"",EDATE($D78,Milestones!$AA$195)&gt;=$R78),$U78,$T78)))=Milestones!$AB$195),TEXT(EDATE($D78,Milestones!$AA$195),"dd/mm/yy")&amp;" "&amp;Milestones!$AB$195&amp;" "&amp;Milestones!$AC$195&amp;";  ","")&amp;IF(AND(EDATE($D78,Milestones!$AA$196)&lt;=AsOfDate,IF($Q78=0,$W78,IF(AND($S78&lt;&gt;"",EDATE($D78,Milestones!$AA$196)&gt;=$S78),$V78,IF(AND($R78&lt;&gt;"",EDATE($D78,Milestones!$AA$196)&gt;=$R78),$U78,$T78)))=Milestones!$AB$196),TEXT(EDATE($D78,Milestones!$AA$196),"dd/mm/yy")&amp;" "&amp;Milestones!$AB$196&amp;" "&amp;Milestones!$AC$196&amp;";  ","")&amp;IF(AND(EDATE($D78,Milestones!$AA$197)&lt;=AsOfDate,IF($Q78=0,$W78,IF(AND($S78&lt;&gt;"",EDATE($D78,Milestones!$AA$197)&gt;=$S78),$V78,IF(AND($R78&lt;&gt;"",EDATE($D78,Milestones!$AA$197)&gt;=$R78),$U78,$T78)))=Milestones!$AB$197),TEXT(EDATE($D78,Milestones!$AA$197),"dd/mm/yy")&amp;" "&amp;Milestones!$AB$197&amp;" "&amp;Milestones!$AC$197&amp;";  ","")&amp;IF(AND(EDATE($D78,Milestones!$AA$198)&lt;=AsOfDate,IF($Q78=0,$W78,IF(AND($S78&lt;&gt;"",EDATE($D78,Milestones!$AA$198)&gt;=$S78),$V78,IF(AND($R78&lt;&gt;"",EDATE($D78,Milestones!$AA$198)&gt;=$R78),$U78,$T78)))=Milestones!$AB$198),TEXT(EDATE($D78,Milestones!$AA$198),"dd/mm/yy")&amp;" "&amp;Milestones!$AB$198&amp;" "&amp;Milestones!$AC$198&amp;";  ","")&amp;IF(AND(EDATE($D78,Milestones!$AA$199)&lt;=AsOfDate,IF($Q78=0,$W78,IF(AND($S78&lt;&gt;"",EDATE($D78,Milestones!$AA$199)&gt;=$S78),$V78,IF(AND($R78&lt;&gt;"",EDATE($D78,Milestones!$AA$199)&gt;=$R78),$U78,$T78)))=Milestones!$AB$199),TEXT(EDATE($D78,Milestones!$AA$199),"dd/mm/yy")&amp;" "&amp;Milestones!$AB$199&amp;" "&amp;Milestones!$AC$199&amp;";  ",""))</f>
        <v/>
      </c>
      <c r="Q78" s="0" t="str">
        <f aca="false">IF(Staff!$A78="","",Staff!$AG78)</f>
        <v/>
      </c>
      <c r="R78" s="0" t="str">
        <f aca="false">IF(Staff!$A78="","",Staff!$AI78)</f>
        <v/>
      </c>
      <c r="S78" s="0" t="str">
        <f aca="false">IF(Staff!$A78="","",Staff!$AJ78)</f>
        <v/>
      </c>
      <c r="T78" s="0" t="str">
        <f aca="false">IF(Staff!$A78="","",Staff!$AN78)</f>
        <v/>
      </c>
      <c r="U78" s="0" t="str">
        <f aca="false">IF(Staff!$A78="","",Staff!$AO78)</f>
        <v/>
      </c>
      <c r="V78" s="0" t="str">
        <f aca="false">IF(Staff!$A78="","",Staff!$AP78)</f>
        <v/>
      </c>
      <c r="W78" s="0" t="str">
        <f aca="false">IF(Staff!$A78="","",Staff!$AQ78)</f>
        <v/>
      </c>
    </row>
    <row r="79" customFormat="false" ht="15" hidden="false" customHeight="false" outlineLevel="0" collapsed="false">
      <c r="A79" s="13" t="str">
        <f aca="false">IF(Staff!$A79="","",Staff!$A79)</f>
        <v/>
      </c>
      <c r="B79" s="13" t="str">
        <f aca="false">IF(Staff!$A79="","",Staff!$B79)</f>
        <v/>
      </c>
      <c r="C79" s="13" t="str">
        <f aca="false">IF(Staff!$A79="","",Staff!$C79)</f>
        <v/>
      </c>
      <c r="D79" s="11" t="str">
        <f aca="false">IF(Staff!$A79="","",Staff!$AF79)</f>
        <v/>
      </c>
      <c r="E79" s="13" t="str">
        <f aca="false">IF(Staff!$A79="","",Staff!$O79)</f>
        <v/>
      </c>
      <c r="F79" s="13" t="str">
        <f aca="false">IF(E79="","",E79*HoursPerDay)</f>
        <v/>
      </c>
      <c r="G79" s="26" t="str">
        <f aca="false">IF($A79="","",H79&amp;I79&amp;J79&amp;K79&amp;L79&amp;M79&amp;N79&amp;O79&amp;P79)</f>
        <v/>
      </c>
      <c r="H79" s="0" t="str">
        <f aca="false">IF(OR($A79="",$D79=""),"",IF(AND(EDATE($D79,Milestones!$AA$20)&lt;=AsOfDate,IF($Q79=0,$W79,IF(AND($S79&lt;&gt;"",EDATE($D79,Milestones!$AA$20)&gt;=$S79),$V79,IF(AND($R79&lt;&gt;"",EDATE($D79,Milestones!$AA$20)&gt;=$R79),$U79,$T79)))=Milestones!$AB$20),TEXT(EDATE($D79,Milestones!$AA$20),"dd/mm/yy")&amp;" "&amp;Milestones!$AB$20&amp;" "&amp;Milestones!$AC$20&amp;";  ","")&amp;IF(AND(EDATE($D79,Milestones!$AA$21)&lt;=AsOfDate,IF($Q79=0,$W79,IF(AND($S79&lt;&gt;"",EDATE($D79,Milestones!$AA$21)&gt;=$S79),$V79,IF(AND($R79&lt;&gt;"",EDATE($D79,Milestones!$AA$21)&gt;=$R79),$U79,$T79)))=Milestones!$AB$21),TEXT(EDATE($D79,Milestones!$AA$21),"dd/mm/yy")&amp;" "&amp;Milestones!$AB$21&amp;" "&amp;Milestones!$AC$21&amp;";  ","")&amp;IF(AND(EDATE($D79,Milestones!$AA$22)&lt;=AsOfDate,IF($Q79=0,$W79,IF(AND($S79&lt;&gt;"",EDATE($D79,Milestones!$AA$22)&gt;=$S79),$V79,IF(AND($R79&lt;&gt;"",EDATE($D79,Milestones!$AA$22)&gt;=$R79),$U79,$T79)))=Milestones!$AB$22),TEXT(EDATE($D79,Milestones!$AA$22),"dd/mm/yy")&amp;" "&amp;Milestones!$AB$22&amp;" "&amp;Milestones!$AC$22&amp;";  ","")&amp;IF(AND(EDATE($D79,Milestones!$AA$23)&lt;=AsOfDate,IF($Q79=0,$W79,IF(AND($S79&lt;&gt;"",EDATE($D79,Milestones!$AA$23)&gt;=$S79),$V79,IF(AND($R79&lt;&gt;"",EDATE($D79,Milestones!$AA$23)&gt;=$R79),$U79,$T79)))=Milestones!$AB$23),TEXT(EDATE($D79,Milestones!$AA$23),"dd/mm/yy")&amp;" "&amp;Milestones!$AB$23&amp;" "&amp;Milestones!$AC$23&amp;";  ","")&amp;IF(AND(EDATE($D79,Milestones!$AA$24)&lt;=AsOfDate,IF($Q79=0,$W79,IF(AND($S79&lt;&gt;"",EDATE($D79,Milestones!$AA$24)&gt;=$S79),$V79,IF(AND($R79&lt;&gt;"",EDATE($D79,Milestones!$AA$24)&gt;=$R79),$U79,$T79)))=Milestones!$AB$24),TEXT(EDATE($D79,Milestones!$AA$24),"dd/mm/yy")&amp;" "&amp;Milestones!$AB$24&amp;" "&amp;Milestones!$AC$24&amp;";  ","")&amp;IF(AND(EDATE($D79,Milestones!$AA$25)&lt;=AsOfDate,IF($Q79=0,$W79,IF(AND($S79&lt;&gt;"",EDATE($D79,Milestones!$AA$25)&gt;=$S79),$V79,IF(AND($R79&lt;&gt;"",EDATE($D79,Milestones!$AA$25)&gt;=$R79),$U79,$T79)))=Milestones!$AB$25),TEXT(EDATE($D79,Milestones!$AA$25),"dd/mm/yy")&amp;" "&amp;Milestones!$AB$25&amp;" "&amp;Milestones!$AC$25&amp;";  ","")&amp;IF(AND(EDATE($D79,Milestones!$AA$26)&lt;=AsOfDate,IF($Q79=0,$W79,IF(AND($S79&lt;&gt;"",EDATE($D79,Milestones!$AA$26)&gt;=$S79),$V79,IF(AND($R79&lt;&gt;"",EDATE($D79,Milestones!$AA$26)&gt;=$R79),$U79,$T79)))=Milestones!$AB$26),TEXT(EDATE($D79,Milestones!$AA$26),"dd/mm/yy")&amp;" "&amp;Milestones!$AB$26&amp;" "&amp;Milestones!$AC$26&amp;";  ","")&amp;IF(AND(EDATE($D79,Milestones!$AA$27)&lt;=AsOfDate,IF($Q79=0,$W79,IF(AND($S79&lt;&gt;"",EDATE($D79,Milestones!$AA$27)&gt;=$S79),$V79,IF(AND($R79&lt;&gt;"",EDATE($D79,Milestones!$AA$27)&gt;=$R79),$U79,$T79)))=Milestones!$AB$27),TEXT(EDATE($D79,Milestones!$AA$27),"dd/mm/yy")&amp;" "&amp;Milestones!$AB$27&amp;" "&amp;Milestones!$AC$27&amp;";  ","")&amp;IF(AND(EDATE($D79,Milestones!$AA$28)&lt;=AsOfDate,IF($Q79=0,$W79,IF(AND($S79&lt;&gt;"",EDATE($D79,Milestones!$AA$28)&gt;=$S79),$V79,IF(AND($R79&lt;&gt;"",EDATE($D79,Milestones!$AA$28)&gt;=$R79),$U79,$T79)))=Milestones!$AB$28),TEXT(EDATE($D79,Milestones!$AA$28),"dd/mm/yy")&amp;" "&amp;Milestones!$AB$28&amp;" "&amp;Milestones!$AC$28&amp;";  ","")&amp;IF(AND(EDATE($D79,Milestones!$AA$29)&lt;=AsOfDate,IF($Q79=0,$W79,IF(AND($S79&lt;&gt;"",EDATE($D79,Milestones!$AA$29)&gt;=$S79),$V79,IF(AND($R79&lt;&gt;"",EDATE($D79,Milestones!$AA$29)&gt;=$R79),$U79,$T79)))=Milestones!$AB$29),TEXT(EDATE($D79,Milestones!$AA$29),"dd/mm/yy")&amp;" "&amp;Milestones!$AB$29&amp;" "&amp;Milestones!$AC$29&amp;";  ","")&amp;IF(AND(EDATE($D79,Milestones!$AA$30)&lt;=AsOfDate,IF($Q79=0,$W79,IF(AND($S79&lt;&gt;"",EDATE($D79,Milestones!$AA$30)&gt;=$S79),$V79,IF(AND($R79&lt;&gt;"",EDATE($D79,Milestones!$AA$30)&gt;=$R79),$U79,$T79)))=Milestones!$AB$30),TEXT(EDATE($D79,Milestones!$AA$30),"dd/mm/yy")&amp;" "&amp;Milestones!$AB$30&amp;" "&amp;Milestones!$AC$30&amp;";  ","")&amp;IF(AND(EDATE($D79,Milestones!$AA$31)&lt;=AsOfDate,IF($Q79=0,$W79,IF(AND($S79&lt;&gt;"",EDATE($D79,Milestones!$AA$31)&gt;=$S79),$V79,IF(AND($R79&lt;&gt;"",EDATE($D79,Milestones!$AA$31)&gt;=$R79),$U79,$T79)))=Milestones!$AB$31),TEXT(EDATE($D79,Milestones!$AA$31),"dd/mm/yy")&amp;" "&amp;Milestones!$AB$31&amp;" "&amp;Milestones!$AC$31&amp;";  ","")&amp;IF(AND(EDATE($D79,Milestones!$AA$32)&lt;=AsOfDate,IF($Q79=0,$W79,IF(AND($S79&lt;&gt;"",EDATE($D79,Milestones!$AA$32)&gt;=$S79),$V79,IF(AND($R79&lt;&gt;"",EDATE($D79,Milestones!$AA$32)&gt;=$R79),$U79,$T79)))=Milestones!$AB$32),TEXT(EDATE($D79,Milestones!$AA$32),"dd/mm/yy")&amp;" "&amp;Milestones!$AB$32&amp;" "&amp;Milestones!$AC$32&amp;";  ","")&amp;IF(AND(EDATE($D79,Milestones!$AA$33)&lt;=AsOfDate,IF($Q79=0,$W79,IF(AND($S79&lt;&gt;"",EDATE($D79,Milestones!$AA$33)&gt;=$S79),$V79,IF(AND($R79&lt;&gt;"",EDATE($D79,Milestones!$AA$33)&gt;=$R79),$U79,$T79)))=Milestones!$AB$33),TEXT(EDATE($D79,Milestones!$AA$33),"dd/mm/yy")&amp;" "&amp;Milestones!$AB$33&amp;" "&amp;Milestones!$AC$33&amp;";  ","")&amp;IF(AND(EDATE($D79,Milestones!$AA$34)&lt;=AsOfDate,IF($Q79=0,$W79,IF(AND($S79&lt;&gt;"",EDATE($D79,Milestones!$AA$34)&gt;=$S79),$V79,IF(AND($R79&lt;&gt;"",EDATE($D79,Milestones!$AA$34)&gt;=$R79),$U79,$T79)))=Milestones!$AB$34),TEXT(EDATE($D79,Milestones!$AA$34),"dd/mm/yy")&amp;" "&amp;Milestones!$AB$34&amp;" "&amp;Milestones!$AC$34&amp;";  ","")&amp;IF(AND(EDATE($D79,Milestones!$AA$35)&lt;=AsOfDate,IF($Q79=0,$W79,IF(AND($S79&lt;&gt;"",EDATE($D79,Milestones!$AA$35)&gt;=$S79),$V79,IF(AND($R79&lt;&gt;"",EDATE($D79,Milestones!$AA$35)&gt;=$R79),$U79,$T79)))=Milestones!$AB$35),TEXT(EDATE($D79,Milestones!$AA$35),"dd/mm/yy")&amp;" "&amp;Milestones!$AB$35&amp;" "&amp;Milestones!$AC$35&amp;";  ","")&amp;IF(AND(EDATE($D79,Milestones!$AA$36)&lt;=AsOfDate,IF($Q79=0,$W79,IF(AND($S79&lt;&gt;"",EDATE($D79,Milestones!$AA$36)&gt;=$S79),$V79,IF(AND($R79&lt;&gt;"",EDATE($D79,Milestones!$AA$36)&gt;=$R79),$U79,$T79)))=Milestones!$AB$36),TEXT(EDATE($D79,Milestones!$AA$36),"dd/mm/yy")&amp;" "&amp;Milestones!$AB$36&amp;" "&amp;Milestones!$AC$36&amp;";  ","")&amp;IF(AND(EDATE($D79,Milestones!$AA$37)&lt;=AsOfDate,IF($Q79=0,$W79,IF(AND($S79&lt;&gt;"",EDATE($D79,Milestones!$AA$37)&gt;=$S79),$V79,IF(AND($R79&lt;&gt;"",EDATE($D79,Milestones!$AA$37)&gt;=$R79),$U79,$T79)))=Milestones!$AB$37),TEXT(EDATE($D79,Milestones!$AA$37),"dd/mm/yy")&amp;" "&amp;Milestones!$AB$37&amp;" "&amp;Milestones!$AC$37&amp;";  ","")&amp;IF(AND(EDATE($D79,Milestones!$AA$38)&lt;=AsOfDate,IF($Q79=0,$W79,IF(AND($S79&lt;&gt;"",EDATE($D79,Milestones!$AA$38)&gt;=$S79),$V79,IF(AND($R79&lt;&gt;"",EDATE($D79,Milestones!$AA$38)&gt;=$R79),$U79,$T79)))=Milestones!$AB$38),TEXT(EDATE($D79,Milestones!$AA$38),"dd/mm/yy")&amp;" "&amp;Milestones!$AB$38&amp;" "&amp;Milestones!$AC$38&amp;";  ","")&amp;IF(AND(EDATE($D79,Milestones!$AA$39)&lt;=AsOfDate,IF($Q79=0,$W79,IF(AND($S79&lt;&gt;"",EDATE($D79,Milestones!$AA$39)&gt;=$S79),$V79,IF(AND($R79&lt;&gt;"",EDATE($D79,Milestones!$AA$39)&gt;=$R79),$U79,$T79)))=Milestones!$AB$39),TEXT(EDATE($D79,Milestones!$AA$39),"dd/mm/yy")&amp;" "&amp;Milestones!$AB$39&amp;" "&amp;Milestones!$AC$39&amp;";  ",""))</f>
        <v/>
      </c>
      <c r="I79" s="0" t="str">
        <f aca="false">IF(OR($A79="",$D79=""),"",IF(AND(EDATE($D79,Milestones!$AA$40)&lt;=AsOfDate,IF($Q79=0,$W79,IF(AND($S79&lt;&gt;"",EDATE($D79,Milestones!$AA$40)&gt;=$S79),$V79,IF(AND($R79&lt;&gt;"",EDATE($D79,Milestones!$AA$40)&gt;=$R79),$U79,$T79)))=Milestones!$AB$40),TEXT(EDATE($D79,Milestones!$AA$40),"dd/mm/yy")&amp;" "&amp;Milestones!$AB$40&amp;" "&amp;Milestones!$AC$40&amp;";  ","")&amp;IF(AND(EDATE($D79,Milestones!$AA$41)&lt;=AsOfDate,IF($Q79=0,$W79,IF(AND($S79&lt;&gt;"",EDATE($D79,Milestones!$AA$41)&gt;=$S79),$V79,IF(AND($R79&lt;&gt;"",EDATE($D79,Milestones!$AA$41)&gt;=$R79),$U79,$T79)))=Milestones!$AB$41),TEXT(EDATE($D79,Milestones!$AA$41),"dd/mm/yy")&amp;" "&amp;Milestones!$AB$41&amp;" "&amp;Milestones!$AC$41&amp;";  ","")&amp;IF(AND(EDATE($D79,Milestones!$AA$42)&lt;=AsOfDate,IF($Q79=0,$W79,IF(AND($S79&lt;&gt;"",EDATE($D79,Milestones!$AA$42)&gt;=$S79),$V79,IF(AND($R79&lt;&gt;"",EDATE($D79,Milestones!$AA$42)&gt;=$R79),$U79,$T79)))=Milestones!$AB$42),TEXT(EDATE($D79,Milestones!$AA$42),"dd/mm/yy")&amp;" "&amp;Milestones!$AB$42&amp;" "&amp;Milestones!$AC$42&amp;";  ","")&amp;IF(AND(EDATE($D79,Milestones!$AA$43)&lt;=AsOfDate,IF($Q79=0,$W79,IF(AND($S79&lt;&gt;"",EDATE($D79,Milestones!$AA$43)&gt;=$S79),$V79,IF(AND($R79&lt;&gt;"",EDATE($D79,Milestones!$AA$43)&gt;=$R79),$U79,$T79)))=Milestones!$AB$43),TEXT(EDATE($D79,Milestones!$AA$43),"dd/mm/yy")&amp;" "&amp;Milestones!$AB$43&amp;" "&amp;Milestones!$AC$43&amp;";  ","")&amp;IF(AND(EDATE($D79,Milestones!$AA$44)&lt;=AsOfDate,IF($Q79=0,$W79,IF(AND($S79&lt;&gt;"",EDATE($D79,Milestones!$AA$44)&gt;=$S79),$V79,IF(AND($R79&lt;&gt;"",EDATE($D79,Milestones!$AA$44)&gt;=$R79),$U79,$T79)))=Milestones!$AB$44),TEXT(EDATE($D79,Milestones!$AA$44),"dd/mm/yy")&amp;" "&amp;Milestones!$AB$44&amp;" "&amp;Milestones!$AC$44&amp;";  ","")&amp;IF(AND(EDATE($D79,Milestones!$AA$45)&lt;=AsOfDate,IF($Q79=0,$W79,IF(AND($S79&lt;&gt;"",EDATE($D79,Milestones!$AA$45)&gt;=$S79),$V79,IF(AND($R79&lt;&gt;"",EDATE($D79,Milestones!$AA$45)&gt;=$R79),$U79,$T79)))=Milestones!$AB$45),TEXT(EDATE($D79,Milestones!$AA$45),"dd/mm/yy")&amp;" "&amp;Milestones!$AB$45&amp;" "&amp;Milestones!$AC$45&amp;";  ","")&amp;IF(AND(EDATE($D79,Milestones!$AA$46)&lt;=AsOfDate,IF($Q79=0,$W79,IF(AND($S79&lt;&gt;"",EDATE($D79,Milestones!$AA$46)&gt;=$S79),$V79,IF(AND($R79&lt;&gt;"",EDATE($D79,Milestones!$AA$46)&gt;=$R79),$U79,$T79)))=Milestones!$AB$46),TEXT(EDATE($D79,Milestones!$AA$46),"dd/mm/yy")&amp;" "&amp;Milestones!$AB$46&amp;" "&amp;Milestones!$AC$46&amp;";  ","")&amp;IF(AND(EDATE($D79,Milestones!$AA$47)&lt;=AsOfDate,IF($Q79=0,$W79,IF(AND($S79&lt;&gt;"",EDATE($D79,Milestones!$AA$47)&gt;=$S79),$V79,IF(AND($R79&lt;&gt;"",EDATE($D79,Milestones!$AA$47)&gt;=$R79),$U79,$T79)))=Milestones!$AB$47),TEXT(EDATE($D79,Milestones!$AA$47),"dd/mm/yy")&amp;" "&amp;Milestones!$AB$47&amp;" "&amp;Milestones!$AC$47&amp;";  ","")&amp;IF(AND(EDATE($D79,Milestones!$AA$48)&lt;=AsOfDate,IF($Q79=0,$W79,IF(AND($S79&lt;&gt;"",EDATE($D79,Milestones!$AA$48)&gt;=$S79),$V79,IF(AND($R79&lt;&gt;"",EDATE($D79,Milestones!$AA$48)&gt;=$R79),$U79,$T79)))=Milestones!$AB$48),TEXT(EDATE($D79,Milestones!$AA$48),"dd/mm/yy")&amp;" "&amp;Milestones!$AB$48&amp;" "&amp;Milestones!$AC$48&amp;";  ","")&amp;IF(AND(EDATE($D79,Milestones!$AA$49)&lt;=AsOfDate,IF($Q79=0,$W79,IF(AND($S79&lt;&gt;"",EDATE($D79,Milestones!$AA$49)&gt;=$S79),$V79,IF(AND($R79&lt;&gt;"",EDATE($D79,Milestones!$AA$49)&gt;=$R79),$U79,$T79)))=Milestones!$AB$49),TEXT(EDATE($D79,Milestones!$AA$49),"dd/mm/yy")&amp;" "&amp;Milestones!$AB$49&amp;" "&amp;Milestones!$AC$49&amp;";  ","")&amp;IF(AND(EDATE($D79,Milestones!$AA$50)&lt;=AsOfDate,IF($Q79=0,$W79,IF(AND($S79&lt;&gt;"",EDATE($D79,Milestones!$AA$50)&gt;=$S79),$V79,IF(AND($R79&lt;&gt;"",EDATE($D79,Milestones!$AA$50)&gt;=$R79),$U79,$T79)))=Milestones!$AB$50),TEXT(EDATE($D79,Milestones!$AA$50),"dd/mm/yy")&amp;" "&amp;Milestones!$AB$50&amp;" "&amp;Milestones!$AC$50&amp;";  ","")&amp;IF(AND(EDATE($D79,Milestones!$AA$51)&lt;=AsOfDate,IF($Q79=0,$W79,IF(AND($S79&lt;&gt;"",EDATE($D79,Milestones!$AA$51)&gt;=$S79),$V79,IF(AND($R79&lt;&gt;"",EDATE($D79,Milestones!$AA$51)&gt;=$R79),$U79,$T79)))=Milestones!$AB$51),TEXT(EDATE($D79,Milestones!$AA$51),"dd/mm/yy")&amp;" "&amp;Milestones!$AB$51&amp;" "&amp;Milestones!$AC$51&amp;";  ","")&amp;IF(AND(EDATE($D79,Milestones!$AA$52)&lt;=AsOfDate,IF($Q79=0,$W79,IF(AND($S79&lt;&gt;"",EDATE($D79,Milestones!$AA$52)&gt;=$S79),$V79,IF(AND($R79&lt;&gt;"",EDATE($D79,Milestones!$AA$52)&gt;=$R79),$U79,$T79)))=Milestones!$AB$52),TEXT(EDATE($D79,Milestones!$AA$52),"dd/mm/yy")&amp;" "&amp;Milestones!$AB$52&amp;" "&amp;Milestones!$AC$52&amp;";  ","")&amp;IF(AND(EDATE($D79,Milestones!$AA$53)&lt;=AsOfDate,IF($Q79=0,$W79,IF(AND($S79&lt;&gt;"",EDATE($D79,Milestones!$AA$53)&gt;=$S79),$V79,IF(AND($R79&lt;&gt;"",EDATE($D79,Milestones!$AA$53)&gt;=$R79),$U79,$T79)))=Milestones!$AB$53),TEXT(EDATE($D79,Milestones!$AA$53),"dd/mm/yy")&amp;" "&amp;Milestones!$AB$53&amp;" "&amp;Milestones!$AC$53&amp;";  ","")&amp;IF(AND(EDATE($D79,Milestones!$AA$54)&lt;=AsOfDate,IF($Q79=0,$W79,IF(AND($S79&lt;&gt;"",EDATE($D79,Milestones!$AA$54)&gt;=$S79),$V79,IF(AND($R79&lt;&gt;"",EDATE($D79,Milestones!$AA$54)&gt;=$R79),$U79,$T79)))=Milestones!$AB$54),TEXT(EDATE($D79,Milestones!$AA$54),"dd/mm/yy")&amp;" "&amp;Milestones!$AB$54&amp;" "&amp;Milestones!$AC$54&amp;";  ","")&amp;IF(AND(EDATE($D79,Milestones!$AA$55)&lt;=AsOfDate,IF($Q79=0,$W79,IF(AND($S79&lt;&gt;"",EDATE($D79,Milestones!$AA$55)&gt;=$S79),$V79,IF(AND($R79&lt;&gt;"",EDATE($D79,Milestones!$AA$55)&gt;=$R79),$U79,$T79)))=Milestones!$AB$55),TEXT(EDATE($D79,Milestones!$AA$55),"dd/mm/yy")&amp;" "&amp;Milestones!$AB$55&amp;" "&amp;Milestones!$AC$55&amp;";  ","")&amp;IF(AND(EDATE($D79,Milestones!$AA$56)&lt;=AsOfDate,IF($Q79=0,$W79,IF(AND($S79&lt;&gt;"",EDATE($D79,Milestones!$AA$56)&gt;=$S79),$V79,IF(AND($R79&lt;&gt;"",EDATE($D79,Milestones!$AA$56)&gt;=$R79),$U79,$T79)))=Milestones!$AB$56),TEXT(EDATE($D79,Milestones!$AA$56),"dd/mm/yy")&amp;" "&amp;Milestones!$AB$56&amp;" "&amp;Milestones!$AC$56&amp;";  ","")&amp;IF(AND(EDATE($D79,Milestones!$AA$57)&lt;=AsOfDate,IF($Q79=0,$W79,IF(AND($S79&lt;&gt;"",EDATE($D79,Milestones!$AA$57)&gt;=$S79),$V79,IF(AND($R79&lt;&gt;"",EDATE($D79,Milestones!$AA$57)&gt;=$R79),$U79,$T79)))=Milestones!$AB$57),TEXT(EDATE($D79,Milestones!$AA$57),"dd/mm/yy")&amp;" "&amp;Milestones!$AB$57&amp;" "&amp;Milestones!$AC$57&amp;";  ","")&amp;IF(AND(EDATE($D79,Milestones!$AA$58)&lt;=AsOfDate,IF($Q79=0,$W79,IF(AND($S79&lt;&gt;"",EDATE($D79,Milestones!$AA$58)&gt;=$S79),$V79,IF(AND($R79&lt;&gt;"",EDATE($D79,Milestones!$AA$58)&gt;=$R79),$U79,$T79)))=Milestones!$AB$58),TEXT(EDATE($D79,Milestones!$AA$58),"dd/mm/yy")&amp;" "&amp;Milestones!$AB$58&amp;" "&amp;Milestones!$AC$58&amp;";  ","")&amp;IF(AND(EDATE($D79,Milestones!$AA$59)&lt;=AsOfDate,IF($Q79=0,$W79,IF(AND($S79&lt;&gt;"",EDATE($D79,Milestones!$AA$59)&gt;=$S79),$V79,IF(AND($R79&lt;&gt;"",EDATE($D79,Milestones!$AA$59)&gt;=$R79),$U79,$T79)))=Milestones!$AB$59),TEXT(EDATE($D79,Milestones!$AA$59),"dd/mm/yy")&amp;" "&amp;Milestones!$AB$59&amp;" "&amp;Milestones!$AC$59&amp;";  ",""))</f>
        <v/>
      </c>
      <c r="J79" s="0" t="str">
        <f aca="false">IF(OR($A79="",$D79=""),"",IF(AND(EDATE($D79,Milestones!$AA$60)&lt;=AsOfDate,IF($Q79=0,$W79,IF(AND($S79&lt;&gt;"",EDATE($D79,Milestones!$AA$60)&gt;=$S79),$V79,IF(AND($R79&lt;&gt;"",EDATE($D79,Milestones!$AA$60)&gt;=$R79),$U79,$T79)))=Milestones!$AB$60),TEXT(EDATE($D79,Milestones!$AA$60),"dd/mm/yy")&amp;" "&amp;Milestones!$AB$60&amp;" "&amp;Milestones!$AC$60&amp;";  ","")&amp;IF(AND(EDATE($D79,Milestones!$AA$61)&lt;=AsOfDate,IF($Q79=0,$W79,IF(AND($S79&lt;&gt;"",EDATE($D79,Milestones!$AA$61)&gt;=$S79),$V79,IF(AND($R79&lt;&gt;"",EDATE($D79,Milestones!$AA$61)&gt;=$R79),$U79,$T79)))=Milestones!$AB$61),TEXT(EDATE($D79,Milestones!$AA$61),"dd/mm/yy")&amp;" "&amp;Milestones!$AB$61&amp;" "&amp;Milestones!$AC$61&amp;";  ","")&amp;IF(AND(EDATE($D79,Milestones!$AA$62)&lt;=AsOfDate,IF($Q79=0,$W79,IF(AND($S79&lt;&gt;"",EDATE($D79,Milestones!$AA$62)&gt;=$S79),$V79,IF(AND($R79&lt;&gt;"",EDATE($D79,Milestones!$AA$62)&gt;=$R79),$U79,$T79)))=Milestones!$AB$62),TEXT(EDATE($D79,Milestones!$AA$62),"dd/mm/yy")&amp;" "&amp;Milestones!$AB$62&amp;" "&amp;Milestones!$AC$62&amp;";  ","")&amp;IF(AND(EDATE($D79,Milestones!$AA$63)&lt;=AsOfDate,IF($Q79=0,$W79,IF(AND($S79&lt;&gt;"",EDATE($D79,Milestones!$AA$63)&gt;=$S79),$V79,IF(AND($R79&lt;&gt;"",EDATE($D79,Milestones!$AA$63)&gt;=$R79),$U79,$T79)))=Milestones!$AB$63),TEXT(EDATE($D79,Milestones!$AA$63),"dd/mm/yy")&amp;" "&amp;Milestones!$AB$63&amp;" "&amp;Milestones!$AC$63&amp;";  ","")&amp;IF(AND(EDATE($D79,Milestones!$AA$64)&lt;=AsOfDate,IF($Q79=0,$W79,IF(AND($S79&lt;&gt;"",EDATE($D79,Milestones!$AA$64)&gt;=$S79),$V79,IF(AND($R79&lt;&gt;"",EDATE($D79,Milestones!$AA$64)&gt;=$R79),$U79,$T79)))=Milestones!$AB$64),TEXT(EDATE($D79,Milestones!$AA$64),"dd/mm/yy")&amp;" "&amp;Milestones!$AB$64&amp;" "&amp;Milestones!$AC$64&amp;";  ","")&amp;IF(AND(EDATE($D79,Milestones!$AA$65)&lt;=AsOfDate,IF($Q79=0,$W79,IF(AND($S79&lt;&gt;"",EDATE($D79,Milestones!$AA$65)&gt;=$S79),$V79,IF(AND($R79&lt;&gt;"",EDATE($D79,Milestones!$AA$65)&gt;=$R79),$U79,$T79)))=Milestones!$AB$65),TEXT(EDATE($D79,Milestones!$AA$65),"dd/mm/yy")&amp;" "&amp;Milestones!$AB$65&amp;" "&amp;Milestones!$AC$65&amp;";  ","")&amp;IF(AND(EDATE($D79,Milestones!$AA$66)&lt;=AsOfDate,IF($Q79=0,$W79,IF(AND($S79&lt;&gt;"",EDATE($D79,Milestones!$AA$66)&gt;=$S79),$V79,IF(AND($R79&lt;&gt;"",EDATE($D79,Milestones!$AA$66)&gt;=$R79),$U79,$T79)))=Milestones!$AB$66),TEXT(EDATE($D79,Milestones!$AA$66),"dd/mm/yy")&amp;" "&amp;Milestones!$AB$66&amp;" "&amp;Milestones!$AC$66&amp;";  ","")&amp;IF(AND(EDATE($D79,Milestones!$AA$67)&lt;=AsOfDate,IF($Q79=0,$W79,IF(AND($S79&lt;&gt;"",EDATE($D79,Milestones!$AA$67)&gt;=$S79),$V79,IF(AND($R79&lt;&gt;"",EDATE($D79,Milestones!$AA$67)&gt;=$R79),$U79,$T79)))=Milestones!$AB$67),TEXT(EDATE($D79,Milestones!$AA$67),"dd/mm/yy")&amp;" "&amp;Milestones!$AB$67&amp;" "&amp;Milestones!$AC$67&amp;";  ","")&amp;IF(AND(EDATE($D79,Milestones!$AA$68)&lt;=AsOfDate,IF($Q79=0,$W79,IF(AND($S79&lt;&gt;"",EDATE($D79,Milestones!$AA$68)&gt;=$S79),$V79,IF(AND($R79&lt;&gt;"",EDATE($D79,Milestones!$AA$68)&gt;=$R79),$U79,$T79)))=Milestones!$AB$68),TEXT(EDATE($D79,Milestones!$AA$68),"dd/mm/yy")&amp;" "&amp;Milestones!$AB$68&amp;" "&amp;Milestones!$AC$68&amp;";  ","")&amp;IF(AND(EDATE($D79,Milestones!$AA$69)&lt;=AsOfDate,IF($Q79=0,$W79,IF(AND($S79&lt;&gt;"",EDATE($D79,Milestones!$AA$69)&gt;=$S79),$V79,IF(AND($R79&lt;&gt;"",EDATE($D79,Milestones!$AA$69)&gt;=$R79),$U79,$T79)))=Milestones!$AB$69),TEXT(EDATE($D79,Milestones!$AA$69),"dd/mm/yy")&amp;" "&amp;Milestones!$AB$69&amp;" "&amp;Milestones!$AC$69&amp;";  ","")&amp;IF(AND(EDATE($D79,Milestones!$AA$70)&lt;=AsOfDate,IF($Q79=0,$W79,IF(AND($S79&lt;&gt;"",EDATE($D79,Milestones!$AA$70)&gt;=$S79),$V79,IF(AND($R79&lt;&gt;"",EDATE($D79,Milestones!$AA$70)&gt;=$R79),$U79,$T79)))=Milestones!$AB$70),TEXT(EDATE($D79,Milestones!$AA$70),"dd/mm/yy")&amp;" "&amp;Milestones!$AB$70&amp;" "&amp;Milestones!$AC$70&amp;";  ","")&amp;IF(AND(EDATE($D79,Milestones!$AA$71)&lt;=AsOfDate,IF($Q79=0,$W79,IF(AND($S79&lt;&gt;"",EDATE($D79,Milestones!$AA$71)&gt;=$S79),$V79,IF(AND($R79&lt;&gt;"",EDATE($D79,Milestones!$AA$71)&gt;=$R79),$U79,$T79)))=Milestones!$AB$71),TEXT(EDATE($D79,Milestones!$AA$71),"dd/mm/yy")&amp;" "&amp;Milestones!$AB$71&amp;" "&amp;Milestones!$AC$71&amp;";  ","")&amp;IF(AND(EDATE($D79,Milestones!$AA$72)&lt;=AsOfDate,IF($Q79=0,$W79,IF(AND($S79&lt;&gt;"",EDATE($D79,Milestones!$AA$72)&gt;=$S79),$V79,IF(AND($R79&lt;&gt;"",EDATE($D79,Milestones!$AA$72)&gt;=$R79),$U79,$T79)))=Milestones!$AB$72),TEXT(EDATE($D79,Milestones!$AA$72),"dd/mm/yy")&amp;" "&amp;Milestones!$AB$72&amp;" "&amp;Milestones!$AC$72&amp;";  ","")&amp;IF(AND(EDATE($D79,Milestones!$AA$73)&lt;=AsOfDate,IF($Q79=0,$W79,IF(AND($S79&lt;&gt;"",EDATE($D79,Milestones!$AA$73)&gt;=$S79),$V79,IF(AND($R79&lt;&gt;"",EDATE($D79,Milestones!$AA$73)&gt;=$R79),$U79,$T79)))=Milestones!$AB$73),TEXT(EDATE($D79,Milestones!$AA$73),"dd/mm/yy")&amp;" "&amp;Milestones!$AB$73&amp;" "&amp;Milestones!$AC$73&amp;";  ","")&amp;IF(AND(EDATE($D79,Milestones!$AA$74)&lt;=AsOfDate,IF($Q79=0,$W79,IF(AND($S79&lt;&gt;"",EDATE($D79,Milestones!$AA$74)&gt;=$S79),$V79,IF(AND($R79&lt;&gt;"",EDATE($D79,Milestones!$AA$74)&gt;=$R79),$U79,$T79)))=Milestones!$AB$74),TEXT(EDATE($D79,Milestones!$AA$74),"dd/mm/yy")&amp;" "&amp;Milestones!$AB$74&amp;" "&amp;Milestones!$AC$74&amp;";  ","")&amp;IF(AND(EDATE($D79,Milestones!$AA$75)&lt;=AsOfDate,IF($Q79=0,$W79,IF(AND($S79&lt;&gt;"",EDATE($D79,Milestones!$AA$75)&gt;=$S79),$V79,IF(AND($R79&lt;&gt;"",EDATE($D79,Milestones!$AA$75)&gt;=$R79),$U79,$T79)))=Milestones!$AB$75),TEXT(EDATE($D79,Milestones!$AA$75),"dd/mm/yy")&amp;" "&amp;Milestones!$AB$75&amp;" "&amp;Milestones!$AC$75&amp;";  ","")&amp;IF(AND(EDATE($D79,Milestones!$AA$76)&lt;=AsOfDate,IF($Q79=0,$W79,IF(AND($S79&lt;&gt;"",EDATE($D79,Milestones!$AA$76)&gt;=$S79),$V79,IF(AND($R79&lt;&gt;"",EDATE($D79,Milestones!$AA$76)&gt;=$R79),$U79,$T79)))=Milestones!$AB$76),TEXT(EDATE($D79,Milestones!$AA$76),"dd/mm/yy")&amp;" "&amp;Milestones!$AB$76&amp;" "&amp;Milestones!$AC$76&amp;";  ","")&amp;IF(AND(EDATE($D79,Milestones!$AA$77)&lt;=AsOfDate,IF($Q79=0,$W79,IF(AND($S79&lt;&gt;"",EDATE($D79,Milestones!$AA$77)&gt;=$S79),$V79,IF(AND($R79&lt;&gt;"",EDATE($D79,Milestones!$AA$77)&gt;=$R79),$U79,$T79)))=Milestones!$AB$77),TEXT(EDATE($D79,Milestones!$AA$77),"dd/mm/yy")&amp;" "&amp;Milestones!$AB$77&amp;" "&amp;Milestones!$AC$77&amp;";  ","")&amp;IF(AND(EDATE($D79,Milestones!$AA$78)&lt;=AsOfDate,IF($Q79=0,$W79,IF(AND($S79&lt;&gt;"",EDATE($D79,Milestones!$AA$78)&gt;=$S79),$V79,IF(AND($R79&lt;&gt;"",EDATE($D79,Milestones!$AA$78)&gt;=$R79),$U79,$T79)))=Milestones!$AB$78),TEXT(EDATE($D79,Milestones!$AA$78),"dd/mm/yy")&amp;" "&amp;Milestones!$AB$78&amp;" "&amp;Milestones!$AC$78&amp;";  ","")&amp;IF(AND(EDATE($D79,Milestones!$AA$79)&lt;=AsOfDate,IF($Q79=0,$W79,IF(AND($S79&lt;&gt;"",EDATE($D79,Milestones!$AA$79)&gt;=$S79),$V79,IF(AND($R79&lt;&gt;"",EDATE($D79,Milestones!$AA$79)&gt;=$R79),$U79,$T79)))=Milestones!$AB$79),TEXT(EDATE($D79,Milestones!$AA$79),"dd/mm/yy")&amp;" "&amp;Milestones!$AB$79&amp;" "&amp;Milestones!$AC$79&amp;";  ",""))</f>
        <v/>
      </c>
      <c r="K79" s="0" t="str">
        <f aca="false">IF(OR($A79="",$D79=""),"",IF(AND(EDATE($D79,Milestones!$AA$80)&lt;=AsOfDate,IF($Q79=0,$W79,IF(AND($S79&lt;&gt;"",EDATE($D79,Milestones!$AA$80)&gt;=$S79),$V79,IF(AND($R79&lt;&gt;"",EDATE($D79,Milestones!$AA$80)&gt;=$R79),$U79,$T79)))=Milestones!$AB$80),TEXT(EDATE($D79,Milestones!$AA$80),"dd/mm/yy")&amp;" "&amp;Milestones!$AB$80&amp;" "&amp;Milestones!$AC$80&amp;";  ","")&amp;IF(AND(EDATE($D79,Milestones!$AA$81)&lt;=AsOfDate,IF($Q79=0,$W79,IF(AND($S79&lt;&gt;"",EDATE($D79,Milestones!$AA$81)&gt;=$S79),$V79,IF(AND($R79&lt;&gt;"",EDATE($D79,Milestones!$AA$81)&gt;=$R79),$U79,$T79)))=Milestones!$AB$81),TEXT(EDATE($D79,Milestones!$AA$81),"dd/mm/yy")&amp;" "&amp;Milestones!$AB$81&amp;" "&amp;Milestones!$AC$81&amp;";  ","")&amp;IF(AND(EDATE($D79,Milestones!$AA$82)&lt;=AsOfDate,IF($Q79=0,$W79,IF(AND($S79&lt;&gt;"",EDATE($D79,Milestones!$AA$82)&gt;=$S79),$V79,IF(AND($R79&lt;&gt;"",EDATE($D79,Milestones!$AA$82)&gt;=$R79),$U79,$T79)))=Milestones!$AB$82),TEXT(EDATE($D79,Milestones!$AA$82),"dd/mm/yy")&amp;" "&amp;Milestones!$AB$82&amp;" "&amp;Milestones!$AC$82&amp;";  ","")&amp;IF(AND(EDATE($D79,Milestones!$AA$83)&lt;=AsOfDate,IF($Q79=0,$W79,IF(AND($S79&lt;&gt;"",EDATE($D79,Milestones!$AA$83)&gt;=$S79),$V79,IF(AND($R79&lt;&gt;"",EDATE($D79,Milestones!$AA$83)&gt;=$R79),$U79,$T79)))=Milestones!$AB$83),TEXT(EDATE($D79,Milestones!$AA$83),"dd/mm/yy")&amp;" "&amp;Milestones!$AB$83&amp;" "&amp;Milestones!$AC$83&amp;";  ","")&amp;IF(AND(EDATE($D79,Milestones!$AA$84)&lt;=AsOfDate,IF($Q79=0,$W79,IF(AND($S79&lt;&gt;"",EDATE($D79,Milestones!$AA$84)&gt;=$S79),$V79,IF(AND($R79&lt;&gt;"",EDATE($D79,Milestones!$AA$84)&gt;=$R79),$U79,$T79)))=Milestones!$AB$84),TEXT(EDATE($D79,Milestones!$AA$84),"dd/mm/yy")&amp;" "&amp;Milestones!$AB$84&amp;" "&amp;Milestones!$AC$84&amp;";  ","")&amp;IF(AND(EDATE($D79,Milestones!$AA$85)&lt;=AsOfDate,IF($Q79=0,$W79,IF(AND($S79&lt;&gt;"",EDATE($D79,Milestones!$AA$85)&gt;=$S79),$V79,IF(AND($R79&lt;&gt;"",EDATE($D79,Milestones!$AA$85)&gt;=$R79),$U79,$T79)))=Milestones!$AB$85),TEXT(EDATE($D79,Milestones!$AA$85),"dd/mm/yy")&amp;" "&amp;Milestones!$AB$85&amp;" "&amp;Milestones!$AC$85&amp;";  ","")&amp;IF(AND(EDATE($D79,Milestones!$AA$86)&lt;=AsOfDate,IF($Q79=0,$W79,IF(AND($S79&lt;&gt;"",EDATE($D79,Milestones!$AA$86)&gt;=$S79),$V79,IF(AND($R79&lt;&gt;"",EDATE($D79,Milestones!$AA$86)&gt;=$R79),$U79,$T79)))=Milestones!$AB$86),TEXT(EDATE($D79,Milestones!$AA$86),"dd/mm/yy")&amp;" "&amp;Milestones!$AB$86&amp;" "&amp;Milestones!$AC$86&amp;";  ","")&amp;IF(AND(EDATE($D79,Milestones!$AA$87)&lt;=AsOfDate,IF($Q79=0,$W79,IF(AND($S79&lt;&gt;"",EDATE($D79,Milestones!$AA$87)&gt;=$S79),$V79,IF(AND($R79&lt;&gt;"",EDATE($D79,Milestones!$AA$87)&gt;=$R79),$U79,$T79)))=Milestones!$AB$87),TEXT(EDATE($D79,Milestones!$AA$87),"dd/mm/yy")&amp;" "&amp;Milestones!$AB$87&amp;" "&amp;Milestones!$AC$87&amp;";  ","")&amp;IF(AND(EDATE($D79,Milestones!$AA$88)&lt;=AsOfDate,IF($Q79=0,$W79,IF(AND($S79&lt;&gt;"",EDATE($D79,Milestones!$AA$88)&gt;=$S79),$V79,IF(AND($R79&lt;&gt;"",EDATE($D79,Milestones!$AA$88)&gt;=$R79),$U79,$T79)))=Milestones!$AB$88),TEXT(EDATE($D79,Milestones!$AA$88),"dd/mm/yy")&amp;" "&amp;Milestones!$AB$88&amp;" "&amp;Milestones!$AC$88&amp;";  ","")&amp;IF(AND(EDATE($D79,Milestones!$AA$89)&lt;=AsOfDate,IF($Q79=0,$W79,IF(AND($S79&lt;&gt;"",EDATE($D79,Milestones!$AA$89)&gt;=$S79),$V79,IF(AND($R79&lt;&gt;"",EDATE($D79,Milestones!$AA$89)&gt;=$R79),$U79,$T79)))=Milestones!$AB$89),TEXT(EDATE($D79,Milestones!$AA$89),"dd/mm/yy")&amp;" "&amp;Milestones!$AB$89&amp;" "&amp;Milestones!$AC$89&amp;";  ","")&amp;IF(AND(EDATE($D79,Milestones!$AA$90)&lt;=AsOfDate,IF($Q79=0,$W79,IF(AND($S79&lt;&gt;"",EDATE($D79,Milestones!$AA$90)&gt;=$S79),$V79,IF(AND($R79&lt;&gt;"",EDATE($D79,Milestones!$AA$90)&gt;=$R79),$U79,$T79)))=Milestones!$AB$90),TEXT(EDATE($D79,Milestones!$AA$90),"dd/mm/yy")&amp;" "&amp;Milestones!$AB$90&amp;" "&amp;Milestones!$AC$90&amp;";  ","")&amp;IF(AND(EDATE($D79,Milestones!$AA$91)&lt;=AsOfDate,IF($Q79=0,$W79,IF(AND($S79&lt;&gt;"",EDATE($D79,Milestones!$AA$91)&gt;=$S79),$V79,IF(AND($R79&lt;&gt;"",EDATE($D79,Milestones!$AA$91)&gt;=$R79),$U79,$T79)))=Milestones!$AB$91),TEXT(EDATE($D79,Milestones!$AA$91),"dd/mm/yy")&amp;" "&amp;Milestones!$AB$91&amp;" "&amp;Milestones!$AC$91&amp;";  ","")&amp;IF(AND(EDATE($D79,Milestones!$AA$92)&lt;=AsOfDate,IF($Q79=0,$W79,IF(AND($S79&lt;&gt;"",EDATE($D79,Milestones!$AA$92)&gt;=$S79),$V79,IF(AND($R79&lt;&gt;"",EDATE($D79,Milestones!$AA$92)&gt;=$R79),$U79,$T79)))=Milestones!$AB$92),TEXT(EDATE($D79,Milestones!$AA$92),"dd/mm/yy")&amp;" "&amp;Milestones!$AB$92&amp;" "&amp;Milestones!$AC$92&amp;";  ","")&amp;IF(AND(EDATE($D79,Milestones!$AA$93)&lt;=AsOfDate,IF($Q79=0,$W79,IF(AND($S79&lt;&gt;"",EDATE($D79,Milestones!$AA$93)&gt;=$S79),$V79,IF(AND($R79&lt;&gt;"",EDATE($D79,Milestones!$AA$93)&gt;=$R79),$U79,$T79)))=Milestones!$AB$93),TEXT(EDATE($D79,Milestones!$AA$93),"dd/mm/yy")&amp;" "&amp;Milestones!$AB$93&amp;" "&amp;Milestones!$AC$93&amp;";  ","")&amp;IF(AND(EDATE($D79,Milestones!$AA$94)&lt;=AsOfDate,IF($Q79=0,$W79,IF(AND($S79&lt;&gt;"",EDATE($D79,Milestones!$AA$94)&gt;=$S79),$V79,IF(AND($R79&lt;&gt;"",EDATE($D79,Milestones!$AA$94)&gt;=$R79),$U79,$T79)))=Milestones!$AB$94),TEXT(EDATE($D79,Milestones!$AA$94),"dd/mm/yy")&amp;" "&amp;Milestones!$AB$94&amp;" "&amp;Milestones!$AC$94&amp;";  ","")&amp;IF(AND(EDATE($D79,Milestones!$AA$95)&lt;=AsOfDate,IF($Q79=0,$W79,IF(AND($S79&lt;&gt;"",EDATE($D79,Milestones!$AA$95)&gt;=$S79),$V79,IF(AND($R79&lt;&gt;"",EDATE($D79,Milestones!$AA$95)&gt;=$R79),$U79,$T79)))=Milestones!$AB$95),TEXT(EDATE($D79,Milestones!$AA$95),"dd/mm/yy")&amp;" "&amp;Milestones!$AB$95&amp;" "&amp;Milestones!$AC$95&amp;";  ","")&amp;IF(AND(EDATE($D79,Milestones!$AA$96)&lt;=AsOfDate,IF($Q79=0,$W79,IF(AND($S79&lt;&gt;"",EDATE($D79,Milestones!$AA$96)&gt;=$S79),$V79,IF(AND($R79&lt;&gt;"",EDATE($D79,Milestones!$AA$96)&gt;=$R79),$U79,$T79)))=Milestones!$AB$96),TEXT(EDATE($D79,Milestones!$AA$96),"dd/mm/yy")&amp;" "&amp;Milestones!$AB$96&amp;" "&amp;Milestones!$AC$96&amp;";  ","")&amp;IF(AND(EDATE($D79,Milestones!$AA$97)&lt;=AsOfDate,IF($Q79=0,$W79,IF(AND($S79&lt;&gt;"",EDATE($D79,Milestones!$AA$97)&gt;=$S79),$V79,IF(AND($R79&lt;&gt;"",EDATE($D79,Milestones!$AA$97)&gt;=$R79),$U79,$T79)))=Milestones!$AB$97),TEXT(EDATE($D79,Milestones!$AA$97),"dd/mm/yy")&amp;" "&amp;Milestones!$AB$97&amp;" "&amp;Milestones!$AC$97&amp;";  ","")&amp;IF(AND(EDATE($D79,Milestones!$AA$98)&lt;=AsOfDate,IF($Q79=0,$W79,IF(AND($S79&lt;&gt;"",EDATE($D79,Milestones!$AA$98)&gt;=$S79),$V79,IF(AND($R79&lt;&gt;"",EDATE($D79,Milestones!$AA$98)&gt;=$R79),$U79,$T79)))=Milestones!$AB$98),TEXT(EDATE($D79,Milestones!$AA$98),"dd/mm/yy")&amp;" "&amp;Milestones!$AB$98&amp;" "&amp;Milestones!$AC$98&amp;";  ","")&amp;IF(AND(EDATE($D79,Milestones!$AA$99)&lt;=AsOfDate,IF($Q79=0,$W79,IF(AND($S79&lt;&gt;"",EDATE($D79,Milestones!$AA$99)&gt;=$S79),$V79,IF(AND($R79&lt;&gt;"",EDATE($D79,Milestones!$AA$99)&gt;=$R79),$U79,$T79)))=Milestones!$AB$99),TEXT(EDATE($D79,Milestones!$AA$99),"dd/mm/yy")&amp;" "&amp;Milestones!$AB$99&amp;" "&amp;Milestones!$AC$99&amp;";  ",""))</f>
        <v/>
      </c>
      <c r="L79" s="0" t="str">
        <f aca="false">IF(OR($A79="",$D79=""),"",IF(AND(EDATE($D79,Milestones!$AA$100)&lt;=AsOfDate,IF($Q79=0,$W79,IF(AND($S79&lt;&gt;"",EDATE($D79,Milestones!$AA$100)&gt;=$S79),$V79,IF(AND($R79&lt;&gt;"",EDATE($D79,Milestones!$AA$100)&gt;=$R79),$U79,$T79)))=Milestones!$AB$100),TEXT(EDATE($D79,Milestones!$AA$100),"dd/mm/yy")&amp;" "&amp;Milestones!$AB$100&amp;" "&amp;Milestones!$AC$100&amp;";  ","")&amp;IF(AND(EDATE($D79,Milestones!$AA$101)&lt;=AsOfDate,IF($Q79=0,$W79,IF(AND($S79&lt;&gt;"",EDATE($D79,Milestones!$AA$101)&gt;=$S79),$V79,IF(AND($R79&lt;&gt;"",EDATE($D79,Milestones!$AA$101)&gt;=$R79),$U79,$T79)))=Milestones!$AB$101),TEXT(EDATE($D79,Milestones!$AA$101),"dd/mm/yy")&amp;" "&amp;Milestones!$AB$101&amp;" "&amp;Milestones!$AC$101&amp;";  ","")&amp;IF(AND(EDATE($D79,Milestones!$AA$102)&lt;=AsOfDate,IF($Q79=0,$W79,IF(AND($S79&lt;&gt;"",EDATE($D79,Milestones!$AA$102)&gt;=$S79),$V79,IF(AND($R79&lt;&gt;"",EDATE($D79,Milestones!$AA$102)&gt;=$R79),$U79,$T79)))=Milestones!$AB$102),TEXT(EDATE($D79,Milestones!$AA$102),"dd/mm/yy")&amp;" "&amp;Milestones!$AB$102&amp;" "&amp;Milestones!$AC$102&amp;";  ","")&amp;IF(AND(EDATE($D79,Milestones!$AA$103)&lt;=AsOfDate,IF($Q79=0,$W79,IF(AND($S79&lt;&gt;"",EDATE($D79,Milestones!$AA$103)&gt;=$S79),$V79,IF(AND($R79&lt;&gt;"",EDATE($D79,Milestones!$AA$103)&gt;=$R79),$U79,$T79)))=Milestones!$AB$103),TEXT(EDATE($D79,Milestones!$AA$103),"dd/mm/yy")&amp;" "&amp;Milestones!$AB$103&amp;" "&amp;Milestones!$AC$103&amp;";  ","")&amp;IF(AND(EDATE($D79,Milestones!$AA$104)&lt;=AsOfDate,IF($Q79=0,$W79,IF(AND($S79&lt;&gt;"",EDATE($D79,Milestones!$AA$104)&gt;=$S79),$V79,IF(AND($R79&lt;&gt;"",EDATE($D79,Milestones!$AA$104)&gt;=$R79),$U79,$T79)))=Milestones!$AB$104),TEXT(EDATE($D79,Milestones!$AA$104),"dd/mm/yy")&amp;" "&amp;Milestones!$AB$104&amp;" "&amp;Milestones!$AC$104&amp;";  ","")&amp;IF(AND(EDATE($D79,Milestones!$AA$105)&lt;=AsOfDate,IF($Q79=0,$W79,IF(AND($S79&lt;&gt;"",EDATE($D79,Milestones!$AA$105)&gt;=$S79),$V79,IF(AND($R79&lt;&gt;"",EDATE($D79,Milestones!$AA$105)&gt;=$R79),$U79,$T79)))=Milestones!$AB$105),TEXT(EDATE($D79,Milestones!$AA$105),"dd/mm/yy")&amp;" "&amp;Milestones!$AB$105&amp;" "&amp;Milestones!$AC$105&amp;";  ","")&amp;IF(AND(EDATE($D79,Milestones!$AA$106)&lt;=AsOfDate,IF($Q79=0,$W79,IF(AND($S79&lt;&gt;"",EDATE($D79,Milestones!$AA$106)&gt;=$S79),$V79,IF(AND($R79&lt;&gt;"",EDATE($D79,Milestones!$AA$106)&gt;=$R79),$U79,$T79)))=Milestones!$AB$106),TEXT(EDATE($D79,Milestones!$AA$106),"dd/mm/yy")&amp;" "&amp;Milestones!$AB$106&amp;" "&amp;Milestones!$AC$106&amp;";  ","")&amp;IF(AND(EDATE($D79,Milestones!$AA$107)&lt;=AsOfDate,IF($Q79=0,$W79,IF(AND($S79&lt;&gt;"",EDATE($D79,Milestones!$AA$107)&gt;=$S79),$V79,IF(AND($R79&lt;&gt;"",EDATE($D79,Milestones!$AA$107)&gt;=$R79),$U79,$T79)))=Milestones!$AB$107),TEXT(EDATE($D79,Milestones!$AA$107),"dd/mm/yy")&amp;" "&amp;Milestones!$AB$107&amp;" "&amp;Milestones!$AC$107&amp;";  ","")&amp;IF(AND(EDATE($D79,Milestones!$AA$108)&lt;=AsOfDate,IF($Q79=0,$W79,IF(AND($S79&lt;&gt;"",EDATE($D79,Milestones!$AA$108)&gt;=$S79),$V79,IF(AND($R79&lt;&gt;"",EDATE($D79,Milestones!$AA$108)&gt;=$R79),$U79,$T79)))=Milestones!$AB$108),TEXT(EDATE($D79,Milestones!$AA$108),"dd/mm/yy")&amp;" "&amp;Milestones!$AB$108&amp;" "&amp;Milestones!$AC$108&amp;";  ","")&amp;IF(AND(EDATE($D79,Milestones!$AA$109)&lt;=AsOfDate,IF($Q79=0,$W79,IF(AND($S79&lt;&gt;"",EDATE($D79,Milestones!$AA$109)&gt;=$S79),$V79,IF(AND($R79&lt;&gt;"",EDATE($D79,Milestones!$AA$109)&gt;=$R79),$U79,$T79)))=Milestones!$AB$109),TEXT(EDATE($D79,Milestones!$AA$109),"dd/mm/yy")&amp;" "&amp;Milestones!$AB$109&amp;" "&amp;Milestones!$AC$109&amp;";  ","")&amp;IF(AND(EDATE($D79,Milestones!$AA$110)&lt;=AsOfDate,IF($Q79=0,$W79,IF(AND($S79&lt;&gt;"",EDATE($D79,Milestones!$AA$110)&gt;=$S79),$V79,IF(AND($R79&lt;&gt;"",EDATE($D79,Milestones!$AA$110)&gt;=$R79),$U79,$T79)))=Milestones!$AB$110),TEXT(EDATE($D79,Milestones!$AA$110),"dd/mm/yy")&amp;" "&amp;Milestones!$AB$110&amp;" "&amp;Milestones!$AC$110&amp;";  ","")&amp;IF(AND(EDATE($D79,Milestones!$AA$111)&lt;=AsOfDate,IF($Q79=0,$W79,IF(AND($S79&lt;&gt;"",EDATE($D79,Milestones!$AA$111)&gt;=$S79),$V79,IF(AND($R79&lt;&gt;"",EDATE($D79,Milestones!$AA$111)&gt;=$R79),$U79,$T79)))=Milestones!$AB$111),TEXT(EDATE($D79,Milestones!$AA$111),"dd/mm/yy")&amp;" "&amp;Milestones!$AB$111&amp;" "&amp;Milestones!$AC$111&amp;";  ","")&amp;IF(AND(EDATE($D79,Milestones!$AA$112)&lt;=AsOfDate,IF($Q79=0,$W79,IF(AND($S79&lt;&gt;"",EDATE($D79,Milestones!$AA$112)&gt;=$S79),$V79,IF(AND($R79&lt;&gt;"",EDATE($D79,Milestones!$AA$112)&gt;=$R79),$U79,$T79)))=Milestones!$AB$112),TEXT(EDATE($D79,Milestones!$AA$112),"dd/mm/yy")&amp;" "&amp;Milestones!$AB$112&amp;" "&amp;Milestones!$AC$112&amp;";  ","")&amp;IF(AND(EDATE($D79,Milestones!$AA$113)&lt;=AsOfDate,IF($Q79=0,$W79,IF(AND($S79&lt;&gt;"",EDATE($D79,Milestones!$AA$113)&gt;=$S79),$V79,IF(AND($R79&lt;&gt;"",EDATE($D79,Milestones!$AA$113)&gt;=$R79),$U79,$T79)))=Milestones!$AB$113),TEXT(EDATE($D79,Milestones!$AA$113),"dd/mm/yy")&amp;" "&amp;Milestones!$AB$113&amp;" "&amp;Milestones!$AC$113&amp;";  ","")&amp;IF(AND(EDATE($D79,Milestones!$AA$114)&lt;=AsOfDate,IF($Q79=0,$W79,IF(AND($S79&lt;&gt;"",EDATE($D79,Milestones!$AA$114)&gt;=$S79),$V79,IF(AND($R79&lt;&gt;"",EDATE($D79,Milestones!$AA$114)&gt;=$R79),$U79,$T79)))=Milestones!$AB$114),TEXT(EDATE($D79,Milestones!$AA$114),"dd/mm/yy")&amp;" "&amp;Milestones!$AB$114&amp;" "&amp;Milestones!$AC$114&amp;";  ","")&amp;IF(AND(EDATE($D79,Milestones!$AA$115)&lt;=AsOfDate,IF($Q79=0,$W79,IF(AND($S79&lt;&gt;"",EDATE($D79,Milestones!$AA$115)&gt;=$S79),$V79,IF(AND($R79&lt;&gt;"",EDATE($D79,Milestones!$AA$115)&gt;=$R79),$U79,$T79)))=Milestones!$AB$115),TEXT(EDATE($D79,Milestones!$AA$115),"dd/mm/yy")&amp;" "&amp;Milestones!$AB$115&amp;" "&amp;Milestones!$AC$115&amp;";  ","")&amp;IF(AND(EDATE($D79,Milestones!$AA$116)&lt;=AsOfDate,IF($Q79=0,$W79,IF(AND($S79&lt;&gt;"",EDATE($D79,Milestones!$AA$116)&gt;=$S79),$V79,IF(AND($R79&lt;&gt;"",EDATE($D79,Milestones!$AA$116)&gt;=$R79),$U79,$T79)))=Milestones!$AB$116),TEXT(EDATE($D79,Milestones!$AA$116),"dd/mm/yy")&amp;" "&amp;Milestones!$AB$116&amp;" "&amp;Milestones!$AC$116&amp;";  ","")&amp;IF(AND(EDATE($D79,Milestones!$AA$117)&lt;=AsOfDate,IF($Q79=0,$W79,IF(AND($S79&lt;&gt;"",EDATE($D79,Milestones!$AA$117)&gt;=$S79),$V79,IF(AND($R79&lt;&gt;"",EDATE($D79,Milestones!$AA$117)&gt;=$R79),$U79,$T79)))=Milestones!$AB$117),TEXT(EDATE($D79,Milestones!$AA$117),"dd/mm/yy")&amp;" "&amp;Milestones!$AB$117&amp;" "&amp;Milestones!$AC$117&amp;";  ","")&amp;IF(AND(EDATE($D79,Milestones!$AA$118)&lt;=AsOfDate,IF($Q79=0,$W79,IF(AND($S79&lt;&gt;"",EDATE($D79,Milestones!$AA$118)&gt;=$S79),$V79,IF(AND($R79&lt;&gt;"",EDATE($D79,Milestones!$AA$118)&gt;=$R79),$U79,$T79)))=Milestones!$AB$118),TEXT(EDATE($D79,Milestones!$AA$118),"dd/mm/yy")&amp;" "&amp;Milestones!$AB$118&amp;" "&amp;Milestones!$AC$118&amp;";  ","")&amp;IF(AND(EDATE($D79,Milestones!$AA$119)&lt;=AsOfDate,IF($Q79=0,$W79,IF(AND($S79&lt;&gt;"",EDATE($D79,Milestones!$AA$119)&gt;=$S79),$V79,IF(AND($R79&lt;&gt;"",EDATE($D79,Milestones!$AA$119)&gt;=$R79),$U79,$T79)))=Milestones!$AB$119),TEXT(EDATE($D79,Milestones!$AA$119),"dd/mm/yy")&amp;" "&amp;Milestones!$AB$119&amp;" "&amp;Milestones!$AC$119&amp;";  ",""))</f>
        <v/>
      </c>
      <c r="M79" s="0" t="str">
        <f aca="false">IF(OR($A79="",$D79=""),"",IF(AND(EDATE($D79,Milestones!$AA$120)&lt;=AsOfDate,IF($Q79=0,$W79,IF(AND($S79&lt;&gt;"",EDATE($D79,Milestones!$AA$120)&gt;=$S79),$V79,IF(AND($R79&lt;&gt;"",EDATE($D79,Milestones!$AA$120)&gt;=$R79),$U79,$T79)))=Milestones!$AB$120),TEXT(EDATE($D79,Milestones!$AA$120),"dd/mm/yy")&amp;" "&amp;Milestones!$AB$120&amp;" "&amp;Milestones!$AC$120&amp;";  ","")&amp;IF(AND(EDATE($D79,Milestones!$AA$121)&lt;=AsOfDate,IF($Q79=0,$W79,IF(AND($S79&lt;&gt;"",EDATE($D79,Milestones!$AA$121)&gt;=$S79),$V79,IF(AND($R79&lt;&gt;"",EDATE($D79,Milestones!$AA$121)&gt;=$R79),$U79,$T79)))=Milestones!$AB$121),TEXT(EDATE($D79,Milestones!$AA$121),"dd/mm/yy")&amp;" "&amp;Milestones!$AB$121&amp;" "&amp;Milestones!$AC$121&amp;";  ","")&amp;IF(AND(EDATE($D79,Milestones!$AA$122)&lt;=AsOfDate,IF($Q79=0,$W79,IF(AND($S79&lt;&gt;"",EDATE($D79,Milestones!$AA$122)&gt;=$S79),$V79,IF(AND($R79&lt;&gt;"",EDATE($D79,Milestones!$AA$122)&gt;=$R79),$U79,$T79)))=Milestones!$AB$122),TEXT(EDATE($D79,Milestones!$AA$122),"dd/mm/yy")&amp;" "&amp;Milestones!$AB$122&amp;" "&amp;Milestones!$AC$122&amp;";  ","")&amp;IF(AND(EDATE($D79,Milestones!$AA$123)&lt;=AsOfDate,IF($Q79=0,$W79,IF(AND($S79&lt;&gt;"",EDATE($D79,Milestones!$AA$123)&gt;=$S79),$V79,IF(AND($R79&lt;&gt;"",EDATE($D79,Milestones!$AA$123)&gt;=$R79),$U79,$T79)))=Milestones!$AB$123),TEXT(EDATE($D79,Milestones!$AA$123),"dd/mm/yy")&amp;" "&amp;Milestones!$AB$123&amp;" "&amp;Milestones!$AC$123&amp;";  ","")&amp;IF(AND(EDATE($D79,Milestones!$AA$124)&lt;=AsOfDate,IF($Q79=0,$W79,IF(AND($S79&lt;&gt;"",EDATE($D79,Milestones!$AA$124)&gt;=$S79),$V79,IF(AND($R79&lt;&gt;"",EDATE($D79,Milestones!$AA$124)&gt;=$R79),$U79,$T79)))=Milestones!$AB$124),TEXT(EDATE($D79,Milestones!$AA$124),"dd/mm/yy")&amp;" "&amp;Milestones!$AB$124&amp;" "&amp;Milestones!$AC$124&amp;";  ","")&amp;IF(AND(EDATE($D79,Milestones!$AA$125)&lt;=AsOfDate,IF($Q79=0,$W79,IF(AND($S79&lt;&gt;"",EDATE($D79,Milestones!$AA$125)&gt;=$S79),$V79,IF(AND($R79&lt;&gt;"",EDATE($D79,Milestones!$AA$125)&gt;=$R79),$U79,$T79)))=Milestones!$AB$125),TEXT(EDATE($D79,Milestones!$AA$125),"dd/mm/yy")&amp;" "&amp;Milestones!$AB$125&amp;" "&amp;Milestones!$AC$125&amp;";  ","")&amp;IF(AND(EDATE($D79,Milestones!$AA$126)&lt;=AsOfDate,IF($Q79=0,$W79,IF(AND($S79&lt;&gt;"",EDATE($D79,Milestones!$AA$126)&gt;=$S79),$V79,IF(AND($R79&lt;&gt;"",EDATE($D79,Milestones!$AA$126)&gt;=$R79),$U79,$T79)))=Milestones!$AB$126),TEXT(EDATE($D79,Milestones!$AA$126),"dd/mm/yy")&amp;" "&amp;Milestones!$AB$126&amp;" "&amp;Milestones!$AC$126&amp;";  ","")&amp;IF(AND(EDATE($D79,Milestones!$AA$127)&lt;=AsOfDate,IF($Q79=0,$W79,IF(AND($S79&lt;&gt;"",EDATE($D79,Milestones!$AA$127)&gt;=$S79),$V79,IF(AND($R79&lt;&gt;"",EDATE($D79,Milestones!$AA$127)&gt;=$R79),$U79,$T79)))=Milestones!$AB$127),TEXT(EDATE($D79,Milestones!$AA$127),"dd/mm/yy")&amp;" "&amp;Milestones!$AB$127&amp;" "&amp;Milestones!$AC$127&amp;";  ","")&amp;IF(AND(EDATE($D79,Milestones!$AA$128)&lt;=AsOfDate,IF($Q79=0,$W79,IF(AND($S79&lt;&gt;"",EDATE($D79,Milestones!$AA$128)&gt;=$S79),$V79,IF(AND($R79&lt;&gt;"",EDATE($D79,Milestones!$AA$128)&gt;=$R79),$U79,$T79)))=Milestones!$AB$128),TEXT(EDATE($D79,Milestones!$AA$128),"dd/mm/yy")&amp;" "&amp;Milestones!$AB$128&amp;" "&amp;Milestones!$AC$128&amp;";  ","")&amp;IF(AND(EDATE($D79,Milestones!$AA$129)&lt;=AsOfDate,IF($Q79=0,$W79,IF(AND($S79&lt;&gt;"",EDATE($D79,Milestones!$AA$129)&gt;=$S79),$V79,IF(AND($R79&lt;&gt;"",EDATE($D79,Milestones!$AA$129)&gt;=$R79),$U79,$T79)))=Milestones!$AB$129),TEXT(EDATE($D79,Milestones!$AA$129),"dd/mm/yy")&amp;" "&amp;Milestones!$AB$129&amp;" "&amp;Milestones!$AC$129&amp;";  ","")&amp;IF(AND(EDATE($D79,Milestones!$AA$130)&lt;=AsOfDate,IF($Q79=0,$W79,IF(AND($S79&lt;&gt;"",EDATE($D79,Milestones!$AA$130)&gt;=$S79),$V79,IF(AND($R79&lt;&gt;"",EDATE($D79,Milestones!$AA$130)&gt;=$R79),$U79,$T79)))=Milestones!$AB$130),TEXT(EDATE($D79,Milestones!$AA$130),"dd/mm/yy")&amp;" "&amp;Milestones!$AB$130&amp;" "&amp;Milestones!$AC$130&amp;";  ","")&amp;IF(AND(EDATE($D79,Milestones!$AA$131)&lt;=AsOfDate,IF($Q79=0,$W79,IF(AND($S79&lt;&gt;"",EDATE($D79,Milestones!$AA$131)&gt;=$S79),$V79,IF(AND($R79&lt;&gt;"",EDATE($D79,Milestones!$AA$131)&gt;=$R79),$U79,$T79)))=Milestones!$AB$131),TEXT(EDATE($D79,Milestones!$AA$131),"dd/mm/yy")&amp;" "&amp;Milestones!$AB$131&amp;" "&amp;Milestones!$AC$131&amp;";  ","")&amp;IF(AND(EDATE($D79,Milestones!$AA$132)&lt;=AsOfDate,IF($Q79=0,$W79,IF(AND($S79&lt;&gt;"",EDATE($D79,Milestones!$AA$132)&gt;=$S79),$V79,IF(AND($R79&lt;&gt;"",EDATE($D79,Milestones!$AA$132)&gt;=$R79),$U79,$T79)))=Milestones!$AB$132),TEXT(EDATE($D79,Milestones!$AA$132),"dd/mm/yy")&amp;" "&amp;Milestones!$AB$132&amp;" "&amp;Milestones!$AC$132&amp;";  ","")&amp;IF(AND(EDATE($D79,Milestones!$AA$133)&lt;=AsOfDate,IF($Q79=0,$W79,IF(AND($S79&lt;&gt;"",EDATE($D79,Milestones!$AA$133)&gt;=$S79),$V79,IF(AND($R79&lt;&gt;"",EDATE($D79,Milestones!$AA$133)&gt;=$R79),$U79,$T79)))=Milestones!$AB$133),TEXT(EDATE($D79,Milestones!$AA$133),"dd/mm/yy")&amp;" "&amp;Milestones!$AB$133&amp;" "&amp;Milestones!$AC$133&amp;";  ","")&amp;IF(AND(EDATE($D79,Milestones!$AA$134)&lt;=AsOfDate,IF($Q79=0,$W79,IF(AND($S79&lt;&gt;"",EDATE($D79,Milestones!$AA$134)&gt;=$S79),$V79,IF(AND($R79&lt;&gt;"",EDATE($D79,Milestones!$AA$134)&gt;=$R79),$U79,$T79)))=Milestones!$AB$134),TEXT(EDATE($D79,Milestones!$AA$134),"dd/mm/yy")&amp;" "&amp;Milestones!$AB$134&amp;" "&amp;Milestones!$AC$134&amp;";  ","")&amp;IF(AND(EDATE($D79,Milestones!$AA$135)&lt;=AsOfDate,IF($Q79=0,$W79,IF(AND($S79&lt;&gt;"",EDATE($D79,Milestones!$AA$135)&gt;=$S79),$V79,IF(AND($R79&lt;&gt;"",EDATE($D79,Milestones!$AA$135)&gt;=$R79),$U79,$T79)))=Milestones!$AB$135),TEXT(EDATE($D79,Milestones!$AA$135),"dd/mm/yy")&amp;" "&amp;Milestones!$AB$135&amp;" "&amp;Milestones!$AC$135&amp;";  ","")&amp;IF(AND(EDATE($D79,Milestones!$AA$136)&lt;=AsOfDate,IF($Q79=0,$W79,IF(AND($S79&lt;&gt;"",EDATE($D79,Milestones!$AA$136)&gt;=$S79),$V79,IF(AND($R79&lt;&gt;"",EDATE($D79,Milestones!$AA$136)&gt;=$R79),$U79,$T79)))=Milestones!$AB$136),TEXT(EDATE($D79,Milestones!$AA$136),"dd/mm/yy")&amp;" "&amp;Milestones!$AB$136&amp;" "&amp;Milestones!$AC$136&amp;";  ","")&amp;IF(AND(EDATE($D79,Milestones!$AA$137)&lt;=AsOfDate,IF($Q79=0,$W79,IF(AND($S79&lt;&gt;"",EDATE($D79,Milestones!$AA$137)&gt;=$S79),$V79,IF(AND($R79&lt;&gt;"",EDATE($D79,Milestones!$AA$137)&gt;=$R79),$U79,$T79)))=Milestones!$AB$137),TEXT(EDATE($D79,Milestones!$AA$137),"dd/mm/yy")&amp;" "&amp;Milestones!$AB$137&amp;" "&amp;Milestones!$AC$137&amp;";  ","")&amp;IF(AND(EDATE($D79,Milestones!$AA$138)&lt;=AsOfDate,IF($Q79=0,$W79,IF(AND($S79&lt;&gt;"",EDATE($D79,Milestones!$AA$138)&gt;=$S79),$V79,IF(AND($R79&lt;&gt;"",EDATE($D79,Milestones!$AA$138)&gt;=$R79),$U79,$T79)))=Milestones!$AB$138),TEXT(EDATE($D79,Milestones!$AA$138),"dd/mm/yy")&amp;" "&amp;Milestones!$AB$138&amp;" "&amp;Milestones!$AC$138&amp;";  ","")&amp;IF(AND(EDATE($D79,Milestones!$AA$139)&lt;=AsOfDate,IF($Q79=0,$W79,IF(AND($S79&lt;&gt;"",EDATE($D79,Milestones!$AA$139)&gt;=$S79),$V79,IF(AND($R79&lt;&gt;"",EDATE($D79,Milestones!$AA$139)&gt;=$R79),$U79,$T79)))=Milestones!$AB$139),TEXT(EDATE($D79,Milestones!$AA$139),"dd/mm/yy")&amp;" "&amp;Milestones!$AB$139&amp;" "&amp;Milestones!$AC$139&amp;";  ",""))</f>
        <v/>
      </c>
      <c r="N79" s="0" t="str">
        <f aca="false">IF(OR($A79="",$D79=""),"",IF(AND(EDATE($D79,Milestones!$AA$140)&lt;=AsOfDate,IF($Q79=0,$W79,IF(AND($S79&lt;&gt;"",EDATE($D79,Milestones!$AA$140)&gt;=$S79),$V79,IF(AND($R79&lt;&gt;"",EDATE($D79,Milestones!$AA$140)&gt;=$R79),$U79,$T79)))=Milestones!$AB$140),TEXT(EDATE($D79,Milestones!$AA$140),"dd/mm/yy")&amp;" "&amp;Milestones!$AB$140&amp;" "&amp;Milestones!$AC$140&amp;";  ","")&amp;IF(AND(EDATE($D79,Milestones!$AA$141)&lt;=AsOfDate,IF($Q79=0,$W79,IF(AND($S79&lt;&gt;"",EDATE($D79,Milestones!$AA$141)&gt;=$S79),$V79,IF(AND($R79&lt;&gt;"",EDATE($D79,Milestones!$AA$141)&gt;=$R79),$U79,$T79)))=Milestones!$AB$141),TEXT(EDATE($D79,Milestones!$AA$141),"dd/mm/yy")&amp;" "&amp;Milestones!$AB$141&amp;" "&amp;Milestones!$AC$141&amp;";  ","")&amp;IF(AND(EDATE($D79,Milestones!$AA$142)&lt;=AsOfDate,IF($Q79=0,$W79,IF(AND($S79&lt;&gt;"",EDATE($D79,Milestones!$AA$142)&gt;=$S79),$V79,IF(AND($R79&lt;&gt;"",EDATE($D79,Milestones!$AA$142)&gt;=$R79),$U79,$T79)))=Milestones!$AB$142),TEXT(EDATE($D79,Milestones!$AA$142),"dd/mm/yy")&amp;" "&amp;Milestones!$AB$142&amp;" "&amp;Milestones!$AC$142&amp;";  ","")&amp;IF(AND(EDATE($D79,Milestones!$AA$143)&lt;=AsOfDate,IF($Q79=0,$W79,IF(AND($S79&lt;&gt;"",EDATE($D79,Milestones!$AA$143)&gt;=$S79),$V79,IF(AND($R79&lt;&gt;"",EDATE($D79,Milestones!$AA$143)&gt;=$R79),$U79,$T79)))=Milestones!$AB$143),TEXT(EDATE($D79,Milestones!$AA$143),"dd/mm/yy")&amp;" "&amp;Milestones!$AB$143&amp;" "&amp;Milestones!$AC$143&amp;";  ","")&amp;IF(AND(EDATE($D79,Milestones!$AA$144)&lt;=AsOfDate,IF($Q79=0,$W79,IF(AND($S79&lt;&gt;"",EDATE($D79,Milestones!$AA$144)&gt;=$S79),$V79,IF(AND($R79&lt;&gt;"",EDATE($D79,Milestones!$AA$144)&gt;=$R79),$U79,$T79)))=Milestones!$AB$144),TEXT(EDATE($D79,Milestones!$AA$144),"dd/mm/yy")&amp;" "&amp;Milestones!$AB$144&amp;" "&amp;Milestones!$AC$144&amp;";  ","")&amp;IF(AND(EDATE($D79,Milestones!$AA$145)&lt;=AsOfDate,IF($Q79=0,$W79,IF(AND($S79&lt;&gt;"",EDATE($D79,Milestones!$AA$145)&gt;=$S79),$V79,IF(AND($R79&lt;&gt;"",EDATE($D79,Milestones!$AA$145)&gt;=$R79),$U79,$T79)))=Milestones!$AB$145),TEXT(EDATE($D79,Milestones!$AA$145),"dd/mm/yy")&amp;" "&amp;Milestones!$AB$145&amp;" "&amp;Milestones!$AC$145&amp;";  ","")&amp;IF(AND(EDATE($D79,Milestones!$AA$146)&lt;=AsOfDate,IF($Q79=0,$W79,IF(AND($S79&lt;&gt;"",EDATE($D79,Milestones!$AA$146)&gt;=$S79),$V79,IF(AND($R79&lt;&gt;"",EDATE($D79,Milestones!$AA$146)&gt;=$R79),$U79,$T79)))=Milestones!$AB$146),TEXT(EDATE($D79,Milestones!$AA$146),"dd/mm/yy")&amp;" "&amp;Milestones!$AB$146&amp;" "&amp;Milestones!$AC$146&amp;";  ","")&amp;IF(AND(EDATE($D79,Milestones!$AA$147)&lt;=AsOfDate,IF($Q79=0,$W79,IF(AND($S79&lt;&gt;"",EDATE($D79,Milestones!$AA$147)&gt;=$S79),$V79,IF(AND($R79&lt;&gt;"",EDATE($D79,Milestones!$AA$147)&gt;=$R79),$U79,$T79)))=Milestones!$AB$147),TEXT(EDATE($D79,Milestones!$AA$147),"dd/mm/yy")&amp;" "&amp;Milestones!$AB$147&amp;" "&amp;Milestones!$AC$147&amp;";  ","")&amp;IF(AND(EDATE($D79,Milestones!$AA$148)&lt;=AsOfDate,IF($Q79=0,$W79,IF(AND($S79&lt;&gt;"",EDATE($D79,Milestones!$AA$148)&gt;=$S79),$V79,IF(AND($R79&lt;&gt;"",EDATE($D79,Milestones!$AA$148)&gt;=$R79),$U79,$T79)))=Milestones!$AB$148),TEXT(EDATE($D79,Milestones!$AA$148),"dd/mm/yy")&amp;" "&amp;Milestones!$AB$148&amp;" "&amp;Milestones!$AC$148&amp;";  ","")&amp;IF(AND(EDATE($D79,Milestones!$AA$149)&lt;=AsOfDate,IF($Q79=0,$W79,IF(AND($S79&lt;&gt;"",EDATE($D79,Milestones!$AA$149)&gt;=$S79),$V79,IF(AND($R79&lt;&gt;"",EDATE($D79,Milestones!$AA$149)&gt;=$R79),$U79,$T79)))=Milestones!$AB$149),TEXT(EDATE($D79,Milestones!$AA$149),"dd/mm/yy")&amp;" "&amp;Milestones!$AB$149&amp;" "&amp;Milestones!$AC$149&amp;";  ","")&amp;IF(AND(EDATE($D79,Milestones!$AA$150)&lt;=AsOfDate,IF($Q79=0,$W79,IF(AND($S79&lt;&gt;"",EDATE($D79,Milestones!$AA$150)&gt;=$S79),$V79,IF(AND($R79&lt;&gt;"",EDATE($D79,Milestones!$AA$150)&gt;=$R79),$U79,$T79)))=Milestones!$AB$150),TEXT(EDATE($D79,Milestones!$AA$150),"dd/mm/yy")&amp;" "&amp;Milestones!$AB$150&amp;" "&amp;Milestones!$AC$150&amp;";  ","")&amp;IF(AND(EDATE($D79,Milestones!$AA$151)&lt;=AsOfDate,IF($Q79=0,$W79,IF(AND($S79&lt;&gt;"",EDATE($D79,Milestones!$AA$151)&gt;=$S79),$V79,IF(AND($R79&lt;&gt;"",EDATE($D79,Milestones!$AA$151)&gt;=$R79),$U79,$T79)))=Milestones!$AB$151),TEXT(EDATE($D79,Milestones!$AA$151),"dd/mm/yy")&amp;" "&amp;Milestones!$AB$151&amp;" "&amp;Milestones!$AC$151&amp;";  ","")&amp;IF(AND(EDATE($D79,Milestones!$AA$152)&lt;=AsOfDate,IF($Q79=0,$W79,IF(AND($S79&lt;&gt;"",EDATE($D79,Milestones!$AA$152)&gt;=$S79),$V79,IF(AND($R79&lt;&gt;"",EDATE($D79,Milestones!$AA$152)&gt;=$R79),$U79,$T79)))=Milestones!$AB$152),TEXT(EDATE($D79,Milestones!$AA$152),"dd/mm/yy")&amp;" "&amp;Milestones!$AB$152&amp;" "&amp;Milestones!$AC$152&amp;";  ","")&amp;IF(AND(EDATE($D79,Milestones!$AA$153)&lt;=AsOfDate,IF($Q79=0,$W79,IF(AND($S79&lt;&gt;"",EDATE($D79,Milestones!$AA$153)&gt;=$S79),$V79,IF(AND($R79&lt;&gt;"",EDATE($D79,Milestones!$AA$153)&gt;=$R79),$U79,$T79)))=Milestones!$AB$153),TEXT(EDATE($D79,Milestones!$AA$153),"dd/mm/yy")&amp;" "&amp;Milestones!$AB$153&amp;" "&amp;Milestones!$AC$153&amp;";  ","")&amp;IF(AND(EDATE($D79,Milestones!$AA$154)&lt;=AsOfDate,IF($Q79=0,$W79,IF(AND($S79&lt;&gt;"",EDATE($D79,Milestones!$AA$154)&gt;=$S79),$V79,IF(AND($R79&lt;&gt;"",EDATE($D79,Milestones!$AA$154)&gt;=$R79),$U79,$T79)))=Milestones!$AB$154),TEXT(EDATE($D79,Milestones!$AA$154),"dd/mm/yy")&amp;" "&amp;Milestones!$AB$154&amp;" "&amp;Milestones!$AC$154&amp;";  ","")&amp;IF(AND(EDATE($D79,Milestones!$AA$155)&lt;=AsOfDate,IF($Q79=0,$W79,IF(AND($S79&lt;&gt;"",EDATE($D79,Milestones!$AA$155)&gt;=$S79),$V79,IF(AND($R79&lt;&gt;"",EDATE($D79,Milestones!$AA$155)&gt;=$R79),$U79,$T79)))=Milestones!$AB$155),TEXT(EDATE($D79,Milestones!$AA$155),"dd/mm/yy")&amp;" "&amp;Milestones!$AB$155&amp;" "&amp;Milestones!$AC$155&amp;";  ","")&amp;IF(AND(EDATE($D79,Milestones!$AA$156)&lt;=AsOfDate,IF($Q79=0,$W79,IF(AND($S79&lt;&gt;"",EDATE($D79,Milestones!$AA$156)&gt;=$S79),$V79,IF(AND($R79&lt;&gt;"",EDATE($D79,Milestones!$AA$156)&gt;=$R79),$U79,$T79)))=Milestones!$AB$156),TEXT(EDATE($D79,Milestones!$AA$156),"dd/mm/yy")&amp;" "&amp;Milestones!$AB$156&amp;" "&amp;Milestones!$AC$156&amp;";  ","")&amp;IF(AND(EDATE($D79,Milestones!$AA$157)&lt;=AsOfDate,IF($Q79=0,$W79,IF(AND($S79&lt;&gt;"",EDATE($D79,Milestones!$AA$157)&gt;=$S79),$V79,IF(AND($R79&lt;&gt;"",EDATE($D79,Milestones!$AA$157)&gt;=$R79),$U79,$T79)))=Milestones!$AB$157),TEXT(EDATE($D79,Milestones!$AA$157),"dd/mm/yy")&amp;" "&amp;Milestones!$AB$157&amp;" "&amp;Milestones!$AC$157&amp;";  ","")&amp;IF(AND(EDATE($D79,Milestones!$AA$158)&lt;=AsOfDate,IF($Q79=0,$W79,IF(AND($S79&lt;&gt;"",EDATE($D79,Milestones!$AA$158)&gt;=$S79),$V79,IF(AND($R79&lt;&gt;"",EDATE($D79,Milestones!$AA$158)&gt;=$R79),$U79,$T79)))=Milestones!$AB$158),TEXT(EDATE($D79,Milestones!$AA$158),"dd/mm/yy")&amp;" "&amp;Milestones!$AB$158&amp;" "&amp;Milestones!$AC$158&amp;";  ","")&amp;IF(AND(EDATE($D79,Milestones!$AA$159)&lt;=AsOfDate,IF($Q79=0,$W79,IF(AND($S79&lt;&gt;"",EDATE($D79,Milestones!$AA$159)&gt;=$S79),$V79,IF(AND($R79&lt;&gt;"",EDATE($D79,Milestones!$AA$159)&gt;=$R79),$U79,$T79)))=Milestones!$AB$159),TEXT(EDATE($D79,Milestones!$AA$159),"dd/mm/yy")&amp;" "&amp;Milestones!$AB$159&amp;" "&amp;Milestones!$AC$159&amp;";  ",""))</f>
        <v/>
      </c>
      <c r="O79" s="0" t="str">
        <f aca="false">IF(OR($A79="",$D79=""),"",IF(AND(EDATE($D79,Milestones!$AA$160)&lt;=AsOfDate,IF($Q79=0,$W79,IF(AND($S79&lt;&gt;"",EDATE($D79,Milestones!$AA$160)&gt;=$S79),$V79,IF(AND($R79&lt;&gt;"",EDATE($D79,Milestones!$AA$160)&gt;=$R79),$U79,$T79)))=Milestones!$AB$160),TEXT(EDATE($D79,Milestones!$AA$160),"dd/mm/yy")&amp;" "&amp;Milestones!$AB$160&amp;" "&amp;Milestones!$AC$160&amp;";  ","")&amp;IF(AND(EDATE($D79,Milestones!$AA$161)&lt;=AsOfDate,IF($Q79=0,$W79,IF(AND($S79&lt;&gt;"",EDATE($D79,Milestones!$AA$161)&gt;=$S79),$V79,IF(AND($R79&lt;&gt;"",EDATE($D79,Milestones!$AA$161)&gt;=$R79),$U79,$T79)))=Milestones!$AB$161),TEXT(EDATE($D79,Milestones!$AA$161),"dd/mm/yy")&amp;" "&amp;Milestones!$AB$161&amp;" "&amp;Milestones!$AC$161&amp;";  ","")&amp;IF(AND(EDATE($D79,Milestones!$AA$162)&lt;=AsOfDate,IF($Q79=0,$W79,IF(AND($S79&lt;&gt;"",EDATE($D79,Milestones!$AA$162)&gt;=$S79),$V79,IF(AND($R79&lt;&gt;"",EDATE($D79,Milestones!$AA$162)&gt;=$R79),$U79,$T79)))=Milestones!$AB$162),TEXT(EDATE($D79,Milestones!$AA$162),"dd/mm/yy")&amp;" "&amp;Milestones!$AB$162&amp;" "&amp;Milestones!$AC$162&amp;";  ","")&amp;IF(AND(EDATE($D79,Milestones!$AA$163)&lt;=AsOfDate,IF($Q79=0,$W79,IF(AND($S79&lt;&gt;"",EDATE($D79,Milestones!$AA$163)&gt;=$S79),$V79,IF(AND($R79&lt;&gt;"",EDATE($D79,Milestones!$AA$163)&gt;=$R79),$U79,$T79)))=Milestones!$AB$163),TEXT(EDATE($D79,Milestones!$AA$163),"dd/mm/yy")&amp;" "&amp;Milestones!$AB$163&amp;" "&amp;Milestones!$AC$163&amp;";  ","")&amp;IF(AND(EDATE($D79,Milestones!$AA$164)&lt;=AsOfDate,IF($Q79=0,$W79,IF(AND($S79&lt;&gt;"",EDATE($D79,Milestones!$AA$164)&gt;=$S79),$V79,IF(AND($R79&lt;&gt;"",EDATE($D79,Milestones!$AA$164)&gt;=$R79),$U79,$T79)))=Milestones!$AB$164),TEXT(EDATE($D79,Milestones!$AA$164),"dd/mm/yy")&amp;" "&amp;Milestones!$AB$164&amp;" "&amp;Milestones!$AC$164&amp;";  ","")&amp;IF(AND(EDATE($D79,Milestones!$AA$165)&lt;=AsOfDate,IF($Q79=0,$W79,IF(AND($S79&lt;&gt;"",EDATE($D79,Milestones!$AA$165)&gt;=$S79),$V79,IF(AND($R79&lt;&gt;"",EDATE($D79,Milestones!$AA$165)&gt;=$R79),$U79,$T79)))=Milestones!$AB$165),TEXT(EDATE($D79,Milestones!$AA$165),"dd/mm/yy")&amp;" "&amp;Milestones!$AB$165&amp;" "&amp;Milestones!$AC$165&amp;";  ","")&amp;IF(AND(EDATE($D79,Milestones!$AA$166)&lt;=AsOfDate,IF($Q79=0,$W79,IF(AND($S79&lt;&gt;"",EDATE($D79,Milestones!$AA$166)&gt;=$S79),$V79,IF(AND($R79&lt;&gt;"",EDATE($D79,Milestones!$AA$166)&gt;=$R79),$U79,$T79)))=Milestones!$AB$166),TEXT(EDATE($D79,Milestones!$AA$166),"dd/mm/yy")&amp;" "&amp;Milestones!$AB$166&amp;" "&amp;Milestones!$AC$166&amp;";  ","")&amp;IF(AND(EDATE($D79,Milestones!$AA$167)&lt;=AsOfDate,IF($Q79=0,$W79,IF(AND($S79&lt;&gt;"",EDATE($D79,Milestones!$AA$167)&gt;=$S79),$V79,IF(AND($R79&lt;&gt;"",EDATE($D79,Milestones!$AA$167)&gt;=$R79),$U79,$T79)))=Milestones!$AB$167),TEXT(EDATE($D79,Milestones!$AA$167),"dd/mm/yy")&amp;" "&amp;Milestones!$AB$167&amp;" "&amp;Milestones!$AC$167&amp;";  ","")&amp;IF(AND(EDATE($D79,Milestones!$AA$168)&lt;=AsOfDate,IF($Q79=0,$W79,IF(AND($S79&lt;&gt;"",EDATE($D79,Milestones!$AA$168)&gt;=$S79),$V79,IF(AND($R79&lt;&gt;"",EDATE($D79,Milestones!$AA$168)&gt;=$R79),$U79,$T79)))=Milestones!$AB$168),TEXT(EDATE($D79,Milestones!$AA$168),"dd/mm/yy")&amp;" "&amp;Milestones!$AB$168&amp;" "&amp;Milestones!$AC$168&amp;";  ","")&amp;IF(AND(EDATE($D79,Milestones!$AA$169)&lt;=AsOfDate,IF($Q79=0,$W79,IF(AND($S79&lt;&gt;"",EDATE($D79,Milestones!$AA$169)&gt;=$S79),$V79,IF(AND($R79&lt;&gt;"",EDATE($D79,Milestones!$AA$169)&gt;=$R79),$U79,$T79)))=Milestones!$AB$169),TEXT(EDATE($D79,Milestones!$AA$169),"dd/mm/yy")&amp;" "&amp;Milestones!$AB$169&amp;" "&amp;Milestones!$AC$169&amp;";  ","")&amp;IF(AND(EDATE($D79,Milestones!$AA$170)&lt;=AsOfDate,IF($Q79=0,$W79,IF(AND($S79&lt;&gt;"",EDATE($D79,Milestones!$AA$170)&gt;=$S79),$V79,IF(AND($R79&lt;&gt;"",EDATE($D79,Milestones!$AA$170)&gt;=$R79),$U79,$T79)))=Milestones!$AB$170),TEXT(EDATE($D79,Milestones!$AA$170),"dd/mm/yy")&amp;" "&amp;Milestones!$AB$170&amp;" "&amp;Milestones!$AC$170&amp;";  ","")&amp;IF(AND(EDATE($D79,Milestones!$AA$171)&lt;=AsOfDate,IF($Q79=0,$W79,IF(AND($S79&lt;&gt;"",EDATE($D79,Milestones!$AA$171)&gt;=$S79),$V79,IF(AND($R79&lt;&gt;"",EDATE($D79,Milestones!$AA$171)&gt;=$R79),$U79,$T79)))=Milestones!$AB$171),TEXT(EDATE($D79,Milestones!$AA$171),"dd/mm/yy")&amp;" "&amp;Milestones!$AB$171&amp;" "&amp;Milestones!$AC$171&amp;";  ","")&amp;IF(AND(EDATE($D79,Milestones!$AA$172)&lt;=AsOfDate,IF($Q79=0,$W79,IF(AND($S79&lt;&gt;"",EDATE($D79,Milestones!$AA$172)&gt;=$S79),$V79,IF(AND($R79&lt;&gt;"",EDATE($D79,Milestones!$AA$172)&gt;=$R79),$U79,$T79)))=Milestones!$AB$172),TEXT(EDATE($D79,Milestones!$AA$172),"dd/mm/yy")&amp;" "&amp;Milestones!$AB$172&amp;" "&amp;Milestones!$AC$172&amp;";  ","")&amp;IF(AND(EDATE($D79,Milestones!$AA$173)&lt;=AsOfDate,IF($Q79=0,$W79,IF(AND($S79&lt;&gt;"",EDATE($D79,Milestones!$AA$173)&gt;=$S79),$V79,IF(AND($R79&lt;&gt;"",EDATE($D79,Milestones!$AA$173)&gt;=$R79),$U79,$T79)))=Milestones!$AB$173),TEXT(EDATE($D79,Milestones!$AA$173),"dd/mm/yy")&amp;" "&amp;Milestones!$AB$173&amp;" "&amp;Milestones!$AC$173&amp;";  ","")&amp;IF(AND(EDATE($D79,Milestones!$AA$174)&lt;=AsOfDate,IF($Q79=0,$W79,IF(AND($S79&lt;&gt;"",EDATE($D79,Milestones!$AA$174)&gt;=$S79),$V79,IF(AND($R79&lt;&gt;"",EDATE($D79,Milestones!$AA$174)&gt;=$R79),$U79,$T79)))=Milestones!$AB$174),TEXT(EDATE($D79,Milestones!$AA$174),"dd/mm/yy")&amp;" "&amp;Milestones!$AB$174&amp;" "&amp;Milestones!$AC$174&amp;";  ","")&amp;IF(AND(EDATE($D79,Milestones!$AA$175)&lt;=AsOfDate,IF($Q79=0,$W79,IF(AND($S79&lt;&gt;"",EDATE($D79,Milestones!$AA$175)&gt;=$S79),$V79,IF(AND($R79&lt;&gt;"",EDATE($D79,Milestones!$AA$175)&gt;=$R79),$U79,$T79)))=Milestones!$AB$175),TEXT(EDATE($D79,Milestones!$AA$175),"dd/mm/yy")&amp;" "&amp;Milestones!$AB$175&amp;" "&amp;Milestones!$AC$175&amp;";  ","")&amp;IF(AND(EDATE($D79,Milestones!$AA$176)&lt;=AsOfDate,IF($Q79=0,$W79,IF(AND($S79&lt;&gt;"",EDATE($D79,Milestones!$AA$176)&gt;=$S79),$V79,IF(AND($R79&lt;&gt;"",EDATE($D79,Milestones!$AA$176)&gt;=$R79),$U79,$T79)))=Milestones!$AB$176),TEXT(EDATE($D79,Milestones!$AA$176),"dd/mm/yy")&amp;" "&amp;Milestones!$AB$176&amp;" "&amp;Milestones!$AC$176&amp;";  ","")&amp;IF(AND(EDATE($D79,Milestones!$AA$177)&lt;=AsOfDate,IF($Q79=0,$W79,IF(AND($S79&lt;&gt;"",EDATE($D79,Milestones!$AA$177)&gt;=$S79),$V79,IF(AND($R79&lt;&gt;"",EDATE($D79,Milestones!$AA$177)&gt;=$R79),$U79,$T79)))=Milestones!$AB$177),TEXT(EDATE($D79,Milestones!$AA$177),"dd/mm/yy")&amp;" "&amp;Milestones!$AB$177&amp;" "&amp;Milestones!$AC$177&amp;";  ","")&amp;IF(AND(EDATE($D79,Milestones!$AA$178)&lt;=AsOfDate,IF($Q79=0,$W79,IF(AND($S79&lt;&gt;"",EDATE($D79,Milestones!$AA$178)&gt;=$S79),$V79,IF(AND($R79&lt;&gt;"",EDATE($D79,Milestones!$AA$178)&gt;=$R79),$U79,$T79)))=Milestones!$AB$178),TEXT(EDATE($D79,Milestones!$AA$178),"dd/mm/yy")&amp;" "&amp;Milestones!$AB$178&amp;" "&amp;Milestones!$AC$178&amp;";  ","")&amp;IF(AND(EDATE($D79,Milestones!$AA$179)&lt;=AsOfDate,IF($Q79=0,$W79,IF(AND($S79&lt;&gt;"",EDATE($D79,Milestones!$AA$179)&gt;=$S79),$V79,IF(AND($R79&lt;&gt;"",EDATE($D79,Milestones!$AA$179)&gt;=$R79),$U79,$T79)))=Milestones!$AB$179),TEXT(EDATE($D79,Milestones!$AA$179),"dd/mm/yy")&amp;" "&amp;Milestones!$AB$179&amp;" "&amp;Milestones!$AC$179&amp;";  ",""))</f>
        <v/>
      </c>
      <c r="P79" s="0" t="str">
        <f aca="false">IF(OR($A79="",$D79=""),"",IF(AND(EDATE($D79,Milestones!$AA$180)&lt;=AsOfDate,IF($Q79=0,$W79,IF(AND($S79&lt;&gt;"",EDATE($D79,Milestones!$AA$180)&gt;=$S79),$V79,IF(AND($R79&lt;&gt;"",EDATE($D79,Milestones!$AA$180)&gt;=$R79),$U79,$T79)))=Milestones!$AB$180),TEXT(EDATE($D79,Milestones!$AA$180),"dd/mm/yy")&amp;" "&amp;Milestones!$AB$180&amp;" "&amp;Milestones!$AC$180&amp;";  ","")&amp;IF(AND(EDATE($D79,Milestones!$AA$181)&lt;=AsOfDate,IF($Q79=0,$W79,IF(AND($S79&lt;&gt;"",EDATE($D79,Milestones!$AA$181)&gt;=$S79),$V79,IF(AND($R79&lt;&gt;"",EDATE($D79,Milestones!$AA$181)&gt;=$R79),$U79,$T79)))=Milestones!$AB$181),TEXT(EDATE($D79,Milestones!$AA$181),"dd/mm/yy")&amp;" "&amp;Milestones!$AB$181&amp;" "&amp;Milestones!$AC$181&amp;";  ","")&amp;IF(AND(EDATE($D79,Milestones!$AA$182)&lt;=AsOfDate,IF($Q79=0,$W79,IF(AND($S79&lt;&gt;"",EDATE($D79,Milestones!$AA$182)&gt;=$S79),$V79,IF(AND($R79&lt;&gt;"",EDATE($D79,Milestones!$AA$182)&gt;=$R79),$U79,$T79)))=Milestones!$AB$182),TEXT(EDATE($D79,Milestones!$AA$182),"dd/mm/yy")&amp;" "&amp;Milestones!$AB$182&amp;" "&amp;Milestones!$AC$182&amp;";  ","")&amp;IF(AND(EDATE($D79,Milestones!$AA$183)&lt;=AsOfDate,IF($Q79=0,$W79,IF(AND($S79&lt;&gt;"",EDATE($D79,Milestones!$AA$183)&gt;=$S79),$V79,IF(AND($R79&lt;&gt;"",EDATE($D79,Milestones!$AA$183)&gt;=$R79),$U79,$T79)))=Milestones!$AB$183),TEXT(EDATE($D79,Milestones!$AA$183),"dd/mm/yy")&amp;" "&amp;Milestones!$AB$183&amp;" "&amp;Milestones!$AC$183&amp;";  ","")&amp;IF(AND(EDATE($D79,Milestones!$AA$184)&lt;=AsOfDate,IF($Q79=0,$W79,IF(AND($S79&lt;&gt;"",EDATE($D79,Milestones!$AA$184)&gt;=$S79),$V79,IF(AND($R79&lt;&gt;"",EDATE($D79,Milestones!$AA$184)&gt;=$R79),$U79,$T79)))=Milestones!$AB$184),TEXT(EDATE($D79,Milestones!$AA$184),"dd/mm/yy")&amp;" "&amp;Milestones!$AB$184&amp;" "&amp;Milestones!$AC$184&amp;";  ","")&amp;IF(AND(EDATE($D79,Milestones!$AA$185)&lt;=AsOfDate,IF($Q79=0,$W79,IF(AND($S79&lt;&gt;"",EDATE($D79,Milestones!$AA$185)&gt;=$S79),$V79,IF(AND($R79&lt;&gt;"",EDATE($D79,Milestones!$AA$185)&gt;=$R79),$U79,$T79)))=Milestones!$AB$185),TEXT(EDATE($D79,Milestones!$AA$185),"dd/mm/yy")&amp;" "&amp;Milestones!$AB$185&amp;" "&amp;Milestones!$AC$185&amp;";  ","")&amp;IF(AND(EDATE($D79,Milestones!$AA$186)&lt;=AsOfDate,IF($Q79=0,$W79,IF(AND($S79&lt;&gt;"",EDATE($D79,Milestones!$AA$186)&gt;=$S79),$V79,IF(AND($R79&lt;&gt;"",EDATE($D79,Milestones!$AA$186)&gt;=$R79),$U79,$T79)))=Milestones!$AB$186),TEXT(EDATE($D79,Milestones!$AA$186),"dd/mm/yy")&amp;" "&amp;Milestones!$AB$186&amp;" "&amp;Milestones!$AC$186&amp;";  ","")&amp;IF(AND(EDATE($D79,Milestones!$AA$187)&lt;=AsOfDate,IF($Q79=0,$W79,IF(AND($S79&lt;&gt;"",EDATE($D79,Milestones!$AA$187)&gt;=$S79),$V79,IF(AND($R79&lt;&gt;"",EDATE($D79,Milestones!$AA$187)&gt;=$R79),$U79,$T79)))=Milestones!$AB$187),TEXT(EDATE($D79,Milestones!$AA$187),"dd/mm/yy")&amp;" "&amp;Milestones!$AB$187&amp;" "&amp;Milestones!$AC$187&amp;";  ","")&amp;IF(AND(EDATE($D79,Milestones!$AA$188)&lt;=AsOfDate,IF($Q79=0,$W79,IF(AND($S79&lt;&gt;"",EDATE($D79,Milestones!$AA$188)&gt;=$S79),$V79,IF(AND($R79&lt;&gt;"",EDATE($D79,Milestones!$AA$188)&gt;=$R79),$U79,$T79)))=Milestones!$AB$188),TEXT(EDATE($D79,Milestones!$AA$188),"dd/mm/yy")&amp;" "&amp;Milestones!$AB$188&amp;" "&amp;Milestones!$AC$188&amp;";  ","")&amp;IF(AND(EDATE($D79,Milestones!$AA$189)&lt;=AsOfDate,IF($Q79=0,$W79,IF(AND($S79&lt;&gt;"",EDATE($D79,Milestones!$AA$189)&gt;=$S79),$V79,IF(AND($R79&lt;&gt;"",EDATE($D79,Milestones!$AA$189)&gt;=$R79),$U79,$T79)))=Milestones!$AB$189),TEXT(EDATE($D79,Milestones!$AA$189),"dd/mm/yy")&amp;" "&amp;Milestones!$AB$189&amp;" "&amp;Milestones!$AC$189&amp;";  ","")&amp;IF(AND(EDATE($D79,Milestones!$AA$190)&lt;=AsOfDate,IF($Q79=0,$W79,IF(AND($S79&lt;&gt;"",EDATE($D79,Milestones!$AA$190)&gt;=$S79),$V79,IF(AND($R79&lt;&gt;"",EDATE($D79,Milestones!$AA$190)&gt;=$R79),$U79,$T79)))=Milestones!$AB$190),TEXT(EDATE($D79,Milestones!$AA$190),"dd/mm/yy")&amp;" "&amp;Milestones!$AB$190&amp;" "&amp;Milestones!$AC$190&amp;";  ","")&amp;IF(AND(EDATE($D79,Milestones!$AA$191)&lt;=AsOfDate,IF($Q79=0,$W79,IF(AND($S79&lt;&gt;"",EDATE($D79,Milestones!$AA$191)&gt;=$S79),$V79,IF(AND($R79&lt;&gt;"",EDATE($D79,Milestones!$AA$191)&gt;=$R79),$U79,$T79)))=Milestones!$AB$191),TEXT(EDATE($D79,Milestones!$AA$191),"dd/mm/yy")&amp;" "&amp;Milestones!$AB$191&amp;" "&amp;Milestones!$AC$191&amp;";  ","")&amp;IF(AND(EDATE($D79,Milestones!$AA$192)&lt;=AsOfDate,IF($Q79=0,$W79,IF(AND($S79&lt;&gt;"",EDATE($D79,Milestones!$AA$192)&gt;=$S79),$V79,IF(AND($R79&lt;&gt;"",EDATE($D79,Milestones!$AA$192)&gt;=$R79),$U79,$T79)))=Milestones!$AB$192),TEXT(EDATE($D79,Milestones!$AA$192),"dd/mm/yy")&amp;" "&amp;Milestones!$AB$192&amp;" "&amp;Milestones!$AC$192&amp;";  ","")&amp;IF(AND(EDATE($D79,Milestones!$AA$193)&lt;=AsOfDate,IF($Q79=0,$W79,IF(AND($S79&lt;&gt;"",EDATE($D79,Milestones!$AA$193)&gt;=$S79),$V79,IF(AND($R79&lt;&gt;"",EDATE($D79,Milestones!$AA$193)&gt;=$R79),$U79,$T79)))=Milestones!$AB$193),TEXT(EDATE($D79,Milestones!$AA$193),"dd/mm/yy")&amp;" "&amp;Milestones!$AB$193&amp;" "&amp;Milestones!$AC$193&amp;";  ","")&amp;IF(AND(EDATE($D79,Milestones!$AA$194)&lt;=AsOfDate,IF($Q79=0,$W79,IF(AND($S79&lt;&gt;"",EDATE($D79,Milestones!$AA$194)&gt;=$S79),$V79,IF(AND($R79&lt;&gt;"",EDATE($D79,Milestones!$AA$194)&gt;=$R79),$U79,$T79)))=Milestones!$AB$194),TEXT(EDATE($D79,Milestones!$AA$194),"dd/mm/yy")&amp;" "&amp;Milestones!$AB$194&amp;" "&amp;Milestones!$AC$194&amp;";  ","")&amp;IF(AND(EDATE($D79,Milestones!$AA$195)&lt;=AsOfDate,IF($Q79=0,$W79,IF(AND($S79&lt;&gt;"",EDATE($D79,Milestones!$AA$195)&gt;=$S79),$V79,IF(AND($R79&lt;&gt;"",EDATE($D79,Milestones!$AA$195)&gt;=$R79),$U79,$T79)))=Milestones!$AB$195),TEXT(EDATE($D79,Milestones!$AA$195),"dd/mm/yy")&amp;" "&amp;Milestones!$AB$195&amp;" "&amp;Milestones!$AC$195&amp;";  ","")&amp;IF(AND(EDATE($D79,Milestones!$AA$196)&lt;=AsOfDate,IF($Q79=0,$W79,IF(AND($S79&lt;&gt;"",EDATE($D79,Milestones!$AA$196)&gt;=$S79),$V79,IF(AND($R79&lt;&gt;"",EDATE($D79,Milestones!$AA$196)&gt;=$R79),$U79,$T79)))=Milestones!$AB$196),TEXT(EDATE($D79,Milestones!$AA$196),"dd/mm/yy")&amp;" "&amp;Milestones!$AB$196&amp;" "&amp;Milestones!$AC$196&amp;";  ","")&amp;IF(AND(EDATE($D79,Milestones!$AA$197)&lt;=AsOfDate,IF($Q79=0,$W79,IF(AND($S79&lt;&gt;"",EDATE($D79,Milestones!$AA$197)&gt;=$S79),$V79,IF(AND($R79&lt;&gt;"",EDATE($D79,Milestones!$AA$197)&gt;=$R79),$U79,$T79)))=Milestones!$AB$197),TEXT(EDATE($D79,Milestones!$AA$197),"dd/mm/yy")&amp;" "&amp;Milestones!$AB$197&amp;" "&amp;Milestones!$AC$197&amp;";  ","")&amp;IF(AND(EDATE($D79,Milestones!$AA$198)&lt;=AsOfDate,IF($Q79=0,$W79,IF(AND($S79&lt;&gt;"",EDATE($D79,Milestones!$AA$198)&gt;=$S79),$V79,IF(AND($R79&lt;&gt;"",EDATE($D79,Milestones!$AA$198)&gt;=$R79),$U79,$T79)))=Milestones!$AB$198),TEXT(EDATE($D79,Milestones!$AA$198),"dd/mm/yy")&amp;" "&amp;Milestones!$AB$198&amp;" "&amp;Milestones!$AC$198&amp;";  ","")&amp;IF(AND(EDATE($D79,Milestones!$AA$199)&lt;=AsOfDate,IF($Q79=0,$W79,IF(AND($S79&lt;&gt;"",EDATE($D79,Milestones!$AA$199)&gt;=$S79),$V79,IF(AND($R79&lt;&gt;"",EDATE($D79,Milestones!$AA$199)&gt;=$R79),$U79,$T79)))=Milestones!$AB$199),TEXT(EDATE($D79,Milestones!$AA$199),"dd/mm/yy")&amp;" "&amp;Milestones!$AB$199&amp;" "&amp;Milestones!$AC$199&amp;";  ",""))</f>
        <v/>
      </c>
      <c r="Q79" s="0" t="str">
        <f aca="false">IF(Staff!$A79="","",Staff!$AG79)</f>
        <v/>
      </c>
      <c r="R79" s="0" t="str">
        <f aca="false">IF(Staff!$A79="","",Staff!$AI79)</f>
        <v/>
      </c>
      <c r="S79" s="0" t="str">
        <f aca="false">IF(Staff!$A79="","",Staff!$AJ79)</f>
        <v/>
      </c>
      <c r="T79" s="0" t="str">
        <f aca="false">IF(Staff!$A79="","",Staff!$AN79)</f>
        <v/>
      </c>
      <c r="U79" s="0" t="str">
        <f aca="false">IF(Staff!$A79="","",Staff!$AO79)</f>
        <v/>
      </c>
      <c r="V79" s="0" t="str">
        <f aca="false">IF(Staff!$A79="","",Staff!$AP79)</f>
        <v/>
      </c>
      <c r="W79" s="0" t="str">
        <f aca="false">IF(Staff!$A79="","",Staff!$AQ79)</f>
        <v/>
      </c>
    </row>
    <row r="80" customFormat="false" ht="15" hidden="false" customHeight="false" outlineLevel="0" collapsed="false">
      <c r="A80" s="13" t="str">
        <f aca="false">IF(Staff!$A80="","",Staff!$A80)</f>
        <v/>
      </c>
      <c r="B80" s="13" t="str">
        <f aca="false">IF(Staff!$A80="","",Staff!$B80)</f>
        <v/>
      </c>
      <c r="C80" s="13" t="str">
        <f aca="false">IF(Staff!$A80="","",Staff!$C80)</f>
        <v/>
      </c>
      <c r="D80" s="11" t="str">
        <f aca="false">IF(Staff!$A80="","",Staff!$AF80)</f>
        <v/>
      </c>
      <c r="E80" s="13" t="str">
        <f aca="false">IF(Staff!$A80="","",Staff!$O80)</f>
        <v/>
      </c>
      <c r="F80" s="13" t="str">
        <f aca="false">IF(E80="","",E80*HoursPerDay)</f>
        <v/>
      </c>
      <c r="G80" s="26" t="str">
        <f aca="false">IF($A80="","",H80&amp;I80&amp;J80&amp;K80&amp;L80&amp;M80&amp;N80&amp;O80&amp;P80)</f>
        <v/>
      </c>
      <c r="H80" s="0" t="str">
        <f aca="false">IF(OR($A80="",$D80=""),"",IF(AND(EDATE($D80,Milestones!$AA$20)&lt;=AsOfDate,IF($Q80=0,$W80,IF(AND($S80&lt;&gt;"",EDATE($D80,Milestones!$AA$20)&gt;=$S80),$V80,IF(AND($R80&lt;&gt;"",EDATE($D80,Milestones!$AA$20)&gt;=$R80),$U80,$T80)))=Milestones!$AB$20),TEXT(EDATE($D80,Milestones!$AA$20),"dd/mm/yy")&amp;" "&amp;Milestones!$AB$20&amp;" "&amp;Milestones!$AC$20&amp;";  ","")&amp;IF(AND(EDATE($D80,Milestones!$AA$21)&lt;=AsOfDate,IF($Q80=0,$W80,IF(AND($S80&lt;&gt;"",EDATE($D80,Milestones!$AA$21)&gt;=$S80),$V80,IF(AND($R80&lt;&gt;"",EDATE($D80,Milestones!$AA$21)&gt;=$R80),$U80,$T80)))=Milestones!$AB$21),TEXT(EDATE($D80,Milestones!$AA$21),"dd/mm/yy")&amp;" "&amp;Milestones!$AB$21&amp;" "&amp;Milestones!$AC$21&amp;";  ","")&amp;IF(AND(EDATE($D80,Milestones!$AA$22)&lt;=AsOfDate,IF($Q80=0,$W80,IF(AND($S80&lt;&gt;"",EDATE($D80,Milestones!$AA$22)&gt;=$S80),$V80,IF(AND($R80&lt;&gt;"",EDATE($D80,Milestones!$AA$22)&gt;=$R80),$U80,$T80)))=Milestones!$AB$22),TEXT(EDATE($D80,Milestones!$AA$22),"dd/mm/yy")&amp;" "&amp;Milestones!$AB$22&amp;" "&amp;Milestones!$AC$22&amp;";  ","")&amp;IF(AND(EDATE($D80,Milestones!$AA$23)&lt;=AsOfDate,IF($Q80=0,$W80,IF(AND($S80&lt;&gt;"",EDATE($D80,Milestones!$AA$23)&gt;=$S80),$V80,IF(AND($R80&lt;&gt;"",EDATE($D80,Milestones!$AA$23)&gt;=$R80),$U80,$T80)))=Milestones!$AB$23),TEXT(EDATE($D80,Milestones!$AA$23),"dd/mm/yy")&amp;" "&amp;Milestones!$AB$23&amp;" "&amp;Milestones!$AC$23&amp;";  ","")&amp;IF(AND(EDATE($D80,Milestones!$AA$24)&lt;=AsOfDate,IF($Q80=0,$W80,IF(AND($S80&lt;&gt;"",EDATE($D80,Milestones!$AA$24)&gt;=$S80),$V80,IF(AND($R80&lt;&gt;"",EDATE($D80,Milestones!$AA$24)&gt;=$R80),$U80,$T80)))=Milestones!$AB$24),TEXT(EDATE($D80,Milestones!$AA$24),"dd/mm/yy")&amp;" "&amp;Milestones!$AB$24&amp;" "&amp;Milestones!$AC$24&amp;";  ","")&amp;IF(AND(EDATE($D80,Milestones!$AA$25)&lt;=AsOfDate,IF($Q80=0,$W80,IF(AND($S80&lt;&gt;"",EDATE($D80,Milestones!$AA$25)&gt;=$S80),$V80,IF(AND($R80&lt;&gt;"",EDATE($D80,Milestones!$AA$25)&gt;=$R80),$U80,$T80)))=Milestones!$AB$25),TEXT(EDATE($D80,Milestones!$AA$25),"dd/mm/yy")&amp;" "&amp;Milestones!$AB$25&amp;" "&amp;Milestones!$AC$25&amp;";  ","")&amp;IF(AND(EDATE($D80,Milestones!$AA$26)&lt;=AsOfDate,IF($Q80=0,$W80,IF(AND($S80&lt;&gt;"",EDATE($D80,Milestones!$AA$26)&gt;=$S80),$V80,IF(AND($R80&lt;&gt;"",EDATE($D80,Milestones!$AA$26)&gt;=$R80),$U80,$T80)))=Milestones!$AB$26),TEXT(EDATE($D80,Milestones!$AA$26),"dd/mm/yy")&amp;" "&amp;Milestones!$AB$26&amp;" "&amp;Milestones!$AC$26&amp;";  ","")&amp;IF(AND(EDATE($D80,Milestones!$AA$27)&lt;=AsOfDate,IF($Q80=0,$W80,IF(AND($S80&lt;&gt;"",EDATE($D80,Milestones!$AA$27)&gt;=$S80),$V80,IF(AND($R80&lt;&gt;"",EDATE($D80,Milestones!$AA$27)&gt;=$R80),$U80,$T80)))=Milestones!$AB$27),TEXT(EDATE($D80,Milestones!$AA$27),"dd/mm/yy")&amp;" "&amp;Milestones!$AB$27&amp;" "&amp;Milestones!$AC$27&amp;";  ","")&amp;IF(AND(EDATE($D80,Milestones!$AA$28)&lt;=AsOfDate,IF($Q80=0,$W80,IF(AND($S80&lt;&gt;"",EDATE($D80,Milestones!$AA$28)&gt;=$S80),$V80,IF(AND($R80&lt;&gt;"",EDATE($D80,Milestones!$AA$28)&gt;=$R80),$U80,$T80)))=Milestones!$AB$28),TEXT(EDATE($D80,Milestones!$AA$28),"dd/mm/yy")&amp;" "&amp;Milestones!$AB$28&amp;" "&amp;Milestones!$AC$28&amp;";  ","")&amp;IF(AND(EDATE($D80,Milestones!$AA$29)&lt;=AsOfDate,IF($Q80=0,$W80,IF(AND($S80&lt;&gt;"",EDATE($D80,Milestones!$AA$29)&gt;=$S80),$V80,IF(AND($R80&lt;&gt;"",EDATE($D80,Milestones!$AA$29)&gt;=$R80),$U80,$T80)))=Milestones!$AB$29),TEXT(EDATE($D80,Milestones!$AA$29),"dd/mm/yy")&amp;" "&amp;Milestones!$AB$29&amp;" "&amp;Milestones!$AC$29&amp;";  ","")&amp;IF(AND(EDATE($D80,Milestones!$AA$30)&lt;=AsOfDate,IF($Q80=0,$W80,IF(AND($S80&lt;&gt;"",EDATE($D80,Milestones!$AA$30)&gt;=$S80),$V80,IF(AND($R80&lt;&gt;"",EDATE($D80,Milestones!$AA$30)&gt;=$R80),$U80,$T80)))=Milestones!$AB$30),TEXT(EDATE($D80,Milestones!$AA$30),"dd/mm/yy")&amp;" "&amp;Milestones!$AB$30&amp;" "&amp;Milestones!$AC$30&amp;";  ","")&amp;IF(AND(EDATE($D80,Milestones!$AA$31)&lt;=AsOfDate,IF($Q80=0,$W80,IF(AND($S80&lt;&gt;"",EDATE($D80,Milestones!$AA$31)&gt;=$S80),$V80,IF(AND($R80&lt;&gt;"",EDATE($D80,Milestones!$AA$31)&gt;=$R80),$U80,$T80)))=Milestones!$AB$31),TEXT(EDATE($D80,Milestones!$AA$31),"dd/mm/yy")&amp;" "&amp;Milestones!$AB$31&amp;" "&amp;Milestones!$AC$31&amp;";  ","")&amp;IF(AND(EDATE($D80,Milestones!$AA$32)&lt;=AsOfDate,IF($Q80=0,$W80,IF(AND($S80&lt;&gt;"",EDATE($D80,Milestones!$AA$32)&gt;=$S80),$V80,IF(AND($R80&lt;&gt;"",EDATE($D80,Milestones!$AA$32)&gt;=$R80),$U80,$T80)))=Milestones!$AB$32),TEXT(EDATE($D80,Milestones!$AA$32),"dd/mm/yy")&amp;" "&amp;Milestones!$AB$32&amp;" "&amp;Milestones!$AC$32&amp;";  ","")&amp;IF(AND(EDATE($D80,Milestones!$AA$33)&lt;=AsOfDate,IF($Q80=0,$W80,IF(AND($S80&lt;&gt;"",EDATE($D80,Milestones!$AA$33)&gt;=$S80),$V80,IF(AND($R80&lt;&gt;"",EDATE($D80,Milestones!$AA$33)&gt;=$R80),$U80,$T80)))=Milestones!$AB$33),TEXT(EDATE($D80,Milestones!$AA$33),"dd/mm/yy")&amp;" "&amp;Milestones!$AB$33&amp;" "&amp;Milestones!$AC$33&amp;";  ","")&amp;IF(AND(EDATE($D80,Milestones!$AA$34)&lt;=AsOfDate,IF($Q80=0,$W80,IF(AND($S80&lt;&gt;"",EDATE($D80,Milestones!$AA$34)&gt;=$S80),$V80,IF(AND($R80&lt;&gt;"",EDATE($D80,Milestones!$AA$34)&gt;=$R80),$U80,$T80)))=Milestones!$AB$34),TEXT(EDATE($D80,Milestones!$AA$34),"dd/mm/yy")&amp;" "&amp;Milestones!$AB$34&amp;" "&amp;Milestones!$AC$34&amp;";  ","")&amp;IF(AND(EDATE($D80,Milestones!$AA$35)&lt;=AsOfDate,IF($Q80=0,$W80,IF(AND($S80&lt;&gt;"",EDATE($D80,Milestones!$AA$35)&gt;=$S80),$V80,IF(AND($R80&lt;&gt;"",EDATE($D80,Milestones!$AA$35)&gt;=$R80),$U80,$T80)))=Milestones!$AB$35),TEXT(EDATE($D80,Milestones!$AA$35),"dd/mm/yy")&amp;" "&amp;Milestones!$AB$35&amp;" "&amp;Milestones!$AC$35&amp;";  ","")&amp;IF(AND(EDATE($D80,Milestones!$AA$36)&lt;=AsOfDate,IF($Q80=0,$W80,IF(AND($S80&lt;&gt;"",EDATE($D80,Milestones!$AA$36)&gt;=$S80),$V80,IF(AND($R80&lt;&gt;"",EDATE($D80,Milestones!$AA$36)&gt;=$R80),$U80,$T80)))=Milestones!$AB$36),TEXT(EDATE($D80,Milestones!$AA$36),"dd/mm/yy")&amp;" "&amp;Milestones!$AB$36&amp;" "&amp;Milestones!$AC$36&amp;";  ","")&amp;IF(AND(EDATE($D80,Milestones!$AA$37)&lt;=AsOfDate,IF($Q80=0,$W80,IF(AND($S80&lt;&gt;"",EDATE($D80,Milestones!$AA$37)&gt;=$S80),$V80,IF(AND($R80&lt;&gt;"",EDATE($D80,Milestones!$AA$37)&gt;=$R80),$U80,$T80)))=Milestones!$AB$37),TEXT(EDATE($D80,Milestones!$AA$37),"dd/mm/yy")&amp;" "&amp;Milestones!$AB$37&amp;" "&amp;Milestones!$AC$37&amp;";  ","")&amp;IF(AND(EDATE($D80,Milestones!$AA$38)&lt;=AsOfDate,IF($Q80=0,$W80,IF(AND($S80&lt;&gt;"",EDATE($D80,Milestones!$AA$38)&gt;=$S80),$V80,IF(AND($R80&lt;&gt;"",EDATE($D80,Milestones!$AA$38)&gt;=$R80),$U80,$T80)))=Milestones!$AB$38),TEXT(EDATE($D80,Milestones!$AA$38),"dd/mm/yy")&amp;" "&amp;Milestones!$AB$38&amp;" "&amp;Milestones!$AC$38&amp;";  ","")&amp;IF(AND(EDATE($D80,Milestones!$AA$39)&lt;=AsOfDate,IF($Q80=0,$W80,IF(AND($S80&lt;&gt;"",EDATE($D80,Milestones!$AA$39)&gt;=$S80),$V80,IF(AND($R80&lt;&gt;"",EDATE($D80,Milestones!$AA$39)&gt;=$R80),$U80,$T80)))=Milestones!$AB$39),TEXT(EDATE($D80,Milestones!$AA$39),"dd/mm/yy")&amp;" "&amp;Milestones!$AB$39&amp;" "&amp;Milestones!$AC$39&amp;";  ",""))</f>
        <v/>
      </c>
      <c r="I80" s="0" t="str">
        <f aca="false">IF(OR($A80="",$D80=""),"",IF(AND(EDATE($D80,Milestones!$AA$40)&lt;=AsOfDate,IF($Q80=0,$W80,IF(AND($S80&lt;&gt;"",EDATE($D80,Milestones!$AA$40)&gt;=$S80),$V80,IF(AND($R80&lt;&gt;"",EDATE($D80,Milestones!$AA$40)&gt;=$R80),$U80,$T80)))=Milestones!$AB$40),TEXT(EDATE($D80,Milestones!$AA$40),"dd/mm/yy")&amp;" "&amp;Milestones!$AB$40&amp;" "&amp;Milestones!$AC$40&amp;";  ","")&amp;IF(AND(EDATE($D80,Milestones!$AA$41)&lt;=AsOfDate,IF($Q80=0,$W80,IF(AND($S80&lt;&gt;"",EDATE($D80,Milestones!$AA$41)&gt;=$S80),$V80,IF(AND($R80&lt;&gt;"",EDATE($D80,Milestones!$AA$41)&gt;=$R80),$U80,$T80)))=Milestones!$AB$41),TEXT(EDATE($D80,Milestones!$AA$41),"dd/mm/yy")&amp;" "&amp;Milestones!$AB$41&amp;" "&amp;Milestones!$AC$41&amp;";  ","")&amp;IF(AND(EDATE($D80,Milestones!$AA$42)&lt;=AsOfDate,IF($Q80=0,$W80,IF(AND($S80&lt;&gt;"",EDATE($D80,Milestones!$AA$42)&gt;=$S80),$V80,IF(AND($R80&lt;&gt;"",EDATE($D80,Milestones!$AA$42)&gt;=$R80),$U80,$T80)))=Milestones!$AB$42),TEXT(EDATE($D80,Milestones!$AA$42),"dd/mm/yy")&amp;" "&amp;Milestones!$AB$42&amp;" "&amp;Milestones!$AC$42&amp;";  ","")&amp;IF(AND(EDATE($D80,Milestones!$AA$43)&lt;=AsOfDate,IF($Q80=0,$W80,IF(AND($S80&lt;&gt;"",EDATE($D80,Milestones!$AA$43)&gt;=$S80),$V80,IF(AND($R80&lt;&gt;"",EDATE($D80,Milestones!$AA$43)&gt;=$R80),$U80,$T80)))=Milestones!$AB$43),TEXT(EDATE($D80,Milestones!$AA$43),"dd/mm/yy")&amp;" "&amp;Milestones!$AB$43&amp;" "&amp;Milestones!$AC$43&amp;";  ","")&amp;IF(AND(EDATE($D80,Milestones!$AA$44)&lt;=AsOfDate,IF($Q80=0,$W80,IF(AND($S80&lt;&gt;"",EDATE($D80,Milestones!$AA$44)&gt;=$S80),$V80,IF(AND($R80&lt;&gt;"",EDATE($D80,Milestones!$AA$44)&gt;=$R80),$U80,$T80)))=Milestones!$AB$44),TEXT(EDATE($D80,Milestones!$AA$44),"dd/mm/yy")&amp;" "&amp;Milestones!$AB$44&amp;" "&amp;Milestones!$AC$44&amp;";  ","")&amp;IF(AND(EDATE($D80,Milestones!$AA$45)&lt;=AsOfDate,IF($Q80=0,$W80,IF(AND($S80&lt;&gt;"",EDATE($D80,Milestones!$AA$45)&gt;=$S80),$V80,IF(AND($R80&lt;&gt;"",EDATE($D80,Milestones!$AA$45)&gt;=$R80),$U80,$T80)))=Milestones!$AB$45),TEXT(EDATE($D80,Milestones!$AA$45),"dd/mm/yy")&amp;" "&amp;Milestones!$AB$45&amp;" "&amp;Milestones!$AC$45&amp;";  ","")&amp;IF(AND(EDATE($D80,Milestones!$AA$46)&lt;=AsOfDate,IF($Q80=0,$W80,IF(AND($S80&lt;&gt;"",EDATE($D80,Milestones!$AA$46)&gt;=$S80),$V80,IF(AND($R80&lt;&gt;"",EDATE($D80,Milestones!$AA$46)&gt;=$R80),$U80,$T80)))=Milestones!$AB$46),TEXT(EDATE($D80,Milestones!$AA$46),"dd/mm/yy")&amp;" "&amp;Milestones!$AB$46&amp;" "&amp;Milestones!$AC$46&amp;";  ","")&amp;IF(AND(EDATE($D80,Milestones!$AA$47)&lt;=AsOfDate,IF($Q80=0,$W80,IF(AND($S80&lt;&gt;"",EDATE($D80,Milestones!$AA$47)&gt;=$S80),$V80,IF(AND($R80&lt;&gt;"",EDATE($D80,Milestones!$AA$47)&gt;=$R80),$U80,$T80)))=Milestones!$AB$47),TEXT(EDATE($D80,Milestones!$AA$47),"dd/mm/yy")&amp;" "&amp;Milestones!$AB$47&amp;" "&amp;Milestones!$AC$47&amp;";  ","")&amp;IF(AND(EDATE($D80,Milestones!$AA$48)&lt;=AsOfDate,IF($Q80=0,$W80,IF(AND($S80&lt;&gt;"",EDATE($D80,Milestones!$AA$48)&gt;=$S80),$V80,IF(AND($R80&lt;&gt;"",EDATE($D80,Milestones!$AA$48)&gt;=$R80),$U80,$T80)))=Milestones!$AB$48),TEXT(EDATE($D80,Milestones!$AA$48),"dd/mm/yy")&amp;" "&amp;Milestones!$AB$48&amp;" "&amp;Milestones!$AC$48&amp;";  ","")&amp;IF(AND(EDATE($D80,Milestones!$AA$49)&lt;=AsOfDate,IF($Q80=0,$W80,IF(AND($S80&lt;&gt;"",EDATE($D80,Milestones!$AA$49)&gt;=$S80),$V80,IF(AND($R80&lt;&gt;"",EDATE($D80,Milestones!$AA$49)&gt;=$R80),$U80,$T80)))=Milestones!$AB$49),TEXT(EDATE($D80,Milestones!$AA$49),"dd/mm/yy")&amp;" "&amp;Milestones!$AB$49&amp;" "&amp;Milestones!$AC$49&amp;";  ","")&amp;IF(AND(EDATE($D80,Milestones!$AA$50)&lt;=AsOfDate,IF($Q80=0,$W80,IF(AND($S80&lt;&gt;"",EDATE($D80,Milestones!$AA$50)&gt;=$S80),$V80,IF(AND($R80&lt;&gt;"",EDATE($D80,Milestones!$AA$50)&gt;=$R80),$U80,$T80)))=Milestones!$AB$50),TEXT(EDATE($D80,Milestones!$AA$50),"dd/mm/yy")&amp;" "&amp;Milestones!$AB$50&amp;" "&amp;Milestones!$AC$50&amp;";  ","")&amp;IF(AND(EDATE($D80,Milestones!$AA$51)&lt;=AsOfDate,IF($Q80=0,$W80,IF(AND($S80&lt;&gt;"",EDATE($D80,Milestones!$AA$51)&gt;=$S80),$V80,IF(AND($R80&lt;&gt;"",EDATE($D80,Milestones!$AA$51)&gt;=$R80),$U80,$T80)))=Milestones!$AB$51),TEXT(EDATE($D80,Milestones!$AA$51),"dd/mm/yy")&amp;" "&amp;Milestones!$AB$51&amp;" "&amp;Milestones!$AC$51&amp;";  ","")&amp;IF(AND(EDATE($D80,Milestones!$AA$52)&lt;=AsOfDate,IF($Q80=0,$W80,IF(AND($S80&lt;&gt;"",EDATE($D80,Milestones!$AA$52)&gt;=$S80),$V80,IF(AND($R80&lt;&gt;"",EDATE($D80,Milestones!$AA$52)&gt;=$R80),$U80,$T80)))=Milestones!$AB$52),TEXT(EDATE($D80,Milestones!$AA$52),"dd/mm/yy")&amp;" "&amp;Milestones!$AB$52&amp;" "&amp;Milestones!$AC$52&amp;";  ","")&amp;IF(AND(EDATE($D80,Milestones!$AA$53)&lt;=AsOfDate,IF($Q80=0,$W80,IF(AND($S80&lt;&gt;"",EDATE($D80,Milestones!$AA$53)&gt;=$S80),$V80,IF(AND($R80&lt;&gt;"",EDATE($D80,Milestones!$AA$53)&gt;=$R80),$U80,$T80)))=Milestones!$AB$53),TEXT(EDATE($D80,Milestones!$AA$53),"dd/mm/yy")&amp;" "&amp;Milestones!$AB$53&amp;" "&amp;Milestones!$AC$53&amp;";  ","")&amp;IF(AND(EDATE($D80,Milestones!$AA$54)&lt;=AsOfDate,IF($Q80=0,$W80,IF(AND($S80&lt;&gt;"",EDATE($D80,Milestones!$AA$54)&gt;=$S80),$V80,IF(AND($R80&lt;&gt;"",EDATE($D80,Milestones!$AA$54)&gt;=$R80),$U80,$T80)))=Milestones!$AB$54),TEXT(EDATE($D80,Milestones!$AA$54),"dd/mm/yy")&amp;" "&amp;Milestones!$AB$54&amp;" "&amp;Milestones!$AC$54&amp;";  ","")&amp;IF(AND(EDATE($D80,Milestones!$AA$55)&lt;=AsOfDate,IF($Q80=0,$W80,IF(AND($S80&lt;&gt;"",EDATE($D80,Milestones!$AA$55)&gt;=$S80),$V80,IF(AND($R80&lt;&gt;"",EDATE($D80,Milestones!$AA$55)&gt;=$R80),$U80,$T80)))=Milestones!$AB$55),TEXT(EDATE($D80,Milestones!$AA$55),"dd/mm/yy")&amp;" "&amp;Milestones!$AB$55&amp;" "&amp;Milestones!$AC$55&amp;";  ","")&amp;IF(AND(EDATE($D80,Milestones!$AA$56)&lt;=AsOfDate,IF($Q80=0,$W80,IF(AND($S80&lt;&gt;"",EDATE($D80,Milestones!$AA$56)&gt;=$S80),$V80,IF(AND($R80&lt;&gt;"",EDATE($D80,Milestones!$AA$56)&gt;=$R80),$U80,$T80)))=Milestones!$AB$56),TEXT(EDATE($D80,Milestones!$AA$56),"dd/mm/yy")&amp;" "&amp;Milestones!$AB$56&amp;" "&amp;Milestones!$AC$56&amp;";  ","")&amp;IF(AND(EDATE($D80,Milestones!$AA$57)&lt;=AsOfDate,IF($Q80=0,$W80,IF(AND($S80&lt;&gt;"",EDATE($D80,Milestones!$AA$57)&gt;=$S80),$V80,IF(AND($R80&lt;&gt;"",EDATE($D80,Milestones!$AA$57)&gt;=$R80),$U80,$T80)))=Milestones!$AB$57),TEXT(EDATE($D80,Milestones!$AA$57),"dd/mm/yy")&amp;" "&amp;Milestones!$AB$57&amp;" "&amp;Milestones!$AC$57&amp;";  ","")&amp;IF(AND(EDATE($D80,Milestones!$AA$58)&lt;=AsOfDate,IF($Q80=0,$W80,IF(AND($S80&lt;&gt;"",EDATE($D80,Milestones!$AA$58)&gt;=$S80),$V80,IF(AND($R80&lt;&gt;"",EDATE($D80,Milestones!$AA$58)&gt;=$R80),$U80,$T80)))=Milestones!$AB$58),TEXT(EDATE($D80,Milestones!$AA$58),"dd/mm/yy")&amp;" "&amp;Milestones!$AB$58&amp;" "&amp;Milestones!$AC$58&amp;";  ","")&amp;IF(AND(EDATE($D80,Milestones!$AA$59)&lt;=AsOfDate,IF($Q80=0,$W80,IF(AND($S80&lt;&gt;"",EDATE($D80,Milestones!$AA$59)&gt;=$S80),$V80,IF(AND($R80&lt;&gt;"",EDATE($D80,Milestones!$AA$59)&gt;=$R80),$U80,$T80)))=Milestones!$AB$59),TEXT(EDATE($D80,Milestones!$AA$59),"dd/mm/yy")&amp;" "&amp;Milestones!$AB$59&amp;" "&amp;Milestones!$AC$59&amp;";  ",""))</f>
        <v/>
      </c>
      <c r="J80" s="0" t="str">
        <f aca="false">IF(OR($A80="",$D80=""),"",IF(AND(EDATE($D80,Milestones!$AA$60)&lt;=AsOfDate,IF($Q80=0,$W80,IF(AND($S80&lt;&gt;"",EDATE($D80,Milestones!$AA$60)&gt;=$S80),$V80,IF(AND($R80&lt;&gt;"",EDATE($D80,Milestones!$AA$60)&gt;=$R80),$U80,$T80)))=Milestones!$AB$60),TEXT(EDATE($D80,Milestones!$AA$60),"dd/mm/yy")&amp;" "&amp;Milestones!$AB$60&amp;" "&amp;Milestones!$AC$60&amp;";  ","")&amp;IF(AND(EDATE($D80,Milestones!$AA$61)&lt;=AsOfDate,IF($Q80=0,$W80,IF(AND($S80&lt;&gt;"",EDATE($D80,Milestones!$AA$61)&gt;=$S80),$V80,IF(AND($R80&lt;&gt;"",EDATE($D80,Milestones!$AA$61)&gt;=$R80),$U80,$T80)))=Milestones!$AB$61),TEXT(EDATE($D80,Milestones!$AA$61),"dd/mm/yy")&amp;" "&amp;Milestones!$AB$61&amp;" "&amp;Milestones!$AC$61&amp;";  ","")&amp;IF(AND(EDATE($D80,Milestones!$AA$62)&lt;=AsOfDate,IF($Q80=0,$W80,IF(AND($S80&lt;&gt;"",EDATE($D80,Milestones!$AA$62)&gt;=$S80),$V80,IF(AND($R80&lt;&gt;"",EDATE($D80,Milestones!$AA$62)&gt;=$R80),$U80,$T80)))=Milestones!$AB$62),TEXT(EDATE($D80,Milestones!$AA$62),"dd/mm/yy")&amp;" "&amp;Milestones!$AB$62&amp;" "&amp;Milestones!$AC$62&amp;";  ","")&amp;IF(AND(EDATE($D80,Milestones!$AA$63)&lt;=AsOfDate,IF($Q80=0,$W80,IF(AND($S80&lt;&gt;"",EDATE($D80,Milestones!$AA$63)&gt;=$S80),$V80,IF(AND($R80&lt;&gt;"",EDATE($D80,Milestones!$AA$63)&gt;=$R80),$U80,$T80)))=Milestones!$AB$63),TEXT(EDATE($D80,Milestones!$AA$63),"dd/mm/yy")&amp;" "&amp;Milestones!$AB$63&amp;" "&amp;Milestones!$AC$63&amp;";  ","")&amp;IF(AND(EDATE($D80,Milestones!$AA$64)&lt;=AsOfDate,IF($Q80=0,$W80,IF(AND($S80&lt;&gt;"",EDATE($D80,Milestones!$AA$64)&gt;=$S80),$V80,IF(AND($R80&lt;&gt;"",EDATE($D80,Milestones!$AA$64)&gt;=$R80),$U80,$T80)))=Milestones!$AB$64),TEXT(EDATE($D80,Milestones!$AA$64),"dd/mm/yy")&amp;" "&amp;Milestones!$AB$64&amp;" "&amp;Milestones!$AC$64&amp;";  ","")&amp;IF(AND(EDATE($D80,Milestones!$AA$65)&lt;=AsOfDate,IF($Q80=0,$W80,IF(AND($S80&lt;&gt;"",EDATE($D80,Milestones!$AA$65)&gt;=$S80),$V80,IF(AND($R80&lt;&gt;"",EDATE($D80,Milestones!$AA$65)&gt;=$R80),$U80,$T80)))=Milestones!$AB$65),TEXT(EDATE($D80,Milestones!$AA$65),"dd/mm/yy")&amp;" "&amp;Milestones!$AB$65&amp;" "&amp;Milestones!$AC$65&amp;";  ","")&amp;IF(AND(EDATE($D80,Milestones!$AA$66)&lt;=AsOfDate,IF($Q80=0,$W80,IF(AND($S80&lt;&gt;"",EDATE($D80,Milestones!$AA$66)&gt;=$S80),$V80,IF(AND($R80&lt;&gt;"",EDATE($D80,Milestones!$AA$66)&gt;=$R80),$U80,$T80)))=Milestones!$AB$66),TEXT(EDATE($D80,Milestones!$AA$66),"dd/mm/yy")&amp;" "&amp;Milestones!$AB$66&amp;" "&amp;Milestones!$AC$66&amp;";  ","")&amp;IF(AND(EDATE($D80,Milestones!$AA$67)&lt;=AsOfDate,IF($Q80=0,$W80,IF(AND($S80&lt;&gt;"",EDATE($D80,Milestones!$AA$67)&gt;=$S80),$V80,IF(AND($R80&lt;&gt;"",EDATE($D80,Milestones!$AA$67)&gt;=$R80),$U80,$T80)))=Milestones!$AB$67),TEXT(EDATE($D80,Milestones!$AA$67),"dd/mm/yy")&amp;" "&amp;Milestones!$AB$67&amp;" "&amp;Milestones!$AC$67&amp;";  ","")&amp;IF(AND(EDATE($D80,Milestones!$AA$68)&lt;=AsOfDate,IF($Q80=0,$W80,IF(AND($S80&lt;&gt;"",EDATE($D80,Milestones!$AA$68)&gt;=$S80),$V80,IF(AND($R80&lt;&gt;"",EDATE($D80,Milestones!$AA$68)&gt;=$R80),$U80,$T80)))=Milestones!$AB$68),TEXT(EDATE($D80,Milestones!$AA$68),"dd/mm/yy")&amp;" "&amp;Milestones!$AB$68&amp;" "&amp;Milestones!$AC$68&amp;";  ","")&amp;IF(AND(EDATE($D80,Milestones!$AA$69)&lt;=AsOfDate,IF($Q80=0,$W80,IF(AND($S80&lt;&gt;"",EDATE($D80,Milestones!$AA$69)&gt;=$S80),$V80,IF(AND($R80&lt;&gt;"",EDATE($D80,Milestones!$AA$69)&gt;=$R80),$U80,$T80)))=Milestones!$AB$69),TEXT(EDATE($D80,Milestones!$AA$69),"dd/mm/yy")&amp;" "&amp;Milestones!$AB$69&amp;" "&amp;Milestones!$AC$69&amp;";  ","")&amp;IF(AND(EDATE($D80,Milestones!$AA$70)&lt;=AsOfDate,IF($Q80=0,$W80,IF(AND($S80&lt;&gt;"",EDATE($D80,Milestones!$AA$70)&gt;=$S80),$V80,IF(AND($R80&lt;&gt;"",EDATE($D80,Milestones!$AA$70)&gt;=$R80),$U80,$T80)))=Milestones!$AB$70),TEXT(EDATE($D80,Milestones!$AA$70),"dd/mm/yy")&amp;" "&amp;Milestones!$AB$70&amp;" "&amp;Milestones!$AC$70&amp;";  ","")&amp;IF(AND(EDATE($D80,Milestones!$AA$71)&lt;=AsOfDate,IF($Q80=0,$W80,IF(AND($S80&lt;&gt;"",EDATE($D80,Milestones!$AA$71)&gt;=$S80),$V80,IF(AND($R80&lt;&gt;"",EDATE($D80,Milestones!$AA$71)&gt;=$R80),$U80,$T80)))=Milestones!$AB$71),TEXT(EDATE($D80,Milestones!$AA$71),"dd/mm/yy")&amp;" "&amp;Milestones!$AB$71&amp;" "&amp;Milestones!$AC$71&amp;";  ","")&amp;IF(AND(EDATE($D80,Milestones!$AA$72)&lt;=AsOfDate,IF($Q80=0,$W80,IF(AND($S80&lt;&gt;"",EDATE($D80,Milestones!$AA$72)&gt;=$S80),$V80,IF(AND($R80&lt;&gt;"",EDATE($D80,Milestones!$AA$72)&gt;=$R80),$U80,$T80)))=Milestones!$AB$72),TEXT(EDATE($D80,Milestones!$AA$72),"dd/mm/yy")&amp;" "&amp;Milestones!$AB$72&amp;" "&amp;Milestones!$AC$72&amp;";  ","")&amp;IF(AND(EDATE($D80,Milestones!$AA$73)&lt;=AsOfDate,IF($Q80=0,$W80,IF(AND($S80&lt;&gt;"",EDATE($D80,Milestones!$AA$73)&gt;=$S80),$V80,IF(AND($R80&lt;&gt;"",EDATE($D80,Milestones!$AA$73)&gt;=$R80),$U80,$T80)))=Milestones!$AB$73),TEXT(EDATE($D80,Milestones!$AA$73),"dd/mm/yy")&amp;" "&amp;Milestones!$AB$73&amp;" "&amp;Milestones!$AC$73&amp;";  ","")&amp;IF(AND(EDATE($D80,Milestones!$AA$74)&lt;=AsOfDate,IF($Q80=0,$W80,IF(AND($S80&lt;&gt;"",EDATE($D80,Milestones!$AA$74)&gt;=$S80),$V80,IF(AND($R80&lt;&gt;"",EDATE($D80,Milestones!$AA$74)&gt;=$R80),$U80,$T80)))=Milestones!$AB$74),TEXT(EDATE($D80,Milestones!$AA$74),"dd/mm/yy")&amp;" "&amp;Milestones!$AB$74&amp;" "&amp;Milestones!$AC$74&amp;";  ","")&amp;IF(AND(EDATE($D80,Milestones!$AA$75)&lt;=AsOfDate,IF($Q80=0,$W80,IF(AND($S80&lt;&gt;"",EDATE($D80,Milestones!$AA$75)&gt;=$S80),$V80,IF(AND($R80&lt;&gt;"",EDATE($D80,Milestones!$AA$75)&gt;=$R80),$U80,$T80)))=Milestones!$AB$75),TEXT(EDATE($D80,Milestones!$AA$75),"dd/mm/yy")&amp;" "&amp;Milestones!$AB$75&amp;" "&amp;Milestones!$AC$75&amp;";  ","")&amp;IF(AND(EDATE($D80,Milestones!$AA$76)&lt;=AsOfDate,IF($Q80=0,$W80,IF(AND($S80&lt;&gt;"",EDATE($D80,Milestones!$AA$76)&gt;=$S80),$V80,IF(AND($R80&lt;&gt;"",EDATE($D80,Milestones!$AA$76)&gt;=$R80),$U80,$T80)))=Milestones!$AB$76),TEXT(EDATE($D80,Milestones!$AA$76),"dd/mm/yy")&amp;" "&amp;Milestones!$AB$76&amp;" "&amp;Milestones!$AC$76&amp;";  ","")&amp;IF(AND(EDATE($D80,Milestones!$AA$77)&lt;=AsOfDate,IF($Q80=0,$W80,IF(AND($S80&lt;&gt;"",EDATE($D80,Milestones!$AA$77)&gt;=$S80),$V80,IF(AND($R80&lt;&gt;"",EDATE($D80,Milestones!$AA$77)&gt;=$R80),$U80,$T80)))=Milestones!$AB$77),TEXT(EDATE($D80,Milestones!$AA$77),"dd/mm/yy")&amp;" "&amp;Milestones!$AB$77&amp;" "&amp;Milestones!$AC$77&amp;";  ","")&amp;IF(AND(EDATE($D80,Milestones!$AA$78)&lt;=AsOfDate,IF($Q80=0,$W80,IF(AND($S80&lt;&gt;"",EDATE($D80,Milestones!$AA$78)&gt;=$S80),$V80,IF(AND($R80&lt;&gt;"",EDATE($D80,Milestones!$AA$78)&gt;=$R80),$U80,$T80)))=Milestones!$AB$78),TEXT(EDATE($D80,Milestones!$AA$78),"dd/mm/yy")&amp;" "&amp;Milestones!$AB$78&amp;" "&amp;Milestones!$AC$78&amp;";  ","")&amp;IF(AND(EDATE($D80,Milestones!$AA$79)&lt;=AsOfDate,IF($Q80=0,$W80,IF(AND($S80&lt;&gt;"",EDATE($D80,Milestones!$AA$79)&gt;=$S80),$V80,IF(AND($R80&lt;&gt;"",EDATE($D80,Milestones!$AA$79)&gt;=$R80),$U80,$T80)))=Milestones!$AB$79),TEXT(EDATE($D80,Milestones!$AA$79),"dd/mm/yy")&amp;" "&amp;Milestones!$AB$79&amp;" "&amp;Milestones!$AC$79&amp;";  ",""))</f>
        <v/>
      </c>
      <c r="K80" s="0" t="str">
        <f aca="false">IF(OR($A80="",$D80=""),"",IF(AND(EDATE($D80,Milestones!$AA$80)&lt;=AsOfDate,IF($Q80=0,$W80,IF(AND($S80&lt;&gt;"",EDATE($D80,Milestones!$AA$80)&gt;=$S80),$V80,IF(AND($R80&lt;&gt;"",EDATE($D80,Milestones!$AA$80)&gt;=$R80),$U80,$T80)))=Milestones!$AB$80),TEXT(EDATE($D80,Milestones!$AA$80),"dd/mm/yy")&amp;" "&amp;Milestones!$AB$80&amp;" "&amp;Milestones!$AC$80&amp;";  ","")&amp;IF(AND(EDATE($D80,Milestones!$AA$81)&lt;=AsOfDate,IF($Q80=0,$W80,IF(AND($S80&lt;&gt;"",EDATE($D80,Milestones!$AA$81)&gt;=$S80),$V80,IF(AND($R80&lt;&gt;"",EDATE($D80,Milestones!$AA$81)&gt;=$R80),$U80,$T80)))=Milestones!$AB$81),TEXT(EDATE($D80,Milestones!$AA$81),"dd/mm/yy")&amp;" "&amp;Milestones!$AB$81&amp;" "&amp;Milestones!$AC$81&amp;";  ","")&amp;IF(AND(EDATE($D80,Milestones!$AA$82)&lt;=AsOfDate,IF($Q80=0,$W80,IF(AND($S80&lt;&gt;"",EDATE($D80,Milestones!$AA$82)&gt;=$S80),$V80,IF(AND($R80&lt;&gt;"",EDATE($D80,Milestones!$AA$82)&gt;=$R80),$U80,$T80)))=Milestones!$AB$82),TEXT(EDATE($D80,Milestones!$AA$82),"dd/mm/yy")&amp;" "&amp;Milestones!$AB$82&amp;" "&amp;Milestones!$AC$82&amp;";  ","")&amp;IF(AND(EDATE($D80,Milestones!$AA$83)&lt;=AsOfDate,IF($Q80=0,$W80,IF(AND($S80&lt;&gt;"",EDATE($D80,Milestones!$AA$83)&gt;=$S80),$V80,IF(AND($R80&lt;&gt;"",EDATE($D80,Milestones!$AA$83)&gt;=$R80),$U80,$T80)))=Milestones!$AB$83),TEXT(EDATE($D80,Milestones!$AA$83),"dd/mm/yy")&amp;" "&amp;Milestones!$AB$83&amp;" "&amp;Milestones!$AC$83&amp;";  ","")&amp;IF(AND(EDATE($D80,Milestones!$AA$84)&lt;=AsOfDate,IF($Q80=0,$W80,IF(AND($S80&lt;&gt;"",EDATE($D80,Milestones!$AA$84)&gt;=$S80),$V80,IF(AND($R80&lt;&gt;"",EDATE($D80,Milestones!$AA$84)&gt;=$R80),$U80,$T80)))=Milestones!$AB$84),TEXT(EDATE($D80,Milestones!$AA$84),"dd/mm/yy")&amp;" "&amp;Milestones!$AB$84&amp;" "&amp;Milestones!$AC$84&amp;";  ","")&amp;IF(AND(EDATE($D80,Milestones!$AA$85)&lt;=AsOfDate,IF($Q80=0,$W80,IF(AND($S80&lt;&gt;"",EDATE($D80,Milestones!$AA$85)&gt;=$S80),$V80,IF(AND($R80&lt;&gt;"",EDATE($D80,Milestones!$AA$85)&gt;=$R80),$U80,$T80)))=Milestones!$AB$85),TEXT(EDATE($D80,Milestones!$AA$85),"dd/mm/yy")&amp;" "&amp;Milestones!$AB$85&amp;" "&amp;Milestones!$AC$85&amp;";  ","")&amp;IF(AND(EDATE($D80,Milestones!$AA$86)&lt;=AsOfDate,IF($Q80=0,$W80,IF(AND($S80&lt;&gt;"",EDATE($D80,Milestones!$AA$86)&gt;=$S80),$V80,IF(AND($R80&lt;&gt;"",EDATE($D80,Milestones!$AA$86)&gt;=$R80),$U80,$T80)))=Milestones!$AB$86),TEXT(EDATE($D80,Milestones!$AA$86),"dd/mm/yy")&amp;" "&amp;Milestones!$AB$86&amp;" "&amp;Milestones!$AC$86&amp;";  ","")&amp;IF(AND(EDATE($D80,Milestones!$AA$87)&lt;=AsOfDate,IF($Q80=0,$W80,IF(AND($S80&lt;&gt;"",EDATE($D80,Milestones!$AA$87)&gt;=$S80),$V80,IF(AND($R80&lt;&gt;"",EDATE($D80,Milestones!$AA$87)&gt;=$R80),$U80,$T80)))=Milestones!$AB$87),TEXT(EDATE($D80,Milestones!$AA$87),"dd/mm/yy")&amp;" "&amp;Milestones!$AB$87&amp;" "&amp;Milestones!$AC$87&amp;";  ","")&amp;IF(AND(EDATE($D80,Milestones!$AA$88)&lt;=AsOfDate,IF($Q80=0,$W80,IF(AND($S80&lt;&gt;"",EDATE($D80,Milestones!$AA$88)&gt;=$S80),$V80,IF(AND($R80&lt;&gt;"",EDATE($D80,Milestones!$AA$88)&gt;=$R80),$U80,$T80)))=Milestones!$AB$88),TEXT(EDATE($D80,Milestones!$AA$88),"dd/mm/yy")&amp;" "&amp;Milestones!$AB$88&amp;" "&amp;Milestones!$AC$88&amp;";  ","")&amp;IF(AND(EDATE($D80,Milestones!$AA$89)&lt;=AsOfDate,IF($Q80=0,$W80,IF(AND($S80&lt;&gt;"",EDATE($D80,Milestones!$AA$89)&gt;=$S80),$V80,IF(AND($R80&lt;&gt;"",EDATE($D80,Milestones!$AA$89)&gt;=$R80),$U80,$T80)))=Milestones!$AB$89),TEXT(EDATE($D80,Milestones!$AA$89),"dd/mm/yy")&amp;" "&amp;Milestones!$AB$89&amp;" "&amp;Milestones!$AC$89&amp;";  ","")&amp;IF(AND(EDATE($D80,Milestones!$AA$90)&lt;=AsOfDate,IF($Q80=0,$W80,IF(AND($S80&lt;&gt;"",EDATE($D80,Milestones!$AA$90)&gt;=$S80),$V80,IF(AND($R80&lt;&gt;"",EDATE($D80,Milestones!$AA$90)&gt;=$R80),$U80,$T80)))=Milestones!$AB$90),TEXT(EDATE($D80,Milestones!$AA$90),"dd/mm/yy")&amp;" "&amp;Milestones!$AB$90&amp;" "&amp;Milestones!$AC$90&amp;";  ","")&amp;IF(AND(EDATE($D80,Milestones!$AA$91)&lt;=AsOfDate,IF($Q80=0,$W80,IF(AND($S80&lt;&gt;"",EDATE($D80,Milestones!$AA$91)&gt;=$S80),$V80,IF(AND($R80&lt;&gt;"",EDATE($D80,Milestones!$AA$91)&gt;=$R80),$U80,$T80)))=Milestones!$AB$91),TEXT(EDATE($D80,Milestones!$AA$91),"dd/mm/yy")&amp;" "&amp;Milestones!$AB$91&amp;" "&amp;Milestones!$AC$91&amp;";  ","")&amp;IF(AND(EDATE($D80,Milestones!$AA$92)&lt;=AsOfDate,IF($Q80=0,$W80,IF(AND($S80&lt;&gt;"",EDATE($D80,Milestones!$AA$92)&gt;=$S80),$V80,IF(AND($R80&lt;&gt;"",EDATE($D80,Milestones!$AA$92)&gt;=$R80),$U80,$T80)))=Milestones!$AB$92),TEXT(EDATE($D80,Milestones!$AA$92),"dd/mm/yy")&amp;" "&amp;Milestones!$AB$92&amp;" "&amp;Milestones!$AC$92&amp;";  ","")&amp;IF(AND(EDATE($D80,Milestones!$AA$93)&lt;=AsOfDate,IF($Q80=0,$W80,IF(AND($S80&lt;&gt;"",EDATE($D80,Milestones!$AA$93)&gt;=$S80),$V80,IF(AND($R80&lt;&gt;"",EDATE($D80,Milestones!$AA$93)&gt;=$R80),$U80,$T80)))=Milestones!$AB$93),TEXT(EDATE($D80,Milestones!$AA$93),"dd/mm/yy")&amp;" "&amp;Milestones!$AB$93&amp;" "&amp;Milestones!$AC$93&amp;";  ","")&amp;IF(AND(EDATE($D80,Milestones!$AA$94)&lt;=AsOfDate,IF($Q80=0,$W80,IF(AND($S80&lt;&gt;"",EDATE($D80,Milestones!$AA$94)&gt;=$S80),$V80,IF(AND($R80&lt;&gt;"",EDATE($D80,Milestones!$AA$94)&gt;=$R80),$U80,$T80)))=Milestones!$AB$94),TEXT(EDATE($D80,Milestones!$AA$94),"dd/mm/yy")&amp;" "&amp;Milestones!$AB$94&amp;" "&amp;Milestones!$AC$94&amp;";  ","")&amp;IF(AND(EDATE($D80,Milestones!$AA$95)&lt;=AsOfDate,IF($Q80=0,$W80,IF(AND($S80&lt;&gt;"",EDATE($D80,Milestones!$AA$95)&gt;=$S80),$V80,IF(AND($R80&lt;&gt;"",EDATE($D80,Milestones!$AA$95)&gt;=$R80),$U80,$T80)))=Milestones!$AB$95),TEXT(EDATE($D80,Milestones!$AA$95),"dd/mm/yy")&amp;" "&amp;Milestones!$AB$95&amp;" "&amp;Milestones!$AC$95&amp;";  ","")&amp;IF(AND(EDATE($D80,Milestones!$AA$96)&lt;=AsOfDate,IF($Q80=0,$W80,IF(AND($S80&lt;&gt;"",EDATE($D80,Milestones!$AA$96)&gt;=$S80),$V80,IF(AND($R80&lt;&gt;"",EDATE($D80,Milestones!$AA$96)&gt;=$R80),$U80,$T80)))=Milestones!$AB$96),TEXT(EDATE($D80,Milestones!$AA$96),"dd/mm/yy")&amp;" "&amp;Milestones!$AB$96&amp;" "&amp;Milestones!$AC$96&amp;";  ","")&amp;IF(AND(EDATE($D80,Milestones!$AA$97)&lt;=AsOfDate,IF($Q80=0,$W80,IF(AND($S80&lt;&gt;"",EDATE($D80,Milestones!$AA$97)&gt;=$S80),$V80,IF(AND($R80&lt;&gt;"",EDATE($D80,Milestones!$AA$97)&gt;=$R80),$U80,$T80)))=Milestones!$AB$97),TEXT(EDATE($D80,Milestones!$AA$97),"dd/mm/yy")&amp;" "&amp;Milestones!$AB$97&amp;" "&amp;Milestones!$AC$97&amp;";  ","")&amp;IF(AND(EDATE($D80,Milestones!$AA$98)&lt;=AsOfDate,IF($Q80=0,$W80,IF(AND($S80&lt;&gt;"",EDATE($D80,Milestones!$AA$98)&gt;=$S80),$V80,IF(AND($R80&lt;&gt;"",EDATE($D80,Milestones!$AA$98)&gt;=$R80),$U80,$T80)))=Milestones!$AB$98),TEXT(EDATE($D80,Milestones!$AA$98),"dd/mm/yy")&amp;" "&amp;Milestones!$AB$98&amp;" "&amp;Milestones!$AC$98&amp;";  ","")&amp;IF(AND(EDATE($D80,Milestones!$AA$99)&lt;=AsOfDate,IF($Q80=0,$W80,IF(AND($S80&lt;&gt;"",EDATE($D80,Milestones!$AA$99)&gt;=$S80),$V80,IF(AND($R80&lt;&gt;"",EDATE($D80,Milestones!$AA$99)&gt;=$R80),$U80,$T80)))=Milestones!$AB$99),TEXT(EDATE($D80,Milestones!$AA$99),"dd/mm/yy")&amp;" "&amp;Milestones!$AB$99&amp;" "&amp;Milestones!$AC$99&amp;";  ",""))</f>
        <v/>
      </c>
      <c r="L80" s="0" t="str">
        <f aca="false">IF(OR($A80="",$D80=""),"",IF(AND(EDATE($D80,Milestones!$AA$100)&lt;=AsOfDate,IF($Q80=0,$W80,IF(AND($S80&lt;&gt;"",EDATE($D80,Milestones!$AA$100)&gt;=$S80),$V80,IF(AND($R80&lt;&gt;"",EDATE($D80,Milestones!$AA$100)&gt;=$R80),$U80,$T80)))=Milestones!$AB$100),TEXT(EDATE($D80,Milestones!$AA$100),"dd/mm/yy")&amp;" "&amp;Milestones!$AB$100&amp;" "&amp;Milestones!$AC$100&amp;";  ","")&amp;IF(AND(EDATE($D80,Milestones!$AA$101)&lt;=AsOfDate,IF($Q80=0,$W80,IF(AND($S80&lt;&gt;"",EDATE($D80,Milestones!$AA$101)&gt;=$S80),$V80,IF(AND($R80&lt;&gt;"",EDATE($D80,Milestones!$AA$101)&gt;=$R80),$U80,$T80)))=Milestones!$AB$101),TEXT(EDATE($D80,Milestones!$AA$101),"dd/mm/yy")&amp;" "&amp;Milestones!$AB$101&amp;" "&amp;Milestones!$AC$101&amp;";  ","")&amp;IF(AND(EDATE($D80,Milestones!$AA$102)&lt;=AsOfDate,IF($Q80=0,$W80,IF(AND($S80&lt;&gt;"",EDATE($D80,Milestones!$AA$102)&gt;=$S80),$V80,IF(AND($R80&lt;&gt;"",EDATE($D80,Milestones!$AA$102)&gt;=$R80),$U80,$T80)))=Milestones!$AB$102),TEXT(EDATE($D80,Milestones!$AA$102),"dd/mm/yy")&amp;" "&amp;Milestones!$AB$102&amp;" "&amp;Milestones!$AC$102&amp;";  ","")&amp;IF(AND(EDATE($D80,Milestones!$AA$103)&lt;=AsOfDate,IF($Q80=0,$W80,IF(AND($S80&lt;&gt;"",EDATE($D80,Milestones!$AA$103)&gt;=$S80),$V80,IF(AND($R80&lt;&gt;"",EDATE($D80,Milestones!$AA$103)&gt;=$R80),$U80,$T80)))=Milestones!$AB$103),TEXT(EDATE($D80,Milestones!$AA$103),"dd/mm/yy")&amp;" "&amp;Milestones!$AB$103&amp;" "&amp;Milestones!$AC$103&amp;";  ","")&amp;IF(AND(EDATE($D80,Milestones!$AA$104)&lt;=AsOfDate,IF($Q80=0,$W80,IF(AND($S80&lt;&gt;"",EDATE($D80,Milestones!$AA$104)&gt;=$S80),$V80,IF(AND($R80&lt;&gt;"",EDATE($D80,Milestones!$AA$104)&gt;=$R80),$U80,$T80)))=Milestones!$AB$104),TEXT(EDATE($D80,Milestones!$AA$104),"dd/mm/yy")&amp;" "&amp;Milestones!$AB$104&amp;" "&amp;Milestones!$AC$104&amp;";  ","")&amp;IF(AND(EDATE($D80,Milestones!$AA$105)&lt;=AsOfDate,IF($Q80=0,$W80,IF(AND($S80&lt;&gt;"",EDATE($D80,Milestones!$AA$105)&gt;=$S80),$V80,IF(AND($R80&lt;&gt;"",EDATE($D80,Milestones!$AA$105)&gt;=$R80),$U80,$T80)))=Milestones!$AB$105),TEXT(EDATE($D80,Milestones!$AA$105),"dd/mm/yy")&amp;" "&amp;Milestones!$AB$105&amp;" "&amp;Milestones!$AC$105&amp;";  ","")&amp;IF(AND(EDATE($D80,Milestones!$AA$106)&lt;=AsOfDate,IF($Q80=0,$W80,IF(AND($S80&lt;&gt;"",EDATE($D80,Milestones!$AA$106)&gt;=$S80),$V80,IF(AND($R80&lt;&gt;"",EDATE($D80,Milestones!$AA$106)&gt;=$R80),$U80,$T80)))=Milestones!$AB$106),TEXT(EDATE($D80,Milestones!$AA$106),"dd/mm/yy")&amp;" "&amp;Milestones!$AB$106&amp;" "&amp;Milestones!$AC$106&amp;";  ","")&amp;IF(AND(EDATE($D80,Milestones!$AA$107)&lt;=AsOfDate,IF($Q80=0,$W80,IF(AND($S80&lt;&gt;"",EDATE($D80,Milestones!$AA$107)&gt;=$S80),$V80,IF(AND($R80&lt;&gt;"",EDATE($D80,Milestones!$AA$107)&gt;=$R80),$U80,$T80)))=Milestones!$AB$107),TEXT(EDATE($D80,Milestones!$AA$107),"dd/mm/yy")&amp;" "&amp;Milestones!$AB$107&amp;" "&amp;Milestones!$AC$107&amp;";  ","")&amp;IF(AND(EDATE($D80,Milestones!$AA$108)&lt;=AsOfDate,IF($Q80=0,$W80,IF(AND($S80&lt;&gt;"",EDATE($D80,Milestones!$AA$108)&gt;=$S80),$V80,IF(AND($R80&lt;&gt;"",EDATE($D80,Milestones!$AA$108)&gt;=$R80),$U80,$T80)))=Milestones!$AB$108),TEXT(EDATE($D80,Milestones!$AA$108),"dd/mm/yy")&amp;" "&amp;Milestones!$AB$108&amp;" "&amp;Milestones!$AC$108&amp;";  ","")&amp;IF(AND(EDATE($D80,Milestones!$AA$109)&lt;=AsOfDate,IF($Q80=0,$W80,IF(AND($S80&lt;&gt;"",EDATE($D80,Milestones!$AA$109)&gt;=$S80),$V80,IF(AND($R80&lt;&gt;"",EDATE($D80,Milestones!$AA$109)&gt;=$R80),$U80,$T80)))=Milestones!$AB$109),TEXT(EDATE($D80,Milestones!$AA$109),"dd/mm/yy")&amp;" "&amp;Milestones!$AB$109&amp;" "&amp;Milestones!$AC$109&amp;";  ","")&amp;IF(AND(EDATE($D80,Milestones!$AA$110)&lt;=AsOfDate,IF($Q80=0,$W80,IF(AND($S80&lt;&gt;"",EDATE($D80,Milestones!$AA$110)&gt;=$S80),$V80,IF(AND($R80&lt;&gt;"",EDATE($D80,Milestones!$AA$110)&gt;=$R80),$U80,$T80)))=Milestones!$AB$110),TEXT(EDATE($D80,Milestones!$AA$110),"dd/mm/yy")&amp;" "&amp;Milestones!$AB$110&amp;" "&amp;Milestones!$AC$110&amp;";  ","")&amp;IF(AND(EDATE($D80,Milestones!$AA$111)&lt;=AsOfDate,IF($Q80=0,$W80,IF(AND($S80&lt;&gt;"",EDATE($D80,Milestones!$AA$111)&gt;=$S80),$V80,IF(AND($R80&lt;&gt;"",EDATE($D80,Milestones!$AA$111)&gt;=$R80),$U80,$T80)))=Milestones!$AB$111),TEXT(EDATE($D80,Milestones!$AA$111),"dd/mm/yy")&amp;" "&amp;Milestones!$AB$111&amp;" "&amp;Milestones!$AC$111&amp;";  ","")&amp;IF(AND(EDATE($D80,Milestones!$AA$112)&lt;=AsOfDate,IF($Q80=0,$W80,IF(AND($S80&lt;&gt;"",EDATE($D80,Milestones!$AA$112)&gt;=$S80),$V80,IF(AND($R80&lt;&gt;"",EDATE($D80,Milestones!$AA$112)&gt;=$R80),$U80,$T80)))=Milestones!$AB$112),TEXT(EDATE($D80,Milestones!$AA$112),"dd/mm/yy")&amp;" "&amp;Milestones!$AB$112&amp;" "&amp;Milestones!$AC$112&amp;";  ","")&amp;IF(AND(EDATE($D80,Milestones!$AA$113)&lt;=AsOfDate,IF($Q80=0,$W80,IF(AND($S80&lt;&gt;"",EDATE($D80,Milestones!$AA$113)&gt;=$S80),$V80,IF(AND($R80&lt;&gt;"",EDATE($D80,Milestones!$AA$113)&gt;=$R80),$U80,$T80)))=Milestones!$AB$113),TEXT(EDATE($D80,Milestones!$AA$113),"dd/mm/yy")&amp;" "&amp;Milestones!$AB$113&amp;" "&amp;Milestones!$AC$113&amp;";  ","")&amp;IF(AND(EDATE($D80,Milestones!$AA$114)&lt;=AsOfDate,IF($Q80=0,$W80,IF(AND($S80&lt;&gt;"",EDATE($D80,Milestones!$AA$114)&gt;=$S80),$V80,IF(AND($R80&lt;&gt;"",EDATE($D80,Milestones!$AA$114)&gt;=$R80),$U80,$T80)))=Milestones!$AB$114),TEXT(EDATE($D80,Milestones!$AA$114),"dd/mm/yy")&amp;" "&amp;Milestones!$AB$114&amp;" "&amp;Milestones!$AC$114&amp;";  ","")&amp;IF(AND(EDATE($D80,Milestones!$AA$115)&lt;=AsOfDate,IF($Q80=0,$W80,IF(AND($S80&lt;&gt;"",EDATE($D80,Milestones!$AA$115)&gt;=$S80),$V80,IF(AND($R80&lt;&gt;"",EDATE($D80,Milestones!$AA$115)&gt;=$R80),$U80,$T80)))=Milestones!$AB$115),TEXT(EDATE($D80,Milestones!$AA$115),"dd/mm/yy")&amp;" "&amp;Milestones!$AB$115&amp;" "&amp;Milestones!$AC$115&amp;";  ","")&amp;IF(AND(EDATE($D80,Milestones!$AA$116)&lt;=AsOfDate,IF($Q80=0,$W80,IF(AND($S80&lt;&gt;"",EDATE($D80,Milestones!$AA$116)&gt;=$S80),$V80,IF(AND($R80&lt;&gt;"",EDATE($D80,Milestones!$AA$116)&gt;=$R80),$U80,$T80)))=Milestones!$AB$116),TEXT(EDATE($D80,Milestones!$AA$116),"dd/mm/yy")&amp;" "&amp;Milestones!$AB$116&amp;" "&amp;Milestones!$AC$116&amp;";  ","")&amp;IF(AND(EDATE($D80,Milestones!$AA$117)&lt;=AsOfDate,IF($Q80=0,$W80,IF(AND($S80&lt;&gt;"",EDATE($D80,Milestones!$AA$117)&gt;=$S80),$V80,IF(AND($R80&lt;&gt;"",EDATE($D80,Milestones!$AA$117)&gt;=$R80),$U80,$T80)))=Milestones!$AB$117),TEXT(EDATE($D80,Milestones!$AA$117),"dd/mm/yy")&amp;" "&amp;Milestones!$AB$117&amp;" "&amp;Milestones!$AC$117&amp;";  ","")&amp;IF(AND(EDATE($D80,Milestones!$AA$118)&lt;=AsOfDate,IF($Q80=0,$W80,IF(AND($S80&lt;&gt;"",EDATE($D80,Milestones!$AA$118)&gt;=$S80),$V80,IF(AND($R80&lt;&gt;"",EDATE($D80,Milestones!$AA$118)&gt;=$R80),$U80,$T80)))=Milestones!$AB$118),TEXT(EDATE($D80,Milestones!$AA$118),"dd/mm/yy")&amp;" "&amp;Milestones!$AB$118&amp;" "&amp;Milestones!$AC$118&amp;";  ","")&amp;IF(AND(EDATE($D80,Milestones!$AA$119)&lt;=AsOfDate,IF($Q80=0,$W80,IF(AND($S80&lt;&gt;"",EDATE($D80,Milestones!$AA$119)&gt;=$S80),$V80,IF(AND($R80&lt;&gt;"",EDATE($D80,Milestones!$AA$119)&gt;=$R80),$U80,$T80)))=Milestones!$AB$119),TEXT(EDATE($D80,Milestones!$AA$119),"dd/mm/yy")&amp;" "&amp;Milestones!$AB$119&amp;" "&amp;Milestones!$AC$119&amp;";  ",""))</f>
        <v/>
      </c>
      <c r="M80" s="0" t="str">
        <f aca="false">IF(OR($A80="",$D80=""),"",IF(AND(EDATE($D80,Milestones!$AA$120)&lt;=AsOfDate,IF($Q80=0,$W80,IF(AND($S80&lt;&gt;"",EDATE($D80,Milestones!$AA$120)&gt;=$S80),$V80,IF(AND($R80&lt;&gt;"",EDATE($D80,Milestones!$AA$120)&gt;=$R80),$U80,$T80)))=Milestones!$AB$120),TEXT(EDATE($D80,Milestones!$AA$120),"dd/mm/yy")&amp;" "&amp;Milestones!$AB$120&amp;" "&amp;Milestones!$AC$120&amp;";  ","")&amp;IF(AND(EDATE($D80,Milestones!$AA$121)&lt;=AsOfDate,IF($Q80=0,$W80,IF(AND($S80&lt;&gt;"",EDATE($D80,Milestones!$AA$121)&gt;=$S80),$V80,IF(AND($R80&lt;&gt;"",EDATE($D80,Milestones!$AA$121)&gt;=$R80),$U80,$T80)))=Milestones!$AB$121),TEXT(EDATE($D80,Milestones!$AA$121),"dd/mm/yy")&amp;" "&amp;Milestones!$AB$121&amp;" "&amp;Milestones!$AC$121&amp;";  ","")&amp;IF(AND(EDATE($D80,Milestones!$AA$122)&lt;=AsOfDate,IF($Q80=0,$W80,IF(AND($S80&lt;&gt;"",EDATE($D80,Milestones!$AA$122)&gt;=$S80),$V80,IF(AND($R80&lt;&gt;"",EDATE($D80,Milestones!$AA$122)&gt;=$R80),$U80,$T80)))=Milestones!$AB$122),TEXT(EDATE($D80,Milestones!$AA$122),"dd/mm/yy")&amp;" "&amp;Milestones!$AB$122&amp;" "&amp;Milestones!$AC$122&amp;";  ","")&amp;IF(AND(EDATE($D80,Milestones!$AA$123)&lt;=AsOfDate,IF($Q80=0,$W80,IF(AND($S80&lt;&gt;"",EDATE($D80,Milestones!$AA$123)&gt;=$S80),$V80,IF(AND($R80&lt;&gt;"",EDATE($D80,Milestones!$AA$123)&gt;=$R80),$U80,$T80)))=Milestones!$AB$123),TEXT(EDATE($D80,Milestones!$AA$123),"dd/mm/yy")&amp;" "&amp;Milestones!$AB$123&amp;" "&amp;Milestones!$AC$123&amp;";  ","")&amp;IF(AND(EDATE($D80,Milestones!$AA$124)&lt;=AsOfDate,IF($Q80=0,$W80,IF(AND($S80&lt;&gt;"",EDATE($D80,Milestones!$AA$124)&gt;=$S80),$V80,IF(AND($R80&lt;&gt;"",EDATE($D80,Milestones!$AA$124)&gt;=$R80),$U80,$T80)))=Milestones!$AB$124),TEXT(EDATE($D80,Milestones!$AA$124),"dd/mm/yy")&amp;" "&amp;Milestones!$AB$124&amp;" "&amp;Milestones!$AC$124&amp;";  ","")&amp;IF(AND(EDATE($D80,Milestones!$AA$125)&lt;=AsOfDate,IF($Q80=0,$W80,IF(AND($S80&lt;&gt;"",EDATE($D80,Milestones!$AA$125)&gt;=$S80),$V80,IF(AND($R80&lt;&gt;"",EDATE($D80,Milestones!$AA$125)&gt;=$R80),$U80,$T80)))=Milestones!$AB$125),TEXT(EDATE($D80,Milestones!$AA$125),"dd/mm/yy")&amp;" "&amp;Milestones!$AB$125&amp;" "&amp;Milestones!$AC$125&amp;";  ","")&amp;IF(AND(EDATE($D80,Milestones!$AA$126)&lt;=AsOfDate,IF($Q80=0,$W80,IF(AND($S80&lt;&gt;"",EDATE($D80,Milestones!$AA$126)&gt;=$S80),$V80,IF(AND($R80&lt;&gt;"",EDATE($D80,Milestones!$AA$126)&gt;=$R80),$U80,$T80)))=Milestones!$AB$126),TEXT(EDATE($D80,Milestones!$AA$126),"dd/mm/yy")&amp;" "&amp;Milestones!$AB$126&amp;" "&amp;Milestones!$AC$126&amp;";  ","")&amp;IF(AND(EDATE($D80,Milestones!$AA$127)&lt;=AsOfDate,IF($Q80=0,$W80,IF(AND($S80&lt;&gt;"",EDATE($D80,Milestones!$AA$127)&gt;=$S80),$V80,IF(AND($R80&lt;&gt;"",EDATE($D80,Milestones!$AA$127)&gt;=$R80),$U80,$T80)))=Milestones!$AB$127),TEXT(EDATE($D80,Milestones!$AA$127),"dd/mm/yy")&amp;" "&amp;Milestones!$AB$127&amp;" "&amp;Milestones!$AC$127&amp;";  ","")&amp;IF(AND(EDATE($D80,Milestones!$AA$128)&lt;=AsOfDate,IF($Q80=0,$W80,IF(AND($S80&lt;&gt;"",EDATE($D80,Milestones!$AA$128)&gt;=$S80),$V80,IF(AND($R80&lt;&gt;"",EDATE($D80,Milestones!$AA$128)&gt;=$R80),$U80,$T80)))=Milestones!$AB$128),TEXT(EDATE($D80,Milestones!$AA$128),"dd/mm/yy")&amp;" "&amp;Milestones!$AB$128&amp;" "&amp;Milestones!$AC$128&amp;";  ","")&amp;IF(AND(EDATE($D80,Milestones!$AA$129)&lt;=AsOfDate,IF($Q80=0,$W80,IF(AND($S80&lt;&gt;"",EDATE($D80,Milestones!$AA$129)&gt;=$S80),$V80,IF(AND($R80&lt;&gt;"",EDATE($D80,Milestones!$AA$129)&gt;=$R80),$U80,$T80)))=Milestones!$AB$129),TEXT(EDATE($D80,Milestones!$AA$129),"dd/mm/yy")&amp;" "&amp;Milestones!$AB$129&amp;" "&amp;Milestones!$AC$129&amp;";  ","")&amp;IF(AND(EDATE($D80,Milestones!$AA$130)&lt;=AsOfDate,IF($Q80=0,$W80,IF(AND($S80&lt;&gt;"",EDATE($D80,Milestones!$AA$130)&gt;=$S80),$V80,IF(AND($R80&lt;&gt;"",EDATE($D80,Milestones!$AA$130)&gt;=$R80),$U80,$T80)))=Milestones!$AB$130),TEXT(EDATE($D80,Milestones!$AA$130),"dd/mm/yy")&amp;" "&amp;Milestones!$AB$130&amp;" "&amp;Milestones!$AC$130&amp;";  ","")&amp;IF(AND(EDATE($D80,Milestones!$AA$131)&lt;=AsOfDate,IF($Q80=0,$W80,IF(AND($S80&lt;&gt;"",EDATE($D80,Milestones!$AA$131)&gt;=$S80),$V80,IF(AND($R80&lt;&gt;"",EDATE($D80,Milestones!$AA$131)&gt;=$R80),$U80,$T80)))=Milestones!$AB$131),TEXT(EDATE($D80,Milestones!$AA$131),"dd/mm/yy")&amp;" "&amp;Milestones!$AB$131&amp;" "&amp;Milestones!$AC$131&amp;";  ","")&amp;IF(AND(EDATE($D80,Milestones!$AA$132)&lt;=AsOfDate,IF($Q80=0,$W80,IF(AND($S80&lt;&gt;"",EDATE($D80,Milestones!$AA$132)&gt;=$S80),$V80,IF(AND($R80&lt;&gt;"",EDATE($D80,Milestones!$AA$132)&gt;=$R80),$U80,$T80)))=Milestones!$AB$132),TEXT(EDATE($D80,Milestones!$AA$132),"dd/mm/yy")&amp;" "&amp;Milestones!$AB$132&amp;" "&amp;Milestones!$AC$132&amp;";  ","")&amp;IF(AND(EDATE($D80,Milestones!$AA$133)&lt;=AsOfDate,IF($Q80=0,$W80,IF(AND($S80&lt;&gt;"",EDATE($D80,Milestones!$AA$133)&gt;=$S80),$V80,IF(AND($R80&lt;&gt;"",EDATE($D80,Milestones!$AA$133)&gt;=$R80),$U80,$T80)))=Milestones!$AB$133),TEXT(EDATE($D80,Milestones!$AA$133),"dd/mm/yy")&amp;" "&amp;Milestones!$AB$133&amp;" "&amp;Milestones!$AC$133&amp;";  ","")&amp;IF(AND(EDATE($D80,Milestones!$AA$134)&lt;=AsOfDate,IF($Q80=0,$W80,IF(AND($S80&lt;&gt;"",EDATE($D80,Milestones!$AA$134)&gt;=$S80),$V80,IF(AND($R80&lt;&gt;"",EDATE($D80,Milestones!$AA$134)&gt;=$R80),$U80,$T80)))=Milestones!$AB$134),TEXT(EDATE($D80,Milestones!$AA$134),"dd/mm/yy")&amp;" "&amp;Milestones!$AB$134&amp;" "&amp;Milestones!$AC$134&amp;";  ","")&amp;IF(AND(EDATE($D80,Milestones!$AA$135)&lt;=AsOfDate,IF($Q80=0,$W80,IF(AND($S80&lt;&gt;"",EDATE($D80,Milestones!$AA$135)&gt;=$S80),$V80,IF(AND($R80&lt;&gt;"",EDATE($D80,Milestones!$AA$135)&gt;=$R80),$U80,$T80)))=Milestones!$AB$135),TEXT(EDATE($D80,Milestones!$AA$135),"dd/mm/yy")&amp;" "&amp;Milestones!$AB$135&amp;" "&amp;Milestones!$AC$135&amp;";  ","")&amp;IF(AND(EDATE($D80,Milestones!$AA$136)&lt;=AsOfDate,IF($Q80=0,$W80,IF(AND($S80&lt;&gt;"",EDATE($D80,Milestones!$AA$136)&gt;=$S80),$V80,IF(AND($R80&lt;&gt;"",EDATE($D80,Milestones!$AA$136)&gt;=$R80),$U80,$T80)))=Milestones!$AB$136),TEXT(EDATE($D80,Milestones!$AA$136),"dd/mm/yy")&amp;" "&amp;Milestones!$AB$136&amp;" "&amp;Milestones!$AC$136&amp;";  ","")&amp;IF(AND(EDATE($D80,Milestones!$AA$137)&lt;=AsOfDate,IF($Q80=0,$W80,IF(AND($S80&lt;&gt;"",EDATE($D80,Milestones!$AA$137)&gt;=$S80),$V80,IF(AND($R80&lt;&gt;"",EDATE($D80,Milestones!$AA$137)&gt;=$R80),$U80,$T80)))=Milestones!$AB$137),TEXT(EDATE($D80,Milestones!$AA$137),"dd/mm/yy")&amp;" "&amp;Milestones!$AB$137&amp;" "&amp;Milestones!$AC$137&amp;";  ","")&amp;IF(AND(EDATE($D80,Milestones!$AA$138)&lt;=AsOfDate,IF($Q80=0,$W80,IF(AND($S80&lt;&gt;"",EDATE($D80,Milestones!$AA$138)&gt;=$S80),$V80,IF(AND($R80&lt;&gt;"",EDATE($D80,Milestones!$AA$138)&gt;=$R80),$U80,$T80)))=Milestones!$AB$138),TEXT(EDATE($D80,Milestones!$AA$138),"dd/mm/yy")&amp;" "&amp;Milestones!$AB$138&amp;" "&amp;Milestones!$AC$138&amp;";  ","")&amp;IF(AND(EDATE($D80,Milestones!$AA$139)&lt;=AsOfDate,IF($Q80=0,$W80,IF(AND($S80&lt;&gt;"",EDATE($D80,Milestones!$AA$139)&gt;=$S80),$V80,IF(AND($R80&lt;&gt;"",EDATE($D80,Milestones!$AA$139)&gt;=$R80),$U80,$T80)))=Milestones!$AB$139),TEXT(EDATE($D80,Milestones!$AA$139),"dd/mm/yy")&amp;" "&amp;Milestones!$AB$139&amp;" "&amp;Milestones!$AC$139&amp;";  ",""))</f>
        <v/>
      </c>
      <c r="N80" s="0" t="str">
        <f aca="false">IF(OR($A80="",$D80=""),"",IF(AND(EDATE($D80,Milestones!$AA$140)&lt;=AsOfDate,IF($Q80=0,$W80,IF(AND($S80&lt;&gt;"",EDATE($D80,Milestones!$AA$140)&gt;=$S80),$V80,IF(AND($R80&lt;&gt;"",EDATE($D80,Milestones!$AA$140)&gt;=$R80),$U80,$T80)))=Milestones!$AB$140),TEXT(EDATE($D80,Milestones!$AA$140),"dd/mm/yy")&amp;" "&amp;Milestones!$AB$140&amp;" "&amp;Milestones!$AC$140&amp;";  ","")&amp;IF(AND(EDATE($D80,Milestones!$AA$141)&lt;=AsOfDate,IF($Q80=0,$W80,IF(AND($S80&lt;&gt;"",EDATE($D80,Milestones!$AA$141)&gt;=$S80),$V80,IF(AND($R80&lt;&gt;"",EDATE($D80,Milestones!$AA$141)&gt;=$R80),$U80,$T80)))=Milestones!$AB$141),TEXT(EDATE($D80,Milestones!$AA$141),"dd/mm/yy")&amp;" "&amp;Milestones!$AB$141&amp;" "&amp;Milestones!$AC$141&amp;";  ","")&amp;IF(AND(EDATE($D80,Milestones!$AA$142)&lt;=AsOfDate,IF($Q80=0,$W80,IF(AND($S80&lt;&gt;"",EDATE($D80,Milestones!$AA$142)&gt;=$S80),$V80,IF(AND($R80&lt;&gt;"",EDATE($D80,Milestones!$AA$142)&gt;=$R80),$U80,$T80)))=Milestones!$AB$142),TEXT(EDATE($D80,Milestones!$AA$142),"dd/mm/yy")&amp;" "&amp;Milestones!$AB$142&amp;" "&amp;Milestones!$AC$142&amp;";  ","")&amp;IF(AND(EDATE($D80,Milestones!$AA$143)&lt;=AsOfDate,IF($Q80=0,$W80,IF(AND($S80&lt;&gt;"",EDATE($D80,Milestones!$AA$143)&gt;=$S80),$V80,IF(AND($R80&lt;&gt;"",EDATE($D80,Milestones!$AA$143)&gt;=$R80),$U80,$T80)))=Milestones!$AB$143),TEXT(EDATE($D80,Milestones!$AA$143),"dd/mm/yy")&amp;" "&amp;Milestones!$AB$143&amp;" "&amp;Milestones!$AC$143&amp;";  ","")&amp;IF(AND(EDATE($D80,Milestones!$AA$144)&lt;=AsOfDate,IF($Q80=0,$W80,IF(AND($S80&lt;&gt;"",EDATE($D80,Milestones!$AA$144)&gt;=$S80),$V80,IF(AND($R80&lt;&gt;"",EDATE($D80,Milestones!$AA$144)&gt;=$R80),$U80,$T80)))=Milestones!$AB$144),TEXT(EDATE($D80,Milestones!$AA$144),"dd/mm/yy")&amp;" "&amp;Milestones!$AB$144&amp;" "&amp;Milestones!$AC$144&amp;";  ","")&amp;IF(AND(EDATE($D80,Milestones!$AA$145)&lt;=AsOfDate,IF($Q80=0,$W80,IF(AND($S80&lt;&gt;"",EDATE($D80,Milestones!$AA$145)&gt;=$S80),$V80,IF(AND($R80&lt;&gt;"",EDATE($D80,Milestones!$AA$145)&gt;=$R80),$U80,$T80)))=Milestones!$AB$145),TEXT(EDATE($D80,Milestones!$AA$145),"dd/mm/yy")&amp;" "&amp;Milestones!$AB$145&amp;" "&amp;Milestones!$AC$145&amp;";  ","")&amp;IF(AND(EDATE($D80,Milestones!$AA$146)&lt;=AsOfDate,IF($Q80=0,$W80,IF(AND($S80&lt;&gt;"",EDATE($D80,Milestones!$AA$146)&gt;=$S80),$V80,IF(AND($R80&lt;&gt;"",EDATE($D80,Milestones!$AA$146)&gt;=$R80),$U80,$T80)))=Milestones!$AB$146),TEXT(EDATE($D80,Milestones!$AA$146),"dd/mm/yy")&amp;" "&amp;Milestones!$AB$146&amp;" "&amp;Milestones!$AC$146&amp;";  ","")&amp;IF(AND(EDATE($D80,Milestones!$AA$147)&lt;=AsOfDate,IF($Q80=0,$W80,IF(AND($S80&lt;&gt;"",EDATE($D80,Milestones!$AA$147)&gt;=$S80),$V80,IF(AND($R80&lt;&gt;"",EDATE($D80,Milestones!$AA$147)&gt;=$R80),$U80,$T80)))=Milestones!$AB$147),TEXT(EDATE($D80,Milestones!$AA$147),"dd/mm/yy")&amp;" "&amp;Milestones!$AB$147&amp;" "&amp;Milestones!$AC$147&amp;";  ","")&amp;IF(AND(EDATE($D80,Milestones!$AA$148)&lt;=AsOfDate,IF($Q80=0,$W80,IF(AND($S80&lt;&gt;"",EDATE($D80,Milestones!$AA$148)&gt;=$S80),$V80,IF(AND($R80&lt;&gt;"",EDATE($D80,Milestones!$AA$148)&gt;=$R80),$U80,$T80)))=Milestones!$AB$148),TEXT(EDATE($D80,Milestones!$AA$148),"dd/mm/yy")&amp;" "&amp;Milestones!$AB$148&amp;" "&amp;Milestones!$AC$148&amp;";  ","")&amp;IF(AND(EDATE($D80,Milestones!$AA$149)&lt;=AsOfDate,IF($Q80=0,$W80,IF(AND($S80&lt;&gt;"",EDATE($D80,Milestones!$AA$149)&gt;=$S80),$V80,IF(AND($R80&lt;&gt;"",EDATE($D80,Milestones!$AA$149)&gt;=$R80),$U80,$T80)))=Milestones!$AB$149),TEXT(EDATE($D80,Milestones!$AA$149),"dd/mm/yy")&amp;" "&amp;Milestones!$AB$149&amp;" "&amp;Milestones!$AC$149&amp;";  ","")&amp;IF(AND(EDATE($D80,Milestones!$AA$150)&lt;=AsOfDate,IF($Q80=0,$W80,IF(AND($S80&lt;&gt;"",EDATE($D80,Milestones!$AA$150)&gt;=$S80),$V80,IF(AND($R80&lt;&gt;"",EDATE($D80,Milestones!$AA$150)&gt;=$R80),$U80,$T80)))=Milestones!$AB$150),TEXT(EDATE($D80,Milestones!$AA$150),"dd/mm/yy")&amp;" "&amp;Milestones!$AB$150&amp;" "&amp;Milestones!$AC$150&amp;";  ","")&amp;IF(AND(EDATE($D80,Milestones!$AA$151)&lt;=AsOfDate,IF($Q80=0,$W80,IF(AND($S80&lt;&gt;"",EDATE($D80,Milestones!$AA$151)&gt;=$S80),$V80,IF(AND($R80&lt;&gt;"",EDATE($D80,Milestones!$AA$151)&gt;=$R80),$U80,$T80)))=Milestones!$AB$151),TEXT(EDATE($D80,Milestones!$AA$151),"dd/mm/yy")&amp;" "&amp;Milestones!$AB$151&amp;" "&amp;Milestones!$AC$151&amp;";  ","")&amp;IF(AND(EDATE($D80,Milestones!$AA$152)&lt;=AsOfDate,IF($Q80=0,$W80,IF(AND($S80&lt;&gt;"",EDATE($D80,Milestones!$AA$152)&gt;=$S80),$V80,IF(AND($R80&lt;&gt;"",EDATE($D80,Milestones!$AA$152)&gt;=$R80),$U80,$T80)))=Milestones!$AB$152),TEXT(EDATE($D80,Milestones!$AA$152),"dd/mm/yy")&amp;" "&amp;Milestones!$AB$152&amp;" "&amp;Milestones!$AC$152&amp;";  ","")&amp;IF(AND(EDATE($D80,Milestones!$AA$153)&lt;=AsOfDate,IF($Q80=0,$W80,IF(AND($S80&lt;&gt;"",EDATE($D80,Milestones!$AA$153)&gt;=$S80),$V80,IF(AND($R80&lt;&gt;"",EDATE($D80,Milestones!$AA$153)&gt;=$R80),$U80,$T80)))=Milestones!$AB$153),TEXT(EDATE($D80,Milestones!$AA$153),"dd/mm/yy")&amp;" "&amp;Milestones!$AB$153&amp;" "&amp;Milestones!$AC$153&amp;";  ","")&amp;IF(AND(EDATE($D80,Milestones!$AA$154)&lt;=AsOfDate,IF($Q80=0,$W80,IF(AND($S80&lt;&gt;"",EDATE($D80,Milestones!$AA$154)&gt;=$S80),$V80,IF(AND($R80&lt;&gt;"",EDATE($D80,Milestones!$AA$154)&gt;=$R80),$U80,$T80)))=Milestones!$AB$154),TEXT(EDATE($D80,Milestones!$AA$154),"dd/mm/yy")&amp;" "&amp;Milestones!$AB$154&amp;" "&amp;Milestones!$AC$154&amp;";  ","")&amp;IF(AND(EDATE($D80,Milestones!$AA$155)&lt;=AsOfDate,IF($Q80=0,$W80,IF(AND($S80&lt;&gt;"",EDATE($D80,Milestones!$AA$155)&gt;=$S80),$V80,IF(AND($R80&lt;&gt;"",EDATE($D80,Milestones!$AA$155)&gt;=$R80),$U80,$T80)))=Milestones!$AB$155),TEXT(EDATE($D80,Milestones!$AA$155),"dd/mm/yy")&amp;" "&amp;Milestones!$AB$155&amp;" "&amp;Milestones!$AC$155&amp;";  ","")&amp;IF(AND(EDATE($D80,Milestones!$AA$156)&lt;=AsOfDate,IF($Q80=0,$W80,IF(AND($S80&lt;&gt;"",EDATE($D80,Milestones!$AA$156)&gt;=$S80),$V80,IF(AND($R80&lt;&gt;"",EDATE($D80,Milestones!$AA$156)&gt;=$R80),$U80,$T80)))=Milestones!$AB$156),TEXT(EDATE($D80,Milestones!$AA$156),"dd/mm/yy")&amp;" "&amp;Milestones!$AB$156&amp;" "&amp;Milestones!$AC$156&amp;";  ","")&amp;IF(AND(EDATE($D80,Milestones!$AA$157)&lt;=AsOfDate,IF($Q80=0,$W80,IF(AND($S80&lt;&gt;"",EDATE($D80,Milestones!$AA$157)&gt;=$S80),$V80,IF(AND($R80&lt;&gt;"",EDATE($D80,Milestones!$AA$157)&gt;=$R80),$U80,$T80)))=Milestones!$AB$157),TEXT(EDATE($D80,Milestones!$AA$157),"dd/mm/yy")&amp;" "&amp;Milestones!$AB$157&amp;" "&amp;Milestones!$AC$157&amp;";  ","")&amp;IF(AND(EDATE($D80,Milestones!$AA$158)&lt;=AsOfDate,IF($Q80=0,$W80,IF(AND($S80&lt;&gt;"",EDATE($D80,Milestones!$AA$158)&gt;=$S80),$V80,IF(AND($R80&lt;&gt;"",EDATE($D80,Milestones!$AA$158)&gt;=$R80),$U80,$T80)))=Milestones!$AB$158),TEXT(EDATE($D80,Milestones!$AA$158),"dd/mm/yy")&amp;" "&amp;Milestones!$AB$158&amp;" "&amp;Milestones!$AC$158&amp;";  ","")&amp;IF(AND(EDATE($D80,Milestones!$AA$159)&lt;=AsOfDate,IF($Q80=0,$W80,IF(AND($S80&lt;&gt;"",EDATE($D80,Milestones!$AA$159)&gt;=$S80),$V80,IF(AND($R80&lt;&gt;"",EDATE($D80,Milestones!$AA$159)&gt;=$R80),$U80,$T80)))=Milestones!$AB$159),TEXT(EDATE($D80,Milestones!$AA$159),"dd/mm/yy")&amp;" "&amp;Milestones!$AB$159&amp;" "&amp;Milestones!$AC$159&amp;";  ",""))</f>
        <v/>
      </c>
      <c r="O80" s="0" t="str">
        <f aca="false">IF(OR($A80="",$D80=""),"",IF(AND(EDATE($D80,Milestones!$AA$160)&lt;=AsOfDate,IF($Q80=0,$W80,IF(AND($S80&lt;&gt;"",EDATE($D80,Milestones!$AA$160)&gt;=$S80),$V80,IF(AND($R80&lt;&gt;"",EDATE($D80,Milestones!$AA$160)&gt;=$R80),$U80,$T80)))=Milestones!$AB$160),TEXT(EDATE($D80,Milestones!$AA$160),"dd/mm/yy")&amp;" "&amp;Milestones!$AB$160&amp;" "&amp;Milestones!$AC$160&amp;";  ","")&amp;IF(AND(EDATE($D80,Milestones!$AA$161)&lt;=AsOfDate,IF($Q80=0,$W80,IF(AND($S80&lt;&gt;"",EDATE($D80,Milestones!$AA$161)&gt;=$S80),$V80,IF(AND($R80&lt;&gt;"",EDATE($D80,Milestones!$AA$161)&gt;=$R80),$U80,$T80)))=Milestones!$AB$161),TEXT(EDATE($D80,Milestones!$AA$161),"dd/mm/yy")&amp;" "&amp;Milestones!$AB$161&amp;" "&amp;Milestones!$AC$161&amp;";  ","")&amp;IF(AND(EDATE($D80,Milestones!$AA$162)&lt;=AsOfDate,IF($Q80=0,$W80,IF(AND($S80&lt;&gt;"",EDATE($D80,Milestones!$AA$162)&gt;=$S80),$V80,IF(AND($R80&lt;&gt;"",EDATE($D80,Milestones!$AA$162)&gt;=$R80),$U80,$T80)))=Milestones!$AB$162),TEXT(EDATE($D80,Milestones!$AA$162),"dd/mm/yy")&amp;" "&amp;Milestones!$AB$162&amp;" "&amp;Milestones!$AC$162&amp;";  ","")&amp;IF(AND(EDATE($D80,Milestones!$AA$163)&lt;=AsOfDate,IF($Q80=0,$W80,IF(AND($S80&lt;&gt;"",EDATE($D80,Milestones!$AA$163)&gt;=$S80),$V80,IF(AND($R80&lt;&gt;"",EDATE($D80,Milestones!$AA$163)&gt;=$R80),$U80,$T80)))=Milestones!$AB$163),TEXT(EDATE($D80,Milestones!$AA$163),"dd/mm/yy")&amp;" "&amp;Milestones!$AB$163&amp;" "&amp;Milestones!$AC$163&amp;";  ","")&amp;IF(AND(EDATE($D80,Milestones!$AA$164)&lt;=AsOfDate,IF($Q80=0,$W80,IF(AND($S80&lt;&gt;"",EDATE($D80,Milestones!$AA$164)&gt;=$S80),$V80,IF(AND($R80&lt;&gt;"",EDATE($D80,Milestones!$AA$164)&gt;=$R80),$U80,$T80)))=Milestones!$AB$164),TEXT(EDATE($D80,Milestones!$AA$164),"dd/mm/yy")&amp;" "&amp;Milestones!$AB$164&amp;" "&amp;Milestones!$AC$164&amp;";  ","")&amp;IF(AND(EDATE($D80,Milestones!$AA$165)&lt;=AsOfDate,IF($Q80=0,$W80,IF(AND($S80&lt;&gt;"",EDATE($D80,Milestones!$AA$165)&gt;=$S80),$V80,IF(AND($R80&lt;&gt;"",EDATE($D80,Milestones!$AA$165)&gt;=$R80),$U80,$T80)))=Milestones!$AB$165),TEXT(EDATE($D80,Milestones!$AA$165),"dd/mm/yy")&amp;" "&amp;Milestones!$AB$165&amp;" "&amp;Milestones!$AC$165&amp;";  ","")&amp;IF(AND(EDATE($D80,Milestones!$AA$166)&lt;=AsOfDate,IF($Q80=0,$W80,IF(AND($S80&lt;&gt;"",EDATE($D80,Milestones!$AA$166)&gt;=$S80),$V80,IF(AND($R80&lt;&gt;"",EDATE($D80,Milestones!$AA$166)&gt;=$R80),$U80,$T80)))=Milestones!$AB$166),TEXT(EDATE($D80,Milestones!$AA$166),"dd/mm/yy")&amp;" "&amp;Milestones!$AB$166&amp;" "&amp;Milestones!$AC$166&amp;";  ","")&amp;IF(AND(EDATE($D80,Milestones!$AA$167)&lt;=AsOfDate,IF($Q80=0,$W80,IF(AND($S80&lt;&gt;"",EDATE($D80,Milestones!$AA$167)&gt;=$S80),$V80,IF(AND($R80&lt;&gt;"",EDATE($D80,Milestones!$AA$167)&gt;=$R80),$U80,$T80)))=Milestones!$AB$167),TEXT(EDATE($D80,Milestones!$AA$167),"dd/mm/yy")&amp;" "&amp;Milestones!$AB$167&amp;" "&amp;Milestones!$AC$167&amp;";  ","")&amp;IF(AND(EDATE($D80,Milestones!$AA$168)&lt;=AsOfDate,IF($Q80=0,$W80,IF(AND($S80&lt;&gt;"",EDATE($D80,Milestones!$AA$168)&gt;=$S80),$V80,IF(AND($R80&lt;&gt;"",EDATE($D80,Milestones!$AA$168)&gt;=$R80),$U80,$T80)))=Milestones!$AB$168),TEXT(EDATE($D80,Milestones!$AA$168),"dd/mm/yy")&amp;" "&amp;Milestones!$AB$168&amp;" "&amp;Milestones!$AC$168&amp;";  ","")&amp;IF(AND(EDATE($D80,Milestones!$AA$169)&lt;=AsOfDate,IF($Q80=0,$W80,IF(AND($S80&lt;&gt;"",EDATE($D80,Milestones!$AA$169)&gt;=$S80),$V80,IF(AND($R80&lt;&gt;"",EDATE($D80,Milestones!$AA$169)&gt;=$R80),$U80,$T80)))=Milestones!$AB$169),TEXT(EDATE($D80,Milestones!$AA$169),"dd/mm/yy")&amp;" "&amp;Milestones!$AB$169&amp;" "&amp;Milestones!$AC$169&amp;";  ","")&amp;IF(AND(EDATE($D80,Milestones!$AA$170)&lt;=AsOfDate,IF($Q80=0,$W80,IF(AND($S80&lt;&gt;"",EDATE($D80,Milestones!$AA$170)&gt;=$S80),$V80,IF(AND($R80&lt;&gt;"",EDATE($D80,Milestones!$AA$170)&gt;=$R80),$U80,$T80)))=Milestones!$AB$170),TEXT(EDATE($D80,Milestones!$AA$170),"dd/mm/yy")&amp;" "&amp;Milestones!$AB$170&amp;" "&amp;Milestones!$AC$170&amp;";  ","")&amp;IF(AND(EDATE($D80,Milestones!$AA$171)&lt;=AsOfDate,IF($Q80=0,$W80,IF(AND($S80&lt;&gt;"",EDATE($D80,Milestones!$AA$171)&gt;=$S80),$V80,IF(AND($R80&lt;&gt;"",EDATE($D80,Milestones!$AA$171)&gt;=$R80),$U80,$T80)))=Milestones!$AB$171),TEXT(EDATE($D80,Milestones!$AA$171),"dd/mm/yy")&amp;" "&amp;Milestones!$AB$171&amp;" "&amp;Milestones!$AC$171&amp;";  ","")&amp;IF(AND(EDATE($D80,Milestones!$AA$172)&lt;=AsOfDate,IF($Q80=0,$W80,IF(AND($S80&lt;&gt;"",EDATE($D80,Milestones!$AA$172)&gt;=$S80),$V80,IF(AND($R80&lt;&gt;"",EDATE($D80,Milestones!$AA$172)&gt;=$R80),$U80,$T80)))=Milestones!$AB$172),TEXT(EDATE($D80,Milestones!$AA$172),"dd/mm/yy")&amp;" "&amp;Milestones!$AB$172&amp;" "&amp;Milestones!$AC$172&amp;";  ","")&amp;IF(AND(EDATE($D80,Milestones!$AA$173)&lt;=AsOfDate,IF($Q80=0,$W80,IF(AND($S80&lt;&gt;"",EDATE($D80,Milestones!$AA$173)&gt;=$S80),$V80,IF(AND($R80&lt;&gt;"",EDATE($D80,Milestones!$AA$173)&gt;=$R80),$U80,$T80)))=Milestones!$AB$173),TEXT(EDATE($D80,Milestones!$AA$173),"dd/mm/yy")&amp;" "&amp;Milestones!$AB$173&amp;" "&amp;Milestones!$AC$173&amp;";  ","")&amp;IF(AND(EDATE($D80,Milestones!$AA$174)&lt;=AsOfDate,IF($Q80=0,$W80,IF(AND($S80&lt;&gt;"",EDATE($D80,Milestones!$AA$174)&gt;=$S80),$V80,IF(AND($R80&lt;&gt;"",EDATE($D80,Milestones!$AA$174)&gt;=$R80),$U80,$T80)))=Milestones!$AB$174),TEXT(EDATE($D80,Milestones!$AA$174),"dd/mm/yy")&amp;" "&amp;Milestones!$AB$174&amp;" "&amp;Milestones!$AC$174&amp;";  ","")&amp;IF(AND(EDATE($D80,Milestones!$AA$175)&lt;=AsOfDate,IF($Q80=0,$W80,IF(AND($S80&lt;&gt;"",EDATE($D80,Milestones!$AA$175)&gt;=$S80),$V80,IF(AND($R80&lt;&gt;"",EDATE($D80,Milestones!$AA$175)&gt;=$R80),$U80,$T80)))=Milestones!$AB$175),TEXT(EDATE($D80,Milestones!$AA$175),"dd/mm/yy")&amp;" "&amp;Milestones!$AB$175&amp;" "&amp;Milestones!$AC$175&amp;";  ","")&amp;IF(AND(EDATE($D80,Milestones!$AA$176)&lt;=AsOfDate,IF($Q80=0,$W80,IF(AND($S80&lt;&gt;"",EDATE($D80,Milestones!$AA$176)&gt;=$S80),$V80,IF(AND($R80&lt;&gt;"",EDATE($D80,Milestones!$AA$176)&gt;=$R80),$U80,$T80)))=Milestones!$AB$176),TEXT(EDATE($D80,Milestones!$AA$176),"dd/mm/yy")&amp;" "&amp;Milestones!$AB$176&amp;" "&amp;Milestones!$AC$176&amp;";  ","")&amp;IF(AND(EDATE($D80,Milestones!$AA$177)&lt;=AsOfDate,IF($Q80=0,$W80,IF(AND($S80&lt;&gt;"",EDATE($D80,Milestones!$AA$177)&gt;=$S80),$V80,IF(AND($R80&lt;&gt;"",EDATE($D80,Milestones!$AA$177)&gt;=$R80),$U80,$T80)))=Milestones!$AB$177),TEXT(EDATE($D80,Milestones!$AA$177),"dd/mm/yy")&amp;" "&amp;Milestones!$AB$177&amp;" "&amp;Milestones!$AC$177&amp;";  ","")&amp;IF(AND(EDATE($D80,Milestones!$AA$178)&lt;=AsOfDate,IF($Q80=0,$W80,IF(AND($S80&lt;&gt;"",EDATE($D80,Milestones!$AA$178)&gt;=$S80),$V80,IF(AND($R80&lt;&gt;"",EDATE($D80,Milestones!$AA$178)&gt;=$R80),$U80,$T80)))=Milestones!$AB$178),TEXT(EDATE($D80,Milestones!$AA$178),"dd/mm/yy")&amp;" "&amp;Milestones!$AB$178&amp;" "&amp;Milestones!$AC$178&amp;";  ","")&amp;IF(AND(EDATE($D80,Milestones!$AA$179)&lt;=AsOfDate,IF($Q80=0,$W80,IF(AND($S80&lt;&gt;"",EDATE($D80,Milestones!$AA$179)&gt;=$S80),$V80,IF(AND($R80&lt;&gt;"",EDATE($D80,Milestones!$AA$179)&gt;=$R80),$U80,$T80)))=Milestones!$AB$179),TEXT(EDATE($D80,Milestones!$AA$179),"dd/mm/yy")&amp;" "&amp;Milestones!$AB$179&amp;" "&amp;Milestones!$AC$179&amp;";  ",""))</f>
        <v/>
      </c>
      <c r="P80" s="0" t="str">
        <f aca="false">IF(OR($A80="",$D80=""),"",IF(AND(EDATE($D80,Milestones!$AA$180)&lt;=AsOfDate,IF($Q80=0,$W80,IF(AND($S80&lt;&gt;"",EDATE($D80,Milestones!$AA$180)&gt;=$S80),$V80,IF(AND($R80&lt;&gt;"",EDATE($D80,Milestones!$AA$180)&gt;=$R80),$U80,$T80)))=Milestones!$AB$180),TEXT(EDATE($D80,Milestones!$AA$180),"dd/mm/yy")&amp;" "&amp;Milestones!$AB$180&amp;" "&amp;Milestones!$AC$180&amp;";  ","")&amp;IF(AND(EDATE($D80,Milestones!$AA$181)&lt;=AsOfDate,IF($Q80=0,$W80,IF(AND($S80&lt;&gt;"",EDATE($D80,Milestones!$AA$181)&gt;=$S80),$V80,IF(AND($R80&lt;&gt;"",EDATE($D80,Milestones!$AA$181)&gt;=$R80),$U80,$T80)))=Milestones!$AB$181),TEXT(EDATE($D80,Milestones!$AA$181),"dd/mm/yy")&amp;" "&amp;Milestones!$AB$181&amp;" "&amp;Milestones!$AC$181&amp;";  ","")&amp;IF(AND(EDATE($D80,Milestones!$AA$182)&lt;=AsOfDate,IF($Q80=0,$W80,IF(AND($S80&lt;&gt;"",EDATE($D80,Milestones!$AA$182)&gt;=$S80),$V80,IF(AND($R80&lt;&gt;"",EDATE($D80,Milestones!$AA$182)&gt;=$R80),$U80,$T80)))=Milestones!$AB$182),TEXT(EDATE($D80,Milestones!$AA$182),"dd/mm/yy")&amp;" "&amp;Milestones!$AB$182&amp;" "&amp;Milestones!$AC$182&amp;";  ","")&amp;IF(AND(EDATE($D80,Milestones!$AA$183)&lt;=AsOfDate,IF($Q80=0,$W80,IF(AND($S80&lt;&gt;"",EDATE($D80,Milestones!$AA$183)&gt;=$S80),$V80,IF(AND($R80&lt;&gt;"",EDATE($D80,Milestones!$AA$183)&gt;=$R80),$U80,$T80)))=Milestones!$AB$183),TEXT(EDATE($D80,Milestones!$AA$183),"dd/mm/yy")&amp;" "&amp;Milestones!$AB$183&amp;" "&amp;Milestones!$AC$183&amp;";  ","")&amp;IF(AND(EDATE($D80,Milestones!$AA$184)&lt;=AsOfDate,IF($Q80=0,$W80,IF(AND($S80&lt;&gt;"",EDATE($D80,Milestones!$AA$184)&gt;=$S80),$V80,IF(AND($R80&lt;&gt;"",EDATE($D80,Milestones!$AA$184)&gt;=$R80),$U80,$T80)))=Milestones!$AB$184),TEXT(EDATE($D80,Milestones!$AA$184),"dd/mm/yy")&amp;" "&amp;Milestones!$AB$184&amp;" "&amp;Milestones!$AC$184&amp;";  ","")&amp;IF(AND(EDATE($D80,Milestones!$AA$185)&lt;=AsOfDate,IF($Q80=0,$W80,IF(AND($S80&lt;&gt;"",EDATE($D80,Milestones!$AA$185)&gt;=$S80),$V80,IF(AND($R80&lt;&gt;"",EDATE($D80,Milestones!$AA$185)&gt;=$R80),$U80,$T80)))=Milestones!$AB$185),TEXT(EDATE($D80,Milestones!$AA$185),"dd/mm/yy")&amp;" "&amp;Milestones!$AB$185&amp;" "&amp;Milestones!$AC$185&amp;";  ","")&amp;IF(AND(EDATE($D80,Milestones!$AA$186)&lt;=AsOfDate,IF($Q80=0,$W80,IF(AND($S80&lt;&gt;"",EDATE($D80,Milestones!$AA$186)&gt;=$S80),$V80,IF(AND($R80&lt;&gt;"",EDATE($D80,Milestones!$AA$186)&gt;=$R80),$U80,$T80)))=Milestones!$AB$186),TEXT(EDATE($D80,Milestones!$AA$186),"dd/mm/yy")&amp;" "&amp;Milestones!$AB$186&amp;" "&amp;Milestones!$AC$186&amp;";  ","")&amp;IF(AND(EDATE($D80,Milestones!$AA$187)&lt;=AsOfDate,IF($Q80=0,$W80,IF(AND($S80&lt;&gt;"",EDATE($D80,Milestones!$AA$187)&gt;=$S80),$V80,IF(AND($R80&lt;&gt;"",EDATE($D80,Milestones!$AA$187)&gt;=$R80),$U80,$T80)))=Milestones!$AB$187),TEXT(EDATE($D80,Milestones!$AA$187),"dd/mm/yy")&amp;" "&amp;Milestones!$AB$187&amp;" "&amp;Milestones!$AC$187&amp;";  ","")&amp;IF(AND(EDATE($D80,Milestones!$AA$188)&lt;=AsOfDate,IF($Q80=0,$W80,IF(AND($S80&lt;&gt;"",EDATE($D80,Milestones!$AA$188)&gt;=$S80),$V80,IF(AND($R80&lt;&gt;"",EDATE($D80,Milestones!$AA$188)&gt;=$R80),$U80,$T80)))=Milestones!$AB$188),TEXT(EDATE($D80,Milestones!$AA$188),"dd/mm/yy")&amp;" "&amp;Milestones!$AB$188&amp;" "&amp;Milestones!$AC$188&amp;";  ","")&amp;IF(AND(EDATE($D80,Milestones!$AA$189)&lt;=AsOfDate,IF($Q80=0,$W80,IF(AND($S80&lt;&gt;"",EDATE($D80,Milestones!$AA$189)&gt;=$S80),$V80,IF(AND($R80&lt;&gt;"",EDATE($D80,Milestones!$AA$189)&gt;=$R80),$U80,$T80)))=Milestones!$AB$189),TEXT(EDATE($D80,Milestones!$AA$189),"dd/mm/yy")&amp;" "&amp;Milestones!$AB$189&amp;" "&amp;Milestones!$AC$189&amp;";  ","")&amp;IF(AND(EDATE($D80,Milestones!$AA$190)&lt;=AsOfDate,IF($Q80=0,$W80,IF(AND($S80&lt;&gt;"",EDATE($D80,Milestones!$AA$190)&gt;=$S80),$V80,IF(AND($R80&lt;&gt;"",EDATE($D80,Milestones!$AA$190)&gt;=$R80),$U80,$T80)))=Milestones!$AB$190),TEXT(EDATE($D80,Milestones!$AA$190),"dd/mm/yy")&amp;" "&amp;Milestones!$AB$190&amp;" "&amp;Milestones!$AC$190&amp;";  ","")&amp;IF(AND(EDATE($D80,Milestones!$AA$191)&lt;=AsOfDate,IF($Q80=0,$W80,IF(AND($S80&lt;&gt;"",EDATE($D80,Milestones!$AA$191)&gt;=$S80),$V80,IF(AND($R80&lt;&gt;"",EDATE($D80,Milestones!$AA$191)&gt;=$R80),$U80,$T80)))=Milestones!$AB$191),TEXT(EDATE($D80,Milestones!$AA$191),"dd/mm/yy")&amp;" "&amp;Milestones!$AB$191&amp;" "&amp;Milestones!$AC$191&amp;";  ","")&amp;IF(AND(EDATE($D80,Milestones!$AA$192)&lt;=AsOfDate,IF($Q80=0,$W80,IF(AND($S80&lt;&gt;"",EDATE($D80,Milestones!$AA$192)&gt;=$S80),$V80,IF(AND($R80&lt;&gt;"",EDATE($D80,Milestones!$AA$192)&gt;=$R80),$U80,$T80)))=Milestones!$AB$192),TEXT(EDATE($D80,Milestones!$AA$192),"dd/mm/yy")&amp;" "&amp;Milestones!$AB$192&amp;" "&amp;Milestones!$AC$192&amp;";  ","")&amp;IF(AND(EDATE($D80,Milestones!$AA$193)&lt;=AsOfDate,IF($Q80=0,$W80,IF(AND($S80&lt;&gt;"",EDATE($D80,Milestones!$AA$193)&gt;=$S80),$V80,IF(AND($R80&lt;&gt;"",EDATE($D80,Milestones!$AA$193)&gt;=$R80),$U80,$T80)))=Milestones!$AB$193),TEXT(EDATE($D80,Milestones!$AA$193),"dd/mm/yy")&amp;" "&amp;Milestones!$AB$193&amp;" "&amp;Milestones!$AC$193&amp;";  ","")&amp;IF(AND(EDATE($D80,Milestones!$AA$194)&lt;=AsOfDate,IF($Q80=0,$W80,IF(AND($S80&lt;&gt;"",EDATE($D80,Milestones!$AA$194)&gt;=$S80),$V80,IF(AND($R80&lt;&gt;"",EDATE($D80,Milestones!$AA$194)&gt;=$R80),$U80,$T80)))=Milestones!$AB$194),TEXT(EDATE($D80,Milestones!$AA$194),"dd/mm/yy")&amp;" "&amp;Milestones!$AB$194&amp;" "&amp;Milestones!$AC$194&amp;";  ","")&amp;IF(AND(EDATE($D80,Milestones!$AA$195)&lt;=AsOfDate,IF($Q80=0,$W80,IF(AND($S80&lt;&gt;"",EDATE($D80,Milestones!$AA$195)&gt;=$S80),$V80,IF(AND($R80&lt;&gt;"",EDATE($D80,Milestones!$AA$195)&gt;=$R80),$U80,$T80)))=Milestones!$AB$195),TEXT(EDATE($D80,Milestones!$AA$195),"dd/mm/yy")&amp;" "&amp;Milestones!$AB$195&amp;" "&amp;Milestones!$AC$195&amp;";  ","")&amp;IF(AND(EDATE($D80,Milestones!$AA$196)&lt;=AsOfDate,IF($Q80=0,$W80,IF(AND($S80&lt;&gt;"",EDATE($D80,Milestones!$AA$196)&gt;=$S80),$V80,IF(AND($R80&lt;&gt;"",EDATE($D80,Milestones!$AA$196)&gt;=$R80),$U80,$T80)))=Milestones!$AB$196),TEXT(EDATE($D80,Milestones!$AA$196),"dd/mm/yy")&amp;" "&amp;Milestones!$AB$196&amp;" "&amp;Milestones!$AC$196&amp;";  ","")&amp;IF(AND(EDATE($D80,Milestones!$AA$197)&lt;=AsOfDate,IF($Q80=0,$W80,IF(AND($S80&lt;&gt;"",EDATE($D80,Milestones!$AA$197)&gt;=$S80),$V80,IF(AND($R80&lt;&gt;"",EDATE($D80,Milestones!$AA$197)&gt;=$R80),$U80,$T80)))=Milestones!$AB$197),TEXT(EDATE($D80,Milestones!$AA$197),"dd/mm/yy")&amp;" "&amp;Milestones!$AB$197&amp;" "&amp;Milestones!$AC$197&amp;";  ","")&amp;IF(AND(EDATE($D80,Milestones!$AA$198)&lt;=AsOfDate,IF($Q80=0,$W80,IF(AND($S80&lt;&gt;"",EDATE($D80,Milestones!$AA$198)&gt;=$S80),$V80,IF(AND($R80&lt;&gt;"",EDATE($D80,Milestones!$AA$198)&gt;=$R80),$U80,$T80)))=Milestones!$AB$198),TEXT(EDATE($D80,Milestones!$AA$198),"dd/mm/yy")&amp;" "&amp;Milestones!$AB$198&amp;" "&amp;Milestones!$AC$198&amp;";  ","")&amp;IF(AND(EDATE($D80,Milestones!$AA$199)&lt;=AsOfDate,IF($Q80=0,$W80,IF(AND($S80&lt;&gt;"",EDATE($D80,Milestones!$AA$199)&gt;=$S80),$V80,IF(AND($R80&lt;&gt;"",EDATE($D80,Milestones!$AA$199)&gt;=$R80),$U80,$T80)))=Milestones!$AB$199),TEXT(EDATE($D80,Milestones!$AA$199),"dd/mm/yy")&amp;" "&amp;Milestones!$AB$199&amp;" "&amp;Milestones!$AC$199&amp;";  ",""))</f>
        <v/>
      </c>
      <c r="Q80" s="0" t="str">
        <f aca="false">IF(Staff!$A80="","",Staff!$AG80)</f>
        <v/>
      </c>
      <c r="R80" s="0" t="str">
        <f aca="false">IF(Staff!$A80="","",Staff!$AI80)</f>
        <v/>
      </c>
      <c r="S80" s="0" t="str">
        <f aca="false">IF(Staff!$A80="","",Staff!$AJ80)</f>
        <v/>
      </c>
      <c r="T80" s="0" t="str">
        <f aca="false">IF(Staff!$A80="","",Staff!$AN80)</f>
        <v/>
      </c>
      <c r="U80" s="0" t="str">
        <f aca="false">IF(Staff!$A80="","",Staff!$AO80)</f>
        <v/>
      </c>
      <c r="V80" s="0" t="str">
        <f aca="false">IF(Staff!$A80="","",Staff!$AP80)</f>
        <v/>
      </c>
      <c r="W80" s="0" t="str">
        <f aca="false">IF(Staff!$A80="","",Staff!$AQ80)</f>
        <v/>
      </c>
    </row>
    <row r="81" customFormat="false" ht="15" hidden="false" customHeight="false" outlineLevel="0" collapsed="false">
      <c r="A81" s="13" t="str">
        <f aca="false">IF(Staff!$A81="","",Staff!$A81)</f>
        <v/>
      </c>
      <c r="B81" s="13" t="str">
        <f aca="false">IF(Staff!$A81="","",Staff!$B81)</f>
        <v/>
      </c>
      <c r="C81" s="13" t="str">
        <f aca="false">IF(Staff!$A81="","",Staff!$C81)</f>
        <v/>
      </c>
      <c r="D81" s="11" t="str">
        <f aca="false">IF(Staff!$A81="","",Staff!$AF81)</f>
        <v/>
      </c>
      <c r="E81" s="13" t="str">
        <f aca="false">IF(Staff!$A81="","",Staff!$O81)</f>
        <v/>
      </c>
      <c r="F81" s="13" t="str">
        <f aca="false">IF(E81="","",E81*HoursPerDay)</f>
        <v/>
      </c>
      <c r="G81" s="26" t="str">
        <f aca="false">IF($A81="","",H81&amp;I81&amp;J81&amp;K81&amp;L81&amp;M81&amp;N81&amp;O81&amp;P81)</f>
        <v/>
      </c>
      <c r="H81" s="0" t="str">
        <f aca="false">IF(OR($A81="",$D81=""),"",IF(AND(EDATE($D81,Milestones!$AA$20)&lt;=AsOfDate,IF($Q81=0,$W81,IF(AND($S81&lt;&gt;"",EDATE($D81,Milestones!$AA$20)&gt;=$S81),$V81,IF(AND($R81&lt;&gt;"",EDATE($D81,Milestones!$AA$20)&gt;=$R81),$U81,$T81)))=Milestones!$AB$20),TEXT(EDATE($D81,Milestones!$AA$20),"dd/mm/yy")&amp;" "&amp;Milestones!$AB$20&amp;" "&amp;Milestones!$AC$20&amp;";  ","")&amp;IF(AND(EDATE($D81,Milestones!$AA$21)&lt;=AsOfDate,IF($Q81=0,$W81,IF(AND($S81&lt;&gt;"",EDATE($D81,Milestones!$AA$21)&gt;=$S81),$V81,IF(AND($R81&lt;&gt;"",EDATE($D81,Milestones!$AA$21)&gt;=$R81),$U81,$T81)))=Milestones!$AB$21),TEXT(EDATE($D81,Milestones!$AA$21),"dd/mm/yy")&amp;" "&amp;Milestones!$AB$21&amp;" "&amp;Milestones!$AC$21&amp;";  ","")&amp;IF(AND(EDATE($D81,Milestones!$AA$22)&lt;=AsOfDate,IF($Q81=0,$W81,IF(AND($S81&lt;&gt;"",EDATE($D81,Milestones!$AA$22)&gt;=$S81),$V81,IF(AND($R81&lt;&gt;"",EDATE($D81,Milestones!$AA$22)&gt;=$R81),$U81,$T81)))=Milestones!$AB$22),TEXT(EDATE($D81,Milestones!$AA$22),"dd/mm/yy")&amp;" "&amp;Milestones!$AB$22&amp;" "&amp;Milestones!$AC$22&amp;";  ","")&amp;IF(AND(EDATE($D81,Milestones!$AA$23)&lt;=AsOfDate,IF($Q81=0,$W81,IF(AND($S81&lt;&gt;"",EDATE($D81,Milestones!$AA$23)&gt;=$S81),$V81,IF(AND($R81&lt;&gt;"",EDATE($D81,Milestones!$AA$23)&gt;=$R81),$U81,$T81)))=Milestones!$AB$23),TEXT(EDATE($D81,Milestones!$AA$23),"dd/mm/yy")&amp;" "&amp;Milestones!$AB$23&amp;" "&amp;Milestones!$AC$23&amp;";  ","")&amp;IF(AND(EDATE($D81,Milestones!$AA$24)&lt;=AsOfDate,IF($Q81=0,$W81,IF(AND($S81&lt;&gt;"",EDATE($D81,Milestones!$AA$24)&gt;=$S81),$V81,IF(AND($R81&lt;&gt;"",EDATE($D81,Milestones!$AA$24)&gt;=$R81),$U81,$T81)))=Milestones!$AB$24),TEXT(EDATE($D81,Milestones!$AA$24),"dd/mm/yy")&amp;" "&amp;Milestones!$AB$24&amp;" "&amp;Milestones!$AC$24&amp;";  ","")&amp;IF(AND(EDATE($D81,Milestones!$AA$25)&lt;=AsOfDate,IF($Q81=0,$W81,IF(AND($S81&lt;&gt;"",EDATE($D81,Milestones!$AA$25)&gt;=$S81),$V81,IF(AND($R81&lt;&gt;"",EDATE($D81,Milestones!$AA$25)&gt;=$R81),$U81,$T81)))=Milestones!$AB$25),TEXT(EDATE($D81,Milestones!$AA$25),"dd/mm/yy")&amp;" "&amp;Milestones!$AB$25&amp;" "&amp;Milestones!$AC$25&amp;";  ","")&amp;IF(AND(EDATE($D81,Milestones!$AA$26)&lt;=AsOfDate,IF($Q81=0,$W81,IF(AND($S81&lt;&gt;"",EDATE($D81,Milestones!$AA$26)&gt;=$S81),$V81,IF(AND($R81&lt;&gt;"",EDATE($D81,Milestones!$AA$26)&gt;=$R81),$U81,$T81)))=Milestones!$AB$26),TEXT(EDATE($D81,Milestones!$AA$26),"dd/mm/yy")&amp;" "&amp;Milestones!$AB$26&amp;" "&amp;Milestones!$AC$26&amp;";  ","")&amp;IF(AND(EDATE($D81,Milestones!$AA$27)&lt;=AsOfDate,IF($Q81=0,$W81,IF(AND($S81&lt;&gt;"",EDATE($D81,Milestones!$AA$27)&gt;=$S81),$V81,IF(AND($R81&lt;&gt;"",EDATE($D81,Milestones!$AA$27)&gt;=$R81),$U81,$T81)))=Milestones!$AB$27),TEXT(EDATE($D81,Milestones!$AA$27),"dd/mm/yy")&amp;" "&amp;Milestones!$AB$27&amp;" "&amp;Milestones!$AC$27&amp;";  ","")&amp;IF(AND(EDATE($D81,Milestones!$AA$28)&lt;=AsOfDate,IF($Q81=0,$W81,IF(AND($S81&lt;&gt;"",EDATE($D81,Milestones!$AA$28)&gt;=$S81),$V81,IF(AND($R81&lt;&gt;"",EDATE($D81,Milestones!$AA$28)&gt;=$R81),$U81,$T81)))=Milestones!$AB$28),TEXT(EDATE($D81,Milestones!$AA$28),"dd/mm/yy")&amp;" "&amp;Milestones!$AB$28&amp;" "&amp;Milestones!$AC$28&amp;";  ","")&amp;IF(AND(EDATE($D81,Milestones!$AA$29)&lt;=AsOfDate,IF($Q81=0,$W81,IF(AND($S81&lt;&gt;"",EDATE($D81,Milestones!$AA$29)&gt;=$S81),$V81,IF(AND($R81&lt;&gt;"",EDATE($D81,Milestones!$AA$29)&gt;=$R81),$U81,$T81)))=Milestones!$AB$29),TEXT(EDATE($D81,Milestones!$AA$29),"dd/mm/yy")&amp;" "&amp;Milestones!$AB$29&amp;" "&amp;Milestones!$AC$29&amp;";  ","")&amp;IF(AND(EDATE($D81,Milestones!$AA$30)&lt;=AsOfDate,IF($Q81=0,$W81,IF(AND($S81&lt;&gt;"",EDATE($D81,Milestones!$AA$30)&gt;=$S81),$V81,IF(AND($R81&lt;&gt;"",EDATE($D81,Milestones!$AA$30)&gt;=$R81),$U81,$T81)))=Milestones!$AB$30),TEXT(EDATE($D81,Milestones!$AA$30),"dd/mm/yy")&amp;" "&amp;Milestones!$AB$30&amp;" "&amp;Milestones!$AC$30&amp;";  ","")&amp;IF(AND(EDATE($D81,Milestones!$AA$31)&lt;=AsOfDate,IF($Q81=0,$W81,IF(AND($S81&lt;&gt;"",EDATE($D81,Milestones!$AA$31)&gt;=$S81),$V81,IF(AND($R81&lt;&gt;"",EDATE($D81,Milestones!$AA$31)&gt;=$R81),$U81,$T81)))=Milestones!$AB$31),TEXT(EDATE($D81,Milestones!$AA$31),"dd/mm/yy")&amp;" "&amp;Milestones!$AB$31&amp;" "&amp;Milestones!$AC$31&amp;";  ","")&amp;IF(AND(EDATE($D81,Milestones!$AA$32)&lt;=AsOfDate,IF($Q81=0,$W81,IF(AND($S81&lt;&gt;"",EDATE($D81,Milestones!$AA$32)&gt;=$S81),$V81,IF(AND($R81&lt;&gt;"",EDATE($D81,Milestones!$AA$32)&gt;=$R81),$U81,$T81)))=Milestones!$AB$32),TEXT(EDATE($D81,Milestones!$AA$32),"dd/mm/yy")&amp;" "&amp;Milestones!$AB$32&amp;" "&amp;Milestones!$AC$32&amp;";  ","")&amp;IF(AND(EDATE($D81,Milestones!$AA$33)&lt;=AsOfDate,IF($Q81=0,$W81,IF(AND($S81&lt;&gt;"",EDATE($D81,Milestones!$AA$33)&gt;=$S81),$V81,IF(AND($R81&lt;&gt;"",EDATE($D81,Milestones!$AA$33)&gt;=$R81),$U81,$T81)))=Milestones!$AB$33),TEXT(EDATE($D81,Milestones!$AA$33),"dd/mm/yy")&amp;" "&amp;Milestones!$AB$33&amp;" "&amp;Milestones!$AC$33&amp;";  ","")&amp;IF(AND(EDATE($D81,Milestones!$AA$34)&lt;=AsOfDate,IF($Q81=0,$W81,IF(AND($S81&lt;&gt;"",EDATE($D81,Milestones!$AA$34)&gt;=$S81),$V81,IF(AND($R81&lt;&gt;"",EDATE($D81,Milestones!$AA$34)&gt;=$R81),$U81,$T81)))=Milestones!$AB$34),TEXT(EDATE($D81,Milestones!$AA$34),"dd/mm/yy")&amp;" "&amp;Milestones!$AB$34&amp;" "&amp;Milestones!$AC$34&amp;";  ","")&amp;IF(AND(EDATE($D81,Milestones!$AA$35)&lt;=AsOfDate,IF($Q81=0,$W81,IF(AND($S81&lt;&gt;"",EDATE($D81,Milestones!$AA$35)&gt;=$S81),$V81,IF(AND($R81&lt;&gt;"",EDATE($D81,Milestones!$AA$35)&gt;=$R81),$U81,$T81)))=Milestones!$AB$35),TEXT(EDATE($D81,Milestones!$AA$35),"dd/mm/yy")&amp;" "&amp;Milestones!$AB$35&amp;" "&amp;Milestones!$AC$35&amp;";  ","")&amp;IF(AND(EDATE($D81,Milestones!$AA$36)&lt;=AsOfDate,IF($Q81=0,$W81,IF(AND($S81&lt;&gt;"",EDATE($D81,Milestones!$AA$36)&gt;=$S81),$V81,IF(AND($R81&lt;&gt;"",EDATE($D81,Milestones!$AA$36)&gt;=$R81),$U81,$T81)))=Milestones!$AB$36),TEXT(EDATE($D81,Milestones!$AA$36),"dd/mm/yy")&amp;" "&amp;Milestones!$AB$36&amp;" "&amp;Milestones!$AC$36&amp;";  ","")&amp;IF(AND(EDATE($D81,Milestones!$AA$37)&lt;=AsOfDate,IF($Q81=0,$W81,IF(AND($S81&lt;&gt;"",EDATE($D81,Milestones!$AA$37)&gt;=$S81),$V81,IF(AND($R81&lt;&gt;"",EDATE($D81,Milestones!$AA$37)&gt;=$R81),$U81,$T81)))=Milestones!$AB$37),TEXT(EDATE($D81,Milestones!$AA$37),"dd/mm/yy")&amp;" "&amp;Milestones!$AB$37&amp;" "&amp;Milestones!$AC$37&amp;";  ","")&amp;IF(AND(EDATE($D81,Milestones!$AA$38)&lt;=AsOfDate,IF($Q81=0,$W81,IF(AND($S81&lt;&gt;"",EDATE($D81,Milestones!$AA$38)&gt;=$S81),$V81,IF(AND($R81&lt;&gt;"",EDATE($D81,Milestones!$AA$38)&gt;=$R81),$U81,$T81)))=Milestones!$AB$38),TEXT(EDATE($D81,Milestones!$AA$38),"dd/mm/yy")&amp;" "&amp;Milestones!$AB$38&amp;" "&amp;Milestones!$AC$38&amp;";  ","")&amp;IF(AND(EDATE($D81,Milestones!$AA$39)&lt;=AsOfDate,IF($Q81=0,$W81,IF(AND($S81&lt;&gt;"",EDATE($D81,Milestones!$AA$39)&gt;=$S81),$V81,IF(AND($R81&lt;&gt;"",EDATE($D81,Milestones!$AA$39)&gt;=$R81),$U81,$T81)))=Milestones!$AB$39),TEXT(EDATE($D81,Milestones!$AA$39),"dd/mm/yy")&amp;" "&amp;Milestones!$AB$39&amp;" "&amp;Milestones!$AC$39&amp;";  ",""))</f>
        <v/>
      </c>
      <c r="I81" s="0" t="str">
        <f aca="false">IF(OR($A81="",$D81=""),"",IF(AND(EDATE($D81,Milestones!$AA$40)&lt;=AsOfDate,IF($Q81=0,$W81,IF(AND($S81&lt;&gt;"",EDATE($D81,Milestones!$AA$40)&gt;=$S81),$V81,IF(AND($R81&lt;&gt;"",EDATE($D81,Milestones!$AA$40)&gt;=$R81),$U81,$T81)))=Milestones!$AB$40),TEXT(EDATE($D81,Milestones!$AA$40),"dd/mm/yy")&amp;" "&amp;Milestones!$AB$40&amp;" "&amp;Milestones!$AC$40&amp;";  ","")&amp;IF(AND(EDATE($D81,Milestones!$AA$41)&lt;=AsOfDate,IF($Q81=0,$W81,IF(AND($S81&lt;&gt;"",EDATE($D81,Milestones!$AA$41)&gt;=$S81),$V81,IF(AND($R81&lt;&gt;"",EDATE($D81,Milestones!$AA$41)&gt;=$R81),$U81,$T81)))=Milestones!$AB$41),TEXT(EDATE($D81,Milestones!$AA$41),"dd/mm/yy")&amp;" "&amp;Milestones!$AB$41&amp;" "&amp;Milestones!$AC$41&amp;";  ","")&amp;IF(AND(EDATE($D81,Milestones!$AA$42)&lt;=AsOfDate,IF($Q81=0,$W81,IF(AND($S81&lt;&gt;"",EDATE($D81,Milestones!$AA$42)&gt;=$S81),$V81,IF(AND($R81&lt;&gt;"",EDATE($D81,Milestones!$AA$42)&gt;=$R81),$U81,$T81)))=Milestones!$AB$42),TEXT(EDATE($D81,Milestones!$AA$42),"dd/mm/yy")&amp;" "&amp;Milestones!$AB$42&amp;" "&amp;Milestones!$AC$42&amp;";  ","")&amp;IF(AND(EDATE($D81,Milestones!$AA$43)&lt;=AsOfDate,IF($Q81=0,$W81,IF(AND($S81&lt;&gt;"",EDATE($D81,Milestones!$AA$43)&gt;=$S81),$V81,IF(AND($R81&lt;&gt;"",EDATE($D81,Milestones!$AA$43)&gt;=$R81),$U81,$T81)))=Milestones!$AB$43),TEXT(EDATE($D81,Milestones!$AA$43),"dd/mm/yy")&amp;" "&amp;Milestones!$AB$43&amp;" "&amp;Milestones!$AC$43&amp;";  ","")&amp;IF(AND(EDATE($D81,Milestones!$AA$44)&lt;=AsOfDate,IF($Q81=0,$W81,IF(AND($S81&lt;&gt;"",EDATE($D81,Milestones!$AA$44)&gt;=$S81),$V81,IF(AND($R81&lt;&gt;"",EDATE($D81,Milestones!$AA$44)&gt;=$R81),$U81,$T81)))=Milestones!$AB$44),TEXT(EDATE($D81,Milestones!$AA$44),"dd/mm/yy")&amp;" "&amp;Milestones!$AB$44&amp;" "&amp;Milestones!$AC$44&amp;";  ","")&amp;IF(AND(EDATE($D81,Milestones!$AA$45)&lt;=AsOfDate,IF($Q81=0,$W81,IF(AND($S81&lt;&gt;"",EDATE($D81,Milestones!$AA$45)&gt;=$S81),$V81,IF(AND($R81&lt;&gt;"",EDATE($D81,Milestones!$AA$45)&gt;=$R81),$U81,$T81)))=Milestones!$AB$45),TEXT(EDATE($D81,Milestones!$AA$45),"dd/mm/yy")&amp;" "&amp;Milestones!$AB$45&amp;" "&amp;Milestones!$AC$45&amp;";  ","")&amp;IF(AND(EDATE($D81,Milestones!$AA$46)&lt;=AsOfDate,IF($Q81=0,$W81,IF(AND($S81&lt;&gt;"",EDATE($D81,Milestones!$AA$46)&gt;=$S81),$V81,IF(AND($R81&lt;&gt;"",EDATE($D81,Milestones!$AA$46)&gt;=$R81),$U81,$T81)))=Milestones!$AB$46),TEXT(EDATE($D81,Milestones!$AA$46),"dd/mm/yy")&amp;" "&amp;Milestones!$AB$46&amp;" "&amp;Milestones!$AC$46&amp;";  ","")&amp;IF(AND(EDATE($D81,Milestones!$AA$47)&lt;=AsOfDate,IF($Q81=0,$W81,IF(AND($S81&lt;&gt;"",EDATE($D81,Milestones!$AA$47)&gt;=$S81),$V81,IF(AND($R81&lt;&gt;"",EDATE($D81,Milestones!$AA$47)&gt;=$R81),$U81,$T81)))=Milestones!$AB$47),TEXT(EDATE($D81,Milestones!$AA$47),"dd/mm/yy")&amp;" "&amp;Milestones!$AB$47&amp;" "&amp;Milestones!$AC$47&amp;";  ","")&amp;IF(AND(EDATE($D81,Milestones!$AA$48)&lt;=AsOfDate,IF($Q81=0,$W81,IF(AND($S81&lt;&gt;"",EDATE($D81,Milestones!$AA$48)&gt;=$S81),$V81,IF(AND($R81&lt;&gt;"",EDATE($D81,Milestones!$AA$48)&gt;=$R81),$U81,$T81)))=Milestones!$AB$48),TEXT(EDATE($D81,Milestones!$AA$48),"dd/mm/yy")&amp;" "&amp;Milestones!$AB$48&amp;" "&amp;Milestones!$AC$48&amp;";  ","")&amp;IF(AND(EDATE($D81,Milestones!$AA$49)&lt;=AsOfDate,IF($Q81=0,$W81,IF(AND($S81&lt;&gt;"",EDATE($D81,Milestones!$AA$49)&gt;=$S81),$V81,IF(AND($R81&lt;&gt;"",EDATE($D81,Milestones!$AA$49)&gt;=$R81),$U81,$T81)))=Milestones!$AB$49),TEXT(EDATE($D81,Milestones!$AA$49),"dd/mm/yy")&amp;" "&amp;Milestones!$AB$49&amp;" "&amp;Milestones!$AC$49&amp;";  ","")&amp;IF(AND(EDATE($D81,Milestones!$AA$50)&lt;=AsOfDate,IF($Q81=0,$W81,IF(AND($S81&lt;&gt;"",EDATE($D81,Milestones!$AA$50)&gt;=$S81),$V81,IF(AND($R81&lt;&gt;"",EDATE($D81,Milestones!$AA$50)&gt;=$R81),$U81,$T81)))=Milestones!$AB$50),TEXT(EDATE($D81,Milestones!$AA$50),"dd/mm/yy")&amp;" "&amp;Milestones!$AB$50&amp;" "&amp;Milestones!$AC$50&amp;";  ","")&amp;IF(AND(EDATE($D81,Milestones!$AA$51)&lt;=AsOfDate,IF($Q81=0,$W81,IF(AND($S81&lt;&gt;"",EDATE($D81,Milestones!$AA$51)&gt;=$S81),$V81,IF(AND($R81&lt;&gt;"",EDATE($D81,Milestones!$AA$51)&gt;=$R81),$U81,$T81)))=Milestones!$AB$51),TEXT(EDATE($D81,Milestones!$AA$51),"dd/mm/yy")&amp;" "&amp;Milestones!$AB$51&amp;" "&amp;Milestones!$AC$51&amp;";  ","")&amp;IF(AND(EDATE($D81,Milestones!$AA$52)&lt;=AsOfDate,IF($Q81=0,$W81,IF(AND($S81&lt;&gt;"",EDATE($D81,Milestones!$AA$52)&gt;=$S81),$V81,IF(AND($R81&lt;&gt;"",EDATE($D81,Milestones!$AA$52)&gt;=$R81),$U81,$T81)))=Milestones!$AB$52),TEXT(EDATE($D81,Milestones!$AA$52),"dd/mm/yy")&amp;" "&amp;Milestones!$AB$52&amp;" "&amp;Milestones!$AC$52&amp;";  ","")&amp;IF(AND(EDATE($D81,Milestones!$AA$53)&lt;=AsOfDate,IF($Q81=0,$W81,IF(AND($S81&lt;&gt;"",EDATE($D81,Milestones!$AA$53)&gt;=$S81),$V81,IF(AND($R81&lt;&gt;"",EDATE($D81,Milestones!$AA$53)&gt;=$R81),$U81,$T81)))=Milestones!$AB$53),TEXT(EDATE($D81,Milestones!$AA$53),"dd/mm/yy")&amp;" "&amp;Milestones!$AB$53&amp;" "&amp;Milestones!$AC$53&amp;";  ","")&amp;IF(AND(EDATE($D81,Milestones!$AA$54)&lt;=AsOfDate,IF($Q81=0,$W81,IF(AND($S81&lt;&gt;"",EDATE($D81,Milestones!$AA$54)&gt;=$S81),$V81,IF(AND($R81&lt;&gt;"",EDATE($D81,Milestones!$AA$54)&gt;=$R81),$U81,$T81)))=Milestones!$AB$54),TEXT(EDATE($D81,Milestones!$AA$54),"dd/mm/yy")&amp;" "&amp;Milestones!$AB$54&amp;" "&amp;Milestones!$AC$54&amp;";  ","")&amp;IF(AND(EDATE($D81,Milestones!$AA$55)&lt;=AsOfDate,IF($Q81=0,$W81,IF(AND($S81&lt;&gt;"",EDATE($D81,Milestones!$AA$55)&gt;=$S81),$V81,IF(AND($R81&lt;&gt;"",EDATE($D81,Milestones!$AA$55)&gt;=$R81),$U81,$T81)))=Milestones!$AB$55),TEXT(EDATE($D81,Milestones!$AA$55),"dd/mm/yy")&amp;" "&amp;Milestones!$AB$55&amp;" "&amp;Milestones!$AC$55&amp;";  ","")&amp;IF(AND(EDATE($D81,Milestones!$AA$56)&lt;=AsOfDate,IF($Q81=0,$W81,IF(AND($S81&lt;&gt;"",EDATE($D81,Milestones!$AA$56)&gt;=$S81),$V81,IF(AND($R81&lt;&gt;"",EDATE($D81,Milestones!$AA$56)&gt;=$R81),$U81,$T81)))=Milestones!$AB$56),TEXT(EDATE($D81,Milestones!$AA$56),"dd/mm/yy")&amp;" "&amp;Milestones!$AB$56&amp;" "&amp;Milestones!$AC$56&amp;";  ","")&amp;IF(AND(EDATE($D81,Milestones!$AA$57)&lt;=AsOfDate,IF($Q81=0,$W81,IF(AND($S81&lt;&gt;"",EDATE($D81,Milestones!$AA$57)&gt;=$S81),$V81,IF(AND($R81&lt;&gt;"",EDATE($D81,Milestones!$AA$57)&gt;=$R81),$U81,$T81)))=Milestones!$AB$57),TEXT(EDATE($D81,Milestones!$AA$57),"dd/mm/yy")&amp;" "&amp;Milestones!$AB$57&amp;" "&amp;Milestones!$AC$57&amp;";  ","")&amp;IF(AND(EDATE($D81,Milestones!$AA$58)&lt;=AsOfDate,IF($Q81=0,$W81,IF(AND($S81&lt;&gt;"",EDATE($D81,Milestones!$AA$58)&gt;=$S81),$V81,IF(AND($R81&lt;&gt;"",EDATE($D81,Milestones!$AA$58)&gt;=$R81),$U81,$T81)))=Milestones!$AB$58),TEXT(EDATE($D81,Milestones!$AA$58),"dd/mm/yy")&amp;" "&amp;Milestones!$AB$58&amp;" "&amp;Milestones!$AC$58&amp;";  ","")&amp;IF(AND(EDATE($D81,Milestones!$AA$59)&lt;=AsOfDate,IF($Q81=0,$W81,IF(AND($S81&lt;&gt;"",EDATE($D81,Milestones!$AA$59)&gt;=$S81),$V81,IF(AND($R81&lt;&gt;"",EDATE($D81,Milestones!$AA$59)&gt;=$R81),$U81,$T81)))=Milestones!$AB$59),TEXT(EDATE($D81,Milestones!$AA$59),"dd/mm/yy")&amp;" "&amp;Milestones!$AB$59&amp;" "&amp;Milestones!$AC$59&amp;";  ",""))</f>
        <v/>
      </c>
      <c r="J81" s="0" t="str">
        <f aca="false">IF(OR($A81="",$D81=""),"",IF(AND(EDATE($D81,Milestones!$AA$60)&lt;=AsOfDate,IF($Q81=0,$W81,IF(AND($S81&lt;&gt;"",EDATE($D81,Milestones!$AA$60)&gt;=$S81),$V81,IF(AND($R81&lt;&gt;"",EDATE($D81,Milestones!$AA$60)&gt;=$R81),$U81,$T81)))=Milestones!$AB$60),TEXT(EDATE($D81,Milestones!$AA$60),"dd/mm/yy")&amp;" "&amp;Milestones!$AB$60&amp;" "&amp;Milestones!$AC$60&amp;";  ","")&amp;IF(AND(EDATE($D81,Milestones!$AA$61)&lt;=AsOfDate,IF($Q81=0,$W81,IF(AND($S81&lt;&gt;"",EDATE($D81,Milestones!$AA$61)&gt;=$S81),$V81,IF(AND($R81&lt;&gt;"",EDATE($D81,Milestones!$AA$61)&gt;=$R81),$U81,$T81)))=Milestones!$AB$61),TEXT(EDATE($D81,Milestones!$AA$61),"dd/mm/yy")&amp;" "&amp;Milestones!$AB$61&amp;" "&amp;Milestones!$AC$61&amp;";  ","")&amp;IF(AND(EDATE($D81,Milestones!$AA$62)&lt;=AsOfDate,IF($Q81=0,$W81,IF(AND($S81&lt;&gt;"",EDATE($D81,Milestones!$AA$62)&gt;=$S81),$V81,IF(AND($R81&lt;&gt;"",EDATE($D81,Milestones!$AA$62)&gt;=$R81),$U81,$T81)))=Milestones!$AB$62),TEXT(EDATE($D81,Milestones!$AA$62),"dd/mm/yy")&amp;" "&amp;Milestones!$AB$62&amp;" "&amp;Milestones!$AC$62&amp;";  ","")&amp;IF(AND(EDATE($D81,Milestones!$AA$63)&lt;=AsOfDate,IF($Q81=0,$W81,IF(AND($S81&lt;&gt;"",EDATE($D81,Milestones!$AA$63)&gt;=$S81),$V81,IF(AND($R81&lt;&gt;"",EDATE($D81,Milestones!$AA$63)&gt;=$R81),$U81,$T81)))=Milestones!$AB$63),TEXT(EDATE($D81,Milestones!$AA$63),"dd/mm/yy")&amp;" "&amp;Milestones!$AB$63&amp;" "&amp;Milestones!$AC$63&amp;";  ","")&amp;IF(AND(EDATE($D81,Milestones!$AA$64)&lt;=AsOfDate,IF($Q81=0,$W81,IF(AND($S81&lt;&gt;"",EDATE($D81,Milestones!$AA$64)&gt;=$S81),$V81,IF(AND($R81&lt;&gt;"",EDATE($D81,Milestones!$AA$64)&gt;=$R81),$U81,$T81)))=Milestones!$AB$64),TEXT(EDATE($D81,Milestones!$AA$64),"dd/mm/yy")&amp;" "&amp;Milestones!$AB$64&amp;" "&amp;Milestones!$AC$64&amp;";  ","")&amp;IF(AND(EDATE($D81,Milestones!$AA$65)&lt;=AsOfDate,IF($Q81=0,$W81,IF(AND($S81&lt;&gt;"",EDATE($D81,Milestones!$AA$65)&gt;=$S81),$V81,IF(AND($R81&lt;&gt;"",EDATE($D81,Milestones!$AA$65)&gt;=$R81),$U81,$T81)))=Milestones!$AB$65),TEXT(EDATE($D81,Milestones!$AA$65),"dd/mm/yy")&amp;" "&amp;Milestones!$AB$65&amp;" "&amp;Milestones!$AC$65&amp;";  ","")&amp;IF(AND(EDATE($D81,Milestones!$AA$66)&lt;=AsOfDate,IF($Q81=0,$W81,IF(AND($S81&lt;&gt;"",EDATE($D81,Milestones!$AA$66)&gt;=$S81),$V81,IF(AND($R81&lt;&gt;"",EDATE($D81,Milestones!$AA$66)&gt;=$R81),$U81,$T81)))=Milestones!$AB$66),TEXT(EDATE($D81,Milestones!$AA$66),"dd/mm/yy")&amp;" "&amp;Milestones!$AB$66&amp;" "&amp;Milestones!$AC$66&amp;";  ","")&amp;IF(AND(EDATE($D81,Milestones!$AA$67)&lt;=AsOfDate,IF($Q81=0,$W81,IF(AND($S81&lt;&gt;"",EDATE($D81,Milestones!$AA$67)&gt;=$S81),$V81,IF(AND($R81&lt;&gt;"",EDATE($D81,Milestones!$AA$67)&gt;=$R81),$U81,$T81)))=Milestones!$AB$67),TEXT(EDATE($D81,Milestones!$AA$67),"dd/mm/yy")&amp;" "&amp;Milestones!$AB$67&amp;" "&amp;Milestones!$AC$67&amp;";  ","")&amp;IF(AND(EDATE($D81,Milestones!$AA$68)&lt;=AsOfDate,IF($Q81=0,$W81,IF(AND($S81&lt;&gt;"",EDATE($D81,Milestones!$AA$68)&gt;=$S81),$V81,IF(AND($R81&lt;&gt;"",EDATE($D81,Milestones!$AA$68)&gt;=$R81),$U81,$T81)))=Milestones!$AB$68),TEXT(EDATE($D81,Milestones!$AA$68),"dd/mm/yy")&amp;" "&amp;Milestones!$AB$68&amp;" "&amp;Milestones!$AC$68&amp;";  ","")&amp;IF(AND(EDATE($D81,Milestones!$AA$69)&lt;=AsOfDate,IF($Q81=0,$W81,IF(AND($S81&lt;&gt;"",EDATE($D81,Milestones!$AA$69)&gt;=$S81),$V81,IF(AND($R81&lt;&gt;"",EDATE($D81,Milestones!$AA$69)&gt;=$R81),$U81,$T81)))=Milestones!$AB$69),TEXT(EDATE($D81,Milestones!$AA$69),"dd/mm/yy")&amp;" "&amp;Milestones!$AB$69&amp;" "&amp;Milestones!$AC$69&amp;";  ","")&amp;IF(AND(EDATE($D81,Milestones!$AA$70)&lt;=AsOfDate,IF($Q81=0,$W81,IF(AND($S81&lt;&gt;"",EDATE($D81,Milestones!$AA$70)&gt;=$S81),$V81,IF(AND($R81&lt;&gt;"",EDATE($D81,Milestones!$AA$70)&gt;=$R81),$U81,$T81)))=Milestones!$AB$70),TEXT(EDATE($D81,Milestones!$AA$70),"dd/mm/yy")&amp;" "&amp;Milestones!$AB$70&amp;" "&amp;Milestones!$AC$70&amp;";  ","")&amp;IF(AND(EDATE($D81,Milestones!$AA$71)&lt;=AsOfDate,IF($Q81=0,$W81,IF(AND($S81&lt;&gt;"",EDATE($D81,Milestones!$AA$71)&gt;=$S81),$V81,IF(AND($R81&lt;&gt;"",EDATE($D81,Milestones!$AA$71)&gt;=$R81),$U81,$T81)))=Milestones!$AB$71),TEXT(EDATE($D81,Milestones!$AA$71),"dd/mm/yy")&amp;" "&amp;Milestones!$AB$71&amp;" "&amp;Milestones!$AC$71&amp;";  ","")&amp;IF(AND(EDATE($D81,Milestones!$AA$72)&lt;=AsOfDate,IF($Q81=0,$W81,IF(AND($S81&lt;&gt;"",EDATE($D81,Milestones!$AA$72)&gt;=$S81),$V81,IF(AND($R81&lt;&gt;"",EDATE($D81,Milestones!$AA$72)&gt;=$R81),$U81,$T81)))=Milestones!$AB$72),TEXT(EDATE($D81,Milestones!$AA$72),"dd/mm/yy")&amp;" "&amp;Milestones!$AB$72&amp;" "&amp;Milestones!$AC$72&amp;";  ","")&amp;IF(AND(EDATE($D81,Milestones!$AA$73)&lt;=AsOfDate,IF($Q81=0,$W81,IF(AND($S81&lt;&gt;"",EDATE($D81,Milestones!$AA$73)&gt;=$S81),$V81,IF(AND($R81&lt;&gt;"",EDATE($D81,Milestones!$AA$73)&gt;=$R81),$U81,$T81)))=Milestones!$AB$73),TEXT(EDATE($D81,Milestones!$AA$73),"dd/mm/yy")&amp;" "&amp;Milestones!$AB$73&amp;" "&amp;Milestones!$AC$73&amp;";  ","")&amp;IF(AND(EDATE($D81,Milestones!$AA$74)&lt;=AsOfDate,IF($Q81=0,$W81,IF(AND($S81&lt;&gt;"",EDATE($D81,Milestones!$AA$74)&gt;=$S81),$V81,IF(AND($R81&lt;&gt;"",EDATE($D81,Milestones!$AA$74)&gt;=$R81),$U81,$T81)))=Milestones!$AB$74),TEXT(EDATE($D81,Milestones!$AA$74),"dd/mm/yy")&amp;" "&amp;Milestones!$AB$74&amp;" "&amp;Milestones!$AC$74&amp;";  ","")&amp;IF(AND(EDATE($D81,Milestones!$AA$75)&lt;=AsOfDate,IF($Q81=0,$W81,IF(AND($S81&lt;&gt;"",EDATE($D81,Milestones!$AA$75)&gt;=$S81),$V81,IF(AND($R81&lt;&gt;"",EDATE($D81,Milestones!$AA$75)&gt;=$R81),$U81,$T81)))=Milestones!$AB$75),TEXT(EDATE($D81,Milestones!$AA$75),"dd/mm/yy")&amp;" "&amp;Milestones!$AB$75&amp;" "&amp;Milestones!$AC$75&amp;";  ","")&amp;IF(AND(EDATE($D81,Milestones!$AA$76)&lt;=AsOfDate,IF($Q81=0,$W81,IF(AND($S81&lt;&gt;"",EDATE($D81,Milestones!$AA$76)&gt;=$S81),$V81,IF(AND($R81&lt;&gt;"",EDATE($D81,Milestones!$AA$76)&gt;=$R81),$U81,$T81)))=Milestones!$AB$76),TEXT(EDATE($D81,Milestones!$AA$76),"dd/mm/yy")&amp;" "&amp;Milestones!$AB$76&amp;" "&amp;Milestones!$AC$76&amp;";  ","")&amp;IF(AND(EDATE($D81,Milestones!$AA$77)&lt;=AsOfDate,IF($Q81=0,$W81,IF(AND($S81&lt;&gt;"",EDATE($D81,Milestones!$AA$77)&gt;=$S81),$V81,IF(AND($R81&lt;&gt;"",EDATE($D81,Milestones!$AA$77)&gt;=$R81),$U81,$T81)))=Milestones!$AB$77),TEXT(EDATE($D81,Milestones!$AA$77),"dd/mm/yy")&amp;" "&amp;Milestones!$AB$77&amp;" "&amp;Milestones!$AC$77&amp;";  ","")&amp;IF(AND(EDATE($D81,Milestones!$AA$78)&lt;=AsOfDate,IF($Q81=0,$W81,IF(AND($S81&lt;&gt;"",EDATE($D81,Milestones!$AA$78)&gt;=$S81),$V81,IF(AND($R81&lt;&gt;"",EDATE($D81,Milestones!$AA$78)&gt;=$R81),$U81,$T81)))=Milestones!$AB$78),TEXT(EDATE($D81,Milestones!$AA$78),"dd/mm/yy")&amp;" "&amp;Milestones!$AB$78&amp;" "&amp;Milestones!$AC$78&amp;";  ","")&amp;IF(AND(EDATE($D81,Milestones!$AA$79)&lt;=AsOfDate,IF($Q81=0,$W81,IF(AND($S81&lt;&gt;"",EDATE($D81,Milestones!$AA$79)&gt;=$S81),$V81,IF(AND($R81&lt;&gt;"",EDATE($D81,Milestones!$AA$79)&gt;=$R81),$U81,$T81)))=Milestones!$AB$79),TEXT(EDATE($D81,Milestones!$AA$79),"dd/mm/yy")&amp;" "&amp;Milestones!$AB$79&amp;" "&amp;Milestones!$AC$79&amp;";  ",""))</f>
        <v/>
      </c>
      <c r="K81" s="0" t="str">
        <f aca="false">IF(OR($A81="",$D81=""),"",IF(AND(EDATE($D81,Milestones!$AA$80)&lt;=AsOfDate,IF($Q81=0,$W81,IF(AND($S81&lt;&gt;"",EDATE($D81,Milestones!$AA$80)&gt;=$S81),$V81,IF(AND($R81&lt;&gt;"",EDATE($D81,Milestones!$AA$80)&gt;=$R81),$U81,$T81)))=Milestones!$AB$80),TEXT(EDATE($D81,Milestones!$AA$80),"dd/mm/yy")&amp;" "&amp;Milestones!$AB$80&amp;" "&amp;Milestones!$AC$80&amp;";  ","")&amp;IF(AND(EDATE($D81,Milestones!$AA$81)&lt;=AsOfDate,IF($Q81=0,$W81,IF(AND($S81&lt;&gt;"",EDATE($D81,Milestones!$AA$81)&gt;=$S81),$V81,IF(AND($R81&lt;&gt;"",EDATE($D81,Milestones!$AA$81)&gt;=$R81),$U81,$T81)))=Milestones!$AB$81),TEXT(EDATE($D81,Milestones!$AA$81),"dd/mm/yy")&amp;" "&amp;Milestones!$AB$81&amp;" "&amp;Milestones!$AC$81&amp;";  ","")&amp;IF(AND(EDATE($D81,Milestones!$AA$82)&lt;=AsOfDate,IF($Q81=0,$W81,IF(AND($S81&lt;&gt;"",EDATE($D81,Milestones!$AA$82)&gt;=$S81),$V81,IF(AND($R81&lt;&gt;"",EDATE($D81,Milestones!$AA$82)&gt;=$R81),$U81,$T81)))=Milestones!$AB$82),TEXT(EDATE($D81,Milestones!$AA$82),"dd/mm/yy")&amp;" "&amp;Milestones!$AB$82&amp;" "&amp;Milestones!$AC$82&amp;";  ","")&amp;IF(AND(EDATE($D81,Milestones!$AA$83)&lt;=AsOfDate,IF($Q81=0,$W81,IF(AND($S81&lt;&gt;"",EDATE($D81,Milestones!$AA$83)&gt;=$S81),$V81,IF(AND($R81&lt;&gt;"",EDATE($D81,Milestones!$AA$83)&gt;=$R81),$U81,$T81)))=Milestones!$AB$83),TEXT(EDATE($D81,Milestones!$AA$83),"dd/mm/yy")&amp;" "&amp;Milestones!$AB$83&amp;" "&amp;Milestones!$AC$83&amp;";  ","")&amp;IF(AND(EDATE($D81,Milestones!$AA$84)&lt;=AsOfDate,IF($Q81=0,$W81,IF(AND($S81&lt;&gt;"",EDATE($D81,Milestones!$AA$84)&gt;=$S81),$V81,IF(AND($R81&lt;&gt;"",EDATE($D81,Milestones!$AA$84)&gt;=$R81),$U81,$T81)))=Milestones!$AB$84),TEXT(EDATE($D81,Milestones!$AA$84),"dd/mm/yy")&amp;" "&amp;Milestones!$AB$84&amp;" "&amp;Milestones!$AC$84&amp;";  ","")&amp;IF(AND(EDATE($D81,Milestones!$AA$85)&lt;=AsOfDate,IF($Q81=0,$W81,IF(AND($S81&lt;&gt;"",EDATE($D81,Milestones!$AA$85)&gt;=$S81),$V81,IF(AND($R81&lt;&gt;"",EDATE($D81,Milestones!$AA$85)&gt;=$R81),$U81,$T81)))=Milestones!$AB$85),TEXT(EDATE($D81,Milestones!$AA$85),"dd/mm/yy")&amp;" "&amp;Milestones!$AB$85&amp;" "&amp;Milestones!$AC$85&amp;";  ","")&amp;IF(AND(EDATE($D81,Milestones!$AA$86)&lt;=AsOfDate,IF($Q81=0,$W81,IF(AND($S81&lt;&gt;"",EDATE($D81,Milestones!$AA$86)&gt;=$S81),$V81,IF(AND($R81&lt;&gt;"",EDATE($D81,Milestones!$AA$86)&gt;=$R81),$U81,$T81)))=Milestones!$AB$86),TEXT(EDATE($D81,Milestones!$AA$86),"dd/mm/yy")&amp;" "&amp;Milestones!$AB$86&amp;" "&amp;Milestones!$AC$86&amp;";  ","")&amp;IF(AND(EDATE($D81,Milestones!$AA$87)&lt;=AsOfDate,IF($Q81=0,$W81,IF(AND($S81&lt;&gt;"",EDATE($D81,Milestones!$AA$87)&gt;=$S81),$V81,IF(AND($R81&lt;&gt;"",EDATE($D81,Milestones!$AA$87)&gt;=$R81),$U81,$T81)))=Milestones!$AB$87),TEXT(EDATE($D81,Milestones!$AA$87),"dd/mm/yy")&amp;" "&amp;Milestones!$AB$87&amp;" "&amp;Milestones!$AC$87&amp;";  ","")&amp;IF(AND(EDATE($D81,Milestones!$AA$88)&lt;=AsOfDate,IF($Q81=0,$W81,IF(AND($S81&lt;&gt;"",EDATE($D81,Milestones!$AA$88)&gt;=$S81),$V81,IF(AND($R81&lt;&gt;"",EDATE($D81,Milestones!$AA$88)&gt;=$R81),$U81,$T81)))=Milestones!$AB$88),TEXT(EDATE($D81,Milestones!$AA$88),"dd/mm/yy")&amp;" "&amp;Milestones!$AB$88&amp;" "&amp;Milestones!$AC$88&amp;";  ","")&amp;IF(AND(EDATE($D81,Milestones!$AA$89)&lt;=AsOfDate,IF($Q81=0,$W81,IF(AND($S81&lt;&gt;"",EDATE($D81,Milestones!$AA$89)&gt;=$S81),$V81,IF(AND($R81&lt;&gt;"",EDATE($D81,Milestones!$AA$89)&gt;=$R81),$U81,$T81)))=Milestones!$AB$89),TEXT(EDATE($D81,Milestones!$AA$89),"dd/mm/yy")&amp;" "&amp;Milestones!$AB$89&amp;" "&amp;Milestones!$AC$89&amp;";  ","")&amp;IF(AND(EDATE($D81,Milestones!$AA$90)&lt;=AsOfDate,IF($Q81=0,$W81,IF(AND($S81&lt;&gt;"",EDATE($D81,Milestones!$AA$90)&gt;=$S81),$V81,IF(AND($R81&lt;&gt;"",EDATE($D81,Milestones!$AA$90)&gt;=$R81),$U81,$T81)))=Milestones!$AB$90),TEXT(EDATE($D81,Milestones!$AA$90),"dd/mm/yy")&amp;" "&amp;Milestones!$AB$90&amp;" "&amp;Milestones!$AC$90&amp;";  ","")&amp;IF(AND(EDATE($D81,Milestones!$AA$91)&lt;=AsOfDate,IF($Q81=0,$W81,IF(AND($S81&lt;&gt;"",EDATE($D81,Milestones!$AA$91)&gt;=$S81),$V81,IF(AND($R81&lt;&gt;"",EDATE($D81,Milestones!$AA$91)&gt;=$R81),$U81,$T81)))=Milestones!$AB$91),TEXT(EDATE($D81,Milestones!$AA$91),"dd/mm/yy")&amp;" "&amp;Milestones!$AB$91&amp;" "&amp;Milestones!$AC$91&amp;";  ","")&amp;IF(AND(EDATE($D81,Milestones!$AA$92)&lt;=AsOfDate,IF($Q81=0,$W81,IF(AND($S81&lt;&gt;"",EDATE($D81,Milestones!$AA$92)&gt;=$S81),$V81,IF(AND($R81&lt;&gt;"",EDATE($D81,Milestones!$AA$92)&gt;=$R81),$U81,$T81)))=Milestones!$AB$92),TEXT(EDATE($D81,Milestones!$AA$92),"dd/mm/yy")&amp;" "&amp;Milestones!$AB$92&amp;" "&amp;Milestones!$AC$92&amp;";  ","")&amp;IF(AND(EDATE($D81,Milestones!$AA$93)&lt;=AsOfDate,IF($Q81=0,$W81,IF(AND($S81&lt;&gt;"",EDATE($D81,Milestones!$AA$93)&gt;=$S81),$V81,IF(AND($R81&lt;&gt;"",EDATE($D81,Milestones!$AA$93)&gt;=$R81),$U81,$T81)))=Milestones!$AB$93),TEXT(EDATE($D81,Milestones!$AA$93),"dd/mm/yy")&amp;" "&amp;Milestones!$AB$93&amp;" "&amp;Milestones!$AC$93&amp;";  ","")&amp;IF(AND(EDATE($D81,Milestones!$AA$94)&lt;=AsOfDate,IF($Q81=0,$W81,IF(AND($S81&lt;&gt;"",EDATE($D81,Milestones!$AA$94)&gt;=$S81),$V81,IF(AND($R81&lt;&gt;"",EDATE($D81,Milestones!$AA$94)&gt;=$R81),$U81,$T81)))=Milestones!$AB$94),TEXT(EDATE($D81,Milestones!$AA$94),"dd/mm/yy")&amp;" "&amp;Milestones!$AB$94&amp;" "&amp;Milestones!$AC$94&amp;";  ","")&amp;IF(AND(EDATE($D81,Milestones!$AA$95)&lt;=AsOfDate,IF($Q81=0,$W81,IF(AND($S81&lt;&gt;"",EDATE($D81,Milestones!$AA$95)&gt;=$S81),$V81,IF(AND($R81&lt;&gt;"",EDATE($D81,Milestones!$AA$95)&gt;=$R81),$U81,$T81)))=Milestones!$AB$95),TEXT(EDATE($D81,Milestones!$AA$95),"dd/mm/yy")&amp;" "&amp;Milestones!$AB$95&amp;" "&amp;Milestones!$AC$95&amp;";  ","")&amp;IF(AND(EDATE($D81,Milestones!$AA$96)&lt;=AsOfDate,IF($Q81=0,$W81,IF(AND($S81&lt;&gt;"",EDATE($D81,Milestones!$AA$96)&gt;=$S81),$V81,IF(AND($R81&lt;&gt;"",EDATE($D81,Milestones!$AA$96)&gt;=$R81),$U81,$T81)))=Milestones!$AB$96),TEXT(EDATE($D81,Milestones!$AA$96),"dd/mm/yy")&amp;" "&amp;Milestones!$AB$96&amp;" "&amp;Milestones!$AC$96&amp;";  ","")&amp;IF(AND(EDATE($D81,Milestones!$AA$97)&lt;=AsOfDate,IF($Q81=0,$W81,IF(AND($S81&lt;&gt;"",EDATE($D81,Milestones!$AA$97)&gt;=$S81),$V81,IF(AND($R81&lt;&gt;"",EDATE($D81,Milestones!$AA$97)&gt;=$R81),$U81,$T81)))=Milestones!$AB$97),TEXT(EDATE($D81,Milestones!$AA$97),"dd/mm/yy")&amp;" "&amp;Milestones!$AB$97&amp;" "&amp;Milestones!$AC$97&amp;";  ","")&amp;IF(AND(EDATE($D81,Milestones!$AA$98)&lt;=AsOfDate,IF($Q81=0,$W81,IF(AND($S81&lt;&gt;"",EDATE($D81,Milestones!$AA$98)&gt;=$S81),$V81,IF(AND($R81&lt;&gt;"",EDATE($D81,Milestones!$AA$98)&gt;=$R81),$U81,$T81)))=Milestones!$AB$98),TEXT(EDATE($D81,Milestones!$AA$98),"dd/mm/yy")&amp;" "&amp;Milestones!$AB$98&amp;" "&amp;Milestones!$AC$98&amp;";  ","")&amp;IF(AND(EDATE($D81,Milestones!$AA$99)&lt;=AsOfDate,IF($Q81=0,$W81,IF(AND($S81&lt;&gt;"",EDATE($D81,Milestones!$AA$99)&gt;=$S81),$V81,IF(AND($R81&lt;&gt;"",EDATE($D81,Milestones!$AA$99)&gt;=$R81),$U81,$T81)))=Milestones!$AB$99),TEXT(EDATE($D81,Milestones!$AA$99),"dd/mm/yy")&amp;" "&amp;Milestones!$AB$99&amp;" "&amp;Milestones!$AC$99&amp;";  ",""))</f>
        <v/>
      </c>
      <c r="L81" s="0" t="str">
        <f aca="false">IF(OR($A81="",$D81=""),"",IF(AND(EDATE($D81,Milestones!$AA$100)&lt;=AsOfDate,IF($Q81=0,$W81,IF(AND($S81&lt;&gt;"",EDATE($D81,Milestones!$AA$100)&gt;=$S81),$V81,IF(AND($R81&lt;&gt;"",EDATE($D81,Milestones!$AA$100)&gt;=$R81),$U81,$T81)))=Milestones!$AB$100),TEXT(EDATE($D81,Milestones!$AA$100),"dd/mm/yy")&amp;" "&amp;Milestones!$AB$100&amp;" "&amp;Milestones!$AC$100&amp;";  ","")&amp;IF(AND(EDATE($D81,Milestones!$AA$101)&lt;=AsOfDate,IF($Q81=0,$W81,IF(AND($S81&lt;&gt;"",EDATE($D81,Milestones!$AA$101)&gt;=$S81),$V81,IF(AND($R81&lt;&gt;"",EDATE($D81,Milestones!$AA$101)&gt;=$R81),$U81,$T81)))=Milestones!$AB$101),TEXT(EDATE($D81,Milestones!$AA$101),"dd/mm/yy")&amp;" "&amp;Milestones!$AB$101&amp;" "&amp;Milestones!$AC$101&amp;";  ","")&amp;IF(AND(EDATE($D81,Milestones!$AA$102)&lt;=AsOfDate,IF($Q81=0,$W81,IF(AND($S81&lt;&gt;"",EDATE($D81,Milestones!$AA$102)&gt;=$S81),$V81,IF(AND($R81&lt;&gt;"",EDATE($D81,Milestones!$AA$102)&gt;=$R81),$U81,$T81)))=Milestones!$AB$102),TEXT(EDATE($D81,Milestones!$AA$102),"dd/mm/yy")&amp;" "&amp;Milestones!$AB$102&amp;" "&amp;Milestones!$AC$102&amp;";  ","")&amp;IF(AND(EDATE($D81,Milestones!$AA$103)&lt;=AsOfDate,IF($Q81=0,$W81,IF(AND($S81&lt;&gt;"",EDATE($D81,Milestones!$AA$103)&gt;=$S81),$V81,IF(AND($R81&lt;&gt;"",EDATE($D81,Milestones!$AA$103)&gt;=$R81),$U81,$T81)))=Milestones!$AB$103),TEXT(EDATE($D81,Milestones!$AA$103),"dd/mm/yy")&amp;" "&amp;Milestones!$AB$103&amp;" "&amp;Milestones!$AC$103&amp;";  ","")&amp;IF(AND(EDATE($D81,Milestones!$AA$104)&lt;=AsOfDate,IF($Q81=0,$W81,IF(AND($S81&lt;&gt;"",EDATE($D81,Milestones!$AA$104)&gt;=$S81),$V81,IF(AND($R81&lt;&gt;"",EDATE($D81,Milestones!$AA$104)&gt;=$R81),$U81,$T81)))=Milestones!$AB$104),TEXT(EDATE($D81,Milestones!$AA$104),"dd/mm/yy")&amp;" "&amp;Milestones!$AB$104&amp;" "&amp;Milestones!$AC$104&amp;";  ","")&amp;IF(AND(EDATE($D81,Milestones!$AA$105)&lt;=AsOfDate,IF($Q81=0,$W81,IF(AND($S81&lt;&gt;"",EDATE($D81,Milestones!$AA$105)&gt;=$S81),$V81,IF(AND($R81&lt;&gt;"",EDATE($D81,Milestones!$AA$105)&gt;=$R81),$U81,$T81)))=Milestones!$AB$105),TEXT(EDATE($D81,Milestones!$AA$105),"dd/mm/yy")&amp;" "&amp;Milestones!$AB$105&amp;" "&amp;Milestones!$AC$105&amp;";  ","")&amp;IF(AND(EDATE($D81,Milestones!$AA$106)&lt;=AsOfDate,IF($Q81=0,$W81,IF(AND($S81&lt;&gt;"",EDATE($D81,Milestones!$AA$106)&gt;=$S81),$V81,IF(AND($R81&lt;&gt;"",EDATE($D81,Milestones!$AA$106)&gt;=$R81),$U81,$T81)))=Milestones!$AB$106),TEXT(EDATE($D81,Milestones!$AA$106),"dd/mm/yy")&amp;" "&amp;Milestones!$AB$106&amp;" "&amp;Milestones!$AC$106&amp;";  ","")&amp;IF(AND(EDATE($D81,Milestones!$AA$107)&lt;=AsOfDate,IF($Q81=0,$W81,IF(AND($S81&lt;&gt;"",EDATE($D81,Milestones!$AA$107)&gt;=$S81),$V81,IF(AND($R81&lt;&gt;"",EDATE($D81,Milestones!$AA$107)&gt;=$R81),$U81,$T81)))=Milestones!$AB$107),TEXT(EDATE($D81,Milestones!$AA$107),"dd/mm/yy")&amp;" "&amp;Milestones!$AB$107&amp;" "&amp;Milestones!$AC$107&amp;";  ","")&amp;IF(AND(EDATE($D81,Milestones!$AA$108)&lt;=AsOfDate,IF($Q81=0,$W81,IF(AND($S81&lt;&gt;"",EDATE($D81,Milestones!$AA$108)&gt;=$S81),$V81,IF(AND($R81&lt;&gt;"",EDATE($D81,Milestones!$AA$108)&gt;=$R81),$U81,$T81)))=Milestones!$AB$108),TEXT(EDATE($D81,Milestones!$AA$108),"dd/mm/yy")&amp;" "&amp;Milestones!$AB$108&amp;" "&amp;Milestones!$AC$108&amp;";  ","")&amp;IF(AND(EDATE($D81,Milestones!$AA$109)&lt;=AsOfDate,IF($Q81=0,$W81,IF(AND($S81&lt;&gt;"",EDATE($D81,Milestones!$AA$109)&gt;=$S81),$V81,IF(AND($R81&lt;&gt;"",EDATE($D81,Milestones!$AA$109)&gt;=$R81),$U81,$T81)))=Milestones!$AB$109),TEXT(EDATE($D81,Milestones!$AA$109),"dd/mm/yy")&amp;" "&amp;Milestones!$AB$109&amp;" "&amp;Milestones!$AC$109&amp;";  ","")&amp;IF(AND(EDATE($D81,Milestones!$AA$110)&lt;=AsOfDate,IF($Q81=0,$W81,IF(AND($S81&lt;&gt;"",EDATE($D81,Milestones!$AA$110)&gt;=$S81),$V81,IF(AND($R81&lt;&gt;"",EDATE($D81,Milestones!$AA$110)&gt;=$R81),$U81,$T81)))=Milestones!$AB$110),TEXT(EDATE($D81,Milestones!$AA$110),"dd/mm/yy")&amp;" "&amp;Milestones!$AB$110&amp;" "&amp;Milestones!$AC$110&amp;";  ","")&amp;IF(AND(EDATE($D81,Milestones!$AA$111)&lt;=AsOfDate,IF($Q81=0,$W81,IF(AND($S81&lt;&gt;"",EDATE($D81,Milestones!$AA$111)&gt;=$S81),$V81,IF(AND($R81&lt;&gt;"",EDATE($D81,Milestones!$AA$111)&gt;=$R81),$U81,$T81)))=Milestones!$AB$111),TEXT(EDATE($D81,Milestones!$AA$111),"dd/mm/yy")&amp;" "&amp;Milestones!$AB$111&amp;" "&amp;Milestones!$AC$111&amp;";  ","")&amp;IF(AND(EDATE($D81,Milestones!$AA$112)&lt;=AsOfDate,IF($Q81=0,$W81,IF(AND($S81&lt;&gt;"",EDATE($D81,Milestones!$AA$112)&gt;=$S81),$V81,IF(AND($R81&lt;&gt;"",EDATE($D81,Milestones!$AA$112)&gt;=$R81),$U81,$T81)))=Milestones!$AB$112),TEXT(EDATE($D81,Milestones!$AA$112),"dd/mm/yy")&amp;" "&amp;Milestones!$AB$112&amp;" "&amp;Milestones!$AC$112&amp;";  ","")&amp;IF(AND(EDATE($D81,Milestones!$AA$113)&lt;=AsOfDate,IF($Q81=0,$W81,IF(AND($S81&lt;&gt;"",EDATE($D81,Milestones!$AA$113)&gt;=$S81),$V81,IF(AND($R81&lt;&gt;"",EDATE($D81,Milestones!$AA$113)&gt;=$R81),$U81,$T81)))=Milestones!$AB$113),TEXT(EDATE($D81,Milestones!$AA$113),"dd/mm/yy")&amp;" "&amp;Milestones!$AB$113&amp;" "&amp;Milestones!$AC$113&amp;";  ","")&amp;IF(AND(EDATE($D81,Milestones!$AA$114)&lt;=AsOfDate,IF($Q81=0,$W81,IF(AND($S81&lt;&gt;"",EDATE($D81,Milestones!$AA$114)&gt;=$S81),$V81,IF(AND($R81&lt;&gt;"",EDATE($D81,Milestones!$AA$114)&gt;=$R81),$U81,$T81)))=Milestones!$AB$114),TEXT(EDATE($D81,Milestones!$AA$114),"dd/mm/yy")&amp;" "&amp;Milestones!$AB$114&amp;" "&amp;Milestones!$AC$114&amp;";  ","")&amp;IF(AND(EDATE($D81,Milestones!$AA$115)&lt;=AsOfDate,IF($Q81=0,$W81,IF(AND($S81&lt;&gt;"",EDATE($D81,Milestones!$AA$115)&gt;=$S81),$V81,IF(AND($R81&lt;&gt;"",EDATE($D81,Milestones!$AA$115)&gt;=$R81),$U81,$T81)))=Milestones!$AB$115),TEXT(EDATE($D81,Milestones!$AA$115),"dd/mm/yy")&amp;" "&amp;Milestones!$AB$115&amp;" "&amp;Milestones!$AC$115&amp;";  ","")&amp;IF(AND(EDATE($D81,Milestones!$AA$116)&lt;=AsOfDate,IF($Q81=0,$W81,IF(AND($S81&lt;&gt;"",EDATE($D81,Milestones!$AA$116)&gt;=$S81),$V81,IF(AND($R81&lt;&gt;"",EDATE($D81,Milestones!$AA$116)&gt;=$R81),$U81,$T81)))=Milestones!$AB$116),TEXT(EDATE($D81,Milestones!$AA$116),"dd/mm/yy")&amp;" "&amp;Milestones!$AB$116&amp;" "&amp;Milestones!$AC$116&amp;";  ","")&amp;IF(AND(EDATE($D81,Milestones!$AA$117)&lt;=AsOfDate,IF($Q81=0,$W81,IF(AND($S81&lt;&gt;"",EDATE($D81,Milestones!$AA$117)&gt;=$S81),$V81,IF(AND($R81&lt;&gt;"",EDATE($D81,Milestones!$AA$117)&gt;=$R81),$U81,$T81)))=Milestones!$AB$117),TEXT(EDATE($D81,Milestones!$AA$117),"dd/mm/yy")&amp;" "&amp;Milestones!$AB$117&amp;" "&amp;Milestones!$AC$117&amp;";  ","")&amp;IF(AND(EDATE($D81,Milestones!$AA$118)&lt;=AsOfDate,IF($Q81=0,$W81,IF(AND($S81&lt;&gt;"",EDATE($D81,Milestones!$AA$118)&gt;=$S81),$V81,IF(AND($R81&lt;&gt;"",EDATE($D81,Milestones!$AA$118)&gt;=$R81),$U81,$T81)))=Milestones!$AB$118),TEXT(EDATE($D81,Milestones!$AA$118),"dd/mm/yy")&amp;" "&amp;Milestones!$AB$118&amp;" "&amp;Milestones!$AC$118&amp;";  ","")&amp;IF(AND(EDATE($D81,Milestones!$AA$119)&lt;=AsOfDate,IF($Q81=0,$W81,IF(AND($S81&lt;&gt;"",EDATE($D81,Milestones!$AA$119)&gt;=$S81),$V81,IF(AND($R81&lt;&gt;"",EDATE($D81,Milestones!$AA$119)&gt;=$R81),$U81,$T81)))=Milestones!$AB$119),TEXT(EDATE($D81,Milestones!$AA$119),"dd/mm/yy")&amp;" "&amp;Milestones!$AB$119&amp;" "&amp;Milestones!$AC$119&amp;";  ",""))</f>
        <v/>
      </c>
      <c r="M81" s="0" t="str">
        <f aca="false">IF(OR($A81="",$D81=""),"",IF(AND(EDATE($D81,Milestones!$AA$120)&lt;=AsOfDate,IF($Q81=0,$W81,IF(AND($S81&lt;&gt;"",EDATE($D81,Milestones!$AA$120)&gt;=$S81),$V81,IF(AND($R81&lt;&gt;"",EDATE($D81,Milestones!$AA$120)&gt;=$R81),$U81,$T81)))=Milestones!$AB$120),TEXT(EDATE($D81,Milestones!$AA$120),"dd/mm/yy")&amp;" "&amp;Milestones!$AB$120&amp;" "&amp;Milestones!$AC$120&amp;";  ","")&amp;IF(AND(EDATE($D81,Milestones!$AA$121)&lt;=AsOfDate,IF($Q81=0,$W81,IF(AND($S81&lt;&gt;"",EDATE($D81,Milestones!$AA$121)&gt;=$S81),$V81,IF(AND($R81&lt;&gt;"",EDATE($D81,Milestones!$AA$121)&gt;=$R81),$U81,$T81)))=Milestones!$AB$121),TEXT(EDATE($D81,Milestones!$AA$121),"dd/mm/yy")&amp;" "&amp;Milestones!$AB$121&amp;" "&amp;Milestones!$AC$121&amp;";  ","")&amp;IF(AND(EDATE($D81,Milestones!$AA$122)&lt;=AsOfDate,IF($Q81=0,$W81,IF(AND($S81&lt;&gt;"",EDATE($D81,Milestones!$AA$122)&gt;=$S81),$V81,IF(AND($R81&lt;&gt;"",EDATE($D81,Milestones!$AA$122)&gt;=$R81),$U81,$T81)))=Milestones!$AB$122),TEXT(EDATE($D81,Milestones!$AA$122),"dd/mm/yy")&amp;" "&amp;Milestones!$AB$122&amp;" "&amp;Milestones!$AC$122&amp;";  ","")&amp;IF(AND(EDATE($D81,Milestones!$AA$123)&lt;=AsOfDate,IF($Q81=0,$W81,IF(AND($S81&lt;&gt;"",EDATE($D81,Milestones!$AA$123)&gt;=$S81),$V81,IF(AND($R81&lt;&gt;"",EDATE($D81,Milestones!$AA$123)&gt;=$R81),$U81,$T81)))=Milestones!$AB$123),TEXT(EDATE($D81,Milestones!$AA$123),"dd/mm/yy")&amp;" "&amp;Milestones!$AB$123&amp;" "&amp;Milestones!$AC$123&amp;";  ","")&amp;IF(AND(EDATE($D81,Milestones!$AA$124)&lt;=AsOfDate,IF($Q81=0,$W81,IF(AND($S81&lt;&gt;"",EDATE($D81,Milestones!$AA$124)&gt;=$S81),$V81,IF(AND($R81&lt;&gt;"",EDATE($D81,Milestones!$AA$124)&gt;=$R81),$U81,$T81)))=Milestones!$AB$124),TEXT(EDATE($D81,Milestones!$AA$124),"dd/mm/yy")&amp;" "&amp;Milestones!$AB$124&amp;" "&amp;Milestones!$AC$124&amp;";  ","")&amp;IF(AND(EDATE($D81,Milestones!$AA$125)&lt;=AsOfDate,IF($Q81=0,$W81,IF(AND($S81&lt;&gt;"",EDATE($D81,Milestones!$AA$125)&gt;=$S81),$V81,IF(AND($R81&lt;&gt;"",EDATE($D81,Milestones!$AA$125)&gt;=$R81),$U81,$T81)))=Milestones!$AB$125),TEXT(EDATE($D81,Milestones!$AA$125),"dd/mm/yy")&amp;" "&amp;Milestones!$AB$125&amp;" "&amp;Milestones!$AC$125&amp;";  ","")&amp;IF(AND(EDATE($D81,Milestones!$AA$126)&lt;=AsOfDate,IF($Q81=0,$W81,IF(AND($S81&lt;&gt;"",EDATE($D81,Milestones!$AA$126)&gt;=$S81),$V81,IF(AND($R81&lt;&gt;"",EDATE($D81,Milestones!$AA$126)&gt;=$R81),$U81,$T81)))=Milestones!$AB$126),TEXT(EDATE($D81,Milestones!$AA$126),"dd/mm/yy")&amp;" "&amp;Milestones!$AB$126&amp;" "&amp;Milestones!$AC$126&amp;";  ","")&amp;IF(AND(EDATE($D81,Milestones!$AA$127)&lt;=AsOfDate,IF($Q81=0,$W81,IF(AND($S81&lt;&gt;"",EDATE($D81,Milestones!$AA$127)&gt;=$S81),$V81,IF(AND($R81&lt;&gt;"",EDATE($D81,Milestones!$AA$127)&gt;=$R81),$U81,$T81)))=Milestones!$AB$127),TEXT(EDATE($D81,Milestones!$AA$127),"dd/mm/yy")&amp;" "&amp;Milestones!$AB$127&amp;" "&amp;Milestones!$AC$127&amp;";  ","")&amp;IF(AND(EDATE($D81,Milestones!$AA$128)&lt;=AsOfDate,IF($Q81=0,$W81,IF(AND($S81&lt;&gt;"",EDATE($D81,Milestones!$AA$128)&gt;=$S81),$V81,IF(AND($R81&lt;&gt;"",EDATE($D81,Milestones!$AA$128)&gt;=$R81),$U81,$T81)))=Milestones!$AB$128),TEXT(EDATE($D81,Milestones!$AA$128),"dd/mm/yy")&amp;" "&amp;Milestones!$AB$128&amp;" "&amp;Milestones!$AC$128&amp;";  ","")&amp;IF(AND(EDATE($D81,Milestones!$AA$129)&lt;=AsOfDate,IF($Q81=0,$W81,IF(AND($S81&lt;&gt;"",EDATE($D81,Milestones!$AA$129)&gt;=$S81),$V81,IF(AND($R81&lt;&gt;"",EDATE($D81,Milestones!$AA$129)&gt;=$R81),$U81,$T81)))=Milestones!$AB$129),TEXT(EDATE($D81,Milestones!$AA$129),"dd/mm/yy")&amp;" "&amp;Milestones!$AB$129&amp;" "&amp;Milestones!$AC$129&amp;";  ","")&amp;IF(AND(EDATE($D81,Milestones!$AA$130)&lt;=AsOfDate,IF($Q81=0,$W81,IF(AND($S81&lt;&gt;"",EDATE($D81,Milestones!$AA$130)&gt;=$S81),$V81,IF(AND($R81&lt;&gt;"",EDATE($D81,Milestones!$AA$130)&gt;=$R81),$U81,$T81)))=Milestones!$AB$130),TEXT(EDATE($D81,Milestones!$AA$130),"dd/mm/yy")&amp;" "&amp;Milestones!$AB$130&amp;" "&amp;Milestones!$AC$130&amp;";  ","")&amp;IF(AND(EDATE($D81,Milestones!$AA$131)&lt;=AsOfDate,IF($Q81=0,$W81,IF(AND($S81&lt;&gt;"",EDATE($D81,Milestones!$AA$131)&gt;=$S81),$V81,IF(AND($R81&lt;&gt;"",EDATE($D81,Milestones!$AA$131)&gt;=$R81),$U81,$T81)))=Milestones!$AB$131),TEXT(EDATE($D81,Milestones!$AA$131),"dd/mm/yy")&amp;" "&amp;Milestones!$AB$131&amp;" "&amp;Milestones!$AC$131&amp;";  ","")&amp;IF(AND(EDATE($D81,Milestones!$AA$132)&lt;=AsOfDate,IF($Q81=0,$W81,IF(AND($S81&lt;&gt;"",EDATE($D81,Milestones!$AA$132)&gt;=$S81),$V81,IF(AND($R81&lt;&gt;"",EDATE($D81,Milestones!$AA$132)&gt;=$R81),$U81,$T81)))=Milestones!$AB$132),TEXT(EDATE($D81,Milestones!$AA$132),"dd/mm/yy")&amp;" "&amp;Milestones!$AB$132&amp;" "&amp;Milestones!$AC$132&amp;";  ","")&amp;IF(AND(EDATE($D81,Milestones!$AA$133)&lt;=AsOfDate,IF($Q81=0,$W81,IF(AND($S81&lt;&gt;"",EDATE($D81,Milestones!$AA$133)&gt;=$S81),$V81,IF(AND($R81&lt;&gt;"",EDATE($D81,Milestones!$AA$133)&gt;=$R81),$U81,$T81)))=Milestones!$AB$133),TEXT(EDATE($D81,Milestones!$AA$133),"dd/mm/yy")&amp;" "&amp;Milestones!$AB$133&amp;" "&amp;Milestones!$AC$133&amp;";  ","")&amp;IF(AND(EDATE($D81,Milestones!$AA$134)&lt;=AsOfDate,IF($Q81=0,$W81,IF(AND($S81&lt;&gt;"",EDATE($D81,Milestones!$AA$134)&gt;=$S81),$V81,IF(AND($R81&lt;&gt;"",EDATE($D81,Milestones!$AA$134)&gt;=$R81),$U81,$T81)))=Milestones!$AB$134),TEXT(EDATE($D81,Milestones!$AA$134),"dd/mm/yy")&amp;" "&amp;Milestones!$AB$134&amp;" "&amp;Milestones!$AC$134&amp;";  ","")&amp;IF(AND(EDATE($D81,Milestones!$AA$135)&lt;=AsOfDate,IF($Q81=0,$W81,IF(AND($S81&lt;&gt;"",EDATE($D81,Milestones!$AA$135)&gt;=$S81),$V81,IF(AND($R81&lt;&gt;"",EDATE($D81,Milestones!$AA$135)&gt;=$R81),$U81,$T81)))=Milestones!$AB$135),TEXT(EDATE($D81,Milestones!$AA$135),"dd/mm/yy")&amp;" "&amp;Milestones!$AB$135&amp;" "&amp;Milestones!$AC$135&amp;";  ","")&amp;IF(AND(EDATE($D81,Milestones!$AA$136)&lt;=AsOfDate,IF($Q81=0,$W81,IF(AND($S81&lt;&gt;"",EDATE($D81,Milestones!$AA$136)&gt;=$S81),$V81,IF(AND($R81&lt;&gt;"",EDATE($D81,Milestones!$AA$136)&gt;=$R81),$U81,$T81)))=Milestones!$AB$136),TEXT(EDATE($D81,Milestones!$AA$136),"dd/mm/yy")&amp;" "&amp;Milestones!$AB$136&amp;" "&amp;Milestones!$AC$136&amp;";  ","")&amp;IF(AND(EDATE($D81,Milestones!$AA$137)&lt;=AsOfDate,IF($Q81=0,$W81,IF(AND($S81&lt;&gt;"",EDATE($D81,Milestones!$AA$137)&gt;=$S81),$V81,IF(AND($R81&lt;&gt;"",EDATE($D81,Milestones!$AA$137)&gt;=$R81),$U81,$T81)))=Milestones!$AB$137),TEXT(EDATE($D81,Milestones!$AA$137),"dd/mm/yy")&amp;" "&amp;Milestones!$AB$137&amp;" "&amp;Milestones!$AC$137&amp;";  ","")&amp;IF(AND(EDATE($D81,Milestones!$AA$138)&lt;=AsOfDate,IF($Q81=0,$W81,IF(AND($S81&lt;&gt;"",EDATE($D81,Milestones!$AA$138)&gt;=$S81),$V81,IF(AND($R81&lt;&gt;"",EDATE($D81,Milestones!$AA$138)&gt;=$R81),$U81,$T81)))=Milestones!$AB$138),TEXT(EDATE($D81,Milestones!$AA$138),"dd/mm/yy")&amp;" "&amp;Milestones!$AB$138&amp;" "&amp;Milestones!$AC$138&amp;";  ","")&amp;IF(AND(EDATE($D81,Milestones!$AA$139)&lt;=AsOfDate,IF($Q81=0,$W81,IF(AND($S81&lt;&gt;"",EDATE($D81,Milestones!$AA$139)&gt;=$S81),$V81,IF(AND($R81&lt;&gt;"",EDATE($D81,Milestones!$AA$139)&gt;=$R81),$U81,$T81)))=Milestones!$AB$139),TEXT(EDATE($D81,Milestones!$AA$139),"dd/mm/yy")&amp;" "&amp;Milestones!$AB$139&amp;" "&amp;Milestones!$AC$139&amp;";  ",""))</f>
        <v/>
      </c>
      <c r="N81" s="0" t="str">
        <f aca="false">IF(OR($A81="",$D81=""),"",IF(AND(EDATE($D81,Milestones!$AA$140)&lt;=AsOfDate,IF($Q81=0,$W81,IF(AND($S81&lt;&gt;"",EDATE($D81,Milestones!$AA$140)&gt;=$S81),$V81,IF(AND($R81&lt;&gt;"",EDATE($D81,Milestones!$AA$140)&gt;=$R81),$U81,$T81)))=Milestones!$AB$140),TEXT(EDATE($D81,Milestones!$AA$140),"dd/mm/yy")&amp;" "&amp;Milestones!$AB$140&amp;" "&amp;Milestones!$AC$140&amp;";  ","")&amp;IF(AND(EDATE($D81,Milestones!$AA$141)&lt;=AsOfDate,IF($Q81=0,$W81,IF(AND($S81&lt;&gt;"",EDATE($D81,Milestones!$AA$141)&gt;=$S81),$V81,IF(AND($R81&lt;&gt;"",EDATE($D81,Milestones!$AA$141)&gt;=$R81),$U81,$T81)))=Milestones!$AB$141),TEXT(EDATE($D81,Milestones!$AA$141),"dd/mm/yy")&amp;" "&amp;Milestones!$AB$141&amp;" "&amp;Milestones!$AC$141&amp;";  ","")&amp;IF(AND(EDATE($D81,Milestones!$AA$142)&lt;=AsOfDate,IF($Q81=0,$W81,IF(AND($S81&lt;&gt;"",EDATE($D81,Milestones!$AA$142)&gt;=$S81),$V81,IF(AND($R81&lt;&gt;"",EDATE($D81,Milestones!$AA$142)&gt;=$R81),$U81,$T81)))=Milestones!$AB$142),TEXT(EDATE($D81,Milestones!$AA$142),"dd/mm/yy")&amp;" "&amp;Milestones!$AB$142&amp;" "&amp;Milestones!$AC$142&amp;";  ","")&amp;IF(AND(EDATE($D81,Milestones!$AA$143)&lt;=AsOfDate,IF($Q81=0,$W81,IF(AND($S81&lt;&gt;"",EDATE($D81,Milestones!$AA$143)&gt;=$S81),$V81,IF(AND($R81&lt;&gt;"",EDATE($D81,Milestones!$AA$143)&gt;=$R81),$U81,$T81)))=Milestones!$AB$143),TEXT(EDATE($D81,Milestones!$AA$143),"dd/mm/yy")&amp;" "&amp;Milestones!$AB$143&amp;" "&amp;Milestones!$AC$143&amp;";  ","")&amp;IF(AND(EDATE($D81,Milestones!$AA$144)&lt;=AsOfDate,IF($Q81=0,$W81,IF(AND($S81&lt;&gt;"",EDATE($D81,Milestones!$AA$144)&gt;=$S81),$V81,IF(AND($R81&lt;&gt;"",EDATE($D81,Milestones!$AA$144)&gt;=$R81),$U81,$T81)))=Milestones!$AB$144),TEXT(EDATE($D81,Milestones!$AA$144),"dd/mm/yy")&amp;" "&amp;Milestones!$AB$144&amp;" "&amp;Milestones!$AC$144&amp;";  ","")&amp;IF(AND(EDATE($D81,Milestones!$AA$145)&lt;=AsOfDate,IF($Q81=0,$W81,IF(AND($S81&lt;&gt;"",EDATE($D81,Milestones!$AA$145)&gt;=$S81),$V81,IF(AND($R81&lt;&gt;"",EDATE($D81,Milestones!$AA$145)&gt;=$R81),$U81,$T81)))=Milestones!$AB$145),TEXT(EDATE($D81,Milestones!$AA$145),"dd/mm/yy")&amp;" "&amp;Milestones!$AB$145&amp;" "&amp;Milestones!$AC$145&amp;";  ","")&amp;IF(AND(EDATE($D81,Milestones!$AA$146)&lt;=AsOfDate,IF($Q81=0,$W81,IF(AND($S81&lt;&gt;"",EDATE($D81,Milestones!$AA$146)&gt;=$S81),$V81,IF(AND($R81&lt;&gt;"",EDATE($D81,Milestones!$AA$146)&gt;=$R81),$U81,$T81)))=Milestones!$AB$146),TEXT(EDATE($D81,Milestones!$AA$146),"dd/mm/yy")&amp;" "&amp;Milestones!$AB$146&amp;" "&amp;Milestones!$AC$146&amp;";  ","")&amp;IF(AND(EDATE($D81,Milestones!$AA$147)&lt;=AsOfDate,IF($Q81=0,$W81,IF(AND($S81&lt;&gt;"",EDATE($D81,Milestones!$AA$147)&gt;=$S81),$V81,IF(AND($R81&lt;&gt;"",EDATE($D81,Milestones!$AA$147)&gt;=$R81),$U81,$T81)))=Milestones!$AB$147),TEXT(EDATE($D81,Milestones!$AA$147),"dd/mm/yy")&amp;" "&amp;Milestones!$AB$147&amp;" "&amp;Milestones!$AC$147&amp;";  ","")&amp;IF(AND(EDATE($D81,Milestones!$AA$148)&lt;=AsOfDate,IF($Q81=0,$W81,IF(AND($S81&lt;&gt;"",EDATE($D81,Milestones!$AA$148)&gt;=$S81),$V81,IF(AND($R81&lt;&gt;"",EDATE($D81,Milestones!$AA$148)&gt;=$R81),$U81,$T81)))=Milestones!$AB$148),TEXT(EDATE($D81,Milestones!$AA$148),"dd/mm/yy")&amp;" "&amp;Milestones!$AB$148&amp;" "&amp;Milestones!$AC$148&amp;";  ","")&amp;IF(AND(EDATE($D81,Milestones!$AA$149)&lt;=AsOfDate,IF($Q81=0,$W81,IF(AND($S81&lt;&gt;"",EDATE($D81,Milestones!$AA$149)&gt;=$S81),$V81,IF(AND($R81&lt;&gt;"",EDATE($D81,Milestones!$AA$149)&gt;=$R81),$U81,$T81)))=Milestones!$AB$149),TEXT(EDATE($D81,Milestones!$AA$149),"dd/mm/yy")&amp;" "&amp;Milestones!$AB$149&amp;" "&amp;Milestones!$AC$149&amp;";  ","")&amp;IF(AND(EDATE($D81,Milestones!$AA$150)&lt;=AsOfDate,IF($Q81=0,$W81,IF(AND($S81&lt;&gt;"",EDATE($D81,Milestones!$AA$150)&gt;=$S81),$V81,IF(AND($R81&lt;&gt;"",EDATE($D81,Milestones!$AA$150)&gt;=$R81),$U81,$T81)))=Milestones!$AB$150),TEXT(EDATE($D81,Milestones!$AA$150),"dd/mm/yy")&amp;" "&amp;Milestones!$AB$150&amp;" "&amp;Milestones!$AC$150&amp;";  ","")&amp;IF(AND(EDATE($D81,Milestones!$AA$151)&lt;=AsOfDate,IF($Q81=0,$W81,IF(AND($S81&lt;&gt;"",EDATE($D81,Milestones!$AA$151)&gt;=$S81),$V81,IF(AND($R81&lt;&gt;"",EDATE($D81,Milestones!$AA$151)&gt;=$R81),$U81,$T81)))=Milestones!$AB$151),TEXT(EDATE($D81,Milestones!$AA$151),"dd/mm/yy")&amp;" "&amp;Milestones!$AB$151&amp;" "&amp;Milestones!$AC$151&amp;";  ","")&amp;IF(AND(EDATE($D81,Milestones!$AA$152)&lt;=AsOfDate,IF($Q81=0,$W81,IF(AND($S81&lt;&gt;"",EDATE($D81,Milestones!$AA$152)&gt;=$S81),$V81,IF(AND($R81&lt;&gt;"",EDATE($D81,Milestones!$AA$152)&gt;=$R81),$U81,$T81)))=Milestones!$AB$152),TEXT(EDATE($D81,Milestones!$AA$152),"dd/mm/yy")&amp;" "&amp;Milestones!$AB$152&amp;" "&amp;Milestones!$AC$152&amp;";  ","")&amp;IF(AND(EDATE($D81,Milestones!$AA$153)&lt;=AsOfDate,IF($Q81=0,$W81,IF(AND($S81&lt;&gt;"",EDATE($D81,Milestones!$AA$153)&gt;=$S81),$V81,IF(AND($R81&lt;&gt;"",EDATE($D81,Milestones!$AA$153)&gt;=$R81),$U81,$T81)))=Milestones!$AB$153),TEXT(EDATE($D81,Milestones!$AA$153),"dd/mm/yy")&amp;" "&amp;Milestones!$AB$153&amp;" "&amp;Milestones!$AC$153&amp;";  ","")&amp;IF(AND(EDATE($D81,Milestones!$AA$154)&lt;=AsOfDate,IF($Q81=0,$W81,IF(AND($S81&lt;&gt;"",EDATE($D81,Milestones!$AA$154)&gt;=$S81),$V81,IF(AND($R81&lt;&gt;"",EDATE($D81,Milestones!$AA$154)&gt;=$R81),$U81,$T81)))=Milestones!$AB$154),TEXT(EDATE($D81,Milestones!$AA$154),"dd/mm/yy")&amp;" "&amp;Milestones!$AB$154&amp;" "&amp;Milestones!$AC$154&amp;";  ","")&amp;IF(AND(EDATE($D81,Milestones!$AA$155)&lt;=AsOfDate,IF($Q81=0,$W81,IF(AND($S81&lt;&gt;"",EDATE($D81,Milestones!$AA$155)&gt;=$S81),$V81,IF(AND($R81&lt;&gt;"",EDATE($D81,Milestones!$AA$155)&gt;=$R81),$U81,$T81)))=Milestones!$AB$155),TEXT(EDATE($D81,Milestones!$AA$155),"dd/mm/yy")&amp;" "&amp;Milestones!$AB$155&amp;" "&amp;Milestones!$AC$155&amp;";  ","")&amp;IF(AND(EDATE($D81,Milestones!$AA$156)&lt;=AsOfDate,IF($Q81=0,$W81,IF(AND($S81&lt;&gt;"",EDATE($D81,Milestones!$AA$156)&gt;=$S81),$V81,IF(AND($R81&lt;&gt;"",EDATE($D81,Milestones!$AA$156)&gt;=$R81),$U81,$T81)))=Milestones!$AB$156),TEXT(EDATE($D81,Milestones!$AA$156),"dd/mm/yy")&amp;" "&amp;Milestones!$AB$156&amp;" "&amp;Milestones!$AC$156&amp;";  ","")&amp;IF(AND(EDATE($D81,Milestones!$AA$157)&lt;=AsOfDate,IF($Q81=0,$W81,IF(AND($S81&lt;&gt;"",EDATE($D81,Milestones!$AA$157)&gt;=$S81),$V81,IF(AND($R81&lt;&gt;"",EDATE($D81,Milestones!$AA$157)&gt;=$R81),$U81,$T81)))=Milestones!$AB$157),TEXT(EDATE($D81,Milestones!$AA$157),"dd/mm/yy")&amp;" "&amp;Milestones!$AB$157&amp;" "&amp;Milestones!$AC$157&amp;";  ","")&amp;IF(AND(EDATE($D81,Milestones!$AA$158)&lt;=AsOfDate,IF($Q81=0,$W81,IF(AND($S81&lt;&gt;"",EDATE($D81,Milestones!$AA$158)&gt;=$S81),$V81,IF(AND($R81&lt;&gt;"",EDATE($D81,Milestones!$AA$158)&gt;=$R81),$U81,$T81)))=Milestones!$AB$158),TEXT(EDATE($D81,Milestones!$AA$158),"dd/mm/yy")&amp;" "&amp;Milestones!$AB$158&amp;" "&amp;Milestones!$AC$158&amp;";  ","")&amp;IF(AND(EDATE($D81,Milestones!$AA$159)&lt;=AsOfDate,IF($Q81=0,$W81,IF(AND($S81&lt;&gt;"",EDATE($D81,Milestones!$AA$159)&gt;=$S81),$V81,IF(AND($R81&lt;&gt;"",EDATE($D81,Milestones!$AA$159)&gt;=$R81),$U81,$T81)))=Milestones!$AB$159),TEXT(EDATE($D81,Milestones!$AA$159),"dd/mm/yy")&amp;" "&amp;Milestones!$AB$159&amp;" "&amp;Milestones!$AC$159&amp;";  ",""))</f>
        <v/>
      </c>
      <c r="O81" s="0" t="str">
        <f aca="false">IF(OR($A81="",$D81=""),"",IF(AND(EDATE($D81,Milestones!$AA$160)&lt;=AsOfDate,IF($Q81=0,$W81,IF(AND($S81&lt;&gt;"",EDATE($D81,Milestones!$AA$160)&gt;=$S81),$V81,IF(AND($R81&lt;&gt;"",EDATE($D81,Milestones!$AA$160)&gt;=$R81),$U81,$T81)))=Milestones!$AB$160),TEXT(EDATE($D81,Milestones!$AA$160),"dd/mm/yy")&amp;" "&amp;Milestones!$AB$160&amp;" "&amp;Milestones!$AC$160&amp;";  ","")&amp;IF(AND(EDATE($D81,Milestones!$AA$161)&lt;=AsOfDate,IF($Q81=0,$W81,IF(AND($S81&lt;&gt;"",EDATE($D81,Milestones!$AA$161)&gt;=$S81),$V81,IF(AND($R81&lt;&gt;"",EDATE($D81,Milestones!$AA$161)&gt;=$R81),$U81,$T81)))=Milestones!$AB$161),TEXT(EDATE($D81,Milestones!$AA$161),"dd/mm/yy")&amp;" "&amp;Milestones!$AB$161&amp;" "&amp;Milestones!$AC$161&amp;";  ","")&amp;IF(AND(EDATE($D81,Milestones!$AA$162)&lt;=AsOfDate,IF($Q81=0,$W81,IF(AND($S81&lt;&gt;"",EDATE($D81,Milestones!$AA$162)&gt;=$S81),$V81,IF(AND($R81&lt;&gt;"",EDATE($D81,Milestones!$AA$162)&gt;=$R81),$U81,$T81)))=Milestones!$AB$162),TEXT(EDATE($D81,Milestones!$AA$162),"dd/mm/yy")&amp;" "&amp;Milestones!$AB$162&amp;" "&amp;Milestones!$AC$162&amp;";  ","")&amp;IF(AND(EDATE($D81,Milestones!$AA$163)&lt;=AsOfDate,IF($Q81=0,$W81,IF(AND($S81&lt;&gt;"",EDATE($D81,Milestones!$AA$163)&gt;=$S81),$V81,IF(AND($R81&lt;&gt;"",EDATE($D81,Milestones!$AA$163)&gt;=$R81),$U81,$T81)))=Milestones!$AB$163),TEXT(EDATE($D81,Milestones!$AA$163),"dd/mm/yy")&amp;" "&amp;Milestones!$AB$163&amp;" "&amp;Milestones!$AC$163&amp;";  ","")&amp;IF(AND(EDATE($D81,Milestones!$AA$164)&lt;=AsOfDate,IF($Q81=0,$W81,IF(AND($S81&lt;&gt;"",EDATE($D81,Milestones!$AA$164)&gt;=$S81),$V81,IF(AND($R81&lt;&gt;"",EDATE($D81,Milestones!$AA$164)&gt;=$R81),$U81,$T81)))=Milestones!$AB$164),TEXT(EDATE($D81,Milestones!$AA$164),"dd/mm/yy")&amp;" "&amp;Milestones!$AB$164&amp;" "&amp;Milestones!$AC$164&amp;";  ","")&amp;IF(AND(EDATE($D81,Milestones!$AA$165)&lt;=AsOfDate,IF($Q81=0,$W81,IF(AND($S81&lt;&gt;"",EDATE($D81,Milestones!$AA$165)&gt;=$S81),$V81,IF(AND($R81&lt;&gt;"",EDATE($D81,Milestones!$AA$165)&gt;=$R81),$U81,$T81)))=Milestones!$AB$165),TEXT(EDATE($D81,Milestones!$AA$165),"dd/mm/yy")&amp;" "&amp;Milestones!$AB$165&amp;" "&amp;Milestones!$AC$165&amp;";  ","")&amp;IF(AND(EDATE($D81,Milestones!$AA$166)&lt;=AsOfDate,IF($Q81=0,$W81,IF(AND($S81&lt;&gt;"",EDATE($D81,Milestones!$AA$166)&gt;=$S81),$V81,IF(AND($R81&lt;&gt;"",EDATE($D81,Milestones!$AA$166)&gt;=$R81),$U81,$T81)))=Milestones!$AB$166),TEXT(EDATE($D81,Milestones!$AA$166),"dd/mm/yy")&amp;" "&amp;Milestones!$AB$166&amp;" "&amp;Milestones!$AC$166&amp;";  ","")&amp;IF(AND(EDATE($D81,Milestones!$AA$167)&lt;=AsOfDate,IF($Q81=0,$W81,IF(AND($S81&lt;&gt;"",EDATE($D81,Milestones!$AA$167)&gt;=$S81),$V81,IF(AND($R81&lt;&gt;"",EDATE($D81,Milestones!$AA$167)&gt;=$R81),$U81,$T81)))=Milestones!$AB$167),TEXT(EDATE($D81,Milestones!$AA$167),"dd/mm/yy")&amp;" "&amp;Milestones!$AB$167&amp;" "&amp;Milestones!$AC$167&amp;";  ","")&amp;IF(AND(EDATE($D81,Milestones!$AA$168)&lt;=AsOfDate,IF($Q81=0,$W81,IF(AND($S81&lt;&gt;"",EDATE($D81,Milestones!$AA$168)&gt;=$S81),$V81,IF(AND($R81&lt;&gt;"",EDATE($D81,Milestones!$AA$168)&gt;=$R81),$U81,$T81)))=Milestones!$AB$168),TEXT(EDATE($D81,Milestones!$AA$168),"dd/mm/yy")&amp;" "&amp;Milestones!$AB$168&amp;" "&amp;Milestones!$AC$168&amp;";  ","")&amp;IF(AND(EDATE($D81,Milestones!$AA$169)&lt;=AsOfDate,IF($Q81=0,$W81,IF(AND($S81&lt;&gt;"",EDATE($D81,Milestones!$AA$169)&gt;=$S81),$V81,IF(AND($R81&lt;&gt;"",EDATE($D81,Milestones!$AA$169)&gt;=$R81),$U81,$T81)))=Milestones!$AB$169),TEXT(EDATE($D81,Milestones!$AA$169),"dd/mm/yy")&amp;" "&amp;Milestones!$AB$169&amp;" "&amp;Milestones!$AC$169&amp;";  ","")&amp;IF(AND(EDATE($D81,Milestones!$AA$170)&lt;=AsOfDate,IF($Q81=0,$W81,IF(AND($S81&lt;&gt;"",EDATE($D81,Milestones!$AA$170)&gt;=$S81),$V81,IF(AND($R81&lt;&gt;"",EDATE($D81,Milestones!$AA$170)&gt;=$R81),$U81,$T81)))=Milestones!$AB$170),TEXT(EDATE($D81,Milestones!$AA$170),"dd/mm/yy")&amp;" "&amp;Milestones!$AB$170&amp;" "&amp;Milestones!$AC$170&amp;";  ","")&amp;IF(AND(EDATE($D81,Milestones!$AA$171)&lt;=AsOfDate,IF($Q81=0,$W81,IF(AND($S81&lt;&gt;"",EDATE($D81,Milestones!$AA$171)&gt;=$S81),$V81,IF(AND($R81&lt;&gt;"",EDATE($D81,Milestones!$AA$171)&gt;=$R81),$U81,$T81)))=Milestones!$AB$171),TEXT(EDATE($D81,Milestones!$AA$171),"dd/mm/yy")&amp;" "&amp;Milestones!$AB$171&amp;" "&amp;Milestones!$AC$171&amp;";  ","")&amp;IF(AND(EDATE($D81,Milestones!$AA$172)&lt;=AsOfDate,IF($Q81=0,$W81,IF(AND($S81&lt;&gt;"",EDATE($D81,Milestones!$AA$172)&gt;=$S81),$V81,IF(AND($R81&lt;&gt;"",EDATE($D81,Milestones!$AA$172)&gt;=$R81),$U81,$T81)))=Milestones!$AB$172),TEXT(EDATE($D81,Milestones!$AA$172),"dd/mm/yy")&amp;" "&amp;Milestones!$AB$172&amp;" "&amp;Milestones!$AC$172&amp;";  ","")&amp;IF(AND(EDATE($D81,Milestones!$AA$173)&lt;=AsOfDate,IF($Q81=0,$W81,IF(AND($S81&lt;&gt;"",EDATE($D81,Milestones!$AA$173)&gt;=$S81),$V81,IF(AND($R81&lt;&gt;"",EDATE($D81,Milestones!$AA$173)&gt;=$R81),$U81,$T81)))=Milestones!$AB$173),TEXT(EDATE($D81,Milestones!$AA$173),"dd/mm/yy")&amp;" "&amp;Milestones!$AB$173&amp;" "&amp;Milestones!$AC$173&amp;";  ","")&amp;IF(AND(EDATE($D81,Milestones!$AA$174)&lt;=AsOfDate,IF($Q81=0,$W81,IF(AND($S81&lt;&gt;"",EDATE($D81,Milestones!$AA$174)&gt;=$S81),$V81,IF(AND($R81&lt;&gt;"",EDATE($D81,Milestones!$AA$174)&gt;=$R81),$U81,$T81)))=Milestones!$AB$174),TEXT(EDATE($D81,Milestones!$AA$174),"dd/mm/yy")&amp;" "&amp;Milestones!$AB$174&amp;" "&amp;Milestones!$AC$174&amp;";  ","")&amp;IF(AND(EDATE($D81,Milestones!$AA$175)&lt;=AsOfDate,IF($Q81=0,$W81,IF(AND($S81&lt;&gt;"",EDATE($D81,Milestones!$AA$175)&gt;=$S81),$V81,IF(AND($R81&lt;&gt;"",EDATE($D81,Milestones!$AA$175)&gt;=$R81),$U81,$T81)))=Milestones!$AB$175),TEXT(EDATE($D81,Milestones!$AA$175),"dd/mm/yy")&amp;" "&amp;Milestones!$AB$175&amp;" "&amp;Milestones!$AC$175&amp;";  ","")&amp;IF(AND(EDATE($D81,Milestones!$AA$176)&lt;=AsOfDate,IF($Q81=0,$W81,IF(AND($S81&lt;&gt;"",EDATE($D81,Milestones!$AA$176)&gt;=$S81),$V81,IF(AND($R81&lt;&gt;"",EDATE($D81,Milestones!$AA$176)&gt;=$R81),$U81,$T81)))=Milestones!$AB$176),TEXT(EDATE($D81,Milestones!$AA$176),"dd/mm/yy")&amp;" "&amp;Milestones!$AB$176&amp;" "&amp;Milestones!$AC$176&amp;";  ","")&amp;IF(AND(EDATE($D81,Milestones!$AA$177)&lt;=AsOfDate,IF($Q81=0,$W81,IF(AND($S81&lt;&gt;"",EDATE($D81,Milestones!$AA$177)&gt;=$S81),$V81,IF(AND($R81&lt;&gt;"",EDATE($D81,Milestones!$AA$177)&gt;=$R81),$U81,$T81)))=Milestones!$AB$177),TEXT(EDATE($D81,Milestones!$AA$177),"dd/mm/yy")&amp;" "&amp;Milestones!$AB$177&amp;" "&amp;Milestones!$AC$177&amp;";  ","")&amp;IF(AND(EDATE($D81,Milestones!$AA$178)&lt;=AsOfDate,IF($Q81=0,$W81,IF(AND($S81&lt;&gt;"",EDATE($D81,Milestones!$AA$178)&gt;=$S81),$V81,IF(AND($R81&lt;&gt;"",EDATE($D81,Milestones!$AA$178)&gt;=$R81),$U81,$T81)))=Milestones!$AB$178),TEXT(EDATE($D81,Milestones!$AA$178),"dd/mm/yy")&amp;" "&amp;Milestones!$AB$178&amp;" "&amp;Milestones!$AC$178&amp;";  ","")&amp;IF(AND(EDATE($D81,Milestones!$AA$179)&lt;=AsOfDate,IF($Q81=0,$W81,IF(AND($S81&lt;&gt;"",EDATE($D81,Milestones!$AA$179)&gt;=$S81),$V81,IF(AND($R81&lt;&gt;"",EDATE($D81,Milestones!$AA$179)&gt;=$R81),$U81,$T81)))=Milestones!$AB$179),TEXT(EDATE($D81,Milestones!$AA$179),"dd/mm/yy")&amp;" "&amp;Milestones!$AB$179&amp;" "&amp;Milestones!$AC$179&amp;";  ",""))</f>
        <v/>
      </c>
      <c r="P81" s="0" t="str">
        <f aca="false">IF(OR($A81="",$D81=""),"",IF(AND(EDATE($D81,Milestones!$AA$180)&lt;=AsOfDate,IF($Q81=0,$W81,IF(AND($S81&lt;&gt;"",EDATE($D81,Milestones!$AA$180)&gt;=$S81),$V81,IF(AND($R81&lt;&gt;"",EDATE($D81,Milestones!$AA$180)&gt;=$R81),$U81,$T81)))=Milestones!$AB$180),TEXT(EDATE($D81,Milestones!$AA$180),"dd/mm/yy")&amp;" "&amp;Milestones!$AB$180&amp;" "&amp;Milestones!$AC$180&amp;";  ","")&amp;IF(AND(EDATE($D81,Milestones!$AA$181)&lt;=AsOfDate,IF($Q81=0,$W81,IF(AND($S81&lt;&gt;"",EDATE($D81,Milestones!$AA$181)&gt;=$S81),$V81,IF(AND($R81&lt;&gt;"",EDATE($D81,Milestones!$AA$181)&gt;=$R81),$U81,$T81)))=Milestones!$AB$181),TEXT(EDATE($D81,Milestones!$AA$181),"dd/mm/yy")&amp;" "&amp;Milestones!$AB$181&amp;" "&amp;Milestones!$AC$181&amp;";  ","")&amp;IF(AND(EDATE($D81,Milestones!$AA$182)&lt;=AsOfDate,IF($Q81=0,$W81,IF(AND($S81&lt;&gt;"",EDATE($D81,Milestones!$AA$182)&gt;=$S81),$V81,IF(AND($R81&lt;&gt;"",EDATE($D81,Milestones!$AA$182)&gt;=$R81),$U81,$T81)))=Milestones!$AB$182),TEXT(EDATE($D81,Milestones!$AA$182),"dd/mm/yy")&amp;" "&amp;Milestones!$AB$182&amp;" "&amp;Milestones!$AC$182&amp;";  ","")&amp;IF(AND(EDATE($D81,Milestones!$AA$183)&lt;=AsOfDate,IF($Q81=0,$W81,IF(AND($S81&lt;&gt;"",EDATE($D81,Milestones!$AA$183)&gt;=$S81),$V81,IF(AND($R81&lt;&gt;"",EDATE($D81,Milestones!$AA$183)&gt;=$R81),$U81,$T81)))=Milestones!$AB$183),TEXT(EDATE($D81,Milestones!$AA$183),"dd/mm/yy")&amp;" "&amp;Milestones!$AB$183&amp;" "&amp;Milestones!$AC$183&amp;";  ","")&amp;IF(AND(EDATE($D81,Milestones!$AA$184)&lt;=AsOfDate,IF($Q81=0,$W81,IF(AND($S81&lt;&gt;"",EDATE($D81,Milestones!$AA$184)&gt;=$S81),$V81,IF(AND($R81&lt;&gt;"",EDATE($D81,Milestones!$AA$184)&gt;=$R81),$U81,$T81)))=Milestones!$AB$184),TEXT(EDATE($D81,Milestones!$AA$184),"dd/mm/yy")&amp;" "&amp;Milestones!$AB$184&amp;" "&amp;Milestones!$AC$184&amp;";  ","")&amp;IF(AND(EDATE($D81,Milestones!$AA$185)&lt;=AsOfDate,IF($Q81=0,$W81,IF(AND($S81&lt;&gt;"",EDATE($D81,Milestones!$AA$185)&gt;=$S81),$V81,IF(AND($R81&lt;&gt;"",EDATE($D81,Milestones!$AA$185)&gt;=$R81),$U81,$T81)))=Milestones!$AB$185),TEXT(EDATE($D81,Milestones!$AA$185),"dd/mm/yy")&amp;" "&amp;Milestones!$AB$185&amp;" "&amp;Milestones!$AC$185&amp;";  ","")&amp;IF(AND(EDATE($D81,Milestones!$AA$186)&lt;=AsOfDate,IF($Q81=0,$W81,IF(AND($S81&lt;&gt;"",EDATE($D81,Milestones!$AA$186)&gt;=$S81),$V81,IF(AND($R81&lt;&gt;"",EDATE($D81,Milestones!$AA$186)&gt;=$R81),$U81,$T81)))=Milestones!$AB$186),TEXT(EDATE($D81,Milestones!$AA$186),"dd/mm/yy")&amp;" "&amp;Milestones!$AB$186&amp;" "&amp;Milestones!$AC$186&amp;";  ","")&amp;IF(AND(EDATE($D81,Milestones!$AA$187)&lt;=AsOfDate,IF($Q81=0,$W81,IF(AND($S81&lt;&gt;"",EDATE($D81,Milestones!$AA$187)&gt;=$S81),$V81,IF(AND($R81&lt;&gt;"",EDATE($D81,Milestones!$AA$187)&gt;=$R81),$U81,$T81)))=Milestones!$AB$187),TEXT(EDATE($D81,Milestones!$AA$187),"dd/mm/yy")&amp;" "&amp;Milestones!$AB$187&amp;" "&amp;Milestones!$AC$187&amp;";  ","")&amp;IF(AND(EDATE($D81,Milestones!$AA$188)&lt;=AsOfDate,IF($Q81=0,$W81,IF(AND($S81&lt;&gt;"",EDATE($D81,Milestones!$AA$188)&gt;=$S81),$V81,IF(AND($R81&lt;&gt;"",EDATE($D81,Milestones!$AA$188)&gt;=$R81),$U81,$T81)))=Milestones!$AB$188),TEXT(EDATE($D81,Milestones!$AA$188),"dd/mm/yy")&amp;" "&amp;Milestones!$AB$188&amp;" "&amp;Milestones!$AC$188&amp;";  ","")&amp;IF(AND(EDATE($D81,Milestones!$AA$189)&lt;=AsOfDate,IF($Q81=0,$W81,IF(AND($S81&lt;&gt;"",EDATE($D81,Milestones!$AA$189)&gt;=$S81),$V81,IF(AND($R81&lt;&gt;"",EDATE($D81,Milestones!$AA$189)&gt;=$R81),$U81,$T81)))=Milestones!$AB$189),TEXT(EDATE($D81,Milestones!$AA$189),"dd/mm/yy")&amp;" "&amp;Milestones!$AB$189&amp;" "&amp;Milestones!$AC$189&amp;";  ","")&amp;IF(AND(EDATE($D81,Milestones!$AA$190)&lt;=AsOfDate,IF($Q81=0,$W81,IF(AND($S81&lt;&gt;"",EDATE($D81,Milestones!$AA$190)&gt;=$S81),$V81,IF(AND($R81&lt;&gt;"",EDATE($D81,Milestones!$AA$190)&gt;=$R81),$U81,$T81)))=Milestones!$AB$190),TEXT(EDATE($D81,Milestones!$AA$190),"dd/mm/yy")&amp;" "&amp;Milestones!$AB$190&amp;" "&amp;Milestones!$AC$190&amp;";  ","")&amp;IF(AND(EDATE($D81,Milestones!$AA$191)&lt;=AsOfDate,IF($Q81=0,$W81,IF(AND($S81&lt;&gt;"",EDATE($D81,Milestones!$AA$191)&gt;=$S81),$V81,IF(AND($R81&lt;&gt;"",EDATE($D81,Milestones!$AA$191)&gt;=$R81),$U81,$T81)))=Milestones!$AB$191),TEXT(EDATE($D81,Milestones!$AA$191),"dd/mm/yy")&amp;" "&amp;Milestones!$AB$191&amp;" "&amp;Milestones!$AC$191&amp;";  ","")&amp;IF(AND(EDATE($D81,Milestones!$AA$192)&lt;=AsOfDate,IF($Q81=0,$W81,IF(AND($S81&lt;&gt;"",EDATE($D81,Milestones!$AA$192)&gt;=$S81),$V81,IF(AND($R81&lt;&gt;"",EDATE($D81,Milestones!$AA$192)&gt;=$R81),$U81,$T81)))=Milestones!$AB$192),TEXT(EDATE($D81,Milestones!$AA$192),"dd/mm/yy")&amp;" "&amp;Milestones!$AB$192&amp;" "&amp;Milestones!$AC$192&amp;";  ","")&amp;IF(AND(EDATE($D81,Milestones!$AA$193)&lt;=AsOfDate,IF($Q81=0,$W81,IF(AND($S81&lt;&gt;"",EDATE($D81,Milestones!$AA$193)&gt;=$S81),$V81,IF(AND($R81&lt;&gt;"",EDATE($D81,Milestones!$AA$193)&gt;=$R81),$U81,$T81)))=Milestones!$AB$193),TEXT(EDATE($D81,Milestones!$AA$193),"dd/mm/yy")&amp;" "&amp;Milestones!$AB$193&amp;" "&amp;Milestones!$AC$193&amp;";  ","")&amp;IF(AND(EDATE($D81,Milestones!$AA$194)&lt;=AsOfDate,IF($Q81=0,$W81,IF(AND($S81&lt;&gt;"",EDATE($D81,Milestones!$AA$194)&gt;=$S81),$V81,IF(AND($R81&lt;&gt;"",EDATE($D81,Milestones!$AA$194)&gt;=$R81),$U81,$T81)))=Milestones!$AB$194),TEXT(EDATE($D81,Milestones!$AA$194),"dd/mm/yy")&amp;" "&amp;Milestones!$AB$194&amp;" "&amp;Milestones!$AC$194&amp;";  ","")&amp;IF(AND(EDATE($D81,Milestones!$AA$195)&lt;=AsOfDate,IF($Q81=0,$W81,IF(AND($S81&lt;&gt;"",EDATE($D81,Milestones!$AA$195)&gt;=$S81),$V81,IF(AND($R81&lt;&gt;"",EDATE($D81,Milestones!$AA$195)&gt;=$R81),$U81,$T81)))=Milestones!$AB$195),TEXT(EDATE($D81,Milestones!$AA$195),"dd/mm/yy")&amp;" "&amp;Milestones!$AB$195&amp;" "&amp;Milestones!$AC$195&amp;";  ","")&amp;IF(AND(EDATE($D81,Milestones!$AA$196)&lt;=AsOfDate,IF($Q81=0,$W81,IF(AND($S81&lt;&gt;"",EDATE($D81,Milestones!$AA$196)&gt;=$S81),$V81,IF(AND($R81&lt;&gt;"",EDATE($D81,Milestones!$AA$196)&gt;=$R81),$U81,$T81)))=Milestones!$AB$196),TEXT(EDATE($D81,Milestones!$AA$196),"dd/mm/yy")&amp;" "&amp;Milestones!$AB$196&amp;" "&amp;Milestones!$AC$196&amp;";  ","")&amp;IF(AND(EDATE($D81,Milestones!$AA$197)&lt;=AsOfDate,IF($Q81=0,$W81,IF(AND($S81&lt;&gt;"",EDATE($D81,Milestones!$AA$197)&gt;=$S81),$V81,IF(AND($R81&lt;&gt;"",EDATE($D81,Milestones!$AA$197)&gt;=$R81),$U81,$T81)))=Milestones!$AB$197),TEXT(EDATE($D81,Milestones!$AA$197),"dd/mm/yy")&amp;" "&amp;Milestones!$AB$197&amp;" "&amp;Milestones!$AC$197&amp;";  ","")&amp;IF(AND(EDATE($D81,Milestones!$AA$198)&lt;=AsOfDate,IF($Q81=0,$W81,IF(AND($S81&lt;&gt;"",EDATE($D81,Milestones!$AA$198)&gt;=$S81),$V81,IF(AND($R81&lt;&gt;"",EDATE($D81,Milestones!$AA$198)&gt;=$R81),$U81,$T81)))=Milestones!$AB$198),TEXT(EDATE($D81,Milestones!$AA$198),"dd/mm/yy")&amp;" "&amp;Milestones!$AB$198&amp;" "&amp;Milestones!$AC$198&amp;";  ","")&amp;IF(AND(EDATE($D81,Milestones!$AA$199)&lt;=AsOfDate,IF($Q81=0,$W81,IF(AND($S81&lt;&gt;"",EDATE($D81,Milestones!$AA$199)&gt;=$S81),$V81,IF(AND($R81&lt;&gt;"",EDATE($D81,Milestones!$AA$199)&gt;=$R81),$U81,$T81)))=Milestones!$AB$199),TEXT(EDATE($D81,Milestones!$AA$199),"dd/mm/yy")&amp;" "&amp;Milestones!$AB$199&amp;" "&amp;Milestones!$AC$199&amp;";  ",""))</f>
        <v/>
      </c>
      <c r="Q81" s="0" t="str">
        <f aca="false">IF(Staff!$A81="","",Staff!$AG81)</f>
        <v/>
      </c>
      <c r="R81" s="0" t="str">
        <f aca="false">IF(Staff!$A81="","",Staff!$AI81)</f>
        <v/>
      </c>
      <c r="S81" s="0" t="str">
        <f aca="false">IF(Staff!$A81="","",Staff!$AJ81)</f>
        <v/>
      </c>
      <c r="T81" s="0" t="str">
        <f aca="false">IF(Staff!$A81="","",Staff!$AN81)</f>
        <v/>
      </c>
      <c r="U81" s="0" t="str">
        <f aca="false">IF(Staff!$A81="","",Staff!$AO81)</f>
        <v/>
      </c>
      <c r="V81" s="0" t="str">
        <f aca="false">IF(Staff!$A81="","",Staff!$AP81)</f>
        <v/>
      </c>
      <c r="W81" s="0" t="str">
        <f aca="false">IF(Staff!$A81="","",Staff!$AQ81)</f>
        <v/>
      </c>
    </row>
    <row r="82" customFormat="false" ht="15" hidden="false" customHeight="false" outlineLevel="0" collapsed="false">
      <c r="A82" s="13" t="str">
        <f aca="false">IF(Staff!$A82="","",Staff!$A82)</f>
        <v/>
      </c>
      <c r="B82" s="13" t="str">
        <f aca="false">IF(Staff!$A82="","",Staff!$B82)</f>
        <v/>
      </c>
      <c r="C82" s="13" t="str">
        <f aca="false">IF(Staff!$A82="","",Staff!$C82)</f>
        <v/>
      </c>
      <c r="D82" s="11" t="str">
        <f aca="false">IF(Staff!$A82="","",Staff!$AF82)</f>
        <v/>
      </c>
      <c r="E82" s="13" t="str">
        <f aca="false">IF(Staff!$A82="","",Staff!$O82)</f>
        <v/>
      </c>
      <c r="F82" s="13" t="str">
        <f aca="false">IF(E82="","",E82*HoursPerDay)</f>
        <v/>
      </c>
      <c r="G82" s="26" t="str">
        <f aca="false">IF($A82="","",H82&amp;I82&amp;J82&amp;K82&amp;L82&amp;M82&amp;N82&amp;O82&amp;P82)</f>
        <v/>
      </c>
      <c r="H82" s="0" t="str">
        <f aca="false">IF(OR($A82="",$D82=""),"",IF(AND(EDATE($D82,Milestones!$AA$20)&lt;=AsOfDate,IF($Q82=0,$W82,IF(AND($S82&lt;&gt;"",EDATE($D82,Milestones!$AA$20)&gt;=$S82),$V82,IF(AND($R82&lt;&gt;"",EDATE($D82,Milestones!$AA$20)&gt;=$R82),$U82,$T82)))=Milestones!$AB$20),TEXT(EDATE($D82,Milestones!$AA$20),"dd/mm/yy")&amp;" "&amp;Milestones!$AB$20&amp;" "&amp;Milestones!$AC$20&amp;";  ","")&amp;IF(AND(EDATE($D82,Milestones!$AA$21)&lt;=AsOfDate,IF($Q82=0,$W82,IF(AND($S82&lt;&gt;"",EDATE($D82,Milestones!$AA$21)&gt;=$S82),$V82,IF(AND($R82&lt;&gt;"",EDATE($D82,Milestones!$AA$21)&gt;=$R82),$U82,$T82)))=Milestones!$AB$21),TEXT(EDATE($D82,Milestones!$AA$21),"dd/mm/yy")&amp;" "&amp;Milestones!$AB$21&amp;" "&amp;Milestones!$AC$21&amp;";  ","")&amp;IF(AND(EDATE($D82,Milestones!$AA$22)&lt;=AsOfDate,IF($Q82=0,$W82,IF(AND($S82&lt;&gt;"",EDATE($D82,Milestones!$AA$22)&gt;=$S82),$V82,IF(AND($R82&lt;&gt;"",EDATE($D82,Milestones!$AA$22)&gt;=$R82),$U82,$T82)))=Milestones!$AB$22),TEXT(EDATE($D82,Milestones!$AA$22),"dd/mm/yy")&amp;" "&amp;Milestones!$AB$22&amp;" "&amp;Milestones!$AC$22&amp;";  ","")&amp;IF(AND(EDATE($D82,Milestones!$AA$23)&lt;=AsOfDate,IF($Q82=0,$W82,IF(AND($S82&lt;&gt;"",EDATE($D82,Milestones!$AA$23)&gt;=$S82),$V82,IF(AND($R82&lt;&gt;"",EDATE($D82,Milestones!$AA$23)&gt;=$R82),$U82,$T82)))=Milestones!$AB$23),TEXT(EDATE($D82,Milestones!$AA$23),"dd/mm/yy")&amp;" "&amp;Milestones!$AB$23&amp;" "&amp;Milestones!$AC$23&amp;";  ","")&amp;IF(AND(EDATE($D82,Milestones!$AA$24)&lt;=AsOfDate,IF($Q82=0,$W82,IF(AND($S82&lt;&gt;"",EDATE($D82,Milestones!$AA$24)&gt;=$S82),$V82,IF(AND($R82&lt;&gt;"",EDATE($D82,Milestones!$AA$24)&gt;=$R82),$U82,$T82)))=Milestones!$AB$24),TEXT(EDATE($D82,Milestones!$AA$24),"dd/mm/yy")&amp;" "&amp;Milestones!$AB$24&amp;" "&amp;Milestones!$AC$24&amp;";  ","")&amp;IF(AND(EDATE($D82,Milestones!$AA$25)&lt;=AsOfDate,IF($Q82=0,$W82,IF(AND($S82&lt;&gt;"",EDATE($D82,Milestones!$AA$25)&gt;=$S82),$V82,IF(AND($R82&lt;&gt;"",EDATE($D82,Milestones!$AA$25)&gt;=$R82),$U82,$T82)))=Milestones!$AB$25),TEXT(EDATE($D82,Milestones!$AA$25),"dd/mm/yy")&amp;" "&amp;Milestones!$AB$25&amp;" "&amp;Milestones!$AC$25&amp;";  ","")&amp;IF(AND(EDATE($D82,Milestones!$AA$26)&lt;=AsOfDate,IF($Q82=0,$W82,IF(AND($S82&lt;&gt;"",EDATE($D82,Milestones!$AA$26)&gt;=$S82),$V82,IF(AND($R82&lt;&gt;"",EDATE($D82,Milestones!$AA$26)&gt;=$R82),$U82,$T82)))=Milestones!$AB$26),TEXT(EDATE($D82,Milestones!$AA$26),"dd/mm/yy")&amp;" "&amp;Milestones!$AB$26&amp;" "&amp;Milestones!$AC$26&amp;";  ","")&amp;IF(AND(EDATE($D82,Milestones!$AA$27)&lt;=AsOfDate,IF($Q82=0,$W82,IF(AND($S82&lt;&gt;"",EDATE($D82,Milestones!$AA$27)&gt;=$S82),$V82,IF(AND($R82&lt;&gt;"",EDATE($D82,Milestones!$AA$27)&gt;=$R82),$U82,$T82)))=Milestones!$AB$27),TEXT(EDATE($D82,Milestones!$AA$27),"dd/mm/yy")&amp;" "&amp;Milestones!$AB$27&amp;" "&amp;Milestones!$AC$27&amp;";  ","")&amp;IF(AND(EDATE($D82,Milestones!$AA$28)&lt;=AsOfDate,IF($Q82=0,$W82,IF(AND($S82&lt;&gt;"",EDATE($D82,Milestones!$AA$28)&gt;=$S82),$V82,IF(AND($R82&lt;&gt;"",EDATE($D82,Milestones!$AA$28)&gt;=$R82),$U82,$T82)))=Milestones!$AB$28),TEXT(EDATE($D82,Milestones!$AA$28),"dd/mm/yy")&amp;" "&amp;Milestones!$AB$28&amp;" "&amp;Milestones!$AC$28&amp;";  ","")&amp;IF(AND(EDATE($D82,Milestones!$AA$29)&lt;=AsOfDate,IF($Q82=0,$W82,IF(AND($S82&lt;&gt;"",EDATE($D82,Milestones!$AA$29)&gt;=$S82),$V82,IF(AND($R82&lt;&gt;"",EDATE($D82,Milestones!$AA$29)&gt;=$R82),$U82,$T82)))=Milestones!$AB$29),TEXT(EDATE($D82,Milestones!$AA$29),"dd/mm/yy")&amp;" "&amp;Milestones!$AB$29&amp;" "&amp;Milestones!$AC$29&amp;";  ","")&amp;IF(AND(EDATE($D82,Milestones!$AA$30)&lt;=AsOfDate,IF($Q82=0,$W82,IF(AND($S82&lt;&gt;"",EDATE($D82,Milestones!$AA$30)&gt;=$S82),$V82,IF(AND($R82&lt;&gt;"",EDATE($D82,Milestones!$AA$30)&gt;=$R82),$U82,$T82)))=Milestones!$AB$30),TEXT(EDATE($D82,Milestones!$AA$30),"dd/mm/yy")&amp;" "&amp;Milestones!$AB$30&amp;" "&amp;Milestones!$AC$30&amp;";  ","")&amp;IF(AND(EDATE($D82,Milestones!$AA$31)&lt;=AsOfDate,IF($Q82=0,$W82,IF(AND($S82&lt;&gt;"",EDATE($D82,Milestones!$AA$31)&gt;=$S82),$V82,IF(AND($R82&lt;&gt;"",EDATE($D82,Milestones!$AA$31)&gt;=$R82),$U82,$T82)))=Milestones!$AB$31),TEXT(EDATE($D82,Milestones!$AA$31),"dd/mm/yy")&amp;" "&amp;Milestones!$AB$31&amp;" "&amp;Milestones!$AC$31&amp;";  ","")&amp;IF(AND(EDATE($D82,Milestones!$AA$32)&lt;=AsOfDate,IF($Q82=0,$W82,IF(AND($S82&lt;&gt;"",EDATE($D82,Milestones!$AA$32)&gt;=$S82),$V82,IF(AND($R82&lt;&gt;"",EDATE($D82,Milestones!$AA$32)&gt;=$R82),$U82,$T82)))=Milestones!$AB$32),TEXT(EDATE($D82,Milestones!$AA$32),"dd/mm/yy")&amp;" "&amp;Milestones!$AB$32&amp;" "&amp;Milestones!$AC$32&amp;";  ","")&amp;IF(AND(EDATE($D82,Milestones!$AA$33)&lt;=AsOfDate,IF($Q82=0,$W82,IF(AND($S82&lt;&gt;"",EDATE($D82,Milestones!$AA$33)&gt;=$S82),$V82,IF(AND($R82&lt;&gt;"",EDATE($D82,Milestones!$AA$33)&gt;=$R82),$U82,$T82)))=Milestones!$AB$33),TEXT(EDATE($D82,Milestones!$AA$33),"dd/mm/yy")&amp;" "&amp;Milestones!$AB$33&amp;" "&amp;Milestones!$AC$33&amp;";  ","")&amp;IF(AND(EDATE($D82,Milestones!$AA$34)&lt;=AsOfDate,IF($Q82=0,$W82,IF(AND($S82&lt;&gt;"",EDATE($D82,Milestones!$AA$34)&gt;=$S82),$V82,IF(AND($R82&lt;&gt;"",EDATE($D82,Milestones!$AA$34)&gt;=$R82),$U82,$T82)))=Milestones!$AB$34),TEXT(EDATE($D82,Milestones!$AA$34),"dd/mm/yy")&amp;" "&amp;Milestones!$AB$34&amp;" "&amp;Milestones!$AC$34&amp;";  ","")&amp;IF(AND(EDATE($D82,Milestones!$AA$35)&lt;=AsOfDate,IF($Q82=0,$W82,IF(AND($S82&lt;&gt;"",EDATE($D82,Milestones!$AA$35)&gt;=$S82),$V82,IF(AND($R82&lt;&gt;"",EDATE($D82,Milestones!$AA$35)&gt;=$R82),$U82,$T82)))=Milestones!$AB$35),TEXT(EDATE($D82,Milestones!$AA$35),"dd/mm/yy")&amp;" "&amp;Milestones!$AB$35&amp;" "&amp;Milestones!$AC$35&amp;";  ","")&amp;IF(AND(EDATE($D82,Milestones!$AA$36)&lt;=AsOfDate,IF($Q82=0,$W82,IF(AND($S82&lt;&gt;"",EDATE($D82,Milestones!$AA$36)&gt;=$S82),$V82,IF(AND($R82&lt;&gt;"",EDATE($D82,Milestones!$AA$36)&gt;=$R82),$U82,$T82)))=Milestones!$AB$36),TEXT(EDATE($D82,Milestones!$AA$36),"dd/mm/yy")&amp;" "&amp;Milestones!$AB$36&amp;" "&amp;Milestones!$AC$36&amp;";  ","")&amp;IF(AND(EDATE($D82,Milestones!$AA$37)&lt;=AsOfDate,IF($Q82=0,$W82,IF(AND($S82&lt;&gt;"",EDATE($D82,Milestones!$AA$37)&gt;=$S82),$V82,IF(AND($R82&lt;&gt;"",EDATE($D82,Milestones!$AA$37)&gt;=$R82),$U82,$T82)))=Milestones!$AB$37),TEXT(EDATE($D82,Milestones!$AA$37),"dd/mm/yy")&amp;" "&amp;Milestones!$AB$37&amp;" "&amp;Milestones!$AC$37&amp;";  ","")&amp;IF(AND(EDATE($D82,Milestones!$AA$38)&lt;=AsOfDate,IF($Q82=0,$W82,IF(AND($S82&lt;&gt;"",EDATE($D82,Milestones!$AA$38)&gt;=$S82),$V82,IF(AND($R82&lt;&gt;"",EDATE($D82,Milestones!$AA$38)&gt;=$R82),$U82,$T82)))=Milestones!$AB$38),TEXT(EDATE($D82,Milestones!$AA$38),"dd/mm/yy")&amp;" "&amp;Milestones!$AB$38&amp;" "&amp;Milestones!$AC$38&amp;";  ","")&amp;IF(AND(EDATE($D82,Milestones!$AA$39)&lt;=AsOfDate,IF($Q82=0,$W82,IF(AND($S82&lt;&gt;"",EDATE($D82,Milestones!$AA$39)&gt;=$S82),$V82,IF(AND($R82&lt;&gt;"",EDATE($D82,Milestones!$AA$39)&gt;=$R82),$U82,$T82)))=Milestones!$AB$39),TEXT(EDATE($D82,Milestones!$AA$39),"dd/mm/yy")&amp;" "&amp;Milestones!$AB$39&amp;" "&amp;Milestones!$AC$39&amp;";  ",""))</f>
        <v/>
      </c>
      <c r="I82" s="0" t="str">
        <f aca="false">IF(OR($A82="",$D82=""),"",IF(AND(EDATE($D82,Milestones!$AA$40)&lt;=AsOfDate,IF($Q82=0,$W82,IF(AND($S82&lt;&gt;"",EDATE($D82,Milestones!$AA$40)&gt;=$S82),$V82,IF(AND($R82&lt;&gt;"",EDATE($D82,Milestones!$AA$40)&gt;=$R82),$U82,$T82)))=Milestones!$AB$40),TEXT(EDATE($D82,Milestones!$AA$40),"dd/mm/yy")&amp;" "&amp;Milestones!$AB$40&amp;" "&amp;Milestones!$AC$40&amp;";  ","")&amp;IF(AND(EDATE($D82,Milestones!$AA$41)&lt;=AsOfDate,IF($Q82=0,$W82,IF(AND($S82&lt;&gt;"",EDATE($D82,Milestones!$AA$41)&gt;=$S82),$V82,IF(AND($R82&lt;&gt;"",EDATE($D82,Milestones!$AA$41)&gt;=$R82),$U82,$T82)))=Milestones!$AB$41),TEXT(EDATE($D82,Milestones!$AA$41),"dd/mm/yy")&amp;" "&amp;Milestones!$AB$41&amp;" "&amp;Milestones!$AC$41&amp;";  ","")&amp;IF(AND(EDATE($D82,Milestones!$AA$42)&lt;=AsOfDate,IF($Q82=0,$W82,IF(AND($S82&lt;&gt;"",EDATE($D82,Milestones!$AA$42)&gt;=$S82),$V82,IF(AND($R82&lt;&gt;"",EDATE($D82,Milestones!$AA$42)&gt;=$R82),$U82,$T82)))=Milestones!$AB$42),TEXT(EDATE($D82,Milestones!$AA$42),"dd/mm/yy")&amp;" "&amp;Milestones!$AB$42&amp;" "&amp;Milestones!$AC$42&amp;";  ","")&amp;IF(AND(EDATE($D82,Milestones!$AA$43)&lt;=AsOfDate,IF($Q82=0,$W82,IF(AND($S82&lt;&gt;"",EDATE($D82,Milestones!$AA$43)&gt;=$S82),$V82,IF(AND($R82&lt;&gt;"",EDATE($D82,Milestones!$AA$43)&gt;=$R82),$U82,$T82)))=Milestones!$AB$43),TEXT(EDATE($D82,Milestones!$AA$43),"dd/mm/yy")&amp;" "&amp;Milestones!$AB$43&amp;" "&amp;Milestones!$AC$43&amp;";  ","")&amp;IF(AND(EDATE($D82,Milestones!$AA$44)&lt;=AsOfDate,IF($Q82=0,$W82,IF(AND($S82&lt;&gt;"",EDATE($D82,Milestones!$AA$44)&gt;=$S82),$V82,IF(AND($R82&lt;&gt;"",EDATE($D82,Milestones!$AA$44)&gt;=$R82),$U82,$T82)))=Milestones!$AB$44),TEXT(EDATE($D82,Milestones!$AA$44),"dd/mm/yy")&amp;" "&amp;Milestones!$AB$44&amp;" "&amp;Milestones!$AC$44&amp;";  ","")&amp;IF(AND(EDATE($D82,Milestones!$AA$45)&lt;=AsOfDate,IF($Q82=0,$W82,IF(AND($S82&lt;&gt;"",EDATE($D82,Milestones!$AA$45)&gt;=$S82),$V82,IF(AND($R82&lt;&gt;"",EDATE($D82,Milestones!$AA$45)&gt;=$R82),$U82,$T82)))=Milestones!$AB$45),TEXT(EDATE($D82,Milestones!$AA$45),"dd/mm/yy")&amp;" "&amp;Milestones!$AB$45&amp;" "&amp;Milestones!$AC$45&amp;";  ","")&amp;IF(AND(EDATE($D82,Milestones!$AA$46)&lt;=AsOfDate,IF($Q82=0,$W82,IF(AND($S82&lt;&gt;"",EDATE($D82,Milestones!$AA$46)&gt;=$S82),$V82,IF(AND($R82&lt;&gt;"",EDATE($D82,Milestones!$AA$46)&gt;=$R82),$U82,$T82)))=Milestones!$AB$46),TEXT(EDATE($D82,Milestones!$AA$46),"dd/mm/yy")&amp;" "&amp;Milestones!$AB$46&amp;" "&amp;Milestones!$AC$46&amp;";  ","")&amp;IF(AND(EDATE($D82,Milestones!$AA$47)&lt;=AsOfDate,IF($Q82=0,$W82,IF(AND($S82&lt;&gt;"",EDATE($D82,Milestones!$AA$47)&gt;=$S82),$V82,IF(AND($R82&lt;&gt;"",EDATE($D82,Milestones!$AA$47)&gt;=$R82),$U82,$T82)))=Milestones!$AB$47),TEXT(EDATE($D82,Milestones!$AA$47),"dd/mm/yy")&amp;" "&amp;Milestones!$AB$47&amp;" "&amp;Milestones!$AC$47&amp;";  ","")&amp;IF(AND(EDATE($D82,Milestones!$AA$48)&lt;=AsOfDate,IF($Q82=0,$W82,IF(AND($S82&lt;&gt;"",EDATE($D82,Milestones!$AA$48)&gt;=$S82),$V82,IF(AND($R82&lt;&gt;"",EDATE($D82,Milestones!$AA$48)&gt;=$R82),$U82,$T82)))=Milestones!$AB$48),TEXT(EDATE($D82,Milestones!$AA$48),"dd/mm/yy")&amp;" "&amp;Milestones!$AB$48&amp;" "&amp;Milestones!$AC$48&amp;";  ","")&amp;IF(AND(EDATE($D82,Milestones!$AA$49)&lt;=AsOfDate,IF($Q82=0,$W82,IF(AND($S82&lt;&gt;"",EDATE($D82,Milestones!$AA$49)&gt;=$S82),$V82,IF(AND($R82&lt;&gt;"",EDATE($D82,Milestones!$AA$49)&gt;=$R82),$U82,$T82)))=Milestones!$AB$49),TEXT(EDATE($D82,Milestones!$AA$49),"dd/mm/yy")&amp;" "&amp;Milestones!$AB$49&amp;" "&amp;Milestones!$AC$49&amp;";  ","")&amp;IF(AND(EDATE($D82,Milestones!$AA$50)&lt;=AsOfDate,IF($Q82=0,$W82,IF(AND($S82&lt;&gt;"",EDATE($D82,Milestones!$AA$50)&gt;=$S82),$V82,IF(AND($R82&lt;&gt;"",EDATE($D82,Milestones!$AA$50)&gt;=$R82),$U82,$T82)))=Milestones!$AB$50),TEXT(EDATE($D82,Milestones!$AA$50),"dd/mm/yy")&amp;" "&amp;Milestones!$AB$50&amp;" "&amp;Milestones!$AC$50&amp;";  ","")&amp;IF(AND(EDATE($D82,Milestones!$AA$51)&lt;=AsOfDate,IF($Q82=0,$W82,IF(AND($S82&lt;&gt;"",EDATE($D82,Milestones!$AA$51)&gt;=$S82),$V82,IF(AND($R82&lt;&gt;"",EDATE($D82,Milestones!$AA$51)&gt;=$R82),$U82,$T82)))=Milestones!$AB$51),TEXT(EDATE($D82,Milestones!$AA$51),"dd/mm/yy")&amp;" "&amp;Milestones!$AB$51&amp;" "&amp;Milestones!$AC$51&amp;";  ","")&amp;IF(AND(EDATE($D82,Milestones!$AA$52)&lt;=AsOfDate,IF($Q82=0,$W82,IF(AND($S82&lt;&gt;"",EDATE($D82,Milestones!$AA$52)&gt;=$S82),$V82,IF(AND($R82&lt;&gt;"",EDATE($D82,Milestones!$AA$52)&gt;=$R82),$U82,$T82)))=Milestones!$AB$52),TEXT(EDATE($D82,Milestones!$AA$52),"dd/mm/yy")&amp;" "&amp;Milestones!$AB$52&amp;" "&amp;Milestones!$AC$52&amp;";  ","")&amp;IF(AND(EDATE($D82,Milestones!$AA$53)&lt;=AsOfDate,IF($Q82=0,$W82,IF(AND($S82&lt;&gt;"",EDATE($D82,Milestones!$AA$53)&gt;=$S82),$V82,IF(AND($R82&lt;&gt;"",EDATE($D82,Milestones!$AA$53)&gt;=$R82),$U82,$T82)))=Milestones!$AB$53),TEXT(EDATE($D82,Milestones!$AA$53),"dd/mm/yy")&amp;" "&amp;Milestones!$AB$53&amp;" "&amp;Milestones!$AC$53&amp;";  ","")&amp;IF(AND(EDATE($D82,Milestones!$AA$54)&lt;=AsOfDate,IF($Q82=0,$W82,IF(AND($S82&lt;&gt;"",EDATE($D82,Milestones!$AA$54)&gt;=$S82),$V82,IF(AND($R82&lt;&gt;"",EDATE($D82,Milestones!$AA$54)&gt;=$R82),$U82,$T82)))=Milestones!$AB$54),TEXT(EDATE($D82,Milestones!$AA$54),"dd/mm/yy")&amp;" "&amp;Milestones!$AB$54&amp;" "&amp;Milestones!$AC$54&amp;";  ","")&amp;IF(AND(EDATE($D82,Milestones!$AA$55)&lt;=AsOfDate,IF($Q82=0,$W82,IF(AND($S82&lt;&gt;"",EDATE($D82,Milestones!$AA$55)&gt;=$S82),$V82,IF(AND($R82&lt;&gt;"",EDATE($D82,Milestones!$AA$55)&gt;=$R82),$U82,$T82)))=Milestones!$AB$55),TEXT(EDATE($D82,Milestones!$AA$55),"dd/mm/yy")&amp;" "&amp;Milestones!$AB$55&amp;" "&amp;Milestones!$AC$55&amp;";  ","")&amp;IF(AND(EDATE($D82,Milestones!$AA$56)&lt;=AsOfDate,IF($Q82=0,$W82,IF(AND($S82&lt;&gt;"",EDATE($D82,Milestones!$AA$56)&gt;=$S82),$V82,IF(AND($R82&lt;&gt;"",EDATE($D82,Milestones!$AA$56)&gt;=$R82),$U82,$T82)))=Milestones!$AB$56),TEXT(EDATE($D82,Milestones!$AA$56),"dd/mm/yy")&amp;" "&amp;Milestones!$AB$56&amp;" "&amp;Milestones!$AC$56&amp;";  ","")&amp;IF(AND(EDATE($D82,Milestones!$AA$57)&lt;=AsOfDate,IF($Q82=0,$W82,IF(AND($S82&lt;&gt;"",EDATE($D82,Milestones!$AA$57)&gt;=$S82),$V82,IF(AND($R82&lt;&gt;"",EDATE($D82,Milestones!$AA$57)&gt;=$R82),$U82,$T82)))=Milestones!$AB$57),TEXT(EDATE($D82,Milestones!$AA$57),"dd/mm/yy")&amp;" "&amp;Milestones!$AB$57&amp;" "&amp;Milestones!$AC$57&amp;";  ","")&amp;IF(AND(EDATE($D82,Milestones!$AA$58)&lt;=AsOfDate,IF($Q82=0,$W82,IF(AND($S82&lt;&gt;"",EDATE($D82,Milestones!$AA$58)&gt;=$S82),$V82,IF(AND($R82&lt;&gt;"",EDATE($D82,Milestones!$AA$58)&gt;=$R82),$U82,$T82)))=Milestones!$AB$58),TEXT(EDATE($D82,Milestones!$AA$58),"dd/mm/yy")&amp;" "&amp;Milestones!$AB$58&amp;" "&amp;Milestones!$AC$58&amp;";  ","")&amp;IF(AND(EDATE($D82,Milestones!$AA$59)&lt;=AsOfDate,IF($Q82=0,$W82,IF(AND($S82&lt;&gt;"",EDATE($D82,Milestones!$AA$59)&gt;=$S82),$V82,IF(AND($R82&lt;&gt;"",EDATE($D82,Milestones!$AA$59)&gt;=$R82),$U82,$T82)))=Milestones!$AB$59),TEXT(EDATE($D82,Milestones!$AA$59),"dd/mm/yy")&amp;" "&amp;Milestones!$AB$59&amp;" "&amp;Milestones!$AC$59&amp;";  ",""))</f>
        <v/>
      </c>
      <c r="J82" s="0" t="str">
        <f aca="false">IF(OR($A82="",$D82=""),"",IF(AND(EDATE($D82,Milestones!$AA$60)&lt;=AsOfDate,IF($Q82=0,$W82,IF(AND($S82&lt;&gt;"",EDATE($D82,Milestones!$AA$60)&gt;=$S82),$V82,IF(AND($R82&lt;&gt;"",EDATE($D82,Milestones!$AA$60)&gt;=$R82),$U82,$T82)))=Milestones!$AB$60),TEXT(EDATE($D82,Milestones!$AA$60),"dd/mm/yy")&amp;" "&amp;Milestones!$AB$60&amp;" "&amp;Milestones!$AC$60&amp;";  ","")&amp;IF(AND(EDATE($D82,Milestones!$AA$61)&lt;=AsOfDate,IF($Q82=0,$W82,IF(AND($S82&lt;&gt;"",EDATE($D82,Milestones!$AA$61)&gt;=$S82),$V82,IF(AND($R82&lt;&gt;"",EDATE($D82,Milestones!$AA$61)&gt;=$R82),$U82,$T82)))=Milestones!$AB$61),TEXT(EDATE($D82,Milestones!$AA$61),"dd/mm/yy")&amp;" "&amp;Milestones!$AB$61&amp;" "&amp;Milestones!$AC$61&amp;";  ","")&amp;IF(AND(EDATE($D82,Milestones!$AA$62)&lt;=AsOfDate,IF($Q82=0,$W82,IF(AND($S82&lt;&gt;"",EDATE($D82,Milestones!$AA$62)&gt;=$S82),$V82,IF(AND($R82&lt;&gt;"",EDATE($D82,Milestones!$AA$62)&gt;=$R82),$U82,$T82)))=Milestones!$AB$62),TEXT(EDATE($D82,Milestones!$AA$62),"dd/mm/yy")&amp;" "&amp;Milestones!$AB$62&amp;" "&amp;Milestones!$AC$62&amp;";  ","")&amp;IF(AND(EDATE($D82,Milestones!$AA$63)&lt;=AsOfDate,IF($Q82=0,$W82,IF(AND($S82&lt;&gt;"",EDATE($D82,Milestones!$AA$63)&gt;=$S82),$V82,IF(AND($R82&lt;&gt;"",EDATE($D82,Milestones!$AA$63)&gt;=$R82),$U82,$T82)))=Milestones!$AB$63),TEXT(EDATE($D82,Milestones!$AA$63),"dd/mm/yy")&amp;" "&amp;Milestones!$AB$63&amp;" "&amp;Milestones!$AC$63&amp;";  ","")&amp;IF(AND(EDATE($D82,Milestones!$AA$64)&lt;=AsOfDate,IF($Q82=0,$W82,IF(AND($S82&lt;&gt;"",EDATE($D82,Milestones!$AA$64)&gt;=$S82),$V82,IF(AND($R82&lt;&gt;"",EDATE($D82,Milestones!$AA$64)&gt;=$R82),$U82,$T82)))=Milestones!$AB$64),TEXT(EDATE($D82,Milestones!$AA$64),"dd/mm/yy")&amp;" "&amp;Milestones!$AB$64&amp;" "&amp;Milestones!$AC$64&amp;";  ","")&amp;IF(AND(EDATE($D82,Milestones!$AA$65)&lt;=AsOfDate,IF($Q82=0,$W82,IF(AND($S82&lt;&gt;"",EDATE($D82,Milestones!$AA$65)&gt;=$S82),$V82,IF(AND($R82&lt;&gt;"",EDATE($D82,Milestones!$AA$65)&gt;=$R82),$U82,$T82)))=Milestones!$AB$65),TEXT(EDATE($D82,Milestones!$AA$65),"dd/mm/yy")&amp;" "&amp;Milestones!$AB$65&amp;" "&amp;Milestones!$AC$65&amp;";  ","")&amp;IF(AND(EDATE($D82,Milestones!$AA$66)&lt;=AsOfDate,IF($Q82=0,$W82,IF(AND($S82&lt;&gt;"",EDATE($D82,Milestones!$AA$66)&gt;=$S82),$V82,IF(AND($R82&lt;&gt;"",EDATE($D82,Milestones!$AA$66)&gt;=$R82),$U82,$T82)))=Milestones!$AB$66),TEXT(EDATE($D82,Milestones!$AA$66),"dd/mm/yy")&amp;" "&amp;Milestones!$AB$66&amp;" "&amp;Milestones!$AC$66&amp;";  ","")&amp;IF(AND(EDATE($D82,Milestones!$AA$67)&lt;=AsOfDate,IF($Q82=0,$W82,IF(AND($S82&lt;&gt;"",EDATE($D82,Milestones!$AA$67)&gt;=$S82),$V82,IF(AND($R82&lt;&gt;"",EDATE($D82,Milestones!$AA$67)&gt;=$R82),$U82,$T82)))=Milestones!$AB$67),TEXT(EDATE($D82,Milestones!$AA$67),"dd/mm/yy")&amp;" "&amp;Milestones!$AB$67&amp;" "&amp;Milestones!$AC$67&amp;";  ","")&amp;IF(AND(EDATE($D82,Milestones!$AA$68)&lt;=AsOfDate,IF($Q82=0,$W82,IF(AND($S82&lt;&gt;"",EDATE($D82,Milestones!$AA$68)&gt;=$S82),$V82,IF(AND($R82&lt;&gt;"",EDATE($D82,Milestones!$AA$68)&gt;=$R82),$U82,$T82)))=Milestones!$AB$68),TEXT(EDATE($D82,Milestones!$AA$68),"dd/mm/yy")&amp;" "&amp;Milestones!$AB$68&amp;" "&amp;Milestones!$AC$68&amp;";  ","")&amp;IF(AND(EDATE($D82,Milestones!$AA$69)&lt;=AsOfDate,IF($Q82=0,$W82,IF(AND($S82&lt;&gt;"",EDATE($D82,Milestones!$AA$69)&gt;=$S82),$V82,IF(AND($R82&lt;&gt;"",EDATE($D82,Milestones!$AA$69)&gt;=$R82),$U82,$T82)))=Milestones!$AB$69),TEXT(EDATE($D82,Milestones!$AA$69),"dd/mm/yy")&amp;" "&amp;Milestones!$AB$69&amp;" "&amp;Milestones!$AC$69&amp;";  ","")&amp;IF(AND(EDATE($D82,Milestones!$AA$70)&lt;=AsOfDate,IF($Q82=0,$W82,IF(AND($S82&lt;&gt;"",EDATE($D82,Milestones!$AA$70)&gt;=$S82),$V82,IF(AND($R82&lt;&gt;"",EDATE($D82,Milestones!$AA$70)&gt;=$R82),$U82,$T82)))=Milestones!$AB$70),TEXT(EDATE($D82,Milestones!$AA$70),"dd/mm/yy")&amp;" "&amp;Milestones!$AB$70&amp;" "&amp;Milestones!$AC$70&amp;";  ","")&amp;IF(AND(EDATE($D82,Milestones!$AA$71)&lt;=AsOfDate,IF($Q82=0,$W82,IF(AND($S82&lt;&gt;"",EDATE($D82,Milestones!$AA$71)&gt;=$S82),$V82,IF(AND($R82&lt;&gt;"",EDATE($D82,Milestones!$AA$71)&gt;=$R82),$U82,$T82)))=Milestones!$AB$71),TEXT(EDATE($D82,Milestones!$AA$71),"dd/mm/yy")&amp;" "&amp;Milestones!$AB$71&amp;" "&amp;Milestones!$AC$71&amp;";  ","")&amp;IF(AND(EDATE($D82,Milestones!$AA$72)&lt;=AsOfDate,IF($Q82=0,$W82,IF(AND($S82&lt;&gt;"",EDATE($D82,Milestones!$AA$72)&gt;=$S82),$V82,IF(AND($R82&lt;&gt;"",EDATE($D82,Milestones!$AA$72)&gt;=$R82),$U82,$T82)))=Milestones!$AB$72),TEXT(EDATE($D82,Milestones!$AA$72),"dd/mm/yy")&amp;" "&amp;Milestones!$AB$72&amp;" "&amp;Milestones!$AC$72&amp;";  ","")&amp;IF(AND(EDATE($D82,Milestones!$AA$73)&lt;=AsOfDate,IF($Q82=0,$W82,IF(AND($S82&lt;&gt;"",EDATE($D82,Milestones!$AA$73)&gt;=$S82),$V82,IF(AND($R82&lt;&gt;"",EDATE($D82,Milestones!$AA$73)&gt;=$R82),$U82,$T82)))=Milestones!$AB$73),TEXT(EDATE($D82,Milestones!$AA$73),"dd/mm/yy")&amp;" "&amp;Milestones!$AB$73&amp;" "&amp;Milestones!$AC$73&amp;";  ","")&amp;IF(AND(EDATE($D82,Milestones!$AA$74)&lt;=AsOfDate,IF($Q82=0,$W82,IF(AND($S82&lt;&gt;"",EDATE($D82,Milestones!$AA$74)&gt;=$S82),$V82,IF(AND($R82&lt;&gt;"",EDATE($D82,Milestones!$AA$74)&gt;=$R82),$U82,$T82)))=Milestones!$AB$74),TEXT(EDATE($D82,Milestones!$AA$74),"dd/mm/yy")&amp;" "&amp;Milestones!$AB$74&amp;" "&amp;Milestones!$AC$74&amp;";  ","")&amp;IF(AND(EDATE($D82,Milestones!$AA$75)&lt;=AsOfDate,IF($Q82=0,$W82,IF(AND($S82&lt;&gt;"",EDATE($D82,Milestones!$AA$75)&gt;=$S82),$V82,IF(AND($R82&lt;&gt;"",EDATE($D82,Milestones!$AA$75)&gt;=$R82),$U82,$T82)))=Milestones!$AB$75),TEXT(EDATE($D82,Milestones!$AA$75),"dd/mm/yy")&amp;" "&amp;Milestones!$AB$75&amp;" "&amp;Milestones!$AC$75&amp;";  ","")&amp;IF(AND(EDATE($D82,Milestones!$AA$76)&lt;=AsOfDate,IF($Q82=0,$W82,IF(AND($S82&lt;&gt;"",EDATE($D82,Milestones!$AA$76)&gt;=$S82),$V82,IF(AND($R82&lt;&gt;"",EDATE($D82,Milestones!$AA$76)&gt;=$R82),$U82,$T82)))=Milestones!$AB$76),TEXT(EDATE($D82,Milestones!$AA$76),"dd/mm/yy")&amp;" "&amp;Milestones!$AB$76&amp;" "&amp;Milestones!$AC$76&amp;";  ","")&amp;IF(AND(EDATE($D82,Milestones!$AA$77)&lt;=AsOfDate,IF($Q82=0,$W82,IF(AND($S82&lt;&gt;"",EDATE($D82,Milestones!$AA$77)&gt;=$S82),$V82,IF(AND($R82&lt;&gt;"",EDATE($D82,Milestones!$AA$77)&gt;=$R82),$U82,$T82)))=Milestones!$AB$77),TEXT(EDATE($D82,Milestones!$AA$77),"dd/mm/yy")&amp;" "&amp;Milestones!$AB$77&amp;" "&amp;Milestones!$AC$77&amp;";  ","")&amp;IF(AND(EDATE($D82,Milestones!$AA$78)&lt;=AsOfDate,IF($Q82=0,$W82,IF(AND($S82&lt;&gt;"",EDATE($D82,Milestones!$AA$78)&gt;=$S82),$V82,IF(AND($R82&lt;&gt;"",EDATE($D82,Milestones!$AA$78)&gt;=$R82),$U82,$T82)))=Milestones!$AB$78),TEXT(EDATE($D82,Milestones!$AA$78),"dd/mm/yy")&amp;" "&amp;Milestones!$AB$78&amp;" "&amp;Milestones!$AC$78&amp;";  ","")&amp;IF(AND(EDATE($D82,Milestones!$AA$79)&lt;=AsOfDate,IF($Q82=0,$W82,IF(AND($S82&lt;&gt;"",EDATE($D82,Milestones!$AA$79)&gt;=$S82),$V82,IF(AND($R82&lt;&gt;"",EDATE($D82,Milestones!$AA$79)&gt;=$R82),$U82,$T82)))=Milestones!$AB$79),TEXT(EDATE($D82,Milestones!$AA$79),"dd/mm/yy")&amp;" "&amp;Milestones!$AB$79&amp;" "&amp;Milestones!$AC$79&amp;";  ",""))</f>
        <v/>
      </c>
      <c r="K82" s="0" t="str">
        <f aca="false">IF(OR($A82="",$D82=""),"",IF(AND(EDATE($D82,Milestones!$AA$80)&lt;=AsOfDate,IF($Q82=0,$W82,IF(AND($S82&lt;&gt;"",EDATE($D82,Milestones!$AA$80)&gt;=$S82),$V82,IF(AND($R82&lt;&gt;"",EDATE($D82,Milestones!$AA$80)&gt;=$R82),$U82,$T82)))=Milestones!$AB$80),TEXT(EDATE($D82,Milestones!$AA$80),"dd/mm/yy")&amp;" "&amp;Milestones!$AB$80&amp;" "&amp;Milestones!$AC$80&amp;";  ","")&amp;IF(AND(EDATE($D82,Milestones!$AA$81)&lt;=AsOfDate,IF($Q82=0,$W82,IF(AND($S82&lt;&gt;"",EDATE($D82,Milestones!$AA$81)&gt;=$S82),$V82,IF(AND($R82&lt;&gt;"",EDATE($D82,Milestones!$AA$81)&gt;=$R82),$U82,$T82)))=Milestones!$AB$81),TEXT(EDATE($D82,Milestones!$AA$81),"dd/mm/yy")&amp;" "&amp;Milestones!$AB$81&amp;" "&amp;Milestones!$AC$81&amp;";  ","")&amp;IF(AND(EDATE($D82,Milestones!$AA$82)&lt;=AsOfDate,IF($Q82=0,$W82,IF(AND($S82&lt;&gt;"",EDATE($D82,Milestones!$AA$82)&gt;=$S82),$V82,IF(AND($R82&lt;&gt;"",EDATE($D82,Milestones!$AA$82)&gt;=$R82),$U82,$T82)))=Milestones!$AB$82),TEXT(EDATE($D82,Milestones!$AA$82),"dd/mm/yy")&amp;" "&amp;Milestones!$AB$82&amp;" "&amp;Milestones!$AC$82&amp;";  ","")&amp;IF(AND(EDATE($D82,Milestones!$AA$83)&lt;=AsOfDate,IF($Q82=0,$W82,IF(AND($S82&lt;&gt;"",EDATE($D82,Milestones!$AA$83)&gt;=$S82),$V82,IF(AND($R82&lt;&gt;"",EDATE($D82,Milestones!$AA$83)&gt;=$R82),$U82,$T82)))=Milestones!$AB$83),TEXT(EDATE($D82,Milestones!$AA$83),"dd/mm/yy")&amp;" "&amp;Milestones!$AB$83&amp;" "&amp;Milestones!$AC$83&amp;";  ","")&amp;IF(AND(EDATE($D82,Milestones!$AA$84)&lt;=AsOfDate,IF($Q82=0,$W82,IF(AND($S82&lt;&gt;"",EDATE($D82,Milestones!$AA$84)&gt;=$S82),$V82,IF(AND($R82&lt;&gt;"",EDATE($D82,Milestones!$AA$84)&gt;=$R82),$U82,$T82)))=Milestones!$AB$84),TEXT(EDATE($D82,Milestones!$AA$84),"dd/mm/yy")&amp;" "&amp;Milestones!$AB$84&amp;" "&amp;Milestones!$AC$84&amp;";  ","")&amp;IF(AND(EDATE($D82,Milestones!$AA$85)&lt;=AsOfDate,IF($Q82=0,$W82,IF(AND($S82&lt;&gt;"",EDATE($D82,Milestones!$AA$85)&gt;=$S82),$V82,IF(AND($R82&lt;&gt;"",EDATE($D82,Milestones!$AA$85)&gt;=$R82),$U82,$T82)))=Milestones!$AB$85),TEXT(EDATE($D82,Milestones!$AA$85),"dd/mm/yy")&amp;" "&amp;Milestones!$AB$85&amp;" "&amp;Milestones!$AC$85&amp;";  ","")&amp;IF(AND(EDATE($D82,Milestones!$AA$86)&lt;=AsOfDate,IF($Q82=0,$W82,IF(AND($S82&lt;&gt;"",EDATE($D82,Milestones!$AA$86)&gt;=$S82),$V82,IF(AND($R82&lt;&gt;"",EDATE($D82,Milestones!$AA$86)&gt;=$R82),$U82,$T82)))=Milestones!$AB$86),TEXT(EDATE($D82,Milestones!$AA$86),"dd/mm/yy")&amp;" "&amp;Milestones!$AB$86&amp;" "&amp;Milestones!$AC$86&amp;";  ","")&amp;IF(AND(EDATE($D82,Milestones!$AA$87)&lt;=AsOfDate,IF($Q82=0,$W82,IF(AND($S82&lt;&gt;"",EDATE($D82,Milestones!$AA$87)&gt;=$S82),$V82,IF(AND($R82&lt;&gt;"",EDATE($D82,Milestones!$AA$87)&gt;=$R82),$U82,$T82)))=Milestones!$AB$87),TEXT(EDATE($D82,Milestones!$AA$87),"dd/mm/yy")&amp;" "&amp;Milestones!$AB$87&amp;" "&amp;Milestones!$AC$87&amp;";  ","")&amp;IF(AND(EDATE($D82,Milestones!$AA$88)&lt;=AsOfDate,IF($Q82=0,$W82,IF(AND($S82&lt;&gt;"",EDATE($D82,Milestones!$AA$88)&gt;=$S82),$V82,IF(AND($R82&lt;&gt;"",EDATE($D82,Milestones!$AA$88)&gt;=$R82),$U82,$T82)))=Milestones!$AB$88),TEXT(EDATE($D82,Milestones!$AA$88),"dd/mm/yy")&amp;" "&amp;Milestones!$AB$88&amp;" "&amp;Milestones!$AC$88&amp;";  ","")&amp;IF(AND(EDATE($D82,Milestones!$AA$89)&lt;=AsOfDate,IF($Q82=0,$W82,IF(AND($S82&lt;&gt;"",EDATE($D82,Milestones!$AA$89)&gt;=$S82),$V82,IF(AND($R82&lt;&gt;"",EDATE($D82,Milestones!$AA$89)&gt;=$R82),$U82,$T82)))=Milestones!$AB$89),TEXT(EDATE($D82,Milestones!$AA$89),"dd/mm/yy")&amp;" "&amp;Milestones!$AB$89&amp;" "&amp;Milestones!$AC$89&amp;";  ","")&amp;IF(AND(EDATE($D82,Milestones!$AA$90)&lt;=AsOfDate,IF($Q82=0,$W82,IF(AND($S82&lt;&gt;"",EDATE($D82,Milestones!$AA$90)&gt;=$S82),$V82,IF(AND($R82&lt;&gt;"",EDATE($D82,Milestones!$AA$90)&gt;=$R82),$U82,$T82)))=Milestones!$AB$90),TEXT(EDATE($D82,Milestones!$AA$90),"dd/mm/yy")&amp;" "&amp;Milestones!$AB$90&amp;" "&amp;Milestones!$AC$90&amp;";  ","")&amp;IF(AND(EDATE($D82,Milestones!$AA$91)&lt;=AsOfDate,IF($Q82=0,$W82,IF(AND($S82&lt;&gt;"",EDATE($D82,Milestones!$AA$91)&gt;=$S82),$V82,IF(AND($R82&lt;&gt;"",EDATE($D82,Milestones!$AA$91)&gt;=$R82),$U82,$T82)))=Milestones!$AB$91),TEXT(EDATE($D82,Milestones!$AA$91),"dd/mm/yy")&amp;" "&amp;Milestones!$AB$91&amp;" "&amp;Milestones!$AC$91&amp;";  ","")&amp;IF(AND(EDATE($D82,Milestones!$AA$92)&lt;=AsOfDate,IF($Q82=0,$W82,IF(AND($S82&lt;&gt;"",EDATE($D82,Milestones!$AA$92)&gt;=$S82),$V82,IF(AND($R82&lt;&gt;"",EDATE($D82,Milestones!$AA$92)&gt;=$R82),$U82,$T82)))=Milestones!$AB$92),TEXT(EDATE($D82,Milestones!$AA$92),"dd/mm/yy")&amp;" "&amp;Milestones!$AB$92&amp;" "&amp;Milestones!$AC$92&amp;";  ","")&amp;IF(AND(EDATE($D82,Milestones!$AA$93)&lt;=AsOfDate,IF($Q82=0,$W82,IF(AND($S82&lt;&gt;"",EDATE($D82,Milestones!$AA$93)&gt;=$S82),$V82,IF(AND($R82&lt;&gt;"",EDATE($D82,Milestones!$AA$93)&gt;=$R82),$U82,$T82)))=Milestones!$AB$93),TEXT(EDATE($D82,Milestones!$AA$93),"dd/mm/yy")&amp;" "&amp;Milestones!$AB$93&amp;" "&amp;Milestones!$AC$93&amp;";  ","")&amp;IF(AND(EDATE($D82,Milestones!$AA$94)&lt;=AsOfDate,IF($Q82=0,$W82,IF(AND($S82&lt;&gt;"",EDATE($D82,Milestones!$AA$94)&gt;=$S82),$V82,IF(AND($R82&lt;&gt;"",EDATE($D82,Milestones!$AA$94)&gt;=$R82),$U82,$T82)))=Milestones!$AB$94),TEXT(EDATE($D82,Milestones!$AA$94),"dd/mm/yy")&amp;" "&amp;Milestones!$AB$94&amp;" "&amp;Milestones!$AC$94&amp;";  ","")&amp;IF(AND(EDATE($D82,Milestones!$AA$95)&lt;=AsOfDate,IF($Q82=0,$W82,IF(AND($S82&lt;&gt;"",EDATE($D82,Milestones!$AA$95)&gt;=$S82),$V82,IF(AND($R82&lt;&gt;"",EDATE($D82,Milestones!$AA$95)&gt;=$R82),$U82,$T82)))=Milestones!$AB$95),TEXT(EDATE($D82,Milestones!$AA$95),"dd/mm/yy")&amp;" "&amp;Milestones!$AB$95&amp;" "&amp;Milestones!$AC$95&amp;";  ","")&amp;IF(AND(EDATE($D82,Milestones!$AA$96)&lt;=AsOfDate,IF($Q82=0,$W82,IF(AND($S82&lt;&gt;"",EDATE($D82,Milestones!$AA$96)&gt;=$S82),$V82,IF(AND($R82&lt;&gt;"",EDATE($D82,Milestones!$AA$96)&gt;=$R82),$U82,$T82)))=Milestones!$AB$96),TEXT(EDATE($D82,Milestones!$AA$96),"dd/mm/yy")&amp;" "&amp;Milestones!$AB$96&amp;" "&amp;Milestones!$AC$96&amp;";  ","")&amp;IF(AND(EDATE($D82,Milestones!$AA$97)&lt;=AsOfDate,IF($Q82=0,$W82,IF(AND($S82&lt;&gt;"",EDATE($D82,Milestones!$AA$97)&gt;=$S82),$V82,IF(AND($R82&lt;&gt;"",EDATE($D82,Milestones!$AA$97)&gt;=$R82),$U82,$T82)))=Milestones!$AB$97),TEXT(EDATE($D82,Milestones!$AA$97),"dd/mm/yy")&amp;" "&amp;Milestones!$AB$97&amp;" "&amp;Milestones!$AC$97&amp;";  ","")&amp;IF(AND(EDATE($D82,Milestones!$AA$98)&lt;=AsOfDate,IF($Q82=0,$W82,IF(AND($S82&lt;&gt;"",EDATE($D82,Milestones!$AA$98)&gt;=$S82),$V82,IF(AND($R82&lt;&gt;"",EDATE($D82,Milestones!$AA$98)&gt;=$R82),$U82,$T82)))=Milestones!$AB$98),TEXT(EDATE($D82,Milestones!$AA$98),"dd/mm/yy")&amp;" "&amp;Milestones!$AB$98&amp;" "&amp;Milestones!$AC$98&amp;";  ","")&amp;IF(AND(EDATE($D82,Milestones!$AA$99)&lt;=AsOfDate,IF($Q82=0,$W82,IF(AND($S82&lt;&gt;"",EDATE($D82,Milestones!$AA$99)&gt;=$S82),$V82,IF(AND($R82&lt;&gt;"",EDATE($D82,Milestones!$AA$99)&gt;=$R82),$U82,$T82)))=Milestones!$AB$99),TEXT(EDATE($D82,Milestones!$AA$99),"dd/mm/yy")&amp;" "&amp;Milestones!$AB$99&amp;" "&amp;Milestones!$AC$99&amp;";  ",""))</f>
        <v/>
      </c>
      <c r="L82" s="0" t="str">
        <f aca="false">IF(OR($A82="",$D82=""),"",IF(AND(EDATE($D82,Milestones!$AA$100)&lt;=AsOfDate,IF($Q82=0,$W82,IF(AND($S82&lt;&gt;"",EDATE($D82,Milestones!$AA$100)&gt;=$S82),$V82,IF(AND($R82&lt;&gt;"",EDATE($D82,Milestones!$AA$100)&gt;=$R82),$U82,$T82)))=Milestones!$AB$100),TEXT(EDATE($D82,Milestones!$AA$100),"dd/mm/yy")&amp;" "&amp;Milestones!$AB$100&amp;" "&amp;Milestones!$AC$100&amp;";  ","")&amp;IF(AND(EDATE($D82,Milestones!$AA$101)&lt;=AsOfDate,IF($Q82=0,$W82,IF(AND($S82&lt;&gt;"",EDATE($D82,Milestones!$AA$101)&gt;=$S82),$V82,IF(AND($R82&lt;&gt;"",EDATE($D82,Milestones!$AA$101)&gt;=$R82),$U82,$T82)))=Milestones!$AB$101),TEXT(EDATE($D82,Milestones!$AA$101),"dd/mm/yy")&amp;" "&amp;Milestones!$AB$101&amp;" "&amp;Milestones!$AC$101&amp;";  ","")&amp;IF(AND(EDATE($D82,Milestones!$AA$102)&lt;=AsOfDate,IF($Q82=0,$W82,IF(AND($S82&lt;&gt;"",EDATE($D82,Milestones!$AA$102)&gt;=$S82),$V82,IF(AND($R82&lt;&gt;"",EDATE($D82,Milestones!$AA$102)&gt;=$R82),$U82,$T82)))=Milestones!$AB$102),TEXT(EDATE($D82,Milestones!$AA$102),"dd/mm/yy")&amp;" "&amp;Milestones!$AB$102&amp;" "&amp;Milestones!$AC$102&amp;";  ","")&amp;IF(AND(EDATE($D82,Milestones!$AA$103)&lt;=AsOfDate,IF($Q82=0,$W82,IF(AND($S82&lt;&gt;"",EDATE($D82,Milestones!$AA$103)&gt;=$S82),$V82,IF(AND($R82&lt;&gt;"",EDATE($D82,Milestones!$AA$103)&gt;=$R82),$U82,$T82)))=Milestones!$AB$103),TEXT(EDATE($D82,Milestones!$AA$103),"dd/mm/yy")&amp;" "&amp;Milestones!$AB$103&amp;" "&amp;Milestones!$AC$103&amp;";  ","")&amp;IF(AND(EDATE($D82,Milestones!$AA$104)&lt;=AsOfDate,IF($Q82=0,$W82,IF(AND($S82&lt;&gt;"",EDATE($D82,Milestones!$AA$104)&gt;=$S82),$V82,IF(AND($R82&lt;&gt;"",EDATE($D82,Milestones!$AA$104)&gt;=$R82),$U82,$T82)))=Milestones!$AB$104),TEXT(EDATE($D82,Milestones!$AA$104),"dd/mm/yy")&amp;" "&amp;Milestones!$AB$104&amp;" "&amp;Milestones!$AC$104&amp;";  ","")&amp;IF(AND(EDATE($D82,Milestones!$AA$105)&lt;=AsOfDate,IF($Q82=0,$W82,IF(AND($S82&lt;&gt;"",EDATE($D82,Milestones!$AA$105)&gt;=$S82),$V82,IF(AND($R82&lt;&gt;"",EDATE($D82,Milestones!$AA$105)&gt;=$R82),$U82,$T82)))=Milestones!$AB$105),TEXT(EDATE($D82,Milestones!$AA$105),"dd/mm/yy")&amp;" "&amp;Milestones!$AB$105&amp;" "&amp;Milestones!$AC$105&amp;";  ","")&amp;IF(AND(EDATE($D82,Milestones!$AA$106)&lt;=AsOfDate,IF($Q82=0,$W82,IF(AND($S82&lt;&gt;"",EDATE($D82,Milestones!$AA$106)&gt;=$S82),$V82,IF(AND($R82&lt;&gt;"",EDATE($D82,Milestones!$AA$106)&gt;=$R82),$U82,$T82)))=Milestones!$AB$106),TEXT(EDATE($D82,Milestones!$AA$106),"dd/mm/yy")&amp;" "&amp;Milestones!$AB$106&amp;" "&amp;Milestones!$AC$106&amp;";  ","")&amp;IF(AND(EDATE($D82,Milestones!$AA$107)&lt;=AsOfDate,IF($Q82=0,$W82,IF(AND($S82&lt;&gt;"",EDATE($D82,Milestones!$AA$107)&gt;=$S82),$V82,IF(AND($R82&lt;&gt;"",EDATE($D82,Milestones!$AA$107)&gt;=$R82),$U82,$T82)))=Milestones!$AB$107),TEXT(EDATE($D82,Milestones!$AA$107),"dd/mm/yy")&amp;" "&amp;Milestones!$AB$107&amp;" "&amp;Milestones!$AC$107&amp;";  ","")&amp;IF(AND(EDATE($D82,Milestones!$AA$108)&lt;=AsOfDate,IF($Q82=0,$W82,IF(AND($S82&lt;&gt;"",EDATE($D82,Milestones!$AA$108)&gt;=$S82),$V82,IF(AND($R82&lt;&gt;"",EDATE($D82,Milestones!$AA$108)&gt;=$R82),$U82,$T82)))=Milestones!$AB$108),TEXT(EDATE($D82,Milestones!$AA$108),"dd/mm/yy")&amp;" "&amp;Milestones!$AB$108&amp;" "&amp;Milestones!$AC$108&amp;";  ","")&amp;IF(AND(EDATE($D82,Milestones!$AA$109)&lt;=AsOfDate,IF($Q82=0,$W82,IF(AND($S82&lt;&gt;"",EDATE($D82,Milestones!$AA$109)&gt;=$S82),$V82,IF(AND($R82&lt;&gt;"",EDATE($D82,Milestones!$AA$109)&gt;=$R82),$U82,$T82)))=Milestones!$AB$109),TEXT(EDATE($D82,Milestones!$AA$109),"dd/mm/yy")&amp;" "&amp;Milestones!$AB$109&amp;" "&amp;Milestones!$AC$109&amp;";  ","")&amp;IF(AND(EDATE($D82,Milestones!$AA$110)&lt;=AsOfDate,IF($Q82=0,$W82,IF(AND($S82&lt;&gt;"",EDATE($D82,Milestones!$AA$110)&gt;=$S82),$V82,IF(AND($R82&lt;&gt;"",EDATE($D82,Milestones!$AA$110)&gt;=$R82),$U82,$T82)))=Milestones!$AB$110),TEXT(EDATE($D82,Milestones!$AA$110),"dd/mm/yy")&amp;" "&amp;Milestones!$AB$110&amp;" "&amp;Milestones!$AC$110&amp;";  ","")&amp;IF(AND(EDATE($D82,Milestones!$AA$111)&lt;=AsOfDate,IF($Q82=0,$W82,IF(AND($S82&lt;&gt;"",EDATE($D82,Milestones!$AA$111)&gt;=$S82),$V82,IF(AND($R82&lt;&gt;"",EDATE($D82,Milestones!$AA$111)&gt;=$R82),$U82,$T82)))=Milestones!$AB$111),TEXT(EDATE($D82,Milestones!$AA$111),"dd/mm/yy")&amp;" "&amp;Milestones!$AB$111&amp;" "&amp;Milestones!$AC$111&amp;";  ","")&amp;IF(AND(EDATE($D82,Milestones!$AA$112)&lt;=AsOfDate,IF($Q82=0,$W82,IF(AND($S82&lt;&gt;"",EDATE($D82,Milestones!$AA$112)&gt;=$S82),$V82,IF(AND($R82&lt;&gt;"",EDATE($D82,Milestones!$AA$112)&gt;=$R82),$U82,$T82)))=Milestones!$AB$112),TEXT(EDATE($D82,Milestones!$AA$112),"dd/mm/yy")&amp;" "&amp;Milestones!$AB$112&amp;" "&amp;Milestones!$AC$112&amp;";  ","")&amp;IF(AND(EDATE($D82,Milestones!$AA$113)&lt;=AsOfDate,IF($Q82=0,$W82,IF(AND($S82&lt;&gt;"",EDATE($D82,Milestones!$AA$113)&gt;=$S82),$V82,IF(AND($R82&lt;&gt;"",EDATE($D82,Milestones!$AA$113)&gt;=$R82),$U82,$T82)))=Milestones!$AB$113),TEXT(EDATE($D82,Milestones!$AA$113),"dd/mm/yy")&amp;" "&amp;Milestones!$AB$113&amp;" "&amp;Milestones!$AC$113&amp;";  ","")&amp;IF(AND(EDATE($D82,Milestones!$AA$114)&lt;=AsOfDate,IF($Q82=0,$W82,IF(AND($S82&lt;&gt;"",EDATE($D82,Milestones!$AA$114)&gt;=$S82),$V82,IF(AND($R82&lt;&gt;"",EDATE($D82,Milestones!$AA$114)&gt;=$R82),$U82,$T82)))=Milestones!$AB$114),TEXT(EDATE($D82,Milestones!$AA$114),"dd/mm/yy")&amp;" "&amp;Milestones!$AB$114&amp;" "&amp;Milestones!$AC$114&amp;";  ","")&amp;IF(AND(EDATE($D82,Milestones!$AA$115)&lt;=AsOfDate,IF($Q82=0,$W82,IF(AND($S82&lt;&gt;"",EDATE($D82,Milestones!$AA$115)&gt;=$S82),$V82,IF(AND($R82&lt;&gt;"",EDATE($D82,Milestones!$AA$115)&gt;=$R82),$U82,$T82)))=Milestones!$AB$115),TEXT(EDATE($D82,Milestones!$AA$115),"dd/mm/yy")&amp;" "&amp;Milestones!$AB$115&amp;" "&amp;Milestones!$AC$115&amp;";  ","")&amp;IF(AND(EDATE($D82,Milestones!$AA$116)&lt;=AsOfDate,IF($Q82=0,$W82,IF(AND($S82&lt;&gt;"",EDATE($D82,Milestones!$AA$116)&gt;=$S82),$V82,IF(AND($R82&lt;&gt;"",EDATE($D82,Milestones!$AA$116)&gt;=$R82),$U82,$T82)))=Milestones!$AB$116),TEXT(EDATE($D82,Milestones!$AA$116),"dd/mm/yy")&amp;" "&amp;Milestones!$AB$116&amp;" "&amp;Milestones!$AC$116&amp;";  ","")&amp;IF(AND(EDATE($D82,Milestones!$AA$117)&lt;=AsOfDate,IF($Q82=0,$W82,IF(AND($S82&lt;&gt;"",EDATE($D82,Milestones!$AA$117)&gt;=$S82),$V82,IF(AND($R82&lt;&gt;"",EDATE($D82,Milestones!$AA$117)&gt;=$R82),$U82,$T82)))=Milestones!$AB$117),TEXT(EDATE($D82,Milestones!$AA$117),"dd/mm/yy")&amp;" "&amp;Milestones!$AB$117&amp;" "&amp;Milestones!$AC$117&amp;";  ","")&amp;IF(AND(EDATE($D82,Milestones!$AA$118)&lt;=AsOfDate,IF($Q82=0,$W82,IF(AND($S82&lt;&gt;"",EDATE($D82,Milestones!$AA$118)&gt;=$S82),$V82,IF(AND($R82&lt;&gt;"",EDATE($D82,Milestones!$AA$118)&gt;=$R82),$U82,$T82)))=Milestones!$AB$118),TEXT(EDATE($D82,Milestones!$AA$118),"dd/mm/yy")&amp;" "&amp;Milestones!$AB$118&amp;" "&amp;Milestones!$AC$118&amp;";  ","")&amp;IF(AND(EDATE($D82,Milestones!$AA$119)&lt;=AsOfDate,IF($Q82=0,$W82,IF(AND($S82&lt;&gt;"",EDATE($D82,Milestones!$AA$119)&gt;=$S82),$V82,IF(AND($R82&lt;&gt;"",EDATE($D82,Milestones!$AA$119)&gt;=$R82),$U82,$T82)))=Milestones!$AB$119),TEXT(EDATE($D82,Milestones!$AA$119),"dd/mm/yy")&amp;" "&amp;Milestones!$AB$119&amp;" "&amp;Milestones!$AC$119&amp;";  ",""))</f>
        <v/>
      </c>
      <c r="M82" s="0" t="str">
        <f aca="false">IF(OR($A82="",$D82=""),"",IF(AND(EDATE($D82,Milestones!$AA$120)&lt;=AsOfDate,IF($Q82=0,$W82,IF(AND($S82&lt;&gt;"",EDATE($D82,Milestones!$AA$120)&gt;=$S82),$V82,IF(AND($R82&lt;&gt;"",EDATE($D82,Milestones!$AA$120)&gt;=$R82),$U82,$T82)))=Milestones!$AB$120),TEXT(EDATE($D82,Milestones!$AA$120),"dd/mm/yy")&amp;" "&amp;Milestones!$AB$120&amp;" "&amp;Milestones!$AC$120&amp;";  ","")&amp;IF(AND(EDATE($D82,Milestones!$AA$121)&lt;=AsOfDate,IF($Q82=0,$W82,IF(AND($S82&lt;&gt;"",EDATE($D82,Milestones!$AA$121)&gt;=$S82),$V82,IF(AND($R82&lt;&gt;"",EDATE($D82,Milestones!$AA$121)&gt;=$R82),$U82,$T82)))=Milestones!$AB$121),TEXT(EDATE($D82,Milestones!$AA$121),"dd/mm/yy")&amp;" "&amp;Milestones!$AB$121&amp;" "&amp;Milestones!$AC$121&amp;";  ","")&amp;IF(AND(EDATE($D82,Milestones!$AA$122)&lt;=AsOfDate,IF($Q82=0,$W82,IF(AND($S82&lt;&gt;"",EDATE($D82,Milestones!$AA$122)&gt;=$S82),$V82,IF(AND($R82&lt;&gt;"",EDATE($D82,Milestones!$AA$122)&gt;=$R82),$U82,$T82)))=Milestones!$AB$122),TEXT(EDATE($D82,Milestones!$AA$122),"dd/mm/yy")&amp;" "&amp;Milestones!$AB$122&amp;" "&amp;Milestones!$AC$122&amp;";  ","")&amp;IF(AND(EDATE($D82,Milestones!$AA$123)&lt;=AsOfDate,IF($Q82=0,$W82,IF(AND($S82&lt;&gt;"",EDATE($D82,Milestones!$AA$123)&gt;=$S82),$V82,IF(AND($R82&lt;&gt;"",EDATE($D82,Milestones!$AA$123)&gt;=$R82),$U82,$T82)))=Milestones!$AB$123),TEXT(EDATE($D82,Milestones!$AA$123),"dd/mm/yy")&amp;" "&amp;Milestones!$AB$123&amp;" "&amp;Milestones!$AC$123&amp;";  ","")&amp;IF(AND(EDATE($D82,Milestones!$AA$124)&lt;=AsOfDate,IF($Q82=0,$W82,IF(AND($S82&lt;&gt;"",EDATE($D82,Milestones!$AA$124)&gt;=$S82),$V82,IF(AND($R82&lt;&gt;"",EDATE($D82,Milestones!$AA$124)&gt;=$R82),$U82,$T82)))=Milestones!$AB$124),TEXT(EDATE($D82,Milestones!$AA$124),"dd/mm/yy")&amp;" "&amp;Milestones!$AB$124&amp;" "&amp;Milestones!$AC$124&amp;";  ","")&amp;IF(AND(EDATE($D82,Milestones!$AA$125)&lt;=AsOfDate,IF($Q82=0,$W82,IF(AND($S82&lt;&gt;"",EDATE($D82,Milestones!$AA$125)&gt;=$S82),$V82,IF(AND($R82&lt;&gt;"",EDATE($D82,Milestones!$AA$125)&gt;=$R82),$U82,$T82)))=Milestones!$AB$125),TEXT(EDATE($D82,Milestones!$AA$125),"dd/mm/yy")&amp;" "&amp;Milestones!$AB$125&amp;" "&amp;Milestones!$AC$125&amp;";  ","")&amp;IF(AND(EDATE($D82,Milestones!$AA$126)&lt;=AsOfDate,IF($Q82=0,$W82,IF(AND($S82&lt;&gt;"",EDATE($D82,Milestones!$AA$126)&gt;=$S82),$V82,IF(AND($R82&lt;&gt;"",EDATE($D82,Milestones!$AA$126)&gt;=$R82),$U82,$T82)))=Milestones!$AB$126),TEXT(EDATE($D82,Milestones!$AA$126),"dd/mm/yy")&amp;" "&amp;Milestones!$AB$126&amp;" "&amp;Milestones!$AC$126&amp;";  ","")&amp;IF(AND(EDATE($D82,Milestones!$AA$127)&lt;=AsOfDate,IF($Q82=0,$W82,IF(AND($S82&lt;&gt;"",EDATE($D82,Milestones!$AA$127)&gt;=$S82),$V82,IF(AND($R82&lt;&gt;"",EDATE($D82,Milestones!$AA$127)&gt;=$R82),$U82,$T82)))=Milestones!$AB$127),TEXT(EDATE($D82,Milestones!$AA$127),"dd/mm/yy")&amp;" "&amp;Milestones!$AB$127&amp;" "&amp;Milestones!$AC$127&amp;";  ","")&amp;IF(AND(EDATE($D82,Milestones!$AA$128)&lt;=AsOfDate,IF($Q82=0,$W82,IF(AND($S82&lt;&gt;"",EDATE($D82,Milestones!$AA$128)&gt;=$S82),$V82,IF(AND($R82&lt;&gt;"",EDATE($D82,Milestones!$AA$128)&gt;=$R82),$U82,$T82)))=Milestones!$AB$128),TEXT(EDATE($D82,Milestones!$AA$128),"dd/mm/yy")&amp;" "&amp;Milestones!$AB$128&amp;" "&amp;Milestones!$AC$128&amp;";  ","")&amp;IF(AND(EDATE($D82,Milestones!$AA$129)&lt;=AsOfDate,IF($Q82=0,$W82,IF(AND($S82&lt;&gt;"",EDATE($D82,Milestones!$AA$129)&gt;=$S82),$V82,IF(AND($R82&lt;&gt;"",EDATE($D82,Milestones!$AA$129)&gt;=$R82),$U82,$T82)))=Milestones!$AB$129),TEXT(EDATE($D82,Milestones!$AA$129),"dd/mm/yy")&amp;" "&amp;Milestones!$AB$129&amp;" "&amp;Milestones!$AC$129&amp;";  ","")&amp;IF(AND(EDATE($D82,Milestones!$AA$130)&lt;=AsOfDate,IF($Q82=0,$W82,IF(AND($S82&lt;&gt;"",EDATE($D82,Milestones!$AA$130)&gt;=$S82),$V82,IF(AND($R82&lt;&gt;"",EDATE($D82,Milestones!$AA$130)&gt;=$R82),$U82,$T82)))=Milestones!$AB$130),TEXT(EDATE($D82,Milestones!$AA$130),"dd/mm/yy")&amp;" "&amp;Milestones!$AB$130&amp;" "&amp;Milestones!$AC$130&amp;";  ","")&amp;IF(AND(EDATE($D82,Milestones!$AA$131)&lt;=AsOfDate,IF($Q82=0,$W82,IF(AND($S82&lt;&gt;"",EDATE($D82,Milestones!$AA$131)&gt;=$S82),$V82,IF(AND($R82&lt;&gt;"",EDATE($D82,Milestones!$AA$131)&gt;=$R82),$U82,$T82)))=Milestones!$AB$131),TEXT(EDATE($D82,Milestones!$AA$131),"dd/mm/yy")&amp;" "&amp;Milestones!$AB$131&amp;" "&amp;Milestones!$AC$131&amp;";  ","")&amp;IF(AND(EDATE($D82,Milestones!$AA$132)&lt;=AsOfDate,IF($Q82=0,$W82,IF(AND($S82&lt;&gt;"",EDATE($D82,Milestones!$AA$132)&gt;=$S82),$V82,IF(AND($R82&lt;&gt;"",EDATE($D82,Milestones!$AA$132)&gt;=$R82),$U82,$T82)))=Milestones!$AB$132),TEXT(EDATE($D82,Milestones!$AA$132),"dd/mm/yy")&amp;" "&amp;Milestones!$AB$132&amp;" "&amp;Milestones!$AC$132&amp;";  ","")&amp;IF(AND(EDATE($D82,Milestones!$AA$133)&lt;=AsOfDate,IF($Q82=0,$W82,IF(AND($S82&lt;&gt;"",EDATE($D82,Milestones!$AA$133)&gt;=$S82),$V82,IF(AND($R82&lt;&gt;"",EDATE($D82,Milestones!$AA$133)&gt;=$R82),$U82,$T82)))=Milestones!$AB$133),TEXT(EDATE($D82,Milestones!$AA$133),"dd/mm/yy")&amp;" "&amp;Milestones!$AB$133&amp;" "&amp;Milestones!$AC$133&amp;";  ","")&amp;IF(AND(EDATE($D82,Milestones!$AA$134)&lt;=AsOfDate,IF($Q82=0,$W82,IF(AND($S82&lt;&gt;"",EDATE($D82,Milestones!$AA$134)&gt;=$S82),$V82,IF(AND($R82&lt;&gt;"",EDATE($D82,Milestones!$AA$134)&gt;=$R82),$U82,$T82)))=Milestones!$AB$134),TEXT(EDATE($D82,Milestones!$AA$134),"dd/mm/yy")&amp;" "&amp;Milestones!$AB$134&amp;" "&amp;Milestones!$AC$134&amp;";  ","")&amp;IF(AND(EDATE($D82,Milestones!$AA$135)&lt;=AsOfDate,IF($Q82=0,$W82,IF(AND($S82&lt;&gt;"",EDATE($D82,Milestones!$AA$135)&gt;=$S82),$V82,IF(AND($R82&lt;&gt;"",EDATE($D82,Milestones!$AA$135)&gt;=$R82),$U82,$T82)))=Milestones!$AB$135),TEXT(EDATE($D82,Milestones!$AA$135),"dd/mm/yy")&amp;" "&amp;Milestones!$AB$135&amp;" "&amp;Milestones!$AC$135&amp;";  ","")&amp;IF(AND(EDATE($D82,Milestones!$AA$136)&lt;=AsOfDate,IF($Q82=0,$W82,IF(AND($S82&lt;&gt;"",EDATE($D82,Milestones!$AA$136)&gt;=$S82),$V82,IF(AND($R82&lt;&gt;"",EDATE($D82,Milestones!$AA$136)&gt;=$R82),$U82,$T82)))=Milestones!$AB$136),TEXT(EDATE($D82,Milestones!$AA$136),"dd/mm/yy")&amp;" "&amp;Milestones!$AB$136&amp;" "&amp;Milestones!$AC$136&amp;";  ","")&amp;IF(AND(EDATE($D82,Milestones!$AA$137)&lt;=AsOfDate,IF($Q82=0,$W82,IF(AND($S82&lt;&gt;"",EDATE($D82,Milestones!$AA$137)&gt;=$S82),$V82,IF(AND($R82&lt;&gt;"",EDATE($D82,Milestones!$AA$137)&gt;=$R82),$U82,$T82)))=Milestones!$AB$137),TEXT(EDATE($D82,Milestones!$AA$137),"dd/mm/yy")&amp;" "&amp;Milestones!$AB$137&amp;" "&amp;Milestones!$AC$137&amp;";  ","")&amp;IF(AND(EDATE($D82,Milestones!$AA$138)&lt;=AsOfDate,IF($Q82=0,$W82,IF(AND($S82&lt;&gt;"",EDATE($D82,Milestones!$AA$138)&gt;=$S82),$V82,IF(AND($R82&lt;&gt;"",EDATE($D82,Milestones!$AA$138)&gt;=$R82),$U82,$T82)))=Milestones!$AB$138),TEXT(EDATE($D82,Milestones!$AA$138),"dd/mm/yy")&amp;" "&amp;Milestones!$AB$138&amp;" "&amp;Milestones!$AC$138&amp;";  ","")&amp;IF(AND(EDATE($D82,Milestones!$AA$139)&lt;=AsOfDate,IF($Q82=0,$W82,IF(AND($S82&lt;&gt;"",EDATE($D82,Milestones!$AA$139)&gt;=$S82),$V82,IF(AND($R82&lt;&gt;"",EDATE($D82,Milestones!$AA$139)&gt;=$R82),$U82,$T82)))=Milestones!$AB$139),TEXT(EDATE($D82,Milestones!$AA$139),"dd/mm/yy")&amp;" "&amp;Milestones!$AB$139&amp;" "&amp;Milestones!$AC$139&amp;";  ",""))</f>
        <v/>
      </c>
      <c r="N82" s="0" t="str">
        <f aca="false">IF(OR($A82="",$D82=""),"",IF(AND(EDATE($D82,Milestones!$AA$140)&lt;=AsOfDate,IF($Q82=0,$W82,IF(AND($S82&lt;&gt;"",EDATE($D82,Milestones!$AA$140)&gt;=$S82),$V82,IF(AND($R82&lt;&gt;"",EDATE($D82,Milestones!$AA$140)&gt;=$R82),$U82,$T82)))=Milestones!$AB$140),TEXT(EDATE($D82,Milestones!$AA$140),"dd/mm/yy")&amp;" "&amp;Milestones!$AB$140&amp;" "&amp;Milestones!$AC$140&amp;";  ","")&amp;IF(AND(EDATE($D82,Milestones!$AA$141)&lt;=AsOfDate,IF($Q82=0,$W82,IF(AND($S82&lt;&gt;"",EDATE($D82,Milestones!$AA$141)&gt;=$S82),$V82,IF(AND($R82&lt;&gt;"",EDATE($D82,Milestones!$AA$141)&gt;=$R82),$U82,$T82)))=Milestones!$AB$141),TEXT(EDATE($D82,Milestones!$AA$141),"dd/mm/yy")&amp;" "&amp;Milestones!$AB$141&amp;" "&amp;Milestones!$AC$141&amp;";  ","")&amp;IF(AND(EDATE($D82,Milestones!$AA$142)&lt;=AsOfDate,IF($Q82=0,$W82,IF(AND($S82&lt;&gt;"",EDATE($D82,Milestones!$AA$142)&gt;=$S82),$V82,IF(AND($R82&lt;&gt;"",EDATE($D82,Milestones!$AA$142)&gt;=$R82),$U82,$T82)))=Milestones!$AB$142),TEXT(EDATE($D82,Milestones!$AA$142),"dd/mm/yy")&amp;" "&amp;Milestones!$AB$142&amp;" "&amp;Milestones!$AC$142&amp;";  ","")&amp;IF(AND(EDATE($D82,Milestones!$AA$143)&lt;=AsOfDate,IF($Q82=0,$W82,IF(AND($S82&lt;&gt;"",EDATE($D82,Milestones!$AA$143)&gt;=$S82),$V82,IF(AND($R82&lt;&gt;"",EDATE($D82,Milestones!$AA$143)&gt;=$R82),$U82,$T82)))=Milestones!$AB$143),TEXT(EDATE($D82,Milestones!$AA$143),"dd/mm/yy")&amp;" "&amp;Milestones!$AB$143&amp;" "&amp;Milestones!$AC$143&amp;";  ","")&amp;IF(AND(EDATE($D82,Milestones!$AA$144)&lt;=AsOfDate,IF($Q82=0,$W82,IF(AND($S82&lt;&gt;"",EDATE($D82,Milestones!$AA$144)&gt;=$S82),$V82,IF(AND($R82&lt;&gt;"",EDATE($D82,Milestones!$AA$144)&gt;=$R82),$U82,$T82)))=Milestones!$AB$144),TEXT(EDATE($D82,Milestones!$AA$144),"dd/mm/yy")&amp;" "&amp;Milestones!$AB$144&amp;" "&amp;Milestones!$AC$144&amp;";  ","")&amp;IF(AND(EDATE($D82,Milestones!$AA$145)&lt;=AsOfDate,IF($Q82=0,$W82,IF(AND($S82&lt;&gt;"",EDATE($D82,Milestones!$AA$145)&gt;=$S82),$V82,IF(AND($R82&lt;&gt;"",EDATE($D82,Milestones!$AA$145)&gt;=$R82),$U82,$T82)))=Milestones!$AB$145),TEXT(EDATE($D82,Milestones!$AA$145),"dd/mm/yy")&amp;" "&amp;Milestones!$AB$145&amp;" "&amp;Milestones!$AC$145&amp;";  ","")&amp;IF(AND(EDATE($D82,Milestones!$AA$146)&lt;=AsOfDate,IF($Q82=0,$W82,IF(AND($S82&lt;&gt;"",EDATE($D82,Milestones!$AA$146)&gt;=$S82),$V82,IF(AND($R82&lt;&gt;"",EDATE($D82,Milestones!$AA$146)&gt;=$R82),$U82,$T82)))=Milestones!$AB$146),TEXT(EDATE($D82,Milestones!$AA$146),"dd/mm/yy")&amp;" "&amp;Milestones!$AB$146&amp;" "&amp;Milestones!$AC$146&amp;";  ","")&amp;IF(AND(EDATE($D82,Milestones!$AA$147)&lt;=AsOfDate,IF($Q82=0,$W82,IF(AND($S82&lt;&gt;"",EDATE($D82,Milestones!$AA$147)&gt;=$S82),$V82,IF(AND($R82&lt;&gt;"",EDATE($D82,Milestones!$AA$147)&gt;=$R82),$U82,$T82)))=Milestones!$AB$147),TEXT(EDATE($D82,Milestones!$AA$147),"dd/mm/yy")&amp;" "&amp;Milestones!$AB$147&amp;" "&amp;Milestones!$AC$147&amp;";  ","")&amp;IF(AND(EDATE($D82,Milestones!$AA$148)&lt;=AsOfDate,IF($Q82=0,$W82,IF(AND($S82&lt;&gt;"",EDATE($D82,Milestones!$AA$148)&gt;=$S82),$V82,IF(AND($R82&lt;&gt;"",EDATE($D82,Milestones!$AA$148)&gt;=$R82),$U82,$T82)))=Milestones!$AB$148),TEXT(EDATE($D82,Milestones!$AA$148),"dd/mm/yy")&amp;" "&amp;Milestones!$AB$148&amp;" "&amp;Milestones!$AC$148&amp;";  ","")&amp;IF(AND(EDATE($D82,Milestones!$AA$149)&lt;=AsOfDate,IF($Q82=0,$W82,IF(AND($S82&lt;&gt;"",EDATE($D82,Milestones!$AA$149)&gt;=$S82),$V82,IF(AND($R82&lt;&gt;"",EDATE($D82,Milestones!$AA$149)&gt;=$R82),$U82,$T82)))=Milestones!$AB$149),TEXT(EDATE($D82,Milestones!$AA$149),"dd/mm/yy")&amp;" "&amp;Milestones!$AB$149&amp;" "&amp;Milestones!$AC$149&amp;";  ","")&amp;IF(AND(EDATE($D82,Milestones!$AA$150)&lt;=AsOfDate,IF($Q82=0,$W82,IF(AND($S82&lt;&gt;"",EDATE($D82,Milestones!$AA$150)&gt;=$S82),$V82,IF(AND($R82&lt;&gt;"",EDATE($D82,Milestones!$AA$150)&gt;=$R82),$U82,$T82)))=Milestones!$AB$150),TEXT(EDATE($D82,Milestones!$AA$150),"dd/mm/yy")&amp;" "&amp;Milestones!$AB$150&amp;" "&amp;Milestones!$AC$150&amp;";  ","")&amp;IF(AND(EDATE($D82,Milestones!$AA$151)&lt;=AsOfDate,IF($Q82=0,$W82,IF(AND($S82&lt;&gt;"",EDATE($D82,Milestones!$AA$151)&gt;=$S82),$V82,IF(AND($R82&lt;&gt;"",EDATE($D82,Milestones!$AA$151)&gt;=$R82),$U82,$T82)))=Milestones!$AB$151),TEXT(EDATE($D82,Milestones!$AA$151),"dd/mm/yy")&amp;" "&amp;Milestones!$AB$151&amp;" "&amp;Milestones!$AC$151&amp;";  ","")&amp;IF(AND(EDATE($D82,Milestones!$AA$152)&lt;=AsOfDate,IF($Q82=0,$W82,IF(AND($S82&lt;&gt;"",EDATE($D82,Milestones!$AA$152)&gt;=$S82),$V82,IF(AND($R82&lt;&gt;"",EDATE($D82,Milestones!$AA$152)&gt;=$R82),$U82,$T82)))=Milestones!$AB$152),TEXT(EDATE($D82,Milestones!$AA$152),"dd/mm/yy")&amp;" "&amp;Milestones!$AB$152&amp;" "&amp;Milestones!$AC$152&amp;";  ","")&amp;IF(AND(EDATE($D82,Milestones!$AA$153)&lt;=AsOfDate,IF($Q82=0,$W82,IF(AND($S82&lt;&gt;"",EDATE($D82,Milestones!$AA$153)&gt;=$S82),$V82,IF(AND($R82&lt;&gt;"",EDATE($D82,Milestones!$AA$153)&gt;=$R82),$U82,$T82)))=Milestones!$AB$153),TEXT(EDATE($D82,Milestones!$AA$153),"dd/mm/yy")&amp;" "&amp;Milestones!$AB$153&amp;" "&amp;Milestones!$AC$153&amp;";  ","")&amp;IF(AND(EDATE($D82,Milestones!$AA$154)&lt;=AsOfDate,IF($Q82=0,$W82,IF(AND($S82&lt;&gt;"",EDATE($D82,Milestones!$AA$154)&gt;=$S82),$V82,IF(AND($R82&lt;&gt;"",EDATE($D82,Milestones!$AA$154)&gt;=$R82),$U82,$T82)))=Milestones!$AB$154),TEXT(EDATE($D82,Milestones!$AA$154),"dd/mm/yy")&amp;" "&amp;Milestones!$AB$154&amp;" "&amp;Milestones!$AC$154&amp;";  ","")&amp;IF(AND(EDATE($D82,Milestones!$AA$155)&lt;=AsOfDate,IF($Q82=0,$W82,IF(AND($S82&lt;&gt;"",EDATE($D82,Milestones!$AA$155)&gt;=$S82),$V82,IF(AND($R82&lt;&gt;"",EDATE($D82,Milestones!$AA$155)&gt;=$R82),$U82,$T82)))=Milestones!$AB$155),TEXT(EDATE($D82,Milestones!$AA$155),"dd/mm/yy")&amp;" "&amp;Milestones!$AB$155&amp;" "&amp;Milestones!$AC$155&amp;";  ","")&amp;IF(AND(EDATE($D82,Milestones!$AA$156)&lt;=AsOfDate,IF($Q82=0,$W82,IF(AND($S82&lt;&gt;"",EDATE($D82,Milestones!$AA$156)&gt;=$S82),$V82,IF(AND($R82&lt;&gt;"",EDATE($D82,Milestones!$AA$156)&gt;=$R82),$U82,$T82)))=Milestones!$AB$156),TEXT(EDATE($D82,Milestones!$AA$156),"dd/mm/yy")&amp;" "&amp;Milestones!$AB$156&amp;" "&amp;Milestones!$AC$156&amp;";  ","")&amp;IF(AND(EDATE($D82,Milestones!$AA$157)&lt;=AsOfDate,IF($Q82=0,$W82,IF(AND($S82&lt;&gt;"",EDATE($D82,Milestones!$AA$157)&gt;=$S82),$V82,IF(AND($R82&lt;&gt;"",EDATE($D82,Milestones!$AA$157)&gt;=$R82),$U82,$T82)))=Milestones!$AB$157),TEXT(EDATE($D82,Milestones!$AA$157),"dd/mm/yy")&amp;" "&amp;Milestones!$AB$157&amp;" "&amp;Milestones!$AC$157&amp;";  ","")&amp;IF(AND(EDATE($D82,Milestones!$AA$158)&lt;=AsOfDate,IF($Q82=0,$W82,IF(AND($S82&lt;&gt;"",EDATE($D82,Milestones!$AA$158)&gt;=$S82),$V82,IF(AND($R82&lt;&gt;"",EDATE($D82,Milestones!$AA$158)&gt;=$R82),$U82,$T82)))=Milestones!$AB$158),TEXT(EDATE($D82,Milestones!$AA$158),"dd/mm/yy")&amp;" "&amp;Milestones!$AB$158&amp;" "&amp;Milestones!$AC$158&amp;";  ","")&amp;IF(AND(EDATE($D82,Milestones!$AA$159)&lt;=AsOfDate,IF($Q82=0,$W82,IF(AND($S82&lt;&gt;"",EDATE($D82,Milestones!$AA$159)&gt;=$S82),$V82,IF(AND($R82&lt;&gt;"",EDATE($D82,Milestones!$AA$159)&gt;=$R82),$U82,$T82)))=Milestones!$AB$159),TEXT(EDATE($D82,Milestones!$AA$159),"dd/mm/yy")&amp;" "&amp;Milestones!$AB$159&amp;" "&amp;Milestones!$AC$159&amp;";  ",""))</f>
        <v/>
      </c>
      <c r="O82" s="0" t="str">
        <f aca="false">IF(OR($A82="",$D82=""),"",IF(AND(EDATE($D82,Milestones!$AA$160)&lt;=AsOfDate,IF($Q82=0,$W82,IF(AND($S82&lt;&gt;"",EDATE($D82,Milestones!$AA$160)&gt;=$S82),$V82,IF(AND($R82&lt;&gt;"",EDATE($D82,Milestones!$AA$160)&gt;=$R82),$U82,$T82)))=Milestones!$AB$160),TEXT(EDATE($D82,Milestones!$AA$160),"dd/mm/yy")&amp;" "&amp;Milestones!$AB$160&amp;" "&amp;Milestones!$AC$160&amp;";  ","")&amp;IF(AND(EDATE($D82,Milestones!$AA$161)&lt;=AsOfDate,IF($Q82=0,$W82,IF(AND($S82&lt;&gt;"",EDATE($D82,Milestones!$AA$161)&gt;=$S82),$V82,IF(AND($R82&lt;&gt;"",EDATE($D82,Milestones!$AA$161)&gt;=$R82),$U82,$T82)))=Milestones!$AB$161),TEXT(EDATE($D82,Milestones!$AA$161),"dd/mm/yy")&amp;" "&amp;Milestones!$AB$161&amp;" "&amp;Milestones!$AC$161&amp;";  ","")&amp;IF(AND(EDATE($D82,Milestones!$AA$162)&lt;=AsOfDate,IF($Q82=0,$W82,IF(AND($S82&lt;&gt;"",EDATE($D82,Milestones!$AA$162)&gt;=$S82),$V82,IF(AND($R82&lt;&gt;"",EDATE($D82,Milestones!$AA$162)&gt;=$R82),$U82,$T82)))=Milestones!$AB$162),TEXT(EDATE($D82,Milestones!$AA$162),"dd/mm/yy")&amp;" "&amp;Milestones!$AB$162&amp;" "&amp;Milestones!$AC$162&amp;";  ","")&amp;IF(AND(EDATE($D82,Milestones!$AA$163)&lt;=AsOfDate,IF($Q82=0,$W82,IF(AND($S82&lt;&gt;"",EDATE($D82,Milestones!$AA$163)&gt;=$S82),$V82,IF(AND($R82&lt;&gt;"",EDATE($D82,Milestones!$AA$163)&gt;=$R82),$U82,$T82)))=Milestones!$AB$163),TEXT(EDATE($D82,Milestones!$AA$163),"dd/mm/yy")&amp;" "&amp;Milestones!$AB$163&amp;" "&amp;Milestones!$AC$163&amp;";  ","")&amp;IF(AND(EDATE($D82,Milestones!$AA$164)&lt;=AsOfDate,IF($Q82=0,$W82,IF(AND($S82&lt;&gt;"",EDATE($D82,Milestones!$AA$164)&gt;=$S82),$V82,IF(AND($R82&lt;&gt;"",EDATE($D82,Milestones!$AA$164)&gt;=$R82),$U82,$T82)))=Milestones!$AB$164),TEXT(EDATE($D82,Milestones!$AA$164),"dd/mm/yy")&amp;" "&amp;Milestones!$AB$164&amp;" "&amp;Milestones!$AC$164&amp;";  ","")&amp;IF(AND(EDATE($D82,Milestones!$AA$165)&lt;=AsOfDate,IF($Q82=0,$W82,IF(AND($S82&lt;&gt;"",EDATE($D82,Milestones!$AA$165)&gt;=$S82),$V82,IF(AND($R82&lt;&gt;"",EDATE($D82,Milestones!$AA$165)&gt;=$R82),$U82,$T82)))=Milestones!$AB$165),TEXT(EDATE($D82,Milestones!$AA$165),"dd/mm/yy")&amp;" "&amp;Milestones!$AB$165&amp;" "&amp;Milestones!$AC$165&amp;";  ","")&amp;IF(AND(EDATE($D82,Milestones!$AA$166)&lt;=AsOfDate,IF($Q82=0,$W82,IF(AND($S82&lt;&gt;"",EDATE($D82,Milestones!$AA$166)&gt;=$S82),$V82,IF(AND($R82&lt;&gt;"",EDATE($D82,Milestones!$AA$166)&gt;=$R82),$U82,$T82)))=Milestones!$AB$166),TEXT(EDATE($D82,Milestones!$AA$166),"dd/mm/yy")&amp;" "&amp;Milestones!$AB$166&amp;" "&amp;Milestones!$AC$166&amp;";  ","")&amp;IF(AND(EDATE($D82,Milestones!$AA$167)&lt;=AsOfDate,IF($Q82=0,$W82,IF(AND($S82&lt;&gt;"",EDATE($D82,Milestones!$AA$167)&gt;=$S82),$V82,IF(AND($R82&lt;&gt;"",EDATE($D82,Milestones!$AA$167)&gt;=$R82),$U82,$T82)))=Milestones!$AB$167),TEXT(EDATE($D82,Milestones!$AA$167),"dd/mm/yy")&amp;" "&amp;Milestones!$AB$167&amp;" "&amp;Milestones!$AC$167&amp;";  ","")&amp;IF(AND(EDATE($D82,Milestones!$AA$168)&lt;=AsOfDate,IF($Q82=0,$W82,IF(AND($S82&lt;&gt;"",EDATE($D82,Milestones!$AA$168)&gt;=$S82),$V82,IF(AND($R82&lt;&gt;"",EDATE($D82,Milestones!$AA$168)&gt;=$R82),$U82,$T82)))=Milestones!$AB$168),TEXT(EDATE($D82,Milestones!$AA$168),"dd/mm/yy")&amp;" "&amp;Milestones!$AB$168&amp;" "&amp;Milestones!$AC$168&amp;";  ","")&amp;IF(AND(EDATE($D82,Milestones!$AA$169)&lt;=AsOfDate,IF($Q82=0,$W82,IF(AND($S82&lt;&gt;"",EDATE($D82,Milestones!$AA$169)&gt;=$S82),$V82,IF(AND($R82&lt;&gt;"",EDATE($D82,Milestones!$AA$169)&gt;=$R82),$U82,$T82)))=Milestones!$AB$169),TEXT(EDATE($D82,Milestones!$AA$169),"dd/mm/yy")&amp;" "&amp;Milestones!$AB$169&amp;" "&amp;Milestones!$AC$169&amp;";  ","")&amp;IF(AND(EDATE($D82,Milestones!$AA$170)&lt;=AsOfDate,IF($Q82=0,$W82,IF(AND($S82&lt;&gt;"",EDATE($D82,Milestones!$AA$170)&gt;=$S82),$V82,IF(AND($R82&lt;&gt;"",EDATE($D82,Milestones!$AA$170)&gt;=$R82),$U82,$T82)))=Milestones!$AB$170),TEXT(EDATE($D82,Milestones!$AA$170),"dd/mm/yy")&amp;" "&amp;Milestones!$AB$170&amp;" "&amp;Milestones!$AC$170&amp;";  ","")&amp;IF(AND(EDATE($D82,Milestones!$AA$171)&lt;=AsOfDate,IF($Q82=0,$W82,IF(AND($S82&lt;&gt;"",EDATE($D82,Milestones!$AA$171)&gt;=$S82),$V82,IF(AND($R82&lt;&gt;"",EDATE($D82,Milestones!$AA$171)&gt;=$R82),$U82,$T82)))=Milestones!$AB$171),TEXT(EDATE($D82,Milestones!$AA$171),"dd/mm/yy")&amp;" "&amp;Milestones!$AB$171&amp;" "&amp;Milestones!$AC$171&amp;";  ","")&amp;IF(AND(EDATE($D82,Milestones!$AA$172)&lt;=AsOfDate,IF($Q82=0,$W82,IF(AND($S82&lt;&gt;"",EDATE($D82,Milestones!$AA$172)&gt;=$S82),$V82,IF(AND($R82&lt;&gt;"",EDATE($D82,Milestones!$AA$172)&gt;=$R82),$U82,$T82)))=Milestones!$AB$172),TEXT(EDATE($D82,Milestones!$AA$172),"dd/mm/yy")&amp;" "&amp;Milestones!$AB$172&amp;" "&amp;Milestones!$AC$172&amp;";  ","")&amp;IF(AND(EDATE($D82,Milestones!$AA$173)&lt;=AsOfDate,IF($Q82=0,$W82,IF(AND($S82&lt;&gt;"",EDATE($D82,Milestones!$AA$173)&gt;=$S82),$V82,IF(AND($R82&lt;&gt;"",EDATE($D82,Milestones!$AA$173)&gt;=$R82),$U82,$T82)))=Milestones!$AB$173),TEXT(EDATE($D82,Milestones!$AA$173),"dd/mm/yy")&amp;" "&amp;Milestones!$AB$173&amp;" "&amp;Milestones!$AC$173&amp;";  ","")&amp;IF(AND(EDATE($D82,Milestones!$AA$174)&lt;=AsOfDate,IF($Q82=0,$W82,IF(AND($S82&lt;&gt;"",EDATE($D82,Milestones!$AA$174)&gt;=$S82),$V82,IF(AND($R82&lt;&gt;"",EDATE($D82,Milestones!$AA$174)&gt;=$R82),$U82,$T82)))=Milestones!$AB$174),TEXT(EDATE($D82,Milestones!$AA$174),"dd/mm/yy")&amp;" "&amp;Milestones!$AB$174&amp;" "&amp;Milestones!$AC$174&amp;";  ","")&amp;IF(AND(EDATE($D82,Milestones!$AA$175)&lt;=AsOfDate,IF($Q82=0,$W82,IF(AND($S82&lt;&gt;"",EDATE($D82,Milestones!$AA$175)&gt;=$S82),$V82,IF(AND($R82&lt;&gt;"",EDATE($D82,Milestones!$AA$175)&gt;=$R82),$U82,$T82)))=Milestones!$AB$175),TEXT(EDATE($D82,Milestones!$AA$175),"dd/mm/yy")&amp;" "&amp;Milestones!$AB$175&amp;" "&amp;Milestones!$AC$175&amp;";  ","")&amp;IF(AND(EDATE($D82,Milestones!$AA$176)&lt;=AsOfDate,IF($Q82=0,$W82,IF(AND($S82&lt;&gt;"",EDATE($D82,Milestones!$AA$176)&gt;=$S82),$V82,IF(AND($R82&lt;&gt;"",EDATE($D82,Milestones!$AA$176)&gt;=$R82),$U82,$T82)))=Milestones!$AB$176),TEXT(EDATE($D82,Milestones!$AA$176),"dd/mm/yy")&amp;" "&amp;Milestones!$AB$176&amp;" "&amp;Milestones!$AC$176&amp;";  ","")&amp;IF(AND(EDATE($D82,Milestones!$AA$177)&lt;=AsOfDate,IF($Q82=0,$W82,IF(AND($S82&lt;&gt;"",EDATE($D82,Milestones!$AA$177)&gt;=$S82),$V82,IF(AND($R82&lt;&gt;"",EDATE($D82,Milestones!$AA$177)&gt;=$R82),$U82,$T82)))=Milestones!$AB$177),TEXT(EDATE($D82,Milestones!$AA$177),"dd/mm/yy")&amp;" "&amp;Milestones!$AB$177&amp;" "&amp;Milestones!$AC$177&amp;";  ","")&amp;IF(AND(EDATE($D82,Milestones!$AA$178)&lt;=AsOfDate,IF($Q82=0,$W82,IF(AND($S82&lt;&gt;"",EDATE($D82,Milestones!$AA$178)&gt;=$S82),$V82,IF(AND($R82&lt;&gt;"",EDATE($D82,Milestones!$AA$178)&gt;=$R82),$U82,$T82)))=Milestones!$AB$178),TEXT(EDATE($D82,Milestones!$AA$178),"dd/mm/yy")&amp;" "&amp;Milestones!$AB$178&amp;" "&amp;Milestones!$AC$178&amp;";  ","")&amp;IF(AND(EDATE($D82,Milestones!$AA$179)&lt;=AsOfDate,IF($Q82=0,$W82,IF(AND($S82&lt;&gt;"",EDATE($D82,Milestones!$AA$179)&gt;=$S82),$V82,IF(AND($R82&lt;&gt;"",EDATE($D82,Milestones!$AA$179)&gt;=$R82),$U82,$T82)))=Milestones!$AB$179),TEXT(EDATE($D82,Milestones!$AA$179),"dd/mm/yy")&amp;" "&amp;Milestones!$AB$179&amp;" "&amp;Milestones!$AC$179&amp;";  ",""))</f>
        <v/>
      </c>
      <c r="P82" s="0" t="str">
        <f aca="false">IF(OR($A82="",$D82=""),"",IF(AND(EDATE($D82,Milestones!$AA$180)&lt;=AsOfDate,IF($Q82=0,$W82,IF(AND($S82&lt;&gt;"",EDATE($D82,Milestones!$AA$180)&gt;=$S82),$V82,IF(AND($R82&lt;&gt;"",EDATE($D82,Milestones!$AA$180)&gt;=$R82),$U82,$T82)))=Milestones!$AB$180),TEXT(EDATE($D82,Milestones!$AA$180),"dd/mm/yy")&amp;" "&amp;Milestones!$AB$180&amp;" "&amp;Milestones!$AC$180&amp;";  ","")&amp;IF(AND(EDATE($D82,Milestones!$AA$181)&lt;=AsOfDate,IF($Q82=0,$W82,IF(AND($S82&lt;&gt;"",EDATE($D82,Milestones!$AA$181)&gt;=$S82),$V82,IF(AND($R82&lt;&gt;"",EDATE($D82,Milestones!$AA$181)&gt;=$R82),$U82,$T82)))=Milestones!$AB$181),TEXT(EDATE($D82,Milestones!$AA$181),"dd/mm/yy")&amp;" "&amp;Milestones!$AB$181&amp;" "&amp;Milestones!$AC$181&amp;";  ","")&amp;IF(AND(EDATE($D82,Milestones!$AA$182)&lt;=AsOfDate,IF($Q82=0,$W82,IF(AND($S82&lt;&gt;"",EDATE($D82,Milestones!$AA$182)&gt;=$S82),$V82,IF(AND($R82&lt;&gt;"",EDATE($D82,Milestones!$AA$182)&gt;=$R82),$U82,$T82)))=Milestones!$AB$182),TEXT(EDATE($D82,Milestones!$AA$182),"dd/mm/yy")&amp;" "&amp;Milestones!$AB$182&amp;" "&amp;Milestones!$AC$182&amp;";  ","")&amp;IF(AND(EDATE($D82,Milestones!$AA$183)&lt;=AsOfDate,IF($Q82=0,$W82,IF(AND($S82&lt;&gt;"",EDATE($D82,Milestones!$AA$183)&gt;=$S82),$V82,IF(AND($R82&lt;&gt;"",EDATE($D82,Milestones!$AA$183)&gt;=$R82),$U82,$T82)))=Milestones!$AB$183),TEXT(EDATE($D82,Milestones!$AA$183),"dd/mm/yy")&amp;" "&amp;Milestones!$AB$183&amp;" "&amp;Milestones!$AC$183&amp;";  ","")&amp;IF(AND(EDATE($D82,Milestones!$AA$184)&lt;=AsOfDate,IF($Q82=0,$W82,IF(AND($S82&lt;&gt;"",EDATE($D82,Milestones!$AA$184)&gt;=$S82),$V82,IF(AND($R82&lt;&gt;"",EDATE($D82,Milestones!$AA$184)&gt;=$R82),$U82,$T82)))=Milestones!$AB$184),TEXT(EDATE($D82,Milestones!$AA$184),"dd/mm/yy")&amp;" "&amp;Milestones!$AB$184&amp;" "&amp;Milestones!$AC$184&amp;";  ","")&amp;IF(AND(EDATE($D82,Milestones!$AA$185)&lt;=AsOfDate,IF($Q82=0,$W82,IF(AND($S82&lt;&gt;"",EDATE($D82,Milestones!$AA$185)&gt;=$S82),$V82,IF(AND($R82&lt;&gt;"",EDATE($D82,Milestones!$AA$185)&gt;=$R82),$U82,$T82)))=Milestones!$AB$185),TEXT(EDATE($D82,Milestones!$AA$185),"dd/mm/yy")&amp;" "&amp;Milestones!$AB$185&amp;" "&amp;Milestones!$AC$185&amp;";  ","")&amp;IF(AND(EDATE($D82,Milestones!$AA$186)&lt;=AsOfDate,IF($Q82=0,$W82,IF(AND($S82&lt;&gt;"",EDATE($D82,Milestones!$AA$186)&gt;=$S82),$V82,IF(AND($R82&lt;&gt;"",EDATE($D82,Milestones!$AA$186)&gt;=$R82),$U82,$T82)))=Milestones!$AB$186),TEXT(EDATE($D82,Milestones!$AA$186),"dd/mm/yy")&amp;" "&amp;Milestones!$AB$186&amp;" "&amp;Milestones!$AC$186&amp;";  ","")&amp;IF(AND(EDATE($D82,Milestones!$AA$187)&lt;=AsOfDate,IF($Q82=0,$W82,IF(AND($S82&lt;&gt;"",EDATE($D82,Milestones!$AA$187)&gt;=$S82),$V82,IF(AND($R82&lt;&gt;"",EDATE($D82,Milestones!$AA$187)&gt;=$R82),$U82,$T82)))=Milestones!$AB$187),TEXT(EDATE($D82,Milestones!$AA$187),"dd/mm/yy")&amp;" "&amp;Milestones!$AB$187&amp;" "&amp;Milestones!$AC$187&amp;";  ","")&amp;IF(AND(EDATE($D82,Milestones!$AA$188)&lt;=AsOfDate,IF($Q82=0,$W82,IF(AND($S82&lt;&gt;"",EDATE($D82,Milestones!$AA$188)&gt;=$S82),$V82,IF(AND($R82&lt;&gt;"",EDATE($D82,Milestones!$AA$188)&gt;=$R82),$U82,$T82)))=Milestones!$AB$188),TEXT(EDATE($D82,Milestones!$AA$188),"dd/mm/yy")&amp;" "&amp;Milestones!$AB$188&amp;" "&amp;Milestones!$AC$188&amp;";  ","")&amp;IF(AND(EDATE($D82,Milestones!$AA$189)&lt;=AsOfDate,IF($Q82=0,$W82,IF(AND($S82&lt;&gt;"",EDATE($D82,Milestones!$AA$189)&gt;=$S82),$V82,IF(AND($R82&lt;&gt;"",EDATE($D82,Milestones!$AA$189)&gt;=$R82),$U82,$T82)))=Milestones!$AB$189),TEXT(EDATE($D82,Milestones!$AA$189),"dd/mm/yy")&amp;" "&amp;Milestones!$AB$189&amp;" "&amp;Milestones!$AC$189&amp;";  ","")&amp;IF(AND(EDATE($D82,Milestones!$AA$190)&lt;=AsOfDate,IF($Q82=0,$W82,IF(AND($S82&lt;&gt;"",EDATE($D82,Milestones!$AA$190)&gt;=$S82),$V82,IF(AND($R82&lt;&gt;"",EDATE($D82,Milestones!$AA$190)&gt;=$R82),$U82,$T82)))=Milestones!$AB$190),TEXT(EDATE($D82,Milestones!$AA$190),"dd/mm/yy")&amp;" "&amp;Milestones!$AB$190&amp;" "&amp;Milestones!$AC$190&amp;";  ","")&amp;IF(AND(EDATE($D82,Milestones!$AA$191)&lt;=AsOfDate,IF($Q82=0,$W82,IF(AND($S82&lt;&gt;"",EDATE($D82,Milestones!$AA$191)&gt;=$S82),$V82,IF(AND($R82&lt;&gt;"",EDATE($D82,Milestones!$AA$191)&gt;=$R82),$U82,$T82)))=Milestones!$AB$191),TEXT(EDATE($D82,Milestones!$AA$191),"dd/mm/yy")&amp;" "&amp;Milestones!$AB$191&amp;" "&amp;Milestones!$AC$191&amp;";  ","")&amp;IF(AND(EDATE($D82,Milestones!$AA$192)&lt;=AsOfDate,IF($Q82=0,$W82,IF(AND($S82&lt;&gt;"",EDATE($D82,Milestones!$AA$192)&gt;=$S82),$V82,IF(AND($R82&lt;&gt;"",EDATE($D82,Milestones!$AA$192)&gt;=$R82),$U82,$T82)))=Milestones!$AB$192),TEXT(EDATE($D82,Milestones!$AA$192),"dd/mm/yy")&amp;" "&amp;Milestones!$AB$192&amp;" "&amp;Milestones!$AC$192&amp;";  ","")&amp;IF(AND(EDATE($D82,Milestones!$AA$193)&lt;=AsOfDate,IF($Q82=0,$W82,IF(AND($S82&lt;&gt;"",EDATE($D82,Milestones!$AA$193)&gt;=$S82),$V82,IF(AND($R82&lt;&gt;"",EDATE($D82,Milestones!$AA$193)&gt;=$R82),$U82,$T82)))=Milestones!$AB$193),TEXT(EDATE($D82,Milestones!$AA$193),"dd/mm/yy")&amp;" "&amp;Milestones!$AB$193&amp;" "&amp;Milestones!$AC$193&amp;";  ","")&amp;IF(AND(EDATE($D82,Milestones!$AA$194)&lt;=AsOfDate,IF($Q82=0,$W82,IF(AND($S82&lt;&gt;"",EDATE($D82,Milestones!$AA$194)&gt;=$S82),$V82,IF(AND($R82&lt;&gt;"",EDATE($D82,Milestones!$AA$194)&gt;=$R82),$U82,$T82)))=Milestones!$AB$194),TEXT(EDATE($D82,Milestones!$AA$194),"dd/mm/yy")&amp;" "&amp;Milestones!$AB$194&amp;" "&amp;Milestones!$AC$194&amp;";  ","")&amp;IF(AND(EDATE($D82,Milestones!$AA$195)&lt;=AsOfDate,IF($Q82=0,$W82,IF(AND($S82&lt;&gt;"",EDATE($D82,Milestones!$AA$195)&gt;=$S82),$V82,IF(AND($R82&lt;&gt;"",EDATE($D82,Milestones!$AA$195)&gt;=$R82),$U82,$T82)))=Milestones!$AB$195),TEXT(EDATE($D82,Milestones!$AA$195),"dd/mm/yy")&amp;" "&amp;Milestones!$AB$195&amp;" "&amp;Milestones!$AC$195&amp;";  ","")&amp;IF(AND(EDATE($D82,Milestones!$AA$196)&lt;=AsOfDate,IF($Q82=0,$W82,IF(AND($S82&lt;&gt;"",EDATE($D82,Milestones!$AA$196)&gt;=$S82),$V82,IF(AND($R82&lt;&gt;"",EDATE($D82,Milestones!$AA$196)&gt;=$R82),$U82,$T82)))=Milestones!$AB$196),TEXT(EDATE($D82,Milestones!$AA$196),"dd/mm/yy")&amp;" "&amp;Milestones!$AB$196&amp;" "&amp;Milestones!$AC$196&amp;";  ","")&amp;IF(AND(EDATE($D82,Milestones!$AA$197)&lt;=AsOfDate,IF($Q82=0,$W82,IF(AND($S82&lt;&gt;"",EDATE($D82,Milestones!$AA$197)&gt;=$S82),$V82,IF(AND($R82&lt;&gt;"",EDATE($D82,Milestones!$AA$197)&gt;=$R82),$U82,$T82)))=Milestones!$AB$197),TEXT(EDATE($D82,Milestones!$AA$197),"dd/mm/yy")&amp;" "&amp;Milestones!$AB$197&amp;" "&amp;Milestones!$AC$197&amp;";  ","")&amp;IF(AND(EDATE($D82,Milestones!$AA$198)&lt;=AsOfDate,IF($Q82=0,$W82,IF(AND($S82&lt;&gt;"",EDATE($D82,Milestones!$AA$198)&gt;=$S82),$V82,IF(AND($R82&lt;&gt;"",EDATE($D82,Milestones!$AA$198)&gt;=$R82),$U82,$T82)))=Milestones!$AB$198),TEXT(EDATE($D82,Milestones!$AA$198),"dd/mm/yy")&amp;" "&amp;Milestones!$AB$198&amp;" "&amp;Milestones!$AC$198&amp;";  ","")&amp;IF(AND(EDATE($D82,Milestones!$AA$199)&lt;=AsOfDate,IF($Q82=0,$W82,IF(AND($S82&lt;&gt;"",EDATE($D82,Milestones!$AA$199)&gt;=$S82),$V82,IF(AND($R82&lt;&gt;"",EDATE($D82,Milestones!$AA$199)&gt;=$R82),$U82,$T82)))=Milestones!$AB$199),TEXT(EDATE($D82,Milestones!$AA$199),"dd/mm/yy")&amp;" "&amp;Milestones!$AB$199&amp;" "&amp;Milestones!$AC$199&amp;";  ",""))</f>
        <v/>
      </c>
      <c r="Q82" s="0" t="str">
        <f aca="false">IF(Staff!$A82="","",Staff!$AG82)</f>
        <v/>
      </c>
      <c r="R82" s="0" t="str">
        <f aca="false">IF(Staff!$A82="","",Staff!$AI82)</f>
        <v/>
      </c>
      <c r="S82" s="0" t="str">
        <f aca="false">IF(Staff!$A82="","",Staff!$AJ82)</f>
        <v/>
      </c>
      <c r="T82" s="0" t="str">
        <f aca="false">IF(Staff!$A82="","",Staff!$AN82)</f>
        <v/>
      </c>
      <c r="U82" s="0" t="str">
        <f aca="false">IF(Staff!$A82="","",Staff!$AO82)</f>
        <v/>
      </c>
      <c r="V82" s="0" t="str">
        <f aca="false">IF(Staff!$A82="","",Staff!$AP82)</f>
        <v/>
      </c>
      <c r="W82" s="0" t="str">
        <f aca="false">IF(Staff!$A82="","",Staff!$AQ82)</f>
        <v/>
      </c>
    </row>
    <row r="83" customFormat="false" ht="15" hidden="false" customHeight="false" outlineLevel="0" collapsed="false">
      <c r="A83" s="13" t="str">
        <f aca="false">IF(Staff!$A83="","",Staff!$A83)</f>
        <v/>
      </c>
      <c r="B83" s="13" t="str">
        <f aca="false">IF(Staff!$A83="","",Staff!$B83)</f>
        <v/>
      </c>
      <c r="C83" s="13" t="str">
        <f aca="false">IF(Staff!$A83="","",Staff!$C83)</f>
        <v/>
      </c>
      <c r="D83" s="11" t="str">
        <f aca="false">IF(Staff!$A83="","",Staff!$AF83)</f>
        <v/>
      </c>
      <c r="E83" s="13" t="str">
        <f aca="false">IF(Staff!$A83="","",Staff!$O83)</f>
        <v/>
      </c>
      <c r="F83" s="13" t="str">
        <f aca="false">IF(E83="","",E83*HoursPerDay)</f>
        <v/>
      </c>
      <c r="G83" s="26" t="str">
        <f aca="false">IF($A83="","",H83&amp;I83&amp;J83&amp;K83&amp;L83&amp;M83&amp;N83&amp;O83&amp;P83)</f>
        <v/>
      </c>
      <c r="H83" s="0" t="str">
        <f aca="false">IF(OR($A83="",$D83=""),"",IF(AND(EDATE($D83,Milestones!$AA$20)&lt;=AsOfDate,IF($Q83=0,$W83,IF(AND($S83&lt;&gt;"",EDATE($D83,Milestones!$AA$20)&gt;=$S83),$V83,IF(AND($R83&lt;&gt;"",EDATE($D83,Milestones!$AA$20)&gt;=$R83),$U83,$T83)))=Milestones!$AB$20),TEXT(EDATE($D83,Milestones!$AA$20),"dd/mm/yy")&amp;" "&amp;Milestones!$AB$20&amp;" "&amp;Milestones!$AC$20&amp;";  ","")&amp;IF(AND(EDATE($D83,Milestones!$AA$21)&lt;=AsOfDate,IF($Q83=0,$W83,IF(AND($S83&lt;&gt;"",EDATE($D83,Milestones!$AA$21)&gt;=$S83),$V83,IF(AND($R83&lt;&gt;"",EDATE($D83,Milestones!$AA$21)&gt;=$R83),$U83,$T83)))=Milestones!$AB$21),TEXT(EDATE($D83,Milestones!$AA$21),"dd/mm/yy")&amp;" "&amp;Milestones!$AB$21&amp;" "&amp;Milestones!$AC$21&amp;";  ","")&amp;IF(AND(EDATE($D83,Milestones!$AA$22)&lt;=AsOfDate,IF($Q83=0,$W83,IF(AND($S83&lt;&gt;"",EDATE($D83,Milestones!$AA$22)&gt;=$S83),$V83,IF(AND($R83&lt;&gt;"",EDATE($D83,Milestones!$AA$22)&gt;=$R83),$U83,$T83)))=Milestones!$AB$22),TEXT(EDATE($D83,Milestones!$AA$22),"dd/mm/yy")&amp;" "&amp;Milestones!$AB$22&amp;" "&amp;Milestones!$AC$22&amp;";  ","")&amp;IF(AND(EDATE($D83,Milestones!$AA$23)&lt;=AsOfDate,IF($Q83=0,$W83,IF(AND($S83&lt;&gt;"",EDATE($D83,Milestones!$AA$23)&gt;=$S83),$V83,IF(AND($R83&lt;&gt;"",EDATE($D83,Milestones!$AA$23)&gt;=$R83),$U83,$T83)))=Milestones!$AB$23),TEXT(EDATE($D83,Milestones!$AA$23),"dd/mm/yy")&amp;" "&amp;Milestones!$AB$23&amp;" "&amp;Milestones!$AC$23&amp;";  ","")&amp;IF(AND(EDATE($D83,Milestones!$AA$24)&lt;=AsOfDate,IF($Q83=0,$W83,IF(AND($S83&lt;&gt;"",EDATE($D83,Milestones!$AA$24)&gt;=$S83),$V83,IF(AND($R83&lt;&gt;"",EDATE($D83,Milestones!$AA$24)&gt;=$R83),$U83,$T83)))=Milestones!$AB$24),TEXT(EDATE($D83,Milestones!$AA$24),"dd/mm/yy")&amp;" "&amp;Milestones!$AB$24&amp;" "&amp;Milestones!$AC$24&amp;";  ","")&amp;IF(AND(EDATE($D83,Milestones!$AA$25)&lt;=AsOfDate,IF($Q83=0,$W83,IF(AND($S83&lt;&gt;"",EDATE($D83,Milestones!$AA$25)&gt;=$S83),$V83,IF(AND($R83&lt;&gt;"",EDATE($D83,Milestones!$AA$25)&gt;=$R83),$U83,$T83)))=Milestones!$AB$25),TEXT(EDATE($D83,Milestones!$AA$25),"dd/mm/yy")&amp;" "&amp;Milestones!$AB$25&amp;" "&amp;Milestones!$AC$25&amp;";  ","")&amp;IF(AND(EDATE($D83,Milestones!$AA$26)&lt;=AsOfDate,IF($Q83=0,$W83,IF(AND($S83&lt;&gt;"",EDATE($D83,Milestones!$AA$26)&gt;=$S83),$V83,IF(AND($R83&lt;&gt;"",EDATE($D83,Milestones!$AA$26)&gt;=$R83),$U83,$T83)))=Milestones!$AB$26),TEXT(EDATE($D83,Milestones!$AA$26),"dd/mm/yy")&amp;" "&amp;Milestones!$AB$26&amp;" "&amp;Milestones!$AC$26&amp;";  ","")&amp;IF(AND(EDATE($D83,Milestones!$AA$27)&lt;=AsOfDate,IF($Q83=0,$W83,IF(AND($S83&lt;&gt;"",EDATE($D83,Milestones!$AA$27)&gt;=$S83),$V83,IF(AND($R83&lt;&gt;"",EDATE($D83,Milestones!$AA$27)&gt;=$R83),$U83,$T83)))=Milestones!$AB$27),TEXT(EDATE($D83,Milestones!$AA$27),"dd/mm/yy")&amp;" "&amp;Milestones!$AB$27&amp;" "&amp;Milestones!$AC$27&amp;";  ","")&amp;IF(AND(EDATE($D83,Milestones!$AA$28)&lt;=AsOfDate,IF($Q83=0,$W83,IF(AND($S83&lt;&gt;"",EDATE($D83,Milestones!$AA$28)&gt;=$S83),$V83,IF(AND($R83&lt;&gt;"",EDATE($D83,Milestones!$AA$28)&gt;=$R83),$U83,$T83)))=Milestones!$AB$28),TEXT(EDATE($D83,Milestones!$AA$28),"dd/mm/yy")&amp;" "&amp;Milestones!$AB$28&amp;" "&amp;Milestones!$AC$28&amp;";  ","")&amp;IF(AND(EDATE($D83,Milestones!$AA$29)&lt;=AsOfDate,IF($Q83=0,$W83,IF(AND($S83&lt;&gt;"",EDATE($D83,Milestones!$AA$29)&gt;=$S83),$V83,IF(AND($R83&lt;&gt;"",EDATE($D83,Milestones!$AA$29)&gt;=$R83),$U83,$T83)))=Milestones!$AB$29),TEXT(EDATE($D83,Milestones!$AA$29),"dd/mm/yy")&amp;" "&amp;Milestones!$AB$29&amp;" "&amp;Milestones!$AC$29&amp;";  ","")&amp;IF(AND(EDATE($D83,Milestones!$AA$30)&lt;=AsOfDate,IF($Q83=0,$W83,IF(AND($S83&lt;&gt;"",EDATE($D83,Milestones!$AA$30)&gt;=$S83),$V83,IF(AND($R83&lt;&gt;"",EDATE($D83,Milestones!$AA$30)&gt;=$R83),$U83,$T83)))=Milestones!$AB$30),TEXT(EDATE($D83,Milestones!$AA$30),"dd/mm/yy")&amp;" "&amp;Milestones!$AB$30&amp;" "&amp;Milestones!$AC$30&amp;";  ","")&amp;IF(AND(EDATE($D83,Milestones!$AA$31)&lt;=AsOfDate,IF($Q83=0,$W83,IF(AND($S83&lt;&gt;"",EDATE($D83,Milestones!$AA$31)&gt;=$S83),$V83,IF(AND($R83&lt;&gt;"",EDATE($D83,Milestones!$AA$31)&gt;=$R83),$U83,$T83)))=Milestones!$AB$31),TEXT(EDATE($D83,Milestones!$AA$31),"dd/mm/yy")&amp;" "&amp;Milestones!$AB$31&amp;" "&amp;Milestones!$AC$31&amp;";  ","")&amp;IF(AND(EDATE($D83,Milestones!$AA$32)&lt;=AsOfDate,IF($Q83=0,$W83,IF(AND($S83&lt;&gt;"",EDATE($D83,Milestones!$AA$32)&gt;=$S83),$V83,IF(AND($R83&lt;&gt;"",EDATE($D83,Milestones!$AA$32)&gt;=$R83),$U83,$T83)))=Milestones!$AB$32),TEXT(EDATE($D83,Milestones!$AA$32),"dd/mm/yy")&amp;" "&amp;Milestones!$AB$32&amp;" "&amp;Milestones!$AC$32&amp;";  ","")&amp;IF(AND(EDATE($D83,Milestones!$AA$33)&lt;=AsOfDate,IF($Q83=0,$W83,IF(AND($S83&lt;&gt;"",EDATE($D83,Milestones!$AA$33)&gt;=$S83),$V83,IF(AND($R83&lt;&gt;"",EDATE($D83,Milestones!$AA$33)&gt;=$R83),$U83,$T83)))=Milestones!$AB$33),TEXT(EDATE($D83,Milestones!$AA$33),"dd/mm/yy")&amp;" "&amp;Milestones!$AB$33&amp;" "&amp;Milestones!$AC$33&amp;";  ","")&amp;IF(AND(EDATE($D83,Milestones!$AA$34)&lt;=AsOfDate,IF($Q83=0,$W83,IF(AND($S83&lt;&gt;"",EDATE($D83,Milestones!$AA$34)&gt;=$S83),$V83,IF(AND($R83&lt;&gt;"",EDATE($D83,Milestones!$AA$34)&gt;=$R83),$U83,$T83)))=Milestones!$AB$34),TEXT(EDATE($D83,Milestones!$AA$34),"dd/mm/yy")&amp;" "&amp;Milestones!$AB$34&amp;" "&amp;Milestones!$AC$34&amp;";  ","")&amp;IF(AND(EDATE($D83,Milestones!$AA$35)&lt;=AsOfDate,IF($Q83=0,$W83,IF(AND($S83&lt;&gt;"",EDATE($D83,Milestones!$AA$35)&gt;=$S83),$V83,IF(AND($R83&lt;&gt;"",EDATE($D83,Milestones!$AA$35)&gt;=$R83),$U83,$T83)))=Milestones!$AB$35),TEXT(EDATE($D83,Milestones!$AA$35),"dd/mm/yy")&amp;" "&amp;Milestones!$AB$35&amp;" "&amp;Milestones!$AC$35&amp;";  ","")&amp;IF(AND(EDATE($D83,Milestones!$AA$36)&lt;=AsOfDate,IF($Q83=0,$W83,IF(AND($S83&lt;&gt;"",EDATE($D83,Milestones!$AA$36)&gt;=$S83),$V83,IF(AND($R83&lt;&gt;"",EDATE($D83,Milestones!$AA$36)&gt;=$R83),$U83,$T83)))=Milestones!$AB$36),TEXT(EDATE($D83,Milestones!$AA$36),"dd/mm/yy")&amp;" "&amp;Milestones!$AB$36&amp;" "&amp;Milestones!$AC$36&amp;";  ","")&amp;IF(AND(EDATE($D83,Milestones!$AA$37)&lt;=AsOfDate,IF($Q83=0,$W83,IF(AND($S83&lt;&gt;"",EDATE($D83,Milestones!$AA$37)&gt;=$S83),$V83,IF(AND($R83&lt;&gt;"",EDATE($D83,Milestones!$AA$37)&gt;=$R83),$U83,$T83)))=Milestones!$AB$37),TEXT(EDATE($D83,Milestones!$AA$37),"dd/mm/yy")&amp;" "&amp;Milestones!$AB$37&amp;" "&amp;Milestones!$AC$37&amp;";  ","")&amp;IF(AND(EDATE($D83,Milestones!$AA$38)&lt;=AsOfDate,IF($Q83=0,$W83,IF(AND($S83&lt;&gt;"",EDATE($D83,Milestones!$AA$38)&gt;=$S83),$V83,IF(AND($R83&lt;&gt;"",EDATE($D83,Milestones!$AA$38)&gt;=$R83),$U83,$T83)))=Milestones!$AB$38),TEXT(EDATE($D83,Milestones!$AA$38),"dd/mm/yy")&amp;" "&amp;Milestones!$AB$38&amp;" "&amp;Milestones!$AC$38&amp;";  ","")&amp;IF(AND(EDATE($D83,Milestones!$AA$39)&lt;=AsOfDate,IF($Q83=0,$W83,IF(AND($S83&lt;&gt;"",EDATE($D83,Milestones!$AA$39)&gt;=$S83),$V83,IF(AND($R83&lt;&gt;"",EDATE($D83,Milestones!$AA$39)&gt;=$R83),$U83,$T83)))=Milestones!$AB$39),TEXT(EDATE($D83,Milestones!$AA$39),"dd/mm/yy")&amp;" "&amp;Milestones!$AB$39&amp;" "&amp;Milestones!$AC$39&amp;";  ",""))</f>
        <v/>
      </c>
      <c r="I83" s="0" t="str">
        <f aca="false">IF(OR($A83="",$D83=""),"",IF(AND(EDATE($D83,Milestones!$AA$40)&lt;=AsOfDate,IF($Q83=0,$W83,IF(AND($S83&lt;&gt;"",EDATE($D83,Milestones!$AA$40)&gt;=$S83),$V83,IF(AND($R83&lt;&gt;"",EDATE($D83,Milestones!$AA$40)&gt;=$R83),$U83,$T83)))=Milestones!$AB$40),TEXT(EDATE($D83,Milestones!$AA$40),"dd/mm/yy")&amp;" "&amp;Milestones!$AB$40&amp;" "&amp;Milestones!$AC$40&amp;";  ","")&amp;IF(AND(EDATE($D83,Milestones!$AA$41)&lt;=AsOfDate,IF($Q83=0,$W83,IF(AND($S83&lt;&gt;"",EDATE($D83,Milestones!$AA$41)&gt;=$S83),$V83,IF(AND($R83&lt;&gt;"",EDATE($D83,Milestones!$AA$41)&gt;=$R83),$U83,$T83)))=Milestones!$AB$41),TEXT(EDATE($D83,Milestones!$AA$41),"dd/mm/yy")&amp;" "&amp;Milestones!$AB$41&amp;" "&amp;Milestones!$AC$41&amp;";  ","")&amp;IF(AND(EDATE($D83,Milestones!$AA$42)&lt;=AsOfDate,IF($Q83=0,$W83,IF(AND($S83&lt;&gt;"",EDATE($D83,Milestones!$AA$42)&gt;=$S83),$V83,IF(AND($R83&lt;&gt;"",EDATE($D83,Milestones!$AA$42)&gt;=$R83),$U83,$T83)))=Milestones!$AB$42),TEXT(EDATE($D83,Milestones!$AA$42),"dd/mm/yy")&amp;" "&amp;Milestones!$AB$42&amp;" "&amp;Milestones!$AC$42&amp;";  ","")&amp;IF(AND(EDATE($D83,Milestones!$AA$43)&lt;=AsOfDate,IF($Q83=0,$W83,IF(AND($S83&lt;&gt;"",EDATE($D83,Milestones!$AA$43)&gt;=$S83),$V83,IF(AND($R83&lt;&gt;"",EDATE($D83,Milestones!$AA$43)&gt;=$R83),$U83,$T83)))=Milestones!$AB$43),TEXT(EDATE($D83,Milestones!$AA$43),"dd/mm/yy")&amp;" "&amp;Milestones!$AB$43&amp;" "&amp;Milestones!$AC$43&amp;";  ","")&amp;IF(AND(EDATE($D83,Milestones!$AA$44)&lt;=AsOfDate,IF($Q83=0,$W83,IF(AND($S83&lt;&gt;"",EDATE($D83,Milestones!$AA$44)&gt;=$S83),$V83,IF(AND($R83&lt;&gt;"",EDATE($D83,Milestones!$AA$44)&gt;=$R83),$U83,$T83)))=Milestones!$AB$44),TEXT(EDATE($D83,Milestones!$AA$44),"dd/mm/yy")&amp;" "&amp;Milestones!$AB$44&amp;" "&amp;Milestones!$AC$44&amp;";  ","")&amp;IF(AND(EDATE($D83,Milestones!$AA$45)&lt;=AsOfDate,IF($Q83=0,$W83,IF(AND($S83&lt;&gt;"",EDATE($D83,Milestones!$AA$45)&gt;=$S83),$V83,IF(AND($R83&lt;&gt;"",EDATE($D83,Milestones!$AA$45)&gt;=$R83),$U83,$T83)))=Milestones!$AB$45),TEXT(EDATE($D83,Milestones!$AA$45),"dd/mm/yy")&amp;" "&amp;Milestones!$AB$45&amp;" "&amp;Milestones!$AC$45&amp;";  ","")&amp;IF(AND(EDATE($D83,Milestones!$AA$46)&lt;=AsOfDate,IF($Q83=0,$W83,IF(AND($S83&lt;&gt;"",EDATE($D83,Milestones!$AA$46)&gt;=$S83),$V83,IF(AND($R83&lt;&gt;"",EDATE($D83,Milestones!$AA$46)&gt;=$R83),$U83,$T83)))=Milestones!$AB$46),TEXT(EDATE($D83,Milestones!$AA$46),"dd/mm/yy")&amp;" "&amp;Milestones!$AB$46&amp;" "&amp;Milestones!$AC$46&amp;";  ","")&amp;IF(AND(EDATE($D83,Milestones!$AA$47)&lt;=AsOfDate,IF($Q83=0,$W83,IF(AND($S83&lt;&gt;"",EDATE($D83,Milestones!$AA$47)&gt;=$S83),$V83,IF(AND($R83&lt;&gt;"",EDATE($D83,Milestones!$AA$47)&gt;=$R83),$U83,$T83)))=Milestones!$AB$47),TEXT(EDATE($D83,Milestones!$AA$47),"dd/mm/yy")&amp;" "&amp;Milestones!$AB$47&amp;" "&amp;Milestones!$AC$47&amp;";  ","")&amp;IF(AND(EDATE($D83,Milestones!$AA$48)&lt;=AsOfDate,IF($Q83=0,$W83,IF(AND($S83&lt;&gt;"",EDATE($D83,Milestones!$AA$48)&gt;=$S83),$V83,IF(AND($R83&lt;&gt;"",EDATE($D83,Milestones!$AA$48)&gt;=$R83),$U83,$T83)))=Milestones!$AB$48),TEXT(EDATE($D83,Milestones!$AA$48),"dd/mm/yy")&amp;" "&amp;Milestones!$AB$48&amp;" "&amp;Milestones!$AC$48&amp;";  ","")&amp;IF(AND(EDATE($D83,Milestones!$AA$49)&lt;=AsOfDate,IF($Q83=0,$W83,IF(AND($S83&lt;&gt;"",EDATE($D83,Milestones!$AA$49)&gt;=$S83),$V83,IF(AND($R83&lt;&gt;"",EDATE($D83,Milestones!$AA$49)&gt;=$R83),$U83,$T83)))=Milestones!$AB$49),TEXT(EDATE($D83,Milestones!$AA$49),"dd/mm/yy")&amp;" "&amp;Milestones!$AB$49&amp;" "&amp;Milestones!$AC$49&amp;";  ","")&amp;IF(AND(EDATE($D83,Milestones!$AA$50)&lt;=AsOfDate,IF($Q83=0,$W83,IF(AND($S83&lt;&gt;"",EDATE($D83,Milestones!$AA$50)&gt;=$S83),$V83,IF(AND($R83&lt;&gt;"",EDATE($D83,Milestones!$AA$50)&gt;=$R83),$U83,$T83)))=Milestones!$AB$50),TEXT(EDATE($D83,Milestones!$AA$50),"dd/mm/yy")&amp;" "&amp;Milestones!$AB$50&amp;" "&amp;Milestones!$AC$50&amp;";  ","")&amp;IF(AND(EDATE($D83,Milestones!$AA$51)&lt;=AsOfDate,IF($Q83=0,$W83,IF(AND($S83&lt;&gt;"",EDATE($D83,Milestones!$AA$51)&gt;=$S83),$V83,IF(AND($R83&lt;&gt;"",EDATE($D83,Milestones!$AA$51)&gt;=$R83),$U83,$T83)))=Milestones!$AB$51),TEXT(EDATE($D83,Milestones!$AA$51),"dd/mm/yy")&amp;" "&amp;Milestones!$AB$51&amp;" "&amp;Milestones!$AC$51&amp;";  ","")&amp;IF(AND(EDATE($D83,Milestones!$AA$52)&lt;=AsOfDate,IF($Q83=0,$W83,IF(AND($S83&lt;&gt;"",EDATE($D83,Milestones!$AA$52)&gt;=$S83),$V83,IF(AND($R83&lt;&gt;"",EDATE($D83,Milestones!$AA$52)&gt;=$R83),$U83,$T83)))=Milestones!$AB$52),TEXT(EDATE($D83,Milestones!$AA$52),"dd/mm/yy")&amp;" "&amp;Milestones!$AB$52&amp;" "&amp;Milestones!$AC$52&amp;";  ","")&amp;IF(AND(EDATE($D83,Milestones!$AA$53)&lt;=AsOfDate,IF($Q83=0,$W83,IF(AND($S83&lt;&gt;"",EDATE($D83,Milestones!$AA$53)&gt;=$S83),$V83,IF(AND($R83&lt;&gt;"",EDATE($D83,Milestones!$AA$53)&gt;=$R83),$U83,$T83)))=Milestones!$AB$53),TEXT(EDATE($D83,Milestones!$AA$53),"dd/mm/yy")&amp;" "&amp;Milestones!$AB$53&amp;" "&amp;Milestones!$AC$53&amp;";  ","")&amp;IF(AND(EDATE($D83,Milestones!$AA$54)&lt;=AsOfDate,IF($Q83=0,$W83,IF(AND($S83&lt;&gt;"",EDATE($D83,Milestones!$AA$54)&gt;=$S83),$V83,IF(AND($R83&lt;&gt;"",EDATE($D83,Milestones!$AA$54)&gt;=$R83),$U83,$T83)))=Milestones!$AB$54),TEXT(EDATE($D83,Milestones!$AA$54),"dd/mm/yy")&amp;" "&amp;Milestones!$AB$54&amp;" "&amp;Milestones!$AC$54&amp;";  ","")&amp;IF(AND(EDATE($D83,Milestones!$AA$55)&lt;=AsOfDate,IF($Q83=0,$W83,IF(AND($S83&lt;&gt;"",EDATE($D83,Milestones!$AA$55)&gt;=$S83),$V83,IF(AND($R83&lt;&gt;"",EDATE($D83,Milestones!$AA$55)&gt;=$R83),$U83,$T83)))=Milestones!$AB$55),TEXT(EDATE($D83,Milestones!$AA$55),"dd/mm/yy")&amp;" "&amp;Milestones!$AB$55&amp;" "&amp;Milestones!$AC$55&amp;";  ","")&amp;IF(AND(EDATE($D83,Milestones!$AA$56)&lt;=AsOfDate,IF($Q83=0,$W83,IF(AND($S83&lt;&gt;"",EDATE($D83,Milestones!$AA$56)&gt;=$S83),$V83,IF(AND($R83&lt;&gt;"",EDATE($D83,Milestones!$AA$56)&gt;=$R83),$U83,$T83)))=Milestones!$AB$56),TEXT(EDATE($D83,Milestones!$AA$56),"dd/mm/yy")&amp;" "&amp;Milestones!$AB$56&amp;" "&amp;Milestones!$AC$56&amp;";  ","")&amp;IF(AND(EDATE($D83,Milestones!$AA$57)&lt;=AsOfDate,IF($Q83=0,$W83,IF(AND($S83&lt;&gt;"",EDATE($D83,Milestones!$AA$57)&gt;=$S83),$V83,IF(AND($R83&lt;&gt;"",EDATE($D83,Milestones!$AA$57)&gt;=$R83),$U83,$T83)))=Milestones!$AB$57),TEXT(EDATE($D83,Milestones!$AA$57),"dd/mm/yy")&amp;" "&amp;Milestones!$AB$57&amp;" "&amp;Milestones!$AC$57&amp;";  ","")&amp;IF(AND(EDATE($D83,Milestones!$AA$58)&lt;=AsOfDate,IF($Q83=0,$W83,IF(AND($S83&lt;&gt;"",EDATE($D83,Milestones!$AA$58)&gt;=$S83),$V83,IF(AND($R83&lt;&gt;"",EDATE($D83,Milestones!$AA$58)&gt;=$R83),$U83,$T83)))=Milestones!$AB$58),TEXT(EDATE($D83,Milestones!$AA$58),"dd/mm/yy")&amp;" "&amp;Milestones!$AB$58&amp;" "&amp;Milestones!$AC$58&amp;";  ","")&amp;IF(AND(EDATE($D83,Milestones!$AA$59)&lt;=AsOfDate,IF($Q83=0,$W83,IF(AND($S83&lt;&gt;"",EDATE($D83,Milestones!$AA$59)&gt;=$S83),$V83,IF(AND($R83&lt;&gt;"",EDATE($D83,Milestones!$AA$59)&gt;=$R83),$U83,$T83)))=Milestones!$AB$59),TEXT(EDATE($D83,Milestones!$AA$59),"dd/mm/yy")&amp;" "&amp;Milestones!$AB$59&amp;" "&amp;Milestones!$AC$59&amp;";  ",""))</f>
        <v/>
      </c>
      <c r="J83" s="0" t="str">
        <f aca="false">IF(OR($A83="",$D83=""),"",IF(AND(EDATE($D83,Milestones!$AA$60)&lt;=AsOfDate,IF($Q83=0,$W83,IF(AND($S83&lt;&gt;"",EDATE($D83,Milestones!$AA$60)&gt;=$S83),$V83,IF(AND($R83&lt;&gt;"",EDATE($D83,Milestones!$AA$60)&gt;=$R83),$U83,$T83)))=Milestones!$AB$60),TEXT(EDATE($D83,Milestones!$AA$60),"dd/mm/yy")&amp;" "&amp;Milestones!$AB$60&amp;" "&amp;Milestones!$AC$60&amp;";  ","")&amp;IF(AND(EDATE($D83,Milestones!$AA$61)&lt;=AsOfDate,IF($Q83=0,$W83,IF(AND($S83&lt;&gt;"",EDATE($D83,Milestones!$AA$61)&gt;=$S83),$V83,IF(AND($R83&lt;&gt;"",EDATE($D83,Milestones!$AA$61)&gt;=$R83),$U83,$T83)))=Milestones!$AB$61),TEXT(EDATE($D83,Milestones!$AA$61),"dd/mm/yy")&amp;" "&amp;Milestones!$AB$61&amp;" "&amp;Milestones!$AC$61&amp;";  ","")&amp;IF(AND(EDATE($D83,Milestones!$AA$62)&lt;=AsOfDate,IF($Q83=0,$W83,IF(AND($S83&lt;&gt;"",EDATE($D83,Milestones!$AA$62)&gt;=$S83),$V83,IF(AND($R83&lt;&gt;"",EDATE($D83,Milestones!$AA$62)&gt;=$R83),$U83,$T83)))=Milestones!$AB$62),TEXT(EDATE($D83,Milestones!$AA$62),"dd/mm/yy")&amp;" "&amp;Milestones!$AB$62&amp;" "&amp;Milestones!$AC$62&amp;";  ","")&amp;IF(AND(EDATE($D83,Milestones!$AA$63)&lt;=AsOfDate,IF($Q83=0,$W83,IF(AND($S83&lt;&gt;"",EDATE($D83,Milestones!$AA$63)&gt;=$S83),$V83,IF(AND($R83&lt;&gt;"",EDATE($D83,Milestones!$AA$63)&gt;=$R83),$U83,$T83)))=Milestones!$AB$63),TEXT(EDATE($D83,Milestones!$AA$63),"dd/mm/yy")&amp;" "&amp;Milestones!$AB$63&amp;" "&amp;Milestones!$AC$63&amp;";  ","")&amp;IF(AND(EDATE($D83,Milestones!$AA$64)&lt;=AsOfDate,IF($Q83=0,$W83,IF(AND($S83&lt;&gt;"",EDATE($D83,Milestones!$AA$64)&gt;=$S83),$V83,IF(AND($R83&lt;&gt;"",EDATE($D83,Milestones!$AA$64)&gt;=$R83),$U83,$T83)))=Milestones!$AB$64),TEXT(EDATE($D83,Milestones!$AA$64),"dd/mm/yy")&amp;" "&amp;Milestones!$AB$64&amp;" "&amp;Milestones!$AC$64&amp;";  ","")&amp;IF(AND(EDATE($D83,Milestones!$AA$65)&lt;=AsOfDate,IF($Q83=0,$W83,IF(AND($S83&lt;&gt;"",EDATE($D83,Milestones!$AA$65)&gt;=$S83),$V83,IF(AND($R83&lt;&gt;"",EDATE($D83,Milestones!$AA$65)&gt;=$R83),$U83,$T83)))=Milestones!$AB$65),TEXT(EDATE($D83,Milestones!$AA$65),"dd/mm/yy")&amp;" "&amp;Milestones!$AB$65&amp;" "&amp;Milestones!$AC$65&amp;";  ","")&amp;IF(AND(EDATE($D83,Milestones!$AA$66)&lt;=AsOfDate,IF($Q83=0,$W83,IF(AND($S83&lt;&gt;"",EDATE($D83,Milestones!$AA$66)&gt;=$S83),$V83,IF(AND($R83&lt;&gt;"",EDATE($D83,Milestones!$AA$66)&gt;=$R83),$U83,$T83)))=Milestones!$AB$66),TEXT(EDATE($D83,Milestones!$AA$66),"dd/mm/yy")&amp;" "&amp;Milestones!$AB$66&amp;" "&amp;Milestones!$AC$66&amp;";  ","")&amp;IF(AND(EDATE($D83,Milestones!$AA$67)&lt;=AsOfDate,IF($Q83=0,$W83,IF(AND($S83&lt;&gt;"",EDATE($D83,Milestones!$AA$67)&gt;=$S83),$V83,IF(AND($R83&lt;&gt;"",EDATE($D83,Milestones!$AA$67)&gt;=$R83),$U83,$T83)))=Milestones!$AB$67),TEXT(EDATE($D83,Milestones!$AA$67),"dd/mm/yy")&amp;" "&amp;Milestones!$AB$67&amp;" "&amp;Milestones!$AC$67&amp;";  ","")&amp;IF(AND(EDATE($D83,Milestones!$AA$68)&lt;=AsOfDate,IF($Q83=0,$W83,IF(AND($S83&lt;&gt;"",EDATE($D83,Milestones!$AA$68)&gt;=$S83),$V83,IF(AND($R83&lt;&gt;"",EDATE($D83,Milestones!$AA$68)&gt;=$R83),$U83,$T83)))=Milestones!$AB$68),TEXT(EDATE($D83,Milestones!$AA$68),"dd/mm/yy")&amp;" "&amp;Milestones!$AB$68&amp;" "&amp;Milestones!$AC$68&amp;";  ","")&amp;IF(AND(EDATE($D83,Milestones!$AA$69)&lt;=AsOfDate,IF($Q83=0,$W83,IF(AND($S83&lt;&gt;"",EDATE($D83,Milestones!$AA$69)&gt;=$S83),$V83,IF(AND($R83&lt;&gt;"",EDATE($D83,Milestones!$AA$69)&gt;=$R83),$U83,$T83)))=Milestones!$AB$69),TEXT(EDATE($D83,Milestones!$AA$69),"dd/mm/yy")&amp;" "&amp;Milestones!$AB$69&amp;" "&amp;Milestones!$AC$69&amp;";  ","")&amp;IF(AND(EDATE($D83,Milestones!$AA$70)&lt;=AsOfDate,IF($Q83=0,$W83,IF(AND($S83&lt;&gt;"",EDATE($D83,Milestones!$AA$70)&gt;=$S83),$V83,IF(AND($R83&lt;&gt;"",EDATE($D83,Milestones!$AA$70)&gt;=$R83),$U83,$T83)))=Milestones!$AB$70),TEXT(EDATE($D83,Milestones!$AA$70),"dd/mm/yy")&amp;" "&amp;Milestones!$AB$70&amp;" "&amp;Milestones!$AC$70&amp;";  ","")&amp;IF(AND(EDATE($D83,Milestones!$AA$71)&lt;=AsOfDate,IF($Q83=0,$W83,IF(AND($S83&lt;&gt;"",EDATE($D83,Milestones!$AA$71)&gt;=$S83),$V83,IF(AND($R83&lt;&gt;"",EDATE($D83,Milestones!$AA$71)&gt;=$R83),$U83,$T83)))=Milestones!$AB$71),TEXT(EDATE($D83,Milestones!$AA$71),"dd/mm/yy")&amp;" "&amp;Milestones!$AB$71&amp;" "&amp;Milestones!$AC$71&amp;";  ","")&amp;IF(AND(EDATE($D83,Milestones!$AA$72)&lt;=AsOfDate,IF($Q83=0,$W83,IF(AND($S83&lt;&gt;"",EDATE($D83,Milestones!$AA$72)&gt;=$S83),$V83,IF(AND($R83&lt;&gt;"",EDATE($D83,Milestones!$AA$72)&gt;=$R83),$U83,$T83)))=Milestones!$AB$72),TEXT(EDATE($D83,Milestones!$AA$72),"dd/mm/yy")&amp;" "&amp;Milestones!$AB$72&amp;" "&amp;Milestones!$AC$72&amp;";  ","")&amp;IF(AND(EDATE($D83,Milestones!$AA$73)&lt;=AsOfDate,IF($Q83=0,$W83,IF(AND($S83&lt;&gt;"",EDATE($D83,Milestones!$AA$73)&gt;=$S83),$V83,IF(AND($R83&lt;&gt;"",EDATE($D83,Milestones!$AA$73)&gt;=$R83),$U83,$T83)))=Milestones!$AB$73),TEXT(EDATE($D83,Milestones!$AA$73),"dd/mm/yy")&amp;" "&amp;Milestones!$AB$73&amp;" "&amp;Milestones!$AC$73&amp;";  ","")&amp;IF(AND(EDATE($D83,Milestones!$AA$74)&lt;=AsOfDate,IF($Q83=0,$W83,IF(AND($S83&lt;&gt;"",EDATE($D83,Milestones!$AA$74)&gt;=$S83),$V83,IF(AND($R83&lt;&gt;"",EDATE($D83,Milestones!$AA$74)&gt;=$R83),$U83,$T83)))=Milestones!$AB$74),TEXT(EDATE($D83,Milestones!$AA$74),"dd/mm/yy")&amp;" "&amp;Milestones!$AB$74&amp;" "&amp;Milestones!$AC$74&amp;";  ","")&amp;IF(AND(EDATE($D83,Milestones!$AA$75)&lt;=AsOfDate,IF($Q83=0,$W83,IF(AND($S83&lt;&gt;"",EDATE($D83,Milestones!$AA$75)&gt;=$S83),$V83,IF(AND($R83&lt;&gt;"",EDATE($D83,Milestones!$AA$75)&gt;=$R83),$U83,$T83)))=Milestones!$AB$75),TEXT(EDATE($D83,Milestones!$AA$75),"dd/mm/yy")&amp;" "&amp;Milestones!$AB$75&amp;" "&amp;Milestones!$AC$75&amp;";  ","")&amp;IF(AND(EDATE($D83,Milestones!$AA$76)&lt;=AsOfDate,IF($Q83=0,$W83,IF(AND($S83&lt;&gt;"",EDATE($D83,Milestones!$AA$76)&gt;=$S83),$V83,IF(AND($R83&lt;&gt;"",EDATE($D83,Milestones!$AA$76)&gt;=$R83),$U83,$T83)))=Milestones!$AB$76),TEXT(EDATE($D83,Milestones!$AA$76),"dd/mm/yy")&amp;" "&amp;Milestones!$AB$76&amp;" "&amp;Milestones!$AC$76&amp;";  ","")&amp;IF(AND(EDATE($D83,Milestones!$AA$77)&lt;=AsOfDate,IF($Q83=0,$W83,IF(AND($S83&lt;&gt;"",EDATE($D83,Milestones!$AA$77)&gt;=$S83),$V83,IF(AND($R83&lt;&gt;"",EDATE($D83,Milestones!$AA$77)&gt;=$R83),$U83,$T83)))=Milestones!$AB$77),TEXT(EDATE($D83,Milestones!$AA$77),"dd/mm/yy")&amp;" "&amp;Milestones!$AB$77&amp;" "&amp;Milestones!$AC$77&amp;";  ","")&amp;IF(AND(EDATE($D83,Milestones!$AA$78)&lt;=AsOfDate,IF($Q83=0,$W83,IF(AND($S83&lt;&gt;"",EDATE($D83,Milestones!$AA$78)&gt;=$S83),$V83,IF(AND($R83&lt;&gt;"",EDATE($D83,Milestones!$AA$78)&gt;=$R83),$U83,$T83)))=Milestones!$AB$78),TEXT(EDATE($D83,Milestones!$AA$78),"dd/mm/yy")&amp;" "&amp;Milestones!$AB$78&amp;" "&amp;Milestones!$AC$78&amp;";  ","")&amp;IF(AND(EDATE($D83,Milestones!$AA$79)&lt;=AsOfDate,IF($Q83=0,$W83,IF(AND($S83&lt;&gt;"",EDATE($D83,Milestones!$AA$79)&gt;=$S83),$V83,IF(AND($R83&lt;&gt;"",EDATE($D83,Milestones!$AA$79)&gt;=$R83),$U83,$T83)))=Milestones!$AB$79),TEXT(EDATE($D83,Milestones!$AA$79),"dd/mm/yy")&amp;" "&amp;Milestones!$AB$79&amp;" "&amp;Milestones!$AC$79&amp;";  ",""))</f>
        <v/>
      </c>
      <c r="K83" s="0" t="str">
        <f aca="false">IF(OR($A83="",$D83=""),"",IF(AND(EDATE($D83,Milestones!$AA$80)&lt;=AsOfDate,IF($Q83=0,$W83,IF(AND($S83&lt;&gt;"",EDATE($D83,Milestones!$AA$80)&gt;=$S83),$V83,IF(AND($R83&lt;&gt;"",EDATE($D83,Milestones!$AA$80)&gt;=$R83),$U83,$T83)))=Milestones!$AB$80),TEXT(EDATE($D83,Milestones!$AA$80),"dd/mm/yy")&amp;" "&amp;Milestones!$AB$80&amp;" "&amp;Milestones!$AC$80&amp;";  ","")&amp;IF(AND(EDATE($D83,Milestones!$AA$81)&lt;=AsOfDate,IF($Q83=0,$W83,IF(AND($S83&lt;&gt;"",EDATE($D83,Milestones!$AA$81)&gt;=$S83),$V83,IF(AND($R83&lt;&gt;"",EDATE($D83,Milestones!$AA$81)&gt;=$R83),$U83,$T83)))=Milestones!$AB$81),TEXT(EDATE($D83,Milestones!$AA$81),"dd/mm/yy")&amp;" "&amp;Milestones!$AB$81&amp;" "&amp;Milestones!$AC$81&amp;";  ","")&amp;IF(AND(EDATE($D83,Milestones!$AA$82)&lt;=AsOfDate,IF($Q83=0,$W83,IF(AND($S83&lt;&gt;"",EDATE($D83,Milestones!$AA$82)&gt;=$S83),$V83,IF(AND($R83&lt;&gt;"",EDATE($D83,Milestones!$AA$82)&gt;=$R83),$U83,$T83)))=Milestones!$AB$82),TEXT(EDATE($D83,Milestones!$AA$82),"dd/mm/yy")&amp;" "&amp;Milestones!$AB$82&amp;" "&amp;Milestones!$AC$82&amp;";  ","")&amp;IF(AND(EDATE($D83,Milestones!$AA$83)&lt;=AsOfDate,IF($Q83=0,$W83,IF(AND($S83&lt;&gt;"",EDATE($D83,Milestones!$AA$83)&gt;=$S83),$V83,IF(AND($R83&lt;&gt;"",EDATE($D83,Milestones!$AA$83)&gt;=$R83),$U83,$T83)))=Milestones!$AB$83),TEXT(EDATE($D83,Milestones!$AA$83),"dd/mm/yy")&amp;" "&amp;Milestones!$AB$83&amp;" "&amp;Milestones!$AC$83&amp;";  ","")&amp;IF(AND(EDATE($D83,Milestones!$AA$84)&lt;=AsOfDate,IF($Q83=0,$W83,IF(AND($S83&lt;&gt;"",EDATE($D83,Milestones!$AA$84)&gt;=$S83),$V83,IF(AND($R83&lt;&gt;"",EDATE($D83,Milestones!$AA$84)&gt;=$R83),$U83,$T83)))=Milestones!$AB$84),TEXT(EDATE($D83,Milestones!$AA$84),"dd/mm/yy")&amp;" "&amp;Milestones!$AB$84&amp;" "&amp;Milestones!$AC$84&amp;";  ","")&amp;IF(AND(EDATE($D83,Milestones!$AA$85)&lt;=AsOfDate,IF($Q83=0,$W83,IF(AND($S83&lt;&gt;"",EDATE($D83,Milestones!$AA$85)&gt;=$S83),$V83,IF(AND($R83&lt;&gt;"",EDATE($D83,Milestones!$AA$85)&gt;=$R83),$U83,$T83)))=Milestones!$AB$85),TEXT(EDATE($D83,Milestones!$AA$85),"dd/mm/yy")&amp;" "&amp;Milestones!$AB$85&amp;" "&amp;Milestones!$AC$85&amp;";  ","")&amp;IF(AND(EDATE($D83,Milestones!$AA$86)&lt;=AsOfDate,IF($Q83=0,$W83,IF(AND($S83&lt;&gt;"",EDATE($D83,Milestones!$AA$86)&gt;=$S83),$V83,IF(AND($R83&lt;&gt;"",EDATE($D83,Milestones!$AA$86)&gt;=$R83),$U83,$T83)))=Milestones!$AB$86),TEXT(EDATE($D83,Milestones!$AA$86),"dd/mm/yy")&amp;" "&amp;Milestones!$AB$86&amp;" "&amp;Milestones!$AC$86&amp;";  ","")&amp;IF(AND(EDATE($D83,Milestones!$AA$87)&lt;=AsOfDate,IF($Q83=0,$W83,IF(AND($S83&lt;&gt;"",EDATE($D83,Milestones!$AA$87)&gt;=$S83),$V83,IF(AND($R83&lt;&gt;"",EDATE($D83,Milestones!$AA$87)&gt;=$R83),$U83,$T83)))=Milestones!$AB$87),TEXT(EDATE($D83,Milestones!$AA$87),"dd/mm/yy")&amp;" "&amp;Milestones!$AB$87&amp;" "&amp;Milestones!$AC$87&amp;";  ","")&amp;IF(AND(EDATE($D83,Milestones!$AA$88)&lt;=AsOfDate,IF($Q83=0,$W83,IF(AND($S83&lt;&gt;"",EDATE($D83,Milestones!$AA$88)&gt;=$S83),$V83,IF(AND($R83&lt;&gt;"",EDATE($D83,Milestones!$AA$88)&gt;=$R83),$U83,$T83)))=Milestones!$AB$88),TEXT(EDATE($D83,Milestones!$AA$88),"dd/mm/yy")&amp;" "&amp;Milestones!$AB$88&amp;" "&amp;Milestones!$AC$88&amp;";  ","")&amp;IF(AND(EDATE($D83,Milestones!$AA$89)&lt;=AsOfDate,IF($Q83=0,$W83,IF(AND($S83&lt;&gt;"",EDATE($D83,Milestones!$AA$89)&gt;=$S83),$V83,IF(AND($R83&lt;&gt;"",EDATE($D83,Milestones!$AA$89)&gt;=$R83),$U83,$T83)))=Milestones!$AB$89),TEXT(EDATE($D83,Milestones!$AA$89),"dd/mm/yy")&amp;" "&amp;Milestones!$AB$89&amp;" "&amp;Milestones!$AC$89&amp;";  ","")&amp;IF(AND(EDATE($D83,Milestones!$AA$90)&lt;=AsOfDate,IF($Q83=0,$W83,IF(AND($S83&lt;&gt;"",EDATE($D83,Milestones!$AA$90)&gt;=$S83),$V83,IF(AND($R83&lt;&gt;"",EDATE($D83,Milestones!$AA$90)&gt;=$R83),$U83,$T83)))=Milestones!$AB$90),TEXT(EDATE($D83,Milestones!$AA$90),"dd/mm/yy")&amp;" "&amp;Milestones!$AB$90&amp;" "&amp;Milestones!$AC$90&amp;";  ","")&amp;IF(AND(EDATE($D83,Milestones!$AA$91)&lt;=AsOfDate,IF($Q83=0,$W83,IF(AND($S83&lt;&gt;"",EDATE($D83,Milestones!$AA$91)&gt;=$S83),$V83,IF(AND($R83&lt;&gt;"",EDATE($D83,Milestones!$AA$91)&gt;=$R83),$U83,$T83)))=Milestones!$AB$91),TEXT(EDATE($D83,Milestones!$AA$91),"dd/mm/yy")&amp;" "&amp;Milestones!$AB$91&amp;" "&amp;Milestones!$AC$91&amp;";  ","")&amp;IF(AND(EDATE($D83,Milestones!$AA$92)&lt;=AsOfDate,IF($Q83=0,$W83,IF(AND($S83&lt;&gt;"",EDATE($D83,Milestones!$AA$92)&gt;=$S83),$V83,IF(AND($R83&lt;&gt;"",EDATE($D83,Milestones!$AA$92)&gt;=$R83),$U83,$T83)))=Milestones!$AB$92),TEXT(EDATE($D83,Milestones!$AA$92),"dd/mm/yy")&amp;" "&amp;Milestones!$AB$92&amp;" "&amp;Milestones!$AC$92&amp;";  ","")&amp;IF(AND(EDATE($D83,Milestones!$AA$93)&lt;=AsOfDate,IF($Q83=0,$W83,IF(AND($S83&lt;&gt;"",EDATE($D83,Milestones!$AA$93)&gt;=$S83),$V83,IF(AND($R83&lt;&gt;"",EDATE($D83,Milestones!$AA$93)&gt;=$R83),$U83,$T83)))=Milestones!$AB$93),TEXT(EDATE($D83,Milestones!$AA$93),"dd/mm/yy")&amp;" "&amp;Milestones!$AB$93&amp;" "&amp;Milestones!$AC$93&amp;";  ","")&amp;IF(AND(EDATE($D83,Milestones!$AA$94)&lt;=AsOfDate,IF($Q83=0,$W83,IF(AND($S83&lt;&gt;"",EDATE($D83,Milestones!$AA$94)&gt;=$S83),$V83,IF(AND($R83&lt;&gt;"",EDATE($D83,Milestones!$AA$94)&gt;=$R83),$U83,$T83)))=Milestones!$AB$94),TEXT(EDATE($D83,Milestones!$AA$94),"dd/mm/yy")&amp;" "&amp;Milestones!$AB$94&amp;" "&amp;Milestones!$AC$94&amp;";  ","")&amp;IF(AND(EDATE($D83,Milestones!$AA$95)&lt;=AsOfDate,IF($Q83=0,$W83,IF(AND($S83&lt;&gt;"",EDATE($D83,Milestones!$AA$95)&gt;=$S83),$V83,IF(AND($R83&lt;&gt;"",EDATE($D83,Milestones!$AA$95)&gt;=$R83),$U83,$T83)))=Milestones!$AB$95),TEXT(EDATE($D83,Milestones!$AA$95),"dd/mm/yy")&amp;" "&amp;Milestones!$AB$95&amp;" "&amp;Milestones!$AC$95&amp;";  ","")&amp;IF(AND(EDATE($D83,Milestones!$AA$96)&lt;=AsOfDate,IF($Q83=0,$W83,IF(AND($S83&lt;&gt;"",EDATE($D83,Milestones!$AA$96)&gt;=$S83),$V83,IF(AND($R83&lt;&gt;"",EDATE($D83,Milestones!$AA$96)&gt;=$R83),$U83,$T83)))=Milestones!$AB$96),TEXT(EDATE($D83,Milestones!$AA$96),"dd/mm/yy")&amp;" "&amp;Milestones!$AB$96&amp;" "&amp;Milestones!$AC$96&amp;";  ","")&amp;IF(AND(EDATE($D83,Milestones!$AA$97)&lt;=AsOfDate,IF($Q83=0,$W83,IF(AND($S83&lt;&gt;"",EDATE($D83,Milestones!$AA$97)&gt;=$S83),$V83,IF(AND($R83&lt;&gt;"",EDATE($D83,Milestones!$AA$97)&gt;=$R83),$U83,$T83)))=Milestones!$AB$97),TEXT(EDATE($D83,Milestones!$AA$97),"dd/mm/yy")&amp;" "&amp;Milestones!$AB$97&amp;" "&amp;Milestones!$AC$97&amp;";  ","")&amp;IF(AND(EDATE($D83,Milestones!$AA$98)&lt;=AsOfDate,IF($Q83=0,$W83,IF(AND($S83&lt;&gt;"",EDATE($D83,Milestones!$AA$98)&gt;=$S83),$V83,IF(AND($R83&lt;&gt;"",EDATE($D83,Milestones!$AA$98)&gt;=$R83),$U83,$T83)))=Milestones!$AB$98),TEXT(EDATE($D83,Milestones!$AA$98),"dd/mm/yy")&amp;" "&amp;Milestones!$AB$98&amp;" "&amp;Milestones!$AC$98&amp;";  ","")&amp;IF(AND(EDATE($D83,Milestones!$AA$99)&lt;=AsOfDate,IF($Q83=0,$W83,IF(AND($S83&lt;&gt;"",EDATE($D83,Milestones!$AA$99)&gt;=$S83),$V83,IF(AND($R83&lt;&gt;"",EDATE($D83,Milestones!$AA$99)&gt;=$R83),$U83,$T83)))=Milestones!$AB$99),TEXT(EDATE($D83,Milestones!$AA$99),"dd/mm/yy")&amp;" "&amp;Milestones!$AB$99&amp;" "&amp;Milestones!$AC$99&amp;";  ",""))</f>
        <v/>
      </c>
      <c r="L83" s="0" t="str">
        <f aca="false">IF(OR($A83="",$D83=""),"",IF(AND(EDATE($D83,Milestones!$AA$100)&lt;=AsOfDate,IF($Q83=0,$W83,IF(AND($S83&lt;&gt;"",EDATE($D83,Milestones!$AA$100)&gt;=$S83),$V83,IF(AND($R83&lt;&gt;"",EDATE($D83,Milestones!$AA$100)&gt;=$R83),$U83,$T83)))=Milestones!$AB$100),TEXT(EDATE($D83,Milestones!$AA$100),"dd/mm/yy")&amp;" "&amp;Milestones!$AB$100&amp;" "&amp;Milestones!$AC$100&amp;";  ","")&amp;IF(AND(EDATE($D83,Milestones!$AA$101)&lt;=AsOfDate,IF($Q83=0,$W83,IF(AND($S83&lt;&gt;"",EDATE($D83,Milestones!$AA$101)&gt;=$S83),$V83,IF(AND($R83&lt;&gt;"",EDATE($D83,Milestones!$AA$101)&gt;=$R83),$U83,$T83)))=Milestones!$AB$101),TEXT(EDATE($D83,Milestones!$AA$101),"dd/mm/yy")&amp;" "&amp;Milestones!$AB$101&amp;" "&amp;Milestones!$AC$101&amp;";  ","")&amp;IF(AND(EDATE($D83,Milestones!$AA$102)&lt;=AsOfDate,IF($Q83=0,$W83,IF(AND($S83&lt;&gt;"",EDATE($D83,Milestones!$AA$102)&gt;=$S83),$V83,IF(AND($R83&lt;&gt;"",EDATE($D83,Milestones!$AA$102)&gt;=$R83),$U83,$T83)))=Milestones!$AB$102),TEXT(EDATE($D83,Milestones!$AA$102),"dd/mm/yy")&amp;" "&amp;Milestones!$AB$102&amp;" "&amp;Milestones!$AC$102&amp;";  ","")&amp;IF(AND(EDATE($D83,Milestones!$AA$103)&lt;=AsOfDate,IF($Q83=0,$W83,IF(AND($S83&lt;&gt;"",EDATE($D83,Milestones!$AA$103)&gt;=$S83),$V83,IF(AND($R83&lt;&gt;"",EDATE($D83,Milestones!$AA$103)&gt;=$R83),$U83,$T83)))=Milestones!$AB$103),TEXT(EDATE($D83,Milestones!$AA$103),"dd/mm/yy")&amp;" "&amp;Milestones!$AB$103&amp;" "&amp;Milestones!$AC$103&amp;";  ","")&amp;IF(AND(EDATE($D83,Milestones!$AA$104)&lt;=AsOfDate,IF($Q83=0,$W83,IF(AND($S83&lt;&gt;"",EDATE($D83,Milestones!$AA$104)&gt;=$S83),$V83,IF(AND($R83&lt;&gt;"",EDATE($D83,Milestones!$AA$104)&gt;=$R83),$U83,$T83)))=Milestones!$AB$104),TEXT(EDATE($D83,Milestones!$AA$104),"dd/mm/yy")&amp;" "&amp;Milestones!$AB$104&amp;" "&amp;Milestones!$AC$104&amp;";  ","")&amp;IF(AND(EDATE($D83,Milestones!$AA$105)&lt;=AsOfDate,IF($Q83=0,$W83,IF(AND($S83&lt;&gt;"",EDATE($D83,Milestones!$AA$105)&gt;=$S83),$V83,IF(AND($R83&lt;&gt;"",EDATE($D83,Milestones!$AA$105)&gt;=$R83),$U83,$T83)))=Milestones!$AB$105),TEXT(EDATE($D83,Milestones!$AA$105),"dd/mm/yy")&amp;" "&amp;Milestones!$AB$105&amp;" "&amp;Milestones!$AC$105&amp;";  ","")&amp;IF(AND(EDATE($D83,Milestones!$AA$106)&lt;=AsOfDate,IF($Q83=0,$W83,IF(AND($S83&lt;&gt;"",EDATE($D83,Milestones!$AA$106)&gt;=$S83),$V83,IF(AND($R83&lt;&gt;"",EDATE($D83,Milestones!$AA$106)&gt;=$R83),$U83,$T83)))=Milestones!$AB$106),TEXT(EDATE($D83,Milestones!$AA$106),"dd/mm/yy")&amp;" "&amp;Milestones!$AB$106&amp;" "&amp;Milestones!$AC$106&amp;";  ","")&amp;IF(AND(EDATE($D83,Milestones!$AA$107)&lt;=AsOfDate,IF($Q83=0,$W83,IF(AND($S83&lt;&gt;"",EDATE($D83,Milestones!$AA$107)&gt;=$S83),$V83,IF(AND($R83&lt;&gt;"",EDATE($D83,Milestones!$AA$107)&gt;=$R83),$U83,$T83)))=Milestones!$AB$107),TEXT(EDATE($D83,Milestones!$AA$107),"dd/mm/yy")&amp;" "&amp;Milestones!$AB$107&amp;" "&amp;Milestones!$AC$107&amp;";  ","")&amp;IF(AND(EDATE($D83,Milestones!$AA$108)&lt;=AsOfDate,IF($Q83=0,$W83,IF(AND($S83&lt;&gt;"",EDATE($D83,Milestones!$AA$108)&gt;=$S83),$V83,IF(AND($R83&lt;&gt;"",EDATE($D83,Milestones!$AA$108)&gt;=$R83),$U83,$T83)))=Milestones!$AB$108),TEXT(EDATE($D83,Milestones!$AA$108),"dd/mm/yy")&amp;" "&amp;Milestones!$AB$108&amp;" "&amp;Milestones!$AC$108&amp;";  ","")&amp;IF(AND(EDATE($D83,Milestones!$AA$109)&lt;=AsOfDate,IF($Q83=0,$W83,IF(AND($S83&lt;&gt;"",EDATE($D83,Milestones!$AA$109)&gt;=$S83),$V83,IF(AND($R83&lt;&gt;"",EDATE($D83,Milestones!$AA$109)&gt;=$R83),$U83,$T83)))=Milestones!$AB$109),TEXT(EDATE($D83,Milestones!$AA$109),"dd/mm/yy")&amp;" "&amp;Milestones!$AB$109&amp;" "&amp;Milestones!$AC$109&amp;";  ","")&amp;IF(AND(EDATE($D83,Milestones!$AA$110)&lt;=AsOfDate,IF($Q83=0,$W83,IF(AND($S83&lt;&gt;"",EDATE($D83,Milestones!$AA$110)&gt;=$S83),$V83,IF(AND($R83&lt;&gt;"",EDATE($D83,Milestones!$AA$110)&gt;=$R83),$U83,$T83)))=Milestones!$AB$110),TEXT(EDATE($D83,Milestones!$AA$110),"dd/mm/yy")&amp;" "&amp;Milestones!$AB$110&amp;" "&amp;Milestones!$AC$110&amp;";  ","")&amp;IF(AND(EDATE($D83,Milestones!$AA$111)&lt;=AsOfDate,IF($Q83=0,$W83,IF(AND($S83&lt;&gt;"",EDATE($D83,Milestones!$AA$111)&gt;=$S83),$V83,IF(AND($R83&lt;&gt;"",EDATE($D83,Milestones!$AA$111)&gt;=$R83),$U83,$T83)))=Milestones!$AB$111),TEXT(EDATE($D83,Milestones!$AA$111),"dd/mm/yy")&amp;" "&amp;Milestones!$AB$111&amp;" "&amp;Milestones!$AC$111&amp;";  ","")&amp;IF(AND(EDATE($D83,Milestones!$AA$112)&lt;=AsOfDate,IF($Q83=0,$W83,IF(AND($S83&lt;&gt;"",EDATE($D83,Milestones!$AA$112)&gt;=$S83),$V83,IF(AND($R83&lt;&gt;"",EDATE($D83,Milestones!$AA$112)&gt;=$R83),$U83,$T83)))=Milestones!$AB$112),TEXT(EDATE($D83,Milestones!$AA$112),"dd/mm/yy")&amp;" "&amp;Milestones!$AB$112&amp;" "&amp;Milestones!$AC$112&amp;";  ","")&amp;IF(AND(EDATE($D83,Milestones!$AA$113)&lt;=AsOfDate,IF($Q83=0,$W83,IF(AND($S83&lt;&gt;"",EDATE($D83,Milestones!$AA$113)&gt;=$S83),$V83,IF(AND($R83&lt;&gt;"",EDATE($D83,Milestones!$AA$113)&gt;=$R83),$U83,$T83)))=Milestones!$AB$113),TEXT(EDATE($D83,Milestones!$AA$113),"dd/mm/yy")&amp;" "&amp;Milestones!$AB$113&amp;" "&amp;Milestones!$AC$113&amp;";  ","")&amp;IF(AND(EDATE($D83,Milestones!$AA$114)&lt;=AsOfDate,IF($Q83=0,$W83,IF(AND($S83&lt;&gt;"",EDATE($D83,Milestones!$AA$114)&gt;=$S83),$V83,IF(AND($R83&lt;&gt;"",EDATE($D83,Milestones!$AA$114)&gt;=$R83),$U83,$T83)))=Milestones!$AB$114),TEXT(EDATE($D83,Milestones!$AA$114),"dd/mm/yy")&amp;" "&amp;Milestones!$AB$114&amp;" "&amp;Milestones!$AC$114&amp;";  ","")&amp;IF(AND(EDATE($D83,Milestones!$AA$115)&lt;=AsOfDate,IF($Q83=0,$W83,IF(AND($S83&lt;&gt;"",EDATE($D83,Milestones!$AA$115)&gt;=$S83),$V83,IF(AND($R83&lt;&gt;"",EDATE($D83,Milestones!$AA$115)&gt;=$R83),$U83,$T83)))=Milestones!$AB$115),TEXT(EDATE($D83,Milestones!$AA$115),"dd/mm/yy")&amp;" "&amp;Milestones!$AB$115&amp;" "&amp;Milestones!$AC$115&amp;";  ","")&amp;IF(AND(EDATE($D83,Milestones!$AA$116)&lt;=AsOfDate,IF($Q83=0,$W83,IF(AND($S83&lt;&gt;"",EDATE($D83,Milestones!$AA$116)&gt;=$S83),$V83,IF(AND($R83&lt;&gt;"",EDATE($D83,Milestones!$AA$116)&gt;=$R83),$U83,$T83)))=Milestones!$AB$116),TEXT(EDATE($D83,Milestones!$AA$116),"dd/mm/yy")&amp;" "&amp;Milestones!$AB$116&amp;" "&amp;Milestones!$AC$116&amp;";  ","")&amp;IF(AND(EDATE($D83,Milestones!$AA$117)&lt;=AsOfDate,IF($Q83=0,$W83,IF(AND($S83&lt;&gt;"",EDATE($D83,Milestones!$AA$117)&gt;=$S83),$V83,IF(AND($R83&lt;&gt;"",EDATE($D83,Milestones!$AA$117)&gt;=$R83),$U83,$T83)))=Milestones!$AB$117),TEXT(EDATE($D83,Milestones!$AA$117),"dd/mm/yy")&amp;" "&amp;Milestones!$AB$117&amp;" "&amp;Milestones!$AC$117&amp;";  ","")&amp;IF(AND(EDATE($D83,Milestones!$AA$118)&lt;=AsOfDate,IF($Q83=0,$W83,IF(AND($S83&lt;&gt;"",EDATE($D83,Milestones!$AA$118)&gt;=$S83),$V83,IF(AND($R83&lt;&gt;"",EDATE($D83,Milestones!$AA$118)&gt;=$R83),$U83,$T83)))=Milestones!$AB$118),TEXT(EDATE($D83,Milestones!$AA$118),"dd/mm/yy")&amp;" "&amp;Milestones!$AB$118&amp;" "&amp;Milestones!$AC$118&amp;";  ","")&amp;IF(AND(EDATE($D83,Milestones!$AA$119)&lt;=AsOfDate,IF($Q83=0,$W83,IF(AND($S83&lt;&gt;"",EDATE($D83,Milestones!$AA$119)&gt;=$S83),$V83,IF(AND($R83&lt;&gt;"",EDATE($D83,Milestones!$AA$119)&gt;=$R83),$U83,$T83)))=Milestones!$AB$119),TEXT(EDATE($D83,Milestones!$AA$119),"dd/mm/yy")&amp;" "&amp;Milestones!$AB$119&amp;" "&amp;Milestones!$AC$119&amp;";  ",""))</f>
        <v/>
      </c>
      <c r="M83" s="0" t="str">
        <f aca="false">IF(OR($A83="",$D83=""),"",IF(AND(EDATE($D83,Milestones!$AA$120)&lt;=AsOfDate,IF($Q83=0,$W83,IF(AND($S83&lt;&gt;"",EDATE($D83,Milestones!$AA$120)&gt;=$S83),$V83,IF(AND($R83&lt;&gt;"",EDATE($D83,Milestones!$AA$120)&gt;=$R83),$U83,$T83)))=Milestones!$AB$120),TEXT(EDATE($D83,Milestones!$AA$120),"dd/mm/yy")&amp;" "&amp;Milestones!$AB$120&amp;" "&amp;Milestones!$AC$120&amp;";  ","")&amp;IF(AND(EDATE($D83,Milestones!$AA$121)&lt;=AsOfDate,IF($Q83=0,$W83,IF(AND($S83&lt;&gt;"",EDATE($D83,Milestones!$AA$121)&gt;=$S83),$V83,IF(AND($R83&lt;&gt;"",EDATE($D83,Milestones!$AA$121)&gt;=$R83),$U83,$T83)))=Milestones!$AB$121),TEXT(EDATE($D83,Milestones!$AA$121),"dd/mm/yy")&amp;" "&amp;Milestones!$AB$121&amp;" "&amp;Milestones!$AC$121&amp;";  ","")&amp;IF(AND(EDATE($D83,Milestones!$AA$122)&lt;=AsOfDate,IF($Q83=0,$W83,IF(AND($S83&lt;&gt;"",EDATE($D83,Milestones!$AA$122)&gt;=$S83),$V83,IF(AND($R83&lt;&gt;"",EDATE($D83,Milestones!$AA$122)&gt;=$R83),$U83,$T83)))=Milestones!$AB$122),TEXT(EDATE($D83,Milestones!$AA$122),"dd/mm/yy")&amp;" "&amp;Milestones!$AB$122&amp;" "&amp;Milestones!$AC$122&amp;";  ","")&amp;IF(AND(EDATE($D83,Milestones!$AA$123)&lt;=AsOfDate,IF($Q83=0,$W83,IF(AND($S83&lt;&gt;"",EDATE($D83,Milestones!$AA$123)&gt;=$S83),$V83,IF(AND($R83&lt;&gt;"",EDATE($D83,Milestones!$AA$123)&gt;=$R83),$U83,$T83)))=Milestones!$AB$123),TEXT(EDATE($D83,Milestones!$AA$123),"dd/mm/yy")&amp;" "&amp;Milestones!$AB$123&amp;" "&amp;Milestones!$AC$123&amp;";  ","")&amp;IF(AND(EDATE($D83,Milestones!$AA$124)&lt;=AsOfDate,IF($Q83=0,$W83,IF(AND($S83&lt;&gt;"",EDATE($D83,Milestones!$AA$124)&gt;=$S83),$V83,IF(AND($R83&lt;&gt;"",EDATE($D83,Milestones!$AA$124)&gt;=$R83),$U83,$T83)))=Milestones!$AB$124),TEXT(EDATE($D83,Milestones!$AA$124),"dd/mm/yy")&amp;" "&amp;Milestones!$AB$124&amp;" "&amp;Milestones!$AC$124&amp;";  ","")&amp;IF(AND(EDATE($D83,Milestones!$AA$125)&lt;=AsOfDate,IF($Q83=0,$W83,IF(AND($S83&lt;&gt;"",EDATE($D83,Milestones!$AA$125)&gt;=$S83),$V83,IF(AND($R83&lt;&gt;"",EDATE($D83,Milestones!$AA$125)&gt;=$R83),$U83,$T83)))=Milestones!$AB$125),TEXT(EDATE($D83,Milestones!$AA$125),"dd/mm/yy")&amp;" "&amp;Milestones!$AB$125&amp;" "&amp;Milestones!$AC$125&amp;";  ","")&amp;IF(AND(EDATE($D83,Milestones!$AA$126)&lt;=AsOfDate,IF($Q83=0,$W83,IF(AND($S83&lt;&gt;"",EDATE($D83,Milestones!$AA$126)&gt;=$S83),$V83,IF(AND($R83&lt;&gt;"",EDATE($D83,Milestones!$AA$126)&gt;=$R83),$U83,$T83)))=Milestones!$AB$126),TEXT(EDATE($D83,Milestones!$AA$126),"dd/mm/yy")&amp;" "&amp;Milestones!$AB$126&amp;" "&amp;Milestones!$AC$126&amp;";  ","")&amp;IF(AND(EDATE($D83,Milestones!$AA$127)&lt;=AsOfDate,IF($Q83=0,$W83,IF(AND($S83&lt;&gt;"",EDATE($D83,Milestones!$AA$127)&gt;=$S83),$V83,IF(AND($R83&lt;&gt;"",EDATE($D83,Milestones!$AA$127)&gt;=$R83),$U83,$T83)))=Milestones!$AB$127),TEXT(EDATE($D83,Milestones!$AA$127),"dd/mm/yy")&amp;" "&amp;Milestones!$AB$127&amp;" "&amp;Milestones!$AC$127&amp;";  ","")&amp;IF(AND(EDATE($D83,Milestones!$AA$128)&lt;=AsOfDate,IF($Q83=0,$W83,IF(AND($S83&lt;&gt;"",EDATE($D83,Milestones!$AA$128)&gt;=$S83),$V83,IF(AND($R83&lt;&gt;"",EDATE($D83,Milestones!$AA$128)&gt;=$R83),$U83,$T83)))=Milestones!$AB$128),TEXT(EDATE($D83,Milestones!$AA$128),"dd/mm/yy")&amp;" "&amp;Milestones!$AB$128&amp;" "&amp;Milestones!$AC$128&amp;";  ","")&amp;IF(AND(EDATE($D83,Milestones!$AA$129)&lt;=AsOfDate,IF($Q83=0,$W83,IF(AND($S83&lt;&gt;"",EDATE($D83,Milestones!$AA$129)&gt;=$S83),$V83,IF(AND($R83&lt;&gt;"",EDATE($D83,Milestones!$AA$129)&gt;=$R83),$U83,$T83)))=Milestones!$AB$129),TEXT(EDATE($D83,Milestones!$AA$129),"dd/mm/yy")&amp;" "&amp;Milestones!$AB$129&amp;" "&amp;Milestones!$AC$129&amp;";  ","")&amp;IF(AND(EDATE($D83,Milestones!$AA$130)&lt;=AsOfDate,IF($Q83=0,$W83,IF(AND($S83&lt;&gt;"",EDATE($D83,Milestones!$AA$130)&gt;=$S83),$V83,IF(AND($R83&lt;&gt;"",EDATE($D83,Milestones!$AA$130)&gt;=$R83),$U83,$T83)))=Milestones!$AB$130),TEXT(EDATE($D83,Milestones!$AA$130),"dd/mm/yy")&amp;" "&amp;Milestones!$AB$130&amp;" "&amp;Milestones!$AC$130&amp;";  ","")&amp;IF(AND(EDATE($D83,Milestones!$AA$131)&lt;=AsOfDate,IF($Q83=0,$W83,IF(AND($S83&lt;&gt;"",EDATE($D83,Milestones!$AA$131)&gt;=$S83),$V83,IF(AND($R83&lt;&gt;"",EDATE($D83,Milestones!$AA$131)&gt;=$R83),$U83,$T83)))=Milestones!$AB$131),TEXT(EDATE($D83,Milestones!$AA$131),"dd/mm/yy")&amp;" "&amp;Milestones!$AB$131&amp;" "&amp;Milestones!$AC$131&amp;";  ","")&amp;IF(AND(EDATE($D83,Milestones!$AA$132)&lt;=AsOfDate,IF($Q83=0,$W83,IF(AND($S83&lt;&gt;"",EDATE($D83,Milestones!$AA$132)&gt;=$S83),$V83,IF(AND($R83&lt;&gt;"",EDATE($D83,Milestones!$AA$132)&gt;=$R83),$U83,$T83)))=Milestones!$AB$132),TEXT(EDATE($D83,Milestones!$AA$132),"dd/mm/yy")&amp;" "&amp;Milestones!$AB$132&amp;" "&amp;Milestones!$AC$132&amp;";  ","")&amp;IF(AND(EDATE($D83,Milestones!$AA$133)&lt;=AsOfDate,IF($Q83=0,$W83,IF(AND($S83&lt;&gt;"",EDATE($D83,Milestones!$AA$133)&gt;=$S83),$V83,IF(AND($R83&lt;&gt;"",EDATE($D83,Milestones!$AA$133)&gt;=$R83),$U83,$T83)))=Milestones!$AB$133),TEXT(EDATE($D83,Milestones!$AA$133),"dd/mm/yy")&amp;" "&amp;Milestones!$AB$133&amp;" "&amp;Milestones!$AC$133&amp;";  ","")&amp;IF(AND(EDATE($D83,Milestones!$AA$134)&lt;=AsOfDate,IF($Q83=0,$W83,IF(AND($S83&lt;&gt;"",EDATE($D83,Milestones!$AA$134)&gt;=$S83),$V83,IF(AND($R83&lt;&gt;"",EDATE($D83,Milestones!$AA$134)&gt;=$R83),$U83,$T83)))=Milestones!$AB$134),TEXT(EDATE($D83,Milestones!$AA$134),"dd/mm/yy")&amp;" "&amp;Milestones!$AB$134&amp;" "&amp;Milestones!$AC$134&amp;";  ","")&amp;IF(AND(EDATE($D83,Milestones!$AA$135)&lt;=AsOfDate,IF($Q83=0,$W83,IF(AND($S83&lt;&gt;"",EDATE($D83,Milestones!$AA$135)&gt;=$S83),$V83,IF(AND($R83&lt;&gt;"",EDATE($D83,Milestones!$AA$135)&gt;=$R83),$U83,$T83)))=Milestones!$AB$135),TEXT(EDATE($D83,Milestones!$AA$135),"dd/mm/yy")&amp;" "&amp;Milestones!$AB$135&amp;" "&amp;Milestones!$AC$135&amp;";  ","")&amp;IF(AND(EDATE($D83,Milestones!$AA$136)&lt;=AsOfDate,IF($Q83=0,$W83,IF(AND($S83&lt;&gt;"",EDATE($D83,Milestones!$AA$136)&gt;=$S83),$V83,IF(AND($R83&lt;&gt;"",EDATE($D83,Milestones!$AA$136)&gt;=$R83),$U83,$T83)))=Milestones!$AB$136),TEXT(EDATE($D83,Milestones!$AA$136),"dd/mm/yy")&amp;" "&amp;Milestones!$AB$136&amp;" "&amp;Milestones!$AC$136&amp;";  ","")&amp;IF(AND(EDATE($D83,Milestones!$AA$137)&lt;=AsOfDate,IF($Q83=0,$W83,IF(AND($S83&lt;&gt;"",EDATE($D83,Milestones!$AA$137)&gt;=$S83),$V83,IF(AND($R83&lt;&gt;"",EDATE($D83,Milestones!$AA$137)&gt;=$R83),$U83,$T83)))=Milestones!$AB$137),TEXT(EDATE($D83,Milestones!$AA$137),"dd/mm/yy")&amp;" "&amp;Milestones!$AB$137&amp;" "&amp;Milestones!$AC$137&amp;";  ","")&amp;IF(AND(EDATE($D83,Milestones!$AA$138)&lt;=AsOfDate,IF($Q83=0,$W83,IF(AND($S83&lt;&gt;"",EDATE($D83,Milestones!$AA$138)&gt;=$S83),$V83,IF(AND($R83&lt;&gt;"",EDATE($D83,Milestones!$AA$138)&gt;=$R83),$U83,$T83)))=Milestones!$AB$138),TEXT(EDATE($D83,Milestones!$AA$138),"dd/mm/yy")&amp;" "&amp;Milestones!$AB$138&amp;" "&amp;Milestones!$AC$138&amp;";  ","")&amp;IF(AND(EDATE($D83,Milestones!$AA$139)&lt;=AsOfDate,IF($Q83=0,$W83,IF(AND($S83&lt;&gt;"",EDATE($D83,Milestones!$AA$139)&gt;=$S83),$V83,IF(AND($R83&lt;&gt;"",EDATE($D83,Milestones!$AA$139)&gt;=$R83),$U83,$T83)))=Milestones!$AB$139),TEXT(EDATE($D83,Milestones!$AA$139),"dd/mm/yy")&amp;" "&amp;Milestones!$AB$139&amp;" "&amp;Milestones!$AC$139&amp;";  ",""))</f>
        <v/>
      </c>
      <c r="N83" s="0" t="str">
        <f aca="false">IF(OR($A83="",$D83=""),"",IF(AND(EDATE($D83,Milestones!$AA$140)&lt;=AsOfDate,IF($Q83=0,$W83,IF(AND($S83&lt;&gt;"",EDATE($D83,Milestones!$AA$140)&gt;=$S83),$V83,IF(AND($R83&lt;&gt;"",EDATE($D83,Milestones!$AA$140)&gt;=$R83),$U83,$T83)))=Milestones!$AB$140),TEXT(EDATE($D83,Milestones!$AA$140),"dd/mm/yy")&amp;" "&amp;Milestones!$AB$140&amp;" "&amp;Milestones!$AC$140&amp;";  ","")&amp;IF(AND(EDATE($D83,Milestones!$AA$141)&lt;=AsOfDate,IF($Q83=0,$W83,IF(AND($S83&lt;&gt;"",EDATE($D83,Milestones!$AA$141)&gt;=$S83),$V83,IF(AND($R83&lt;&gt;"",EDATE($D83,Milestones!$AA$141)&gt;=$R83),$U83,$T83)))=Milestones!$AB$141),TEXT(EDATE($D83,Milestones!$AA$141),"dd/mm/yy")&amp;" "&amp;Milestones!$AB$141&amp;" "&amp;Milestones!$AC$141&amp;";  ","")&amp;IF(AND(EDATE($D83,Milestones!$AA$142)&lt;=AsOfDate,IF($Q83=0,$W83,IF(AND($S83&lt;&gt;"",EDATE($D83,Milestones!$AA$142)&gt;=$S83),$V83,IF(AND($R83&lt;&gt;"",EDATE($D83,Milestones!$AA$142)&gt;=$R83),$U83,$T83)))=Milestones!$AB$142),TEXT(EDATE($D83,Milestones!$AA$142),"dd/mm/yy")&amp;" "&amp;Milestones!$AB$142&amp;" "&amp;Milestones!$AC$142&amp;";  ","")&amp;IF(AND(EDATE($D83,Milestones!$AA$143)&lt;=AsOfDate,IF($Q83=0,$W83,IF(AND($S83&lt;&gt;"",EDATE($D83,Milestones!$AA$143)&gt;=$S83),$V83,IF(AND($R83&lt;&gt;"",EDATE($D83,Milestones!$AA$143)&gt;=$R83),$U83,$T83)))=Milestones!$AB$143),TEXT(EDATE($D83,Milestones!$AA$143),"dd/mm/yy")&amp;" "&amp;Milestones!$AB$143&amp;" "&amp;Milestones!$AC$143&amp;";  ","")&amp;IF(AND(EDATE($D83,Milestones!$AA$144)&lt;=AsOfDate,IF($Q83=0,$W83,IF(AND($S83&lt;&gt;"",EDATE($D83,Milestones!$AA$144)&gt;=$S83),$V83,IF(AND($R83&lt;&gt;"",EDATE($D83,Milestones!$AA$144)&gt;=$R83),$U83,$T83)))=Milestones!$AB$144),TEXT(EDATE($D83,Milestones!$AA$144),"dd/mm/yy")&amp;" "&amp;Milestones!$AB$144&amp;" "&amp;Milestones!$AC$144&amp;";  ","")&amp;IF(AND(EDATE($D83,Milestones!$AA$145)&lt;=AsOfDate,IF($Q83=0,$W83,IF(AND($S83&lt;&gt;"",EDATE($D83,Milestones!$AA$145)&gt;=$S83),$V83,IF(AND($R83&lt;&gt;"",EDATE($D83,Milestones!$AA$145)&gt;=$R83),$U83,$T83)))=Milestones!$AB$145),TEXT(EDATE($D83,Milestones!$AA$145),"dd/mm/yy")&amp;" "&amp;Milestones!$AB$145&amp;" "&amp;Milestones!$AC$145&amp;";  ","")&amp;IF(AND(EDATE($D83,Milestones!$AA$146)&lt;=AsOfDate,IF($Q83=0,$W83,IF(AND($S83&lt;&gt;"",EDATE($D83,Milestones!$AA$146)&gt;=$S83),$V83,IF(AND($R83&lt;&gt;"",EDATE($D83,Milestones!$AA$146)&gt;=$R83),$U83,$T83)))=Milestones!$AB$146),TEXT(EDATE($D83,Milestones!$AA$146),"dd/mm/yy")&amp;" "&amp;Milestones!$AB$146&amp;" "&amp;Milestones!$AC$146&amp;";  ","")&amp;IF(AND(EDATE($D83,Milestones!$AA$147)&lt;=AsOfDate,IF($Q83=0,$W83,IF(AND($S83&lt;&gt;"",EDATE($D83,Milestones!$AA$147)&gt;=$S83),$V83,IF(AND($R83&lt;&gt;"",EDATE($D83,Milestones!$AA$147)&gt;=$R83),$U83,$T83)))=Milestones!$AB$147),TEXT(EDATE($D83,Milestones!$AA$147),"dd/mm/yy")&amp;" "&amp;Milestones!$AB$147&amp;" "&amp;Milestones!$AC$147&amp;";  ","")&amp;IF(AND(EDATE($D83,Milestones!$AA$148)&lt;=AsOfDate,IF($Q83=0,$W83,IF(AND($S83&lt;&gt;"",EDATE($D83,Milestones!$AA$148)&gt;=$S83),$V83,IF(AND($R83&lt;&gt;"",EDATE($D83,Milestones!$AA$148)&gt;=$R83),$U83,$T83)))=Milestones!$AB$148),TEXT(EDATE($D83,Milestones!$AA$148),"dd/mm/yy")&amp;" "&amp;Milestones!$AB$148&amp;" "&amp;Milestones!$AC$148&amp;";  ","")&amp;IF(AND(EDATE($D83,Milestones!$AA$149)&lt;=AsOfDate,IF($Q83=0,$W83,IF(AND($S83&lt;&gt;"",EDATE($D83,Milestones!$AA$149)&gt;=$S83),$V83,IF(AND($R83&lt;&gt;"",EDATE($D83,Milestones!$AA$149)&gt;=$R83),$U83,$T83)))=Milestones!$AB$149),TEXT(EDATE($D83,Milestones!$AA$149),"dd/mm/yy")&amp;" "&amp;Milestones!$AB$149&amp;" "&amp;Milestones!$AC$149&amp;";  ","")&amp;IF(AND(EDATE($D83,Milestones!$AA$150)&lt;=AsOfDate,IF($Q83=0,$W83,IF(AND($S83&lt;&gt;"",EDATE($D83,Milestones!$AA$150)&gt;=$S83),$V83,IF(AND($R83&lt;&gt;"",EDATE($D83,Milestones!$AA$150)&gt;=$R83),$U83,$T83)))=Milestones!$AB$150),TEXT(EDATE($D83,Milestones!$AA$150),"dd/mm/yy")&amp;" "&amp;Milestones!$AB$150&amp;" "&amp;Milestones!$AC$150&amp;";  ","")&amp;IF(AND(EDATE($D83,Milestones!$AA$151)&lt;=AsOfDate,IF($Q83=0,$W83,IF(AND($S83&lt;&gt;"",EDATE($D83,Milestones!$AA$151)&gt;=$S83),$V83,IF(AND($R83&lt;&gt;"",EDATE($D83,Milestones!$AA$151)&gt;=$R83),$U83,$T83)))=Milestones!$AB$151),TEXT(EDATE($D83,Milestones!$AA$151),"dd/mm/yy")&amp;" "&amp;Milestones!$AB$151&amp;" "&amp;Milestones!$AC$151&amp;";  ","")&amp;IF(AND(EDATE($D83,Milestones!$AA$152)&lt;=AsOfDate,IF($Q83=0,$W83,IF(AND($S83&lt;&gt;"",EDATE($D83,Milestones!$AA$152)&gt;=$S83),$V83,IF(AND($R83&lt;&gt;"",EDATE($D83,Milestones!$AA$152)&gt;=$R83),$U83,$T83)))=Milestones!$AB$152),TEXT(EDATE($D83,Milestones!$AA$152),"dd/mm/yy")&amp;" "&amp;Milestones!$AB$152&amp;" "&amp;Milestones!$AC$152&amp;";  ","")&amp;IF(AND(EDATE($D83,Milestones!$AA$153)&lt;=AsOfDate,IF($Q83=0,$W83,IF(AND($S83&lt;&gt;"",EDATE($D83,Milestones!$AA$153)&gt;=$S83),$V83,IF(AND($R83&lt;&gt;"",EDATE($D83,Milestones!$AA$153)&gt;=$R83),$U83,$T83)))=Milestones!$AB$153),TEXT(EDATE($D83,Milestones!$AA$153),"dd/mm/yy")&amp;" "&amp;Milestones!$AB$153&amp;" "&amp;Milestones!$AC$153&amp;";  ","")&amp;IF(AND(EDATE($D83,Milestones!$AA$154)&lt;=AsOfDate,IF($Q83=0,$W83,IF(AND($S83&lt;&gt;"",EDATE($D83,Milestones!$AA$154)&gt;=$S83),$V83,IF(AND($R83&lt;&gt;"",EDATE($D83,Milestones!$AA$154)&gt;=$R83),$U83,$T83)))=Milestones!$AB$154),TEXT(EDATE($D83,Milestones!$AA$154),"dd/mm/yy")&amp;" "&amp;Milestones!$AB$154&amp;" "&amp;Milestones!$AC$154&amp;";  ","")&amp;IF(AND(EDATE($D83,Milestones!$AA$155)&lt;=AsOfDate,IF($Q83=0,$W83,IF(AND($S83&lt;&gt;"",EDATE($D83,Milestones!$AA$155)&gt;=$S83),$V83,IF(AND($R83&lt;&gt;"",EDATE($D83,Milestones!$AA$155)&gt;=$R83),$U83,$T83)))=Milestones!$AB$155),TEXT(EDATE($D83,Milestones!$AA$155),"dd/mm/yy")&amp;" "&amp;Milestones!$AB$155&amp;" "&amp;Milestones!$AC$155&amp;";  ","")&amp;IF(AND(EDATE($D83,Milestones!$AA$156)&lt;=AsOfDate,IF($Q83=0,$W83,IF(AND($S83&lt;&gt;"",EDATE($D83,Milestones!$AA$156)&gt;=$S83),$V83,IF(AND($R83&lt;&gt;"",EDATE($D83,Milestones!$AA$156)&gt;=$R83),$U83,$T83)))=Milestones!$AB$156),TEXT(EDATE($D83,Milestones!$AA$156),"dd/mm/yy")&amp;" "&amp;Milestones!$AB$156&amp;" "&amp;Milestones!$AC$156&amp;";  ","")&amp;IF(AND(EDATE($D83,Milestones!$AA$157)&lt;=AsOfDate,IF($Q83=0,$W83,IF(AND($S83&lt;&gt;"",EDATE($D83,Milestones!$AA$157)&gt;=$S83),$V83,IF(AND($R83&lt;&gt;"",EDATE($D83,Milestones!$AA$157)&gt;=$R83),$U83,$T83)))=Milestones!$AB$157),TEXT(EDATE($D83,Milestones!$AA$157),"dd/mm/yy")&amp;" "&amp;Milestones!$AB$157&amp;" "&amp;Milestones!$AC$157&amp;";  ","")&amp;IF(AND(EDATE($D83,Milestones!$AA$158)&lt;=AsOfDate,IF($Q83=0,$W83,IF(AND($S83&lt;&gt;"",EDATE($D83,Milestones!$AA$158)&gt;=$S83),$V83,IF(AND($R83&lt;&gt;"",EDATE($D83,Milestones!$AA$158)&gt;=$R83),$U83,$T83)))=Milestones!$AB$158),TEXT(EDATE($D83,Milestones!$AA$158),"dd/mm/yy")&amp;" "&amp;Milestones!$AB$158&amp;" "&amp;Milestones!$AC$158&amp;";  ","")&amp;IF(AND(EDATE($D83,Milestones!$AA$159)&lt;=AsOfDate,IF($Q83=0,$W83,IF(AND($S83&lt;&gt;"",EDATE($D83,Milestones!$AA$159)&gt;=$S83),$V83,IF(AND($R83&lt;&gt;"",EDATE($D83,Milestones!$AA$159)&gt;=$R83),$U83,$T83)))=Milestones!$AB$159),TEXT(EDATE($D83,Milestones!$AA$159),"dd/mm/yy")&amp;" "&amp;Milestones!$AB$159&amp;" "&amp;Milestones!$AC$159&amp;";  ",""))</f>
        <v/>
      </c>
      <c r="O83" s="0" t="str">
        <f aca="false">IF(OR($A83="",$D83=""),"",IF(AND(EDATE($D83,Milestones!$AA$160)&lt;=AsOfDate,IF($Q83=0,$W83,IF(AND($S83&lt;&gt;"",EDATE($D83,Milestones!$AA$160)&gt;=$S83),$V83,IF(AND($R83&lt;&gt;"",EDATE($D83,Milestones!$AA$160)&gt;=$R83),$U83,$T83)))=Milestones!$AB$160),TEXT(EDATE($D83,Milestones!$AA$160),"dd/mm/yy")&amp;" "&amp;Milestones!$AB$160&amp;" "&amp;Milestones!$AC$160&amp;";  ","")&amp;IF(AND(EDATE($D83,Milestones!$AA$161)&lt;=AsOfDate,IF($Q83=0,$W83,IF(AND($S83&lt;&gt;"",EDATE($D83,Milestones!$AA$161)&gt;=$S83),$V83,IF(AND($R83&lt;&gt;"",EDATE($D83,Milestones!$AA$161)&gt;=$R83),$U83,$T83)))=Milestones!$AB$161),TEXT(EDATE($D83,Milestones!$AA$161),"dd/mm/yy")&amp;" "&amp;Milestones!$AB$161&amp;" "&amp;Milestones!$AC$161&amp;";  ","")&amp;IF(AND(EDATE($D83,Milestones!$AA$162)&lt;=AsOfDate,IF($Q83=0,$W83,IF(AND($S83&lt;&gt;"",EDATE($D83,Milestones!$AA$162)&gt;=$S83),$V83,IF(AND($R83&lt;&gt;"",EDATE($D83,Milestones!$AA$162)&gt;=$R83),$U83,$T83)))=Milestones!$AB$162),TEXT(EDATE($D83,Milestones!$AA$162),"dd/mm/yy")&amp;" "&amp;Milestones!$AB$162&amp;" "&amp;Milestones!$AC$162&amp;";  ","")&amp;IF(AND(EDATE($D83,Milestones!$AA$163)&lt;=AsOfDate,IF($Q83=0,$W83,IF(AND($S83&lt;&gt;"",EDATE($D83,Milestones!$AA$163)&gt;=$S83),$V83,IF(AND($R83&lt;&gt;"",EDATE($D83,Milestones!$AA$163)&gt;=$R83),$U83,$T83)))=Milestones!$AB$163),TEXT(EDATE($D83,Milestones!$AA$163),"dd/mm/yy")&amp;" "&amp;Milestones!$AB$163&amp;" "&amp;Milestones!$AC$163&amp;";  ","")&amp;IF(AND(EDATE($D83,Milestones!$AA$164)&lt;=AsOfDate,IF($Q83=0,$W83,IF(AND($S83&lt;&gt;"",EDATE($D83,Milestones!$AA$164)&gt;=$S83),$V83,IF(AND($R83&lt;&gt;"",EDATE($D83,Milestones!$AA$164)&gt;=$R83),$U83,$T83)))=Milestones!$AB$164),TEXT(EDATE($D83,Milestones!$AA$164),"dd/mm/yy")&amp;" "&amp;Milestones!$AB$164&amp;" "&amp;Milestones!$AC$164&amp;";  ","")&amp;IF(AND(EDATE($D83,Milestones!$AA$165)&lt;=AsOfDate,IF($Q83=0,$W83,IF(AND($S83&lt;&gt;"",EDATE($D83,Milestones!$AA$165)&gt;=$S83),$V83,IF(AND($R83&lt;&gt;"",EDATE($D83,Milestones!$AA$165)&gt;=$R83),$U83,$T83)))=Milestones!$AB$165),TEXT(EDATE($D83,Milestones!$AA$165),"dd/mm/yy")&amp;" "&amp;Milestones!$AB$165&amp;" "&amp;Milestones!$AC$165&amp;";  ","")&amp;IF(AND(EDATE($D83,Milestones!$AA$166)&lt;=AsOfDate,IF($Q83=0,$W83,IF(AND($S83&lt;&gt;"",EDATE($D83,Milestones!$AA$166)&gt;=$S83),$V83,IF(AND($R83&lt;&gt;"",EDATE($D83,Milestones!$AA$166)&gt;=$R83),$U83,$T83)))=Milestones!$AB$166),TEXT(EDATE($D83,Milestones!$AA$166),"dd/mm/yy")&amp;" "&amp;Milestones!$AB$166&amp;" "&amp;Milestones!$AC$166&amp;";  ","")&amp;IF(AND(EDATE($D83,Milestones!$AA$167)&lt;=AsOfDate,IF($Q83=0,$W83,IF(AND($S83&lt;&gt;"",EDATE($D83,Milestones!$AA$167)&gt;=$S83),$V83,IF(AND($R83&lt;&gt;"",EDATE($D83,Milestones!$AA$167)&gt;=$R83),$U83,$T83)))=Milestones!$AB$167),TEXT(EDATE($D83,Milestones!$AA$167),"dd/mm/yy")&amp;" "&amp;Milestones!$AB$167&amp;" "&amp;Milestones!$AC$167&amp;";  ","")&amp;IF(AND(EDATE($D83,Milestones!$AA$168)&lt;=AsOfDate,IF($Q83=0,$W83,IF(AND($S83&lt;&gt;"",EDATE($D83,Milestones!$AA$168)&gt;=$S83),$V83,IF(AND($R83&lt;&gt;"",EDATE($D83,Milestones!$AA$168)&gt;=$R83),$U83,$T83)))=Milestones!$AB$168),TEXT(EDATE($D83,Milestones!$AA$168),"dd/mm/yy")&amp;" "&amp;Milestones!$AB$168&amp;" "&amp;Milestones!$AC$168&amp;";  ","")&amp;IF(AND(EDATE($D83,Milestones!$AA$169)&lt;=AsOfDate,IF($Q83=0,$W83,IF(AND($S83&lt;&gt;"",EDATE($D83,Milestones!$AA$169)&gt;=$S83),$V83,IF(AND($R83&lt;&gt;"",EDATE($D83,Milestones!$AA$169)&gt;=$R83),$U83,$T83)))=Milestones!$AB$169),TEXT(EDATE($D83,Milestones!$AA$169),"dd/mm/yy")&amp;" "&amp;Milestones!$AB$169&amp;" "&amp;Milestones!$AC$169&amp;";  ","")&amp;IF(AND(EDATE($D83,Milestones!$AA$170)&lt;=AsOfDate,IF($Q83=0,$W83,IF(AND($S83&lt;&gt;"",EDATE($D83,Milestones!$AA$170)&gt;=$S83),$V83,IF(AND($R83&lt;&gt;"",EDATE($D83,Milestones!$AA$170)&gt;=$R83),$U83,$T83)))=Milestones!$AB$170),TEXT(EDATE($D83,Milestones!$AA$170),"dd/mm/yy")&amp;" "&amp;Milestones!$AB$170&amp;" "&amp;Milestones!$AC$170&amp;";  ","")&amp;IF(AND(EDATE($D83,Milestones!$AA$171)&lt;=AsOfDate,IF($Q83=0,$W83,IF(AND($S83&lt;&gt;"",EDATE($D83,Milestones!$AA$171)&gt;=$S83),$V83,IF(AND($R83&lt;&gt;"",EDATE($D83,Milestones!$AA$171)&gt;=$R83),$U83,$T83)))=Milestones!$AB$171),TEXT(EDATE($D83,Milestones!$AA$171),"dd/mm/yy")&amp;" "&amp;Milestones!$AB$171&amp;" "&amp;Milestones!$AC$171&amp;";  ","")&amp;IF(AND(EDATE($D83,Milestones!$AA$172)&lt;=AsOfDate,IF($Q83=0,$W83,IF(AND($S83&lt;&gt;"",EDATE($D83,Milestones!$AA$172)&gt;=$S83),$V83,IF(AND($R83&lt;&gt;"",EDATE($D83,Milestones!$AA$172)&gt;=$R83),$U83,$T83)))=Milestones!$AB$172),TEXT(EDATE($D83,Milestones!$AA$172),"dd/mm/yy")&amp;" "&amp;Milestones!$AB$172&amp;" "&amp;Milestones!$AC$172&amp;";  ","")&amp;IF(AND(EDATE($D83,Milestones!$AA$173)&lt;=AsOfDate,IF($Q83=0,$W83,IF(AND($S83&lt;&gt;"",EDATE($D83,Milestones!$AA$173)&gt;=$S83),$V83,IF(AND($R83&lt;&gt;"",EDATE($D83,Milestones!$AA$173)&gt;=$R83),$U83,$T83)))=Milestones!$AB$173),TEXT(EDATE($D83,Milestones!$AA$173),"dd/mm/yy")&amp;" "&amp;Milestones!$AB$173&amp;" "&amp;Milestones!$AC$173&amp;";  ","")&amp;IF(AND(EDATE($D83,Milestones!$AA$174)&lt;=AsOfDate,IF($Q83=0,$W83,IF(AND($S83&lt;&gt;"",EDATE($D83,Milestones!$AA$174)&gt;=$S83),$V83,IF(AND($R83&lt;&gt;"",EDATE($D83,Milestones!$AA$174)&gt;=$R83),$U83,$T83)))=Milestones!$AB$174),TEXT(EDATE($D83,Milestones!$AA$174),"dd/mm/yy")&amp;" "&amp;Milestones!$AB$174&amp;" "&amp;Milestones!$AC$174&amp;";  ","")&amp;IF(AND(EDATE($D83,Milestones!$AA$175)&lt;=AsOfDate,IF($Q83=0,$W83,IF(AND($S83&lt;&gt;"",EDATE($D83,Milestones!$AA$175)&gt;=$S83),$V83,IF(AND($R83&lt;&gt;"",EDATE($D83,Milestones!$AA$175)&gt;=$R83),$U83,$T83)))=Milestones!$AB$175),TEXT(EDATE($D83,Milestones!$AA$175),"dd/mm/yy")&amp;" "&amp;Milestones!$AB$175&amp;" "&amp;Milestones!$AC$175&amp;";  ","")&amp;IF(AND(EDATE($D83,Milestones!$AA$176)&lt;=AsOfDate,IF($Q83=0,$W83,IF(AND($S83&lt;&gt;"",EDATE($D83,Milestones!$AA$176)&gt;=$S83),$V83,IF(AND($R83&lt;&gt;"",EDATE($D83,Milestones!$AA$176)&gt;=$R83),$U83,$T83)))=Milestones!$AB$176),TEXT(EDATE($D83,Milestones!$AA$176),"dd/mm/yy")&amp;" "&amp;Milestones!$AB$176&amp;" "&amp;Milestones!$AC$176&amp;";  ","")&amp;IF(AND(EDATE($D83,Milestones!$AA$177)&lt;=AsOfDate,IF($Q83=0,$W83,IF(AND($S83&lt;&gt;"",EDATE($D83,Milestones!$AA$177)&gt;=$S83),$V83,IF(AND($R83&lt;&gt;"",EDATE($D83,Milestones!$AA$177)&gt;=$R83),$U83,$T83)))=Milestones!$AB$177),TEXT(EDATE($D83,Milestones!$AA$177),"dd/mm/yy")&amp;" "&amp;Milestones!$AB$177&amp;" "&amp;Milestones!$AC$177&amp;";  ","")&amp;IF(AND(EDATE($D83,Milestones!$AA$178)&lt;=AsOfDate,IF($Q83=0,$W83,IF(AND($S83&lt;&gt;"",EDATE($D83,Milestones!$AA$178)&gt;=$S83),$V83,IF(AND($R83&lt;&gt;"",EDATE($D83,Milestones!$AA$178)&gt;=$R83),$U83,$T83)))=Milestones!$AB$178),TEXT(EDATE($D83,Milestones!$AA$178),"dd/mm/yy")&amp;" "&amp;Milestones!$AB$178&amp;" "&amp;Milestones!$AC$178&amp;";  ","")&amp;IF(AND(EDATE($D83,Milestones!$AA$179)&lt;=AsOfDate,IF($Q83=0,$W83,IF(AND($S83&lt;&gt;"",EDATE($D83,Milestones!$AA$179)&gt;=$S83),$V83,IF(AND($R83&lt;&gt;"",EDATE($D83,Milestones!$AA$179)&gt;=$R83),$U83,$T83)))=Milestones!$AB$179),TEXT(EDATE($D83,Milestones!$AA$179),"dd/mm/yy")&amp;" "&amp;Milestones!$AB$179&amp;" "&amp;Milestones!$AC$179&amp;";  ",""))</f>
        <v/>
      </c>
      <c r="P83" s="0" t="str">
        <f aca="false">IF(OR($A83="",$D83=""),"",IF(AND(EDATE($D83,Milestones!$AA$180)&lt;=AsOfDate,IF($Q83=0,$W83,IF(AND($S83&lt;&gt;"",EDATE($D83,Milestones!$AA$180)&gt;=$S83),$V83,IF(AND($R83&lt;&gt;"",EDATE($D83,Milestones!$AA$180)&gt;=$R83),$U83,$T83)))=Milestones!$AB$180),TEXT(EDATE($D83,Milestones!$AA$180),"dd/mm/yy")&amp;" "&amp;Milestones!$AB$180&amp;" "&amp;Milestones!$AC$180&amp;";  ","")&amp;IF(AND(EDATE($D83,Milestones!$AA$181)&lt;=AsOfDate,IF($Q83=0,$W83,IF(AND($S83&lt;&gt;"",EDATE($D83,Milestones!$AA$181)&gt;=$S83),$V83,IF(AND($R83&lt;&gt;"",EDATE($D83,Milestones!$AA$181)&gt;=$R83),$U83,$T83)))=Milestones!$AB$181),TEXT(EDATE($D83,Milestones!$AA$181),"dd/mm/yy")&amp;" "&amp;Milestones!$AB$181&amp;" "&amp;Milestones!$AC$181&amp;";  ","")&amp;IF(AND(EDATE($D83,Milestones!$AA$182)&lt;=AsOfDate,IF($Q83=0,$W83,IF(AND($S83&lt;&gt;"",EDATE($D83,Milestones!$AA$182)&gt;=$S83),$V83,IF(AND($R83&lt;&gt;"",EDATE($D83,Milestones!$AA$182)&gt;=$R83),$U83,$T83)))=Milestones!$AB$182),TEXT(EDATE($D83,Milestones!$AA$182),"dd/mm/yy")&amp;" "&amp;Milestones!$AB$182&amp;" "&amp;Milestones!$AC$182&amp;";  ","")&amp;IF(AND(EDATE($D83,Milestones!$AA$183)&lt;=AsOfDate,IF($Q83=0,$W83,IF(AND($S83&lt;&gt;"",EDATE($D83,Milestones!$AA$183)&gt;=$S83),$V83,IF(AND($R83&lt;&gt;"",EDATE($D83,Milestones!$AA$183)&gt;=$R83),$U83,$T83)))=Milestones!$AB$183),TEXT(EDATE($D83,Milestones!$AA$183),"dd/mm/yy")&amp;" "&amp;Milestones!$AB$183&amp;" "&amp;Milestones!$AC$183&amp;";  ","")&amp;IF(AND(EDATE($D83,Milestones!$AA$184)&lt;=AsOfDate,IF($Q83=0,$W83,IF(AND($S83&lt;&gt;"",EDATE($D83,Milestones!$AA$184)&gt;=$S83),$V83,IF(AND($R83&lt;&gt;"",EDATE($D83,Milestones!$AA$184)&gt;=$R83),$U83,$T83)))=Milestones!$AB$184),TEXT(EDATE($D83,Milestones!$AA$184),"dd/mm/yy")&amp;" "&amp;Milestones!$AB$184&amp;" "&amp;Milestones!$AC$184&amp;";  ","")&amp;IF(AND(EDATE($D83,Milestones!$AA$185)&lt;=AsOfDate,IF($Q83=0,$W83,IF(AND($S83&lt;&gt;"",EDATE($D83,Milestones!$AA$185)&gt;=$S83),$V83,IF(AND($R83&lt;&gt;"",EDATE($D83,Milestones!$AA$185)&gt;=$R83),$U83,$T83)))=Milestones!$AB$185),TEXT(EDATE($D83,Milestones!$AA$185),"dd/mm/yy")&amp;" "&amp;Milestones!$AB$185&amp;" "&amp;Milestones!$AC$185&amp;";  ","")&amp;IF(AND(EDATE($D83,Milestones!$AA$186)&lt;=AsOfDate,IF($Q83=0,$W83,IF(AND($S83&lt;&gt;"",EDATE($D83,Milestones!$AA$186)&gt;=$S83),$V83,IF(AND($R83&lt;&gt;"",EDATE($D83,Milestones!$AA$186)&gt;=$R83),$U83,$T83)))=Milestones!$AB$186),TEXT(EDATE($D83,Milestones!$AA$186),"dd/mm/yy")&amp;" "&amp;Milestones!$AB$186&amp;" "&amp;Milestones!$AC$186&amp;";  ","")&amp;IF(AND(EDATE($D83,Milestones!$AA$187)&lt;=AsOfDate,IF($Q83=0,$W83,IF(AND($S83&lt;&gt;"",EDATE($D83,Milestones!$AA$187)&gt;=$S83),$V83,IF(AND($R83&lt;&gt;"",EDATE($D83,Milestones!$AA$187)&gt;=$R83),$U83,$T83)))=Milestones!$AB$187),TEXT(EDATE($D83,Milestones!$AA$187),"dd/mm/yy")&amp;" "&amp;Milestones!$AB$187&amp;" "&amp;Milestones!$AC$187&amp;";  ","")&amp;IF(AND(EDATE($D83,Milestones!$AA$188)&lt;=AsOfDate,IF($Q83=0,$W83,IF(AND($S83&lt;&gt;"",EDATE($D83,Milestones!$AA$188)&gt;=$S83),$V83,IF(AND($R83&lt;&gt;"",EDATE($D83,Milestones!$AA$188)&gt;=$R83),$U83,$T83)))=Milestones!$AB$188),TEXT(EDATE($D83,Milestones!$AA$188),"dd/mm/yy")&amp;" "&amp;Milestones!$AB$188&amp;" "&amp;Milestones!$AC$188&amp;";  ","")&amp;IF(AND(EDATE($D83,Milestones!$AA$189)&lt;=AsOfDate,IF($Q83=0,$W83,IF(AND($S83&lt;&gt;"",EDATE($D83,Milestones!$AA$189)&gt;=$S83),$V83,IF(AND($R83&lt;&gt;"",EDATE($D83,Milestones!$AA$189)&gt;=$R83),$U83,$T83)))=Milestones!$AB$189),TEXT(EDATE($D83,Milestones!$AA$189),"dd/mm/yy")&amp;" "&amp;Milestones!$AB$189&amp;" "&amp;Milestones!$AC$189&amp;";  ","")&amp;IF(AND(EDATE($D83,Milestones!$AA$190)&lt;=AsOfDate,IF($Q83=0,$W83,IF(AND($S83&lt;&gt;"",EDATE($D83,Milestones!$AA$190)&gt;=$S83),$V83,IF(AND($R83&lt;&gt;"",EDATE($D83,Milestones!$AA$190)&gt;=$R83),$U83,$T83)))=Milestones!$AB$190),TEXT(EDATE($D83,Milestones!$AA$190),"dd/mm/yy")&amp;" "&amp;Milestones!$AB$190&amp;" "&amp;Milestones!$AC$190&amp;";  ","")&amp;IF(AND(EDATE($D83,Milestones!$AA$191)&lt;=AsOfDate,IF($Q83=0,$W83,IF(AND($S83&lt;&gt;"",EDATE($D83,Milestones!$AA$191)&gt;=$S83),$V83,IF(AND($R83&lt;&gt;"",EDATE($D83,Milestones!$AA$191)&gt;=$R83),$U83,$T83)))=Milestones!$AB$191),TEXT(EDATE($D83,Milestones!$AA$191),"dd/mm/yy")&amp;" "&amp;Milestones!$AB$191&amp;" "&amp;Milestones!$AC$191&amp;";  ","")&amp;IF(AND(EDATE($D83,Milestones!$AA$192)&lt;=AsOfDate,IF($Q83=0,$W83,IF(AND($S83&lt;&gt;"",EDATE($D83,Milestones!$AA$192)&gt;=$S83),$V83,IF(AND($R83&lt;&gt;"",EDATE($D83,Milestones!$AA$192)&gt;=$R83),$U83,$T83)))=Milestones!$AB$192),TEXT(EDATE($D83,Milestones!$AA$192),"dd/mm/yy")&amp;" "&amp;Milestones!$AB$192&amp;" "&amp;Milestones!$AC$192&amp;";  ","")&amp;IF(AND(EDATE($D83,Milestones!$AA$193)&lt;=AsOfDate,IF($Q83=0,$W83,IF(AND($S83&lt;&gt;"",EDATE($D83,Milestones!$AA$193)&gt;=$S83),$V83,IF(AND($R83&lt;&gt;"",EDATE($D83,Milestones!$AA$193)&gt;=$R83),$U83,$T83)))=Milestones!$AB$193),TEXT(EDATE($D83,Milestones!$AA$193),"dd/mm/yy")&amp;" "&amp;Milestones!$AB$193&amp;" "&amp;Milestones!$AC$193&amp;";  ","")&amp;IF(AND(EDATE($D83,Milestones!$AA$194)&lt;=AsOfDate,IF($Q83=0,$W83,IF(AND($S83&lt;&gt;"",EDATE($D83,Milestones!$AA$194)&gt;=$S83),$V83,IF(AND($R83&lt;&gt;"",EDATE($D83,Milestones!$AA$194)&gt;=$R83),$U83,$T83)))=Milestones!$AB$194),TEXT(EDATE($D83,Milestones!$AA$194),"dd/mm/yy")&amp;" "&amp;Milestones!$AB$194&amp;" "&amp;Milestones!$AC$194&amp;";  ","")&amp;IF(AND(EDATE($D83,Milestones!$AA$195)&lt;=AsOfDate,IF($Q83=0,$W83,IF(AND($S83&lt;&gt;"",EDATE($D83,Milestones!$AA$195)&gt;=$S83),$V83,IF(AND($R83&lt;&gt;"",EDATE($D83,Milestones!$AA$195)&gt;=$R83),$U83,$T83)))=Milestones!$AB$195),TEXT(EDATE($D83,Milestones!$AA$195),"dd/mm/yy")&amp;" "&amp;Milestones!$AB$195&amp;" "&amp;Milestones!$AC$195&amp;";  ","")&amp;IF(AND(EDATE($D83,Milestones!$AA$196)&lt;=AsOfDate,IF($Q83=0,$W83,IF(AND($S83&lt;&gt;"",EDATE($D83,Milestones!$AA$196)&gt;=$S83),$V83,IF(AND($R83&lt;&gt;"",EDATE($D83,Milestones!$AA$196)&gt;=$R83),$U83,$T83)))=Milestones!$AB$196),TEXT(EDATE($D83,Milestones!$AA$196),"dd/mm/yy")&amp;" "&amp;Milestones!$AB$196&amp;" "&amp;Milestones!$AC$196&amp;";  ","")&amp;IF(AND(EDATE($D83,Milestones!$AA$197)&lt;=AsOfDate,IF($Q83=0,$W83,IF(AND($S83&lt;&gt;"",EDATE($D83,Milestones!$AA$197)&gt;=$S83),$V83,IF(AND($R83&lt;&gt;"",EDATE($D83,Milestones!$AA$197)&gt;=$R83),$U83,$T83)))=Milestones!$AB$197),TEXT(EDATE($D83,Milestones!$AA$197),"dd/mm/yy")&amp;" "&amp;Milestones!$AB$197&amp;" "&amp;Milestones!$AC$197&amp;";  ","")&amp;IF(AND(EDATE($D83,Milestones!$AA$198)&lt;=AsOfDate,IF($Q83=0,$W83,IF(AND($S83&lt;&gt;"",EDATE($D83,Milestones!$AA$198)&gt;=$S83),$V83,IF(AND($R83&lt;&gt;"",EDATE($D83,Milestones!$AA$198)&gt;=$R83),$U83,$T83)))=Milestones!$AB$198),TEXT(EDATE($D83,Milestones!$AA$198),"dd/mm/yy")&amp;" "&amp;Milestones!$AB$198&amp;" "&amp;Milestones!$AC$198&amp;";  ","")&amp;IF(AND(EDATE($D83,Milestones!$AA$199)&lt;=AsOfDate,IF($Q83=0,$W83,IF(AND($S83&lt;&gt;"",EDATE($D83,Milestones!$AA$199)&gt;=$S83),$V83,IF(AND($R83&lt;&gt;"",EDATE($D83,Milestones!$AA$199)&gt;=$R83),$U83,$T83)))=Milestones!$AB$199),TEXT(EDATE($D83,Milestones!$AA$199),"dd/mm/yy")&amp;" "&amp;Milestones!$AB$199&amp;" "&amp;Milestones!$AC$199&amp;";  ",""))</f>
        <v/>
      </c>
      <c r="Q83" s="0" t="str">
        <f aca="false">IF(Staff!$A83="","",Staff!$AG83)</f>
        <v/>
      </c>
      <c r="R83" s="0" t="str">
        <f aca="false">IF(Staff!$A83="","",Staff!$AI83)</f>
        <v/>
      </c>
      <c r="S83" s="0" t="str">
        <f aca="false">IF(Staff!$A83="","",Staff!$AJ83)</f>
        <v/>
      </c>
      <c r="T83" s="0" t="str">
        <f aca="false">IF(Staff!$A83="","",Staff!$AN83)</f>
        <v/>
      </c>
      <c r="U83" s="0" t="str">
        <f aca="false">IF(Staff!$A83="","",Staff!$AO83)</f>
        <v/>
      </c>
      <c r="V83" s="0" t="str">
        <f aca="false">IF(Staff!$A83="","",Staff!$AP83)</f>
        <v/>
      </c>
      <c r="W83" s="0" t="str">
        <f aca="false">IF(Staff!$A83="","",Staff!$AQ83)</f>
        <v/>
      </c>
    </row>
    <row r="84" customFormat="false" ht="15" hidden="false" customHeight="false" outlineLevel="0" collapsed="false">
      <c r="A84" s="13" t="str">
        <f aca="false">IF(Staff!$A84="","",Staff!$A84)</f>
        <v/>
      </c>
      <c r="B84" s="13" t="str">
        <f aca="false">IF(Staff!$A84="","",Staff!$B84)</f>
        <v/>
      </c>
      <c r="C84" s="13" t="str">
        <f aca="false">IF(Staff!$A84="","",Staff!$C84)</f>
        <v/>
      </c>
      <c r="D84" s="11" t="str">
        <f aca="false">IF(Staff!$A84="","",Staff!$AF84)</f>
        <v/>
      </c>
      <c r="E84" s="13" t="str">
        <f aca="false">IF(Staff!$A84="","",Staff!$O84)</f>
        <v/>
      </c>
      <c r="F84" s="13" t="str">
        <f aca="false">IF(E84="","",E84*HoursPerDay)</f>
        <v/>
      </c>
      <c r="G84" s="26" t="str">
        <f aca="false">IF($A84="","",H84&amp;I84&amp;J84&amp;K84&amp;L84&amp;M84&amp;N84&amp;O84&amp;P84)</f>
        <v/>
      </c>
      <c r="H84" s="0" t="str">
        <f aca="false">IF(OR($A84="",$D84=""),"",IF(AND(EDATE($D84,Milestones!$AA$20)&lt;=AsOfDate,IF($Q84=0,$W84,IF(AND($S84&lt;&gt;"",EDATE($D84,Milestones!$AA$20)&gt;=$S84),$V84,IF(AND($R84&lt;&gt;"",EDATE($D84,Milestones!$AA$20)&gt;=$R84),$U84,$T84)))=Milestones!$AB$20),TEXT(EDATE($D84,Milestones!$AA$20),"dd/mm/yy")&amp;" "&amp;Milestones!$AB$20&amp;" "&amp;Milestones!$AC$20&amp;";  ","")&amp;IF(AND(EDATE($D84,Milestones!$AA$21)&lt;=AsOfDate,IF($Q84=0,$W84,IF(AND($S84&lt;&gt;"",EDATE($D84,Milestones!$AA$21)&gt;=$S84),$V84,IF(AND($R84&lt;&gt;"",EDATE($D84,Milestones!$AA$21)&gt;=$R84),$U84,$T84)))=Milestones!$AB$21),TEXT(EDATE($D84,Milestones!$AA$21),"dd/mm/yy")&amp;" "&amp;Milestones!$AB$21&amp;" "&amp;Milestones!$AC$21&amp;";  ","")&amp;IF(AND(EDATE($D84,Milestones!$AA$22)&lt;=AsOfDate,IF($Q84=0,$W84,IF(AND($S84&lt;&gt;"",EDATE($D84,Milestones!$AA$22)&gt;=$S84),$V84,IF(AND($R84&lt;&gt;"",EDATE($D84,Milestones!$AA$22)&gt;=$R84),$U84,$T84)))=Milestones!$AB$22),TEXT(EDATE($D84,Milestones!$AA$22),"dd/mm/yy")&amp;" "&amp;Milestones!$AB$22&amp;" "&amp;Milestones!$AC$22&amp;";  ","")&amp;IF(AND(EDATE($D84,Milestones!$AA$23)&lt;=AsOfDate,IF($Q84=0,$W84,IF(AND($S84&lt;&gt;"",EDATE($D84,Milestones!$AA$23)&gt;=$S84),$V84,IF(AND($R84&lt;&gt;"",EDATE($D84,Milestones!$AA$23)&gt;=$R84),$U84,$T84)))=Milestones!$AB$23),TEXT(EDATE($D84,Milestones!$AA$23),"dd/mm/yy")&amp;" "&amp;Milestones!$AB$23&amp;" "&amp;Milestones!$AC$23&amp;";  ","")&amp;IF(AND(EDATE($D84,Milestones!$AA$24)&lt;=AsOfDate,IF($Q84=0,$W84,IF(AND($S84&lt;&gt;"",EDATE($D84,Milestones!$AA$24)&gt;=$S84),$V84,IF(AND($R84&lt;&gt;"",EDATE($D84,Milestones!$AA$24)&gt;=$R84),$U84,$T84)))=Milestones!$AB$24),TEXT(EDATE($D84,Milestones!$AA$24),"dd/mm/yy")&amp;" "&amp;Milestones!$AB$24&amp;" "&amp;Milestones!$AC$24&amp;";  ","")&amp;IF(AND(EDATE($D84,Milestones!$AA$25)&lt;=AsOfDate,IF($Q84=0,$W84,IF(AND($S84&lt;&gt;"",EDATE($D84,Milestones!$AA$25)&gt;=$S84),$V84,IF(AND($R84&lt;&gt;"",EDATE($D84,Milestones!$AA$25)&gt;=$R84),$U84,$T84)))=Milestones!$AB$25),TEXT(EDATE($D84,Milestones!$AA$25),"dd/mm/yy")&amp;" "&amp;Milestones!$AB$25&amp;" "&amp;Milestones!$AC$25&amp;";  ","")&amp;IF(AND(EDATE($D84,Milestones!$AA$26)&lt;=AsOfDate,IF($Q84=0,$W84,IF(AND($S84&lt;&gt;"",EDATE($D84,Milestones!$AA$26)&gt;=$S84),$V84,IF(AND($R84&lt;&gt;"",EDATE($D84,Milestones!$AA$26)&gt;=$R84),$U84,$T84)))=Milestones!$AB$26),TEXT(EDATE($D84,Milestones!$AA$26),"dd/mm/yy")&amp;" "&amp;Milestones!$AB$26&amp;" "&amp;Milestones!$AC$26&amp;";  ","")&amp;IF(AND(EDATE($D84,Milestones!$AA$27)&lt;=AsOfDate,IF($Q84=0,$W84,IF(AND($S84&lt;&gt;"",EDATE($D84,Milestones!$AA$27)&gt;=$S84),$V84,IF(AND($R84&lt;&gt;"",EDATE($D84,Milestones!$AA$27)&gt;=$R84),$U84,$T84)))=Milestones!$AB$27),TEXT(EDATE($D84,Milestones!$AA$27),"dd/mm/yy")&amp;" "&amp;Milestones!$AB$27&amp;" "&amp;Milestones!$AC$27&amp;";  ","")&amp;IF(AND(EDATE($D84,Milestones!$AA$28)&lt;=AsOfDate,IF($Q84=0,$W84,IF(AND($S84&lt;&gt;"",EDATE($D84,Milestones!$AA$28)&gt;=$S84),$V84,IF(AND($R84&lt;&gt;"",EDATE($D84,Milestones!$AA$28)&gt;=$R84),$U84,$T84)))=Milestones!$AB$28),TEXT(EDATE($D84,Milestones!$AA$28),"dd/mm/yy")&amp;" "&amp;Milestones!$AB$28&amp;" "&amp;Milestones!$AC$28&amp;";  ","")&amp;IF(AND(EDATE($D84,Milestones!$AA$29)&lt;=AsOfDate,IF($Q84=0,$W84,IF(AND($S84&lt;&gt;"",EDATE($D84,Milestones!$AA$29)&gt;=$S84),$V84,IF(AND($R84&lt;&gt;"",EDATE($D84,Milestones!$AA$29)&gt;=$R84),$U84,$T84)))=Milestones!$AB$29),TEXT(EDATE($D84,Milestones!$AA$29),"dd/mm/yy")&amp;" "&amp;Milestones!$AB$29&amp;" "&amp;Milestones!$AC$29&amp;";  ","")&amp;IF(AND(EDATE($D84,Milestones!$AA$30)&lt;=AsOfDate,IF($Q84=0,$W84,IF(AND($S84&lt;&gt;"",EDATE($D84,Milestones!$AA$30)&gt;=$S84),$V84,IF(AND($R84&lt;&gt;"",EDATE($D84,Milestones!$AA$30)&gt;=$R84),$U84,$T84)))=Milestones!$AB$30),TEXT(EDATE($D84,Milestones!$AA$30),"dd/mm/yy")&amp;" "&amp;Milestones!$AB$30&amp;" "&amp;Milestones!$AC$30&amp;";  ","")&amp;IF(AND(EDATE($D84,Milestones!$AA$31)&lt;=AsOfDate,IF($Q84=0,$W84,IF(AND($S84&lt;&gt;"",EDATE($D84,Milestones!$AA$31)&gt;=$S84),$V84,IF(AND($R84&lt;&gt;"",EDATE($D84,Milestones!$AA$31)&gt;=$R84),$U84,$T84)))=Milestones!$AB$31),TEXT(EDATE($D84,Milestones!$AA$31),"dd/mm/yy")&amp;" "&amp;Milestones!$AB$31&amp;" "&amp;Milestones!$AC$31&amp;";  ","")&amp;IF(AND(EDATE($D84,Milestones!$AA$32)&lt;=AsOfDate,IF($Q84=0,$W84,IF(AND($S84&lt;&gt;"",EDATE($D84,Milestones!$AA$32)&gt;=$S84),$V84,IF(AND($R84&lt;&gt;"",EDATE($D84,Milestones!$AA$32)&gt;=$R84),$U84,$T84)))=Milestones!$AB$32),TEXT(EDATE($D84,Milestones!$AA$32),"dd/mm/yy")&amp;" "&amp;Milestones!$AB$32&amp;" "&amp;Milestones!$AC$32&amp;";  ","")&amp;IF(AND(EDATE($D84,Milestones!$AA$33)&lt;=AsOfDate,IF($Q84=0,$W84,IF(AND($S84&lt;&gt;"",EDATE($D84,Milestones!$AA$33)&gt;=$S84),$V84,IF(AND($R84&lt;&gt;"",EDATE($D84,Milestones!$AA$33)&gt;=$R84),$U84,$T84)))=Milestones!$AB$33),TEXT(EDATE($D84,Milestones!$AA$33),"dd/mm/yy")&amp;" "&amp;Milestones!$AB$33&amp;" "&amp;Milestones!$AC$33&amp;";  ","")&amp;IF(AND(EDATE($D84,Milestones!$AA$34)&lt;=AsOfDate,IF($Q84=0,$W84,IF(AND($S84&lt;&gt;"",EDATE($D84,Milestones!$AA$34)&gt;=$S84),$V84,IF(AND($R84&lt;&gt;"",EDATE($D84,Milestones!$AA$34)&gt;=$R84),$U84,$T84)))=Milestones!$AB$34),TEXT(EDATE($D84,Milestones!$AA$34),"dd/mm/yy")&amp;" "&amp;Milestones!$AB$34&amp;" "&amp;Milestones!$AC$34&amp;";  ","")&amp;IF(AND(EDATE($D84,Milestones!$AA$35)&lt;=AsOfDate,IF($Q84=0,$W84,IF(AND($S84&lt;&gt;"",EDATE($D84,Milestones!$AA$35)&gt;=$S84),$V84,IF(AND($R84&lt;&gt;"",EDATE($D84,Milestones!$AA$35)&gt;=$R84),$U84,$T84)))=Milestones!$AB$35),TEXT(EDATE($D84,Milestones!$AA$35),"dd/mm/yy")&amp;" "&amp;Milestones!$AB$35&amp;" "&amp;Milestones!$AC$35&amp;";  ","")&amp;IF(AND(EDATE($D84,Milestones!$AA$36)&lt;=AsOfDate,IF($Q84=0,$W84,IF(AND($S84&lt;&gt;"",EDATE($D84,Milestones!$AA$36)&gt;=$S84),$V84,IF(AND($R84&lt;&gt;"",EDATE($D84,Milestones!$AA$36)&gt;=$R84),$U84,$T84)))=Milestones!$AB$36),TEXT(EDATE($D84,Milestones!$AA$36),"dd/mm/yy")&amp;" "&amp;Milestones!$AB$36&amp;" "&amp;Milestones!$AC$36&amp;";  ","")&amp;IF(AND(EDATE($D84,Milestones!$AA$37)&lt;=AsOfDate,IF($Q84=0,$W84,IF(AND($S84&lt;&gt;"",EDATE($D84,Milestones!$AA$37)&gt;=$S84),$V84,IF(AND($R84&lt;&gt;"",EDATE($D84,Milestones!$AA$37)&gt;=$R84),$U84,$T84)))=Milestones!$AB$37),TEXT(EDATE($D84,Milestones!$AA$37),"dd/mm/yy")&amp;" "&amp;Milestones!$AB$37&amp;" "&amp;Milestones!$AC$37&amp;";  ","")&amp;IF(AND(EDATE($D84,Milestones!$AA$38)&lt;=AsOfDate,IF($Q84=0,$W84,IF(AND($S84&lt;&gt;"",EDATE($D84,Milestones!$AA$38)&gt;=$S84),$V84,IF(AND($R84&lt;&gt;"",EDATE($D84,Milestones!$AA$38)&gt;=$R84),$U84,$T84)))=Milestones!$AB$38),TEXT(EDATE($D84,Milestones!$AA$38),"dd/mm/yy")&amp;" "&amp;Milestones!$AB$38&amp;" "&amp;Milestones!$AC$38&amp;";  ","")&amp;IF(AND(EDATE($D84,Milestones!$AA$39)&lt;=AsOfDate,IF($Q84=0,$W84,IF(AND($S84&lt;&gt;"",EDATE($D84,Milestones!$AA$39)&gt;=$S84),$V84,IF(AND($R84&lt;&gt;"",EDATE($D84,Milestones!$AA$39)&gt;=$R84),$U84,$T84)))=Milestones!$AB$39),TEXT(EDATE($D84,Milestones!$AA$39),"dd/mm/yy")&amp;" "&amp;Milestones!$AB$39&amp;" "&amp;Milestones!$AC$39&amp;";  ",""))</f>
        <v/>
      </c>
      <c r="I84" s="0" t="str">
        <f aca="false">IF(OR($A84="",$D84=""),"",IF(AND(EDATE($D84,Milestones!$AA$40)&lt;=AsOfDate,IF($Q84=0,$W84,IF(AND($S84&lt;&gt;"",EDATE($D84,Milestones!$AA$40)&gt;=$S84),$V84,IF(AND($R84&lt;&gt;"",EDATE($D84,Milestones!$AA$40)&gt;=$R84),$U84,$T84)))=Milestones!$AB$40),TEXT(EDATE($D84,Milestones!$AA$40),"dd/mm/yy")&amp;" "&amp;Milestones!$AB$40&amp;" "&amp;Milestones!$AC$40&amp;";  ","")&amp;IF(AND(EDATE($D84,Milestones!$AA$41)&lt;=AsOfDate,IF($Q84=0,$W84,IF(AND($S84&lt;&gt;"",EDATE($D84,Milestones!$AA$41)&gt;=$S84),$V84,IF(AND($R84&lt;&gt;"",EDATE($D84,Milestones!$AA$41)&gt;=$R84),$U84,$T84)))=Milestones!$AB$41),TEXT(EDATE($D84,Milestones!$AA$41),"dd/mm/yy")&amp;" "&amp;Milestones!$AB$41&amp;" "&amp;Milestones!$AC$41&amp;";  ","")&amp;IF(AND(EDATE($D84,Milestones!$AA$42)&lt;=AsOfDate,IF($Q84=0,$W84,IF(AND($S84&lt;&gt;"",EDATE($D84,Milestones!$AA$42)&gt;=$S84),$V84,IF(AND($R84&lt;&gt;"",EDATE($D84,Milestones!$AA$42)&gt;=$R84),$U84,$T84)))=Milestones!$AB$42),TEXT(EDATE($D84,Milestones!$AA$42),"dd/mm/yy")&amp;" "&amp;Milestones!$AB$42&amp;" "&amp;Milestones!$AC$42&amp;";  ","")&amp;IF(AND(EDATE($D84,Milestones!$AA$43)&lt;=AsOfDate,IF($Q84=0,$W84,IF(AND($S84&lt;&gt;"",EDATE($D84,Milestones!$AA$43)&gt;=$S84),$V84,IF(AND($R84&lt;&gt;"",EDATE($D84,Milestones!$AA$43)&gt;=$R84),$U84,$T84)))=Milestones!$AB$43),TEXT(EDATE($D84,Milestones!$AA$43),"dd/mm/yy")&amp;" "&amp;Milestones!$AB$43&amp;" "&amp;Milestones!$AC$43&amp;";  ","")&amp;IF(AND(EDATE($D84,Milestones!$AA$44)&lt;=AsOfDate,IF($Q84=0,$W84,IF(AND($S84&lt;&gt;"",EDATE($D84,Milestones!$AA$44)&gt;=$S84),$V84,IF(AND($R84&lt;&gt;"",EDATE($D84,Milestones!$AA$44)&gt;=$R84),$U84,$T84)))=Milestones!$AB$44),TEXT(EDATE($D84,Milestones!$AA$44),"dd/mm/yy")&amp;" "&amp;Milestones!$AB$44&amp;" "&amp;Milestones!$AC$44&amp;";  ","")&amp;IF(AND(EDATE($D84,Milestones!$AA$45)&lt;=AsOfDate,IF($Q84=0,$W84,IF(AND($S84&lt;&gt;"",EDATE($D84,Milestones!$AA$45)&gt;=$S84),$V84,IF(AND($R84&lt;&gt;"",EDATE($D84,Milestones!$AA$45)&gt;=$R84),$U84,$T84)))=Milestones!$AB$45),TEXT(EDATE($D84,Milestones!$AA$45),"dd/mm/yy")&amp;" "&amp;Milestones!$AB$45&amp;" "&amp;Milestones!$AC$45&amp;";  ","")&amp;IF(AND(EDATE($D84,Milestones!$AA$46)&lt;=AsOfDate,IF($Q84=0,$W84,IF(AND($S84&lt;&gt;"",EDATE($D84,Milestones!$AA$46)&gt;=$S84),$V84,IF(AND($R84&lt;&gt;"",EDATE($D84,Milestones!$AA$46)&gt;=$R84),$U84,$T84)))=Milestones!$AB$46),TEXT(EDATE($D84,Milestones!$AA$46),"dd/mm/yy")&amp;" "&amp;Milestones!$AB$46&amp;" "&amp;Milestones!$AC$46&amp;";  ","")&amp;IF(AND(EDATE($D84,Milestones!$AA$47)&lt;=AsOfDate,IF($Q84=0,$W84,IF(AND($S84&lt;&gt;"",EDATE($D84,Milestones!$AA$47)&gt;=$S84),$V84,IF(AND($R84&lt;&gt;"",EDATE($D84,Milestones!$AA$47)&gt;=$R84),$U84,$T84)))=Milestones!$AB$47),TEXT(EDATE($D84,Milestones!$AA$47),"dd/mm/yy")&amp;" "&amp;Milestones!$AB$47&amp;" "&amp;Milestones!$AC$47&amp;";  ","")&amp;IF(AND(EDATE($D84,Milestones!$AA$48)&lt;=AsOfDate,IF($Q84=0,$W84,IF(AND($S84&lt;&gt;"",EDATE($D84,Milestones!$AA$48)&gt;=$S84),$V84,IF(AND($R84&lt;&gt;"",EDATE($D84,Milestones!$AA$48)&gt;=$R84),$U84,$T84)))=Milestones!$AB$48),TEXT(EDATE($D84,Milestones!$AA$48),"dd/mm/yy")&amp;" "&amp;Milestones!$AB$48&amp;" "&amp;Milestones!$AC$48&amp;";  ","")&amp;IF(AND(EDATE($D84,Milestones!$AA$49)&lt;=AsOfDate,IF($Q84=0,$W84,IF(AND($S84&lt;&gt;"",EDATE($D84,Milestones!$AA$49)&gt;=$S84),$V84,IF(AND($R84&lt;&gt;"",EDATE($D84,Milestones!$AA$49)&gt;=$R84),$U84,$T84)))=Milestones!$AB$49),TEXT(EDATE($D84,Milestones!$AA$49),"dd/mm/yy")&amp;" "&amp;Milestones!$AB$49&amp;" "&amp;Milestones!$AC$49&amp;";  ","")&amp;IF(AND(EDATE($D84,Milestones!$AA$50)&lt;=AsOfDate,IF($Q84=0,$W84,IF(AND($S84&lt;&gt;"",EDATE($D84,Milestones!$AA$50)&gt;=$S84),$V84,IF(AND($R84&lt;&gt;"",EDATE($D84,Milestones!$AA$50)&gt;=$R84),$U84,$T84)))=Milestones!$AB$50),TEXT(EDATE($D84,Milestones!$AA$50),"dd/mm/yy")&amp;" "&amp;Milestones!$AB$50&amp;" "&amp;Milestones!$AC$50&amp;";  ","")&amp;IF(AND(EDATE($D84,Milestones!$AA$51)&lt;=AsOfDate,IF($Q84=0,$W84,IF(AND($S84&lt;&gt;"",EDATE($D84,Milestones!$AA$51)&gt;=$S84),$V84,IF(AND($R84&lt;&gt;"",EDATE($D84,Milestones!$AA$51)&gt;=$R84),$U84,$T84)))=Milestones!$AB$51),TEXT(EDATE($D84,Milestones!$AA$51),"dd/mm/yy")&amp;" "&amp;Milestones!$AB$51&amp;" "&amp;Milestones!$AC$51&amp;";  ","")&amp;IF(AND(EDATE($D84,Milestones!$AA$52)&lt;=AsOfDate,IF($Q84=0,$W84,IF(AND($S84&lt;&gt;"",EDATE($D84,Milestones!$AA$52)&gt;=$S84),$V84,IF(AND($R84&lt;&gt;"",EDATE($D84,Milestones!$AA$52)&gt;=$R84),$U84,$T84)))=Milestones!$AB$52),TEXT(EDATE($D84,Milestones!$AA$52),"dd/mm/yy")&amp;" "&amp;Milestones!$AB$52&amp;" "&amp;Milestones!$AC$52&amp;";  ","")&amp;IF(AND(EDATE($D84,Milestones!$AA$53)&lt;=AsOfDate,IF($Q84=0,$W84,IF(AND($S84&lt;&gt;"",EDATE($D84,Milestones!$AA$53)&gt;=$S84),$V84,IF(AND($R84&lt;&gt;"",EDATE($D84,Milestones!$AA$53)&gt;=$R84),$U84,$T84)))=Milestones!$AB$53),TEXT(EDATE($D84,Milestones!$AA$53),"dd/mm/yy")&amp;" "&amp;Milestones!$AB$53&amp;" "&amp;Milestones!$AC$53&amp;";  ","")&amp;IF(AND(EDATE($D84,Milestones!$AA$54)&lt;=AsOfDate,IF($Q84=0,$W84,IF(AND($S84&lt;&gt;"",EDATE($D84,Milestones!$AA$54)&gt;=$S84),$V84,IF(AND($R84&lt;&gt;"",EDATE($D84,Milestones!$AA$54)&gt;=$R84),$U84,$T84)))=Milestones!$AB$54),TEXT(EDATE($D84,Milestones!$AA$54),"dd/mm/yy")&amp;" "&amp;Milestones!$AB$54&amp;" "&amp;Milestones!$AC$54&amp;";  ","")&amp;IF(AND(EDATE($D84,Milestones!$AA$55)&lt;=AsOfDate,IF($Q84=0,$W84,IF(AND($S84&lt;&gt;"",EDATE($D84,Milestones!$AA$55)&gt;=$S84),$V84,IF(AND($R84&lt;&gt;"",EDATE($D84,Milestones!$AA$55)&gt;=$R84),$U84,$T84)))=Milestones!$AB$55),TEXT(EDATE($D84,Milestones!$AA$55),"dd/mm/yy")&amp;" "&amp;Milestones!$AB$55&amp;" "&amp;Milestones!$AC$55&amp;";  ","")&amp;IF(AND(EDATE($D84,Milestones!$AA$56)&lt;=AsOfDate,IF($Q84=0,$W84,IF(AND($S84&lt;&gt;"",EDATE($D84,Milestones!$AA$56)&gt;=$S84),$V84,IF(AND($R84&lt;&gt;"",EDATE($D84,Milestones!$AA$56)&gt;=$R84),$U84,$T84)))=Milestones!$AB$56),TEXT(EDATE($D84,Milestones!$AA$56),"dd/mm/yy")&amp;" "&amp;Milestones!$AB$56&amp;" "&amp;Milestones!$AC$56&amp;";  ","")&amp;IF(AND(EDATE($D84,Milestones!$AA$57)&lt;=AsOfDate,IF($Q84=0,$W84,IF(AND($S84&lt;&gt;"",EDATE($D84,Milestones!$AA$57)&gt;=$S84),$V84,IF(AND($R84&lt;&gt;"",EDATE($D84,Milestones!$AA$57)&gt;=$R84),$U84,$T84)))=Milestones!$AB$57),TEXT(EDATE($D84,Milestones!$AA$57),"dd/mm/yy")&amp;" "&amp;Milestones!$AB$57&amp;" "&amp;Milestones!$AC$57&amp;";  ","")&amp;IF(AND(EDATE($D84,Milestones!$AA$58)&lt;=AsOfDate,IF($Q84=0,$W84,IF(AND($S84&lt;&gt;"",EDATE($D84,Milestones!$AA$58)&gt;=$S84),$V84,IF(AND($R84&lt;&gt;"",EDATE($D84,Milestones!$AA$58)&gt;=$R84),$U84,$T84)))=Milestones!$AB$58),TEXT(EDATE($D84,Milestones!$AA$58),"dd/mm/yy")&amp;" "&amp;Milestones!$AB$58&amp;" "&amp;Milestones!$AC$58&amp;";  ","")&amp;IF(AND(EDATE($D84,Milestones!$AA$59)&lt;=AsOfDate,IF($Q84=0,$W84,IF(AND($S84&lt;&gt;"",EDATE($D84,Milestones!$AA$59)&gt;=$S84),$V84,IF(AND($R84&lt;&gt;"",EDATE($D84,Milestones!$AA$59)&gt;=$R84),$U84,$T84)))=Milestones!$AB$59),TEXT(EDATE($D84,Milestones!$AA$59),"dd/mm/yy")&amp;" "&amp;Milestones!$AB$59&amp;" "&amp;Milestones!$AC$59&amp;";  ",""))</f>
        <v/>
      </c>
      <c r="J84" s="0" t="str">
        <f aca="false">IF(OR($A84="",$D84=""),"",IF(AND(EDATE($D84,Milestones!$AA$60)&lt;=AsOfDate,IF($Q84=0,$W84,IF(AND($S84&lt;&gt;"",EDATE($D84,Milestones!$AA$60)&gt;=$S84),$V84,IF(AND($R84&lt;&gt;"",EDATE($D84,Milestones!$AA$60)&gt;=$R84),$U84,$T84)))=Milestones!$AB$60),TEXT(EDATE($D84,Milestones!$AA$60),"dd/mm/yy")&amp;" "&amp;Milestones!$AB$60&amp;" "&amp;Milestones!$AC$60&amp;";  ","")&amp;IF(AND(EDATE($D84,Milestones!$AA$61)&lt;=AsOfDate,IF($Q84=0,$W84,IF(AND($S84&lt;&gt;"",EDATE($D84,Milestones!$AA$61)&gt;=$S84),$V84,IF(AND($R84&lt;&gt;"",EDATE($D84,Milestones!$AA$61)&gt;=$R84),$U84,$T84)))=Milestones!$AB$61),TEXT(EDATE($D84,Milestones!$AA$61),"dd/mm/yy")&amp;" "&amp;Milestones!$AB$61&amp;" "&amp;Milestones!$AC$61&amp;";  ","")&amp;IF(AND(EDATE($D84,Milestones!$AA$62)&lt;=AsOfDate,IF($Q84=0,$W84,IF(AND($S84&lt;&gt;"",EDATE($D84,Milestones!$AA$62)&gt;=$S84),$V84,IF(AND($R84&lt;&gt;"",EDATE($D84,Milestones!$AA$62)&gt;=$R84),$U84,$T84)))=Milestones!$AB$62),TEXT(EDATE($D84,Milestones!$AA$62),"dd/mm/yy")&amp;" "&amp;Milestones!$AB$62&amp;" "&amp;Milestones!$AC$62&amp;";  ","")&amp;IF(AND(EDATE($D84,Milestones!$AA$63)&lt;=AsOfDate,IF($Q84=0,$W84,IF(AND($S84&lt;&gt;"",EDATE($D84,Milestones!$AA$63)&gt;=$S84),$V84,IF(AND($R84&lt;&gt;"",EDATE($D84,Milestones!$AA$63)&gt;=$R84),$U84,$T84)))=Milestones!$AB$63),TEXT(EDATE($D84,Milestones!$AA$63),"dd/mm/yy")&amp;" "&amp;Milestones!$AB$63&amp;" "&amp;Milestones!$AC$63&amp;";  ","")&amp;IF(AND(EDATE($D84,Milestones!$AA$64)&lt;=AsOfDate,IF($Q84=0,$W84,IF(AND($S84&lt;&gt;"",EDATE($D84,Milestones!$AA$64)&gt;=$S84),$V84,IF(AND($R84&lt;&gt;"",EDATE($D84,Milestones!$AA$64)&gt;=$R84),$U84,$T84)))=Milestones!$AB$64),TEXT(EDATE($D84,Milestones!$AA$64),"dd/mm/yy")&amp;" "&amp;Milestones!$AB$64&amp;" "&amp;Milestones!$AC$64&amp;";  ","")&amp;IF(AND(EDATE($D84,Milestones!$AA$65)&lt;=AsOfDate,IF($Q84=0,$W84,IF(AND($S84&lt;&gt;"",EDATE($D84,Milestones!$AA$65)&gt;=$S84),$V84,IF(AND($R84&lt;&gt;"",EDATE($D84,Milestones!$AA$65)&gt;=$R84),$U84,$T84)))=Milestones!$AB$65),TEXT(EDATE($D84,Milestones!$AA$65),"dd/mm/yy")&amp;" "&amp;Milestones!$AB$65&amp;" "&amp;Milestones!$AC$65&amp;";  ","")&amp;IF(AND(EDATE($D84,Milestones!$AA$66)&lt;=AsOfDate,IF($Q84=0,$W84,IF(AND($S84&lt;&gt;"",EDATE($D84,Milestones!$AA$66)&gt;=$S84),$V84,IF(AND($R84&lt;&gt;"",EDATE($D84,Milestones!$AA$66)&gt;=$R84),$U84,$T84)))=Milestones!$AB$66),TEXT(EDATE($D84,Milestones!$AA$66),"dd/mm/yy")&amp;" "&amp;Milestones!$AB$66&amp;" "&amp;Milestones!$AC$66&amp;";  ","")&amp;IF(AND(EDATE($D84,Milestones!$AA$67)&lt;=AsOfDate,IF($Q84=0,$W84,IF(AND($S84&lt;&gt;"",EDATE($D84,Milestones!$AA$67)&gt;=$S84),$V84,IF(AND($R84&lt;&gt;"",EDATE($D84,Milestones!$AA$67)&gt;=$R84),$U84,$T84)))=Milestones!$AB$67),TEXT(EDATE($D84,Milestones!$AA$67),"dd/mm/yy")&amp;" "&amp;Milestones!$AB$67&amp;" "&amp;Milestones!$AC$67&amp;";  ","")&amp;IF(AND(EDATE($D84,Milestones!$AA$68)&lt;=AsOfDate,IF($Q84=0,$W84,IF(AND($S84&lt;&gt;"",EDATE($D84,Milestones!$AA$68)&gt;=$S84),$V84,IF(AND($R84&lt;&gt;"",EDATE($D84,Milestones!$AA$68)&gt;=$R84),$U84,$T84)))=Milestones!$AB$68),TEXT(EDATE($D84,Milestones!$AA$68),"dd/mm/yy")&amp;" "&amp;Milestones!$AB$68&amp;" "&amp;Milestones!$AC$68&amp;";  ","")&amp;IF(AND(EDATE($D84,Milestones!$AA$69)&lt;=AsOfDate,IF($Q84=0,$W84,IF(AND($S84&lt;&gt;"",EDATE($D84,Milestones!$AA$69)&gt;=$S84),$V84,IF(AND($R84&lt;&gt;"",EDATE($D84,Milestones!$AA$69)&gt;=$R84),$U84,$T84)))=Milestones!$AB$69),TEXT(EDATE($D84,Milestones!$AA$69),"dd/mm/yy")&amp;" "&amp;Milestones!$AB$69&amp;" "&amp;Milestones!$AC$69&amp;";  ","")&amp;IF(AND(EDATE($D84,Milestones!$AA$70)&lt;=AsOfDate,IF($Q84=0,$W84,IF(AND($S84&lt;&gt;"",EDATE($D84,Milestones!$AA$70)&gt;=$S84),$V84,IF(AND($R84&lt;&gt;"",EDATE($D84,Milestones!$AA$70)&gt;=$R84),$U84,$T84)))=Milestones!$AB$70),TEXT(EDATE($D84,Milestones!$AA$70),"dd/mm/yy")&amp;" "&amp;Milestones!$AB$70&amp;" "&amp;Milestones!$AC$70&amp;";  ","")&amp;IF(AND(EDATE($D84,Milestones!$AA$71)&lt;=AsOfDate,IF($Q84=0,$W84,IF(AND($S84&lt;&gt;"",EDATE($D84,Milestones!$AA$71)&gt;=$S84),$V84,IF(AND($R84&lt;&gt;"",EDATE($D84,Milestones!$AA$71)&gt;=$R84),$U84,$T84)))=Milestones!$AB$71),TEXT(EDATE($D84,Milestones!$AA$71),"dd/mm/yy")&amp;" "&amp;Milestones!$AB$71&amp;" "&amp;Milestones!$AC$71&amp;";  ","")&amp;IF(AND(EDATE($D84,Milestones!$AA$72)&lt;=AsOfDate,IF($Q84=0,$W84,IF(AND($S84&lt;&gt;"",EDATE($D84,Milestones!$AA$72)&gt;=$S84),$V84,IF(AND($R84&lt;&gt;"",EDATE($D84,Milestones!$AA$72)&gt;=$R84),$U84,$T84)))=Milestones!$AB$72),TEXT(EDATE($D84,Milestones!$AA$72),"dd/mm/yy")&amp;" "&amp;Milestones!$AB$72&amp;" "&amp;Milestones!$AC$72&amp;";  ","")&amp;IF(AND(EDATE($D84,Milestones!$AA$73)&lt;=AsOfDate,IF($Q84=0,$W84,IF(AND($S84&lt;&gt;"",EDATE($D84,Milestones!$AA$73)&gt;=$S84),$V84,IF(AND($R84&lt;&gt;"",EDATE($D84,Milestones!$AA$73)&gt;=$R84),$U84,$T84)))=Milestones!$AB$73),TEXT(EDATE($D84,Milestones!$AA$73),"dd/mm/yy")&amp;" "&amp;Milestones!$AB$73&amp;" "&amp;Milestones!$AC$73&amp;";  ","")&amp;IF(AND(EDATE($D84,Milestones!$AA$74)&lt;=AsOfDate,IF($Q84=0,$W84,IF(AND($S84&lt;&gt;"",EDATE($D84,Milestones!$AA$74)&gt;=$S84),$V84,IF(AND($R84&lt;&gt;"",EDATE($D84,Milestones!$AA$74)&gt;=$R84),$U84,$T84)))=Milestones!$AB$74),TEXT(EDATE($D84,Milestones!$AA$74),"dd/mm/yy")&amp;" "&amp;Milestones!$AB$74&amp;" "&amp;Milestones!$AC$74&amp;";  ","")&amp;IF(AND(EDATE($D84,Milestones!$AA$75)&lt;=AsOfDate,IF($Q84=0,$W84,IF(AND($S84&lt;&gt;"",EDATE($D84,Milestones!$AA$75)&gt;=$S84),$V84,IF(AND($R84&lt;&gt;"",EDATE($D84,Milestones!$AA$75)&gt;=$R84),$U84,$T84)))=Milestones!$AB$75),TEXT(EDATE($D84,Milestones!$AA$75),"dd/mm/yy")&amp;" "&amp;Milestones!$AB$75&amp;" "&amp;Milestones!$AC$75&amp;";  ","")&amp;IF(AND(EDATE($D84,Milestones!$AA$76)&lt;=AsOfDate,IF($Q84=0,$W84,IF(AND($S84&lt;&gt;"",EDATE($D84,Milestones!$AA$76)&gt;=$S84),$V84,IF(AND($R84&lt;&gt;"",EDATE($D84,Milestones!$AA$76)&gt;=$R84),$U84,$T84)))=Milestones!$AB$76),TEXT(EDATE($D84,Milestones!$AA$76),"dd/mm/yy")&amp;" "&amp;Milestones!$AB$76&amp;" "&amp;Milestones!$AC$76&amp;";  ","")&amp;IF(AND(EDATE($D84,Milestones!$AA$77)&lt;=AsOfDate,IF($Q84=0,$W84,IF(AND($S84&lt;&gt;"",EDATE($D84,Milestones!$AA$77)&gt;=$S84),$V84,IF(AND($R84&lt;&gt;"",EDATE($D84,Milestones!$AA$77)&gt;=$R84),$U84,$T84)))=Milestones!$AB$77),TEXT(EDATE($D84,Milestones!$AA$77),"dd/mm/yy")&amp;" "&amp;Milestones!$AB$77&amp;" "&amp;Milestones!$AC$77&amp;";  ","")&amp;IF(AND(EDATE($D84,Milestones!$AA$78)&lt;=AsOfDate,IF($Q84=0,$W84,IF(AND($S84&lt;&gt;"",EDATE($D84,Milestones!$AA$78)&gt;=$S84),$V84,IF(AND($R84&lt;&gt;"",EDATE($D84,Milestones!$AA$78)&gt;=$R84),$U84,$T84)))=Milestones!$AB$78),TEXT(EDATE($D84,Milestones!$AA$78),"dd/mm/yy")&amp;" "&amp;Milestones!$AB$78&amp;" "&amp;Milestones!$AC$78&amp;";  ","")&amp;IF(AND(EDATE($D84,Milestones!$AA$79)&lt;=AsOfDate,IF($Q84=0,$W84,IF(AND($S84&lt;&gt;"",EDATE($D84,Milestones!$AA$79)&gt;=$S84),$V84,IF(AND($R84&lt;&gt;"",EDATE($D84,Milestones!$AA$79)&gt;=$R84),$U84,$T84)))=Milestones!$AB$79),TEXT(EDATE($D84,Milestones!$AA$79),"dd/mm/yy")&amp;" "&amp;Milestones!$AB$79&amp;" "&amp;Milestones!$AC$79&amp;";  ",""))</f>
        <v/>
      </c>
      <c r="K84" s="0" t="str">
        <f aca="false">IF(OR($A84="",$D84=""),"",IF(AND(EDATE($D84,Milestones!$AA$80)&lt;=AsOfDate,IF($Q84=0,$W84,IF(AND($S84&lt;&gt;"",EDATE($D84,Milestones!$AA$80)&gt;=$S84),$V84,IF(AND($R84&lt;&gt;"",EDATE($D84,Milestones!$AA$80)&gt;=$R84),$U84,$T84)))=Milestones!$AB$80),TEXT(EDATE($D84,Milestones!$AA$80),"dd/mm/yy")&amp;" "&amp;Milestones!$AB$80&amp;" "&amp;Milestones!$AC$80&amp;";  ","")&amp;IF(AND(EDATE($D84,Milestones!$AA$81)&lt;=AsOfDate,IF($Q84=0,$W84,IF(AND($S84&lt;&gt;"",EDATE($D84,Milestones!$AA$81)&gt;=$S84),$V84,IF(AND($R84&lt;&gt;"",EDATE($D84,Milestones!$AA$81)&gt;=$R84),$U84,$T84)))=Milestones!$AB$81),TEXT(EDATE($D84,Milestones!$AA$81),"dd/mm/yy")&amp;" "&amp;Milestones!$AB$81&amp;" "&amp;Milestones!$AC$81&amp;";  ","")&amp;IF(AND(EDATE($D84,Milestones!$AA$82)&lt;=AsOfDate,IF($Q84=0,$W84,IF(AND($S84&lt;&gt;"",EDATE($D84,Milestones!$AA$82)&gt;=$S84),$V84,IF(AND($R84&lt;&gt;"",EDATE($D84,Milestones!$AA$82)&gt;=$R84),$U84,$T84)))=Milestones!$AB$82),TEXT(EDATE($D84,Milestones!$AA$82),"dd/mm/yy")&amp;" "&amp;Milestones!$AB$82&amp;" "&amp;Milestones!$AC$82&amp;";  ","")&amp;IF(AND(EDATE($D84,Milestones!$AA$83)&lt;=AsOfDate,IF($Q84=0,$W84,IF(AND($S84&lt;&gt;"",EDATE($D84,Milestones!$AA$83)&gt;=$S84),$V84,IF(AND($R84&lt;&gt;"",EDATE($D84,Milestones!$AA$83)&gt;=$R84),$U84,$T84)))=Milestones!$AB$83),TEXT(EDATE($D84,Milestones!$AA$83),"dd/mm/yy")&amp;" "&amp;Milestones!$AB$83&amp;" "&amp;Milestones!$AC$83&amp;";  ","")&amp;IF(AND(EDATE($D84,Milestones!$AA$84)&lt;=AsOfDate,IF($Q84=0,$W84,IF(AND($S84&lt;&gt;"",EDATE($D84,Milestones!$AA$84)&gt;=$S84),$V84,IF(AND($R84&lt;&gt;"",EDATE($D84,Milestones!$AA$84)&gt;=$R84),$U84,$T84)))=Milestones!$AB$84),TEXT(EDATE($D84,Milestones!$AA$84),"dd/mm/yy")&amp;" "&amp;Milestones!$AB$84&amp;" "&amp;Milestones!$AC$84&amp;";  ","")&amp;IF(AND(EDATE($D84,Milestones!$AA$85)&lt;=AsOfDate,IF($Q84=0,$W84,IF(AND($S84&lt;&gt;"",EDATE($D84,Milestones!$AA$85)&gt;=$S84),$V84,IF(AND($R84&lt;&gt;"",EDATE($D84,Milestones!$AA$85)&gt;=$R84),$U84,$T84)))=Milestones!$AB$85),TEXT(EDATE($D84,Milestones!$AA$85),"dd/mm/yy")&amp;" "&amp;Milestones!$AB$85&amp;" "&amp;Milestones!$AC$85&amp;";  ","")&amp;IF(AND(EDATE($D84,Milestones!$AA$86)&lt;=AsOfDate,IF($Q84=0,$W84,IF(AND($S84&lt;&gt;"",EDATE($D84,Milestones!$AA$86)&gt;=$S84),$V84,IF(AND($R84&lt;&gt;"",EDATE($D84,Milestones!$AA$86)&gt;=$R84),$U84,$T84)))=Milestones!$AB$86),TEXT(EDATE($D84,Milestones!$AA$86),"dd/mm/yy")&amp;" "&amp;Milestones!$AB$86&amp;" "&amp;Milestones!$AC$86&amp;";  ","")&amp;IF(AND(EDATE($D84,Milestones!$AA$87)&lt;=AsOfDate,IF($Q84=0,$W84,IF(AND($S84&lt;&gt;"",EDATE($D84,Milestones!$AA$87)&gt;=$S84),$V84,IF(AND($R84&lt;&gt;"",EDATE($D84,Milestones!$AA$87)&gt;=$R84),$U84,$T84)))=Milestones!$AB$87),TEXT(EDATE($D84,Milestones!$AA$87),"dd/mm/yy")&amp;" "&amp;Milestones!$AB$87&amp;" "&amp;Milestones!$AC$87&amp;";  ","")&amp;IF(AND(EDATE($D84,Milestones!$AA$88)&lt;=AsOfDate,IF($Q84=0,$W84,IF(AND($S84&lt;&gt;"",EDATE($D84,Milestones!$AA$88)&gt;=$S84),$V84,IF(AND($R84&lt;&gt;"",EDATE($D84,Milestones!$AA$88)&gt;=$R84),$U84,$T84)))=Milestones!$AB$88),TEXT(EDATE($D84,Milestones!$AA$88),"dd/mm/yy")&amp;" "&amp;Milestones!$AB$88&amp;" "&amp;Milestones!$AC$88&amp;";  ","")&amp;IF(AND(EDATE($D84,Milestones!$AA$89)&lt;=AsOfDate,IF($Q84=0,$W84,IF(AND($S84&lt;&gt;"",EDATE($D84,Milestones!$AA$89)&gt;=$S84),$V84,IF(AND($R84&lt;&gt;"",EDATE($D84,Milestones!$AA$89)&gt;=$R84),$U84,$T84)))=Milestones!$AB$89),TEXT(EDATE($D84,Milestones!$AA$89),"dd/mm/yy")&amp;" "&amp;Milestones!$AB$89&amp;" "&amp;Milestones!$AC$89&amp;";  ","")&amp;IF(AND(EDATE($D84,Milestones!$AA$90)&lt;=AsOfDate,IF($Q84=0,$W84,IF(AND($S84&lt;&gt;"",EDATE($D84,Milestones!$AA$90)&gt;=$S84),$V84,IF(AND($R84&lt;&gt;"",EDATE($D84,Milestones!$AA$90)&gt;=$R84),$U84,$T84)))=Milestones!$AB$90),TEXT(EDATE($D84,Milestones!$AA$90),"dd/mm/yy")&amp;" "&amp;Milestones!$AB$90&amp;" "&amp;Milestones!$AC$90&amp;";  ","")&amp;IF(AND(EDATE($D84,Milestones!$AA$91)&lt;=AsOfDate,IF($Q84=0,$W84,IF(AND($S84&lt;&gt;"",EDATE($D84,Milestones!$AA$91)&gt;=$S84),$V84,IF(AND($R84&lt;&gt;"",EDATE($D84,Milestones!$AA$91)&gt;=$R84),$U84,$T84)))=Milestones!$AB$91),TEXT(EDATE($D84,Milestones!$AA$91),"dd/mm/yy")&amp;" "&amp;Milestones!$AB$91&amp;" "&amp;Milestones!$AC$91&amp;";  ","")&amp;IF(AND(EDATE($D84,Milestones!$AA$92)&lt;=AsOfDate,IF($Q84=0,$W84,IF(AND($S84&lt;&gt;"",EDATE($D84,Milestones!$AA$92)&gt;=$S84),$V84,IF(AND($R84&lt;&gt;"",EDATE($D84,Milestones!$AA$92)&gt;=$R84),$U84,$T84)))=Milestones!$AB$92),TEXT(EDATE($D84,Milestones!$AA$92),"dd/mm/yy")&amp;" "&amp;Milestones!$AB$92&amp;" "&amp;Milestones!$AC$92&amp;";  ","")&amp;IF(AND(EDATE($D84,Milestones!$AA$93)&lt;=AsOfDate,IF($Q84=0,$W84,IF(AND($S84&lt;&gt;"",EDATE($D84,Milestones!$AA$93)&gt;=$S84),$V84,IF(AND($R84&lt;&gt;"",EDATE($D84,Milestones!$AA$93)&gt;=$R84),$U84,$T84)))=Milestones!$AB$93),TEXT(EDATE($D84,Milestones!$AA$93),"dd/mm/yy")&amp;" "&amp;Milestones!$AB$93&amp;" "&amp;Milestones!$AC$93&amp;";  ","")&amp;IF(AND(EDATE($D84,Milestones!$AA$94)&lt;=AsOfDate,IF($Q84=0,$W84,IF(AND($S84&lt;&gt;"",EDATE($D84,Milestones!$AA$94)&gt;=$S84),$V84,IF(AND($R84&lt;&gt;"",EDATE($D84,Milestones!$AA$94)&gt;=$R84),$U84,$T84)))=Milestones!$AB$94),TEXT(EDATE($D84,Milestones!$AA$94),"dd/mm/yy")&amp;" "&amp;Milestones!$AB$94&amp;" "&amp;Milestones!$AC$94&amp;";  ","")&amp;IF(AND(EDATE($D84,Milestones!$AA$95)&lt;=AsOfDate,IF($Q84=0,$W84,IF(AND($S84&lt;&gt;"",EDATE($D84,Milestones!$AA$95)&gt;=$S84),$V84,IF(AND($R84&lt;&gt;"",EDATE($D84,Milestones!$AA$95)&gt;=$R84),$U84,$T84)))=Milestones!$AB$95),TEXT(EDATE($D84,Milestones!$AA$95),"dd/mm/yy")&amp;" "&amp;Milestones!$AB$95&amp;" "&amp;Milestones!$AC$95&amp;";  ","")&amp;IF(AND(EDATE($D84,Milestones!$AA$96)&lt;=AsOfDate,IF($Q84=0,$W84,IF(AND($S84&lt;&gt;"",EDATE($D84,Milestones!$AA$96)&gt;=$S84),$V84,IF(AND($R84&lt;&gt;"",EDATE($D84,Milestones!$AA$96)&gt;=$R84),$U84,$T84)))=Milestones!$AB$96),TEXT(EDATE($D84,Milestones!$AA$96),"dd/mm/yy")&amp;" "&amp;Milestones!$AB$96&amp;" "&amp;Milestones!$AC$96&amp;";  ","")&amp;IF(AND(EDATE($D84,Milestones!$AA$97)&lt;=AsOfDate,IF($Q84=0,$W84,IF(AND($S84&lt;&gt;"",EDATE($D84,Milestones!$AA$97)&gt;=$S84),$V84,IF(AND($R84&lt;&gt;"",EDATE($D84,Milestones!$AA$97)&gt;=$R84),$U84,$T84)))=Milestones!$AB$97),TEXT(EDATE($D84,Milestones!$AA$97),"dd/mm/yy")&amp;" "&amp;Milestones!$AB$97&amp;" "&amp;Milestones!$AC$97&amp;";  ","")&amp;IF(AND(EDATE($D84,Milestones!$AA$98)&lt;=AsOfDate,IF($Q84=0,$W84,IF(AND($S84&lt;&gt;"",EDATE($D84,Milestones!$AA$98)&gt;=$S84),$V84,IF(AND($R84&lt;&gt;"",EDATE($D84,Milestones!$AA$98)&gt;=$R84),$U84,$T84)))=Milestones!$AB$98),TEXT(EDATE($D84,Milestones!$AA$98),"dd/mm/yy")&amp;" "&amp;Milestones!$AB$98&amp;" "&amp;Milestones!$AC$98&amp;";  ","")&amp;IF(AND(EDATE($D84,Milestones!$AA$99)&lt;=AsOfDate,IF($Q84=0,$W84,IF(AND($S84&lt;&gt;"",EDATE($D84,Milestones!$AA$99)&gt;=$S84),$V84,IF(AND($R84&lt;&gt;"",EDATE($D84,Milestones!$AA$99)&gt;=$R84),$U84,$T84)))=Milestones!$AB$99),TEXT(EDATE($D84,Milestones!$AA$99),"dd/mm/yy")&amp;" "&amp;Milestones!$AB$99&amp;" "&amp;Milestones!$AC$99&amp;";  ",""))</f>
        <v/>
      </c>
      <c r="L84" s="0" t="str">
        <f aca="false">IF(OR($A84="",$D84=""),"",IF(AND(EDATE($D84,Milestones!$AA$100)&lt;=AsOfDate,IF($Q84=0,$W84,IF(AND($S84&lt;&gt;"",EDATE($D84,Milestones!$AA$100)&gt;=$S84),$V84,IF(AND($R84&lt;&gt;"",EDATE($D84,Milestones!$AA$100)&gt;=$R84),$U84,$T84)))=Milestones!$AB$100),TEXT(EDATE($D84,Milestones!$AA$100),"dd/mm/yy")&amp;" "&amp;Milestones!$AB$100&amp;" "&amp;Milestones!$AC$100&amp;";  ","")&amp;IF(AND(EDATE($D84,Milestones!$AA$101)&lt;=AsOfDate,IF($Q84=0,$W84,IF(AND($S84&lt;&gt;"",EDATE($D84,Milestones!$AA$101)&gt;=$S84),$V84,IF(AND($R84&lt;&gt;"",EDATE($D84,Milestones!$AA$101)&gt;=$R84),$U84,$T84)))=Milestones!$AB$101),TEXT(EDATE($D84,Milestones!$AA$101),"dd/mm/yy")&amp;" "&amp;Milestones!$AB$101&amp;" "&amp;Milestones!$AC$101&amp;";  ","")&amp;IF(AND(EDATE($D84,Milestones!$AA$102)&lt;=AsOfDate,IF($Q84=0,$W84,IF(AND($S84&lt;&gt;"",EDATE($D84,Milestones!$AA$102)&gt;=$S84),$V84,IF(AND($R84&lt;&gt;"",EDATE($D84,Milestones!$AA$102)&gt;=$R84),$U84,$T84)))=Milestones!$AB$102),TEXT(EDATE($D84,Milestones!$AA$102),"dd/mm/yy")&amp;" "&amp;Milestones!$AB$102&amp;" "&amp;Milestones!$AC$102&amp;";  ","")&amp;IF(AND(EDATE($D84,Milestones!$AA$103)&lt;=AsOfDate,IF($Q84=0,$W84,IF(AND($S84&lt;&gt;"",EDATE($D84,Milestones!$AA$103)&gt;=$S84),$V84,IF(AND($R84&lt;&gt;"",EDATE($D84,Milestones!$AA$103)&gt;=$R84),$U84,$T84)))=Milestones!$AB$103),TEXT(EDATE($D84,Milestones!$AA$103),"dd/mm/yy")&amp;" "&amp;Milestones!$AB$103&amp;" "&amp;Milestones!$AC$103&amp;";  ","")&amp;IF(AND(EDATE($D84,Milestones!$AA$104)&lt;=AsOfDate,IF($Q84=0,$W84,IF(AND($S84&lt;&gt;"",EDATE($D84,Milestones!$AA$104)&gt;=$S84),$V84,IF(AND($R84&lt;&gt;"",EDATE($D84,Milestones!$AA$104)&gt;=$R84),$U84,$T84)))=Milestones!$AB$104),TEXT(EDATE($D84,Milestones!$AA$104),"dd/mm/yy")&amp;" "&amp;Milestones!$AB$104&amp;" "&amp;Milestones!$AC$104&amp;";  ","")&amp;IF(AND(EDATE($D84,Milestones!$AA$105)&lt;=AsOfDate,IF($Q84=0,$W84,IF(AND($S84&lt;&gt;"",EDATE($D84,Milestones!$AA$105)&gt;=$S84),$V84,IF(AND($R84&lt;&gt;"",EDATE($D84,Milestones!$AA$105)&gt;=$R84),$U84,$T84)))=Milestones!$AB$105),TEXT(EDATE($D84,Milestones!$AA$105),"dd/mm/yy")&amp;" "&amp;Milestones!$AB$105&amp;" "&amp;Milestones!$AC$105&amp;";  ","")&amp;IF(AND(EDATE($D84,Milestones!$AA$106)&lt;=AsOfDate,IF($Q84=0,$W84,IF(AND($S84&lt;&gt;"",EDATE($D84,Milestones!$AA$106)&gt;=$S84),$V84,IF(AND($R84&lt;&gt;"",EDATE($D84,Milestones!$AA$106)&gt;=$R84),$U84,$T84)))=Milestones!$AB$106),TEXT(EDATE($D84,Milestones!$AA$106),"dd/mm/yy")&amp;" "&amp;Milestones!$AB$106&amp;" "&amp;Milestones!$AC$106&amp;";  ","")&amp;IF(AND(EDATE($D84,Milestones!$AA$107)&lt;=AsOfDate,IF($Q84=0,$W84,IF(AND($S84&lt;&gt;"",EDATE($D84,Milestones!$AA$107)&gt;=$S84),$V84,IF(AND($R84&lt;&gt;"",EDATE($D84,Milestones!$AA$107)&gt;=$R84),$U84,$T84)))=Milestones!$AB$107),TEXT(EDATE($D84,Milestones!$AA$107),"dd/mm/yy")&amp;" "&amp;Milestones!$AB$107&amp;" "&amp;Milestones!$AC$107&amp;";  ","")&amp;IF(AND(EDATE($D84,Milestones!$AA$108)&lt;=AsOfDate,IF($Q84=0,$W84,IF(AND($S84&lt;&gt;"",EDATE($D84,Milestones!$AA$108)&gt;=$S84),$V84,IF(AND($R84&lt;&gt;"",EDATE($D84,Milestones!$AA$108)&gt;=$R84),$U84,$T84)))=Milestones!$AB$108),TEXT(EDATE($D84,Milestones!$AA$108),"dd/mm/yy")&amp;" "&amp;Milestones!$AB$108&amp;" "&amp;Milestones!$AC$108&amp;";  ","")&amp;IF(AND(EDATE($D84,Milestones!$AA$109)&lt;=AsOfDate,IF($Q84=0,$W84,IF(AND($S84&lt;&gt;"",EDATE($D84,Milestones!$AA$109)&gt;=$S84),$V84,IF(AND($R84&lt;&gt;"",EDATE($D84,Milestones!$AA$109)&gt;=$R84),$U84,$T84)))=Milestones!$AB$109),TEXT(EDATE($D84,Milestones!$AA$109),"dd/mm/yy")&amp;" "&amp;Milestones!$AB$109&amp;" "&amp;Milestones!$AC$109&amp;";  ","")&amp;IF(AND(EDATE($D84,Milestones!$AA$110)&lt;=AsOfDate,IF($Q84=0,$W84,IF(AND($S84&lt;&gt;"",EDATE($D84,Milestones!$AA$110)&gt;=$S84),$V84,IF(AND($R84&lt;&gt;"",EDATE($D84,Milestones!$AA$110)&gt;=$R84),$U84,$T84)))=Milestones!$AB$110),TEXT(EDATE($D84,Milestones!$AA$110),"dd/mm/yy")&amp;" "&amp;Milestones!$AB$110&amp;" "&amp;Milestones!$AC$110&amp;";  ","")&amp;IF(AND(EDATE($D84,Milestones!$AA$111)&lt;=AsOfDate,IF($Q84=0,$W84,IF(AND($S84&lt;&gt;"",EDATE($D84,Milestones!$AA$111)&gt;=$S84),$V84,IF(AND($R84&lt;&gt;"",EDATE($D84,Milestones!$AA$111)&gt;=$R84),$U84,$T84)))=Milestones!$AB$111),TEXT(EDATE($D84,Milestones!$AA$111),"dd/mm/yy")&amp;" "&amp;Milestones!$AB$111&amp;" "&amp;Milestones!$AC$111&amp;";  ","")&amp;IF(AND(EDATE($D84,Milestones!$AA$112)&lt;=AsOfDate,IF($Q84=0,$W84,IF(AND($S84&lt;&gt;"",EDATE($D84,Milestones!$AA$112)&gt;=$S84),$V84,IF(AND($R84&lt;&gt;"",EDATE($D84,Milestones!$AA$112)&gt;=$R84),$U84,$T84)))=Milestones!$AB$112),TEXT(EDATE($D84,Milestones!$AA$112),"dd/mm/yy")&amp;" "&amp;Milestones!$AB$112&amp;" "&amp;Milestones!$AC$112&amp;";  ","")&amp;IF(AND(EDATE($D84,Milestones!$AA$113)&lt;=AsOfDate,IF($Q84=0,$W84,IF(AND($S84&lt;&gt;"",EDATE($D84,Milestones!$AA$113)&gt;=$S84),$V84,IF(AND($R84&lt;&gt;"",EDATE($D84,Milestones!$AA$113)&gt;=$R84),$U84,$T84)))=Milestones!$AB$113),TEXT(EDATE($D84,Milestones!$AA$113),"dd/mm/yy")&amp;" "&amp;Milestones!$AB$113&amp;" "&amp;Milestones!$AC$113&amp;";  ","")&amp;IF(AND(EDATE($D84,Milestones!$AA$114)&lt;=AsOfDate,IF($Q84=0,$W84,IF(AND($S84&lt;&gt;"",EDATE($D84,Milestones!$AA$114)&gt;=$S84),$V84,IF(AND($R84&lt;&gt;"",EDATE($D84,Milestones!$AA$114)&gt;=$R84),$U84,$T84)))=Milestones!$AB$114),TEXT(EDATE($D84,Milestones!$AA$114),"dd/mm/yy")&amp;" "&amp;Milestones!$AB$114&amp;" "&amp;Milestones!$AC$114&amp;";  ","")&amp;IF(AND(EDATE($D84,Milestones!$AA$115)&lt;=AsOfDate,IF($Q84=0,$W84,IF(AND($S84&lt;&gt;"",EDATE($D84,Milestones!$AA$115)&gt;=$S84),$V84,IF(AND($R84&lt;&gt;"",EDATE($D84,Milestones!$AA$115)&gt;=$R84),$U84,$T84)))=Milestones!$AB$115),TEXT(EDATE($D84,Milestones!$AA$115),"dd/mm/yy")&amp;" "&amp;Milestones!$AB$115&amp;" "&amp;Milestones!$AC$115&amp;";  ","")&amp;IF(AND(EDATE($D84,Milestones!$AA$116)&lt;=AsOfDate,IF($Q84=0,$W84,IF(AND($S84&lt;&gt;"",EDATE($D84,Milestones!$AA$116)&gt;=$S84),$V84,IF(AND($R84&lt;&gt;"",EDATE($D84,Milestones!$AA$116)&gt;=$R84),$U84,$T84)))=Milestones!$AB$116),TEXT(EDATE($D84,Milestones!$AA$116),"dd/mm/yy")&amp;" "&amp;Milestones!$AB$116&amp;" "&amp;Milestones!$AC$116&amp;";  ","")&amp;IF(AND(EDATE($D84,Milestones!$AA$117)&lt;=AsOfDate,IF($Q84=0,$W84,IF(AND($S84&lt;&gt;"",EDATE($D84,Milestones!$AA$117)&gt;=$S84),$V84,IF(AND($R84&lt;&gt;"",EDATE($D84,Milestones!$AA$117)&gt;=$R84),$U84,$T84)))=Milestones!$AB$117),TEXT(EDATE($D84,Milestones!$AA$117),"dd/mm/yy")&amp;" "&amp;Milestones!$AB$117&amp;" "&amp;Milestones!$AC$117&amp;";  ","")&amp;IF(AND(EDATE($D84,Milestones!$AA$118)&lt;=AsOfDate,IF($Q84=0,$W84,IF(AND($S84&lt;&gt;"",EDATE($D84,Milestones!$AA$118)&gt;=$S84),$V84,IF(AND($R84&lt;&gt;"",EDATE($D84,Milestones!$AA$118)&gt;=$R84),$U84,$T84)))=Milestones!$AB$118),TEXT(EDATE($D84,Milestones!$AA$118),"dd/mm/yy")&amp;" "&amp;Milestones!$AB$118&amp;" "&amp;Milestones!$AC$118&amp;";  ","")&amp;IF(AND(EDATE($D84,Milestones!$AA$119)&lt;=AsOfDate,IF($Q84=0,$W84,IF(AND($S84&lt;&gt;"",EDATE($D84,Milestones!$AA$119)&gt;=$S84),$V84,IF(AND($R84&lt;&gt;"",EDATE($D84,Milestones!$AA$119)&gt;=$R84),$U84,$T84)))=Milestones!$AB$119),TEXT(EDATE($D84,Milestones!$AA$119),"dd/mm/yy")&amp;" "&amp;Milestones!$AB$119&amp;" "&amp;Milestones!$AC$119&amp;";  ",""))</f>
        <v/>
      </c>
      <c r="M84" s="0" t="str">
        <f aca="false">IF(OR($A84="",$D84=""),"",IF(AND(EDATE($D84,Milestones!$AA$120)&lt;=AsOfDate,IF($Q84=0,$W84,IF(AND($S84&lt;&gt;"",EDATE($D84,Milestones!$AA$120)&gt;=$S84),$V84,IF(AND($R84&lt;&gt;"",EDATE($D84,Milestones!$AA$120)&gt;=$R84),$U84,$T84)))=Milestones!$AB$120),TEXT(EDATE($D84,Milestones!$AA$120),"dd/mm/yy")&amp;" "&amp;Milestones!$AB$120&amp;" "&amp;Milestones!$AC$120&amp;";  ","")&amp;IF(AND(EDATE($D84,Milestones!$AA$121)&lt;=AsOfDate,IF($Q84=0,$W84,IF(AND($S84&lt;&gt;"",EDATE($D84,Milestones!$AA$121)&gt;=$S84),$V84,IF(AND($R84&lt;&gt;"",EDATE($D84,Milestones!$AA$121)&gt;=$R84),$U84,$T84)))=Milestones!$AB$121),TEXT(EDATE($D84,Milestones!$AA$121),"dd/mm/yy")&amp;" "&amp;Milestones!$AB$121&amp;" "&amp;Milestones!$AC$121&amp;";  ","")&amp;IF(AND(EDATE($D84,Milestones!$AA$122)&lt;=AsOfDate,IF($Q84=0,$W84,IF(AND($S84&lt;&gt;"",EDATE($D84,Milestones!$AA$122)&gt;=$S84),$V84,IF(AND($R84&lt;&gt;"",EDATE($D84,Milestones!$AA$122)&gt;=$R84),$U84,$T84)))=Milestones!$AB$122),TEXT(EDATE($D84,Milestones!$AA$122),"dd/mm/yy")&amp;" "&amp;Milestones!$AB$122&amp;" "&amp;Milestones!$AC$122&amp;";  ","")&amp;IF(AND(EDATE($D84,Milestones!$AA$123)&lt;=AsOfDate,IF($Q84=0,$W84,IF(AND($S84&lt;&gt;"",EDATE($D84,Milestones!$AA$123)&gt;=$S84),$V84,IF(AND($R84&lt;&gt;"",EDATE($D84,Milestones!$AA$123)&gt;=$R84),$U84,$T84)))=Milestones!$AB$123),TEXT(EDATE($D84,Milestones!$AA$123),"dd/mm/yy")&amp;" "&amp;Milestones!$AB$123&amp;" "&amp;Milestones!$AC$123&amp;";  ","")&amp;IF(AND(EDATE($D84,Milestones!$AA$124)&lt;=AsOfDate,IF($Q84=0,$W84,IF(AND($S84&lt;&gt;"",EDATE($D84,Milestones!$AA$124)&gt;=$S84),$V84,IF(AND($R84&lt;&gt;"",EDATE($D84,Milestones!$AA$124)&gt;=$R84),$U84,$T84)))=Milestones!$AB$124),TEXT(EDATE($D84,Milestones!$AA$124),"dd/mm/yy")&amp;" "&amp;Milestones!$AB$124&amp;" "&amp;Milestones!$AC$124&amp;";  ","")&amp;IF(AND(EDATE($D84,Milestones!$AA$125)&lt;=AsOfDate,IF($Q84=0,$W84,IF(AND($S84&lt;&gt;"",EDATE($D84,Milestones!$AA$125)&gt;=$S84),$V84,IF(AND($R84&lt;&gt;"",EDATE($D84,Milestones!$AA$125)&gt;=$R84),$U84,$T84)))=Milestones!$AB$125),TEXT(EDATE($D84,Milestones!$AA$125),"dd/mm/yy")&amp;" "&amp;Milestones!$AB$125&amp;" "&amp;Milestones!$AC$125&amp;";  ","")&amp;IF(AND(EDATE($D84,Milestones!$AA$126)&lt;=AsOfDate,IF($Q84=0,$W84,IF(AND($S84&lt;&gt;"",EDATE($D84,Milestones!$AA$126)&gt;=$S84),$V84,IF(AND($R84&lt;&gt;"",EDATE($D84,Milestones!$AA$126)&gt;=$R84),$U84,$T84)))=Milestones!$AB$126),TEXT(EDATE($D84,Milestones!$AA$126),"dd/mm/yy")&amp;" "&amp;Milestones!$AB$126&amp;" "&amp;Milestones!$AC$126&amp;";  ","")&amp;IF(AND(EDATE($D84,Milestones!$AA$127)&lt;=AsOfDate,IF($Q84=0,$W84,IF(AND($S84&lt;&gt;"",EDATE($D84,Milestones!$AA$127)&gt;=$S84),$V84,IF(AND($R84&lt;&gt;"",EDATE($D84,Milestones!$AA$127)&gt;=$R84),$U84,$T84)))=Milestones!$AB$127),TEXT(EDATE($D84,Milestones!$AA$127),"dd/mm/yy")&amp;" "&amp;Milestones!$AB$127&amp;" "&amp;Milestones!$AC$127&amp;";  ","")&amp;IF(AND(EDATE($D84,Milestones!$AA$128)&lt;=AsOfDate,IF($Q84=0,$W84,IF(AND($S84&lt;&gt;"",EDATE($D84,Milestones!$AA$128)&gt;=$S84),$V84,IF(AND($R84&lt;&gt;"",EDATE($D84,Milestones!$AA$128)&gt;=$R84),$U84,$T84)))=Milestones!$AB$128),TEXT(EDATE($D84,Milestones!$AA$128),"dd/mm/yy")&amp;" "&amp;Milestones!$AB$128&amp;" "&amp;Milestones!$AC$128&amp;";  ","")&amp;IF(AND(EDATE($D84,Milestones!$AA$129)&lt;=AsOfDate,IF($Q84=0,$W84,IF(AND($S84&lt;&gt;"",EDATE($D84,Milestones!$AA$129)&gt;=$S84),$V84,IF(AND($R84&lt;&gt;"",EDATE($D84,Milestones!$AA$129)&gt;=$R84),$U84,$T84)))=Milestones!$AB$129),TEXT(EDATE($D84,Milestones!$AA$129),"dd/mm/yy")&amp;" "&amp;Milestones!$AB$129&amp;" "&amp;Milestones!$AC$129&amp;";  ","")&amp;IF(AND(EDATE($D84,Milestones!$AA$130)&lt;=AsOfDate,IF($Q84=0,$W84,IF(AND($S84&lt;&gt;"",EDATE($D84,Milestones!$AA$130)&gt;=$S84),$V84,IF(AND($R84&lt;&gt;"",EDATE($D84,Milestones!$AA$130)&gt;=$R84),$U84,$T84)))=Milestones!$AB$130),TEXT(EDATE($D84,Milestones!$AA$130),"dd/mm/yy")&amp;" "&amp;Milestones!$AB$130&amp;" "&amp;Milestones!$AC$130&amp;";  ","")&amp;IF(AND(EDATE($D84,Milestones!$AA$131)&lt;=AsOfDate,IF($Q84=0,$W84,IF(AND($S84&lt;&gt;"",EDATE($D84,Milestones!$AA$131)&gt;=$S84),$V84,IF(AND($R84&lt;&gt;"",EDATE($D84,Milestones!$AA$131)&gt;=$R84),$U84,$T84)))=Milestones!$AB$131),TEXT(EDATE($D84,Milestones!$AA$131),"dd/mm/yy")&amp;" "&amp;Milestones!$AB$131&amp;" "&amp;Milestones!$AC$131&amp;";  ","")&amp;IF(AND(EDATE($D84,Milestones!$AA$132)&lt;=AsOfDate,IF($Q84=0,$W84,IF(AND($S84&lt;&gt;"",EDATE($D84,Milestones!$AA$132)&gt;=$S84),$V84,IF(AND($R84&lt;&gt;"",EDATE($D84,Milestones!$AA$132)&gt;=$R84),$U84,$T84)))=Milestones!$AB$132),TEXT(EDATE($D84,Milestones!$AA$132),"dd/mm/yy")&amp;" "&amp;Milestones!$AB$132&amp;" "&amp;Milestones!$AC$132&amp;";  ","")&amp;IF(AND(EDATE($D84,Milestones!$AA$133)&lt;=AsOfDate,IF($Q84=0,$W84,IF(AND($S84&lt;&gt;"",EDATE($D84,Milestones!$AA$133)&gt;=$S84),$V84,IF(AND($R84&lt;&gt;"",EDATE($D84,Milestones!$AA$133)&gt;=$R84),$U84,$T84)))=Milestones!$AB$133),TEXT(EDATE($D84,Milestones!$AA$133),"dd/mm/yy")&amp;" "&amp;Milestones!$AB$133&amp;" "&amp;Milestones!$AC$133&amp;";  ","")&amp;IF(AND(EDATE($D84,Milestones!$AA$134)&lt;=AsOfDate,IF($Q84=0,$W84,IF(AND($S84&lt;&gt;"",EDATE($D84,Milestones!$AA$134)&gt;=$S84),$V84,IF(AND($R84&lt;&gt;"",EDATE($D84,Milestones!$AA$134)&gt;=$R84),$U84,$T84)))=Milestones!$AB$134),TEXT(EDATE($D84,Milestones!$AA$134),"dd/mm/yy")&amp;" "&amp;Milestones!$AB$134&amp;" "&amp;Milestones!$AC$134&amp;";  ","")&amp;IF(AND(EDATE($D84,Milestones!$AA$135)&lt;=AsOfDate,IF($Q84=0,$W84,IF(AND($S84&lt;&gt;"",EDATE($D84,Milestones!$AA$135)&gt;=$S84),$V84,IF(AND($R84&lt;&gt;"",EDATE($D84,Milestones!$AA$135)&gt;=$R84),$U84,$T84)))=Milestones!$AB$135),TEXT(EDATE($D84,Milestones!$AA$135),"dd/mm/yy")&amp;" "&amp;Milestones!$AB$135&amp;" "&amp;Milestones!$AC$135&amp;";  ","")&amp;IF(AND(EDATE($D84,Milestones!$AA$136)&lt;=AsOfDate,IF($Q84=0,$W84,IF(AND($S84&lt;&gt;"",EDATE($D84,Milestones!$AA$136)&gt;=$S84),$V84,IF(AND($R84&lt;&gt;"",EDATE($D84,Milestones!$AA$136)&gt;=$R84),$U84,$T84)))=Milestones!$AB$136),TEXT(EDATE($D84,Milestones!$AA$136),"dd/mm/yy")&amp;" "&amp;Milestones!$AB$136&amp;" "&amp;Milestones!$AC$136&amp;";  ","")&amp;IF(AND(EDATE($D84,Milestones!$AA$137)&lt;=AsOfDate,IF($Q84=0,$W84,IF(AND($S84&lt;&gt;"",EDATE($D84,Milestones!$AA$137)&gt;=$S84),$V84,IF(AND($R84&lt;&gt;"",EDATE($D84,Milestones!$AA$137)&gt;=$R84),$U84,$T84)))=Milestones!$AB$137),TEXT(EDATE($D84,Milestones!$AA$137),"dd/mm/yy")&amp;" "&amp;Milestones!$AB$137&amp;" "&amp;Milestones!$AC$137&amp;";  ","")&amp;IF(AND(EDATE($D84,Milestones!$AA$138)&lt;=AsOfDate,IF($Q84=0,$W84,IF(AND($S84&lt;&gt;"",EDATE($D84,Milestones!$AA$138)&gt;=$S84),$V84,IF(AND($R84&lt;&gt;"",EDATE($D84,Milestones!$AA$138)&gt;=$R84),$U84,$T84)))=Milestones!$AB$138),TEXT(EDATE($D84,Milestones!$AA$138),"dd/mm/yy")&amp;" "&amp;Milestones!$AB$138&amp;" "&amp;Milestones!$AC$138&amp;";  ","")&amp;IF(AND(EDATE($D84,Milestones!$AA$139)&lt;=AsOfDate,IF($Q84=0,$W84,IF(AND($S84&lt;&gt;"",EDATE($D84,Milestones!$AA$139)&gt;=$S84),$V84,IF(AND($R84&lt;&gt;"",EDATE($D84,Milestones!$AA$139)&gt;=$R84),$U84,$T84)))=Milestones!$AB$139),TEXT(EDATE($D84,Milestones!$AA$139),"dd/mm/yy")&amp;" "&amp;Milestones!$AB$139&amp;" "&amp;Milestones!$AC$139&amp;";  ",""))</f>
        <v/>
      </c>
      <c r="N84" s="0" t="str">
        <f aca="false">IF(OR($A84="",$D84=""),"",IF(AND(EDATE($D84,Milestones!$AA$140)&lt;=AsOfDate,IF($Q84=0,$W84,IF(AND($S84&lt;&gt;"",EDATE($D84,Milestones!$AA$140)&gt;=$S84),$V84,IF(AND($R84&lt;&gt;"",EDATE($D84,Milestones!$AA$140)&gt;=$R84),$U84,$T84)))=Milestones!$AB$140),TEXT(EDATE($D84,Milestones!$AA$140),"dd/mm/yy")&amp;" "&amp;Milestones!$AB$140&amp;" "&amp;Milestones!$AC$140&amp;";  ","")&amp;IF(AND(EDATE($D84,Milestones!$AA$141)&lt;=AsOfDate,IF($Q84=0,$W84,IF(AND($S84&lt;&gt;"",EDATE($D84,Milestones!$AA$141)&gt;=$S84),$V84,IF(AND($R84&lt;&gt;"",EDATE($D84,Milestones!$AA$141)&gt;=$R84),$U84,$T84)))=Milestones!$AB$141),TEXT(EDATE($D84,Milestones!$AA$141),"dd/mm/yy")&amp;" "&amp;Milestones!$AB$141&amp;" "&amp;Milestones!$AC$141&amp;";  ","")&amp;IF(AND(EDATE($D84,Milestones!$AA$142)&lt;=AsOfDate,IF($Q84=0,$W84,IF(AND($S84&lt;&gt;"",EDATE($D84,Milestones!$AA$142)&gt;=$S84),$V84,IF(AND($R84&lt;&gt;"",EDATE($D84,Milestones!$AA$142)&gt;=$R84),$U84,$T84)))=Milestones!$AB$142),TEXT(EDATE($D84,Milestones!$AA$142),"dd/mm/yy")&amp;" "&amp;Milestones!$AB$142&amp;" "&amp;Milestones!$AC$142&amp;";  ","")&amp;IF(AND(EDATE($D84,Milestones!$AA$143)&lt;=AsOfDate,IF($Q84=0,$W84,IF(AND($S84&lt;&gt;"",EDATE($D84,Milestones!$AA$143)&gt;=$S84),$V84,IF(AND($R84&lt;&gt;"",EDATE($D84,Milestones!$AA$143)&gt;=$R84),$U84,$T84)))=Milestones!$AB$143),TEXT(EDATE($D84,Milestones!$AA$143),"dd/mm/yy")&amp;" "&amp;Milestones!$AB$143&amp;" "&amp;Milestones!$AC$143&amp;";  ","")&amp;IF(AND(EDATE($D84,Milestones!$AA$144)&lt;=AsOfDate,IF($Q84=0,$W84,IF(AND($S84&lt;&gt;"",EDATE($D84,Milestones!$AA$144)&gt;=$S84),$V84,IF(AND($R84&lt;&gt;"",EDATE($D84,Milestones!$AA$144)&gt;=$R84),$U84,$T84)))=Milestones!$AB$144),TEXT(EDATE($D84,Milestones!$AA$144),"dd/mm/yy")&amp;" "&amp;Milestones!$AB$144&amp;" "&amp;Milestones!$AC$144&amp;";  ","")&amp;IF(AND(EDATE($D84,Milestones!$AA$145)&lt;=AsOfDate,IF($Q84=0,$W84,IF(AND($S84&lt;&gt;"",EDATE($D84,Milestones!$AA$145)&gt;=$S84),$V84,IF(AND($R84&lt;&gt;"",EDATE($D84,Milestones!$AA$145)&gt;=$R84),$U84,$T84)))=Milestones!$AB$145),TEXT(EDATE($D84,Milestones!$AA$145),"dd/mm/yy")&amp;" "&amp;Milestones!$AB$145&amp;" "&amp;Milestones!$AC$145&amp;";  ","")&amp;IF(AND(EDATE($D84,Milestones!$AA$146)&lt;=AsOfDate,IF($Q84=0,$W84,IF(AND($S84&lt;&gt;"",EDATE($D84,Milestones!$AA$146)&gt;=$S84),$V84,IF(AND($R84&lt;&gt;"",EDATE($D84,Milestones!$AA$146)&gt;=$R84),$U84,$T84)))=Milestones!$AB$146),TEXT(EDATE($D84,Milestones!$AA$146),"dd/mm/yy")&amp;" "&amp;Milestones!$AB$146&amp;" "&amp;Milestones!$AC$146&amp;";  ","")&amp;IF(AND(EDATE($D84,Milestones!$AA$147)&lt;=AsOfDate,IF($Q84=0,$W84,IF(AND($S84&lt;&gt;"",EDATE($D84,Milestones!$AA$147)&gt;=$S84),$V84,IF(AND($R84&lt;&gt;"",EDATE($D84,Milestones!$AA$147)&gt;=$R84),$U84,$T84)))=Milestones!$AB$147),TEXT(EDATE($D84,Milestones!$AA$147),"dd/mm/yy")&amp;" "&amp;Milestones!$AB$147&amp;" "&amp;Milestones!$AC$147&amp;";  ","")&amp;IF(AND(EDATE($D84,Milestones!$AA$148)&lt;=AsOfDate,IF($Q84=0,$W84,IF(AND($S84&lt;&gt;"",EDATE($D84,Milestones!$AA$148)&gt;=$S84),$V84,IF(AND($R84&lt;&gt;"",EDATE($D84,Milestones!$AA$148)&gt;=$R84),$U84,$T84)))=Milestones!$AB$148),TEXT(EDATE($D84,Milestones!$AA$148),"dd/mm/yy")&amp;" "&amp;Milestones!$AB$148&amp;" "&amp;Milestones!$AC$148&amp;";  ","")&amp;IF(AND(EDATE($D84,Milestones!$AA$149)&lt;=AsOfDate,IF($Q84=0,$W84,IF(AND($S84&lt;&gt;"",EDATE($D84,Milestones!$AA$149)&gt;=$S84),$V84,IF(AND($R84&lt;&gt;"",EDATE($D84,Milestones!$AA$149)&gt;=$R84),$U84,$T84)))=Milestones!$AB$149),TEXT(EDATE($D84,Milestones!$AA$149),"dd/mm/yy")&amp;" "&amp;Milestones!$AB$149&amp;" "&amp;Milestones!$AC$149&amp;";  ","")&amp;IF(AND(EDATE($D84,Milestones!$AA$150)&lt;=AsOfDate,IF($Q84=0,$W84,IF(AND($S84&lt;&gt;"",EDATE($D84,Milestones!$AA$150)&gt;=$S84),$V84,IF(AND($R84&lt;&gt;"",EDATE($D84,Milestones!$AA$150)&gt;=$R84),$U84,$T84)))=Milestones!$AB$150),TEXT(EDATE($D84,Milestones!$AA$150),"dd/mm/yy")&amp;" "&amp;Milestones!$AB$150&amp;" "&amp;Milestones!$AC$150&amp;";  ","")&amp;IF(AND(EDATE($D84,Milestones!$AA$151)&lt;=AsOfDate,IF($Q84=0,$W84,IF(AND($S84&lt;&gt;"",EDATE($D84,Milestones!$AA$151)&gt;=$S84),$V84,IF(AND($R84&lt;&gt;"",EDATE($D84,Milestones!$AA$151)&gt;=$R84),$U84,$T84)))=Milestones!$AB$151),TEXT(EDATE($D84,Milestones!$AA$151),"dd/mm/yy")&amp;" "&amp;Milestones!$AB$151&amp;" "&amp;Milestones!$AC$151&amp;";  ","")&amp;IF(AND(EDATE($D84,Milestones!$AA$152)&lt;=AsOfDate,IF($Q84=0,$W84,IF(AND($S84&lt;&gt;"",EDATE($D84,Milestones!$AA$152)&gt;=$S84),$V84,IF(AND($R84&lt;&gt;"",EDATE($D84,Milestones!$AA$152)&gt;=$R84),$U84,$T84)))=Milestones!$AB$152),TEXT(EDATE($D84,Milestones!$AA$152),"dd/mm/yy")&amp;" "&amp;Milestones!$AB$152&amp;" "&amp;Milestones!$AC$152&amp;";  ","")&amp;IF(AND(EDATE($D84,Milestones!$AA$153)&lt;=AsOfDate,IF($Q84=0,$W84,IF(AND($S84&lt;&gt;"",EDATE($D84,Milestones!$AA$153)&gt;=$S84),$V84,IF(AND($R84&lt;&gt;"",EDATE($D84,Milestones!$AA$153)&gt;=$R84),$U84,$T84)))=Milestones!$AB$153),TEXT(EDATE($D84,Milestones!$AA$153),"dd/mm/yy")&amp;" "&amp;Milestones!$AB$153&amp;" "&amp;Milestones!$AC$153&amp;";  ","")&amp;IF(AND(EDATE($D84,Milestones!$AA$154)&lt;=AsOfDate,IF($Q84=0,$W84,IF(AND($S84&lt;&gt;"",EDATE($D84,Milestones!$AA$154)&gt;=$S84),$V84,IF(AND($R84&lt;&gt;"",EDATE($D84,Milestones!$AA$154)&gt;=$R84),$U84,$T84)))=Milestones!$AB$154),TEXT(EDATE($D84,Milestones!$AA$154),"dd/mm/yy")&amp;" "&amp;Milestones!$AB$154&amp;" "&amp;Milestones!$AC$154&amp;";  ","")&amp;IF(AND(EDATE($D84,Milestones!$AA$155)&lt;=AsOfDate,IF($Q84=0,$W84,IF(AND($S84&lt;&gt;"",EDATE($D84,Milestones!$AA$155)&gt;=$S84),$V84,IF(AND($R84&lt;&gt;"",EDATE($D84,Milestones!$AA$155)&gt;=$R84),$U84,$T84)))=Milestones!$AB$155),TEXT(EDATE($D84,Milestones!$AA$155),"dd/mm/yy")&amp;" "&amp;Milestones!$AB$155&amp;" "&amp;Milestones!$AC$155&amp;";  ","")&amp;IF(AND(EDATE($D84,Milestones!$AA$156)&lt;=AsOfDate,IF($Q84=0,$W84,IF(AND($S84&lt;&gt;"",EDATE($D84,Milestones!$AA$156)&gt;=$S84),$V84,IF(AND($R84&lt;&gt;"",EDATE($D84,Milestones!$AA$156)&gt;=$R84),$U84,$T84)))=Milestones!$AB$156),TEXT(EDATE($D84,Milestones!$AA$156),"dd/mm/yy")&amp;" "&amp;Milestones!$AB$156&amp;" "&amp;Milestones!$AC$156&amp;";  ","")&amp;IF(AND(EDATE($D84,Milestones!$AA$157)&lt;=AsOfDate,IF($Q84=0,$W84,IF(AND($S84&lt;&gt;"",EDATE($D84,Milestones!$AA$157)&gt;=$S84),$V84,IF(AND($R84&lt;&gt;"",EDATE($D84,Milestones!$AA$157)&gt;=$R84),$U84,$T84)))=Milestones!$AB$157),TEXT(EDATE($D84,Milestones!$AA$157),"dd/mm/yy")&amp;" "&amp;Milestones!$AB$157&amp;" "&amp;Milestones!$AC$157&amp;";  ","")&amp;IF(AND(EDATE($D84,Milestones!$AA$158)&lt;=AsOfDate,IF($Q84=0,$W84,IF(AND($S84&lt;&gt;"",EDATE($D84,Milestones!$AA$158)&gt;=$S84),$V84,IF(AND($R84&lt;&gt;"",EDATE($D84,Milestones!$AA$158)&gt;=$R84),$U84,$T84)))=Milestones!$AB$158),TEXT(EDATE($D84,Milestones!$AA$158),"dd/mm/yy")&amp;" "&amp;Milestones!$AB$158&amp;" "&amp;Milestones!$AC$158&amp;";  ","")&amp;IF(AND(EDATE($D84,Milestones!$AA$159)&lt;=AsOfDate,IF($Q84=0,$W84,IF(AND($S84&lt;&gt;"",EDATE($D84,Milestones!$AA$159)&gt;=$S84),$V84,IF(AND($R84&lt;&gt;"",EDATE($D84,Milestones!$AA$159)&gt;=$R84),$U84,$T84)))=Milestones!$AB$159),TEXT(EDATE($D84,Milestones!$AA$159),"dd/mm/yy")&amp;" "&amp;Milestones!$AB$159&amp;" "&amp;Milestones!$AC$159&amp;";  ",""))</f>
        <v/>
      </c>
      <c r="O84" s="0" t="str">
        <f aca="false">IF(OR($A84="",$D84=""),"",IF(AND(EDATE($D84,Milestones!$AA$160)&lt;=AsOfDate,IF($Q84=0,$W84,IF(AND($S84&lt;&gt;"",EDATE($D84,Milestones!$AA$160)&gt;=$S84),$V84,IF(AND($R84&lt;&gt;"",EDATE($D84,Milestones!$AA$160)&gt;=$R84),$U84,$T84)))=Milestones!$AB$160),TEXT(EDATE($D84,Milestones!$AA$160),"dd/mm/yy")&amp;" "&amp;Milestones!$AB$160&amp;" "&amp;Milestones!$AC$160&amp;";  ","")&amp;IF(AND(EDATE($D84,Milestones!$AA$161)&lt;=AsOfDate,IF($Q84=0,$W84,IF(AND($S84&lt;&gt;"",EDATE($D84,Milestones!$AA$161)&gt;=$S84),$V84,IF(AND($R84&lt;&gt;"",EDATE($D84,Milestones!$AA$161)&gt;=$R84),$U84,$T84)))=Milestones!$AB$161),TEXT(EDATE($D84,Milestones!$AA$161),"dd/mm/yy")&amp;" "&amp;Milestones!$AB$161&amp;" "&amp;Milestones!$AC$161&amp;";  ","")&amp;IF(AND(EDATE($D84,Milestones!$AA$162)&lt;=AsOfDate,IF($Q84=0,$W84,IF(AND($S84&lt;&gt;"",EDATE($D84,Milestones!$AA$162)&gt;=$S84),$V84,IF(AND($R84&lt;&gt;"",EDATE($D84,Milestones!$AA$162)&gt;=$R84),$U84,$T84)))=Milestones!$AB$162),TEXT(EDATE($D84,Milestones!$AA$162),"dd/mm/yy")&amp;" "&amp;Milestones!$AB$162&amp;" "&amp;Milestones!$AC$162&amp;";  ","")&amp;IF(AND(EDATE($D84,Milestones!$AA$163)&lt;=AsOfDate,IF($Q84=0,$W84,IF(AND($S84&lt;&gt;"",EDATE($D84,Milestones!$AA$163)&gt;=$S84),$V84,IF(AND($R84&lt;&gt;"",EDATE($D84,Milestones!$AA$163)&gt;=$R84),$U84,$T84)))=Milestones!$AB$163),TEXT(EDATE($D84,Milestones!$AA$163),"dd/mm/yy")&amp;" "&amp;Milestones!$AB$163&amp;" "&amp;Milestones!$AC$163&amp;";  ","")&amp;IF(AND(EDATE($D84,Milestones!$AA$164)&lt;=AsOfDate,IF($Q84=0,$W84,IF(AND($S84&lt;&gt;"",EDATE($D84,Milestones!$AA$164)&gt;=$S84),$V84,IF(AND($R84&lt;&gt;"",EDATE($D84,Milestones!$AA$164)&gt;=$R84),$U84,$T84)))=Milestones!$AB$164),TEXT(EDATE($D84,Milestones!$AA$164),"dd/mm/yy")&amp;" "&amp;Milestones!$AB$164&amp;" "&amp;Milestones!$AC$164&amp;";  ","")&amp;IF(AND(EDATE($D84,Milestones!$AA$165)&lt;=AsOfDate,IF($Q84=0,$W84,IF(AND($S84&lt;&gt;"",EDATE($D84,Milestones!$AA$165)&gt;=$S84),$V84,IF(AND($R84&lt;&gt;"",EDATE($D84,Milestones!$AA$165)&gt;=$R84),$U84,$T84)))=Milestones!$AB$165),TEXT(EDATE($D84,Milestones!$AA$165),"dd/mm/yy")&amp;" "&amp;Milestones!$AB$165&amp;" "&amp;Milestones!$AC$165&amp;";  ","")&amp;IF(AND(EDATE($D84,Milestones!$AA$166)&lt;=AsOfDate,IF($Q84=0,$W84,IF(AND($S84&lt;&gt;"",EDATE($D84,Milestones!$AA$166)&gt;=$S84),$V84,IF(AND($R84&lt;&gt;"",EDATE($D84,Milestones!$AA$166)&gt;=$R84),$U84,$T84)))=Milestones!$AB$166),TEXT(EDATE($D84,Milestones!$AA$166),"dd/mm/yy")&amp;" "&amp;Milestones!$AB$166&amp;" "&amp;Milestones!$AC$166&amp;";  ","")&amp;IF(AND(EDATE($D84,Milestones!$AA$167)&lt;=AsOfDate,IF($Q84=0,$W84,IF(AND($S84&lt;&gt;"",EDATE($D84,Milestones!$AA$167)&gt;=$S84),$V84,IF(AND($R84&lt;&gt;"",EDATE($D84,Milestones!$AA$167)&gt;=$R84),$U84,$T84)))=Milestones!$AB$167),TEXT(EDATE($D84,Milestones!$AA$167),"dd/mm/yy")&amp;" "&amp;Milestones!$AB$167&amp;" "&amp;Milestones!$AC$167&amp;";  ","")&amp;IF(AND(EDATE($D84,Milestones!$AA$168)&lt;=AsOfDate,IF($Q84=0,$W84,IF(AND($S84&lt;&gt;"",EDATE($D84,Milestones!$AA$168)&gt;=$S84),$V84,IF(AND($R84&lt;&gt;"",EDATE($D84,Milestones!$AA$168)&gt;=$R84),$U84,$T84)))=Milestones!$AB$168),TEXT(EDATE($D84,Milestones!$AA$168),"dd/mm/yy")&amp;" "&amp;Milestones!$AB$168&amp;" "&amp;Milestones!$AC$168&amp;";  ","")&amp;IF(AND(EDATE($D84,Milestones!$AA$169)&lt;=AsOfDate,IF($Q84=0,$W84,IF(AND($S84&lt;&gt;"",EDATE($D84,Milestones!$AA$169)&gt;=$S84),$V84,IF(AND($R84&lt;&gt;"",EDATE($D84,Milestones!$AA$169)&gt;=$R84),$U84,$T84)))=Milestones!$AB$169),TEXT(EDATE($D84,Milestones!$AA$169),"dd/mm/yy")&amp;" "&amp;Milestones!$AB$169&amp;" "&amp;Milestones!$AC$169&amp;";  ","")&amp;IF(AND(EDATE($D84,Milestones!$AA$170)&lt;=AsOfDate,IF($Q84=0,$W84,IF(AND($S84&lt;&gt;"",EDATE($D84,Milestones!$AA$170)&gt;=$S84),$V84,IF(AND($R84&lt;&gt;"",EDATE($D84,Milestones!$AA$170)&gt;=$R84),$U84,$T84)))=Milestones!$AB$170),TEXT(EDATE($D84,Milestones!$AA$170),"dd/mm/yy")&amp;" "&amp;Milestones!$AB$170&amp;" "&amp;Milestones!$AC$170&amp;";  ","")&amp;IF(AND(EDATE($D84,Milestones!$AA$171)&lt;=AsOfDate,IF($Q84=0,$W84,IF(AND($S84&lt;&gt;"",EDATE($D84,Milestones!$AA$171)&gt;=$S84),$V84,IF(AND($R84&lt;&gt;"",EDATE($D84,Milestones!$AA$171)&gt;=$R84),$U84,$T84)))=Milestones!$AB$171),TEXT(EDATE($D84,Milestones!$AA$171),"dd/mm/yy")&amp;" "&amp;Milestones!$AB$171&amp;" "&amp;Milestones!$AC$171&amp;";  ","")&amp;IF(AND(EDATE($D84,Milestones!$AA$172)&lt;=AsOfDate,IF($Q84=0,$W84,IF(AND($S84&lt;&gt;"",EDATE($D84,Milestones!$AA$172)&gt;=$S84),$V84,IF(AND($R84&lt;&gt;"",EDATE($D84,Milestones!$AA$172)&gt;=$R84),$U84,$T84)))=Milestones!$AB$172),TEXT(EDATE($D84,Milestones!$AA$172),"dd/mm/yy")&amp;" "&amp;Milestones!$AB$172&amp;" "&amp;Milestones!$AC$172&amp;";  ","")&amp;IF(AND(EDATE($D84,Milestones!$AA$173)&lt;=AsOfDate,IF($Q84=0,$W84,IF(AND($S84&lt;&gt;"",EDATE($D84,Milestones!$AA$173)&gt;=$S84),$V84,IF(AND($R84&lt;&gt;"",EDATE($D84,Milestones!$AA$173)&gt;=$R84),$U84,$T84)))=Milestones!$AB$173),TEXT(EDATE($D84,Milestones!$AA$173),"dd/mm/yy")&amp;" "&amp;Milestones!$AB$173&amp;" "&amp;Milestones!$AC$173&amp;";  ","")&amp;IF(AND(EDATE($D84,Milestones!$AA$174)&lt;=AsOfDate,IF($Q84=0,$W84,IF(AND($S84&lt;&gt;"",EDATE($D84,Milestones!$AA$174)&gt;=$S84),$V84,IF(AND($R84&lt;&gt;"",EDATE($D84,Milestones!$AA$174)&gt;=$R84),$U84,$T84)))=Milestones!$AB$174),TEXT(EDATE($D84,Milestones!$AA$174),"dd/mm/yy")&amp;" "&amp;Milestones!$AB$174&amp;" "&amp;Milestones!$AC$174&amp;";  ","")&amp;IF(AND(EDATE($D84,Milestones!$AA$175)&lt;=AsOfDate,IF($Q84=0,$W84,IF(AND($S84&lt;&gt;"",EDATE($D84,Milestones!$AA$175)&gt;=$S84),$V84,IF(AND($R84&lt;&gt;"",EDATE($D84,Milestones!$AA$175)&gt;=$R84),$U84,$T84)))=Milestones!$AB$175),TEXT(EDATE($D84,Milestones!$AA$175),"dd/mm/yy")&amp;" "&amp;Milestones!$AB$175&amp;" "&amp;Milestones!$AC$175&amp;";  ","")&amp;IF(AND(EDATE($D84,Milestones!$AA$176)&lt;=AsOfDate,IF($Q84=0,$W84,IF(AND($S84&lt;&gt;"",EDATE($D84,Milestones!$AA$176)&gt;=$S84),$V84,IF(AND($R84&lt;&gt;"",EDATE($D84,Milestones!$AA$176)&gt;=$R84),$U84,$T84)))=Milestones!$AB$176),TEXT(EDATE($D84,Milestones!$AA$176),"dd/mm/yy")&amp;" "&amp;Milestones!$AB$176&amp;" "&amp;Milestones!$AC$176&amp;";  ","")&amp;IF(AND(EDATE($D84,Milestones!$AA$177)&lt;=AsOfDate,IF($Q84=0,$W84,IF(AND($S84&lt;&gt;"",EDATE($D84,Milestones!$AA$177)&gt;=$S84),$V84,IF(AND($R84&lt;&gt;"",EDATE($D84,Milestones!$AA$177)&gt;=$R84),$U84,$T84)))=Milestones!$AB$177),TEXT(EDATE($D84,Milestones!$AA$177),"dd/mm/yy")&amp;" "&amp;Milestones!$AB$177&amp;" "&amp;Milestones!$AC$177&amp;";  ","")&amp;IF(AND(EDATE($D84,Milestones!$AA$178)&lt;=AsOfDate,IF($Q84=0,$W84,IF(AND($S84&lt;&gt;"",EDATE($D84,Milestones!$AA$178)&gt;=$S84),$V84,IF(AND($R84&lt;&gt;"",EDATE($D84,Milestones!$AA$178)&gt;=$R84),$U84,$T84)))=Milestones!$AB$178),TEXT(EDATE($D84,Milestones!$AA$178),"dd/mm/yy")&amp;" "&amp;Milestones!$AB$178&amp;" "&amp;Milestones!$AC$178&amp;";  ","")&amp;IF(AND(EDATE($D84,Milestones!$AA$179)&lt;=AsOfDate,IF($Q84=0,$W84,IF(AND($S84&lt;&gt;"",EDATE($D84,Milestones!$AA$179)&gt;=$S84),$V84,IF(AND($R84&lt;&gt;"",EDATE($D84,Milestones!$AA$179)&gt;=$R84),$U84,$T84)))=Milestones!$AB$179),TEXT(EDATE($D84,Milestones!$AA$179),"dd/mm/yy")&amp;" "&amp;Milestones!$AB$179&amp;" "&amp;Milestones!$AC$179&amp;";  ",""))</f>
        <v/>
      </c>
      <c r="P84" s="0" t="str">
        <f aca="false">IF(OR($A84="",$D84=""),"",IF(AND(EDATE($D84,Milestones!$AA$180)&lt;=AsOfDate,IF($Q84=0,$W84,IF(AND($S84&lt;&gt;"",EDATE($D84,Milestones!$AA$180)&gt;=$S84),$V84,IF(AND($R84&lt;&gt;"",EDATE($D84,Milestones!$AA$180)&gt;=$R84),$U84,$T84)))=Milestones!$AB$180),TEXT(EDATE($D84,Milestones!$AA$180),"dd/mm/yy")&amp;" "&amp;Milestones!$AB$180&amp;" "&amp;Milestones!$AC$180&amp;";  ","")&amp;IF(AND(EDATE($D84,Milestones!$AA$181)&lt;=AsOfDate,IF($Q84=0,$W84,IF(AND($S84&lt;&gt;"",EDATE($D84,Milestones!$AA$181)&gt;=$S84),$V84,IF(AND($R84&lt;&gt;"",EDATE($D84,Milestones!$AA$181)&gt;=$R84),$U84,$T84)))=Milestones!$AB$181),TEXT(EDATE($D84,Milestones!$AA$181),"dd/mm/yy")&amp;" "&amp;Milestones!$AB$181&amp;" "&amp;Milestones!$AC$181&amp;";  ","")&amp;IF(AND(EDATE($D84,Milestones!$AA$182)&lt;=AsOfDate,IF($Q84=0,$W84,IF(AND($S84&lt;&gt;"",EDATE($D84,Milestones!$AA$182)&gt;=$S84),$V84,IF(AND($R84&lt;&gt;"",EDATE($D84,Milestones!$AA$182)&gt;=$R84),$U84,$T84)))=Milestones!$AB$182),TEXT(EDATE($D84,Milestones!$AA$182),"dd/mm/yy")&amp;" "&amp;Milestones!$AB$182&amp;" "&amp;Milestones!$AC$182&amp;";  ","")&amp;IF(AND(EDATE($D84,Milestones!$AA$183)&lt;=AsOfDate,IF($Q84=0,$W84,IF(AND($S84&lt;&gt;"",EDATE($D84,Milestones!$AA$183)&gt;=$S84),$V84,IF(AND($R84&lt;&gt;"",EDATE($D84,Milestones!$AA$183)&gt;=$R84),$U84,$T84)))=Milestones!$AB$183),TEXT(EDATE($D84,Milestones!$AA$183),"dd/mm/yy")&amp;" "&amp;Milestones!$AB$183&amp;" "&amp;Milestones!$AC$183&amp;";  ","")&amp;IF(AND(EDATE($D84,Milestones!$AA$184)&lt;=AsOfDate,IF($Q84=0,$W84,IF(AND($S84&lt;&gt;"",EDATE($D84,Milestones!$AA$184)&gt;=$S84),$V84,IF(AND($R84&lt;&gt;"",EDATE($D84,Milestones!$AA$184)&gt;=$R84),$U84,$T84)))=Milestones!$AB$184),TEXT(EDATE($D84,Milestones!$AA$184),"dd/mm/yy")&amp;" "&amp;Milestones!$AB$184&amp;" "&amp;Milestones!$AC$184&amp;";  ","")&amp;IF(AND(EDATE($D84,Milestones!$AA$185)&lt;=AsOfDate,IF($Q84=0,$W84,IF(AND($S84&lt;&gt;"",EDATE($D84,Milestones!$AA$185)&gt;=$S84),$V84,IF(AND($R84&lt;&gt;"",EDATE($D84,Milestones!$AA$185)&gt;=$R84),$U84,$T84)))=Milestones!$AB$185),TEXT(EDATE($D84,Milestones!$AA$185),"dd/mm/yy")&amp;" "&amp;Milestones!$AB$185&amp;" "&amp;Milestones!$AC$185&amp;";  ","")&amp;IF(AND(EDATE($D84,Milestones!$AA$186)&lt;=AsOfDate,IF($Q84=0,$W84,IF(AND($S84&lt;&gt;"",EDATE($D84,Milestones!$AA$186)&gt;=$S84),$V84,IF(AND($R84&lt;&gt;"",EDATE($D84,Milestones!$AA$186)&gt;=$R84),$U84,$T84)))=Milestones!$AB$186),TEXT(EDATE($D84,Milestones!$AA$186),"dd/mm/yy")&amp;" "&amp;Milestones!$AB$186&amp;" "&amp;Milestones!$AC$186&amp;";  ","")&amp;IF(AND(EDATE($D84,Milestones!$AA$187)&lt;=AsOfDate,IF($Q84=0,$W84,IF(AND($S84&lt;&gt;"",EDATE($D84,Milestones!$AA$187)&gt;=$S84),$V84,IF(AND($R84&lt;&gt;"",EDATE($D84,Milestones!$AA$187)&gt;=$R84),$U84,$T84)))=Milestones!$AB$187),TEXT(EDATE($D84,Milestones!$AA$187),"dd/mm/yy")&amp;" "&amp;Milestones!$AB$187&amp;" "&amp;Milestones!$AC$187&amp;";  ","")&amp;IF(AND(EDATE($D84,Milestones!$AA$188)&lt;=AsOfDate,IF($Q84=0,$W84,IF(AND($S84&lt;&gt;"",EDATE($D84,Milestones!$AA$188)&gt;=$S84),$V84,IF(AND($R84&lt;&gt;"",EDATE($D84,Milestones!$AA$188)&gt;=$R84),$U84,$T84)))=Milestones!$AB$188),TEXT(EDATE($D84,Milestones!$AA$188),"dd/mm/yy")&amp;" "&amp;Milestones!$AB$188&amp;" "&amp;Milestones!$AC$188&amp;";  ","")&amp;IF(AND(EDATE($D84,Milestones!$AA$189)&lt;=AsOfDate,IF($Q84=0,$W84,IF(AND($S84&lt;&gt;"",EDATE($D84,Milestones!$AA$189)&gt;=$S84),$V84,IF(AND($R84&lt;&gt;"",EDATE($D84,Milestones!$AA$189)&gt;=$R84),$U84,$T84)))=Milestones!$AB$189),TEXT(EDATE($D84,Milestones!$AA$189),"dd/mm/yy")&amp;" "&amp;Milestones!$AB$189&amp;" "&amp;Milestones!$AC$189&amp;";  ","")&amp;IF(AND(EDATE($D84,Milestones!$AA$190)&lt;=AsOfDate,IF($Q84=0,$W84,IF(AND($S84&lt;&gt;"",EDATE($D84,Milestones!$AA$190)&gt;=$S84),$V84,IF(AND($R84&lt;&gt;"",EDATE($D84,Milestones!$AA$190)&gt;=$R84),$U84,$T84)))=Milestones!$AB$190),TEXT(EDATE($D84,Milestones!$AA$190),"dd/mm/yy")&amp;" "&amp;Milestones!$AB$190&amp;" "&amp;Milestones!$AC$190&amp;";  ","")&amp;IF(AND(EDATE($D84,Milestones!$AA$191)&lt;=AsOfDate,IF($Q84=0,$W84,IF(AND($S84&lt;&gt;"",EDATE($D84,Milestones!$AA$191)&gt;=$S84),$V84,IF(AND($R84&lt;&gt;"",EDATE($D84,Milestones!$AA$191)&gt;=$R84),$U84,$T84)))=Milestones!$AB$191),TEXT(EDATE($D84,Milestones!$AA$191),"dd/mm/yy")&amp;" "&amp;Milestones!$AB$191&amp;" "&amp;Milestones!$AC$191&amp;";  ","")&amp;IF(AND(EDATE($D84,Milestones!$AA$192)&lt;=AsOfDate,IF($Q84=0,$W84,IF(AND($S84&lt;&gt;"",EDATE($D84,Milestones!$AA$192)&gt;=$S84),$V84,IF(AND($R84&lt;&gt;"",EDATE($D84,Milestones!$AA$192)&gt;=$R84),$U84,$T84)))=Milestones!$AB$192),TEXT(EDATE($D84,Milestones!$AA$192),"dd/mm/yy")&amp;" "&amp;Milestones!$AB$192&amp;" "&amp;Milestones!$AC$192&amp;";  ","")&amp;IF(AND(EDATE($D84,Milestones!$AA$193)&lt;=AsOfDate,IF($Q84=0,$W84,IF(AND($S84&lt;&gt;"",EDATE($D84,Milestones!$AA$193)&gt;=$S84),$V84,IF(AND($R84&lt;&gt;"",EDATE($D84,Milestones!$AA$193)&gt;=$R84),$U84,$T84)))=Milestones!$AB$193),TEXT(EDATE($D84,Milestones!$AA$193),"dd/mm/yy")&amp;" "&amp;Milestones!$AB$193&amp;" "&amp;Milestones!$AC$193&amp;";  ","")&amp;IF(AND(EDATE($D84,Milestones!$AA$194)&lt;=AsOfDate,IF($Q84=0,$W84,IF(AND($S84&lt;&gt;"",EDATE($D84,Milestones!$AA$194)&gt;=$S84),$V84,IF(AND($R84&lt;&gt;"",EDATE($D84,Milestones!$AA$194)&gt;=$R84),$U84,$T84)))=Milestones!$AB$194),TEXT(EDATE($D84,Milestones!$AA$194),"dd/mm/yy")&amp;" "&amp;Milestones!$AB$194&amp;" "&amp;Milestones!$AC$194&amp;";  ","")&amp;IF(AND(EDATE($D84,Milestones!$AA$195)&lt;=AsOfDate,IF($Q84=0,$W84,IF(AND($S84&lt;&gt;"",EDATE($D84,Milestones!$AA$195)&gt;=$S84),$V84,IF(AND($R84&lt;&gt;"",EDATE($D84,Milestones!$AA$195)&gt;=$R84),$U84,$T84)))=Milestones!$AB$195),TEXT(EDATE($D84,Milestones!$AA$195),"dd/mm/yy")&amp;" "&amp;Milestones!$AB$195&amp;" "&amp;Milestones!$AC$195&amp;";  ","")&amp;IF(AND(EDATE($D84,Milestones!$AA$196)&lt;=AsOfDate,IF($Q84=0,$W84,IF(AND($S84&lt;&gt;"",EDATE($D84,Milestones!$AA$196)&gt;=$S84),$V84,IF(AND($R84&lt;&gt;"",EDATE($D84,Milestones!$AA$196)&gt;=$R84),$U84,$T84)))=Milestones!$AB$196),TEXT(EDATE($D84,Milestones!$AA$196),"dd/mm/yy")&amp;" "&amp;Milestones!$AB$196&amp;" "&amp;Milestones!$AC$196&amp;";  ","")&amp;IF(AND(EDATE($D84,Milestones!$AA$197)&lt;=AsOfDate,IF($Q84=0,$W84,IF(AND($S84&lt;&gt;"",EDATE($D84,Milestones!$AA$197)&gt;=$S84),$V84,IF(AND($R84&lt;&gt;"",EDATE($D84,Milestones!$AA$197)&gt;=$R84),$U84,$T84)))=Milestones!$AB$197),TEXT(EDATE($D84,Milestones!$AA$197),"dd/mm/yy")&amp;" "&amp;Milestones!$AB$197&amp;" "&amp;Milestones!$AC$197&amp;";  ","")&amp;IF(AND(EDATE($D84,Milestones!$AA$198)&lt;=AsOfDate,IF($Q84=0,$W84,IF(AND($S84&lt;&gt;"",EDATE($D84,Milestones!$AA$198)&gt;=$S84),$V84,IF(AND($R84&lt;&gt;"",EDATE($D84,Milestones!$AA$198)&gt;=$R84),$U84,$T84)))=Milestones!$AB$198),TEXT(EDATE($D84,Milestones!$AA$198),"dd/mm/yy")&amp;" "&amp;Milestones!$AB$198&amp;" "&amp;Milestones!$AC$198&amp;";  ","")&amp;IF(AND(EDATE($D84,Milestones!$AA$199)&lt;=AsOfDate,IF($Q84=0,$W84,IF(AND($S84&lt;&gt;"",EDATE($D84,Milestones!$AA$199)&gt;=$S84),$V84,IF(AND($R84&lt;&gt;"",EDATE($D84,Milestones!$AA$199)&gt;=$R84),$U84,$T84)))=Milestones!$AB$199),TEXT(EDATE($D84,Milestones!$AA$199),"dd/mm/yy")&amp;" "&amp;Milestones!$AB$199&amp;" "&amp;Milestones!$AC$199&amp;";  ",""))</f>
        <v/>
      </c>
      <c r="Q84" s="0" t="str">
        <f aca="false">IF(Staff!$A84="","",Staff!$AG84)</f>
        <v/>
      </c>
      <c r="R84" s="0" t="str">
        <f aca="false">IF(Staff!$A84="","",Staff!$AI84)</f>
        <v/>
      </c>
      <c r="S84" s="0" t="str">
        <f aca="false">IF(Staff!$A84="","",Staff!$AJ84)</f>
        <v/>
      </c>
      <c r="T84" s="0" t="str">
        <f aca="false">IF(Staff!$A84="","",Staff!$AN84)</f>
        <v/>
      </c>
      <c r="U84" s="0" t="str">
        <f aca="false">IF(Staff!$A84="","",Staff!$AO84)</f>
        <v/>
      </c>
      <c r="V84" s="0" t="str">
        <f aca="false">IF(Staff!$A84="","",Staff!$AP84)</f>
        <v/>
      </c>
      <c r="W84" s="0" t="str">
        <f aca="false">IF(Staff!$A84="","",Staff!$AQ84)</f>
        <v/>
      </c>
    </row>
    <row r="85" customFormat="false" ht="15" hidden="false" customHeight="false" outlineLevel="0" collapsed="false">
      <c r="A85" s="13" t="str">
        <f aca="false">IF(Staff!$A85="","",Staff!$A85)</f>
        <v/>
      </c>
      <c r="B85" s="13" t="str">
        <f aca="false">IF(Staff!$A85="","",Staff!$B85)</f>
        <v/>
      </c>
      <c r="C85" s="13" t="str">
        <f aca="false">IF(Staff!$A85="","",Staff!$C85)</f>
        <v/>
      </c>
      <c r="D85" s="11" t="str">
        <f aca="false">IF(Staff!$A85="","",Staff!$AF85)</f>
        <v/>
      </c>
      <c r="E85" s="13" t="str">
        <f aca="false">IF(Staff!$A85="","",Staff!$O85)</f>
        <v/>
      </c>
      <c r="F85" s="13" t="str">
        <f aca="false">IF(E85="","",E85*HoursPerDay)</f>
        <v/>
      </c>
      <c r="G85" s="26" t="str">
        <f aca="false">IF($A85="","",H85&amp;I85&amp;J85&amp;K85&amp;L85&amp;M85&amp;N85&amp;O85&amp;P85)</f>
        <v/>
      </c>
      <c r="H85" s="0" t="str">
        <f aca="false">IF(OR($A85="",$D85=""),"",IF(AND(EDATE($D85,Milestones!$AA$20)&lt;=AsOfDate,IF($Q85=0,$W85,IF(AND($S85&lt;&gt;"",EDATE($D85,Milestones!$AA$20)&gt;=$S85),$V85,IF(AND($R85&lt;&gt;"",EDATE($D85,Milestones!$AA$20)&gt;=$R85),$U85,$T85)))=Milestones!$AB$20),TEXT(EDATE($D85,Milestones!$AA$20),"dd/mm/yy")&amp;" "&amp;Milestones!$AB$20&amp;" "&amp;Milestones!$AC$20&amp;";  ","")&amp;IF(AND(EDATE($D85,Milestones!$AA$21)&lt;=AsOfDate,IF($Q85=0,$W85,IF(AND($S85&lt;&gt;"",EDATE($D85,Milestones!$AA$21)&gt;=$S85),$V85,IF(AND($R85&lt;&gt;"",EDATE($D85,Milestones!$AA$21)&gt;=$R85),$U85,$T85)))=Milestones!$AB$21),TEXT(EDATE($D85,Milestones!$AA$21),"dd/mm/yy")&amp;" "&amp;Milestones!$AB$21&amp;" "&amp;Milestones!$AC$21&amp;";  ","")&amp;IF(AND(EDATE($D85,Milestones!$AA$22)&lt;=AsOfDate,IF($Q85=0,$W85,IF(AND($S85&lt;&gt;"",EDATE($D85,Milestones!$AA$22)&gt;=$S85),$V85,IF(AND($R85&lt;&gt;"",EDATE($D85,Milestones!$AA$22)&gt;=$R85),$U85,$T85)))=Milestones!$AB$22),TEXT(EDATE($D85,Milestones!$AA$22),"dd/mm/yy")&amp;" "&amp;Milestones!$AB$22&amp;" "&amp;Milestones!$AC$22&amp;";  ","")&amp;IF(AND(EDATE($D85,Milestones!$AA$23)&lt;=AsOfDate,IF($Q85=0,$W85,IF(AND($S85&lt;&gt;"",EDATE($D85,Milestones!$AA$23)&gt;=$S85),$V85,IF(AND($R85&lt;&gt;"",EDATE($D85,Milestones!$AA$23)&gt;=$R85),$U85,$T85)))=Milestones!$AB$23),TEXT(EDATE($D85,Milestones!$AA$23),"dd/mm/yy")&amp;" "&amp;Milestones!$AB$23&amp;" "&amp;Milestones!$AC$23&amp;";  ","")&amp;IF(AND(EDATE($D85,Milestones!$AA$24)&lt;=AsOfDate,IF($Q85=0,$W85,IF(AND($S85&lt;&gt;"",EDATE($D85,Milestones!$AA$24)&gt;=$S85),$V85,IF(AND($R85&lt;&gt;"",EDATE($D85,Milestones!$AA$24)&gt;=$R85),$U85,$T85)))=Milestones!$AB$24),TEXT(EDATE($D85,Milestones!$AA$24),"dd/mm/yy")&amp;" "&amp;Milestones!$AB$24&amp;" "&amp;Milestones!$AC$24&amp;";  ","")&amp;IF(AND(EDATE($D85,Milestones!$AA$25)&lt;=AsOfDate,IF($Q85=0,$W85,IF(AND($S85&lt;&gt;"",EDATE($D85,Milestones!$AA$25)&gt;=$S85),$V85,IF(AND($R85&lt;&gt;"",EDATE($D85,Milestones!$AA$25)&gt;=$R85),$U85,$T85)))=Milestones!$AB$25),TEXT(EDATE($D85,Milestones!$AA$25),"dd/mm/yy")&amp;" "&amp;Milestones!$AB$25&amp;" "&amp;Milestones!$AC$25&amp;";  ","")&amp;IF(AND(EDATE($D85,Milestones!$AA$26)&lt;=AsOfDate,IF($Q85=0,$W85,IF(AND($S85&lt;&gt;"",EDATE($D85,Milestones!$AA$26)&gt;=$S85),$V85,IF(AND($R85&lt;&gt;"",EDATE($D85,Milestones!$AA$26)&gt;=$R85),$U85,$T85)))=Milestones!$AB$26),TEXT(EDATE($D85,Milestones!$AA$26),"dd/mm/yy")&amp;" "&amp;Milestones!$AB$26&amp;" "&amp;Milestones!$AC$26&amp;";  ","")&amp;IF(AND(EDATE($D85,Milestones!$AA$27)&lt;=AsOfDate,IF($Q85=0,$W85,IF(AND($S85&lt;&gt;"",EDATE($D85,Milestones!$AA$27)&gt;=$S85),$V85,IF(AND($R85&lt;&gt;"",EDATE($D85,Milestones!$AA$27)&gt;=$R85),$U85,$T85)))=Milestones!$AB$27),TEXT(EDATE($D85,Milestones!$AA$27),"dd/mm/yy")&amp;" "&amp;Milestones!$AB$27&amp;" "&amp;Milestones!$AC$27&amp;";  ","")&amp;IF(AND(EDATE($D85,Milestones!$AA$28)&lt;=AsOfDate,IF($Q85=0,$W85,IF(AND($S85&lt;&gt;"",EDATE($D85,Milestones!$AA$28)&gt;=$S85),$V85,IF(AND($R85&lt;&gt;"",EDATE($D85,Milestones!$AA$28)&gt;=$R85),$U85,$T85)))=Milestones!$AB$28),TEXT(EDATE($D85,Milestones!$AA$28),"dd/mm/yy")&amp;" "&amp;Milestones!$AB$28&amp;" "&amp;Milestones!$AC$28&amp;";  ","")&amp;IF(AND(EDATE($D85,Milestones!$AA$29)&lt;=AsOfDate,IF($Q85=0,$W85,IF(AND($S85&lt;&gt;"",EDATE($D85,Milestones!$AA$29)&gt;=$S85),$V85,IF(AND($R85&lt;&gt;"",EDATE($D85,Milestones!$AA$29)&gt;=$R85),$U85,$T85)))=Milestones!$AB$29),TEXT(EDATE($D85,Milestones!$AA$29),"dd/mm/yy")&amp;" "&amp;Milestones!$AB$29&amp;" "&amp;Milestones!$AC$29&amp;";  ","")&amp;IF(AND(EDATE($D85,Milestones!$AA$30)&lt;=AsOfDate,IF($Q85=0,$W85,IF(AND($S85&lt;&gt;"",EDATE($D85,Milestones!$AA$30)&gt;=$S85),$V85,IF(AND($R85&lt;&gt;"",EDATE($D85,Milestones!$AA$30)&gt;=$R85),$U85,$T85)))=Milestones!$AB$30),TEXT(EDATE($D85,Milestones!$AA$30),"dd/mm/yy")&amp;" "&amp;Milestones!$AB$30&amp;" "&amp;Milestones!$AC$30&amp;";  ","")&amp;IF(AND(EDATE($D85,Milestones!$AA$31)&lt;=AsOfDate,IF($Q85=0,$W85,IF(AND($S85&lt;&gt;"",EDATE($D85,Milestones!$AA$31)&gt;=$S85),$V85,IF(AND($R85&lt;&gt;"",EDATE($D85,Milestones!$AA$31)&gt;=$R85),$U85,$T85)))=Milestones!$AB$31),TEXT(EDATE($D85,Milestones!$AA$31),"dd/mm/yy")&amp;" "&amp;Milestones!$AB$31&amp;" "&amp;Milestones!$AC$31&amp;";  ","")&amp;IF(AND(EDATE($D85,Milestones!$AA$32)&lt;=AsOfDate,IF($Q85=0,$W85,IF(AND($S85&lt;&gt;"",EDATE($D85,Milestones!$AA$32)&gt;=$S85),$V85,IF(AND($R85&lt;&gt;"",EDATE($D85,Milestones!$AA$32)&gt;=$R85),$U85,$T85)))=Milestones!$AB$32),TEXT(EDATE($D85,Milestones!$AA$32),"dd/mm/yy")&amp;" "&amp;Milestones!$AB$32&amp;" "&amp;Milestones!$AC$32&amp;";  ","")&amp;IF(AND(EDATE($D85,Milestones!$AA$33)&lt;=AsOfDate,IF($Q85=0,$W85,IF(AND($S85&lt;&gt;"",EDATE($D85,Milestones!$AA$33)&gt;=$S85),$V85,IF(AND($R85&lt;&gt;"",EDATE($D85,Milestones!$AA$33)&gt;=$R85),$U85,$T85)))=Milestones!$AB$33),TEXT(EDATE($D85,Milestones!$AA$33),"dd/mm/yy")&amp;" "&amp;Milestones!$AB$33&amp;" "&amp;Milestones!$AC$33&amp;";  ","")&amp;IF(AND(EDATE($D85,Milestones!$AA$34)&lt;=AsOfDate,IF($Q85=0,$W85,IF(AND($S85&lt;&gt;"",EDATE($D85,Milestones!$AA$34)&gt;=$S85),$V85,IF(AND($R85&lt;&gt;"",EDATE($D85,Milestones!$AA$34)&gt;=$R85),$U85,$T85)))=Milestones!$AB$34),TEXT(EDATE($D85,Milestones!$AA$34),"dd/mm/yy")&amp;" "&amp;Milestones!$AB$34&amp;" "&amp;Milestones!$AC$34&amp;";  ","")&amp;IF(AND(EDATE($D85,Milestones!$AA$35)&lt;=AsOfDate,IF($Q85=0,$W85,IF(AND($S85&lt;&gt;"",EDATE($D85,Milestones!$AA$35)&gt;=$S85),$V85,IF(AND($R85&lt;&gt;"",EDATE($D85,Milestones!$AA$35)&gt;=$R85),$U85,$T85)))=Milestones!$AB$35),TEXT(EDATE($D85,Milestones!$AA$35),"dd/mm/yy")&amp;" "&amp;Milestones!$AB$35&amp;" "&amp;Milestones!$AC$35&amp;";  ","")&amp;IF(AND(EDATE($D85,Milestones!$AA$36)&lt;=AsOfDate,IF($Q85=0,$W85,IF(AND($S85&lt;&gt;"",EDATE($D85,Milestones!$AA$36)&gt;=$S85),$V85,IF(AND($R85&lt;&gt;"",EDATE($D85,Milestones!$AA$36)&gt;=$R85),$U85,$T85)))=Milestones!$AB$36),TEXT(EDATE($D85,Milestones!$AA$36),"dd/mm/yy")&amp;" "&amp;Milestones!$AB$36&amp;" "&amp;Milestones!$AC$36&amp;";  ","")&amp;IF(AND(EDATE($D85,Milestones!$AA$37)&lt;=AsOfDate,IF($Q85=0,$W85,IF(AND($S85&lt;&gt;"",EDATE($D85,Milestones!$AA$37)&gt;=$S85),$V85,IF(AND($R85&lt;&gt;"",EDATE($D85,Milestones!$AA$37)&gt;=$R85),$U85,$T85)))=Milestones!$AB$37),TEXT(EDATE($D85,Milestones!$AA$37),"dd/mm/yy")&amp;" "&amp;Milestones!$AB$37&amp;" "&amp;Milestones!$AC$37&amp;";  ","")&amp;IF(AND(EDATE($D85,Milestones!$AA$38)&lt;=AsOfDate,IF($Q85=0,$W85,IF(AND($S85&lt;&gt;"",EDATE($D85,Milestones!$AA$38)&gt;=$S85),$V85,IF(AND($R85&lt;&gt;"",EDATE($D85,Milestones!$AA$38)&gt;=$R85),$U85,$T85)))=Milestones!$AB$38),TEXT(EDATE($D85,Milestones!$AA$38),"dd/mm/yy")&amp;" "&amp;Milestones!$AB$38&amp;" "&amp;Milestones!$AC$38&amp;";  ","")&amp;IF(AND(EDATE($D85,Milestones!$AA$39)&lt;=AsOfDate,IF($Q85=0,$W85,IF(AND($S85&lt;&gt;"",EDATE($D85,Milestones!$AA$39)&gt;=$S85),$V85,IF(AND($R85&lt;&gt;"",EDATE($D85,Milestones!$AA$39)&gt;=$R85),$U85,$T85)))=Milestones!$AB$39),TEXT(EDATE($D85,Milestones!$AA$39),"dd/mm/yy")&amp;" "&amp;Milestones!$AB$39&amp;" "&amp;Milestones!$AC$39&amp;";  ",""))</f>
        <v/>
      </c>
      <c r="I85" s="0" t="str">
        <f aca="false">IF(OR($A85="",$D85=""),"",IF(AND(EDATE($D85,Milestones!$AA$40)&lt;=AsOfDate,IF($Q85=0,$W85,IF(AND($S85&lt;&gt;"",EDATE($D85,Milestones!$AA$40)&gt;=$S85),$V85,IF(AND($R85&lt;&gt;"",EDATE($D85,Milestones!$AA$40)&gt;=$R85),$U85,$T85)))=Milestones!$AB$40),TEXT(EDATE($D85,Milestones!$AA$40),"dd/mm/yy")&amp;" "&amp;Milestones!$AB$40&amp;" "&amp;Milestones!$AC$40&amp;";  ","")&amp;IF(AND(EDATE($D85,Milestones!$AA$41)&lt;=AsOfDate,IF($Q85=0,$W85,IF(AND($S85&lt;&gt;"",EDATE($D85,Milestones!$AA$41)&gt;=$S85),$V85,IF(AND($R85&lt;&gt;"",EDATE($D85,Milestones!$AA$41)&gt;=$R85),$U85,$T85)))=Milestones!$AB$41),TEXT(EDATE($D85,Milestones!$AA$41),"dd/mm/yy")&amp;" "&amp;Milestones!$AB$41&amp;" "&amp;Milestones!$AC$41&amp;";  ","")&amp;IF(AND(EDATE($D85,Milestones!$AA$42)&lt;=AsOfDate,IF($Q85=0,$W85,IF(AND($S85&lt;&gt;"",EDATE($D85,Milestones!$AA$42)&gt;=$S85),$V85,IF(AND($R85&lt;&gt;"",EDATE($D85,Milestones!$AA$42)&gt;=$R85),$U85,$T85)))=Milestones!$AB$42),TEXT(EDATE($D85,Milestones!$AA$42),"dd/mm/yy")&amp;" "&amp;Milestones!$AB$42&amp;" "&amp;Milestones!$AC$42&amp;";  ","")&amp;IF(AND(EDATE($D85,Milestones!$AA$43)&lt;=AsOfDate,IF($Q85=0,$W85,IF(AND($S85&lt;&gt;"",EDATE($D85,Milestones!$AA$43)&gt;=$S85),$V85,IF(AND($R85&lt;&gt;"",EDATE($D85,Milestones!$AA$43)&gt;=$R85),$U85,$T85)))=Milestones!$AB$43),TEXT(EDATE($D85,Milestones!$AA$43),"dd/mm/yy")&amp;" "&amp;Milestones!$AB$43&amp;" "&amp;Milestones!$AC$43&amp;";  ","")&amp;IF(AND(EDATE($D85,Milestones!$AA$44)&lt;=AsOfDate,IF($Q85=0,$W85,IF(AND($S85&lt;&gt;"",EDATE($D85,Milestones!$AA$44)&gt;=$S85),$V85,IF(AND($R85&lt;&gt;"",EDATE($D85,Milestones!$AA$44)&gt;=$R85),$U85,$T85)))=Milestones!$AB$44),TEXT(EDATE($D85,Milestones!$AA$44),"dd/mm/yy")&amp;" "&amp;Milestones!$AB$44&amp;" "&amp;Milestones!$AC$44&amp;";  ","")&amp;IF(AND(EDATE($D85,Milestones!$AA$45)&lt;=AsOfDate,IF($Q85=0,$W85,IF(AND($S85&lt;&gt;"",EDATE($D85,Milestones!$AA$45)&gt;=$S85),$V85,IF(AND($R85&lt;&gt;"",EDATE($D85,Milestones!$AA$45)&gt;=$R85),$U85,$T85)))=Milestones!$AB$45),TEXT(EDATE($D85,Milestones!$AA$45),"dd/mm/yy")&amp;" "&amp;Milestones!$AB$45&amp;" "&amp;Milestones!$AC$45&amp;";  ","")&amp;IF(AND(EDATE($D85,Milestones!$AA$46)&lt;=AsOfDate,IF($Q85=0,$W85,IF(AND($S85&lt;&gt;"",EDATE($D85,Milestones!$AA$46)&gt;=$S85),$V85,IF(AND($R85&lt;&gt;"",EDATE($D85,Milestones!$AA$46)&gt;=$R85),$U85,$T85)))=Milestones!$AB$46),TEXT(EDATE($D85,Milestones!$AA$46),"dd/mm/yy")&amp;" "&amp;Milestones!$AB$46&amp;" "&amp;Milestones!$AC$46&amp;";  ","")&amp;IF(AND(EDATE($D85,Milestones!$AA$47)&lt;=AsOfDate,IF($Q85=0,$W85,IF(AND($S85&lt;&gt;"",EDATE($D85,Milestones!$AA$47)&gt;=$S85),$V85,IF(AND($R85&lt;&gt;"",EDATE($D85,Milestones!$AA$47)&gt;=$R85),$U85,$T85)))=Milestones!$AB$47),TEXT(EDATE($D85,Milestones!$AA$47),"dd/mm/yy")&amp;" "&amp;Milestones!$AB$47&amp;" "&amp;Milestones!$AC$47&amp;";  ","")&amp;IF(AND(EDATE($D85,Milestones!$AA$48)&lt;=AsOfDate,IF($Q85=0,$W85,IF(AND($S85&lt;&gt;"",EDATE($D85,Milestones!$AA$48)&gt;=$S85),$V85,IF(AND($R85&lt;&gt;"",EDATE($D85,Milestones!$AA$48)&gt;=$R85),$U85,$T85)))=Milestones!$AB$48),TEXT(EDATE($D85,Milestones!$AA$48),"dd/mm/yy")&amp;" "&amp;Milestones!$AB$48&amp;" "&amp;Milestones!$AC$48&amp;";  ","")&amp;IF(AND(EDATE($D85,Milestones!$AA$49)&lt;=AsOfDate,IF($Q85=0,$W85,IF(AND($S85&lt;&gt;"",EDATE($D85,Milestones!$AA$49)&gt;=$S85),$V85,IF(AND($R85&lt;&gt;"",EDATE($D85,Milestones!$AA$49)&gt;=$R85),$U85,$T85)))=Milestones!$AB$49),TEXT(EDATE($D85,Milestones!$AA$49),"dd/mm/yy")&amp;" "&amp;Milestones!$AB$49&amp;" "&amp;Milestones!$AC$49&amp;";  ","")&amp;IF(AND(EDATE($D85,Milestones!$AA$50)&lt;=AsOfDate,IF($Q85=0,$W85,IF(AND($S85&lt;&gt;"",EDATE($D85,Milestones!$AA$50)&gt;=$S85),$V85,IF(AND($R85&lt;&gt;"",EDATE($D85,Milestones!$AA$50)&gt;=$R85),$U85,$T85)))=Milestones!$AB$50),TEXT(EDATE($D85,Milestones!$AA$50),"dd/mm/yy")&amp;" "&amp;Milestones!$AB$50&amp;" "&amp;Milestones!$AC$50&amp;";  ","")&amp;IF(AND(EDATE($D85,Milestones!$AA$51)&lt;=AsOfDate,IF($Q85=0,$W85,IF(AND($S85&lt;&gt;"",EDATE($D85,Milestones!$AA$51)&gt;=$S85),$V85,IF(AND($R85&lt;&gt;"",EDATE($D85,Milestones!$AA$51)&gt;=$R85),$U85,$T85)))=Milestones!$AB$51),TEXT(EDATE($D85,Milestones!$AA$51),"dd/mm/yy")&amp;" "&amp;Milestones!$AB$51&amp;" "&amp;Milestones!$AC$51&amp;";  ","")&amp;IF(AND(EDATE($D85,Milestones!$AA$52)&lt;=AsOfDate,IF($Q85=0,$W85,IF(AND($S85&lt;&gt;"",EDATE($D85,Milestones!$AA$52)&gt;=$S85),$V85,IF(AND($R85&lt;&gt;"",EDATE($D85,Milestones!$AA$52)&gt;=$R85),$U85,$T85)))=Milestones!$AB$52),TEXT(EDATE($D85,Milestones!$AA$52),"dd/mm/yy")&amp;" "&amp;Milestones!$AB$52&amp;" "&amp;Milestones!$AC$52&amp;";  ","")&amp;IF(AND(EDATE($D85,Milestones!$AA$53)&lt;=AsOfDate,IF($Q85=0,$W85,IF(AND($S85&lt;&gt;"",EDATE($D85,Milestones!$AA$53)&gt;=$S85),$V85,IF(AND($R85&lt;&gt;"",EDATE($D85,Milestones!$AA$53)&gt;=$R85),$U85,$T85)))=Milestones!$AB$53),TEXT(EDATE($D85,Milestones!$AA$53),"dd/mm/yy")&amp;" "&amp;Milestones!$AB$53&amp;" "&amp;Milestones!$AC$53&amp;";  ","")&amp;IF(AND(EDATE($D85,Milestones!$AA$54)&lt;=AsOfDate,IF($Q85=0,$W85,IF(AND($S85&lt;&gt;"",EDATE($D85,Milestones!$AA$54)&gt;=$S85),$V85,IF(AND($R85&lt;&gt;"",EDATE($D85,Milestones!$AA$54)&gt;=$R85),$U85,$T85)))=Milestones!$AB$54),TEXT(EDATE($D85,Milestones!$AA$54),"dd/mm/yy")&amp;" "&amp;Milestones!$AB$54&amp;" "&amp;Milestones!$AC$54&amp;";  ","")&amp;IF(AND(EDATE($D85,Milestones!$AA$55)&lt;=AsOfDate,IF($Q85=0,$W85,IF(AND($S85&lt;&gt;"",EDATE($D85,Milestones!$AA$55)&gt;=$S85),$V85,IF(AND($R85&lt;&gt;"",EDATE($D85,Milestones!$AA$55)&gt;=$R85),$U85,$T85)))=Milestones!$AB$55),TEXT(EDATE($D85,Milestones!$AA$55),"dd/mm/yy")&amp;" "&amp;Milestones!$AB$55&amp;" "&amp;Milestones!$AC$55&amp;";  ","")&amp;IF(AND(EDATE($D85,Milestones!$AA$56)&lt;=AsOfDate,IF($Q85=0,$W85,IF(AND($S85&lt;&gt;"",EDATE($D85,Milestones!$AA$56)&gt;=$S85),$V85,IF(AND($R85&lt;&gt;"",EDATE($D85,Milestones!$AA$56)&gt;=$R85),$U85,$T85)))=Milestones!$AB$56),TEXT(EDATE($D85,Milestones!$AA$56),"dd/mm/yy")&amp;" "&amp;Milestones!$AB$56&amp;" "&amp;Milestones!$AC$56&amp;";  ","")&amp;IF(AND(EDATE($D85,Milestones!$AA$57)&lt;=AsOfDate,IF($Q85=0,$W85,IF(AND($S85&lt;&gt;"",EDATE($D85,Milestones!$AA$57)&gt;=$S85),$V85,IF(AND($R85&lt;&gt;"",EDATE($D85,Milestones!$AA$57)&gt;=$R85),$U85,$T85)))=Milestones!$AB$57),TEXT(EDATE($D85,Milestones!$AA$57),"dd/mm/yy")&amp;" "&amp;Milestones!$AB$57&amp;" "&amp;Milestones!$AC$57&amp;";  ","")&amp;IF(AND(EDATE($D85,Milestones!$AA$58)&lt;=AsOfDate,IF($Q85=0,$W85,IF(AND($S85&lt;&gt;"",EDATE($D85,Milestones!$AA$58)&gt;=$S85),$V85,IF(AND($R85&lt;&gt;"",EDATE($D85,Milestones!$AA$58)&gt;=$R85),$U85,$T85)))=Milestones!$AB$58),TEXT(EDATE($D85,Milestones!$AA$58),"dd/mm/yy")&amp;" "&amp;Milestones!$AB$58&amp;" "&amp;Milestones!$AC$58&amp;";  ","")&amp;IF(AND(EDATE($D85,Milestones!$AA$59)&lt;=AsOfDate,IF($Q85=0,$W85,IF(AND($S85&lt;&gt;"",EDATE($D85,Milestones!$AA$59)&gt;=$S85),$V85,IF(AND($R85&lt;&gt;"",EDATE($D85,Milestones!$AA$59)&gt;=$R85),$U85,$T85)))=Milestones!$AB$59),TEXT(EDATE($D85,Milestones!$AA$59),"dd/mm/yy")&amp;" "&amp;Milestones!$AB$59&amp;" "&amp;Milestones!$AC$59&amp;";  ",""))</f>
        <v/>
      </c>
      <c r="J85" s="0" t="str">
        <f aca="false">IF(OR($A85="",$D85=""),"",IF(AND(EDATE($D85,Milestones!$AA$60)&lt;=AsOfDate,IF($Q85=0,$W85,IF(AND($S85&lt;&gt;"",EDATE($D85,Milestones!$AA$60)&gt;=$S85),$V85,IF(AND($R85&lt;&gt;"",EDATE($D85,Milestones!$AA$60)&gt;=$R85),$U85,$T85)))=Milestones!$AB$60),TEXT(EDATE($D85,Milestones!$AA$60),"dd/mm/yy")&amp;" "&amp;Milestones!$AB$60&amp;" "&amp;Milestones!$AC$60&amp;";  ","")&amp;IF(AND(EDATE($D85,Milestones!$AA$61)&lt;=AsOfDate,IF($Q85=0,$W85,IF(AND($S85&lt;&gt;"",EDATE($D85,Milestones!$AA$61)&gt;=$S85),$V85,IF(AND($R85&lt;&gt;"",EDATE($D85,Milestones!$AA$61)&gt;=$R85),$U85,$T85)))=Milestones!$AB$61),TEXT(EDATE($D85,Milestones!$AA$61),"dd/mm/yy")&amp;" "&amp;Milestones!$AB$61&amp;" "&amp;Milestones!$AC$61&amp;";  ","")&amp;IF(AND(EDATE($D85,Milestones!$AA$62)&lt;=AsOfDate,IF($Q85=0,$W85,IF(AND($S85&lt;&gt;"",EDATE($D85,Milestones!$AA$62)&gt;=$S85),$V85,IF(AND($R85&lt;&gt;"",EDATE($D85,Milestones!$AA$62)&gt;=$R85),$U85,$T85)))=Milestones!$AB$62),TEXT(EDATE($D85,Milestones!$AA$62),"dd/mm/yy")&amp;" "&amp;Milestones!$AB$62&amp;" "&amp;Milestones!$AC$62&amp;";  ","")&amp;IF(AND(EDATE($D85,Milestones!$AA$63)&lt;=AsOfDate,IF($Q85=0,$W85,IF(AND($S85&lt;&gt;"",EDATE($D85,Milestones!$AA$63)&gt;=$S85),$V85,IF(AND($R85&lt;&gt;"",EDATE($D85,Milestones!$AA$63)&gt;=$R85),$U85,$T85)))=Milestones!$AB$63),TEXT(EDATE($D85,Milestones!$AA$63),"dd/mm/yy")&amp;" "&amp;Milestones!$AB$63&amp;" "&amp;Milestones!$AC$63&amp;";  ","")&amp;IF(AND(EDATE($D85,Milestones!$AA$64)&lt;=AsOfDate,IF($Q85=0,$W85,IF(AND($S85&lt;&gt;"",EDATE($D85,Milestones!$AA$64)&gt;=$S85),$V85,IF(AND($R85&lt;&gt;"",EDATE($D85,Milestones!$AA$64)&gt;=$R85),$U85,$T85)))=Milestones!$AB$64),TEXT(EDATE($D85,Milestones!$AA$64),"dd/mm/yy")&amp;" "&amp;Milestones!$AB$64&amp;" "&amp;Milestones!$AC$64&amp;";  ","")&amp;IF(AND(EDATE($D85,Milestones!$AA$65)&lt;=AsOfDate,IF($Q85=0,$W85,IF(AND($S85&lt;&gt;"",EDATE($D85,Milestones!$AA$65)&gt;=$S85),$V85,IF(AND($R85&lt;&gt;"",EDATE($D85,Milestones!$AA$65)&gt;=$R85),$U85,$T85)))=Milestones!$AB$65),TEXT(EDATE($D85,Milestones!$AA$65),"dd/mm/yy")&amp;" "&amp;Milestones!$AB$65&amp;" "&amp;Milestones!$AC$65&amp;";  ","")&amp;IF(AND(EDATE($D85,Milestones!$AA$66)&lt;=AsOfDate,IF($Q85=0,$W85,IF(AND($S85&lt;&gt;"",EDATE($D85,Milestones!$AA$66)&gt;=$S85),$V85,IF(AND($R85&lt;&gt;"",EDATE($D85,Milestones!$AA$66)&gt;=$R85),$U85,$T85)))=Milestones!$AB$66),TEXT(EDATE($D85,Milestones!$AA$66),"dd/mm/yy")&amp;" "&amp;Milestones!$AB$66&amp;" "&amp;Milestones!$AC$66&amp;";  ","")&amp;IF(AND(EDATE($D85,Milestones!$AA$67)&lt;=AsOfDate,IF($Q85=0,$W85,IF(AND($S85&lt;&gt;"",EDATE($D85,Milestones!$AA$67)&gt;=$S85),$V85,IF(AND($R85&lt;&gt;"",EDATE($D85,Milestones!$AA$67)&gt;=$R85),$U85,$T85)))=Milestones!$AB$67),TEXT(EDATE($D85,Milestones!$AA$67),"dd/mm/yy")&amp;" "&amp;Milestones!$AB$67&amp;" "&amp;Milestones!$AC$67&amp;";  ","")&amp;IF(AND(EDATE($D85,Milestones!$AA$68)&lt;=AsOfDate,IF($Q85=0,$W85,IF(AND($S85&lt;&gt;"",EDATE($D85,Milestones!$AA$68)&gt;=$S85),$V85,IF(AND($R85&lt;&gt;"",EDATE($D85,Milestones!$AA$68)&gt;=$R85),$U85,$T85)))=Milestones!$AB$68),TEXT(EDATE($D85,Milestones!$AA$68),"dd/mm/yy")&amp;" "&amp;Milestones!$AB$68&amp;" "&amp;Milestones!$AC$68&amp;";  ","")&amp;IF(AND(EDATE($D85,Milestones!$AA$69)&lt;=AsOfDate,IF($Q85=0,$W85,IF(AND($S85&lt;&gt;"",EDATE($D85,Milestones!$AA$69)&gt;=$S85),$V85,IF(AND($R85&lt;&gt;"",EDATE($D85,Milestones!$AA$69)&gt;=$R85),$U85,$T85)))=Milestones!$AB$69),TEXT(EDATE($D85,Milestones!$AA$69),"dd/mm/yy")&amp;" "&amp;Milestones!$AB$69&amp;" "&amp;Milestones!$AC$69&amp;";  ","")&amp;IF(AND(EDATE($D85,Milestones!$AA$70)&lt;=AsOfDate,IF($Q85=0,$W85,IF(AND($S85&lt;&gt;"",EDATE($D85,Milestones!$AA$70)&gt;=$S85),$V85,IF(AND($R85&lt;&gt;"",EDATE($D85,Milestones!$AA$70)&gt;=$R85),$U85,$T85)))=Milestones!$AB$70),TEXT(EDATE($D85,Milestones!$AA$70),"dd/mm/yy")&amp;" "&amp;Milestones!$AB$70&amp;" "&amp;Milestones!$AC$70&amp;";  ","")&amp;IF(AND(EDATE($D85,Milestones!$AA$71)&lt;=AsOfDate,IF($Q85=0,$W85,IF(AND($S85&lt;&gt;"",EDATE($D85,Milestones!$AA$71)&gt;=$S85),$V85,IF(AND($R85&lt;&gt;"",EDATE($D85,Milestones!$AA$71)&gt;=$R85),$U85,$T85)))=Milestones!$AB$71),TEXT(EDATE($D85,Milestones!$AA$71),"dd/mm/yy")&amp;" "&amp;Milestones!$AB$71&amp;" "&amp;Milestones!$AC$71&amp;";  ","")&amp;IF(AND(EDATE($D85,Milestones!$AA$72)&lt;=AsOfDate,IF($Q85=0,$W85,IF(AND($S85&lt;&gt;"",EDATE($D85,Milestones!$AA$72)&gt;=$S85),$V85,IF(AND($R85&lt;&gt;"",EDATE($D85,Milestones!$AA$72)&gt;=$R85),$U85,$T85)))=Milestones!$AB$72),TEXT(EDATE($D85,Milestones!$AA$72),"dd/mm/yy")&amp;" "&amp;Milestones!$AB$72&amp;" "&amp;Milestones!$AC$72&amp;";  ","")&amp;IF(AND(EDATE($D85,Milestones!$AA$73)&lt;=AsOfDate,IF($Q85=0,$W85,IF(AND($S85&lt;&gt;"",EDATE($D85,Milestones!$AA$73)&gt;=$S85),$V85,IF(AND($R85&lt;&gt;"",EDATE($D85,Milestones!$AA$73)&gt;=$R85),$U85,$T85)))=Milestones!$AB$73),TEXT(EDATE($D85,Milestones!$AA$73),"dd/mm/yy")&amp;" "&amp;Milestones!$AB$73&amp;" "&amp;Milestones!$AC$73&amp;";  ","")&amp;IF(AND(EDATE($D85,Milestones!$AA$74)&lt;=AsOfDate,IF($Q85=0,$W85,IF(AND($S85&lt;&gt;"",EDATE($D85,Milestones!$AA$74)&gt;=$S85),$V85,IF(AND($R85&lt;&gt;"",EDATE($D85,Milestones!$AA$74)&gt;=$R85),$U85,$T85)))=Milestones!$AB$74),TEXT(EDATE($D85,Milestones!$AA$74),"dd/mm/yy")&amp;" "&amp;Milestones!$AB$74&amp;" "&amp;Milestones!$AC$74&amp;";  ","")&amp;IF(AND(EDATE($D85,Milestones!$AA$75)&lt;=AsOfDate,IF($Q85=0,$W85,IF(AND($S85&lt;&gt;"",EDATE($D85,Milestones!$AA$75)&gt;=$S85),$V85,IF(AND($R85&lt;&gt;"",EDATE($D85,Milestones!$AA$75)&gt;=$R85),$U85,$T85)))=Milestones!$AB$75),TEXT(EDATE($D85,Milestones!$AA$75),"dd/mm/yy")&amp;" "&amp;Milestones!$AB$75&amp;" "&amp;Milestones!$AC$75&amp;";  ","")&amp;IF(AND(EDATE($D85,Milestones!$AA$76)&lt;=AsOfDate,IF($Q85=0,$W85,IF(AND($S85&lt;&gt;"",EDATE($D85,Milestones!$AA$76)&gt;=$S85),$V85,IF(AND($R85&lt;&gt;"",EDATE($D85,Milestones!$AA$76)&gt;=$R85),$U85,$T85)))=Milestones!$AB$76),TEXT(EDATE($D85,Milestones!$AA$76),"dd/mm/yy")&amp;" "&amp;Milestones!$AB$76&amp;" "&amp;Milestones!$AC$76&amp;";  ","")&amp;IF(AND(EDATE($D85,Milestones!$AA$77)&lt;=AsOfDate,IF($Q85=0,$W85,IF(AND($S85&lt;&gt;"",EDATE($D85,Milestones!$AA$77)&gt;=$S85),$V85,IF(AND($R85&lt;&gt;"",EDATE($D85,Milestones!$AA$77)&gt;=$R85),$U85,$T85)))=Milestones!$AB$77),TEXT(EDATE($D85,Milestones!$AA$77),"dd/mm/yy")&amp;" "&amp;Milestones!$AB$77&amp;" "&amp;Milestones!$AC$77&amp;";  ","")&amp;IF(AND(EDATE($D85,Milestones!$AA$78)&lt;=AsOfDate,IF($Q85=0,$W85,IF(AND($S85&lt;&gt;"",EDATE($D85,Milestones!$AA$78)&gt;=$S85),$V85,IF(AND($R85&lt;&gt;"",EDATE($D85,Milestones!$AA$78)&gt;=$R85),$U85,$T85)))=Milestones!$AB$78),TEXT(EDATE($D85,Milestones!$AA$78),"dd/mm/yy")&amp;" "&amp;Milestones!$AB$78&amp;" "&amp;Milestones!$AC$78&amp;";  ","")&amp;IF(AND(EDATE($D85,Milestones!$AA$79)&lt;=AsOfDate,IF($Q85=0,$W85,IF(AND($S85&lt;&gt;"",EDATE($D85,Milestones!$AA$79)&gt;=$S85),$V85,IF(AND($R85&lt;&gt;"",EDATE($D85,Milestones!$AA$79)&gt;=$R85),$U85,$T85)))=Milestones!$AB$79),TEXT(EDATE($D85,Milestones!$AA$79),"dd/mm/yy")&amp;" "&amp;Milestones!$AB$79&amp;" "&amp;Milestones!$AC$79&amp;";  ",""))</f>
        <v/>
      </c>
      <c r="K85" s="0" t="str">
        <f aca="false">IF(OR($A85="",$D85=""),"",IF(AND(EDATE($D85,Milestones!$AA$80)&lt;=AsOfDate,IF($Q85=0,$W85,IF(AND($S85&lt;&gt;"",EDATE($D85,Milestones!$AA$80)&gt;=$S85),$V85,IF(AND($R85&lt;&gt;"",EDATE($D85,Milestones!$AA$80)&gt;=$R85),$U85,$T85)))=Milestones!$AB$80),TEXT(EDATE($D85,Milestones!$AA$80),"dd/mm/yy")&amp;" "&amp;Milestones!$AB$80&amp;" "&amp;Milestones!$AC$80&amp;";  ","")&amp;IF(AND(EDATE($D85,Milestones!$AA$81)&lt;=AsOfDate,IF($Q85=0,$W85,IF(AND($S85&lt;&gt;"",EDATE($D85,Milestones!$AA$81)&gt;=$S85),$V85,IF(AND($R85&lt;&gt;"",EDATE($D85,Milestones!$AA$81)&gt;=$R85),$U85,$T85)))=Milestones!$AB$81),TEXT(EDATE($D85,Milestones!$AA$81),"dd/mm/yy")&amp;" "&amp;Milestones!$AB$81&amp;" "&amp;Milestones!$AC$81&amp;";  ","")&amp;IF(AND(EDATE($D85,Milestones!$AA$82)&lt;=AsOfDate,IF($Q85=0,$W85,IF(AND($S85&lt;&gt;"",EDATE($D85,Milestones!$AA$82)&gt;=$S85),$V85,IF(AND($R85&lt;&gt;"",EDATE($D85,Milestones!$AA$82)&gt;=$R85),$U85,$T85)))=Milestones!$AB$82),TEXT(EDATE($D85,Milestones!$AA$82),"dd/mm/yy")&amp;" "&amp;Milestones!$AB$82&amp;" "&amp;Milestones!$AC$82&amp;";  ","")&amp;IF(AND(EDATE($D85,Milestones!$AA$83)&lt;=AsOfDate,IF($Q85=0,$W85,IF(AND($S85&lt;&gt;"",EDATE($D85,Milestones!$AA$83)&gt;=$S85),$V85,IF(AND($R85&lt;&gt;"",EDATE($D85,Milestones!$AA$83)&gt;=$R85),$U85,$T85)))=Milestones!$AB$83),TEXT(EDATE($D85,Milestones!$AA$83),"dd/mm/yy")&amp;" "&amp;Milestones!$AB$83&amp;" "&amp;Milestones!$AC$83&amp;";  ","")&amp;IF(AND(EDATE($D85,Milestones!$AA$84)&lt;=AsOfDate,IF($Q85=0,$W85,IF(AND($S85&lt;&gt;"",EDATE($D85,Milestones!$AA$84)&gt;=$S85),$V85,IF(AND($R85&lt;&gt;"",EDATE($D85,Milestones!$AA$84)&gt;=$R85),$U85,$T85)))=Milestones!$AB$84),TEXT(EDATE($D85,Milestones!$AA$84),"dd/mm/yy")&amp;" "&amp;Milestones!$AB$84&amp;" "&amp;Milestones!$AC$84&amp;";  ","")&amp;IF(AND(EDATE($D85,Milestones!$AA$85)&lt;=AsOfDate,IF($Q85=0,$W85,IF(AND($S85&lt;&gt;"",EDATE($D85,Milestones!$AA$85)&gt;=$S85),$V85,IF(AND($R85&lt;&gt;"",EDATE($D85,Milestones!$AA$85)&gt;=$R85),$U85,$T85)))=Milestones!$AB$85),TEXT(EDATE($D85,Milestones!$AA$85),"dd/mm/yy")&amp;" "&amp;Milestones!$AB$85&amp;" "&amp;Milestones!$AC$85&amp;";  ","")&amp;IF(AND(EDATE($D85,Milestones!$AA$86)&lt;=AsOfDate,IF($Q85=0,$W85,IF(AND($S85&lt;&gt;"",EDATE($D85,Milestones!$AA$86)&gt;=$S85),$V85,IF(AND($R85&lt;&gt;"",EDATE($D85,Milestones!$AA$86)&gt;=$R85),$U85,$T85)))=Milestones!$AB$86),TEXT(EDATE($D85,Milestones!$AA$86),"dd/mm/yy")&amp;" "&amp;Milestones!$AB$86&amp;" "&amp;Milestones!$AC$86&amp;";  ","")&amp;IF(AND(EDATE($D85,Milestones!$AA$87)&lt;=AsOfDate,IF($Q85=0,$W85,IF(AND($S85&lt;&gt;"",EDATE($D85,Milestones!$AA$87)&gt;=$S85),$V85,IF(AND($R85&lt;&gt;"",EDATE($D85,Milestones!$AA$87)&gt;=$R85),$U85,$T85)))=Milestones!$AB$87),TEXT(EDATE($D85,Milestones!$AA$87),"dd/mm/yy")&amp;" "&amp;Milestones!$AB$87&amp;" "&amp;Milestones!$AC$87&amp;";  ","")&amp;IF(AND(EDATE($D85,Milestones!$AA$88)&lt;=AsOfDate,IF($Q85=0,$W85,IF(AND($S85&lt;&gt;"",EDATE($D85,Milestones!$AA$88)&gt;=$S85),$V85,IF(AND($R85&lt;&gt;"",EDATE($D85,Milestones!$AA$88)&gt;=$R85),$U85,$T85)))=Milestones!$AB$88),TEXT(EDATE($D85,Milestones!$AA$88),"dd/mm/yy")&amp;" "&amp;Milestones!$AB$88&amp;" "&amp;Milestones!$AC$88&amp;";  ","")&amp;IF(AND(EDATE($D85,Milestones!$AA$89)&lt;=AsOfDate,IF($Q85=0,$W85,IF(AND($S85&lt;&gt;"",EDATE($D85,Milestones!$AA$89)&gt;=$S85),$V85,IF(AND($R85&lt;&gt;"",EDATE($D85,Milestones!$AA$89)&gt;=$R85),$U85,$T85)))=Milestones!$AB$89),TEXT(EDATE($D85,Milestones!$AA$89),"dd/mm/yy")&amp;" "&amp;Milestones!$AB$89&amp;" "&amp;Milestones!$AC$89&amp;";  ","")&amp;IF(AND(EDATE($D85,Milestones!$AA$90)&lt;=AsOfDate,IF($Q85=0,$W85,IF(AND($S85&lt;&gt;"",EDATE($D85,Milestones!$AA$90)&gt;=$S85),$V85,IF(AND($R85&lt;&gt;"",EDATE($D85,Milestones!$AA$90)&gt;=$R85),$U85,$T85)))=Milestones!$AB$90),TEXT(EDATE($D85,Milestones!$AA$90),"dd/mm/yy")&amp;" "&amp;Milestones!$AB$90&amp;" "&amp;Milestones!$AC$90&amp;";  ","")&amp;IF(AND(EDATE($D85,Milestones!$AA$91)&lt;=AsOfDate,IF($Q85=0,$W85,IF(AND($S85&lt;&gt;"",EDATE($D85,Milestones!$AA$91)&gt;=$S85),$V85,IF(AND($R85&lt;&gt;"",EDATE($D85,Milestones!$AA$91)&gt;=$R85),$U85,$T85)))=Milestones!$AB$91),TEXT(EDATE($D85,Milestones!$AA$91),"dd/mm/yy")&amp;" "&amp;Milestones!$AB$91&amp;" "&amp;Milestones!$AC$91&amp;";  ","")&amp;IF(AND(EDATE($D85,Milestones!$AA$92)&lt;=AsOfDate,IF($Q85=0,$W85,IF(AND($S85&lt;&gt;"",EDATE($D85,Milestones!$AA$92)&gt;=$S85),$V85,IF(AND($R85&lt;&gt;"",EDATE($D85,Milestones!$AA$92)&gt;=$R85),$U85,$T85)))=Milestones!$AB$92),TEXT(EDATE($D85,Milestones!$AA$92),"dd/mm/yy")&amp;" "&amp;Milestones!$AB$92&amp;" "&amp;Milestones!$AC$92&amp;";  ","")&amp;IF(AND(EDATE($D85,Milestones!$AA$93)&lt;=AsOfDate,IF($Q85=0,$W85,IF(AND($S85&lt;&gt;"",EDATE($D85,Milestones!$AA$93)&gt;=$S85),$V85,IF(AND($R85&lt;&gt;"",EDATE($D85,Milestones!$AA$93)&gt;=$R85),$U85,$T85)))=Milestones!$AB$93),TEXT(EDATE($D85,Milestones!$AA$93),"dd/mm/yy")&amp;" "&amp;Milestones!$AB$93&amp;" "&amp;Milestones!$AC$93&amp;";  ","")&amp;IF(AND(EDATE($D85,Milestones!$AA$94)&lt;=AsOfDate,IF($Q85=0,$W85,IF(AND($S85&lt;&gt;"",EDATE($D85,Milestones!$AA$94)&gt;=$S85),$V85,IF(AND($R85&lt;&gt;"",EDATE($D85,Milestones!$AA$94)&gt;=$R85),$U85,$T85)))=Milestones!$AB$94),TEXT(EDATE($D85,Milestones!$AA$94),"dd/mm/yy")&amp;" "&amp;Milestones!$AB$94&amp;" "&amp;Milestones!$AC$94&amp;";  ","")&amp;IF(AND(EDATE($D85,Milestones!$AA$95)&lt;=AsOfDate,IF($Q85=0,$W85,IF(AND($S85&lt;&gt;"",EDATE($D85,Milestones!$AA$95)&gt;=$S85),$V85,IF(AND($R85&lt;&gt;"",EDATE($D85,Milestones!$AA$95)&gt;=$R85),$U85,$T85)))=Milestones!$AB$95),TEXT(EDATE($D85,Milestones!$AA$95),"dd/mm/yy")&amp;" "&amp;Milestones!$AB$95&amp;" "&amp;Milestones!$AC$95&amp;";  ","")&amp;IF(AND(EDATE($D85,Milestones!$AA$96)&lt;=AsOfDate,IF($Q85=0,$W85,IF(AND($S85&lt;&gt;"",EDATE($D85,Milestones!$AA$96)&gt;=$S85),$V85,IF(AND($R85&lt;&gt;"",EDATE($D85,Milestones!$AA$96)&gt;=$R85),$U85,$T85)))=Milestones!$AB$96),TEXT(EDATE($D85,Milestones!$AA$96),"dd/mm/yy")&amp;" "&amp;Milestones!$AB$96&amp;" "&amp;Milestones!$AC$96&amp;";  ","")&amp;IF(AND(EDATE($D85,Milestones!$AA$97)&lt;=AsOfDate,IF($Q85=0,$W85,IF(AND($S85&lt;&gt;"",EDATE($D85,Milestones!$AA$97)&gt;=$S85),$V85,IF(AND($R85&lt;&gt;"",EDATE($D85,Milestones!$AA$97)&gt;=$R85),$U85,$T85)))=Milestones!$AB$97),TEXT(EDATE($D85,Milestones!$AA$97),"dd/mm/yy")&amp;" "&amp;Milestones!$AB$97&amp;" "&amp;Milestones!$AC$97&amp;";  ","")&amp;IF(AND(EDATE($D85,Milestones!$AA$98)&lt;=AsOfDate,IF($Q85=0,$W85,IF(AND($S85&lt;&gt;"",EDATE($D85,Milestones!$AA$98)&gt;=$S85),$V85,IF(AND($R85&lt;&gt;"",EDATE($D85,Milestones!$AA$98)&gt;=$R85),$U85,$T85)))=Milestones!$AB$98),TEXT(EDATE($D85,Milestones!$AA$98),"dd/mm/yy")&amp;" "&amp;Milestones!$AB$98&amp;" "&amp;Milestones!$AC$98&amp;";  ","")&amp;IF(AND(EDATE($D85,Milestones!$AA$99)&lt;=AsOfDate,IF($Q85=0,$W85,IF(AND($S85&lt;&gt;"",EDATE($D85,Milestones!$AA$99)&gt;=$S85),$V85,IF(AND($R85&lt;&gt;"",EDATE($D85,Milestones!$AA$99)&gt;=$R85),$U85,$T85)))=Milestones!$AB$99),TEXT(EDATE($D85,Milestones!$AA$99),"dd/mm/yy")&amp;" "&amp;Milestones!$AB$99&amp;" "&amp;Milestones!$AC$99&amp;";  ",""))</f>
        <v/>
      </c>
      <c r="L85" s="0" t="str">
        <f aca="false">IF(OR($A85="",$D85=""),"",IF(AND(EDATE($D85,Milestones!$AA$100)&lt;=AsOfDate,IF($Q85=0,$W85,IF(AND($S85&lt;&gt;"",EDATE($D85,Milestones!$AA$100)&gt;=$S85),$V85,IF(AND($R85&lt;&gt;"",EDATE($D85,Milestones!$AA$100)&gt;=$R85),$U85,$T85)))=Milestones!$AB$100),TEXT(EDATE($D85,Milestones!$AA$100),"dd/mm/yy")&amp;" "&amp;Milestones!$AB$100&amp;" "&amp;Milestones!$AC$100&amp;";  ","")&amp;IF(AND(EDATE($D85,Milestones!$AA$101)&lt;=AsOfDate,IF($Q85=0,$W85,IF(AND($S85&lt;&gt;"",EDATE($D85,Milestones!$AA$101)&gt;=$S85),$V85,IF(AND($R85&lt;&gt;"",EDATE($D85,Milestones!$AA$101)&gt;=$R85),$U85,$T85)))=Milestones!$AB$101),TEXT(EDATE($D85,Milestones!$AA$101),"dd/mm/yy")&amp;" "&amp;Milestones!$AB$101&amp;" "&amp;Milestones!$AC$101&amp;";  ","")&amp;IF(AND(EDATE($D85,Milestones!$AA$102)&lt;=AsOfDate,IF($Q85=0,$W85,IF(AND($S85&lt;&gt;"",EDATE($D85,Milestones!$AA$102)&gt;=$S85),$V85,IF(AND($R85&lt;&gt;"",EDATE($D85,Milestones!$AA$102)&gt;=$R85),$U85,$T85)))=Milestones!$AB$102),TEXT(EDATE($D85,Milestones!$AA$102),"dd/mm/yy")&amp;" "&amp;Milestones!$AB$102&amp;" "&amp;Milestones!$AC$102&amp;";  ","")&amp;IF(AND(EDATE($D85,Milestones!$AA$103)&lt;=AsOfDate,IF($Q85=0,$W85,IF(AND($S85&lt;&gt;"",EDATE($D85,Milestones!$AA$103)&gt;=$S85),$V85,IF(AND($R85&lt;&gt;"",EDATE($D85,Milestones!$AA$103)&gt;=$R85),$U85,$T85)))=Milestones!$AB$103),TEXT(EDATE($D85,Milestones!$AA$103),"dd/mm/yy")&amp;" "&amp;Milestones!$AB$103&amp;" "&amp;Milestones!$AC$103&amp;";  ","")&amp;IF(AND(EDATE($D85,Milestones!$AA$104)&lt;=AsOfDate,IF($Q85=0,$W85,IF(AND($S85&lt;&gt;"",EDATE($D85,Milestones!$AA$104)&gt;=$S85),$V85,IF(AND($R85&lt;&gt;"",EDATE($D85,Milestones!$AA$104)&gt;=$R85),$U85,$T85)))=Milestones!$AB$104),TEXT(EDATE($D85,Milestones!$AA$104),"dd/mm/yy")&amp;" "&amp;Milestones!$AB$104&amp;" "&amp;Milestones!$AC$104&amp;";  ","")&amp;IF(AND(EDATE($D85,Milestones!$AA$105)&lt;=AsOfDate,IF($Q85=0,$W85,IF(AND($S85&lt;&gt;"",EDATE($D85,Milestones!$AA$105)&gt;=$S85),$V85,IF(AND($R85&lt;&gt;"",EDATE($D85,Milestones!$AA$105)&gt;=$R85),$U85,$T85)))=Milestones!$AB$105),TEXT(EDATE($D85,Milestones!$AA$105),"dd/mm/yy")&amp;" "&amp;Milestones!$AB$105&amp;" "&amp;Milestones!$AC$105&amp;";  ","")&amp;IF(AND(EDATE($D85,Milestones!$AA$106)&lt;=AsOfDate,IF($Q85=0,$W85,IF(AND($S85&lt;&gt;"",EDATE($D85,Milestones!$AA$106)&gt;=$S85),$V85,IF(AND($R85&lt;&gt;"",EDATE($D85,Milestones!$AA$106)&gt;=$R85),$U85,$T85)))=Milestones!$AB$106),TEXT(EDATE($D85,Milestones!$AA$106),"dd/mm/yy")&amp;" "&amp;Milestones!$AB$106&amp;" "&amp;Milestones!$AC$106&amp;";  ","")&amp;IF(AND(EDATE($D85,Milestones!$AA$107)&lt;=AsOfDate,IF($Q85=0,$W85,IF(AND($S85&lt;&gt;"",EDATE($D85,Milestones!$AA$107)&gt;=$S85),$V85,IF(AND($R85&lt;&gt;"",EDATE($D85,Milestones!$AA$107)&gt;=$R85),$U85,$T85)))=Milestones!$AB$107),TEXT(EDATE($D85,Milestones!$AA$107),"dd/mm/yy")&amp;" "&amp;Milestones!$AB$107&amp;" "&amp;Milestones!$AC$107&amp;";  ","")&amp;IF(AND(EDATE($D85,Milestones!$AA$108)&lt;=AsOfDate,IF($Q85=0,$W85,IF(AND($S85&lt;&gt;"",EDATE($D85,Milestones!$AA$108)&gt;=$S85),$V85,IF(AND($R85&lt;&gt;"",EDATE($D85,Milestones!$AA$108)&gt;=$R85),$U85,$T85)))=Milestones!$AB$108),TEXT(EDATE($D85,Milestones!$AA$108),"dd/mm/yy")&amp;" "&amp;Milestones!$AB$108&amp;" "&amp;Milestones!$AC$108&amp;";  ","")&amp;IF(AND(EDATE($D85,Milestones!$AA$109)&lt;=AsOfDate,IF($Q85=0,$W85,IF(AND($S85&lt;&gt;"",EDATE($D85,Milestones!$AA$109)&gt;=$S85),$V85,IF(AND($R85&lt;&gt;"",EDATE($D85,Milestones!$AA$109)&gt;=$R85),$U85,$T85)))=Milestones!$AB$109),TEXT(EDATE($D85,Milestones!$AA$109),"dd/mm/yy")&amp;" "&amp;Milestones!$AB$109&amp;" "&amp;Milestones!$AC$109&amp;";  ","")&amp;IF(AND(EDATE($D85,Milestones!$AA$110)&lt;=AsOfDate,IF($Q85=0,$W85,IF(AND($S85&lt;&gt;"",EDATE($D85,Milestones!$AA$110)&gt;=$S85),$V85,IF(AND($R85&lt;&gt;"",EDATE($D85,Milestones!$AA$110)&gt;=$R85),$U85,$T85)))=Milestones!$AB$110),TEXT(EDATE($D85,Milestones!$AA$110),"dd/mm/yy")&amp;" "&amp;Milestones!$AB$110&amp;" "&amp;Milestones!$AC$110&amp;";  ","")&amp;IF(AND(EDATE($D85,Milestones!$AA$111)&lt;=AsOfDate,IF($Q85=0,$W85,IF(AND($S85&lt;&gt;"",EDATE($D85,Milestones!$AA$111)&gt;=$S85),$V85,IF(AND($R85&lt;&gt;"",EDATE($D85,Milestones!$AA$111)&gt;=$R85),$U85,$T85)))=Milestones!$AB$111),TEXT(EDATE($D85,Milestones!$AA$111),"dd/mm/yy")&amp;" "&amp;Milestones!$AB$111&amp;" "&amp;Milestones!$AC$111&amp;";  ","")&amp;IF(AND(EDATE($D85,Milestones!$AA$112)&lt;=AsOfDate,IF($Q85=0,$W85,IF(AND($S85&lt;&gt;"",EDATE($D85,Milestones!$AA$112)&gt;=$S85),$V85,IF(AND($R85&lt;&gt;"",EDATE($D85,Milestones!$AA$112)&gt;=$R85),$U85,$T85)))=Milestones!$AB$112),TEXT(EDATE($D85,Milestones!$AA$112),"dd/mm/yy")&amp;" "&amp;Milestones!$AB$112&amp;" "&amp;Milestones!$AC$112&amp;";  ","")&amp;IF(AND(EDATE($D85,Milestones!$AA$113)&lt;=AsOfDate,IF($Q85=0,$W85,IF(AND($S85&lt;&gt;"",EDATE($D85,Milestones!$AA$113)&gt;=$S85),$V85,IF(AND($R85&lt;&gt;"",EDATE($D85,Milestones!$AA$113)&gt;=$R85),$U85,$T85)))=Milestones!$AB$113),TEXT(EDATE($D85,Milestones!$AA$113),"dd/mm/yy")&amp;" "&amp;Milestones!$AB$113&amp;" "&amp;Milestones!$AC$113&amp;";  ","")&amp;IF(AND(EDATE($D85,Milestones!$AA$114)&lt;=AsOfDate,IF($Q85=0,$W85,IF(AND($S85&lt;&gt;"",EDATE($D85,Milestones!$AA$114)&gt;=$S85),$V85,IF(AND($R85&lt;&gt;"",EDATE($D85,Milestones!$AA$114)&gt;=$R85),$U85,$T85)))=Milestones!$AB$114),TEXT(EDATE($D85,Milestones!$AA$114),"dd/mm/yy")&amp;" "&amp;Milestones!$AB$114&amp;" "&amp;Milestones!$AC$114&amp;";  ","")&amp;IF(AND(EDATE($D85,Milestones!$AA$115)&lt;=AsOfDate,IF($Q85=0,$W85,IF(AND($S85&lt;&gt;"",EDATE($D85,Milestones!$AA$115)&gt;=$S85),$V85,IF(AND($R85&lt;&gt;"",EDATE($D85,Milestones!$AA$115)&gt;=$R85),$U85,$T85)))=Milestones!$AB$115),TEXT(EDATE($D85,Milestones!$AA$115),"dd/mm/yy")&amp;" "&amp;Milestones!$AB$115&amp;" "&amp;Milestones!$AC$115&amp;";  ","")&amp;IF(AND(EDATE($D85,Milestones!$AA$116)&lt;=AsOfDate,IF($Q85=0,$W85,IF(AND($S85&lt;&gt;"",EDATE($D85,Milestones!$AA$116)&gt;=$S85),$V85,IF(AND($R85&lt;&gt;"",EDATE($D85,Milestones!$AA$116)&gt;=$R85),$U85,$T85)))=Milestones!$AB$116),TEXT(EDATE($D85,Milestones!$AA$116),"dd/mm/yy")&amp;" "&amp;Milestones!$AB$116&amp;" "&amp;Milestones!$AC$116&amp;";  ","")&amp;IF(AND(EDATE($D85,Milestones!$AA$117)&lt;=AsOfDate,IF($Q85=0,$W85,IF(AND($S85&lt;&gt;"",EDATE($D85,Milestones!$AA$117)&gt;=$S85),$V85,IF(AND($R85&lt;&gt;"",EDATE($D85,Milestones!$AA$117)&gt;=$R85),$U85,$T85)))=Milestones!$AB$117),TEXT(EDATE($D85,Milestones!$AA$117),"dd/mm/yy")&amp;" "&amp;Milestones!$AB$117&amp;" "&amp;Milestones!$AC$117&amp;";  ","")&amp;IF(AND(EDATE($D85,Milestones!$AA$118)&lt;=AsOfDate,IF($Q85=0,$W85,IF(AND($S85&lt;&gt;"",EDATE($D85,Milestones!$AA$118)&gt;=$S85),$V85,IF(AND($R85&lt;&gt;"",EDATE($D85,Milestones!$AA$118)&gt;=$R85),$U85,$T85)))=Milestones!$AB$118),TEXT(EDATE($D85,Milestones!$AA$118),"dd/mm/yy")&amp;" "&amp;Milestones!$AB$118&amp;" "&amp;Milestones!$AC$118&amp;";  ","")&amp;IF(AND(EDATE($D85,Milestones!$AA$119)&lt;=AsOfDate,IF($Q85=0,$W85,IF(AND($S85&lt;&gt;"",EDATE($D85,Milestones!$AA$119)&gt;=$S85),$V85,IF(AND($R85&lt;&gt;"",EDATE($D85,Milestones!$AA$119)&gt;=$R85),$U85,$T85)))=Milestones!$AB$119),TEXT(EDATE($D85,Milestones!$AA$119),"dd/mm/yy")&amp;" "&amp;Milestones!$AB$119&amp;" "&amp;Milestones!$AC$119&amp;";  ",""))</f>
        <v/>
      </c>
      <c r="M85" s="0" t="str">
        <f aca="false">IF(OR($A85="",$D85=""),"",IF(AND(EDATE($D85,Milestones!$AA$120)&lt;=AsOfDate,IF($Q85=0,$W85,IF(AND($S85&lt;&gt;"",EDATE($D85,Milestones!$AA$120)&gt;=$S85),$V85,IF(AND($R85&lt;&gt;"",EDATE($D85,Milestones!$AA$120)&gt;=$R85),$U85,$T85)))=Milestones!$AB$120),TEXT(EDATE($D85,Milestones!$AA$120),"dd/mm/yy")&amp;" "&amp;Milestones!$AB$120&amp;" "&amp;Milestones!$AC$120&amp;";  ","")&amp;IF(AND(EDATE($D85,Milestones!$AA$121)&lt;=AsOfDate,IF($Q85=0,$W85,IF(AND($S85&lt;&gt;"",EDATE($D85,Milestones!$AA$121)&gt;=$S85),$V85,IF(AND($R85&lt;&gt;"",EDATE($D85,Milestones!$AA$121)&gt;=$R85),$U85,$T85)))=Milestones!$AB$121),TEXT(EDATE($D85,Milestones!$AA$121),"dd/mm/yy")&amp;" "&amp;Milestones!$AB$121&amp;" "&amp;Milestones!$AC$121&amp;";  ","")&amp;IF(AND(EDATE($D85,Milestones!$AA$122)&lt;=AsOfDate,IF($Q85=0,$W85,IF(AND($S85&lt;&gt;"",EDATE($D85,Milestones!$AA$122)&gt;=$S85),$V85,IF(AND($R85&lt;&gt;"",EDATE($D85,Milestones!$AA$122)&gt;=$R85),$U85,$T85)))=Milestones!$AB$122),TEXT(EDATE($D85,Milestones!$AA$122),"dd/mm/yy")&amp;" "&amp;Milestones!$AB$122&amp;" "&amp;Milestones!$AC$122&amp;";  ","")&amp;IF(AND(EDATE($D85,Milestones!$AA$123)&lt;=AsOfDate,IF($Q85=0,$W85,IF(AND($S85&lt;&gt;"",EDATE($D85,Milestones!$AA$123)&gt;=$S85),$V85,IF(AND($R85&lt;&gt;"",EDATE($D85,Milestones!$AA$123)&gt;=$R85),$U85,$T85)))=Milestones!$AB$123),TEXT(EDATE($D85,Milestones!$AA$123),"dd/mm/yy")&amp;" "&amp;Milestones!$AB$123&amp;" "&amp;Milestones!$AC$123&amp;";  ","")&amp;IF(AND(EDATE($D85,Milestones!$AA$124)&lt;=AsOfDate,IF($Q85=0,$W85,IF(AND($S85&lt;&gt;"",EDATE($D85,Milestones!$AA$124)&gt;=$S85),$V85,IF(AND($R85&lt;&gt;"",EDATE($D85,Milestones!$AA$124)&gt;=$R85),$U85,$T85)))=Milestones!$AB$124),TEXT(EDATE($D85,Milestones!$AA$124),"dd/mm/yy")&amp;" "&amp;Milestones!$AB$124&amp;" "&amp;Milestones!$AC$124&amp;";  ","")&amp;IF(AND(EDATE($D85,Milestones!$AA$125)&lt;=AsOfDate,IF($Q85=0,$W85,IF(AND($S85&lt;&gt;"",EDATE($D85,Milestones!$AA$125)&gt;=$S85),$V85,IF(AND($R85&lt;&gt;"",EDATE($D85,Milestones!$AA$125)&gt;=$R85),$U85,$T85)))=Milestones!$AB$125),TEXT(EDATE($D85,Milestones!$AA$125),"dd/mm/yy")&amp;" "&amp;Milestones!$AB$125&amp;" "&amp;Milestones!$AC$125&amp;";  ","")&amp;IF(AND(EDATE($D85,Milestones!$AA$126)&lt;=AsOfDate,IF($Q85=0,$W85,IF(AND($S85&lt;&gt;"",EDATE($D85,Milestones!$AA$126)&gt;=$S85),$V85,IF(AND($R85&lt;&gt;"",EDATE($D85,Milestones!$AA$126)&gt;=$R85),$U85,$T85)))=Milestones!$AB$126),TEXT(EDATE($D85,Milestones!$AA$126),"dd/mm/yy")&amp;" "&amp;Milestones!$AB$126&amp;" "&amp;Milestones!$AC$126&amp;";  ","")&amp;IF(AND(EDATE($D85,Milestones!$AA$127)&lt;=AsOfDate,IF($Q85=0,$W85,IF(AND($S85&lt;&gt;"",EDATE($D85,Milestones!$AA$127)&gt;=$S85),$V85,IF(AND($R85&lt;&gt;"",EDATE($D85,Milestones!$AA$127)&gt;=$R85),$U85,$T85)))=Milestones!$AB$127),TEXT(EDATE($D85,Milestones!$AA$127),"dd/mm/yy")&amp;" "&amp;Milestones!$AB$127&amp;" "&amp;Milestones!$AC$127&amp;";  ","")&amp;IF(AND(EDATE($D85,Milestones!$AA$128)&lt;=AsOfDate,IF($Q85=0,$W85,IF(AND($S85&lt;&gt;"",EDATE($D85,Milestones!$AA$128)&gt;=$S85),$V85,IF(AND($R85&lt;&gt;"",EDATE($D85,Milestones!$AA$128)&gt;=$R85),$U85,$T85)))=Milestones!$AB$128),TEXT(EDATE($D85,Milestones!$AA$128),"dd/mm/yy")&amp;" "&amp;Milestones!$AB$128&amp;" "&amp;Milestones!$AC$128&amp;";  ","")&amp;IF(AND(EDATE($D85,Milestones!$AA$129)&lt;=AsOfDate,IF($Q85=0,$W85,IF(AND($S85&lt;&gt;"",EDATE($D85,Milestones!$AA$129)&gt;=$S85),$V85,IF(AND($R85&lt;&gt;"",EDATE($D85,Milestones!$AA$129)&gt;=$R85),$U85,$T85)))=Milestones!$AB$129),TEXT(EDATE($D85,Milestones!$AA$129),"dd/mm/yy")&amp;" "&amp;Milestones!$AB$129&amp;" "&amp;Milestones!$AC$129&amp;";  ","")&amp;IF(AND(EDATE($D85,Milestones!$AA$130)&lt;=AsOfDate,IF($Q85=0,$W85,IF(AND($S85&lt;&gt;"",EDATE($D85,Milestones!$AA$130)&gt;=$S85),$V85,IF(AND($R85&lt;&gt;"",EDATE($D85,Milestones!$AA$130)&gt;=$R85),$U85,$T85)))=Milestones!$AB$130),TEXT(EDATE($D85,Milestones!$AA$130),"dd/mm/yy")&amp;" "&amp;Milestones!$AB$130&amp;" "&amp;Milestones!$AC$130&amp;";  ","")&amp;IF(AND(EDATE($D85,Milestones!$AA$131)&lt;=AsOfDate,IF($Q85=0,$W85,IF(AND($S85&lt;&gt;"",EDATE($D85,Milestones!$AA$131)&gt;=$S85),$V85,IF(AND($R85&lt;&gt;"",EDATE($D85,Milestones!$AA$131)&gt;=$R85),$U85,$T85)))=Milestones!$AB$131),TEXT(EDATE($D85,Milestones!$AA$131),"dd/mm/yy")&amp;" "&amp;Milestones!$AB$131&amp;" "&amp;Milestones!$AC$131&amp;";  ","")&amp;IF(AND(EDATE($D85,Milestones!$AA$132)&lt;=AsOfDate,IF($Q85=0,$W85,IF(AND($S85&lt;&gt;"",EDATE($D85,Milestones!$AA$132)&gt;=$S85),$V85,IF(AND($R85&lt;&gt;"",EDATE($D85,Milestones!$AA$132)&gt;=$R85),$U85,$T85)))=Milestones!$AB$132),TEXT(EDATE($D85,Milestones!$AA$132),"dd/mm/yy")&amp;" "&amp;Milestones!$AB$132&amp;" "&amp;Milestones!$AC$132&amp;";  ","")&amp;IF(AND(EDATE($D85,Milestones!$AA$133)&lt;=AsOfDate,IF($Q85=0,$W85,IF(AND($S85&lt;&gt;"",EDATE($D85,Milestones!$AA$133)&gt;=$S85),$V85,IF(AND($R85&lt;&gt;"",EDATE($D85,Milestones!$AA$133)&gt;=$R85),$U85,$T85)))=Milestones!$AB$133),TEXT(EDATE($D85,Milestones!$AA$133),"dd/mm/yy")&amp;" "&amp;Milestones!$AB$133&amp;" "&amp;Milestones!$AC$133&amp;";  ","")&amp;IF(AND(EDATE($D85,Milestones!$AA$134)&lt;=AsOfDate,IF($Q85=0,$W85,IF(AND($S85&lt;&gt;"",EDATE($D85,Milestones!$AA$134)&gt;=$S85),$V85,IF(AND($R85&lt;&gt;"",EDATE($D85,Milestones!$AA$134)&gt;=$R85),$U85,$T85)))=Milestones!$AB$134),TEXT(EDATE($D85,Milestones!$AA$134),"dd/mm/yy")&amp;" "&amp;Milestones!$AB$134&amp;" "&amp;Milestones!$AC$134&amp;";  ","")&amp;IF(AND(EDATE($D85,Milestones!$AA$135)&lt;=AsOfDate,IF($Q85=0,$W85,IF(AND($S85&lt;&gt;"",EDATE($D85,Milestones!$AA$135)&gt;=$S85),$V85,IF(AND($R85&lt;&gt;"",EDATE($D85,Milestones!$AA$135)&gt;=$R85),$U85,$T85)))=Milestones!$AB$135),TEXT(EDATE($D85,Milestones!$AA$135),"dd/mm/yy")&amp;" "&amp;Milestones!$AB$135&amp;" "&amp;Milestones!$AC$135&amp;";  ","")&amp;IF(AND(EDATE($D85,Milestones!$AA$136)&lt;=AsOfDate,IF($Q85=0,$W85,IF(AND($S85&lt;&gt;"",EDATE($D85,Milestones!$AA$136)&gt;=$S85),$V85,IF(AND($R85&lt;&gt;"",EDATE($D85,Milestones!$AA$136)&gt;=$R85),$U85,$T85)))=Milestones!$AB$136),TEXT(EDATE($D85,Milestones!$AA$136),"dd/mm/yy")&amp;" "&amp;Milestones!$AB$136&amp;" "&amp;Milestones!$AC$136&amp;";  ","")&amp;IF(AND(EDATE($D85,Milestones!$AA$137)&lt;=AsOfDate,IF($Q85=0,$W85,IF(AND($S85&lt;&gt;"",EDATE($D85,Milestones!$AA$137)&gt;=$S85),$V85,IF(AND($R85&lt;&gt;"",EDATE($D85,Milestones!$AA$137)&gt;=$R85),$U85,$T85)))=Milestones!$AB$137),TEXT(EDATE($D85,Milestones!$AA$137),"dd/mm/yy")&amp;" "&amp;Milestones!$AB$137&amp;" "&amp;Milestones!$AC$137&amp;";  ","")&amp;IF(AND(EDATE($D85,Milestones!$AA$138)&lt;=AsOfDate,IF($Q85=0,$W85,IF(AND($S85&lt;&gt;"",EDATE($D85,Milestones!$AA$138)&gt;=$S85),$V85,IF(AND($R85&lt;&gt;"",EDATE($D85,Milestones!$AA$138)&gt;=$R85),$U85,$T85)))=Milestones!$AB$138),TEXT(EDATE($D85,Milestones!$AA$138),"dd/mm/yy")&amp;" "&amp;Milestones!$AB$138&amp;" "&amp;Milestones!$AC$138&amp;";  ","")&amp;IF(AND(EDATE($D85,Milestones!$AA$139)&lt;=AsOfDate,IF($Q85=0,$W85,IF(AND($S85&lt;&gt;"",EDATE($D85,Milestones!$AA$139)&gt;=$S85),$V85,IF(AND($R85&lt;&gt;"",EDATE($D85,Milestones!$AA$139)&gt;=$R85),$U85,$T85)))=Milestones!$AB$139),TEXT(EDATE($D85,Milestones!$AA$139),"dd/mm/yy")&amp;" "&amp;Milestones!$AB$139&amp;" "&amp;Milestones!$AC$139&amp;";  ",""))</f>
        <v/>
      </c>
      <c r="N85" s="0" t="str">
        <f aca="false">IF(OR($A85="",$D85=""),"",IF(AND(EDATE($D85,Milestones!$AA$140)&lt;=AsOfDate,IF($Q85=0,$W85,IF(AND($S85&lt;&gt;"",EDATE($D85,Milestones!$AA$140)&gt;=$S85),$V85,IF(AND($R85&lt;&gt;"",EDATE($D85,Milestones!$AA$140)&gt;=$R85),$U85,$T85)))=Milestones!$AB$140),TEXT(EDATE($D85,Milestones!$AA$140),"dd/mm/yy")&amp;" "&amp;Milestones!$AB$140&amp;" "&amp;Milestones!$AC$140&amp;";  ","")&amp;IF(AND(EDATE($D85,Milestones!$AA$141)&lt;=AsOfDate,IF($Q85=0,$W85,IF(AND($S85&lt;&gt;"",EDATE($D85,Milestones!$AA$141)&gt;=$S85),$V85,IF(AND($R85&lt;&gt;"",EDATE($D85,Milestones!$AA$141)&gt;=$R85),$U85,$T85)))=Milestones!$AB$141),TEXT(EDATE($D85,Milestones!$AA$141),"dd/mm/yy")&amp;" "&amp;Milestones!$AB$141&amp;" "&amp;Milestones!$AC$141&amp;";  ","")&amp;IF(AND(EDATE($D85,Milestones!$AA$142)&lt;=AsOfDate,IF($Q85=0,$W85,IF(AND($S85&lt;&gt;"",EDATE($D85,Milestones!$AA$142)&gt;=$S85),$V85,IF(AND($R85&lt;&gt;"",EDATE($D85,Milestones!$AA$142)&gt;=$R85),$U85,$T85)))=Milestones!$AB$142),TEXT(EDATE($D85,Milestones!$AA$142),"dd/mm/yy")&amp;" "&amp;Milestones!$AB$142&amp;" "&amp;Milestones!$AC$142&amp;";  ","")&amp;IF(AND(EDATE($D85,Milestones!$AA$143)&lt;=AsOfDate,IF($Q85=0,$W85,IF(AND($S85&lt;&gt;"",EDATE($D85,Milestones!$AA$143)&gt;=$S85),$V85,IF(AND($R85&lt;&gt;"",EDATE($D85,Milestones!$AA$143)&gt;=$R85),$U85,$T85)))=Milestones!$AB$143),TEXT(EDATE($D85,Milestones!$AA$143),"dd/mm/yy")&amp;" "&amp;Milestones!$AB$143&amp;" "&amp;Milestones!$AC$143&amp;";  ","")&amp;IF(AND(EDATE($D85,Milestones!$AA$144)&lt;=AsOfDate,IF($Q85=0,$W85,IF(AND($S85&lt;&gt;"",EDATE($D85,Milestones!$AA$144)&gt;=$S85),$V85,IF(AND($R85&lt;&gt;"",EDATE($D85,Milestones!$AA$144)&gt;=$R85),$U85,$T85)))=Milestones!$AB$144),TEXT(EDATE($D85,Milestones!$AA$144),"dd/mm/yy")&amp;" "&amp;Milestones!$AB$144&amp;" "&amp;Milestones!$AC$144&amp;";  ","")&amp;IF(AND(EDATE($D85,Milestones!$AA$145)&lt;=AsOfDate,IF($Q85=0,$W85,IF(AND($S85&lt;&gt;"",EDATE($D85,Milestones!$AA$145)&gt;=$S85),$V85,IF(AND($R85&lt;&gt;"",EDATE($D85,Milestones!$AA$145)&gt;=$R85),$U85,$T85)))=Milestones!$AB$145),TEXT(EDATE($D85,Milestones!$AA$145),"dd/mm/yy")&amp;" "&amp;Milestones!$AB$145&amp;" "&amp;Milestones!$AC$145&amp;";  ","")&amp;IF(AND(EDATE($D85,Milestones!$AA$146)&lt;=AsOfDate,IF($Q85=0,$W85,IF(AND($S85&lt;&gt;"",EDATE($D85,Milestones!$AA$146)&gt;=$S85),$V85,IF(AND($R85&lt;&gt;"",EDATE($D85,Milestones!$AA$146)&gt;=$R85),$U85,$T85)))=Milestones!$AB$146),TEXT(EDATE($D85,Milestones!$AA$146),"dd/mm/yy")&amp;" "&amp;Milestones!$AB$146&amp;" "&amp;Milestones!$AC$146&amp;";  ","")&amp;IF(AND(EDATE($D85,Milestones!$AA$147)&lt;=AsOfDate,IF($Q85=0,$W85,IF(AND($S85&lt;&gt;"",EDATE($D85,Milestones!$AA$147)&gt;=$S85),$V85,IF(AND($R85&lt;&gt;"",EDATE($D85,Milestones!$AA$147)&gt;=$R85),$U85,$T85)))=Milestones!$AB$147),TEXT(EDATE($D85,Milestones!$AA$147),"dd/mm/yy")&amp;" "&amp;Milestones!$AB$147&amp;" "&amp;Milestones!$AC$147&amp;";  ","")&amp;IF(AND(EDATE($D85,Milestones!$AA$148)&lt;=AsOfDate,IF($Q85=0,$W85,IF(AND($S85&lt;&gt;"",EDATE($D85,Milestones!$AA$148)&gt;=$S85),$V85,IF(AND($R85&lt;&gt;"",EDATE($D85,Milestones!$AA$148)&gt;=$R85),$U85,$T85)))=Milestones!$AB$148),TEXT(EDATE($D85,Milestones!$AA$148),"dd/mm/yy")&amp;" "&amp;Milestones!$AB$148&amp;" "&amp;Milestones!$AC$148&amp;";  ","")&amp;IF(AND(EDATE($D85,Milestones!$AA$149)&lt;=AsOfDate,IF($Q85=0,$W85,IF(AND($S85&lt;&gt;"",EDATE($D85,Milestones!$AA$149)&gt;=$S85),$V85,IF(AND($R85&lt;&gt;"",EDATE($D85,Milestones!$AA$149)&gt;=$R85),$U85,$T85)))=Milestones!$AB$149),TEXT(EDATE($D85,Milestones!$AA$149),"dd/mm/yy")&amp;" "&amp;Milestones!$AB$149&amp;" "&amp;Milestones!$AC$149&amp;";  ","")&amp;IF(AND(EDATE($D85,Milestones!$AA$150)&lt;=AsOfDate,IF($Q85=0,$W85,IF(AND($S85&lt;&gt;"",EDATE($D85,Milestones!$AA$150)&gt;=$S85),$V85,IF(AND($R85&lt;&gt;"",EDATE($D85,Milestones!$AA$150)&gt;=$R85),$U85,$T85)))=Milestones!$AB$150),TEXT(EDATE($D85,Milestones!$AA$150),"dd/mm/yy")&amp;" "&amp;Milestones!$AB$150&amp;" "&amp;Milestones!$AC$150&amp;";  ","")&amp;IF(AND(EDATE($D85,Milestones!$AA$151)&lt;=AsOfDate,IF($Q85=0,$W85,IF(AND($S85&lt;&gt;"",EDATE($D85,Milestones!$AA$151)&gt;=$S85),$V85,IF(AND($R85&lt;&gt;"",EDATE($D85,Milestones!$AA$151)&gt;=$R85),$U85,$T85)))=Milestones!$AB$151),TEXT(EDATE($D85,Milestones!$AA$151),"dd/mm/yy")&amp;" "&amp;Milestones!$AB$151&amp;" "&amp;Milestones!$AC$151&amp;";  ","")&amp;IF(AND(EDATE($D85,Milestones!$AA$152)&lt;=AsOfDate,IF($Q85=0,$W85,IF(AND($S85&lt;&gt;"",EDATE($D85,Milestones!$AA$152)&gt;=$S85),$V85,IF(AND($R85&lt;&gt;"",EDATE($D85,Milestones!$AA$152)&gt;=$R85),$U85,$T85)))=Milestones!$AB$152),TEXT(EDATE($D85,Milestones!$AA$152),"dd/mm/yy")&amp;" "&amp;Milestones!$AB$152&amp;" "&amp;Milestones!$AC$152&amp;";  ","")&amp;IF(AND(EDATE($D85,Milestones!$AA$153)&lt;=AsOfDate,IF($Q85=0,$W85,IF(AND($S85&lt;&gt;"",EDATE($D85,Milestones!$AA$153)&gt;=$S85),$V85,IF(AND($R85&lt;&gt;"",EDATE($D85,Milestones!$AA$153)&gt;=$R85),$U85,$T85)))=Milestones!$AB$153),TEXT(EDATE($D85,Milestones!$AA$153),"dd/mm/yy")&amp;" "&amp;Milestones!$AB$153&amp;" "&amp;Milestones!$AC$153&amp;";  ","")&amp;IF(AND(EDATE($D85,Milestones!$AA$154)&lt;=AsOfDate,IF($Q85=0,$W85,IF(AND($S85&lt;&gt;"",EDATE($D85,Milestones!$AA$154)&gt;=$S85),$V85,IF(AND($R85&lt;&gt;"",EDATE($D85,Milestones!$AA$154)&gt;=$R85),$U85,$T85)))=Milestones!$AB$154),TEXT(EDATE($D85,Milestones!$AA$154),"dd/mm/yy")&amp;" "&amp;Milestones!$AB$154&amp;" "&amp;Milestones!$AC$154&amp;";  ","")&amp;IF(AND(EDATE($D85,Milestones!$AA$155)&lt;=AsOfDate,IF($Q85=0,$W85,IF(AND($S85&lt;&gt;"",EDATE($D85,Milestones!$AA$155)&gt;=$S85),$V85,IF(AND($R85&lt;&gt;"",EDATE($D85,Milestones!$AA$155)&gt;=$R85),$U85,$T85)))=Milestones!$AB$155),TEXT(EDATE($D85,Milestones!$AA$155),"dd/mm/yy")&amp;" "&amp;Milestones!$AB$155&amp;" "&amp;Milestones!$AC$155&amp;";  ","")&amp;IF(AND(EDATE($D85,Milestones!$AA$156)&lt;=AsOfDate,IF($Q85=0,$W85,IF(AND($S85&lt;&gt;"",EDATE($D85,Milestones!$AA$156)&gt;=$S85),$V85,IF(AND($R85&lt;&gt;"",EDATE($D85,Milestones!$AA$156)&gt;=$R85),$U85,$T85)))=Milestones!$AB$156),TEXT(EDATE($D85,Milestones!$AA$156),"dd/mm/yy")&amp;" "&amp;Milestones!$AB$156&amp;" "&amp;Milestones!$AC$156&amp;";  ","")&amp;IF(AND(EDATE($D85,Milestones!$AA$157)&lt;=AsOfDate,IF($Q85=0,$W85,IF(AND($S85&lt;&gt;"",EDATE($D85,Milestones!$AA$157)&gt;=$S85),$V85,IF(AND($R85&lt;&gt;"",EDATE($D85,Milestones!$AA$157)&gt;=$R85),$U85,$T85)))=Milestones!$AB$157),TEXT(EDATE($D85,Milestones!$AA$157),"dd/mm/yy")&amp;" "&amp;Milestones!$AB$157&amp;" "&amp;Milestones!$AC$157&amp;";  ","")&amp;IF(AND(EDATE($D85,Milestones!$AA$158)&lt;=AsOfDate,IF($Q85=0,$W85,IF(AND($S85&lt;&gt;"",EDATE($D85,Milestones!$AA$158)&gt;=$S85),$V85,IF(AND($R85&lt;&gt;"",EDATE($D85,Milestones!$AA$158)&gt;=$R85),$U85,$T85)))=Milestones!$AB$158),TEXT(EDATE($D85,Milestones!$AA$158),"dd/mm/yy")&amp;" "&amp;Milestones!$AB$158&amp;" "&amp;Milestones!$AC$158&amp;";  ","")&amp;IF(AND(EDATE($D85,Milestones!$AA$159)&lt;=AsOfDate,IF($Q85=0,$W85,IF(AND($S85&lt;&gt;"",EDATE($D85,Milestones!$AA$159)&gt;=$S85),$V85,IF(AND($R85&lt;&gt;"",EDATE($D85,Milestones!$AA$159)&gt;=$R85),$U85,$T85)))=Milestones!$AB$159),TEXT(EDATE($D85,Milestones!$AA$159),"dd/mm/yy")&amp;" "&amp;Milestones!$AB$159&amp;" "&amp;Milestones!$AC$159&amp;";  ",""))</f>
        <v/>
      </c>
      <c r="O85" s="0" t="str">
        <f aca="false">IF(OR($A85="",$D85=""),"",IF(AND(EDATE($D85,Milestones!$AA$160)&lt;=AsOfDate,IF($Q85=0,$W85,IF(AND($S85&lt;&gt;"",EDATE($D85,Milestones!$AA$160)&gt;=$S85),$V85,IF(AND($R85&lt;&gt;"",EDATE($D85,Milestones!$AA$160)&gt;=$R85),$U85,$T85)))=Milestones!$AB$160),TEXT(EDATE($D85,Milestones!$AA$160),"dd/mm/yy")&amp;" "&amp;Milestones!$AB$160&amp;" "&amp;Milestones!$AC$160&amp;";  ","")&amp;IF(AND(EDATE($D85,Milestones!$AA$161)&lt;=AsOfDate,IF($Q85=0,$W85,IF(AND($S85&lt;&gt;"",EDATE($D85,Milestones!$AA$161)&gt;=$S85),$V85,IF(AND($R85&lt;&gt;"",EDATE($D85,Milestones!$AA$161)&gt;=$R85),$U85,$T85)))=Milestones!$AB$161),TEXT(EDATE($D85,Milestones!$AA$161),"dd/mm/yy")&amp;" "&amp;Milestones!$AB$161&amp;" "&amp;Milestones!$AC$161&amp;";  ","")&amp;IF(AND(EDATE($D85,Milestones!$AA$162)&lt;=AsOfDate,IF($Q85=0,$W85,IF(AND($S85&lt;&gt;"",EDATE($D85,Milestones!$AA$162)&gt;=$S85),$V85,IF(AND($R85&lt;&gt;"",EDATE($D85,Milestones!$AA$162)&gt;=$R85),$U85,$T85)))=Milestones!$AB$162),TEXT(EDATE($D85,Milestones!$AA$162),"dd/mm/yy")&amp;" "&amp;Milestones!$AB$162&amp;" "&amp;Milestones!$AC$162&amp;";  ","")&amp;IF(AND(EDATE($D85,Milestones!$AA$163)&lt;=AsOfDate,IF($Q85=0,$W85,IF(AND($S85&lt;&gt;"",EDATE($D85,Milestones!$AA$163)&gt;=$S85),$V85,IF(AND($R85&lt;&gt;"",EDATE($D85,Milestones!$AA$163)&gt;=$R85),$U85,$T85)))=Milestones!$AB$163),TEXT(EDATE($D85,Milestones!$AA$163),"dd/mm/yy")&amp;" "&amp;Milestones!$AB$163&amp;" "&amp;Milestones!$AC$163&amp;";  ","")&amp;IF(AND(EDATE($D85,Milestones!$AA$164)&lt;=AsOfDate,IF($Q85=0,$W85,IF(AND($S85&lt;&gt;"",EDATE($D85,Milestones!$AA$164)&gt;=$S85),$V85,IF(AND($R85&lt;&gt;"",EDATE($D85,Milestones!$AA$164)&gt;=$R85),$U85,$T85)))=Milestones!$AB$164),TEXT(EDATE($D85,Milestones!$AA$164),"dd/mm/yy")&amp;" "&amp;Milestones!$AB$164&amp;" "&amp;Milestones!$AC$164&amp;";  ","")&amp;IF(AND(EDATE($D85,Milestones!$AA$165)&lt;=AsOfDate,IF($Q85=0,$W85,IF(AND($S85&lt;&gt;"",EDATE($D85,Milestones!$AA$165)&gt;=$S85),$V85,IF(AND($R85&lt;&gt;"",EDATE($D85,Milestones!$AA$165)&gt;=$R85),$U85,$T85)))=Milestones!$AB$165),TEXT(EDATE($D85,Milestones!$AA$165),"dd/mm/yy")&amp;" "&amp;Milestones!$AB$165&amp;" "&amp;Milestones!$AC$165&amp;";  ","")&amp;IF(AND(EDATE($D85,Milestones!$AA$166)&lt;=AsOfDate,IF($Q85=0,$W85,IF(AND($S85&lt;&gt;"",EDATE($D85,Milestones!$AA$166)&gt;=$S85),$V85,IF(AND($R85&lt;&gt;"",EDATE($D85,Milestones!$AA$166)&gt;=$R85),$U85,$T85)))=Milestones!$AB$166),TEXT(EDATE($D85,Milestones!$AA$166),"dd/mm/yy")&amp;" "&amp;Milestones!$AB$166&amp;" "&amp;Milestones!$AC$166&amp;";  ","")&amp;IF(AND(EDATE($D85,Milestones!$AA$167)&lt;=AsOfDate,IF($Q85=0,$W85,IF(AND($S85&lt;&gt;"",EDATE($D85,Milestones!$AA$167)&gt;=$S85),$V85,IF(AND($R85&lt;&gt;"",EDATE($D85,Milestones!$AA$167)&gt;=$R85),$U85,$T85)))=Milestones!$AB$167),TEXT(EDATE($D85,Milestones!$AA$167),"dd/mm/yy")&amp;" "&amp;Milestones!$AB$167&amp;" "&amp;Milestones!$AC$167&amp;";  ","")&amp;IF(AND(EDATE($D85,Milestones!$AA$168)&lt;=AsOfDate,IF($Q85=0,$W85,IF(AND($S85&lt;&gt;"",EDATE($D85,Milestones!$AA$168)&gt;=$S85),$V85,IF(AND($R85&lt;&gt;"",EDATE($D85,Milestones!$AA$168)&gt;=$R85),$U85,$T85)))=Milestones!$AB$168),TEXT(EDATE($D85,Milestones!$AA$168),"dd/mm/yy")&amp;" "&amp;Milestones!$AB$168&amp;" "&amp;Milestones!$AC$168&amp;";  ","")&amp;IF(AND(EDATE($D85,Milestones!$AA$169)&lt;=AsOfDate,IF($Q85=0,$W85,IF(AND($S85&lt;&gt;"",EDATE($D85,Milestones!$AA$169)&gt;=$S85),$V85,IF(AND($R85&lt;&gt;"",EDATE($D85,Milestones!$AA$169)&gt;=$R85),$U85,$T85)))=Milestones!$AB$169),TEXT(EDATE($D85,Milestones!$AA$169),"dd/mm/yy")&amp;" "&amp;Milestones!$AB$169&amp;" "&amp;Milestones!$AC$169&amp;";  ","")&amp;IF(AND(EDATE($D85,Milestones!$AA$170)&lt;=AsOfDate,IF($Q85=0,$W85,IF(AND($S85&lt;&gt;"",EDATE($D85,Milestones!$AA$170)&gt;=$S85),$V85,IF(AND($R85&lt;&gt;"",EDATE($D85,Milestones!$AA$170)&gt;=$R85),$U85,$T85)))=Milestones!$AB$170),TEXT(EDATE($D85,Milestones!$AA$170),"dd/mm/yy")&amp;" "&amp;Milestones!$AB$170&amp;" "&amp;Milestones!$AC$170&amp;";  ","")&amp;IF(AND(EDATE($D85,Milestones!$AA$171)&lt;=AsOfDate,IF($Q85=0,$W85,IF(AND($S85&lt;&gt;"",EDATE($D85,Milestones!$AA$171)&gt;=$S85),$V85,IF(AND($R85&lt;&gt;"",EDATE($D85,Milestones!$AA$171)&gt;=$R85),$U85,$T85)))=Milestones!$AB$171),TEXT(EDATE($D85,Milestones!$AA$171),"dd/mm/yy")&amp;" "&amp;Milestones!$AB$171&amp;" "&amp;Milestones!$AC$171&amp;";  ","")&amp;IF(AND(EDATE($D85,Milestones!$AA$172)&lt;=AsOfDate,IF($Q85=0,$W85,IF(AND($S85&lt;&gt;"",EDATE($D85,Milestones!$AA$172)&gt;=$S85),$V85,IF(AND($R85&lt;&gt;"",EDATE($D85,Milestones!$AA$172)&gt;=$R85),$U85,$T85)))=Milestones!$AB$172),TEXT(EDATE($D85,Milestones!$AA$172),"dd/mm/yy")&amp;" "&amp;Milestones!$AB$172&amp;" "&amp;Milestones!$AC$172&amp;";  ","")&amp;IF(AND(EDATE($D85,Milestones!$AA$173)&lt;=AsOfDate,IF($Q85=0,$W85,IF(AND($S85&lt;&gt;"",EDATE($D85,Milestones!$AA$173)&gt;=$S85),$V85,IF(AND($R85&lt;&gt;"",EDATE($D85,Milestones!$AA$173)&gt;=$R85),$U85,$T85)))=Milestones!$AB$173),TEXT(EDATE($D85,Milestones!$AA$173),"dd/mm/yy")&amp;" "&amp;Milestones!$AB$173&amp;" "&amp;Milestones!$AC$173&amp;";  ","")&amp;IF(AND(EDATE($D85,Milestones!$AA$174)&lt;=AsOfDate,IF($Q85=0,$W85,IF(AND($S85&lt;&gt;"",EDATE($D85,Milestones!$AA$174)&gt;=$S85),$V85,IF(AND($R85&lt;&gt;"",EDATE($D85,Milestones!$AA$174)&gt;=$R85),$U85,$T85)))=Milestones!$AB$174),TEXT(EDATE($D85,Milestones!$AA$174),"dd/mm/yy")&amp;" "&amp;Milestones!$AB$174&amp;" "&amp;Milestones!$AC$174&amp;";  ","")&amp;IF(AND(EDATE($D85,Milestones!$AA$175)&lt;=AsOfDate,IF($Q85=0,$W85,IF(AND($S85&lt;&gt;"",EDATE($D85,Milestones!$AA$175)&gt;=$S85),$V85,IF(AND($R85&lt;&gt;"",EDATE($D85,Milestones!$AA$175)&gt;=$R85),$U85,$T85)))=Milestones!$AB$175),TEXT(EDATE($D85,Milestones!$AA$175),"dd/mm/yy")&amp;" "&amp;Milestones!$AB$175&amp;" "&amp;Milestones!$AC$175&amp;";  ","")&amp;IF(AND(EDATE($D85,Milestones!$AA$176)&lt;=AsOfDate,IF($Q85=0,$W85,IF(AND($S85&lt;&gt;"",EDATE($D85,Milestones!$AA$176)&gt;=$S85),$V85,IF(AND($R85&lt;&gt;"",EDATE($D85,Milestones!$AA$176)&gt;=$R85),$U85,$T85)))=Milestones!$AB$176),TEXT(EDATE($D85,Milestones!$AA$176),"dd/mm/yy")&amp;" "&amp;Milestones!$AB$176&amp;" "&amp;Milestones!$AC$176&amp;";  ","")&amp;IF(AND(EDATE($D85,Milestones!$AA$177)&lt;=AsOfDate,IF($Q85=0,$W85,IF(AND($S85&lt;&gt;"",EDATE($D85,Milestones!$AA$177)&gt;=$S85),$V85,IF(AND($R85&lt;&gt;"",EDATE($D85,Milestones!$AA$177)&gt;=$R85),$U85,$T85)))=Milestones!$AB$177),TEXT(EDATE($D85,Milestones!$AA$177),"dd/mm/yy")&amp;" "&amp;Milestones!$AB$177&amp;" "&amp;Milestones!$AC$177&amp;";  ","")&amp;IF(AND(EDATE($D85,Milestones!$AA$178)&lt;=AsOfDate,IF($Q85=0,$W85,IF(AND($S85&lt;&gt;"",EDATE($D85,Milestones!$AA$178)&gt;=$S85),$V85,IF(AND($R85&lt;&gt;"",EDATE($D85,Milestones!$AA$178)&gt;=$R85),$U85,$T85)))=Milestones!$AB$178),TEXT(EDATE($D85,Milestones!$AA$178),"dd/mm/yy")&amp;" "&amp;Milestones!$AB$178&amp;" "&amp;Milestones!$AC$178&amp;";  ","")&amp;IF(AND(EDATE($D85,Milestones!$AA$179)&lt;=AsOfDate,IF($Q85=0,$W85,IF(AND($S85&lt;&gt;"",EDATE($D85,Milestones!$AA$179)&gt;=$S85),$V85,IF(AND($R85&lt;&gt;"",EDATE($D85,Milestones!$AA$179)&gt;=$R85),$U85,$T85)))=Milestones!$AB$179),TEXT(EDATE($D85,Milestones!$AA$179),"dd/mm/yy")&amp;" "&amp;Milestones!$AB$179&amp;" "&amp;Milestones!$AC$179&amp;";  ",""))</f>
        <v/>
      </c>
      <c r="P85" s="0" t="str">
        <f aca="false">IF(OR($A85="",$D85=""),"",IF(AND(EDATE($D85,Milestones!$AA$180)&lt;=AsOfDate,IF($Q85=0,$W85,IF(AND($S85&lt;&gt;"",EDATE($D85,Milestones!$AA$180)&gt;=$S85),$V85,IF(AND($R85&lt;&gt;"",EDATE($D85,Milestones!$AA$180)&gt;=$R85),$U85,$T85)))=Milestones!$AB$180),TEXT(EDATE($D85,Milestones!$AA$180),"dd/mm/yy")&amp;" "&amp;Milestones!$AB$180&amp;" "&amp;Milestones!$AC$180&amp;";  ","")&amp;IF(AND(EDATE($D85,Milestones!$AA$181)&lt;=AsOfDate,IF($Q85=0,$W85,IF(AND($S85&lt;&gt;"",EDATE($D85,Milestones!$AA$181)&gt;=$S85),$V85,IF(AND($R85&lt;&gt;"",EDATE($D85,Milestones!$AA$181)&gt;=$R85),$U85,$T85)))=Milestones!$AB$181),TEXT(EDATE($D85,Milestones!$AA$181),"dd/mm/yy")&amp;" "&amp;Milestones!$AB$181&amp;" "&amp;Milestones!$AC$181&amp;";  ","")&amp;IF(AND(EDATE($D85,Milestones!$AA$182)&lt;=AsOfDate,IF($Q85=0,$W85,IF(AND($S85&lt;&gt;"",EDATE($D85,Milestones!$AA$182)&gt;=$S85),$V85,IF(AND($R85&lt;&gt;"",EDATE($D85,Milestones!$AA$182)&gt;=$R85),$U85,$T85)))=Milestones!$AB$182),TEXT(EDATE($D85,Milestones!$AA$182),"dd/mm/yy")&amp;" "&amp;Milestones!$AB$182&amp;" "&amp;Milestones!$AC$182&amp;";  ","")&amp;IF(AND(EDATE($D85,Milestones!$AA$183)&lt;=AsOfDate,IF($Q85=0,$W85,IF(AND($S85&lt;&gt;"",EDATE($D85,Milestones!$AA$183)&gt;=$S85),$V85,IF(AND($R85&lt;&gt;"",EDATE($D85,Milestones!$AA$183)&gt;=$R85),$U85,$T85)))=Milestones!$AB$183),TEXT(EDATE($D85,Milestones!$AA$183),"dd/mm/yy")&amp;" "&amp;Milestones!$AB$183&amp;" "&amp;Milestones!$AC$183&amp;";  ","")&amp;IF(AND(EDATE($D85,Milestones!$AA$184)&lt;=AsOfDate,IF($Q85=0,$W85,IF(AND($S85&lt;&gt;"",EDATE($D85,Milestones!$AA$184)&gt;=$S85),$V85,IF(AND($R85&lt;&gt;"",EDATE($D85,Milestones!$AA$184)&gt;=$R85),$U85,$T85)))=Milestones!$AB$184),TEXT(EDATE($D85,Milestones!$AA$184),"dd/mm/yy")&amp;" "&amp;Milestones!$AB$184&amp;" "&amp;Milestones!$AC$184&amp;";  ","")&amp;IF(AND(EDATE($D85,Milestones!$AA$185)&lt;=AsOfDate,IF($Q85=0,$W85,IF(AND($S85&lt;&gt;"",EDATE($D85,Milestones!$AA$185)&gt;=$S85),$V85,IF(AND($R85&lt;&gt;"",EDATE($D85,Milestones!$AA$185)&gt;=$R85),$U85,$T85)))=Milestones!$AB$185),TEXT(EDATE($D85,Milestones!$AA$185),"dd/mm/yy")&amp;" "&amp;Milestones!$AB$185&amp;" "&amp;Milestones!$AC$185&amp;";  ","")&amp;IF(AND(EDATE($D85,Milestones!$AA$186)&lt;=AsOfDate,IF($Q85=0,$W85,IF(AND($S85&lt;&gt;"",EDATE($D85,Milestones!$AA$186)&gt;=$S85),$V85,IF(AND($R85&lt;&gt;"",EDATE($D85,Milestones!$AA$186)&gt;=$R85),$U85,$T85)))=Milestones!$AB$186),TEXT(EDATE($D85,Milestones!$AA$186),"dd/mm/yy")&amp;" "&amp;Milestones!$AB$186&amp;" "&amp;Milestones!$AC$186&amp;";  ","")&amp;IF(AND(EDATE($D85,Milestones!$AA$187)&lt;=AsOfDate,IF($Q85=0,$W85,IF(AND($S85&lt;&gt;"",EDATE($D85,Milestones!$AA$187)&gt;=$S85),$V85,IF(AND($R85&lt;&gt;"",EDATE($D85,Milestones!$AA$187)&gt;=$R85),$U85,$T85)))=Milestones!$AB$187),TEXT(EDATE($D85,Milestones!$AA$187),"dd/mm/yy")&amp;" "&amp;Milestones!$AB$187&amp;" "&amp;Milestones!$AC$187&amp;";  ","")&amp;IF(AND(EDATE($D85,Milestones!$AA$188)&lt;=AsOfDate,IF($Q85=0,$W85,IF(AND($S85&lt;&gt;"",EDATE($D85,Milestones!$AA$188)&gt;=$S85),$V85,IF(AND($R85&lt;&gt;"",EDATE($D85,Milestones!$AA$188)&gt;=$R85),$U85,$T85)))=Milestones!$AB$188),TEXT(EDATE($D85,Milestones!$AA$188),"dd/mm/yy")&amp;" "&amp;Milestones!$AB$188&amp;" "&amp;Milestones!$AC$188&amp;";  ","")&amp;IF(AND(EDATE($D85,Milestones!$AA$189)&lt;=AsOfDate,IF($Q85=0,$W85,IF(AND($S85&lt;&gt;"",EDATE($D85,Milestones!$AA$189)&gt;=$S85),$V85,IF(AND($R85&lt;&gt;"",EDATE($D85,Milestones!$AA$189)&gt;=$R85),$U85,$T85)))=Milestones!$AB$189),TEXT(EDATE($D85,Milestones!$AA$189),"dd/mm/yy")&amp;" "&amp;Milestones!$AB$189&amp;" "&amp;Milestones!$AC$189&amp;";  ","")&amp;IF(AND(EDATE($D85,Milestones!$AA$190)&lt;=AsOfDate,IF($Q85=0,$W85,IF(AND($S85&lt;&gt;"",EDATE($D85,Milestones!$AA$190)&gt;=$S85),$V85,IF(AND($R85&lt;&gt;"",EDATE($D85,Milestones!$AA$190)&gt;=$R85),$U85,$T85)))=Milestones!$AB$190),TEXT(EDATE($D85,Milestones!$AA$190),"dd/mm/yy")&amp;" "&amp;Milestones!$AB$190&amp;" "&amp;Milestones!$AC$190&amp;";  ","")&amp;IF(AND(EDATE($D85,Milestones!$AA$191)&lt;=AsOfDate,IF($Q85=0,$W85,IF(AND($S85&lt;&gt;"",EDATE($D85,Milestones!$AA$191)&gt;=$S85),$V85,IF(AND($R85&lt;&gt;"",EDATE($D85,Milestones!$AA$191)&gt;=$R85),$U85,$T85)))=Milestones!$AB$191),TEXT(EDATE($D85,Milestones!$AA$191),"dd/mm/yy")&amp;" "&amp;Milestones!$AB$191&amp;" "&amp;Milestones!$AC$191&amp;";  ","")&amp;IF(AND(EDATE($D85,Milestones!$AA$192)&lt;=AsOfDate,IF($Q85=0,$W85,IF(AND($S85&lt;&gt;"",EDATE($D85,Milestones!$AA$192)&gt;=$S85),$V85,IF(AND($R85&lt;&gt;"",EDATE($D85,Milestones!$AA$192)&gt;=$R85),$U85,$T85)))=Milestones!$AB$192),TEXT(EDATE($D85,Milestones!$AA$192),"dd/mm/yy")&amp;" "&amp;Milestones!$AB$192&amp;" "&amp;Milestones!$AC$192&amp;";  ","")&amp;IF(AND(EDATE($D85,Milestones!$AA$193)&lt;=AsOfDate,IF($Q85=0,$W85,IF(AND($S85&lt;&gt;"",EDATE($D85,Milestones!$AA$193)&gt;=$S85),$V85,IF(AND($R85&lt;&gt;"",EDATE($D85,Milestones!$AA$193)&gt;=$R85),$U85,$T85)))=Milestones!$AB$193),TEXT(EDATE($D85,Milestones!$AA$193),"dd/mm/yy")&amp;" "&amp;Milestones!$AB$193&amp;" "&amp;Milestones!$AC$193&amp;";  ","")&amp;IF(AND(EDATE($D85,Milestones!$AA$194)&lt;=AsOfDate,IF($Q85=0,$W85,IF(AND($S85&lt;&gt;"",EDATE($D85,Milestones!$AA$194)&gt;=$S85),$V85,IF(AND($R85&lt;&gt;"",EDATE($D85,Milestones!$AA$194)&gt;=$R85),$U85,$T85)))=Milestones!$AB$194),TEXT(EDATE($D85,Milestones!$AA$194),"dd/mm/yy")&amp;" "&amp;Milestones!$AB$194&amp;" "&amp;Milestones!$AC$194&amp;";  ","")&amp;IF(AND(EDATE($D85,Milestones!$AA$195)&lt;=AsOfDate,IF($Q85=0,$W85,IF(AND($S85&lt;&gt;"",EDATE($D85,Milestones!$AA$195)&gt;=$S85),$V85,IF(AND($R85&lt;&gt;"",EDATE($D85,Milestones!$AA$195)&gt;=$R85),$U85,$T85)))=Milestones!$AB$195),TEXT(EDATE($D85,Milestones!$AA$195),"dd/mm/yy")&amp;" "&amp;Milestones!$AB$195&amp;" "&amp;Milestones!$AC$195&amp;";  ","")&amp;IF(AND(EDATE($D85,Milestones!$AA$196)&lt;=AsOfDate,IF($Q85=0,$W85,IF(AND($S85&lt;&gt;"",EDATE($D85,Milestones!$AA$196)&gt;=$S85),$V85,IF(AND($R85&lt;&gt;"",EDATE($D85,Milestones!$AA$196)&gt;=$R85),$U85,$T85)))=Milestones!$AB$196),TEXT(EDATE($D85,Milestones!$AA$196),"dd/mm/yy")&amp;" "&amp;Milestones!$AB$196&amp;" "&amp;Milestones!$AC$196&amp;";  ","")&amp;IF(AND(EDATE($D85,Milestones!$AA$197)&lt;=AsOfDate,IF($Q85=0,$W85,IF(AND($S85&lt;&gt;"",EDATE($D85,Milestones!$AA$197)&gt;=$S85),$V85,IF(AND($R85&lt;&gt;"",EDATE($D85,Milestones!$AA$197)&gt;=$R85),$U85,$T85)))=Milestones!$AB$197),TEXT(EDATE($D85,Milestones!$AA$197),"dd/mm/yy")&amp;" "&amp;Milestones!$AB$197&amp;" "&amp;Milestones!$AC$197&amp;";  ","")&amp;IF(AND(EDATE($D85,Milestones!$AA$198)&lt;=AsOfDate,IF($Q85=0,$W85,IF(AND($S85&lt;&gt;"",EDATE($D85,Milestones!$AA$198)&gt;=$S85),$V85,IF(AND($R85&lt;&gt;"",EDATE($D85,Milestones!$AA$198)&gt;=$R85),$U85,$T85)))=Milestones!$AB$198),TEXT(EDATE($D85,Milestones!$AA$198),"dd/mm/yy")&amp;" "&amp;Milestones!$AB$198&amp;" "&amp;Milestones!$AC$198&amp;";  ","")&amp;IF(AND(EDATE($D85,Milestones!$AA$199)&lt;=AsOfDate,IF($Q85=0,$W85,IF(AND($S85&lt;&gt;"",EDATE($D85,Milestones!$AA$199)&gt;=$S85),$V85,IF(AND($R85&lt;&gt;"",EDATE($D85,Milestones!$AA$199)&gt;=$R85),$U85,$T85)))=Milestones!$AB$199),TEXT(EDATE($D85,Milestones!$AA$199),"dd/mm/yy")&amp;" "&amp;Milestones!$AB$199&amp;" "&amp;Milestones!$AC$199&amp;";  ",""))</f>
        <v/>
      </c>
      <c r="Q85" s="0" t="str">
        <f aca="false">IF(Staff!$A85="","",Staff!$AG85)</f>
        <v/>
      </c>
      <c r="R85" s="0" t="str">
        <f aca="false">IF(Staff!$A85="","",Staff!$AI85)</f>
        <v/>
      </c>
      <c r="S85" s="0" t="str">
        <f aca="false">IF(Staff!$A85="","",Staff!$AJ85)</f>
        <v/>
      </c>
      <c r="T85" s="0" t="str">
        <f aca="false">IF(Staff!$A85="","",Staff!$AN85)</f>
        <v/>
      </c>
      <c r="U85" s="0" t="str">
        <f aca="false">IF(Staff!$A85="","",Staff!$AO85)</f>
        <v/>
      </c>
      <c r="V85" s="0" t="str">
        <f aca="false">IF(Staff!$A85="","",Staff!$AP85)</f>
        <v/>
      </c>
      <c r="W85" s="0" t="str">
        <f aca="false">IF(Staff!$A85="","",Staff!$AQ85)</f>
        <v/>
      </c>
    </row>
    <row r="86" customFormat="false" ht="15" hidden="false" customHeight="false" outlineLevel="0" collapsed="false">
      <c r="A86" s="13" t="str">
        <f aca="false">IF(Staff!$A86="","",Staff!$A86)</f>
        <v/>
      </c>
      <c r="B86" s="13" t="str">
        <f aca="false">IF(Staff!$A86="","",Staff!$B86)</f>
        <v/>
      </c>
      <c r="C86" s="13" t="str">
        <f aca="false">IF(Staff!$A86="","",Staff!$C86)</f>
        <v/>
      </c>
      <c r="D86" s="11" t="str">
        <f aca="false">IF(Staff!$A86="","",Staff!$AF86)</f>
        <v/>
      </c>
      <c r="E86" s="13" t="str">
        <f aca="false">IF(Staff!$A86="","",Staff!$O86)</f>
        <v/>
      </c>
      <c r="F86" s="13" t="str">
        <f aca="false">IF(E86="","",E86*HoursPerDay)</f>
        <v/>
      </c>
      <c r="G86" s="26" t="str">
        <f aca="false">IF($A86="","",H86&amp;I86&amp;J86&amp;K86&amp;L86&amp;M86&amp;N86&amp;O86&amp;P86)</f>
        <v/>
      </c>
      <c r="H86" s="0" t="str">
        <f aca="false">IF(OR($A86="",$D86=""),"",IF(AND(EDATE($D86,Milestones!$AA$20)&lt;=AsOfDate,IF($Q86=0,$W86,IF(AND($S86&lt;&gt;"",EDATE($D86,Milestones!$AA$20)&gt;=$S86),$V86,IF(AND($R86&lt;&gt;"",EDATE($D86,Milestones!$AA$20)&gt;=$R86),$U86,$T86)))=Milestones!$AB$20),TEXT(EDATE($D86,Milestones!$AA$20),"dd/mm/yy")&amp;" "&amp;Milestones!$AB$20&amp;" "&amp;Milestones!$AC$20&amp;";  ","")&amp;IF(AND(EDATE($D86,Milestones!$AA$21)&lt;=AsOfDate,IF($Q86=0,$W86,IF(AND($S86&lt;&gt;"",EDATE($D86,Milestones!$AA$21)&gt;=$S86),$V86,IF(AND($R86&lt;&gt;"",EDATE($D86,Milestones!$AA$21)&gt;=$R86),$U86,$T86)))=Milestones!$AB$21),TEXT(EDATE($D86,Milestones!$AA$21),"dd/mm/yy")&amp;" "&amp;Milestones!$AB$21&amp;" "&amp;Milestones!$AC$21&amp;";  ","")&amp;IF(AND(EDATE($D86,Milestones!$AA$22)&lt;=AsOfDate,IF($Q86=0,$W86,IF(AND($S86&lt;&gt;"",EDATE($D86,Milestones!$AA$22)&gt;=$S86),$V86,IF(AND($R86&lt;&gt;"",EDATE($D86,Milestones!$AA$22)&gt;=$R86),$U86,$T86)))=Milestones!$AB$22),TEXT(EDATE($D86,Milestones!$AA$22),"dd/mm/yy")&amp;" "&amp;Milestones!$AB$22&amp;" "&amp;Milestones!$AC$22&amp;";  ","")&amp;IF(AND(EDATE($D86,Milestones!$AA$23)&lt;=AsOfDate,IF($Q86=0,$W86,IF(AND($S86&lt;&gt;"",EDATE($D86,Milestones!$AA$23)&gt;=$S86),$V86,IF(AND($R86&lt;&gt;"",EDATE($D86,Milestones!$AA$23)&gt;=$R86),$U86,$T86)))=Milestones!$AB$23),TEXT(EDATE($D86,Milestones!$AA$23),"dd/mm/yy")&amp;" "&amp;Milestones!$AB$23&amp;" "&amp;Milestones!$AC$23&amp;";  ","")&amp;IF(AND(EDATE($D86,Milestones!$AA$24)&lt;=AsOfDate,IF($Q86=0,$W86,IF(AND($S86&lt;&gt;"",EDATE($D86,Milestones!$AA$24)&gt;=$S86),$V86,IF(AND($R86&lt;&gt;"",EDATE($D86,Milestones!$AA$24)&gt;=$R86),$U86,$T86)))=Milestones!$AB$24),TEXT(EDATE($D86,Milestones!$AA$24),"dd/mm/yy")&amp;" "&amp;Milestones!$AB$24&amp;" "&amp;Milestones!$AC$24&amp;";  ","")&amp;IF(AND(EDATE($D86,Milestones!$AA$25)&lt;=AsOfDate,IF($Q86=0,$W86,IF(AND($S86&lt;&gt;"",EDATE($D86,Milestones!$AA$25)&gt;=$S86),$V86,IF(AND($R86&lt;&gt;"",EDATE($D86,Milestones!$AA$25)&gt;=$R86),$U86,$T86)))=Milestones!$AB$25),TEXT(EDATE($D86,Milestones!$AA$25),"dd/mm/yy")&amp;" "&amp;Milestones!$AB$25&amp;" "&amp;Milestones!$AC$25&amp;";  ","")&amp;IF(AND(EDATE($D86,Milestones!$AA$26)&lt;=AsOfDate,IF($Q86=0,$W86,IF(AND($S86&lt;&gt;"",EDATE($D86,Milestones!$AA$26)&gt;=$S86),$V86,IF(AND($R86&lt;&gt;"",EDATE($D86,Milestones!$AA$26)&gt;=$R86),$U86,$T86)))=Milestones!$AB$26),TEXT(EDATE($D86,Milestones!$AA$26),"dd/mm/yy")&amp;" "&amp;Milestones!$AB$26&amp;" "&amp;Milestones!$AC$26&amp;";  ","")&amp;IF(AND(EDATE($D86,Milestones!$AA$27)&lt;=AsOfDate,IF($Q86=0,$W86,IF(AND($S86&lt;&gt;"",EDATE($D86,Milestones!$AA$27)&gt;=$S86),$V86,IF(AND($R86&lt;&gt;"",EDATE($D86,Milestones!$AA$27)&gt;=$R86),$U86,$T86)))=Milestones!$AB$27),TEXT(EDATE($D86,Milestones!$AA$27),"dd/mm/yy")&amp;" "&amp;Milestones!$AB$27&amp;" "&amp;Milestones!$AC$27&amp;";  ","")&amp;IF(AND(EDATE($D86,Milestones!$AA$28)&lt;=AsOfDate,IF($Q86=0,$W86,IF(AND($S86&lt;&gt;"",EDATE($D86,Milestones!$AA$28)&gt;=$S86),$V86,IF(AND($R86&lt;&gt;"",EDATE($D86,Milestones!$AA$28)&gt;=$R86),$U86,$T86)))=Milestones!$AB$28),TEXT(EDATE($D86,Milestones!$AA$28),"dd/mm/yy")&amp;" "&amp;Milestones!$AB$28&amp;" "&amp;Milestones!$AC$28&amp;";  ","")&amp;IF(AND(EDATE($D86,Milestones!$AA$29)&lt;=AsOfDate,IF($Q86=0,$W86,IF(AND($S86&lt;&gt;"",EDATE($D86,Milestones!$AA$29)&gt;=$S86),$V86,IF(AND($R86&lt;&gt;"",EDATE($D86,Milestones!$AA$29)&gt;=$R86),$U86,$T86)))=Milestones!$AB$29),TEXT(EDATE($D86,Milestones!$AA$29),"dd/mm/yy")&amp;" "&amp;Milestones!$AB$29&amp;" "&amp;Milestones!$AC$29&amp;";  ","")&amp;IF(AND(EDATE($D86,Milestones!$AA$30)&lt;=AsOfDate,IF($Q86=0,$W86,IF(AND($S86&lt;&gt;"",EDATE($D86,Milestones!$AA$30)&gt;=$S86),$V86,IF(AND($R86&lt;&gt;"",EDATE($D86,Milestones!$AA$30)&gt;=$R86),$U86,$T86)))=Milestones!$AB$30),TEXT(EDATE($D86,Milestones!$AA$30),"dd/mm/yy")&amp;" "&amp;Milestones!$AB$30&amp;" "&amp;Milestones!$AC$30&amp;";  ","")&amp;IF(AND(EDATE($D86,Milestones!$AA$31)&lt;=AsOfDate,IF($Q86=0,$W86,IF(AND($S86&lt;&gt;"",EDATE($D86,Milestones!$AA$31)&gt;=$S86),$V86,IF(AND($R86&lt;&gt;"",EDATE($D86,Milestones!$AA$31)&gt;=$R86),$U86,$T86)))=Milestones!$AB$31),TEXT(EDATE($D86,Milestones!$AA$31),"dd/mm/yy")&amp;" "&amp;Milestones!$AB$31&amp;" "&amp;Milestones!$AC$31&amp;";  ","")&amp;IF(AND(EDATE($D86,Milestones!$AA$32)&lt;=AsOfDate,IF($Q86=0,$W86,IF(AND($S86&lt;&gt;"",EDATE($D86,Milestones!$AA$32)&gt;=$S86),$V86,IF(AND($R86&lt;&gt;"",EDATE($D86,Milestones!$AA$32)&gt;=$R86),$U86,$T86)))=Milestones!$AB$32),TEXT(EDATE($D86,Milestones!$AA$32),"dd/mm/yy")&amp;" "&amp;Milestones!$AB$32&amp;" "&amp;Milestones!$AC$32&amp;";  ","")&amp;IF(AND(EDATE($D86,Milestones!$AA$33)&lt;=AsOfDate,IF($Q86=0,$W86,IF(AND($S86&lt;&gt;"",EDATE($D86,Milestones!$AA$33)&gt;=$S86),$V86,IF(AND($R86&lt;&gt;"",EDATE($D86,Milestones!$AA$33)&gt;=$R86),$U86,$T86)))=Milestones!$AB$33),TEXT(EDATE($D86,Milestones!$AA$33),"dd/mm/yy")&amp;" "&amp;Milestones!$AB$33&amp;" "&amp;Milestones!$AC$33&amp;";  ","")&amp;IF(AND(EDATE($D86,Milestones!$AA$34)&lt;=AsOfDate,IF($Q86=0,$W86,IF(AND($S86&lt;&gt;"",EDATE($D86,Milestones!$AA$34)&gt;=$S86),$V86,IF(AND($R86&lt;&gt;"",EDATE($D86,Milestones!$AA$34)&gt;=$R86),$U86,$T86)))=Milestones!$AB$34),TEXT(EDATE($D86,Milestones!$AA$34),"dd/mm/yy")&amp;" "&amp;Milestones!$AB$34&amp;" "&amp;Milestones!$AC$34&amp;";  ","")&amp;IF(AND(EDATE($D86,Milestones!$AA$35)&lt;=AsOfDate,IF($Q86=0,$W86,IF(AND($S86&lt;&gt;"",EDATE($D86,Milestones!$AA$35)&gt;=$S86),$V86,IF(AND($R86&lt;&gt;"",EDATE($D86,Milestones!$AA$35)&gt;=$R86),$U86,$T86)))=Milestones!$AB$35),TEXT(EDATE($D86,Milestones!$AA$35),"dd/mm/yy")&amp;" "&amp;Milestones!$AB$35&amp;" "&amp;Milestones!$AC$35&amp;";  ","")&amp;IF(AND(EDATE($D86,Milestones!$AA$36)&lt;=AsOfDate,IF($Q86=0,$W86,IF(AND($S86&lt;&gt;"",EDATE($D86,Milestones!$AA$36)&gt;=$S86),$V86,IF(AND($R86&lt;&gt;"",EDATE($D86,Milestones!$AA$36)&gt;=$R86),$U86,$T86)))=Milestones!$AB$36),TEXT(EDATE($D86,Milestones!$AA$36),"dd/mm/yy")&amp;" "&amp;Milestones!$AB$36&amp;" "&amp;Milestones!$AC$36&amp;";  ","")&amp;IF(AND(EDATE($D86,Milestones!$AA$37)&lt;=AsOfDate,IF($Q86=0,$W86,IF(AND($S86&lt;&gt;"",EDATE($D86,Milestones!$AA$37)&gt;=$S86),$V86,IF(AND($R86&lt;&gt;"",EDATE($D86,Milestones!$AA$37)&gt;=$R86),$U86,$T86)))=Milestones!$AB$37),TEXT(EDATE($D86,Milestones!$AA$37),"dd/mm/yy")&amp;" "&amp;Milestones!$AB$37&amp;" "&amp;Milestones!$AC$37&amp;";  ","")&amp;IF(AND(EDATE($D86,Milestones!$AA$38)&lt;=AsOfDate,IF($Q86=0,$W86,IF(AND($S86&lt;&gt;"",EDATE($D86,Milestones!$AA$38)&gt;=$S86),$V86,IF(AND($R86&lt;&gt;"",EDATE($D86,Milestones!$AA$38)&gt;=$R86),$U86,$T86)))=Milestones!$AB$38),TEXT(EDATE($D86,Milestones!$AA$38),"dd/mm/yy")&amp;" "&amp;Milestones!$AB$38&amp;" "&amp;Milestones!$AC$38&amp;";  ","")&amp;IF(AND(EDATE($D86,Milestones!$AA$39)&lt;=AsOfDate,IF($Q86=0,$W86,IF(AND($S86&lt;&gt;"",EDATE($D86,Milestones!$AA$39)&gt;=$S86),$V86,IF(AND($R86&lt;&gt;"",EDATE($D86,Milestones!$AA$39)&gt;=$R86),$U86,$T86)))=Milestones!$AB$39),TEXT(EDATE($D86,Milestones!$AA$39),"dd/mm/yy")&amp;" "&amp;Milestones!$AB$39&amp;" "&amp;Milestones!$AC$39&amp;";  ",""))</f>
        <v/>
      </c>
      <c r="I86" s="0" t="str">
        <f aca="false">IF(OR($A86="",$D86=""),"",IF(AND(EDATE($D86,Milestones!$AA$40)&lt;=AsOfDate,IF($Q86=0,$W86,IF(AND($S86&lt;&gt;"",EDATE($D86,Milestones!$AA$40)&gt;=$S86),$V86,IF(AND($R86&lt;&gt;"",EDATE($D86,Milestones!$AA$40)&gt;=$R86),$U86,$T86)))=Milestones!$AB$40),TEXT(EDATE($D86,Milestones!$AA$40),"dd/mm/yy")&amp;" "&amp;Milestones!$AB$40&amp;" "&amp;Milestones!$AC$40&amp;";  ","")&amp;IF(AND(EDATE($D86,Milestones!$AA$41)&lt;=AsOfDate,IF($Q86=0,$W86,IF(AND($S86&lt;&gt;"",EDATE($D86,Milestones!$AA$41)&gt;=$S86),$V86,IF(AND($R86&lt;&gt;"",EDATE($D86,Milestones!$AA$41)&gt;=$R86),$U86,$T86)))=Milestones!$AB$41),TEXT(EDATE($D86,Milestones!$AA$41),"dd/mm/yy")&amp;" "&amp;Milestones!$AB$41&amp;" "&amp;Milestones!$AC$41&amp;";  ","")&amp;IF(AND(EDATE($D86,Milestones!$AA$42)&lt;=AsOfDate,IF($Q86=0,$W86,IF(AND($S86&lt;&gt;"",EDATE($D86,Milestones!$AA$42)&gt;=$S86),$V86,IF(AND($R86&lt;&gt;"",EDATE($D86,Milestones!$AA$42)&gt;=$R86),$U86,$T86)))=Milestones!$AB$42),TEXT(EDATE($D86,Milestones!$AA$42),"dd/mm/yy")&amp;" "&amp;Milestones!$AB$42&amp;" "&amp;Milestones!$AC$42&amp;";  ","")&amp;IF(AND(EDATE($D86,Milestones!$AA$43)&lt;=AsOfDate,IF($Q86=0,$W86,IF(AND($S86&lt;&gt;"",EDATE($D86,Milestones!$AA$43)&gt;=$S86),$V86,IF(AND($R86&lt;&gt;"",EDATE($D86,Milestones!$AA$43)&gt;=$R86),$U86,$T86)))=Milestones!$AB$43),TEXT(EDATE($D86,Milestones!$AA$43),"dd/mm/yy")&amp;" "&amp;Milestones!$AB$43&amp;" "&amp;Milestones!$AC$43&amp;";  ","")&amp;IF(AND(EDATE($D86,Milestones!$AA$44)&lt;=AsOfDate,IF($Q86=0,$W86,IF(AND($S86&lt;&gt;"",EDATE($D86,Milestones!$AA$44)&gt;=$S86),$V86,IF(AND($R86&lt;&gt;"",EDATE($D86,Milestones!$AA$44)&gt;=$R86),$U86,$T86)))=Milestones!$AB$44),TEXT(EDATE($D86,Milestones!$AA$44),"dd/mm/yy")&amp;" "&amp;Milestones!$AB$44&amp;" "&amp;Milestones!$AC$44&amp;";  ","")&amp;IF(AND(EDATE($D86,Milestones!$AA$45)&lt;=AsOfDate,IF($Q86=0,$W86,IF(AND($S86&lt;&gt;"",EDATE($D86,Milestones!$AA$45)&gt;=$S86),$V86,IF(AND($R86&lt;&gt;"",EDATE($D86,Milestones!$AA$45)&gt;=$R86),$U86,$T86)))=Milestones!$AB$45),TEXT(EDATE($D86,Milestones!$AA$45),"dd/mm/yy")&amp;" "&amp;Milestones!$AB$45&amp;" "&amp;Milestones!$AC$45&amp;";  ","")&amp;IF(AND(EDATE($D86,Milestones!$AA$46)&lt;=AsOfDate,IF($Q86=0,$W86,IF(AND($S86&lt;&gt;"",EDATE($D86,Milestones!$AA$46)&gt;=$S86),$V86,IF(AND($R86&lt;&gt;"",EDATE($D86,Milestones!$AA$46)&gt;=$R86),$U86,$T86)))=Milestones!$AB$46),TEXT(EDATE($D86,Milestones!$AA$46),"dd/mm/yy")&amp;" "&amp;Milestones!$AB$46&amp;" "&amp;Milestones!$AC$46&amp;";  ","")&amp;IF(AND(EDATE($D86,Milestones!$AA$47)&lt;=AsOfDate,IF($Q86=0,$W86,IF(AND($S86&lt;&gt;"",EDATE($D86,Milestones!$AA$47)&gt;=$S86),$V86,IF(AND($R86&lt;&gt;"",EDATE($D86,Milestones!$AA$47)&gt;=$R86),$U86,$T86)))=Milestones!$AB$47),TEXT(EDATE($D86,Milestones!$AA$47),"dd/mm/yy")&amp;" "&amp;Milestones!$AB$47&amp;" "&amp;Milestones!$AC$47&amp;";  ","")&amp;IF(AND(EDATE($D86,Milestones!$AA$48)&lt;=AsOfDate,IF($Q86=0,$W86,IF(AND($S86&lt;&gt;"",EDATE($D86,Milestones!$AA$48)&gt;=$S86),$V86,IF(AND($R86&lt;&gt;"",EDATE($D86,Milestones!$AA$48)&gt;=$R86),$U86,$T86)))=Milestones!$AB$48),TEXT(EDATE($D86,Milestones!$AA$48),"dd/mm/yy")&amp;" "&amp;Milestones!$AB$48&amp;" "&amp;Milestones!$AC$48&amp;";  ","")&amp;IF(AND(EDATE($D86,Milestones!$AA$49)&lt;=AsOfDate,IF($Q86=0,$W86,IF(AND($S86&lt;&gt;"",EDATE($D86,Milestones!$AA$49)&gt;=$S86),$V86,IF(AND($R86&lt;&gt;"",EDATE($D86,Milestones!$AA$49)&gt;=$R86),$U86,$T86)))=Milestones!$AB$49),TEXT(EDATE($D86,Milestones!$AA$49),"dd/mm/yy")&amp;" "&amp;Milestones!$AB$49&amp;" "&amp;Milestones!$AC$49&amp;";  ","")&amp;IF(AND(EDATE($D86,Milestones!$AA$50)&lt;=AsOfDate,IF($Q86=0,$W86,IF(AND($S86&lt;&gt;"",EDATE($D86,Milestones!$AA$50)&gt;=$S86),$V86,IF(AND($R86&lt;&gt;"",EDATE($D86,Milestones!$AA$50)&gt;=$R86),$U86,$T86)))=Milestones!$AB$50),TEXT(EDATE($D86,Milestones!$AA$50),"dd/mm/yy")&amp;" "&amp;Milestones!$AB$50&amp;" "&amp;Milestones!$AC$50&amp;";  ","")&amp;IF(AND(EDATE($D86,Milestones!$AA$51)&lt;=AsOfDate,IF($Q86=0,$W86,IF(AND($S86&lt;&gt;"",EDATE($D86,Milestones!$AA$51)&gt;=$S86),$V86,IF(AND($R86&lt;&gt;"",EDATE($D86,Milestones!$AA$51)&gt;=$R86),$U86,$T86)))=Milestones!$AB$51),TEXT(EDATE($D86,Milestones!$AA$51),"dd/mm/yy")&amp;" "&amp;Milestones!$AB$51&amp;" "&amp;Milestones!$AC$51&amp;";  ","")&amp;IF(AND(EDATE($D86,Milestones!$AA$52)&lt;=AsOfDate,IF($Q86=0,$W86,IF(AND($S86&lt;&gt;"",EDATE($D86,Milestones!$AA$52)&gt;=$S86),$V86,IF(AND($R86&lt;&gt;"",EDATE($D86,Milestones!$AA$52)&gt;=$R86),$U86,$T86)))=Milestones!$AB$52),TEXT(EDATE($D86,Milestones!$AA$52),"dd/mm/yy")&amp;" "&amp;Milestones!$AB$52&amp;" "&amp;Milestones!$AC$52&amp;";  ","")&amp;IF(AND(EDATE($D86,Milestones!$AA$53)&lt;=AsOfDate,IF($Q86=0,$W86,IF(AND($S86&lt;&gt;"",EDATE($D86,Milestones!$AA$53)&gt;=$S86),$V86,IF(AND($R86&lt;&gt;"",EDATE($D86,Milestones!$AA$53)&gt;=$R86),$U86,$T86)))=Milestones!$AB$53),TEXT(EDATE($D86,Milestones!$AA$53),"dd/mm/yy")&amp;" "&amp;Milestones!$AB$53&amp;" "&amp;Milestones!$AC$53&amp;";  ","")&amp;IF(AND(EDATE($D86,Milestones!$AA$54)&lt;=AsOfDate,IF($Q86=0,$W86,IF(AND($S86&lt;&gt;"",EDATE($D86,Milestones!$AA$54)&gt;=$S86),$V86,IF(AND($R86&lt;&gt;"",EDATE($D86,Milestones!$AA$54)&gt;=$R86),$U86,$T86)))=Milestones!$AB$54),TEXT(EDATE($D86,Milestones!$AA$54),"dd/mm/yy")&amp;" "&amp;Milestones!$AB$54&amp;" "&amp;Milestones!$AC$54&amp;";  ","")&amp;IF(AND(EDATE($D86,Milestones!$AA$55)&lt;=AsOfDate,IF($Q86=0,$W86,IF(AND($S86&lt;&gt;"",EDATE($D86,Milestones!$AA$55)&gt;=$S86),$V86,IF(AND($R86&lt;&gt;"",EDATE($D86,Milestones!$AA$55)&gt;=$R86),$U86,$T86)))=Milestones!$AB$55),TEXT(EDATE($D86,Milestones!$AA$55),"dd/mm/yy")&amp;" "&amp;Milestones!$AB$55&amp;" "&amp;Milestones!$AC$55&amp;";  ","")&amp;IF(AND(EDATE($D86,Milestones!$AA$56)&lt;=AsOfDate,IF($Q86=0,$W86,IF(AND($S86&lt;&gt;"",EDATE($D86,Milestones!$AA$56)&gt;=$S86),$V86,IF(AND($R86&lt;&gt;"",EDATE($D86,Milestones!$AA$56)&gt;=$R86),$U86,$T86)))=Milestones!$AB$56),TEXT(EDATE($D86,Milestones!$AA$56),"dd/mm/yy")&amp;" "&amp;Milestones!$AB$56&amp;" "&amp;Milestones!$AC$56&amp;";  ","")&amp;IF(AND(EDATE($D86,Milestones!$AA$57)&lt;=AsOfDate,IF($Q86=0,$W86,IF(AND($S86&lt;&gt;"",EDATE($D86,Milestones!$AA$57)&gt;=$S86),$V86,IF(AND($R86&lt;&gt;"",EDATE($D86,Milestones!$AA$57)&gt;=$R86),$U86,$T86)))=Milestones!$AB$57),TEXT(EDATE($D86,Milestones!$AA$57),"dd/mm/yy")&amp;" "&amp;Milestones!$AB$57&amp;" "&amp;Milestones!$AC$57&amp;";  ","")&amp;IF(AND(EDATE($D86,Milestones!$AA$58)&lt;=AsOfDate,IF($Q86=0,$W86,IF(AND($S86&lt;&gt;"",EDATE($D86,Milestones!$AA$58)&gt;=$S86),$V86,IF(AND($R86&lt;&gt;"",EDATE($D86,Milestones!$AA$58)&gt;=$R86),$U86,$T86)))=Milestones!$AB$58),TEXT(EDATE($D86,Milestones!$AA$58),"dd/mm/yy")&amp;" "&amp;Milestones!$AB$58&amp;" "&amp;Milestones!$AC$58&amp;";  ","")&amp;IF(AND(EDATE($D86,Milestones!$AA$59)&lt;=AsOfDate,IF($Q86=0,$W86,IF(AND($S86&lt;&gt;"",EDATE($D86,Milestones!$AA$59)&gt;=$S86),$V86,IF(AND($R86&lt;&gt;"",EDATE($D86,Milestones!$AA$59)&gt;=$R86),$U86,$T86)))=Milestones!$AB$59),TEXT(EDATE($D86,Milestones!$AA$59),"dd/mm/yy")&amp;" "&amp;Milestones!$AB$59&amp;" "&amp;Milestones!$AC$59&amp;";  ",""))</f>
        <v/>
      </c>
      <c r="J86" s="0" t="str">
        <f aca="false">IF(OR($A86="",$D86=""),"",IF(AND(EDATE($D86,Milestones!$AA$60)&lt;=AsOfDate,IF($Q86=0,$W86,IF(AND($S86&lt;&gt;"",EDATE($D86,Milestones!$AA$60)&gt;=$S86),$V86,IF(AND($R86&lt;&gt;"",EDATE($D86,Milestones!$AA$60)&gt;=$R86),$U86,$T86)))=Milestones!$AB$60),TEXT(EDATE($D86,Milestones!$AA$60),"dd/mm/yy")&amp;" "&amp;Milestones!$AB$60&amp;" "&amp;Milestones!$AC$60&amp;";  ","")&amp;IF(AND(EDATE($D86,Milestones!$AA$61)&lt;=AsOfDate,IF($Q86=0,$W86,IF(AND($S86&lt;&gt;"",EDATE($D86,Milestones!$AA$61)&gt;=$S86),$V86,IF(AND($R86&lt;&gt;"",EDATE($D86,Milestones!$AA$61)&gt;=$R86),$U86,$T86)))=Milestones!$AB$61),TEXT(EDATE($D86,Milestones!$AA$61),"dd/mm/yy")&amp;" "&amp;Milestones!$AB$61&amp;" "&amp;Milestones!$AC$61&amp;";  ","")&amp;IF(AND(EDATE($D86,Milestones!$AA$62)&lt;=AsOfDate,IF($Q86=0,$W86,IF(AND($S86&lt;&gt;"",EDATE($D86,Milestones!$AA$62)&gt;=$S86),$V86,IF(AND($R86&lt;&gt;"",EDATE($D86,Milestones!$AA$62)&gt;=$R86),$U86,$T86)))=Milestones!$AB$62),TEXT(EDATE($D86,Milestones!$AA$62),"dd/mm/yy")&amp;" "&amp;Milestones!$AB$62&amp;" "&amp;Milestones!$AC$62&amp;";  ","")&amp;IF(AND(EDATE($D86,Milestones!$AA$63)&lt;=AsOfDate,IF($Q86=0,$W86,IF(AND($S86&lt;&gt;"",EDATE($D86,Milestones!$AA$63)&gt;=$S86),$V86,IF(AND($R86&lt;&gt;"",EDATE($D86,Milestones!$AA$63)&gt;=$R86),$U86,$T86)))=Milestones!$AB$63),TEXT(EDATE($D86,Milestones!$AA$63),"dd/mm/yy")&amp;" "&amp;Milestones!$AB$63&amp;" "&amp;Milestones!$AC$63&amp;";  ","")&amp;IF(AND(EDATE($D86,Milestones!$AA$64)&lt;=AsOfDate,IF($Q86=0,$W86,IF(AND($S86&lt;&gt;"",EDATE($D86,Milestones!$AA$64)&gt;=$S86),$V86,IF(AND($R86&lt;&gt;"",EDATE($D86,Milestones!$AA$64)&gt;=$R86),$U86,$T86)))=Milestones!$AB$64),TEXT(EDATE($D86,Milestones!$AA$64),"dd/mm/yy")&amp;" "&amp;Milestones!$AB$64&amp;" "&amp;Milestones!$AC$64&amp;";  ","")&amp;IF(AND(EDATE($D86,Milestones!$AA$65)&lt;=AsOfDate,IF($Q86=0,$W86,IF(AND($S86&lt;&gt;"",EDATE($D86,Milestones!$AA$65)&gt;=$S86),$V86,IF(AND($R86&lt;&gt;"",EDATE($D86,Milestones!$AA$65)&gt;=$R86),$U86,$T86)))=Milestones!$AB$65),TEXT(EDATE($D86,Milestones!$AA$65),"dd/mm/yy")&amp;" "&amp;Milestones!$AB$65&amp;" "&amp;Milestones!$AC$65&amp;";  ","")&amp;IF(AND(EDATE($D86,Milestones!$AA$66)&lt;=AsOfDate,IF($Q86=0,$W86,IF(AND($S86&lt;&gt;"",EDATE($D86,Milestones!$AA$66)&gt;=$S86),$V86,IF(AND($R86&lt;&gt;"",EDATE($D86,Milestones!$AA$66)&gt;=$R86),$U86,$T86)))=Milestones!$AB$66),TEXT(EDATE($D86,Milestones!$AA$66),"dd/mm/yy")&amp;" "&amp;Milestones!$AB$66&amp;" "&amp;Milestones!$AC$66&amp;";  ","")&amp;IF(AND(EDATE($D86,Milestones!$AA$67)&lt;=AsOfDate,IF($Q86=0,$W86,IF(AND($S86&lt;&gt;"",EDATE($D86,Milestones!$AA$67)&gt;=$S86),$V86,IF(AND($R86&lt;&gt;"",EDATE($D86,Milestones!$AA$67)&gt;=$R86),$U86,$T86)))=Milestones!$AB$67),TEXT(EDATE($D86,Milestones!$AA$67),"dd/mm/yy")&amp;" "&amp;Milestones!$AB$67&amp;" "&amp;Milestones!$AC$67&amp;";  ","")&amp;IF(AND(EDATE($D86,Milestones!$AA$68)&lt;=AsOfDate,IF($Q86=0,$W86,IF(AND($S86&lt;&gt;"",EDATE($D86,Milestones!$AA$68)&gt;=$S86),$V86,IF(AND($R86&lt;&gt;"",EDATE($D86,Milestones!$AA$68)&gt;=$R86),$U86,$T86)))=Milestones!$AB$68),TEXT(EDATE($D86,Milestones!$AA$68),"dd/mm/yy")&amp;" "&amp;Milestones!$AB$68&amp;" "&amp;Milestones!$AC$68&amp;";  ","")&amp;IF(AND(EDATE($D86,Milestones!$AA$69)&lt;=AsOfDate,IF($Q86=0,$W86,IF(AND($S86&lt;&gt;"",EDATE($D86,Milestones!$AA$69)&gt;=$S86),$V86,IF(AND($R86&lt;&gt;"",EDATE($D86,Milestones!$AA$69)&gt;=$R86),$U86,$T86)))=Milestones!$AB$69),TEXT(EDATE($D86,Milestones!$AA$69),"dd/mm/yy")&amp;" "&amp;Milestones!$AB$69&amp;" "&amp;Milestones!$AC$69&amp;";  ","")&amp;IF(AND(EDATE($D86,Milestones!$AA$70)&lt;=AsOfDate,IF($Q86=0,$W86,IF(AND($S86&lt;&gt;"",EDATE($D86,Milestones!$AA$70)&gt;=$S86),$V86,IF(AND($R86&lt;&gt;"",EDATE($D86,Milestones!$AA$70)&gt;=$R86),$U86,$T86)))=Milestones!$AB$70),TEXT(EDATE($D86,Milestones!$AA$70),"dd/mm/yy")&amp;" "&amp;Milestones!$AB$70&amp;" "&amp;Milestones!$AC$70&amp;";  ","")&amp;IF(AND(EDATE($D86,Milestones!$AA$71)&lt;=AsOfDate,IF($Q86=0,$W86,IF(AND($S86&lt;&gt;"",EDATE($D86,Milestones!$AA$71)&gt;=$S86),$V86,IF(AND($R86&lt;&gt;"",EDATE($D86,Milestones!$AA$71)&gt;=$R86),$U86,$T86)))=Milestones!$AB$71),TEXT(EDATE($D86,Milestones!$AA$71),"dd/mm/yy")&amp;" "&amp;Milestones!$AB$71&amp;" "&amp;Milestones!$AC$71&amp;";  ","")&amp;IF(AND(EDATE($D86,Milestones!$AA$72)&lt;=AsOfDate,IF($Q86=0,$W86,IF(AND($S86&lt;&gt;"",EDATE($D86,Milestones!$AA$72)&gt;=$S86),$V86,IF(AND($R86&lt;&gt;"",EDATE($D86,Milestones!$AA$72)&gt;=$R86),$U86,$T86)))=Milestones!$AB$72),TEXT(EDATE($D86,Milestones!$AA$72),"dd/mm/yy")&amp;" "&amp;Milestones!$AB$72&amp;" "&amp;Milestones!$AC$72&amp;";  ","")&amp;IF(AND(EDATE($D86,Milestones!$AA$73)&lt;=AsOfDate,IF($Q86=0,$W86,IF(AND($S86&lt;&gt;"",EDATE($D86,Milestones!$AA$73)&gt;=$S86),$V86,IF(AND($R86&lt;&gt;"",EDATE($D86,Milestones!$AA$73)&gt;=$R86),$U86,$T86)))=Milestones!$AB$73),TEXT(EDATE($D86,Milestones!$AA$73),"dd/mm/yy")&amp;" "&amp;Milestones!$AB$73&amp;" "&amp;Milestones!$AC$73&amp;";  ","")&amp;IF(AND(EDATE($D86,Milestones!$AA$74)&lt;=AsOfDate,IF($Q86=0,$W86,IF(AND($S86&lt;&gt;"",EDATE($D86,Milestones!$AA$74)&gt;=$S86),$V86,IF(AND($R86&lt;&gt;"",EDATE($D86,Milestones!$AA$74)&gt;=$R86),$U86,$T86)))=Milestones!$AB$74),TEXT(EDATE($D86,Milestones!$AA$74),"dd/mm/yy")&amp;" "&amp;Milestones!$AB$74&amp;" "&amp;Milestones!$AC$74&amp;";  ","")&amp;IF(AND(EDATE($D86,Milestones!$AA$75)&lt;=AsOfDate,IF($Q86=0,$W86,IF(AND($S86&lt;&gt;"",EDATE($D86,Milestones!$AA$75)&gt;=$S86),$V86,IF(AND($R86&lt;&gt;"",EDATE($D86,Milestones!$AA$75)&gt;=$R86),$U86,$T86)))=Milestones!$AB$75),TEXT(EDATE($D86,Milestones!$AA$75),"dd/mm/yy")&amp;" "&amp;Milestones!$AB$75&amp;" "&amp;Milestones!$AC$75&amp;";  ","")&amp;IF(AND(EDATE($D86,Milestones!$AA$76)&lt;=AsOfDate,IF($Q86=0,$W86,IF(AND($S86&lt;&gt;"",EDATE($D86,Milestones!$AA$76)&gt;=$S86),$V86,IF(AND($R86&lt;&gt;"",EDATE($D86,Milestones!$AA$76)&gt;=$R86),$U86,$T86)))=Milestones!$AB$76),TEXT(EDATE($D86,Milestones!$AA$76),"dd/mm/yy")&amp;" "&amp;Milestones!$AB$76&amp;" "&amp;Milestones!$AC$76&amp;";  ","")&amp;IF(AND(EDATE($D86,Milestones!$AA$77)&lt;=AsOfDate,IF($Q86=0,$W86,IF(AND($S86&lt;&gt;"",EDATE($D86,Milestones!$AA$77)&gt;=$S86),$V86,IF(AND($R86&lt;&gt;"",EDATE($D86,Milestones!$AA$77)&gt;=$R86),$U86,$T86)))=Milestones!$AB$77),TEXT(EDATE($D86,Milestones!$AA$77),"dd/mm/yy")&amp;" "&amp;Milestones!$AB$77&amp;" "&amp;Milestones!$AC$77&amp;";  ","")&amp;IF(AND(EDATE($D86,Milestones!$AA$78)&lt;=AsOfDate,IF($Q86=0,$W86,IF(AND($S86&lt;&gt;"",EDATE($D86,Milestones!$AA$78)&gt;=$S86),$V86,IF(AND($R86&lt;&gt;"",EDATE($D86,Milestones!$AA$78)&gt;=$R86),$U86,$T86)))=Milestones!$AB$78),TEXT(EDATE($D86,Milestones!$AA$78),"dd/mm/yy")&amp;" "&amp;Milestones!$AB$78&amp;" "&amp;Milestones!$AC$78&amp;";  ","")&amp;IF(AND(EDATE($D86,Milestones!$AA$79)&lt;=AsOfDate,IF($Q86=0,$W86,IF(AND($S86&lt;&gt;"",EDATE($D86,Milestones!$AA$79)&gt;=$S86),$V86,IF(AND($R86&lt;&gt;"",EDATE($D86,Milestones!$AA$79)&gt;=$R86),$U86,$T86)))=Milestones!$AB$79),TEXT(EDATE($D86,Milestones!$AA$79),"dd/mm/yy")&amp;" "&amp;Milestones!$AB$79&amp;" "&amp;Milestones!$AC$79&amp;";  ",""))</f>
        <v/>
      </c>
      <c r="K86" s="0" t="str">
        <f aca="false">IF(OR($A86="",$D86=""),"",IF(AND(EDATE($D86,Milestones!$AA$80)&lt;=AsOfDate,IF($Q86=0,$W86,IF(AND($S86&lt;&gt;"",EDATE($D86,Milestones!$AA$80)&gt;=$S86),$V86,IF(AND($R86&lt;&gt;"",EDATE($D86,Milestones!$AA$80)&gt;=$R86),$U86,$T86)))=Milestones!$AB$80),TEXT(EDATE($D86,Milestones!$AA$80),"dd/mm/yy")&amp;" "&amp;Milestones!$AB$80&amp;" "&amp;Milestones!$AC$80&amp;";  ","")&amp;IF(AND(EDATE($D86,Milestones!$AA$81)&lt;=AsOfDate,IF($Q86=0,$W86,IF(AND($S86&lt;&gt;"",EDATE($D86,Milestones!$AA$81)&gt;=$S86),$V86,IF(AND($R86&lt;&gt;"",EDATE($D86,Milestones!$AA$81)&gt;=$R86),$U86,$T86)))=Milestones!$AB$81),TEXT(EDATE($D86,Milestones!$AA$81),"dd/mm/yy")&amp;" "&amp;Milestones!$AB$81&amp;" "&amp;Milestones!$AC$81&amp;";  ","")&amp;IF(AND(EDATE($D86,Milestones!$AA$82)&lt;=AsOfDate,IF($Q86=0,$W86,IF(AND($S86&lt;&gt;"",EDATE($D86,Milestones!$AA$82)&gt;=$S86),$V86,IF(AND($R86&lt;&gt;"",EDATE($D86,Milestones!$AA$82)&gt;=$R86),$U86,$T86)))=Milestones!$AB$82),TEXT(EDATE($D86,Milestones!$AA$82),"dd/mm/yy")&amp;" "&amp;Milestones!$AB$82&amp;" "&amp;Milestones!$AC$82&amp;";  ","")&amp;IF(AND(EDATE($D86,Milestones!$AA$83)&lt;=AsOfDate,IF($Q86=0,$W86,IF(AND($S86&lt;&gt;"",EDATE($D86,Milestones!$AA$83)&gt;=$S86),$V86,IF(AND($R86&lt;&gt;"",EDATE($D86,Milestones!$AA$83)&gt;=$R86),$U86,$T86)))=Milestones!$AB$83),TEXT(EDATE($D86,Milestones!$AA$83),"dd/mm/yy")&amp;" "&amp;Milestones!$AB$83&amp;" "&amp;Milestones!$AC$83&amp;";  ","")&amp;IF(AND(EDATE($D86,Milestones!$AA$84)&lt;=AsOfDate,IF($Q86=0,$W86,IF(AND($S86&lt;&gt;"",EDATE($D86,Milestones!$AA$84)&gt;=$S86),$V86,IF(AND($R86&lt;&gt;"",EDATE($D86,Milestones!$AA$84)&gt;=$R86),$U86,$T86)))=Milestones!$AB$84),TEXT(EDATE($D86,Milestones!$AA$84),"dd/mm/yy")&amp;" "&amp;Milestones!$AB$84&amp;" "&amp;Milestones!$AC$84&amp;";  ","")&amp;IF(AND(EDATE($D86,Milestones!$AA$85)&lt;=AsOfDate,IF($Q86=0,$W86,IF(AND($S86&lt;&gt;"",EDATE($D86,Milestones!$AA$85)&gt;=$S86),$V86,IF(AND($R86&lt;&gt;"",EDATE($D86,Milestones!$AA$85)&gt;=$R86),$U86,$T86)))=Milestones!$AB$85),TEXT(EDATE($D86,Milestones!$AA$85),"dd/mm/yy")&amp;" "&amp;Milestones!$AB$85&amp;" "&amp;Milestones!$AC$85&amp;";  ","")&amp;IF(AND(EDATE($D86,Milestones!$AA$86)&lt;=AsOfDate,IF($Q86=0,$W86,IF(AND($S86&lt;&gt;"",EDATE($D86,Milestones!$AA$86)&gt;=$S86),$V86,IF(AND($R86&lt;&gt;"",EDATE($D86,Milestones!$AA$86)&gt;=$R86),$U86,$T86)))=Milestones!$AB$86),TEXT(EDATE($D86,Milestones!$AA$86),"dd/mm/yy")&amp;" "&amp;Milestones!$AB$86&amp;" "&amp;Milestones!$AC$86&amp;";  ","")&amp;IF(AND(EDATE($D86,Milestones!$AA$87)&lt;=AsOfDate,IF($Q86=0,$W86,IF(AND($S86&lt;&gt;"",EDATE($D86,Milestones!$AA$87)&gt;=$S86),$V86,IF(AND($R86&lt;&gt;"",EDATE($D86,Milestones!$AA$87)&gt;=$R86),$U86,$T86)))=Milestones!$AB$87),TEXT(EDATE($D86,Milestones!$AA$87),"dd/mm/yy")&amp;" "&amp;Milestones!$AB$87&amp;" "&amp;Milestones!$AC$87&amp;";  ","")&amp;IF(AND(EDATE($D86,Milestones!$AA$88)&lt;=AsOfDate,IF($Q86=0,$W86,IF(AND($S86&lt;&gt;"",EDATE($D86,Milestones!$AA$88)&gt;=$S86),$V86,IF(AND($R86&lt;&gt;"",EDATE($D86,Milestones!$AA$88)&gt;=$R86),$U86,$T86)))=Milestones!$AB$88),TEXT(EDATE($D86,Milestones!$AA$88),"dd/mm/yy")&amp;" "&amp;Milestones!$AB$88&amp;" "&amp;Milestones!$AC$88&amp;";  ","")&amp;IF(AND(EDATE($D86,Milestones!$AA$89)&lt;=AsOfDate,IF($Q86=0,$W86,IF(AND($S86&lt;&gt;"",EDATE($D86,Milestones!$AA$89)&gt;=$S86),$V86,IF(AND($R86&lt;&gt;"",EDATE($D86,Milestones!$AA$89)&gt;=$R86),$U86,$T86)))=Milestones!$AB$89),TEXT(EDATE($D86,Milestones!$AA$89),"dd/mm/yy")&amp;" "&amp;Milestones!$AB$89&amp;" "&amp;Milestones!$AC$89&amp;";  ","")&amp;IF(AND(EDATE($D86,Milestones!$AA$90)&lt;=AsOfDate,IF($Q86=0,$W86,IF(AND($S86&lt;&gt;"",EDATE($D86,Milestones!$AA$90)&gt;=$S86),$V86,IF(AND($R86&lt;&gt;"",EDATE($D86,Milestones!$AA$90)&gt;=$R86),$U86,$T86)))=Milestones!$AB$90),TEXT(EDATE($D86,Milestones!$AA$90),"dd/mm/yy")&amp;" "&amp;Milestones!$AB$90&amp;" "&amp;Milestones!$AC$90&amp;";  ","")&amp;IF(AND(EDATE($D86,Milestones!$AA$91)&lt;=AsOfDate,IF($Q86=0,$W86,IF(AND($S86&lt;&gt;"",EDATE($D86,Milestones!$AA$91)&gt;=$S86),$V86,IF(AND($R86&lt;&gt;"",EDATE($D86,Milestones!$AA$91)&gt;=$R86),$U86,$T86)))=Milestones!$AB$91),TEXT(EDATE($D86,Milestones!$AA$91),"dd/mm/yy")&amp;" "&amp;Milestones!$AB$91&amp;" "&amp;Milestones!$AC$91&amp;";  ","")&amp;IF(AND(EDATE($D86,Milestones!$AA$92)&lt;=AsOfDate,IF($Q86=0,$W86,IF(AND($S86&lt;&gt;"",EDATE($D86,Milestones!$AA$92)&gt;=$S86),$V86,IF(AND($R86&lt;&gt;"",EDATE($D86,Milestones!$AA$92)&gt;=$R86),$U86,$T86)))=Milestones!$AB$92),TEXT(EDATE($D86,Milestones!$AA$92),"dd/mm/yy")&amp;" "&amp;Milestones!$AB$92&amp;" "&amp;Milestones!$AC$92&amp;";  ","")&amp;IF(AND(EDATE($D86,Milestones!$AA$93)&lt;=AsOfDate,IF($Q86=0,$W86,IF(AND($S86&lt;&gt;"",EDATE($D86,Milestones!$AA$93)&gt;=$S86),$V86,IF(AND($R86&lt;&gt;"",EDATE($D86,Milestones!$AA$93)&gt;=$R86),$U86,$T86)))=Milestones!$AB$93),TEXT(EDATE($D86,Milestones!$AA$93),"dd/mm/yy")&amp;" "&amp;Milestones!$AB$93&amp;" "&amp;Milestones!$AC$93&amp;";  ","")&amp;IF(AND(EDATE($D86,Milestones!$AA$94)&lt;=AsOfDate,IF($Q86=0,$W86,IF(AND($S86&lt;&gt;"",EDATE($D86,Milestones!$AA$94)&gt;=$S86),$V86,IF(AND($R86&lt;&gt;"",EDATE($D86,Milestones!$AA$94)&gt;=$R86),$U86,$T86)))=Milestones!$AB$94),TEXT(EDATE($D86,Milestones!$AA$94),"dd/mm/yy")&amp;" "&amp;Milestones!$AB$94&amp;" "&amp;Milestones!$AC$94&amp;";  ","")&amp;IF(AND(EDATE($D86,Milestones!$AA$95)&lt;=AsOfDate,IF($Q86=0,$W86,IF(AND($S86&lt;&gt;"",EDATE($D86,Milestones!$AA$95)&gt;=$S86),$V86,IF(AND($R86&lt;&gt;"",EDATE($D86,Milestones!$AA$95)&gt;=$R86),$U86,$T86)))=Milestones!$AB$95),TEXT(EDATE($D86,Milestones!$AA$95),"dd/mm/yy")&amp;" "&amp;Milestones!$AB$95&amp;" "&amp;Milestones!$AC$95&amp;";  ","")&amp;IF(AND(EDATE($D86,Milestones!$AA$96)&lt;=AsOfDate,IF($Q86=0,$W86,IF(AND($S86&lt;&gt;"",EDATE($D86,Milestones!$AA$96)&gt;=$S86),$V86,IF(AND($R86&lt;&gt;"",EDATE($D86,Milestones!$AA$96)&gt;=$R86),$U86,$T86)))=Milestones!$AB$96),TEXT(EDATE($D86,Milestones!$AA$96),"dd/mm/yy")&amp;" "&amp;Milestones!$AB$96&amp;" "&amp;Milestones!$AC$96&amp;";  ","")&amp;IF(AND(EDATE($D86,Milestones!$AA$97)&lt;=AsOfDate,IF($Q86=0,$W86,IF(AND($S86&lt;&gt;"",EDATE($D86,Milestones!$AA$97)&gt;=$S86),$V86,IF(AND($R86&lt;&gt;"",EDATE($D86,Milestones!$AA$97)&gt;=$R86),$U86,$T86)))=Milestones!$AB$97),TEXT(EDATE($D86,Milestones!$AA$97),"dd/mm/yy")&amp;" "&amp;Milestones!$AB$97&amp;" "&amp;Milestones!$AC$97&amp;";  ","")&amp;IF(AND(EDATE($D86,Milestones!$AA$98)&lt;=AsOfDate,IF($Q86=0,$W86,IF(AND($S86&lt;&gt;"",EDATE($D86,Milestones!$AA$98)&gt;=$S86),$V86,IF(AND($R86&lt;&gt;"",EDATE($D86,Milestones!$AA$98)&gt;=$R86),$U86,$T86)))=Milestones!$AB$98),TEXT(EDATE($D86,Milestones!$AA$98),"dd/mm/yy")&amp;" "&amp;Milestones!$AB$98&amp;" "&amp;Milestones!$AC$98&amp;";  ","")&amp;IF(AND(EDATE($D86,Milestones!$AA$99)&lt;=AsOfDate,IF($Q86=0,$W86,IF(AND($S86&lt;&gt;"",EDATE($D86,Milestones!$AA$99)&gt;=$S86),$V86,IF(AND($R86&lt;&gt;"",EDATE($D86,Milestones!$AA$99)&gt;=$R86),$U86,$T86)))=Milestones!$AB$99),TEXT(EDATE($D86,Milestones!$AA$99),"dd/mm/yy")&amp;" "&amp;Milestones!$AB$99&amp;" "&amp;Milestones!$AC$99&amp;";  ",""))</f>
        <v/>
      </c>
      <c r="L86" s="0" t="str">
        <f aca="false">IF(OR($A86="",$D86=""),"",IF(AND(EDATE($D86,Milestones!$AA$100)&lt;=AsOfDate,IF($Q86=0,$W86,IF(AND($S86&lt;&gt;"",EDATE($D86,Milestones!$AA$100)&gt;=$S86),$V86,IF(AND($R86&lt;&gt;"",EDATE($D86,Milestones!$AA$100)&gt;=$R86),$U86,$T86)))=Milestones!$AB$100),TEXT(EDATE($D86,Milestones!$AA$100),"dd/mm/yy")&amp;" "&amp;Milestones!$AB$100&amp;" "&amp;Milestones!$AC$100&amp;";  ","")&amp;IF(AND(EDATE($D86,Milestones!$AA$101)&lt;=AsOfDate,IF($Q86=0,$W86,IF(AND($S86&lt;&gt;"",EDATE($D86,Milestones!$AA$101)&gt;=$S86),$V86,IF(AND($R86&lt;&gt;"",EDATE($D86,Milestones!$AA$101)&gt;=$R86),$U86,$T86)))=Milestones!$AB$101),TEXT(EDATE($D86,Milestones!$AA$101),"dd/mm/yy")&amp;" "&amp;Milestones!$AB$101&amp;" "&amp;Milestones!$AC$101&amp;";  ","")&amp;IF(AND(EDATE($D86,Milestones!$AA$102)&lt;=AsOfDate,IF($Q86=0,$W86,IF(AND($S86&lt;&gt;"",EDATE($D86,Milestones!$AA$102)&gt;=$S86),$V86,IF(AND($R86&lt;&gt;"",EDATE($D86,Milestones!$AA$102)&gt;=$R86),$U86,$T86)))=Milestones!$AB$102),TEXT(EDATE($D86,Milestones!$AA$102),"dd/mm/yy")&amp;" "&amp;Milestones!$AB$102&amp;" "&amp;Milestones!$AC$102&amp;";  ","")&amp;IF(AND(EDATE($D86,Milestones!$AA$103)&lt;=AsOfDate,IF($Q86=0,$W86,IF(AND($S86&lt;&gt;"",EDATE($D86,Milestones!$AA$103)&gt;=$S86),$V86,IF(AND($R86&lt;&gt;"",EDATE($D86,Milestones!$AA$103)&gt;=$R86),$U86,$T86)))=Milestones!$AB$103),TEXT(EDATE($D86,Milestones!$AA$103),"dd/mm/yy")&amp;" "&amp;Milestones!$AB$103&amp;" "&amp;Milestones!$AC$103&amp;";  ","")&amp;IF(AND(EDATE($D86,Milestones!$AA$104)&lt;=AsOfDate,IF($Q86=0,$W86,IF(AND($S86&lt;&gt;"",EDATE($D86,Milestones!$AA$104)&gt;=$S86),$V86,IF(AND($R86&lt;&gt;"",EDATE($D86,Milestones!$AA$104)&gt;=$R86),$U86,$T86)))=Milestones!$AB$104),TEXT(EDATE($D86,Milestones!$AA$104),"dd/mm/yy")&amp;" "&amp;Milestones!$AB$104&amp;" "&amp;Milestones!$AC$104&amp;";  ","")&amp;IF(AND(EDATE($D86,Milestones!$AA$105)&lt;=AsOfDate,IF($Q86=0,$W86,IF(AND($S86&lt;&gt;"",EDATE($D86,Milestones!$AA$105)&gt;=$S86),$V86,IF(AND($R86&lt;&gt;"",EDATE($D86,Milestones!$AA$105)&gt;=$R86),$U86,$T86)))=Milestones!$AB$105),TEXT(EDATE($D86,Milestones!$AA$105),"dd/mm/yy")&amp;" "&amp;Milestones!$AB$105&amp;" "&amp;Milestones!$AC$105&amp;";  ","")&amp;IF(AND(EDATE($D86,Milestones!$AA$106)&lt;=AsOfDate,IF($Q86=0,$W86,IF(AND($S86&lt;&gt;"",EDATE($D86,Milestones!$AA$106)&gt;=$S86),$V86,IF(AND($R86&lt;&gt;"",EDATE($D86,Milestones!$AA$106)&gt;=$R86),$U86,$T86)))=Milestones!$AB$106),TEXT(EDATE($D86,Milestones!$AA$106),"dd/mm/yy")&amp;" "&amp;Milestones!$AB$106&amp;" "&amp;Milestones!$AC$106&amp;";  ","")&amp;IF(AND(EDATE($D86,Milestones!$AA$107)&lt;=AsOfDate,IF($Q86=0,$W86,IF(AND($S86&lt;&gt;"",EDATE($D86,Milestones!$AA$107)&gt;=$S86),$V86,IF(AND($R86&lt;&gt;"",EDATE($D86,Milestones!$AA$107)&gt;=$R86),$U86,$T86)))=Milestones!$AB$107),TEXT(EDATE($D86,Milestones!$AA$107),"dd/mm/yy")&amp;" "&amp;Milestones!$AB$107&amp;" "&amp;Milestones!$AC$107&amp;";  ","")&amp;IF(AND(EDATE($D86,Milestones!$AA$108)&lt;=AsOfDate,IF($Q86=0,$W86,IF(AND($S86&lt;&gt;"",EDATE($D86,Milestones!$AA$108)&gt;=$S86),$V86,IF(AND($R86&lt;&gt;"",EDATE($D86,Milestones!$AA$108)&gt;=$R86),$U86,$T86)))=Milestones!$AB$108),TEXT(EDATE($D86,Milestones!$AA$108),"dd/mm/yy")&amp;" "&amp;Milestones!$AB$108&amp;" "&amp;Milestones!$AC$108&amp;";  ","")&amp;IF(AND(EDATE($D86,Milestones!$AA$109)&lt;=AsOfDate,IF($Q86=0,$W86,IF(AND($S86&lt;&gt;"",EDATE($D86,Milestones!$AA$109)&gt;=$S86),$V86,IF(AND($R86&lt;&gt;"",EDATE($D86,Milestones!$AA$109)&gt;=$R86),$U86,$T86)))=Milestones!$AB$109),TEXT(EDATE($D86,Milestones!$AA$109),"dd/mm/yy")&amp;" "&amp;Milestones!$AB$109&amp;" "&amp;Milestones!$AC$109&amp;";  ","")&amp;IF(AND(EDATE($D86,Milestones!$AA$110)&lt;=AsOfDate,IF($Q86=0,$W86,IF(AND($S86&lt;&gt;"",EDATE($D86,Milestones!$AA$110)&gt;=$S86),$V86,IF(AND($R86&lt;&gt;"",EDATE($D86,Milestones!$AA$110)&gt;=$R86),$U86,$T86)))=Milestones!$AB$110),TEXT(EDATE($D86,Milestones!$AA$110),"dd/mm/yy")&amp;" "&amp;Milestones!$AB$110&amp;" "&amp;Milestones!$AC$110&amp;";  ","")&amp;IF(AND(EDATE($D86,Milestones!$AA$111)&lt;=AsOfDate,IF($Q86=0,$W86,IF(AND($S86&lt;&gt;"",EDATE($D86,Milestones!$AA$111)&gt;=$S86),$V86,IF(AND($R86&lt;&gt;"",EDATE($D86,Milestones!$AA$111)&gt;=$R86),$U86,$T86)))=Milestones!$AB$111),TEXT(EDATE($D86,Milestones!$AA$111),"dd/mm/yy")&amp;" "&amp;Milestones!$AB$111&amp;" "&amp;Milestones!$AC$111&amp;";  ","")&amp;IF(AND(EDATE($D86,Milestones!$AA$112)&lt;=AsOfDate,IF($Q86=0,$W86,IF(AND($S86&lt;&gt;"",EDATE($D86,Milestones!$AA$112)&gt;=$S86),$V86,IF(AND($R86&lt;&gt;"",EDATE($D86,Milestones!$AA$112)&gt;=$R86),$U86,$T86)))=Milestones!$AB$112),TEXT(EDATE($D86,Milestones!$AA$112),"dd/mm/yy")&amp;" "&amp;Milestones!$AB$112&amp;" "&amp;Milestones!$AC$112&amp;";  ","")&amp;IF(AND(EDATE($D86,Milestones!$AA$113)&lt;=AsOfDate,IF($Q86=0,$W86,IF(AND($S86&lt;&gt;"",EDATE($D86,Milestones!$AA$113)&gt;=$S86),$V86,IF(AND($R86&lt;&gt;"",EDATE($D86,Milestones!$AA$113)&gt;=$R86),$U86,$T86)))=Milestones!$AB$113),TEXT(EDATE($D86,Milestones!$AA$113),"dd/mm/yy")&amp;" "&amp;Milestones!$AB$113&amp;" "&amp;Milestones!$AC$113&amp;";  ","")&amp;IF(AND(EDATE($D86,Milestones!$AA$114)&lt;=AsOfDate,IF($Q86=0,$W86,IF(AND($S86&lt;&gt;"",EDATE($D86,Milestones!$AA$114)&gt;=$S86),$V86,IF(AND($R86&lt;&gt;"",EDATE($D86,Milestones!$AA$114)&gt;=$R86),$U86,$T86)))=Milestones!$AB$114),TEXT(EDATE($D86,Milestones!$AA$114),"dd/mm/yy")&amp;" "&amp;Milestones!$AB$114&amp;" "&amp;Milestones!$AC$114&amp;";  ","")&amp;IF(AND(EDATE($D86,Milestones!$AA$115)&lt;=AsOfDate,IF($Q86=0,$W86,IF(AND($S86&lt;&gt;"",EDATE($D86,Milestones!$AA$115)&gt;=$S86),$V86,IF(AND($R86&lt;&gt;"",EDATE($D86,Milestones!$AA$115)&gt;=$R86),$U86,$T86)))=Milestones!$AB$115),TEXT(EDATE($D86,Milestones!$AA$115),"dd/mm/yy")&amp;" "&amp;Milestones!$AB$115&amp;" "&amp;Milestones!$AC$115&amp;";  ","")&amp;IF(AND(EDATE($D86,Milestones!$AA$116)&lt;=AsOfDate,IF($Q86=0,$W86,IF(AND($S86&lt;&gt;"",EDATE($D86,Milestones!$AA$116)&gt;=$S86),$V86,IF(AND($R86&lt;&gt;"",EDATE($D86,Milestones!$AA$116)&gt;=$R86),$U86,$T86)))=Milestones!$AB$116),TEXT(EDATE($D86,Milestones!$AA$116),"dd/mm/yy")&amp;" "&amp;Milestones!$AB$116&amp;" "&amp;Milestones!$AC$116&amp;";  ","")&amp;IF(AND(EDATE($D86,Milestones!$AA$117)&lt;=AsOfDate,IF($Q86=0,$W86,IF(AND($S86&lt;&gt;"",EDATE($D86,Milestones!$AA$117)&gt;=$S86),$V86,IF(AND($R86&lt;&gt;"",EDATE($D86,Milestones!$AA$117)&gt;=$R86),$U86,$T86)))=Milestones!$AB$117),TEXT(EDATE($D86,Milestones!$AA$117),"dd/mm/yy")&amp;" "&amp;Milestones!$AB$117&amp;" "&amp;Milestones!$AC$117&amp;";  ","")&amp;IF(AND(EDATE($D86,Milestones!$AA$118)&lt;=AsOfDate,IF($Q86=0,$W86,IF(AND($S86&lt;&gt;"",EDATE($D86,Milestones!$AA$118)&gt;=$S86),$V86,IF(AND($R86&lt;&gt;"",EDATE($D86,Milestones!$AA$118)&gt;=$R86),$U86,$T86)))=Milestones!$AB$118),TEXT(EDATE($D86,Milestones!$AA$118),"dd/mm/yy")&amp;" "&amp;Milestones!$AB$118&amp;" "&amp;Milestones!$AC$118&amp;";  ","")&amp;IF(AND(EDATE($D86,Milestones!$AA$119)&lt;=AsOfDate,IF($Q86=0,$W86,IF(AND($S86&lt;&gt;"",EDATE($D86,Milestones!$AA$119)&gt;=$S86),$V86,IF(AND($R86&lt;&gt;"",EDATE($D86,Milestones!$AA$119)&gt;=$R86),$U86,$T86)))=Milestones!$AB$119),TEXT(EDATE($D86,Milestones!$AA$119),"dd/mm/yy")&amp;" "&amp;Milestones!$AB$119&amp;" "&amp;Milestones!$AC$119&amp;";  ",""))</f>
        <v/>
      </c>
      <c r="M86" s="0" t="str">
        <f aca="false">IF(OR($A86="",$D86=""),"",IF(AND(EDATE($D86,Milestones!$AA$120)&lt;=AsOfDate,IF($Q86=0,$W86,IF(AND($S86&lt;&gt;"",EDATE($D86,Milestones!$AA$120)&gt;=$S86),$V86,IF(AND($R86&lt;&gt;"",EDATE($D86,Milestones!$AA$120)&gt;=$R86),$U86,$T86)))=Milestones!$AB$120),TEXT(EDATE($D86,Milestones!$AA$120),"dd/mm/yy")&amp;" "&amp;Milestones!$AB$120&amp;" "&amp;Milestones!$AC$120&amp;";  ","")&amp;IF(AND(EDATE($D86,Milestones!$AA$121)&lt;=AsOfDate,IF($Q86=0,$W86,IF(AND($S86&lt;&gt;"",EDATE($D86,Milestones!$AA$121)&gt;=$S86),$V86,IF(AND($R86&lt;&gt;"",EDATE($D86,Milestones!$AA$121)&gt;=$R86),$U86,$T86)))=Milestones!$AB$121),TEXT(EDATE($D86,Milestones!$AA$121),"dd/mm/yy")&amp;" "&amp;Milestones!$AB$121&amp;" "&amp;Milestones!$AC$121&amp;";  ","")&amp;IF(AND(EDATE($D86,Milestones!$AA$122)&lt;=AsOfDate,IF($Q86=0,$W86,IF(AND($S86&lt;&gt;"",EDATE($D86,Milestones!$AA$122)&gt;=$S86),$V86,IF(AND($R86&lt;&gt;"",EDATE($D86,Milestones!$AA$122)&gt;=$R86),$U86,$T86)))=Milestones!$AB$122),TEXT(EDATE($D86,Milestones!$AA$122),"dd/mm/yy")&amp;" "&amp;Milestones!$AB$122&amp;" "&amp;Milestones!$AC$122&amp;";  ","")&amp;IF(AND(EDATE($D86,Milestones!$AA$123)&lt;=AsOfDate,IF($Q86=0,$W86,IF(AND($S86&lt;&gt;"",EDATE($D86,Milestones!$AA$123)&gt;=$S86),$V86,IF(AND($R86&lt;&gt;"",EDATE($D86,Milestones!$AA$123)&gt;=$R86),$U86,$T86)))=Milestones!$AB$123),TEXT(EDATE($D86,Milestones!$AA$123),"dd/mm/yy")&amp;" "&amp;Milestones!$AB$123&amp;" "&amp;Milestones!$AC$123&amp;";  ","")&amp;IF(AND(EDATE($D86,Milestones!$AA$124)&lt;=AsOfDate,IF($Q86=0,$W86,IF(AND($S86&lt;&gt;"",EDATE($D86,Milestones!$AA$124)&gt;=$S86),$V86,IF(AND($R86&lt;&gt;"",EDATE($D86,Milestones!$AA$124)&gt;=$R86),$U86,$T86)))=Milestones!$AB$124),TEXT(EDATE($D86,Milestones!$AA$124),"dd/mm/yy")&amp;" "&amp;Milestones!$AB$124&amp;" "&amp;Milestones!$AC$124&amp;";  ","")&amp;IF(AND(EDATE($D86,Milestones!$AA$125)&lt;=AsOfDate,IF($Q86=0,$W86,IF(AND($S86&lt;&gt;"",EDATE($D86,Milestones!$AA$125)&gt;=$S86),$V86,IF(AND($R86&lt;&gt;"",EDATE($D86,Milestones!$AA$125)&gt;=$R86),$U86,$T86)))=Milestones!$AB$125),TEXT(EDATE($D86,Milestones!$AA$125),"dd/mm/yy")&amp;" "&amp;Milestones!$AB$125&amp;" "&amp;Milestones!$AC$125&amp;";  ","")&amp;IF(AND(EDATE($D86,Milestones!$AA$126)&lt;=AsOfDate,IF($Q86=0,$W86,IF(AND($S86&lt;&gt;"",EDATE($D86,Milestones!$AA$126)&gt;=$S86),$V86,IF(AND($R86&lt;&gt;"",EDATE($D86,Milestones!$AA$126)&gt;=$R86),$U86,$T86)))=Milestones!$AB$126),TEXT(EDATE($D86,Milestones!$AA$126),"dd/mm/yy")&amp;" "&amp;Milestones!$AB$126&amp;" "&amp;Milestones!$AC$126&amp;";  ","")&amp;IF(AND(EDATE($D86,Milestones!$AA$127)&lt;=AsOfDate,IF($Q86=0,$W86,IF(AND($S86&lt;&gt;"",EDATE($D86,Milestones!$AA$127)&gt;=$S86),$V86,IF(AND($R86&lt;&gt;"",EDATE($D86,Milestones!$AA$127)&gt;=$R86),$U86,$T86)))=Milestones!$AB$127),TEXT(EDATE($D86,Milestones!$AA$127),"dd/mm/yy")&amp;" "&amp;Milestones!$AB$127&amp;" "&amp;Milestones!$AC$127&amp;";  ","")&amp;IF(AND(EDATE($D86,Milestones!$AA$128)&lt;=AsOfDate,IF($Q86=0,$W86,IF(AND($S86&lt;&gt;"",EDATE($D86,Milestones!$AA$128)&gt;=$S86),$V86,IF(AND($R86&lt;&gt;"",EDATE($D86,Milestones!$AA$128)&gt;=$R86),$U86,$T86)))=Milestones!$AB$128),TEXT(EDATE($D86,Milestones!$AA$128),"dd/mm/yy")&amp;" "&amp;Milestones!$AB$128&amp;" "&amp;Milestones!$AC$128&amp;";  ","")&amp;IF(AND(EDATE($D86,Milestones!$AA$129)&lt;=AsOfDate,IF($Q86=0,$W86,IF(AND($S86&lt;&gt;"",EDATE($D86,Milestones!$AA$129)&gt;=$S86),$V86,IF(AND($R86&lt;&gt;"",EDATE($D86,Milestones!$AA$129)&gt;=$R86),$U86,$T86)))=Milestones!$AB$129),TEXT(EDATE($D86,Milestones!$AA$129),"dd/mm/yy")&amp;" "&amp;Milestones!$AB$129&amp;" "&amp;Milestones!$AC$129&amp;";  ","")&amp;IF(AND(EDATE($D86,Milestones!$AA$130)&lt;=AsOfDate,IF($Q86=0,$W86,IF(AND($S86&lt;&gt;"",EDATE($D86,Milestones!$AA$130)&gt;=$S86),$V86,IF(AND($R86&lt;&gt;"",EDATE($D86,Milestones!$AA$130)&gt;=$R86),$U86,$T86)))=Milestones!$AB$130),TEXT(EDATE($D86,Milestones!$AA$130),"dd/mm/yy")&amp;" "&amp;Milestones!$AB$130&amp;" "&amp;Milestones!$AC$130&amp;";  ","")&amp;IF(AND(EDATE($D86,Milestones!$AA$131)&lt;=AsOfDate,IF($Q86=0,$W86,IF(AND($S86&lt;&gt;"",EDATE($D86,Milestones!$AA$131)&gt;=$S86),$V86,IF(AND($R86&lt;&gt;"",EDATE($D86,Milestones!$AA$131)&gt;=$R86),$U86,$T86)))=Milestones!$AB$131),TEXT(EDATE($D86,Milestones!$AA$131),"dd/mm/yy")&amp;" "&amp;Milestones!$AB$131&amp;" "&amp;Milestones!$AC$131&amp;";  ","")&amp;IF(AND(EDATE($D86,Milestones!$AA$132)&lt;=AsOfDate,IF($Q86=0,$W86,IF(AND($S86&lt;&gt;"",EDATE($D86,Milestones!$AA$132)&gt;=$S86),$V86,IF(AND($R86&lt;&gt;"",EDATE($D86,Milestones!$AA$132)&gt;=$R86),$U86,$T86)))=Milestones!$AB$132),TEXT(EDATE($D86,Milestones!$AA$132),"dd/mm/yy")&amp;" "&amp;Milestones!$AB$132&amp;" "&amp;Milestones!$AC$132&amp;";  ","")&amp;IF(AND(EDATE($D86,Milestones!$AA$133)&lt;=AsOfDate,IF($Q86=0,$W86,IF(AND($S86&lt;&gt;"",EDATE($D86,Milestones!$AA$133)&gt;=$S86),$V86,IF(AND($R86&lt;&gt;"",EDATE($D86,Milestones!$AA$133)&gt;=$R86),$U86,$T86)))=Milestones!$AB$133),TEXT(EDATE($D86,Milestones!$AA$133),"dd/mm/yy")&amp;" "&amp;Milestones!$AB$133&amp;" "&amp;Milestones!$AC$133&amp;";  ","")&amp;IF(AND(EDATE($D86,Milestones!$AA$134)&lt;=AsOfDate,IF($Q86=0,$W86,IF(AND($S86&lt;&gt;"",EDATE($D86,Milestones!$AA$134)&gt;=$S86),$V86,IF(AND($R86&lt;&gt;"",EDATE($D86,Milestones!$AA$134)&gt;=$R86),$U86,$T86)))=Milestones!$AB$134),TEXT(EDATE($D86,Milestones!$AA$134),"dd/mm/yy")&amp;" "&amp;Milestones!$AB$134&amp;" "&amp;Milestones!$AC$134&amp;";  ","")&amp;IF(AND(EDATE($D86,Milestones!$AA$135)&lt;=AsOfDate,IF($Q86=0,$W86,IF(AND($S86&lt;&gt;"",EDATE($D86,Milestones!$AA$135)&gt;=$S86),$V86,IF(AND($R86&lt;&gt;"",EDATE($D86,Milestones!$AA$135)&gt;=$R86),$U86,$T86)))=Milestones!$AB$135),TEXT(EDATE($D86,Milestones!$AA$135),"dd/mm/yy")&amp;" "&amp;Milestones!$AB$135&amp;" "&amp;Milestones!$AC$135&amp;";  ","")&amp;IF(AND(EDATE($D86,Milestones!$AA$136)&lt;=AsOfDate,IF($Q86=0,$W86,IF(AND($S86&lt;&gt;"",EDATE($D86,Milestones!$AA$136)&gt;=$S86),$V86,IF(AND($R86&lt;&gt;"",EDATE($D86,Milestones!$AA$136)&gt;=$R86),$U86,$T86)))=Milestones!$AB$136),TEXT(EDATE($D86,Milestones!$AA$136),"dd/mm/yy")&amp;" "&amp;Milestones!$AB$136&amp;" "&amp;Milestones!$AC$136&amp;";  ","")&amp;IF(AND(EDATE($D86,Milestones!$AA$137)&lt;=AsOfDate,IF($Q86=0,$W86,IF(AND($S86&lt;&gt;"",EDATE($D86,Milestones!$AA$137)&gt;=$S86),$V86,IF(AND($R86&lt;&gt;"",EDATE($D86,Milestones!$AA$137)&gt;=$R86),$U86,$T86)))=Milestones!$AB$137),TEXT(EDATE($D86,Milestones!$AA$137),"dd/mm/yy")&amp;" "&amp;Milestones!$AB$137&amp;" "&amp;Milestones!$AC$137&amp;";  ","")&amp;IF(AND(EDATE($D86,Milestones!$AA$138)&lt;=AsOfDate,IF($Q86=0,$W86,IF(AND($S86&lt;&gt;"",EDATE($D86,Milestones!$AA$138)&gt;=$S86),$V86,IF(AND($R86&lt;&gt;"",EDATE($D86,Milestones!$AA$138)&gt;=$R86),$U86,$T86)))=Milestones!$AB$138),TEXT(EDATE($D86,Milestones!$AA$138),"dd/mm/yy")&amp;" "&amp;Milestones!$AB$138&amp;" "&amp;Milestones!$AC$138&amp;";  ","")&amp;IF(AND(EDATE($D86,Milestones!$AA$139)&lt;=AsOfDate,IF($Q86=0,$W86,IF(AND($S86&lt;&gt;"",EDATE($D86,Milestones!$AA$139)&gt;=$S86),$V86,IF(AND($R86&lt;&gt;"",EDATE($D86,Milestones!$AA$139)&gt;=$R86),$U86,$T86)))=Milestones!$AB$139),TEXT(EDATE($D86,Milestones!$AA$139),"dd/mm/yy")&amp;" "&amp;Milestones!$AB$139&amp;" "&amp;Milestones!$AC$139&amp;";  ",""))</f>
        <v/>
      </c>
      <c r="N86" s="0" t="str">
        <f aca="false">IF(OR($A86="",$D86=""),"",IF(AND(EDATE($D86,Milestones!$AA$140)&lt;=AsOfDate,IF($Q86=0,$W86,IF(AND($S86&lt;&gt;"",EDATE($D86,Milestones!$AA$140)&gt;=$S86),$V86,IF(AND($R86&lt;&gt;"",EDATE($D86,Milestones!$AA$140)&gt;=$R86),$U86,$T86)))=Milestones!$AB$140),TEXT(EDATE($D86,Milestones!$AA$140),"dd/mm/yy")&amp;" "&amp;Milestones!$AB$140&amp;" "&amp;Milestones!$AC$140&amp;";  ","")&amp;IF(AND(EDATE($D86,Milestones!$AA$141)&lt;=AsOfDate,IF($Q86=0,$W86,IF(AND($S86&lt;&gt;"",EDATE($D86,Milestones!$AA$141)&gt;=$S86),$V86,IF(AND($R86&lt;&gt;"",EDATE($D86,Milestones!$AA$141)&gt;=$R86),$U86,$T86)))=Milestones!$AB$141),TEXT(EDATE($D86,Milestones!$AA$141),"dd/mm/yy")&amp;" "&amp;Milestones!$AB$141&amp;" "&amp;Milestones!$AC$141&amp;";  ","")&amp;IF(AND(EDATE($D86,Milestones!$AA$142)&lt;=AsOfDate,IF($Q86=0,$W86,IF(AND($S86&lt;&gt;"",EDATE($D86,Milestones!$AA$142)&gt;=$S86),$V86,IF(AND($R86&lt;&gt;"",EDATE($D86,Milestones!$AA$142)&gt;=$R86),$U86,$T86)))=Milestones!$AB$142),TEXT(EDATE($D86,Milestones!$AA$142),"dd/mm/yy")&amp;" "&amp;Milestones!$AB$142&amp;" "&amp;Milestones!$AC$142&amp;";  ","")&amp;IF(AND(EDATE($D86,Milestones!$AA$143)&lt;=AsOfDate,IF($Q86=0,$W86,IF(AND($S86&lt;&gt;"",EDATE($D86,Milestones!$AA$143)&gt;=$S86),$V86,IF(AND($R86&lt;&gt;"",EDATE($D86,Milestones!$AA$143)&gt;=$R86),$U86,$T86)))=Milestones!$AB$143),TEXT(EDATE($D86,Milestones!$AA$143),"dd/mm/yy")&amp;" "&amp;Milestones!$AB$143&amp;" "&amp;Milestones!$AC$143&amp;";  ","")&amp;IF(AND(EDATE($D86,Milestones!$AA$144)&lt;=AsOfDate,IF($Q86=0,$W86,IF(AND($S86&lt;&gt;"",EDATE($D86,Milestones!$AA$144)&gt;=$S86),$V86,IF(AND($R86&lt;&gt;"",EDATE($D86,Milestones!$AA$144)&gt;=$R86),$U86,$T86)))=Milestones!$AB$144),TEXT(EDATE($D86,Milestones!$AA$144),"dd/mm/yy")&amp;" "&amp;Milestones!$AB$144&amp;" "&amp;Milestones!$AC$144&amp;";  ","")&amp;IF(AND(EDATE($D86,Milestones!$AA$145)&lt;=AsOfDate,IF($Q86=0,$W86,IF(AND($S86&lt;&gt;"",EDATE($D86,Milestones!$AA$145)&gt;=$S86),$V86,IF(AND($R86&lt;&gt;"",EDATE($D86,Milestones!$AA$145)&gt;=$R86),$U86,$T86)))=Milestones!$AB$145),TEXT(EDATE($D86,Milestones!$AA$145),"dd/mm/yy")&amp;" "&amp;Milestones!$AB$145&amp;" "&amp;Milestones!$AC$145&amp;";  ","")&amp;IF(AND(EDATE($D86,Milestones!$AA$146)&lt;=AsOfDate,IF($Q86=0,$W86,IF(AND($S86&lt;&gt;"",EDATE($D86,Milestones!$AA$146)&gt;=$S86),$V86,IF(AND($R86&lt;&gt;"",EDATE($D86,Milestones!$AA$146)&gt;=$R86),$U86,$T86)))=Milestones!$AB$146),TEXT(EDATE($D86,Milestones!$AA$146),"dd/mm/yy")&amp;" "&amp;Milestones!$AB$146&amp;" "&amp;Milestones!$AC$146&amp;";  ","")&amp;IF(AND(EDATE($D86,Milestones!$AA$147)&lt;=AsOfDate,IF($Q86=0,$W86,IF(AND($S86&lt;&gt;"",EDATE($D86,Milestones!$AA$147)&gt;=$S86),$V86,IF(AND($R86&lt;&gt;"",EDATE($D86,Milestones!$AA$147)&gt;=$R86),$U86,$T86)))=Milestones!$AB$147),TEXT(EDATE($D86,Milestones!$AA$147),"dd/mm/yy")&amp;" "&amp;Milestones!$AB$147&amp;" "&amp;Milestones!$AC$147&amp;";  ","")&amp;IF(AND(EDATE($D86,Milestones!$AA$148)&lt;=AsOfDate,IF($Q86=0,$W86,IF(AND($S86&lt;&gt;"",EDATE($D86,Milestones!$AA$148)&gt;=$S86),$V86,IF(AND($R86&lt;&gt;"",EDATE($D86,Milestones!$AA$148)&gt;=$R86),$U86,$T86)))=Milestones!$AB$148),TEXT(EDATE($D86,Milestones!$AA$148),"dd/mm/yy")&amp;" "&amp;Milestones!$AB$148&amp;" "&amp;Milestones!$AC$148&amp;";  ","")&amp;IF(AND(EDATE($D86,Milestones!$AA$149)&lt;=AsOfDate,IF($Q86=0,$W86,IF(AND($S86&lt;&gt;"",EDATE($D86,Milestones!$AA$149)&gt;=$S86),$V86,IF(AND($R86&lt;&gt;"",EDATE($D86,Milestones!$AA$149)&gt;=$R86),$U86,$T86)))=Milestones!$AB$149),TEXT(EDATE($D86,Milestones!$AA$149),"dd/mm/yy")&amp;" "&amp;Milestones!$AB$149&amp;" "&amp;Milestones!$AC$149&amp;";  ","")&amp;IF(AND(EDATE($D86,Milestones!$AA$150)&lt;=AsOfDate,IF($Q86=0,$W86,IF(AND($S86&lt;&gt;"",EDATE($D86,Milestones!$AA$150)&gt;=$S86),$V86,IF(AND($R86&lt;&gt;"",EDATE($D86,Milestones!$AA$150)&gt;=$R86),$U86,$T86)))=Milestones!$AB$150),TEXT(EDATE($D86,Milestones!$AA$150),"dd/mm/yy")&amp;" "&amp;Milestones!$AB$150&amp;" "&amp;Milestones!$AC$150&amp;";  ","")&amp;IF(AND(EDATE($D86,Milestones!$AA$151)&lt;=AsOfDate,IF($Q86=0,$W86,IF(AND($S86&lt;&gt;"",EDATE($D86,Milestones!$AA$151)&gt;=$S86),$V86,IF(AND($R86&lt;&gt;"",EDATE($D86,Milestones!$AA$151)&gt;=$R86),$U86,$T86)))=Milestones!$AB$151),TEXT(EDATE($D86,Milestones!$AA$151),"dd/mm/yy")&amp;" "&amp;Milestones!$AB$151&amp;" "&amp;Milestones!$AC$151&amp;";  ","")&amp;IF(AND(EDATE($D86,Milestones!$AA$152)&lt;=AsOfDate,IF($Q86=0,$W86,IF(AND($S86&lt;&gt;"",EDATE($D86,Milestones!$AA$152)&gt;=$S86),$V86,IF(AND($R86&lt;&gt;"",EDATE($D86,Milestones!$AA$152)&gt;=$R86),$U86,$T86)))=Milestones!$AB$152),TEXT(EDATE($D86,Milestones!$AA$152),"dd/mm/yy")&amp;" "&amp;Milestones!$AB$152&amp;" "&amp;Milestones!$AC$152&amp;";  ","")&amp;IF(AND(EDATE($D86,Milestones!$AA$153)&lt;=AsOfDate,IF($Q86=0,$W86,IF(AND($S86&lt;&gt;"",EDATE($D86,Milestones!$AA$153)&gt;=$S86),$V86,IF(AND($R86&lt;&gt;"",EDATE($D86,Milestones!$AA$153)&gt;=$R86),$U86,$T86)))=Milestones!$AB$153),TEXT(EDATE($D86,Milestones!$AA$153),"dd/mm/yy")&amp;" "&amp;Milestones!$AB$153&amp;" "&amp;Milestones!$AC$153&amp;";  ","")&amp;IF(AND(EDATE($D86,Milestones!$AA$154)&lt;=AsOfDate,IF($Q86=0,$W86,IF(AND($S86&lt;&gt;"",EDATE($D86,Milestones!$AA$154)&gt;=$S86),$V86,IF(AND($R86&lt;&gt;"",EDATE($D86,Milestones!$AA$154)&gt;=$R86),$U86,$T86)))=Milestones!$AB$154),TEXT(EDATE($D86,Milestones!$AA$154),"dd/mm/yy")&amp;" "&amp;Milestones!$AB$154&amp;" "&amp;Milestones!$AC$154&amp;";  ","")&amp;IF(AND(EDATE($D86,Milestones!$AA$155)&lt;=AsOfDate,IF($Q86=0,$W86,IF(AND($S86&lt;&gt;"",EDATE($D86,Milestones!$AA$155)&gt;=$S86),$V86,IF(AND($R86&lt;&gt;"",EDATE($D86,Milestones!$AA$155)&gt;=$R86),$U86,$T86)))=Milestones!$AB$155),TEXT(EDATE($D86,Milestones!$AA$155),"dd/mm/yy")&amp;" "&amp;Milestones!$AB$155&amp;" "&amp;Milestones!$AC$155&amp;";  ","")&amp;IF(AND(EDATE($D86,Milestones!$AA$156)&lt;=AsOfDate,IF($Q86=0,$W86,IF(AND($S86&lt;&gt;"",EDATE($D86,Milestones!$AA$156)&gt;=$S86),$V86,IF(AND($R86&lt;&gt;"",EDATE($D86,Milestones!$AA$156)&gt;=$R86),$U86,$T86)))=Milestones!$AB$156),TEXT(EDATE($D86,Milestones!$AA$156),"dd/mm/yy")&amp;" "&amp;Milestones!$AB$156&amp;" "&amp;Milestones!$AC$156&amp;";  ","")&amp;IF(AND(EDATE($D86,Milestones!$AA$157)&lt;=AsOfDate,IF($Q86=0,$W86,IF(AND($S86&lt;&gt;"",EDATE($D86,Milestones!$AA$157)&gt;=$S86),$V86,IF(AND($R86&lt;&gt;"",EDATE($D86,Milestones!$AA$157)&gt;=$R86),$U86,$T86)))=Milestones!$AB$157),TEXT(EDATE($D86,Milestones!$AA$157),"dd/mm/yy")&amp;" "&amp;Milestones!$AB$157&amp;" "&amp;Milestones!$AC$157&amp;";  ","")&amp;IF(AND(EDATE($D86,Milestones!$AA$158)&lt;=AsOfDate,IF($Q86=0,$W86,IF(AND($S86&lt;&gt;"",EDATE($D86,Milestones!$AA$158)&gt;=$S86),$V86,IF(AND($R86&lt;&gt;"",EDATE($D86,Milestones!$AA$158)&gt;=$R86),$U86,$T86)))=Milestones!$AB$158),TEXT(EDATE($D86,Milestones!$AA$158),"dd/mm/yy")&amp;" "&amp;Milestones!$AB$158&amp;" "&amp;Milestones!$AC$158&amp;";  ","")&amp;IF(AND(EDATE($D86,Milestones!$AA$159)&lt;=AsOfDate,IF($Q86=0,$W86,IF(AND($S86&lt;&gt;"",EDATE($D86,Milestones!$AA$159)&gt;=$S86),$V86,IF(AND($R86&lt;&gt;"",EDATE($D86,Milestones!$AA$159)&gt;=$R86),$U86,$T86)))=Milestones!$AB$159),TEXT(EDATE($D86,Milestones!$AA$159),"dd/mm/yy")&amp;" "&amp;Milestones!$AB$159&amp;" "&amp;Milestones!$AC$159&amp;";  ",""))</f>
        <v/>
      </c>
      <c r="O86" s="0" t="str">
        <f aca="false">IF(OR($A86="",$D86=""),"",IF(AND(EDATE($D86,Milestones!$AA$160)&lt;=AsOfDate,IF($Q86=0,$W86,IF(AND($S86&lt;&gt;"",EDATE($D86,Milestones!$AA$160)&gt;=$S86),$V86,IF(AND($R86&lt;&gt;"",EDATE($D86,Milestones!$AA$160)&gt;=$R86),$U86,$T86)))=Milestones!$AB$160),TEXT(EDATE($D86,Milestones!$AA$160),"dd/mm/yy")&amp;" "&amp;Milestones!$AB$160&amp;" "&amp;Milestones!$AC$160&amp;";  ","")&amp;IF(AND(EDATE($D86,Milestones!$AA$161)&lt;=AsOfDate,IF($Q86=0,$W86,IF(AND($S86&lt;&gt;"",EDATE($D86,Milestones!$AA$161)&gt;=$S86),$V86,IF(AND($R86&lt;&gt;"",EDATE($D86,Milestones!$AA$161)&gt;=$R86),$U86,$T86)))=Milestones!$AB$161),TEXT(EDATE($D86,Milestones!$AA$161),"dd/mm/yy")&amp;" "&amp;Milestones!$AB$161&amp;" "&amp;Milestones!$AC$161&amp;";  ","")&amp;IF(AND(EDATE($D86,Milestones!$AA$162)&lt;=AsOfDate,IF($Q86=0,$W86,IF(AND($S86&lt;&gt;"",EDATE($D86,Milestones!$AA$162)&gt;=$S86),$V86,IF(AND($R86&lt;&gt;"",EDATE($D86,Milestones!$AA$162)&gt;=$R86),$U86,$T86)))=Milestones!$AB$162),TEXT(EDATE($D86,Milestones!$AA$162),"dd/mm/yy")&amp;" "&amp;Milestones!$AB$162&amp;" "&amp;Milestones!$AC$162&amp;";  ","")&amp;IF(AND(EDATE($D86,Milestones!$AA$163)&lt;=AsOfDate,IF($Q86=0,$W86,IF(AND($S86&lt;&gt;"",EDATE($D86,Milestones!$AA$163)&gt;=$S86),$V86,IF(AND($R86&lt;&gt;"",EDATE($D86,Milestones!$AA$163)&gt;=$R86),$U86,$T86)))=Milestones!$AB$163),TEXT(EDATE($D86,Milestones!$AA$163),"dd/mm/yy")&amp;" "&amp;Milestones!$AB$163&amp;" "&amp;Milestones!$AC$163&amp;";  ","")&amp;IF(AND(EDATE($D86,Milestones!$AA$164)&lt;=AsOfDate,IF($Q86=0,$W86,IF(AND($S86&lt;&gt;"",EDATE($D86,Milestones!$AA$164)&gt;=$S86),$V86,IF(AND($R86&lt;&gt;"",EDATE($D86,Milestones!$AA$164)&gt;=$R86),$U86,$T86)))=Milestones!$AB$164),TEXT(EDATE($D86,Milestones!$AA$164),"dd/mm/yy")&amp;" "&amp;Milestones!$AB$164&amp;" "&amp;Milestones!$AC$164&amp;";  ","")&amp;IF(AND(EDATE($D86,Milestones!$AA$165)&lt;=AsOfDate,IF($Q86=0,$W86,IF(AND($S86&lt;&gt;"",EDATE($D86,Milestones!$AA$165)&gt;=$S86),$V86,IF(AND($R86&lt;&gt;"",EDATE($D86,Milestones!$AA$165)&gt;=$R86),$U86,$T86)))=Milestones!$AB$165),TEXT(EDATE($D86,Milestones!$AA$165),"dd/mm/yy")&amp;" "&amp;Milestones!$AB$165&amp;" "&amp;Milestones!$AC$165&amp;";  ","")&amp;IF(AND(EDATE($D86,Milestones!$AA$166)&lt;=AsOfDate,IF($Q86=0,$W86,IF(AND($S86&lt;&gt;"",EDATE($D86,Milestones!$AA$166)&gt;=$S86),$V86,IF(AND($R86&lt;&gt;"",EDATE($D86,Milestones!$AA$166)&gt;=$R86),$U86,$T86)))=Milestones!$AB$166),TEXT(EDATE($D86,Milestones!$AA$166),"dd/mm/yy")&amp;" "&amp;Milestones!$AB$166&amp;" "&amp;Milestones!$AC$166&amp;";  ","")&amp;IF(AND(EDATE($D86,Milestones!$AA$167)&lt;=AsOfDate,IF($Q86=0,$W86,IF(AND($S86&lt;&gt;"",EDATE($D86,Milestones!$AA$167)&gt;=$S86),$V86,IF(AND($R86&lt;&gt;"",EDATE($D86,Milestones!$AA$167)&gt;=$R86),$U86,$T86)))=Milestones!$AB$167),TEXT(EDATE($D86,Milestones!$AA$167),"dd/mm/yy")&amp;" "&amp;Milestones!$AB$167&amp;" "&amp;Milestones!$AC$167&amp;";  ","")&amp;IF(AND(EDATE($D86,Milestones!$AA$168)&lt;=AsOfDate,IF($Q86=0,$W86,IF(AND($S86&lt;&gt;"",EDATE($D86,Milestones!$AA$168)&gt;=$S86),$V86,IF(AND($R86&lt;&gt;"",EDATE($D86,Milestones!$AA$168)&gt;=$R86),$U86,$T86)))=Milestones!$AB$168),TEXT(EDATE($D86,Milestones!$AA$168),"dd/mm/yy")&amp;" "&amp;Milestones!$AB$168&amp;" "&amp;Milestones!$AC$168&amp;";  ","")&amp;IF(AND(EDATE($D86,Milestones!$AA$169)&lt;=AsOfDate,IF($Q86=0,$W86,IF(AND($S86&lt;&gt;"",EDATE($D86,Milestones!$AA$169)&gt;=$S86),$V86,IF(AND($R86&lt;&gt;"",EDATE($D86,Milestones!$AA$169)&gt;=$R86),$U86,$T86)))=Milestones!$AB$169),TEXT(EDATE($D86,Milestones!$AA$169),"dd/mm/yy")&amp;" "&amp;Milestones!$AB$169&amp;" "&amp;Milestones!$AC$169&amp;";  ","")&amp;IF(AND(EDATE($D86,Milestones!$AA$170)&lt;=AsOfDate,IF($Q86=0,$W86,IF(AND($S86&lt;&gt;"",EDATE($D86,Milestones!$AA$170)&gt;=$S86),$V86,IF(AND($R86&lt;&gt;"",EDATE($D86,Milestones!$AA$170)&gt;=$R86),$U86,$T86)))=Milestones!$AB$170),TEXT(EDATE($D86,Milestones!$AA$170),"dd/mm/yy")&amp;" "&amp;Milestones!$AB$170&amp;" "&amp;Milestones!$AC$170&amp;";  ","")&amp;IF(AND(EDATE($D86,Milestones!$AA$171)&lt;=AsOfDate,IF($Q86=0,$W86,IF(AND($S86&lt;&gt;"",EDATE($D86,Milestones!$AA$171)&gt;=$S86),$V86,IF(AND($R86&lt;&gt;"",EDATE($D86,Milestones!$AA$171)&gt;=$R86),$U86,$T86)))=Milestones!$AB$171),TEXT(EDATE($D86,Milestones!$AA$171),"dd/mm/yy")&amp;" "&amp;Milestones!$AB$171&amp;" "&amp;Milestones!$AC$171&amp;";  ","")&amp;IF(AND(EDATE($D86,Milestones!$AA$172)&lt;=AsOfDate,IF($Q86=0,$W86,IF(AND($S86&lt;&gt;"",EDATE($D86,Milestones!$AA$172)&gt;=$S86),$V86,IF(AND($R86&lt;&gt;"",EDATE($D86,Milestones!$AA$172)&gt;=$R86),$U86,$T86)))=Milestones!$AB$172),TEXT(EDATE($D86,Milestones!$AA$172),"dd/mm/yy")&amp;" "&amp;Milestones!$AB$172&amp;" "&amp;Milestones!$AC$172&amp;";  ","")&amp;IF(AND(EDATE($D86,Milestones!$AA$173)&lt;=AsOfDate,IF($Q86=0,$W86,IF(AND($S86&lt;&gt;"",EDATE($D86,Milestones!$AA$173)&gt;=$S86),$V86,IF(AND($R86&lt;&gt;"",EDATE($D86,Milestones!$AA$173)&gt;=$R86),$U86,$T86)))=Milestones!$AB$173),TEXT(EDATE($D86,Milestones!$AA$173),"dd/mm/yy")&amp;" "&amp;Milestones!$AB$173&amp;" "&amp;Milestones!$AC$173&amp;";  ","")&amp;IF(AND(EDATE($D86,Milestones!$AA$174)&lt;=AsOfDate,IF($Q86=0,$W86,IF(AND($S86&lt;&gt;"",EDATE($D86,Milestones!$AA$174)&gt;=$S86),$V86,IF(AND($R86&lt;&gt;"",EDATE($D86,Milestones!$AA$174)&gt;=$R86),$U86,$T86)))=Milestones!$AB$174),TEXT(EDATE($D86,Milestones!$AA$174),"dd/mm/yy")&amp;" "&amp;Milestones!$AB$174&amp;" "&amp;Milestones!$AC$174&amp;";  ","")&amp;IF(AND(EDATE($D86,Milestones!$AA$175)&lt;=AsOfDate,IF($Q86=0,$W86,IF(AND($S86&lt;&gt;"",EDATE($D86,Milestones!$AA$175)&gt;=$S86),$V86,IF(AND($R86&lt;&gt;"",EDATE($D86,Milestones!$AA$175)&gt;=$R86),$U86,$T86)))=Milestones!$AB$175),TEXT(EDATE($D86,Milestones!$AA$175),"dd/mm/yy")&amp;" "&amp;Milestones!$AB$175&amp;" "&amp;Milestones!$AC$175&amp;";  ","")&amp;IF(AND(EDATE($D86,Milestones!$AA$176)&lt;=AsOfDate,IF($Q86=0,$W86,IF(AND($S86&lt;&gt;"",EDATE($D86,Milestones!$AA$176)&gt;=$S86),$V86,IF(AND($R86&lt;&gt;"",EDATE($D86,Milestones!$AA$176)&gt;=$R86),$U86,$T86)))=Milestones!$AB$176),TEXT(EDATE($D86,Milestones!$AA$176),"dd/mm/yy")&amp;" "&amp;Milestones!$AB$176&amp;" "&amp;Milestones!$AC$176&amp;";  ","")&amp;IF(AND(EDATE($D86,Milestones!$AA$177)&lt;=AsOfDate,IF($Q86=0,$W86,IF(AND($S86&lt;&gt;"",EDATE($D86,Milestones!$AA$177)&gt;=$S86),$V86,IF(AND($R86&lt;&gt;"",EDATE($D86,Milestones!$AA$177)&gt;=$R86),$U86,$T86)))=Milestones!$AB$177),TEXT(EDATE($D86,Milestones!$AA$177),"dd/mm/yy")&amp;" "&amp;Milestones!$AB$177&amp;" "&amp;Milestones!$AC$177&amp;";  ","")&amp;IF(AND(EDATE($D86,Milestones!$AA$178)&lt;=AsOfDate,IF($Q86=0,$W86,IF(AND($S86&lt;&gt;"",EDATE($D86,Milestones!$AA$178)&gt;=$S86),$V86,IF(AND($R86&lt;&gt;"",EDATE($D86,Milestones!$AA$178)&gt;=$R86),$U86,$T86)))=Milestones!$AB$178),TEXT(EDATE($D86,Milestones!$AA$178),"dd/mm/yy")&amp;" "&amp;Milestones!$AB$178&amp;" "&amp;Milestones!$AC$178&amp;";  ","")&amp;IF(AND(EDATE($D86,Milestones!$AA$179)&lt;=AsOfDate,IF($Q86=0,$W86,IF(AND($S86&lt;&gt;"",EDATE($D86,Milestones!$AA$179)&gt;=$S86),$V86,IF(AND($R86&lt;&gt;"",EDATE($D86,Milestones!$AA$179)&gt;=$R86),$U86,$T86)))=Milestones!$AB$179),TEXT(EDATE($D86,Milestones!$AA$179),"dd/mm/yy")&amp;" "&amp;Milestones!$AB$179&amp;" "&amp;Milestones!$AC$179&amp;";  ",""))</f>
        <v/>
      </c>
      <c r="P86" s="0" t="str">
        <f aca="false">IF(OR($A86="",$D86=""),"",IF(AND(EDATE($D86,Milestones!$AA$180)&lt;=AsOfDate,IF($Q86=0,$W86,IF(AND($S86&lt;&gt;"",EDATE($D86,Milestones!$AA$180)&gt;=$S86),$V86,IF(AND($R86&lt;&gt;"",EDATE($D86,Milestones!$AA$180)&gt;=$R86),$U86,$T86)))=Milestones!$AB$180),TEXT(EDATE($D86,Milestones!$AA$180),"dd/mm/yy")&amp;" "&amp;Milestones!$AB$180&amp;" "&amp;Milestones!$AC$180&amp;";  ","")&amp;IF(AND(EDATE($D86,Milestones!$AA$181)&lt;=AsOfDate,IF($Q86=0,$W86,IF(AND($S86&lt;&gt;"",EDATE($D86,Milestones!$AA$181)&gt;=$S86),$V86,IF(AND($R86&lt;&gt;"",EDATE($D86,Milestones!$AA$181)&gt;=$R86),$U86,$T86)))=Milestones!$AB$181),TEXT(EDATE($D86,Milestones!$AA$181),"dd/mm/yy")&amp;" "&amp;Milestones!$AB$181&amp;" "&amp;Milestones!$AC$181&amp;";  ","")&amp;IF(AND(EDATE($D86,Milestones!$AA$182)&lt;=AsOfDate,IF($Q86=0,$W86,IF(AND($S86&lt;&gt;"",EDATE($D86,Milestones!$AA$182)&gt;=$S86),$V86,IF(AND($R86&lt;&gt;"",EDATE($D86,Milestones!$AA$182)&gt;=$R86),$U86,$T86)))=Milestones!$AB$182),TEXT(EDATE($D86,Milestones!$AA$182),"dd/mm/yy")&amp;" "&amp;Milestones!$AB$182&amp;" "&amp;Milestones!$AC$182&amp;";  ","")&amp;IF(AND(EDATE($D86,Milestones!$AA$183)&lt;=AsOfDate,IF($Q86=0,$W86,IF(AND($S86&lt;&gt;"",EDATE($D86,Milestones!$AA$183)&gt;=$S86),$V86,IF(AND($R86&lt;&gt;"",EDATE($D86,Milestones!$AA$183)&gt;=$R86),$U86,$T86)))=Milestones!$AB$183),TEXT(EDATE($D86,Milestones!$AA$183),"dd/mm/yy")&amp;" "&amp;Milestones!$AB$183&amp;" "&amp;Milestones!$AC$183&amp;";  ","")&amp;IF(AND(EDATE($D86,Milestones!$AA$184)&lt;=AsOfDate,IF($Q86=0,$W86,IF(AND($S86&lt;&gt;"",EDATE($D86,Milestones!$AA$184)&gt;=$S86),$V86,IF(AND($R86&lt;&gt;"",EDATE($D86,Milestones!$AA$184)&gt;=$R86),$U86,$T86)))=Milestones!$AB$184),TEXT(EDATE($D86,Milestones!$AA$184),"dd/mm/yy")&amp;" "&amp;Milestones!$AB$184&amp;" "&amp;Milestones!$AC$184&amp;";  ","")&amp;IF(AND(EDATE($D86,Milestones!$AA$185)&lt;=AsOfDate,IF($Q86=0,$W86,IF(AND($S86&lt;&gt;"",EDATE($D86,Milestones!$AA$185)&gt;=$S86),$V86,IF(AND($R86&lt;&gt;"",EDATE($D86,Milestones!$AA$185)&gt;=$R86),$U86,$T86)))=Milestones!$AB$185),TEXT(EDATE($D86,Milestones!$AA$185),"dd/mm/yy")&amp;" "&amp;Milestones!$AB$185&amp;" "&amp;Milestones!$AC$185&amp;";  ","")&amp;IF(AND(EDATE($D86,Milestones!$AA$186)&lt;=AsOfDate,IF($Q86=0,$W86,IF(AND($S86&lt;&gt;"",EDATE($D86,Milestones!$AA$186)&gt;=$S86),$V86,IF(AND($R86&lt;&gt;"",EDATE($D86,Milestones!$AA$186)&gt;=$R86),$U86,$T86)))=Milestones!$AB$186),TEXT(EDATE($D86,Milestones!$AA$186),"dd/mm/yy")&amp;" "&amp;Milestones!$AB$186&amp;" "&amp;Milestones!$AC$186&amp;";  ","")&amp;IF(AND(EDATE($D86,Milestones!$AA$187)&lt;=AsOfDate,IF($Q86=0,$W86,IF(AND($S86&lt;&gt;"",EDATE($D86,Milestones!$AA$187)&gt;=$S86),$V86,IF(AND($R86&lt;&gt;"",EDATE($D86,Milestones!$AA$187)&gt;=$R86),$U86,$T86)))=Milestones!$AB$187),TEXT(EDATE($D86,Milestones!$AA$187),"dd/mm/yy")&amp;" "&amp;Milestones!$AB$187&amp;" "&amp;Milestones!$AC$187&amp;";  ","")&amp;IF(AND(EDATE($D86,Milestones!$AA$188)&lt;=AsOfDate,IF($Q86=0,$W86,IF(AND($S86&lt;&gt;"",EDATE($D86,Milestones!$AA$188)&gt;=$S86),$V86,IF(AND($R86&lt;&gt;"",EDATE($D86,Milestones!$AA$188)&gt;=$R86),$U86,$T86)))=Milestones!$AB$188),TEXT(EDATE($D86,Milestones!$AA$188),"dd/mm/yy")&amp;" "&amp;Milestones!$AB$188&amp;" "&amp;Milestones!$AC$188&amp;";  ","")&amp;IF(AND(EDATE($D86,Milestones!$AA$189)&lt;=AsOfDate,IF($Q86=0,$W86,IF(AND($S86&lt;&gt;"",EDATE($D86,Milestones!$AA$189)&gt;=$S86),$V86,IF(AND($R86&lt;&gt;"",EDATE($D86,Milestones!$AA$189)&gt;=$R86),$U86,$T86)))=Milestones!$AB$189),TEXT(EDATE($D86,Milestones!$AA$189),"dd/mm/yy")&amp;" "&amp;Milestones!$AB$189&amp;" "&amp;Milestones!$AC$189&amp;";  ","")&amp;IF(AND(EDATE($D86,Milestones!$AA$190)&lt;=AsOfDate,IF($Q86=0,$W86,IF(AND($S86&lt;&gt;"",EDATE($D86,Milestones!$AA$190)&gt;=$S86),$V86,IF(AND($R86&lt;&gt;"",EDATE($D86,Milestones!$AA$190)&gt;=$R86),$U86,$T86)))=Milestones!$AB$190),TEXT(EDATE($D86,Milestones!$AA$190),"dd/mm/yy")&amp;" "&amp;Milestones!$AB$190&amp;" "&amp;Milestones!$AC$190&amp;";  ","")&amp;IF(AND(EDATE($D86,Milestones!$AA$191)&lt;=AsOfDate,IF($Q86=0,$W86,IF(AND($S86&lt;&gt;"",EDATE($D86,Milestones!$AA$191)&gt;=$S86),$V86,IF(AND($R86&lt;&gt;"",EDATE($D86,Milestones!$AA$191)&gt;=$R86),$U86,$T86)))=Milestones!$AB$191),TEXT(EDATE($D86,Milestones!$AA$191),"dd/mm/yy")&amp;" "&amp;Milestones!$AB$191&amp;" "&amp;Milestones!$AC$191&amp;";  ","")&amp;IF(AND(EDATE($D86,Milestones!$AA$192)&lt;=AsOfDate,IF($Q86=0,$W86,IF(AND($S86&lt;&gt;"",EDATE($D86,Milestones!$AA$192)&gt;=$S86),$V86,IF(AND($R86&lt;&gt;"",EDATE($D86,Milestones!$AA$192)&gt;=$R86),$U86,$T86)))=Milestones!$AB$192),TEXT(EDATE($D86,Milestones!$AA$192),"dd/mm/yy")&amp;" "&amp;Milestones!$AB$192&amp;" "&amp;Milestones!$AC$192&amp;";  ","")&amp;IF(AND(EDATE($D86,Milestones!$AA$193)&lt;=AsOfDate,IF($Q86=0,$W86,IF(AND($S86&lt;&gt;"",EDATE($D86,Milestones!$AA$193)&gt;=$S86),$V86,IF(AND($R86&lt;&gt;"",EDATE($D86,Milestones!$AA$193)&gt;=$R86),$U86,$T86)))=Milestones!$AB$193),TEXT(EDATE($D86,Milestones!$AA$193),"dd/mm/yy")&amp;" "&amp;Milestones!$AB$193&amp;" "&amp;Milestones!$AC$193&amp;";  ","")&amp;IF(AND(EDATE($D86,Milestones!$AA$194)&lt;=AsOfDate,IF($Q86=0,$W86,IF(AND($S86&lt;&gt;"",EDATE($D86,Milestones!$AA$194)&gt;=$S86),$V86,IF(AND($R86&lt;&gt;"",EDATE($D86,Milestones!$AA$194)&gt;=$R86),$U86,$T86)))=Milestones!$AB$194),TEXT(EDATE($D86,Milestones!$AA$194),"dd/mm/yy")&amp;" "&amp;Milestones!$AB$194&amp;" "&amp;Milestones!$AC$194&amp;";  ","")&amp;IF(AND(EDATE($D86,Milestones!$AA$195)&lt;=AsOfDate,IF($Q86=0,$W86,IF(AND($S86&lt;&gt;"",EDATE($D86,Milestones!$AA$195)&gt;=$S86),$V86,IF(AND($R86&lt;&gt;"",EDATE($D86,Milestones!$AA$195)&gt;=$R86),$U86,$T86)))=Milestones!$AB$195),TEXT(EDATE($D86,Milestones!$AA$195),"dd/mm/yy")&amp;" "&amp;Milestones!$AB$195&amp;" "&amp;Milestones!$AC$195&amp;";  ","")&amp;IF(AND(EDATE($D86,Milestones!$AA$196)&lt;=AsOfDate,IF($Q86=0,$W86,IF(AND($S86&lt;&gt;"",EDATE($D86,Milestones!$AA$196)&gt;=$S86),$V86,IF(AND($R86&lt;&gt;"",EDATE($D86,Milestones!$AA$196)&gt;=$R86),$U86,$T86)))=Milestones!$AB$196),TEXT(EDATE($D86,Milestones!$AA$196),"dd/mm/yy")&amp;" "&amp;Milestones!$AB$196&amp;" "&amp;Milestones!$AC$196&amp;";  ","")&amp;IF(AND(EDATE($D86,Milestones!$AA$197)&lt;=AsOfDate,IF($Q86=0,$W86,IF(AND($S86&lt;&gt;"",EDATE($D86,Milestones!$AA$197)&gt;=$S86),$V86,IF(AND($R86&lt;&gt;"",EDATE($D86,Milestones!$AA$197)&gt;=$R86),$U86,$T86)))=Milestones!$AB$197),TEXT(EDATE($D86,Milestones!$AA$197),"dd/mm/yy")&amp;" "&amp;Milestones!$AB$197&amp;" "&amp;Milestones!$AC$197&amp;";  ","")&amp;IF(AND(EDATE($D86,Milestones!$AA$198)&lt;=AsOfDate,IF($Q86=0,$W86,IF(AND($S86&lt;&gt;"",EDATE($D86,Milestones!$AA$198)&gt;=$S86),$V86,IF(AND($R86&lt;&gt;"",EDATE($D86,Milestones!$AA$198)&gt;=$R86),$U86,$T86)))=Milestones!$AB$198),TEXT(EDATE($D86,Milestones!$AA$198),"dd/mm/yy")&amp;" "&amp;Milestones!$AB$198&amp;" "&amp;Milestones!$AC$198&amp;";  ","")&amp;IF(AND(EDATE($D86,Milestones!$AA$199)&lt;=AsOfDate,IF($Q86=0,$W86,IF(AND($S86&lt;&gt;"",EDATE($D86,Milestones!$AA$199)&gt;=$S86),$V86,IF(AND($R86&lt;&gt;"",EDATE($D86,Milestones!$AA$199)&gt;=$R86),$U86,$T86)))=Milestones!$AB$199),TEXT(EDATE($D86,Milestones!$AA$199),"dd/mm/yy")&amp;" "&amp;Milestones!$AB$199&amp;" "&amp;Milestones!$AC$199&amp;";  ",""))</f>
        <v/>
      </c>
      <c r="Q86" s="0" t="str">
        <f aca="false">IF(Staff!$A86="","",Staff!$AG86)</f>
        <v/>
      </c>
      <c r="R86" s="0" t="str">
        <f aca="false">IF(Staff!$A86="","",Staff!$AI86)</f>
        <v/>
      </c>
      <c r="S86" s="0" t="str">
        <f aca="false">IF(Staff!$A86="","",Staff!$AJ86)</f>
        <v/>
      </c>
      <c r="T86" s="0" t="str">
        <f aca="false">IF(Staff!$A86="","",Staff!$AN86)</f>
        <v/>
      </c>
      <c r="U86" s="0" t="str">
        <f aca="false">IF(Staff!$A86="","",Staff!$AO86)</f>
        <v/>
      </c>
      <c r="V86" s="0" t="str">
        <f aca="false">IF(Staff!$A86="","",Staff!$AP86)</f>
        <v/>
      </c>
      <c r="W86" s="0" t="str">
        <f aca="false">IF(Staff!$A86="","",Staff!$AQ86)</f>
        <v/>
      </c>
    </row>
    <row r="87" customFormat="false" ht="15" hidden="false" customHeight="false" outlineLevel="0" collapsed="false">
      <c r="A87" s="13" t="str">
        <f aca="false">IF(Staff!$A87="","",Staff!$A87)</f>
        <v/>
      </c>
      <c r="B87" s="13" t="str">
        <f aca="false">IF(Staff!$A87="","",Staff!$B87)</f>
        <v/>
      </c>
      <c r="C87" s="13" t="str">
        <f aca="false">IF(Staff!$A87="","",Staff!$C87)</f>
        <v/>
      </c>
      <c r="D87" s="11" t="str">
        <f aca="false">IF(Staff!$A87="","",Staff!$AF87)</f>
        <v/>
      </c>
      <c r="E87" s="13" t="str">
        <f aca="false">IF(Staff!$A87="","",Staff!$O87)</f>
        <v/>
      </c>
      <c r="F87" s="13" t="str">
        <f aca="false">IF(E87="","",E87*HoursPerDay)</f>
        <v/>
      </c>
      <c r="G87" s="26" t="str">
        <f aca="false">IF($A87="","",H87&amp;I87&amp;J87&amp;K87&amp;L87&amp;M87&amp;N87&amp;O87&amp;P87)</f>
        <v/>
      </c>
      <c r="H87" s="0" t="str">
        <f aca="false">IF(OR($A87="",$D87=""),"",IF(AND(EDATE($D87,Milestones!$AA$20)&lt;=AsOfDate,IF($Q87=0,$W87,IF(AND($S87&lt;&gt;"",EDATE($D87,Milestones!$AA$20)&gt;=$S87),$V87,IF(AND($R87&lt;&gt;"",EDATE($D87,Milestones!$AA$20)&gt;=$R87),$U87,$T87)))=Milestones!$AB$20),TEXT(EDATE($D87,Milestones!$AA$20),"dd/mm/yy")&amp;" "&amp;Milestones!$AB$20&amp;" "&amp;Milestones!$AC$20&amp;";  ","")&amp;IF(AND(EDATE($D87,Milestones!$AA$21)&lt;=AsOfDate,IF($Q87=0,$W87,IF(AND($S87&lt;&gt;"",EDATE($D87,Milestones!$AA$21)&gt;=$S87),$V87,IF(AND($R87&lt;&gt;"",EDATE($D87,Milestones!$AA$21)&gt;=$R87),$U87,$T87)))=Milestones!$AB$21),TEXT(EDATE($D87,Milestones!$AA$21),"dd/mm/yy")&amp;" "&amp;Milestones!$AB$21&amp;" "&amp;Milestones!$AC$21&amp;";  ","")&amp;IF(AND(EDATE($D87,Milestones!$AA$22)&lt;=AsOfDate,IF($Q87=0,$W87,IF(AND($S87&lt;&gt;"",EDATE($D87,Milestones!$AA$22)&gt;=$S87),$V87,IF(AND($R87&lt;&gt;"",EDATE($D87,Milestones!$AA$22)&gt;=$R87),$U87,$T87)))=Milestones!$AB$22),TEXT(EDATE($D87,Milestones!$AA$22),"dd/mm/yy")&amp;" "&amp;Milestones!$AB$22&amp;" "&amp;Milestones!$AC$22&amp;";  ","")&amp;IF(AND(EDATE($D87,Milestones!$AA$23)&lt;=AsOfDate,IF($Q87=0,$W87,IF(AND($S87&lt;&gt;"",EDATE($D87,Milestones!$AA$23)&gt;=$S87),$V87,IF(AND($R87&lt;&gt;"",EDATE($D87,Milestones!$AA$23)&gt;=$R87),$U87,$T87)))=Milestones!$AB$23),TEXT(EDATE($D87,Milestones!$AA$23),"dd/mm/yy")&amp;" "&amp;Milestones!$AB$23&amp;" "&amp;Milestones!$AC$23&amp;";  ","")&amp;IF(AND(EDATE($D87,Milestones!$AA$24)&lt;=AsOfDate,IF($Q87=0,$W87,IF(AND($S87&lt;&gt;"",EDATE($D87,Milestones!$AA$24)&gt;=$S87),$V87,IF(AND($R87&lt;&gt;"",EDATE($D87,Milestones!$AA$24)&gt;=$R87),$U87,$T87)))=Milestones!$AB$24),TEXT(EDATE($D87,Milestones!$AA$24),"dd/mm/yy")&amp;" "&amp;Milestones!$AB$24&amp;" "&amp;Milestones!$AC$24&amp;";  ","")&amp;IF(AND(EDATE($D87,Milestones!$AA$25)&lt;=AsOfDate,IF($Q87=0,$W87,IF(AND($S87&lt;&gt;"",EDATE($D87,Milestones!$AA$25)&gt;=$S87),$V87,IF(AND($R87&lt;&gt;"",EDATE($D87,Milestones!$AA$25)&gt;=$R87),$U87,$T87)))=Milestones!$AB$25),TEXT(EDATE($D87,Milestones!$AA$25),"dd/mm/yy")&amp;" "&amp;Milestones!$AB$25&amp;" "&amp;Milestones!$AC$25&amp;";  ","")&amp;IF(AND(EDATE($D87,Milestones!$AA$26)&lt;=AsOfDate,IF($Q87=0,$W87,IF(AND($S87&lt;&gt;"",EDATE($D87,Milestones!$AA$26)&gt;=$S87),$V87,IF(AND($R87&lt;&gt;"",EDATE($D87,Milestones!$AA$26)&gt;=$R87),$U87,$T87)))=Milestones!$AB$26),TEXT(EDATE($D87,Milestones!$AA$26),"dd/mm/yy")&amp;" "&amp;Milestones!$AB$26&amp;" "&amp;Milestones!$AC$26&amp;";  ","")&amp;IF(AND(EDATE($D87,Milestones!$AA$27)&lt;=AsOfDate,IF($Q87=0,$W87,IF(AND($S87&lt;&gt;"",EDATE($D87,Milestones!$AA$27)&gt;=$S87),$V87,IF(AND($R87&lt;&gt;"",EDATE($D87,Milestones!$AA$27)&gt;=$R87),$U87,$T87)))=Milestones!$AB$27),TEXT(EDATE($D87,Milestones!$AA$27),"dd/mm/yy")&amp;" "&amp;Milestones!$AB$27&amp;" "&amp;Milestones!$AC$27&amp;";  ","")&amp;IF(AND(EDATE($D87,Milestones!$AA$28)&lt;=AsOfDate,IF($Q87=0,$W87,IF(AND($S87&lt;&gt;"",EDATE($D87,Milestones!$AA$28)&gt;=$S87),$V87,IF(AND($R87&lt;&gt;"",EDATE($D87,Milestones!$AA$28)&gt;=$R87),$U87,$T87)))=Milestones!$AB$28),TEXT(EDATE($D87,Milestones!$AA$28),"dd/mm/yy")&amp;" "&amp;Milestones!$AB$28&amp;" "&amp;Milestones!$AC$28&amp;";  ","")&amp;IF(AND(EDATE($D87,Milestones!$AA$29)&lt;=AsOfDate,IF($Q87=0,$W87,IF(AND($S87&lt;&gt;"",EDATE($D87,Milestones!$AA$29)&gt;=$S87),$V87,IF(AND($R87&lt;&gt;"",EDATE($D87,Milestones!$AA$29)&gt;=$R87),$U87,$T87)))=Milestones!$AB$29),TEXT(EDATE($D87,Milestones!$AA$29),"dd/mm/yy")&amp;" "&amp;Milestones!$AB$29&amp;" "&amp;Milestones!$AC$29&amp;";  ","")&amp;IF(AND(EDATE($D87,Milestones!$AA$30)&lt;=AsOfDate,IF($Q87=0,$W87,IF(AND($S87&lt;&gt;"",EDATE($D87,Milestones!$AA$30)&gt;=$S87),$V87,IF(AND($R87&lt;&gt;"",EDATE($D87,Milestones!$AA$30)&gt;=$R87),$U87,$T87)))=Milestones!$AB$30),TEXT(EDATE($D87,Milestones!$AA$30),"dd/mm/yy")&amp;" "&amp;Milestones!$AB$30&amp;" "&amp;Milestones!$AC$30&amp;";  ","")&amp;IF(AND(EDATE($D87,Milestones!$AA$31)&lt;=AsOfDate,IF($Q87=0,$W87,IF(AND($S87&lt;&gt;"",EDATE($D87,Milestones!$AA$31)&gt;=$S87),$V87,IF(AND($R87&lt;&gt;"",EDATE($D87,Milestones!$AA$31)&gt;=$R87),$U87,$T87)))=Milestones!$AB$31),TEXT(EDATE($D87,Milestones!$AA$31),"dd/mm/yy")&amp;" "&amp;Milestones!$AB$31&amp;" "&amp;Milestones!$AC$31&amp;";  ","")&amp;IF(AND(EDATE($D87,Milestones!$AA$32)&lt;=AsOfDate,IF($Q87=0,$W87,IF(AND($S87&lt;&gt;"",EDATE($D87,Milestones!$AA$32)&gt;=$S87),$V87,IF(AND($R87&lt;&gt;"",EDATE($D87,Milestones!$AA$32)&gt;=$R87),$U87,$T87)))=Milestones!$AB$32),TEXT(EDATE($D87,Milestones!$AA$32),"dd/mm/yy")&amp;" "&amp;Milestones!$AB$32&amp;" "&amp;Milestones!$AC$32&amp;";  ","")&amp;IF(AND(EDATE($D87,Milestones!$AA$33)&lt;=AsOfDate,IF($Q87=0,$W87,IF(AND($S87&lt;&gt;"",EDATE($D87,Milestones!$AA$33)&gt;=$S87),$V87,IF(AND($R87&lt;&gt;"",EDATE($D87,Milestones!$AA$33)&gt;=$R87),$U87,$T87)))=Milestones!$AB$33),TEXT(EDATE($D87,Milestones!$AA$33),"dd/mm/yy")&amp;" "&amp;Milestones!$AB$33&amp;" "&amp;Milestones!$AC$33&amp;";  ","")&amp;IF(AND(EDATE($D87,Milestones!$AA$34)&lt;=AsOfDate,IF($Q87=0,$W87,IF(AND($S87&lt;&gt;"",EDATE($D87,Milestones!$AA$34)&gt;=$S87),$V87,IF(AND($R87&lt;&gt;"",EDATE($D87,Milestones!$AA$34)&gt;=$R87),$U87,$T87)))=Milestones!$AB$34),TEXT(EDATE($D87,Milestones!$AA$34),"dd/mm/yy")&amp;" "&amp;Milestones!$AB$34&amp;" "&amp;Milestones!$AC$34&amp;";  ","")&amp;IF(AND(EDATE($D87,Milestones!$AA$35)&lt;=AsOfDate,IF($Q87=0,$W87,IF(AND($S87&lt;&gt;"",EDATE($D87,Milestones!$AA$35)&gt;=$S87),$V87,IF(AND($R87&lt;&gt;"",EDATE($D87,Milestones!$AA$35)&gt;=$R87),$U87,$T87)))=Milestones!$AB$35),TEXT(EDATE($D87,Milestones!$AA$35),"dd/mm/yy")&amp;" "&amp;Milestones!$AB$35&amp;" "&amp;Milestones!$AC$35&amp;";  ","")&amp;IF(AND(EDATE($D87,Milestones!$AA$36)&lt;=AsOfDate,IF($Q87=0,$W87,IF(AND($S87&lt;&gt;"",EDATE($D87,Milestones!$AA$36)&gt;=$S87),$V87,IF(AND($R87&lt;&gt;"",EDATE($D87,Milestones!$AA$36)&gt;=$R87),$U87,$T87)))=Milestones!$AB$36),TEXT(EDATE($D87,Milestones!$AA$36),"dd/mm/yy")&amp;" "&amp;Milestones!$AB$36&amp;" "&amp;Milestones!$AC$36&amp;";  ","")&amp;IF(AND(EDATE($D87,Milestones!$AA$37)&lt;=AsOfDate,IF($Q87=0,$W87,IF(AND($S87&lt;&gt;"",EDATE($D87,Milestones!$AA$37)&gt;=$S87),$V87,IF(AND($R87&lt;&gt;"",EDATE($D87,Milestones!$AA$37)&gt;=$R87),$U87,$T87)))=Milestones!$AB$37),TEXT(EDATE($D87,Milestones!$AA$37),"dd/mm/yy")&amp;" "&amp;Milestones!$AB$37&amp;" "&amp;Milestones!$AC$37&amp;";  ","")&amp;IF(AND(EDATE($D87,Milestones!$AA$38)&lt;=AsOfDate,IF($Q87=0,$W87,IF(AND($S87&lt;&gt;"",EDATE($D87,Milestones!$AA$38)&gt;=$S87),$V87,IF(AND($R87&lt;&gt;"",EDATE($D87,Milestones!$AA$38)&gt;=$R87),$U87,$T87)))=Milestones!$AB$38),TEXT(EDATE($D87,Milestones!$AA$38),"dd/mm/yy")&amp;" "&amp;Milestones!$AB$38&amp;" "&amp;Milestones!$AC$38&amp;";  ","")&amp;IF(AND(EDATE($D87,Milestones!$AA$39)&lt;=AsOfDate,IF($Q87=0,$W87,IF(AND($S87&lt;&gt;"",EDATE($D87,Milestones!$AA$39)&gt;=$S87),$V87,IF(AND($R87&lt;&gt;"",EDATE($D87,Milestones!$AA$39)&gt;=$R87),$U87,$T87)))=Milestones!$AB$39),TEXT(EDATE($D87,Milestones!$AA$39),"dd/mm/yy")&amp;" "&amp;Milestones!$AB$39&amp;" "&amp;Milestones!$AC$39&amp;";  ",""))</f>
        <v/>
      </c>
      <c r="I87" s="0" t="str">
        <f aca="false">IF(OR($A87="",$D87=""),"",IF(AND(EDATE($D87,Milestones!$AA$40)&lt;=AsOfDate,IF($Q87=0,$W87,IF(AND($S87&lt;&gt;"",EDATE($D87,Milestones!$AA$40)&gt;=$S87),$V87,IF(AND($R87&lt;&gt;"",EDATE($D87,Milestones!$AA$40)&gt;=$R87),$U87,$T87)))=Milestones!$AB$40),TEXT(EDATE($D87,Milestones!$AA$40),"dd/mm/yy")&amp;" "&amp;Milestones!$AB$40&amp;" "&amp;Milestones!$AC$40&amp;";  ","")&amp;IF(AND(EDATE($D87,Milestones!$AA$41)&lt;=AsOfDate,IF($Q87=0,$W87,IF(AND($S87&lt;&gt;"",EDATE($D87,Milestones!$AA$41)&gt;=$S87),$V87,IF(AND($R87&lt;&gt;"",EDATE($D87,Milestones!$AA$41)&gt;=$R87),$U87,$T87)))=Milestones!$AB$41),TEXT(EDATE($D87,Milestones!$AA$41),"dd/mm/yy")&amp;" "&amp;Milestones!$AB$41&amp;" "&amp;Milestones!$AC$41&amp;";  ","")&amp;IF(AND(EDATE($D87,Milestones!$AA$42)&lt;=AsOfDate,IF($Q87=0,$W87,IF(AND($S87&lt;&gt;"",EDATE($D87,Milestones!$AA$42)&gt;=$S87),$V87,IF(AND($R87&lt;&gt;"",EDATE($D87,Milestones!$AA$42)&gt;=$R87),$U87,$T87)))=Milestones!$AB$42),TEXT(EDATE($D87,Milestones!$AA$42),"dd/mm/yy")&amp;" "&amp;Milestones!$AB$42&amp;" "&amp;Milestones!$AC$42&amp;";  ","")&amp;IF(AND(EDATE($D87,Milestones!$AA$43)&lt;=AsOfDate,IF($Q87=0,$W87,IF(AND($S87&lt;&gt;"",EDATE($D87,Milestones!$AA$43)&gt;=$S87),$V87,IF(AND($R87&lt;&gt;"",EDATE($D87,Milestones!$AA$43)&gt;=$R87),$U87,$T87)))=Milestones!$AB$43),TEXT(EDATE($D87,Milestones!$AA$43),"dd/mm/yy")&amp;" "&amp;Milestones!$AB$43&amp;" "&amp;Milestones!$AC$43&amp;";  ","")&amp;IF(AND(EDATE($D87,Milestones!$AA$44)&lt;=AsOfDate,IF($Q87=0,$W87,IF(AND($S87&lt;&gt;"",EDATE($D87,Milestones!$AA$44)&gt;=$S87),$V87,IF(AND($R87&lt;&gt;"",EDATE($D87,Milestones!$AA$44)&gt;=$R87),$U87,$T87)))=Milestones!$AB$44),TEXT(EDATE($D87,Milestones!$AA$44),"dd/mm/yy")&amp;" "&amp;Milestones!$AB$44&amp;" "&amp;Milestones!$AC$44&amp;";  ","")&amp;IF(AND(EDATE($D87,Milestones!$AA$45)&lt;=AsOfDate,IF($Q87=0,$W87,IF(AND($S87&lt;&gt;"",EDATE($D87,Milestones!$AA$45)&gt;=$S87),$V87,IF(AND($R87&lt;&gt;"",EDATE($D87,Milestones!$AA$45)&gt;=$R87),$U87,$T87)))=Milestones!$AB$45),TEXT(EDATE($D87,Milestones!$AA$45),"dd/mm/yy")&amp;" "&amp;Milestones!$AB$45&amp;" "&amp;Milestones!$AC$45&amp;";  ","")&amp;IF(AND(EDATE($D87,Milestones!$AA$46)&lt;=AsOfDate,IF($Q87=0,$W87,IF(AND($S87&lt;&gt;"",EDATE($D87,Milestones!$AA$46)&gt;=$S87),$V87,IF(AND($R87&lt;&gt;"",EDATE($D87,Milestones!$AA$46)&gt;=$R87),$U87,$T87)))=Milestones!$AB$46),TEXT(EDATE($D87,Milestones!$AA$46),"dd/mm/yy")&amp;" "&amp;Milestones!$AB$46&amp;" "&amp;Milestones!$AC$46&amp;";  ","")&amp;IF(AND(EDATE($D87,Milestones!$AA$47)&lt;=AsOfDate,IF($Q87=0,$W87,IF(AND($S87&lt;&gt;"",EDATE($D87,Milestones!$AA$47)&gt;=$S87),$V87,IF(AND($R87&lt;&gt;"",EDATE($D87,Milestones!$AA$47)&gt;=$R87),$U87,$T87)))=Milestones!$AB$47),TEXT(EDATE($D87,Milestones!$AA$47),"dd/mm/yy")&amp;" "&amp;Milestones!$AB$47&amp;" "&amp;Milestones!$AC$47&amp;";  ","")&amp;IF(AND(EDATE($D87,Milestones!$AA$48)&lt;=AsOfDate,IF($Q87=0,$W87,IF(AND($S87&lt;&gt;"",EDATE($D87,Milestones!$AA$48)&gt;=$S87),$V87,IF(AND($R87&lt;&gt;"",EDATE($D87,Milestones!$AA$48)&gt;=$R87),$U87,$T87)))=Milestones!$AB$48),TEXT(EDATE($D87,Milestones!$AA$48),"dd/mm/yy")&amp;" "&amp;Milestones!$AB$48&amp;" "&amp;Milestones!$AC$48&amp;";  ","")&amp;IF(AND(EDATE($D87,Milestones!$AA$49)&lt;=AsOfDate,IF($Q87=0,$W87,IF(AND($S87&lt;&gt;"",EDATE($D87,Milestones!$AA$49)&gt;=$S87),$V87,IF(AND($R87&lt;&gt;"",EDATE($D87,Milestones!$AA$49)&gt;=$R87),$U87,$T87)))=Milestones!$AB$49),TEXT(EDATE($D87,Milestones!$AA$49),"dd/mm/yy")&amp;" "&amp;Milestones!$AB$49&amp;" "&amp;Milestones!$AC$49&amp;";  ","")&amp;IF(AND(EDATE($D87,Milestones!$AA$50)&lt;=AsOfDate,IF($Q87=0,$W87,IF(AND($S87&lt;&gt;"",EDATE($D87,Milestones!$AA$50)&gt;=$S87),$V87,IF(AND($R87&lt;&gt;"",EDATE($D87,Milestones!$AA$50)&gt;=$R87),$U87,$T87)))=Milestones!$AB$50),TEXT(EDATE($D87,Milestones!$AA$50),"dd/mm/yy")&amp;" "&amp;Milestones!$AB$50&amp;" "&amp;Milestones!$AC$50&amp;";  ","")&amp;IF(AND(EDATE($D87,Milestones!$AA$51)&lt;=AsOfDate,IF($Q87=0,$W87,IF(AND($S87&lt;&gt;"",EDATE($D87,Milestones!$AA$51)&gt;=$S87),$V87,IF(AND($R87&lt;&gt;"",EDATE($D87,Milestones!$AA$51)&gt;=$R87),$U87,$T87)))=Milestones!$AB$51),TEXT(EDATE($D87,Milestones!$AA$51),"dd/mm/yy")&amp;" "&amp;Milestones!$AB$51&amp;" "&amp;Milestones!$AC$51&amp;";  ","")&amp;IF(AND(EDATE($D87,Milestones!$AA$52)&lt;=AsOfDate,IF($Q87=0,$W87,IF(AND($S87&lt;&gt;"",EDATE($D87,Milestones!$AA$52)&gt;=$S87),$V87,IF(AND($R87&lt;&gt;"",EDATE($D87,Milestones!$AA$52)&gt;=$R87),$U87,$T87)))=Milestones!$AB$52),TEXT(EDATE($D87,Milestones!$AA$52),"dd/mm/yy")&amp;" "&amp;Milestones!$AB$52&amp;" "&amp;Milestones!$AC$52&amp;";  ","")&amp;IF(AND(EDATE($D87,Milestones!$AA$53)&lt;=AsOfDate,IF($Q87=0,$W87,IF(AND($S87&lt;&gt;"",EDATE($D87,Milestones!$AA$53)&gt;=$S87),$V87,IF(AND($R87&lt;&gt;"",EDATE($D87,Milestones!$AA$53)&gt;=$R87),$U87,$T87)))=Milestones!$AB$53),TEXT(EDATE($D87,Milestones!$AA$53),"dd/mm/yy")&amp;" "&amp;Milestones!$AB$53&amp;" "&amp;Milestones!$AC$53&amp;";  ","")&amp;IF(AND(EDATE($D87,Milestones!$AA$54)&lt;=AsOfDate,IF($Q87=0,$W87,IF(AND($S87&lt;&gt;"",EDATE($D87,Milestones!$AA$54)&gt;=$S87),$V87,IF(AND($R87&lt;&gt;"",EDATE($D87,Milestones!$AA$54)&gt;=$R87),$U87,$T87)))=Milestones!$AB$54),TEXT(EDATE($D87,Milestones!$AA$54),"dd/mm/yy")&amp;" "&amp;Milestones!$AB$54&amp;" "&amp;Milestones!$AC$54&amp;";  ","")&amp;IF(AND(EDATE($D87,Milestones!$AA$55)&lt;=AsOfDate,IF($Q87=0,$W87,IF(AND($S87&lt;&gt;"",EDATE($D87,Milestones!$AA$55)&gt;=$S87),$V87,IF(AND($R87&lt;&gt;"",EDATE($D87,Milestones!$AA$55)&gt;=$R87),$U87,$T87)))=Milestones!$AB$55),TEXT(EDATE($D87,Milestones!$AA$55),"dd/mm/yy")&amp;" "&amp;Milestones!$AB$55&amp;" "&amp;Milestones!$AC$55&amp;";  ","")&amp;IF(AND(EDATE($D87,Milestones!$AA$56)&lt;=AsOfDate,IF($Q87=0,$W87,IF(AND($S87&lt;&gt;"",EDATE($D87,Milestones!$AA$56)&gt;=$S87),$V87,IF(AND($R87&lt;&gt;"",EDATE($D87,Milestones!$AA$56)&gt;=$R87),$U87,$T87)))=Milestones!$AB$56),TEXT(EDATE($D87,Milestones!$AA$56),"dd/mm/yy")&amp;" "&amp;Milestones!$AB$56&amp;" "&amp;Milestones!$AC$56&amp;";  ","")&amp;IF(AND(EDATE($D87,Milestones!$AA$57)&lt;=AsOfDate,IF($Q87=0,$W87,IF(AND($S87&lt;&gt;"",EDATE($D87,Milestones!$AA$57)&gt;=$S87),$V87,IF(AND($R87&lt;&gt;"",EDATE($D87,Milestones!$AA$57)&gt;=$R87),$U87,$T87)))=Milestones!$AB$57),TEXT(EDATE($D87,Milestones!$AA$57),"dd/mm/yy")&amp;" "&amp;Milestones!$AB$57&amp;" "&amp;Milestones!$AC$57&amp;";  ","")&amp;IF(AND(EDATE($D87,Milestones!$AA$58)&lt;=AsOfDate,IF($Q87=0,$W87,IF(AND($S87&lt;&gt;"",EDATE($D87,Milestones!$AA$58)&gt;=$S87),$V87,IF(AND($R87&lt;&gt;"",EDATE($D87,Milestones!$AA$58)&gt;=$R87),$U87,$T87)))=Milestones!$AB$58),TEXT(EDATE($D87,Milestones!$AA$58),"dd/mm/yy")&amp;" "&amp;Milestones!$AB$58&amp;" "&amp;Milestones!$AC$58&amp;";  ","")&amp;IF(AND(EDATE($D87,Milestones!$AA$59)&lt;=AsOfDate,IF($Q87=0,$W87,IF(AND($S87&lt;&gt;"",EDATE($D87,Milestones!$AA$59)&gt;=$S87),$V87,IF(AND($R87&lt;&gt;"",EDATE($D87,Milestones!$AA$59)&gt;=$R87),$U87,$T87)))=Milestones!$AB$59),TEXT(EDATE($D87,Milestones!$AA$59),"dd/mm/yy")&amp;" "&amp;Milestones!$AB$59&amp;" "&amp;Milestones!$AC$59&amp;";  ",""))</f>
        <v/>
      </c>
      <c r="J87" s="0" t="str">
        <f aca="false">IF(OR($A87="",$D87=""),"",IF(AND(EDATE($D87,Milestones!$AA$60)&lt;=AsOfDate,IF($Q87=0,$W87,IF(AND($S87&lt;&gt;"",EDATE($D87,Milestones!$AA$60)&gt;=$S87),$V87,IF(AND($R87&lt;&gt;"",EDATE($D87,Milestones!$AA$60)&gt;=$R87),$U87,$T87)))=Milestones!$AB$60),TEXT(EDATE($D87,Milestones!$AA$60),"dd/mm/yy")&amp;" "&amp;Milestones!$AB$60&amp;" "&amp;Milestones!$AC$60&amp;";  ","")&amp;IF(AND(EDATE($D87,Milestones!$AA$61)&lt;=AsOfDate,IF($Q87=0,$W87,IF(AND($S87&lt;&gt;"",EDATE($D87,Milestones!$AA$61)&gt;=$S87),$V87,IF(AND($R87&lt;&gt;"",EDATE($D87,Milestones!$AA$61)&gt;=$R87),$U87,$T87)))=Milestones!$AB$61),TEXT(EDATE($D87,Milestones!$AA$61),"dd/mm/yy")&amp;" "&amp;Milestones!$AB$61&amp;" "&amp;Milestones!$AC$61&amp;";  ","")&amp;IF(AND(EDATE($D87,Milestones!$AA$62)&lt;=AsOfDate,IF($Q87=0,$W87,IF(AND($S87&lt;&gt;"",EDATE($D87,Milestones!$AA$62)&gt;=$S87),$V87,IF(AND($R87&lt;&gt;"",EDATE($D87,Milestones!$AA$62)&gt;=$R87),$U87,$T87)))=Milestones!$AB$62),TEXT(EDATE($D87,Milestones!$AA$62),"dd/mm/yy")&amp;" "&amp;Milestones!$AB$62&amp;" "&amp;Milestones!$AC$62&amp;";  ","")&amp;IF(AND(EDATE($D87,Milestones!$AA$63)&lt;=AsOfDate,IF($Q87=0,$W87,IF(AND($S87&lt;&gt;"",EDATE($D87,Milestones!$AA$63)&gt;=$S87),$V87,IF(AND($R87&lt;&gt;"",EDATE($D87,Milestones!$AA$63)&gt;=$R87),$U87,$T87)))=Milestones!$AB$63),TEXT(EDATE($D87,Milestones!$AA$63),"dd/mm/yy")&amp;" "&amp;Milestones!$AB$63&amp;" "&amp;Milestones!$AC$63&amp;";  ","")&amp;IF(AND(EDATE($D87,Milestones!$AA$64)&lt;=AsOfDate,IF($Q87=0,$W87,IF(AND($S87&lt;&gt;"",EDATE($D87,Milestones!$AA$64)&gt;=$S87),$V87,IF(AND($R87&lt;&gt;"",EDATE($D87,Milestones!$AA$64)&gt;=$R87),$U87,$T87)))=Milestones!$AB$64),TEXT(EDATE($D87,Milestones!$AA$64),"dd/mm/yy")&amp;" "&amp;Milestones!$AB$64&amp;" "&amp;Milestones!$AC$64&amp;";  ","")&amp;IF(AND(EDATE($D87,Milestones!$AA$65)&lt;=AsOfDate,IF($Q87=0,$W87,IF(AND($S87&lt;&gt;"",EDATE($D87,Milestones!$AA$65)&gt;=$S87),$V87,IF(AND($R87&lt;&gt;"",EDATE($D87,Milestones!$AA$65)&gt;=$R87),$U87,$T87)))=Milestones!$AB$65),TEXT(EDATE($D87,Milestones!$AA$65),"dd/mm/yy")&amp;" "&amp;Milestones!$AB$65&amp;" "&amp;Milestones!$AC$65&amp;";  ","")&amp;IF(AND(EDATE($D87,Milestones!$AA$66)&lt;=AsOfDate,IF($Q87=0,$W87,IF(AND($S87&lt;&gt;"",EDATE($D87,Milestones!$AA$66)&gt;=$S87),$V87,IF(AND($R87&lt;&gt;"",EDATE($D87,Milestones!$AA$66)&gt;=$R87),$U87,$T87)))=Milestones!$AB$66),TEXT(EDATE($D87,Milestones!$AA$66),"dd/mm/yy")&amp;" "&amp;Milestones!$AB$66&amp;" "&amp;Milestones!$AC$66&amp;";  ","")&amp;IF(AND(EDATE($D87,Milestones!$AA$67)&lt;=AsOfDate,IF($Q87=0,$W87,IF(AND($S87&lt;&gt;"",EDATE($D87,Milestones!$AA$67)&gt;=$S87),$V87,IF(AND($R87&lt;&gt;"",EDATE($D87,Milestones!$AA$67)&gt;=$R87),$U87,$T87)))=Milestones!$AB$67),TEXT(EDATE($D87,Milestones!$AA$67),"dd/mm/yy")&amp;" "&amp;Milestones!$AB$67&amp;" "&amp;Milestones!$AC$67&amp;";  ","")&amp;IF(AND(EDATE($D87,Milestones!$AA$68)&lt;=AsOfDate,IF($Q87=0,$W87,IF(AND($S87&lt;&gt;"",EDATE($D87,Milestones!$AA$68)&gt;=$S87),$V87,IF(AND($R87&lt;&gt;"",EDATE($D87,Milestones!$AA$68)&gt;=$R87),$U87,$T87)))=Milestones!$AB$68),TEXT(EDATE($D87,Milestones!$AA$68),"dd/mm/yy")&amp;" "&amp;Milestones!$AB$68&amp;" "&amp;Milestones!$AC$68&amp;";  ","")&amp;IF(AND(EDATE($D87,Milestones!$AA$69)&lt;=AsOfDate,IF($Q87=0,$W87,IF(AND($S87&lt;&gt;"",EDATE($D87,Milestones!$AA$69)&gt;=$S87),$V87,IF(AND($R87&lt;&gt;"",EDATE($D87,Milestones!$AA$69)&gt;=$R87),$U87,$T87)))=Milestones!$AB$69),TEXT(EDATE($D87,Milestones!$AA$69),"dd/mm/yy")&amp;" "&amp;Milestones!$AB$69&amp;" "&amp;Milestones!$AC$69&amp;";  ","")&amp;IF(AND(EDATE($D87,Milestones!$AA$70)&lt;=AsOfDate,IF($Q87=0,$W87,IF(AND($S87&lt;&gt;"",EDATE($D87,Milestones!$AA$70)&gt;=$S87),$V87,IF(AND($R87&lt;&gt;"",EDATE($D87,Milestones!$AA$70)&gt;=$R87),$U87,$T87)))=Milestones!$AB$70),TEXT(EDATE($D87,Milestones!$AA$70),"dd/mm/yy")&amp;" "&amp;Milestones!$AB$70&amp;" "&amp;Milestones!$AC$70&amp;";  ","")&amp;IF(AND(EDATE($D87,Milestones!$AA$71)&lt;=AsOfDate,IF($Q87=0,$W87,IF(AND($S87&lt;&gt;"",EDATE($D87,Milestones!$AA$71)&gt;=$S87),$V87,IF(AND($R87&lt;&gt;"",EDATE($D87,Milestones!$AA$71)&gt;=$R87),$U87,$T87)))=Milestones!$AB$71),TEXT(EDATE($D87,Milestones!$AA$71),"dd/mm/yy")&amp;" "&amp;Milestones!$AB$71&amp;" "&amp;Milestones!$AC$71&amp;";  ","")&amp;IF(AND(EDATE($D87,Milestones!$AA$72)&lt;=AsOfDate,IF($Q87=0,$W87,IF(AND($S87&lt;&gt;"",EDATE($D87,Milestones!$AA$72)&gt;=$S87),$V87,IF(AND($R87&lt;&gt;"",EDATE($D87,Milestones!$AA$72)&gt;=$R87),$U87,$T87)))=Milestones!$AB$72),TEXT(EDATE($D87,Milestones!$AA$72),"dd/mm/yy")&amp;" "&amp;Milestones!$AB$72&amp;" "&amp;Milestones!$AC$72&amp;";  ","")&amp;IF(AND(EDATE($D87,Milestones!$AA$73)&lt;=AsOfDate,IF($Q87=0,$W87,IF(AND($S87&lt;&gt;"",EDATE($D87,Milestones!$AA$73)&gt;=$S87),$V87,IF(AND($R87&lt;&gt;"",EDATE($D87,Milestones!$AA$73)&gt;=$R87),$U87,$T87)))=Milestones!$AB$73),TEXT(EDATE($D87,Milestones!$AA$73),"dd/mm/yy")&amp;" "&amp;Milestones!$AB$73&amp;" "&amp;Milestones!$AC$73&amp;";  ","")&amp;IF(AND(EDATE($D87,Milestones!$AA$74)&lt;=AsOfDate,IF($Q87=0,$W87,IF(AND($S87&lt;&gt;"",EDATE($D87,Milestones!$AA$74)&gt;=$S87),$V87,IF(AND($R87&lt;&gt;"",EDATE($D87,Milestones!$AA$74)&gt;=$R87),$U87,$T87)))=Milestones!$AB$74),TEXT(EDATE($D87,Milestones!$AA$74),"dd/mm/yy")&amp;" "&amp;Milestones!$AB$74&amp;" "&amp;Milestones!$AC$74&amp;";  ","")&amp;IF(AND(EDATE($D87,Milestones!$AA$75)&lt;=AsOfDate,IF($Q87=0,$W87,IF(AND($S87&lt;&gt;"",EDATE($D87,Milestones!$AA$75)&gt;=$S87),$V87,IF(AND($R87&lt;&gt;"",EDATE($D87,Milestones!$AA$75)&gt;=$R87),$U87,$T87)))=Milestones!$AB$75),TEXT(EDATE($D87,Milestones!$AA$75),"dd/mm/yy")&amp;" "&amp;Milestones!$AB$75&amp;" "&amp;Milestones!$AC$75&amp;";  ","")&amp;IF(AND(EDATE($D87,Milestones!$AA$76)&lt;=AsOfDate,IF($Q87=0,$W87,IF(AND($S87&lt;&gt;"",EDATE($D87,Milestones!$AA$76)&gt;=$S87),$V87,IF(AND($R87&lt;&gt;"",EDATE($D87,Milestones!$AA$76)&gt;=$R87),$U87,$T87)))=Milestones!$AB$76),TEXT(EDATE($D87,Milestones!$AA$76),"dd/mm/yy")&amp;" "&amp;Milestones!$AB$76&amp;" "&amp;Milestones!$AC$76&amp;";  ","")&amp;IF(AND(EDATE($D87,Milestones!$AA$77)&lt;=AsOfDate,IF($Q87=0,$W87,IF(AND($S87&lt;&gt;"",EDATE($D87,Milestones!$AA$77)&gt;=$S87),$V87,IF(AND($R87&lt;&gt;"",EDATE($D87,Milestones!$AA$77)&gt;=$R87),$U87,$T87)))=Milestones!$AB$77),TEXT(EDATE($D87,Milestones!$AA$77),"dd/mm/yy")&amp;" "&amp;Milestones!$AB$77&amp;" "&amp;Milestones!$AC$77&amp;";  ","")&amp;IF(AND(EDATE($D87,Milestones!$AA$78)&lt;=AsOfDate,IF($Q87=0,$W87,IF(AND($S87&lt;&gt;"",EDATE($D87,Milestones!$AA$78)&gt;=$S87),$V87,IF(AND($R87&lt;&gt;"",EDATE($D87,Milestones!$AA$78)&gt;=$R87),$U87,$T87)))=Milestones!$AB$78),TEXT(EDATE($D87,Milestones!$AA$78),"dd/mm/yy")&amp;" "&amp;Milestones!$AB$78&amp;" "&amp;Milestones!$AC$78&amp;";  ","")&amp;IF(AND(EDATE($D87,Milestones!$AA$79)&lt;=AsOfDate,IF($Q87=0,$W87,IF(AND($S87&lt;&gt;"",EDATE($D87,Milestones!$AA$79)&gt;=$S87),$V87,IF(AND($R87&lt;&gt;"",EDATE($D87,Milestones!$AA$79)&gt;=$R87),$U87,$T87)))=Milestones!$AB$79),TEXT(EDATE($D87,Milestones!$AA$79),"dd/mm/yy")&amp;" "&amp;Milestones!$AB$79&amp;" "&amp;Milestones!$AC$79&amp;";  ",""))</f>
        <v/>
      </c>
      <c r="K87" s="0" t="str">
        <f aca="false">IF(OR($A87="",$D87=""),"",IF(AND(EDATE($D87,Milestones!$AA$80)&lt;=AsOfDate,IF($Q87=0,$W87,IF(AND($S87&lt;&gt;"",EDATE($D87,Milestones!$AA$80)&gt;=$S87),$V87,IF(AND($R87&lt;&gt;"",EDATE($D87,Milestones!$AA$80)&gt;=$R87),$U87,$T87)))=Milestones!$AB$80),TEXT(EDATE($D87,Milestones!$AA$80),"dd/mm/yy")&amp;" "&amp;Milestones!$AB$80&amp;" "&amp;Milestones!$AC$80&amp;";  ","")&amp;IF(AND(EDATE($D87,Milestones!$AA$81)&lt;=AsOfDate,IF($Q87=0,$W87,IF(AND($S87&lt;&gt;"",EDATE($D87,Milestones!$AA$81)&gt;=$S87),$V87,IF(AND($R87&lt;&gt;"",EDATE($D87,Milestones!$AA$81)&gt;=$R87),$U87,$T87)))=Milestones!$AB$81),TEXT(EDATE($D87,Milestones!$AA$81),"dd/mm/yy")&amp;" "&amp;Milestones!$AB$81&amp;" "&amp;Milestones!$AC$81&amp;";  ","")&amp;IF(AND(EDATE($D87,Milestones!$AA$82)&lt;=AsOfDate,IF($Q87=0,$W87,IF(AND($S87&lt;&gt;"",EDATE($D87,Milestones!$AA$82)&gt;=$S87),$V87,IF(AND($R87&lt;&gt;"",EDATE($D87,Milestones!$AA$82)&gt;=$R87),$U87,$T87)))=Milestones!$AB$82),TEXT(EDATE($D87,Milestones!$AA$82),"dd/mm/yy")&amp;" "&amp;Milestones!$AB$82&amp;" "&amp;Milestones!$AC$82&amp;";  ","")&amp;IF(AND(EDATE($D87,Milestones!$AA$83)&lt;=AsOfDate,IF($Q87=0,$W87,IF(AND($S87&lt;&gt;"",EDATE($D87,Milestones!$AA$83)&gt;=$S87),$V87,IF(AND($R87&lt;&gt;"",EDATE($D87,Milestones!$AA$83)&gt;=$R87),$U87,$T87)))=Milestones!$AB$83),TEXT(EDATE($D87,Milestones!$AA$83),"dd/mm/yy")&amp;" "&amp;Milestones!$AB$83&amp;" "&amp;Milestones!$AC$83&amp;";  ","")&amp;IF(AND(EDATE($D87,Milestones!$AA$84)&lt;=AsOfDate,IF($Q87=0,$W87,IF(AND($S87&lt;&gt;"",EDATE($D87,Milestones!$AA$84)&gt;=$S87),$V87,IF(AND($R87&lt;&gt;"",EDATE($D87,Milestones!$AA$84)&gt;=$R87),$U87,$T87)))=Milestones!$AB$84),TEXT(EDATE($D87,Milestones!$AA$84),"dd/mm/yy")&amp;" "&amp;Milestones!$AB$84&amp;" "&amp;Milestones!$AC$84&amp;";  ","")&amp;IF(AND(EDATE($D87,Milestones!$AA$85)&lt;=AsOfDate,IF($Q87=0,$W87,IF(AND($S87&lt;&gt;"",EDATE($D87,Milestones!$AA$85)&gt;=$S87),$V87,IF(AND($R87&lt;&gt;"",EDATE($D87,Milestones!$AA$85)&gt;=$R87),$U87,$T87)))=Milestones!$AB$85),TEXT(EDATE($D87,Milestones!$AA$85),"dd/mm/yy")&amp;" "&amp;Milestones!$AB$85&amp;" "&amp;Milestones!$AC$85&amp;";  ","")&amp;IF(AND(EDATE($D87,Milestones!$AA$86)&lt;=AsOfDate,IF($Q87=0,$W87,IF(AND($S87&lt;&gt;"",EDATE($D87,Milestones!$AA$86)&gt;=$S87),$V87,IF(AND($R87&lt;&gt;"",EDATE($D87,Milestones!$AA$86)&gt;=$R87),$U87,$T87)))=Milestones!$AB$86),TEXT(EDATE($D87,Milestones!$AA$86),"dd/mm/yy")&amp;" "&amp;Milestones!$AB$86&amp;" "&amp;Milestones!$AC$86&amp;";  ","")&amp;IF(AND(EDATE($D87,Milestones!$AA$87)&lt;=AsOfDate,IF($Q87=0,$W87,IF(AND($S87&lt;&gt;"",EDATE($D87,Milestones!$AA$87)&gt;=$S87),$V87,IF(AND($R87&lt;&gt;"",EDATE($D87,Milestones!$AA$87)&gt;=$R87),$U87,$T87)))=Milestones!$AB$87),TEXT(EDATE($D87,Milestones!$AA$87),"dd/mm/yy")&amp;" "&amp;Milestones!$AB$87&amp;" "&amp;Milestones!$AC$87&amp;";  ","")&amp;IF(AND(EDATE($D87,Milestones!$AA$88)&lt;=AsOfDate,IF($Q87=0,$W87,IF(AND($S87&lt;&gt;"",EDATE($D87,Milestones!$AA$88)&gt;=$S87),$V87,IF(AND($R87&lt;&gt;"",EDATE($D87,Milestones!$AA$88)&gt;=$R87),$U87,$T87)))=Milestones!$AB$88),TEXT(EDATE($D87,Milestones!$AA$88),"dd/mm/yy")&amp;" "&amp;Milestones!$AB$88&amp;" "&amp;Milestones!$AC$88&amp;";  ","")&amp;IF(AND(EDATE($D87,Milestones!$AA$89)&lt;=AsOfDate,IF($Q87=0,$W87,IF(AND($S87&lt;&gt;"",EDATE($D87,Milestones!$AA$89)&gt;=$S87),$V87,IF(AND($R87&lt;&gt;"",EDATE($D87,Milestones!$AA$89)&gt;=$R87),$U87,$T87)))=Milestones!$AB$89),TEXT(EDATE($D87,Milestones!$AA$89),"dd/mm/yy")&amp;" "&amp;Milestones!$AB$89&amp;" "&amp;Milestones!$AC$89&amp;";  ","")&amp;IF(AND(EDATE($D87,Milestones!$AA$90)&lt;=AsOfDate,IF($Q87=0,$W87,IF(AND($S87&lt;&gt;"",EDATE($D87,Milestones!$AA$90)&gt;=$S87),$V87,IF(AND($R87&lt;&gt;"",EDATE($D87,Milestones!$AA$90)&gt;=$R87),$U87,$T87)))=Milestones!$AB$90),TEXT(EDATE($D87,Milestones!$AA$90),"dd/mm/yy")&amp;" "&amp;Milestones!$AB$90&amp;" "&amp;Milestones!$AC$90&amp;";  ","")&amp;IF(AND(EDATE($D87,Milestones!$AA$91)&lt;=AsOfDate,IF($Q87=0,$W87,IF(AND($S87&lt;&gt;"",EDATE($D87,Milestones!$AA$91)&gt;=$S87),$V87,IF(AND($R87&lt;&gt;"",EDATE($D87,Milestones!$AA$91)&gt;=$R87),$U87,$T87)))=Milestones!$AB$91),TEXT(EDATE($D87,Milestones!$AA$91),"dd/mm/yy")&amp;" "&amp;Milestones!$AB$91&amp;" "&amp;Milestones!$AC$91&amp;";  ","")&amp;IF(AND(EDATE($D87,Milestones!$AA$92)&lt;=AsOfDate,IF($Q87=0,$W87,IF(AND($S87&lt;&gt;"",EDATE($D87,Milestones!$AA$92)&gt;=$S87),$V87,IF(AND($R87&lt;&gt;"",EDATE($D87,Milestones!$AA$92)&gt;=$R87),$U87,$T87)))=Milestones!$AB$92),TEXT(EDATE($D87,Milestones!$AA$92),"dd/mm/yy")&amp;" "&amp;Milestones!$AB$92&amp;" "&amp;Milestones!$AC$92&amp;";  ","")&amp;IF(AND(EDATE($D87,Milestones!$AA$93)&lt;=AsOfDate,IF($Q87=0,$W87,IF(AND($S87&lt;&gt;"",EDATE($D87,Milestones!$AA$93)&gt;=$S87),$V87,IF(AND($R87&lt;&gt;"",EDATE($D87,Milestones!$AA$93)&gt;=$R87),$U87,$T87)))=Milestones!$AB$93),TEXT(EDATE($D87,Milestones!$AA$93),"dd/mm/yy")&amp;" "&amp;Milestones!$AB$93&amp;" "&amp;Milestones!$AC$93&amp;";  ","")&amp;IF(AND(EDATE($D87,Milestones!$AA$94)&lt;=AsOfDate,IF($Q87=0,$W87,IF(AND($S87&lt;&gt;"",EDATE($D87,Milestones!$AA$94)&gt;=$S87),$V87,IF(AND($R87&lt;&gt;"",EDATE($D87,Milestones!$AA$94)&gt;=$R87),$U87,$T87)))=Milestones!$AB$94),TEXT(EDATE($D87,Milestones!$AA$94),"dd/mm/yy")&amp;" "&amp;Milestones!$AB$94&amp;" "&amp;Milestones!$AC$94&amp;";  ","")&amp;IF(AND(EDATE($D87,Milestones!$AA$95)&lt;=AsOfDate,IF($Q87=0,$W87,IF(AND($S87&lt;&gt;"",EDATE($D87,Milestones!$AA$95)&gt;=$S87),$V87,IF(AND($R87&lt;&gt;"",EDATE($D87,Milestones!$AA$95)&gt;=$R87),$U87,$T87)))=Milestones!$AB$95),TEXT(EDATE($D87,Milestones!$AA$95),"dd/mm/yy")&amp;" "&amp;Milestones!$AB$95&amp;" "&amp;Milestones!$AC$95&amp;";  ","")&amp;IF(AND(EDATE($D87,Milestones!$AA$96)&lt;=AsOfDate,IF($Q87=0,$W87,IF(AND($S87&lt;&gt;"",EDATE($D87,Milestones!$AA$96)&gt;=$S87),$V87,IF(AND($R87&lt;&gt;"",EDATE($D87,Milestones!$AA$96)&gt;=$R87),$U87,$T87)))=Milestones!$AB$96),TEXT(EDATE($D87,Milestones!$AA$96),"dd/mm/yy")&amp;" "&amp;Milestones!$AB$96&amp;" "&amp;Milestones!$AC$96&amp;";  ","")&amp;IF(AND(EDATE($D87,Milestones!$AA$97)&lt;=AsOfDate,IF($Q87=0,$W87,IF(AND($S87&lt;&gt;"",EDATE($D87,Milestones!$AA$97)&gt;=$S87),$V87,IF(AND($R87&lt;&gt;"",EDATE($D87,Milestones!$AA$97)&gt;=$R87),$U87,$T87)))=Milestones!$AB$97),TEXT(EDATE($D87,Milestones!$AA$97),"dd/mm/yy")&amp;" "&amp;Milestones!$AB$97&amp;" "&amp;Milestones!$AC$97&amp;";  ","")&amp;IF(AND(EDATE($D87,Milestones!$AA$98)&lt;=AsOfDate,IF($Q87=0,$W87,IF(AND($S87&lt;&gt;"",EDATE($D87,Milestones!$AA$98)&gt;=$S87),$V87,IF(AND($R87&lt;&gt;"",EDATE($D87,Milestones!$AA$98)&gt;=$R87),$U87,$T87)))=Milestones!$AB$98),TEXT(EDATE($D87,Milestones!$AA$98),"dd/mm/yy")&amp;" "&amp;Milestones!$AB$98&amp;" "&amp;Milestones!$AC$98&amp;";  ","")&amp;IF(AND(EDATE($D87,Milestones!$AA$99)&lt;=AsOfDate,IF($Q87=0,$W87,IF(AND($S87&lt;&gt;"",EDATE($D87,Milestones!$AA$99)&gt;=$S87),$V87,IF(AND($R87&lt;&gt;"",EDATE($D87,Milestones!$AA$99)&gt;=$R87),$U87,$T87)))=Milestones!$AB$99),TEXT(EDATE($D87,Milestones!$AA$99),"dd/mm/yy")&amp;" "&amp;Milestones!$AB$99&amp;" "&amp;Milestones!$AC$99&amp;";  ",""))</f>
        <v/>
      </c>
      <c r="L87" s="0" t="str">
        <f aca="false">IF(OR($A87="",$D87=""),"",IF(AND(EDATE($D87,Milestones!$AA$100)&lt;=AsOfDate,IF($Q87=0,$W87,IF(AND($S87&lt;&gt;"",EDATE($D87,Milestones!$AA$100)&gt;=$S87),$V87,IF(AND($R87&lt;&gt;"",EDATE($D87,Milestones!$AA$100)&gt;=$R87),$U87,$T87)))=Milestones!$AB$100),TEXT(EDATE($D87,Milestones!$AA$100),"dd/mm/yy")&amp;" "&amp;Milestones!$AB$100&amp;" "&amp;Milestones!$AC$100&amp;";  ","")&amp;IF(AND(EDATE($D87,Milestones!$AA$101)&lt;=AsOfDate,IF($Q87=0,$W87,IF(AND($S87&lt;&gt;"",EDATE($D87,Milestones!$AA$101)&gt;=$S87),$V87,IF(AND($R87&lt;&gt;"",EDATE($D87,Milestones!$AA$101)&gt;=$R87),$U87,$T87)))=Milestones!$AB$101),TEXT(EDATE($D87,Milestones!$AA$101),"dd/mm/yy")&amp;" "&amp;Milestones!$AB$101&amp;" "&amp;Milestones!$AC$101&amp;";  ","")&amp;IF(AND(EDATE($D87,Milestones!$AA$102)&lt;=AsOfDate,IF($Q87=0,$W87,IF(AND($S87&lt;&gt;"",EDATE($D87,Milestones!$AA$102)&gt;=$S87),$V87,IF(AND($R87&lt;&gt;"",EDATE($D87,Milestones!$AA$102)&gt;=$R87),$U87,$T87)))=Milestones!$AB$102),TEXT(EDATE($D87,Milestones!$AA$102),"dd/mm/yy")&amp;" "&amp;Milestones!$AB$102&amp;" "&amp;Milestones!$AC$102&amp;";  ","")&amp;IF(AND(EDATE($D87,Milestones!$AA$103)&lt;=AsOfDate,IF($Q87=0,$W87,IF(AND($S87&lt;&gt;"",EDATE($D87,Milestones!$AA$103)&gt;=$S87),$V87,IF(AND($R87&lt;&gt;"",EDATE($D87,Milestones!$AA$103)&gt;=$R87),$U87,$T87)))=Milestones!$AB$103),TEXT(EDATE($D87,Milestones!$AA$103),"dd/mm/yy")&amp;" "&amp;Milestones!$AB$103&amp;" "&amp;Milestones!$AC$103&amp;";  ","")&amp;IF(AND(EDATE($D87,Milestones!$AA$104)&lt;=AsOfDate,IF($Q87=0,$W87,IF(AND($S87&lt;&gt;"",EDATE($D87,Milestones!$AA$104)&gt;=$S87),$V87,IF(AND($R87&lt;&gt;"",EDATE($D87,Milestones!$AA$104)&gt;=$R87),$U87,$T87)))=Milestones!$AB$104),TEXT(EDATE($D87,Milestones!$AA$104),"dd/mm/yy")&amp;" "&amp;Milestones!$AB$104&amp;" "&amp;Milestones!$AC$104&amp;";  ","")&amp;IF(AND(EDATE($D87,Milestones!$AA$105)&lt;=AsOfDate,IF($Q87=0,$W87,IF(AND($S87&lt;&gt;"",EDATE($D87,Milestones!$AA$105)&gt;=$S87),$V87,IF(AND($R87&lt;&gt;"",EDATE($D87,Milestones!$AA$105)&gt;=$R87),$U87,$T87)))=Milestones!$AB$105),TEXT(EDATE($D87,Milestones!$AA$105),"dd/mm/yy")&amp;" "&amp;Milestones!$AB$105&amp;" "&amp;Milestones!$AC$105&amp;";  ","")&amp;IF(AND(EDATE($D87,Milestones!$AA$106)&lt;=AsOfDate,IF($Q87=0,$W87,IF(AND($S87&lt;&gt;"",EDATE($D87,Milestones!$AA$106)&gt;=$S87),$V87,IF(AND($R87&lt;&gt;"",EDATE($D87,Milestones!$AA$106)&gt;=$R87),$U87,$T87)))=Milestones!$AB$106),TEXT(EDATE($D87,Milestones!$AA$106),"dd/mm/yy")&amp;" "&amp;Milestones!$AB$106&amp;" "&amp;Milestones!$AC$106&amp;";  ","")&amp;IF(AND(EDATE($D87,Milestones!$AA$107)&lt;=AsOfDate,IF($Q87=0,$W87,IF(AND($S87&lt;&gt;"",EDATE($D87,Milestones!$AA$107)&gt;=$S87),$V87,IF(AND($R87&lt;&gt;"",EDATE($D87,Milestones!$AA$107)&gt;=$R87),$U87,$T87)))=Milestones!$AB$107),TEXT(EDATE($D87,Milestones!$AA$107),"dd/mm/yy")&amp;" "&amp;Milestones!$AB$107&amp;" "&amp;Milestones!$AC$107&amp;";  ","")&amp;IF(AND(EDATE($D87,Milestones!$AA$108)&lt;=AsOfDate,IF($Q87=0,$W87,IF(AND($S87&lt;&gt;"",EDATE($D87,Milestones!$AA$108)&gt;=$S87),$V87,IF(AND($R87&lt;&gt;"",EDATE($D87,Milestones!$AA$108)&gt;=$R87),$U87,$T87)))=Milestones!$AB$108),TEXT(EDATE($D87,Milestones!$AA$108),"dd/mm/yy")&amp;" "&amp;Milestones!$AB$108&amp;" "&amp;Milestones!$AC$108&amp;";  ","")&amp;IF(AND(EDATE($D87,Milestones!$AA$109)&lt;=AsOfDate,IF($Q87=0,$W87,IF(AND($S87&lt;&gt;"",EDATE($D87,Milestones!$AA$109)&gt;=$S87),$V87,IF(AND($R87&lt;&gt;"",EDATE($D87,Milestones!$AA$109)&gt;=$R87),$U87,$T87)))=Milestones!$AB$109),TEXT(EDATE($D87,Milestones!$AA$109),"dd/mm/yy")&amp;" "&amp;Milestones!$AB$109&amp;" "&amp;Milestones!$AC$109&amp;";  ","")&amp;IF(AND(EDATE($D87,Milestones!$AA$110)&lt;=AsOfDate,IF($Q87=0,$W87,IF(AND($S87&lt;&gt;"",EDATE($D87,Milestones!$AA$110)&gt;=$S87),$V87,IF(AND($R87&lt;&gt;"",EDATE($D87,Milestones!$AA$110)&gt;=$R87),$U87,$T87)))=Milestones!$AB$110),TEXT(EDATE($D87,Milestones!$AA$110),"dd/mm/yy")&amp;" "&amp;Milestones!$AB$110&amp;" "&amp;Milestones!$AC$110&amp;";  ","")&amp;IF(AND(EDATE($D87,Milestones!$AA$111)&lt;=AsOfDate,IF($Q87=0,$W87,IF(AND($S87&lt;&gt;"",EDATE($D87,Milestones!$AA$111)&gt;=$S87),$V87,IF(AND($R87&lt;&gt;"",EDATE($D87,Milestones!$AA$111)&gt;=$R87),$U87,$T87)))=Milestones!$AB$111),TEXT(EDATE($D87,Milestones!$AA$111),"dd/mm/yy")&amp;" "&amp;Milestones!$AB$111&amp;" "&amp;Milestones!$AC$111&amp;";  ","")&amp;IF(AND(EDATE($D87,Milestones!$AA$112)&lt;=AsOfDate,IF($Q87=0,$W87,IF(AND($S87&lt;&gt;"",EDATE($D87,Milestones!$AA$112)&gt;=$S87),$V87,IF(AND($R87&lt;&gt;"",EDATE($D87,Milestones!$AA$112)&gt;=$R87),$U87,$T87)))=Milestones!$AB$112),TEXT(EDATE($D87,Milestones!$AA$112),"dd/mm/yy")&amp;" "&amp;Milestones!$AB$112&amp;" "&amp;Milestones!$AC$112&amp;";  ","")&amp;IF(AND(EDATE($D87,Milestones!$AA$113)&lt;=AsOfDate,IF($Q87=0,$W87,IF(AND($S87&lt;&gt;"",EDATE($D87,Milestones!$AA$113)&gt;=$S87),$V87,IF(AND($R87&lt;&gt;"",EDATE($D87,Milestones!$AA$113)&gt;=$R87),$U87,$T87)))=Milestones!$AB$113),TEXT(EDATE($D87,Milestones!$AA$113),"dd/mm/yy")&amp;" "&amp;Milestones!$AB$113&amp;" "&amp;Milestones!$AC$113&amp;";  ","")&amp;IF(AND(EDATE($D87,Milestones!$AA$114)&lt;=AsOfDate,IF($Q87=0,$W87,IF(AND($S87&lt;&gt;"",EDATE($D87,Milestones!$AA$114)&gt;=$S87),$V87,IF(AND($R87&lt;&gt;"",EDATE($D87,Milestones!$AA$114)&gt;=$R87),$U87,$T87)))=Milestones!$AB$114),TEXT(EDATE($D87,Milestones!$AA$114),"dd/mm/yy")&amp;" "&amp;Milestones!$AB$114&amp;" "&amp;Milestones!$AC$114&amp;";  ","")&amp;IF(AND(EDATE($D87,Milestones!$AA$115)&lt;=AsOfDate,IF($Q87=0,$W87,IF(AND($S87&lt;&gt;"",EDATE($D87,Milestones!$AA$115)&gt;=$S87),$V87,IF(AND($R87&lt;&gt;"",EDATE($D87,Milestones!$AA$115)&gt;=$R87),$U87,$T87)))=Milestones!$AB$115),TEXT(EDATE($D87,Milestones!$AA$115),"dd/mm/yy")&amp;" "&amp;Milestones!$AB$115&amp;" "&amp;Milestones!$AC$115&amp;";  ","")&amp;IF(AND(EDATE($D87,Milestones!$AA$116)&lt;=AsOfDate,IF($Q87=0,$W87,IF(AND($S87&lt;&gt;"",EDATE($D87,Milestones!$AA$116)&gt;=$S87),$V87,IF(AND($R87&lt;&gt;"",EDATE($D87,Milestones!$AA$116)&gt;=$R87),$U87,$T87)))=Milestones!$AB$116),TEXT(EDATE($D87,Milestones!$AA$116),"dd/mm/yy")&amp;" "&amp;Milestones!$AB$116&amp;" "&amp;Milestones!$AC$116&amp;";  ","")&amp;IF(AND(EDATE($D87,Milestones!$AA$117)&lt;=AsOfDate,IF($Q87=0,$W87,IF(AND($S87&lt;&gt;"",EDATE($D87,Milestones!$AA$117)&gt;=$S87),$V87,IF(AND($R87&lt;&gt;"",EDATE($D87,Milestones!$AA$117)&gt;=$R87),$U87,$T87)))=Milestones!$AB$117),TEXT(EDATE($D87,Milestones!$AA$117),"dd/mm/yy")&amp;" "&amp;Milestones!$AB$117&amp;" "&amp;Milestones!$AC$117&amp;";  ","")&amp;IF(AND(EDATE($D87,Milestones!$AA$118)&lt;=AsOfDate,IF($Q87=0,$W87,IF(AND($S87&lt;&gt;"",EDATE($D87,Milestones!$AA$118)&gt;=$S87),$V87,IF(AND($R87&lt;&gt;"",EDATE($D87,Milestones!$AA$118)&gt;=$R87),$U87,$T87)))=Milestones!$AB$118),TEXT(EDATE($D87,Milestones!$AA$118),"dd/mm/yy")&amp;" "&amp;Milestones!$AB$118&amp;" "&amp;Milestones!$AC$118&amp;";  ","")&amp;IF(AND(EDATE($D87,Milestones!$AA$119)&lt;=AsOfDate,IF($Q87=0,$W87,IF(AND($S87&lt;&gt;"",EDATE($D87,Milestones!$AA$119)&gt;=$S87),$V87,IF(AND($R87&lt;&gt;"",EDATE($D87,Milestones!$AA$119)&gt;=$R87),$U87,$T87)))=Milestones!$AB$119),TEXT(EDATE($D87,Milestones!$AA$119),"dd/mm/yy")&amp;" "&amp;Milestones!$AB$119&amp;" "&amp;Milestones!$AC$119&amp;";  ",""))</f>
        <v/>
      </c>
      <c r="M87" s="0" t="str">
        <f aca="false">IF(OR($A87="",$D87=""),"",IF(AND(EDATE($D87,Milestones!$AA$120)&lt;=AsOfDate,IF($Q87=0,$W87,IF(AND($S87&lt;&gt;"",EDATE($D87,Milestones!$AA$120)&gt;=$S87),$V87,IF(AND($R87&lt;&gt;"",EDATE($D87,Milestones!$AA$120)&gt;=$R87),$U87,$T87)))=Milestones!$AB$120),TEXT(EDATE($D87,Milestones!$AA$120),"dd/mm/yy")&amp;" "&amp;Milestones!$AB$120&amp;" "&amp;Milestones!$AC$120&amp;";  ","")&amp;IF(AND(EDATE($D87,Milestones!$AA$121)&lt;=AsOfDate,IF($Q87=0,$W87,IF(AND($S87&lt;&gt;"",EDATE($D87,Milestones!$AA$121)&gt;=$S87),$V87,IF(AND($R87&lt;&gt;"",EDATE($D87,Milestones!$AA$121)&gt;=$R87),$U87,$T87)))=Milestones!$AB$121),TEXT(EDATE($D87,Milestones!$AA$121),"dd/mm/yy")&amp;" "&amp;Milestones!$AB$121&amp;" "&amp;Milestones!$AC$121&amp;";  ","")&amp;IF(AND(EDATE($D87,Milestones!$AA$122)&lt;=AsOfDate,IF($Q87=0,$W87,IF(AND($S87&lt;&gt;"",EDATE($D87,Milestones!$AA$122)&gt;=$S87),$V87,IF(AND($R87&lt;&gt;"",EDATE($D87,Milestones!$AA$122)&gt;=$R87),$U87,$T87)))=Milestones!$AB$122),TEXT(EDATE($D87,Milestones!$AA$122),"dd/mm/yy")&amp;" "&amp;Milestones!$AB$122&amp;" "&amp;Milestones!$AC$122&amp;";  ","")&amp;IF(AND(EDATE($D87,Milestones!$AA$123)&lt;=AsOfDate,IF($Q87=0,$W87,IF(AND($S87&lt;&gt;"",EDATE($D87,Milestones!$AA$123)&gt;=$S87),$V87,IF(AND($R87&lt;&gt;"",EDATE($D87,Milestones!$AA$123)&gt;=$R87),$U87,$T87)))=Milestones!$AB$123),TEXT(EDATE($D87,Milestones!$AA$123),"dd/mm/yy")&amp;" "&amp;Milestones!$AB$123&amp;" "&amp;Milestones!$AC$123&amp;";  ","")&amp;IF(AND(EDATE($D87,Milestones!$AA$124)&lt;=AsOfDate,IF($Q87=0,$W87,IF(AND($S87&lt;&gt;"",EDATE($D87,Milestones!$AA$124)&gt;=$S87),$V87,IF(AND($R87&lt;&gt;"",EDATE($D87,Milestones!$AA$124)&gt;=$R87),$U87,$T87)))=Milestones!$AB$124),TEXT(EDATE($D87,Milestones!$AA$124),"dd/mm/yy")&amp;" "&amp;Milestones!$AB$124&amp;" "&amp;Milestones!$AC$124&amp;";  ","")&amp;IF(AND(EDATE($D87,Milestones!$AA$125)&lt;=AsOfDate,IF($Q87=0,$W87,IF(AND($S87&lt;&gt;"",EDATE($D87,Milestones!$AA$125)&gt;=$S87),$V87,IF(AND($R87&lt;&gt;"",EDATE($D87,Milestones!$AA$125)&gt;=$R87),$U87,$T87)))=Milestones!$AB$125),TEXT(EDATE($D87,Milestones!$AA$125),"dd/mm/yy")&amp;" "&amp;Milestones!$AB$125&amp;" "&amp;Milestones!$AC$125&amp;";  ","")&amp;IF(AND(EDATE($D87,Milestones!$AA$126)&lt;=AsOfDate,IF($Q87=0,$W87,IF(AND($S87&lt;&gt;"",EDATE($D87,Milestones!$AA$126)&gt;=$S87),$V87,IF(AND($R87&lt;&gt;"",EDATE($D87,Milestones!$AA$126)&gt;=$R87),$U87,$T87)))=Milestones!$AB$126),TEXT(EDATE($D87,Milestones!$AA$126),"dd/mm/yy")&amp;" "&amp;Milestones!$AB$126&amp;" "&amp;Milestones!$AC$126&amp;";  ","")&amp;IF(AND(EDATE($D87,Milestones!$AA$127)&lt;=AsOfDate,IF($Q87=0,$W87,IF(AND($S87&lt;&gt;"",EDATE($D87,Milestones!$AA$127)&gt;=$S87),$V87,IF(AND($R87&lt;&gt;"",EDATE($D87,Milestones!$AA$127)&gt;=$R87),$U87,$T87)))=Milestones!$AB$127),TEXT(EDATE($D87,Milestones!$AA$127),"dd/mm/yy")&amp;" "&amp;Milestones!$AB$127&amp;" "&amp;Milestones!$AC$127&amp;";  ","")&amp;IF(AND(EDATE($D87,Milestones!$AA$128)&lt;=AsOfDate,IF($Q87=0,$W87,IF(AND($S87&lt;&gt;"",EDATE($D87,Milestones!$AA$128)&gt;=$S87),$V87,IF(AND($R87&lt;&gt;"",EDATE($D87,Milestones!$AA$128)&gt;=$R87),$U87,$T87)))=Milestones!$AB$128),TEXT(EDATE($D87,Milestones!$AA$128),"dd/mm/yy")&amp;" "&amp;Milestones!$AB$128&amp;" "&amp;Milestones!$AC$128&amp;";  ","")&amp;IF(AND(EDATE($D87,Milestones!$AA$129)&lt;=AsOfDate,IF($Q87=0,$W87,IF(AND($S87&lt;&gt;"",EDATE($D87,Milestones!$AA$129)&gt;=$S87),$V87,IF(AND($R87&lt;&gt;"",EDATE($D87,Milestones!$AA$129)&gt;=$R87),$U87,$T87)))=Milestones!$AB$129),TEXT(EDATE($D87,Milestones!$AA$129),"dd/mm/yy")&amp;" "&amp;Milestones!$AB$129&amp;" "&amp;Milestones!$AC$129&amp;";  ","")&amp;IF(AND(EDATE($D87,Milestones!$AA$130)&lt;=AsOfDate,IF($Q87=0,$W87,IF(AND($S87&lt;&gt;"",EDATE($D87,Milestones!$AA$130)&gt;=$S87),$V87,IF(AND($R87&lt;&gt;"",EDATE($D87,Milestones!$AA$130)&gt;=$R87),$U87,$T87)))=Milestones!$AB$130),TEXT(EDATE($D87,Milestones!$AA$130),"dd/mm/yy")&amp;" "&amp;Milestones!$AB$130&amp;" "&amp;Milestones!$AC$130&amp;";  ","")&amp;IF(AND(EDATE($D87,Milestones!$AA$131)&lt;=AsOfDate,IF($Q87=0,$W87,IF(AND($S87&lt;&gt;"",EDATE($D87,Milestones!$AA$131)&gt;=$S87),$V87,IF(AND($R87&lt;&gt;"",EDATE($D87,Milestones!$AA$131)&gt;=$R87),$U87,$T87)))=Milestones!$AB$131),TEXT(EDATE($D87,Milestones!$AA$131),"dd/mm/yy")&amp;" "&amp;Milestones!$AB$131&amp;" "&amp;Milestones!$AC$131&amp;";  ","")&amp;IF(AND(EDATE($D87,Milestones!$AA$132)&lt;=AsOfDate,IF($Q87=0,$W87,IF(AND($S87&lt;&gt;"",EDATE($D87,Milestones!$AA$132)&gt;=$S87),$V87,IF(AND($R87&lt;&gt;"",EDATE($D87,Milestones!$AA$132)&gt;=$R87),$U87,$T87)))=Milestones!$AB$132),TEXT(EDATE($D87,Milestones!$AA$132),"dd/mm/yy")&amp;" "&amp;Milestones!$AB$132&amp;" "&amp;Milestones!$AC$132&amp;";  ","")&amp;IF(AND(EDATE($D87,Milestones!$AA$133)&lt;=AsOfDate,IF($Q87=0,$W87,IF(AND($S87&lt;&gt;"",EDATE($D87,Milestones!$AA$133)&gt;=$S87),$V87,IF(AND($R87&lt;&gt;"",EDATE($D87,Milestones!$AA$133)&gt;=$R87),$U87,$T87)))=Milestones!$AB$133),TEXT(EDATE($D87,Milestones!$AA$133),"dd/mm/yy")&amp;" "&amp;Milestones!$AB$133&amp;" "&amp;Milestones!$AC$133&amp;";  ","")&amp;IF(AND(EDATE($D87,Milestones!$AA$134)&lt;=AsOfDate,IF($Q87=0,$W87,IF(AND($S87&lt;&gt;"",EDATE($D87,Milestones!$AA$134)&gt;=$S87),$V87,IF(AND($R87&lt;&gt;"",EDATE($D87,Milestones!$AA$134)&gt;=$R87),$U87,$T87)))=Milestones!$AB$134),TEXT(EDATE($D87,Milestones!$AA$134),"dd/mm/yy")&amp;" "&amp;Milestones!$AB$134&amp;" "&amp;Milestones!$AC$134&amp;";  ","")&amp;IF(AND(EDATE($D87,Milestones!$AA$135)&lt;=AsOfDate,IF($Q87=0,$W87,IF(AND($S87&lt;&gt;"",EDATE($D87,Milestones!$AA$135)&gt;=$S87),$V87,IF(AND($R87&lt;&gt;"",EDATE($D87,Milestones!$AA$135)&gt;=$R87),$U87,$T87)))=Milestones!$AB$135),TEXT(EDATE($D87,Milestones!$AA$135),"dd/mm/yy")&amp;" "&amp;Milestones!$AB$135&amp;" "&amp;Milestones!$AC$135&amp;";  ","")&amp;IF(AND(EDATE($D87,Milestones!$AA$136)&lt;=AsOfDate,IF($Q87=0,$W87,IF(AND($S87&lt;&gt;"",EDATE($D87,Milestones!$AA$136)&gt;=$S87),$V87,IF(AND($R87&lt;&gt;"",EDATE($D87,Milestones!$AA$136)&gt;=$R87),$U87,$T87)))=Milestones!$AB$136),TEXT(EDATE($D87,Milestones!$AA$136),"dd/mm/yy")&amp;" "&amp;Milestones!$AB$136&amp;" "&amp;Milestones!$AC$136&amp;";  ","")&amp;IF(AND(EDATE($D87,Milestones!$AA$137)&lt;=AsOfDate,IF($Q87=0,$W87,IF(AND($S87&lt;&gt;"",EDATE($D87,Milestones!$AA$137)&gt;=$S87),$V87,IF(AND($R87&lt;&gt;"",EDATE($D87,Milestones!$AA$137)&gt;=$R87),$U87,$T87)))=Milestones!$AB$137),TEXT(EDATE($D87,Milestones!$AA$137),"dd/mm/yy")&amp;" "&amp;Milestones!$AB$137&amp;" "&amp;Milestones!$AC$137&amp;";  ","")&amp;IF(AND(EDATE($D87,Milestones!$AA$138)&lt;=AsOfDate,IF($Q87=0,$W87,IF(AND($S87&lt;&gt;"",EDATE($D87,Milestones!$AA$138)&gt;=$S87),$V87,IF(AND($R87&lt;&gt;"",EDATE($D87,Milestones!$AA$138)&gt;=$R87),$U87,$T87)))=Milestones!$AB$138),TEXT(EDATE($D87,Milestones!$AA$138),"dd/mm/yy")&amp;" "&amp;Milestones!$AB$138&amp;" "&amp;Milestones!$AC$138&amp;";  ","")&amp;IF(AND(EDATE($D87,Milestones!$AA$139)&lt;=AsOfDate,IF($Q87=0,$W87,IF(AND($S87&lt;&gt;"",EDATE($D87,Milestones!$AA$139)&gt;=$S87),$V87,IF(AND($R87&lt;&gt;"",EDATE($D87,Milestones!$AA$139)&gt;=$R87),$U87,$T87)))=Milestones!$AB$139),TEXT(EDATE($D87,Milestones!$AA$139),"dd/mm/yy")&amp;" "&amp;Milestones!$AB$139&amp;" "&amp;Milestones!$AC$139&amp;";  ",""))</f>
        <v/>
      </c>
      <c r="N87" s="0" t="str">
        <f aca="false">IF(OR($A87="",$D87=""),"",IF(AND(EDATE($D87,Milestones!$AA$140)&lt;=AsOfDate,IF($Q87=0,$W87,IF(AND($S87&lt;&gt;"",EDATE($D87,Milestones!$AA$140)&gt;=$S87),$V87,IF(AND($R87&lt;&gt;"",EDATE($D87,Milestones!$AA$140)&gt;=$R87),$U87,$T87)))=Milestones!$AB$140),TEXT(EDATE($D87,Milestones!$AA$140),"dd/mm/yy")&amp;" "&amp;Milestones!$AB$140&amp;" "&amp;Milestones!$AC$140&amp;";  ","")&amp;IF(AND(EDATE($D87,Milestones!$AA$141)&lt;=AsOfDate,IF($Q87=0,$W87,IF(AND($S87&lt;&gt;"",EDATE($D87,Milestones!$AA$141)&gt;=$S87),$V87,IF(AND($R87&lt;&gt;"",EDATE($D87,Milestones!$AA$141)&gt;=$R87),$U87,$T87)))=Milestones!$AB$141),TEXT(EDATE($D87,Milestones!$AA$141),"dd/mm/yy")&amp;" "&amp;Milestones!$AB$141&amp;" "&amp;Milestones!$AC$141&amp;";  ","")&amp;IF(AND(EDATE($D87,Milestones!$AA$142)&lt;=AsOfDate,IF($Q87=0,$W87,IF(AND($S87&lt;&gt;"",EDATE($D87,Milestones!$AA$142)&gt;=$S87),$V87,IF(AND($R87&lt;&gt;"",EDATE($D87,Milestones!$AA$142)&gt;=$R87),$U87,$T87)))=Milestones!$AB$142),TEXT(EDATE($D87,Milestones!$AA$142),"dd/mm/yy")&amp;" "&amp;Milestones!$AB$142&amp;" "&amp;Milestones!$AC$142&amp;";  ","")&amp;IF(AND(EDATE($D87,Milestones!$AA$143)&lt;=AsOfDate,IF($Q87=0,$W87,IF(AND($S87&lt;&gt;"",EDATE($D87,Milestones!$AA$143)&gt;=$S87),$V87,IF(AND($R87&lt;&gt;"",EDATE($D87,Milestones!$AA$143)&gt;=$R87),$U87,$T87)))=Milestones!$AB$143),TEXT(EDATE($D87,Milestones!$AA$143),"dd/mm/yy")&amp;" "&amp;Milestones!$AB$143&amp;" "&amp;Milestones!$AC$143&amp;";  ","")&amp;IF(AND(EDATE($D87,Milestones!$AA$144)&lt;=AsOfDate,IF($Q87=0,$W87,IF(AND($S87&lt;&gt;"",EDATE($D87,Milestones!$AA$144)&gt;=$S87),$V87,IF(AND($R87&lt;&gt;"",EDATE($D87,Milestones!$AA$144)&gt;=$R87),$U87,$T87)))=Milestones!$AB$144),TEXT(EDATE($D87,Milestones!$AA$144),"dd/mm/yy")&amp;" "&amp;Milestones!$AB$144&amp;" "&amp;Milestones!$AC$144&amp;";  ","")&amp;IF(AND(EDATE($D87,Milestones!$AA$145)&lt;=AsOfDate,IF($Q87=0,$W87,IF(AND($S87&lt;&gt;"",EDATE($D87,Milestones!$AA$145)&gt;=$S87),$V87,IF(AND($R87&lt;&gt;"",EDATE($D87,Milestones!$AA$145)&gt;=$R87),$U87,$T87)))=Milestones!$AB$145),TEXT(EDATE($D87,Milestones!$AA$145),"dd/mm/yy")&amp;" "&amp;Milestones!$AB$145&amp;" "&amp;Milestones!$AC$145&amp;";  ","")&amp;IF(AND(EDATE($D87,Milestones!$AA$146)&lt;=AsOfDate,IF($Q87=0,$W87,IF(AND($S87&lt;&gt;"",EDATE($D87,Milestones!$AA$146)&gt;=$S87),$V87,IF(AND($R87&lt;&gt;"",EDATE($D87,Milestones!$AA$146)&gt;=$R87),$U87,$T87)))=Milestones!$AB$146),TEXT(EDATE($D87,Milestones!$AA$146),"dd/mm/yy")&amp;" "&amp;Milestones!$AB$146&amp;" "&amp;Milestones!$AC$146&amp;";  ","")&amp;IF(AND(EDATE($D87,Milestones!$AA$147)&lt;=AsOfDate,IF($Q87=0,$W87,IF(AND($S87&lt;&gt;"",EDATE($D87,Milestones!$AA$147)&gt;=$S87),$V87,IF(AND($R87&lt;&gt;"",EDATE($D87,Milestones!$AA$147)&gt;=$R87),$U87,$T87)))=Milestones!$AB$147),TEXT(EDATE($D87,Milestones!$AA$147),"dd/mm/yy")&amp;" "&amp;Milestones!$AB$147&amp;" "&amp;Milestones!$AC$147&amp;";  ","")&amp;IF(AND(EDATE($D87,Milestones!$AA$148)&lt;=AsOfDate,IF($Q87=0,$W87,IF(AND($S87&lt;&gt;"",EDATE($D87,Milestones!$AA$148)&gt;=$S87),$V87,IF(AND($R87&lt;&gt;"",EDATE($D87,Milestones!$AA$148)&gt;=$R87),$U87,$T87)))=Milestones!$AB$148),TEXT(EDATE($D87,Milestones!$AA$148),"dd/mm/yy")&amp;" "&amp;Milestones!$AB$148&amp;" "&amp;Milestones!$AC$148&amp;";  ","")&amp;IF(AND(EDATE($D87,Milestones!$AA$149)&lt;=AsOfDate,IF($Q87=0,$W87,IF(AND($S87&lt;&gt;"",EDATE($D87,Milestones!$AA$149)&gt;=$S87),$V87,IF(AND($R87&lt;&gt;"",EDATE($D87,Milestones!$AA$149)&gt;=$R87),$U87,$T87)))=Milestones!$AB$149),TEXT(EDATE($D87,Milestones!$AA$149),"dd/mm/yy")&amp;" "&amp;Milestones!$AB$149&amp;" "&amp;Milestones!$AC$149&amp;";  ","")&amp;IF(AND(EDATE($D87,Milestones!$AA$150)&lt;=AsOfDate,IF($Q87=0,$W87,IF(AND($S87&lt;&gt;"",EDATE($D87,Milestones!$AA$150)&gt;=$S87),$V87,IF(AND($R87&lt;&gt;"",EDATE($D87,Milestones!$AA$150)&gt;=$R87),$U87,$T87)))=Milestones!$AB$150),TEXT(EDATE($D87,Milestones!$AA$150),"dd/mm/yy")&amp;" "&amp;Milestones!$AB$150&amp;" "&amp;Milestones!$AC$150&amp;";  ","")&amp;IF(AND(EDATE($D87,Milestones!$AA$151)&lt;=AsOfDate,IF($Q87=0,$W87,IF(AND($S87&lt;&gt;"",EDATE($D87,Milestones!$AA$151)&gt;=$S87),$V87,IF(AND($R87&lt;&gt;"",EDATE($D87,Milestones!$AA$151)&gt;=$R87),$U87,$T87)))=Milestones!$AB$151),TEXT(EDATE($D87,Milestones!$AA$151),"dd/mm/yy")&amp;" "&amp;Milestones!$AB$151&amp;" "&amp;Milestones!$AC$151&amp;";  ","")&amp;IF(AND(EDATE($D87,Milestones!$AA$152)&lt;=AsOfDate,IF($Q87=0,$W87,IF(AND($S87&lt;&gt;"",EDATE($D87,Milestones!$AA$152)&gt;=$S87),$V87,IF(AND($R87&lt;&gt;"",EDATE($D87,Milestones!$AA$152)&gt;=$R87),$U87,$T87)))=Milestones!$AB$152),TEXT(EDATE($D87,Milestones!$AA$152),"dd/mm/yy")&amp;" "&amp;Milestones!$AB$152&amp;" "&amp;Milestones!$AC$152&amp;";  ","")&amp;IF(AND(EDATE($D87,Milestones!$AA$153)&lt;=AsOfDate,IF($Q87=0,$W87,IF(AND($S87&lt;&gt;"",EDATE($D87,Milestones!$AA$153)&gt;=$S87),$V87,IF(AND($R87&lt;&gt;"",EDATE($D87,Milestones!$AA$153)&gt;=$R87),$U87,$T87)))=Milestones!$AB$153),TEXT(EDATE($D87,Milestones!$AA$153),"dd/mm/yy")&amp;" "&amp;Milestones!$AB$153&amp;" "&amp;Milestones!$AC$153&amp;";  ","")&amp;IF(AND(EDATE($D87,Milestones!$AA$154)&lt;=AsOfDate,IF($Q87=0,$W87,IF(AND($S87&lt;&gt;"",EDATE($D87,Milestones!$AA$154)&gt;=$S87),$V87,IF(AND($R87&lt;&gt;"",EDATE($D87,Milestones!$AA$154)&gt;=$R87),$U87,$T87)))=Milestones!$AB$154),TEXT(EDATE($D87,Milestones!$AA$154),"dd/mm/yy")&amp;" "&amp;Milestones!$AB$154&amp;" "&amp;Milestones!$AC$154&amp;";  ","")&amp;IF(AND(EDATE($D87,Milestones!$AA$155)&lt;=AsOfDate,IF($Q87=0,$W87,IF(AND($S87&lt;&gt;"",EDATE($D87,Milestones!$AA$155)&gt;=$S87),$V87,IF(AND($R87&lt;&gt;"",EDATE($D87,Milestones!$AA$155)&gt;=$R87),$U87,$T87)))=Milestones!$AB$155),TEXT(EDATE($D87,Milestones!$AA$155),"dd/mm/yy")&amp;" "&amp;Milestones!$AB$155&amp;" "&amp;Milestones!$AC$155&amp;";  ","")&amp;IF(AND(EDATE($D87,Milestones!$AA$156)&lt;=AsOfDate,IF($Q87=0,$W87,IF(AND($S87&lt;&gt;"",EDATE($D87,Milestones!$AA$156)&gt;=$S87),$V87,IF(AND($R87&lt;&gt;"",EDATE($D87,Milestones!$AA$156)&gt;=$R87),$U87,$T87)))=Milestones!$AB$156),TEXT(EDATE($D87,Milestones!$AA$156),"dd/mm/yy")&amp;" "&amp;Milestones!$AB$156&amp;" "&amp;Milestones!$AC$156&amp;";  ","")&amp;IF(AND(EDATE($D87,Milestones!$AA$157)&lt;=AsOfDate,IF($Q87=0,$W87,IF(AND($S87&lt;&gt;"",EDATE($D87,Milestones!$AA$157)&gt;=$S87),$V87,IF(AND($R87&lt;&gt;"",EDATE($D87,Milestones!$AA$157)&gt;=$R87),$U87,$T87)))=Milestones!$AB$157),TEXT(EDATE($D87,Milestones!$AA$157),"dd/mm/yy")&amp;" "&amp;Milestones!$AB$157&amp;" "&amp;Milestones!$AC$157&amp;";  ","")&amp;IF(AND(EDATE($D87,Milestones!$AA$158)&lt;=AsOfDate,IF($Q87=0,$W87,IF(AND($S87&lt;&gt;"",EDATE($D87,Milestones!$AA$158)&gt;=$S87),$V87,IF(AND($R87&lt;&gt;"",EDATE($D87,Milestones!$AA$158)&gt;=$R87),$U87,$T87)))=Milestones!$AB$158),TEXT(EDATE($D87,Milestones!$AA$158),"dd/mm/yy")&amp;" "&amp;Milestones!$AB$158&amp;" "&amp;Milestones!$AC$158&amp;";  ","")&amp;IF(AND(EDATE($D87,Milestones!$AA$159)&lt;=AsOfDate,IF($Q87=0,$W87,IF(AND($S87&lt;&gt;"",EDATE($D87,Milestones!$AA$159)&gt;=$S87),$V87,IF(AND($R87&lt;&gt;"",EDATE($D87,Milestones!$AA$159)&gt;=$R87),$U87,$T87)))=Milestones!$AB$159),TEXT(EDATE($D87,Milestones!$AA$159),"dd/mm/yy")&amp;" "&amp;Milestones!$AB$159&amp;" "&amp;Milestones!$AC$159&amp;";  ",""))</f>
        <v/>
      </c>
      <c r="O87" s="0" t="str">
        <f aca="false">IF(OR($A87="",$D87=""),"",IF(AND(EDATE($D87,Milestones!$AA$160)&lt;=AsOfDate,IF($Q87=0,$W87,IF(AND($S87&lt;&gt;"",EDATE($D87,Milestones!$AA$160)&gt;=$S87),$V87,IF(AND($R87&lt;&gt;"",EDATE($D87,Milestones!$AA$160)&gt;=$R87),$U87,$T87)))=Milestones!$AB$160),TEXT(EDATE($D87,Milestones!$AA$160),"dd/mm/yy")&amp;" "&amp;Milestones!$AB$160&amp;" "&amp;Milestones!$AC$160&amp;";  ","")&amp;IF(AND(EDATE($D87,Milestones!$AA$161)&lt;=AsOfDate,IF($Q87=0,$W87,IF(AND($S87&lt;&gt;"",EDATE($D87,Milestones!$AA$161)&gt;=$S87),$V87,IF(AND($R87&lt;&gt;"",EDATE($D87,Milestones!$AA$161)&gt;=$R87),$U87,$T87)))=Milestones!$AB$161),TEXT(EDATE($D87,Milestones!$AA$161),"dd/mm/yy")&amp;" "&amp;Milestones!$AB$161&amp;" "&amp;Milestones!$AC$161&amp;";  ","")&amp;IF(AND(EDATE($D87,Milestones!$AA$162)&lt;=AsOfDate,IF($Q87=0,$W87,IF(AND($S87&lt;&gt;"",EDATE($D87,Milestones!$AA$162)&gt;=$S87),$V87,IF(AND($R87&lt;&gt;"",EDATE($D87,Milestones!$AA$162)&gt;=$R87),$U87,$T87)))=Milestones!$AB$162),TEXT(EDATE($D87,Milestones!$AA$162),"dd/mm/yy")&amp;" "&amp;Milestones!$AB$162&amp;" "&amp;Milestones!$AC$162&amp;";  ","")&amp;IF(AND(EDATE($D87,Milestones!$AA$163)&lt;=AsOfDate,IF($Q87=0,$W87,IF(AND($S87&lt;&gt;"",EDATE($D87,Milestones!$AA$163)&gt;=$S87),$V87,IF(AND($R87&lt;&gt;"",EDATE($D87,Milestones!$AA$163)&gt;=$R87),$U87,$T87)))=Milestones!$AB$163),TEXT(EDATE($D87,Milestones!$AA$163),"dd/mm/yy")&amp;" "&amp;Milestones!$AB$163&amp;" "&amp;Milestones!$AC$163&amp;";  ","")&amp;IF(AND(EDATE($D87,Milestones!$AA$164)&lt;=AsOfDate,IF($Q87=0,$W87,IF(AND($S87&lt;&gt;"",EDATE($D87,Milestones!$AA$164)&gt;=$S87),$V87,IF(AND($R87&lt;&gt;"",EDATE($D87,Milestones!$AA$164)&gt;=$R87),$U87,$T87)))=Milestones!$AB$164),TEXT(EDATE($D87,Milestones!$AA$164),"dd/mm/yy")&amp;" "&amp;Milestones!$AB$164&amp;" "&amp;Milestones!$AC$164&amp;";  ","")&amp;IF(AND(EDATE($D87,Milestones!$AA$165)&lt;=AsOfDate,IF($Q87=0,$W87,IF(AND($S87&lt;&gt;"",EDATE($D87,Milestones!$AA$165)&gt;=$S87),$V87,IF(AND($R87&lt;&gt;"",EDATE($D87,Milestones!$AA$165)&gt;=$R87),$U87,$T87)))=Milestones!$AB$165),TEXT(EDATE($D87,Milestones!$AA$165),"dd/mm/yy")&amp;" "&amp;Milestones!$AB$165&amp;" "&amp;Milestones!$AC$165&amp;";  ","")&amp;IF(AND(EDATE($D87,Milestones!$AA$166)&lt;=AsOfDate,IF($Q87=0,$W87,IF(AND($S87&lt;&gt;"",EDATE($D87,Milestones!$AA$166)&gt;=$S87),$V87,IF(AND($R87&lt;&gt;"",EDATE($D87,Milestones!$AA$166)&gt;=$R87),$U87,$T87)))=Milestones!$AB$166),TEXT(EDATE($D87,Milestones!$AA$166),"dd/mm/yy")&amp;" "&amp;Milestones!$AB$166&amp;" "&amp;Milestones!$AC$166&amp;";  ","")&amp;IF(AND(EDATE($D87,Milestones!$AA$167)&lt;=AsOfDate,IF($Q87=0,$W87,IF(AND($S87&lt;&gt;"",EDATE($D87,Milestones!$AA$167)&gt;=$S87),$V87,IF(AND($R87&lt;&gt;"",EDATE($D87,Milestones!$AA$167)&gt;=$R87),$U87,$T87)))=Milestones!$AB$167),TEXT(EDATE($D87,Milestones!$AA$167),"dd/mm/yy")&amp;" "&amp;Milestones!$AB$167&amp;" "&amp;Milestones!$AC$167&amp;";  ","")&amp;IF(AND(EDATE($D87,Milestones!$AA$168)&lt;=AsOfDate,IF($Q87=0,$W87,IF(AND($S87&lt;&gt;"",EDATE($D87,Milestones!$AA$168)&gt;=$S87),$V87,IF(AND($R87&lt;&gt;"",EDATE($D87,Milestones!$AA$168)&gt;=$R87),$U87,$T87)))=Milestones!$AB$168),TEXT(EDATE($D87,Milestones!$AA$168),"dd/mm/yy")&amp;" "&amp;Milestones!$AB$168&amp;" "&amp;Milestones!$AC$168&amp;";  ","")&amp;IF(AND(EDATE($D87,Milestones!$AA$169)&lt;=AsOfDate,IF($Q87=0,$W87,IF(AND($S87&lt;&gt;"",EDATE($D87,Milestones!$AA$169)&gt;=$S87),$V87,IF(AND($R87&lt;&gt;"",EDATE($D87,Milestones!$AA$169)&gt;=$R87),$U87,$T87)))=Milestones!$AB$169),TEXT(EDATE($D87,Milestones!$AA$169),"dd/mm/yy")&amp;" "&amp;Milestones!$AB$169&amp;" "&amp;Milestones!$AC$169&amp;";  ","")&amp;IF(AND(EDATE($D87,Milestones!$AA$170)&lt;=AsOfDate,IF($Q87=0,$W87,IF(AND($S87&lt;&gt;"",EDATE($D87,Milestones!$AA$170)&gt;=$S87),$V87,IF(AND($R87&lt;&gt;"",EDATE($D87,Milestones!$AA$170)&gt;=$R87),$U87,$T87)))=Milestones!$AB$170),TEXT(EDATE($D87,Milestones!$AA$170),"dd/mm/yy")&amp;" "&amp;Milestones!$AB$170&amp;" "&amp;Milestones!$AC$170&amp;";  ","")&amp;IF(AND(EDATE($D87,Milestones!$AA$171)&lt;=AsOfDate,IF($Q87=0,$W87,IF(AND($S87&lt;&gt;"",EDATE($D87,Milestones!$AA$171)&gt;=$S87),$V87,IF(AND($R87&lt;&gt;"",EDATE($D87,Milestones!$AA$171)&gt;=$R87),$U87,$T87)))=Milestones!$AB$171),TEXT(EDATE($D87,Milestones!$AA$171),"dd/mm/yy")&amp;" "&amp;Milestones!$AB$171&amp;" "&amp;Milestones!$AC$171&amp;";  ","")&amp;IF(AND(EDATE($D87,Milestones!$AA$172)&lt;=AsOfDate,IF($Q87=0,$W87,IF(AND($S87&lt;&gt;"",EDATE($D87,Milestones!$AA$172)&gt;=$S87),$V87,IF(AND($R87&lt;&gt;"",EDATE($D87,Milestones!$AA$172)&gt;=$R87),$U87,$T87)))=Milestones!$AB$172),TEXT(EDATE($D87,Milestones!$AA$172),"dd/mm/yy")&amp;" "&amp;Milestones!$AB$172&amp;" "&amp;Milestones!$AC$172&amp;";  ","")&amp;IF(AND(EDATE($D87,Milestones!$AA$173)&lt;=AsOfDate,IF($Q87=0,$W87,IF(AND($S87&lt;&gt;"",EDATE($D87,Milestones!$AA$173)&gt;=$S87),$V87,IF(AND($R87&lt;&gt;"",EDATE($D87,Milestones!$AA$173)&gt;=$R87),$U87,$T87)))=Milestones!$AB$173),TEXT(EDATE($D87,Milestones!$AA$173),"dd/mm/yy")&amp;" "&amp;Milestones!$AB$173&amp;" "&amp;Milestones!$AC$173&amp;";  ","")&amp;IF(AND(EDATE($D87,Milestones!$AA$174)&lt;=AsOfDate,IF($Q87=0,$W87,IF(AND($S87&lt;&gt;"",EDATE($D87,Milestones!$AA$174)&gt;=$S87),$V87,IF(AND($R87&lt;&gt;"",EDATE($D87,Milestones!$AA$174)&gt;=$R87),$U87,$T87)))=Milestones!$AB$174),TEXT(EDATE($D87,Milestones!$AA$174),"dd/mm/yy")&amp;" "&amp;Milestones!$AB$174&amp;" "&amp;Milestones!$AC$174&amp;";  ","")&amp;IF(AND(EDATE($D87,Milestones!$AA$175)&lt;=AsOfDate,IF($Q87=0,$W87,IF(AND($S87&lt;&gt;"",EDATE($D87,Milestones!$AA$175)&gt;=$S87),$V87,IF(AND($R87&lt;&gt;"",EDATE($D87,Milestones!$AA$175)&gt;=$R87),$U87,$T87)))=Milestones!$AB$175),TEXT(EDATE($D87,Milestones!$AA$175),"dd/mm/yy")&amp;" "&amp;Milestones!$AB$175&amp;" "&amp;Milestones!$AC$175&amp;";  ","")&amp;IF(AND(EDATE($D87,Milestones!$AA$176)&lt;=AsOfDate,IF($Q87=0,$W87,IF(AND($S87&lt;&gt;"",EDATE($D87,Milestones!$AA$176)&gt;=$S87),$V87,IF(AND($R87&lt;&gt;"",EDATE($D87,Milestones!$AA$176)&gt;=$R87),$U87,$T87)))=Milestones!$AB$176),TEXT(EDATE($D87,Milestones!$AA$176),"dd/mm/yy")&amp;" "&amp;Milestones!$AB$176&amp;" "&amp;Milestones!$AC$176&amp;";  ","")&amp;IF(AND(EDATE($D87,Milestones!$AA$177)&lt;=AsOfDate,IF($Q87=0,$W87,IF(AND($S87&lt;&gt;"",EDATE($D87,Milestones!$AA$177)&gt;=$S87),$V87,IF(AND($R87&lt;&gt;"",EDATE($D87,Milestones!$AA$177)&gt;=$R87),$U87,$T87)))=Milestones!$AB$177),TEXT(EDATE($D87,Milestones!$AA$177),"dd/mm/yy")&amp;" "&amp;Milestones!$AB$177&amp;" "&amp;Milestones!$AC$177&amp;";  ","")&amp;IF(AND(EDATE($D87,Milestones!$AA$178)&lt;=AsOfDate,IF($Q87=0,$W87,IF(AND($S87&lt;&gt;"",EDATE($D87,Milestones!$AA$178)&gt;=$S87),$V87,IF(AND($R87&lt;&gt;"",EDATE($D87,Milestones!$AA$178)&gt;=$R87),$U87,$T87)))=Milestones!$AB$178),TEXT(EDATE($D87,Milestones!$AA$178),"dd/mm/yy")&amp;" "&amp;Milestones!$AB$178&amp;" "&amp;Milestones!$AC$178&amp;";  ","")&amp;IF(AND(EDATE($D87,Milestones!$AA$179)&lt;=AsOfDate,IF($Q87=0,$W87,IF(AND($S87&lt;&gt;"",EDATE($D87,Milestones!$AA$179)&gt;=$S87),$V87,IF(AND($R87&lt;&gt;"",EDATE($D87,Milestones!$AA$179)&gt;=$R87),$U87,$T87)))=Milestones!$AB$179),TEXT(EDATE($D87,Milestones!$AA$179),"dd/mm/yy")&amp;" "&amp;Milestones!$AB$179&amp;" "&amp;Milestones!$AC$179&amp;";  ",""))</f>
        <v/>
      </c>
      <c r="P87" s="0" t="str">
        <f aca="false">IF(OR($A87="",$D87=""),"",IF(AND(EDATE($D87,Milestones!$AA$180)&lt;=AsOfDate,IF($Q87=0,$W87,IF(AND($S87&lt;&gt;"",EDATE($D87,Milestones!$AA$180)&gt;=$S87),$V87,IF(AND($R87&lt;&gt;"",EDATE($D87,Milestones!$AA$180)&gt;=$R87),$U87,$T87)))=Milestones!$AB$180),TEXT(EDATE($D87,Milestones!$AA$180),"dd/mm/yy")&amp;" "&amp;Milestones!$AB$180&amp;" "&amp;Milestones!$AC$180&amp;";  ","")&amp;IF(AND(EDATE($D87,Milestones!$AA$181)&lt;=AsOfDate,IF($Q87=0,$W87,IF(AND($S87&lt;&gt;"",EDATE($D87,Milestones!$AA$181)&gt;=$S87),$V87,IF(AND($R87&lt;&gt;"",EDATE($D87,Milestones!$AA$181)&gt;=$R87),$U87,$T87)))=Milestones!$AB$181),TEXT(EDATE($D87,Milestones!$AA$181),"dd/mm/yy")&amp;" "&amp;Milestones!$AB$181&amp;" "&amp;Milestones!$AC$181&amp;";  ","")&amp;IF(AND(EDATE($D87,Milestones!$AA$182)&lt;=AsOfDate,IF($Q87=0,$W87,IF(AND($S87&lt;&gt;"",EDATE($D87,Milestones!$AA$182)&gt;=$S87),$V87,IF(AND($R87&lt;&gt;"",EDATE($D87,Milestones!$AA$182)&gt;=$R87),$U87,$T87)))=Milestones!$AB$182),TEXT(EDATE($D87,Milestones!$AA$182),"dd/mm/yy")&amp;" "&amp;Milestones!$AB$182&amp;" "&amp;Milestones!$AC$182&amp;";  ","")&amp;IF(AND(EDATE($D87,Milestones!$AA$183)&lt;=AsOfDate,IF($Q87=0,$W87,IF(AND($S87&lt;&gt;"",EDATE($D87,Milestones!$AA$183)&gt;=$S87),$V87,IF(AND($R87&lt;&gt;"",EDATE($D87,Milestones!$AA$183)&gt;=$R87),$U87,$T87)))=Milestones!$AB$183),TEXT(EDATE($D87,Milestones!$AA$183),"dd/mm/yy")&amp;" "&amp;Milestones!$AB$183&amp;" "&amp;Milestones!$AC$183&amp;";  ","")&amp;IF(AND(EDATE($D87,Milestones!$AA$184)&lt;=AsOfDate,IF($Q87=0,$W87,IF(AND($S87&lt;&gt;"",EDATE($D87,Milestones!$AA$184)&gt;=$S87),$V87,IF(AND($R87&lt;&gt;"",EDATE($D87,Milestones!$AA$184)&gt;=$R87),$U87,$T87)))=Milestones!$AB$184),TEXT(EDATE($D87,Milestones!$AA$184),"dd/mm/yy")&amp;" "&amp;Milestones!$AB$184&amp;" "&amp;Milestones!$AC$184&amp;";  ","")&amp;IF(AND(EDATE($D87,Milestones!$AA$185)&lt;=AsOfDate,IF($Q87=0,$W87,IF(AND($S87&lt;&gt;"",EDATE($D87,Milestones!$AA$185)&gt;=$S87),$V87,IF(AND($R87&lt;&gt;"",EDATE($D87,Milestones!$AA$185)&gt;=$R87),$U87,$T87)))=Milestones!$AB$185),TEXT(EDATE($D87,Milestones!$AA$185),"dd/mm/yy")&amp;" "&amp;Milestones!$AB$185&amp;" "&amp;Milestones!$AC$185&amp;";  ","")&amp;IF(AND(EDATE($D87,Milestones!$AA$186)&lt;=AsOfDate,IF($Q87=0,$W87,IF(AND($S87&lt;&gt;"",EDATE($D87,Milestones!$AA$186)&gt;=$S87),$V87,IF(AND($R87&lt;&gt;"",EDATE($D87,Milestones!$AA$186)&gt;=$R87),$U87,$T87)))=Milestones!$AB$186),TEXT(EDATE($D87,Milestones!$AA$186),"dd/mm/yy")&amp;" "&amp;Milestones!$AB$186&amp;" "&amp;Milestones!$AC$186&amp;";  ","")&amp;IF(AND(EDATE($D87,Milestones!$AA$187)&lt;=AsOfDate,IF($Q87=0,$W87,IF(AND($S87&lt;&gt;"",EDATE($D87,Milestones!$AA$187)&gt;=$S87),$V87,IF(AND($R87&lt;&gt;"",EDATE($D87,Milestones!$AA$187)&gt;=$R87),$U87,$T87)))=Milestones!$AB$187),TEXT(EDATE($D87,Milestones!$AA$187),"dd/mm/yy")&amp;" "&amp;Milestones!$AB$187&amp;" "&amp;Milestones!$AC$187&amp;";  ","")&amp;IF(AND(EDATE($D87,Milestones!$AA$188)&lt;=AsOfDate,IF($Q87=0,$W87,IF(AND($S87&lt;&gt;"",EDATE($D87,Milestones!$AA$188)&gt;=$S87),$V87,IF(AND($R87&lt;&gt;"",EDATE($D87,Milestones!$AA$188)&gt;=$R87),$U87,$T87)))=Milestones!$AB$188),TEXT(EDATE($D87,Milestones!$AA$188),"dd/mm/yy")&amp;" "&amp;Milestones!$AB$188&amp;" "&amp;Milestones!$AC$188&amp;";  ","")&amp;IF(AND(EDATE($D87,Milestones!$AA$189)&lt;=AsOfDate,IF($Q87=0,$W87,IF(AND($S87&lt;&gt;"",EDATE($D87,Milestones!$AA$189)&gt;=$S87),$V87,IF(AND($R87&lt;&gt;"",EDATE($D87,Milestones!$AA$189)&gt;=$R87),$U87,$T87)))=Milestones!$AB$189),TEXT(EDATE($D87,Milestones!$AA$189),"dd/mm/yy")&amp;" "&amp;Milestones!$AB$189&amp;" "&amp;Milestones!$AC$189&amp;";  ","")&amp;IF(AND(EDATE($D87,Milestones!$AA$190)&lt;=AsOfDate,IF($Q87=0,$W87,IF(AND($S87&lt;&gt;"",EDATE($D87,Milestones!$AA$190)&gt;=$S87),$V87,IF(AND($R87&lt;&gt;"",EDATE($D87,Milestones!$AA$190)&gt;=$R87),$U87,$T87)))=Milestones!$AB$190),TEXT(EDATE($D87,Milestones!$AA$190),"dd/mm/yy")&amp;" "&amp;Milestones!$AB$190&amp;" "&amp;Milestones!$AC$190&amp;";  ","")&amp;IF(AND(EDATE($D87,Milestones!$AA$191)&lt;=AsOfDate,IF($Q87=0,$W87,IF(AND($S87&lt;&gt;"",EDATE($D87,Milestones!$AA$191)&gt;=$S87),$V87,IF(AND($R87&lt;&gt;"",EDATE($D87,Milestones!$AA$191)&gt;=$R87),$U87,$T87)))=Milestones!$AB$191),TEXT(EDATE($D87,Milestones!$AA$191),"dd/mm/yy")&amp;" "&amp;Milestones!$AB$191&amp;" "&amp;Milestones!$AC$191&amp;";  ","")&amp;IF(AND(EDATE($D87,Milestones!$AA$192)&lt;=AsOfDate,IF($Q87=0,$W87,IF(AND($S87&lt;&gt;"",EDATE($D87,Milestones!$AA$192)&gt;=$S87),$V87,IF(AND($R87&lt;&gt;"",EDATE($D87,Milestones!$AA$192)&gt;=$R87),$U87,$T87)))=Milestones!$AB$192),TEXT(EDATE($D87,Milestones!$AA$192),"dd/mm/yy")&amp;" "&amp;Milestones!$AB$192&amp;" "&amp;Milestones!$AC$192&amp;";  ","")&amp;IF(AND(EDATE($D87,Milestones!$AA$193)&lt;=AsOfDate,IF($Q87=0,$W87,IF(AND($S87&lt;&gt;"",EDATE($D87,Milestones!$AA$193)&gt;=$S87),$V87,IF(AND($R87&lt;&gt;"",EDATE($D87,Milestones!$AA$193)&gt;=$R87),$U87,$T87)))=Milestones!$AB$193),TEXT(EDATE($D87,Milestones!$AA$193),"dd/mm/yy")&amp;" "&amp;Milestones!$AB$193&amp;" "&amp;Milestones!$AC$193&amp;";  ","")&amp;IF(AND(EDATE($D87,Milestones!$AA$194)&lt;=AsOfDate,IF($Q87=0,$W87,IF(AND($S87&lt;&gt;"",EDATE($D87,Milestones!$AA$194)&gt;=$S87),$V87,IF(AND($R87&lt;&gt;"",EDATE($D87,Milestones!$AA$194)&gt;=$R87),$U87,$T87)))=Milestones!$AB$194),TEXT(EDATE($D87,Milestones!$AA$194),"dd/mm/yy")&amp;" "&amp;Milestones!$AB$194&amp;" "&amp;Milestones!$AC$194&amp;";  ","")&amp;IF(AND(EDATE($D87,Milestones!$AA$195)&lt;=AsOfDate,IF($Q87=0,$W87,IF(AND($S87&lt;&gt;"",EDATE($D87,Milestones!$AA$195)&gt;=$S87),$V87,IF(AND($R87&lt;&gt;"",EDATE($D87,Milestones!$AA$195)&gt;=$R87),$U87,$T87)))=Milestones!$AB$195),TEXT(EDATE($D87,Milestones!$AA$195),"dd/mm/yy")&amp;" "&amp;Milestones!$AB$195&amp;" "&amp;Milestones!$AC$195&amp;";  ","")&amp;IF(AND(EDATE($D87,Milestones!$AA$196)&lt;=AsOfDate,IF($Q87=0,$W87,IF(AND($S87&lt;&gt;"",EDATE($D87,Milestones!$AA$196)&gt;=$S87),$V87,IF(AND($R87&lt;&gt;"",EDATE($D87,Milestones!$AA$196)&gt;=$R87),$U87,$T87)))=Milestones!$AB$196),TEXT(EDATE($D87,Milestones!$AA$196),"dd/mm/yy")&amp;" "&amp;Milestones!$AB$196&amp;" "&amp;Milestones!$AC$196&amp;";  ","")&amp;IF(AND(EDATE($D87,Milestones!$AA$197)&lt;=AsOfDate,IF($Q87=0,$W87,IF(AND($S87&lt;&gt;"",EDATE($D87,Milestones!$AA$197)&gt;=$S87),$V87,IF(AND($R87&lt;&gt;"",EDATE($D87,Milestones!$AA$197)&gt;=$R87),$U87,$T87)))=Milestones!$AB$197),TEXT(EDATE($D87,Milestones!$AA$197),"dd/mm/yy")&amp;" "&amp;Milestones!$AB$197&amp;" "&amp;Milestones!$AC$197&amp;";  ","")&amp;IF(AND(EDATE($D87,Milestones!$AA$198)&lt;=AsOfDate,IF($Q87=0,$W87,IF(AND($S87&lt;&gt;"",EDATE($D87,Milestones!$AA$198)&gt;=$S87),$V87,IF(AND($R87&lt;&gt;"",EDATE($D87,Milestones!$AA$198)&gt;=$R87),$U87,$T87)))=Milestones!$AB$198),TEXT(EDATE($D87,Milestones!$AA$198),"dd/mm/yy")&amp;" "&amp;Milestones!$AB$198&amp;" "&amp;Milestones!$AC$198&amp;";  ","")&amp;IF(AND(EDATE($D87,Milestones!$AA$199)&lt;=AsOfDate,IF($Q87=0,$W87,IF(AND($S87&lt;&gt;"",EDATE($D87,Milestones!$AA$199)&gt;=$S87),$V87,IF(AND($R87&lt;&gt;"",EDATE($D87,Milestones!$AA$199)&gt;=$R87),$U87,$T87)))=Milestones!$AB$199),TEXT(EDATE($D87,Milestones!$AA$199),"dd/mm/yy")&amp;" "&amp;Milestones!$AB$199&amp;" "&amp;Milestones!$AC$199&amp;";  ",""))</f>
        <v/>
      </c>
      <c r="Q87" s="0" t="str">
        <f aca="false">IF(Staff!$A87="","",Staff!$AG87)</f>
        <v/>
      </c>
      <c r="R87" s="0" t="str">
        <f aca="false">IF(Staff!$A87="","",Staff!$AI87)</f>
        <v/>
      </c>
      <c r="S87" s="0" t="str">
        <f aca="false">IF(Staff!$A87="","",Staff!$AJ87)</f>
        <v/>
      </c>
      <c r="T87" s="0" t="str">
        <f aca="false">IF(Staff!$A87="","",Staff!$AN87)</f>
        <v/>
      </c>
      <c r="U87" s="0" t="str">
        <f aca="false">IF(Staff!$A87="","",Staff!$AO87)</f>
        <v/>
      </c>
      <c r="V87" s="0" t="str">
        <f aca="false">IF(Staff!$A87="","",Staff!$AP87)</f>
        <v/>
      </c>
      <c r="W87" s="0" t="str">
        <f aca="false">IF(Staff!$A87="","",Staff!$AQ87)</f>
        <v/>
      </c>
    </row>
    <row r="88" customFormat="false" ht="15" hidden="false" customHeight="false" outlineLevel="0" collapsed="false">
      <c r="A88" s="13" t="str">
        <f aca="false">IF(Staff!$A88="","",Staff!$A88)</f>
        <v/>
      </c>
      <c r="B88" s="13" t="str">
        <f aca="false">IF(Staff!$A88="","",Staff!$B88)</f>
        <v/>
      </c>
      <c r="C88" s="13" t="str">
        <f aca="false">IF(Staff!$A88="","",Staff!$C88)</f>
        <v/>
      </c>
      <c r="D88" s="11" t="str">
        <f aca="false">IF(Staff!$A88="","",Staff!$AF88)</f>
        <v/>
      </c>
      <c r="E88" s="13" t="str">
        <f aca="false">IF(Staff!$A88="","",Staff!$O88)</f>
        <v/>
      </c>
      <c r="F88" s="13" t="str">
        <f aca="false">IF(E88="","",E88*HoursPerDay)</f>
        <v/>
      </c>
      <c r="G88" s="26" t="str">
        <f aca="false">IF($A88="","",H88&amp;I88&amp;J88&amp;K88&amp;L88&amp;M88&amp;N88&amp;O88&amp;P88)</f>
        <v/>
      </c>
      <c r="H88" s="0" t="str">
        <f aca="false">IF(OR($A88="",$D88=""),"",IF(AND(EDATE($D88,Milestones!$AA$20)&lt;=AsOfDate,IF($Q88=0,$W88,IF(AND($S88&lt;&gt;"",EDATE($D88,Milestones!$AA$20)&gt;=$S88),$V88,IF(AND($R88&lt;&gt;"",EDATE($D88,Milestones!$AA$20)&gt;=$R88),$U88,$T88)))=Milestones!$AB$20),TEXT(EDATE($D88,Milestones!$AA$20),"dd/mm/yy")&amp;" "&amp;Milestones!$AB$20&amp;" "&amp;Milestones!$AC$20&amp;";  ","")&amp;IF(AND(EDATE($D88,Milestones!$AA$21)&lt;=AsOfDate,IF($Q88=0,$W88,IF(AND($S88&lt;&gt;"",EDATE($D88,Milestones!$AA$21)&gt;=$S88),$V88,IF(AND($R88&lt;&gt;"",EDATE($D88,Milestones!$AA$21)&gt;=$R88),$U88,$T88)))=Milestones!$AB$21),TEXT(EDATE($D88,Milestones!$AA$21),"dd/mm/yy")&amp;" "&amp;Milestones!$AB$21&amp;" "&amp;Milestones!$AC$21&amp;";  ","")&amp;IF(AND(EDATE($D88,Milestones!$AA$22)&lt;=AsOfDate,IF($Q88=0,$W88,IF(AND($S88&lt;&gt;"",EDATE($D88,Milestones!$AA$22)&gt;=$S88),$V88,IF(AND($R88&lt;&gt;"",EDATE($D88,Milestones!$AA$22)&gt;=$R88),$U88,$T88)))=Milestones!$AB$22),TEXT(EDATE($D88,Milestones!$AA$22),"dd/mm/yy")&amp;" "&amp;Milestones!$AB$22&amp;" "&amp;Milestones!$AC$22&amp;";  ","")&amp;IF(AND(EDATE($D88,Milestones!$AA$23)&lt;=AsOfDate,IF($Q88=0,$W88,IF(AND($S88&lt;&gt;"",EDATE($D88,Milestones!$AA$23)&gt;=$S88),$V88,IF(AND($R88&lt;&gt;"",EDATE($D88,Milestones!$AA$23)&gt;=$R88),$U88,$T88)))=Milestones!$AB$23),TEXT(EDATE($D88,Milestones!$AA$23),"dd/mm/yy")&amp;" "&amp;Milestones!$AB$23&amp;" "&amp;Milestones!$AC$23&amp;";  ","")&amp;IF(AND(EDATE($D88,Milestones!$AA$24)&lt;=AsOfDate,IF($Q88=0,$W88,IF(AND($S88&lt;&gt;"",EDATE($D88,Milestones!$AA$24)&gt;=$S88),$V88,IF(AND($R88&lt;&gt;"",EDATE($D88,Milestones!$AA$24)&gt;=$R88),$U88,$T88)))=Milestones!$AB$24),TEXT(EDATE($D88,Milestones!$AA$24),"dd/mm/yy")&amp;" "&amp;Milestones!$AB$24&amp;" "&amp;Milestones!$AC$24&amp;";  ","")&amp;IF(AND(EDATE($D88,Milestones!$AA$25)&lt;=AsOfDate,IF($Q88=0,$W88,IF(AND($S88&lt;&gt;"",EDATE($D88,Milestones!$AA$25)&gt;=$S88),$V88,IF(AND($R88&lt;&gt;"",EDATE($D88,Milestones!$AA$25)&gt;=$R88),$U88,$T88)))=Milestones!$AB$25),TEXT(EDATE($D88,Milestones!$AA$25),"dd/mm/yy")&amp;" "&amp;Milestones!$AB$25&amp;" "&amp;Milestones!$AC$25&amp;";  ","")&amp;IF(AND(EDATE($D88,Milestones!$AA$26)&lt;=AsOfDate,IF($Q88=0,$W88,IF(AND($S88&lt;&gt;"",EDATE($D88,Milestones!$AA$26)&gt;=$S88),$V88,IF(AND($R88&lt;&gt;"",EDATE($D88,Milestones!$AA$26)&gt;=$R88),$U88,$T88)))=Milestones!$AB$26),TEXT(EDATE($D88,Milestones!$AA$26),"dd/mm/yy")&amp;" "&amp;Milestones!$AB$26&amp;" "&amp;Milestones!$AC$26&amp;";  ","")&amp;IF(AND(EDATE($D88,Milestones!$AA$27)&lt;=AsOfDate,IF($Q88=0,$W88,IF(AND($S88&lt;&gt;"",EDATE($D88,Milestones!$AA$27)&gt;=$S88),$V88,IF(AND($R88&lt;&gt;"",EDATE($D88,Milestones!$AA$27)&gt;=$R88),$U88,$T88)))=Milestones!$AB$27),TEXT(EDATE($D88,Milestones!$AA$27),"dd/mm/yy")&amp;" "&amp;Milestones!$AB$27&amp;" "&amp;Milestones!$AC$27&amp;";  ","")&amp;IF(AND(EDATE($D88,Milestones!$AA$28)&lt;=AsOfDate,IF($Q88=0,$W88,IF(AND($S88&lt;&gt;"",EDATE($D88,Milestones!$AA$28)&gt;=$S88),$V88,IF(AND($R88&lt;&gt;"",EDATE($D88,Milestones!$AA$28)&gt;=$R88),$U88,$T88)))=Milestones!$AB$28),TEXT(EDATE($D88,Milestones!$AA$28),"dd/mm/yy")&amp;" "&amp;Milestones!$AB$28&amp;" "&amp;Milestones!$AC$28&amp;";  ","")&amp;IF(AND(EDATE($D88,Milestones!$AA$29)&lt;=AsOfDate,IF($Q88=0,$W88,IF(AND($S88&lt;&gt;"",EDATE($D88,Milestones!$AA$29)&gt;=$S88),$V88,IF(AND($R88&lt;&gt;"",EDATE($D88,Milestones!$AA$29)&gt;=$R88),$U88,$T88)))=Milestones!$AB$29),TEXT(EDATE($D88,Milestones!$AA$29),"dd/mm/yy")&amp;" "&amp;Milestones!$AB$29&amp;" "&amp;Milestones!$AC$29&amp;";  ","")&amp;IF(AND(EDATE($D88,Milestones!$AA$30)&lt;=AsOfDate,IF($Q88=0,$W88,IF(AND($S88&lt;&gt;"",EDATE($D88,Milestones!$AA$30)&gt;=$S88),$V88,IF(AND($R88&lt;&gt;"",EDATE($D88,Milestones!$AA$30)&gt;=$R88),$U88,$T88)))=Milestones!$AB$30),TEXT(EDATE($D88,Milestones!$AA$30),"dd/mm/yy")&amp;" "&amp;Milestones!$AB$30&amp;" "&amp;Milestones!$AC$30&amp;";  ","")&amp;IF(AND(EDATE($D88,Milestones!$AA$31)&lt;=AsOfDate,IF($Q88=0,$W88,IF(AND($S88&lt;&gt;"",EDATE($D88,Milestones!$AA$31)&gt;=$S88),$V88,IF(AND($R88&lt;&gt;"",EDATE($D88,Milestones!$AA$31)&gt;=$R88),$U88,$T88)))=Milestones!$AB$31),TEXT(EDATE($D88,Milestones!$AA$31),"dd/mm/yy")&amp;" "&amp;Milestones!$AB$31&amp;" "&amp;Milestones!$AC$31&amp;";  ","")&amp;IF(AND(EDATE($D88,Milestones!$AA$32)&lt;=AsOfDate,IF($Q88=0,$W88,IF(AND($S88&lt;&gt;"",EDATE($D88,Milestones!$AA$32)&gt;=$S88),$V88,IF(AND($R88&lt;&gt;"",EDATE($D88,Milestones!$AA$32)&gt;=$R88),$U88,$T88)))=Milestones!$AB$32),TEXT(EDATE($D88,Milestones!$AA$32),"dd/mm/yy")&amp;" "&amp;Milestones!$AB$32&amp;" "&amp;Milestones!$AC$32&amp;";  ","")&amp;IF(AND(EDATE($D88,Milestones!$AA$33)&lt;=AsOfDate,IF($Q88=0,$W88,IF(AND($S88&lt;&gt;"",EDATE($D88,Milestones!$AA$33)&gt;=$S88),$V88,IF(AND($R88&lt;&gt;"",EDATE($D88,Milestones!$AA$33)&gt;=$R88),$U88,$T88)))=Milestones!$AB$33),TEXT(EDATE($D88,Milestones!$AA$33),"dd/mm/yy")&amp;" "&amp;Milestones!$AB$33&amp;" "&amp;Milestones!$AC$33&amp;";  ","")&amp;IF(AND(EDATE($D88,Milestones!$AA$34)&lt;=AsOfDate,IF($Q88=0,$W88,IF(AND($S88&lt;&gt;"",EDATE($D88,Milestones!$AA$34)&gt;=$S88),$V88,IF(AND($R88&lt;&gt;"",EDATE($D88,Milestones!$AA$34)&gt;=$R88),$U88,$T88)))=Milestones!$AB$34),TEXT(EDATE($D88,Milestones!$AA$34),"dd/mm/yy")&amp;" "&amp;Milestones!$AB$34&amp;" "&amp;Milestones!$AC$34&amp;";  ","")&amp;IF(AND(EDATE($D88,Milestones!$AA$35)&lt;=AsOfDate,IF($Q88=0,$W88,IF(AND($S88&lt;&gt;"",EDATE($D88,Milestones!$AA$35)&gt;=$S88),$V88,IF(AND($R88&lt;&gt;"",EDATE($D88,Milestones!$AA$35)&gt;=$R88),$U88,$T88)))=Milestones!$AB$35),TEXT(EDATE($D88,Milestones!$AA$35),"dd/mm/yy")&amp;" "&amp;Milestones!$AB$35&amp;" "&amp;Milestones!$AC$35&amp;";  ","")&amp;IF(AND(EDATE($D88,Milestones!$AA$36)&lt;=AsOfDate,IF($Q88=0,$W88,IF(AND($S88&lt;&gt;"",EDATE($D88,Milestones!$AA$36)&gt;=$S88),$V88,IF(AND($R88&lt;&gt;"",EDATE($D88,Milestones!$AA$36)&gt;=$R88),$U88,$T88)))=Milestones!$AB$36),TEXT(EDATE($D88,Milestones!$AA$36),"dd/mm/yy")&amp;" "&amp;Milestones!$AB$36&amp;" "&amp;Milestones!$AC$36&amp;";  ","")&amp;IF(AND(EDATE($D88,Milestones!$AA$37)&lt;=AsOfDate,IF($Q88=0,$W88,IF(AND($S88&lt;&gt;"",EDATE($D88,Milestones!$AA$37)&gt;=$S88),$V88,IF(AND($R88&lt;&gt;"",EDATE($D88,Milestones!$AA$37)&gt;=$R88),$U88,$T88)))=Milestones!$AB$37),TEXT(EDATE($D88,Milestones!$AA$37),"dd/mm/yy")&amp;" "&amp;Milestones!$AB$37&amp;" "&amp;Milestones!$AC$37&amp;";  ","")&amp;IF(AND(EDATE($D88,Milestones!$AA$38)&lt;=AsOfDate,IF($Q88=0,$W88,IF(AND($S88&lt;&gt;"",EDATE($D88,Milestones!$AA$38)&gt;=$S88),$V88,IF(AND($R88&lt;&gt;"",EDATE($D88,Milestones!$AA$38)&gt;=$R88),$U88,$T88)))=Milestones!$AB$38),TEXT(EDATE($D88,Milestones!$AA$38),"dd/mm/yy")&amp;" "&amp;Milestones!$AB$38&amp;" "&amp;Milestones!$AC$38&amp;";  ","")&amp;IF(AND(EDATE($D88,Milestones!$AA$39)&lt;=AsOfDate,IF($Q88=0,$W88,IF(AND($S88&lt;&gt;"",EDATE($D88,Milestones!$AA$39)&gt;=$S88),$V88,IF(AND($R88&lt;&gt;"",EDATE($D88,Milestones!$AA$39)&gt;=$R88),$U88,$T88)))=Milestones!$AB$39),TEXT(EDATE($D88,Milestones!$AA$39),"dd/mm/yy")&amp;" "&amp;Milestones!$AB$39&amp;" "&amp;Milestones!$AC$39&amp;";  ",""))</f>
        <v/>
      </c>
      <c r="I88" s="0" t="str">
        <f aca="false">IF(OR($A88="",$D88=""),"",IF(AND(EDATE($D88,Milestones!$AA$40)&lt;=AsOfDate,IF($Q88=0,$W88,IF(AND($S88&lt;&gt;"",EDATE($D88,Milestones!$AA$40)&gt;=$S88),$V88,IF(AND($R88&lt;&gt;"",EDATE($D88,Milestones!$AA$40)&gt;=$R88),$U88,$T88)))=Milestones!$AB$40),TEXT(EDATE($D88,Milestones!$AA$40),"dd/mm/yy")&amp;" "&amp;Milestones!$AB$40&amp;" "&amp;Milestones!$AC$40&amp;";  ","")&amp;IF(AND(EDATE($D88,Milestones!$AA$41)&lt;=AsOfDate,IF($Q88=0,$W88,IF(AND($S88&lt;&gt;"",EDATE($D88,Milestones!$AA$41)&gt;=$S88),$V88,IF(AND($R88&lt;&gt;"",EDATE($D88,Milestones!$AA$41)&gt;=$R88),$U88,$T88)))=Milestones!$AB$41),TEXT(EDATE($D88,Milestones!$AA$41),"dd/mm/yy")&amp;" "&amp;Milestones!$AB$41&amp;" "&amp;Milestones!$AC$41&amp;";  ","")&amp;IF(AND(EDATE($D88,Milestones!$AA$42)&lt;=AsOfDate,IF($Q88=0,$W88,IF(AND($S88&lt;&gt;"",EDATE($D88,Milestones!$AA$42)&gt;=$S88),$V88,IF(AND($R88&lt;&gt;"",EDATE($D88,Milestones!$AA$42)&gt;=$R88),$U88,$T88)))=Milestones!$AB$42),TEXT(EDATE($D88,Milestones!$AA$42),"dd/mm/yy")&amp;" "&amp;Milestones!$AB$42&amp;" "&amp;Milestones!$AC$42&amp;";  ","")&amp;IF(AND(EDATE($D88,Milestones!$AA$43)&lt;=AsOfDate,IF($Q88=0,$W88,IF(AND($S88&lt;&gt;"",EDATE($D88,Milestones!$AA$43)&gt;=$S88),$V88,IF(AND($R88&lt;&gt;"",EDATE($D88,Milestones!$AA$43)&gt;=$R88),$U88,$T88)))=Milestones!$AB$43),TEXT(EDATE($D88,Milestones!$AA$43),"dd/mm/yy")&amp;" "&amp;Milestones!$AB$43&amp;" "&amp;Milestones!$AC$43&amp;";  ","")&amp;IF(AND(EDATE($D88,Milestones!$AA$44)&lt;=AsOfDate,IF($Q88=0,$W88,IF(AND($S88&lt;&gt;"",EDATE($D88,Milestones!$AA$44)&gt;=$S88),$V88,IF(AND($R88&lt;&gt;"",EDATE($D88,Milestones!$AA$44)&gt;=$R88),$U88,$T88)))=Milestones!$AB$44),TEXT(EDATE($D88,Milestones!$AA$44),"dd/mm/yy")&amp;" "&amp;Milestones!$AB$44&amp;" "&amp;Milestones!$AC$44&amp;";  ","")&amp;IF(AND(EDATE($D88,Milestones!$AA$45)&lt;=AsOfDate,IF($Q88=0,$W88,IF(AND($S88&lt;&gt;"",EDATE($D88,Milestones!$AA$45)&gt;=$S88),$V88,IF(AND($R88&lt;&gt;"",EDATE($D88,Milestones!$AA$45)&gt;=$R88),$U88,$T88)))=Milestones!$AB$45),TEXT(EDATE($D88,Milestones!$AA$45),"dd/mm/yy")&amp;" "&amp;Milestones!$AB$45&amp;" "&amp;Milestones!$AC$45&amp;";  ","")&amp;IF(AND(EDATE($D88,Milestones!$AA$46)&lt;=AsOfDate,IF($Q88=0,$W88,IF(AND($S88&lt;&gt;"",EDATE($D88,Milestones!$AA$46)&gt;=$S88),$V88,IF(AND($R88&lt;&gt;"",EDATE($D88,Milestones!$AA$46)&gt;=$R88),$U88,$T88)))=Milestones!$AB$46),TEXT(EDATE($D88,Milestones!$AA$46),"dd/mm/yy")&amp;" "&amp;Milestones!$AB$46&amp;" "&amp;Milestones!$AC$46&amp;";  ","")&amp;IF(AND(EDATE($D88,Milestones!$AA$47)&lt;=AsOfDate,IF($Q88=0,$W88,IF(AND($S88&lt;&gt;"",EDATE($D88,Milestones!$AA$47)&gt;=$S88),$V88,IF(AND($R88&lt;&gt;"",EDATE($D88,Milestones!$AA$47)&gt;=$R88),$U88,$T88)))=Milestones!$AB$47),TEXT(EDATE($D88,Milestones!$AA$47),"dd/mm/yy")&amp;" "&amp;Milestones!$AB$47&amp;" "&amp;Milestones!$AC$47&amp;";  ","")&amp;IF(AND(EDATE($D88,Milestones!$AA$48)&lt;=AsOfDate,IF($Q88=0,$W88,IF(AND($S88&lt;&gt;"",EDATE($D88,Milestones!$AA$48)&gt;=$S88),$V88,IF(AND($R88&lt;&gt;"",EDATE($D88,Milestones!$AA$48)&gt;=$R88),$U88,$T88)))=Milestones!$AB$48),TEXT(EDATE($D88,Milestones!$AA$48),"dd/mm/yy")&amp;" "&amp;Milestones!$AB$48&amp;" "&amp;Milestones!$AC$48&amp;";  ","")&amp;IF(AND(EDATE($D88,Milestones!$AA$49)&lt;=AsOfDate,IF($Q88=0,$W88,IF(AND($S88&lt;&gt;"",EDATE($D88,Milestones!$AA$49)&gt;=$S88),$V88,IF(AND($R88&lt;&gt;"",EDATE($D88,Milestones!$AA$49)&gt;=$R88),$U88,$T88)))=Milestones!$AB$49),TEXT(EDATE($D88,Milestones!$AA$49),"dd/mm/yy")&amp;" "&amp;Milestones!$AB$49&amp;" "&amp;Milestones!$AC$49&amp;";  ","")&amp;IF(AND(EDATE($D88,Milestones!$AA$50)&lt;=AsOfDate,IF($Q88=0,$W88,IF(AND($S88&lt;&gt;"",EDATE($D88,Milestones!$AA$50)&gt;=$S88),$V88,IF(AND($R88&lt;&gt;"",EDATE($D88,Milestones!$AA$50)&gt;=$R88),$U88,$T88)))=Milestones!$AB$50),TEXT(EDATE($D88,Milestones!$AA$50),"dd/mm/yy")&amp;" "&amp;Milestones!$AB$50&amp;" "&amp;Milestones!$AC$50&amp;";  ","")&amp;IF(AND(EDATE($D88,Milestones!$AA$51)&lt;=AsOfDate,IF($Q88=0,$W88,IF(AND($S88&lt;&gt;"",EDATE($D88,Milestones!$AA$51)&gt;=$S88),$V88,IF(AND($R88&lt;&gt;"",EDATE($D88,Milestones!$AA$51)&gt;=$R88),$U88,$T88)))=Milestones!$AB$51),TEXT(EDATE($D88,Milestones!$AA$51),"dd/mm/yy")&amp;" "&amp;Milestones!$AB$51&amp;" "&amp;Milestones!$AC$51&amp;";  ","")&amp;IF(AND(EDATE($D88,Milestones!$AA$52)&lt;=AsOfDate,IF($Q88=0,$W88,IF(AND($S88&lt;&gt;"",EDATE($D88,Milestones!$AA$52)&gt;=$S88),$V88,IF(AND($R88&lt;&gt;"",EDATE($D88,Milestones!$AA$52)&gt;=$R88),$U88,$T88)))=Milestones!$AB$52),TEXT(EDATE($D88,Milestones!$AA$52),"dd/mm/yy")&amp;" "&amp;Milestones!$AB$52&amp;" "&amp;Milestones!$AC$52&amp;";  ","")&amp;IF(AND(EDATE($D88,Milestones!$AA$53)&lt;=AsOfDate,IF($Q88=0,$W88,IF(AND($S88&lt;&gt;"",EDATE($D88,Milestones!$AA$53)&gt;=$S88),$V88,IF(AND($R88&lt;&gt;"",EDATE($D88,Milestones!$AA$53)&gt;=$R88),$U88,$T88)))=Milestones!$AB$53),TEXT(EDATE($D88,Milestones!$AA$53),"dd/mm/yy")&amp;" "&amp;Milestones!$AB$53&amp;" "&amp;Milestones!$AC$53&amp;";  ","")&amp;IF(AND(EDATE($D88,Milestones!$AA$54)&lt;=AsOfDate,IF($Q88=0,$W88,IF(AND($S88&lt;&gt;"",EDATE($D88,Milestones!$AA$54)&gt;=$S88),$V88,IF(AND($R88&lt;&gt;"",EDATE($D88,Milestones!$AA$54)&gt;=$R88),$U88,$T88)))=Milestones!$AB$54),TEXT(EDATE($D88,Milestones!$AA$54),"dd/mm/yy")&amp;" "&amp;Milestones!$AB$54&amp;" "&amp;Milestones!$AC$54&amp;";  ","")&amp;IF(AND(EDATE($D88,Milestones!$AA$55)&lt;=AsOfDate,IF($Q88=0,$W88,IF(AND($S88&lt;&gt;"",EDATE($D88,Milestones!$AA$55)&gt;=$S88),$V88,IF(AND($R88&lt;&gt;"",EDATE($D88,Milestones!$AA$55)&gt;=$R88),$U88,$T88)))=Milestones!$AB$55),TEXT(EDATE($D88,Milestones!$AA$55),"dd/mm/yy")&amp;" "&amp;Milestones!$AB$55&amp;" "&amp;Milestones!$AC$55&amp;";  ","")&amp;IF(AND(EDATE($D88,Milestones!$AA$56)&lt;=AsOfDate,IF($Q88=0,$W88,IF(AND($S88&lt;&gt;"",EDATE($D88,Milestones!$AA$56)&gt;=$S88),$V88,IF(AND($R88&lt;&gt;"",EDATE($D88,Milestones!$AA$56)&gt;=$R88),$U88,$T88)))=Milestones!$AB$56),TEXT(EDATE($D88,Milestones!$AA$56),"dd/mm/yy")&amp;" "&amp;Milestones!$AB$56&amp;" "&amp;Milestones!$AC$56&amp;";  ","")&amp;IF(AND(EDATE($D88,Milestones!$AA$57)&lt;=AsOfDate,IF($Q88=0,$W88,IF(AND($S88&lt;&gt;"",EDATE($D88,Milestones!$AA$57)&gt;=$S88),$V88,IF(AND($R88&lt;&gt;"",EDATE($D88,Milestones!$AA$57)&gt;=$R88),$U88,$T88)))=Milestones!$AB$57),TEXT(EDATE($D88,Milestones!$AA$57),"dd/mm/yy")&amp;" "&amp;Milestones!$AB$57&amp;" "&amp;Milestones!$AC$57&amp;";  ","")&amp;IF(AND(EDATE($D88,Milestones!$AA$58)&lt;=AsOfDate,IF($Q88=0,$W88,IF(AND($S88&lt;&gt;"",EDATE($D88,Milestones!$AA$58)&gt;=$S88),$V88,IF(AND($R88&lt;&gt;"",EDATE($D88,Milestones!$AA$58)&gt;=$R88),$U88,$T88)))=Milestones!$AB$58),TEXT(EDATE($D88,Milestones!$AA$58),"dd/mm/yy")&amp;" "&amp;Milestones!$AB$58&amp;" "&amp;Milestones!$AC$58&amp;";  ","")&amp;IF(AND(EDATE($D88,Milestones!$AA$59)&lt;=AsOfDate,IF($Q88=0,$W88,IF(AND($S88&lt;&gt;"",EDATE($D88,Milestones!$AA$59)&gt;=$S88),$V88,IF(AND($R88&lt;&gt;"",EDATE($D88,Milestones!$AA$59)&gt;=$R88),$U88,$T88)))=Milestones!$AB$59),TEXT(EDATE($D88,Milestones!$AA$59),"dd/mm/yy")&amp;" "&amp;Milestones!$AB$59&amp;" "&amp;Milestones!$AC$59&amp;";  ",""))</f>
        <v/>
      </c>
      <c r="J88" s="0" t="str">
        <f aca="false">IF(OR($A88="",$D88=""),"",IF(AND(EDATE($D88,Milestones!$AA$60)&lt;=AsOfDate,IF($Q88=0,$W88,IF(AND($S88&lt;&gt;"",EDATE($D88,Milestones!$AA$60)&gt;=$S88),$V88,IF(AND($R88&lt;&gt;"",EDATE($D88,Milestones!$AA$60)&gt;=$R88),$U88,$T88)))=Milestones!$AB$60),TEXT(EDATE($D88,Milestones!$AA$60),"dd/mm/yy")&amp;" "&amp;Milestones!$AB$60&amp;" "&amp;Milestones!$AC$60&amp;";  ","")&amp;IF(AND(EDATE($D88,Milestones!$AA$61)&lt;=AsOfDate,IF($Q88=0,$W88,IF(AND($S88&lt;&gt;"",EDATE($D88,Milestones!$AA$61)&gt;=$S88),$V88,IF(AND($R88&lt;&gt;"",EDATE($D88,Milestones!$AA$61)&gt;=$R88),$U88,$T88)))=Milestones!$AB$61),TEXT(EDATE($D88,Milestones!$AA$61),"dd/mm/yy")&amp;" "&amp;Milestones!$AB$61&amp;" "&amp;Milestones!$AC$61&amp;";  ","")&amp;IF(AND(EDATE($D88,Milestones!$AA$62)&lt;=AsOfDate,IF($Q88=0,$W88,IF(AND($S88&lt;&gt;"",EDATE($D88,Milestones!$AA$62)&gt;=$S88),$V88,IF(AND($R88&lt;&gt;"",EDATE($D88,Milestones!$AA$62)&gt;=$R88),$U88,$T88)))=Milestones!$AB$62),TEXT(EDATE($D88,Milestones!$AA$62),"dd/mm/yy")&amp;" "&amp;Milestones!$AB$62&amp;" "&amp;Milestones!$AC$62&amp;";  ","")&amp;IF(AND(EDATE($D88,Milestones!$AA$63)&lt;=AsOfDate,IF($Q88=0,$W88,IF(AND($S88&lt;&gt;"",EDATE($D88,Milestones!$AA$63)&gt;=$S88),$V88,IF(AND($R88&lt;&gt;"",EDATE($D88,Milestones!$AA$63)&gt;=$R88),$U88,$T88)))=Milestones!$AB$63),TEXT(EDATE($D88,Milestones!$AA$63),"dd/mm/yy")&amp;" "&amp;Milestones!$AB$63&amp;" "&amp;Milestones!$AC$63&amp;";  ","")&amp;IF(AND(EDATE($D88,Milestones!$AA$64)&lt;=AsOfDate,IF($Q88=0,$W88,IF(AND($S88&lt;&gt;"",EDATE($D88,Milestones!$AA$64)&gt;=$S88),$V88,IF(AND($R88&lt;&gt;"",EDATE($D88,Milestones!$AA$64)&gt;=$R88),$U88,$T88)))=Milestones!$AB$64),TEXT(EDATE($D88,Milestones!$AA$64),"dd/mm/yy")&amp;" "&amp;Milestones!$AB$64&amp;" "&amp;Milestones!$AC$64&amp;";  ","")&amp;IF(AND(EDATE($D88,Milestones!$AA$65)&lt;=AsOfDate,IF($Q88=0,$W88,IF(AND($S88&lt;&gt;"",EDATE($D88,Milestones!$AA$65)&gt;=$S88),$V88,IF(AND($R88&lt;&gt;"",EDATE($D88,Milestones!$AA$65)&gt;=$R88),$U88,$T88)))=Milestones!$AB$65),TEXT(EDATE($D88,Milestones!$AA$65),"dd/mm/yy")&amp;" "&amp;Milestones!$AB$65&amp;" "&amp;Milestones!$AC$65&amp;";  ","")&amp;IF(AND(EDATE($D88,Milestones!$AA$66)&lt;=AsOfDate,IF($Q88=0,$W88,IF(AND($S88&lt;&gt;"",EDATE($D88,Milestones!$AA$66)&gt;=$S88),$V88,IF(AND($R88&lt;&gt;"",EDATE($D88,Milestones!$AA$66)&gt;=$R88),$U88,$T88)))=Milestones!$AB$66),TEXT(EDATE($D88,Milestones!$AA$66),"dd/mm/yy")&amp;" "&amp;Milestones!$AB$66&amp;" "&amp;Milestones!$AC$66&amp;";  ","")&amp;IF(AND(EDATE($D88,Milestones!$AA$67)&lt;=AsOfDate,IF($Q88=0,$W88,IF(AND($S88&lt;&gt;"",EDATE($D88,Milestones!$AA$67)&gt;=$S88),$V88,IF(AND($R88&lt;&gt;"",EDATE($D88,Milestones!$AA$67)&gt;=$R88),$U88,$T88)))=Milestones!$AB$67),TEXT(EDATE($D88,Milestones!$AA$67),"dd/mm/yy")&amp;" "&amp;Milestones!$AB$67&amp;" "&amp;Milestones!$AC$67&amp;";  ","")&amp;IF(AND(EDATE($D88,Milestones!$AA$68)&lt;=AsOfDate,IF($Q88=0,$W88,IF(AND($S88&lt;&gt;"",EDATE($D88,Milestones!$AA$68)&gt;=$S88),$V88,IF(AND($R88&lt;&gt;"",EDATE($D88,Milestones!$AA$68)&gt;=$R88),$U88,$T88)))=Milestones!$AB$68),TEXT(EDATE($D88,Milestones!$AA$68),"dd/mm/yy")&amp;" "&amp;Milestones!$AB$68&amp;" "&amp;Milestones!$AC$68&amp;";  ","")&amp;IF(AND(EDATE($D88,Milestones!$AA$69)&lt;=AsOfDate,IF($Q88=0,$W88,IF(AND($S88&lt;&gt;"",EDATE($D88,Milestones!$AA$69)&gt;=$S88),$V88,IF(AND($R88&lt;&gt;"",EDATE($D88,Milestones!$AA$69)&gt;=$R88),$U88,$T88)))=Milestones!$AB$69),TEXT(EDATE($D88,Milestones!$AA$69),"dd/mm/yy")&amp;" "&amp;Milestones!$AB$69&amp;" "&amp;Milestones!$AC$69&amp;";  ","")&amp;IF(AND(EDATE($D88,Milestones!$AA$70)&lt;=AsOfDate,IF($Q88=0,$W88,IF(AND($S88&lt;&gt;"",EDATE($D88,Milestones!$AA$70)&gt;=$S88),$V88,IF(AND($R88&lt;&gt;"",EDATE($D88,Milestones!$AA$70)&gt;=$R88),$U88,$T88)))=Milestones!$AB$70),TEXT(EDATE($D88,Milestones!$AA$70),"dd/mm/yy")&amp;" "&amp;Milestones!$AB$70&amp;" "&amp;Milestones!$AC$70&amp;";  ","")&amp;IF(AND(EDATE($D88,Milestones!$AA$71)&lt;=AsOfDate,IF($Q88=0,$W88,IF(AND($S88&lt;&gt;"",EDATE($D88,Milestones!$AA$71)&gt;=$S88),$V88,IF(AND($R88&lt;&gt;"",EDATE($D88,Milestones!$AA$71)&gt;=$R88),$U88,$T88)))=Milestones!$AB$71),TEXT(EDATE($D88,Milestones!$AA$71),"dd/mm/yy")&amp;" "&amp;Milestones!$AB$71&amp;" "&amp;Milestones!$AC$71&amp;";  ","")&amp;IF(AND(EDATE($D88,Milestones!$AA$72)&lt;=AsOfDate,IF($Q88=0,$W88,IF(AND($S88&lt;&gt;"",EDATE($D88,Milestones!$AA$72)&gt;=$S88),$V88,IF(AND($R88&lt;&gt;"",EDATE($D88,Milestones!$AA$72)&gt;=$R88),$U88,$T88)))=Milestones!$AB$72),TEXT(EDATE($D88,Milestones!$AA$72),"dd/mm/yy")&amp;" "&amp;Milestones!$AB$72&amp;" "&amp;Milestones!$AC$72&amp;";  ","")&amp;IF(AND(EDATE($D88,Milestones!$AA$73)&lt;=AsOfDate,IF($Q88=0,$W88,IF(AND($S88&lt;&gt;"",EDATE($D88,Milestones!$AA$73)&gt;=$S88),$V88,IF(AND($R88&lt;&gt;"",EDATE($D88,Milestones!$AA$73)&gt;=$R88),$U88,$T88)))=Milestones!$AB$73),TEXT(EDATE($D88,Milestones!$AA$73),"dd/mm/yy")&amp;" "&amp;Milestones!$AB$73&amp;" "&amp;Milestones!$AC$73&amp;";  ","")&amp;IF(AND(EDATE($D88,Milestones!$AA$74)&lt;=AsOfDate,IF($Q88=0,$W88,IF(AND($S88&lt;&gt;"",EDATE($D88,Milestones!$AA$74)&gt;=$S88),$V88,IF(AND($R88&lt;&gt;"",EDATE($D88,Milestones!$AA$74)&gt;=$R88),$U88,$T88)))=Milestones!$AB$74),TEXT(EDATE($D88,Milestones!$AA$74),"dd/mm/yy")&amp;" "&amp;Milestones!$AB$74&amp;" "&amp;Milestones!$AC$74&amp;";  ","")&amp;IF(AND(EDATE($D88,Milestones!$AA$75)&lt;=AsOfDate,IF($Q88=0,$W88,IF(AND($S88&lt;&gt;"",EDATE($D88,Milestones!$AA$75)&gt;=$S88),$V88,IF(AND($R88&lt;&gt;"",EDATE($D88,Milestones!$AA$75)&gt;=$R88),$U88,$T88)))=Milestones!$AB$75),TEXT(EDATE($D88,Milestones!$AA$75),"dd/mm/yy")&amp;" "&amp;Milestones!$AB$75&amp;" "&amp;Milestones!$AC$75&amp;";  ","")&amp;IF(AND(EDATE($D88,Milestones!$AA$76)&lt;=AsOfDate,IF($Q88=0,$W88,IF(AND($S88&lt;&gt;"",EDATE($D88,Milestones!$AA$76)&gt;=$S88),$V88,IF(AND($R88&lt;&gt;"",EDATE($D88,Milestones!$AA$76)&gt;=$R88),$U88,$T88)))=Milestones!$AB$76),TEXT(EDATE($D88,Milestones!$AA$76),"dd/mm/yy")&amp;" "&amp;Milestones!$AB$76&amp;" "&amp;Milestones!$AC$76&amp;";  ","")&amp;IF(AND(EDATE($D88,Milestones!$AA$77)&lt;=AsOfDate,IF($Q88=0,$W88,IF(AND($S88&lt;&gt;"",EDATE($D88,Milestones!$AA$77)&gt;=$S88),$V88,IF(AND($R88&lt;&gt;"",EDATE($D88,Milestones!$AA$77)&gt;=$R88),$U88,$T88)))=Milestones!$AB$77),TEXT(EDATE($D88,Milestones!$AA$77),"dd/mm/yy")&amp;" "&amp;Milestones!$AB$77&amp;" "&amp;Milestones!$AC$77&amp;";  ","")&amp;IF(AND(EDATE($D88,Milestones!$AA$78)&lt;=AsOfDate,IF($Q88=0,$W88,IF(AND($S88&lt;&gt;"",EDATE($D88,Milestones!$AA$78)&gt;=$S88),$V88,IF(AND($R88&lt;&gt;"",EDATE($D88,Milestones!$AA$78)&gt;=$R88),$U88,$T88)))=Milestones!$AB$78),TEXT(EDATE($D88,Milestones!$AA$78),"dd/mm/yy")&amp;" "&amp;Milestones!$AB$78&amp;" "&amp;Milestones!$AC$78&amp;";  ","")&amp;IF(AND(EDATE($D88,Milestones!$AA$79)&lt;=AsOfDate,IF($Q88=0,$W88,IF(AND($S88&lt;&gt;"",EDATE($D88,Milestones!$AA$79)&gt;=$S88),$V88,IF(AND($R88&lt;&gt;"",EDATE($D88,Milestones!$AA$79)&gt;=$R88),$U88,$T88)))=Milestones!$AB$79),TEXT(EDATE($D88,Milestones!$AA$79),"dd/mm/yy")&amp;" "&amp;Milestones!$AB$79&amp;" "&amp;Milestones!$AC$79&amp;";  ",""))</f>
        <v/>
      </c>
      <c r="K88" s="0" t="str">
        <f aca="false">IF(OR($A88="",$D88=""),"",IF(AND(EDATE($D88,Milestones!$AA$80)&lt;=AsOfDate,IF($Q88=0,$W88,IF(AND($S88&lt;&gt;"",EDATE($D88,Milestones!$AA$80)&gt;=$S88),$V88,IF(AND($R88&lt;&gt;"",EDATE($D88,Milestones!$AA$80)&gt;=$R88),$U88,$T88)))=Milestones!$AB$80),TEXT(EDATE($D88,Milestones!$AA$80),"dd/mm/yy")&amp;" "&amp;Milestones!$AB$80&amp;" "&amp;Milestones!$AC$80&amp;";  ","")&amp;IF(AND(EDATE($D88,Milestones!$AA$81)&lt;=AsOfDate,IF($Q88=0,$W88,IF(AND($S88&lt;&gt;"",EDATE($D88,Milestones!$AA$81)&gt;=$S88),$V88,IF(AND($R88&lt;&gt;"",EDATE($D88,Milestones!$AA$81)&gt;=$R88),$U88,$T88)))=Milestones!$AB$81),TEXT(EDATE($D88,Milestones!$AA$81),"dd/mm/yy")&amp;" "&amp;Milestones!$AB$81&amp;" "&amp;Milestones!$AC$81&amp;";  ","")&amp;IF(AND(EDATE($D88,Milestones!$AA$82)&lt;=AsOfDate,IF($Q88=0,$W88,IF(AND($S88&lt;&gt;"",EDATE($D88,Milestones!$AA$82)&gt;=$S88),$V88,IF(AND($R88&lt;&gt;"",EDATE($D88,Milestones!$AA$82)&gt;=$R88),$U88,$T88)))=Milestones!$AB$82),TEXT(EDATE($D88,Milestones!$AA$82),"dd/mm/yy")&amp;" "&amp;Milestones!$AB$82&amp;" "&amp;Milestones!$AC$82&amp;";  ","")&amp;IF(AND(EDATE($D88,Milestones!$AA$83)&lt;=AsOfDate,IF($Q88=0,$W88,IF(AND($S88&lt;&gt;"",EDATE($D88,Milestones!$AA$83)&gt;=$S88),$V88,IF(AND($R88&lt;&gt;"",EDATE($D88,Milestones!$AA$83)&gt;=$R88),$U88,$T88)))=Milestones!$AB$83),TEXT(EDATE($D88,Milestones!$AA$83),"dd/mm/yy")&amp;" "&amp;Milestones!$AB$83&amp;" "&amp;Milestones!$AC$83&amp;";  ","")&amp;IF(AND(EDATE($D88,Milestones!$AA$84)&lt;=AsOfDate,IF($Q88=0,$W88,IF(AND($S88&lt;&gt;"",EDATE($D88,Milestones!$AA$84)&gt;=$S88),$V88,IF(AND($R88&lt;&gt;"",EDATE($D88,Milestones!$AA$84)&gt;=$R88),$U88,$T88)))=Milestones!$AB$84),TEXT(EDATE($D88,Milestones!$AA$84),"dd/mm/yy")&amp;" "&amp;Milestones!$AB$84&amp;" "&amp;Milestones!$AC$84&amp;";  ","")&amp;IF(AND(EDATE($D88,Milestones!$AA$85)&lt;=AsOfDate,IF($Q88=0,$W88,IF(AND($S88&lt;&gt;"",EDATE($D88,Milestones!$AA$85)&gt;=$S88),$V88,IF(AND($R88&lt;&gt;"",EDATE($D88,Milestones!$AA$85)&gt;=$R88),$U88,$T88)))=Milestones!$AB$85),TEXT(EDATE($D88,Milestones!$AA$85),"dd/mm/yy")&amp;" "&amp;Milestones!$AB$85&amp;" "&amp;Milestones!$AC$85&amp;";  ","")&amp;IF(AND(EDATE($D88,Milestones!$AA$86)&lt;=AsOfDate,IF($Q88=0,$W88,IF(AND($S88&lt;&gt;"",EDATE($D88,Milestones!$AA$86)&gt;=$S88),$V88,IF(AND($R88&lt;&gt;"",EDATE($D88,Milestones!$AA$86)&gt;=$R88),$U88,$T88)))=Milestones!$AB$86),TEXT(EDATE($D88,Milestones!$AA$86),"dd/mm/yy")&amp;" "&amp;Milestones!$AB$86&amp;" "&amp;Milestones!$AC$86&amp;";  ","")&amp;IF(AND(EDATE($D88,Milestones!$AA$87)&lt;=AsOfDate,IF($Q88=0,$W88,IF(AND($S88&lt;&gt;"",EDATE($D88,Milestones!$AA$87)&gt;=$S88),$V88,IF(AND($R88&lt;&gt;"",EDATE($D88,Milestones!$AA$87)&gt;=$R88),$U88,$T88)))=Milestones!$AB$87),TEXT(EDATE($D88,Milestones!$AA$87),"dd/mm/yy")&amp;" "&amp;Milestones!$AB$87&amp;" "&amp;Milestones!$AC$87&amp;";  ","")&amp;IF(AND(EDATE($D88,Milestones!$AA$88)&lt;=AsOfDate,IF($Q88=0,$W88,IF(AND($S88&lt;&gt;"",EDATE($D88,Milestones!$AA$88)&gt;=$S88),$V88,IF(AND($R88&lt;&gt;"",EDATE($D88,Milestones!$AA$88)&gt;=$R88),$U88,$T88)))=Milestones!$AB$88),TEXT(EDATE($D88,Milestones!$AA$88),"dd/mm/yy")&amp;" "&amp;Milestones!$AB$88&amp;" "&amp;Milestones!$AC$88&amp;";  ","")&amp;IF(AND(EDATE($D88,Milestones!$AA$89)&lt;=AsOfDate,IF($Q88=0,$W88,IF(AND($S88&lt;&gt;"",EDATE($D88,Milestones!$AA$89)&gt;=$S88),$V88,IF(AND($R88&lt;&gt;"",EDATE($D88,Milestones!$AA$89)&gt;=$R88),$U88,$T88)))=Milestones!$AB$89),TEXT(EDATE($D88,Milestones!$AA$89),"dd/mm/yy")&amp;" "&amp;Milestones!$AB$89&amp;" "&amp;Milestones!$AC$89&amp;";  ","")&amp;IF(AND(EDATE($D88,Milestones!$AA$90)&lt;=AsOfDate,IF($Q88=0,$W88,IF(AND($S88&lt;&gt;"",EDATE($D88,Milestones!$AA$90)&gt;=$S88),$V88,IF(AND($R88&lt;&gt;"",EDATE($D88,Milestones!$AA$90)&gt;=$R88),$U88,$T88)))=Milestones!$AB$90),TEXT(EDATE($D88,Milestones!$AA$90),"dd/mm/yy")&amp;" "&amp;Milestones!$AB$90&amp;" "&amp;Milestones!$AC$90&amp;";  ","")&amp;IF(AND(EDATE($D88,Milestones!$AA$91)&lt;=AsOfDate,IF($Q88=0,$W88,IF(AND($S88&lt;&gt;"",EDATE($D88,Milestones!$AA$91)&gt;=$S88),$V88,IF(AND($R88&lt;&gt;"",EDATE($D88,Milestones!$AA$91)&gt;=$R88),$U88,$T88)))=Milestones!$AB$91),TEXT(EDATE($D88,Milestones!$AA$91),"dd/mm/yy")&amp;" "&amp;Milestones!$AB$91&amp;" "&amp;Milestones!$AC$91&amp;";  ","")&amp;IF(AND(EDATE($D88,Milestones!$AA$92)&lt;=AsOfDate,IF($Q88=0,$W88,IF(AND($S88&lt;&gt;"",EDATE($D88,Milestones!$AA$92)&gt;=$S88),$V88,IF(AND($R88&lt;&gt;"",EDATE($D88,Milestones!$AA$92)&gt;=$R88),$U88,$T88)))=Milestones!$AB$92),TEXT(EDATE($D88,Milestones!$AA$92),"dd/mm/yy")&amp;" "&amp;Milestones!$AB$92&amp;" "&amp;Milestones!$AC$92&amp;";  ","")&amp;IF(AND(EDATE($D88,Milestones!$AA$93)&lt;=AsOfDate,IF($Q88=0,$W88,IF(AND($S88&lt;&gt;"",EDATE($D88,Milestones!$AA$93)&gt;=$S88),$V88,IF(AND($R88&lt;&gt;"",EDATE($D88,Milestones!$AA$93)&gt;=$R88),$U88,$T88)))=Milestones!$AB$93),TEXT(EDATE($D88,Milestones!$AA$93),"dd/mm/yy")&amp;" "&amp;Milestones!$AB$93&amp;" "&amp;Milestones!$AC$93&amp;";  ","")&amp;IF(AND(EDATE($D88,Milestones!$AA$94)&lt;=AsOfDate,IF($Q88=0,$W88,IF(AND($S88&lt;&gt;"",EDATE($D88,Milestones!$AA$94)&gt;=$S88),$V88,IF(AND($R88&lt;&gt;"",EDATE($D88,Milestones!$AA$94)&gt;=$R88),$U88,$T88)))=Milestones!$AB$94),TEXT(EDATE($D88,Milestones!$AA$94),"dd/mm/yy")&amp;" "&amp;Milestones!$AB$94&amp;" "&amp;Milestones!$AC$94&amp;";  ","")&amp;IF(AND(EDATE($D88,Milestones!$AA$95)&lt;=AsOfDate,IF($Q88=0,$W88,IF(AND($S88&lt;&gt;"",EDATE($D88,Milestones!$AA$95)&gt;=$S88),$V88,IF(AND($R88&lt;&gt;"",EDATE($D88,Milestones!$AA$95)&gt;=$R88),$U88,$T88)))=Milestones!$AB$95),TEXT(EDATE($D88,Milestones!$AA$95),"dd/mm/yy")&amp;" "&amp;Milestones!$AB$95&amp;" "&amp;Milestones!$AC$95&amp;";  ","")&amp;IF(AND(EDATE($D88,Milestones!$AA$96)&lt;=AsOfDate,IF($Q88=0,$W88,IF(AND($S88&lt;&gt;"",EDATE($D88,Milestones!$AA$96)&gt;=$S88),$V88,IF(AND($R88&lt;&gt;"",EDATE($D88,Milestones!$AA$96)&gt;=$R88),$U88,$T88)))=Milestones!$AB$96),TEXT(EDATE($D88,Milestones!$AA$96),"dd/mm/yy")&amp;" "&amp;Milestones!$AB$96&amp;" "&amp;Milestones!$AC$96&amp;";  ","")&amp;IF(AND(EDATE($D88,Milestones!$AA$97)&lt;=AsOfDate,IF($Q88=0,$W88,IF(AND($S88&lt;&gt;"",EDATE($D88,Milestones!$AA$97)&gt;=$S88),$V88,IF(AND($R88&lt;&gt;"",EDATE($D88,Milestones!$AA$97)&gt;=$R88),$U88,$T88)))=Milestones!$AB$97),TEXT(EDATE($D88,Milestones!$AA$97),"dd/mm/yy")&amp;" "&amp;Milestones!$AB$97&amp;" "&amp;Milestones!$AC$97&amp;";  ","")&amp;IF(AND(EDATE($D88,Milestones!$AA$98)&lt;=AsOfDate,IF($Q88=0,$W88,IF(AND($S88&lt;&gt;"",EDATE($D88,Milestones!$AA$98)&gt;=$S88),$V88,IF(AND($R88&lt;&gt;"",EDATE($D88,Milestones!$AA$98)&gt;=$R88),$U88,$T88)))=Milestones!$AB$98),TEXT(EDATE($D88,Milestones!$AA$98),"dd/mm/yy")&amp;" "&amp;Milestones!$AB$98&amp;" "&amp;Milestones!$AC$98&amp;";  ","")&amp;IF(AND(EDATE($D88,Milestones!$AA$99)&lt;=AsOfDate,IF($Q88=0,$W88,IF(AND($S88&lt;&gt;"",EDATE($D88,Milestones!$AA$99)&gt;=$S88),$V88,IF(AND($R88&lt;&gt;"",EDATE($D88,Milestones!$AA$99)&gt;=$R88),$U88,$T88)))=Milestones!$AB$99),TEXT(EDATE($D88,Milestones!$AA$99),"dd/mm/yy")&amp;" "&amp;Milestones!$AB$99&amp;" "&amp;Milestones!$AC$99&amp;";  ",""))</f>
        <v/>
      </c>
      <c r="L88" s="0" t="str">
        <f aca="false">IF(OR($A88="",$D88=""),"",IF(AND(EDATE($D88,Milestones!$AA$100)&lt;=AsOfDate,IF($Q88=0,$W88,IF(AND($S88&lt;&gt;"",EDATE($D88,Milestones!$AA$100)&gt;=$S88),$V88,IF(AND($R88&lt;&gt;"",EDATE($D88,Milestones!$AA$100)&gt;=$R88),$U88,$T88)))=Milestones!$AB$100),TEXT(EDATE($D88,Milestones!$AA$100),"dd/mm/yy")&amp;" "&amp;Milestones!$AB$100&amp;" "&amp;Milestones!$AC$100&amp;";  ","")&amp;IF(AND(EDATE($D88,Milestones!$AA$101)&lt;=AsOfDate,IF($Q88=0,$W88,IF(AND($S88&lt;&gt;"",EDATE($D88,Milestones!$AA$101)&gt;=$S88),$V88,IF(AND($R88&lt;&gt;"",EDATE($D88,Milestones!$AA$101)&gt;=$R88),$U88,$T88)))=Milestones!$AB$101),TEXT(EDATE($D88,Milestones!$AA$101),"dd/mm/yy")&amp;" "&amp;Milestones!$AB$101&amp;" "&amp;Milestones!$AC$101&amp;";  ","")&amp;IF(AND(EDATE($D88,Milestones!$AA$102)&lt;=AsOfDate,IF($Q88=0,$W88,IF(AND($S88&lt;&gt;"",EDATE($D88,Milestones!$AA$102)&gt;=$S88),$V88,IF(AND($R88&lt;&gt;"",EDATE($D88,Milestones!$AA$102)&gt;=$R88),$U88,$T88)))=Milestones!$AB$102),TEXT(EDATE($D88,Milestones!$AA$102),"dd/mm/yy")&amp;" "&amp;Milestones!$AB$102&amp;" "&amp;Milestones!$AC$102&amp;";  ","")&amp;IF(AND(EDATE($D88,Milestones!$AA$103)&lt;=AsOfDate,IF($Q88=0,$W88,IF(AND($S88&lt;&gt;"",EDATE($D88,Milestones!$AA$103)&gt;=$S88),$V88,IF(AND($R88&lt;&gt;"",EDATE($D88,Milestones!$AA$103)&gt;=$R88),$U88,$T88)))=Milestones!$AB$103),TEXT(EDATE($D88,Milestones!$AA$103),"dd/mm/yy")&amp;" "&amp;Milestones!$AB$103&amp;" "&amp;Milestones!$AC$103&amp;";  ","")&amp;IF(AND(EDATE($D88,Milestones!$AA$104)&lt;=AsOfDate,IF($Q88=0,$W88,IF(AND($S88&lt;&gt;"",EDATE($D88,Milestones!$AA$104)&gt;=$S88),$V88,IF(AND($R88&lt;&gt;"",EDATE($D88,Milestones!$AA$104)&gt;=$R88),$U88,$T88)))=Milestones!$AB$104),TEXT(EDATE($D88,Milestones!$AA$104),"dd/mm/yy")&amp;" "&amp;Milestones!$AB$104&amp;" "&amp;Milestones!$AC$104&amp;";  ","")&amp;IF(AND(EDATE($D88,Milestones!$AA$105)&lt;=AsOfDate,IF($Q88=0,$W88,IF(AND($S88&lt;&gt;"",EDATE($D88,Milestones!$AA$105)&gt;=$S88),$V88,IF(AND($R88&lt;&gt;"",EDATE($D88,Milestones!$AA$105)&gt;=$R88),$U88,$T88)))=Milestones!$AB$105),TEXT(EDATE($D88,Milestones!$AA$105),"dd/mm/yy")&amp;" "&amp;Milestones!$AB$105&amp;" "&amp;Milestones!$AC$105&amp;";  ","")&amp;IF(AND(EDATE($D88,Milestones!$AA$106)&lt;=AsOfDate,IF($Q88=0,$W88,IF(AND($S88&lt;&gt;"",EDATE($D88,Milestones!$AA$106)&gt;=$S88),$V88,IF(AND($R88&lt;&gt;"",EDATE($D88,Milestones!$AA$106)&gt;=$R88),$U88,$T88)))=Milestones!$AB$106),TEXT(EDATE($D88,Milestones!$AA$106),"dd/mm/yy")&amp;" "&amp;Milestones!$AB$106&amp;" "&amp;Milestones!$AC$106&amp;";  ","")&amp;IF(AND(EDATE($D88,Milestones!$AA$107)&lt;=AsOfDate,IF($Q88=0,$W88,IF(AND($S88&lt;&gt;"",EDATE($D88,Milestones!$AA$107)&gt;=$S88),$V88,IF(AND($R88&lt;&gt;"",EDATE($D88,Milestones!$AA$107)&gt;=$R88),$U88,$T88)))=Milestones!$AB$107),TEXT(EDATE($D88,Milestones!$AA$107),"dd/mm/yy")&amp;" "&amp;Milestones!$AB$107&amp;" "&amp;Milestones!$AC$107&amp;";  ","")&amp;IF(AND(EDATE($D88,Milestones!$AA$108)&lt;=AsOfDate,IF($Q88=0,$W88,IF(AND($S88&lt;&gt;"",EDATE($D88,Milestones!$AA$108)&gt;=$S88),$V88,IF(AND($R88&lt;&gt;"",EDATE($D88,Milestones!$AA$108)&gt;=$R88),$U88,$T88)))=Milestones!$AB$108),TEXT(EDATE($D88,Milestones!$AA$108),"dd/mm/yy")&amp;" "&amp;Milestones!$AB$108&amp;" "&amp;Milestones!$AC$108&amp;";  ","")&amp;IF(AND(EDATE($D88,Milestones!$AA$109)&lt;=AsOfDate,IF($Q88=0,$W88,IF(AND($S88&lt;&gt;"",EDATE($D88,Milestones!$AA$109)&gt;=$S88),$V88,IF(AND($R88&lt;&gt;"",EDATE($D88,Milestones!$AA$109)&gt;=$R88),$U88,$T88)))=Milestones!$AB$109),TEXT(EDATE($D88,Milestones!$AA$109),"dd/mm/yy")&amp;" "&amp;Milestones!$AB$109&amp;" "&amp;Milestones!$AC$109&amp;";  ","")&amp;IF(AND(EDATE($D88,Milestones!$AA$110)&lt;=AsOfDate,IF($Q88=0,$W88,IF(AND($S88&lt;&gt;"",EDATE($D88,Milestones!$AA$110)&gt;=$S88),$V88,IF(AND($R88&lt;&gt;"",EDATE($D88,Milestones!$AA$110)&gt;=$R88),$U88,$T88)))=Milestones!$AB$110),TEXT(EDATE($D88,Milestones!$AA$110),"dd/mm/yy")&amp;" "&amp;Milestones!$AB$110&amp;" "&amp;Milestones!$AC$110&amp;";  ","")&amp;IF(AND(EDATE($D88,Milestones!$AA$111)&lt;=AsOfDate,IF($Q88=0,$W88,IF(AND($S88&lt;&gt;"",EDATE($D88,Milestones!$AA$111)&gt;=$S88),$V88,IF(AND($R88&lt;&gt;"",EDATE($D88,Milestones!$AA$111)&gt;=$R88),$U88,$T88)))=Milestones!$AB$111),TEXT(EDATE($D88,Milestones!$AA$111),"dd/mm/yy")&amp;" "&amp;Milestones!$AB$111&amp;" "&amp;Milestones!$AC$111&amp;";  ","")&amp;IF(AND(EDATE($D88,Milestones!$AA$112)&lt;=AsOfDate,IF($Q88=0,$W88,IF(AND($S88&lt;&gt;"",EDATE($D88,Milestones!$AA$112)&gt;=$S88),$V88,IF(AND($R88&lt;&gt;"",EDATE($D88,Milestones!$AA$112)&gt;=$R88),$U88,$T88)))=Milestones!$AB$112),TEXT(EDATE($D88,Milestones!$AA$112),"dd/mm/yy")&amp;" "&amp;Milestones!$AB$112&amp;" "&amp;Milestones!$AC$112&amp;";  ","")&amp;IF(AND(EDATE($D88,Milestones!$AA$113)&lt;=AsOfDate,IF($Q88=0,$W88,IF(AND($S88&lt;&gt;"",EDATE($D88,Milestones!$AA$113)&gt;=$S88),$V88,IF(AND($R88&lt;&gt;"",EDATE($D88,Milestones!$AA$113)&gt;=$R88),$U88,$T88)))=Milestones!$AB$113),TEXT(EDATE($D88,Milestones!$AA$113),"dd/mm/yy")&amp;" "&amp;Milestones!$AB$113&amp;" "&amp;Milestones!$AC$113&amp;";  ","")&amp;IF(AND(EDATE($D88,Milestones!$AA$114)&lt;=AsOfDate,IF($Q88=0,$W88,IF(AND($S88&lt;&gt;"",EDATE($D88,Milestones!$AA$114)&gt;=$S88),$V88,IF(AND($R88&lt;&gt;"",EDATE($D88,Milestones!$AA$114)&gt;=$R88),$U88,$T88)))=Milestones!$AB$114),TEXT(EDATE($D88,Milestones!$AA$114),"dd/mm/yy")&amp;" "&amp;Milestones!$AB$114&amp;" "&amp;Milestones!$AC$114&amp;";  ","")&amp;IF(AND(EDATE($D88,Milestones!$AA$115)&lt;=AsOfDate,IF($Q88=0,$W88,IF(AND($S88&lt;&gt;"",EDATE($D88,Milestones!$AA$115)&gt;=$S88),$V88,IF(AND($R88&lt;&gt;"",EDATE($D88,Milestones!$AA$115)&gt;=$R88),$U88,$T88)))=Milestones!$AB$115),TEXT(EDATE($D88,Milestones!$AA$115),"dd/mm/yy")&amp;" "&amp;Milestones!$AB$115&amp;" "&amp;Milestones!$AC$115&amp;";  ","")&amp;IF(AND(EDATE($D88,Milestones!$AA$116)&lt;=AsOfDate,IF($Q88=0,$W88,IF(AND($S88&lt;&gt;"",EDATE($D88,Milestones!$AA$116)&gt;=$S88),$V88,IF(AND($R88&lt;&gt;"",EDATE($D88,Milestones!$AA$116)&gt;=$R88),$U88,$T88)))=Milestones!$AB$116),TEXT(EDATE($D88,Milestones!$AA$116),"dd/mm/yy")&amp;" "&amp;Milestones!$AB$116&amp;" "&amp;Milestones!$AC$116&amp;";  ","")&amp;IF(AND(EDATE($D88,Milestones!$AA$117)&lt;=AsOfDate,IF($Q88=0,$W88,IF(AND($S88&lt;&gt;"",EDATE($D88,Milestones!$AA$117)&gt;=$S88),$V88,IF(AND($R88&lt;&gt;"",EDATE($D88,Milestones!$AA$117)&gt;=$R88),$U88,$T88)))=Milestones!$AB$117),TEXT(EDATE($D88,Milestones!$AA$117),"dd/mm/yy")&amp;" "&amp;Milestones!$AB$117&amp;" "&amp;Milestones!$AC$117&amp;";  ","")&amp;IF(AND(EDATE($D88,Milestones!$AA$118)&lt;=AsOfDate,IF($Q88=0,$W88,IF(AND($S88&lt;&gt;"",EDATE($D88,Milestones!$AA$118)&gt;=$S88),$V88,IF(AND($R88&lt;&gt;"",EDATE($D88,Milestones!$AA$118)&gt;=$R88),$U88,$T88)))=Milestones!$AB$118),TEXT(EDATE($D88,Milestones!$AA$118),"dd/mm/yy")&amp;" "&amp;Milestones!$AB$118&amp;" "&amp;Milestones!$AC$118&amp;";  ","")&amp;IF(AND(EDATE($D88,Milestones!$AA$119)&lt;=AsOfDate,IF($Q88=0,$W88,IF(AND($S88&lt;&gt;"",EDATE($D88,Milestones!$AA$119)&gt;=$S88),$V88,IF(AND($R88&lt;&gt;"",EDATE($D88,Milestones!$AA$119)&gt;=$R88),$U88,$T88)))=Milestones!$AB$119),TEXT(EDATE($D88,Milestones!$AA$119),"dd/mm/yy")&amp;" "&amp;Milestones!$AB$119&amp;" "&amp;Milestones!$AC$119&amp;";  ",""))</f>
        <v/>
      </c>
      <c r="M88" s="0" t="str">
        <f aca="false">IF(OR($A88="",$D88=""),"",IF(AND(EDATE($D88,Milestones!$AA$120)&lt;=AsOfDate,IF($Q88=0,$W88,IF(AND($S88&lt;&gt;"",EDATE($D88,Milestones!$AA$120)&gt;=$S88),$V88,IF(AND($R88&lt;&gt;"",EDATE($D88,Milestones!$AA$120)&gt;=$R88),$U88,$T88)))=Milestones!$AB$120),TEXT(EDATE($D88,Milestones!$AA$120),"dd/mm/yy")&amp;" "&amp;Milestones!$AB$120&amp;" "&amp;Milestones!$AC$120&amp;";  ","")&amp;IF(AND(EDATE($D88,Milestones!$AA$121)&lt;=AsOfDate,IF($Q88=0,$W88,IF(AND($S88&lt;&gt;"",EDATE($D88,Milestones!$AA$121)&gt;=$S88),$V88,IF(AND($R88&lt;&gt;"",EDATE($D88,Milestones!$AA$121)&gt;=$R88),$U88,$T88)))=Milestones!$AB$121),TEXT(EDATE($D88,Milestones!$AA$121),"dd/mm/yy")&amp;" "&amp;Milestones!$AB$121&amp;" "&amp;Milestones!$AC$121&amp;";  ","")&amp;IF(AND(EDATE($D88,Milestones!$AA$122)&lt;=AsOfDate,IF($Q88=0,$W88,IF(AND($S88&lt;&gt;"",EDATE($D88,Milestones!$AA$122)&gt;=$S88),$V88,IF(AND($R88&lt;&gt;"",EDATE($D88,Milestones!$AA$122)&gt;=$R88),$U88,$T88)))=Milestones!$AB$122),TEXT(EDATE($D88,Milestones!$AA$122),"dd/mm/yy")&amp;" "&amp;Milestones!$AB$122&amp;" "&amp;Milestones!$AC$122&amp;";  ","")&amp;IF(AND(EDATE($D88,Milestones!$AA$123)&lt;=AsOfDate,IF($Q88=0,$W88,IF(AND($S88&lt;&gt;"",EDATE($D88,Milestones!$AA$123)&gt;=$S88),$V88,IF(AND($R88&lt;&gt;"",EDATE($D88,Milestones!$AA$123)&gt;=$R88),$U88,$T88)))=Milestones!$AB$123),TEXT(EDATE($D88,Milestones!$AA$123),"dd/mm/yy")&amp;" "&amp;Milestones!$AB$123&amp;" "&amp;Milestones!$AC$123&amp;";  ","")&amp;IF(AND(EDATE($D88,Milestones!$AA$124)&lt;=AsOfDate,IF($Q88=0,$W88,IF(AND($S88&lt;&gt;"",EDATE($D88,Milestones!$AA$124)&gt;=$S88),$V88,IF(AND($R88&lt;&gt;"",EDATE($D88,Milestones!$AA$124)&gt;=$R88),$U88,$T88)))=Milestones!$AB$124),TEXT(EDATE($D88,Milestones!$AA$124),"dd/mm/yy")&amp;" "&amp;Milestones!$AB$124&amp;" "&amp;Milestones!$AC$124&amp;";  ","")&amp;IF(AND(EDATE($D88,Milestones!$AA$125)&lt;=AsOfDate,IF($Q88=0,$W88,IF(AND($S88&lt;&gt;"",EDATE($D88,Milestones!$AA$125)&gt;=$S88),$V88,IF(AND($R88&lt;&gt;"",EDATE($D88,Milestones!$AA$125)&gt;=$R88),$U88,$T88)))=Milestones!$AB$125),TEXT(EDATE($D88,Milestones!$AA$125),"dd/mm/yy")&amp;" "&amp;Milestones!$AB$125&amp;" "&amp;Milestones!$AC$125&amp;";  ","")&amp;IF(AND(EDATE($D88,Milestones!$AA$126)&lt;=AsOfDate,IF($Q88=0,$W88,IF(AND($S88&lt;&gt;"",EDATE($D88,Milestones!$AA$126)&gt;=$S88),$V88,IF(AND($R88&lt;&gt;"",EDATE($D88,Milestones!$AA$126)&gt;=$R88),$U88,$T88)))=Milestones!$AB$126),TEXT(EDATE($D88,Milestones!$AA$126),"dd/mm/yy")&amp;" "&amp;Milestones!$AB$126&amp;" "&amp;Milestones!$AC$126&amp;";  ","")&amp;IF(AND(EDATE($D88,Milestones!$AA$127)&lt;=AsOfDate,IF($Q88=0,$W88,IF(AND($S88&lt;&gt;"",EDATE($D88,Milestones!$AA$127)&gt;=$S88),$V88,IF(AND($R88&lt;&gt;"",EDATE($D88,Milestones!$AA$127)&gt;=$R88),$U88,$T88)))=Milestones!$AB$127),TEXT(EDATE($D88,Milestones!$AA$127),"dd/mm/yy")&amp;" "&amp;Milestones!$AB$127&amp;" "&amp;Milestones!$AC$127&amp;";  ","")&amp;IF(AND(EDATE($D88,Milestones!$AA$128)&lt;=AsOfDate,IF($Q88=0,$W88,IF(AND($S88&lt;&gt;"",EDATE($D88,Milestones!$AA$128)&gt;=$S88),$V88,IF(AND($R88&lt;&gt;"",EDATE($D88,Milestones!$AA$128)&gt;=$R88),$U88,$T88)))=Milestones!$AB$128),TEXT(EDATE($D88,Milestones!$AA$128),"dd/mm/yy")&amp;" "&amp;Milestones!$AB$128&amp;" "&amp;Milestones!$AC$128&amp;";  ","")&amp;IF(AND(EDATE($D88,Milestones!$AA$129)&lt;=AsOfDate,IF($Q88=0,$W88,IF(AND($S88&lt;&gt;"",EDATE($D88,Milestones!$AA$129)&gt;=$S88),$V88,IF(AND($R88&lt;&gt;"",EDATE($D88,Milestones!$AA$129)&gt;=$R88),$U88,$T88)))=Milestones!$AB$129),TEXT(EDATE($D88,Milestones!$AA$129),"dd/mm/yy")&amp;" "&amp;Milestones!$AB$129&amp;" "&amp;Milestones!$AC$129&amp;";  ","")&amp;IF(AND(EDATE($D88,Milestones!$AA$130)&lt;=AsOfDate,IF($Q88=0,$W88,IF(AND($S88&lt;&gt;"",EDATE($D88,Milestones!$AA$130)&gt;=$S88),$V88,IF(AND($R88&lt;&gt;"",EDATE($D88,Milestones!$AA$130)&gt;=$R88),$U88,$T88)))=Milestones!$AB$130),TEXT(EDATE($D88,Milestones!$AA$130),"dd/mm/yy")&amp;" "&amp;Milestones!$AB$130&amp;" "&amp;Milestones!$AC$130&amp;";  ","")&amp;IF(AND(EDATE($D88,Milestones!$AA$131)&lt;=AsOfDate,IF($Q88=0,$W88,IF(AND($S88&lt;&gt;"",EDATE($D88,Milestones!$AA$131)&gt;=$S88),$V88,IF(AND($R88&lt;&gt;"",EDATE($D88,Milestones!$AA$131)&gt;=$R88),$U88,$T88)))=Milestones!$AB$131),TEXT(EDATE($D88,Milestones!$AA$131),"dd/mm/yy")&amp;" "&amp;Milestones!$AB$131&amp;" "&amp;Milestones!$AC$131&amp;";  ","")&amp;IF(AND(EDATE($D88,Milestones!$AA$132)&lt;=AsOfDate,IF($Q88=0,$W88,IF(AND($S88&lt;&gt;"",EDATE($D88,Milestones!$AA$132)&gt;=$S88),$V88,IF(AND($R88&lt;&gt;"",EDATE($D88,Milestones!$AA$132)&gt;=$R88),$U88,$T88)))=Milestones!$AB$132),TEXT(EDATE($D88,Milestones!$AA$132),"dd/mm/yy")&amp;" "&amp;Milestones!$AB$132&amp;" "&amp;Milestones!$AC$132&amp;";  ","")&amp;IF(AND(EDATE($D88,Milestones!$AA$133)&lt;=AsOfDate,IF($Q88=0,$W88,IF(AND($S88&lt;&gt;"",EDATE($D88,Milestones!$AA$133)&gt;=$S88),$V88,IF(AND($R88&lt;&gt;"",EDATE($D88,Milestones!$AA$133)&gt;=$R88),$U88,$T88)))=Milestones!$AB$133),TEXT(EDATE($D88,Milestones!$AA$133),"dd/mm/yy")&amp;" "&amp;Milestones!$AB$133&amp;" "&amp;Milestones!$AC$133&amp;";  ","")&amp;IF(AND(EDATE($D88,Milestones!$AA$134)&lt;=AsOfDate,IF($Q88=0,$W88,IF(AND($S88&lt;&gt;"",EDATE($D88,Milestones!$AA$134)&gt;=$S88),$V88,IF(AND($R88&lt;&gt;"",EDATE($D88,Milestones!$AA$134)&gt;=$R88),$U88,$T88)))=Milestones!$AB$134),TEXT(EDATE($D88,Milestones!$AA$134),"dd/mm/yy")&amp;" "&amp;Milestones!$AB$134&amp;" "&amp;Milestones!$AC$134&amp;";  ","")&amp;IF(AND(EDATE($D88,Milestones!$AA$135)&lt;=AsOfDate,IF($Q88=0,$W88,IF(AND($S88&lt;&gt;"",EDATE($D88,Milestones!$AA$135)&gt;=$S88),$V88,IF(AND($R88&lt;&gt;"",EDATE($D88,Milestones!$AA$135)&gt;=$R88),$U88,$T88)))=Milestones!$AB$135),TEXT(EDATE($D88,Milestones!$AA$135),"dd/mm/yy")&amp;" "&amp;Milestones!$AB$135&amp;" "&amp;Milestones!$AC$135&amp;";  ","")&amp;IF(AND(EDATE($D88,Milestones!$AA$136)&lt;=AsOfDate,IF($Q88=0,$W88,IF(AND($S88&lt;&gt;"",EDATE($D88,Milestones!$AA$136)&gt;=$S88),$V88,IF(AND($R88&lt;&gt;"",EDATE($D88,Milestones!$AA$136)&gt;=$R88),$U88,$T88)))=Milestones!$AB$136),TEXT(EDATE($D88,Milestones!$AA$136),"dd/mm/yy")&amp;" "&amp;Milestones!$AB$136&amp;" "&amp;Milestones!$AC$136&amp;";  ","")&amp;IF(AND(EDATE($D88,Milestones!$AA$137)&lt;=AsOfDate,IF($Q88=0,$W88,IF(AND($S88&lt;&gt;"",EDATE($D88,Milestones!$AA$137)&gt;=$S88),$V88,IF(AND($R88&lt;&gt;"",EDATE($D88,Milestones!$AA$137)&gt;=$R88),$U88,$T88)))=Milestones!$AB$137),TEXT(EDATE($D88,Milestones!$AA$137),"dd/mm/yy")&amp;" "&amp;Milestones!$AB$137&amp;" "&amp;Milestones!$AC$137&amp;";  ","")&amp;IF(AND(EDATE($D88,Milestones!$AA$138)&lt;=AsOfDate,IF($Q88=0,$W88,IF(AND($S88&lt;&gt;"",EDATE($D88,Milestones!$AA$138)&gt;=$S88),$V88,IF(AND($R88&lt;&gt;"",EDATE($D88,Milestones!$AA$138)&gt;=$R88),$U88,$T88)))=Milestones!$AB$138),TEXT(EDATE($D88,Milestones!$AA$138),"dd/mm/yy")&amp;" "&amp;Milestones!$AB$138&amp;" "&amp;Milestones!$AC$138&amp;";  ","")&amp;IF(AND(EDATE($D88,Milestones!$AA$139)&lt;=AsOfDate,IF($Q88=0,$W88,IF(AND($S88&lt;&gt;"",EDATE($D88,Milestones!$AA$139)&gt;=$S88),$V88,IF(AND($R88&lt;&gt;"",EDATE($D88,Milestones!$AA$139)&gt;=$R88),$U88,$T88)))=Milestones!$AB$139),TEXT(EDATE($D88,Milestones!$AA$139),"dd/mm/yy")&amp;" "&amp;Milestones!$AB$139&amp;" "&amp;Milestones!$AC$139&amp;";  ",""))</f>
        <v/>
      </c>
      <c r="N88" s="0" t="str">
        <f aca="false">IF(OR($A88="",$D88=""),"",IF(AND(EDATE($D88,Milestones!$AA$140)&lt;=AsOfDate,IF($Q88=0,$W88,IF(AND($S88&lt;&gt;"",EDATE($D88,Milestones!$AA$140)&gt;=$S88),$V88,IF(AND($R88&lt;&gt;"",EDATE($D88,Milestones!$AA$140)&gt;=$R88),$U88,$T88)))=Milestones!$AB$140),TEXT(EDATE($D88,Milestones!$AA$140),"dd/mm/yy")&amp;" "&amp;Milestones!$AB$140&amp;" "&amp;Milestones!$AC$140&amp;";  ","")&amp;IF(AND(EDATE($D88,Milestones!$AA$141)&lt;=AsOfDate,IF($Q88=0,$W88,IF(AND($S88&lt;&gt;"",EDATE($D88,Milestones!$AA$141)&gt;=$S88),$V88,IF(AND($R88&lt;&gt;"",EDATE($D88,Milestones!$AA$141)&gt;=$R88),$U88,$T88)))=Milestones!$AB$141),TEXT(EDATE($D88,Milestones!$AA$141),"dd/mm/yy")&amp;" "&amp;Milestones!$AB$141&amp;" "&amp;Milestones!$AC$141&amp;";  ","")&amp;IF(AND(EDATE($D88,Milestones!$AA$142)&lt;=AsOfDate,IF($Q88=0,$W88,IF(AND($S88&lt;&gt;"",EDATE($D88,Milestones!$AA$142)&gt;=$S88),$V88,IF(AND($R88&lt;&gt;"",EDATE($D88,Milestones!$AA$142)&gt;=$R88),$U88,$T88)))=Milestones!$AB$142),TEXT(EDATE($D88,Milestones!$AA$142),"dd/mm/yy")&amp;" "&amp;Milestones!$AB$142&amp;" "&amp;Milestones!$AC$142&amp;";  ","")&amp;IF(AND(EDATE($D88,Milestones!$AA$143)&lt;=AsOfDate,IF($Q88=0,$W88,IF(AND($S88&lt;&gt;"",EDATE($D88,Milestones!$AA$143)&gt;=$S88),$V88,IF(AND($R88&lt;&gt;"",EDATE($D88,Milestones!$AA$143)&gt;=$R88),$U88,$T88)))=Milestones!$AB$143),TEXT(EDATE($D88,Milestones!$AA$143),"dd/mm/yy")&amp;" "&amp;Milestones!$AB$143&amp;" "&amp;Milestones!$AC$143&amp;";  ","")&amp;IF(AND(EDATE($D88,Milestones!$AA$144)&lt;=AsOfDate,IF($Q88=0,$W88,IF(AND($S88&lt;&gt;"",EDATE($D88,Milestones!$AA$144)&gt;=$S88),$V88,IF(AND($R88&lt;&gt;"",EDATE($D88,Milestones!$AA$144)&gt;=$R88),$U88,$T88)))=Milestones!$AB$144),TEXT(EDATE($D88,Milestones!$AA$144),"dd/mm/yy")&amp;" "&amp;Milestones!$AB$144&amp;" "&amp;Milestones!$AC$144&amp;";  ","")&amp;IF(AND(EDATE($D88,Milestones!$AA$145)&lt;=AsOfDate,IF($Q88=0,$W88,IF(AND($S88&lt;&gt;"",EDATE($D88,Milestones!$AA$145)&gt;=$S88),$V88,IF(AND($R88&lt;&gt;"",EDATE($D88,Milestones!$AA$145)&gt;=$R88),$U88,$T88)))=Milestones!$AB$145),TEXT(EDATE($D88,Milestones!$AA$145),"dd/mm/yy")&amp;" "&amp;Milestones!$AB$145&amp;" "&amp;Milestones!$AC$145&amp;";  ","")&amp;IF(AND(EDATE($D88,Milestones!$AA$146)&lt;=AsOfDate,IF($Q88=0,$W88,IF(AND($S88&lt;&gt;"",EDATE($D88,Milestones!$AA$146)&gt;=$S88),$V88,IF(AND($R88&lt;&gt;"",EDATE($D88,Milestones!$AA$146)&gt;=$R88),$U88,$T88)))=Milestones!$AB$146),TEXT(EDATE($D88,Milestones!$AA$146),"dd/mm/yy")&amp;" "&amp;Milestones!$AB$146&amp;" "&amp;Milestones!$AC$146&amp;";  ","")&amp;IF(AND(EDATE($D88,Milestones!$AA$147)&lt;=AsOfDate,IF($Q88=0,$W88,IF(AND($S88&lt;&gt;"",EDATE($D88,Milestones!$AA$147)&gt;=$S88),$V88,IF(AND($R88&lt;&gt;"",EDATE($D88,Milestones!$AA$147)&gt;=$R88),$U88,$T88)))=Milestones!$AB$147),TEXT(EDATE($D88,Milestones!$AA$147),"dd/mm/yy")&amp;" "&amp;Milestones!$AB$147&amp;" "&amp;Milestones!$AC$147&amp;";  ","")&amp;IF(AND(EDATE($D88,Milestones!$AA$148)&lt;=AsOfDate,IF($Q88=0,$W88,IF(AND($S88&lt;&gt;"",EDATE($D88,Milestones!$AA$148)&gt;=$S88),$V88,IF(AND($R88&lt;&gt;"",EDATE($D88,Milestones!$AA$148)&gt;=$R88),$U88,$T88)))=Milestones!$AB$148),TEXT(EDATE($D88,Milestones!$AA$148),"dd/mm/yy")&amp;" "&amp;Milestones!$AB$148&amp;" "&amp;Milestones!$AC$148&amp;";  ","")&amp;IF(AND(EDATE($D88,Milestones!$AA$149)&lt;=AsOfDate,IF($Q88=0,$W88,IF(AND($S88&lt;&gt;"",EDATE($D88,Milestones!$AA$149)&gt;=$S88),$V88,IF(AND($R88&lt;&gt;"",EDATE($D88,Milestones!$AA$149)&gt;=$R88),$U88,$T88)))=Milestones!$AB$149),TEXT(EDATE($D88,Milestones!$AA$149),"dd/mm/yy")&amp;" "&amp;Milestones!$AB$149&amp;" "&amp;Milestones!$AC$149&amp;";  ","")&amp;IF(AND(EDATE($D88,Milestones!$AA$150)&lt;=AsOfDate,IF($Q88=0,$W88,IF(AND($S88&lt;&gt;"",EDATE($D88,Milestones!$AA$150)&gt;=$S88),$V88,IF(AND($R88&lt;&gt;"",EDATE($D88,Milestones!$AA$150)&gt;=$R88),$U88,$T88)))=Milestones!$AB$150),TEXT(EDATE($D88,Milestones!$AA$150),"dd/mm/yy")&amp;" "&amp;Milestones!$AB$150&amp;" "&amp;Milestones!$AC$150&amp;";  ","")&amp;IF(AND(EDATE($D88,Milestones!$AA$151)&lt;=AsOfDate,IF($Q88=0,$W88,IF(AND($S88&lt;&gt;"",EDATE($D88,Milestones!$AA$151)&gt;=$S88),$V88,IF(AND($R88&lt;&gt;"",EDATE($D88,Milestones!$AA$151)&gt;=$R88),$U88,$T88)))=Milestones!$AB$151),TEXT(EDATE($D88,Milestones!$AA$151),"dd/mm/yy")&amp;" "&amp;Milestones!$AB$151&amp;" "&amp;Milestones!$AC$151&amp;";  ","")&amp;IF(AND(EDATE($D88,Milestones!$AA$152)&lt;=AsOfDate,IF($Q88=0,$W88,IF(AND($S88&lt;&gt;"",EDATE($D88,Milestones!$AA$152)&gt;=$S88),$V88,IF(AND($R88&lt;&gt;"",EDATE($D88,Milestones!$AA$152)&gt;=$R88),$U88,$T88)))=Milestones!$AB$152),TEXT(EDATE($D88,Milestones!$AA$152),"dd/mm/yy")&amp;" "&amp;Milestones!$AB$152&amp;" "&amp;Milestones!$AC$152&amp;";  ","")&amp;IF(AND(EDATE($D88,Milestones!$AA$153)&lt;=AsOfDate,IF($Q88=0,$W88,IF(AND($S88&lt;&gt;"",EDATE($D88,Milestones!$AA$153)&gt;=$S88),$V88,IF(AND($R88&lt;&gt;"",EDATE($D88,Milestones!$AA$153)&gt;=$R88),$U88,$T88)))=Milestones!$AB$153),TEXT(EDATE($D88,Milestones!$AA$153),"dd/mm/yy")&amp;" "&amp;Milestones!$AB$153&amp;" "&amp;Milestones!$AC$153&amp;";  ","")&amp;IF(AND(EDATE($D88,Milestones!$AA$154)&lt;=AsOfDate,IF($Q88=0,$W88,IF(AND($S88&lt;&gt;"",EDATE($D88,Milestones!$AA$154)&gt;=$S88),$V88,IF(AND($R88&lt;&gt;"",EDATE($D88,Milestones!$AA$154)&gt;=$R88),$U88,$T88)))=Milestones!$AB$154),TEXT(EDATE($D88,Milestones!$AA$154),"dd/mm/yy")&amp;" "&amp;Milestones!$AB$154&amp;" "&amp;Milestones!$AC$154&amp;";  ","")&amp;IF(AND(EDATE($D88,Milestones!$AA$155)&lt;=AsOfDate,IF($Q88=0,$W88,IF(AND($S88&lt;&gt;"",EDATE($D88,Milestones!$AA$155)&gt;=$S88),$V88,IF(AND($R88&lt;&gt;"",EDATE($D88,Milestones!$AA$155)&gt;=$R88),$U88,$T88)))=Milestones!$AB$155),TEXT(EDATE($D88,Milestones!$AA$155),"dd/mm/yy")&amp;" "&amp;Milestones!$AB$155&amp;" "&amp;Milestones!$AC$155&amp;";  ","")&amp;IF(AND(EDATE($D88,Milestones!$AA$156)&lt;=AsOfDate,IF($Q88=0,$W88,IF(AND($S88&lt;&gt;"",EDATE($D88,Milestones!$AA$156)&gt;=$S88),$V88,IF(AND($R88&lt;&gt;"",EDATE($D88,Milestones!$AA$156)&gt;=$R88),$U88,$T88)))=Milestones!$AB$156),TEXT(EDATE($D88,Milestones!$AA$156),"dd/mm/yy")&amp;" "&amp;Milestones!$AB$156&amp;" "&amp;Milestones!$AC$156&amp;";  ","")&amp;IF(AND(EDATE($D88,Milestones!$AA$157)&lt;=AsOfDate,IF($Q88=0,$W88,IF(AND($S88&lt;&gt;"",EDATE($D88,Milestones!$AA$157)&gt;=$S88),$V88,IF(AND($R88&lt;&gt;"",EDATE($D88,Milestones!$AA$157)&gt;=$R88),$U88,$T88)))=Milestones!$AB$157),TEXT(EDATE($D88,Milestones!$AA$157),"dd/mm/yy")&amp;" "&amp;Milestones!$AB$157&amp;" "&amp;Milestones!$AC$157&amp;";  ","")&amp;IF(AND(EDATE($D88,Milestones!$AA$158)&lt;=AsOfDate,IF($Q88=0,$W88,IF(AND($S88&lt;&gt;"",EDATE($D88,Milestones!$AA$158)&gt;=$S88),$V88,IF(AND($R88&lt;&gt;"",EDATE($D88,Milestones!$AA$158)&gt;=$R88),$U88,$T88)))=Milestones!$AB$158),TEXT(EDATE($D88,Milestones!$AA$158),"dd/mm/yy")&amp;" "&amp;Milestones!$AB$158&amp;" "&amp;Milestones!$AC$158&amp;";  ","")&amp;IF(AND(EDATE($D88,Milestones!$AA$159)&lt;=AsOfDate,IF($Q88=0,$W88,IF(AND($S88&lt;&gt;"",EDATE($D88,Milestones!$AA$159)&gt;=$S88),$V88,IF(AND($R88&lt;&gt;"",EDATE($D88,Milestones!$AA$159)&gt;=$R88),$U88,$T88)))=Milestones!$AB$159),TEXT(EDATE($D88,Milestones!$AA$159),"dd/mm/yy")&amp;" "&amp;Milestones!$AB$159&amp;" "&amp;Milestones!$AC$159&amp;";  ",""))</f>
        <v/>
      </c>
      <c r="O88" s="0" t="str">
        <f aca="false">IF(OR($A88="",$D88=""),"",IF(AND(EDATE($D88,Milestones!$AA$160)&lt;=AsOfDate,IF($Q88=0,$W88,IF(AND($S88&lt;&gt;"",EDATE($D88,Milestones!$AA$160)&gt;=$S88),$V88,IF(AND($R88&lt;&gt;"",EDATE($D88,Milestones!$AA$160)&gt;=$R88),$U88,$T88)))=Milestones!$AB$160),TEXT(EDATE($D88,Milestones!$AA$160),"dd/mm/yy")&amp;" "&amp;Milestones!$AB$160&amp;" "&amp;Milestones!$AC$160&amp;";  ","")&amp;IF(AND(EDATE($D88,Milestones!$AA$161)&lt;=AsOfDate,IF($Q88=0,$W88,IF(AND($S88&lt;&gt;"",EDATE($D88,Milestones!$AA$161)&gt;=$S88),$V88,IF(AND($R88&lt;&gt;"",EDATE($D88,Milestones!$AA$161)&gt;=$R88),$U88,$T88)))=Milestones!$AB$161),TEXT(EDATE($D88,Milestones!$AA$161),"dd/mm/yy")&amp;" "&amp;Milestones!$AB$161&amp;" "&amp;Milestones!$AC$161&amp;";  ","")&amp;IF(AND(EDATE($D88,Milestones!$AA$162)&lt;=AsOfDate,IF($Q88=0,$W88,IF(AND($S88&lt;&gt;"",EDATE($D88,Milestones!$AA$162)&gt;=$S88),$V88,IF(AND($R88&lt;&gt;"",EDATE($D88,Milestones!$AA$162)&gt;=$R88),$U88,$T88)))=Milestones!$AB$162),TEXT(EDATE($D88,Milestones!$AA$162),"dd/mm/yy")&amp;" "&amp;Milestones!$AB$162&amp;" "&amp;Milestones!$AC$162&amp;";  ","")&amp;IF(AND(EDATE($D88,Milestones!$AA$163)&lt;=AsOfDate,IF($Q88=0,$W88,IF(AND($S88&lt;&gt;"",EDATE($D88,Milestones!$AA$163)&gt;=$S88),$V88,IF(AND($R88&lt;&gt;"",EDATE($D88,Milestones!$AA$163)&gt;=$R88),$U88,$T88)))=Milestones!$AB$163),TEXT(EDATE($D88,Milestones!$AA$163),"dd/mm/yy")&amp;" "&amp;Milestones!$AB$163&amp;" "&amp;Milestones!$AC$163&amp;";  ","")&amp;IF(AND(EDATE($D88,Milestones!$AA$164)&lt;=AsOfDate,IF($Q88=0,$W88,IF(AND($S88&lt;&gt;"",EDATE($D88,Milestones!$AA$164)&gt;=$S88),$V88,IF(AND($R88&lt;&gt;"",EDATE($D88,Milestones!$AA$164)&gt;=$R88),$U88,$T88)))=Milestones!$AB$164),TEXT(EDATE($D88,Milestones!$AA$164),"dd/mm/yy")&amp;" "&amp;Milestones!$AB$164&amp;" "&amp;Milestones!$AC$164&amp;";  ","")&amp;IF(AND(EDATE($D88,Milestones!$AA$165)&lt;=AsOfDate,IF($Q88=0,$W88,IF(AND($S88&lt;&gt;"",EDATE($D88,Milestones!$AA$165)&gt;=$S88),$V88,IF(AND($R88&lt;&gt;"",EDATE($D88,Milestones!$AA$165)&gt;=$R88),$U88,$T88)))=Milestones!$AB$165),TEXT(EDATE($D88,Milestones!$AA$165),"dd/mm/yy")&amp;" "&amp;Milestones!$AB$165&amp;" "&amp;Milestones!$AC$165&amp;";  ","")&amp;IF(AND(EDATE($D88,Milestones!$AA$166)&lt;=AsOfDate,IF($Q88=0,$W88,IF(AND($S88&lt;&gt;"",EDATE($D88,Milestones!$AA$166)&gt;=$S88),$V88,IF(AND($R88&lt;&gt;"",EDATE($D88,Milestones!$AA$166)&gt;=$R88),$U88,$T88)))=Milestones!$AB$166),TEXT(EDATE($D88,Milestones!$AA$166),"dd/mm/yy")&amp;" "&amp;Milestones!$AB$166&amp;" "&amp;Milestones!$AC$166&amp;";  ","")&amp;IF(AND(EDATE($D88,Milestones!$AA$167)&lt;=AsOfDate,IF($Q88=0,$W88,IF(AND($S88&lt;&gt;"",EDATE($D88,Milestones!$AA$167)&gt;=$S88),$V88,IF(AND($R88&lt;&gt;"",EDATE($D88,Milestones!$AA$167)&gt;=$R88),$U88,$T88)))=Milestones!$AB$167),TEXT(EDATE($D88,Milestones!$AA$167),"dd/mm/yy")&amp;" "&amp;Milestones!$AB$167&amp;" "&amp;Milestones!$AC$167&amp;";  ","")&amp;IF(AND(EDATE($D88,Milestones!$AA$168)&lt;=AsOfDate,IF($Q88=0,$W88,IF(AND($S88&lt;&gt;"",EDATE($D88,Milestones!$AA$168)&gt;=$S88),$V88,IF(AND($R88&lt;&gt;"",EDATE($D88,Milestones!$AA$168)&gt;=$R88),$U88,$T88)))=Milestones!$AB$168),TEXT(EDATE($D88,Milestones!$AA$168),"dd/mm/yy")&amp;" "&amp;Milestones!$AB$168&amp;" "&amp;Milestones!$AC$168&amp;";  ","")&amp;IF(AND(EDATE($D88,Milestones!$AA$169)&lt;=AsOfDate,IF($Q88=0,$W88,IF(AND($S88&lt;&gt;"",EDATE($D88,Milestones!$AA$169)&gt;=$S88),$V88,IF(AND($R88&lt;&gt;"",EDATE($D88,Milestones!$AA$169)&gt;=$R88),$U88,$T88)))=Milestones!$AB$169),TEXT(EDATE($D88,Milestones!$AA$169),"dd/mm/yy")&amp;" "&amp;Milestones!$AB$169&amp;" "&amp;Milestones!$AC$169&amp;";  ","")&amp;IF(AND(EDATE($D88,Milestones!$AA$170)&lt;=AsOfDate,IF($Q88=0,$W88,IF(AND($S88&lt;&gt;"",EDATE($D88,Milestones!$AA$170)&gt;=$S88),$V88,IF(AND($R88&lt;&gt;"",EDATE($D88,Milestones!$AA$170)&gt;=$R88),$U88,$T88)))=Milestones!$AB$170),TEXT(EDATE($D88,Milestones!$AA$170),"dd/mm/yy")&amp;" "&amp;Milestones!$AB$170&amp;" "&amp;Milestones!$AC$170&amp;";  ","")&amp;IF(AND(EDATE($D88,Milestones!$AA$171)&lt;=AsOfDate,IF($Q88=0,$W88,IF(AND($S88&lt;&gt;"",EDATE($D88,Milestones!$AA$171)&gt;=$S88),$V88,IF(AND($R88&lt;&gt;"",EDATE($D88,Milestones!$AA$171)&gt;=$R88),$U88,$T88)))=Milestones!$AB$171),TEXT(EDATE($D88,Milestones!$AA$171),"dd/mm/yy")&amp;" "&amp;Milestones!$AB$171&amp;" "&amp;Milestones!$AC$171&amp;";  ","")&amp;IF(AND(EDATE($D88,Milestones!$AA$172)&lt;=AsOfDate,IF($Q88=0,$W88,IF(AND($S88&lt;&gt;"",EDATE($D88,Milestones!$AA$172)&gt;=$S88),$V88,IF(AND($R88&lt;&gt;"",EDATE($D88,Milestones!$AA$172)&gt;=$R88),$U88,$T88)))=Milestones!$AB$172),TEXT(EDATE($D88,Milestones!$AA$172),"dd/mm/yy")&amp;" "&amp;Milestones!$AB$172&amp;" "&amp;Milestones!$AC$172&amp;";  ","")&amp;IF(AND(EDATE($D88,Milestones!$AA$173)&lt;=AsOfDate,IF($Q88=0,$W88,IF(AND($S88&lt;&gt;"",EDATE($D88,Milestones!$AA$173)&gt;=$S88),$V88,IF(AND($R88&lt;&gt;"",EDATE($D88,Milestones!$AA$173)&gt;=$R88),$U88,$T88)))=Milestones!$AB$173),TEXT(EDATE($D88,Milestones!$AA$173),"dd/mm/yy")&amp;" "&amp;Milestones!$AB$173&amp;" "&amp;Milestones!$AC$173&amp;";  ","")&amp;IF(AND(EDATE($D88,Milestones!$AA$174)&lt;=AsOfDate,IF($Q88=0,$W88,IF(AND($S88&lt;&gt;"",EDATE($D88,Milestones!$AA$174)&gt;=$S88),$V88,IF(AND($R88&lt;&gt;"",EDATE($D88,Milestones!$AA$174)&gt;=$R88),$U88,$T88)))=Milestones!$AB$174),TEXT(EDATE($D88,Milestones!$AA$174),"dd/mm/yy")&amp;" "&amp;Milestones!$AB$174&amp;" "&amp;Milestones!$AC$174&amp;";  ","")&amp;IF(AND(EDATE($D88,Milestones!$AA$175)&lt;=AsOfDate,IF($Q88=0,$W88,IF(AND($S88&lt;&gt;"",EDATE($D88,Milestones!$AA$175)&gt;=$S88),$V88,IF(AND($R88&lt;&gt;"",EDATE($D88,Milestones!$AA$175)&gt;=$R88),$U88,$T88)))=Milestones!$AB$175),TEXT(EDATE($D88,Milestones!$AA$175),"dd/mm/yy")&amp;" "&amp;Milestones!$AB$175&amp;" "&amp;Milestones!$AC$175&amp;";  ","")&amp;IF(AND(EDATE($D88,Milestones!$AA$176)&lt;=AsOfDate,IF($Q88=0,$W88,IF(AND($S88&lt;&gt;"",EDATE($D88,Milestones!$AA$176)&gt;=$S88),$V88,IF(AND($R88&lt;&gt;"",EDATE($D88,Milestones!$AA$176)&gt;=$R88),$U88,$T88)))=Milestones!$AB$176),TEXT(EDATE($D88,Milestones!$AA$176),"dd/mm/yy")&amp;" "&amp;Milestones!$AB$176&amp;" "&amp;Milestones!$AC$176&amp;";  ","")&amp;IF(AND(EDATE($D88,Milestones!$AA$177)&lt;=AsOfDate,IF($Q88=0,$W88,IF(AND($S88&lt;&gt;"",EDATE($D88,Milestones!$AA$177)&gt;=$S88),$V88,IF(AND($R88&lt;&gt;"",EDATE($D88,Milestones!$AA$177)&gt;=$R88),$U88,$T88)))=Milestones!$AB$177),TEXT(EDATE($D88,Milestones!$AA$177),"dd/mm/yy")&amp;" "&amp;Milestones!$AB$177&amp;" "&amp;Milestones!$AC$177&amp;";  ","")&amp;IF(AND(EDATE($D88,Milestones!$AA$178)&lt;=AsOfDate,IF($Q88=0,$W88,IF(AND($S88&lt;&gt;"",EDATE($D88,Milestones!$AA$178)&gt;=$S88),$V88,IF(AND($R88&lt;&gt;"",EDATE($D88,Milestones!$AA$178)&gt;=$R88),$U88,$T88)))=Milestones!$AB$178),TEXT(EDATE($D88,Milestones!$AA$178),"dd/mm/yy")&amp;" "&amp;Milestones!$AB$178&amp;" "&amp;Milestones!$AC$178&amp;";  ","")&amp;IF(AND(EDATE($D88,Milestones!$AA$179)&lt;=AsOfDate,IF($Q88=0,$W88,IF(AND($S88&lt;&gt;"",EDATE($D88,Milestones!$AA$179)&gt;=$S88),$V88,IF(AND($R88&lt;&gt;"",EDATE($D88,Milestones!$AA$179)&gt;=$R88),$U88,$T88)))=Milestones!$AB$179),TEXT(EDATE($D88,Milestones!$AA$179),"dd/mm/yy")&amp;" "&amp;Milestones!$AB$179&amp;" "&amp;Milestones!$AC$179&amp;";  ",""))</f>
        <v/>
      </c>
      <c r="P88" s="0" t="str">
        <f aca="false">IF(OR($A88="",$D88=""),"",IF(AND(EDATE($D88,Milestones!$AA$180)&lt;=AsOfDate,IF($Q88=0,$W88,IF(AND($S88&lt;&gt;"",EDATE($D88,Milestones!$AA$180)&gt;=$S88),$V88,IF(AND($R88&lt;&gt;"",EDATE($D88,Milestones!$AA$180)&gt;=$R88),$U88,$T88)))=Milestones!$AB$180),TEXT(EDATE($D88,Milestones!$AA$180),"dd/mm/yy")&amp;" "&amp;Milestones!$AB$180&amp;" "&amp;Milestones!$AC$180&amp;";  ","")&amp;IF(AND(EDATE($D88,Milestones!$AA$181)&lt;=AsOfDate,IF($Q88=0,$W88,IF(AND($S88&lt;&gt;"",EDATE($D88,Milestones!$AA$181)&gt;=$S88),$V88,IF(AND($R88&lt;&gt;"",EDATE($D88,Milestones!$AA$181)&gt;=$R88),$U88,$T88)))=Milestones!$AB$181),TEXT(EDATE($D88,Milestones!$AA$181),"dd/mm/yy")&amp;" "&amp;Milestones!$AB$181&amp;" "&amp;Milestones!$AC$181&amp;";  ","")&amp;IF(AND(EDATE($D88,Milestones!$AA$182)&lt;=AsOfDate,IF($Q88=0,$W88,IF(AND($S88&lt;&gt;"",EDATE($D88,Milestones!$AA$182)&gt;=$S88),$V88,IF(AND($R88&lt;&gt;"",EDATE($D88,Milestones!$AA$182)&gt;=$R88),$U88,$T88)))=Milestones!$AB$182),TEXT(EDATE($D88,Milestones!$AA$182),"dd/mm/yy")&amp;" "&amp;Milestones!$AB$182&amp;" "&amp;Milestones!$AC$182&amp;";  ","")&amp;IF(AND(EDATE($D88,Milestones!$AA$183)&lt;=AsOfDate,IF($Q88=0,$W88,IF(AND($S88&lt;&gt;"",EDATE($D88,Milestones!$AA$183)&gt;=$S88),$V88,IF(AND($R88&lt;&gt;"",EDATE($D88,Milestones!$AA$183)&gt;=$R88),$U88,$T88)))=Milestones!$AB$183),TEXT(EDATE($D88,Milestones!$AA$183),"dd/mm/yy")&amp;" "&amp;Milestones!$AB$183&amp;" "&amp;Milestones!$AC$183&amp;";  ","")&amp;IF(AND(EDATE($D88,Milestones!$AA$184)&lt;=AsOfDate,IF($Q88=0,$W88,IF(AND($S88&lt;&gt;"",EDATE($D88,Milestones!$AA$184)&gt;=$S88),$V88,IF(AND($R88&lt;&gt;"",EDATE($D88,Milestones!$AA$184)&gt;=$R88),$U88,$T88)))=Milestones!$AB$184),TEXT(EDATE($D88,Milestones!$AA$184),"dd/mm/yy")&amp;" "&amp;Milestones!$AB$184&amp;" "&amp;Milestones!$AC$184&amp;";  ","")&amp;IF(AND(EDATE($D88,Milestones!$AA$185)&lt;=AsOfDate,IF($Q88=0,$W88,IF(AND($S88&lt;&gt;"",EDATE($D88,Milestones!$AA$185)&gt;=$S88),$V88,IF(AND($R88&lt;&gt;"",EDATE($D88,Milestones!$AA$185)&gt;=$R88),$U88,$T88)))=Milestones!$AB$185),TEXT(EDATE($D88,Milestones!$AA$185),"dd/mm/yy")&amp;" "&amp;Milestones!$AB$185&amp;" "&amp;Milestones!$AC$185&amp;";  ","")&amp;IF(AND(EDATE($D88,Milestones!$AA$186)&lt;=AsOfDate,IF($Q88=0,$W88,IF(AND($S88&lt;&gt;"",EDATE($D88,Milestones!$AA$186)&gt;=$S88),$V88,IF(AND($R88&lt;&gt;"",EDATE($D88,Milestones!$AA$186)&gt;=$R88),$U88,$T88)))=Milestones!$AB$186),TEXT(EDATE($D88,Milestones!$AA$186),"dd/mm/yy")&amp;" "&amp;Milestones!$AB$186&amp;" "&amp;Milestones!$AC$186&amp;";  ","")&amp;IF(AND(EDATE($D88,Milestones!$AA$187)&lt;=AsOfDate,IF($Q88=0,$W88,IF(AND($S88&lt;&gt;"",EDATE($D88,Milestones!$AA$187)&gt;=$S88),$V88,IF(AND($R88&lt;&gt;"",EDATE($D88,Milestones!$AA$187)&gt;=$R88),$U88,$T88)))=Milestones!$AB$187),TEXT(EDATE($D88,Milestones!$AA$187),"dd/mm/yy")&amp;" "&amp;Milestones!$AB$187&amp;" "&amp;Milestones!$AC$187&amp;";  ","")&amp;IF(AND(EDATE($D88,Milestones!$AA$188)&lt;=AsOfDate,IF($Q88=0,$W88,IF(AND($S88&lt;&gt;"",EDATE($D88,Milestones!$AA$188)&gt;=$S88),$V88,IF(AND($R88&lt;&gt;"",EDATE($D88,Milestones!$AA$188)&gt;=$R88),$U88,$T88)))=Milestones!$AB$188),TEXT(EDATE($D88,Milestones!$AA$188),"dd/mm/yy")&amp;" "&amp;Milestones!$AB$188&amp;" "&amp;Milestones!$AC$188&amp;";  ","")&amp;IF(AND(EDATE($D88,Milestones!$AA$189)&lt;=AsOfDate,IF($Q88=0,$W88,IF(AND($S88&lt;&gt;"",EDATE($D88,Milestones!$AA$189)&gt;=$S88),$V88,IF(AND($R88&lt;&gt;"",EDATE($D88,Milestones!$AA$189)&gt;=$R88),$U88,$T88)))=Milestones!$AB$189),TEXT(EDATE($D88,Milestones!$AA$189),"dd/mm/yy")&amp;" "&amp;Milestones!$AB$189&amp;" "&amp;Milestones!$AC$189&amp;";  ","")&amp;IF(AND(EDATE($D88,Milestones!$AA$190)&lt;=AsOfDate,IF($Q88=0,$W88,IF(AND($S88&lt;&gt;"",EDATE($D88,Milestones!$AA$190)&gt;=$S88),$V88,IF(AND($R88&lt;&gt;"",EDATE($D88,Milestones!$AA$190)&gt;=$R88),$U88,$T88)))=Milestones!$AB$190),TEXT(EDATE($D88,Milestones!$AA$190),"dd/mm/yy")&amp;" "&amp;Milestones!$AB$190&amp;" "&amp;Milestones!$AC$190&amp;";  ","")&amp;IF(AND(EDATE($D88,Milestones!$AA$191)&lt;=AsOfDate,IF($Q88=0,$W88,IF(AND($S88&lt;&gt;"",EDATE($D88,Milestones!$AA$191)&gt;=$S88),$V88,IF(AND($R88&lt;&gt;"",EDATE($D88,Milestones!$AA$191)&gt;=$R88),$U88,$T88)))=Milestones!$AB$191),TEXT(EDATE($D88,Milestones!$AA$191),"dd/mm/yy")&amp;" "&amp;Milestones!$AB$191&amp;" "&amp;Milestones!$AC$191&amp;";  ","")&amp;IF(AND(EDATE($D88,Milestones!$AA$192)&lt;=AsOfDate,IF($Q88=0,$W88,IF(AND($S88&lt;&gt;"",EDATE($D88,Milestones!$AA$192)&gt;=$S88),$V88,IF(AND($R88&lt;&gt;"",EDATE($D88,Milestones!$AA$192)&gt;=$R88),$U88,$T88)))=Milestones!$AB$192),TEXT(EDATE($D88,Milestones!$AA$192),"dd/mm/yy")&amp;" "&amp;Milestones!$AB$192&amp;" "&amp;Milestones!$AC$192&amp;";  ","")&amp;IF(AND(EDATE($D88,Milestones!$AA$193)&lt;=AsOfDate,IF($Q88=0,$W88,IF(AND($S88&lt;&gt;"",EDATE($D88,Milestones!$AA$193)&gt;=$S88),$V88,IF(AND($R88&lt;&gt;"",EDATE($D88,Milestones!$AA$193)&gt;=$R88),$U88,$T88)))=Milestones!$AB$193),TEXT(EDATE($D88,Milestones!$AA$193),"dd/mm/yy")&amp;" "&amp;Milestones!$AB$193&amp;" "&amp;Milestones!$AC$193&amp;";  ","")&amp;IF(AND(EDATE($D88,Milestones!$AA$194)&lt;=AsOfDate,IF($Q88=0,$W88,IF(AND($S88&lt;&gt;"",EDATE($D88,Milestones!$AA$194)&gt;=$S88),$V88,IF(AND($R88&lt;&gt;"",EDATE($D88,Milestones!$AA$194)&gt;=$R88),$U88,$T88)))=Milestones!$AB$194),TEXT(EDATE($D88,Milestones!$AA$194),"dd/mm/yy")&amp;" "&amp;Milestones!$AB$194&amp;" "&amp;Milestones!$AC$194&amp;";  ","")&amp;IF(AND(EDATE($D88,Milestones!$AA$195)&lt;=AsOfDate,IF($Q88=0,$W88,IF(AND($S88&lt;&gt;"",EDATE($D88,Milestones!$AA$195)&gt;=$S88),$V88,IF(AND($R88&lt;&gt;"",EDATE($D88,Milestones!$AA$195)&gt;=$R88),$U88,$T88)))=Milestones!$AB$195),TEXT(EDATE($D88,Milestones!$AA$195),"dd/mm/yy")&amp;" "&amp;Milestones!$AB$195&amp;" "&amp;Milestones!$AC$195&amp;";  ","")&amp;IF(AND(EDATE($D88,Milestones!$AA$196)&lt;=AsOfDate,IF($Q88=0,$W88,IF(AND($S88&lt;&gt;"",EDATE($D88,Milestones!$AA$196)&gt;=$S88),$V88,IF(AND($R88&lt;&gt;"",EDATE($D88,Milestones!$AA$196)&gt;=$R88),$U88,$T88)))=Milestones!$AB$196),TEXT(EDATE($D88,Milestones!$AA$196),"dd/mm/yy")&amp;" "&amp;Milestones!$AB$196&amp;" "&amp;Milestones!$AC$196&amp;";  ","")&amp;IF(AND(EDATE($D88,Milestones!$AA$197)&lt;=AsOfDate,IF($Q88=0,$W88,IF(AND($S88&lt;&gt;"",EDATE($D88,Milestones!$AA$197)&gt;=$S88),$V88,IF(AND($R88&lt;&gt;"",EDATE($D88,Milestones!$AA$197)&gt;=$R88),$U88,$T88)))=Milestones!$AB$197),TEXT(EDATE($D88,Milestones!$AA$197),"dd/mm/yy")&amp;" "&amp;Milestones!$AB$197&amp;" "&amp;Milestones!$AC$197&amp;";  ","")&amp;IF(AND(EDATE($D88,Milestones!$AA$198)&lt;=AsOfDate,IF($Q88=0,$W88,IF(AND($S88&lt;&gt;"",EDATE($D88,Milestones!$AA$198)&gt;=$S88),$V88,IF(AND($R88&lt;&gt;"",EDATE($D88,Milestones!$AA$198)&gt;=$R88),$U88,$T88)))=Milestones!$AB$198),TEXT(EDATE($D88,Milestones!$AA$198),"dd/mm/yy")&amp;" "&amp;Milestones!$AB$198&amp;" "&amp;Milestones!$AC$198&amp;";  ","")&amp;IF(AND(EDATE($D88,Milestones!$AA$199)&lt;=AsOfDate,IF($Q88=0,$W88,IF(AND($S88&lt;&gt;"",EDATE($D88,Milestones!$AA$199)&gt;=$S88),$V88,IF(AND($R88&lt;&gt;"",EDATE($D88,Milestones!$AA$199)&gt;=$R88),$U88,$T88)))=Milestones!$AB$199),TEXT(EDATE($D88,Milestones!$AA$199),"dd/mm/yy")&amp;" "&amp;Milestones!$AB$199&amp;" "&amp;Milestones!$AC$199&amp;";  ",""))</f>
        <v/>
      </c>
      <c r="Q88" s="0" t="str">
        <f aca="false">IF(Staff!$A88="","",Staff!$AG88)</f>
        <v/>
      </c>
      <c r="R88" s="0" t="str">
        <f aca="false">IF(Staff!$A88="","",Staff!$AI88)</f>
        <v/>
      </c>
      <c r="S88" s="0" t="str">
        <f aca="false">IF(Staff!$A88="","",Staff!$AJ88)</f>
        <v/>
      </c>
      <c r="T88" s="0" t="str">
        <f aca="false">IF(Staff!$A88="","",Staff!$AN88)</f>
        <v/>
      </c>
      <c r="U88" s="0" t="str">
        <f aca="false">IF(Staff!$A88="","",Staff!$AO88)</f>
        <v/>
      </c>
      <c r="V88" s="0" t="str">
        <f aca="false">IF(Staff!$A88="","",Staff!$AP88)</f>
        <v/>
      </c>
      <c r="W88" s="0" t="str">
        <f aca="false">IF(Staff!$A88="","",Staff!$AQ88)</f>
        <v/>
      </c>
    </row>
    <row r="89" customFormat="false" ht="15" hidden="false" customHeight="false" outlineLevel="0" collapsed="false">
      <c r="A89" s="13" t="str">
        <f aca="false">IF(Staff!$A89="","",Staff!$A89)</f>
        <v/>
      </c>
      <c r="B89" s="13" t="str">
        <f aca="false">IF(Staff!$A89="","",Staff!$B89)</f>
        <v/>
      </c>
      <c r="C89" s="13" t="str">
        <f aca="false">IF(Staff!$A89="","",Staff!$C89)</f>
        <v/>
      </c>
      <c r="D89" s="11" t="str">
        <f aca="false">IF(Staff!$A89="","",Staff!$AF89)</f>
        <v/>
      </c>
      <c r="E89" s="13" t="str">
        <f aca="false">IF(Staff!$A89="","",Staff!$O89)</f>
        <v/>
      </c>
      <c r="F89" s="13" t="str">
        <f aca="false">IF(E89="","",E89*HoursPerDay)</f>
        <v/>
      </c>
      <c r="G89" s="26" t="str">
        <f aca="false">IF($A89="","",H89&amp;I89&amp;J89&amp;K89&amp;L89&amp;M89&amp;N89&amp;O89&amp;P89)</f>
        <v/>
      </c>
      <c r="H89" s="0" t="str">
        <f aca="false">IF(OR($A89="",$D89=""),"",IF(AND(EDATE($D89,Milestones!$AA$20)&lt;=AsOfDate,IF($Q89=0,$W89,IF(AND($S89&lt;&gt;"",EDATE($D89,Milestones!$AA$20)&gt;=$S89),$V89,IF(AND($R89&lt;&gt;"",EDATE($D89,Milestones!$AA$20)&gt;=$R89),$U89,$T89)))=Milestones!$AB$20),TEXT(EDATE($D89,Milestones!$AA$20),"dd/mm/yy")&amp;" "&amp;Milestones!$AB$20&amp;" "&amp;Milestones!$AC$20&amp;";  ","")&amp;IF(AND(EDATE($D89,Milestones!$AA$21)&lt;=AsOfDate,IF($Q89=0,$W89,IF(AND($S89&lt;&gt;"",EDATE($D89,Milestones!$AA$21)&gt;=$S89),$V89,IF(AND($R89&lt;&gt;"",EDATE($D89,Milestones!$AA$21)&gt;=$R89),$U89,$T89)))=Milestones!$AB$21),TEXT(EDATE($D89,Milestones!$AA$21),"dd/mm/yy")&amp;" "&amp;Milestones!$AB$21&amp;" "&amp;Milestones!$AC$21&amp;";  ","")&amp;IF(AND(EDATE($D89,Milestones!$AA$22)&lt;=AsOfDate,IF($Q89=0,$W89,IF(AND($S89&lt;&gt;"",EDATE($D89,Milestones!$AA$22)&gt;=$S89),$V89,IF(AND($R89&lt;&gt;"",EDATE($D89,Milestones!$AA$22)&gt;=$R89),$U89,$T89)))=Milestones!$AB$22),TEXT(EDATE($D89,Milestones!$AA$22),"dd/mm/yy")&amp;" "&amp;Milestones!$AB$22&amp;" "&amp;Milestones!$AC$22&amp;";  ","")&amp;IF(AND(EDATE($D89,Milestones!$AA$23)&lt;=AsOfDate,IF($Q89=0,$W89,IF(AND($S89&lt;&gt;"",EDATE($D89,Milestones!$AA$23)&gt;=$S89),$V89,IF(AND($R89&lt;&gt;"",EDATE($D89,Milestones!$AA$23)&gt;=$R89),$U89,$T89)))=Milestones!$AB$23),TEXT(EDATE($D89,Milestones!$AA$23),"dd/mm/yy")&amp;" "&amp;Milestones!$AB$23&amp;" "&amp;Milestones!$AC$23&amp;";  ","")&amp;IF(AND(EDATE($D89,Milestones!$AA$24)&lt;=AsOfDate,IF($Q89=0,$W89,IF(AND($S89&lt;&gt;"",EDATE($D89,Milestones!$AA$24)&gt;=$S89),$V89,IF(AND($R89&lt;&gt;"",EDATE($D89,Milestones!$AA$24)&gt;=$R89),$U89,$T89)))=Milestones!$AB$24),TEXT(EDATE($D89,Milestones!$AA$24),"dd/mm/yy")&amp;" "&amp;Milestones!$AB$24&amp;" "&amp;Milestones!$AC$24&amp;";  ","")&amp;IF(AND(EDATE($D89,Milestones!$AA$25)&lt;=AsOfDate,IF($Q89=0,$W89,IF(AND($S89&lt;&gt;"",EDATE($D89,Milestones!$AA$25)&gt;=$S89),$V89,IF(AND($R89&lt;&gt;"",EDATE($D89,Milestones!$AA$25)&gt;=$R89),$U89,$T89)))=Milestones!$AB$25),TEXT(EDATE($D89,Milestones!$AA$25),"dd/mm/yy")&amp;" "&amp;Milestones!$AB$25&amp;" "&amp;Milestones!$AC$25&amp;";  ","")&amp;IF(AND(EDATE($D89,Milestones!$AA$26)&lt;=AsOfDate,IF($Q89=0,$W89,IF(AND($S89&lt;&gt;"",EDATE($D89,Milestones!$AA$26)&gt;=$S89),$V89,IF(AND($R89&lt;&gt;"",EDATE($D89,Milestones!$AA$26)&gt;=$R89),$U89,$T89)))=Milestones!$AB$26),TEXT(EDATE($D89,Milestones!$AA$26),"dd/mm/yy")&amp;" "&amp;Milestones!$AB$26&amp;" "&amp;Milestones!$AC$26&amp;";  ","")&amp;IF(AND(EDATE($D89,Milestones!$AA$27)&lt;=AsOfDate,IF($Q89=0,$W89,IF(AND($S89&lt;&gt;"",EDATE($D89,Milestones!$AA$27)&gt;=$S89),$V89,IF(AND($R89&lt;&gt;"",EDATE($D89,Milestones!$AA$27)&gt;=$R89),$U89,$T89)))=Milestones!$AB$27),TEXT(EDATE($D89,Milestones!$AA$27),"dd/mm/yy")&amp;" "&amp;Milestones!$AB$27&amp;" "&amp;Milestones!$AC$27&amp;";  ","")&amp;IF(AND(EDATE($D89,Milestones!$AA$28)&lt;=AsOfDate,IF($Q89=0,$W89,IF(AND($S89&lt;&gt;"",EDATE($D89,Milestones!$AA$28)&gt;=$S89),$V89,IF(AND($R89&lt;&gt;"",EDATE($D89,Milestones!$AA$28)&gt;=$R89),$U89,$T89)))=Milestones!$AB$28),TEXT(EDATE($D89,Milestones!$AA$28),"dd/mm/yy")&amp;" "&amp;Milestones!$AB$28&amp;" "&amp;Milestones!$AC$28&amp;";  ","")&amp;IF(AND(EDATE($D89,Milestones!$AA$29)&lt;=AsOfDate,IF($Q89=0,$W89,IF(AND($S89&lt;&gt;"",EDATE($D89,Milestones!$AA$29)&gt;=$S89),$V89,IF(AND($R89&lt;&gt;"",EDATE($D89,Milestones!$AA$29)&gt;=$R89),$U89,$T89)))=Milestones!$AB$29),TEXT(EDATE($D89,Milestones!$AA$29),"dd/mm/yy")&amp;" "&amp;Milestones!$AB$29&amp;" "&amp;Milestones!$AC$29&amp;";  ","")&amp;IF(AND(EDATE($D89,Milestones!$AA$30)&lt;=AsOfDate,IF($Q89=0,$W89,IF(AND($S89&lt;&gt;"",EDATE($D89,Milestones!$AA$30)&gt;=$S89),$V89,IF(AND($R89&lt;&gt;"",EDATE($D89,Milestones!$AA$30)&gt;=$R89),$U89,$T89)))=Milestones!$AB$30),TEXT(EDATE($D89,Milestones!$AA$30),"dd/mm/yy")&amp;" "&amp;Milestones!$AB$30&amp;" "&amp;Milestones!$AC$30&amp;";  ","")&amp;IF(AND(EDATE($D89,Milestones!$AA$31)&lt;=AsOfDate,IF($Q89=0,$W89,IF(AND($S89&lt;&gt;"",EDATE($D89,Milestones!$AA$31)&gt;=$S89),$V89,IF(AND($R89&lt;&gt;"",EDATE($D89,Milestones!$AA$31)&gt;=$R89),$U89,$T89)))=Milestones!$AB$31),TEXT(EDATE($D89,Milestones!$AA$31),"dd/mm/yy")&amp;" "&amp;Milestones!$AB$31&amp;" "&amp;Milestones!$AC$31&amp;";  ","")&amp;IF(AND(EDATE($D89,Milestones!$AA$32)&lt;=AsOfDate,IF($Q89=0,$W89,IF(AND($S89&lt;&gt;"",EDATE($D89,Milestones!$AA$32)&gt;=$S89),$V89,IF(AND($R89&lt;&gt;"",EDATE($D89,Milestones!$AA$32)&gt;=$R89),$U89,$T89)))=Milestones!$AB$32),TEXT(EDATE($D89,Milestones!$AA$32),"dd/mm/yy")&amp;" "&amp;Milestones!$AB$32&amp;" "&amp;Milestones!$AC$32&amp;";  ","")&amp;IF(AND(EDATE($D89,Milestones!$AA$33)&lt;=AsOfDate,IF($Q89=0,$W89,IF(AND($S89&lt;&gt;"",EDATE($D89,Milestones!$AA$33)&gt;=$S89),$V89,IF(AND($R89&lt;&gt;"",EDATE($D89,Milestones!$AA$33)&gt;=$R89),$U89,$T89)))=Milestones!$AB$33),TEXT(EDATE($D89,Milestones!$AA$33),"dd/mm/yy")&amp;" "&amp;Milestones!$AB$33&amp;" "&amp;Milestones!$AC$33&amp;";  ","")&amp;IF(AND(EDATE($D89,Milestones!$AA$34)&lt;=AsOfDate,IF($Q89=0,$W89,IF(AND($S89&lt;&gt;"",EDATE($D89,Milestones!$AA$34)&gt;=$S89),$V89,IF(AND($R89&lt;&gt;"",EDATE($D89,Milestones!$AA$34)&gt;=$R89),$U89,$T89)))=Milestones!$AB$34),TEXT(EDATE($D89,Milestones!$AA$34),"dd/mm/yy")&amp;" "&amp;Milestones!$AB$34&amp;" "&amp;Milestones!$AC$34&amp;";  ","")&amp;IF(AND(EDATE($D89,Milestones!$AA$35)&lt;=AsOfDate,IF($Q89=0,$W89,IF(AND($S89&lt;&gt;"",EDATE($D89,Milestones!$AA$35)&gt;=$S89),$V89,IF(AND($R89&lt;&gt;"",EDATE($D89,Milestones!$AA$35)&gt;=$R89),$U89,$T89)))=Milestones!$AB$35),TEXT(EDATE($D89,Milestones!$AA$35),"dd/mm/yy")&amp;" "&amp;Milestones!$AB$35&amp;" "&amp;Milestones!$AC$35&amp;";  ","")&amp;IF(AND(EDATE($D89,Milestones!$AA$36)&lt;=AsOfDate,IF($Q89=0,$W89,IF(AND($S89&lt;&gt;"",EDATE($D89,Milestones!$AA$36)&gt;=$S89),$V89,IF(AND($R89&lt;&gt;"",EDATE($D89,Milestones!$AA$36)&gt;=$R89),$U89,$T89)))=Milestones!$AB$36),TEXT(EDATE($D89,Milestones!$AA$36),"dd/mm/yy")&amp;" "&amp;Milestones!$AB$36&amp;" "&amp;Milestones!$AC$36&amp;";  ","")&amp;IF(AND(EDATE($D89,Milestones!$AA$37)&lt;=AsOfDate,IF($Q89=0,$W89,IF(AND($S89&lt;&gt;"",EDATE($D89,Milestones!$AA$37)&gt;=$S89),$V89,IF(AND($R89&lt;&gt;"",EDATE($D89,Milestones!$AA$37)&gt;=$R89),$U89,$T89)))=Milestones!$AB$37),TEXT(EDATE($D89,Milestones!$AA$37),"dd/mm/yy")&amp;" "&amp;Milestones!$AB$37&amp;" "&amp;Milestones!$AC$37&amp;";  ","")&amp;IF(AND(EDATE($D89,Milestones!$AA$38)&lt;=AsOfDate,IF($Q89=0,$W89,IF(AND($S89&lt;&gt;"",EDATE($D89,Milestones!$AA$38)&gt;=$S89),$V89,IF(AND($R89&lt;&gt;"",EDATE($D89,Milestones!$AA$38)&gt;=$R89),$U89,$T89)))=Milestones!$AB$38),TEXT(EDATE($D89,Milestones!$AA$38),"dd/mm/yy")&amp;" "&amp;Milestones!$AB$38&amp;" "&amp;Milestones!$AC$38&amp;";  ","")&amp;IF(AND(EDATE($D89,Milestones!$AA$39)&lt;=AsOfDate,IF($Q89=0,$W89,IF(AND($S89&lt;&gt;"",EDATE($D89,Milestones!$AA$39)&gt;=$S89),$V89,IF(AND($R89&lt;&gt;"",EDATE($D89,Milestones!$AA$39)&gt;=$R89),$U89,$T89)))=Milestones!$AB$39),TEXT(EDATE($D89,Milestones!$AA$39),"dd/mm/yy")&amp;" "&amp;Milestones!$AB$39&amp;" "&amp;Milestones!$AC$39&amp;";  ",""))</f>
        <v/>
      </c>
      <c r="I89" s="0" t="str">
        <f aca="false">IF(OR($A89="",$D89=""),"",IF(AND(EDATE($D89,Milestones!$AA$40)&lt;=AsOfDate,IF($Q89=0,$W89,IF(AND($S89&lt;&gt;"",EDATE($D89,Milestones!$AA$40)&gt;=$S89),$V89,IF(AND($R89&lt;&gt;"",EDATE($D89,Milestones!$AA$40)&gt;=$R89),$U89,$T89)))=Milestones!$AB$40),TEXT(EDATE($D89,Milestones!$AA$40),"dd/mm/yy")&amp;" "&amp;Milestones!$AB$40&amp;" "&amp;Milestones!$AC$40&amp;";  ","")&amp;IF(AND(EDATE($D89,Milestones!$AA$41)&lt;=AsOfDate,IF($Q89=0,$W89,IF(AND($S89&lt;&gt;"",EDATE($D89,Milestones!$AA$41)&gt;=$S89),$V89,IF(AND($R89&lt;&gt;"",EDATE($D89,Milestones!$AA$41)&gt;=$R89),$U89,$T89)))=Milestones!$AB$41),TEXT(EDATE($D89,Milestones!$AA$41),"dd/mm/yy")&amp;" "&amp;Milestones!$AB$41&amp;" "&amp;Milestones!$AC$41&amp;";  ","")&amp;IF(AND(EDATE($D89,Milestones!$AA$42)&lt;=AsOfDate,IF($Q89=0,$W89,IF(AND($S89&lt;&gt;"",EDATE($D89,Milestones!$AA$42)&gt;=$S89),$V89,IF(AND($R89&lt;&gt;"",EDATE($D89,Milestones!$AA$42)&gt;=$R89),$U89,$T89)))=Milestones!$AB$42),TEXT(EDATE($D89,Milestones!$AA$42),"dd/mm/yy")&amp;" "&amp;Milestones!$AB$42&amp;" "&amp;Milestones!$AC$42&amp;";  ","")&amp;IF(AND(EDATE($D89,Milestones!$AA$43)&lt;=AsOfDate,IF($Q89=0,$W89,IF(AND($S89&lt;&gt;"",EDATE($D89,Milestones!$AA$43)&gt;=$S89),$V89,IF(AND($R89&lt;&gt;"",EDATE($D89,Milestones!$AA$43)&gt;=$R89),$U89,$T89)))=Milestones!$AB$43),TEXT(EDATE($D89,Milestones!$AA$43),"dd/mm/yy")&amp;" "&amp;Milestones!$AB$43&amp;" "&amp;Milestones!$AC$43&amp;";  ","")&amp;IF(AND(EDATE($D89,Milestones!$AA$44)&lt;=AsOfDate,IF($Q89=0,$W89,IF(AND($S89&lt;&gt;"",EDATE($D89,Milestones!$AA$44)&gt;=$S89),$V89,IF(AND($R89&lt;&gt;"",EDATE($D89,Milestones!$AA$44)&gt;=$R89),$U89,$T89)))=Milestones!$AB$44),TEXT(EDATE($D89,Milestones!$AA$44),"dd/mm/yy")&amp;" "&amp;Milestones!$AB$44&amp;" "&amp;Milestones!$AC$44&amp;";  ","")&amp;IF(AND(EDATE($D89,Milestones!$AA$45)&lt;=AsOfDate,IF($Q89=0,$W89,IF(AND($S89&lt;&gt;"",EDATE($D89,Milestones!$AA$45)&gt;=$S89),$V89,IF(AND($R89&lt;&gt;"",EDATE($D89,Milestones!$AA$45)&gt;=$R89),$U89,$T89)))=Milestones!$AB$45),TEXT(EDATE($D89,Milestones!$AA$45),"dd/mm/yy")&amp;" "&amp;Milestones!$AB$45&amp;" "&amp;Milestones!$AC$45&amp;";  ","")&amp;IF(AND(EDATE($D89,Milestones!$AA$46)&lt;=AsOfDate,IF($Q89=0,$W89,IF(AND($S89&lt;&gt;"",EDATE($D89,Milestones!$AA$46)&gt;=$S89),$V89,IF(AND($R89&lt;&gt;"",EDATE($D89,Milestones!$AA$46)&gt;=$R89),$U89,$T89)))=Milestones!$AB$46),TEXT(EDATE($D89,Milestones!$AA$46),"dd/mm/yy")&amp;" "&amp;Milestones!$AB$46&amp;" "&amp;Milestones!$AC$46&amp;";  ","")&amp;IF(AND(EDATE($D89,Milestones!$AA$47)&lt;=AsOfDate,IF($Q89=0,$W89,IF(AND($S89&lt;&gt;"",EDATE($D89,Milestones!$AA$47)&gt;=$S89),$V89,IF(AND($R89&lt;&gt;"",EDATE($D89,Milestones!$AA$47)&gt;=$R89),$U89,$T89)))=Milestones!$AB$47),TEXT(EDATE($D89,Milestones!$AA$47),"dd/mm/yy")&amp;" "&amp;Milestones!$AB$47&amp;" "&amp;Milestones!$AC$47&amp;";  ","")&amp;IF(AND(EDATE($D89,Milestones!$AA$48)&lt;=AsOfDate,IF($Q89=0,$W89,IF(AND($S89&lt;&gt;"",EDATE($D89,Milestones!$AA$48)&gt;=$S89),$V89,IF(AND($R89&lt;&gt;"",EDATE($D89,Milestones!$AA$48)&gt;=$R89),$U89,$T89)))=Milestones!$AB$48),TEXT(EDATE($D89,Milestones!$AA$48),"dd/mm/yy")&amp;" "&amp;Milestones!$AB$48&amp;" "&amp;Milestones!$AC$48&amp;";  ","")&amp;IF(AND(EDATE($D89,Milestones!$AA$49)&lt;=AsOfDate,IF($Q89=0,$W89,IF(AND($S89&lt;&gt;"",EDATE($D89,Milestones!$AA$49)&gt;=$S89),$V89,IF(AND($R89&lt;&gt;"",EDATE($D89,Milestones!$AA$49)&gt;=$R89),$U89,$T89)))=Milestones!$AB$49),TEXT(EDATE($D89,Milestones!$AA$49),"dd/mm/yy")&amp;" "&amp;Milestones!$AB$49&amp;" "&amp;Milestones!$AC$49&amp;";  ","")&amp;IF(AND(EDATE($D89,Milestones!$AA$50)&lt;=AsOfDate,IF($Q89=0,$W89,IF(AND($S89&lt;&gt;"",EDATE($D89,Milestones!$AA$50)&gt;=$S89),$V89,IF(AND($R89&lt;&gt;"",EDATE($D89,Milestones!$AA$50)&gt;=$R89),$U89,$T89)))=Milestones!$AB$50),TEXT(EDATE($D89,Milestones!$AA$50),"dd/mm/yy")&amp;" "&amp;Milestones!$AB$50&amp;" "&amp;Milestones!$AC$50&amp;";  ","")&amp;IF(AND(EDATE($D89,Milestones!$AA$51)&lt;=AsOfDate,IF($Q89=0,$W89,IF(AND($S89&lt;&gt;"",EDATE($D89,Milestones!$AA$51)&gt;=$S89),$V89,IF(AND($R89&lt;&gt;"",EDATE($D89,Milestones!$AA$51)&gt;=$R89),$U89,$T89)))=Milestones!$AB$51),TEXT(EDATE($D89,Milestones!$AA$51),"dd/mm/yy")&amp;" "&amp;Milestones!$AB$51&amp;" "&amp;Milestones!$AC$51&amp;";  ","")&amp;IF(AND(EDATE($D89,Milestones!$AA$52)&lt;=AsOfDate,IF($Q89=0,$W89,IF(AND($S89&lt;&gt;"",EDATE($D89,Milestones!$AA$52)&gt;=$S89),$V89,IF(AND($R89&lt;&gt;"",EDATE($D89,Milestones!$AA$52)&gt;=$R89),$U89,$T89)))=Milestones!$AB$52),TEXT(EDATE($D89,Milestones!$AA$52),"dd/mm/yy")&amp;" "&amp;Milestones!$AB$52&amp;" "&amp;Milestones!$AC$52&amp;";  ","")&amp;IF(AND(EDATE($D89,Milestones!$AA$53)&lt;=AsOfDate,IF($Q89=0,$W89,IF(AND($S89&lt;&gt;"",EDATE($D89,Milestones!$AA$53)&gt;=$S89),$V89,IF(AND($R89&lt;&gt;"",EDATE($D89,Milestones!$AA$53)&gt;=$R89),$U89,$T89)))=Milestones!$AB$53),TEXT(EDATE($D89,Milestones!$AA$53),"dd/mm/yy")&amp;" "&amp;Milestones!$AB$53&amp;" "&amp;Milestones!$AC$53&amp;";  ","")&amp;IF(AND(EDATE($D89,Milestones!$AA$54)&lt;=AsOfDate,IF($Q89=0,$W89,IF(AND($S89&lt;&gt;"",EDATE($D89,Milestones!$AA$54)&gt;=$S89),$V89,IF(AND($R89&lt;&gt;"",EDATE($D89,Milestones!$AA$54)&gt;=$R89),$U89,$T89)))=Milestones!$AB$54),TEXT(EDATE($D89,Milestones!$AA$54),"dd/mm/yy")&amp;" "&amp;Milestones!$AB$54&amp;" "&amp;Milestones!$AC$54&amp;";  ","")&amp;IF(AND(EDATE($D89,Milestones!$AA$55)&lt;=AsOfDate,IF($Q89=0,$W89,IF(AND($S89&lt;&gt;"",EDATE($D89,Milestones!$AA$55)&gt;=$S89),$V89,IF(AND($R89&lt;&gt;"",EDATE($D89,Milestones!$AA$55)&gt;=$R89),$U89,$T89)))=Milestones!$AB$55),TEXT(EDATE($D89,Milestones!$AA$55),"dd/mm/yy")&amp;" "&amp;Milestones!$AB$55&amp;" "&amp;Milestones!$AC$55&amp;";  ","")&amp;IF(AND(EDATE($D89,Milestones!$AA$56)&lt;=AsOfDate,IF($Q89=0,$W89,IF(AND($S89&lt;&gt;"",EDATE($D89,Milestones!$AA$56)&gt;=$S89),$V89,IF(AND($R89&lt;&gt;"",EDATE($D89,Milestones!$AA$56)&gt;=$R89),$U89,$T89)))=Milestones!$AB$56),TEXT(EDATE($D89,Milestones!$AA$56),"dd/mm/yy")&amp;" "&amp;Milestones!$AB$56&amp;" "&amp;Milestones!$AC$56&amp;";  ","")&amp;IF(AND(EDATE($D89,Milestones!$AA$57)&lt;=AsOfDate,IF($Q89=0,$W89,IF(AND($S89&lt;&gt;"",EDATE($D89,Milestones!$AA$57)&gt;=$S89),$V89,IF(AND($R89&lt;&gt;"",EDATE($D89,Milestones!$AA$57)&gt;=$R89),$U89,$T89)))=Milestones!$AB$57),TEXT(EDATE($D89,Milestones!$AA$57),"dd/mm/yy")&amp;" "&amp;Milestones!$AB$57&amp;" "&amp;Milestones!$AC$57&amp;";  ","")&amp;IF(AND(EDATE($D89,Milestones!$AA$58)&lt;=AsOfDate,IF($Q89=0,$W89,IF(AND($S89&lt;&gt;"",EDATE($D89,Milestones!$AA$58)&gt;=$S89),$V89,IF(AND($R89&lt;&gt;"",EDATE($D89,Milestones!$AA$58)&gt;=$R89),$U89,$T89)))=Milestones!$AB$58),TEXT(EDATE($D89,Milestones!$AA$58),"dd/mm/yy")&amp;" "&amp;Milestones!$AB$58&amp;" "&amp;Milestones!$AC$58&amp;";  ","")&amp;IF(AND(EDATE($D89,Milestones!$AA$59)&lt;=AsOfDate,IF($Q89=0,$W89,IF(AND($S89&lt;&gt;"",EDATE($D89,Milestones!$AA$59)&gt;=$S89),$V89,IF(AND($R89&lt;&gt;"",EDATE($D89,Milestones!$AA$59)&gt;=$R89),$U89,$T89)))=Milestones!$AB$59),TEXT(EDATE($D89,Milestones!$AA$59),"dd/mm/yy")&amp;" "&amp;Milestones!$AB$59&amp;" "&amp;Milestones!$AC$59&amp;";  ",""))</f>
        <v/>
      </c>
      <c r="J89" s="0" t="str">
        <f aca="false">IF(OR($A89="",$D89=""),"",IF(AND(EDATE($D89,Milestones!$AA$60)&lt;=AsOfDate,IF($Q89=0,$W89,IF(AND($S89&lt;&gt;"",EDATE($D89,Milestones!$AA$60)&gt;=$S89),$V89,IF(AND($R89&lt;&gt;"",EDATE($D89,Milestones!$AA$60)&gt;=$R89),$U89,$T89)))=Milestones!$AB$60),TEXT(EDATE($D89,Milestones!$AA$60),"dd/mm/yy")&amp;" "&amp;Milestones!$AB$60&amp;" "&amp;Milestones!$AC$60&amp;";  ","")&amp;IF(AND(EDATE($D89,Milestones!$AA$61)&lt;=AsOfDate,IF($Q89=0,$W89,IF(AND($S89&lt;&gt;"",EDATE($D89,Milestones!$AA$61)&gt;=$S89),$V89,IF(AND($R89&lt;&gt;"",EDATE($D89,Milestones!$AA$61)&gt;=$R89),$U89,$T89)))=Milestones!$AB$61),TEXT(EDATE($D89,Milestones!$AA$61),"dd/mm/yy")&amp;" "&amp;Milestones!$AB$61&amp;" "&amp;Milestones!$AC$61&amp;";  ","")&amp;IF(AND(EDATE($D89,Milestones!$AA$62)&lt;=AsOfDate,IF($Q89=0,$W89,IF(AND($S89&lt;&gt;"",EDATE($D89,Milestones!$AA$62)&gt;=$S89),$V89,IF(AND($R89&lt;&gt;"",EDATE($D89,Milestones!$AA$62)&gt;=$R89),$U89,$T89)))=Milestones!$AB$62),TEXT(EDATE($D89,Milestones!$AA$62),"dd/mm/yy")&amp;" "&amp;Milestones!$AB$62&amp;" "&amp;Milestones!$AC$62&amp;";  ","")&amp;IF(AND(EDATE($D89,Milestones!$AA$63)&lt;=AsOfDate,IF($Q89=0,$W89,IF(AND($S89&lt;&gt;"",EDATE($D89,Milestones!$AA$63)&gt;=$S89),$V89,IF(AND($R89&lt;&gt;"",EDATE($D89,Milestones!$AA$63)&gt;=$R89),$U89,$T89)))=Milestones!$AB$63),TEXT(EDATE($D89,Milestones!$AA$63),"dd/mm/yy")&amp;" "&amp;Milestones!$AB$63&amp;" "&amp;Milestones!$AC$63&amp;";  ","")&amp;IF(AND(EDATE($D89,Milestones!$AA$64)&lt;=AsOfDate,IF($Q89=0,$W89,IF(AND($S89&lt;&gt;"",EDATE($D89,Milestones!$AA$64)&gt;=$S89),$V89,IF(AND($R89&lt;&gt;"",EDATE($D89,Milestones!$AA$64)&gt;=$R89),$U89,$T89)))=Milestones!$AB$64),TEXT(EDATE($D89,Milestones!$AA$64),"dd/mm/yy")&amp;" "&amp;Milestones!$AB$64&amp;" "&amp;Milestones!$AC$64&amp;";  ","")&amp;IF(AND(EDATE($D89,Milestones!$AA$65)&lt;=AsOfDate,IF($Q89=0,$W89,IF(AND($S89&lt;&gt;"",EDATE($D89,Milestones!$AA$65)&gt;=$S89),$V89,IF(AND($R89&lt;&gt;"",EDATE($D89,Milestones!$AA$65)&gt;=$R89),$U89,$T89)))=Milestones!$AB$65),TEXT(EDATE($D89,Milestones!$AA$65),"dd/mm/yy")&amp;" "&amp;Milestones!$AB$65&amp;" "&amp;Milestones!$AC$65&amp;";  ","")&amp;IF(AND(EDATE($D89,Milestones!$AA$66)&lt;=AsOfDate,IF($Q89=0,$W89,IF(AND($S89&lt;&gt;"",EDATE($D89,Milestones!$AA$66)&gt;=$S89),$V89,IF(AND($R89&lt;&gt;"",EDATE($D89,Milestones!$AA$66)&gt;=$R89),$U89,$T89)))=Milestones!$AB$66),TEXT(EDATE($D89,Milestones!$AA$66),"dd/mm/yy")&amp;" "&amp;Milestones!$AB$66&amp;" "&amp;Milestones!$AC$66&amp;";  ","")&amp;IF(AND(EDATE($D89,Milestones!$AA$67)&lt;=AsOfDate,IF($Q89=0,$W89,IF(AND($S89&lt;&gt;"",EDATE($D89,Milestones!$AA$67)&gt;=$S89),$V89,IF(AND($R89&lt;&gt;"",EDATE($D89,Milestones!$AA$67)&gt;=$R89),$U89,$T89)))=Milestones!$AB$67),TEXT(EDATE($D89,Milestones!$AA$67),"dd/mm/yy")&amp;" "&amp;Milestones!$AB$67&amp;" "&amp;Milestones!$AC$67&amp;";  ","")&amp;IF(AND(EDATE($D89,Milestones!$AA$68)&lt;=AsOfDate,IF($Q89=0,$W89,IF(AND($S89&lt;&gt;"",EDATE($D89,Milestones!$AA$68)&gt;=$S89),$V89,IF(AND($R89&lt;&gt;"",EDATE($D89,Milestones!$AA$68)&gt;=$R89),$U89,$T89)))=Milestones!$AB$68),TEXT(EDATE($D89,Milestones!$AA$68),"dd/mm/yy")&amp;" "&amp;Milestones!$AB$68&amp;" "&amp;Milestones!$AC$68&amp;";  ","")&amp;IF(AND(EDATE($D89,Milestones!$AA$69)&lt;=AsOfDate,IF($Q89=0,$W89,IF(AND($S89&lt;&gt;"",EDATE($D89,Milestones!$AA$69)&gt;=$S89),$V89,IF(AND($R89&lt;&gt;"",EDATE($D89,Milestones!$AA$69)&gt;=$R89),$U89,$T89)))=Milestones!$AB$69),TEXT(EDATE($D89,Milestones!$AA$69),"dd/mm/yy")&amp;" "&amp;Milestones!$AB$69&amp;" "&amp;Milestones!$AC$69&amp;";  ","")&amp;IF(AND(EDATE($D89,Milestones!$AA$70)&lt;=AsOfDate,IF($Q89=0,$W89,IF(AND($S89&lt;&gt;"",EDATE($D89,Milestones!$AA$70)&gt;=$S89),$V89,IF(AND($R89&lt;&gt;"",EDATE($D89,Milestones!$AA$70)&gt;=$R89),$U89,$T89)))=Milestones!$AB$70),TEXT(EDATE($D89,Milestones!$AA$70),"dd/mm/yy")&amp;" "&amp;Milestones!$AB$70&amp;" "&amp;Milestones!$AC$70&amp;";  ","")&amp;IF(AND(EDATE($D89,Milestones!$AA$71)&lt;=AsOfDate,IF($Q89=0,$W89,IF(AND($S89&lt;&gt;"",EDATE($D89,Milestones!$AA$71)&gt;=$S89),$V89,IF(AND($R89&lt;&gt;"",EDATE($D89,Milestones!$AA$71)&gt;=$R89),$U89,$T89)))=Milestones!$AB$71),TEXT(EDATE($D89,Milestones!$AA$71),"dd/mm/yy")&amp;" "&amp;Milestones!$AB$71&amp;" "&amp;Milestones!$AC$71&amp;";  ","")&amp;IF(AND(EDATE($D89,Milestones!$AA$72)&lt;=AsOfDate,IF($Q89=0,$W89,IF(AND($S89&lt;&gt;"",EDATE($D89,Milestones!$AA$72)&gt;=$S89),$V89,IF(AND($R89&lt;&gt;"",EDATE($D89,Milestones!$AA$72)&gt;=$R89),$U89,$T89)))=Milestones!$AB$72),TEXT(EDATE($D89,Milestones!$AA$72),"dd/mm/yy")&amp;" "&amp;Milestones!$AB$72&amp;" "&amp;Milestones!$AC$72&amp;";  ","")&amp;IF(AND(EDATE($D89,Milestones!$AA$73)&lt;=AsOfDate,IF($Q89=0,$W89,IF(AND($S89&lt;&gt;"",EDATE($D89,Milestones!$AA$73)&gt;=$S89),$V89,IF(AND($R89&lt;&gt;"",EDATE($D89,Milestones!$AA$73)&gt;=$R89),$U89,$T89)))=Milestones!$AB$73),TEXT(EDATE($D89,Milestones!$AA$73),"dd/mm/yy")&amp;" "&amp;Milestones!$AB$73&amp;" "&amp;Milestones!$AC$73&amp;";  ","")&amp;IF(AND(EDATE($D89,Milestones!$AA$74)&lt;=AsOfDate,IF($Q89=0,$W89,IF(AND($S89&lt;&gt;"",EDATE($D89,Milestones!$AA$74)&gt;=$S89),$V89,IF(AND($R89&lt;&gt;"",EDATE($D89,Milestones!$AA$74)&gt;=$R89),$U89,$T89)))=Milestones!$AB$74),TEXT(EDATE($D89,Milestones!$AA$74),"dd/mm/yy")&amp;" "&amp;Milestones!$AB$74&amp;" "&amp;Milestones!$AC$74&amp;";  ","")&amp;IF(AND(EDATE($D89,Milestones!$AA$75)&lt;=AsOfDate,IF($Q89=0,$W89,IF(AND($S89&lt;&gt;"",EDATE($D89,Milestones!$AA$75)&gt;=$S89),$V89,IF(AND($R89&lt;&gt;"",EDATE($D89,Milestones!$AA$75)&gt;=$R89),$U89,$T89)))=Milestones!$AB$75),TEXT(EDATE($D89,Milestones!$AA$75),"dd/mm/yy")&amp;" "&amp;Milestones!$AB$75&amp;" "&amp;Milestones!$AC$75&amp;";  ","")&amp;IF(AND(EDATE($D89,Milestones!$AA$76)&lt;=AsOfDate,IF($Q89=0,$W89,IF(AND($S89&lt;&gt;"",EDATE($D89,Milestones!$AA$76)&gt;=$S89),$V89,IF(AND($R89&lt;&gt;"",EDATE($D89,Milestones!$AA$76)&gt;=$R89),$U89,$T89)))=Milestones!$AB$76),TEXT(EDATE($D89,Milestones!$AA$76),"dd/mm/yy")&amp;" "&amp;Milestones!$AB$76&amp;" "&amp;Milestones!$AC$76&amp;";  ","")&amp;IF(AND(EDATE($D89,Milestones!$AA$77)&lt;=AsOfDate,IF($Q89=0,$W89,IF(AND($S89&lt;&gt;"",EDATE($D89,Milestones!$AA$77)&gt;=$S89),$V89,IF(AND($R89&lt;&gt;"",EDATE($D89,Milestones!$AA$77)&gt;=$R89),$U89,$T89)))=Milestones!$AB$77),TEXT(EDATE($D89,Milestones!$AA$77),"dd/mm/yy")&amp;" "&amp;Milestones!$AB$77&amp;" "&amp;Milestones!$AC$77&amp;";  ","")&amp;IF(AND(EDATE($D89,Milestones!$AA$78)&lt;=AsOfDate,IF($Q89=0,$W89,IF(AND($S89&lt;&gt;"",EDATE($D89,Milestones!$AA$78)&gt;=$S89),$V89,IF(AND($R89&lt;&gt;"",EDATE($D89,Milestones!$AA$78)&gt;=$R89),$U89,$T89)))=Milestones!$AB$78),TEXT(EDATE($D89,Milestones!$AA$78),"dd/mm/yy")&amp;" "&amp;Milestones!$AB$78&amp;" "&amp;Milestones!$AC$78&amp;";  ","")&amp;IF(AND(EDATE($D89,Milestones!$AA$79)&lt;=AsOfDate,IF($Q89=0,$W89,IF(AND($S89&lt;&gt;"",EDATE($D89,Milestones!$AA$79)&gt;=$S89),$V89,IF(AND($R89&lt;&gt;"",EDATE($D89,Milestones!$AA$79)&gt;=$R89),$U89,$T89)))=Milestones!$AB$79),TEXT(EDATE($D89,Milestones!$AA$79),"dd/mm/yy")&amp;" "&amp;Milestones!$AB$79&amp;" "&amp;Milestones!$AC$79&amp;";  ",""))</f>
        <v/>
      </c>
      <c r="K89" s="0" t="str">
        <f aca="false">IF(OR($A89="",$D89=""),"",IF(AND(EDATE($D89,Milestones!$AA$80)&lt;=AsOfDate,IF($Q89=0,$W89,IF(AND($S89&lt;&gt;"",EDATE($D89,Milestones!$AA$80)&gt;=$S89),$V89,IF(AND($R89&lt;&gt;"",EDATE($D89,Milestones!$AA$80)&gt;=$R89),$U89,$T89)))=Milestones!$AB$80),TEXT(EDATE($D89,Milestones!$AA$80),"dd/mm/yy")&amp;" "&amp;Milestones!$AB$80&amp;" "&amp;Milestones!$AC$80&amp;";  ","")&amp;IF(AND(EDATE($D89,Milestones!$AA$81)&lt;=AsOfDate,IF($Q89=0,$W89,IF(AND($S89&lt;&gt;"",EDATE($D89,Milestones!$AA$81)&gt;=$S89),$V89,IF(AND($R89&lt;&gt;"",EDATE($D89,Milestones!$AA$81)&gt;=$R89),$U89,$T89)))=Milestones!$AB$81),TEXT(EDATE($D89,Milestones!$AA$81),"dd/mm/yy")&amp;" "&amp;Milestones!$AB$81&amp;" "&amp;Milestones!$AC$81&amp;";  ","")&amp;IF(AND(EDATE($D89,Milestones!$AA$82)&lt;=AsOfDate,IF($Q89=0,$W89,IF(AND($S89&lt;&gt;"",EDATE($D89,Milestones!$AA$82)&gt;=$S89),$V89,IF(AND($R89&lt;&gt;"",EDATE($D89,Milestones!$AA$82)&gt;=$R89),$U89,$T89)))=Milestones!$AB$82),TEXT(EDATE($D89,Milestones!$AA$82),"dd/mm/yy")&amp;" "&amp;Milestones!$AB$82&amp;" "&amp;Milestones!$AC$82&amp;";  ","")&amp;IF(AND(EDATE($D89,Milestones!$AA$83)&lt;=AsOfDate,IF($Q89=0,$W89,IF(AND($S89&lt;&gt;"",EDATE($D89,Milestones!$AA$83)&gt;=$S89),$V89,IF(AND($R89&lt;&gt;"",EDATE($D89,Milestones!$AA$83)&gt;=$R89),$U89,$T89)))=Milestones!$AB$83),TEXT(EDATE($D89,Milestones!$AA$83),"dd/mm/yy")&amp;" "&amp;Milestones!$AB$83&amp;" "&amp;Milestones!$AC$83&amp;";  ","")&amp;IF(AND(EDATE($D89,Milestones!$AA$84)&lt;=AsOfDate,IF($Q89=0,$W89,IF(AND($S89&lt;&gt;"",EDATE($D89,Milestones!$AA$84)&gt;=$S89),$V89,IF(AND($R89&lt;&gt;"",EDATE($D89,Milestones!$AA$84)&gt;=$R89),$U89,$T89)))=Milestones!$AB$84),TEXT(EDATE($D89,Milestones!$AA$84),"dd/mm/yy")&amp;" "&amp;Milestones!$AB$84&amp;" "&amp;Milestones!$AC$84&amp;";  ","")&amp;IF(AND(EDATE($D89,Milestones!$AA$85)&lt;=AsOfDate,IF($Q89=0,$W89,IF(AND($S89&lt;&gt;"",EDATE($D89,Milestones!$AA$85)&gt;=$S89),$V89,IF(AND($R89&lt;&gt;"",EDATE($D89,Milestones!$AA$85)&gt;=$R89),$U89,$T89)))=Milestones!$AB$85),TEXT(EDATE($D89,Milestones!$AA$85),"dd/mm/yy")&amp;" "&amp;Milestones!$AB$85&amp;" "&amp;Milestones!$AC$85&amp;";  ","")&amp;IF(AND(EDATE($D89,Milestones!$AA$86)&lt;=AsOfDate,IF($Q89=0,$W89,IF(AND($S89&lt;&gt;"",EDATE($D89,Milestones!$AA$86)&gt;=$S89),$V89,IF(AND($R89&lt;&gt;"",EDATE($D89,Milestones!$AA$86)&gt;=$R89),$U89,$T89)))=Milestones!$AB$86),TEXT(EDATE($D89,Milestones!$AA$86),"dd/mm/yy")&amp;" "&amp;Milestones!$AB$86&amp;" "&amp;Milestones!$AC$86&amp;";  ","")&amp;IF(AND(EDATE($D89,Milestones!$AA$87)&lt;=AsOfDate,IF($Q89=0,$W89,IF(AND($S89&lt;&gt;"",EDATE($D89,Milestones!$AA$87)&gt;=$S89),$V89,IF(AND($R89&lt;&gt;"",EDATE($D89,Milestones!$AA$87)&gt;=$R89),$U89,$T89)))=Milestones!$AB$87),TEXT(EDATE($D89,Milestones!$AA$87),"dd/mm/yy")&amp;" "&amp;Milestones!$AB$87&amp;" "&amp;Milestones!$AC$87&amp;";  ","")&amp;IF(AND(EDATE($D89,Milestones!$AA$88)&lt;=AsOfDate,IF($Q89=0,$W89,IF(AND($S89&lt;&gt;"",EDATE($D89,Milestones!$AA$88)&gt;=$S89),$V89,IF(AND($R89&lt;&gt;"",EDATE($D89,Milestones!$AA$88)&gt;=$R89),$U89,$T89)))=Milestones!$AB$88),TEXT(EDATE($D89,Milestones!$AA$88),"dd/mm/yy")&amp;" "&amp;Milestones!$AB$88&amp;" "&amp;Milestones!$AC$88&amp;";  ","")&amp;IF(AND(EDATE($D89,Milestones!$AA$89)&lt;=AsOfDate,IF($Q89=0,$W89,IF(AND($S89&lt;&gt;"",EDATE($D89,Milestones!$AA$89)&gt;=$S89),$V89,IF(AND($R89&lt;&gt;"",EDATE($D89,Milestones!$AA$89)&gt;=$R89),$U89,$T89)))=Milestones!$AB$89),TEXT(EDATE($D89,Milestones!$AA$89),"dd/mm/yy")&amp;" "&amp;Milestones!$AB$89&amp;" "&amp;Milestones!$AC$89&amp;";  ","")&amp;IF(AND(EDATE($D89,Milestones!$AA$90)&lt;=AsOfDate,IF($Q89=0,$W89,IF(AND($S89&lt;&gt;"",EDATE($D89,Milestones!$AA$90)&gt;=$S89),$V89,IF(AND($R89&lt;&gt;"",EDATE($D89,Milestones!$AA$90)&gt;=$R89),$U89,$T89)))=Milestones!$AB$90),TEXT(EDATE($D89,Milestones!$AA$90),"dd/mm/yy")&amp;" "&amp;Milestones!$AB$90&amp;" "&amp;Milestones!$AC$90&amp;";  ","")&amp;IF(AND(EDATE($D89,Milestones!$AA$91)&lt;=AsOfDate,IF($Q89=0,$W89,IF(AND($S89&lt;&gt;"",EDATE($D89,Milestones!$AA$91)&gt;=$S89),$V89,IF(AND($R89&lt;&gt;"",EDATE($D89,Milestones!$AA$91)&gt;=$R89),$U89,$T89)))=Milestones!$AB$91),TEXT(EDATE($D89,Milestones!$AA$91),"dd/mm/yy")&amp;" "&amp;Milestones!$AB$91&amp;" "&amp;Milestones!$AC$91&amp;";  ","")&amp;IF(AND(EDATE($D89,Milestones!$AA$92)&lt;=AsOfDate,IF($Q89=0,$W89,IF(AND($S89&lt;&gt;"",EDATE($D89,Milestones!$AA$92)&gt;=$S89),$V89,IF(AND($R89&lt;&gt;"",EDATE($D89,Milestones!$AA$92)&gt;=$R89),$U89,$T89)))=Milestones!$AB$92),TEXT(EDATE($D89,Milestones!$AA$92),"dd/mm/yy")&amp;" "&amp;Milestones!$AB$92&amp;" "&amp;Milestones!$AC$92&amp;";  ","")&amp;IF(AND(EDATE($D89,Milestones!$AA$93)&lt;=AsOfDate,IF($Q89=0,$W89,IF(AND($S89&lt;&gt;"",EDATE($D89,Milestones!$AA$93)&gt;=$S89),$V89,IF(AND($R89&lt;&gt;"",EDATE($D89,Milestones!$AA$93)&gt;=$R89),$U89,$T89)))=Milestones!$AB$93),TEXT(EDATE($D89,Milestones!$AA$93),"dd/mm/yy")&amp;" "&amp;Milestones!$AB$93&amp;" "&amp;Milestones!$AC$93&amp;";  ","")&amp;IF(AND(EDATE($D89,Milestones!$AA$94)&lt;=AsOfDate,IF($Q89=0,$W89,IF(AND($S89&lt;&gt;"",EDATE($D89,Milestones!$AA$94)&gt;=$S89),$V89,IF(AND($R89&lt;&gt;"",EDATE($D89,Milestones!$AA$94)&gt;=$R89),$U89,$T89)))=Milestones!$AB$94),TEXT(EDATE($D89,Milestones!$AA$94),"dd/mm/yy")&amp;" "&amp;Milestones!$AB$94&amp;" "&amp;Milestones!$AC$94&amp;";  ","")&amp;IF(AND(EDATE($D89,Milestones!$AA$95)&lt;=AsOfDate,IF($Q89=0,$W89,IF(AND($S89&lt;&gt;"",EDATE($D89,Milestones!$AA$95)&gt;=$S89),$V89,IF(AND($R89&lt;&gt;"",EDATE($D89,Milestones!$AA$95)&gt;=$R89),$U89,$T89)))=Milestones!$AB$95),TEXT(EDATE($D89,Milestones!$AA$95),"dd/mm/yy")&amp;" "&amp;Milestones!$AB$95&amp;" "&amp;Milestones!$AC$95&amp;";  ","")&amp;IF(AND(EDATE($D89,Milestones!$AA$96)&lt;=AsOfDate,IF($Q89=0,$W89,IF(AND($S89&lt;&gt;"",EDATE($D89,Milestones!$AA$96)&gt;=$S89),$V89,IF(AND($R89&lt;&gt;"",EDATE($D89,Milestones!$AA$96)&gt;=$R89),$U89,$T89)))=Milestones!$AB$96),TEXT(EDATE($D89,Milestones!$AA$96),"dd/mm/yy")&amp;" "&amp;Milestones!$AB$96&amp;" "&amp;Milestones!$AC$96&amp;";  ","")&amp;IF(AND(EDATE($D89,Milestones!$AA$97)&lt;=AsOfDate,IF($Q89=0,$W89,IF(AND($S89&lt;&gt;"",EDATE($D89,Milestones!$AA$97)&gt;=$S89),$V89,IF(AND($R89&lt;&gt;"",EDATE($D89,Milestones!$AA$97)&gt;=$R89),$U89,$T89)))=Milestones!$AB$97),TEXT(EDATE($D89,Milestones!$AA$97),"dd/mm/yy")&amp;" "&amp;Milestones!$AB$97&amp;" "&amp;Milestones!$AC$97&amp;";  ","")&amp;IF(AND(EDATE($D89,Milestones!$AA$98)&lt;=AsOfDate,IF($Q89=0,$W89,IF(AND($S89&lt;&gt;"",EDATE($D89,Milestones!$AA$98)&gt;=$S89),$V89,IF(AND($R89&lt;&gt;"",EDATE($D89,Milestones!$AA$98)&gt;=$R89),$U89,$T89)))=Milestones!$AB$98),TEXT(EDATE($D89,Milestones!$AA$98),"dd/mm/yy")&amp;" "&amp;Milestones!$AB$98&amp;" "&amp;Milestones!$AC$98&amp;";  ","")&amp;IF(AND(EDATE($D89,Milestones!$AA$99)&lt;=AsOfDate,IF($Q89=0,$W89,IF(AND($S89&lt;&gt;"",EDATE($D89,Milestones!$AA$99)&gt;=$S89),$V89,IF(AND($R89&lt;&gt;"",EDATE($D89,Milestones!$AA$99)&gt;=$R89),$U89,$T89)))=Milestones!$AB$99),TEXT(EDATE($D89,Milestones!$AA$99),"dd/mm/yy")&amp;" "&amp;Milestones!$AB$99&amp;" "&amp;Milestones!$AC$99&amp;";  ",""))</f>
        <v/>
      </c>
      <c r="L89" s="0" t="str">
        <f aca="false">IF(OR($A89="",$D89=""),"",IF(AND(EDATE($D89,Milestones!$AA$100)&lt;=AsOfDate,IF($Q89=0,$W89,IF(AND($S89&lt;&gt;"",EDATE($D89,Milestones!$AA$100)&gt;=$S89),$V89,IF(AND($R89&lt;&gt;"",EDATE($D89,Milestones!$AA$100)&gt;=$R89),$U89,$T89)))=Milestones!$AB$100),TEXT(EDATE($D89,Milestones!$AA$100),"dd/mm/yy")&amp;" "&amp;Milestones!$AB$100&amp;" "&amp;Milestones!$AC$100&amp;";  ","")&amp;IF(AND(EDATE($D89,Milestones!$AA$101)&lt;=AsOfDate,IF($Q89=0,$W89,IF(AND($S89&lt;&gt;"",EDATE($D89,Milestones!$AA$101)&gt;=$S89),$V89,IF(AND($R89&lt;&gt;"",EDATE($D89,Milestones!$AA$101)&gt;=$R89),$U89,$T89)))=Milestones!$AB$101),TEXT(EDATE($D89,Milestones!$AA$101),"dd/mm/yy")&amp;" "&amp;Milestones!$AB$101&amp;" "&amp;Milestones!$AC$101&amp;";  ","")&amp;IF(AND(EDATE($D89,Milestones!$AA$102)&lt;=AsOfDate,IF($Q89=0,$W89,IF(AND($S89&lt;&gt;"",EDATE($D89,Milestones!$AA$102)&gt;=$S89),$V89,IF(AND($R89&lt;&gt;"",EDATE($D89,Milestones!$AA$102)&gt;=$R89),$U89,$T89)))=Milestones!$AB$102),TEXT(EDATE($D89,Milestones!$AA$102),"dd/mm/yy")&amp;" "&amp;Milestones!$AB$102&amp;" "&amp;Milestones!$AC$102&amp;";  ","")&amp;IF(AND(EDATE($D89,Milestones!$AA$103)&lt;=AsOfDate,IF($Q89=0,$W89,IF(AND($S89&lt;&gt;"",EDATE($D89,Milestones!$AA$103)&gt;=$S89),$V89,IF(AND($R89&lt;&gt;"",EDATE($D89,Milestones!$AA$103)&gt;=$R89),$U89,$T89)))=Milestones!$AB$103),TEXT(EDATE($D89,Milestones!$AA$103),"dd/mm/yy")&amp;" "&amp;Milestones!$AB$103&amp;" "&amp;Milestones!$AC$103&amp;";  ","")&amp;IF(AND(EDATE($D89,Milestones!$AA$104)&lt;=AsOfDate,IF($Q89=0,$W89,IF(AND($S89&lt;&gt;"",EDATE($D89,Milestones!$AA$104)&gt;=$S89),$V89,IF(AND($R89&lt;&gt;"",EDATE($D89,Milestones!$AA$104)&gt;=$R89),$U89,$T89)))=Milestones!$AB$104),TEXT(EDATE($D89,Milestones!$AA$104),"dd/mm/yy")&amp;" "&amp;Milestones!$AB$104&amp;" "&amp;Milestones!$AC$104&amp;";  ","")&amp;IF(AND(EDATE($D89,Milestones!$AA$105)&lt;=AsOfDate,IF($Q89=0,$W89,IF(AND($S89&lt;&gt;"",EDATE($D89,Milestones!$AA$105)&gt;=$S89),$V89,IF(AND($R89&lt;&gt;"",EDATE($D89,Milestones!$AA$105)&gt;=$R89),$U89,$T89)))=Milestones!$AB$105),TEXT(EDATE($D89,Milestones!$AA$105),"dd/mm/yy")&amp;" "&amp;Milestones!$AB$105&amp;" "&amp;Milestones!$AC$105&amp;";  ","")&amp;IF(AND(EDATE($D89,Milestones!$AA$106)&lt;=AsOfDate,IF($Q89=0,$W89,IF(AND($S89&lt;&gt;"",EDATE($D89,Milestones!$AA$106)&gt;=$S89),$V89,IF(AND($R89&lt;&gt;"",EDATE($D89,Milestones!$AA$106)&gt;=$R89),$U89,$T89)))=Milestones!$AB$106),TEXT(EDATE($D89,Milestones!$AA$106),"dd/mm/yy")&amp;" "&amp;Milestones!$AB$106&amp;" "&amp;Milestones!$AC$106&amp;";  ","")&amp;IF(AND(EDATE($D89,Milestones!$AA$107)&lt;=AsOfDate,IF($Q89=0,$W89,IF(AND($S89&lt;&gt;"",EDATE($D89,Milestones!$AA$107)&gt;=$S89),$V89,IF(AND($R89&lt;&gt;"",EDATE($D89,Milestones!$AA$107)&gt;=$R89),$U89,$T89)))=Milestones!$AB$107),TEXT(EDATE($D89,Milestones!$AA$107),"dd/mm/yy")&amp;" "&amp;Milestones!$AB$107&amp;" "&amp;Milestones!$AC$107&amp;";  ","")&amp;IF(AND(EDATE($D89,Milestones!$AA$108)&lt;=AsOfDate,IF($Q89=0,$W89,IF(AND($S89&lt;&gt;"",EDATE($D89,Milestones!$AA$108)&gt;=$S89),$V89,IF(AND($R89&lt;&gt;"",EDATE($D89,Milestones!$AA$108)&gt;=$R89),$U89,$T89)))=Milestones!$AB$108),TEXT(EDATE($D89,Milestones!$AA$108),"dd/mm/yy")&amp;" "&amp;Milestones!$AB$108&amp;" "&amp;Milestones!$AC$108&amp;";  ","")&amp;IF(AND(EDATE($D89,Milestones!$AA$109)&lt;=AsOfDate,IF($Q89=0,$W89,IF(AND($S89&lt;&gt;"",EDATE($D89,Milestones!$AA$109)&gt;=$S89),$V89,IF(AND($R89&lt;&gt;"",EDATE($D89,Milestones!$AA$109)&gt;=$R89),$U89,$T89)))=Milestones!$AB$109),TEXT(EDATE($D89,Milestones!$AA$109),"dd/mm/yy")&amp;" "&amp;Milestones!$AB$109&amp;" "&amp;Milestones!$AC$109&amp;";  ","")&amp;IF(AND(EDATE($D89,Milestones!$AA$110)&lt;=AsOfDate,IF($Q89=0,$W89,IF(AND($S89&lt;&gt;"",EDATE($D89,Milestones!$AA$110)&gt;=$S89),$V89,IF(AND($R89&lt;&gt;"",EDATE($D89,Milestones!$AA$110)&gt;=$R89),$U89,$T89)))=Milestones!$AB$110),TEXT(EDATE($D89,Milestones!$AA$110),"dd/mm/yy")&amp;" "&amp;Milestones!$AB$110&amp;" "&amp;Milestones!$AC$110&amp;";  ","")&amp;IF(AND(EDATE($D89,Milestones!$AA$111)&lt;=AsOfDate,IF($Q89=0,$W89,IF(AND($S89&lt;&gt;"",EDATE($D89,Milestones!$AA$111)&gt;=$S89),$V89,IF(AND($R89&lt;&gt;"",EDATE($D89,Milestones!$AA$111)&gt;=$R89),$U89,$T89)))=Milestones!$AB$111),TEXT(EDATE($D89,Milestones!$AA$111),"dd/mm/yy")&amp;" "&amp;Milestones!$AB$111&amp;" "&amp;Milestones!$AC$111&amp;";  ","")&amp;IF(AND(EDATE($D89,Milestones!$AA$112)&lt;=AsOfDate,IF($Q89=0,$W89,IF(AND($S89&lt;&gt;"",EDATE($D89,Milestones!$AA$112)&gt;=$S89),$V89,IF(AND($R89&lt;&gt;"",EDATE($D89,Milestones!$AA$112)&gt;=$R89),$U89,$T89)))=Milestones!$AB$112),TEXT(EDATE($D89,Milestones!$AA$112),"dd/mm/yy")&amp;" "&amp;Milestones!$AB$112&amp;" "&amp;Milestones!$AC$112&amp;";  ","")&amp;IF(AND(EDATE($D89,Milestones!$AA$113)&lt;=AsOfDate,IF($Q89=0,$W89,IF(AND($S89&lt;&gt;"",EDATE($D89,Milestones!$AA$113)&gt;=$S89),$V89,IF(AND($R89&lt;&gt;"",EDATE($D89,Milestones!$AA$113)&gt;=$R89),$U89,$T89)))=Milestones!$AB$113),TEXT(EDATE($D89,Milestones!$AA$113),"dd/mm/yy")&amp;" "&amp;Milestones!$AB$113&amp;" "&amp;Milestones!$AC$113&amp;";  ","")&amp;IF(AND(EDATE($D89,Milestones!$AA$114)&lt;=AsOfDate,IF($Q89=0,$W89,IF(AND($S89&lt;&gt;"",EDATE($D89,Milestones!$AA$114)&gt;=$S89),$V89,IF(AND($R89&lt;&gt;"",EDATE($D89,Milestones!$AA$114)&gt;=$R89),$U89,$T89)))=Milestones!$AB$114),TEXT(EDATE($D89,Milestones!$AA$114),"dd/mm/yy")&amp;" "&amp;Milestones!$AB$114&amp;" "&amp;Milestones!$AC$114&amp;";  ","")&amp;IF(AND(EDATE($D89,Milestones!$AA$115)&lt;=AsOfDate,IF($Q89=0,$W89,IF(AND($S89&lt;&gt;"",EDATE($D89,Milestones!$AA$115)&gt;=$S89),$V89,IF(AND($R89&lt;&gt;"",EDATE($D89,Milestones!$AA$115)&gt;=$R89),$U89,$T89)))=Milestones!$AB$115),TEXT(EDATE($D89,Milestones!$AA$115),"dd/mm/yy")&amp;" "&amp;Milestones!$AB$115&amp;" "&amp;Milestones!$AC$115&amp;";  ","")&amp;IF(AND(EDATE($D89,Milestones!$AA$116)&lt;=AsOfDate,IF($Q89=0,$W89,IF(AND($S89&lt;&gt;"",EDATE($D89,Milestones!$AA$116)&gt;=$S89),$V89,IF(AND($R89&lt;&gt;"",EDATE($D89,Milestones!$AA$116)&gt;=$R89),$U89,$T89)))=Milestones!$AB$116),TEXT(EDATE($D89,Milestones!$AA$116),"dd/mm/yy")&amp;" "&amp;Milestones!$AB$116&amp;" "&amp;Milestones!$AC$116&amp;";  ","")&amp;IF(AND(EDATE($D89,Milestones!$AA$117)&lt;=AsOfDate,IF($Q89=0,$W89,IF(AND($S89&lt;&gt;"",EDATE($D89,Milestones!$AA$117)&gt;=$S89),$V89,IF(AND($R89&lt;&gt;"",EDATE($D89,Milestones!$AA$117)&gt;=$R89),$U89,$T89)))=Milestones!$AB$117),TEXT(EDATE($D89,Milestones!$AA$117),"dd/mm/yy")&amp;" "&amp;Milestones!$AB$117&amp;" "&amp;Milestones!$AC$117&amp;";  ","")&amp;IF(AND(EDATE($D89,Milestones!$AA$118)&lt;=AsOfDate,IF($Q89=0,$W89,IF(AND($S89&lt;&gt;"",EDATE($D89,Milestones!$AA$118)&gt;=$S89),$V89,IF(AND($R89&lt;&gt;"",EDATE($D89,Milestones!$AA$118)&gt;=$R89),$U89,$T89)))=Milestones!$AB$118),TEXT(EDATE($D89,Milestones!$AA$118),"dd/mm/yy")&amp;" "&amp;Milestones!$AB$118&amp;" "&amp;Milestones!$AC$118&amp;";  ","")&amp;IF(AND(EDATE($D89,Milestones!$AA$119)&lt;=AsOfDate,IF($Q89=0,$W89,IF(AND($S89&lt;&gt;"",EDATE($D89,Milestones!$AA$119)&gt;=$S89),$V89,IF(AND($R89&lt;&gt;"",EDATE($D89,Milestones!$AA$119)&gt;=$R89),$U89,$T89)))=Milestones!$AB$119),TEXT(EDATE($D89,Milestones!$AA$119),"dd/mm/yy")&amp;" "&amp;Milestones!$AB$119&amp;" "&amp;Milestones!$AC$119&amp;";  ",""))</f>
        <v/>
      </c>
      <c r="M89" s="0" t="str">
        <f aca="false">IF(OR($A89="",$D89=""),"",IF(AND(EDATE($D89,Milestones!$AA$120)&lt;=AsOfDate,IF($Q89=0,$W89,IF(AND($S89&lt;&gt;"",EDATE($D89,Milestones!$AA$120)&gt;=$S89),$V89,IF(AND($R89&lt;&gt;"",EDATE($D89,Milestones!$AA$120)&gt;=$R89),$U89,$T89)))=Milestones!$AB$120),TEXT(EDATE($D89,Milestones!$AA$120),"dd/mm/yy")&amp;" "&amp;Milestones!$AB$120&amp;" "&amp;Milestones!$AC$120&amp;";  ","")&amp;IF(AND(EDATE($D89,Milestones!$AA$121)&lt;=AsOfDate,IF($Q89=0,$W89,IF(AND($S89&lt;&gt;"",EDATE($D89,Milestones!$AA$121)&gt;=$S89),$V89,IF(AND($R89&lt;&gt;"",EDATE($D89,Milestones!$AA$121)&gt;=$R89),$U89,$T89)))=Milestones!$AB$121),TEXT(EDATE($D89,Milestones!$AA$121),"dd/mm/yy")&amp;" "&amp;Milestones!$AB$121&amp;" "&amp;Milestones!$AC$121&amp;";  ","")&amp;IF(AND(EDATE($D89,Milestones!$AA$122)&lt;=AsOfDate,IF($Q89=0,$W89,IF(AND($S89&lt;&gt;"",EDATE($D89,Milestones!$AA$122)&gt;=$S89),$V89,IF(AND($R89&lt;&gt;"",EDATE($D89,Milestones!$AA$122)&gt;=$R89),$U89,$T89)))=Milestones!$AB$122),TEXT(EDATE($D89,Milestones!$AA$122),"dd/mm/yy")&amp;" "&amp;Milestones!$AB$122&amp;" "&amp;Milestones!$AC$122&amp;";  ","")&amp;IF(AND(EDATE($D89,Milestones!$AA$123)&lt;=AsOfDate,IF($Q89=0,$W89,IF(AND($S89&lt;&gt;"",EDATE($D89,Milestones!$AA$123)&gt;=$S89),$V89,IF(AND($R89&lt;&gt;"",EDATE($D89,Milestones!$AA$123)&gt;=$R89),$U89,$T89)))=Milestones!$AB$123),TEXT(EDATE($D89,Milestones!$AA$123),"dd/mm/yy")&amp;" "&amp;Milestones!$AB$123&amp;" "&amp;Milestones!$AC$123&amp;";  ","")&amp;IF(AND(EDATE($D89,Milestones!$AA$124)&lt;=AsOfDate,IF($Q89=0,$W89,IF(AND($S89&lt;&gt;"",EDATE($D89,Milestones!$AA$124)&gt;=$S89),$V89,IF(AND($R89&lt;&gt;"",EDATE($D89,Milestones!$AA$124)&gt;=$R89),$U89,$T89)))=Milestones!$AB$124),TEXT(EDATE($D89,Milestones!$AA$124),"dd/mm/yy")&amp;" "&amp;Milestones!$AB$124&amp;" "&amp;Milestones!$AC$124&amp;";  ","")&amp;IF(AND(EDATE($D89,Milestones!$AA$125)&lt;=AsOfDate,IF($Q89=0,$W89,IF(AND($S89&lt;&gt;"",EDATE($D89,Milestones!$AA$125)&gt;=$S89),$V89,IF(AND($R89&lt;&gt;"",EDATE($D89,Milestones!$AA$125)&gt;=$R89),$U89,$T89)))=Milestones!$AB$125),TEXT(EDATE($D89,Milestones!$AA$125),"dd/mm/yy")&amp;" "&amp;Milestones!$AB$125&amp;" "&amp;Milestones!$AC$125&amp;";  ","")&amp;IF(AND(EDATE($D89,Milestones!$AA$126)&lt;=AsOfDate,IF($Q89=0,$W89,IF(AND($S89&lt;&gt;"",EDATE($D89,Milestones!$AA$126)&gt;=$S89),$V89,IF(AND($R89&lt;&gt;"",EDATE($D89,Milestones!$AA$126)&gt;=$R89),$U89,$T89)))=Milestones!$AB$126),TEXT(EDATE($D89,Milestones!$AA$126),"dd/mm/yy")&amp;" "&amp;Milestones!$AB$126&amp;" "&amp;Milestones!$AC$126&amp;";  ","")&amp;IF(AND(EDATE($D89,Milestones!$AA$127)&lt;=AsOfDate,IF($Q89=0,$W89,IF(AND($S89&lt;&gt;"",EDATE($D89,Milestones!$AA$127)&gt;=$S89),$V89,IF(AND($R89&lt;&gt;"",EDATE($D89,Milestones!$AA$127)&gt;=$R89),$U89,$T89)))=Milestones!$AB$127),TEXT(EDATE($D89,Milestones!$AA$127),"dd/mm/yy")&amp;" "&amp;Milestones!$AB$127&amp;" "&amp;Milestones!$AC$127&amp;";  ","")&amp;IF(AND(EDATE($D89,Milestones!$AA$128)&lt;=AsOfDate,IF($Q89=0,$W89,IF(AND($S89&lt;&gt;"",EDATE($D89,Milestones!$AA$128)&gt;=$S89),$V89,IF(AND($R89&lt;&gt;"",EDATE($D89,Milestones!$AA$128)&gt;=$R89),$U89,$T89)))=Milestones!$AB$128),TEXT(EDATE($D89,Milestones!$AA$128),"dd/mm/yy")&amp;" "&amp;Milestones!$AB$128&amp;" "&amp;Milestones!$AC$128&amp;";  ","")&amp;IF(AND(EDATE($D89,Milestones!$AA$129)&lt;=AsOfDate,IF($Q89=0,$W89,IF(AND($S89&lt;&gt;"",EDATE($D89,Milestones!$AA$129)&gt;=$S89),$V89,IF(AND($R89&lt;&gt;"",EDATE($D89,Milestones!$AA$129)&gt;=$R89),$U89,$T89)))=Milestones!$AB$129),TEXT(EDATE($D89,Milestones!$AA$129),"dd/mm/yy")&amp;" "&amp;Milestones!$AB$129&amp;" "&amp;Milestones!$AC$129&amp;";  ","")&amp;IF(AND(EDATE($D89,Milestones!$AA$130)&lt;=AsOfDate,IF($Q89=0,$W89,IF(AND($S89&lt;&gt;"",EDATE($D89,Milestones!$AA$130)&gt;=$S89),$V89,IF(AND($R89&lt;&gt;"",EDATE($D89,Milestones!$AA$130)&gt;=$R89),$U89,$T89)))=Milestones!$AB$130),TEXT(EDATE($D89,Milestones!$AA$130),"dd/mm/yy")&amp;" "&amp;Milestones!$AB$130&amp;" "&amp;Milestones!$AC$130&amp;";  ","")&amp;IF(AND(EDATE($D89,Milestones!$AA$131)&lt;=AsOfDate,IF($Q89=0,$W89,IF(AND($S89&lt;&gt;"",EDATE($D89,Milestones!$AA$131)&gt;=$S89),$V89,IF(AND($R89&lt;&gt;"",EDATE($D89,Milestones!$AA$131)&gt;=$R89),$U89,$T89)))=Milestones!$AB$131),TEXT(EDATE($D89,Milestones!$AA$131),"dd/mm/yy")&amp;" "&amp;Milestones!$AB$131&amp;" "&amp;Milestones!$AC$131&amp;";  ","")&amp;IF(AND(EDATE($D89,Milestones!$AA$132)&lt;=AsOfDate,IF($Q89=0,$W89,IF(AND($S89&lt;&gt;"",EDATE($D89,Milestones!$AA$132)&gt;=$S89),$V89,IF(AND($R89&lt;&gt;"",EDATE($D89,Milestones!$AA$132)&gt;=$R89),$U89,$T89)))=Milestones!$AB$132),TEXT(EDATE($D89,Milestones!$AA$132),"dd/mm/yy")&amp;" "&amp;Milestones!$AB$132&amp;" "&amp;Milestones!$AC$132&amp;";  ","")&amp;IF(AND(EDATE($D89,Milestones!$AA$133)&lt;=AsOfDate,IF($Q89=0,$W89,IF(AND($S89&lt;&gt;"",EDATE($D89,Milestones!$AA$133)&gt;=$S89),$V89,IF(AND($R89&lt;&gt;"",EDATE($D89,Milestones!$AA$133)&gt;=$R89),$U89,$T89)))=Milestones!$AB$133),TEXT(EDATE($D89,Milestones!$AA$133),"dd/mm/yy")&amp;" "&amp;Milestones!$AB$133&amp;" "&amp;Milestones!$AC$133&amp;";  ","")&amp;IF(AND(EDATE($D89,Milestones!$AA$134)&lt;=AsOfDate,IF($Q89=0,$W89,IF(AND($S89&lt;&gt;"",EDATE($D89,Milestones!$AA$134)&gt;=$S89),$V89,IF(AND($R89&lt;&gt;"",EDATE($D89,Milestones!$AA$134)&gt;=$R89),$U89,$T89)))=Milestones!$AB$134),TEXT(EDATE($D89,Milestones!$AA$134),"dd/mm/yy")&amp;" "&amp;Milestones!$AB$134&amp;" "&amp;Milestones!$AC$134&amp;";  ","")&amp;IF(AND(EDATE($D89,Milestones!$AA$135)&lt;=AsOfDate,IF($Q89=0,$W89,IF(AND($S89&lt;&gt;"",EDATE($D89,Milestones!$AA$135)&gt;=$S89),$V89,IF(AND($R89&lt;&gt;"",EDATE($D89,Milestones!$AA$135)&gt;=$R89),$U89,$T89)))=Milestones!$AB$135),TEXT(EDATE($D89,Milestones!$AA$135),"dd/mm/yy")&amp;" "&amp;Milestones!$AB$135&amp;" "&amp;Milestones!$AC$135&amp;";  ","")&amp;IF(AND(EDATE($D89,Milestones!$AA$136)&lt;=AsOfDate,IF($Q89=0,$W89,IF(AND($S89&lt;&gt;"",EDATE($D89,Milestones!$AA$136)&gt;=$S89),$V89,IF(AND($R89&lt;&gt;"",EDATE($D89,Milestones!$AA$136)&gt;=$R89),$U89,$T89)))=Milestones!$AB$136),TEXT(EDATE($D89,Milestones!$AA$136),"dd/mm/yy")&amp;" "&amp;Milestones!$AB$136&amp;" "&amp;Milestones!$AC$136&amp;";  ","")&amp;IF(AND(EDATE($D89,Milestones!$AA$137)&lt;=AsOfDate,IF($Q89=0,$W89,IF(AND($S89&lt;&gt;"",EDATE($D89,Milestones!$AA$137)&gt;=$S89),$V89,IF(AND($R89&lt;&gt;"",EDATE($D89,Milestones!$AA$137)&gt;=$R89),$U89,$T89)))=Milestones!$AB$137),TEXT(EDATE($D89,Milestones!$AA$137),"dd/mm/yy")&amp;" "&amp;Milestones!$AB$137&amp;" "&amp;Milestones!$AC$137&amp;";  ","")&amp;IF(AND(EDATE($D89,Milestones!$AA$138)&lt;=AsOfDate,IF($Q89=0,$W89,IF(AND($S89&lt;&gt;"",EDATE($D89,Milestones!$AA$138)&gt;=$S89),$V89,IF(AND($R89&lt;&gt;"",EDATE($D89,Milestones!$AA$138)&gt;=$R89),$U89,$T89)))=Milestones!$AB$138),TEXT(EDATE($D89,Milestones!$AA$138),"dd/mm/yy")&amp;" "&amp;Milestones!$AB$138&amp;" "&amp;Milestones!$AC$138&amp;";  ","")&amp;IF(AND(EDATE($D89,Milestones!$AA$139)&lt;=AsOfDate,IF($Q89=0,$W89,IF(AND($S89&lt;&gt;"",EDATE($D89,Milestones!$AA$139)&gt;=$S89),$V89,IF(AND($R89&lt;&gt;"",EDATE($D89,Milestones!$AA$139)&gt;=$R89),$U89,$T89)))=Milestones!$AB$139),TEXT(EDATE($D89,Milestones!$AA$139),"dd/mm/yy")&amp;" "&amp;Milestones!$AB$139&amp;" "&amp;Milestones!$AC$139&amp;";  ",""))</f>
        <v/>
      </c>
      <c r="N89" s="0" t="str">
        <f aca="false">IF(OR($A89="",$D89=""),"",IF(AND(EDATE($D89,Milestones!$AA$140)&lt;=AsOfDate,IF($Q89=0,$W89,IF(AND($S89&lt;&gt;"",EDATE($D89,Milestones!$AA$140)&gt;=$S89),$V89,IF(AND($R89&lt;&gt;"",EDATE($D89,Milestones!$AA$140)&gt;=$R89),$U89,$T89)))=Milestones!$AB$140),TEXT(EDATE($D89,Milestones!$AA$140),"dd/mm/yy")&amp;" "&amp;Milestones!$AB$140&amp;" "&amp;Milestones!$AC$140&amp;";  ","")&amp;IF(AND(EDATE($D89,Milestones!$AA$141)&lt;=AsOfDate,IF($Q89=0,$W89,IF(AND($S89&lt;&gt;"",EDATE($D89,Milestones!$AA$141)&gt;=$S89),$V89,IF(AND($R89&lt;&gt;"",EDATE($D89,Milestones!$AA$141)&gt;=$R89),$U89,$T89)))=Milestones!$AB$141),TEXT(EDATE($D89,Milestones!$AA$141),"dd/mm/yy")&amp;" "&amp;Milestones!$AB$141&amp;" "&amp;Milestones!$AC$141&amp;";  ","")&amp;IF(AND(EDATE($D89,Milestones!$AA$142)&lt;=AsOfDate,IF($Q89=0,$W89,IF(AND($S89&lt;&gt;"",EDATE($D89,Milestones!$AA$142)&gt;=$S89),$V89,IF(AND($R89&lt;&gt;"",EDATE($D89,Milestones!$AA$142)&gt;=$R89),$U89,$T89)))=Milestones!$AB$142),TEXT(EDATE($D89,Milestones!$AA$142),"dd/mm/yy")&amp;" "&amp;Milestones!$AB$142&amp;" "&amp;Milestones!$AC$142&amp;";  ","")&amp;IF(AND(EDATE($D89,Milestones!$AA$143)&lt;=AsOfDate,IF($Q89=0,$W89,IF(AND($S89&lt;&gt;"",EDATE($D89,Milestones!$AA$143)&gt;=$S89),$V89,IF(AND($R89&lt;&gt;"",EDATE($D89,Milestones!$AA$143)&gt;=$R89),$U89,$T89)))=Milestones!$AB$143),TEXT(EDATE($D89,Milestones!$AA$143),"dd/mm/yy")&amp;" "&amp;Milestones!$AB$143&amp;" "&amp;Milestones!$AC$143&amp;";  ","")&amp;IF(AND(EDATE($D89,Milestones!$AA$144)&lt;=AsOfDate,IF($Q89=0,$W89,IF(AND($S89&lt;&gt;"",EDATE($D89,Milestones!$AA$144)&gt;=$S89),$V89,IF(AND($R89&lt;&gt;"",EDATE($D89,Milestones!$AA$144)&gt;=$R89),$U89,$T89)))=Milestones!$AB$144),TEXT(EDATE($D89,Milestones!$AA$144),"dd/mm/yy")&amp;" "&amp;Milestones!$AB$144&amp;" "&amp;Milestones!$AC$144&amp;";  ","")&amp;IF(AND(EDATE($D89,Milestones!$AA$145)&lt;=AsOfDate,IF($Q89=0,$W89,IF(AND($S89&lt;&gt;"",EDATE($D89,Milestones!$AA$145)&gt;=$S89),$V89,IF(AND($R89&lt;&gt;"",EDATE($D89,Milestones!$AA$145)&gt;=$R89),$U89,$T89)))=Milestones!$AB$145),TEXT(EDATE($D89,Milestones!$AA$145),"dd/mm/yy")&amp;" "&amp;Milestones!$AB$145&amp;" "&amp;Milestones!$AC$145&amp;";  ","")&amp;IF(AND(EDATE($D89,Milestones!$AA$146)&lt;=AsOfDate,IF($Q89=0,$W89,IF(AND($S89&lt;&gt;"",EDATE($D89,Milestones!$AA$146)&gt;=$S89),$V89,IF(AND($R89&lt;&gt;"",EDATE($D89,Milestones!$AA$146)&gt;=$R89),$U89,$T89)))=Milestones!$AB$146),TEXT(EDATE($D89,Milestones!$AA$146),"dd/mm/yy")&amp;" "&amp;Milestones!$AB$146&amp;" "&amp;Milestones!$AC$146&amp;";  ","")&amp;IF(AND(EDATE($D89,Milestones!$AA$147)&lt;=AsOfDate,IF($Q89=0,$W89,IF(AND($S89&lt;&gt;"",EDATE($D89,Milestones!$AA$147)&gt;=$S89),$V89,IF(AND($R89&lt;&gt;"",EDATE($D89,Milestones!$AA$147)&gt;=$R89),$U89,$T89)))=Milestones!$AB$147),TEXT(EDATE($D89,Milestones!$AA$147),"dd/mm/yy")&amp;" "&amp;Milestones!$AB$147&amp;" "&amp;Milestones!$AC$147&amp;";  ","")&amp;IF(AND(EDATE($D89,Milestones!$AA$148)&lt;=AsOfDate,IF($Q89=0,$W89,IF(AND($S89&lt;&gt;"",EDATE($D89,Milestones!$AA$148)&gt;=$S89),$V89,IF(AND($R89&lt;&gt;"",EDATE($D89,Milestones!$AA$148)&gt;=$R89),$U89,$T89)))=Milestones!$AB$148),TEXT(EDATE($D89,Milestones!$AA$148),"dd/mm/yy")&amp;" "&amp;Milestones!$AB$148&amp;" "&amp;Milestones!$AC$148&amp;";  ","")&amp;IF(AND(EDATE($D89,Milestones!$AA$149)&lt;=AsOfDate,IF($Q89=0,$W89,IF(AND($S89&lt;&gt;"",EDATE($D89,Milestones!$AA$149)&gt;=$S89),$V89,IF(AND($R89&lt;&gt;"",EDATE($D89,Milestones!$AA$149)&gt;=$R89),$U89,$T89)))=Milestones!$AB$149),TEXT(EDATE($D89,Milestones!$AA$149),"dd/mm/yy")&amp;" "&amp;Milestones!$AB$149&amp;" "&amp;Milestones!$AC$149&amp;";  ","")&amp;IF(AND(EDATE($D89,Milestones!$AA$150)&lt;=AsOfDate,IF($Q89=0,$W89,IF(AND($S89&lt;&gt;"",EDATE($D89,Milestones!$AA$150)&gt;=$S89),$V89,IF(AND($R89&lt;&gt;"",EDATE($D89,Milestones!$AA$150)&gt;=$R89),$U89,$T89)))=Milestones!$AB$150),TEXT(EDATE($D89,Milestones!$AA$150),"dd/mm/yy")&amp;" "&amp;Milestones!$AB$150&amp;" "&amp;Milestones!$AC$150&amp;";  ","")&amp;IF(AND(EDATE($D89,Milestones!$AA$151)&lt;=AsOfDate,IF($Q89=0,$W89,IF(AND($S89&lt;&gt;"",EDATE($D89,Milestones!$AA$151)&gt;=$S89),$V89,IF(AND($R89&lt;&gt;"",EDATE($D89,Milestones!$AA$151)&gt;=$R89),$U89,$T89)))=Milestones!$AB$151),TEXT(EDATE($D89,Milestones!$AA$151),"dd/mm/yy")&amp;" "&amp;Milestones!$AB$151&amp;" "&amp;Milestones!$AC$151&amp;";  ","")&amp;IF(AND(EDATE($D89,Milestones!$AA$152)&lt;=AsOfDate,IF($Q89=0,$W89,IF(AND($S89&lt;&gt;"",EDATE($D89,Milestones!$AA$152)&gt;=$S89),$V89,IF(AND($R89&lt;&gt;"",EDATE($D89,Milestones!$AA$152)&gt;=$R89),$U89,$T89)))=Milestones!$AB$152),TEXT(EDATE($D89,Milestones!$AA$152),"dd/mm/yy")&amp;" "&amp;Milestones!$AB$152&amp;" "&amp;Milestones!$AC$152&amp;";  ","")&amp;IF(AND(EDATE($D89,Milestones!$AA$153)&lt;=AsOfDate,IF($Q89=0,$W89,IF(AND($S89&lt;&gt;"",EDATE($D89,Milestones!$AA$153)&gt;=$S89),$V89,IF(AND($R89&lt;&gt;"",EDATE($D89,Milestones!$AA$153)&gt;=$R89),$U89,$T89)))=Milestones!$AB$153),TEXT(EDATE($D89,Milestones!$AA$153),"dd/mm/yy")&amp;" "&amp;Milestones!$AB$153&amp;" "&amp;Milestones!$AC$153&amp;";  ","")&amp;IF(AND(EDATE($D89,Milestones!$AA$154)&lt;=AsOfDate,IF($Q89=0,$W89,IF(AND($S89&lt;&gt;"",EDATE($D89,Milestones!$AA$154)&gt;=$S89),$V89,IF(AND($R89&lt;&gt;"",EDATE($D89,Milestones!$AA$154)&gt;=$R89),$U89,$T89)))=Milestones!$AB$154),TEXT(EDATE($D89,Milestones!$AA$154),"dd/mm/yy")&amp;" "&amp;Milestones!$AB$154&amp;" "&amp;Milestones!$AC$154&amp;";  ","")&amp;IF(AND(EDATE($D89,Milestones!$AA$155)&lt;=AsOfDate,IF($Q89=0,$W89,IF(AND($S89&lt;&gt;"",EDATE($D89,Milestones!$AA$155)&gt;=$S89),$V89,IF(AND($R89&lt;&gt;"",EDATE($D89,Milestones!$AA$155)&gt;=$R89),$U89,$T89)))=Milestones!$AB$155),TEXT(EDATE($D89,Milestones!$AA$155),"dd/mm/yy")&amp;" "&amp;Milestones!$AB$155&amp;" "&amp;Milestones!$AC$155&amp;";  ","")&amp;IF(AND(EDATE($D89,Milestones!$AA$156)&lt;=AsOfDate,IF($Q89=0,$W89,IF(AND($S89&lt;&gt;"",EDATE($D89,Milestones!$AA$156)&gt;=$S89),$V89,IF(AND($R89&lt;&gt;"",EDATE($D89,Milestones!$AA$156)&gt;=$R89),$U89,$T89)))=Milestones!$AB$156),TEXT(EDATE($D89,Milestones!$AA$156),"dd/mm/yy")&amp;" "&amp;Milestones!$AB$156&amp;" "&amp;Milestones!$AC$156&amp;";  ","")&amp;IF(AND(EDATE($D89,Milestones!$AA$157)&lt;=AsOfDate,IF($Q89=0,$W89,IF(AND($S89&lt;&gt;"",EDATE($D89,Milestones!$AA$157)&gt;=$S89),$V89,IF(AND($R89&lt;&gt;"",EDATE($D89,Milestones!$AA$157)&gt;=$R89),$U89,$T89)))=Milestones!$AB$157),TEXT(EDATE($D89,Milestones!$AA$157),"dd/mm/yy")&amp;" "&amp;Milestones!$AB$157&amp;" "&amp;Milestones!$AC$157&amp;";  ","")&amp;IF(AND(EDATE($D89,Milestones!$AA$158)&lt;=AsOfDate,IF($Q89=0,$W89,IF(AND($S89&lt;&gt;"",EDATE($D89,Milestones!$AA$158)&gt;=$S89),$V89,IF(AND($R89&lt;&gt;"",EDATE($D89,Milestones!$AA$158)&gt;=$R89),$U89,$T89)))=Milestones!$AB$158),TEXT(EDATE($D89,Milestones!$AA$158),"dd/mm/yy")&amp;" "&amp;Milestones!$AB$158&amp;" "&amp;Milestones!$AC$158&amp;";  ","")&amp;IF(AND(EDATE($D89,Milestones!$AA$159)&lt;=AsOfDate,IF($Q89=0,$W89,IF(AND($S89&lt;&gt;"",EDATE($D89,Milestones!$AA$159)&gt;=$S89),$V89,IF(AND($R89&lt;&gt;"",EDATE($D89,Milestones!$AA$159)&gt;=$R89),$U89,$T89)))=Milestones!$AB$159),TEXT(EDATE($D89,Milestones!$AA$159),"dd/mm/yy")&amp;" "&amp;Milestones!$AB$159&amp;" "&amp;Milestones!$AC$159&amp;";  ",""))</f>
        <v/>
      </c>
      <c r="O89" s="0" t="str">
        <f aca="false">IF(OR($A89="",$D89=""),"",IF(AND(EDATE($D89,Milestones!$AA$160)&lt;=AsOfDate,IF($Q89=0,$W89,IF(AND($S89&lt;&gt;"",EDATE($D89,Milestones!$AA$160)&gt;=$S89),$V89,IF(AND($R89&lt;&gt;"",EDATE($D89,Milestones!$AA$160)&gt;=$R89),$U89,$T89)))=Milestones!$AB$160),TEXT(EDATE($D89,Milestones!$AA$160),"dd/mm/yy")&amp;" "&amp;Milestones!$AB$160&amp;" "&amp;Milestones!$AC$160&amp;";  ","")&amp;IF(AND(EDATE($D89,Milestones!$AA$161)&lt;=AsOfDate,IF($Q89=0,$W89,IF(AND($S89&lt;&gt;"",EDATE($D89,Milestones!$AA$161)&gt;=$S89),$V89,IF(AND($R89&lt;&gt;"",EDATE($D89,Milestones!$AA$161)&gt;=$R89),$U89,$T89)))=Milestones!$AB$161),TEXT(EDATE($D89,Milestones!$AA$161),"dd/mm/yy")&amp;" "&amp;Milestones!$AB$161&amp;" "&amp;Milestones!$AC$161&amp;";  ","")&amp;IF(AND(EDATE($D89,Milestones!$AA$162)&lt;=AsOfDate,IF($Q89=0,$W89,IF(AND($S89&lt;&gt;"",EDATE($D89,Milestones!$AA$162)&gt;=$S89),$V89,IF(AND($R89&lt;&gt;"",EDATE($D89,Milestones!$AA$162)&gt;=$R89),$U89,$T89)))=Milestones!$AB$162),TEXT(EDATE($D89,Milestones!$AA$162),"dd/mm/yy")&amp;" "&amp;Milestones!$AB$162&amp;" "&amp;Milestones!$AC$162&amp;";  ","")&amp;IF(AND(EDATE($D89,Milestones!$AA$163)&lt;=AsOfDate,IF($Q89=0,$W89,IF(AND($S89&lt;&gt;"",EDATE($D89,Milestones!$AA$163)&gt;=$S89),$V89,IF(AND($R89&lt;&gt;"",EDATE($D89,Milestones!$AA$163)&gt;=$R89),$U89,$T89)))=Milestones!$AB$163),TEXT(EDATE($D89,Milestones!$AA$163),"dd/mm/yy")&amp;" "&amp;Milestones!$AB$163&amp;" "&amp;Milestones!$AC$163&amp;";  ","")&amp;IF(AND(EDATE($D89,Milestones!$AA$164)&lt;=AsOfDate,IF($Q89=0,$W89,IF(AND($S89&lt;&gt;"",EDATE($D89,Milestones!$AA$164)&gt;=$S89),$V89,IF(AND($R89&lt;&gt;"",EDATE($D89,Milestones!$AA$164)&gt;=$R89),$U89,$T89)))=Milestones!$AB$164),TEXT(EDATE($D89,Milestones!$AA$164),"dd/mm/yy")&amp;" "&amp;Milestones!$AB$164&amp;" "&amp;Milestones!$AC$164&amp;";  ","")&amp;IF(AND(EDATE($D89,Milestones!$AA$165)&lt;=AsOfDate,IF($Q89=0,$W89,IF(AND($S89&lt;&gt;"",EDATE($D89,Milestones!$AA$165)&gt;=$S89),$V89,IF(AND($R89&lt;&gt;"",EDATE($D89,Milestones!$AA$165)&gt;=$R89),$U89,$T89)))=Milestones!$AB$165),TEXT(EDATE($D89,Milestones!$AA$165),"dd/mm/yy")&amp;" "&amp;Milestones!$AB$165&amp;" "&amp;Milestones!$AC$165&amp;";  ","")&amp;IF(AND(EDATE($D89,Milestones!$AA$166)&lt;=AsOfDate,IF($Q89=0,$W89,IF(AND($S89&lt;&gt;"",EDATE($D89,Milestones!$AA$166)&gt;=$S89),$V89,IF(AND($R89&lt;&gt;"",EDATE($D89,Milestones!$AA$166)&gt;=$R89),$U89,$T89)))=Milestones!$AB$166),TEXT(EDATE($D89,Milestones!$AA$166),"dd/mm/yy")&amp;" "&amp;Milestones!$AB$166&amp;" "&amp;Milestones!$AC$166&amp;";  ","")&amp;IF(AND(EDATE($D89,Milestones!$AA$167)&lt;=AsOfDate,IF($Q89=0,$W89,IF(AND($S89&lt;&gt;"",EDATE($D89,Milestones!$AA$167)&gt;=$S89),$V89,IF(AND($R89&lt;&gt;"",EDATE($D89,Milestones!$AA$167)&gt;=$R89),$U89,$T89)))=Milestones!$AB$167),TEXT(EDATE($D89,Milestones!$AA$167),"dd/mm/yy")&amp;" "&amp;Milestones!$AB$167&amp;" "&amp;Milestones!$AC$167&amp;";  ","")&amp;IF(AND(EDATE($D89,Milestones!$AA$168)&lt;=AsOfDate,IF($Q89=0,$W89,IF(AND($S89&lt;&gt;"",EDATE($D89,Milestones!$AA$168)&gt;=$S89),$V89,IF(AND($R89&lt;&gt;"",EDATE($D89,Milestones!$AA$168)&gt;=$R89),$U89,$T89)))=Milestones!$AB$168),TEXT(EDATE($D89,Milestones!$AA$168),"dd/mm/yy")&amp;" "&amp;Milestones!$AB$168&amp;" "&amp;Milestones!$AC$168&amp;";  ","")&amp;IF(AND(EDATE($D89,Milestones!$AA$169)&lt;=AsOfDate,IF($Q89=0,$W89,IF(AND($S89&lt;&gt;"",EDATE($D89,Milestones!$AA$169)&gt;=$S89),$V89,IF(AND($R89&lt;&gt;"",EDATE($D89,Milestones!$AA$169)&gt;=$R89),$U89,$T89)))=Milestones!$AB$169),TEXT(EDATE($D89,Milestones!$AA$169),"dd/mm/yy")&amp;" "&amp;Milestones!$AB$169&amp;" "&amp;Milestones!$AC$169&amp;";  ","")&amp;IF(AND(EDATE($D89,Milestones!$AA$170)&lt;=AsOfDate,IF($Q89=0,$W89,IF(AND($S89&lt;&gt;"",EDATE($D89,Milestones!$AA$170)&gt;=$S89),$V89,IF(AND($R89&lt;&gt;"",EDATE($D89,Milestones!$AA$170)&gt;=$R89),$U89,$T89)))=Milestones!$AB$170),TEXT(EDATE($D89,Milestones!$AA$170),"dd/mm/yy")&amp;" "&amp;Milestones!$AB$170&amp;" "&amp;Milestones!$AC$170&amp;";  ","")&amp;IF(AND(EDATE($D89,Milestones!$AA$171)&lt;=AsOfDate,IF($Q89=0,$W89,IF(AND($S89&lt;&gt;"",EDATE($D89,Milestones!$AA$171)&gt;=$S89),$V89,IF(AND($R89&lt;&gt;"",EDATE($D89,Milestones!$AA$171)&gt;=$R89),$U89,$T89)))=Milestones!$AB$171),TEXT(EDATE($D89,Milestones!$AA$171),"dd/mm/yy")&amp;" "&amp;Milestones!$AB$171&amp;" "&amp;Milestones!$AC$171&amp;";  ","")&amp;IF(AND(EDATE($D89,Milestones!$AA$172)&lt;=AsOfDate,IF($Q89=0,$W89,IF(AND($S89&lt;&gt;"",EDATE($D89,Milestones!$AA$172)&gt;=$S89),$V89,IF(AND($R89&lt;&gt;"",EDATE($D89,Milestones!$AA$172)&gt;=$R89),$U89,$T89)))=Milestones!$AB$172),TEXT(EDATE($D89,Milestones!$AA$172),"dd/mm/yy")&amp;" "&amp;Milestones!$AB$172&amp;" "&amp;Milestones!$AC$172&amp;";  ","")&amp;IF(AND(EDATE($D89,Milestones!$AA$173)&lt;=AsOfDate,IF($Q89=0,$W89,IF(AND($S89&lt;&gt;"",EDATE($D89,Milestones!$AA$173)&gt;=$S89),$V89,IF(AND($R89&lt;&gt;"",EDATE($D89,Milestones!$AA$173)&gt;=$R89),$U89,$T89)))=Milestones!$AB$173),TEXT(EDATE($D89,Milestones!$AA$173),"dd/mm/yy")&amp;" "&amp;Milestones!$AB$173&amp;" "&amp;Milestones!$AC$173&amp;";  ","")&amp;IF(AND(EDATE($D89,Milestones!$AA$174)&lt;=AsOfDate,IF($Q89=0,$W89,IF(AND($S89&lt;&gt;"",EDATE($D89,Milestones!$AA$174)&gt;=$S89),$V89,IF(AND($R89&lt;&gt;"",EDATE($D89,Milestones!$AA$174)&gt;=$R89),$U89,$T89)))=Milestones!$AB$174),TEXT(EDATE($D89,Milestones!$AA$174),"dd/mm/yy")&amp;" "&amp;Milestones!$AB$174&amp;" "&amp;Milestones!$AC$174&amp;";  ","")&amp;IF(AND(EDATE($D89,Milestones!$AA$175)&lt;=AsOfDate,IF($Q89=0,$W89,IF(AND($S89&lt;&gt;"",EDATE($D89,Milestones!$AA$175)&gt;=$S89),$V89,IF(AND($R89&lt;&gt;"",EDATE($D89,Milestones!$AA$175)&gt;=$R89),$U89,$T89)))=Milestones!$AB$175),TEXT(EDATE($D89,Milestones!$AA$175),"dd/mm/yy")&amp;" "&amp;Milestones!$AB$175&amp;" "&amp;Milestones!$AC$175&amp;";  ","")&amp;IF(AND(EDATE($D89,Milestones!$AA$176)&lt;=AsOfDate,IF($Q89=0,$W89,IF(AND($S89&lt;&gt;"",EDATE($D89,Milestones!$AA$176)&gt;=$S89),$V89,IF(AND($R89&lt;&gt;"",EDATE($D89,Milestones!$AA$176)&gt;=$R89),$U89,$T89)))=Milestones!$AB$176),TEXT(EDATE($D89,Milestones!$AA$176),"dd/mm/yy")&amp;" "&amp;Milestones!$AB$176&amp;" "&amp;Milestones!$AC$176&amp;";  ","")&amp;IF(AND(EDATE($D89,Milestones!$AA$177)&lt;=AsOfDate,IF($Q89=0,$W89,IF(AND($S89&lt;&gt;"",EDATE($D89,Milestones!$AA$177)&gt;=$S89),$V89,IF(AND($R89&lt;&gt;"",EDATE($D89,Milestones!$AA$177)&gt;=$R89),$U89,$T89)))=Milestones!$AB$177),TEXT(EDATE($D89,Milestones!$AA$177),"dd/mm/yy")&amp;" "&amp;Milestones!$AB$177&amp;" "&amp;Milestones!$AC$177&amp;";  ","")&amp;IF(AND(EDATE($D89,Milestones!$AA$178)&lt;=AsOfDate,IF($Q89=0,$W89,IF(AND($S89&lt;&gt;"",EDATE($D89,Milestones!$AA$178)&gt;=$S89),$V89,IF(AND($R89&lt;&gt;"",EDATE($D89,Milestones!$AA$178)&gt;=$R89),$U89,$T89)))=Milestones!$AB$178),TEXT(EDATE($D89,Milestones!$AA$178),"dd/mm/yy")&amp;" "&amp;Milestones!$AB$178&amp;" "&amp;Milestones!$AC$178&amp;";  ","")&amp;IF(AND(EDATE($D89,Milestones!$AA$179)&lt;=AsOfDate,IF($Q89=0,$W89,IF(AND($S89&lt;&gt;"",EDATE($D89,Milestones!$AA$179)&gt;=$S89),$V89,IF(AND($R89&lt;&gt;"",EDATE($D89,Milestones!$AA$179)&gt;=$R89),$U89,$T89)))=Milestones!$AB$179),TEXT(EDATE($D89,Milestones!$AA$179),"dd/mm/yy")&amp;" "&amp;Milestones!$AB$179&amp;" "&amp;Milestones!$AC$179&amp;";  ",""))</f>
        <v/>
      </c>
      <c r="P89" s="0" t="str">
        <f aca="false">IF(OR($A89="",$D89=""),"",IF(AND(EDATE($D89,Milestones!$AA$180)&lt;=AsOfDate,IF($Q89=0,$W89,IF(AND($S89&lt;&gt;"",EDATE($D89,Milestones!$AA$180)&gt;=$S89),$V89,IF(AND($R89&lt;&gt;"",EDATE($D89,Milestones!$AA$180)&gt;=$R89),$U89,$T89)))=Milestones!$AB$180),TEXT(EDATE($D89,Milestones!$AA$180),"dd/mm/yy")&amp;" "&amp;Milestones!$AB$180&amp;" "&amp;Milestones!$AC$180&amp;";  ","")&amp;IF(AND(EDATE($D89,Milestones!$AA$181)&lt;=AsOfDate,IF($Q89=0,$W89,IF(AND($S89&lt;&gt;"",EDATE($D89,Milestones!$AA$181)&gt;=$S89),$V89,IF(AND($R89&lt;&gt;"",EDATE($D89,Milestones!$AA$181)&gt;=$R89),$U89,$T89)))=Milestones!$AB$181),TEXT(EDATE($D89,Milestones!$AA$181),"dd/mm/yy")&amp;" "&amp;Milestones!$AB$181&amp;" "&amp;Milestones!$AC$181&amp;";  ","")&amp;IF(AND(EDATE($D89,Milestones!$AA$182)&lt;=AsOfDate,IF($Q89=0,$W89,IF(AND($S89&lt;&gt;"",EDATE($D89,Milestones!$AA$182)&gt;=$S89),$V89,IF(AND($R89&lt;&gt;"",EDATE($D89,Milestones!$AA$182)&gt;=$R89),$U89,$T89)))=Milestones!$AB$182),TEXT(EDATE($D89,Milestones!$AA$182),"dd/mm/yy")&amp;" "&amp;Milestones!$AB$182&amp;" "&amp;Milestones!$AC$182&amp;";  ","")&amp;IF(AND(EDATE($D89,Milestones!$AA$183)&lt;=AsOfDate,IF($Q89=0,$W89,IF(AND($S89&lt;&gt;"",EDATE($D89,Milestones!$AA$183)&gt;=$S89),$V89,IF(AND($R89&lt;&gt;"",EDATE($D89,Milestones!$AA$183)&gt;=$R89),$U89,$T89)))=Milestones!$AB$183),TEXT(EDATE($D89,Milestones!$AA$183),"dd/mm/yy")&amp;" "&amp;Milestones!$AB$183&amp;" "&amp;Milestones!$AC$183&amp;";  ","")&amp;IF(AND(EDATE($D89,Milestones!$AA$184)&lt;=AsOfDate,IF($Q89=0,$W89,IF(AND($S89&lt;&gt;"",EDATE($D89,Milestones!$AA$184)&gt;=$S89),$V89,IF(AND($R89&lt;&gt;"",EDATE($D89,Milestones!$AA$184)&gt;=$R89),$U89,$T89)))=Milestones!$AB$184),TEXT(EDATE($D89,Milestones!$AA$184),"dd/mm/yy")&amp;" "&amp;Milestones!$AB$184&amp;" "&amp;Milestones!$AC$184&amp;";  ","")&amp;IF(AND(EDATE($D89,Milestones!$AA$185)&lt;=AsOfDate,IF($Q89=0,$W89,IF(AND($S89&lt;&gt;"",EDATE($D89,Milestones!$AA$185)&gt;=$S89),$V89,IF(AND($R89&lt;&gt;"",EDATE($D89,Milestones!$AA$185)&gt;=$R89),$U89,$T89)))=Milestones!$AB$185),TEXT(EDATE($D89,Milestones!$AA$185),"dd/mm/yy")&amp;" "&amp;Milestones!$AB$185&amp;" "&amp;Milestones!$AC$185&amp;";  ","")&amp;IF(AND(EDATE($D89,Milestones!$AA$186)&lt;=AsOfDate,IF($Q89=0,$W89,IF(AND($S89&lt;&gt;"",EDATE($D89,Milestones!$AA$186)&gt;=$S89),$V89,IF(AND($R89&lt;&gt;"",EDATE($D89,Milestones!$AA$186)&gt;=$R89),$U89,$T89)))=Milestones!$AB$186),TEXT(EDATE($D89,Milestones!$AA$186),"dd/mm/yy")&amp;" "&amp;Milestones!$AB$186&amp;" "&amp;Milestones!$AC$186&amp;";  ","")&amp;IF(AND(EDATE($D89,Milestones!$AA$187)&lt;=AsOfDate,IF($Q89=0,$W89,IF(AND($S89&lt;&gt;"",EDATE($D89,Milestones!$AA$187)&gt;=$S89),$V89,IF(AND($R89&lt;&gt;"",EDATE($D89,Milestones!$AA$187)&gt;=$R89),$U89,$T89)))=Milestones!$AB$187),TEXT(EDATE($D89,Milestones!$AA$187),"dd/mm/yy")&amp;" "&amp;Milestones!$AB$187&amp;" "&amp;Milestones!$AC$187&amp;";  ","")&amp;IF(AND(EDATE($D89,Milestones!$AA$188)&lt;=AsOfDate,IF($Q89=0,$W89,IF(AND($S89&lt;&gt;"",EDATE($D89,Milestones!$AA$188)&gt;=$S89),$V89,IF(AND($R89&lt;&gt;"",EDATE($D89,Milestones!$AA$188)&gt;=$R89),$U89,$T89)))=Milestones!$AB$188),TEXT(EDATE($D89,Milestones!$AA$188),"dd/mm/yy")&amp;" "&amp;Milestones!$AB$188&amp;" "&amp;Milestones!$AC$188&amp;";  ","")&amp;IF(AND(EDATE($D89,Milestones!$AA$189)&lt;=AsOfDate,IF($Q89=0,$W89,IF(AND($S89&lt;&gt;"",EDATE($D89,Milestones!$AA$189)&gt;=$S89),$V89,IF(AND($R89&lt;&gt;"",EDATE($D89,Milestones!$AA$189)&gt;=$R89),$U89,$T89)))=Milestones!$AB$189),TEXT(EDATE($D89,Milestones!$AA$189),"dd/mm/yy")&amp;" "&amp;Milestones!$AB$189&amp;" "&amp;Milestones!$AC$189&amp;";  ","")&amp;IF(AND(EDATE($D89,Milestones!$AA$190)&lt;=AsOfDate,IF($Q89=0,$W89,IF(AND($S89&lt;&gt;"",EDATE($D89,Milestones!$AA$190)&gt;=$S89),$V89,IF(AND($R89&lt;&gt;"",EDATE($D89,Milestones!$AA$190)&gt;=$R89),$U89,$T89)))=Milestones!$AB$190),TEXT(EDATE($D89,Milestones!$AA$190),"dd/mm/yy")&amp;" "&amp;Milestones!$AB$190&amp;" "&amp;Milestones!$AC$190&amp;";  ","")&amp;IF(AND(EDATE($D89,Milestones!$AA$191)&lt;=AsOfDate,IF($Q89=0,$W89,IF(AND($S89&lt;&gt;"",EDATE($D89,Milestones!$AA$191)&gt;=$S89),$V89,IF(AND($R89&lt;&gt;"",EDATE($D89,Milestones!$AA$191)&gt;=$R89),$U89,$T89)))=Milestones!$AB$191),TEXT(EDATE($D89,Milestones!$AA$191),"dd/mm/yy")&amp;" "&amp;Milestones!$AB$191&amp;" "&amp;Milestones!$AC$191&amp;";  ","")&amp;IF(AND(EDATE($D89,Milestones!$AA$192)&lt;=AsOfDate,IF($Q89=0,$W89,IF(AND($S89&lt;&gt;"",EDATE($D89,Milestones!$AA$192)&gt;=$S89),$V89,IF(AND($R89&lt;&gt;"",EDATE($D89,Milestones!$AA$192)&gt;=$R89),$U89,$T89)))=Milestones!$AB$192),TEXT(EDATE($D89,Milestones!$AA$192),"dd/mm/yy")&amp;" "&amp;Milestones!$AB$192&amp;" "&amp;Milestones!$AC$192&amp;";  ","")&amp;IF(AND(EDATE($D89,Milestones!$AA$193)&lt;=AsOfDate,IF($Q89=0,$W89,IF(AND($S89&lt;&gt;"",EDATE($D89,Milestones!$AA$193)&gt;=$S89),$V89,IF(AND($R89&lt;&gt;"",EDATE($D89,Milestones!$AA$193)&gt;=$R89),$U89,$T89)))=Milestones!$AB$193),TEXT(EDATE($D89,Milestones!$AA$193),"dd/mm/yy")&amp;" "&amp;Milestones!$AB$193&amp;" "&amp;Milestones!$AC$193&amp;";  ","")&amp;IF(AND(EDATE($D89,Milestones!$AA$194)&lt;=AsOfDate,IF($Q89=0,$W89,IF(AND($S89&lt;&gt;"",EDATE($D89,Milestones!$AA$194)&gt;=$S89),$V89,IF(AND($R89&lt;&gt;"",EDATE($D89,Milestones!$AA$194)&gt;=$R89),$U89,$T89)))=Milestones!$AB$194),TEXT(EDATE($D89,Milestones!$AA$194),"dd/mm/yy")&amp;" "&amp;Milestones!$AB$194&amp;" "&amp;Milestones!$AC$194&amp;";  ","")&amp;IF(AND(EDATE($D89,Milestones!$AA$195)&lt;=AsOfDate,IF($Q89=0,$W89,IF(AND($S89&lt;&gt;"",EDATE($D89,Milestones!$AA$195)&gt;=$S89),$V89,IF(AND($R89&lt;&gt;"",EDATE($D89,Milestones!$AA$195)&gt;=$R89),$U89,$T89)))=Milestones!$AB$195),TEXT(EDATE($D89,Milestones!$AA$195),"dd/mm/yy")&amp;" "&amp;Milestones!$AB$195&amp;" "&amp;Milestones!$AC$195&amp;";  ","")&amp;IF(AND(EDATE($D89,Milestones!$AA$196)&lt;=AsOfDate,IF($Q89=0,$W89,IF(AND($S89&lt;&gt;"",EDATE($D89,Milestones!$AA$196)&gt;=$S89),$V89,IF(AND($R89&lt;&gt;"",EDATE($D89,Milestones!$AA$196)&gt;=$R89),$U89,$T89)))=Milestones!$AB$196),TEXT(EDATE($D89,Milestones!$AA$196),"dd/mm/yy")&amp;" "&amp;Milestones!$AB$196&amp;" "&amp;Milestones!$AC$196&amp;";  ","")&amp;IF(AND(EDATE($D89,Milestones!$AA$197)&lt;=AsOfDate,IF($Q89=0,$W89,IF(AND($S89&lt;&gt;"",EDATE($D89,Milestones!$AA$197)&gt;=$S89),$V89,IF(AND($R89&lt;&gt;"",EDATE($D89,Milestones!$AA$197)&gt;=$R89),$U89,$T89)))=Milestones!$AB$197),TEXT(EDATE($D89,Milestones!$AA$197),"dd/mm/yy")&amp;" "&amp;Milestones!$AB$197&amp;" "&amp;Milestones!$AC$197&amp;";  ","")&amp;IF(AND(EDATE($D89,Milestones!$AA$198)&lt;=AsOfDate,IF($Q89=0,$W89,IF(AND($S89&lt;&gt;"",EDATE($D89,Milestones!$AA$198)&gt;=$S89),$V89,IF(AND($R89&lt;&gt;"",EDATE($D89,Milestones!$AA$198)&gt;=$R89),$U89,$T89)))=Milestones!$AB$198),TEXT(EDATE($D89,Milestones!$AA$198),"dd/mm/yy")&amp;" "&amp;Milestones!$AB$198&amp;" "&amp;Milestones!$AC$198&amp;";  ","")&amp;IF(AND(EDATE($D89,Milestones!$AA$199)&lt;=AsOfDate,IF($Q89=0,$W89,IF(AND($S89&lt;&gt;"",EDATE($D89,Milestones!$AA$199)&gt;=$S89),$V89,IF(AND($R89&lt;&gt;"",EDATE($D89,Milestones!$AA$199)&gt;=$R89),$U89,$T89)))=Milestones!$AB$199),TEXT(EDATE($D89,Milestones!$AA$199),"dd/mm/yy")&amp;" "&amp;Milestones!$AB$199&amp;" "&amp;Milestones!$AC$199&amp;";  ",""))</f>
        <v/>
      </c>
      <c r="Q89" s="0" t="str">
        <f aca="false">IF(Staff!$A89="","",Staff!$AG89)</f>
        <v/>
      </c>
      <c r="R89" s="0" t="str">
        <f aca="false">IF(Staff!$A89="","",Staff!$AI89)</f>
        <v/>
      </c>
      <c r="S89" s="0" t="str">
        <f aca="false">IF(Staff!$A89="","",Staff!$AJ89)</f>
        <v/>
      </c>
      <c r="T89" s="0" t="str">
        <f aca="false">IF(Staff!$A89="","",Staff!$AN89)</f>
        <v/>
      </c>
      <c r="U89" s="0" t="str">
        <f aca="false">IF(Staff!$A89="","",Staff!$AO89)</f>
        <v/>
      </c>
      <c r="V89" s="0" t="str">
        <f aca="false">IF(Staff!$A89="","",Staff!$AP89)</f>
        <v/>
      </c>
      <c r="W89" s="0" t="str">
        <f aca="false">IF(Staff!$A89="","",Staff!$AQ89)</f>
        <v/>
      </c>
    </row>
    <row r="90" customFormat="false" ht="15" hidden="false" customHeight="false" outlineLevel="0" collapsed="false">
      <c r="A90" s="13" t="str">
        <f aca="false">IF(Staff!$A90="","",Staff!$A90)</f>
        <v/>
      </c>
      <c r="B90" s="13" t="str">
        <f aca="false">IF(Staff!$A90="","",Staff!$B90)</f>
        <v/>
      </c>
      <c r="C90" s="13" t="str">
        <f aca="false">IF(Staff!$A90="","",Staff!$C90)</f>
        <v/>
      </c>
      <c r="D90" s="11" t="str">
        <f aca="false">IF(Staff!$A90="","",Staff!$AF90)</f>
        <v/>
      </c>
      <c r="E90" s="13" t="str">
        <f aca="false">IF(Staff!$A90="","",Staff!$O90)</f>
        <v/>
      </c>
      <c r="F90" s="13" t="str">
        <f aca="false">IF(E90="","",E90*HoursPerDay)</f>
        <v/>
      </c>
      <c r="G90" s="26" t="str">
        <f aca="false">IF($A90="","",H90&amp;I90&amp;J90&amp;K90&amp;L90&amp;M90&amp;N90&amp;O90&amp;P90)</f>
        <v/>
      </c>
      <c r="H90" s="0" t="str">
        <f aca="false">IF(OR($A90="",$D90=""),"",IF(AND(EDATE($D90,Milestones!$AA$20)&lt;=AsOfDate,IF($Q90=0,$W90,IF(AND($S90&lt;&gt;"",EDATE($D90,Milestones!$AA$20)&gt;=$S90),$V90,IF(AND($R90&lt;&gt;"",EDATE($D90,Milestones!$AA$20)&gt;=$R90),$U90,$T90)))=Milestones!$AB$20),TEXT(EDATE($D90,Milestones!$AA$20),"dd/mm/yy")&amp;" "&amp;Milestones!$AB$20&amp;" "&amp;Milestones!$AC$20&amp;";  ","")&amp;IF(AND(EDATE($D90,Milestones!$AA$21)&lt;=AsOfDate,IF($Q90=0,$W90,IF(AND($S90&lt;&gt;"",EDATE($D90,Milestones!$AA$21)&gt;=$S90),$V90,IF(AND($R90&lt;&gt;"",EDATE($D90,Milestones!$AA$21)&gt;=$R90),$U90,$T90)))=Milestones!$AB$21),TEXT(EDATE($D90,Milestones!$AA$21),"dd/mm/yy")&amp;" "&amp;Milestones!$AB$21&amp;" "&amp;Milestones!$AC$21&amp;";  ","")&amp;IF(AND(EDATE($D90,Milestones!$AA$22)&lt;=AsOfDate,IF($Q90=0,$W90,IF(AND($S90&lt;&gt;"",EDATE($D90,Milestones!$AA$22)&gt;=$S90),$V90,IF(AND($R90&lt;&gt;"",EDATE($D90,Milestones!$AA$22)&gt;=$R90),$U90,$T90)))=Milestones!$AB$22),TEXT(EDATE($D90,Milestones!$AA$22),"dd/mm/yy")&amp;" "&amp;Milestones!$AB$22&amp;" "&amp;Milestones!$AC$22&amp;";  ","")&amp;IF(AND(EDATE($D90,Milestones!$AA$23)&lt;=AsOfDate,IF($Q90=0,$W90,IF(AND($S90&lt;&gt;"",EDATE($D90,Milestones!$AA$23)&gt;=$S90),$V90,IF(AND($R90&lt;&gt;"",EDATE($D90,Milestones!$AA$23)&gt;=$R90),$U90,$T90)))=Milestones!$AB$23),TEXT(EDATE($D90,Milestones!$AA$23),"dd/mm/yy")&amp;" "&amp;Milestones!$AB$23&amp;" "&amp;Milestones!$AC$23&amp;";  ","")&amp;IF(AND(EDATE($D90,Milestones!$AA$24)&lt;=AsOfDate,IF($Q90=0,$W90,IF(AND($S90&lt;&gt;"",EDATE($D90,Milestones!$AA$24)&gt;=$S90),$V90,IF(AND($R90&lt;&gt;"",EDATE($D90,Milestones!$AA$24)&gt;=$R90),$U90,$T90)))=Milestones!$AB$24),TEXT(EDATE($D90,Milestones!$AA$24),"dd/mm/yy")&amp;" "&amp;Milestones!$AB$24&amp;" "&amp;Milestones!$AC$24&amp;";  ","")&amp;IF(AND(EDATE($D90,Milestones!$AA$25)&lt;=AsOfDate,IF($Q90=0,$W90,IF(AND($S90&lt;&gt;"",EDATE($D90,Milestones!$AA$25)&gt;=$S90),$V90,IF(AND($R90&lt;&gt;"",EDATE($D90,Milestones!$AA$25)&gt;=$R90),$U90,$T90)))=Milestones!$AB$25),TEXT(EDATE($D90,Milestones!$AA$25),"dd/mm/yy")&amp;" "&amp;Milestones!$AB$25&amp;" "&amp;Milestones!$AC$25&amp;";  ","")&amp;IF(AND(EDATE($D90,Milestones!$AA$26)&lt;=AsOfDate,IF($Q90=0,$W90,IF(AND($S90&lt;&gt;"",EDATE($D90,Milestones!$AA$26)&gt;=$S90),$V90,IF(AND($R90&lt;&gt;"",EDATE($D90,Milestones!$AA$26)&gt;=$R90),$U90,$T90)))=Milestones!$AB$26),TEXT(EDATE($D90,Milestones!$AA$26),"dd/mm/yy")&amp;" "&amp;Milestones!$AB$26&amp;" "&amp;Milestones!$AC$26&amp;";  ","")&amp;IF(AND(EDATE($D90,Milestones!$AA$27)&lt;=AsOfDate,IF($Q90=0,$W90,IF(AND($S90&lt;&gt;"",EDATE($D90,Milestones!$AA$27)&gt;=$S90),$V90,IF(AND($R90&lt;&gt;"",EDATE($D90,Milestones!$AA$27)&gt;=$R90),$U90,$T90)))=Milestones!$AB$27),TEXT(EDATE($D90,Milestones!$AA$27),"dd/mm/yy")&amp;" "&amp;Milestones!$AB$27&amp;" "&amp;Milestones!$AC$27&amp;";  ","")&amp;IF(AND(EDATE($D90,Milestones!$AA$28)&lt;=AsOfDate,IF($Q90=0,$W90,IF(AND($S90&lt;&gt;"",EDATE($D90,Milestones!$AA$28)&gt;=$S90),$V90,IF(AND($R90&lt;&gt;"",EDATE($D90,Milestones!$AA$28)&gt;=$R90),$U90,$T90)))=Milestones!$AB$28),TEXT(EDATE($D90,Milestones!$AA$28),"dd/mm/yy")&amp;" "&amp;Milestones!$AB$28&amp;" "&amp;Milestones!$AC$28&amp;";  ","")&amp;IF(AND(EDATE($D90,Milestones!$AA$29)&lt;=AsOfDate,IF($Q90=0,$W90,IF(AND($S90&lt;&gt;"",EDATE($D90,Milestones!$AA$29)&gt;=$S90),$V90,IF(AND($R90&lt;&gt;"",EDATE($D90,Milestones!$AA$29)&gt;=$R90),$U90,$T90)))=Milestones!$AB$29),TEXT(EDATE($D90,Milestones!$AA$29),"dd/mm/yy")&amp;" "&amp;Milestones!$AB$29&amp;" "&amp;Milestones!$AC$29&amp;";  ","")&amp;IF(AND(EDATE($D90,Milestones!$AA$30)&lt;=AsOfDate,IF($Q90=0,$W90,IF(AND($S90&lt;&gt;"",EDATE($D90,Milestones!$AA$30)&gt;=$S90),$V90,IF(AND($R90&lt;&gt;"",EDATE($D90,Milestones!$AA$30)&gt;=$R90),$U90,$T90)))=Milestones!$AB$30),TEXT(EDATE($D90,Milestones!$AA$30),"dd/mm/yy")&amp;" "&amp;Milestones!$AB$30&amp;" "&amp;Milestones!$AC$30&amp;";  ","")&amp;IF(AND(EDATE($D90,Milestones!$AA$31)&lt;=AsOfDate,IF($Q90=0,$W90,IF(AND($S90&lt;&gt;"",EDATE($D90,Milestones!$AA$31)&gt;=$S90),$V90,IF(AND($R90&lt;&gt;"",EDATE($D90,Milestones!$AA$31)&gt;=$R90),$U90,$T90)))=Milestones!$AB$31),TEXT(EDATE($D90,Milestones!$AA$31),"dd/mm/yy")&amp;" "&amp;Milestones!$AB$31&amp;" "&amp;Milestones!$AC$31&amp;";  ","")&amp;IF(AND(EDATE($D90,Milestones!$AA$32)&lt;=AsOfDate,IF($Q90=0,$W90,IF(AND($S90&lt;&gt;"",EDATE($D90,Milestones!$AA$32)&gt;=$S90),$V90,IF(AND($R90&lt;&gt;"",EDATE($D90,Milestones!$AA$32)&gt;=$R90),$U90,$T90)))=Milestones!$AB$32),TEXT(EDATE($D90,Milestones!$AA$32),"dd/mm/yy")&amp;" "&amp;Milestones!$AB$32&amp;" "&amp;Milestones!$AC$32&amp;";  ","")&amp;IF(AND(EDATE($D90,Milestones!$AA$33)&lt;=AsOfDate,IF($Q90=0,$W90,IF(AND($S90&lt;&gt;"",EDATE($D90,Milestones!$AA$33)&gt;=$S90),$V90,IF(AND($R90&lt;&gt;"",EDATE($D90,Milestones!$AA$33)&gt;=$R90),$U90,$T90)))=Milestones!$AB$33),TEXT(EDATE($D90,Milestones!$AA$33),"dd/mm/yy")&amp;" "&amp;Milestones!$AB$33&amp;" "&amp;Milestones!$AC$33&amp;";  ","")&amp;IF(AND(EDATE($D90,Milestones!$AA$34)&lt;=AsOfDate,IF($Q90=0,$W90,IF(AND($S90&lt;&gt;"",EDATE($D90,Milestones!$AA$34)&gt;=$S90),$V90,IF(AND($R90&lt;&gt;"",EDATE($D90,Milestones!$AA$34)&gt;=$R90),$U90,$T90)))=Milestones!$AB$34),TEXT(EDATE($D90,Milestones!$AA$34),"dd/mm/yy")&amp;" "&amp;Milestones!$AB$34&amp;" "&amp;Milestones!$AC$34&amp;";  ","")&amp;IF(AND(EDATE($D90,Milestones!$AA$35)&lt;=AsOfDate,IF($Q90=0,$W90,IF(AND($S90&lt;&gt;"",EDATE($D90,Milestones!$AA$35)&gt;=$S90),$V90,IF(AND($R90&lt;&gt;"",EDATE($D90,Milestones!$AA$35)&gt;=$R90),$U90,$T90)))=Milestones!$AB$35),TEXT(EDATE($D90,Milestones!$AA$35),"dd/mm/yy")&amp;" "&amp;Milestones!$AB$35&amp;" "&amp;Milestones!$AC$35&amp;";  ","")&amp;IF(AND(EDATE($D90,Milestones!$AA$36)&lt;=AsOfDate,IF($Q90=0,$W90,IF(AND($S90&lt;&gt;"",EDATE($D90,Milestones!$AA$36)&gt;=$S90),$V90,IF(AND($R90&lt;&gt;"",EDATE($D90,Milestones!$AA$36)&gt;=$R90),$U90,$T90)))=Milestones!$AB$36),TEXT(EDATE($D90,Milestones!$AA$36),"dd/mm/yy")&amp;" "&amp;Milestones!$AB$36&amp;" "&amp;Milestones!$AC$36&amp;";  ","")&amp;IF(AND(EDATE($D90,Milestones!$AA$37)&lt;=AsOfDate,IF($Q90=0,$W90,IF(AND($S90&lt;&gt;"",EDATE($D90,Milestones!$AA$37)&gt;=$S90),$V90,IF(AND($R90&lt;&gt;"",EDATE($D90,Milestones!$AA$37)&gt;=$R90),$U90,$T90)))=Milestones!$AB$37),TEXT(EDATE($D90,Milestones!$AA$37),"dd/mm/yy")&amp;" "&amp;Milestones!$AB$37&amp;" "&amp;Milestones!$AC$37&amp;";  ","")&amp;IF(AND(EDATE($D90,Milestones!$AA$38)&lt;=AsOfDate,IF($Q90=0,$W90,IF(AND($S90&lt;&gt;"",EDATE($D90,Milestones!$AA$38)&gt;=$S90),$V90,IF(AND($R90&lt;&gt;"",EDATE($D90,Milestones!$AA$38)&gt;=$R90),$U90,$T90)))=Milestones!$AB$38),TEXT(EDATE($D90,Milestones!$AA$38),"dd/mm/yy")&amp;" "&amp;Milestones!$AB$38&amp;" "&amp;Milestones!$AC$38&amp;";  ","")&amp;IF(AND(EDATE($D90,Milestones!$AA$39)&lt;=AsOfDate,IF($Q90=0,$W90,IF(AND($S90&lt;&gt;"",EDATE($D90,Milestones!$AA$39)&gt;=$S90),$V90,IF(AND($R90&lt;&gt;"",EDATE($D90,Milestones!$AA$39)&gt;=$R90),$U90,$T90)))=Milestones!$AB$39),TEXT(EDATE($D90,Milestones!$AA$39),"dd/mm/yy")&amp;" "&amp;Milestones!$AB$39&amp;" "&amp;Milestones!$AC$39&amp;";  ",""))</f>
        <v/>
      </c>
      <c r="I90" s="0" t="str">
        <f aca="false">IF(OR($A90="",$D90=""),"",IF(AND(EDATE($D90,Milestones!$AA$40)&lt;=AsOfDate,IF($Q90=0,$W90,IF(AND($S90&lt;&gt;"",EDATE($D90,Milestones!$AA$40)&gt;=$S90),$V90,IF(AND($R90&lt;&gt;"",EDATE($D90,Milestones!$AA$40)&gt;=$R90),$U90,$T90)))=Milestones!$AB$40),TEXT(EDATE($D90,Milestones!$AA$40),"dd/mm/yy")&amp;" "&amp;Milestones!$AB$40&amp;" "&amp;Milestones!$AC$40&amp;";  ","")&amp;IF(AND(EDATE($D90,Milestones!$AA$41)&lt;=AsOfDate,IF($Q90=0,$W90,IF(AND($S90&lt;&gt;"",EDATE($D90,Milestones!$AA$41)&gt;=$S90),$V90,IF(AND($R90&lt;&gt;"",EDATE($D90,Milestones!$AA$41)&gt;=$R90),$U90,$T90)))=Milestones!$AB$41),TEXT(EDATE($D90,Milestones!$AA$41),"dd/mm/yy")&amp;" "&amp;Milestones!$AB$41&amp;" "&amp;Milestones!$AC$41&amp;";  ","")&amp;IF(AND(EDATE($D90,Milestones!$AA$42)&lt;=AsOfDate,IF($Q90=0,$W90,IF(AND($S90&lt;&gt;"",EDATE($D90,Milestones!$AA$42)&gt;=$S90),$V90,IF(AND($R90&lt;&gt;"",EDATE($D90,Milestones!$AA$42)&gt;=$R90),$U90,$T90)))=Milestones!$AB$42),TEXT(EDATE($D90,Milestones!$AA$42),"dd/mm/yy")&amp;" "&amp;Milestones!$AB$42&amp;" "&amp;Milestones!$AC$42&amp;";  ","")&amp;IF(AND(EDATE($D90,Milestones!$AA$43)&lt;=AsOfDate,IF($Q90=0,$W90,IF(AND($S90&lt;&gt;"",EDATE($D90,Milestones!$AA$43)&gt;=$S90),$V90,IF(AND($R90&lt;&gt;"",EDATE($D90,Milestones!$AA$43)&gt;=$R90),$U90,$T90)))=Milestones!$AB$43),TEXT(EDATE($D90,Milestones!$AA$43),"dd/mm/yy")&amp;" "&amp;Milestones!$AB$43&amp;" "&amp;Milestones!$AC$43&amp;";  ","")&amp;IF(AND(EDATE($D90,Milestones!$AA$44)&lt;=AsOfDate,IF($Q90=0,$W90,IF(AND($S90&lt;&gt;"",EDATE($D90,Milestones!$AA$44)&gt;=$S90),$V90,IF(AND($R90&lt;&gt;"",EDATE($D90,Milestones!$AA$44)&gt;=$R90),$U90,$T90)))=Milestones!$AB$44),TEXT(EDATE($D90,Milestones!$AA$44),"dd/mm/yy")&amp;" "&amp;Milestones!$AB$44&amp;" "&amp;Milestones!$AC$44&amp;";  ","")&amp;IF(AND(EDATE($D90,Milestones!$AA$45)&lt;=AsOfDate,IF($Q90=0,$W90,IF(AND($S90&lt;&gt;"",EDATE($D90,Milestones!$AA$45)&gt;=$S90),$V90,IF(AND($R90&lt;&gt;"",EDATE($D90,Milestones!$AA$45)&gt;=$R90),$U90,$T90)))=Milestones!$AB$45),TEXT(EDATE($D90,Milestones!$AA$45),"dd/mm/yy")&amp;" "&amp;Milestones!$AB$45&amp;" "&amp;Milestones!$AC$45&amp;";  ","")&amp;IF(AND(EDATE($D90,Milestones!$AA$46)&lt;=AsOfDate,IF($Q90=0,$W90,IF(AND($S90&lt;&gt;"",EDATE($D90,Milestones!$AA$46)&gt;=$S90),$V90,IF(AND($R90&lt;&gt;"",EDATE($D90,Milestones!$AA$46)&gt;=$R90),$U90,$T90)))=Milestones!$AB$46),TEXT(EDATE($D90,Milestones!$AA$46),"dd/mm/yy")&amp;" "&amp;Milestones!$AB$46&amp;" "&amp;Milestones!$AC$46&amp;";  ","")&amp;IF(AND(EDATE($D90,Milestones!$AA$47)&lt;=AsOfDate,IF($Q90=0,$W90,IF(AND($S90&lt;&gt;"",EDATE($D90,Milestones!$AA$47)&gt;=$S90),$V90,IF(AND($R90&lt;&gt;"",EDATE($D90,Milestones!$AA$47)&gt;=$R90),$U90,$T90)))=Milestones!$AB$47),TEXT(EDATE($D90,Milestones!$AA$47),"dd/mm/yy")&amp;" "&amp;Milestones!$AB$47&amp;" "&amp;Milestones!$AC$47&amp;";  ","")&amp;IF(AND(EDATE($D90,Milestones!$AA$48)&lt;=AsOfDate,IF($Q90=0,$W90,IF(AND($S90&lt;&gt;"",EDATE($D90,Milestones!$AA$48)&gt;=$S90),$V90,IF(AND($R90&lt;&gt;"",EDATE($D90,Milestones!$AA$48)&gt;=$R90),$U90,$T90)))=Milestones!$AB$48),TEXT(EDATE($D90,Milestones!$AA$48),"dd/mm/yy")&amp;" "&amp;Milestones!$AB$48&amp;" "&amp;Milestones!$AC$48&amp;";  ","")&amp;IF(AND(EDATE($D90,Milestones!$AA$49)&lt;=AsOfDate,IF($Q90=0,$W90,IF(AND($S90&lt;&gt;"",EDATE($D90,Milestones!$AA$49)&gt;=$S90),$V90,IF(AND($R90&lt;&gt;"",EDATE($D90,Milestones!$AA$49)&gt;=$R90),$U90,$T90)))=Milestones!$AB$49),TEXT(EDATE($D90,Milestones!$AA$49),"dd/mm/yy")&amp;" "&amp;Milestones!$AB$49&amp;" "&amp;Milestones!$AC$49&amp;";  ","")&amp;IF(AND(EDATE($D90,Milestones!$AA$50)&lt;=AsOfDate,IF($Q90=0,$W90,IF(AND($S90&lt;&gt;"",EDATE($D90,Milestones!$AA$50)&gt;=$S90),$V90,IF(AND($R90&lt;&gt;"",EDATE($D90,Milestones!$AA$50)&gt;=$R90),$U90,$T90)))=Milestones!$AB$50),TEXT(EDATE($D90,Milestones!$AA$50),"dd/mm/yy")&amp;" "&amp;Milestones!$AB$50&amp;" "&amp;Milestones!$AC$50&amp;";  ","")&amp;IF(AND(EDATE($D90,Milestones!$AA$51)&lt;=AsOfDate,IF($Q90=0,$W90,IF(AND($S90&lt;&gt;"",EDATE($D90,Milestones!$AA$51)&gt;=$S90),$V90,IF(AND($R90&lt;&gt;"",EDATE($D90,Milestones!$AA$51)&gt;=$R90),$U90,$T90)))=Milestones!$AB$51),TEXT(EDATE($D90,Milestones!$AA$51),"dd/mm/yy")&amp;" "&amp;Milestones!$AB$51&amp;" "&amp;Milestones!$AC$51&amp;";  ","")&amp;IF(AND(EDATE($D90,Milestones!$AA$52)&lt;=AsOfDate,IF($Q90=0,$W90,IF(AND($S90&lt;&gt;"",EDATE($D90,Milestones!$AA$52)&gt;=$S90),$V90,IF(AND($R90&lt;&gt;"",EDATE($D90,Milestones!$AA$52)&gt;=$R90),$U90,$T90)))=Milestones!$AB$52),TEXT(EDATE($D90,Milestones!$AA$52),"dd/mm/yy")&amp;" "&amp;Milestones!$AB$52&amp;" "&amp;Milestones!$AC$52&amp;";  ","")&amp;IF(AND(EDATE($D90,Milestones!$AA$53)&lt;=AsOfDate,IF($Q90=0,$W90,IF(AND($S90&lt;&gt;"",EDATE($D90,Milestones!$AA$53)&gt;=$S90),$V90,IF(AND($R90&lt;&gt;"",EDATE($D90,Milestones!$AA$53)&gt;=$R90),$U90,$T90)))=Milestones!$AB$53),TEXT(EDATE($D90,Milestones!$AA$53),"dd/mm/yy")&amp;" "&amp;Milestones!$AB$53&amp;" "&amp;Milestones!$AC$53&amp;";  ","")&amp;IF(AND(EDATE($D90,Milestones!$AA$54)&lt;=AsOfDate,IF($Q90=0,$W90,IF(AND($S90&lt;&gt;"",EDATE($D90,Milestones!$AA$54)&gt;=$S90),$V90,IF(AND($R90&lt;&gt;"",EDATE($D90,Milestones!$AA$54)&gt;=$R90),$U90,$T90)))=Milestones!$AB$54),TEXT(EDATE($D90,Milestones!$AA$54),"dd/mm/yy")&amp;" "&amp;Milestones!$AB$54&amp;" "&amp;Milestones!$AC$54&amp;";  ","")&amp;IF(AND(EDATE($D90,Milestones!$AA$55)&lt;=AsOfDate,IF($Q90=0,$W90,IF(AND($S90&lt;&gt;"",EDATE($D90,Milestones!$AA$55)&gt;=$S90),$V90,IF(AND($R90&lt;&gt;"",EDATE($D90,Milestones!$AA$55)&gt;=$R90),$U90,$T90)))=Milestones!$AB$55),TEXT(EDATE($D90,Milestones!$AA$55),"dd/mm/yy")&amp;" "&amp;Milestones!$AB$55&amp;" "&amp;Milestones!$AC$55&amp;";  ","")&amp;IF(AND(EDATE($D90,Milestones!$AA$56)&lt;=AsOfDate,IF($Q90=0,$W90,IF(AND($S90&lt;&gt;"",EDATE($D90,Milestones!$AA$56)&gt;=$S90),$V90,IF(AND($R90&lt;&gt;"",EDATE($D90,Milestones!$AA$56)&gt;=$R90),$U90,$T90)))=Milestones!$AB$56),TEXT(EDATE($D90,Milestones!$AA$56),"dd/mm/yy")&amp;" "&amp;Milestones!$AB$56&amp;" "&amp;Milestones!$AC$56&amp;";  ","")&amp;IF(AND(EDATE($D90,Milestones!$AA$57)&lt;=AsOfDate,IF($Q90=0,$W90,IF(AND($S90&lt;&gt;"",EDATE($D90,Milestones!$AA$57)&gt;=$S90),$V90,IF(AND($R90&lt;&gt;"",EDATE($D90,Milestones!$AA$57)&gt;=$R90),$U90,$T90)))=Milestones!$AB$57),TEXT(EDATE($D90,Milestones!$AA$57),"dd/mm/yy")&amp;" "&amp;Milestones!$AB$57&amp;" "&amp;Milestones!$AC$57&amp;";  ","")&amp;IF(AND(EDATE($D90,Milestones!$AA$58)&lt;=AsOfDate,IF($Q90=0,$W90,IF(AND($S90&lt;&gt;"",EDATE($D90,Milestones!$AA$58)&gt;=$S90),$V90,IF(AND($R90&lt;&gt;"",EDATE($D90,Milestones!$AA$58)&gt;=$R90),$U90,$T90)))=Milestones!$AB$58),TEXT(EDATE($D90,Milestones!$AA$58),"dd/mm/yy")&amp;" "&amp;Milestones!$AB$58&amp;" "&amp;Milestones!$AC$58&amp;";  ","")&amp;IF(AND(EDATE($D90,Milestones!$AA$59)&lt;=AsOfDate,IF($Q90=0,$W90,IF(AND($S90&lt;&gt;"",EDATE($D90,Milestones!$AA$59)&gt;=$S90),$V90,IF(AND($R90&lt;&gt;"",EDATE($D90,Milestones!$AA$59)&gt;=$R90),$U90,$T90)))=Milestones!$AB$59),TEXT(EDATE($D90,Milestones!$AA$59),"dd/mm/yy")&amp;" "&amp;Milestones!$AB$59&amp;" "&amp;Milestones!$AC$59&amp;";  ",""))</f>
        <v/>
      </c>
      <c r="J90" s="0" t="str">
        <f aca="false">IF(OR($A90="",$D90=""),"",IF(AND(EDATE($D90,Milestones!$AA$60)&lt;=AsOfDate,IF($Q90=0,$W90,IF(AND($S90&lt;&gt;"",EDATE($D90,Milestones!$AA$60)&gt;=$S90),$V90,IF(AND($R90&lt;&gt;"",EDATE($D90,Milestones!$AA$60)&gt;=$R90),$U90,$T90)))=Milestones!$AB$60),TEXT(EDATE($D90,Milestones!$AA$60),"dd/mm/yy")&amp;" "&amp;Milestones!$AB$60&amp;" "&amp;Milestones!$AC$60&amp;";  ","")&amp;IF(AND(EDATE($D90,Milestones!$AA$61)&lt;=AsOfDate,IF($Q90=0,$W90,IF(AND($S90&lt;&gt;"",EDATE($D90,Milestones!$AA$61)&gt;=$S90),$V90,IF(AND($R90&lt;&gt;"",EDATE($D90,Milestones!$AA$61)&gt;=$R90),$U90,$T90)))=Milestones!$AB$61),TEXT(EDATE($D90,Milestones!$AA$61),"dd/mm/yy")&amp;" "&amp;Milestones!$AB$61&amp;" "&amp;Milestones!$AC$61&amp;";  ","")&amp;IF(AND(EDATE($D90,Milestones!$AA$62)&lt;=AsOfDate,IF($Q90=0,$W90,IF(AND($S90&lt;&gt;"",EDATE($D90,Milestones!$AA$62)&gt;=$S90),$V90,IF(AND($R90&lt;&gt;"",EDATE($D90,Milestones!$AA$62)&gt;=$R90),$U90,$T90)))=Milestones!$AB$62),TEXT(EDATE($D90,Milestones!$AA$62),"dd/mm/yy")&amp;" "&amp;Milestones!$AB$62&amp;" "&amp;Milestones!$AC$62&amp;";  ","")&amp;IF(AND(EDATE($D90,Milestones!$AA$63)&lt;=AsOfDate,IF($Q90=0,$W90,IF(AND($S90&lt;&gt;"",EDATE($D90,Milestones!$AA$63)&gt;=$S90),$V90,IF(AND($R90&lt;&gt;"",EDATE($D90,Milestones!$AA$63)&gt;=$R90),$U90,$T90)))=Milestones!$AB$63),TEXT(EDATE($D90,Milestones!$AA$63),"dd/mm/yy")&amp;" "&amp;Milestones!$AB$63&amp;" "&amp;Milestones!$AC$63&amp;";  ","")&amp;IF(AND(EDATE($D90,Milestones!$AA$64)&lt;=AsOfDate,IF($Q90=0,$W90,IF(AND($S90&lt;&gt;"",EDATE($D90,Milestones!$AA$64)&gt;=$S90),$V90,IF(AND($R90&lt;&gt;"",EDATE($D90,Milestones!$AA$64)&gt;=$R90),$U90,$T90)))=Milestones!$AB$64),TEXT(EDATE($D90,Milestones!$AA$64),"dd/mm/yy")&amp;" "&amp;Milestones!$AB$64&amp;" "&amp;Milestones!$AC$64&amp;";  ","")&amp;IF(AND(EDATE($D90,Milestones!$AA$65)&lt;=AsOfDate,IF($Q90=0,$W90,IF(AND($S90&lt;&gt;"",EDATE($D90,Milestones!$AA$65)&gt;=$S90),$V90,IF(AND($R90&lt;&gt;"",EDATE($D90,Milestones!$AA$65)&gt;=$R90),$U90,$T90)))=Milestones!$AB$65),TEXT(EDATE($D90,Milestones!$AA$65),"dd/mm/yy")&amp;" "&amp;Milestones!$AB$65&amp;" "&amp;Milestones!$AC$65&amp;";  ","")&amp;IF(AND(EDATE($D90,Milestones!$AA$66)&lt;=AsOfDate,IF($Q90=0,$W90,IF(AND($S90&lt;&gt;"",EDATE($D90,Milestones!$AA$66)&gt;=$S90),$V90,IF(AND($R90&lt;&gt;"",EDATE($D90,Milestones!$AA$66)&gt;=$R90),$U90,$T90)))=Milestones!$AB$66),TEXT(EDATE($D90,Milestones!$AA$66),"dd/mm/yy")&amp;" "&amp;Milestones!$AB$66&amp;" "&amp;Milestones!$AC$66&amp;";  ","")&amp;IF(AND(EDATE($D90,Milestones!$AA$67)&lt;=AsOfDate,IF($Q90=0,$W90,IF(AND($S90&lt;&gt;"",EDATE($D90,Milestones!$AA$67)&gt;=$S90),$V90,IF(AND($R90&lt;&gt;"",EDATE($D90,Milestones!$AA$67)&gt;=$R90),$U90,$T90)))=Milestones!$AB$67),TEXT(EDATE($D90,Milestones!$AA$67),"dd/mm/yy")&amp;" "&amp;Milestones!$AB$67&amp;" "&amp;Milestones!$AC$67&amp;";  ","")&amp;IF(AND(EDATE($D90,Milestones!$AA$68)&lt;=AsOfDate,IF($Q90=0,$W90,IF(AND($S90&lt;&gt;"",EDATE($D90,Milestones!$AA$68)&gt;=$S90),$V90,IF(AND($R90&lt;&gt;"",EDATE($D90,Milestones!$AA$68)&gt;=$R90),$U90,$T90)))=Milestones!$AB$68),TEXT(EDATE($D90,Milestones!$AA$68),"dd/mm/yy")&amp;" "&amp;Milestones!$AB$68&amp;" "&amp;Milestones!$AC$68&amp;";  ","")&amp;IF(AND(EDATE($D90,Milestones!$AA$69)&lt;=AsOfDate,IF($Q90=0,$W90,IF(AND($S90&lt;&gt;"",EDATE($D90,Milestones!$AA$69)&gt;=$S90),$V90,IF(AND($R90&lt;&gt;"",EDATE($D90,Milestones!$AA$69)&gt;=$R90),$U90,$T90)))=Milestones!$AB$69),TEXT(EDATE($D90,Milestones!$AA$69),"dd/mm/yy")&amp;" "&amp;Milestones!$AB$69&amp;" "&amp;Milestones!$AC$69&amp;";  ","")&amp;IF(AND(EDATE($D90,Milestones!$AA$70)&lt;=AsOfDate,IF($Q90=0,$W90,IF(AND($S90&lt;&gt;"",EDATE($D90,Milestones!$AA$70)&gt;=$S90),$V90,IF(AND($R90&lt;&gt;"",EDATE($D90,Milestones!$AA$70)&gt;=$R90),$U90,$T90)))=Milestones!$AB$70),TEXT(EDATE($D90,Milestones!$AA$70),"dd/mm/yy")&amp;" "&amp;Milestones!$AB$70&amp;" "&amp;Milestones!$AC$70&amp;";  ","")&amp;IF(AND(EDATE($D90,Milestones!$AA$71)&lt;=AsOfDate,IF($Q90=0,$W90,IF(AND($S90&lt;&gt;"",EDATE($D90,Milestones!$AA$71)&gt;=$S90),$V90,IF(AND($R90&lt;&gt;"",EDATE($D90,Milestones!$AA$71)&gt;=$R90),$U90,$T90)))=Milestones!$AB$71),TEXT(EDATE($D90,Milestones!$AA$71),"dd/mm/yy")&amp;" "&amp;Milestones!$AB$71&amp;" "&amp;Milestones!$AC$71&amp;";  ","")&amp;IF(AND(EDATE($D90,Milestones!$AA$72)&lt;=AsOfDate,IF($Q90=0,$W90,IF(AND($S90&lt;&gt;"",EDATE($D90,Milestones!$AA$72)&gt;=$S90),$V90,IF(AND($R90&lt;&gt;"",EDATE($D90,Milestones!$AA$72)&gt;=$R90),$U90,$T90)))=Milestones!$AB$72),TEXT(EDATE($D90,Milestones!$AA$72),"dd/mm/yy")&amp;" "&amp;Milestones!$AB$72&amp;" "&amp;Milestones!$AC$72&amp;";  ","")&amp;IF(AND(EDATE($D90,Milestones!$AA$73)&lt;=AsOfDate,IF($Q90=0,$W90,IF(AND($S90&lt;&gt;"",EDATE($D90,Milestones!$AA$73)&gt;=$S90),$V90,IF(AND($R90&lt;&gt;"",EDATE($D90,Milestones!$AA$73)&gt;=$R90),$U90,$T90)))=Milestones!$AB$73),TEXT(EDATE($D90,Milestones!$AA$73),"dd/mm/yy")&amp;" "&amp;Milestones!$AB$73&amp;" "&amp;Milestones!$AC$73&amp;";  ","")&amp;IF(AND(EDATE($D90,Milestones!$AA$74)&lt;=AsOfDate,IF($Q90=0,$W90,IF(AND($S90&lt;&gt;"",EDATE($D90,Milestones!$AA$74)&gt;=$S90),$V90,IF(AND($R90&lt;&gt;"",EDATE($D90,Milestones!$AA$74)&gt;=$R90),$U90,$T90)))=Milestones!$AB$74),TEXT(EDATE($D90,Milestones!$AA$74),"dd/mm/yy")&amp;" "&amp;Milestones!$AB$74&amp;" "&amp;Milestones!$AC$74&amp;";  ","")&amp;IF(AND(EDATE($D90,Milestones!$AA$75)&lt;=AsOfDate,IF($Q90=0,$W90,IF(AND($S90&lt;&gt;"",EDATE($D90,Milestones!$AA$75)&gt;=$S90),$V90,IF(AND($R90&lt;&gt;"",EDATE($D90,Milestones!$AA$75)&gt;=$R90),$U90,$T90)))=Milestones!$AB$75),TEXT(EDATE($D90,Milestones!$AA$75),"dd/mm/yy")&amp;" "&amp;Milestones!$AB$75&amp;" "&amp;Milestones!$AC$75&amp;";  ","")&amp;IF(AND(EDATE($D90,Milestones!$AA$76)&lt;=AsOfDate,IF($Q90=0,$W90,IF(AND($S90&lt;&gt;"",EDATE($D90,Milestones!$AA$76)&gt;=$S90),$V90,IF(AND($R90&lt;&gt;"",EDATE($D90,Milestones!$AA$76)&gt;=$R90),$U90,$T90)))=Milestones!$AB$76),TEXT(EDATE($D90,Milestones!$AA$76),"dd/mm/yy")&amp;" "&amp;Milestones!$AB$76&amp;" "&amp;Milestones!$AC$76&amp;";  ","")&amp;IF(AND(EDATE($D90,Milestones!$AA$77)&lt;=AsOfDate,IF($Q90=0,$W90,IF(AND($S90&lt;&gt;"",EDATE($D90,Milestones!$AA$77)&gt;=$S90),$V90,IF(AND($R90&lt;&gt;"",EDATE($D90,Milestones!$AA$77)&gt;=$R90),$U90,$T90)))=Milestones!$AB$77),TEXT(EDATE($D90,Milestones!$AA$77),"dd/mm/yy")&amp;" "&amp;Milestones!$AB$77&amp;" "&amp;Milestones!$AC$77&amp;";  ","")&amp;IF(AND(EDATE($D90,Milestones!$AA$78)&lt;=AsOfDate,IF($Q90=0,$W90,IF(AND($S90&lt;&gt;"",EDATE($D90,Milestones!$AA$78)&gt;=$S90),$V90,IF(AND($R90&lt;&gt;"",EDATE($D90,Milestones!$AA$78)&gt;=$R90),$U90,$T90)))=Milestones!$AB$78),TEXT(EDATE($D90,Milestones!$AA$78),"dd/mm/yy")&amp;" "&amp;Milestones!$AB$78&amp;" "&amp;Milestones!$AC$78&amp;";  ","")&amp;IF(AND(EDATE($D90,Milestones!$AA$79)&lt;=AsOfDate,IF($Q90=0,$W90,IF(AND($S90&lt;&gt;"",EDATE($D90,Milestones!$AA$79)&gt;=$S90),$V90,IF(AND($R90&lt;&gt;"",EDATE($D90,Milestones!$AA$79)&gt;=$R90),$U90,$T90)))=Milestones!$AB$79),TEXT(EDATE($D90,Milestones!$AA$79),"dd/mm/yy")&amp;" "&amp;Milestones!$AB$79&amp;" "&amp;Milestones!$AC$79&amp;";  ",""))</f>
        <v/>
      </c>
      <c r="K90" s="0" t="str">
        <f aca="false">IF(OR($A90="",$D90=""),"",IF(AND(EDATE($D90,Milestones!$AA$80)&lt;=AsOfDate,IF($Q90=0,$W90,IF(AND($S90&lt;&gt;"",EDATE($D90,Milestones!$AA$80)&gt;=$S90),$V90,IF(AND($R90&lt;&gt;"",EDATE($D90,Milestones!$AA$80)&gt;=$R90),$U90,$T90)))=Milestones!$AB$80),TEXT(EDATE($D90,Milestones!$AA$80),"dd/mm/yy")&amp;" "&amp;Milestones!$AB$80&amp;" "&amp;Milestones!$AC$80&amp;";  ","")&amp;IF(AND(EDATE($D90,Milestones!$AA$81)&lt;=AsOfDate,IF($Q90=0,$W90,IF(AND($S90&lt;&gt;"",EDATE($D90,Milestones!$AA$81)&gt;=$S90),$V90,IF(AND($R90&lt;&gt;"",EDATE($D90,Milestones!$AA$81)&gt;=$R90),$U90,$T90)))=Milestones!$AB$81),TEXT(EDATE($D90,Milestones!$AA$81),"dd/mm/yy")&amp;" "&amp;Milestones!$AB$81&amp;" "&amp;Milestones!$AC$81&amp;";  ","")&amp;IF(AND(EDATE($D90,Milestones!$AA$82)&lt;=AsOfDate,IF($Q90=0,$W90,IF(AND($S90&lt;&gt;"",EDATE($D90,Milestones!$AA$82)&gt;=$S90),$V90,IF(AND($R90&lt;&gt;"",EDATE($D90,Milestones!$AA$82)&gt;=$R90),$U90,$T90)))=Milestones!$AB$82),TEXT(EDATE($D90,Milestones!$AA$82),"dd/mm/yy")&amp;" "&amp;Milestones!$AB$82&amp;" "&amp;Milestones!$AC$82&amp;";  ","")&amp;IF(AND(EDATE($D90,Milestones!$AA$83)&lt;=AsOfDate,IF($Q90=0,$W90,IF(AND($S90&lt;&gt;"",EDATE($D90,Milestones!$AA$83)&gt;=$S90),$V90,IF(AND($R90&lt;&gt;"",EDATE($D90,Milestones!$AA$83)&gt;=$R90),$U90,$T90)))=Milestones!$AB$83),TEXT(EDATE($D90,Milestones!$AA$83),"dd/mm/yy")&amp;" "&amp;Milestones!$AB$83&amp;" "&amp;Milestones!$AC$83&amp;";  ","")&amp;IF(AND(EDATE($D90,Milestones!$AA$84)&lt;=AsOfDate,IF($Q90=0,$W90,IF(AND($S90&lt;&gt;"",EDATE($D90,Milestones!$AA$84)&gt;=$S90),$V90,IF(AND($R90&lt;&gt;"",EDATE($D90,Milestones!$AA$84)&gt;=$R90),$U90,$T90)))=Milestones!$AB$84),TEXT(EDATE($D90,Milestones!$AA$84),"dd/mm/yy")&amp;" "&amp;Milestones!$AB$84&amp;" "&amp;Milestones!$AC$84&amp;";  ","")&amp;IF(AND(EDATE($D90,Milestones!$AA$85)&lt;=AsOfDate,IF($Q90=0,$W90,IF(AND($S90&lt;&gt;"",EDATE($D90,Milestones!$AA$85)&gt;=$S90),$V90,IF(AND($R90&lt;&gt;"",EDATE($D90,Milestones!$AA$85)&gt;=$R90),$U90,$T90)))=Milestones!$AB$85),TEXT(EDATE($D90,Milestones!$AA$85),"dd/mm/yy")&amp;" "&amp;Milestones!$AB$85&amp;" "&amp;Milestones!$AC$85&amp;";  ","")&amp;IF(AND(EDATE($D90,Milestones!$AA$86)&lt;=AsOfDate,IF($Q90=0,$W90,IF(AND($S90&lt;&gt;"",EDATE($D90,Milestones!$AA$86)&gt;=$S90),$V90,IF(AND($R90&lt;&gt;"",EDATE($D90,Milestones!$AA$86)&gt;=$R90),$U90,$T90)))=Milestones!$AB$86),TEXT(EDATE($D90,Milestones!$AA$86),"dd/mm/yy")&amp;" "&amp;Milestones!$AB$86&amp;" "&amp;Milestones!$AC$86&amp;";  ","")&amp;IF(AND(EDATE($D90,Milestones!$AA$87)&lt;=AsOfDate,IF($Q90=0,$W90,IF(AND($S90&lt;&gt;"",EDATE($D90,Milestones!$AA$87)&gt;=$S90),$V90,IF(AND($R90&lt;&gt;"",EDATE($D90,Milestones!$AA$87)&gt;=$R90),$U90,$T90)))=Milestones!$AB$87),TEXT(EDATE($D90,Milestones!$AA$87),"dd/mm/yy")&amp;" "&amp;Milestones!$AB$87&amp;" "&amp;Milestones!$AC$87&amp;";  ","")&amp;IF(AND(EDATE($D90,Milestones!$AA$88)&lt;=AsOfDate,IF($Q90=0,$W90,IF(AND($S90&lt;&gt;"",EDATE($D90,Milestones!$AA$88)&gt;=$S90),$V90,IF(AND($R90&lt;&gt;"",EDATE($D90,Milestones!$AA$88)&gt;=$R90),$U90,$T90)))=Milestones!$AB$88),TEXT(EDATE($D90,Milestones!$AA$88),"dd/mm/yy")&amp;" "&amp;Milestones!$AB$88&amp;" "&amp;Milestones!$AC$88&amp;";  ","")&amp;IF(AND(EDATE($D90,Milestones!$AA$89)&lt;=AsOfDate,IF($Q90=0,$W90,IF(AND($S90&lt;&gt;"",EDATE($D90,Milestones!$AA$89)&gt;=$S90),$V90,IF(AND($R90&lt;&gt;"",EDATE($D90,Milestones!$AA$89)&gt;=$R90),$U90,$T90)))=Milestones!$AB$89),TEXT(EDATE($D90,Milestones!$AA$89),"dd/mm/yy")&amp;" "&amp;Milestones!$AB$89&amp;" "&amp;Milestones!$AC$89&amp;";  ","")&amp;IF(AND(EDATE($D90,Milestones!$AA$90)&lt;=AsOfDate,IF($Q90=0,$W90,IF(AND($S90&lt;&gt;"",EDATE($D90,Milestones!$AA$90)&gt;=$S90),$V90,IF(AND($R90&lt;&gt;"",EDATE($D90,Milestones!$AA$90)&gt;=$R90),$U90,$T90)))=Milestones!$AB$90),TEXT(EDATE($D90,Milestones!$AA$90),"dd/mm/yy")&amp;" "&amp;Milestones!$AB$90&amp;" "&amp;Milestones!$AC$90&amp;";  ","")&amp;IF(AND(EDATE($D90,Milestones!$AA$91)&lt;=AsOfDate,IF($Q90=0,$W90,IF(AND($S90&lt;&gt;"",EDATE($D90,Milestones!$AA$91)&gt;=$S90),$V90,IF(AND($R90&lt;&gt;"",EDATE($D90,Milestones!$AA$91)&gt;=$R90),$U90,$T90)))=Milestones!$AB$91),TEXT(EDATE($D90,Milestones!$AA$91),"dd/mm/yy")&amp;" "&amp;Milestones!$AB$91&amp;" "&amp;Milestones!$AC$91&amp;";  ","")&amp;IF(AND(EDATE($D90,Milestones!$AA$92)&lt;=AsOfDate,IF($Q90=0,$W90,IF(AND($S90&lt;&gt;"",EDATE($D90,Milestones!$AA$92)&gt;=$S90),$V90,IF(AND($R90&lt;&gt;"",EDATE($D90,Milestones!$AA$92)&gt;=$R90),$U90,$T90)))=Milestones!$AB$92),TEXT(EDATE($D90,Milestones!$AA$92),"dd/mm/yy")&amp;" "&amp;Milestones!$AB$92&amp;" "&amp;Milestones!$AC$92&amp;";  ","")&amp;IF(AND(EDATE($D90,Milestones!$AA$93)&lt;=AsOfDate,IF($Q90=0,$W90,IF(AND($S90&lt;&gt;"",EDATE($D90,Milestones!$AA$93)&gt;=$S90),$V90,IF(AND($R90&lt;&gt;"",EDATE($D90,Milestones!$AA$93)&gt;=$R90),$U90,$T90)))=Milestones!$AB$93),TEXT(EDATE($D90,Milestones!$AA$93),"dd/mm/yy")&amp;" "&amp;Milestones!$AB$93&amp;" "&amp;Milestones!$AC$93&amp;";  ","")&amp;IF(AND(EDATE($D90,Milestones!$AA$94)&lt;=AsOfDate,IF($Q90=0,$W90,IF(AND($S90&lt;&gt;"",EDATE($D90,Milestones!$AA$94)&gt;=$S90),$V90,IF(AND($R90&lt;&gt;"",EDATE($D90,Milestones!$AA$94)&gt;=$R90),$U90,$T90)))=Milestones!$AB$94),TEXT(EDATE($D90,Milestones!$AA$94),"dd/mm/yy")&amp;" "&amp;Milestones!$AB$94&amp;" "&amp;Milestones!$AC$94&amp;";  ","")&amp;IF(AND(EDATE($D90,Milestones!$AA$95)&lt;=AsOfDate,IF($Q90=0,$W90,IF(AND($S90&lt;&gt;"",EDATE($D90,Milestones!$AA$95)&gt;=$S90),$V90,IF(AND($R90&lt;&gt;"",EDATE($D90,Milestones!$AA$95)&gt;=$R90),$U90,$T90)))=Milestones!$AB$95),TEXT(EDATE($D90,Milestones!$AA$95),"dd/mm/yy")&amp;" "&amp;Milestones!$AB$95&amp;" "&amp;Milestones!$AC$95&amp;";  ","")&amp;IF(AND(EDATE($D90,Milestones!$AA$96)&lt;=AsOfDate,IF($Q90=0,$W90,IF(AND($S90&lt;&gt;"",EDATE($D90,Milestones!$AA$96)&gt;=$S90),$V90,IF(AND($R90&lt;&gt;"",EDATE($D90,Milestones!$AA$96)&gt;=$R90),$U90,$T90)))=Milestones!$AB$96),TEXT(EDATE($D90,Milestones!$AA$96),"dd/mm/yy")&amp;" "&amp;Milestones!$AB$96&amp;" "&amp;Milestones!$AC$96&amp;";  ","")&amp;IF(AND(EDATE($D90,Milestones!$AA$97)&lt;=AsOfDate,IF($Q90=0,$W90,IF(AND($S90&lt;&gt;"",EDATE($D90,Milestones!$AA$97)&gt;=$S90),$V90,IF(AND($R90&lt;&gt;"",EDATE($D90,Milestones!$AA$97)&gt;=$R90),$U90,$T90)))=Milestones!$AB$97),TEXT(EDATE($D90,Milestones!$AA$97),"dd/mm/yy")&amp;" "&amp;Milestones!$AB$97&amp;" "&amp;Milestones!$AC$97&amp;";  ","")&amp;IF(AND(EDATE($D90,Milestones!$AA$98)&lt;=AsOfDate,IF($Q90=0,$W90,IF(AND($S90&lt;&gt;"",EDATE($D90,Milestones!$AA$98)&gt;=$S90),$V90,IF(AND($R90&lt;&gt;"",EDATE($D90,Milestones!$AA$98)&gt;=$R90),$U90,$T90)))=Milestones!$AB$98),TEXT(EDATE($D90,Milestones!$AA$98),"dd/mm/yy")&amp;" "&amp;Milestones!$AB$98&amp;" "&amp;Milestones!$AC$98&amp;";  ","")&amp;IF(AND(EDATE($D90,Milestones!$AA$99)&lt;=AsOfDate,IF($Q90=0,$W90,IF(AND($S90&lt;&gt;"",EDATE($D90,Milestones!$AA$99)&gt;=$S90),$V90,IF(AND($R90&lt;&gt;"",EDATE($D90,Milestones!$AA$99)&gt;=$R90),$U90,$T90)))=Milestones!$AB$99),TEXT(EDATE($D90,Milestones!$AA$99),"dd/mm/yy")&amp;" "&amp;Milestones!$AB$99&amp;" "&amp;Milestones!$AC$99&amp;";  ",""))</f>
        <v/>
      </c>
      <c r="L90" s="0" t="str">
        <f aca="false">IF(OR($A90="",$D90=""),"",IF(AND(EDATE($D90,Milestones!$AA$100)&lt;=AsOfDate,IF($Q90=0,$W90,IF(AND($S90&lt;&gt;"",EDATE($D90,Milestones!$AA$100)&gt;=$S90),$V90,IF(AND($R90&lt;&gt;"",EDATE($D90,Milestones!$AA$100)&gt;=$R90),$U90,$T90)))=Milestones!$AB$100),TEXT(EDATE($D90,Milestones!$AA$100),"dd/mm/yy")&amp;" "&amp;Milestones!$AB$100&amp;" "&amp;Milestones!$AC$100&amp;";  ","")&amp;IF(AND(EDATE($D90,Milestones!$AA$101)&lt;=AsOfDate,IF($Q90=0,$W90,IF(AND($S90&lt;&gt;"",EDATE($D90,Milestones!$AA$101)&gt;=$S90),$V90,IF(AND($R90&lt;&gt;"",EDATE($D90,Milestones!$AA$101)&gt;=$R90),$U90,$T90)))=Milestones!$AB$101),TEXT(EDATE($D90,Milestones!$AA$101),"dd/mm/yy")&amp;" "&amp;Milestones!$AB$101&amp;" "&amp;Milestones!$AC$101&amp;";  ","")&amp;IF(AND(EDATE($D90,Milestones!$AA$102)&lt;=AsOfDate,IF($Q90=0,$W90,IF(AND($S90&lt;&gt;"",EDATE($D90,Milestones!$AA$102)&gt;=$S90),$V90,IF(AND($R90&lt;&gt;"",EDATE($D90,Milestones!$AA$102)&gt;=$R90),$U90,$T90)))=Milestones!$AB$102),TEXT(EDATE($D90,Milestones!$AA$102),"dd/mm/yy")&amp;" "&amp;Milestones!$AB$102&amp;" "&amp;Milestones!$AC$102&amp;";  ","")&amp;IF(AND(EDATE($D90,Milestones!$AA$103)&lt;=AsOfDate,IF($Q90=0,$W90,IF(AND($S90&lt;&gt;"",EDATE($D90,Milestones!$AA$103)&gt;=$S90),$V90,IF(AND($R90&lt;&gt;"",EDATE($D90,Milestones!$AA$103)&gt;=$R90),$U90,$T90)))=Milestones!$AB$103),TEXT(EDATE($D90,Milestones!$AA$103),"dd/mm/yy")&amp;" "&amp;Milestones!$AB$103&amp;" "&amp;Milestones!$AC$103&amp;";  ","")&amp;IF(AND(EDATE($D90,Milestones!$AA$104)&lt;=AsOfDate,IF($Q90=0,$W90,IF(AND($S90&lt;&gt;"",EDATE($D90,Milestones!$AA$104)&gt;=$S90),$V90,IF(AND($R90&lt;&gt;"",EDATE($D90,Milestones!$AA$104)&gt;=$R90),$U90,$T90)))=Milestones!$AB$104),TEXT(EDATE($D90,Milestones!$AA$104),"dd/mm/yy")&amp;" "&amp;Milestones!$AB$104&amp;" "&amp;Milestones!$AC$104&amp;";  ","")&amp;IF(AND(EDATE($D90,Milestones!$AA$105)&lt;=AsOfDate,IF($Q90=0,$W90,IF(AND($S90&lt;&gt;"",EDATE($D90,Milestones!$AA$105)&gt;=$S90),$V90,IF(AND($R90&lt;&gt;"",EDATE($D90,Milestones!$AA$105)&gt;=$R90),$U90,$T90)))=Milestones!$AB$105),TEXT(EDATE($D90,Milestones!$AA$105),"dd/mm/yy")&amp;" "&amp;Milestones!$AB$105&amp;" "&amp;Milestones!$AC$105&amp;";  ","")&amp;IF(AND(EDATE($D90,Milestones!$AA$106)&lt;=AsOfDate,IF($Q90=0,$W90,IF(AND($S90&lt;&gt;"",EDATE($D90,Milestones!$AA$106)&gt;=$S90),$V90,IF(AND($R90&lt;&gt;"",EDATE($D90,Milestones!$AA$106)&gt;=$R90),$U90,$T90)))=Milestones!$AB$106),TEXT(EDATE($D90,Milestones!$AA$106),"dd/mm/yy")&amp;" "&amp;Milestones!$AB$106&amp;" "&amp;Milestones!$AC$106&amp;";  ","")&amp;IF(AND(EDATE($D90,Milestones!$AA$107)&lt;=AsOfDate,IF($Q90=0,$W90,IF(AND($S90&lt;&gt;"",EDATE($D90,Milestones!$AA$107)&gt;=$S90),$V90,IF(AND($R90&lt;&gt;"",EDATE($D90,Milestones!$AA$107)&gt;=$R90),$U90,$T90)))=Milestones!$AB$107),TEXT(EDATE($D90,Milestones!$AA$107),"dd/mm/yy")&amp;" "&amp;Milestones!$AB$107&amp;" "&amp;Milestones!$AC$107&amp;";  ","")&amp;IF(AND(EDATE($D90,Milestones!$AA$108)&lt;=AsOfDate,IF($Q90=0,$W90,IF(AND($S90&lt;&gt;"",EDATE($D90,Milestones!$AA$108)&gt;=$S90),$V90,IF(AND($R90&lt;&gt;"",EDATE($D90,Milestones!$AA$108)&gt;=$R90),$U90,$T90)))=Milestones!$AB$108),TEXT(EDATE($D90,Milestones!$AA$108),"dd/mm/yy")&amp;" "&amp;Milestones!$AB$108&amp;" "&amp;Milestones!$AC$108&amp;";  ","")&amp;IF(AND(EDATE($D90,Milestones!$AA$109)&lt;=AsOfDate,IF($Q90=0,$W90,IF(AND($S90&lt;&gt;"",EDATE($D90,Milestones!$AA$109)&gt;=$S90),$V90,IF(AND($R90&lt;&gt;"",EDATE($D90,Milestones!$AA$109)&gt;=$R90),$U90,$T90)))=Milestones!$AB$109),TEXT(EDATE($D90,Milestones!$AA$109),"dd/mm/yy")&amp;" "&amp;Milestones!$AB$109&amp;" "&amp;Milestones!$AC$109&amp;";  ","")&amp;IF(AND(EDATE($D90,Milestones!$AA$110)&lt;=AsOfDate,IF($Q90=0,$W90,IF(AND($S90&lt;&gt;"",EDATE($D90,Milestones!$AA$110)&gt;=$S90),$V90,IF(AND($R90&lt;&gt;"",EDATE($D90,Milestones!$AA$110)&gt;=$R90),$U90,$T90)))=Milestones!$AB$110),TEXT(EDATE($D90,Milestones!$AA$110),"dd/mm/yy")&amp;" "&amp;Milestones!$AB$110&amp;" "&amp;Milestones!$AC$110&amp;";  ","")&amp;IF(AND(EDATE($D90,Milestones!$AA$111)&lt;=AsOfDate,IF($Q90=0,$W90,IF(AND($S90&lt;&gt;"",EDATE($D90,Milestones!$AA$111)&gt;=$S90),$V90,IF(AND($R90&lt;&gt;"",EDATE($D90,Milestones!$AA$111)&gt;=$R90),$U90,$T90)))=Milestones!$AB$111),TEXT(EDATE($D90,Milestones!$AA$111),"dd/mm/yy")&amp;" "&amp;Milestones!$AB$111&amp;" "&amp;Milestones!$AC$111&amp;";  ","")&amp;IF(AND(EDATE($D90,Milestones!$AA$112)&lt;=AsOfDate,IF($Q90=0,$W90,IF(AND($S90&lt;&gt;"",EDATE($D90,Milestones!$AA$112)&gt;=$S90),$V90,IF(AND($R90&lt;&gt;"",EDATE($D90,Milestones!$AA$112)&gt;=$R90),$U90,$T90)))=Milestones!$AB$112),TEXT(EDATE($D90,Milestones!$AA$112),"dd/mm/yy")&amp;" "&amp;Milestones!$AB$112&amp;" "&amp;Milestones!$AC$112&amp;";  ","")&amp;IF(AND(EDATE($D90,Milestones!$AA$113)&lt;=AsOfDate,IF($Q90=0,$W90,IF(AND($S90&lt;&gt;"",EDATE($D90,Milestones!$AA$113)&gt;=$S90),$V90,IF(AND($R90&lt;&gt;"",EDATE($D90,Milestones!$AA$113)&gt;=$R90),$U90,$T90)))=Milestones!$AB$113),TEXT(EDATE($D90,Milestones!$AA$113),"dd/mm/yy")&amp;" "&amp;Milestones!$AB$113&amp;" "&amp;Milestones!$AC$113&amp;";  ","")&amp;IF(AND(EDATE($D90,Milestones!$AA$114)&lt;=AsOfDate,IF($Q90=0,$W90,IF(AND($S90&lt;&gt;"",EDATE($D90,Milestones!$AA$114)&gt;=$S90),$V90,IF(AND($R90&lt;&gt;"",EDATE($D90,Milestones!$AA$114)&gt;=$R90),$U90,$T90)))=Milestones!$AB$114),TEXT(EDATE($D90,Milestones!$AA$114),"dd/mm/yy")&amp;" "&amp;Milestones!$AB$114&amp;" "&amp;Milestones!$AC$114&amp;";  ","")&amp;IF(AND(EDATE($D90,Milestones!$AA$115)&lt;=AsOfDate,IF($Q90=0,$W90,IF(AND($S90&lt;&gt;"",EDATE($D90,Milestones!$AA$115)&gt;=$S90),$V90,IF(AND($R90&lt;&gt;"",EDATE($D90,Milestones!$AA$115)&gt;=$R90),$U90,$T90)))=Milestones!$AB$115),TEXT(EDATE($D90,Milestones!$AA$115),"dd/mm/yy")&amp;" "&amp;Milestones!$AB$115&amp;" "&amp;Milestones!$AC$115&amp;";  ","")&amp;IF(AND(EDATE($D90,Milestones!$AA$116)&lt;=AsOfDate,IF($Q90=0,$W90,IF(AND($S90&lt;&gt;"",EDATE($D90,Milestones!$AA$116)&gt;=$S90),$V90,IF(AND($R90&lt;&gt;"",EDATE($D90,Milestones!$AA$116)&gt;=$R90),$U90,$T90)))=Milestones!$AB$116),TEXT(EDATE($D90,Milestones!$AA$116),"dd/mm/yy")&amp;" "&amp;Milestones!$AB$116&amp;" "&amp;Milestones!$AC$116&amp;";  ","")&amp;IF(AND(EDATE($D90,Milestones!$AA$117)&lt;=AsOfDate,IF($Q90=0,$W90,IF(AND($S90&lt;&gt;"",EDATE($D90,Milestones!$AA$117)&gt;=$S90),$V90,IF(AND($R90&lt;&gt;"",EDATE($D90,Milestones!$AA$117)&gt;=$R90),$U90,$T90)))=Milestones!$AB$117),TEXT(EDATE($D90,Milestones!$AA$117),"dd/mm/yy")&amp;" "&amp;Milestones!$AB$117&amp;" "&amp;Milestones!$AC$117&amp;";  ","")&amp;IF(AND(EDATE($D90,Milestones!$AA$118)&lt;=AsOfDate,IF($Q90=0,$W90,IF(AND($S90&lt;&gt;"",EDATE($D90,Milestones!$AA$118)&gt;=$S90),$V90,IF(AND($R90&lt;&gt;"",EDATE($D90,Milestones!$AA$118)&gt;=$R90),$U90,$T90)))=Milestones!$AB$118),TEXT(EDATE($D90,Milestones!$AA$118),"dd/mm/yy")&amp;" "&amp;Milestones!$AB$118&amp;" "&amp;Milestones!$AC$118&amp;";  ","")&amp;IF(AND(EDATE($D90,Milestones!$AA$119)&lt;=AsOfDate,IF($Q90=0,$W90,IF(AND($S90&lt;&gt;"",EDATE($D90,Milestones!$AA$119)&gt;=$S90),$V90,IF(AND($R90&lt;&gt;"",EDATE($D90,Milestones!$AA$119)&gt;=$R90),$U90,$T90)))=Milestones!$AB$119),TEXT(EDATE($D90,Milestones!$AA$119),"dd/mm/yy")&amp;" "&amp;Milestones!$AB$119&amp;" "&amp;Milestones!$AC$119&amp;";  ",""))</f>
        <v/>
      </c>
      <c r="M90" s="0" t="str">
        <f aca="false">IF(OR($A90="",$D90=""),"",IF(AND(EDATE($D90,Milestones!$AA$120)&lt;=AsOfDate,IF($Q90=0,$W90,IF(AND($S90&lt;&gt;"",EDATE($D90,Milestones!$AA$120)&gt;=$S90),$V90,IF(AND($R90&lt;&gt;"",EDATE($D90,Milestones!$AA$120)&gt;=$R90),$U90,$T90)))=Milestones!$AB$120),TEXT(EDATE($D90,Milestones!$AA$120),"dd/mm/yy")&amp;" "&amp;Milestones!$AB$120&amp;" "&amp;Milestones!$AC$120&amp;";  ","")&amp;IF(AND(EDATE($D90,Milestones!$AA$121)&lt;=AsOfDate,IF($Q90=0,$W90,IF(AND($S90&lt;&gt;"",EDATE($D90,Milestones!$AA$121)&gt;=$S90),$V90,IF(AND($R90&lt;&gt;"",EDATE($D90,Milestones!$AA$121)&gt;=$R90),$U90,$T90)))=Milestones!$AB$121),TEXT(EDATE($D90,Milestones!$AA$121),"dd/mm/yy")&amp;" "&amp;Milestones!$AB$121&amp;" "&amp;Milestones!$AC$121&amp;";  ","")&amp;IF(AND(EDATE($D90,Milestones!$AA$122)&lt;=AsOfDate,IF($Q90=0,$W90,IF(AND($S90&lt;&gt;"",EDATE($D90,Milestones!$AA$122)&gt;=$S90),$V90,IF(AND($R90&lt;&gt;"",EDATE($D90,Milestones!$AA$122)&gt;=$R90),$U90,$T90)))=Milestones!$AB$122),TEXT(EDATE($D90,Milestones!$AA$122),"dd/mm/yy")&amp;" "&amp;Milestones!$AB$122&amp;" "&amp;Milestones!$AC$122&amp;";  ","")&amp;IF(AND(EDATE($D90,Milestones!$AA$123)&lt;=AsOfDate,IF($Q90=0,$W90,IF(AND($S90&lt;&gt;"",EDATE($D90,Milestones!$AA$123)&gt;=$S90),$V90,IF(AND($R90&lt;&gt;"",EDATE($D90,Milestones!$AA$123)&gt;=$R90),$U90,$T90)))=Milestones!$AB$123),TEXT(EDATE($D90,Milestones!$AA$123),"dd/mm/yy")&amp;" "&amp;Milestones!$AB$123&amp;" "&amp;Milestones!$AC$123&amp;";  ","")&amp;IF(AND(EDATE($D90,Milestones!$AA$124)&lt;=AsOfDate,IF($Q90=0,$W90,IF(AND($S90&lt;&gt;"",EDATE($D90,Milestones!$AA$124)&gt;=$S90),$V90,IF(AND($R90&lt;&gt;"",EDATE($D90,Milestones!$AA$124)&gt;=$R90),$U90,$T90)))=Milestones!$AB$124),TEXT(EDATE($D90,Milestones!$AA$124),"dd/mm/yy")&amp;" "&amp;Milestones!$AB$124&amp;" "&amp;Milestones!$AC$124&amp;";  ","")&amp;IF(AND(EDATE($D90,Milestones!$AA$125)&lt;=AsOfDate,IF($Q90=0,$W90,IF(AND($S90&lt;&gt;"",EDATE($D90,Milestones!$AA$125)&gt;=$S90),$V90,IF(AND($R90&lt;&gt;"",EDATE($D90,Milestones!$AA$125)&gt;=$R90),$U90,$T90)))=Milestones!$AB$125),TEXT(EDATE($D90,Milestones!$AA$125),"dd/mm/yy")&amp;" "&amp;Milestones!$AB$125&amp;" "&amp;Milestones!$AC$125&amp;";  ","")&amp;IF(AND(EDATE($D90,Milestones!$AA$126)&lt;=AsOfDate,IF($Q90=0,$W90,IF(AND($S90&lt;&gt;"",EDATE($D90,Milestones!$AA$126)&gt;=$S90),$V90,IF(AND($R90&lt;&gt;"",EDATE($D90,Milestones!$AA$126)&gt;=$R90),$U90,$T90)))=Milestones!$AB$126),TEXT(EDATE($D90,Milestones!$AA$126),"dd/mm/yy")&amp;" "&amp;Milestones!$AB$126&amp;" "&amp;Milestones!$AC$126&amp;";  ","")&amp;IF(AND(EDATE($D90,Milestones!$AA$127)&lt;=AsOfDate,IF($Q90=0,$W90,IF(AND($S90&lt;&gt;"",EDATE($D90,Milestones!$AA$127)&gt;=$S90),$V90,IF(AND($R90&lt;&gt;"",EDATE($D90,Milestones!$AA$127)&gt;=$R90),$U90,$T90)))=Milestones!$AB$127),TEXT(EDATE($D90,Milestones!$AA$127),"dd/mm/yy")&amp;" "&amp;Milestones!$AB$127&amp;" "&amp;Milestones!$AC$127&amp;";  ","")&amp;IF(AND(EDATE($D90,Milestones!$AA$128)&lt;=AsOfDate,IF($Q90=0,$W90,IF(AND($S90&lt;&gt;"",EDATE($D90,Milestones!$AA$128)&gt;=$S90),$V90,IF(AND($R90&lt;&gt;"",EDATE($D90,Milestones!$AA$128)&gt;=$R90),$U90,$T90)))=Milestones!$AB$128),TEXT(EDATE($D90,Milestones!$AA$128),"dd/mm/yy")&amp;" "&amp;Milestones!$AB$128&amp;" "&amp;Milestones!$AC$128&amp;";  ","")&amp;IF(AND(EDATE($D90,Milestones!$AA$129)&lt;=AsOfDate,IF($Q90=0,$W90,IF(AND($S90&lt;&gt;"",EDATE($D90,Milestones!$AA$129)&gt;=$S90),$V90,IF(AND($R90&lt;&gt;"",EDATE($D90,Milestones!$AA$129)&gt;=$R90),$U90,$T90)))=Milestones!$AB$129),TEXT(EDATE($D90,Milestones!$AA$129),"dd/mm/yy")&amp;" "&amp;Milestones!$AB$129&amp;" "&amp;Milestones!$AC$129&amp;";  ","")&amp;IF(AND(EDATE($D90,Milestones!$AA$130)&lt;=AsOfDate,IF($Q90=0,$W90,IF(AND($S90&lt;&gt;"",EDATE($D90,Milestones!$AA$130)&gt;=$S90),$V90,IF(AND($R90&lt;&gt;"",EDATE($D90,Milestones!$AA$130)&gt;=$R90),$U90,$T90)))=Milestones!$AB$130),TEXT(EDATE($D90,Milestones!$AA$130),"dd/mm/yy")&amp;" "&amp;Milestones!$AB$130&amp;" "&amp;Milestones!$AC$130&amp;";  ","")&amp;IF(AND(EDATE($D90,Milestones!$AA$131)&lt;=AsOfDate,IF($Q90=0,$W90,IF(AND($S90&lt;&gt;"",EDATE($D90,Milestones!$AA$131)&gt;=$S90),$V90,IF(AND($R90&lt;&gt;"",EDATE($D90,Milestones!$AA$131)&gt;=$R90),$U90,$T90)))=Milestones!$AB$131),TEXT(EDATE($D90,Milestones!$AA$131),"dd/mm/yy")&amp;" "&amp;Milestones!$AB$131&amp;" "&amp;Milestones!$AC$131&amp;";  ","")&amp;IF(AND(EDATE($D90,Milestones!$AA$132)&lt;=AsOfDate,IF($Q90=0,$W90,IF(AND($S90&lt;&gt;"",EDATE($D90,Milestones!$AA$132)&gt;=$S90),$V90,IF(AND($R90&lt;&gt;"",EDATE($D90,Milestones!$AA$132)&gt;=$R90),$U90,$T90)))=Milestones!$AB$132),TEXT(EDATE($D90,Milestones!$AA$132),"dd/mm/yy")&amp;" "&amp;Milestones!$AB$132&amp;" "&amp;Milestones!$AC$132&amp;";  ","")&amp;IF(AND(EDATE($D90,Milestones!$AA$133)&lt;=AsOfDate,IF($Q90=0,$W90,IF(AND($S90&lt;&gt;"",EDATE($D90,Milestones!$AA$133)&gt;=$S90),$V90,IF(AND($R90&lt;&gt;"",EDATE($D90,Milestones!$AA$133)&gt;=$R90),$U90,$T90)))=Milestones!$AB$133),TEXT(EDATE($D90,Milestones!$AA$133),"dd/mm/yy")&amp;" "&amp;Milestones!$AB$133&amp;" "&amp;Milestones!$AC$133&amp;";  ","")&amp;IF(AND(EDATE($D90,Milestones!$AA$134)&lt;=AsOfDate,IF($Q90=0,$W90,IF(AND($S90&lt;&gt;"",EDATE($D90,Milestones!$AA$134)&gt;=$S90),$V90,IF(AND($R90&lt;&gt;"",EDATE($D90,Milestones!$AA$134)&gt;=$R90),$U90,$T90)))=Milestones!$AB$134),TEXT(EDATE($D90,Milestones!$AA$134),"dd/mm/yy")&amp;" "&amp;Milestones!$AB$134&amp;" "&amp;Milestones!$AC$134&amp;";  ","")&amp;IF(AND(EDATE($D90,Milestones!$AA$135)&lt;=AsOfDate,IF($Q90=0,$W90,IF(AND($S90&lt;&gt;"",EDATE($D90,Milestones!$AA$135)&gt;=$S90),$V90,IF(AND($R90&lt;&gt;"",EDATE($D90,Milestones!$AA$135)&gt;=$R90),$U90,$T90)))=Milestones!$AB$135),TEXT(EDATE($D90,Milestones!$AA$135),"dd/mm/yy")&amp;" "&amp;Milestones!$AB$135&amp;" "&amp;Milestones!$AC$135&amp;";  ","")&amp;IF(AND(EDATE($D90,Milestones!$AA$136)&lt;=AsOfDate,IF($Q90=0,$W90,IF(AND($S90&lt;&gt;"",EDATE($D90,Milestones!$AA$136)&gt;=$S90),$V90,IF(AND($R90&lt;&gt;"",EDATE($D90,Milestones!$AA$136)&gt;=$R90),$U90,$T90)))=Milestones!$AB$136),TEXT(EDATE($D90,Milestones!$AA$136),"dd/mm/yy")&amp;" "&amp;Milestones!$AB$136&amp;" "&amp;Milestones!$AC$136&amp;";  ","")&amp;IF(AND(EDATE($D90,Milestones!$AA$137)&lt;=AsOfDate,IF($Q90=0,$W90,IF(AND($S90&lt;&gt;"",EDATE($D90,Milestones!$AA$137)&gt;=$S90),$V90,IF(AND($R90&lt;&gt;"",EDATE($D90,Milestones!$AA$137)&gt;=$R90),$U90,$T90)))=Milestones!$AB$137),TEXT(EDATE($D90,Milestones!$AA$137),"dd/mm/yy")&amp;" "&amp;Milestones!$AB$137&amp;" "&amp;Milestones!$AC$137&amp;";  ","")&amp;IF(AND(EDATE($D90,Milestones!$AA$138)&lt;=AsOfDate,IF($Q90=0,$W90,IF(AND($S90&lt;&gt;"",EDATE($D90,Milestones!$AA$138)&gt;=$S90),$V90,IF(AND($R90&lt;&gt;"",EDATE($D90,Milestones!$AA$138)&gt;=$R90),$U90,$T90)))=Milestones!$AB$138),TEXT(EDATE($D90,Milestones!$AA$138),"dd/mm/yy")&amp;" "&amp;Milestones!$AB$138&amp;" "&amp;Milestones!$AC$138&amp;";  ","")&amp;IF(AND(EDATE($D90,Milestones!$AA$139)&lt;=AsOfDate,IF($Q90=0,$W90,IF(AND($S90&lt;&gt;"",EDATE($D90,Milestones!$AA$139)&gt;=$S90),$V90,IF(AND($R90&lt;&gt;"",EDATE($D90,Milestones!$AA$139)&gt;=$R90),$U90,$T90)))=Milestones!$AB$139),TEXT(EDATE($D90,Milestones!$AA$139),"dd/mm/yy")&amp;" "&amp;Milestones!$AB$139&amp;" "&amp;Milestones!$AC$139&amp;";  ",""))</f>
        <v/>
      </c>
      <c r="N90" s="0" t="str">
        <f aca="false">IF(OR($A90="",$D90=""),"",IF(AND(EDATE($D90,Milestones!$AA$140)&lt;=AsOfDate,IF($Q90=0,$W90,IF(AND($S90&lt;&gt;"",EDATE($D90,Milestones!$AA$140)&gt;=$S90),$V90,IF(AND($R90&lt;&gt;"",EDATE($D90,Milestones!$AA$140)&gt;=$R90),$U90,$T90)))=Milestones!$AB$140),TEXT(EDATE($D90,Milestones!$AA$140),"dd/mm/yy")&amp;" "&amp;Milestones!$AB$140&amp;" "&amp;Milestones!$AC$140&amp;";  ","")&amp;IF(AND(EDATE($D90,Milestones!$AA$141)&lt;=AsOfDate,IF($Q90=0,$W90,IF(AND($S90&lt;&gt;"",EDATE($D90,Milestones!$AA$141)&gt;=$S90),$V90,IF(AND($R90&lt;&gt;"",EDATE($D90,Milestones!$AA$141)&gt;=$R90),$U90,$T90)))=Milestones!$AB$141),TEXT(EDATE($D90,Milestones!$AA$141),"dd/mm/yy")&amp;" "&amp;Milestones!$AB$141&amp;" "&amp;Milestones!$AC$141&amp;";  ","")&amp;IF(AND(EDATE($D90,Milestones!$AA$142)&lt;=AsOfDate,IF($Q90=0,$W90,IF(AND($S90&lt;&gt;"",EDATE($D90,Milestones!$AA$142)&gt;=$S90),$V90,IF(AND($R90&lt;&gt;"",EDATE($D90,Milestones!$AA$142)&gt;=$R90),$U90,$T90)))=Milestones!$AB$142),TEXT(EDATE($D90,Milestones!$AA$142),"dd/mm/yy")&amp;" "&amp;Milestones!$AB$142&amp;" "&amp;Milestones!$AC$142&amp;";  ","")&amp;IF(AND(EDATE($D90,Milestones!$AA$143)&lt;=AsOfDate,IF($Q90=0,$W90,IF(AND($S90&lt;&gt;"",EDATE($D90,Milestones!$AA$143)&gt;=$S90),$V90,IF(AND($R90&lt;&gt;"",EDATE($D90,Milestones!$AA$143)&gt;=$R90),$U90,$T90)))=Milestones!$AB$143),TEXT(EDATE($D90,Milestones!$AA$143),"dd/mm/yy")&amp;" "&amp;Milestones!$AB$143&amp;" "&amp;Milestones!$AC$143&amp;";  ","")&amp;IF(AND(EDATE($D90,Milestones!$AA$144)&lt;=AsOfDate,IF($Q90=0,$W90,IF(AND($S90&lt;&gt;"",EDATE($D90,Milestones!$AA$144)&gt;=$S90),$V90,IF(AND($R90&lt;&gt;"",EDATE($D90,Milestones!$AA$144)&gt;=$R90),$U90,$T90)))=Milestones!$AB$144),TEXT(EDATE($D90,Milestones!$AA$144),"dd/mm/yy")&amp;" "&amp;Milestones!$AB$144&amp;" "&amp;Milestones!$AC$144&amp;";  ","")&amp;IF(AND(EDATE($D90,Milestones!$AA$145)&lt;=AsOfDate,IF($Q90=0,$W90,IF(AND($S90&lt;&gt;"",EDATE($D90,Milestones!$AA$145)&gt;=$S90),$V90,IF(AND($R90&lt;&gt;"",EDATE($D90,Milestones!$AA$145)&gt;=$R90),$U90,$T90)))=Milestones!$AB$145),TEXT(EDATE($D90,Milestones!$AA$145),"dd/mm/yy")&amp;" "&amp;Milestones!$AB$145&amp;" "&amp;Milestones!$AC$145&amp;";  ","")&amp;IF(AND(EDATE($D90,Milestones!$AA$146)&lt;=AsOfDate,IF($Q90=0,$W90,IF(AND($S90&lt;&gt;"",EDATE($D90,Milestones!$AA$146)&gt;=$S90),$V90,IF(AND($R90&lt;&gt;"",EDATE($D90,Milestones!$AA$146)&gt;=$R90),$U90,$T90)))=Milestones!$AB$146),TEXT(EDATE($D90,Milestones!$AA$146),"dd/mm/yy")&amp;" "&amp;Milestones!$AB$146&amp;" "&amp;Milestones!$AC$146&amp;";  ","")&amp;IF(AND(EDATE($D90,Milestones!$AA$147)&lt;=AsOfDate,IF($Q90=0,$W90,IF(AND($S90&lt;&gt;"",EDATE($D90,Milestones!$AA$147)&gt;=$S90),$V90,IF(AND($R90&lt;&gt;"",EDATE($D90,Milestones!$AA$147)&gt;=$R90),$U90,$T90)))=Milestones!$AB$147),TEXT(EDATE($D90,Milestones!$AA$147),"dd/mm/yy")&amp;" "&amp;Milestones!$AB$147&amp;" "&amp;Milestones!$AC$147&amp;";  ","")&amp;IF(AND(EDATE($D90,Milestones!$AA$148)&lt;=AsOfDate,IF($Q90=0,$W90,IF(AND($S90&lt;&gt;"",EDATE($D90,Milestones!$AA$148)&gt;=$S90),$V90,IF(AND($R90&lt;&gt;"",EDATE($D90,Milestones!$AA$148)&gt;=$R90),$U90,$T90)))=Milestones!$AB$148),TEXT(EDATE($D90,Milestones!$AA$148),"dd/mm/yy")&amp;" "&amp;Milestones!$AB$148&amp;" "&amp;Milestones!$AC$148&amp;";  ","")&amp;IF(AND(EDATE($D90,Milestones!$AA$149)&lt;=AsOfDate,IF($Q90=0,$W90,IF(AND($S90&lt;&gt;"",EDATE($D90,Milestones!$AA$149)&gt;=$S90),$V90,IF(AND($R90&lt;&gt;"",EDATE($D90,Milestones!$AA$149)&gt;=$R90),$U90,$T90)))=Milestones!$AB$149),TEXT(EDATE($D90,Milestones!$AA$149),"dd/mm/yy")&amp;" "&amp;Milestones!$AB$149&amp;" "&amp;Milestones!$AC$149&amp;";  ","")&amp;IF(AND(EDATE($D90,Milestones!$AA$150)&lt;=AsOfDate,IF($Q90=0,$W90,IF(AND($S90&lt;&gt;"",EDATE($D90,Milestones!$AA$150)&gt;=$S90),$V90,IF(AND($R90&lt;&gt;"",EDATE($D90,Milestones!$AA$150)&gt;=$R90),$U90,$T90)))=Milestones!$AB$150),TEXT(EDATE($D90,Milestones!$AA$150),"dd/mm/yy")&amp;" "&amp;Milestones!$AB$150&amp;" "&amp;Milestones!$AC$150&amp;";  ","")&amp;IF(AND(EDATE($D90,Milestones!$AA$151)&lt;=AsOfDate,IF($Q90=0,$W90,IF(AND($S90&lt;&gt;"",EDATE($D90,Milestones!$AA$151)&gt;=$S90),$V90,IF(AND($R90&lt;&gt;"",EDATE($D90,Milestones!$AA$151)&gt;=$R90),$U90,$T90)))=Milestones!$AB$151),TEXT(EDATE($D90,Milestones!$AA$151),"dd/mm/yy")&amp;" "&amp;Milestones!$AB$151&amp;" "&amp;Milestones!$AC$151&amp;";  ","")&amp;IF(AND(EDATE($D90,Milestones!$AA$152)&lt;=AsOfDate,IF($Q90=0,$W90,IF(AND($S90&lt;&gt;"",EDATE($D90,Milestones!$AA$152)&gt;=$S90),$V90,IF(AND($R90&lt;&gt;"",EDATE($D90,Milestones!$AA$152)&gt;=$R90),$U90,$T90)))=Milestones!$AB$152),TEXT(EDATE($D90,Milestones!$AA$152),"dd/mm/yy")&amp;" "&amp;Milestones!$AB$152&amp;" "&amp;Milestones!$AC$152&amp;";  ","")&amp;IF(AND(EDATE($D90,Milestones!$AA$153)&lt;=AsOfDate,IF($Q90=0,$W90,IF(AND($S90&lt;&gt;"",EDATE($D90,Milestones!$AA$153)&gt;=$S90),$V90,IF(AND($R90&lt;&gt;"",EDATE($D90,Milestones!$AA$153)&gt;=$R90),$U90,$T90)))=Milestones!$AB$153),TEXT(EDATE($D90,Milestones!$AA$153),"dd/mm/yy")&amp;" "&amp;Milestones!$AB$153&amp;" "&amp;Milestones!$AC$153&amp;";  ","")&amp;IF(AND(EDATE($D90,Milestones!$AA$154)&lt;=AsOfDate,IF($Q90=0,$W90,IF(AND($S90&lt;&gt;"",EDATE($D90,Milestones!$AA$154)&gt;=$S90),$V90,IF(AND($R90&lt;&gt;"",EDATE($D90,Milestones!$AA$154)&gt;=$R90),$U90,$T90)))=Milestones!$AB$154),TEXT(EDATE($D90,Milestones!$AA$154),"dd/mm/yy")&amp;" "&amp;Milestones!$AB$154&amp;" "&amp;Milestones!$AC$154&amp;";  ","")&amp;IF(AND(EDATE($D90,Milestones!$AA$155)&lt;=AsOfDate,IF($Q90=0,$W90,IF(AND($S90&lt;&gt;"",EDATE($D90,Milestones!$AA$155)&gt;=$S90),$V90,IF(AND($R90&lt;&gt;"",EDATE($D90,Milestones!$AA$155)&gt;=$R90),$U90,$T90)))=Milestones!$AB$155),TEXT(EDATE($D90,Milestones!$AA$155),"dd/mm/yy")&amp;" "&amp;Milestones!$AB$155&amp;" "&amp;Milestones!$AC$155&amp;";  ","")&amp;IF(AND(EDATE($D90,Milestones!$AA$156)&lt;=AsOfDate,IF($Q90=0,$W90,IF(AND($S90&lt;&gt;"",EDATE($D90,Milestones!$AA$156)&gt;=$S90),$V90,IF(AND($R90&lt;&gt;"",EDATE($D90,Milestones!$AA$156)&gt;=$R90),$U90,$T90)))=Milestones!$AB$156),TEXT(EDATE($D90,Milestones!$AA$156),"dd/mm/yy")&amp;" "&amp;Milestones!$AB$156&amp;" "&amp;Milestones!$AC$156&amp;";  ","")&amp;IF(AND(EDATE($D90,Milestones!$AA$157)&lt;=AsOfDate,IF($Q90=0,$W90,IF(AND($S90&lt;&gt;"",EDATE($D90,Milestones!$AA$157)&gt;=$S90),$V90,IF(AND($R90&lt;&gt;"",EDATE($D90,Milestones!$AA$157)&gt;=$R90),$U90,$T90)))=Milestones!$AB$157),TEXT(EDATE($D90,Milestones!$AA$157),"dd/mm/yy")&amp;" "&amp;Milestones!$AB$157&amp;" "&amp;Milestones!$AC$157&amp;";  ","")&amp;IF(AND(EDATE($D90,Milestones!$AA$158)&lt;=AsOfDate,IF($Q90=0,$W90,IF(AND($S90&lt;&gt;"",EDATE($D90,Milestones!$AA$158)&gt;=$S90),$V90,IF(AND($R90&lt;&gt;"",EDATE($D90,Milestones!$AA$158)&gt;=$R90),$U90,$T90)))=Milestones!$AB$158),TEXT(EDATE($D90,Milestones!$AA$158),"dd/mm/yy")&amp;" "&amp;Milestones!$AB$158&amp;" "&amp;Milestones!$AC$158&amp;";  ","")&amp;IF(AND(EDATE($D90,Milestones!$AA$159)&lt;=AsOfDate,IF($Q90=0,$W90,IF(AND($S90&lt;&gt;"",EDATE($D90,Milestones!$AA$159)&gt;=$S90),$V90,IF(AND($R90&lt;&gt;"",EDATE($D90,Milestones!$AA$159)&gt;=$R90),$U90,$T90)))=Milestones!$AB$159),TEXT(EDATE($D90,Milestones!$AA$159),"dd/mm/yy")&amp;" "&amp;Milestones!$AB$159&amp;" "&amp;Milestones!$AC$159&amp;";  ",""))</f>
        <v/>
      </c>
      <c r="O90" s="0" t="str">
        <f aca="false">IF(OR($A90="",$D90=""),"",IF(AND(EDATE($D90,Milestones!$AA$160)&lt;=AsOfDate,IF($Q90=0,$W90,IF(AND($S90&lt;&gt;"",EDATE($D90,Milestones!$AA$160)&gt;=$S90),$V90,IF(AND($R90&lt;&gt;"",EDATE($D90,Milestones!$AA$160)&gt;=$R90),$U90,$T90)))=Milestones!$AB$160),TEXT(EDATE($D90,Milestones!$AA$160),"dd/mm/yy")&amp;" "&amp;Milestones!$AB$160&amp;" "&amp;Milestones!$AC$160&amp;";  ","")&amp;IF(AND(EDATE($D90,Milestones!$AA$161)&lt;=AsOfDate,IF($Q90=0,$W90,IF(AND($S90&lt;&gt;"",EDATE($D90,Milestones!$AA$161)&gt;=$S90),$V90,IF(AND($R90&lt;&gt;"",EDATE($D90,Milestones!$AA$161)&gt;=$R90),$U90,$T90)))=Milestones!$AB$161),TEXT(EDATE($D90,Milestones!$AA$161),"dd/mm/yy")&amp;" "&amp;Milestones!$AB$161&amp;" "&amp;Milestones!$AC$161&amp;";  ","")&amp;IF(AND(EDATE($D90,Milestones!$AA$162)&lt;=AsOfDate,IF($Q90=0,$W90,IF(AND($S90&lt;&gt;"",EDATE($D90,Milestones!$AA$162)&gt;=$S90),$V90,IF(AND($R90&lt;&gt;"",EDATE($D90,Milestones!$AA$162)&gt;=$R90),$U90,$T90)))=Milestones!$AB$162),TEXT(EDATE($D90,Milestones!$AA$162),"dd/mm/yy")&amp;" "&amp;Milestones!$AB$162&amp;" "&amp;Milestones!$AC$162&amp;";  ","")&amp;IF(AND(EDATE($D90,Milestones!$AA$163)&lt;=AsOfDate,IF($Q90=0,$W90,IF(AND($S90&lt;&gt;"",EDATE($D90,Milestones!$AA$163)&gt;=$S90),$V90,IF(AND($R90&lt;&gt;"",EDATE($D90,Milestones!$AA$163)&gt;=$R90),$U90,$T90)))=Milestones!$AB$163),TEXT(EDATE($D90,Milestones!$AA$163),"dd/mm/yy")&amp;" "&amp;Milestones!$AB$163&amp;" "&amp;Milestones!$AC$163&amp;";  ","")&amp;IF(AND(EDATE($D90,Milestones!$AA$164)&lt;=AsOfDate,IF($Q90=0,$W90,IF(AND($S90&lt;&gt;"",EDATE($D90,Milestones!$AA$164)&gt;=$S90),$V90,IF(AND($R90&lt;&gt;"",EDATE($D90,Milestones!$AA$164)&gt;=$R90),$U90,$T90)))=Milestones!$AB$164),TEXT(EDATE($D90,Milestones!$AA$164),"dd/mm/yy")&amp;" "&amp;Milestones!$AB$164&amp;" "&amp;Milestones!$AC$164&amp;";  ","")&amp;IF(AND(EDATE($D90,Milestones!$AA$165)&lt;=AsOfDate,IF($Q90=0,$W90,IF(AND($S90&lt;&gt;"",EDATE($D90,Milestones!$AA$165)&gt;=$S90),$V90,IF(AND($R90&lt;&gt;"",EDATE($D90,Milestones!$AA$165)&gt;=$R90),$U90,$T90)))=Milestones!$AB$165),TEXT(EDATE($D90,Milestones!$AA$165),"dd/mm/yy")&amp;" "&amp;Milestones!$AB$165&amp;" "&amp;Milestones!$AC$165&amp;";  ","")&amp;IF(AND(EDATE($D90,Milestones!$AA$166)&lt;=AsOfDate,IF($Q90=0,$W90,IF(AND($S90&lt;&gt;"",EDATE($D90,Milestones!$AA$166)&gt;=$S90),$V90,IF(AND($R90&lt;&gt;"",EDATE($D90,Milestones!$AA$166)&gt;=$R90),$U90,$T90)))=Milestones!$AB$166),TEXT(EDATE($D90,Milestones!$AA$166),"dd/mm/yy")&amp;" "&amp;Milestones!$AB$166&amp;" "&amp;Milestones!$AC$166&amp;";  ","")&amp;IF(AND(EDATE($D90,Milestones!$AA$167)&lt;=AsOfDate,IF($Q90=0,$W90,IF(AND($S90&lt;&gt;"",EDATE($D90,Milestones!$AA$167)&gt;=$S90),$V90,IF(AND($R90&lt;&gt;"",EDATE($D90,Milestones!$AA$167)&gt;=$R90),$U90,$T90)))=Milestones!$AB$167),TEXT(EDATE($D90,Milestones!$AA$167),"dd/mm/yy")&amp;" "&amp;Milestones!$AB$167&amp;" "&amp;Milestones!$AC$167&amp;";  ","")&amp;IF(AND(EDATE($D90,Milestones!$AA$168)&lt;=AsOfDate,IF($Q90=0,$W90,IF(AND($S90&lt;&gt;"",EDATE($D90,Milestones!$AA$168)&gt;=$S90),$V90,IF(AND($R90&lt;&gt;"",EDATE($D90,Milestones!$AA$168)&gt;=$R90),$U90,$T90)))=Milestones!$AB$168),TEXT(EDATE($D90,Milestones!$AA$168),"dd/mm/yy")&amp;" "&amp;Milestones!$AB$168&amp;" "&amp;Milestones!$AC$168&amp;";  ","")&amp;IF(AND(EDATE($D90,Milestones!$AA$169)&lt;=AsOfDate,IF($Q90=0,$W90,IF(AND($S90&lt;&gt;"",EDATE($D90,Milestones!$AA$169)&gt;=$S90),$V90,IF(AND($R90&lt;&gt;"",EDATE($D90,Milestones!$AA$169)&gt;=$R90),$U90,$T90)))=Milestones!$AB$169),TEXT(EDATE($D90,Milestones!$AA$169),"dd/mm/yy")&amp;" "&amp;Milestones!$AB$169&amp;" "&amp;Milestones!$AC$169&amp;";  ","")&amp;IF(AND(EDATE($D90,Milestones!$AA$170)&lt;=AsOfDate,IF($Q90=0,$W90,IF(AND($S90&lt;&gt;"",EDATE($D90,Milestones!$AA$170)&gt;=$S90),$V90,IF(AND($R90&lt;&gt;"",EDATE($D90,Milestones!$AA$170)&gt;=$R90),$U90,$T90)))=Milestones!$AB$170),TEXT(EDATE($D90,Milestones!$AA$170),"dd/mm/yy")&amp;" "&amp;Milestones!$AB$170&amp;" "&amp;Milestones!$AC$170&amp;";  ","")&amp;IF(AND(EDATE($D90,Milestones!$AA$171)&lt;=AsOfDate,IF($Q90=0,$W90,IF(AND($S90&lt;&gt;"",EDATE($D90,Milestones!$AA$171)&gt;=$S90),$V90,IF(AND($R90&lt;&gt;"",EDATE($D90,Milestones!$AA$171)&gt;=$R90),$U90,$T90)))=Milestones!$AB$171),TEXT(EDATE($D90,Milestones!$AA$171),"dd/mm/yy")&amp;" "&amp;Milestones!$AB$171&amp;" "&amp;Milestones!$AC$171&amp;";  ","")&amp;IF(AND(EDATE($D90,Milestones!$AA$172)&lt;=AsOfDate,IF($Q90=0,$W90,IF(AND($S90&lt;&gt;"",EDATE($D90,Milestones!$AA$172)&gt;=$S90),$V90,IF(AND($R90&lt;&gt;"",EDATE($D90,Milestones!$AA$172)&gt;=$R90),$U90,$T90)))=Milestones!$AB$172),TEXT(EDATE($D90,Milestones!$AA$172),"dd/mm/yy")&amp;" "&amp;Milestones!$AB$172&amp;" "&amp;Milestones!$AC$172&amp;";  ","")&amp;IF(AND(EDATE($D90,Milestones!$AA$173)&lt;=AsOfDate,IF($Q90=0,$W90,IF(AND($S90&lt;&gt;"",EDATE($D90,Milestones!$AA$173)&gt;=$S90),$V90,IF(AND($R90&lt;&gt;"",EDATE($D90,Milestones!$AA$173)&gt;=$R90),$U90,$T90)))=Milestones!$AB$173),TEXT(EDATE($D90,Milestones!$AA$173),"dd/mm/yy")&amp;" "&amp;Milestones!$AB$173&amp;" "&amp;Milestones!$AC$173&amp;";  ","")&amp;IF(AND(EDATE($D90,Milestones!$AA$174)&lt;=AsOfDate,IF($Q90=0,$W90,IF(AND($S90&lt;&gt;"",EDATE($D90,Milestones!$AA$174)&gt;=$S90),$V90,IF(AND($R90&lt;&gt;"",EDATE($D90,Milestones!$AA$174)&gt;=$R90),$U90,$T90)))=Milestones!$AB$174),TEXT(EDATE($D90,Milestones!$AA$174),"dd/mm/yy")&amp;" "&amp;Milestones!$AB$174&amp;" "&amp;Milestones!$AC$174&amp;";  ","")&amp;IF(AND(EDATE($D90,Milestones!$AA$175)&lt;=AsOfDate,IF($Q90=0,$W90,IF(AND($S90&lt;&gt;"",EDATE($D90,Milestones!$AA$175)&gt;=$S90),$V90,IF(AND($R90&lt;&gt;"",EDATE($D90,Milestones!$AA$175)&gt;=$R90),$U90,$T90)))=Milestones!$AB$175),TEXT(EDATE($D90,Milestones!$AA$175),"dd/mm/yy")&amp;" "&amp;Milestones!$AB$175&amp;" "&amp;Milestones!$AC$175&amp;";  ","")&amp;IF(AND(EDATE($D90,Milestones!$AA$176)&lt;=AsOfDate,IF($Q90=0,$W90,IF(AND($S90&lt;&gt;"",EDATE($D90,Milestones!$AA$176)&gt;=$S90),$V90,IF(AND($R90&lt;&gt;"",EDATE($D90,Milestones!$AA$176)&gt;=$R90),$U90,$T90)))=Milestones!$AB$176),TEXT(EDATE($D90,Milestones!$AA$176),"dd/mm/yy")&amp;" "&amp;Milestones!$AB$176&amp;" "&amp;Milestones!$AC$176&amp;";  ","")&amp;IF(AND(EDATE($D90,Milestones!$AA$177)&lt;=AsOfDate,IF($Q90=0,$W90,IF(AND($S90&lt;&gt;"",EDATE($D90,Milestones!$AA$177)&gt;=$S90),$V90,IF(AND($R90&lt;&gt;"",EDATE($D90,Milestones!$AA$177)&gt;=$R90),$U90,$T90)))=Milestones!$AB$177),TEXT(EDATE($D90,Milestones!$AA$177),"dd/mm/yy")&amp;" "&amp;Milestones!$AB$177&amp;" "&amp;Milestones!$AC$177&amp;";  ","")&amp;IF(AND(EDATE($D90,Milestones!$AA$178)&lt;=AsOfDate,IF($Q90=0,$W90,IF(AND($S90&lt;&gt;"",EDATE($D90,Milestones!$AA$178)&gt;=$S90),$V90,IF(AND($R90&lt;&gt;"",EDATE($D90,Milestones!$AA$178)&gt;=$R90),$U90,$T90)))=Milestones!$AB$178),TEXT(EDATE($D90,Milestones!$AA$178),"dd/mm/yy")&amp;" "&amp;Milestones!$AB$178&amp;" "&amp;Milestones!$AC$178&amp;";  ","")&amp;IF(AND(EDATE($D90,Milestones!$AA$179)&lt;=AsOfDate,IF($Q90=0,$W90,IF(AND($S90&lt;&gt;"",EDATE($D90,Milestones!$AA$179)&gt;=$S90),$V90,IF(AND($R90&lt;&gt;"",EDATE($D90,Milestones!$AA$179)&gt;=$R90),$U90,$T90)))=Milestones!$AB$179),TEXT(EDATE($D90,Milestones!$AA$179),"dd/mm/yy")&amp;" "&amp;Milestones!$AB$179&amp;" "&amp;Milestones!$AC$179&amp;";  ",""))</f>
        <v/>
      </c>
      <c r="P90" s="0" t="str">
        <f aca="false">IF(OR($A90="",$D90=""),"",IF(AND(EDATE($D90,Milestones!$AA$180)&lt;=AsOfDate,IF($Q90=0,$W90,IF(AND($S90&lt;&gt;"",EDATE($D90,Milestones!$AA$180)&gt;=$S90),$V90,IF(AND($R90&lt;&gt;"",EDATE($D90,Milestones!$AA$180)&gt;=$R90),$U90,$T90)))=Milestones!$AB$180),TEXT(EDATE($D90,Milestones!$AA$180),"dd/mm/yy")&amp;" "&amp;Milestones!$AB$180&amp;" "&amp;Milestones!$AC$180&amp;";  ","")&amp;IF(AND(EDATE($D90,Milestones!$AA$181)&lt;=AsOfDate,IF($Q90=0,$W90,IF(AND($S90&lt;&gt;"",EDATE($D90,Milestones!$AA$181)&gt;=$S90),$V90,IF(AND($R90&lt;&gt;"",EDATE($D90,Milestones!$AA$181)&gt;=$R90),$U90,$T90)))=Milestones!$AB$181),TEXT(EDATE($D90,Milestones!$AA$181),"dd/mm/yy")&amp;" "&amp;Milestones!$AB$181&amp;" "&amp;Milestones!$AC$181&amp;";  ","")&amp;IF(AND(EDATE($D90,Milestones!$AA$182)&lt;=AsOfDate,IF($Q90=0,$W90,IF(AND($S90&lt;&gt;"",EDATE($D90,Milestones!$AA$182)&gt;=$S90),$V90,IF(AND($R90&lt;&gt;"",EDATE($D90,Milestones!$AA$182)&gt;=$R90),$U90,$T90)))=Milestones!$AB$182),TEXT(EDATE($D90,Milestones!$AA$182),"dd/mm/yy")&amp;" "&amp;Milestones!$AB$182&amp;" "&amp;Milestones!$AC$182&amp;";  ","")&amp;IF(AND(EDATE($D90,Milestones!$AA$183)&lt;=AsOfDate,IF($Q90=0,$W90,IF(AND($S90&lt;&gt;"",EDATE($D90,Milestones!$AA$183)&gt;=$S90),$V90,IF(AND($R90&lt;&gt;"",EDATE($D90,Milestones!$AA$183)&gt;=$R90),$U90,$T90)))=Milestones!$AB$183),TEXT(EDATE($D90,Milestones!$AA$183),"dd/mm/yy")&amp;" "&amp;Milestones!$AB$183&amp;" "&amp;Milestones!$AC$183&amp;";  ","")&amp;IF(AND(EDATE($D90,Milestones!$AA$184)&lt;=AsOfDate,IF($Q90=0,$W90,IF(AND($S90&lt;&gt;"",EDATE($D90,Milestones!$AA$184)&gt;=$S90),$V90,IF(AND($R90&lt;&gt;"",EDATE($D90,Milestones!$AA$184)&gt;=$R90),$U90,$T90)))=Milestones!$AB$184),TEXT(EDATE($D90,Milestones!$AA$184),"dd/mm/yy")&amp;" "&amp;Milestones!$AB$184&amp;" "&amp;Milestones!$AC$184&amp;";  ","")&amp;IF(AND(EDATE($D90,Milestones!$AA$185)&lt;=AsOfDate,IF($Q90=0,$W90,IF(AND($S90&lt;&gt;"",EDATE($D90,Milestones!$AA$185)&gt;=$S90),$V90,IF(AND($R90&lt;&gt;"",EDATE($D90,Milestones!$AA$185)&gt;=$R90),$U90,$T90)))=Milestones!$AB$185),TEXT(EDATE($D90,Milestones!$AA$185),"dd/mm/yy")&amp;" "&amp;Milestones!$AB$185&amp;" "&amp;Milestones!$AC$185&amp;";  ","")&amp;IF(AND(EDATE($D90,Milestones!$AA$186)&lt;=AsOfDate,IF($Q90=0,$W90,IF(AND($S90&lt;&gt;"",EDATE($D90,Milestones!$AA$186)&gt;=$S90),$V90,IF(AND($R90&lt;&gt;"",EDATE($D90,Milestones!$AA$186)&gt;=$R90),$U90,$T90)))=Milestones!$AB$186),TEXT(EDATE($D90,Milestones!$AA$186),"dd/mm/yy")&amp;" "&amp;Milestones!$AB$186&amp;" "&amp;Milestones!$AC$186&amp;";  ","")&amp;IF(AND(EDATE($D90,Milestones!$AA$187)&lt;=AsOfDate,IF($Q90=0,$W90,IF(AND($S90&lt;&gt;"",EDATE($D90,Milestones!$AA$187)&gt;=$S90),$V90,IF(AND($R90&lt;&gt;"",EDATE($D90,Milestones!$AA$187)&gt;=$R90),$U90,$T90)))=Milestones!$AB$187),TEXT(EDATE($D90,Milestones!$AA$187),"dd/mm/yy")&amp;" "&amp;Milestones!$AB$187&amp;" "&amp;Milestones!$AC$187&amp;";  ","")&amp;IF(AND(EDATE($D90,Milestones!$AA$188)&lt;=AsOfDate,IF($Q90=0,$W90,IF(AND($S90&lt;&gt;"",EDATE($D90,Milestones!$AA$188)&gt;=$S90),$V90,IF(AND($R90&lt;&gt;"",EDATE($D90,Milestones!$AA$188)&gt;=$R90),$U90,$T90)))=Milestones!$AB$188),TEXT(EDATE($D90,Milestones!$AA$188),"dd/mm/yy")&amp;" "&amp;Milestones!$AB$188&amp;" "&amp;Milestones!$AC$188&amp;";  ","")&amp;IF(AND(EDATE($D90,Milestones!$AA$189)&lt;=AsOfDate,IF($Q90=0,$W90,IF(AND($S90&lt;&gt;"",EDATE($D90,Milestones!$AA$189)&gt;=$S90),$V90,IF(AND($R90&lt;&gt;"",EDATE($D90,Milestones!$AA$189)&gt;=$R90),$U90,$T90)))=Milestones!$AB$189),TEXT(EDATE($D90,Milestones!$AA$189),"dd/mm/yy")&amp;" "&amp;Milestones!$AB$189&amp;" "&amp;Milestones!$AC$189&amp;";  ","")&amp;IF(AND(EDATE($D90,Milestones!$AA$190)&lt;=AsOfDate,IF($Q90=0,$W90,IF(AND($S90&lt;&gt;"",EDATE($D90,Milestones!$AA$190)&gt;=$S90),$V90,IF(AND($R90&lt;&gt;"",EDATE($D90,Milestones!$AA$190)&gt;=$R90),$U90,$T90)))=Milestones!$AB$190),TEXT(EDATE($D90,Milestones!$AA$190),"dd/mm/yy")&amp;" "&amp;Milestones!$AB$190&amp;" "&amp;Milestones!$AC$190&amp;";  ","")&amp;IF(AND(EDATE($D90,Milestones!$AA$191)&lt;=AsOfDate,IF($Q90=0,$W90,IF(AND($S90&lt;&gt;"",EDATE($D90,Milestones!$AA$191)&gt;=$S90),$V90,IF(AND($R90&lt;&gt;"",EDATE($D90,Milestones!$AA$191)&gt;=$R90),$U90,$T90)))=Milestones!$AB$191),TEXT(EDATE($D90,Milestones!$AA$191),"dd/mm/yy")&amp;" "&amp;Milestones!$AB$191&amp;" "&amp;Milestones!$AC$191&amp;";  ","")&amp;IF(AND(EDATE($D90,Milestones!$AA$192)&lt;=AsOfDate,IF($Q90=0,$W90,IF(AND($S90&lt;&gt;"",EDATE($D90,Milestones!$AA$192)&gt;=$S90),$V90,IF(AND($R90&lt;&gt;"",EDATE($D90,Milestones!$AA$192)&gt;=$R90),$U90,$T90)))=Milestones!$AB$192),TEXT(EDATE($D90,Milestones!$AA$192),"dd/mm/yy")&amp;" "&amp;Milestones!$AB$192&amp;" "&amp;Milestones!$AC$192&amp;";  ","")&amp;IF(AND(EDATE($D90,Milestones!$AA$193)&lt;=AsOfDate,IF($Q90=0,$W90,IF(AND($S90&lt;&gt;"",EDATE($D90,Milestones!$AA$193)&gt;=$S90),$V90,IF(AND($R90&lt;&gt;"",EDATE($D90,Milestones!$AA$193)&gt;=$R90),$U90,$T90)))=Milestones!$AB$193),TEXT(EDATE($D90,Milestones!$AA$193),"dd/mm/yy")&amp;" "&amp;Milestones!$AB$193&amp;" "&amp;Milestones!$AC$193&amp;";  ","")&amp;IF(AND(EDATE($D90,Milestones!$AA$194)&lt;=AsOfDate,IF($Q90=0,$W90,IF(AND($S90&lt;&gt;"",EDATE($D90,Milestones!$AA$194)&gt;=$S90),$V90,IF(AND($R90&lt;&gt;"",EDATE($D90,Milestones!$AA$194)&gt;=$R90),$U90,$T90)))=Milestones!$AB$194),TEXT(EDATE($D90,Milestones!$AA$194),"dd/mm/yy")&amp;" "&amp;Milestones!$AB$194&amp;" "&amp;Milestones!$AC$194&amp;";  ","")&amp;IF(AND(EDATE($D90,Milestones!$AA$195)&lt;=AsOfDate,IF($Q90=0,$W90,IF(AND($S90&lt;&gt;"",EDATE($D90,Milestones!$AA$195)&gt;=$S90),$V90,IF(AND($R90&lt;&gt;"",EDATE($D90,Milestones!$AA$195)&gt;=$R90),$U90,$T90)))=Milestones!$AB$195),TEXT(EDATE($D90,Milestones!$AA$195),"dd/mm/yy")&amp;" "&amp;Milestones!$AB$195&amp;" "&amp;Milestones!$AC$195&amp;";  ","")&amp;IF(AND(EDATE($D90,Milestones!$AA$196)&lt;=AsOfDate,IF($Q90=0,$W90,IF(AND($S90&lt;&gt;"",EDATE($D90,Milestones!$AA$196)&gt;=$S90),$V90,IF(AND($R90&lt;&gt;"",EDATE($D90,Milestones!$AA$196)&gt;=$R90),$U90,$T90)))=Milestones!$AB$196),TEXT(EDATE($D90,Milestones!$AA$196),"dd/mm/yy")&amp;" "&amp;Milestones!$AB$196&amp;" "&amp;Milestones!$AC$196&amp;";  ","")&amp;IF(AND(EDATE($D90,Milestones!$AA$197)&lt;=AsOfDate,IF($Q90=0,$W90,IF(AND($S90&lt;&gt;"",EDATE($D90,Milestones!$AA$197)&gt;=$S90),$V90,IF(AND($R90&lt;&gt;"",EDATE($D90,Milestones!$AA$197)&gt;=$R90),$U90,$T90)))=Milestones!$AB$197),TEXT(EDATE($D90,Milestones!$AA$197),"dd/mm/yy")&amp;" "&amp;Milestones!$AB$197&amp;" "&amp;Milestones!$AC$197&amp;";  ","")&amp;IF(AND(EDATE($D90,Milestones!$AA$198)&lt;=AsOfDate,IF($Q90=0,$W90,IF(AND($S90&lt;&gt;"",EDATE($D90,Milestones!$AA$198)&gt;=$S90),$V90,IF(AND($R90&lt;&gt;"",EDATE($D90,Milestones!$AA$198)&gt;=$R90),$U90,$T90)))=Milestones!$AB$198),TEXT(EDATE($D90,Milestones!$AA$198),"dd/mm/yy")&amp;" "&amp;Milestones!$AB$198&amp;" "&amp;Milestones!$AC$198&amp;";  ","")&amp;IF(AND(EDATE($D90,Milestones!$AA$199)&lt;=AsOfDate,IF($Q90=0,$W90,IF(AND($S90&lt;&gt;"",EDATE($D90,Milestones!$AA$199)&gt;=$S90),$V90,IF(AND($R90&lt;&gt;"",EDATE($D90,Milestones!$AA$199)&gt;=$R90),$U90,$T90)))=Milestones!$AB$199),TEXT(EDATE($D90,Milestones!$AA$199),"dd/mm/yy")&amp;" "&amp;Milestones!$AB$199&amp;" "&amp;Milestones!$AC$199&amp;";  ",""))</f>
        <v/>
      </c>
      <c r="Q90" s="0" t="str">
        <f aca="false">IF(Staff!$A90="","",Staff!$AG90)</f>
        <v/>
      </c>
      <c r="R90" s="0" t="str">
        <f aca="false">IF(Staff!$A90="","",Staff!$AI90)</f>
        <v/>
      </c>
      <c r="S90" s="0" t="str">
        <f aca="false">IF(Staff!$A90="","",Staff!$AJ90)</f>
        <v/>
      </c>
      <c r="T90" s="0" t="str">
        <f aca="false">IF(Staff!$A90="","",Staff!$AN90)</f>
        <v/>
      </c>
      <c r="U90" s="0" t="str">
        <f aca="false">IF(Staff!$A90="","",Staff!$AO90)</f>
        <v/>
      </c>
      <c r="V90" s="0" t="str">
        <f aca="false">IF(Staff!$A90="","",Staff!$AP90)</f>
        <v/>
      </c>
      <c r="W90" s="0" t="str">
        <f aca="false">IF(Staff!$A90="","",Staff!$AQ90)</f>
        <v/>
      </c>
    </row>
    <row r="91" customFormat="false" ht="15" hidden="false" customHeight="false" outlineLevel="0" collapsed="false">
      <c r="A91" s="13" t="str">
        <f aca="false">IF(Staff!$A91="","",Staff!$A91)</f>
        <v/>
      </c>
      <c r="B91" s="13" t="str">
        <f aca="false">IF(Staff!$A91="","",Staff!$B91)</f>
        <v/>
      </c>
      <c r="C91" s="13" t="str">
        <f aca="false">IF(Staff!$A91="","",Staff!$C91)</f>
        <v/>
      </c>
      <c r="D91" s="11" t="str">
        <f aca="false">IF(Staff!$A91="","",Staff!$AF91)</f>
        <v/>
      </c>
      <c r="E91" s="13" t="str">
        <f aca="false">IF(Staff!$A91="","",Staff!$O91)</f>
        <v/>
      </c>
      <c r="F91" s="13" t="str">
        <f aca="false">IF(E91="","",E91*HoursPerDay)</f>
        <v/>
      </c>
      <c r="G91" s="26" t="str">
        <f aca="false">IF($A91="","",H91&amp;I91&amp;J91&amp;K91&amp;L91&amp;M91&amp;N91&amp;O91&amp;P91)</f>
        <v/>
      </c>
      <c r="H91" s="0" t="str">
        <f aca="false">IF(OR($A91="",$D91=""),"",IF(AND(EDATE($D91,Milestones!$AA$20)&lt;=AsOfDate,IF($Q91=0,$W91,IF(AND($S91&lt;&gt;"",EDATE($D91,Milestones!$AA$20)&gt;=$S91),$V91,IF(AND($R91&lt;&gt;"",EDATE($D91,Milestones!$AA$20)&gt;=$R91),$U91,$T91)))=Milestones!$AB$20),TEXT(EDATE($D91,Milestones!$AA$20),"dd/mm/yy")&amp;" "&amp;Milestones!$AB$20&amp;" "&amp;Milestones!$AC$20&amp;";  ","")&amp;IF(AND(EDATE($D91,Milestones!$AA$21)&lt;=AsOfDate,IF($Q91=0,$W91,IF(AND($S91&lt;&gt;"",EDATE($D91,Milestones!$AA$21)&gt;=$S91),$V91,IF(AND($R91&lt;&gt;"",EDATE($D91,Milestones!$AA$21)&gt;=$R91),$U91,$T91)))=Milestones!$AB$21),TEXT(EDATE($D91,Milestones!$AA$21),"dd/mm/yy")&amp;" "&amp;Milestones!$AB$21&amp;" "&amp;Milestones!$AC$21&amp;";  ","")&amp;IF(AND(EDATE($D91,Milestones!$AA$22)&lt;=AsOfDate,IF($Q91=0,$W91,IF(AND($S91&lt;&gt;"",EDATE($D91,Milestones!$AA$22)&gt;=$S91),$V91,IF(AND($R91&lt;&gt;"",EDATE($D91,Milestones!$AA$22)&gt;=$R91),$U91,$T91)))=Milestones!$AB$22),TEXT(EDATE($D91,Milestones!$AA$22),"dd/mm/yy")&amp;" "&amp;Milestones!$AB$22&amp;" "&amp;Milestones!$AC$22&amp;";  ","")&amp;IF(AND(EDATE($D91,Milestones!$AA$23)&lt;=AsOfDate,IF($Q91=0,$W91,IF(AND($S91&lt;&gt;"",EDATE($D91,Milestones!$AA$23)&gt;=$S91),$V91,IF(AND($R91&lt;&gt;"",EDATE($D91,Milestones!$AA$23)&gt;=$R91),$U91,$T91)))=Milestones!$AB$23),TEXT(EDATE($D91,Milestones!$AA$23),"dd/mm/yy")&amp;" "&amp;Milestones!$AB$23&amp;" "&amp;Milestones!$AC$23&amp;";  ","")&amp;IF(AND(EDATE($D91,Milestones!$AA$24)&lt;=AsOfDate,IF($Q91=0,$W91,IF(AND($S91&lt;&gt;"",EDATE($D91,Milestones!$AA$24)&gt;=$S91),$V91,IF(AND($R91&lt;&gt;"",EDATE($D91,Milestones!$AA$24)&gt;=$R91),$U91,$T91)))=Milestones!$AB$24),TEXT(EDATE($D91,Milestones!$AA$24),"dd/mm/yy")&amp;" "&amp;Milestones!$AB$24&amp;" "&amp;Milestones!$AC$24&amp;";  ","")&amp;IF(AND(EDATE($D91,Milestones!$AA$25)&lt;=AsOfDate,IF($Q91=0,$W91,IF(AND($S91&lt;&gt;"",EDATE($D91,Milestones!$AA$25)&gt;=$S91),$V91,IF(AND($R91&lt;&gt;"",EDATE($D91,Milestones!$AA$25)&gt;=$R91),$U91,$T91)))=Milestones!$AB$25),TEXT(EDATE($D91,Milestones!$AA$25),"dd/mm/yy")&amp;" "&amp;Milestones!$AB$25&amp;" "&amp;Milestones!$AC$25&amp;";  ","")&amp;IF(AND(EDATE($D91,Milestones!$AA$26)&lt;=AsOfDate,IF($Q91=0,$W91,IF(AND($S91&lt;&gt;"",EDATE($D91,Milestones!$AA$26)&gt;=$S91),$V91,IF(AND($R91&lt;&gt;"",EDATE($D91,Milestones!$AA$26)&gt;=$R91),$U91,$T91)))=Milestones!$AB$26),TEXT(EDATE($D91,Milestones!$AA$26),"dd/mm/yy")&amp;" "&amp;Milestones!$AB$26&amp;" "&amp;Milestones!$AC$26&amp;";  ","")&amp;IF(AND(EDATE($D91,Milestones!$AA$27)&lt;=AsOfDate,IF($Q91=0,$W91,IF(AND($S91&lt;&gt;"",EDATE($D91,Milestones!$AA$27)&gt;=$S91),$V91,IF(AND($R91&lt;&gt;"",EDATE($D91,Milestones!$AA$27)&gt;=$R91),$U91,$T91)))=Milestones!$AB$27),TEXT(EDATE($D91,Milestones!$AA$27),"dd/mm/yy")&amp;" "&amp;Milestones!$AB$27&amp;" "&amp;Milestones!$AC$27&amp;";  ","")&amp;IF(AND(EDATE($D91,Milestones!$AA$28)&lt;=AsOfDate,IF($Q91=0,$W91,IF(AND($S91&lt;&gt;"",EDATE($D91,Milestones!$AA$28)&gt;=$S91),$V91,IF(AND($R91&lt;&gt;"",EDATE($D91,Milestones!$AA$28)&gt;=$R91),$U91,$T91)))=Milestones!$AB$28),TEXT(EDATE($D91,Milestones!$AA$28),"dd/mm/yy")&amp;" "&amp;Milestones!$AB$28&amp;" "&amp;Milestones!$AC$28&amp;";  ","")&amp;IF(AND(EDATE($D91,Milestones!$AA$29)&lt;=AsOfDate,IF($Q91=0,$W91,IF(AND($S91&lt;&gt;"",EDATE($D91,Milestones!$AA$29)&gt;=$S91),$V91,IF(AND($R91&lt;&gt;"",EDATE($D91,Milestones!$AA$29)&gt;=$R91),$U91,$T91)))=Milestones!$AB$29),TEXT(EDATE($D91,Milestones!$AA$29),"dd/mm/yy")&amp;" "&amp;Milestones!$AB$29&amp;" "&amp;Milestones!$AC$29&amp;";  ","")&amp;IF(AND(EDATE($D91,Milestones!$AA$30)&lt;=AsOfDate,IF($Q91=0,$W91,IF(AND($S91&lt;&gt;"",EDATE($D91,Milestones!$AA$30)&gt;=$S91),$V91,IF(AND($R91&lt;&gt;"",EDATE($D91,Milestones!$AA$30)&gt;=$R91),$U91,$T91)))=Milestones!$AB$30),TEXT(EDATE($D91,Milestones!$AA$30),"dd/mm/yy")&amp;" "&amp;Milestones!$AB$30&amp;" "&amp;Milestones!$AC$30&amp;";  ","")&amp;IF(AND(EDATE($D91,Milestones!$AA$31)&lt;=AsOfDate,IF($Q91=0,$W91,IF(AND($S91&lt;&gt;"",EDATE($D91,Milestones!$AA$31)&gt;=$S91),$V91,IF(AND($R91&lt;&gt;"",EDATE($D91,Milestones!$AA$31)&gt;=$R91),$U91,$T91)))=Milestones!$AB$31),TEXT(EDATE($D91,Milestones!$AA$31),"dd/mm/yy")&amp;" "&amp;Milestones!$AB$31&amp;" "&amp;Milestones!$AC$31&amp;";  ","")&amp;IF(AND(EDATE($D91,Milestones!$AA$32)&lt;=AsOfDate,IF($Q91=0,$W91,IF(AND($S91&lt;&gt;"",EDATE($D91,Milestones!$AA$32)&gt;=$S91),$V91,IF(AND($R91&lt;&gt;"",EDATE($D91,Milestones!$AA$32)&gt;=$R91),$U91,$T91)))=Milestones!$AB$32),TEXT(EDATE($D91,Milestones!$AA$32),"dd/mm/yy")&amp;" "&amp;Milestones!$AB$32&amp;" "&amp;Milestones!$AC$32&amp;";  ","")&amp;IF(AND(EDATE($D91,Milestones!$AA$33)&lt;=AsOfDate,IF($Q91=0,$W91,IF(AND($S91&lt;&gt;"",EDATE($D91,Milestones!$AA$33)&gt;=$S91),$V91,IF(AND($R91&lt;&gt;"",EDATE($D91,Milestones!$AA$33)&gt;=$R91),$U91,$T91)))=Milestones!$AB$33),TEXT(EDATE($D91,Milestones!$AA$33),"dd/mm/yy")&amp;" "&amp;Milestones!$AB$33&amp;" "&amp;Milestones!$AC$33&amp;";  ","")&amp;IF(AND(EDATE($D91,Milestones!$AA$34)&lt;=AsOfDate,IF($Q91=0,$W91,IF(AND($S91&lt;&gt;"",EDATE($D91,Milestones!$AA$34)&gt;=$S91),$V91,IF(AND($R91&lt;&gt;"",EDATE($D91,Milestones!$AA$34)&gt;=$R91),$U91,$T91)))=Milestones!$AB$34),TEXT(EDATE($D91,Milestones!$AA$34),"dd/mm/yy")&amp;" "&amp;Milestones!$AB$34&amp;" "&amp;Milestones!$AC$34&amp;";  ","")&amp;IF(AND(EDATE($D91,Milestones!$AA$35)&lt;=AsOfDate,IF($Q91=0,$W91,IF(AND($S91&lt;&gt;"",EDATE($D91,Milestones!$AA$35)&gt;=$S91),$V91,IF(AND($R91&lt;&gt;"",EDATE($D91,Milestones!$AA$35)&gt;=$R91),$U91,$T91)))=Milestones!$AB$35),TEXT(EDATE($D91,Milestones!$AA$35),"dd/mm/yy")&amp;" "&amp;Milestones!$AB$35&amp;" "&amp;Milestones!$AC$35&amp;";  ","")&amp;IF(AND(EDATE($D91,Milestones!$AA$36)&lt;=AsOfDate,IF($Q91=0,$W91,IF(AND($S91&lt;&gt;"",EDATE($D91,Milestones!$AA$36)&gt;=$S91),$V91,IF(AND($R91&lt;&gt;"",EDATE($D91,Milestones!$AA$36)&gt;=$R91),$U91,$T91)))=Milestones!$AB$36),TEXT(EDATE($D91,Milestones!$AA$36),"dd/mm/yy")&amp;" "&amp;Milestones!$AB$36&amp;" "&amp;Milestones!$AC$36&amp;";  ","")&amp;IF(AND(EDATE($D91,Milestones!$AA$37)&lt;=AsOfDate,IF($Q91=0,$W91,IF(AND($S91&lt;&gt;"",EDATE($D91,Milestones!$AA$37)&gt;=$S91),$V91,IF(AND($R91&lt;&gt;"",EDATE($D91,Milestones!$AA$37)&gt;=$R91),$U91,$T91)))=Milestones!$AB$37),TEXT(EDATE($D91,Milestones!$AA$37),"dd/mm/yy")&amp;" "&amp;Milestones!$AB$37&amp;" "&amp;Milestones!$AC$37&amp;";  ","")&amp;IF(AND(EDATE($D91,Milestones!$AA$38)&lt;=AsOfDate,IF($Q91=0,$W91,IF(AND($S91&lt;&gt;"",EDATE($D91,Milestones!$AA$38)&gt;=$S91),$V91,IF(AND($R91&lt;&gt;"",EDATE($D91,Milestones!$AA$38)&gt;=$R91),$U91,$T91)))=Milestones!$AB$38),TEXT(EDATE($D91,Milestones!$AA$38),"dd/mm/yy")&amp;" "&amp;Milestones!$AB$38&amp;" "&amp;Milestones!$AC$38&amp;";  ","")&amp;IF(AND(EDATE($D91,Milestones!$AA$39)&lt;=AsOfDate,IF($Q91=0,$W91,IF(AND($S91&lt;&gt;"",EDATE($D91,Milestones!$AA$39)&gt;=$S91),$V91,IF(AND($R91&lt;&gt;"",EDATE($D91,Milestones!$AA$39)&gt;=$R91),$U91,$T91)))=Milestones!$AB$39),TEXT(EDATE($D91,Milestones!$AA$39),"dd/mm/yy")&amp;" "&amp;Milestones!$AB$39&amp;" "&amp;Milestones!$AC$39&amp;";  ",""))</f>
        <v/>
      </c>
      <c r="I91" s="0" t="str">
        <f aca="false">IF(OR($A91="",$D91=""),"",IF(AND(EDATE($D91,Milestones!$AA$40)&lt;=AsOfDate,IF($Q91=0,$W91,IF(AND($S91&lt;&gt;"",EDATE($D91,Milestones!$AA$40)&gt;=$S91),$V91,IF(AND($R91&lt;&gt;"",EDATE($D91,Milestones!$AA$40)&gt;=$R91),$U91,$T91)))=Milestones!$AB$40),TEXT(EDATE($D91,Milestones!$AA$40),"dd/mm/yy")&amp;" "&amp;Milestones!$AB$40&amp;" "&amp;Milestones!$AC$40&amp;";  ","")&amp;IF(AND(EDATE($D91,Milestones!$AA$41)&lt;=AsOfDate,IF($Q91=0,$W91,IF(AND($S91&lt;&gt;"",EDATE($D91,Milestones!$AA$41)&gt;=$S91),$V91,IF(AND($R91&lt;&gt;"",EDATE($D91,Milestones!$AA$41)&gt;=$R91),$U91,$T91)))=Milestones!$AB$41),TEXT(EDATE($D91,Milestones!$AA$41),"dd/mm/yy")&amp;" "&amp;Milestones!$AB$41&amp;" "&amp;Milestones!$AC$41&amp;";  ","")&amp;IF(AND(EDATE($D91,Milestones!$AA$42)&lt;=AsOfDate,IF($Q91=0,$W91,IF(AND($S91&lt;&gt;"",EDATE($D91,Milestones!$AA$42)&gt;=$S91),$V91,IF(AND($R91&lt;&gt;"",EDATE($D91,Milestones!$AA$42)&gt;=$R91),$U91,$T91)))=Milestones!$AB$42),TEXT(EDATE($D91,Milestones!$AA$42),"dd/mm/yy")&amp;" "&amp;Milestones!$AB$42&amp;" "&amp;Milestones!$AC$42&amp;";  ","")&amp;IF(AND(EDATE($D91,Milestones!$AA$43)&lt;=AsOfDate,IF($Q91=0,$W91,IF(AND($S91&lt;&gt;"",EDATE($D91,Milestones!$AA$43)&gt;=$S91),$V91,IF(AND($R91&lt;&gt;"",EDATE($D91,Milestones!$AA$43)&gt;=$R91),$U91,$T91)))=Milestones!$AB$43),TEXT(EDATE($D91,Milestones!$AA$43),"dd/mm/yy")&amp;" "&amp;Milestones!$AB$43&amp;" "&amp;Milestones!$AC$43&amp;";  ","")&amp;IF(AND(EDATE($D91,Milestones!$AA$44)&lt;=AsOfDate,IF($Q91=0,$W91,IF(AND($S91&lt;&gt;"",EDATE($D91,Milestones!$AA$44)&gt;=$S91),$V91,IF(AND($R91&lt;&gt;"",EDATE($D91,Milestones!$AA$44)&gt;=$R91),$U91,$T91)))=Milestones!$AB$44),TEXT(EDATE($D91,Milestones!$AA$44),"dd/mm/yy")&amp;" "&amp;Milestones!$AB$44&amp;" "&amp;Milestones!$AC$44&amp;";  ","")&amp;IF(AND(EDATE($D91,Milestones!$AA$45)&lt;=AsOfDate,IF($Q91=0,$W91,IF(AND($S91&lt;&gt;"",EDATE($D91,Milestones!$AA$45)&gt;=$S91),$V91,IF(AND($R91&lt;&gt;"",EDATE($D91,Milestones!$AA$45)&gt;=$R91),$U91,$T91)))=Milestones!$AB$45),TEXT(EDATE($D91,Milestones!$AA$45),"dd/mm/yy")&amp;" "&amp;Milestones!$AB$45&amp;" "&amp;Milestones!$AC$45&amp;";  ","")&amp;IF(AND(EDATE($D91,Milestones!$AA$46)&lt;=AsOfDate,IF($Q91=0,$W91,IF(AND($S91&lt;&gt;"",EDATE($D91,Milestones!$AA$46)&gt;=$S91),$V91,IF(AND($R91&lt;&gt;"",EDATE($D91,Milestones!$AA$46)&gt;=$R91),$U91,$T91)))=Milestones!$AB$46),TEXT(EDATE($D91,Milestones!$AA$46),"dd/mm/yy")&amp;" "&amp;Milestones!$AB$46&amp;" "&amp;Milestones!$AC$46&amp;";  ","")&amp;IF(AND(EDATE($D91,Milestones!$AA$47)&lt;=AsOfDate,IF($Q91=0,$W91,IF(AND($S91&lt;&gt;"",EDATE($D91,Milestones!$AA$47)&gt;=$S91),$V91,IF(AND($R91&lt;&gt;"",EDATE($D91,Milestones!$AA$47)&gt;=$R91),$U91,$T91)))=Milestones!$AB$47),TEXT(EDATE($D91,Milestones!$AA$47),"dd/mm/yy")&amp;" "&amp;Milestones!$AB$47&amp;" "&amp;Milestones!$AC$47&amp;";  ","")&amp;IF(AND(EDATE($D91,Milestones!$AA$48)&lt;=AsOfDate,IF($Q91=0,$W91,IF(AND($S91&lt;&gt;"",EDATE($D91,Milestones!$AA$48)&gt;=$S91),$V91,IF(AND($R91&lt;&gt;"",EDATE($D91,Milestones!$AA$48)&gt;=$R91),$U91,$T91)))=Milestones!$AB$48),TEXT(EDATE($D91,Milestones!$AA$48),"dd/mm/yy")&amp;" "&amp;Milestones!$AB$48&amp;" "&amp;Milestones!$AC$48&amp;";  ","")&amp;IF(AND(EDATE($D91,Milestones!$AA$49)&lt;=AsOfDate,IF($Q91=0,$W91,IF(AND($S91&lt;&gt;"",EDATE($D91,Milestones!$AA$49)&gt;=$S91),$V91,IF(AND($R91&lt;&gt;"",EDATE($D91,Milestones!$AA$49)&gt;=$R91),$U91,$T91)))=Milestones!$AB$49),TEXT(EDATE($D91,Milestones!$AA$49),"dd/mm/yy")&amp;" "&amp;Milestones!$AB$49&amp;" "&amp;Milestones!$AC$49&amp;";  ","")&amp;IF(AND(EDATE($D91,Milestones!$AA$50)&lt;=AsOfDate,IF($Q91=0,$W91,IF(AND($S91&lt;&gt;"",EDATE($D91,Milestones!$AA$50)&gt;=$S91),$V91,IF(AND($R91&lt;&gt;"",EDATE($D91,Milestones!$AA$50)&gt;=$R91),$U91,$T91)))=Milestones!$AB$50),TEXT(EDATE($D91,Milestones!$AA$50),"dd/mm/yy")&amp;" "&amp;Milestones!$AB$50&amp;" "&amp;Milestones!$AC$50&amp;";  ","")&amp;IF(AND(EDATE($D91,Milestones!$AA$51)&lt;=AsOfDate,IF($Q91=0,$W91,IF(AND($S91&lt;&gt;"",EDATE($D91,Milestones!$AA$51)&gt;=$S91),$V91,IF(AND($R91&lt;&gt;"",EDATE($D91,Milestones!$AA$51)&gt;=$R91),$U91,$T91)))=Milestones!$AB$51),TEXT(EDATE($D91,Milestones!$AA$51),"dd/mm/yy")&amp;" "&amp;Milestones!$AB$51&amp;" "&amp;Milestones!$AC$51&amp;";  ","")&amp;IF(AND(EDATE($D91,Milestones!$AA$52)&lt;=AsOfDate,IF($Q91=0,$W91,IF(AND($S91&lt;&gt;"",EDATE($D91,Milestones!$AA$52)&gt;=$S91),$V91,IF(AND($R91&lt;&gt;"",EDATE($D91,Milestones!$AA$52)&gt;=$R91),$U91,$T91)))=Milestones!$AB$52),TEXT(EDATE($D91,Milestones!$AA$52),"dd/mm/yy")&amp;" "&amp;Milestones!$AB$52&amp;" "&amp;Milestones!$AC$52&amp;";  ","")&amp;IF(AND(EDATE($D91,Milestones!$AA$53)&lt;=AsOfDate,IF($Q91=0,$W91,IF(AND($S91&lt;&gt;"",EDATE($D91,Milestones!$AA$53)&gt;=$S91),$V91,IF(AND($R91&lt;&gt;"",EDATE($D91,Milestones!$AA$53)&gt;=$R91),$U91,$T91)))=Milestones!$AB$53),TEXT(EDATE($D91,Milestones!$AA$53),"dd/mm/yy")&amp;" "&amp;Milestones!$AB$53&amp;" "&amp;Milestones!$AC$53&amp;";  ","")&amp;IF(AND(EDATE($D91,Milestones!$AA$54)&lt;=AsOfDate,IF($Q91=0,$W91,IF(AND($S91&lt;&gt;"",EDATE($D91,Milestones!$AA$54)&gt;=$S91),$V91,IF(AND($R91&lt;&gt;"",EDATE($D91,Milestones!$AA$54)&gt;=$R91),$U91,$T91)))=Milestones!$AB$54),TEXT(EDATE($D91,Milestones!$AA$54),"dd/mm/yy")&amp;" "&amp;Milestones!$AB$54&amp;" "&amp;Milestones!$AC$54&amp;";  ","")&amp;IF(AND(EDATE($D91,Milestones!$AA$55)&lt;=AsOfDate,IF($Q91=0,$W91,IF(AND($S91&lt;&gt;"",EDATE($D91,Milestones!$AA$55)&gt;=$S91),$V91,IF(AND($R91&lt;&gt;"",EDATE($D91,Milestones!$AA$55)&gt;=$R91),$U91,$T91)))=Milestones!$AB$55),TEXT(EDATE($D91,Milestones!$AA$55),"dd/mm/yy")&amp;" "&amp;Milestones!$AB$55&amp;" "&amp;Milestones!$AC$55&amp;";  ","")&amp;IF(AND(EDATE($D91,Milestones!$AA$56)&lt;=AsOfDate,IF($Q91=0,$W91,IF(AND($S91&lt;&gt;"",EDATE($D91,Milestones!$AA$56)&gt;=$S91),$V91,IF(AND($R91&lt;&gt;"",EDATE($D91,Milestones!$AA$56)&gt;=$R91),$U91,$T91)))=Milestones!$AB$56),TEXT(EDATE($D91,Milestones!$AA$56),"dd/mm/yy")&amp;" "&amp;Milestones!$AB$56&amp;" "&amp;Milestones!$AC$56&amp;";  ","")&amp;IF(AND(EDATE($D91,Milestones!$AA$57)&lt;=AsOfDate,IF($Q91=0,$W91,IF(AND($S91&lt;&gt;"",EDATE($D91,Milestones!$AA$57)&gt;=$S91),$V91,IF(AND($R91&lt;&gt;"",EDATE($D91,Milestones!$AA$57)&gt;=$R91),$U91,$T91)))=Milestones!$AB$57),TEXT(EDATE($D91,Milestones!$AA$57),"dd/mm/yy")&amp;" "&amp;Milestones!$AB$57&amp;" "&amp;Milestones!$AC$57&amp;";  ","")&amp;IF(AND(EDATE($D91,Milestones!$AA$58)&lt;=AsOfDate,IF($Q91=0,$W91,IF(AND($S91&lt;&gt;"",EDATE($D91,Milestones!$AA$58)&gt;=$S91),$V91,IF(AND($R91&lt;&gt;"",EDATE($D91,Milestones!$AA$58)&gt;=$R91),$U91,$T91)))=Milestones!$AB$58),TEXT(EDATE($D91,Milestones!$AA$58),"dd/mm/yy")&amp;" "&amp;Milestones!$AB$58&amp;" "&amp;Milestones!$AC$58&amp;";  ","")&amp;IF(AND(EDATE($D91,Milestones!$AA$59)&lt;=AsOfDate,IF($Q91=0,$W91,IF(AND($S91&lt;&gt;"",EDATE($D91,Milestones!$AA$59)&gt;=$S91),$V91,IF(AND($R91&lt;&gt;"",EDATE($D91,Milestones!$AA$59)&gt;=$R91),$U91,$T91)))=Milestones!$AB$59),TEXT(EDATE($D91,Milestones!$AA$59),"dd/mm/yy")&amp;" "&amp;Milestones!$AB$59&amp;" "&amp;Milestones!$AC$59&amp;";  ",""))</f>
        <v/>
      </c>
      <c r="J91" s="0" t="str">
        <f aca="false">IF(OR($A91="",$D91=""),"",IF(AND(EDATE($D91,Milestones!$AA$60)&lt;=AsOfDate,IF($Q91=0,$W91,IF(AND($S91&lt;&gt;"",EDATE($D91,Milestones!$AA$60)&gt;=$S91),$V91,IF(AND($R91&lt;&gt;"",EDATE($D91,Milestones!$AA$60)&gt;=$R91),$U91,$T91)))=Milestones!$AB$60),TEXT(EDATE($D91,Milestones!$AA$60),"dd/mm/yy")&amp;" "&amp;Milestones!$AB$60&amp;" "&amp;Milestones!$AC$60&amp;";  ","")&amp;IF(AND(EDATE($D91,Milestones!$AA$61)&lt;=AsOfDate,IF($Q91=0,$W91,IF(AND($S91&lt;&gt;"",EDATE($D91,Milestones!$AA$61)&gt;=$S91),$V91,IF(AND($R91&lt;&gt;"",EDATE($D91,Milestones!$AA$61)&gt;=$R91),$U91,$T91)))=Milestones!$AB$61),TEXT(EDATE($D91,Milestones!$AA$61),"dd/mm/yy")&amp;" "&amp;Milestones!$AB$61&amp;" "&amp;Milestones!$AC$61&amp;";  ","")&amp;IF(AND(EDATE($D91,Milestones!$AA$62)&lt;=AsOfDate,IF($Q91=0,$W91,IF(AND($S91&lt;&gt;"",EDATE($D91,Milestones!$AA$62)&gt;=$S91),$V91,IF(AND($R91&lt;&gt;"",EDATE($D91,Milestones!$AA$62)&gt;=$R91),$U91,$T91)))=Milestones!$AB$62),TEXT(EDATE($D91,Milestones!$AA$62),"dd/mm/yy")&amp;" "&amp;Milestones!$AB$62&amp;" "&amp;Milestones!$AC$62&amp;";  ","")&amp;IF(AND(EDATE($D91,Milestones!$AA$63)&lt;=AsOfDate,IF($Q91=0,$W91,IF(AND($S91&lt;&gt;"",EDATE($D91,Milestones!$AA$63)&gt;=$S91),$V91,IF(AND($R91&lt;&gt;"",EDATE($D91,Milestones!$AA$63)&gt;=$R91),$U91,$T91)))=Milestones!$AB$63),TEXT(EDATE($D91,Milestones!$AA$63),"dd/mm/yy")&amp;" "&amp;Milestones!$AB$63&amp;" "&amp;Milestones!$AC$63&amp;";  ","")&amp;IF(AND(EDATE($D91,Milestones!$AA$64)&lt;=AsOfDate,IF($Q91=0,$W91,IF(AND($S91&lt;&gt;"",EDATE($D91,Milestones!$AA$64)&gt;=$S91),$V91,IF(AND($R91&lt;&gt;"",EDATE($D91,Milestones!$AA$64)&gt;=$R91),$U91,$T91)))=Milestones!$AB$64),TEXT(EDATE($D91,Milestones!$AA$64),"dd/mm/yy")&amp;" "&amp;Milestones!$AB$64&amp;" "&amp;Milestones!$AC$64&amp;";  ","")&amp;IF(AND(EDATE($D91,Milestones!$AA$65)&lt;=AsOfDate,IF($Q91=0,$W91,IF(AND($S91&lt;&gt;"",EDATE($D91,Milestones!$AA$65)&gt;=$S91),$V91,IF(AND($R91&lt;&gt;"",EDATE($D91,Milestones!$AA$65)&gt;=$R91),$U91,$T91)))=Milestones!$AB$65),TEXT(EDATE($D91,Milestones!$AA$65),"dd/mm/yy")&amp;" "&amp;Milestones!$AB$65&amp;" "&amp;Milestones!$AC$65&amp;";  ","")&amp;IF(AND(EDATE($D91,Milestones!$AA$66)&lt;=AsOfDate,IF($Q91=0,$W91,IF(AND($S91&lt;&gt;"",EDATE($D91,Milestones!$AA$66)&gt;=$S91),$V91,IF(AND($R91&lt;&gt;"",EDATE($D91,Milestones!$AA$66)&gt;=$R91),$U91,$T91)))=Milestones!$AB$66),TEXT(EDATE($D91,Milestones!$AA$66),"dd/mm/yy")&amp;" "&amp;Milestones!$AB$66&amp;" "&amp;Milestones!$AC$66&amp;";  ","")&amp;IF(AND(EDATE($D91,Milestones!$AA$67)&lt;=AsOfDate,IF($Q91=0,$W91,IF(AND($S91&lt;&gt;"",EDATE($D91,Milestones!$AA$67)&gt;=$S91),$V91,IF(AND($R91&lt;&gt;"",EDATE($D91,Milestones!$AA$67)&gt;=$R91),$U91,$T91)))=Milestones!$AB$67),TEXT(EDATE($D91,Milestones!$AA$67),"dd/mm/yy")&amp;" "&amp;Milestones!$AB$67&amp;" "&amp;Milestones!$AC$67&amp;";  ","")&amp;IF(AND(EDATE($D91,Milestones!$AA$68)&lt;=AsOfDate,IF($Q91=0,$W91,IF(AND($S91&lt;&gt;"",EDATE($D91,Milestones!$AA$68)&gt;=$S91),$V91,IF(AND($R91&lt;&gt;"",EDATE($D91,Milestones!$AA$68)&gt;=$R91),$U91,$T91)))=Milestones!$AB$68),TEXT(EDATE($D91,Milestones!$AA$68),"dd/mm/yy")&amp;" "&amp;Milestones!$AB$68&amp;" "&amp;Milestones!$AC$68&amp;";  ","")&amp;IF(AND(EDATE($D91,Milestones!$AA$69)&lt;=AsOfDate,IF($Q91=0,$W91,IF(AND($S91&lt;&gt;"",EDATE($D91,Milestones!$AA$69)&gt;=$S91),$V91,IF(AND($R91&lt;&gt;"",EDATE($D91,Milestones!$AA$69)&gt;=$R91),$U91,$T91)))=Milestones!$AB$69),TEXT(EDATE($D91,Milestones!$AA$69),"dd/mm/yy")&amp;" "&amp;Milestones!$AB$69&amp;" "&amp;Milestones!$AC$69&amp;";  ","")&amp;IF(AND(EDATE($D91,Milestones!$AA$70)&lt;=AsOfDate,IF($Q91=0,$W91,IF(AND($S91&lt;&gt;"",EDATE($D91,Milestones!$AA$70)&gt;=$S91),$V91,IF(AND($R91&lt;&gt;"",EDATE($D91,Milestones!$AA$70)&gt;=$R91),$U91,$T91)))=Milestones!$AB$70),TEXT(EDATE($D91,Milestones!$AA$70),"dd/mm/yy")&amp;" "&amp;Milestones!$AB$70&amp;" "&amp;Milestones!$AC$70&amp;";  ","")&amp;IF(AND(EDATE($D91,Milestones!$AA$71)&lt;=AsOfDate,IF($Q91=0,$W91,IF(AND($S91&lt;&gt;"",EDATE($D91,Milestones!$AA$71)&gt;=$S91),$V91,IF(AND($R91&lt;&gt;"",EDATE($D91,Milestones!$AA$71)&gt;=$R91),$U91,$T91)))=Milestones!$AB$71),TEXT(EDATE($D91,Milestones!$AA$71),"dd/mm/yy")&amp;" "&amp;Milestones!$AB$71&amp;" "&amp;Milestones!$AC$71&amp;";  ","")&amp;IF(AND(EDATE($D91,Milestones!$AA$72)&lt;=AsOfDate,IF($Q91=0,$W91,IF(AND($S91&lt;&gt;"",EDATE($D91,Milestones!$AA$72)&gt;=$S91),$V91,IF(AND($R91&lt;&gt;"",EDATE($D91,Milestones!$AA$72)&gt;=$R91),$U91,$T91)))=Milestones!$AB$72),TEXT(EDATE($D91,Milestones!$AA$72),"dd/mm/yy")&amp;" "&amp;Milestones!$AB$72&amp;" "&amp;Milestones!$AC$72&amp;";  ","")&amp;IF(AND(EDATE($D91,Milestones!$AA$73)&lt;=AsOfDate,IF($Q91=0,$W91,IF(AND($S91&lt;&gt;"",EDATE($D91,Milestones!$AA$73)&gt;=$S91),$V91,IF(AND($R91&lt;&gt;"",EDATE($D91,Milestones!$AA$73)&gt;=$R91),$U91,$T91)))=Milestones!$AB$73),TEXT(EDATE($D91,Milestones!$AA$73),"dd/mm/yy")&amp;" "&amp;Milestones!$AB$73&amp;" "&amp;Milestones!$AC$73&amp;";  ","")&amp;IF(AND(EDATE($D91,Milestones!$AA$74)&lt;=AsOfDate,IF($Q91=0,$W91,IF(AND($S91&lt;&gt;"",EDATE($D91,Milestones!$AA$74)&gt;=$S91),$V91,IF(AND($R91&lt;&gt;"",EDATE($D91,Milestones!$AA$74)&gt;=$R91),$U91,$T91)))=Milestones!$AB$74),TEXT(EDATE($D91,Milestones!$AA$74),"dd/mm/yy")&amp;" "&amp;Milestones!$AB$74&amp;" "&amp;Milestones!$AC$74&amp;";  ","")&amp;IF(AND(EDATE($D91,Milestones!$AA$75)&lt;=AsOfDate,IF($Q91=0,$W91,IF(AND($S91&lt;&gt;"",EDATE($D91,Milestones!$AA$75)&gt;=$S91),$V91,IF(AND($R91&lt;&gt;"",EDATE($D91,Milestones!$AA$75)&gt;=$R91),$U91,$T91)))=Milestones!$AB$75),TEXT(EDATE($D91,Milestones!$AA$75),"dd/mm/yy")&amp;" "&amp;Milestones!$AB$75&amp;" "&amp;Milestones!$AC$75&amp;";  ","")&amp;IF(AND(EDATE($D91,Milestones!$AA$76)&lt;=AsOfDate,IF($Q91=0,$W91,IF(AND($S91&lt;&gt;"",EDATE($D91,Milestones!$AA$76)&gt;=$S91),$V91,IF(AND($R91&lt;&gt;"",EDATE($D91,Milestones!$AA$76)&gt;=$R91),$U91,$T91)))=Milestones!$AB$76),TEXT(EDATE($D91,Milestones!$AA$76),"dd/mm/yy")&amp;" "&amp;Milestones!$AB$76&amp;" "&amp;Milestones!$AC$76&amp;";  ","")&amp;IF(AND(EDATE($D91,Milestones!$AA$77)&lt;=AsOfDate,IF($Q91=0,$W91,IF(AND($S91&lt;&gt;"",EDATE($D91,Milestones!$AA$77)&gt;=$S91),$V91,IF(AND($R91&lt;&gt;"",EDATE($D91,Milestones!$AA$77)&gt;=$R91),$U91,$T91)))=Milestones!$AB$77),TEXT(EDATE($D91,Milestones!$AA$77),"dd/mm/yy")&amp;" "&amp;Milestones!$AB$77&amp;" "&amp;Milestones!$AC$77&amp;";  ","")&amp;IF(AND(EDATE($D91,Milestones!$AA$78)&lt;=AsOfDate,IF($Q91=0,$W91,IF(AND($S91&lt;&gt;"",EDATE($D91,Milestones!$AA$78)&gt;=$S91),$V91,IF(AND($R91&lt;&gt;"",EDATE($D91,Milestones!$AA$78)&gt;=$R91),$U91,$T91)))=Milestones!$AB$78),TEXT(EDATE($D91,Milestones!$AA$78),"dd/mm/yy")&amp;" "&amp;Milestones!$AB$78&amp;" "&amp;Milestones!$AC$78&amp;";  ","")&amp;IF(AND(EDATE($D91,Milestones!$AA$79)&lt;=AsOfDate,IF($Q91=0,$W91,IF(AND($S91&lt;&gt;"",EDATE($D91,Milestones!$AA$79)&gt;=$S91),$V91,IF(AND($R91&lt;&gt;"",EDATE($D91,Milestones!$AA$79)&gt;=$R91),$U91,$T91)))=Milestones!$AB$79),TEXT(EDATE($D91,Milestones!$AA$79),"dd/mm/yy")&amp;" "&amp;Milestones!$AB$79&amp;" "&amp;Milestones!$AC$79&amp;";  ",""))</f>
        <v/>
      </c>
      <c r="K91" s="0" t="str">
        <f aca="false">IF(OR($A91="",$D91=""),"",IF(AND(EDATE($D91,Milestones!$AA$80)&lt;=AsOfDate,IF($Q91=0,$W91,IF(AND($S91&lt;&gt;"",EDATE($D91,Milestones!$AA$80)&gt;=$S91),$V91,IF(AND($R91&lt;&gt;"",EDATE($D91,Milestones!$AA$80)&gt;=$R91),$U91,$T91)))=Milestones!$AB$80),TEXT(EDATE($D91,Milestones!$AA$80),"dd/mm/yy")&amp;" "&amp;Milestones!$AB$80&amp;" "&amp;Milestones!$AC$80&amp;";  ","")&amp;IF(AND(EDATE($D91,Milestones!$AA$81)&lt;=AsOfDate,IF($Q91=0,$W91,IF(AND($S91&lt;&gt;"",EDATE($D91,Milestones!$AA$81)&gt;=$S91),$V91,IF(AND($R91&lt;&gt;"",EDATE($D91,Milestones!$AA$81)&gt;=$R91),$U91,$T91)))=Milestones!$AB$81),TEXT(EDATE($D91,Milestones!$AA$81),"dd/mm/yy")&amp;" "&amp;Milestones!$AB$81&amp;" "&amp;Milestones!$AC$81&amp;";  ","")&amp;IF(AND(EDATE($D91,Milestones!$AA$82)&lt;=AsOfDate,IF($Q91=0,$W91,IF(AND($S91&lt;&gt;"",EDATE($D91,Milestones!$AA$82)&gt;=$S91),$V91,IF(AND($R91&lt;&gt;"",EDATE($D91,Milestones!$AA$82)&gt;=$R91),$U91,$T91)))=Milestones!$AB$82),TEXT(EDATE($D91,Milestones!$AA$82),"dd/mm/yy")&amp;" "&amp;Milestones!$AB$82&amp;" "&amp;Milestones!$AC$82&amp;";  ","")&amp;IF(AND(EDATE($D91,Milestones!$AA$83)&lt;=AsOfDate,IF($Q91=0,$W91,IF(AND($S91&lt;&gt;"",EDATE($D91,Milestones!$AA$83)&gt;=$S91),$V91,IF(AND($R91&lt;&gt;"",EDATE($D91,Milestones!$AA$83)&gt;=$R91),$U91,$T91)))=Milestones!$AB$83),TEXT(EDATE($D91,Milestones!$AA$83),"dd/mm/yy")&amp;" "&amp;Milestones!$AB$83&amp;" "&amp;Milestones!$AC$83&amp;";  ","")&amp;IF(AND(EDATE($D91,Milestones!$AA$84)&lt;=AsOfDate,IF($Q91=0,$W91,IF(AND($S91&lt;&gt;"",EDATE($D91,Milestones!$AA$84)&gt;=$S91),$V91,IF(AND($R91&lt;&gt;"",EDATE($D91,Milestones!$AA$84)&gt;=$R91),$U91,$T91)))=Milestones!$AB$84),TEXT(EDATE($D91,Milestones!$AA$84),"dd/mm/yy")&amp;" "&amp;Milestones!$AB$84&amp;" "&amp;Milestones!$AC$84&amp;";  ","")&amp;IF(AND(EDATE($D91,Milestones!$AA$85)&lt;=AsOfDate,IF($Q91=0,$W91,IF(AND($S91&lt;&gt;"",EDATE($D91,Milestones!$AA$85)&gt;=$S91),$V91,IF(AND($R91&lt;&gt;"",EDATE($D91,Milestones!$AA$85)&gt;=$R91),$U91,$T91)))=Milestones!$AB$85),TEXT(EDATE($D91,Milestones!$AA$85),"dd/mm/yy")&amp;" "&amp;Milestones!$AB$85&amp;" "&amp;Milestones!$AC$85&amp;";  ","")&amp;IF(AND(EDATE($D91,Milestones!$AA$86)&lt;=AsOfDate,IF($Q91=0,$W91,IF(AND($S91&lt;&gt;"",EDATE($D91,Milestones!$AA$86)&gt;=$S91),$V91,IF(AND($R91&lt;&gt;"",EDATE($D91,Milestones!$AA$86)&gt;=$R91),$U91,$T91)))=Milestones!$AB$86),TEXT(EDATE($D91,Milestones!$AA$86),"dd/mm/yy")&amp;" "&amp;Milestones!$AB$86&amp;" "&amp;Milestones!$AC$86&amp;";  ","")&amp;IF(AND(EDATE($D91,Milestones!$AA$87)&lt;=AsOfDate,IF($Q91=0,$W91,IF(AND($S91&lt;&gt;"",EDATE($D91,Milestones!$AA$87)&gt;=$S91),$V91,IF(AND($R91&lt;&gt;"",EDATE($D91,Milestones!$AA$87)&gt;=$R91),$U91,$T91)))=Milestones!$AB$87),TEXT(EDATE($D91,Milestones!$AA$87),"dd/mm/yy")&amp;" "&amp;Milestones!$AB$87&amp;" "&amp;Milestones!$AC$87&amp;";  ","")&amp;IF(AND(EDATE($D91,Milestones!$AA$88)&lt;=AsOfDate,IF($Q91=0,$W91,IF(AND($S91&lt;&gt;"",EDATE($D91,Milestones!$AA$88)&gt;=$S91),$V91,IF(AND($R91&lt;&gt;"",EDATE($D91,Milestones!$AA$88)&gt;=$R91),$U91,$T91)))=Milestones!$AB$88),TEXT(EDATE($D91,Milestones!$AA$88),"dd/mm/yy")&amp;" "&amp;Milestones!$AB$88&amp;" "&amp;Milestones!$AC$88&amp;";  ","")&amp;IF(AND(EDATE($D91,Milestones!$AA$89)&lt;=AsOfDate,IF($Q91=0,$W91,IF(AND($S91&lt;&gt;"",EDATE($D91,Milestones!$AA$89)&gt;=$S91),$V91,IF(AND($R91&lt;&gt;"",EDATE($D91,Milestones!$AA$89)&gt;=$R91),$U91,$T91)))=Milestones!$AB$89),TEXT(EDATE($D91,Milestones!$AA$89),"dd/mm/yy")&amp;" "&amp;Milestones!$AB$89&amp;" "&amp;Milestones!$AC$89&amp;";  ","")&amp;IF(AND(EDATE($D91,Milestones!$AA$90)&lt;=AsOfDate,IF($Q91=0,$W91,IF(AND($S91&lt;&gt;"",EDATE($D91,Milestones!$AA$90)&gt;=$S91),$V91,IF(AND($R91&lt;&gt;"",EDATE($D91,Milestones!$AA$90)&gt;=$R91),$U91,$T91)))=Milestones!$AB$90),TEXT(EDATE($D91,Milestones!$AA$90),"dd/mm/yy")&amp;" "&amp;Milestones!$AB$90&amp;" "&amp;Milestones!$AC$90&amp;";  ","")&amp;IF(AND(EDATE($D91,Milestones!$AA$91)&lt;=AsOfDate,IF($Q91=0,$W91,IF(AND($S91&lt;&gt;"",EDATE($D91,Milestones!$AA$91)&gt;=$S91),$V91,IF(AND($R91&lt;&gt;"",EDATE($D91,Milestones!$AA$91)&gt;=$R91),$U91,$T91)))=Milestones!$AB$91),TEXT(EDATE($D91,Milestones!$AA$91),"dd/mm/yy")&amp;" "&amp;Milestones!$AB$91&amp;" "&amp;Milestones!$AC$91&amp;";  ","")&amp;IF(AND(EDATE($D91,Milestones!$AA$92)&lt;=AsOfDate,IF($Q91=0,$W91,IF(AND($S91&lt;&gt;"",EDATE($D91,Milestones!$AA$92)&gt;=$S91),$V91,IF(AND($R91&lt;&gt;"",EDATE($D91,Milestones!$AA$92)&gt;=$R91),$U91,$T91)))=Milestones!$AB$92),TEXT(EDATE($D91,Milestones!$AA$92),"dd/mm/yy")&amp;" "&amp;Milestones!$AB$92&amp;" "&amp;Milestones!$AC$92&amp;";  ","")&amp;IF(AND(EDATE($D91,Milestones!$AA$93)&lt;=AsOfDate,IF($Q91=0,$W91,IF(AND($S91&lt;&gt;"",EDATE($D91,Milestones!$AA$93)&gt;=$S91),$V91,IF(AND($R91&lt;&gt;"",EDATE($D91,Milestones!$AA$93)&gt;=$R91),$U91,$T91)))=Milestones!$AB$93),TEXT(EDATE($D91,Milestones!$AA$93),"dd/mm/yy")&amp;" "&amp;Milestones!$AB$93&amp;" "&amp;Milestones!$AC$93&amp;";  ","")&amp;IF(AND(EDATE($D91,Milestones!$AA$94)&lt;=AsOfDate,IF($Q91=0,$W91,IF(AND($S91&lt;&gt;"",EDATE($D91,Milestones!$AA$94)&gt;=$S91),$V91,IF(AND($R91&lt;&gt;"",EDATE($D91,Milestones!$AA$94)&gt;=$R91),$U91,$T91)))=Milestones!$AB$94),TEXT(EDATE($D91,Milestones!$AA$94),"dd/mm/yy")&amp;" "&amp;Milestones!$AB$94&amp;" "&amp;Milestones!$AC$94&amp;";  ","")&amp;IF(AND(EDATE($D91,Milestones!$AA$95)&lt;=AsOfDate,IF($Q91=0,$W91,IF(AND($S91&lt;&gt;"",EDATE($D91,Milestones!$AA$95)&gt;=$S91),$V91,IF(AND($R91&lt;&gt;"",EDATE($D91,Milestones!$AA$95)&gt;=$R91),$U91,$T91)))=Milestones!$AB$95),TEXT(EDATE($D91,Milestones!$AA$95),"dd/mm/yy")&amp;" "&amp;Milestones!$AB$95&amp;" "&amp;Milestones!$AC$95&amp;";  ","")&amp;IF(AND(EDATE($D91,Milestones!$AA$96)&lt;=AsOfDate,IF($Q91=0,$W91,IF(AND($S91&lt;&gt;"",EDATE($D91,Milestones!$AA$96)&gt;=$S91),$V91,IF(AND($R91&lt;&gt;"",EDATE($D91,Milestones!$AA$96)&gt;=$R91),$U91,$T91)))=Milestones!$AB$96),TEXT(EDATE($D91,Milestones!$AA$96),"dd/mm/yy")&amp;" "&amp;Milestones!$AB$96&amp;" "&amp;Milestones!$AC$96&amp;";  ","")&amp;IF(AND(EDATE($D91,Milestones!$AA$97)&lt;=AsOfDate,IF($Q91=0,$W91,IF(AND($S91&lt;&gt;"",EDATE($D91,Milestones!$AA$97)&gt;=$S91),$V91,IF(AND($R91&lt;&gt;"",EDATE($D91,Milestones!$AA$97)&gt;=$R91),$U91,$T91)))=Milestones!$AB$97),TEXT(EDATE($D91,Milestones!$AA$97),"dd/mm/yy")&amp;" "&amp;Milestones!$AB$97&amp;" "&amp;Milestones!$AC$97&amp;";  ","")&amp;IF(AND(EDATE($D91,Milestones!$AA$98)&lt;=AsOfDate,IF($Q91=0,$W91,IF(AND($S91&lt;&gt;"",EDATE($D91,Milestones!$AA$98)&gt;=$S91),$V91,IF(AND($R91&lt;&gt;"",EDATE($D91,Milestones!$AA$98)&gt;=$R91),$U91,$T91)))=Milestones!$AB$98),TEXT(EDATE($D91,Milestones!$AA$98),"dd/mm/yy")&amp;" "&amp;Milestones!$AB$98&amp;" "&amp;Milestones!$AC$98&amp;";  ","")&amp;IF(AND(EDATE($D91,Milestones!$AA$99)&lt;=AsOfDate,IF($Q91=0,$W91,IF(AND($S91&lt;&gt;"",EDATE($D91,Milestones!$AA$99)&gt;=$S91),$V91,IF(AND($R91&lt;&gt;"",EDATE($D91,Milestones!$AA$99)&gt;=$R91),$U91,$T91)))=Milestones!$AB$99),TEXT(EDATE($D91,Milestones!$AA$99),"dd/mm/yy")&amp;" "&amp;Milestones!$AB$99&amp;" "&amp;Milestones!$AC$99&amp;";  ",""))</f>
        <v/>
      </c>
      <c r="L91" s="0" t="str">
        <f aca="false">IF(OR($A91="",$D91=""),"",IF(AND(EDATE($D91,Milestones!$AA$100)&lt;=AsOfDate,IF($Q91=0,$W91,IF(AND($S91&lt;&gt;"",EDATE($D91,Milestones!$AA$100)&gt;=$S91),$V91,IF(AND($R91&lt;&gt;"",EDATE($D91,Milestones!$AA$100)&gt;=$R91),$U91,$T91)))=Milestones!$AB$100),TEXT(EDATE($D91,Milestones!$AA$100),"dd/mm/yy")&amp;" "&amp;Milestones!$AB$100&amp;" "&amp;Milestones!$AC$100&amp;";  ","")&amp;IF(AND(EDATE($D91,Milestones!$AA$101)&lt;=AsOfDate,IF($Q91=0,$W91,IF(AND($S91&lt;&gt;"",EDATE($D91,Milestones!$AA$101)&gt;=$S91),$V91,IF(AND($R91&lt;&gt;"",EDATE($D91,Milestones!$AA$101)&gt;=$R91),$U91,$T91)))=Milestones!$AB$101),TEXT(EDATE($D91,Milestones!$AA$101),"dd/mm/yy")&amp;" "&amp;Milestones!$AB$101&amp;" "&amp;Milestones!$AC$101&amp;";  ","")&amp;IF(AND(EDATE($D91,Milestones!$AA$102)&lt;=AsOfDate,IF($Q91=0,$W91,IF(AND($S91&lt;&gt;"",EDATE($D91,Milestones!$AA$102)&gt;=$S91),$V91,IF(AND($R91&lt;&gt;"",EDATE($D91,Milestones!$AA$102)&gt;=$R91),$U91,$T91)))=Milestones!$AB$102),TEXT(EDATE($D91,Milestones!$AA$102),"dd/mm/yy")&amp;" "&amp;Milestones!$AB$102&amp;" "&amp;Milestones!$AC$102&amp;";  ","")&amp;IF(AND(EDATE($D91,Milestones!$AA$103)&lt;=AsOfDate,IF($Q91=0,$W91,IF(AND($S91&lt;&gt;"",EDATE($D91,Milestones!$AA$103)&gt;=$S91),$V91,IF(AND($R91&lt;&gt;"",EDATE($D91,Milestones!$AA$103)&gt;=$R91),$U91,$T91)))=Milestones!$AB$103),TEXT(EDATE($D91,Milestones!$AA$103),"dd/mm/yy")&amp;" "&amp;Milestones!$AB$103&amp;" "&amp;Milestones!$AC$103&amp;";  ","")&amp;IF(AND(EDATE($D91,Milestones!$AA$104)&lt;=AsOfDate,IF($Q91=0,$W91,IF(AND($S91&lt;&gt;"",EDATE($D91,Milestones!$AA$104)&gt;=$S91),$V91,IF(AND($R91&lt;&gt;"",EDATE($D91,Milestones!$AA$104)&gt;=$R91),$U91,$T91)))=Milestones!$AB$104),TEXT(EDATE($D91,Milestones!$AA$104),"dd/mm/yy")&amp;" "&amp;Milestones!$AB$104&amp;" "&amp;Milestones!$AC$104&amp;";  ","")&amp;IF(AND(EDATE($D91,Milestones!$AA$105)&lt;=AsOfDate,IF($Q91=0,$W91,IF(AND($S91&lt;&gt;"",EDATE($D91,Milestones!$AA$105)&gt;=$S91),$V91,IF(AND($R91&lt;&gt;"",EDATE($D91,Milestones!$AA$105)&gt;=$R91),$U91,$T91)))=Milestones!$AB$105),TEXT(EDATE($D91,Milestones!$AA$105),"dd/mm/yy")&amp;" "&amp;Milestones!$AB$105&amp;" "&amp;Milestones!$AC$105&amp;";  ","")&amp;IF(AND(EDATE($D91,Milestones!$AA$106)&lt;=AsOfDate,IF($Q91=0,$W91,IF(AND($S91&lt;&gt;"",EDATE($D91,Milestones!$AA$106)&gt;=$S91),$V91,IF(AND($R91&lt;&gt;"",EDATE($D91,Milestones!$AA$106)&gt;=$R91),$U91,$T91)))=Milestones!$AB$106),TEXT(EDATE($D91,Milestones!$AA$106),"dd/mm/yy")&amp;" "&amp;Milestones!$AB$106&amp;" "&amp;Milestones!$AC$106&amp;";  ","")&amp;IF(AND(EDATE($D91,Milestones!$AA$107)&lt;=AsOfDate,IF($Q91=0,$W91,IF(AND($S91&lt;&gt;"",EDATE($D91,Milestones!$AA$107)&gt;=$S91),$V91,IF(AND($R91&lt;&gt;"",EDATE($D91,Milestones!$AA$107)&gt;=$R91),$U91,$T91)))=Milestones!$AB$107),TEXT(EDATE($D91,Milestones!$AA$107),"dd/mm/yy")&amp;" "&amp;Milestones!$AB$107&amp;" "&amp;Milestones!$AC$107&amp;";  ","")&amp;IF(AND(EDATE($D91,Milestones!$AA$108)&lt;=AsOfDate,IF($Q91=0,$W91,IF(AND($S91&lt;&gt;"",EDATE($D91,Milestones!$AA$108)&gt;=$S91),$V91,IF(AND($R91&lt;&gt;"",EDATE($D91,Milestones!$AA$108)&gt;=$R91),$U91,$T91)))=Milestones!$AB$108),TEXT(EDATE($D91,Milestones!$AA$108),"dd/mm/yy")&amp;" "&amp;Milestones!$AB$108&amp;" "&amp;Milestones!$AC$108&amp;";  ","")&amp;IF(AND(EDATE($D91,Milestones!$AA$109)&lt;=AsOfDate,IF($Q91=0,$W91,IF(AND($S91&lt;&gt;"",EDATE($D91,Milestones!$AA$109)&gt;=$S91),$V91,IF(AND($R91&lt;&gt;"",EDATE($D91,Milestones!$AA$109)&gt;=$R91),$U91,$T91)))=Milestones!$AB$109),TEXT(EDATE($D91,Milestones!$AA$109),"dd/mm/yy")&amp;" "&amp;Milestones!$AB$109&amp;" "&amp;Milestones!$AC$109&amp;";  ","")&amp;IF(AND(EDATE($D91,Milestones!$AA$110)&lt;=AsOfDate,IF($Q91=0,$W91,IF(AND($S91&lt;&gt;"",EDATE($D91,Milestones!$AA$110)&gt;=$S91),$V91,IF(AND($R91&lt;&gt;"",EDATE($D91,Milestones!$AA$110)&gt;=$R91),$U91,$T91)))=Milestones!$AB$110),TEXT(EDATE($D91,Milestones!$AA$110),"dd/mm/yy")&amp;" "&amp;Milestones!$AB$110&amp;" "&amp;Milestones!$AC$110&amp;";  ","")&amp;IF(AND(EDATE($D91,Milestones!$AA$111)&lt;=AsOfDate,IF($Q91=0,$W91,IF(AND($S91&lt;&gt;"",EDATE($D91,Milestones!$AA$111)&gt;=$S91),$V91,IF(AND($R91&lt;&gt;"",EDATE($D91,Milestones!$AA$111)&gt;=$R91),$U91,$T91)))=Milestones!$AB$111),TEXT(EDATE($D91,Milestones!$AA$111),"dd/mm/yy")&amp;" "&amp;Milestones!$AB$111&amp;" "&amp;Milestones!$AC$111&amp;";  ","")&amp;IF(AND(EDATE($D91,Milestones!$AA$112)&lt;=AsOfDate,IF($Q91=0,$W91,IF(AND($S91&lt;&gt;"",EDATE($D91,Milestones!$AA$112)&gt;=$S91),$V91,IF(AND($R91&lt;&gt;"",EDATE($D91,Milestones!$AA$112)&gt;=$R91),$U91,$T91)))=Milestones!$AB$112),TEXT(EDATE($D91,Milestones!$AA$112),"dd/mm/yy")&amp;" "&amp;Milestones!$AB$112&amp;" "&amp;Milestones!$AC$112&amp;";  ","")&amp;IF(AND(EDATE($D91,Milestones!$AA$113)&lt;=AsOfDate,IF($Q91=0,$W91,IF(AND($S91&lt;&gt;"",EDATE($D91,Milestones!$AA$113)&gt;=$S91),$V91,IF(AND($R91&lt;&gt;"",EDATE($D91,Milestones!$AA$113)&gt;=$R91),$U91,$T91)))=Milestones!$AB$113),TEXT(EDATE($D91,Milestones!$AA$113),"dd/mm/yy")&amp;" "&amp;Milestones!$AB$113&amp;" "&amp;Milestones!$AC$113&amp;";  ","")&amp;IF(AND(EDATE($D91,Milestones!$AA$114)&lt;=AsOfDate,IF($Q91=0,$W91,IF(AND($S91&lt;&gt;"",EDATE($D91,Milestones!$AA$114)&gt;=$S91),$V91,IF(AND($R91&lt;&gt;"",EDATE($D91,Milestones!$AA$114)&gt;=$R91),$U91,$T91)))=Milestones!$AB$114),TEXT(EDATE($D91,Milestones!$AA$114),"dd/mm/yy")&amp;" "&amp;Milestones!$AB$114&amp;" "&amp;Milestones!$AC$114&amp;";  ","")&amp;IF(AND(EDATE($D91,Milestones!$AA$115)&lt;=AsOfDate,IF($Q91=0,$W91,IF(AND($S91&lt;&gt;"",EDATE($D91,Milestones!$AA$115)&gt;=$S91),$V91,IF(AND($R91&lt;&gt;"",EDATE($D91,Milestones!$AA$115)&gt;=$R91),$U91,$T91)))=Milestones!$AB$115),TEXT(EDATE($D91,Milestones!$AA$115),"dd/mm/yy")&amp;" "&amp;Milestones!$AB$115&amp;" "&amp;Milestones!$AC$115&amp;";  ","")&amp;IF(AND(EDATE($D91,Milestones!$AA$116)&lt;=AsOfDate,IF($Q91=0,$W91,IF(AND($S91&lt;&gt;"",EDATE($D91,Milestones!$AA$116)&gt;=$S91),$V91,IF(AND($R91&lt;&gt;"",EDATE($D91,Milestones!$AA$116)&gt;=$R91),$U91,$T91)))=Milestones!$AB$116),TEXT(EDATE($D91,Milestones!$AA$116),"dd/mm/yy")&amp;" "&amp;Milestones!$AB$116&amp;" "&amp;Milestones!$AC$116&amp;";  ","")&amp;IF(AND(EDATE($D91,Milestones!$AA$117)&lt;=AsOfDate,IF($Q91=0,$W91,IF(AND($S91&lt;&gt;"",EDATE($D91,Milestones!$AA$117)&gt;=$S91),$V91,IF(AND($R91&lt;&gt;"",EDATE($D91,Milestones!$AA$117)&gt;=$R91),$U91,$T91)))=Milestones!$AB$117),TEXT(EDATE($D91,Milestones!$AA$117),"dd/mm/yy")&amp;" "&amp;Milestones!$AB$117&amp;" "&amp;Milestones!$AC$117&amp;";  ","")&amp;IF(AND(EDATE($D91,Milestones!$AA$118)&lt;=AsOfDate,IF($Q91=0,$W91,IF(AND($S91&lt;&gt;"",EDATE($D91,Milestones!$AA$118)&gt;=$S91),$V91,IF(AND($R91&lt;&gt;"",EDATE($D91,Milestones!$AA$118)&gt;=$R91),$U91,$T91)))=Milestones!$AB$118),TEXT(EDATE($D91,Milestones!$AA$118),"dd/mm/yy")&amp;" "&amp;Milestones!$AB$118&amp;" "&amp;Milestones!$AC$118&amp;";  ","")&amp;IF(AND(EDATE($D91,Milestones!$AA$119)&lt;=AsOfDate,IF($Q91=0,$W91,IF(AND($S91&lt;&gt;"",EDATE($D91,Milestones!$AA$119)&gt;=$S91),$V91,IF(AND($R91&lt;&gt;"",EDATE($D91,Milestones!$AA$119)&gt;=$R91),$U91,$T91)))=Milestones!$AB$119),TEXT(EDATE($D91,Milestones!$AA$119),"dd/mm/yy")&amp;" "&amp;Milestones!$AB$119&amp;" "&amp;Milestones!$AC$119&amp;";  ",""))</f>
        <v/>
      </c>
      <c r="M91" s="0" t="str">
        <f aca="false">IF(OR($A91="",$D91=""),"",IF(AND(EDATE($D91,Milestones!$AA$120)&lt;=AsOfDate,IF($Q91=0,$W91,IF(AND($S91&lt;&gt;"",EDATE($D91,Milestones!$AA$120)&gt;=$S91),$V91,IF(AND($R91&lt;&gt;"",EDATE($D91,Milestones!$AA$120)&gt;=$R91),$U91,$T91)))=Milestones!$AB$120),TEXT(EDATE($D91,Milestones!$AA$120),"dd/mm/yy")&amp;" "&amp;Milestones!$AB$120&amp;" "&amp;Milestones!$AC$120&amp;";  ","")&amp;IF(AND(EDATE($D91,Milestones!$AA$121)&lt;=AsOfDate,IF($Q91=0,$W91,IF(AND($S91&lt;&gt;"",EDATE($D91,Milestones!$AA$121)&gt;=$S91),$V91,IF(AND($R91&lt;&gt;"",EDATE($D91,Milestones!$AA$121)&gt;=$R91),$U91,$T91)))=Milestones!$AB$121),TEXT(EDATE($D91,Milestones!$AA$121),"dd/mm/yy")&amp;" "&amp;Milestones!$AB$121&amp;" "&amp;Milestones!$AC$121&amp;";  ","")&amp;IF(AND(EDATE($D91,Milestones!$AA$122)&lt;=AsOfDate,IF($Q91=0,$W91,IF(AND($S91&lt;&gt;"",EDATE($D91,Milestones!$AA$122)&gt;=$S91),$V91,IF(AND($R91&lt;&gt;"",EDATE($D91,Milestones!$AA$122)&gt;=$R91),$U91,$T91)))=Milestones!$AB$122),TEXT(EDATE($D91,Milestones!$AA$122),"dd/mm/yy")&amp;" "&amp;Milestones!$AB$122&amp;" "&amp;Milestones!$AC$122&amp;";  ","")&amp;IF(AND(EDATE($D91,Milestones!$AA$123)&lt;=AsOfDate,IF($Q91=0,$W91,IF(AND($S91&lt;&gt;"",EDATE($D91,Milestones!$AA$123)&gt;=$S91),$V91,IF(AND($R91&lt;&gt;"",EDATE($D91,Milestones!$AA$123)&gt;=$R91),$U91,$T91)))=Milestones!$AB$123),TEXT(EDATE($D91,Milestones!$AA$123),"dd/mm/yy")&amp;" "&amp;Milestones!$AB$123&amp;" "&amp;Milestones!$AC$123&amp;";  ","")&amp;IF(AND(EDATE($D91,Milestones!$AA$124)&lt;=AsOfDate,IF($Q91=0,$W91,IF(AND($S91&lt;&gt;"",EDATE($D91,Milestones!$AA$124)&gt;=$S91),$V91,IF(AND($R91&lt;&gt;"",EDATE($D91,Milestones!$AA$124)&gt;=$R91),$U91,$T91)))=Milestones!$AB$124),TEXT(EDATE($D91,Milestones!$AA$124),"dd/mm/yy")&amp;" "&amp;Milestones!$AB$124&amp;" "&amp;Milestones!$AC$124&amp;";  ","")&amp;IF(AND(EDATE($D91,Milestones!$AA$125)&lt;=AsOfDate,IF($Q91=0,$W91,IF(AND($S91&lt;&gt;"",EDATE($D91,Milestones!$AA$125)&gt;=$S91),$V91,IF(AND($R91&lt;&gt;"",EDATE($D91,Milestones!$AA$125)&gt;=$R91),$U91,$T91)))=Milestones!$AB$125),TEXT(EDATE($D91,Milestones!$AA$125),"dd/mm/yy")&amp;" "&amp;Milestones!$AB$125&amp;" "&amp;Milestones!$AC$125&amp;";  ","")&amp;IF(AND(EDATE($D91,Milestones!$AA$126)&lt;=AsOfDate,IF($Q91=0,$W91,IF(AND($S91&lt;&gt;"",EDATE($D91,Milestones!$AA$126)&gt;=$S91),$V91,IF(AND($R91&lt;&gt;"",EDATE($D91,Milestones!$AA$126)&gt;=$R91),$U91,$T91)))=Milestones!$AB$126),TEXT(EDATE($D91,Milestones!$AA$126),"dd/mm/yy")&amp;" "&amp;Milestones!$AB$126&amp;" "&amp;Milestones!$AC$126&amp;";  ","")&amp;IF(AND(EDATE($D91,Milestones!$AA$127)&lt;=AsOfDate,IF($Q91=0,$W91,IF(AND($S91&lt;&gt;"",EDATE($D91,Milestones!$AA$127)&gt;=$S91),$V91,IF(AND($R91&lt;&gt;"",EDATE($D91,Milestones!$AA$127)&gt;=$R91),$U91,$T91)))=Milestones!$AB$127),TEXT(EDATE($D91,Milestones!$AA$127),"dd/mm/yy")&amp;" "&amp;Milestones!$AB$127&amp;" "&amp;Milestones!$AC$127&amp;";  ","")&amp;IF(AND(EDATE($D91,Milestones!$AA$128)&lt;=AsOfDate,IF($Q91=0,$W91,IF(AND($S91&lt;&gt;"",EDATE($D91,Milestones!$AA$128)&gt;=$S91),$V91,IF(AND($R91&lt;&gt;"",EDATE($D91,Milestones!$AA$128)&gt;=$R91),$U91,$T91)))=Milestones!$AB$128),TEXT(EDATE($D91,Milestones!$AA$128),"dd/mm/yy")&amp;" "&amp;Milestones!$AB$128&amp;" "&amp;Milestones!$AC$128&amp;";  ","")&amp;IF(AND(EDATE($D91,Milestones!$AA$129)&lt;=AsOfDate,IF($Q91=0,$W91,IF(AND($S91&lt;&gt;"",EDATE($D91,Milestones!$AA$129)&gt;=$S91),$V91,IF(AND($R91&lt;&gt;"",EDATE($D91,Milestones!$AA$129)&gt;=$R91),$U91,$T91)))=Milestones!$AB$129),TEXT(EDATE($D91,Milestones!$AA$129),"dd/mm/yy")&amp;" "&amp;Milestones!$AB$129&amp;" "&amp;Milestones!$AC$129&amp;";  ","")&amp;IF(AND(EDATE($D91,Milestones!$AA$130)&lt;=AsOfDate,IF($Q91=0,$W91,IF(AND($S91&lt;&gt;"",EDATE($D91,Milestones!$AA$130)&gt;=$S91),$V91,IF(AND($R91&lt;&gt;"",EDATE($D91,Milestones!$AA$130)&gt;=$R91),$U91,$T91)))=Milestones!$AB$130),TEXT(EDATE($D91,Milestones!$AA$130),"dd/mm/yy")&amp;" "&amp;Milestones!$AB$130&amp;" "&amp;Milestones!$AC$130&amp;";  ","")&amp;IF(AND(EDATE($D91,Milestones!$AA$131)&lt;=AsOfDate,IF($Q91=0,$W91,IF(AND($S91&lt;&gt;"",EDATE($D91,Milestones!$AA$131)&gt;=$S91),$V91,IF(AND($R91&lt;&gt;"",EDATE($D91,Milestones!$AA$131)&gt;=$R91),$U91,$T91)))=Milestones!$AB$131),TEXT(EDATE($D91,Milestones!$AA$131),"dd/mm/yy")&amp;" "&amp;Milestones!$AB$131&amp;" "&amp;Milestones!$AC$131&amp;";  ","")&amp;IF(AND(EDATE($D91,Milestones!$AA$132)&lt;=AsOfDate,IF($Q91=0,$W91,IF(AND($S91&lt;&gt;"",EDATE($D91,Milestones!$AA$132)&gt;=$S91),$V91,IF(AND($R91&lt;&gt;"",EDATE($D91,Milestones!$AA$132)&gt;=$R91),$U91,$T91)))=Milestones!$AB$132),TEXT(EDATE($D91,Milestones!$AA$132),"dd/mm/yy")&amp;" "&amp;Milestones!$AB$132&amp;" "&amp;Milestones!$AC$132&amp;";  ","")&amp;IF(AND(EDATE($D91,Milestones!$AA$133)&lt;=AsOfDate,IF($Q91=0,$W91,IF(AND($S91&lt;&gt;"",EDATE($D91,Milestones!$AA$133)&gt;=$S91),$V91,IF(AND($R91&lt;&gt;"",EDATE($D91,Milestones!$AA$133)&gt;=$R91),$U91,$T91)))=Milestones!$AB$133),TEXT(EDATE($D91,Milestones!$AA$133),"dd/mm/yy")&amp;" "&amp;Milestones!$AB$133&amp;" "&amp;Milestones!$AC$133&amp;";  ","")&amp;IF(AND(EDATE($D91,Milestones!$AA$134)&lt;=AsOfDate,IF($Q91=0,$W91,IF(AND($S91&lt;&gt;"",EDATE($D91,Milestones!$AA$134)&gt;=$S91),$V91,IF(AND($R91&lt;&gt;"",EDATE($D91,Milestones!$AA$134)&gt;=$R91),$U91,$T91)))=Milestones!$AB$134),TEXT(EDATE($D91,Milestones!$AA$134),"dd/mm/yy")&amp;" "&amp;Milestones!$AB$134&amp;" "&amp;Milestones!$AC$134&amp;";  ","")&amp;IF(AND(EDATE($D91,Milestones!$AA$135)&lt;=AsOfDate,IF($Q91=0,$W91,IF(AND($S91&lt;&gt;"",EDATE($D91,Milestones!$AA$135)&gt;=$S91),$V91,IF(AND($R91&lt;&gt;"",EDATE($D91,Milestones!$AA$135)&gt;=$R91),$U91,$T91)))=Milestones!$AB$135),TEXT(EDATE($D91,Milestones!$AA$135),"dd/mm/yy")&amp;" "&amp;Milestones!$AB$135&amp;" "&amp;Milestones!$AC$135&amp;";  ","")&amp;IF(AND(EDATE($D91,Milestones!$AA$136)&lt;=AsOfDate,IF($Q91=0,$W91,IF(AND($S91&lt;&gt;"",EDATE($D91,Milestones!$AA$136)&gt;=$S91),$V91,IF(AND($R91&lt;&gt;"",EDATE($D91,Milestones!$AA$136)&gt;=$R91),$U91,$T91)))=Milestones!$AB$136),TEXT(EDATE($D91,Milestones!$AA$136),"dd/mm/yy")&amp;" "&amp;Milestones!$AB$136&amp;" "&amp;Milestones!$AC$136&amp;";  ","")&amp;IF(AND(EDATE($D91,Milestones!$AA$137)&lt;=AsOfDate,IF($Q91=0,$W91,IF(AND($S91&lt;&gt;"",EDATE($D91,Milestones!$AA$137)&gt;=$S91),$V91,IF(AND($R91&lt;&gt;"",EDATE($D91,Milestones!$AA$137)&gt;=$R91),$U91,$T91)))=Milestones!$AB$137),TEXT(EDATE($D91,Milestones!$AA$137),"dd/mm/yy")&amp;" "&amp;Milestones!$AB$137&amp;" "&amp;Milestones!$AC$137&amp;";  ","")&amp;IF(AND(EDATE($D91,Milestones!$AA$138)&lt;=AsOfDate,IF($Q91=0,$W91,IF(AND($S91&lt;&gt;"",EDATE($D91,Milestones!$AA$138)&gt;=$S91),$V91,IF(AND($R91&lt;&gt;"",EDATE($D91,Milestones!$AA$138)&gt;=$R91),$U91,$T91)))=Milestones!$AB$138),TEXT(EDATE($D91,Milestones!$AA$138),"dd/mm/yy")&amp;" "&amp;Milestones!$AB$138&amp;" "&amp;Milestones!$AC$138&amp;";  ","")&amp;IF(AND(EDATE($D91,Milestones!$AA$139)&lt;=AsOfDate,IF($Q91=0,$W91,IF(AND($S91&lt;&gt;"",EDATE($D91,Milestones!$AA$139)&gt;=$S91),$V91,IF(AND($R91&lt;&gt;"",EDATE($D91,Milestones!$AA$139)&gt;=$R91),$U91,$T91)))=Milestones!$AB$139),TEXT(EDATE($D91,Milestones!$AA$139),"dd/mm/yy")&amp;" "&amp;Milestones!$AB$139&amp;" "&amp;Milestones!$AC$139&amp;";  ",""))</f>
        <v/>
      </c>
      <c r="N91" s="0" t="str">
        <f aca="false">IF(OR($A91="",$D91=""),"",IF(AND(EDATE($D91,Milestones!$AA$140)&lt;=AsOfDate,IF($Q91=0,$W91,IF(AND($S91&lt;&gt;"",EDATE($D91,Milestones!$AA$140)&gt;=$S91),$V91,IF(AND($R91&lt;&gt;"",EDATE($D91,Milestones!$AA$140)&gt;=$R91),$U91,$T91)))=Milestones!$AB$140),TEXT(EDATE($D91,Milestones!$AA$140),"dd/mm/yy")&amp;" "&amp;Milestones!$AB$140&amp;" "&amp;Milestones!$AC$140&amp;";  ","")&amp;IF(AND(EDATE($D91,Milestones!$AA$141)&lt;=AsOfDate,IF($Q91=0,$W91,IF(AND($S91&lt;&gt;"",EDATE($D91,Milestones!$AA$141)&gt;=$S91),$V91,IF(AND($R91&lt;&gt;"",EDATE($D91,Milestones!$AA$141)&gt;=$R91),$U91,$T91)))=Milestones!$AB$141),TEXT(EDATE($D91,Milestones!$AA$141),"dd/mm/yy")&amp;" "&amp;Milestones!$AB$141&amp;" "&amp;Milestones!$AC$141&amp;";  ","")&amp;IF(AND(EDATE($D91,Milestones!$AA$142)&lt;=AsOfDate,IF($Q91=0,$W91,IF(AND($S91&lt;&gt;"",EDATE($D91,Milestones!$AA$142)&gt;=$S91),$V91,IF(AND($R91&lt;&gt;"",EDATE($D91,Milestones!$AA$142)&gt;=$R91),$U91,$T91)))=Milestones!$AB$142),TEXT(EDATE($D91,Milestones!$AA$142),"dd/mm/yy")&amp;" "&amp;Milestones!$AB$142&amp;" "&amp;Milestones!$AC$142&amp;";  ","")&amp;IF(AND(EDATE($D91,Milestones!$AA$143)&lt;=AsOfDate,IF($Q91=0,$W91,IF(AND($S91&lt;&gt;"",EDATE($D91,Milestones!$AA$143)&gt;=$S91),$V91,IF(AND($R91&lt;&gt;"",EDATE($D91,Milestones!$AA$143)&gt;=$R91),$U91,$T91)))=Milestones!$AB$143),TEXT(EDATE($D91,Milestones!$AA$143),"dd/mm/yy")&amp;" "&amp;Milestones!$AB$143&amp;" "&amp;Milestones!$AC$143&amp;";  ","")&amp;IF(AND(EDATE($D91,Milestones!$AA$144)&lt;=AsOfDate,IF($Q91=0,$W91,IF(AND($S91&lt;&gt;"",EDATE($D91,Milestones!$AA$144)&gt;=$S91),$V91,IF(AND($R91&lt;&gt;"",EDATE($D91,Milestones!$AA$144)&gt;=$R91),$U91,$T91)))=Milestones!$AB$144),TEXT(EDATE($D91,Milestones!$AA$144),"dd/mm/yy")&amp;" "&amp;Milestones!$AB$144&amp;" "&amp;Milestones!$AC$144&amp;";  ","")&amp;IF(AND(EDATE($D91,Milestones!$AA$145)&lt;=AsOfDate,IF($Q91=0,$W91,IF(AND($S91&lt;&gt;"",EDATE($D91,Milestones!$AA$145)&gt;=$S91),$V91,IF(AND($R91&lt;&gt;"",EDATE($D91,Milestones!$AA$145)&gt;=$R91),$U91,$T91)))=Milestones!$AB$145),TEXT(EDATE($D91,Milestones!$AA$145),"dd/mm/yy")&amp;" "&amp;Milestones!$AB$145&amp;" "&amp;Milestones!$AC$145&amp;";  ","")&amp;IF(AND(EDATE($D91,Milestones!$AA$146)&lt;=AsOfDate,IF($Q91=0,$W91,IF(AND($S91&lt;&gt;"",EDATE($D91,Milestones!$AA$146)&gt;=$S91),$V91,IF(AND($R91&lt;&gt;"",EDATE($D91,Milestones!$AA$146)&gt;=$R91),$U91,$T91)))=Milestones!$AB$146),TEXT(EDATE($D91,Milestones!$AA$146),"dd/mm/yy")&amp;" "&amp;Milestones!$AB$146&amp;" "&amp;Milestones!$AC$146&amp;";  ","")&amp;IF(AND(EDATE($D91,Milestones!$AA$147)&lt;=AsOfDate,IF($Q91=0,$W91,IF(AND($S91&lt;&gt;"",EDATE($D91,Milestones!$AA$147)&gt;=$S91),$V91,IF(AND($R91&lt;&gt;"",EDATE($D91,Milestones!$AA$147)&gt;=$R91),$U91,$T91)))=Milestones!$AB$147),TEXT(EDATE($D91,Milestones!$AA$147),"dd/mm/yy")&amp;" "&amp;Milestones!$AB$147&amp;" "&amp;Milestones!$AC$147&amp;";  ","")&amp;IF(AND(EDATE($D91,Milestones!$AA$148)&lt;=AsOfDate,IF($Q91=0,$W91,IF(AND($S91&lt;&gt;"",EDATE($D91,Milestones!$AA$148)&gt;=$S91),$V91,IF(AND($R91&lt;&gt;"",EDATE($D91,Milestones!$AA$148)&gt;=$R91),$U91,$T91)))=Milestones!$AB$148),TEXT(EDATE($D91,Milestones!$AA$148),"dd/mm/yy")&amp;" "&amp;Milestones!$AB$148&amp;" "&amp;Milestones!$AC$148&amp;";  ","")&amp;IF(AND(EDATE($D91,Milestones!$AA$149)&lt;=AsOfDate,IF($Q91=0,$W91,IF(AND($S91&lt;&gt;"",EDATE($D91,Milestones!$AA$149)&gt;=$S91),$V91,IF(AND($R91&lt;&gt;"",EDATE($D91,Milestones!$AA$149)&gt;=$R91),$U91,$T91)))=Milestones!$AB$149),TEXT(EDATE($D91,Milestones!$AA$149),"dd/mm/yy")&amp;" "&amp;Milestones!$AB$149&amp;" "&amp;Milestones!$AC$149&amp;";  ","")&amp;IF(AND(EDATE($D91,Milestones!$AA$150)&lt;=AsOfDate,IF($Q91=0,$W91,IF(AND($S91&lt;&gt;"",EDATE($D91,Milestones!$AA$150)&gt;=$S91),$V91,IF(AND($R91&lt;&gt;"",EDATE($D91,Milestones!$AA$150)&gt;=$R91),$U91,$T91)))=Milestones!$AB$150),TEXT(EDATE($D91,Milestones!$AA$150),"dd/mm/yy")&amp;" "&amp;Milestones!$AB$150&amp;" "&amp;Milestones!$AC$150&amp;";  ","")&amp;IF(AND(EDATE($D91,Milestones!$AA$151)&lt;=AsOfDate,IF($Q91=0,$W91,IF(AND($S91&lt;&gt;"",EDATE($D91,Milestones!$AA$151)&gt;=$S91),$V91,IF(AND($R91&lt;&gt;"",EDATE($D91,Milestones!$AA$151)&gt;=$R91),$U91,$T91)))=Milestones!$AB$151),TEXT(EDATE($D91,Milestones!$AA$151),"dd/mm/yy")&amp;" "&amp;Milestones!$AB$151&amp;" "&amp;Milestones!$AC$151&amp;";  ","")&amp;IF(AND(EDATE($D91,Milestones!$AA$152)&lt;=AsOfDate,IF($Q91=0,$W91,IF(AND($S91&lt;&gt;"",EDATE($D91,Milestones!$AA$152)&gt;=$S91),$V91,IF(AND($R91&lt;&gt;"",EDATE($D91,Milestones!$AA$152)&gt;=$R91),$U91,$T91)))=Milestones!$AB$152),TEXT(EDATE($D91,Milestones!$AA$152),"dd/mm/yy")&amp;" "&amp;Milestones!$AB$152&amp;" "&amp;Milestones!$AC$152&amp;";  ","")&amp;IF(AND(EDATE($D91,Milestones!$AA$153)&lt;=AsOfDate,IF($Q91=0,$W91,IF(AND($S91&lt;&gt;"",EDATE($D91,Milestones!$AA$153)&gt;=$S91),$V91,IF(AND($R91&lt;&gt;"",EDATE($D91,Milestones!$AA$153)&gt;=$R91),$U91,$T91)))=Milestones!$AB$153),TEXT(EDATE($D91,Milestones!$AA$153),"dd/mm/yy")&amp;" "&amp;Milestones!$AB$153&amp;" "&amp;Milestones!$AC$153&amp;";  ","")&amp;IF(AND(EDATE($D91,Milestones!$AA$154)&lt;=AsOfDate,IF($Q91=0,$W91,IF(AND($S91&lt;&gt;"",EDATE($D91,Milestones!$AA$154)&gt;=$S91),$V91,IF(AND($R91&lt;&gt;"",EDATE($D91,Milestones!$AA$154)&gt;=$R91),$U91,$T91)))=Milestones!$AB$154),TEXT(EDATE($D91,Milestones!$AA$154),"dd/mm/yy")&amp;" "&amp;Milestones!$AB$154&amp;" "&amp;Milestones!$AC$154&amp;";  ","")&amp;IF(AND(EDATE($D91,Milestones!$AA$155)&lt;=AsOfDate,IF($Q91=0,$W91,IF(AND($S91&lt;&gt;"",EDATE($D91,Milestones!$AA$155)&gt;=$S91),$V91,IF(AND($R91&lt;&gt;"",EDATE($D91,Milestones!$AA$155)&gt;=$R91),$U91,$T91)))=Milestones!$AB$155),TEXT(EDATE($D91,Milestones!$AA$155),"dd/mm/yy")&amp;" "&amp;Milestones!$AB$155&amp;" "&amp;Milestones!$AC$155&amp;";  ","")&amp;IF(AND(EDATE($D91,Milestones!$AA$156)&lt;=AsOfDate,IF($Q91=0,$W91,IF(AND($S91&lt;&gt;"",EDATE($D91,Milestones!$AA$156)&gt;=$S91),$V91,IF(AND($R91&lt;&gt;"",EDATE($D91,Milestones!$AA$156)&gt;=$R91),$U91,$T91)))=Milestones!$AB$156),TEXT(EDATE($D91,Milestones!$AA$156),"dd/mm/yy")&amp;" "&amp;Milestones!$AB$156&amp;" "&amp;Milestones!$AC$156&amp;";  ","")&amp;IF(AND(EDATE($D91,Milestones!$AA$157)&lt;=AsOfDate,IF($Q91=0,$W91,IF(AND($S91&lt;&gt;"",EDATE($D91,Milestones!$AA$157)&gt;=$S91),$V91,IF(AND($R91&lt;&gt;"",EDATE($D91,Milestones!$AA$157)&gt;=$R91),$U91,$T91)))=Milestones!$AB$157),TEXT(EDATE($D91,Milestones!$AA$157),"dd/mm/yy")&amp;" "&amp;Milestones!$AB$157&amp;" "&amp;Milestones!$AC$157&amp;";  ","")&amp;IF(AND(EDATE($D91,Milestones!$AA$158)&lt;=AsOfDate,IF($Q91=0,$W91,IF(AND($S91&lt;&gt;"",EDATE($D91,Milestones!$AA$158)&gt;=$S91),$V91,IF(AND($R91&lt;&gt;"",EDATE($D91,Milestones!$AA$158)&gt;=$R91),$U91,$T91)))=Milestones!$AB$158),TEXT(EDATE($D91,Milestones!$AA$158),"dd/mm/yy")&amp;" "&amp;Milestones!$AB$158&amp;" "&amp;Milestones!$AC$158&amp;";  ","")&amp;IF(AND(EDATE($D91,Milestones!$AA$159)&lt;=AsOfDate,IF($Q91=0,$W91,IF(AND($S91&lt;&gt;"",EDATE($D91,Milestones!$AA$159)&gt;=$S91),$V91,IF(AND($R91&lt;&gt;"",EDATE($D91,Milestones!$AA$159)&gt;=$R91),$U91,$T91)))=Milestones!$AB$159),TEXT(EDATE($D91,Milestones!$AA$159),"dd/mm/yy")&amp;" "&amp;Milestones!$AB$159&amp;" "&amp;Milestones!$AC$159&amp;";  ",""))</f>
        <v/>
      </c>
      <c r="O91" s="0" t="str">
        <f aca="false">IF(OR($A91="",$D91=""),"",IF(AND(EDATE($D91,Milestones!$AA$160)&lt;=AsOfDate,IF($Q91=0,$W91,IF(AND($S91&lt;&gt;"",EDATE($D91,Milestones!$AA$160)&gt;=$S91),$V91,IF(AND($R91&lt;&gt;"",EDATE($D91,Milestones!$AA$160)&gt;=$R91),$U91,$T91)))=Milestones!$AB$160),TEXT(EDATE($D91,Milestones!$AA$160),"dd/mm/yy")&amp;" "&amp;Milestones!$AB$160&amp;" "&amp;Milestones!$AC$160&amp;";  ","")&amp;IF(AND(EDATE($D91,Milestones!$AA$161)&lt;=AsOfDate,IF($Q91=0,$W91,IF(AND($S91&lt;&gt;"",EDATE($D91,Milestones!$AA$161)&gt;=$S91),$V91,IF(AND($R91&lt;&gt;"",EDATE($D91,Milestones!$AA$161)&gt;=$R91),$U91,$T91)))=Milestones!$AB$161),TEXT(EDATE($D91,Milestones!$AA$161),"dd/mm/yy")&amp;" "&amp;Milestones!$AB$161&amp;" "&amp;Milestones!$AC$161&amp;";  ","")&amp;IF(AND(EDATE($D91,Milestones!$AA$162)&lt;=AsOfDate,IF($Q91=0,$W91,IF(AND($S91&lt;&gt;"",EDATE($D91,Milestones!$AA$162)&gt;=$S91),$V91,IF(AND($R91&lt;&gt;"",EDATE($D91,Milestones!$AA$162)&gt;=$R91),$U91,$T91)))=Milestones!$AB$162),TEXT(EDATE($D91,Milestones!$AA$162),"dd/mm/yy")&amp;" "&amp;Milestones!$AB$162&amp;" "&amp;Milestones!$AC$162&amp;";  ","")&amp;IF(AND(EDATE($D91,Milestones!$AA$163)&lt;=AsOfDate,IF($Q91=0,$W91,IF(AND($S91&lt;&gt;"",EDATE($D91,Milestones!$AA$163)&gt;=$S91),$V91,IF(AND($R91&lt;&gt;"",EDATE($D91,Milestones!$AA$163)&gt;=$R91),$U91,$T91)))=Milestones!$AB$163),TEXT(EDATE($D91,Milestones!$AA$163),"dd/mm/yy")&amp;" "&amp;Milestones!$AB$163&amp;" "&amp;Milestones!$AC$163&amp;";  ","")&amp;IF(AND(EDATE($D91,Milestones!$AA$164)&lt;=AsOfDate,IF($Q91=0,$W91,IF(AND($S91&lt;&gt;"",EDATE($D91,Milestones!$AA$164)&gt;=$S91),$V91,IF(AND($R91&lt;&gt;"",EDATE($D91,Milestones!$AA$164)&gt;=$R91),$U91,$T91)))=Milestones!$AB$164),TEXT(EDATE($D91,Milestones!$AA$164),"dd/mm/yy")&amp;" "&amp;Milestones!$AB$164&amp;" "&amp;Milestones!$AC$164&amp;";  ","")&amp;IF(AND(EDATE($D91,Milestones!$AA$165)&lt;=AsOfDate,IF($Q91=0,$W91,IF(AND($S91&lt;&gt;"",EDATE($D91,Milestones!$AA$165)&gt;=$S91),$V91,IF(AND($R91&lt;&gt;"",EDATE($D91,Milestones!$AA$165)&gt;=$R91),$U91,$T91)))=Milestones!$AB$165),TEXT(EDATE($D91,Milestones!$AA$165),"dd/mm/yy")&amp;" "&amp;Milestones!$AB$165&amp;" "&amp;Milestones!$AC$165&amp;";  ","")&amp;IF(AND(EDATE($D91,Milestones!$AA$166)&lt;=AsOfDate,IF($Q91=0,$W91,IF(AND($S91&lt;&gt;"",EDATE($D91,Milestones!$AA$166)&gt;=$S91),$V91,IF(AND($R91&lt;&gt;"",EDATE($D91,Milestones!$AA$166)&gt;=$R91),$U91,$T91)))=Milestones!$AB$166),TEXT(EDATE($D91,Milestones!$AA$166),"dd/mm/yy")&amp;" "&amp;Milestones!$AB$166&amp;" "&amp;Milestones!$AC$166&amp;";  ","")&amp;IF(AND(EDATE($D91,Milestones!$AA$167)&lt;=AsOfDate,IF($Q91=0,$W91,IF(AND($S91&lt;&gt;"",EDATE($D91,Milestones!$AA$167)&gt;=$S91),$V91,IF(AND($R91&lt;&gt;"",EDATE($D91,Milestones!$AA$167)&gt;=$R91),$U91,$T91)))=Milestones!$AB$167),TEXT(EDATE($D91,Milestones!$AA$167),"dd/mm/yy")&amp;" "&amp;Milestones!$AB$167&amp;" "&amp;Milestones!$AC$167&amp;";  ","")&amp;IF(AND(EDATE($D91,Milestones!$AA$168)&lt;=AsOfDate,IF($Q91=0,$W91,IF(AND($S91&lt;&gt;"",EDATE($D91,Milestones!$AA$168)&gt;=$S91),$V91,IF(AND($R91&lt;&gt;"",EDATE($D91,Milestones!$AA$168)&gt;=$R91),$U91,$T91)))=Milestones!$AB$168),TEXT(EDATE($D91,Milestones!$AA$168),"dd/mm/yy")&amp;" "&amp;Milestones!$AB$168&amp;" "&amp;Milestones!$AC$168&amp;";  ","")&amp;IF(AND(EDATE($D91,Milestones!$AA$169)&lt;=AsOfDate,IF($Q91=0,$W91,IF(AND($S91&lt;&gt;"",EDATE($D91,Milestones!$AA$169)&gt;=$S91),$V91,IF(AND($R91&lt;&gt;"",EDATE($D91,Milestones!$AA$169)&gt;=$R91),$U91,$T91)))=Milestones!$AB$169),TEXT(EDATE($D91,Milestones!$AA$169),"dd/mm/yy")&amp;" "&amp;Milestones!$AB$169&amp;" "&amp;Milestones!$AC$169&amp;";  ","")&amp;IF(AND(EDATE($D91,Milestones!$AA$170)&lt;=AsOfDate,IF($Q91=0,$W91,IF(AND($S91&lt;&gt;"",EDATE($D91,Milestones!$AA$170)&gt;=$S91),$V91,IF(AND($R91&lt;&gt;"",EDATE($D91,Milestones!$AA$170)&gt;=$R91),$U91,$T91)))=Milestones!$AB$170),TEXT(EDATE($D91,Milestones!$AA$170),"dd/mm/yy")&amp;" "&amp;Milestones!$AB$170&amp;" "&amp;Milestones!$AC$170&amp;";  ","")&amp;IF(AND(EDATE($D91,Milestones!$AA$171)&lt;=AsOfDate,IF($Q91=0,$W91,IF(AND($S91&lt;&gt;"",EDATE($D91,Milestones!$AA$171)&gt;=$S91),$V91,IF(AND($R91&lt;&gt;"",EDATE($D91,Milestones!$AA$171)&gt;=$R91),$U91,$T91)))=Milestones!$AB$171),TEXT(EDATE($D91,Milestones!$AA$171),"dd/mm/yy")&amp;" "&amp;Milestones!$AB$171&amp;" "&amp;Milestones!$AC$171&amp;";  ","")&amp;IF(AND(EDATE($D91,Milestones!$AA$172)&lt;=AsOfDate,IF($Q91=0,$W91,IF(AND($S91&lt;&gt;"",EDATE($D91,Milestones!$AA$172)&gt;=$S91),$V91,IF(AND($R91&lt;&gt;"",EDATE($D91,Milestones!$AA$172)&gt;=$R91),$U91,$T91)))=Milestones!$AB$172),TEXT(EDATE($D91,Milestones!$AA$172),"dd/mm/yy")&amp;" "&amp;Milestones!$AB$172&amp;" "&amp;Milestones!$AC$172&amp;";  ","")&amp;IF(AND(EDATE($D91,Milestones!$AA$173)&lt;=AsOfDate,IF($Q91=0,$W91,IF(AND($S91&lt;&gt;"",EDATE($D91,Milestones!$AA$173)&gt;=$S91),$V91,IF(AND($R91&lt;&gt;"",EDATE($D91,Milestones!$AA$173)&gt;=$R91),$U91,$T91)))=Milestones!$AB$173),TEXT(EDATE($D91,Milestones!$AA$173),"dd/mm/yy")&amp;" "&amp;Milestones!$AB$173&amp;" "&amp;Milestones!$AC$173&amp;";  ","")&amp;IF(AND(EDATE($D91,Milestones!$AA$174)&lt;=AsOfDate,IF($Q91=0,$W91,IF(AND($S91&lt;&gt;"",EDATE($D91,Milestones!$AA$174)&gt;=$S91),$V91,IF(AND($R91&lt;&gt;"",EDATE($D91,Milestones!$AA$174)&gt;=$R91),$U91,$T91)))=Milestones!$AB$174),TEXT(EDATE($D91,Milestones!$AA$174),"dd/mm/yy")&amp;" "&amp;Milestones!$AB$174&amp;" "&amp;Milestones!$AC$174&amp;";  ","")&amp;IF(AND(EDATE($D91,Milestones!$AA$175)&lt;=AsOfDate,IF($Q91=0,$W91,IF(AND($S91&lt;&gt;"",EDATE($D91,Milestones!$AA$175)&gt;=$S91),$V91,IF(AND($R91&lt;&gt;"",EDATE($D91,Milestones!$AA$175)&gt;=$R91),$U91,$T91)))=Milestones!$AB$175),TEXT(EDATE($D91,Milestones!$AA$175),"dd/mm/yy")&amp;" "&amp;Milestones!$AB$175&amp;" "&amp;Milestones!$AC$175&amp;";  ","")&amp;IF(AND(EDATE($D91,Milestones!$AA$176)&lt;=AsOfDate,IF($Q91=0,$W91,IF(AND($S91&lt;&gt;"",EDATE($D91,Milestones!$AA$176)&gt;=$S91),$V91,IF(AND($R91&lt;&gt;"",EDATE($D91,Milestones!$AA$176)&gt;=$R91),$U91,$T91)))=Milestones!$AB$176),TEXT(EDATE($D91,Milestones!$AA$176),"dd/mm/yy")&amp;" "&amp;Milestones!$AB$176&amp;" "&amp;Milestones!$AC$176&amp;";  ","")&amp;IF(AND(EDATE($D91,Milestones!$AA$177)&lt;=AsOfDate,IF($Q91=0,$W91,IF(AND($S91&lt;&gt;"",EDATE($D91,Milestones!$AA$177)&gt;=$S91),$V91,IF(AND($R91&lt;&gt;"",EDATE($D91,Milestones!$AA$177)&gt;=$R91),$U91,$T91)))=Milestones!$AB$177),TEXT(EDATE($D91,Milestones!$AA$177),"dd/mm/yy")&amp;" "&amp;Milestones!$AB$177&amp;" "&amp;Milestones!$AC$177&amp;";  ","")&amp;IF(AND(EDATE($D91,Milestones!$AA$178)&lt;=AsOfDate,IF($Q91=0,$W91,IF(AND($S91&lt;&gt;"",EDATE($D91,Milestones!$AA$178)&gt;=$S91),$V91,IF(AND($R91&lt;&gt;"",EDATE($D91,Milestones!$AA$178)&gt;=$R91),$U91,$T91)))=Milestones!$AB$178),TEXT(EDATE($D91,Milestones!$AA$178),"dd/mm/yy")&amp;" "&amp;Milestones!$AB$178&amp;" "&amp;Milestones!$AC$178&amp;";  ","")&amp;IF(AND(EDATE($D91,Milestones!$AA$179)&lt;=AsOfDate,IF($Q91=0,$W91,IF(AND($S91&lt;&gt;"",EDATE($D91,Milestones!$AA$179)&gt;=$S91),$V91,IF(AND($R91&lt;&gt;"",EDATE($D91,Milestones!$AA$179)&gt;=$R91),$U91,$T91)))=Milestones!$AB$179),TEXT(EDATE($D91,Milestones!$AA$179),"dd/mm/yy")&amp;" "&amp;Milestones!$AB$179&amp;" "&amp;Milestones!$AC$179&amp;";  ",""))</f>
        <v/>
      </c>
      <c r="P91" s="0" t="str">
        <f aca="false">IF(OR($A91="",$D91=""),"",IF(AND(EDATE($D91,Milestones!$AA$180)&lt;=AsOfDate,IF($Q91=0,$W91,IF(AND($S91&lt;&gt;"",EDATE($D91,Milestones!$AA$180)&gt;=$S91),$V91,IF(AND($R91&lt;&gt;"",EDATE($D91,Milestones!$AA$180)&gt;=$R91),$U91,$T91)))=Milestones!$AB$180),TEXT(EDATE($D91,Milestones!$AA$180),"dd/mm/yy")&amp;" "&amp;Milestones!$AB$180&amp;" "&amp;Milestones!$AC$180&amp;";  ","")&amp;IF(AND(EDATE($D91,Milestones!$AA$181)&lt;=AsOfDate,IF($Q91=0,$W91,IF(AND($S91&lt;&gt;"",EDATE($D91,Milestones!$AA$181)&gt;=$S91),$V91,IF(AND($R91&lt;&gt;"",EDATE($D91,Milestones!$AA$181)&gt;=$R91),$U91,$T91)))=Milestones!$AB$181),TEXT(EDATE($D91,Milestones!$AA$181),"dd/mm/yy")&amp;" "&amp;Milestones!$AB$181&amp;" "&amp;Milestones!$AC$181&amp;";  ","")&amp;IF(AND(EDATE($D91,Milestones!$AA$182)&lt;=AsOfDate,IF($Q91=0,$W91,IF(AND($S91&lt;&gt;"",EDATE($D91,Milestones!$AA$182)&gt;=$S91),$V91,IF(AND($R91&lt;&gt;"",EDATE($D91,Milestones!$AA$182)&gt;=$R91),$U91,$T91)))=Milestones!$AB$182),TEXT(EDATE($D91,Milestones!$AA$182),"dd/mm/yy")&amp;" "&amp;Milestones!$AB$182&amp;" "&amp;Milestones!$AC$182&amp;";  ","")&amp;IF(AND(EDATE($D91,Milestones!$AA$183)&lt;=AsOfDate,IF($Q91=0,$W91,IF(AND($S91&lt;&gt;"",EDATE($D91,Milestones!$AA$183)&gt;=$S91),$V91,IF(AND($R91&lt;&gt;"",EDATE($D91,Milestones!$AA$183)&gt;=$R91),$U91,$T91)))=Milestones!$AB$183),TEXT(EDATE($D91,Milestones!$AA$183),"dd/mm/yy")&amp;" "&amp;Milestones!$AB$183&amp;" "&amp;Milestones!$AC$183&amp;";  ","")&amp;IF(AND(EDATE($D91,Milestones!$AA$184)&lt;=AsOfDate,IF($Q91=0,$W91,IF(AND($S91&lt;&gt;"",EDATE($D91,Milestones!$AA$184)&gt;=$S91),$V91,IF(AND($R91&lt;&gt;"",EDATE($D91,Milestones!$AA$184)&gt;=$R91),$U91,$T91)))=Milestones!$AB$184),TEXT(EDATE($D91,Milestones!$AA$184),"dd/mm/yy")&amp;" "&amp;Milestones!$AB$184&amp;" "&amp;Milestones!$AC$184&amp;";  ","")&amp;IF(AND(EDATE($D91,Milestones!$AA$185)&lt;=AsOfDate,IF($Q91=0,$W91,IF(AND($S91&lt;&gt;"",EDATE($D91,Milestones!$AA$185)&gt;=$S91),$V91,IF(AND($R91&lt;&gt;"",EDATE($D91,Milestones!$AA$185)&gt;=$R91),$U91,$T91)))=Milestones!$AB$185),TEXT(EDATE($D91,Milestones!$AA$185),"dd/mm/yy")&amp;" "&amp;Milestones!$AB$185&amp;" "&amp;Milestones!$AC$185&amp;";  ","")&amp;IF(AND(EDATE($D91,Milestones!$AA$186)&lt;=AsOfDate,IF($Q91=0,$W91,IF(AND($S91&lt;&gt;"",EDATE($D91,Milestones!$AA$186)&gt;=$S91),$V91,IF(AND($R91&lt;&gt;"",EDATE($D91,Milestones!$AA$186)&gt;=$R91),$U91,$T91)))=Milestones!$AB$186),TEXT(EDATE($D91,Milestones!$AA$186),"dd/mm/yy")&amp;" "&amp;Milestones!$AB$186&amp;" "&amp;Milestones!$AC$186&amp;";  ","")&amp;IF(AND(EDATE($D91,Milestones!$AA$187)&lt;=AsOfDate,IF($Q91=0,$W91,IF(AND($S91&lt;&gt;"",EDATE($D91,Milestones!$AA$187)&gt;=$S91),$V91,IF(AND($R91&lt;&gt;"",EDATE($D91,Milestones!$AA$187)&gt;=$R91),$U91,$T91)))=Milestones!$AB$187),TEXT(EDATE($D91,Milestones!$AA$187),"dd/mm/yy")&amp;" "&amp;Milestones!$AB$187&amp;" "&amp;Milestones!$AC$187&amp;";  ","")&amp;IF(AND(EDATE($D91,Milestones!$AA$188)&lt;=AsOfDate,IF($Q91=0,$W91,IF(AND($S91&lt;&gt;"",EDATE($D91,Milestones!$AA$188)&gt;=$S91),$V91,IF(AND($R91&lt;&gt;"",EDATE($D91,Milestones!$AA$188)&gt;=$R91),$U91,$T91)))=Milestones!$AB$188),TEXT(EDATE($D91,Milestones!$AA$188),"dd/mm/yy")&amp;" "&amp;Milestones!$AB$188&amp;" "&amp;Milestones!$AC$188&amp;";  ","")&amp;IF(AND(EDATE($D91,Milestones!$AA$189)&lt;=AsOfDate,IF($Q91=0,$W91,IF(AND($S91&lt;&gt;"",EDATE($D91,Milestones!$AA$189)&gt;=$S91),$V91,IF(AND($R91&lt;&gt;"",EDATE($D91,Milestones!$AA$189)&gt;=$R91),$U91,$T91)))=Milestones!$AB$189),TEXT(EDATE($D91,Milestones!$AA$189),"dd/mm/yy")&amp;" "&amp;Milestones!$AB$189&amp;" "&amp;Milestones!$AC$189&amp;";  ","")&amp;IF(AND(EDATE($D91,Milestones!$AA$190)&lt;=AsOfDate,IF($Q91=0,$W91,IF(AND($S91&lt;&gt;"",EDATE($D91,Milestones!$AA$190)&gt;=$S91),$V91,IF(AND($R91&lt;&gt;"",EDATE($D91,Milestones!$AA$190)&gt;=$R91),$U91,$T91)))=Milestones!$AB$190),TEXT(EDATE($D91,Milestones!$AA$190),"dd/mm/yy")&amp;" "&amp;Milestones!$AB$190&amp;" "&amp;Milestones!$AC$190&amp;";  ","")&amp;IF(AND(EDATE($D91,Milestones!$AA$191)&lt;=AsOfDate,IF($Q91=0,$W91,IF(AND($S91&lt;&gt;"",EDATE($D91,Milestones!$AA$191)&gt;=$S91),$V91,IF(AND($R91&lt;&gt;"",EDATE($D91,Milestones!$AA$191)&gt;=$R91),$U91,$T91)))=Milestones!$AB$191),TEXT(EDATE($D91,Milestones!$AA$191),"dd/mm/yy")&amp;" "&amp;Milestones!$AB$191&amp;" "&amp;Milestones!$AC$191&amp;";  ","")&amp;IF(AND(EDATE($D91,Milestones!$AA$192)&lt;=AsOfDate,IF($Q91=0,$W91,IF(AND($S91&lt;&gt;"",EDATE($D91,Milestones!$AA$192)&gt;=$S91),$V91,IF(AND($R91&lt;&gt;"",EDATE($D91,Milestones!$AA$192)&gt;=$R91),$U91,$T91)))=Milestones!$AB$192),TEXT(EDATE($D91,Milestones!$AA$192),"dd/mm/yy")&amp;" "&amp;Milestones!$AB$192&amp;" "&amp;Milestones!$AC$192&amp;";  ","")&amp;IF(AND(EDATE($D91,Milestones!$AA$193)&lt;=AsOfDate,IF($Q91=0,$W91,IF(AND($S91&lt;&gt;"",EDATE($D91,Milestones!$AA$193)&gt;=$S91),$V91,IF(AND($R91&lt;&gt;"",EDATE($D91,Milestones!$AA$193)&gt;=$R91),$U91,$T91)))=Milestones!$AB$193),TEXT(EDATE($D91,Milestones!$AA$193),"dd/mm/yy")&amp;" "&amp;Milestones!$AB$193&amp;" "&amp;Milestones!$AC$193&amp;";  ","")&amp;IF(AND(EDATE($D91,Milestones!$AA$194)&lt;=AsOfDate,IF($Q91=0,$W91,IF(AND($S91&lt;&gt;"",EDATE($D91,Milestones!$AA$194)&gt;=$S91),$V91,IF(AND($R91&lt;&gt;"",EDATE($D91,Milestones!$AA$194)&gt;=$R91),$U91,$T91)))=Milestones!$AB$194),TEXT(EDATE($D91,Milestones!$AA$194),"dd/mm/yy")&amp;" "&amp;Milestones!$AB$194&amp;" "&amp;Milestones!$AC$194&amp;";  ","")&amp;IF(AND(EDATE($D91,Milestones!$AA$195)&lt;=AsOfDate,IF($Q91=0,$W91,IF(AND($S91&lt;&gt;"",EDATE($D91,Milestones!$AA$195)&gt;=$S91),$V91,IF(AND($R91&lt;&gt;"",EDATE($D91,Milestones!$AA$195)&gt;=$R91),$U91,$T91)))=Milestones!$AB$195),TEXT(EDATE($D91,Milestones!$AA$195),"dd/mm/yy")&amp;" "&amp;Milestones!$AB$195&amp;" "&amp;Milestones!$AC$195&amp;";  ","")&amp;IF(AND(EDATE($D91,Milestones!$AA$196)&lt;=AsOfDate,IF($Q91=0,$W91,IF(AND($S91&lt;&gt;"",EDATE($D91,Milestones!$AA$196)&gt;=$S91),$V91,IF(AND($R91&lt;&gt;"",EDATE($D91,Milestones!$AA$196)&gt;=$R91),$U91,$T91)))=Milestones!$AB$196),TEXT(EDATE($D91,Milestones!$AA$196),"dd/mm/yy")&amp;" "&amp;Milestones!$AB$196&amp;" "&amp;Milestones!$AC$196&amp;";  ","")&amp;IF(AND(EDATE($D91,Milestones!$AA$197)&lt;=AsOfDate,IF($Q91=0,$W91,IF(AND($S91&lt;&gt;"",EDATE($D91,Milestones!$AA$197)&gt;=$S91),$V91,IF(AND($R91&lt;&gt;"",EDATE($D91,Milestones!$AA$197)&gt;=$R91),$U91,$T91)))=Milestones!$AB$197),TEXT(EDATE($D91,Milestones!$AA$197),"dd/mm/yy")&amp;" "&amp;Milestones!$AB$197&amp;" "&amp;Milestones!$AC$197&amp;";  ","")&amp;IF(AND(EDATE($D91,Milestones!$AA$198)&lt;=AsOfDate,IF($Q91=0,$W91,IF(AND($S91&lt;&gt;"",EDATE($D91,Milestones!$AA$198)&gt;=$S91),$V91,IF(AND($R91&lt;&gt;"",EDATE($D91,Milestones!$AA$198)&gt;=$R91),$U91,$T91)))=Milestones!$AB$198),TEXT(EDATE($D91,Milestones!$AA$198),"dd/mm/yy")&amp;" "&amp;Milestones!$AB$198&amp;" "&amp;Milestones!$AC$198&amp;";  ","")&amp;IF(AND(EDATE($D91,Milestones!$AA$199)&lt;=AsOfDate,IF($Q91=0,$W91,IF(AND($S91&lt;&gt;"",EDATE($D91,Milestones!$AA$199)&gt;=$S91),$V91,IF(AND($R91&lt;&gt;"",EDATE($D91,Milestones!$AA$199)&gt;=$R91),$U91,$T91)))=Milestones!$AB$199),TEXT(EDATE($D91,Milestones!$AA$199),"dd/mm/yy")&amp;" "&amp;Milestones!$AB$199&amp;" "&amp;Milestones!$AC$199&amp;";  ",""))</f>
        <v/>
      </c>
      <c r="Q91" s="0" t="str">
        <f aca="false">IF(Staff!$A91="","",Staff!$AG91)</f>
        <v/>
      </c>
      <c r="R91" s="0" t="str">
        <f aca="false">IF(Staff!$A91="","",Staff!$AI91)</f>
        <v/>
      </c>
      <c r="S91" s="0" t="str">
        <f aca="false">IF(Staff!$A91="","",Staff!$AJ91)</f>
        <v/>
      </c>
      <c r="T91" s="0" t="str">
        <f aca="false">IF(Staff!$A91="","",Staff!$AN91)</f>
        <v/>
      </c>
      <c r="U91" s="0" t="str">
        <f aca="false">IF(Staff!$A91="","",Staff!$AO91)</f>
        <v/>
      </c>
      <c r="V91" s="0" t="str">
        <f aca="false">IF(Staff!$A91="","",Staff!$AP91)</f>
        <v/>
      </c>
      <c r="W91" s="0" t="str">
        <f aca="false">IF(Staff!$A91="","",Staff!$AQ91)</f>
        <v/>
      </c>
    </row>
    <row r="92" customFormat="false" ht="15" hidden="false" customHeight="false" outlineLevel="0" collapsed="false">
      <c r="A92" s="13" t="str">
        <f aca="false">IF(Staff!$A92="","",Staff!$A92)</f>
        <v/>
      </c>
      <c r="B92" s="13" t="str">
        <f aca="false">IF(Staff!$A92="","",Staff!$B92)</f>
        <v/>
      </c>
      <c r="C92" s="13" t="str">
        <f aca="false">IF(Staff!$A92="","",Staff!$C92)</f>
        <v/>
      </c>
      <c r="D92" s="11" t="str">
        <f aca="false">IF(Staff!$A92="","",Staff!$AF92)</f>
        <v/>
      </c>
      <c r="E92" s="13" t="str">
        <f aca="false">IF(Staff!$A92="","",Staff!$O92)</f>
        <v/>
      </c>
      <c r="F92" s="13" t="str">
        <f aca="false">IF(E92="","",E92*HoursPerDay)</f>
        <v/>
      </c>
      <c r="G92" s="26" t="str">
        <f aca="false">IF($A92="","",H92&amp;I92&amp;J92&amp;K92&amp;L92&amp;M92&amp;N92&amp;O92&amp;P92)</f>
        <v/>
      </c>
      <c r="H92" s="0" t="str">
        <f aca="false">IF(OR($A92="",$D92=""),"",IF(AND(EDATE($D92,Milestones!$AA$20)&lt;=AsOfDate,IF($Q92=0,$W92,IF(AND($S92&lt;&gt;"",EDATE($D92,Milestones!$AA$20)&gt;=$S92),$V92,IF(AND($R92&lt;&gt;"",EDATE($D92,Milestones!$AA$20)&gt;=$R92),$U92,$T92)))=Milestones!$AB$20),TEXT(EDATE($D92,Milestones!$AA$20),"dd/mm/yy")&amp;" "&amp;Milestones!$AB$20&amp;" "&amp;Milestones!$AC$20&amp;";  ","")&amp;IF(AND(EDATE($D92,Milestones!$AA$21)&lt;=AsOfDate,IF($Q92=0,$W92,IF(AND($S92&lt;&gt;"",EDATE($D92,Milestones!$AA$21)&gt;=$S92),$V92,IF(AND($R92&lt;&gt;"",EDATE($D92,Milestones!$AA$21)&gt;=$R92),$U92,$T92)))=Milestones!$AB$21),TEXT(EDATE($D92,Milestones!$AA$21),"dd/mm/yy")&amp;" "&amp;Milestones!$AB$21&amp;" "&amp;Milestones!$AC$21&amp;";  ","")&amp;IF(AND(EDATE($D92,Milestones!$AA$22)&lt;=AsOfDate,IF($Q92=0,$W92,IF(AND($S92&lt;&gt;"",EDATE($D92,Milestones!$AA$22)&gt;=$S92),$V92,IF(AND($R92&lt;&gt;"",EDATE($D92,Milestones!$AA$22)&gt;=$R92),$U92,$T92)))=Milestones!$AB$22),TEXT(EDATE($D92,Milestones!$AA$22),"dd/mm/yy")&amp;" "&amp;Milestones!$AB$22&amp;" "&amp;Milestones!$AC$22&amp;";  ","")&amp;IF(AND(EDATE($D92,Milestones!$AA$23)&lt;=AsOfDate,IF($Q92=0,$W92,IF(AND($S92&lt;&gt;"",EDATE($D92,Milestones!$AA$23)&gt;=$S92),$V92,IF(AND($R92&lt;&gt;"",EDATE($D92,Milestones!$AA$23)&gt;=$R92),$U92,$T92)))=Milestones!$AB$23),TEXT(EDATE($D92,Milestones!$AA$23),"dd/mm/yy")&amp;" "&amp;Milestones!$AB$23&amp;" "&amp;Milestones!$AC$23&amp;";  ","")&amp;IF(AND(EDATE($D92,Milestones!$AA$24)&lt;=AsOfDate,IF($Q92=0,$W92,IF(AND($S92&lt;&gt;"",EDATE($D92,Milestones!$AA$24)&gt;=$S92),$V92,IF(AND($R92&lt;&gt;"",EDATE($D92,Milestones!$AA$24)&gt;=$R92),$U92,$T92)))=Milestones!$AB$24),TEXT(EDATE($D92,Milestones!$AA$24),"dd/mm/yy")&amp;" "&amp;Milestones!$AB$24&amp;" "&amp;Milestones!$AC$24&amp;";  ","")&amp;IF(AND(EDATE($D92,Milestones!$AA$25)&lt;=AsOfDate,IF($Q92=0,$W92,IF(AND($S92&lt;&gt;"",EDATE($D92,Milestones!$AA$25)&gt;=$S92),$V92,IF(AND($R92&lt;&gt;"",EDATE($D92,Milestones!$AA$25)&gt;=$R92),$U92,$T92)))=Milestones!$AB$25),TEXT(EDATE($D92,Milestones!$AA$25),"dd/mm/yy")&amp;" "&amp;Milestones!$AB$25&amp;" "&amp;Milestones!$AC$25&amp;";  ","")&amp;IF(AND(EDATE($D92,Milestones!$AA$26)&lt;=AsOfDate,IF($Q92=0,$W92,IF(AND($S92&lt;&gt;"",EDATE($D92,Milestones!$AA$26)&gt;=$S92),$V92,IF(AND($R92&lt;&gt;"",EDATE($D92,Milestones!$AA$26)&gt;=$R92),$U92,$T92)))=Milestones!$AB$26),TEXT(EDATE($D92,Milestones!$AA$26),"dd/mm/yy")&amp;" "&amp;Milestones!$AB$26&amp;" "&amp;Milestones!$AC$26&amp;";  ","")&amp;IF(AND(EDATE($D92,Milestones!$AA$27)&lt;=AsOfDate,IF($Q92=0,$W92,IF(AND($S92&lt;&gt;"",EDATE($D92,Milestones!$AA$27)&gt;=$S92),$V92,IF(AND($R92&lt;&gt;"",EDATE($D92,Milestones!$AA$27)&gt;=$R92),$U92,$T92)))=Milestones!$AB$27),TEXT(EDATE($D92,Milestones!$AA$27),"dd/mm/yy")&amp;" "&amp;Milestones!$AB$27&amp;" "&amp;Milestones!$AC$27&amp;";  ","")&amp;IF(AND(EDATE($D92,Milestones!$AA$28)&lt;=AsOfDate,IF($Q92=0,$W92,IF(AND($S92&lt;&gt;"",EDATE($D92,Milestones!$AA$28)&gt;=$S92),$V92,IF(AND($R92&lt;&gt;"",EDATE($D92,Milestones!$AA$28)&gt;=$R92),$U92,$T92)))=Milestones!$AB$28),TEXT(EDATE($D92,Milestones!$AA$28),"dd/mm/yy")&amp;" "&amp;Milestones!$AB$28&amp;" "&amp;Milestones!$AC$28&amp;";  ","")&amp;IF(AND(EDATE($D92,Milestones!$AA$29)&lt;=AsOfDate,IF($Q92=0,$W92,IF(AND($S92&lt;&gt;"",EDATE($D92,Milestones!$AA$29)&gt;=$S92),$V92,IF(AND($R92&lt;&gt;"",EDATE($D92,Milestones!$AA$29)&gt;=$R92),$U92,$T92)))=Milestones!$AB$29),TEXT(EDATE($D92,Milestones!$AA$29),"dd/mm/yy")&amp;" "&amp;Milestones!$AB$29&amp;" "&amp;Milestones!$AC$29&amp;";  ","")&amp;IF(AND(EDATE($D92,Milestones!$AA$30)&lt;=AsOfDate,IF($Q92=0,$W92,IF(AND($S92&lt;&gt;"",EDATE($D92,Milestones!$AA$30)&gt;=$S92),$V92,IF(AND($R92&lt;&gt;"",EDATE($D92,Milestones!$AA$30)&gt;=$R92),$U92,$T92)))=Milestones!$AB$30),TEXT(EDATE($D92,Milestones!$AA$30),"dd/mm/yy")&amp;" "&amp;Milestones!$AB$30&amp;" "&amp;Milestones!$AC$30&amp;";  ","")&amp;IF(AND(EDATE($D92,Milestones!$AA$31)&lt;=AsOfDate,IF($Q92=0,$W92,IF(AND($S92&lt;&gt;"",EDATE($D92,Milestones!$AA$31)&gt;=$S92),$V92,IF(AND($R92&lt;&gt;"",EDATE($D92,Milestones!$AA$31)&gt;=$R92),$U92,$T92)))=Milestones!$AB$31),TEXT(EDATE($D92,Milestones!$AA$31),"dd/mm/yy")&amp;" "&amp;Milestones!$AB$31&amp;" "&amp;Milestones!$AC$31&amp;";  ","")&amp;IF(AND(EDATE($D92,Milestones!$AA$32)&lt;=AsOfDate,IF($Q92=0,$W92,IF(AND($S92&lt;&gt;"",EDATE($D92,Milestones!$AA$32)&gt;=$S92),$V92,IF(AND($R92&lt;&gt;"",EDATE($D92,Milestones!$AA$32)&gt;=$R92),$U92,$T92)))=Milestones!$AB$32),TEXT(EDATE($D92,Milestones!$AA$32),"dd/mm/yy")&amp;" "&amp;Milestones!$AB$32&amp;" "&amp;Milestones!$AC$32&amp;";  ","")&amp;IF(AND(EDATE($D92,Milestones!$AA$33)&lt;=AsOfDate,IF($Q92=0,$W92,IF(AND($S92&lt;&gt;"",EDATE($D92,Milestones!$AA$33)&gt;=$S92),$V92,IF(AND($R92&lt;&gt;"",EDATE($D92,Milestones!$AA$33)&gt;=$R92),$U92,$T92)))=Milestones!$AB$33),TEXT(EDATE($D92,Milestones!$AA$33),"dd/mm/yy")&amp;" "&amp;Milestones!$AB$33&amp;" "&amp;Milestones!$AC$33&amp;";  ","")&amp;IF(AND(EDATE($D92,Milestones!$AA$34)&lt;=AsOfDate,IF($Q92=0,$W92,IF(AND($S92&lt;&gt;"",EDATE($D92,Milestones!$AA$34)&gt;=$S92),$V92,IF(AND($R92&lt;&gt;"",EDATE($D92,Milestones!$AA$34)&gt;=$R92),$U92,$T92)))=Milestones!$AB$34),TEXT(EDATE($D92,Milestones!$AA$34),"dd/mm/yy")&amp;" "&amp;Milestones!$AB$34&amp;" "&amp;Milestones!$AC$34&amp;";  ","")&amp;IF(AND(EDATE($D92,Milestones!$AA$35)&lt;=AsOfDate,IF($Q92=0,$W92,IF(AND($S92&lt;&gt;"",EDATE($D92,Milestones!$AA$35)&gt;=$S92),$V92,IF(AND($R92&lt;&gt;"",EDATE($D92,Milestones!$AA$35)&gt;=$R92),$U92,$T92)))=Milestones!$AB$35),TEXT(EDATE($D92,Milestones!$AA$35),"dd/mm/yy")&amp;" "&amp;Milestones!$AB$35&amp;" "&amp;Milestones!$AC$35&amp;";  ","")&amp;IF(AND(EDATE($D92,Milestones!$AA$36)&lt;=AsOfDate,IF($Q92=0,$W92,IF(AND($S92&lt;&gt;"",EDATE($D92,Milestones!$AA$36)&gt;=$S92),$V92,IF(AND($R92&lt;&gt;"",EDATE($D92,Milestones!$AA$36)&gt;=$R92),$U92,$T92)))=Milestones!$AB$36),TEXT(EDATE($D92,Milestones!$AA$36),"dd/mm/yy")&amp;" "&amp;Milestones!$AB$36&amp;" "&amp;Milestones!$AC$36&amp;";  ","")&amp;IF(AND(EDATE($D92,Milestones!$AA$37)&lt;=AsOfDate,IF($Q92=0,$W92,IF(AND($S92&lt;&gt;"",EDATE($D92,Milestones!$AA$37)&gt;=$S92),$V92,IF(AND($R92&lt;&gt;"",EDATE($D92,Milestones!$AA$37)&gt;=$R92),$U92,$T92)))=Milestones!$AB$37),TEXT(EDATE($D92,Milestones!$AA$37),"dd/mm/yy")&amp;" "&amp;Milestones!$AB$37&amp;" "&amp;Milestones!$AC$37&amp;";  ","")&amp;IF(AND(EDATE($D92,Milestones!$AA$38)&lt;=AsOfDate,IF($Q92=0,$W92,IF(AND($S92&lt;&gt;"",EDATE($D92,Milestones!$AA$38)&gt;=$S92),$V92,IF(AND($R92&lt;&gt;"",EDATE($D92,Milestones!$AA$38)&gt;=$R92),$U92,$T92)))=Milestones!$AB$38),TEXT(EDATE($D92,Milestones!$AA$38),"dd/mm/yy")&amp;" "&amp;Milestones!$AB$38&amp;" "&amp;Milestones!$AC$38&amp;";  ","")&amp;IF(AND(EDATE($D92,Milestones!$AA$39)&lt;=AsOfDate,IF($Q92=0,$W92,IF(AND($S92&lt;&gt;"",EDATE($D92,Milestones!$AA$39)&gt;=$S92),$V92,IF(AND($R92&lt;&gt;"",EDATE($D92,Milestones!$AA$39)&gt;=$R92),$U92,$T92)))=Milestones!$AB$39),TEXT(EDATE($D92,Milestones!$AA$39),"dd/mm/yy")&amp;" "&amp;Milestones!$AB$39&amp;" "&amp;Milestones!$AC$39&amp;";  ",""))</f>
        <v/>
      </c>
      <c r="I92" s="0" t="str">
        <f aca="false">IF(OR($A92="",$D92=""),"",IF(AND(EDATE($D92,Milestones!$AA$40)&lt;=AsOfDate,IF($Q92=0,$W92,IF(AND($S92&lt;&gt;"",EDATE($D92,Milestones!$AA$40)&gt;=$S92),$V92,IF(AND($R92&lt;&gt;"",EDATE($D92,Milestones!$AA$40)&gt;=$R92),$U92,$T92)))=Milestones!$AB$40),TEXT(EDATE($D92,Milestones!$AA$40),"dd/mm/yy")&amp;" "&amp;Milestones!$AB$40&amp;" "&amp;Milestones!$AC$40&amp;";  ","")&amp;IF(AND(EDATE($D92,Milestones!$AA$41)&lt;=AsOfDate,IF($Q92=0,$W92,IF(AND($S92&lt;&gt;"",EDATE($D92,Milestones!$AA$41)&gt;=$S92),$V92,IF(AND($R92&lt;&gt;"",EDATE($D92,Milestones!$AA$41)&gt;=$R92),$U92,$T92)))=Milestones!$AB$41),TEXT(EDATE($D92,Milestones!$AA$41),"dd/mm/yy")&amp;" "&amp;Milestones!$AB$41&amp;" "&amp;Milestones!$AC$41&amp;";  ","")&amp;IF(AND(EDATE($D92,Milestones!$AA$42)&lt;=AsOfDate,IF($Q92=0,$W92,IF(AND($S92&lt;&gt;"",EDATE($D92,Milestones!$AA$42)&gt;=$S92),$V92,IF(AND($R92&lt;&gt;"",EDATE($D92,Milestones!$AA$42)&gt;=$R92),$U92,$T92)))=Milestones!$AB$42),TEXT(EDATE($D92,Milestones!$AA$42),"dd/mm/yy")&amp;" "&amp;Milestones!$AB$42&amp;" "&amp;Milestones!$AC$42&amp;";  ","")&amp;IF(AND(EDATE($D92,Milestones!$AA$43)&lt;=AsOfDate,IF($Q92=0,$W92,IF(AND($S92&lt;&gt;"",EDATE($D92,Milestones!$AA$43)&gt;=$S92),$V92,IF(AND($R92&lt;&gt;"",EDATE($D92,Milestones!$AA$43)&gt;=$R92),$U92,$T92)))=Milestones!$AB$43),TEXT(EDATE($D92,Milestones!$AA$43),"dd/mm/yy")&amp;" "&amp;Milestones!$AB$43&amp;" "&amp;Milestones!$AC$43&amp;";  ","")&amp;IF(AND(EDATE($D92,Milestones!$AA$44)&lt;=AsOfDate,IF($Q92=0,$W92,IF(AND($S92&lt;&gt;"",EDATE($D92,Milestones!$AA$44)&gt;=$S92),$V92,IF(AND($R92&lt;&gt;"",EDATE($D92,Milestones!$AA$44)&gt;=$R92),$U92,$T92)))=Milestones!$AB$44),TEXT(EDATE($D92,Milestones!$AA$44),"dd/mm/yy")&amp;" "&amp;Milestones!$AB$44&amp;" "&amp;Milestones!$AC$44&amp;";  ","")&amp;IF(AND(EDATE($D92,Milestones!$AA$45)&lt;=AsOfDate,IF($Q92=0,$W92,IF(AND($S92&lt;&gt;"",EDATE($D92,Milestones!$AA$45)&gt;=$S92),$V92,IF(AND($R92&lt;&gt;"",EDATE($D92,Milestones!$AA$45)&gt;=$R92),$U92,$T92)))=Milestones!$AB$45),TEXT(EDATE($D92,Milestones!$AA$45),"dd/mm/yy")&amp;" "&amp;Milestones!$AB$45&amp;" "&amp;Milestones!$AC$45&amp;";  ","")&amp;IF(AND(EDATE($D92,Milestones!$AA$46)&lt;=AsOfDate,IF($Q92=0,$W92,IF(AND($S92&lt;&gt;"",EDATE($D92,Milestones!$AA$46)&gt;=$S92),$V92,IF(AND($R92&lt;&gt;"",EDATE($D92,Milestones!$AA$46)&gt;=$R92),$U92,$T92)))=Milestones!$AB$46),TEXT(EDATE($D92,Milestones!$AA$46),"dd/mm/yy")&amp;" "&amp;Milestones!$AB$46&amp;" "&amp;Milestones!$AC$46&amp;";  ","")&amp;IF(AND(EDATE($D92,Milestones!$AA$47)&lt;=AsOfDate,IF($Q92=0,$W92,IF(AND($S92&lt;&gt;"",EDATE($D92,Milestones!$AA$47)&gt;=$S92),$V92,IF(AND($R92&lt;&gt;"",EDATE($D92,Milestones!$AA$47)&gt;=$R92),$U92,$T92)))=Milestones!$AB$47),TEXT(EDATE($D92,Milestones!$AA$47),"dd/mm/yy")&amp;" "&amp;Milestones!$AB$47&amp;" "&amp;Milestones!$AC$47&amp;";  ","")&amp;IF(AND(EDATE($D92,Milestones!$AA$48)&lt;=AsOfDate,IF($Q92=0,$W92,IF(AND($S92&lt;&gt;"",EDATE($D92,Milestones!$AA$48)&gt;=$S92),$V92,IF(AND($R92&lt;&gt;"",EDATE($D92,Milestones!$AA$48)&gt;=$R92),$U92,$T92)))=Milestones!$AB$48),TEXT(EDATE($D92,Milestones!$AA$48),"dd/mm/yy")&amp;" "&amp;Milestones!$AB$48&amp;" "&amp;Milestones!$AC$48&amp;";  ","")&amp;IF(AND(EDATE($D92,Milestones!$AA$49)&lt;=AsOfDate,IF($Q92=0,$W92,IF(AND($S92&lt;&gt;"",EDATE($D92,Milestones!$AA$49)&gt;=$S92),$V92,IF(AND($R92&lt;&gt;"",EDATE($D92,Milestones!$AA$49)&gt;=$R92),$U92,$T92)))=Milestones!$AB$49),TEXT(EDATE($D92,Milestones!$AA$49),"dd/mm/yy")&amp;" "&amp;Milestones!$AB$49&amp;" "&amp;Milestones!$AC$49&amp;";  ","")&amp;IF(AND(EDATE($D92,Milestones!$AA$50)&lt;=AsOfDate,IF($Q92=0,$W92,IF(AND($S92&lt;&gt;"",EDATE($D92,Milestones!$AA$50)&gt;=$S92),$V92,IF(AND($R92&lt;&gt;"",EDATE($D92,Milestones!$AA$50)&gt;=$R92),$U92,$T92)))=Milestones!$AB$50),TEXT(EDATE($D92,Milestones!$AA$50),"dd/mm/yy")&amp;" "&amp;Milestones!$AB$50&amp;" "&amp;Milestones!$AC$50&amp;";  ","")&amp;IF(AND(EDATE($D92,Milestones!$AA$51)&lt;=AsOfDate,IF($Q92=0,$W92,IF(AND($S92&lt;&gt;"",EDATE($D92,Milestones!$AA$51)&gt;=$S92),$V92,IF(AND($R92&lt;&gt;"",EDATE($D92,Milestones!$AA$51)&gt;=$R92),$U92,$T92)))=Milestones!$AB$51),TEXT(EDATE($D92,Milestones!$AA$51),"dd/mm/yy")&amp;" "&amp;Milestones!$AB$51&amp;" "&amp;Milestones!$AC$51&amp;";  ","")&amp;IF(AND(EDATE($D92,Milestones!$AA$52)&lt;=AsOfDate,IF($Q92=0,$W92,IF(AND($S92&lt;&gt;"",EDATE($D92,Milestones!$AA$52)&gt;=$S92),$V92,IF(AND($R92&lt;&gt;"",EDATE($D92,Milestones!$AA$52)&gt;=$R92),$U92,$T92)))=Milestones!$AB$52),TEXT(EDATE($D92,Milestones!$AA$52),"dd/mm/yy")&amp;" "&amp;Milestones!$AB$52&amp;" "&amp;Milestones!$AC$52&amp;";  ","")&amp;IF(AND(EDATE($D92,Milestones!$AA$53)&lt;=AsOfDate,IF($Q92=0,$W92,IF(AND($S92&lt;&gt;"",EDATE($D92,Milestones!$AA$53)&gt;=$S92),$V92,IF(AND($R92&lt;&gt;"",EDATE($D92,Milestones!$AA$53)&gt;=$R92),$U92,$T92)))=Milestones!$AB$53),TEXT(EDATE($D92,Milestones!$AA$53),"dd/mm/yy")&amp;" "&amp;Milestones!$AB$53&amp;" "&amp;Milestones!$AC$53&amp;";  ","")&amp;IF(AND(EDATE($D92,Milestones!$AA$54)&lt;=AsOfDate,IF($Q92=0,$W92,IF(AND($S92&lt;&gt;"",EDATE($D92,Milestones!$AA$54)&gt;=$S92),$V92,IF(AND($R92&lt;&gt;"",EDATE($D92,Milestones!$AA$54)&gt;=$R92),$U92,$T92)))=Milestones!$AB$54),TEXT(EDATE($D92,Milestones!$AA$54),"dd/mm/yy")&amp;" "&amp;Milestones!$AB$54&amp;" "&amp;Milestones!$AC$54&amp;";  ","")&amp;IF(AND(EDATE($D92,Milestones!$AA$55)&lt;=AsOfDate,IF($Q92=0,$W92,IF(AND($S92&lt;&gt;"",EDATE($D92,Milestones!$AA$55)&gt;=$S92),$V92,IF(AND($R92&lt;&gt;"",EDATE($D92,Milestones!$AA$55)&gt;=$R92),$U92,$T92)))=Milestones!$AB$55),TEXT(EDATE($D92,Milestones!$AA$55),"dd/mm/yy")&amp;" "&amp;Milestones!$AB$55&amp;" "&amp;Milestones!$AC$55&amp;";  ","")&amp;IF(AND(EDATE($D92,Milestones!$AA$56)&lt;=AsOfDate,IF($Q92=0,$W92,IF(AND($S92&lt;&gt;"",EDATE($D92,Milestones!$AA$56)&gt;=$S92),$V92,IF(AND($R92&lt;&gt;"",EDATE($D92,Milestones!$AA$56)&gt;=$R92),$U92,$T92)))=Milestones!$AB$56),TEXT(EDATE($D92,Milestones!$AA$56),"dd/mm/yy")&amp;" "&amp;Milestones!$AB$56&amp;" "&amp;Milestones!$AC$56&amp;";  ","")&amp;IF(AND(EDATE($D92,Milestones!$AA$57)&lt;=AsOfDate,IF($Q92=0,$W92,IF(AND($S92&lt;&gt;"",EDATE($D92,Milestones!$AA$57)&gt;=$S92),$V92,IF(AND($R92&lt;&gt;"",EDATE($D92,Milestones!$AA$57)&gt;=$R92),$U92,$T92)))=Milestones!$AB$57),TEXT(EDATE($D92,Milestones!$AA$57),"dd/mm/yy")&amp;" "&amp;Milestones!$AB$57&amp;" "&amp;Milestones!$AC$57&amp;";  ","")&amp;IF(AND(EDATE($D92,Milestones!$AA$58)&lt;=AsOfDate,IF($Q92=0,$W92,IF(AND($S92&lt;&gt;"",EDATE($D92,Milestones!$AA$58)&gt;=$S92),$V92,IF(AND($R92&lt;&gt;"",EDATE($D92,Milestones!$AA$58)&gt;=$R92),$U92,$T92)))=Milestones!$AB$58),TEXT(EDATE($D92,Milestones!$AA$58),"dd/mm/yy")&amp;" "&amp;Milestones!$AB$58&amp;" "&amp;Milestones!$AC$58&amp;";  ","")&amp;IF(AND(EDATE($D92,Milestones!$AA$59)&lt;=AsOfDate,IF($Q92=0,$W92,IF(AND($S92&lt;&gt;"",EDATE($D92,Milestones!$AA$59)&gt;=$S92),$V92,IF(AND($R92&lt;&gt;"",EDATE($D92,Milestones!$AA$59)&gt;=$R92),$U92,$T92)))=Milestones!$AB$59),TEXT(EDATE($D92,Milestones!$AA$59),"dd/mm/yy")&amp;" "&amp;Milestones!$AB$59&amp;" "&amp;Milestones!$AC$59&amp;";  ",""))</f>
        <v/>
      </c>
      <c r="J92" s="0" t="str">
        <f aca="false">IF(OR($A92="",$D92=""),"",IF(AND(EDATE($D92,Milestones!$AA$60)&lt;=AsOfDate,IF($Q92=0,$W92,IF(AND($S92&lt;&gt;"",EDATE($D92,Milestones!$AA$60)&gt;=$S92),$V92,IF(AND($R92&lt;&gt;"",EDATE($D92,Milestones!$AA$60)&gt;=$R92),$U92,$T92)))=Milestones!$AB$60),TEXT(EDATE($D92,Milestones!$AA$60),"dd/mm/yy")&amp;" "&amp;Milestones!$AB$60&amp;" "&amp;Milestones!$AC$60&amp;";  ","")&amp;IF(AND(EDATE($D92,Milestones!$AA$61)&lt;=AsOfDate,IF($Q92=0,$W92,IF(AND($S92&lt;&gt;"",EDATE($D92,Milestones!$AA$61)&gt;=$S92),$V92,IF(AND($R92&lt;&gt;"",EDATE($D92,Milestones!$AA$61)&gt;=$R92),$U92,$T92)))=Milestones!$AB$61),TEXT(EDATE($D92,Milestones!$AA$61),"dd/mm/yy")&amp;" "&amp;Milestones!$AB$61&amp;" "&amp;Milestones!$AC$61&amp;";  ","")&amp;IF(AND(EDATE($D92,Milestones!$AA$62)&lt;=AsOfDate,IF($Q92=0,$W92,IF(AND($S92&lt;&gt;"",EDATE($D92,Milestones!$AA$62)&gt;=$S92),$V92,IF(AND($R92&lt;&gt;"",EDATE($D92,Milestones!$AA$62)&gt;=$R92),$U92,$T92)))=Milestones!$AB$62),TEXT(EDATE($D92,Milestones!$AA$62),"dd/mm/yy")&amp;" "&amp;Milestones!$AB$62&amp;" "&amp;Milestones!$AC$62&amp;";  ","")&amp;IF(AND(EDATE($D92,Milestones!$AA$63)&lt;=AsOfDate,IF($Q92=0,$W92,IF(AND($S92&lt;&gt;"",EDATE($D92,Milestones!$AA$63)&gt;=$S92),$V92,IF(AND($R92&lt;&gt;"",EDATE($D92,Milestones!$AA$63)&gt;=$R92),$U92,$T92)))=Milestones!$AB$63),TEXT(EDATE($D92,Milestones!$AA$63),"dd/mm/yy")&amp;" "&amp;Milestones!$AB$63&amp;" "&amp;Milestones!$AC$63&amp;";  ","")&amp;IF(AND(EDATE($D92,Milestones!$AA$64)&lt;=AsOfDate,IF($Q92=0,$W92,IF(AND($S92&lt;&gt;"",EDATE($D92,Milestones!$AA$64)&gt;=$S92),$V92,IF(AND($R92&lt;&gt;"",EDATE($D92,Milestones!$AA$64)&gt;=$R92),$U92,$T92)))=Milestones!$AB$64),TEXT(EDATE($D92,Milestones!$AA$64),"dd/mm/yy")&amp;" "&amp;Milestones!$AB$64&amp;" "&amp;Milestones!$AC$64&amp;";  ","")&amp;IF(AND(EDATE($D92,Milestones!$AA$65)&lt;=AsOfDate,IF($Q92=0,$W92,IF(AND($S92&lt;&gt;"",EDATE($D92,Milestones!$AA$65)&gt;=$S92),$V92,IF(AND($R92&lt;&gt;"",EDATE($D92,Milestones!$AA$65)&gt;=$R92),$U92,$T92)))=Milestones!$AB$65),TEXT(EDATE($D92,Milestones!$AA$65),"dd/mm/yy")&amp;" "&amp;Milestones!$AB$65&amp;" "&amp;Milestones!$AC$65&amp;";  ","")&amp;IF(AND(EDATE($D92,Milestones!$AA$66)&lt;=AsOfDate,IF($Q92=0,$W92,IF(AND($S92&lt;&gt;"",EDATE($D92,Milestones!$AA$66)&gt;=$S92),$V92,IF(AND($R92&lt;&gt;"",EDATE($D92,Milestones!$AA$66)&gt;=$R92),$U92,$T92)))=Milestones!$AB$66),TEXT(EDATE($D92,Milestones!$AA$66),"dd/mm/yy")&amp;" "&amp;Milestones!$AB$66&amp;" "&amp;Milestones!$AC$66&amp;";  ","")&amp;IF(AND(EDATE($D92,Milestones!$AA$67)&lt;=AsOfDate,IF($Q92=0,$W92,IF(AND($S92&lt;&gt;"",EDATE($D92,Milestones!$AA$67)&gt;=$S92),$V92,IF(AND($R92&lt;&gt;"",EDATE($D92,Milestones!$AA$67)&gt;=$R92),$U92,$T92)))=Milestones!$AB$67),TEXT(EDATE($D92,Milestones!$AA$67),"dd/mm/yy")&amp;" "&amp;Milestones!$AB$67&amp;" "&amp;Milestones!$AC$67&amp;";  ","")&amp;IF(AND(EDATE($D92,Milestones!$AA$68)&lt;=AsOfDate,IF($Q92=0,$W92,IF(AND($S92&lt;&gt;"",EDATE($D92,Milestones!$AA$68)&gt;=$S92),$V92,IF(AND($R92&lt;&gt;"",EDATE($D92,Milestones!$AA$68)&gt;=$R92),$U92,$T92)))=Milestones!$AB$68),TEXT(EDATE($D92,Milestones!$AA$68),"dd/mm/yy")&amp;" "&amp;Milestones!$AB$68&amp;" "&amp;Milestones!$AC$68&amp;";  ","")&amp;IF(AND(EDATE($D92,Milestones!$AA$69)&lt;=AsOfDate,IF($Q92=0,$W92,IF(AND($S92&lt;&gt;"",EDATE($D92,Milestones!$AA$69)&gt;=$S92),$V92,IF(AND($R92&lt;&gt;"",EDATE($D92,Milestones!$AA$69)&gt;=$R92),$U92,$T92)))=Milestones!$AB$69),TEXT(EDATE($D92,Milestones!$AA$69),"dd/mm/yy")&amp;" "&amp;Milestones!$AB$69&amp;" "&amp;Milestones!$AC$69&amp;";  ","")&amp;IF(AND(EDATE($D92,Milestones!$AA$70)&lt;=AsOfDate,IF($Q92=0,$W92,IF(AND($S92&lt;&gt;"",EDATE($D92,Milestones!$AA$70)&gt;=$S92),$V92,IF(AND($R92&lt;&gt;"",EDATE($D92,Milestones!$AA$70)&gt;=$R92),$U92,$T92)))=Milestones!$AB$70),TEXT(EDATE($D92,Milestones!$AA$70),"dd/mm/yy")&amp;" "&amp;Milestones!$AB$70&amp;" "&amp;Milestones!$AC$70&amp;";  ","")&amp;IF(AND(EDATE($D92,Milestones!$AA$71)&lt;=AsOfDate,IF($Q92=0,$W92,IF(AND($S92&lt;&gt;"",EDATE($D92,Milestones!$AA$71)&gt;=$S92),$V92,IF(AND($R92&lt;&gt;"",EDATE($D92,Milestones!$AA$71)&gt;=$R92),$U92,$T92)))=Milestones!$AB$71),TEXT(EDATE($D92,Milestones!$AA$71),"dd/mm/yy")&amp;" "&amp;Milestones!$AB$71&amp;" "&amp;Milestones!$AC$71&amp;";  ","")&amp;IF(AND(EDATE($D92,Milestones!$AA$72)&lt;=AsOfDate,IF($Q92=0,$W92,IF(AND($S92&lt;&gt;"",EDATE($D92,Milestones!$AA$72)&gt;=$S92),$V92,IF(AND($R92&lt;&gt;"",EDATE($D92,Milestones!$AA$72)&gt;=$R92),$U92,$T92)))=Milestones!$AB$72),TEXT(EDATE($D92,Milestones!$AA$72),"dd/mm/yy")&amp;" "&amp;Milestones!$AB$72&amp;" "&amp;Milestones!$AC$72&amp;";  ","")&amp;IF(AND(EDATE($D92,Milestones!$AA$73)&lt;=AsOfDate,IF($Q92=0,$W92,IF(AND($S92&lt;&gt;"",EDATE($D92,Milestones!$AA$73)&gt;=$S92),$V92,IF(AND($R92&lt;&gt;"",EDATE($D92,Milestones!$AA$73)&gt;=$R92),$U92,$T92)))=Milestones!$AB$73),TEXT(EDATE($D92,Milestones!$AA$73),"dd/mm/yy")&amp;" "&amp;Milestones!$AB$73&amp;" "&amp;Milestones!$AC$73&amp;";  ","")&amp;IF(AND(EDATE($D92,Milestones!$AA$74)&lt;=AsOfDate,IF($Q92=0,$W92,IF(AND($S92&lt;&gt;"",EDATE($D92,Milestones!$AA$74)&gt;=$S92),$V92,IF(AND($R92&lt;&gt;"",EDATE($D92,Milestones!$AA$74)&gt;=$R92),$U92,$T92)))=Milestones!$AB$74),TEXT(EDATE($D92,Milestones!$AA$74),"dd/mm/yy")&amp;" "&amp;Milestones!$AB$74&amp;" "&amp;Milestones!$AC$74&amp;";  ","")&amp;IF(AND(EDATE($D92,Milestones!$AA$75)&lt;=AsOfDate,IF($Q92=0,$W92,IF(AND($S92&lt;&gt;"",EDATE($D92,Milestones!$AA$75)&gt;=$S92),$V92,IF(AND($R92&lt;&gt;"",EDATE($D92,Milestones!$AA$75)&gt;=$R92),$U92,$T92)))=Milestones!$AB$75),TEXT(EDATE($D92,Milestones!$AA$75),"dd/mm/yy")&amp;" "&amp;Milestones!$AB$75&amp;" "&amp;Milestones!$AC$75&amp;";  ","")&amp;IF(AND(EDATE($D92,Milestones!$AA$76)&lt;=AsOfDate,IF($Q92=0,$W92,IF(AND($S92&lt;&gt;"",EDATE($D92,Milestones!$AA$76)&gt;=$S92),$V92,IF(AND($R92&lt;&gt;"",EDATE($D92,Milestones!$AA$76)&gt;=$R92),$U92,$T92)))=Milestones!$AB$76),TEXT(EDATE($D92,Milestones!$AA$76),"dd/mm/yy")&amp;" "&amp;Milestones!$AB$76&amp;" "&amp;Milestones!$AC$76&amp;";  ","")&amp;IF(AND(EDATE($D92,Milestones!$AA$77)&lt;=AsOfDate,IF($Q92=0,$W92,IF(AND($S92&lt;&gt;"",EDATE($D92,Milestones!$AA$77)&gt;=$S92),$V92,IF(AND($R92&lt;&gt;"",EDATE($D92,Milestones!$AA$77)&gt;=$R92),$U92,$T92)))=Milestones!$AB$77),TEXT(EDATE($D92,Milestones!$AA$77),"dd/mm/yy")&amp;" "&amp;Milestones!$AB$77&amp;" "&amp;Milestones!$AC$77&amp;";  ","")&amp;IF(AND(EDATE($D92,Milestones!$AA$78)&lt;=AsOfDate,IF($Q92=0,$W92,IF(AND($S92&lt;&gt;"",EDATE($D92,Milestones!$AA$78)&gt;=$S92),$V92,IF(AND($R92&lt;&gt;"",EDATE($D92,Milestones!$AA$78)&gt;=$R92),$U92,$T92)))=Milestones!$AB$78),TEXT(EDATE($D92,Milestones!$AA$78),"dd/mm/yy")&amp;" "&amp;Milestones!$AB$78&amp;" "&amp;Milestones!$AC$78&amp;";  ","")&amp;IF(AND(EDATE($D92,Milestones!$AA$79)&lt;=AsOfDate,IF($Q92=0,$W92,IF(AND($S92&lt;&gt;"",EDATE($D92,Milestones!$AA$79)&gt;=$S92),$V92,IF(AND($R92&lt;&gt;"",EDATE($D92,Milestones!$AA$79)&gt;=$R92),$U92,$T92)))=Milestones!$AB$79),TEXT(EDATE($D92,Milestones!$AA$79),"dd/mm/yy")&amp;" "&amp;Milestones!$AB$79&amp;" "&amp;Milestones!$AC$79&amp;";  ",""))</f>
        <v/>
      </c>
      <c r="K92" s="0" t="str">
        <f aca="false">IF(OR($A92="",$D92=""),"",IF(AND(EDATE($D92,Milestones!$AA$80)&lt;=AsOfDate,IF($Q92=0,$W92,IF(AND($S92&lt;&gt;"",EDATE($D92,Milestones!$AA$80)&gt;=$S92),$V92,IF(AND($R92&lt;&gt;"",EDATE($D92,Milestones!$AA$80)&gt;=$R92),$U92,$T92)))=Milestones!$AB$80),TEXT(EDATE($D92,Milestones!$AA$80),"dd/mm/yy")&amp;" "&amp;Milestones!$AB$80&amp;" "&amp;Milestones!$AC$80&amp;";  ","")&amp;IF(AND(EDATE($D92,Milestones!$AA$81)&lt;=AsOfDate,IF($Q92=0,$W92,IF(AND($S92&lt;&gt;"",EDATE($D92,Milestones!$AA$81)&gt;=$S92),$V92,IF(AND($R92&lt;&gt;"",EDATE($D92,Milestones!$AA$81)&gt;=$R92),$U92,$T92)))=Milestones!$AB$81),TEXT(EDATE($D92,Milestones!$AA$81),"dd/mm/yy")&amp;" "&amp;Milestones!$AB$81&amp;" "&amp;Milestones!$AC$81&amp;";  ","")&amp;IF(AND(EDATE($D92,Milestones!$AA$82)&lt;=AsOfDate,IF($Q92=0,$W92,IF(AND($S92&lt;&gt;"",EDATE($D92,Milestones!$AA$82)&gt;=$S92),$V92,IF(AND($R92&lt;&gt;"",EDATE($D92,Milestones!$AA$82)&gt;=$R92),$U92,$T92)))=Milestones!$AB$82),TEXT(EDATE($D92,Milestones!$AA$82),"dd/mm/yy")&amp;" "&amp;Milestones!$AB$82&amp;" "&amp;Milestones!$AC$82&amp;";  ","")&amp;IF(AND(EDATE($D92,Milestones!$AA$83)&lt;=AsOfDate,IF($Q92=0,$W92,IF(AND($S92&lt;&gt;"",EDATE($D92,Milestones!$AA$83)&gt;=$S92),$V92,IF(AND($R92&lt;&gt;"",EDATE($D92,Milestones!$AA$83)&gt;=$R92),$U92,$T92)))=Milestones!$AB$83),TEXT(EDATE($D92,Milestones!$AA$83),"dd/mm/yy")&amp;" "&amp;Milestones!$AB$83&amp;" "&amp;Milestones!$AC$83&amp;";  ","")&amp;IF(AND(EDATE($D92,Milestones!$AA$84)&lt;=AsOfDate,IF($Q92=0,$W92,IF(AND($S92&lt;&gt;"",EDATE($D92,Milestones!$AA$84)&gt;=$S92),$V92,IF(AND($R92&lt;&gt;"",EDATE($D92,Milestones!$AA$84)&gt;=$R92),$U92,$T92)))=Milestones!$AB$84),TEXT(EDATE($D92,Milestones!$AA$84),"dd/mm/yy")&amp;" "&amp;Milestones!$AB$84&amp;" "&amp;Milestones!$AC$84&amp;";  ","")&amp;IF(AND(EDATE($D92,Milestones!$AA$85)&lt;=AsOfDate,IF($Q92=0,$W92,IF(AND($S92&lt;&gt;"",EDATE($D92,Milestones!$AA$85)&gt;=$S92),$V92,IF(AND($R92&lt;&gt;"",EDATE($D92,Milestones!$AA$85)&gt;=$R92),$U92,$T92)))=Milestones!$AB$85),TEXT(EDATE($D92,Milestones!$AA$85),"dd/mm/yy")&amp;" "&amp;Milestones!$AB$85&amp;" "&amp;Milestones!$AC$85&amp;";  ","")&amp;IF(AND(EDATE($D92,Milestones!$AA$86)&lt;=AsOfDate,IF($Q92=0,$W92,IF(AND($S92&lt;&gt;"",EDATE($D92,Milestones!$AA$86)&gt;=$S92),$V92,IF(AND($R92&lt;&gt;"",EDATE($D92,Milestones!$AA$86)&gt;=$R92),$U92,$T92)))=Milestones!$AB$86),TEXT(EDATE($D92,Milestones!$AA$86),"dd/mm/yy")&amp;" "&amp;Milestones!$AB$86&amp;" "&amp;Milestones!$AC$86&amp;";  ","")&amp;IF(AND(EDATE($D92,Milestones!$AA$87)&lt;=AsOfDate,IF($Q92=0,$W92,IF(AND($S92&lt;&gt;"",EDATE($D92,Milestones!$AA$87)&gt;=$S92),$V92,IF(AND($R92&lt;&gt;"",EDATE($D92,Milestones!$AA$87)&gt;=$R92),$U92,$T92)))=Milestones!$AB$87),TEXT(EDATE($D92,Milestones!$AA$87),"dd/mm/yy")&amp;" "&amp;Milestones!$AB$87&amp;" "&amp;Milestones!$AC$87&amp;";  ","")&amp;IF(AND(EDATE($D92,Milestones!$AA$88)&lt;=AsOfDate,IF($Q92=0,$W92,IF(AND($S92&lt;&gt;"",EDATE($D92,Milestones!$AA$88)&gt;=$S92),$V92,IF(AND($R92&lt;&gt;"",EDATE($D92,Milestones!$AA$88)&gt;=$R92),$U92,$T92)))=Milestones!$AB$88),TEXT(EDATE($D92,Milestones!$AA$88),"dd/mm/yy")&amp;" "&amp;Milestones!$AB$88&amp;" "&amp;Milestones!$AC$88&amp;";  ","")&amp;IF(AND(EDATE($D92,Milestones!$AA$89)&lt;=AsOfDate,IF($Q92=0,$W92,IF(AND($S92&lt;&gt;"",EDATE($D92,Milestones!$AA$89)&gt;=$S92),$V92,IF(AND($R92&lt;&gt;"",EDATE($D92,Milestones!$AA$89)&gt;=$R92),$U92,$T92)))=Milestones!$AB$89),TEXT(EDATE($D92,Milestones!$AA$89),"dd/mm/yy")&amp;" "&amp;Milestones!$AB$89&amp;" "&amp;Milestones!$AC$89&amp;";  ","")&amp;IF(AND(EDATE($D92,Milestones!$AA$90)&lt;=AsOfDate,IF($Q92=0,$W92,IF(AND($S92&lt;&gt;"",EDATE($D92,Milestones!$AA$90)&gt;=$S92),$V92,IF(AND($R92&lt;&gt;"",EDATE($D92,Milestones!$AA$90)&gt;=$R92),$U92,$T92)))=Milestones!$AB$90),TEXT(EDATE($D92,Milestones!$AA$90),"dd/mm/yy")&amp;" "&amp;Milestones!$AB$90&amp;" "&amp;Milestones!$AC$90&amp;";  ","")&amp;IF(AND(EDATE($D92,Milestones!$AA$91)&lt;=AsOfDate,IF($Q92=0,$W92,IF(AND($S92&lt;&gt;"",EDATE($D92,Milestones!$AA$91)&gt;=$S92),$V92,IF(AND($R92&lt;&gt;"",EDATE($D92,Milestones!$AA$91)&gt;=$R92),$U92,$T92)))=Milestones!$AB$91),TEXT(EDATE($D92,Milestones!$AA$91),"dd/mm/yy")&amp;" "&amp;Milestones!$AB$91&amp;" "&amp;Milestones!$AC$91&amp;";  ","")&amp;IF(AND(EDATE($D92,Milestones!$AA$92)&lt;=AsOfDate,IF($Q92=0,$W92,IF(AND($S92&lt;&gt;"",EDATE($D92,Milestones!$AA$92)&gt;=$S92),$V92,IF(AND($R92&lt;&gt;"",EDATE($D92,Milestones!$AA$92)&gt;=$R92),$U92,$T92)))=Milestones!$AB$92),TEXT(EDATE($D92,Milestones!$AA$92),"dd/mm/yy")&amp;" "&amp;Milestones!$AB$92&amp;" "&amp;Milestones!$AC$92&amp;";  ","")&amp;IF(AND(EDATE($D92,Milestones!$AA$93)&lt;=AsOfDate,IF($Q92=0,$W92,IF(AND($S92&lt;&gt;"",EDATE($D92,Milestones!$AA$93)&gt;=$S92),$V92,IF(AND($R92&lt;&gt;"",EDATE($D92,Milestones!$AA$93)&gt;=$R92),$U92,$T92)))=Milestones!$AB$93),TEXT(EDATE($D92,Milestones!$AA$93),"dd/mm/yy")&amp;" "&amp;Milestones!$AB$93&amp;" "&amp;Milestones!$AC$93&amp;";  ","")&amp;IF(AND(EDATE($D92,Milestones!$AA$94)&lt;=AsOfDate,IF($Q92=0,$W92,IF(AND($S92&lt;&gt;"",EDATE($D92,Milestones!$AA$94)&gt;=$S92),$V92,IF(AND($R92&lt;&gt;"",EDATE($D92,Milestones!$AA$94)&gt;=$R92),$U92,$T92)))=Milestones!$AB$94),TEXT(EDATE($D92,Milestones!$AA$94),"dd/mm/yy")&amp;" "&amp;Milestones!$AB$94&amp;" "&amp;Milestones!$AC$94&amp;";  ","")&amp;IF(AND(EDATE($D92,Milestones!$AA$95)&lt;=AsOfDate,IF($Q92=0,$W92,IF(AND($S92&lt;&gt;"",EDATE($D92,Milestones!$AA$95)&gt;=$S92),$V92,IF(AND($R92&lt;&gt;"",EDATE($D92,Milestones!$AA$95)&gt;=$R92),$U92,$T92)))=Milestones!$AB$95),TEXT(EDATE($D92,Milestones!$AA$95),"dd/mm/yy")&amp;" "&amp;Milestones!$AB$95&amp;" "&amp;Milestones!$AC$95&amp;";  ","")&amp;IF(AND(EDATE($D92,Milestones!$AA$96)&lt;=AsOfDate,IF($Q92=0,$W92,IF(AND($S92&lt;&gt;"",EDATE($D92,Milestones!$AA$96)&gt;=$S92),$V92,IF(AND($R92&lt;&gt;"",EDATE($D92,Milestones!$AA$96)&gt;=$R92),$U92,$T92)))=Milestones!$AB$96),TEXT(EDATE($D92,Milestones!$AA$96),"dd/mm/yy")&amp;" "&amp;Milestones!$AB$96&amp;" "&amp;Milestones!$AC$96&amp;";  ","")&amp;IF(AND(EDATE($D92,Milestones!$AA$97)&lt;=AsOfDate,IF($Q92=0,$W92,IF(AND($S92&lt;&gt;"",EDATE($D92,Milestones!$AA$97)&gt;=$S92),$V92,IF(AND($R92&lt;&gt;"",EDATE($D92,Milestones!$AA$97)&gt;=$R92),$U92,$T92)))=Milestones!$AB$97),TEXT(EDATE($D92,Milestones!$AA$97),"dd/mm/yy")&amp;" "&amp;Milestones!$AB$97&amp;" "&amp;Milestones!$AC$97&amp;";  ","")&amp;IF(AND(EDATE($D92,Milestones!$AA$98)&lt;=AsOfDate,IF($Q92=0,$W92,IF(AND($S92&lt;&gt;"",EDATE($D92,Milestones!$AA$98)&gt;=$S92),$V92,IF(AND($R92&lt;&gt;"",EDATE($D92,Milestones!$AA$98)&gt;=$R92),$U92,$T92)))=Milestones!$AB$98),TEXT(EDATE($D92,Milestones!$AA$98),"dd/mm/yy")&amp;" "&amp;Milestones!$AB$98&amp;" "&amp;Milestones!$AC$98&amp;";  ","")&amp;IF(AND(EDATE($D92,Milestones!$AA$99)&lt;=AsOfDate,IF($Q92=0,$W92,IF(AND($S92&lt;&gt;"",EDATE($D92,Milestones!$AA$99)&gt;=$S92),$V92,IF(AND($R92&lt;&gt;"",EDATE($D92,Milestones!$AA$99)&gt;=$R92),$U92,$T92)))=Milestones!$AB$99),TEXT(EDATE($D92,Milestones!$AA$99),"dd/mm/yy")&amp;" "&amp;Milestones!$AB$99&amp;" "&amp;Milestones!$AC$99&amp;";  ",""))</f>
        <v/>
      </c>
      <c r="L92" s="0" t="str">
        <f aca="false">IF(OR($A92="",$D92=""),"",IF(AND(EDATE($D92,Milestones!$AA$100)&lt;=AsOfDate,IF($Q92=0,$W92,IF(AND($S92&lt;&gt;"",EDATE($D92,Milestones!$AA$100)&gt;=$S92),$V92,IF(AND($R92&lt;&gt;"",EDATE($D92,Milestones!$AA$100)&gt;=$R92),$U92,$T92)))=Milestones!$AB$100),TEXT(EDATE($D92,Milestones!$AA$100),"dd/mm/yy")&amp;" "&amp;Milestones!$AB$100&amp;" "&amp;Milestones!$AC$100&amp;";  ","")&amp;IF(AND(EDATE($D92,Milestones!$AA$101)&lt;=AsOfDate,IF($Q92=0,$W92,IF(AND($S92&lt;&gt;"",EDATE($D92,Milestones!$AA$101)&gt;=$S92),$V92,IF(AND($R92&lt;&gt;"",EDATE($D92,Milestones!$AA$101)&gt;=$R92),$U92,$T92)))=Milestones!$AB$101),TEXT(EDATE($D92,Milestones!$AA$101),"dd/mm/yy")&amp;" "&amp;Milestones!$AB$101&amp;" "&amp;Milestones!$AC$101&amp;";  ","")&amp;IF(AND(EDATE($D92,Milestones!$AA$102)&lt;=AsOfDate,IF($Q92=0,$W92,IF(AND($S92&lt;&gt;"",EDATE($D92,Milestones!$AA$102)&gt;=$S92),$V92,IF(AND($R92&lt;&gt;"",EDATE($D92,Milestones!$AA$102)&gt;=$R92),$U92,$T92)))=Milestones!$AB$102),TEXT(EDATE($D92,Milestones!$AA$102),"dd/mm/yy")&amp;" "&amp;Milestones!$AB$102&amp;" "&amp;Milestones!$AC$102&amp;";  ","")&amp;IF(AND(EDATE($D92,Milestones!$AA$103)&lt;=AsOfDate,IF($Q92=0,$W92,IF(AND($S92&lt;&gt;"",EDATE($D92,Milestones!$AA$103)&gt;=$S92),$V92,IF(AND($R92&lt;&gt;"",EDATE($D92,Milestones!$AA$103)&gt;=$R92),$U92,$T92)))=Milestones!$AB$103),TEXT(EDATE($D92,Milestones!$AA$103),"dd/mm/yy")&amp;" "&amp;Milestones!$AB$103&amp;" "&amp;Milestones!$AC$103&amp;";  ","")&amp;IF(AND(EDATE($D92,Milestones!$AA$104)&lt;=AsOfDate,IF($Q92=0,$W92,IF(AND($S92&lt;&gt;"",EDATE($D92,Milestones!$AA$104)&gt;=$S92),$V92,IF(AND($R92&lt;&gt;"",EDATE($D92,Milestones!$AA$104)&gt;=$R92),$U92,$T92)))=Milestones!$AB$104),TEXT(EDATE($D92,Milestones!$AA$104),"dd/mm/yy")&amp;" "&amp;Milestones!$AB$104&amp;" "&amp;Milestones!$AC$104&amp;";  ","")&amp;IF(AND(EDATE($D92,Milestones!$AA$105)&lt;=AsOfDate,IF($Q92=0,$W92,IF(AND($S92&lt;&gt;"",EDATE($D92,Milestones!$AA$105)&gt;=$S92),$V92,IF(AND($R92&lt;&gt;"",EDATE($D92,Milestones!$AA$105)&gt;=$R92),$U92,$T92)))=Milestones!$AB$105),TEXT(EDATE($D92,Milestones!$AA$105),"dd/mm/yy")&amp;" "&amp;Milestones!$AB$105&amp;" "&amp;Milestones!$AC$105&amp;";  ","")&amp;IF(AND(EDATE($D92,Milestones!$AA$106)&lt;=AsOfDate,IF($Q92=0,$W92,IF(AND($S92&lt;&gt;"",EDATE($D92,Milestones!$AA$106)&gt;=$S92),$V92,IF(AND($R92&lt;&gt;"",EDATE($D92,Milestones!$AA$106)&gt;=$R92),$U92,$T92)))=Milestones!$AB$106),TEXT(EDATE($D92,Milestones!$AA$106),"dd/mm/yy")&amp;" "&amp;Milestones!$AB$106&amp;" "&amp;Milestones!$AC$106&amp;";  ","")&amp;IF(AND(EDATE($D92,Milestones!$AA$107)&lt;=AsOfDate,IF($Q92=0,$W92,IF(AND($S92&lt;&gt;"",EDATE($D92,Milestones!$AA$107)&gt;=$S92),$V92,IF(AND($R92&lt;&gt;"",EDATE($D92,Milestones!$AA$107)&gt;=$R92),$U92,$T92)))=Milestones!$AB$107),TEXT(EDATE($D92,Milestones!$AA$107),"dd/mm/yy")&amp;" "&amp;Milestones!$AB$107&amp;" "&amp;Milestones!$AC$107&amp;";  ","")&amp;IF(AND(EDATE($D92,Milestones!$AA$108)&lt;=AsOfDate,IF($Q92=0,$W92,IF(AND($S92&lt;&gt;"",EDATE($D92,Milestones!$AA$108)&gt;=$S92),$V92,IF(AND($R92&lt;&gt;"",EDATE($D92,Milestones!$AA$108)&gt;=$R92),$U92,$T92)))=Milestones!$AB$108),TEXT(EDATE($D92,Milestones!$AA$108),"dd/mm/yy")&amp;" "&amp;Milestones!$AB$108&amp;" "&amp;Milestones!$AC$108&amp;";  ","")&amp;IF(AND(EDATE($D92,Milestones!$AA$109)&lt;=AsOfDate,IF($Q92=0,$W92,IF(AND($S92&lt;&gt;"",EDATE($D92,Milestones!$AA$109)&gt;=$S92),$V92,IF(AND($R92&lt;&gt;"",EDATE($D92,Milestones!$AA$109)&gt;=$R92),$U92,$T92)))=Milestones!$AB$109),TEXT(EDATE($D92,Milestones!$AA$109),"dd/mm/yy")&amp;" "&amp;Milestones!$AB$109&amp;" "&amp;Milestones!$AC$109&amp;";  ","")&amp;IF(AND(EDATE($D92,Milestones!$AA$110)&lt;=AsOfDate,IF($Q92=0,$W92,IF(AND($S92&lt;&gt;"",EDATE($D92,Milestones!$AA$110)&gt;=$S92),$V92,IF(AND($R92&lt;&gt;"",EDATE($D92,Milestones!$AA$110)&gt;=$R92),$U92,$T92)))=Milestones!$AB$110),TEXT(EDATE($D92,Milestones!$AA$110),"dd/mm/yy")&amp;" "&amp;Milestones!$AB$110&amp;" "&amp;Milestones!$AC$110&amp;";  ","")&amp;IF(AND(EDATE($D92,Milestones!$AA$111)&lt;=AsOfDate,IF($Q92=0,$W92,IF(AND($S92&lt;&gt;"",EDATE($D92,Milestones!$AA$111)&gt;=$S92),$V92,IF(AND($R92&lt;&gt;"",EDATE($D92,Milestones!$AA$111)&gt;=$R92),$U92,$T92)))=Milestones!$AB$111),TEXT(EDATE($D92,Milestones!$AA$111),"dd/mm/yy")&amp;" "&amp;Milestones!$AB$111&amp;" "&amp;Milestones!$AC$111&amp;";  ","")&amp;IF(AND(EDATE($D92,Milestones!$AA$112)&lt;=AsOfDate,IF($Q92=0,$W92,IF(AND($S92&lt;&gt;"",EDATE($D92,Milestones!$AA$112)&gt;=$S92),$V92,IF(AND($R92&lt;&gt;"",EDATE($D92,Milestones!$AA$112)&gt;=$R92),$U92,$T92)))=Milestones!$AB$112),TEXT(EDATE($D92,Milestones!$AA$112),"dd/mm/yy")&amp;" "&amp;Milestones!$AB$112&amp;" "&amp;Milestones!$AC$112&amp;";  ","")&amp;IF(AND(EDATE($D92,Milestones!$AA$113)&lt;=AsOfDate,IF($Q92=0,$W92,IF(AND($S92&lt;&gt;"",EDATE($D92,Milestones!$AA$113)&gt;=$S92),$V92,IF(AND($R92&lt;&gt;"",EDATE($D92,Milestones!$AA$113)&gt;=$R92),$U92,$T92)))=Milestones!$AB$113),TEXT(EDATE($D92,Milestones!$AA$113),"dd/mm/yy")&amp;" "&amp;Milestones!$AB$113&amp;" "&amp;Milestones!$AC$113&amp;";  ","")&amp;IF(AND(EDATE($D92,Milestones!$AA$114)&lt;=AsOfDate,IF($Q92=0,$W92,IF(AND($S92&lt;&gt;"",EDATE($D92,Milestones!$AA$114)&gt;=$S92),$V92,IF(AND($R92&lt;&gt;"",EDATE($D92,Milestones!$AA$114)&gt;=$R92),$U92,$T92)))=Milestones!$AB$114),TEXT(EDATE($D92,Milestones!$AA$114),"dd/mm/yy")&amp;" "&amp;Milestones!$AB$114&amp;" "&amp;Milestones!$AC$114&amp;";  ","")&amp;IF(AND(EDATE($D92,Milestones!$AA$115)&lt;=AsOfDate,IF($Q92=0,$W92,IF(AND($S92&lt;&gt;"",EDATE($D92,Milestones!$AA$115)&gt;=$S92),$V92,IF(AND($R92&lt;&gt;"",EDATE($D92,Milestones!$AA$115)&gt;=$R92),$U92,$T92)))=Milestones!$AB$115),TEXT(EDATE($D92,Milestones!$AA$115),"dd/mm/yy")&amp;" "&amp;Milestones!$AB$115&amp;" "&amp;Milestones!$AC$115&amp;";  ","")&amp;IF(AND(EDATE($D92,Milestones!$AA$116)&lt;=AsOfDate,IF($Q92=0,$W92,IF(AND($S92&lt;&gt;"",EDATE($D92,Milestones!$AA$116)&gt;=$S92),$V92,IF(AND($R92&lt;&gt;"",EDATE($D92,Milestones!$AA$116)&gt;=$R92),$U92,$T92)))=Milestones!$AB$116),TEXT(EDATE($D92,Milestones!$AA$116),"dd/mm/yy")&amp;" "&amp;Milestones!$AB$116&amp;" "&amp;Milestones!$AC$116&amp;";  ","")&amp;IF(AND(EDATE($D92,Milestones!$AA$117)&lt;=AsOfDate,IF($Q92=0,$W92,IF(AND($S92&lt;&gt;"",EDATE($D92,Milestones!$AA$117)&gt;=$S92),$V92,IF(AND($R92&lt;&gt;"",EDATE($D92,Milestones!$AA$117)&gt;=$R92),$U92,$T92)))=Milestones!$AB$117),TEXT(EDATE($D92,Milestones!$AA$117),"dd/mm/yy")&amp;" "&amp;Milestones!$AB$117&amp;" "&amp;Milestones!$AC$117&amp;";  ","")&amp;IF(AND(EDATE($D92,Milestones!$AA$118)&lt;=AsOfDate,IF($Q92=0,$W92,IF(AND($S92&lt;&gt;"",EDATE($D92,Milestones!$AA$118)&gt;=$S92),$V92,IF(AND($R92&lt;&gt;"",EDATE($D92,Milestones!$AA$118)&gt;=$R92),$U92,$T92)))=Milestones!$AB$118),TEXT(EDATE($D92,Milestones!$AA$118),"dd/mm/yy")&amp;" "&amp;Milestones!$AB$118&amp;" "&amp;Milestones!$AC$118&amp;";  ","")&amp;IF(AND(EDATE($D92,Milestones!$AA$119)&lt;=AsOfDate,IF($Q92=0,$W92,IF(AND($S92&lt;&gt;"",EDATE($D92,Milestones!$AA$119)&gt;=$S92),$V92,IF(AND($R92&lt;&gt;"",EDATE($D92,Milestones!$AA$119)&gt;=$R92),$U92,$T92)))=Milestones!$AB$119),TEXT(EDATE($D92,Milestones!$AA$119),"dd/mm/yy")&amp;" "&amp;Milestones!$AB$119&amp;" "&amp;Milestones!$AC$119&amp;";  ",""))</f>
        <v/>
      </c>
      <c r="M92" s="0" t="str">
        <f aca="false">IF(OR($A92="",$D92=""),"",IF(AND(EDATE($D92,Milestones!$AA$120)&lt;=AsOfDate,IF($Q92=0,$W92,IF(AND($S92&lt;&gt;"",EDATE($D92,Milestones!$AA$120)&gt;=$S92),$V92,IF(AND($R92&lt;&gt;"",EDATE($D92,Milestones!$AA$120)&gt;=$R92),$U92,$T92)))=Milestones!$AB$120),TEXT(EDATE($D92,Milestones!$AA$120),"dd/mm/yy")&amp;" "&amp;Milestones!$AB$120&amp;" "&amp;Milestones!$AC$120&amp;";  ","")&amp;IF(AND(EDATE($D92,Milestones!$AA$121)&lt;=AsOfDate,IF($Q92=0,$W92,IF(AND($S92&lt;&gt;"",EDATE($D92,Milestones!$AA$121)&gt;=$S92),$V92,IF(AND($R92&lt;&gt;"",EDATE($D92,Milestones!$AA$121)&gt;=$R92),$U92,$T92)))=Milestones!$AB$121),TEXT(EDATE($D92,Milestones!$AA$121),"dd/mm/yy")&amp;" "&amp;Milestones!$AB$121&amp;" "&amp;Milestones!$AC$121&amp;";  ","")&amp;IF(AND(EDATE($D92,Milestones!$AA$122)&lt;=AsOfDate,IF($Q92=0,$W92,IF(AND($S92&lt;&gt;"",EDATE($D92,Milestones!$AA$122)&gt;=$S92),$V92,IF(AND($R92&lt;&gt;"",EDATE($D92,Milestones!$AA$122)&gt;=$R92),$U92,$T92)))=Milestones!$AB$122),TEXT(EDATE($D92,Milestones!$AA$122),"dd/mm/yy")&amp;" "&amp;Milestones!$AB$122&amp;" "&amp;Milestones!$AC$122&amp;";  ","")&amp;IF(AND(EDATE($D92,Milestones!$AA$123)&lt;=AsOfDate,IF($Q92=0,$W92,IF(AND($S92&lt;&gt;"",EDATE($D92,Milestones!$AA$123)&gt;=$S92),$V92,IF(AND($R92&lt;&gt;"",EDATE($D92,Milestones!$AA$123)&gt;=$R92),$U92,$T92)))=Milestones!$AB$123),TEXT(EDATE($D92,Milestones!$AA$123),"dd/mm/yy")&amp;" "&amp;Milestones!$AB$123&amp;" "&amp;Milestones!$AC$123&amp;";  ","")&amp;IF(AND(EDATE($D92,Milestones!$AA$124)&lt;=AsOfDate,IF($Q92=0,$W92,IF(AND($S92&lt;&gt;"",EDATE($D92,Milestones!$AA$124)&gt;=$S92),$V92,IF(AND($R92&lt;&gt;"",EDATE($D92,Milestones!$AA$124)&gt;=$R92),$U92,$T92)))=Milestones!$AB$124),TEXT(EDATE($D92,Milestones!$AA$124),"dd/mm/yy")&amp;" "&amp;Milestones!$AB$124&amp;" "&amp;Milestones!$AC$124&amp;";  ","")&amp;IF(AND(EDATE($D92,Milestones!$AA$125)&lt;=AsOfDate,IF($Q92=0,$W92,IF(AND($S92&lt;&gt;"",EDATE($D92,Milestones!$AA$125)&gt;=$S92),$V92,IF(AND($R92&lt;&gt;"",EDATE($D92,Milestones!$AA$125)&gt;=$R92),$U92,$T92)))=Milestones!$AB$125),TEXT(EDATE($D92,Milestones!$AA$125),"dd/mm/yy")&amp;" "&amp;Milestones!$AB$125&amp;" "&amp;Milestones!$AC$125&amp;";  ","")&amp;IF(AND(EDATE($D92,Milestones!$AA$126)&lt;=AsOfDate,IF($Q92=0,$W92,IF(AND($S92&lt;&gt;"",EDATE($D92,Milestones!$AA$126)&gt;=$S92),$V92,IF(AND($R92&lt;&gt;"",EDATE($D92,Milestones!$AA$126)&gt;=$R92),$U92,$T92)))=Milestones!$AB$126),TEXT(EDATE($D92,Milestones!$AA$126),"dd/mm/yy")&amp;" "&amp;Milestones!$AB$126&amp;" "&amp;Milestones!$AC$126&amp;";  ","")&amp;IF(AND(EDATE($D92,Milestones!$AA$127)&lt;=AsOfDate,IF($Q92=0,$W92,IF(AND($S92&lt;&gt;"",EDATE($D92,Milestones!$AA$127)&gt;=$S92),$V92,IF(AND($R92&lt;&gt;"",EDATE($D92,Milestones!$AA$127)&gt;=$R92),$U92,$T92)))=Milestones!$AB$127),TEXT(EDATE($D92,Milestones!$AA$127),"dd/mm/yy")&amp;" "&amp;Milestones!$AB$127&amp;" "&amp;Milestones!$AC$127&amp;";  ","")&amp;IF(AND(EDATE($D92,Milestones!$AA$128)&lt;=AsOfDate,IF($Q92=0,$W92,IF(AND($S92&lt;&gt;"",EDATE($D92,Milestones!$AA$128)&gt;=$S92),$V92,IF(AND($R92&lt;&gt;"",EDATE($D92,Milestones!$AA$128)&gt;=$R92),$U92,$T92)))=Milestones!$AB$128),TEXT(EDATE($D92,Milestones!$AA$128),"dd/mm/yy")&amp;" "&amp;Milestones!$AB$128&amp;" "&amp;Milestones!$AC$128&amp;";  ","")&amp;IF(AND(EDATE($D92,Milestones!$AA$129)&lt;=AsOfDate,IF($Q92=0,$W92,IF(AND($S92&lt;&gt;"",EDATE($D92,Milestones!$AA$129)&gt;=$S92),$V92,IF(AND($R92&lt;&gt;"",EDATE($D92,Milestones!$AA$129)&gt;=$R92),$U92,$T92)))=Milestones!$AB$129),TEXT(EDATE($D92,Milestones!$AA$129),"dd/mm/yy")&amp;" "&amp;Milestones!$AB$129&amp;" "&amp;Milestones!$AC$129&amp;";  ","")&amp;IF(AND(EDATE($D92,Milestones!$AA$130)&lt;=AsOfDate,IF($Q92=0,$W92,IF(AND($S92&lt;&gt;"",EDATE($D92,Milestones!$AA$130)&gt;=$S92),$V92,IF(AND($R92&lt;&gt;"",EDATE($D92,Milestones!$AA$130)&gt;=$R92),$U92,$T92)))=Milestones!$AB$130),TEXT(EDATE($D92,Milestones!$AA$130),"dd/mm/yy")&amp;" "&amp;Milestones!$AB$130&amp;" "&amp;Milestones!$AC$130&amp;";  ","")&amp;IF(AND(EDATE($D92,Milestones!$AA$131)&lt;=AsOfDate,IF($Q92=0,$W92,IF(AND($S92&lt;&gt;"",EDATE($D92,Milestones!$AA$131)&gt;=$S92),$V92,IF(AND($R92&lt;&gt;"",EDATE($D92,Milestones!$AA$131)&gt;=$R92),$U92,$T92)))=Milestones!$AB$131),TEXT(EDATE($D92,Milestones!$AA$131),"dd/mm/yy")&amp;" "&amp;Milestones!$AB$131&amp;" "&amp;Milestones!$AC$131&amp;";  ","")&amp;IF(AND(EDATE($D92,Milestones!$AA$132)&lt;=AsOfDate,IF($Q92=0,$W92,IF(AND($S92&lt;&gt;"",EDATE($D92,Milestones!$AA$132)&gt;=$S92),$V92,IF(AND($R92&lt;&gt;"",EDATE($D92,Milestones!$AA$132)&gt;=$R92),$U92,$T92)))=Milestones!$AB$132),TEXT(EDATE($D92,Milestones!$AA$132),"dd/mm/yy")&amp;" "&amp;Milestones!$AB$132&amp;" "&amp;Milestones!$AC$132&amp;";  ","")&amp;IF(AND(EDATE($D92,Milestones!$AA$133)&lt;=AsOfDate,IF($Q92=0,$W92,IF(AND($S92&lt;&gt;"",EDATE($D92,Milestones!$AA$133)&gt;=$S92),$V92,IF(AND($R92&lt;&gt;"",EDATE($D92,Milestones!$AA$133)&gt;=$R92),$U92,$T92)))=Milestones!$AB$133),TEXT(EDATE($D92,Milestones!$AA$133),"dd/mm/yy")&amp;" "&amp;Milestones!$AB$133&amp;" "&amp;Milestones!$AC$133&amp;";  ","")&amp;IF(AND(EDATE($D92,Milestones!$AA$134)&lt;=AsOfDate,IF($Q92=0,$W92,IF(AND($S92&lt;&gt;"",EDATE($D92,Milestones!$AA$134)&gt;=$S92),$V92,IF(AND($R92&lt;&gt;"",EDATE($D92,Milestones!$AA$134)&gt;=$R92),$U92,$T92)))=Milestones!$AB$134),TEXT(EDATE($D92,Milestones!$AA$134),"dd/mm/yy")&amp;" "&amp;Milestones!$AB$134&amp;" "&amp;Milestones!$AC$134&amp;";  ","")&amp;IF(AND(EDATE($D92,Milestones!$AA$135)&lt;=AsOfDate,IF($Q92=0,$W92,IF(AND($S92&lt;&gt;"",EDATE($D92,Milestones!$AA$135)&gt;=$S92),$V92,IF(AND($R92&lt;&gt;"",EDATE($D92,Milestones!$AA$135)&gt;=$R92),$U92,$T92)))=Milestones!$AB$135),TEXT(EDATE($D92,Milestones!$AA$135),"dd/mm/yy")&amp;" "&amp;Milestones!$AB$135&amp;" "&amp;Milestones!$AC$135&amp;";  ","")&amp;IF(AND(EDATE($D92,Milestones!$AA$136)&lt;=AsOfDate,IF($Q92=0,$W92,IF(AND($S92&lt;&gt;"",EDATE($D92,Milestones!$AA$136)&gt;=$S92),$V92,IF(AND($R92&lt;&gt;"",EDATE($D92,Milestones!$AA$136)&gt;=$R92),$U92,$T92)))=Milestones!$AB$136),TEXT(EDATE($D92,Milestones!$AA$136),"dd/mm/yy")&amp;" "&amp;Milestones!$AB$136&amp;" "&amp;Milestones!$AC$136&amp;";  ","")&amp;IF(AND(EDATE($D92,Milestones!$AA$137)&lt;=AsOfDate,IF($Q92=0,$W92,IF(AND($S92&lt;&gt;"",EDATE($D92,Milestones!$AA$137)&gt;=$S92),$V92,IF(AND($R92&lt;&gt;"",EDATE($D92,Milestones!$AA$137)&gt;=$R92),$U92,$T92)))=Milestones!$AB$137),TEXT(EDATE($D92,Milestones!$AA$137),"dd/mm/yy")&amp;" "&amp;Milestones!$AB$137&amp;" "&amp;Milestones!$AC$137&amp;";  ","")&amp;IF(AND(EDATE($D92,Milestones!$AA$138)&lt;=AsOfDate,IF($Q92=0,$W92,IF(AND($S92&lt;&gt;"",EDATE($D92,Milestones!$AA$138)&gt;=$S92),$V92,IF(AND($R92&lt;&gt;"",EDATE($D92,Milestones!$AA$138)&gt;=$R92),$U92,$T92)))=Milestones!$AB$138),TEXT(EDATE($D92,Milestones!$AA$138),"dd/mm/yy")&amp;" "&amp;Milestones!$AB$138&amp;" "&amp;Milestones!$AC$138&amp;";  ","")&amp;IF(AND(EDATE($D92,Milestones!$AA$139)&lt;=AsOfDate,IF($Q92=0,$W92,IF(AND($S92&lt;&gt;"",EDATE($D92,Milestones!$AA$139)&gt;=$S92),$V92,IF(AND($R92&lt;&gt;"",EDATE($D92,Milestones!$AA$139)&gt;=$R92),$U92,$T92)))=Milestones!$AB$139),TEXT(EDATE($D92,Milestones!$AA$139),"dd/mm/yy")&amp;" "&amp;Milestones!$AB$139&amp;" "&amp;Milestones!$AC$139&amp;";  ",""))</f>
        <v/>
      </c>
      <c r="N92" s="0" t="str">
        <f aca="false">IF(OR($A92="",$D92=""),"",IF(AND(EDATE($D92,Milestones!$AA$140)&lt;=AsOfDate,IF($Q92=0,$W92,IF(AND($S92&lt;&gt;"",EDATE($D92,Milestones!$AA$140)&gt;=$S92),$V92,IF(AND($R92&lt;&gt;"",EDATE($D92,Milestones!$AA$140)&gt;=$R92),$U92,$T92)))=Milestones!$AB$140),TEXT(EDATE($D92,Milestones!$AA$140),"dd/mm/yy")&amp;" "&amp;Milestones!$AB$140&amp;" "&amp;Milestones!$AC$140&amp;";  ","")&amp;IF(AND(EDATE($D92,Milestones!$AA$141)&lt;=AsOfDate,IF($Q92=0,$W92,IF(AND($S92&lt;&gt;"",EDATE($D92,Milestones!$AA$141)&gt;=$S92),$V92,IF(AND($R92&lt;&gt;"",EDATE($D92,Milestones!$AA$141)&gt;=$R92),$U92,$T92)))=Milestones!$AB$141),TEXT(EDATE($D92,Milestones!$AA$141),"dd/mm/yy")&amp;" "&amp;Milestones!$AB$141&amp;" "&amp;Milestones!$AC$141&amp;";  ","")&amp;IF(AND(EDATE($D92,Milestones!$AA$142)&lt;=AsOfDate,IF($Q92=0,$W92,IF(AND($S92&lt;&gt;"",EDATE($D92,Milestones!$AA$142)&gt;=$S92),$V92,IF(AND($R92&lt;&gt;"",EDATE($D92,Milestones!$AA$142)&gt;=$R92),$U92,$T92)))=Milestones!$AB$142),TEXT(EDATE($D92,Milestones!$AA$142),"dd/mm/yy")&amp;" "&amp;Milestones!$AB$142&amp;" "&amp;Milestones!$AC$142&amp;";  ","")&amp;IF(AND(EDATE($D92,Milestones!$AA$143)&lt;=AsOfDate,IF($Q92=0,$W92,IF(AND($S92&lt;&gt;"",EDATE($D92,Milestones!$AA$143)&gt;=$S92),$V92,IF(AND($R92&lt;&gt;"",EDATE($D92,Milestones!$AA$143)&gt;=$R92),$U92,$T92)))=Milestones!$AB$143),TEXT(EDATE($D92,Milestones!$AA$143),"dd/mm/yy")&amp;" "&amp;Milestones!$AB$143&amp;" "&amp;Milestones!$AC$143&amp;";  ","")&amp;IF(AND(EDATE($D92,Milestones!$AA$144)&lt;=AsOfDate,IF($Q92=0,$W92,IF(AND($S92&lt;&gt;"",EDATE($D92,Milestones!$AA$144)&gt;=$S92),$V92,IF(AND($R92&lt;&gt;"",EDATE($D92,Milestones!$AA$144)&gt;=$R92),$U92,$T92)))=Milestones!$AB$144),TEXT(EDATE($D92,Milestones!$AA$144),"dd/mm/yy")&amp;" "&amp;Milestones!$AB$144&amp;" "&amp;Milestones!$AC$144&amp;";  ","")&amp;IF(AND(EDATE($D92,Milestones!$AA$145)&lt;=AsOfDate,IF($Q92=0,$W92,IF(AND($S92&lt;&gt;"",EDATE($D92,Milestones!$AA$145)&gt;=$S92),$V92,IF(AND($R92&lt;&gt;"",EDATE($D92,Milestones!$AA$145)&gt;=$R92),$U92,$T92)))=Milestones!$AB$145),TEXT(EDATE($D92,Milestones!$AA$145),"dd/mm/yy")&amp;" "&amp;Milestones!$AB$145&amp;" "&amp;Milestones!$AC$145&amp;";  ","")&amp;IF(AND(EDATE($D92,Milestones!$AA$146)&lt;=AsOfDate,IF($Q92=0,$W92,IF(AND($S92&lt;&gt;"",EDATE($D92,Milestones!$AA$146)&gt;=$S92),$V92,IF(AND($R92&lt;&gt;"",EDATE($D92,Milestones!$AA$146)&gt;=$R92),$U92,$T92)))=Milestones!$AB$146),TEXT(EDATE($D92,Milestones!$AA$146),"dd/mm/yy")&amp;" "&amp;Milestones!$AB$146&amp;" "&amp;Milestones!$AC$146&amp;";  ","")&amp;IF(AND(EDATE($D92,Milestones!$AA$147)&lt;=AsOfDate,IF($Q92=0,$W92,IF(AND($S92&lt;&gt;"",EDATE($D92,Milestones!$AA$147)&gt;=$S92),$V92,IF(AND($R92&lt;&gt;"",EDATE($D92,Milestones!$AA$147)&gt;=$R92),$U92,$T92)))=Milestones!$AB$147),TEXT(EDATE($D92,Milestones!$AA$147),"dd/mm/yy")&amp;" "&amp;Milestones!$AB$147&amp;" "&amp;Milestones!$AC$147&amp;";  ","")&amp;IF(AND(EDATE($D92,Milestones!$AA$148)&lt;=AsOfDate,IF($Q92=0,$W92,IF(AND($S92&lt;&gt;"",EDATE($D92,Milestones!$AA$148)&gt;=$S92),$V92,IF(AND($R92&lt;&gt;"",EDATE($D92,Milestones!$AA$148)&gt;=$R92),$U92,$T92)))=Milestones!$AB$148),TEXT(EDATE($D92,Milestones!$AA$148),"dd/mm/yy")&amp;" "&amp;Milestones!$AB$148&amp;" "&amp;Milestones!$AC$148&amp;";  ","")&amp;IF(AND(EDATE($D92,Milestones!$AA$149)&lt;=AsOfDate,IF($Q92=0,$W92,IF(AND($S92&lt;&gt;"",EDATE($D92,Milestones!$AA$149)&gt;=$S92),$V92,IF(AND($R92&lt;&gt;"",EDATE($D92,Milestones!$AA$149)&gt;=$R92),$U92,$T92)))=Milestones!$AB$149),TEXT(EDATE($D92,Milestones!$AA$149),"dd/mm/yy")&amp;" "&amp;Milestones!$AB$149&amp;" "&amp;Milestones!$AC$149&amp;";  ","")&amp;IF(AND(EDATE($D92,Milestones!$AA$150)&lt;=AsOfDate,IF($Q92=0,$W92,IF(AND($S92&lt;&gt;"",EDATE($D92,Milestones!$AA$150)&gt;=$S92),$V92,IF(AND($R92&lt;&gt;"",EDATE($D92,Milestones!$AA$150)&gt;=$R92),$U92,$T92)))=Milestones!$AB$150),TEXT(EDATE($D92,Milestones!$AA$150),"dd/mm/yy")&amp;" "&amp;Milestones!$AB$150&amp;" "&amp;Milestones!$AC$150&amp;";  ","")&amp;IF(AND(EDATE($D92,Milestones!$AA$151)&lt;=AsOfDate,IF($Q92=0,$W92,IF(AND($S92&lt;&gt;"",EDATE($D92,Milestones!$AA$151)&gt;=$S92),$V92,IF(AND($R92&lt;&gt;"",EDATE($D92,Milestones!$AA$151)&gt;=$R92),$U92,$T92)))=Milestones!$AB$151),TEXT(EDATE($D92,Milestones!$AA$151),"dd/mm/yy")&amp;" "&amp;Milestones!$AB$151&amp;" "&amp;Milestones!$AC$151&amp;";  ","")&amp;IF(AND(EDATE($D92,Milestones!$AA$152)&lt;=AsOfDate,IF($Q92=0,$W92,IF(AND($S92&lt;&gt;"",EDATE($D92,Milestones!$AA$152)&gt;=$S92),$V92,IF(AND($R92&lt;&gt;"",EDATE($D92,Milestones!$AA$152)&gt;=$R92),$U92,$T92)))=Milestones!$AB$152),TEXT(EDATE($D92,Milestones!$AA$152),"dd/mm/yy")&amp;" "&amp;Milestones!$AB$152&amp;" "&amp;Milestones!$AC$152&amp;";  ","")&amp;IF(AND(EDATE($D92,Milestones!$AA$153)&lt;=AsOfDate,IF($Q92=0,$W92,IF(AND($S92&lt;&gt;"",EDATE($D92,Milestones!$AA$153)&gt;=$S92),$V92,IF(AND($R92&lt;&gt;"",EDATE($D92,Milestones!$AA$153)&gt;=$R92),$U92,$T92)))=Milestones!$AB$153),TEXT(EDATE($D92,Milestones!$AA$153),"dd/mm/yy")&amp;" "&amp;Milestones!$AB$153&amp;" "&amp;Milestones!$AC$153&amp;";  ","")&amp;IF(AND(EDATE($D92,Milestones!$AA$154)&lt;=AsOfDate,IF($Q92=0,$W92,IF(AND($S92&lt;&gt;"",EDATE($D92,Milestones!$AA$154)&gt;=$S92),$V92,IF(AND($R92&lt;&gt;"",EDATE($D92,Milestones!$AA$154)&gt;=$R92),$U92,$T92)))=Milestones!$AB$154),TEXT(EDATE($D92,Milestones!$AA$154),"dd/mm/yy")&amp;" "&amp;Milestones!$AB$154&amp;" "&amp;Milestones!$AC$154&amp;";  ","")&amp;IF(AND(EDATE($D92,Milestones!$AA$155)&lt;=AsOfDate,IF($Q92=0,$W92,IF(AND($S92&lt;&gt;"",EDATE($D92,Milestones!$AA$155)&gt;=$S92),$V92,IF(AND($R92&lt;&gt;"",EDATE($D92,Milestones!$AA$155)&gt;=$R92),$U92,$T92)))=Milestones!$AB$155),TEXT(EDATE($D92,Milestones!$AA$155),"dd/mm/yy")&amp;" "&amp;Milestones!$AB$155&amp;" "&amp;Milestones!$AC$155&amp;";  ","")&amp;IF(AND(EDATE($D92,Milestones!$AA$156)&lt;=AsOfDate,IF($Q92=0,$W92,IF(AND($S92&lt;&gt;"",EDATE($D92,Milestones!$AA$156)&gt;=$S92),$V92,IF(AND($R92&lt;&gt;"",EDATE($D92,Milestones!$AA$156)&gt;=$R92),$U92,$T92)))=Milestones!$AB$156),TEXT(EDATE($D92,Milestones!$AA$156),"dd/mm/yy")&amp;" "&amp;Milestones!$AB$156&amp;" "&amp;Milestones!$AC$156&amp;";  ","")&amp;IF(AND(EDATE($D92,Milestones!$AA$157)&lt;=AsOfDate,IF($Q92=0,$W92,IF(AND($S92&lt;&gt;"",EDATE($D92,Milestones!$AA$157)&gt;=$S92),$V92,IF(AND($R92&lt;&gt;"",EDATE($D92,Milestones!$AA$157)&gt;=$R92),$U92,$T92)))=Milestones!$AB$157),TEXT(EDATE($D92,Milestones!$AA$157),"dd/mm/yy")&amp;" "&amp;Milestones!$AB$157&amp;" "&amp;Milestones!$AC$157&amp;";  ","")&amp;IF(AND(EDATE($D92,Milestones!$AA$158)&lt;=AsOfDate,IF($Q92=0,$W92,IF(AND($S92&lt;&gt;"",EDATE($D92,Milestones!$AA$158)&gt;=$S92),$V92,IF(AND($R92&lt;&gt;"",EDATE($D92,Milestones!$AA$158)&gt;=$R92),$U92,$T92)))=Milestones!$AB$158),TEXT(EDATE($D92,Milestones!$AA$158),"dd/mm/yy")&amp;" "&amp;Milestones!$AB$158&amp;" "&amp;Milestones!$AC$158&amp;";  ","")&amp;IF(AND(EDATE($D92,Milestones!$AA$159)&lt;=AsOfDate,IF($Q92=0,$W92,IF(AND($S92&lt;&gt;"",EDATE($D92,Milestones!$AA$159)&gt;=$S92),$V92,IF(AND($R92&lt;&gt;"",EDATE($D92,Milestones!$AA$159)&gt;=$R92),$U92,$T92)))=Milestones!$AB$159),TEXT(EDATE($D92,Milestones!$AA$159),"dd/mm/yy")&amp;" "&amp;Milestones!$AB$159&amp;" "&amp;Milestones!$AC$159&amp;";  ",""))</f>
        <v/>
      </c>
      <c r="O92" s="0" t="str">
        <f aca="false">IF(OR($A92="",$D92=""),"",IF(AND(EDATE($D92,Milestones!$AA$160)&lt;=AsOfDate,IF($Q92=0,$W92,IF(AND($S92&lt;&gt;"",EDATE($D92,Milestones!$AA$160)&gt;=$S92),$V92,IF(AND($R92&lt;&gt;"",EDATE($D92,Milestones!$AA$160)&gt;=$R92),$U92,$T92)))=Milestones!$AB$160),TEXT(EDATE($D92,Milestones!$AA$160),"dd/mm/yy")&amp;" "&amp;Milestones!$AB$160&amp;" "&amp;Milestones!$AC$160&amp;";  ","")&amp;IF(AND(EDATE($D92,Milestones!$AA$161)&lt;=AsOfDate,IF($Q92=0,$W92,IF(AND($S92&lt;&gt;"",EDATE($D92,Milestones!$AA$161)&gt;=$S92),$V92,IF(AND($R92&lt;&gt;"",EDATE($D92,Milestones!$AA$161)&gt;=$R92),$U92,$T92)))=Milestones!$AB$161),TEXT(EDATE($D92,Milestones!$AA$161),"dd/mm/yy")&amp;" "&amp;Milestones!$AB$161&amp;" "&amp;Milestones!$AC$161&amp;";  ","")&amp;IF(AND(EDATE($D92,Milestones!$AA$162)&lt;=AsOfDate,IF($Q92=0,$W92,IF(AND($S92&lt;&gt;"",EDATE($D92,Milestones!$AA$162)&gt;=$S92),$V92,IF(AND($R92&lt;&gt;"",EDATE($D92,Milestones!$AA$162)&gt;=$R92),$U92,$T92)))=Milestones!$AB$162),TEXT(EDATE($D92,Milestones!$AA$162),"dd/mm/yy")&amp;" "&amp;Milestones!$AB$162&amp;" "&amp;Milestones!$AC$162&amp;";  ","")&amp;IF(AND(EDATE($D92,Milestones!$AA$163)&lt;=AsOfDate,IF($Q92=0,$W92,IF(AND($S92&lt;&gt;"",EDATE($D92,Milestones!$AA$163)&gt;=$S92),$V92,IF(AND($R92&lt;&gt;"",EDATE($D92,Milestones!$AA$163)&gt;=$R92),$U92,$T92)))=Milestones!$AB$163),TEXT(EDATE($D92,Milestones!$AA$163),"dd/mm/yy")&amp;" "&amp;Milestones!$AB$163&amp;" "&amp;Milestones!$AC$163&amp;";  ","")&amp;IF(AND(EDATE($D92,Milestones!$AA$164)&lt;=AsOfDate,IF($Q92=0,$W92,IF(AND($S92&lt;&gt;"",EDATE($D92,Milestones!$AA$164)&gt;=$S92),$V92,IF(AND($R92&lt;&gt;"",EDATE($D92,Milestones!$AA$164)&gt;=$R92),$U92,$T92)))=Milestones!$AB$164),TEXT(EDATE($D92,Milestones!$AA$164),"dd/mm/yy")&amp;" "&amp;Milestones!$AB$164&amp;" "&amp;Milestones!$AC$164&amp;";  ","")&amp;IF(AND(EDATE($D92,Milestones!$AA$165)&lt;=AsOfDate,IF($Q92=0,$W92,IF(AND($S92&lt;&gt;"",EDATE($D92,Milestones!$AA$165)&gt;=$S92),$V92,IF(AND($R92&lt;&gt;"",EDATE($D92,Milestones!$AA$165)&gt;=$R92),$U92,$T92)))=Milestones!$AB$165),TEXT(EDATE($D92,Milestones!$AA$165),"dd/mm/yy")&amp;" "&amp;Milestones!$AB$165&amp;" "&amp;Milestones!$AC$165&amp;";  ","")&amp;IF(AND(EDATE($D92,Milestones!$AA$166)&lt;=AsOfDate,IF($Q92=0,$W92,IF(AND($S92&lt;&gt;"",EDATE($D92,Milestones!$AA$166)&gt;=$S92),$V92,IF(AND($R92&lt;&gt;"",EDATE($D92,Milestones!$AA$166)&gt;=$R92),$U92,$T92)))=Milestones!$AB$166),TEXT(EDATE($D92,Milestones!$AA$166),"dd/mm/yy")&amp;" "&amp;Milestones!$AB$166&amp;" "&amp;Milestones!$AC$166&amp;";  ","")&amp;IF(AND(EDATE($D92,Milestones!$AA$167)&lt;=AsOfDate,IF($Q92=0,$W92,IF(AND($S92&lt;&gt;"",EDATE($D92,Milestones!$AA$167)&gt;=$S92),$V92,IF(AND($R92&lt;&gt;"",EDATE($D92,Milestones!$AA$167)&gt;=$R92),$U92,$T92)))=Milestones!$AB$167),TEXT(EDATE($D92,Milestones!$AA$167),"dd/mm/yy")&amp;" "&amp;Milestones!$AB$167&amp;" "&amp;Milestones!$AC$167&amp;";  ","")&amp;IF(AND(EDATE($D92,Milestones!$AA$168)&lt;=AsOfDate,IF($Q92=0,$W92,IF(AND($S92&lt;&gt;"",EDATE($D92,Milestones!$AA$168)&gt;=$S92),$V92,IF(AND($R92&lt;&gt;"",EDATE($D92,Milestones!$AA$168)&gt;=$R92),$U92,$T92)))=Milestones!$AB$168),TEXT(EDATE($D92,Milestones!$AA$168),"dd/mm/yy")&amp;" "&amp;Milestones!$AB$168&amp;" "&amp;Milestones!$AC$168&amp;";  ","")&amp;IF(AND(EDATE($D92,Milestones!$AA$169)&lt;=AsOfDate,IF($Q92=0,$W92,IF(AND($S92&lt;&gt;"",EDATE($D92,Milestones!$AA$169)&gt;=$S92),$V92,IF(AND($R92&lt;&gt;"",EDATE($D92,Milestones!$AA$169)&gt;=$R92),$U92,$T92)))=Milestones!$AB$169),TEXT(EDATE($D92,Milestones!$AA$169),"dd/mm/yy")&amp;" "&amp;Milestones!$AB$169&amp;" "&amp;Milestones!$AC$169&amp;";  ","")&amp;IF(AND(EDATE($D92,Milestones!$AA$170)&lt;=AsOfDate,IF($Q92=0,$W92,IF(AND($S92&lt;&gt;"",EDATE($D92,Milestones!$AA$170)&gt;=$S92),$V92,IF(AND($R92&lt;&gt;"",EDATE($D92,Milestones!$AA$170)&gt;=$R92),$U92,$T92)))=Milestones!$AB$170),TEXT(EDATE($D92,Milestones!$AA$170),"dd/mm/yy")&amp;" "&amp;Milestones!$AB$170&amp;" "&amp;Milestones!$AC$170&amp;";  ","")&amp;IF(AND(EDATE($D92,Milestones!$AA$171)&lt;=AsOfDate,IF($Q92=0,$W92,IF(AND($S92&lt;&gt;"",EDATE($D92,Milestones!$AA$171)&gt;=$S92),$V92,IF(AND($R92&lt;&gt;"",EDATE($D92,Milestones!$AA$171)&gt;=$R92),$U92,$T92)))=Milestones!$AB$171),TEXT(EDATE($D92,Milestones!$AA$171),"dd/mm/yy")&amp;" "&amp;Milestones!$AB$171&amp;" "&amp;Milestones!$AC$171&amp;";  ","")&amp;IF(AND(EDATE($D92,Milestones!$AA$172)&lt;=AsOfDate,IF($Q92=0,$W92,IF(AND($S92&lt;&gt;"",EDATE($D92,Milestones!$AA$172)&gt;=$S92),$V92,IF(AND($R92&lt;&gt;"",EDATE($D92,Milestones!$AA$172)&gt;=$R92),$U92,$T92)))=Milestones!$AB$172),TEXT(EDATE($D92,Milestones!$AA$172),"dd/mm/yy")&amp;" "&amp;Milestones!$AB$172&amp;" "&amp;Milestones!$AC$172&amp;";  ","")&amp;IF(AND(EDATE($D92,Milestones!$AA$173)&lt;=AsOfDate,IF($Q92=0,$W92,IF(AND($S92&lt;&gt;"",EDATE($D92,Milestones!$AA$173)&gt;=$S92),$V92,IF(AND($R92&lt;&gt;"",EDATE($D92,Milestones!$AA$173)&gt;=$R92),$U92,$T92)))=Milestones!$AB$173),TEXT(EDATE($D92,Milestones!$AA$173),"dd/mm/yy")&amp;" "&amp;Milestones!$AB$173&amp;" "&amp;Milestones!$AC$173&amp;";  ","")&amp;IF(AND(EDATE($D92,Milestones!$AA$174)&lt;=AsOfDate,IF($Q92=0,$W92,IF(AND($S92&lt;&gt;"",EDATE($D92,Milestones!$AA$174)&gt;=$S92),$V92,IF(AND($R92&lt;&gt;"",EDATE($D92,Milestones!$AA$174)&gt;=$R92),$U92,$T92)))=Milestones!$AB$174),TEXT(EDATE($D92,Milestones!$AA$174),"dd/mm/yy")&amp;" "&amp;Milestones!$AB$174&amp;" "&amp;Milestones!$AC$174&amp;";  ","")&amp;IF(AND(EDATE($D92,Milestones!$AA$175)&lt;=AsOfDate,IF($Q92=0,$W92,IF(AND($S92&lt;&gt;"",EDATE($D92,Milestones!$AA$175)&gt;=$S92),$V92,IF(AND($R92&lt;&gt;"",EDATE($D92,Milestones!$AA$175)&gt;=$R92),$U92,$T92)))=Milestones!$AB$175),TEXT(EDATE($D92,Milestones!$AA$175),"dd/mm/yy")&amp;" "&amp;Milestones!$AB$175&amp;" "&amp;Milestones!$AC$175&amp;";  ","")&amp;IF(AND(EDATE($D92,Milestones!$AA$176)&lt;=AsOfDate,IF($Q92=0,$W92,IF(AND($S92&lt;&gt;"",EDATE($D92,Milestones!$AA$176)&gt;=$S92),$V92,IF(AND($R92&lt;&gt;"",EDATE($D92,Milestones!$AA$176)&gt;=$R92),$U92,$T92)))=Milestones!$AB$176),TEXT(EDATE($D92,Milestones!$AA$176),"dd/mm/yy")&amp;" "&amp;Milestones!$AB$176&amp;" "&amp;Milestones!$AC$176&amp;";  ","")&amp;IF(AND(EDATE($D92,Milestones!$AA$177)&lt;=AsOfDate,IF($Q92=0,$W92,IF(AND($S92&lt;&gt;"",EDATE($D92,Milestones!$AA$177)&gt;=$S92),$V92,IF(AND($R92&lt;&gt;"",EDATE($D92,Milestones!$AA$177)&gt;=$R92),$U92,$T92)))=Milestones!$AB$177),TEXT(EDATE($D92,Milestones!$AA$177),"dd/mm/yy")&amp;" "&amp;Milestones!$AB$177&amp;" "&amp;Milestones!$AC$177&amp;";  ","")&amp;IF(AND(EDATE($D92,Milestones!$AA$178)&lt;=AsOfDate,IF($Q92=0,$W92,IF(AND($S92&lt;&gt;"",EDATE($D92,Milestones!$AA$178)&gt;=$S92),$V92,IF(AND($R92&lt;&gt;"",EDATE($D92,Milestones!$AA$178)&gt;=$R92),$U92,$T92)))=Milestones!$AB$178),TEXT(EDATE($D92,Milestones!$AA$178),"dd/mm/yy")&amp;" "&amp;Milestones!$AB$178&amp;" "&amp;Milestones!$AC$178&amp;";  ","")&amp;IF(AND(EDATE($D92,Milestones!$AA$179)&lt;=AsOfDate,IF($Q92=0,$W92,IF(AND($S92&lt;&gt;"",EDATE($D92,Milestones!$AA$179)&gt;=$S92),$V92,IF(AND($R92&lt;&gt;"",EDATE($D92,Milestones!$AA$179)&gt;=$R92),$U92,$T92)))=Milestones!$AB$179),TEXT(EDATE($D92,Milestones!$AA$179),"dd/mm/yy")&amp;" "&amp;Milestones!$AB$179&amp;" "&amp;Milestones!$AC$179&amp;";  ",""))</f>
        <v/>
      </c>
      <c r="P92" s="0" t="str">
        <f aca="false">IF(OR($A92="",$D92=""),"",IF(AND(EDATE($D92,Milestones!$AA$180)&lt;=AsOfDate,IF($Q92=0,$W92,IF(AND($S92&lt;&gt;"",EDATE($D92,Milestones!$AA$180)&gt;=$S92),$V92,IF(AND($R92&lt;&gt;"",EDATE($D92,Milestones!$AA$180)&gt;=$R92),$U92,$T92)))=Milestones!$AB$180),TEXT(EDATE($D92,Milestones!$AA$180),"dd/mm/yy")&amp;" "&amp;Milestones!$AB$180&amp;" "&amp;Milestones!$AC$180&amp;";  ","")&amp;IF(AND(EDATE($D92,Milestones!$AA$181)&lt;=AsOfDate,IF($Q92=0,$W92,IF(AND($S92&lt;&gt;"",EDATE($D92,Milestones!$AA$181)&gt;=$S92),$V92,IF(AND($R92&lt;&gt;"",EDATE($D92,Milestones!$AA$181)&gt;=$R92),$U92,$T92)))=Milestones!$AB$181),TEXT(EDATE($D92,Milestones!$AA$181),"dd/mm/yy")&amp;" "&amp;Milestones!$AB$181&amp;" "&amp;Milestones!$AC$181&amp;";  ","")&amp;IF(AND(EDATE($D92,Milestones!$AA$182)&lt;=AsOfDate,IF($Q92=0,$W92,IF(AND($S92&lt;&gt;"",EDATE($D92,Milestones!$AA$182)&gt;=$S92),$V92,IF(AND($R92&lt;&gt;"",EDATE($D92,Milestones!$AA$182)&gt;=$R92),$U92,$T92)))=Milestones!$AB$182),TEXT(EDATE($D92,Milestones!$AA$182),"dd/mm/yy")&amp;" "&amp;Milestones!$AB$182&amp;" "&amp;Milestones!$AC$182&amp;";  ","")&amp;IF(AND(EDATE($D92,Milestones!$AA$183)&lt;=AsOfDate,IF($Q92=0,$W92,IF(AND($S92&lt;&gt;"",EDATE($D92,Milestones!$AA$183)&gt;=$S92),$V92,IF(AND($R92&lt;&gt;"",EDATE($D92,Milestones!$AA$183)&gt;=$R92),$U92,$T92)))=Milestones!$AB$183),TEXT(EDATE($D92,Milestones!$AA$183),"dd/mm/yy")&amp;" "&amp;Milestones!$AB$183&amp;" "&amp;Milestones!$AC$183&amp;";  ","")&amp;IF(AND(EDATE($D92,Milestones!$AA$184)&lt;=AsOfDate,IF($Q92=0,$W92,IF(AND($S92&lt;&gt;"",EDATE($D92,Milestones!$AA$184)&gt;=$S92),$V92,IF(AND($R92&lt;&gt;"",EDATE($D92,Milestones!$AA$184)&gt;=$R92),$U92,$T92)))=Milestones!$AB$184),TEXT(EDATE($D92,Milestones!$AA$184),"dd/mm/yy")&amp;" "&amp;Milestones!$AB$184&amp;" "&amp;Milestones!$AC$184&amp;";  ","")&amp;IF(AND(EDATE($D92,Milestones!$AA$185)&lt;=AsOfDate,IF($Q92=0,$W92,IF(AND($S92&lt;&gt;"",EDATE($D92,Milestones!$AA$185)&gt;=$S92),$V92,IF(AND($R92&lt;&gt;"",EDATE($D92,Milestones!$AA$185)&gt;=$R92),$U92,$T92)))=Milestones!$AB$185),TEXT(EDATE($D92,Milestones!$AA$185),"dd/mm/yy")&amp;" "&amp;Milestones!$AB$185&amp;" "&amp;Milestones!$AC$185&amp;";  ","")&amp;IF(AND(EDATE($D92,Milestones!$AA$186)&lt;=AsOfDate,IF($Q92=0,$W92,IF(AND($S92&lt;&gt;"",EDATE($D92,Milestones!$AA$186)&gt;=$S92),$V92,IF(AND($R92&lt;&gt;"",EDATE($D92,Milestones!$AA$186)&gt;=$R92),$U92,$T92)))=Milestones!$AB$186),TEXT(EDATE($D92,Milestones!$AA$186),"dd/mm/yy")&amp;" "&amp;Milestones!$AB$186&amp;" "&amp;Milestones!$AC$186&amp;";  ","")&amp;IF(AND(EDATE($D92,Milestones!$AA$187)&lt;=AsOfDate,IF($Q92=0,$W92,IF(AND($S92&lt;&gt;"",EDATE($D92,Milestones!$AA$187)&gt;=$S92),$V92,IF(AND($R92&lt;&gt;"",EDATE($D92,Milestones!$AA$187)&gt;=$R92),$U92,$T92)))=Milestones!$AB$187),TEXT(EDATE($D92,Milestones!$AA$187),"dd/mm/yy")&amp;" "&amp;Milestones!$AB$187&amp;" "&amp;Milestones!$AC$187&amp;";  ","")&amp;IF(AND(EDATE($D92,Milestones!$AA$188)&lt;=AsOfDate,IF($Q92=0,$W92,IF(AND($S92&lt;&gt;"",EDATE($D92,Milestones!$AA$188)&gt;=$S92),$V92,IF(AND($R92&lt;&gt;"",EDATE($D92,Milestones!$AA$188)&gt;=$R92),$U92,$T92)))=Milestones!$AB$188),TEXT(EDATE($D92,Milestones!$AA$188),"dd/mm/yy")&amp;" "&amp;Milestones!$AB$188&amp;" "&amp;Milestones!$AC$188&amp;";  ","")&amp;IF(AND(EDATE($D92,Milestones!$AA$189)&lt;=AsOfDate,IF($Q92=0,$W92,IF(AND($S92&lt;&gt;"",EDATE($D92,Milestones!$AA$189)&gt;=$S92),$V92,IF(AND($R92&lt;&gt;"",EDATE($D92,Milestones!$AA$189)&gt;=$R92),$U92,$T92)))=Milestones!$AB$189),TEXT(EDATE($D92,Milestones!$AA$189),"dd/mm/yy")&amp;" "&amp;Milestones!$AB$189&amp;" "&amp;Milestones!$AC$189&amp;";  ","")&amp;IF(AND(EDATE($D92,Milestones!$AA$190)&lt;=AsOfDate,IF($Q92=0,$W92,IF(AND($S92&lt;&gt;"",EDATE($D92,Milestones!$AA$190)&gt;=$S92),$V92,IF(AND($R92&lt;&gt;"",EDATE($D92,Milestones!$AA$190)&gt;=$R92),$U92,$T92)))=Milestones!$AB$190),TEXT(EDATE($D92,Milestones!$AA$190),"dd/mm/yy")&amp;" "&amp;Milestones!$AB$190&amp;" "&amp;Milestones!$AC$190&amp;";  ","")&amp;IF(AND(EDATE($D92,Milestones!$AA$191)&lt;=AsOfDate,IF($Q92=0,$W92,IF(AND($S92&lt;&gt;"",EDATE($D92,Milestones!$AA$191)&gt;=$S92),$V92,IF(AND($R92&lt;&gt;"",EDATE($D92,Milestones!$AA$191)&gt;=$R92),$U92,$T92)))=Milestones!$AB$191),TEXT(EDATE($D92,Milestones!$AA$191),"dd/mm/yy")&amp;" "&amp;Milestones!$AB$191&amp;" "&amp;Milestones!$AC$191&amp;";  ","")&amp;IF(AND(EDATE($D92,Milestones!$AA$192)&lt;=AsOfDate,IF($Q92=0,$W92,IF(AND($S92&lt;&gt;"",EDATE($D92,Milestones!$AA$192)&gt;=$S92),$V92,IF(AND($R92&lt;&gt;"",EDATE($D92,Milestones!$AA$192)&gt;=$R92),$U92,$T92)))=Milestones!$AB$192),TEXT(EDATE($D92,Milestones!$AA$192),"dd/mm/yy")&amp;" "&amp;Milestones!$AB$192&amp;" "&amp;Milestones!$AC$192&amp;";  ","")&amp;IF(AND(EDATE($D92,Milestones!$AA$193)&lt;=AsOfDate,IF($Q92=0,$W92,IF(AND($S92&lt;&gt;"",EDATE($D92,Milestones!$AA$193)&gt;=$S92),$V92,IF(AND($R92&lt;&gt;"",EDATE($D92,Milestones!$AA$193)&gt;=$R92),$U92,$T92)))=Milestones!$AB$193),TEXT(EDATE($D92,Milestones!$AA$193),"dd/mm/yy")&amp;" "&amp;Milestones!$AB$193&amp;" "&amp;Milestones!$AC$193&amp;";  ","")&amp;IF(AND(EDATE($D92,Milestones!$AA$194)&lt;=AsOfDate,IF($Q92=0,$W92,IF(AND($S92&lt;&gt;"",EDATE($D92,Milestones!$AA$194)&gt;=$S92),$V92,IF(AND($R92&lt;&gt;"",EDATE($D92,Milestones!$AA$194)&gt;=$R92),$U92,$T92)))=Milestones!$AB$194),TEXT(EDATE($D92,Milestones!$AA$194),"dd/mm/yy")&amp;" "&amp;Milestones!$AB$194&amp;" "&amp;Milestones!$AC$194&amp;";  ","")&amp;IF(AND(EDATE($D92,Milestones!$AA$195)&lt;=AsOfDate,IF($Q92=0,$W92,IF(AND($S92&lt;&gt;"",EDATE($D92,Milestones!$AA$195)&gt;=$S92),$V92,IF(AND($R92&lt;&gt;"",EDATE($D92,Milestones!$AA$195)&gt;=$R92),$U92,$T92)))=Milestones!$AB$195),TEXT(EDATE($D92,Milestones!$AA$195),"dd/mm/yy")&amp;" "&amp;Milestones!$AB$195&amp;" "&amp;Milestones!$AC$195&amp;";  ","")&amp;IF(AND(EDATE($D92,Milestones!$AA$196)&lt;=AsOfDate,IF($Q92=0,$W92,IF(AND($S92&lt;&gt;"",EDATE($D92,Milestones!$AA$196)&gt;=$S92),$V92,IF(AND($R92&lt;&gt;"",EDATE($D92,Milestones!$AA$196)&gt;=$R92),$U92,$T92)))=Milestones!$AB$196),TEXT(EDATE($D92,Milestones!$AA$196),"dd/mm/yy")&amp;" "&amp;Milestones!$AB$196&amp;" "&amp;Milestones!$AC$196&amp;";  ","")&amp;IF(AND(EDATE($D92,Milestones!$AA$197)&lt;=AsOfDate,IF($Q92=0,$W92,IF(AND($S92&lt;&gt;"",EDATE($D92,Milestones!$AA$197)&gt;=$S92),$V92,IF(AND($R92&lt;&gt;"",EDATE($D92,Milestones!$AA$197)&gt;=$R92),$U92,$T92)))=Milestones!$AB$197),TEXT(EDATE($D92,Milestones!$AA$197),"dd/mm/yy")&amp;" "&amp;Milestones!$AB$197&amp;" "&amp;Milestones!$AC$197&amp;";  ","")&amp;IF(AND(EDATE($D92,Milestones!$AA$198)&lt;=AsOfDate,IF($Q92=0,$W92,IF(AND($S92&lt;&gt;"",EDATE($D92,Milestones!$AA$198)&gt;=$S92),$V92,IF(AND($R92&lt;&gt;"",EDATE($D92,Milestones!$AA$198)&gt;=$R92),$U92,$T92)))=Milestones!$AB$198),TEXT(EDATE($D92,Milestones!$AA$198),"dd/mm/yy")&amp;" "&amp;Milestones!$AB$198&amp;" "&amp;Milestones!$AC$198&amp;";  ","")&amp;IF(AND(EDATE($D92,Milestones!$AA$199)&lt;=AsOfDate,IF($Q92=0,$W92,IF(AND($S92&lt;&gt;"",EDATE($D92,Milestones!$AA$199)&gt;=$S92),$V92,IF(AND($R92&lt;&gt;"",EDATE($D92,Milestones!$AA$199)&gt;=$R92),$U92,$T92)))=Milestones!$AB$199),TEXT(EDATE($D92,Milestones!$AA$199),"dd/mm/yy")&amp;" "&amp;Milestones!$AB$199&amp;" "&amp;Milestones!$AC$199&amp;";  ",""))</f>
        <v/>
      </c>
      <c r="Q92" s="0" t="str">
        <f aca="false">IF(Staff!$A92="","",Staff!$AG92)</f>
        <v/>
      </c>
      <c r="R92" s="0" t="str">
        <f aca="false">IF(Staff!$A92="","",Staff!$AI92)</f>
        <v/>
      </c>
      <c r="S92" s="0" t="str">
        <f aca="false">IF(Staff!$A92="","",Staff!$AJ92)</f>
        <v/>
      </c>
      <c r="T92" s="0" t="str">
        <f aca="false">IF(Staff!$A92="","",Staff!$AN92)</f>
        <v/>
      </c>
      <c r="U92" s="0" t="str">
        <f aca="false">IF(Staff!$A92="","",Staff!$AO92)</f>
        <v/>
      </c>
      <c r="V92" s="0" t="str">
        <f aca="false">IF(Staff!$A92="","",Staff!$AP92)</f>
        <v/>
      </c>
      <c r="W92" s="0" t="str">
        <f aca="false">IF(Staff!$A92="","",Staff!$AQ92)</f>
        <v/>
      </c>
    </row>
    <row r="93" customFormat="false" ht="15" hidden="false" customHeight="false" outlineLevel="0" collapsed="false">
      <c r="A93" s="13" t="str">
        <f aca="false">IF(Staff!$A93="","",Staff!$A93)</f>
        <v/>
      </c>
      <c r="B93" s="13" t="str">
        <f aca="false">IF(Staff!$A93="","",Staff!$B93)</f>
        <v/>
      </c>
      <c r="C93" s="13" t="str">
        <f aca="false">IF(Staff!$A93="","",Staff!$C93)</f>
        <v/>
      </c>
      <c r="D93" s="11" t="str">
        <f aca="false">IF(Staff!$A93="","",Staff!$AF93)</f>
        <v/>
      </c>
      <c r="E93" s="13" t="str">
        <f aca="false">IF(Staff!$A93="","",Staff!$O93)</f>
        <v/>
      </c>
      <c r="F93" s="13" t="str">
        <f aca="false">IF(E93="","",E93*HoursPerDay)</f>
        <v/>
      </c>
      <c r="G93" s="26" t="str">
        <f aca="false">IF($A93="","",H93&amp;I93&amp;J93&amp;K93&amp;L93&amp;M93&amp;N93&amp;O93&amp;P93)</f>
        <v/>
      </c>
      <c r="H93" s="0" t="str">
        <f aca="false">IF(OR($A93="",$D93=""),"",IF(AND(EDATE($D93,Milestones!$AA$20)&lt;=AsOfDate,IF($Q93=0,$W93,IF(AND($S93&lt;&gt;"",EDATE($D93,Milestones!$AA$20)&gt;=$S93),$V93,IF(AND($R93&lt;&gt;"",EDATE($D93,Milestones!$AA$20)&gt;=$R93),$U93,$T93)))=Milestones!$AB$20),TEXT(EDATE($D93,Milestones!$AA$20),"dd/mm/yy")&amp;" "&amp;Milestones!$AB$20&amp;" "&amp;Milestones!$AC$20&amp;";  ","")&amp;IF(AND(EDATE($D93,Milestones!$AA$21)&lt;=AsOfDate,IF($Q93=0,$W93,IF(AND($S93&lt;&gt;"",EDATE($D93,Milestones!$AA$21)&gt;=$S93),$V93,IF(AND($R93&lt;&gt;"",EDATE($D93,Milestones!$AA$21)&gt;=$R93),$U93,$T93)))=Milestones!$AB$21),TEXT(EDATE($D93,Milestones!$AA$21),"dd/mm/yy")&amp;" "&amp;Milestones!$AB$21&amp;" "&amp;Milestones!$AC$21&amp;";  ","")&amp;IF(AND(EDATE($D93,Milestones!$AA$22)&lt;=AsOfDate,IF($Q93=0,$W93,IF(AND($S93&lt;&gt;"",EDATE($D93,Milestones!$AA$22)&gt;=$S93),$V93,IF(AND($R93&lt;&gt;"",EDATE($D93,Milestones!$AA$22)&gt;=$R93),$U93,$T93)))=Milestones!$AB$22),TEXT(EDATE($D93,Milestones!$AA$22),"dd/mm/yy")&amp;" "&amp;Milestones!$AB$22&amp;" "&amp;Milestones!$AC$22&amp;";  ","")&amp;IF(AND(EDATE($D93,Milestones!$AA$23)&lt;=AsOfDate,IF($Q93=0,$W93,IF(AND($S93&lt;&gt;"",EDATE($D93,Milestones!$AA$23)&gt;=$S93),$V93,IF(AND($R93&lt;&gt;"",EDATE($D93,Milestones!$AA$23)&gt;=$R93),$U93,$T93)))=Milestones!$AB$23),TEXT(EDATE($D93,Milestones!$AA$23),"dd/mm/yy")&amp;" "&amp;Milestones!$AB$23&amp;" "&amp;Milestones!$AC$23&amp;";  ","")&amp;IF(AND(EDATE($D93,Milestones!$AA$24)&lt;=AsOfDate,IF($Q93=0,$W93,IF(AND($S93&lt;&gt;"",EDATE($D93,Milestones!$AA$24)&gt;=$S93),$V93,IF(AND($R93&lt;&gt;"",EDATE($D93,Milestones!$AA$24)&gt;=$R93),$U93,$T93)))=Milestones!$AB$24),TEXT(EDATE($D93,Milestones!$AA$24),"dd/mm/yy")&amp;" "&amp;Milestones!$AB$24&amp;" "&amp;Milestones!$AC$24&amp;";  ","")&amp;IF(AND(EDATE($D93,Milestones!$AA$25)&lt;=AsOfDate,IF($Q93=0,$W93,IF(AND($S93&lt;&gt;"",EDATE($D93,Milestones!$AA$25)&gt;=$S93),$V93,IF(AND($R93&lt;&gt;"",EDATE($D93,Milestones!$AA$25)&gt;=$R93),$U93,$T93)))=Milestones!$AB$25),TEXT(EDATE($D93,Milestones!$AA$25),"dd/mm/yy")&amp;" "&amp;Milestones!$AB$25&amp;" "&amp;Milestones!$AC$25&amp;";  ","")&amp;IF(AND(EDATE($D93,Milestones!$AA$26)&lt;=AsOfDate,IF($Q93=0,$W93,IF(AND($S93&lt;&gt;"",EDATE($D93,Milestones!$AA$26)&gt;=$S93),$V93,IF(AND($R93&lt;&gt;"",EDATE($D93,Milestones!$AA$26)&gt;=$R93),$U93,$T93)))=Milestones!$AB$26),TEXT(EDATE($D93,Milestones!$AA$26),"dd/mm/yy")&amp;" "&amp;Milestones!$AB$26&amp;" "&amp;Milestones!$AC$26&amp;";  ","")&amp;IF(AND(EDATE($D93,Milestones!$AA$27)&lt;=AsOfDate,IF($Q93=0,$W93,IF(AND($S93&lt;&gt;"",EDATE($D93,Milestones!$AA$27)&gt;=$S93),$V93,IF(AND($R93&lt;&gt;"",EDATE($D93,Milestones!$AA$27)&gt;=$R93),$U93,$T93)))=Milestones!$AB$27),TEXT(EDATE($D93,Milestones!$AA$27),"dd/mm/yy")&amp;" "&amp;Milestones!$AB$27&amp;" "&amp;Milestones!$AC$27&amp;";  ","")&amp;IF(AND(EDATE($D93,Milestones!$AA$28)&lt;=AsOfDate,IF($Q93=0,$W93,IF(AND($S93&lt;&gt;"",EDATE($D93,Milestones!$AA$28)&gt;=$S93),$V93,IF(AND($R93&lt;&gt;"",EDATE($D93,Milestones!$AA$28)&gt;=$R93),$U93,$T93)))=Milestones!$AB$28),TEXT(EDATE($D93,Milestones!$AA$28),"dd/mm/yy")&amp;" "&amp;Milestones!$AB$28&amp;" "&amp;Milestones!$AC$28&amp;";  ","")&amp;IF(AND(EDATE($D93,Milestones!$AA$29)&lt;=AsOfDate,IF($Q93=0,$W93,IF(AND($S93&lt;&gt;"",EDATE($D93,Milestones!$AA$29)&gt;=$S93),$V93,IF(AND($R93&lt;&gt;"",EDATE($D93,Milestones!$AA$29)&gt;=$R93),$U93,$T93)))=Milestones!$AB$29),TEXT(EDATE($D93,Milestones!$AA$29),"dd/mm/yy")&amp;" "&amp;Milestones!$AB$29&amp;" "&amp;Milestones!$AC$29&amp;";  ","")&amp;IF(AND(EDATE($D93,Milestones!$AA$30)&lt;=AsOfDate,IF($Q93=0,$W93,IF(AND($S93&lt;&gt;"",EDATE($D93,Milestones!$AA$30)&gt;=$S93),$V93,IF(AND($R93&lt;&gt;"",EDATE($D93,Milestones!$AA$30)&gt;=$R93),$U93,$T93)))=Milestones!$AB$30),TEXT(EDATE($D93,Milestones!$AA$30),"dd/mm/yy")&amp;" "&amp;Milestones!$AB$30&amp;" "&amp;Milestones!$AC$30&amp;";  ","")&amp;IF(AND(EDATE($D93,Milestones!$AA$31)&lt;=AsOfDate,IF($Q93=0,$W93,IF(AND($S93&lt;&gt;"",EDATE($D93,Milestones!$AA$31)&gt;=$S93),$V93,IF(AND($R93&lt;&gt;"",EDATE($D93,Milestones!$AA$31)&gt;=$R93),$U93,$T93)))=Milestones!$AB$31),TEXT(EDATE($D93,Milestones!$AA$31),"dd/mm/yy")&amp;" "&amp;Milestones!$AB$31&amp;" "&amp;Milestones!$AC$31&amp;";  ","")&amp;IF(AND(EDATE($D93,Milestones!$AA$32)&lt;=AsOfDate,IF($Q93=0,$W93,IF(AND($S93&lt;&gt;"",EDATE($D93,Milestones!$AA$32)&gt;=$S93),$V93,IF(AND($R93&lt;&gt;"",EDATE($D93,Milestones!$AA$32)&gt;=$R93),$U93,$T93)))=Milestones!$AB$32),TEXT(EDATE($D93,Milestones!$AA$32),"dd/mm/yy")&amp;" "&amp;Milestones!$AB$32&amp;" "&amp;Milestones!$AC$32&amp;";  ","")&amp;IF(AND(EDATE($D93,Milestones!$AA$33)&lt;=AsOfDate,IF($Q93=0,$W93,IF(AND($S93&lt;&gt;"",EDATE($D93,Milestones!$AA$33)&gt;=$S93),$V93,IF(AND($R93&lt;&gt;"",EDATE($D93,Milestones!$AA$33)&gt;=$R93),$U93,$T93)))=Milestones!$AB$33),TEXT(EDATE($D93,Milestones!$AA$33),"dd/mm/yy")&amp;" "&amp;Milestones!$AB$33&amp;" "&amp;Milestones!$AC$33&amp;";  ","")&amp;IF(AND(EDATE($D93,Milestones!$AA$34)&lt;=AsOfDate,IF($Q93=0,$W93,IF(AND($S93&lt;&gt;"",EDATE($D93,Milestones!$AA$34)&gt;=$S93),$V93,IF(AND($R93&lt;&gt;"",EDATE($D93,Milestones!$AA$34)&gt;=$R93),$U93,$T93)))=Milestones!$AB$34),TEXT(EDATE($D93,Milestones!$AA$34),"dd/mm/yy")&amp;" "&amp;Milestones!$AB$34&amp;" "&amp;Milestones!$AC$34&amp;";  ","")&amp;IF(AND(EDATE($D93,Milestones!$AA$35)&lt;=AsOfDate,IF($Q93=0,$W93,IF(AND($S93&lt;&gt;"",EDATE($D93,Milestones!$AA$35)&gt;=$S93),$V93,IF(AND($R93&lt;&gt;"",EDATE($D93,Milestones!$AA$35)&gt;=$R93),$U93,$T93)))=Milestones!$AB$35),TEXT(EDATE($D93,Milestones!$AA$35),"dd/mm/yy")&amp;" "&amp;Milestones!$AB$35&amp;" "&amp;Milestones!$AC$35&amp;";  ","")&amp;IF(AND(EDATE($D93,Milestones!$AA$36)&lt;=AsOfDate,IF($Q93=0,$W93,IF(AND($S93&lt;&gt;"",EDATE($D93,Milestones!$AA$36)&gt;=$S93),$V93,IF(AND($R93&lt;&gt;"",EDATE($D93,Milestones!$AA$36)&gt;=$R93),$U93,$T93)))=Milestones!$AB$36),TEXT(EDATE($D93,Milestones!$AA$36),"dd/mm/yy")&amp;" "&amp;Milestones!$AB$36&amp;" "&amp;Milestones!$AC$36&amp;";  ","")&amp;IF(AND(EDATE($D93,Milestones!$AA$37)&lt;=AsOfDate,IF($Q93=0,$W93,IF(AND($S93&lt;&gt;"",EDATE($D93,Milestones!$AA$37)&gt;=$S93),$V93,IF(AND($R93&lt;&gt;"",EDATE($D93,Milestones!$AA$37)&gt;=$R93),$U93,$T93)))=Milestones!$AB$37),TEXT(EDATE($D93,Milestones!$AA$37),"dd/mm/yy")&amp;" "&amp;Milestones!$AB$37&amp;" "&amp;Milestones!$AC$37&amp;";  ","")&amp;IF(AND(EDATE($D93,Milestones!$AA$38)&lt;=AsOfDate,IF($Q93=0,$W93,IF(AND($S93&lt;&gt;"",EDATE($D93,Milestones!$AA$38)&gt;=$S93),$V93,IF(AND($R93&lt;&gt;"",EDATE($D93,Milestones!$AA$38)&gt;=$R93),$U93,$T93)))=Milestones!$AB$38),TEXT(EDATE($D93,Milestones!$AA$38),"dd/mm/yy")&amp;" "&amp;Milestones!$AB$38&amp;" "&amp;Milestones!$AC$38&amp;";  ","")&amp;IF(AND(EDATE($D93,Milestones!$AA$39)&lt;=AsOfDate,IF($Q93=0,$W93,IF(AND($S93&lt;&gt;"",EDATE($D93,Milestones!$AA$39)&gt;=$S93),$V93,IF(AND($R93&lt;&gt;"",EDATE($D93,Milestones!$AA$39)&gt;=$R93),$U93,$T93)))=Milestones!$AB$39),TEXT(EDATE($D93,Milestones!$AA$39),"dd/mm/yy")&amp;" "&amp;Milestones!$AB$39&amp;" "&amp;Milestones!$AC$39&amp;";  ",""))</f>
        <v/>
      </c>
      <c r="I93" s="0" t="str">
        <f aca="false">IF(OR($A93="",$D93=""),"",IF(AND(EDATE($D93,Milestones!$AA$40)&lt;=AsOfDate,IF($Q93=0,$W93,IF(AND($S93&lt;&gt;"",EDATE($D93,Milestones!$AA$40)&gt;=$S93),$V93,IF(AND($R93&lt;&gt;"",EDATE($D93,Milestones!$AA$40)&gt;=$R93),$U93,$T93)))=Milestones!$AB$40),TEXT(EDATE($D93,Milestones!$AA$40),"dd/mm/yy")&amp;" "&amp;Milestones!$AB$40&amp;" "&amp;Milestones!$AC$40&amp;";  ","")&amp;IF(AND(EDATE($D93,Milestones!$AA$41)&lt;=AsOfDate,IF($Q93=0,$W93,IF(AND($S93&lt;&gt;"",EDATE($D93,Milestones!$AA$41)&gt;=$S93),$V93,IF(AND($R93&lt;&gt;"",EDATE($D93,Milestones!$AA$41)&gt;=$R93),$U93,$T93)))=Milestones!$AB$41),TEXT(EDATE($D93,Milestones!$AA$41),"dd/mm/yy")&amp;" "&amp;Milestones!$AB$41&amp;" "&amp;Milestones!$AC$41&amp;";  ","")&amp;IF(AND(EDATE($D93,Milestones!$AA$42)&lt;=AsOfDate,IF($Q93=0,$W93,IF(AND($S93&lt;&gt;"",EDATE($D93,Milestones!$AA$42)&gt;=$S93),$V93,IF(AND($R93&lt;&gt;"",EDATE($D93,Milestones!$AA$42)&gt;=$R93),$U93,$T93)))=Milestones!$AB$42),TEXT(EDATE($D93,Milestones!$AA$42),"dd/mm/yy")&amp;" "&amp;Milestones!$AB$42&amp;" "&amp;Milestones!$AC$42&amp;";  ","")&amp;IF(AND(EDATE($D93,Milestones!$AA$43)&lt;=AsOfDate,IF($Q93=0,$W93,IF(AND($S93&lt;&gt;"",EDATE($D93,Milestones!$AA$43)&gt;=$S93),$V93,IF(AND($R93&lt;&gt;"",EDATE($D93,Milestones!$AA$43)&gt;=$R93),$U93,$T93)))=Milestones!$AB$43),TEXT(EDATE($D93,Milestones!$AA$43),"dd/mm/yy")&amp;" "&amp;Milestones!$AB$43&amp;" "&amp;Milestones!$AC$43&amp;";  ","")&amp;IF(AND(EDATE($D93,Milestones!$AA$44)&lt;=AsOfDate,IF($Q93=0,$W93,IF(AND($S93&lt;&gt;"",EDATE($D93,Milestones!$AA$44)&gt;=$S93),$V93,IF(AND($R93&lt;&gt;"",EDATE($D93,Milestones!$AA$44)&gt;=$R93),$U93,$T93)))=Milestones!$AB$44),TEXT(EDATE($D93,Milestones!$AA$44),"dd/mm/yy")&amp;" "&amp;Milestones!$AB$44&amp;" "&amp;Milestones!$AC$44&amp;";  ","")&amp;IF(AND(EDATE($D93,Milestones!$AA$45)&lt;=AsOfDate,IF($Q93=0,$W93,IF(AND($S93&lt;&gt;"",EDATE($D93,Milestones!$AA$45)&gt;=$S93),$V93,IF(AND($R93&lt;&gt;"",EDATE($D93,Milestones!$AA$45)&gt;=$R93),$U93,$T93)))=Milestones!$AB$45),TEXT(EDATE($D93,Milestones!$AA$45),"dd/mm/yy")&amp;" "&amp;Milestones!$AB$45&amp;" "&amp;Milestones!$AC$45&amp;";  ","")&amp;IF(AND(EDATE($D93,Milestones!$AA$46)&lt;=AsOfDate,IF($Q93=0,$W93,IF(AND($S93&lt;&gt;"",EDATE($D93,Milestones!$AA$46)&gt;=$S93),$V93,IF(AND($R93&lt;&gt;"",EDATE($D93,Milestones!$AA$46)&gt;=$R93),$U93,$T93)))=Milestones!$AB$46),TEXT(EDATE($D93,Milestones!$AA$46),"dd/mm/yy")&amp;" "&amp;Milestones!$AB$46&amp;" "&amp;Milestones!$AC$46&amp;";  ","")&amp;IF(AND(EDATE($D93,Milestones!$AA$47)&lt;=AsOfDate,IF($Q93=0,$W93,IF(AND($S93&lt;&gt;"",EDATE($D93,Milestones!$AA$47)&gt;=$S93),$V93,IF(AND($R93&lt;&gt;"",EDATE($D93,Milestones!$AA$47)&gt;=$R93),$U93,$T93)))=Milestones!$AB$47),TEXT(EDATE($D93,Milestones!$AA$47),"dd/mm/yy")&amp;" "&amp;Milestones!$AB$47&amp;" "&amp;Milestones!$AC$47&amp;";  ","")&amp;IF(AND(EDATE($D93,Milestones!$AA$48)&lt;=AsOfDate,IF($Q93=0,$W93,IF(AND($S93&lt;&gt;"",EDATE($D93,Milestones!$AA$48)&gt;=$S93),$V93,IF(AND($R93&lt;&gt;"",EDATE($D93,Milestones!$AA$48)&gt;=$R93),$U93,$T93)))=Milestones!$AB$48),TEXT(EDATE($D93,Milestones!$AA$48),"dd/mm/yy")&amp;" "&amp;Milestones!$AB$48&amp;" "&amp;Milestones!$AC$48&amp;";  ","")&amp;IF(AND(EDATE($D93,Milestones!$AA$49)&lt;=AsOfDate,IF($Q93=0,$W93,IF(AND($S93&lt;&gt;"",EDATE($D93,Milestones!$AA$49)&gt;=$S93),$V93,IF(AND($R93&lt;&gt;"",EDATE($D93,Milestones!$AA$49)&gt;=$R93),$U93,$T93)))=Milestones!$AB$49),TEXT(EDATE($D93,Milestones!$AA$49),"dd/mm/yy")&amp;" "&amp;Milestones!$AB$49&amp;" "&amp;Milestones!$AC$49&amp;";  ","")&amp;IF(AND(EDATE($D93,Milestones!$AA$50)&lt;=AsOfDate,IF($Q93=0,$W93,IF(AND($S93&lt;&gt;"",EDATE($D93,Milestones!$AA$50)&gt;=$S93),$V93,IF(AND($R93&lt;&gt;"",EDATE($D93,Milestones!$AA$50)&gt;=$R93),$U93,$T93)))=Milestones!$AB$50),TEXT(EDATE($D93,Milestones!$AA$50),"dd/mm/yy")&amp;" "&amp;Milestones!$AB$50&amp;" "&amp;Milestones!$AC$50&amp;";  ","")&amp;IF(AND(EDATE($D93,Milestones!$AA$51)&lt;=AsOfDate,IF($Q93=0,$W93,IF(AND($S93&lt;&gt;"",EDATE($D93,Milestones!$AA$51)&gt;=$S93),$V93,IF(AND($R93&lt;&gt;"",EDATE($D93,Milestones!$AA$51)&gt;=$R93),$U93,$T93)))=Milestones!$AB$51),TEXT(EDATE($D93,Milestones!$AA$51),"dd/mm/yy")&amp;" "&amp;Milestones!$AB$51&amp;" "&amp;Milestones!$AC$51&amp;";  ","")&amp;IF(AND(EDATE($D93,Milestones!$AA$52)&lt;=AsOfDate,IF($Q93=0,$W93,IF(AND($S93&lt;&gt;"",EDATE($D93,Milestones!$AA$52)&gt;=$S93),$V93,IF(AND($R93&lt;&gt;"",EDATE($D93,Milestones!$AA$52)&gt;=$R93),$U93,$T93)))=Milestones!$AB$52),TEXT(EDATE($D93,Milestones!$AA$52),"dd/mm/yy")&amp;" "&amp;Milestones!$AB$52&amp;" "&amp;Milestones!$AC$52&amp;";  ","")&amp;IF(AND(EDATE($D93,Milestones!$AA$53)&lt;=AsOfDate,IF($Q93=0,$W93,IF(AND($S93&lt;&gt;"",EDATE($D93,Milestones!$AA$53)&gt;=$S93),$V93,IF(AND($R93&lt;&gt;"",EDATE($D93,Milestones!$AA$53)&gt;=$R93),$U93,$T93)))=Milestones!$AB$53),TEXT(EDATE($D93,Milestones!$AA$53),"dd/mm/yy")&amp;" "&amp;Milestones!$AB$53&amp;" "&amp;Milestones!$AC$53&amp;";  ","")&amp;IF(AND(EDATE($D93,Milestones!$AA$54)&lt;=AsOfDate,IF($Q93=0,$W93,IF(AND($S93&lt;&gt;"",EDATE($D93,Milestones!$AA$54)&gt;=$S93),$V93,IF(AND($R93&lt;&gt;"",EDATE($D93,Milestones!$AA$54)&gt;=$R93),$U93,$T93)))=Milestones!$AB$54),TEXT(EDATE($D93,Milestones!$AA$54),"dd/mm/yy")&amp;" "&amp;Milestones!$AB$54&amp;" "&amp;Milestones!$AC$54&amp;";  ","")&amp;IF(AND(EDATE($D93,Milestones!$AA$55)&lt;=AsOfDate,IF($Q93=0,$W93,IF(AND($S93&lt;&gt;"",EDATE($D93,Milestones!$AA$55)&gt;=$S93),$V93,IF(AND($R93&lt;&gt;"",EDATE($D93,Milestones!$AA$55)&gt;=$R93),$U93,$T93)))=Milestones!$AB$55),TEXT(EDATE($D93,Milestones!$AA$55),"dd/mm/yy")&amp;" "&amp;Milestones!$AB$55&amp;" "&amp;Milestones!$AC$55&amp;";  ","")&amp;IF(AND(EDATE($D93,Milestones!$AA$56)&lt;=AsOfDate,IF($Q93=0,$W93,IF(AND($S93&lt;&gt;"",EDATE($D93,Milestones!$AA$56)&gt;=$S93),$V93,IF(AND($R93&lt;&gt;"",EDATE($D93,Milestones!$AA$56)&gt;=$R93),$U93,$T93)))=Milestones!$AB$56),TEXT(EDATE($D93,Milestones!$AA$56),"dd/mm/yy")&amp;" "&amp;Milestones!$AB$56&amp;" "&amp;Milestones!$AC$56&amp;";  ","")&amp;IF(AND(EDATE($D93,Milestones!$AA$57)&lt;=AsOfDate,IF($Q93=0,$W93,IF(AND($S93&lt;&gt;"",EDATE($D93,Milestones!$AA$57)&gt;=$S93),$V93,IF(AND($R93&lt;&gt;"",EDATE($D93,Milestones!$AA$57)&gt;=$R93),$U93,$T93)))=Milestones!$AB$57),TEXT(EDATE($D93,Milestones!$AA$57),"dd/mm/yy")&amp;" "&amp;Milestones!$AB$57&amp;" "&amp;Milestones!$AC$57&amp;";  ","")&amp;IF(AND(EDATE($D93,Milestones!$AA$58)&lt;=AsOfDate,IF($Q93=0,$W93,IF(AND($S93&lt;&gt;"",EDATE($D93,Milestones!$AA$58)&gt;=$S93),$V93,IF(AND($R93&lt;&gt;"",EDATE($D93,Milestones!$AA$58)&gt;=$R93),$U93,$T93)))=Milestones!$AB$58),TEXT(EDATE($D93,Milestones!$AA$58),"dd/mm/yy")&amp;" "&amp;Milestones!$AB$58&amp;" "&amp;Milestones!$AC$58&amp;";  ","")&amp;IF(AND(EDATE($D93,Milestones!$AA$59)&lt;=AsOfDate,IF($Q93=0,$W93,IF(AND($S93&lt;&gt;"",EDATE($D93,Milestones!$AA$59)&gt;=$S93),$V93,IF(AND($R93&lt;&gt;"",EDATE($D93,Milestones!$AA$59)&gt;=$R93),$U93,$T93)))=Milestones!$AB$59),TEXT(EDATE($D93,Milestones!$AA$59),"dd/mm/yy")&amp;" "&amp;Milestones!$AB$59&amp;" "&amp;Milestones!$AC$59&amp;";  ",""))</f>
        <v/>
      </c>
      <c r="J93" s="0" t="str">
        <f aca="false">IF(OR($A93="",$D93=""),"",IF(AND(EDATE($D93,Milestones!$AA$60)&lt;=AsOfDate,IF($Q93=0,$W93,IF(AND($S93&lt;&gt;"",EDATE($D93,Milestones!$AA$60)&gt;=$S93),$V93,IF(AND($R93&lt;&gt;"",EDATE($D93,Milestones!$AA$60)&gt;=$R93),$U93,$T93)))=Milestones!$AB$60),TEXT(EDATE($D93,Milestones!$AA$60),"dd/mm/yy")&amp;" "&amp;Milestones!$AB$60&amp;" "&amp;Milestones!$AC$60&amp;";  ","")&amp;IF(AND(EDATE($D93,Milestones!$AA$61)&lt;=AsOfDate,IF($Q93=0,$W93,IF(AND($S93&lt;&gt;"",EDATE($D93,Milestones!$AA$61)&gt;=$S93),$V93,IF(AND($R93&lt;&gt;"",EDATE($D93,Milestones!$AA$61)&gt;=$R93),$U93,$T93)))=Milestones!$AB$61),TEXT(EDATE($D93,Milestones!$AA$61),"dd/mm/yy")&amp;" "&amp;Milestones!$AB$61&amp;" "&amp;Milestones!$AC$61&amp;";  ","")&amp;IF(AND(EDATE($D93,Milestones!$AA$62)&lt;=AsOfDate,IF($Q93=0,$W93,IF(AND($S93&lt;&gt;"",EDATE($D93,Milestones!$AA$62)&gt;=$S93),$V93,IF(AND($R93&lt;&gt;"",EDATE($D93,Milestones!$AA$62)&gt;=$R93),$U93,$T93)))=Milestones!$AB$62),TEXT(EDATE($D93,Milestones!$AA$62),"dd/mm/yy")&amp;" "&amp;Milestones!$AB$62&amp;" "&amp;Milestones!$AC$62&amp;";  ","")&amp;IF(AND(EDATE($D93,Milestones!$AA$63)&lt;=AsOfDate,IF($Q93=0,$W93,IF(AND($S93&lt;&gt;"",EDATE($D93,Milestones!$AA$63)&gt;=$S93),$V93,IF(AND($R93&lt;&gt;"",EDATE($D93,Milestones!$AA$63)&gt;=$R93),$U93,$T93)))=Milestones!$AB$63),TEXT(EDATE($D93,Milestones!$AA$63),"dd/mm/yy")&amp;" "&amp;Milestones!$AB$63&amp;" "&amp;Milestones!$AC$63&amp;";  ","")&amp;IF(AND(EDATE($D93,Milestones!$AA$64)&lt;=AsOfDate,IF($Q93=0,$W93,IF(AND($S93&lt;&gt;"",EDATE($D93,Milestones!$AA$64)&gt;=$S93),$V93,IF(AND($R93&lt;&gt;"",EDATE($D93,Milestones!$AA$64)&gt;=$R93),$U93,$T93)))=Milestones!$AB$64),TEXT(EDATE($D93,Milestones!$AA$64),"dd/mm/yy")&amp;" "&amp;Milestones!$AB$64&amp;" "&amp;Milestones!$AC$64&amp;";  ","")&amp;IF(AND(EDATE($D93,Milestones!$AA$65)&lt;=AsOfDate,IF($Q93=0,$W93,IF(AND($S93&lt;&gt;"",EDATE($D93,Milestones!$AA$65)&gt;=$S93),$V93,IF(AND($R93&lt;&gt;"",EDATE($D93,Milestones!$AA$65)&gt;=$R93),$U93,$T93)))=Milestones!$AB$65),TEXT(EDATE($D93,Milestones!$AA$65),"dd/mm/yy")&amp;" "&amp;Milestones!$AB$65&amp;" "&amp;Milestones!$AC$65&amp;";  ","")&amp;IF(AND(EDATE($D93,Milestones!$AA$66)&lt;=AsOfDate,IF($Q93=0,$W93,IF(AND($S93&lt;&gt;"",EDATE($D93,Milestones!$AA$66)&gt;=$S93),$V93,IF(AND($R93&lt;&gt;"",EDATE($D93,Milestones!$AA$66)&gt;=$R93),$U93,$T93)))=Milestones!$AB$66),TEXT(EDATE($D93,Milestones!$AA$66),"dd/mm/yy")&amp;" "&amp;Milestones!$AB$66&amp;" "&amp;Milestones!$AC$66&amp;";  ","")&amp;IF(AND(EDATE($D93,Milestones!$AA$67)&lt;=AsOfDate,IF($Q93=0,$W93,IF(AND($S93&lt;&gt;"",EDATE($D93,Milestones!$AA$67)&gt;=$S93),$V93,IF(AND($R93&lt;&gt;"",EDATE($D93,Milestones!$AA$67)&gt;=$R93),$U93,$T93)))=Milestones!$AB$67),TEXT(EDATE($D93,Milestones!$AA$67),"dd/mm/yy")&amp;" "&amp;Milestones!$AB$67&amp;" "&amp;Milestones!$AC$67&amp;";  ","")&amp;IF(AND(EDATE($D93,Milestones!$AA$68)&lt;=AsOfDate,IF($Q93=0,$W93,IF(AND($S93&lt;&gt;"",EDATE($D93,Milestones!$AA$68)&gt;=$S93),$V93,IF(AND($R93&lt;&gt;"",EDATE($D93,Milestones!$AA$68)&gt;=$R93),$U93,$T93)))=Milestones!$AB$68),TEXT(EDATE($D93,Milestones!$AA$68),"dd/mm/yy")&amp;" "&amp;Milestones!$AB$68&amp;" "&amp;Milestones!$AC$68&amp;";  ","")&amp;IF(AND(EDATE($D93,Milestones!$AA$69)&lt;=AsOfDate,IF($Q93=0,$W93,IF(AND($S93&lt;&gt;"",EDATE($D93,Milestones!$AA$69)&gt;=$S93),$V93,IF(AND($R93&lt;&gt;"",EDATE($D93,Milestones!$AA$69)&gt;=$R93),$U93,$T93)))=Milestones!$AB$69),TEXT(EDATE($D93,Milestones!$AA$69),"dd/mm/yy")&amp;" "&amp;Milestones!$AB$69&amp;" "&amp;Milestones!$AC$69&amp;";  ","")&amp;IF(AND(EDATE($D93,Milestones!$AA$70)&lt;=AsOfDate,IF($Q93=0,$W93,IF(AND($S93&lt;&gt;"",EDATE($D93,Milestones!$AA$70)&gt;=$S93),$V93,IF(AND($R93&lt;&gt;"",EDATE($D93,Milestones!$AA$70)&gt;=$R93),$U93,$T93)))=Milestones!$AB$70),TEXT(EDATE($D93,Milestones!$AA$70),"dd/mm/yy")&amp;" "&amp;Milestones!$AB$70&amp;" "&amp;Milestones!$AC$70&amp;";  ","")&amp;IF(AND(EDATE($D93,Milestones!$AA$71)&lt;=AsOfDate,IF($Q93=0,$W93,IF(AND($S93&lt;&gt;"",EDATE($D93,Milestones!$AA$71)&gt;=$S93),$V93,IF(AND($R93&lt;&gt;"",EDATE($D93,Milestones!$AA$71)&gt;=$R93),$U93,$T93)))=Milestones!$AB$71),TEXT(EDATE($D93,Milestones!$AA$71),"dd/mm/yy")&amp;" "&amp;Milestones!$AB$71&amp;" "&amp;Milestones!$AC$71&amp;";  ","")&amp;IF(AND(EDATE($D93,Milestones!$AA$72)&lt;=AsOfDate,IF($Q93=0,$W93,IF(AND($S93&lt;&gt;"",EDATE($D93,Milestones!$AA$72)&gt;=$S93),$V93,IF(AND($R93&lt;&gt;"",EDATE($D93,Milestones!$AA$72)&gt;=$R93),$U93,$T93)))=Milestones!$AB$72),TEXT(EDATE($D93,Milestones!$AA$72),"dd/mm/yy")&amp;" "&amp;Milestones!$AB$72&amp;" "&amp;Milestones!$AC$72&amp;";  ","")&amp;IF(AND(EDATE($D93,Milestones!$AA$73)&lt;=AsOfDate,IF($Q93=0,$W93,IF(AND($S93&lt;&gt;"",EDATE($D93,Milestones!$AA$73)&gt;=$S93),$V93,IF(AND($R93&lt;&gt;"",EDATE($D93,Milestones!$AA$73)&gt;=$R93),$U93,$T93)))=Milestones!$AB$73),TEXT(EDATE($D93,Milestones!$AA$73),"dd/mm/yy")&amp;" "&amp;Milestones!$AB$73&amp;" "&amp;Milestones!$AC$73&amp;";  ","")&amp;IF(AND(EDATE($D93,Milestones!$AA$74)&lt;=AsOfDate,IF($Q93=0,$W93,IF(AND($S93&lt;&gt;"",EDATE($D93,Milestones!$AA$74)&gt;=$S93),$V93,IF(AND($R93&lt;&gt;"",EDATE($D93,Milestones!$AA$74)&gt;=$R93),$U93,$T93)))=Milestones!$AB$74),TEXT(EDATE($D93,Milestones!$AA$74),"dd/mm/yy")&amp;" "&amp;Milestones!$AB$74&amp;" "&amp;Milestones!$AC$74&amp;";  ","")&amp;IF(AND(EDATE($D93,Milestones!$AA$75)&lt;=AsOfDate,IF($Q93=0,$W93,IF(AND($S93&lt;&gt;"",EDATE($D93,Milestones!$AA$75)&gt;=$S93),$V93,IF(AND($R93&lt;&gt;"",EDATE($D93,Milestones!$AA$75)&gt;=$R93),$U93,$T93)))=Milestones!$AB$75),TEXT(EDATE($D93,Milestones!$AA$75),"dd/mm/yy")&amp;" "&amp;Milestones!$AB$75&amp;" "&amp;Milestones!$AC$75&amp;";  ","")&amp;IF(AND(EDATE($D93,Milestones!$AA$76)&lt;=AsOfDate,IF($Q93=0,$W93,IF(AND($S93&lt;&gt;"",EDATE($D93,Milestones!$AA$76)&gt;=$S93),$V93,IF(AND($R93&lt;&gt;"",EDATE($D93,Milestones!$AA$76)&gt;=$R93),$U93,$T93)))=Milestones!$AB$76),TEXT(EDATE($D93,Milestones!$AA$76),"dd/mm/yy")&amp;" "&amp;Milestones!$AB$76&amp;" "&amp;Milestones!$AC$76&amp;";  ","")&amp;IF(AND(EDATE($D93,Milestones!$AA$77)&lt;=AsOfDate,IF($Q93=0,$W93,IF(AND($S93&lt;&gt;"",EDATE($D93,Milestones!$AA$77)&gt;=$S93),$V93,IF(AND($R93&lt;&gt;"",EDATE($D93,Milestones!$AA$77)&gt;=$R93),$U93,$T93)))=Milestones!$AB$77),TEXT(EDATE($D93,Milestones!$AA$77),"dd/mm/yy")&amp;" "&amp;Milestones!$AB$77&amp;" "&amp;Milestones!$AC$77&amp;";  ","")&amp;IF(AND(EDATE($D93,Milestones!$AA$78)&lt;=AsOfDate,IF($Q93=0,$W93,IF(AND($S93&lt;&gt;"",EDATE($D93,Milestones!$AA$78)&gt;=$S93),$V93,IF(AND($R93&lt;&gt;"",EDATE($D93,Milestones!$AA$78)&gt;=$R93),$U93,$T93)))=Milestones!$AB$78),TEXT(EDATE($D93,Milestones!$AA$78),"dd/mm/yy")&amp;" "&amp;Milestones!$AB$78&amp;" "&amp;Milestones!$AC$78&amp;";  ","")&amp;IF(AND(EDATE($D93,Milestones!$AA$79)&lt;=AsOfDate,IF($Q93=0,$W93,IF(AND($S93&lt;&gt;"",EDATE($D93,Milestones!$AA$79)&gt;=$S93),$V93,IF(AND($R93&lt;&gt;"",EDATE($D93,Milestones!$AA$79)&gt;=$R93),$U93,$T93)))=Milestones!$AB$79),TEXT(EDATE($D93,Milestones!$AA$79),"dd/mm/yy")&amp;" "&amp;Milestones!$AB$79&amp;" "&amp;Milestones!$AC$79&amp;";  ",""))</f>
        <v/>
      </c>
      <c r="K93" s="0" t="str">
        <f aca="false">IF(OR($A93="",$D93=""),"",IF(AND(EDATE($D93,Milestones!$AA$80)&lt;=AsOfDate,IF($Q93=0,$W93,IF(AND($S93&lt;&gt;"",EDATE($D93,Milestones!$AA$80)&gt;=$S93),$V93,IF(AND($R93&lt;&gt;"",EDATE($D93,Milestones!$AA$80)&gt;=$R93),$U93,$T93)))=Milestones!$AB$80),TEXT(EDATE($D93,Milestones!$AA$80),"dd/mm/yy")&amp;" "&amp;Milestones!$AB$80&amp;" "&amp;Milestones!$AC$80&amp;";  ","")&amp;IF(AND(EDATE($D93,Milestones!$AA$81)&lt;=AsOfDate,IF($Q93=0,$W93,IF(AND($S93&lt;&gt;"",EDATE($D93,Milestones!$AA$81)&gt;=$S93),$V93,IF(AND($R93&lt;&gt;"",EDATE($D93,Milestones!$AA$81)&gt;=$R93),$U93,$T93)))=Milestones!$AB$81),TEXT(EDATE($D93,Milestones!$AA$81),"dd/mm/yy")&amp;" "&amp;Milestones!$AB$81&amp;" "&amp;Milestones!$AC$81&amp;";  ","")&amp;IF(AND(EDATE($D93,Milestones!$AA$82)&lt;=AsOfDate,IF($Q93=0,$W93,IF(AND($S93&lt;&gt;"",EDATE($D93,Milestones!$AA$82)&gt;=$S93),$V93,IF(AND($R93&lt;&gt;"",EDATE($D93,Milestones!$AA$82)&gt;=$R93),$U93,$T93)))=Milestones!$AB$82),TEXT(EDATE($D93,Milestones!$AA$82),"dd/mm/yy")&amp;" "&amp;Milestones!$AB$82&amp;" "&amp;Milestones!$AC$82&amp;";  ","")&amp;IF(AND(EDATE($D93,Milestones!$AA$83)&lt;=AsOfDate,IF($Q93=0,$W93,IF(AND($S93&lt;&gt;"",EDATE($D93,Milestones!$AA$83)&gt;=$S93),$V93,IF(AND($R93&lt;&gt;"",EDATE($D93,Milestones!$AA$83)&gt;=$R93),$U93,$T93)))=Milestones!$AB$83),TEXT(EDATE($D93,Milestones!$AA$83),"dd/mm/yy")&amp;" "&amp;Milestones!$AB$83&amp;" "&amp;Milestones!$AC$83&amp;";  ","")&amp;IF(AND(EDATE($D93,Milestones!$AA$84)&lt;=AsOfDate,IF($Q93=0,$W93,IF(AND($S93&lt;&gt;"",EDATE($D93,Milestones!$AA$84)&gt;=$S93),$V93,IF(AND($R93&lt;&gt;"",EDATE($D93,Milestones!$AA$84)&gt;=$R93),$U93,$T93)))=Milestones!$AB$84),TEXT(EDATE($D93,Milestones!$AA$84),"dd/mm/yy")&amp;" "&amp;Milestones!$AB$84&amp;" "&amp;Milestones!$AC$84&amp;";  ","")&amp;IF(AND(EDATE($D93,Milestones!$AA$85)&lt;=AsOfDate,IF($Q93=0,$W93,IF(AND($S93&lt;&gt;"",EDATE($D93,Milestones!$AA$85)&gt;=$S93),$V93,IF(AND($R93&lt;&gt;"",EDATE($D93,Milestones!$AA$85)&gt;=$R93),$U93,$T93)))=Milestones!$AB$85),TEXT(EDATE($D93,Milestones!$AA$85),"dd/mm/yy")&amp;" "&amp;Milestones!$AB$85&amp;" "&amp;Milestones!$AC$85&amp;";  ","")&amp;IF(AND(EDATE($D93,Milestones!$AA$86)&lt;=AsOfDate,IF($Q93=0,$W93,IF(AND($S93&lt;&gt;"",EDATE($D93,Milestones!$AA$86)&gt;=$S93),$V93,IF(AND($R93&lt;&gt;"",EDATE($D93,Milestones!$AA$86)&gt;=$R93),$U93,$T93)))=Milestones!$AB$86),TEXT(EDATE($D93,Milestones!$AA$86),"dd/mm/yy")&amp;" "&amp;Milestones!$AB$86&amp;" "&amp;Milestones!$AC$86&amp;";  ","")&amp;IF(AND(EDATE($D93,Milestones!$AA$87)&lt;=AsOfDate,IF($Q93=0,$W93,IF(AND($S93&lt;&gt;"",EDATE($D93,Milestones!$AA$87)&gt;=$S93),$V93,IF(AND($R93&lt;&gt;"",EDATE($D93,Milestones!$AA$87)&gt;=$R93),$U93,$T93)))=Milestones!$AB$87),TEXT(EDATE($D93,Milestones!$AA$87),"dd/mm/yy")&amp;" "&amp;Milestones!$AB$87&amp;" "&amp;Milestones!$AC$87&amp;";  ","")&amp;IF(AND(EDATE($D93,Milestones!$AA$88)&lt;=AsOfDate,IF($Q93=0,$W93,IF(AND($S93&lt;&gt;"",EDATE($D93,Milestones!$AA$88)&gt;=$S93),$V93,IF(AND($R93&lt;&gt;"",EDATE($D93,Milestones!$AA$88)&gt;=$R93),$U93,$T93)))=Milestones!$AB$88),TEXT(EDATE($D93,Milestones!$AA$88),"dd/mm/yy")&amp;" "&amp;Milestones!$AB$88&amp;" "&amp;Milestones!$AC$88&amp;";  ","")&amp;IF(AND(EDATE($D93,Milestones!$AA$89)&lt;=AsOfDate,IF($Q93=0,$W93,IF(AND($S93&lt;&gt;"",EDATE($D93,Milestones!$AA$89)&gt;=$S93),$V93,IF(AND($R93&lt;&gt;"",EDATE($D93,Milestones!$AA$89)&gt;=$R93),$U93,$T93)))=Milestones!$AB$89),TEXT(EDATE($D93,Milestones!$AA$89),"dd/mm/yy")&amp;" "&amp;Milestones!$AB$89&amp;" "&amp;Milestones!$AC$89&amp;";  ","")&amp;IF(AND(EDATE($D93,Milestones!$AA$90)&lt;=AsOfDate,IF($Q93=0,$W93,IF(AND($S93&lt;&gt;"",EDATE($D93,Milestones!$AA$90)&gt;=$S93),$V93,IF(AND($R93&lt;&gt;"",EDATE($D93,Milestones!$AA$90)&gt;=$R93),$U93,$T93)))=Milestones!$AB$90),TEXT(EDATE($D93,Milestones!$AA$90),"dd/mm/yy")&amp;" "&amp;Milestones!$AB$90&amp;" "&amp;Milestones!$AC$90&amp;";  ","")&amp;IF(AND(EDATE($D93,Milestones!$AA$91)&lt;=AsOfDate,IF($Q93=0,$W93,IF(AND($S93&lt;&gt;"",EDATE($D93,Milestones!$AA$91)&gt;=$S93),$V93,IF(AND($R93&lt;&gt;"",EDATE($D93,Milestones!$AA$91)&gt;=$R93),$U93,$T93)))=Milestones!$AB$91),TEXT(EDATE($D93,Milestones!$AA$91),"dd/mm/yy")&amp;" "&amp;Milestones!$AB$91&amp;" "&amp;Milestones!$AC$91&amp;";  ","")&amp;IF(AND(EDATE($D93,Milestones!$AA$92)&lt;=AsOfDate,IF($Q93=0,$W93,IF(AND($S93&lt;&gt;"",EDATE($D93,Milestones!$AA$92)&gt;=$S93),$V93,IF(AND($R93&lt;&gt;"",EDATE($D93,Milestones!$AA$92)&gt;=$R93),$U93,$T93)))=Milestones!$AB$92),TEXT(EDATE($D93,Milestones!$AA$92),"dd/mm/yy")&amp;" "&amp;Milestones!$AB$92&amp;" "&amp;Milestones!$AC$92&amp;";  ","")&amp;IF(AND(EDATE($D93,Milestones!$AA$93)&lt;=AsOfDate,IF($Q93=0,$W93,IF(AND($S93&lt;&gt;"",EDATE($D93,Milestones!$AA$93)&gt;=$S93),$V93,IF(AND($R93&lt;&gt;"",EDATE($D93,Milestones!$AA$93)&gt;=$R93),$U93,$T93)))=Milestones!$AB$93),TEXT(EDATE($D93,Milestones!$AA$93),"dd/mm/yy")&amp;" "&amp;Milestones!$AB$93&amp;" "&amp;Milestones!$AC$93&amp;";  ","")&amp;IF(AND(EDATE($D93,Milestones!$AA$94)&lt;=AsOfDate,IF($Q93=0,$W93,IF(AND($S93&lt;&gt;"",EDATE($D93,Milestones!$AA$94)&gt;=$S93),$V93,IF(AND($R93&lt;&gt;"",EDATE($D93,Milestones!$AA$94)&gt;=$R93),$U93,$T93)))=Milestones!$AB$94),TEXT(EDATE($D93,Milestones!$AA$94),"dd/mm/yy")&amp;" "&amp;Milestones!$AB$94&amp;" "&amp;Milestones!$AC$94&amp;";  ","")&amp;IF(AND(EDATE($D93,Milestones!$AA$95)&lt;=AsOfDate,IF($Q93=0,$W93,IF(AND($S93&lt;&gt;"",EDATE($D93,Milestones!$AA$95)&gt;=$S93),$V93,IF(AND($R93&lt;&gt;"",EDATE($D93,Milestones!$AA$95)&gt;=$R93),$U93,$T93)))=Milestones!$AB$95),TEXT(EDATE($D93,Milestones!$AA$95),"dd/mm/yy")&amp;" "&amp;Milestones!$AB$95&amp;" "&amp;Milestones!$AC$95&amp;";  ","")&amp;IF(AND(EDATE($D93,Milestones!$AA$96)&lt;=AsOfDate,IF($Q93=0,$W93,IF(AND($S93&lt;&gt;"",EDATE($D93,Milestones!$AA$96)&gt;=$S93),$V93,IF(AND($R93&lt;&gt;"",EDATE($D93,Milestones!$AA$96)&gt;=$R93),$U93,$T93)))=Milestones!$AB$96),TEXT(EDATE($D93,Milestones!$AA$96),"dd/mm/yy")&amp;" "&amp;Milestones!$AB$96&amp;" "&amp;Milestones!$AC$96&amp;";  ","")&amp;IF(AND(EDATE($D93,Milestones!$AA$97)&lt;=AsOfDate,IF($Q93=0,$W93,IF(AND($S93&lt;&gt;"",EDATE($D93,Milestones!$AA$97)&gt;=$S93),$V93,IF(AND($R93&lt;&gt;"",EDATE($D93,Milestones!$AA$97)&gt;=$R93),$U93,$T93)))=Milestones!$AB$97),TEXT(EDATE($D93,Milestones!$AA$97),"dd/mm/yy")&amp;" "&amp;Milestones!$AB$97&amp;" "&amp;Milestones!$AC$97&amp;";  ","")&amp;IF(AND(EDATE($D93,Milestones!$AA$98)&lt;=AsOfDate,IF($Q93=0,$W93,IF(AND($S93&lt;&gt;"",EDATE($D93,Milestones!$AA$98)&gt;=$S93),$V93,IF(AND($R93&lt;&gt;"",EDATE($D93,Milestones!$AA$98)&gt;=$R93),$U93,$T93)))=Milestones!$AB$98),TEXT(EDATE($D93,Milestones!$AA$98),"dd/mm/yy")&amp;" "&amp;Milestones!$AB$98&amp;" "&amp;Milestones!$AC$98&amp;";  ","")&amp;IF(AND(EDATE($D93,Milestones!$AA$99)&lt;=AsOfDate,IF($Q93=0,$W93,IF(AND($S93&lt;&gt;"",EDATE($D93,Milestones!$AA$99)&gt;=$S93),$V93,IF(AND($R93&lt;&gt;"",EDATE($D93,Milestones!$AA$99)&gt;=$R93),$U93,$T93)))=Milestones!$AB$99),TEXT(EDATE($D93,Milestones!$AA$99),"dd/mm/yy")&amp;" "&amp;Milestones!$AB$99&amp;" "&amp;Milestones!$AC$99&amp;";  ",""))</f>
        <v/>
      </c>
      <c r="L93" s="0" t="str">
        <f aca="false">IF(OR($A93="",$D93=""),"",IF(AND(EDATE($D93,Milestones!$AA$100)&lt;=AsOfDate,IF($Q93=0,$W93,IF(AND($S93&lt;&gt;"",EDATE($D93,Milestones!$AA$100)&gt;=$S93),$V93,IF(AND($R93&lt;&gt;"",EDATE($D93,Milestones!$AA$100)&gt;=$R93),$U93,$T93)))=Milestones!$AB$100),TEXT(EDATE($D93,Milestones!$AA$100),"dd/mm/yy")&amp;" "&amp;Milestones!$AB$100&amp;" "&amp;Milestones!$AC$100&amp;";  ","")&amp;IF(AND(EDATE($D93,Milestones!$AA$101)&lt;=AsOfDate,IF($Q93=0,$W93,IF(AND($S93&lt;&gt;"",EDATE($D93,Milestones!$AA$101)&gt;=$S93),$V93,IF(AND($R93&lt;&gt;"",EDATE($D93,Milestones!$AA$101)&gt;=$R93),$U93,$T93)))=Milestones!$AB$101),TEXT(EDATE($D93,Milestones!$AA$101),"dd/mm/yy")&amp;" "&amp;Milestones!$AB$101&amp;" "&amp;Milestones!$AC$101&amp;";  ","")&amp;IF(AND(EDATE($D93,Milestones!$AA$102)&lt;=AsOfDate,IF($Q93=0,$W93,IF(AND($S93&lt;&gt;"",EDATE($D93,Milestones!$AA$102)&gt;=$S93),$V93,IF(AND($R93&lt;&gt;"",EDATE($D93,Milestones!$AA$102)&gt;=$R93),$U93,$T93)))=Milestones!$AB$102),TEXT(EDATE($D93,Milestones!$AA$102),"dd/mm/yy")&amp;" "&amp;Milestones!$AB$102&amp;" "&amp;Milestones!$AC$102&amp;";  ","")&amp;IF(AND(EDATE($D93,Milestones!$AA$103)&lt;=AsOfDate,IF($Q93=0,$W93,IF(AND($S93&lt;&gt;"",EDATE($D93,Milestones!$AA$103)&gt;=$S93),$V93,IF(AND($R93&lt;&gt;"",EDATE($D93,Milestones!$AA$103)&gt;=$R93),$U93,$T93)))=Milestones!$AB$103),TEXT(EDATE($D93,Milestones!$AA$103),"dd/mm/yy")&amp;" "&amp;Milestones!$AB$103&amp;" "&amp;Milestones!$AC$103&amp;";  ","")&amp;IF(AND(EDATE($D93,Milestones!$AA$104)&lt;=AsOfDate,IF($Q93=0,$W93,IF(AND($S93&lt;&gt;"",EDATE($D93,Milestones!$AA$104)&gt;=$S93),$V93,IF(AND($R93&lt;&gt;"",EDATE($D93,Milestones!$AA$104)&gt;=$R93),$U93,$T93)))=Milestones!$AB$104),TEXT(EDATE($D93,Milestones!$AA$104),"dd/mm/yy")&amp;" "&amp;Milestones!$AB$104&amp;" "&amp;Milestones!$AC$104&amp;";  ","")&amp;IF(AND(EDATE($D93,Milestones!$AA$105)&lt;=AsOfDate,IF($Q93=0,$W93,IF(AND($S93&lt;&gt;"",EDATE($D93,Milestones!$AA$105)&gt;=$S93),$V93,IF(AND($R93&lt;&gt;"",EDATE($D93,Milestones!$AA$105)&gt;=$R93),$U93,$T93)))=Milestones!$AB$105),TEXT(EDATE($D93,Milestones!$AA$105),"dd/mm/yy")&amp;" "&amp;Milestones!$AB$105&amp;" "&amp;Milestones!$AC$105&amp;";  ","")&amp;IF(AND(EDATE($D93,Milestones!$AA$106)&lt;=AsOfDate,IF($Q93=0,$W93,IF(AND($S93&lt;&gt;"",EDATE($D93,Milestones!$AA$106)&gt;=$S93),$V93,IF(AND($R93&lt;&gt;"",EDATE($D93,Milestones!$AA$106)&gt;=$R93),$U93,$T93)))=Milestones!$AB$106),TEXT(EDATE($D93,Milestones!$AA$106),"dd/mm/yy")&amp;" "&amp;Milestones!$AB$106&amp;" "&amp;Milestones!$AC$106&amp;";  ","")&amp;IF(AND(EDATE($D93,Milestones!$AA$107)&lt;=AsOfDate,IF($Q93=0,$W93,IF(AND($S93&lt;&gt;"",EDATE($D93,Milestones!$AA$107)&gt;=$S93),$V93,IF(AND($R93&lt;&gt;"",EDATE($D93,Milestones!$AA$107)&gt;=$R93),$U93,$T93)))=Milestones!$AB$107),TEXT(EDATE($D93,Milestones!$AA$107),"dd/mm/yy")&amp;" "&amp;Milestones!$AB$107&amp;" "&amp;Milestones!$AC$107&amp;";  ","")&amp;IF(AND(EDATE($D93,Milestones!$AA$108)&lt;=AsOfDate,IF($Q93=0,$W93,IF(AND($S93&lt;&gt;"",EDATE($D93,Milestones!$AA$108)&gt;=$S93),$V93,IF(AND($R93&lt;&gt;"",EDATE($D93,Milestones!$AA$108)&gt;=$R93),$U93,$T93)))=Milestones!$AB$108),TEXT(EDATE($D93,Milestones!$AA$108),"dd/mm/yy")&amp;" "&amp;Milestones!$AB$108&amp;" "&amp;Milestones!$AC$108&amp;";  ","")&amp;IF(AND(EDATE($D93,Milestones!$AA$109)&lt;=AsOfDate,IF($Q93=0,$W93,IF(AND($S93&lt;&gt;"",EDATE($D93,Milestones!$AA$109)&gt;=$S93),$V93,IF(AND($R93&lt;&gt;"",EDATE($D93,Milestones!$AA$109)&gt;=$R93),$U93,$T93)))=Milestones!$AB$109),TEXT(EDATE($D93,Milestones!$AA$109),"dd/mm/yy")&amp;" "&amp;Milestones!$AB$109&amp;" "&amp;Milestones!$AC$109&amp;";  ","")&amp;IF(AND(EDATE($D93,Milestones!$AA$110)&lt;=AsOfDate,IF($Q93=0,$W93,IF(AND($S93&lt;&gt;"",EDATE($D93,Milestones!$AA$110)&gt;=$S93),$V93,IF(AND($R93&lt;&gt;"",EDATE($D93,Milestones!$AA$110)&gt;=$R93),$U93,$T93)))=Milestones!$AB$110),TEXT(EDATE($D93,Milestones!$AA$110),"dd/mm/yy")&amp;" "&amp;Milestones!$AB$110&amp;" "&amp;Milestones!$AC$110&amp;";  ","")&amp;IF(AND(EDATE($D93,Milestones!$AA$111)&lt;=AsOfDate,IF($Q93=0,$W93,IF(AND($S93&lt;&gt;"",EDATE($D93,Milestones!$AA$111)&gt;=$S93),$V93,IF(AND($R93&lt;&gt;"",EDATE($D93,Milestones!$AA$111)&gt;=$R93),$U93,$T93)))=Milestones!$AB$111),TEXT(EDATE($D93,Milestones!$AA$111),"dd/mm/yy")&amp;" "&amp;Milestones!$AB$111&amp;" "&amp;Milestones!$AC$111&amp;";  ","")&amp;IF(AND(EDATE($D93,Milestones!$AA$112)&lt;=AsOfDate,IF($Q93=0,$W93,IF(AND($S93&lt;&gt;"",EDATE($D93,Milestones!$AA$112)&gt;=$S93),$V93,IF(AND($R93&lt;&gt;"",EDATE($D93,Milestones!$AA$112)&gt;=$R93),$U93,$T93)))=Milestones!$AB$112),TEXT(EDATE($D93,Milestones!$AA$112),"dd/mm/yy")&amp;" "&amp;Milestones!$AB$112&amp;" "&amp;Milestones!$AC$112&amp;";  ","")&amp;IF(AND(EDATE($D93,Milestones!$AA$113)&lt;=AsOfDate,IF($Q93=0,$W93,IF(AND($S93&lt;&gt;"",EDATE($D93,Milestones!$AA$113)&gt;=$S93),$V93,IF(AND($R93&lt;&gt;"",EDATE($D93,Milestones!$AA$113)&gt;=$R93),$U93,$T93)))=Milestones!$AB$113),TEXT(EDATE($D93,Milestones!$AA$113),"dd/mm/yy")&amp;" "&amp;Milestones!$AB$113&amp;" "&amp;Milestones!$AC$113&amp;";  ","")&amp;IF(AND(EDATE($D93,Milestones!$AA$114)&lt;=AsOfDate,IF($Q93=0,$W93,IF(AND($S93&lt;&gt;"",EDATE($D93,Milestones!$AA$114)&gt;=$S93),$V93,IF(AND($R93&lt;&gt;"",EDATE($D93,Milestones!$AA$114)&gt;=$R93),$U93,$T93)))=Milestones!$AB$114),TEXT(EDATE($D93,Milestones!$AA$114),"dd/mm/yy")&amp;" "&amp;Milestones!$AB$114&amp;" "&amp;Milestones!$AC$114&amp;";  ","")&amp;IF(AND(EDATE($D93,Milestones!$AA$115)&lt;=AsOfDate,IF($Q93=0,$W93,IF(AND($S93&lt;&gt;"",EDATE($D93,Milestones!$AA$115)&gt;=$S93),$V93,IF(AND($R93&lt;&gt;"",EDATE($D93,Milestones!$AA$115)&gt;=$R93),$U93,$T93)))=Milestones!$AB$115),TEXT(EDATE($D93,Milestones!$AA$115),"dd/mm/yy")&amp;" "&amp;Milestones!$AB$115&amp;" "&amp;Milestones!$AC$115&amp;";  ","")&amp;IF(AND(EDATE($D93,Milestones!$AA$116)&lt;=AsOfDate,IF($Q93=0,$W93,IF(AND($S93&lt;&gt;"",EDATE($D93,Milestones!$AA$116)&gt;=$S93),$V93,IF(AND($R93&lt;&gt;"",EDATE($D93,Milestones!$AA$116)&gt;=$R93),$U93,$T93)))=Milestones!$AB$116),TEXT(EDATE($D93,Milestones!$AA$116),"dd/mm/yy")&amp;" "&amp;Milestones!$AB$116&amp;" "&amp;Milestones!$AC$116&amp;";  ","")&amp;IF(AND(EDATE($D93,Milestones!$AA$117)&lt;=AsOfDate,IF($Q93=0,$W93,IF(AND($S93&lt;&gt;"",EDATE($D93,Milestones!$AA$117)&gt;=$S93),$V93,IF(AND($R93&lt;&gt;"",EDATE($D93,Milestones!$AA$117)&gt;=$R93),$U93,$T93)))=Milestones!$AB$117),TEXT(EDATE($D93,Milestones!$AA$117),"dd/mm/yy")&amp;" "&amp;Milestones!$AB$117&amp;" "&amp;Milestones!$AC$117&amp;";  ","")&amp;IF(AND(EDATE($D93,Milestones!$AA$118)&lt;=AsOfDate,IF($Q93=0,$W93,IF(AND($S93&lt;&gt;"",EDATE($D93,Milestones!$AA$118)&gt;=$S93),$V93,IF(AND($R93&lt;&gt;"",EDATE($D93,Milestones!$AA$118)&gt;=$R93),$U93,$T93)))=Milestones!$AB$118),TEXT(EDATE($D93,Milestones!$AA$118),"dd/mm/yy")&amp;" "&amp;Milestones!$AB$118&amp;" "&amp;Milestones!$AC$118&amp;";  ","")&amp;IF(AND(EDATE($D93,Milestones!$AA$119)&lt;=AsOfDate,IF($Q93=0,$W93,IF(AND($S93&lt;&gt;"",EDATE($D93,Milestones!$AA$119)&gt;=$S93),$V93,IF(AND($R93&lt;&gt;"",EDATE($D93,Milestones!$AA$119)&gt;=$R93),$U93,$T93)))=Milestones!$AB$119),TEXT(EDATE($D93,Milestones!$AA$119),"dd/mm/yy")&amp;" "&amp;Milestones!$AB$119&amp;" "&amp;Milestones!$AC$119&amp;";  ",""))</f>
        <v/>
      </c>
      <c r="M93" s="0" t="str">
        <f aca="false">IF(OR($A93="",$D93=""),"",IF(AND(EDATE($D93,Milestones!$AA$120)&lt;=AsOfDate,IF($Q93=0,$W93,IF(AND($S93&lt;&gt;"",EDATE($D93,Milestones!$AA$120)&gt;=$S93),$V93,IF(AND($R93&lt;&gt;"",EDATE($D93,Milestones!$AA$120)&gt;=$R93),$U93,$T93)))=Milestones!$AB$120),TEXT(EDATE($D93,Milestones!$AA$120),"dd/mm/yy")&amp;" "&amp;Milestones!$AB$120&amp;" "&amp;Milestones!$AC$120&amp;";  ","")&amp;IF(AND(EDATE($D93,Milestones!$AA$121)&lt;=AsOfDate,IF($Q93=0,$W93,IF(AND($S93&lt;&gt;"",EDATE($D93,Milestones!$AA$121)&gt;=$S93),$V93,IF(AND($R93&lt;&gt;"",EDATE($D93,Milestones!$AA$121)&gt;=$R93),$U93,$T93)))=Milestones!$AB$121),TEXT(EDATE($D93,Milestones!$AA$121),"dd/mm/yy")&amp;" "&amp;Milestones!$AB$121&amp;" "&amp;Milestones!$AC$121&amp;";  ","")&amp;IF(AND(EDATE($D93,Milestones!$AA$122)&lt;=AsOfDate,IF($Q93=0,$W93,IF(AND($S93&lt;&gt;"",EDATE($D93,Milestones!$AA$122)&gt;=$S93),$V93,IF(AND($R93&lt;&gt;"",EDATE($D93,Milestones!$AA$122)&gt;=$R93),$U93,$T93)))=Milestones!$AB$122),TEXT(EDATE($D93,Milestones!$AA$122),"dd/mm/yy")&amp;" "&amp;Milestones!$AB$122&amp;" "&amp;Milestones!$AC$122&amp;";  ","")&amp;IF(AND(EDATE($D93,Milestones!$AA$123)&lt;=AsOfDate,IF($Q93=0,$W93,IF(AND($S93&lt;&gt;"",EDATE($D93,Milestones!$AA$123)&gt;=$S93),$V93,IF(AND($R93&lt;&gt;"",EDATE($D93,Milestones!$AA$123)&gt;=$R93),$U93,$T93)))=Milestones!$AB$123),TEXT(EDATE($D93,Milestones!$AA$123),"dd/mm/yy")&amp;" "&amp;Milestones!$AB$123&amp;" "&amp;Milestones!$AC$123&amp;";  ","")&amp;IF(AND(EDATE($D93,Milestones!$AA$124)&lt;=AsOfDate,IF($Q93=0,$W93,IF(AND($S93&lt;&gt;"",EDATE($D93,Milestones!$AA$124)&gt;=$S93),$V93,IF(AND($R93&lt;&gt;"",EDATE($D93,Milestones!$AA$124)&gt;=$R93),$U93,$T93)))=Milestones!$AB$124),TEXT(EDATE($D93,Milestones!$AA$124),"dd/mm/yy")&amp;" "&amp;Milestones!$AB$124&amp;" "&amp;Milestones!$AC$124&amp;";  ","")&amp;IF(AND(EDATE($D93,Milestones!$AA$125)&lt;=AsOfDate,IF($Q93=0,$W93,IF(AND($S93&lt;&gt;"",EDATE($D93,Milestones!$AA$125)&gt;=$S93),$V93,IF(AND($R93&lt;&gt;"",EDATE($D93,Milestones!$AA$125)&gt;=$R93),$U93,$T93)))=Milestones!$AB$125),TEXT(EDATE($D93,Milestones!$AA$125),"dd/mm/yy")&amp;" "&amp;Milestones!$AB$125&amp;" "&amp;Milestones!$AC$125&amp;";  ","")&amp;IF(AND(EDATE($D93,Milestones!$AA$126)&lt;=AsOfDate,IF($Q93=0,$W93,IF(AND($S93&lt;&gt;"",EDATE($D93,Milestones!$AA$126)&gt;=$S93),$V93,IF(AND($R93&lt;&gt;"",EDATE($D93,Milestones!$AA$126)&gt;=$R93),$U93,$T93)))=Milestones!$AB$126),TEXT(EDATE($D93,Milestones!$AA$126),"dd/mm/yy")&amp;" "&amp;Milestones!$AB$126&amp;" "&amp;Milestones!$AC$126&amp;";  ","")&amp;IF(AND(EDATE($D93,Milestones!$AA$127)&lt;=AsOfDate,IF($Q93=0,$W93,IF(AND($S93&lt;&gt;"",EDATE($D93,Milestones!$AA$127)&gt;=$S93),$V93,IF(AND($R93&lt;&gt;"",EDATE($D93,Milestones!$AA$127)&gt;=$R93),$U93,$T93)))=Milestones!$AB$127),TEXT(EDATE($D93,Milestones!$AA$127),"dd/mm/yy")&amp;" "&amp;Milestones!$AB$127&amp;" "&amp;Milestones!$AC$127&amp;";  ","")&amp;IF(AND(EDATE($D93,Milestones!$AA$128)&lt;=AsOfDate,IF($Q93=0,$W93,IF(AND($S93&lt;&gt;"",EDATE($D93,Milestones!$AA$128)&gt;=$S93),$V93,IF(AND($R93&lt;&gt;"",EDATE($D93,Milestones!$AA$128)&gt;=$R93),$U93,$T93)))=Milestones!$AB$128),TEXT(EDATE($D93,Milestones!$AA$128),"dd/mm/yy")&amp;" "&amp;Milestones!$AB$128&amp;" "&amp;Milestones!$AC$128&amp;";  ","")&amp;IF(AND(EDATE($D93,Milestones!$AA$129)&lt;=AsOfDate,IF($Q93=0,$W93,IF(AND($S93&lt;&gt;"",EDATE($D93,Milestones!$AA$129)&gt;=$S93),$V93,IF(AND($R93&lt;&gt;"",EDATE($D93,Milestones!$AA$129)&gt;=$R93),$U93,$T93)))=Milestones!$AB$129),TEXT(EDATE($D93,Milestones!$AA$129),"dd/mm/yy")&amp;" "&amp;Milestones!$AB$129&amp;" "&amp;Milestones!$AC$129&amp;";  ","")&amp;IF(AND(EDATE($D93,Milestones!$AA$130)&lt;=AsOfDate,IF($Q93=0,$W93,IF(AND($S93&lt;&gt;"",EDATE($D93,Milestones!$AA$130)&gt;=$S93),$V93,IF(AND($R93&lt;&gt;"",EDATE($D93,Milestones!$AA$130)&gt;=$R93),$U93,$T93)))=Milestones!$AB$130),TEXT(EDATE($D93,Milestones!$AA$130),"dd/mm/yy")&amp;" "&amp;Milestones!$AB$130&amp;" "&amp;Milestones!$AC$130&amp;";  ","")&amp;IF(AND(EDATE($D93,Milestones!$AA$131)&lt;=AsOfDate,IF($Q93=0,$W93,IF(AND($S93&lt;&gt;"",EDATE($D93,Milestones!$AA$131)&gt;=$S93),$V93,IF(AND($R93&lt;&gt;"",EDATE($D93,Milestones!$AA$131)&gt;=$R93),$U93,$T93)))=Milestones!$AB$131),TEXT(EDATE($D93,Milestones!$AA$131),"dd/mm/yy")&amp;" "&amp;Milestones!$AB$131&amp;" "&amp;Milestones!$AC$131&amp;";  ","")&amp;IF(AND(EDATE($D93,Milestones!$AA$132)&lt;=AsOfDate,IF($Q93=0,$W93,IF(AND($S93&lt;&gt;"",EDATE($D93,Milestones!$AA$132)&gt;=$S93),$V93,IF(AND($R93&lt;&gt;"",EDATE($D93,Milestones!$AA$132)&gt;=$R93),$U93,$T93)))=Milestones!$AB$132),TEXT(EDATE($D93,Milestones!$AA$132),"dd/mm/yy")&amp;" "&amp;Milestones!$AB$132&amp;" "&amp;Milestones!$AC$132&amp;";  ","")&amp;IF(AND(EDATE($D93,Milestones!$AA$133)&lt;=AsOfDate,IF($Q93=0,$W93,IF(AND($S93&lt;&gt;"",EDATE($D93,Milestones!$AA$133)&gt;=$S93),$V93,IF(AND($R93&lt;&gt;"",EDATE($D93,Milestones!$AA$133)&gt;=$R93),$U93,$T93)))=Milestones!$AB$133),TEXT(EDATE($D93,Milestones!$AA$133),"dd/mm/yy")&amp;" "&amp;Milestones!$AB$133&amp;" "&amp;Milestones!$AC$133&amp;";  ","")&amp;IF(AND(EDATE($D93,Milestones!$AA$134)&lt;=AsOfDate,IF($Q93=0,$W93,IF(AND($S93&lt;&gt;"",EDATE($D93,Milestones!$AA$134)&gt;=$S93),$V93,IF(AND($R93&lt;&gt;"",EDATE($D93,Milestones!$AA$134)&gt;=$R93),$U93,$T93)))=Milestones!$AB$134),TEXT(EDATE($D93,Milestones!$AA$134),"dd/mm/yy")&amp;" "&amp;Milestones!$AB$134&amp;" "&amp;Milestones!$AC$134&amp;";  ","")&amp;IF(AND(EDATE($D93,Milestones!$AA$135)&lt;=AsOfDate,IF($Q93=0,$W93,IF(AND($S93&lt;&gt;"",EDATE($D93,Milestones!$AA$135)&gt;=$S93),$V93,IF(AND($R93&lt;&gt;"",EDATE($D93,Milestones!$AA$135)&gt;=$R93),$U93,$T93)))=Milestones!$AB$135),TEXT(EDATE($D93,Milestones!$AA$135),"dd/mm/yy")&amp;" "&amp;Milestones!$AB$135&amp;" "&amp;Milestones!$AC$135&amp;";  ","")&amp;IF(AND(EDATE($D93,Milestones!$AA$136)&lt;=AsOfDate,IF($Q93=0,$W93,IF(AND($S93&lt;&gt;"",EDATE($D93,Milestones!$AA$136)&gt;=$S93),$V93,IF(AND($R93&lt;&gt;"",EDATE($D93,Milestones!$AA$136)&gt;=$R93),$U93,$T93)))=Milestones!$AB$136),TEXT(EDATE($D93,Milestones!$AA$136),"dd/mm/yy")&amp;" "&amp;Milestones!$AB$136&amp;" "&amp;Milestones!$AC$136&amp;";  ","")&amp;IF(AND(EDATE($D93,Milestones!$AA$137)&lt;=AsOfDate,IF($Q93=0,$W93,IF(AND($S93&lt;&gt;"",EDATE($D93,Milestones!$AA$137)&gt;=$S93),$V93,IF(AND($R93&lt;&gt;"",EDATE($D93,Milestones!$AA$137)&gt;=$R93),$U93,$T93)))=Milestones!$AB$137),TEXT(EDATE($D93,Milestones!$AA$137),"dd/mm/yy")&amp;" "&amp;Milestones!$AB$137&amp;" "&amp;Milestones!$AC$137&amp;";  ","")&amp;IF(AND(EDATE($D93,Milestones!$AA$138)&lt;=AsOfDate,IF($Q93=0,$W93,IF(AND($S93&lt;&gt;"",EDATE($D93,Milestones!$AA$138)&gt;=$S93),$V93,IF(AND($R93&lt;&gt;"",EDATE($D93,Milestones!$AA$138)&gt;=$R93),$U93,$T93)))=Milestones!$AB$138),TEXT(EDATE($D93,Milestones!$AA$138),"dd/mm/yy")&amp;" "&amp;Milestones!$AB$138&amp;" "&amp;Milestones!$AC$138&amp;";  ","")&amp;IF(AND(EDATE($D93,Milestones!$AA$139)&lt;=AsOfDate,IF($Q93=0,$W93,IF(AND($S93&lt;&gt;"",EDATE($D93,Milestones!$AA$139)&gt;=$S93),$V93,IF(AND($R93&lt;&gt;"",EDATE($D93,Milestones!$AA$139)&gt;=$R93),$U93,$T93)))=Milestones!$AB$139),TEXT(EDATE($D93,Milestones!$AA$139),"dd/mm/yy")&amp;" "&amp;Milestones!$AB$139&amp;" "&amp;Milestones!$AC$139&amp;";  ",""))</f>
        <v/>
      </c>
      <c r="N93" s="0" t="str">
        <f aca="false">IF(OR($A93="",$D93=""),"",IF(AND(EDATE($D93,Milestones!$AA$140)&lt;=AsOfDate,IF($Q93=0,$W93,IF(AND($S93&lt;&gt;"",EDATE($D93,Milestones!$AA$140)&gt;=$S93),$V93,IF(AND($R93&lt;&gt;"",EDATE($D93,Milestones!$AA$140)&gt;=$R93),$U93,$T93)))=Milestones!$AB$140),TEXT(EDATE($D93,Milestones!$AA$140),"dd/mm/yy")&amp;" "&amp;Milestones!$AB$140&amp;" "&amp;Milestones!$AC$140&amp;";  ","")&amp;IF(AND(EDATE($D93,Milestones!$AA$141)&lt;=AsOfDate,IF($Q93=0,$W93,IF(AND($S93&lt;&gt;"",EDATE($D93,Milestones!$AA$141)&gt;=$S93),$V93,IF(AND($R93&lt;&gt;"",EDATE($D93,Milestones!$AA$141)&gt;=$R93),$U93,$T93)))=Milestones!$AB$141),TEXT(EDATE($D93,Milestones!$AA$141),"dd/mm/yy")&amp;" "&amp;Milestones!$AB$141&amp;" "&amp;Milestones!$AC$141&amp;";  ","")&amp;IF(AND(EDATE($D93,Milestones!$AA$142)&lt;=AsOfDate,IF($Q93=0,$W93,IF(AND($S93&lt;&gt;"",EDATE($D93,Milestones!$AA$142)&gt;=$S93),$V93,IF(AND($R93&lt;&gt;"",EDATE($D93,Milestones!$AA$142)&gt;=$R93),$U93,$T93)))=Milestones!$AB$142),TEXT(EDATE($D93,Milestones!$AA$142),"dd/mm/yy")&amp;" "&amp;Milestones!$AB$142&amp;" "&amp;Milestones!$AC$142&amp;";  ","")&amp;IF(AND(EDATE($D93,Milestones!$AA$143)&lt;=AsOfDate,IF($Q93=0,$W93,IF(AND($S93&lt;&gt;"",EDATE($D93,Milestones!$AA$143)&gt;=$S93),$V93,IF(AND($R93&lt;&gt;"",EDATE($D93,Milestones!$AA$143)&gt;=$R93),$U93,$T93)))=Milestones!$AB$143),TEXT(EDATE($D93,Milestones!$AA$143),"dd/mm/yy")&amp;" "&amp;Milestones!$AB$143&amp;" "&amp;Milestones!$AC$143&amp;";  ","")&amp;IF(AND(EDATE($D93,Milestones!$AA$144)&lt;=AsOfDate,IF($Q93=0,$W93,IF(AND($S93&lt;&gt;"",EDATE($D93,Milestones!$AA$144)&gt;=$S93),$V93,IF(AND($R93&lt;&gt;"",EDATE($D93,Milestones!$AA$144)&gt;=$R93),$U93,$T93)))=Milestones!$AB$144),TEXT(EDATE($D93,Milestones!$AA$144),"dd/mm/yy")&amp;" "&amp;Milestones!$AB$144&amp;" "&amp;Milestones!$AC$144&amp;";  ","")&amp;IF(AND(EDATE($D93,Milestones!$AA$145)&lt;=AsOfDate,IF($Q93=0,$W93,IF(AND($S93&lt;&gt;"",EDATE($D93,Milestones!$AA$145)&gt;=$S93),$V93,IF(AND($R93&lt;&gt;"",EDATE($D93,Milestones!$AA$145)&gt;=$R93),$U93,$T93)))=Milestones!$AB$145),TEXT(EDATE($D93,Milestones!$AA$145),"dd/mm/yy")&amp;" "&amp;Milestones!$AB$145&amp;" "&amp;Milestones!$AC$145&amp;";  ","")&amp;IF(AND(EDATE($D93,Milestones!$AA$146)&lt;=AsOfDate,IF($Q93=0,$W93,IF(AND($S93&lt;&gt;"",EDATE($D93,Milestones!$AA$146)&gt;=$S93),$V93,IF(AND($R93&lt;&gt;"",EDATE($D93,Milestones!$AA$146)&gt;=$R93),$U93,$T93)))=Milestones!$AB$146),TEXT(EDATE($D93,Milestones!$AA$146),"dd/mm/yy")&amp;" "&amp;Milestones!$AB$146&amp;" "&amp;Milestones!$AC$146&amp;";  ","")&amp;IF(AND(EDATE($D93,Milestones!$AA$147)&lt;=AsOfDate,IF($Q93=0,$W93,IF(AND($S93&lt;&gt;"",EDATE($D93,Milestones!$AA$147)&gt;=$S93),$V93,IF(AND($R93&lt;&gt;"",EDATE($D93,Milestones!$AA$147)&gt;=$R93),$U93,$T93)))=Milestones!$AB$147),TEXT(EDATE($D93,Milestones!$AA$147),"dd/mm/yy")&amp;" "&amp;Milestones!$AB$147&amp;" "&amp;Milestones!$AC$147&amp;";  ","")&amp;IF(AND(EDATE($D93,Milestones!$AA$148)&lt;=AsOfDate,IF($Q93=0,$W93,IF(AND($S93&lt;&gt;"",EDATE($D93,Milestones!$AA$148)&gt;=$S93),$V93,IF(AND($R93&lt;&gt;"",EDATE($D93,Milestones!$AA$148)&gt;=$R93),$U93,$T93)))=Milestones!$AB$148),TEXT(EDATE($D93,Milestones!$AA$148),"dd/mm/yy")&amp;" "&amp;Milestones!$AB$148&amp;" "&amp;Milestones!$AC$148&amp;";  ","")&amp;IF(AND(EDATE($D93,Milestones!$AA$149)&lt;=AsOfDate,IF($Q93=0,$W93,IF(AND($S93&lt;&gt;"",EDATE($D93,Milestones!$AA$149)&gt;=$S93),$V93,IF(AND($R93&lt;&gt;"",EDATE($D93,Milestones!$AA$149)&gt;=$R93),$U93,$T93)))=Milestones!$AB$149),TEXT(EDATE($D93,Milestones!$AA$149),"dd/mm/yy")&amp;" "&amp;Milestones!$AB$149&amp;" "&amp;Milestones!$AC$149&amp;";  ","")&amp;IF(AND(EDATE($D93,Milestones!$AA$150)&lt;=AsOfDate,IF($Q93=0,$W93,IF(AND($S93&lt;&gt;"",EDATE($D93,Milestones!$AA$150)&gt;=$S93),$V93,IF(AND($R93&lt;&gt;"",EDATE($D93,Milestones!$AA$150)&gt;=$R93),$U93,$T93)))=Milestones!$AB$150),TEXT(EDATE($D93,Milestones!$AA$150),"dd/mm/yy")&amp;" "&amp;Milestones!$AB$150&amp;" "&amp;Milestones!$AC$150&amp;";  ","")&amp;IF(AND(EDATE($D93,Milestones!$AA$151)&lt;=AsOfDate,IF($Q93=0,$W93,IF(AND($S93&lt;&gt;"",EDATE($D93,Milestones!$AA$151)&gt;=$S93),$V93,IF(AND($R93&lt;&gt;"",EDATE($D93,Milestones!$AA$151)&gt;=$R93),$U93,$T93)))=Milestones!$AB$151),TEXT(EDATE($D93,Milestones!$AA$151),"dd/mm/yy")&amp;" "&amp;Milestones!$AB$151&amp;" "&amp;Milestones!$AC$151&amp;";  ","")&amp;IF(AND(EDATE($D93,Milestones!$AA$152)&lt;=AsOfDate,IF($Q93=0,$W93,IF(AND($S93&lt;&gt;"",EDATE($D93,Milestones!$AA$152)&gt;=$S93),$V93,IF(AND($R93&lt;&gt;"",EDATE($D93,Milestones!$AA$152)&gt;=$R93),$U93,$T93)))=Milestones!$AB$152),TEXT(EDATE($D93,Milestones!$AA$152),"dd/mm/yy")&amp;" "&amp;Milestones!$AB$152&amp;" "&amp;Milestones!$AC$152&amp;";  ","")&amp;IF(AND(EDATE($D93,Milestones!$AA$153)&lt;=AsOfDate,IF($Q93=0,$W93,IF(AND($S93&lt;&gt;"",EDATE($D93,Milestones!$AA$153)&gt;=$S93),$V93,IF(AND($R93&lt;&gt;"",EDATE($D93,Milestones!$AA$153)&gt;=$R93),$U93,$T93)))=Milestones!$AB$153),TEXT(EDATE($D93,Milestones!$AA$153),"dd/mm/yy")&amp;" "&amp;Milestones!$AB$153&amp;" "&amp;Milestones!$AC$153&amp;";  ","")&amp;IF(AND(EDATE($D93,Milestones!$AA$154)&lt;=AsOfDate,IF($Q93=0,$W93,IF(AND($S93&lt;&gt;"",EDATE($D93,Milestones!$AA$154)&gt;=$S93),$V93,IF(AND($R93&lt;&gt;"",EDATE($D93,Milestones!$AA$154)&gt;=$R93),$U93,$T93)))=Milestones!$AB$154),TEXT(EDATE($D93,Milestones!$AA$154),"dd/mm/yy")&amp;" "&amp;Milestones!$AB$154&amp;" "&amp;Milestones!$AC$154&amp;";  ","")&amp;IF(AND(EDATE($D93,Milestones!$AA$155)&lt;=AsOfDate,IF($Q93=0,$W93,IF(AND($S93&lt;&gt;"",EDATE($D93,Milestones!$AA$155)&gt;=$S93),$V93,IF(AND($R93&lt;&gt;"",EDATE($D93,Milestones!$AA$155)&gt;=$R93),$U93,$T93)))=Milestones!$AB$155),TEXT(EDATE($D93,Milestones!$AA$155),"dd/mm/yy")&amp;" "&amp;Milestones!$AB$155&amp;" "&amp;Milestones!$AC$155&amp;";  ","")&amp;IF(AND(EDATE($D93,Milestones!$AA$156)&lt;=AsOfDate,IF($Q93=0,$W93,IF(AND($S93&lt;&gt;"",EDATE($D93,Milestones!$AA$156)&gt;=$S93),$V93,IF(AND($R93&lt;&gt;"",EDATE($D93,Milestones!$AA$156)&gt;=$R93),$U93,$T93)))=Milestones!$AB$156),TEXT(EDATE($D93,Milestones!$AA$156),"dd/mm/yy")&amp;" "&amp;Milestones!$AB$156&amp;" "&amp;Milestones!$AC$156&amp;";  ","")&amp;IF(AND(EDATE($D93,Milestones!$AA$157)&lt;=AsOfDate,IF($Q93=0,$W93,IF(AND($S93&lt;&gt;"",EDATE($D93,Milestones!$AA$157)&gt;=$S93),$V93,IF(AND($R93&lt;&gt;"",EDATE($D93,Milestones!$AA$157)&gt;=$R93),$U93,$T93)))=Milestones!$AB$157),TEXT(EDATE($D93,Milestones!$AA$157),"dd/mm/yy")&amp;" "&amp;Milestones!$AB$157&amp;" "&amp;Milestones!$AC$157&amp;";  ","")&amp;IF(AND(EDATE($D93,Milestones!$AA$158)&lt;=AsOfDate,IF($Q93=0,$W93,IF(AND($S93&lt;&gt;"",EDATE($D93,Milestones!$AA$158)&gt;=$S93),$V93,IF(AND($R93&lt;&gt;"",EDATE($D93,Milestones!$AA$158)&gt;=$R93),$U93,$T93)))=Milestones!$AB$158),TEXT(EDATE($D93,Milestones!$AA$158),"dd/mm/yy")&amp;" "&amp;Milestones!$AB$158&amp;" "&amp;Milestones!$AC$158&amp;";  ","")&amp;IF(AND(EDATE($D93,Milestones!$AA$159)&lt;=AsOfDate,IF($Q93=0,$W93,IF(AND($S93&lt;&gt;"",EDATE($D93,Milestones!$AA$159)&gt;=$S93),$V93,IF(AND($R93&lt;&gt;"",EDATE($D93,Milestones!$AA$159)&gt;=$R93),$U93,$T93)))=Milestones!$AB$159),TEXT(EDATE($D93,Milestones!$AA$159),"dd/mm/yy")&amp;" "&amp;Milestones!$AB$159&amp;" "&amp;Milestones!$AC$159&amp;";  ",""))</f>
        <v/>
      </c>
      <c r="O93" s="0" t="str">
        <f aca="false">IF(OR($A93="",$D93=""),"",IF(AND(EDATE($D93,Milestones!$AA$160)&lt;=AsOfDate,IF($Q93=0,$W93,IF(AND($S93&lt;&gt;"",EDATE($D93,Milestones!$AA$160)&gt;=$S93),$V93,IF(AND($R93&lt;&gt;"",EDATE($D93,Milestones!$AA$160)&gt;=$R93),$U93,$T93)))=Milestones!$AB$160),TEXT(EDATE($D93,Milestones!$AA$160),"dd/mm/yy")&amp;" "&amp;Milestones!$AB$160&amp;" "&amp;Milestones!$AC$160&amp;";  ","")&amp;IF(AND(EDATE($D93,Milestones!$AA$161)&lt;=AsOfDate,IF($Q93=0,$W93,IF(AND($S93&lt;&gt;"",EDATE($D93,Milestones!$AA$161)&gt;=$S93),$V93,IF(AND($R93&lt;&gt;"",EDATE($D93,Milestones!$AA$161)&gt;=$R93),$U93,$T93)))=Milestones!$AB$161),TEXT(EDATE($D93,Milestones!$AA$161),"dd/mm/yy")&amp;" "&amp;Milestones!$AB$161&amp;" "&amp;Milestones!$AC$161&amp;";  ","")&amp;IF(AND(EDATE($D93,Milestones!$AA$162)&lt;=AsOfDate,IF($Q93=0,$W93,IF(AND($S93&lt;&gt;"",EDATE($D93,Milestones!$AA$162)&gt;=$S93),$V93,IF(AND($R93&lt;&gt;"",EDATE($D93,Milestones!$AA$162)&gt;=$R93),$U93,$T93)))=Milestones!$AB$162),TEXT(EDATE($D93,Milestones!$AA$162),"dd/mm/yy")&amp;" "&amp;Milestones!$AB$162&amp;" "&amp;Milestones!$AC$162&amp;";  ","")&amp;IF(AND(EDATE($D93,Milestones!$AA$163)&lt;=AsOfDate,IF($Q93=0,$W93,IF(AND($S93&lt;&gt;"",EDATE($D93,Milestones!$AA$163)&gt;=$S93),$V93,IF(AND($R93&lt;&gt;"",EDATE($D93,Milestones!$AA$163)&gt;=$R93),$U93,$T93)))=Milestones!$AB$163),TEXT(EDATE($D93,Milestones!$AA$163),"dd/mm/yy")&amp;" "&amp;Milestones!$AB$163&amp;" "&amp;Milestones!$AC$163&amp;";  ","")&amp;IF(AND(EDATE($D93,Milestones!$AA$164)&lt;=AsOfDate,IF($Q93=0,$W93,IF(AND($S93&lt;&gt;"",EDATE($D93,Milestones!$AA$164)&gt;=$S93),$V93,IF(AND($R93&lt;&gt;"",EDATE($D93,Milestones!$AA$164)&gt;=$R93),$U93,$T93)))=Milestones!$AB$164),TEXT(EDATE($D93,Milestones!$AA$164),"dd/mm/yy")&amp;" "&amp;Milestones!$AB$164&amp;" "&amp;Milestones!$AC$164&amp;";  ","")&amp;IF(AND(EDATE($D93,Milestones!$AA$165)&lt;=AsOfDate,IF($Q93=0,$W93,IF(AND($S93&lt;&gt;"",EDATE($D93,Milestones!$AA$165)&gt;=$S93),$V93,IF(AND($R93&lt;&gt;"",EDATE($D93,Milestones!$AA$165)&gt;=$R93),$U93,$T93)))=Milestones!$AB$165),TEXT(EDATE($D93,Milestones!$AA$165),"dd/mm/yy")&amp;" "&amp;Milestones!$AB$165&amp;" "&amp;Milestones!$AC$165&amp;";  ","")&amp;IF(AND(EDATE($D93,Milestones!$AA$166)&lt;=AsOfDate,IF($Q93=0,$W93,IF(AND($S93&lt;&gt;"",EDATE($D93,Milestones!$AA$166)&gt;=$S93),$V93,IF(AND($R93&lt;&gt;"",EDATE($D93,Milestones!$AA$166)&gt;=$R93),$U93,$T93)))=Milestones!$AB$166),TEXT(EDATE($D93,Milestones!$AA$166),"dd/mm/yy")&amp;" "&amp;Milestones!$AB$166&amp;" "&amp;Milestones!$AC$166&amp;";  ","")&amp;IF(AND(EDATE($D93,Milestones!$AA$167)&lt;=AsOfDate,IF($Q93=0,$W93,IF(AND($S93&lt;&gt;"",EDATE($D93,Milestones!$AA$167)&gt;=$S93),$V93,IF(AND($R93&lt;&gt;"",EDATE($D93,Milestones!$AA$167)&gt;=$R93),$U93,$T93)))=Milestones!$AB$167),TEXT(EDATE($D93,Milestones!$AA$167),"dd/mm/yy")&amp;" "&amp;Milestones!$AB$167&amp;" "&amp;Milestones!$AC$167&amp;";  ","")&amp;IF(AND(EDATE($D93,Milestones!$AA$168)&lt;=AsOfDate,IF($Q93=0,$W93,IF(AND($S93&lt;&gt;"",EDATE($D93,Milestones!$AA$168)&gt;=$S93),$V93,IF(AND($R93&lt;&gt;"",EDATE($D93,Milestones!$AA$168)&gt;=$R93),$U93,$T93)))=Milestones!$AB$168),TEXT(EDATE($D93,Milestones!$AA$168),"dd/mm/yy")&amp;" "&amp;Milestones!$AB$168&amp;" "&amp;Milestones!$AC$168&amp;";  ","")&amp;IF(AND(EDATE($D93,Milestones!$AA$169)&lt;=AsOfDate,IF($Q93=0,$W93,IF(AND($S93&lt;&gt;"",EDATE($D93,Milestones!$AA$169)&gt;=$S93),$V93,IF(AND($R93&lt;&gt;"",EDATE($D93,Milestones!$AA$169)&gt;=$R93),$U93,$T93)))=Milestones!$AB$169),TEXT(EDATE($D93,Milestones!$AA$169),"dd/mm/yy")&amp;" "&amp;Milestones!$AB$169&amp;" "&amp;Milestones!$AC$169&amp;";  ","")&amp;IF(AND(EDATE($D93,Milestones!$AA$170)&lt;=AsOfDate,IF($Q93=0,$W93,IF(AND($S93&lt;&gt;"",EDATE($D93,Milestones!$AA$170)&gt;=$S93),$V93,IF(AND($R93&lt;&gt;"",EDATE($D93,Milestones!$AA$170)&gt;=$R93),$U93,$T93)))=Milestones!$AB$170),TEXT(EDATE($D93,Milestones!$AA$170),"dd/mm/yy")&amp;" "&amp;Milestones!$AB$170&amp;" "&amp;Milestones!$AC$170&amp;";  ","")&amp;IF(AND(EDATE($D93,Milestones!$AA$171)&lt;=AsOfDate,IF($Q93=0,$W93,IF(AND($S93&lt;&gt;"",EDATE($D93,Milestones!$AA$171)&gt;=$S93),$V93,IF(AND($R93&lt;&gt;"",EDATE($D93,Milestones!$AA$171)&gt;=$R93),$U93,$T93)))=Milestones!$AB$171),TEXT(EDATE($D93,Milestones!$AA$171),"dd/mm/yy")&amp;" "&amp;Milestones!$AB$171&amp;" "&amp;Milestones!$AC$171&amp;";  ","")&amp;IF(AND(EDATE($D93,Milestones!$AA$172)&lt;=AsOfDate,IF($Q93=0,$W93,IF(AND($S93&lt;&gt;"",EDATE($D93,Milestones!$AA$172)&gt;=$S93),$V93,IF(AND($R93&lt;&gt;"",EDATE($D93,Milestones!$AA$172)&gt;=$R93),$U93,$T93)))=Milestones!$AB$172),TEXT(EDATE($D93,Milestones!$AA$172),"dd/mm/yy")&amp;" "&amp;Milestones!$AB$172&amp;" "&amp;Milestones!$AC$172&amp;";  ","")&amp;IF(AND(EDATE($D93,Milestones!$AA$173)&lt;=AsOfDate,IF($Q93=0,$W93,IF(AND($S93&lt;&gt;"",EDATE($D93,Milestones!$AA$173)&gt;=$S93),$V93,IF(AND($R93&lt;&gt;"",EDATE($D93,Milestones!$AA$173)&gt;=$R93),$U93,$T93)))=Milestones!$AB$173),TEXT(EDATE($D93,Milestones!$AA$173),"dd/mm/yy")&amp;" "&amp;Milestones!$AB$173&amp;" "&amp;Milestones!$AC$173&amp;";  ","")&amp;IF(AND(EDATE($D93,Milestones!$AA$174)&lt;=AsOfDate,IF($Q93=0,$W93,IF(AND($S93&lt;&gt;"",EDATE($D93,Milestones!$AA$174)&gt;=$S93),$V93,IF(AND($R93&lt;&gt;"",EDATE($D93,Milestones!$AA$174)&gt;=$R93),$U93,$T93)))=Milestones!$AB$174),TEXT(EDATE($D93,Milestones!$AA$174),"dd/mm/yy")&amp;" "&amp;Milestones!$AB$174&amp;" "&amp;Milestones!$AC$174&amp;";  ","")&amp;IF(AND(EDATE($D93,Milestones!$AA$175)&lt;=AsOfDate,IF($Q93=0,$W93,IF(AND($S93&lt;&gt;"",EDATE($D93,Milestones!$AA$175)&gt;=$S93),$V93,IF(AND($R93&lt;&gt;"",EDATE($D93,Milestones!$AA$175)&gt;=$R93),$U93,$T93)))=Milestones!$AB$175),TEXT(EDATE($D93,Milestones!$AA$175),"dd/mm/yy")&amp;" "&amp;Milestones!$AB$175&amp;" "&amp;Milestones!$AC$175&amp;";  ","")&amp;IF(AND(EDATE($D93,Milestones!$AA$176)&lt;=AsOfDate,IF($Q93=0,$W93,IF(AND($S93&lt;&gt;"",EDATE($D93,Milestones!$AA$176)&gt;=$S93),$V93,IF(AND($R93&lt;&gt;"",EDATE($D93,Milestones!$AA$176)&gt;=$R93),$U93,$T93)))=Milestones!$AB$176),TEXT(EDATE($D93,Milestones!$AA$176),"dd/mm/yy")&amp;" "&amp;Milestones!$AB$176&amp;" "&amp;Milestones!$AC$176&amp;";  ","")&amp;IF(AND(EDATE($D93,Milestones!$AA$177)&lt;=AsOfDate,IF($Q93=0,$W93,IF(AND($S93&lt;&gt;"",EDATE($D93,Milestones!$AA$177)&gt;=$S93),$V93,IF(AND($R93&lt;&gt;"",EDATE($D93,Milestones!$AA$177)&gt;=$R93),$U93,$T93)))=Milestones!$AB$177),TEXT(EDATE($D93,Milestones!$AA$177),"dd/mm/yy")&amp;" "&amp;Milestones!$AB$177&amp;" "&amp;Milestones!$AC$177&amp;";  ","")&amp;IF(AND(EDATE($D93,Milestones!$AA$178)&lt;=AsOfDate,IF($Q93=0,$W93,IF(AND($S93&lt;&gt;"",EDATE($D93,Milestones!$AA$178)&gt;=$S93),$V93,IF(AND($R93&lt;&gt;"",EDATE($D93,Milestones!$AA$178)&gt;=$R93),$U93,$T93)))=Milestones!$AB$178),TEXT(EDATE($D93,Milestones!$AA$178),"dd/mm/yy")&amp;" "&amp;Milestones!$AB$178&amp;" "&amp;Milestones!$AC$178&amp;";  ","")&amp;IF(AND(EDATE($D93,Milestones!$AA$179)&lt;=AsOfDate,IF($Q93=0,$W93,IF(AND($S93&lt;&gt;"",EDATE($D93,Milestones!$AA$179)&gt;=$S93),$V93,IF(AND($R93&lt;&gt;"",EDATE($D93,Milestones!$AA$179)&gt;=$R93),$U93,$T93)))=Milestones!$AB$179),TEXT(EDATE($D93,Milestones!$AA$179),"dd/mm/yy")&amp;" "&amp;Milestones!$AB$179&amp;" "&amp;Milestones!$AC$179&amp;";  ",""))</f>
        <v/>
      </c>
      <c r="P93" s="0" t="str">
        <f aca="false">IF(OR($A93="",$D93=""),"",IF(AND(EDATE($D93,Milestones!$AA$180)&lt;=AsOfDate,IF($Q93=0,$W93,IF(AND($S93&lt;&gt;"",EDATE($D93,Milestones!$AA$180)&gt;=$S93),$V93,IF(AND($R93&lt;&gt;"",EDATE($D93,Milestones!$AA$180)&gt;=$R93),$U93,$T93)))=Milestones!$AB$180),TEXT(EDATE($D93,Milestones!$AA$180),"dd/mm/yy")&amp;" "&amp;Milestones!$AB$180&amp;" "&amp;Milestones!$AC$180&amp;";  ","")&amp;IF(AND(EDATE($D93,Milestones!$AA$181)&lt;=AsOfDate,IF($Q93=0,$W93,IF(AND($S93&lt;&gt;"",EDATE($D93,Milestones!$AA$181)&gt;=$S93),$V93,IF(AND($R93&lt;&gt;"",EDATE($D93,Milestones!$AA$181)&gt;=$R93),$U93,$T93)))=Milestones!$AB$181),TEXT(EDATE($D93,Milestones!$AA$181),"dd/mm/yy")&amp;" "&amp;Milestones!$AB$181&amp;" "&amp;Milestones!$AC$181&amp;";  ","")&amp;IF(AND(EDATE($D93,Milestones!$AA$182)&lt;=AsOfDate,IF($Q93=0,$W93,IF(AND($S93&lt;&gt;"",EDATE($D93,Milestones!$AA$182)&gt;=$S93),$V93,IF(AND($R93&lt;&gt;"",EDATE($D93,Milestones!$AA$182)&gt;=$R93),$U93,$T93)))=Milestones!$AB$182),TEXT(EDATE($D93,Milestones!$AA$182),"dd/mm/yy")&amp;" "&amp;Milestones!$AB$182&amp;" "&amp;Milestones!$AC$182&amp;";  ","")&amp;IF(AND(EDATE($D93,Milestones!$AA$183)&lt;=AsOfDate,IF($Q93=0,$W93,IF(AND($S93&lt;&gt;"",EDATE($D93,Milestones!$AA$183)&gt;=$S93),$V93,IF(AND($R93&lt;&gt;"",EDATE($D93,Milestones!$AA$183)&gt;=$R93),$U93,$T93)))=Milestones!$AB$183),TEXT(EDATE($D93,Milestones!$AA$183),"dd/mm/yy")&amp;" "&amp;Milestones!$AB$183&amp;" "&amp;Milestones!$AC$183&amp;";  ","")&amp;IF(AND(EDATE($D93,Milestones!$AA$184)&lt;=AsOfDate,IF($Q93=0,$W93,IF(AND($S93&lt;&gt;"",EDATE($D93,Milestones!$AA$184)&gt;=$S93),$V93,IF(AND($R93&lt;&gt;"",EDATE($D93,Milestones!$AA$184)&gt;=$R93),$U93,$T93)))=Milestones!$AB$184),TEXT(EDATE($D93,Milestones!$AA$184),"dd/mm/yy")&amp;" "&amp;Milestones!$AB$184&amp;" "&amp;Milestones!$AC$184&amp;";  ","")&amp;IF(AND(EDATE($D93,Milestones!$AA$185)&lt;=AsOfDate,IF($Q93=0,$W93,IF(AND($S93&lt;&gt;"",EDATE($D93,Milestones!$AA$185)&gt;=$S93),$V93,IF(AND($R93&lt;&gt;"",EDATE($D93,Milestones!$AA$185)&gt;=$R93),$U93,$T93)))=Milestones!$AB$185),TEXT(EDATE($D93,Milestones!$AA$185),"dd/mm/yy")&amp;" "&amp;Milestones!$AB$185&amp;" "&amp;Milestones!$AC$185&amp;";  ","")&amp;IF(AND(EDATE($D93,Milestones!$AA$186)&lt;=AsOfDate,IF($Q93=0,$W93,IF(AND($S93&lt;&gt;"",EDATE($D93,Milestones!$AA$186)&gt;=$S93),$V93,IF(AND($R93&lt;&gt;"",EDATE($D93,Milestones!$AA$186)&gt;=$R93),$U93,$T93)))=Milestones!$AB$186),TEXT(EDATE($D93,Milestones!$AA$186),"dd/mm/yy")&amp;" "&amp;Milestones!$AB$186&amp;" "&amp;Milestones!$AC$186&amp;";  ","")&amp;IF(AND(EDATE($D93,Milestones!$AA$187)&lt;=AsOfDate,IF($Q93=0,$W93,IF(AND($S93&lt;&gt;"",EDATE($D93,Milestones!$AA$187)&gt;=$S93),$V93,IF(AND($R93&lt;&gt;"",EDATE($D93,Milestones!$AA$187)&gt;=$R93),$U93,$T93)))=Milestones!$AB$187),TEXT(EDATE($D93,Milestones!$AA$187),"dd/mm/yy")&amp;" "&amp;Milestones!$AB$187&amp;" "&amp;Milestones!$AC$187&amp;";  ","")&amp;IF(AND(EDATE($D93,Milestones!$AA$188)&lt;=AsOfDate,IF($Q93=0,$W93,IF(AND($S93&lt;&gt;"",EDATE($D93,Milestones!$AA$188)&gt;=$S93),$V93,IF(AND($R93&lt;&gt;"",EDATE($D93,Milestones!$AA$188)&gt;=$R93),$U93,$T93)))=Milestones!$AB$188),TEXT(EDATE($D93,Milestones!$AA$188),"dd/mm/yy")&amp;" "&amp;Milestones!$AB$188&amp;" "&amp;Milestones!$AC$188&amp;";  ","")&amp;IF(AND(EDATE($D93,Milestones!$AA$189)&lt;=AsOfDate,IF($Q93=0,$W93,IF(AND($S93&lt;&gt;"",EDATE($D93,Milestones!$AA$189)&gt;=$S93),$V93,IF(AND($R93&lt;&gt;"",EDATE($D93,Milestones!$AA$189)&gt;=$R93),$U93,$T93)))=Milestones!$AB$189),TEXT(EDATE($D93,Milestones!$AA$189),"dd/mm/yy")&amp;" "&amp;Milestones!$AB$189&amp;" "&amp;Milestones!$AC$189&amp;";  ","")&amp;IF(AND(EDATE($D93,Milestones!$AA$190)&lt;=AsOfDate,IF($Q93=0,$W93,IF(AND($S93&lt;&gt;"",EDATE($D93,Milestones!$AA$190)&gt;=$S93),$V93,IF(AND($R93&lt;&gt;"",EDATE($D93,Milestones!$AA$190)&gt;=$R93),$U93,$T93)))=Milestones!$AB$190),TEXT(EDATE($D93,Milestones!$AA$190),"dd/mm/yy")&amp;" "&amp;Milestones!$AB$190&amp;" "&amp;Milestones!$AC$190&amp;";  ","")&amp;IF(AND(EDATE($D93,Milestones!$AA$191)&lt;=AsOfDate,IF($Q93=0,$W93,IF(AND($S93&lt;&gt;"",EDATE($D93,Milestones!$AA$191)&gt;=$S93),$V93,IF(AND($R93&lt;&gt;"",EDATE($D93,Milestones!$AA$191)&gt;=$R93),$U93,$T93)))=Milestones!$AB$191),TEXT(EDATE($D93,Milestones!$AA$191),"dd/mm/yy")&amp;" "&amp;Milestones!$AB$191&amp;" "&amp;Milestones!$AC$191&amp;";  ","")&amp;IF(AND(EDATE($D93,Milestones!$AA$192)&lt;=AsOfDate,IF($Q93=0,$W93,IF(AND($S93&lt;&gt;"",EDATE($D93,Milestones!$AA$192)&gt;=$S93),$V93,IF(AND($R93&lt;&gt;"",EDATE($D93,Milestones!$AA$192)&gt;=$R93),$U93,$T93)))=Milestones!$AB$192),TEXT(EDATE($D93,Milestones!$AA$192),"dd/mm/yy")&amp;" "&amp;Milestones!$AB$192&amp;" "&amp;Milestones!$AC$192&amp;";  ","")&amp;IF(AND(EDATE($D93,Milestones!$AA$193)&lt;=AsOfDate,IF($Q93=0,$W93,IF(AND($S93&lt;&gt;"",EDATE($D93,Milestones!$AA$193)&gt;=$S93),$V93,IF(AND($R93&lt;&gt;"",EDATE($D93,Milestones!$AA$193)&gt;=$R93),$U93,$T93)))=Milestones!$AB$193),TEXT(EDATE($D93,Milestones!$AA$193),"dd/mm/yy")&amp;" "&amp;Milestones!$AB$193&amp;" "&amp;Milestones!$AC$193&amp;";  ","")&amp;IF(AND(EDATE($D93,Milestones!$AA$194)&lt;=AsOfDate,IF($Q93=0,$W93,IF(AND($S93&lt;&gt;"",EDATE($D93,Milestones!$AA$194)&gt;=$S93),$V93,IF(AND($R93&lt;&gt;"",EDATE($D93,Milestones!$AA$194)&gt;=$R93),$U93,$T93)))=Milestones!$AB$194),TEXT(EDATE($D93,Milestones!$AA$194),"dd/mm/yy")&amp;" "&amp;Milestones!$AB$194&amp;" "&amp;Milestones!$AC$194&amp;";  ","")&amp;IF(AND(EDATE($D93,Milestones!$AA$195)&lt;=AsOfDate,IF($Q93=0,$W93,IF(AND($S93&lt;&gt;"",EDATE($D93,Milestones!$AA$195)&gt;=$S93),$V93,IF(AND($R93&lt;&gt;"",EDATE($D93,Milestones!$AA$195)&gt;=$R93),$U93,$T93)))=Milestones!$AB$195),TEXT(EDATE($D93,Milestones!$AA$195),"dd/mm/yy")&amp;" "&amp;Milestones!$AB$195&amp;" "&amp;Milestones!$AC$195&amp;";  ","")&amp;IF(AND(EDATE($D93,Milestones!$AA$196)&lt;=AsOfDate,IF($Q93=0,$W93,IF(AND($S93&lt;&gt;"",EDATE($D93,Milestones!$AA$196)&gt;=$S93),$V93,IF(AND($R93&lt;&gt;"",EDATE($D93,Milestones!$AA$196)&gt;=$R93),$U93,$T93)))=Milestones!$AB$196),TEXT(EDATE($D93,Milestones!$AA$196),"dd/mm/yy")&amp;" "&amp;Milestones!$AB$196&amp;" "&amp;Milestones!$AC$196&amp;";  ","")&amp;IF(AND(EDATE($D93,Milestones!$AA$197)&lt;=AsOfDate,IF($Q93=0,$W93,IF(AND($S93&lt;&gt;"",EDATE($D93,Milestones!$AA$197)&gt;=$S93),$V93,IF(AND($R93&lt;&gt;"",EDATE($D93,Milestones!$AA$197)&gt;=$R93),$U93,$T93)))=Milestones!$AB$197),TEXT(EDATE($D93,Milestones!$AA$197),"dd/mm/yy")&amp;" "&amp;Milestones!$AB$197&amp;" "&amp;Milestones!$AC$197&amp;";  ","")&amp;IF(AND(EDATE($D93,Milestones!$AA$198)&lt;=AsOfDate,IF($Q93=0,$W93,IF(AND($S93&lt;&gt;"",EDATE($D93,Milestones!$AA$198)&gt;=$S93),$V93,IF(AND($R93&lt;&gt;"",EDATE($D93,Milestones!$AA$198)&gt;=$R93),$U93,$T93)))=Milestones!$AB$198),TEXT(EDATE($D93,Milestones!$AA$198),"dd/mm/yy")&amp;" "&amp;Milestones!$AB$198&amp;" "&amp;Milestones!$AC$198&amp;";  ","")&amp;IF(AND(EDATE($D93,Milestones!$AA$199)&lt;=AsOfDate,IF($Q93=0,$W93,IF(AND($S93&lt;&gt;"",EDATE($D93,Milestones!$AA$199)&gt;=$S93),$V93,IF(AND($R93&lt;&gt;"",EDATE($D93,Milestones!$AA$199)&gt;=$R93),$U93,$T93)))=Milestones!$AB$199),TEXT(EDATE($D93,Milestones!$AA$199),"dd/mm/yy")&amp;" "&amp;Milestones!$AB$199&amp;" "&amp;Milestones!$AC$199&amp;";  ",""))</f>
        <v/>
      </c>
      <c r="Q93" s="0" t="str">
        <f aca="false">IF(Staff!$A93="","",Staff!$AG93)</f>
        <v/>
      </c>
      <c r="R93" s="0" t="str">
        <f aca="false">IF(Staff!$A93="","",Staff!$AI93)</f>
        <v/>
      </c>
      <c r="S93" s="0" t="str">
        <f aca="false">IF(Staff!$A93="","",Staff!$AJ93)</f>
        <v/>
      </c>
      <c r="T93" s="0" t="str">
        <f aca="false">IF(Staff!$A93="","",Staff!$AN93)</f>
        <v/>
      </c>
      <c r="U93" s="0" t="str">
        <f aca="false">IF(Staff!$A93="","",Staff!$AO93)</f>
        <v/>
      </c>
      <c r="V93" s="0" t="str">
        <f aca="false">IF(Staff!$A93="","",Staff!$AP93)</f>
        <v/>
      </c>
      <c r="W93" s="0" t="str">
        <f aca="false">IF(Staff!$A93="","",Staff!$AQ93)</f>
        <v/>
      </c>
    </row>
    <row r="94" customFormat="false" ht="15" hidden="false" customHeight="false" outlineLevel="0" collapsed="false">
      <c r="A94" s="13" t="str">
        <f aca="false">IF(Staff!$A94="","",Staff!$A94)</f>
        <v/>
      </c>
      <c r="B94" s="13" t="str">
        <f aca="false">IF(Staff!$A94="","",Staff!$B94)</f>
        <v/>
      </c>
      <c r="C94" s="13" t="str">
        <f aca="false">IF(Staff!$A94="","",Staff!$C94)</f>
        <v/>
      </c>
      <c r="D94" s="11" t="str">
        <f aca="false">IF(Staff!$A94="","",Staff!$AF94)</f>
        <v/>
      </c>
      <c r="E94" s="13" t="str">
        <f aca="false">IF(Staff!$A94="","",Staff!$O94)</f>
        <v/>
      </c>
      <c r="F94" s="13" t="str">
        <f aca="false">IF(E94="","",E94*HoursPerDay)</f>
        <v/>
      </c>
      <c r="G94" s="26" t="str">
        <f aca="false">IF($A94="","",H94&amp;I94&amp;J94&amp;K94&amp;L94&amp;M94&amp;N94&amp;O94&amp;P94)</f>
        <v/>
      </c>
      <c r="H94" s="0" t="str">
        <f aca="false">IF(OR($A94="",$D94=""),"",IF(AND(EDATE($D94,Milestones!$AA$20)&lt;=AsOfDate,IF($Q94=0,$W94,IF(AND($S94&lt;&gt;"",EDATE($D94,Milestones!$AA$20)&gt;=$S94),$V94,IF(AND($R94&lt;&gt;"",EDATE($D94,Milestones!$AA$20)&gt;=$R94),$U94,$T94)))=Milestones!$AB$20),TEXT(EDATE($D94,Milestones!$AA$20),"dd/mm/yy")&amp;" "&amp;Milestones!$AB$20&amp;" "&amp;Milestones!$AC$20&amp;";  ","")&amp;IF(AND(EDATE($D94,Milestones!$AA$21)&lt;=AsOfDate,IF($Q94=0,$W94,IF(AND($S94&lt;&gt;"",EDATE($D94,Milestones!$AA$21)&gt;=$S94),$V94,IF(AND($R94&lt;&gt;"",EDATE($D94,Milestones!$AA$21)&gt;=$R94),$U94,$T94)))=Milestones!$AB$21),TEXT(EDATE($D94,Milestones!$AA$21),"dd/mm/yy")&amp;" "&amp;Milestones!$AB$21&amp;" "&amp;Milestones!$AC$21&amp;";  ","")&amp;IF(AND(EDATE($D94,Milestones!$AA$22)&lt;=AsOfDate,IF($Q94=0,$W94,IF(AND($S94&lt;&gt;"",EDATE($D94,Milestones!$AA$22)&gt;=$S94),$V94,IF(AND($R94&lt;&gt;"",EDATE($D94,Milestones!$AA$22)&gt;=$R94),$U94,$T94)))=Milestones!$AB$22),TEXT(EDATE($D94,Milestones!$AA$22),"dd/mm/yy")&amp;" "&amp;Milestones!$AB$22&amp;" "&amp;Milestones!$AC$22&amp;";  ","")&amp;IF(AND(EDATE($D94,Milestones!$AA$23)&lt;=AsOfDate,IF($Q94=0,$W94,IF(AND($S94&lt;&gt;"",EDATE($D94,Milestones!$AA$23)&gt;=$S94),$V94,IF(AND($R94&lt;&gt;"",EDATE($D94,Milestones!$AA$23)&gt;=$R94),$U94,$T94)))=Milestones!$AB$23),TEXT(EDATE($D94,Milestones!$AA$23),"dd/mm/yy")&amp;" "&amp;Milestones!$AB$23&amp;" "&amp;Milestones!$AC$23&amp;";  ","")&amp;IF(AND(EDATE($D94,Milestones!$AA$24)&lt;=AsOfDate,IF($Q94=0,$W94,IF(AND($S94&lt;&gt;"",EDATE($D94,Milestones!$AA$24)&gt;=$S94),$V94,IF(AND($R94&lt;&gt;"",EDATE($D94,Milestones!$AA$24)&gt;=$R94),$U94,$T94)))=Milestones!$AB$24),TEXT(EDATE($D94,Milestones!$AA$24),"dd/mm/yy")&amp;" "&amp;Milestones!$AB$24&amp;" "&amp;Milestones!$AC$24&amp;";  ","")&amp;IF(AND(EDATE($D94,Milestones!$AA$25)&lt;=AsOfDate,IF($Q94=0,$W94,IF(AND($S94&lt;&gt;"",EDATE($D94,Milestones!$AA$25)&gt;=$S94),$V94,IF(AND($R94&lt;&gt;"",EDATE($D94,Milestones!$AA$25)&gt;=$R94),$U94,$T94)))=Milestones!$AB$25),TEXT(EDATE($D94,Milestones!$AA$25),"dd/mm/yy")&amp;" "&amp;Milestones!$AB$25&amp;" "&amp;Milestones!$AC$25&amp;";  ","")&amp;IF(AND(EDATE($D94,Milestones!$AA$26)&lt;=AsOfDate,IF($Q94=0,$W94,IF(AND($S94&lt;&gt;"",EDATE($D94,Milestones!$AA$26)&gt;=$S94),$V94,IF(AND($R94&lt;&gt;"",EDATE($D94,Milestones!$AA$26)&gt;=$R94),$U94,$T94)))=Milestones!$AB$26),TEXT(EDATE($D94,Milestones!$AA$26),"dd/mm/yy")&amp;" "&amp;Milestones!$AB$26&amp;" "&amp;Milestones!$AC$26&amp;";  ","")&amp;IF(AND(EDATE($D94,Milestones!$AA$27)&lt;=AsOfDate,IF($Q94=0,$W94,IF(AND($S94&lt;&gt;"",EDATE($D94,Milestones!$AA$27)&gt;=$S94),$V94,IF(AND($R94&lt;&gt;"",EDATE($D94,Milestones!$AA$27)&gt;=$R94),$U94,$T94)))=Milestones!$AB$27),TEXT(EDATE($D94,Milestones!$AA$27),"dd/mm/yy")&amp;" "&amp;Milestones!$AB$27&amp;" "&amp;Milestones!$AC$27&amp;";  ","")&amp;IF(AND(EDATE($D94,Milestones!$AA$28)&lt;=AsOfDate,IF($Q94=0,$W94,IF(AND($S94&lt;&gt;"",EDATE($D94,Milestones!$AA$28)&gt;=$S94),$V94,IF(AND($R94&lt;&gt;"",EDATE($D94,Milestones!$AA$28)&gt;=$R94),$U94,$T94)))=Milestones!$AB$28),TEXT(EDATE($D94,Milestones!$AA$28),"dd/mm/yy")&amp;" "&amp;Milestones!$AB$28&amp;" "&amp;Milestones!$AC$28&amp;";  ","")&amp;IF(AND(EDATE($D94,Milestones!$AA$29)&lt;=AsOfDate,IF($Q94=0,$W94,IF(AND($S94&lt;&gt;"",EDATE($D94,Milestones!$AA$29)&gt;=$S94),$V94,IF(AND($R94&lt;&gt;"",EDATE($D94,Milestones!$AA$29)&gt;=$R94),$U94,$T94)))=Milestones!$AB$29),TEXT(EDATE($D94,Milestones!$AA$29),"dd/mm/yy")&amp;" "&amp;Milestones!$AB$29&amp;" "&amp;Milestones!$AC$29&amp;";  ","")&amp;IF(AND(EDATE($D94,Milestones!$AA$30)&lt;=AsOfDate,IF($Q94=0,$W94,IF(AND($S94&lt;&gt;"",EDATE($D94,Milestones!$AA$30)&gt;=$S94),$V94,IF(AND($R94&lt;&gt;"",EDATE($D94,Milestones!$AA$30)&gt;=$R94),$U94,$T94)))=Milestones!$AB$30),TEXT(EDATE($D94,Milestones!$AA$30),"dd/mm/yy")&amp;" "&amp;Milestones!$AB$30&amp;" "&amp;Milestones!$AC$30&amp;";  ","")&amp;IF(AND(EDATE($D94,Milestones!$AA$31)&lt;=AsOfDate,IF($Q94=0,$W94,IF(AND($S94&lt;&gt;"",EDATE($D94,Milestones!$AA$31)&gt;=$S94),$V94,IF(AND($R94&lt;&gt;"",EDATE($D94,Milestones!$AA$31)&gt;=$R94),$U94,$T94)))=Milestones!$AB$31),TEXT(EDATE($D94,Milestones!$AA$31),"dd/mm/yy")&amp;" "&amp;Milestones!$AB$31&amp;" "&amp;Milestones!$AC$31&amp;";  ","")&amp;IF(AND(EDATE($D94,Milestones!$AA$32)&lt;=AsOfDate,IF($Q94=0,$W94,IF(AND($S94&lt;&gt;"",EDATE($D94,Milestones!$AA$32)&gt;=$S94),$V94,IF(AND($R94&lt;&gt;"",EDATE($D94,Milestones!$AA$32)&gt;=$R94),$U94,$T94)))=Milestones!$AB$32),TEXT(EDATE($D94,Milestones!$AA$32),"dd/mm/yy")&amp;" "&amp;Milestones!$AB$32&amp;" "&amp;Milestones!$AC$32&amp;";  ","")&amp;IF(AND(EDATE($D94,Milestones!$AA$33)&lt;=AsOfDate,IF($Q94=0,$W94,IF(AND($S94&lt;&gt;"",EDATE($D94,Milestones!$AA$33)&gt;=$S94),$V94,IF(AND($R94&lt;&gt;"",EDATE($D94,Milestones!$AA$33)&gt;=$R94),$U94,$T94)))=Milestones!$AB$33),TEXT(EDATE($D94,Milestones!$AA$33),"dd/mm/yy")&amp;" "&amp;Milestones!$AB$33&amp;" "&amp;Milestones!$AC$33&amp;";  ","")&amp;IF(AND(EDATE($D94,Milestones!$AA$34)&lt;=AsOfDate,IF($Q94=0,$W94,IF(AND($S94&lt;&gt;"",EDATE($D94,Milestones!$AA$34)&gt;=$S94),$V94,IF(AND($R94&lt;&gt;"",EDATE($D94,Milestones!$AA$34)&gt;=$R94),$U94,$T94)))=Milestones!$AB$34),TEXT(EDATE($D94,Milestones!$AA$34),"dd/mm/yy")&amp;" "&amp;Milestones!$AB$34&amp;" "&amp;Milestones!$AC$34&amp;";  ","")&amp;IF(AND(EDATE($D94,Milestones!$AA$35)&lt;=AsOfDate,IF($Q94=0,$W94,IF(AND($S94&lt;&gt;"",EDATE($D94,Milestones!$AA$35)&gt;=$S94),$V94,IF(AND($R94&lt;&gt;"",EDATE($D94,Milestones!$AA$35)&gt;=$R94),$U94,$T94)))=Milestones!$AB$35),TEXT(EDATE($D94,Milestones!$AA$35),"dd/mm/yy")&amp;" "&amp;Milestones!$AB$35&amp;" "&amp;Milestones!$AC$35&amp;";  ","")&amp;IF(AND(EDATE($D94,Milestones!$AA$36)&lt;=AsOfDate,IF($Q94=0,$W94,IF(AND($S94&lt;&gt;"",EDATE($D94,Milestones!$AA$36)&gt;=$S94),$V94,IF(AND($R94&lt;&gt;"",EDATE($D94,Milestones!$AA$36)&gt;=$R94),$U94,$T94)))=Milestones!$AB$36),TEXT(EDATE($D94,Milestones!$AA$36),"dd/mm/yy")&amp;" "&amp;Milestones!$AB$36&amp;" "&amp;Milestones!$AC$36&amp;";  ","")&amp;IF(AND(EDATE($D94,Milestones!$AA$37)&lt;=AsOfDate,IF($Q94=0,$W94,IF(AND($S94&lt;&gt;"",EDATE($D94,Milestones!$AA$37)&gt;=$S94),$V94,IF(AND($R94&lt;&gt;"",EDATE($D94,Milestones!$AA$37)&gt;=$R94),$U94,$T94)))=Milestones!$AB$37),TEXT(EDATE($D94,Milestones!$AA$37),"dd/mm/yy")&amp;" "&amp;Milestones!$AB$37&amp;" "&amp;Milestones!$AC$37&amp;";  ","")&amp;IF(AND(EDATE($D94,Milestones!$AA$38)&lt;=AsOfDate,IF($Q94=0,$W94,IF(AND($S94&lt;&gt;"",EDATE($D94,Milestones!$AA$38)&gt;=$S94),$V94,IF(AND($R94&lt;&gt;"",EDATE($D94,Milestones!$AA$38)&gt;=$R94),$U94,$T94)))=Milestones!$AB$38),TEXT(EDATE($D94,Milestones!$AA$38),"dd/mm/yy")&amp;" "&amp;Milestones!$AB$38&amp;" "&amp;Milestones!$AC$38&amp;";  ","")&amp;IF(AND(EDATE($D94,Milestones!$AA$39)&lt;=AsOfDate,IF($Q94=0,$W94,IF(AND($S94&lt;&gt;"",EDATE($D94,Milestones!$AA$39)&gt;=$S94),$V94,IF(AND($R94&lt;&gt;"",EDATE($D94,Milestones!$AA$39)&gt;=$R94),$U94,$T94)))=Milestones!$AB$39),TEXT(EDATE($D94,Milestones!$AA$39),"dd/mm/yy")&amp;" "&amp;Milestones!$AB$39&amp;" "&amp;Milestones!$AC$39&amp;";  ",""))</f>
        <v/>
      </c>
      <c r="I94" s="0" t="str">
        <f aca="false">IF(OR($A94="",$D94=""),"",IF(AND(EDATE($D94,Milestones!$AA$40)&lt;=AsOfDate,IF($Q94=0,$W94,IF(AND($S94&lt;&gt;"",EDATE($D94,Milestones!$AA$40)&gt;=$S94),$V94,IF(AND($R94&lt;&gt;"",EDATE($D94,Milestones!$AA$40)&gt;=$R94),$U94,$T94)))=Milestones!$AB$40),TEXT(EDATE($D94,Milestones!$AA$40),"dd/mm/yy")&amp;" "&amp;Milestones!$AB$40&amp;" "&amp;Milestones!$AC$40&amp;";  ","")&amp;IF(AND(EDATE($D94,Milestones!$AA$41)&lt;=AsOfDate,IF($Q94=0,$W94,IF(AND($S94&lt;&gt;"",EDATE($D94,Milestones!$AA$41)&gt;=$S94),$V94,IF(AND($R94&lt;&gt;"",EDATE($D94,Milestones!$AA$41)&gt;=$R94),$U94,$T94)))=Milestones!$AB$41),TEXT(EDATE($D94,Milestones!$AA$41),"dd/mm/yy")&amp;" "&amp;Milestones!$AB$41&amp;" "&amp;Milestones!$AC$41&amp;";  ","")&amp;IF(AND(EDATE($D94,Milestones!$AA$42)&lt;=AsOfDate,IF($Q94=0,$W94,IF(AND($S94&lt;&gt;"",EDATE($D94,Milestones!$AA$42)&gt;=$S94),$V94,IF(AND($R94&lt;&gt;"",EDATE($D94,Milestones!$AA$42)&gt;=$R94),$U94,$T94)))=Milestones!$AB$42),TEXT(EDATE($D94,Milestones!$AA$42),"dd/mm/yy")&amp;" "&amp;Milestones!$AB$42&amp;" "&amp;Milestones!$AC$42&amp;";  ","")&amp;IF(AND(EDATE($D94,Milestones!$AA$43)&lt;=AsOfDate,IF($Q94=0,$W94,IF(AND($S94&lt;&gt;"",EDATE($D94,Milestones!$AA$43)&gt;=$S94),$V94,IF(AND($R94&lt;&gt;"",EDATE($D94,Milestones!$AA$43)&gt;=$R94),$U94,$T94)))=Milestones!$AB$43),TEXT(EDATE($D94,Milestones!$AA$43),"dd/mm/yy")&amp;" "&amp;Milestones!$AB$43&amp;" "&amp;Milestones!$AC$43&amp;";  ","")&amp;IF(AND(EDATE($D94,Milestones!$AA$44)&lt;=AsOfDate,IF($Q94=0,$W94,IF(AND($S94&lt;&gt;"",EDATE($D94,Milestones!$AA$44)&gt;=$S94),$V94,IF(AND($R94&lt;&gt;"",EDATE($D94,Milestones!$AA$44)&gt;=$R94),$U94,$T94)))=Milestones!$AB$44),TEXT(EDATE($D94,Milestones!$AA$44),"dd/mm/yy")&amp;" "&amp;Milestones!$AB$44&amp;" "&amp;Milestones!$AC$44&amp;";  ","")&amp;IF(AND(EDATE($D94,Milestones!$AA$45)&lt;=AsOfDate,IF($Q94=0,$W94,IF(AND($S94&lt;&gt;"",EDATE($D94,Milestones!$AA$45)&gt;=$S94),$V94,IF(AND($R94&lt;&gt;"",EDATE($D94,Milestones!$AA$45)&gt;=$R94),$U94,$T94)))=Milestones!$AB$45),TEXT(EDATE($D94,Milestones!$AA$45),"dd/mm/yy")&amp;" "&amp;Milestones!$AB$45&amp;" "&amp;Milestones!$AC$45&amp;";  ","")&amp;IF(AND(EDATE($D94,Milestones!$AA$46)&lt;=AsOfDate,IF($Q94=0,$W94,IF(AND($S94&lt;&gt;"",EDATE($D94,Milestones!$AA$46)&gt;=$S94),$V94,IF(AND($R94&lt;&gt;"",EDATE($D94,Milestones!$AA$46)&gt;=$R94),$U94,$T94)))=Milestones!$AB$46),TEXT(EDATE($D94,Milestones!$AA$46),"dd/mm/yy")&amp;" "&amp;Milestones!$AB$46&amp;" "&amp;Milestones!$AC$46&amp;";  ","")&amp;IF(AND(EDATE($D94,Milestones!$AA$47)&lt;=AsOfDate,IF($Q94=0,$W94,IF(AND($S94&lt;&gt;"",EDATE($D94,Milestones!$AA$47)&gt;=$S94),$V94,IF(AND($R94&lt;&gt;"",EDATE($D94,Milestones!$AA$47)&gt;=$R94),$U94,$T94)))=Milestones!$AB$47),TEXT(EDATE($D94,Milestones!$AA$47),"dd/mm/yy")&amp;" "&amp;Milestones!$AB$47&amp;" "&amp;Milestones!$AC$47&amp;";  ","")&amp;IF(AND(EDATE($D94,Milestones!$AA$48)&lt;=AsOfDate,IF($Q94=0,$W94,IF(AND($S94&lt;&gt;"",EDATE($D94,Milestones!$AA$48)&gt;=$S94),$V94,IF(AND($R94&lt;&gt;"",EDATE($D94,Milestones!$AA$48)&gt;=$R94),$U94,$T94)))=Milestones!$AB$48),TEXT(EDATE($D94,Milestones!$AA$48),"dd/mm/yy")&amp;" "&amp;Milestones!$AB$48&amp;" "&amp;Milestones!$AC$48&amp;";  ","")&amp;IF(AND(EDATE($D94,Milestones!$AA$49)&lt;=AsOfDate,IF($Q94=0,$W94,IF(AND($S94&lt;&gt;"",EDATE($D94,Milestones!$AA$49)&gt;=$S94),$V94,IF(AND($R94&lt;&gt;"",EDATE($D94,Milestones!$AA$49)&gt;=$R94),$U94,$T94)))=Milestones!$AB$49),TEXT(EDATE($D94,Milestones!$AA$49),"dd/mm/yy")&amp;" "&amp;Milestones!$AB$49&amp;" "&amp;Milestones!$AC$49&amp;";  ","")&amp;IF(AND(EDATE($D94,Milestones!$AA$50)&lt;=AsOfDate,IF($Q94=0,$W94,IF(AND($S94&lt;&gt;"",EDATE($D94,Milestones!$AA$50)&gt;=$S94),$V94,IF(AND($R94&lt;&gt;"",EDATE($D94,Milestones!$AA$50)&gt;=$R94),$U94,$T94)))=Milestones!$AB$50),TEXT(EDATE($D94,Milestones!$AA$50),"dd/mm/yy")&amp;" "&amp;Milestones!$AB$50&amp;" "&amp;Milestones!$AC$50&amp;";  ","")&amp;IF(AND(EDATE($D94,Milestones!$AA$51)&lt;=AsOfDate,IF($Q94=0,$W94,IF(AND($S94&lt;&gt;"",EDATE($D94,Milestones!$AA$51)&gt;=$S94),$V94,IF(AND($R94&lt;&gt;"",EDATE($D94,Milestones!$AA$51)&gt;=$R94),$U94,$T94)))=Milestones!$AB$51),TEXT(EDATE($D94,Milestones!$AA$51),"dd/mm/yy")&amp;" "&amp;Milestones!$AB$51&amp;" "&amp;Milestones!$AC$51&amp;";  ","")&amp;IF(AND(EDATE($D94,Milestones!$AA$52)&lt;=AsOfDate,IF($Q94=0,$W94,IF(AND($S94&lt;&gt;"",EDATE($D94,Milestones!$AA$52)&gt;=$S94),$V94,IF(AND($R94&lt;&gt;"",EDATE($D94,Milestones!$AA$52)&gt;=$R94),$U94,$T94)))=Milestones!$AB$52),TEXT(EDATE($D94,Milestones!$AA$52),"dd/mm/yy")&amp;" "&amp;Milestones!$AB$52&amp;" "&amp;Milestones!$AC$52&amp;";  ","")&amp;IF(AND(EDATE($D94,Milestones!$AA$53)&lt;=AsOfDate,IF($Q94=0,$W94,IF(AND($S94&lt;&gt;"",EDATE($D94,Milestones!$AA$53)&gt;=$S94),$V94,IF(AND($R94&lt;&gt;"",EDATE($D94,Milestones!$AA$53)&gt;=$R94),$U94,$T94)))=Milestones!$AB$53),TEXT(EDATE($D94,Milestones!$AA$53),"dd/mm/yy")&amp;" "&amp;Milestones!$AB$53&amp;" "&amp;Milestones!$AC$53&amp;";  ","")&amp;IF(AND(EDATE($D94,Milestones!$AA$54)&lt;=AsOfDate,IF($Q94=0,$W94,IF(AND($S94&lt;&gt;"",EDATE($D94,Milestones!$AA$54)&gt;=$S94),$V94,IF(AND($R94&lt;&gt;"",EDATE($D94,Milestones!$AA$54)&gt;=$R94),$U94,$T94)))=Milestones!$AB$54),TEXT(EDATE($D94,Milestones!$AA$54),"dd/mm/yy")&amp;" "&amp;Milestones!$AB$54&amp;" "&amp;Milestones!$AC$54&amp;";  ","")&amp;IF(AND(EDATE($D94,Milestones!$AA$55)&lt;=AsOfDate,IF($Q94=0,$W94,IF(AND($S94&lt;&gt;"",EDATE($D94,Milestones!$AA$55)&gt;=$S94),$V94,IF(AND($R94&lt;&gt;"",EDATE($D94,Milestones!$AA$55)&gt;=$R94),$U94,$T94)))=Milestones!$AB$55),TEXT(EDATE($D94,Milestones!$AA$55),"dd/mm/yy")&amp;" "&amp;Milestones!$AB$55&amp;" "&amp;Milestones!$AC$55&amp;";  ","")&amp;IF(AND(EDATE($D94,Milestones!$AA$56)&lt;=AsOfDate,IF($Q94=0,$W94,IF(AND($S94&lt;&gt;"",EDATE($D94,Milestones!$AA$56)&gt;=$S94),$V94,IF(AND($R94&lt;&gt;"",EDATE($D94,Milestones!$AA$56)&gt;=$R94),$U94,$T94)))=Milestones!$AB$56),TEXT(EDATE($D94,Milestones!$AA$56),"dd/mm/yy")&amp;" "&amp;Milestones!$AB$56&amp;" "&amp;Milestones!$AC$56&amp;";  ","")&amp;IF(AND(EDATE($D94,Milestones!$AA$57)&lt;=AsOfDate,IF($Q94=0,$W94,IF(AND($S94&lt;&gt;"",EDATE($D94,Milestones!$AA$57)&gt;=$S94),$V94,IF(AND($R94&lt;&gt;"",EDATE($D94,Milestones!$AA$57)&gt;=$R94),$U94,$T94)))=Milestones!$AB$57),TEXT(EDATE($D94,Milestones!$AA$57),"dd/mm/yy")&amp;" "&amp;Milestones!$AB$57&amp;" "&amp;Milestones!$AC$57&amp;";  ","")&amp;IF(AND(EDATE($D94,Milestones!$AA$58)&lt;=AsOfDate,IF($Q94=0,$W94,IF(AND($S94&lt;&gt;"",EDATE($D94,Milestones!$AA$58)&gt;=$S94),$V94,IF(AND($R94&lt;&gt;"",EDATE($D94,Milestones!$AA$58)&gt;=$R94),$U94,$T94)))=Milestones!$AB$58),TEXT(EDATE($D94,Milestones!$AA$58),"dd/mm/yy")&amp;" "&amp;Milestones!$AB$58&amp;" "&amp;Milestones!$AC$58&amp;";  ","")&amp;IF(AND(EDATE($D94,Milestones!$AA$59)&lt;=AsOfDate,IF($Q94=0,$W94,IF(AND($S94&lt;&gt;"",EDATE($D94,Milestones!$AA$59)&gt;=$S94),$V94,IF(AND($R94&lt;&gt;"",EDATE($D94,Milestones!$AA$59)&gt;=$R94),$U94,$T94)))=Milestones!$AB$59),TEXT(EDATE($D94,Milestones!$AA$59),"dd/mm/yy")&amp;" "&amp;Milestones!$AB$59&amp;" "&amp;Milestones!$AC$59&amp;";  ",""))</f>
        <v/>
      </c>
      <c r="J94" s="0" t="str">
        <f aca="false">IF(OR($A94="",$D94=""),"",IF(AND(EDATE($D94,Milestones!$AA$60)&lt;=AsOfDate,IF($Q94=0,$W94,IF(AND($S94&lt;&gt;"",EDATE($D94,Milestones!$AA$60)&gt;=$S94),$V94,IF(AND($R94&lt;&gt;"",EDATE($D94,Milestones!$AA$60)&gt;=$R94),$U94,$T94)))=Milestones!$AB$60),TEXT(EDATE($D94,Milestones!$AA$60),"dd/mm/yy")&amp;" "&amp;Milestones!$AB$60&amp;" "&amp;Milestones!$AC$60&amp;";  ","")&amp;IF(AND(EDATE($D94,Milestones!$AA$61)&lt;=AsOfDate,IF($Q94=0,$W94,IF(AND($S94&lt;&gt;"",EDATE($D94,Milestones!$AA$61)&gt;=$S94),$V94,IF(AND($R94&lt;&gt;"",EDATE($D94,Milestones!$AA$61)&gt;=$R94),$U94,$T94)))=Milestones!$AB$61),TEXT(EDATE($D94,Milestones!$AA$61),"dd/mm/yy")&amp;" "&amp;Milestones!$AB$61&amp;" "&amp;Milestones!$AC$61&amp;";  ","")&amp;IF(AND(EDATE($D94,Milestones!$AA$62)&lt;=AsOfDate,IF($Q94=0,$W94,IF(AND($S94&lt;&gt;"",EDATE($D94,Milestones!$AA$62)&gt;=$S94),$V94,IF(AND($R94&lt;&gt;"",EDATE($D94,Milestones!$AA$62)&gt;=$R94),$U94,$T94)))=Milestones!$AB$62),TEXT(EDATE($D94,Milestones!$AA$62),"dd/mm/yy")&amp;" "&amp;Milestones!$AB$62&amp;" "&amp;Milestones!$AC$62&amp;";  ","")&amp;IF(AND(EDATE($D94,Milestones!$AA$63)&lt;=AsOfDate,IF($Q94=0,$W94,IF(AND($S94&lt;&gt;"",EDATE($D94,Milestones!$AA$63)&gt;=$S94),$V94,IF(AND($R94&lt;&gt;"",EDATE($D94,Milestones!$AA$63)&gt;=$R94),$U94,$T94)))=Milestones!$AB$63),TEXT(EDATE($D94,Milestones!$AA$63),"dd/mm/yy")&amp;" "&amp;Milestones!$AB$63&amp;" "&amp;Milestones!$AC$63&amp;";  ","")&amp;IF(AND(EDATE($D94,Milestones!$AA$64)&lt;=AsOfDate,IF($Q94=0,$W94,IF(AND($S94&lt;&gt;"",EDATE($D94,Milestones!$AA$64)&gt;=$S94),$V94,IF(AND($R94&lt;&gt;"",EDATE($D94,Milestones!$AA$64)&gt;=$R94),$U94,$T94)))=Milestones!$AB$64),TEXT(EDATE($D94,Milestones!$AA$64),"dd/mm/yy")&amp;" "&amp;Milestones!$AB$64&amp;" "&amp;Milestones!$AC$64&amp;";  ","")&amp;IF(AND(EDATE($D94,Milestones!$AA$65)&lt;=AsOfDate,IF($Q94=0,$W94,IF(AND($S94&lt;&gt;"",EDATE($D94,Milestones!$AA$65)&gt;=$S94),$V94,IF(AND($R94&lt;&gt;"",EDATE($D94,Milestones!$AA$65)&gt;=$R94),$U94,$T94)))=Milestones!$AB$65),TEXT(EDATE($D94,Milestones!$AA$65),"dd/mm/yy")&amp;" "&amp;Milestones!$AB$65&amp;" "&amp;Milestones!$AC$65&amp;";  ","")&amp;IF(AND(EDATE($D94,Milestones!$AA$66)&lt;=AsOfDate,IF($Q94=0,$W94,IF(AND($S94&lt;&gt;"",EDATE($D94,Milestones!$AA$66)&gt;=$S94),$V94,IF(AND($R94&lt;&gt;"",EDATE($D94,Milestones!$AA$66)&gt;=$R94),$U94,$T94)))=Milestones!$AB$66),TEXT(EDATE($D94,Milestones!$AA$66),"dd/mm/yy")&amp;" "&amp;Milestones!$AB$66&amp;" "&amp;Milestones!$AC$66&amp;";  ","")&amp;IF(AND(EDATE($D94,Milestones!$AA$67)&lt;=AsOfDate,IF($Q94=0,$W94,IF(AND($S94&lt;&gt;"",EDATE($D94,Milestones!$AA$67)&gt;=$S94),$V94,IF(AND($R94&lt;&gt;"",EDATE($D94,Milestones!$AA$67)&gt;=$R94),$U94,$T94)))=Milestones!$AB$67),TEXT(EDATE($D94,Milestones!$AA$67),"dd/mm/yy")&amp;" "&amp;Milestones!$AB$67&amp;" "&amp;Milestones!$AC$67&amp;";  ","")&amp;IF(AND(EDATE($D94,Milestones!$AA$68)&lt;=AsOfDate,IF($Q94=0,$W94,IF(AND($S94&lt;&gt;"",EDATE($D94,Milestones!$AA$68)&gt;=$S94),$V94,IF(AND($R94&lt;&gt;"",EDATE($D94,Milestones!$AA$68)&gt;=$R94),$U94,$T94)))=Milestones!$AB$68),TEXT(EDATE($D94,Milestones!$AA$68),"dd/mm/yy")&amp;" "&amp;Milestones!$AB$68&amp;" "&amp;Milestones!$AC$68&amp;";  ","")&amp;IF(AND(EDATE($D94,Milestones!$AA$69)&lt;=AsOfDate,IF($Q94=0,$W94,IF(AND($S94&lt;&gt;"",EDATE($D94,Milestones!$AA$69)&gt;=$S94),$V94,IF(AND($R94&lt;&gt;"",EDATE($D94,Milestones!$AA$69)&gt;=$R94),$U94,$T94)))=Milestones!$AB$69),TEXT(EDATE($D94,Milestones!$AA$69),"dd/mm/yy")&amp;" "&amp;Milestones!$AB$69&amp;" "&amp;Milestones!$AC$69&amp;";  ","")&amp;IF(AND(EDATE($D94,Milestones!$AA$70)&lt;=AsOfDate,IF($Q94=0,$W94,IF(AND($S94&lt;&gt;"",EDATE($D94,Milestones!$AA$70)&gt;=$S94),$V94,IF(AND($R94&lt;&gt;"",EDATE($D94,Milestones!$AA$70)&gt;=$R94),$U94,$T94)))=Milestones!$AB$70),TEXT(EDATE($D94,Milestones!$AA$70),"dd/mm/yy")&amp;" "&amp;Milestones!$AB$70&amp;" "&amp;Milestones!$AC$70&amp;";  ","")&amp;IF(AND(EDATE($D94,Milestones!$AA$71)&lt;=AsOfDate,IF($Q94=0,$W94,IF(AND($S94&lt;&gt;"",EDATE($D94,Milestones!$AA$71)&gt;=$S94),$V94,IF(AND($R94&lt;&gt;"",EDATE($D94,Milestones!$AA$71)&gt;=$R94),$U94,$T94)))=Milestones!$AB$71),TEXT(EDATE($D94,Milestones!$AA$71),"dd/mm/yy")&amp;" "&amp;Milestones!$AB$71&amp;" "&amp;Milestones!$AC$71&amp;";  ","")&amp;IF(AND(EDATE($D94,Milestones!$AA$72)&lt;=AsOfDate,IF($Q94=0,$W94,IF(AND($S94&lt;&gt;"",EDATE($D94,Milestones!$AA$72)&gt;=$S94),$V94,IF(AND($R94&lt;&gt;"",EDATE($D94,Milestones!$AA$72)&gt;=$R94),$U94,$T94)))=Milestones!$AB$72),TEXT(EDATE($D94,Milestones!$AA$72),"dd/mm/yy")&amp;" "&amp;Milestones!$AB$72&amp;" "&amp;Milestones!$AC$72&amp;";  ","")&amp;IF(AND(EDATE($D94,Milestones!$AA$73)&lt;=AsOfDate,IF($Q94=0,$W94,IF(AND($S94&lt;&gt;"",EDATE($D94,Milestones!$AA$73)&gt;=$S94),$V94,IF(AND($R94&lt;&gt;"",EDATE($D94,Milestones!$AA$73)&gt;=$R94),$U94,$T94)))=Milestones!$AB$73),TEXT(EDATE($D94,Milestones!$AA$73),"dd/mm/yy")&amp;" "&amp;Milestones!$AB$73&amp;" "&amp;Milestones!$AC$73&amp;";  ","")&amp;IF(AND(EDATE($D94,Milestones!$AA$74)&lt;=AsOfDate,IF($Q94=0,$W94,IF(AND($S94&lt;&gt;"",EDATE($D94,Milestones!$AA$74)&gt;=$S94),$V94,IF(AND($R94&lt;&gt;"",EDATE($D94,Milestones!$AA$74)&gt;=$R94),$U94,$T94)))=Milestones!$AB$74),TEXT(EDATE($D94,Milestones!$AA$74),"dd/mm/yy")&amp;" "&amp;Milestones!$AB$74&amp;" "&amp;Milestones!$AC$74&amp;";  ","")&amp;IF(AND(EDATE($D94,Milestones!$AA$75)&lt;=AsOfDate,IF($Q94=0,$W94,IF(AND($S94&lt;&gt;"",EDATE($D94,Milestones!$AA$75)&gt;=$S94),$V94,IF(AND($R94&lt;&gt;"",EDATE($D94,Milestones!$AA$75)&gt;=$R94),$U94,$T94)))=Milestones!$AB$75),TEXT(EDATE($D94,Milestones!$AA$75),"dd/mm/yy")&amp;" "&amp;Milestones!$AB$75&amp;" "&amp;Milestones!$AC$75&amp;";  ","")&amp;IF(AND(EDATE($D94,Milestones!$AA$76)&lt;=AsOfDate,IF($Q94=0,$W94,IF(AND($S94&lt;&gt;"",EDATE($D94,Milestones!$AA$76)&gt;=$S94),$V94,IF(AND($R94&lt;&gt;"",EDATE($D94,Milestones!$AA$76)&gt;=$R94),$U94,$T94)))=Milestones!$AB$76),TEXT(EDATE($D94,Milestones!$AA$76),"dd/mm/yy")&amp;" "&amp;Milestones!$AB$76&amp;" "&amp;Milestones!$AC$76&amp;";  ","")&amp;IF(AND(EDATE($D94,Milestones!$AA$77)&lt;=AsOfDate,IF($Q94=0,$W94,IF(AND($S94&lt;&gt;"",EDATE($D94,Milestones!$AA$77)&gt;=$S94),$V94,IF(AND($R94&lt;&gt;"",EDATE($D94,Milestones!$AA$77)&gt;=$R94),$U94,$T94)))=Milestones!$AB$77),TEXT(EDATE($D94,Milestones!$AA$77),"dd/mm/yy")&amp;" "&amp;Milestones!$AB$77&amp;" "&amp;Milestones!$AC$77&amp;";  ","")&amp;IF(AND(EDATE($D94,Milestones!$AA$78)&lt;=AsOfDate,IF($Q94=0,$W94,IF(AND($S94&lt;&gt;"",EDATE($D94,Milestones!$AA$78)&gt;=$S94),$V94,IF(AND($R94&lt;&gt;"",EDATE($D94,Milestones!$AA$78)&gt;=$R94),$U94,$T94)))=Milestones!$AB$78),TEXT(EDATE($D94,Milestones!$AA$78),"dd/mm/yy")&amp;" "&amp;Milestones!$AB$78&amp;" "&amp;Milestones!$AC$78&amp;";  ","")&amp;IF(AND(EDATE($D94,Milestones!$AA$79)&lt;=AsOfDate,IF($Q94=0,$W94,IF(AND($S94&lt;&gt;"",EDATE($D94,Milestones!$AA$79)&gt;=$S94),$V94,IF(AND($R94&lt;&gt;"",EDATE($D94,Milestones!$AA$79)&gt;=$R94),$U94,$T94)))=Milestones!$AB$79),TEXT(EDATE($D94,Milestones!$AA$79),"dd/mm/yy")&amp;" "&amp;Milestones!$AB$79&amp;" "&amp;Milestones!$AC$79&amp;";  ",""))</f>
        <v/>
      </c>
      <c r="K94" s="0" t="str">
        <f aca="false">IF(OR($A94="",$D94=""),"",IF(AND(EDATE($D94,Milestones!$AA$80)&lt;=AsOfDate,IF($Q94=0,$W94,IF(AND($S94&lt;&gt;"",EDATE($D94,Milestones!$AA$80)&gt;=$S94),$V94,IF(AND($R94&lt;&gt;"",EDATE($D94,Milestones!$AA$80)&gt;=$R94),$U94,$T94)))=Milestones!$AB$80),TEXT(EDATE($D94,Milestones!$AA$80),"dd/mm/yy")&amp;" "&amp;Milestones!$AB$80&amp;" "&amp;Milestones!$AC$80&amp;";  ","")&amp;IF(AND(EDATE($D94,Milestones!$AA$81)&lt;=AsOfDate,IF($Q94=0,$W94,IF(AND($S94&lt;&gt;"",EDATE($D94,Milestones!$AA$81)&gt;=$S94),$V94,IF(AND($R94&lt;&gt;"",EDATE($D94,Milestones!$AA$81)&gt;=$R94),$U94,$T94)))=Milestones!$AB$81),TEXT(EDATE($D94,Milestones!$AA$81),"dd/mm/yy")&amp;" "&amp;Milestones!$AB$81&amp;" "&amp;Milestones!$AC$81&amp;";  ","")&amp;IF(AND(EDATE($D94,Milestones!$AA$82)&lt;=AsOfDate,IF($Q94=0,$W94,IF(AND($S94&lt;&gt;"",EDATE($D94,Milestones!$AA$82)&gt;=$S94),$V94,IF(AND($R94&lt;&gt;"",EDATE($D94,Milestones!$AA$82)&gt;=$R94),$U94,$T94)))=Milestones!$AB$82),TEXT(EDATE($D94,Milestones!$AA$82),"dd/mm/yy")&amp;" "&amp;Milestones!$AB$82&amp;" "&amp;Milestones!$AC$82&amp;";  ","")&amp;IF(AND(EDATE($D94,Milestones!$AA$83)&lt;=AsOfDate,IF($Q94=0,$W94,IF(AND($S94&lt;&gt;"",EDATE($D94,Milestones!$AA$83)&gt;=$S94),$V94,IF(AND($R94&lt;&gt;"",EDATE($D94,Milestones!$AA$83)&gt;=$R94),$U94,$T94)))=Milestones!$AB$83),TEXT(EDATE($D94,Milestones!$AA$83),"dd/mm/yy")&amp;" "&amp;Milestones!$AB$83&amp;" "&amp;Milestones!$AC$83&amp;";  ","")&amp;IF(AND(EDATE($D94,Milestones!$AA$84)&lt;=AsOfDate,IF($Q94=0,$W94,IF(AND($S94&lt;&gt;"",EDATE($D94,Milestones!$AA$84)&gt;=$S94),$V94,IF(AND($R94&lt;&gt;"",EDATE($D94,Milestones!$AA$84)&gt;=$R94),$U94,$T94)))=Milestones!$AB$84),TEXT(EDATE($D94,Milestones!$AA$84),"dd/mm/yy")&amp;" "&amp;Milestones!$AB$84&amp;" "&amp;Milestones!$AC$84&amp;";  ","")&amp;IF(AND(EDATE($D94,Milestones!$AA$85)&lt;=AsOfDate,IF($Q94=0,$W94,IF(AND($S94&lt;&gt;"",EDATE($D94,Milestones!$AA$85)&gt;=$S94),$V94,IF(AND($R94&lt;&gt;"",EDATE($D94,Milestones!$AA$85)&gt;=$R94),$U94,$T94)))=Milestones!$AB$85),TEXT(EDATE($D94,Milestones!$AA$85),"dd/mm/yy")&amp;" "&amp;Milestones!$AB$85&amp;" "&amp;Milestones!$AC$85&amp;";  ","")&amp;IF(AND(EDATE($D94,Milestones!$AA$86)&lt;=AsOfDate,IF($Q94=0,$W94,IF(AND($S94&lt;&gt;"",EDATE($D94,Milestones!$AA$86)&gt;=$S94),$V94,IF(AND($R94&lt;&gt;"",EDATE($D94,Milestones!$AA$86)&gt;=$R94),$U94,$T94)))=Milestones!$AB$86),TEXT(EDATE($D94,Milestones!$AA$86),"dd/mm/yy")&amp;" "&amp;Milestones!$AB$86&amp;" "&amp;Milestones!$AC$86&amp;";  ","")&amp;IF(AND(EDATE($D94,Milestones!$AA$87)&lt;=AsOfDate,IF($Q94=0,$W94,IF(AND($S94&lt;&gt;"",EDATE($D94,Milestones!$AA$87)&gt;=$S94),$V94,IF(AND($R94&lt;&gt;"",EDATE($D94,Milestones!$AA$87)&gt;=$R94),$U94,$T94)))=Milestones!$AB$87),TEXT(EDATE($D94,Milestones!$AA$87),"dd/mm/yy")&amp;" "&amp;Milestones!$AB$87&amp;" "&amp;Milestones!$AC$87&amp;";  ","")&amp;IF(AND(EDATE($D94,Milestones!$AA$88)&lt;=AsOfDate,IF($Q94=0,$W94,IF(AND($S94&lt;&gt;"",EDATE($D94,Milestones!$AA$88)&gt;=$S94),$V94,IF(AND($R94&lt;&gt;"",EDATE($D94,Milestones!$AA$88)&gt;=$R94),$U94,$T94)))=Milestones!$AB$88),TEXT(EDATE($D94,Milestones!$AA$88),"dd/mm/yy")&amp;" "&amp;Milestones!$AB$88&amp;" "&amp;Milestones!$AC$88&amp;";  ","")&amp;IF(AND(EDATE($D94,Milestones!$AA$89)&lt;=AsOfDate,IF($Q94=0,$W94,IF(AND($S94&lt;&gt;"",EDATE($D94,Milestones!$AA$89)&gt;=$S94),$V94,IF(AND($R94&lt;&gt;"",EDATE($D94,Milestones!$AA$89)&gt;=$R94),$U94,$T94)))=Milestones!$AB$89),TEXT(EDATE($D94,Milestones!$AA$89),"dd/mm/yy")&amp;" "&amp;Milestones!$AB$89&amp;" "&amp;Milestones!$AC$89&amp;";  ","")&amp;IF(AND(EDATE($D94,Milestones!$AA$90)&lt;=AsOfDate,IF($Q94=0,$W94,IF(AND($S94&lt;&gt;"",EDATE($D94,Milestones!$AA$90)&gt;=$S94),$V94,IF(AND($R94&lt;&gt;"",EDATE($D94,Milestones!$AA$90)&gt;=$R94),$U94,$T94)))=Milestones!$AB$90),TEXT(EDATE($D94,Milestones!$AA$90),"dd/mm/yy")&amp;" "&amp;Milestones!$AB$90&amp;" "&amp;Milestones!$AC$90&amp;";  ","")&amp;IF(AND(EDATE($D94,Milestones!$AA$91)&lt;=AsOfDate,IF($Q94=0,$W94,IF(AND($S94&lt;&gt;"",EDATE($D94,Milestones!$AA$91)&gt;=$S94),$V94,IF(AND($R94&lt;&gt;"",EDATE($D94,Milestones!$AA$91)&gt;=$R94),$U94,$T94)))=Milestones!$AB$91),TEXT(EDATE($D94,Milestones!$AA$91),"dd/mm/yy")&amp;" "&amp;Milestones!$AB$91&amp;" "&amp;Milestones!$AC$91&amp;";  ","")&amp;IF(AND(EDATE($D94,Milestones!$AA$92)&lt;=AsOfDate,IF($Q94=0,$W94,IF(AND($S94&lt;&gt;"",EDATE($D94,Milestones!$AA$92)&gt;=$S94),$V94,IF(AND($R94&lt;&gt;"",EDATE($D94,Milestones!$AA$92)&gt;=$R94),$U94,$T94)))=Milestones!$AB$92),TEXT(EDATE($D94,Milestones!$AA$92),"dd/mm/yy")&amp;" "&amp;Milestones!$AB$92&amp;" "&amp;Milestones!$AC$92&amp;";  ","")&amp;IF(AND(EDATE($D94,Milestones!$AA$93)&lt;=AsOfDate,IF($Q94=0,$W94,IF(AND($S94&lt;&gt;"",EDATE($D94,Milestones!$AA$93)&gt;=$S94),$V94,IF(AND($R94&lt;&gt;"",EDATE($D94,Milestones!$AA$93)&gt;=$R94),$U94,$T94)))=Milestones!$AB$93),TEXT(EDATE($D94,Milestones!$AA$93),"dd/mm/yy")&amp;" "&amp;Milestones!$AB$93&amp;" "&amp;Milestones!$AC$93&amp;";  ","")&amp;IF(AND(EDATE($D94,Milestones!$AA$94)&lt;=AsOfDate,IF($Q94=0,$W94,IF(AND($S94&lt;&gt;"",EDATE($D94,Milestones!$AA$94)&gt;=$S94),$V94,IF(AND($R94&lt;&gt;"",EDATE($D94,Milestones!$AA$94)&gt;=$R94),$U94,$T94)))=Milestones!$AB$94),TEXT(EDATE($D94,Milestones!$AA$94),"dd/mm/yy")&amp;" "&amp;Milestones!$AB$94&amp;" "&amp;Milestones!$AC$94&amp;";  ","")&amp;IF(AND(EDATE($D94,Milestones!$AA$95)&lt;=AsOfDate,IF($Q94=0,$W94,IF(AND($S94&lt;&gt;"",EDATE($D94,Milestones!$AA$95)&gt;=$S94),$V94,IF(AND($R94&lt;&gt;"",EDATE($D94,Milestones!$AA$95)&gt;=$R94),$U94,$T94)))=Milestones!$AB$95),TEXT(EDATE($D94,Milestones!$AA$95),"dd/mm/yy")&amp;" "&amp;Milestones!$AB$95&amp;" "&amp;Milestones!$AC$95&amp;";  ","")&amp;IF(AND(EDATE($D94,Milestones!$AA$96)&lt;=AsOfDate,IF($Q94=0,$W94,IF(AND($S94&lt;&gt;"",EDATE($D94,Milestones!$AA$96)&gt;=$S94),$V94,IF(AND($R94&lt;&gt;"",EDATE($D94,Milestones!$AA$96)&gt;=$R94),$U94,$T94)))=Milestones!$AB$96),TEXT(EDATE($D94,Milestones!$AA$96),"dd/mm/yy")&amp;" "&amp;Milestones!$AB$96&amp;" "&amp;Milestones!$AC$96&amp;";  ","")&amp;IF(AND(EDATE($D94,Milestones!$AA$97)&lt;=AsOfDate,IF($Q94=0,$W94,IF(AND($S94&lt;&gt;"",EDATE($D94,Milestones!$AA$97)&gt;=$S94),$V94,IF(AND($R94&lt;&gt;"",EDATE($D94,Milestones!$AA$97)&gt;=$R94),$U94,$T94)))=Milestones!$AB$97),TEXT(EDATE($D94,Milestones!$AA$97),"dd/mm/yy")&amp;" "&amp;Milestones!$AB$97&amp;" "&amp;Milestones!$AC$97&amp;";  ","")&amp;IF(AND(EDATE($D94,Milestones!$AA$98)&lt;=AsOfDate,IF($Q94=0,$W94,IF(AND($S94&lt;&gt;"",EDATE($D94,Milestones!$AA$98)&gt;=$S94),$V94,IF(AND($R94&lt;&gt;"",EDATE($D94,Milestones!$AA$98)&gt;=$R94),$U94,$T94)))=Milestones!$AB$98),TEXT(EDATE($D94,Milestones!$AA$98),"dd/mm/yy")&amp;" "&amp;Milestones!$AB$98&amp;" "&amp;Milestones!$AC$98&amp;";  ","")&amp;IF(AND(EDATE($D94,Milestones!$AA$99)&lt;=AsOfDate,IF($Q94=0,$W94,IF(AND($S94&lt;&gt;"",EDATE($D94,Milestones!$AA$99)&gt;=$S94),$V94,IF(AND($R94&lt;&gt;"",EDATE($D94,Milestones!$AA$99)&gt;=$R94),$U94,$T94)))=Milestones!$AB$99),TEXT(EDATE($D94,Milestones!$AA$99),"dd/mm/yy")&amp;" "&amp;Milestones!$AB$99&amp;" "&amp;Milestones!$AC$99&amp;";  ",""))</f>
        <v/>
      </c>
      <c r="L94" s="0" t="str">
        <f aca="false">IF(OR($A94="",$D94=""),"",IF(AND(EDATE($D94,Milestones!$AA$100)&lt;=AsOfDate,IF($Q94=0,$W94,IF(AND($S94&lt;&gt;"",EDATE($D94,Milestones!$AA$100)&gt;=$S94),$V94,IF(AND($R94&lt;&gt;"",EDATE($D94,Milestones!$AA$100)&gt;=$R94),$U94,$T94)))=Milestones!$AB$100),TEXT(EDATE($D94,Milestones!$AA$100),"dd/mm/yy")&amp;" "&amp;Milestones!$AB$100&amp;" "&amp;Milestones!$AC$100&amp;";  ","")&amp;IF(AND(EDATE($D94,Milestones!$AA$101)&lt;=AsOfDate,IF($Q94=0,$W94,IF(AND($S94&lt;&gt;"",EDATE($D94,Milestones!$AA$101)&gt;=$S94),$V94,IF(AND($R94&lt;&gt;"",EDATE($D94,Milestones!$AA$101)&gt;=$R94),$U94,$T94)))=Milestones!$AB$101),TEXT(EDATE($D94,Milestones!$AA$101),"dd/mm/yy")&amp;" "&amp;Milestones!$AB$101&amp;" "&amp;Milestones!$AC$101&amp;";  ","")&amp;IF(AND(EDATE($D94,Milestones!$AA$102)&lt;=AsOfDate,IF($Q94=0,$W94,IF(AND($S94&lt;&gt;"",EDATE($D94,Milestones!$AA$102)&gt;=$S94),$V94,IF(AND($R94&lt;&gt;"",EDATE($D94,Milestones!$AA$102)&gt;=$R94),$U94,$T94)))=Milestones!$AB$102),TEXT(EDATE($D94,Milestones!$AA$102),"dd/mm/yy")&amp;" "&amp;Milestones!$AB$102&amp;" "&amp;Milestones!$AC$102&amp;";  ","")&amp;IF(AND(EDATE($D94,Milestones!$AA$103)&lt;=AsOfDate,IF($Q94=0,$W94,IF(AND($S94&lt;&gt;"",EDATE($D94,Milestones!$AA$103)&gt;=$S94),$V94,IF(AND($R94&lt;&gt;"",EDATE($D94,Milestones!$AA$103)&gt;=$R94),$U94,$T94)))=Milestones!$AB$103),TEXT(EDATE($D94,Milestones!$AA$103),"dd/mm/yy")&amp;" "&amp;Milestones!$AB$103&amp;" "&amp;Milestones!$AC$103&amp;";  ","")&amp;IF(AND(EDATE($D94,Milestones!$AA$104)&lt;=AsOfDate,IF($Q94=0,$W94,IF(AND($S94&lt;&gt;"",EDATE($D94,Milestones!$AA$104)&gt;=$S94),$V94,IF(AND($R94&lt;&gt;"",EDATE($D94,Milestones!$AA$104)&gt;=$R94),$U94,$T94)))=Milestones!$AB$104),TEXT(EDATE($D94,Milestones!$AA$104),"dd/mm/yy")&amp;" "&amp;Milestones!$AB$104&amp;" "&amp;Milestones!$AC$104&amp;";  ","")&amp;IF(AND(EDATE($D94,Milestones!$AA$105)&lt;=AsOfDate,IF($Q94=0,$W94,IF(AND($S94&lt;&gt;"",EDATE($D94,Milestones!$AA$105)&gt;=$S94),$V94,IF(AND($R94&lt;&gt;"",EDATE($D94,Milestones!$AA$105)&gt;=$R94),$U94,$T94)))=Milestones!$AB$105),TEXT(EDATE($D94,Milestones!$AA$105),"dd/mm/yy")&amp;" "&amp;Milestones!$AB$105&amp;" "&amp;Milestones!$AC$105&amp;";  ","")&amp;IF(AND(EDATE($D94,Milestones!$AA$106)&lt;=AsOfDate,IF($Q94=0,$W94,IF(AND($S94&lt;&gt;"",EDATE($D94,Milestones!$AA$106)&gt;=$S94),$V94,IF(AND($R94&lt;&gt;"",EDATE($D94,Milestones!$AA$106)&gt;=$R94),$U94,$T94)))=Milestones!$AB$106),TEXT(EDATE($D94,Milestones!$AA$106),"dd/mm/yy")&amp;" "&amp;Milestones!$AB$106&amp;" "&amp;Milestones!$AC$106&amp;";  ","")&amp;IF(AND(EDATE($D94,Milestones!$AA$107)&lt;=AsOfDate,IF($Q94=0,$W94,IF(AND($S94&lt;&gt;"",EDATE($D94,Milestones!$AA$107)&gt;=$S94),$V94,IF(AND($R94&lt;&gt;"",EDATE($D94,Milestones!$AA$107)&gt;=$R94),$U94,$T94)))=Milestones!$AB$107),TEXT(EDATE($D94,Milestones!$AA$107),"dd/mm/yy")&amp;" "&amp;Milestones!$AB$107&amp;" "&amp;Milestones!$AC$107&amp;";  ","")&amp;IF(AND(EDATE($D94,Milestones!$AA$108)&lt;=AsOfDate,IF($Q94=0,$W94,IF(AND($S94&lt;&gt;"",EDATE($D94,Milestones!$AA$108)&gt;=$S94),$V94,IF(AND($R94&lt;&gt;"",EDATE($D94,Milestones!$AA$108)&gt;=$R94),$U94,$T94)))=Milestones!$AB$108),TEXT(EDATE($D94,Milestones!$AA$108),"dd/mm/yy")&amp;" "&amp;Milestones!$AB$108&amp;" "&amp;Milestones!$AC$108&amp;";  ","")&amp;IF(AND(EDATE($D94,Milestones!$AA$109)&lt;=AsOfDate,IF($Q94=0,$W94,IF(AND($S94&lt;&gt;"",EDATE($D94,Milestones!$AA$109)&gt;=$S94),$V94,IF(AND($R94&lt;&gt;"",EDATE($D94,Milestones!$AA$109)&gt;=$R94),$U94,$T94)))=Milestones!$AB$109),TEXT(EDATE($D94,Milestones!$AA$109),"dd/mm/yy")&amp;" "&amp;Milestones!$AB$109&amp;" "&amp;Milestones!$AC$109&amp;";  ","")&amp;IF(AND(EDATE($D94,Milestones!$AA$110)&lt;=AsOfDate,IF($Q94=0,$W94,IF(AND($S94&lt;&gt;"",EDATE($D94,Milestones!$AA$110)&gt;=$S94),$V94,IF(AND($R94&lt;&gt;"",EDATE($D94,Milestones!$AA$110)&gt;=$R94),$U94,$T94)))=Milestones!$AB$110),TEXT(EDATE($D94,Milestones!$AA$110),"dd/mm/yy")&amp;" "&amp;Milestones!$AB$110&amp;" "&amp;Milestones!$AC$110&amp;";  ","")&amp;IF(AND(EDATE($D94,Milestones!$AA$111)&lt;=AsOfDate,IF($Q94=0,$W94,IF(AND($S94&lt;&gt;"",EDATE($D94,Milestones!$AA$111)&gt;=$S94),$V94,IF(AND($R94&lt;&gt;"",EDATE($D94,Milestones!$AA$111)&gt;=$R94),$U94,$T94)))=Milestones!$AB$111),TEXT(EDATE($D94,Milestones!$AA$111),"dd/mm/yy")&amp;" "&amp;Milestones!$AB$111&amp;" "&amp;Milestones!$AC$111&amp;";  ","")&amp;IF(AND(EDATE($D94,Milestones!$AA$112)&lt;=AsOfDate,IF($Q94=0,$W94,IF(AND($S94&lt;&gt;"",EDATE($D94,Milestones!$AA$112)&gt;=$S94),$V94,IF(AND($R94&lt;&gt;"",EDATE($D94,Milestones!$AA$112)&gt;=$R94),$U94,$T94)))=Milestones!$AB$112),TEXT(EDATE($D94,Milestones!$AA$112),"dd/mm/yy")&amp;" "&amp;Milestones!$AB$112&amp;" "&amp;Milestones!$AC$112&amp;";  ","")&amp;IF(AND(EDATE($D94,Milestones!$AA$113)&lt;=AsOfDate,IF($Q94=0,$W94,IF(AND($S94&lt;&gt;"",EDATE($D94,Milestones!$AA$113)&gt;=$S94),$V94,IF(AND($R94&lt;&gt;"",EDATE($D94,Milestones!$AA$113)&gt;=$R94),$U94,$T94)))=Milestones!$AB$113),TEXT(EDATE($D94,Milestones!$AA$113),"dd/mm/yy")&amp;" "&amp;Milestones!$AB$113&amp;" "&amp;Milestones!$AC$113&amp;";  ","")&amp;IF(AND(EDATE($D94,Milestones!$AA$114)&lt;=AsOfDate,IF($Q94=0,$W94,IF(AND($S94&lt;&gt;"",EDATE($D94,Milestones!$AA$114)&gt;=$S94),$V94,IF(AND($R94&lt;&gt;"",EDATE($D94,Milestones!$AA$114)&gt;=$R94),$U94,$T94)))=Milestones!$AB$114),TEXT(EDATE($D94,Milestones!$AA$114),"dd/mm/yy")&amp;" "&amp;Milestones!$AB$114&amp;" "&amp;Milestones!$AC$114&amp;";  ","")&amp;IF(AND(EDATE($D94,Milestones!$AA$115)&lt;=AsOfDate,IF($Q94=0,$W94,IF(AND($S94&lt;&gt;"",EDATE($D94,Milestones!$AA$115)&gt;=$S94),$V94,IF(AND($R94&lt;&gt;"",EDATE($D94,Milestones!$AA$115)&gt;=$R94),$U94,$T94)))=Milestones!$AB$115),TEXT(EDATE($D94,Milestones!$AA$115),"dd/mm/yy")&amp;" "&amp;Milestones!$AB$115&amp;" "&amp;Milestones!$AC$115&amp;";  ","")&amp;IF(AND(EDATE($D94,Milestones!$AA$116)&lt;=AsOfDate,IF($Q94=0,$W94,IF(AND($S94&lt;&gt;"",EDATE($D94,Milestones!$AA$116)&gt;=$S94),$V94,IF(AND($R94&lt;&gt;"",EDATE($D94,Milestones!$AA$116)&gt;=$R94),$U94,$T94)))=Milestones!$AB$116),TEXT(EDATE($D94,Milestones!$AA$116),"dd/mm/yy")&amp;" "&amp;Milestones!$AB$116&amp;" "&amp;Milestones!$AC$116&amp;";  ","")&amp;IF(AND(EDATE($D94,Milestones!$AA$117)&lt;=AsOfDate,IF($Q94=0,$W94,IF(AND($S94&lt;&gt;"",EDATE($D94,Milestones!$AA$117)&gt;=$S94),$V94,IF(AND($R94&lt;&gt;"",EDATE($D94,Milestones!$AA$117)&gt;=$R94),$U94,$T94)))=Milestones!$AB$117),TEXT(EDATE($D94,Milestones!$AA$117),"dd/mm/yy")&amp;" "&amp;Milestones!$AB$117&amp;" "&amp;Milestones!$AC$117&amp;";  ","")&amp;IF(AND(EDATE($D94,Milestones!$AA$118)&lt;=AsOfDate,IF($Q94=0,$W94,IF(AND($S94&lt;&gt;"",EDATE($D94,Milestones!$AA$118)&gt;=$S94),$V94,IF(AND($R94&lt;&gt;"",EDATE($D94,Milestones!$AA$118)&gt;=$R94),$U94,$T94)))=Milestones!$AB$118),TEXT(EDATE($D94,Milestones!$AA$118),"dd/mm/yy")&amp;" "&amp;Milestones!$AB$118&amp;" "&amp;Milestones!$AC$118&amp;";  ","")&amp;IF(AND(EDATE($D94,Milestones!$AA$119)&lt;=AsOfDate,IF($Q94=0,$W94,IF(AND($S94&lt;&gt;"",EDATE($D94,Milestones!$AA$119)&gt;=$S94),$V94,IF(AND($R94&lt;&gt;"",EDATE($D94,Milestones!$AA$119)&gt;=$R94),$U94,$T94)))=Milestones!$AB$119),TEXT(EDATE($D94,Milestones!$AA$119),"dd/mm/yy")&amp;" "&amp;Milestones!$AB$119&amp;" "&amp;Milestones!$AC$119&amp;";  ",""))</f>
        <v/>
      </c>
      <c r="M94" s="0" t="str">
        <f aca="false">IF(OR($A94="",$D94=""),"",IF(AND(EDATE($D94,Milestones!$AA$120)&lt;=AsOfDate,IF($Q94=0,$W94,IF(AND($S94&lt;&gt;"",EDATE($D94,Milestones!$AA$120)&gt;=$S94),$V94,IF(AND($R94&lt;&gt;"",EDATE($D94,Milestones!$AA$120)&gt;=$R94),$U94,$T94)))=Milestones!$AB$120),TEXT(EDATE($D94,Milestones!$AA$120),"dd/mm/yy")&amp;" "&amp;Milestones!$AB$120&amp;" "&amp;Milestones!$AC$120&amp;";  ","")&amp;IF(AND(EDATE($D94,Milestones!$AA$121)&lt;=AsOfDate,IF($Q94=0,$W94,IF(AND($S94&lt;&gt;"",EDATE($D94,Milestones!$AA$121)&gt;=$S94),$V94,IF(AND($R94&lt;&gt;"",EDATE($D94,Milestones!$AA$121)&gt;=$R94),$U94,$T94)))=Milestones!$AB$121),TEXT(EDATE($D94,Milestones!$AA$121),"dd/mm/yy")&amp;" "&amp;Milestones!$AB$121&amp;" "&amp;Milestones!$AC$121&amp;";  ","")&amp;IF(AND(EDATE($D94,Milestones!$AA$122)&lt;=AsOfDate,IF($Q94=0,$W94,IF(AND($S94&lt;&gt;"",EDATE($D94,Milestones!$AA$122)&gt;=$S94),$V94,IF(AND($R94&lt;&gt;"",EDATE($D94,Milestones!$AA$122)&gt;=$R94),$U94,$T94)))=Milestones!$AB$122),TEXT(EDATE($D94,Milestones!$AA$122),"dd/mm/yy")&amp;" "&amp;Milestones!$AB$122&amp;" "&amp;Milestones!$AC$122&amp;";  ","")&amp;IF(AND(EDATE($D94,Milestones!$AA$123)&lt;=AsOfDate,IF($Q94=0,$W94,IF(AND($S94&lt;&gt;"",EDATE($D94,Milestones!$AA$123)&gt;=$S94),$V94,IF(AND($R94&lt;&gt;"",EDATE($D94,Milestones!$AA$123)&gt;=$R94),$U94,$T94)))=Milestones!$AB$123),TEXT(EDATE($D94,Milestones!$AA$123),"dd/mm/yy")&amp;" "&amp;Milestones!$AB$123&amp;" "&amp;Milestones!$AC$123&amp;";  ","")&amp;IF(AND(EDATE($D94,Milestones!$AA$124)&lt;=AsOfDate,IF($Q94=0,$W94,IF(AND($S94&lt;&gt;"",EDATE($D94,Milestones!$AA$124)&gt;=$S94),$V94,IF(AND($R94&lt;&gt;"",EDATE($D94,Milestones!$AA$124)&gt;=$R94),$U94,$T94)))=Milestones!$AB$124),TEXT(EDATE($D94,Milestones!$AA$124),"dd/mm/yy")&amp;" "&amp;Milestones!$AB$124&amp;" "&amp;Milestones!$AC$124&amp;";  ","")&amp;IF(AND(EDATE($D94,Milestones!$AA$125)&lt;=AsOfDate,IF($Q94=0,$W94,IF(AND($S94&lt;&gt;"",EDATE($D94,Milestones!$AA$125)&gt;=$S94),$V94,IF(AND($R94&lt;&gt;"",EDATE($D94,Milestones!$AA$125)&gt;=$R94),$U94,$T94)))=Milestones!$AB$125),TEXT(EDATE($D94,Milestones!$AA$125),"dd/mm/yy")&amp;" "&amp;Milestones!$AB$125&amp;" "&amp;Milestones!$AC$125&amp;";  ","")&amp;IF(AND(EDATE($D94,Milestones!$AA$126)&lt;=AsOfDate,IF($Q94=0,$W94,IF(AND($S94&lt;&gt;"",EDATE($D94,Milestones!$AA$126)&gt;=$S94),$V94,IF(AND($R94&lt;&gt;"",EDATE($D94,Milestones!$AA$126)&gt;=$R94),$U94,$T94)))=Milestones!$AB$126),TEXT(EDATE($D94,Milestones!$AA$126),"dd/mm/yy")&amp;" "&amp;Milestones!$AB$126&amp;" "&amp;Milestones!$AC$126&amp;";  ","")&amp;IF(AND(EDATE($D94,Milestones!$AA$127)&lt;=AsOfDate,IF($Q94=0,$W94,IF(AND($S94&lt;&gt;"",EDATE($D94,Milestones!$AA$127)&gt;=$S94),$V94,IF(AND($R94&lt;&gt;"",EDATE($D94,Milestones!$AA$127)&gt;=$R94),$U94,$T94)))=Milestones!$AB$127),TEXT(EDATE($D94,Milestones!$AA$127),"dd/mm/yy")&amp;" "&amp;Milestones!$AB$127&amp;" "&amp;Milestones!$AC$127&amp;";  ","")&amp;IF(AND(EDATE($D94,Milestones!$AA$128)&lt;=AsOfDate,IF($Q94=0,$W94,IF(AND($S94&lt;&gt;"",EDATE($D94,Milestones!$AA$128)&gt;=$S94),$V94,IF(AND($R94&lt;&gt;"",EDATE($D94,Milestones!$AA$128)&gt;=$R94),$U94,$T94)))=Milestones!$AB$128),TEXT(EDATE($D94,Milestones!$AA$128),"dd/mm/yy")&amp;" "&amp;Milestones!$AB$128&amp;" "&amp;Milestones!$AC$128&amp;";  ","")&amp;IF(AND(EDATE($D94,Milestones!$AA$129)&lt;=AsOfDate,IF($Q94=0,$W94,IF(AND($S94&lt;&gt;"",EDATE($D94,Milestones!$AA$129)&gt;=$S94),$V94,IF(AND($R94&lt;&gt;"",EDATE($D94,Milestones!$AA$129)&gt;=$R94),$U94,$T94)))=Milestones!$AB$129),TEXT(EDATE($D94,Milestones!$AA$129),"dd/mm/yy")&amp;" "&amp;Milestones!$AB$129&amp;" "&amp;Milestones!$AC$129&amp;";  ","")&amp;IF(AND(EDATE($D94,Milestones!$AA$130)&lt;=AsOfDate,IF($Q94=0,$W94,IF(AND($S94&lt;&gt;"",EDATE($D94,Milestones!$AA$130)&gt;=$S94),$V94,IF(AND($R94&lt;&gt;"",EDATE($D94,Milestones!$AA$130)&gt;=$R94),$U94,$T94)))=Milestones!$AB$130),TEXT(EDATE($D94,Milestones!$AA$130),"dd/mm/yy")&amp;" "&amp;Milestones!$AB$130&amp;" "&amp;Milestones!$AC$130&amp;";  ","")&amp;IF(AND(EDATE($D94,Milestones!$AA$131)&lt;=AsOfDate,IF($Q94=0,$W94,IF(AND($S94&lt;&gt;"",EDATE($D94,Milestones!$AA$131)&gt;=$S94),$V94,IF(AND($R94&lt;&gt;"",EDATE($D94,Milestones!$AA$131)&gt;=$R94),$U94,$T94)))=Milestones!$AB$131),TEXT(EDATE($D94,Milestones!$AA$131),"dd/mm/yy")&amp;" "&amp;Milestones!$AB$131&amp;" "&amp;Milestones!$AC$131&amp;";  ","")&amp;IF(AND(EDATE($D94,Milestones!$AA$132)&lt;=AsOfDate,IF($Q94=0,$W94,IF(AND($S94&lt;&gt;"",EDATE($D94,Milestones!$AA$132)&gt;=$S94),$V94,IF(AND($R94&lt;&gt;"",EDATE($D94,Milestones!$AA$132)&gt;=$R94),$U94,$T94)))=Milestones!$AB$132),TEXT(EDATE($D94,Milestones!$AA$132),"dd/mm/yy")&amp;" "&amp;Milestones!$AB$132&amp;" "&amp;Milestones!$AC$132&amp;";  ","")&amp;IF(AND(EDATE($D94,Milestones!$AA$133)&lt;=AsOfDate,IF($Q94=0,$W94,IF(AND($S94&lt;&gt;"",EDATE($D94,Milestones!$AA$133)&gt;=$S94),$V94,IF(AND($R94&lt;&gt;"",EDATE($D94,Milestones!$AA$133)&gt;=$R94),$U94,$T94)))=Milestones!$AB$133),TEXT(EDATE($D94,Milestones!$AA$133),"dd/mm/yy")&amp;" "&amp;Milestones!$AB$133&amp;" "&amp;Milestones!$AC$133&amp;";  ","")&amp;IF(AND(EDATE($D94,Milestones!$AA$134)&lt;=AsOfDate,IF($Q94=0,$W94,IF(AND($S94&lt;&gt;"",EDATE($D94,Milestones!$AA$134)&gt;=$S94),$V94,IF(AND($R94&lt;&gt;"",EDATE($D94,Milestones!$AA$134)&gt;=$R94),$U94,$T94)))=Milestones!$AB$134),TEXT(EDATE($D94,Milestones!$AA$134),"dd/mm/yy")&amp;" "&amp;Milestones!$AB$134&amp;" "&amp;Milestones!$AC$134&amp;";  ","")&amp;IF(AND(EDATE($D94,Milestones!$AA$135)&lt;=AsOfDate,IF($Q94=0,$W94,IF(AND($S94&lt;&gt;"",EDATE($D94,Milestones!$AA$135)&gt;=$S94),$V94,IF(AND($R94&lt;&gt;"",EDATE($D94,Milestones!$AA$135)&gt;=$R94),$U94,$T94)))=Milestones!$AB$135),TEXT(EDATE($D94,Milestones!$AA$135),"dd/mm/yy")&amp;" "&amp;Milestones!$AB$135&amp;" "&amp;Milestones!$AC$135&amp;";  ","")&amp;IF(AND(EDATE($D94,Milestones!$AA$136)&lt;=AsOfDate,IF($Q94=0,$W94,IF(AND($S94&lt;&gt;"",EDATE($D94,Milestones!$AA$136)&gt;=$S94),$V94,IF(AND($R94&lt;&gt;"",EDATE($D94,Milestones!$AA$136)&gt;=$R94),$U94,$T94)))=Milestones!$AB$136),TEXT(EDATE($D94,Milestones!$AA$136),"dd/mm/yy")&amp;" "&amp;Milestones!$AB$136&amp;" "&amp;Milestones!$AC$136&amp;";  ","")&amp;IF(AND(EDATE($D94,Milestones!$AA$137)&lt;=AsOfDate,IF($Q94=0,$W94,IF(AND($S94&lt;&gt;"",EDATE($D94,Milestones!$AA$137)&gt;=$S94),$V94,IF(AND($R94&lt;&gt;"",EDATE($D94,Milestones!$AA$137)&gt;=$R94),$U94,$T94)))=Milestones!$AB$137),TEXT(EDATE($D94,Milestones!$AA$137),"dd/mm/yy")&amp;" "&amp;Milestones!$AB$137&amp;" "&amp;Milestones!$AC$137&amp;";  ","")&amp;IF(AND(EDATE($D94,Milestones!$AA$138)&lt;=AsOfDate,IF($Q94=0,$W94,IF(AND($S94&lt;&gt;"",EDATE($D94,Milestones!$AA$138)&gt;=$S94),$V94,IF(AND($R94&lt;&gt;"",EDATE($D94,Milestones!$AA$138)&gt;=$R94),$U94,$T94)))=Milestones!$AB$138),TEXT(EDATE($D94,Milestones!$AA$138),"dd/mm/yy")&amp;" "&amp;Milestones!$AB$138&amp;" "&amp;Milestones!$AC$138&amp;";  ","")&amp;IF(AND(EDATE($D94,Milestones!$AA$139)&lt;=AsOfDate,IF($Q94=0,$W94,IF(AND($S94&lt;&gt;"",EDATE($D94,Milestones!$AA$139)&gt;=$S94),$V94,IF(AND($R94&lt;&gt;"",EDATE($D94,Milestones!$AA$139)&gt;=$R94),$U94,$T94)))=Milestones!$AB$139),TEXT(EDATE($D94,Milestones!$AA$139),"dd/mm/yy")&amp;" "&amp;Milestones!$AB$139&amp;" "&amp;Milestones!$AC$139&amp;";  ",""))</f>
        <v/>
      </c>
      <c r="N94" s="0" t="str">
        <f aca="false">IF(OR($A94="",$D94=""),"",IF(AND(EDATE($D94,Milestones!$AA$140)&lt;=AsOfDate,IF($Q94=0,$W94,IF(AND($S94&lt;&gt;"",EDATE($D94,Milestones!$AA$140)&gt;=$S94),$V94,IF(AND($R94&lt;&gt;"",EDATE($D94,Milestones!$AA$140)&gt;=$R94),$U94,$T94)))=Milestones!$AB$140),TEXT(EDATE($D94,Milestones!$AA$140),"dd/mm/yy")&amp;" "&amp;Milestones!$AB$140&amp;" "&amp;Milestones!$AC$140&amp;";  ","")&amp;IF(AND(EDATE($D94,Milestones!$AA$141)&lt;=AsOfDate,IF($Q94=0,$W94,IF(AND($S94&lt;&gt;"",EDATE($D94,Milestones!$AA$141)&gt;=$S94),$V94,IF(AND($R94&lt;&gt;"",EDATE($D94,Milestones!$AA$141)&gt;=$R94),$U94,$T94)))=Milestones!$AB$141),TEXT(EDATE($D94,Milestones!$AA$141),"dd/mm/yy")&amp;" "&amp;Milestones!$AB$141&amp;" "&amp;Milestones!$AC$141&amp;";  ","")&amp;IF(AND(EDATE($D94,Milestones!$AA$142)&lt;=AsOfDate,IF($Q94=0,$W94,IF(AND($S94&lt;&gt;"",EDATE($D94,Milestones!$AA$142)&gt;=$S94),$V94,IF(AND($R94&lt;&gt;"",EDATE($D94,Milestones!$AA$142)&gt;=$R94),$U94,$T94)))=Milestones!$AB$142),TEXT(EDATE($D94,Milestones!$AA$142),"dd/mm/yy")&amp;" "&amp;Milestones!$AB$142&amp;" "&amp;Milestones!$AC$142&amp;";  ","")&amp;IF(AND(EDATE($D94,Milestones!$AA$143)&lt;=AsOfDate,IF($Q94=0,$W94,IF(AND($S94&lt;&gt;"",EDATE($D94,Milestones!$AA$143)&gt;=$S94),$V94,IF(AND($R94&lt;&gt;"",EDATE($D94,Milestones!$AA$143)&gt;=$R94),$U94,$T94)))=Milestones!$AB$143),TEXT(EDATE($D94,Milestones!$AA$143),"dd/mm/yy")&amp;" "&amp;Milestones!$AB$143&amp;" "&amp;Milestones!$AC$143&amp;";  ","")&amp;IF(AND(EDATE($D94,Milestones!$AA$144)&lt;=AsOfDate,IF($Q94=0,$W94,IF(AND($S94&lt;&gt;"",EDATE($D94,Milestones!$AA$144)&gt;=$S94),$V94,IF(AND($R94&lt;&gt;"",EDATE($D94,Milestones!$AA$144)&gt;=$R94),$U94,$T94)))=Milestones!$AB$144),TEXT(EDATE($D94,Milestones!$AA$144),"dd/mm/yy")&amp;" "&amp;Milestones!$AB$144&amp;" "&amp;Milestones!$AC$144&amp;";  ","")&amp;IF(AND(EDATE($D94,Milestones!$AA$145)&lt;=AsOfDate,IF($Q94=0,$W94,IF(AND($S94&lt;&gt;"",EDATE($D94,Milestones!$AA$145)&gt;=$S94),$V94,IF(AND($R94&lt;&gt;"",EDATE($D94,Milestones!$AA$145)&gt;=$R94),$U94,$T94)))=Milestones!$AB$145),TEXT(EDATE($D94,Milestones!$AA$145),"dd/mm/yy")&amp;" "&amp;Milestones!$AB$145&amp;" "&amp;Milestones!$AC$145&amp;";  ","")&amp;IF(AND(EDATE($D94,Milestones!$AA$146)&lt;=AsOfDate,IF($Q94=0,$W94,IF(AND($S94&lt;&gt;"",EDATE($D94,Milestones!$AA$146)&gt;=$S94),$V94,IF(AND($R94&lt;&gt;"",EDATE($D94,Milestones!$AA$146)&gt;=$R94),$U94,$T94)))=Milestones!$AB$146),TEXT(EDATE($D94,Milestones!$AA$146),"dd/mm/yy")&amp;" "&amp;Milestones!$AB$146&amp;" "&amp;Milestones!$AC$146&amp;";  ","")&amp;IF(AND(EDATE($D94,Milestones!$AA$147)&lt;=AsOfDate,IF($Q94=0,$W94,IF(AND($S94&lt;&gt;"",EDATE($D94,Milestones!$AA$147)&gt;=$S94),$V94,IF(AND($R94&lt;&gt;"",EDATE($D94,Milestones!$AA$147)&gt;=$R94),$U94,$T94)))=Milestones!$AB$147),TEXT(EDATE($D94,Milestones!$AA$147),"dd/mm/yy")&amp;" "&amp;Milestones!$AB$147&amp;" "&amp;Milestones!$AC$147&amp;";  ","")&amp;IF(AND(EDATE($D94,Milestones!$AA$148)&lt;=AsOfDate,IF($Q94=0,$W94,IF(AND($S94&lt;&gt;"",EDATE($D94,Milestones!$AA$148)&gt;=$S94),$V94,IF(AND($R94&lt;&gt;"",EDATE($D94,Milestones!$AA$148)&gt;=$R94),$U94,$T94)))=Milestones!$AB$148),TEXT(EDATE($D94,Milestones!$AA$148),"dd/mm/yy")&amp;" "&amp;Milestones!$AB$148&amp;" "&amp;Milestones!$AC$148&amp;";  ","")&amp;IF(AND(EDATE($D94,Milestones!$AA$149)&lt;=AsOfDate,IF($Q94=0,$W94,IF(AND($S94&lt;&gt;"",EDATE($D94,Milestones!$AA$149)&gt;=$S94),$V94,IF(AND($R94&lt;&gt;"",EDATE($D94,Milestones!$AA$149)&gt;=$R94),$U94,$T94)))=Milestones!$AB$149),TEXT(EDATE($D94,Milestones!$AA$149),"dd/mm/yy")&amp;" "&amp;Milestones!$AB$149&amp;" "&amp;Milestones!$AC$149&amp;";  ","")&amp;IF(AND(EDATE($D94,Milestones!$AA$150)&lt;=AsOfDate,IF($Q94=0,$W94,IF(AND($S94&lt;&gt;"",EDATE($D94,Milestones!$AA$150)&gt;=$S94),$V94,IF(AND($R94&lt;&gt;"",EDATE($D94,Milestones!$AA$150)&gt;=$R94),$U94,$T94)))=Milestones!$AB$150),TEXT(EDATE($D94,Milestones!$AA$150),"dd/mm/yy")&amp;" "&amp;Milestones!$AB$150&amp;" "&amp;Milestones!$AC$150&amp;";  ","")&amp;IF(AND(EDATE($D94,Milestones!$AA$151)&lt;=AsOfDate,IF($Q94=0,$W94,IF(AND($S94&lt;&gt;"",EDATE($D94,Milestones!$AA$151)&gt;=$S94),$V94,IF(AND($R94&lt;&gt;"",EDATE($D94,Milestones!$AA$151)&gt;=$R94),$U94,$T94)))=Milestones!$AB$151),TEXT(EDATE($D94,Milestones!$AA$151),"dd/mm/yy")&amp;" "&amp;Milestones!$AB$151&amp;" "&amp;Milestones!$AC$151&amp;";  ","")&amp;IF(AND(EDATE($D94,Milestones!$AA$152)&lt;=AsOfDate,IF($Q94=0,$W94,IF(AND($S94&lt;&gt;"",EDATE($D94,Milestones!$AA$152)&gt;=$S94),$V94,IF(AND($R94&lt;&gt;"",EDATE($D94,Milestones!$AA$152)&gt;=$R94),$U94,$T94)))=Milestones!$AB$152),TEXT(EDATE($D94,Milestones!$AA$152),"dd/mm/yy")&amp;" "&amp;Milestones!$AB$152&amp;" "&amp;Milestones!$AC$152&amp;";  ","")&amp;IF(AND(EDATE($D94,Milestones!$AA$153)&lt;=AsOfDate,IF($Q94=0,$W94,IF(AND($S94&lt;&gt;"",EDATE($D94,Milestones!$AA$153)&gt;=$S94),$V94,IF(AND($R94&lt;&gt;"",EDATE($D94,Milestones!$AA$153)&gt;=$R94),$U94,$T94)))=Milestones!$AB$153),TEXT(EDATE($D94,Milestones!$AA$153),"dd/mm/yy")&amp;" "&amp;Milestones!$AB$153&amp;" "&amp;Milestones!$AC$153&amp;";  ","")&amp;IF(AND(EDATE($D94,Milestones!$AA$154)&lt;=AsOfDate,IF($Q94=0,$W94,IF(AND($S94&lt;&gt;"",EDATE($D94,Milestones!$AA$154)&gt;=$S94),$V94,IF(AND($R94&lt;&gt;"",EDATE($D94,Milestones!$AA$154)&gt;=$R94),$U94,$T94)))=Milestones!$AB$154),TEXT(EDATE($D94,Milestones!$AA$154),"dd/mm/yy")&amp;" "&amp;Milestones!$AB$154&amp;" "&amp;Milestones!$AC$154&amp;";  ","")&amp;IF(AND(EDATE($D94,Milestones!$AA$155)&lt;=AsOfDate,IF($Q94=0,$W94,IF(AND($S94&lt;&gt;"",EDATE($D94,Milestones!$AA$155)&gt;=$S94),$V94,IF(AND($R94&lt;&gt;"",EDATE($D94,Milestones!$AA$155)&gt;=$R94),$U94,$T94)))=Milestones!$AB$155),TEXT(EDATE($D94,Milestones!$AA$155),"dd/mm/yy")&amp;" "&amp;Milestones!$AB$155&amp;" "&amp;Milestones!$AC$155&amp;";  ","")&amp;IF(AND(EDATE($D94,Milestones!$AA$156)&lt;=AsOfDate,IF($Q94=0,$W94,IF(AND($S94&lt;&gt;"",EDATE($D94,Milestones!$AA$156)&gt;=$S94),$V94,IF(AND($R94&lt;&gt;"",EDATE($D94,Milestones!$AA$156)&gt;=$R94),$U94,$T94)))=Milestones!$AB$156),TEXT(EDATE($D94,Milestones!$AA$156),"dd/mm/yy")&amp;" "&amp;Milestones!$AB$156&amp;" "&amp;Milestones!$AC$156&amp;";  ","")&amp;IF(AND(EDATE($D94,Milestones!$AA$157)&lt;=AsOfDate,IF($Q94=0,$W94,IF(AND($S94&lt;&gt;"",EDATE($D94,Milestones!$AA$157)&gt;=$S94),$V94,IF(AND($R94&lt;&gt;"",EDATE($D94,Milestones!$AA$157)&gt;=$R94),$U94,$T94)))=Milestones!$AB$157),TEXT(EDATE($D94,Milestones!$AA$157),"dd/mm/yy")&amp;" "&amp;Milestones!$AB$157&amp;" "&amp;Milestones!$AC$157&amp;";  ","")&amp;IF(AND(EDATE($D94,Milestones!$AA$158)&lt;=AsOfDate,IF($Q94=0,$W94,IF(AND($S94&lt;&gt;"",EDATE($D94,Milestones!$AA$158)&gt;=$S94),$V94,IF(AND($R94&lt;&gt;"",EDATE($D94,Milestones!$AA$158)&gt;=$R94),$U94,$T94)))=Milestones!$AB$158),TEXT(EDATE($D94,Milestones!$AA$158),"dd/mm/yy")&amp;" "&amp;Milestones!$AB$158&amp;" "&amp;Milestones!$AC$158&amp;";  ","")&amp;IF(AND(EDATE($D94,Milestones!$AA$159)&lt;=AsOfDate,IF($Q94=0,$W94,IF(AND($S94&lt;&gt;"",EDATE($D94,Milestones!$AA$159)&gt;=$S94),$V94,IF(AND($R94&lt;&gt;"",EDATE($D94,Milestones!$AA$159)&gt;=$R94),$U94,$T94)))=Milestones!$AB$159),TEXT(EDATE($D94,Milestones!$AA$159),"dd/mm/yy")&amp;" "&amp;Milestones!$AB$159&amp;" "&amp;Milestones!$AC$159&amp;";  ",""))</f>
        <v/>
      </c>
      <c r="O94" s="0" t="str">
        <f aca="false">IF(OR($A94="",$D94=""),"",IF(AND(EDATE($D94,Milestones!$AA$160)&lt;=AsOfDate,IF($Q94=0,$W94,IF(AND($S94&lt;&gt;"",EDATE($D94,Milestones!$AA$160)&gt;=$S94),$V94,IF(AND($R94&lt;&gt;"",EDATE($D94,Milestones!$AA$160)&gt;=$R94),$U94,$T94)))=Milestones!$AB$160),TEXT(EDATE($D94,Milestones!$AA$160),"dd/mm/yy")&amp;" "&amp;Milestones!$AB$160&amp;" "&amp;Milestones!$AC$160&amp;";  ","")&amp;IF(AND(EDATE($D94,Milestones!$AA$161)&lt;=AsOfDate,IF($Q94=0,$W94,IF(AND($S94&lt;&gt;"",EDATE($D94,Milestones!$AA$161)&gt;=$S94),$V94,IF(AND($R94&lt;&gt;"",EDATE($D94,Milestones!$AA$161)&gt;=$R94),$U94,$T94)))=Milestones!$AB$161),TEXT(EDATE($D94,Milestones!$AA$161),"dd/mm/yy")&amp;" "&amp;Milestones!$AB$161&amp;" "&amp;Milestones!$AC$161&amp;";  ","")&amp;IF(AND(EDATE($D94,Milestones!$AA$162)&lt;=AsOfDate,IF($Q94=0,$W94,IF(AND($S94&lt;&gt;"",EDATE($D94,Milestones!$AA$162)&gt;=$S94),$V94,IF(AND($R94&lt;&gt;"",EDATE($D94,Milestones!$AA$162)&gt;=$R94),$U94,$T94)))=Milestones!$AB$162),TEXT(EDATE($D94,Milestones!$AA$162),"dd/mm/yy")&amp;" "&amp;Milestones!$AB$162&amp;" "&amp;Milestones!$AC$162&amp;";  ","")&amp;IF(AND(EDATE($D94,Milestones!$AA$163)&lt;=AsOfDate,IF($Q94=0,$W94,IF(AND($S94&lt;&gt;"",EDATE($D94,Milestones!$AA$163)&gt;=$S94),$V94,IF(AND($R94&lt;&gt;"",EDATE($D94,Milestones!$AA$163)&gt;=$R94),$U94,$T94)))=Milestones!$AB$163),TEXT(EDATE($D94,Milestones!$AA$163),"dd/mm/yy")&amp;" "&amp;Milestones!$AB$163&amp;" "&amp;Milestones!$AC$163&amp;";  ","")&amp;IF(AND(EDATE($D94,Milestones!$AA$164)&lt;=AsOfDate,IF($Q94=0,$W94,IF(AND($S94&lt;&gt;"",EDATE($D94,Milestones!$AA$164)&gt;=$S94),$V94,IF(AND($R94&lt;&gt;"",EDATE($D94,Milestones!$AA$164)&gt;=$R94),$U94,$T94)))=Milestones!$AB$164),TEXT(EDATE($D94,Milestones!$AA$164),"dd/mm/yy")&amp;" "&amp;Milestones!$AB$164&amp;" "&amp;Milestones!$AC$164&amp;";  ","")&amp;IF(AND(EDATE($D94,Milestones!$AA$165)&lt;=AsOfDate,IF($Q94=0,$W94,IF(AND($S94&lt;&gt;"",EDATE($D94,Milestones!$AA$165)&gt;=$S94),$V94,IF(AND($R94&lt;&gt;"",EDATE($D94,Milestones!$AA$165)&gt;=$R94),$U94,$T94)))=Milestones!$AB$165),TEXT(EDATE($D94,Milestones!$AA$165),"dd/mm/yy")&amp;" "&amp;Milestones!$AB$165&amp;" "&amp;Milestones!$AC$165&amp;";  ","")&amp;IF(AND(EDATE($D94,Milestones!$AA$166)&lt;=AsOfDate,IF($Q94=0,$W94,IF(AND($S94&lt;&gt;"",EDATE($D94,Milestones!$AA$166)&gt;=$S94),$V94,IF(AND($R94&lt;&gt;"",EDATE($D94,Milestones!$AA$166)&gt;=$R94),$U94,$T94)))=Milestones!$AB$166),TEXT(EDATE($D94,Milestones!$AA$166),"dd/mm/yy")&amp;" "&amp;Milestones!$AB$166&amp;" "&amp;Milestones!$AC$166&amp;";  ","")&amp;IF(AND(EDATE($D94,Milestones!$AA$167)&lt;=AsOfDate,IF($Q94=0,$W94,IF(AND($S94&lt;&gt;"",EDATE($D94,Milestones!$AA$167)&gt;=$S94),$V94,IF(AND($R94&lt;&gt;"",EDATE($D94,Milestones!$AA$167)&gt;=$R94),$U94,$T94)))=Milestones!$AB$167),TEXT(EDATE($D94,Milestones!$AA$167),"dd/mm/yy")&amp;" "&amp;Milestones!$AB$167&amp;" "&amp;Milestones!$AC$167&amp;";  ","")&amp;IF(AND(EDATE($D94,Milestones!$AA$168)&lt;=AsOfDate,IF($Q94=0,$W94,IF(AND($S94&lt;&gt;"",EDATE($D94,Milestones!$AA$168)&gt;=$S94),$V94,IF(AND($R94&lt;&gt;"",EDATE($D94,Milestones!$AA$168)&gt;=$R94),$U94,$T94)))=Milestones!$AB$168),TEXT(EDATE($D94,Milestones!$AA$168),"dd/mm/yy")&amp;" "&amp;Milestones!$AB$168&amp;" "&amp;Milestones!$AC$168&amp;";  ","")&amp;IF(AND(EDATE($D94,Milestones!$AA$169)&lt;=AsOfDate,IF($Q94=0,$W94,IF(AND($S94&lt;&gt;"",EDATE($D94,Milestones!$AA$169)&gt;=$S94),$V94,IF(AND($R94&lt;&gt;"",EDATE($D94,Milestones!$AA$169)&gt;=$R94),$U94,$T94)))=Milestones!$AB$169),TEXT(EDATE($D94,Milestones!$AA$169),"dd/mm/yy")&amp;" "&amp;Milestones!$AB$169&amp;" "&amp;Milestones!$AC$169&amp;";  ","")&amp;IF(AND(EDATE($D94,Milestones!$AA$170)&lt;=AsOfDate,IF($Q94=0,$W94,IF(AND($S94&lt;&gt;"",EDATE($D94,Milestones!$AA$170)&gt;=$S94),$V94,IF(AND($R94&lt;&gt;"",EDATE($D94,Milestones!$AA$170)&gt;=$R94),$U94,$T94)))=Milestones!$AB$170),TEXT(EDATE($D94,Milestones!$AA$170),"dd/mm/yy")&amp;" "&amp;Milestones!$AB$170&amp;" "&amp;Milestones!$AC$170&amp;";  ","")&amp;IF(AND(EDATE($D94,Milestones!$AA$171)&lt;=AsOfDate,IF($Q94=0,$W94,IF(AND($S94&lt;&gt;"",EDATE($D94,Milestones!$AA$171)&gt;=$S94),$V94,IF(AND($R94&lt;&gt;"",EDATE($D94,Milestones!$AA$171)&gt;=$R94),$U94,$T94)))=Milestones!$AB$171),TEXT(EDATE($D94,Milestones!$AA$171),"dd/mm/yy")&amp;" "&amp;Milestones!$AB$171&amp;" "&amp;Milestones!$AC$171&amp;";  ","")&amp;IF(AND(EDATE($D94,Milestones!$AA$172)&lt;=AsOfDate,IF($Q94=0,$W94,IF(AND($S94&lt;&gt;"",EDATE($D94,Milestones!$AA$172)&gt;=$S94),$V94,IF(AND($R94&lt;&gt;"",EDATE($D94,Milestones!$AA$172)&gt;=$R94),$U94,$T94)))=Milestones!$AB$172),TEXT(EDATE($D94,Milestones!$AA$172),"dd/mm/yy")&amp;" "&amp;Milestones!$AB$172&amp;" "&amp;Milestones!$AC$172&amp;";  ","")&amp;IF(AND(EDATE($D94,Milestones!$AA$173)&lt;=AsOfDate,IF($Q94=0,$W94,IF(AND($S94&lt;&gt;"",EDATE($D94,Milestones!$AA$173)&gt;=$S94),$V94,IF(AND($R94&lt;&gt;"",EDATE($D94,Milestones!$AA$173)&gt;=$R94),$U94,$T94)))=Milestones!$AB$173),TEXT(EDATE($D94,Milestones!$AA$173),"dd/mm/yy")&amp;" "&amp;Milestones!$AB$173&amp;" "&amp;Milestones!$AC$173&amp;";  ","")&amp;IF(AND(EDATE($D94,Milestones!$AA$174)&lt;=AsOfDate,IF($Q94=0,$W94,IF(AND($S94&lt;&gt;"",EDATE($D94,Milestones!$AA$174)&gt;=$S94),$V94,IF(AND($R94&lt;&gt;"",EDATE($D94,Milestones!$AA$174)&gt;=$R94),$U94,$T94)))=Milestones!$AB$174),TEXT(EDATE($D94,Milestones!$AA$174),"dd/mm/yy")&amp;" "&amp;Milestones!$AB$174&amp;" "&amp;Milestones!$AC$174&amp;";  ","")&amp;IF(AND(EDATE($D94,Milestones!$AA$175)&lt;=AsOfDate,IF($Q94=0,$W94,IF(AND($S94&lt;&gt;"",EDATE($D94,Milestones!$AA$175)&gt;=$S94),$V94,IF(AND($R94&lt;&gt;"",EDATE($D94,Milestones!$AA$175)&gt;=$R94),$U94,$T94)))=Milestones!$AB$175),TEXT(EDATE($D94,Milestones!$AA$175),"dd/mm/yy")&amp;" "&amp;Milestones!$AB$175&amp;" "&amp;Milestones!$AC$175&amp;";  ","")&amp;IF(AND(EDATE($D94,Milestones!$AA$176)&lt;=AsOfDate,IF($Q94=0,$W94,IF(AND($S94&lt;&gt;"",EDATE($D94,Milestones!$AA$176)&gt;=$S94),$V94,IF(AND($R94&lt;&gt;"",EDATE($D94,Milestones!$AA$176)&gt;=$R94),$U94,$T94)))=Milestones!$AB$176),TEXT(EDATE($D94,Milestones!$AA$176),"dd/mm/yy")&amp;" "&amp;Milestones!$AB$176&amp;" "&amp;Milestones!$AC$176&amp;";  ","")&amp;IF(AND(EDATE($D94,Milestones!$AA$177)&lt;=AsOfDate,IF($Q94=0,$W94,IF(AND($S94&lt;&gt;"",EDATE($D94,Milestones!$AA$177)&gt;=$S94),$V94,IF(AND($R94&lt;&gt;"",EDATE($D94,Milestones!$AA$177)&gt;=$R94),$U94,$T94)))=Milestones!$AB$177),TEXT(EDATE($D94,Milestones!$AA$177),"dd/mm/yy")&amp;" "&amp;Milestones!$AB$177&amp;" "&amp;Milestones!$AC$177&amp;";  ","")&amp;IF(AND(EDATE($D94,Milestones!$AA$178)&lt;=AsOfDate,IF($Q94=0,$W94,IF(AND($S94&lt;&gt;"",EDATE($D94,Milestones!$AA$178)&gt;=$S94),$V94,IF(AND($R94&lt;&gt;"",EDATE($D94,Milestones!$AA$178)&gt;=$R94),$U94,$T94)))=Milestones!$AB$178),TEXT(EDATE($D94,Milestones!$AA$178),"dd/mm/yy")&amp;" "&amp;Milestones!$AB$178&amp;" "&amp;Milestones!$AC$178&amp;";  ","")&amp;IF(AND(EDATE($D94,Milestones!$AA$179)&lt;=AsOfDate,IF($Q94=0,$W94,IF(AND($S94&lt;&gt;"",EDATE($D94,Milestones!$AA$179)&gt;=$S94),$V94,IF(AND($R94&lt;&gt;"",EDATE($D94,Milestones!$AA$179)&gt;=$R94),$U94,$T94)))=Milestones!$AB$179),TEXT(EDATE($D94,Milestones!$AA$179),"dd/mm/yy")&amp;" "&amp;Milestones!$AB$179&amp;" "&amp;Milestones!$AC$179&amp;";  ",""))</f>
        <v/>
      </c>
      <c r="P94" s="0" t="str">
        <f aca="false">IF(OR($A94="",$D94=""),"",IF(AND(EDATE($D94,Milestones!$AA$180)&lt;=AsOfDate,IF($Q94=0,$W94,IF(AND($S94&lt;&gt;"",EDATE($D94,Milestones!$AA$180)&gt;=$S94),$V94,IF(AND($R94&lt;&gt;"",EDATE($D94,Milestones!$AA$180)&gt;=$R94),$U94,$T94)))=Milestones!$AB$180),TEXT(EDATE($D94,Milestones!$AA$180),"dd/mm/yy")&amp;" "&amp;Milestones!$AB$180&amp;" "&amp;Milestones!$AC$180&amp;";  ","")&amp;IF(AND(EDATE($D94,Milestones!$AA$181)&lt;=AsOfDate,IF($Q94=0,$W94,IF(AND($S94&lt;&gt;"",EDATE($D94,Milestones!$AA$181)&gt;=$S94),$V94,IF(AND($R94&lt;&gt;"",EDATE($D94,Milestones!$AA$181)&gt;=$R94),$U94,$T94)))=Milestones!$AB$181),TEXT(EDATE($D94,Milestones!$AA$181),"dd/mm/yy")&amp;" "&amp;Milestones!$AB$181&amp;" "&amp;Milestones!$AC$181&amp;";  ","")&amp;IF(AND(EDATE($D94,Milestones!$AA$182)&lt;=AsOfDate,IF($Q94=0,$W94,IF(AND($S94&lt;&gt;"",EDATE($D94,Milestones!$AA$182)&gt;=$S94),$V94,IF(AND($R94&lt;&gt;"",EDATE($D94,Milestones!$AA$182)&gt;=$R94),$U94,$T94)))=Milestones!$AB$182),TEXT(EDATE($D94,Milestones!$AA$182),"dd/mm/yy")&amp;" "&amp;Milestones!$AB$182&amp;" "&amp;Milestones!$AC$182&amp;";  ","")&amp;IF(AND(EDATE($D94,Milestones!$AA$183)&lt;=AsOfDate,IF($Q94=0,$W94,IF(AND($S94&lt;&gt;"",EDATE($D94,Milestones!$AA$183)&gt;=$S94),$V94,IF(AND($R94&lt;&gt;"",EDATE($D94,Milestones!$AA$183)&gt;=$R94),$U94,$T94)))=Milestones!$AB$183),TEXT(EDATE($D94,Milestones!$AA$183),"dd/mm/yy")&amp;" "&amp;Milestones!$AB$183&amp;" "&amp;Milestones!$AC$183&amp;";  ","")&amp;IF(AND(EDATE($D94,Milestones!$AA$184)&lt;=AsOfDate,IF($Q94=0,$W94,IF(AND($S94&lt;&gt;"",EDATE($D94,Milestones!$AA$184)&gt;=$S94),$V94,IF(AND($R94&lt;&gt;"",EDATE($D94,Milestones!$AA$184)&gt;=$R94),$U94,$T94)))=Milestones!$AB$184),TEXT(EDATE($D94,Milestones!$AA$184),"dd/mm/yy")&amp;" "&amp;Milestones!$AB$184&amp;" "&amp;Milestones!$AC$184&amp;";  ","")&amp;IF(AND(EDATE($D94,Milestones!$AA$185)&lt;=AsOfDate,IF($Q94=0,$W94,IF(AND($S94&lt;&gt;"",EDATE($D94,Milestones!$AA$185)&gt;=$S94),$V94,IF(AND($R94&lt;&gt;"",EDATE($D94,Milestones!$AA$185)&gt;=$R94),$U94,$T94)))=Milestones!$AB$185),TEXT(EDATE($D94,Milestones!$AA$185),"dd/mm/yy")&amp;" "&amp;Milestones!$AB$185&amp;" "&amp;Milestones!$AC$185&amp;";  ","")&amp;IF(AND(EDATE($D94,Milestones!$AA$186)&lt;=AsOfDate,IF($Q94=0,$W94,IF(AND($S94&lt;&gt;"",EDATE($D94,Milestones!$AA$186)&gt;=$S94),$V94,IF(AND($R94&lt;&gt;"",EDATE($D94,Milestones!$AA$186)&gt;=$R94),$U94,$T94)))=Milestones!$AB$186),TEXT(EDATE($D94,Milestones!$AA$186),"dd/mm/yy")&amp;" "&amp;Milestones!$AB$186&amp;" "&amp;Milestones!$AC$186&amp;";  ","")&amp;IF(AND(EDATE($D94,Milestones!$AA$187)&lt;=AsOfDate,IF($Q94=0,$W94,IF(AND($S94&lt;&gt;"",EDATE($D94,Milestones!$AA$187)&gt;=$S94),$V94,IF(AND($R94&lt;&gt;"",EDATE($D94,Milestones!$AA$187)&gt;=$R94),$U94,$T94)))=Milestones!$AB$187),TEXT(EDATE($D94,Milestones!$AA$187),"dd/mm/yy")&amp;" "&amp;Milestones!$AB$187&amp;" "&amp;Milestones!$AC$187&amp;";  ","")&amp;IF(AND(EDATE($D94,Milestones!$AA$188)&lt;=AsOfDate,IF($Q94=0,$W94,IF(AND($S94&lt;&gt;"",EDATE($D94,Milestones!$AA$188)&gt;=$S94),$V94,IF(AND($R94&lt;&gt;"",EDATE($D94,Milestones!$AA$188)&gt;=$R94),$U94,$T94)))=Milestones!$AB$188),TEXT(EDATE($D94,Milestones!$AA$188),"dd/mm/yy")&amp;" "&amp;Milestones!$AB$188&amp;" "&amp;Milestones!$AC$188&amp;";  ","")&amp;IF(AND(EDATE($D94,Milestones!$AA$189)&lt;=AsOfDate,IF($Q94=0,$W94,IF(AND($S94&lt;&gt;"",EDATE($D94,Milestones!$AA$189)&gt;=$S94),$V94,IF(AND($R94&lt;&gt;"",EDATE($D94,Milestones!$AA$189)&gt;=$R94),$U94,$T94)))=Milestones!$AB$189),TEXT(EDATE($D94,Milestones!$AA$189),"dd/mm/yy")&amp;" "&amp;Milestones!$AB$189&amp;" "&amp;Milestones!$AC$189&amp;";  ","")&amp;IF(AND(EDATE($D94,Milestones!$AA$190)&lt;=AsOfDate,IF($Q94=0,$W94,IF(AND($S94&lt;&gt;"",EDATE($D94,Milestones!$AA$190)&gt;=$S94),$V94,IF(AND($R94&lt;&gt;"",EDATE($D94,Milestones!$AA$190)&gt;=$R94),$U94,$T94)))=Milestones!$AB$190),TEXT(EDATE($D94,Milestones!$AA$190),"dd/mm/yy")&amp;" "&amp;Milestones!$AB$190&amp;" "&amp;Milestones!$AC$190&amp;";  ","")&amp;IF(AND(EDATE($D94,Milestones!$AA$191)&lt;=AsOfDate,IF($Q94=0,$W94,IF(AND($S94&lt;&gt;"",EDATE($D94,Milestones!$AA$191)&gt;=$S94),$V94,IF(AND($R94&lt;&gt;"",EDATE($D94,Milestones!$AA$191)&gt;=$R94),$U94,$T94)))=Milestones!$AB$191),TEXT(EDATE($D94,Milestones!$AA$191),"dd/mm/yy")&amp;" "&amp;Milestones!$AB$191&amp;" "&amp;Milestones!$AC$191&amp;";  ","")&amp;IF(AND(EDATE($D94,Milestones!$AA$192)&lt;=AsOfDate,IF($Q94=0,$W94,IF(AND($S94&lt;&gt;"",EDATE($D94,Milestones!$AA$192)&gt;=$S94),$V94,IF(AND($R94&lt;&gt;"",EDATE($D94,Milestones!$AA$192)&gt;=$R94),$U94,$T94)))=Milestones!$AB$192),TEXT(EDATE($D94,Milestones!$AA$192),"dd/mm/yy")&amp;" "&amp;Milestones!$AB$192&amp;" "&amp;Milestones!$AC$192&amp;";  ","")&amp;IF(AND(EDATE($D94,Milestones!$AA$193)&lt;=AsOfDate,IF($Q94=0,$W94,IF(AND($S94&lt;&gt;"",EDATE($D94,Milestones!$AA$193)&gt;=$S94),$V94,IF(AND($R94&lt;&gt;"",EDATE($D94,Milestones!$AA$193)&gt;=$R94),$U94,$T94)))=Milestones!$AB$193),TEXT(EDATE($D94,Milestones!$AA$193),"dd/mm/yy")&amp;" "&amp;Milestones!$AB$193&amp;" "&amp;Milestones!$AC$193&amp;";  ","")&amp;IF(AND(EDATE($D94,Milestones!$AA$194)&lt;=AsOfDate,IF($Q94=0,$W94,IF(AND($S94&lt;&gt;"",EDATE($D94,Milestones!$AA$194)&gt;=$S94),$V94,IF(AND($R94&lt;&gt;"",EDATE($D94,Milestones!$AA$194)&gt;=$R94),$U94,$T94)))=Milestones!$AB$194),TEXT(EDATE($D94,Milestones!$AA$194),"dd/mm/yy")&amp;" "&amp;Milestones!$AB$194&amp;" "&amp;Milestones!$AC$194&amp;";  ","")&amp;IF(AND(EDATE($D94,Milestones!$AA$195)&lt;=AsOfDate,IF($Q94=0,$W94,IF(AND($S94&lt;&gt;"",EDATE($D94,Milestones!$AA$195)&gt;=$S94),$V94,IF(AND($R94&lt;&gt;"",EDATE($D94,Milestones!$AA$195)&gt;=$R94),$U94,$T94)))=Milestones!$AB$195),TEXT(EDATE($D94,Milestones!$AA$195),"dd/mm/yy")&amp;" "&amp;Milestones!$AB$195&amp;" "&amp;Milestones!$AC$195&amp;";  ","")&amp;IF(AND(EDATE($D94,Milestones!$AA$196)&lt;=AsOfDate,IF($Q94=0,$W94,IF(AND($S94&lt;&gt;"",EDATE($D94,Milestones!$AA$196)&gt;=$S94),$V94,IF(AND($R94&lt;&gt;"",EDATE($D94,Milestones!$AA$196)&gt;=$R94),$U94,$T94)))=Milestones!$AB$196),TEXT(EDATE($D94,Milestones!$AA$196),"dd/mm/yy")&amp;" "&amp;Milestones!$AB$196&amp;" "&amp;Milestones!$AC$196&amp;";  ","")&amp;IF(AND(EDATE($D94,Milestones!$AA$197)&lt;=AsOfDate,IF($Q94=0,$W94,IF(AND($S94&lt;&gt;"",EDATE($D94,Milestones!$AA$197)&gt;=$S94),$V94,IF(AND($R94&lt;&gt;"",EDATE($D94,Milestones!$AA$197)&gt;=$R94),$U94,$T94)))=Milestones!$AB$197),TEXT(EDATE($D94,Milestones!$AA$197),"dd/mm/yy")&amp;" "&amp;Milestones!$AB$197&amp;" "&amp;Milestones!$AC$197&amp;";  ","")&amp;IF(AND(EDATE($D94,Milestones!$AA$198)&lt;=AsOfDate,IF($Q94=0,$W94,IF(AND($S94&lt;&gt;"",EDATE($D94,Milestones!$AA$198)&gt;=$S94),$V94,IF(AND($R94&lt;&gt;"",EDATE($D94,Milestones!$AA$198)&gt;=$R94),$U94,$T94)))=Milestones!$AB$198),TEXT(EDATE($D94,Milestones!$AA$198),"dd/mm/yy")&amp;" "&amp;Milestones!$AB$198&amp;" "&amp;Milestones!$AC$198&amp;";  ","")&amp;IF(AND(EDATE($D94,Milestones!$AA$199)&lt;=AsOfDate,IF($Q94=0,$W94,IF(AND($S94&lt;&gt;"",EDATE($D94,Milestones!$AA$199)&gt;=$S94),$V94,IF(AND($R94&lt;&gt;"",EDATE($D94,Milestones!$AA$199)&gt;=$R94),$U94,$T94)))=Milestones!$AB$199),TEXT(EDATE($D94,Milestones!$AA$199),"dd/mm/yy")&amp;" "&amp;Milestones!$AB$199&amp;" "&amp;Milestones!$AC$199&amp;";  ",""))</f>
        <v/>
      </c>
      <c r="Q94" s="0" t="str">
        <f aca="false">IF(Staff!$A94="","",Staff!$AG94)</f>
        <v/>
      </c>
      <c r="R94" s="0" t="str">
        <f aca="false">IF(Staff!$A94="","",Staff!$AI94)</f>
        <v/>
      </c>
      <c r="S94" s="0" t="str">
        <f aca="false">IF(Staff!$A94="","",Staff!$AJ94)</f>
        <v/>
      </c>
      <c r="T94" s="0" t="str">
        <f aca="false">IF(Staff!$A94="","",Staff!$AN94)</f>
        <v/>
      </c>
      <c r="U94" s="0" t="str">
        <f aca="false">IF(Staff!$A94="","",Staff!$AO94)</f>
        <v/>
      </c>
      <c r="V94" s="0" t="str">
        <f aca="false">IF(Staff!$A94="","",Staff!$AP94)</f>
        <v/>
      </c>
      <c r="W94" s="0" t="str">
        <f aca="false">IF(Staff!$A94="","",Staff!$AQ94)</f>
        <v/>
      </c>
    </row>
    <row r="95" customFormat="false" ht="15" hidden="false" customHeight="false" outlineLevel="0" collapsed="false">
      <c r="A95" s="13" t="str">
        <f aca="false">IF(Staff!$A95="","",Staff!$A95)</f>
        <v/>
      </c>
      <c r="B95" s="13" t="str">
        <f aca="false">IF(Staff!$A95="","",Staff!$B95)</f>
        <v/>
      </c>
      <c r="C95" s="13" t="str">
        <f aca="false">IF(Staff!$A95="","",Staff!$C95)</f>
        <v/>
      </c>
      <c r="D95" s="11" t="str">
        <f aca="false">IF(Staff!$A95="","",Staff!$AF95)</f>
        <v/>
      </c>
      <c r="E95" s="13" t="str">
        <f aca="false">IF(Staff!$A95="","",Staff!$O95)</f>
        <v/>
      </c>
      <c r="F95" s="13" t="str">
        <f aca="false">IF(E95="","",E95*HoursPerDay)</f>
        <v/>
      </c>
      <c r="G95" s="26" t="str">
        <f aca="false">IF($A95="","",H95&amp;I95&amp;J95&amp;K95&amp;L95&amp;M95&amp;N95&amp;O95&amp;P95)</f>
        <v/>
      </c>
      <c r="H95" s="0" t="str">
        <f aca="false">IF(OR($A95="",$D95=""),"",IF(AND(EDATE($D95,Milestones!$AA$20)&lt;=AsOfDate,IF($Q95=0,$W95,IF(AND($S95&lt;&gt;"",EDATE($D95,Milestones!$AA$20)&gt;=$S95),$V95,IF(AND($R95&lt;&gt;"",EDATE($D95,Milestones!$AA$20)&gt;=$R95),$U95,$T95)))=Milestones!$AB$20),TEXT(EDATE($D95,Milestones!$AA$20),"dd/mm/yy")&amp;" "&amp;Milestones!$AB$20&amp;" "&amp;Milestones!$AC$20&amp;";  ","")&amp;IF(AND(EDATE($D95,Milestones!$AA$21)&lt;=AsOfDate,IF($Q95=0,$W95,IF(AND($S95&lt;&gt;"",EDATE($D95,Milestones!$AA$21)&gt;=$S95),$V95,IF(AND($R95&lt;&gt;"",EDATE($D95,Milestones!$AA$21)&gt;=$R95),$U95,$T95)))=Milestones!$AB$21),TEXT(EDATE($D95,Milestones!$AA$21),"dd/mm/yy")&amp;" "&amp;Milestones!$AB$21&amp;" "&amp;Milestones!$AC$21&amp;";  ","")&amp;IF(AND(EDATE($D95,Milestones!$AA$22)&lt;=AsOfDate,IF($Q95=0,$W95,IF(AND($S95&lt;&gt;"",EDATE($D95,Milestones!$AA$22)&gt;=$S95),$V95,IF(AND($R95&lt;&gt;"",EDATE($D95,Milestones!$AA$22)&gt;=$R95),$U95,$T95)))=Milestones!$AB$22),TEXT(EDATE($D95,Milestones!$AA$22),"dd/mm/yy")&amp;" "&amp;Milestones!$AB$22&amp;" "&amp;Milestones!$AC$22&amp;";  ","")&amp;IF(AND(EDATE($D95,Milestones!$AA$23)&lt;=AsOfDate,IF($Q95=0,$W95,IF(AND($S95&lt;&gt;"",EDATE($D95,Milestones!$AA$23)&gt;=$S95),$V95,IF(AND($R95&lt;&gt;"",EDATE($D95,Milestones!$AA$23)&gt;=$R95),$U95,$T95)))=Milestones!$AB$23),TEXT(EDATE($D95,Milestones!$AA$23),"dd/mm/yy")&amp;" "&amp;Milestones!$AB$23&amp;" "&amp;Milestones!$AC$23&amp;";  ","")&amp;IF(AND(EDATE($D95,Milestones!$AA$24)&lt;=AsOfDate,IF($Q95=0,$W95,IF(AND($S95&lt;&gt;"",EDATE($D95,Milestones!$AA$24)&gt;=$S95),$V95,IF(AND($R95&lt;&gt;"",EDATE($D95,Milestones!$AA$24)&gt;=$R95),$U95,$T95)))=Milestones!$AB$24),TEXT(EDATE($D95,Milestones!$AA$24),"dd/mm/yy")&amp;" "&amp;Milestones!$AB$24&amp;" "&amp;Milestones!$AC$24&amp;";  ","")&amp;IF(AND(EDATE($D95,Milestones!$AA$25)&lt;=AsOfDate,IF($Q95=0,$W95,IF(AND($S95&lt;&gt;"",EDATE($D95,Milestones!$AA$25)&gt;=$S95),$V95,IF(AND($R95&lt;&gt;"",EDATE($D95,Milestones!$AA$25)&gt;=$R95),$U95,$T95)))=Milestones!$AB$25),TEXT(EDATE($D95,Milestones!$AA$25),"dd/mm/yy")&amp;" "&amp;Milestones!$AB$25&amp;" "&amp;Milestones!$AC$25&amp;";  ","")&amp;IF(AND(EDATE($D95,Milestones!$AA$26)&lt;=AsOfDate,IF($Q95=0,$W95,IF(AND($S95&lt;&gt;"",EDATE($D95,Milestones!$AA$26)&gt;=$S95),$V95,IF(AND($R95&lt;&gt;"",EDATE($D95,Milestones!$AA$26)&gt;=$R95),$U95,$T95)))=Milestones!$AB$26),TEXT(EDATE($D95,Milestones!$AA$26),"dd/mm/yy")&amp;" "&amp;Milestones!$AB$26&amp;" "&amp;Milestones!$AC$26&amp;";  ","")&amp;IF(AND(EDATE($D95,Milestones!$AA$27)&lt;=AsOfDate,IF($Q95=0,$W95,IF(AND($S95&lt;&gt;"",EDATE($D95,Milestones!$AA$27)&gt;=$S95),$V95,IF(AND($R95&lt;&gt;"",EDATE($D95,Milestones!$AA$27)&gt;=$R95),$U95,$T95)))=Milestones!$AB$27),TEXT(EDATE($D95,Milestones!$AA$27),"dd/mm/yy")&amp;" "&amp;Milestones!$AB$27&amp;" "&amp;Milestones!$AC$27&amp;";  ","")&amp;IF(AND(EDATE($D95,Milestones!$AA$28)&lt;=AsOfDate,IF($Q95=0,$W95,IF(AND($S95&lt;&gt;"",EDATE($D95,Milestones!$AA$28)&gt;=$S95),$V95,IF(AND($R95&lt;&gt;"",EDATE($D95,Milestones!$AA$28)&gt;=$R95),$U95,$T95)))=Milestones!$AB$28),TEXT(EDATE($D95,Milestones!$AA$28),"dd/mm/yy")&amp;" "&amp;Milestones!$AB$28&amp;" "&amp;Milestones!$AC$28&amp;";  ","")&amp;IF(AND(EDATE($D95,Milestones!$AA$29)&lt;=AsOfDate,IF($Q95=0,$W95,IF(AND($S95&lt;&gt;"",EDATE($D95,Milestones!$AA$29)&gt;=$S95),$V95,IF(AND($R95&lt;&gt;"",EDATE($D95,Milestones!$AA$29)&gt;=$R95),$U95,$T95)))=Milestones!$AB$29),TEXT(EDATE($D95,Milestones!$AA$29),"dd/mm/yy")&amp;" "&amp;Milestones!$AB$29&amp;" "&amp;Milestones!$AC$29&amp;";  ","")&amp;IF(AND(EDATE($D95,Milestones!$AA$30)&lt;=AsOfDate,IF($Q95=0,$W95,IF(AND($S95&lt;&gt;"",EDATE($D95,Milestones!$AA$30)&gt;=$S95),$V95,IF(AND($R95&lt;&gt;"",EDATE($D95,Milestones!$AA$30)&gt;=$R95),$U95,$T95)))=Milestones!$AB$30),TEXT(EDATE($D95,Milestones!$AA$30),"dd/mm/yy")&amp;" "&amp;Milestones!$AB$30&amp;" "&amp;Milestones!$AC$30&amp;";  ","")&amp;IF(AND(EDATE($D95,Milestones!$AA$31)&lt;=AsOfDate,IF($Q95=0,$W95,IF(AND($S95&lt;&gt;"",EDATE($D95,Milestones!$AA$31)&gt;=$S95),$V95,IF(AND($R95&lt;&gt;"",EDATE($D95,Milestones!$AA$31)&gt;=$R95),$U95,$T95)))=Milestones!$AB$31),TEXT(EDATE($D95,Milestones!$AA$31),"dd/mm/yy")&amp;" "&amp;Milestones!$AB$31&amp;" "&amp;Milestones!$AC$31&amp;";  ","")&amp;IF(AND(EDATE($D95,Milestones!$AA$32)&lt;=AsOfDate,IF($Q95=0,$W95,IF(AND($S95&lt;&gt;"",EDATE($D95,Milestones!$AA$32)&gt;=$S95),$V95,IF(AND($R95&lt;&gt;"",EDATE($D95,Milestones!$AA$32)&gt;=$R95),$U95,$T95)))=Milestones!$AB$32),TEXT(EDATE($D95,Milestones!$AA$32),"dd/mm/yy")&amp;" "&amp;Milestones!$AB$32&amp;" "&amp;Milestones!$AC$32&amp;";  ","")&amp;IF(AND(EDATE($D95,Milestones!$AA$33)&lt;=AsOfDate,IF($Q95=0,$W95,IF(AND($S95&lt;&gt;"",EDATE($D95,Milestones!$AA$33)&gt;=$S95),$V95,IF(AND($R95&lt;&gt;"",EDATE($D95,Milestones!$AA$33)&gt;=$R95),$U95,$T95)))=Milestones!$AB$33),TEXT(EDATE($D95,Milestones!$AA$33),"dd/mm/yy")&amp;" "&amp;Milestones!$AB$33&amp;" "&amp;Milestones!$AC$33&amp;";  ","")&amp;IF(AND(EDATE($D95,Milestones!$AA$34)&lt;=AsOfDate,IF($Q95=0,$W95,IF(AND($S95&lt;&gt;"",EDATE($D95,Milestones!$AA$34)&gt;=$S95),$V95,IF(AND($R95&lt;&gt;"",EDATE($D95,Milestones!$AA$34)&gt;=$R95),$U95,$T95)))=Milestones!$AB$34),TEXT(EDATE($D95,Milestones!$AA$34),"dd/mm/yy")&amp;" "&amp;Milestones!$AB$34&amp;" "&amp;Milestones!$AC$34&amp;";  ","")&amp;IF(AND(EDATE($D95,Milestones!$AA$35)&lt;=AsOfDate,IF($Q95=0,$W95,IF(AND($S95&lt;&gt;"",EDATE($D95,Milestones!$AA$35)&gt;=$S95),$V95,IF(AND($R95&lt;&gt;"",EDATE($D95,Milestones!$AA$35)&gt;=$R95),$U95,$T95)))=Milestones!$AB$35),TEXT(EDATE($D95,Milestones!$AA$35),"dd/mm/yy")&amp;" "&amp;Milestones!$AB$35&amp;" "&amp;Milestones!$AC$35&amp;";  ","")&amp;IF(AND(EDATE($D95,Milestones!$AA$36)&lt;=AsOfDate,IF($Q95=0,$W95,IF(AND($S95&lt;&gt;"",EDATE($D95,Milestones!$AA$36)&gt;=$S95),$V95,IF(AND($R95&lt;&gt;"",EDATE($D95,Milestones!$AA$36)&gt;=$R95),$U95,$T95)))=Milestones!$AB$36),TEXT(EDATE($D95,Milestones!$AA$36),"dd/mm/yy")&amp;" "&amp;Milestones!$AB$36&amp;" "&amp;Milestones!$AC$36&amp;";  ","")&amp;IF(AND(EDATE($D95,Milestones!$AA$37)&lt;=AsOfDate,IF($Q95=0,$W95,IF(AND($S95&lt;&gt;"",EDATE($D95,Milestones!$AA$37)&gt;=$S95),$V95,IF(AND($R95&lt;&gt;"",EDATE($D95,Milestones!$AA$37)&gt;=$R95),$U95,$T95)))=Milestones!$AB$37),TEXT(EDATE($D95,Milestones!$AA$37),"dd/mm/yy")&amp;" "&amp;Milestones!$AB$37&amp;" "&amp;Milestones!$AC$37&amp;";  ","")&amp;IF(AND(EDATE($D95,Milestones!$AA$38)&lt;=AsOfDate,IF($Q95=0,$W95,IF(AND($S95&lt;&gt;"",EDATE($D95,Milestones!$AA$38)&gt;=$S95),$V95,IF(AND($R95&lt;&gt;"",EDATE($D95,Milestones!$AA$38)&gt;=$R95),$U95,$T95)))=Milestones!$AB$38),TEXT(EDATE($D95,Milestones!$AA$38),"dd/mm/yy")&amp;" "&amp;Milestones!$AB$38&amp;" "&amp;Milestones!$AC$38&amp;";  ","")&amp;IF(AND(EDATE($D95,Milestones!$AA$39)&lt;=AsOfDate,IF($Q95=0,$W95,IF(AND($S95&lt;&gt;"",EDATE($D95,Milestones!$AA$39)&gt;=$S95),$V95,IF(AND($R95&lt;&gt;"",EDATE($D95,Milestones!$AA$39)&gt;=$R95),$U95,$T95)))=Milestones!$AB$39),TEXT(EDATE($D95,Milestones!$AA$39),"dd/mm/yy")&amp;" "&amp;Milestones!$AB$39&amp;" "&amp;Milestones!$AC$39&amp;";  ",""))</f>
        <v/>
      </c>
      <c r="I95" s="0" t="str">
        <f aca="false">IF(OR($A95="",$D95=""),"",IF(AND(EDATE($D95,Milestones!$AA$40)&lt;=AsOfDate,IF($Q95=0,$W95,IF(AND($S95&lt;&gt;"",EDATE($D95,Milestones!$AA$40)&gt;=$S95),$V95,IF(AND($R95&lt;&gt;"",EDATE($D95,Milestones!$AA$40)&gt;=$R95),$U95,$T95)))=Milestones!$AB$40),TEXT(EDATE($D95,Milestones!$AA$40),"dd/mm/yy")&amp;" "&amp;Milestones!$AB$40&amp;" "&amp;Milestones!$AC$40&amp;";  ","")&amp;IF(AND(EDATE($D95,Milestones!$AA$41)&lt;=AsOfDate,IF($Q95=0,$W95,IF(AND($S95&lt;&gt;"",EDATE($D95,Milestones!$AA$41)&gt;=$S95),$V95,IF(AND($R95&lt;&gt;"",EDATE($D95,Milestones!$AA$41)&gt;=$R95),$U95,$T95)))=Milestones!$AB$41),TEXT(EDATE($D95,Milestones!$AA$41),"dd/mm/yy")&amp;" "&amp;Milestones!$AB$41&amp;" "&amp;Milestones!$AC$41&amp;";  ","")&amp;IF(AND(EDATE($D95,Milestones!$AA$42)&lt;=AsOfDate,IF($Q95=0,$W95,IF(AND($S95&lt;&gt;"",EDATE($D95,Milestones!$AA$42)&gt;=$S95),$V95,IF(AND($R95&lt;&gt;"",EDATE($D95,Milestones!$AA$42)&gt;=$R95),$U95,$T95)))=Milestones!$AB$42),TEXT(EDATE($D95,Milestones!$AA$42),"dd/mm/yy")&amp;" "&amp;Milestones!$AB$42&amp;" "&amp;Milestones!$AC$42&amp;";  ","")&amp;IF(AND(EDATE($D95,Milestones!$AA$43)&lt;=AsOfDate,IF($Q95=0,$W95,IF(AND($S95&lt;&gt;"",EDATE($D95,Milestones!$AA$43)&gt;=$S95),$V95,IF(AND($R95&lt;&gt;"",EDATE($D95,Milestones!$AA$43)&gt;=$R95),$U95,$T95)))=Milestones!$AB$43),TEXT(EDATE($D95,Milestones!$AA$43),"dd/mm/yy")&amp;" "&amp;Milestones!$AB$43&amp;" "&amp;Milestones!$AC$43&amp;";  ","")&amp;IF(AND(EDATE($D95,Milestones!$AA$44)&lt;=AsOfDate,IF($Q95=0,$W95,IF(AND($S95&lt;&gt;"",EDATE($D95,Milestones!$AA$44)&gt;=$S95),$V95,IF(AND($R95&lt;&gt;"",EDATE($D95,Milestones!$AA$44)&gt;=$R95),$U95,$T95)))=Milestones!$AB$44),TEXT(EDATE($D95,Milestones!$AA$44),"dd/mm/yy")&amp;" "&amp;Milestones!$AB$44&amp;" "&amp;Milestones!$AC$44&amp;";  ","")&amp;IF(AND(EDATE($D95,Milestones!$AA$45)&lt;=AsOfDate,IF($Q95=0,$W95,IF(AND($S95&lt;&gt;"",EDATE($D95,Milestones!$AA$45)&gt;=$S95),$V95,IF(AND($R95&lt;&gt;"",EDATE($D95,Milestones!$AA$45)&gt;=$R95),$U95,$T95)))=Milestones!$AB$45),TEXT(EDATE($D95,Milestones!$AA$45),"dd/mm/yy")&amp;" "&amp;Milestones!$AB$45&amp;" "&amp;Milestones!$AC$45&amp;";  ","")&amp;IF(AND(EDATE($D95,Milestones!$AA$46)&lt;=AsOfDate,IF($Q95=0,$W95,IF(AND($S95&lt;&gt;"",EDATE($D95,Milestones!$AA$46)&gt;=$S95),$V95,IF(AND($R95&lt;&gt;"",EDATE($D95,Milestones!$AA$46)&gt;=$R95),$U95,$T95)))=Milestones!$AB$46),TEXT(EDATE($D95,Milestones!$AA$46),"dd/mm/yy")&amp;" "&amp;Milestones!$AB$46&amp;" "&amp;Milestones!$AC$46&amp;";  ","")&amp;IF(AND(EDATE($D95,Milestones!$AA$47)&lt;=AsOfDate,IF($Q95=0,$W95,IF(AND($S95&lt;&gt;"",EDATE($D95,Milestones!$AA$47)&gt;=$S95),$V95,IF(AND($R95&lt;&gt;"",EDATE($D95,Milestones!$AA$47)&gt;=$R95),$U95,$T95)))=Milestones!$AB$47),TEXT(EDATE($D95,Milestones!$AA$47),"dd/mm/yy")&amp;" "&amp;Milestones!$AB$47&amp;" "&amp;Milestones!$AC$47&amp;";  ","")&amp;IF(AND(EDATE($D95,Milestones!$AA$48)&lt;=AsOfDate,IF($Q95=0,$W95,IF(AND($S95&lt;&gt;"",EDATE($D95,Milestones!$AA$48)&gt;=$S95),$V95,IF(AND($R95&lt;&gt;"",EDATE($D95,Milestones!$AA$48)&gt;=$R95),$U95,$T95)))=Milestones!$AB$48),TEXT(EDATE($D95,Milestones!$AA$48),"dd/mm/yy")&amp;" "&amp;Milestones!$AB$48&amp;" "&amp;Milestones!$AC$48&amp;";  ","")&amp;IF(AND(EDATE($D95,Milestones!$AA$49)&lt;=AsOfDate,IF($Q95=0,$W95,IF(AND($S95&lt;&gt;"",EDATE($D95,Milestones!$AA$49)&gt;=$S95),$V95,IF(AND($R95&lt;&gt;"",EDATE($D95,Milestones!$AA$49)&gt;=$R95),$U95,$T95)))=Milestones!$AB$49),TEXT(EDATE($D95,Milestones!$AA$49),"dd/mm/yy")&amp;" "&amp;Milestones!$AB$49&amp;" "&amp;Milestones!$AC$49&amp;";  ","")&amp;IF(AND(EDATE($D95,Milestones!$AA$50)&lt;=AsOfDate,IF($Q95=0,$W95,IF(AND($S95&lt;&gt;"",EDATE($D95,Milestones!$AA$50)&gt;=$S95),$V95,IF(AND($R95&lt;&gt;"",EDATE($D95,Milestones!$AA$50)&gt;=$R95),$U95,$T95)))=Milestones!$AB$50),TEXT(EDATE($D95,Milestones!$AA$50),"dd/mm/yy")&amp;" "&amp;Milestones!$AB$50&amp;" "&amp;Milestones!$AC$50&amp;";  ","")&amp;IF(AND(EDATE($D95,Milestones!$AA$51)&lt;=AsOfDate,IF($Q95=0,$W95,IF(AND($S95&lt;&gt;"",EDATE($D95,Milestones!$AA$51)&gt;=$S95),$V95,IF(AND($R95&lt;&gt;"",EDATE($D95,Milestones!$AA$51)&gt;=$R95),$U95,$T95)))=Milestones!$AB$51),TEXT(EDATE($D95,Milestones!$AA$51),"dd/mm/yy")&amp;" "&amp;Milestones!$AB$51&amp;" "&amp;Milestones!$AC$51&amp;";  ","")&amp;IF(AND(EDATE($D95,Milestones!$AA$52)&lt;=AsOfDate,IF($Q95=0,$W95,IF(AND($S95&lt;&gt;"",EDATE($D95,Milestones!$AA$52)&gt;=$S95),$V95,IF(AND($R95&lt;&gt;"",EDATE($D95,Milestones!$AA$52)&gt;=$R95),$U95,$T95)))=Milestones!$AB$52),TEXT(EDATE($D95,Milestones!$AA$52),"dd/mm/yy")&amp;" "&amp;Milestones!$AB$52&amp;" "&amp;Milestones!$AC$52&amp;";  ","")&amp;IF(AND(EDATE($D95,Milestones!$AA$53)&lt;=AsOfDate,IF($Q95=0,$W95,IF(AND($S95&lt;&gt;"",EDATE($D95,Milestones!$AA$53)&gt;=$S95),$V95,IF(AND($R95&lt;&gt;"",EDATE($D95,Milestones!$AA$53)&gt;=$R95),$U95,$T95)))=Milestones!$AB$53),TEXT(EDATE($D95,Milestones!$AA$53),"dd/mm/yy")&amp;" "&amp;Milestones!$AB$53&amp;" "&amp;Milestones!$AC$53&amp;";  ","")&amp;IF(AND(EDATE($D95,Milestones!$AA$54)&lt;=AsOfDate,IF($Q95=0,$W95,IF(AND($S95&lt;&gt;"",EDATE($D95,Milestones!$AA$54)&gt;=$S95),$V95,IF(AND($R95&lt;&gt;"",EDATE($D95,Milestones!$AA$54)&gt;=$R95),$U95,$T95)))=Milestones!$AB$54),TEXT(EDATE($D95,Milestones!$AA$54),"dd/mm/yy")&amp;" "&amp;Milestones!$AB$54&amp;" "&amp;Milestones!$AC$54&amp;";  ","")&amp;IF(AND(EDATE($D95,Milestones!$AA$55)&lt;=AsOfDate,IF($Q95=0,$W95,IF(AND($S95&lt;&gt;"",EDATE($D95,Milestones!$AA$55)&gt;=$S95),$V95,IF(AND($R95&lt;&gt;"",EDATE($D95,Milestones!$AA$55)&gt;=$R95),$U95,$T95)))=Milestones!$AB$55),TEXT(EDATE($D95,Milestones!$AA$55),"dd/mm/yy")&amp;" "&amp;Milestones!$AB$55&amp;" "&amp;Milestones!$AC$55&amp;";  ","")&amp;IF(AND(EDATE($D95,Milestones!$AA$56)&lt;=AsOfDate,IF($Q95=0,$W95,IF(AND($S95&lt;&gt;"",EDATE($D95,Milestones!$AA$56)&gt;=$S95),$V95,IF(AND($R95&lt;&gt;"",EDATE($D95,Milestones!$AA$56)&gt;=$R95),$U95,$T95)))=Milestones!$AB$56),TEXT(EDATE($D95,Milestones!$AA$56),"dd/mm/yy")&amp;" "&amp;Milestones!$AB$56&amp;" "&amp;Milestones!$AC$56&amp;";  ","")&amp;IF(AND(EDATE($D95,Milestones!$AA$57)&lt;=AsOfDate,IF($Q95=0,$W95,IF(AND($S95&lt;&gt;"",EDATE($D95,Milestones!$AA$57)&gt;=$S95),$V95,IF(AND($R95&lt;&gt;"",EDATE($D95,Milestones!$AA$57)&gt;=$R95),$U95,$T95)))=Milestones!$AB$57),TEXT(EDATE($D95,Milestones!$AA$57),"dd/mm/yy")&amp;" "&amp;Milestones!$AB$57&amp;" "&amp;Milestones!$AC$57&amp;";  ","")&amp;IF(AND(EDATE($D95,Milestones!$AA$58)&lt;=AsOfDate,IF($Q95=0,$W95,IF(AND($S95&lt;&gt;"",EDATE($D95,Milestones!$AA$58)&gt;=$S95),$V95,IF(AND($R95&lt;&gt;"",EDATE($D95,Milestones!$AA$58)&gt;=$R95),$U95,$T95)))=Milestones!$AB$58),TEXT(EDATE($D95,Milestones!$AA$58),"dd/mm/yy")&amp;" "&amp;Milestones!$AB$58&amp;" "&amp;Milestones!$AC$58&amp;";  ","")&amp;IF(AND(EDATE($D95,Milestones!$AA$59)&lt;=AsOfDate,IF($Q95=0,$W95,IF(AND($S95&lt;&gt;"",EDATE($D95,Milestones!$AA$59)&gt;=$S95),$V95,IF(AND($R95&lt;&gt;"",EDATE($D95,Milestones!$AA$59)&gt;=$R95),$U95,$T95)))=Milestones!$AB$59),TEXT(EDATE($D95,Milestones!$AA$59),"dd/mm/yy")&amp;" "&amp;Milestones!$AB$59&amp;" "&amp;Milestones!$AC$59&amp;";  ",""))</f>
        <v/>
      </c>
      <c r="J95" s="0" t="str">
        <f aca="false">IF(OR($A95="",$D95=""),"",IF(AND(EDATE($D95,Milestones!$AA$60)&lt;=AsOfDate,IF($Q95=0,$W95,IF(AND($S95&lt;&gt;"",EDATE($D95,Milestones!$AA$60)&gt;=$S95),$V95,IF(AND($R95&lt;&gt;"",EDATE($D95,Milestones!$AA$60)&gt;=$R95),$U95,$T95)))=Milestones!$AB$60),TEXT(EDATE($D95,Milestones!$AA$60),"dd/mm/yy")&amp;" "&amp;Milestones!$AB$60&amp;" "&amp;Milestones!$AC$60&amp;";  ","")&amp;IF(AND(EDATE($D95,Milestones!$AA$61)&lt;=AsOfDate,IF($Q95=0,$W95,IF(AND($S95&lt;&gt;"",EDATE($D95,Milestones!$AA$61)&gt;=$S95),$V95,IF(AND($R95&lt;&gt;"",EDATE($D95,Milestones!$AA$61)&gt;=$R95),$U95,$T95)))=Milestones!$AB$61),TEXT(EDATE($D95,Milestones!$AA$61),"dd/mm/yy")&amp;" "&amp;Milestones!$AB$61&amp;" "&amp;Milestones!$AC$61&amp;";  ","")&amp;IF(AND(EDATE($D95,Milestones!$AA$62)&lt;=AsOfDate,IF($Q95=0,$W95,IF(AND($S95&lt;&gt;"",EDATE($D95,Milestones!$AA$62)&gt;=$S95),$V95,IF(AND($R95&lt;&gt;"",EDATE($D95,Milestones!$AA$62)&gt;=$R95),$U95,$T95)))=Milestones!$AB$62),TEXT(EDATE($D95,Milestones!$AA$62),"dd/mm/yy")&amp;" "&amp;Milestones!$AB$62&amp;" "&amp;Milestones!$AC$62&amp;";  ","")&amp;IF(AND(EDATE($D95,Milestones!$AA$63)&lt;=AsOfDate,IF($Q95=0,$W95,IF(AND($S95&lt;&gt;"",EDATE($D95,Milestones!$AA$63)&gt;=$S95),$V95,IF(AND($R95&lt;&gt;"",EDATE($D95,Milestones!$AA$63)&gt;=$R95),$U95,$T95)))=Milestones!$AB$63),TEXT(EDATE($D95,Milestones!$AA$63),"dd/mm/yy")&amp;" "&amp;Milestones!$AB$63&amp;" "&amp;Milestones!$AC$63&amp;";  ","")&amp;IF(AND(EDATE($D95,Milestones!$AA$64)&lt;=AsOfDate,IF($Q95=0,$W95,IF(AND($S95&lt;&gt;"",EDATE($D95,Milestones!$AA$64)&gt;=$S95),$V95,IF(AND($R95&lt;&gt;"",EDATE($D95,Milestones!$AA$64)&gt;=$R95),$U95,$T95)))=Milestones!$AB$64),TEXT(EDATE($D95,Milestones!$AA$64),"dd/mm/yy")&amp;" "&amp;Milestones!$AB$64&amp;" "&amp;Milestones!$AC$64&amp;";  ","")&amp;IF(AND(EDATE($D95,Milestones!$AA$65)&lt;=AsOfDate,IF($Q95=0,$W95,IF(AND($S95&lt;&gt;"",EDATE($D95,Milestones!$AA$65)&gt;=$S95),$V95,IF(AND($R95&lt;&gt;"",EDATE($D95,Milestones!$AA$65)&gt;=$R95),$U95,$T95)))=Milestones!$AB$65),TEXT(EDATE($D95,Milestones!$AA$65),"dd/mm/yy")&amp;" "&amp;Milestones!$AB$65&amp;" "&amp;Milestones!$AC$65&amp;";  ","")&amp;IF(AND(EDATE($D95,Milestones!$AA$66)&lt;=AsOfDate,IF($Q95=0,$W95,IF(AND($S95&lt;&gt;"",EDATE($D95,Milestones!$AA$66)&gt;=$S95),$V95,IF(AND($R95&lt;&gt;"",EDATE($D95,Milestones!$AA$66)&gt;=$R95),$U95,$T95)))=Milestones!$AB$66),TEXT(EDATE($D95,Milestones!$AA$66),"dd/mm/yy")&amp;" "&amp;Milestones!$AB$66&amp;" "&amp;Milestones!$AC$66&amp;";  ","")&amp;IF(AND(EDATE($D95,Milestones!$AA$67)&lt;=AsOfDate,IF($Q95=0,$W95,IF(AND($S95&lt;&gt;"",EDATE($D95,Milestones!$AA$67)&gt;=$S95),$V95,IF(AND($R95&lt;&gt;"",EDATE($D95,Milestones!$AA$67)&gt;=$R95),$U95,$T95)))=Milestones!$AB$67),TEXT(EDATE($D95,Milestones!$AA$67),"dd/mm/yy")&amp;" "&amp;Milestones!$AB$67&amp;" "&amp;Milestones!$AC$67&amp;";  ","")&amp;IF(AND(EDATE($D95,Milestones!$AA$68)&lt;=AsOfDate,IF($Q95=0,$W95,IF(AND($S95&lt;&gt;"",EDATE($D95,Milestones!$AA$68)&gt;=$S95),$V95,IF(AND($R95&lt;&gt;"",EDATE($D95,Milestones!$AA$68)&gt;=$R95),$U95,$T95)))=Milestones!$AB$68),TEXT(EDATE($D95,Milestones!$AA$68),"dd/mm/yy")&amp;" "&amp;Milestones!$AB$68&amp;" "&amp;Milestones!$AC$68&amp;";  ","")&amp;IF(AND(EDATE($D95,Milestones!$AA$69)&lt;=AsOfDate,IF($Q95=0,$W95,IF(AND($S95&lt;&gt;"",EDATE($D95,Milestones!$AA$69)&gt;=$S95),$V95,IF(AND($R95&lt;&gt;"",EDATE($D95,Milestones!$AA$69)&gt;=$R95),$U95,$T95)))=Milestones!$AB$69),TEXT(EDATE($D95,Milestones!$AA$69),"dd/mm/yy")&amp;" "&amp;Milestones!$AB$69&amp;" "&amp;Milestones!$AC$69&amp;";  ","")&amp;IF(AND(EDATE($D95,Milestones!$AA$70)&lt;=AsOfDate,IF($Q95=0,$W95,IF(AND($S95&lt;&gt;"",EDATE($D95,Milestones!$AA$70)&gt;=$S95),$V95,IF(AND($R95&lt;&gt;"",EDATE($D95,Milestones!$AA$70)&gt;=$R95),$U95,$T95)))=Milestones!$AB$70),TEXT(EDATE($D95,Milestones!$AA$70),"dd/mm/yy")&amp;" "&amp;Milestones!$AB$70&amp;" "&amp;Milestones!$AC$70&amp;";  ","")&amp;IF(AND(EDATE($D95,Milestones!$AA$71)&lt;=AsOfDate,IF($Q95=0,$W95,IF(AND($S95&lt;&gt;"",EDATE($D95,Milestones!$AA$71)&gt;=$S95),$V95,IF(AND($R95&lt;&gt;"",EDATE($D95,Milestones!$AA$71)&gt;=$R95),$U95,$T95)))=Milestones!$AB$71),TEXT(EDATE($D95,Milestones!$AA$71),"dd/mm/yy")&amp;" "&amp;Milestones!$AB$71&amp;" "&amp;Milestones!$AC$71&amp;";  ","")&amp;IF(AND(EDATE($D95,Milestones!$AA$72)&lt;=AsOfDate,IF($Q95=0,$W95,IF(AND($S95&lt;&gt;"",EDATE($D95,Milestones!$AA$72)&gt;=$S95),$V95,IF(AND($R95&lt;&gt;"",EDATE($D95,Milestones!$AA$72)&gt;=$R95),$U95,$T95)))=Milestones!$AB$72),TEXT(EDATE($D95,Milestones!$AA$72),"dd/mm/yy")&amp;" "&amp;Milestones!$AB$72&amp;" "&amp;Milestones!$AC$72&amp;";  ","")&amp;IF(AND(EDATE($D95,Milestones!$AA$73)&lt;=AsOfDate,IF($Q95=0,$W95,IF(AND($S95&lt;&gt;"",EDATE($D95,Milestones!$AA$73)&gt;=$S95),$V95,IF(AND($R95&lt;&gt;"",EDATE($D95,Milestones!$AA$73)&gt;=$R95),$U95,$T95)))=Milestones!$AB$73),TEXT(EDATE($D95,Milestones!$AA$73),"dd/mm/yy")&amp;" "&amp;Milestones!$AB$73&amp;" "&amp;Milestones!$AC$73&amp;";  ","")&amp;IF(AND(EDATE($D95,Milestones!$AA$74)&lt;=AsOfDate,IF($Q95=0,$W95,IF(AND($S95&lt;&gt;"",EDATE($D95,Milestones!$AA$74)&gt;=$S95),$V95,IF(AND($R95&lt;&gt;"",EDATE($D95,Milestones!$AA$74)&gt;=$R95),$U95,$T95)))=Milestones!$AB$74),TEXT(EDATE($D95,Milestones!$AA$74),"dd/mm/yy")&amp;" "&amp;Milestones!$AB$74&amp;" "&amp;Milestones!$AC$74&amp;";  ","")&amp;IF(AND(EDATE($D95,Milestones!$AA$75)&lt;=AsOfDate,IF($Q95=0,$W95,IF(AND($S95&lt;&gt;"",EDATE($D95,Milestones!$AA$75)&gt;=$S95),$V95,IF(AND($R95&lt;&gt;"",EDATE($D95,Milestones!$AA$75)&gt;=$R95),$U95,$T95)))=Milestones!$AB$75),TEXT(EDATE($D95,Milestones!$AA$75),"dd/mm/yy")&amp;" "&amp;Milestones!$AB$75&amp;" "&amp;Milestones!$AC$75&amp;";  ","")&amp;IF(AND(EDATE($D95,Milestones!$AA$76)&lt;=AsOfDate,IF($Q95=0,$W95,IF(AND($S95&lt;&gt;"",EDATE($D95,Milestones!$AA$76)&gt;=$S95),$V95,IF(AND($R95&lt;&gt;"",EDATE($D95,Milestones!$AA$76)&gt;=$R95),$U95,$T95)))=Milestones!$AB$76),TEXT(EDATE($D95,Milestones!$AA$76),"dd/mm/yy")&amp;" "&amp;Milestones!$AB$76&amp;" "&amp;Milestones!$AC$76&amp;";  ","")&amp;IF(AND(EDATE($D95,Milestones!$AA$77)&lt;=AsOfDate,IF($Q95=0,$W95,IF(AND($S95&lt;&gt;"",EDATE($D95,Milestones!$AA$77)&gt;=$S95),$V95,IF(AND($R95&lt;&gt;"",EDATE($D95,Milestones!$AA$77)&gt;=$R95),$U95,$T95)))=Milestones!$AB$77),TEXT(EDATE($D95,Milestones!$AA$77),"dd/mm/yy")&amp;" "&amp;Milestones!$AB$77&amp;" "&amp;Milestones!$AC$77&amp;";  ","")&amp;IF(AND(EDATE($D95,Milestones!$AA$78)&lt;=AsOfDate,IF($Q95=0,$W95,IF(AND($S95&lt;&gt;"",EDATE($D95,Milestones!$AA$78)&gt;=$S95),$V95,IF(AND($R95&lt;&gt;"",EDATE($D95,Milestones!$AA$78)&gt;=$R95),$U95,$T95)))=Milestones!$AB$78),TEXT(EDATE($D95,Milestones!$AA$78),"dd/mm/yy")&amp;" "&amp;Milestones!$AB$78&amp;" "&amp;Milestones!$AC$78&amp;";  ","")&amp;IF(AND(EDATE($D95,Milestones!$AA$79)&lt;=AsOfDate,IF($Q95=0,$W95,IF(AND($S95&lt;&gt;"",EDATE($D95,Milestones!$AA$79)&gt;=$S95),$V95,IF(AND($R95&lt;&gt;"",EDATE($D95,Milestones!$AA$79)&gt;=$R95),$U95,$T95)))=Milestones!$AB$79),TEXT(EDATE($D95,Milestones!$AA$79),"dd/mm/yy")&amp;" "&amp;Milestones!$AB$79&amp;" "&amp;Milestones!$AC$79&amp;";  ",""))</f>
        <v/>
      </c>
      <c r="K95" s="0" t="str">
        <f aca="false">IF(OR($A95="",$D95=""),"",IF(AND(EDATE($D95,Milestones!$AA$80)&lt;=AsOfDate,IF($Q95=0,$W95,IF(AND($S95&lt;&gt;"",EDATE($D95,Milestones!$AA$80)&gt;=$S95),$V95,IF(AND($R95&lt;&gt;"",EDATE($D95,Milestones!$AA$80)&gt;=$R95),$U95,$T95)))=Milestones!$AB$80),TEXT(EDATE($D95,Milestones!$AA$80),"dd/mm/yy")&amp;" "&amp;Milestones!$AB$80&amp;" "&amp;Milestones!$AC$80&amp;";  ","")&amp;IF(AND(EDATE($D95,Milestones!$AA$81)&lt;=AsOfDate,IF($Q95=0,$W95,IF(AND($S95&lt;&gt;"",EDATE($D95,Milestones!$AA$81)&gt;=$S95),$V95,IF(AND($R95&lt;&gt;"",EDATE($D95,Milestones!$AA$81)&gt;=$R95),$U95,$T95)))=Milestones!$AB$81),TEXT(EDATE($D95,Milestones!$AA$81),"dd/mm/yy")&amp;" "&amp;Milestones!$AB$81&amp;" "&amp;Milestones!$AC$81&amp;";  ","")&amp;IF(AND(EDATE($D95,Milestones!$AA$82)&lt;=AsOfDate,IF($Q95=0,$W95,IF(AND($S95&lt;&gt;"",EDATE($D95,Milestones!$AA$82)&gt;=$S95),$V95,IF(AND($R95&lt;&gt;"",EDATE($D95,Milestones!$AA$82)&gt;=$R95),$U95,$T95)))=Milestones!$AB$82),TEXT(EDATE($D95,Milestones!$AA$82),"dd/mm/yy")&amp;" "&amp;Milestones!$AB$82&amp;" "&amp;Milestones!$AC$82&amp;";  ","")&amp;IF(AND(EDATE($D95,Milestones!$AA$83)&lt;=AsOfDate,IF($Q95=0,$W95,IF(AND($S95&lt;&gt;"",EDATE($D95,Milestones!$AA$83)&gt;=$S95),$V95,IF(AND($R95&lt;&gt;"",EDATE($D95,Milestones!$AA$83)&gt;=$R95),$U95,$T95)))=Milestones!$AB$83),TEXT(EDATE($D95,Milestones!$AA$83),"dd/mm/yy")&amp;" "&amp;Milestones!$AB$83&amp;" "&amp;Milestones!$AC$83&amp;";  ","")&amp;IF(AND(EDATE($D95,Milestones!$AA$84)&lt;=AsOfDate,IF($Q95=0,$W95,IF(AND($S95&lt;&gt;"",EDATE($D95,Milestones!$AA$84)&gt;=$S95),$V95,IF(AND($R95&lt;&gt;"",EDATE($D95,Milestones!$AA$84)&gt;=$R95),$U95,$T95)))=Milestones!$AB$84),TEXT(EDATE($D95,Milestones!$AA$84),"dd/mm/yy")&amp;" "&amp;Milestones!$AB$84&amp;" "&amp;Milestones!$AC$84&amp;";  ","")&amp;IF(AND(EDATE($D95,Milestones!$AA$85)&lt;=AsOfDate,IF($Q95=0,$W95,IF(AND($S95&lt;&gt;"",EDATE($D95,Milestones!$AA$85)&gt;=$S95),$V95,IF(AND($R95&lt;&gt;"",EDATE($D95,Milestones!$AA$85)&gt;=$R95),$U95,$T95)))=Milestones!$AB$85),TEXT(EDATE($D95,Milestones!$AA$85),"dd/mm/yy")&amp;" "&amp;Milestones!$AB$85&amp;" "&amp;Milestones!$AC$85&amp;";  ","")&amp;IF(AND(EDATE($D95,Milestones!$AA$86)&lt;=AsOfDate,IF($Q95=0,$W95,IF(AND($S95&lt;&gt;"",EDATE($D95,Milestones!$AA$86)&gt;=$S95),$V95,IF(AND($R95&lt;&gt;"",EDATE($D95,Milestones!$AA$86)&gt;=$R95),$U95,$T95)))=Milestones!$AB$86),TEXT(EDATE($D95,Milestones!$AA$86),"dd/mm/yy")&amp;" "&amp;Milestones!$AB$86&amp;" "&amp;Milestones!$AC$86&amp;";  ","")&amp;IF(AND(EDATE($D95,Milestones!$AA$87)&lt;=AsOfDate,IF($Q95=0,$W95,IF(AND($S95&lt;&gt;"",EDATE($D95,Milestones!$AA$87)&gt;=$S95),$V95,IF(AND($R95&lt;&gt;"",EDATE($D95,Milestones!$AA$87)&gt;=$R95),$U95,$T95)))=Milestones!$AB$87),TEXT(EDATE($D95,Milestones!$AA$87),"dd/mm/yy")&amp;" "&amp;Milestones!$AB$87&amp;" "&amp;Milestones!$AC$87&amp;";  ","")&amp;IF(AND(EDATE($D95,Milestones!$AA$88)&lt;=AsOfDate,IF($Q95=0,$W95,IF(AND($S95&lt;&gt;"",EDATE($D95,Milestones!$AA$88)&gt;=$S95),$V95,IF(AND($R95&lt;&gt;"",EDATE($D95,Milestones!$AA$88)&gt;=$R95),$U95,$T95)))=Milestones!$AB$88),TEXT(EDATE($D95,Milestones!$AA$88),"dd/mm/yy")&amp;" "&amp;Milestones!$AB$88&amp;" "&amp;Milestones!$AC$88&amp;";  ","")&amp;IF(AND(EDATE($D95,Milestones!$AA$89)&lt;=AsOfDate,IF($Q95=0,$W95,IF(AND($S95&lt;&gt;"",EDATE($D95,Milestones!$AA$89)&gt;=$S95),$V95,IF(AND($R95&lt;&gt;"",EDATE($D95,Milestones!$AA$89)&gt;=$R95),$U95,$T95)))=Milestones!$AB$89),TEXT(EDATE($D95,Milestones!$AA$89),"dd/mm/yy")&amp;" "&amp;Milestones!$AB$89&amp;" "&amp;Milestones!$AC$89&amp;";  ","")&amp;IF(AND(EDATE($D95,Milestones!$AA$90)&lt;=AsOfDate,IF($Q95=0,$W95,IF(AND($S95&lt;&gt;"",EDATE($D95,Milestones!$AA$90)&gt;=$S95),$V95,IF(AND($R95&lt;&gt;"",EDATE($D95,Milestones!$AA$90)&gt;=$R95),$U95,$T95)))=Milestones!$AB$90),TEXT(EDATE($D95,Milestones!$AA$90),"dd/mm/yy")&amp;" "&amp;Milestones!$AB$90&amp;" "&amp;Milestones!$AC$90&amp;";  ","")&amp;IF(AND(EDATE($D95,Milestones!$AA$91)&lt;=AsOfDate,IF($Q95=0,$W95,IF(AND($S95&lt;&gt;"",EDATE($D95,Milestones!$AA$91)&gt;=$S95),$V95,IF(AND($R95&lt;&gt;"",EDATE($D95,Milestones!$AA$91)&gt;=$R95),$U95,$T95)))=Milestones!$AB$91),TEXT(EDATE($D95,Milestones!$AA$91),"dd/mm/yy")&amp;" "&amp;Milestones!$AB$91&amp;" "&amp;Milestones!$AC$91&amp;";  ","")&amp;IF(AND(EDATE($D95,Milestones!$AA$92)&lt;=AsOfDate,IF($Q95=0,$W95,IF(AND($S95&lt;&gt;"",EDATE($D95,Milestones!$AA$92)&gt;=$S95),$V95,IF(AND($R95&lt;&gt;"",EDATE($D95,Milestones!$AA$92)&gt;=$R95),$U95,$T95)))=Milestones!$AB$92),TEXT(EDATE($D95,Milestones!$AA$92),"dd/mm/yy")&amp;" "&amp;Milestones!$AB$92&amp;" "&amp;Milestones!$AC$92&amp;";  ","")&amp;IF(AND(EDATE($D95,Milestones!$AA$93)&lt;=AsOfDate,IF($Q95=0,$W95,IF(AND($S95&lt;&gt;"",EDATE($D95,Milestones!$AA$93)&gt;=$S95),$V95,IF(AND($R95&lt;&gt;"",EDATE($D95,Milestones!$AA$93)&gt;=$R95),$U95,$T95)))=Milestones!$AB$93),TEXT(EDATE($D95,Milestones!$AA$93),"dd/mm/yy")&amp;" "&amp;Milestones!$AB$93&amp;" "&amp;Milestones!$AC$93&amp;";  ","")&amp;IF(AND(EDATE($D95,Milestones!$AA$94)&lt;=AsOfDate,IF($Q95=0,$W95,IF(AND($S95&lt;&gt;"",EDATE($D95,Milestones!$AA$94)&gt;=$S95),$V95,IF(AND($R95&lt;&gt;"",EDATE($D95,Milestones!$AA$94)&gt;=$R95),$U95,$T95)))=Milestones!$AB$94),TEXT(EDATE($D95,Milestones!$AA$94),"dd/mm/yy")&amp;" "&amp;Milestones!$AB$94&amp;" "&amp;Milestones!$AC$94&amp;";  ","")&amp;IF(AND(EDATE($D95,Milestones!$AA$95)&lt;=AsOfDate,IF($Q95=0,$W95,IF(AND($S95&lt;&gt;"",EDATE($D95,Milestones!$AA$95)&gt;=$S95),$V95,IF(AND($R95&lt;&gt;"",EDATE($D95,Milestones!$AA$95)&gt;=$R95),$U95,$T95)))=Milestones!$AB$95),TEXT(EDATE($D95,Milestones!$AA$95),"dd/mm/yy")&amp;" "&amp;Milestones!$AB$95&amp;" "&amp;Milestones!$AC$95&amp;";  ","")&amp;IF(AND(EDATE($D95,Milestones!$AA$96)&lt;=AsOfDate,IF($Q95=0,$W95,IF(AND($S95&lt;&gt;"",EDATE($D95,Milestones!$AA$96)&gt;=$S95),$V95,IF(AND($R95&lt;&gt;"",EDATE($D95,Milestones!$AA$96)&gt;=$R95),$U95,$T95)))=Milestones!$AB$96),TEXT(EDATE($D95,Milestones!$AA$96),"dd/mm/yy")&amp;" "&amp;Milestones!$AB$96&amp;" "&amp;Milestones!$AC$96&amp;";  ","")&amp;IF(AND(EDATE($D95,Milestones!$AA$97)&lt;=AsOfDate,IF($Q95=0,$W95,IF(AND($S95&lt;&gt;"",EDATE($D95,Milestones!$AA$97)&gt;=$S95),$V95,IF(AND($R95&lt;&gt;"",EDATE($D95,Milestones!$AA$97)&gt;=$R95),$U95,$T95)))=Milestones!$AB$97),TEXT(EDATE($D95,Milestones!$AA$97),"dd/mm/yy")&amp;" "&amp;Milestones!$AB$97&amp;" "&amp;Milestones!$AC$97&amp;";  ","")&amp;IF(AND(EDATE($D95,Milestones!$AA$98)&lt;=AsOfDate,IF($Q95=0,$W95,IF(AND($S95&lt;&gt;"",EDATE($D95,Milestones!$AA$98)&gt;=$S95),$V95,IF(AND($R95&lt;&gt;"",EDATE($D95,Milestones!$AA$98)&gt;=$R95),$U95,$T95)))=Milestones!$AB$98),TEXT(EDATE($D95,Milestones!$AA$98),"dd/mm/yy")&amp;" "&amp;Milestones!$AB$98&amp;" "&amp;Milestones!$AC$98&amp;";  ","")&amp;IF(AND(EDATE($D95,Milestones!$AA$99)&lt;=AsOfDate,IF($Q95=0,$W95,IF(AND($S95&lt;&gt;"",EDATE($D95,Milestones!$AA$99)&gt;=$S95),$V95,IF(AND($R95&lt;&gt;"",EDATE($D95,Milestones!$AA$99)&gt;=$R95),$U95,$T95)))=Milestones!$AB$99),TEXT(EDATE($D95,Milestones!$AA$99),"dd/mm/yy")&amp;" "&amp;Milestones!$AB$99&amp;" "&amp;Milestones!$AC$99&amp;";  ",""))</f>
        <v/>
      </c>
      <c r="L95" s="0" t="str">
        <f aca="false">IF(OR($A95="",$D95=""),"",IF(AND(EDATE($D95,Milestones!$AA$100)&lt;=AsOfDate,IF($Q95=0,$W95,IF(AND($S95&lt;&gt;"",EDATE($D95,Milestones!$AA$100)&gt;=$S95),$V95,IF(AND($R95&lt;&gt;"",EDATE($D95,Milestones!$AA$100)&gt;=$R95),$U95,$T95)))=Milestones!$AB$100),TEXT(EDATE($D95,Milestones!$AA$100),"dd/mm/yy")&amp;" "&amp;Milestones!$AB$100&amp;" "&amp;Milestones!$AC$100&amp;";  ","")&amp;IF(AND(EDATE($D95,Milestones!$AA$101)&lt;=AsOfDate,IF($Q95=0,$W95,IF(AND($S95&lt;&gt;"",EDATE($D95,Milestones!$AA$101)&gt;=$S95),$V95,IF(AND($R95&lt;&gt;"",EDATE($D95,Milestones!$AA$101)&gt;=$R95),$U95,$T95)))=Milestones!$AB$101),TEXT(EDATE($D95,Milestones!$AA$101),"dd/mm/yy")&amp;" "&amp;Milestones!$AB$101&amp;" "&amp;Milestones!$AC$101&amp;";  ","")&amp;IF(AND(EDATE($D95,Milestones!$AA$102)&lt;=AsOfDate,IF($Q95=0,$W95,IF(AND($S95&lt;&gt;"",EDATE($D95,Milestones!$AA$102)&gt;=$S95),$V95,IF(AND($R95&lt;&gt;"",EDATE($D95,Milestones!$AA$102)&gt;=$R95),$U95,$T95)))=Milestones!$AB$102),TEXT(EDATE($D95,Milestones!$AA$102),"dd/mm/yy")&amp;" "&amp;Milestones!$AB$102&amp;" "&amp;Milestones!$AC$102&amp;";  ","")&amp;IF(AND(EDATE($D95,Milestones!$AA$103)&lt;=AsOfDate,IF($Q95=0,$W95,IF(AND($S95&lt;&gt;"",EDATE($D95,Milestones!$AA$103)&gt;=$S95),$V95,IF(AND($R95&lt;&gt;"",EDATE($D95,Milestones!$AA$103)&gt;=$R95),$U95,$T95)))=Milestones!$AB$103),TEXT(EDATE($D95,Milestones!$AA$103),"dd/mm/yy")&amp;" "&amp;Milestones!$AB$103&amp;" "&amp;Milestones!$AC$103&amp;";  ","")&amp;IF(AND(EDATE($D95,Milestones!$AA$104)&lt;=AsOfDate,IF($Q95=0,$W95,IF(AND($S95&lt;&gt;"",EDATE($D95,Milestones!$AA$104)&gt;=$S95),$V95,IF(AND($R95&lt;&gt;"",EDATE($D95,Milestones!$AA$104)&gt;=$R95),$U95,$T95)))=Milestones!$AB$104),TEXT(EDATE($D95,Milestones!$AA$104),"dd/mm/yy")&amp;" "&amp;Milestones!$AB$104&amp;" "&amp;Milestones!$AC$104&amp;";  ","")&amp;IF(AND(EDATE($D95,Milestones!$AA$105)&lt;=AsOfDate,IF($Q95=0,$W95,IF(AND($S95&lt;&gt;"",EDATE($D95,Milestones!$AA$105)&gt;=$S95),$V95,IF(AND($R95&lt;&gt;"",EDATE($D95,Milestones!$AA$105)&gt;=$R95),$U95,$T95)))=Milestones!$AB$105),TEXT(EDATE($D95,Milestones!$AA$105),"dd/mm/yy")&amp;" "&amp;Milestones!$AB$105&amp;" "&amp;Milestones!$AC$105&amp;";  ","")&amp;IF(AND(EDATE($D95,Milestones!$AA$106)&lt;=AsOfDate,IF($Q95=0,$W95,IF(AND($S95&lt;&gt;"",EDATE($D95,Milestones!$AA$106)&gt;=$S95),$V95,IF(AND($R95&lt;&gt;"",EDATE($D95,Milestones!$AA$106)&gt;=$R95),$U95,$T95)))=Milestones!$AB$106),TEXT(EDATE($D95,Milestones!$AA$106),"dd/mm/yy")&amp;" "&amp;Milestones!$AB$106&amp;" "&amp;Milestones!$AC$106&amp;";  ","")&amp;IF(AND(EDATE($D95,Milestones!$AA$107)&lt;=AsOfDate,IF($Q95=0,$W95,IF(AND($S95&lt;&gt;"",EDATE($D95,Milestones!$AA$107)&gt;=$S95),$V95,IF(AND($R95&lt;&gt;"",EDATE($D95,Milestones!$AA$107)&gt;=$R95),$U95,$T95)))=Milestones!$AB$107),TEXT(EDATE($D95,Milestones!$AA$107),"dd/mm/yy")&amp;" "&amp;Milestones!$AB$107&amp;" "&amp;Milestones!$AC$107&amp;";  ","")&amp;IF(AND(EDATE($D95,Milestones!$AA$108)&lt;=AsOfDate,IF($Q95=0,$W95,IF(AND($S95&lt;&gt;"",EDATE($D95,Milestones!$AA$108)&gt;=$S95),$V95,IF(AND($R95&lt;&gt;"",EDATE($D95,Milestones!$AA$108)&gt;=$R95),$U95,$T95)))=Milestones!$AB$108),TEXT(EDATE($D95,Milestones!$AA$108),"dd/mm/yy")&amp;" "&amp;Milestones!$AB$108&amp;" "&amp;Milestones!$AC$108&amp;";  ","")&amp;IF(AND(EDATE($D95,Milestones!$AA$109)&lt;=AsOfDate,IF($Q95=0,$W95,IF(AND($S95&lt;&gt;"",EDATE($D95,Milestones!$AA$109)&gt;=$S95),$V95,IF(AND($R95&lt;&gt;"",EDATE($D95,Milestones!$AA$109)&gt;=$R95),$U95,$T95)))=Milestones!$AB$109),TEXT(EDATE($D95,Milestones!$AA$109),"dd/mm/yy")&amp;" "&amp;Milestones!$AB$109&amp;" "&amp;Milestones!$AC$109&amp;";  ","")&amp;IF(AND(EDATE($D95,Milestones!$AA$110)&lt;=AsOfDate,IF($Q95=0,$W95,IF(AND($S95&lt;&gt;"",EDATE($D95,Milestones!$AA$110)&gt;=$S95),$V95,IF(AND($R95&lt;&gt;"",EDATE($D95,Milestones!$AA$110)&gt;=$R95),$U95,$T95)))=Milestones!$AB$110),TEXT(EDATE($D95,Milestones!$AA$110),"dd/mm/yy")&amp;" "&amp;Milestones!$AB$110&amp;" "&amp;Milestones!$AC$110&amp;";  ","")&amp;IF(AND(EDATE($D95,Milestones!$AA$111)&lt;=AsOfDate,IF($Q95=0,$W95,IF(AND($S95&lt;&gt;"",EDATE($D95,Milestones!$AA$111)&gt;=$S95),$V95,IF(AND($R95&lt;&gt;"",EDATE($D95,Milestones!$AA$111)&gt;=$R95),$U95,$T95)))=Milestones!$AB$111),TEXT(EDATE($D95,Milestones!$AA$111),"dd/mm/yy")&amp;" "&amp;Milestones!$AB$111&amp;" "&amp;Milestones!$AC$111&amp;";  ","")&amp;IF(AND(EDATE($D95,Milestones!$AA$112)&lt;=AsOfDate,IF($Q95=0,$W95,IF(AND($S95&lt;&gt;"",EDATE($D95,Milestones!$AA$112)&gt;=$S95),$V95,IF(AND($R95&lt;&gt;"",EDATE($D95,Milestones!$AA$112)&gt;=$R95),$U95,$T95)))=Milestones!$AB$112),TEXT(EDATE($D95,Milestones!$AA$112),"dd/mm/yy")&amp;" "&amp;Milestones!$AB$112&amp;" "&amp;Milestones!$AC$112&amp;";  ","")&amp;IF(AND(EDATE($D95,Milestones!$AA$113)&lt;=AsOfDate,IF($Q95=0,$W95,IF(AND($S95&lt;&gt;"",EDATE($D95,Milestones!$AA$113)&gt;=$S95),$V95,IF(AND($R95&lt;&gt;"",EDATE($D95,Milestones!$AA$113)&gt;=$R95),$U95,$T95)))=Milestones!$AB$113),TEXT(EDATE($D95,Milestones!$AA$113),"dd/mm/yy")&amp;" "&amp;Milestones!$AB$113&amp;" "&amp;Milestones!$AC$113&amp;";  ","")&amp;IF(AND(EDATE($D95,Milestones!$AA$114)&lt;=AsOfDate,IF($Q95=0,$W95,IF(AND($S95&lt;&gt;"",EDATE($D95,Milestones!$AA$114)&gt;=$S95),$V95,IF(AND($R95&lt;&gt;"",EDATE($D95,Milestones!$AA$114)&gt;=$R95),$U95,$T95)))=Milestones!$AB$114),TEXT(EDATE($D95,Milestones!$AA$114),"dd/mm/yy")&amp;" "&amp;Milestones!$AB$114&amp;" "&amp;Milestones!$AC$114&amp;";  ","")&amp;IF(AND(EDATE($D95,Milestones!$AA$115)&lt;=AsOfDate,IF($Q95=0,$W95,IF(AND($S95&lt;&gt;"",EDATE($D95,Milestones!$AA$115)&gt;=$S95),$V95,IF(AND($R95&lt;&gt;"",EDATE($D95,Milestones!$AA$115)&gt;=$R95),$U95,$T95)))=Milestones!$AB$115),TEXT(EDATE($D95,Milestones!$AA$115),"dd/mm/yy")&amp;" "&amp;Milestones!$AB$115&amp;" "&amp;Milestones!$AC$115&amp;";  ","")&amp;IF(AND(EDATE($D95,Milestones!$AA$116)&lt;=AsOfDate,IF($Q95=0,$W95,IF(AND($S95&lt;&gt;"",EDATE($D95,Milestones!$AA$116)&gt;=$S95),$V95,IF(AND($R95&lt;&gt;"",EDATE($D95,Milestones!$AA$116)&gt;=$R95),$U95,$T95)))=Milestones!$AB$116),TEXT(EDATE($D95,Milestones!$AA$116),"dd/mm/yy")&amp;" "&amp;Milestones!$AB$116&amp;" "&amp;Milestones!$AC$116&amp;";  ","")&amp;IF(AND(EDATE($D95,Milestones!$AA$117)&lt;=AsOfDate,IF($Q95=0,$W95,IF(AND($S95&lt;&gt;"",EDATE($D95,Milestones!$AA$117)&gt;=$S95),$V95,IF(AND($R95&lt;&gt;"",EDATE($D95,Milestones!$AA$117)&gt;=$R95),$U95,$T95)))=Milestones!$AB$117),TEXT(EDATE($D95,Milestones!$AA$117),"dd/mm/yy")&amp;" "&amp;Milestones!$AB$117&amp;" "&amp;Milestones!$AC$117&amp;";  ","")&amp;IF(AND(EDATE($D95,Milestones!$AA$118)&lt;=AsOfDate,IF($Q95=0,$W95,IF(AND($S95&lt;&gt;"",EDATE($D95,Milestones!$AA$118)&gt;=$S95),$V95,IF(AND($R95&lt;&gt;"",EDATE($D95,Milestones!$AA$118)&gt;=$R95),$U95,$T95)))=Milestones!$AB$118),TEXT(EDATE($D95,Milestones!$AA$118),"dd/mm/yy")&amp;" "&amp;Milestones!$AB$118&amp;" "&amp;Milestones!$AC$118&amp;";  ","")&amp;IF(AND(EDATE($D95,Milestones!$AA$119)&lt;=AsOfDate,IF($Q95=0,$W95,IF(AND($S95&lt;&gt;"",EDATE($D95,Milestones!$AA$119)&gt;=$S95),$V95,IF(AND($R95&lt;&gt;"",EDATE($D95,Milestones!$AA$119)&gt;=$R95),$U95,$T95)))=Milestones!$AB$119),TEXT(EDATE($D95,Milestones!$AA$119),"dd/mm/yy")&amp;" "&amp;Milestones!$AB$119&amp;" "&amp;Milestones!$AC$119&amp;";  ",""))</f>
        <v/>
      </c>
      <c r="M95" s="0" t="str">
        <f aca="false">IF(OR($A95="",$D95=""),"",IF(AND(EDATE($D95,Milestones!$AA$120)&lt;=AsOfDate,IF($Q95=0,$W95,IF(AND($S95&lt;&gt;"",EDATE($D95,Milestones!$AA$120)&gt;=$S95),$V95,IF(AND($R95&lt;&gt;"",EDATE($D95,Milestones!$AA$120)&gt;=$R95),$U95,$T95)))=Milestones!$AB$120),TEXT(EDATE($D95,Milestones!$AA$120),"dd/mm/yy")&amp;" "&amp;Milestones!$AB$120&amp;" "&amp;Milestones!$AC$120&amp;";  ","")&amp;IF(AND(EDATE($D95,Milestones!$AA$121)&lt;=AsOfDate,IF($Q95=0,$W95,IF(AND($S95&lt;&gt;"",EDATE($D95,Milestones!$AA$121)&gt;=$S95),$V95,IF(AND($R95&lt;&gt;"",EDATE($D95,Milestones!$AA$121)&gt;=$R95),$U95,$T95)))=Milestones!$AB$121),TEXT(EDATE($D95,Milestones!$AA$121),"dd/mm/yy")&amp;" "&amp;Milestones!$AB$121&amp;" "&amp;Milestones!$AC$121&amp;";  ","")&amp;IF(AND(EDATE($D95,Milestones!$AA$122)&lt;=AsOfDate,IF($Q95=0,$W95,IF(AND($S95&lt;&gt;"",EDATE($D95,Milestones!$AA$122)&gt;=$S95),$V95,IF(AND($R95&lt;&gt;"",EDATE($D95,Milestones!$AA$122)&gt;=$R95),$U95,$T95)))=Milestones!$AB$122),TEXT(EDATE($D95,Milestones!$AA$122),"dd/mm/yy")&amp;" "&amp;Milestones!$AB$122&amp;" "&amp;Milestones!$AC$122&amp;";  ","")&amp;IF(AND(EDATE($D95,Milestones!$AA$123)&lt;=AsOfDate,IF($Q95=0,$W95,IF(AND($S95&lt;&gt;"",EDATE($D95,Milestones!$AA$123)&gt;=$S95),$V95,IF(AND($R95&lt;&gt;"",EDATE($D95,Milestones!$AA$123)&gt;=$R95),$U95,$T95)))=Milestones!$AB$123),TEXT(EDATE($D95,Milestones!$AA$123),"dd/mm/yy")&amp;" "&amp;Milestones!$AB$123&amp;" "&amp;Milestones!$AC$123&amp;";  ","")&amp;IF(AND(EDATE($D95,Milestones!$AA$124)&lt;=AsOfDate,IF($Q95=0,$W95,IF(AND($S95&lt;&gt;"",EDATE($D95,Milestones!$AA$124)&gt;=$S95),$V95,IF(AND($R95&lt;&gt;"",EDATE($D95,Milestones!$AA$124)&gt;=$R95),$U95,$T95)))=Milestones!$AB$124),TEXT(EDATE($D95,Milestones!$AA$124),"dd/mm/yy")&amp;" "&amp;Milestones!$AB$124&amp;" "&amp;Milestones!$AC$124&amp;";  ","")&amp;IF(AND(EDATE($D95,Milestones!$AA$125)&lt;=AsOfDate,IF($Q95=0,$W95,IF(AND($S95&lt;&gt;"",EDATE($D95,Milestones!$AA$125)&gt;=$S95),$V95,IF(AND($R95&lt;&gt;"",EDATE($D95,Milestones!$AA$125)&gt;=$R95),$U95,$T95)))=Milestones!$AB$125),TEXT(EDATE($D95,Milestones!$AA$125),"dd/mm/yy")&amp;" "&amp;Milestones!$AB$125&amp;" "&amp;Milestones!$AC$125&amp;";  ","")&amp;IF(AND(EDATE($D95,Milestones!$AA$126)&lt;=AsOfDate,IF($Q95=0,$W95,IF(AND($S95&lt;&gt;"",EDATE($D95,Milestones!$AA$126)&gt;=$S95),$V95,IF(AND($R95&lt;&gt;"",EDATE($D95,Milestones!$AA$126)&gt;=$R95),$U95,$T95)))=Milestones!$AB$126),TEXT(EDATE($D95,Milestones!$AA$126),"dd/mm/yy")&amp;" "&amp;Milestones!$AB$126&amp;" "&amp;Milestones!$AC$126&amp;";  ","")&amp;IF(AND(EDATE($D95,Milestones!$AA$127)&lt;=AsOfDate,IF($Q95=0,$W95,IF(AND($S95&lt;&gt;"",EDATE($D95,Milestones!$AA$127)&gt;=$S95),$V95,IF(AND($R95&lt;&gt;"",EDATE($D95,Milestones!$AA$127)&gt;=$R95),$U95,$T95)))=Milestones!$AB$127),TEXT(EDATE($D95,Milestones!$AA$127),"dd/mm/yy")&amp;" "&amp;Milestones!$AB$127&amp;" "&amp;Milestones!$AC$127&amp;";  ","")&amp;IF(AND(EDATE($D95,Milestones!$AA$128)&lt;=AsOfDate,IF($Q95=0,$W95,IF(AND($S95&lt;&gt;"",EDATE($D95,Milestones!$AA$128)&gt;=$S95),$V95,IF(AND($R95&lt;&gt;"",EDATE($D95,Milestones!$AA$128)&gt;=$R95),$U95,$T95)))=Milestones!$AB$128),TEXT(EDATE($D95,Milestones!$AA$128),"dd/mm/yy")&amp;" "&amp;Milestones!$AB$128&amp;" "&amp;Milestones!$AC$128&amp;";  ","")&amp;IF(AND(EDATE($D95,Milestones!$AA$129)&lt;=AsOfDate,IF($Q95=0,$W95,IF(AND($S95&lt;&gt;"",EDATE($D95,Milestones!$AA$129)&gt;=$S95),$V95,IF(AND($R95&lt;&gt;"",EDATE($D95,Milestones!$AA$129)&gt;=$R95),$U95,$T95)))=Milestones!$AB$129),TEXT(EDATE($D95,Milestones!$AA$129),"dd/mm/yy")&amp;" "&amp;Milestones!$AB$129&amp;" "&amp;Milestones!$AC$129&amp;";  ","")&amp;IF(AND(EDATE($D95,Milestones!$AA$130)&lt;=AsOfDate,IF($Q95=0,$W95,IF(AND($S95&lt;&gt;"",EDATE($D95,Milestones!$AA$130)&gt;=$S95),$V95,IF(AND($R95&lt;&gt;"",EDATE($D95,Milestones!$AA$130)&gt;=$R95),$U95,$T95)))=Milestones!$AB$130),TEXT(EDATE($D95,Milestones!$AA$130),"dd/mm/yy")&amp;" "&amp;Milestones!$AB$130&amp;" "&amp;Milestones!$AC$130&amp;";  ","")&amp;IF(AND(EDATE($D95,Milestones!$AA$131)&lt;=AsOfDate,IF($Q95=0,$W95,IF(AND($S95&lt;&gt;"",EDATE($D95,Milestones!$AA$131)&gt;=$S95),$V95,IF(AND($R95&lt;&gt;"",EDATE($D95,Milestones!$AA$131)&gt;=$R95),$U95,$T95)))=Milestones!$AB$131),TEXT(EDATE($D95,Milestones!$AA$131),"dd/mm/yy")&amp;" "&amp;Milestones!$AB$131&amp;" "&amp;Milestones!$AC$131&amp;";  ","")&amp;IF(AND(EDATE($D95,Milestones!$AA$132)&lt;=AsOfDate,IF($Q95=0,$W95,IF(AND($S95&lt;&gt;"",EDATE($D95,Milestones!$AA$132)&gt;=$S95),$V95,IF(AND($R95&lt;&gt;"",EDATE($D95,Milestones!$AA$132)&gt;=$R95),$U95,$T95)))=Milestones!$AB$132),TEXT(EDATE($D95,Milestones!$AA$132),"dd/mm/yy")&amp;" "&amp;Milestones!$AB$132&amp;" "&amp;Milestones!$AC$132&amp;";  ","")&amp;IF(AND(EDATE($D95,Milestones!$AA$133)&lt;=AsOfDate,IF($Q95=0,$W95,IF(AND($S95&lt;&gt;"",EDATE($D95,Milestones!$AA$133)&gt;=$S95),$V95,IF(AND($R95&lt;&gt;"",EDATE($D95,Milestones!$AA$133)&gt;=$R95),$U95,$T95)))=Milestones!$AB$133),TEXT(EDATE($D95,Milestones!$AA$133),"dd/mm/yy")&amp;" "&amp;Milestones!$AB$133&amp;" "&amp;Milestones!$AC$133&amp;";  ","")&amp;IF(AND(EDATE($D95,Milestones!$AA$134)&lt;=AsOfDate,IF($Q95=0,$W95,IF(AND($S95&lt;&gt;"",EDATE($D95,Milestones!$AA$134)&gt;=$S95),$V95,IF(AND($R95&lt;&gt;"",EDATE($D95,Milestones!$AA$134)&gt;=$R95),$U95,$T95)))=Milestones!$AB$134),TEXT(EDATE($D95,Milestones!$AA$134),"dd/mm/yy")&amp;" "&amp;Milestones!$AB$134&amp;" "&amp;Milestones!$AC$134&amp;";  ","")&amp;IF(AND(EDATE($D95,Milestones!$AA$135)&lt;=AsOfDate,IF($Q95=0,$W95,IF(AND($S95&lt;&gt;"",EDATE($D95,Milestones!$AA$135)&gt;=$S95),$V95,IF(AND($R95&lt;&gt;"",EDATE($D95,Milestones!$AA$135)&gt;=$R95),$U95,$T95)))=Milestones!$AB$135),TEXT(EDATE($D95,Milestones!$AA$135),"dd/mm/yy")&amp;" "&amp;Milestones!$AB$135&amp;" "&amp;Milestones!$AC$135&amp;";  ","")&amp;IF(AND(EDATE($D95,Milestones!$AA$136)&lt;=AsOfDate,IF($Q95=0,$W95,IF(AND($S95&lt;&gt;"",EDATE($D95,Milestones!$AA$136)&gt;=$S95),$V95,IF(AND($R95&lt;&gt;"",EDATE($D95,Milestones!$AA$136)&gt;=$R95),$U95,$T95)))=Milestones!$AB$136),TEXT(EDATE($D95,Milestones!$AA$136),"dd/mm/yy")&amp;" "&amp;Milestones!$AB$136&amp;" "&amp;Milestones!$AC$136&amp;";  ","")&amp;IF(AND(EDATE($D95,Milestones!$AA$137)&lt;=AsOfDate,IF($Q95=0,$W95,IF(AND($S95&lt;&gt;"",EDATE($D95,Milestones!$AA$137)&gt;=$S95),$V95,IF(AND($R95&lt;&gt;"",EDATE($D95,Milestones!$AA$137)&gt;=$R95),$U95,$T95)))=Milestones!$AB$137),TEXT(EDATE($D95,Milestones!$AA$137),"dd/mm/yy")&amp;" "&amp;Milestones!$AB$137&amp;" "&amp;Milestones!$AC$137&amp;";  ","")&amp;IF(AND(EDATE($D95,Milestones!$AA$138)&lt;=AsOfDate,IF($Q95=0,$W95,IF(AND($S95&lt;&gt;"",EDATE($D95,Milestones!$AA$138)&gt;=$S95),$V95,IF(AND($R95&lt;&gt;"",EDATE($D95,Milestones!$AA$138)&gt;=$R95),$U95,$T95)))=Milestones!$AB$138),TEXT(EDATE($D95,Milestones!$AA$138),"dd/mm/yy")&amp;" "&amp;Milestones!$AB$138&amp;" "&amp;Milestones!$AC$138&amp;";  ","")&amp;IF(AND(EDATE($D95,Milestones!$AA$139)&lt;=AsOfDate,IF($Q95=0,$W95,IF(AND($S95&lt;&gt;"",EDATE($D95,Milestones!$AA$139)&gt;=$S95),$V95,IF(AND($R95&lt;&gt;"",EDATE($D95,Milestones!$AA$139)&gt;=$R95),$U95,$T95)))=Milestones!$AB$139),TEXT(EDATE($D95,Milestones!$AA$139),"dd/mm/yy")&amp;" "&amp;Milestones!$AB$139&amp;" "&amp;Milestones!$AC$139&amp;";  ",""))</f>
        <v/>
      </c>
      <c r="N95" s="0" t="str">
        <f aca="false">IF(OR($A95="",$D95=""),"",IF(AND(EDATE($D95,Milestones!$AA$140)&lt;=AsOfDate,IF($Q95=0,$W95,IF(AND($S95&lt;&gt;"",EDATE($D95,Milestones!$AA$140)&gt;=$S95),$V95,IF(AND($R95&lt;&gt;"",EDATE($D95,Milestones!$AA$140)&gt;=$R95),$U95,$T95)))=Milestones!$AB$140),TEXT(EDATE($D95,Milestones!$AA$140),"dd/mm/yy")&amp;" "&amp;Milestones!$AB$140&amp;" "&amp;Milestones!$AC$140&amp;";  ","")&amp;IF(AND(EDATE($D95,Milestones!$AA$141)&lt;=AsOfDate,IF($Q95=0,$W95,IF(AND($S95&lt;&gt;"",EDATE($D95,Milestones!$AA$141)&gt;=$S95),$V95,IF(AND($R95&lt;&gt;"",EDATE($D95,Milestones!$AA$141)&gt;=$R95),$U95,$T95)))=Milestones!$AB$141),TEXT(EDATE($D95,Milestones!$AA$141),"dd/mm/yy")&amp;" "&amp;Milestones!$AB$141&amp;" "&amp;Milestones!$AC$141&amp;";  ","")&amp;IF(AND(EDATE($D95,Milestones!$AA$142)&lt;=AsOfDate,IF($Q95=0,$W95,IF(AND($S95&lt;&gt;"",EDATE($D95,Milestones!$AA$142)&gt;=$S95),$V95,IF(AND($R95&lt;&gt;"",EDATE($D95,Milestones!$AA$142)&gt;=$R95),$U95,$T95)))=Milestones!$AB$142),TEXT(EDATE($D95,Milestones!$AA$142),"dd/mm/yy")&amp;" "&amp;Milestones!$AB$142&amp;" "&amp;Milestones!$AC$142&amp;";  ","")&amp;IF(AND(EDATE($D95,Milestones!$AA$143)&lt;=AsOfDate,IF($Q95=0,$W95,IF(AND($S95&lt;&gt;"",EDATE($D95,Milestones!$AA$143)&gt;=$S95),$V95,IF(AND($R95&lt;&gt;"",EDATE($D95,Milestones!$AA$143)&gt;=$R95),$U95,$T95)))=Milestones!$AB$143),TEXT(EDATE($D95,Milestones!$AA$143),"dd/mm/yy")&amp;" "&amp;Milestones!$AB$143&amp;" "&amp;Milestones!$AC$143&amp;";  ","")&amp;IF(AND(EDATE($D95,Milestones!$AA$144)&lt;=AsOfDate,IF($Q95=0,$W95,IF(AND($S95&lt;&gt;"",EDATE($D95,Milestones!$AA$144)&gt;=$S95),$V95,IF(AND($R95&lt;&gt;"",EDATE($D95,Milestones!$AA$144)&gt;=$R95),$U95,$T95)))=Milestones!$AB$144),TEXT(EDATE($D95,Milestones!$AA$144),"dd/mm/yy")&amp;" "&amp;Milestones!$AB$144&amp;" "&amp;Milestones!$AC$144&amp;";  ","")&amp;IF(AND(EDATE($D95,Milestones!$AA$145)&lt;=AsOfDate,IF($Q95=0,$W95,IF(AND($S95&lt;&gt;"",EDATE($D95,Milestones!$AA$145)&gt;=$S95),$V95,IF(AND($R95&lt;&gt;"",EDATE($D95,Milestones!$AA$145)&gt;=$R95),$U95,$T95)))=Milestones!$AB$145),TEXT(EDATE($D95,Milestones!$AA$145),"dd/mm/yy")&amp;" "&amp;Milestones!$AB$145&amp;" "&amp;Milestones!$AC$145&amp;";  ","")&amp;IF(AND(EDATE($D95,Milestones!$AA$146)&lt;=AsOfDate,IF($Q95=0,$W95,IF(AND($S95&lt;&gt;"",EDATE($D95,Milestones!$AA$146)&gt;=$S95),$V95,IF(AND($R95&lt;&gt;"",EDATE($D95,Milestones!$AA$146)&gt;=$R95),$U95,$T95)))=Milestones!$AB$146),TEXT(EDATE($D95,Milestones!$AA$146),"dd/mm/yy")&amp;" "&amp;Milestones!$AB$146&amp;" "&amp;Milestones!$AC$146&amp;";  ","")&amp;IF(AND(EDATE($D95,Milestones!$AA$147)&lt;=AsOfDate,IF($Q95=0,$W95,IF(AND($S95&lt;&gt;"",EDATE($D95,Milestones!$AA$147)&gt;=$S95),$V95,IF(AND($R95&lt;&gt;"",EDATE($D95,Milestones!$AA$147)&gt;=$R95),$U95,$T95)))=Milestones!$AB$147),TEXT(EDATE($D95,Milestones!$AA$147),"dd/mm/yy")&amp;" "&amp;Milestones!$AB$147&amp;" "&amp;Milestones!$AC$147&amp;";  ","")&amp;IF(AND(EDATE($D95,Milestones!$AA$148)&lt;=AsOfDate,IF($Q95=0,$W95,IF(AND($S95&lt;&gt;"",EDATE($D95,Milestones!$AA$148)&gt;=$S95),$V95,IF(AND($R95&lt;&gt;"",EDATE($D95,Milestones!$AA$148)&gt;=$R95),$U95,$T95)))=Milestones!$AB$148),TEXT(EDATE($D95,Milestones!$AA$148),"dd/mm/yy")&amp;" "&amp;Milestones!$AB$148&amp;" "&amp;Milestones!$AC$148&amp;";  ","")&amp;IF(AND(EDATE($D95,Milestones!$AA$149)&lt;=AsOfDate,IF($Q95=0,$W95,IF(AND($S95&lt;&gt;"",EDATE($D95,Milestones!$AA$149)&gt;=$S95),$V95,IF(AND($R95&lt;&gt;"",EDATE($D95,Milestones!$AA$149)&gt;=$R95),$U95,$T95)))=Milestones!$AB$149),TEXT(EDATE($D95,Milestones!$AA$149),"dd/mm/yy")&amp;" "&amp;Milestones!$AB$149&amp;" "&amp;Milestones!$AC$149&amp;";  ","")&amp;IF(AND(EDATE($D95,Milestones!$AA$150)&lt;=AsOfDate,IF($Q95=0,$W95,IF(AND($S95&lt;&gt;"",EDATE($D95,Milestones!$AA$150)&gt;=$S95),$V95,IF(AND($R95&lt;&gt;"",EDATE($D95,Milestones!$AA$150)&gt;=$R95),$U95,$T95)))=Milestones!$AB$150),TEXT(EDATE($D95,Milestones!$AA$150),"dd/mm/yy")&amp;" "&amp;Milestones!$AB$150&amp;" "&amp;Milestones!$AC$150&amp;";  ","")&amp;IF(AND(EDATE($D95,Milestones!$AA$151)&lt;=AsOfDate,IF($Q95=0,$W95,IF(AND($S95&lt;&gt;"",EDATE($D95,Milestones!$AA$151)&gt;=$S95),$V95,IF(AND($R95&lt;&gt;"",EDATE($D95,Milestones!$AA$151)&gt;=$R95),$U95,$T95)))=Milestones!$AB$151),TEXT(EDATE($D95,Milestones!$AA$151),"dd/mm/yy")&amp;" "&amp;Milestones!$AB$151&amp;" "&amp;Milestones!$AC$151&amp;";  ","")&amp;IF(AND(EDATE($D95,Milestones!$AA$152)&lt;=AsOfDate,IF($Q95=0,$W95,IF(AND($S95&lt;&gt;"",EDATE($D95,Milestones!$AA$152)&gt;=$S95),$V95,IF(AND($R95&lt;&gt;"",EDATE($D95,Milestones!$AA$152)&gt;=$R95),$U95,$T95)))=Milestones!$AB$152),TEXT(EDATE($D95,Milestones!$AA$152),"dd/mm/yy")&amp;" "&amp;Milestones!$AB$152&amp;" "&amp;Milestones!$AC$152&amp;";  ","")&amp;IF(AND(EDATE($D95,Milestones!$AA$153)&lt;=AsOfDate,IF($Q95=0,$W95,IF(AND($S95&lt;&gt;"",EDATE($D95,Milestones!$AA$153)&gt;=$S95),$V95,IF(AND($R95&lt;&gt;"",EDATE($D95,Milestones!$AA$153)&gt;=$R95),$U95,$T95)))=Milestones!$AB$153),TEXT(EDATE($D95,Milestones!$AA$153),"dd/mm/yy")&amp;" "&amp;Milestones!$AB$153&amp;" "&amp;Milestones!$AC$153&amp;";  ","")&amp;IF(AND(EDATE($D95,Milestones!$AA$154)&lt;=AsOfDate,IF($Q95=0,$W95,IF(AND($S95&lt;&gt;"",EDATE($D95,Milestones!$AA$154)&gt;=$S95),$V95,IF(AND($R95&lt;&gt;"",EDATE($D95,Milestones!$AA$154)&gt;=$R95),$U95,$T95)))=Milestones!$AB$154),TEXT(EDATE($D95,Milestones!$AA$154),"dd/mm/yy")&amp;" "&amp;Milestones!$AB$154&amp;" "&amp;Milestones!$AC$154&amp;";  ","")&amp;IF(AND(EDATE($D95,Milestones!$AA$155)&lt;=AsOfDate,IF($Q95=0,$W95,IF(AND($S95&lt;&gt;"",EDATE($D95,Milestones!$AA$155)&gt;=$S95),$V95,IF(AND($R95&lt;&gt;"",EDATE($D95,Milestones!$AA$155)&gt;=$R95),$U95,$T95)))=Milestones!$AB$155),TEXT(EDATE($D95,Milestones!$AA$155),"dd/mm/yy")&amp;" "&amp;Milestones!$AB$155&amp;" "&amp;Milestones!$AC$155&amp;";  ","")&amp;IF(AND(EDATE($D95,Milestones!$AA$156)&lt;=AsOfDate,IF($Q95=0,$W95,IF(AND($S95&lt;&gt;"",EDATE($D95,Milestones!$AA$156)&gt;=$S95),$V95,IF(AND($R95&lt;&gt;"",EDATE($D95,Milestones!$AA$156)&gt;=$R95),$U95,$T95)))=Milestones!$AB$156),TEXT(EDATE($D95,Milestones!$AA$156),"dd/mm/yy")&amp;" "&amp;Milestones!$AB$156&amp;" "&amp;Milestones!$AC$156&amp;";  ","")&amp;IF(AND(EDATE($D95,Milestones!$AA$157)&lt;=AsOfDate,IF($Q95=0,$W95,IF(AND($S95&lt;&gt;"",EDATE($D95,Milestones!$AA$157)&gt;=$S95),$V95,IF(AND($R95&lt;&gt;"",EDATE($D95,Milestones!$AA$157)&gt;=$R95),$U95,$T95)))=Milestones!$AB$157),TEXT(EDATE($D95,Milestones!$AA$157),"dd/mm/yy")&amp;" "&amp;Milestones!$AB$157&amp;" "&amp;Milestones!$AC$157&amp;";  ","")&amp;IF(AND(EDATE($D95,Milestones!$AA$158)&lt;=AsOfDate,IF($Q95=0,$W95,IF(AND($S95&lt;&gt;"",EDATE($D95,Milestones!$AA$158)&gt;=$S95),$V95,IF(AND($R95&lt;&gt;"",EDATE($D95,Milestones!$AA$158)&gt;=$R95),$U95,$T95)))=Milestones!$AB$158),TEXT(EDATE($D95,Milestones!$AA$158),"dd/mm/yy")&amp;" "&amp;Milestones!$AB$158&amp;" "&amp;Milestones!$AC$158&amp;";  ","")&amp;IF(AND(EDATE($D95,Milestones!$AA$159)&lt;=AsOfDate,IF($Q95=0,$W95,IF(AND($S95&lt;&gt;"",EDATE($D95,Milestones!$AA$159)&gt;=$S95),$V95,IF(AND($R95&lt;&gt;"",EDATE($D95,Milestones!$AA$159)&gt;=$R95),$U95,$T95)))=Milestones!$AB$159),TEXT(EDATE($D95,Milestones!$AA$159),"dd/mm/yy")&amp;" "&amp;Milestones!$AB$159&amp;" "&amp;Milestones!$AC$159&amp;";  ",""))</f>
        <v/>
      </c>
      <c r="O95" s="0" t="str">
        <f aca="false">IF(OR($A95="",$D95=""),"",IF(AND(EDATE($D95,Milestones!$AA$160)&lt;=AsOfDate,IF($Q95=0,$W95,IF(AND($S95&lt;&gt;"",EDATE($D95,Milestones!$AA$160)&gt;=$S95),$V95,IF(AND($R95&lt;&gt;"",EDATE($D95,Milestones!$AA$160)&gt;=$R95),$U95,$T95)))=Milestones!$AB$160),TEXT(EDATE($D95,Milestones!$AA$160),"dd/mm/yy")&amp;" "&amp;Milestones!$AB$160&amp;" "&amp;Milestones!$AC$160&amp;";  ","")&amp;IF(AND(EDATE($D95,Milestones!$AA$161)&lt;=AsOfDate,IF($Q95=0,$W95,IF(AND($S95&lt;&gt;"",EDATE($D95,Milestones!$AA$161)&gt;=$S95),$V95,IF(AND($R95&lt;&gt;"",EDATE($D95,Milestones!$AA$161)&gt;=$R95),$U95,$T95)))=Milestones!$AB$161),TEXT(EDATE($D95,Milestones!$AA$161),"dd/mm/yy")&amp;" "&amp;Milestones!$AB$161&amp;" "&amp;Milestones!$AC$161&amp;";  ","")&amp;IF(AND(EDATE($D95,Milestones!$AA$162)&lt;=AsOfDate,IF($Q95=0,$W95,IF(AND($S95&lt;&gt;"",EDATE($D95,Milestones!$AA$162)&gt;=$S95),$V95,IF(AND($R95&lt;&gt;"",EDATE($D95,Milestones!$AA$162)&gt;=$R95),$U95,$T95)))=Milestones!$AB$162),TEXT(EDATE($D95,Milestones!$AA$162),"dd/mm/yy")&amp;" "&amp;Milestones!$AB$162&amp;" "&amp;Milestones!$AC$162&amp;";  ","")&amp;IF(AND(EDATE($D95,Milestones!$AA$163)&lt;=AsOfDate,IF($Q95=0,$W95,IF(AND($S95&lt;&gt;"",EDATE($D95,Milestones!$AA$163)&gt;=$S95),$V95,IF(AND($R95&lt;&gt;"",EDATE($D95,Milestones!$AA$163)&gt;=$R95),$U95,$T95)))=Milestones!$AB$163),TEXT(EDATE($D95,Milestones!$AA$163),"dd/mm/yy")&amp;" "&amp;Milestones!$AB$163&amp;" "&amp;Milestones!$AC$163&amp;";  ","")&amp;IF(AND(EDATE($D95,Milestones!$AA$164)&lt;=AsOfDate,IF($Q95=0,$W95,IF(AND($S95&lt;&gt;"",EDATE($D95,Milestones!$AA$164)&gt;=$S95),$V95,IF(AND($R95&lt;&gt;"",EDATE($D95,Milestones!$AA$164)&gt;=$R95),$U95,$T95)))=Milestones!$AB$164),TEXT(EDATE($D95,Milestones!$AA$164),"dd/mm/yy")&amp;" "&amp;Milestones!$AB$164&amp;" "&amp;Milestones!$AC$164&amp;";  ","")&amp;IF(AND(EDATE($D95,Milestones!$AA$165)&lt;=AsOfDate,IF($Q95=0,$W95,IF(AND($S95&lt;&gt;"",EDATE($D95,Milestones!$AA$165)&gt;=$S95),$V95,IF(AND($R95&lt;&gt;"",EDATE($D95,Milestones!$AA$165)&gt;=$R95),$U95,$T95)))=Milestones!$AB$165),TEXT(EDATE($D95,Milestones!$AA$165),"dd/mm/yy")&amp;" "&amp;Milestones!$AB$165&amp;" "&amp;Milestones!$AC$165&amp;";  ","")&amp;IF(AND(EDATE($D95,Milestones!$AA$166)&lt;=AsOfDate,IF($Q95=0,$W95,IF(AND($S95&lt;&gt;"",EDATE($D95,Milestones!$AA$166)&gt;=$S95),$V95,IF(AND($R95&lt;&gt;"",EDATE($D95,Milestones!$AA$166)&gt;=$R95),$U95,$T95)))=Milestones!$AB$166),TEXT(EDATE($D95,Milestones!$AA$166),"dd/mm/yy")&amp;" "&amp;Milestones!$AB$166&amp;" "&amp;Milestones!$AC$166&amp;";  ","")&amp;IF(AND(EDATE($D95,Milestones!$AA$167)&lt;=AsOfDate,IF($Q95=0,$W95,IF(AND($S95&lt;&gt;"",EDATE($D95,Milestones!$AA$167)&gt;=$S95),$V95,IF(AND($R95&lt;&gt;"",EDATE($D95,Milestones!$AA$167)&gt;=$R95),$U95,$T95)))=Milestones!$AB$167),TEXT(EDATE($D95,Milestones!$AA$167),"dd/mm/yy")&amp;" "&amp;Milestones!$AB$167&amp;" "&amp;Milestones!$AC$167&amp;";  ","")&amp;IF(AND(EDATE($D95,Milestones!$AA$168)&lt;=AsOfDate,IF($Q95=0,$W95,IF(AND($S95&lt;&gt;"",EDATE($D95,Milestones!$AA$168)&gt;=$S95),$V95,IF(AND($R95&lt;&gt;"",EDATE($D95,Milestones!$AA$168)&gt;=$R95),$U95,$T95)))=Milestones!$AB$168),TEXT(EDATE($D95,Milestones!$AA$168),"dd/mm/yy")&amp;" "&amp;Milestones!$AB$168&amp;" "&amp;Milestones!$AC$168&amp;";  ","")&amp;IF(AND(EDATE($D95,Milestones!$AA$169)&lt;=AsOfDate,IF($Q95=0,$W95,IF(AND($S95&lt;&gt;"",EDATE($D95,Milestones!$AA$169)&gt;=$S95),$V95,IF(AND($R95&lt;&gt;"",EDATE($D95,Milestones!$AA$169)&gt;=$R95),$U95,$T95)))=Milestones!$AB$169),TEXT(EDATE($D95,Milestones!$AA$169),"dd/mm/yy")&amp;" "&amp;Milestones!$AB$169&amp;" "&amp;Milestones!$AC$169&amp;";  ","")&amp;IF(AND(EDATE($D95,Milestones!$AA$170)&lt;=AsOfDate,IF($Q95=0,$W95,IF(AND($S95&lt;&gt;"",EDATE($D95,Milestones!$AA$170)&gt;=$S95),$V95,IF(AND($R95&lt;&gt;"",EDATE($D95,Milestones!$AA$170)&gt;=$R95),$U95,$T95)))=Milestones!$AB$170),TEXT(EDATE($D95,Milestones!$AA$170),"dd/mm/yy")&amp;" "&amp;Milestones!$AB$170&amp;" "&amp;Milestones!$AC$170&amp;";  ","")&amp;IF(AND(EDATE($D95,Milestones!$AA$171)&lt;=AsOfDate,IF($Q95=0,$W95,IF(AND($S95&lt;&gt;"",EDATE($D95,Milestones!$AA$171)&gt;=$S95),$V95,IF(AND($R95&lt;&gt;"",EDATE($D95,Milestones!$AA$171)&gt;=$R95),$U95,$T95)))=Milestones!$AB$171),TEXT(EDATE($D95,Milestones!$AA$171),"dd/mm/yy")&amp;" "&amp;Milestones!$AB$171&amp;" "&amp;Milestones!$AC$171&amp;";  ","")&amp;IF(AND(EDATE($D95,Milestones!$AA$172)&lt;=AsOfDate,IF($Q95=0,$W95,IF(AND($S95&lt;&gt;"",EDATE($D95,Milestones!$AA$172)&gt;=$S95),$V95,IF(AND($R95&lt;&gt;"",EDATE($D95,Milestones!$AA$172)&gt;=$R95),$U95,$T95)))=Milestones!$AB$172),TEXT(EDATE($D95,Milestones!$AA$172),"dd/mm/yy")&amp;" "&amp;Milestones!$AB$172&amp;" "&amp;Milestones!$AC$172&amp;";  ","")&amp;IF(AND(EDATE($D95,Milestones!$AA$173)&lt;=AsOfDate,IF($Q95=0,$W95,IF(AND($S95&lt;&gt;"",EDATE($D95,Milestones!$AA$173)&gt;=$S95),$V95,IF(AND($R95&lt;&gt;"",EDATE($D95,Milestones!$AA$173)&gt;=$R95),$U95,$T95)))=Milestones!$AB$173),TEXT(EDATE($D95,Milestones!$AA$173),"dd/mm/yy")&amp;" "&amp;Milestones!$AB$173&amp;" "&amp;Milestones!$AC$173&amp;";  ","")&amp;IF(AND(EDATE($D95,Milestones!$AA$174)&lt;=AsOfDate,IF($Q95=0,$W95,IF(AND($S95&lt;&gt;"",EDATE($D95,Milestones!$AA$174)&gt;=$S95),$V95,IF(AND($R95&lt;&gt;"",EDATE($D95,Milestones!$AA$174)&gt;=$R95),$U95,$T95)))=Milestones!$AB$174),TEXT(EDATE($D95,Milestones!$AA$174),"dd/mm/yy")&amp;" "&amp;Milestones!$AB$174&amp;" "&amp;Milestones!$AC$174&amp;";  ","")&amp;IF(AND(EDATE($D95,Milestones!$AA$175)&lt;=AsOfDate,IF($Q95=0,$W95,IF(AND($S95&lt;&gt;"",EDATE($D95,Milestones!$AA$175)&gt;=$S95),$V95,IF(AND($R95&lt;&gt;"",EDATE($D95,Milestones!$AA$175)&gt;=$R95),$U95,$T95)))=Milestones!$AB$175),TEXT(EDATE($D95,Milestones!$AA$175),"dd/mm/yy")&amp;" "&amp;Milestones!$AB$175&amp;" "&amp;Milestones!$AC$175&amp;";  ","")&amp;IF(AND(EDATE($D95,Milestones!$AA$176)&lt;=AsOfDate,IF($Q95=0,$W95,IF(AND($S95&lt;&gt;"",EDATE($D95,Milestones!$AA$176)&gt;=$S95),$V95,IF(AND($R95&lt;&gt;"",EDATE($D95,Milestones!$AA$176)&gt;=$R95),$U95,$T95)))=Milestones!$AB$176),TEXT(EDATE($D95,Milestones!$AA$176),"dd/mm/yy")&amp;" "&amp;Milestones!$AB$176&amp;" "&amp;Milestones!$AC$176&amp;";  ","")&amp;IF(AND(EDATE($D95,Milestones!$AA$177)&lt;=AsOfDate,IF($Q95=0,$W95,IF(AND($S95&lt;&gt;"",EDATE($D95,Milestones!$AA$177)&gt;=$S95),$V95,IF(AND($R95&lt;&gt;"",EDATE($D95,Milestones!$AA$177)&gt;=$R95),$U95,$T95)))=Milestones!$AB$177),TEXT(EDATE($D95,Milestones!$AA$177),"dd/mm/yy")&amp;" "&amp;Milestones!$AB$177&amp;" "&amp;Milestones!$AC$177&amp;";  ","")&amp;IF(AND(EDATE($D95,Milestones!$AA$178)&lt;=AsOfDate,IF($Q95=0,$W95,IF(AND($S95&lt;&gt;"",EDATE($D95,Milestones!$AA$178)&gt;=$S95),$V95,IF(AND($R95&lt;&gt;"",EDATE($D95,Milestones!$AA$178)&gt;=$R95),$U95,$T95)))=Milestones!$AB$178),TEXT(EDATE($D95,Milestones!$AA$178),"dd/mm/yy")&amp;" "&amp;Milestones!$AB$178&amp;" "&amp;Milestones!$AC$178&amp;";  ","")&amp;IF(AND(EDATE($D95,Milestones!$AA$179)&lt;=AsOfDate,IF($Q95=0,$W95,IF(AND($S95&lt;&gt;"",EDATE($D95,Milestones!$AA$179)&gt;=$S95),$V95,IF(AND($R95&lt;&gt;"",EDATE($D95,Milestones!$AA$179)&gt;=$R95),$U95,$T95)))=Milestones!$AB$179),TEXT(EDATE($D95,Milestones!$AA$179),"dd/mm/yy")&amp;" "&amp;Milestones!$AB$179&amp;" "&amp;Milestones!$AC$179&amp;";  ",""))</f>
        <v/>
      </c>
      <c r="P95" s="0" t="str">
        <f aca="false">IF(OR($A95="",$D95=""),"",IF(AND(EDATE($D95,Milestones!$AA$180)&lt;=AsOfDate,IF($Q95=0,$W95,IF(AND($S95&lt;&gt;"",EDATE($D95,Milestones!$AA$180)&gt;=$S95),$V95,IF(AND($R95&lt;&gt;"",EDATE($D95,Milestones!$AA$180)&gt;=$R95),$U95,$T95)))=Milestones!$AB$180),TEXT(EDATE($D95,Milestones!$AA$180),"dd/mm/yy")&amp;" "&amp;Milestones!$AB$180&amp;" "&amp;Milestones!$AC$180&amp;";  ","")&amp;IF(AND(EDATE($D95,Milestones!$AA$181)&lt;=AsOfDate,IF($Q95=0,$W95,IF(AND($S95&lt;&gt;"",EDATE($D95,Milestones!$AA$181)&gt;=$S95),$V95,IF(AND($R95&lt;&gt;"",EDATE($D95,Milestones!$AA$181)&gt;=$R95),$U95,$T95)))=Milestones!$AB$181),TEXT(EDATE($D95,Milestones!$AA$181),"dd/mm/yy")&amp;" "&amp;Milestones!$AB$181&amp;" "&amp;Milestones!$AC$181&amp;";  ","")&amp;IF(AND(EDATE($D95,Milestones!$AA$182)&lt;=AsOfDate,IF($Q95=0,$W95,IF(AND($S95&lt;&gt;"",EDATE($D95,Milestones!$AA$182)&gt;=$S95),$V95,IF(AND($R95&lt;&gt;"",EDATE($D95,Milestones!$AA$182)&gt;=$R95),$U95,$T95)))=Milestones!$AB$182),TEXT(EDATE($D95,Milestones!$AA$182),"dd/mm/yy")&amp;" "&amp;Milestones!$AB$182&amp;" "&amp;Milestones!$AC$182&amp;";  ","")&amp;IF(AND(EDATE($D95,Milestones!$AA$183)&lt;=AsOfDate,IF($Q95=0,$W95,IF(AND($S95&lt;&gt;"",EDATE($D95,Milestones!$AA$183)&gt;=$S95),$V95,IF(AND($R95&lt;&gt;"",EDATE($D95,Milestones!$AA$183)&gt;=$R95),$U95,$T95)))=Milestones!$AB$183),TEXT(EDATE($D95,Milestones!$AA$183),"dd/mm/yy")&amp;" "&amp;Milestones!$AB$183&amp;" "&amp;Milestones!$AC$183&amp;";  ","")&amp;IF(AND(EDATE($D95,Milestones!$AA$184)&lt;=AsOfDate,IF($Q95=0,$W95,IF(AND($S95&lt;&gt;"",EDATE($D95,Milestones!$AA$184)&gt;=$S95),$V95,IF(AND($R95&lt;&gt;"",EDATE($D95,Milestones!$AA$184)&gt;=$R95),$U95,$T95)))=Milestones!$AB$184),TEXT(EDATE($D95,Milestones!$AA$184),"dd/mm/yy")&amp;" "&amp;Milestones!$AB$184&amp;" "&amp;Milestones!$AC$184&amp;";  ","")&amp;IF(AND(EDATE($D95,Milestones!$AA$185)&lt;=AsOfDate,IF($Q95=0,$W95,IF(AND($S95&lt;&gt;"",EDATE($D95,Milestones!$AA$185)&gt;=$S95),$V95,IF(AND($R95&lt;&gt;"",EDATE($D95,Milestones!$AA$185)&gt;=$R95),$U95,$T95)))=Milestones!$AB$185),TEXT(EDATE($D95,Milestones!$AA$185),"dd/mm/yy")&amp;" "&amp;Milestones!$AB$185&amp;" "&amp;Milestones!$AC$185&amp;";  ","")&amp;IF(AND(EDATE($D95,Milestones!$AA$186)&lt;=AsOfDate,IF($Q95=0,$W95,IF(AND($S95&lt;&gt;"",EDATE($D95,Milestones!$AA$186)&gt;=$S95),$V95,IF(AND($R95&lt;&gt;"",EDATE($D95,Milestones!$AA$186)&gt;=$R95),$U95,$T95)))=Milestones!$AB$186),TEXT(EDATE($D95,Milestones!$AA$186),"dd/mm/yy")&amp;" "&amp;Milestones!$AB$186&amp;" "&amp;Milestones!$AC$186&amp;";  ","")&amp;IF(AND(EDATE($D95,Milestones!$AA$187)&lt;=AsOfDate,IF($Q95=0,$W95,IF(AND($S95&lt;&gt;"",EDATE($D95,Milestones!$AA$187)&gt;=$S95),$V95,IF(AND($R95&lt;&gt;"",EDATE($D95,Milestones!$AA$187)&gt;=$R95),$U95,$T95)))=Milestones!$AB$187),TEXT(EDATE($D95,Milestones!$AA$187),"dd/mm/yy")&amp;" "&amp;Milestones!$AB$187&amp;" "&amp;Milestones!$AC$187&amp;";  ","")&amp;IF(AND(EDATE($D95,Milestones!$AA$188)&lt;=AsOfDate,IF($Q95=0,$W95,IF(AND($S95&lt;&gt;"",EDATE($D95,Milestones!$AA$188)&gt;=$S95),$V95,IF(AND($R95&lt;&gt;"",EDATE($D95,Milestones!$AA$188)&gt;=$R95),$U95,$T95)))=Milestones!$AB$188),TEXT(EDATE($D95,Milestones!$AA$188),"dd/mm/yy")&amp;" "&amp;Milestones!$AB$188&amp;" "&amp;Milestones!$AC$188&amp;";  ","")&amp;IF(AND(EDATE($D95,Milestones!$AA$189)&lt;=AsOfDate,IF($Q95=0,$W95,IF(AND($S95&lt;&gt;"",EDATE($D95,Milestones!$AA$189)&gt;=$S95),$V95,IF(AND($R95&lt;&gt;"",EDATE($D95,Milestones!$AA$189)&gt;=$R95),$U95,$T95)))=Milestones!$AB$189),TEXT(EDATE($D95,Milestones!$AA$189),"dd/mm/yy")&amp;" "&amp;Milestones!$AB$189&amp;" "&amp;Milestones!$AC$189&amp;";  ","")&amp;IF(AND(EDATE($D95,Milestones!$AA$190)&lt;=AsOfDate,IF($Q95=0,$W95,IF(AND($S95&lt;&gt;"",EDATE($D95,Milestones!$AA$190)&gt;=$S95),$V95,IF(AND($R95&lt;&gt;"",EDATE($D95,Milestones!$AA$190)&gt;=$R95),$U95,$T95)))=Milestones!$AB$190),TEXT(EDATE($D95,Milestones!$AA$190),"dd/mm/yy")&amp;" "&amp;Milestones!$AB$190&amp;" "&amp;Milestones!$AC$190&amp;";  ","")&amp;IF(AND(EDATE($D95,Milestones!$AA$191)&lt;=AsOfDate,IF($Q95=0,$W95,IF(AND($S95&lt;&gt;"",EDATE($D95,Milestones!$AA$191)&gt;=$S95),$V95,IF(AND($R95&lt;&gt;"",EDATE($D95,Milestones!$AA$191)&gt;=$R95),$U95,$T95)))=Milestones!$AB$191),TEXT(EDATE($D95,Milestones!$AA$191),"dd/mm/yy")&amp;" "&amp;Milestones!$AB$191&amp;" "&amp;Milestones!$AC$191&amp;";  ","")&amp;IF(AND(EDATE($D95,Milestones!$AA$192)&lt;=AsOfDate,IF($Q95=0,$W95,IF(AND($S95&lt;&gt;"",EDATE($D95,Milestones!$AA$192)&gt;=$S95),$V95,IF(AND($R95&lt;&gt;"",EDATE($D95,Milestones!$AA$192)&gt;=$R95),$U95,$T95)))=Milestones!$AB$192),TEXT(EDATE($D95,Milestones!$AA$192),"dd/mm/yy")&amp;" "&amp;Milestones!$AB$192&amp;" "&amp;Milestones!$AC$192&amp;";  ","")&amp;IF(AND(EDATE($D95,Milestones!$AA$193)&lt;=AsOfDate,IF($Q95=0,$W95,IF(AND($S95&lt;&gt;"",EDATE($D95,Milestones!$AA$193)&gt;=$S95),$V95,IF(AND($R95&lt;&gt;"",EDATE($D95,Milestones!$AA$193)&gt;=$R95),$U95,$T95)))=Milestones!$AB$193),TEXT(EDATE($D95,Milestones!$AA$193),"dd/mm/yy")&amp;" "&amp;Milestones!$AB$193&amp;" "&amp;Milestones!$AC$193&amp;";  ","")&amp;IF(AND(EDATE($D95,Milestones!$AA$194)&lt;=AsOfDate,IF($Q95=0,$W95,IF(AND($S95&lt;&gt;"",EDATE($D95,Milestones!$AA$194)&gt;=$S95),$V95,IF(AND($R95&lt;&gt;"",EDATE($D95,Milestones!$AA$194)&gt;=$R95),$U95,$T95)))=Milestones!$AB$194),TEXT(EDATE($D95,Milestones!$AA$194),"dd/mm/yy")&amp;" "&amp;Milestones!$AB$194&amp;" "&amp;Milestones!$AC$194&amp;";  ","")&amp;IF(AND(EDATE($D95,Milestones!$AA$195)&lt;=AsOfDate,IF($Q95=0,$W95,IF(AND($S95&lt;&gt;"",EDATE($D95,Milestones!$AA$195)&gt;=$S95),$V95,IF(AND($R95&lt;&gt;"",EDATE($D95,Milestones!$AA$195)&gt;=$R95),$U95,$T95)))=Milestones!$AB$195),TEXT(EDATE($D95,Milestones!$AA$195),"dd/mm/yy")&amp;" "&amp;Milestones!$AB$195&amp;" "&amp;Milestones!$AC$195&amp;";  ","")&amp;IF(AND(EDATE($D95,Milestones!$AA$196)&lt;=AsOfDate,IF($Q95=0,$W95,IF(AND($S95&lt;&gt;"",EDATE($D95,Milestones!$AA$196)&gt;=$S95),$V95,IF(AND($R95&lt;&gt;"",EDATE($D95,Milestones!$AA$196)&gt;=$R95),$U95,$T95)))=Milestones!$AB$196),TEXT(EDATE($D95,Milestones!$AA$196),"dd/mm/yy")&amp;" "&amp;Milestones!$AB$196&amp;" "&amp;Milestones!$AC$196&amp;";  ","")&amp;IF(AND(EDATE($D95,Milestones!$AA$197)&lt;=AsOfDate,IF($Q95=0,$W95,IF(AND($S95&lt;&gt;"",EDATE($D95,Milestones!$AA$197)&gt;=$S95),$V95,IF(AND($R95&lt;&gt;"",EDATE($D95,Milestones!$AA$197)&gt;=$R95),$U95,$T95)))=Milestones!$AB$197),TEXT(EDATE($D95,Milestones!$AA$197),"dd/mm/yy")&amp;" "&amp;Milestones!$AB$197&amp;" "&amp;Milestones!$AC$197&amp;";  ","")&amp;IF(AND(EDATE($D95,Milestones!$AA$198)&lt;=AsOfDate,IF($Q95=0,$W95,IF(AND($S95&lt;&gt;"",EDATE($D95,Milestones!$AA$198)&gt;=$S95),$V95,IF(AND($R95&lt;&gt;"",EDATE($D95,Milestones!$AA$198)&gt;=$R95),$U95,$T95)))=Milestones!$AB$198),TEXT(EDATE($D95,Milestones!$AA$198),"dd/mm/yy")&amp;" "&amp;Milestones!$AB$198&amp;" "&amp;Milestones!$AC$198&amp;";  ","")&amp;IF(AND(EDATE($D95,Milestones!$AA$199)&lt;=AsOfDate,IF($Q95=0,$W95,IF(AND($S95&lt;&gt;"",EDATE($D95,Milestones!$AA$199)&gt;=$S95),$V95,IF(AND($R95&lt;&gt;"",EDATE($D95,Milestones!$AA$199)&gt;=$R95),$U95,$T95)))=Milestones!$AB$199),TEXT(EDATE($D95,Milestones!$AA$199),"dd/mm/yy")&amp;" "&amp;Milestones!$AB$199&amp;" "&amp;Milestones!$AC$199&amp;";  ",""))</f>
        <v/>
      </c>
      <c r="Q95" s="0" t="str">
        <f aca="false">IF(Staff!$A95="","",Staff!$AG95)</f>
        <v/>
      </c>
      <c r="R95" s="0" t="str">
        <f aca="false">IF(Staff!$A95="","",Staff!$AI95)</f>
        <v/>
      </c>
      <c r="S95" s="0" t="str">
        <f aca="false">IF(Staff!$A95="","",Staff!$AJ95)</f>
        <v/>
      </c>
      <c r="T95" s="0" t="str">
        <f aca="false">IF(Staff!$A95="","",Staff!$AN95)</f>
        <v/>
      </c>
      <c r="U95" s="0" t="str">
        <f aca="false">IF(Staff!$A95="","",Staff!$AO95)</f>
        <v/>
      </c>
      <c r="V95" s="0" t="str">
        <f aca="false">IF(Staff!$A95="","",Staff!$AP95)</f>
        <v/>
      </c>
      <c r="W95" s="0" t="str">
        <f aca="false">IF(Staff!$A95="","",Staff!$AQ95)</f>
        <v/>
      </c>
    </row>
    <row r="96" customFormat="false" ht="15" hidden="false" customHeight="false" outlineLevel="0" collapsed="false">
      <c r="A96" s="13" t="str">
        <f aca="false">IF(Staff!$A96="","",Staff!$A96)</f>
        <v/>
      </c>
      <c r="B96" s="13" t="str">
        <f aca="false">IF(Staff!$A96="","",Staff!$B96)</f>
        <v/>
      </c>
      <c r="C96" s="13" t="str">
        <f aca="false">IF(Staff!$A96="","",Staff!$C96)</f>
        <v/>
      </c>
      <c r="D96" s="11" t="str">
        <f aca="false">IF(Staff!$A96="","",Staff!$AF96)</f>
        <v/>
      </c>
      <c r="E96" s="13" t="str">
        <f aca="false">IF(Staff!$A96="","",Staff!$O96)</f>
        <v/>
      </c>
      <c r="F96" s="13" t="str">
        <f aca="false">IF(E96="","",E96*HoursPerDay)</f>
        <v/>
      </c>
      <c r="G96" s="26" t="str">
        <f aca="false">IF($A96="","",H96&amp;I96&amp;J96&amp;K96&amp;L96&amp;M96&amp;N96&amp;O96&amp;P96)</f>
        <v/>
      </c>
      <c r="H96" s="0" t="str">
        <f aca="false">IF(OR($A96="",$D96=""),"",IF(AND(EDATE($D96,Milestones!$AA$20)&lt;=AsOfDate,IF($Q96=0,$W96,IF(AND($S96&lt;&gt;"",EDATE($D96,Milestones!$AA$20)&gt;=$S96),$V96,IF(AND($R96&lt;&gt;"",EDATE($D96,Milestones!$AA$20)&gt;=$R96),$U96,$T96)))=Milestones!$AB$20),TEXT(EDATE($D96,Milestones!$AA$20),"dd/mm/yy")&amp;" "&amp;Milestones!$AB$20&amp;" "&amp;Milestones!$AC$20&amp;";  ","")&amp;IF(AND(EDATE($D96,Milestones!$AA$21)&lt;=AsOfDate,IF($Q96=0,$W96,IF(AND($S96&lt;&gt;"",EDATE($D96,Milestones!$AA$21)&gt;=$S96),$V96,IF(AND($R96&lt;&gt;"",EDATE($D96,Milestones!$AA$21)&gt;=$R96),$U96,$T96)))=Milestones!$AB$21),TEXT(EDATE($D96,Milestones!$AA$21),"dd/mm/yy")&amp;" "&amp;Milestones!$AB$21&amp;" "&amp;Milestones!$AC$21&amp;";  ","")&amp;IF(AND(EDATE($D96,Milestones!$AA$22)&lt;=AsOfDate,IF($Q96=0,$W96,IF(AND($S96&lt;&gt;"",EDATE($D96,Milestones!$AA$22)&gt;=$S96),$V96,IF(AND($R96&lt;&gt;"",EDATE($D96,Milestones!$AA$22)&gt;=$R96),$U96,$T96)))=Milestones!$AB$22),TEXT(EDATE($D96,Milestones!$AA$22),"dd/mm/yy")&amp;" "&amp;Milestones!$AB$22&amp;" "&amp;Milestones!$AC$22&amp;";  ","")&amp;IF(AND(EDATE($D96,Milestones!$AA$23)&lt;=AsOfDate,IF($Q96=0,$W96,IF(AND($S96&lt;&gt;"",EDATE($D96,Milestones!$AA$23)&gt;=$S96),$V96,IF(AND($R96&lt;&gt;"",EDATE($D96,Milestones!$AA$23)&gt;=$R96),$U96,$T96)))=Milestones!$AB$23),TEXT(EDATE($D96,Milestones!$AA$23),"dd/mm/yy")&amp;" "&amp;Milestones!$AB$23&amp;" "&amp;Milestones!$AC$23&amp;";  ","")&amp;IF(AND(EDATE($D96,Milestones!$AA$24)&lt;=AsOfDate,IF($Q96=0,$W96,IF(AND($S96&lt;&gt;"",EDATE($D96,Milestones!$AA$24)&gt;=$S96),$V96,IF(AND($R96&lt;&gt;"",EDATE($D96,Milestones!$AA$24)&gt;=$R96),$U96,$T96)))=Milestones!$AB$24),TEXT(EDATE($D96,Milestones!$AA$24),"dd/mm/yy")&amp;" "&amp;Milestones!$AB$24&amp;" "&amp;Milestones!$AC$24&amp;";  ","")&amp;IF(AND(EDATE($D96,Milestones!$AA$25)&lt;=AsOfDate,IF($Q96=0,$W96,IF(AND($S96&lt;&gt;"",EDATE($D96,Milestones!$AA$25)&gt;=$S96),$V96,IF(AND($R96&lt;&gt;"",EDATE($D96,Milestones!$AA$25)&gt;=$R96),$U96,$T96)))=Milestones!$AB$25),TEXT(EDATE($D96,Milestones!$AA$25),"dd/mm/yy")&amp;" "&amp;Milestones!$AB$25&amp;" "&amp;Milestones!$AC$25&amp;";  ","")&amp;IF(AND(EDATE($D96,Milestones!$AA$26)&lt;=AsOfDate,IF($Q96=0,$W96,IF(AND($S96&lt;&gt;"",EDATE($D96,Milestones!$AA$26)&gt;=$S96),$V96,IF(AND($R96&lt;&gt;"",EDATE($D96,Milestones!$AA$26)&gt;=$R96),$U96,$T96)))=Milestones!$AB$26),TEXT(EDATE($D96,Milestones!$AA$26),"dd/mm/yy")&amp;" "&amp;Milestones!$AB$26&amp;" "&amp;Milestones!$AC$26&amp;";  ","")&amp;IF(AND(EDATE($D96,Milestones!$AA$27)&lt;=AsOfDate,IF($Q96=0,$W96,IF(AND($S96&lt;&gt;"",EDATE($D96,Milestones!$AA$27)&gt;=$S96),$V96,IF(AND($R96&lt;&gt;"",EDATE($D96,Milestones!$AA$27)&gt;=$R96),$U96,$T96)))=Milestones!$AB$27),TEXT(EDATE($D96,Milestones!$AA$27),"dd/mm/yy")&amp;" "&amp;Milestones!$AB$27&amp;" "&amp;Milestones!$AC$27&amp;";  ","")&amp;IF(AND(EDATE($D96,Milestones!$AA$28)&lt;=AsOfDate,IF($Q96=0,$W96,IF(AND($S96&lt;&gt;"",EDATE($D96,Milestones!$AA$28)&gt;=$S96),$V96,IF(AND($R96&lt;&gt;"",EDATE($D96,Milestones!$AA$28)&gt;=$R96),$U96,$T96)))=Milestones!$AB$28),TEXT(EDATE($D96,Milestones!$AA$28),"dd/mm/yy")&amp;" "&amp;Milestones!$AB$28&amp;" "&amp;Milestones!$AC$28&amp;";  ","")&amp;IF(AND(EDATE($D96,Milestones!$AA$29)&lt;=AsOfDate,IF($Q96=0,$W96,IF(AND($S96&lt;&gt;"",EDATE($D96,Milestones!$AA$29)&gt;=$S96),$V96,IF(AND($R96&lt;&gt;"",EDATE($D96,Milestones!$AA$29)&gt;=$R96),$U96,$T96)))=Milestones!$AB$29),TEXT(EDATE($D96,Milestones!$AA$29),"dd/mm/yy")&amp;" "&amp;Milestones!$AB$29&amp;" "&amp;Milestones!$AC$29&amp;";  ","")&amp;IF(AND(EDATE($D96,Milestones!$AA$30)&lt;=AsOfDate,IF($Q96=0,$W96,IF(AND($S96&lt;&gt;"",EDATE($D96,Milestones!$AA$30)&gt;=$S96),$V96,IF(AND($R96&lt;&gt;"",EDATE($D96,Milestones!$AA$30)&gt;=$R96),$U96,$T96)))=Milestones!$AB$30),TEXT(EDATE($D96,Milestones!$AA$30),"dd/mm/yy")&amp;" "&amp;Milestones!$AB$30&amp;" "&amp;Milestones!$AC$30&amp;";  ","")&amp;IF(AND(EDATE($D96,Milestones!$AA$31)&lt;=AsOfDate,IF($Q96=0,$W96,IF(AND($S96&lt;&gt;"",EDATE($D96,Milestones!$AA$31)&gt;=$S96),$V96,IF(AND($R96&lt;&gt;"",EDATE($D96,Milestones!$AA$31)&gt;=$R96),$U96,$T96)))=Milestones!$AB$31),TEXT(EDATE($D96,Milestones!$AA$31),"dd/mm/yy")&amp;" "&amp;Milestones!$AB$31&amp;" "&amp;Milestones!$AC$31&amp;";  ","")&amp;IF(AND(EDATE($D96,Milestones!$AA$32)&lt;=AsOfDate,IF($Q96=0,$W96,IF(AND($S96&lt;&gt;"",EDATE($D96,Milestones!$AA$32)&gt;=$S96),$V96,IF(AND($R96&lt;&gt;"",EDATE($D96,Milestones!$AA$32)&gt;=$R96),$U96,$T96)))=Milestones!$AB$32),TEXT(EDATE($D96,Milestones!$AA$32),"dd/mm/yy")&amp;" "&amp;Milestones!$AB$32&amp;" "&amp;Milestones!$AC$32&amp;";  ","")&amp;IF(AND(EDATE($D96,Milestones!$AA$33)&lt;=AsOfDate,IF($Q96=0,$W96,IF(AND($S96&lt;&gt;"",EDATE($D96,Milestones!$AA$33)&gt;=$S96),$V96,IF(AND($R96&lt;&gt;"",EDATE($D96,Milestones!$AA$33)&gt;=$R96),$U96,$T96)))=Milestones!$AB$33),TEXT(EDATE($D96,Milestones!$AA$33),"dd/mm/yy")&amp;" "&amp;Milestones!$AB$33&amp;" "&amp;Milestones!$AC$33&amp;";  ","")&amp;IF(AND(EDATE($D96,Milestones!$AA$34)&lt;=AsOfDate,IF($Q96=0,$W96,IF(AND($S96&lt;&gt;"",EDATE($D96,Milestones!$AA$34)&gt;=$S96),$V96,IF(AND($R96&lt;&gt;"",EDATE($D96,Milestones!$AA$34)&gt;=$R96),$U96,$T96)))=Milestones!$AB$34),TEXT(EDATE($D96,Milestones!$AA$34),"dd/mm/yy")&amp;" "&amp;Milestones!$AB$34&amp;" "&amp;Milestones!$AC$34&amp;";  ","")&amp;IF(AND(EDATE($D96,Milestones!$AA$35)&lt;=AsOfDate,IF($Q96=0,$W96,IF(AND($S96&lt;&gt;"",EDATE($D96,Milestones!$AA$35)&gt;=$S96),$V96,IF(AND($R96&lt;&gt;"",EDATE($D96,Milestones!$AA$35)&gt;=$R96),$U96,$T96)))=Milestones!$AB$35),TEXT(EDATE($D96,Milestones!$AA$35),"dd/mm/yy")&amp;" "&amp;Milestones!$AB$35&amp;" "&amp;Milestones!$AC$35&amp;";  ","")&amp;IF(AND(EDATE($D96,Milestones!$AA$36)&lt;=AsOfDate,IF($Q96=0,$W96,IF(AND($S96&lt;&gt;"",EDATE($D96,Milestones!$AA$36)&gt;=$S96),$V96,IF(AND($R96&lt;&gt;"",EDATE($D96,Milestones!$AA$36)&gt;=$R96),$U96,$T96)))=Milestones!$AB$36),TEXT(EDATE($D96,Milestones!$AA$36),"dd/mm/yy")&amp;" "&amp;Milestones!$AB$36&amp;" "&amp;Milestones!$AC$36&amp;";  ","")&amp;IF(AND(EDATE($D96,Milestones!$AA$37)&lt;=AsOfDate,IF($Q96=0,$W96,IF(AND($S96&lt;&gt;"",EDATE($D96,Milestones!$AA$37)&gt;=$S96),$V96,IF(AND($R96&lt;&gt;"",EDATE($D96,Milestones!$AA$37)&gt;=$R96),$U96,$T96)))=Milestones!$AB$37),TEXT(EDATE($D96,Milestones!$AA$37),"dd/mm/yy")&amp;" "&amp;Milestones!$AB$37&amp;" "&amp;Milestones!$AC$37&amp;";  ","")&amp;IF(AND(EDATE($D96,Milestones!$AA$38)&lt;=AsOfDate,IF($Q96=0,$W96,IF(AND($S96&lt;&gt;"",EDATE($D96,Milestones!$AA$38)&gt;=$S96),$V96,IF(AND($R96&lt;&gt;"",EDATE($D96,Milestones!$AA$38)&gt;=$R96),$U96,$T96)))=Milestones!$AB$38),TEXT(EDATE($D96,Milestones!$AA$38),"dd/mm/yy")&amp;" "&amp;Milestones!$AB$38&amp;" "&amp;Milestones!$AC$38&amp;";  ","")&amp;IF(AND(EDATE($D96,Milestones!$AA$39)&lt;=AsOfDate,IF($Q96=0,$W96,IF(AND($S96&lt;&gt;"",EDATE($D96,Milestones!$AA$39)&gt;=$S96),$V96,IF(AND($R96&lt;&gt;"",EDATE($D96,Milestones!$AA$39)&gt;=$R96),$U96,$T96)))=Milestones!$AB$39),TEXT(EDATE($D96,Milestones!$AA$39),"dd/mm/yy")&amp;" "&amp;Milestones!$AB$39&amp;" "&amp;Milestones!$AC$39&amp;";  ",""))</f>
        <v/>
      </c>
      <c r="I96" s="0" t="str">
        <f aca="false">IF(OR($A96="",$D96=""),"",IF(AND(EDATE($D96,Milestones!$AA$40)&lt;=AsOfDate,IF($Q96=0,$W96,IF(AND($S96&lt;&gt;"",EDATE($D96,Milestones!$AA$40)&gt;=$S96),$V96,IF(AND($R96&lt;&gt;"",EDATE($D96,Milestones!$AA$40)&gt;=$R96),$U96,$T96)))=Milestones!$AB$40),TEXT(EDATE($D96,Milestones!$AA$40),"dd/mm/yy")&amp;" "&amp;Milestones!$AB$40&amp;" "&amp;Milestones!$AC$40&amp;";  ","")&amp;IF(AND(EDATE($D96,Milestones!$AA$41)&lt;=AsOfDate,IF($Q96=0,$W96,IF(AND($S96&lt;&gt;"",EDATE($D96,Milestones!$AA$41)&gt;=$S96),$V96,IF(AND($R96&lt;&gt;"",EDATE($D96,Milestones!$AA$41)&gt;=$R96),$U96,$T96)))=Milestones!$AB$41),TEXT(EDATE($D96,Milestones!$AA$41),"dd/mm/yy")&amp;" "&amp;Milestones!$AB$41&amp;" "&amp;Milestones!$AC$41&amp;";  ","")&amp;IF(AND(EDATE($D96,Milestones!$AA$42)&lt;=AsOfDate,IF($Q96=0,$W96,IF(AND($S96&lt;&gt;"",EDATE($D96,Milestones!$AA$42)&gt;=$S96),$V96,IF(AND($R96&lt;&gt;"",EDATE($D96,Milestones!$AA$42)&gt;=$R96),$U96,$T96)))=Milestones!$AB$42),TEXT(EDATE($D96,Milestones!$AA$42),"dd/mm/yy")&amp;" "&amp;Milestones!$AB$42&amp;" "&amp;Milestones!$AC$42&amp;";  ","")&amp;IF(AND(EDATE($D96,Milestones!$AA$43)&lt;=AsOfDate,IF($Q96=0,$W96,IF(AND($S96&lt;&gt;"",EDATE($D96,Milestones!$AA$43)&gt;=$S96),$V96,IF(AND($R96&lt;&gt;"",EDATE($D96,Milestones!$AA$43)&gt;=$R96),$U96,$T96)))=Milestones!$AB$43),TEXT(EDATE($D96,Milestones!$AA$43),"dd/mm/yy")&amp;" "&amp;Milestones!$AB$43&amp;" "&amp;Milestones!$AC$43&amp;";  ","")&amp;IF(AND(EDATE($D96,Milestones!$AA$44)&lt;=AsOfDate,IF($Q96=0,$W96,IF(AND($S96&lt;&gt;"",EDATE($D96,Milestones!$AA$44)&gt;=$S96),$V96,IF(AND($R96&lt;&gt;"",EDATE($D96,Milestones!$AA$44)&gt;=$R96),$U96,$T96)))=Milestones!$AB$44),TEXT(EDATE($D96,Milestones!$AA$44),"dd/mm/yy")&amp;" "&amp;Milestones!$AB$44&amp;" "&amp;Milestones!$AC$44&amp;";  ","")&amp;IF(AND(EDATE($D96,Milestones!$AA$45)&lt;=AsOfDate,IF($Q96=0,$W96,IF(AND($S96&lt;&gt;"",EDATE($D96,Milestones!$AA$45)&gt;=$S96),$V96,IF(AND($R96&lt;&gt;"",EDATE($D96,Milestones!$AA$45)&gt;=$R96),$U96,$T96)))=Milestones!$AB$45),TEXT(EDATE($D96,Milestones!$AA$45),"dd/mm/yy")&amp;" "&amp;Milestones!$AB$45&amp;" "&amp;Milestones!$AC$45&amp;";  ","")&amp;IF(AND(EDATE($D96,Milestones!$AA$46)&lt;=AsOfDate,IF($Q96=0,$W96,IF(AND($S96&lt;&gt;"",EDATE($D96,Milestones!$AA$46)&gt;=$S96),$V96,IF(AND($R96&lt;&gt;"",EDATE($D96,Milestones!$AA$46)&gt;=$R96),$U96,$T96)))=Milestones!$AB$46),TEXT(EDATE($D96,Milestones!$AA$46),"dd/mm/yy")&amp;" "&amp;Milestones!$AB$46&amp;" "&amp;Milestones!$AC$46&amp;";  ","")&amp;IF(AND(EDATE($D96,Milestones!$AA$47)&lt;=AsOfDate,IF($Q96=0,$W96,IF(AND($S96&lt;&gt;"",EDATE($D96,Milestones!$AA$47)&gt;=$S96),$V96,IF(AND($R96&lt;&gt;"",EDATE($D96,Milestones!$AA$47)&gt;=$R96),$U96,$T96)))=Milestones!$AB$47),TEXT(EDATE($D96,Milestones!$AA$47),"dd/mm/yy")&amp;" "&amp;Milestones!$AB$47&amp;" "&amp;Milestones!$AC$47&amp;";  ","")&amp;IF(AND(EDATE($D96,Milestones!$AA$48)&lt;=AsOfDate,IF($Q96=0,$W96,IF(AND($S96&lt;&gt;"",EDATE($D96,Milestones!$AA$48)&gt;=$S96),$V96,IF(AND($R96&lt;&gt;"",EDATE($D96,Milestones!$AA$48)&gt;=$R96),$U96,$T96)))=Milestones!$AB$48),TEXT(EDATE($D96,Milestones!$AA$48),"dd/mm/yy")&amp;" "&amp;Milestones!$AB$48&amp;" "&amp;Milestones!$AC$48&amp;";  ","")&amp;IF(AND(EDATE($D96,Milestones!$AA$49)&lt;=AsOfDate,IF($Q96=0,$W96,IF(AND($S96&lt;&gt;"",EDATE($D96,Milestones!$AA$49)&gt;=$S96),$V96,IF(AND($R96&lt;&gt;"",EDATE($D96,Milestones!$AA$49)&gt;=$R96),$U96,$T96)))=Milestones!$AB$49),TEXT(EDATE($D96,Milestones!$AA$49),"dd/mm/yy")&amp;" "&amp;Milestones!$AB$49&amp;" "&amp;Milestones!$AC$49&amp;";  ","")&amp;IF(AND(EDATE($D96,Milestones!$AA$50)&lt;=AsOfDate,IF($Q96=0,$W96,IF(AND($S96&lt;&gt;"",EDATE($D96,Milestones!$AA$50)&gt;=$S96),$V96,IF(AND($R96&lt;&gt;"",EDATE($D96,Milestones!$AA$50)&gt;=$R96),$U96,$T96)))=Milestones!$AB$50),TEXT(EDATE($D96,Milestones!$AA$50),"dd/mm/yy")&amp;" "&amp;Milestones!$AB$50&amp;" "&amp;Milestones!$AC$50&amp;";  ","")&amp;IF(AND(EDATE($D96,Milestones!$AA$51)&lt;=AsOfDate,IF($Q96=0,$W96,IF(AND($S96&lt;&gt;"",EDATE($D96,Milestones!$AA$51)&gt;=$S96),$V96,IF(AND($R96&lt;&gt;"",EDATE($D96,Milestones!$AA$51)&gt;=$R96),$U96,$T96)))=Milestones!$AB$51),TEXT(EDATE($D96,Milestones!$AA$51),"dd/mm/yy")&amp;" "&amp;Milestones!$AB$51&amp;" "&amp;Milestones!$AC$51&amp;";  ","")&amp;IF(AND(EDATE($D96,Milestones!$AA$52)&lt;=AsOfDate,IF($Q96=0,$W96,IF(AND($S96&lt;&gt;"",EDATE($D96,Milestones!$AA$52)&gt;=$S96),$V96,IF(AND($R96&lt;&gt;"",EDATE($D96,Milestones!$AA$52)&gt;=$R96),$U96,$T96)))=Milestones!$AB$52),TEXT(EDATE($D96,Milestones!$AA$52),"dd/mm/yy")&amp;" "&amp;Milestones!$AB$52&amp;" "&amp;Milestones!$AC$52&amp;";  ","")&amp;IF(AND(EDATE($D96,Milestones!$AA$53)&lt;=AsOfDate,IF($Q96=0,$W96,IF(AND($S96&lt;&gt;"",EDATE($D96,Milestones!$AA$53)&gt;=$S96),$V96,IF(AND($R96&lt;&gt;"",EDATE($D96,Milestones!$AA$53)&gt;=$R96),$U96,$T96)))=Milestones!$AB$53),TEXT(EDATE($D96,Milestones!$AA$53),"dd/mm/yy")&amp;" "&amp;Milestones!$AB$53&amp;" "&amp;Milestones!$AC$53&amp;";  ","")&amp;IF(AND(EDATE($D96,Milestones!$AA$54)&lt;=AsOfDate,IF($Q96=0,$W96,IF(AND($S96&lt;&gt;"",EDATE($D96,Milestones!$AA$54)&gt;=$S96),$V96,IF(AND($R96&lt;&gt;"",EDATE($D96,Milestones!$AA$54)&gt;=$R96),$U96,$T96)))=Milestones!$AB$54),TEXT(EDATE($D96,Milestones!$AA$54),"dd/mm/yy")&amp;" "&amp;Milestones!$AB$54&amp;" "&amp;Milestones!$AC$54&amp;";  ","")&amp;IF(AND(EDATE($D96,Milestones!$AA$55)&lt;=AsOfDate,IF($Q96=0,$W96,IF(AND($S96&lt;&gt;"",EDATE($D96,Milestones!$AA$55)&gt;=$S96),$V96,IF(AND($R96&lt;&gt;"",EDATE($D96,Milestones!$AA$55)&gt;=$R96),$U96,$T96)))=Milestones!$AB$55),TEXT(EDATE($D96,Milestones!$AA$55),"dd/mm/yy")&amp;" "&amp;Milestones!$AB$55&amp;" "&amp;Milestones!$AC$55&amp;";  ","")&amp;IF(AND(EDATE($D96,Milestones!$AA$56)&lt;=AsOfDate,IF($Q96=0,$W96,IF(AND($S96&lt;&gt;"",EDATE($D96,Milestones!$AA$56)&gt;=$S96),$V96,IF(AND($R96&lt;&gt;"",EDATE($D96,Milestones!$AA$56)&gt;=$R96),$U96,$T96)))=Milestones!$AB$56),TEXT(EDATE($D96,Milestones!$AA$56),"dd/mm/yy")&amp;" "&amp;Milestones!$AB$56&amp;" "&amp;Milestones!$AC$56&amp;";  ","")&amp;IF(AND(EDATE($D96,Milestones!$AA$57)&lt;=AsOfDate,IF($Q96=0,$W96,IF(AND($S96&lt;&gt;"",EDATE($D96,Milestones!$AA$57)&gt;=$S96),$V96,IF(AND($R96&lt;&gt;"",EDATE($D96,Milestones!$AA$57)&gt;=$R96),$U96,$T96)))=Milestones!$AB$57),TEXT(EDATE($D96,Milestones!$AA$57),"dd/mm/yy")&amp;" "&amp;Milestones!$AB$57&amp;" "&amp;Milestones!$AC$57&amp;";  ","")&amp;IF(AND(EDATE($D96,Milestones!$AA$58)&lt;=AsOfDate,IF($Q96=0,$W96,IF(AND($S96&lt;&gt;"",EDATE($D96,Milestones!$AA$58)&gt;=$S96),$V96,IF(AND($R96&lt;&gt;"",EDATE($D96,Milestones!$AA$58)&gt;=$R96),$U96,$T96)))=Milestones!$AB$58),TEXT(EDATE($D96,Milestones!$AA$58),"dd/mm/yy")&amp;" "&amp;Milestones!$AB$58&amp;" "&amp;Milestones!$AC$58&amp;";  ","")&amp;IF(AND(EDATE($D96,Milestones!$AA$59)&lt;=AsOfDate,IF($Q96=0,$W96,IF(AND($S96&lt;&gt;"",EDATE($D96,Milestones!$AA$59)&gt;=$S96),$V96,IF(AND($R96&lt;&gt;"",EDATE($D96,Milestones!$AA$59)&gt;=$R96),$U96,$T96)))=Milestones!$AB$59),TEXT(EDATE($D96,Milestones!$AA$59),"dd/mm/yy")&amp;" "&amp;Milestones!$AB$59&amp;" "&amp;Milestones!$AC$59&amp;";  ",""))</f>
        <v/>
      </c>
      <c r="J96" s="0" t="str">
        <f aca="false">IF(OR($A96="",$D96=""),"",IF(AND(EDATE($D96,Milestones!$AA$60)&lt;=AsOfDate,IF($Q96=0,$W96,IF(AND($S96&lt;&gt;"",EDATE($D96,Milestones!$AA$60)&gt;=$S96),$V96,IF(AND($R96&lt;&gt;"",EDATE($D96,Milestones!$AA$60)&gt;=$R96),$U96,$T96)))=Milestones!$AB$60),TEXT(EDATE($D96,Milestones!$AA$60),"dd/mm/yy")&amp;" "&amp;Milestones!$AB$60&amp;" "&amp;Milestones!$AC$60&amp;";  ","")&amp;IF(AND(EDATE($D96,Milestones!$AA$61)&lt;=AsOfDate,IF($Q96=0,$W96,IF(AND($S96&lt;&gt;"",EDATE($D96,Milestones!$AA$61)&gt;=$S96),$V96,IF(AND($R96&lt;&gt;"",EDATE($D96,Milestones!$AA$61)&gt;=$R96),$U96,$T96)))=Milestones!$AB$61),TEXT(EDATE($D96,Milestones!$AA$61),"dd/mm/yy")&amp;" "&amp;Milestones!$AB$61&amp;" "&amp;Milestones!$AC$61&amp;";  ","")&amp;IF(AND(EDATE($D96,Milestones!$AA$62)&lt;=AsOfDate,IF($Q96=0,$W96,IF(AND($S96&lt;&gt;"",EDATE($D96,Milestones!$AA$62)&gt;=$S96),$V96,IF(AND($R96&lt;&gt;"",EDATE($D96,Milestones!$AA$62)&gt;=$R96),$U96,$T96)))=Milestones!$AB$62),TEXT(EDATE($D96,Milestones!$AA$62),"dd/mm/yy")&amp;" "&amp;Milestones!$AB$62&amp;" "&amp;Milestones!$AC$62&amp;";  ","")&amp;IF(AND(EDATE($D96,Milestones!$AA$63)&lt;=AsOfDate,IF($Q96=0,$W96,IF(AND($S96&lt;&gt;"",EDATE($D96,Milestones!$AA$63)&gt;=$S96),$V96,IF(AND($R96&lt;&gt;"",EDATE($D96,Milestones!$AA$63)&gt;=$R96),$U96,$T96)))=Milestones!$AB$63),TEXT(EDATE($D96,Milestones!$AA$63),"dd/mm/yy")&amp;" "&amp;Milestones!$AB$63&amp;" "&amp;Milestones!$AC$63&amp;";  ","")&amp;IF(AND(EDATE($D96,Milestones!$AA$64)&lt;=AsOfDate,IF($Q96=0,$W96,IF(AND($S96&lt;&gt;"",EDATE($D96,Milestones!$AA$64)&gt;=$S96),$V96,IF(AND($R96&lt;&gt;"",EDATE($D96,Milestones!$AA$64)&gt;=$R96),$U96,$T96)))=Milestones!$AB$64),TEXT(EDATE($D96,Milestones!$AA$64),"dd/mm/yy")&amp;" "&amp;Milestones!$AB$64&amp;" "&amp;Milestones!$AC$64&amp;";  ","")&amp;IF(AND(EDATE($D96,Milestones!$AA$65)&lt;=AsOfDate,IF($Q96=0,$W96,IF(AND($S96&lt;&gt;"",EDATE($D96,Milestones!$AA$65)&gt;=$S96),$V96,IF(AND($R96&lt;&gt;"",EDATE($D96,Milestones!$AA$65)&gt;=$R96),$U96,$T96)))=Milestones!$AB$65),TEXT(EDATE($D96,Milestones!$AA$65),"dd/mm/yy")&amp;" "&amp;Milestones!$AB$65&amp;" "&amp;Milestones!$AC$65&amp;";  ","")&amp;IF(AND(EDATE($D96,Milestones!$AA$66)&lt;=AsOfDate,IF($Q96=0,$W96,IF(AND($S96&lt;&gt;"",EDATE($D96,Milestones!$AA$66)&gt;=$S96),$V96,IF(AND($R96&lt;&gt;"",EDATE($D96,Milestones!$AA$66)&gt;=$R96),$U96,$T96)))=Milestones!$AB$66),TEXT(EDATE($D96,Milestones!$AA$66),"dd/mm/yy")&amp;" "&amp;Milestones!$AB$66&amp;" "&amp;Milestones!$AC$66&amp;";  ","")&amp;IF(AND(EDATE($D96,Milestones!$AA$67)&lt;=AsOfDate,IF($Q96=0,$W96,IF(AND($S96&lt;&gt;"",EDATE($D96,Milestones!$AA$67)&gt;=$S96),$V96,IF(AND($R96&lt;&gt;"",EDATE($D96,Milestones!$AA$67)&gt;=$R96),$U96,$T96)))=Milestones!$AB$67),TEXT(EDATE($D96,Milestones!$AA$67),"dd/mm/yy")&amp;" "&amp;Milestones!$AB$67&amp;" "&amp;Milestones!$AC$67&amp;";  ","")&amp;IF(AND(EDATE($D96,Milestones!$AA$68)&lt;=AsOfDate,IF($Q96=0,$W96,IF(AND($S96&lt;&gt;"",EDATE($D96,Milestones!$AA$68)&gt;=$S96),$V96,IF(AND($R96&lt;&gt;"",EDATE($D96,Milestones!$AA$68)&gt;=$R96),$U96,$T96)))=Milestones!$AB$68),TEXT(EDATE($D96,Milestones!$AA$68),"dd/mm/yy")&amp;" "&amp;Milestones!$AB$68&amp;" "&amp;Milestones!$AC$68&amp;";  ","")&amp;IF(AND(EDATE($D96,Milestones!$AA$69)&lt;=AsOfDate,IF($Q96=0,$W96,IF(AND($S96&lt;&gt;"",EDATE($D96,Milestones!$AA$69)&gt;=$S96),$V96,IF(AND($R96&lt;&gt;"",EDATE($D96,Milestones!$AA$69)&gt;=$R96),$U96,$T96)))=Milestones!$AB$69),TEXT(EDATE($D96,Milestones!$AA$69),"dd/mm/yy")&amp;" "&amp;Milestones!$AB$69&amp;" "&amp;Milestones!$AC$69&amp;";  ","")&amp;IF(AND(EDATE($D96,Milestones!$AA$70)&lt;=AsOfDate,IF($Q96=0,$W96,IF(AND($S96&lt;&gt;"",EDATE($D96,Milestones!$AA$70)&gt;=$S96),$V96,IF(AND($R96&lt;&gt;"",EDATE($D96,Milestones!$AA$70)&gt;=$R96),$U96,$T96)))=Milestones!$AB$70),TEXT(EDATE($D96,Milestones!$AA$70),"dd/mm/yy")&amp;" "&amp;Milestones!$AB$70&amp;" "&amp;Milestones!$AC$70&amp;";  ","")&amp;IF(AND(EDATE($D96,Milestones!$AA$71)&lt;=AsOfDate,IF($Q96=0,$W96,IF(AND($S96&lt;&gt;"",EDATE($D96,Milestones!$AA$71)&gt;=$S96),$V96,IF(AND($R96&lt;&gt;"",EDATE($D96,Milestones!$AA$71)&gt;=$R96),$U96,$T96)))=Milestones!$AB$71),TEXT(EDATE($D96,Milestones!$AA$71),"dd/mm/yy")&amp;" "&amp;Milestones!$AB$71&amp;" "&amp;Milestones!$AC$71&amp;";  ","")&amp;IF(AND(EDATE($D96,Milestones!$AA$72)&lt;=AsOfDate,IF($Q96=0,$W96,IF(AND($S96&lt;&gt;"",EDATE($D96,Milestones!$AA$72)&gt;=$S96),$V96,IF(AND($R96&lt;&gt;"",EDATE($D96,Milestones!$AA$72)&gt;=$R96),$U96,$T96)))=Milestones!$AB$72),TEXT(EDATE($D96,Milestones!$AA$72),"dd/mm/yy")&amp;" "&amp;Milestones!$AB$72&amp;" "&amp;Milestones!$AC$72&amp;";  ","")&amp;IF(AND(EDATE($D96,Milestones!$AA$73)&lt;=AsOfDate,IF($Q96=0,$W96,IF(AND($S96&lt;&gt;"",EDATE($D96,Milestones!$AA$73)&gt;=$S96),$V96,IF(AND($R96&lt;&gt;"",EDATE($D96,Milestones!$AA$73)&gt;=$R96),$U96,$T96)))=Milestones!$AB$73),TEXT(EDATE($D96,Milestones!$AA$73),"dd/mm/yy")&amp;" "&amp;Milestones!$AB$73&amp;" "&amp;Milestones!$AC$73&amp;";  ","")&amp;IF(AND(EDATE($D96,Milestones!$AA$74)&lt;=AsOfDate,IF($Q96=0,$W96,IF(AND($S96&lt;&gt;"",EDATE($D96,Milestones!$AA$74)&gt;=$S96),$V96,IF(AND($R96&lt;&gt;"",EDATE($D96,Milestones!$AA$74)&gt;=$R96),$U96,$T96)))=Milestones!$AB$74),TEXT(EDATE($D96,Milestones!$AA$74),"dd/mm/yy")&amp;" "&amp;Milestones!$AB$74&amp;" "&amp;Milestones!$AC$74&amp;";  ","")&amp;IF(AND(EDATE($D96,Milestones!$AA$75)&lt;=AsOfDate,IF($Q96=0,$W96,IF(AND($S96&lt;&gt;"",EDATE($D96,Milestones!$AA$75)&gt;=$S96),$V96,IF(AND($R96&lt;&gt;"",EDATE($D96,Milestones!$AA$75)&gt;=$R96),$U96,$T96)))=Milestones!$AB$75),TEXT(EDATE($D96,Milestones!$AA$75),"dd/mm/yy")&amp;" "&amp;Milestones!$AB$75&amp;" "&amp;Milestones!$AC$75&amp;";  ","")&amp;IF(AND(EDATE($D96,Milestones!$AA$76)&lt;=AsOfDate,IF($Q96=0,$W96,IF(AND($S96&lt;&gt;"",EDATE($D96,Milestones!$AA$76)&gt;=$S96),$V96,IF(AND($R96&lt;&gt;"",EDATE($D96,Milestones!$AA$76)&gt;=$R96),$U96,$T96)))=Milestones!$AB$76),TEXT(EDATE($D96,Milestones!$AA$76),"dd/mm/yy")&amp;" "&amp;Milestones!$AB$76&amp;" "&amp;Milestones!$AC$76&amp;";  ","")&amp;IF(AND(EDATE($D96,Milestones!$AA$77)&lt;=AsOfDate,IF($Q96=0,$W96,IF(AND($S96&lt;&gt;"",EDATE($D96,Milestones!$AA$77)&gt;=$S96),$V96,IF(AND($R96&lt;&gt;"",EDATE($D96,Milestones!$AA$77)&gt;=$R96),$U96,$T96)))=Milestones!$AB$77),TEXT(EDATE($D96,Milestones!$AA$77),"dd/mm/yy")&amp;" "&amp;Milestones!$AB$77&amp;" "&amp;Milestones!$AC$77&amp;";  ","")&amp;IF(AND(EDATE($D96,Milestones!$AA$78)&lt;=AsOfDate,IF($Q96=0,$W96,IF(AND($S96&lt;&gt;"",EDATE($D96,Milestones!$AA$78)&gt;=$S96),$V96,IF(AND($R96&lt;&gt;"",EDATE($D96,Milestones!$AA$78)&gt;=$R96),$U96,$T96)))=Milestones!$AB$78),TEXT(EDATE($D96,Milestones!$AA$78),"dd/mm/yy")&amp;" "&amp;Milestones!$AB$78&amp;" "&amp;Milestones!$AC$78&amp;";  ","")&amp;IF(AND(EDATE($D96,Milestones!$AA$79)&lt;=AsOfDate,IF($Q96=0,$W96,IF(AND($S96&lt;&gt;"",EDATE($D96,Milestones!$AA$79)&gt;=$S96),$V96,IF(AND($R96&lt;&gt;"",EDATE($D96,Milestones!$AA$79)&gt;=$R96),$U96,$T96)))=Milestones!$AB$79),TEXT(EDATE($D96,Milestones!$AA$79),"dd/mm/yy")&amp;" "&amp;Milestones!$AB$79&amp;" "&amp;Milestones!$AC$79&amp;";  ",""))</f>
        <v/>
      </c>
      <c r="K96" s="0" t="str">
        <f aca="false">IF(OR($A96="",$D96=""),"",IF(AND(EDATE($D96,Milestones!$AA$80)&lt;=AsOfDate,IF($Q96=0,$W96,IF(AND($S96&lt;&gt;"",EDATE($D96,Milestones!$AA$80)&gt;=$S96),$V96,IF(AND($R96&lt;&gt;"",EDATE($D96,Milestones!$AA$80)&gt;=$R96),$U96,$T96)))=Milestones!$AB$80),TEXT(EDATE($D96,Milestones!$AA$80),"dd/mm/yy")&amp;" "&amp;Milestones!$AB$80&amp;" "&amp;Milestones!$AC$80&amp;";  ","")&amp;IF(AND(EDATE($D96,Milestones!$AA$81)&lt;=AsOfDate,IF($Q96=0,$W96,IF(AND($S96&lt;&gt;"",EDATE($D96,Milestones!$AA$81)&gt;=$S96),$V96,IF(AND($R96&lt;&gt;"",EDATE($D96,Milestones!$AA$81)&gt;=$R96),$U96,$T96)))=Milestones!$AB$81),TEXT(EDATE($D96,Milestones!$AA$81),"dd/mm/yy")&amp;" "&amp;Milestones!$AB$81&amp;" "&amp;Milestones!$AC$81&amp;";  ","")&amp;IF(AND(EDATE($D96,Milestones!$AA$82)&lt;=AsOfDate,IF($Q96=0,$W96,IF(AND($S96&lt;&gt;"",EDATE($D96,Milestones!$AA$82)&gt;=$S96),$V96,IF(AND($R96&lt;&gt;"",EDATE($D96,Milestones!$AA$82)&gt;=$R96),$U96,$T96)))=Milestones!$AB$82),TEXT(EDATE($D96,Milestones!$AA$82),"dd/mm/yy")&amp;" "&amp;Milestones!$AB$82&amp;" "&amp;Milestones!$AC$82&amp;";  ","")&amp;IF(AND(EDATE($D96,Milestones!$AA$83)&lt;=AsOfDate,IF($Q96=0,$W96,IF(AND($S96&lt;&gt;"",EDATE($D96,Milestones!$AA$83)&gt;=$S96),$V96,IF(AND($R96&lt;&gt;"",EDATE($D96,Milestones!$AA$83)&gt;=$R96),$U96,$T96)))=Milestones!$AB$83),TEXT(EDATE($D96,Milestones!$AA$83),"dd/mm/yy")&amp;" "&amp;Milestones!$AB$83&amp;" "&amp;Milestones!$AC$83&amp;";  ","")&amp;IF(AND(EDATE($D96,Milestones!$AA$84)&lt;=AsOfDate,IF($Q96=0,$W96,IF(AND($S96&lt;&gt;"",EDATE($D96,Milestones!$AA$84)&gt;=$S96),$V96,IF(AND($R96&lt;&gt;"",EDATE($D96,Milestones!$AA$84)&gt;=$R96),$U96,$T96)))=Milestones!$AB$84),TEXT(EDATE($D96,Milestones!$AA$84),"dd/mm/yy")&amp;" "&amp;Milestones!$AB$84&amp;" "&amp;Milestones!$AC$84&amp;";  ","")&amp;IF(AND(EDATE($D96,Milestones!$AA$85)&lt;=AsOfDate,IF($Q96=0,$W96,IF(AND($S96&lt;&gt;"",EDATE($D96,Milestones!$AA$85)&gt;=$S96),$V96,IF(AND($R96&lt;&gt;"",EDATE($D96,Milestones!$AA$85)&gt;=$R96),$U96,$T96)))=Milestones!$AB$85),TEXT(EDATE($D96,Milestones!$AA$85),"dd/mm/yy")&amp;" "&amp;Milestones!$AB$85&amp;" "&amp;Milestones!$AC$85&amp;";  ","")&amp;IF(AND(EDATE($D96,Milestones!$AA$86)&lt;=AsOfDate,IF($Q96=0,$W96,IF(AND($S96&lt;&gt;"",EDATE($D96,Milestones!$AA$86)&gt;=$S96),$V96,IF(AND($R96&lt;&gt;"",EDATE($D96,Milestones!$AA$86)&gt;=$R96),$U96,$T96)))=Milestones!$AB$86),TEXT(EDATE($D96,Milestones!$AA$86),"dd/mm/yy")&amp;" "&amp;Milestones!$AB$86&amp;" "&amp;Milestones!$AC$86&amp;";  ","")&amp;IF(AND(EDATE($D96,Milestones!$AA$87)&lt;=AsOfDate,IF($Q96=0,$W96,IF(AND($S96&lt;&gt;"",EDATE($D96,Milestones!$AA$87)&gt;=$S96),$V96,IF(AND($R96&lt;&gt;"",EDATE($D96,Milestones!$AA$87)&gt;=$R96),$U96,$T96)))=Milestones!$AB$87),TEXT(EDATE($D96,Milestones!$AA$87),"dd/mm/yy")&amp;" "&amp;Milestones!$AB$87&amp;" "&amp;Milestones!$AC$87&amp;";  ","")&amp;IF(AND(EDATE($D96,Milestones!$AA$88)&lt;=AsOfDate,IF($Q96=0,$W96,IF(AND($S96&lt;&gt;"",EDATE($D96,Milestones!$AA$88)&gt;=$S96),$V96,IF(AND($R96&lt;&gt;"",EDATE($D96,Milestones!$AA$88)&gt;=$R96),$U96,$T96)))=Milestones!$AB$88),TEXT(EDATE($D96,Milestones!$AA$88),"dd/mm/yy")&amp;" "&amp;Milestones!$AB$88&amp;" "&amp;Milestones!$AC$88&amp;";  ","")&amp;IF(AND(EDATE($D96,Milestones!$AA$89)&lt;=AsOfDate,IF($Q96=0,$W96,IF(AND($S96&lt;&gt;"",EDATE($D96,Milestones!$AA$89)&gt;=$S96),$V96,IF(AND($R96&lt;&gt;"",EDATE($D96,Milestones!$AA$89)&gt;=$R96),$U96,$T96)))=Milestones!$AB$89),TEXT(EDATE($D96,Milestones!$AA$89),"dd/mm/yy")&amp;" "&amp;Milestones!$AB$89&amp;" "&amp;Milestones!$AC$89&amp;";  ","")&amp;IF(AND(EDATE($D96,Milestones!$AA$90)&lt;=AsOfDate,IF($Q96=0,$W96,IF(AND($S96&lt;&gt;"",EDATE($D96,Milestones!$AA$90)&gt;=$S96),$V96,IF(AND($R96&lt;&gt;"",EDATE($D96,Milestones!$AA$90)&gt;=$R96),$U96,$T96)))=Milestones!$AB$90),TEXT(EDATE($D96,Milestones!$AA$90),"dd/mm/yy")&amp;" "&amp;Milestones!$AB$90&amp;" "&amp;Milestones!$AC$90&amp;";  ","")&amp;IF(AND(EDATE($D96,Milestones!$AA$91)&lt;=AsOfDate,IF($Q96=0,$W96,IF(AND($S96&lt;&gt;"",EDATE($D96,Milestones!$AA$91)&gt;=$S96),$V96,IF(AND($R96&lt;&gt;"",EDATE($D96,Milestones!$AA$91)&gt;=$R96),$U96,$T96)))=Milestones!$AB$91),TEXT(EDATE($D96,Milestones!$AA$91),"dd/mm/yy")&amp;" "&amp;Milestones!$AB$91&amp;" "&amp;Milestones!$AC$91&amp;";  ","")&amp;IF(AND(EDATE($D96,Milestones!$AA$92)&lt;=AsOfDate,IF($Q96=0,$W96,IF(AND($S96&lt;&gt;"",EDATE($D96,Milestones!$AA$92)&gt;=$S96),$V96,IF(AND($R96&lt;&gt;"",EDATE($D96,Milestones!$AA$92)&gt;=$R96),$U96,$T96)))=Milestones!$AB$92),TEXT(EDATE($D96,Milestones!$AA$92),"dd/mm/yy")&amp;" "&amp;Milestones!$AB$92&amp;" "&amp;Milestones!$AC$92&amp;";  ","")&amp;IF(AND(EDATE($D96,Milestones!$AA$93)&lt;=AsOfDate,IF($Q96=0,$W96,IF(AND($S96&lt;&gt;"",EDATE($D96,Milestones!$AA$93)&gt;=$S96),$V96,IF(AND($R96&lt;&gt;"",EDATE($D96,Milestones!$AA$93)&gt;=$R96),$U96,$T96)))=Milestones!$AB$93),TEXT(EDATE($D96,Milestones!$AA$93),"dd/mm/yy")&amp;" "&amp;Milestones!$AB$93&amp;" "&amp;Milestones!$AC$93&amp;";  ","")&amp;IF(AND(EDATE($D96,Milestones!$AA$94)&lt;=AsOfDate,IF($Q96=0,$W96,IF(AND($S96&lt;&gt;"",EDATE($D96,Milestones!$AA$94)&gt;=$S96),$V96,IF(AND($R96&lt;&gt;"",EDATE($D96,Milestones!$AA$94)&gt;=$R96),$U96,$T96)))=Milestones!$AB$94),TEXT(EDATE($D96,Milestones!$AA$94),"dd/mm/yy")&amp;" "&amp;Milestones!$AB$94&amp;" "&amp;Milestones!$AC$94&amp;";  ","")&amp;IF(AND(EDATE($D96,Milestones!$AA$95)&lt;=AsOfDate,IF($Q96=0,$W96,IF(AND($S96&lt;&gt;"",EDATE($D96,Milestones!$AA$95)&gt;=$S96),$V96,IF(AND($R96&lt;&gt;"",EDATE($D96,Milestones!$AA$95)&gt;=$R96),$U96,$T96)))=Milestones!$AB$95),TEXT(EDATE($D96,Milestones!$AA$95),"dd/mm/yy")&amp;" "&amp;Milestones!$AB$95&amp;" "&amp;Milestones!$AC$95&amp;";  ","")&amp;IF(AND(EDATE($D96,Milestones!$AA$96)&lt;=AsOfDate,IF($Q96=0,$W96,IF(AND($S96&lt;&gt;"",EDATE($D96,Milestones!$AA$96)&gt;=$S96),$V96,IF(AND($R96&lt;&gt;"",EDATE($D96,Milestones!$AA$96)&gt;=$R96),$U96,$T96)))=Milestones!$AB$96),TEXT(EDATE($D96,Milestones!$AA$96),"dd/mm/yy")&amp;" "&amp;Milestones!$AB$96&amp;" "&amp;Milestones!$AC$96&amp;";  ","")&amp;IF(AND(EDATE($D96,Milestones!$AA$97)&lt;=AsOfDate,IF($Q96=0,$W96,IF(AND($S96&lt;&gt;"",EDATE($D96,Milestones!$AA$97)&gt;=$S96),$V96,IF(AND($R96&lt;&gt;"",EDATE($D96,Milestones!$AA$97)&gt;=$R96),$U96,$T96)))=Milestones!$AB$97),TEXT(EDATE($D96,Milestones!$AA$97),"dd/mm/yy")&amp;" "&amp;Milestones!$AB$97&amp;" "&amp;Milestones!$AC$97&amp;";  ","")&amp;IF(AND(EDATE($D96,Milestones!$AA$98)&lt;=AsOfDate,IF($Q96=0,$W96,IF(AND($S96&lt;&gt;"",EDATE($D96,Milestones!$AA$98)&gt;=$S96),$V96,IF(AND($R96&lt;&gt;"",EDATE($D96,Milestones!$AA$98)&gt;=$R96),$U96,$T96)))=Milestones!$AB$98),TEXT(EDATE($D96,Milestones!$AA$98),"dd/mm/yy")&amp;" "&amp;Milestones!$AB$98&amp;" "&amp;Milestones!$AC$98&amp;";  ","")&amp;IF(AND(EDATE($D96,Milestones!$AA$99)&lt;=AsOfDate,IF($Q96=0,$W96,IF(AND($S96&lt;&gt;"",EDATE($D96,Milestones!$AA$99)&gt;=$S96),$V96,IF(AND($R96&lt;&gt;"",EDATE($D96,Milestones!$AA$99)&gt;=$R96),$U96,$T96)))=Milestones!$AB$99),TEXT(EDATE($D96,Milestones!$AA$99),"dd/mm/yy")&amp;" "&amp;Milestones!$AB$99&amp;" "&amp;Milestones!$AC$99&amp;";  ",""))</f>
        <v/>
      </c>
      <c r="L96" s="0" t="str">
        <f aca="false">IF(OR($A96="",$D96=""),"",IF(AND(EDATE($D96,Milestones!$AA$100)&lt;=AsOfDate,IF($Q96=0,$W96,IF(AND($S96&lt;&gt;"",EDATE($D96,Milestones!$AA$100)&gt;=$S96),$V96,IF(AND($R96&lt;&gt;"",EDATE($D96,Milestones!$AA$100)&gt;=$R96),$U96,$T96)))=Milestones!$AB$100),TEXT(EDATE($D96,Milestones!$AA$100),"dd/mm/yy")&amp;" "&amp;Milestones!$AB$100&amp;" "&amp;Milestones!$AC$100&amp;";  ","")&amp;IF(AND(EDATE($D96,Milestones!$AA$101)&lt;=AsOfDate,IF($Q96=0,$W96,IF(AND($S96&lt;&gt;"",EDATE($D96,Milestones!$AA$101)&gt;=$S96),$V96,IF(AND($R96&lt;&gt;"",EDATE($D96,Milestones!$AA$101)&gt;=$R96),$U96,$T96)))=Milestones!$AB$101),TEXT(EDATE($D96,Milestones!$AA$101),"dd/mm/yy")&amp;" "&amp;Milestones!$AB$101&amp;" "&amp;Milestones!$AC$101&amp;";  ","")&amp;IF(AND(EDATE($D96,Milestones!$AA$102)&lt;=AsOfDate,IF($Q96=0,$W96,IF(AND($S96&lt;&gt;"",EDATE($D96,Milestones!$AA$102)&gt;=$S96),$V96,IF(AND($R96&lt;&gt;"",EDATE($D96,Milestones!$AA$102)&gt;=$R96),$U96,$T96)))=Milestones!$AB$102),TEXT(EDATE($D96,Milestones!$AA$102),"dd/mm/yy")&amp;" "&amp;Milestones!$AB$102&amp;" "&amp;Milestones!$AC$102&amp;";  ","")&amp;IF(AND(EDATE($D96,Milestones!$AA$103)&lt;=AsOfDate,IF($Q96=0,$W96,IF(AND($S96&lt;&gt;"",EDATE($D96,Milestones!$AA$103)&gt;=$S96),$V96,IF(AND($R96&lt;&gt;"",EDATE($D96,Milestones!$AA$103)&gt;=$R96),$U96,$T96)))=Milestones!$AB$103),TEXT(EDATE($D96,Milestones!$AA$103),"dd/mm/yy")&amp;" "&amp;Milestones!$AB$103&amp;" "&amp;Milestones!$AC$103&amp;";  ","")&amp;IF(AND(EDATE($D96,Milestones!$AA$104)&lt;=AsOfDate,IF($Q96=0,$W96,IF(AND($S96&lt;&gt;"",EDATE($D96,Milestones!$AA$104)&gt;=$S96),$V96,IF(AND($R96&lt;&gt;"",EDATE($D96,Milestones!$AA$104)&gt;=$R96),$U96,$T96)))=Milestones!$AB$104),TEXT(EDATE($D96,Milestones!$AA$104),"dd/mm/yy")&amp;" "&amp;Milestones!$AB$104&amp;" "&amp;Milestones!$AC$104&amp;";  ","")&amp;IF(AND(EDATE($D96,Milestones!$AA$105)&lt;=AsOfDate,IF($Q96=0,$W96,IF(AND($S96&lt;&gt;"",EDATE($D96,Milestones!$AA$105)&gt;=$S96),$V96,IF(AND($R96&lt;&gt;"",EDATE($D96,Milestones!$AA$105)&gt;=$R96),$U96,$T96)))=Milestones!$AB$105),TEXT(EDATE($D96,Milestones!$AA$105),"dd/mm/yy")&amp;" "&amp;Milestones!$AB$105&amp;" "&amp;Milestones!$AC$105&amp;";  ","")&amp;IF(AND(EDATE($D96,Milestones!$AA$106)&lt;=AsOfDate,IF($Q96=0,$W96,IF(AND($S96&lt;&gt;"",EDATE($D96,Milestones!$AA$106)&gt;=$S96),$V96,IF(AND($R96&lt;&gt;"",EDATE($D96,Milestones!$AA$106)&gt;=$R96),$U96,$T96)))=Milestones!$AB$106),TEXT(EDATE($D96,Milestones!$AA$106),"dd/mm/yy")&amp;" "&amp;Milestones!$AB$106&amp;" "&amp;Milestones!$AC$106&amp;";  ","")&amp;IF(AND(EDATE($D96,Milestones!$AA$107)&lt;=AsOfDate,IF($Q96=0,$W96,IF(AND($S96&lt;&gt;"",EDATE($D96,Milestones!$AA$107)&gt;=$S96),$V96,IF(AND($R96&lt;&gt;"",EDATE($D96,Milestones!$AA$107)&gt;=$R96),$U96,$T96)))=Milestones!$AB$107),TEXT(EDATE($D96,Milestones!$AA$107),"dd/mm/yy")&amp;" "&amp;Milestones!$AB$107&amp;" "&amp;Milestones!$AC$107&amp;";  ","")&amp;IF(AND(EDATE($D96,Milestones!$AA$108)&lt;=AsOfDate,IF($Q96=0,$W96,IF(AND($S96&lt;&gt;"",EDATE($D96,Milestones!$AA$108)&gt;=$S96),$V96,IF(AND($R96&lt;&gt;"",EDATE($D96,Milestones!$AA$108)&gt;=$R96),$U96,$T96)))=Milestones!$AB$108),TEXT(EDATE($D96,Milestones!$AA$108),"dd/mm/yy")&amp;" "&amp;Milestones!$AB$108&amp;" "&amp;Milestones!$AC$108&amp;";  ","")&amp;IF(AND(EDATE($D96,Milestones!$AA$109)&lt;=AsOfDate,IF($Q96=0,$W96,IF(AND($S96&lt;&gt;"",EDATE($D96,Milestones!$AA$109)&gt;=$S96),$V96,IF(AND($R96&lt;&gt;"",EDATE($D96,Milestones!$AA$109)&gt;=$R96),$U96,$T96)))=Milestones!$AB$109),TEXT(EDATE($D96,Milestones!$AA$109),"dd/mm/yy")&amp;" "&amp;Milestones!$AB$109&amp;" "&amp;Milestones!$AC$109&amp;";  ","")&amp;IF(AND(EDATE($D96,Milestones!$AA$110)&lt;=AsOfDate,IF($Q96=0,$W96,IF(AND($S96&lt;&gt;"",EDATE($D96,Milestones!$AA$110)&gt;=$S96),$V96,IF(AND($R96&lt;&gt;"",EDATE($D96,Milestones!$AA$110)&gt;=$R96),$U96,$T96)))=Milestones!$AB$110),TEXT(EDATE($D96,Milestones!$AA$110),"dd/mm/yy")&amp;" "&amp;Milestones!$AB$110&amp;" "&amp;Milestones!$AC$110&amp;";  ","")&amp;IF(AND(EDATE($D96,Milestones!$AA$111)&lt;=AsOfDate,IF($Q96=0,$W96,IF(AND($S96&lt;&gt;"",EDATE($D96,Milestones!$AA$111)&gt;=$S96),$V96,IF(AND($R96&lt;&gt;"",EDATE($D96,Milestones!$AA$111)&gt;=$R96),$U96,$T96)))=Milestones!$AB$111),TEXT(EDATE($D96,Milestones!$AA$111),"dd/mm/yy")&amp;" "&amp;Milestones!$AB$111&amp;" "&amp;Milestones!$AC$111&amp;";  ","")&amp;IF(AND(EDATE($D96,Milestones!$AA$112)&lt;=AsOfDate,IF($Q96=0,$W96,IF(AND($S96&lt;&gt;"",EDATE($D96,Milestones!$AA$112)&gt;=$S96),$V96,IF(AND($R96&lt;&gt;"",EDATE($D96,Milestones!$AA$112)&gt;=$R96),$U96,$T96)))=Milestones!$AB$112),TEXT(EDATE($D96,Milestones!$AA$112),"dd/mm/yy")&amp;" "&amp;Milestones!$AB$112&amp;" "&amp;Milestones!$AC$112&amp;";  ","")&amp;IF(AND(EDATE($D96,Milestones!$AA$113)&lt;=AsOfDate,IF($Q96=0,$W96,IF(AND($S96&lt;&gt;"",EDATE($D96,Milestones!$AA$113)&gt;=$S96),$V96,IF(AND($R96&lt;&gt;"",EDATE($D96,Milestones!$AA$113)&gt;=$R96),$U96,$T96)))=Milestones!$AB$113),TEXT(EDATE($D96,Milestones!$AA$113),"dd/mm/yy")&amp;" "&amp;Milestones!$AB$113&amp;" "&amp;Milestones!$AC$113&amp;";  ","")&amp;IF(AND(EDATE($D96,Milestones!$AA$114)&lt;=AsOfDate,IF($Q96=0,$W96,IF(AND($S96&lt;&gt;"",EDATE($D96,Milestones!$AA$114)&gt;=$S96),$V96,IF(AND($R96&lt;&gt;"",EDATE($D96,Milestones!$AA$114)&gt;=$R96),$U96,$T96)))=Milestones!$AB$114),TEXT(EDATE($D96,Milestones!$AA$114),"dd/mm/yy")&amp;" "&amp;Milestones!$AB$114&amp;" "&amp;Milestones!$AC$114&amp;";  ","")&amp;IF(AND(EDATE($D96,Milestones!$AA$115)&lt;=AsOfDate,IF($Q96=0,$W96,IF(AND($S96&lt;&gt;"",EDATE($D96,Milestones!$AA$115)&gt;=$S96),$V96,IF(AND($R96&lt;&gt;"",EDATE($D96,Milestones!$AA$115)&gt;=$R96),$U96,$T96)))=Milestones!$AB$115),TEXT(EDATE($D96,Milestones!$AA$115),"dd/mm/yy")&amp;" "&amp;Milestones!$AB$115&amp;" "&amp;Milestones!$AC$115&amp;";  ","")&amp;IF(AND(EDATE($D96,Milestones!$AA$116)&lt;=AsOfDate,IF($Q96=0,$W96,IF(AND($S96&lt;&gt;"",EDATE($D96,Milestones!$AA$116)&gt;=$S96),$V96,IF(AND($R96&lt;&gt;"",EDATE($D96,Milestones!$AA$116)&gt;=$R96),$U96,$T96)))=Milestones!$AB$116),TEXT(EDATE($D96,Milestones!$AA$116),"dd/mm/yy")&amp;" "&amp;Milestones!$AB$116&amp;" "&amp;Milestones!$AC$116&amp;";  ","")&amp;IF(AND(EDATE($D96,Milestones!$AA$117)&lt;=AsOfDate,IF($Q96=0,$W96,IF(AND($S96&lt;&gt;"",EDATE($D96,Milestones!$AA$117)&gt;=$S96),$V96,IF(AND($R96&lt;&gt;"",EDATE($D96,Milestones!$AA$117)&gt;=$R96),$U96,$T96)))=Milestones!$AB$117),TEXT(EDATE($D96,Milestones!$AA$117),"dd/mm/yy")&amp;" "&amp;Milestones!$AB$117&amp;" "&amp;Milestones!$AC$117&amp;";  ","")&amp;IF(AND(EDATE($D96,Milestones!$AA$118)&lt;=AsOfDate,IF($Q96=0,$W96,IF(AND($S96&lt;&gt;"",EDATE($D96,Milestones!$AA$118)&gt;=$S96),$V96,IF(AND($R96&lt;&gt;"",EDATE($D96,Milestones!$AA$118)&gt;=$R96),$U96,$T96)))=Milestones!$AB$118),TEXT(EDATE($D96,Milestones!$AA$118),"dd/mm/yy")&amp;" "&amp;Milestones!$AB$118&amp;" "&amp;Milestones!$AC$118&amp;";  ","")&amp;IF(AND(EDATE($D96,Milestones!$AA$119)&lt;=AsOfDate,IF($Q96=0,$W96,IF(AND($S96&lt;&gt;"",EDATE($D96,Milestones!$AA$119)&gt;=$S96),$V96,IF(AND($R96&lt;&gt;"",EDATE($D96,Milestones!$AA$119)&gt;=$R96),$U96,$T96)))=Milestones!$AB$119),TEXT(EDATE($D96,Milestones!$AA$119),"dd/mm/yy")&amp;" "&amp;Milestones!$AB$119&amp;" "&amp;Milestones!$AC$119&amp;";  ",""))</f>
        <v/>
      </c>
      <c r="M96" s="0" t="str">
        <f aca="false">IF(OR($A96="",$D96=""),"",IF(AND(EDATE($D96,Milestones!$AA$120)&lt;=AsOfDate,IF($Q96=0,$W96,IF(AND($S96&lt;&gt;"",EDATE($D96,Milestones!$AA$120)&gt;=$S96),$V96,IF(AND($R96&lt;&gt;"",EDATE($D96,Milestones!$AA$120)&gt;=$R96),$U96,$T96)))=Milestones!$AB$120),TEXT(EDATE($D96,Milestones!$AA$120),"dd/mm/yy")&amp;" "&amp;Milestones!$AB$120&amp;" "&amp;Milestones!$AC$120&amp;";  ","")&amp;IF(AND(EDATE($D96,Milestones!$AA$121)&lt;=AsOfDate,IF($Q96=0,$W96,IF(AND($S96&lt;&gt;"",EDATE($D96,Milestones!$AA$121)&gt;=$S96),$V96,IF(AND($R96&lt;&gt;"",EDATE($D96,Milestones!$AA$121)&gt;=$R96),$U96,$T96)))=Milestones!$AB$121),TEXT(EDATE($D96,Milestones!$AA$121),"dd/mm/yy")&amp;" "&amp;Milestones!$AB$121&amp;" "&amp;Milestones!$AC$121&amp;";  ","")&amp;IF(AND(EDATE($D96,Milestones!$AA$122)&lt;=AsOfDate,IF($Q96=0,$W96,IF(AND($S96&lt;&gt;"",EDATE($D96,Milestones!$AA$122)&gt;=$S96),$V96,IF(AND($R96&lt;&gt;"",EDATE($D96,Milestones!$AA$122)&gt;=$R96),$U96,$T96)))=Milestones!$AB$122),TEXT(EDATE($D96,Milestones!$AA$122),"dd/mm/yy")&amp;" "&amp;Milestones!$AB$122&amp;" "&amp;Milestones!$AC$122&amp;";  ","")&amp;IF(AND(EDATE($D96,Milestones!$AA$123)&lt;=AsOfDate,IF($Q96=0,$W96,IF(AND($S96&lt;&gt;"",EDATE($D96,Milestones!$AA$123)&gt;=$S96),$V96,IF(AND($R96&lt;&gt;"",EDATE($D96,Milestones!$AA$123)&gt;=$R96),$U96,$T96)))=Milestones!$AB$123),TEXT(EDATE($D96,Milestones!$AA$123),"dd/mm/yy")&amp;" "&amp;Milestones!$AB$123&amp;" "&amp;Milestones!$AC$123&amp;";  ","")&amp;IF(AND(EDATE($D96,Milestones!$AA$124)&lt;=AsOfDate,IF($Q96=0,$W96,IF(AND($S96&lt;&gt;"",EDATE($D96,Milestones!$AA$124)&gt;=$S96),$V96,IF(AND($R96&lt;&gt;"",EDATE($D96,Milestones!$AA$124)&gt;=$R96),$U96,$T96)))=Milestones!$AB$124),TEXT(EDATE($D96,Milestones!$AA$124),"dd/mm/yy")&amp;" "&amp;Milestones!$AB$124&amp;" "&amp;Milestones!$AC$124&amp;";  ","")&amp;IF(AND(EDATE($D96,Milestones!$AA$125)&lt;=AsOfDate,IF($Q96=0,$W96,IF(AND($S96&lt;&gt;"",EDATE($D96,Milestones!$AA$125)&gt;=$S96),$V96,IF(AND($R96&lt;&gt;"",EDATE($D96,Milestones!$AA$125)&gt;=$R96),$U96,$T96)))=Milestones!$AB$125),TEXT(EDATE($D96,Milestones!$AA$125),"dd/mm/yy")&amp;" "&amp;Milestones!$AB$125&amp;" "&amp;Milestones!$AC$125&amp;";  ","")&amp;IF(AND(EDATE($D96,Milestones!$AA$126)&lt;=AsOfDate,IF($Q96=0,$W96,IF(AND($S96&lt;&gt;"",EDATE($D96,Milestones!$AA$126)&gt;=$S96),$V96,IF(AND($R96&lt;&gt;"",EDATE($D96,Milestones!$AA$126)&gt;=$R96),$U96,$T96)))=Milestones!$AB$126),TEXT(EDATE($D96,Milestones!$AA$126),"dd/mm/yy")&amp;" "&amp;Milestones!$AB$126&amp;" "&amp;Milestones!$AC$126&amp;";  ","")&amp;IF(AND(EDATE($D96,Milestones!$AA$127)&lt;=AsOfDate,IF($Q96=0,$W96,IF(AND($S96&lt;&gt;"",EDATE($D96,Milestones!$AA$127)&gt;=$S96),$V96,IF(AND($R96&lt;&gt;"",EDATE($D96,Milestones!$AA$127)&gt;=$R96),$U96,$T96)))=Milestones!$AB$127),TEXT(EDATE($D96,Milestones!$AA$127),"dd/mm/yy")&amp;" "&amp;Milestones!$AB$127&amp;" "&amp;Milestones!$AC$127&amp;";  ","")&amp;IF(AND(EDATE($D96,Milestones!$AA$128)&lt;=AsOfDate,IF($Q96=0,$W96,IF(AND($S96&lt;&gt;"",EDATE($D96,Milestones!$AA$128)&gt;=$S96),$V96,IF(AND($R96&lt;&gt;"",EDATE($D96,Milestones!$AA$128)&gt;=$R96),$U96,$T96)))=Milestones!$AB$128),TEXT(EDATE($D96,Milestones!$AA$128),"dd/mm/yy")&amp;" "&amp;Milestones!$AB$128&amp;" "&amp;Milestones!$AC$128&amp;";  ","")&amp;IF(AND(EDATE($D96,Milestones!$AA$129)&lt;=AsOfDate,IF($Q96=0,$W96,IF(AND($S96&lt;&gt;"",EDATE($D96,Milestones!$AA$129)&gt;=$S96),$V96,IF(AND($R96&lt;&gt;"",EDATE($D96,Milestones!$AA$129)&gt;=$R96),$U96,$T96)))=Milestones!$AB$129),TEXT(EDATE($D96,Milestones!$AA$129),"dd/mm/yy")&amp;" "&amp;Milestones!$AB$129&amp;" "&amp;Milestones!$AC$129&amp;";  ","")&amp;IF(AND(EDATE($D96,Milestones!$AA$130)&lt;=AsOfDate,IF($Q96=0,$W96,IF(AND($S96&lt;&gt;"",EDATE($D96,Milestones!$AA$130)&gt;=$S96),$V96,IF(AND($R96&lt;&gt;"",EDATE($D96,Milestones!$AA$130)&gt;=$R96),$U96,$T96)))=Milestones!$AB$130),TEXT(EDATE($D96,Milestones!$AA$130),"dd/mm/yy")&amp;" "&amp;Milestones!$AB$130&amp;" "&amp;Milestones!$AC$130&amp;";  ","")&amp;IF(AND(EDATE($D96,Milestones!$AA$131)&lt;=AsOfDate,IF($Q96=0,$W96,IF(AND($S96&lt;&gt;"",EDATE($D96,Milestones!$AA$131)&gt;=$S96),$V96,IF(AND($R96&lt;&gt;"",EDATE($D96,Milestones!$AA$131)&gt;=$R96),$U96,$T96)))=Milestones!$AB$131),TEXT(EDATE($D96,Milestones!$AA$131),"dd/mm/yy")&amp;" "&amp;Milestones!$AB$131&amp;" "&amp;Milestones!$AC$131&amp;";  ","")&amp;IF(AND(EDATE($D96,Milestones!$AA$132)&lt;=AsOfDate,IF($Q96=0,$W96,IF(AND($S96&lt;&gt;"",EDATE($D96,Milestones!$AA$132)&gt;=$S96),$V96,IF(AND($R96&lt;&gt;"",EDATE($D96,Milestones!$AA$132)&gt;=$R96),$U96,$T96)))=Milestones!$AB$132),TEXT(EDATE($D96,Milestones!$AA$132),"dd/mm/yy")&amp;" "&amp;Milestones!$AB$132&amp;" "&amp;Milestones!$AC$132&amp;";  ","")&amp;IF(AND(EDATE($D96,Milestones!$AA$133)&lt;=AsOfDate,IF($Q96=0,$W96,IF(AND($S96&lt;&gt;"",EDATE($D96,Milestones!$AA$133)&gt;=$S96),$V96,IF(AND($R96&lt;&gt;"",EDATE($D96,Milestones!$AA$133)&gt;=$R96),$U96,$T96)))=Milestones!$AB$133),TEXT(EDATE($D96,Milestones!$AA$133),"dd/mm/yy")&amp;" "&amp;Milestones!$AB$133&amp;" "&amp;Milestones!$AC$133&amp;";  ","")&amp;IF(AND(EDATE($D96,Milestones!$AA$134)&lt;=AsOfDate,IF($Q96=0,$W96,IF(AND($S96&lt;&gt;"",EDATE($D96,Milestones!$AA$134)&gt;=$S96),$V96,IF(AND($R96&lt;&gt;"",EDATE($D96,Milestones!$AA$134)&gt;=$R96),$U96,$T96)))=Milestones!$AB$134),TEXT(EDATE($D96,Milestones!$AA$134),"dd/mm/yy")&amp;" "&amp;Milestones!$AB$134&amp;" "&amp;Milestones!$AC$134&amp;";  ","")&amp;IF(AND(EDATE($D96,Milestones!$AA$135)&lt;=AsOfDate,IF($Q96=0,$W96,IF(AND($S96&lt;&gt;"",EDATE($D96,Milestones!$AA$135)&gt;=$S96),$V96,IF(AND($R96&lt;&gt;"",EDATE($D96,Milestones!$AA$135)&gt;=$R96),$U96,$T96)))=Milestones!$AB$135),TEXT(EDATE($D96,Milestones!$AA$135),"dd/mm/yy")&amp;" "&amp;Milestones!$AB$135&amp;" "&amp;Milestones!$AC$135&amp;";  ","")&amp;IF(AND(EDATE($D96,Milestones!$AA$136)&lt;=AsOfDate,IF($Q96=0,$W96,IF(AND($S96&lt;&gt;"",EDATE($D96,Milestones!$AA$136)&gt;=$S96),$V96,IF(AND($R96&lt;&gt;"",EDATE($D96,Milestones!$AA$136)&gt;=$R96),$U96,$T96)))=Milestones!$AB$136),TEXT(EDATE($D96,Milestones!$AA$136),"dd/mm/yy")&amp;" "&amp;Milestones!$AB$136&amp;" "&amp;Milestones!$AC$136&amp;";  ","")&amp;IF(AND(EDATE($D96,Milestones!$AA$137)&lt;=AsOfDate,IF($Q96=0,$W96,IF(AND($S96&lt;&gt;"",EDATE($D96,Milestones!$AA$137)&gt;=$S96),$V96,IF(AND($R96&lt;&gt;"",EDATE($D96,Milestones!$AA$137)&gt;=$R96),$U96,$T96)))=Milestones!$AB$137),TEXT(EDATE($D96,Milestones!$AA$137),"dd/mm/yy")&amp;" "&amp;Milestones!$AB$137&amp;" "&amp;Milestones!$AC$137&amp;";  ","")&amp;IF(AND(EDATE($D96,Milestones!$AA$138)&lt;=AsOfDate,IF($Q96=0,$W96,IF(AND($S96&lt;&gt;"",EDATE($D96,Milestones!$AA$138)&gt;=$S96),$V96,IF(AND($R96&lt;&gt;"",EDATE($D96,Milestones!$AA$138)&gt;=$R96),$U96,$T96)))=Milestones!$AB$138),TEXT(EDATE($D96,Milestones!$AA$138),"dd/mm/yy")&amp;" "&amp;Milestones!$AB$138&amp;" "&amp;Milestones!$AC$138&amp;";  ","")&amp;IF(AND(EDATE($D96,Milestones!$AA$139)&lt;=AsOfDate,IF($Q96=0,$W96,IF(AND($S96&lt;&gt;"",EDATE($D96,Milestones!$AA$139)&gt;=$S96),$V96,IF(AND($R96&lt;&gt;"",EDATE($D96,Milestones!$AA$139)&gt;=$R96),$U96,$T96)))=Milestones!$AB$139),TEXT(EDATE($D96,Milestones!$AA$139),"dd/mm/yy")&amp;" "&amp;Milestones!$AB$139&amp;" "&amp;Milestones!$AC$139&amp;";  ",""))</f>
        <v/>
      </c>
      <c r="N96" s="0" t="str">
        <f aca="false">IF(OR($A96="",$D96=""),"",IF(AND(EDATE($D96,Milestones!$AA$140)&lt;=AsOfDate,IF($Q96=0,$W96,IF(AND($S96&lt;&gt;"",EDATE($D96,Milestones!$AA$140)&gt;=$S96),$V96,IF(AND($R96&lt;&gt;"",EDATE($D96,Milestones!$AA$140)&gt;=$R96),$U96,$T96)))=Milestones!$AB$140),TEXT(EDATE($D96,Milestones!$AA$140),"dd/mm/yy")&amp;" "&amp;Milestones!$AB$140&amp;" "&amp;Milestones!$AC$140&amp;";  ","")&amp;IF(AND(EDATE($D96,Milestones!$AA$141)&lt;=AsOfDate,IF($Q96=0,$W96,IF(AND($S96&lt;&gt;"",EDATE($D96,Milestones!$AA$141)&gt;=$S96),$V96,IF(AND($R96&lt;&gt;"",EDATE($D96,Milestones!$AA$141)&gt;=$R96),$U96,$T96)))=Milestones!$AB$141),TEXT(EDATE($D96,Milestones!$AA$141),"dd/mm/yy")&amp;" "&amp;Milestones!$AB$141&amp;" "&amp;Milestones!$AC$141&amp;";  ","")&amp;IF(AND(EDATE($D96,Milestones!$AA$142)&lt;=AsOfDate,IF($Q96=0,$W96,IF(AND($S96&lt;&gt;"",EDATE($D96,Milestones!$AA$142)&gt;=$S96),$V96,IF(AND($R96&lt;&gt;"",EDATE($D96,Milestones!$AA$142)&gt;=$R96),$U96,$T96)))=Milestones!$AB$142),TEXT(EDATE($D96,Milestones!$AA$142),"dd/mm/yy")&amp;" "&amp;Milestones!$AB$142&amp;" "&amp;Milestones!$AC$142&amp;";  ","")&amp;IF(AND(EDATE($D96,Milestones!$AA$143)&lt;=AsOfDate,IF($Q96=0,$W96,IF(AND($S96&lt;&gt;"",EDATE($D96,Milestones!$AA$143)&gt;=$S96),$V96,IF(AND($R96&lt;&gt;"",EDATE($D96,Milestones!$AA$143)&gt;=$R96),$U96,$T96)))=Milestones!$AB$143),TEXT(EDATE($D96,Milestones!$AA$143),"dd/mm/yy")&amp;" "&amp;Milestones!$AB$143&amp;" "&amp;Milestones!$AC$143&amp;";  ","")&amp;IF(AND(EDATE($D96,Milestones!$AA$144)&lt;=AsOfDate,IF($Q96=0,$W96,IF(AND($S96&lt;&gt;"",EDATE($D96,Milestones!$AA$144)&gt;=$S96),$V96,IF(AND($R96&lt;&gt;"",EDATE($D96,Milestones!$AA$144)&gt;=$R96),$U96,$T96)))=Milestones!$AB$144),TEXT(EDATE($D96,Milestones!$AA$144),"dd/mm/yy")&amp;" "&amp;Milestones!$AB$144&amp;" "&amp;Milestones!$AC$144&amp;";  ","")&amp;IF(AND(EDATE($D96,Milestones!$AA$145)&lt;=AsOfDate,IF($Q96=0,$W96,IF(AND($S96&lt;&gt;"",EDATE($D96,Milestones!$AA$145)&gt;=$S96),$V96,IF(AND($R96&lt;&gt;"",EDATE($D96,Milestones!$AA$145)&gt;=$R96),$U96,$T96)))=Milestones!$AB$145),TEXT(EDATE($D96,Milestones!$AA$145),"dd/mm/yy")&amp;" "&amp;Milestones!$AB$145&amp;" "&amp;Milestones!$AC$145&amp;";  ","")&amp;IF(AND(EDATE($D96,Milestones!$AA$146)&lt;=AsOfDate,IF($Q96=0,$W96,IF(AND($S96&lt;&gt;"",EDATE($D96,Milestones!$AA$146)&gt;=$S96),$V96,IF(AND($R96&lt;&gt;"",EDATE($D96,Milestones!$AA$146)&gt;=$R96),$U96,$T96)))=Milestones!$AB$146),TEXT(EDATE($D96,Milestones!$AA$146),"dd/mm/yy")&amp;" "&amp;Milestones!$AB$146&amp;" "&amp;Milestones!$AC$146&amp;";  ","")&amp;IF(AND(EDATE($D96,Milestones!$AA$147)&lt;=AsOfDate,IF($Q96=0,$W96,IF(AND($S96&lt;&gt;"",EDATE($D96,Milestones!$AA$147)&gt;=$S96),$V96,IF(AND($R96&lt;&gt;"",EDATE($D96,Milestones!$AA$147)&gt;=$R96),$U96,$T96)))=Milestones!$AB$147),TEXT(EDATE($D96,Milestones!$AA$147),"dd/mm/yy")&amp;" "&amp;Milestones!$AB$147&amp;" "&amp;Milestones!$AC$147&amp;";  ","")&amp;IF(AND(EDATE($D96,Milestones!$AA$148)&lt;=AsOfDate,IF($Q96=0,$W96,IF(AND($S96&lt;&gt;"",EDATE($D96,Milestones!$AA$148)&gt;=$S96),$V96,IF(AND($R96&lt;&gt;"",EDATE($D96,Milestones!$AA$148)&gt;=$R96),$U96,$T96)))=Milestones!$AB$148),TEXT(EDATE($D96,Milestones!$AA$148),"dd/mm/yy")&amp;" "&amp;Milestones!$AB$148&amp;" "&amp;Milestones!$AC$148&amp;";  ","")&amp;IF(AND(EDATE($D96,Milestones!$AA$149)&lt;=AsOfDate,IF($Q96=0,$W96,IF(AND($S96&lt;&gt;"",EDATE($D96,Milestones!$AA$149)&gt;=$S96),$V96,IF(AND($R96&lt;&gt;"",EDATE($D96,Milestones!$AA$149)&gt;=$R96),$U96,$T96)))=Milestones!$AB$149),TEXT(EDATE($D96,Milestones!$AA$149),"dd/mm/yy")&amp;" "&amp;Milestones!$AB$149&amp;" "&amp;Milestones!$AC$149&amp;";  ","")&amp;IF(AND(EDATE($D96,Milestones!$AA$150)&lt;=AsOfDate,IF($Q96=0,$W96,IF(AND($S96&lt;&gt;"",EDATE($D96,Milestones!$AA$150)&gt;=$S96),$V96,IF(AND($R96&lt;&gt;"",EDATE($D96,Milestones!$AA$150)&gt;=$R96),$U96,$T96)))=Milestones!$AB$150),TEXT(EDATE($D96,Milestones!$AA$150),"dd/mm/yy")&amp;" "&amp;Milestones!$AB$150&amp;" "&amp;Milestones!$AC$150&amp;";  ","")&amp;IF(AND(EDATE($D96,Milestones!$AA$151)&lt;=AsOfDate,IF($Q96=0,$W96,IF(AND($S96&lt;&gt;"",EDATE($D96,Milestones!$AA$151)&gt;=$S96),$V96,IF(AND($R96&lt;&gt;"",EDATE($D96,Milestones!$AA$151)&gt;=$R96),$U96,$T96)))=Milestones!$AB$151),TEXT(EDATE($D96,Milestones!$AA$151),"dd/mm/yy")&amp;" "&amp;Milestones!$AB$151&amp;" "&amp;Milestones!$AC$151&amp;";  ","")&amp;IF(AND(EDATE($D96,Milestones!$AA$152)&lt;=AsOfDate,IF($Q96=0,$W96,IF(AND($S96&lt;&gt;"",EDATE($D96,Milestones!$AA$152)&gt;=$S96),$V96,IF(AND($R96&lt;&gt;"",EDATE($D96,Milestones!$AA$152)&gt;=$R96),$U96,$T96)))=Milestones!$AB$152),TEXT(EDATE($D96,Milestones!$AA$152),"dd/mm/yy")&amp;" "&amp;Milestones!$AB$152&amp;" "&amp;Milestones!$AC$152&amp;";  ","")&amp;IF(AND(EDATE($D96,Milestones!$AA$153)&lt;=AsOfDate,IF($Q96=0,$W96,IF(AND($S96&lt;&gt;"",EDATE($D96,Milestones!$AA$153)&gt;=$S96),$V96,IF(AND($R96&lt;&gt;"",EDATE($D96,Milestones!$AA$153)&gt;=$R96),$U96,$T96)))=Milestones!$AB$153),TEXT(EDATE($D96,Milestones!$AA$153),"dd/mm/yy")&amp;" "&amp;Milestones!$AB$153&amp;" "&amp;Milestones!$AC$153&amp;";  ","")&amp;IF(AND(EDATE($D96,Milestones!$AA$154)&lt;=AsOfDate,IF($Q96=0,$W96,IF(AND($S96&lt;&gt;"",EDATE($D96,Milestones!$AA$154)&gt;=$S96),$V96,IF(AND($R96&lt;&gt;"",EDATE($D96,Milestones!$AA$154)&gt;=$R96),$U96,$T96)))=Milestones!$AB$154),TEXT(EDATE($D96,Milestones!$AA$154),"dd/mm/yy")&amp;" "&amp;Milestones!$AB$154&amp;" "&amp;Milestones!$AC$154&amp;";  ","")&amp;IF(AND(EDATE($D96,Milestones!$AA$155)&lt;=AsOfDate,IF($Q96=0,$W96,IF(AND($S96&lt;&gt;"",EDATE($D96,Milestones!$AA$155)&gt;=$S96),$V96,IF(AND($R96&lt;&gt;"",EDATE($D96,Milestones!$AA$155)&gt;=$R96),$U96,$T96)))=Milestones!$AB$155),TEXT(EDATE($D96,Milestones!$AA$155),"dd/mm/yy")&amp;" "&amp;Milestones!$AB$155&amp;" "&amp;Milestones!$AC$155&amp;";  ","")&amp;IF(AND(EDATE($D96,Milestones!$AA$156)&lt;=AsOfDate,IF($Q96=0,$W96,IF(AND($S96&lt;&gt;"",EDATE($D96,Milestones!$AA$156)&gt;=$S96),$V96,IF(AND($R96&lt;&gt;"",EDATE($D96,Milestones!$AA$156)&gt;=$R96),$U96,$T96)))=Milestones!$AB$156),TEXT(EDATE($D96,Milestones!$AA$156),"dd/mm/yy")&amp;" "&amp;Milestones!$AB$156&amp;" "&amp;Milestones!$AC$156&amp;";  ","")&amp;IF(AND(EDATE($D96,Milestones!$AA$157)&lt;=AsOfDate,IF($Q96=0,$W96,IF(AND($S96&lt;&gt;"",EDATE($D96,Milestones!$AA$157)&gt;=$S96),$V96,IF(AND($R96&lt;&gt;"",EDATE($D96,Milestones!$AA$157)&gt;=$R96),$U96,$T96)))=Milestones!$AB$157),TEXT(EDATE($D96,Milestones!$AA$157),"dd/mm/yy")&amp;" "&amp;Milestones!$AB$157&amp;" "&amp;Milestones!$AC$157&amp;";  ","")&amp;IF(AND(EDATE($D96,Milestones!$AA$158)&lt;=AsOfDate,IF($Q96=0,$W96,IF(AND($S96&lt;&gt;"",EDATE($D96,Milestones!$AA$158)&gt;=$S96),$V96,IF(AND($R96&lt;&gt;"",EDATE($D96,Milestones!$AA$158)&gt;=$R96),$U96,$T96)))=Milestones!$AB$158),TEXT(EDATE($D96,Milestones!$AA$158),"dd/mm/yy")&amp;" "&amp;Milestones!$AB$158&amp;" "&amp;Milestones!$AC$158&amp;";  ","")&amp;IF(AND(EDATE($D96,Milestones!$AA$159)&lt;=AsOfDate,IF($Q96=0,$W96,IF(AND($S96&lt;&gt;"",EDATE($D96,Milestones!$AA$159)&gt;=$S96),$V96,IF(AND($R96&lt;&gt;"",EDATE($D96,Milestones!$AA$159)&gt;=$R96),$U96,$T96)))=Milestones!$AB$159),TEXT(EDATE($D96,Milestones!$AA$159),"dd/mm/yy")&amp;" "&amp;Milestones!$AB$159&amp;" "&amp;Milestones!$AC$159&amp;";  ",""))</f>
        <v/>
      </c>
      <c r="O96" s="0" t="str">
        <f aca="false">IF(OR($A96="",$D96=""),"",IF(AND(EDATE($D96,Milestones!$AA$160)&lt;=AsOfDate,IF($Q96=0,$W96,IF(AND($S96&lt;&gt;"",EDATE($D96,Milestones!$AA$160)&gt;=$S96),$V96,IF(AND($R96&lt;&gt;"",EDATE($D96,Milestones!$AA$160)&gt;=$R96),$U96,$T96)))=Milestones!$AB$160),TEXT(EDATE($D96,Milestones!$AA$160),"dd/mm/yy")&amp;" "&amp;Milestones!$AB$160&amp;" "&amp;Milestones!$AC$160&amp;";  ","")&amp;IF(AND(EDATE($D96,Milestones!$AA$161)&lt;=AsOfDate,IF($Q96=0,$W96,IF(AND($S96&lt;&gt;"",EDATE($D96,Milestones!$AA$161)&gt;=$S96),$V96,IF(AND($R96&lt;&gt;"",EDATE($D96,Milestones!$AA$161)&gt;=$R96),$U96,$T96)))=Milestones!$AB$161),TEXT(EDATE($D96,Milestones!$AA$161),"dd/mm/yy")&amp;" "&amp;Milestones!$AB$161&amp;" "&amp;Milestones!$AC$161&amp;";  ","")&amp;IF(AND(EDATE($D96,Milestones!$AA$162)&lt;=AsOfDate,IF($Q96=0,$W96,IF(AND($S96&lt;&gt;"",EDATE($D96,Milestones!$AA$162)&gt;=$S96),$V96,IF(AND($R96&lt;&gt;"",EDATE($D96,Milestones!$AA$162)&gt;=$R96),$U96,$T96)))=Milestones!$AB$162),TEXT(EDATE($D96,Milestones!$AA$162),"dd/mm/yy")&amp;" "&amp;Milestones!$AB$162&amp;" "&amp;Milestones!$AC$162&amp;";  ","")&amp;IF(AND(EDATE($D96,Milestones!$AA$163)&lt;=AsOfDate,IF($Q96=0,$W96,IF(AND($S96&lt;&gt;"",EDATE($D96,Milestones!$AA$163)&gt;=$S96),$V96,IF(AND($R96&lt;&gt;"",EDATE($D96,Milestones!$AA$163)&gt;=$R96),$U96,$T96)))=Milestones!$AB$163),TEXT(EDATE($D96,Milestones!$AA$163),"dd/mm/yy")&amp;" "&amp;Milestones!$AB$163&amp;" "&amp;Milestones!$AC$163&amp;";  ","")&amp;IF(AND(EDATE($D96,Milestones!$AA$164)&lt;=AsOfDate,IF($Q96=0,$W96,IF(AND($S96&lt;&gt;"",EDATE($D96,Milestones!$AA$164)&gt;=$S96),$V96,IF(AND($R96&lt;&gt;"",EDATE($D96,Milestones!$AA$164)&gt;=$R96),$U96,$T96)))=Milestones!$AB$164),TEXT(EDATE($D96,Milestones!$AA$164),"dd/mm/yy")&amp;" "&amp;Milestones!$AB$164&amp;" "&amp;Milestones!$AC$164&amp;";  ","")&amp;IF(AND(EDATE($D96,Milestones!$AA$165)&lt;=AsOfDate,IF($Q96=0,$W96,IF(AND($S96&lt;&gt;"",EDATE($D96,Milestones!$AA$165)&gt;=$S96),$V96,IF(AND($R96&lt;&gt;"",EDATE($D96,Milestones!$AA$165)&gt;=$R96),$U96,$T96)))=Milestones!$AB$165),TEXT(EDATE($D96,Milestones!$AA$165),"dd/mm/yy")&amp;" "&amp;Milestones!$AB$165&amp;" "&amp;Milestones!$AC$165&amp;";  ","")&amp;IF(AND(EDATE($D96,Milestones!$AA$166)&lt;=AsOfDate,IF($Q96=0,$W96,IF(AND($S96&lt;&gt;"",EDATE($D96,Milestones!$AA$166)&gt;=$S96),$V96,IF(AND($R96&lt;&gt;"",EDATE($D96,Milestones!$AA$166)&gt;=$R96),$U96,$T96)))=Milestones!$AB$166),TEXT(EDATE($D96,Milestones!$AA$166),"dd/mm/yy")&amp;" "&amp;Milestones!$AB$166&amp;" "&amp;Milestones!$AC$166&amp;";  ","")&amp;IF(AND(EDATE($D96,Milestones!$AA$167)&lt;=AsOfDate,IF($Q96=0,$W96,IF(AND($S96&lt;&gt;"",EDATE($D96,Milestones!$AA$167)&gt;=$S96),$V96,IF(AND($R96&lt;&gt;"",EDATE($D96,Milestones!$AA$167)&gt;=$R96),$U96,$T96)))=Milestones!$AB$167),TEXT(EDATE($D96,Milestones!$AA$167),"dd/mm/yy")&amp;" "&amp;Milestones!$AB$167&amp;" "&amp;Milestones!$AC$167&amp;";  ","")&amp;IF(AND(EDATE($D96,Milestones!$AA$168)&lt;=AsOfDate,IF($Q96=0,$W96,IF(AND($S96&lt;&gt;"",EDATE($D96,Milestones!$AA$168)&gt;=$S96),$V96,IF(AND($R96&lt;&gt;"",EDATE($D96,Milestones!$AA$168)&gt;=$R96),$U96,$T96)))=Milestones!$AB$168),TEXT(EDATE($D96,Milestones!$AA$168),"dd/mm/yy")&amp;" "&amp;Milestones!$AB$168&amp;" "&amp;Milestones!$AC$168&amp;";  ","")&amp;IF(AND(EDATE($D96,Milestones!$AA$169)&lt;=AsOfDate,IF($Q96=0,$W96,IF(AND($S96&lt;&gt;"",EDATE($D96,Milestones!$AA$169)&gt;=$S96),$V96,IF(AND($R96&lt;&gt;"",EDATE($D96,Milestones!$AA$169)&gt;=$R96),$U96,$T96)))=Milestones!$AB$169),TEXT(EDATE($D96,Milestones!$AA$169),"dd/mm/yy")&amp;" "&amp;Milestones!$AB$169&amp;" "&amp;Milestones!$AC$169&amp;";  ","")&amp;IF(AND(EDATE($D96,Milestones!$AA$170)&lt;=AsOfDate,IF($Q96=0,$W96,IF(AND($S96&lt;&gt;"",EDATE($D96,Milestones!$AA$170)&gt;=$S96),$V96,IF(AND($R96&lt;&gt;"",EDATE($D96,Milestones!$AA$170)&gt;=$R96),$U96,$T96)))=Milestones!$AB$170),TEXT(EDATE($D96,Milestones!$AA$170),"dd/mm/yy")&amp;" "&amp;Milestones!$AB$170&amp;" "&amp;Milestones!$AC$170&amp;";  ","")&amp;IF(AND(EDATE($D96,Milestones!$AA$171)&lt;=AsOfDate,IF($Q96=0,$W96,IF(AND($S96&lt;&gt;"",EDATE($D96,Milestones!$AA$171)&gt;=$S96),$V96,IF(AND($R96&lt;&gt;"",EDATE($D96,Milestones!$AA$171)&gt;=$R96),$U96,$T96)))=Milestones!$AB$171),TEXT(EDATE($D96,Milestones!$AA$171),"dd/mm/yy")&amp;" "&amp;Milestones!$AB$171&amp;" "&amp;Milestones!$AC$171&amp;";  ","")&amp;IF(AND(EDATE($D96,Milestones!$AA$172)&lt;=AsOfDate,IF($Q96=0,$W96,IF(AND($S96&lt;&gt;"",EDATE($D96,Milestones!$AA$172)&gt;=$S96),$V96,IF(AND($R96&lt;&gt;"",EDATE($D96,Milestones!$AA$172)&gt;=$R96),$U96,$T96)))=Milestones!$AB$172),TEXT(EDATE($D96,Milestones!$AA$172),"dd/mm/yy")&amp;" "&amp;Milestones!$AB$172&amp;" "&amp;Milestones!$AC$172&amp;";  ","")&amp;IF(AND(EDATE($D96,Milestones!$AA$173)&lt;=AsOfDate,IF($Q96=0,$W96,IF(AND($S96&lt;&gt;"",EDATE($D96,Milestones!$AA$173)&gt;=$S96),$V96,IF(AND($R96&lt;&gt;"",EDATE($D96,Milestones!$AA$173)&gt;=$R96),$U96,$T96)))=Milestones!$AB$173),TEXT(EDATE($D96,Milestones!$AA$173),"dd/mm/yy")&amp;" "&amp;Milestones!$AB$173&amp;" "&amp;Milestones!$AC$173&amp;";  ","")&amp;IF(AND(EDATE($D96,Milestones!$AA$174)&lt;=AsOfDate,IF($Q96=0,$W96,IF(AND($S96&lt;&gt;"",EDATE($D96,Milestones!$AA$174)&gt;=$S96),$V96,IF(AND($R96&lt;&gt;"",EDATE($D96,Milestones!$AA$174)&gt;=$R96),$U96,$T96)))=Milestones!$AB$174),TEXT(EDATE($D96,Milestones!$AA$174),"dd/mm/yy")&amp;" "&amp;Milestones!$AB$174&amp;" "&amp;Milestones!$AC$174&amp;";  ","")&amp;IF(AND(EDATE($D96,Milestones!$AA$175)&lt;=AsOfDate,IF($Q96=0,$W96,IF(AND($S96&lt;&gt;"",EDATE($D96,Milestones!$AA$175)&gt;=$S96),$V96,IF(AND($R96&lt;&gt;"",EDATE($D96,Milestones!$AA$175)&gt;=$R96),$U96,$T96)))=Milestones!$AB$175),TEXT(EDATE($D96,Milestones!$AA$175),"dd/mm/yy")&amp;" "&amp;Milestones!$AB$175&amp;" "&amp;Milestones!$AC$175&amp;";  ","")&amp;IF(AND(EDATE($D96,Milestones!$AA$176)&lt;=AsOfDate,IF($Q96=0,$W96,IF(AND($S96&lt;&gt;"",EDATE($D96,Milestones!$AA$176)&gt;=$S96),$V96,IF(AND($R96&lt;&gt;"",EDATE($D96,Milestones!$AA$176)&gt;=$R96),$U96,$T96)))=Milestones!$AB$176),TEXT(EDATE($D96,Milestones!$AA$176),"dd/mm/yy")&amp;" "&amp;Milestones!$AB$176&amp;" "&amp;Milestones!$AC$176&amp;";  ","")&amp;IF(AND(EDATE($D96,Milestones!$AA$177)&lt;=AsOfDate,IF($Q96=0,$W96,IF(AND($S96&lt;&gt;"",EDATE($D96,Milestones!$AA$177)&gt;=$S96),$V96,IF(AND($R96&lt;&gt;"",EDATE($D96,Milestones!$AA$177)&gt;=$R96),$U96,$T96)))=Milestones!$AB$177),TEXT(EDATE($D96,Milestones!$AA$177),"dd/mm/yy")&amp;" "&amp;Milestones!$AB$177&amp;" "&amp;Milestones!$AC$177&amp;";  ","")&amp;IF(AND(EDATE($D96,Milestones!$AA$178)&lt;=AsOfDate,IF($Q96=0,$W96,IF(AND($S96&lt;&gt;"",EDATE($D96,Milestones!$AA$178)&gt;=$S96),$V96,IF(AND($R96&lt;&gt;"",EDATE($D96,Milestones!$AA$178)&gt;=$R96),$U96,$T96)))=Milestones!$AB$178),TEXT(EDATE($D96,Milestones!$AA$178),"dd/mm/yy")&amp;" "&amp;Milestones!$AB$178&amp;" "&amp;Milestones!$AC$178&amp;";  ","")&amp;IF(AND(EDATE($D96,Milestones!$AA$179)&lt;=AsOfDate,IF($Q96=0,$W96,IF(AND($S96&lt;&gt;"",EDATE($D96,Milestones!$AA$179)&gt;=$S96),$V96,IF(AND($R96&lt;&gt;"",EDATE($D96,Milestones!$AA$179)&gt;=$R96),$U96,$T96)))=Milestones!$AB$179),TEXT(EDATE($D96,Milestones!$AA$179),"dd/mm/yy")&amp;" "&amp;Milestones!$AB$179&amp;" "&amp;Milestones!$AC$179&amp;";  ",""))</f>
        <v/>
      </c>
      <c r="P96" s="0" t="str">
        <f aca="false">IF(OR($A96="",$D96=""),"",IF(AND(EDATE($D96,Milestones!$AA$180)&lt;=AsOfDate,IF($Q96=0,$W96,IF(AND($S96&lt;&gt;"",EDATE($D96,Milestones!$AA$180)&gt;=$S96),$V96,IF(AND($R96&lt;&gt;"",EDATE($D96,Milestones!$AA$180)&gt;=$R96),$U96,$T96)))=Milestones!$AB$180),TEXT(EDATE($D96,Milestones!$AA$180),"dd/mm/yy")&amp;" "&amp;Milestones!$AB$180&amp;" "&amp;Milestones!$AC$180&amp;";  ","")&amp;IF(AND(EDATE($D96,Milestones!$AA$181)&lt;=AsOfDate,IF($Q96=0,$W96,IF(AND($S96&lt;&gt;"",EDATE($D96,Milestones!$AA$181)&gt;=$S96),$V96,IF(AND($R96&lt;&gt;"",EDATE($D96,Milestones!$AA$181)&gt;=$R96),$U96,$T96)))=Milestones!$AB$181),TEXT(EDATE($D96,Milestones!$AA$181),"dd/mm/yy")&amp;" "&amp;Milestones!$AB$181&amp;" "&amp;Milestones!$AC$181&amp;";  ","")&amp;IF(AND(EDATE($D96,Milestones!$AA$182)&lt;=AsOfDate,IF($Q96=0,$W96,IF(AND($S96&lt;&gt;"",EDATE($D96,Milestones!$AA$182)&gt;=$S96),$V96,IF(AND($R96&lt;&gt;"",EDATE($D96,Milestones!$AA$182)&gt;=$R96),$U96,$T96)))=Milestones!$AB$182),TEXT(EDATE($D96,Milestones!$AA$182),"dd/mm/yy")&amp;" "&amp;Milestones!$AB$182&amp;" "&amp;Milestones!$AC$182&amp;";  ","")&amp;IF(AND(EDATE($D96,Milestones!$AA$183)&lt;=AsOfDate,IF($Q96=0,$W96,IF(AND($S96&lt;&gt;"",EDATE($D96,Milestones!$AA$183)&gt;=$S96),$V96,IF(AND($R96&lt;&gt;"",EDATE($D96,Milestones!$AA$183)&gt;=$R96),$U96,$T96)))=Milestones!$AB$183),TEXT(EDATE($D96,Milestones!$AA$183),"dd/mm/yy")&amp;" "&amp;Milestones!$AB$183&amp;" "&amp;Milestones!$AC$183&amp;";  ","")&amp;IF(AND(EDATE($D96,Milestones!$AA$184)&lt;=AsOfDate,IF($Q96=0,$W96,IF(AND($S96&lt;&gt;"",EDATE($D96,Milestones!$AA$184)&gt;=$S96),$V96,IF(AND($R96&lt;&gt;"",EDATE($D96,Milestones!$AA$184)&gt;=$R96),$U96,$T96)))=Milestones!$AB$184),TEXT(EDATE($D96,Milestones!$AA$184),"dd/mm/yy")&amp;" "&amp;Milestones!$AB$184&amp;" "&amp;Milestones!$AC$184&amp;";  ","")&amp;IF(AND(EDATE($D96,Milestones!$AA$185)&lt;=AsOfDate,IF($Q96=0,$W96,IF(AND($S96&lt;&gt;"",EDATE($D96,Milestones!$AA$185)&gt;=$S96),$V96,IF(AND($R96&lt;&gt;"",EDATE($D96,Milestones!$AA$185)&gt;=$R96),$U96,$T96)))=Milestones!$AB$185),TEXT(EDATE($D96,Milestones!$AA$185),"dd/mm/yy")&amp;" "&amp;Milestones!$AB$185&amp;" "&amp;Milestones!$AC$185&amp;";  ","")&amp;IF(AND(EDATE($D96,Milestones!$AA$186)&lt;=AsOfDate,IF($Q96=0,$W96,IF(AND($S96&lt;&gt;"",EDATE($D96,Milestones!$AA$186)&gt;=$S96),$V96,IF(AND($R96&lt;&gt;"",EDATE($D96,Milestones!$AA$186)&gt;=$R96),$U96,$T96)))=Milestones!$AB$186),TEXT(EDATE($D96,Milestones!$AA$186),"dd/mm/yy")&amp;" "&amp;Milestones!$AB$186&amp;" "&amp;Milestones!$AC$186&amp;";  ","")&amp;IF(AND(EDATE($D96,Milestones!$AA$187)&lt;=AsOfDate,IF($Q96=0,$W96,IF(AND($S96&lt;&gt;"",EDATE($D96,Milestones!$AA$187)&gt;=$S96),$V96,IF(AND($R96&lt;&gt;"",EDATE($D96,Milestones!$AA$187)&gt;=$R96),$U96,$T96)))=Milestones!$AB$187),TEXT(EDATE($D96,Milestones!$AA$187),"dd/mm/yy")&amp;" "&amp;Milestones!$AB$187&amp;" "&amp;Milestones!$AC$187&amp;";  ","")&amp;IF(AND(EDATE($D96,Milestones!$AA$188)&lt;=AsOfDate,IF($Q96=0,$W96,IF(AND($S96&lt;&gt;"",EDATE($D96,Milestones!$AA$188)&gt;=$S96),$V96,IF(AND($R96&lt;&gt;"",EDATE($D96,Milestones!$AA$188)&gt;=$R96),$U96,$T96)))=Milestones!$AB$188),TEXT(EDATE($D96,Milestones!$AA$188),"dd/mm/yy")&amp;" "&amp;Milestones!$AB$188&amp;" "&amp;Milestones!$AC$188&amp;";  ","")&amp;IF(AND(EDATE($D96,Milestones!$AA$189)&lt;=AsOfDate,IF($Q96=0,$W96,IF(AND($S96&lt;&gt;"",EDATE($D96,Milestones!$AA$189)&gt;=$S96),$V96,IF(AND($R96&lt;&gt;"",EDATE($D96,Milestones!$AA$189)&gt;=$R96),$U96,$T96)))=Milestones!$AB$189),TEXT(EDATE($D96,Milestones!$AA$189),"dd/mm/yy")&amp;" "&amp;Milestones!$AB$189&amp;" "&amp;Milestones!$AC$189&amp;";  ","")&amp;IF(AND(EDATE($D96,Milestones!$AA$190)&lt;=AsOfDate,IF($Q96=0,$W96,IF(AND($S96&lt;&gt;"",EDATE($D96,Milestones!$AA$190)&gt;=$S96),$V96,IF(AND($R96&lt;&gt;"",EDATE($D96,Milestones!$AA$190)&gt;=$R96),$U96,$T96)))=Milestones!$AB$190),TEXT(EDATE($D96,Milestones!$AA$190),"dd/mm/yy")&amp;" "&amp;Milestones!$AB$190&amp;" "&amp;Milestones!$AC$190&amp;";  ","")&amp;IF(AND(EDATE($D96,Milestones!$AA$191)&lt;=AsOfDate,IF($Q96=0,$W96,IF(AND($S96&lt;&gt;"",EDATE($D96,Milestones!$AA$191)&gt;=$S96),$V96,IF(AND($R96&lt;&gt;"",EDATE($D96,Milestones!$AA$191)&gt;=$R96),$U96,$T96)))=Milestones!$AB$191),TEXT(EDATE($D96,Milestones!$AA$191),"dd/mm/yy")&amp;" "&amp;Milestones!$AB$191&amp;" "&amp;Milestones!$AC$191&amp;";  ","")&amp;IF(AND(EDATE($D96,Milestones!$AA$192)&lt;=AsOfDate,IF($Q96=0,$W96,IF(AND($S96&lt;&gt;"",EDATE($D96,Milestones!$AA$192)&gt;=$S96),$V96,IF(AND($R96&lt;&gt;"",EDATE($D96,Milestones!$AA$192)&gt;=$R96),$U96,$T96)))=Milestones!$AB$192),TEXT(EDATE($D96,Milestones!$AA$192),"dd/mm/yy")&amp;" "&amp;Milestones!$AB$192&amp;" "&amp;Milestones!$AC$192&amp;";  ","")&amp;IF(AND(EDATE($D96,Milestones!$AA$193)&lt;=AsOfDate,IF($Q96=0,$W96,IF(AND($S96&lt;&gt;"",EDATE($D96,Milestones!$AA$193)&gt;=$S96),$V96,IF(AND($R96&lt;&gt;"",EDATE($D96,Milestones!$AA$193)&gt;=$R96),$U96,$T96)))=Milestones!$AB$193),TEXT(EDATE($D96,Milestones!$AA$193),"dd/mm/yy")&amp;" "&amp;Milestones!$AB$193&amp;" "&amp;Milestones!$AC$193&amp;";  ","")&amp;IF(AND(EDATE($D96,Milestones!$AA$194)&lt;=AsOfDate,IF($Q96=0,$W96,IF(AND($S96&lt;&gt;"",EDATE($D96,Milestones!$AA$194)&gt;=$S96),$V96,IF(AND($R96&lt;&gt;"",EDATE($D96,Milestones!$AA$194)&gt;=$R96),$U96,$T96)))=Milestones!$AB$194),TEXT(EDATE($D96,Milestones!$AA$194),"dd/mm/yy")&amp;" "&amp;Milestones!$AB$194&amp;" "&amp;Milestones!$AC$194&amp;";  ","")&amp;IF(AND(EDATE($D96,Milestones!$AA$195)&lt;=AsOfDate,IF($Q96=0,$W96,IF(AND($S96&lt;&gt;"",EDATE($D96,Milestones!$AA$195)&gt;=$S96),$V96,IF(AND($R96&lt;&gt;"",EDATE($D96,Milestones!$AA$195)&gt;=$R96),$U96,$T96)))=Milestones!$AB$195),TEXT(EDATE($D96,Milestones!$AA$195),"dd/mm/yy")&amp;" "&amp;Milestones!$AB$195&amp;" "&amp;Milestones!$AC$195&amp;";  ","")&amp;IF(AND(EDATE($D96,Milestones!$AA$196)&lt;=AsOfDate,IF($Q96=0,$W96,IF(AND($S96&lt;&gt;"",EDATE($D96,Milestones!$AA$196)&gt;=$S96),$V96,IF(AND($R96&lt;&gt;"",EDATE($D96,Milestones!$AA$196)&gt;=$R96),$U96,$T96)))=Milestones!$AB$196),TEXT(EDATE($D96,Milestones!$AA$196),"dd/mm/yy")&amp;" "&amp;Milestones!$AB$196&amp;" "&amp;Milestones!$AC$196&amp;";  ","")&amp;IF(AND(EDATE($D96,Milestones!$AA$197)&lt;=AsOfDate,IF($Q96=0,$W96,IF(AND($S96&lt;&gt;"",EDATE($D96,Milestones!$AA$197)&gt;=$S96),$V96,IF(AND($R96&lt;&gt;"",EDATE($D96,Milestones!$AA$197)&gt;=$R96),$U96,$T96)))=Milestones!$AB$197),TEXT(EDATE($D96,Milestones!$AA$197),"dd/mm/yy")&amp;" "&amp;Milestones!$AB$197&amp;" "&amp;Milestones!$AC$197&amp;";  ","")&amp;IF(AND(EDATE($D96,Milestones!$AA$198)&lt;=AsOfDate,IF($Q96=0,$W96,IF(AND($S96&lt;&gt;"",EDATE($D96,Milestones!$AA$198)&gt;=$S96),$V96,IF(AND($R96&lt;&gt;"",EDATE($D96,Milestones!$AA$198)&gt;=$R96),$U96,$T96)))=Milestones!$AB$198),TEXT(EDATE($D96,Milestones!$AA$198),"dd/mm/yy")&amp;" "&amp;Milestones!$AB$198&amp;" "&amp;Milestones!$AC$198&amp;";  ","")&amp;IF(AND(EDATE($D96,Milestones!$AA$199)&lt;=AsOfDate,IF($Q96=0,$W96,IF(AND($S96&lt;&gt;"",EDATE($D96,Milestones!$AA$199)&gt;=$S96),$V96,IF(AND($R96&lt;&gt;"",EDATE($D96,Milestones!$AA$199)&gt;=$R96),$U96,$T96)))=Milestones!$AB$199),TEXT(EDATE($D96,Milestones!$AA$199),"dd/mm/yy")&amp;" "&amp;Milestones!$AB$199&amp;" "&amp;Milestones!$AC$199&amp;";  ",""))</f>
        <v/>
      </c>
      <c r="Q96" s="0" t="str">
        <f aca="false">IF(Staff!$A96="","",Staff!$AG96)</f>
        <v/>
      </c>
      <c r="R96" s="0" t="str">
        <f aca="false">IF(Staff!$A96="","",Staff!$AI96)</f>
        <v/>
      </c>
      <c r="S96" s="0" t="str">
        <f aca="false">IF(Staff!$A96="","",Staff!$AJ96)</f>
        <v/>
      </c>
      <c r="T96" s="0" t="str">
        <f aca="false">IF(Staff!$A96="","",Staff!$AN96)</f>
        <v/>
      </c>
      <c r="U96" s="0" t="str">
        <f aca="false">IF(Staff!$A96="","",Staff!$AO96)</f>
        <v/>
      </c>
      <c r="V96" s="0" t="str">
        <f aca="false">IF(Staff!$A96="","",Staff!$AP96)</f>
        <v/>
      </c>
      <c r="W96" s="0" t="str">
        <f aca="false">IF(Staff!$A96="","",Staff!$AQ96)</f>
        <v/>
      </c>
    </row>
    <row r="97" customFormat="false" ht="15" hidden="false" customHeight="false" outlineLevel="0" collapsed="false">
      <c r="A97" s="13" t="str">
        <f aca="false">IF(Staff!$A97="","",Staff!$A97)</f>
        <v/>
      </c>
      <c r="B97" s="13" t="str">
        <f aca="false">IF(Staff!$A97="","",Staff!$B97)</f>
        <v/>
      </c>
      <c r="C97" s="13" t="str">
        <f aca="false">IF(Staff!$A97="","",Staff!$C97)</f>
        <v/>
      </c>
      <c r="D97" s="11" t="str">
        <f aca="false">IF(Staff!$A97="","",Staff!$AF97)</f>
        <v/>
      </c>
      <c r="E97" s="13" t="str">
        <f aca="false">IF(Staff!$A97="","",Staff!$O97)</f>
        <v/>
      </c>
      <c r="F97" s="13" t="str">
        <f aca="false">IF(E97="","",E97*HoursPerDay)</f>
        <v/>
      </c>
      <c r="G97" s="26" t="str">
        <f aca="false">IF($A97="","",H97&amp;I97&amp;J97&amp;K97&amp;L97&amp;M97&amp;N97&amp;O97&amp;P97)</f>
        <v/>
      </c>
      <c r="H97" s="0" t="str">
        <f aca="false">IF(OR($A97="",$D97=""),"",IF(AND(EDATE($D97,Milestones!$AA$20)&lt;=AsOfDate,IF($Q97=0,$W97,IF(AND($S97&lt;&gt;"",EDATE($D97,Milestones!$AA$20)&gt;=$S97),$V97,IF(AND($R97&lt;&gt;"",EDATE($D97,Milestones!$AA$20)&gt;=$R97),$U97,$T97)))=Milestones!$AB$20),TEXT(EDATE($D97,Milestones!$AA$20),"dd/mm/yy")&amp;" "&amp;Milestones!$AB$20&amp;" "&amp;Milestones!$AC$20&amp;";  ","")&amp;IF(AND(EDATE($D97,Milestones!$AA$21)&lt;=AsOfDate,IF($Q97=0,$W97,IF(AND($S97&lt;&gt;"",EDATE($D97,Milestones!$AA$21)&gt;=$S97),$V97,IF(AND($R97&lt;&gt;"",EDATE($D97,Milestones!$AA$21)&gt;=$R97),$U97,$T97)))=Milestones!$AB$21),TEXT(EDATE($D97,Milestones!$AA$21),"dd/mm/yy")&amp;" "&amp;Milestones!$AB$21&amp;" "&amp;Milestones!$AC$21&amp;";  ","")&amp;IF(AND(EDATE($D97,Milestones!$AA$22)&lt;=AsOfDate,IF($Q97=0,$W97,IF(AND($S97&lt;&gt;"",EDATE($D97,Milestones!$AA$22)&gt;=$S97),$V97,IF(AND($R97&lt;&gt;"",EDATE($D97,Milestones!$AA$22)&gt;=$R97),$U97,$T97)))=Milestones!$AB$22),TEXT(EDATE($D97,Milestones!$AA$22),"dd/mm/yy")&amp;" "&amp;Milestones!$AB$22&amp;" "&amp;Milestones!$AC$22&amp;";  ","")&amp;IF(AND(EDATE($D97,Milestones!$AA$23)&lt;=AsOfDate,IF($Q97=0,$W97,IF(AND($S97&lt;&gt;"",EDATE($D97,Milestones!$AA$23)&gt;=$S97),$V97,IF(AND($R97&lt;&gt;"",EDATE($D97,Milestones!$AA$23)&gt;=$R97),$U97,$T97)))=Milestones!$AB$23),TEXT(EDATE($D97,Milestones!$AA$23),"dd/mm/yy")&amp;" "&amp;Milestones!$AB$23&amp;" "&amp;Milestones!$AC$23&amp;";  ","")&amp;IF(AND(EDATE($D97,Milestones!$AA$24)&lt;=AsOfDate,IF($Q97=0,$W97,IF(AND($S97&lt;&gt;"",EDATE($D97,Milestones!$AA$24)&gt;=$S97),$V97,IF(AND($R97&lt;&gt;"",EDATE($D97,Milestones!$AA$24)&gt;=$R97),$U97,$T97)))=Milestones!$AB$24),TEXT(EDATE($D97,Milestones!$AA$24),"dd/mm/yy")&amp;" "&amp;Milestones!$AB$24&amp;" "&amp;Milestones!$AC$24&amp;";  ","")&amp;IF(AND(EDATE($D97,Milestones!$AA$25)&lt;=AsOfDate,IF($Q97=0,$W97,IF(AND($S97&lt;&gt;"",EDATE($D97,Milestones!$AA$25)&gt;=$S97),$V97,IF(AND($R97&lt;&gt;"",EDATE($D97,Milestones!$AA$25)&gt;=$R97),$U97,$T97)))=Milestones!$AB$25),TEXT(EDATE($D97,Milestones!$AA$25),"dd/mm/yy")&amp;" "&amp;Milestones!$AB$25&amp;" "&amp;Milestones!$AC$25&amp;";  ","")&amp;IF(AND(EDATE($D97,Milestones!$AA$26)&lt;=AsOfDate,IF($Q97=0,$W97,IF(AND($S97&lt;&gt;"",EDATE($D97,Milestones!$AA$26)&gt;=$S97),$V97,IF(AND($R97&lt;&gt;"",EDATE($D97,Milestones!$AA$26)&gt;=$R97),$U97,$T97)))=Milestones!$AB$26),TEXT(EDATE($D97,Milestones!$AA$26),"dd/mm/yy")&amp;" "&amp;Milestones!$AB$26&amp;" "&amp;Milestones!$AC$26&amp;";  ","")&amp;IF(AND(EDATE($D97,Milestones!$AA$27)&lt;=AsOfDate,IF($Q97=0,$W97,IF(AND($S97&lt;&gt;"",EDATE($D97,Milestones!$AA$27)&gt;=$S97),$V97,IF(AND($R97&lt;&gt;"",EDATE($D97,Milestones!$AA$27)&gt;=$R97),$U97,$T97)))=Milestones!$AB$27),TEXT(EDATE($D97,Milestones!$AA$27),"dd/mm/yy")&amp;" "&amp;Milestones!$AB$27&amp;" "&amp;Milestones!$AC$27&amp;";  ","")&amp;IF(AND(EDATE($D97,Milestones!$AA$28)&lt;=AsOfDate,IF($Q97=0,$W97,IF(AND($S97&lt;&gt;"",EDATE($D97,Milestones!$AA$28)&gt;=$S97),$V97,IF(AND($R97&lt;&gt;"",EDATE($D97,Milestones!$AA$28)&gt;=$R97),$U97,$T97)))=Milestones!$AB$28),TEXT(EDATE($D97,Milestones!$AA$28),"dd/mm/yy")&amp;" "&amp;Milestones!$AB$28&amp;" "&amp;Milestones!$AC$28&amp;";  ","")&amp;IF(AND(EDATE($D97,Milestones!$AA$29)&lt;=AsOfDate,IF($Q97=0,$W97,IF(AND($S97&lt;&gt;"",EDATE($D97,Milestones!$AA$29)&gt;=$S97),$V97,IF(AND($R97&lt;&gt;"",EDATE($D97,Milestones!$AA$29)&gt;=$R97),$U97,$T97)))=Milestones!$AB$29),TEXT(EDATE($D97,Milestones!$AA$29),"dd/mm/yy")&amp;" "&amp;Milestones!$AB$29&amp;" "&amp;Milestones!$AC$29&amp;";  ","")&amp;IF(AND(EDATE($D97,Milestones!$AA$30)&lt;=AsOfDate,IF($Q97=0,$W97,IF(AND($S97&lt;&gt;"",EDATE($D97,Milestones!$AA$30)&gt;=$S97),$V97,IF(AND($R97&lt;&gt;"",EDATE($D97,Milestones!$AA$30)&gt;=$R97),$U97,$T97)))=Milestones!$AB$30),TEXT(EDATE($D97,Milestones!$AA$30),"dd/mm/yy")&amp;" "&amp;Milestones!$AB$30&amp;" "&amp;Milestones!$AC$30&amp;";  ","")&amp;IF(AND(EDATE($D97,Milestones!$AA$31)&lt;=AsOfDate,IF($Q97=0,$W97,IF(AND($S97&lt;&gt;"",EDATE($D97,Milestones!$AA$31)&gt;=$S97),$V97,IF(AND($R97&lt;&gt;"",EDATE($D97,Milestones!$AA$31)&gt;=$R97),$U97,$T97)))=Milestones!$AB$31),TEXT(EDATE($D97,Milestones!$AA$31),"dd/mm/yy")&amp;" "&amp;Milestones!$AB$31&amp;" "&amp;Milestones!$AC$31&amp;";  ","")&amp;IF(AND(EDATE($D97,Milestones!$AA$32)&lt;=AsOfDate,IF($Q97=0,$W97,IF(AND($S97&lt;&gt;"",EDATE($D97,Milestones!$AA$32)&gt;=$S97),$V97,IF(AND($R97&lt;&gt;"",EDATE($D97,Milestones!$AA$32)&gt;=$R97),$U97,$T97)))=Milestones!$AB$32),TEXT(EDATE($D97,Milestones!$AA$32),"dd/mm/yy")&amp;" "&amp;Milestones!$AB$32&amp;" "&amp;Milestones!$AC$32&amp;";  ","")&amp;IF(AND(EDATE($D97,Milestones!$AA$33)&lt;=AsOfDate,IF($Q97=0,$W97,IF(AND($S97&lt;&gt;"",EDATE($D97,Milestones!$AA$33)&gt;=$S97),$V97,IF(AND($R97&lt;&gt;"",EDATE($D97,Milestones!$AA$33)&gt;=$R97),$U97,$T97)))=Milestones!$AB$33),TEXT(EDATE($D97,Milestones!$AA$33),"dd/mm/yy")&amp;" "&amp;Milestones!$AB$33&amp;" "&amp;Milestones!$AC$33&amp;";  ","")&amp;IF(AND(EDATE($D97,Milestones!$AA$34)&lt;=AsOfDate,IF($Q97=0,$W97,IF(AND($S97&lt;&gt;"",EDATE($D97,Milestones!$AA$34)&gt;=$S97),$V97,IF(AND($R97&lt;&gt;"",EDATE($D97,Milestones!$AA$34)&gt;=$R97),$U97,$T97)))=Milestones!$AB$34),TEXT(EDATE($D97,Milestones!$AA$34),"dd/mm/yy")&amp;" "&amp;Milestones!$AB$34&amp;" "&amp;Milestones!$AC$34&amp;";  ","")&amp;IF(AND(EDATE($D97,Milestones!$AA$35)&lt;=AsOfDate,IF($Q97=0,$W97,IF(AND($S97&lt;&gt;"",EDATE($D97,Milestones!$AA$35)&gt;=$S97),$V97,IF(AND($R97&lt;&gt;"",EDATE($D97,Milestones!$AA$35)&gt;=$R97),$U97,$T97)))=Milestones!$AB$35),TEXT(EDATE($D97,Milestones!$AA$35),"dd/mm/yy")&amp;" "&amp;Milestones!$AB$35&amp;" "&amp;Milestones!$AC$35&amp;";  ","")&amp;IF(AND(EDATE($D97,Milestones!$AA$36)&lt;=AsOfDate,IF($Q97=0,$W97,IF(AND($S97&lt;&gt;"",EDATE($D97,Milestones!$AA$36)&gt;=$S97),$V97,IF(AND($R97&lt;&gt;"",EDATE($D97,Milestones!$AA$36)&gt;=$R97),$U97,$T97)))=Milestones!$AB$36),TEXT(EDATE($D97,Milestones!$AA$36),"dd/mm/yy")&amp;" "&amp;Milestones!$AB$36&amp;" "&amp;Milestones!$AC$36&amp;";  ","")&amp;IF(AND(EDATE($D97,Milestones!$AA$37)&lt;=AsOfDate,IF($Q97=0,$W97,IF(AND($S97&lt;&gt;"",EDATE($D97,Milestones!$AA$37)&gt;=$S97),$V97,IF(AND($R97&lt;&gt;"",EDATE($D97,Milestones!$AA$37)&gt;=$R97),$U97,$T97)))=Milestones!$AB$37),TEXT(EDATE($D97,Milestones!$AA$37),"dd/mm/yy")&amp;" "&amp;Milestones!$AB$37&amp;" "&amp;Milestones!$AC$37&amp;";  ","")&amp;IF(AND(EDATE($D97,Milestones!$AA$38)&lt;=AsOfDate,IF($Q97=0,$W97,IF(AND($S97&lt;&gt;"",EDATE($D97,Milestones!$AA$38)&gt;=$S97),$V97,IF(AND($R97&lt;&gt;"",EDATE($D97,Milestones!$AA$38)&gt;=$R97),$U97,$T97)))=Milestones!$AB$38),TEXT(EDATE($D97,Milestones!$AA$38),"dd/mm/yy")&amp;" "&amp;Milestones!$AB$38&amp;" "&amp;Milestones!$AC$38&amp;";  ","")&amp;IF(AND(EDATE($D97,Milestones!$AA$39)&lt;=AsOfDate,IF($Q97=0,$W97,IF(AND($S97&lt;&gt;"",EDATE($D97,Milestones!$AA$39)&gt;=$S97),$V97,IF(AND($R97&lt;&gt;"",EDATE($D97,Milestones!$AA$39)&gt;=$R97),$U97,$T97)))=Milestones!$AB$39),TEXT(EDATE($D97,Milestones!$AA$39),"dd/mm/yy")&amp;" "&amp;Milestones!$AB$39&amp;" "&amp;Milestones!$AC$39&amp;";  ",""))</f>
        <v/>
      </c>
      <c r="I97" s="0" t="str">
        <f aca="false">IF(OR($A97="",$D97=""),"",IF(AND(EDATE($D97,Milestones!$AA$40)&lt;=AsOfDate,IF($Q97=0,$W97,IF(AND($S97&lt;&gt;"",EDATE($D97,Milestones!$AA$40)&gt;=$S97),$V97,IF(AND($R97&lt;&gt;"",EDATE($D97,Milestones!$AA$40)&gt;=$R97),$U97,$T97)))=Milestones!$AB$40),TEXT(EDATE($D97,Milestones!$AA$40),"dd/mm/yy")&amp;" "&amp;Milestones!$AB$40&amp;" "&amp;Milestones!$AC$40&amp;";  ","")&amp;IF(AND(EDATE($D97,Milestones!$AA$41)&lt;=AsOfDate,IF($Q97=0,$W97,IF(AND($S97&lt;&gt;"",EDATE($D97,Milestones!$AA$41)&gt;=$S97),$V97,IF(AND($R97&lt;&gt;"",EDATE($D97,Milestones!$AA$41)&gt;=$R97),$U97,$T97)))=Milestones!$AB$41),TEXT(EDATE($D97,Milestones!$AA$41),"dd/mm/yy")&amp;" "&amp;Milestones!$AB$41&amp;" "&amp;Milestones!$AC$41&amp;";  ","")&amp;IF(AND(EDATE($D97,Milestones!$AA$42)&lt;=AsOfDate,IF($Q97=0,$W97,IF(AND($S97&lt;&gt;"",EDATE($D97,Milestones!$AA$42)&gt;=$S97),$V97,IF(AND($R97&lt;&gt;"",EDATE($D97,Milestones!$AA$42)&gt;=$R97),$U97,$T97)))=Milestones!$AB$42),TEXT(EDATE($D97,Milestones!$AA$42),"dd/mm/yy")&amp;" "&amp;Milestones!$AB$42&amp;" "&amp;Milestones!$AC$42&amp;";  ","")&amp;IF(AND(EDATE($D97,Milestones!$AA$43)&lt;=AsOfDate,IF($Q97=0,$W97,IF(AND($S97&lt;&gt;"",EDATE($D97,Milestones!$AA$43)&gt;=$S97),$V97,IF(AND($R97&lt;&gt;"",EDATE($D97,Milestones!$AA$43)&gt;=$R97),$U97,$T97)))=Milestones!$AB$43),TEXT(EDATE($D97,Milestones!$AA$43),"dd/mm/yy")&amp;" "&amp;Milestones!$AB$43&amp;" "&amp;Milestones!$AC$43&amp;";  ","")&amp;IF(AND(EDATE($D97,Milestones!$AA$44)&lt;=AsOfDate,IF($Q97=0,$W97,IF(AND($S97&lt;&gt;"",EDATE($D97,Milestones!$AA$44)&gt;=$S97),$V97,IF(AND($R97&lt;&gt;"",EDATE($D97,Milestones!$AA$44)&gt;=$R97),$U97,$T97)))=Milestones!$AB$44),TEXT(EDATE($D97,Milestones!$AA$44),"dd/mm/yy")&amp;" "&amp;Milestones!$AB$44&amp;" "&amp;Milestones!$AC$44&amp;";  ","")&amp;IF(AND(EDATE($D97,Milestones!$AA$45)&lt;=AsOfDate,IF($Q97=0,$W97,IF(AND($S97&lt;&gt;"",EDATE($D97,Milestones!$AA$45)&gt;=$S97),$V97,IF(AND($R97&lt;&gt;"",EDATE($D97,Milestones!$AA$45)&gt;=$R97),$U97,$T97)))=Milestones!$AB$45),TEXT(EDATE($D97,Milestones!$AA$45),"dd/mm/yy")&amp;" "&amp;Milestones!$AB$45&amp;" "&amp;Milestones!$AC$45&amp;";  ","")&amp;IF(AND(EDATE($D97,Milestones!$AA$46)&lt;=AsOfDate,IF($Q97=0,$W97,IF(AND($S97&lt;&gt;"",EDATE($D97,Milestones!$AA$46)&gt;=$S97),$V97,IF(AND($R97&lt;&gt;"",EDATE($D97,Milestones!$AA$46)&gt;=$R97),$U97,$T97)))=Milestones!$AB$46),TEXT(EDATE($D97,Milestones!$AA$46),"dd/mm/yy")&amp;" "&amp;Milestones!$AB$46&amp;" "&amp;Milestones!$AC$46&amp;";  ","")&amp;IF(AND(EDATE($D97,Milestones!$AA$47)&lt;=AsOfDate,IF($Q97=0,$W97,IF(AND($S97&lt;&gt;"",EDATE($D97,Milestones!$AA$47)&gt;=$S97),$V97,IF(AND($R97&lt;&gt;"",EDATE($D97,Milestones!$AA$47)&gt;=$R97),$U97,$T97)))=Milestones!$AB$47),TEXT(EDATE($D97,Milestones!$AA$47),"dd/mm/yy")&amp;" "&amp;Milestones!$AB$47&amp;" "&amp;Milestones!$AC$47&amp;";  ","")&amp;IF(AND(EDATE($D97,Milestones!$AA$48)&lt;=AsOfDate,IF($Q97=0,$W97,IF(AND($S97&lt;&gt;"",EDATE($D97,Milestones!$AA$48)&gt;=$S97),$V97,IF(AND($R97&lt;&gt;"",EDATE($D97,Milestones!$AA$48)&gt;=$R97),$U97,$T97)))=Milestones!$AB$48),TEXT(EDATE($D97,Milestones!$AA$48),"dd/mm/yy")&amp;" "&amp;Milestones!$AB$48&amp;" "&amp;Milestones!$AC$48&amp;";  ","")&amp;IF(AND(EDATE($D97,Milestones!$AA$49)&lt;=AsOfDate,IF($Q97=0,$W97,IF(AND($S97&lt;&gt;"",EDATE($D97,Milestones!$AA$49)&gt;=$S97),$V97,IF(AND($R97&lt;&gt;"",EDATE($D97,Milestones!$AA$49)&gt;=$R97),$U97,$T97)))=Milestones!$AB$49),TEXT(EDATE($D97,Milestones!$AA$49),"dd/mm/yy")&amp;" "&amp;Milestones!$AB$49&amp;" "&amp;Milestones!$AC$49&amp;";  ","")&amp;IF(AND(EDATE($D97,Milestones!$AA$50)&lt;=AsOfDate,IF($Q97=0,$W97,IF(AND($S97&lt;&gt;"",EDATE($D97,Milestones!$AA$50)&gt;=$S97),$V97,IF(AND($R97&lt;&gt;"",EDATE($D97,Milestones!$AA$50)&gt;=$R97),$U97,$T97)))=Milestones!$AB$50),TEXT(EDATE($D97,Milestones!$AA$50),"dd/mm/yy")&amp;" "&amp;Milestones!$AB$50&amp;" "&amp;Milestones!$AC$50&amp;";  ","")&amp;IF(AND(EDATE($D97,Milestones!$AA$51)&lt;=AsOfDate,IF($Q97=0,$W97,IF(AND($S97&lt;&gt;"",EDATE($D97,Milestones!$AA$51)&gt;=$S97),$V97,IF(AND($R97&lt;&gt;"",EDATE($D97,Milestones!$AA$51)&gt;=$R97),$U97,$T97)))=Milestones!$AB$51),TEXT(EDATE($D97,Milestones!$AA$51),"dd/mm/yy")&amp;" "&amp;Milestones!$AB$51&amp;" "&amp;Milestones!$AC$51&amp;";  ","")&amp;IF(AND(EDATE($D97,Milestones!$AA$52)&lt;=AsOfDate,IF($Q97=0,$W97,IF(AND($S97&lt;&gt;"",EDATE($D97,Milestones!$AA$52)&gt;=$S97),$V97,IF(AND($R97&lt;&gt;"",EDATE($D97,Milestones!$AA$52)&gt;=$R97),$U97,$T97)))=Milestones!$AB$52),TEXT(EDATE($D97,Milestones!$AA$52),"dd/mm/yy")&amp;" "&amp;Milestones!$AB$52&amp;" "&amp;Milestones!$AC$52&amp;";  ","")&amp;IF(AND(EDATE($D97,Milestones!$AA$53)&lt;=AsOfDate,IF($Q97=0,$W97,IF(AND($S97&lt;&gt;"",EDATE($D97,Milestones!$AA$53)&gt;=$S97),$V97,IF(AND($R97&lt;&gt;"",EDATE($D97,Milestones!$AA$53)&gt;=$R97),$U97,$T97)))=Milestones!$AB$53),TEXT(EDATE($D97,Milestones!$AA$53),"dd/mm/yy")&amp;" "&amp;Milestones!$AB$53&amp;" "&amp;Milestones!$AC$53&amp;";  ","")&amp;IF(AND(EDATE($D97,Milestones!$AA$54)&lt;=AsOfDate,IF($Q97=0,$W97,IF(AND($S97&lt;&gt;"",EDATE($D97,Milestones!$AA$54)&gt;=$S97),$V97,IF(AND($R97&lt;&gt;"",EDATE($D97,Milestones!$AA$54)&gt;=$R97),$U97,$T97)))=Milestones!$AB$54),TEXT(EDATE($D97,Milestones!$AA$54),"dd/mm/yy")&amp;" "&amp;Milestones!$AB$54&amp;" "&amp;Milestones!$AC$54&amp;";  ","")&amp;IF(AND(EDATE($D97,Milestones!$AA$55)&lt;=AsOfDate,IF($Q97=0,$W97,IF(AND($S97&lt;&gt;"",EDATE($D97,Milestones!$AA$55)&gt;=$S97),$V97,IF(AND($R97&lt;&gt;"",EDATE($D97,Milestones!$AA$55)&gt;=$R97),$U97,$T97)))=Milestones!$AB$55),TEXT(EDATE($D97,Milestones!$AA$55),"dd/mm/yy")&amp;" "&amp;Milestones!$AB$55&amp;" "&amp;Milestones!$AC$55&amp;";  ","")&amp;IF(AND(EDATE($D97,Milestones!$AA$56)&lt;=AsOfDate,IF($Q97=0,$W97,IF(AND($S97&lt;&gt;"",EDATE($D97,Milestones!$AA$56)&gt;=$S97),$V97,IF(AND($R97&lt;&gt;"",EDATE($D97,Milestones!$AA$56)&gt;=$R97),$U97,$T97)))=Milestones!$AB$56),TEXT(EDATE($D97,Milestones!$AA$56),"dd/mm/yy")&amp;" "&amp;Milestones!$AB$56&amp;" "&amp;Milestones!$AC$56&amp;";  ","")&amp;IF(AND(EDATE($D97,Milestones!$AA$57)&lt;=AsOfDate,IF($Q97=0,$W97,IF(AND($S97&lt;&gt;"",EDATE($D97,Milestones!$AA$57)&gt;=$S97),$V97,IF(AND($R97&lt;&gt;"",EDATE($D97,Milestones!$AA$57)&gt;=$R97),$U97,$T97)))=Milestones!$AB$57),TEXT(EDATE($D97,Milestones!$AA$57),"dd/mm/yy")&amp;" "&amp;Milestones!$AB$57&amp;" "&amp;Milestones!$AC$57&amp;";  ","")&amp;IF(AND(EDATE($D97,Milestones!$AA$58)&lt;=AsOfDate,IF($Q97=0,$W97,IF(AND($S97&lt;&gt;"",EDATE($D97,Milestones!$AA$58)&gt;=$S97),$V97,IF(AND($R97&lt;&gt;"",EDATE($D97,Milestones!$AA$58)&gt;=$R97),$U97,$T97)))=Milestones!$AB$58),TEXT(EDATE($D97,Milestones!$AA$58),"dd/mm/yy")&amp;" "&amp;Milestones!$AB$58&amp;" "&amp;Milestones!$AC$58&amp;";  ","")&amp;IF(AND(EDATE($D97,Milestones!$AA$59)&lt;=AsOfDate,IF($Q97=0,$W97,IF(AND($S97&lt;&gt;"",EDATE($D97,Milestones!$AA$59)&gt;=$S97),$V97,IF(AND($R97&lt;&gt;"",EDATE($D97,Milestones!$AA$59)&gt;=$R97),$U97,$T97)))=Milestones!$AB$59),TEXT(EDATE($D97,Milestones!$AA$59),"dd/mm/yy")&amp;" "&amp;Milestones!$AB$59&amp;" "&amp;Milestones!$AC$59&amp;";  ",""))</f>
        <v/>
      </c>
      <c r="J97" s="0" t="str">
        <f aca="false">IF(OR($A97="",$D97=""),"",IF(AND(EDATE($D97,Milestones!$AA$60)&lt;=AsOfDate,IF($Q97=0,$W97,IF(AND($S97&lt;&gt;"",EDATE($D97,Milestones!$AA$60)&gt;=$S97),$V97,IF(AND($R97&lt;&gt;"",EDATE($D97,Milestones!$AA$60)&gt;=$R97),$U97,$T97)))=Milestones!$AB$60),TEXT(EDATE($D97,Milestones!$AA$60),"dd/mm/yy")&amp;" "&amp;Milestones!$AB$60&amp;" "&amp;Milestones!$AC$60&amp;";  ","")&amp;IF(AND(EDATE($D97,Milestones!$AA$61)&lt;=AsOfDate,IF($Q97=0,$W97,IF(AND($S97&lt;&gt;"",EDATE($D97,Milestones!$AA$61)&gt;=$S97),$V97,IF(AND($R97&lt;&gt;"",EDATE($D97,Milestones!$AA$61)&gt;=$R97),$U97,$T97)))=Milestones!$AB$61),TEXT(EDATE($D97,Milestones!$AA$61),"dd/mm/yy")&amp;" "&amp;Milestones!$AB$61&amp;" "&amp;Milestones!$AC$61&amp;";  ","")&amp;IF(AND(EDATE($D97,Milestones!$AA$62)&lt;=AsOfDate,IF($Q97=0,$W97,IF(AND($S97&lt;&gt;"",EDATE($D97,Milestones!$AA$62)&gt;=$S97),$V97,IF(AND($R97&lt;&gt;"",EDATE($D97,Milestones!$AA$62)&gt;=$R97),$U97,$T97)))=Milestones!$AB$62),TEXT(EDATE($D97,Milestones!$AA$62),"dd/mm/yy")&amp;" "&amp;Milestones!$AB$62&amp;" "&amp;Milestones!$AC$62&amp;";  ","")&amp;IF(AND(EDATE($D97,Milestones!$AA$63)&lt;=AsOfDate,IF($Q97=0,$W97,IF(AND($S97&lt;&gt;"",EDATE($D97,Milestones!$AA$63)&gt;=$S97),$V97,IF(AND($R97&lt;&gt;"",EDATE($D97,Milestones!$AA$63)&gt;=$R97),$U97,$T97)))=Milestones!$AB$63),TEXT(EDATE($D97,Milestones!$AA$63),"dd/mm/yy")&amp;" "&amp;Milestones!$AB$63&amp;" "&amp;Milestones!$AC$63&amp;";  ","")&amp;IF(AND(EDATE($D97,Milestones!$AA$64)&lt;=AsOfDate,IF($Q97=0,$W97,IF(AND($S97&lt;&gt;"",EDATE($D97,Milestones!$AA$64)&gt;=$S97),$V97,IF(AND($R97&lt;&gt;"",EDATE($D97,Milestones!$AA$64)&gt;=$R97),$U97,$T97)))=Milestones!$AB$64),TEXT(EDATE($D97,Milestones!$AA$64),"dd/mm/yy")&amp;" "&amp;Milestones!$AB$64&amp;" "&amp;Milestones!$AC$64&amp;";  ","")&amp;IF(AND(EDATE($D97,Milestones!$AA$65)&lt;=AsOfDate,IF($Q97=0,$W97,IF(AND($S97&lt;&gt;"",EDATE($D97,Milestones!$AA$65)&gt;=$S97),$V97,IF(AND($R97&lt;&gt;"",EDATE($D97,Milestones!$AA$65)&gt;=$R97),$U97,$T97)))=Milestones!$AB$65),TEXT(EDATE($D97,Milestones!$AA$65),"dd/mm/yy")&amp;" "&amp;Milestones!$AB$65&amp;" "&amp;Milestones!$AC$65&amp;";  ","")&amp;IF(AND(EDATE($D97,Milestones!$AA$66)&lt;=AsOfDate,IF($Q97=0,$W97,IF(AND($S97&lt;&gt;"",EDATE($D97,Milestones!$AA$66)&gt;=$S97),$V97,IF(AND($R97&lt;&gt;"",EDATE($D97,Milestones!$AA$66)&gt;=$R97),$U97,$T97)))=Milestones!$AB$66),TEXT(EDATE($D97,Milestones!$AA$66),"dd/mm/yy")&amp;" "&amp;Milestones!$AB$66&amp;" "&amp;Milestones!$AC$66&amp;";  ","")&amp;IF(AND(EDATE($D97,Milestones!$AA$67)&lt;=AsOfDate,IF($Q97=0,$W97,IF(AND($S97&lt;&gt;"",EDATE($D97,Milestones!$AA$67)&gt;=$S97),$V97,IF(AND($R97&lt;&gt;"",EDATE($D97,Milestones!$AA$67)&gt;=$R97),$U97,$T97)))=Milestones!$AB$67),TEXT(EDATE($D97,Milestones!$AA$67),"dd/mm/yy")&amp;" "&amp;Milestones!$AB$67&amp;" "&amp;Milestones!$AC$67&amp;";  ","")&amp;IF(AND(EDATE($D97,Milestones!$AA$68)&lt;=AsOfDate,IF($Q97=0,$W97,IF(AND($S97&lt;&gt;"",EDATE($D97,Milestones!$AA$68)&gt;=$S97),$V97,IF(AND($R97&lt;&gt;"",EDATE($D97,Milestones!$AA$68)&gt;=$R97),$U97,$T97)))=Milestones!$AB$68),TEXT(EDATE($D97,Milestones!$AA$68),"dd/mm/yy")&amp;" "&amp;Milestones!$AB$68&amp;" "&amp;Milestones!$AC$68&amp;";  ","")&amp;IF(AND(EDATE($D97,Milestones!$AA$69)&lt;=AsOfDate,IF($Q97=0,$W97,IF(AND($S97&lt;&gt;"",EDATE($D97,Milestones!$AA$69)&gt;=$S97),$V97,IF(AND($R97&lt;&gt;"",EDATE($D97,Milestones!$AA$69)&gt;=$R97),$U97,$T97)))=Milestones!$AB$69),TEXT(EDATE($D97,Milestones!$AA$69),"dd/mm/yy")&amp;" "&amp;Milestones!$AB$69&amp;" "&amp;Milestones!$AC$69&amp;";  ","")&amp;IF(AND(EDATE($D97,Milestones!$AA$70)&lt;=AsOfDate,IF($Q97=0,$W97,IF(AND($S97&lt;&gt;"",EDATE($D97,Milestones!$AA$70)&gt;=$S97),$V97,IF(AND($R97&lt;&gt;"",EDATE($D97,Milestones!$AA$70)&gt;=$R97),$U97,$T97)))=Milestones!$AB$70),TEXT(EDATE($D97,Milestones!$AA$70),"dd/mm/yy")&amp;" "&amp;Milestones!$AB$70&amp;" "&amp;Milestones!$AC$70&amp;";  ","")&amp;IF(AND(EDATE($D97,Milestones!$AA$71)&lt;=AsOfDate,IF($Q97=0,$W97,IF(AND($S97&lt;&gt;"",EDATE($D97,Milestones!$AA$71)&gt;=$S97),$V97,IF(AND($R97&lt;&gt;"",EDATE($D97,Milestones!$AA$71)&gt;=$R97),$U97,$T97)))=Milestones!$AB$71),TEXT(EDATE($D97,Milestones!$AA$71),"dd/mm/yy")&amp;" "&amp;Milestones!$AB$71&amp;" "&amp;Milestones!$AC$71&amp;";  ","")&amp;IF(AND(EDATE($D97,Milestones!$AA$72)&lt;=AsOfDate,IF($Q97=0,$W97,IF(AND($S97&lt;&gt;"",EDATE($D97,Milestones!$AA$72)&gt;=$S97),$V97,IF(AND($R97&lt;&gt;"",EDATE($D97,Milestones!$AA$72)&gt;=$R97),$U97,$T97)))=Milestones!$AB$72),TEXT(EDATE($D97,Milestones!$AA$72),"dd/mm/yy")&amp;" "&amp;Milestones!$AB$72&amp;" "&amp;Milestones!$AC$72&amp;";  ","")&amp;IF(AND(EDATE($D97,Milestones!$AA$73)&lt;=AsOfDate,IF($Q97=0,$W97,IF(AND($S97&lt;&gt;"",EDATE($D97,Milestones!$AA$73)&gt;=$S97),$V97,IF(AND($R97&lt;&gt;"",EDATE($D97,Milestones!$AA$73)&gt;=$R97),$U97,$T97)))=Milestones!$AB$73),TEXT(EDATE($D97,Milestones!$AA$73),"dd/mm/yy")&amp;" "&amp;Milestones!$AB$73&amp;" "&amp;Milestones!$AC$73&amp;";  ","")&amp;IF(AND(EDATE($D97,Milestones!$AA$74)&lt;=AsOfDate,IF($Q97=0,$W97,IF(AND($S97&lt;&gt;"",EDATE($D97,Milestones!$AA$74)&gt;=$S97),$V97,IF(AND($R97&lt;&gt;"",EDATE($D97,Milestones!$AA$74)&gt;=$R97),$U97,$T97)))=Milestones!$AB$74),TEXT(EDATE($D97,Milestones!$AA$74),"dd/mm/yy")&amp;" "&amp;Milestones!$AB$74&amp;" "&amp;Milestones!$AC$74&amp;";  ","")&amp;IF(AND(EDATE($D97,Milestones!$AA$75)&lt;=AsOfDate,IF($Q97=0,$W97,IF(AND($S97&lt;&gt;"",EDATE($D97,Milestones!$AA$75)&gt;=$S97),$V97,IF(AND($R97&lt;&gt;"",EDATE($D97,Milestones!$AA$75)&gt;=$R97),$U97,$T97)))=Milestones!$AB$75),TEXT(EDATE($D97,Milestones!$AA$75),"dd/mm/yy")&amp;" "&amp;Milestones!$AB$75&amp;" "&amp;Milestones!$AC$75&amp;";  ","")&amp;IF(AND(EDATE($D97,Milestones!$AA$76)&lt;=AsOfDate,IF($Q97=0,$W97,IF(AND($S97&lt;&gt;"",EDATE($D97,Milestones!$AA$76)&gt;=$S97),$V97,IF(AND($R97&lt;&gt;"",EDATE($D97,Milestones!$AA$76)&gt;=$R97),$U97,$T97)))=Milestones!$AB$76),TEXT(EDATE($D97,Milestones!$AA$76),"dd/mm/yy")&amp;" "&amp;Milestones!$AB$76&amp;" "&amp;Milestones!$AC$76&amp;";  ","")&amp;IF(AND(EDATE($D97,Milestones!$AA$77)&lt;=AsOfDate,IF($Q97=0,$W97,IF(AND($S97&lt;&gt;"",EDATE($D97,Milestones!$AA$77)&gt;=$S97),$V97,IF(AND($R97&lt;&gt;"",EDATE($D97,Milestones!$AA$77)&gt;=$R97),$U97,$T97)))=Milestones!$AB$77),TEXT(EDATE($D97,Milestones!$AA$77),"dd/mm/yy")&amp;" "&amp;Milestones!$AB$77&amp;" "&amp;Milestones!$AC$77&amp;";  ","")&amp;IF(AND(EDATE($D97,Milestones!$AA$78)&lt;=AsOfDate,IF($Q97=0,$W97,IF(AND($S97&lt;&gt;"",EDATE($D97,Milestones!$AA$78)&gt;=$S97),$V97,IF(AND($R97&lt;&gt;"",EDATE($D97,Milestones!$AA$78)&gt;=$R97),$U97,$T97)))=Milestones!$AB$78),TEXT(EDATE($D97,Milestones!$AA$78),"dd/mm/yy")&amp;" "&amp;Milestones!$AB$78&amp;" "&amp;Milestones!$AC$78&amp;";  ","")&amp;IF(AND(EDATE($D97,Milestones!$AA$79)&lt;=AsOfDate,IF($Q97=0,$W97,IF(AND($S97&lt;&gt;"",EDATE($D97,Milestones!$AA$79)&gt;=$S97),$V97,IF(AND($R97&lt;&gt;"",EDATE($D97,Milestones!$AA$79)&gt;=$R97),$U97,$T97)))=Milestones!$AB$79),TEXT(EDATE($D97,Milestones!$AA$79),"dd/mm/yy")&amp;" "&amp;Milestones!$AB$79&amp;" "&amp;Milestones!$AC$79&amp;";  ",""))</f>
        <v/>
      </c>
      <c r="K97" s="0" t="str">
        <f aca="false">IF(OR($A97="",$D97=""),"",IF(AND(EDATE($D97,Milestones!$AA$80)&lt;=AsOfDate,IF($Q97=0,$W97,IF(AND($S97&lt;&gt;"",EDATE($D97,Milestones!$AA$80)&gt;=$S97),$V97,IF(AND($R97&lt;&gt;"",EDATE($D97,Milestones!$AA$80)&gt;=$R97),$U97,$T97)))=Milestones!$AB$80),TEXT(EDATE($D97,Milestones!$AA$80),"dd/mm/yy")&amp;" "&amp;Milestones!$AB$80&amp;" "&amp;Milestones!$AC$80&amp;";  ","")&amp;IF(AND(EDATE($D97,Milestones!$AA$81)&lt;=AsOfDate,IF($Q97=0,$W97,IF(AND($S97&lt;&gt;"",EDATE($D97,Milestones!$AA$81)&gt;=$S97),$V97,IF(AND($R97&lt;&gt;"",EDATE($D97,Milestones!$AA$81)&gt;=$R97),$U97,$T97)))=Milestones!$AB$81),TEXT(EDATE($D97,Milestones!$AA$81),"dd/mm/yy")&amp;" "&amp;Milestones!$AB$81&amp;" "&amp;Milestones!$AC$81&amp;";  ","")&amp;IF(AND(EDATE($D97,Milestones!$AA$82)&lt;=AsOfDate,IF($Q97=0,$W97,IF(AND($S97&lt;&gt;"",EDATE($D97,Milestones!$AA$82)&gt;=$S97),$V97,IF(AND($R97&lt;&gt;"",EDATE($D97,Milestones!$AA$82)&gt;=$R97),$U97,$T97)))=Milestones!$AB$82),TEXT(EDATE($D97,Milestones!$AA$82),"dd/mm/yy")&amp;" "&amp;Milestones!$AB$82&amp;" "&amp;Milestones!$AC$82&amp;";  ","")&amp;IF(AND(EDATE($D97,Milestones!$AA$83)&lt;=AsOfDate,IF($Q97=0,$W97,IF(AND($S97&lt;&gt;"",EDATE($D97,Milestones!$AA$83)&gt;=$S97),$V97,IF(AND($R97&lt;&gt;"",EDATE($D97,Milestones!$AA$83)&gt;=$R97),$U97,$T97)))=Milestones!$AB$83),TEXT(EDATE($D97,Milestones!$AA$83),"dd/mm/yy")&amp;" "&amp;Milestones!$AB$83&amp;" "&amp;Milestones!$AC$83&amp;";  ","")&amp;IF(AND(EDATE($D97,Milestones!$AA$84)&lt;=AsOfDate,IF($Q97=0,$W97,IF(AND($S97&lt;&gt;"",EDATE($D97,Milestones!$AA$84)&gt;=$S97),$V97,IF(AND($R97&lt;&gt;"",EDATE($D97,Milestones!$AA$84)&gt;=$R97),$U97,$T97)))=Milestones!$AB$84),TEXT(EDATE($D97,Milestones!$AA$84),"dd/mm/yy")&amp;" "&amp;Milestones!$AB$84&amp;" "&amp;Milestones!$AC$84&amp;";  ","")&amp;IF(AND(EDATE($D97,Milestones!$AA$85)&lt;=AsOfDate,IF($Q97=0,$W97,IF(AND($S97&lt;&gt;"",EDATE($D97,Milestones!$AA$85)&gt;=$S97),$V97,IF(AND($R97&lt;&gt;"",EDATE($D97,Milestones!$AA$85)&gt;=$R97),$U97,$T97)))=Milestones!$AB$85),TEXT(EDATE($D97,Milestones!$AA$85),"dd/mm/yy")&amp;" "&amp;Milestones!$AB$85&amp;" "&amp;Milestones!$AC$85&amp;";  ","")&amp;IF(AND(EDATE($D97,Milestones!$AA$86)&lt;=AsOfDate,IF($Q97=0,$W97,IF(AND($S97&lt;&gt;"",EDATE($D97,Milestones!$AA$86)&gt;=$S97),$V97,IF(AND($R97&lt;&gt;"",EDATE($D97,Milestones!$AA$86)&gt;=$R97),$U97,$T97)))=Milestones!$AB$86),TEXT(EDATE($D97,Milestones!$AA$86),"dd/mm/yy")&amp;" "&amp;Milestones!$AB$86&amp;" "&amp;Milestones!$AC$86&amp;";  ","")&amp;IF(AND(EDATE($D97,Milestones!$AA$87)&lt;=AsOfDate,IF($Q97=0,$W97,IF(AND($S97&lt;&gt;"",EDATE($D97,Milestones!$AA$87)&gt;=$S97),$V97,IF(AND($R97&lt;&gt;"",EDATE($D97,Milestones!$AA$87)&gt;=$R97),$U97,$T97)))=Milestones!$AB$87),TEXT(EDATE($D97,Milestones!$AA$87),"dd/mm/yy")&amp;" "&amp;Milestones!$AB$87&amp;" "&amp;Milestones!$AC$87&amp;";  ","")&amp;IF(AND(EDATE($D97,Milestones!$AA$88)&lt;=AsOfDate,IF($Q97=0,$W97,IF(AND($S97&lt;&gt;"",EDATE($D97,Milestones!$AA$88)&gt;=$S97),$V97,IF(AND($R97&lt;&gt;"",EDATE($D97,Milestones!$AA$88)&gt;=$R97),$U97,$T97)))=Milestones!$AB$88),TEXT(EDATE($D97,Milestones!$AA$88),"dd/mm/yy")&amp;" "&amp;Milestones!$AB$88&amp;" "&amp;Milestones!$AC$88&amp;";  ","")&amp;IF(AND(EDATE($D97,Milestones!$AA$89)&lt;=AsOfDate,IF($Q97=0,$W97,IF(AND($S97&lt;&gt;"",EDATE($D97,Milestones!$AA$89)&gt;=$S97),$V97,IF(AND($R97&lt;&gt;"",EDATE($D97,Milestones!$AA$89)&gt;=$R97),$U97,$T97)))=Milestones!$AB$89),TEXT(EDATE($D97,Milestones!$AA$89),"dd/mm/yy")&amp;" "&amp;Milestones!$AB$89&amp;" "&amp;Milestones!$AC$89&amp;";  ","")&amp;IF(AND(EDATE($D97,Milestones!$AA$90)&lt;=AsOfDate,IF($Q97=0,$W97,IF(AND($S97&lt;&gt;"",EDATE($D97,Milestones!$AA$90)&gt;=$S97),$V97,IF(AND($R97&lt;&gt;"",EDATE($D97,Milestones!$AA$90)&gt;=$R97),$U97,$T97)))=Milestones!$AB$90),TEXT(EDATE($D97,Milestones!$AA$90),"dd/mm/yy")&amp;" "&amp;Milestones!$AB$90&amp;" "&amp;Milestones!$AC$90&amp;";  ","")&amp;IF(AND(EDATE($D97,Milestones!$AA$91)&lt;=AsOfDate,IF($Q97=0,$W97,IF(AND($S97&lt;&gt;"",EDATE($D97,Milestones!$AA$91)&gt;=$S97),$V97,IF(AND($R97&lt;&gt;"",EDATE($D97,Milestones!$AA$91)&gt;=$R97),$U97,$T97)))=Milestones!$AB$91),TEXT(EDATE($D97,Milestones!$AA$91),"dd/mm/yy")&amp;" "&amp;Milestones!$AB$91&amp;" "&amp;Milestones!$AC$91&amp;";  ","")&amp;IF(AND(EDATE($D97,Milestones!$AA$92)&lt;=AsOfDate,IF($Q97=0,$W97,IF(AND($S97&lt;&gt;"",EDATE($D97,Milestones!$AA$92)&gt;=$S97),$V97,IF(AND($R97&lt;&gt;"",EDATE($D97,Milestones!$AA$92)&gt;=$R97),$U97,$T97)))=Milestones!$AB$92),TEXT(EDATE($D97,Milestones!$AA$92),"dd/mm/yy")&amp;" "&amp;Milestones!$AB$92&amp;" "&amp;Milestones!$AC$92&amp;";  ","")&amp;IF(AND(EDATE($D97,Milestones!$AA$93)&lt;=AsOfDate,IF($Q97=0,$W97,IF(AND($S97&lt;&gt;"",EDATE($D97,Milestones!$AA$93)&gt;=$S97),$V97,IF(AND($R97&lt;&gt;"",EDATE($D97,Milestones!$AA$93)&gt;=$R97),$U97,$T97)))=Milestones!$AB$93),TEXT(EDATE($D97,Milestones!$AA$93),"dd/mm/yy")&amp;" "&amp;Milestones!$AB$93&amp;" "&amp;Milestones!$AC$93&amp;";  ","")&amp;IF(AND(EDATE($D97,Milestones!$AA$94)&lt;=AsOfDate,IF($Q97=0,$W97,IF(AND($S97&lt;&gt;"",EDATE($D97,Milestones!$AA$94)&gt;=$S97),$V97,IF(AND($R97&lt;&gt;"",EDATE($D97,Milestones!$AA$94)&gt;=$R97),$U97,$T97)))=Milestones!$AB$94),TEXT(EDATE($D97,Milestones!$AA$94),"dd/mm/yy")&amp;" "&amp;Milestones!$AB$94&amp;" "&amp;Milestones!$AC$94&amp;";  ","")&amp;IF(AND(EDATE($D97,Milestones!$AA$95)&lt;=AsOfDate,IF($Q97=0,$W97,IF(AND($S97&lt;&gt;"",EDATE($D97,Milestones!$AA$95)&gt;=$S97),$V97,IF(AND($R97&lt;&gt;"",EDATE($D97,Milestones!$AA$95)&gt;=$R97),$U97,$T97)))=Milestones!$AB$95),TEXT(EDATE($D97,Milestones!$AA$95),"dd/mm/yy")&amp;" "&amp;Milestones!$AB$95&amp;" "&amp;Milestones!$AC$95&amp;";  ","")&amp;IF(AND(EDATE($D97,Milestones!$AA$96)&lt;=AsOfDate,IF($Q97=0,$W97,IF(AND($S97&lt;&gt;"",EDATE($D97,Milestones!$AA$96)&gt;=$S97),$V97,IF(AND($R97&lt;&gt;"",EDATE($D97,Milestones!$AA$96)&gt;=$R97),$U97,$T97)))=Milestones!$AB$96),TEXT(EDATE($D97,Milestones!$AA$96),"dd/mm/yy")&amp;" "&amp;Milestones!$AB$96&amp;" "&amp;Milestones!$AC$96&amp;";  ","")&amp;IF(AND(EDATE($D97,Milestones!$AA$97)&lt;=AsOfDate,IF($Q97=0,$W97,IF(AND($S97&lt;&gt;"",EDATE($D97,Milestones!$AA$97)&gt;=$S97),$V97,IF(AND($R97&lt;&gt;"",EDATE($D97,Milestones!$AA$97)&gt;=$R97),$U97,$T97)))=Milestones!$AB$97),TEXT(EDATE($D97,Milestones!$AA$97),"dd/mm/yy")&amp;" "&amp;Milestones!$AB$97&amp;" "&amp;Milestones!$AC$97&amp;";  ","")&amp;IF(AND(EDATE($D97,Milestones!$AA$98)&lt;=AsOfDate,IF($Q97=0,$W97,IF(AND($S97&lt;&gt;"",EDATE($D97,Milestones!$AA$98)&gt;=$S97),$V97,IF(AND($R97&lt;&gt;"",EDATE($D97,Milestones!$AA$98)&gt;=$R97),$U97,$T97)))=Milestones!$AB$98),TEXT(EDATE($D97,Milestones!$AA$98),"dd/mm/yy")&amp;" "&amp;Milestones!$AB$98&amp;" "&amp;Milestones!$AC$98&amp;";  ","")&amp;IF(AND(EDATE($D97,Milestones!$AA$99)&lt;=AsOfDate,IF($Q97=0,$W97,IF(AND($S97&lt;&gt;"",EDATE($D97,Milestones!$AA$99)&gt;=$S97),$V97,IF(AND($R97&lt;&gt;"",EDATE($D97,Milestones!$AA$99)&gt;=$R97),$U97,$T97)))=Milestones!$AB$99),TEXT(EDATE($D97,Milestones!$AA$99),"dd/mm/yy")&amp;" "&amp;Milestones!$AB$99&amp;" "&amp;Milestones!$AC$99&amp;";  ",""))</f>
        <v/>
      </c>
      <c r="L97" s="0" t="str">
        <f aca="false">IF(OR($A97="",$D97=""),"",IF(AND(EDATE($D97,Milestones!$AA$100)&lt;=AsOfDate,IF($Q97=0,$W97,IF(AND($S97&lt;&gt;"",EDATE($D97,Milestones!$AA$100)&gt;=$S97),$V97,IF(AND($R97&lt;&gt;"",EDATE($D97,Milestones!$AA$100)&gt;=$R97),$U97,$T97)))=Milestones!$AB$100),TEXT(EDATE($D97,Milestones!$AA$100),"dd/mm/yy")&amp;" "&amp;Milestones!$AB$100&amp;" "&amp;Milestones!$AC$100&amp;";  ","")&amp;IF(AND(EDATE($D97,Milestones!$AA$101)&lt;=AsOfDate,IF($Q97=0,$W97,IF(AND($S97&lt;&gt;"",EDATE($D97,Milestones!$AA$101)&gt;=$S97),$V97,IF(AND($R97&lt;&gt;"",EDATE($D97,Milestones!$AA$101)&gt;=$R97),$U97,$T97)))=Milestones!$AB$101),TEXT(EDATE($D97,Milestones!$AA$101),"dd/mm/yy")&amp;" "&amp;Milestones!$AB$101&amp;" "&amp;Milestones!$AC$101&amp;";  ","")&amp;IF(AND(EDATE($D97,Milestones!$AA$102)&lt;=AsOfDate,IF($Q97=0,$W97,IF(AND($S97&lt;&gt;"",EDATE($D97,Milestones!$AA$102)&gt;=$S97),$V97,IF(AND($R97&lt;&gt;"",EDATE($D97,Milestones!$AA$102)&gt;=$R97),$U97,$T97)))=Milestones!$AB$102),TEXT(EDATE($D97,Milestones!$AA$102),"dd/mm/yy")&amp;" "&amp;Milestones!$AB$102&amp;" "&amp;Milestones!$AC$102&amp;";  ","")&amp;IF(AND(EDATE($D97,Milestones!$AA$103)&lt;=AsOfDate,IF($Q97=0,$W97,IF(AND($S97&lt;&gt;"",EDATE($D97,Milestones!$AA$103)&gt;=$S97),$V97,IF(AND($R97&lt;&gt;"",EDATE($D97,Milestones!$AA$103)&gt;=$R97),$U97,$T97)))=Milestones!$AB$103),TEXT(EDATE($D97,Milestones!$AA$103),"dd/mm/yy")&amp;" "&amp;Milestones!$AB$103&amp;" "&amp;Milestones!$AC$103&amp;";  ","")&amp;IF(AND(EDATE($D97,Milestones!$AA$104)&lt;=AsOfDate,IF($Q97=0,$W97,IF(AND($S97&lt;&gt;"",EDATE($D97,Milestones!$AA$104)&gt;=$S97),$V97,IF(AND($R97&lt;&gt;"",EDATE($D97,Milestones!$AA$104)&gt;=$R97),$U97,$T97)))=Milestones!$AB$104),TEXT(EDATE($D97,Milestones!$AA$104),"dd/mm/yy")&amp;" "&amp;Milestones!$AB$104&amp;" "&amp;Milestones!$AC$104&amp;";  ","")&amp;IF(AND(EDATE($D97,Milestones!$AA$105)&lt;=AsOfDate,IF($Q97=0,$W97,IF(AND($S97&lt;&gt;"",EDATE($D97,Milestones!$AA$105)&gt;=$S97),$V97,IF(AND($R97&lt;&gt;"",EDATE($D97,Milestones!$AA$105)&gt;=$R97),$U97,$T97)))=Milestones!$AB$105),TEXT(EDATE($D97,Milestones!$AA$105),"dd/mm/yy")&amp;" "&amp;Milestones!$AB$105&amp;" "&amp;Milestones!$AC$105&amp;";  ","")&amp;IF(AND(EDATE($D97,Milestones!$AA$106)&lt;=AsOfDate,IF($Q97=0,$W97,IF(AND($S97&lt;&gt;"",EDATE($D97,Milestones!$AA$106)&gt;=$S97),$V97,IF(AND($R97&lt;&gt;"",EDATE($D97,Milestones!$AA$106)&gt;=$R97),$U97,$T97)))=Milestones!$AB$106),TEXT(EDATE($D97,Milestones!$AA$106),"dd/mm/yy")&amp;" "&amp;Milestones!$AB$106&amp;" "&amp;Milestones!$AC$106&amp;";  ","")&amp;IF(AND(EDATE($D97,Milestones!$AA$107)&lt;=AsOfDate,IF($Q97=0,$W97,IF(AND($S97&lt;&gt;"",EDATE($D97,Milestones!$AA$107)&gt;=$S97),$V97,IF(AND($R97&lt;&gt;"",EDATE($D97,Milestones!$AA$107)&gt;=$R97),$U97,$T97)))=Milestones!$AB$107),TEXT(EDATE($D97,Milestones!$AA$107),"dd/mm/yy")&amp;" "&amp;Milestones!$AB$107&amp;" "&amp;Milestones!$AC$107&amp;";  ","")&amp;IF(AND(EDATE($D97,Milestones!$AA$108)&lt;=AsOfDate,IF($Q97=0,$W97,IF(AND($S97&lt;&gt;"",EDATE($D97,Milestones!$AA$108)&gt;=$S97),$V97,IF(AND($R97&lt;&gt;"",EDATE($D97,Milestones!$AA$108)&gt;=$R97),$U97,$T97)))=Milestones!$AB$108),TEXT(EDATE($D97,Milestones!$AA$108),"dd/mm/yy")&amp;" "&amp;Milestones!$AB$108&amp;" "&amp;Milestones!$AC$108&amp;";  ","")&amp;IF(AND(EDATE($D97,Milestones!$AA$109)&lt;=AsOfDate,IF($Q97=0,$W97,IF(AND($S97&lt;&gt;"",EDATE($D97,Milestones!$AA$109)&gt;=$S97),$V97,IF(AND($R97&lt;&gt;"",EDATE($D97,Milestones!$AA$109)&gt;=$R97),$U97,$T97)))=Milestones!$AB$109),TEXT(EDATE($D97,Milestones!$AA$109),"dd/mm/yy")&amp;" "&amp;Milestones!$AB$109&amp;" "&amp;Milestones!$AC$109&amp;";  ","")&amp;IF(AND(EDATE($D97,Milestones!$AA$110)&lt;=AsOfDate,IF($Q97=0,$W97,IF(AND($S97&lt;&gt;"",EDATE($D97,Milestones!$AA$110)&gt;=$S97),$V97,IF(AND($R97&lt;&gt;"",EDATE($D97,Milestones!$AA$110)&gt;=$R97),$U97,$T97)))=Milestones!$AB$110),TEXT(EDATE($D97,Milestones!$AA$110),"dd/mm/yy")&amp;" "&amp;Milestones!$AB$110&amp;" "&amp;Milestones!$AC$110&amp;";  ","")&amp;IF(AND(EDATE($D97,Milestones!$AA$111)&lt;=AsOfDate,IF($Q97=0,$W97,IF(AND($S97&lt;&gt;"",EDATE($D97,Milestones!$AA$111)&gt;=$S97),$V97,IF(AND($R97&lt;&gt;"",EDATE($D97,Milestones!$AA$111)&gt;=$R97),$U97,$T97)))=Milestones!$AB$111),TEXT(EDATE($D97,Milestones!$AA$111),"dd/mm/yy")&amp;" "&amp;Milestones!$AB$111&amp;" "&amp;Milestones!$AC$111&amp;";  ","")&amp;IF(AND(EDATE($D97,Milestones!$AA$112)&lt;=AsOfDate,IF($Q97=0,$W97,IF(AND($S97&lt;&gt;"",EDATE($D97,Milestones!$AA$112)&gt;=$S97),$V97,IF(AND($R97&lt;&gt;"",EDATE($D97,Milestones!$AA$112)&gt;=$R97),$U97,$T97)))=Milestones!$AB$112),TEXT(EDATE($D97,Milestones!$AA$112),"dd/mm/yy")&amp;" "&amp;Milestones!$AB$112&amp;" "&amp;Milestones!$AC$112&amp;";  ","")&amp;IF(AND(EDATE($D97,Milestones!$AA$113)&lt;=AsOfDate,IF($Q97=0,$W97,IF(AND($S97&lt;&gt;"",EDATE($D97,Milestones!$AA$113)&gt;=$S97),$V97,IF(AND($R97&lt;&gt;"",EDATE($D97,Milestones!$AA$113)&gt;=$R97),$U97,$T97)))=Milestones!$AB$113),TEXT(EDATE($D97,Milestones!$AA$113),"dd/mm/yy")&amp;" "&amp;Milestones!$AB$113&amp;" "&amp;Milestones!$AC$113&amp;";  ","")&amp;IF(AND(EDATE($D97,Milestones!$AA$114)&lt;=AsOfDate,IF($Q97=0,$W97,IF(AND($S97&lt;&gt;"",EDATE($D97,Milestones!$AA$114)&gt;=$S97),$V97,IF(AND($R97&lt;&gt;"",EDATE($D97,Milestones!$AA$114)&gt;=$R97),$U97,$T97)))=Milestones!$AB$114),TEXT(EDATE($D97,Milestones!$AA$114),"dd/mm/yy")&amp;" "&amp;Milestones!$AB$114&amp;" "&amp;Milestones!$AC$114&amp;";  ","")&amp;IF(AND(EDATE($D97,Milestones!$AA$115)&lt;=AsOfDate,IF($Q97=0,$W97,IF(AND($S97&lt;&gt;"",EDATE($D97,Milestones!$AA$115)&gt;=$S97),$V97,IF(AND($R97&lt;&gt;"",EDATE($D97,Milestones!$AA$115)&gt;=$R97),$U97,$T97)))=Milestones!$AB$115),TEXT(EDATE($D97,Milestones!$AA$115),"dd/mm/yy")&amp;" "&amp;Milestones!$AB$115&amp;" "&amp;Milestones!$AC$115&amp;";  ","")&amp;IF(AND(EDATE($D97,Milestones!$AA$116)&lt;=AsOfDate,IF($Q97=0,$W97,IF(AND($S97&lt;&gt;"",EDATE($D97,Milestones!$AA$116)&gt;=$S97),$V97,IF(AND($R97&lt;&gt;"",EDATE($D97,Milestones!$AA$116)&gt;=$R97),$U97,$T97)))=Milestones!$AB$116),TEXT(EDATE($D97,Milestones!$AA$116),"dd/mm/yy")&amp;" "&amp;Milestones!$AB$116&amp;" "&amp;Milestones!$AC$116&amp;";  ","")&amp;IF(AND(EDATE($D97,Milestones!$AA$117)&lt;=AsOfDate,IF($Q97=0,$W97,IF(AND($S97&lt;&gt;"",EDATE($D97,Milestones!$AA$117)&gt;=$S97),$V97,IF(AND($R97&lt;&gt;"",EDATE($D97,Milestones!$AA$117)&gt;=$R97),$U97,$T97)))=Milestones!$AB$117),TEXT(EDATE($D97,Milestones!$AA$117),"dd/mm/yy")&amp;" "&amp;Milestones!$AB$117&amp;" "&amp;Milestones!$AC$117&amp;";  ","")&amp;IF(AND(EDATE($D97,Milestones!$AA$118)&lt;=AsOfDate,IF($Q97=0,$W97,IF(AND($S97&lt;&gt;"",EDATE($D97,Milestones!$AA$118)&gt;=$S97),$V97,IF(AND($R97&lt;&gt;"",EDATE($D97,Milestones!$AA$118)&gt;=$R97),$U97,$T97)))=Milestones!$AB$118),TEXT(EDATE($D97,Milestones!$AA$118),"dd/mm/yy")&amp;" "&amp;Milestones!$AB$118&amp;" "&amp;Milestones!$AC$118&amp;";  ","")&amp;IF(AND(EDATE($D97,Milestones!$AA$119)&lt;=AsOfDate,IF($Q97=0,$W97,IF(AND($S97&lt;&gt;"",EDATE($D97,Milestones!$AA$119)&gt;=$S97),$V97,IF(AND($R97&lt;&gt;"",EDATE($D97,Milestones!$AA$119)&gt;=$R97),$U97,$T97)))=Milestones!$AB$119),TEXT(EDATE($D97,Milestones!$AA$119),"dd/mm/yy")&amp;" "&amp;Milestones!$AB$119&amp;" "&amp;Milestones!$AC$119&amp;";  ",""))</f>
        <v/>
      </c>
      <c r="M97" s="0" t="str">
        <f aca="false">IF(OR($A97="",$D97=""),"",IF(AND(EDATE($D97,Milestones!$AA$120)&lt;=AsOfDate,IF($Q97=0,$W97,IF(AND($S97&lt;&gt;"",EDATE($D97,Milestones!$AA$120)&gt;=$S97),$V97,IF(AND($R97&lt;&gt;"",EDATE($D97,Milestones!$AA$120)&gt;=$R97),$U97,$T97)))=Milestones!$AB$120),TEXT(EDATE($D97,Milestones!$AA$120),"dd/mm/yy")&amp;" "&amp;Milestones!$AB$120&amp;" "&amp;Milestones!$AC$120&amp;";  ","")&amp;IF(AND(EDATE($D97,Milestones!$AA$121)&lt;=AsOfDate,IF($Q97=0,$W97,IF(AND($S97&lt;&gt;"",EDATE($D97,Milestones!$AA$121)&gt;=$S97),$V97,IF(AND($R97&lt;&gt;"",EDATE($D97,Milestones!$AA$121)&gt;=$R97),$U97,$T97)))=Milestones!$AB$121),TEXT(EDATE($D97,Milestones!$AA$121),"dd/mm/yy")&amp;" "&amp;Milestones!$AB$121&amp;" "&amp;Milestones!$AC$121&amp;";  ","")&amp;IF(AND(EDATE($D97,Milestones!$AA$122)&lt;=AsOfDate,IF($Q97=0,$W97,IF(AND($S97&lt;&gt;"",EDATE($D97,Milestones!$AA$122)&gt;=$S97),$V97,IF(AND($R97&lt;&gt;"",EDATE($D97,Milestones!$AA$122)&gt;=$R97),$U97,$T97)))=Milestones!$AB$122),TEXT(EDATE($D97,Milestones!$AA$122),"dd/mm/yy")&amp;" "&amp;Milestones!$AB$122&amp;" "&amp;Milestones!$AC$122&amp;";  ","")&amp;IF(AND(EDATE($D97,Milestones!$AA$123)&lt;=AsOfDate,IF($Q97=0,$W97,IF(AND($S97&lt;&gt;"",EDATE($D97,Milestones!$AA$123)&gt;=$S97),$V97,IF(AND($R97&lt;&gt;"",EDATE($D97,Milestones!$AA$123)&gt;=$R97),$U97,$T97)))=Milestones!$AB$123),TEXT(EDATE($D97,Milestones!$AA$123),"dd/mm/yy")&amp;" "&amp;Milestones!$AB$123&amp;" "&amp;Milestones!$AC$123&amp;";  ","")&amp;IF(AND(EDATE($D97,Milestones!$AA$124)&lt;=AsOfDate,IF($Q97=0,$W97,IF(AND($S97&lt;&gt;"",EDATE($D97,Milestones!$AA$124)&gt;=$S97),$V97,IF(AND($R97&lt;&gt;"",EDATE($D97,Milestones!$AA$124)&gt;=$R97),$U97,$T97)))=Milestones!$AB$124),TEXT(EDATE($D97,Milestones!$AA$124),"dd/mm/yy")&amp;" "&amp;Milestones!$AB$124&amp;" "&amp;Milestones!$AC$124&amp;";  ","")&amp;IF(AND(EDATE($D97,Milestones!$AA$125)&lt;=AsOfDate,IF($Q97=0,$W97,IF(AND($S97&lt;&gt;"",EDATE($D97,Milestones!$AA$125)&gt;=$S97),$V97,IF(AND($R97&lt;&gt;"",EDATE($D97,Milestones!$AA$125)&gt;=$R97),$U97,$T97)))=Milestones!$AB$125),TEXT(EDATE($D97,Milestones!$AA$125),"dd/mm/yy")&amp;" "&amp;Milestones!$AB$125&amp;" "&amp;Milestones!$AC$125&amp;";  ","")&amp;IF(AND(EDATE($D97,Milestones!$AA$126)&lt;=AsOfDate,IF($Q97=0,$W97,IF(AND($S97&lt;&gt;"",EDATE($D97,Milestones!$AA$126)&gt;=$S97),$V97,IF(AND($R97&lt;&gt;"",EDATE($D97,Milestones!$AA$126)&gt;=$R97),$U97,$T97)))=Milestones!$AB$126),TEXT(EDATE($D97,Milestones!$AA$126),"dd/mm/yy")&amp;" "&amp;Milestones!$AB$126&amp;" "&amp;Milestones!$AC$126&amp;";  ","")&amp;IF(AND(EDATE($D97,Milestones!$AA$127)&lt;=AsOfDate,IF($Q97=0,$W97,IF(AND($S97&lt;&gt;"",EDATE($D97,Milestones!$AA$127)&gt;=$S97),$V97,IF(AND($R97&lt;&gt;"",EDATE($D97,Milestones!$AA$127)&gt;=$R97),$U97,$T97)))=Milestones!$AB$127),TEXT(EDATE($D97,Milestones!$AA$127),"dd/mm/yy")&amp;" "&amp;Milestones!$AB$127&amp;" "&amp;Milestones!$AC$127&amp;";  ","")&amp;IF(AND(EDATE($D97,Milestones!$AA$128)&lt;=AsOfDate,IF($Q97=0,$W97,IF(AND($S97&lt;&gt;"",EDATE($D97,Milestones!$AA$128)&gt;=$S97),$V97,IF(AND($R97&lt;&gt;"",EDATE($D97,Milestones!$AA$128)&gt;=$R97),$U97,$T97)))=Milestones!$AB$128),TEXT(EDATE($D97,Milestones!$AA$128),"dd/mm/yy")&amp;" "&amp;Milestones!$AB$128&amp;" "&amp;Milestones!$AC$128&amp;";  ","")&amp;IF(AND(EDATE($D97,Milestones!$AA$129)&lt;=AsOfDate,IF($Q97=0,$W97,IF(AND($S97&lt;&gt;"",EDATE($D97,Milestones!$AA$129)&gt;=$S97),$V97,IF(AND($R97&lt;&gt;"",EDATE($D97,Milestones!$AA$129)&gt;=$R97),$U97,$T97)))=Milestones!$AB$129),TEXT(EDATE($D97,Milestones!$AA$129),"dd/mm/yy")&amp;" "&amp;Milestones!$AB$129&amp;" "&amp;Milestones!$AC$129&amp;";  ","")&amp;IF(AND(EDATE($D97,Milestones!$AA$130)&lt;=AsOfDate,IF($Q97=0,$W97,IF(AND($S97&lt;&gt;"",EDATE($D97,Milestones!$AA$130)&gt;=$S97),$V97,IF(AND($R97&lt;&gt;"",EDATE($D97,Milestones!$AA$130)&gt;=$R97),$U97,$T97)))=Milestones!$AB$130),TEXT(EDATE($D97,Milestones!$AA$130),"dd/mm/yy")&amp;" "&amp;Milestones!$AB$130&amp;" "&amp;Milestones!$AC$130&amp;";  ","")&amp;IF(AND(EDATE($D97,Milestones!$AA$131)&lt;=AsOfDate,IF($Q97=0,$W97,IF(AND($S97&lt;&gt;"",EDATE($D97,Milestones!$AA$131)&gt;=$S97),$V97,IF(AND($R97&lt;&gt;"",EDATE($D97,Milestones!$AA$131)&gt;=$R97),$U97,$T97)))=Milestones!$AB$131),TEXT(EDATE($D97,Milestones!$AA$131),"dd/mm/yy")&amp;" "&amp;Milestones!$AB$131&amp;" "&amp;Milestones!$AC$131&amp;";  ","")&amp;IF(AND(EDATE($D97,Milestones!$AA$132)&lt;=AsOfDate,IF($Q97=0,$W97,IF(AND($S97&lt;&gt;"",EDATE($D97,Milestones!$AA$132)&gt;=$S97),$V97,IF(AND($R97&lt;&gt;"",EDATE($D97,Milestones!$AA$132)&gt;=$R97),$U97,$T97)))=Milestones!$AB$132),TEXT(EDATE($D97,Milestones!$AA$132),"dd/mm/yy")&amp;" "&amp;Milestones!$AB$132&amp;" "&amp;Milestones!$AC$132&amp;";  ","")&amp;IF(AND(EDATE($D97,Milestones!$AA$133)&lt;=AsOfDate,IF($Q97=0,$W97,IF(AND($S97&lt;&gt;"",EDATE($D97,Milestones!$AA$133)&gt;=$S97),$V97,IF(AND($R97&lt;&gt;"",EDATE($D97,Milestones!$AA$133)&gt;=$R97),$U97,$T97)))=Milestones!$AB$133),TEXT(EDATE($D97,Milestones!$AA$133),"dd/mm/yy")&amp;" "&amp;Milestones!$AB$133&amp;" "&amp;Milestones!$AC$133&amp;";  ","")&amp;IF(AND(EDATE($D97,Milestones!$AA$134)&lt;=AsOfDate,IF($Q97=0,$W97,IF(AND($S97&lt;&gt;"",EDATE($D97,Milestones!$AA$134)&gt;=$S97),$V97,IF(AND($R97&lt;&gt;"",EDATE($D97,Milestones!$AA$134)&gt;=$R97),$U97,$T97)))=Milestones!$AB$134),TEXT(EDATE($D97,Milestones!$AA$134),"dd/mm/yy")&amp;" "&amp;Milestones!$AB$134&amp;" "&amp;Milestones!$AC$134&amp;";  ","")&amp;IF(AND(EDATE($D97,Milestones!$AA$135)&lt;=AsOfDate,IF($Q97=0,$W97,IF(AND($S97&lt;&gt;"",EDATE($D97,Milestones!$AA$135)&gt;=$S97),$V97,IF(AND($R97&lt;&gt;"",EDATE($D97,Milestones!$AA$135)&gt;=$R97),$U97,$T97)))=Milestones!$AB$135),TEXT(EDATE($D97,Milestones!$AA$135),"dd/mm/yy")&amp;" "&amp;Milestones!$AB$135&amp;" "&amp;Milestones!$AC$135&amp;";  ","")&amp;IF(AND(EDATE($D97,Milestones!$AA$136)&lt;=AsOfDate,IF($Q97=0,$W97,IF(AND($S97&lt;&gt;"",EDATE($D97,Milestones!$AA$136)&gt;=$S97),$V97,IF(AND($R97&lt;&gt;"",EDATE($D97,Milestones!$AA$136)&gt;=$R97),$U97,$T97)))=Milestones!$AB$136),TEXT(EDATE($D97,Milestones!$AA$136),"dd/mm/yy")&amp;" "&amp;Milestones!$AB$136&amp;" "&amp;Milestones!$AC$136&amp;";  ","")&amp;IF(AND(EDATE($D97,Milestones!$AA$137)&lt;=AsOfDate,IF($Q97=0,$W97,IF(AND($S97&lt;&gt;"",EDATE($D97,Milestones!$AA$137)&gt;=$S97),$V97,IF(AND($R97&lt;&gt;"",EDATE($D97,Milestones!$AA$137)&gt;=$R97),$U97,$T97)))=Milestones!$AB$137),TEXT(EDATE($D97,Milestones!$AA$137),"dd/mm/yy")&amp;" "&amp;Milestones!$AB$137&amp;" "&amp;Milestones!$AC$137&amp;";  ","")&amp;IF(AND(EDATE($D97,Milestones!$AA$138)&lt;=AsOfDate,IF($Q97=0,$W97,IF(AND($S97&lt;&gt;"",EDATE($D97,Milestones!$AA$138)&gt;=$S97),$V97,IF(AND($R97&lt;&gt;"",EDATE($D97,Milestones!$AA$138)&gt;=$R97),$U97,$T97)))=Milestones!$AB$138),TEXT(EDATE($D97,Milestones!$AA$138),"dd/mm/yy")&amp;" "&amp;Milestones!$AB$138&amp;" "&amp;Milestones!$AC$138&amp;";  ","")&amp;IF(AND(EDATE($D97,Milestones!$AA$139)&lt;=AsOfDate,IF($Q97=0,$W97,IF(AND($S97&lt;&gt;"",EDATE($D97,Milestones!$AA$139)&gt;=$S97),$V97,IF(AND($R97&lt;&gt;"",EDATE($D97,Milestones!$AA$139)&gt;=$R97),$U97,$T97)))=Milestones!$AB$139),TEXT(EDATE($D97,Milestones!$AA$139),"dd/mm/yy")&amp;" "&amp;Milestones!$AB$139&amp;" "&amp;Milestones!$AC$139&amp;";  ",""))</f>
        <v/>
      </c>
      <c r="N97" s="0" t="str">
        <f aca="false">IF(OR($A97="",$D97=""),"",IF(AND(EDATE($D97,Milestones!$AA$140)&lt;=AsOfDate,IF($Q97=0,$W97,IF(AND($S97&lt;&gt;"",EDATE($D97,Milestones!$AA$140)&gt;=$S97),$V97,IF(AND($R97&lt;&gt;"",EDATE($D97,Milestones!$AA$140)&gt;=$R97),$U97,$T97)))=Milestones!$AB$140),TEXT(EDATE($D97,Milestones!$AA$140),"dd/mm/yy")&amp;" "&amp;Milestones!$AB$140&amp;" "&amp;Milestones!$AC$140&amp;";  ","")&amp;IF(AND(EDATE($D97,Milestones!$AA$141)&lt;=AsOfDate,IF($Q97=0,$W97,IF(AND($S97&lt;&gt;"",EDATE($D97,Milestones!$AA$141)&gt;=$S97),$V97,IF(AND($R97&lt;&gt;"",EDATE($D97,Milestones!$AA$141)&gt;=$R97),$U97,$T97)))=Milestones!$AB$141),TEXT(EDATE($D97,Milestones!$AA$141),"dd/mm/yy")&amp;" "&amp;Milestones!$AB$141&amp;" "&amp;Milestones!$AC$141&amp;";  ","")&amp;IF(AND(EDATE($D97,Milestones!$AA$142)&lt;=AsOfDate,IF($Q97=0,$W97,IF(AND($S97&lt;&gt;"",EDATE($D97,Milestones!$AA$142)&gt;=$S97),$V97,IF(AND($R97&lt;&gt;"",EDATE($D97,Milestones!$AA$142)&gt;=$R97),$U97,$T97)))=Milestones!$AB$142),TEXT(EDATE($D97,Milestones!$AA$142),"dd/mm/yy")&amp;" "&amp;Milestones!$AB$142&amp;" "&amp;Milestones!$AC$142&amp;";  ","")&amp;IF(AND(EDATE($D97,Milestones!$AA$143)&lt;=AsOfDate,IF($Q97=0,$W97,IF(AND($S97&lt;&gt;"",EDATE($D97,Milestones!$AA$143)&gt;=$S97),$V97,IF(AND($R97&lt;&gt;"",EDATE($D97,Milestones!$AA$143)&gt;=$R97),$U97,$T97)))=Milestones!$AB$143),TEXT(EDATE($D97,Milestones!$AA$143),"dd/mm/yy")&amp;" "&amp;Milestones!$AB$143&amp;" "&amp;Milestones!$AC$143&amp;";  ","")&amp;IF(AND(EDATE($D97,Milestones!$AA$144)&lt;=AsOfDate,IF($Q97=0,$W97,IF(AND($S97&lt;&gt;"",EDATE($D97,Milestones!$AA$144)&gt;=$S97),$V97,IF(AND($R97&lt;&gt;"",EDATE($D97,Milestones!$AA$144)&gt;=$R97),$U97,$T97)))=Milestones!$AB$144),TEXT(EDATE($D97,Milestones!$AA$144),"dd/mm/yy")&amp;" "&amp;Milestones!$AB$144&amp;" "&amp;Milestones!$AC$144&amp;";  ","")&amp;IF(AND(EDATE($D97,Milestones!$AA$145)&lt;=AsOfDate,IF($Q97=0,$W97,IF(AND($S97&lt;&gt;"",EDATE($D97,Milestones!$AA$145)&gt;=$S97),$V97,IF(AND($R97&lt;&gt;"",EDATE($D97,Milestones!$AA$145)&gt;=$R97),$U97,$T97)))=Milestones!$AB$145),TEXT(EDATE($D97,Milestones!$AA$145),"dd/mm/yy")&amp;" "&amp;Milestones!$AB$145&amp;" "&amp;Milestones!$AC$145&amp;";  ","")&amp;IF(AND(EDATE($D97,Milestones!$AA$146)&lt;=AsOfDate,IF($Q97=0,$W97,IF(AND($S97&lt;&gt;"",EDATE($D97,Milestones!$AA$146)&gt;=$S97),$V97,IF(AND($R97&lt;&gt;"",EDATE($D97,Milestones!$AA$146)&gt;=$R97),$U97,$T97)))=Milestones!$AB$146),TEXT(EDATE($D97,Milestones!$AA$146),"dd/mm/yy")&amp;" "&amp;Milestones!$AB$146&amp;" "&amp;Milestones!$AC$146&amp;";  ","")&amp;IF(AND(EDATE($D97,Milestones!$AA$147)&lt;=AsOfDate,IF($Q97=0,$W97,IF(AND($S97&lt;&gt;"",EDATE($D97,Milestones!$AA$147)&gt;=$S97),$V97,IF(AND($R97&lt;&gt;"",EDATE($D97,Milestones!$AA$147)&gt;=$R97),$U97,$T97)))=Milestones!$AB$147),TEXT(EDATE($D97,Milestones!$AA$147),"dd/mm/yy")&amp;" "&amp;Milestones!$AB$147&amp;" "&amp;Milestones!$AC$147&amp;";  ","")&amp;IF(AND(EDATE($D97,Milestones!$AA$148)&lt;=AsOfDate,IF($Q97=0,$W97,IF(AND($S97&lt;&gt;"",EDATE($D97,Milestones!$AA$148)&gt;=$S97),$V97,IF(AND($R97&lt;&gt;"",EDATE($D97,Milestones!$AA$148)&gt;=$R97),$U97,$T97)))=Milestones!$AB$148),TEXT(EDATE($D97,Milestones!$AA$148),"dd/mm/yy")&amp;" "&amp;Milestones!$AB$148&amp;" "&amp;Milestones!$AC$148&amp;";  ","")&amp;IF(AND(EDATE($D97,Milestones!$AA$149)&lt;=AsOfDate,IF($Q97=0,$W97,IF(AND($S97&lt;&gt;"",EDATE($D97,Milestones!$AA$149)&gt;=$S97),$V97,IF(AND($R97&lt;&gt;"",EDATE($D97,Milestones!$AA$149)&gt;=$R97),$U97,$T97)))=Milestones!$AB$149),TEXT(EDATE($D97,Milestones!$AA$149),"dd/mm/yy")&amp;" "&amp;Milestones!$AB$149&amp;" "&amp;Milestones!$AC$149&amp;";  ","")&amp;IF(AND(EDATE($D97,Milestones!$AA$150)&lt;=AsOfDate,IF($Q97=0,$W97,IF(AND($S97&lt;&gt;"",EDATE($D97,Milestones!$AA$150)&gt;=$S97),$V97,IF(AND($R97&lt;&gt;"",EDATE($D97,Milestones!$AA$150)&gt;=$R97),$U97,$T97)))=Milestones!$AB$150),TEXT(EDATE($D97,Milestones!$AA$150),"dd/mm/yy")&amp;" "&amp;Milestones!$AB$150&amp;" "&amp;Milestones!$AC$150&amp;";  ","")&amp;IF(AND(EDATE($D97,Milestones!$AA$151)&lt;=AsOfDate,IF($Q97=0,$W97,IF(AND($S97&lt;&gt;"",EDATE($D97,Milestones!$AA$151)&gt;=$S97),$V97,IF(AND($R97&lt;&gt;"",EDATE($D97,Milestones!$AA$151)&gt;=$R97),$U97,$T97)))=Milestones!$AB$151),TEXT(EDATE($D97,Milestones!$AA$151),"dd/mm/yy")&amp;" "&amp;Milestones!$AB$151&amp;" "&amp;Milestones!$AC$151&amp;";  ","")&amp;IF(AND(EDATE($D97,Milestones!$AA$152)&lt;=AsOfDate,IF($Q97=0,$W97,IF(AND($S97&lt;&gt;"",EDATE($D97,Milestones!$AA$152)&gt;=$S97),$V97,IF(AND($R97&lt;&gt;"",EDATE($D97,Milestones!$AA$152)&gt;=$R97),$U97,$T97)))=Milestones!$AB$152),TEXT(EDATE($D97,Milestones!$AA$152),"dd/mm/yy")&amp;" "&amp;Milestones!$AB$152&amp;" "&amp;Milestones!$AC$152&amp;";  ","")&amp;IF(AND(EDATE($D97,Milestones!$AA$153)&lt;=AsOfDate,IF($Q97=0,$W97,IF(AND($S97&lt;&gt;"",EDATE($D97,Milestones!$AA$153)&gt;=$S97),$V97,IF(AND($R97&lt;&gt;"",EDATE($D97,Milestones!$AA$153)&gt;=$R97),$U97,$T97)))=Milestones!$AB$153),TEXT(EDATE($D97,Milestones!$AA$153),"dd/mm/yy")&amp;" "&amp;Milestones!$AB$153&amp;" "&amp;Milestones!$AC$153&amp;";  ","")&amp;IF(AND(EDATE($D97,Milestones!$AA$154)&lt;=AsOfDate,IF($Q97=0,$W97,IF(AND($S97&lt;&gt;"",EDATE($D97,Milestones!$AA$154)&gt;=$S97),$V97,IF(AND($R97&lt;&gt;"",EDATE($D97,Milestones!$AA$154)&gt;=$R97),$U97,$T97)))=Milestones!$AB$154),TEXT(EDATE($D97,Milestones!$AA$154),"dd/mm/yy")&amp;" "&amp;Milestones!$AB$154&amp;" "&amp;Milestones!$AC$154&amp;";  ","")&amp;IF(AND(EDATE($D97,Milestones!$AA$155)&lt;=AsOfDate,IF($Q97=0,$W97,IF(AND($S97&lt;&gt;"",EDATE($D97,Milestones!$AA$155)&gt;=$S97),$V97,IF(AND($R97&lt;&gt;"",EDATE($D97,Milestones!$AA$155)&gt;=$R97),$U97,$T97)))=Milestones!$AB$155),TEXT(EDATE($D97,Milestones!$AA$155),"dd/mm/yy")&amp;" "&amp;Milestones!$AB$155&amp;" "&amp;Milestones!$AC$155&amp;";  ","")&amp;IF(AND(EDATE($D97,Milestones!$AA$156)&lt;=AsOfDate,IF($Q97=0,$W97,IF(AND($S97&lt;&gt;"",EDATE($D97,Milestones!$AA$156)&gt;=$S97),$V97,IF(AND($R97&lt;&gt;"",EDATE($D97,Milestones!$AA$156)&gt;=$R97),$U97,$T97)))=Milestones!$AB$156),TEXT(EDATE($D97,Milestones!$AA$156),"dd/mm/yy")&amp;" "&amp;Milestones!$AB$156&amp;" "&amp;Milestones!$AC$156&amp;";  ","")&amp;IF(AND(EDATE($D97,Milestones!$AA$157)&lt;=AsOfDate,IF($Q97=0,$W97,IF(AND($S97&lt;&gt;"",EDATE($D97,Milestones!$AA$157)&gt;=$S97),$V97,IF(AND($R97&lt;&gt;"",EDATE($D97,Milestones!$AA$157)&gt;=$R97),$U97,$T97)))=Milestones!$AB$157),TEXT(EDATE($D97,Milestones!$AA$157),"dd/mm/yy")&amp;" "&amp;Milestones!$AB$157&amp;" "&amp;Milestones!$AC$157&amp;";  ","")&amp;IF(AND(EDATE($D97,Milestones!$AA$158)&lt;=AsOfDate,IF($Q97=0,$W97,IF(AND($S97&lt;&gt;"",EDATE($D97,Milestones!$AA$158)&gt;=$S97),$V97,IF(AND($R97&lt;&gt;"",EDATE($D97,Milestones!$AA$158)&gt;=$R97),$U97,$T97)))=Milestones!$AB$158),TEXT(EDATE($D97,Milestones!$AA$158),"dd/mm/yy")&amp;" "&amp;Milestones!$AB$158&amp;" "&amp;Milestones!$AC$158&amp;";  ","")&amp;IF(AND(EDATE($D97,Milestones!$AA$159)&lt;=AsOfDate,IF($Q97=0,$W97,IF(AND($S97&lt;&gt;"",EDATE($D97,Milestones!$AA$159)&gt;=$S97),$V97,IF(AND($R97&lt;&gt;"",EDATE($D97,Milestones!$AA$159)&gt;=$R97),$U97,$T97)))=Milestones!$AB$159),TEXT(EDATE($D97,Milestones!$AA$159),"dd/mm/yy")&amp;" "&amp;Milestones!$AB$159&amp;" "&amp;Milestones!$AC$159&amp;";  ",""))</f>
        <v/>
      </c>
      <c r="O97" s="0" t="str">
        <f aca="false">IF(OR($A97="",$D97=""),"",IF(AND(EDATE($D97,Milestones!$AA$160)&lt;=AsOfDate,IF($Q97=0,$W97,IF(AND($S97&lt;&gt;"",EDATE($D97,Milestones!$AA$160)&gt;=$S97),$V97,IF(AND($R97&lt;&gt;"",EDATE($D97,Milestones!$AA$160)&gt;=$R97),$U97,$T97)))=Milestones!$AB$160),TEXT(EDATE($D97,Milestones!$AA$160),"dd/mm/yy")&amp;" "&amp;Milestones!$AB$160&amp;" "&amp;Milestones!$AC$160&amp;";  ","")&amp;IF(AND(EDATE($D97,Milestones!$AA$161)&lt;=AsOfDate,IF($Q97=0,$W97,IF(AND($S97&lt;&gt;"",EDATE($D97,Milestones!$AA$161)&gt;=$S97),$V97,IF(AND($R97&lt;&gt;"",EDATE($D97,Milestones!$AA$161)&gt;=$R97),$U97,$T97)))=Milestones!$AB$161),TEXT(EDATE($D97,Milestones!$AA$161),"dd/mm/yy")&amp;" "&amp;Milestones!$AB$161&amp;" "&amp;Milestones!$AC$161&amp;";  ","")&amp;IF(AND(EDATE($D97,Milestones!$AA$162)&lt;=AsOfDate,IF($Q97=0,$W97,IF(AND($S97&lt;&gt;"",EDATE($D97,Milestones!$AA$162)&gt;=$S97),$V97,IF(AND($R97&lt;&gt;"",EDATE($D97,Milestones!$AA$162)&gt;=$R97),$U97,$T97)))=Milestones!$AB$162),TEXT(EDATE($D97,Milestones!$AA$162),"dd/mm/yy")&amp;" "&amp;Milestones!$AB$162&amp;" "&amp;Milestones!$AC$162&amp;";  ","")&amp;IF(AND(EDATE($D97,Milestones!$AA$163)&lt;=AsOfDate,IF($Q97=0,$W97,IF(AND($S97&lt;&gt;"",EDATE($D97,Milestones!$AA$163)&gt;=$S97),$V97,IF(AND($R97&lt;&gt;"",EDATE($D97,Milestones!$AA$163)&gt;=$R97),$U97,$T97)))=Milestones!$AB$163),TEXT(EDATE($D97,Milestones!$AA$163),"dd/mm/yy")&amp;" "&amp;Milestones!$AB$163&amp;" "&amp;Milestones!$AC$163&amp;";  ","")&amp;IF(AND(EDATE($D97,Milestones!$AA$164)&lt;=AsOfDate,IF($Q97=0,$W97,IF(AND($S97&lt;&gt;"",EDATE($D97,Milestones!$AA$164)&gt;=$S97),$V97,IF(AND($R97&lt;&gt;"",EDATE($D97,Milestones!$AA$164)&gt;=$R97),$U97,$T97)))=Milestones!$AB$164),TEXT(EDATE($D97,Milestones!$AA$164),"dd/mm/yy")&amp;" "&amp;Milestones!$AB$164&amp;" "&amp;Milestones!$AC$164&amp;";  ","")&amp;IF(AND(EDATE($D97,Milestones!$AA$165)&lt;=AsOfDate,IF($Q97=0,$W97,IF(AND($S97&lt;&gt;"",EDATE($D97,Milestones!$AA$165)&gt;=$S97),$V97,IF(AND($R97&lt;&gt;"",EDATE($D97,Milestones!$AA$165)&gt;=$R97),$U97,$T97)))=Milestones!$AB$165),TEXT(EDATE($D97,Milestones!$AA$165),"dd/mm/yy")&amp;" "&amp;Milestones!$AB$165&amp;" "&amp;Milestones!$AC$165&amp;";  ","")&amp;IF(AND(EDATE($D97,Milestones!$AA$166)&lt;=AsOfDate,IF($Q97=0,$W97,IF(AND($S97&lt;&gt;"",EDATE($D97,Milestones!$AA$166)&gt;=$S97),$V97,IF(AND($R97&lt;&gt;"",EDATE($D97,Milestones!$AA$166)&gt;=$R97),$U97,$T97)))=Milestones!$AB$166),TEXT(EDATE($D97,Milestones!$AA$166),"dd/mm/yy")&amp;" "&amp;Milestones!$AB$166&amp;" "&amp;Milestones!$AC$166&amp;";  ","")&amp;IF(AND(EDATE($D97,Milestones!$AA$167)&lt;=AsOfDate,IF($Q97=0,$W97,IF(AND($S97&lt;&gt;"",EDATE($D97,Milestones!$AA$167)&gt;=$S97),$V97,IF(AND($R97&lt;&gt;"",EDATE($D97,Milestones!$AA$167)&gt;=$R97),$U97,$T97)))=Milestones!$AB$167),TEXT(EDATE($D97,Milestones!$AA$167),"dd/mm/yy")&amp;" "&amp;Milestones!$AB$167&amp;" "&amp;Milestones!$AC$167&amp;";  ","")&amp;IF(AND(EDATE($D97,Milestones!$AA$168)&lt;=AsOfDate,IF($Q97=0,$W97,IF(AND($S97&lt;&gt;"",EDATE($D97,Milestones!$AA$168)&gt;=$S97),$V97,IF(AND($R97&lt;&gt;"",EDATE($D97,Milestones!$AA$168)&gt;=$R97),$U97,$T97)))=Milestones!$AB$168),TEXT(EDATE($D97,Milestones!$AA$168),"dd/mm/yy")&amp;" "&amp;Milestones!$AB$168&amp;" "&amp;Milestones!$AC$168&amp;";  ","")&amp;IF(AND(EDATE($D97,Milestones!$AA$169)&lt;=AsOfDate,IF($Q97=0,$W97,IF(AND($S97&lt;&gt;"",EDATE($D97,Milestones!$AA$169)&gt;=$S97),$V97,IF(AND($R97&lt;&gt;"",EDATE($D97,Milestones!$AA$169)&gt;=$R97),$U97,$T97)))=Milestones!$AB$169),TEXT(EDATE($D97,Milestones!$AA$169),"dd/mm/yy")&amp;" "&amp;Milestones!$AB$169&amp;" "&amp;Milestones!$AC$169&amp;";  ","")&amp;IF(AND(EDATE($D97,Milestones!$AA$170)&lt;=AsOfDate,IF($Q97=0,$W97,IF(AND($S97&lt;&gt;"",EDATE($D97,Milestones!$AA$170)&gt;=$S97),$V97,IF(AND($R97&lt;&gt;"",EDATE($D97,Milestones!$AA$170)&gt;=$R97),$U97,$T97)))=Milestones!$AB$170),TEXT(EDATE($D97,Milestones!$AA$170),"dd/mm/yy")&amp;" "&amp;Milestones!$AB$170&amp;" "&amp;Milestones!$AC$170&amp;";  ","")&amp;IF(AND(EDATE($D97,Milestones!$AA$171)&lt;=AsOfDate,IF($Q97=0,$W97,IF(AND($S97&lt;&gt;"",EDATE($D97,Milestones!$AA$171)&gt;=$S97),$V97,IF(AND($R97&lt;&gt;"",EDATE($D97,Milestones!$AA$171)&gt;=$R97),$U97,$T97)))=Milestones!$AB$171),TEXT(EDATE($D97,Milestones!$AA$171),"dd/mm/yy")&amp;" "&amp;Milestones!$AB$171&amp;" "&amp;Milestones!$AC$171&amp;";  ","")&amp;IF(AND(EDATE($D97,Milestones!$AA$172)&lt;=AsOfDate,IF($Q97=0,$W97,IF(AND($S97&lt;&gt;"",EDATE($D97,Milestones!$AA$172)&gt;=$S97),$V97,IF(AND($R97&lt;&gt;"",EDATE($D97,Milestones!$AA$172)&gt;=$R97),$U97,$T97)))=Milestones!$AB$172),TEXT(EDATE($D97,Milestones!$AA$172),"dd/mm/yy")&amp;" "&amp;Milestones!$AB$172&amp;" "&amp;Milestones!$AC$172&amp;";  ","")&amp;IF(AND(EDATE($D97,Milestones!$AA$173)&lt;=AsOfDate,IF($Q97=0,$W97,IF(AND($S97&lt;&gt;"",EDATE($D97,Milestones!$AA$173)&gt;=$S97),$V97,IF(AND($R97&lt;&gt;"",EDATE($D97,Milestones!$AA$173)&gt;=$R97),$U97,$T97)))=Milestones!$AB$173),TEXT(EDATE($D97,Milestones!$AA$173),"dd/mm/yy")&amp;" "&amp;Milestones!$AB$173&amp;" "&amp;Milestones!$AC$173&amp;";  ","")&amp;IF(AND(EDATE($D97,Milestones!$AA$174)&lt;=AsOfDate,IF($Q97=0,$W97,IF(AND($S97&lt;&gt;"",EDATE($D97,Milestones!$AA$174)&gt;=$S97),$V97,IF(AND($R97&lt;&gt;"",EDATE($D97,Milestones!$AA$174)&gt;=$R97),$U97,$T97)))=Milestones!$AB$174),TEXT(EDATE($D97,Milestones!$AA$174),"dd/mm/yy")&amp;" "&amp;Milestones!$AB$174&amp;" "&amp;Milestones!$AC$174&amp;";  ","")&amp;IF(AND(EDATE($D97,Milestones!$AA$175)&lt;=AsOfDate,IF($Q97=0,$W97,IF(AND($S97&lt;&gt;"",EDATE($D97,Milestones!$AA$175)&gt;=$S97),$V97,IF(AND($R97&lt;&gt;"",EDATE($D97,Milestones!$AA$175)&gt;=$R97),$U97,$T97)))=Milestones!$AB$175),TEXT(EDATE($D97,Milestones!$AA$175),"dd/mm/yy")&amp;" "&amp;Milestones!$AB$175&amp;" "&amp;Milestones!$AC$175&amp;";  ","")&amp;IF(AND(EDATE($D97,Milestones!$AA$176)&lt;=AsOfDate,IF($Q97=0,$W97,IF(AND($S97&lt;&gt;"",EDATE($D97,Milestones!$AA$176)&gt;=$S97),$V97,IF(AND($R97&lt;&gt;"",EDATE($D97,Milestones!$AA$176)&gt;=$R97),$U97,$T97)))=Milestones!$AB$176),TEXT(EDATE($D97,Milestones!$AA$176),"dd/mm/yy")&amp;" "&amp;Milestones!$AB$176&amp;" "&amp;Milestones!$AC$176&amp;";  ","")&amp;IF(AND(EDATE($D97,Milestones!$AA$177)&lt;=AsOfDate,IF($Q97=0,$W97,IF(AND($S97&lt;&gt;"",EDATE($D97,Milestones!$AA$177)&gt;=$S97),$V97,IF(AND($R97&lt;&gt;"",EDATE($D97,Milestones!$AA$177)&gt;=$R97),$U97,$T97)))=Milestones!$AB$177),TEXT(EDATE($D97,Milestones!$AA$177),"dd/mm/yy")&amp;" "&amp;Milestones!$AB$177&amp;" "&amp;Milestones!$AC$177&amp;";  ","")&amp;IF(AND(EDATE($D97,Milestones!$AA$178)&lt;=AsOfDate,IF($Q97=0,$W97,IF(AND($S97&lt;&gt;"",EDATE($D97,Milestones!$AA$178)&gt;=$S97),$V97,IF(AND($R97&lt;&gt;"",EDATE($D97,Milestones!$AA$178)&gt;=$R97),$U97,$T97)))=Milestones!$AB$178),TEXT(EDATE($D97,Milestones!$AA$178),"dd/mm/yy")&amp;" "&amp;Milestones!$AB$178&amp;" "&amp;Milestones!$AC$178&amp;";  ","")&amp;IF(AND(EDATE($D97,Milestones!$AA$179)&lt;=AsOfDate,IF($Q97=0,$W97,IF(AND($S97&lt;&gt;"",EDATE($D97,Milestones!$AA$179)&gt;=$S97),$V97,IF(AND($R97&lt;&gt;"",EDATE($D97,Milestones!$AA$179)&gt;=$R97),$U97,$T97)))=Milestones!$AB$179),TEXT(EDATE($D97,Milestones!$AA$179),"dd/mm/yy")&amp;" "&amp;Milestones!$AB$179&amp;" "&amp;Milestones!$AC$179&amp;";  ",""))</f>
        <v/>
      </c>
      <c r="P97" s="0" t="str">
        <f aca="false">IF(OR($A97="",$D97=""),"",IF(AND(EDATE($D97,Milestones!$AA$180)&lt;=AsOfDate,IF($Q97=0,$W97,IF(AND($S97&lt;&gt;"",EDATE($D97,Milestones!$AA$180)&gt;=$S97),$V97,IF(AND($R97&lt;&gt;"",EDATE($D97,Milestones!$AA$180)&gt;=$R97),$U97,$T97)))=Milestones!$AB$180),TEXT(EDATE($D97,Milestones!$AA$180),"dd/mm/yy")&amp;" "&amp;Milestones!$AB$180&amp;" "&amp;Milestones!$AC$180&amp;";  ","")&amp;IF(AND(EDATE($D97,Milestones!$AA$181)&lt;=AsOfDate,IF($Q97=0,$W97,IF(AND($S97&lt;&gt;"",EDATE($D97,Milestones!$AA$181)&gt;=$S97),$V97,IF(AND($R97&lt;&gt;"",EDATE($D97,Milestones!$AA$181)&gt;=$R97),$U97,$T97)))=Milestones!$AB$181),TEXT(EDATE($D97,Milestones!$AA$181),"dd/mm/yy")&amp;" "&amp;Milestones!$AB$181&amp;" "&amp;Milestones!$AC$181&amp;";  ","")&amp;IF(AND(EDATE($D97,Milestones!$AA$182)&lt;=AsOfDate,IF($Q97=0,$W97,IF(AND($S97&lt;&gt;"",EDATE($D97,Milestones!$AA$182)&gt;=$S97),$V97,IF(AND($R97&lt;&gt;"",EDATE($D97,Milestones!$AA$182)&gt;=$R97),$U97,$T97)))=Milestones!$AB$182),TEXT(EDATE($D97,Milestones!$AA$182),"dd/mm/yy")&amp;" "&amp;Milestones!$AB$182&amp;" "&amp;Milestones!$AC$182&amp;";  ","")&amp;IF(AND(EDATE($D97,Milestones!$AA$183)&lt;=AsOfDate,IF($Q97=0,$W97,IF(AND($S97&lt;&gt;"",EDATE($D97,Milestones!$AA$183)&gt;=$S97),$V97,IF(AND($R97&lt;&gt;"",EDATE($D97,Milestones!$AA$183)&gt;=$R97),$U97,$T97)))=Milestones!$AB$183),TEXT(EDATE($D97,Milestones!$AA$183),"dd/mm/yy")&amp;" "&amp;Milestones!$AB$183&amp;" "&amp;Milestones!$AC$183&amp;";  ","")&amp;IF(AND(EDATE($D97,Milestones!$AA$184)&lt;=AsOfDate,IF($Q97=0,$W97,IF(AND($S97&lt;&gt;"",EDATE($D97,Milestones!$AA$184)&gt;=$S97),$V97,IF(AND($R97&lt;&gt;"",EDATE($D97,Milestones!$AA$184)&gt;=$R97),$U97,$T97)))=Milestones!$AB$184),TEXT(EDATE($D97,Milestones!$AA$184),"dd/mm/yy")&amp;" "&amp;Milestones!$AB$184&amp;" "&amp;Milestones!$AC$184&amp;";  ","")&amp;IF(AND(EDATE($D97,Milestones!$AA$185)&lt;=AsOfDate,IF($Q97=0,$W97,IF(AND($S97&lt;&gt;"",EDATE($D97,Milestones!$AA$185)&gt;=$S97),$V97,IF(AND($R97&lt;&gt;"",EDATE($D97,Milestones!$AA$185)&gt;=$R97),$U97,$T97)))=Milestones!$AB$185),TEXT(EDATE($D97,Milestones!$AA$185),"dd/mm/yy")&amp;" "&amp;Milestones!$AB$185&amp;" "&amp;Milestones!$AC$185&amp;";  ","")&amp;IF(AND(EDATE($D97,Milestones!$AA$186)&lt;=AsOfDate,IF($Q97=0,$W97,IF(AND($S97&lt;&gt;"",EDATE($D97,Milestones!$AA$186)&gt;=$S97),$V97,IF(AND($R97&lt;&gt;"",EDATE($D97,Milestones!$AA$186)&gt;=$R97),$U97,$T97)))=Milestones!$AB$186),TEXT(EDATE($D97,Milestones!$AA$186),"dd/mm/yy")&amp;" "&amp;Milestones!$AB$186&amp;" "&amp;Milestones!$AC$186&amp;";  ","")&amp;IF(AND(EDATE($D97,Milestones!$AA$187)&lt;=AsOfDate,IF($Q97=0,$W97,IF(AND($S97&lt;&gt;"",EDATE($D97,Milestones!$AA$187)&gt;=$S97),$V97,IF(AND($R97&lt;&gt;"",EDATE($D97,Milestones!$AA$187)&gt;=$R97),$U97,$T97)))=Milestones!$AB$187),TEXT(EDATE($D97,Milestones!$AA$187),"dd/mm/yy")&amp;" "&amp;Milestones!$AB$187&amp;" "&amp;Milestones!$AC$187&amp;";  ","")&amp;IF(AND(EDATE($D97,Milestones!$AA$188)&lt;=AsOfDate,IF($Q97=0,$W97,IF(AND($S97&lt;&gt;"",EDATE($D97,Milestones!$AA$188)&gt;=$S97),$V97,IF(AND($R97&lt;&gt;"",EDATE($D97,Milestones!$AA$188)&gt;=$R97),$U97,$T97)))=Milestones!$AB$188),TEXT(EDATE($D97,Milestones!$AA$188),"dd/mm/yy")&amp;" "&amp;Milestones!$AB$188&amp;" "&amp;Milestones!$AC$188&amp;";  ","")&amp;IF(AND(EDATE($D97,Milestones!$AA$189)&lt;=AsOfDate,IF($Q97=0,$W97,IF(AND($S97&lt;&gt;"",EDATE($D97,Milestones!$AA$189)&gt;=$S97),$V97,IF(AND($R97&lt;&gt;"",EDATE($D97,Milestones!$AA$189)&gt;=$R97),$U97,$T97)))=Milestones!$AB$189),TEXT(EDATE($D97,Milestones!$AA$189),"dd/mm/yy")&amp;" "&amp;Milestones!$AB$189&amp;" "&amp;Milestones!$AC$189&amp;";  ","")&amp;IF(AND(EDATE($D97,Milestones!$AA$190)&lt;=AsOfDate,IF($Q97=0,$W97,IF(AND($S97&lt;&gt;"",EDATE($D97,Milestones!$AA$190)&gt;=$S97),$V97,IF(AND($R97&lt;&gt;"",EDATE($D97,Milestones!$AA$190)&gt;=$R97),$U97,$T97)))=Milestones!$AB$190),TEXT(EDATE($D97,Milestones!$AA$190),"dd/mm/yy")&amp;" "&amp;Milestones!$AB$190&amp;" "&amp;Milestones!$AC$190&amp;";  ","")&amp;IF(AND(EDATE($D97,Milestones!$AA$191)&lt;=AsOfDate,IF($Q97=0,$W97,IF(AND($S97&lt;&gt;"",EDATE($D97,Milestones!$AA$191)&gt;=$S97),$V97,IF(AND($R97&lt;&gt;"",EDATE($D97,Milestones!$AA$191)&gt;=$R97),$U97,$T97)))=Milestones!$AB$191),TEXT(EDATE($D97,Milestones!$AA$191),"dd/mm/yy")&amp;" "&amp;Milestones!$AB$191&amp;" "&amp;Milestones!$AC$191&amp;";  ","")&amp;IF(AND(EDATE($D97,Milestones!$AA$192)&lt;=AsOfDate,IF($Q97=0,$W97,IF(AND($S97&lt;&gt;"",EDATE($D97,Milestones!$AA$192)&gt;=$S97),$V97,IF(AND($R97&lt;&gt;"",EDATE($D97,Milestones!$AA$192)&gt;=$R97),$U97,$T97)))=Milestones!$AB$192),TEXT(EDATE($D97,Milestones!$AA$192),"dd/mm/yy")&amp;" "&amp;Milestones!$AB$192&amp;" "&amp;Milestones!$AC$192&amp;";  ","")&amp;IF(AND(EDATE($D97,Milestones!$AA$193)&lt;=AsOfDate,IF($Q97=0,$W97,IF(AND($S97&lt;&gt;"",EDATE($D97,Milestones!$AA$193)&gt;=$S97),$V97,IF(AND($R97&lt;&gt;"",EDATE($D97,Milestones!$AA$193)&gt;=$R97),$U97,$T97)))=Milestones!$AB$193),TEXT(EDATE($D97,Milestones!$AA$193),"dd/mm/yy")&amp;" "&amp;Milestones!$AB$193&amp;" "&amp;Milestones!$AC$193&amp;";  ","")&amp;IF(AND(EDATE($D97,Milestones!$AA$194)&lt;=AsOfDate,IF($Q97=0,$W97,IF(AND($S97&lt;&gt;"",EDATE($D97,Milestones!$AA$194)&gt;=$S97),$V97,IF(AND($R97&lt;&gt;"",EDATE($D97,Milestones!$AA$194)&gt;=$R97),$U97,$T97)))=Milestones!$AB$194),TEXT(EDATE($D97,Milestones!$AA$194),"dd/mm/yy")&amp;" "&amp;Milestones!$AB$194&amp;" "&amp;Milestones!$AC$194&amp;";  ","")&amp;IF(AND(EDATE($D97,Milestones!$AA$195)&lt;=AsOfDate,IF($Q97=0,$W97,IF(AND($S97&lt;&gt;"",EDATE($D97,Milestones!$AA$195)&gt;=$S97),$V97,IF(AND($R97&lt;&gt;"",EDATE($D97,Milestones!$AA$195)&gt;=$R97),$U97,$T97)))=Milestones!$AB$195),TEXT(EDATE($D97,Milestones!$AA$195),"dd/mm/yy")&amp;" "&amp;Milestones!$AB$195&amp;" "&amp;Milestones!$AC$195&amp;";  ","")&amp;IF(AND(EDATE($D97,Milestones!$AA$196)&lt;=AsOfDate,IF($Q97=0,$W97,IF(AND($S97&lt;&gt;"",EDATE($D97,Milestones!$AA$196)&gt;=$S97),$V97,IF(AND($R97&lt;&gt;"",EDATE($D97,Milestones!$AA$196)&gt;=$R97),$U97,$T97)))=Milestones!$AB$196),TEXT(EDATE($D97,Milestones!$AA$196),"dd/mm/yy")&amp;" "&amp;Milestones!$AB$196&amp;" "&amp;Milestones!$AC$196&amp;";  ","")&amp;IF(AND(EDATE($D97,Milestones!$AA$197)&lt;=AsOfDate,IF($Q97=0,$W97,IF(AND($S97&lt;&gt;"",EDATE($D97,Milestones!$AA$197)&gt;=$S97),$V97,IF(AND($R97&lt;&gt;"",EDATE($D97,Milestones!$AA$197)&gt;=$R97),$U97,$T97)))=Milestones!$AB$197),TEXT(EDATE($D97,Milestones!$AA$197),"dd/mm/yy")&amp;" "&amp;Milestones!$AB$197&amp;" "&amp;Milestones!$AC$197&amp;";  ","")&amp;IF(AND(EDATE($D97,Milestones!$AA$198)&lt;=AsOfDate,IF($Q97=0,$W97,IF(AND($S97&lt;&gt;"",EDATE($D97,Milestones!$AA$198)&gt;=$S97),$V97,IF(AND($R97&lt;&gt;"",EDATE($D97,Milestones!$AA$198)&gt;=$R97),$U97,$T97)))=Milestones!$AB$198),TEXT(EDATE($D97,Milestones!$AA$198),"dd/mm/yy")&amp;" "&amp;Milestones!$AB$198&amp;" "&amp;Milestones!$AC$198&amp;";  ","")&amp;IF(AND(EDATE($D97,Milestones!$AA$199)&lt;=AsOfDate,IF($Q97=0,$W97,IF(AND($S97&lt;&gt;"",EDATE($D97,Milestones!$AA$199)&gt;=$S97),$V97,IF(AND($R97&lt;&gt;"",EDATE($D97,Milestones!$AA$199)&gt;=$R97),$U97,$T97)))=Milestones!$AB$199),TEXT(EDATE($D97,Milestones!$AA$199),"dd/mm/yy")&amp;" "&amp;Milestones!$AB$199&amp;" "&amp;Milestones!$AC$199&amp;";  ",""))</f>
        <v/>
      </c>
      <c r="Q97" s="0" t="str">
        <f aca="false">IF(Staff!$A97="","",Staff!$AG97)</f>
        <v/>
      </c>
      <c r="R97" s="0" t="str">
        <f aca="false">IF(Staff!$A97="","",Staff!$AI97)</f>
        <v/>
      </c>
      <c r="S97" s="0" t="str">
        <f aca="false">IF(Staff!$A97="","",Staff!$AJ97)</f>
        <v/>
      </c>
      <c r="T97" s="0" t="str">
        <f aca="false">IF(Staff!$A97="","",Staff!$AN97)</f>
        <v/>
      </c>
      <c r="U97" s="0" t="str">
        <f aca="false">IF(Staff!$A97="","",Staff!$AO97)</f>
        <v/>
      </c>
      <c r="V97" s="0" t="str">
        <f aca="false">IF(Staff!$A97="","",Staff!$AP97)</f>
        <v/>
      </c>
      <c r="W97" s="0" t="str">
        <f aca="false">IF(Staff!$A97="","",Staff!$AQ97)</f>
        <v/>
      </c>
    </row>
    <row r="98" customFormat="false" ht="15" hidden="false" customHeight="false" outlineLevel="0" collapsed="false">
      <c r="A98" s="13" t="str">
        <f aca="false">IF(Staff!$A98="","",Staff!$A98)</f>
        <v/>
      </c>
      <c r="B98" s="13" t="str">
        <f aca="false">IF(Staff!$A98="","",Staff!$B98)</f>
        <v/>
      </c>
      <c r="C98" s="13" t="str">
        <f aca="false">IF(Staff!$A98="","",Staff!$C98)</f>
        <v/>
      </c>
      <c r="D98" s="11" t="str">
        <f aca="false">IF(Staff!$A98="","",Staff!$AF98)</f>
        <v/>
      </c>
      <c r="E98" s="13" t="str">
        <f aca="false">IF(Staff!$A98="","",Staff!$O98)</f>
        <v/>
      </c>
      <c r="F98" s="13" t="str">
        <f aca="false">IF(E98="","",E98*HoursPerDay)</f>
        <v/>
      </c>
      <c r="G98" s="26" t="str">
        <f aca="false">IF($A98="","",H98&amp;I98&amp;J98&amp;K98&amp;L98&amp;M98&amp;N98&amp;O98&amp;P98)</f>
        <v/>
      </c>
      <c r="H98" s="0" t="str">
        <f aca="false">IF(OR($A98="",$D98=""),"",IF(AND(EDATE($D98,Milestones!$AA$20)&lt;=AsOfDate,IF($Q98=0,$W98,IF(AND($S98&lt;&gt;"",EDATE($D98,Milestones!$AA$20)&gt;=$S98),$V98,IF(AND($R98&lt;&gt;"",EDATE($D98,Milestones!$AA$20)&gt;=$R98),$U98,$T98)))=Milestones!$AB$20),TEXT(EDATE($D98,Milestones!$AA$20),"dd/mm/yy")&amp;" "&amp;Milestones!$AB$20&amp;" "&amp;Milestones!$AC$20&amp;";  ","")&amp;IF(AND(EDATE($D98,Milestones!$AA$21)&lt;=AsOfDate,IF($Q98=0,$W98,IF(AND($S98&lt;&gt;"",EDATE($D98,Milestones!$AA$21)&gt;=$S98),$V98,IF(AND($R98&lt;&gt;"",EDATE($D98,Milestones!$AA$21)&gt;=$R98),$U98,$T98)))=Milestones!$AB$21),TEXT(EDATE($D98,Milestones!$AA$21),"dd/mm/yy")&amp;" "&amp;Milestones!$AB$21&amp;" "&amp;Milestones!$AC$21&amp;";  ","")&amp;IF(AND(EDATE($D98,Milestones!$AA$22)&lt;=AsOfDate,IF($Q98=0,$W98,IF(AND($S98&lt;&gt;"",EDATE($D98,Milestones!$AA$22)&gt;=$S98),$V98,IF(AND($R98&lt;&gt;"",EDATE($D98,Milestones!$AA$22)&gt;=$R98),$U98,$T98)))=Milestones!$AB$22),TEXT(EDATE($D98,Milestones!$AA$22),"dd/mm/yy")&amp;" "&amp;Milestones!$AB$22&amp;" "&amp;Milestones!$AC$22&amp;";  ","")&amp;IF(AND(EDATE($D98,Milestones!$AA$23)&lt;=AsOfDate,IF($Q98=0,$W98,IF(AND($S98&lt;&gt;"",EDATE($D98,Milestones!$AA$23)&gt;=$S98),$V98,IF(AND($R98&lt;&gt;"",EDATE($D98,Milestones!$AA$23)&gt;=$R98),$U98,$T98)))=Milestones!$AB$23),TEXT(EDATE($D98,Milestones!$AA$23),"dd/mm/yy")&amp;" "&amp;Milestones!$AB$23&amp;" "&amp;Milestones!$AC$23&amp;";  ","")&amp;IF(AND(EDATE($D98,Milestones!$AA$24)&lt;=AsOfDate,IF($Q98=0,$W98,IF(AND($S98&lt;&gt;"",EDATE($D98,Milestones!$AA$24)&gt;=$S98),$V98,IF(AND($R98&lt;&gt;"",EDATE($D98,Milestones!$AA$24)&gt;=$R98),$U98,$T98)))=Milestones!$AB$24),TEXT(EDATE($D98,Milestones!$AA$24),"dd/mm/yy")&amp;" "&amp;Milestones!$AB$24&amp;" "&amp;Milestones!$AC$24&amp;";  ","")&amp;IF(AND(EDATE($D98,Milestones!$AA$25)&lt;=AsOfDate,IF($Q98=0,$W98,IF(AND($S98&lt;&gt;"",EDATE($D98,Milestones!$AA$25)&gt;=$S98),$V98,IF(AND($R98&lt;&gt;"",EDATE($D98,Milestones!$AA$25)&gt;=$R98),$U98,$T98)))=Milestones!$AB$25),TEXT(EDATE($D98,Milestones!$AA$25),"dd/mm/yy")&amp;" "&amp;Milestones!$AB$25&amp;" "&amp;Milestones!$AC$25&amp;";  ","")&amp;IF(AND(EDATE($D98,Milestones!$AA$26)&lt;=AsOfDate,IF($Q98=0,$W98,IF(AND($S98&lt;&gt;"",EDATE($D98,Milestones!$AA$26)&gt;=$S98),$V98,IF(AND($R98&lt;&gt;"",EDATE($D98,Milestones!$AA$26)&gt;=$R98),$U98,$T98)))=Milestones!$AB$26),TEXT(EDATE($D98,Milestones!$AA$26),"dd/mm/yy")&amp;" "&amp;Milestones!$AB$26&amp;" "&amp;Milestones!$AC$26&amp;";  ","")&amp;IF(AND(EDATE($D98,Milestones!$AA$27)&lt;=AsOfDate,IF($Q98=0,$W98,IF(AND($S98&lt;&gt;"",EDATE($D98,Milestones!$AA$27)&gt;=$S98),$V98,IF(AND($R98&lt;&gt;"",EDATE($D98,Milestones!$AA$27)&gt;=$R98),$U98,$T98)))=Milestones!$AB$27),TEXT(EDATE($D98,Milestones!$AA$27),"dd/mm/yy")&amp;" "&amp;Milestones!$AB$27&amp;" "&amp;Milestones!$AC$27&amp;";  ","")&amp;IF(AND(EDATE($D98,Milestones!$AA$28)&lt;=AsOfDate,IF($Q98=0,$W98,IF(AND($S98&lt;&gt;"",EDATE($D98,Milestones!$AA$28)&gt;=$S98),$V98,IF(AND($R98&lt;&gt;"",EDATE($D98,Milestones!$AA$28)&gt;=$R98),$U98,$T98)))=Milestones!$AB$28),TEXT(EDATE($D98,Milestones!$AA$28),"dd/mm/yy")&amp;" "&amp;Milestones!$AB$28&amp;" "&amp;Milestones!$AC$28&amp;";  ","")&amp;IF(AND(EDATE($D98,Milestones!$AA$29)&lt;=AsOfDate,IF($Q98=0,$W98,IF(AND($S98&lt;&gt;"",EDATE($D98,Milestones!$AA$29)&gt;=$S98),$V98,IF(AND($R98&lt;&gt;"",EDATE($D98,Milestones!$AA$29)&gt;=$R98),$U98,$T98)))=Milestones!$AB$29),TEXT(EDATE($D98,Milestones!$AA$29),"dd/mm/yy")&amp;" "&amp;Milestones!$AB$29&amp;" "&amp;Milestones!$AC$29&amp;";  ","")&amp;IF(AND(EDATE($D98,Milestones!$AA$30)&lt;=AsOfDate,IF($Q98=0,$W98,IF(AND($S98&lt;&gt;"",EDATE($D98,Milestones!$AA$30)&gt;=$S98),$V98,IF(AND($R98&lt;&gt;"",EDATE($D98,Milestones!$AA$30)&gt;=$R98),$U98,$T98)))=Milestones!$AB$30),TEXT(EDATE($D98,Milestones!$AA$30),"dd/mm/yy")&amp;" "&amp;Milestones!$AB$30&amp;" "&amp;Milestones!$AC$30&amp;";  ","")&amp;IF(AND(EDATE($D98,Milestones!$AA$31)&lt;=AsOfDate,IF($Q98=0,$W98,IF(AND($S98&lt;&gt;"",EDATE($D98,Milestones!$AA$31)&gt;=$S98),$V98,IF(AND($R98&lt;&gt;"",EDATE($D98,Milestones!$AA$31)&gt;=$R98),$U98,$T98)))=Milestones!$AB$31),TEXT(EDATE($D98,Milestones!$AA$31),"dd/mm/yy")&amp;" "&amp;Milestones!$AB$31&amp;" "&amp;Milestones!$AC$31&amp;";  ","")&amp;IF(AND(EDATE($D98,Milestones!$AA$32)&lt;=AsOfDate,IF($Q98=0,$W98,IF(AND($S98&lt;&gt;"",EDATE($D98,Milestones!$AA$32)&gt;=$S98),$V98,IF(AND($R98&lt;&gt;"",EDATE($D98,Milestones!$AA$32)&gt;=$R98),$U98,$T98)))=Milestones!$AB$32),TEXT(EDATE($D98,Milestones!$AA$32),"dd/mm/yy")&amp;" "&amp;Milestones!$AB$32&amp;" "&amp;Milestones!$AC$32&amp;";  ","")&amp;IF(AND(EDATE($D98,Milestones!$AA$33)&lt;=AsOfDate,IF($Q98=0,$W98,IF(AND($S98&lt;&gt;"",EDATE($D98,Milestones!$AA$33)&gt;=$S98),$V98,IF(AND($R98&lt;&gt;"",EDATE($D98,Milestones!$AA$33)&gt;=$R98),$U98,$T98)))=Milestones!$AB$33),TEXT(EDATE($D98,Milestones!$AA$33),"dd/mm/yy")&amp;" "&amp;Milestones!$AB$33&amp;" "&amp;Milestones!$AC$33&amp;";  ","")&amp;IF(AND(EDATE($D98,Milestones!$AA$34)&lt;=AsOfDate,IF($Q98=0,$W98,IF(AND($S98&lt;&gt;"",EDATE($D98,Milestones!$AA$34)&gt;=$S98),$V98,IF(AND($R98&lt;&gt;"",EDATE($D98,Milestones!$AA$34)&gt;=$R98),$U98,$T98)))=Milestones!$AB$34),TEXT(EDATE($D98,Milestones!$AA$34),"dd/mm/yy")&amp;" "&amp;Milestones!$AB$34&amp;" "&amp;Milestones!$AC$34&amp;";  ","")&amp;IF(AND(EDATE($D98,Milestones!$AA$35)&lt;=AsOfDate,IF($Q98=0,$W98,IF(AND($S98&lt;&gt;"",EDATE($D98,Milestones!$AA$35)&gt;=$S98),$V98,IF(AND($R98&lt;&gt;"",EDATE($D98,Milestones!$AA$35)&gt;=$R98),$U98,$T98)))=Milestones!$AB$35),TEXT(EDATE($D98,Milestones!$AA$35),"dd/mm/yy")&amp;" "&amp;Milestones!$AB$35&amp;" "&amp;Milestones!$AC$35&amp;";  ","")&amp;IF(AND(EDATE($D98,Milestones!$AA$36)&lt;=AsOfDate,IF($Q98=0,$W98,IF(AND($S98&lt;&gt;"",EDATE($D98,Milestones!$AA$36)&gt;=$S98),$V98,IF(AND($R98&lt;&gt;"",EDATE($D98,Milestones!$AA$36)&gt;=$R98),$U98,$T98)))=Milestones!$AB$36),TEXT(EDATE($D98,Milestones!$AA$36),"dd/mm/yy")&amp;" "&amp;Milestones!$AB$36&amp;" "&amp;Milestones!$AC$36&amp;";  ","")&amp;IF(AND(EDATE($D98,Milestones!$AA$37)&lt;=AsOfDate,IF($Q98=0,$W98,IF(AND($S98&lt;&gt;"",EDATE($D98,Milestones!$AA$37)&gt;=$S98),$V98,IF(AND($R98&lt;&gt;"",EDATE($D98,Milestones!$AA$37)&gt;=$R98),$U98,$T98)))=Milestones!$AB$37),TEXT(EDATE($D98,Milestones!$AA$37),"dd/mm/yy")&amp;" "&amp;Milestones!$AB$37&amp;" "&amp;Milestones!$AC$37&amp;";  ","")&amp;IF(AND(EDATE($D98,Milestones!$AA$38)&lt;=AsOfDate,IF($Q98=0,$W98,IF(AND($S98&lt;&gt;"",EDATE($D98,Milestones!$AA$38)&gt;=$S98),$V98,IF(AND($R98&lt;&gt;"",EDATE($D98,Milestones!$AA$38)&gt;=$R98),$U98,$T98)))=Milestones!$AB$38),TEXT(EDATE($D98,Milestones!$AA$38),"dd/mm/yy")&amp;" "&amp;Milestones!$AB$38&amp;" "&amp;Milestones!$AC$38&amp;";  ","")&amp;IF(AND(EDATE($D98,Milestones!$AA$39)&lt;=AsOfDate,IF($Q98=0,$W98,IF(AND($S98&lt;&gt;"",EDATE($D98,Milestones!$AA$39)&gt;=$S98),$V98,IF(AND($R98&lt;&gt;"",EDATE($D98,Milestones!$AA$39)&gt;=$R98),$U98,$T98)))=Milestones!$AB$39),TEXT(EDATE($D98,Milestones!$AA$39),"dd/mm/yy")&amp;" "&amp;Milestones!$AB$39&amp;" "&amp;Milestones!$AC$39&amp;";  ",""))</f>
        <v/>
      </c>
      <c r="I98" s="0" t="str">
        <f aca="false">IF(OR($A98="",$D98=""),"",IF(AND(EDATE($D98,Milestones!$AA$40)&lt;=AsOfDate,IF($Q98=0,$W98,IF(AND($S98&lt;&gt;"",EDATE($D98,Milestones!$AA$40)&gt;=$S98),$V98,IF(AND($R98&lt;&gt;"",EDATE($D98,Milestones!$AA$40)&gt;=$R98),$U98,$T98)))=Milestones!$AB$40),TEXT(EDATE($D98,Milestones!$AA$40),"dd/mm/yy")&amp;" "&amp;Milestones!$AB$40&amp;" "&amp;Milestones!$AC$40&amp;";  ","")&amp;IF(AND(EDATE($D98,Milestones!$AA$41)&lt;=AsOfDate,IF($Q98=0,$W98,IF(AND($S98&lt;&gt;"",EDATE($D98,Milestones!$AA$41)&gt;=$S98),$V98,IF(AND($R98&lt;&gt;"",EDATE($D98,Milestones!$AA$41)&gt;=$R98),$U98,$T98)))=Milestones!$AB$41),TEXT(EDATE($D98,Milestones!$AA$41),"dd/mm/yy")&amp;" "&amp;Milestones!$AB$41&amp;" "&amp;Milestones!$AC$41&amp;";  ","")&amp;IF(AND(EDATE($D98,Milestones!$AA$42)&lt;=AsOfDate,IF($Q98=0,$W98,IF(AND($S98&lt;&gt;"",EDATE($D98,Milestones!$AA$42)&gt;=$S98),$V98,IF(AND($R98&lt;&gt;"",EDATE($D98,Milestones!$AA$42)&gt;=$R98),$U98,$T98)))=Milestones!$AB$42),TEXT(EDATE($D98,Milestones!$AA$42),"dd/mm/yy")&amp;" "&amp;Milestones!$AB$42&amp;" "&amp;Milestones!$AC$42&amp;";  ","")&amp;IF(AND(EDATE($D98,Milestones!$AA$43)&lt;=AsOfDate,IF($Q98=0,$W98,IF(AND($S98&lt;&gt;"",EDATE($D98,Milestones!$AA$43)&gt;=$S98),$V98,IF(AND($R98&lt;&gt;"",EDATE($D98,Milestones!$AA$43)&gt;=$R98),$U98,$T98)))=Milestones!$AB$43),TEXT(EDATE($D98,Milestones!$AA$43),"dd/mm/yy")&amp;" "&amp;Milestones!$AB$43&amp;" "&amp;Milestones!$AC$43&amp;";  ","")&amp;IF(AND(EDATE($D98,Milestones!$AA$44)&lt;=AsOfDate,IF($Q98=0,$W98,IF(AND($S98&lt;&gt;"",EDATE($D98,Milestones!$AA$44)&gt;=$S98),$V98,IF(AND($R98&lt;&gt;"",EDATE($D98,Milestones!$AA$44)&gt;=$R98),$U98,$T98)))=Milestones!$AB$44),TEXT(EDATE($D98,Milestones!$AA$44),"dd/mm/yy")&amp;" "&amp;Milestones!$AB$44&amp;" "&amp;Milestones!$AC$44&amp;";  ","")&amp;IF(AND(EDATE($D98,Milestones!$AA$45)&lt;=AsOfDate,IF($Q98=0,$W98,IF(AND($S98&lt;&gt;"",EDATE($D98,Milestones!$AA$45)&gt;=$S98),$V98,IF(AND($R98&lt;&gt;"",EDATE($D98,Milestones!$AA$45)&gt;=$R98),$U98,$T98)))=Milestones!$AB$45),TEXT(EDATE($D98,Milestones!$AA$45),"dd/mm/yy")&amp;" "&amp;Milestones!$AB$45&amp;" "&amp;Milestones!$AC$45&amp;";  ","")&amp;IF(AND(EDATE($D98,Milestones!$AA$46)&lt;=AsOfDate,IF($Q98=0,$W98,IF(AND($S98&lt;&gt;"",EDATE($D98,Milestones!$AA$46)&gt;=$S98),$V98,IF(AND($R98&lt;&gt;"",EDATE($D98,Milestones!$AA$46)&gt;=$R98),$U98,$T98)))=Milestones!$AB$46),TEXT(EDATE($D98,Milestones!$AA$46),"dd/mm/yy")&amp;" "&amp;Milestones!$AB$46&amp;" "&amp;Milestones!$AC$46&amp;";  ","")&amp;IF(AND(EDATE($D98,Milestones!$AA$47)&lt;=AsOfDate,IF($Q98=0,$W98,IF(AND($S98&lt;&gt;"",EDATE($D98,Milestones!$AA$47)&gt;=$S98),$V98,IF(AND($R98&lt;&gt;"",EDATE($D98,Milestones!$AA$47)&gt;=$R98),$U98,$T98)))=Milestones!$AB$47),TEXT(EDATE($D98,Milestones!$AA$47),"dd/mm/yy")&amp;" "&amp;Milestones!$AB$47&amp;" "&amp;Milestones!$AC$47&amp;";  ","")&amp;IF(AND(EDATE($D98,Milestones!$AA$48)&lt;=AsOfDate,IF($Q98=0,$W98,IF(AND($S98&lt;&gt;"",EDATE($D98,Milestones!$AA$48)&gt;=$S98),$V98,IF(AND($R98&lt;&gt;"",EDATE($D98,Milestones!$AA$48)&gt;=$R98),$U98,$T98)))=Milestones!$AB$48),TEXT(EDATE($D98,Milestones!$AA$48),"dd/mm/yy")&amp;" "&amp;Milestones!$AB$48&amp;" "&amp;Milestones!$AC$48&amp;";  ","")&amp;IF(AND(EDATE($D98,Milestones!$AA$49)&lt;=AsOfDate,IF($Q98=0,$W98,IF(AND($S98&lt;&gt;"",EDATE($D98,Milestones!$AA$49)&gt;=$S98),$V98,IF(AND($R98&lt;&gt;"",EDATE($D98,Milestones!$AA$49)&gt;=$R98),$U98,$T98)))=Milestones!$AB$49),TEXT(EDATE($D98,Milestones!$AA$49),"dd/mm/yy")&amp;" "&amp;Milestones!$AB$49&amp;" "&amp;Milestones!$AC$49&amp;";  ","")&amp;IF(AND(EDATE($D98,Milestones!$AA$50)&lt;=AsOfDate,IF($Q98=0,$W98,IF(AND($S98&lt;&gt;"",EDATE($D98,Milestones!$AA$50)&gt;=$S98),$V98,IF(AND($R98&lt;&gt;"",EDATE($D98,Milestones!$AA$50)&gt;=$R98),$U98,$T98)))=Milestones!$AB$50),TEXT(EDATE($D98,Milestones!$AA$50),"dd/mm/yy")&amp;" "&amp;Milestones!$AB$50&amp;" "&amp;Milestones!$AC$50&amp;";  ","")&amp;IF(AND(EDATE($D98,Milestones!$AA$51)&lt;=AsOfDate,IF($Q98=0,$W98,IF(AND($S98&lt;&gt;"",EDATE($D98,Milestones!$AA$51)&gt;=$S98),$V98,IF(AND($R98&lt;&gt;"",EDATE($D98,Milestones!$AA$51)&gt;=$R98),$U98,$T98)))=Milestones!$AB$51),TEXT(EDATE($D98,Milestones!$AA$51),"dd/mm/yy")&amp;" "&amp;Milestones!$AB$51&amp;" "&amp;Milestones!$AC$51&amp;";  ","")&amp;IF(AND(EDATE($D98,Milestones!$AA$52)&lt;=AsOfDate,IF($Q98=0,$W98,IF(AND($S98&lt;&gt;"",EDATE($D98,Milestones!$AA$52)&gt;=$S98),$V98,IF(AND($R98&lt;&gt;"",EDATE($D98,Milestones!$AA$52)&gt;=$R98),$U98,$T98)))=Milestones!$AB$52),TEXT(EDATE($D98,Milestones!$AA$52),"dd/mm/yy")&amp;" "&amp;Milestones!$AB$52&amp;" "&amp;Milestones!$AC$52&amp;";  ","")&amp;IF(AND(EDATE($D98,Milestones!$AA$53)&lt;=AsOfDate,IF($Q98=0,$W98,IF(AND($S98&lt;&gt;"",EDATE($D98,Milestones!$AA$53)&gt;=$S98),$V98,IF(AND($R98&lt;&gt;"",EDATE($D98,Milestones!$AA$53)&gt;=$R98),$U98,$T98)))=Milestones!$AB$53),TEXT(EDATE($D98,Milestones!$AA$53),"dd/mm/yy")&amp;" "&amp;Milestones!$AB$53&amp;" "&amp;Milestones!$AC$53&amp;";  ","")&amp;IF(AND(EDATE($D98,Milestones!$AA$54)&lt;=AsOfDate,IF($Q98=0,$W98,IF(AND($S98&lt;&gt;"",EDATE($D98,Milestones!$AA$54)&gt;=$S98),$V98,IF(AND($R98&lt;&gt;"",EDATE($D98,Milestones!$AA$54)&gt;=$R98),$U98,$T98)))=Milestones!$AB$54),TEXT(EDATE($D98,Milestones!$AA$54),"dd/mm/yy")&amp;" "&amp;Milestones!$AB$54&amp;" "&amp;Milestones!$AC$54&amp;";  ","")&amp;IF(AND(EDATE($D98,Milestones!$AA$55)&lt;=AsOfDate,IF($Q98=0,$W98,IF(AND($S98&lt;&gt;"",EDATE($D98,Milestones!$AA$55)&gt;=$S98),$V98,IF(AND($R98&lt;&gt;"",EDATE($D98,Milestones!$AA$55)&gt;=$R98),$U98,$T98)))=Milestones!$AB$55),TEXT(EDATE($D98,Milestones!$AA$55),"dd/mm/yy")&amp;" "&amp;Milestones!$AB$55&amp;" "&amp;Milestones!$AC$55&amp;";  ","")&amp;IF(AND(EDATE($D98,Milestones!$AA$56)&lt;=AsOfDate,IF($Q98=0,$W98,IF(AND($S98&lt;&gt;"",EDATE($D98,Milestones!$AA$56)&gt;=$S98),$V98,IF(AND($R98&lt;&gt;"",EDATE($D98,Milestones!$AA$56)&gt;=$R98),$U98,$T98)))=Milestones!$AB$56),TEXT(EDATE($D98,Milestones!$AA$56),"dd/mm/yy")&amp;" "&amp;Milestones!$AB$56&amp;" "&amp;Milestones!$AC$56&amp;";  ","")&amp;IF(AND(EDATE($D98,Milestones!$AA$57)&lt;=AsOfDate,IF($Q98=0,$W98,IF(AND($S98&lt;&gt;"",EDATE($D98,Milestones!$AA$57)&gt;=$S98),$V98,IF(AND($R98&lt;&gt;"",EDATE($D98,Milestones!$AA$57)&gt;=$R98),$U98,$T98)))=Milestones!$AB$57),TEXT(EDATE($D98,Milestones!$AA$57),"dd/mm/yy")&amp;" "&amp;Milestones!$AB$57&amp;" "&amp;Milestones!$AC$57&amp;";  ","")&amp;IF(AND(EDATE($D98,Milestones!$AA$58)&lt;=AsOfDate,IF($Q98=0,$W98,IF(AND($S98&lt;&gt;"",EDATE($D98,Milestones!$AA$58)&gt;=$S98),$V98,IF(AND($R98&lt;&gt;"",EDATE($D98,Milestones!$AA$58)&gt;=$R98),$U98,$T98)))=Milestones!$AB$58),TEXT(EDATE($D98,Milestones!$AA$58),"dd/mm/yy")&amp;" "&amp;Milestones!$AB$58&amp;" "&amp;Milestones!$AC$58&amp;";  ","")&amp;IF(AND(EDATE($D98,Milestones!$AA$59)&lt;=AsOfDate,IF($Q98=0,$W98,IF(AND($S98&lt;&gt;"",EDATE($D98,Milestones!$AA$59)&gt;=$S98),$V98,IF(AND($R98&lt;&gt;"",EDATE($D98,Milestones!$AA$59)&gt;=$R98),$U98,$T98)))=Milestones!$AB$59),TEXT(EDATE($D98,Milestones!$AA$59),"dd/mm/yy")&amp;" "&amp;Milestones!$AB$59&amp;" "&amp;Milestones!$AC$59&amp;";  ",""))</f>
        <v/>
      </c>
      <c r="J98" s="0" t="str">
        <f aca="false">IF(OR($A98="",$D98=""),"",IF(AND(EDATE($D98,Milestones!$AA$60)&lt;=AsOfDate,IF($Q98=0,$W98,IF(AND($S98&lt;&gt;"",EDATE($D98,Milestones!$AA$60)&gt;=$S98),$V98,IF(AND($R98&lt;&gt;"",EDATE($D98,Milestones!$AA$60)&gt;=$R98),$U98,$T98)))=Milestones!$AB$60),TEXT(EDATE($D98,Milestones!$AA$60),"dd/mm/yy")&amp;" "&amp;Milestones!$AB$60&amp;" "&amp;Milestones!$AC$60&amp;";  ","")&amp;IF(AND(EDATE($D98,Milestones!$AA$61)&lt;=AsOfDate,IF($Q98=0,$W98,IF(AND($S98&lt;&gt;"",EDATE($D98,Milestones!$AA$61)&gt;=$S98),$V98,IF(AND($R98&lt;&gt;"",EDATE($D98,Milestones!$AA$61)&gt;=$R98),$U98,$T98)))=Milestones!$AB$61),TEXT(EDATE($D98,Milestones!$AA$61),"dd/mm/yy")&amp;" "&amp;Milestones!$AB$61&amp;" "&amp;Milestones!$AC$61&amp;";  ","")&amp;IF(AND(EDATE($D98,Milestones!$AA$62)&lt;=AsOfDate,IF($Q98=0,$W98,IF(AND($S98&lt;&gt;"",EDATE($D98,Milestones!$AA$62)&gt;=$S98),$V98,IF(AND($R98&lt;&gt;"",EDATE($D98,Milestones!$AA$62)&gt;=$R98),$U98,$T98)))=Milestones!$AB$62),TEXT(EDATE($D98,Milestones!$AA$62),"dd/mm/yy")&amp;" "&amp;Milestones!$AB$62&amp;" "&amp;Milestones!$AC$62&amp;";  ","")&amp;IF(AND(EDATE($D98,Milestones!$AA$63)&lt;=AsOfDate,IF($Q98=0,$W98,IF(AND($S98&lt;&gt;"",EDATE($D98,Milestones!$AA$63)&gt;=$S98),$V98,IF(AND($R98&lt;&gt;"",EDATE($D98,Milestones!$AA$63)&gt;=$R98),$U98,$T98)))=Milestones!$AB$63),TEXT(EDATE($D98,Milestones!$AA$63),"dd/mm/yy")&amp;" "&amp;Milestones!$AB$63&amp;" "&amp;Milestones!$AC$63&amp;";  ","")&amp;IF(AND(EDATE($D98,Milestones!$AA$64)&lt;=AsOfDate,IF($Q98=0,$W98,IF(AND($S98&lt;&gt;"",EDATE($D98,Milestones!$AA$64)&gt;=$S98),$V98,IF(AND($R98&lt;&gt;"",EDATE($D98,Milestones!$AA$64)&gt;=$R98),$U98,$T98)))=Milestones!$AB$64),TEXT(EDATE($D98,Milestones!$AA$64),"dd/mm/yy")&amp;" "&amp;Milestones!$AB$64&amp;" "&amp;Milestones!$AC$64&amp;";  ","")&amp;IF(AND(EDATE($D98,Milestones!$AA$65)&lt;=AsOfDate,IF($Q98=0,$W98,IF(AND($S98&lt;&gt;"",EDATE($D98,Milestones!$AA$65)&gt;=$S98),$V98,IF(AND($R98&lt;&gt;"",EDATE($D98,Milestones!$AA$65)&gt;=$R98),$U98,$T98)))=Milestones!$AB$65),TEXT(EDATE($D98,Milestones!$AA$65),"dd/mm/yy")&amp;" "&amp;Milestones!$AB$65&amp;" "&amp;Milestones!$AC$65&amp;";  ","")&amp;IF(AND(EDATE($D98,Milestones!$AA$66)&lt;=AsOfDate,IF($Q98=0,$W98,IF(AND($S98&lt;&gt;"",EDATE($D98,Milestones!$AA$66)&gt;=$S98),$V98,IF(AND($R98&lt;&gt;"",EDATE($D98,Milestones!$AA$66)&gt;=$R98),$U98,$T98)))=Milestones!$AB$66),TEXT(EDATE($D98,Milestones!$AA$66),"dd/mm/yy")&amp;" "&amp;Milestones!$AB$66&amp;" "&amp;Milestones!$AC$66&amp;";  ","")&amp;IF(AND(EDATE($D98,Milestones!$AA$67)&lt;=AsOfDate,IF($Q98=0,$W98,IF(AND($S98&lt;&gt;"",EDATE($D98,Milestones!$AA$67)&gt;=$S98),$V98,IF(AND($R98&lt;&gt;"",EDATE($D98,Milestones!$AA$67)&gt;=$R98),$U98,$T98)))=Milestones!$AB$67),TEXT(EDATE($D98,Milestones!$AA$67),"dd/mm/yy")&amp;" "&amp;Milestones!$AB$67&amp;" "&amp;Milestones!$AC$67&amp;";  ","")&amp;IF(AND(EDATE($D98,Milestones!$AA$68)&lt;=AsOfDate,IF($Q98=0,$W98,IF(AND($S98&lt;&gt;"",EDATE($D98,Milestones!$AA$68)&gt;=$S98),$V98,IF(AND($R98&lt;&gt;"",EDATE($D98,Milestones!$AA$68)&gt;=$R98),$U98,$T98)))=Milestones!$AB$68),TEXT(EDATE($D98,Milestones!$AA$68),"dd/mm/yy")&amp;" "&amp;Milestones!$AB$68&amp;" "&amp;Milestones!$AC$68&amp;";  ","")&amp;IF(AND(EDATE($D98,Milestones!$AA$69)&lt;=AsOfDate,IF($Q98=0,$W98,IF(AND($S98&lt;&gt;"",EDATE($D98,Milestones!$AA$69)&gt;=$S98),$V98,IF(AND($R98&lt;&gt;"",EDATE($D98,Milestones!$AA$69)&gt;=$R98),$U98,$T98)))=Milestones!$AB$69),TEXT(EDATE($D98,Milestones!$AA$69),"dd/mm/yy")&amp;" "&amp;Milestones!$AB$69&amp;" "&amp;Milestones!$AC$69&amp;";  ","")&amp;IF(AND(EDATE($D98,Milestones!$AA$70)&lt;=AsOfDate,IF($Q98=0,$W98,IF(AND($S98&lt;&gt;"",EDATE($D98,Milestones!$AA$70)&gt;=$S98),$V98,IF(AND($R98&lt;&gt;"",EDATE($D98,Milestones!$AA$70)&gt;=$R98),$U98,$T98)))=Milestones!$AB$70),TEXT(EDATE($D98,Milestones!$AA$70),"dd/mm/yy")&amp;" "&amp;Milestones!$AB$70&amp;" "&amp;Milestones!$AC$70&amp;";  ","")&amp;IF(AND(EDATE($D98,Milestones!$AA$71)&lt;=AsOfDate,IF($Q98=0,$W98,IF(AND($S98&lt;&gt;"",EDATE($D98,Milestones!$AA$71)&gt;=$S98),$V98,IF(AND($R98&lt;&gt;"",EDATE($D98,Milestones!$AA$71)&gt;=$R98),$U98,$T98)))=Milestones!$AB$71),TEXT(EDATE($D98,Milestones!$AA$71),"dd/mm/yy")&amp;" "&amp;Milestones!$AB$71&amp;" "&amp;Milestones!$AC$71&amp;";  ","")&amp;IF(AND(EDATE($D98,Milestones!$AA$72)&lt;=AsOfDate,IF($Q98=0,$W98,IF(AND($S98&lt;&gt;"",EDATE($D98,Milestones!$AA$72)&gt;=$S98),$V98,IF(AND($R98&lt;&gt;"",EDATE($D98,Milestones!$AA$72)&gt;=$R98),$U98,$T98)))=Milestones!$AB$72),TEXT(EDATE($D98,Milestones!$AA$72),"dd/mm/yy")&amp;" "&amp;Milestones!$AB$72&amp;" "&amp;Milestones!$AC$72&amp;";  ","")&amp;IF(AND(EDATE($D98,Milestones!$AA$73)&lt;=AsOfDate,IF($Q98=0,$W98,IF(AND($S98&lt;&gt;"",EDATE($D98,Milestones!$AA$73)&gt;=$S98),$V98,IF(AND($R98&lt;&gt;"",EDATE($D98,Milestones!$AA$73)&gt;=$R98),$U98,$T98)))=Milestones!$AB$73),TEXT(EDATE($D98,Milestones!$AA$73),"dd/mm/yy")&amp;" "&amp;Milestones!$AB$73&amp;" "&amp;Milestones!$AC$73&amp;";  ","")&amp;IF(AND(EDATE($D98,Milestones!$AA$74)&lt;=AsOfDate,IF($Q98=0,$W98,IF(AND($S98&lt;&gt;"",EDATE($D98,Milestones!$AA$74)&gt;=$S98),$V98,IF(AND($R98&lt;&gt;"",EDATE($D98,Milestones!$AA$74)&gt;=$R98),$U98,$T98)))=Milestones!$AB$74),TEXT(EDATE($D98,Milestones!$AA$74),"dd/mm/yy")&amp;" "&amp;Milestones!$AB$74&amp;" "&amp;Milestones!$AC$74&amp;";  ","")&amp;IF(AND(EDATE($D98,Milestones!$AA$75)&lt;=AsOfDate,IF($Q98=0,$W98,IF(AND($S98&lt;&gt;"",EDATE($D98,Milestones!$AA$75)&gt;=$S98),$V98,IF(AND($R98&lt;&gt;"",EDATE($D98,Milestones!$AA$75)&gt;=$R98),$U98,$T98)))=Milestones!$AB$75),TEXT(EDATE($D98,Milestones!$AA$75),"dd/mm/yy")&amp;" "&amp;Milestones!$AB$75&amp;" "&amp;Milestones!$AC$75&amp;";  ","")&amp;IF(AND(EDATE($D98,Milestones!$AA$76)&lt;=AsOfDate,IF($Q98=0,$W98,IF(AND($S98&lt;&gt;"",EDATE($D98,Milestones!$AA$76)&gt;=$S98),$V98,IF(AND($R98&lt;&gt;"",EDATE($D98,Milestones!$AA$76)&gt;=$R98),$U98,$T98)))=Milestones!$AB$76),TEXT(EDATE($D98,Milestones!$AA$76),"dd/mm/yy")&amp;" "&amp;Milestones!$AB$76&amp;" "&amp;Milestones!$AC$76&amp;";  ","")&amp;IF(AND(EDATE($D98,Milestones!$AA$77)&lt;=AsOfDate,IF($Q98=0,$W98,IF(AND($S98&lt;&gt;"",EDATE($D98,Milestones!$AA$77)&gt;=$S98),$V98,IF(AND($R98&lt;&gt;"",EDATE($D98,Milestones!$AA$77)&gt;=$R98),$U98,$T98)))=Milestones!$AB$77),TEXT(EDATE($D98,Milestones!$AA$77),"dd/mm/yy")&amp;" "&amp;Milestones!$AB$77&amp;" "&amp;Milestones!$AC$77&amp;";  ","")&amp;IF(AND(EDATE($D98,Milestones!$AA$78)&lt;=AsOfDate,IF($Q98=0,$W98,IF(AND($S98&lt;&gt;"",EDATE($D98,Milestones!$AA$78)&gt;=$S98),$V98,IF(AND($R98&lt;&gt;"",EDATE($D98,Milestones!$AA$78)&gt;=$R98),$U98,$T98)))=Milestones!$AB$78),TEXT(EDATE($D98,Milestones!$AA$78),"dd/mm/yy")&amp;" "&amp;Milestones!$AB$78&amp;" "&amp;Milestones!$AC$78&amp;";  ","")&amp;IF(AND(EDATE($D98,Milestones!$AA$79)&lt;=AsOfDate,IF($Q98=0,$W98,IF(AND($S98&lt;&gt;"",EDATE($D98,Milestones!$AA$79)&gt;=$S98),$V98,IF(AND($R98&lt;&gt;"",EDATE($D98,Milestones!$AA$79)&gt;=$R98),$U98,$T98)))=Milestones!$AB$79),TEXT(EDATE($D98,Milestones!$AA$79),"dd/mm/yy")&amp;" "&amp;Milestones!$AB$79&amp;" "&amp;Milestones!$AC$79&amp;";  ",""))</f>
        <v/>
      </c>
      <c r="K98" s="0" t="str">
        <f aca="false">IF(OR($A98="",$D98=""),"",IF(AND(EDATE($D98,Milestones!$AA$80)&lt;=AsOfDate,IF($Q98=0,$W98,IF(AND($S98&lt;&gt;"",EDATE($D98,Milestones!$AA$80)&gt;=$S98),$V98,IF(AND($R98&lt;&gt;"",EDATE($D98,Milestones!$AA$80)&gt;=$R98),$U98,$T98)))=Milestones!$AB$80),TEXT(EDATE($D98,Milestones!$AA$80),"dd/mm/yy")&amp;" "&amp;Milestones!$AB$80&amp;" "&amp;Milestones!$AC$80&amp;";  ","")&amp;IF(AND(EDATE($D98,Milestones!$AA$81)&lt;=AsOfDate,IF($Q98=0,$W98,IF(AND($S98&lt;&gt;"",EDATE($D98,Milestones!$AA$81)&gt;=$S98),$V98,IF(AND($R98&lt;&gt;"",EDATE($D98,Milestones!$AA$81)&gt;=$R98),$U98,$T98)))=Milestones!$AB$81),TEXT(EDATE($D98,Milestones!$AA$81),"dd/mm/yy")&amp;" "&amp;Milestones!$AB$81&amp;" "&amp;Milestones!$AC$81&amp;";  ","")&amp;IF(AND(EDATE($D98,Milestones!$AA$82)&lt;=AsOfDate,IF($Q98=0,$W98,IF(AND($S98&lt;&gt;"",EDATE($D98,Milestones!$AA$82)&gt;=$S98),$V98,IF(AND($R98&lt;&gt;"",EDATE($D98,Milestones!$AA$82)&gt;=$R98),$U98,$T98)))=Milestones!$AB$82),TEXT(EDATE($D98,Milestones!$AA$82),"dd/mm/yy")&amp;" "&amp;Milestones!$AB$82&amp;" "&amp;Milestones!$AC$82&amp;";  ","")&amp;IF(AND(EDATE($D98,Milestones!$AA$83)&lt;=AsOfDate,IF($Q98=0,$W98,IF(AND($S98&lt;&gt;"",EDATE($D98,Milestones!$AA$83)&gt;=$S98),$V98,IF(AND($R98&lt;&gt;"",EDATE($D98,Milestones!$AA$83)&gt;=$R98),$U98,$T98)))=Milestones!$AB$83),TEXT(EDATE($D98,Milestones!$AA$83),"dd/mm/yy")&amp;" "&amp;Milestones!$AB$83&amp;" "&amp;Milestones!$AC$83&amp;";  ","")&amp;IF(AND(EDATE($D98,Milestones!$AA$84)&lt;=AsOfDate,IF($Q98=0,$W98,IF(AND($S98&lt;&gt;"",EDATE($D98,Milestones!$AA$84)&gt;=$S98),$V98,IF(AND($R98&lt;&gt;"",EDATE($D98,Milestones!$AA$84)&gt;=$R98),$U98,$T98)))=Milestones!$AB$84),TEXT(EDATE($D98,Milestones!$AA$84),"dd/mm/yy")&amp;" "&amp;Milestones!$AB$84&amp;" "&amp;Milestones!$AC$84&amp;";  ","")&amp;IF(AND(EDATE($D98,Milestones!$AA$85)&lt;=AsOfDate,IF($Q98=0,$W98,IF(AND($S98&lt;&gt;"",EDATE($D98,Milestones!$AA$85)&gt;=$S98),$V98,IF(AND($R98&lt;&gt;"",EDATE($D98,Milestones!$AA$85)&gt;=$R98),$U98,$T98)))=Milestones!$AB$85),TEXT(EDATE($D98,Milestones!$AA$85),"dd/mm/yy")&amp;" "&amp;Milestones!$AB$85&amp;" "&amp;Milestones!$AC$85&amp;";  ","")&amp;IF(AND(EDATE($D98,Milestones!$AA$86)&lt;=AsOfDate,IF($Q98=0,$W98,IF(AND($S98&lt;&gt;"",EDATE($D98,Milestones!$AA$86)&gt;=$S98),$V98,IF(AND($R98&lt;&gt;"",EDATE($D98,Milestones!$AA$86)&gt;=$R98),$U98,$T98)))=Milestones!$AB$86),TEXT(EDATE($D98,Milestones!$AA$86),"dd/mm/yy")&amp;" "&amp;Milestones!$AB$86&amp;" "&amp;Milestones!$AC$86&amp;";  ","")&amp;IF(AND(EDATE($D98,Milestones!$AA$87)&lt;=AsOfDate,IF($Q98=0,$W98,IF(AND($S98&lt;&gt;"",EDATE($D98,Milestones!$AA$87)&gt;=$S98),$V98,IF(AND($R98&lt;&gt;"",EDATE($D98,Milestones!$AA$87)&gt;=$R98),$U98,$T98)))=Milestones!$AB$87),TEXT(EDATE($D98,Milestones!$AA$87),"dd/mm/yy")&amp;" "&amp;Milestones!$AB$87&amp;" "&amp;Milestones!$AC$87&amp;";  ","")&amp;IF(AND(EDATE($D98,Milestones!$AA$88)&lt;=AsOfDate,IF($Q98=0,$W98,IF(AND($S98&lt;&gt;"",EDATE($D98,Milestones!$AA$88)&gt;=$S98),$V98,IF(AND($R98&lt;&gt;"",EDATE($D98,Milestones!$AA$88)&gt;=$R98),$U98,$T98)))=Milestones!$AB$88),TEXT(EDATE($D98,Milestones!$AA$88),"dd/mm/yy")&amp;" "&amp;Milestones!$AB$88&amp;" "&amp;Milestones!$AC$88&amp;";  ","")&amp;IF(AND(EDATE($D98,Milestones!$AA$89)&lt;=AsOfDate,IF($Q98=0,$W98,IF(AND($S98&lt;&gt;"",EDATE($D98,Milestones!$AA$89)&gt;=$S98),$V98,IF(AND($R98&lt;&gt;"",EDATE($D98,Milestones!$AA$89)&gt;=$R98),$U98,$T98)))=Milestones!$AB$89),TEXT(EDATE($D98,Milestones!$AA$89),"dd/mm/yy")&amp;" "&amp;Milestones!$AB$89&amp;" "&amp;Milestones!$AC$89&amp;";  ","")&amp;IF(AND(EDATE($D98,Milestones!$AA$90)&lt;=AsOfDate,IF($Q98=0,$W98,IF(AND($S98&lt;&gt;"",EDATE($D98,Milestones!$AA$90)&gt;=$S98),$V98,IF(AND($R98&lt;&gt;"",EDATE($D98,Milestones!$AA$90)&gt;=$R98),$U98,$T98)))=Milestones!$AB$90),TEXT(EDATE($D98,Milestones!$AA$90),"dd/mm/yy")&amp;" "&amp;Milestones!$AB$90&amp;" "&amp;Milestones!$AC$90&amp;";  ","")&amp;IF(AND(EDATE($D98,Milestones!$AA$91)&lt;=AsOfDate,IF($Q98=0,$W98,IF(AND($S98&lt;&gt;"",EDATE($D98,Milestones!$AA$91)&gt;=$S98),$V98,IF(AND($R98&lt;&gt;"",EDATE($D98,Milestones!$AA$91)&gt;=$R98),$U98,$T98)))=Milestones!$AB$91),TEXT(EDATE($D98,Milestones!$AA$91),"dd/mm/yy")&amp;" "&amp;Milestones!$AB$91&amp;" "&amp;Milestones!$AC$91&amp;";  ","")&amp;IF(AND(EDATE($D98,Milestones!$AA$92)&lt;=AsOfDate,IF($Q98=0,$W98,IF(AND($S98&lt;&gt;"",EDATE($D98,Milestones!$AA$92)&gt;=$S98),$V98,IF(AND($R98&lt;&gt;"",EDATE($D98,Milestones!$AA$92)&gt;=$R98),$U98,$T98)))=Milestones!$AB$92),TEXT(EDATE($D98,Milestones!$AA$92),"dd/mm/yy")&amp;" "&amp;Milestones!$AB$92&amp;" "&amp;Milestones!$AC$92&amp;";  ","")&amp;IF(AND(EDATE($D98,Milestones!$AA$93)&lt;=AsOfDate,IF($Q98=0,$W98,IF(AND($S98&lt;&gt;"",EDATE($D98,Milestones!$AA$93)&gt;=$S98),$V98,IF(AND($R98&lt;&gt;"",EDATE($D98,Milestones!$AA$93)&gt;=$R98),$U98,$T98)))=Milestones!$AB$93),TEXT(EDATE($D98,Milestones!$AA$93),"dd/mm/yy")&amp;" "&amp;Milestones!$AB$93&amp;" "&amp;Milestones!$AC$93&amp;";  ","")&amp;IF(AND(EDATE($D98,Milestones!$AA$94)&lt;=AsOfDate,IF($Q98=0,$W98,IF(AND($S98&lt;&gt;"",EDATE($D98,Milestones!$AA$94)&gt;=$S98),$V98,IF(AND($R98&lt;&gt;"",EDATE($D98,Milestones!$AA$94)&gt;=$R98),$U98,$T98)))=Milestones!$AB$94),TEXT(EDATE($D98,Milestones!$AA$94),"dd/mm/yy")&amp;" "&amp;Milestones!$AB$94&amp;" "&amp;Milestones!$AC$94&amp;";  ","")&amp;IF(AND(EDATE($D98,Milestones!$AA$95)&lt;=AsOfDate,IF($Q98=0,$W98,IF(AND($S98&lt;&gt;"",EDATE($D98,Milestones!$AA$95)&gt;=$S98),$V98,IF(AND($R98&lt;&gt;"",EDATE($D98,Milestones!$AA$95)&gt;=$R98),$U98,$T98)))=Milestones!$AB$95),TEXT(EDATE($D98,Milestones!$AA$95),"dd/mm/yy")&amp;" "&amp;Milestones!$AB$95&amp;" "&amp;Milestones!$AC$95&amp;";  ","")&amp;IF(AND(EDATE($D98,Milestones!$AA$96)&lt;=AsOfDate,IF($Q98=0,$W98,IF(AND($S98&lt;&gt;"",EDATE($D98,Milestones!$AA$96)&gt;=$S98),$V98,IF(AND($R98&lt;&gt;"",EDATE($D98,Milestones!$AA$96)&gt;=$R98),$U98,$T98)))=Milestones!$AB$96),TEXT(EDATE($D98,Milestones!$AA$96),"dd/mm/yy")&amp;" "&amp;Milestones!$AB$96&amp;" "&amp;Milestones!$AC$96&amp;";  ","")&amp;IF(AND(EDATE($D98,Milestones!$AA$97)&lt;=AsOfDate,IF($Q98=0,$W98,IF(AND($S98&lt;&gt;"",EDATE($D98,Milestones!$AA$97)&gt;=$S98),$V98,IF(AND($R98&lt;&gt;"",EDATE($D98,Milestones!$AA$97)&gt;=$R98),$U98,$T98)))=Milestones!$AB$97),TEXT(EDATE($D98,Milestones!$AA$97),"dd/mm/yy")&amp;" "&amp;Milestones!$AB$97&amp;" "&amp;Milestones!$AC$97&amp;";  ","")&amp;IF(AND(EDATE($D98,Milestones!$AA$98)&lt;=AsOfDate,IF($Q98=0,$W98,IF(AND($S98&lt;&gt;"",EDATE($D98,Milestones!$AA$98)&gt;=$S98),$V98,IF(AND($R98&lt;&gt;"",EDATE($D98,Milestones!$AA$98)&gt;=$R98),$U98,$T98)))=Milestones!$AB$98),TEXT(EDATE($D98,Milestones!$AA$98),"dd/mm/yy")&amp;" "&amp;Milestones!$AB$98&amp;" "&amp;Milestones!$AC$98&amp;";  ","")&amp;IF(AND(EDATE($D98,Milestones!$AA$99)&lt;=AsOfDate,IF($Q98=0,$W98,IF(AND($S98&lt;&gt;"",EDATE($D98,Milestones!$AA$99)&gt;=$S98),$V98,IF(AND($R98&lt;&gt;"",EDATE($D98,Milestones!$AA$99)&gt;=$R98),$U98,$T98)))=Milestones!$AB$99),TEXT(EDATE($D98,Milestones!$AA$99),"dd/mm/yy")&amp;" "&amp;Milestones!$AB$99&amp;" "&amp;Milestones!$AC$99&amp;";  ",""))</f>
        <v/>
      </c>
      <c r="L98" s="0" t="str">
        <f aca="false">IF(OR($A98="",$D98=""),"",IF(AND(EDATE($D98,Milestones!$AA$100)&lt;=AsOfDate,IF($Q98=0,$W98,IF(AND($S98&lt;&gt;"",EDATE($D98,Milestones!$AA$100)&gt;=$S98),$V98,IF(AND($R98&lt;&gt;"",EDATE($D98,Milestones!$AA$100)&gt;=$R98),$U98,$T98)))=Milestones!$AB$100),TEXT(EDATE($D98,Milestones!$AA$100),"dd/mm/yy")&amp;" "&amp;Milestones!$AB$100&amp;" "&amp;Milestones!$AC$100&amp;";  ","")&amp;IF(AND(EDATE($D98,Milestones!$AA$101)&lt;=AsOfDate,IF($Q98=0,$W98,IF(AND($S98&lt;&gt;"",EDATE($D98,Milestones!$AA$101)&gt;=$S98),$V98,IF(AND($R98&lt;&gt;"",EDATE($D98,Milestones!$AA$101)&gt;=$R98),$U98,$T98)))=Milestones!$AB$101),TEXT(EDATE($D98,Milestones!$AA$101),"dd/mm/yy")&amp;" "&amp;Milestones!$AB$101&amp;" "&amp;Milestones!$AC$101&amp;";  ","")&amp;IF(AND(EDATE($D98,Milestones!$AA$102)&lt;=AsOfDate,IF($Q98=0,$W98,IF(AND($S98&lt;&gt;"",EDATE($D98,Milestones!$AA$102)&gt;=$S98),$V98,IF(AND($R98&lt;&gt;"",EDATE($D98,Milestones!$AA$102)&gt;=$R98),$U98,$T98)))=Milestones!$AB$102),TEXT(EDATE($D98,Milestones!$AA$102),"dd/mm/yy")&amp;" "&amp;Milestones!$AB$102&amp;" "&amp;Milestones!$AC$102&amp;";  ","")&amp;IF(AND(EDATE($D98,Milestones!$AA$103)&lt;=AsOfDate,IF($Q98=0,$W98,IF(AND($S98&lt;&gt;"",EDATE($D98,Milestones!$AA$103)&gt;=$S98),$V98,IF(AND($R98&lt;&gt;"",EDATE($D98,Milestones!$AA$103)&gt;=$R98),$U98,$T98)))=Milestones!$AB$103),TEXT(EDATE($D98,Milestones!$AA$103),"dd/mm/yy")&amp;" "&amp;Milestones!$AB$103&amp;" "&amp;Milestones!$AC$103&amp;";  ","")&amp;IF(AND(EDATE($D98,Milestones!$AA$104)&lt;=AsOfDate,IF($Q98=0,$W98,IF(AND($S98&lt;&gt;"",EDATE($D98,Milestones!$AA$104)&gt;=$S98),$V98,IF(AND($R98&lt;&gt;"",EDATE($D98,Milestones!$AA$104)&gt;=$R98),$U98,$T98)))=Milestones!$AB$104),TEXT(EDATE($D98,Milestones!$AA$104),"dd/mm/yy")&amp;" "&amp;Milestones!$AB$104&amp;" "&amp;Milestones!$AC$104&amp;";  ","")&amp;IF(AND(EDATE($D98,Milestones!$AA$105)&lt;=AsOfDate,IF($Q98=0,$W98,IF(AND($S98&lt;&gt;"",EDATE($D98,Milestones!$AA$105)&gt;=$S98),$V98,IF(AND($R98&lt;&gt;"",EDATE($D98,Milestones!$AA$105)&gt;=$R98),$U98,$T98)))=Milestones!$AB$105),TEXT(EDATE($D98,Milestones!$AA$105),"dd/mm/yy")&amp;" "&amp;Milestones!$AB$105&amp;" "&amp;Milestones!$AC$105&amp;";  ","")&amp;IF(AND(EDATE($D98,Milestones!$AA$106)&lt;=AsOfDate,IF($Q98=0,$W98,IF(AND($S98&lt;&gt;"",EDATE($D98,Milestones!$AA$106)&gt;=$S98),$V98,IF(AND($R98&lt;&gt;"",EDATE($D98,Milestones!$AA$106)&gt;=$R98),$U98,$T98)))=Milestones!$AB$106),TEXT(EDATE($D98,Milestones!$AA$106),"dd/mm/yy")&amp;" "&amp;Milestones!$AB$106&amp;" "&amp;Milestones!$AC$106&amp;";  ","")&amp;IF(AND(EDATE($D98,Milestones!$AA$107)&lt;=AsOfDate,IF($Q98=0,$W98,IF(AND($S98&lt;&gt;"",EDATE($D98,Milestones!$AA$107)&gt;=$S98),$V98,IF(AND($R98&lt;&gt;"",EDATE($D98,Milestones!$AA$107)&gt;=$R98),$U98,$T98)))=Milestones!$AB$107),TEXT(EDATE($D98,Milestones!$AA$107),"dd/mm/yy")&amp;" "&amp;Milestones!$AB$107&amp;" "&amp;Milestones!$AC$107&amp;";  ","")&amp;IF(AND(EDATE($D98,Milestones!$AA$108)&lt;=AsOfDate,IF($Q98=0,$W98,IF(AND($S98&lt;&gt;"",EDATE($D98,Milestones!$AA$108)&gt;=$S98),$V98,IF(AND($R98&lt;&gt;"",EDATE($D98,Milestones!$AA$108)&gt;=$R98),$U98,$T98)))=Milestones!$AB$108),TEXT(EDATE($D98,Milestones!$AA$108),"dd/mm/yy")&amp;" "&amp;Milestones!$AB$108&amp;" "&amp;Milestones!$AC$108&amp;";  ","")&amp;IF(AND(EDATE($D98,Milestones!$AA$109)&lt;=AsOfDate,IF($Q98=0,$W98,IF(AND($S98&lt;&gt;"",EDATE($D98,Milestones!$AA$109)&gt;=$S98),$V98,IF(AND($R98&lt;&gt;"",EDATE($D98,Milestones!$AA$109)&gt;=$R98),$U98,$T98)))=Milestones!$AB$109),TEXT(EDATE($D98,Milestones!$AA$109),"dd/mm/yy")&amp;" "&amp;Milestones!$AB$109&amp;" "&amp;Milestones!$AC$109&amp;";  ","")&amp;IF(AND(EDATE($D98,Milestones!$AA$110)&lt;=AsOfDate,IF($Q98=0,$W98,IF(AND($S98&lt;&gt;"",EDATE($D98,Milestones!$AA$110)&gt;=$S98),$V98,IF(AND($R98&lt;&gt;"",EDATE($D98,Milestones!$AA$110)&gt;=$R98),$U98,$T98)))=Milestones!$AB$110),TEXT(EDATE($D98,Milestones!$AA$110),"dd/mm/yy")&amp;" "&amp;Milestones!$AB$110&amp;" "&amp;Milestones!$AC$110&amp;";  ","")&amp;IF(AND(EDATE($D98,Milestones!$AA$111)&lt;=AsOfDate,IF($Q98=0,$W98,IF(AND($S98&lt;&gt;"",EDATE($D98,Milestones!$AA$111)&gt;=$S98),$V98,IF(AND($R98&lt;&gt;"",EDATE($D98,Milestones!$AA$111)&gt;=$R98),$U98,$T98)))=Milestones!$AB$111),TEXT(EDATE($D98,Milestones!$AA$111),"dd/mm/yy")&amp;" "&amp;Milestones!$AB$111&amp;" "&amp;Milestones!$AC$111&amp;";  ","")&amp;IF(AND(EDATE($D98,Milestones!$AA$112)&lt;=AsOfDate,IF($Q98=0,$W98,IF(AND($S98&lt;&gt;"",EDATE($D98,Milestones!$AA$112)&gt;=$S98),$V98,IF(AND($R98&lt;&gt;"",EDATE($D98,Milestones!$AA$112)&gt;=$R98),$U98,$T98)))=Milestones!$AB$112),TEXT(EDATE($D98,Milestones!$AA$112),"dd/mm/yy")&amp;" "&amp;Milestones!$AB$112&amp;" "&amp;Milestones!$AC$112&amp;";  ","")&amp;IF(AND(EDATE($D98,Milestones!$AA$113)&lt;=AsOfDate,IF($Q98=0,$W98,IF(AND($S98&lt;&gt;"",EDATE($D98,Milestones!$AA$113)&gt;=$S98),$V98,IF(AND($R98&lt;&gt;"",EDATE($D98,Milestones!$AA$113)&gt;=$R98),$U98,$T98)))=Milestones!$AB$113),TEXT(EDATE($D98,Milestones!$AA$113),"dd/mm/yy")&amp;" "&amp;Milestones!$AB$113&amp;" "&amp;Milestones!$AC$113&amp;";  ","")&amp;IF(AND(EDATE($D98,Milestones!$AA$114)&lt;=AsOfDate,IF($Q98=0,$W98,IF(AND($S98&lt;&gt;"",EDATE($D98,Milestones!$AA$114)&gt;=$S98),$V98,IF(AND($R98&lt;&gt;"",EDATE($D98,Milestones!$AA$114)&gt;=$R98),$U98,$T98)))=Milestones!$AB$114),TEXT(EDATE($D98,Milestones!$AA$114),"dd/mm/yy")&amp;" "&amp;Milestones!$AB$114&amp;" "&amp;Milestones!$AC$114&amp;";  ","")&amp;IF(AND(EDATE($D98,Milestones!$AA$115)&lt;=AsOfDate,IF($Q98=0,$W98,IF(AND($S98&lt;&gt;"",EDATE($D98,Milestones!$AA$115)&gt;=$S98),$V98,IF(AND($R98&lt;&gt;"",EDATE($D98,Milestones!$AA$115)&gt;=$R98),$U98,$T98)))=Milestones!$AB$115),TEXT(EDATE($D98,Milestones!$AA$115),"dd/mm/yy")&amp;" "&amp;Milestones!$AB$115&amp;" "&amp;Milestones!$AC$115&amp;";  ","")&amp;IF(AND(EDATE($D98,Milestones!$AA$116)&lt;=AsOfDate,IF($Q98=0,$W98,IF(AND($S98&lt;&gt;"",EDATE($D98,Milestones!$AA$116)&gt;=$S98),$V98,IF(AND($R98&lt;&gt;"",EDATE($D98,Milestones!$AA$116)&gt;=$R98),$U98,$T98)))=Milestones!$AB$116),TEXT(EDATE($D98,Milestones!$AA$116),"dd/mm/yy")&amp;" "&amp;Milestones!$AB$116&amp;" "&amp;Milestones!$AC$116&amp;";  ","")&amp;IF(AND(EDATE($D98,Milestones!$AA$117)&lt;=AsOfDate,IF($Q98=0,$W98,IF(AND($S98&lt;&gt;"",EDATE($D98,Milestones!$AA$117)&gt;=$S98),$V98,IF(AND($R98&lt;&gt;"",EDATE($D98,Milestones!$AA$117)&gt;=$R98),$U98,$T98)))=Milestones!$AB$117),TEXT(EDATE($D98,Milestones!$AA$117),"dd/mm/yy")&amp;" "&amp;Milestones!$AB$117&amp;" "&amp;Milestones!$AC$117&amp;";  ","")&amp;IF(AND(EDATE($D98,Milestones!$AA$118)&lt;=AsOfDate,IF($Q98=0,$W98,IF(AND($S98&lt;&gt;"",EDATE($D98,Milestones!$AA$118)&gt;=$S98),$V98,IF(AND($R98&lt;&gt;"",EDATE($D98,Milestones!$AA$118)&gt;=$R98),$U98,$T98)))=Milestones!$AB$118),TEXT(EDATE($D98,Milestones!$AA$118),"dd/mm/yy")&amp;" "&amp;Milestones!$AB$118&amp;" "&amp;Milestones!$AC$118&amp;";  ","")&amp;IF(AND(EDATE($D98,Milestones!$AA$119)&lt;=AsOfDate,IF($Q98=0,$W98,IF(AND($S98&lt;&gt;"",EDATE($D98,Milestones!$AA$119)&gt;=$S98),$V98,IF(AND($R98&lt;&gt;"",EDATE($D98,Milestones!$AA$119)&gt;=$R98),$U98,$T98)))=Milestones!$AB$119),TEXT(EDATE($D98,Milestones!$AA$119),"dd/mm/yy")&amp;" "&amp;Milestones!$AB$119&amp;" "&amp;Milestones!$AC$119&amp;";  ",""))</f>
        <v/>
      </c>
      <c r="M98" s="0" t="str">
        <f aca="false">IF(OR($A98="",$D98=""),"",IF(AND(EDATE($D98,Milestones!$AA$120)&lt;=AsOfDate,IF($Q98=0,$W98,IF(AND($S98&lt;&gt;"",EDATE($D98,Milestones!$AA$120)&gt;=$S98),$V98,IF(AND($R98&lt;&gt;"",EDATE($D98,Milestones!$AA$120)&gt;=$R98),$U98,$T98)))=Milestones!$AB$120),TEXT(EDATE($D98,Milestones!$AA$120),"dd/mm/yy")&amp;" "&amp;Milestones!$AB$120&amp;" "&amp;Milestones!$AC$120&amp;";  ","")&amp;IF(AND(EDATE($D98,Milestones!$AA$121)&lt;=AsOfDate,IF($Q98=0,$W98,IF(AND($S98&lt;&gt;"",EDATE($D98,Milestones!$AA$121)&gt;=$S98),$V98,IF(AND($R98&lt;&gt;"",EDATE($D98,Milestones!$AA$121)&gt;=$R98),$U98,$T98)))=Milestones!$AB$121),TEXT(EDATE($D98,Milestones!$AA$121),"dd/mm/yy")&amp;" "&amp;Milestones!$AB$121&amp;" "&amp;Milestones!$AC$121&amp;";  ","")&amp;IF(AND(EDATE($D98,Milestones!$AA$122)&lt;=AsOfDate,IF($Q98=0,$W98,IF(AND($S98&lt;&gt;"",EDATE($D98,Milestones!$AA$122)&gt;=$S98),$V98,IF(AND($R98&lt;&gt;"",EDATE($D98,Milestones!$AA$122)&gt;=$R98),$U98,$T98)))=Milestones!$AB$122),TEXT(EDATE($D98,Milestones!$AA$122),"dd/mm/yy")&amp;" "&amp;Milestones!$AB$122&amp;" "&amp;Milestones!$AC$122&amp;";  ","")&amp;IF(AND(EDATE($D98,Milestones!$AA$123)&lt;=AsOfDate,IF($Q98=0,$W98,IF(AND($S98&lt;&gt;"",EDATE($D98,Milestones!$AA$123)&gt;=$S98),$V98,IF(AND($R98&lt;&gt;"",EDATE($D98,Milestones!$AA$123)&gt;=$R98),$U98,$T98)))=Milestones!$AB$123),TEXT(EDATE($D98,Milestones!$AA$123),"dd/mm/yy")&amp;" "&amp;Milestones!$AB$123&amp;" "&amp;Milestones!$AC$123&amp;";  ","")&amp;IF(AND(EDATE($D98,Milestones!$AA$124)&lt;=AsOfDate,IF($Q98=0,$W98,IF(AND($S98&lt;&gt;"",EDATE($D98,Milestones!$AA$124)&gt;=$S98),$V98,IF(AND($R98&lt;&gt;"",EDATE($D98,Milestones!$AA$124)&gt;=$R98),$U98,$T98)))=Milestones!$AB$124),TEXT(EDATE($D98,Milestones!$AA$124),"dd/mm/yy")&amp;" "&amp;Milestones!$AB$124&amp;" "&amp;Milestones!$AC$124&amp;";  ","")&amp;IF(AND(EDATE($D98,Milestones!$AA$125)&lt;=AsOfDate,IF($Q98=0,$W98,IF(AND($S98&lt;&gt;"",EDATE($D98,Milestones!$AA$125)&gt;=$S98),$V98,IF(AND($R98&lt;&gt;"",EDATE($D98,Milestones!$AA$125)&gt;=$R98),$U98,$T98)))=Milestones!$AB$125),TEXT(EDATE($D98,Milestones!$AA$125),"dd/mm/yy")&amp;" "&amp;Milestones!$AB$125&amp;" "&amp;Milestones!$AC$125&amp;";  ","")&amp;IF(AND(EDATE($D98,Milestones!$AA$126)&lt;=AsOfDate,IF($Q98=0,$W98,IF(AND($S98&lt;&gt;"",EDATE($D98,Milestones!$AA$126)&gt;=$S98),$V98,IF(AND($R98&lt;&gt;"",EDATE($D98,Milestones!$AA$126)&gt;=$R98),$U98,$T98)))=Milestones!$AB$126),TEXT(EDATE($D98,Milestones!$AA$126),"dd/mm/yy")&amp;" "&amp;Milestones!$AB$126&amp;" "&amp;Milestones!$AC$126&amp;";  ","")&amp;IF(AND(EDATE($D98,Milestones!$AA$127)&lt;=AsOfDate,IF($Q98=0,$W98,IF(AND($S98&lt;&gt;"",EDATE($D98,Milestones!$AA$127)&gt;=$S98),$V98,IF(AND($R98&lt;&gt;"",EDATE($D98,Milestones!$AA$127)&gt;=$R98),$U98,$T98)))=Milestones!$AB$127),TEXT(EDATE($D98,Milestones!$AA$127),"dd/mm/yy")&amp;" "&amp;Milestones!$AB$127&amp;" "&amp;Milestones!$AC$127&amp;";  ","")&amp;IF(AND(EDATE($D98,Milestones!$AA$128)&lt;=AsOfDate,IF($Q98=0,$W98,IF(AND($S98&lt;&gt;"",EDATE($D98,Milestones!$AA$128)&gt;=$S98),$V98,IF(AND($R98&lt;&gt;"",EDATE($D98,Milestones!$AA$128)&gt;=$R98),$U98,$T98)))=Milestones!$AB$128),TEXT(EDATE($D98,Milestones!$AA$128),"dd/mm/yy")&amp;" "&amp;Milestones!$AB$128&amp;" "&amp;Milestones!$AC$128&amp;";  ","")&amp;IF(AND(EDATE($D98,Milestones!$AA$129)&lt;=AsOfDate,IF($Q98=0,$W98,IF(AND($S98&lt;&gt;"",EDATE($D98,Milestones!$AA$129)&gt;=$S98),$V98,IF(AND($R98&lt;&gt;"",EDATE($D98,Milestones!$AA$129)&gt;=$R98),$U98,$T98)))=Milestones!$AB$129),TEXT(EDATE($D98,Milestones!$AA$129),"dd/mm/yy")&amp;" "&amp;Milestones!$AB$129&amp;" "&amp;Milestones!$AC$129&amp;";  ","")&amp;IF(AND(EDATE($D98,Milestones!$AA$130)&lt;=AsOfDate,IF($Q98=0,$W98,IF(AND($S98&lt;&gt;"",EDATE($D98,Milestones!$AA$130)&gt;=$S98),$V98,IF(AND($R98&lt;&gt;"",EDATE($D98,Milestones!$AA$130)&gt;=$R98),$U98,$T98)))=Milestones!$AB$130),TEXT(EDATE($D98,Milestones!$AA$130),"dd/mm/yy")&amp;" "&amp;Milestones!$AB$130&amp;" "&amp;Milestones!$AC$130&amp;";  ","")&amp;IF(AND(EDATE($D98,Milestones!$AA$131)&lt;=AsOfDate,IF($Q98=0,$W98,IF(AND($S98&lt;&gt;"",EDATE($D98,Milestones!$AA$131)&gt;=$S98),$V98,IF(AND($R98&lt;&gt;"",EDATE($D98,Milestones!$AA$131)&gt;=$R98),$U98,$T98)))=Milestones!$AB$131),TEXT(EDATE($D98,Milestones!$AA$131),"dd/mm/yy")&amp;" "&amp;Milestones!$AB$131&amp;" "&amp;Milestones!$AC$131&amp;";  ","")&amp;IF(AND(EDATE($D98,Milestones!$AA$132)&lt;=AsOfDate,IF($Q98=0,$W98,IF(AND($S98&lt;&gt;"",EDATE($D98,Milestones!$AA$132)&gt;=$S98),$V98,IF(AND($R98&lt;&gt;"",EDATE($D98,Milestones!$AA$132)&gt;=$R98),$U98,$T98)))=Milestones!$AB$132),TEXT(EDATE($D98,Milestones!$AA$132),"dd/mm/yy")&amp;" "&amp;Milestones!$AB$132&amp;" "&amp;Milestones!$AC$132&amp;";  ","")&amp;IF(AND(EDATE($D98,Milestones!$AA$133)&lt;=AsOfDate,IF($Q98=0,$W98,IF(AND($S98&lt;&gt;"",EDATE($D98,Milestones!$AA$133)&gt;=$S98),$V98,IF(AND($R98&lt;&gt;"",EDATE($D98,Milestones!$AA$133)&gt;=$R98),$U98,$T98)))=Milestones!$AB$133),TEXT(EDATE($D98,Milestones!$AA$133),"dd/mm/yy")&amp;" "&amp;Milestones!$AB$133&amp;" "&amp;Milestones!$AC$133&amp;";  ","")&amp;IF(AND(EDATE($D98,Milestones!$AA$134)&lt;=AsOfDate,IF($Q98=0,$W98,IF(AND($S98&lt;&gt;"",EDATE($D98,Milestones!$AA$134)&gt;=$S98),$V98,IF(AND($R98&lt;&gt;"",EDATE($D98,Milestones!$AA$134)&gt;=$R98),$U98,$T98)))=Milestones!$AB$134),TEXT(EDATE($D98,Milestones!$AA$134),"dd/mm/yy")&amp;" "&amp;Milestones!$AB$134&amp;" "&amp;Milestones!$AC$134&amp;";  ","")&amp;IF(AND(EDATE($D98,Milestones!$AA$135)&lt;=AsOfDate,IF($Q98=0,$W98,IF(AND($S98&lt;&gt;"",EDATE($D98,Milestones!$AA$135)&gt;=$S98),$V98,IF(AND($R98&lt;&gt;"",EDATE($D98,Milestones!$AA$135)&gt;=$R98),$U98,$T98)))=Milestones!$AB$135),TEXT(EDATE($D98,Milestones!$AA$135),"dd/mm/yy")&amp;" "&amp;Milestones!$AB$135&amp;" "&amp;Milestones!$AC$135&amp;";  ","")&amp;IF(AND(EDATE($D98,Milestones!$AA$136)&lt;=AsOfDate,IF($Q98=0,$W98,IF(AND($S98&lt;&gt;"",EDATE($D98,Milestones!$AA$136)&gt;=$S98),$V98,IF(AND($R98&lt;&gt;"",EDATE($D98,Milestones!$AA$136)&gt;=$R98),$U98,$T98)))=Milestones!$AB$136),TEXT(EDATE($D98,Milestones!$AA$136),"dd/mm/yy")&amp;" "&amp;Milestones!$AB$136&amp;" "&amp;Milestones!$AC$136&amp;";  ","")&amp;IF(AND(EDATE($D98,Milestones!$AA$137)&lt;=AsOfDate,IF($Q98=0,$W98,IF(AND($S98&lt;&gt;"",EDATE($D98,Milestones!$AA$137)&gt;=$S98),$V98,IF(AND($R98&lt;&gt;"",EDATE($D98,Milestones!$AA$137)&gt;=$R98),$U98,$T98)))=Milestones!$AB$137),TEXT(EDATE($D98,Milestones!$AA$137),"dd/mm/yy")&amp;" "&amp;Milestones!$AB$137&amp;" "&amp;Milestones!$AC$137&amp;";  ","")&amp;IF(AND(EDATE($D98,Milestones!$AA$138)&lt;=AsOfDate,IF($Q98=0,$W98,IF(AND($S98&lt;&gt;"",EDATE($D98,Milestones!$AA$138)&gt;=$S98),$V98,IF(AND($R98&lt;&gt;"",EDATE($D98,Milestones!$AA$138)&gt;=$R98),$U98,$T98)))=Milestones!$AB$138),TEXT(EDATE($D98,Milestones!$AA$138),"dd/mm/yy")&amp;" "&amp;Milestones!$AB$138&amp;" "&amp;Milestones!$AC$138&amp;";  ","")&amp;IF(AND(EDATE($D98,Milestones!$AA$139)&lt;=AsOfDate,IF($Q98=0,$W98,IF(AND($S98&lt;&gt;"",EDATE($D98,Milestones!$AA$139)&gt;=$S98),$V98,IF(AND($R98&lt;&gt;"",EDATE($D98,Milestones!$AA$139)&gt;=$R98),$U98,$T98)))=Milestones!$AB$139),TEXT(EDATE($D98,Milestones!$AA$139),"dd/mm/yy")&amp;" "&amp;Milestones!$AB$139&amp;" "&amp;Milestones!$AC$139&amp;";  ",""))</f>
        <v/>
      </c>
      <c r="N98" s="0" t="str">
        <f aca="false">IF(OR($A98="",$D98=""),"",IF(AND(EDATE($D98,Milestones!$AA$140)&lt;=AsOfDate,IF($Q98=0,$W98,IF(AND($S98&lt;&gt;"",EDATE($D98,Milestones!$AA$140)&gt;=$S98),$V98,IF(AND($R98&lt;&gt;"",EDATE($D98,Milestones!$AA$140)&gt;=$R98),$U98,$T98)))=Milestones!$AB$140),TEXT(EDATE($D98,Milestones!$AA$140),"dd/mm/yy")&amp;" "&amp;Milestones!$AB$140&amp;" "&amp;Milestones!$AC$140&amp;";  ","")&amp;IF(AND(EDATE($D98,Milestones!$AA$141)&lt;=AsOfDate,IF($Q98=0,$W98,IF(AND($S98&lt;&gt;"",EDATE($D98,Milestones!$AA$141)&gt;=$S98),$V98,IF(AND($R98&lt;&gt;"",EDATE($D98,Milestones!$AA$141)&gt;=$R98),$U98,$T98)))=Milestones!$AB$141),TEXT(EDATE($D98,Milestones!$AA$141),"dd/mm/yy")&amp;" "&amp;Milestones!$AB$141&amp;" "&amp;Milestones!$AC$141&amp;";  ","")&amp;IF(AND(EDATE($D98,Milestones!$AA$142)&lt;=AsOfDate,IF($Q98=0,$W98,IF(AND($S98&lt;&gt;"",EDATE($D98,Milestones!$AA$142)&gt;=$S98),$V98,IF(AND($R98&lt;&gt;"",EDATE($D98,Milestones!$AA$142)&gt;=$R98),$U98,$T98)))=Milestones!$AB$142),TEXT(EDATE($D98,Milestones!$AA$142),"dd/mm/yy")&amp;" "&amp;Milestones!$AB$142&amp;" "&amp;Milestones!$AC$142&amp;";  ","")&amp;IF(AND(EDATE($D98,Milestones!$AA$143)&lt;=AsOfDate,IF($Q98=0,$W98,IF(AND($S98&lt;&gt;"",EDATE($D98,Milestones!$AA$143)&gt;=$S98),$V98,IF(AND($R98&lt;&gt;"",EDATE($D98,Milestones!$AA$143)&gt;=$R98),$U98,$T98)))=Milestones!$AB$143),TEXT(EDATE($D98,Milestones!$AA$143),"dd/mm/yy")&amp;" "&amp;Milestones!$AB$143&amp;" "&amp;Milestones!$AC$143&amp;";  ","")&amp;IF(AND(EDATE($D98,Milestones!$AA$144)&lt;=AsOfDate,IF($Q98=0,$W98,IF(AND($S98&lt;&gt;"",EDATE($D98,Milestones!$AA$144)&gt;=$S98),$V98,IF(AND($R98&lt;&gt;"",EDATE($D98,Milestones!$AA$144)&gt;=$R98),$U98,$T98)))=Milestones!$AB$144),TEXT(EDATE($D98,Milestones!$AA$144),"dd/mm/yy")&amp;" "&amp;Milestones!$AB$144&amp;" "&amp;Milestones!$AC$144&amp;";  ","")&amp;IF(AND(EDATE($D98,Milestones!$AA$145)&lt;=AsOfDate,IF($Q98=0,$W98,IF(AND($S98&lt;&gt;"",EDATE($D98,Milestones!$AA$145)&gt;=$S98),$V98,IF(AND($R98&lt;&gt;"",EDATE($D98,Milestones!$AA$145)&gt;=$R98),$U98,$T98)))=Milestones!$AB$145),TEXT(EDATE($D98,Milestones!$AA$145),"dd/mm/yy")&amp;" "&amp;Milestones!$AB$145&amp;" "&amp;Milestones!$AC$145&amp;";  ","")&amp;IF(AND(EDATE($D98,Milestones!$AA$146)&lt;=AsOfDate,IF($Q98=0,$W98,IF(AND($S98&lt;&gt;"",EDATE($D98,Milestones!$AA$146)&gt;=$S98),$V98,IF(AND($R98&lt;&gt;"",EDATE($D98,Milestones!$AA$146)&gt;=$R98),$U98,$T98)))=Milestones!$AB$146),TEXT(EDATE($D98,Milestones!$AA$146),"dd/mm/yy")&amp;" "&amp;Milestones!$AB$146&amp;" "&amp;Milestones!$AC$146&amp;";  ","")&amp;IF(AND(EDATE($D98,Milestones!$AA$147)&lt;=AsOfDate,IF($Q98=0,$W98,IF(AND($S98&lt;&gt;"",EDATE($D98,Milestones!$AA$147)&gt;=$S98),$V98,IF(AND($R98&lt;&gt;"",EDATE($D98,Milestones!$AA$147)&gt;=$R98),$U98,$T98)))=Milestones!$AB$147),TEXT(EDATE($D98,Milestones!$AA$147),"dd/mm/yy")&amp;" "&amp;Milestones!$AB$147&amp;" "&amp;Milestones!$AC$147&amp;";  ","")&amp;IF(AND(EDATE($D98,Milestones!$AA$148)&lt;=AsOfDate,IF($Q98=0,$W98,IF(AND($S98&lt;&gt;"",EDATE($D98,Milestones!$AA$148)&gt;=$S98),$V98,IF(AND($R98&lt;&gt;"",EDATE($D98,Milestones!$AA$148)&gt;=$R98),$U98,$T98)))=Milestones!$AB$148),TEXT(EDATE($D98,Milestones!$AA$148),"dd/mm/yy")&amp;" "&amp;Milestones!$AB$148&amp;" "&amp;Milestones!$AC$148&amp;";  ","")&amp;IF(AND(EDATE($D98,Milestones!$AA$149)&lt;=AsOfDate,IF($Q98=0,$W98,IF(AND($S98&lt;&gt;"",EDATE($D98,Milestones!$AA$149)&gt;=$S98),$V98,IF(AND($R98&lt;&gt;"",EDATE($D98,Milestones!$AA$149)&gt;=$R98),$U98,$T98)))=Milestones!$AB$149),TEXT(EDATE($D98,Milestones!$AA$149),"dd/mm/yy")&amp;" "&amp;Milestones!$AB$149&amp;" "&amp;Milestones!$AC$149&amp;";  ","")&amp;IF(AND(EDATE($D98,Milestones!$AA$150)&lt;=AsOfDate,IF($Q98=0,$W98,IF(AND($S98&lt;&gt;"",EDATE($D98,Milestones!$AA$150)&gt;=$S98),$V98,IF(AND($R98&lt;&gt;"",EDATE($D98,Milestones!$AA$150)&gt;=$R98),$U98,$T98)))=Milestones!$AB$150),TEXT(EDATE($D98,Milestones!$AA$150),"dd/mm/yy")&amp;" "&amp;Milestones!$AB$150&amp;" "&amp;Milestones!$AC$150&amp;";  ","")&amp;IF(AND(EDATE($D98,Milestones!$AA$151)&lt;=AsOfDate,IF($Q98=0,$W98,IF(AND($S98&lt;&gt;"",EDATE($D98,Milestones!$AA$151)&gt;=$S98),$V98,IF(AND($R98&lt;&gt;"",EDATE($D98,Milestones!$AA$151)&gt;=$R98),$U98,$T98)))=Milestones!$AB$151),TEXT(EDATE($D98,Milestones!$AA$151),"dd/mm/yy")&amp;" "&amp;Milestones!$AB$151&amp;" "&amp;Milestones!$AC$151&amp;";  ","")&amp;IF(AND(EDATE($D98,Milestones!$AA$152)&lt;=AsOfDate,IF($Q98=0,$W98,IF(AND($S98&lt;&gt;"",EDATE($D98,Milestones!$AA$152)&gt;=$S98),$V98,IF(AND($R98&lt;&gt;"",EDATE($D98,Milestones!$AA$152)&gt;=$R98),$U98,$T98)))=Milestones!$AB$152),TEXT(EDATE($D98,Milestones!$AA$152),"dd/mm/yy")&amp;" "&amp;Milestones!$AB$152&amp;" "&amp;Milestones!$AC$152&amp;";  ","")&amp;IF(AND(EDATE($D98,Milestones!$AA$153)&lt;=AsOfDate,IF($Q98=0,$W98,IF(AND($S98&lt;&gt;"",EDATE($D98,Milestones!$AA$153)&gt;=$S98),$V98,IF(AND($R98&lt;&gt;"",EDATE($D98,Milestones!$AA$153)&gt;=$R98),$U98,$T98)))=Milestones!$AB$153),TEXT(EDATE($D98,Milestones!$AA$153),"dd/mm/yy")&amp;" "&amp;Milestones!$AB$153&amp;" "&amp;Milestones!$AC$153&amp;";  ","")&amp;IF(AND(EDATE($D98,Milestones!$AA$154)&lt;=AsOfDate,IF($Q98=0,$W98,IF(AND($S98&lt;&gt;"",EDATE($D98,Milestones!$AA$154)&gt;=$S98),$V98,IF(AND($R98&lt;&gt;"",EDATE($D98,Milestones!$AA$154)&gt;=$R98),$U98,$T98)))=Milestones!$AB$154),TEXT(EDATE($D98,Milestones!$AA$154),"dd/mm/yy")&amp;" "&amp;Milestones!$AB$154&amp;" "&amp;Milestones!$AC$154&amp;";  ","")&amp;IF(AND(EDATE($D98,Milestones!$AA$155)&lt;=AsOfDate,IF($Q98=0,$W98,IF(AND($S98&lt;&gt;"",EDATE($D98,Milestones!$AA$155)&gt;=$S98),$V98,IF(AND($R98&lt;&gt;"",EDATE($D98,Milestones!$AA$155)&gt;=$R98),$U98,$T98)))=Milestones!$AB$155),TEXT(EDATE($D98,Milestones!$AA$155),"dd/mm/yy")&amp;" "&amp;Milestones!$AB$155&amp;" "&amp;Milestones!$AC$155&amp;";  ","")&amp;IF(AND(EDATE($D98,Milestones!$AA$156)&lt;=AsOfDate,IF($Q98=0,$W98,IF(AND($S98&lt;&gt;"",EDATE($D98,Milestones!$AA$156)&gt;=$S98),$V98,IF(AND($R98&lt;&gt;"",EDATE($D98,Milestones!$AA$156)&gt;=$R98),$U98,$T98)))=Milestones!$AB$156),TEXT(EDATE($D98,Milestones!$AA$156),"dd/mm/yy")&amp;" "&amp;Milestones!$AB$156&amp;" "&amp;Milestones!$AC$156&amp;";  ","")&amp;IF(AND(EDATE($D98,Milestones!$AA$157)&lt;=AsOfDate,IF($Q98=0,$W98,IF(AND($S98&lt;&gt;"",EDATE($D98,Milestones!$AA$157)&gt;=$S98),$V98,IF(AND($R98&lt;&gt;"",EDATE($D98,Milestones!$AA$157)&gt;=$R98),$U98,$T98)))=Milestones!$AB$157),TEXT(EDATE($D98,Milestones!$AA$157),"dd/mm/yy")&amp;" "&amp;Milestones!$AB$157&amp;" "&amp;Milestones!$AC$157&amp;";  ","")&amp;IF(AND(EDATE($D98,Milestones!$AA$158)&lt;=AsOfDate,IF($Q98=0,$W98,IF(AND($S98&lt;&gt;"",EDATE($D98,Milestones!$AA$158)&gt;=$S98),$V98,IF(AND($R98&lt;&gt;"",EDATE($D98,Milestones!$AA$158)&gt;=$R98),$U98,$T98)))=Milestones!$AB$158),TEXT(EDATE($D98,Milestones!$AA$158),"dd/mm/yy")&amp;" "&amp;Milestones!$AB$158&amp;" "&amp;Milestones!$AC$158&amp;";  ","")&amp;IF(AND(EDATE($D98,Milestones!$AA$159)&lt;=AsOfDate,IF($Q98=0,$W98,IF(AND($S98&lt;&gt;"",EDATE($D98,Milestones!$AA$159)&gt;=$S98),$V98,IF(AND($R98&lt;&gt;"",EDATE($D98,Milestones!$AA$159)&gt;=$R98),$U98,$T98)))=Milestones!$AB$159),TEXT(EDATE($D98,Milestones!$AA$159),"dd/mm/yy")&amp;" "&amp;Milestones!$AB$159&amp;" "&amp;Milestones!$AC$159&amp;";  ",""))</f>
        <v/>
      </c>
      <c r="O98" s="0" t="str">
        <f aca="false">IF(OR($A98="",$D98=""),"",IF(AND(EDATE($D98,Milestones!$AA$160)&lt;=AsOfDate,IF($Q98=0,$W98,IF(AND($S98&lt;&gt;"",EDATE($D98,Milestones!$AA$160)&gt;=$S98),$V98,IF(AND($R98&lt;&gt;"",EDATE($D98,Milestones!$AA$160)&gt;=$R98),$U98,$T98)))=Milestones!$AB$160),TEXT(EDATE($D98,Milestones!$AA$160),"dd/mm/yy")&amp;" "&amp;Milestones!$AB$160&amp;" "&amp;Milestones!$AC$160&amp;";  ","")&amp;IF(AND(EDATE($D98,Milestones!$AA$161)&lt;=AsOfDate,IF($Q98=0,$W98,IF(AND($S98&lt;&gt;"",EDATE($D98,Milestones!$AA$161)&gt;=$S98),$V98,IF(AND($R98&lt;&gt;"",EDATE($D98,Milestones!$AA$161)&gt;=$R98),$U98,$T98)))=Milestones!$AB$161),TEXT(EDATE($D98,Milestones!$AA$161),"dd/mm/yy")&amp;" "&amp;Milestones!$AB$161&amp;" "&amp;Milestones!$AC$161&amp;";  ","")&amp;IF(AND(EDATE($D98,Milestones!$AA$162)&lt;=AsOfDate,IF($Q98=0,$W98,IF(AND($S98&lt;&gt;"",EDATE($D98,Milestones!$AA$162)&gt;=$S98),$V98,IF(AND($R98&lt;&gt;"",EDATE($D98,Milestones!$AA$162)&gt;=$R98),$U98,$T98)))=Milestones!$AB$162),TEXT(EDATE($D98,Milestones!$AA$162),"dd/mm/yy")&amp;" "&amp;Milestones!$AB$162&amp;" "&amp;Milestones!$AC$162&amp;";  ","")&amp;IF(AND(EDATE($D98,Milestones!$AA$163)&lt;=AsOfDate,IF($Q98=0,$W98,IF(AND($S98&lt;&gt;"",EDATE($D98,Milestones!$AA$163)&gt;=$S98),$V98,IF(AND($R98&lt;&gt;"",EDATE($D98,Milestones!$AA$163)&gt;=$R98),$U98,$T98)))=Milestones!$AB$163),TEXT(EDATE($D98,Milestones!$AA$163),"dd/mm/yy")&amp;" "&amp;Milestones!$AB$163&amp;" "&amp;Milestones!$AC$163&amp;";  ","")&amp;IF(AND(EDATE($D98,Milestones!$AA$164)&lt;=AsOfDate,IF($Q98=0,$W98,IF(AND($S98&lt;&gt;"",EDATE($D98,Milestones!$AA$164)&gt;=$S98),$V98,IF(AND($R98&lt;&gt;"",EDATE($D98,Milestones!$AA$164)&gt;=$R98),$U98,$T98)))=Milestones!$AB$164),TEXT(EDATE($D98,Milestones!$AA$164),"dd/mm/yy")&amp;" "&amp;Milestones!$AB$164&amp;" "&amp;Milestones!$AC$164&amp;";  ","")&amp;IF(AND(EDATE($D98,Milestones!$AA$165)&lt;=AsOfDate,IF($Q98=0,$W98,IF(AND($S98&lt;&gt;"",EDATE($D98,Milestones!$AA$165)&gt;=$S98),$V98,IF(AND($R98&lt;&gt;"",EDATE($D98,Milestones!$AA$165)&gt;=$R98),$U98,$T98)))=Milestones!$AB$165),TEXT(EDATE($D98,Milestones!$AA$165),"dd/mm/yy")&amp;" "&amp;Milestones!$AB$165&amp;" "&amp;Milestones!$AC$165&amp;";  ","")&amp;IF(AND(EDATE($D98,Milestones!$AA$166)&lt;=AsOfDate,IF($Q98=0,$W98,IF(AND($S98&lt;&gt;"",EDATE($D98,Milestones!$AA$166)&gt;=$S98),$V98,IF(AND($R98&lt;&gt;"",EDATE($D98,Milestones!$AA$166)&gt;=$R98),$U98,$T98)))=Milestones!$AB$166),TEXT(EDATE($D98,Milestones!$AA$166),"dd/mm/yy")&amp;" "&amp;Milestones!$AB$166&amp;" "&amp;Milestones!$AC$166&amp;";  ","")&amp;IF(AND(EDATE($D98,Milestones!$AA$167)&lt;=AsOfDate,IF($Q98=0,$W98,IF(AND($S98&lt;&gt;"",EDATE($D98,Milestones!$AA$167)&gt;=$S98),$V98,IF(AND($R98&lt;&gt;"",EDATE($D98,Milestones!$AA$167)&gt;=$R98),$U98,$T98)))=Milestones!$AB$167),TEXT(EDATE($D98,Milestones!$AA$167),"dd/mm/yy")&amp;" "&amp;Milestones!$AB$167&amp;" "&amp;Milestones!$AC$167&amp;";  ","")&amp;IF(AND(EDATE($D98,Milestones!$AA$168)&lt;=AsOfDate,IF($Q98=0,$W98,IF(AND($S98&lt;&gt;"",EDATE($D98,Milestones!$AA$168)&gt;=$S98),$V98,IF(AND($R98&lt;&gt;"",EDATE($D98,Milestones!$AA$168)&gt;=$R98),$U98,$T98)))=Milestones!$AB$168),TEXT(EDATE($D98,Milestones!$AA$168),"dd/mm/yy")&amp;" "&amp;Milestones!$AB$168&amp;" "&amp;Milestones!$AC$168&amp;";  ","")&amp;IF(AND(EDATE($D98,Milestones!$AA$169)&lt;=AsOfDate,IF($Q98=0,$W98,IF(AND($S98&lt;&gt;"",EDATE($D98,Milestones!$AA$169)&gt;=$S98),$V98,IF(AND($R98&lt;&gt;"",EDATE($D98,Milestones!$AA$169)&gt;=$R98),$U98,$T98)))=Milestones!$AB$169),TEXT(EDATE($D98,Milestones!$AA$169),"dd/mm/yy")&amp;" "&amp;Milestones!$AB$169&amp;" "&amp;Milestones!$AC$169&amp;";  ","")&amp;IF(AND(EDATE($D98,Milestones!$AA$170)&lt;=AsOfDate,IF($Q98=0,$W98,IF(AND($S98&lt;&gt;"",EDATE($D98,Milestones!$AA$170)&gt;=$S98),$V98,IF(AND($R98&lt;&gt;"",EDATE($D98,Milestones!$AA$170)&gt;=$R98),$U98,$T98)))=Milestones!$AB$170),TEXT(EDATE($D98,Milestones!$AA$170),"dd/mm/yy")&amp;" "&amp;Milestones!$AB$170&amp;" "&amp;Milestones!$AC$170&amp;";  ","")&amp;IF(AND(EDATE($D98,Milestones!$AA$171)&lt;=AsOfDate,IF($Q98=0,$W98,IF(AND($S98&lt;&gt;"",EDATE($D98,Milestones!$AA$171)&gt;=$S98),$V98,IF(AND($R98&lt;&gt;"",EDATE($D98,Milestones!$AA$171)&gt;=$R98),$U98,$T98)))=Milestones!$AB$171),TEXT(EDATE($D98,Milestones!$AA$171),"dd/mm/yy")&amp;" "&amp;Milestones!$AB$171&amp;" "&amp;Milestones!$AC$171&amp;";  ","")&amp;IF(AND(EDATE($D98,Milestones!$AA$172)&lt;=AsOfDate,IF($Q98=0,$W98,IF(AND($S98&lt;&gt;"",EDATE($D98,Milestones!$AA$172)&gt;=$S98),$V98,IF(AND($R98&lt;&gt;"",EDATE($D98,Milestones!$AA$172)&gt;=$R98),$U98,$T98)))=Milestones!$AB$172),TEXT(EDATE($D98,Milestones!$AA$172),"dd/mm/yy")&amp;" "&amp;Milestones!$AB$172&amp;" "&amp;Milestones!$AC$172&amp;";  ","")&amp;IF(AND(EDATE($D98,Milestones!$AA$173)&lt;=AsOfDate,IF($Q98=0,$W98,IF(AND($S98&lt;&gt;"",EDATE($D98,Milestones!$AA$173)&gt;=$S98),$V98,IF(AND($R98&lt;&gt;"",EDATE($D98,Milestones!$AA$173)&gt;=$R98),$U98,$T98)))=Milestones!$AB$173),TEXT(EDATE($D98,Milestones!$AA$173),"dd/mm/yy")&amp;" "&amp;Milestones!$AB$173&amp;" "&amp;Milestones!$AC$173&amp;";  ","")&amp;IF(AND(EDATE($D98,Milestones!$AA$174)&lt;=AsOfDate,IF($Q98=0,$W98,IF(AND($S98&lt;&gt;"",EDATE($D98,Milestones!$AA$174)&gt;=$S98),$V98,IF(AND($R98&lt;&gt;"",EDATE($D98,Milestones!$AA$174)&gt;=$R98),$U98,$T98)))=Milestones!$AB$174),TEXT(EDATE($D98,Milestones!$AA$174),"dd/mm/yy")&amp;" "&amp;Milestones!$AB$174&amp;" "&amp;Milestones!$AC$174&amp;";  ","")&amp;IF(AND(EDATE($D98,Milestones!$AA$175)&lt;=AsOfDate,IF($Q98=0,$W98,IF(AND($S98&lt;&gt;"",EDATE($D98,Milestones!$AA$175)&gt;=$S98),$V98,IF(AND($R98&lt;&gt;"",EDATE($D98,Milestones!$AA$175)&gt;=$R98),$U98,$T98)))=Milestones!$AB$175),TEXT(EDATE($D98,Milestones!$AA$175),"dd/mm/yy")&amp;" "&amp;Milestones!$AB$175&amp;" "&amp;Milestones!$AC$175&amp;";  ","")&amp;IF(AND(EDATE($D98,Milestones!$AA$176)&lt;=AsOfDate,IF($Q98=0,$W98,IF(AND($S98&lt;&gt;"",EDATE($D98,Milestones!$AA$176)&gt;=$S98),$V98,IF(AND($R98&lt;&gt;"",EDATE($D98,Milestones!$AA$176)&gt;=$R98),$U98,$T98)))=Milestones!$AB$176),TEXT(EDATE($D98,Milestones!$AA$176),"dd/mm/yy")&amp;" "&amp;Milestones!$AB$176&amp;" "&amp;Milestones!$AC$176&amp;";  ","")&amp;IF(AND(EDATE($D98,Milestones!$AA$177)&lt;=AsOfDate,IF($Q98=0,$W98,IF(AND($S98&lt;&gt;"",EDATE($D98,Milestones!$AA$177)&gt;=$S98),$V98,IF(AND($R98&lt;&gt;"",EDATE($D98,Milestones!$AA$177)&gt;=$R98),$U98,$T98)))=Milestones!$AB$177),TEXT(EDATE($D98,Milestones!$AA$177),"dd/mm/yy")&amp;" "&amp;Milestones!$AB$177&amp;" "&amp;Milestones!$AC$177&amp;";  ","")&amp;IF(AND(EDATE($D98,Milestones!$AA$178)&lt;=AsOfDate,IF($Q98=0,$W98,IF(AND($S98&lt;&gt;"",EDATE($D98,Milestones!$AA$178)&gt;=$S98),$V98,IF(AND($R98&lt;&gt;"",EDATE($D98,Milestones!$AA$178)&gt;=$R98),$U98,$T98)))=Milestones!$AB$178),TEXT(EDATE($D98,Milestones!$AA$178),"dd/mm/yy")&amp;" "&amp;Milestones!$AB$178&amp;" "&amp;Milestones!$AC$178&amp;";  ","")&amp;IF(AND(EDATE($D98,Milestones!$AA$179)&lt;=AsOfDate,IF($Q98=0,$W98,IF(AND($S98&lt;&gt;"",EDATE($D98,Milestones!$AA$179)&gt;=$S98),$V98,IF(AND($R98&lt;&gt;"",EDATE($D98,Milestones!$AA$179)&gt;=$R98),$U98,$T98)))=Milestones!$AB$179),TEXT(EDATE($D98,Milestones!$AA$179),"dd/mm/yy")&amp;" "&amp;Milestones!$AB$179&amp;" "&amp;Milestones!$AC$179&amp;";  ",""))</f>
        <v/>
      </c>
      <c r="P98" s="0" t="str">
        <f aca="false">IF(OR($A98="",$D98=""),"",IF(AND(EDATE($D98,Milestones!$AA$180)&lt;=AsOfDate,IF($Q98=0,$W98,IF(AND($S98&lt;&gt;"",EDATE($D98,Milestones!$AA$180)&gt;=$S98),$V98,IF(AND($R98&lt;&gt;"",EDATE($D98,Milestones!$AA$180)&gt;=$R98),$U98,$T98)))=Milestones!$AB$180),TEXT(EDATE($D98,Milestones!$AA$180),"dd/mm/yy")&amp;" "&amp;Milestones!$AB$180&amp;" "&amp;Milestones!$AC$180&amp;";  ","")&amp;IF(AND(EDATE($D98,Milestones!$AA$181)&lt;=AsOfDate,IF($Q98=0,$W98,IF(AND($S98&lt;&gt;"",EDATE($D98,Milestones!$AA$181)&gt;=$S98),$V98,IF(AND($R98&lt;&gt;"",EDATE($D98,Milestones!$AA$181)&gt;=$R98),$U98,$T98)))=Milestones!$AB$181),TEXT(EDATE($D98,Milestones!$AA$181),"dd/mm/yy")&amp;" "&amp;Milestones!$AB$181&amp;" "&amp;Milestones!$AC$181&amp;";  ","")&amp;IF(AND(EDATE($D98,Milestones!$AA$182)&lt;=AsOfDate,IF($Q98=0,$W98,IF(AND($S98&lt;&gt;"",EDATE($D98,Milestones!$AA$182)&gt;=$S98),$V98,IF(AND($R98&lt;&gt;"",EDATE($D98,Milestones!$AA$182)&gt;=$R98),$U98,$T98)))=Milestones!$AB$182),TEXT(EDATE($D98,Milestones!$AA$182),"dd/mm/yy")&amp;" "&amp;Milestones!$AB$182&amp;" "&amp;Milestones!$AC$182&amp;";  ","")&amp;IF(AND(EDATE($D98,Milestones!$AA$183)&lt;=AsOfDate,IF($Q98=0,$W98,IF(AND($S98&lt;&gt;"",EDATE($D98,Milestones!$AA$183)&gt;=$S98),$V98,IF(AND($R98&lt;&gt;"",EDATE($D98,Milestones!$AA$183)&gt;=$R98),$U98,$T98)))=Milestones!$AB$183),TEXT(EDATE($D98,Milestones!$AA$183),"dd/mm/yy")&amp;" "&amp;Milestones!$AB$183&amp;" "&amp;Milestones!$AC$183&amp;";  ","")&amp;IF(AND(EDATE($D98,Milestones!$AA$184)&lt;=AsOfDate,IF($Q98=0,$W98,IF(AND($S98&lt;&gt;"",EDATE($D98,Milestones!$AA$184)&gt;=$S98),$V98,IF(AND($R98&lt;&gt;"",EDATE($D98,Milestones!$AA$184)&gt;=$R98),$U98,$T98)))=Milestones!$AB$184),TEXT(EDATE($D98,Milestones!$AA$184),"dd/mm/yy")&amp;" "&amp;Milestones!$AB$184&amp;" "&amp;Milestones!$AC$184&amp;";  ","")&amp;IF(AND(EDATE($D98,Milestones!$AA$185)&lt;=AsOfDate,IF($Q98=0,$W98,IF(AND($S98&lt;&gt;"",EDATE($D98,Milestones!$AA$185)&gt;=$S98),$V98,IF(AND($R98&lt;&gt;"",EDATE($D98,Milestones!$AA$185)&gt;=$R98),$U98,$T98)))=Milestones!$AB$185),TEXT(EDATE($D98,Milestones!$AA$185),"dd/mm/yy")&amp;" "&amp;Milestones!$AB$185&amp;" "&amp;Milestones!$AC$185&amp;";  ","")&amp;IF(AND(EDATE($D98,Milestones!$AA$186)&lt;=AsOfDate,IF($Q98=0,$W98,IF(AND($S98&lt;&gt;"",EDATE($D98,Milestones!$AA$186)&gt;=$S98),$V98,IF(AND($R98&lt;&gt;"",EDATE($D98,Milestones!$AA$186)&gt;=$R98),$U98,$T98)))=Milestones!$AB$186),TEXT(EDATE($D98,Milestones!$AA$186),"dd/mm/yy")&amp;" "&amp;Milestones!$AB$186&amp;" "&amp;Milestones!$AC$186&amp;";  ","")&amp;IF(AND(EDATE($D98,Milestones!$AA$187)&lt;=AsOfDate,IF($Q98=0,$W98,IF(AND($S98&lt;&gt;"",EDATE($D98,Milestones!$AA$187)&gt;=$S98),$V98,IF(AND($R98&lt;&gt;"",EDATE($D98,Milestones!$AA$187)&gt;=$R98),$U98,$T98)))=Milestones!$AB$187),TEXT(EDATE($D98,Milestones!$AA$187),"dd/mm/yy")&amp;" "&amp;Milestones!$AB$187&amp;" "&amp;Milestones!$AC$187&amp;";  ","")&amp;IF(AND(EDATE($D98,Milestones!$AA$188)&lt;=AsOfDate,IF($Q98=0,$W98,IF(AND($S98&lt;&gt;"",EDATE($D98,Milestones!$AA$188)&gt;=$S98),$V98,IF(AND($R98&lt;&gt;"",EDATE($D98,Milestones!$AA$188)&gt;=$R98),$U98,$T98)))=Milestones!$AB$188),TEXT(EDATE($D98,Milestones!$AA$188),"dd/mm/yy")&amp;" "&amp;Milestones!$AB$188&amp;" "&amp;Milestones!$AC$188&amp;";  ","")&amp;IF(AND(EDATE($D98,Milestones!$AA$189)&lt;=AsOfDate,IF($Q98=0,$W98,IF(AND($S98&lt;&gt;"",EDATE($D98,Milestones!$AA$189)&gt;=$S98),$V98,IF(AND($R98&lt;&gt;"",EDATE($D98,Milestones!$AA$189)&gt;=$R98),$U98,$T98)))=Milestones!$AB$189),TEXT(EDATE($D98,Milestones!$AA$189),"dd/mm/yy")&amp;" "&amp;Milestones!$AB$189&amp;" "&amp;Milestones!$AC$189&amp;";  ","")&amp;IF(AND(EDATE($D98,Milestones!$AA$190)&lt;=AsOfDate,IF($Q98=0,$W98,IF(AND($S98&lt;&gt;"",EDATE($D98,Milestones!$AA$190)&gt;=$S98),$V98,IF(AND($R98&lt;&gt;"",EDATE($D98,Milestones!$AA$190)&gt;=$R98),$U98,$T98)))=Milestones!$AB$190),TEXT(EDATE($D98,Milestones!$AA$190),"dd/mm/yy")&amp;" "&amp;Milestones!$AB$190&amp;" "&amp;Milestones!$AC$190&amp;";  ","")&amp;IF(AND(EDATE($D98,Milestones!$AA$191)&lt;=AsOfDate,IF($Q98=0,$W98,IF(AND($S98&lt;&gt;"",EDATE($D98,Milestones!$AA$191)&gt;=$S98),$V98,IF(AND($R98&lt;&gt;"",EDATE($D98,Milestones!$AA$191)&gt;=$R98),$U98,$T98)))=Milestones!$AB$191),TEXT(EDATE($D98,Milestones!$AA$191),"dd/mm/yy")&amp;" "&amp;Milestones!$AB$191&amp;" "&amp;Milestones!$AC$191&amp;";  ","")&amp;IF(AND(EDATE($D98,Milestones!$AA$192)&lt;=AsOfDate,IF($Q98=0,$W98,IF(AND($S98&lt;&gt;"",EDATE($D98,Milestones!$AA$192)&gt;=$S98),$V98,IF(AND($R98&lt;&gt;"",EDATE($D98,Milestones!$AA$192)&gt;=$R98),$U98,$T98)))=Milestones!$AB$192),TEXT(EDATE($D98,Milestones!$AA$192),"dd/mm/yy")&amp;" "&amp;Milestones!$AB$192&amp;" "&amp;Milestones!$AC$192&amp;";  ","")&amp;IF(AND(EDATE($D98,Milestones!$AA$193)&lt;=AsOfDate,IF($Q98=0,$W98,IF(AND($S98&lt;&gt;"",EDATE($D98,Milestones!$AA$193)&gt;=$S98),$V98,IF(AND($R98&lt;&gt;"",EDATE($D98,Milestones!$AA$193)&gt;=$R98),$U98,$T98)))=Milestones!$AB$193),TEXT(EDATE($D98,Milestones!$AA$193),"dd/mm/yy")&amp;" "&amp;Milestones!$AB$193&amp;" "&amp;Milestones!$AC$193&amp;";  ","")&amp;IF(AND(EDATE($D98,Milestones!$AA$194)&lt;=AsOfDate,IF($Q98=0,$W98,IF(AND($S98&lt;&gt;"",EDATE($D98,Milestones!$AA$194)&gt;=$S98),$V98,IF(AND($R98&lt;&gt;"",EDATE($D98,Milestones!$AA$194)&gt;=$R98),$U98,$T98)))=Milestones!$AB$194),TEXT(EDATE($D98,Milestones!$AA$194),"dd/mm/yy")&amp;" "&amp;Milestones!$AB$194&amp;" "&amp;Milestones!$AC$194&amp;";  ","")&amp;IF(AND(EDATE($D98,Milestones!$AA$195)&lt;=AsOfDate,IF($Q98=0,$W98,IF(AND($S98&lt;&gt;"",EDATE($D98,Milestones!$AA$195)&gt;=$S98),$V98,IF(AND($R98&lt;&gt;"",EDATE($D98,Milestones!$AA$195)&gt;=$R98),$U98,$T98)))=Milestones!$AB$195),TEXT(EDATE($D98,Milestones!$AA$195),"dd/mm/yy")&amp;" "&amp;Milestones!$AB$195&amp;" "&amp;Milestones!$AC$195&amp;";  ","")&amp;IF(AND(EDATE($D98,Milestones!$AA$196)&lt;=AsOfDate,IF($Q98=0,$W98,IF(AND($S98&lt;&gt;"",EDATE($D98,Milestones!$AA$196)&gt;=$S98),$V98,IF(AND($R98&lt;&gt;"",EDATE($D98,Milestones!$AA$196)&gt;=$R98),$U98,$T98)))=Milestones!$AB$196),TEXT(EDATE($D98,Milestones!$AA$196),"dd/mm/yy")&amp;" "&amp;Milestones!$AB$196&amp;" "&amp;Milestones!$AC$196&amp;";  ","")&amp;IF(AND(EDATE($D98,Milestones!$AA$197)&lt;=AsOfDate,IF($Q98=0,$W98,IF(AND($S98&lt;&gt;"",EDATE($D98,Milestones!$AA$197)&gt;=$S98),$V98,IF(AND($R98&lt;&gt;"",EDATE($D98,Milestones!$AA$197)&gt;=$R98),$U98,$T98)))=Milestones!$AB$197),TEXT(EDATE($D98,Milestones!$AA$197),"dd/mm/yy")&amp;" "&amp;Milestones!$AB$197&amp;" "&amp;Milestones!$AC$197&amp;";  ","")&amp;IF(AND(EDATE($D98,Milestones!$AA$198)&lt;=AsOfDate,IF($Q98=0,$W98,IF(AND($S98&lt;&gt;"",EDATE($D98,Milestones!$AA$198)&gt;=$S98),$V98,IF(AND($R98&lt;&gt;"",EDATE($D98,Milestones!$AA$198)&gt;=$R98),$U98,$T98)))=Milestones!$AB$198),TEXT(EDATE($D98,Milestones!$AA$198),"dd/mm/yy")&amp;" "&amp;Milestones!$AB$198&amp;" "&amp;Milestones!$AC$198&amp;";  ","")&amp;IF(AND(EDATE($D98,Milestones!$AA$199)&lt;=AsOfDate,IF($Q98=0,$W98,IF(AND($S98&lt;&gt;"",EDATE($D98,Milestones!$AA$199)&gt;=$S98),$V98,IF(AND($R98&lt;&gt;"",EDATE($D98,Milestones!$AA$199)&gt;=$R98),$U98,$T98)))=Milestones!$AB$199),TEXT(EDATE($D98,Milestones!$AA$199),"dd/mm/yy")&amp;" "&amp;Milestones!$AB$199&amp;" "&amp;Milestones!$AC$199&amp;";  ",""))</f>
        <v/>
      </c>
      <c r="Q98" s="0" t="str">
        <f aca="false">IF(Staff!$A98="","",Staff!$AG98)</f>
        <v/>
      </c>
      <c r="R98" s="0" t="str">
        <f aca="false">IF(Staff!$A98="","",Staff!$AI98)</f>
        <v/>
      </c>
      <c r="S98" s="0" t="str">
        <f aca="false">IF(Staff!$A98="","",Staff!$AJ98)</f>
        <v/>
      </c>
      <c r="T98" s="0" t="str">
        <f aca="false">IF(Staff!$A98="","",Staff!$AN98)</f>
        <v/>
      </c>
      <c r="U98" s="0" t="str">
        <f aca="false">IF(Staff!$A98="","",Staff!$AO98)</f>
        <v/>
      </c>
      <c r="V98" s="0" t="str">
        <f aca="false">IF(Staff!$A98="","",Staff!$AP98)</f>
        <v/>
      </c>
      <c r="W98" s="0" t="str">
        <f aca="false">IF(Staff!$A98="","",Staff!$AQ98)</f>
        <v/>
      </c>
    </row>
    <row r="99" customFormat="false" ht="15" hidden="false" customHeight="false" outlineLevel="0" collapsed="false">
      <c r="A99" s="13" t="str">
        <f aca="false">IF(Staff!$A99="","",Staff!$A99)</f>
        <v/>
      </c>
      <c r="B99" s="13" t="str">
        <f aca="false">IF(Staff!$A99="","",Staff!$B99)</f>
        <v/>
      </c>
      <c r="C99" s="13" t="str">
        <f aca="false">IF(Staff!$A99="","",Staff!$C99)</f>
        <v/>
      </c>
      <c r="D99" s="11" t="str">
        <f aca="false">IF(Staff!$A99="","",Staff!$AF99)</f>
        <v/>
      </c>
      <c r="E99" s="13" t="str">
        <f aca="false">IF(Staff!$A99="","",Staff!$O99)</f>
        <v/>
      </c>
      <c r="F99" s="13" t="str">
        <f aca="false">IF(E99="","",E99*HoursPerDay)</f>
        <v/>
      </c>
      <c r="G99" s="26" t="str">
        <f aca="false">IF($A99="","",H99&amp;I99&amp;J99&amp;K99&amp;L99&amp;M99&amp;N99&amp;O99&amp;P99)</f>
        <v/>
      </c>
      <c r="H99" s="0" t="str">
        <f aca="false">IF(OR($A99="",$D99=""),"",IF(AND(EDATE($D99,Milestones!$AA$20)&lt;=AsOfDate,IF($Q99=0,$W99,IF(AND($S99&lt;&gt;"",EDATE($D99,Milestones!$AA$20)&gt;=$S99),$V99,IF(AND($R99&lt;&gt;"",EDATE($D99,Milestones!$AA$20)&gt;=$R99),$U99,$T99)))=Milestones!$AB$20),TEXT(EDATE($D99,Milestones!$AA$20),"dd/mm/yy")&amp;" "&amp;Milestones!$AB$20&amp;" "&amp;Milestones!$AC$20&amp;";  ","")&amp;IF(AND(EDATE($D99,Milestones!$AA$21)&lt;=AsOfDate,IF($Q99=0,$W99,IF(AND($S99&lt;&gt;"",EDATE($D99,Milestones!$AA$21)&gt;=$S99),$V99,IF(AND($R99&lt;&gt;"",EDATE($D99,Milestones!$AA$21)&gt;=$R99),$U99,$T99)))=Milestones!$AB$21),TEXT(EDATE($D99,Milestones!$AA$21),"dd/mm/yy")&amp;" "&amp;Milestones!$AB$21&amp;" "&amp;Milestones!$AC$21&amp;";  ","")&amp;IF(AND(EDATE($D99,Milestones!$AA$22)&lt;=AsOfDate,IF($Q99=0,$W99,IF(AND($S99&lt;&gt;"",EDATE($D99,Milestones!$AA$22)&gt;=$S99),$V99,IF(AND($R99&lt;&gt;"",EDATE($D99,Milestones!$AA$22)&gt;=$R99),$U99,$T99)))=Milestones!$AB$22),TEXT(EDATE($D99,Milestones!$AA$22),"dd/mm/yy")&amp;" "&amp;Milestones!$AB$22&amp;" "&amp;Milestones!$AC$22&amp;";  ","")&amp;IF(AND(EDATE($D99,Milestones!$AA$23)&lt;=AsOfDate,IF($Q99=0,$W99,IF(AND($S99&lt;&gt;"",EDATE($D99,Milestones!$AA$23)&gt;=$S99),$V99,IF(AND($R99&lt;&gt;"",EDATE($D99,Milestones!$AA$23)&gt;=$R99),$U99,$T99)))=Milestones!$AB$23),TEXT(EDATE($D99,Milestones!$AA$23),"dd/mm/yy")&amp;" "&amp;Milestones!$AB$23&amp;" "&amp;Milestones!$AC$23&amp;";  ","")&amp;IF(AND(EDATE($D99,Milestones!$AA$24)&lt;=AsOfDate,IF($Q99=0,$W99,IF(AND($S99&lt;&gt;"",EDATE($D99,Milestones!$AA$24)&gt;=$S99),$V99,IF(AND($R99&lt;&gt;"",EDATE($D99,Milestones!$AA$24)&gt;=$R99),$U99,$T99)))=Milestones!$AB$24),TEXT(EDATE($D99,Milestones!$AA$24),"dd/mm/yy")&amp;" "&amp;Milestones!$AB$24&amp;" "&amp;Milestones!$AC$24&amp;";  ","")&amp;IF(AND(EDATE($D99,Milestones!$AA$25)&lt;=AsOfDate,IF($Q99=0,$W99,IF(AND($S99&lt;&gt;"",EDATE($D99,Milestones!$AA$25)&gt;=$S99),$V99,IF(AND($R99&lt;&gt;"",EDATE($D99,Milestones!$AA$25)&gt;=$R99),$U99,$T99)))=Milestones!$AB$25),TEXT(EDATE($D99,Milestones!$AA$25),"dd/mm/yy")&amp;" "&amp;Milestones!$AB$25&amp;" "&amp;Milestones!$AC$25&amp;";  ","")&amp;IF(AND(EDATE($D99,Milestones!$AA$26)&lt;=AsOfDate,IF($Q99=0,$W99,IF(AND($S99&lt;&gt;"",EDATE($D99,Milestones!$AA$26)&gt;=$S99),$V99,IF(AND($R99&lt;&gt;"",EDATE($D99,Milestones!$AA$26)&gt;=$R99),$U99,$T99)))=Milestones!$AB$26),TEXT(EDATE($D99,Milestones!$AA$26),"dd/mm/yy")&amp;" "&amp;Milestones!$AB$26&amp;" "&amp;Milestones!$AC$26&amp;";  ","")&amp;IF(AND(EDATE($D99,Milestones!$AA$27)&lt;=AsOfDate,IF($Q99=0,$W99,IF(AND($S99&lt;&gt;"",EDATE($D99,Milestones!$AA$27)&gt;=$S99),$V99,IF(AND($R99&lt;&gt;"",EDATE($D99,Milestones!$AA$27)&gt;=$R99),$U99,$T99)))=Milestones!$AB$27),TEXT(EDATE($D99,Milestones!$AA$27),"dd/mm/yy")&amp;" "&amp;Milestones!$AB$27&amp;" "&amp;Milestones!$AC$27&amp;";  ","")&amp;IF(AND(EDATE($D99,Milestones!$AA$28)&lt;=AsOfDate,IF($Q99=0,$W99,IF(AND($S99&lt;&gt;"",EDATE($D99,Milestones!$AA$28)&gt;=$S99),$V99,IF(AND($R99&lt;&gt;"",EDATE($D99,Milestones!$AA$28)&gt;=$R99),$U99,$T99)))=Milestones!$AB$28),TEXT(EDATE($D99,Milestones!$AA$28),"dd/mm/yy")&amp;" "&amp;Milestones!$AB$28&amp;" "&amp;Milestones!$AC$28&amp;";  ","")&amp;IF(AND(EDATE($D99,Milestones!$AA$29)&lt;=AsOfDate,IF($Q99=0,$W99,IF(AND($S99&lt;&gt;"",EDATE($D99,Milestones!$AA$29)&gt;=$S99),$V99,IF(AND($R99&lt;&gt;"",EDATE($D99,Milestones!$AA$29)&gt;=$R99),$U99,$T99)))=Milestones!$AB$29),TEXT(EDATE($D99,Milestones!$AA$29),"dd/mm/yy")&amp;" "&amp;Milestones!$AB$29&amp;" "&amp;Milestones!$AC$29&amp;";  ","")&amp;IF(AND(EDATE($D99,Milestones!$AA$30)&lt;=AsOfDate,IF($Q99=0,$W99,IF(AND($S99&lt;&gt;"",EDATE($D99,Milestones!$AA$30)&gt;=$S99),$V99,IF(AND($R99&lt;&gt;"",EDATE($D99,Milestones!$AA$30)&gt;=$R99),$U99,$T99)))=Milestones!$AB$30),TEXT(EDATE($D99,Milestones!$AA$30),"dd/mm/yy")&amp;" "&amp;Milestones!$AB$30&amp;" "&amp;Milestones!$AC$30&amp;";  ","")&amp;IF(AND(EDATE($D99,Milestones!$AA$31)&lt;=AsOfDate,IF($Q99=0,$W99,IF(AND($S99&lt;&gt;"",EDATE($D99,Milestones!$AA$31)&gt;=$S99),$V99,IF(AND($R99&lt;&gt;"",EDATE($D99,Milestones!$AA$31)&gt;=$R99),$U99,$T99)))=Milestones!$AB$31),TEXT(EDATE($D99,Milestones!$AA$31),"dd/mm/yy")&amp;" "&amp;Milestones!$AB$31&amp;" "&amp;Milestones!$AC$31&amp;";  ","")&amp;IF(AND(EDATE($D99,Milestones!$AA$32)&lt;=AsOfDate,IF($Q99=0,$W99,IF(AND($S99&lt;&gt;"",EDATE($D99,Milestones!$AA$32)&gt;=$S99),$V99,IF(AND($R99&lt;&gt;"",EDATE($D99,Milestones!$AA$32)&gt;=$R99),$U99,$T99)))=Milestones!$AB$32),TEXT(EDATE($D99,Milestones!$AA$32),"dd/mm/yy")&amp;" "&amp;Milestones!$AB$32&amp;" "&amp;Milestones!$AC$32&amp;";  ","")&amp;IF(AND(EDATE($D99,Milestones!$AA$33)&lt;=AsOfDate,IF($Q99=0,$W99,IF(AND($S99&lt;&gt;"",EDATE($D99,Milestones!$AA$33)&gt;=$S99),$V99,IF(AND($R99&lt;&gt;"",EDATE($D99,Milestones!$AA$33)&gt;=$R99),$U99,$T99)))=Milestones!$AB$33),TEXT(EDATE($D99,Milestones!$AA$33),"dd/mm/yy")&amp;" "&amp;Milestones!$AB$33&amp;" "&amp;Milestones!$AC$33&amp;";  ","")&amp;IF(AND(EDATE($D99,Milestones!$AA$34)&lt;=AsOfDate,IF($Q99=0,$W99,IF(AND($S99&lt;&gt;"",EDATE($D99,Milestones!$AA$34)&gt;=$S99),$V99,IF(AND($R99&lt;&gt;"",EDATE($D99,Milestones!$AA$34)&gt;=$R99),$U99,$T99)))=Milestones!$AB$34),TEXT(EDATE($D99,Milestones!$AA$34),"dd/mm/yy")&amp;" "&amp;Milestones!$AB$34&amp;" "&amp;Milestones!$AC$34&amp;";  ","")&amp;IF(AND(EDATE($D99,Milestones!$AA$35)&lt;=AsOfDate,IF($Q99=0,$W99,IF(AND($S99&lt;&gt;"",EDATE($D99,Milestones!$AA$35)&gt;=$S99),$V99,IF(AND($R99&lt;&gt;"",EDATE($D99,Milestones!$AA$35)&gt;=$R99),$U99,$T99)))=Milestones!$AB$35),TEXT(EDATE($D99,Milestones!$AA$35),"dd/mm/yy")&amp;" "&amp;Milestones!$AB$35&amp;" "&amp;Milestones!$AC$35&amp;";  ","")&amp;IF(AND(EDATE($D99,Milestones!$AA$36)&lt;=AsOfDate,IF($Q99=0,$W99,IF(AND($S99&lt;&gt;"",EDATE($D99,Milestones!$AA$36)&gt;=$S99),$V99,IF(AND($R99&lt;&gt;"",EDATE($D99,Milestones!$AA$36)&gt;=$R99),$U99,$T99)))=Milestones!$AB$36),TEXT(EDATE($D99,Milestones!$AA$36),"dd/mm/yy")&amp;" "&amp;Milestones!$AB$36&amp;" "&amp;Milestones!$AC$36&amp;";  ","")&amp;IF(AND(EDATE($D99,Milestones!$AA$37)&lt;=AsOfDate,IF($Q99=0,$W99,IF(AND($S99&lt;&gt;"",EDATE($D99,Milestones!$AA$37)&gt;=$S99),$V99,IF(AND($R99&lt;&gt;"",EDATE($D99,Milestones!$AA$37)&gt;=$R99),$U99,$T99)))=Milestones!$AB$37),TEXT(EDATE($D99,Milestones!$AA$37),"dd/mm/yy")&amp;" "&amp;Milestones!$AB$37&amp;" "&amp;Milestones!$AC$37&amp;";  ","")&amp;IF(AND(EDATE($D99,Milestones!$AA$38)&lt;=AsOfDate,IF($Q99=0,$W99,IF(AND($S99&lt;&gt;"",EDATE($D99,Milestones!$AA$38)&gt;=$S99),$V99,IF(AND($R99&lt;&gt;"",EDATE($D99,Milestones!$AA$38)&gt;=$R99),$U99,$T99)))=Milestones!$AB$38),TEXT(EDATE($D99,Milestones!$AA$38),"dd/mm/yy")&amp;" "&amp;Milestones!$AB$38&amp;" "&amp;Milestones!$AC$38&amp;";  ","")&amp;IF(AND(EDATE($D99,Milestones!$AA$39)&lt;=AsOfDate,IF($Q99=0,$W99,IF(AND($S99&lt;&gt;"",EDATE($D99,Milestones!$AA$39)&gt;=$S99),$V99,IF(AND($R99&lt;&gt;"",EDATE($D99,Milestones!$AA$39)&gt;=$R99),$U99,$T99)))=Milestones!$AB$39),TEXT(EDATE($D99,Milestones!$AA$39),"dd/mm/yy")&amp;" "&amp;Milestones!$AB$39&amp;" "&amp;Milestones!$AC$39&amp;";  ",""))</f>
        <v/>
      </c>
      <c r="I99" s="0" t="str">
        <f aca="false">IF(OR($A99="",$D99=""),"",IF(AND(EDATE($D99,Milestones!$AA$40)&lt;=AsOfDate,IF($Q99=0,$W99,IF(AND($S99&lt;&gt;"",EDATE($D99,Milestones!$AA$40)&gt;=$S99),$V99,IF(AND($R99&lt;&gt;"",EDATE($D99,Milestones!$AA$40)&gt;=$R99),$U99,$T99)))=Milestones!$AB$40),TEXT(EDATE($D99,Milestones!$AA$40),"dd/mm/yy")&amp;" "&amp;Milestones!$AB$40&amp;" "&amp;Milestones!$AC$40&amp;";  ","")&amp;IF(AND(EDATE($D99,Milestones!$AA$41)&lt;=AsOfDate,IF($Q99=0,$W99,IF(AND($S99&lt;&gt;"",EDATE($D99,Milestones!$AA$41)&gt;=$S99),$V99,IF(AND($R99&lt;&gt;"",EDATE($D99,Milestones!$AA$41)&gt;=$R99),$U99,$T99)))=Milestones!$AB$41),TEXT(EDATE($D99,Milestones!$AA$41),"dd/mm/yy")&amp;" "&amp;Milestones!$AB$41&amp;" "&amp;Milestones!$AC$41&amp;";  ","")&amp;IF(AND(EDATE($D99,Milestones!$AA$42)&lt;=AsOfDate,IF($Q99=0,$W99,IF(AND($S99&lt;&gt;"",EDATE($D99,Milestones!$AA$42)&gt;=$S99),$V99,IF(AND($R99&lt;&gt;"",EDATE($D99,Milestones!$AA$42)&gt;=$R99),$U99,$T99)))=Milestones!$AB$42),TEXT(EDATE($D99,Milestones!$AA$42),"dd/mm/yy")&amp;" "&amp;Milestones!$AB$42&amp;" "&amp;Milestones!$AC$42&amp;";  ","")&amp;IF(AND(EDATE($D99,Milestones!$AA$43)&lt;=AsOfDate,IF($Q99=0,$W99,IF(AND($S99&lt;&gt;"",EDATE($D99,Milestones!$AA$43)&gt;=$S99),$V99,IF(AND($R99&lt;&gt;"",EDATE($D99,Milestones!$AA$43)&gt;=$R99),$U99,$T99)))=Milestones!$AB$43),TEXT(EDATE($D99,Milestones!$AA$43),"dd/mm/yy")&amp;" "&amp;Milestones!$AB$43&amp;" "&amp;Milestones!$AC$43&amp;";  ","")&amp;IF(AND(EDATE($D99,Milestones!$AA$44)&lt;=AsOfDate,IF($Q99=0,$W99,IF(AND($S99&lt;&gt;"",EDATE($D99,Milestones!$AA$44)&gt;=$S99),$V99,IF(AND($R99&lt;&gt;"",EDATE($D99,Milestones!$AA$44)&gt;=$R99),$U99,$T99)))=Milestones!$AB$44),TEXT(EDATE($D99,Milestones!$AA$44),"dd/mm/yy")&amp;" "&amp;Milestones!$AB$44&amp;" "&amp;Milestones!$AC$44&amp;";  ","")&amp;IF(AND(EDATE($D99,Milestones!$AA$45)&lt;=AsOfDate,IF($Q99=0,$W99,IF(AND($S99&lt;&gt;"",EDATE($D99,Milestones!$AA$45)&gt;=$S99),$V99,IF(AND($R99&lt;&gt;"",EDATE($D99,Milestones!$AA$45)&gt;=$R99),$U99,$T99)))=Milestones!$AB$45),TEXT(EDATE($D99,Milestones!$AA$45),"dd/mm/yy")&amp;" "&amp;Milestones!$AB$45&amp;" "&amp;Milestones!$AC$45&amp;";  ","")&amp;IF(AND(EDATE($D99,Milestones!$AA$46)&lt;=AsOfDate,IF($Q99=0,$W99,IF(AND($S99&lt;&gt;"",EDATE($D99,Milestones!$AA$46)&gt;=$S99),$V99,IF(AND($R99&lt;&gt;"",EDATE($D99,Milestones!$AA$46)&gt;=$R99),$U99,$T99)))=Milestones!$AB$46),TEXT(EDATE($D99,Milestones!$AA$46),"dd/mm/yy")&amp;" "&amp;Milestones!$AB$46&amp;" "&amp;Milestones!$AC$46&amp;";  ","")&amp;IF(AND(EDATE($D99,Milestones!$AA$47)&lt;=AsOfDate,IF($Q99=0,$W99,IF(AND($S99&lt;&gt;"",EDATE($D99,Milestones!$AA$47)&gt;=$S99),$V99,IF(AND($R99&lt;&gt;"",EDATE($D99,Milestones!$AA$47)&gt;=$R99),$U99,$T99)))=Milestones!$AB$47),TEXT(EDATE($D99,Milestones!$AA$47),"dd/mm/yy")&amp;" "&amp;Milestones!$AB$47&amp;" "&amp;Milestones!$AC$47&amp;";  ","")&amp;IF(AND(EDATE($D99,Milestones!$AA$48)&lt;=AsOfDate,IF($Q99=0,$W99,IF(AND($S99&lt;&gt;"",EDATE($D99,Milestones!$AA$48)&gt;=$S99),$V99,IF(AND($R99&lt;&gt;"",EDATE($D99,Milestones!$AA$48)&gt;=$R99),$U99,$T99)))=Milestones!$AB$48),TEXT(EDATE($D99,Milestones!$AA$48),"dd/mm/yy")&amp;" "&amp;Milestones!$AB$48&amp;" "&amp;Milestones!$AC$48&amp;";  ","")&amp;IF(AND(EDATE($D99,Milestones!$AA$49)&lt;=AsOfDate,IF($Q99=0,$W99,IF(AND($S99&lt;&gt;"",EDATE($D99,Milestones!$AA$49)&gt;=$S99),$V99,IF(AND($R99&lt;&gt;"",EDATE($D99,Milestones!$AA$49)&gt;=$R99),$U99,$T99)))=Milestones!$AB$49),TEXT(EDATE($D99,Milestones!$AA$49),"dd/mm/yy")&amp;" "&amp;Milestones!$AB$49&amp;" "&amp;Milestones!$AC$49&amp;";  ","")&amp;IF(AND(EDATE($D99,Milestones!$AA$50)&lt;=AsOfDate,IF($Q99=0,$W99,IF(AND($S99&lt;&gt;"",EDATE($D99,Milestones!$AA$50)&gt;=$S99),$V99,IF(AND($R99&lt;&gt;"",EDATE($D99,Milestones!$AA$50)&gt;=$R99),$U99,$T99)))=Milestones!$AB$50),TEXT(EDATE($D99,Milestones!$AA$50),"dd/mm/yy")&amp;" "&amp;Milestones!$AB$50&amp;" "&amp;Milestones!$AC$50&amp;";  ","")&amp;IF(AND(EDATE($D99,Milestones!$AA$51)&lt;=AsOfDate,IF($Q99=0,$W99,IF(AND($S99&lt;&gt;"",EDATE($D99,Milestones!$AA$51)&gt;=$S99),$V99,IF(AND($R99&lt;&gt;"",EDATE($D99,Milestones!$AA$51)&gt;=$R99),$U99,$T99)))=Milestones!$AB$51),TEXT(EDATE($D99,Milestones!$AA$51),"dd/mm/yy")&amp;" "&amp;Milestones!$AB$51&amp;" "&amp;Milestones!$AC$51&amp;";  ","")&amp;IF(AND(EDATE($D99,Milestones!$AA$52)&lt;=AsOfDate,IF($Q99=0,$W99,IF(AND($S99&lt;&gt;"",EDATE($D99,Milestones!$AA$52)&gt;=$S99),$V99,IF(AND($R99&lt;&gt;"",EDATE($D99,Milestones!$AA$52)&gt;=$R99),$U99,$T99)))=Milestones!$AB$52),TEXT(EDATE($D99,Milestones!$AA$52),"dd/mm/yy")&amp;" "&amp;Milestones!$AB$52&amp;" "&amp;Milestones!$AC$52&amp;";  ","")&amp;IF(AND(EDATE($D99,Milestones!$AA$53)&lt;=AsOfDate,IF($Q99=0,$W99,IF(AND($S99&lt;&gt;"",EDATE($D99,Milestones!$AA$53)&gt;=$S99),$V99,IF(AND($R99&lt;&gt;"",EDATE($D99,Milestones!$AA$53)&gt;=$R99),$U99,$T99)))=Milestones!$AB$53),TEXT(EDATE($D99,Milestones!$AA$53),"dd/mm/yy")&amp;" "&amp;Milestones!$AB$53&amp;" "&amp;Milestones!$AC$53&amp;";  ","")&amp;IF(AND(EDATE($D99,Milestones!$AA$54)&lt;=AsOfDate,IF($Q99=0,$W99,IF(AND($S99&lt;&gt;"",EDATE($D99,Milestones!$AA$54)&gt;=$S99),$V99,IF(AND($R99&lt;&gt;"",EDATE($D99,Milestones!$AA$54)&gt;=$R99),$U99,$T99)))=Milestones!$AB$54),TEXT(EDATE($D99,Milestones!$AA$54),"dd/mm/yy")&amp;" "&amp;Milestones!$AB$54&amp;" "&amp;Milestones!$AC$54&amp;";  ","")&amp;IF(AND(EDATE($D99,Milestones!$AA$55)&lt;=AsOfDate,IF($Q99=0,$W99,IF(AND($S99&lt;&gt;"",EDATE($D99,Milestones!$AA$55)&gt;=$S99),$V99,IF(AND($R99&lt;&gt;"",EDATE($D99,Milestones!$AA$55)&gt;=$R99),$U99,$T99)))=Milestones!$AB$55),TEXT(EDATE($D99,Milestones!$AA$55),"dd/mm/yy")&amp;" "&amp;Milestones!$AB$55&amp;" "&amp;Milestones!$AC$55&amp;";  ","")&amp;IF(AND(EDATE($D99,Milestones!$AA$56)&lt;=AsOfDate,IF($Q99=0,$W99,IF(AND($S99&lt;&gt;"",EDATE($D99,Milestones!$AA$56)&gt;=$S99),$V99,IF(AND($R99&lt;&gt;"",EDATE($D99,Milestones!$AA$56)&gt;=$R99),$U99,$T99)))=Milestones!$AB$56),TEXT(EDATE($D99,Milestones!$AA$56),"dd/mm/yy")&amp;" "&amp;Milestones!$AB$56&amp;" "&amp;Milestones!$AC$56&amp;";  ","")&amp;IF(AND(EDATE($D99,Milestones!$AA$57)&lt;=AsOfDate,IF($Q99=0,$W99,IF(AND($S99&lt;&gt;"",EDATE($D99,Milestones!$AA$57)&gt;=$S99),$V99,IF(AND($R99&lt;&gt;"",EDATE($D99,Milestones!$AA$57)&gt;=$R99),$U99,$T99)))=Milestones!$AB$57),TEXT(EDATE($D99,Milestones!$AA$57),"dd/mm/yy")&amp;" "&amp;Milestones!$AB$57&amp;" "&amp;Milestones!$AC$57&amp;";  ","")&amp;IF(AND(EDATE($D99,Milestones!$AA$58)&lt;=AsOfDate,IF($Q99=0,$W99,IF(AND($S99&lt;&gt;"",EDATE($D99,Milestones!$AA$58)&gt;=$S99),$V99,IF(AND($R99&lt;&gt;"",EDATE($D99,Milestones!$AA$58)&gt;=$R99),$U99,$T99)))=Milestones!$AB$58),TEXT(EDATE($D99,Milestones!$AA$58),"dd/mm/yy")&amp;" "&amp;Milestones!$AB$58&amp;" "&amp;Milestones!$AC$58&amp;";  ","")&amp;IF(AND(EDATE($D99,Milestones!$AA$59)&lt;=AsOfDate,IF($Q99=0,$W99,IF(AND($S99&lt;&gt;"",EDATE($D99,Milestones!$AA$59)&gt;=$S99),$V99,IF(AND($R99&lt;&gt;"",EDATE($D99,Milestones!$AA$59)&gt;=$R99),$U99,$T99)))=Milestones!$AB$59),TEXT(EDATE($D99,Milestones!$AA$59),"dd/mm/yy")&amp;" "&amp;Milestones!$AB$59&amp;" "&amp;Milestones!$AC$59&amp;";  ",""))</f>
        <v/>
      </c>
      <c r="J99" s="0" t="str">
        <f aca="false">IF(OR($A99="",$D99=""),"",IF(AND(EDATE($D99,Milestones!$AA$60)&lt;=AsOfDate,IF($Q99=0,$W99,IF(AND($S99&lt;&gt;"",EDATE($D99,Milestones!$AA$60)&gt;=$S99),$V99,IF(AND($R99&lt;&gt;"",EDATE($D99,Milestones!$AA$60)&gt;=$R99),$U99,$T99)))=Milestones!$AB$60),TEXT(EDATE($D99,Milestones!$AA$60),"dd/mm/yy")&amp;" "&amp;Milestones!$AB$60&amp;" "&amp;Milestones!$AC$60&amp;";  ","")&amp;IF(AND(EDATE($D99,Milestones!$AA$61)&lt;=AsOfDate,IF($Q99=0,$W99,IF(AND($S99&lt;&gt;"",EDATE($D99,Milestones!$AA$61)&gt;=$S99),$V99,IF(AND($R99&lt;&gt;"",EDATE($D99,Milestones!$AA$61)&gt;=$R99),$U99,$T99)))=Milestones!$AB$61),TEXT(EDATE($D99,Milestones!$AA$61),"dd/mm/yy")&amp;" "&amp;Milestones!$AB$61&amp;" "&amp;Milestones!$AC$61&amp;";  ","")&amp;IF(AND(EDATE($D99,Milestones!$AA$62)&lt;=AsOfDate,IF($Q99=0,$W99,IF(AND($S99&lt;&gt;"",EDATE($D99,Milestones!$AA$62)&gt;=$S99),$V99,IF(AND($R99&lt;&gt;"",EDATE($D99,Milestones!$AA$62)&gt;=$R99),$U99,$T99)))=Milestones!$AB$62),TEXT(EDATE($D99,Milestones!$AA$62),"dd/mm/yy")&amp;" "&amp;Milestones!$AB$62&amp;" "&amp;Milestones!$AC$62&amp;";  ","")&amp;IF(AND(EDATE($D99,Milestones!$AA$63)&lt;=AsOfDate,IF($Q99=0,$W99,IF(AND($S99&lt;&gt;"",EDATE($D99,Milestones!$AA$63)&gt;=$S99),$V99,IF(AND($R99&lt;&gt;"",EDATE($D99,Milestones!$AA$63)&gt;=$R99),$U99,$T99)))=Milestones!$AB$63),TEXT(EDATE($D99,Milestones!$AA$63),"dd/mm/yy")&amp;" "&amp;Milestones!$AB$63&amp;" "&amp;Milestones!$AC$63&amp;";  ","")&amp;IF(AND(EDATE($D99,Milestones!$AA$64)&lt;=AsOfDate,IF($Q99=0,$W99,IF(AND($S99&lt;&gt;"",EDATE($D99,Milestones!$AA$64)&gt;=$S99),$V99,IF(AND($R99&lt;&gt;"",EDATE($D99,Milestones!$AA$64)&gt;=$R99),$U99,$T99)))=Milestones!$AB$64),TEXT(EDATE($D99,Milestones!$AA$64),"dd/mm/yy")&amp;" "&amp;Milestones!$AB$64&amp;" "&amp;Milestones!$AC$64&amp;";  ","")&amp;IF(AND(EDATE($D99,Milestones!$AA$65)&lt;=AsOfDate,IF($Q99=0,$W99,IF(AND($S99&lt;&gt;"",EDATE($D99,Milestones!$AA$65)&gt;=$S99),$V99,IF(AND($R99&lt;&gt;"",EDATE($D99,Milestones!$AA$65)&gt;=$R99),$U99,$T99)))=Milestones!$AB$65),TEXT(EDATE($D99,Milestones!$AA$65),"dd/mm/yy")&amp;" "&amp;Milestones!$AB$65&amp;" "&amp;Milestones!$AC$65&amp;";  ","")&amp;IF(AND(EDATE($D99,Milestones!$AA$66)&lt;=AsOfDate,IF($Q99=0,$W99,IF(AND($S99&lt;&gt;"",EDATE($D99,Milestones!$AA$66)&gt;=$S99),$V99,IF(AND($R99&lt;&gt;"",EDATE($D99,Milestones!$AA$66)&gt;=$R99),$U99,$T99)))=Milestones!$AB$66),TEXT(EDATE($D99,Milestones!$AA$66),"dd/mm/yy")&amp;" "&amp;Milestones!$AB$66&amp;" "&amp;Milestones!$AC$66&amp;";  ","")&amp;IF(AND(EDATE($D99,Milestones!$AA$67)&lt;=AsOfDate,IF($Q99=0,$W99,IF(AND($S99&lt;&gt;"",EDATE($D99,Milestones!$AA$67)&gt;=$S99),$V99,IF(AND($R99&lt;&gt;"",EDATE($D99,Milestones!$AA$67)&gt;=$R99),$U99,$T99)))=Milestones!$AB$67),TEXT(EDATE($D99,Milestones!$AA$67),"dd/mm/yy")&amp;" "&amp;Milestones!$AB$67&amp;" "&amp;Milestones!$AC$67&amp;";  ","")&amp;IF(AND(EDATE($D99,Milestones!$AA$68)&lt;=AsOfDate,IF($Q99=0,$W99,IF(AND($S99&lt;&gt;"",EDATE($D99,Milestones!$AA$68)&gt;=$S99),$V99,IF(AND($R99&lt;&gt;"",EDATE($D99,Milestones!$AA$68)&gt;=$R99),$U99,$T99)))=Milestones!$AB$68),TEXT(EDATE($D99,Milestones!$AA$68),"dd/mm/yy")&amp;" "&amp;Milestones!$AB$68&amp;" "&amp;Milestones!$AC$68&amp;";  ","")&amp;IF(AND(EDATE($D99,Milestones!$AA$69)&lt;=AsOfDate,IF($Q99=0,$W99,IF(AND($S99&lt;&gt;"",EDATE($D99,Milestones!$AA$69)&gt;=$S99),$V99,IF(AND($R99&lt;&gt;"",EDATE($D99,Milestones!$AA$69)&gt;=$R99),$U99,$T99)))=Milestones!$AB$69),TEXT(EDATE($D99,Milestones!$AA$69),"dd/mm/yy")&amp;" "&amp;Milestones!$AB$69&amp;" "&amp;Milestones!$AC$69&amp;";  ","")&amp;IF(AND(EDATE($D99,Milestones!$AA$70)&lt;=AsOfDate,IF($Q99=0,$W99,IF(AND($S99&lt;&gt;"",EDATE($D99,Milestones!$AA$70)&gt;=$S99),$V99,IF(AND($R99&lt;&gt;"",EDATE($D99,Milestones!$AA$70)&gt;=$R99),$U99,$T99)))=Milestones!$AB$70),TEXT(EDATE($D99,Milestones!$AA$70),"dd/mm/yy")&amp;" "&amp;Milestones!$AB$70&amp;" "&amp;Milestones!$AC$70&amp;";  ","")&amp;IF(AND(EDATE($D99,Milestones!$AA$71)&lt;=AsOfDate,IF($Q99=0,$W99,IF(AND($S99&lt;&gt;"",EDATE($D99,Milestones!$AA$71)&gt;=$S99),$V99,IF(AND($R99&lt;&gt;"",EDATE($D99,Milestones!$AA$71)&gt;=$R99),$U99,$T99)))=Milestones!$AB$71),TEXT(EDATE($D99,Milestones!$AA$71),"dd/mm/yy")&amp;" "&amp;Milestones!$AB$71&amp;" "&amp;Milestones!$AC$71&amp;";  ","")&amp;IF(AND(EDATE($D99,Milestones!$AA$72)&lt;=AsOfDate,IF($Q99=0,$W99,IF(AND($S99&lt;&gt;"",EDATE($D99,Milestones!$AA$72)&gt;=$S99),$V99,IF(AND($R99&lt;&gt;"",EDATE($D99,Milestones!$AA$72)&gt;=$R99),$U99,$T99)))=Milestones!$AB$72),TEXT(EDATE($D99,Milestones!$AA$72),"dd/mm/yy")&amp;" "&amp;Milestones!$AB$72&amp;" "&amp;Milestones!$AC$72&amp;";  ","")&amp;IF(AND(EDATE($D99,Milestones!$AA$73)&lt;=AsOfDate,IF($Q99=0,$W99,IF(AND($S99&lt;&gt;"",EDATE($D99,Milestones!$AA$73)&gt;=$S99),$V99,IF(AND($R99&lt;&gt;"",EDATE($D99,Milestones!$AA$73)&gt;=$R99),$U99,$T99)))=Milestones!$AB$73),TEXT(EDATE($D99,Milestones!$AA$73),"dd/mm/yy")&amp;" "&amp;Milestones!$AB$73&amp;" "&amp;Milestones!$AC$73&amp;";  ","")&amp;IF(AND(EDATE($D99,Milestones!$AA$74)&lt;=AsOfDate,IF($Q99=0,$W99,IF(AND($S99&lt;&gt;"",EDATE($D99,Milestones!$AA$74)&gt;=$S99),$V99,IF(AND($R99&lt;&gt;"",EDATE($D99,Milestones!$AA$74)&gt;=$R99),$U99,$T99)))=Milestones!$AB$74),TEXT(EDATE($D99,Milestones!$AA$74),"dd/mm/yy")&amp;" "&amp;Milestones!$AB$74&amp;" "&amp;Milestones!$AC$74&amp;";  ","")&amp;IF(AND(EDATE($D99,Milestones!$AA$75)&lt;=AsOfDate,IF($Q99=0,$W99,IF(AND($S99&lt;&gt;"",EDATE($D99,Milestones!$AA$75)&gt;=$S99),$V99,IF(AND($R99&lt;&gt;"",EDATE($D99,Milestones!$AA$75)&gt;=$R99),$U99,$T99)))=Milestones!$AB$75),TEXT(EDATE($D99,Milestones!$AA$75),"dd/mm/yy")&amp;" "&amp;Milestones!$AB$75&amp;" "&amp;Milestones!$AC$75&amp;";  ","")&amp;IF(AND(EDATE($D99,Milestones!$AA$76)&lt;=AsOfDate,IF($Q99=0,$W99,IF(AND($S99&lt;&gt;"",EDATE($D99,Milestones!$AA$76)&gt;=$S99),$V99,IF(AND($R99&lt;&gt;"",EDATE($D99,Milestones!$AA$76)&gt;=$R99),$U99,$T99)))=Milestones!$AB$76),TEXT(EDATE($D99,Milestones!$AA$76),"dd/mm/yy")&amp;" "&amp;Milestones!$AB$76&amp;" "&amp;Milestones!$AC$76&amp;";  ","")&amp;IF(AND(EDATE($D99,Milestones!$AA$77)&lt;=AsOfDate,IF($Q99=0,$W99,IF(AND($S99&lt;&gt;"",EDATE($D99,Milestones!$AA$77)&gt;=$S99),$V99,IF(AND($R99&lt;&gt;"",EDATE($D99,Milestones!$AA$77)&gt;=$R99),$U99,$T99)))=Milestones!$AB$77),TEXT(EDATE($D99,Milestones!$AA$77),"dd/mm/yy")&amp;" "&amp;Milestones!$AB$77&amp;" "&amp;Milestones!$AC$77&amp;";  ","")&amp;IF(AND(EDATE($D99,Milestones!$AA$78)&lt;=AsOfDate,IF($Q99=0,$W99,IF(AND($S99&lt;&gt;"",EDATE($D99,Milestones!$AA$78)&gt;=$S99),$V99,IF(AND($R99&lt;&gt;"",EDATE($D99,Milestones!$AA$78)&gt;=$R99),$U99,$T99)))=Milestones!$AB$78),TEXT(EDATE($D99,Milestones!$AA$78),"dd/mm/yy")&amp;" "&amp;Milestones!$AB$78&amp;" "&amp;Milestones!$AC$78&amp;";  ","")&amp;IF(AND(EDATE($D99,Milestones!$AA$79)&lt;=AsOfDate,IF($Q99=0,$W99,IF(AND($S99&lt;&gt;"",EDATE($D99,Milestones!$AA$79)&gt;=$S99),$V99,IF(AND($R99&lt;&gt;"",EDATE($D99,Milestones!$AA$79)&gt;=$R99),$U99,$T99)))=Milestones!$AB$79),TEXT(EDATE($D99,Milestones!$AA$79),"dd/mm/yy")&amp;" "&amp;Milestones!$AB$79&amp;" "&amp;Milestones!$AC$79&amp;";  ",""))</f>
        <v/>
      </c>
      <c r="K99" s="0" t="str">
        <f aca="false">IF(OR($A99="",$D99=""),"",IF(AND(EDATE($D99,Milestones!$AA$80)&lt;=AsOfDate,IF($Q99=0,$W99,IF(AND($S99&lt;&gt;"",EDATE($D99,Milestones!$AA$80)&gt;=$S99),$V99,IF(AND($R99&lt;&gt;"",EDATE($D99,Milestones!$AA$80)&gt;=$R99),$U99,$T99)))=Milestones!$AB$80),TEXT(EDATE($D99,Milestones!$AA$80),"dd/mm/yy")&amp;" "&amp;Milestones!$AB$80&amp;" "&amp;Milestones!$AC$80&amp;";  ","")&amp;IF(AND(EDATE($D99,Milestones!$AA$81)&lt;=AsOfDate,IF($Q99=0,$W99,IF(AND($S99&lt;&gt;"",EDATE($D99,Milestones!$AA$81)&gt;=$S99),$V99,IF(AND($R99&lt;&gt;"",EDATE($D99,Milestones!$AA$81)&gt;=$R99),$U99,$T99)))=Milestones!$AB$81),TEXT(EDATE($D99,Milestones!$AA$81),"dd/mm/yy")&amp;" "&amp;Milestones!$AB$81&amp;" "&amp;Milestones!$AC$81&amp;";  ","")&amp;IF(AND(EDATE($D99,Milestones!$AA$82)&lt;=AsOfDate,IF($Q99=0,$W99,IF(AND($S99&lt;&gt;"",EDATE($D99,Milestones!$AA$82)&gt;=$S99),$V99,IF(AND($R99&lt;&gt;"",EDATE($D99,Milestones!$AA$82)&gt;=$R99),$U99,$T99)))=Milestones!$AB$82),TEXT(EDATE($D99,Milestones!$AA$82),"dd/mm/yy")&amp;" "&amp;Milestones!$AB$82&amp;" "&amp;Milestones!$AC$82&amp;";  ","")&amp;IF(AND(EDATE($D99,Milestones!$AA$83)&lt;=AsOfDate,IF($Q99=0,$W99,IF(AND($S99&lt;&gt;"",EDATE($D99,Milestones!$AA$83)&gt;=$S99),$V99,IF(AND($R99&lt;&gt;"",EDATE($D99,Milestones!$AA$83)&gt;=$R99),$U99,$T99)))=Milestones!$AB$83),TEXT(EDATE($D99,Milestones!$AA$83),"dd/mm/yy")&amp;" "&amp;Milestones!$AB$83&amp;" "&amp;Milestones!$AC$83&amp;";  ","")&amp;IF(AND(EDATE($D99,Milestones!$AA$84)&lt;=AsOfDate,IF($Q99=0,$W99,IF(AND($S99&lt;&gt;"",EDATE($D99,Milestones!$AA$84)&gt;=$S99),$V99,IF(AND($R99&lt;&gt;"",EDATE($D99,Milestones!$AA$84)&gt;=$R99),$U99,$T99)))=Milestones!$AB$84),TEXT(EDATE($D99,Milestones!$AA$84),"dd/mm/yy")&amp;" "&amp;Milestones!$AB$84&amp;" "&amp;Milestones!$AC$84&amp;";  ","")&amp;IF(AND(EDATE($D99,Milestones!$AA$85)&lt;=AsOfDate,IF($Q99=0,$W99,IF(AND($S99&lt;&gt;"",EDATE($D99,Milestones!$AA$85)&gt;=$S99),$V99,IF(AND($R99&lt;&gt;"",EDATE($D99,Milestones!$AA$85)&gt;=$R99),$U99,$T99)))=Milestones!$AB$85),TEXT(EDATE($D99,Milestones!$AA$85),"dd/mm/yy")&amp;" "&amp;Milestones!$AB$85&amp;" "&amp;Milestones!$AC$85&amp;";  ","")&amp;IF(AND(EDATE($D99,Milestones!$AA$86)&lt;=AsOfDate,IF($Q99=0,$W99,IF(AND($S99&lt;&gt;"",EDATE($D99,Milestones!$AA$86)&gt;=$S99),$V99,IF(AND($R99&lt;&gt;"",EDATE($D99,Milestones!$AA$86)&gt;=$R99),$U99,$T99)))=Milestones!$AB$86),TEXT(EDATE($D99,Milestones!$AA$86),"dd/mm/yy")&amp;" "&amp;Milestones!$AB$86&amp;" "&amp;Milestones!$AC$86&amp;";  ","")&amp;IF(AND(EDATE($D99,Milestones!$AA$87)&lt;=AsOfDate,IF($Q99=0,$W99,IF(AND($S99&lt;&gt;"",EDATE($D99,Milestones!$AA$87)&gt;=$S99),$V99,IF(AND($R99&lt;&gt;"",EDATE($D99,Milestones!$AA$87)&gt;=$R99),$U99,$T99)))=Milestones!$AB$87),TEXT(EDATE($D99,Milestones!$AA$87),"dd/mm/yy")&amp;" "&amp;Milestones!$AB$87&amp;" "&amp;Milestones!$AC$87&amp;";  ","")&amp;IF(AND(EDATE($D99,Milestones!$AA$88)&lt;=AsOfDate,IF($Q99=0,$W99,IF(AND($S99&lt;&gt;"",EDATE($D99,Milestones!$AA$88)&gt;=$S99),$V99,IF(AND($R99&lt;&gt;"",EDATE($D99,Milestones!$AA$88)&gt;=$R99),$U99,$T99)))=Milestones!$AB$88),TEXT(EDATE($D99,Milestones!$AA$88),"dd/mm/yy")&amp;" "&amp;Milestones!$AB$88&amp;" "&amp;Milestones!$AC$88&amp;";  ","")&amp;IF(AND(EDATE($D99,Milestones!$AA$89)&lt;=AsOfDate,IF($Q99=0,$W99,IF(AND($S99&lt;&gt;"",EDATE($D99,Milestones!$AA$89)&gt;=$S99),$V99,IF(AND($R99&lt;&gt;"",EDATE($D99,Milestones!$AA$89)&gt;=$R99),$U99,$T99)))=Milestones!$AB$89),TEXT(EDATE($D99,Milestones!$AA$89),"dd/mm/yy")&amp;" "&amp;Milestones!$AB$89&amp;" "&amp;Milestones!$AC$89&amp;";  ","")&amp;IF(AND(EDATE($D99,Milestones!$AA$90)&lt;=AsOfDate,IF($Q99=0,$W99,IF(AND($S99&lt;&gt;"",EDATE($D99,Milestones!$AA$90)&gt;=$S99),$V99,IF(AND($R99&lt;&gt;"",EDATE($D99,Milestones!$AA$90)&gt;=$R99),$U99,$T99)))=Milestones!$AB$90),TEXT(EDATE($D99,Milestones!$AA$90),"dd/mm/yy")&amp;" "&amp;Milestones!$AB$90&amp;" "&amp;Milestones!$AC$90&amp;";  ","")&amp;IF(AND(EDATE($D99,Milestones!$AA$91)&lt;=AsOfDate,IF($Q99=0,$W99,IF(AND($S99&lt;&gt;"",EDATE($D99,Milestones!$AA$91)&gt;=$S99),$V99,IF(AND($R99&lt;&gt;"",EDATE($D99,Milestones!$AA$91)&gt;=$R99),$U99,$T99)))=Milestones!$AB$91),TEXT(EDATE($D99,Milestones!$AA$91),"dd/mm/yy")&amp;" "&amp;Milestones!$AB$91&amp;" "&amp;Milestones!$AC$91&amp;";  ","")&amp;IF(AND(EDATE($D99,Milestones!$AA$92)&lt;=AsOfDate,IF($Q99=0,$W99,IF(AND($S99&lt;&gt;"",EDATE($D99,Milestones!$AA$92)&gt;=$S99),$V99,IF(AND($R99&lt;&gt;"",EDATE($D99,Milestones!$AA$92)&gt;=$R99),$U99,$T99)))=Milestones!$AB$92),TEXT(EDATE($D99,Milestones!$AA$92),"dd/mm/yy")&amp;" "&amp;Milestones!$AB$92&amp;" "&amp;Milestones!$AC$92&amp;";  ","")&amp;IF(AND(EDATE($D99,Milestones!$AA$93)&lt;=AsOfDate,IF($Q99=0,$W99,IF(AND($S99&lt;&gt;"",EDATE($D99,Milestones!$AA$93)&gt;=$S99),$V99,IF(AND($R99&lt;&gt;"",EDATE($D99,Milestones!$AA$93)&gt;=$R99),$U99,$T99)))=Milestones!$AB$93),TEXT(EDATE($D99,Milestones!$AA$93),"dd/mm/yy")&amp;" "&amp;Milestones!$AB$93&amp;" "&amp;Milestones!$AC$93&amp;";  ","")&amp;IF(AND(EDATE($D99,Milestones!$AA$94)&lt;=AsOfDate,IF($Q99=0,$W99,IF(AND($S99&lt;&gt;"",EDATE($D99,Milestones!$AA$94)&gt;=$S99),$V99,IF(AND($R99&lt;&gt;"",EDATE($D99,Milestones!$AA$94)&gt;=$R99),$U99,$T99)))=Milestones!$AB$94),TEXT(EDATE($D99,Milestones!$AA$94),"dd/mm/yy")&amp;" "&amp;Milestones!$AB$94&amp;" "&amp;Milestones!$AC$94&amp;";  ","")&amp;IF(AND(EDATE($D99,Milestones!$AA$95)&lt;=AsOfDate,IF($Q99=0,$W99,IF(AND($S99&lt;&gt;"",EDATE($D99,Milestones!$AA$95)&gt;=$S99),$V99,IF(AND($R99&lt;&gt;"",EDATE($D99,Milestones!$AA$95)&gt;=$R99),$U99,$T99)))=Milestones!$AB$95),TEXT(EDATE($D99,Milestones!$AA$95),"dd/mm/yy")&amp;" "&amp;Milestones!$AB$95&amp;" "&amp;Milestones!$AC$95&amp;";  ","")&amp;IF(AND(EDATE($D99,Milestones!$AA$96)&lt;=AsOfDate,IF($Q99=0,$W99,IF(AND($S99&lt;&gt;"",EDATE($D99,Milestones!$AA$96)&gt;=$S99),$V99,IF(AND($R99&lt;&gt;"",EDATE($D99,Milestones!$AA$96)&gt;=$R99),$U99,$T99)))=Milestones!$AB$96),TEXT(EDATE($D99,Milestones!$AA$96),"dd/mm/yy")&amp;" "&amp;Milestones!$AB$96&amp;" "&amp;Milestones!$AC$96&amp;";  ","")&amp;IF(AND(EDATE($D99,Milestones!$AA$97)&lt;=AsOfDate,IF($Q99=0,$W99,IF(AND($S99&lt;&gt;"",EDATE($D99,Milestones!$AA$97)&gt;=$S99),$V99,IF(AND($R99&lt;&gt;"",EDATE($D99,Milestones!$AA$97)&gt;=$R99),$U99,$T99)))=Milestones!$AB$97),TEXT(EDATE($D99,Milestones!$AA$97),"dd/mm/yy")&amp;" "&amp;Milestones!$AB$97&amp;" "&amp;Milestones!$AC$97&amp;";  ","")&amp;IF(AND(EDATE($D99,Milestones!$AA$98)&lt;=AsOfDate,IF($Q99=0,$W99,IF(AND($S99&lt;&gt;"",EDATE($D99,Milestones!$AA$98)&gt;=$S99),$V99,IF(AND($R99&lt;&gt;"",EDATE($D99,Milestones!$AA$98)&gt;=$R99),$U99,$T99)))=Milestones!$AB$98),TEXT(EDATE($D99,Milestones!$AA$98),"dd/mm/yy")&amp;" "&amp;Milestones!$AB$98&amp;" "&amp;Milestones!$AC$98&amp;";  ","")&amp;IF(AND(EDATE($D99,Milestones!$AA$99)&lt;=AsOfDate,IF($Q99=0,$W99,IF(AND($S99&lt;&gt;"",EDATE($D99,Milestones!$AA$99)&gt;=$S99),$V99,IF(AND($R99&lt;&gt;"",EDATE($D99,Milestones!$AA$99)&gt;=$R99),$U99,$T99)))=Milestones!$AB$99),TEXT(EDATE($D99,Milestones!$AA$99),"dd/mm/yy")&amp;" "&amp;Milestones!$AB$99&amp;" "&amp;Milestones!$AC$99&amp;";  ",""))</f>
        <v/>
      </c>
      <c r="L99" s="0" t="str">
        <f aca="false">IF(OR($A99="",$D99=""),"",IF(AND(EDATE($D99,Milestones!$AA$100)&lt;=AsOfDate,IF($Q99=0,$W99,IF(AND($S99&lt;&gt;"",EDATE($D99,Milestones!$AA$100)&gt;=$S99),$V99,IF(AND($R99&lt;&gt;"",EDATE($D99,Milestones!$AA$100)&gt;=$R99),$U99,$T99)))=Milestones!$AB$100),TEXT(EDATE($D99,Milestones!$AA$100),"dd/mm/yy")&amp;" "&amp;Milestones!$AB$100&amp;" "&amp;Milestones!$AC$100&amp;";  ","")&amp;IF(AND(EDATE($D99,Milestones!$AA$101)&lt;=AsOfDate,IF($Q99=0,$W99,IF(AND($S99&lt;&gt;"",EDATE($D99,Milestones!$AA$101)&gt;=$S99),$V99,IF(AND($R99&lt;&gt;"",EDATE($D99,Milestones!$AA$101)&gt;=$R99),$U99,$T99)))=Milestones!$AB$101),TEXT(EDATE($D99,Milestones!$AA$101),"dd/mm/yy")&amp;" "&amp;Milestones!$AB$101&amp;" "&amp;Milestones!$AC$101&amp;";  ","")&amp;IF(AND(EDATE($D99,Milestones!$AA$102)&lt;=AsOfDate,IF($Q99=0,$W99,IF(AND($S99&lt;&gt;"",EDATE($D99,Milestones!$AA$102)&gt;=$S99),$V99,IF(AND($R99&lt;&gt;"",EDATE($D99,Milestones!$AA$102)&gt;=$R99),$U99,$T99)))=Milestones!$AB$102),TEXT(EDATE($D99,Milestones!$AA$102),"dd/mm/yy")&amp;" "&amp;Milestones!$AB$102&amp;" "&amp;Milestones!$AC$102&amp;";  ","")&amp;IF(AND(EDATE($D99,Milestones!$AA$103)&lt;=AsOfDate,IF($Q99=0,$W99,IF(AND($S99&lt;&gt;"",EDATE($D99,Milestones!$AA$103)&gt;=$S99),$V99,IF(AND($R99&lt;&gt;"",EDATE($D99,Milestones!$AA$103)&gt;=$R99),$U99,$T99)))=Milestones!$AB$103),TEXT(EDATE($D99,Milestones!$AA$103),"dd/mm/yy")&amp;" "&amp;Milestones!$AB$103&amp;" "&amp;Milestones!$AC$103&amp;";  ","")&amp;IF(AND(EDATE($D99,Milestones!$AA$104)&lt;=AsOfDate,IF($Q99=0,$W99,IF(AND($S99&lt;&gt;"",EDATE($D99,Milestones!$AA$104)&gt;=$S99),$V99,IF(AND($R99&lt;&gt;"",EDATE($D99,Milestones!$AA$104)&gt;=$R99),$U99,$T99)))=Milestones!$AB$104),TEXT(EDATE($D99,Milestones!$AA$104),"dd/mm/yy")&amp;" "&amp;Milestones!$AB$104&amp;" "&amp;Milestones!$AC$104&amp;";  ","")&amp;IF(AND(EDATE($D99,Milestones!$AA$105)&lt;=AsOfDate,IF($Q99=0,$W99,IF(AND($S99&lt;&gt;"",EDATE($D99,Milestones!$AA$105)&gt;=$S99),$V99,IF(AND($R99&lt;&gt;"",EDATE($D99,Milestones!$AA$105)&gt;=$R99),$U99,$T99)))=Milestones!$AB$105),TEXT(EDATE($D99,Milestones!$AA$105),"dd/mm/yy")&amp;" "&amp;Milestones!$AB$105&amp;" "&amp;Milestones!$AC$105&amp;";  ","")&amp;IF(AND(EDATE($D99,Milestones!$AA$106)&lt;=AsOfDate,IF($Q99=0,$W99,IF(AND($S99&lt;&gt;"",EDATE($D99,Milestones!$AA$106)&gt;=$S99),$V99,IF(AND($R99&lt;&gt;"",EDATE($D99,Milestones!$AA$106)&gt;=$R99),$U99,$T99)))=Milestones!$AB$106),TEXT(EDATE($D99,Milestones!$AA$106),"dd/mm/yy")&amp;" "&amp;Milestones!$AB$106&amp;" "&amp;Milestones!$AC$106&amp;";  ","")&amp;IF(AND(EDATE($D99,Milestones!$AA$107)&lt;=AsOfDate,IF($Q99=0,$W99,IF(AND($S99&lt;&gt;"",EDATE($D99,Milestones!$AA$107)&gt;=$S99),$V99,IF(AND($R99&lt;&gt;"",EDATE($D99,Milestones!$AA$107)&gt;=$R99),$U99,$T99)))=Milestones!$AB$107),TEXT(EDATE($D99,Milestones!$AA$107),"dd/mm/yy")&amp;" "&amp;Milestones!$AB$107&amp;" "&amp;Milestones!$AC$107&amp;";  ","")&amp;IF(AND(EDATE($D99,Milestones!$AA$108)&lt;=AsOfDate,IF($Q99=0,$W99,IF(AND($S99&lt;&gt;"",EDATE($D99,Milestones!$AA$108)&gt;=$S99),$V99,IF(AND($R99&lt;&gt;"",EDATE($D99,Milestones!$AA$108)&gt;=$R99),$U99,$T99)))=Milestones!$AB$108),TEXT(EDATE($D99,Milestones!$AA$108),"dd/mm/yy")&amp;" "&amp;Milestones!$AB$108&amp;" "&amp;Milestones!$AC$108&amp;";  ","")&amp;IF(AND(EDATE($D99,Milestones!$AA$109)&lt;=AsOfDate,IF($Q99=0,$W99,IF(AND($S99&lt;&gt;"",EDATE($D99,Milestones!$AA$109)&gt;=$S99),$V99,IF(AND($R99&lt;&gt;"",EDATE($D99,Milestones!$AA$109)&gt;=$R99),$U99,$T99)))=Milestones!$AB$109),TEXT(EDATE($D99,Milestones!$AA$109),"dd/mm/yy")&amp;" "&amp;Milestones!$AB$109&amp;" "&amp;Milestones!$AC$109&amp;";  ","")&amp;IF(AND(EDATE($D99,Milestones!$AA$110)&lt;=AsOfDate,IF($Q99=0,$W99,IF(AND($S99&lt;&gt;"",EDATE($D99,Milestones!$AA$110)&gt;=$S99),$V99,IF(AND($R99&lt;&gt;"",EDATE($D99,Milestones!$AA$110)&gt;=$R99),$U99,$T99)))=Milestones!$AB$110),TEXT(EDATE($D99,Milestones!$AA$110),"dd/mm/yy")&amp;" "&amp;Milestones!$AB$110&amp;" "&amp;Milestones!$AC$110&amp;";  ","")&amp;IF(AND(EDATE($D99,Milestones!$AA$111)&lt;=AsOfDate,IF($Q99=0,$W99,IF(AND($S99&lt;&gt;"",EDATE($D99,Milestones!$AA$111)&gt;=$S99),$V99,IF(AND($R99&lt;&gt;"",EDATE($D99,Milestones!$AA$111)&gt;=$R99),$U99,$T99)))=Milestones!$AB$111),TEXT(EDATE($D99,Milestones!$AA$111),"dd/mm/yy")&amp;" "&amp;Milestones!$AB$111&amp;" "&amp;Milestones!$AC$111&amp;";  ","")&amp;IF(AND(EDATE($D99,Milestones!$AA$112)&lt;=AsOfDate,IF($Q99=0,$W99,IF(AND($S99&lt;&gt;"",EDATE($D99,Milestones!$AA$112)&gt;=$S99),$V99,IF(AND($R99&lt;&gt;"",EDATE($D99,Milestones!$AA$112)&gt;=$R99),$U99,$T99)))=Milestones!$AB$112),TEXT(EDATE($D99,Milestones!$AA$112),"dd/mm/yy")&amp;" "&amp;Milestones!$AB$112&amp;" "&amp;Milestones!$AC$112&amp;";  ","")&amp;IF(AND(EDATE($D99,Milestones!$AA$113)&lt;=AsOfDate,IF($Q99=0,$W99,IF(AND($S99&lt;&gt;"",EDATE($D99,Milestones!$AA$113)&gt;=$S99),$V99,IF(AND($R99&lt;&gt;"",EDATE($D99,Milestones!$AA$113)&gt;=$R99),$U99,$T99)))=Milestones!$AB$113),TEXT(EDATE($D99,Milestones!$AA$113),"dd/mm/yy")&amp;" "&amp;Milestones!$AB$113&amp;" "&amp;Milestones!$AC$113&amp;";  ","")&amp;IF(AND(EDATE($D99,Milestones!$AA$114)&lt;=AsOfDate,IF($Q99=0,$W99,IF(AND($S99&lt;&gt;"",EDATE($D99,Milestones!$AA$114)&gt;=$S99),$V99,IF(AND($R99&lt;&gt;"",EDATE($D99,Milestones!$AA$114)&gt;=$R99),$U99,$T99)))=Milestones!$AB$114),TEXT(EDATE($D99,Milestones!$AA$114),"dd/mm/yy")&amp;" "&amp;Milestones!$AB$114&amp;" "&amp;Milestones!$AC$114&amp;";  ","")&amp;IF(AND(EDATE($D99,Milestones!$AA$115)&lt;=AsOfDate,IF($Q99=0,$W99,IF(AND($S99&lt;&gt;"",EDATE($D99,Milestones!$AA$115)&gt;=$S99),$V99,IF(AND($R99&lt;&gt;"",EDATE($D99,Milestones!$AA$115)&gt;=$R99),$U99,$T99)))=Milestones!$AB$115),TEXT(EDATE($D99,Milestones!$AA$115),"dd/mm/yy")&amp;" "&amp;Milestones!$AB$115&amp;" "&amp;Milestones!$AC$115&amp;";  ","")&amp;IF(AND(EDATE($D99,Milestones!$AA$116)&lt;=AsOfDate,IF($Q99=0,$W99,IF(AND($S99&lt;&gt;"",EDATE($D99,Milestones!$AA$116)&gt;=$S99),$V99,IF(AND($R99&lt;&gt;"",EDATE($D99,Milestones!$AA$116)&gt;=$R99),$U99,$T99)))=Milestones!$AB$116),TEXT(EDATE($D99,Milestones!$AA$116),"dd/mm/yy")&amp;" "&amp;Milestones!$AB$116&amp;" "&amp;Milestones!$AC$116&amp;";  ","")&amp;IF(AND(EDATE($D99,Milestones!$AA$117)&lt;=AsOfDate,IF($Q99=0,$W99,IF(AND($S99&lt;&gt;"",EDATE($D99,Milestones!$AA$117)&gt;=$S99),$V99,IF(AND($R99&lt;&gt;"",EDATE($D99,Milestones!$AA$117)&gt;=$R99),$U99,$T99)))=Milestones!$AB$117),TEXT(EDATE($D99,Milestones!$AA$117),"dd/mm/yy")&amp;" "&amp;Milestones!$AB$117&amp;" "&amp;Milestones!$AC$117&amp;";  ","")&amp;IF(AND(EDATE($D99,Milestones!$AA$118)&lt;=AsOfDate,IF($Q99=0,$W99,IF(AND($S99&lt;&gt;"",EDATE($D99,Milestones!$AA$118)&gt;=$S99),$V99,IF(AND($R99&lt;&gt;"",EDATE($D99,Milestones!$AA$118)&gt;=$R99),$U99,$T99)))=Milestones!$AB$118),TEXT(EDATE($D99,Milestones!$AA$118),"dd/mm/yy")&amp;" "&amp;Milestones!$AB$118&amp;" "&amp;Milestones!$AC$118&amp;";  ","")&amp;IF(AND(EDATE($D99,Milestones!$AA$119)&lt;=AsOfDate,IF($Q99=0,$W99,IF(AND($S99&lt;&gt;"",EDATE($D99,Milestones!$AA$119)&gt;=$S99),$V99,IF(AND($R99&lt;&gt;"",EDATE($D99,Milestones!$AA$119)&gt;=$R99),$U99,$T99)))=Milestones!$AB$119),TEXT(EDATE($D99,Milestones!$AA$119),"dd/mm/yy")&amp;" "&amp;Milestones!$AB$119&amp;" "&amp;Milestones!$AC$119&amp;";  ",""))</f>
        <v/>
      </c>
      <c r="M99" s="0" t="str">
        <f aca="false">IF(OR($A99="",$D99=""),"",IF(AND(EDATE($D99,Milestones!$AA$120)&lt;=AsOfDate,IF($Q99=0,$W99,IF(AND($S99&lt;&gt;"",EDATE($D99,Milestones!$AA$120)&gt;=$S99),$V99,IF(AND($R99&lt;&gt;"",EDATE($D99,Milestones!$AA$120)&gt;=$R99),$U99,$T99)))=Milestones!$AB$120),TEXT(EDATE($D99,Milestones!$AA$120),"dd/mm/yy")&amp;" "&amp;Milestones!$AB$120&amp;" "&amp;Milestones!$AC$120&amp;";  ","")&amp;IF(AND(EDATE($D99,Milestones!$AA$121)&lt;=AsOfDate,IF($Q99=0,$W99,IF(AND($S99&lt;&gt;"",EDATE($D99,Milestones!$AA$121)&gt;=$S99),$V99,IF(AND($R99&lt;&gt;"",EDATE($D99,Milestones!$AA$121)&gt;=$R99),$U99,$T99)))=Milestones!$AB$121),TEXT(EDATE($D99,Milestones!$AA$121),"dd/mm/yy")&amp;" "&amp;Milestones!$AB$121&amp;" "&amp;Milestones!$AC$121&amp;";  ","")&amp;IF(AND(EDATE($D99,Milestones!$AA$122)&lt;=AsOfDate,IF($Q99=0,$W99,IF(AND($S99&lt;&gt;"",EDATE($D99,Milestones!$AA$122)&gt;=$S99),$V99,IF(AND($R99&lt;&gt;"",EDATE($D99,Milestones!$AA$122)&gt;=$R99),$U99,$T99)))=Milestones!$AB$122),TEXT(EDATE($D99,Milestones!$AA$122),"dd/mm/yy")&amp;" "&amp;Milestones!$AB$122&amp;" "&amp;Milestones!$AC$122&amp;";  ","")&amp;IF(AND(EDATE($D99,Milestones!$AA$123)&lt;=AsOfDate,IF($Q99=0,$W99,IF(AND($S99&lt;&gt;"",EDATE($D99,Milestones!$AA$123)&gt;=$S99),$V99,IF(AND($R99&lt;&gt;"",EDATE($D99,Milestones!$AA$123)&gt;=$R99),$U99,$T99)))=Milestones!$AB$123),TEXT(EDATE($D99,Milestones!$AA$123),"dd/mm/yy")&amp;" "&amp;Milestones!$AB$123&amp;" "&amp;Milestones!$AC$123&amp;";  ","")&amp;IF(AND(EDATE($D99,Milestones!$AA$124)&lt;=AsOfDate,IF($Q99=0,$W99,IF(AND($S99&lt;&gt;"",EDATE($D99,Milestones!$AA$124)&gt;=$S99),$V99,IF(AND($R99&lt;&gt;"",EDATE($D99,Milestones!$AA$124)&gt;=$R99),$U99,$T99)))=Milestones!$AB$124),TEXT(EDATE($D99,Milestones!$AA$124),"dd/mm/yy")&amp;" "&amp;Milestones!$AB$124&amp;" "&amp;Milestones!$AC$124&amp;";  ","")&amp;IF(AND(EDATE($D99,Milestones!$AA$125)&lt;=AsOfDate,IF($Q99=0,$W99,IF(AND($S99&lt;&gt;"",EDATE($D99,Milestones!$AA$125)&gt;=$S99),$V99,IF(AND($R99&lt;&gt;"",EDATE($D99,Milestones!$AA$125)&gt;=$R99),$U99,$T99)))=Milestones!$AB$125),TEXT(EDATE($D99,Milestones!$AA$125),"dd/mm/yy")&amp;" "&amp;Milestones!$AB$125&amp;" "&amp;Milestones!$AC$125&amp;";  ","")&amp;IF(AND(EDATE($D99,Milestones!$AA$126)&lt;=AsOfDate,IF($Q99=0,$W99,IF(AND($S99&lt;&gt;"",EDATE($D99,Milestones!$AA$126)&gt;=$S99),$V99,IF(AND($R99&lt;&gt;"",EDATE($D99,Milestones!$AA$126)&gt;=$R99),$U99,$T99)))=Milestones!$AB$126),TEXT(EDATE($D99,Milestones!$AA$126),"dd/mm/yy")&amp;" "&amp;Milestones!$AB$126&amp;" "&amp;Milestones!$AC$126&amp;";  ","")&amp;IF(AND(EDATE($D99,Milestones!$AA$127)&lt;=AsOfDate,IF($Q99=0,$W99,IF(AND($S99&lt;&gt;"",EDATE($D99,Milestones!$AA$127)&gt;=$S99),$V99,IF(AND($R99&lt;&gt;"",EDATE($D99,Milestones!$AA$127)&gt;=$R99),$U99,$T99)))=Milestones!$AB$127),TEXT(EDATE($D99,Milestones!$AA$127),"dd/mm/yy")&amp;" "&amp;Milestones!$AB$127&amp;" "&amp;Milestones!$AC$127&amp;";  ","")&amp;IF(AND(EDATE($D99,Milestones!$AA$128)&lt;=AsOfDate,IF($Q99=0,$W99,IF(AND($S99&lt;&gt;"",EDATE($D99,Milestones!$AA$128)&gt;=$S99),$V99,IF(AND($R99&lt;&gt;"",EDATE($D99,Milestones!$AA$128)&gt;=$R99),$U99,$T99)))=Milestones!$AB$128),TEXT(EDATE($D99,Milestones!$AA$128),"dd/mm/yy")&amp;" "&amp;Milestones!$AB$128&amp;" "&amp;Milestones!$AC$128&amp;";  ","")&amp;IF(AND(EDATE($D99,Milestones!$AA$129)&lt;=AsOfDate,IF($Q99=0,$W99,IF(AND($S99&lt;&gt;"",EDATE($D99,Milestones!$AA$129)&gt;=$S99),$V99,IF(AND($R99&lt;&gt;"",EDATE($D99,Milestones!$AA$129)&gt;=$R99),$U99,$T99)))=Milestones!$AB$129),TEXT(EDATE($D99,Milestones!$AA$129),"dd/mm/yy")&amp;" "&amp;Milestones!$AB$129&amp;" "&amp;Milestones!$AC$129&amp;";  ","")&amp;IF(AND(EDATE($D99,Milestones!$AA$130)&lt;=AsOfDate,IF($Q99=0,$W99,IF(AND($S99&lt;&gt;"",EDATE($D99,Milestones!$AA$130)&gt;=$S99),$V99,IF(AND($R99&lt;&gt;"",EDATE($D99,Milestones!$AA$130)&gt;=$R99),$U99,$T99)))=Milestones!$AB$130),TEXT(EDATE($D99,Milestones!$AA$130),"dd/mm/yy")&amp;" "&amp;Milestones!$AB$130&amp;" "&amp;Milestones!$AC$130&amp;";  ","")&amp;IF(AND(EDATE($D99,Milestones!$AA$131)&lt;=AsOfDate,IF($Q99=0,$W99,IF(AND($S99&lt;&gt;"",EDATE($D99,Milestones!$AA$131)&gt;=$S99),$V99,IF(AND($R99&lt;&gt;"",EDATE($D99,Milestones!$AA$131)&gt;=$R99),$U99,$T99)))=Milestones!$AB$131),TEXT(EDATE($D99,Milestones!$AA$131),"dd/mm/yy")&amp;" "&amp;Milestones!$AB$131&amp;" "&amp;Milestones!$AC$131&amp;";  ","")&amp;IF(AND(EDATE($D99,Milestones!$AA$132)&lt;=AsOfDate,IF($Q99=0,$W99,IF(AND($S99&lt;&gt;"",EDATE($D99,Milestones!$AA$132)&gt;=$S99),$V99,IF(AND($R99&lt;&gt;"",EDATE($D99,Milestones!$AA$132)&gt;=$R99),$U99,$T99)))=Milestones!$AB$132),TEXT(EDATE($D99,Milestones!$AA$132),"dd/mm/yy")&amp;" "&amp;Milestones!$AB$132&amp;" "&amp;Milestones!$AC$132&amp;";  ","")&amp;IF(AND(EDATE($D99,Milestones!$AA$133)&lt;=AsOfDate,IF($Q99=0,$W99,IF(AND($S99&lt;&gt;"",EDATE($D99,Milestones!$AA$133)&gt;=$S99),$V99,IF(AND($R99&lt;&gt;"",EDATE($D99,Milestones!$AA$133)&gt;=$R99),$U99,$T99)))=Milestones!$AB$133),TEXT(EDATE($D99,Milestones!$AA$133),"dd/mm/yy")&amp;" "&amp;Milestones!$AB$133&amp;" "&amp;Milestones!$AC$133&amp;";  ","")&amp;IF(AND(EDATE($D99,Milestones!$AA$134)&lt;=AsOfDate,IF($Q99=0,$W99,IF(AND($S99&lt;&gt;"",EDATE($D99,Milestones!$AA$134)&gt;=$S99),$V99,IF(AND($R99&lt;&gt;"",EDATE($D99,Milestones!$AA$134)&gt;=$R99),$U99,$T99)))=Milestones!$AB$134),TEXT(EDATE($D99,Milestones!$AA$134),"dd/mm/yy")&amp;" "&amp;Milestones!$AB$134&amp;" "&amp;Milestones!$AC$134&amp;";  ","")&amp;IF(AND(EDATE($D99,Milestones!$AA$135)&lt;=AsOfDate,IF($Q99=0,$W99,IF(AND($S99&lt;&gt;"",EDATE($D99,Milestones!$AA$135)&gt;=$S99),$V99,IF(AND($R99&lt;&gt;"",EDATE($D99,Milestones!$AA$135)&gt;=$R99),$U99,$T99)))=Milestones!$AB$135),TEXT(EDATE($D99,Milestones!$AA$135),"dd/mm/yy")&amp;" "&amp;Milestones!$AB$135&amp;" "&amp;Milestones!$AC$135&amp;";  ","")&amp;IF(AND(EDATE($D99,Milestones!$AA$136)&lt;=AsOfDate,IF($Q99=0,$W99,IF(AND($S99&lt;&gt;"",EDATE($D99,Milestones!$AA$136)&gt;=$S99),$V99,IF(AND($R99&lt;&gt;"",EDATE($D99,Milestones!$AA$136)&gt;=$R99),$U99,$T99)))=Milestones!$AB$136),TEXT(EDATE($D99,Milestones!$AA$136),"dd/mm/yy")&amp;" "&amp;Milestones!$AB$136&amp;" "&amp;Milestones!$AC$136&amp;";  ","")&amp;IF(AND(EDATE($D99,Milestones!$AA$137)&lt;=AsOfDate,IF($Q99=0,$W99,IF(AND($S99&lt;&gt;"",EDATE($D99,Milestones!$AA$137)&gt;=$S99),$V99,IF(AND($R99&lt;&gt;"",EDATE($D99,Milestones!$AA$137)&gt;=$R99),$U99,$T99)))=Milestones!$AB$137),TEXT(EDATE($D99,Milestones!$AA$137),"dd/mm/yy")&amp;" "&amp;Milestones!$AB$137&amp;" "&amp;Milestones!$AC$137&amp;";  ","")&amp;IF(AND(EDATE($D99,Milestones!$AA$138)&lt;=AsOfDate,IF($Q99=0,$W99,IF(AND($S99&lt;&gt;"",EDATE($D99,Milestones!$AA$138)&gt;=$S99),$V99,IF(AND($R99&lt;&gt;"",EDATE($D99,Milestones!$AA$138)&gt;=$R99),$U99,$T99)))=Milestones!$AB$138),TEXT(EDATE($D99,Milestones!$AA$138),"dd/mm/yy")&amp;" "&amp;Milestones!$AB$138&amp;" "&amp;Milestones!$AC$138&amp;";  ","")&amp;IF(AND(EDATE($D99,Milestones!$AA$139)&lt;=AsOfDate,IF($Q99=0,$W99,IF(AND($S99&lt;&gt;"",EDATE($D99,Milestones!$AA$139)&gt;=$S99),$V99,IF(AND($R99&lt;&gt;"",EDATE($D99,Milestones!$AA$139)&gt;=$R99),$U99,$T99)))=Milestones!$AB$139),TEXT(EDATE($D99,Milestones!$AA$139),"dd/mm/yy")&amp;" "&amp;Milestones!$AB$139&amp;" "&amp;Milestones!$AC$139&amp;";  ",""))</f>
        <v/>
      </c>
      <c r="N99" s="0" t="str">
        <f aca="false">IF(OR($A99="",$D99=""),"",IF(AND(EDATE($D99,Milestones!$AA$140)&lt;=AsOfDate,IF($Q99=0,$W99,IF(AND($S99&lt;&gt;"",EDATE($D99,Milestones!$AA$140)&gt;=$S99),$V99,IF(AND($R99&lt;&gt;"",EDATE($D99,Milestones!$AA$140)&gt;=$R99),$U99,$T99)))=Milestones!$AB$140),TEXT(EDATE($D99,Milestones!$AA$140),"dd/mm/yy")&amp;" "&amp;Milestones!$AB$140&amp;" "&amp;Milestones!$AC$140&amp;";  ","")&amp;IF(AND(EDATE($D99,Milestones!$AA$141)&lt;=AsOfDate,IF($Q99=0,$W99,IF(AND($S99&lt;&gt;"",EDATE($D99,Milestones!$AA$141)&gt;=$S99),$V99,IF(AND($R99&lt;&gt;"",EDATE($D99,Milestones!$AA$141)&gt;=$R99),$U99,$T99)))=Milestones!$AB$141),TEXT(EDATE($D99,Milestones!$AA$141),"dd/mm/yy")&amp;" "&amp;Milestones!$AB$141&amp;" "&amp;Milestones!$AC$141&amp;";  ","")&amp;IF(AND(EDATE($D99,Milestones!$AA$142)&lt;=AsOfDate,IF($Q99=0,$W99,IF(AND($S99&lt;&gt;"",EDATE($D99,Milestones!$AA$142)&gt;=$S99),$V99,IF(AND($R99&lt;&gt;"",EDATE($D99,Milestones!$AA$142)&gt;=$R99),$U99,$T99)))=Milestones!$AB$142),TEXT(EDATE($D99,Milestones!$AA$142),"dd/mm/yy")&amp;" "&amp;Milestones!$AB$142&amp;" "&amp;Milestones!$AC$142&amp;";  ","")&amp;IF(AND(EDATE($D99,Milestones!$AA$143)&lt;=AsOfDate,IF($Q99=0,$W99,IF(AND($S99&lt;&gt;"",EDATE($D99,Milestones!$AA$143)&gt;=$S99),$V99,IF(AND($R99&lt;&gt;"",EDATE($D99,Milestones!$AA$143)&gt;=$R99),$U99,$T99)))=Milestones!$AB$143),TEXT(EDATE($D99,Milestones!$AA$143),"dd/mm/yy")&amp;" "&amp;Milestones!$AB$143&amp;" "&amp;Milestones!$AC$143&amp;";  ","")&amp;IF(AND(EDATE($D99,Milestones!$AA$144)&lt;=AsOfDate,IF($Q99=0,$W99,IF(AND($S99&lt;&gt;"",EDATE($D99,Milestones!$AA$144)&gt;=$S99),$V99,IF(AND($R99&lt;&gt;"",EDATE($D99,Milestones!$AA$144)&gt;=$R99),$U99,$T99)))=Milestones!$AB$144),TEXT(EDATE($D99,Milestones!$AA$144),"dd/mm/yy")&amp;" "&amp;Milestones!$AB$144&amp;" "&amp;Milestones!$AC$144&amp;";  ","")&amp;IF(AND(EDATE($D99,Milestones!$AA$145)&lt;=AsOfDate,IF($Q99=0,$W99,IF(AND($S99&lt;&gt;"",EDATE($D99,Milestones!$AA$145)&gt;=$S99),$V99,IF(AND($R99&lt;&gt;"",EDATE($D99,Milestones!$AA$145)&gt;=$R99),$U99,$T99)))=Milestones!$AB$145),TEXT(EDATE($D99,Milestones!$AA$145),"dd/mm/yy")&amp;" "&amp;Milestones!$AB$145&amp;" "&amp;Milestones!$AC$145&amp;";  ","")&amp;IF(AND(EDATE($D99,Milestones!$AA$146)&lt;=AsOfDate,IF($Q99=0,$W99,IF(AND($S99&lt;&gt;"",EDATE($D99,Milestones!$AA$146)&gt;=$S99),$V99,IF(AND($R99&lt;&gt;"",EDATE($D99,Milestones!$AA$146)&gt;=$R99),$U99,$T99)))=Milestones!$AB$146),TEXT(EDATE($D99,Milestones!$AA$146),"dd/mm/yy")&amp;" "&amp;Milestones!$AB$146&amp;" "&amp;Milestones!$AC$146&amp;";  ","")&amp;IF(AND(EDATE($D99,Milestones!$AA$147)&lt;=AsOfDate,IF($Q99=0,$W99,IF(AND($S99&lt;&gt;"",EDATE($D99,Milestones!$AA$147)&gt;=$S99),$V99,IF(AND($R99&lt;&gt;"",EDATE($D99,Milestones!$AA$147)&gt;=$R99),$U99,$T99)))=Milestones!$AB$147),TEXT(EDATE($D99,Milestones!$AA$147),"dd/mm/yy")&amp;" "&amp;Milestones!$AB$147&amp;" "&amp;Milestones!$AC$147&amp;";  ","")&amp;IF(AND(EDATE($D99,Milestones!$AA$148)&lt;=AsOfDate,IF($Q99=0,$W99,IF(AND($S99&lt;&gt;"",EDATE($D99,Milestones!$AA$148)&gt;=$S99),$V99,IF(AND($R99&lt;&gt;"",EDATE($D99,Milestones!$AA$148)&gt;=$R99),$U99,$T99)))=Milestones!$AB$148),TEXT(EDATE($D99,Milestones!$AA$148),"dd/mm/yy")&amp;" "&amp;Milestones!$AB$148&amp;" "&amp;Milestones!$AC$148&amp;";  ","")&amp;IF(AND(EDATE($D99,Milestones!$AA$149)&lt;=AsOfDate,IF($Q99=0,$W99,IF(AND($S99&lt;&gt;"",EDATE($D99,Milestones!$AA$149)&gt;=$S99),$V99,IF(AND($R99&lt;&gt;"",EDATE($D99,Milestones!$AA$149)&gt;=$R99),$U99,$T99)))=Milestones!$AB$149),TEXT(EDATE($D99,Milestones!$AA$149),"dd/mm/yy")&amp;" "&amp;Milestones!$AB$149&amp;" "&amp;Milestones!$AC$149&amp;";  ","")&amp;IF(AND(EDATE($D99,Milestones!$AA$150)&lt;=AsOfDate,IF($Q99=0,$W99,IF(AND($S99&lt;&gt;"",EDATE($D99,Milestones!$AA$150)&gt;=$S99),$V99,IF(AND($R99&lt;&gt;"",EDATE($D99,Milestones!$AA$150)&gt;=$R99),$U99,$T99)))=Milestones!$AB$150),TEXT(EDATE($D99,Milestones!$AA$150),"dd/mm/yy")&amp;" "&amp;Milestones!$AB$150&amp;" "&amp;Milestones!$AC$150&amp;";  ","")&amp;IF(AND(EDATE($D99,Milestones!$AA$151)&lt;=AsOfDate,IF($Q99=0,$W99,IF(AND($S99&lt;&gt;"",EDATE($D99,Milestones!$AA$151)&gt;=$S99),$V99,IF(AND($R99&lt;&gt;"",EDATE($D99,Milestones!$AA$151)&gt;=$R99),$U99,$T99)))=Milestones!$AB$151),TEXT(EDATE($D99,Milestones!$AA$151),"dd/mm/yy")&amp;" "&amp;Milestones!$AB$151&amp;" "&amp;Milestones!$AC$151&amp;";  ","")&amp;IF(AND(EDATE($D99,Milestones!$AA$152)&lt;=AsOfDate,IF($Q99=0,$W99,IF(AND($S99&lt;&gt;"",EDATE($D99,Milestones!$AA$152)&gt;=$S99),$V99,IF(AND($R99&lt;&gt;"",EDATE($D99,Milestones!$AA$152)&gt;=$R99),$U99,$T99)))=Milestones!$AB$152),TEXT(EDATE($D99,Milestones!$AA$152),"dd/mm/yy")&amp;" "&amp;Milestones!$AB$152&amp;" "&amp;Milestones!$AC$152&amp;";  ","")&amp;IF(AND(EDATE($D99,Milestones!$AA$153)&lt;=AsOfDate,IF($Q99=0,$W99,IF(AND($S99&lt;&gt;"",EDATE($D99,Milestones!$AA$153)&gt;=$S99),$V99,IF(AND($R99&lt;&gt;"",EDATE($D99,Milestones!$AA$153)&gt;=$R99),$U99,$T99)))=Milestones!$AB$153),TEXT(EDATE($D99,Milestones!$AA$153),"dd/mm/yy")&amp;" "&amp;Milestones!$AB$153&amp;" "&amp;Milestones!$AC$153&amp;";  ","")&amp;IF(AND(EDATE($D99,Milestones!$AA$154)&lt;=AsOfDate,IF($Q99=0,$W99,IF(AND($S99&lt;&gt;"",EDATE($D99,Milestones!$AA$154)&gt;=$S99),$V99,IF(AND($R99&lt;&gt;"",EDATE($D99,Milestones!$AA$154)&gt;=$R99),$U99,$T99)))=Milestones!$AB$154),TEXT(EDATE($D99,Milestones!$AA$154),"dd/mm/yy")&amp;" "&amp;Milestones!$AB$154&amp;" "&amp;Milestones!$AC$154&amp;";  ","")&amp;IF(AND(EDATE($D99,Milestones!$AA$155)&lt;=AsOfDate,IF($Q99=0,$W99,IF(AND($S99&lt;&gt;"",EDATE($D99,Milestones!$AA$155)&gt;=$S99),$V99,IF(AND($R99&lt;&gt;"",EDATE($D99,Milestones!$AA$155)&gt;=$R99),$U99,$T99)))=Milestones!$AB$155),TEXT(EDATE($D99,Milestones!$AA$155),"dd/mm/yy")&amp;" "&amp;Milestones!$AB$155&amp;" "&amp;Milestones!$AC$155&amp;";  ","")&amp;IF(AND(EDATE($D99,Milestones!$AA$156)&lt;=AsOfDate,IF($Q99=0,$W99,IF(AND($S99&lt;&gt;"",EDATE($D99,Milestones!$AA$156)&gt;=$S99),$V99,IF(AND($R99&lt;&gt;"",EDATE($D99,Milestones!$AA$156)&gt;=$R99),$U99,$T99)))=Milestones!$AB$156),TEXT(EDATE($D99,Milestones!$AA$156),"dd/mm/yy")&amp;" "&amp;Milestones!$AB$156&amp;" "&amp;Milestones!$AC$156&amp;";  ","")&amp;IF(AND(EDATE($D99,Milestones!$AA$157)&lt;=AsOfDate,IF($Q99=0,$W99,IF(AND($S99&lt;&gt;"",EDATE($D99,Milestones!$AA$157)&gt;=$S99),$V99,IF(AND($R99&lt;&gt;"",EDATE($D99,Milestones!$AA$157)&gt;=$R99),$U99,$T99)))=Milestones!$AB$157),TEXT(EDATE($D99,Milestones!$AA$157),"dd/mm/yy")&amp;" "&amp;Milestones!$AB$157&amp;" "&amp;Milestones!$AC$157&amp;";  ","")&amp;IF(AND(EDATE($D99,Milestones!$AA$158)&lt;=AsOfDate,IF($Q99=0,$W99,IF(AND($S99&lt;&gt;"",EDATE($D99,Milestones!$AA$158)&gt;=$S99),$V99,IF(AND($R99&lt;&gt;"",EDATE($D99,Milestones!$AA$158)&gt;=$R99),$U99,$T99)))=Milestones!$AB$158),TEXT(EDATE($D99,Milestones!$AA$158),"dd/mm/yy")&amp;" "&amp;Milestones!$AB$158&amp;" "&amp;Milestones!$AC$158&amp;";  ","")&amp;IF(AND(EDATE($D99,Milestones!$AA$159)&lt;=AsOfDate,IF($Q99=0,$W99,IF(AND($S99&lt;&gt;"",EDATE($D99,Milestones!$AA$159)&gt;=$S99),$V99,IF(AND($R99&lt;&gt;"",EDATE($D99,Milestones!$AA$159)&gt;=$R99),$U99,$T99)))=Milestones!$AB$159),TEXT(EDATE($D99,Milestones!$AA$159),"dd/mm/yy")&amp;" "&amp;Milestones!$AB$159&amp;" "&amp;Milestones!$AC$159&amp;";  ",""))</f>
        <v/>
      </c>
      <c r="O99" s="0" t="str">
        <f aca="false">IF(OR($A99="",$D99=""),"",IF(AND(EDATE($D99,Milestones!$AA$160)&lt;=AsOfDate,IF($Q99=0,$W99,IF(AND($S99&lt;&gt;"",EDATE($D99,Milestones!$AA$160)&gt;=$S99),$V99,IF(AND($R99&lt;&gt;"",EDATE($D99,Milestones!$AA$160)&gt;=$R99),$U99,$T99)))=Milestones!$AB$160),TEXT(EDATE($D99,Milestones!$AA$160),"dd/mm/yy")&amp;" "&amp;Milestones!$AB$160&amp;" "&amp;Milestones!$AC$160&amp;";  ","")&amp;IF(AND(EDATE($D99,Milestones!$AA$161)&lt;=AsOfDate,IF($Q99=0,$W99,IF(AND($S99&lt;&gt;"",EDATE($D99,Milestones!$AA$161)&gt;=$S99),$V99,IF(AND($R99&lt;&gt;"",EDATE($D99,Milestones!$AA$161)&gt;=$R99),$U99,$T99)))=Milestones!$AB$161),TEXT(EDATE($D99,Milestones!$AA$161),"dd/mm/yy")&amp;" "&amp;Milestones!$AB$161&amp;" "&amp;Milestones!$AC$161&amp;";  ","")&amp;IF(AND(EDATE($D99,Milestones!$AA$162)&lt;=AsOfDate,IF($Q99=0,$W99,IF(AND($S99&lt;&gt;"",EDATE($D99,Milestones!$AA$162)&gt;=$S99),$V99,IF(AND($R99&lt;&gt;"",EDATE($D99,Milestones!$AA$162)&gt;=$R99),$U99,$T99)))=Milestones!$AB$162),TEXT(EDATE($D99,Milestones!$AA$162),"dd/mm/yy")&amp;" "&amp;Milestones!$AB$162&amp;" "&amp;Milestones!$AC$162&amp;";  ","")&amp;IF(AND(EDATE($D99,Milestones!$AA$163)&lt;=AsOfDate,IF($Q99=0,$W99,IF(AND($S99&lt;&gt;"",EDATE($D99,Milestones!$AA$163)&gt;=$S99),$V99,IF(AND($R99&lt;&gt;"",EDATE($D99,Milestones!$AA$163)&gt;=$R99),$U99,$T99)))=Milestones!$AB$163),TEXT(EDATE($D99,Milestones!$AA$163),"dd/mm/yy")&amp;" "&amp;Milestones!$AB$163&amp;" "&amp;Milestones!$AC$163&amp;";  ","")&amp;IF(AND(EDATE($D99,Milestones!$AA$164)&lt;=AsOfDate,IF($Q99=0,$W99,IF(AND($S99&lt;&gt;"",EDATE($D99,Milestones!$AA$164)&gt;=$S99),$V99,IF(AND($R99&lt;&gt;"",EDATE($D99,Milestones!$AA$164)&gt;=$R99),$U99,$T99)))=Milestones!$AB$164),TEXT(EDATE($D99,Milestones!$AA$164),"dd/mm/yy")&amp;" "&amp;Milestones!$AB$164&amp;" "&amp;Milestones!$AC$164&amp;";  ","")&amp;IF(AND(EDATE($D99,Milestones!$AA$165)&lt;=AsOfDate,IF($Q99=0,$W99,IF(AND($S99&lt;&gt;"",EDATE($D99,Milestones!$AA$165)&gt;=$S99),$V99,IF(AND($R99&lt;&gt;"",EDATE($D99,Milestones!$AA$165)&gt;=$R99),$U99,$T99)))=Milestones!$AB$165),TEXT(EDATE($D99,Milestones!$AA$165),"dd/mm/yy")&amp;" "&amp;Milestones!$AB$165&amp;" "&amp;Milestones!$AC$165&amp;";  ","")&amp;IF(AND(EDATE($D99,Milestones!$AA$166)&lt;=AsOfDate,IF($Q99=0,$W99,IF(AND($S99&lt;&gt;"",EDATE($D99,Milestones!$AA$166)&gt;=$S99),$V99,IF(AND($R99&lt;&gt;"",EDATE($D99,Milestones!$AA$166)&gt;=$R99),$U99,$T99)))=Milestones!$AB$166),TEXT(EDATE($D99,Milestones!$AA$166),"dd/mm/yy")&amp;" "&amp;Milestones!$AB$166&amp;" "&amp;Milestones!$AC$166&amp;";  ","")&amp;IF(AND(EDATE($D99,Milestones!$AA$167)&lt;=AsOfDate,IF($Q99=0,$W99,IF(AND($S99&lt;&gt;"",EDATE($D99,Milestones!$AA$167)&gt;=$S99),$V99,IF(AND($R99&lt;&gt;"",EDATE($D99,Milestones!$AA$167)&gt;=$R99),$U99,$T99)))=Milestones!$AB$167),TEXT(EDATE($D99,Milestones!$AA$167),"dd/mm/yy")&amp;" "&amp;Milestones!$AB$167&amp;" "&amp;Milestones!$AC$167&amp;";  ","")&amp;IF(AND(EDATE($D99,Milestones!$AA$168)&lt;=AsOfDate,IF($Q99=0,$W99,IF(AND($S99&lt;&gt;"",EDATE($D99,Milestones!$AA$168)&gt;=$S99),$V99,IF(AND($R99&lt;&gt;"",EDATE($D99,Milestones!$AA$168)&gt;=$R99),$U99,$T99)))=Milestones!$AB$168),TEXT(EDATE($D99,Milestones!$AA$168),"dd/mm/yy")&amp;" "&amp;Milestones!$AB$168&amp;" "&amp;Milestones!$AC$168&amp;";  ","")&amp;IF(AND(EDATE($D99,Milestones!$AA$169)&lt;=AsOfDate,IF($Q99=0,$W99,IF(AND($S99&lt;&gt;"",EDATE($D99,Milestones!$AA$169)&gt;=$S99),$V99,IF(AND($R99&lt;&gt;"",EDATE($D99,Milestones!$AA$169)&gt;=$R99),$U99,$T99)))=Milestones!$AB$169),TEXT(EDATE($D99,Milestones!$AA$169),"dd/mm/yy")&amp;" "&amp;Milestones!$AB$169&amp;" "&amp;Milestones!$AC$169&amp;";  ","")&amp;IF(AND(EDATE($D99,Milestones!$AA$170)&lt;=AsOfDate,IF($Q99=0,$W99,IF(AND($S99&lt;&gt;"",EDATE($D99,Milestones!$AA$170)&gt;=$S99),$V99,IF(AND($R99&lt;&gt;"",EDATE($D99,Milestones!$AA$170)&gt;=$R99),$U99,$T99)))=Milestones!$AB$170),TEXT(EDATE($D99,Milestones!$AA$170),"dd/mm/yy")&amp;" "&amp;Milestones!$AB$170&amp;" "&amp;Milestones!$AC$170&amp;";  ","")&amp;IF(AND(EDATE($D99,Milestones!$AA$171)&lt;=AsOfDate,IF($Q99=0,$W99,IF(AND($S99&lt;&gt;"",EDATE($D99,Milestones!$AA$171)&gt;=$S99),$V99,IF(AND($R99&lt;&gt;"",EDATE($D99,Milestones!$AA$171)&gt;=$R99),$U99,$T99)))=Milestones!$AB$171),TEXT(EDATE($D99,Milestones!$AA$171),"dd/mm/yy")&amp;" "&amp;Milestones!$AB$171&amp;" "&amp;Milestones!$AC$171&amp;";  ","")&amp;IF(AND(EDATE($D99,Milestones!$AA$172)&lt;=AsOfDate,IF($Q99=0,$W99,IF(AND($S99&lt;&gt;"",EDATE($D99,Milestones!$AA$172)&gt;=$S99),$V99,IF(AND($R99&lt;&gt;"",EDATE($D99,Milestones!$AA$172)&gt;=$R99),$U99,$T99)))=Milestones!$AB$172),TEXT(EDATE($D99,Milestones!$AA$172),"dd/mm/yy")&amp;" "&amp;Milestones!$AB$172&amp;" "&amp;Milestones!$AC$172&amp;";  ","")&amp;IF(AND(EDATE($D99,Milestones!$AA$173)&lt;=AsOfDate,IF($Q99=0,$W99,IF(AND($S99&lt;&gt;"",EDATE($D99,Milestones!$AA$173)&gt;=$S99),$V99,IF(AND($R99&lt;&gt;"",EDATE($D99,Milestones!$AA$173)&gt;=$R99),$U99,$T99)))=Milestones!$AB$173),TEXT(EDATE($D99,Milestones!$AA$173),"dd/mm/yy")&amp;" "&amp;Milestones!$AB$173&amp;" "&amp;Milestones!$AC$173&amp;";  ","")&amp;IF(AND(EDATE($D99,Milestones!$AA$174)&lt;=AsOfDate,IF($Q99=0,$W99,IF(AND($S99&lt;&gt;"",EDATE($D99,Milestones!$AA$174)&gt;=$S99),$V99,IF(AND($R99&lt;&gt;"",EDATE($D99,Milestones!$AA$174)&gt;=$R99),$U99,$T99)))=Milestones!$AB$174),TEXT(EDATE($D99,Milestones!$AA$174),"dd/mm/yy")&amp;" "&amp;Milestones!$AB$174&amp;" "&amp;Milestones!$AC$174&amp;";  ","")&amp;IF(AND(EDATE($D99,Milestones!$AA$175)&lt;=AsOfDate,IF($Q99=0,$W99,IF(AND($S99&lt;&gt;"",EDATE($D99,Milestones!$AA$175)&gt;=$S99),$V99,IF(AND($R99&lt;&gt;"",EDATE($D99,Milestones!$AA$175)&gt;=$R99),$U99,$T99)))=Milestones!$AB$175),TEXT(EDATE($D99,Milestones!$AA$175),"dd/mm/yy")&amp;" "&amp;Milestones!$AB$175&amp;" "&amp;Milestones!$AC$175&amp;";  ","")&amp;IF(AND(EDATE($D99,Milestones!$AA$176)&lt;=AsOfDate,IF($Q99=0,$W99,IF(AND($S99&lt;&gt;"",EDATE($D99,Milestones!$AA$176)&gt;=$S99),$V99,IF(AND($R99&lt;&gt;"",EDATE($D99,Milestones!$AA$176)&gt;=$R99),$U99,$T99)))=Milestones!$AB$176),TEXT(EDATE($D99,Milestones!$AA$176),"dd/mm/yy")&amp;" "&amp;Milestones!$AB$176&amp;" "&amp;Milestones!$AC$176&amp;";  ","")&amp;IF(AND(EDATE($D99,Milestones!$AA$177)&lt;=AsOfDate,IF($Q99=0,$W99,IF(AND($S99&lt;&gt;"",EDATE($D99,Milestones!$AA$177)&gt;=$S99),$V99,IF(AND($R99&lt;&gt;"",EDATE($D99,Milestones!$AA$177)&gt;=$R99),$U99,$T99)))=Milestones!$AB$177),TEXT(EDATE($D99,Milestones!$AA$177),"dd/mm/yy")&amp;" "&amp;Milestones!$AB$177&amp;" "&amp;Milestones!$AC$177&amp;";  ","")&amp;IF(AND(EDATE($D99,Milestones!$AA$178)&lt;=AsOfDate,IF($Q99=0,$W99,IF(AND($S99&lt;&gt;"",EDATE($D99,Milestones!$AA$178)&gt;=$S99),$V99,IF(AND($R99&lt;&gt;"",EDATE($D99,Milestones!$AA$178)&gt;=$R99),$U99,$T99)))=Milestones!$AB$178),TEXT(EDATE($D99,Milestones!$AA$178),"dd/mm/yy")&amp;" "&amp;Milestones!$AB$178&amp;" "&amp;Milestones!$AC$178&amp;";  ","")&amp;IF(AND(EDATE($D99,Milestones!$AA$179)&lt;=AsOfDate,IF($Q99=0,$W99,IF(AND($S99&lt;&gt;"",EDATE($D99,Milestones!$AA$179)&gt;=$S99),$V99,IF(AND($R99&lt;&gt;"",EDATE($D99,Milestones!$AA$179)&gt;=$R99),$U99,$T99)))=Milestones!$AB$179),TEXT(EDATE($D99,Milestones!$AA$179),"dd/mm/yy")&amp;" "&amp;Milestones!$AB$179&amp;" "&amp;Milestones!$AC$179&amp;";  ",""))</f>
        <v/>
      </c>
      <c r="P99" s="0" t="str">
        <f aca="false">IF(OR($A99="",$D99=""),"",IF(AND(EDATE($D99,Milestones!$AA$180)&lt;=AsOfDate,IF($Q99=0,$W99,IF(AND($S99&lt;&gt;"",EDATE($D99,Milestones!$AA$180)&gt;=$S99),$V99,IF(AND($R99&lt;&gt;"",EDATE($D99,Milestones!$AA$180)&gt;=$R99),$U99,$T99)))=Milestones!$AB$180),TEXT(EDATE($D99,Milestones!$AA$180),"dd/mm/yy")&amp;" "&amp;Milestones!$AB$180&amp;" "&amp;Milestones!$AC$180&amp;";  ","")&amp;IF(AND(EDATE($D99,Milestones!$AA$181)&lt;=AsOfDate,IF($Q99=0,$W99,IF(AND($S99&lt;&gt;"",EDATE($D99,Milestones!$AA$181)&gt;=$S99),$V99,IF(AND($R99&lt;&gt;"",EDATE($D99,Milestones!$AA$181)&gt;=$R99),$U99,$T99)))=Milestones!$AB$181),TEXT(EDATE($D99,Milestones!$AA$181),"dd/mm/yy")&amp;" "&amp;Milestones!$AB$181&amp;" "&amp;Milestones!$AC$181&amp;";  ","")&amp;IF(AND(EDATE($D99,Milestones!$AA$182)&lt;=AsOfDate,IF($Q99=0,$W99,IF(AND($S99&lt;&gt;"",EDATE($D99,Milestones!$AA$182)&gt;=$S99),$V99,IF(AND($R99&lt;&gt;"",EDATE($D99,Milestones!$AA$182)&gt;=$R99),$U99,$T99)))=Milestones!$AB$182),TEXT(EDATE($D99,Milestones!$AA$182),"dd/mm/yy")&amp;" "&amp;Milestones!$AB$182&amp;" "&amp;Milestones!$AC$182&amp;";  ","")&amp;IF(AND(EDATE($D99,Milestones!$AA$183)&lt;=AsOfDate,IF($Q99=0,$W99,IF(AND($S99&lt;&gt;"",EDATE($D99,Milestones!$AA$183)&gt;=$S99),$V99,IF(AND($R99&lt;&gt;"",EDATE($D99,Milestones!$AA$183)&gt;=$R99),$U99,$T99)))=Milestones!$AB$183),TEXT(EDATE($D99,Milestones!$AA$183),"dd/mm/yy")&amp;" "&amp;Milestones!$AB$183&amp;" "&amp;Milestones!$AC$183&amp;";  ","")&amp;IF(AND(EDATE($D99,Milestones!$AA$184)&lt;=AsOfDate,IF($Q99=0,$W99,IF(AND($S99&lt;&gt;"",EDATE($D99,Milestones!$AA$184)&gt;=$S99),$V99,IF(AND($R99&lt;&gt;"",EDATE($D99,Milestones!$AA$184)&gt;=$R99),$U99,$T99)))=Milestones!$AB$184),TEXT(EDATE($D99,Milestones!$AA$184),"dd/mm/yy")&amp;" "&amp;Milestones!$AB$184&amp;" "&amp;Milestones!$AC$184&amp;";  ","")&amp;IF(AND(EDATE($D99,Milestones!$AA$185)&lt;=AsOfDate,IF($Q99=0,$W99,IF(AND($S99&lt;&gt;"",EDATE($D99,Milestones!$AA$185)&gt;=$S99),$V99,IF(AND($R99&lt;&gt;"",EDATE($D99,Milestones!$AA$185)&gt;=$R99),$U99,$T99)))=Milestones!$AB$185),TEXT(EDATE($D99,Milestones!$AA$185),"dd/mm/yy")&amp;" "&amp;Milestones!$AB$185&amp;" "&amp;Milestones!$AC$185&amp;";  ","")&amp;IF(AND(EDATE($D99,Milestones!$AA$186)&lt;=AsOfDate,IF($Q99=0,$W99,IF(AND($S99&lt;&gt;"",EDATE($D99,Milestones!$AA$186)&gt;=$S99),$V99,IF(AND($R99&lt;&gt;"",EDATE($D99,Milestones!$AA$186)&gt;=$R99),$U99,$T99)))=Milestones!$AB$186),TEXT(EDATE($D99,Milestones!$AA$186),"dd/mm/yy")&amp;" "&amp;Milestones!$AB$186&amp;" "&amp;Milestones!$AC$186&amp;";  ","")&amp;IF(AND(EDATE($D99,Milestones!$AA$187)&lt;=AsOfDate,IF($Q99=0,$W99,IF(AND($S99&lt;&gt;"",EDATE($D99,Milestones!$AA$187)&gt;=$S99),$V99,IF(AND($R99&lt;&gt;"",EDATE($D99,Milestones!$AA$187)&gt;=$R99),$U99,$T99)))=Milestones!$AB$187),TEXT(EDATE($D99,Milestones!$AA$187),"dd/mm/yy")&amp;" "&amp;Milestones!$AB$187&amp;" "&amp;Milestones!$AC$187&amp;";  ","")&amp;IF(AND(EDATE($D99,Milestones!$AA$188)&lt;=AsOfDate,IF($Q99=0,$W99,IF(AND($S99&lt;&gt;"",EDATE($D99,Milestones!$AA$188)&gt;=$S99),$V99,IF(AND($R99&lt;&gt;"",EDATE($D99,Milestones!$AA$188)&gt;=$R99),$U99,$T99)))=Milestones!$AB$188),TEXT(EDATE($D99,Milestones!$AA$188),"dd/mm/yy")&amp;" "&amp;Milestones!$AB$188&amp;" "&amp;Milestones!$AC$188&amp;";  ","")&amp;IF(AND(EDATE($D99,Milestones!$AA$189)&lt;=AsOfDate,IF($Q99=0,$W99,IF(AND($S99&lt;&gt;"",EDATE($D99,Milestones!$AA$189)&gt;=$S99),$V99,IF(AND($R99&lt;&gt;"",EDATE($D99,Milestones!$AA$189)&gt;=$R99),$U99,$T99)))=Milestones!$AB$189),TEXT(EDATE($D99,Milestones!$AA$189),"dd/mm/yy")&amp;" "&amp;Milestones!$AB$189&amp;" "&amp;Milestones!$AC$189&amp;";  ","")&amp;IF(AND(EDATE($D99,Milestones!$AA$190)&lt;=AsOfDate,IF($Q99=0,$W99,IF(AND($S99&lt;&gt;"",EDATE($D99,Milestones!$AA$190)&gt;=$S99),$V99,IF(AND($R99&lt;&gt;"",EDATE($D99,Milestones!$AA$190)&gt;=$R99),$U99,$T99)))=Milestones!$AB$190),TEXT(EDATE($D99,Milestones!$AA$190),"dd/mm/yy")&amp;" "&amp;Milestones!$AB$190&amp;" "&amp;Milestones!$AC$190&amp;";  ","")&amp;IF(AND(EDATE($D99,Milestones!$AA$191)&lt;=AsOfDate,IF($Q99=0,$W99,IF(AND($S99&lt;&gt;"",EDATE($D99,Milestones!$AA$191)&gt;=$S99),$V99,IF(AND($R99&lt;&gt;"",EDATE($D99,Milestones!$AA$191)&gt;=$R99),$U99,$T99)))=Milestones!$AB$191),TEXT(EDATE($D99,Milestones!$AA$191),"dd/mm/yy")&amp;" "&amp;Milestones!$AB$191&amp;" "&amp;Milestones!$AC$191&amp;";  ","")&amp;IF(AND(EDATE($D99,Milestones!$AA$192)&lt;=AsOfDate,IF($Q99=0,$W99,IF(AND($S99&lt;&gt;"",EDATE($D99,Milestones!$AA$192)&gt;=$S99),$V99,IF(AND($R99&lt;&gt;"",EDATE($D99,Milestones!$AA$192)&gt;=$R99),$U99,$T99)))=Milestones!$AB$192),TEXT(EDATE($D99,Milestones!$AA$192),"dd/mm/yy")&amp;" "&amp;Milestones!$AB$192&amp;" "&amp;Milestones!$AC$192&amp;";  ","")&amp;IF(AND(EDATE($D99,Milestones!$AA$193)&lt;=AsOfDate,IF($Q99=0,$W99,IF(AND($S99&lt;&gt;"",EDATE($D99,Milestones!$AA$193)&gt;=$S99),$V99,IF(AND($R99&lt;&gt;"",EDATE($D99,Milestones!$AA$193)&gt;=$R99),$U99,$T99)))=Milestones!$AB$193),TEXT(EDATE($D99,Milestones!$AA$193),"dd/mm/yy")&amp;" "&amp;Milestones!$AB$193&amp;" "&amp;Milestones!$AC$193&amp;";  ","")&amp;IF(AND(EDATE($D99,Milestones!$AA$194)&lt;=AsOfDate,IF($Q99=0,$W99,IF(AND($S99&lt;&gt;"",EDATE($D99,Milestones!$AA$194)&gt;=$S99),$V99,IF(AND($R99&lt;&gt;"",EDATE($D99,Milestones!$AA$194)&gt;=$R99),$U99,$T99)))=Milestones!$AB$194),TEXT(EDATE($D99,Milestones!$AA$194),"dd/mm/yy")&amp;" "&amp;Milestones!$AB$194&amp;" "&amp;Milestones!$AC$194&amp;";  ","")&amp;IF(AND(EDATE($D99,Milestones!$AA$195)&lt;=AsOfDate,IF($Q99=0,$W99,IF(AND($S99&lt;&gt;"",EDATE($D99,Milestones!$AA$195)&gt;=$S99),$V99,IF(AND($R99&lt;&gt;"",EDATE($D99,Milestones!$AA$195)&gt;=$R99),$U99,$T99)))=Milestones!$AB$195),TEXT(EDATE($D99,Milestones!$AA$195),"dd/mm/yy")&amp;" "&amp;Milestones!$AB$195&amp;" "&amp;Milestones!$AC$195&amp;";  ","")&amp;IF(AND(EDATE($D99,Milestones!$AA$196)&lt;=AsOfDate,IF($Q99=0,$W99,IF(AND($S99&lt;&gt;"",EDATE($D99,Milestones!$AA$196)&gt;=$S99),$V99,IF(AND($R99&lt;&gt;"",EDATE($D99,Milestones!$AA$196)&gt;=$R99),$U99,$T99)))=Milestones!$AB$196),TEXT(EDATE($D99,Milestones!$AA$196),"dd/mm/yy")&amp;" "&amp;Milestones!$AB$196&amp;" "&amp;Milestones!$AC$196&amp;";  ","")&amp;IF(AND(EDATE($D99,Milestones!$AA$197)&lt;=AsOfDate,IF($Q99=0,$W99,IF(AND($S99&lt;&gt;"",EDATE($D99,Milestones!$AA$197)&gt;=$S99),$V99,IF(AND($R99&lt;&gt;"",EDATE($D99,Milestones!$AA$197)&gt;=$R99),$U99,$T99)))=Milestones!$AB$197),TEXT(EDATE($D99,Milestones!$AA$197),"dd/mm/yy")&amp;" "&amp;Milestones!$AB$197&amp;" "&amp;Milestones!$AC$197&amp;";  ","")&amp;IF(AND(EDATE($D99,Milestones!$AA$198)&lt;=AsOfDate,IF($Q99=0,$W99,IF(AND($S99&lt;&gt;"",EDATE($D99,Milestones!$AA$198)&gt;=$S99),$V99,IF(AND($R99&lt;&gt;"",EDATE($D99,Milestones!$AA$198)&gt;=$R99),$U99,$T99)))=Milestones!$AB$198),TEXT(EDATE($D99,Milestones!$AA$198),"dd/mm/yy")&amp;" "&amp;Milestones!$AB$198&amp;" "&amp;Milestones!$AC$198&amp;";  ","")&amp;IF(AND(EDATE($D99,Milestones!$AA$199)&lt;=AsOfDate,IF($Q99=0,$W99,IF(AND($S99&lt;&gt;"",EDATE($D99,Milestones!$AA$199)&gt;=$S99),$V99,IF(AND($R99&lt;&gt;"",EDATE($D99,Milestones!$AA$199)&gt;=$R99),$U99,$T99)))=Milestones!$AB$199),TEXT(EDATE($D99,Milestones!$AA$199),"dd/mm/yy")&amp;" "&amp;Milestones!$AB$199&amp;" "&amp;Milestones!$AC$199&amp;";  ",""))</f>
        <v/>
      </c>
      <c r="Q99" s="0" t="str">
        <f aca="false">IF(Staff!$A99="","",Staff!$AG99)</f>
        <v/>
      </c>
      <c r="R99" s="0" t="str">
        <f aca="false">IF(Staff!$A99="","",Staff!$AI99)</f>
        <v/>
      </c>
      <c r="S99" s="0" t="str">
        <f aca="false">IF(Staff!$A99="","",Staff!$AJ99)</f>
        <v/>
      </c>
      <c r="T99" s="0" t="str">
        <f aca="false">IF(Staff!$A99="","",Staff!$AN99)</f>
        <v/>
      </c>
      <c r="U99" s="0" t="str">
        <f aca="false">IF(Staff!$A99="","",Staff!$AO99)</f>
        <v/>
      </c>
      <c r="V99" s="0" t="str">
        <f aca="false">IF(Staff!$A99="","",Staff!$AP99)</f>
        <v/>
      </c>
      <c r="W99" s="0" t="str">
        <f aca="false">IF(Staff!$A99="","",Staff!$AQ99)</f>
        <v/>
      </c>
    </row>
    <row r="100" customFormat="false" ht="15" hidden="false" customHeight="false" outlineLevel="0" collapsed="false">
      <c r="A100" s="13" t="str">
        <f aca="false">IF(Staff!$A100="","",Staff!$A100)</f>
        <v/>
      </c>
      <c r="B100" s="13" t="str">
        <f aca="false">IF(Staff!$A100="","",Staff!$B100)</f>
        <v/>
      </c>
      <c r="C100" s="13" t="str">
        <f aca="false">IF(Staff!$A100="","",Staff!$C100)</f>
        <v/>
      </c>
      <c r="D100" s="11" t="str">
        <f aca="false">IF(Staff!$A100="","",Staff!$AF100)</f>
        <v/>
      </c>
      <c r="E100" s="13" t="str">
        <f aca="false">IF(Staff!$A100="","",Staff!$O100)</f>
        <v/>
      </c>
      <c r="F100" s="13" t="str">
        <f aca="false">IF(E100="","",E100*HoursPerDay)</f>
        <v/>
      </c>
      <c r="G100" s="26" t="str">
        <f aca="false">IF($A100="","",H100&amp;I100&amp;J100&amp;K100&amp;L100&amp;M100&amp;N100&amp;O100&amp;P100)</f>
        <v/>
      </c>
      <c r="H100" s="0" t="str">
        <f aca="false">IF(OR($A100="",$D100=""),"",IF(AND(EDATE($D100,Milestones!$AA$20)&lt;=AsOfDate,IF($Q100=0,$W100,IF(AND($S100&lt;&gt;"",EDATE($D100,Milestones!$AA$20)&gt;=$S100),$V100,IF(AND($R100&lt;&gt;"",EDATE($D100,Milestones!$AA$20)&gt;=$R100),$U100,$T100)))=Milestones!$AB$20),TEXT(EDATE($D100,Milestones!$AA$20),"dd/mm/yy")&amp;" "&amp;Milestones!$AB$20&amp;" "&amp;Milestones!$AC$20&amp;";  ","")&amp;IF(AND(EDATE($D100,Milestones!$AA$21)&lt;=AsOfDate,IF($Q100=0,$W100,IF(AND($S100&lt;&gt;"",EDATE($D100,Milestones!$AA$21)&gt;=$S100),$V100,IF(AND($R100&lt;&gt;"",EDATE($D100,Milestones!$AA$21)&gt;=$R100),$U100,$T100)))=Milestones!$AB$21),TEXT(EDATE($D100,Milestones!$AA$21),"dd/mm/yy")&amp;" "&amp;Milestones!$AB$21&amp;" "&amp;Milestones!$AC$21&amp;";  ","")&amp;IF(AND(EDATE($D100,Milestones!$AA$22)&lt;=AsOfDate,IF($Q100=0,$W100,IF(AND($S100&lt;&gt;"",EDATE($D100,Milestones!$AA$22)&gt;=$S100),$V100,IF(AND($R100&lt;&gt;"",EDATE($D100,Milestones!$AA$22)&gt;=$R100),$U100,$T100)))=Milestones!$AB$22),TEXT(EDATE($D100,Milestones!$AA$22),"dd/mm/yy")&amp;" "&amp;Milestones!$AB$22&amp;" "&amp;Milestones!$AC$22&amp;";  ","")&amp;IF(AND(EDATE($D100,Milestones!$AA$23)&lt;=AsOfDate,IF($Q100=0,$W100,IF(AND($S100&lt;&gt;"",EDATE($D100,Milestones!$AA$23)&gt;=$S100),$V100,IF(AND($R100&lt;&gt;"",EDATE($D100,Milestones!$AA$23)&gt;=$R100),$U100,$T100)))=Milestones!$AB$23),TEXT(EDATE($D100,Milestones!$AA$23),"dd/mm/yy")&amp;" "&amp;Milestones!$AB$23&amp;" "&amp;Milestones!$AC$23&amp;";  ","")&amp;IF(AND(EDATE($D100,Milestones!$AA$24)&lt;=AsOfDate,IF($Q100=0,$W100,IF(AND($S100&lt;&gt;"",EDATE($D100,Milestones!$AA$24)&gt;=$S100),$V100,IF(AND($R100&lt;&gt;"",EDATE($D100,Milestones!$AA$24)&gt;=$R100),$U100,$T100)))=Milestones!$AB$24),TEXT(EDATE($D100,Milestones!$AA$24),"dd/mm/yy")&amp;" "&amp;Milestones!$AB$24&amp;" "&amp;Milestones!$AC$24&amp;";  ","")&amp;IF(AND(EDATE($D100,Milestones!$AA$25)&lt;=AsOfDate,IF($Q100=0,$W100,IF(AND($S100&lt;&gt;"",EDATE($D100,Milestones!$AA$25)&gt;=$S100),$V100,IF(AND($R100&lt;&gt;"",EDATE($D100,Milestones!$AA$25)&gt;=$R100),$U100,$T100)))=Milestones!$AB$25),TEXT(EDATE($D100,Milestones!$AA$25),"dd/mm/yy")&amp;" "&amp;Milestones!$AB$25&amp;" "&amp;Milestones!$AC$25&amp;";  ","")&amp;IF(AND(EDATE($D100,Milestones!$AA$26)&lt;=AsOfDate,IF($Q100=0,$W100,IF(AND($S100&lt;&gt;"",EDATE($D100,Milestones!$AA$26)&gt;=$S100),$V100,IF(AND($R100&lt;&gt;"",EDATE($D100,Milestones!$AA$26)&gt;=$R100),$U100,$T100)))=Milestones!$AB$26),TEXT(EDATE($D100,Milestones!$AA$26),"dd/mm/yy")&amp;" "&amp;Milestones!$AB$26&amp;" "&amp;Milestones!$AC$26&amp;";  ","")&amp;IF(AND(EDATE($D100,Milestones!$AA$27)&lt;=AsOfDate,IF($Q100=0,$W100,IF(AND($S100&lt;&gt;"",EDATE($D100,Milestones!$AA$27)&gt;=$S100),$V100,IF(AND($R100&lt;&gt;"",EDATE($D100,Milestones!$AA$27)&gt;=$R100),$U100,$T100)))=Milestones!$AB$27),TEXT(EDATE($D100,Milestones!$AA$27),"dd/mm/yy")&amp;" "&amp;Milestones!$AB$27&amp;" "&amp;Milestones!$AC$27&amp;";  ","")&amp;IF(AND(EDATE($D100,Milestones!$AA$28)&lt;=AsOfDate,IF($Q100=0,$W100,IF(AND($S100&lt;&gt;"",EDATE($D100,Milestones!$AA$28)&gt;=$S100),$V100,IF(AND($R100&lt;&gt;"",EDATE($D100,Milestones!$AA$28)&gt;=$R100),$U100,$T100)))=Milestones!$AB$28),TEXT(EDATE($D100,Milestones!$AA$28),"dd/mm/yy")&amp;" "&amp;Milestones!$AB$28&amp;" "&amp;Milestones!$AC$28&amp;";  ","")&amp;IF(AND(EDATE($D100,Milestones!$AA$29)&lt;=AsOfDate,IF($Q100=0,$W100,IF(AND($S100&lt;&gt;"",EDATE($D100,Milestones!$AA$29)&gt;=$S100),$V100,IF(AND($R100&lt;&gt;"",EDATE($D100,Milestones!$AA$29)&gt;=$R100),$U100,$T100)))=Milestones!$AB$29),TEXT(EDATE($D100,Milestones!$AA$29),"dd/mm/yy")&amp;" "&amp;Milestones!$AB$29&amp;" "&amp;Milestones!$AC$29&amp;";  ","")&amp;IF(AND(EDATE($D100,Milestones!$AA$30)&lt;=AsOfDate,IF($Q100=0,$W100,IF(AND($S100&lt;&gt;"",EDATE($D100,Milestones!$AA$30)&gt;=$S100),$V100,IF(AND($R100&lt;&gt;"",EDATE($D100,Milestones!$AA$30)&gt;=$R100),$U100,$T100)))=Milestones!$AB$30),TEXT(EDATE($D100,Milestones!$AA$30),"dd/mm/yy")&amp;" "&amp;Milestones!$AB$30&amp;" "&amp;Milestones!$AC$30&amp;";  ","")&amp;IF(AND(EDATE($D100,Milestones!$AA$31)&lt;=AsOfDate,IF($Q100=0,$W100,IF(AND($S100&lt;&gt;"",EDATE($D100,Milestones!$AA$31)&gt;=$S100),$V100,IF(AND($R100&lt;&gt;"",EDATE($D100,Milestones!$AA$31)&gt;=$R100),$U100,$T100)))=Milestones!$AB$31),TEXT(EDATE($D100,Milestones!$AA$31),"dd/mm/yy")&amp;" "&amp;Milestones!$AB$31&amp;" "&amp;Milestones!$AC$31&amp;";  ","")&amp;IF(AND(EDATE($D100,Milestones!$AA$32)&lt;=AsOfDate,IF($Q100=0,$W100,IF(AND($S100&lt;&gt;"",EDATE($D100,Milestones!$AA$32)&gt;=$S100),$V100,IF(AND($R100&lt;&gt;"",EDATE($D100,Milestones!$AA$32)&gt;=$R100),$U100,$T100)))=Milestones!$AB$32),TEXT(EDATE($D100,Milestones!$AA$32),"dd/mm/yy")&amp;" "&amp;Milestones!$AB$32&amp;" "&amp;Milestones!$AC$32&amp;";  ","")&amp;IF(AND(EDATE($D100,Milestones!$AA$33)&lt;=AsOfDate,IF($Q100=0,$W100,IF(AND($S100&lt;&gt;"",EDATE($D100,Milestones!$AA$33)&gt;=$S100),$V100,IF(AND($R100&lt;&gt;"",EDATE($D100,Milestones!$AA$33)&gt;=$R100),$U100,$T100)))=Milestones!$AB$33),TEXT(EDATE($D100,Milestones!$AA$33),"dd/mm/yy")&amp;" "&amp;Milestones!$AB$33&amp;" "&amp;Milestones!$AC$33&amp;";  ","")&amp;IF(AND(EDATE($D100,Milestones!$AA$34)&lt;=AsOfDate,IF($Q100=0,$W100,IF(AND($S100&lt;&gt;"",EDATE($D100,Milestones!$AA$34)&gt;=$S100),$V100,IF(AND($R100&lt;&gt;"",EDATE($D100,Milestones!$AA$34)&gt;=$R100),$U100,$T100)))=Milestones!$AB$34),TEXT(EDATE($D100,Milestones!$AA$34),"dd/mm/yy")&amp;" "&amp;Milestones!$AB$34&amp;" "&amp;Milestones!$AC$34&amp;";  ","")&amp;IF(AND(EDATE($D100,Milestones!$AA$35)&lt;=AsOfDate,IF($Q100=0,$W100,IF(AND($S100&lt;&gt;"",EDATE($D100,Milestones!$AA$35)&gt;=$S100),$V100,IF(AND($R100&lt;&gt;"",EDATE($D100,Milestones!$AA$35)&gt;=$R100),$U100,$T100)))=Milestones!$AB$35),TEXT(EDATE($D100,Milestones!$AA$35),"dd/mm/yy")&amp;" "&amp;Milestones!$AB$35&amp;" "&amp;Milestones!$AC$35&amp;";  ","")&amp;IF(AND(EDATE($D100,Milestones!$AA$36)&lt;=AsOfDate,IF($Q100=0,$W100,IF(AND($S100&lt;&gt;"",EDATE($D100,Milestones!$AA$36)&gt;=$S100),$V100,IF(AND($R100&lt;&gt;"",EDATE($D100,Milestones!$AA$36)&gt;=$R100),$U100,$T100)))=Milestones!$AB$36),TEXT(EDATE($D100,Milestones!$AA$36),"dd/mm/yy")&amp;" "&amp;Milestones!$AB$36&amp;" "&amp;Milestones!$AC$36&amp;";  ","")&amp;IF(AND(EDATE($D100,Milestones!$AA$37)&lt;=AsOfDate,IF($Q100=0,$W100,IF(AND($S100&lt;&gt;"",EDATE($D100,Milestones!$AA$37)&gt;=$S100),$V100,IF(AND($R100&lt;&gt;"",EDATE($D100,Milestones!$AA$37)&gt;=$R100),$U100,$T100)))=Milestones!$AB$37),TEXT(EDATE($D100,Milestones!$AA$37),"dd/mm/yy")&amp;" "&amp;Milestones!$AB$37&amp;" "&amp;Milestones!$AC$37&amp;";  ","")&amp;IF(AND(EDATE($D100,Milestones!$AA$38)&lt;=AsOfDate,IF($Q100=0,$W100,IF(AND($S100&lt;&gt;"",EDATE($D100,Milestones!$AA$38)&gt;=$S100),$V100,IF(AND($R100&lt;&gt;"",EDATE($D100,Milestones!$AA$38)&gt;=$R100),$U100,$T100)))=Milestones!$AB$38),TEXT(EDATE($D100,Milestones!$AA$38),"dd/mm/yy")&amp;" "&amp;Milestones!$AB$38&amp;" "&amp;Milestones!$AC$38&amp;";  ","")&amp;IF(AND(EDATE($D100,Milestones!$AA$39)&lt;=AsOfDate,IF($Q100=0,$W100,IF(AND($S100&lt;&gt;"",EDATE($D100,Milestones!$AA$39)&gt;=$S100),$V100,IF(AND($R100&lt;&gt;"",EDATE($D100,Milestones!$AA$39)&gt;=$R100),$U100,$T100)))=Milestones!$AB$39),TEXT(EDATE($D100,Milestones!$AA$39),"dd/mm/yy")&amp;" "&amp;Milestones!$AB$39&amp;" "&amp;Milestones!$AC$39&amp;";  ",""))</f>
        <v/>
      </c>
      <c r="I100" s="0" t="str">
        <f aca="false">IF(OR($A100="",$D100=""),"",IF(AND(EDATE($D100,Milestones!$AA$40)&lt;=AsOfDate,IF($Q100=0,$W100,IF(AND($S100&lt;&gt;"",EDATE($D100,Milestones!$AA$40)&gt;=$S100),$V100,IF(AND($R100&lt;&gt;"",EDATE($D100,Milestones!$AA$40)&gt;=$R100),$U100,$T100)))=Milestones!$AB$40),TEXT(EDATE($D100,Milestones!$AA$40),"dd/mm/yy")&amp;" "&amp;Milestones!$AB$40&amp;" "&amp;Milestones!$AC$40&amp;";  ","")&amp;IF(AND(EDATE($D100,Milestones!$AA$41)&lt;=AsOfDate,IF($Q100=0,$W100,IF(AND($S100&lt;&gt;"",EDATE($D100,Milestones!$AA$41)&gt;=$S100),$V100,IF(AND($R100&lt;&gt;"",EDATE($D100,Milestones!$AA$41)&gt;=$R100),$U100,$T100)))=Milestones!$AB$41),TEXT(EDATE($D100,Milestones!$AA$41),"dd/mm/yy")&amp;" "&amp;Milestones!$AB$41&amp;" "&amp;Milestones!$AC$41&amp;";  ","")&amp;IF(AND(EDATE($D100,Milestones!$AA$42)&lt;=AsOfDate,IF($Q100=0,$W100,IF(AND($S100&lt;&gt;"",EDATE($D100,Milestones!$AA$42)&gt;=$S100),$V100,IF(AND($R100&lt;&gt;"",EDATE($D100,Milestones!$AA$42)&gt;=$R100),$U100,$T100)))=Milestones!$AB$42),TEXT(EDATE($D100,Milestones!$AA$42),"dd/mm/yy")&amp;" "&amp;Milestones!$AB$42&amp;" "&amp;Milestones!$AC$42&amp;";  ","")&amp;IF(AND(EDATE($D100,Milestones!$AA$43)&lt;=AsOfDate,IF($Q100=0,$W100,IF(AND($S100&lt;&gt;"",EDATE($D100,Milestones!$AA$43)&gt;=$S100),$V100,IF(AND($R100&lt;&gt;"",EDATE($D100,Milestones!$AA$43)&gt;=$R100),$U100,$T100)))=Milestones!$AB$43),TEXT(EDATE($D100,Milestones!$AA$43),"dd/mm/yy")&amp;" "&amp;Milestones!$AB$43&amp;" "&amp;Milestones!$AC$43&amp;";  ","")&amp;IF(AND(EDATE($D100,Milestones!$AA$44)&lt;=AsOfDate,IF($Q100=0,$W100,IF(AND($S100&lt;&gt;"",EDATE($D100,Milestones!$AA$44)&gt;=$S100),$V100,IF(AND($R100&lt;&gt;"",EDATE($D100,Milestones!$AA$44)&gt;=$R100),$U100,$T100)))=Milestones!$AB$44),TEXT(EDATE($D100,Milestones!$AA$44),"dd/mm/yy")&amp;" "&amp;Milestones!$AB$44&amp;" "&amp;Milestones!$AC$44&amp;";  ","")&amp;IF(AND(EDATE($D100,Milestones!$AA$45)&lt;=AsOfDate,IF($Q100=0,$W100,IF(AND($S100&lt;&gt;"",EDATE($D100,Milestones!$AA$45)&gt;=$S100),$V100,IF(AND($R100&lt;&gt;"",EDATE($D100,Milestones!$AA$45)&gt;=$R100),$U100,$T100)))=Milestones!$AB$45),TEXT(EDATE($D100,Milestones!$AA$45),"dd/mm/yy")&amp;" "&amp;Milestones!$AB$45&amp;" "&amp;Milestones!$AC$45&amp;";  ","")&amp;IF(AND(EDATE($D100,Milestones!$AA$46)&lt;=AsOfDate,IF($Q100=0,$W100,IF(AND($S100&lt;&gt;"",EDATE($D100,Milestones!$AA$46)&gt;=$S100),$V100,IF(AND($R100&lt;&gt;"",EDATE($D100,Milestones!$AA$46)&gt;=$R100),$U100,$T100)))=Milestones!$AB$46),TEXT(EDATE($D100,Milestones!$AA$46),"dd/mm/yy")&amp;" "&amp;Milestones!$AB$46&amp;" "&amp;Milestones!$AC$46&amp;";  ","")&amp;IF(AND(EDATE($D100,Milestones!$AA$47)&lt;=AsOfDate,IF($Q100=0,$W100,IF(AND($S100&lt;&gt;"",EDATE($D100,Milestones!$AA$47)&gt;=$S100),$V100,IF(AND($R100&lt;&gt;"",EDATE($D100,Milestones!$AA$47)&gt;=$R100),$U100,$T100)))=Milestones!$AB$47),TEXT(EDATE($D100,Milestones!$AA$47),"dd/mm/yy")&amp;" "&amp;Milestones!$AB$47&amp;" "&amp;Milestones!$AC$47&amp;";  ","")&amp;IF(AND(EDATE($D100,Milestones!$AA$48)&lt;=AsOfDate,IF($Q100=0,$W100,IF(AND($S100&lt;&gt;"",EDATE($D100,Milestones!$AA$48)&gt;=$S100),$V100,IF(AND($R100&lt;&gt;"",EDATE($D100,Milestones!$AA$48)&gt;=$R100),$U100,$T100)))=Milestones!$AB$48),TEXT(EDATE($D100,Milestones!$AA$48),"dd/mm/yy")&amp;" "&amp;Milestones!$AB$48&amp;" "&amp;Milestones!$AC$48&amp;";  ","")&amp;IF(AND(EDATE($D100,Milestones!$AA$49)&lt;=AsOfDate,IF($Q100=0,$W100,IF(AND($S100&lt;&gt;"",EDATE($D100,Milestones!$AA$49)&gt;=$S100),$V100,IF(AND($R100&lt;&gt;"",EDATE($D100,Milestones!$AA$49)&gt;=$R100),$U100,$T100)))=Milestones!$AB$49),TEXT(EDATE($D100,Milestones!$AA$49),"dd/mm/yy")&amp;" "&amp;Milestones!$AB$49&amp;" "&amp;Milestones!$AC$49&amp;";  ","")&amp;IF(AND(EDATE($D100,Milestones!$AA$50)&lt;=AsOfDate,IF($Q100=0,$W100,IF(AND($S100&lt;&gt;"",EDATE($D100,Milestones!$AA$50)&gt;=$S100),$V100,IF(AND($R100&lt;&gt;"",EDATE($D100,Milestones!$AA$50)&gt;=$R100),$U100,$T100)))=Milestones!$AB$50),TEXT(EDATE($D100,Milestones!$AA$50),"dd/mm/yy")&amp;" "&amp;Milestones!$AB$50&amp;" "&amp;Milestones!$AC$50&amp;";  ","")&amp;IF(AND(EDATE($D100,Milestones!$AA$51)&lt;=AsOfDate,IF($Q100=0,$W100,IF(AND($S100&lt;&gt;"",EDATE($D100,Milestones!$AA$51)&gt;=$S100),$V100,IF(AND($R100&lt;&gt;"",EDATE($D100,Milestones!$AA$51)&gt;=$R100),$U100,$T100)))=Milestones!$AB$51),TEXT(EDATE($D100,Milestones!$AA$51),"dd/mm/yy")&amp;" "&amp;Milestones!$AB$51&amp;" "&amp;Milestones!$AC$51&amp;";  ","")&amp;IF(AND(EDATE($D100,Milestones!$AA$52)&lt;=AsOfDate,IF($Q100=0,$W100,IF(AND($S100&lt;&gt;"",EDATE($D100,Milestones!$AA$52)&gt;=$S100),$V100,IF(AND($R100&lt;&gt;"",EDATE($D100,Milestones!$AA$52)&gt;=$R100),$U100,$T100)))=Milestones!$AB$52),TEXT(EDATE($D100,Milestones!$AA$52),"dd/mm/yy")&amp;" "&amp;Milestones!$AB$52&amp;" "&amp;Milestones!$AC$52&amp;";  ","")&amp;IF(AND(EDATE($D100,Milestones!$AA$53)&lt;=AsOfDate,IF($Q100=0,$W100,IF(AND($S100&lt;&gt;"",EDATE($D100,Milestones!$AA$53)&gt;=$S100),$V100,IF(AND($R100&lt;&gt;"",EDATE($D100,Milestones!$AA$53)&gt;=$R100),$U100,$T100)))=Milestones!$AB$53),TEXT(EDATE($D100,Milestones!$AA$53),"dd/mm/yy")&amp;" "&amp;Milestones!$AB$53&amp;" "&amp;Milestones!$AC$53&amp;";  ","")&amp;IF(AND(EDATE($D100,Milestones!$AA$54)&lt;=AsOfDate,IF($Q100=0,$W100,IF(AND($S100&lt;&gt;"",EDATE($D100,Milestones!$AA$54)&gt;=$S100),$V100,IF(AND($R100&lt;&gt;"",EDATE($D100,Milestones!$AA$54)&gt;=$R100),$U100,$T100)))=Milestones!$AB$54),TEXT(EDATE($D100,Milestones!$AA$54),"dd/mm/yy")&amp;" "&amp;Milestones!$AB$54&amp;" "&amp;Milestones!$AC$54&amp;";  ","")&amp;IF(AND(EDATE($D100,Milestones!$AA$55)&lt;=AsOfDate,IF($Q100=0,$W100,IF(AND($S100&lt;&gt;"",EDATE($D100,Milestones!$AA$55)&gt;=$S100),$V100,IF(AND($R100&lt;&gt;"",EDATE($D100,Milestones!$AA$55)&gt;=$R100),$U100,$T100)))=Milestones!$AB$55),TEXT(EDATE($D100,Milestones!$AA$55),"dd/mm/yy")&amp;" "&amp;Milestones!$AB$55&amp;" "&amp;Milestones!$AC$55&amp;";  ","")&amp;IF(AND(EDATE($D100,Milestones!$AA$56)&lt;=AsOfDate,IF($Q100=0,$W100,IF(AND($S100&lt;&gt;"",EDATE($D100,Milestones!$AA$56)&gt;=$S100),$V100,IF(AND($R100&lt;&gt;"",EDATE($D100,Milestones!$AA$56)&gt;=$R100),$U100,$T100)))=Milestones!$AB$56),TEXT(EDATE($D100,Milestones!$AA$56),"dd/mm/yy")&amp;" "&amp;Milestones!$AB$56&amp;" "&amp;Milestones!$AC$56&amp;";  ","")&amp;IF(AND(EDATE($D100,Milestones!$AA$57)&lt;=AsOfDate,IF($Q100=0,$W100,IF(AND($S100&lt;&gt;"",EDATE($D100,Milestones!$AA$57)&gt;=$S100),$V100,IF(AND($R100&lt;&gt;"",EDATE($D100,Milestones!$AA$57)&gt;=$R100),$U100,$T100)))=Milestones!$AB$57),TEXT(EDATE($D100,Milestones!$AA$57),"dd/mm/yy")&amp;" "&amp;Milestones!$AB$57&amp;" "&amp;Milestones!$AC$57&amp;";  ","")&amp;IF(AND(EDATE($D100,Milestones!$AA$58)&lt;=AsOfDate,IF($Q100=0,$W100,IF(AND($S100&lt;&gt;"",EDATE($D100,Milestones!$AA$58)&gt;=$S100),$V100,IF(AND($R100&lt;&gt;"",EDATE($D100,Milestones!$AA$58)&gt;=$R100),$U100,$T100)))=Milestones!$AB$58),TEXT(EDATE($D100,Milestones!$AA$58),"dd/mm/yy")&amp;" "&amp;Milestones!$AB$58&amp;" "&amp;Milestones!$AC$58&amp;";  ","")&amp;IF(AND(EDATE($D100,Milestones!$AA$59)&lt;=AsOfDate,IF($Q100=0,$W100,IF(AND($S100&lt;&gt;"",EDATE($D100,Milestones!$AA$59)&gt;=$S100),$V100,IF(AND($R100&lt;&gt;"",EDATE($D100,Milestones!$AA$59)&gt;=$R100),$U100,$T100)))=Milestones!$AB$59),TEXT(EDATE($D100,Milestones!$AA$59),"dd/mm/yy")&amp;" "&amp;Milestones!$AB$59&amp;" "&amp;Milestones!$AC$59&amp;";  ",""))</f>
        <v/>
      </c>
      <c r="J100" s="0" t="str">
        <f aca="false">IF(OR($A100="",$D100=""),"",IF(AND(EDATE($D100,Milestones!$AA$60)&lt;=AsOfDate,IF($Q100=0,$W100,IF(AND($S100&lt;&gt;"",EDATE($D100,Milestones!$AA$60)&gt;=$S100),$V100,IF(AND($R100&lt;&gt;"",EDATE($D100,Milestones!$AA$60)&gt;=$R100),$U100,$T100)))=Milestones!$AB$60),TEXT(EDATE($D100,Milestones!$AA$60),"dd/mm/yy")&amp;" "&amp;Milestones!$AB$60&amp;" "&amp;Milestones!$AC$60&amp;";  ","")&amp;IF(AND(EDATE($D100,Milestones!$AA$61)&lt;=AsOfDate,IF($Q100=0,$W100,IF(AND($S100&lt;&gt;"",EDATE($D100,Milestones!$AA$61)&gt;=$S100),$V100,IF(AND($R100&lt;&gt;"",EDATE($D100,Milestones!$AA$61)&gt;=$R100),$U100,$T100)))=Milestones!$AB$61),TEXT(EDATE($D100,Milestones!$AA$61),"dd/mm/yy")&amp;" "&amp;Milestones!$AB$61&amp;" "&amp;Milestones!$AC$61&amp;";  ","")&amp;IF(AND(EDATE($D100,Milestones!$AA$62)&lt;=AsOfDate,IF($Q100=0,$W100,IF(AND($S100&lt;&gt;"",EDATE($D100,Milestones!$AA$62)&gt;=$S100),$V100,IF(AND($R100&lt;&gt;"",EDATE($D100,Milestones!$AA$62)&gt;=$R100),$U100,$T100)))=Milestones!$AB$62),TEXT(EDATE($D100,Milestones!$AA$62),"dd/mm/yy")&amp;" "&amp;Milestones!$AB$62&amp;" "&amp;Milestones!$AC$62&amp;";  ","")&amp;IF(AND(EDATE($D100,Milestones!$AA$63)&lt;=AsOfDate,IF($Q100=0,$W100,IF(AND($S100&lt;&gt;"",EDATE($D100,Milestones!$AA$63)&gt;=$S100),$V100,IF(AND($R100&lt;&gt;"",EDATE($D100,Milestones!$AA$63)&gt;=$R100),$U100,$T100)))=Milestones!$AB$63),TEXT(EDATE($D100,Milestones!$AA$63),"dd/mm/yy")&amp;" "&amp;Milestones!$AB$63&amp;" "&amp;Milestones!$AC$63&amp;";  ","")&amp;IF(AND(EDATE($D100,Milestones!$AA$64)&lt;=AsOfDate,IF($Q100=0,$W100,IF(AND($S100&lt;&gt;"",EDATE($D100,Milestones!$AA$64)&gt;=$S100),$V100,IF(AND($R100&lt;&gt;"",EDATE($D100,Milestones!$AA$64)&gt;=$R100),$U100,$T100)))=Milestones!$AB$64),TEXT(EDATE($D100,Milestones!$AA$64),"dd/mm/yy")&amp;" "&amp;Milestones!$AB$64&amp;" "&amp;Milestones!$AC$64&amp;";  ","")&amp;IF(AND(EDATE($D100,Milestones!$AA$65)&lt;=AsOfDate,IF($Q100=0,$W100,IF(AND($S100&lt;&gt;"",EDATE($D100,Milestones!$AA$65)&gt;=$S100),$V100,IF(AND($R100&lt;&gt;"",EDATE($D100,Milestones!$AA$65)&gt;=$R100),$U100,$T100)))=Milestones!$AB$65),TEXT(EDATE($D100,Milestones!$AA$65),"dd/mm/yy")&amp;" "&amp;Milestones!$AB$65&amp;" "&amp;Milestones!$AC$65&amp;";  ","")&amp;IF(AND(EDATE($D100,Milestones!$AA$66)&lt;=AsOfDate,IF($Q100=0,$W100,IF(AND($S100&lt;&gt;"",EDATE($D100,Milestones!$AA$66)&gt;=$S100),$V100,IF(AND($R100&lt;&gt;"",EDATE($D100,Milestones!$AA$66)&gt;=$R100),$U100,$T100)))=Milestones!$AB$66),TEXT(EDATE($D100,Milestones!$AA$66),"dd/mm/yy")&amp;" "&amp;Milestones!$AB$66&amp;" "&amp;Milestones!$AC$66&amp;";  ","")&amp;IF(AND(EDATE($D100,Milestones!$AA$67)&lt;=AsOfDate,IF($Q100=0,$W100,IF(AND($S100&lt;&gt;"",EDATE($D100,Milestones!$AA$67)&gt;=$S100),$V100,IF(AND($R100&lt;&gt;"",EDATE($D100,Milestones!$AA$67)&gt;=$R100),$U100,$T100)))=Milestones!$AB$67),TEXT(EDATE($D100,Milestones!$AA$67),"dd/mm/yy")&amp;" "&amp;Milestones!$AB$67&amp;" "&amp;Milestones!$AC$67&amp;";  ","")&amp;IF(AND(EDATE($D100,Milestones!$AA$68)&lt;=AsOfDate,IF($Q100=0,$W100,IF(AND($S100&lt;&gt;"",EDATE($D100,Milestones!$AA$68)&gt;=$S100),$V100,IF(AND($R100&lt;&gt;"",EDATE($D100,Milestones!$AA$68)&gt;=$R100),$U100,$T100)))=Milestones!$AB$68),TEXT(EDATE($D100,Milestones!$AA$68),"dd/mm/yy")&amp;" "&amp;Milestones!$AB$68&amp;" "&amp;Milestones!$AC$68&amp;";  ","")&amp;IF(AND(EDATE($D100,Milestones!$AA$69)&lt;=AsOfDate,IF($Q100=0,$W100,IF(AND($S100&lt;&gt;"",EDATE($D100,Milestones!$AA$69)&gt;=$S100),$V100,IF(AND($R100&lt;&gt;"",EDATE($D100,Milestones!$AA$69)&gt;=$R100),$U100,$T100)))=Milestones!$AB$69),TEXT(EDATE($D100,Milestones!$AA$69),"dd/mm/yy")&amp;" "&amp;Milestones!$AB$69&amp;" "&amp;Milestones!$AC$69&amp;";  ","")&amp;IF(AND(EDATE($D100,Milestones!$AA$70)&lt;=AsOfDate,IF($Q100=0,$W100,IF(AND($S100&lt;&gt;"",EDATE($D100,Milestones!$AA$70)&gt;=$S100),$V100,IF(AND($R100&lt;&gt;"",EDATE($D100,Milestones!$AA$70)&gt;=$R100),$U100,$T100)))=Milestones!$AB$70),TEXT(EDATE($D100,Milestones!$AA$70),"dd/mm/yy")&amp;" "&amp;Milestones!$AB$70&amp;" "&amp;Milestones!$AC$70&amp;";  ","")&amp;IF(AND(EDATE($D100,Milestones!$AA$71)&lt;=AsOfDate,IF($Q100=0,$W100,IF(AND($S100&lt;&gt;"",EDATE($D100,Milestones!$AA$71)&gt;=$S100),$V100,IF(AND($R100&lt;&gt;"",EDATE($D100,Milestones!$AA$71)&gt;=$R100),$U100,$T100)))=Milestones!$AB$71),TEXT(EDATE($D100,Milestones!$AA$71),"dd/mm/yy")&amp;" "&amp;Milestones!$AB$71&amp;" "&amp;Milestones!$AC$71&amp;";  ","")&amp;IF(AND(EDATE($D100,Milestones!$AA$72)&lt;=AsOfDate,IF($Q100=0,$W100,IF(AND($S100&lt;&gt;"",EDATE($D100,Milestones!$AA$72)&gt;=$S100),$V100,IF(AND($R100&lt;&gt;"",EDATE($D100,Milestones!$AA$72)&gt;=$R100),$U100,$T100)))=Milestones!$AB$72),TEXT(EDATE($D100,Milestones!$AA$72),"dd/mm/yy")&amp;" "&amp;Milestones!$AB$72&amp;" "&amp;Milestones!$AC$72&amp;";  ","")&amp;IF(AND(EDATE($D100,Milestones!$AA$73)&lt;=AsOfDate,IF($Q100=0,$W100,IF(AND($S100&lt;&gt;"",EDATE($D100,Milestones!$AA$73)&gt;=$S100),$V100,IF(AND($R100&lt;&gt;"",EDATE($D100,Milestones!$AA$73)&gt;=$R100),$U100,$T100)))=Milestones!$AB$73),TEXT(EDATE($D100,Milestones!$AA$73),"dd/mm/yy")&amp;" "&amp;Milestones!$AB$73&amp;" "&amp;Milestones!$AC$73&amp;";  ","")&amp;IF(AND(EDATE($D100,Milestones!$AA$74)&lt;=AsOfDate,IF($Q100=0,$W100,IF(AND($S100&lt;&gt;"",EDATE($D100,Milestones!$AA$74)&gt;=$S100),$V100,IF(AND($R100&lt;&gt;"",EDATE($D100,Milestones!$AA$74)&gt;=$R100),$U100,$T100)))=Milestones!$AB$74),TEXT(EDATE($D100,Milestones!$AA$74),"dd/mm/yy")&amp;" "&amp;Milestones!$AB$74&amp;" "&amp;Milestones!$AC$74&amp;";  ","")&amp;IF(AND(EDATE($D100,Milestones!$AA$75)&lt;=AsOfDate,IF($Q100=0,$W100,IF(AND($S100&lt;&gt;"",EDATE($D100,Milestones!$AA$75)&gt;=$S100),$V100,IF(AND($R100&lt;&gt;"",EDATE($D100,Milestones!$AA$75)&gt;=$R100),$U100,$T100)))=Milestones!$AB$75),TEXT(EDATE($D100,Milestones!$AA$75),"dd/mm/yy")&amp;" "&amp;Milestones!$AB$75&amp;" "&amp;Milestones!$AC$75&amp;";  ","")&amp;IF(AND(EDATE($D100,Milestones!$AA$76)&lt;=AsOfDate,IF($Q100=0,$W100,IF(AND($S100&lt;&gt;"",EDATE($D100,Milestones!$AA$76)&gt;=$S100),$V100,IF(AND($R100&lt;&gt;"",EDATE($D100,Milestones!$AA$76)&gt;=$R100),$U100,$T100)))=Milestones!$AB$76),TEXT(EDATE($D100,Milestones!$AA$76),"dd/mm/yy")&amp;" "&amp;Milestones!$AB$76&amp;" "&amp;Milestones!$AC$76&amp;";  ","")&amp;IF(AND(EDATE($D100,Milestones!$AA$77)&lt;=AsOfDate,IF($Q100=0,$W100,IF(AND($S100&lt;&gt;"",EDATE($D100,Milestones!$AA$77)&gt;=$S100),$V100,IF(AND($R100&lt;&gt;"",EDATE($D100,Milestones!$AA$77)&gt;=$R100),$U100,$T100)))=Milestones!$AB$77),TEXT(EDATE($D100,Milestones!$AA$77),"dd/mm/yy")&amp;" "&amp;Milestones!$AB$77&amp;" "&amp;Milestones!$AC$77&amp;";  ","")&amp;IF(AND(EDATE($D100,Milestones!$AA$78)&lt;=AsOfDate,IF($Q100=0,$W100,IF(AND($S100&lt;&gt;"",EDATE($D100,Milestones!$AA$78)&gt;=$S100),$V100,IF(AND($R100&lt;&gt;"",EDATE($D100,Milestones!$AA$78)&gt;=$R100),$U100,$T100)))=Milestones!$AB$78),TEXT(EDATE($D100,Milestones!$AA$78),"dd/mm/yy")&amp;" "&amp;Milestones!$AB$78&amp;" "&amp;Milestones!$AC$78&amp;";  ","")&amp;IF(AND(EDATE($D100,Milestones!$AA$79)&lt;=AsOfDate,IF($Q100=0,$W100,IF(AND($S100&lt;&gt;"",EDATE($D100,Milestones!$AA$79)&gt;=$S100),$V100,IF(AND($R100&lt;&gt;"",EDATE($D100,Milestones!$AA$79)&gt;=$R100),$U100,$T100)))=Milestones!$AB$79),TEXT(EDATE($D100,Milestones!$AA$79),"dd/mm/yy")&amp;" "&amp;Milestones!$AB$79&amp;" "&amp;Milestones!$AC$79&amp;";  ",""))</f>
        <v/>
      </c>
      <c r="K100" s="0" t="str">
        <f aca="false">IF(OR($A100="",$D100=""),"",IF(AND(EDATE($D100,Milestones!$AA$80)&lt;=AsOfDate,IF($Q100=0,$W100,IF(AND($S100&lt;&gt;"",EDATE($D100,Milestones!$AA$80)&gt;=$S100),$V100,IF(AND($R100&lt;&gt;"",EDATE($D100,Milestones!$AA$80)&gt;=$R100),$U100,$T100)))=Milestones!$AB$80),TEXT(EDATE($D100,Milestones!$AA$80),"dd/mm/yy")&amp;" "&amp;Milestones!$AB$80&amp;" "&amp;Milestones!$AC$80&amp;";  ","")&amp;IF(AND(EDATE($D100,Milestones!$AA$81)&lt;=AsOfDate,IF($Q100=0,$W100,IF(AND($S100&lt;&gt;"",EDATE($D100,Milestones!$AA$81)&gt;=$S100),$V100,IF(AND($R100&lt;&gt;"",EDATE($D100,Milestones!$AA$81)&gt;=$R100),$U100,$T100)))=Milestones!$AB$81),TEXT(EDATE($D100,Milestones!$AA$81),"dd/mm/yy")&amp;" "&amp;Milestones!$AB$81&amp;" "&amp;Milestones!$AC$81&amp;";  ","")&amp;IF(AND(EDATE($D100,Milestones!$AA$82)&lt;=AsOfDate,IF($Q100=0,$W100,IF(AND($S100&lt;&gt;"",EDATE($D100,Milestones!$AA$82)&gt;=$S100),$V100,IF(AND($R100&lt;&gt;"",EDATE($D100,Milestones!$AA$82)&gt;=$R100),$U100,$T100)))=Milestones!$AB$82),TEXT(EDATE($D100,Milestones!$AA$82),"dd/mm/yy")&amp;" "&amp;Milestones!$AB$82&amp;" "&amp;Milestones!$AC$82&amp;";  ","")&amp;IF(AND(EDATE($D100,Milestones!$AA$83)&lt;=AsOfDate,IF($Q100=0,$W100,IF(AND($S100&lt;&gt;"",EDATE($D100,Milestones!$AA$83)&gt;=$S100),$V100,IF(AND($R100&lt;&gt;"",EDATE($D100,Milestones!$AA$83)&gt;=$R100),$U100,$T100)))=Milestones!$AB$83),TEXT(EDATE($D100,Milestones!$AA$83),"dd/mm/yy")&amp;" "&amp;Milestones!$AB$83&amp;" "&amp;Milestones!$AC$83&amp;";  ","")&amp;IF(AND(EDATE($D100,Milestones!$AA$84)&lt;=AsOfDate,IF($Q100=0,$W100,IF(AND($S100&lt;&gt;"",EDATE($D100,Milestones!$AA$84)&gt;=$S100),$V100,IF(AND($R100&lt;&gt;"",EDATE($D100,Milestones!$AA$84)&gt;=$R100),$U100,$T100)))=Milestones!$AB$84),TEXT(EDATE($D100,Milestones!$AA$84),"dd/mm/yy")&amp;" "&amp;Milestones!$AB$84&amp;" "&amp;Milestones!$AC$84&amp;";  ","")&amp;IF(AND(EDATE($D100,Milestones!$AA$85)&lt;=AsOfDate,IF($Q100=0,$W100,IF(AND($S100&lt;&gt;"",EDATE($D100,Milestones!$AA$85)&gt;=$S100),$V100,IF(AND($R100&lt;&gt;"",EDATE($D100,Milestones!$AA$85)&gt;=$R100),$U100,$T100)))=Milestones!$AB$85),TEXT(EDATE($D100,Milestones!$AA$85),"dd/mm/yy")&amp;" "&amp;Milestones!$AB$85&amp;" "&amp;Milestones!$AC$85&amp;";  ","")&amp;IF(AND(EDATE($D100,Milestones!$AA$86)&lt;=AsOfDate,IF($Q100=0,$W100,IF(AND($S100&lt;&gt;"",EDATE($D100,Milestones!$AA$86)&gt;=$S100),$V100,IF(AND($R100&lt;&gt;"",EDATE($D100,Milestones!$AA$86)&gt;=$R100),$U100,$T100)))=Milestones!$AB$86),TEXT(EDATE($D100,Milestones!$AA$86),"dd/mm/yy")&amp;" "&amp;Milestones!$AB$86&amp;" "&amp;Milestones!$AC$86&amp;";  ","")&amp;IF(AND(EDATE($D100,Milestones!$AA$87)&lt;=AsOfDate,IF($Q100=0,$W100,IF(AND($S100&lt;&gt;"",EDATE($D100,Milestones!$AA$87)&gt;=$S100),$V100,IF(AND($R100&lt;&gt;"",EDATE($D100,Milestones!$AA$87)&gt;=$R100),$U100,$T100)))=Milestones!$AB$87),TEXT(EDATE($D100,Milestones!$AA$87),"dd/mm/yy")&amp;" "&amp;Milestones!$AB$87&amp;" "&amp;Milestones!$AC$87&amp;";  ","")&amp;IF(AND(EDATE($D100,Milestones!$AA$88)&lt;=AsOfDate,IF($Q100=0,$W100,IF(AND($S100&lt;&gt;"",EDATE($D100,Milestones!$AA$88)&gt;=$S100),$V100,IF(AND($R100&lt;&gt;"",EDATE($D100,Milestones!$AA$88)&gt;=$R100),$U100,$T100)))=Milestones!$AB$88),TEXT(EDATE($D100,Milestones!$AA$88),"dd/mm/yy")&amp;" "&amp;Milestones!$AB$88&amp;" "&amp;Milestones!$AC$88&amp;";  ","")&amp;IF(AND(EDATE($D100,Milestones!$AA$89)&lt;=AsOfDate,IF($Q100=0,$W100,IF(AND($S100&lt;&gt;"",EDATE($D100,Milestones!$AA$89)&gt;=$S100),$V100,IF(AND($R100&lt;&gt;"",EDATE($D100,Milestones!$AA$89)&gt;=$R100),$U100,$T100)))=Milestones!$AB$89),TEXT(EDATE($D100,Milestones!$AA$89),"dd/mm/yy")&amp;" "&amp;Milestones!$AB$89&amp;" "&amp;Milestones!$AC$89&amp;";  ","")&amp;IF(AND(EDATE($D100,Milestones!$AA$90)&lt;=AsOfDate,IF($Q100=0,$W100,IF(AND($S100&lt;&gt;"",EDATE($D100,Milestones!$AA$90)&gt;=$S100),$V100,IF(AND($R100&lt;&gt;"",EDATE($D100,Milestones!$AA$90)&gt;=$R100),$U100,$T100)))=Milestones!$AB$90),TEXT(EDATE($D100,Milestones!$AA$90),"dd/mm/yy")&amp;" "&amp;Milestones!$AB$90&amp;" "&amp;Milestones!$AC$90&amp;";  ","")&amp;IF(AND(EDATE($D100,Milestones!$AA$91)&lt;=AsOfDate,IF($Q100=0,$W100,IF(AND($S100&lt;&gt;"",EDATE($D100,Milestones!$AA$91)&gt;=$S100),$V100,IF(AND($R100&lt;&gt;"",EDATE($D100,Milestones!$AA$91)&gt;=$R100),$U100,$T100)))=Milestones!$AB$91),TEXT(EDATE($D100,Milestones!$AA$91),"dd/mm/yy")&amp;" "&amp;Milestones!$AB$91&amp;" "&amp;Milestones!$AC$91&amp;";  ","")&amp;IF(AND(EDATE($D100,Milestones!$AA$92)&lt;=AsOfDate,IF($Q100=0,$W100,IF(AND($S100&lt;&gt;"",EDATE($D100,Milestones!$AA$92)&gt;=$S100),$V100,IF(AND($R100&lt;&gt;"",EDATE($D100,Milestones!$AA$92)&gt;=$R100),$U100,$T100)))=Milestones!$AB$92),TEXT(EDATE($D100,Milestones!$AA$92),"dd/mm/yy")&amp;" "&amp;Milestones!$AB$92&amp;" "&amp;Milestones!$AC$92&amp;";  ","")&amp;IF(AND(EDATE($D100,Milestones!$AA$93)&lt;=AsOfDate,IF($Q100=0,$W100,IF(AND($S100&lt;&gt;"",EDATE($D100,Milestones!$AA$93)&gt;=$S100),$V100,IF(AND($R100&lt;&gt;"",EDATE($D100,Milestones!$AA$93)&gt;=$R100),$U100,$T100)))=Milestones!$AB$93),TEXT(EDATE($D100,Milestones!$AA$93),"dd/mm/yy")&amp;" "&amp;Milestones!$AB$93&amp;" "&amp;Milestones!$AC$93&amp;";  ","")&amp;IF(AND(EDATE($D100,Milestones!$AA$94)&lt;=AsOfDate,IF($Q100=0,$W100,IF(AND($S100&lt;&gt;"",EDATE($D100,Milestones!$AA$94)&gt;=$S100),$V100,IF(AND($R100&lt;&gt;"",EDATE($D100,Milestones!$AA$94)&gt;=$R100),$U100,$T100)))=Milestones!$AB$94),TEXT(EDATE($D100,Milestones!$AA$94),"dd/mm/yy")&amp;" "&amp;Milestones!$AB$94&amp;" "&amp;Milestones!$AC$94&amp;";  ","")&amp;IF(AND(EDATE($D100,Milestones!$AA$95)&lt;=AsOfDate,IF($Q100=0,$W100,IF(AND($S100&lt;&gt;"",EDATE($D100,Milestones!$AA$95)&gt;=$S100),$V100,IF(AND($R100&lt;&gt;"",EDATE($D100,Milestones!$AA$95)&gt;=$R100),$U100,$T100)))=Milestones!$AB$95),TEXT(EDATE($D100,Milestones!$AA$95),"dd/mm/yy")&amp;" "&amp;Milestones!$AB$95&amp;" "&amp;Milestones!$AC$95&amp;";  ","")&amp;IF(AND(EDATE($D100,Milestones!$AA$96)&lt;=AsOfDate,IF($Q100=0,$W100,IF(AND($S100&lt;&gt;"",EDATE($D100,Milestones!$AA$96)&gt;=$S100),$V100,IF(AND($R100&lt;&gt;"",EDATE($D100,Milestones!$AA$96)&gt;=$R100),$U100,$T100)))=Milestones!$AB$96),TEXT(EDATE($D100,Milestones!$AA$96),"dd/mm/yy")&amp;" "&amp;Milestones!$AB$96&amp;" "&amp;Milestones!$AC$96&amp;";  ","")&amp;IF(AND(EDATE($D100,Milestones!$AA$97)&lt;=AsOfDate,IF($Q100=0,$W100,IF(AND($S100&lt;&gt;"",EDATE($D100,Milestones!$AA$97)&gt;=$S100),$V100,IF(AND($R100&lt;&gt;"",EDATE($D100,Milestones!$AA$97)&gt;=$R100),$U100,$T100)))=Milestones!$AB$97),TEXT(EDATE($D100,Milestones!$AA$97),"dd/mm/yy")&amp;" "&amp;Milestones!$AB$97&amp;" "&amp;Milestones!$AC$97&amp;";  ","")&amp;IF(AND(EDATE($D100,Milestones!$AA$98)&lt;=AsOfDate,IF($Q100=0,$W100,IF(AND($S100&lt;&gt;"",EDATE($D100,Milestones!$AA$98)&gt;=$S100),$V100,IF(AND($R100&lt;&gt;"",EDATE($D100,Milestones!$AA$98)&gt;=$R100),$U100,$T100)))=Milestones!$AB$98),TEXT(EDATE($D100,Milestones!$AA$98),"dd/mm/yy")&amp;" "&amp;Milestones!$AB$98&amp;" "&amp;Milestones!$AC$98&amp;";  ","")&amp;IF(AND(EDATE($D100,Milestones!$AA$99)&lt;=AsOfDate,IF($Q100=0,$W100,IF(AND($S100&lt;&gt;"",EDATE($D100,Milestones!$AA$99)&gt;=$S100),$V100,IF(AND($R100&lt;&gt;"",EDATE($D100,Milestones!$AA$99)&gt;=$R100),$U100,$T100)))=Milestones!$AB$99),TEXT(EDATE($D100,Milestones!$AA$99),"dd/mm/yy")&amp;" "&amp;Milestones!$AB$99&amp;" "&amp;Milestones!$AC$99&amp;";  ",""))</f>
        <v/>
      </c>
      <c r="L100" s="0" t="str">
        <f aca="false">IF(OR($A100="",$D100=""),"",IF(AND(EDATE($D100,Milestones!$AA$100)&lt;=AsOfDate,IF($Q100=0,$W100,IF(AND($S100&lt;&gt;"",EDATE($D100,Milestones!$AA$100)&gt;=$S100),$V100,IF(AND($R100&lt;&gt;"",EDATE($D100,Milestones!$AA$100)&gt;=$R100),$U100,$T100)))=Milestones!$AB$100),TEXT(EDATE($D100,Milestones!$AA$100),"dd/mm/yy")&amp;" "&amp;Milestones!$AB$100&amp;" "&amp;Milestones!$AC$100&amp;";  ","")&amp;IF(AND(EDATE($D100,Milestones!$AA$101)&lt;=AsOfDate,IF($Q100=0,$W100,IF(AND($S100&lt;&gt;"",EDATE($D100,Milestones!$AA$101)&gt;=$S100),$V100,IF(AND($R100&lt;&gt;"",EDATE($D100,Milestones!$AA$101)&gt;=$R100),$U100,$T100)))=Milestones!$AB$101),TEXT(EDATE($D100,Milestones!$AA$101),"dd/mm/yy")&amp;" "&amp;Milestones!$AB$101&amp;" "&amp;Milestones!$AC$101&amp;";  ","")&amp;IF(AND(EDATE($D100,Milestones!$AA$102)&lt;=AsOfDate,IF($Q100=0,$W100,IF(AND($S100&lt;&gt;"",EDATE($D100,Milestones!$AA$102)&gt;=$S100),$V100,IF(AND($R100&lt;&gt;"",EDATE($D100,Milestones!$AA$102)&gt;=$R100),$U100,$T100)))=Milestones!$AB$102),TEXT(EDATE($D100,Milestones!$AA$102),"dd/mm/yy")&amp;" "&amp;Milestones!$AB$102&amp;" "&amp;Milestones!$AC$102&amp;";  ","")&amp;IF(AND(EDATE($D100,Milestones!$AA$103)&lt;=AsOfDate,IF($Q100=0,$W100,IF(AND($S100&lt;&gt;"",EDATE($D100,Milestones!$AA$103)&gt;=$S100),$V100,IF(AND($R100&lt;&gt;"",EDATE($D100,Milestones!$AA$103)&gt;=$R100),$U100,$T100)))=Milestones!$AB$103),TEXT(EDATE($D100,Milestones!$AA$103),"dd/mm/yy")&amp;" "&amp;Milestones!$AB$103&amp;" "&amp;Milestones!$AC$103&amp;";  ","")&amp;IF(AND(EDATE($D100,Milestones!$AA$104)&lt;=AsOfDate,IF($Q100=0,$W100,IF(AND($S100&lt;&gt;"",EDATE($D100,Milestones!$AA$104)&gt;=$S100),$V100,IF(AND($R100&lt;&gt;"",EDATE($D100,Milestones!$AA$104)&gt;=$R100),$U100,$T100)))=Milestones!$AB$104),TEXT(EDATE($D100,Milestones!$AA$104),"dd/mm/yy")&amp;" "&amp;Milestones!$AB$104&amp;" "&amp;Milestones!$AC$104&amp;";  ","")&amp;IF(AND(EDATE($D100,Milestones!$AA$105)&lt;=AsOfDate,IF($Q100=0,$W100,IF(AND($S100&lt;&gt;"",EDATE($D100,Milestones!$AA$105)&gt;=$S100),$V100,IF(AND($R100&lt;&gt;"",EDATE($D100,Milestones!$AA$105)&gt;=$R100),$U100,$T100)))=Milestones!$AB$105),TEXT(EDATE($D100,Milestones!$AA$105),"dd/mm/yy")&amp;" "&amp;Milestones!$AB$105&amp;" "&amp;Milestones!$AC$105&amp;";  ","")&amp;IF(AND(EDATE($D100,Milestones!$AA$106)&lt;=AsOfDate,IF($Q100=0,$W100,IF(AND($S100&lt;&gt;"",EDATE($D100,Milestones!$AA$106)&gt;=$S100),$V100,IF(AND($R100&lt;&gt;"",EDATE($D100,Milestones!$AA$106)&gt;=$R100),$U100,$T100)))=Milestones!$AB$106),TEXT(EDATE($D100,Milestones!$AA$106),"dd/mm/yy")&amp;" "&amp;Milestones!$AB$106&amp;" "&amp;Milestones!$AC$106&amp;";  ","")&amp;IF(AND(EDATE($D100,Milestones!$AA$107)&lt;=AsOfDate,IF($Q100=0,$W100,IF(AND($S100&lt;&gt;"",EDATE($D100,Milestones!$AA$107)&gt;=$S100),$V100,IF(AND($R100&lt;&gt;"",EDATE($D100,Milestones!$AA$107)&gt;=$R100),$U100,$T100)))=Milestones!$AB$107),TEXT(EDATE($D100,Milestones!$AA$107),"dd/mm/yy")&amp;" "&amp;Milestones!$AB$107&amp;" "&amp;Milestones!$AC$107&amp;";  ","")&amp;IF(AND(EDATE($D100,Milestones!$AA$108)&lt;=AsOfDate,IF($Q100=0,$W100,IF(AND($S100&lt;&gt;"",EDATE($D100,Milestones!$AA$108)&gt;=$S100),$V100,IF(AND($R100&lt;&gt;"",EDATE($D100,Milestones!$AA$108)&gt;=$R100),$U100,$T100)))=Milestones!$AB$108),TEXT(EDATE($D100,Milestones!$AA$108),"dd/mm/yy")&amp;" "&amp;Milestones!$AB$108&amp;" "&amp;Milestones!$AC$108&amp;";  ","")&amp;IF(AND(EDATE($D100,Milestones!$AA$109)&lt;=AsOfDate,IF($Q100=0,$W100,IF(AND($S100&lt;&gt;"",EDATE($D100,Milestones!$AA$109)&gt;=$S100),$V100,IF(AND($R100&lt;&gt;"",EDATE($D100,Milestones!$AA$109)&gt;=$R100),$U100,$T100)))=Milestones!$AB$109),TEXT(EDATE($D100,Milestones!$AA$109),"dd/mm/yy")&amp;" "&amp;Milestones!$AB$109&amp;" "&amp;Milestones!$AC$109&amp;";  ","")&amp;IF(AND(EDATE($D100,Milestones!$AA$110)&lt;=AsOfDate,IF($Q100=0,$W100,IF(AND($S100&lt;&gt;"",EDATE($D100,Milestones!$AA$110)&gt;=$S100),$V100,IF(AND($R100&lt;&gt;"",EDATE($D100,Milestones!$AA$110)&gt;=$R100),$U100,$T100)))=Milestones!$AB$110),TEXT(EDATE($D100,Milestones!$AA$110),"dd/mm/yy")&amp;" "&amp;Milestones!$AB$110&amp;" "&amp;Milestones!$AC$110&amp;";  ","")&amp;IF(AND(EDATE($D100,Milestones!$AA$111)&lt;=AsOfDate,IF($Q100=0,$W100,IF(AND($S100&lt;&gt;"",EDATE($D100,Milestones!$AA$111)&gt;=$S100),$V100,IF(AND($R100&lt;&gt;"",EDATE($D100,Milestones!$AA$111)&gt;=$R100),$U100,$T100)))=Milestones!$AB$111),TEXT(EDATE($D100,Milestones!$AA$111),"dd/mm/yy")&amp;" "&amp;Milestones!$AB$111&amp;" "&amp;Milestones!$AC$111&amp;";  ","")&amp;IF(AND(EDATE($D100,Milestones!$AA$112)&lt;=AsOfDate,IF($Q100=0,$W100,IF(AND($S100&lt;&gt;"",EDATE($D100,Milestones!$AA$112)&gt;=$S100),$V100,IF(AND($R100&lt;&gt;"",EDATE($D100,Milestones!$AA$112)&gt;=$R100),$U100,$T100)))=Milestones!$AB$112),TEXT(EDATE($D100,Milestones!$AA$112),"dd/mm/yy")&amp;" "&amp;Milestones!$AB$112&amp;" "&amp;Milestones!$AC$112&amp;";  ","")&amp;IF(AND(EDATE($D100,Milestones!$AA$113)&lt;=AsOfDate,IF($Q100=0,$W100,IF(AND($S100&lt;&gt;"",EDATE($D100,Milestones!$AA$113)&gt;=$S100),$V100,IF(AND($R100&lt;&gt;"",EDATE($D100,Milestones!$AA$113)&gt;=$R100),$U100,$T100)))=Milestones!$AB$113),TEXT(EDATE($D100,Milestones!$AA$113),"dd/mm/yy")&amp;" "&amp;Milestones!$AB$113&amp;" "&amp;Milestones!$AC$113&amp;";  ","")&amp;IF(AND(EDATE($D100,Milestones!$AA$114)&lt;=AsOfDate,IF($Q100=0,$W100,IF(AND($S100&lt;&gt;"",EDATE($D100,Milestones!$AA$114)&gt;=$S100),$V100,IF(AND($R100&lt;&gt;"",EDATE($D100,Milestones!$AA$114)&gt;=$R100),$U100,$T100)))=Milestones!$AB$114),TEXT(EDATE($D100,Milestones!$AA$114),"dd/mm/yy")&amp;" "&amp;Milestones!$AB$114&amp;" "&amp;Milestones!$AC$114&amp;";  ","")&amp;IF(AND(EDATE($D100,Milestones!$AA$115)&lt;=AsOfDate,IF($Q100=0,$W100,IF(AND($S100&lt;&gt;"",EDATE($D100,Milestones!$AA$115)&gt;=$S100),$V100,IF(AND($R100&lt;&gt;"",EDATE($D100,Milestones!$AA$115)&gt;=$R100),$U100,$T100)))=Milestones!$AB$115),TEXT(EDATE($D100,Milestones!$AA$115),"dd/mm/yy")&amp;" "&amp;Milestones!$AB$115&amp;" "&amp;Milestones!$AC$115&amp;";  ","")&amp;IF(AND(EDATE($D100,Milestones!$AA$116)&lt;=AsOfDate,IF($Q100=0,$W100,IF(AND($S100&lt;&gt;"",EDATE($D100,Milestones!$AA$116)&gt;=$S100),$V100,IF(AND($R100&lt;&gt;"",EDATE($D100,Milestones!$AA$116)&gt;=$R100),$U100,$T100)))=Milestones!$AB$116),TEXT(EDATE($D100,Milestones!$AA$116),"dd/mm/yy")&amp;" "&amp;Milestones!$AB$116&amp;" "&amp;Milestones!$AC$116&amp;";  ","")&amp;IF(AND(EDATE($D100,Milestones!$AA$117)&lt;=AsOfDate,IF($Q100=0,$W100,IF(AND($S100&lt;&gt;"",EDATE($D100,Milestones!$AA$117)&gt;=$S100),$V100,IF(AND($R100&lt;&gt;"",EDATE($D100,Milestones!$AA$117)&gt;=$R100),$U100,$T100)))=Milestones!$AB$117),TEXT(EDATE($D100,Milestones!$AA$117),"dd/mm/yy")&amp;" "&amp;Milestones!$AB$117&amp;" "&amp;Milestones!$AC$117&amp;";  ","")&amp;IF(AND(EDATE($D100,Milestones!$AA$118)&lt;=AsOfDate,IF($Q100=0,$W100,IF(AND($S100&lt;&gt;"",EDATE($D100,Milestones!$AA$118)&gt;=$S100),$V100,IF(AND($R100&lt;&gt;"",EDATE($D100,Milestones!$AA$118)&gt;=$R100),$U100,$T100)))=Milestones!$AB$118),TEXT(EDATE($D100,Milestones!$AA$118),"dd/mm/yy")&amp;" "&amp;Milestones!$AB$118&amp;" "&amp;Milestones!$AC$118&amp;";  ","")&amp;IF(AND(EDATE($D100,Milestones!$AA$119)&lt;=AsOfDate,IF($Q100=0,$W100,IF(AND($S100&lt;&gt;"",EDATE($D100,Milestones!$AA$119)&gt;=$S100),$V100,IF(AND($R100&lt;&gt;"",EDATE($D100,Milestones!$AA$119)&gt;=$R100),$U100,$T100)))=Milestones!$AB$119),TEXT(EDATE($D100,Milestones!$AA$119),"dd/mm/yy")&amp;" "&amp;Milestones!$AB$119&amp;" "&amp;Milestones!$AC$119&amp;";  ",""))</f>
        <v/>
      </c>
      <c r="M100" s="0" t="str">
        <f aca="false">IF(OR($A100="",$D100=""),"",IF(AND(EDATE($D100,Milestones!$AA$120)&lt;=AsOfDate,IF($Q100=0,$W100,IF(AND($S100&lt;&gt;"",EDATE($D100,Milestones!$AA$120)&gt;=$S100),$V100,IF(AND($R100&lt;&gt;"",EDATE($D100,Milestones!$AA$120)&gt;=$R100),$U100,$T100)))=Milestones!$AB$120),TEXT(EDATE($D100,Milestones!$AA$120),"dd/mm/yy")&amp;" "&amp;Milestones!$AB$120&amp;" "&amp;Milestones!$AC$120&amp;";  ","")&amp;IF(AND(EDATE($D100,Milestones!$AA$121)&lt;=AsOfDate,IF($Q100=0,$W100,IF(AND($S100&lt;&gt;"",EDATE($D100,Milestones!$AA$121)&gt;=$S100),$V100,IF(AND($R100&lt;&gt;"",EDATE($D100,Milestones!$AA$121)&gt;=$R100),$U100,$T100)))=Milestones!$AB$121),TEXT(EDATE($D100,Milestones!$AA$121),"dd/mm/yy")&amp;" "&amp;Milestones!$AB$121&amp;" "&amp;Milestones!$AC$121&amp;";  ","")&amp;IF(AND(EDATE($D100,Milestones!$AA$122)&lt;=AsOfDate,IF($Q100=0,$W100,IF(AND($S100&lt;&gt;"",EDATE($D100,Milestones!$AA$122)&gt;=$S100),$V100,IF(AND($R100&lt;&gt;"",EDATE($D100,Milestones!$AA$122)&gt;=$R100),$U100,$T100)))=Milestones!$AB$122),TEXT(EDATE($D100,Milestones!$AA$122),"dd/mm/yy")&amp;" "&amp;Milestones!$AB$122&amp;" "&amp;Milestones!$AC$122&amp;";  ","")&amp;IF(AND(EDATE($D100,Milestones!$AA$123)&lt;=AsOfDate,IF($Q100=0,$W100,IF(AND($S100&lt;&gt;"",EDATE($D100,Milestones!$AA$123)&gt;=$S100),$V100,IF(AND($R100&lt;&gt;"",EDATE($D100,Milestones!$AA$123)&gt;=$R100),$U100,$T100)))=Milestones!$AB$123),TEXT(EDATE($D100,Milestones!$AA$123),"dd/mm/yy")&amp;" "&amp;Milestones!$AB$123&amp;" "&amp;Milestones!$AC$123&amp;";  ","")&amp;IF(AND(EDATE($D100,Milestones!$AA$124)&lt;=AsOfDate,IF($Q100=0,$W100,IF(AND($S100&lt;&gt;"",EDATE($D100,Milestones!$AA$124)&gt;=$S100),$V100,IF(AND($R100&lt;&gt;"",EDATE($D100,Milestones!$AA$124)&gt;=$R100),$U100,$T100)))=Milestones!$AB$124),TEXT(EDATE($D100,Milestones!$AA$124),"dd/mm/yy")&amp;" "&amp;Milestones!$AB$124&amp;" "&amp;Milestones!$AC$124&amp;";  ","")&amp;IF(AND(EDATE($D100,Milestones!$AA$125)&lt;=AsOfDate,IF($Q100=0,$W100,IF(AND($S100&lt;&gt;"",EDATE($D100,Milestones!$AA$125)&gt;=$S100),$V100,IF(AND($R100&lt;&gt;"",EDATE($D100,Milestones!$AA$125)&gt;=$R100),$U100,$T100)))=Milestones!$AB$125),TEXT(EDATE($D100,Milestones!$AA$125),"dd/mm/yy")&amp;" "&amp;Milestones!$AB$125&amp;" "&amp;Milestones!$AC$125&amp;";  ","")&amp;IF(AND(EDATE($D100,Milestones!$AA$126)&lt;=AsOfDate,IF($Q100=0,$W100,IF(AND($S100&lt;&gt;"",EDATE($D100,Milestones!$AA$126)&gt;=$S100),$V100,IF(AND($R100&lt;&gt;"",EDATE($D100,Milestones!$AA$126)&gt;=$R100),$U100,$T100)))=Milestones!$AB$126),TEXT(EDATE($D100,Milestones!$AA$126),"dd/mm/yy")&amp;" "&amp;Milestones!$AB$126&amp;" "&amp;Milestones!$AC$126&amp;";  ","")&amp;IF(AND(EDATE($D100,Milestones!$AA$127)&lt;=AsOfDate,IF($Q100=0,$W100,IF(AND($S100&lt;&gt;"",EDATE($D100,Milestones!$AA$127)&gt;=$S100),$V100,IF(AND($R100&lt;&gt;"",EDATE($D100,Milestones!$AA$127)&gt;=$R100),$U100,$T100)))=Milestones!$AB$127),TEXT(EDATE($D100,Milestones!$AA$127),"dd/mm/yy")&amp;" "&amp;Milestones!$AB$127&amp;" "&amp;Milestones!$AC$127&amp;";  ","")&amp;IF(AND(EDATE($D100,Milestones!$AA$128)&lt;=AsOfDate,IF($Q100=0,$W100,IF(AND($S100&lt;&gt;"",EDATE($D100,Milestones!$AA$128)&gt;=$S100),$V100,IF(AND($R100&lt;&gt;"",EDATE($D100,Milestones!$AA$128)&gt;=$R100),$U100,$T100)))=Milestones!$AB$128),TEXT(EDATE($D100,Milestones!$AA$128),"dd/mm/yy")&amp;" "&amp;Milestones!$AB$128&amp;" "&amp;Milestones!$AC$128&amp;";  ","")&amp;IF(AND(EDATE($D100,Milestones!$AA$129)&lt;=AsOfDate,IF($Q100=0,$W100,IF(AND($S100&lt;&gt;"",EDATE($D100,Milestones!$AA$129)&gt;=$S100),$V100,IF(AND($R100&lt;&gt;"",EDATE($D100,Milestones!$AA$129)&gt;=$R100),$U100,$T100)))=Milestones!$AB$129),TEXT(EDATE($D100,Milestones!$AA$129),"dd/mm/yy")&amp;" "&amp;Milestones!$AB$129&amp;" "&amp;Milestones!$AC$129&amp;";  ","")&amp;IF(AND(EDATE($D100,Milestones!$AA$130)&lt;=AsOfDate,IF($Q100=0,$W100,IF(AND($S100&lt;&gt;"",EDATE($D100,Milestones!$AA$130)&gt;=$S100),$V100,IF(AND($R100&lt;&gt;"",EDATE($D100,Milestones!$AA$130)&gt;=$R100),$U100,$T100)))=Milestones!$AB$130),TEXT(EDATE($D100,Milestones!$AA$130),"dd/mm/yy")&amp;" "&amp;Milestones!$AB$130&amp;" "&amp;Milestones!$AC$130&amp;";  ","")&amp;IF(AND(EDATE($D100,Milestones!$AA$131)&lt;=AsOfDate,IF($Q100=0,$W100,IF(AND($S100&lt;&gt;"",EDATE($D100,Milestones!$AA$131)&gt;=$S100),$V100,IF(AND($R100&lt;&gt;"",EDATE($D100,Milestones!$AA$131)&gt;=$R100),$U100,$T100)))=Milestones!$AB$131),TEXT(EDATE($D100,Milestones!$AA$131),"dd/mm/yy")&amp;" "&amp;Milestones!$AB$131&amp;" "&amp;Milestones!$AC$131&amp;";  ","")&amp;IF(AND(EDATE($D100,Milestones!$AA$132)&lt;=AsOfDate,IF($Q100=0,$W100,IF(AND($S100&lt;&gt;"",EDATE($D100,Milestones!$AA$132)&gt;=$S100),$V100,IF(AND($R100&lt;&gt;"",EDATE($D100,Milestones!$AA$132)&gt;=$R100),$U100,$T100)))=Milestones!$AB$132),TEXT(EDATE($D100,Milestones!$AA$132),"dd/mm/yy")&amp;" "&amp;Milestones!$AB$132&amp;" "&amp;Milestones!$AC$132&amp;";  ","")&amp;IF(AND(EDATE($D100,Milestones!$AA$133)&lt;=AsOfDate,IF($Q100=0,$W100,IF(AND($S100&lt;&gt;"",EDATE($D100,Milestones!$AA$133)&gt;=$S100),$V100,IF(AND($R100&lt;&gt;"",EDATE($D100,Milestones!$AA$133)&gt;=$R100),$U100,$T100)))=Milestones!$AB$133),TEXT(EDATE($D100,Milestones!$AA$133),"dd/mm/yy")&amp;" "&amp;Milestones!$AB$133&amp;" "&amp;Milestones!$AC$133&amp;";  ","")&amp;IF(AND(EDATE($D100,Milestones!$AA$134)&lt;=AsOfDate,IF($Q100=0,$W100,IF(AND($S100&lt;&gt;"",EDATE($D100,Milestones!$AA$134)&gt;=$S100),$V100,IF(AND($R100&lt;&gt;"",EDATE($D100,Milestones!$AA$134)&gt;=$R100),$U100,$T100)))=Milestones!$AB$134),TEXT(EDATE($D100,Milestones!$AA$134),"dd/mm/yy")&amp;" "&amp;Milestones!$AB$134&amp;" "&amp;Milestones!$AC$134&amp;";  ","")&amp;IF(AND(EDATE($D100,Milestones!$AA$135)&lt;=AsOfDate,IF($Q100=0,$W100,IF(AND($S100&lt;&gt;"",EDATE($D100,Milestones!$AA$135)&gt;=$S100),$V100,IF(AND($R100&lt;&gt;"",EDATE($D100,Milestones!$AA$135)&gt;=$R100),$U100,$T100)))=Milestones!$AB$135),TEXT(EDATE($D100,Milestones!$AA$135),"dd/mm/yy")&amp;" "&amp;Milestones!$AB$135&amp;" "&amp;Milestones!$AC$135&amp;";  ","")&amp;IF(AND(EDATE($D100,Milestones!$AA$136)&lt;=AsOfDate,IF($Q100=0,$W100,IF(AND($S100&lt;&gt;"",EDATE($D100,Milestones!$AA$136)&gt;=$S100),$V100,IF(AND($R100&lt;&gt;"",EDATE($D100,Milestones!$AA$136)&gt;=$R100),$U100,$T100)))=Milestones!$AB$136),TEXT(EDATE($D100,Milestones!$AA$136),"dd/mm/yy")&amp;" "&amp;Milestones!$AB$136&amp;" "&amp;Milestones!$AC$136&amp;";  ","")&amp;IF(AND(EDATE($D100,Milestones!$AA$137)&lt;=AsOfDate,IF($Q100=0,$W100,IF(AND($S100&lt;&gt;"",EDATE($D100,Milestones!$AA$137)&gt;=$S100),$V100,IF(AND($R100&lt;&gt;"",EDATE($D100,Milestones!$AA$137)&gt;=$R100),$U100,$T100)))=Milestones!$AB$137),TEXT(EDATE($D100,Milestones!$AA$137),"dd/mm/yy")&amp;" "&amp;Milestones!$AB$137&amp;" "&amp;Milestones!$AC$137&amp;";  ","")&amp;IF(AND(EDATE($D100,Milestones!$AA$138)&lt;=AsOfDate,IF($Q100=0,$W100,IF(AND($S100&lt;&gt;"",EDATE($D100,Milestones!$AA$138)&gt;=$S100),$V100,IF(AND($R100&lt;&gt;"",EDATE($D100,Milestones!$AA$138)&gt;=$R100),$U100,$T100)))=Milestones!$AB$138),TEXT(EDATE($D100,Milestones!$AA$138),"dd/mm/yy")&amp;" "&amp;Milestones!$AB$138&amp;" "&amp;Milestones!$AC$138&amp;";  ","")&amp;IF(AND(EDATE($D100,Milestones!$AA$139)&lt;=AsOfDate,IF($Q100=0,$W100,IF(AND($S100&lt;&gt;"",EDATE($D100,Milestones!$AA$139)&gt;=$S100),$V100,IF(AND($R100&lt;&gt;"",EDATE($D100,Milestones!$AA$139)&gt;=$R100),$U100,$T100)))=Milestones!$AB$139),TEXT(EDATE($D100,Milestones!$AA$139),"dd/mm/yy")&amp;" "&amp;Milestones!$AB$139&amp;" "&amp;Milestones!$AC$139&amp;";  ",""))</f>
        <v/>
      </c>
      <c r="N100" s="0" t="str">
        <f aca="false">IF(OR($A100="",$D100=""),"",IF(AND(EDATE($D100,Milestones!$AA$140)&lt;=AsOfDate,IF($Q100=0,$W100,IF(AND($S100&lt;&gt;"",EDATE($D100,Milestones!$AA$140)&gt;=$S100),$V100,IF(AND($R100&lt;&gt;"",EDATE($D100,Milestones!$AA$140)&gt;=$R100),$U100,$T100)))=Milestones!$AB$140),TEXT(EDATE($D100,Milestones!$AA$140),"dd/mm/yy")&amp;" "&amp;Milestones!$AB$140&amp;" "&amp;Milestones!$AC$140&amp;";  ","")&amp;IF(AND(EDATE($D100,Milestones!$AA$141)&lt;=AsOfDate,IF($Q100=0,$W100,IF(AND($S100&lt;&gt;"",EDATE($D100,Milestones!$AA$141)&gt;=$S100),$V100,IF(AND($R100&lt;&gt;"",EDATE($D100,Milestones!$AA$141)&gt;=$R100),$U100,$T100)))=Milestones!$AB$141),TEXT(EDATE($D100,Milestones!$AA$141),"dd/mm/yy")&amp;" "&amp;Milestones!$AB$141&amp;" "&amp;Milestones!$AC$141&amp;";  ","")&amp;IF(AND(EDATE($D100,Milestones!$AA$142)&lt;=AsOfDate,IF($Q100=0,$W100,IF(AND($S100&lt;&gt;"",EDATE($D100,Milestones!$AA$142)&gt;=$S100),$V100,IF(AND($R100&lt;&gt;"",EDATE($D100,Milestones!$AA$142)&gt;=$R100),$U100,$T100)))=Milestones!$AB$142),TEXT(EDATE($D100,Milestones!$AA$142),"dd/mm/yy")&amp;" "&amp;Milestones!$AB$142&amp;" "&amp;Milestones!$AC$142&amp;";  ","")&amp;IF(AND(EDATE($D100,Milestones!$AA$143)&lt;=AsOfDate,IF($Q100=0,$W100,IF(AND($S100&lt;&gt;"",EDATE($D100,Milestones!$AA$143)&gt;=$S100),$V100,IF(AND($R100&lt;&gt;"",EDATE($D100,Milestones!$AA$143)&gt;=$R100),$U100,$T100)))=Milestones!$AB$143),TEXT(EDATE($D100,Milestones!$AA$143),"dd/mm/yy")&amp;" "&amp;Milestones!$AB$143&amp;" "&amp;Milestones!$AC$143&amp;";  ","")&amp;IF(AND(EDATE($D100,Milestones!$AA$144)&lt;=AsOfDate,IF($Q100=0,$W100,IF(AND($S100&lt;&gt;"",EDATE($D100,Milestones!$AA$144)&gt;=$S100),$V100,IF(AND($R100&lt;&gt;"",EDATE($D100,Milestones!$AA$144)&gt;=$R100),$U100,$T100)))=Milestones!$AB$144),TEXT(EDATE($D100,Milestones!$AA$144),"dd/mm/yy")&amp;" "&amp;Milestones!$AB$144&amp;" "&amp;Milestones!$AC$144&amp;";  ","")&amp;IF(AND(EDATE($D100,Milestones!$AA$145)&lt;=AsOfDate,IF($Q100=0,$W100,IF(AND($S100&lt;&gt;"",EDATE($D100,Milestones!$AA$145)&gt;=$S100),$V100,IF(AND($R100&lt;&gt;"",EDATE($D100,Milestones!$AA$145)&gt;=$R100),$U100,$T100)))=Milestones!$AB$145),TEXT(EDATE($D100,Milestones!$AA$145),"dd/mm/yy")&amp;" "&amp;Milestones!$AB$145&amp;" "&amp;Milestones!$AC$145&amp;";  ","")&amp;IF(AND(EDATE($D100,Milestones!$AA$146)&lt;=AsOfDate,IF($Q100=0,$W100,IF(AND($S100&lt;&gt;"",EDATE($D100,Milestones!$AA$146)&gt;=$S100),$V100,IF(AND($R100&lt;&gt;"",EDATE($D100,Milestones!$AA$146)&gt;=$R100),$U100,$T100)))=Milestones!$AB$146),TEXT(EDATE($D100,Milestones!$AA$146),"dd/mm/yy")&amp;" "&amp;Milestones!$AB$146&amp;" "&amp;Milestones!$AC$146&amp;";  ","")&amp;IF(AND(EDATE($D100,Milestones!$AA$147)&lt;=AsOfDate,IF($Q100=0,$W100,IF(AND($S100&lt;&gt;"",EDATE($D100,Milestones!$AA$147)&gt;=$S100),$V100,IF(AND($R100&lt;&gt;"",EDATE($D100,Milestones!$AA$147)&gt;=$R100),$U100,$T100)))=Milestones!$AB$147),TEXT(EDATE($D100,Milestones!$AA$147),"dd/mm/yy")&amp;" "&amp;Milestones!$AB$147&amp;" "&amp;Milestones!$AC$147&amp;";  ","")&amp;IF(AND(EDATE($D100,Milestones!$AA$148)&lt;=AsOfDate,IF($Q100=0,$W100,IF(AND($S100&lt;&gt;"",EDATE($D100,Milestones!$AA$148)&gt;=$S100),$V100,IF(AND($R100&lt;&gt;"",EDATE($D100,Milestones!$AA$148)&gt;=$R100),$U100,$T100)))=Milestones!$AB$148),TEXT(EDATE($D100,Milestones!$AA$148),"dd/mm/yy")&amp;" "&amp;Milestones!$AB$148&amp;" "&amp;Milestones!$AC$148&amp;";  ","")&amp;IF(AND(EDATE($D100,Milestones!$AA$149)&lt;=AsOfDate,IF($Q100=0,$W100,IF(AND($S100&lt;&gt;"",EDATE($D100,Milestones!$AA$149)&gt;=$S100),$V100,IF(AND($R100&lt;&gt;"",EDATE($D100,Milestones!$AA$149)&gt;=$R100),$U100,$T100)))=Milestones!$AB$149),TEXT(EDATE($D100,Milestones!$AA$149),"dd/mm/yy")&amp;" "&amp;Milestones!$AB$149&amp;" "&amp;Milestones!$AC$149&amp;";  ","")&amp;IF(AND(EDATE($D100,Milestones!$AA$150)&lt;=AsOfDate,IF($Q100=0,$W100,IF(AND($S100&lt;&gt;"",EDATE($D100,Milestones!$AA$150)&gt;=$S100),$V100,IF(AND($R100&lt;&gt;"",EDATE($D100,Milestones!$AA$150)&gt;=$R100),$U100,$T100)))=Milestones!$AB$150),TEXT(EDATE($D100,Milestones!$AA$150),"dd/mm/yy")&amp;" "&amp;Milestones!$AB$150&amp;" "&amp;Milestones!$AC$150&amp;";  ","")&amp;IF(AND(EDATE($D100,Milestones!$AA$151)&lt;=AsOfDate,IF($Q100=0,$W100,IF(AND($S100&lt;&gt;"",EDATE($D100,Milestones!$AA$151)&gt;=$S100),$V100,IF(AND($R100&lt;&gt;"",EDATE($D100,Milestones!$AA$151)&gt;=$R100),$U100,$T100)))=Milestones!$AB$151),TEXT(EDATE($D100,Milestones!$AA$151),"dd/mm/yy")&amp;" "&amp;Milestones!$AB$151&amp;" "&amp;Milestones!$AC$151&amp;";  ","")&amp;IF(AND(EDATE($D100,Milestones!$AA$152)&lt;=AsOfDate,IF($Q100=0,$W100,IF(AND($S100&lt;&gt;"",EDATE($D100,Milestones!$AA$152)&gt;=$S100),$V100,IF(AND($R100&lt;&gt;"",EDATE($D100,Milestones!$AA$152)&gt;=$R100),$U100,$T100)))=Milestones!$AB$152),TEXT(EDATE($D100,Milestones!$AA$152),"dd/mm/yy")&amp;" "&amp;Milestones!$AB$152&amp;" "&amp;Milestones!$AC$152&amp;";  ","")&amp;IF(AND(EDATE($D100,Milestones!$AA$153)&lt;=AsOfDate,IF($Q100=0,$W100,IF(AND($S100&lt;&gt;"",EDATE($D100,Milestones!$AA$153)&gt;=$S100),$V100,IF(AND($R100&lt;&gt;"",EDATE($D100,Milestones!$AA$153)&gt;=$R100),$U100,$T100)))=Milestones!$AB$153),TEXT(EDATE($D100,Milestones!$AA$153),"dd/mm/yy")&amp;" "&amp;Milestones!$AB$153&amp;" "&amp;Milestones!$AC$153&amp;";  ","")&amp;IF(AND(EDATE($D100,Milestones!$AA$154)&lt;=AsOfDate,IF($Q100=0,$W100,IF(AND($S100&lt;&gt;"",EDATE($D100,Milestones!$AA$154)&gt;=$S100),$V100,IF(AND($R100&lt;&gt;"",EDATE($D100,Milestones!$AA$154)&gt;=$R100),$U100,$T100)))=Milestones!$AB$154),TEXT(EDATE($D100,Milestones!$AA$154),"dd/mm/yy")&amp;" "&amp;Milestones!$AB$154&amp;" "&amp;Milestones!$AC$154&amp;";  ","")&amp;IF(AND(EDATE($D100,Milestones!$AA$155)&lt;=AsOfDate,IF($Q100=0,$W100,IF(AND($S100&lt;&gt;"",EDATE($D100,Milestones!$AA$155)&gt;=$S100),$V100,IF(AND($R100&lt;&gt;"",EDATE($D100,Milestones!$AA$155)&gt;=$R100),$U100,$T100)))=Milestones!$AB$155),TEXT(EDATE($D100,Milestones!$AA$155),"dd/mm/yy")&amp;" "&amp;Milestones!$AB$155&amp;" "&amp;Milestones!$AC$155&amp;";  ","")&amp;IF(AND(EDATE($D100,Milestones!$AA$156)&lt;=AsOfDate,IF($Q100=0,$W100,IF(AND($S100&lt;&gt;"",EDATE($D100,Milestones!$AA$156)&gt;=$S100),$V100,IF(AND($R100&lt;&gt;"",EDATE($D100,Milestones!$AA$156)&gt;=$R100),$U100,$T100)))=Milestones!$AB$156),TEXT(EDATE($D100,Milestones!$AA$156),"dd/mm/yy")&amp;" "&amp;Milestones!$AB$156&amp;" "&amp;Milestones!$AC$156&amp;";  ","")&amp;IF(AND(EDATE($D100,Milestones!$AA$157)&lt;=AsOfDate,IF($Q100=0,$W100,IF(AND($S100&lt;&gt;"",EDATE($D100,Milestones!$AA$157)&gt;=$S100),$V100,IF(AND($R100&lt;&gt;"",EDATE($D100,Milestones!$AA$157)&gt;=$R100),$U100,$T100)))=Milestones!$AB$157),TEXT(EDATE($D100,Milestones!$AA$157),"dd/mm/yy")&amp;" "&amp;Milestones!$AB$157&amp;" "&amp;Milestones!$AC$157&amp;";  ","")&amp;IF(AND(EDATE($D100,Milestones!$AA$158)&lt;=AsOfDate,IF($Q100=0,$W100,IF(AND($S100&lt;&gt;"",EDATE($D100,Milestones!$AA$158)&gt;=$S100),$V100,IF(AND($R100&lt;&gt;"",EDATE($D100,Milestones!$AA$158)&gt;=$R100),$U100,$T100)))=Milestones!$AB$158),TEXT(EDATE($D100,Milestones!$AA$158),"dd/mm/yy")&amp;" "&amp;Milestones!$AB$158&amp;" "&amp;Milestones!$AC$158&amp;";  ","")&amp;IF(AND(EDATE($D100,Milestones!$AA$159)&lt;=AsOfDate,IF($Q100=0,$W100,IF(AND($S100&lt;&gt;"",EDATE($D100,Milestones!$AA$159)&gt;=$S100),$V100,IF(AND($R100&lt;&gt;"",EDATE($D100,Milestones!$AA$159)&gt;=$R100),$U100,$T100)))=Milestones!$AB$159),TEXT(EDATE($D100,Milestones!$AA$159),"dd/mm/yy")&amp;" "&amp;Milestones!$AB$159&amp;" "&amp;Milestones!$AC$159&amp;";  ",""))</f>
        <v/>
      </c>
      <c r="O100" s="0" t="str">
        <f aca="false">IF(OR($A100="",$D100=""),"",IF(AND(EDATE($D100,Milestones!$AA$160)&lt;=AsOfDate,IF($Q100=0,$W100,IF(AND($S100&lt;&gt;"",EDATE($D100,Milestones!$AA$160)&gt;=$S100),$V100,IF(AND($R100&lt;&gt;"",EDATE($D100,Milestones!$AA$160)&gt;=$R100),$U100,$T100)))=Milestones!$AB$160),TEXT(EDATE($D100,Milestones!$AA$160),"dd/mm/yy")&amp;" "&amp;Milestones!$AB$160&amp;" "&amp;Milestones!$AC$160&amp;";  ","")&amp;IF(AND(EDATE($D100,Milestones!$AA$161)&lt;=AsOfDate,IF($Q100=0,$W100,IF(AND($S100&lt;&gt;"",EDATE($D100,Milestones!$AA$161)&gt;=$S100),$V100,IF(AND($R100&lt;&gt;"",EDATE($D100,Milestones!$AA$161)&gt;=$R100),$U100,$T100)))=Milestones!$AB$161),TEXT(EDATE($D100,Milestones!$AA$161),"dd/mm/yy")&amp;" "&amp;Milestones!$AB$161&amp;" "&amp;Milestones!$AC$161&amp;";  ","")&amp;IF(AND(EDATE($D100,Milestones!$AA$162)&lt;=AsOfDate,IF($Q100=0,$W100,IF(AND($S100&lt;&gt;"",EDATE($D100,Milestones!$AA$162)&gt;=$S100),$V100,IF(AND($R100&lt;&gt;"",EDATE($D100,Milestones!$AA$162)&gt;=$R100),$U100,$T100)))=Milestones!$AB$162),TEXT(EDATE($D100,Milestones!$AA$162),"dd/mm/yy")&amp;" "&amp;Milestones!$AB$162&amp;" "&amp;Milestones!$AC$162&amp;";  ","")&amp;IF(AND(EDATE($D100,Milestones!$AA$163)&lt;=AsOfDate,IF($Q100=0,$W100,IF(AND($S100&lt;&gt;"",EDATE($D100,Milestones!$AA$163)&gt;=$S100),$V100,IF(AND($R100&lt;&gt;"",EDATE($D100,Milestones!$AA$163)&gt;=$R100),$U100,$T100)))=Milestones!$AB$163),TEXT(EDATE($D100,Milestones!$AA$163),"dd/mm/yy")&amp;" "&amp;Milestones!$AB$163&amp;" "&amp;Milestones!$AC$163&amp;";  ","")&amp;IF(AND(EDATE($D100,Milestones!$AA$164)&lt;=AsOfDate,IF($Q100=0,$W100,IF(AND($S100&lt;&gt;"",EDATE($D100,Milestones!$AA$164)&gt;=$S100),$V100,IF(AND($R100&lt;&gt;"",EDATE($D100,Milestones!$AA$164)&gt;=$R100),$U100,$T100)))=Milestones!$AB$164),TEXT(EDATE($D100,Milestones!$AA$164),"dd/mm/yy")&amp;" "&amp;Milestones!$AB$164&amp;" "&amp;Milestones!$AC$164&amp;";  ","")&amp;IF(AND(EDATE($D100,Milestones!$AA$165)&lt;=AsOfDate,IF($Q100=0,$W100,IF(AND($S100&lt;&gt;"",EDATE($D100,Milestones!$AA$165)&gt;=$S100),$V100,IF(AND($R100&lt;&gt;"",EDATE($D100,Milestones!$AA$165)&gt;=$R100),$U100,$T100)))=Milestones!$AB$165),TEXT(EDATE($D100,Milestones!$AA$165),"dd/mm/yy")&amp;" "&amp;Milestones!$AB$165&amp;" "&amp;Milestones!$AC$165&amp;";  ","")&amp;IF(AND(EDATE($D100,Milestones!$AA$166)&lt;=AsOfDate,IF($Q100=0,$W100,IF(AND($S100&lt;&gt;"",EDATE($D100,Milestones!$AA$166)&gt;=$S100),$V100,IF(AND($R100&lt;&gt;"",EDATE($D100,Milestones!$AA$166)&gt;=$R100),$U100,$T100)))=Milestones!$AB$166),TEXT(EDATE($D100,Milestones!$AA$166),"dd/mm/yy")&amp;" "&amp;Milestones!$AB$166&amp;" "&amp;Milestones!$AC$166&amp;";  ","")&amp;IF(AND(EDATE($D100,Milestones!$AA$167)&lt;=AsOfDate,IF($Q100=0,$W100,IF(AND($S100&lt;&gt;"",EDATE($D100,Milestones!$AA$167)&gt;=$S100),$V100,IF(AND($R100&lt;&gt;"",EDATE($D100,Milestones!$AA$167)&gt;=$R100),$U100,$T100)))=Milestones!$AB$167),TEXT(EDATE($D100,Milestones!$AA$167),"dd/mm/yy")&amp;" "&amp;Milestones!$AB$167&amp;" "&amp;Milestones!$AC$167&amp;";  ","")&amp;IF(AND(EDATE($D100,Milestones!$AA$168)&lt;=AsOfDate,IF($Q100=0,$W100,IF(AND($S100&lt;&gt;"",EDATE($D100,Milestones!$AA$168)&gt;=$S100),$V100,IF(AND($R100&lt;&gt;"",EDATE($D100,Milestones!$AA$168)&gt;=$R100),$U100,$T100)))=Milestones!$AB$168),TEXT(EDATE($D100,Milestones!$AA$168),"dd/mm/yy")&amp;" "&amp;Milestones!$AB$168&amp;" "&amp;Milestones!$AC$168&amp;";  ","")&amp;IF(AND(EDATE($D100,Milestones!$AA$169)&lt;=AsOfDate,IF($Q100=0,$W100,IF(AND($S100&lt;&gt;"",EDATE($D100,Milestones!$AA$169)&gt;=$S100),$V100,IF(AND($R100&lt;&gt;"",EDATE($D100,Milestones!$AA$169)&gt;=$R100),$U100,$T100)))=Milestones!$AB$169),TEXT(EDATE($D100,Milestones!$AA$169),"dd/mm/yy")&amp;" "&amp;Milestones!$AB$169&amp;" "&amp;Milestones!$AC$169&amp;";  ","")&amp;IF(AND(EDATE($D100,Milestones!$AA$170)&lt;=AsOfDate,IF($Q100=0,$W100,IF(AND($S100&lt;&gt;"",EDATE($D100,Milestones!$AA$170)&gt;=$S100),$V100,IF(AND($R100&lt;&gt;"",EDATE($D100,Milestones!$AA$170)&gt;=$R100),$U100,$T100)))=Milestones!$AB$170),TEXT(EDATE($D100,Milestones!$AA$170),"dd/mm/yy")&amp;" "&amp;Milestones!$AB$170&amp;" "&amp;Milestones!$AC$170&amp;";  ","")&amp;IF(AND(EDATE($D100,Milestones!$AA$171)&lt;=AsOfDate,IF($Q100=0,$W100,IF(AND($S100&lt;&gt;"",EDATE($D100,Milestones!$AA$171)&gt;=$S100),$V100,IF(AND($R100&lt;&gt;"",EDATE($D100,Milestones!$AA$171)&gt;=$R100),$U100,$T100)))=Milestones!$AB$171),TEXT(EDATE($D100,Milestones!$AA$171),"dd/mm/yy")&amp;" "&amp;Milestones!$AB$171&amp;" "&amp;Milestones!$AC$171&amp;";  ","")&amp;IF(AND(EDATE($D100,Milestones!$AA$172)&lt;=AsOfDate,IF($Q100=0,$W100,IF(AND($S100&lt;&gt;"",EDATE($D100,Milestones!$AA$172)&gt;=$S100),$V100,IF(AND($R100&lt;&gt;"",EDATE($D100,Milestones!$AA$172)&gt;=$R100),$U100,$T100)))=Milestones!$AB$172),TEXT(EDATE($D100,Milestones!$AA$172),"dd/mm/yy")&amp;" "&amp;Milestones!$AB$172&amp;" "&amp;Milestones!$AC$172&amp;";  ","")&amp;IF(AND(EDATE($D100,Milestones!$AA$173)&lt;=AsOfDate,IF($Q100=0,$W100,IF(AND($S100&lt;&gt;"",EDATE($D100,Milestones!$AA$173)&gt;=$S100),$V100,IF(AND($R100&lt;&gt;"",EDATE($D100,Milestones!$AA$173)&gt;=$R100),$U100,$T100)))=Milestones!$AB$173),TEXT(EDATE($D100,Milestones!$AA$173),"dd/mm/yy")&amp;" "&amp;Milestones!$AB$173&amp;" "&amp;Milestones!$AC$173&amp;";  ","")&amp;IF(AND(EDATE($D100,Milestones!$AA$174)&lt;=AsOfDate,IF($Q100=0,$W100,IF(AND($S100&lt;&gt;"",EDATE($D100,Milestones!$AA$174)&gt;=$S100),$V100,IF(AND($R100&lt;&gt;"",EDATE($D100,Milestones!$AA$174)&gt;=$R100),$U100,$T100)))=Milestones!$AB$174),TEXT(EDATE($D100,Milestones!$AA$174),"dd/mm/yy")&amp;" "&amp;Milestones!$AB$174&amp;" "&amp;Milestones!$AC$174&amp;";  ","")&amp;IF(AND(EDATE($D100,Milestones!$AA$175)&lt;=AsOfDate,IF($Q100=0,$W100,IF(AND($S100&lt;&gt;"",EDATE($D100,Milestones!$AA$175)&gt;=$S100),$V100,IF(AND($R100&lt;&gt;"",EDATE($D100,Milestones!$AA$175)&gt;=$R100),$U100,$T100)))=Milestones!$AB$175),TEXT(EDATE($D100,Milestones!$AA$175),"dd/mm/yy")&amp;" "&amp;Milestones!$AB$175&amp;" "&amp;Milestones!$AC$175&amp;";  ","")&amp;IF(AND(EDATE($D100,Milestones!$AA$176)&lt;=AsOfDate,IF($Q100=0,$W100,IF(AND($S100&lt;&gt;"",EDATE($D100,Milestones!$AA$176)&gt;=$S100),$V100,IF(AND($R100&lt;&gt;"",EDATE($D100,Milestones!$AA$176)&gt;=$R100),$U100,$T100)))=Milestones!$AB$176),TEXT(EDATE($D100,Milestones!$AA$176),"dd/mm/yy")&amp;" "&amp;Milestones!$AB$176&amp;" "&amp;Milestones!$AC$176&amp;";  ","")&amp;IF(AND(EDATE($D100,Milestones!$AA$177)&lt;=AsOfDate,IF($Q100=0,$W100,IF(AND($S100&lt;&gt;"",EDATE($D100,Milestones!$AA$177)&gt;=$S100),$V100,IF(AND($R100&lt;&gt;"",EDATE($D100,Milestones!$AA$177)&gt;=$R100),$U100,$T100)))=Milestones!$AB$177),TEXT(EDATE($D100,Milestones!$AA$177),"dd/mm/yy")&amp;" "&amp;Milestones!$AB$177&amp;" "&amp;Milestones!$AC$177&amp;";  ","")&amp;IF(AND(EDATE($D100,Milestones!$AA$178)&lt;=AsOfDate,IF($Q100=0,$W100,IF(AND($S100&lt;&gt;"",EDATE($D100,Milestones!$AA$178)&gt;=$S100),$V100,IF(AND($R100&lt;&gt;"",EDATE($D100,Milestones!$AA$178)&gt;=$R100),$U100,$T100)))=Milestones!$AB$178),TEXT(EDATE($D100,Milestones!$AA$178),"dd/mm/yy")&amp;" "&amp;Milestones!$AB$178&amp;" "&amp;Milestones!$AC$178&amp;";  ","")&amp;IF(AND(EDATE($D100,Milestones!$AA$179)&lt;=AsOfDate,IF($Q100=0,$W100,IF(AND($S100&lt;&gt;"",EDATE($D100,Milestones!$AA$179)&gt;=$S100),$V100,IF(AND($R100&lt;&gt;"",EDATE($D100,Milestones!$AA$179)&gt;=$R100),$U100,$T100)))=Milestones!$AB$179),TEXT(EDATE($D100,Milestones!$AA$179),"dd/mm/yy")&amp;" "&amp;Milestones!$AB$179&amp;" "&amp;Milestones!$AC$179&amp;";  ",""))</f>
        <v/>
      </c>
      <c r="P100" s="0" t="str">
        <f aca="false">IF(OR($A100="",$D100=""),"",IF(AND(EDATE($D100,Milestones!$AA$180)&lt;=AsOfDate,IF($Q100=0,$W100,IF(AND($S100&lt;&gt;"",EDATE($D100,Milestones!$AA$180)&gt;=$S100),$V100,IF(AND($R100&lt;&gt;"",EDATE($D100,Milestones!$AA$180)&gt;=$R100),$U100,$T100)))=Milestones!$AB$180),TEXT(EDATE($D100,Milestones!$AA$180),"dd/mm/yy")&amp;" "&amp;Milestones!$AB$180&amp;" "&amp;Milestones!$AC$180&amp;";  ","")&amp;IF(AND(EDATE($D100,Milestones!$AA$181)&lt;=AsOfDate,IF($Q100=0,$W100,IF(AND($S100&lt;&gt;"",EDATE($D100,Milestones!$AA$181)&gt;=$S100),$V100,IF(AND($R100&lt;&gt;"",EDATE($D100,Milestones!$AA$181)&gt;=$R100),$U100,$T100)))=Milestones!$AB$181),TEXT(EDATE($D100,Milestones!$AA$181),"dd/mm/yy")&amp;" "&amp;Milestones!$AB$181&amp;" "&amp;Milestones!$AC$181&amp;";  ","")&amp;IF(AND(EDATE($D100,Milestones!$AA$182)&lt;=AsOfDate,IF($Q100=0,$W100,IF(AND($S100&lt;&gt;"",EDATE($D100,Milestones!$AA$182)&gt;=$S100),$V100,IF(AND($R100&lt;&gt;"",EDATE($D100,Milestones!$AA$182)&gt;=$R100),$U100,$T100)))=Milestones!$AB$182),TEXT(EDATE($D100,Milestones!$AA$182),"dd/mm/yy")&amp;" "&amp;Milestones!$AB$182&amp;" "&amp;Milestones!$AC$182&amp;";  ","")&amp;IF(AND(EDATE($D100,Milestones!$AA$183)&lt;=AsOfDate,IF($Q100=0,$W100,IF(AND($S100&lt;&gt;"",EDATE($D100,Milestones!$AA$183)&gt;=$S100),$V100,IF(AND($R100&lt;&gt;"",EDATE($D100,Milestones!$AA$183)&gt;=$R100),$U100,$T100)))=Milestones!$AB$183),TEXT(EDATE($D100,Milestones!$AA$183),"dd/mm/yy")&amp;" "&amp;Milestones!$AB$183&amp;" "&amp;Milestones!$AC$183&amp;";  ","")&amp;IF(AND(EDATE($D100,Milestones!$AA$184)&lt;=AsOfDate,IF($Q100=0,$W100,IF(AND($S100&lt;&gt;"",EDATE($D100,Milestones!$AA$184)&gt;=$S100),$V100,IF(AND($R100&lt;&gt;"",EDATE($D100,Milestones!$AA$184)&gt;=$R100),$U100,$T100)))=Milestones!$AB$184),TEXT(EDATE($D100,Milestones!$AA$184),"dd/mm/yy")&amp;" "&amp;Milestones!$AB$184&amp;" "&amp;Milestones!$AC$184&amp;";  ","")&amp;IF(AND(EDATE($D100,Milestones!$AA$185)&lt;=AsOfDate,IF($Q100=0,$W100,IF(AND($S100&lt;&gt;"",EDATE($D100,Milestones!$AA$185)&gt;=$S100),$V100,IF(AND($R100&lt;&gt;"",EDATE($D100,Milestones!$AA$185)&gt;=$R100),$U100,$T100)))=Milestones!$AB$185),TEXT(EDATE($D100,Milestones!$AA$185),"dd/mm/yy")&amp;" "&amp;Milestones!$AB$185&amp;" "&amp;Milestones!$AC$185&amp;";  ","")&amp;IF(AND(EDATE($D100,Milestones!$AA$186)&lt;=AsOfDate,IF($Q100=0,$W100,IF(AND($S100&lt;&gt;"",EDATE($D100,Milestones!$AA$186)&gt;=$S100),$V100,IF(AND($R100&lt;&gt;"",EDATE($D100,Milestones!$AA$186)&gt;=$R100),$U100,$T100)))=Milestones!$AB$186),TEXT(EDATE($D100,Milestones!$AA$186),"dd/mm/yy")&amp;" "&amp;Milestones!$AB$186&amp;" "&amp;Milestones!$AC$186&amp;";  ","")&amp;IF(AND(EDATE($D100,Milestones!$AA$187)&lt;=AsOfDate,IF($Q100=0,$W100,IF(AND($S100&lt;&gt;"",EDATE($D100,Milestones!$AA$187)&gt;=$S100),$V100,IF(AND($R100&lt;&gt;"",EDATE($D100,Milestones!$AA$187)&gt;=$R100),$U100,$T100)))=Milestones!$AB$187),TEXT(EDATE($D100,Milestones!$AA$187),"dd/mm/yy")&amp;" "&amp;Milestones!$AB$187&amp;" "&amp;Milestones!$AC$187&amp;";  ","")&amp;IF(AND(EDATE($D100,Milestones!$AA$188)&lt;=AsOfDate,IF($Q100=0,$W100,IF(AND($S100&lt;&gt;"",EDATE($D100,Milestones!$AA$188)&gt;=$S100),$V100,IF(AND($R100&lt;&gt;"",EDATE($D100,Milestones!$AA$188)&gt;=$R100),$U100,$T100)))=Milestones!$AB$188),TEXT(EDATE($D100,Milestones!$AA$188),"dd/mm/yy")&amp;" "&amp;Milestones!$AB$188&amp;" "&amp;Milestones!$AC$188&amp;";  ","")&amp;IF(AND(EDATE($D100,Milestones!$AA$189)&lt;=AsOfDate,IF($Q100=0,$W100,IF(AND($S100&lt;&gt;"",EDATE($D100,Milestones!$AA$189)&gt;=$S100),$V100,IF(AND($R100&lt;&gt;"",EDATE($D100,Milestones!$AA$189)&gt;=$R100),$U100,$T100)))=Milestones!$AB$189),TEXT(EDATE($D100,Milestones!$AA$189),"dd/mm/yy")&amp;" "&amp;Milestones!$AB$189&amp;" "&amp;Milestones!$AC$189&amp;";  ","")&amp;IF(AND(EDATE($D100,Milestones!$AA$190)&lt;=AsOfDate,IF($Q100=0,$W100,IF(AND($S100&lt;&gt;"",EDATE($D100,Milestones!$AA$190)&gt;=$S100),$V100,IF(AND($R100&lt;&gt;"",EDATE($D100,Milestones!$AA$190)&gt;=$R100),$U100,$T100)))=Milestones!$AB$190),TEXT(EDATE($D100,Milestones!$AA$190),"dd/mm/yy")&amp;" "&amp;Milestones!$AB$190&amp;" "&amp;Milestones!$AC$190&amp;";  ","")&amp;IF(AND(EDATE($D100,Milestones!$AA$191)&lt;=AsOfDate,IF($Q100=0,$W100,IF(AND($S100&lt;&gt;"",EDATE($D100,Milestones!$AA$191)&gt;=$S100),$V100,IF(AND($R100&lt;&gt;"",EDATE($D100,Milestones!$AA$191)&gt;=$R100),$U100,$T100)))=Milestones!$AB$191),TEXT(EDATE($D100,Milestones!$AA$191),"dd/mm/yy")&amp;" "&amp;Milestones!$AB$191&amp;" "&amp;Milestones!$AC$191&amp;";  ","")&amp;IF(AND(EDATE($D100,Milestones!$AA$192)&lt;=AsOfDate,IF($Q100=0,$W100,IF(AND($S100&lt;&gt;"",EDATE($D100,Milestones!$AA$192)&gt;=$S100),$V100,IF(AND($R100&lt;&gt;"",EDATE($D100,Milestones!$AA$192)&gt;=$R100),$U100,$T100)))=Milestones!$AB$192),TEXT(EDATE($D100,Milestones!$AA$192),"dd/mm/yy")&amp;" "&amp;Milestones!$AB$192&amp;" "&amp;Milestones!$AC$192&amp;";  ","")&amp;IF(AND(EDATE($D100,Milestones!$AA$193)&lt;=AsOfDate,IF($Q100=0,$W100,IF(AND($S100&lt;&gt;"",EDATE($D100,Milestones!$AA$193)&gt;=$S100),$V100,IF(AND($R100&lt;&gt;"",EDATE($D100,Milestones!$AA$193)&gt;=$R100),$U100,$T100)))=Milestones!$AB$193),TEXT(EDATE($D100,Milestones!$AA$193),"dd/mm/yy")&amp;" "&amp;Milestones!$AB$193&amp;" "&amp;Milestones!$AC$193&amp;";  ","")&amp;IF(AND(EDATE($D100,Milestones!$AA$194)&lt;=AsOfDate,IF($Q100=0,$W100,IF(AND($S100&lt;&gt;"",EDATE($D100,Milestones!$AA$194)&gt;=$S100),$V100,IF(AND($R100&lt;&gt;"",EDATE($D100,Milestones!$AA$194)&gt;=$R100),$U100,$T100)))=Milestones!$AB$194),TEXT(EDATE($D100,Milestones!$AA$194),"dd/mm/yy")&amp;" "&amp;Milestones!$AB$194&amp;" "&amp;Milestones!$AC$194&amp;";  ","")&amp;IF(AND(EDATE($D100,Milestones!$AA$195)&lt;=AsOfDate,IF($Q100=0,$W100,IF(AND($S100&lt;&gt;"",EDATE($D100,Milestones!$AA$195)&gt;=$S100),$V100,IF(AND($R100&lt;&gt;"",EDATE($D100,Milestones!$AA$195)&gt;=$R100),$U100,$T100)))=Milestones!$AB$195),TEXT(EDATE($D100,Milestones!$AA$195),"dd/mm/yy")&amp;" "&amp;Milestones!$AB$195&amp;" "&amp;Milestones!$AC$195&amp;";  ","")&amp;IF(AND(EDATE($D100,Milestones!$AA$196)&lt;=AsOfDate,IF($Q100=0,$W100,IF(AND($S100&lt;&gt;"",EDATE($D100,Milestones!$AA$196)&gt;=$S100),$V100,IF(AND($R100&lt;&gt;"",EDATE($D100,Milestones!$AA$196)&gt;=$R100),$U100,$T100)))=Milestones!$AB$196),TEXT(EDATE($D100,Milestones!$AA$196),"dd/mm/yy")&amp;" "&amp;Milestones!$AB$196&amp;" "&amp;Milestones!$AC$196&amp;";  ","")&amp;IF(AND(EDATE($D100,Milestones!$AA$197)&lt;=AsOfDate,IF($Q100=0,$W100,IF(AND($S100&lt;&gt;"",EDATE($D100,Milestones!$AA$197)&gt;=$S100),$V100,IF(AND($R100&lt;&gt;"",EDATE($D100,Milestones!$AA$197)&gt;=$R100),$U100,$T100)))=Milestones!$AB$197),TEXT(EDATE($D100,Milestones!$AA$197),"dd/mm/yy")&amp;" "&amp;Milestones!$AB$197&amp;" "&amp;Milestones!$AC$197&amp;";  ","")&amp;IF(AND(EDATE($D100,Milestones!$AA$198)&lt;=AsOfDate,IF($Q100=0,$W100,IF(AND($S100&lt;&gt;"",EDATE($D100,Milestones!$AA$198)&gt;=$S100),$V100,IF(AND($R100&lt;&gt;"",EDATE($D100,Milestones!$AA$198)&gt;=$R100),$U100,$T100)))=Milestones!$AB$198),TEXT(EDATE($D100,Milestones!$AA$198),"dd/mm/yy")&amp;" "&amp;Milestones!$AB$198&amp;" "&amp;Milestones!$AC$198&amp;";  ","")&amp;IF(AND(EDATE($D100,Milestones!$AA$199)&lt;=AsOfDate,IF($Q100=0,$W100,IF(AND($S100&lt;&gt;"",EDATE($D100,Milestones!$AA$199)&gt;=$S100),$V100,IF(AND($R100&lt;&gt;"",EDATE($D100,Milestones!$AA$199)&gt;=$R100),$U100,$T100)))=Milestones!$AB$199),TEXT(EDATE($D100,Milestones!$AA$199),"dd/mm/yy")&amp;" "&amp;Milestones!$AB$199&amp;" "&amp;Milestones!$AC$199&amp;";  ",""))</f>
        <v/>
      </c>
      <c r="Q100" s="0" t="str">
        <f aca="false">IF(Staff!$A100="","",Staff!$AG100)</f>
        <v/>
      </c>
      <c r="R100" s="0" t="str">
        <f aca="false">IF(Staff!$A100="","",Staff!$AI100)</f>
        <v/>
      </c>
      <c r="S100" s="0" t="str">
        <f aca="false">IF(Staff!$A100="","",Staff!$AJ100)</f>
        <v/>
      </c>
      <c r="T100" s="0" t="str">
        <f aca="false">IF(Staff!$A100="","",Staff!$AN100)</f>
        <v/>
      </c>
      <c r="U100" s="0" t="str">
        <f aca="false">IF(Staff!$A100="","",Staff!$AO100)</f>
        <v/>
      </c>
      <c r="V100" s="0" t="str">
        <f aca="false">IF(Staff!$A100="","",Staff!$AP100)</f>
        <v/>
      </c>
      <c r="W100" s="0" t="str">
        <f aca="false">IF(Staff!$A100="","",Staff!$AQ100)</f>
        <v/>
      </c>
    </row>
    <row r="101" customFormat="false" ht="15" hidden="false" customHeight="false" outlineLevel="0" collapsed="false">
      <c r="A101" s="13" t="str">
        <f aca="false">IF(Staff!$A101="","",Staff!$A101)</f>
        <v/>
      </c>
      <c r="B101" s="13" t="str">
        <f aca="false">IF(Staff!$A101="","",Staff!$B101)</f>
        <v/>
      </c>
      <c r="C101" s="13" t="str">
        <f aca="false">IF(Staff!$A101="","",Staff!$C101)</f>
        <v/>
      </c>
      <c r="D101" s="11" t="str">
        <f aca="false">IF(Staff!$A101="","",Staff!$AF101)</f>
        <v/>
      </c>
      <c r="E101" s="13" t="str">
        <f aca="false">IF(Staff!$A101="","",Staff!$O101)</f>
        <v/>
      </c>
      <c r="F101" s="13" t="str">
        <f aca="false">IF(E101="","",E101*HoursPerDay)</f>
        <v/>
      </c>
      <c r="G101" s="26" t="str">
        <f aca="false">IF($A101="","",H101&amp;I101&amp;J101&amp;K101&amp;L101&amp;M101&amp;N101&amp;O101&amp;P101)</f>
        <v/>
      </c>
      <c r="H101" s="0" t="str">
        <f aca="false">IF(OR($A101="",$D101=""),"",IF(AND(EDATE($D101,Milestones!$AA$20)&lt;=AsOfDate,IF($Q101=0,$W101,IF(AND($S101&lt;&gt;"",EDATE($D101,Milestones!$AA$20)&gt;=$S101),$V101,IF(AND($R101&lt;&gt;"",EDATE($D101,Milestones!$AA$20)&gt;=$R101),$U101,$T101)))=Milestones!$AB$20),TEXT(EDATE($D101,Milestones!$AA$20),"dd/mm/yy")&amp;" "&amp;Milestones!$AB$20&amp;" "&amp;Milestones!$AC$20&amp;";  ","")&amp;IF(AND(EDATE($D101,Milestones!$AA$21)&lt;=AsOfDate,IF($Q101=0,$W101,IF(AND($S101&lt;&gt;"",EDATE($D101,Milestones!$AA$21)&gt;=$S101),$V101,IF(AND($R101&lt;&gt;"",EDATE($D101,Milestones!$AA$21)&gt;=$R101),$U101,$T101)))=Milestones!$AB$21),TEXT(EDATE($D101,Milestones!$AA$21),"dd/mm/yy")&amp;" "&amp;Milestones!$AB$21&amp;" "&amp;Milestones!$AC$21&amp;";  ","")&amp;IF(AND(EDATE($D101,Milestones!$AA$22)&lt;=AsOfDate,IF($Q101=0,$W101,IF(AND($S101&lt;&gt;"",EDATE($D101,Milestones!$AA$22)&gt;=$S101),$V101,IF(AND($R101&lt;&gt;"",EDATE($D101,Milestones!$AA$22)&gt;=$R101),$U101,$T101)))=Milestones!$AB$22),TEXT(EDATE($D101,Milestones!$AA$22),"dd/mm/yy")&amp;" "&amp;Milestones!$AB$22&amp;" "&amp;Milestones!$AC$22&amp;";  ","")&amp;IF(AND(EDATE($D101,Milestones!$AA$23)&lt;=AsOfDate,IF($Q101=0,$W101,IF(AND($S101&lt;&gt;"",EDATE($D101,Milestones!$AA$23)&gt;=$S101),$V101,IF(AND($R101&lt;&gt;"",EDATE($D101,Milestones!$AA$23)&gt;=$R101),$U101,$T101)))=Milestones!$AB$23),TEXT(EDATE($D101,Milestones!$AA$23),"dd/mm/yy")&amp;" "&amp;Milestones!$AB$23&amp;" "&amp;Milestones!$AC$23&amp;";  ","")&amp;IF(AND(EDATE($D101,Milestones!$AA$24)&lt;=AsOfDate,IF($Q101=0,$W101,IF(AND($S101&lt;&gt;"",EDATE($D101,Milestones!$AA$24)&gt;=$S101),$V101,IF(AND($R101&lt;&gt;"",EDATE($D101,Milestones!$AA$24)&gt;=$R101),$U101,$T101)))=Milestones!$AB$24),TEXT(EDATE($D101,Milestones!$AA$24),"dd/mm/yy")&amp;" "&amp;Milestones!$AB$24&amp;" "&amp;Milestones!$AC$24&amp;";  ","")&amp;IF(AND(EDATE($D101,Milestones!$AA$25)&lt;=AsOfDate,IF($Q101=0,$W101,IF(AND($S101&lt;&gt;"",EDATE($D101,Milestones!$AA$25)&gt;=$S101),$V101,IF(AND($R101&lt;&gt;"",EDATE($D101,Milestones!$AA$25)&gt;=$R101),$U101,$T101)))=Milestones!$AB$25),TEXT(EDATE($D101,Milestones!$AA$25),"dd/mm/yy")&amp;" "&amp;Milestones!$AB$25&amp;" "&amp;Milestones!$AC$25&amp;";  ","")&amp;IF(AND(EDATE($D101,Milestones!$AA$26)&lt;=AsOfDate,IF($Q101=0,$W101,IF(AND($S101&lt;&gt;"",EDATE($D101,Milestones!$AA$26)&gt;=$S101),$V101,IF(AND($R101&lt;&gt;"",EDATE($D101,Milestones!$AA$26)&gt;=$R101),$U101,$T101)))=Milestones!$AB$26),TEXT(EDATE($D101,Milestones!$AA$26),"dd/mm/yy")&amp;" "&amp;Milestones!$AB$26&amp;" "&amp;Milestones!$AC$26&amp;";  ","")&amp;IF(AND(EDATE($D101,Milestones!$AA$27)&lt;=AsOfDate,IF($Q101=0,$W101,IF(AND($S101&lt;&gt;"",EDATE($D101,Milestones!$AA$27)&gt;=$S101),$V101,IF(AND($R101&lt;&gt;"",EDATE($D101,Milestones!$AA$27)&gt;=$R101),$U101,$T101)))=Milestones!$AB$27),TEXT(EDATE($D101,Milestones!$AA$27),"dd/mm/yy")&amp;" "&amp;Milestones!$AB$27&amp;" "&amp;Milestones!$AC$27&amp;";  ","")&amp;IF(AND(EDATE($D101,Milestones!$AA$28)&lt;=AsOfDate,IF($Q101=0,$W101,IF(AND($S101&lt;&gt;"",EDATE($D101,Milestones!$AA$28)&gt;=$S101),$V101,IF(AND($R101&lt;&gt;"",EDATE($D101,Milestones!$AA$28)&gt;=$R101),$U101,$T101)))=Milestones!$AB$28),TEXT(EDATE($D101,Milestones!$AA$28),"dd/mm/yy")&amp;" "&amp;Milestones!$AB$28&amp;" "&amp;Milestones!$AC$28&amp;";  ","")&amp;IF(AND(EDATE($D101,Milestones!$AA$29)&lt;=AsOfDate,IF($Q101=0,$W101,IF(AND($S101&lt;&gt;"",EDATE($D101,Milestones!$AA$29)&gt;=$S101),$V101,IF(AND($R101&lt;&gt;"",EDATE($D101,Milestones!$AA$29)&gt;=$R101),$U101,$T101)))=Milestones!$AB$29),TEXT(EDATE($D101,Milestones!$AA$29),"dd/mm/yy")&amp;" "&amp;Milestones!$AB$29&amp;" "&amp;Milestones!$AC$29&amp;";  ","")&amp;IF(AND(EDATE($D101,Milestones!$AA$30)&lt;=AsOfDate,IF($Q101=0,$W101,IF(AND($S101&lt;&gt;"",EDATE($D101,Milestones!$AA$30)&gt;=$S101),$V101,IF(AND($R101&lt;&gt;"",EDATE($D101,Milestones!$AA$30)&gt;=$R101),$U101,$T101)))=Milestones!$AB$30),TEXT(EDATE($D101,Milestones!$AA$30),"dd/mm/yy")&amp;" "&amp;Milestones!$AB$30&amp;" "&amp;Milestones!$AC$30&amp;";  ","")&amp;IF(AND(EDATE($D101,Milestones!$AA$31)&lt;=AsOfDate,IF($Q101=0,$W101,IF(AND($S101&lt;&gt;"",EDATE($D101,Milestones!$AA$31)&gt;=$S101),$V101,IF(AND($R101&lt;&gt;"",EDATE($D101,Milestones!$AA$31)&gt;=$R101),$U101,$T101)))=Milestones!$AB$31),TEXT(EDATE($D101,Milestones!$AA$31),"dd/mm/yy")&amp;" "&amp;Milestones!$AB$31&amp;" "&amp;Milestones!$AC$31&amp;";  ","")&amp;IF(AND(EDATE($D101,Milestones!$AA$32)&lt;=AsOfDate,IF($Q101=0,$W101,IF(AND($S101&lt;&gt;"",EDATE($D101,Milestones!$AA$32)&gt;=$S101),$V101,IF(AND($R101&lt;&gt;"",EDATE($D101,Milestones!$AA$32)&gt;=$R101),$U101,$T101)))=Milestones!$AB$32),TEXT(EDATE($D101,Milestones!$AA$32),"dd/mm/yy")&amp;" "&amp;Milestones!$AB$32&amp;" "&amp;Milestones!$AC$32&amp;";  ","")&amp;IF(AND(EDATE($D101,Milestones!$AA$33)&lt;=AsOfDate,IF($Q101=0,$W101,IF(AND($S101&lt;&gt;"",EDATE($D101,Milestones!$AA$33)&gt;=$S101),$V101,IF(AND($R101&lt;&gt;"",EDATE($D101,Milestones!$AA$33)&gt;=$R101),$U101,$T101)))=Milestones!$AB$33),TEXT(EDATE($D101,Milestones!$AA$33),"dd/mm/yy")&amp;" "&amp;Milestones!$AB$33&amp;" "&amp;Milestones!$AC$33&amp;";  ","")&amp;IF(AND(EDATE($D101,Milestones!$AA$34)&lt;=AsOfDate,IF($Q101=0,$W101,IF(AND($S101&lt;&gt;"",EDATE($D101,Milestones!$AA$34)&gt;=$S101),$V101,IF(AND($R101&lt;&gt;"",EDATE($D101,Milestones!$AA$34)&gt;=$R101),$U101,$T101)))=Milestones!$AB$34),TEXT(EDATE($D101,Milestones!$AA$34),"dd/mm/yy")&amp;" "&amp;Milestones!$AB$34&amp;" "&amp;Milestones!$AC$34&amp;";  ","")&amp;IF(AND(EDATE($D101,Milestones!$AA$35)&lt;=AsOfDate,IF($Q101=0,$W101,IF(AND($S101&lt;&gt;"",EDATE($D101,Milestones!$AA$35)&gt;=$S101),$V101,IF(AND($R101&lt;&gt;"",EDATE($D101,Milestones!$AA$35)&gt;=$R101),$U101,$T101)))=Milestones!$AB$35),TEXT(EDATE($D101,Milestones!$AA$35),"dd/mm/yy")&amp;" "&amp;Milestones!$AB$35&amp;" "&amp;Milestones!$AC$35&amp;";  ","")&amp;IF(AND(EDATE($D101,Milestones!$AA$36)&lt;=AsOfDate,IF($Q101=0,$W101,IF(AND($S101&lt;&gt;"",EDATE($D101,Milestones!$AA$36)&gt;=$S101),$V101,IF(AND($R101&lt;&gt;"",EDATE($D101,Milestones!$AA$36)&gt;=$R101),$U101,$T101)))=Milestones!$AB$36),TEXT(EDATE($D101,Milestones!$AA$36),"dd/mm/yy")&amp;" "&amp;Milestones!$AB$36&amp;" "&amp;Milestones!$AC$36&amp;";  ","")&amp;IF(AND(EDATE($D101,Milestones!$AA$37)&lt;=AsOfDate,IF($Q101=0,$W101,IF(AND($S101&lt;&gt;"",EDATE($D101,Milestones!$AA$37)&gt;=$S101),$V101,IF(AND($R101&lt;&gt;"",EDATE($D101,Milestones!$AA$37)&gt;=$R101),$U101,$T101)))=Milestones!$AB$37),TEXT(EDATE($D101,Milestones!$AA$37),"dd/mm/yy")&amp;" "&amp;Milestones!$AB$37&amp;" "&amp;Milestones!$AC$37&amp;";  ","")&amp;IF(AND(EDATE($D101,Milestones!$AA$38)&lt;=AsOfDate,IF($Q101=0,$W101,IF(AND($S101&lt;&gt;"",EDATE($D101,Milestones!$AA$38)&gt;=$S101),$V101,IF(AND($R101&lt;&gt;"",EDATE($D101,Milestones!$AA$38)&gt;=$R101),$U101,$T101)))=Milestones!$AB$38),TEXT(EDATE($D101,Milestones!$AA$38),"dd/mm/yy")&amp;" "&amp;Milestones!$AB$38&amp;" "&amp;Milestones!$AC$38&amp;";  ","")&amp;IF(AND(EDATE($D101,Milestones!$AA$39)&lt;=AsOfDate,IF($Q101=0,$W101,IF(AND($S101&lt;&gt;"",EDATE($D101,Milestones!$AA$39)&gt;=$S101),$V101,IF(AND($R101&lt;&gt;"",EDATE($D101,Milestones!$AA$39)&gt;=$R101),$U101,$T101)))=Milestones!$AB$39),TEXT(EDATE($D101,Milestones!$AA$39),"dd/mm/yy")&amp;" "&amp;Milestones!$AB$39&amp;" "&amp;Milestones!$AC$39&amp;";  ",""))</f>
        <v/>
      </c>
      <c r="I101" s="0" t="str">
        <f aca="false">IF(OR($A101="",$D101=""),"",IF(AND(EDATE($D101,Milestones!$AA$40)&lt;=AsOfDate,IF($Q101=0,$W101,IF(AND($S101&lt;&gt;"",EDATE($D101,Milestones!$AA$40)&gt;=$S101),$V101,IF(AND($R101&lt;&gt;"",EDATE($D101,Milestones!$AA$40)&gt;=$R101),$U101,$T101)))=Milestones!$AB$40),TEXT(EDATE($D101,Milestones!$AA$40),"dd/mm/yy")&amp;" "&amp;Milestones!$AB$40&amp;" "&amp;Milestones!$AC$40&amp;";  ","")&amp;IF(AND(EDATE($D101,Milestones!$AA$41)&lt;=AsOfDate,IF($Q101=0,$W101,IF(AND($S101&lt;&gt;"",EDATE($D101,Milestones!$AA$41)&gt;=$S101),$V101,IF(AND($R101&lt;&gt;"",EDATE($D101,Milestones!$AA$41)&gt;=$R101),$U101,$T101)))=Milestones!$AB$41),TEXT(EDATE($D101,Milestones!$AA$41),"dd/mm/yy")&amp;" "&amp;Milestones!$AB$41&amp;" "&amp;Milestones!$AC$41&amp;";  ","")&amp;IF(AND(EDATE($D101,Milestones!$AA$42)&lt;=AsOfDate,IF($Q101=0,$W101,IF(AND($S101&lt;&gt;"",EDATE($D101,Milestones!$AA$42)&gt;=$S101),$V101,IF(AND($R101&lt;&gt;"",EDATE($D101,Milestones!$AA$42)&gt;=$R101),$U101,$T101)))=Milestones!$AB$42),TEXT(EDATE($D101,Milestones!$AA$42),"dd/mm/yy")&amp;" "&amp;Milestones!$AB$42&amp;" "&amp;Milestones!$AC$42&amp;";  ","")&amp;IF(AND(EDATE($D101,Milestones!$AA$43)&lt;=AsOfDate,IF($Q101=0,$W101,IF(AND($S101&lt;&gt;"",EDATE($D101,Milestones!$AA$43)&gt;=$S101),$V101,IF(AND($R101&lt;&gt;"",EDATE($D101,Milestones!$AA$43)&gt;=$R101),$U101,$T101)))=Milestones!$AB$43),TEXT(EDATE($D101,Milestones!$AA$43),"dd/mm/yy")&amp;" "&amp;Milestones!$AB$43&amp;" "&amp;Milestones!$AC$43&amp;";  ","")&amp;IF(AND(EDATE($D101,Milestones!$AA$44)&lt;=AsOfDate,IF($Q101=0,$W101,IF(AND($S101&lt;&gt;"",EDATE($D101,Milestones!$AA$44)&gt;=$S101),$V101,IF(AND($R101&lt;&gt;"",EDATE($D101,Milestones!$AA$44)&gt;=$R101),$U101,$T101)))=Milestones!$AB$44),TEXT(EDATE($D101,Milestones!$AA$44),"dd/mm/yy")&amp;" "&amp;Milestones!$AB$44&amp;" "&amp;Milestones!$AC$44&amp;";  ","")&amp;IF(AND(EDATE($D101,Milestones!$AA$45)&lt;=AsOfDate,IF($Q101=0,$W101,IF(AND($S101&lt;&gt;"",EDATE($D101,Milestones!$AA$45)&gt;=$S101),$V101,IF(AND($R101&lt;&gt;"",EDATE($D101,Milestones!$AA$45)&gt;=$R101),$U101,$T101)))=Milestones!$AB$45),TEXT(EDATE($D101,Milestones!$AA$45),"dd/mm/yy")&amp;" "&amp;Milestones!$AB$45&amp;" "&amp;Milestones!$AC$45&amp;";  ","")&amp;IF(AND(EDATE($D101,Milestones!$AA$46)&lt;=AsOfDate,IF($Q101=0,$W101,IF(AND($S101&lt;&gt;"",EDATE($D101,Milestones!$AA$46)&gt;=$S101),$V101,IF(AND($R101&lt;&gt;"",EDATE($D101,Milestones!$AA$46)&gt;=$R101),$U101,$T101)))=Milestones!$AB$46),TEXT(EDATE($D101,Milestones!$AA$46),"dd/mm/yy")&amp;" "&amp;Milestones!$AB$46&amp;" "&amp;Milestones!$AC$46&amp;";  ","")&amp;IF(AND(EDATE($D101,Milestones!$AA$47)&lt;=AsOfDate,IF($Q101=0,$W101,IF(AND($S101&lt;&gt;"",EDATE($D101,Milestones!$AA$47)&gt;=$S101),$V101,IF(AND($R101&lt;&gt;"",EDATE($D101,Milestones!$AA$47)&gt;=$R101),$U101,$T101)))=Milestones!$AB$47),TEXT(EDATE($D101,Milestones!$AA$47),"dd/mm/yy")&amp;" "&amp;Milestones!$AB$47&amp;" "&amp;Milestones!$AC$47&amp;";  ","")&amp;IF(AND(EDATE($D101,Milestones!$AA$48)&lt;=AsOfDate,IF($Q101=0,$W101,IF(AND($S101&lt;&gt;"",EDATE($D101,Milestones!$AA$48)&gt;=$S101),$V101,IF(AND($R101&lt;&gt;"",EDATE($D101,Milestones!$AA$48)&gt;=$R101),$U101,$T101)))=Milestones!$AB$48),TEXT(EDATE($D101,Milestones!$AA$48),"dd/mm/yy")&amp;" "&amp;Milestones!$AB$48&amp;" "&amp;Milestones!$AC$48&amp;";  ","")&amp;IF(AND(EDATE($D101,Milestones!$AA$49)&lt;=AsOfDate,IF($Q101=0,$W101,IF(AND($S101&lt;&gt;"",EDATE($D101,Milestones!$AA$49)&gt;=$S101),$V101,IF(AND($R101&lt;&gt;"",EDATE($D101,Milestones!$AA$49)&gt;=$R101),$U101,$T101)))=Milestones!$AB$49),TEXT(EDATE($D101,Milestones!$AA$49),"dd/mm/yy")&amp;" "&amp;Milestones!$AB$49&amp;" "&amp;Milestones!$AC$49&amp;";  ","")&amp;IF(AND(EDATE($D101,Milestones!$AA$50)&lt;=AsOfDate,IF($Q101=0,$W101,IF(AND($S101&lt;&gt;"",EDATE($D101,Milestones!$AA$50)&gt;=$S101),$V101,IF(AND($R101&lt;&gt;"",EDATE($D101,Milestones!$AA$50)&gt;=$R101),$U101,$T101)))=Milestones!$AB$50),TEXT(EDATE($D101,Milestones!$AA$50),"dd/mm/yy")&amp;" "&amp;Milestones!$AB$50&amp;" "&amp;Milestones!$AC$50&amp;";  ","")&amp;IF(AND(EDATE($D101,Milestones!$AA$51)&lt;=AsOfDate,IF($Q101=0,$W101,IF(AND($S101&lt;&gt;"",EDATE($D101,Milestones!$AA$51)&gt;=$S101),$V101,IF(AND($R101&lt;&gt;"",EDATE($D101,Milestones!$AA$51)&gt;=$R101),$U101,$T101)))=Milestones!$AB$51),TEXT(EDATE($D101,Milestones!$AA$51),"dd/mm/yy")&amp;" "&amp;Milestones!$AB$51&amp;" "&amp;Milestones!$AC$51&amp;";  ","")&amp;IF(AND(EDATE($D101,Milestones!$AA$52)&lt;=AsOfDate,IF($Q101=0,$W101,IF(AND($S101&lt;&gt;"",EDATE($D101,Milestones!$AA$52)&gt;=$S101),$V101,IF(AND($R101&lt;&gt;"",EDATE($D101,Milestones!$AA$52)&gt;=$R101),$U101,$T101)))=Milestones!$AB$52),TEXT(EDATE($D101,Milestones!$AA$52),"dd/mm/yy")&amp;" "&amp;Milestones!$AB$52&amp;" "&amp;Milestones!$AC$52&amp;";  ","")&amp;IF(AND(EDATE($D101,Milestones!$AA$53)&lt;=AsOfDate,IF($Q101=0,$W101,IF(AND($S101&lt;&gt;"",EDATE($D101,Milestones!$AA$53)&gt;=$S101),$V101,IF(AND($R101&lt;&gt;"",EDATE($D101,Milestones!$AA$53)&gt;=$R101),$U101,$T101)))=Milestones!$AB$53),TEXT(EDATE($D101,Milestones!$AA$53),"dd/mm/yy")&amp;" "&amp;Milestones!$AB$53&amp;" "&amp;Milestones!$AC$53&amp;";  ","")&amp;IF(AND(EDATE($D101,Milestones!$AA$54)&lt;=AsOfDate,IF($Q101=0,$W101,IF(AND($S101&lt;&gt;"",EDATE($D101,Milestones!$AA$54)&gt;=$S101),$V101,IF(AND($R101&lt;&gt;"",EDATE($D101,Milestones!$AA$54)&gt;=$R101),$U101,$T101)))=Milestones!$AB$54),TEXT(EDATE($D101,Milestones!$AA$54),"dd/mm/yy")&amp;" "&amp;Milestones!$AB$54&amp;" "&amp;Milestones!$AC$54&amp;";  ","")&amp;IF(AND(EDATE($D101,Milestones!$AA$55)&lt;=AsOfDate,IF($Q101=0,$W101,IF(AND($S101&lt;&gt;"",EDATE($D101,Milestones!$AA$55)&gt;=$S101),$V101,IF(AND($R101&lt;&gt;"",EDATE($D101,Milestones!$AA$55)&gt;=$R101),$U101,$T101)))=Milestones!$AB$55),TEXT(EDATE($D101,Milestones!$AA$55),"dd/mm/yy")&amp;" "&amp;Milestones!$AB$55&amp;" "&amp;Milestones!$AC$55&amp;";  ","")&amp;IF(AND(EDATE($D101,Milestones!$AA$56)&lt;=AsOfDate,IF($Q101=0,$W101,IF(AND($S101&lt;&gt;"",EDATE($D101,Milestones!$AA$56)&gt;=$S101),$V101,IF(AND($R101&lt;&gt;"",EDATE($D101,Milestones!$AA$56)&gt;=$R101),$U101,$T101)))=Milestones!$AB$56),TEXT(EDATE($D101,Milestones!$AA$56),"dd/mm/yy")&amp;" "&amp;Milestones!$AB$56&amp;" "&amp;Milestones!$AC$56&amp;";  ","")&amp;IF(AND(EDATE($D101,Milestones!$AA$57)&lt;=AsOfDate,IF($Q101=0,$W101,IF(AND($S101&lt;&gt;"",EDATE($D101,Milestones!$AA$57)&gt;=$S101),$V101,IF(AND($R101&lt;&gt;"",EDATE($D101,Milestones!$AA$57)&gt;=$R101),$U101,$T101)))=Milestones!$AB$57),TEXT(EDATE($D101,Milestones!$AA$57),"dd/mm/yy")&amp;" "&amp;Milestones!$AB$57&amp;" "&amp;Milestones!$AC$57&amp;";  ","")&amp;IF(AND(EDATE($D101,Milestones!$AA$58)&lt;=AsOfDate,IF($Q101=0,$W101,IF(AND($S101&lt;&gt;"",EDATE($D101,Milestones!$AA$58)&gt;=$S101),$V101,IF(AND($R101&lt;&gt;"",EDATE($D101,Milestones!$AA$58)&gt;=$R101),$U101,$T101)))=Milestones!$AB$58),TEXT(EDATE($D101,Milestones!$AA$58),"dd/mm/yy")&amp;" "&amp;Milestones!$AB$58&amp;" "&amp;Milestones!$AC$58&amp;";  ","")&amp;IF(AND(EDATE($D101,Milestones!$AA$59)&lt;=AsOfDate,IF($Q101=0,$W101,IF(AND($S101&lt;&gt;"",EDATE($D101,Milestones!$AA$59)&gt;=$S101),$V101,IF(AND($R101&lt;&gt;"",EDATE($D101,Milestones!$AA$59)&gt;=$R101),$U101,$T101)))=Milestones!$AB$59),TEXT(EDATE($D101,Milestones!$AA$59),"dd/mm/yy")&amp;" "&amp;Milestones!$AB$59&amp;" "&amp;Milestones!$AC$59&amp;";  ",""))</f>
        <v/>
      </c>
      <c r="J101" s="0" t="str">
        <f aca="false">IF(OR($A101="",$D101=""),"",IF(AND(EDATE($D101,Milestones!$AA$60)&lt;=AsOfDate,IF($Q101=0,$W101,IF(AND($S101&lt;&gt;"",EDATE($D101,Milestones!$AA$60)&gt;=$S101),$V101,IF(AND($R101&lt;&gt;"",EDATE($D101,Milestones!$AA$60)&gt;=$R101),$U101,$T101)))=Milestones!$AB$60),TEXT(EDATE($D101,Milestones!$AA$60),"dd/mm/yy")&amp;" "&amp;Milestones!$AB$60&amp;" "&amp;Milestones!$AC$60&amp;";  ","")&amp;IF(AND(EDATE($D101,Milestones!$AA$61)&lt;=AsOfDate,IF($Q101=0,$W101,IF(AND($S101&lt;&gt;"",EDATE($D101,Milestones!$AA$61)&gt;=$S101),$V101,IF(AND($R101&lt;&gt;"",EDATE($D101,Milestones!$AA$61)&gt;=$R101),$U101,$T101)))=Milestones!$AB$61),TEXT(EDATE($D101,Milestones!$AA$61),"dd/mm/yy")&amp;" "&amp;Milestones!$AB$61&amp;" "&amp;Milestones!$AC$61&amp;";  ","")&amp;IF(AND(EDATE($D101,Milestones!$AA$62)&lt;=AsOfDate,IF($Q101=0,$W101,IF(AND($S101&lt;&gt;"",EDATE($D101,Milestones!$AA$62)&gt;=$S101),$V101,IF(AND($R101&lt;&gt;"",EDATE($D101,Milestones!$AA$62)&gt;=$R101),$U101,$T101)))=Milestones!$AB$62),TEXT(EDATE($D101,Milestones!$AA$62),"dd/mm/yy")&amp;" "&amp;Milestones!$AB$62&amp;" "&amp;Milestones!$AC$62&amp;";  ","")&amp;IF(AND(EDATE($D101,Milestones!$AA$63)&lt;=AsOfDate,IF($Q101=0,$W101,IF(AND($S101&lt;&gt;"",EDATE($D101,Milestones!$AA$63)&gt;=$S101),$V101,IF(AND($R101&lt;&gt;"",EDATE($D101,Milestones!$AA$63)&gt;=$R101),$U101,$T101)))=Milestones!$AB$63),TEXT(EDATE($D101,Milestones!$AA$63),"dd/mm/yy")&amp;" "&amp;Milestones!$AB$63&amp;" "&amp;Milestones!$AC$63&amp;";  ","")&amp;IF(AND(EDATE($D101,Milestones!$AA$64)&lt;=AsOfDate,IF($Q101=0,$W101,IF(AND($S101&lt;&gt;"",EDATE($D101,Milestones!$AA$64)&gt;=$S101),$V101,IF(AND($R101&lt;&gt;"",EDATE($D101,Milestones!$AA$64)&gt;=$R101),$U101,$T101)))=Milestones!$AB$64),TEXT(EDATE($D101,Milestones!$AA$64),"dd/mm/yy")&amp;" "&amp;Milestones!$AB$64&amp;" "&amp;Milestones!$AC$64&amp;";  ","")&amp;IF(AND(EDATE($D101,Milestones!$AA$65)&lt;=AsOfDate,IF($Q101=0,$W101,IF(AND($S101&lt;&gt;"",EDATE($D101,Milestones!$AA$65)&gt;=$S101),$V101,IF(AND($R101&lt;&gt;"",EDATE($D101,Milestones!$AA$65)&gt;=$R101),$U101,$T101)))=Milestones!$AB$65),TEXT(EDATE($D101,Milestones!$AA$65),"dd/mm/yy")&amp;" "&amp;Milestones!$AB$65&amp;" "&amp;Milestones!$AC$65&amp;";  ","")&amp;IF(AND(EDATE($D101,Milestones!$AA$66)&lt;=AsOfDate,IF($Q101=0,$W101,IF(AND($S101&lt;&gt;"",EDATE($D101,Milestones!$AA$66)&gt;=$S101),$V101,IF(AND($R101&lt;&gt;"",EDATE($D101,Milestones!$AA$66)&gt;=$R101),$U101,$T101)))=Milestones!$AB$66),TEXT(EDATE($D101,Milestones!$AA$66),"dd/mm/yy")&amp;" "&amp;Milestones!$AB$66&amp;" "&amp;Milestones!$AC$66&amp;";  ","")&amp;IF(AND(EDATE($D101,Milestones!$AA$67)&lt;=AsOfDate,IF($Q101=0,$W101,IF(AND($S101&lt;&gt;"",EDATE($D101,Milestones!$AA$67)&gt;=$S101),$V101,IF(AND($R101&lt;&gt;"",EDATE($D101,Milestones!$AA$67)&gt;=$R101),$U101,$T101)))=Milestones!$AB$67),TEXT(EDATE($D101,Milestones!$AA$67),"dd/mm/yy")&amp;" "&amp;Milestones!$AB$67&amp;" "&amp;Milestones!$AC$67&amp;";  ","")&amp;IF(AND(EDATE($D101,Milestones!$AA$68)&lt;=AsOfDate,IF($Q101=0,$W101,IF(AND($S101&lt;&gt;"",EDATE($D101,Milestones!$AA$68)&gt;=$S101),$V101,IF(AND($R101&lt;&gt;"",EDATE($D101,Milestones!$AA$68)&gt;=$R101),$U101,$T101)))=Milestones!$AB$68),TEXT(EDATE($D101,Milestones!$AA$68),"dd/mm/yy")&amp;" "&amp;Milestones!$AB$68&amp;" "&amp;Milestones!$AC$68&amp;";  ","")&amp;IF(AND(EDATE($D101,Milestones!$AA$69)&lt;=AsOfDate,IF($Q101=0,$W101,IF(AND($S101&lt;&gt;"",EDATE($D101,Milestones!$AA$69)&gt;=$S101),$V101,IF(AND($R101&lt;&gt;"",EDATE($D101,Milestones!$AA$69)&gt;=$R101),$U101,$T101)))=Milestones!$AB$69),TEXT(EDATE($D101,Milestones!$AA$69),"dd/mm/yy")&amp;" "&amp;Milestones!$AB$69&amp;" "&amp;Milestones!$AC$69&amp;";  ","")&amp;IF(AND(EDATE($D101,Milestones!$AA$70)&lt;=AsOfDate,IF($Q101=0,$W101,IF(AND($S101&lt;&gt;"",EDATE($D101,Milestones!$AA$70)&gt;=$S101),$V101,IF(AND($R101&lt;&gt;"",EDATE($D101,Milestones!$AA$70)&gt;=$R101),$U101,$T101)))=Milestones!$AB$70),TEXT(EDATE($D101,Milestones!$AA$70),"dd/mm/yy")&amp;" "&amp;Milestones!$AB$70&amp;" "&amp;Milestones!$AC$70&amp;";  ","")&amp;IF(AND(EDATE($D101,Milestones!$AA$71)&lt;=AsOfDate,IF($Q101=0,$W101,IF(AND($S101&lt;&gt;"",EDATE($D101,Milestones!$AA$71)&gt;=$S101),$V101,IF(AND($R101&lt;&gt;"",EDATE($D101,Milestones!$AA$71)&gt;=$R101),$U101,$T101)))=Milestones!$AB$71),TEXT(EDATE($D101,Milestones!$AA$71),"dd/mm/yy")&amp;" "&amp;Milestones!$AB$71&amp;" "&amp;Milestones!$AC$71&amp;";  ","")&amp;IF(AND(EDATE($D101,Milestones!$AA$72)&lt;=AsOfDate,IF($Q101=0,$W101,IF(AND($S101&lt;&gt;"",EDATE($D101,Milestones!$AA$72)&gt;=$S101),$V101,IF(AND($R101&lt;&gt;"",EDATE($D101,Milestones!$AA$72)&gt;=$R101),$U101,$T101)))=Milestones!$AB$72),TEXT(EDATE($D101,Milestones!$AA$72),"dd/mm/yy")&amp;" "&amp;Milestones!$AB$72&amp;" "&amp;Milestones!$AC$72&amp;";  ","")&amp;IF(AND(EDATE($D101,Milestones!$AA$73)&lt;=AsOfDate,IF($Q101=0,$W101,IF(AND($S101&lt;&gt;"",EDATE($D101,Milestones!$AA$73)&gt;=$S101),$V101,IF(AND($R101&lt;&gt;"",EDATE($D101,Milestones!$AA$73)&gt;=$R101),$U101,$T101)))=Milestones!$AB$73),TEXT(EDATE($D101,Milestones!$AA$73),"dd/mm/yy")&amp;" "&amp;Milestones!$AB$73&amp;" "&amp;Milestones!$AC$73&amp;";  ","")&amp;IF(AND(EDATE($D101,Milestones!$AA$74)&lt;=AsOfDate,IF($Q101=0,$W101,IF(AND($S101&lt;&gt;"",EDATE($D101,Milestones!$AA$74)&gt;=$S101),$V101,IF(AND($R101&lt;&gt;"",EDATE($D101,Milestones!$AA$74)&gt;=$R101),$U101,$T101)))=Milestones!$AB$74),TEXT(EDATE($D101,Milestones!$AA$74),"dd/mm/yy")&amp;" "&amp;Milestones!$AB$74&amp;" "&amp;Milestones!$AC$74&amp;";  ","")&amp;IF(AND(EDATE($D101,Milestones!$AA$75)&lt;=AsOfDate,IF($Q101=0,$W101,IF(AND($S101&lt;&gt;"",EDATE($D101,Milestones!$AA$75)&gt;=$S101),$V101,IF(AND($R101&lt;&gt;"",EDATE($D101,Milestones!$AA$75)&gt;=$R101),$U101,$T101)))=Milestones!$AB$75),TEXT(EDATE($D101,Milestones!$AA$75),"dd/mm/yy")&amp;" "&amp;Milestones!$AB$75&amp;" "&amp;Milestones!$AC$75&amp;";  ","")&amp;IF(AND(EDATE($D101,Milestones!$AA$76)&lt;=AsOfDate,IF($Q101=0,$W101,IF(AND($S101&lt;&gt;"",EDATE($D101,Milestones!$AA$76)&gt;=$S101),$V101,IF(AND($R101&lt;&gt;"",EDATE($D101,Milestones!$AA$76)&gt;=$R101),$U101,$T101)))=Milestones!$AB$76),TEXT(EDATE($D101,Milestones!$AA$76),"dd/mm/yy")&amp;" "&amp;Milestones!$AB$76&amp;" "&amp;Milestones!$AC$76&amp;";  ","")&amp;IF(AND(EDATE($D101,Milestones!$AA$77)&lt;=AsOfDate,IF($Q101=0,$W101,IF(AND($S101&lt;&gt;"",EDATE($D101,Milestones!$AA$77)&gt;=$S101),$V101,IF(AND($R101&lt;&gt;"",EDATE($D101,Milestones!$AA$77)&gt;=$R101),$U101,$T101)))=Milestones!$AB$77),TEXT(EDATE($D101,Milestones!$AA$77),"dd/mm/yy")&amp;" "&amp;Milestones!$AB$77&amp;" "&amp;Milestones!$AC$77&amp;";  ","")&amp;IF(AND(EDATE($D101,Milestones!$AA$78)&lt;=AsOfDate,IF($Q101=0,$W101,IF(AND($S101&lt;&gt;"",EDATE($D101,Milestones!$AA$78)&gt;=$S101),$V101,IF(AND($R101&lt;&gt;"",EDATE($D101,Milestones!$AA$78)&gt;=$R101),$U101,$T101)))=Milestones!$AB$78),TEXT(EDATE($D101,Milestones!$AA$78),"dd/mm/yy")&amp;" "&amp;Milestones!$AB$78&amp;" "&amp;Milestones!$AC$78&amp;";  ","")&amp;IF(AND(EDATE($D101,Milestones!$AA$79)&lt;=AsOfDate,IF($Q101=0,$W101,IF(AND($S101&lt;&gt;"",EDATE($D101,Milestones!$AA$79)&gt;=$S101),$V101,IF(AND($R101&lt;&gt;"",EDATE($D101,Milestones!$AA$79)&gt;=$R101),$U101,$T101)))=Milestones!$AB$79),TEXT(EDATE($D101,Milestones!$AA$79),"dd/mm/yy")&amp;" "&amp;Milestones!$AB$79&amp;" "&amp;Milestones!$AC$79&amp;";  ",""))</f>
        <v/>
      </c>
      <c r="K101" s="0" t="str">
        <f aca="false">IF(OR($A101="",$D101=""),"",IF(AND(EDATE($D101,Milestones!$AA$80)&lt;=AsOfDate,IF($Q101=0,$W101,IF(AND($S101&lt;&gt;"",EDATE($D101,Milestones!$AA$80)&gt;=$S101),$V101,IF(AND($R101&lt;&gt;"",EDATE($D101,Milestones!$AA$80)&gt;=$R101),$U101,$T101)))=Milestones!$AB$80),TEXT(EDATE($D101,Milestones!$AA$80),"dd/mm/yy")&amp;" "&amp;Milestones!$AB$80&amp;" "&amp;Milestones!$AC$80&amp;";  ","")&amp;IF(AND(EDATE($D101,Milestones!$AA$81)&lt;=AsOfDate,IF($Q101=0,$W101,IF(AND($S101&lt;&gt;"",EDATE($D101,Milestones!$AA$81)&gt;=$S101),$V101,IF(AND($R101&lt;&gt;"",EDATE($D101,Milestones!$AA$81)&gt;=$R101),$U101,$T101)))=Milestones!$AB$81),TEXT(EDATE($D101,Milestones!$AA$81),"dd/mm/yy")&amp;" "&amp;Milestones!$AB$81&amp;" "&amp;Milestones!$AC$81&amp;";  ","")&amp;IF(AND(EDATE($D101,Milestones!$AA$82)&lt;=AsOfDate,IF($Q101=0,$W101,IF(AND($S101&lt;&gt;"",EDATE($D101,Milestones!$AA$82)&gt;=$S101),$V101,IF(AND($R101&lt;&gt;"",EDATE($D101,Milestones!$AA$82)&gt;=$R101),$U101,$T101)))=Milestones!$AB$82),TEXT(EDATE($D101,Milestones!$AA$82),"dd/mm/yy")&amp;" "&amp;Milestones!$AB$82&amp;" "&amp;Milestones!$AC$82&amp;";  ","")&amp;IF(AND(EDATE($D101,Milestones!$AA$83)&lt;=AsOfDate,IF($Q101=0,$W101,IF(AND($S101&lt;&gt;"",EDATE($D101,Milestones!$AA$83)&gt;=$S101),$V101,IF(AND($R101&lt;&gt;"",EDATE($D101,Milestones!$AA$83)&gt;=$R101),$U101,$T101)))=Milestones!$AB$83),TEXT(EDATE($D101,Milestones!$AA$83),"dd/mm/yy")&amp;" "&amp;Milestones!$AB$83&amp;" "&amp;Milestones!$AC$83&amp;";  ","")&amp;IF(AND(EDATE($D101,Milestones!$AA$84)&lt;=AsOfDate,IF($Q101=0,$W101,IF(AND($S101&lt;&gt;"",EDATE($D101,Milestones!$AA$84)&gt;=$S101),$V101,IF(AND($R101&lt;&gt;"",EDATE($D101,Milestones!$AA$84)&gt;=$R101),$U101,$T101)))=Milestones!$AB$84),TEXT(EDATE($D101,Milestones!$AA$84),"dd/mm/yy")&amp;" "&amp;Milestones!$AB$84&amp;" "&amp;Milestones!$AC$84&amp;";  ","")&amp;IF(AND(EDATE($D101,Milestones!$AA$85)&lt;=AsOfDate,IF($Q101=0,$W101,IF(AND($S101&lt;&gt;"",EDATE($D101,Milestones!$AA$85)&gt;=$S101),$V101,IF(AND($R101&lt;&gt;"",EDATE($D101,Milestones!$AA$85)&gt;=$R101),$U101,$T101)))=Milestones!$AB$85),TEXT(EDATE($D101,Milestones!$AA$85),"dd/mm/yy")&amp;" "&amp;Milestones!$AB$85&amp;" "&amp;Milestones!$AC$85&amp;";  ","")&amp;IF(AND(EDATE($D101,Milestones!$AA$86)&lt;=AsOfDate,IF($Q101=0,$W101,IF(AND($S101&lt;&gt;"",EDATE($D101,Milestones!$AA$86)&gt;=$S101),$V101,IF(AND($R101&lt;&gt;"",EDATE($D101,Milestones!$AA$86)&gt;=$R101),$U101,$T101)))=Milestones!$AB$86),TEXT(EDATE($D101,Milestones!$AA$86),"dd/mm/yy")&amp;" "&amp;Milestones!$AB$86&amp;" "&amp;Milestones!$AC$86&amp;";  ","")&amp;IF(AND(EDATE($D101,Milestones!$AA$87)&lt;=AsOfDate,IF($Q101=0,$W101,IF(AND($S101&lt;&gt;"",EDATE($D101,Milestones!$AA$87)&gt;=$S101),$V101,IF(AND($R101&lt;&gt;"",EDATE($D101,Milestones!$AA$87)&gt;=$R101),$U101,$T101)))=Milestones!$AB$87),TEXT(EDATE($D101,Milestones!$AA$87),"dd/mm/yy")&amp;" "&amp;Milestones!$AB$87&amp;" "&amp;Milestones!$AC$87&amp;";  ","")&amp;IF(AND(EDATE($D101,Milestones!$AA$88)&lt;=AsOfDate,IF($Q101=0,$W101,IF(AND($S101&lt;&gt;"",EDATE($D101,Milestones!$AA$88)&gt;=$S101),$V101,IF(AND($R101&lt;&gt;"",EDATE($D101,Milestones!$AA$88)&gt;=$R101),$U101,$T101)))=Milestones!$AB$88),TEXT(EDATE($D101,Milestones!$AA$88),"dd/mm/yy")&amp;" "&amp;Milestones!$AB$88&amp;" "&amp;Milestones!$AC$88&amp;";  ","")&amp;IF(AND(EDATE($D101,Milestones!$AA$89)&lt;=AsOfDate,IF($Q101=0,$W101,IF(AND($S101&lt;&gt;"",EDATE($D101,Milestones!$AA$89)&gt;=$S101),$V101,IF(AND($R101&lt;&gt;"",EDATE($D101,Milestones!$AA$89)&gt;=$R101),$U101,$T101)))=Milestones!$AB$89),TEXT(EDATE($D101,Milestones!$AA$89),"dd/mm/yy")&amp;" "&amp;Milestones!$AB$89&amp;" "&amp;Milestones!$AC$89&amp;";  ","")&amp;IF(AND(EDATE($D101,Milestones!$AA$90)&lt;=AsOfDate,IF($Q101=0,$W101,IF(AND($S101&lt;&gt;"",EDATE($D101,Milestones!$AA$90)&gt;=$S101),$V101,IF(AND($R101&lt;&gt;"",EDATE($D101,Milestones!$AA$90)&gt;=$R101),$U101,$T101)))=Milestones!$AB$90),TEXT(EDATE($D101,Milestones!$AA$90),"dd/mm/yy")&amp;" "&amp;Milestones!$AB$90&amp;" "&amp;Milestones!$AC$90&amp;";  ","")&amp;IF(AND(EDATE($D101,Milestones!$AA$91)&lt;=AsOfDate,IF($Q101=0,$W101,IF(AND($S101&lt;&gt;"",EDATE($D101,Milestones!$AA$91)&gt;=$S101),$V101,IF(AND($R101&lt;&gt;"",EDATE($D101,Milestones!$AA$91)&gt;=$R101),$U101,$T101)))=Milestones!$AB$91),TEXT(EDATE($D101,Milestones!$AA$91),"dd/mm/yy")&amp;" "&amp;Milestones!$AB$91&amp;" "&amp;Milestones!$AC$91&amp;";  ","")&amp;IF(AND(EDATE($D101,Milestones!$AA$92)&lt;=AsOfDate,IF($Q101=0,$W101,IF(AND($S101&lt;&gt;"",EDATE($D101,Milestones!$AA$92)&gt;=$S101),$V101,IF(AND($R101&lt;&gt;"",EDATE($D101,Milestones!$AA$92)&gt;=$R101),$U101,$T101)))=Milestones!$AB$92),TEXT(EDATE($D101,Milestones!$AA$92),"dd/mm/yy")&amp;" "&amp;Milestones!$AB$92&amp;" "&amp;Milestones!$AC$92&amp;";  ","")&amp;IF(AND(EDATE($D101,Milestones!$AA$93)&lt;=AsOfDate,IF($Q101=0,$W101,IF(AND($S101&lt;&gt;"",EDATE($D101,Milestones!$AA$93)&gt;=$S101),$V101,IF(AND($R101&lt;&gt;"",EDATE($D101,Milestones!$AA$93)&gt;=$R101),$U101,$T101)))=Milestones!$AB$93),TEXT(EDATE($D101,Milestones!$AA$93),"dd/mm/yy")&amp;" "&amp;Milestones!$AB$93&amp;" "&amp;Milestones!$AC$93&amp;";  ","")&amp;IF(AND(EDATE($D101,Milestones!$AA$94)&lt;=AsOfDate,IF($Q101=0,$W101,IF(AND($S101&lt;&gt;"",EDATE($D101,Milestones!$AA$94)&gt;=$S101),$V101,IF(AND($R101&lt;&gt;"",EDATE($D101,Milestones!$AA$94)&gt;=$R101),$U101,$T101)))=Milestones!$AB$94),TEXT(EDATE($D101,Milestones!$AA$94),"dd/mm/yy")&amp;" "&amp;Milestones!$AB$94&amp;" "&amp;Milestones!$AC$94&amp;";  ","")&amp;IF(AND(EDATE($D101,Milestones!$AA$95)&lt;=AsOfDate,IF($Q101=0,$W101,IF(AND($S101&lt;&gt;"",EDATE($D101,Milestones!$AA$95)&gt;=$S101),$V101,IF(AND($R101&lt;&gt;"",EDATE($D101,Milestones!$AA$95)&gt;=$R101),$U101,$T101)))=Milestones!$AB$95),TEXT(EDATE($D101,Milestones!$AA$95),"dd/mm/yy")&amp;" "&amp;Milestones!$AB$95&amp;" "&amp;Milestones!$AC$95&amp;";  ","")&amp;IF(AND(EDATE($D101,Milestones!$AA$96)&lt;=AsOfDate,IF($Q101=0,$W101,IF(AND($S101&lt;&gt;"",EDATE($D101,Milestones!$AA$96)&gt;=$S101),$V101,IF(AND($R101&lt;&gt;"",EDATE($D101,Milestones!$AA$96)&gt;=$R101),$U101,$T101)))=Milestones!$AB$96),TEXT(EDATE($D101,Milestones!$AA$96),"dd/mm/yy")&amp;" "&amp;Milestones!$AB$96&amp;" "&amp;Milestones!$AC$96&amp;";  ","")&amp;IF(AND(EDATE($D101,Milestones!$AA$97)&lt;=AsOfDate,IF($Q101=0,$W101,IF(AND($S101&lt;&gt;"",EDATE($D101,Milestones!$AA$97)&gt;=$S101),$V101,IF(AND($R101&lt;&gt;"",EDATE($D101,Milestones!$AA$97)&gt;=$R101),$U101,$T101)))=Milestones!$AB$97),TEXT(EDATE($D101,Milestones!$AA$97),"dd/mm/yy")&amp;" "&amp;Milestones!$AB$97&amp;" "&amp;Milestones!$AC$97&amp;";  ","")&amp;IF(AND(EDATE($D101,Milestones!$AA$98)&lt;=AsOfDate,IF($Q101=0,$W101,IF(AND($S101&lt;&gt;"",EDATE($D101,Milestones!$AA$98)&gt;=$S101),$V101,IF(AND($R101&lt;&gt;"",EDATE($D101,Milestones!$AA$98)&gt;=$R101),$U101,$T101)))=Milestones!$AB$98),TEXT(EDATE($D101,Milestones!$AA$98),"dd/mm/yy")&amp;" "&amp;Milestones!$AB$98&amp;" "&amp;Milestones!$AC$98&amp;";  ","")&amp;IF(AND(EDATE($D101,Milestones!$AA$99)&lt;=AsOfDate,IF($Q101=0,$W101,IF(AND($S101&lt;&gt;"",EDATE($D101,Milestones!$AA$99)&gt;=$S101),$V101,IF(AND($R101&lt;&gt;"",EDATE($D101,Milestones!$AA$99)&gt;=$R101),$U101,$T101)))=Milestones!$AB$99),TEXT(EDATE($D101,Milestones!$AA$99),"dd/mm/yy")&amp;" "&amp;Milestones!$AB$99&amp;" "&amp;Milestones!$AC$99&amp;";  ",""))</f>
        <v/>
      </c>
      <c r="L101" s="0" t="str">
        <f aca="false">IF(OR($A101="",$D101=""),"",IF(AND(EDATE($D101,Milestones!$AA$100)&lt;=AsOfDate,IF($Q101=0,$W101,IF(AND($S101&lt;&gt;"",EDATE($D101,Milestones!$AA$100)&gt;=$S101),$V101,IF(AND($R101&lt;&gt;"",EDATE($D101,Milestones!$AA$100)&gt;=$R101),$U101,$T101)))=Milestones!$AB$100),TEXT(EDATE($D101,Milestones!$AA$100),"dd/mm/yy")&amp;" "&amp;Milestones!$AB$100&amp;" "&amp;Milestones!$AC$100&amp;";  ","")&amp;IF(AND(EDATE($D101,Milestones!$AA$101)&lt;=AsOfDate,IF($Q101=0,$W101,IF(AND($S101&lt;&gt;"",EDATE($D101,Milestones!$AA$101)&gt;=$S101),$V101,IF(AND($R101&lt;&gt;"",EDATE($D101,Milestones!$AA$101)&gt;=$R101),$U101,$T101)))=Milestones!$AB$101),TEXT(EDATE($D101,Milestones!$AA$101),"dd/mm/yy")&amp;" "&amp;Milestones!$AB$101&amp;" "&amp;Milestones!$AC$101&amp;";  ","")&amp;IF(AND(EDATE($D101,Milestones!$AA$102)&lt;=AsOfDate,IF($Q101=0,$W101,IF(AND($S101&lt;&gt;"",EDATE($D101,Milestones!$AA$102)&gt;=$S101),$V101,IF(AND($R101&lt;&gt;"",EDATE($D101,Milestones!$AA$102)&gt;=$R101),$U101,$T101)))=Milestones!$AB$102),TEXT(EDATE($D101,Milestones!$AA$102),"dd/mm/yy")&amp;" "&amp;Milestones!$AB$102&amp;" "&amp;Milestones!$AC$102&amp;";  ","")&amp;IF(AND(EDATE($D101,Milestones!$AA$103)&lt;=AsOfDate,IF($Q101=0,$W101,IF(AND($S101&lt;&gt;"",EDATE($D101,Milestones!$AA$103)&gt;=$S101),$V101,IF(AND($R101&lt;&gt;"",EDATE($D101,Milestones!$AA$103)&gt;=$R101),$U101,$T101)))=Milestones!$AB$103),TEXT(EDATE($D101,Milestones!$AA$103),"dd/mm/yy")&amp;" "&amp;Milestones!$AB$103&amp;" "&amp;Milestones!$AC$103&amp;";  ","")&amp;IF(AND(EDATE($D101,Milestones!$AA$104)&lt;=AsOfDate,IF($Q101=0,$W101,IF(AND($S101&lt;&gt;"",EDATE($D101,Milestones!$AA$104)&gt;=$S101),$V101,IF(AND($R101&lt;&gt;"",EDATE($D101,Milestones!$AA$104)&gt;=$R101),$U101,$T101)))=Milestones!$AB$104),TEXT(EDATE($D101,Milestones!$AA$104),"dd/mm/yy")&amp;" "&amp;Milestones!$AB$104&amp;" "&amp;Milestones!$AC$104&amp;";  ","")&amp;IF(AND(EDATE($D101,Milestones!$AA$105)&lt;=AsOfDate,IF($Q101=0,$W101,IF(AND($S101&lt;&gt;"",EDATE($D101,Milestones!$AA$105)&gt;=$S101),$V101,IF(AND($R101&lt;&gt;"",EDATE($D101,Milestones!$AA$105)&gt;=$R101),$U101,$T101)))=Milestones!$AB$105),TEXT(EDATE($D101,Milestones!$AA$105),"dd/mm/yy")&amp;" "&amp;Milestones!$AB$105&amp;" "&amp;Milestones!$AC$105&amp;";  ","")&amp;IF(AND(EDATE($D101,Milestones!$AA$106)&lt;=AsOfDate,IF($Q101=0,$W101,IF(AND($S101&lt;&gt;"",EDATE($D101,Milestones!$AA$106)&gt;=$S101),$V101,IF(AND($R101&lt;&gt;"",EDATE($D101,Milestones!$AA$106)&gt;=$R101),$U101,$T101)))=Milestones!$AB$106),TEXT(EDATE($D101,Milestones!$AA$106),"dd/mm/yy")&amp;" "&amp;Milestones!$AB$106&amp;" "&amp;Milestones!$AC$106&amp;";  ","")&amp;IF(AND(EDATE($D101,Milestones!$AA$107)&lt;=AsOfDate,IF($Q101=0,$W101,IF(AND($S101&lt;&gt;"",EDATE($D101,Milestones!$AA$107)&gt;=$S101),$V101,IF(AND($R101&lt;&gt;"",EDATE($D101,Milestones!$AA$107)&gt;=$R101),$U101,$T101)))=Milestones!$AB$107),TEXT(EDATE($D101,Milestones!$AA$107),"dd/mm/yy")&amp;" "&amp;Milestones!$AB$107&amp;" "&amp;Milestones!$AC$107&amp;";  ","")&amp;IF(AND(EDATE($D101,Milestones!$AA$108)&lt;=AsOfDate,IF($Q101=0,$W101,IF(AND($S101&lt;&gt;"",EDATE($D101,Milestones!$AA$108)&gt;=$S101),$V101,IF(AND($R101&lt;&gt;"",EDATE($D101,Milestones!$AA$108)&gt;=$R101),$U101,$T101)))=Milestones!$AB$108),TEXT(EDATE($D101,Milestones!$AA$108),"dd/mm/yy")&amp;" "&amp;Milestones!$AB$108&amp;" "&amp;Milestones!$AC$108&amp;";  ","")&amp;IF(AND(EDATE($D101,Milestones!$AA$109)&lt;=AsOfDate,IF($Q101=0,$W101,IF(AND($S101&lt;&gt;"",EDATE($D101,Milestones!$AA$109)&gt;=$S101),$V101,IF(AND($R101&lt;&gt;"",EDATE($D101,Milestones!$AA$109)&gt;=$R101),$U101,$T101)))=Milestones!$AB$109),TEXT(EDATE($D101,Milestones!$AA$109),"dd/mm/yy")&amp;" "&amp;Milestones!$AB$109&amp;" "&amp;Milestones!$AC$109&amp;";  ","")&amp;IF(AND(EDATE($D101,Milestones!$AA$110)&lt;=AsOfDate,IF($Q101=0,$W101,IF(AND($S101&lt;&gt;"",EDATE($D101,Milestones!$AA$110)&gt;=$S101),$V101,IF(AND($R101&lt;&gt;"",EDATE($D101,Milestones!$AA$110)&gt;=$R101),$U101,$T101)))=Milestones!$AB$110),TEXT(EDATE($D101,Milestones!$AA$110),"dd/mm/yy")&amp;" "&amp;Milestones!$AB$110&amp;" "&amp;Milestones!$AC$110&amp;";  ","")&amp;IF(AND(EDATE($D101,Milestones!$AA$111)&lt;=AsOfDate,IF($Q101=0,$W101,IF(AND($S101&lt;&gt;"",EDATE($D101,Milestones!$AA$111)&gt;=$S101),$V101,IF(AND($R101&lt;&gt;"",EDATE($D101,Milestones!$AA$111)&gt;=$R101),$U101,$T101)))=Milestones!$AB$111),TEXT(EDATE($D101,Milestones!$AA$111),"dd/mm/yy")&amp;" "&amp;Milestones!$AB$111&amp;" "&amp;Milestones!$AC$111&amp;";  ","")&amp;IF(AND(EDATE($D101,Milestones!$AA$112)&lt;=AsOfDate,IF($Q101=0,$W101,IF(AND($S101&lt;&gt;"",EDATE($D101,Milestones!$AA$112)&gt;=$S101),$V101,IF(AND($R101&lt;&gt;"",EDATE($D101,Milestones!$AA$112)&gt;=$R101),$U101,$T101)))=Milestones!$AB$112),TEXT(EDATE($D101,Milestones!$AA$112),"dd/mm/yy")&amp;" "&amp;Milestones!$AB$112&amp;" "&amp;Milestones!$AC$112&amp;";  ","")&amp;IF(AND(EDATE($D101,Milestones!$AA$113)&lt;=AsOfDate,IF($Q101=0,$W101,IF(AND($S101&lt;&gt;"",EDATE($D101,Milestones!$AA$113)&gt;=$S101),$V101,IF(AND($R101&lt;&gt;"",EDATE($D101,Milestones!$AA$113)&gt;=$R101),$U101,$T101)))=Milestones!$AB$113),TEXT(EDATE($D101,Milestones!$AA$113),"dd/mm/yy")&amp;" "&amp;Milestones!$AB$113&amp;" "&amp;Milestones!$AC$113&amp;";  ","")&amp;IF(AND(EDATE($D101,Milestones!$AA$114)&lt;=AsOfDate,IF($Q101=0,$W101,IF(AND($S101&lt;&gt;"",EDATE($D101,Milestones!$AA$114)&gt;=$S101),$V101,IF(AND($R101&lt;&gt;"",EDATE($D101,Milestones!$AA$114)&gt;=$R101),$U101,$T101)))=Milestones!$AB$114),TEXT(EDATE($D101,Milestones!$AA$114),"dd/mm/yy")&amp;" "&amp;Milestones!$AB$114&amp;" "&amp;Milestones!$AC$114&amp;";  ","")&amp;IF(AND(EDATE($D101,Milestones!$AA$115)&lt;=AsOfDate,IF($Q101=0,$W101,IF(AND($S101&lt;&gt;"",EDATE($D101,Milestones!$AA$115)&gt;=$S101),$V101,IF(AND($R101&lt;&gt;"",EDATE($D101,Milestones!$AA$115)&gt;=$R101),$U101,$T101)))=Milestones!$AB$115),TEXT(EDATE($D101,Milestones!$AA$115),"dd/mm/yy")&amp;" "&amp;Milestones!$AB$115&amp;" "&amp;Milestones!$AC$115&amp;";  ","")&amp;IF(AND(EDATE($D101,Milestones!$AA$116)&lt;=AsOfDate,IF($Q101=0,$W101,IF(AND($S101&lt;&gt;"",EDATE($D101,Milestones!$AA$116)&gt;=$S101),$V101,IF(AND($R101&lt;&gt;"",EDATE($D101,Milestones!$AA$116)&gt;=$R101),$U101,$T101)))=Milestones!$AB$116),TEXT(EDATE($D101,Milestones!$AA$116),"dd/mm/yy")&amp;" "&amp;Milestones!$AB$116&amp;" "&amp;Milestones!$AC$116&amp;";  ","")&amp;IF(AND(EDATE($D101,Milestones!$AA$117)&lt;=AsOfDate,IF($Q101=0,$W101,IF(AND($S101&lt;&gt;"",EDATE($D101,Milestones!$AA$117)&gt;=$S101),$V101,IF(AND($R101&lt;&gt;"",EDATE($D101,Milestones!$AA$117)&gt;=$R101),$U101,$T101)))=Milestones!$AB$117),TEXT(EDATE($D101,Milestones!$AA$117),"dd/mm/yy")&amp;" "&amp;Milestones!$AB$117&amp;" "&amp;Milestones!$AC$117&amp;";  ","")&amp;IF(AND(EDATE($D101,Milestones!$AA$118)&lt;=AsOfDate,IF($Q101=0,$W101,IF(AND($S101&lt;&gt;"",EDATE($D101,Milestones!$AA$118)&gt;=$S101),$V101,IF(AND($R101&lt;&gt;"",EDATE($D101,Milestones!$AA$118)&gt;=$R101),$U101,$T101)))=Milestones!$AB$118),TEXT(EDATE($D101,Milestones!$AA$118),"dd/mm/yy")&amp;" "&amp;Milestones!$AB$118&amp;" "&amp;Milestones!$AC$118&amp;";  ","")&amp;IF(AND(EDATE($D101,Milestones!$AA$119)&lt;=AsOfDate,IF($Q101=0,$W101,IF(AND($S101&lt;&gt;"",EDATE($D101,Milestones!$AA$119)&gt;=$S101),$V101,IF(AND($R101&lt;&gt;"",EDATE($D101,Milestones!$AA$119)&gt;=$R101),$U101,$T101)))=Milestones!$AB$119),TEXT(EDATE($D101,Milestones!$AA$119),"dd/mm/yy")&amp;" "&amp;Milestones!$AB$119&amp;" "&amp;Milestones!$AC$119&amp;";  ",""))</f>
        <v/>
      </c>
      <c r="M101" s="0" t="str">
        <f aca="false">IF(OR($A101="",$D101=""),"",IF(AND(EDATE($D101,Milestones!$AA$120)&lt;=AsOfDate,IF($Q101=0,$W101,IF(AND($S101&lt;&gt;"",EDATE($D101,Milestones!$AA$120)&gt;=$S101),$V101,IF(AND($R101&lt;&gt;"",EDATE($D101,Milestones!$AA$120)&gt;=$R101),$U101,$T101)))=Milestones!$AB$120),TEXT(EDATE($D101,Milestones!$AA$120),"dd/mm/yy")&amp;" "&amp;Milestones!$AB$120&amp;" "&amp;Milestones!$AC$120&amp;";  ","")&amp;IF(AND(EDATE($D101,Milestones!$AA$121)&lt;=AsOfDate,IF($Q101=0,$W101,IF(AND($S101&lt;&gt;"",EDATE($D101,Milestones!$AA$121)&gt;=$S101),$V101,IF(AND($R101&lt;&gt;"",EDATE($D101,Milestones!$AA$121)&gt;=$R101),$U101,$T101)))=Milestones!$AB$121),TEXT(EDATE($D101,Milestones!$AA$121),"dd/mm/yy")&amp;" "&amp;Milestones!$AB$121&amp;" "&amp;Milestones!$AC$121&amp;";  ","")&amp;IF(AND(EDATE($D101,Milestones!$AA$122)&lt;=AsOfDate,IF($Q101=0,$W101,IF(AND($S101&lt;&gt;"",EDATE($D101,Milestones!$AA$122)&gt;=$S101),$V101,IF(AND($R101&lt;&gt;"",EDATE($D101,Milestones!$AA$122)&gt;=$R101),$U101,$T101)))=Milestones!$AB$122),TEXT(EDATE($D101,Milestones!$AA$122),"dd/mm/yy")&amp;" "&amp;Milestones!$AB$122&amp;" "&amp;Milestones!$AC$122&amp;";  ","")&amp;IF(AND(EDATE($D101,Milestones!$AA$123)&lt;=AsOfDate,IF($Q101=0,$W101,IF(AND($S101&lt;&gt;"",EDATE($D101,Milestones!$AA$123)&gt;=$S101),$V101,IF(AND($R101&lt;&gt;"",EDATE($D101,Milestones!$AA$123)&gt;=$R101),$U101,$T101)))=Milestones!$AB$123),TEXT(EDATE($D101,Milestones!$AA$123),"dd/mm/yy")&amp;" "&amp;Milestones!$AB$123&amp;" "&amp;Milestones!$AC$123&amp;";  ","")&amp;IF(AND(EDATE($D101,Milestones!$AA$124)&lt;=AsOfDate,IF($Q101=0,$W101,IF(AND($S101&lt;&gt;"",EDATE($D101,Milestones!$AA$124)&gt;=$S101),$V101,IF(AND($R101&lt;&gt;"",EDATE($D101,Milestones!$AA$124)&gt;=$R101),$U101,$T101)))=Milestones!$AB$124),TEXT(EDATE($D101,Milestones!$AA$124),"dd/mm/yy")&amp;" "&amp;Milestones!$AB$124&amp;" "&amp;Milestones!$AC$124&amp;";  ","")&amp;IF(AND(EDATE($D101,Milestones!$AA$125)&lt;=AsOfDate,IF($Q101=0,$W101,IF(AND($S101&lt;&gt;"",EDATE($D101,Milestones!$AA$125)&gt;=$S101),$V101,IF(AND($R101&lt;&gt;"",EDATE($D101,Milestones!$AA$125)&gt;=$R101),$U101,$T101)))=Milestones!$AB$125),TEXT(EDATE($D101,Milestones!$AA$125),"dd/mm/yy")&amp;" "&amp;Milestones!$AB$125&amp;" "&amp;Milestones!$AC$125&amp;";  ","")&amp;IF(AND(EDATE($D101,Milestones!$AA$126)&lt;=AsOfDate,IF($Q101=0,$W101,IF(AND($S101&lt;&gt;"",EDATE($D101,Milestones!$AA$126)&gt;=$S101),$V101,IF(AND($R101&lt;&gt;"",EDATE($D101,Milestones!$AA$126)&gt;=$R101),$U101,$T101)))=Milestones!$AB$126),TEXT(EDATE($D101,Milestones!$AA$126),"dd/mm/yy")&amp;" "&amp;Milestones!$AB$126&amp;" "&amp;Milestones!$AC$126&amp;";  ","")&amp;IF(AND(EDATE($D101,Milestones!$AA$127)&lt;=AsOfDate,IF($Q101=0,$W101,IF(AND($S101&lt;&gt;"",EDATE($D101,Milestones!$AA$127)&gt;=$S101),$V101,IF(AND($R101&lt;&gt;"",EDATE($D101,Milestones!$AA$127)&gt;=$R101),$U101,$T101)))=Milestones!$AB$127),TEXT(EDATE($D101,Milestones!$AA$127),"dd/mm/yy")&amp;" "&amp;Milestones!$AB$127&amp;" "&amp;Milestones!$AC$127&amp;";  ","")&amp;IF(AND(EDATE($D101,Milestones!$AA$128)&lt;=AsOfDate,IF($Q101=0,$W101,IF(AND($S101&lt;&gt;"",EDATE($D101,Milestones!$AA$128)&gt;=$S101),$V101,IF(AND($R101&lt;&gt;"",EDATE($D101,Milestones!$AA$128)&gt;=$R101),$U101,$T101)))=Milestones!$AB$128),TEXT(EDATE($D101,Milestones!$AA$128),"dd/mm/yy")&amp;" "&amp;Milestones!$AB$128&amp;" "&amp;Milestones!$AC$128&amp;";  ","")&amp;IF(AND(EDATE($D101,Milestones!$AA$129)&lt;=AsOfDate,IF($Q101=0,$W101,IF(AND($S101&lt;&gt;"",EDATE($D101,Milestones!$AA$129)&gt;=$S101),$V101,IF(AND($R101&lt;&gt;"",EDATE($D101,Milestones!$AA$129)&gt;=$R101),$U101,$T101)))=Milestones!$AB$129),TEXT(EDATE($D101,Milestones!$AA$129),"dd/mm/yy")&amp;" "&amp;Milestones!$AB$129&amp;" "&amp;Milestones!$AC$129&amp;";  ","")&amp;IF(AND(EDATE($D101,Milestones!$AA$130)&lt;=AsOfDate,IF($Q101=0,$W101,IF(AND($S101&lt;&gt;"",EDATE($D101,Milestones!$AA$130)&gt;=$S101),$V101,IF(AND($R101&lt;&gt;"",EDATE($D101,Milestones!$AA$130)&gt;=$R101),$U101,$T101)))=Milestones!$AB$130),TEXT(EDATE($D101,Milestones!$AA$130),"dd/mm/yy")&amp;" "&amp;Milestones!$AB$130&amp;" "&amp;Milestones!$AC$130&amp;";  ","")&amp;IF(AND(EDATE($D101,Milestones!$AA$131)&lt;=AsOfDate,IF($Q101=0,$W101,IF(AND($S101&lt;&gt;"",EDATE($D101,Milestones!$AA$131)&gt;=$S101),$V101,IF(AND($R101&lt;&gt;"",EDATE($D101,Milestones!$AA$131)&gt;=$R101),$U101,$T101)))=Milestones!$AB$131),TEXT(EDATE($D101,Milestones!$AA$131),"dd/mm/yy")&amp;" "&amp;Milestones!$AB$131&amp;" "&amp;Milestones!$AC$131&amp;";  ","")&amp;IF(AND(EDATE($D101,Milestones!$AA$132)&lt;=AsOfDate,IF($Q101=0,$W101,IF(AND($S101&lt;&gt;"",EDATE($D101,Milestones!$AA$132)&gt;=$S101),$V101,IF(AND($R101&lt;&gt;"",EDATE($D101,Milestones!$AA$132)&gt;=$R101),$U101,$T101)))=Milestones!$AB$132),TEXT(EDATE($D101,Milestones!$AA$132),"dd/mm/yy")&amp;" "&amp;Milestones!$AB$132&amp;" "&amp;Milestones!$AC$132&amp;";  ","")&amp;IF(AND(EDATE($D101,Milestones!$AA$133)&lt;=AsOfDate,IF($Q101=0,$W101,IF(AND($S101&lt;&gt;"",EDATE($D101,Milestones!$AA$133)&gt;=$S101),$V101,IF(AND($R101&lt;&gt;"",EDATE($D101,Milestones!$AA$133)&gt;=$R101),$U101,$T101)))=Milestones!$AB$133),TEXT(EDATE($D101,Milestones!$AA$133),"dd/mm/yy")&amp;" "&amp;Milestones!$AB$133&amp;" "&amp;Milestones!$AC$133&amp;";  ","")&amp;IF(AND(EDATE($D101,Milestones!$AA$134)&lt;=AsOfDate,IF($Q101=0,$W101,IF(AND($S101&lt;&gt;"",EDATE($D101,Milestones!$AA$134)&gt;=$S101),$V101,IF(AND($R101&lt;&gt;"",EDATE($D101,Milestones!$AA$134)&gt;=$R101),$U101,$T101)))=Milestones!$AB$134),TEXT(EDATE($D101,Milestones!$AA$134),"dd/mm/yy")&amp;" "&amp;Milestones!$AB$134&amp;" "&amp;Milestones!$AC$134&amp;";  ","")&amp;IF(AND(EDATE($D101,Milestones!$AA$135)&lt;=AsOfDate,IF($Q101=0,$W101,IF(AND($S101&lt;&gt;"",EDATE($D101,Milestones!$AA$135)&gt;=$S101),$V101,IF(AND($R101&lt;&gt;"",EDATE($D101,Milestones!$AA$135)&gt;=$R101),$U101,$T101)))=Milestones!$AB$135),TEXT(EDATE($D101,Milestones!$AA$135),"dd/mm/yy")&amp;" "&amp;Milestones!$AB$135&amp;" "&amp;Milestones!$AC$135&amp;";  ","")&amp;IF(AND(EDATE($D101,Milestones!$AA$136)&lt;=AsOfDate,IF($Q101=0,$W101,IF(AND($S101&lt;&gt;"",EDATE($D101,Milestones!$AA$136)&gt;=$S101),$V101,IF(AND($R101&lt;&gt;"",EDATE($D101,Milestones!$AA$136)&gt;=$R101),$U101,$T101)))=Milestones!$AB$136),TEXT(EDATE($D101,Milestones!$AA$136),"dd/mm/yy")&amp;" "&amp;Milestones!$AB$136&amp;" "&amp;Milestones!$AC$136&amp;";  ","")&amp;IF(AND(EDATE($D101,Milestones!$AA$137)&lt;=AsOfDate,IF($Q101=0,$W101,IF(AND($S101&lt;&gt;"",EDATE($D101,Milestones!$AA$137)&gt;=$S101),$V101,IF(AND($R101&lt;&gt;"",EDATE($D101,Milestones!$AA$137)&gt;=$R101),$U101,$T101)))=Milestones!$AB$137),TEXT(EDATE($D101,Milestones!$AA$137),"dd/mm/yy")&amp;" "&amp;Milestones!$AB$137&amp;" "&amp;Milestones!$AC$137&amp;";  ","")&amp;IF(AND(EDATE($D101,Milestones!$AA$138)&lt;=AsOfDate,IF($Q101=0,$W101,IF(AND($S101&lt;&gt;"",EDATE($D101,Milestones!$AA$138)&gt;=$S101),$V101,IF(AND($R101&lt;&gt;"",EDATE($D101,Milestones!$AA$138)&gt;=$R101),$U101,$T101)))=Milestones!$AB$138),TEXT(EDATE($D101,Milestones!$AA$138),"dd/mm/yy")&amp;" "&amp;Milestones!$AB$138&amp;" "&amp;Milestones!$AC$138&amp;";  ","")&amp;IF(AND(EDATE($D101,Milestones!$AA$139)&lt;=AsOfDate,IF($Q101=0,$W101,IF(AND($S101&lt;&gt;"",EDATE($D101,Milestones!$AA$139)&gt;=$S101),$V101,IF(AND($R101&lt;&gt;"",EDATE($D101,Milestones!$AA$139)&gt;=$R101),$U101,$T101)))=Milestones!$AB$139),TEXT(EDATE($D101,Milestones!$AA$139),"dd/mm/yy")&amp;" "&amp;Milestones!$AB$139&amp;" "&amp;Milestones!$AC$139&amp;";  ",""))</f>
        <v/>
      </c>
      <c r="N101" s="0" t="str">
        <f aca="false">IF(OR($A101="",$D101=""),"",IF(AND(EDATE($D101,Milestones!$AA$140)&lt;=AsOfDate,IF($Q101=0,$W101,IF(AND($S101&lt;&gt;"",EDATE($D101,Milestones!$AA$140)&gt;=$S101),$V101,IF(AND($R101&lt;&gt;"",EDATE($D101,Milestones!$AA$140)&gt;=$R101),$U101,$T101)))=Milestones!$AB$140),TEXT(EDATE($D101,Milestones!$AA$140),"dd/mm/yy")&amp;" "&amp;Milestones!$AB$140&amp;" "&amp;Milestones!$AC$140&amp;";  ","")&amp;IF(AND(EDATE($D101,Milestones!$AA$141)&lt;=AsOfDate,IF($Q101=0,$W101,IF(AND($S101&lt;&gt;"",EDATE($D101,Milestones!$AA$141)&gt;=$S101),$V101,IF(AND($R101&lt;&gt;"",EDATE($D101,Milestones!$AA$141)&gt;=$R101),$U101,$T101)))=Milestones!$AB$141),TEXT(EDATE($D101,Milestones!$AA$141),"dd/mm/yy")&amp;" "&amp;Milestones!$AB$141&amp;" "&amp;Milestones!$AC$141&amp;";  ","")&amp;IF(AND(EDATE($D101,Milestones!$AA$142)&lt;=AsOfDate,IF($Q101=0,$W101,IF(AND($S101&lt;&gt;"",EDATE($D101,Milestones!$AA$142)&gt;=$S101),$V101,IF(AND($R101&lt;&gt;"",EDATE($D101,Milestones!$AA$142)&gt;=$R101),$U101,$T101)))=Milestones!$AB$142),TEXT(EDATE($D101,Milestones!$AA$142),"dd/mm/yy")&amp;" "&amp;Milestones!$AB$142&amp;" "&amp;Milestones!$AC$142&amp;";  ","")&amp;IF(AND(EDATE($D101,Milestones!$AA$143)&lt;=AsOfDate,IF($Q101=0,$W101,IF(AND($S101&lt;&gt;"",EDATE($D101,Milestones!$AA$143)&gt;=$S101),$V101,IF(AND($R101&lt;&gt;"",EDATE($D101,Milestones!$AA$143)&gt;=$R101),$U101,$T101)))=Milestones!$AB$143),TEXT(EDATE($D101,Milestones!$AA$143),"dd/mm/yy")&amp;" "&amp;Milestones!$AB$143&amp;" "&amp;Milestones!$AC$143&amp;";  ","")&amp;IF(AND(EDATE($D101,Milestones!$AA$144)&lt;=AsOfDate,IF($Q101=0,$W101,IF(AND($S101&lt;&gt;"",EDATE($D101,Milestones!$AA$144)&gt;=$S101),$V101,IF(AND($R101&lt;&gt;"",EDATE($D101,Milestones!$AA$144)&gt;=$R101),$U101,$T101)))=Milestones!$AB$144),TEXT(EDATE($D101,Milestones!$AA$144),"dd/mm/yy")&amp;" "&amp;Milestones!$AB$144&amp;" "&amp;Milestones!$AC$144&amp;";  ","")&amp;IF(AND(EDATE($D101,Milestones!$AA$145)&lt;=AsOfDate,IF($Q101=0,$W101,IF(AND($S101&lt;&gt;"",EDATE($D101,Milestones!$AA$145)&gt;=$S101),$V101,IF(AND($R101&lt;&gt;"",EDATE($D101,Milestones!$AA$145)&gt;=$R101),$U101,$T101)))=Milestones!$AB$145),TEXT(EDATE($D101,Milestones!$AA$145),"dd/mm/yy")&amp;" "&amp;Milestones!$AB$145&amp;" "&amp;Milestones!$AC$145&amp;";  ","")&amp;IF(AND(EDATE($D101,Milestones!$AA$146)&lt;=AsOfDate,IF($Q101=0,$W101,IF(AND($S101&lt;&gt;"",EDATE($D101,Milestones!$AA$146)&gt;=$S101),$V101,IF(AND($R101&lt;&gt;"",EDATE($D101,Milestones!$AA$146)&gt;=$R101),$U101,$T101)))=Milestones!$AB$146),TEXT(EDATE($D101,Milestones!$AA$146),"dd/mm/yy")&amp;" "&amp;Milestones!$AB$146&amp;" "&amp;Milestones!$AC$146&amp;";  ","")&amp;IF(AND(EDATE($D101,Milestones!$AA$147)&lt;=AsOfDate,IF($Q101=0,$W101,IF(AND($S101&lt;&gt;"",EDATE($D101,Milestones!$AA$147)&gt;=$S101),$V101,IF(AND($R101&lt;&gt;"",EDATE($D101,Milestones!$AA$147)&gt;=$R101),$U101,$T101)))=Milestones!$AB$147),TEXT(EDATE($D101,Milestones!$AA$147),"dd/mm/yy")&amp;" "&amp;Milestones!$AB$147&amp;" "&amp;Milestones!$AC$147&amp;";  ","")&amp;IF(AND(EDATE($D101,Milestones!$AA$148)&lt;=AsOfDate,IF($Q101=0,$W101,IF(AND($S101&lt;&gt;"",EDATE($D101,Milestones!$AA$148)&gt;=$S101),$V101,IF(AND($R101&lt;&gt;"",EDATE($D101,Milestones!$AA$148)&gt;=$R101),$U101,$T101)))=Milestones!$AB$148),TEXT(EDATE($D101,Milestones!$AA$148),"dd/mm/yy")&amp;" "&amp;Milestones!$AB$148&amp;" "&amp;Milestones!$AC$148&amp;";  ","")&amp;IF(AND(EDATE($D101,Milestones!$AA$149)&lt;=AsOfDate,IF($Q101=0,$W101,IF(AND($S101&lt;&gt;"",EDATE($D101,Milestones!$AA$149)&gt;=$S101),$V101,IF(AND($R101&lt;&gt;"",EDATE($D101,Milestones!$AA$149)&gt;=$R101),$U101,$T101)))=Milestones!$AB$149),TEXT(EDATE($D101,Milestones!$AA$149),"dd/mm/yy")&amp;" "&amp;Milestones!$AB$149&amp;" "&amp;Milestones!$AC$149&amp;";  ","")&amp;IF(AND(EDATE($D101,Milestones!$AA$150)&lt;=AsOfDate,IF($Q101=0,$W101,IF(AND($S101&lt;&gt;"",EDATE($D101,Milestones!$AA$150)&gt;=$S101),$V101,IF(AND($R101&lt;&gt;"",EDATE($D101,Milestones!$AA$150)&gt;=$R101),$U101,$T101)))=Milestones!$AB$150),TEXT(EDATE($D101,Milestones!$AA$150),"dd/mm/yy")&amp;" "&amp;Milestones!$AB$150&amp;" "&amp;Milestones!$AC$150&amp;";  ","")&amp;IF(AND(EDATE($D101,Milestones!$AA$151)&lt;=AsOfDate,IF($Q101=0,$W101,IF(AND($S101&lt;&gt;"",EDATE($D101,Milestones!$AA$151)&gt;=$S101),$V101,IF(AND($R101&lt;&gt;"",EDATE($D101,Milestones!$AA$151)&gt;=$R101),$U101,$T101)))=Milestones!$AB$151),TEXT(EDATE($D101,Milestones!$AA$151),"dd/mm/yy")&amp;" "&amp;Milestones!$AB$151&amp;" "&amp;Milestones!$AC$151&amp;";  ","")&amp;IF(AND(EDATE($D101,Milestones!$AA$152)&lt;=AsOfDate,IF($Q101=0,$W101,IF(AND($S101&lt;&gt;"",EDATE($D101,Milestones!$AA$152)&gt;=$S101),$V101,IF(AND($R101&lt;&gt;"",EDATE($D101,Milestones!$AA$152)&gt;=$R101),$U101,$T101)))=Milestones!$AB$152),TEXT(EDATE($D101,Milestones!$AA$152),"dd/mm/yy")&amp;" "&amp;Milestones!$AB$152&amp;" "&amp;Milestones!$AC$152&amp;";  ","")&amp;IF(AND(EDATE($D101,Milestones!$AA$153)&lt;=AsOfDate,IF($Q101=0,$W101,IF(AND($S101&lt;&gt;"",EDATE($D101,Milestones!$AA$153)&gt;=$S101),$V101,IF(AND($R101&lt;&gt;"",EDATE($D101,Milestones!$AA$153)&gt;=$R101),$U101,$T101)))=Milestones!$AB$153),TEXT(EDATE($D101,Milestones!$AA$153),"dd/mm/yy")&amp;" "&amp;Milestones!$AB$153&amp;" "&amp;Milestones!$AC$153&amp;";  ","")&amp;IF(AND(EDATE($D101,Milestones!$AA$154)&lt;=AsOfDate,IF($Q101=0,$W101,IF(AND($S101&lt;&gt;"",EDATE($D101,Milestones!$AA$154)&gt;=$S101),$V101,IF(AND($R101&lt;&gt;"",EDATE($D101,Milestones!$AA$154)&gt;=$R101),$U101,$T101)))=Milestones!$AB$154),TEXT(EDATE($D101,Milestones!$AA$154),"dd/mm/yy")&amp;" "&amp;Milestones!$AB$154&amp;" "&amp;Milestones!$AC$154&amp;";  ","")&amp;IF(AND(EDATE($D101,Milestones!$AA$155)&lt;=AsOfDate,IF($Q101=0,$W101,IF(AND($S101&lt;&gt;"",EDATE($D101,Milestones!$AA$155)&gt;=$S101),$V101,IF(AND($R101&lt;&gt;"",EDATE($D101,Milestones!$AA$155)&gt;=$R101),$U101,$T101)))=Milestones!$AB$155),TEXT(EDATE($D101,Milestones!$AA$155),"dd/mm/yy")&amp;" "&amp;Milestones!$AB$155&amp;" "&amp;Milestones!$AC$155&amp;";  ","")&amp;IF(AND(EDATE($D101,Milestones!$AA$156)&lt;=AsOfDate,IF($Q101=0,$W101,IF(AND($S101&lt;&gt;"",EDATE($D101,Milestones!$AA$156)&gt;=$S101),$V101,IF(AND($R101&lt;&gt;"",EDATE($D101,Milestones!$AA$156)&gt;=$R101),$U101,$T101)))=Milestones!$AB$156),TEXT(EDATE($D101,Milestones!$AA$156),"dd/mm/yy")&amp;" "&amp;Milestones!$AB$156&amp;" "&amp;Milestones!$AC$156&amp;";  ","")&amp;IF(AND(EDATE($D101,Milestones!$AA$157)&lt;=AsOfDate,IF($Q101=0,$W101,IF(AND($S101&lt;&gt;"",EDATE($D101,Milestones!$AA$157)&gt;=$S101),$V101,IF(AND($R101&lt;&gt;"",EDATE($D101,Milestones!$AA$157)&gt;=$R101),$U101,$T101)))=Milestones!$AB$157),TEXT(EDATE($D101,Milestones!$AA$157),"dd/mm/yy")&amp;" "&amp;Milestones!$AB$157&amp;" "&amp;Milestones!$AC$157&amp;";  ","")&amp;IF(AND(EDATE($D101,Milestones!$AA$158)&lt;=AsOfDate,IF($Q101=0,$W101,IF(AND($S101&lt;&gt;"",EDATE($D101,Milestones!$AA$158)&gt;=$S101),$V101,IF(AND($R101&lt;&gt;"",EDATE($D101,Milestones!$AA$158)&gt;=$R101),$U101,$T101)))=Milestones!$AB$158),TEXT(EDATE($D101,Milestones!$AA$158),"dd/mm/yy")&amp;" "&amp;Milestones!$AB$158&amp;" "&amp;Milestones!$AC$158&amp;";  ","")&amp;IF(AND(EDATE($D101,Milestones!$AA$159)&lt;=AsOfDate,IF($Q101=0,$W101,IF(AND($S101&lt;&gt;"",EDATE($D101,Milestones!$AA$159)&gt;=$S101),$V101,IF(AND($R101&lt;&gt;"",EDATE($D101,Milestones!$AA$159)&gt;=$R101),$U101,$T101)))=Milestones!$AB$159),TEXT(EDATE($D101,Milestones!$AA$159),"dd/mm/yy")&amp;" "&amp;Milestones!$AB$159&amp;" "&amp;Milestones!$AC$159&amp;";  ",""))</f>
        <v/>
      </c>
      <c r="O101" s="0" t="str">
        <f aca="false">IF(OR($A101="",$D101=""),"",IF(AND(EDATE($D101,Milestones!$AA$160)&lt;=AsOfDate,IF($Q101=0,$W101,IF(AND($S101&lt;&gt;"",EDATE($D101,Milestones!$AA$160)&gt;=$S101),$V101,IF(AND($R101&lt;&gt;"",EDATE($D101,Milestones!$AA$160)&gt;=$R101),$U101,$T101)))=Milestones!$AB$160),TEXT(EDATE($D101,Milestones!$AA$160),"dd/mm/yy")&amp;" "&amp;Milestones!$AB$160&amp;" "&amp;Milestones!$AC$160&amp;";  ","")&amp;IF(AND(EDATE($D101,Milestones!$AA$161)&lt;=AsOfDate,IF($Q101=0,$W101,IF(AND($S101&lt;&gt;"",EDATE($D101,Milestones!$AA$161)&gt;=$S101),$V101,IF(AND($R101&lt;&gt;"",EDATE($D101,Milestones!$AA$161)&gt;=$R101),$U101,$T101)))=Milestones!$AB$161),TEXT(EDATE($D101,Milestones!$AA$161),"dd/mm/yy")&amp;" "&amp;Milestones!$AB$161&amp;" "&amp;Milestones!$AC$161&amp;";  ","")&amp;IF(AND(EDATE($D101,Milestones!$AA$162)&lt;=AsOfDate,IF($Q101=0,$W101,IF(AND($S101&lt;&gt;"",EDATE($D101,Milestones!$AA$162)&gt;=$S101),$V101,IF(AND($R101&lt;&gt;"",EDATE($D101,Milestones!$AA$162)&gt;=$R101),$U101,$T101)))=Milestones!$AB$162),TEXT(EDATE($D101,Milestones!$AA$162),"dd/mm/yy")&amp;" "&amp;Milestones!$AB$162&amp;" "&amp;Milestones!$AC$162&amp;";  ","")&amp;IF(AND(EDATE($D101,Milestones!$AA$163)&lt;=AsOfDate,IF($Q101=0,$W101,IF(AND($S101&lt;&gt;"",EDATE($D101,Milestones!$AA$163)&gt;=$S101),$V101,IF(AND($R101&lt;&gt;"",EDATE($D101,Milestones!$AA$163)&gt;=$R101),$U101,$T101)))=Milestones!$AB$163),TEXT(EDATE($D101,Milestones!$AA$163),"dd/mm/yy")&amp;" "&amp;Milestones!$AB$163&amp;" "&amp;Milestones!$AC$163&amp;";  ","")&amp;IF(AND(EDATE($D101,Milestones!$AA$164)&lt;=AsOfDate,IF($Q101=0,$W101,IF(AND($S101&lt;&gt;"",EDATE($D101,Milestones!$AA$164)&gt;=$S101),$V101,IF(AND($R101&lt;&gt;"",EDATE($D101,Milestones!$AA$164)&gt;=$R101),$U101,$T101)))=Milestones!$AB$164),TEXT(EDATE($D101,Milestones!$AA$164),"dd/mm/yy")&amp;" "&amp;Milestones!$AB$164&amp;" "&amp;Milestones!$AC$164&amp;";  ","")&amp;IF(AND(EDATE($D101,Milestones!$AA$165)&lt;=AsOfDate,IF($Q101=0,$W101,IF(AND($S101&lt;&gt;"",EDATE($D101,Milestones!$AA$165)&gt;=$S101),$V101,IF(AND($R101&lt;&gt;"",EDATE($D101,Milestones!$AA$165)&gt;=$R101),$U101,$T101)))=Milestones!$AB$165),TEXT(EDATE($D101,Milestones!$AA$165),"dd/mm/yy")&amp;" "&amp;Milestones!$AB$165&amp;" "&amp;Milestones!$AC$165&amp;";  ","")&amp;IF(AND(EDATE($D101,Milestones!$AA$166)&lt;=AsOfDate,IF($Q101=0,$W101,IF(AND($S101&lt;&gt;"",EDATE($D101,Milestones!$AA$166)&gt;=$S101),$V101,IF(AND($R101&lt;&gt;"",EDATE($D101,Milestones!$AA$166)&gt;=$R101),$U101,$T101)))=Milestones!$AB$166),TEXT(EDATE($D101,Milestones!$AA$166),"dd/mm/yy")&amp;" "&amp;Milestones!$AB$166&amp;" "&amp;Milestones!$AC$166&amp;";  ","")&amp;IF(AND(EDATE($D101,Milestones!$AA$167)&lt;=AsOfDate,IF($Q101=0,$W101,IF(AND($S101&lt;&gt;"",EDATE($D101,Milestones!$AA$167)&gt;=$S101),$V101,IF(AND($R101&lt;&gt;"",EDATE($D101,Milestones!$AA$167)&gt;=$R101),$U101,$T101)))=Milestones!$AB$167),TEXT(EDATE($D101,Milestones!$AA$167),"dd/mm/yy")&amp;" "&amp;Milestones!$AB$167&amp;" "&amp;Milestones!$AC$167&amp;";  ","")&amp;IF(AND(EDATE($D101,Milestones!$AA$168)&lt;=AsOfDate,IF($Q101=0,$W101,IF(AND($S101&lt;&gt;"",EDATE($D101,Milestones!$AA$168)&gt;=$S101),$V101,IF(AND($R101&lt;&gt;"",EDATE($D101,Milestones!$AA$168)&gt;=$R101),$U101,$T101)))=Milestones!$AB$168),TEXT(EDATE($D101,Milestones!$AA$168),"dd/mm/yy")&amp;" "&amp;Milestones!$AB$168&amp;" "&amp;Milestones!$AC$168&amp;";  ","")&amp;IF(AND(EDATE($D101,Milestones!$AA$169)&lt;=AsOfDate,IF($Q101=0,$W101,IF(AND($S101&lt;&gt;"",EDATE($D101,Milestones!$AA$169)&gt;=$S101),$V101,IF(AND($R101&lt;&gt;"",EDATE($D101,Milestones!$AA$169)&gt;=$R101),$U101,$T101)))=Milestones!$AB$169),TEXT(EDATE($D101,Milestones!$AA$169),"dd/mm/yy")&amp;" "&amp;Milestones!$AB$169&amp;" "&amp;Milestones!$AC$169&amp;";  ","")&amp;IF(AND(EDATE($D101,Milestones!$AA$170)&lt;=AsOfDate,IF($Q101=0,$W101,IF(AND($S101&lt;&gt;"",EDATE($D101,Milestones!$AA$170)&gt;=$S101),$V101,IF(AND($R101&lt;&gt;"",EDATE($D101,Milestones!$AA$170)&gt;=$R101),$U101,$T101)))=Milestones!$AB$170),TEXT(EDATE($D101,Milestones!$AA$170),"dd/mm/yy")&amp;" "&amp;Milestones!$AB$170&amp;" "&amp;Milestones!$AC$170&amp;";  ","")&amp;IF(AND(EDATE($D101,Milestones!$AA$171)&lt;=AsOfDate,IF($Q101=0,$W101,IF(AND($S101&lt;&gt;"",EDATE($D101,Milestones!$AA$171)&gt;=$S101),$V101,IF(AND($R101&lt;&gt;"",EDATE($D101,Milestones!$AA$171)&gt;=$R101),$U101,$T101)))=Milestones!$AB$171),TEXT(EDATE($D101,Milestones!$AA$171),"dd/mm/yy")&amp;" "&amp;Milestones!$AB$171&amp;" "&amp;Milestones!$AC$171&amp;";  ","")&amp;IF(AND(EDATE($D101,Milestones!$AA$172)&lt;=AsOfDate,IF($Q101=0,$W101,IF(AND($S101&lt;&gt;"",EDATE($D101,Milestones!$AA$172)&gt;=$S101),$V101,IF(AND($R101&lt;&gt;"",EDATE($D101,Milestones!$AA$172)&gt;=$R101),$U101,$T101)))=Milestones!$AB$172),TEXT(EDATE($D101,Milestones!$AA$172),"dd/mm/yy")&amp;" "&amp;Milestones!$AB$172&amp;" "&amp;Milestones!$AC$172&amp;";  ","")&amp;IF(AND(EDATE($D101,Milestones!$AA$173)&lt;=AsOfDate,IF($Q101=0,$W101,IF(AND($S101&lt;&gt;"",EDATE($D101,Milestones!$AA$173)&gt;=$S101),$V101,IF(AND($R101&lt;&gt;"",EDATE($D101,Milestones!$AA$173)&gt;=$R101),$U101,$T101)))=Milestones!$AB$173),TEXT(EDATE($D101,Milestones!$AA$173),"dd/mm/yy")&amp;" "&amp;Milestones!$AB$173&amp;" "&amp;Milestones!$AC$173&amp;";  ","")&amp;IF(AND(EDATE($D101,Milestones!$AA$174)&lt;=AsOfDate,IF($Q101=0,$W101,IF(AND($S101&lt;&gt;"",EDATE($D101,Milestones!$AA$174)&gt;=$S101),$V101,IF(AND($R101&lt;&gt;"",EDATE($D101,Milestones!$AA$174)&gt;=$R101),$U101,$T101)))=Milestones!$AB$174),TEXT(EDATE($D101,Milestones!$AA$174),"dd/mm/yy")&amp;" "&amp;Milestones!$AB$174&amp;" "&amp;Milestones!$AC$174&amp;";  ","")&amp;IF(AND(EDATE($D101,Milestones!$AA$175)&lt;=AsOfDate,IF($Q101=0,$W101,IF(AND($S101&lt;&gt;"",EDATE($D101,Milestones!$AA$175)&gt;=$S101),$V101,IF(AND($R101&lt;&gt;"",EDATE($D101,Milestones!$AA$175)&gt;=$R101),$U101,$T101)))=Milestones!$AB$175),TEXT(EDATE($D101,Milestones!$AA$175),"dd/mm/yy")&amp;" "&amp;Milestones!$AB$175&amp;" "&amp;Milestones!$AC$175&amp;";  ","")&amp;IF(AND(EDATE($D101,Milestones!$AA$176)&lt;=AsOfDate,IF($Q101=0,$W101,IF(AND($S101&lt;&gt;"",EDATE($D101,Milestones!$AA$176)&gt;=$S101),$V101,IF(AND($R101&lt;&gt;"",EDATE($D101,Milestones!$AA$176)&gt;=$R101),$U101,$T101)))=Milestones!$AB$176),TEXT(EDATE($D101,Milestones!$AA$176),"dd/mm/yy")&amp;" "&amp;Milestones!$AB$176&amp;" "&amp;Milestones!$AC$176&amp;";  ","")&amp;IF(AND(EDATE($D101,Milestones!$AA$177)&lt;=AsOfDate,IF($Q101=0,$W101,IF(AND($S101&lt;&gt;"",EDATE($D101,Milestones!$AA$177)&gt;=$S101),$V101,IF(AND($R101&lt;&gt;"",EDATE($D101,Milestones!$AA$177)&gt;=$R101),$U101,$T101)))=Milestones!$AB$177),TEXT(EDATE($D101,Milestones!$AA$177),"dd/mm/yy")&amp;" "&amp;Milestones!$AB$177&amp;" "&amp;Milestones!$AC$177&amp;";  ","")&amp;IF(AND(EDATE($D101,Milestones!$AA$178)&lt;=AsOfDate,IF($Q101=0,$W101,IF(AND($S101&lt;&gt;"",EDATE($D101,Milestones!$AA$178)&gt;=$S101),$V101,IF(AND($R101&lt;&gt;"",EDATE($D101,Milestones!$AA$178)&gt;=$R101),$U101,$T101)))=Milestones!$AB$178),TEXT(EDATE($D101,Milestones!$AA$178),"dd/mm/yy")&amp;" "&amp;Milestones!$AB$178&amp;" "&amp;Milestones!$AC$178&amp;";  ","")&amp;IF(AND(EDATE($D101,Milestones!$AA$179)&lt;=AsOfDate,IF($Q101=0,$W101,IF(AND($S101&lt;&gt;"",EDATE($D101,Milestones!$AA$179)&gt;=$S101),$V101,IF(AND($R101&lt;&gt;"",EDATE($D101,Milestones!$AA$179)&gt;=$R101),$U101,$T101)))=Milestones!$AB$179),TEXT(EDATE($D101,Milestones!$AA$179),"dd/mm/yy")&amp;" "&amp;Milestones!$AB$179&amp;" "&amp;Milestones!$AC$179&amp;";  ",""))</f>
        <v/>
      </c>
      <c r="P101" s="0" t="str">
        <f aca="false">IF(OR($A101="",$D101=""),"",IF(AND(EDATE($D101,Milestones!$AA$180)&lt;=AsOfDate,IF($Q101=0,$W101,IF(AND($S101&lt;&gt;"",EDATE($D101,Milestones!$AA$180)&gt;=$S101),$V101,IF(AND($R101&lt;&gt;"",EDATE($D101,Milestones!$AA$180)&gt;=$R101),$U101,$T101)))=Milestones!$AB$180),TEXT(EDATE($D101,Milestones!$AA$180),"dd/mm/yy")&amp;" "&amp;Milestones!$AB$180&amp;" "&amp;Milestones!$AC$180&amp;";  ","")&amp;IF(AND(EDATE($D101,Milestones!$AA$181)&lt;=AsOfDate,IF($Q101=0,$W101,IF(AND($S101&lt;&gt;"",EDATE($D101,Milestones!$AA$181)&gt;=$S101),$V101,IF(AND($R101&lt;&gt;"",EDATE($D101,Milestones!$AA$181)&gt;=$R101),$U101,$T101)))=Milestones!$AB$181),TEXT(EDATE($D101,Milestones!$AA$181),"dd/mm/yy")&amp;" "&amp;Milestones!$AB$181&amp;" "&amp;Milestones!$AC$181&amp;";  ","")&amp;IF(AND(EDATE($D101,Milestones!$AA$182)&lt;=AsOfDate,IF($Q101=0,$W101,IF(AND($S101&lt;&gt;"",EDATE($D101,Milestones!$AA$182)&gt;=$S101),$V101,IF(AND($R101&lt;&gt;"",EDATE($D101,Milestones!$AA$182)&gt;=$R101),$U101,$T101)))=Milestones!$AB$182),TEXT(EDATE($D101,Milestones!$AA$182),"dd/mm/yy")&amp;" "&amp;Milestones!$AB$182&amp;" "&amp;Milestones!$AC$182&amp;";  ","")&amp;IF(AND(EDATE($D101,Milestones!$AA$183)&lt;=AsOfDate,IF($Q101=0,$W101,IF(AND($S101&lt;&gt;"",EDATE($D101,Milestones!$AA$183)&gt;=$S101),$V101,IF(AND($R101&lt;&gt;"",EDATE($D101,Milestones!$AA$183)&gt;=$R101),$U101,$T101)))=Milestones!$AB$183),TEXT(EDATE($D101,Milestones!$AA$183),"dd/mm/yy")&amp;" "&amp;Milestones!$AB$183&amp;" "&amp;Milestones!$AC$183&amp;";  ","")&amp;IF(AND(EDATE($D101,Milestones!$AA$184)&lt;=AsOfDate,IF($Q101=0,$W101,IF(AND($S101&lt;&gt;"",EDATE($D101,Milestones!$AA$184)&gt;=$S101),$V101,IF(AND($R101&lt;&gt;"",EDATE($D101,Milestones!$AA$184)&gt;=$R101),$U101,$T101)))=Milestones!$AB$184),TEXT(EDATE($D101,Milestones!$AA$184),"dd/mm/yy")&amp;" "&amp;Milestones!$AB$184&amp;" "&amp;Milestones!$AC$184&amp;";  ","")&amp;IF(AND(EDATE($D101,Milestones!$AA$185)&lt;=AsOfDate,IF($Q101=0,$W101,IF(AND($S101&lt;&gt;"",EDATE($D101,Milestones!$AA$185)&gt;=$S101),$V101,IF(AND($R101&lt;&gt;"",EDATE($D101,Milestones!$AA$185)&gt;=$R101),$U101,$T101)))=Milestones!$AB$185),TEXT(EDATE($D101,Milestones!$AA$185),"dd/mm/yy")&amp;" "&amp;Milestones!$AB$185&amp;" "&amp;Milestones!$AC$185&amp;";  ","")&amp;IF(AND(EDATE($D101,Milestones!$AA$186)&lt;=AsOfDate,IF($Q101=0,$W101,IF(AND($S101&lt;&gt;"",EDATE($D101,Milestones!$AA$186)&gt;=$S101),$V101,IF(AND($R101&lt;&gt;"",EDATE($D101,Milestones!$AA$186)&gt;=$R101),$U101,$T101)))=Milestones!$AB$186),TEXT(EDATE($D101,Milestones!$AA$186),"dd/mm/yy")&amp;" "&amp;Milestones!$AB$186&amp;" "&amp;Milestones!$AC$186&amp;";  ","")&amp;IF(AND(EDATE($D101,Milestones!$AA$187)&lt;=AsOfDate,IF($Q101=0,$W101,IF(AND($S101&lt;&gt;"",EDATE($D101,Milestones!$AA$187)&gt;=$S101),$V101,IF(AND($R101&lt;&gt;"",EDATE($D101,Milestones!$AA$187)&gt;=$R101),$U101,$T101)))=Milestones!$AB$187),TEXT(EDATE($D101,Milestones!$AA$187),"dd/mm/yy")&amp;" "&amp;Milestones!$AB$187&amp;" "&amp;Milestones!$AC$187&amp;";  ","")&amp;IF(AND(EDATE($D101,Milestones!$AA$188)&lt;=AsOfDate,IF($Q101=0,$W101,IF(AND($S101&lt;&gt;"",EDATE($D101,Milestones!$AA$188)&gt;=$S101),$V101,IF(AND($R101&lt;&gt;"",EDATE($D101,Milestones!$AA$188)&gt;=$R101),$U101,$T101)))=Milestones!$AB$188),TEXT(EDATE($D101,Milestones!$AA$188),"dd/mm/yy")&amp;" "&amp;Milestones!$AB$188&amp;" "&amp;Milestones!$AC$188&amp;";  ","")&amp;IF(AND(EDATE($D101,Milestones!$AA$189)&lt;=AsOfDate,IF($Q101=0,$W101,IF(AND($S101&lt;&gt;"",EDATE($D101,Milestones!$AA$189)&gt;=$S101),$V101,IF(AND($R101&lt;&gt;"",EDATE($D101,Milestones!$AA$189)&gt;=$R101),$U101,$T101)))=Milestones!$AB$189),TEXT(EDATE($D101,Milestones!$AA$189),"dd/mm/yy")&amp;" "&amp;Milestones!$AB$189&amp;" "&amp;Milestones!$AC$189&amp;";  ","")&amp;IF(AND(EDATE($D101,Milestones!$AA$190)&lt;=AsOfDate,IF($Q101=0,$W101,IF(AND($S101&lt;&gt;"",EDATE($D101,Milestones!$AA$190)&gt;=$S101),$V101,IF(AND($R101&lt;&gt;"",EDATE($D101,Milestones!$AA$190)&gt;=$R101),$U101,$T101)))=Milestones!$AB$190),TEXT(EDATE($D101,Milestones!$AA$190),"dd/mm/yy")&amp;" "&amp;Milestones!$AB$190&amp;" "&amp;Milestones!$AC$190&amp;";  ","")&amp;IF(AND(EDATE($D101,Milestones!$AA$191)&lt;=AsOfDate,IF($Q101=0,$W101,IF(AND($S101&lt;&gt;"",EDATE($D101,Milestones!$AA$191)&gt;=$S101),$V101,IF(AND($R101&lt;&gt;"",EDATE($D101,Milestones!$AA$191)&gt;=$R101),$U101,$T101)))=Milestones!$AB$191),TEXT(EDATE($D101,Milestones!$AA$191),"dd/mm/yy")&amp;" "&amp;Milestones!$AB$191&amp;" "&amp;Milestones!$AC$191&amp;";  ","")&amp;IF(AND(EDATE($D101,Milestones!$AA$192)&lt;=AsOfDate,IF($Q101=0,$W101,IF(AND($S101&lt;&gt;"",EDATE($D101,Milestones!$AA$192)&gt;=$S101),$V101,IF(AND($R101&lt;&gt;"",EDATE($D101,Milestones!$AA$192)&gt;=$R101),$U101,$T101)))=Milestones!$AB$192),TEXT(EDATE($D101,Milestones!$AA$192),"dd/mm/yy")&amp;" "&amp;Milestones!$AB$192&amp;" "&amp;Milestones!$AC$192&amp;";  ","")&amp;IF(AND(EDATE($D101,Milestones!$AA$193)&lt;=AsOfDate,IF($Q101=0,$W101,IF(AND($S101&lt;&gt;"",EDATE($D101,Milestones!$AA$193)&gt;=$S101),$V101,IF(AND($R101&lt;&gt;"",EDATE($D101,Milestones!$AA$193)&gt;=$R101),$U101,$T101)))=Milestones!$AB$193),TEXT(EDATE($D101,Milestones!$AA$193),"dd/mm/yy")&amp;" "&amp;Milestones!$AB$193&amp;" "&amp;Milestones!$AC$193&amp;";  ","")&amp;IF(AND(EDATE($D101,Milestones!$AA$194)&lt;=AsOfDate,IF($Q101=0,$W101,IF(AND($S101&lt;&gt;"",EDATE($D101,Milestones!$AA$194)&gt;=$S101),$V101,IF(AND($R101&lt;&gt;"",EDATE($D101,Milestones!$AA$194)&gt;=$R101),$U101,$T101)))=Milestones!$AB$194),TEXT(EDATE($D101,Milestones!$AA$194),"dd/mm/yy")&amp;" "&amp;Milestones!$AB$194&amp;" "&amp;Milestones!$AC$194&amp;";  ","")&amp;IF(AND(EDATE($D101,Milestones!$AA$195)&lt;=AsOfDate,IF($Q101=0,$W101,IF(AND($S101&lt;&gt;"",EDATE($D101,Milestones!$AA$195)&gt;=$S101),$V101,IF(AND($R101&lt;&gt;"",EDATE($D101,Milestones!$AA$195)&gt;=$R101),$U101,$T101)))=Milestones!$AB$195),TEXT(EDATE($D101,Milestones!$AA$195),"dd/mm/yy")&amp;" "&amp;Milestones!$AB$195&amp;" "&amp;Milestones!$AC$195&amp;";  ","")&amp;IF(AND(EDATE($D101,Milestones!$AA$196)&lt;=AsOfDate,IF($Q101=0,$W101,IF(AND($S101&lt;&gt;"",EDATE($D101,Milestones!$AA$196)&gt;=$S101),$V101,IF(AND($R101&lt;&gt;"",EDATE($D101,Milestones!$AA$196)&gt;=$R101),$U101,$T101)))=Milestones!$AB$196),TEXT(EDATE($D101,Milestones!$AA$196),"dd/mm/yy")&amp;" "&amp;Milestones!$AB$196&amp;" "&amp;Milestones!$AC$196&amp;";  ","")&amp;IF(AND(EDATE($D101,Milestones!$AA$197)&lt;=AsOfDate,IF($Q101=0,$W101,IF(AND($S101&lt;&gt;"",EDATE($D101,Milestones!$AA$197)&gt;=$S101),$V101,IF(AND($R101&lt;&gt;"",EDATE($D101,Milestones!$AA$197)&gt;=$R101),$U101,$T101)))=Milestones!$AB$197),TEXT(EDATE($D101,Milestones!$AA$197),"dd/mm/yy")&amp;" "&amp;Milestones!$AB$197&amp;" "&amp;Milestones!$AC$197&amp;";  ","")&amp;IF(AND(EDATE($D101,Milestones!$AA$198)&lt;=AsOfDate,IF($Q101=0,$W101,IF(AND($S101&lt;&gt;"",EDATE($D101,Milestones!$AA$198)&gt;=$S101),$V101,IF(AND($R101&lt;&gt;"",EDATE($D101,Milestones!$AA$198)&gt;=$R101),$U101,$T101)))=Milestones!$AB$198),TEXT(EDATE($D101,Milestones!$AA$198),"dd/mm/yy")&amp;" "&amp;Milestones!$AB$198&amp;" "&amp;Milestones!$AC$198&amp;";  ","")&amp;IF(AND(EDATE($D101,Milestones!$AA$199)&lt;=AsOfDate,IF($Q101=0,$W101,IF(AND($S101&lt;&gt;"",EDATE($D101,Milestones!$AA$199)&gt;=$S101),$V101,IF(AND($R101&lt;&gt;"",EDATE($D101,Milestones!$AA$199)&gt;=$R101),$U101,$T101)))=Milestones!$AB$199),TEXT(EDATE($D101,Milestones!$AA$199),"dd/mm/yy")&amp;" "&amp;Milestones!$AB$199&amp;" "&amp;Milestones!$AC$199&amp;";  ",""))</f>
        <v/>
      </c>
      <c r="Q101" s="0" t="str">
        <f aca="false">IF(Staff!$A101="","",Staff!$AG101)</f>
        <v/>
      </c>
      <c r="R101" s="0" t="str">
        <f aca="false">IF(Staff!$A101="","",Staff!$AI101)</f>
        <v/>
      </c>
      <c r="S101" s="0" t="str">
        <f aca="false">IF(Staff!$A101="","",Staff!$AJ101)</f>
        <v/>
      </c>
      <c r="T101" s="0" t="str">
        <f aca="false">IF(Staff!$A101="","",Staff!$AN101)</f>
        <v/>
      </c>
      <c r="U101" s="0" t="str">
        <f aca="false">IF(Staff!$A101="","",Staff!$AO101)</f>
        <v/>
      </c>
      <c r="V101" s="0" t="str">
        <f aca="false">IF(Staff!$A101="","",Staff!$AP101)</f>
        <v/>
      </c>
      <c r="W101" s="0" t="str">
        <f aca="false">IF(Staff!$A101="","",Staff!$AQ101)</f>
        <v/>
      </c>
    </row>
    <row r="102" customFormat="false" ht="15" hidden="false" customHeight="false" outlineLevel="0" collapsed="false">
      <c r="A102" s="13" t="str">
        <f aca="false">IF(Staff!$A102="","",Staff!$A102)</f>
        <v/>
      </c>
      <c r="B102" s="13" t="str">
        <f aca="false">IF(Staff!$A102="","",Staff!$B102)</f>
        <v/>
      </c>
      <c r="C102" s="13" t="str">
        <f aca="false">IF(Staff!$A102="","",Staff!$C102)</f>
        <v/>
      </c>
      <c r="D102" s="11" t="str">
        <f aca="false">IF(Staff!$A102="","",Staff!$AF102)</f>
        <v/>
      </c>
      <c r="E102" s="13" t="str">
        <f aca="false">IF(Staff!$A102="","",Staff!$O102)</f>
        <v/>
      </c>
      <c r="F102" s="13" t="str">
        <f aca="false">IF(E102="","",E102*HoursPerDay)</f>
        <v/>
      </c>
      <c r="G102" s="26" t="str">
        <f aca="false">IF($A102="","",H102&amp;I102&amp;J102&amp;K102&amp;L102&amp;M102&amp;N102&amp;O102&amp;P102)</f>
        <v/>
      </c>
      <c r="H102" s="0" t="str">
        <f aca="false">IF(OR($A102="",$D102=""),"",IF(AND(EDATE($D102,Milestones!$AA$20)&lt;=AsOfDate,IF($Q102=0,$W102,IF(AND($S102&lt;&gt;"",EDATE($D102,Milestones!$AA$20)&gt;=$S102),$V102,IF(AND($R102&lt;&gt;"",EDATE($D102,Milestones!$AA$20)&gt;=$R102),$U102,$T102)))=Milestones!$AB$20),TEXT(EDATE($D102,Milestones!$AA$20),"dd/mm/yy")&amp;" "&amp;Milestones!$AB$20&amp;" "&amp;Milestones!$AC$20&amp;";  ","")&amp;IF(AND(EDATE($D102,Milestones!$AA$21)&lt;=AsOfDate,IF($Q102=0,$W102,IF(AND($S102&lt;&gt;"",EDATE($D102,Milestones!$AA$21)&gt;=$S102),$V102,IF(AND($R102&lt;&gt;"",EDATE($D102,Milestones!$AA$21)&gt;=$R102),$U102,$T102)))=Milestones!$AB$21),TEXT(EDATE($D102,Milestones!$AA$21),"dd/mm/yy")&amp;" "&amp;Milestones!$AB$21&amp;" "&amp;Milestones!$AC$21&amp;";  ","")&amp;IF(AND(EDATE($D102,Milestones!$AA$22)&lt;=AsOfDate,IF($Q102=0,$W102,IF(AND($S102&lt;&gt;"",EDATE($D102,Milestones!$AA$22)&gt;=$S102),$V102,IF(AND($R102&lt;&gt;"",EDATE($D102,Milestones!$AA$22)&gt;=$R102),$U102,$T102)))=Milestones!$AB$22),TEXT(EDATE($D102,Milestones!$AA$22),"dd/mm/yy")&amp;" "&amp;Milestones!$AB$22&amp;" "&amp;Milestones!$AC$22&amp;";  ","")&amp;IF(AND(EDATE($D102,Milestones!$AA$23)&lt;=AsOfDate,IF($Q102=0,$W102,IF(AND($S102&lt;&gt;"",EDATE($D102,Milestones!$AA$23)&gt;=$S102),$V102,IF(AND($R102&lt;&gt;"",EDATE($D102,Milestones!$AA$23)&gt;=$R102),$U102,$T102)))=Milestones!$AB$23),TEXT(EDATE($D102,Milestones!$AA$23),"dd/mm/yy")&amp;" "&amp;Milestones!$AB$23&amp;" "&amp;Milestones!$AC$23&amp;";  ","")&amp;IF(AND(EDATE($D102,Milestones!$AA$24)&lt;=AsOfDate,IF($Q102=0,$W102,IF(AND($S102&lt;&gt;"",EDATE($D102,Milestones!$AA$24)&gt;=$S102),$V102,IF(AND($R102&lt;&gt;"",EDATE($D102,Milestones!$AA$24)&gt;=$R102),$U102,$T102)))=Milestones!$AB$24),TEXT(EDATE($D102,Milestones!$AA$24),"dd/mm/yy")&amp;" "&amp;Milestones!$AB$24&amp;" "&amp;Milestones!$AC$24&amp;";  ","")&amp;IF(AND(EDATE($D102,Milestones!$AA$25)&lt;=AsOfDate,IF($Q102=0,$W102,IF(AND($S102&lt;&gt;"",EDATE($D102,Milestones!$AA$25)&gt;=$S102),$V102,IF(AND($R102&lt;&gt;"",EDATE($D102,Milestones!$AA$25)&gt;=$R102),$U102,$T102)))=Milestones!$AB$25),TEXT(EDATE($D102,Milestones!$AA$25),"dd/mm/yy")&amp;" "&amp;Milestones!$AB$25&amp;" "&amp;Milestones!$AC$25&amp;";  ","")&amp;IF(AND(EDATE($D102,Milestones!$AA$26)&lt;=AsOfDate,IF($Q102=0,$W102,IF(AND($S102&lt;&gt;"",EDATE($D102,Milestones!$AA$26)&gt;=$S102),$V102,IF(AND($R102&lt;&gt;"",EDATE($D102,Milestones!$AA$26)&gt;=$R102),$U102,$T102)))=Milestones!$AB$26),TEXT(EDATE($D102,Milestones!$AA$26),"dd/mm/yy")&amp;" "&amp;Milestones!$AB$26&amp;" "&amp;Milestones!$AC$26&amp;";  ","")&amp;IF(AND(EDATE($D102,Milestones!$AA$27)&lt;=AsOfDate,IF($Q102=0,$W102,IF(AND($S102&lt;&gt;"",EDATE($D102,Milestones!$AA$27)&gt;=$S102),$V102,IF(AND($R102&lt;&gt;"",EDATE($D102,Milestones!$AA$27)&gt;=$R102),$U102,$T102)))=Milestones!$AB$27),TEXT(EDATE($D102,Milestones!$AA$27),"dd/mm/yy")&amp;" "&amp;Milestones!$AB$27&amp;" "&amp;Milestones!$AC$27&amp;";  ","")&amp;IF(AND(EDATE($D102,Milestones!$AA$28)&lt;=AsOfDate,IF($Q102=0,$W102,IF(AND($S102&lt;&gt;"",EDATE($D102,Milestones!$AA$28)&gt;=$S102),$V102,IF(AND($R102&lt;&gt;"",EDATE($D102,Milestones!$AA$28)&gt;=$R102),$U102,$T102)))=Milestones!$AB$28),TEXT(EDATE($D102,Milestones!$AA$28),"dd/mm/yy")&amp;" "&amp;Milestones!$AB$28&amp;" "&amp;Milestones!$AC$28&amp;";  ","")&amp;IF(AND(EDATE($D102,Milestones!$AA$29)&lt;=AsOfDate,IF($Q102=0,$W102,IF(AND($S102&lt;&gt;"",EDATE($D102,Milestones!$AA$29)&gt;=$S102),$V102,IF(AND($R102&lt;&gt;"",EDATE($D102,Milestones!$AA$29)&gt;=$R102),$U102,$T102)))=Milestones!$AB$29),TEXT(EDATE($D102,Milestones!$AA$29),"dd/mm/yy")&amp;" "&amp;Milestones!$AB$29&amp;" "&amp;Milestones!$AC$29&amp;";  ","")&amp;IF(AND(EDATE($D102,Milestones!$AA$30)&lt;=AsOfDate,IF($Q102=0,$W102,IF(AND($S102&lt;&gt;"",EDATE($D102,Milestones!$AA$30)&gt;=$S102),$V102,IF(AND($R102&lt;&gt;"",EDATE($D102,Milestones!$AA$30)&gt;=$R102),$U102,$T102)))=Milestones!$AB$30),TEXT(EDATE($D102,Milestones!$AA$30),"dd/mm/yy")&amp;" "&amp;Milestones!$AB$30&amp;" "&amp;Milestones!$AC$30&amp;";  ","")&amp;IF(AND(EDATE($D102,Milestones!$AA$31)&lt;=AsOfDate,IF($Q102=0,$W102,IF(AND($S102&lt;&gt;"",EDATE($D102,Milestones!$AA$31)&gt;=$S102),$V102,IF(AND($R102&lt;&gt;"",EDATE($D102,Milestones!$AA$31)&gt;=$R102),$U102,$T102)))=Milestones!$AB$31),TEXT(EDATE($D102,Milestones!$AA$31),"dd/mm/yy")&amp;" "&amp;Milestones!$AB$31&amp;" "&amp;Milestones!$AC$31&amp;";  ","")&amp;IF(AND(EDATE($D102,Milestones!$AA$32)&lt;=AsOfDate,IF($Q102=0,$W102,IF(AND($S102&lt;&gt;"",EDATE($D102,Milestones!$AA$32)&gt;=$S102),$V102,IF(AND($R102&lt;&gt;"",EDATE($D102,Milestones!$AA$32)&gt;=$R102),$U102,$T102)))=Milestones!$AB$32),TEXT(EDATE($D102,Milestones!$AA$32),"dd/mm/yy")&amp;" "&amp;Milestones!$AB$32&amp;" "&amp;Milestones!$AC$32&amp;";  ","")&amp;IF(AND(EDATE($D102,Milestones!$AA$33)&lt;=AsOfDate,IF($Q102=0,$W102,IF(AND($S102&lt;&gt;"",EDATE($D102,Milestones!$AA$33)&gt;=$S102),$V102,IF(AND($R102&lt;&gt;"",EDATE($D102,Milestones!$AA$33)&gt;=$R102),$U102,$T102)))=Milestones!$AB$33),TEXT(EDATE($D102,Milestones!$AA$33),"dd/mm/yy")&amp;" "&amp;Milestones!$AB$33&amp;" "&amp;Milestones!$AC$33&amp;";  ","")&amp;IF(AND(EDATE($D102,Milestones!$AA$34)&lt;=AsOfDate,IF($Q102=0,$W102,IF(AND($S102&lt;&gt;"",EDATE($D102,Milestones!$AA$34)&gt;=$S102),$V102,IF(AND($R102&lt;&gt;"",EDATE($D102,Milestones!$AA$34)&gt;=$R102),$U102,$T102)))=Milestones!$AB$34),TEXT(EDATE($D102,Milestones!$AA$34),"dd/mm/yy")&amp;" "&amp;Milestones!$AB$34&amp;" "&amp;Milestones!$AC$34&amp;";  ","")&amp;IF(AND(EDATE($D102,Milestones!$AA$35)&lt;=AsOfDate,IF($Q102=0,$W102,IF(AND($S102&lt;&gt;"",EDATE($D102,Milestones!$AA$35)&gt;=$S102),$V102,IF(AND($R102&lt;&gt;"",EDATE($D102,Milestones!$AA$35)&gt;=$R102),$U102,$T102)))=Milestones!$AB$35),TEXT(EDATE($D102,Milestones!$AA$35),"dd/mm/yy")&amp;" "&amp;Milestones!$AB$35&amp;" "&amp;Milestones!$AC$35&amp;";  ","")&amp;IF(AND(EDATE($D102,Milestones!$AA$36)&lt;=AsOfDate,IF($Q102=0,$W102,IF(AND($S102&lt;&gt;"",EDATE($D102,Milestones!$AA$36)&gt;=$S102),$V102,IF(AND($R102&lt;&gt;"",EDATE($D102,Milestones!$AA$36)&gt;=$R102),$U102,$T102)))=Milestones!$AB$36),TEXT(EDATE($D102,Milestones!$AA$36),"dd/mm/yy")&amp;" "&amp;Milestones!$AB$36&amp;" "&amp;Milestones!$AC$36&amp;";  ","")&amp;IF(AND(EDATE($D102,Milestones!$AA$37)&lt;=AsOfDate,IF($Q102=0,$W102,IF(AND($S102&lt;&gt;"",EDATE($D102,Milestones!$AA$37)&gt;=$S102),$V102,IF(AND($R102&lt;&gt;"",EDATE($D102,Milestones!$AA$37)&gt;=$R102),$U102,$T102)))=Milestones!$AB$37),TEXT(EDATE($D102,Milestones!$AA$37),"dd/mm/yy")&amp;" "&amp;Milestones!$AB$37&amp;" "&amp;Milestones!$AC$37&amp;";  ","")&amp;IF(AND(EDATE($D102,Milestones!$AA$38)&lt;=AsOfDate,IF($Q102=0,$W102,IF(AND($S102&lt;&gt;"",EDATE($D102,Milestones!$AA$38)&gt;=$S102),$V102,IF(AND($R102&lt;&gt;"",EDATE($D102,Milestones!$AA$38)&gt;=$R102),$U102,$T102)))=Milestones!$AB$38),TEXT(EDATE($D102,Milestones!$AA$38),"dd/mm/yy")&amp;" "&amp;Milestones!$AB$38&amp;" "&amp;Milestones!$AC$38&amp;";  ","")&amp;IF(AND(EDATE($D102,Milestones!$AA$39)&lt;=AsOfDate,IF($Q102=0,$W102,IF(AND($S102&lt;&gt;"",EDATE($D102,Milestones!$AA$39)&gt;=$S102),$V102,IF(AND($R102&lt;&gt;"",EDATE($D102,Milestones!$AA$39)&gt;=$R102),$U102,$T102)))=Milestones!$AB$39),TEXT(EDATE($D102,Milestones!$AA$39),"dd/mm/yy")&amp;" "&amp;Milestones!$AB$39&amp;" "&amp;Milestones!$AC$39&amp;";  ",""))</f>
        <v/>
      </c>
      <c r="I102" s="0" t="str">
        <f aca="false">IF(OR($A102="",$D102=""),"",IF(AND(EDATE($D102,Milestones!$AA$40)&lt;=AsOfDate,IF($Q102=0,$W102,IF(AND($S102&lt;&gt;"",EDATE($D102,Milestones!$AA$40)&gt;=$S102),$V102,IF(AND($R102&lt;&gt;"",EDATE($D102,Milestones!$AA$40)&gt;=$R102),$U102,$T102)))=Milestones!$AB$40),TEXT(EDATE($D102,Milestones!$AA$40),"dd/mm/yy")&amp;" "&amp;Milestones!$AB$40&amp;" "&amp;Milestones!$AC$40&amp;";  ","")&amp;IF(AND(EDATE($D102,Milestones!$AA$41)&lt;=AsOfDate,IF($Q102=0,$W102,IF(AND($S102&lt;&gt;"",EDATE($D102,Milestones!$AA$41)&gt;=$S102),$V102,IF(AND($R102&lt;&gt;"",EDATE($D102,Milestones!$AA$41)&gt;=$R102),$U102,$T102)))=Milestones!$AB$41),TEXT(EDATE($D102,Milestones!$AA$41),"dd/mm/yy")&amp;" "&amp;Milestones!$AB$41&amp;" "&amp;Milestones!$AC$41&amp;";  ","")&amp;IF(AND(EDATE($D102,Milestones!$AA$42)&lt;=AsOfDate,IF($Q102=0,$W102,IF(AND($S102&lt;&gt;"",EDATE($D102,Milestones!$AA$42)&gt;=$S102),$V102,IF(AND($R102&lt;&gt;"",EDATE($D102,Milestones!$AA$42)&gt;=$R102),$U102,$T102)))=Milestones!$AB$42),TEXT(EDATE($D102,Milestones!$AA$42),"dd/mm/yy")&amp;" "&amp;Milestones!$AB$42&amp;" "&amp;Milestones!$AC$42&amp;";  ","")&amp;IF(AND(EDATE($D102,Milestones!$AA$43)&lt;=AsOfDate,IF($Q102=0,$W102,IF(AND($S102&lt;&gt;"",EDATE($D102,Milestones!$AA$43)&gt;=$S102),$V102,IF(AND($R102&lt;&gt;"",EDATE($D102,Milestones!$AA$43)&gt;=$R102),$U102,$T102)))=Milestones!$AB$43),TEXT(EDATE($D102,Milestones!$AA$43),"dd/mm/yy")&amp;" "&amp;Milestones!$AB$43&amp;" "&amp;Milestones!$AC$43&amp;";  ","")&amp;IF(AND(EDATE($D102,Milestones!$AA$44)&lt;=AsOfDate,IF($Q102=0,$W102,IF(AND($S102&lt;&gt;"",EDATE($D102,Milestones!$AA$44)&gt;=$S102),$V102,IF(AND($R102&lt;&gt;"",EDATE($D102,Milestones!$AA$44)&gt;=$R102),$U102,$T102)))=Milestones!$AB$44),TEXT(EDATE($D102,Milestones!$AA$44),"dd/mm/yy")&amp;" "&amp;Milestones!$AB$44&amp;" "&amp;Milestones!$AC$44&amp;";  ","")&amp;IF(AND(EDATE($D102,Milestones!$AA$45)&lt;=AsOfDate,IF($Q102=0,$W102,IF(AND($S102&lt;&gt;"",EDATE($D102,Milestones!$AA$45)&gt;=$S102),$V102,IF(AND($R102&lt;&gt;"",EDATE($D102,Milestones!$AA$45)&gt;=$R102),$U102,$T102)))=Milestones!$AB$45),TEXT(EDATE($D102,Milestones!$AA$45),"dd/mm/yy")&amp;" "&amp;Milestones!$AB$45&amp;" "&amp;Milestones!$AC$45&amp;";  ","")&amp;IF(AND(EDATE($D102,Milestones!$AA$46)&lt;=AsOfDate,IF($Q102=0,$W102,IF(AND($S102&lt;&gt;"",EDATE($D102,Milestones!$AA$46)&gt;=$S102),$V102,IF(AND($R102&lt;&gt;"",EDATE($D102,Milestones!$AA$46)&gt;=$R102),$U102,$T102)))=Milestones!$AB$46),TEXT(EDATE($D102,Milestones!$AA$46),"dd/mm/yy")&amp;" "&amp;Milestones!$AB$46&amp;" "&amp;Milestones!$AC$46&amp;";  ","")&amp;IF(AND(EDATE($D102,Milestones!$AA$47)&lt;=AsOfDate,IF($Q102=0,$W102,IF(AND($S102&lt;&gt;"",EDATE($D102,Milestones!$AA$47)&gt;=$S102),$V102,IF(AND($R102&lt;&gt;"",EDATE($D102,Milestones!$AA$47)&gt;=$R102),$U102,$T102)))=Milestones!$AB$47),TEXT(EDATE($D102,Milestones!$AA$47),"dd/mm/yy")&amp;" "&amp;Milestones!$AB$47&amp;" "&amp;Milestones!$AC$47&amp;";  ","")&amp;IF(AND(EDATE($D102,Milestones!$AA$48)&lt;=AsOfDate,IF($Q102=0,$W102,IF(AND($S102&lt;&gt;"",EDATE($D102,Milestones!$AA$48)&gt;=$S102),$V102,IF(AND($R102&lt;&gt;"",EDATE($D102,Milestones!$AA$48)&gt;=$R102),$U102,$T102)))=Milestones!$AB$48),TEXT(EDATE($D102,Milestones!$AA$48),"dd/mm/yy")&amp;" "&amp;Milestones!$AB$48&amp;" "&amp;Milestones!$AC$48&amp;";  ","")&amp;IF(AND(EDATE($D102,Milestones!$AA$49)&lt;=AsOfDate,IF($Q102=0,$W102,IF(AND($S102&lt;&gt;"",EDATE($D102,Milestones!$AA$49)&gt;=$S102),$V102,IF(AND($R102&lt;&gt;"",EDATE($D102,Milestones!$AA$49)&gt;=$R102),$U102,$T102)))=Milestones!$AB$49),TEXT(EDATE($D102,Milestones!$AA$49),"dd/mm/yy")&amp;" "&amp;Milestones!$AB$49&amp;" "&amp;Milestones!$AC$49&amp;";  ","")&amp;IF(AND(EDATE($D102,Milestones!$AA$50)&lt;=AsOfDate,IF($Q102=0,$W102,IF(AND($S102&lt;&gt;"",EDATE($D102,Milestones!$AA$50)&gt;=$S102),$V102,IF(AND($R102&lt;&gt;"",EDATE($D102,Milestones!$AA$50)&gt;=$R102),$U102,$T102)))=Milestones!$AB$50),TEXT(EDATE($D102,Milestones!$AA$50),"dd/mm/yy")&amp;" "&amp;Milestones!$AB$50&amp;" "&amp;Milestones!$AC$50&amp;";  ","")&amp;IF(AND(EDATE($D102,Milestones!$AA$51)&lt;=AsOfDate,IF($Q102=0,$W102,IF(AND($S102&lt;&gt;"",EDATE($D102,Milestones!$AA$51)&gt;=$S102),$V102,IF(AND($R102&lt;&gt;"",EDATE($D102,Milestones!$AA$51)&gt;=$R102),$U102,$T102)))=Milestones!$AB$51),TEXT(EDATE($D102,Milestones!$AA$51),"dd/mm/yy")&amp;" "&amp;Milestones!$AB$51&amp;" "&amp;Milestones!$AC$51&amp;";  ","")&amp;IF(AND(EDATE($D102,Milestones!$AA$52)&lt;=AsOfDate,IF($Q102=0,$W102,IF(AND($S102&lt;&gt;"",EDATE($D102,Milestones!$AA$52)&gt;=$S102),$V102,IF(AND($R102&lt;&gt;"",EDATE($D102,Milestones!$AA$52)&gt;=$R102),$U102,$T102)))=Milestones!$AB$52),TEXT(EDATE($D102,Milestones!$AA$52),"dd/mm/yy")&amp;" "&amp;Milestones!$AB$52&amp;" "&amp;Milestones!$AC$52&amp;";  ","")&amp;IF(AND(EDATE($D102,Milestones!$AA$53)&lt;=AsOfDate,IF($Q102=0,$W102,IF(AND($S102&lt;&gt;"",EDATE($D102,Milestones!$AA$53)&gt;=$S102),$V102,IF(AND($R102&lt;&gt;"",EDATE($D102,Milestones!$AA$53)&gt;=$R102),$U102,$T102)))=Milestones!$AB$53),TEXT(EDATE($D102,Milestones!$AA$53),"dd/mm/yy")&amp;" "&amp;Milestones!$AB$53&amp;" "&amp;Milestones!$AC$53&amp;";  ","")&amp;IF(AND(EDATE($D102,Milestones!$AA$54)&lt;=AsOfDate,IF($Q102=0,$W102,IF(AND($S102&lt;&gt;"",EDATE($D102,Milestones!$AA$54)&gt;=$S102),$V102,IF(AND($R102&lt;&gt;"",EDATE($D102,Milestones!$AA$54)&gt;=$R102),$U102,$T102)))=Milestones!$AB$54),TEXT(EDATE($D102,Milestones!$AA$54),"dd/mm/yy")&amp;" "&amp;Milestones!$AB$54&amp;" "&amp;Milestones!$AC$54&amp;";  ","")&amp;IF(AND(EDATE($D102,Milestones!$AA$55)&lt;=AsOfDate,IF($Q102=0,$W102,IF(AND($S102&lt;&gt;"",EDATE($D102,Milestones!$AA$55)&gt;=$S102),$V102,IF(AND($R102&lt;&gt;"",EDATE($D102,Milestones!$AA$55)&gt;=$R102),$U102,$T102)))=Milestones!$AB$55),TEXT(EDATE($D102,Milestones!$AA$55),"dd/mm/yy")&amp;" "&amp;Milestones!$AB$55&amp;" "&amp;Milestones!$AC$55&amp;";  ","")&amp;IF(AND(EDATE($D102,Milestones!$AA$56)&lt;=AsOfDate,IF($Q102=0,$W102,IF(AND($S102&lt;&gt;"",EDATE($D102,Milestones!$AA$56)&gt;=$S102),$V102,IF(AND($R102&lt;&gt;"",EDATE($D102,Milestones!$AA$56)&gt;=$R102),$U102,$T102)))=Milestones!$AB$56),TEXT(EDATE($D102,Milestones!$AA$56),"dd/mm/yy")&amp;" "&amp;Milestones!$AB$56&amp;" "&amp;Milestones!$AC$56&amp;";  ","")&amp;IF(AND(EDATE($D102,Milestones!$AA$57)&lt;=AsOfDate,IF($Q102=0,$W102,IF(AND($S102&lt;&gt;"",EDATE($D102,Milestones!$AA$57)&gt;=$S102),$V102,IF(AND($R102&lt;&gt;"",EDATE($D102,Milestones!$AA$57)&gt;=$R102),$U102,$T102)))=Milestones!$AB$57),TEXT(EDATE($D102,Milestones!$AA$57),"dd/mm/yy")&amp;" "&amp;Milestones!$AB$57&amp;" "&amp;Milestones!$AC$57&amp;";  ","")&amp;IF(AND(EDATE($D102,Milestones!$AA$58)&lt;=AsOfDate,IF($Q102=0,$W102,IF(AND($S102&lt;&gt;"",EDATE($D102,Milestones!$AA$58)&gt;=$S102),$V102,IF(AND($R102&lt;&gt;"",EDATE($D102,Milestones!$AA$58)&gt;=$R102),$U102,$T102)))=Milestones!$AB$58),TEXT(EDATE($D102,Milestones!$AA$58),"dd/mm/yy")&amp;" "&amp;Milestones!$AB$58&amp;" "&amp;Milestones!$AC$58&amp;";  ","")&amp;IF(AND(EDATE($D102,Milestones!$AA$59)&lt;=AsOfDate,IF($Q102=0,$W102,IF(AND($S102&lt;&gt;"",EDATE($D102,Milestones!$AA$59)&gt;=$S102),$V102,IF(AND($R102&lt;&gt;"",EDATE($D102,Milestones!$AA$59)&gt;=$R102),$U102,$T102)))=Milestones!$AB$59),TEXT(EDATE($D102,Milestones!$AA$59),"dd/mm/yy")&amp;" "&amp;Milestones!$AB$59&amp;" "&amp;Milestones!$AC$59&amp;";  ",""))</f>
        <v/>
      </c>
      <c r="J102" s="0" t="str">
        <f aca="false">IF(OR($A102="",$D102=""),"",IF(AND(EDATE($D102,Milestones!$AA$60)&lt;=AsOfDate,IF($Q102=0,$W102,IF(AND($S102&lt;&gt;"",EDATE($D102,Milestones!$AA$60)&gt;=$S102),$V102,IF(AND($R102&lt;&gt;"",EDATE($D102,Milestones!$AA$60)&gt;=$R102),$U102,$T102)))=Milestones!$AB$60),TEXT(EDATE($D102,Milestones!$AA$60),"dd/mm/yy")&amp;" "&amp;Milestones!$AB$60&amp;" "&amp;Milestones!$AC$60&amp;";  ","")&amp;IF(AND(EDATE($D102,Milestones!$AA$61)&lt;=AsOfDate,IF($Q102=0,$W102,IF(AND($S102&lt;&gt;"",EDATE($D102,Milestones!$AA$61)&gt;=$S102),$V102,IF(AND($R102&lt;&gt;"",EDATE($D102,Milestones!$AA$61)&gt;=$R102),$U102,$T102)))=Milestones!$AB$61),TEXT(EDATE($D102,Milestones!$AA$61),"dd/mm/yy")&amp;" "&amp;Milestones!$AB$61&amp;" "&amp;Milestones!$AC$61&amp;";  ","")&amp;IF(AND(EDATE($D102,Milestones!$AA$62)&lt;=AsOfDate,IF($Q102=0,$W102,IF(AND($S102&lt;&gt;"",EDATE($D102,Milestones!$AA$62)&gt;=$S102),$V102,IF(AND($R102&lt;&gt;"",EDATE($D102,Milestones!$AA$62)&gt;=$R102),$U102,$T102)))=Milestones!$AB$62),TEXT(EDATE($D102,Milestones!$AA$62),"dd/mm/yy")&amp;" "&amp;Milestones!$AB$62&amp;" "&amp;Milestones!$AC$62&amp;";  ","")&amp;IF(AND(EDATE($D102,Milestones!$AA$63)&lt;=AsOfDate,IF($Q102=0,$W102,IF(AND($S102&lt;&gt;"",EDATE($D102,Milestones!$AA$63)&gt;=$S102),$V102,IF(AND($R102&lt;&gt;"",EDATE($D102,Milestones!$AA$63)&gt;=$R102),$U102,$T102)))=Milestones!$AB$63),TEXT(EDATE($D102,Milestones!$AA$63),"dd/mm/yy")&amp;" "&amp;Milestones!$AB$63&amp;" "&amp;Milestones!$AC$63&amp;";  ","")&amp;IF(AND(EDATE($D102,Milestones!$AA$64)&lt;=AsOfDate,IF($Q102=0,$W102,IF(AND($S102&lt;&gt;"",EDATE($D102,Milestones!$AA$64)&gt;=$S102),$V102,IF(AND($R102&lt;&gt;"",EDATE($D102,Milestones!$AA$64)&gt;=$R102),$U102,$T102)))=Milestones!$AB$64),TEXT(EDATE($D102,Milestones!$AA$64),"dd/mm/yy")&amp;" "&amp;Milestones!$AB$64&amp;" "&amp;Milestones!$AC$64&amp;";  ","")&amp;IF(AND(EDATE($D102,Milestones!$AA$65)&lt;=AsOfDate,IF($Q102=0,$W102,IF(AND($S102&lt;&gt;"",EDATE($D102,Milestones!$AA$65)&gt;=$S102),$V102,IF(AND($R102&lt;&gt;"",EDATE($D102,Milestones!$AA$65)&gt;=$R102),$U102,$T102)))=Milestones!$AB$65),TEXT(EDATE($D102,Milestones!$AA$65),"dd/mm/yy")&amp;" "&amp;Milestones!$AB$65&amp;" "&amp;Milestones!$AC$65&amp;";  ","")&amp;IF(AND(EDATE($D102,Milestones!$AA$66)&lt;=AsOfDate,IF($Q102=0,$W102,IF(AND($S102&lt;&gt;"",EDATE($D102,Milestones!$AA$66)&gt;=$S102),$V102,IF(AND($R102&lt;&gt;"",EDATE($D102,Milestones!$AA$66)&gt;=$R102),$U102,$T102)))=Milestones!$AB$66),TEXT(EDATE($D102,Milestones!$AA$66),"dd/mm/yy")&amp;" "&amp;Milestones!$AB$66&amp;" "&amp;Milestones!$AC$66&amp;";  ","")&amp;IF(AND(EDATE($D102,Milestones!$AA$67)&lt;=AsOfDate,IF($Q102=0,$W102,IF(AND($S102&lt;&gt;"",EDATE($D102,Milestones!$AA$67)&gt;=$S102),$V102,IF(AND($R102&lt;&gt;"",EDATE($D102,Milestones!$AA$67)&gt;=$R102),$U102,$T102)))=Milestones!$AB$67),TEXT(EDATE($D102,Milestones!$AA$67),"dd/mm/yy")&amp;" "&amp;Milestones!$AB$67&amp;" "&amp;Milestones!$AC$67&amp;";  ","")&amp;IF(AND(EDATE($D102,Milestones!$AA$68)&lt;=AsOfDate,IF($Q102=0,$W102,IF(AND($S102&lt;&gt;"",EDATE($D102,Milestones!$AA$68)&gt;=$S102),$V102,IF(AND($R102&lt;&gt;"",EDATE($D102,Milestones!$AA$68)&gt;=$R102),$U102,$T102)))=Milestones!$AB$68),TEXT(EDATE($D102,Milestones!$AA$68),"dd/mm/yy")&amp;" "&amp;Milestones!$AB$68&amp;" "&amp;Milestones!$AC$68&amp;";  ","")&amp;IF(AND(EDATE($D102,Milestones!$AA$69)&lt;=AsOfDate,IF($Q102=0,$W102,IF(AND($S102&lt;&gt;"",EDATE($D102,Milestones!$AA$69)&gt;=$S102),$V102,IF(AND($R102&lt;&gt;"",EDATE($D102,Milestones!$AA$69)&gt;=$R102),$U102,$T102)))=Milestones!$AB$69),TEXT(EDATE($D102,Milestones!$AA$69),"dd/mm/yy")&amp;" "&amp;Milestones!$AB$69&amp;" "&amp;Milestones!$AC$69&amp;";  ","")&amp;IF(AND(EDATE($D102,Milestones!$AA$70)&lt;=AsOfDate,IF($Q102=0,$W102,IF(AND($S102&lt;&gt;"",EDATE($D102,Milestones!$AA$70)&gt;=$S102),$V102,IF(AND($R102&lt;&gt;"",EDATE($D102,Milestones!$AA$70)&gt;=$R102),$U102,$T102)))=Milestones!$AB$70),TEXT(EDATE($D102,Milestones!$AA$70),"dd/mm/yy")&amp;" "&amp;Milestones!$AB$70&amp;" "&amp;Milestones!$AC$70&amp;";  ","")&amp;IF(AND(EDATE($D102,Milestones!$AA$71)&lt;=AsOfDate,IF($Q102=0,$W102,IF(AND($S102&lt;&gt;"",EDATE($D102,Milestones!$AA$71)&gt;=$S102),$V102,IF(AND($R102&lt;&gt;"",EDATE($D102,Milestones!$AA$71)&gt;=$R102),$U102,$T102)))=Milestones!$AB$71),TEXT(EDATE($D102,Milestones!$AA$71),"dd/mm/yy")&amp;" "&amp;Milestones!$AB$71&amp;" "&amp;Milestones!$AC$71&amp;";  ","")&amp;IF(AND(EDATE($D102,Milestones!$AA$72)&lt;=AsOfDate,IF($Q102=0,$W102,IF(AND($S102&lt;&gt;"",EDATE($D102,Milestones!$AA$72)&gt;=$S102),$V102,IF(AND($R102&lt;&gt;"",EDATE($D102,Milestones!$AA$72)&gt;=$R102),$U102,$T102)))=Milestones!$AB$72),TEXT(EDATE($D102,Milestones!$AA$72),"dd/mm/yy")&amp;" "&amp;Milestones!$AB$72&amp;" "&amp;Milestones!$AC$72&amp;";  ","")&amp;IF(AND(EDATE($D102,Milestones!$AA$73)&lt;=AsOfDate,IF($Q102=0,$W102,IF(AND($S102&lt;&gt;"",EDATE($D102,Milestones!$AA$73)&gt;=$S102),$V102,IF(AND($R102&lt;&gt;"",EDATE($D102,Milestones!$AA$73)&gt;=$R102),$U102,$T102)))=Milestones!$AB$73),TEXT(EDATE($D102,Milestones!$AA$73),"dd/mm/yy")&amp;" "&amp;Milestones!$AB$73&amp;" "&amp;Milestones!$AC$73&amp;";  ","")&amp;IF(AND(EDATE($D102,Milestones!$AA$74)&lt;=AsOfDate,IF($Q102=0,$W102,IF(AND($S102&lt;&gt;"",EDATE($D102,Milestones!$AA$74)&gt;=$S102),$V102,IF(AND($R102&lt;&gt;"",EDATE($D102,Milestones!$AA$74)&gt;=$R102),$U102,$T102)))=Milestones!$AB$74),TEXT(EDATE($D102,Milestones!$AA$74),"dd/mm/yy")&amp;" "&amp;Milestones!$AB$74&amp;" "&amp;Milestones!$AC$74&amp;";  ","")&amp;IF(AND(EDATE($D102,Milestones!$AA$75)&lt;=AsOfDate,IF($Q102=0,$W102,IF(AND($S102&lt;&gt;"",EDATE($D102,Milestones!$AA$75)&gt;=$S102),$V102,IF(AND($R102&lt;&gt;"",EDATE($D102,Milestones!$AA$75)&gt;=$R102),$U102,$T102)))=Milestones!$AB$75),TEXT(EDATE($D102,Milestones!$AA$75),"dd/mm/yy")&amp;" "&amp;Milestones!$AB$75&amp;" "&amp;Milestones!$AC$75&amp;";  ","")&amp;IF(AND(EDATE($D102,Milestones!$AA$76)&lt;=AsOfDate,IF($Q102=0,$W102,IF(AND($S102&lt;&gt;"",EDATE($D102,Milestones!$AA$76)&gt;=$S102),$V102,IF(AND($R102&lt;&gt;"",EDATE($D102,Milestones!$AA$76)&gt;=$R102),$U102,$T102)))=Milestones!$AB$76),TEXT(EDATE($D102,Milestones!$AA$76),"dd/mm/yy")&amp;" "&amp;Milestones!$AB$76&amp;" "&amp;Milestones!$AC$76&amp;";  ","")&amp;IF(AND(EDATE($D102,Milestones!$AA$77)&lt;=AsOfDate,IF($Q102=0,$W102,IF(AND($S102&lt;&gt;"",EDATE($D102,Milestones!$AA$77)&gt;=$S102),$V102,IF(AND($R102&lt;&gt;"",EDATE($D102,Milestones!$AA$77)&gt;=$R102),$U102,$T102)))=Milestones!$AB$77),TEXT(EDATE($D102,Milestones!$AA$77),"dd/mm/yy")&amp;" "&amp;Milestones!$AB$77&amp;" "&amp;Milestones!$AC$77&amp;";  ","")&amp;IF(AND(EDATE($D102,Milestones!$AA$78)&lt;=AsOfDate,IF($Q102=0,$W102,IF(AND($S102&lt;&gt;"",EDATE($D102,Milestones!$AA$78)&gt;=$S102),$V102,IF(AND($R102&lt;&gt;"",EDATE($D102,Milestones!$AA$78)&gt;=$R102),$U102,$T102)))=Milestones!$AB$78),TEXT(EDATE($D102,Milestones!$AA$78),"dd/mm/yy")&amp;" "&amp;Milestones!$AB$78&amp;" "&amp;Milestones!$AC$78&amp;";  ","")&amp;IF(AND(EDATE($D102,Milestones!$AA$79)&lt;=AsOfDate,IF($Q102=0,$W102,IF(AND($S102&lt;&gt;"",EDATE($D102,Milestones!$AA$79)&gt;=$S102),$V102,IF(AND($R102&lt;&gt;"",EDATE($D102,Milestones!$AA$79)&gt;=$R102),$U102,$T102)))=Milestones!$AB$79),TEXT(EDATE($D102,Milestones!$AA$79),"dd/mm/yy")&amp;" "&amp;Milestones!$AB$79&amp;" "&amp;Milestones!$AC$79&amp;";  ",""))</f>
        <v/>
      </c>
      <c r="K102" s="0" t="str">
        <f aca="false">IF(OR($A102="",$D102=""),"",IF(AND(EDATE($D102,Milestones!$AA$80)&lt;=AsOfDate,IF($Q102=0,$W102,IF(AND($S102&lt;&gt;"",EDATE($D102,Milestones!$AA$80)&gt;=$S102),$V102,IF(AND($R102&lt;&gt;"",EDATE($D102,Milestones!$AA$80)&gt;=$R102),$U102,$T102)))=Milestones!$AB$80),TEXT(EDATE($D102,Milestones!$AA$80),"dd/mm/yy")&amp;" "&amp;Milestones!$AB$80&amp;" "&amp;Milestones!$AC$80&amp;";  ","")&amp;IF(AND(EDATE($D102,Milestones!$AA$81)&lt;=AsOfDate,IF($Q102=0,$W102,IF(AND($S102&lt;&gt;"",EDATE($D102,Milestones!$AA$81)&gt;=$S102),$V102,IF(AND($R102&lt;&gt;"",EDATE($D102,Milestones!$AA$81)&gt;=$R102),$U102,$T102)))=Milestones!$AB$81),TEXT(EDATE($D102,Milestones!$AA$81),"dd/mm/yy")&amp;" "&amp;Milestones!$AB$81&amp;" "&amp;Milestones!$AC$81&amp;";  ","")&amp;IF(AND(EDATE($D102,Milestones!$AA$82)&lt;=AsOfDate,IF($Q102=0,$W102,IF(AND($S102&lt;&gt;"",EDATE($D102,Milestones!$AA$82)&gt;=$S102),$V102,IF(AND($R102&lt;&gt;"",EDATE($D102,Milestones!$AA$82)&gt;=$R102),$U102,$T102)))=Milestones!$AB$82),TEXT(EDATE($D102,Milestones!$AA$82),"dd/mm/yy")&amp;" "&amp;Milestones!$AB$82&amp;" "&amp;Milestones!$AC$82&amp;";  ","")&amp;IF(AND(EDATE($D102,Milestones!$AA$83)&lt;=AsOfDate,IF($Q102=0,$W102,IF(AND($S102&lt;&gt;"",EDATE($D102,Milestones!$AA$83)&gt;=$S102),$V102,IF(AND($R102&lt;&gt;"",EDATE($D102,Milestones!$AA$83)&gt;=$R102),$U102,$T102)))=Milestones!$AB$83),TEXT(EDATE($D102,Milestones!$AA$83),"dd/mm/yy")&amp;" "&amp;Milestones!$AB$83&amp;" "&amp;Milestones!$AC$83&amp;";  ","")&amp;IF(AND(EDATE($D102,Milestones!$AA$84)&lt;=AsOfDate,IF($Q102=0,$W102,IF(AND($S102&lt;&gt;"",EDATE($D102,Milestones!$AA$84)&gt;=$S102),$V102,IF(AND($R102&lt;&gt;"",EDATE($D102,Milestones!$AA$84)&gt;=$R102),$U102,$T102)))=Milestones!$AB$84),TEXT(EDATE($D102,Milestones!$AA$84),"dd/mm/yy")&amp;" "&amp;Milestones!$AB$84&amp;" "&amp;Milestones!$AC$84&amp;";  ","")&amp;IF(AND(EDATE($D102,Milestones!$AA$85)&lt;=AsOfDate,IF($Q102=0,$W102,IF(AND($S102&lt;&gt;"",EDATE($D102,Milestones!$AA$85)&gt;=$S102),$V102,IF(AND($R102&lt;&gt;"",EDATE($D102,Milestones!$AA$85)&gt;=$R102),$U102,$T102)))=Milestones!$AB$85),TEXT(EDATE($D102,Milestones!$AA$85),"dd/mm/yy")&amp;" "&amp;Milestones!$AB$85&amp;" "&amp;Milestones!$AC$85&amp;";  ","")&amp;IF(AND(EDATE($D102,Milestones!$AA$86)&lt;=AsOfDate,IF($Q102=0,$W102,IF(AND($S102&lt;&gt;"",EDATE($D102,Milestones!$AA$86)&gt;=$S102),$V102,IF(AND($R102&lt;&gt;"",EDATE($D102,Milestones!$AA$86)&gt;=$R102),$U102,$T102)))=Milestones!$AB$86),TEXT(EDATE($D102,Milestones!$AA$86),"dd/mm/yy")&amp;" "&amp;Milestones!$AB$86&amp;" "&amp;Milestones!$AC$86&amp;";  ","")&amp;IF(AND(EDATE($D102,Milestones!$AA$87)&lt;=AsOfDate,IF($Q102=0,$W102,IF(AND($S102&lt;&gt;"",EDATE($D102,Milestones!$AA$87)&gt;=$S102),$V102,IF(AND($R102&lt;&gt;"",EDATE($D102,Milestones!$AA$87)&gt;=$R102),$U102,$T102)))=Milestones!$AB$87),TEXT(EDATE($D102,Milestones!$AA$87),"dd/mm/yy")&amp;" "&amp;Milestones!$AB$87&amp;" "&amp;Milestones!$AC$87&amp;";  ","")&amp;IF(AND(EDATE($D102,Milestones!$AA$88)&lt;=AsOfDate,IF($Q102=0,$W102,IF(AND($S102&lt;&gt;"",EDATE($D102,Milestones!$AA$88)&gt;=$S102),$V102,IF(AND($R102&lt;&gt;"",EDATE($D102,Milestones!$AA$88)&gt;=$R102),$U102,$T102)))=Milestones!$AB$88),TEXT(EDATE($D102,Milestones!$AA$88),"dd/mm/yy")&amp;" "&amp;Milestones!$AB$88&amp;" "&amp;Milestones!$AC$88&amp;";  ","")&amp;IF(AND(EDATE($D102,Milestones!$AA$89)&lt;=AsOfDate,IF($Q102=0,$W102,IF(AND($S102&lt;&gt;"",EDATE($D102,Milestones!$AA$89)&gt;=$S102),$V102,IF(AND($R102&lt;&gt;"",EDATE($D102,Milestones!$AA$89)&gt;=$R102),$U102,$T102)))=Milestones!$AB$89),TEXT(EDATE($D102,Milestones!$AA$89),"dd/mm/yy")&amp;" "&amp;Milestones!$AB$89&amp;" "&amp;Milestones!$AC$89&amp;";  ","")&amp;IF(AND(EDATE($D102,Milestones!$AA$90)&lt;=AsOfDate,IF($Q102=0,$W102,IF(AND($S102&lt;&gt;"",EDATE($D102,Milestones!$AA$90)&gt;=$S102),$V102,IF(AND($R102&lt;&gt;"",EDATE($D102,Milestones!$AA$90)&gt;=$R102),$U102,$T102)))=Milestones!$AB$90),TEXT(EDATE($D102,Milestones!$AA$90),"dd/mm/yy")&amp;" "&amp;Milestones!$AB$90&amp;" "&amp;Milestones!$AC$90&amp;";  ","")&amp;IF(AND(EDATE($D102,Milestones!$AA$91)&lt;=AsOfDate,IF($Q102=0,$W102,IF(AND($S102&lt;&gt;"",EDATE($D102,Milestones!$AA$91)&gt;=$S102),$V102,IF(AND($R102&lt;&gt;"",EDATE($D102,Milestones!$AA$91)&gt;=$R102),$U102,$T102)))=Milestones!$AB$91),TEXT(EDATE($D102,Milestones!$AA$91),"dd/mm/yy")&amp;" "&amp;Milestones!$AB$91&amp;" "&amp;Milestones!$AC$91&amp;";  ","")&amp;IF(AND(EDATE($D102,Milestones!$AA$92)&lt;=AsOfDate,IF($Q102=0,$W102,IF(AND($S102&lt;&gt;"",EDATE($D102,Milestones!$AA$92)&gt;=$S102),$V102,IF(AND($R102&lt;&gt;"",EDATE($D102,Milestones!$AA$92)&gt;=$R102),$U102,$T102)))=Milestones!$AB$92),TEXT(EDATE($D102,Milestones!$AA$92),"dd/mm/yy")&amp;" "&amp;Milestones!$AB$92&amp;" "&amp;Milestones!$AC$92&amp;";  ","")&amp;IF(AND(EDATE($D102,Milestones!$AA$93)&lt;=AsOfDate,IF($Q102=0,$W102,IF(AND($S102&lt;&gt;"",EDATE($D102,Milestones!$AA$93)&gt;=$S102),$V102,IF(AND($R102&lt;&gt;"",EDATE($D102,Milestones!$AA$93)&gt;=$R102),$U102,$T102)))=Milestones!$AB$93),TEXT(EDATE($D102,Milestones!$AA$93),"dd/mm/yy")&amp;" "&amp;Milestones!$AB$93&amp;" "&amp;Milestones!$AC$93&amp;";  ","")&amp;IF(AND(EDATE($D102,Milestones!$AA$94)&lt;=AsOfDate,IF($Q102=0,$W102,IF(AND($S102&lt;&gt;"",EDATE($D102,Milestones!$AA$94)&gt;=$S102),$V102,IF(AND($R102&lt;&gt;"",EDATE($D102,Milestones!$AA$94)&gt;=$R102),$U102,$T102)))=Milestones!$AB$94),TEXT(EDATE($D102,Milestones!$AA$94),"dd/mm/yy")&amp;" "&amp;Milestones!$AB$94&amp;" "&amp;Milestones!$AC$94&amp;";  ","")&amp;IF(AND(EDATE($D102,Milestones!$AA$95)&lt;=AsOfDate,IF($Q102=0,$W102,IF(AND($S102&lt;&gt;"",EDATE($D102,Milestones!$AA$95)&gt;=$S102),$V102,IF(AND($R102&lt;&gt;"",EDATE($D102,Milestones!$AA$95)&gt;=$R102),$U102,$T102)))=Milestones!$AB$95),TEXT(EDATE($D102,Milestones!$AA$95),"dd/mm/yy")&amp;" "&amp;Milestones!$AB$95&amp;" "&amp;Milestones!$AC$95&amp;";  ","")&amp;IF(AND(EDATE($D102,Milestones!$AA$96)&lt;=AsOfDate,IF($Q102=0,$W102,IF(AND($S102&lt;&gt;"",EDATE($D102,Milestones!$AA$96)&gt;=$S102),$V102,IF(AND($R102&lt;&gt;"",EDATE($D102,Milestones!$AA$96)&gt;=$R102),$U102,$T102)))=Milestones!$AB$96),TEXT(EDATE($D102,Milestones!$AA$96),"dd/mm/yy")&amp;" "&amp;Milestones!$AB$96&amp;" "&amp;Milestones!$AC$96&amp;";  ","")&amp;IF(AND(EDATE($D102,Milestones!$AA$97)&lt;=AsOfDate,IF($Q102=0,$W102,IF(AND($S102&lt;&gt;"",EDATE($D102,Milestones!$AA$97)&gt;=$S102),$V102,IF(AND($R102&lt;&gt;"",EDATE($D102,Milestones!$AA$97)&gt;=$R102),$U102,$T102)))=Milestones!$AB$97),TEXT(EDATE($D102,Milestones!$AA$97),"dd/mm/yy")&amp;" "&amp;Milestones!$AB$97&amp;" "&amp;Milestones!$AC$97&amp;";  ","")&amp;IF(AND(EDATE($D102,Milestones!$AA$98)&lt;=AsOfDate,IF($Q102=0,$W102,IF(AND($S102&lt;&gt;"",EDATE($D102,Milestones!$AA$98)&gt;=$S102),$V102,IF(AND($R102&lt;&gt;"",EDATE($D102,Milestones!$AA$98)&gt;=$R102),$U102,$T102)))=Milestones!$AB$98),TEXT(EDATE($D102,Milestones!$AA$98),"dd/mm/yy")&amp;" "&amp;Milestones!$AB$98&amp;" "&amp;Milestones!$AC$98&amp;";  ","")&amp;IF(AND(EDATE($D102,Milestones!$AA$99)&lt;=AsOfDate,IF($Q102=0,$W102,IF(AND($S102&lt;&gt;"",EDATE($D102,Milestones!$AA$99)&gt;=$S102),$V102,IF(AND($R102&lt;&gt;"",EDATE($D102,Milestones!$AA$99)&gt;=$R102),$U102,$T102)))=Milestones!$AB$99),TEXT(EDATE($D102,Milestones!$AA$99),"dd/mm/yy")&amp;" "&amp;Milestones!$AB$99&amp;" "&amp;Milestones!$AC$99&amp;";  ",""))</f>
        <v/>
      </c>
      <c r="L102" s="0" t="str">
        <f aca="false">IF(OR($A102="",$D102=""),"",IF(AND(EDATE($D102,Milestones!$AA$100)&lt;=AsOfDate,IF($Q102=0,$W102,IF(AND($S102&lt;&gt;"",EDATE($D102,Milestones!$AA$100)&gt;=$S102),$V102,IF(AND($R102&lt;&gt;"",EDATE($D102,Milestones!$AA$100)&gt;=$R102),$U102,$T102)))=Milestones!$AB$100),TEXT(EDATE($D102,Milestones!$AA$100),"dd/mm/yy")&amp;" "&amp;Milestones!$AB$100&amp;" "&amp;Milestones!$AC$100&amp;";  ","")&amp;IF(AND(EDATE($D102,Milestones!$AA$101)&lt;=AsOfDate,IF($Q102=0,$W102,IF(AND($S102&lt;&gt;"",EDATE($D102,Milestones!$AA$101)&gt;=$S102),$V102,IF(AND($R102&lt;&gt;"",EDATE($D102,Milestones!$AA$101)&gt;=$R102),$U102,$T102)))=Milestones!$AB$101),TEXT(EDATE($D102,Milestones!$AA$101),"dd/mm/yy")&amp;" "&amp;Milestones!$AB$101&amp;" "&amp;Milestones!$AC$101&amp;";  ","")&amp;IF(AND(EDATE($D102,Milestones!$AA$102)&lt;=AsOfDate,IF($Q102=0,$W102,IF(AND($S102&lt;&gt;"",EDATE($D102,Milestones!$AA$102)&gt;=$S102),$V102,IF(AND($R102&lt;&gt;"",EDATE($D102,Milestones!$AA$102)&gt;=$R102),$U102,$T102)))=Milestones!$AB$102),TEXT(EDATE($D102,Milestones!$AA$102),"dd/mm/yy")&amp;" "&amp;Milestones!$AB$102&amp;" "&amp;Milestones!$AC$102&amp;";  ","")&amp;IF(AND(EDATE($D102,Milestones!$AA$103)&lt;=AsOfDate,IF($Q102=0,$W102,IF(AND($S102&lt;&gt;"",EDATE($D102,Milestones!$AA$103)&gt;=$S102),$V102,IF(AND($R102&lt;&gt;"",EDATE($D102,Milestones!$AA$103)&gt;=$R102),$U102,$T102)))=Milestones!$AB$103),TEXT(EDATE($D102,Milestones!$AA$103),"dd/mm/yy")&amp;" "&amp;Milestones!$AB$103&amp;" "&amp;Milestones!$AC$103&amp;";  ","")&amp;IF(AND(EDATE($D102,Milestones!$AA$104)&lt;=AsOfDate,IF($Q102=0,$W102,IF(AND($S102&lt;&gt;"",EDATE($D102,Milestones!$AA$104)&gt;=$S102),$V102,IF(AND($R102&lt;&gt;"",EDATE($D102,Milestones!$AA$104)&gt;=$R102),$U102,$T102)))=Milestones!$AB$104),TEXT(EDATE($D102,Milestones!$AA$104),"dd/mm/yy")&amp;" "&amp;Milestones!$AB$104&amp;" "&amp;Milestones!$AC$104&amp;";  ","")&amp;IF(AND(EDATE($D102,Milestones!$AA$105)&lt;=AsOfDate,IF($Q102=0,$W102,IF(AND($S102&lt;&gt;"",EDATE($D102,Milestones!$AA$105)&gt;=$S102),$V102,IF(AND($R102&lt;&gt;"",EDATE($D102,Milestones!$AA$105)&gt;=$R102),$U102,$T102)))=Milestones!$AB$105),TEXT(EDATE($D102,Milestones!$AA$105),"dd/mm/yy")&amp;" "&amp;Milestones!$AB$105&amp;" "&amp;Milestones!$AC$105&amp;";  ","")&amp;IF(AND(EDATE($D102,Milestones!$AA$106)&lt;=AsOfDate,IF($Q102=0,$W102,IF(AND($S102&lt;&gt;"",EDATE($D102,Milestones!$AA$106)&gt;=$S102),$V102,IF(AND($R102&lt;&gt;"",EDATE($D102,Milestones!$AA$106)&gt;=$R102),$U102,$T102)))=Milestones!$AB$106),TEXT(EDATE($D102,Milestones!$AA$106),"dd/mm/yy")&amp;" "&amp;Milestones!$AB$106&amp;" "&amp;Milestones!$AC$106&amp;";  ","")&amp;IF(AND(EDATE($D102,Milestones!$AA$107)&lt;=AsOfDate,IF($Q102=0,$W102,IF(AND($S102&lt;&gt;"",EDATE($D102,Milestones!$AA$107)&gt;=$S102),$V102,IF(AND($R102&lt;&gt;"",EDATE($D102,Milestones!$AA$107)&gt;=$R102),$U102,$T102)))=Milestones!$AB$107),TEXT(EDATE($D102,Milestones!$AA$107),"dd/mm/yy")&amp;" "&amp;Milestones!$AB$107&amp;" "&amp;Milestones!$AC$107&amp;";  ","")&amp;IF(AND(EDATE($D102,Milestones!$AA$108)&lt;=AsOfDate,IF($Q102=0,$W102,IF(AND($S102&lt;&gt;"",EDATE($D102,Milestones!$AA$108)&gt;=$S102),$V102,IF(AND($R102&lt;&gt;"",EDATE($D102,Milestones!$AA$108)&gt;=$R102),$U102,$T102)))=Milestones!$AB$108),TEXT(EDATE($D102,Milestones!$AA$108),"dd/mm/yy")&amp;" "&amp;Milestones!$AB$108&amp;" "&amp;Milestones!$AC$108&amp;";  ","")&amp;IF(AND(EDATE($D102,Milestones!$AA$109)&lt;=AsOfDate,IF($Q102=0,$W102,IF(AND($S102&lt;&gt;"",EDATE($D102,Milestones!$AA$109)&gt;=$S102),$V102,IF(AND($R102&lt;&gt;"",EDATE($D102,Milestones!$AA$109)&gt;=$R102),$U102,$T102)))=Milestones!$AB$109),TEXT(EDATE($D102,Milestones!$AA$109),"dd/mm/yy")&amp;" "&amp;Milestones!$AB$109&amp;" "&amp;Milestones!$AC$109&amp;";  ","")&amp;IF(AND(EDATE($D102,Milestones!$AA$110)&lt;=AsOfDate,IF($Q102=0,$W102,IF(AND($S102&lt;&gt;"",EDATE($D102,Milestones!$AA$110)&gt;=$S102),$V102,IF(AND($R102&lt;&gt;"",EDATE($D102,Milestones!$AA$110)&gt;=$R102),$U102,$T102)))=Milestones!$AB$110),TEXT(EDATE($D102,Milestones!$AA$110),"dd/mm/yy")&amp;" "&amp;Milestones!$AB$110&amp;" "&amp;Milestones!$AC$110&amp;";  ","")&amp;IF(AND(EDATE($D102,Milestones!$AA$111)&lt;=AsOfDate,IF($Q102=0,$W102,IF(AND($S102&lt;&gt;"",EDATE($D102,Milestones!$AA$111)&gt;=$S102),$V102,IF(AND($R102&lt;&gt;"",EDATE($D102,Milestones!$AA$111)&gt;=$R102),$U102,$T102)))=Milestones!$AB$111),TEXT(EDATE($D102,Milestones!$AA$111),"dd/mm/yy")&amp;" "&amp;Milestones!$AB$111&amp;" "&amp;Milestones!$AC$111&amp;";  ","")&amp;IF(AND(EDATE($D102,Milestones!$AA$112)&lt;=AsOfDate,IF($Q102=0,$W102,IF(AND($S102&lt;&gt;"",EDATE($D102,Milestones!$AA$112)&gt;=$S102),$V102,IF(AND($R102&lt;&gt;"",EDATE($D102,Milestones!$AA$112)&gt;=$R102),$U102,$T102)))=Milestones!$AB$112),TEXT(EDATE($D102,Milestones!$AA$112),"dd/mm/yy")&amp;" "&amp;Milestones!$AB$112&amp;" "&amp;Milestones!$AC$112&amp;";  ","")&amp;IF(AND(EDATE($D102,Milestones!$AA$113)&lt;=AsOfDate,IF($Q102=0,$W102,IF(AND($S102&lt;&gt;"",EDATE($D102,Milestones!$AA$113)&gt;=$S102),$V102,IF(AND($R102&lt;&gt;"",EDATE($D102,Milestones!$AA$113)&gt;=$R102),$U102,$T102)))=Milestones!$AB$113),TEXT(EDATE($D102,Milestones!$AA$113),"dd/mm/yy")&amp;" "&amp;Milestones!$AB$113&amp;" "&amp;Milestones!$AC$113&amp;";  ","")&amp;IF(AND(EDATE($D102,Milestones!$AA$114)&lt;=AsOfDate,IF($Q102=0,$W102,IF(AND($S102&lt;&gt;"",EDATE($D102,Milestones!$AA$114)&gt;=$S102),$V102,IF(AND($R102&lt;&gt;"",EDATE($D102,Milestones!$AA$114)&gt;=$R102),$U102,$T102)))=Milestones!$AB$114),TEXT(EDATE($D102,Milestones!$AA$114),"dd/mm/yy")&amp;" "&amp;Milestones!$AB$114&amp;" "&amp;Milestones!$AC$114&amp;";  ","")&amp;IF(AND(EDATE($D102,Milestones!$AA$115)&lt;=AsOfDate,IF($Q102=0,$W102,IF(AND($S102&lt;&gt;"",EDATE($D102,Milestones!$AA$115)&gt;=$S102),$V102,IF(AND($R102&lt;&gt;"",EDATE($D102,Milestones!$AA$115)&gt;=$R102),$U102,$T102)))=Milestones!$AB$115),TEXT(EDATE($D102,Milestones!$AA$115),"dd/mm/yy")&amp;" "&amp;Milestones!$AB$115&amp;" "&amp;Milestones!$AC$115&amp;";  ","")&amp;IF(AND(EDATE($D102,Milestones!$AA$116)&lt;=AsOfDate,IF($Q102=0,$W102,IF(AND($S102&lt;&gt;"",EDATE($D102,Milestones!$AA$116)&gt;=$S102),$V102,IF(AND($R102&lt;&gt;"",EDATE($D102,Milestones!$AA$116)&gt;=$R102),$U102,$T102)))=Milestones!$AB$116),TEXT(EDATE($D102,Milestones!$AA$116),"dd/mm/yy")&amp;" "&amp;Milestones!$AB$116&amp;" "&amp;Milestones!$AC$116&amp;";  ","")&amp;IF(AND(EDATE($D102,Milestones!$AA$117)&lt;=AsOfDate,IF($Q102=0,$W102,IF(AND($S102&lt;&gt;"",EDATE($D102,Milestones!$AA$117)&gt;=$S102),$V102,IF(AND($R102&lt;&gt;"",EDATE($D102,Milestones!$AA$117)&gt;=$R102),$U102,$T102)))=Milestones!$AB$117),TEXT(EDATE($D102,Milestones!$AA$117),"dd/mm/yy")&amp;" "&amp;Milestones!$AB$117&amp;" "&amp;Milestones!$AC$117&amp;";  ","")&amp;IF(AND(EDATE($D102,Milestones!$AA$118)&lt;=AsOfDate,IF($Q102=0,$W102,IF(AND($S102&lt;&gt;"",EDATE($D102,Milestones!$AA$118)&gt;=$S102),$V102,IF(AND($R102&lt;&gt;"",EDATE($D102,Milestones!$AA$118)&gt;=$R102),$U102,$T102)))=Milestones!$AB$118),TEXT(EDATE($D102,Milestones!$AA$118),"dd/mm/yy")&amp;" "&amp;Milestones!$AB$118&amp;" "&amp;Milestones!$AC$118&amp;";  ","")&amp;IF(AND(EDATE($D102,Milestones!$AA$119)&lt;=AsOfDate,IF($Q102=0,$W102,IF(AND($S102&lt;&gt;"",EDATE($D102,Milestones!$AA$119)&gt;=$S102),$V102,IF(AND($R102&lt;&gt;"",EDATE($D102,Milestones!$AA$119)&gt;=$R102),$U102,$T102)))=Milestones!$AB$119),TEXT(EDATE($D102,Milestones!$AA$119),"dd/mm/yy")&amp;" "&amp;Milestones!$AB$119&amp;" "&amp;Milestones!$AC$119&amp;";  ",""))</f>
        <v/>
      </c>
      <c r="M102" s="0" t="str">
        <f aca="false">IF(OR($A102="",$D102=""),"",IF(AND(EDATE($D102,Milestones!$AA$120)&lt;=AsOfDate,IF($Q102=0,$W102,IF(AND($S102&lt;&gt;"",EDATE($D102,Milestones!$AA$120)&gt;=$S102),$V102,IF(AND($R102&lt;&gt;"",EDATE($D102,Milestones!$AA$120)&gt;=$R102),$U102,$T102)))=Milestones!$AB$120),TEXT(EDATE($D102,Milestones!$AA$120),"dd/mm/yy")&amp;" "&amp;Milestones!$AB$120&amp;" "&amp;Milestones!$AC$120&amp;";  ","")&amp;IF(AND(EDATE($D102,Milestones!$AA$121)&lt;=AsOfDate,IF($Q102=0,$W102,IF(AND($S102&lt;&gt;"",EDATE($D102,Milestones!$AA$121)&gt;=$S102),$V102,IF(AND($R102&lt;&gt;"",EDATE($D102,Milestones!$AA$121)&gt;=$R102),$U102,$T102)))=Milestones!$AB$121),TEXT(EDATE($D102,Milestones!$AA$121),"dd/mm/yy")&amp;" "&amp;Milestones!$AB$121&amp;" "&amp;Milestones!$AC$121&amp;";  ","")&amp;IF(AND(EDATE($D102,Milestones!$AA$122)&lt;=AsOfDate,IF($Q102=0,$W102,IF(AND($S102&lt;&gt;"",EDATE($D102,Milestones!$AA$122)&gt;=$S102),$V102,IF(AND($R102&lt;&gt;"",EDATE($D102,Milestones!$AA$122)&gt;=$R102),$U102,$T102)))=Milestones!$AB$122),TEXT(EDATE($D102,Milestones!$AA$122),"dd/mm/yy")&amp;" "&amp;Milestones!$AB$122&amp;" "&amp;Milestones!$AC$122&amp;";  ","")&amp;IF(AND(EDATE($D102,Milestones!$AA$123)&lt;=AsOfDate,IF($Q102=0,$W102,IF(AND($S102&lt;&gt;"",EDATE($D102,Milestones!$AA$123)&gt;=$S102),$V102,IF(AND($R102&lt;&gt;"",EDATE($D102,Milestones!$AA$123)&gt;=$R102),$U102,$T102)))=Milestones!$AB$123),TEXT(EDATE($D102,Milestones!$AA$123),"dd/mm/yy")&amp;" "&amp;Milestones!$AB$123&amp;" "&amp;Milestones!$AC$123&amp;";  ","")&amp;IF(AND(EDATE($D102,Milestones!$AA$124)&lt;=AsOfDate,IF($Q102=0,$W102,IF(AND($S102&lt;&gt;"",EDATE($D102,Milestones!$AA$124)&gt;=$S102),$V102,IF(AND($R102&lt;&gt;"",EDATE($D102,Milestones!$AA$124)&gt;=$R102),$U102,$T102)))=Milestones!$AB$124),TEXT(EDATE($D102,Milestones!$AA$124),"dd/mm/yy")&amp;" "&amp;Milestones!$AB$124&amp;" "&amp;Milestones!$AC$124&amp;";  ","")&amp;IF(AND(EDATE($D102,Milestones!$AA$125)&lt;=AsOfDate,IF($Q102=0,$W102,IF(AND($S102&lt;&gt;"",EDATE($D102,Milestones!$AA$125)&gt;=$S102),$V102,IF(AND($R102&lt;&gt;"",EDATE($D102,Milestones!$AA$125)&gt;=$R102),$U102,$T102)))=Milestones!$AB$125),TEXT(EDATE($D102,Milestones!$AA$125),"dd/mm/yy")&amp;" "&amp;Milestones!$AB$125&amp;" "&amp;Milestones!$AC$125&amp;";  ","")&amp;IF(AND(EDATE($D102,Milestones!$AA$126)&lt;=AsOfDate,IF($Q102=0,$W102,IF(AND($S102&lt;&gt;"",EDATE($D102,Milestones!$AA$126)&gt;=$S102),$V102,IF(AND($R102&lt;&gt;"",EDATE($D102,Milestones!$AA$126)&gt;=$R102),$U102,$T102)))=Milestones!$AB$126),TEXT(EDATE($D102,Milestones!$AA$126),"dd/mm/yy")&amp;" "&amp;Milestones!$AB$126&amp;" "&amp;Milestones!$AC$126&amp;";  ","")&amp;IF(AND(EDATE($D102,Milestones!$AA$127)&lt;=AsOfDate,IF($Q102=0,$W102,IF(AND($S102&lt;&gt;"",EDATE($D102,Milestones!$AA$127)&gt;=$S102),$V102,IF(AND($R102&lt;&gt;"",EDATE($D102,Milestones!$AA$127)&gt;=$R102),$U102,$T102)))=Milestones!$AB$127),TEXT(EDATE($D102,Milestones!$AA$127),"dd/mm/yy")&amp;" "&amp;Milestones!$AB$127&amp;" "&amp;Milestones!$AC$127&amp;";  ","")&amp;IF(AND(EDATE($D102,Milestones!$AA$128)&lt;=AsOfDate,IF($Q102=0,$W102,IF(AND($S102&lt;&gt;"",EDATE($D102,Milestones!$AA$128)&gt;=$S102),$V102,IF(AND($R102&lt;&gt;"",EDATE($D102,Milestones!$AA$128)&gt;=$R102),$U102,$T102)))=Milestones!$AB$128),TEXT(EDATE($D102,Milestones!$AA$128),"dd/mm/yy")&amp;" "&amp;Milestones!$AB$128&amp;" "&amp;Milestones!$AC$128&amp;";  ","")&amp;IF(AND(EDATE($D102,Milestones!$AA$129)&lt;=AsOfDate,IF($Q102=0,$W102,IF(AND($S102&lt;&gt;"",EDATE($D102,Milestones!$AA$129)&gt;=$S102),$V102,IF(AND($R102&lt;&gt;"",EDATE($D102,Milestones!$AA$129)&gt;=$R102),$U102,$T102)))=Milestones!$AB$129),TEXT(EDATE($D102,Milestones!$AA$129),"dd/mm/yy")&amp;" "&amp;Milestones!$AB$129&amp;" "&amp;Milestones!$AC$129&amp;";  ","")&amp;IF(AND(EDATE($D102,Milestones!$AA$130)&lt;=AsOfDate,IF($Q102=0,$W102,IF(AND($S102&lt;&gt;"",EDATE($D102,Milestones!$AA$130)&gt;=$S102),$V102,IF(AND($R102&lt;&gt;"",EDATE($D102,Milestones!$AA$130)&gt;=$R102),$U102,$T102)))=Milestones!$AB$130),TEXT(EDATE($D102,Milestones!$AA$130),"dd/mm/yy")&amp;" "&amp;Milestones!$AB$130&amp;" "&amp;Milestones!$AC$130&amp;";  ","")&amp;IF(AND(EDATE($D102,Milestones!$AA$131)&lt;=AsOfDate,IF($Q102=0,$W102,IF(AND($S102&lt;&gt;"",EDATE($D102,Milestones!$AA$131)&gt;=$S102),$V102,IF(AND($R102&lt;&gt;"",EDATE($D102,Milestones!$AA$131)&gt;=$R102),$U102,$T102)))=Milestones!$AB$131),TEXT(EDATE($D102,Milestones!$AA$131),"dd/mm/yy")&amp;" "&amp;Milestones!$AB$131&amp;" "&amp;Milestones!$AC$131&amp;";  ","")&amp;IF(AND(EDATE($D102,Milestones!$AA$132)&lt;=AsOfDate,IF($Q102=0,$W102,IF(AND($S102&lt;&gt;"",EDATE($D102,Milestones!$AA$132)&gt;=$S102),$V102,IF(AND($R102&lt;&gt;"",EDATE($D102,Milestones!$AA$132)&gt;=$R102),$U102,$T102)))=Milestones!$AB$132),TEXT(EDATE($D102,Milestones!$AA$132),"dd/mm/yy")&amp;" "&amp;Milestones!$AB$132&amp;" "&amp;Milestones!$AC$132&amp;";  ","")&amp;IF(AND(EDATE($D102,Milestones!$AA$133)&lt;=AsOfDate,IF($Q102=0,$W102,IF(AND($S102&lt;&gt;"",EDATE($D102,Milestones!$AA$133)&gt;=$S102),$V102,IF(AND($R102&lt;&gt;"",EDATE($D102,Milestones!$AA$133)&gt;=$R102),$U102,$T102)))=Milestones!$AB$133),TEXT(EDATE($D102,Milestones!$AA$133),"dd/mm/yy")&amp;" "&amp;Milestones!$AB$133&amp;" "&amp;Milestones!$AC$133&amp;";  ","")&amp;IF(AND(EDATE($D102,Milestones!$AA$134)&lt;=AsOfDate,IF($Q102=0,$W102,IF(AND($S102&lt;&gt;"",EDATE($D102,Milestones!$AA$134)&gt;=$S102),$V102,IF(AND($R102&lt;&gt;"",EDATE($D102,Milestones!$AA$134)&gt;=$R102),$U102,$T102)))=Milestones!$AB$134),TEXT(EDATE($D102,Milestones!$AA$134),"dd/mm/yy")&amp;" "&amp;Milestones!$AB$134&amp;" "&amp;Milestones!$AC$134&amp;";  ","")&amp;IF(AND(EDATE($D102,Milestones!$AA$135)&lt;=AsOfDate,IF($Q102=0,$W102,IF(AND($S102&lt;&gt;"",EDATE($D102,Milestones!$AA$135)&gt;=$S102),$V102,IF(AND($R102&lt;&gt;"",EDATE($D102,Milestones!$AA$135)&gt;=$R102),$U102,$T102)))=Milestones!$AB$135),TEXT(EDATE($D102,Milestones!$AA$135),"dd/mm/yy")&amp;" "&amp;Milestones!$AB$135&amp;" "&amp;Milestones!$AC$135&amp;";  ","")&amp;IF(AND(EDATE($D102,Milestones!$AA$136)&lt;=AsOfDate,IF($Q102=0,$W102,IF(AND($S102&lt;&gt;"",EDATE($D102,Milestones!$AA$136)&gt;=$S102),$V102,IF(AND($R102&lt;&gt;"",EDATE($D102,Milestones!$AA$136)&gt;=$R102),$U102,$T102)))=Milestones!$AB$136),TEXT(EDATE($D102,Milestones!$AA$136),"dd/mm/yy")&amp;" "&amp;Milestones!$AB$136&amp;" "&amp;Milestones!$AC$136&amp;";  ","")&amp;IF(AND(EDATE($D102,Milestones!$AA$137)&lt;=AsOfDate,IF($Q102=0,$W102,IF(AND($S102&lt;&gt;"",EDATE($D102,Milestones!$AA$137)&gt;=$S102),$V102,IF(AND($R102&lt;&gt;"",EDATE($D102,Milestones!$AA$137)&gt;=$R102),$U102,$T102)))=Milestones!$AB$137),TEXT(EDATE($D102,Milestones!$AA$137),"dd/mm/yy")&amp;" "&amp;Milestones!$AB$137&amp;" "&amp;Milestones!$AC$137&amp;";  ","")&amp;IF(AND(EDATE($D102,Milestones!$AA$138)&lt;=AsOfDate,IF($Q102=0,$W102,IF(AND($S102&lt;&gt;"",EDATE($D102,Milestones!$AA$138)&gt;=$S102),$V102,IF(AND($R102&lt;&gt;"",EDATE($D102,Milestones!$AA$138)&gt;=$R102),$U102,$T102)))=Milestones!$AB$138),TEXT(EDATE($D102,Milestones!$AA$138),"dd/mm/yy")&amp;" "&amp;Milestones!$AB$138&amp;" "&amp;Milestones!$AC$138&amp;";  ","")&amp;IF(AND(EDATE($D102,Milestones!$AA$139)&lt;=AsOfDate,IF($Q102=0,$W102,IF(AND($S102&lt;&gt;"",EDATE($D102,Milestones!$AA$139)&gt;=$S102),$V102,IF(AND($R102&lt;&gt;"",EDATE($D102,Milestones!$AA$139)&gt;=$R102),$U102,$T102)))=Milestones!$AB$139),TEXT(EDATE($D102,Milestones!$AA$139),"dd/mm/yy")&amp;" "&amp;Milestones!$AB$139&amp;" "&amp;Milestones!$AC$139&amp;";  ",""))</f>
        <v/>
      </c>
      <c r="N102" s="0" t="str">
        <f aca="false">IF(OR($A102="",$D102=""),"",IF(AND(EDATE($D102,Milestones!$AA$140)&lt;=AsOfDate,IF($Q102=0,$W102,IF(AND($S102&lt;&gt;"",EDATE($D102,Milestones!$AA$140)&gt;=$S102),$V102,IF(AND($R102&lt;&gt;"",EDATE($D102,Milestones!$AA$140)&gt;=$R102),$U102,$T102)))=Milestones!$AB$140),TEXT(EDATE($D102,Milestones!$AA$140),"dd/mm/yy")&amp;" "&amp;Milestones!$AB$140&amp;" "&amp;Milestones!$AC$140&amp;";  ","")&amp;IF(AND(EDATE($D102,Milestones!$AA$141)&lt;=AsOfDate,IF($Q102=0,$W102,IF(AND($S102&lt;&gt;"",EDATE($D102,Milestones!$AA$141)&gt;=$S102),$V102,IF(AND($R102&lt;&gt;"",EDATE($D102,Milestones!$AA$141)&gt;=$R102),$U102,$T102)))=Milestones!$AB$141),TEXT(EDATE($D102,Milestones!$AA$141),"dd/mm/yy")&amp;" "&amp;Milestones!$AB$141&amp;" "&amp;Milestones!$AC$141&amp;";  ","")&amp;IF(AND(EDATE($D102,Milestones!$AA$142)&lt;=AsOfDate,IF($Q102=0,$W102,IF(AND($S102&lt;&gt;"",EDATE($D102,Milestones!$AA$142)&gt;=$S102),$V102,IF(AND($R102&lt;&gt;"",EDATE($D102,Milestones!$AA$142)&gt;=$R102),$U102,$T102)))=Milestones!$AB$142),TEXT(EDATE($D102,Milestones!$AA$142),"dd/mm/yy")&amp;" "&amp;Milestones!$AB$142&amp;" "&amp;Milestones!$AC$142&amp;";  ","")&amp;IF(AND(EDATE($D102,Milestones!$AA$143)&lt;=AsOfDate,IF($Q102=0,$W102,IF(AND($S102&lt;&gt;"",EDATE($D102,Milestones!$AA$143)&gt;=$S102),$V102,IF(AND($R102&lt;&gt;"",EDATE($D102,Milestones!$AA$143)&gt;=$R102),$U102,$T102)))=Milestones!$AB$143),TEXT(EDATE($D102,Milestones!$AA$143),"dd/mm/yy")&amp;" "&amp;Milestones!$AB$143&amp;" "&amp;Milestones!$AC$143&amp;";  ","")&amp;IF(AND(EDATE($D102,Milestones!$AA$144)&lt;=AsOfDate,IF($Q102=0,$W102,IF(AND($S102&lt;&gt;"",EDATE($D102,Milestones!$AA$144)&gt;=$S102),$V102,IF(AND($R102&lt;&gt;"",EDATE($D102,Milestones!$AA$144)&gt;=$R102),$U102,$T102)))=Milestones!$AB$144),TEXT(EDATE($D102,Milestones!$AA$144),"dd/mm/yy")&amp;" "&amp;Milestones!$AB$144&amp;" "&amp;Milestones!$AC$144&amp;";  ","")&amp;IF(AND(EDATE($D102,Milestones!$AA$145)&lt;=AsOfDate,IF($Q102=0,$W102,IF(AND($S102&lt;&gt;"",EDATE($D102,Milestones!$AA$145)&gt;=$S102),$V102,IF(AND($R102&lt;&gt;"",EDATE($D102,Milestones!$AA$145)&gt;=$R102),$U102,$T102)))=Milestones!$AB$145),TEXT(EDATE($D102,Milestones!$AA$145),"dd/mm/yy")&amp;" "&amp;Milestones!$AB$145&amp;" "&amp;Milestones!$AC$145&amp;";  ","")&amp;IF(AND(EDATE($D102,Milestones!$AA$146)&lt;=AsOfDate,IF($Q102=0,$W102,IF(AND($S102&lt;&gt;"",EDATE($D102,Milestones!$AA$146)&gt;=$S102),$V102,IF(AND($R102&lt;&gt;"",EDATE($D102,Milestones!$AA$146)&gt;=$R102),$U102,$T102)))=Milestones!$AB$146),TEXT(EDATE($D102,Milestones!$AA$146),"dd/mm/yy")&amp;" "&amp;Milestones!$AB$146&amp;" "&amp;Milestones!$AC$146&amp;";  ","")&amp;IF(AND(EDATE($D102,Milestones!$AA$147)&lt;=AsOfDate,IF($Q102=0,$W102,IF(AND($S102&lt;&gt;"",EDATE($D102,Milestones!$AA$147)&gt;=$S102),$V102,IF(AND($R102&lt;&gt;"",EDATE($D102,Milestones!$AA$147)&gt;=$R102),$U102,$T102)))=Milestones!$AB$147),TEXT(EDATE($D102,Milestones!$AA$147),"dd/mm/yy")&amp;" "&amp;Milestones!$AB$147&amp;" "&amp;Milestones!$AC$147&amp;";  ","")&amp;IF(AND(EDATE($D102,Milestones!$AA$148)&lt;=AsOfDate,IF($Q102=0,$W102,IF(AND($S102&lt;&gt;"",EDATE($D102,Milestones!$AA$148)&gt;=$S102),$V102,IF(AND($R102&lt;&gt;"",EDATE($D102,Milestones!$AA$148)&gt;=$R102),$U102,$T102)))=Milestones!$AB$148),TEXT(EDATE($D102,Milestones!$AA$148),"dd/mm/yy")&amp;" "&amp;Milestones!$AB$148&amp;" "&amp;Milestones!$AC$148&amp;";  ","")&amp;IF(AND(EDATE($D102,Milestones!$AA$149)&lt;=AsOfDate,IF($Q102=0,$W102,IF(AND($S102&lt;&gt;"",EDATE($D102,Milestones!$AA$149)&gt;=$S102),$V102,IF(AND($R102&lt;&gt;"",EDATE($D102,Milestones!$AA$149)&gt;=$R102),$U102,$T102)))=Milestones!$AB$149),TEXT(EDATE($D102,Milestones!$AA$149),"dd/mm/yy")&amp;" "&amp;Milestones!$AB$149&amp;" "&amp;Milestones!$AC$149&amp;";  ","")&amp;IF(AND(EDATE($D102,Milestones!$AA$150)&lt;=AsOfDate,IF($Q102=0,$W102,IF(AND($S102&lt;&gt;"",EDATE($D102,Milestones!$AA$150)&gt;=$S102),$V102,IF(AND($R102&lt;&gt;"",EDATE($D102,Milestones!$AA$150)&gt;=$R102),$U102,$T102)))=Milestones!$AB$150),TEXT(EDATE($D102,Milestones!$AA$150),"dd/mm/yy")&amp;" "&amp;Milestones!$AB$150&amp;" "&amp;Milestones!$AC$150&amp;";  ","")&amp;IF(AND(EDATE($D102,Milestones!$AA$151)&lt;=AsOfDate,IF($Q102=0,$W102,IF(AND($S102&lt;&gt;"",EDATE($D102,Milestones!$AA$151)&gt;=$S102),$V102,IF(AND($R102&lt;&gt;"",EDATE($D102,Milestones!$AA$151)&gt;=$R102),$U102,$T102)))=Milestones!$AB$151),TEXT(EDATE($D102,Milestones!$AA$151),"dd/mm/yy")&amp;" "&amp;Milestones!$AB$151&amp;" "&amp;Milestones!$AC$151&amp;";  ","")&amp;IF(AND(EDATE($D102,Milestones!$AA$152)&lt;=AsOfDate,IF($Q102=0,$W102,IF(AND($S102&lt;&gt;"",EDATE($D102,Milestones!$AA$152)&gt;=$S102),$V102,IF(AND($R102&lt;&gt;"",EDATE($D102,Milestones!$AA$152)&gt;=$R102),$U102,$T102)))=Milestones!$AB$152),TEXT(EDATE($D102,Milestones!$AA$152),"dd/mm/yy")&amp;" "&amp;Milestones!$AB$152&amp;" "&amp;Milestones!$AC$152&amp;";  ","")&amp;IF(AND(EDATE($D102,Milestones!$AA$153)&lt;=AsOfDate,IF($Q102=0,$W102,IF(AND($S102&lt;&gt;"",EDATE($D102,Milestones!$AA$153)&gt;=$S102),$V102,IF(AND($R102&lt;&gt;"",EDATE($D102,Milestones!$AA$153)&gt;=$R102),$U102,$T102)))=Milestones!$AB$153),TEXT(EDATE($D102,Milestones!$AA$153),"dd/mm/yy")&amp;" "&amp;Milestones!$AB$153&amp;" "&amp;Milestones!$AC$153&amp;";  ","")&amp;IF(AND(EDATE($D102,Milestones!$AA$154)&lt;=AsOfDate,IF($Q102=0,$W102,IF(AND($S102&lt;&gt;"",EDATE($D102,Milestones!$AA$154)&gt;=$S102),$V102,IF(AND($R102&lt;&gt;"",EDATE($D102,Milestones!$AA$154)&gt;=$R102),$U102,$T102)))=Milestones!$AB$154),TEXT(EDATE($D102,Milestones!$AA$154),"dd/mm/yy")&amp;" "&amp;Milestones!$AB$154&amp;" "&amp;Milestones!$AC$154&amp;";  ","")&amp;IF(AND(EDATE($D102,Milestones!$AA$155)&lt;=AsOfDate,IF($Q102=0,$W102,IF(AND($S102&lt;&gt;"",EDATE($D102,Milestones!$AA$155)&gt;=$S102),$V102,IF(AND($R102&lt;&gt;"",EDATE($D102,Milestones!$AA$155)&gt;=$R102),$U102,$T102)))=Milestones!$AB$155),TEXT(EDATE($D102,Milestones!$AA$155),"dd/mm/yy")&amp;" "&amp;Milestones!$AB$155&amp;" "&amp;Milestones!$AC$155&amp;";  ","")&amp;IF(AND(EDATE($D102,Milestones!$AA$156)&lt;=AsOfDate,IF($Q102=0,$W102,IF(AND($S102&lt;&gt;"",EDATE($D102,Milestones!$AA$156)&gt;=$S102),$V102,IF(AND($R102&lt;&gt;"",EDATE($D102,Milestones!$AA$156)&gt;=$R102),$U102,$T102)))=Milestones!$AB$156),TEXT(EDATE($D102,Milestones!$AA$156),"dd/mm/yy")&amp;" "&amp;Milestones!$AB$156&amp;" "&amp;Milestones!$AC$156&amp;";  ","")&amp;IF(AND(EDATE($D102,Milestones!$AA$157)&lt;=AsOfDate,IF($Q102=0,$W102,IF(AND($S102&lt;&gt;"",EDATE($D102,Milestones!$AA$157)&gt;=$S102),$V102,IF(AND($R102&lt;&gt;"",EDATE($D102,Milestones!$AA$157)&gt;=$R102),$U102,$T102)))=Milestones!$AB$157),TEXT(EDATE($D102,Milestones!$AA$157),"dd/mm/yy")&amp;" "&amp;Milestones!$AB$157&amp;" "&amp;Milestones!$AC$157&amp;";  ","")&amp;IF(AND(EDATE($D102,Milestones!$AA$158)&lt;=AsOfDate,IF($Q102=0,$W102,IF(AND($S102&lt;&gt;"",EDATE($D102,Milestones!$AA$158)&gt;=$S102),$V102,IF(AND($R102&lt;&gt;"",EDATE($D102,Milestones!$AA$158)&gt;=$R102),$U102,$T102)))=Milestones!$AB$158),TEXT(EDATE($D102,Milestones!$AA$158),"dd/mm/yy")&amp;" "&amp;Milestones!$AB$158&amp;" "&amp;Milestones!$AC$158&amp;";  ","")&amp;IF(AND(EDATE($D102,Milestones!$AA$159)&lt;=AsOfDate,IF($Q102=0,$W102,IF(AND($S102&lt;&gt;"",EDATE($D102,Milestones!$AA$159)&gt;=$S102),$V102,IF(AND($R102&lt;&gt;"",EDATE($D102,Milestones!$AA$159)&gt;=$R102),$U102,$T102)))=Milestones!$AB$159),TEXT(EDATE($D102,Milestones!$AA$159),"dd/mm/yy")&amp;" "&amp;Milestones!$AB$159&amp;" "&amp;Milestones!$AC$159&amp;";  ",""))</f>
        <v/>
      </c>
      <c r="O102" s="0" t="str">
        <f aca="false">IF(OR($A102="",$D102=""),"",IF(AND(EDATE($D102,Milestones!$AA$160)&lt;=AsOfDate,IF($Q102=0,$W102,IF(AND($S102&lt;&gt;"",EDATE($D102,Milestones!$AA$160)&gt;=$S102),$V102,IF(AND($R102&lt;&gt;"",EDATE($D102,Milestones!$AA$160)&gt;=$R102),$U102,$T102)))=Milestones!$AB$160),TEXT(EDATE($D102,Milestones!$AA$160),"dd/mm/yy")&amp;" "&amp;Milestones!$AB$160&amp;" "&amp;Milestones!$AC$160&amp;";  ","")&amp;IF(AND(EDATE($D102,Milestones!$AA$161)&lt;=AsOfDate,IF($Q102=0,$W102,IF(AND($S102&lt;&gt;"",EDATE($D102,Milestones!$AA$161)&gt;=$S102),$V102,IF(AND($R102&lt;&gt;"",EDATE($D102,Milestones!$AA$161)&gt;=$R102),$U102,$T102)))=Milestones!$AB$161),TEXT(EDATE($D102,Milestones!$AA$161),"dd/mm/yy")&amp;" "&amp;Milestones!$AB$161&amp;" "&amp;Milestones!$AC$161&amp;";  ","")&amp;IF(AND(EDATE($D102,Milestones!$AA$162)&lt;=AsOfDate,IF($Q102=0,$W102,IF(AND($S102&lt;&gt;"",EDATE($D102,Milestones!$AA$162)&gt;=$S102),$V102,IF(AND($R102&lt;&gt;"",EDATE($D102,Milestones!$AA$162)&gt;=$R102),$U102,$T102)))=Milestones!$AB$162),TEXT(EDATE($D102,Milestones!$AA$162),"dd/mm/yy")&amp;" "&amp;Milestones!$AB$162&amp;" "&amp;Milestones!$AC$162&amp;";  ","")&amp;IF(AND(EDATE($D102,Milestones!$AA$163)&lt;=AsOfDate,IF($Q102=0,$W102,IF(AND($S102&lt;&gt;"",EDATE($D102,Milestones!$AA$163)&gt;=$S102),$V102,IF(AND($R102&lt;&gt;"",EDATE($D102,Milestones!$AA$163)&gt;=$R102),$U102,$T102)))=Milestones!$AB$163),TEXT(EDATE($D102,Milestones!$AA$163),"dd/mm/yy")&amp;" "&amp;Milestones!$AB$163&amp;" "&amp;Milestones!$AC$163&amp;";  ","")&amp;IF(AND(EDATE($D102,Milestones!$AA$164)&lt;=AsOfDate,IF($Q102=0,$W102,IF(AND($S102&lt;&gt;"",EDATE($D102,Milestones!$AA$164)&gt;=$S102),$V102,IF(AND($R102&lt;&gt;"",EDATE($D102,Milestones!$AA$164)&gt;=$R102),$U102,$T102)))=Milestones!$AB$164),TEXT(EDATE($D102,Milestones!$AA$164),"dd/mm/yy")&amp;" "&amp;Milestones!$AB$164&amp;" "&amp;Milestones!$AC$164&amp;";  ","")&amp;IF(AND(EDATE($D102,Milestones!$AA$165)&lt;=AsOfDate,IF($Q102=0,$W102,IF(AND($S102&lt;&gt;"",EDATE($D102,Milestones!$AA$165)&gt;=$S102),$V102,IF(AND($R102&lt;&gt;"",EDATE($D102,Milestones!$AA$165)&gt;=$R102),$U102,$T102)))=Milestones!$AB$165),TEXT(EDATE($D102,Milestones!$AA$165),"dd/mm/yy")&amp;" "&amp;Milestones!$AB$165&amp;" "&amp;Milestones!$AC$165&amp;";  ","")&amp;IF(AND(EDATE($D102,Milestones!$AA$166)&lt;=AsOfDate,IF($Q102=0,$W102,IF(AND($S102&lt;&gt;"",EDATE($D102,Milestones!$AA$166)&gt;=$S102),$V102,IF(AND($R102&lt;&gt;"",EDATE($D102,Milestones!$AA$166)&gt;=$R102),$U102,$T102)))=Milestones!$AB$166),TEXT(EDATE($D102,Milestones!$AA$166),"dd/mm/yy")&amp;" "&amp;Milestones!$AB$166&amp;" "&amp;Milestones!$AC$166&amp;";  ","")&amp;IF(AND(EDATE($D102,Milestones!$AA$167)&lt;=AsOfDate,IF($Q102=0,$W102,IF(AND($S102&lt;&gt;"",EDATE($D102,Milestones!$AA$167)&gt;=$S102),$V102,IF(AND($R102&lt;&gt;"",EDATE($D102,Milestones!$AA$167)&gt;=$R102),$U102,$T102)))=Milestones!$AB$167),TEXT(EDATE($D102,Milestones!$AA$167),"dd/mm/yy")&amp;" "&amp;Milestones!$AB$167&amp;" "&amp;Milestones!$AC$167&amp;";  ","")&amp;IF(AND(EDATE($D102,Milestones!$AA$168)&lt;=AsOfDate,IF($Q102=0,$W102,IF(AND($S102&lt;&gt;"",EDATE($D102,Milestones!$AA$168)&gt;=$S102),$V102,IF(AND($R102&lt;&gt;"",EDATE($D102,Milestones!$AA$168)&gt;=$R102),$U102,$T102)))=Milestones!$AB$168),TEXT(EDATE($D102,Milestones!$AA$168),"dd/mm/yy")&amp;" "&amp;Milestones!$AB$168&amp;" "&amp;Milestones!$AC$168&amp;";  ","")&amp;IF(AND(EDATE($D102,Milestones!$AA$169)&lt;=AsOfDate,IF($Q102=0,$W102,IF(AND($S102&lt;&gt;"",EDATE($D102,Milestones!$AA$169)&gt;=$S102),$V102,IF(AND($R102&lt;&gt;"",EDATE($D102,Milestones!$AA$169)&gt;=$R102),$U102,$T102)))=Milestones!$AB$169),TEXT(EDATE($D102,Milestones!$AA$169),"dd/mm/yy")&amp;" "&amp;Milestones!$AB$169&amp;" "&amp;Milestones!$AC$169&amp;";  ","")&amp;IF(AND(EDATE($D102,Milestones!$AA$170)&lt;=AsOfDate,IF($Q102=0,$W102,IF(AND($S102&lt;&gt;"",EDATE($D102,Milestones!$AA$170)&gt;=$S102),$V102,IF(AND($R102&lt;&gt;"",EDATE($D102,Milestones!$AA$170)&gt;=$R102),$U102,$T102)))=Milestones!$AB$170),TEXT(EDATE($D102,Milestones!$AA$170),"dd/mm/yy")&amp;" "&amp;Milestones!$AB$170&amp;" "&amp;Milestones!$AC$170&amp;";  ","")&amp;IF(AND(EDATE($D102,Milestones!$AA$171)&lt;=AsOfDate,IF($Q102=0,$W102,IF(AND($S102&lt;&gt;"",EDATE($D102,Milestones!$AA$171)&gt;=$S102),$V102,IF(AND($R102&lt;&gt;"",EDATE($D102,Milestones!$AA$171)&gt;=$R102),$U102,$T102)))=Milestones!$AB$171),TEXT(EDATE($D102,Milestones!$AA$171),"dd/mm/yy")&amp;" "&amp;Milestones!$AB$171&amp;" "&amp;Milestones!$AC$171&amp;";  ","")&amp;IF(AND(EDATE($D102,Milestones!$AA$172)&lt;=AsOfDate,IF($Q102=0,$W102,IF(AND($S102&lt;&gt;"",EDATE($D102,Milestones!$AA$172)&gt;=$S102),$V102,IF(AND($R102&lt;&gt;"",EDATE($D102,Milestones!$AA$172)&gt;=$R102),$U102,$T102)))=Milestones!$AB$172),TEXT(EDATE($D102,Milestones!$AA$172),"dd/mm/yy")&amp;" "&amp;Milestones!$AB$172&amp;" "&amp;Milestones!$AC$172&amp;";  ","")&amp;IF(AND(EDATE($D102,Milestones!$AA$173)&lt;=AsOfDate,IF($Q102=0,$W102,IF(AND($S102&lt;&gt;"",EDATE($D102,Milestones!$AA$173)&gt;=$S102),$V102,IF(AND($R102&lt;&gt;"",EDATE($D102,Milestones!$AA$173)&gt;=$R102),$U102,$T102)))=Milestones!$AB$173),TEXT(EDATE($D102,Milestones!$AA$173),"dd/mm/yy")&amp;" "&amp;Milestones!$AB$173&amp;" "&amp;Milestones!$AC$173&amp;";  ","")&amp;IF(AND(EDATE($D102,Milestones!$AA$174)&lt;=AsOfDate,IF($Q102=0,$W102,IF(AND($S102&lt;&gt;"",EDATE($D102,Milestones!$AA$174)&gt;=$S102),$V102,IF(AND($R102&lt;&gt;"",EDATE($D102,Milestones!$AA$174)&gt;=$R102),$U102,$T102)))=Milestones!$AB$174),TEXT(EDATE($D102,Milestones!$AA$174),"dd/mm/yy")&amp;" "&amp;Milestones!$AB$174&amp;" "&amp;Milestones!$AC$174&amp;";  ","")&amp;IF(AND(EDATE($D102,Milestones!$AA$175)&lt;=AsOfDate,IF($Q102=0,$W102,IF(AND($S102&lt;&gt;"",EDATE($D102,Milestones!$AA$175)&gt;=$S102),$V102,IF(AND($R102&lt;&gt;"",EDATE($D102,Milestones!$AA$175)&gt;=$R102),$U102,$T102)))=Milestones!$AB$175),TEXT(EDATE($D102,Milestones!$AA$175),"dd/mm/yy")&amp;" "&amp;Milestones!$AB$175&amp;" "&amp;Milestones!$AC$175&amp;";  ","")&amp;IF(AND(EDATE($D102,Milestones!$AA$176)&lt;=AsOfDate,IF($Q102=0,$W102,IF(AND($S102&lt;&gt;"",EDATE($D102,Milestones!$AA$176)&gt;=$S102),$V102,IF(AND($R102&lt;&gt;"",EDATE($D102,Milestones!$AA$176)&gt;=$R102),$U102,$T102)))=Milestones!$AB$176),TEXT(EDATE($D102,Milestones!$AA$176),"dd/mm/yy")&amp;" "&amp;Milestones!$AB$176&amp;" "&amp;Milestones!$AC$176&amp;";  ","")&amp;IF(AND(EDATE($D102,Milestones!$AA$177)&lt;=AsOfDate,IF($Q102=0,$W102,IF(AND($S102&lt;&gt;"",EDATE($D102,Milestones!$AA$177)&gt;=$S102),$V102,IF(AND($R102&lt;&gt;"",EDATE($D102,Milestones!$AA$177)&gt;=$R102),$U102,$T102)))=Milestones!$AB$177),TEXT(EDATE($D102,Milestones!$AA$177),"dd/mm/yy")&amp;" "&amp;Milestones!$AB$177&amp;" "&amp;Milestones!$AC$177&amp;";  ","")&amp;IF(AND(EDATE($D102,Milestones!$AA$178)&lt;=AsOfDate,IF($Q102=0,$W102,IF(AND($S102&lt;&gt;"",EDATE($D102,Milestones!$AA$178)&gt;=$S102),$V102,IF(AND($R102&lt;&gt;"",EDATE($D102,Milestones!$AA$178)&gt;=$R102),$U102,$T102)))=Milestones!$AB$178),TEXT(EDATE($D102,Milestones!$AA$178),"dd/mm/yy")&amp;" "&amp;Milestones!$AB$178&amp;" "&amp;Milestones!$AC$178&amp;";  ","")&amp;IF(AND(EDATE($D102,Milestones!$AA$179)&lt;=AsOfDate,IF($Q102=0,$W102,IF(AND($S102&lt;&gt;"",EDATE($D102,Milestones!$AA$179)&gt;=$S102),$V102,IF(AND($R102&lt;&gt;"",EDATE($D102,Milestones!$AA$179)&gt;=$R102),$U102,$T102)))=Milestones!$AB$179),TEXT(EDATE($D102,Milestones!$AA$179),"dd/mm/yy")&amp;" "&amp;Milestones!$AB$179&amp;" "&amp;Milestones!$AC$179&amp;";  ",""))</f>
        <v/>
      </c>
      <c r="P102" s="0" t="str">
        <f aca="false">IF(OR($A102="",$D102=""),"",IF(AND(EDATE($D102,Milestones!$AA$180)&lt;=AsOfDate,IF($Q102=0,$W102,IF(AND($S102&lt;&gt;"",EDATE($D102,Milestones!$AA$180)&gt;=$S102),$V102,IF(AND($R102&lt;&gt;"",EDATE($D102,Milestones!$AA$180)&gt;=$R102),$U102,$T102)))=Milestones!$AB$180),TEXT(EDATE($D102,Milestones!$AA$180),"dd/mm/yy")&amp;" "&amp;Milestones!$AB$180&amp;" "&amp;Milestones!$AC$180&amp;";  ","")&amp;IF(AND(EDATE($D102,Milestones!$AA$181)&lt;=AsOfDate,IF($Q102=0,$W102,IF(AND($S102&lt;&gt;"",EDATE($D102,Milestones!$AA$181)&gt;=$S102),$V102,IF(AND($R102&lt;&gt;"",EDATE($D102,Milestones!$AA$181)&gt;=$R102),$U102,$T102)))=Milestones!$AB$181),TEXT(EDATE($D102,Milestones!$AA$181),"dd/mm/yy")&amp;" "&amp;Milestones!$AB$181&amp;" "&amp;Milestones!$AC$181&amp;";  ","")&amp;IF(AND(EDATE($D102,Milestones!$AA$182)&lt;=AsOfDate,IF($Q102=0,$W102,IF(AND($S102&lt;&gt;"",EDATE($D102,Milestones!$AA$182)&gt;=$S102),$V102,IF(AND($R102&lt;&gt;"",EDATE($D102,Milestones!$AA$182)&gt;=$R102),$U102,$T102)))=Milestones!$AB$182),TEXT(EDATE($D102,Milestones!$AA$182),"dd/mm/yy")&amp;" "&amp;Milestones!$AB$182&amp;" "&amp;Milestones!$AC$182&amp;";  ","")&amp;IF(AND(EDATE($D102,Milestones!$AA$183)&lt;=AsOfDate,IF($Q102=0,$W102,IF(AND($S102&lt;&gt;"",EDATE($D102,Milestones!$AA$183)&gt;=$S102),$V102,IF(AND($R102&lt;&gt;"",EDATE($D102,Milestones!$AA$183)&gt;=$R102),$U102,$T102)))=Milestones!$AB$183),TEXT(EDATE($D102,Milestones!$AA$183),"dd/mm/yy")&amp;" "&amp;Milestones!$AB$183&amp;" "&amp;Milestones!$AC$183&amp;";  ","")&amp;IF(AND(EDATE($D102,Milestones!$AA$184)&lt;=AsOfDate,IF($Q102=0,$W102,IF(AND($S102&lt;&gt;"",EDATE($D102,Milestones!$AA$184)&gt;=$S102),$V102,IF(AND($R102&lt;&gt;"",EDATE($D102,Milestones!$AA$184)&gt;=$R102),$U102,$T102)))=Milestones!$AB$184),TEXT(EDATE($D102,Milestones!$AA$184),"dd/mm/yy")&amp;" "&amp;Milestones!$AB$184&amp;" "&amp;Milestones!$AC$184&amp;";  ","")&amp;IF(AND(EDATE($D102,Milestones!$AA$185)&lt;=AsOfDate,IF($Q102=0,$W102,IF(AND($S102&lt;&gt;"",EDATE($D102,Milestones!$AA$185)&gt;=$S102),$V102,IF(AND($R102&lt;&gt;"",EDATE($D102,Milestones!$AA$185)&gt;=$R102),$U102,$T102)))=Milestones!$AB$185),TEXT(EDATE($D102,Milestones!$AA$185),"dd/mm/yy")&amp;" "&amp;Milestones!$AB$185&amp;" "&amp;Milestones!$AC$185&amp;";  ","")&amp;IF(AND(EDATE($D102,Milestones!$AA$186)&lt;=AsOfDate,IF($Q102=0,$W102,IF(AND($S102&lt;&gt;"",EDATE($D102,Milestones!$AA$186)&gt;=$S102),$V102,IF(AND($R102&lt;&gt;"",EDATE($D102,Milestones!$AA$186)&gt;=$R102),$U102,$T102)))=Milestones!$AB$186),TEXT(EDATE($D102,Milestones!$AA$186),"dd/mm/yy")&amp;" "&amp;Milestones!$AB$186&amp;" "&amp;Milestones!$AC$186&amp;";  ","")&amp;IF(AND(EDATE($D102,Milestones!$AA$187)&lt;=AsOfDate,IF($Q102=0,$W102,IF(AND($S102&lt;&gt;"",EDATE($D102,Milestones!$AA$187)&gt;=$S102),$V102,IF(AND($R102&lt;&gt;"",EDATE($D102,Milestones!$AA$187)&gt;=$R102),$U102,$T102)))=Milestones!$AB$187),TEXT(EDATE($D102,Milestones!$AA$187),"dd/mm/yy")&amp;" "&amp;Milestones!$AB$187&amp;" "&amp;Milestones!$AC$187&amp;";  ","")&amp;IF(AND(EDATE($D102,Milestones!$AA$188)&lt;=AsOfDate,IF($Q102=0,$W102,IF(AND($S102&lt;&gt;"",EDATE($D102,Milestones!$AA$188)&gt;=$S102),$V102,IF(AND($R102&lt;&gt;"",EDATE($D102,Milestones!$AA$188)&gt;=$R102),$U102,$T102)))=Milestones!$AB$188),TEXT(EDATE($D102,Milestones!$AA$188),"dd/mm/yy")&amp;" "&amp;Milestones!$AB$188&amp;" "&amp;Milestones!$AC$188&amp;";  ","")&amp;IF(AND(EDATE($D102,Milestones!$AA$189)&lt;=AsOfDate,IF($Q102=0,$W102,IF(AND($S102&lt;&gt;"",EDATE($D102,Milestones!$AA$189)&gt;=$S102),$V102,IF(AND($R102&lt;&gt;"",EDATE($D102,Milestones!$AA$189)&gt;=$R102),$U102,$T102)))=Milestones!$AB$189),TEXT(EDATE($D102,Milestones!$AA$189),"dd/mm/yy")&amp;" "&amp;Milestones!$AB$189&amp;" "&amp;Milestones!$AC$189&amp;";  ","")&amp;IF(AND(EDATE($D102,Milestones!$AA$190)&lt;=AsOfDate,IF($Q102=0,$W102,IF(AND($S102&lt;&gt;"",EDATE($D102,Milestones!$AA$190)&gt;=$S102),$V102,IF(AND($R102&lt;&gt;"",EDATE($D102,Milestones!$AA$190)&gt;=$R102),$U102,$T102)))=Milestones!$AB$190),TEXT(EDATE($D102,Milestones!$AA$190),"dd/mm/yy")&amp;" "&amp;Milestones!$AB$190&amp;" "&amp;Milestones!$AC$190&amp;";  ","")&amp;IF(AND(EDATE($D102,Milestones!$AA$191)&lt;=AsOfDate,IF($Q102=0,$W102,IF(AND($S102&lt;&gt;"",EDATE($D102,Milestones!$AA$191)&gt;=$S102),$V102,IF(AND($R102&lt;&gt;"",EDATE($D102,Milestones!$AA$191)&gt;=$R102),$U102,$T102)))=Milestones!$AB$191),TEXT(EDATE($D102,Milestones!$AA$191),"dd/mm/yy")&amp;" "&amp;Milestones!$AB$191&amp;" "&amp;Milestones!$AC$191&amp;";  ","")&amp;IF(AND(EDATE($D102,Milestones!$AA$192)&lt;=AsOfDate,IF($Q102=0,$W102,IF(AND($S102&lt;&gt;"",EDATE($D102,Milestones!$AA$192)&gt;=$S102),$V102,IF(AND($R102&lt;&gt;"",EDATE($D102,Milestones!$AA$192)&gt;=$R102),$U102,$T102)))=Milestones!$AB$192),TEXT(EDATE($D102,Milestones!$AA$192),"dd/mm/yy")&amp;" "&amp;Milestones!$AB$192&amp;" "&amp;Milestones!$AC$192&amp;";  ","")&amp;IF(AND(EDATE($D102,Milestones!$AA$193)&lt;=AsOfDate,IF($Q102=0,$W102,IF(AND($S102&lt;&gt;"",EDATE($D102,Milestones!$AA$193)&gt;=$S102),$V102,IF(AND($R102&lt;&gt;"",EDATE($D102,Milestones!$AA$193)&gt;=$R102),$U102,$T102)))=Milestones!$AB$193),TEXT(EDATE($D102,Milestones!$AA$193),"dd/mm/yy")&amp;" "&amp;Milestones!$AB$193&amp;" "&amp;Milestones!$AC$193&amp;";  ","")&amp;IF(AND(EDATE($D102,Milestones!$AA$194)&lt;=AsOfDate,IF($Q102=0,$W102,IF(AND($S102&lt;&gt;"",EDATE($D102,Milestones!$AA$194)&gt;=$S102),$V102,IF(AND($R102&lt;&gt;"",EDATE($D102,Milestones!$AA$194)&gt;=$R102),$U102,$T102)))=Milestones!$AB$194),TEXT(EDATE($D102,Milestones!$AA$194),"dd/mm/yy")&amp;" "&amp;Milestones!$AB$194&amp;" "&amp;Milestones!$AC$194&amp;";  ","")&amp;IF(AND(EDATE($D102,Milestones!$AA$195)&lt;=AsOfDate,IF($Q102=0,$W102,IF(AND($S102&lt;&gt;"",EDATE($D102,Milestones!$AA$195)&gt;=$S102),$V102,IF(AND($R102&lt;&gt;"",EDATE($D102,Milestones!$AA$195)&gt;=$R102),$U102,$T102)))=Milestones!$AB$195),TEXT(EDATE($D102,Milestones!$AA$195),"dd/mm/yy")&amp;" "&amp;Milestones!$AB$195&amp;" "&amp;Milestones!$AC$195&amp;";  ","")&amp;IF(AND(EDATE($D102,Milestones!$AA$196)&lt;=AsOfDate,IF($Q102=0,$W102,IF(AND($S102&lt;&gt;"",EDATE($D102,Milestones!$AA$196)&gt;=$S102),$V102,IF(AND($R102&lt;&gt;"",EDATE($D102,Milestones!$AA$196)&gt;=$R102),$U102,$T102)))=Milestones!$AB$196),TEXT(EDATE($D102,Milestones!$AA$196),"dd/mm/yy")&amp;" "&amp;Milestones!$AB$196&amp;" "&amp;Milestones!$AC$196&amp;";  ","")&amp;IF(AND(EDATE($D102,Milestones!$AA$197)&lt;=AsOfDate,IF($Q102=0,$W102,IF(AND($S102&lt;&gt;"",EDATE($D102,Milestones!$AA$197)&gt;=$S102),$V102,IF(AND($R102&lt;&gt;"",EDATE($D102,Milestones!$AA$197)&gt;=$R102),$U102,$T102)))=Milestones!$AB$197),TEXT(EDATE($D102,Milestones!$AA$197),"dd/mm/yy")&amp;" "&amp;Milestones!$AB$197&amp;" "&amp;Milestones!$AC$197&amp;";  ","")&amp;IF(AND(EDATE($D102,Milestones!$AA$198)&lt;=AsOfDate,IF($Q102=0,$W102,IF(AND($S102&lt;&gt;"",EDATE($D102,Milestones!$AA$198)&gt;=$S102),$V102,IF(AND($R102&lt;&gt;"",EDATE($D102,Milestones!$AA$198)&gt;=$R102),$U102,$T102)))=Milestones!$AB$198),TEXT(EDATE($D102,Milestones!$AA$198),"dd/mm/yy")&amp;" "&amp;Milestones!$AB$198&amp;" "&amp;Milestones!$AC$198&amp;";  ","")&amp;IF(AND(EDATE($D102,Milestones!$AA$199)&lt;=AsOfDate,IF($Q102=0,$W102,IF(AND($S102&lt;&gt;"",EDATE($D102,Milestones!$AA$199)&gt;=$S102),$V102,IF(AND($R102&lt;&gt;"",EDATE($D102,Milestones!$AA$199)&gt;=$R102),$U102,$T102)))=Milestones!$AB$199),TEXT(EDATE($D102,Milestones!$AA$199),"dd/mm/yy")&amp;" "&amp;Milestones!$AB$199&amp;" "&amp;Milestones!$AC$199&amp;";  ",""))</f>
        <v/>
      </c>
      <c r="Q102" s="0" t="str">
        <f aca="false">IF(Staff!$A102="","",Staff!$AG102)</f>
        <v/>
      </c>
      <c r="R102" s="0" t="str">
        <f aca="false">IF(Staff!$A102="","",Staff!$AI102)</f>
        <v/>
      </c>
      <c r="S102" s="0" t="str">
        <f aca="false">IF(Staff!$A102="","",Staff!$AJ102)</f>
        <v/>
      </c>
      <c r="T102" s="0" t="str">
        <f aca="false">IF(Staff!$A102="","",Staff!$AN102)</f>
        <v/>
      </c>
      <c r="U102" s="0" t="str">
        <f aca="false">IF(Staff!$A102="","",Staff!$AO102)</f>
        <v/>
      </c>
      <c r="V102" s="0" t="str">
        <f aca="false">IF(Staff!$A102="","",Staff!$AP102)</f>
        <v/>
      </c>
      <c r="W102" s="0" t="str">
        <f aca="false">IF(Staff!$A102="","",Staff!$AQ102)</f>
        <v/>
      </c>
    </row>
    <row r="103" customFormat="false" ht="15" hidden="false" customHeight="false" outlineLevel="0" collapsed="false">
      <c r="A103" s="13" t="str">
        <f aca="false">IF(Staff!$A103="","",Staff!$A103)</f>
        <v/>
      </c>
      <c r="B103" s="13" t="str">
        <f aca="false">IF(Staff!$A103="","",Staff!$B103)</f>
        <v/>
      </c>
      <c r="C103" s="13" t="str">
        <f aca="false">IF(Staff!$A103="","",Staff!$C103)</f>
        <v/>
      </c>
      <c r="D103" s="11" t="str">
        <f aca="false">IF(Staff!$A103="","",Staff!$AF103)</f>
        <v/>
      </c>
      <c r="E103" s="13" t="str">
        <f aca="false">IF(Staff!$A103="","",Staff!$O103)</f>
        <v/>
      </c>
      <c r="F103" s="13" t="str">
        <f aca="false">IF(E103="","",E103*HoursPerDay)</f>
        <v/>
      </c>
      <c r="G103" s="26" t="str">
        <f aca="false">IF($A103="","",H103&amp;I103&amp;J103&amp;K103&amp;L103&amp;M103&amp;N103&amp;O103&amp;P103)</f>
        <v/>
      </c>
      <c r="H103" s="0" t="str">
        <f aca="false">IF(OR($A103="",$D103=""),"",IF(AND(EDATE($D103,Milestones!$AA$20)&lt;=AsOfDate,IF($Q103=0,$W103,IF(AND($S103&lt;&gt;"",EDATE($D103,Milestones!$AA$20)&gt;=$S103),$V103,IF(AND($R103&lt;&gt;"",EDATE($D103,Milestones!$AA$20)&gt;=$R103),$U103,$T103)))=Milestones!$AB$20),TEXT(EDATE($D103,Milestones!$AA$20),"dd/mm/yy")&amp;" "&amp;Milestones!$AB$20&amp;" "&amp;Milestones!$AC$20&amp;";  ","")&amp;IF(AND(EDATE($D103,Milestones!$AA$21)&lt;=AsOfDate,IF($Q103=0,$W103,IF(AND($S103&lt;&gt;"",EDATE($D103,Milestones!$AA$21)&gt;=$S103),$V103,IF(AND($R103&lt;&gt;"",EDATE($D103,Milestones!$AA$21)&gt;=$R103),$U103,$T103)))=Milestones!$AB$21),TEXT(EDATE($D103,Milestones!$AA$21),"dd/mm/yy")&amp;" "&amp;Milestones!$AB$21&amp;" "&amp;Milestones!$AC$21&amp;";  ","")&amp;IF(AND(EDATE($D103,Milestones!$AA$22)&lt;=AsOfDate,IF($Q103=0,$W103,IF(AND($S103&lt;&gt;"",EDATE($D103,Milestones!$AA$22)&gt;=$S103),$V103,IF(AND($R103&lt;&gt;"",EDATE($D103,Milestones!$AA$22)&gt;=$R103),$U103,$T103)))=Milestones!$AB$22),TEXT(EDATE($D103,Milestones!$AA$22),"dd/mm/yy")&amp;" "&amp;Milestones!$AB$22&amp;" "&amp;Milestones!$AC$22&amp;";  ","")&amp;IF(AND(EDATE($D103,Milestones!$AA$23)&lt;=AsOfDate,IF($Q103=0,$W103,IF(AND($S103&lt;&gt;"",EDATE($D103,Milestones!$AA$23)&gt;=$S103),$V103,IF(AND($R103&lt;&gt;"",EDATE($D103,Milestones!$AA$23)&gt;=$R103),$U103,$T103)))=Milestones!$AB$23),TEXT(EDATE($D103,Milestones!$AA$23),"dd/mm/yy")&amp;" "&amp;Milestones!$AB$23&amp;" "&amp;Milestones!$AC$23&amp;";  ","")&amp;IF(AND(EDATE($D103,Milestones!$AA$24)&lt;=AsOfDate,IF($Q103=0,$W103,IF(AND($S103&lt;&gt;"",EDATE($D103,Milestones!$AA$24)&gt;=$S103),$V103,IF(AND($R103&lt;&gt;"",EDATE($D103,Milestones!$AA$24)&gt;=$R103),$U103,$T103)))=Milestones!$AB$24),TEXT(EDATE($D103,Milestones!$AA$24),"dd/mm/yy")&amp;" "&amp;Milestones!$AB$24&amp;" "&amp;Milestones!$AC$24&amp;";  ","")&amp;IF(AND(EDATE($D103,Milestones!$AA$25)&lt;=AsOfDate,IF($Q103=0,$W103,IF(AND($S103&lt;&gt;"",EDATE($D103,Milestones!$AA$25)&gt;=$S103),$V103,IF(AND($R103&lt;&gt;"",EDATE($D103,Milestones!$AA$25)&gt;=$R103),$U103,$T103)))=Milestones!$AB$25),TEXT(EDATE($D103,Milestones!$AA$25),"dd/mm/yy")&amp;" "&amp;Milestones!$AB$25&amp;" "&amp;Milestones!$AC$25&amp;";  ","")&amp;IF(AND(EDATE($D103,Milestones!$AA$26)&lt;=AsOfDate,IF($Q103=0,$W103,IF(AND($S103&lt;&gt;"",EDATE($D103,Milestones!$AA$26)&gt;=$S103),$V103,IF(AND($R103&lt;&gt;"",EDATE($D103,Milestones!$AA$26)&gt;=$R103),$U103,$T103)))=Milestones!$AB$26),TEXT(EDATE($D103,Milestones!$AA$26),"dd/mm/yy")&amp;" "&amp;Milestones!$AB$26&amp;" "&amp;Milestones!$AC$26&amp;";  ","")&amp;IF(AND(EDATE($D103,Milestones!$AA$27)&lt;=AsOfDate,IF($Q103=0,$W103,IF(AND($S103&lt;&gt;"",EDATE($D103,Milestones!$AA$27)&gt;=$S103),$V103,IF(AND($R103&lt;&gt;"",EDATE($D103,Milestones!$AA$27)&gt;=$R103),$U103,$T103)))=Milestones!$AB$27),TEXT(EDATE($D103,Milestones!$AA$27),"dd/mm/yy")&amp;" "&amp;Milestones!$AB$27&amp;" "&amp;Milestones!$AC$27&amp;";  ","")&amp;IF(AND(EDATE($D103,Milestones!$AA$28)&lt;=AsOfDate,IF($Q103=0,$W103,IF(AND($S103&lt;&gt;"",EDATE($D103,Milestones!$AA$28)&gt;=$S103),$V103,IF(AND($R103&lt;&gt;"",EDATE($D103,Milestones!$AA$28)&gt;=$R103),$U103,$T103)))=Milestones!$AB$28),TEXT(EDATE($D103,Milestones!$AA$28),"dd/mm/yy")&amp;" "&amp;Milestones!$AB$28&amp;" "&amp;Milestones!$AC$28&amp;";  ","")&amp;IF(AND(EDATE($D103,Milestones!$AA$29)&lt;=AsOfDate,IF($Q103=0,$W103,IF(AND($S103&lt;&gt;"",EDATE($D103,Milestones!$AA$29)&gt;=$S103),$V103,IF(AND($R103&lt;&gt;"",EDATE($D103,Milestones!$AA$29)&gt;=$R103),$U103,$T103)))=Milestones!$AB$29),TEXT(EDATE($D103,Milestones!$AA$29),"dd/mm/yy")&amp;" "&amp;Milestones!$AB$29&amp;" "&amp;Milestones!$AC$29&amp;";  ","")&amp;IF(AND(EDATE($D103,Milestones!$AA$30)&lt;=AsOfDate,IF($Q103=0,$W103,IF(AND($S103&lt;&gt;"",EDATE($D103,Milestones!$AA$30)&gt;=$S103),$V103,IF(AND($R103&lt;&gt;"",EDATE($D103,Milestones!$AA$30)&gt;=$R103),$U103,$T103)))=Milestones!$AB$30),TEXT(EDATE($D103,Milestones!$AA$30),"dd/mm/yy")&amp;" "&amp;Milestones!$AB$30&amp;" "&amp;Milestones!$AC$30&amp;";  ","")&amp;IF(AND(EDATE($D103,Milestones!$AA$31)&lt;=AsOfDate,IF($Q103=0,$W103,IF(AND($S103&lt;&gt;"",EDATE($D103,Milestones!$AA$31)&gt;=$S103),$V103,IF(AND($R103&lt;&gt;"",EDATE($D103,Milestones!$AA$31)&gt;=$R103),$U103,$T103)))=Milestones!$AB$31),TEXT(EDATE($D103,Milestones!$AA$31),"dd/mm/yy")&amp;" "&amp;Milestones!$AB$31&amp;" "&amp;Milestones!$AC$31&amp;";  ","")&amp;IF(AND(EDATE($D103,Milestones!$AA$32)&lt;=AsOfDate,IF($Q103=0,$W103,IF(AND($S103&lt;&gt;"",EDATE($D103,Milestones!$AA$32)&gt;=$S103),$V103,IF(AND($R103&lt;&gt;"",EDATE($D103,Milestones!$AA$32)&gt;=$R103),$U103,$T103)))=Milestones!$AB$32),TEXT(EDATE($D103,Milestones!$AA$32),"dd/mm/yy")&amp;" "&amp;Milestones!$AB$32&amp;" "&amp;Milestones!$AC$32&amp;";  ","")&amp;IF(AND(EDATE($D103,Milestones!$AA$33)&lt;=AsOfDate,IF($Q103=0,$W103,IF(AND($S103&lt;&gt;"",EDATE($D103,Milestones!$AA$33)&gt;=$S103),$V103,IF(AND($R103&lt;&gt;"",EDATE($D103,Milestones!$AA$33)&gt;=$R103),$U103,$T103)))=Milestones!$AB$33),TEXT(EDATE($D103,Milestones!$AA$33),"dd/mm/yy")&amp;" "&amp;Milestones!$AB$33&amp;" "&amp;Milestones!$AC$33&amp;";  ","")&amp;IF(AND(EDATE($D103,Milestones!$AA$34)&lt;=AsOfDate,IF($Q103=0,$W103,IF(AND($S103&lt;&gt;"",EDATE($D103,Milestones!$AA$34)&gt;=$S103),$V103,IF(AND($R103&lt;&gt;"",EDATE($D103,Milestones!$AA$34)&gt;=$R103),$U103,$T103)))=Milestones!$AB$34),TEXT(EDATE($D103,Milestones!$AA$34),"dd/mm/yy")&amp;" "&amp;Milestones!$AB$34&amp;" "&amp;Milestones!$AC$34&amp;";  ","")&amp;IF(AND(EDATE($D103,Milestones!$AA$35)&lt;=AsOfDate,IF($Q103=0,$W103,IF(AND($S103&lt;&gt;"",EDATE($D103,Milestones!$AA$35)&gt;=$S103),$V103,IF(AND($R103&lt;&gt;"",EDATE($D103,Milestones!$AA$35)&gt;=$R103),$U103,$T103)))=Milestones!$AB$35),TEXT(EDATE($D103,Milestones!$AA$35),"dd/mm/yy")&amp;" "&amp;Milestones!$AB$35&amp;" "&amp;Milestones!$AC$35&amp;";  ","")&amp;IF(AND(EDATE($D103,Milestones!$AA$36)&lt;=AsOfDate,IF($Q103=0,$W103,IF(AND($S103&lt;&gt;"",EDATE($D103,Milestones!$AA$36)&gt;=$S103),$V103,IF(AND($R103&lt;&gt;"",EDATE($D103,Milestones!$AA$36)&gt;=$R103),$U103,$T103)))=Milestones!$AB$36),TEXT(EDATE($D103,Milestones!$AA$36),"dd/mm/yy")&amp;" "&amp;Milestones!$AB$36&amp;" "&amp;Milestones!$AC$36&amp;";  ","")&amp;IF(AND(EDATE($D103,Milestones!$AA$37)&lt;=AsOfDate,IF($Q103=0,$W103,IF(AND($S103&lt;&gt;"",EDATE($D103,Milestones!$AA$37)&gt;=$S103),$V103,IF(AND($R103&lt;&gt;"",EDATE($D103,Milestones!$AA$37)&gt;=$R103),$U103,$T103)))=Milestones!$AB$37),TEXT(EDATE($D103,Milestones!$AA$37),"dd/mm/yy")&amp;" "&amp;Milestones!$AB$37&amp;" "&amp;Milestones!$AC$37&amp;";  ","")&amp;IF(AND(EDATE($D103,Milestones!$AA$38)&lt;=AsOfDate,IF($Q103=0,$W103,IF(AND($S103&lt;&gt;"",EDATE($D103,Milestones!$AA$38)&gt;=$S103),$V103,IF(AND($R103&lt;&gt;"",EDATE($D103,Milestones!$AA$38)&gt;=$R103),$U103,$T103)))=Milestones!$AB$38),TEXT(EDATE($D103,Milestones!$AA$38),"dd/mm/yy")&amp;" "&amp;Milestones!$AB$38&amp;" "&amp;Milestones!$AC$38&amp;";  ","")&amp;IF(AND(EDATE($D103,Milestones!$AA$39)&lt;=AsOfDate,IF($Q103=0,$W103,IF(AND($S103&lt;&gt;"",EDATE($D103,Milestones!$AA$39)&gt;=$S103),$V103,IF(AND($R103&lt;&gt;"",EDATE($D103,Milestones!$AA$39)&gt;=$R103),$U103,$T103)))=Milestones!$AB$39),TEXT(EDATE($D103,Milestones!$AA$39),"dd/mm/yy")&amp;" "&amp;Milestones!$AB$39&amp;" "&amp;Milestones!$AC$39&amp;";  ",""))</f>
        <v/>
      </c>
      <c r="I103" s="0" t="str">
        <f aca="false">IF(OR($A103="",$D103=""),"",IF(AND(EDATE($D103,Milestones!$AA$40)&lt;=AsOfDate,IF($Q103=0,$W103,IF(AND($S103&lt;&gt;"",EDATE($D103,Milestones!$AA$40)&gt;=$S103),$V103,IF(AND($R103&lt;&gt;"",EDATE($D103,Milestones!$AA$40)&gt;=$R103),$U103,$T103)))=Milestones!$AB$40),TEXT(EDATE($D103,Milestones!$AA$40),"dd/mm/yy")&amp;" "&amp;Milestones!$AB$40&amp;" "&amp;Milestones!$AC$40&amp;";  ","")&amp;IF(AND(EDATE($D103,Milestones!$AA$41)&lt;=AsOfDate,IF($Q103=0,$W103,IF(AND($S103&lt;&gt;"",EDATE($D103,Milestones!$AA$41)&gt;=$S103),$V103,IF(AND($R103&lt;&gt;"",EDATE($D103,Milestones!$AA$41)&gt;=$R103),$U103,$T103)))=Milestones!$AB$41),TEXT(EDATE($D103,Milestones!$AA$41),"dd/mm/yy")&amp;" "&amp;Milestones!$AB$41&amp;" "&amp;Milestones!$AC$41&amp;";  ","")&amp;IF(AND(EDATE($D103,Milestones!$AA$42)&lt;=AsOfDate,IF($Q103=0,$W103,IF(AND($S103&lt;&gt;"",EDATE($D103,Milestones!$AA$42)&gt;=$S103),$V103,IF(AND($R103&lt;&gt;"",EDATE($D103,Milestones!$AA$42)&gt;=$R103),$U103,$T103)))=Milestones!$AB$42),TEXT(EDATE($D103,Milestones!$AA$42),"dd/mm/yy")&amp;" "&amp;Milestones!$AB$42&amp;" "&amp;Milestones!$AC$42&amp;";  ","")&amp;IF(AND(EDATE($D103,Milestones!$AA$43)&lt;=AsOfDate,IF($Q103=0,$W103,IF(AND($S103&lt;&gt;"",EDATE($D103,Milestones!$AA$43)&gt;=$S103),$V103,IF(AND($R103&lt;&gt;"",EDATE($D103,Milestones!$AA$43)&gt;=$R103),$U103,$T103)))=Milestones!$AB$43),TEXT(EDATE($D103,Milestones!$AA$43),"dd/mm/yy")&amp;" "&amp;Milestones!$AB$43&amp;" "&amp;Milestones!$AC$43&amp;";  ","")&amp;IF(AND(EDATE($D103,Milestones!$AA$44)&lt;=AsOfDate,IF($Q103=0,$W103,IF(AND($S103&lt;&gt;"",EDATE($D103,Milestones!$AA$44)&gt;=$S103),$V103,IF(AND($R103&lt;&gt;"",EDATE($D103,Milestones!$AA$44)&gt;=$R103),$U103,$T103)))=Milestones!$AB$44),TEXT(EDATE($D103,Milestones!$AA$44),"dd/mm/yy")&amp;" "&amp;Milestones!$AB$44&amp;" "&amp;Milestones!$AC$44&amp;";  ","")&amp;IF(AND(EDATE($D103,Milestones!$AA$45)&lt;=AsOfDate,IF($Q103=0,$W103,IF(AND($S103&lt;&gt;"",EDATE($D103,Milestones!$AA$45)&gt;=$S103),$V103,IF(AND($R103&lt;&gt;"",EDATE($D103,Milestones!$AA$45)&gt;=$R103),$U103,$T103)))=Milestones!$AB$45),TEXT(EDATE($D103,Milestones!$AA$45),"dd/mm/yy")&amp;" "&amp;Milestones!$AB$45&amp;" "&amp;Milestones!$AC$45&amp;";  ","")&amp;IF(AND(EDATE($D103,Milestones!$AA$46)&lt;=AsOfDate,IF($Q103=0,$W103,IF(AND($S103&lt;&gt;"",EDATE($D103,Milestones!$AA$46)&gt;=$S103),$V103,IF(AND($R103&lt;&gt;"",EDATE($D103,Milestones!$AA$46)&gt;=$R103),$U103,$T103)))=Milestones!$AB$46),TEXT(EDATE($D103,Milestones!$AA$46),"dd/mm/yy")&amp;" "&amp;Milestones!$AB$46&amp;" "&amp;Milestones!$AC$46&amp;";  ","")&amp;IF(AND(EDATE($D103,Milestones!$AA$47)&lt;=AsOfDate,IF($Q103=0,$W103,IF(AND($S103&lt;&gt;"",EDATE($D103,Milestones!$AA$47)&gt;=$S103),$V103,IF(AND($R103&lt;&gt;"",EDATE($D103,Milestones!$AA$47)&gt;=$R103),$U103,$T103)))=Milestones!$AB$47),TEXT(EDATE($D103,Milestones!$AA$47),"dd/mm/yy")&amp;" "&amp;Milestones!$AB$47&amp;" "&amp;Milestones!$AC$47&amp;";  ","")&amp;IF(AND(EDATE($D103,Milestones!$AA$48)&lt;=AsOfDate,IF($Q103=0,$W103,IF(AND($S103&lt;&gt;"",EDATE($D103,Milestones!$AA$48)&gt;=$S103),$V103,IF(AND($R103&lt;&gt;"",EDATE($D103,Milestones!$AA$48)&gt;=$R103),$U103,$T103)))=Milestones!$AB$48),TEXT(EDATE($D103,Milestones!$AA$48),"dd/mm/yy")&amp;" "&amp;Milestones!$AB$48&amp;" "&amp;Milestones!$AC$48&amp;";  ","")&amp;IF(AND(EDATE($D103,Milestones!$AA$49)&lt;=AsOfDate,IF($Q103=0,$W103,IF(AND($S103&lt;&gt;"",EDATE($D103,Milestones!$AA$49)&gt;=$S103),$V103,IF(AND($R103&lt;&gt;"",EDATE($D103,Milestones!$AA$49)&gt;=$R103),$U103,$T103)))=Milestones!$AB$49),TEXT(EDATE($D103,Milestones!$AA$49),"dd/mm/yy")&amp;" "&amp;Milestones!$AB$49&amp;" "&amp;Milestones!$AC$49&amp;";  ","")&amp;IF(AND(EDATE($D103,Milestones!$AA$50)&lt;=AsOfDate,IF($Q103=0,$W103,IF(AND($S103&lt;&gt;"",EDATE($D103,Milestones!$AA$50)&gt;=$S103),$V103,IF(AND($R103&lt;&gt;"",EDATE($D103,Milestones!$AA$50)&gt;=$R103),$U103,$T103)))=Milestones!$AB$50),TEXT(EDATE($D103,Milestones!$AA$50),"dd/mm/yy")&amp;" "&amp;Milestones!$AB$50&amp;" "&amp;Milestones!$AC$50&amp;";  ","")&amp;IF(AND(EDATE($D103,Milestones!$AA$51)&lt;=AsOfDate,IF($Q103=0,$W103,IF(AND($S103&lt;&gt;"",EDATE($D103,Milestones!$AA$51)&gt;=$S103),$V103,IF(AND($R103&lt;&gt;"",EDATE($D103,Milestones!$AA$51)&gt;=$R103),$U103,$T103)))=Milestones!$AB$51),TEXT(EDATE($D103,Milestones!$AA$51),"dd/mm/yy")&amp;" "&amp;Milestones!$AB$51&amp;" "&amp;Milestones!$AC$51&amp;";  ","")&amp;IF(AND(EDATE($D103,Milestones!$AA$52)&lt;=AsOfDate,IF($Q103=0,$W103,IF(AND($S103&lt;&gt;"",EDATE($D103,Milestones!$AA$52)&gt;=$S103),$V103,IF(AND($R103&lt;&gt;"",EDATE($D103,Milestones!$AA$52)&gt;=$R103),$U103,$T103)))=Milestones!$AB$52),TEXT(EDATE($D103,Milestones!$AA$52),"dd/mm/yy")&amp;" "&amp;Milestones!$AB$52&amp;" "&amp;Milestones!$AC$52&amp;";  ","")&amp;IF(AND(EDATE($D103,Milestones!$AA$53)&lt;=AsOfDate,IF($Q103=0,$W103,IF(AND($S103&lt;&gt;"",EDATE($D103,Milestones!$AA$53)&gt;=$S103),$V103,IF(AND($R103&lt;&gt;"",EDATE($D103,Milestones!$AA$53)&gt;=$R103),$U103,$T103)))=Milestones!$AB$53),TEXT(EDATE($D103,Milestones!$AA$53),"dd/mm/yy")&amp;" "&amp;Milestones!$AB$53&amp;" "&amp;Milestones!$AC$53&amp;";  ","")&amp;IF(AND(EDATE($D103,Milestones!$AA$54)&lt;=AsOfDate,IF($Q103=0,$W103,IF(AND($S103&lt;&gt;"",EDATE($D103,Milestones!$AA$54)&gt;=$S103),$V103,IF(AND($R103&lt;&gt;"",EDATE($D103,Milestones!$AA$54)&gt;=$R103),$U103,$T103)))=Milestones!$AB$54),TEXT(EDATE($D103,Milestones!$AA$54),"dd/mm/yy")&amp;" "&amp;Milestones!$AB$54&amp;" "&amp;Milestones!$AC$54&amp;";  ","")&amp;IF(AND(EDATE($D103,Milestones!$AA$55)&lt;=AsOfDate,IF($Q103=0,$W103,IF(AND($S103&lt;&gt;"",EDATE($D103,Milestones!$AA$55)&gt;=$S103),$V103,IF(AND($R103&lt;&gt;"",EDATE($D103,Milestones!$AA$55)&gt;=$R103),$U103,$T103)))=Milestones!$AB$55),TEXT(EDATE($D103,Milestones!$AA$55),"dd/mm/yy")&amp;" "&amp;Milestones!$AB$55&amp;" "&amp;Milestones!$AC$55&amp;";  ","")&amp;IF(AND(EDATE($D103,Milestones!$AA$56)&lt;=AsOfDate,IF($Q103=0,$W103,IF(AND($S103&lt;&gt;"",EDATE($D103,Milestones!$AA$56)&gt;=$S103),$V103,IF(AND($R103&lt;&gt;"",EDATE($D103,Milestones!$AA$56)&gt;=$R103),$U103,$T103)))=Milestones!$AB$56),TEXT(EDATE($D103,Milestones!$AA$56),"dd/mm/yy")&amp;" "&amp;Milestones!$AB$56&amp;" "&amp;Milestones!$AC$56&amp;";  ","")&amp;IF(AND(EDATE($D103,Milestones!$AA$57)&lt;=AsOfDate,IF($Q103=0,$W103,IF(AND($S103&lt;&gt;"",EDATE($D103,Milestones!$AA$57)&gt;=$S103),$V103,IF(AND($R103&lt;&gt;"",EDATE($D103,Milestones!$AA$57)&gt;=$R103),$U103,$T103)))=Milestones!$AB$57),TEXT(EDATE($D103,Milestones!$AA$57),"dd/mm/yy")&amp;" "&amp;Milestones!$AB$57&amp;" "&amp;Milestones!$AC$57&amp;";  ","")&amp;IF(AND(EDATE($D103,Milestones!$AA$58)&lt;=AsOfDate,IF($Q103=0,$W103,IF(AND($S103&lt;&gt;"",EDATE($D103,Milestones!$AA$58)&gt;=$S103),$V103,IF(AND($R103&lt;&gt;"",EDATE($D103,Milestones!$AA$58)&gt;=$R103),$U103,$T103)))=Milestones!$AB$58),TEXT(EDATE($D103,Milestones!$AA$58),"dd/mm/yy")&amp;" "&amp;Milestones!$AB$58&amp;" "&amp;Milestones!$AC$58&amp;";  ","")&amp;IF(AND(EDATE($D103,Milestones!$AA$59)&lt;=AsOfDate,IF($Q103=0,$W103,IF(AND($S103&lt;&gt;"",EDATE($D103,Milestones!$AA$59)&gt;=$S103),$V103,IF(AND($R103&lt;&gt;"",EDATE($D103,Milestones!$AA$59)&gt;=$R103),$U103,$T103)))=Milestones!$AB$59),TEXT(EDATE($D103,Milestones!$AA$59),"dd/mm/yy")&amp;" "&amp;Milestones!$AB$59&amp;" "&amp;Milestones!$AC$59&amp;";  ",""))</f>
        <v/>
      </c>
      <c r="J103" s="0" t="str">
        <f aca="false">IF(OR($A103="",$D103=""),"",IF(AND(EDATE($D103,Milestones!$AA$60)&lt;=AsOfDate,IF($Q103=0,$W103,IF(AND($S103&lt;&gt;"",EDATE($D103,Milestones!$AA$60)&gt;=$S103),$V103,IF(AND($R103&lt;&gt;"",EDATE($D103,Milestones!$AA$60)&gt;=$R103),$U103,$T103)))=Milestones!$AB$60),TEXT(EDATE($D103,Milestones!$AA$60),"dd/mm/yy")&amp;" "&amp;Milestones!$AB$60&amp;" "&amp;Milestones!$AC$60&amp;";  ","")&amp;IF(AND(EDATE($D103,Milestones!$AA$61)&lt;=AsOfDate,IF($Q103=0,$W103,IF(AND($S103&lt;&gt;"",EDATE($D103,Milestones!$AA$61)&gt;=$S103),$V103,IF(AND($R103&lt;&gt;"",EDATE($D103,Milestones!$AA$61)&gt;=$R103),$U103,$T103)))=Milestones!$AB$61),TEXT(EDATE($D103,Milestones!$AA$61),"dd/mm/yy")&amp;" "&amp;Milestones!$AB$61&amp;" "&amp;Milestones!$AC$61&amp;";  ","")&amp;IF(AND(EDATE($D103,Milestones!$AA$62)&lt;=AsOfDate,IF($Q103=0,$W103,IF(AND($S103&lt;&gt;"",EDATE($D103,Milestones!$AA$62)&gt;=$S103),$V103,IF(AND($R103&lt;&gt;"",EDATE($D103,Milestones!$AA$62)&gt;=$R103),$U103,$T103)))=Milestones!$AB$62),TEXT(EDATE($D103,Milestones!$AA$62),"dd/mm/yy")&amp;" "&amp;Milestones!$AB$62&amp;" "&amp;Milestones!$AC$62&amp;";  ","")&amp;IF(AND(EDATE($D103,Milestones!$AA$63)&lt;=AsOfDate,IF($Q103=0,$W103,IF(AND($S103&lt;&gt;"",EDATE($D103,Milestones!$AA$63)&gt;=$S103),$V103,IF(AND($R103&lt;&gt;"",EDATE($D103,Milestones!$AA$63)&gt;=$R103),$U103,$T103)))=Milestones!$AB$63),TEXT(EDATE($D103,Milestones!$AA$63),"dd/mm/yy")&amp;" "&amp;Milestones!$AB$63&amp;" "&amp;Milestones!$AC$63&amp;";  ","")&amp;IF(AND(EDATE($D103,Milestones!$AA$64)&lt;=AsOfDate,IF($Q103=0,$W103,IF(AND($S103&lt;&gt;"",EDATE($D103,Milestones!$AA$64)&gt;=$S103),$V103,IF(AND($R103&lt;&gt;"",EDATE($D103,Milestones!$AA$64)&gt;=$R103),$U103,$T103)))=Milestones!$AB$64),TEXT(EDATE($D103,Milestones!$AA$64),"dd/mm/yy")&amp;" "&amp;Milestones!$AB$64&amp;" "&amp;Milestones!$AC$64&amp;";  ","")&amp;IF(AND(EDATE($D103,Milestones!$AA$65)&lt;=AsOfDate,IF($Q103=0,$W103,IF(AND($S103&lt;&gt;"",EDATE($D103,Milestones!$AA$65)&gt;=$S103),$V103,IF(AND($R103&lt;&gt;"",EDATE($D103,Milestones!$AA$65)&gt;=$R103),$U103,$T103)))=Milestones!$AB$65),TEXT(EDATE($D103,Milestones!$AA$65),"dd/mm/yy")&amp;" "&amp;Milestones!$AB$65&amp;" "&amp;Milestones!$AC$65&amp;";  ","")&amp;IF(AND(EDATE($D103,Milestones!$AA$66)&lt;=AsOfDate,IF($Q103=0,$W103,IF(AND($S103&lt;&gt;"",EDATE($D103,Milestones!$AA$66)&gt;=$S103),$V103,IF(AND($R103&lt;&gt;"",EDATE($D103,Milestones!$AA$66)&gt;=$R103),$U103,$T103)))=Milestones!$AB$66),TEXT(EDATE($D103,Milestones!$AA$66),"dd/mm/yy")&amp;" "&amp;Milestones!$AB$66&amp;" "&amp;Milestones!$AC$66&amp;";  ","")&amp;IF(AND(EDATE($D103,Milestones!$AA$67)&lt;=AsOfDate,IF($Q103=0,$W103,IF(AND($S103&lt;&gt;"",EDATE($D103,Milestones!$AA$67)&gt;=$S103),$V103,IF(AND($R103&lt;&gt;"",EDATE($D103,Milestones!$AA$67)&gt;=$R103),$U103,$T103)))=Milestones!$AB$67),TEXT(EDATE($D103,Milestones!$AA$67),"dd/mm/yy")&amp;" "&amp;Milestones!$AB$67&amp;" "&amp;Milestones!$AC$67&amp;";  ","")&amp;IF(AND(EDATE($D103,Milestones!$AA$68)&lt;=AsOfDate,IF($Q103=0,$W103,IF(AND($S103&lt;&gt;"",EDATE($D103,Milestones!$AA$68)&gt;=$S103),$V103,IF(AND($R103&lt;&gt;"",EDATE($D103,Milestones!$AA$68)&gt;=$R103),$U103,$T103)))=Milestones!$AB$68),TEXT(EDATE($D103,Milestones!$AA$68),"dd/mm/yy")&amp;" "&amp;Milestones!$AB$68&amp;" "&amp;Milestones!$AC$68&amp;";  ","")&amp;IF(AND(EDATE($D103,Milestones!$AA$69)&lt;=AsOfDate,IF($Q103=0,$W103,IF(AND($S103&lt;&gt;"",EDATE($D103,Milestones!$AA$69)&gt;=$S103),$V103,IF(AND($R103&lt;&gt;"",EDATE($D103,Milestones!$AA$69)&gt;=$R103),$U103,$T103)))=Milestones!$AB$69),TEXT(EDATE($D103,Milestones!$AA$69),"dd/mm/yy")&amp;" "&amp;Milestones!$AB$69&amp;" "&amp;Milestones!$AC$69&amp;";  ","")&amp;IF(AND(EDATE($D103,Milestones!$AA$70)&lt;=AsOfDate,IF($Q103=0,$W103,IF(AND($S103&lt;&gt;"",EDATE($D103,Milestones!$AA$70)&gt;=$S103),$V103,IF(AND($R103&lt;&gt;"",EDATE($D103,Milestones!$AA$70)&gt;=$R103),$U103,$T103)))=Milestones!$AB$70),TEXT(EDATE($D103,Milestones!$AA$70),"dd/mm/yy")&amp;" "&amp;Milestones!$AB$70&amp;" "&amp;Milestones!$AC$70&amp;";  ","")&amp;IF(AND(EDATE($D103,Milestones!$AA$71)&lt;=AsOfDate,IF($Q103=0,$W103,IF(AND($S103&lt;&gt;"",EDATE($D103,Milestones!$AA$71)&gt;=$S103),$V103,IF(AND($R103&lt;&gt;"",EDATE($D103,Milestones!$AA$71)&gt;=$R103),$U103,$T103)))=Milestones!$AB$71),TEXT(EDATE($D103,Milestones!$AA$71),"dd/mm/yy")&amp;" "&amp;Milestones!$AB$71&amp;" "&amp;Milestones!$AC$71&amp;";  ","")&amp;IF(AND(EDATE($D103,Milestones!$AA$72)&lt;=AsOfDate,IF($Q103=0,$W103,IF(AND($S103&lt;&gt;"",EDATE($D103,Milestones!$AA$72)&gt;=$S103),$V103,IF(AND($R103&lt;&gt;"",EDATE($D103,Milestones!$AA$72)&gt;=$R103),$U103,$T103)))=Milestones!$AB$72),TEXT(EDATE($D103,Milestones!$AA$72),"dd/mm/yy")&amp;" "&amp;Milestones!$AB$72&amp;" "&amp;Milestones!$AC$72&amp;";  ","")&amp;IF(AND(EDATE($D103,Milestones!$AA$73)&lt;=AsOfDate,IF($Q103=0,$W103,IF(AND($S103&lt;&gt;"",EDATE($D103,Milestones!$AA$73)&gt;=$S103),$V103,IF(AND($R103&lt;&gt;"",EDATE($D103,Milestones!$AA$73)&gt;=$R103),$U103,$T103)))=Milestones!$AB$73),TEXT(EDATE($D103,Milestones!$AA$73),"dd/mm/yy")&amp;" "&amp;Milestones!$AB$73&amp;" "&amp;Milestones!$AC$73&amp;";  ","")&amp;IF(AND(EDATE($D103,Milestones!$AA$74)&lt;=AsOfDate,IF($Q103=0,$W103,IF(AND($S103&lt;&gt;"",EDATE($D103,Milestones!$AA$74)&gt;=$S103),$V103,IF(AND($R103&lt;&gt;"",EDATE($D103,Milestones!$AA$74)&gt;=$R103),$U103,$T103)))=Milestones!$AB$74),TEXT(EDATE($D103,Milestones!$AA$74),"dd/mm/yy")&amp;" "&amp;Milestones!$AB$74&amp;" "&amp;Milestones!$AC$74&amp;";  ","")&amp;IF(AND(EDATE($D103,Milestones!$AA$75)&lt;=AsOfDate,IF($Q103=0,$W103,IF(AND($S103&lt;&gt;"",EDATE($D103,Milestones!$AA$75)&gt;=$S103),$V103,IF(AND($R103&lt;&gt;"",EDATE($D103,Milestones!$AA$75)&gt;=$R103),$U103,$T103)))=Milestones!$AB$75),TEXT(EDATE($D103,Milestones!$AA$75),"dd/mm/yy")&amp;" "&amp;Milestones!$AB$75&amp;" "&amp;Milestones!$AC$75&amp;";  ","")&amp;IF(AND(EDATE($D103,Milestones!$AA$76)&lt;=AsOfDate,IF($Q103=0,$W103,IF(AND($S103&lt;&gt;"",EDATE($D103,Milestones!$AA$76)&gt;=$S103),$V103,IF(AND($R103&lt;&gt;"",EDATE($D103,Milestones!$AA$76)&gt;=$R103),$U103,$T103)))=Milestones!$AB$76),TEXT(EDATE($D103,Milestones!$AA$76),"dd/mm/yy")&amp;" "&amp;Milestones!$AB$76&amp;" "&amp;Milestones!$AC$76&amp;";  ","")&amp;IF(AND(EDATE($D103,Milestones!$AA$77)&lt;=AsOfDate,IF($Q103=0,$W103,IF(AND($S103&lt;&gt;"",EDATE($D103,Milestones!$AA$77)&gt;=$S103),$V103,IF(AND($R103&lt;&gt;"",EDATE($D103,Milestones!$AA$77)&gt;=$R103),$U103,$T103)))=Milestones!$AB$77),TEXT(EDATE($D103,Milestones!$AA$77),"dd/mm/yy")&amp;" "&amp;Milestones!$AB$77&amp;" "&amp;Milestones!$AC$77&amp;";  ","")&amp;IF(AND(EDATE($D103,Milestones!$AA$78)&lt;=AsOfDate,IF($Q103=0,$W103,IF(AND($S103&lt;&gt;"",EDATE($D103,Milestones!$AA$78)&gt;=$S103),$V103,IF(AND($R103&lt;&gt;"",EDATE($D103,Milestones!$AA$78)&gt;=$R103),$U103,$T103)))=Milestones!$AB$78),TEXT(EDATE($D103,Milestones!$AA$78),"dd/mm/yy")&amp;" "&amp;Milestones!$AB$78&amp;" "&amp;Milestones!$AC$78&amp;";  ","")&amp;IF(AND(EDATE($D103,Milestones!$AA$79)&lt;=AsOfDate,IF($Q103=0,$W103,IF(AND($S103&lt;&gt;"",EDATE($D103,Milestones!$AA$79)&gt;=$S103),$V103,IF(AND($R103&lt;&gt;"",EDATE($D103,Milestones!$AA$79)&gt;=$R103),$U103,$T103)))=Milestones!$AB$79),TEXT(EDATE($D103,Milestones!$AA$79),"dd/mm/yy")&amp;" "&amp;Milestones!$AB$79&amp;" "&amp;Milestones!$AC$79&amp;";  ",""))</f>
        <v/>
      </c>
      <c r="K103" s="0" t="str">
        <f aca="false">IF(OR($A103="",$D103=""),"",IF(AND(EDATE($D103,Milestones!$AA$80)&lt;=AsOfDate,IF($Q103=0,$W103,IF(AND($S103&lt;&gt;"",EDATE($D103,Milestones!$AA$80)&gt;=$S103),$V103,IF(AND($R103&lt;&gt;"",EDATE($D103,Milestones!$AA$80)&gt;=$R103),$U103,$T103)))=Milestones!$AB$80),TEXT(EDATE($D103,Milestones!$AA$80),"dd/mm/yy")&amp;" "&amp;Milestones!$AB$80&amp;" "&amp;Milestones!$AC$80&amp;";  ","")&amp;IF(AND(EDATE($D103,Milestones!$AA$81)&lt;=AsOfDate,IF($Q103=0,$W103,IF(AND($S103&lt;&gt;"",EDATE($D103,Milestones!$AA$81)&gt;=$S103),$V103,IF(AND($R103&lt;&gt;"",EDATE($D103,Milestones!$AA$81)&gt;=$R103),$U103,$T103)))=Milestones!$AB$81),TEXT(EDATE($D103,Milestones!$AA$81),"dd/mm/yy")&amp;" "&amp;Milestones!$AB$81&amp;" "&amp;Milestones!$AC$81&amp;";  ","")&amp;IF(AND(EDATE($D103,Milestones!$AA$82)&lt;=AsOfDate,IF($Q103=0,$W103,IF(AND($S103&lt;&gt;"",EDATE($D103,Milestones!$AA$82)&gt;=$S103),$V103,IF(AND($R103&lt;&gt;"",EDATE($D103,Milestones!$AA$82)&gt;=$R103),$U103,$T103)))=Milestones!$AB$82),TEXT(EDATE($D103,Milestones!$AA$82),"dd/mm/yy")&amp;" "&amp;Milestones!$AB$82&amp;" "&amp;Milestones!$AC$82&amp;";  ","")&amp;IF(AND(EDATE($D103,Milestones!$AA$83)&lt;=AsOfDate,IF($Q103=0,$W103,IF(AND($S103&lt;&gt;"",EDATE($D103,Milestones!$AA$83)&gt;=$S103),$V103,IF(AND($R103&lt;&gt;"",EDATE($D103,Milestones!$AA$83)&gt;=$R103),$U103,$T103)))=Milestones!$AB$83),TEXT(EDATE($D103,Milestones!$AA$83),"dd/mm/yy")&amp;" "&amp;Milestones!$AB$83&amp;" "&amp;Milestones!$AC$83&amp;";  ","")&amp;IF(AND(EDATE($D103,Milestones!$AA$84)&lt;=AsOfDate,IF($Q103=0,$W103,IF(AND($S103&lt;&gt;"",EDATE($D103,Milestones!$AA$84)&gt;=$S103),$V103,IF(AND($R103&lt;&gt;"",EDATE($D103,Milestones!$AA$84)&gt;=$R103),$U103,$T103)))=Milestones!$AB$84),TEXT(EDATE($D103,Milestones!$AA$84),"dd/mm/yy")&amp;" "&amp;Milestones!$AB$84&amp;" "&amp;Milestones!$AC$84&amp;";  ","")&amp;IF(AND(EDATE($D103,Milestones!$AA$85)&lt;=AsOfDate,IF($Q103=0,$W103,IF(AND($S103&lt;&gt;"",EDATE($D103,Milestones!$AA$85)&gt;=$S103),$V103,IF(AND($R103&lt;&gt;"",EDATE($D103,Milestones!$AA$85)&gt;=$R103),$U103,$T103)))=Milestones!$AB$85),TEXT(EDATE($D103,Milestones!$AA$85),"dd/mm/yy")&amp;" "&amp;Milestones!$AB$85&amp;" "&amp;Milestones!$AC$85&amp;";  ","")&amp;IF(AND(EDATE($D103,Milestones!$AA$86)&lt;=AsOfDate,IF($Q103=0,$W103,IF(AND($S103&lt;&gt;"",EDATE($D103,Milestones!$AA$86)&gt;=$S103),$V103,IF(AND($R103&lt;&gt;"",EDATE($D103,Milestones!$AA$86)&gt;=$R103),$U103,$T103)))=Milestones!$AB$86),TEXT(EDATE($D103,Milestones!$AA$86),"dd/mm/yy")&amp;" "&amp;Milestones!$AB$86&amp;" "&amp;Milestones!$AC$86&amp;";  ","")&amp;IF(AND(EDATE($D103,Milestones!$AA$87)&lt;=AsOfDate,IF($Q103=0,$W103,IF(AND($S103&lt;&gt;"",EDATE($D103,Milestones!$AA$87)&gt;=$S103),$V103,IF(AND($R103&lt;&gt;"",EDATE($D103,Milestones!$AA$87)&gt;=$R103),$U103,$T103)))=Milestones!$AB$87),TEXT(EDATE($D103,Milestones!$AA$87),"dd/mm/yy")&amp;" "&amp;Milestones!$AB$87&amp;" "&amp;Milestones!$AC$87&amp;";  ","")&amp;IF(AND(EDATE($D103,Milestones!$AA$88)&lt;=AsOfDate,IF($Q103=0,$W103,IF(AND($S103&lt;&gt;"",EDATE($D103,Milestones!$AA$88)&gt;=$S103),$V103,IF(AND($R103&lt;&gt;"",EDATE($D103,Milestones!$AA$88)&gt;=$R103),$U103,$T103)))=Milestones!$AB$88),TEXT(EDATE($D103,Milestones!$AA$88),"dd/mm/yy")&amp;" "&amp;Milestones!$AB$88&amp;" "&amp;Milestones!$AC$88&amp;";  ","")&amp;IF(AND(EDATE($D103,Milestones!$AA$89)&lt;=AsOfDate,IF($Q103=0,$W103,IF(AND($S103&lt;&gt;"",EDATE($D103,Milestones!$AA$89)&gt;=$S103),$V103,IF(AND($R103&lt;&gt;"",EDATE($D103,Milestones!$AA$89)&gt;=$R103),$U103,$T103)))=Milestones!$AB$89),TEXT(EDATE($D103,Milestones!$AA$89),"dd/mm/yy")&amp;" "&amp;Milestones!$AB$89&amp;" "&amp;Milestones!$AC$89&amp;";  ","")&amp;IF(AND(EDATE($D103,Milestones!$AA$90)&lt;=AsOfDate,IF($Q103=0,$W103,IF(AND($S103&lt;&gt;"",EDATE($D103,Milestones!$AA$90)&gt;=$S103),$V103,IF(AND($R103&lt;&gt;"",EDATE($D103,Milestones!$AA$90)&gt;=$R103),$U103,$T103)))=Milestones!$AB$90),TEXT(EDATE($D103,Milestones!$AA$90),"dd/mm/yy")&amp;" "&amp;Milestones!$AB$90&amp;" "&amp;Milestones!$AC$90&amp;";  ","")&amp;IF(AND(EDATE($D103,Milestones!$AA$91)&lt;=AsOfDate,IF($Q103=0,$W103,IF(AND($S103&lt;&gt;"",EDATE($D103,Milestones!$AA$91)&gt;=$S103),$V103,IF(AND($R103&lt;&gt;"",EDATE($D103,Milestones!$AA$91)&gt;=$R103),$U103,$T103)))=Milestones!$AB$91),TEXT(EDATE($D103,Milestones!$AA$91),"dd/mm/yy")&amp;" "&amp;Milestones!$AB$91&amp;" "&amp;Milestones!$AC$91&amp;";  ","")&amp;IF(AND(EDATE($D103,Milestones!$AA$92)&lt;=AsOfDate,IF($Q103=0,$W103,IF(AND($S103&lt;&gt;"",EDATE($D103,Milestones!$AA$92)&gt;=$S103),$V103,IF(AND($R103&lt;&gt;"",EDATE($D103,Milestones!$AA$92)&gt;=$R103),$U103,$T103)))=Milestones!$AB$92),TEXT(EDATE($D103,Milestones!$AA$92),"dd/mm/yy")&amp;" "&amp;Milestones!$AB$92&amp;" "&amp;Milestones!$AC$92&amp;";  ","")&amp;IF(AND(EDATE($D103,Milestones!$AA$93)&lt;=AsOfDate,IF($Q103=0,$W103,IF(AND($S103&lt;&gt;"",EDATE($D103,Milestones!$AA$93)&gt;=$S103),$V103,IF(AND($R103&lt;&gt;"",EDATE($D103,Milestones!$AA$93)&gt;=$R103),$U103,$T103)))=Milestones!$AB$93),TEXT(EDATE($D103,Milestones!$AA$93),"dd/mm/yy")&amp;" "&amp;Milestones!$AB$93&amp;" "&amp;Milestones!$AC$93&amp;";  ","")&amp;IF(AND(EDATE($D103,Milestones!$AA$94)&lt;=AsOfDate,IF($Q103=0,$W103,IF(AND($S103&lt;&gt;"",EDATE($D103,Milestones!$AA$94)&gt;=$S103),$V103,IF(AND($R103&lt;&gt;"",EDATE($D103,Milestones!$AA$94)&gt;=$R103),$U103,$T103)))=Milestones!$AB$94),TEXT(EDATE($D103,Milestones!$AA$94),"dd/mm/yy")&amp;" "&amp;Milestones!$AB$94&amp;" "&amp;Milestones!$AC$94&amp;";  ","")&amp;IF(AND(EDATE($D103,Milestones!$AA$95)&lt;=AsOfDate,IF($Q103=0,$W103,IF(AND($S103&lt;&gt;"",EDATE($D103,Milestones!$AA$95)&gt;=$S103),$V103,IF(AND($R103&lt;&gt;"",EDATE($D103,Milestones!$AA$95)&gt;=$R103),$U103,$T103)))=Milestones!$AB$95),TEXT(EDATE($D103,Milestones!$AA$95),"dd/mm/yy")&amp;" "&amp;Milestones!$AB$95&amp;" "&amp;Milestones!$AC$95&amp;";  ","")&amp;IF(AND(EDATE($D103,Milestones!$AA$96)&lt;=AsOfDate,IF($Q103=0,$W103,IF(AND($S103&lt;&gt;"",EDATE($D103,Milestones!$AA$96)&gt;=$S103),$V103,IF(AND($R103&lt;&gt;"",EDATE($D103,Milestones!$AA$96)&gt;=$R103),$U103,$T103)))=Milestones!$AB$96),TEXT(EDATE($D103,Milestones!$AA$96),"dd/mm/yy")&amp;" "&amp;Milestones!$AB$96&amp;" "&amp;Milestones!$AC$96&amp;";  ","")&amp;IF(AND(EDATE($D103,Milestones!$AA$97)&lt;=AsOfDate,IF($Q103=0,$W103,IF(AND($S103&lt;&gt;"",EDATE($D103,Milestones!$AA$97)&gt;=$S103),$V103,IF(AND($R103&lt;&gt;"",EDATE($D103,Milestones!$AA$97)&gt;=$R103),$U103,$T103)))=Milestones!$AB$97),TEXT(EDATE($D103,Milestones!$AA$97),"dd/mm/yy")&amp;" "&amp;Milestones!$AB$97&amp;" "&amp;Milestones!$AC$97&amp;";  ","")&amp;IF(AND(EDATE($D103,Milestones!$AA$98)&lt;=AsOfDate,IF($Q103=0,$W103,IF(AND($S103&lt;&gt;"",EDATE($D103,Milestones!$AA$98)&gt;=$S103),$V103,IF(AND($R103&lt;&gt;"",EDATE($D103,Milestones!$AA$98)&gt;=$R103),$U103,$T103)))=Milestones!$AB$98),TEXT(EDATE($D103,Milestones!$AA$98),"dd/mm/yy")&amp;" "&amp;Milestones!$AB$98&amp;" "&amp;Milestones!$AC$98&amp;";  ","")&amp;IF(AND(EDATE($D103,Milestones!$AA$99)&lt;=AsOfDate,IF($Q103=0,$W103,IF(AND($S103&lt;&gt;"",EDATE($D103,Milestones!$AA$99)&gt;=$S103),$V103,IF(AND($R103&lt;&gt;"",EDATE($D103,Milestones!$AA$99)&gt;=$R103),$U103,$T103)))=Milestones!$AB$99),TEXT(EDATE($D103,Milestones!$AA$99),"dd/mm/yy")&amp;" "&amp;Milestones!$AB$99&amp;" "&amp;Milestones!$AC$99&amp;";  ",""))</f>
        <v/>
      </c>
      <c r="L103" s="0" t="str">
        <f aca="false">IF(OR($A103="",$D103=""),"",IF(AND(EDATE($D103,Milestones!$AA$100)&lt;=AsOfDate,IF($Q103=0,$W103,IF(AND($S103&lt;&gt;"",EDATE($D103,Milestones!$AA$100)&gt;=$S103),$V103,IF(AND($R103&lt;&gt;"",EDATE($D103,Milestones!$AA$100)&gt;=$R103),$U103,$T103)))=Milestones!$AB$100),TEXT(EDATE($D103,Milestones!$AA$100),"dd/mm/yy")&amp;" "&amp;Milestones!$AB$100&amp;" "&amp;Milestones!$AC$100&amp;";  ","")&amp;IF(AND(EDATE($D103,Milestones!$AA$101)&lt;=AsOfDate,IF($Q103=0,$W103,IF(AND($S103&lt;&gt;"",EDATE($D103,Milestones!$AA$101)&gt;=$S103),$V103,IF(AND($R103&lt;&gt;"",EDATE($D103,Milestones!$AA$101)&gt;=$R103),$U103,$T103)))=Milestones!$AB$101),TEXT(EDATE($D103,Milestones!$AA$101),"dd/mm/yy")&amp;" "&amp;Milestones!$AB$101&amp;" "&amp;Milestones!$AC$101&amp;";  ","")&amp;IF(AND(EDATE($D103,Milestones!$AA$102)&lt;=AsOfDate,IF($Q103=0,$W103,IF(AND($S103&lt;&gt;"",EDATE($D103,Milestones!$AA$102)&gt;=$S103),$V103,IF(AND($R103&lt;&gt;"",EDATE($D103,Milestones!$AA$102)&gt;=$R103),$U103,$T103)))=Milestones!$AB$102),TEXT(EDATE($D103,Milestones!$AA$102),"dd/mm/yy")&amp;" "&amp;Milestones!$AB$102&amp;" "&amp;Milestones!$AC$102&amp;";  ","")&amp;IF(AND(EDATE($D103,Milestones!$AA$103)&lt;=AsOfDate,IF($Q103=0,$W103,IF(AND($S103&lt;&gt;"",EDATE($D103,Milestones!$AA$103)&gt;=$S103),$V103,IF(AND($R103&lt;&gt;"",EDATE($D103,Milestones!$AA$103)&gt;=$R103),$U103,$T103)))=Milestones!$AB$103),TEXT(EDATE($D103,Milestones!$AA$103),"dd/mm/yy")&amp;" "&amp;Milestones!$AB$103&amp;" "&amp;Milestones!$AC$103&amp;";  ","")&amp;IF(AND(EDATE($D103,Milestones!$AA$104)&lt;=AsOfDate,IF($Q103=0,$W103,IF(AND($S103&lt;&gt;"",EDATE($D103,Milestones!$AA$104)&gt;=$S103),$V103,IF(AND($R103&lt;&gt;"",EDATE($D103,Milestones!$AA$104)&gt;=$R103),$U103,$T103)))=Milestones!$AB$104),TEXT(EDATE($D103,Milestones!$AA$104),"dd/mm/yy")&amp;" "&amp;Milestones!$AB$104&amp;" "&amp;Milestones!$AC$104&amp;";  ","")&amp;IF(AND(EDATE($D103,Milestones!$AA$105)&lt;=AsOfDate,IF($Q103=0,$W103,IF(AND($S103&lt;&gt;"",EDATE($D103,Milestones!$AA$105)&gt;=$S103),$V103,IF(AND($R103&lt;&gt;"",EDATE($D103,Milestones!$AA$105)&gt;=$R103),$U103,$T103)))=Milestones!$AB$105),TEXT(EDATE($D103,Milestones!$AA$105),"dd/mm/yy")&amp;" "&amp;Milestones!$AB$105&amp;" "&amp;Milestones!$AC$105&amp;";  ","")&amp;IF(AND(EDATE($D103,Milestones!$AA$106)&lt;=AsOfDate,IF($Q103=0,$W103,IF(AND($S103&lt;&gt;"",EDATE($D103,Milestones!$AA$106)&gt;=$S103),$V103,IF(AND($R103&lt;&gt;"",EDATE($D103,Milestones!$AA$106)&gt;=$R103),$U103,$T103)))=Milestones!$AB$106),TEXT(EDATE($D103,Milestones!$AA$106),"dd/mm/yy")&amp;" "&amp;Milestones!$AB$106&amp;" "&amp;Milestones!$AC$106&amp;";  ","")&amp;IF(AND(EDATE($D103,Milestones!$AA$107)&lt;=AsOfDate,IF($Q103=0,$W103,IF(AND($S103&lt;&gt;"",EDATE($D103,Milestones!$AA$107)&gt;=$S103),$V103,IF(AND($R103&lt;&gt;"",EDATE($D103,Milestones!$AA$107)&gt;=$R103),$U103,$T103)))=Milestones!$AB$107),TEXT(EDATE($D103,Milestones!$AA$107),"dd/mm/yy")&amp;" "&amp;Milestones!$AB$107&amp;" "&amp;Milestones!$AC$107&amp;";  ","")&amp;IF(AND(EDATE($D103,Milestones!$AA$108)&lt;=AsOfDate,IF($Q103=0,$W103,IF(AND($S103&lt;&gt;"",EDATE($D103,Milestones!$AA$108)&gt;=$S103),$V103,IF(AND($R103&lt;&gt;"",EDATE($D103,Milestones!$AA$108)&gt;=$R103),$U103,$T103)))=Milestones!$AB$108),TEXT(EDATE($D103,Milestones!$AA$108),"dd/mm/yy")&amp;" "&amp;Milestones!$AB$108&amp;" "&amp;Milestones!$AC$108&amp;";  ","")&amp;IF(AND(EDATE($D103,Milestones!$AA$109)&lt;=AsOfDate,IF($Q103=0,$W103,IF(AND($S103&lt;&gt;"",EDATE($D103,Milestones!$AA$109)&gt;=$S103),$V103,IF(AND($R103&lt;&gt;"",EDATE($D103,Milestones!$AA$109)&gt;=$R103),$U103,$T103)))=Milestones!$AB$109),TEXT(EDATE($D103,Milestones!$AA$109),"dd/mm/yy")&amp;" "&amp;Milestones!$AB$109&amp;" "&amp;Milestones!$AC$109&amp;";  ","")&amp;IF(AND(EDATE($D103,Milestones!$AA$110)&lt;=AsOfDate,IF($Q103=0,$W103,IF(AND($S103&lt;&gt;"",EDATE($D103,Milestones!$AA$110)&gt;=$S103),$V103,IF(AND($R103&lt;&gt;"",EDATE($D103,Milestones!$AA$110)&gt;=$R103),$U103,$T103)))=Milestones!$AB$110),TEXT(EDATE($D103,Milestones!$AA$110),"dd/mm/yy")&amp;" "&amp;Milestones!$AB$110&amp;" "&amp;Milestones!$AC$110&amp;";  ","")&amp;IF(AND(EDATE($D103,Milestones!$AA$111)&lt;=AsOfDate,IF($Q103=0,$W103,IF(AND($S103&lt;&gt;"",EDATE($D103,Milestones!$AA$111)&gt;=$S103),$V103,IF(AND($R103&lt;&gt;"",EDATE($D103,Milestones!$AA$111)&gt;=$R103),$U103,$T103)))=Milestones!$AB$111),TEXT(EDATE($D103,Milestones!$AA$111),"dd/mm/yy")&amp;" "&amp;Milestones!$AB$111&amp;" "&amp;Milestones!$AC$111&amp;";  ","")&amp;IF(AND(EDATE($D103,Milestones!$AA$112)&lt;=AsOfDate,IF($Q103=0,$W103,IF(AND($S103&lt;&gt;"",EDATE($D103,Milestones!$AA$112)&gt;=$S103),$V103,IF(AND($R103&lt;&gt;"",EDATE($D103,Milestones!$AA$112)&gt;=$R103),$U103,$T103)))=Milestones!$AB$112),TEXT(EDATE($D103,Milestones!$AA$112),"dd/mm/yy")&amp;" "&amp;Milestones!$AB$112&amp;" "&amp;Milestones!$AC$112&amp;";  ","")&amp;IF(AND(EDATE($D103,Milestones!$AA$113)&lt;=AsOfDate,IF($Q103=0,$W103,IF(AND($S103&lt;&gt;"",EDATE($D103,Milestones!$AA$113)&gt;=$S103),$V103,IF(AND($R103&lt;&gt;"",EDATE($D103,Milestones!$AA$113)&gt;=$R103),$U103,$T103)))=Milestones!$AB$113),TEXT(EDATE($D103,Milestones!$AA$113),"dd/mm/yy")&amp;" "&amp;Milestones!$AB$113&amp;" "&amp;Milestones!$AC$113&amp;";  ","")&amp;IF(AND(EDATE($D103,Milestones!$AA$114)&lt;=AsOfDate,IF($Q103=0,$W103,IF(AND($S103&lt;&gt;"",EDATE($D103,Milestones!$AA$114)&gt;=$S103),$V103,IF(AND($R103&lt;&gt;"",EDATE($D103,Milestones!$AA$114)&gt;=$R103),$U103,$T103)))=Milestones!$AB$114),TEXT(EDATE($D103,Milestones!$AA$114),"dd/mm/yy")&amp;" "&amp;Milestones!$AB$114&amp;" "&amp;Milestones!$AC$114&amp;";  ","")&amp;IF(AND(EDATE($D103,Milestones!$AA$115)&lt;=AsOfDate,IF($Q103=0,$W103,IF(AND($S103&lt;&gt;"",EDATE($D103,Milestones!$AA$115)&gt;=$S103),$V103,IF(AND($R103&lt;&gt;"",EDATE($D103,Milestones!$AA$115)&gt;=$R103),$U103,$T103)))=Milestones!$AB$115),TEXT(EDATE($D103,Milestones!$AA$115),"dd/mm/yy")&amp;" "&amp;Milestones!$AB$115&amp;" "&amp;Milestones!$AC$115&amp;";  ","")&amp;IF(AND(EDATE($D103,Milestones!$AA$116)&lt;=AsOfDate,IF($Q103=0,$W103,IF(AND($S103&lt;&gt;"",EDATE($D103,Milestones!$AA$116)&gt;=$S103),$V103,IF(AND($R103&lt;&gt;"",EDATE($D103,Milestones!$AA$116)&gt;=$R103),$U103,$T103)))=Milestones!$AB$116),TEXT(EDATE($D103,Milestones!$AA$116),"dd/mm/yy")&amp;" "&amp;Milestones!$AB$116&amp;" "&amp;Milestones!$AC$116&amp;";  ","")&amp;IF(AND(EDATE($D103,Milestones!$AA$117)&lt;=AsOfDate,IF($Q103=0,$W103,IF(AND($S103&lt;&gt;"",EDATE($D103,Milestones!$AA$117)&gt;=$S103),$V103,IF(AND($R103&lt;&gt;"",EDATE($D103,Milestones!$AA$117)&gt;=$R103),$U103,$T103)))=Milestones!$AB$117),TEXT(EDATE($D103,Milestones!$AA$117),"dd/mm/yy")&amp;" "&amp;Milestones!$AB$117&amp;" "&amp;Milestones!$AC$117&amp;";  ","")&amp;IF(AND(EDATE($D103,Milestones!$AA$118)&lt;=AsOfDate,IF($Q103=0,$W103,IF(AND($S103&lt;&gt;"",EDATE($D103,Milestones!$AA$118)&gt;=$S103),$V103,IF(AND($R103&lt;&gt;"",EDATE($D103,Milestones!$AA$118)&gt;=$R103),$U103,$T103)))=Milestones!$AB$118),TEXT(EDATE($D103,Milestones!$AA$118),"dd/mm/yy")&amp;" "&amp;Milestones!$AB$118&amp;" "&amp;Milestones!$AC$118&amp;";  ","")&amp;IF(AND(EDATE($D103,Milestones!$AA$119)&lt;=AsOfDate,IF($Q103=0,$W103,IF(AND($S103&lt;&gt;"",EDATE($D103,Milestones!$AA$119)&gt;=$S103),$V103,IF(AND($R103&lt;&gt;"",EDATE($D103,Milestones!$AA$119)&gt;=$R103),$U103,$T103)))=Milestones!$AB$119),TEXT(EDATE($D103,Milestones!$AA$119),"dd/mm/yy")&amp;" "&amp;Milestones!$AB$119&amp;" "&amp;Milestones!$AC$119&amp;";  ",""))</f>
        <v/>
      </c>
      <c r="M103" s="0" t="str">
        <f aca="false">IF(OR($A103="",$D103=""),"",IF(AND(EDATE($D103,Milestones!$AA$120)&lt;=AsOfDate,IF($Q103=0,$W103,IF(AND($S103&lt;&gt;"",EDATE($D103,Milestones!$AA$120)&gt;=$S103),$V103,IF(AND($R103&lt;&gt;"",EDATE($D103,Milestones!$AA$120)&gt;=$R103),$U103,$T103)))=Milestones!$AB$120),TEXT(EDATE($D103,Milestones!$AA$120),"dd/mm/yy")&amp;" "&amp;Milestones!$AB$120&amp;" "&amp;Milestones!$AC$120&amp;";  ","")&amp;IF(AND(EDATE($D103,Milestones!$AA$121)&lt;=AsOfDate,IF($Q103=0,$W103,IF(AND($S103&lt;&gt;"",EDATE($D103,Milestones!$AA$121)&gt;=$S103),$V103,IF(AND($R103&lt;&gt;"",EDATE($D103,Milestones!$AA$121)&gt;=$R103),$U103,$T103)))=Milestones!$AB$121),TEXT(EDATE($D103,Milestones!$AA$121),"dd/mm/yy")&amp;" "&amp;Milestones!$AB$121&amp;" "&amp;Milestones!$AC$121&amp;";  ","")&amp;IF(AND(EDATE($D103,Milestones!$AA$122)&lt;=AsOfDate,IF($Q103=0,$W103,IF(AND($S103&lt;&gt;"",EDATE($D103,Milestones!$AA$122)&gt;=$S103),$V103,IF(AND($R103&lt;&gt;"",EDATE($D103,Milestones!$AA$122)&gt;=$R103),$U103,$T103)))=Milestones!$AB$122),TEXT(EDATE($D103,Milestones!$AA$122),"dd/mm/yy")&amp;" "&amp;Milestones!$AB$122&amp;" "&amp;Milestones!$AC$122&amp;";  ","")&amp;IF(AND(EDATE($D103,Milestones!$AA$123)&lt;=AsOfDate,IF($Q103=0,$W103,IF(AND($S103&lt;&gt;"",EDATE($D103,Milestones!$AA$123)&gt;=$S103),$V103,IF(AND($R103&lt;&gt;"",EDATE($D103,Milestones!$AA$123)&gt;=$R103),$U103,$T103)))=Milestones!$AB$123),TEXT(EDATE($D103,Milestones!$AA$123),"dd/mm/yy")&amp;" "&amp;Milestones!$AB$123&amp;" "&amp;Milestones!$AC$123&amp;";  ","")&amp;IF(AND(EDATE($D103,Milestones!$AA$124)&lt;=AsOfDate,IF($Q103=0,$W103,IF(AND($S103&lt;&gt;"",EDATE($D103,Milestones!$AA$124)&gt;=$S103),$V103,IF(AND($R103&lt;&gt;"",EDATE($D103,Milestones!$AA$124)&gt;=$R103),$U103,$T103)))=Milestones!$AB$124),TEXT(EDATE($D103,Milestones!$AA$124),"dd/mm/yy")&amp;" "&amp;Milestones!$AB$124&amp;" "&amp;Milestones!$AC$124&amp;";  ","")&amp;IF(AND(EDATE($D103,Milestones!$AA$125)&lt;=AsOfDate,IF($Q103=0,$W103,IF(AND($S103&lt;&gt;"",EDATE($D103,Milestones!$AA$125)&gt;=$S103),$V103,IF(AND($R103&lt;&gt;"",EDATE($D103,Milestones!$AA$125)&gt;=$R103),$U103,$T103)))=Milestones!$AB$125),TEXT(EDATE($D103,Milestones!$AA$125),"dd/mm/yy")&amp;" "&amp;Milestones!$AB$125&amp;" "&amp;Milestones!$AC$125&amp;";  ","")&amp;IF(AND(EDATE($D103,Milestones!$AA$126)&lt;=AsOfDate,IF($Q103=0,$W103,IF(AND($S103&lt;&gt;"",EDATE($D103,Milestones!$AA$126)&gt;=$S103),$V103,IF(AND($R103&lt;&gt;"",EDATE($D103,Milestones!$AA$126)&gt;=$R103),$U103,$T103)))=Milestones!$AB$126),TEXT(EDATE($D103,Milestones!$AA$126),"dd/mm/yy")&amp;" "&amp;Milestones!$AB$126&amp;" "&amp;Milestones!$AC$126&amp;";  ","")&amp;IF(AND(EDATE($D103,Milestones!$AA$127)&lt;=AsOfDate,IF($Q103=0,$W103,IF(AND($S103&lt;&gt;"",EDATE($D103,Milestones!$AA$127)&gt;=$S103),$V103,IF(AND($R103&lt;&gt;"",EDATE($D103,Milestones!$AA$127)&gt;=$R103),$U103,$T103)))=Milestones!$AB$127),TEXT(EDATE($D103,Milestones!$AA$127),"dd/mm/yy")&amp;" "&amp;Milestones!$AB$127&amp;" "&amp;Milestones!$AC$127&amp;";  ","")&amp;IF(AND(EDATE($D103,Milestones!$AA$128)&lt;=AsOfDate,IF($Q103=0,$W103,IF(AND($S103&lt;&gt;"",EDATE($D103,Milestones!$AA$128)&gt;=$S103),$V103,IF(AND($R103&lt;&gt;"",EDATE($D103,Milestones!$AA$128)&gt;=$R103),$U103,$T103)))=Milestones!$AB$128),TEXT(EDATE($D103,Milestones!$AA$128),"dd/mm/yy")&amp;" "&amp;Milestones!$AB$128&amp;" "&amp;Milestones!$AC$128&amp;";  ","")&amp;IF(AND(EDATE($D103,Milestones!$AA$129)&lt;=AsOfDate,IF($Q103=0,$W103,IF(AND($S103&lt;&gt;"",EDATE($D103,Milestones!$AA$129)&gt;=$S103),$V103,IF(AND($R103&lt;&gt;"",EDATE($D103,Milestones!$AA$129)&gt;=$R103),$U103,$T103)))=Milestones!$AB$129),TEXT(EDATE($D103,Milestones!$AA$129),"dd/mm/yy")&amp;" "&amp;Milestones!$AB$129&amp;" "&amp;Milestones!$AC$129&amp;";  ","")&amp;IF(AND(EDATE($D103,Milestones!$AA$130)&lt;=AsOfDate,IF($Q103=0,$W103,IF(AND($S103&lt;&gt;"",EDATE($D103,Milestones!$AA$130)&gt;=$S103),$V103,IF(AND($R103&lt;&gt;"",EDATE($D103,Milestones!$AA$130)&gt;=$R103),$U103,$T103)))=Milestones!$AB$130),TEXT(EDATE($D103,Milestones!$AA$130),"dd/mm/yy")&amp;" "&amp;Milestones!$AB$130&amp;" "&amp;Milestones!$AC$130&amp;";  ","")&amp;IF(AND(EDATE($D103,Milestones!$AA$131)&lt;=AsOfDate,IF($Q103=0,$W103,IF(AND($S103&lt;&gt;"",EDATE($D103,Milestones!$AA$131)&gt;=$S103),$V103,IF(AND($R103&lt;&gt;"",EDATE($D103,Milestones!$AA$131)&gt;=$R103),$U103,$T103)))=Milestones!$AB$131),TEXT(EDATE($D103,Milestones!$AA$131),"dd/mm/yy")&amp;" "&amp;Milestones!$AB$131&amp;" "&amp;Milestones!$AC$131&amp;";  ","")&amp;IF(AND(EDATE($D103,Milestones!$AA$132)&lt;=AsOfDate,IF($Q103=0,$W103,IF(AND($S103&lt;&gt;"",EDATE($D103,Milestones!$AA$132)&gt;=$S103),$V103,IF(AND($R103&lt;&gt;"",EDATE($D103,Milestones!$AA$132)&gt;=$R103),$U103,$T103)))=Milestones!$AB$132),TEXT(EDATE($D103,Milestones!$AA$132),"dd/mm/yy")&amp;" "&amp;Milestones!$AB$132&amp;" "&amp;Milestones!$AC$132&amp;";  ","")&amp;IF(AND(EDATE($D103,Milestones!$AA$133)&lt;=AsOfDate,IF($Q103=0,$W103,IF(AND($S103&lt;&gt;"",EDATE($D103,Milestones!$AA$133)&gt;=$S103),$V103,IF(AND($R103&lt;&gt;"",EDATE($D103,Milestones!$AA$133)&gt;=$R103),$U103,$T103)))=Milestones!$AB$133),TEXT(EDATE($D103,Milestones!$AA$133),"dd/mm/yy")&amp;" "&amp;Milestones!$AB$133&amp;" "&amp;Milestones!$AC$133&amp;";  ","")&amp;IF(AND(EDATE($D103,Milestones!$AA$134)&lt;=AsOfDate,IF($Q103=0,$W103,IF(AND($S103&lt;&gt;"",EDATE($D103,Milestones!$AA$134)&gt;=$S103),$V103,IF(AND($R103&lt;&gt;"",EDATE($D103,Milestones!$AA$134)&gt;=$R103),$U103,$T103)))=Milestones!$AB$134),TEXT(EDATE($D103,Milestones!$AA$134),"dd/mm/yy")&amp;" "&amp;Milestones!$AB$134&amp;" "&amp;Milestones!$AC$134&amp;";  ","")&amp;IF(AND(EDATE($D103,Milestones!$AA$135)&lt;=AsOfDate,IF($Q103=0,$W103,IF(AND($S103&lt;&gt;"",EDATE($D103,Milestones!$AA$135)&gt;=$S103),$V103,IF(AND($R103&lt;&gt;"",EDATE($D103,Milestones!$AA$135)&gt;=$R103),$U103,$T103)))=Milestones!$AB$135),TEXT(EDATE($D103,Milestones!$AA$135),"dd/mm/yy")&amp;" "&amp;Milestones!$AB$135&amp;" "&amp;Milestones!$AC$135&amp;";  ","")&amp;IF(AND(EDATE($D103,Milestones!$AA$136)&lt;=AsOfDate,IF($Q103=0,$W103,IF(AND($S103&lt;&gt;"",EDATE($D103,Milestones!$AA$136)&gt;=$S103),$V103,IF(AND($R103&lt;&gt;"",EDATE($D103,Milestones!$AA$136)&gt;=$R103),$U103,$T103)))=Milestones!$AB$136),TEXT(EDATE($D103,Milestones!$AA$136),"dd/mm/yy")&amp;" "&amp;Milestones!$AB$136&amp;" "&amp;Milestones!$AC$136&amp;";  ","")&amp;IF(AND(EDATE($D103,Milestones!$AA$137)&lt;=AsOfDate,IF($Q103=0,$W103,IF(AND($S103&lt;&gt;"",EDATE($D103,Milestones!$AA$137)&gt;=$S103),$V103,IF(AND($R103&lt;&gt;"",EDATE($D103,Milestones!$AA$137)&gt;=$R103),$U103,$T103)))=Milestones!$AB$137),TEXT(EDATE($D103,Milestones!$AA$137),"dd/mm/yy")&amp;" "&amp;Milestones!$AB$137&amp;" "&amp;Milestones!$AC$137&amp;";  ","")&amp;IF(AND(EDATE($D103,Milestones!$AA$138)&lt;=AsOfDate,IF($Q103=0,$W103,IF(AND($S103&lt;&gt;"",EDATE($D103,Milestones!$AA$138)&gt;=$S103),$V103,IF(AND($R103&lt;&gt;"",EDATE($D103,Milestones!$AA$138)&gt;=$R103),$U103,$T103)))=Milestones!$AB$138),TEXT(EDATE($D103,Milestones!$AA$138),"dd/mm/yy")&amp;" "&amp;Milestones!$AB$138&amp;" "&amp;Milestones!$AC$138&amp;";  ","")&amp;IF(AND(EDATE($D103,Milestones!$AA$139)&lt;=AsOfDate,IF($Q103=0,$W103,IF(AND($S103&lt;&gt;"",EDATE($D103,Milestones!$AA$139)&gt;=$S103),$V103,IF(AND($R103&lt;&gt;"",EDATE($D103,Milestones!$AA$139)&gt;=$R103),$U103,$T103)))=Milestones!$AB$139),TEXT(EDATE($D103,Milestones!$AA$139),"dd/mm/yy")&amp;" "&amp;Milestones!$AB$139&amp;" "&amp;Milestones!$AC$139&amp;";  ",""))</f>
        <v/>
      </c>
      <c r="N103" s="0" t="str">
        <f aca="false">IF(OR($A103="",$D103=""),"",IF(AND(EDATE($D103,Milestones!$AA$140)&lt;=AsOfDate,IF($Q103=0,$W103,IF(AND($S103&lt;&gt;"",EDATE($D103,Milestones!$AA$140)&gt;=$S103),$V103,IF(AND($R103&lt;&gt;"",EDATE($D103,Milestones!$AA$140)&gt;=$R103),$U103,$T103)))=Milestones!$AB$140),TEXT(EDATE($D103,Milestones!$AA$140),"dd/mm/yy")&amp;" "&amp;Milestones!$AB$140&amp;" "&amp;Milestones!$AC$140&amp;";  ","")&amp;IF(AND(EDATE($D103,Milestones!$AA$141)&lt;=AsOfDate,IF($Q103=0,$W103,IF(AND($S103&lt;&gt;"",EDATE($D103,Milestones!$AA$141)&gt;=$S103),$V103,IF(AND($R103&lt;&gt;"",EDATE($D103,Milestones!$AA$141)&gt;=$R103),$U103,$T103)))=Milestones!$AB$141),TEXT(EDATE($D103,Milestones!$AA$141),"dd/mm/yy")&amp;" "&amp;Milestones!$AB$141&amp;" "&amp;Milestones!$AC$141&amp;";  ","")&amp;IF(AND(EDATE($D103,Milestones!$AA$142)&lt;=AsOfDate,IF($Q103=0,$W103,IF(AND($S103&lt;&gt;"",EDATE($D103,Milestones!$AA$142)&gt;=$S103),$V103,IF(AND($R103&lt;&gt;"",EDATE($D103,Milestones!$AA$142)&gt;=$R103),$U103,$T103)))=Milestones!$AB$142),TEXT(EDATE($D103,Milestones!$AA$142),"dd/mm/yy")&amp;" "&amp;Milestones!$AB$142&amp;" "&amp;Milestones!$AC$142&amp;";  ","")&amp;IF(AND(EDATE($D103,Milestones!$AA$143)&lt;=AsOfDate,IF($Q103=0,$W103,IF(AND($S103&lt;&gt;"",EDATE($D103,Milestones!$AA$143)&gt;=$S103),$V103,IF(AND($R103&lt;&gt;"",EDATE($D103,Milestones!$AA$143)&gt;=$R103),$U103,$T103)))=Milestones!$AB$143),TEXT(EDATE($D103,Milestones!$AA$143),"dd/mm/yy")&amp;" "&amp;Milestones!$AB$143&amp;" "&amp;Milestones!$AC$143&amp;";  ","")&amp;IF(AND(EDATE($D103,Milestones!$AA$144)&lt;=AsOfDate,IF($Q103=0,$W103,IF(AND($S103&lt;&gt;"",EDATE($D103,Milestones!$AA$144)&gt;=$S103),$V103,IF(AND($R103&lt;&gt;"",EDATE($D103,Milestones!$AA$144)&gt;=$R103),$U103,$T103)))=Milestones!$AB$144),TEXT(EDATE($D103,Milestones!$AA$144),"dd/mm/yy")&amp;" "&amp;Milestones!$AB$144&amp;" "&amp;Milestones!$AC$144&amp;";  ","")&amp;IF(AND(EDATE($D103,Milestones!$AA$145)&lt;=AsOfDate,IF($Q103=0,$W103,IF(AND($S103&lt;&gt;"",EDATE($D103,Milestones!$AA$145)&gt;=$S103),$V103,IF(AND($R103&lt;&gt;"",EDATE($D103,Milestones!$AA$145)&gt;=$R103),$U103,$T103)))=Milestones!$AB$145),TEXT(EDATE($D103,Milestones!$AA$145),"dd/mm/yy")&amp;" "&amp;Milestones!$AB$145&amp;" "&amp;Milestones!$AC$145&amp;";  ","")&amp;IF(AND(EDATE($D103,Milestones!$AA$146)&lt;=AsOfDate,IF($Q103=0,$W103,IF(AND($S103&lt;&gt;"",EDATE($D103,Milestones!$AA$146)&gt;=$S103),$V103,IF(AND($R103&lt;&gt;"",EDATE($D103,Milestones!$AA$146)&gt;=$R103),$U103,$T103)))=Milestones!$AB$146),TEXT(EDATE($D103,Milestones!$AA$146),"dd/mm/yy")&amp;" "&amp;Milestones!$AB$146&amp;" "&amp;Milestones!$AC$146&amp;";  ","")&amp;IF(AND(EDATE($D103,Milestones!$AA$147)&lt;=AsOfDate,IF($Q103=0,$W103,IF(AND($S103&lt;&gt;"",EDATE($D103,Milestones!$AA$147)&gt;=$S103),$V103,IF(AND($R103&lt;&gt;"",EDATE($D103,Milestones!$AA$147)&gt;=$R103),$U103,$T103)))=Milestones!$AB$147),TEXT(EDATE($D103,Milestones!$AA$147),"dd/mm/yy")&amp;" "&amp;Milestones!$AB$147&amp;" "&amp;Milestones!$AC$147&amp;";  ","")&amp;IF(AND(EDATE($D103,Milestones!$AA$148)&lt;=AsOfDate,IF($Q103=0,$W103,IF(AND($S103&lt;&gt;"",EDATE($D103,Milestones!$AA$148)&gt;=$S103),$V103,IF(AND($R103&lt;&gt;"",EDATE($D103,Milestones!$AA$148)&gt;=$R103),$U103,$T103)))=Milestones!$AB$148),TEXT(EDATE($D103,Milestones!$AA$148),"dd/mm/yy")&amp;" "&amp;Milestones!$AB$148&amp;" "&amp;Milestones!$AC$148&amp;";  ","")&amp;IF(AND(EDATE($D103,Milestones!$AA$149)&lt;=AsOfDate,IF($Q103=0,$W103,IF(AND($S103&lt;&gt;"",EDATE($D103,Milestones!$AA$149)&gt;=$S103),$V103,IF(AND($R103&lt;&gt;"",EDATE($D103,Milestones!$AA$149)&gt;=$R103),$U103,$T103)))=Milestones!$AB$149),TEXT(EDATE($D103,Milestones!$AA$149),"dd/mm/yy")&amp;" "&amp;Milestones!$AB$149&amp;" "&amp;Milestones!$AC$149&amp;";  ","")&amp;IF(AND(EDATE($D103,Milestones!$AA$150)&lt;=AsOfDate,IF($Q103=0,$W103,IF(AND($S103&lt;&gt;"",EDATE($D103,Milestones!$AA$150)&gt;=$S103),$V103,IF(AND($R103&lt;&gt;"",EDATE($D103,Milestones!$AA$150)&gt;=$R103),$U103,$T103)))=Milestones!$AB$150),TEXT(EDATE($D103,Milestones!$AA$150),"dd/mm/yy")&amp;" "&amp;Milestones!$AB$150&amp;" "&amp;Milestones!$AC$150&amp;";  ","")&amp;IF(AND(EDATE($D103,Milestones!$AA$151)&lt;=AsOfDate,IF($Q103=0,$W103,IF(AND($S103&lt;&gt;"",EDATE($D103,Milestones!$AA$151)&gt;=$S103),$V103,IF(AND($R103&lt;&gt;"",EDATE($D103,Milestones!$AA$151)&gt;=$R103),$U103,$T103)))=Milestones!$AB$151),TEXT(EDATE($D103,Milestones!$AA$151),"dd/mm/yy")&amp;" "&amp;Milestones!$AB$151&amp;" "&amp;Milestones!$AC$151&amp;";  ","")&amp;IF(AND(EDATE($D103,Milestones!$AA$152)&lt;=AsOfDate,IF($Q103=0,$W103,IF(AND($S103&lt;&gt;"",EDATE($D103,Milestones!$AA$152)&gt;=$S103),$V103,IF(AND($R103&lt;&gt;"",EDATE($D103,Milestones!$AA$152)&gt;=$R103),$U103,$T103)))=Milestones!$AB$152),TEXT(EDATE($D103,Milestones!$AA$152),"dd/mm/yy")&amp;" "&amp;Milestones!$AB$152&amp;" "&amp;Milestones!$AC$152&amp;";  ","")&amp;IF(AND(EDATE($D103,Milestones!$AA$153)&lt;=AsOfDate,IF($Q103=0,$W103,IF(AND($S103&lt;&gt;"",EDATE($D103,Milestones!$AA$153)&gt;=$S103),$V103,IF(AND($R103&lt;&gt;"",EDATE($D103,Milestones!$AA$153)&gt;=$R103),$U103,$T103)))=Milestones!$AB$153),TEXT(EDATE($D103,Milestones!$AA$153),"dd/mm/yy")&amp;" "&amp;Milestones!$AB$153&amp;" "&amp;Milestones!$AC$153&amp;";  ","")&amp;IF(AND(EDATE($D103,Milestones!$AA$154)&lt;=AsOfDate,IF($Q103=0,$W103,IF(AND($S103&lt;&gt;"",EDATE($D103,Milestones!$AA$154)&gt;=$S103),$V103,IF(AND($R103&lt;&gt;"",EDATE($D103,Milestones!$AA$154)&gt;=$R103),$U103,$T103)))=Milestones!$AB$154),TEXT(EDATE($D103,Milestones!$AA$154),"dd/mm/yy")&amp;" "&amp;Milestones!$AB$154&amp;" "&amp;Milestones!$AC$154&amp;";  ","")&amp;IF(AND(EDATE($D103,Milestones!$AA$155)&lt;=AsOfDate,IF($Q103=0,$W103,IF(AND($S103&lt;&gt;"",EDATE($D103,Milestones!$AA$155)&gt;=$S103),$V103,IF(AND($R103&lt;&gt;"",EDATE($D103,Milestones!$AA$155)&gt;=$R103),$U103,$T103)))=Milestones!$AB$155),TEXT(EDATE($D103,Milestones!$AA$155),"dd/mm/yy")&amp;" "&amp;Milestones!$AB$155&amp;" "&amp;Milestones!$AC$155&amp;";  ","")&amp;IF(AND(EDATE($D103,Milestones!$AA$156)&lt;=AsOfDate,IF($Q103=0,$W103,IF(AND($S103&lt;&gt;"",EDATE($D103,Milestones!$AA$156)&gt;=$S103),$V103,IF(AND($R103&lt;&gt;"",EDATE($D103,Milestones!$AA$156)&gt;=$R103),$U103,$T103)))=Milestones!$AB$156),TEXT(EDATE($D103,Milestones!$AA$156),"dd/mm/yy")&amp;" "&amp;Milestones!$AB$156&amp;" "&amp;Milestones!$AC$156&amp;";  ","")&amp;IF(AND(EDATE($D103,Milestones!$AA$157)&lt;=AsOfDate,IF($Q103=0,$W103,IF(AND($S103&lt;&gt;"",EDATE($D103,Milestones!$AA$157)&gt;=$S103),$V103,IF(AND($R103&lt;&gt;"",EDATE($D103,Milestones!$AA$157)&gt;=$R103),$U103,$T103)))=Milestones!$AB$157),TEXT(EDATE($D103,Milestones!$AA$157),"dd/mm/yy")&amp;" "&amp;Milestones!$AB$157&amp;" "&amp;Milestones!$AC$157&amp;";  ","")&amp;IF(AND(EDATE($D103,Milestones!$AA$158)&lt;=AsOfDate,IF($Q103=0,$W103,IF(AND($S103&lt;&gt;"",EDATE($D103,Milestones!$AA$158)&gt;=$S103),$V103,IF(AND($R103&lt;&gt;"",EDATE($D103,Milestones!$AA$158)&gt;=$R103),$U103,$T103)))=Milestones!$AB$158),TEXT(EDATE($D103,Milestones!$AA$158),"dd/mm/yy")&amp;" "&amp;Milestones!$AB$158&amp;" "&amp;Milestones!$AC$158&amp;";  ","")&amp;IF(AND(EDATE($D103,Milestones!$AA$159)&lt;=AsOfDate,IF($Q103=0,$W103,IF(AND($S103&lt;&gt;"",EDATE($D103,Milestones!$AA$159)&gt;=$S103),$V103,IF(AND($R103&lt;&gt;"",EDATE($D103,Milestones!$AA$159)&gt;=$R103),$U103,$T103)))=Milestones!$AB$159),TEXT(EDATE($D103,Milestones!$AA$159),"dd/mm/yy")&amp;" "&amp;Milestones!$AB$159&amp;" "&amp;Milestones!$AC$159&amp;";  ",""))</f>
        <v/>
      </c>
      <c r="O103" s="0" t="str">
        <f aca="false">IF(OR($A103="",$D103=""),"",IF(AND(EDATE($D103,Milestones!$AA$160)&lt;=AsOfDate,IF($Q103=0,$W103,IF(AND($S103&lt;&gt;"",EDATE($D103,Milestones!$AA$160)&gt;=$S103),$V103,IF(AND($R103&lt;&gt;"",EDATE($D103,Milestones!$AA$160)&gt;=$R103),$U103,$T103)))=Milestones!$AB$160),TEXT(EDATE($D103,Milestones!$AA$160),"dd/mm/yy")&amp;" "&amp;Milestones!$AB$160&amp;" "&amp;Milestones!$AC$160&amp;";  ","")&amp;IF(AND(EDATE($D103,Milestones!$AA$161)&lt;=AsOfDate,IF($Q103=0,$W103,IF(AND($S103&lt;&gt;"",EDATE($D103,Milestones!$AA$161)&gt;=$S103),$V103,IF(AND($R103&lt;&gt;"",EDATE($D103,Milestones!$AA$161)&gt;=$R103),$U103,$T103)))=Milestones!$AB$161),TEXT(EDATE($D103,Milestones!$AA$161),"dd/mm/yy")&amp;" "&amp;Milestones!$AB$161&amp;" "&amp;Milestones!$AC$161&amp;";  ","")&amp;IF(AND(EDATE($D103,Milestones!$AA$162)&lt;=AsOfDate,IF($Q103=0,$W103,IF(AND($S103&lt;&gt;"",EDATE($D103,Milestones!$AA$162)&gt;=$S103),$V103,IF(AND($R103&lt;&gt;"",EDATE($D103,Milestones!$AA$162)&gt;=$R103),$U103,$T103)))=Milestones!$AB$162),TEXT(EDATE($D103,Milestones!$AA$162),"dd/mm/yy")&amp;" "&amp;Milestones!$AB$162&amp;" "&amp;Milestones!$AC$162&amp;";  ","")&amp;IF(AND(EDATE($D103,Milestones!$AA$163)&lt;=AsOfDate,IF($Q103=0,$W103,IF(AND($S103&lt;&gt;"",EDATE($D103,Milestones!$AA$163)&gt;=$S103),$V103,IF(AND($R103&lt;&gt;"",EDATE($D103,Milestones!$AA$163)&gt;=$R103),$U103,$T103)))=Milestones!$AB$163),TEXT(EDATE($D103,Milestones!$AA$163),"dd/mm/yy")&amp;" "&amp;Milestones!$AB$163&amp;" "&amp;Milestones!$AC$163&amp;";  ","")&amp;IF(AND(EDATE($D103,Milestones!$AA$164)&lt;=AsOfDate,IF($Q103=0,$W103,IF(AND($S103&lt;&gt;"",EDATE($D103,Milestones!$AA$164)&gt;=$S103),$V103,IF(AND($R103&lt;&gt;"",EDATE($D103,Milestones!$AA$164)&gt;=$R103),$U103,$T103)))=Milestones!$AB$164),TEXT(EDATE($D103,Milestones!$AA$164),"dd/mm/yy")&amp;" "&amp;Milestones!$AB$164&amp;" "&amp;Milestones!$AC$164&amp;";  ","")&amp;IF(AND(EDATE($D103,Milestones!$AA$165)&lt;=AsOfDate,IF($Q103=0,$W103,IF(AND($S103&lt;&gt;"",EDATE($D103,Milestones!$AA$165)&gt;=$S103),$V103,IF(AND($R103&lt;&gt;"",EDATE($D103,Milestones!$AA$165)&gt;=$R103),$U103,$T103)))=Milestones!$AB$165),TEXT(EDATE($D103,Milestones!$AA$165),"dd/mm/yy")&amp;" "&amp;Milestones!$AB$165&amp;" "&amp;Milestones!$AC$165&amp;";  ","")&amp;IF(AND(EDATE($D103,Milestones!$AA$166)&lt;=AsOfDate,IF($Q103=0,$W103,IF(AND($S103&lt;&gt;"",EDATE($D103,Milestones!$AA$166)&gt;=$S103),$V103,IF(AND($R103&lt;&gt;"",EDATE($D103,Milestones!$AA$166)&gt;=$R103),$U103,$T103)))=Milestones!$AB$166),TEXT(EDATE($D103,Milestones!$AA$166),"dd/mm/yy")&amp;" "&amp;Milestones!$AB$166&amp;" "&amp;Milestones!$AC$166&amp;";  ","")&amp;IF(AND(EDATE($D103,Milestones!$AA$167)&lt;=AsOfDate,IF($Q103=0,$W103,IF(AND($S103&lt;&gt;"",EDATE($D103,Milestones!$AA$167)&gt;=$S103),$V103,IF(AND($R103&lt;&gt;"",EDATE($D103,Milestones!$AA$167)&gt;=$R103),$U103,$T103)))=Milestones!$AB$167),TEXT(EDATE($D103,Milestones!$AA$167),"dd/mm/yy")&amp;" "&amp;Milestones!$AB$167&amp;" "&amp;Milestones!$AC$167&amp;";  ","")&amp;IF(AND(EDATE($D103,Milestones!$AA$168)&lt;=AsOfDate,IF($Q103=0,$W103,IF(AND($S103&lt;&gt;"",EDATE($D103,Milestones!$AA$168)&gt;=$S103),$V103,IF(AND($R103&lt;&gt;"",EDATE($D103,Milestones!$AA$168)&gt;=$R103),$U103,$T103)))=Milestones!$AB$168),TEXT(EDATE($D103,Milestones!$AA$168),"dd/mm/yy")&amp;" "&amp;Milestones!$AB$168&amp;" "&amp;Milestones!$AC$168&amp;";  ","")&amp;IF(AND(EDATE($D103,Milestones!$AA$169)&lt;=AsOfDate,IF($Q103=0,$W103,IF(AND($S103&lt;&gt;"",EDATE($D103,Milestones!$AA$169)&gt;=$S103),$V103,IF(AND($R103&lt;&gt;"",EDATE($D103,Milestones!$AA$169)&gt;=$R103),$U103,$T103)))=Milestones!$AB$169),TEXT(EDATE($D103,Milestones!$AA$169),"dd/mm/yy")&amp;" "&amp;Milestones!$AB$169&amp;" "&amp;Milestones!$AC$169&amp;";  ","")&amp;IF(AND(EDATE($D103,Milestones!$AA$170)&lt;=AsOfDate,IF($Q103=0,$W103,IF(AND($S103&lt;&gt;"",EDATE($D103,Milestones!$AA$170)&gt;=$S103),$V103,IF(AND($R103&lt;&gt;"",EDATE($D103,Milestones!$AA$170)&gt;=$R103),$U103,$T103)))=Milestones!$AB$170),TEXT(EDATE($D103,Milestones!$AA$170),"dd/mm/yy")&amp;" "&amp;Milestones!$AB$170&amp;" "&amp;Milestones!$AC$170&amp;";  ","")&amp;IF(AND(EDATE($D103,Milestones!$AA$171)&lt;=AsOfDate,IF($Q103=0,$W103,IF(AND($S103&lt;&gt;"",EDATE($D103,Milestones!$AA$171)&gt;=$S103),$V103,IF(AND($R103&lt;&gt;"",EDATE($D103,Milestones!$AA$171)&gt;=$R103),$U103,$T103)))=Milestones!$AB$171),TEXT(EDATE($D103,Milestones!$AA$171),"dd/mm/yy")&amp;" "&amp;Milestones!$AB$171&amp;" "&amp;Milestones!$AC$171&amp;";  ","")&amp;IF(AND(EDATE($D103,Milestones!$AA$172)&lt;=AsOfDate,IF($Q103=0,$W103,IF(AND($S103&lt;&gt;"",EDATE($D103,Milestones!$AA$172)&gt;=$S103),$V103,IF(AND($R103&lt;&gt;"",EDATE($D103,Milestones!$AA$172)&gt;=$R103),$U103,$T103)))=Milestones!$AB$172),TEXT(EDATE($D103,Milestones!$AA$172),"dd/mm/yy")&amp;" "&amp;Milestones!$AB$172&amp;" "&amp;Milestones!$AC$172&amp;";  ","")&amp;IF(AND(EDATE($D103,Milestones!$AA$173)&lt;=AsOfDate,IF($Q103=0,$W103,IF(AND($S103&lt;&gt;"",EDATE($D103,Milestones!$AA$173)&gt;=$S103),$V103,IF(AND($R103&lt;&gt;"",EDATE($D103,Milestones!$AA$173)&gt;=$R103),$U103,$T103)))=Milestones!$AB$173),TEXT(EDATE($D103,Milestones!$AA$173),"dd/mm/yy")&amp;" "&amp;Milestones!$AB$173&amp;" "&amp;Milestones!$AC$173&amp;";  ","")&amp;IF(AND(EDATE($D103,Milestones!$AA$174)&lt;=AsOfDate,IF($Q103=0,$W103,IF(AND($S103&lt;&gt;"",EDATE($D103,Milestones!$AA$174)&gt;=$S103),$V103,IF(AND($R103&lt;&gt;"",EDATE($D103,Milestones!$AA$174)&gt;=$R103),$U103,$T103)))=Milestones!$AB$174),TEXT(EDATE($D103,Milestones!$AA$174),"dd/mm/yy")&amp;" "&amp;Milestones!$AB$174&amp;" "&amp;Milestones!$AC$174&amp;";  ","")&amp;IF(AND(EDATE($D103,Milestones!$AA$175)&lt;=AsOfDate,IF($Q103=0,$W103,IF(AND($S103&lt;&gt;"",EDATE($D103,Milestones!$AA$175)&gt;=$S103),$V103,IF(AND($R103&lt;&gt;"",EDATE($D103,Milestones!$AA$175)&gt;=$R103),$U103,$T103)))=Milestones!$AB$175),TEXT(EDATE($D103,Milestones!$AA$175),"dd/mm/yy")&amp;" "&amp;Milestones!$AB$175&amp;" "&amp;Milestones!$AC$175&amp;";  ","")&amp;IF(AND(EDATE($D103,Milestones!$AA$176)&lt;=AsOfDate,IF($Q103=0,$W103,IF(AND($S103&lt;&gt;"",EDATE($D103,Milestones!$AA$176)&gt;=$S103),$V103,IF(AND($R103&lt;&gt;"",EDATE($D103,Milestones!$AA$176)&gt;=$R103),$U103,$T103)))=Milestones!$AB$176),TEXT(EDATE($D103,Milestones!$AA$176),"dd/mm/yy")&amp;" "&amp;Milestones!$AB$176&amp;" "&amp;Milestones!$AC$176&amp;";  ","")&amp;IF(AND(EDATE($D103,Milestones!$AA$177)&lt;=AsOfDate,IF($Q103=0,$W103,IF(AND($S103&lt;&gt;"",EDATE($D103,Milestones!$AA$177)&gt;=$S103),$V103,IF(AND($R103&lt;&gt;"",EDATE($D103,Milestones!$AA$177)&gt;=$R103),$U103,$T103)))=Milestones!$AB$177),TEXT(EDATE($D103,Milestones!$AA$177),"dd/mm/yy")&amp;" "&amp;Milestones!$AB$177&amp;" "&amp;Milestones!$AC$177&amp;";  ","")&amp;IF(AND(EDATE($D103,Milestones!$AA$178)&lt;=AsOfDate,IF($Q103=0,$W103,IF(AND($S103&lt;&gt;"",EDATE($D103,Milestones!$AA$178)&gt;=$S103),$V103,IF(AND($R103&lt;&gt;"",EDATE($D103,Milestones!$AA$178)&gt;=$R103),$U103,$T103)))=Milestones!$AB$178),TEXT(EDATE($D103,Milestones!$AA$178),"dd/mm/yy")&amp;" "&amp;Milestones!$AB$178&amp;" "&amp;Milestones!$AC$178&amp;";  ","")&amp;IF(AND(EDATE($D103,Milestones!$AA$179)&lt;=AsOfDate,IF($Q103=0,$W103,IF(AND($S103&lt;&gt;"",EDATE($D103,Milestones!$AA$179)&gt;=$S103),$V103,IF(AND($R103&lt;&gt;"",EDATE($D103,Milestones!$AA$179)&gt;=$R103),$U103,$T103)))=Milestones!$AB$179),TEXT(EDATE($D103,Milestones!$AA$179),"dd/mm/yy")&amp;" "&amp;Milestones!$AB$179&amp;" "&amp;Milestones!$AC$179&amp;";  ",""))</f>
        <v/>
      </c>
      <c r="P103" s="0" t="str">
        <f aca="false">IF(OR($A103="",$D103=""),"",IF(AND(EDATE($D103,Milestones!$AA$180)&lt;=AsOfDate,IF($Q103=0,$W103,IF(AND($S103&lt;&gt;"",EDATE($D103,Milestones!$AA$180)&gt;=$S103),$V103,IF(AND($R103&lt;&gt;"",EDATE($D103,Milestones!$AA$180)&gt;=$R103),$U103,$T103)))=Milestones!$AB$180),TEXT(EDATE($D103,Milestones!$AA$180),"dd/mm/yy")&amp;" "&amp;Milestones!$AB$180&amp;" "&amp;Milestones!$AC$180&amp;";  ","")&amp;IF(AND(EDATE($D103,Milestones!$AA$181)&lt;=AsOfDate,IF($Q103=0,$W103,IF(AND($S103&lt;&gt;"",EDATE($D103,Milestones!$AA$181)&gt;=$S103),$V103,IF(AND($R103&lt;&gt;"",EDATE($D103,Milestones!$AA$181)&gt;=$R103),$U103,$T103)))=Milestones!$AB$181),TEXT(EDATE($D103,Milestones!$AA$181),"dd/mm/yy")&amp;" "&amp;Milestones!$AB$181&amp;" "&amp;Milestones!$AC$181&amp;";  ","")&amp;IF(AND(EDATE($D103,Milestones!$AA$182)&lt;=AsOfDate,IF($Q103=0,$W103,IF(AND($S103&lt;&gt;"",EDATE($D103,Milestones!$AA$182)&gt;=$S103),$V103,IF(AND($R103&lt;&gt;"",EDATE($D103,Milestones!$AA$182)&gt;=$R103),$U103,$T103)))=Milestones!$AB$182),TEXT(EDATE($D103,Milestones!$AA$182),"dd/mm/yy")&amp;" "&amp;Milestones!$AB$182&amp;" "&amp;Milestones!$AC$182&amp;";  ","")&amp;IF(AND(EDATE($D103,Milestones!$AA$183)&lt;=AsOfDate,IF($Q103=0,$W103,IF(AND($S103&lt;&gt;"",EDATE($D103,Milestones!$AA$183)&gt;=$S103),$V103,IF(AND($R103&lt;&gt;"",EDATE($D103,Milestones!$AA$183)&gt;=$R103),$U103,$T103)))=Milestones!$AB$183),TEXT(EDATE($D103,Milestones!$AA$183),"dd/mm/yy")&amp;" "&amp;Milestones!$AB$183&amp;" "&amp;Milestones!$AC$183&amp;";  ","")&amp;IF(AND(EDATE($D103,Milestones!$AA$184)&lt;=AsOfDate,IF($Q103=0,$W103,IF(AND($S103&lt;&gt;"",EDATE($D103,Milestones!$AA$184)&gt;=$S103),$V103,IF(AND($R103&lt;&gt;"",EDATE($D103,Milestones!$AA$184)&gt;=$R103),$U103,$T103)))=Milestones!$AB$184),TEXT(EDATE($D103,Milestones!$AA$184),"dd/mm/yy")&amp;" "&amp;Milestones!$AB$184&amp;" "&amp;Milestones!$AC$184&amp;";  ","")&amp;IF(AND(EDATE($D103,Milestones!$AA$185)&lt;=AsOfDate,IF($Q103=0,$W103,IF(AND($S103&lt;&gt;"",EDATE($D103,Milestones!$AA$185)&gt;=$S103),$V103,IF(AND($R103&lt;&gt;"",EDATE($D103,Milestones!$AA$185)&gt;=$R103),$U103,$T103)))=Milestones!$AB$185),TEXT(EDATE($D103,Milestones!$AA$185),"dd/mm/yy")&amp;" "&amp;Milestones!$AB$185&amp;" "&amp;Milestones!$AC$185&amp;";  ","")&amp;IF(AND(EDATE($D103,Milestones!$AA$186)&lt;=AsOfDate,IF($Q103=0,$W103,IF(AND($S103&lt;&gt;"",EDATE($D103,Milestones!$AA$186)&gt;=$S103),$V103,IF(AND($R103&lt;&gt;"",EDATE($D103,Milestones!$AA$186)&gt;=$R103),$U103,$T103)))=Milestones!$AB$186),TEXT(EDATE($D103,Milestones!$AA$186),"dd/mm/yy")&amp;" "&amp;Milestones!$AB$186&amp;" "&amp;Milestones!$AC$186&amp;";  ","")&amp;IF(AND(EDATE($D103,Milestones!$AA$187)&lt;=AsOfDate,IF($Q103=0,$W103,IF(AND($S103&lt;&gt;"",EDATE($D103,Milestones!$AA$187)&gt;=$S103),$V103,IF(AND($R103&lt;&gt;"",EDATE($D103,Milestones!$AA$187)&gt;=$R103),$U103,$T103)))=Milestones!$AB$187),TEXT(EDATE($D103,Milestones!$AA$187),"dd/mm/yy")&amp;" "&amp;Milestones!$AB$187&amp;" "&amp;Milestones!$AC$187&amp;";  ","")&amp;IF(AND(EDATE($D103,Milestones!$AA$188)&lt;=AsOfDate,IF($Q103=0,$W103,IF(AND($S103&lt;&gt;"",EDATE($D103,Milestones!$AA$188)&gt;=$S103),$V103,IF(AND($R103&lt;&gt;"",EDATE($D103,Milestones!$AA$188)&gt;=$R103),$U103,$T103)))=Milestones!$AB$188),TEXT(EDATE($D103,Milestones!$AA$188),"dd/mm/yy")&amp;" "&amp;Milestones!$AB$188&amp;" "&amp;Milestones!$AC$188&amp;";  ","")&amp;IF(AND(EDATE($D103,Milestones!$AA$189)&lt;=AsOfDate,IF($Q103=0,$W103,IF(AND($S103&lt;&gt;"",EDATE($D103,Milestones!$AA$189)&gt;=$S103),$V103,IF(AND($R103&lt;&gt;"",EDATE($D103,Milestones!$AA$189)&gt;=$R103),$U103,$T103)))=Milestones!$AB$189),TEXT(EDATE($D103,Milestones!$AA$189),"dd/mm/yy")&amp;" "&amp;Milestones!$AB$189&amp;" "&amp;Milestones!$AC$189&amp;";  ","")&amp;IF(AND(EDATE($D103,Milestones!$AA$190)&lt;=AsOfDate,IF($Q103=0,$W103,IF(AND($S103&lt;&gt;"",EDATE($D103,Milestones!$AA$190)&gt;=$S103),$V103,IF(AND($R103&lt;&gt;"",EDATE($D103,Milestones!$AA$190)&gt;=$R103),$U103,$T103)))=Milestones!$AB$190),TEXT(EDATE($D103,Milestones!$AA$190),"dd/mm/yy")&amp;" "&amp;Milestones!$AB$190&amp;" "&amp;Milestones!$AC$190&amp;";  ","")&amp;IF(AND(EDATE($D103,Milestones!$AA$191)&lt;=AsOfDate,IF($Q103=0,$W103,IF(AND($S103&lt;&gt;"",EDATE($D103,Milestones!$AA$191)&gt;=$S103),$V103,IF(AND($R103&lt;&gt;"",EDATE($D103,Milestones!$AA$191)&gt;=$R103),$U103,$T103)))=Milestones!$AB$191),TEXT(EDATE($D103,Milestones!$AA$191),"dd/mm/yy")&amp;" "&amp;Milestones!$AB$191&amp;" "&amp;Milestones!$AC$191&amp;";  ","")&amp;IF(AND(EDATE($D103,Milestones!$AA$192)&lt;=AsOfDate,IF($Q103=0,$W103,IF(AND($S103&lt;&gt;"",EDATE($D103,Milestones!$AA$192)&gt;=$S103),$V103,IF(AND($R103&lt;&gt;"",EDATE($D103,Milestones!$AA$192)&gt;=$R103),$U103,$T103)))=Milestones!$AB$192),TEXT(EDATE($D103,Milestones!$AA$192),"dd/mm/yy")&amp;" "&amp;Milestones!$AB$192&amp;" "&amp;Milestones!$AC$192&amp;";  ","")&amp;IF(AND(EDATE($D103,Milestones!$AA$193)&lt;=AsOfDate,IF($Q103=0,$W103,IF(AND($S103&lt;&gt;"",EDATE($D103,Milestones!$AA$193)&gt;=$S103),$V103,IF(AND($R103&lt;&gt;"",EDATE($D103,Milestones!$AA$193)&gt;=$R103),$U103,$T103)))=Milestones!$AB$193),TEXT(EDATE($D103,Milestones!$AA$193),"dd/mm/yy")&amp;" "&amp;Milestones!$AB$193&amp;" "&amp;Milestones!$AC$193&amp;";  ","")&amp;IF(AND(EDATE($D103,Milestones!$AA$194)&lt;=AsOfDate,IF($Q103=0,$W103,IF(AND($S103&lt;&gt;"",EDATE($D103,Milestones!$AA$194)&gt;=$S103),$V103,IF(AND($R103&lt;&gt;"",EDATE($D103,Milestones!$AA$194)&gt;=$R103),$U103,$T103)))=Milestones!$AB$194),TEXT(EDATE($D103,Milestones!$AA$194),"dd/mm/yy")&amp;" "&amp;Milestones!$AB$194&amp;" "&amp;Milestones!$AC$194&amp;";  ","")&amp;IF(AND(EDATE($D103,Milestones!$AA$195)&lt;=AsOfDate,IF($Q103=0,$W103,IF(AND($S103&lt;&gt;"",EDATE($D103,Milestones!$AA$195)&gt;=$S103),$V103,IF(AND($R103&lt;&gt;"",EDATE($D103,Milestones!$AA$195)&gt;=$R103),$U103,$T103)))=Milestones!$AB$195),TEXT(EDATE($D103,Milestones!$AA$195),"dd/mm/yy")&amp;" "&amp;Milestones!$AB$195&amp;" "&amp;Milestones!$AC$195&amp;";  ","")&amp;IF(AND(EDATE($D103,Milestones!$AA$196)&lt;=AsOfDate,IF($Q103=0,$W103,IF(AND($S103&lt;&gt;"",EDATE($D103,Milestones!$AA$196)&gt;=$S103),$V103,IF(AND($R103&lt;&gt;"",EDATE($D103,Milestones!$AA$196)&gt;=$R103),$U103,$T103)))=Milestones!$AB$196),TEXT(EDATE($D103,Milestones!$AA$196),"dd/mm/yy")&amp;" "&amp;Milestones!$AB$196&amp;" "&amp;Milestones!$AC$196&amp;";  ","")&amp;IF(AND(EDATE($D103,Milestones!$AA$197)&lt;=AsOfDate,IF($Q103=0,$W103,IF(AND($S103&lt;&gt;"",EDATE($D103,Milestones!$AA$197)&gt;=$S103),$V103,IF(AND($R103&lt;&gt;"",EDATE($D103,Milestones!$AA$197)&gt;=$R103),$U103,$T103)))=Milestones!$AB$197),TEXT(EDATE($D103,Milestones!$AA$197),"dd/mm/yy")&amp;" "&amp;Milestones!$AB$197&amp;" "&amp;Milestones!$AC$197&amp;";  ","")&amp;IF(AND(EDATE($D103,Milestones!$AA$198)&lt;=AsOfDate,IF($Q103=0,$W103,IF(AND($S103&lt;&gt;"",EDATE($D103,Milestones!$AA$198)&gt;=$S103),$V103,IF(AND($R103&lt;&gt;"",EDATE($D103,Milestones!$AA$198)&gt;=$R103),$U103,$T103)))=Milestones!$AB$198),TEXT(EDATE($D103,Milestones!$AA$198),"dd/mm/yy")&amp;" "&amp;Milestones!$AB$198&amp;" "&amp;Milestones!$AC$198&amp;";  ","")&amp;IF(AND(EDATE($D103,Milestones!$AA$199)&lt;=AsOfDate,IF($Q103=0,$W103,IF(AND($S103&lt;&gt;"",EDATE($D103,Milestones!$AA$199)&gt;=$S103),$V103,IF(AND($R103&lt;&gt;"",EDATE($D103,Milestones!$AA$199)&gt;=$R103),$U103,$T103)))=Milestones!$AB$199),TEXT(EDATE($D103,Milestones!$AA$199),"dd/mm/yy")&amp;" "&amp;Milestones!$AB$199&amp;" "&amp;Milestones!$AC$199&amp;";  ",""))</f>
        <v/>
      </c>
      <c r="Q103" s="0" t="str">
        <f aca="false">IF(Staff!$A103="","",Staff!$AG103)</f>
        <v/>
      </c>
      <c r="R103" s="0" t="str">
        <f aca="false">IF(Staff!$A103="","",Staff!$AI103)</f>
        <v/>
      </c>
      <c r="S103" s="0" t="str">
        <f aca="false">IF(Staff!$A103="","",Staff!$AJ103)</f>
        <v/>
      </c>
      <c r="T103" s="0" t="str">
        <f aca="false">IF(Staff!$A103="","",Staff!$AN103)</f>
        <v/>
      </c>
      <c r="U103" s="0" t="str">
        <f aca="false">IF(Staff!$A103="","",Staff!$AO103)</f>
        <v/>
      </c>
      <c r="V103" s="0" t="str">
        <f aca="false">IF(Staff!$A103="","",Staff!$AP103)</f>
        <v/>
      </c>
      <c r="W103" s="0" t="str">
        <f aca="false">IF(Staff!$A103="","",Staff!$AQ103)</f>
        <v/>
      </c>
    </row>
    <row r="104" customFormat="false" ht="15" hidden="false" customHeight="false" outlineLevel="0" collapsed="false">
      <c r="A104" s="13" t="str">
        <f aca="false">IF(Staff!$A104="","",Staff!$A104)</f>
        <v/>
      </c>
      <c r="B104" s="13" t="str">
        <f aca="false">IF(Staff!$A104="","",Staff!$B104)</f>
        <v/>
      </c>
      <c r="C104" s="13" t="str">
        <f aca="false">IF(Staff!$A104="","",Staff!$C104)</f>
        <v/>
      </c>
      <c r="D104" s="11" t="str">
        <f aca="false">IF(Staff!$A104="","",Staff!$AF104)</f>
        <v/>
      </c>
      <c r="E104" s="13" t="str">
        <f aca="false">IF(Staff!$A104="","",Staff!$O104)</f>
        <v/>
      </c>
      <c r="F104" s="13" t="str">
        <f aca="false">IF(E104="","",E104*HoursPerDay)</f>
        <v/>
      </c>
      <c r="G104" s="26" t="str">
        <f aca="false">IF($A104="","",H104&amp;I104&amp;J104&amp;K104&amp;L104&amp;M104&amp;N104&amp;O104&amp;P104)</f>
        <v/>
      </c>
      <c r="H104" s="0" t="str">
        <f aca="false">IF(OR($A104="",$D104=""),"",IF(AND(EDATE($D104,Milestones!$AA$20)&lt;=AsOfDate,IF($Q104=0,$W104,IF(AND($S104&lt;&gt;"",EDATE($D104,Milestones!$AA$20)&gt;=$S104),$V104,IF(AND($R104&lt;&gt;"",EDATE($D104,Milestones!$AA$20)&gt;=$R104),$U104,$T104)))=Milestones!$AB$20),TEXT(EDATE($D104,Milestones!$AA$20),"dd/mm/yy")&amp;" "&amp;Milestones!$AB$20&amp;" "&amp;Milestones!$AC$20&amp;";  ","")&amp;IF(AND(EDATE($D104,Milestones!$AA$21)&lt;=AsOfDate,IF($Q104=0,$W104,IF(AND($S104&lt;&gt;"",EDATE($D104,Milestones!$AA$21)&gt;=$S104),$V104,IF(AND($R104&lt;&gt;"",EDATE($D104,Milestones!$AA$21)&gt;=$R104),$U104,$T104)))=Milestones!$AB$21),TEXT(EDATE($D104,Milestones!$AA$21),"dd/mm/yy")&amp;" "&amp;Milestones!$AB$21&amp;" "&amp;Milestones!$AC$21&amp;";  ","")&amp;IF(AND(EDATE($D104,Milestones!$AA$22)&lt;=AsOfDate,IF($Q104=0,$W104,IF(AND($S104&lt;&gt;"",EDATE($D104,Milestones!$AA$22)&gt;=$S104),$V104,IF(AND($R104&lt;&gt;"",EDATE($D104,Milestones!$AA$22)&gt;=$R104),$U104,$T104)))=Milestones!$AB$22),TEXT(EDATE($D104,Milestones!$AA$22),"dd/mm/yy")&amp;" "&amp;Milestones!$AB$22&amp;" "&amp;Milestones!$AC$22&amp;";  ","")&amp;IF(AND(EDATE($D104,Milestones!$AA$23)&lt;=AsOfDate,IF($Q104=0,$W104,IF(AND($S104&lt;&gt;"",EDATE($D104,Milestones!$AA$23)&gt;=$S104),$V104,IF(AND($R104&lt;&gt;"",EDATE($D104,Milestones!$AA$23)&gt;=$R104),$U104,$T104)))=Milestones!$AB$23),TEXT(EDATE($D104,Milestones!$AA$23),"dd/mm/yy")&amp;" "&amp;Milestones!$AB$23&amp;" "&amp;Milestones!$AC$23&amp;";  ","")&amp;IF(AND(EDATE($D104,Milestones!$AA$24)&lt;=AsOfDate,IF($Q104=0,$W104,IF(AND($S104&lt;&gt;"",EDATE($D104,Milestones!$AA$24)&gt;=$S104),$V104,IF(AND($R104&lt;&gt;"",EDATE($D104,Milestones!$AA$24)&gt;=$R104),$U104,$T104)))=Milestones!$AB$24),TEXT(EDATE($D104,Milestones!$AA$24),"dd/mm/yy")&amp;" "&amp;Milestones!$AB$24&amp;" "&amp;Milestones!$AC$24&amp;";  ","")&amp;IF(AND(EDATE($D104,Milestones!$AA$25)&lt;=AsOfDate,IF($Q104=0,$W104,IF(AND($S104&lt;&gt;"",EDATE($D104,Milestones!$AA$25)&gt;=$S104),$V104,IF(AND($R104&lt;&gt;"",EDATE($D104,Milestones!$AA$25)&gt;=$R104),$U104,$T104)))=Milestones!$AB$25),TEXT(EDATE($D104,Milestones!$AA$25),"dd/mm/yy")&amp;" "&amp;Milestones!$AB$25&amp;" "&amp;Milestones!$AC$25&amp;";  ","")&amp;IF(AND(EDATE($D104,Milestones!$AA$26)&lt;=AsOfDate,IF($Q104=0,$W104,IF(AND($S104&lt;&gt;"",EDATE($D104,Milestones!$AA$26)&gt;=$S104),$V104,IF(AND($R104&lt;&gt;"",EDATE($D104,Milestones!$AA$26)&gt;=$R104),$U104,$T104)))=Milestones!$AB$26),TEXT(EDATE($D104,Milestones!$AA$26),"dd/mm/yy")&amp;" "&amp;Milestones!$AB$26&amp;" "&amp;Milestones!$AC$26&amp;";  ","")&amp;IF(AND(EDATE($D104,Milestones!$AA$27)&lt;=AsOfDate,IF($Q104=0,$W104,IF(AND($S104&lt;&gt;"",EDATE($D104,Milestones!$AA$27)&gt;=$S104),$V104,IF(AND($R104&lt;&gt;"",EDATE($D104,Milestones!$AA$27)&gt;=$R104),$U104,$T104)))=Milestones!$AB$27),TEXT(EDATE($D104,Milestones!$AA$27),"dd/mm/yy")&amp;" "&amp;Milestones!$AB$27&amp;" "&amp;Milestones!$AC$27&amp;";  ","")&amp;IF(AND(EDATE($D104,Milestones!$AA$28)&lt;=AsOfDate,IF($Q104=0,$W104,IF(AND($S104&lt;&gt;"",EDATE($D104,Milestones!$AA$28)&gt;=$S104),$V104,IF(AND($R104&lt;&gt;"",EDATE($D104,Milestones!$AA$28)&gt;=$R104),$U104,$T104)))=Milestones!$AB$28),TEXT(EDATE($D104,Milestones!$AA$28),"dd/mm/yy")&amp;" "&amp;Milestones!$AB$28&amp;" "&amp;Milestones!$AC$28&amp;";  ","")&amp;IF(AND(EDATE($D104,Milestones!$AA$29)&lt;=AsOfDate,IF($Q104=0,$W104,IF(AND($S104&lt;&gt;"",EDATE($D104,Milestones!$AA$29)&gt;=$S104),$V104,IF(AND($R104&lt;&gt;"",EDATE($D104,Milestones!$AA$29)&gt;=$R104),$U104,$T104)))=Milestones!$AB$29),TEXT(EDATE($D104,Milestones!$AA$29),"dd/mm/yy")&amp;" "&amp;Milestones!$AB$29&amp;" "&amp;Milestones!$AC$29&amp;";  ","")&amp;IF(AND(EDATE($D104,Milestones!$AA$30)&lt;=AsOfDate,IF($Q104=0,$W104,IF(AND($S104&lt;&gt;"",EDATE($D104,Milestones!$AA$30)&gt;=$S104),$V104,IF(AND($R104&lt;&gt;"",EDATE($D104,Milestones!$AA$30)&gt;=$R104),$U104,$T104)))=Milestones!$AB$30),TEXT(EDATE($D104,Milestones!$AA$30),"dd/mm/yy")&amp;" "&amp;Milestones!$AB$30&amp;" "&amp;Milestones!$AC$30&amp;";  ","")&amp;IF(AND(EDATE($D104,Milestones!$AA$31)&lt;=AsOfDate,IF($Q104=0,$W104,IF(AND($S104&lt;&gt;"",EDATE($D104,Milestones!$AA$31)&gt;=$S104),$V104,IF(AND($R104&lt;&gt;"",EDATE($D104,Milestones!$AA$31)&gt;=$R104),$U104,$T104)))=Milestones!$AB$31),TEXT(EDATE($D104,Milestones!$AA$31),"dd/mm/yy")&amp;" "&amp;Milestones!$AB$31&amp;" "&amp;Milestones!$AC$31&amp;";  ","")&amp;IF(AND(EDATE($D104,Milestones!$AA$32)&lt;=AsOfDate,IF($Q104=0,$W104,IF(AND($S104&lt;&gt;"",EDATE($D104,Milestones!$AA$32)&gt;=$S104),$V104,IF(AND($R104&lt;&gt;"",EDATE($D104,Milestones!$AA$32)&gt;=$R104),$U104,$T104)))=Milestones!$AB$32),TEXT(EDATE($D104,Milestones!$AA$32),"dd/mm/yy")&amp;" "&amp;Milestones!$AB$32&amp;" "&amp;Milestones!$AC$32&amp;";  ","")&amp;IF(AND(EDATE($D104,Milestones!$AA$33)&lt;=AsOfDate,IF($Q104=0,$W104,IF(AND($S104&lt;&gt;"",EDATE($D104,Milestones!$AA$33)&gt;=$S104),$V104,IF(AND($R104&lt;&gt;"",EDATE($D104,Milestones!$AA$33)&gt;=$R104),$U104,$T104)))=Milestones!$AB$33),TEXT(EDATE($D104,Milestones!$AA$33),"dd/mm/yy")&amp;" "&amp;Milestones!$AB$33&amp;" "&amp;Milestones!$AC$33&amp;";  ","")&amp;IF(AND(EDATE($D104,Milestones!$AA$34)&lt;=AsOfDate,IF($Q104=0,$W104,IF(AND($S104&lt;&gt;"",EDATE($D104,Milestones!$AA$34)&gt;=$S104),$V104,IF(AND($R104&lt;&gt;"",EDATE($D104,Milestones!$AA$34)&gt;=$R104),$U104,$T104)))=Milestones!$AB$34),TEXT(EDATE($D104,Milestones!$AA$34),"dd/mm/yy")&amp;" "&amp;Milestones!$AB$34&amp;" "&amp;Milestones!$AC$34&amp;";  ","")&amp;IF(AND(EDATE($D104,Milestones!$AA$35)&lt;=AsOfDate,IF($Q104=0,$W104,IF(AND($S104&lt;&gt;"",EDATE($D104,Milestones!$AA$35)&gt;=$S104),$V104,IF(AND($R104&lt;&gt;"",EDATE($D104,Milestones!$AA$35)&gt;=$R104),$U104,$T104)))=Milestones!$AB$35),TEXT(EDATE($D104,Milestones!$AA$35),"dd/mm/yy")&amp;" "&amp;Milestones!$AB$35&amp;" "&amp;Milestones!$AC$35&amp;";  ","")&amp;IF(AND(EDATE($D104,Milestones!$AA$36)&lt;=AsOfDate,IF($Q104=0,$W104,IF(AND($S104&lt;&gt;"",EDATE($D104,Milestones!$AA$36)&gt;=$S104),$V104,IF(AND($R104&lt;&gt;"",EDATE($D104,Milestones!$AA$36)&gt;=$R104),$U104,$T104)))=Milestones!$AB$36),TEXT(EDATE($D104,Milestones!$AA$36),"dd/mm/yy")&amp;" "&amp;Milestones!$AB$36&amp;" "&amp;Milestones!$AC$36&amp;";  ","")&amp;IF(AND(EDATE($D104,Milestones!$AA$37)&lt;=AsOfDate,IF($Q104=0,$W104,IF(AND($S104&lt;&gt;"",EDATE($D104,Milestones!$AA$37)&gt;=$S104),$V104,IF(AND($R104&lt;&gt;"",EDATE($D104,Milestones!$AA$37)&gt;=$R104),$U104,$T104)))=Milestones!$AB$37),TEXT(EDATE($D104,Milestones!$AA$37),"dd/mm/yy")&amp;" "&amp;Milestones!$AB$37&amp;" "&amp;Milestones!$AC$37&amp;";  ","")&amp;IF(AND(EDATE($D104,Milestones!$AA$38)&lt;=AsOfDate,IF($Q104=0,$W104,IF(AND($S104&lt;&gt;"",EDATE($D104,Milestones!$AA$38)&gt;=$S104),$V104,IF(AND($R104&lt;&gt;"",EDATE($D104,Milestones!$AA$38)&gt;=$R104),$U104,$T104)))=Milestones!$AB$38),TEXT(EDATE($D104,Milestones!$AA$38),"dd/mm/yy")&amp;" "&amp;Milestones!$AB$38&amp;" "&amp;Milestones!$AC$38&amp;";  ","")&amp;IF(AND(EDATE($D104,Milestones!$AA$39)&lt;=AsOfDate,IF($Q104=0,$W104,IF(AND($S104&lt;&gt;"",EDATE($D104,Milestones!$AA$39)&gt;=$S104),$V104,IF(AND($R104&lt;&gt;"",EDATE($D104,Milestones!$AA$39)&gt;=$R104),$U104,$T104)))=Milestones!$AB$39),TEXT(EDATE($D104,Milestones!$AA$39),"dd/mm/yy")&amp;" "&amp;Milestones!$AB$39&amp;" "&amp;Milestones!$AC$39&amp;";  ",""))</f>
        <v/>
      </c>
      <c r="I104" s="0" t="str">
        <f aca="false">IF(OR($A104="",$D104=""),"",IF(AND(EDATE($D104,Milestones!$AA$40)&lt;=AsOfDate,IF($Q104=0,$W104,IF(AND($S104&lt;&gt;"",EDATE($D104,Milestones!$AA$40)&gt;=$S104),$V104,IF(AND($R104&lt;&gt;"",EDATE($D104,Milestones!$AA$40)&gt;=$R104),$U104,$T104)))=Milestones!$AB$40),TEXT(EDATE($D104,Milestones!$AA$40),"dd/mm/yy")&amp;" "&amp;Milestones!$AB$40&amp;" "&amp;Milestones!$AC$40&amp;";  ","")&amp;IF(AND(EDATE($D104,Milestones!$AA$41)&lt;=AsOfDate,IF($Q104=0,$W104,IF(AND($S104&lt;&gt;"",EDATE($D104,Milestones!$AA$41)&gt;=$S104),$V104,IF(AND($R104&lt;&gt;"",EDATE($D104,Milestones!$AA$41)&gt;=$R104),$U104,$T104)))=Milestones!$AB$41),TEXT(EDATE($D104,Milestones!$AA$41),"dd/mm/yy")&amp;" "&amp;Milestones!$AB$41&amp;" "&amp;Milestones!$AC$41&amp;";  ","")&amp;IF(AND(EDATE($D104,Milestones!$AA$42)&lt;=AsOfDate,IF($Q104=0,$W104,IF(AND($S104&lt;&gt;"",EDATE($D104,Milestones!$AA$42)&gt;=$S104),$V104,IF(AND($R104&lt;&gt;"",EDATE($D104,Milestones!$AA$42)&gt;=$R104),$U104,$T104)))=Milestones!$AB$42),TEXT(EDATE($D104,Milestones!$AA$42),"dd/mm/yy")&amp;" "&amp;Milestones!$AB$42&amp;" "&amp;Milestones!$AC$42&amp;";  ","")&amp;IF(AND(EDATE($D104,Milestones!$AA$43)&lt;=AsOfDate,IF($Q104=0,$W104,IF(AND($S104&lt;&gt;"",EDATE($D104,Milestones!$AA$43)&gt;=$S104),$V104,IF(AND($R104&lt;&gt;"",EDATE($D104,Milestones!$AA$43)&gt;=$R104),$U104,$T104)))=Milestones!$AB$43),TEXT(EDATE($D104,Milestones!$AA$43),"dd/mm/yy")&amp;" "&amp;Milestones!$AB$43&amp;" "&amp;Milestones!$AC$43&amp;";  ","")&amp;IF(AND(EDATE($D104,Milestones!$AA$44)&lt;=AsOfDate,IF($Q104=0,$W104,IF(AND($S104&lt;&gt;"",EDATE($D104,Milestones!$AA$44)&gt;=$S104),$V104,IF(AND($R104&lt;&gt;"",EDATE($D104,Milestones!$AA$44)&gt;=$R104),$U104,$T104)))=Milestones!$AB$44),TEXT(EDATE($D104,Milestones!$AA$44),"dd/mm/yy")&amp;" "&amp;Milestones!$AB$44&amp;" "&amp;Milestones!$AC$44&amp;";  ","")&amp;IF(AND(EDATE($D104,Milestones!$AA$45)&lt;=AsOfDate,IF($Q104=0,$W104,IF(AND($S104&lt;&gt;"",EDATE($D104,Milestones!$AA$45)&gt;=$S104),$V104,IF(AND($R104&lt;&gt;"",EDATE($D104,Milestones!$AA$45)&gt;=$R104),$U104,$T104)))=Milestones!$AB$45),TEXT(EDATE($D104,Milestones!$AA$45),"dd/mm/yy")&amp;" "&amp;Milestones!$AB$45&amp;" "&amp;Milestones!$AC$45&amp;";  ","")&amp;IF(AND(EDATE($D104,Milestones!$AA$46)&lt;=AsOfDate,IF($Q104=0,$W104,IF(AND($S104&lt;&gt;"",EDATE($D104,Milestones!$AA$46)&gt;=$S104),$V104,IF(AND($R104&lt;&gt;"",EDATE($D104,Milestones!$AA$46)&gt;=$R104),$U104,$T104)))=Milestones!$AB$46),TEXT(EDATE($D104,Milestones!$AA$46),"dd/mm/yy")&amp;" "&amp;Milestones!$AB$46&amp;" "&amp;Milestones!$AC$46&amp;";  ","")&amp;IF(AND(EDATE($D104,Milestones!$AA$47)&lt;=AsOfDate,IF($Q104=0,$W104,IF(AND($S104&lt;&gt;"",EDATE($D104,Milestones!$AA$47)&gt;=$S104),$V104,IF(AND($R104&lt;&gt;"",EDATE($D104,Milestones!$AA$47)&gt;=$R104),$U104,$T104)))=Milestones!$AB$47),TEXT(EDATE($D104,Milestones!$AA$47),"dd/mm/yy")&amp;" "&amp;Milestones!$AB$47&amp;" "&amp;Milestones!$AC$47&amp;";  ","")&amp;IF(AND(EDATE($D104,Milestones!$AA$48)&lt;=AsOfDate,IF($Q104=0,$W104,IF(AND($S104&lt;&gt;"",EDATE($D104,Milestones!$AA$48)&gt;=$S104),$V104,IF(AND($R104&lt;&gt;"",EDATE($D104,Milestones!$AA$48)&gt;=$R104),$U104,$T104)))=Milestones!$AB$48),TEXT(EDATE($D104,Milestones!$AA$48),"dd/mm/yy")&amp;" "&amp;Milestones!$AB$48&amp;" "&amp;Milestones!$AC$48&amp;";  ","")&amp;IF(AND(EDATE($D104,Milestones!$AA$49)&lt;=AsOfDate,IF($Q104=0,$W104,IF(AND($S104&lt;&gt;"",EDATE($D104,Milestones!$AA$49)&gt;=$S104),$V104,IF(AND($R104&lt;&gt;"",EDATE($D104,Milestones!$AA$49)&gt;=$R104),$U104,$T104)))=Milestones!$AB$49),TEXT(EDATE($D104,Milestones!$AA$49),"dd/mm/yy")&amp;" "&amp;Milestones!$AB$49&amp;" "&amp;Milestones!$AC$49&amp;";  ","")&amp;IF(AND(EDATE($D104,Milestones!$AA$50)&lt;=AsOfDate,IF($Q104=0,$W104,IF(AND($S104&lt;&gt;"",EDATE($D104,Milestones!$AA$50)&gt;=$S104),$V104,IF(AND($R104&lt;&gt;"",EDATE($D104,Milestones!$AA$50)&gt;=$R104),$U104,$T104)))=Milestones!$AB$50),TEXT(EDATE($D104,Milestones!$AA$50),"dd/mm/yy")&amp;" "&amp;Milestones!$AB$50&amp;" "&amp;Milestones!$AC$50&amp;";  ","")&amp;IF(AND(EDATE($D104,Milestones!$AA$51)&lt;=AsOfDate,IF($Q104=0,$W104,IF(AND($S104&lt;&gt;"",EDATE($D104,Milestones!$AA$51)&gt;=$S104),$V104,IF(AND($R104&lt;&gt;"",EDATE($D104,Milestones!$AA$51)&gt;=$R104),$U104,$T104)))=Milestones!$AB$51),TEXT(EDATE($D104,Milestones!$AA$51),"dd/mm/yy")&amp;" "&amp;Milestones!$AB$51&amp;" "&amp;Milestones!$AC$51&amp;";  ","")&amp;IF(AND(EDATE($D104,Milestones!$AA$52)&lt;=AsOfDate,IF($Q104=0,$W104,IF(AND($S104&lt;&gt;"",EDATE($D104,Milestones!$AA$52)&gt;=$S104),$V104,IF(AND($R104&lt;&gt;"",EDATE($D104,Milestones!$AA$52)&gt;=$R104),$U104,$T104)))=Milestones!$AB$52),TEXT(EDATE($D104,Milestones!$AA$52),"dd/mm/yy")&amp;" "&amp;Milestones!$AB$52&amp;" "&amp;Milestones!$AC$52&amp;";  ","")&amp;IF(AND(EDATE($D104,Milestones!$AA$53)&lt;=AsOfDate,IF($Q104=0,$W104,IF(AND($S104&lt;&gt;"",EDATE($D104,Milestones!$AA$53)&gt;=$S104),$V104,IF(AND($R104&lt;&gt;"",EDATE($D104,Milestones!$AA$53)&gt;=$R104),$U104,$T104)))=Milestones!$AB$53),TEXT(EDATE($D104,Milestones!$AA$53),"dd/mm/yy")&amp;" "&amp;Milestones!$AB$53&amp;" "&amp;Milestones!$AC$53&amp;";  ","")&amp;IF(AND(EDATE($D104,Milestones!$AA$54)&lt;=AsOfDate,IF($Q104=0,$W104,IF(AND($S104&lt;&gt;"",EDATE($D104,Milestones!$AA$54)&gt;=$S104),$V104,IF(AND($R104&lt;&gt;"",EDATE($D104,Milestones!$AA$54)&gt;=$R104),$U104,$T104)))=Milestones!$AB$54),TEXT(EDATE($D104,Milestones!$AA$54),"dd/mm/yy")&amp;" "&amp;Milestones!$AB$54&amp;" "&amp;Milestones!$AC$54&amp;";  ","")&amp;IF(AND(EDATE($D104,Milestones!$AA$55)&lt;=AsOfDate,IF($Q104=0,$W104,IF(AND($S104&lt;&gt;"",EDATE($D104,Milestones!$AA$55)&gt;=$S104),$V104,IF(AND($R104&lt;&gt;"",EDATE($D104,Milestones!$AA$55)&gt;=$R104),$U104,$T104)))=Milestones!$AB$55),TEXT(EDATE($D104,Milestones!$AA$55),"dd/mm/yy")&amp;" "&amp;Milestones!$AB$55&amp;" "&amp;Milestones!$AC$55&amp;";  ","")&amp;IF(AND(EDATE($D104,Milestones!$AA$56)&lt;=AsOfDate,IF($Q104=0,$W104,IF(AND($S104&lt;&gt;"",EDATE($D104,Milestones!$AA$56)&gt;=$S104),$V104,IF(AND($R104&lt;&gt;"",EDATE($D104,Milestones!$AA$56)&gt;=$R104),$U104,$T104)))=Milestones!$AB$56),TEXT(EDATE($D104,Milestones!$AA$56),"dd/mm/yy")&amp;" "&amp;Milestones!$AB$56&amp;" "&amp;Milestones!$AC$56&amp;";  ","")&amp;IF(AND(EDATE($D104,Milestones!$AA$57)&lt;=AsOfDate,IF($Q104=0,$W104,IF(AND($S104&lt;&gt;"",EDATE($D104,Milestones!$AA$57)&gt;=$S104),$V104,IF(AND($R104&lt;&gt;"",EDATE($D104,Milestones!$AA$57)&gt;=$R104),$U104,$T104)))=Milestones!$AB$57),TEXT(EDATE($D104,Milestones!$AA$57),"dd/mm/yy")&amp;" "&amp;Milestones!$AB$57&amp;" "&amp;Milestones!$AC$57&amp;";  ","")&amp;IF(AND(EDATE($D104,Milestones!$AA$58)&lt;=AsOfDate,IF($Q104=0,$W104,IF(AND($S104&lt;&gt;"",EDATE($D104,Milestones!$AA$58)&gt;=$S104),$V104,IF(AND($R104&lt;&gt;"",EDATE($D104,Milestones!$AA$58)&gt;=$R104),$U104,$T104)))=Milestones!$AB$58),TEXT(EDATE($D104,Milestones!$AA$58),"dd/mm/yy")&amp;" "&amp;Milestones!$AB$58&amp;" "&amp;Milestones!$AC$58&amp;";  ","")&amp;IF(AND(EDATE($D104,Milestones!$AA$59)&lt;=AsOfDate,IF($Q104=0,$W104,IF(AND($S104&lt;&gt;"",EDATE($D104,Milestones!$AA$59)&gt;=$S104),$V104,IF(AND($R104&lt;&gt;"",EDATE($D104,Milestones!$AA$59)&gt;=$R104),$U104,$T104)))=Milestones!$AB$59),TEXT(EDATE($D104,Milestones!$AA$59),"dd/mm/yy")&amp;" "&amp;Milestones!$AB$59&amp;" "&amp;Milestones!$AC$59&amp;";  ",""))</f>
        <v/>
      </c>
      <c r="J104" s="0" t="str">
        <f aca="false">IF(OR($A104="",$D104=""),"",IF(AND(EDATE($D104,Milestones!$AA$60)&lt;=AsOfDate,IF($Q104=0,$W104,IF(AND($S104&lt;&gt;"",EDATE($D104,Milestones!$AA$60)&gt;=$S104),$V104,IF(AND($R104&lt;&gt;"",EDATE($D104,Milestones!$AA$60)&gt;=$R104),$U104,$T104)))=Milestones!$AB$60),TEXT(EDATE($D104,Milestones!$AA$60),"dd/mm/yy")&amp;" "&amp;Milestones!$AB$60&amp;" "&amp;Milestones!$AC$60&amp;";  ","")&amp;IF(AND(EDATE($D104,Milestones!$AA$61)&lt;=AsOfDate,IF($Q104=0,$W104,IF(AND($S104&lt;&gt;"",EDATE($D104,Milestones!$AA$61)&gt;=$S104),$V104,IF(AND($R104&lt;&gt;"",EDATE($D104,Milestones!$AA$61)&gt;=$R104),$U104,$T104)))=Milestones!$AB$61),TEXT(EDATE($D104,Milestones!$AA$61),"dd/mm/yy")&amp;" "&amp;Milestones!$AB$61&amp;" "&amp;Milestones!$AC$61&amp;";  ","")&amp;IF(AND(EDATE($D104,Milestones!$AA$62)&lt;=AsOfDate,IF($Q104=0,$W104,IF(AND($S104&lt;&gt;"",EDATE($D104,Milestones!$AA$62)&gt;=$S104),$V104,IF(AND($R104&lt;&gt;"",EDATE($D104,Milestones!$AA$62)&gt;=$R104),$U104,$T104)))=Milestones!$AB$62),TEXT(EDATE($D104,Milestones!$AA$62),"dd/mm/yy")&amp;" "&amp;Milestones!$AB$62&amp;" "&amp;Milestones!$AC$62&amp;";  ","")&amp;IF(AND(EDATE($D104,Milestones!$AA$63)&lt;=AsOfDate,IF($Q104=0,$W104,IF(AND($S104&lt;&gt;"",EDATE($D104,Milestones!$AA$63)&gt;=$S104),$V104,IF(AND($R104&lt;&gt;"",EDATE($D104,Milestones!$AA$63)&gt;=$R104),$U104,$T104)))=Milestones!$AB$63),TEXT(EDATE($D104,Milestones!$AA$63),"dd/mm/yy")&amp;" "&amp;Milestones!$AB$63&amp;" "&amp;Milestones!$AC$63&amp;";  ","")&amp;IF(AND(EDATE($D104,Milestones!$AA$64)&lt;=AsOfDate,IF($Q104=0,$W104,IF(AND($S104&lt;&gt;"",EDATE($D104,Milestones!$AA$64)&gt;=$S104),$V104,IF(AND($R104&lt;&gt;"",EDATE($D104,Milestones!$AA$64)&gt;=$R104),$U104,$T104)))=Milestones!$AB$64),TEXT(EDATE($D104,Milestones!$AA$64),"dd/mm/yy")&amp;" "&amp;Milestones!$AB$64&amp;" "&amp;Milestones!$AC$64&amp;";  ","")&amp;IF(AND(EDATE($D104,Milestones!$AA$65)&lt;=AsOfDate,IF($Q104=0,$W104,IF(AND($S104&lt;&gt;"",EDATE($D104,Milestones!$AA$65)&gt;=$S104),$V104,IF(AND($R104&lt;&gt;"",EDATE($D104,Milestones!$AA$65)&gt;=$R104),$U104,$T104)))=Milestones!$AB$65),TEXT(EDATE($D104,Milestones!$AA$65),"dd/mm/yy")&amp;" "&amp;Milestones!$AB$65&amp;" "&amp;Milestones!$AC$65&amp;";  ","")&amp;IF(AND(EDATE($D104,Milestones!$AA$66)&lt;=AsOfDate,IF($Q104=0,$W104,IF(AND($S104&lt;&gt;"",EDATE($D104,Milestones!$AA$66)&gt;=$S104),$V104,IF(AND($R104&lt;&gt;"",EDATE($D104,Milestones!$AA$66)&gt;=$R104),$U104,$T104)))=Milestones!$AB$66),TEXT(EDATE($D104,Milestones!$AA$66),"dd/mm/yy")&amp;" "&amp;Milestones!$AB$66&amp;" "&amp;Milestones!$AC$66&amp;";  ","")&amp;IF(AND(EDATE($D104,Milestones!$AA$67)&lt;=AsOfDate,IF($Q104=0,$W104,IF(AND($S104&lt;&gt;"",EDATE($D104,Milestones!$AA$67)&gt;=$S104),$V104,IF(AND($R104&lt;&gt;"",EDATE($D104,Milestones!$AA$67)&gt;=$R104),$U104,$T104)))=Milestones!$AB$67),TEXT(EDATE($D104,Milestones!$AA$67),"dd/mm/yy")&amp;" "&amp;Milestones!$AB$67&amp;" "&amp;Milestones!$AC$67&amp;";  ","")&amp;IF(AND(EDATE($D104,Milestones!$AA$68)&lt;=AsOfDate,IF($Q104=0,$W104,IF(AND($S104&lt;&gt;"",EDATE($D104,Milestones!$AA$68)&gt;=$S104),$V104,IF(AND($R104&lt;&gt;"",EDATE($D104,Milestones!$AA$68)&gt;=$R104),$U104,$T104)))=Milestones!$AB$68),TEXT(EDATE($D104,Milestones!$AA$68),"dd/mm/yy")&amp;" "&amp;Milestones!$AB$68&amp;" "&amp;Milestones!$AC$68&amp;";  ","")&amp;IF(AND(EDATE($D104,Milestones!$AA$69)&lt;=AsOfDate,IF($Q104=0,$W104,IF(AND($S104&lt;&gt;"",EDATE($D104,Milestones!$AA$69)&gt;=$S104),$V104,IF(AND($R104&lt;&gt;"",EDATE($D104,Milestones!$AA$69)&gt;=$R104),$U104,$T104)))=Milestones!$AB$69),TEXT(EDATE($D104,Milestones!$AA$69),"dd/mm/yy")&amp;" "&amp;Milestones!$AB$69&amp;" "&amp;Milestones!$AC$69&amp;";  ","")&amp;IF(AND(EDATE($D104,Milestones!$AA$70)&lt;=AsOfDate,IF($Q104=0,$W104,IF(AND($S104&lt;&gt;"",EDATE($D104,Milestones!$AA$70)&gt;=$S104),$V104,IF(AND($R104&lt;&gt;"",EDATE($D104,Milestones!$AA$70)&gt;=$R104),$U104,$T104)))=Milestones!$AB$70),TEXT(EDATE($D104,Milestones!$AA$70),"dd/mm/yy")&amp;" "&amp;Milestones!$AB$70&amp;" "&amp;Milestones!$AC$70&amp;";  ","")&amp;IF(AND(EDATE($D104,Milestones!$AA$71)&lt;=AsOfDate,IF($Q104=0,$W104,IF(AND($S104&lt;&gt;"",EDATE($D104,Milestones!$AA$71)&gt;=$S104),$V104,IF(AND($R104&lt;&gt;"",EDATE($D104,Milestones!$AA$71)&gt;=$R104),$U104,$T104)))=Milestones!$AB$71),TEXT(EDATE($D104,Milestones!$AA$71),"dd/mm/yy")&amp;" "&amp;Milestones!$AB$71&amp;" "&amp;Milestones!$AC$71&amp;";  ","")&amp;IF(AND(EDATE($D104,Milestones!$AA$72)&lt;=AsOfDate,IF($Q104=0,$W104,IF(AND($S104&lt;&gt;"",EDATE($D104,Milestones!$AA$72)&gt;=$S104),$V104,IF(AND($R104&lt;&gt;"",EDATE($D104,Milestones!$AA$72)&gt;=$R104),$U104,$T104)))=Milestones!$AB$72),TEXT(EDATE($D104,Milestones!$AA$72),"dd/mm/yy")&amp;" "&amp;Milestones!$AB$72&amp;" "&amp;Milestones!$AC$72&amp;";  ","")&amp;IF(AND(EDATE($D104,Milestones!$AA$73)&lt;=AsOfDate,IF($Q104=0,$W104,IF(AND($S104&lt;&gt;"",EDATE($D104,Milestones!$AA$73)&gt;=$S104),$V104,IF(AND($R104&lt;&gt;"",EDATE($D104,Milestones!$AA$73)&gt;=$R104),$U104,$T104)))=Milestones!$AB$73),TEXT(EDATE($D104,Milestones!$AA$73),"dd/mm/yy")&amp;" "&amp;Milestones!$AB$73&amp;" "&amp;Milestones!$AC$73&amp;";  ","")&amp;IF(AND(EDATE($D104,Milestones!$AA$74)&lt;=AsOfDate,IF($Q104=0,$W104,IF(AND($S104&lt;&gt;"",EDATE($D104,Milestones!$AA$74)&gt;=$S104),$V104,IF(AND($R104&lt;&gt;"",EDATE($D104,Milestones!$AA$74)&gt;=$R104),$U104,$T104)))=Milestones!$AB$74),TEXT(EDATE($D104,Milestones!$AA$74),"dd/mm/yy")&amp;" "&amp;Milestones!$AB$74&amp;" "&amp;Milestones!$AC$74&amp;";  ","")&amp;IF(AND(EDATE($D104,Milestones!$AA$75)&lt;=AsOfDate,IF($Q104=0,$W104,IF(AND($S104&lt;&gt;"",EDATE($D104,Milestones!$AA$75)&gt;=$S104),$V104,IF(AND($R104&lt;&gt;"",EDATE($D104,Milestones!$AA$75)&gt;=$R104),$U104,$T104)))=Milestones!$AB$75),TEXT(EDATE($D104,Milestones!$AA$75),"dd/mm/yy")&amp;" "&amp;Milestones!$AB$75&amp;" "&amp;Milestones!$AC$75&amp;";  ","")&amp;IF(AND(EDATE($D104,Milestones!$AA$76)&lt;=AsOfDate,IF($Q104=0,$W104,IF(AND($S104&lt;&gt;"",EDATE($D104,Milestones!$AA$76)&gt;=$S104),$V104,IF(AND($R104&lt;&gt;"",EDATE($D104,Milestones!$AA$76)&gt;=$R104),$U104,$T104)))=Milestones!$AB$76),TEXT(EDATE($D104,Milestones!$AA$76),"dd/mm/yy")&amp;" "&amp;Milestones!$AB$76&amp;" "&amp;Milestones!$AC$76&amp;";  ","")&amp;IF(AND(EDATE($D104,Milestones!$AA$77)&lt;=AsOfDate,IF($Q104=0,$W104,IF(AND($S104&lt;&gt;"",EDATE($D104,Milestones!$AA$77)&gt;=$S104),$V104,IF(AND($R104&lt;&gt;"",EDATE($D104,Milestones!$AA$77)&gt;=$R104),$U104,$T104)))=Milestones!$AB$77),TEXT(EDATE($D104,Milestones!$AA$77),"dd/mm/yy")&amp;" "&amp;Milestones!$AB$77&amp;" "&amp;Milestones!$AC$77&amp;";  ","")&amp;IF(AND(EDATE($D104,Milestones!$AA$78)&lt;=AsOfDate,IF($Q104=0,$W104,IF(AND($S104&lt;&gt;"",EDATE($D104,Milestones!$AA$78)&gt;=$S104),$V104,IF(AND($R104&lt;&gt;"",EDATE($D104,Milestones!$AA$78)&gt;=$R104),$U104,$T104)))=Milestones!$AB$78),TEXT(EDATE($D104,Milestones!$AA$78),"dd/mm/yy")&amp;" "&amp;Milestones!$AB$78&amp;" "&amp;Milestones!$AC$78&amp;";  ","")&amp;IF(AND(EDATE($D104,Milestones!$AA$79)&lt;=AsOfDate,IF($Q104=0,$W104,IF(AND($S104&lt;&gt;"",EDATE($D104,Milestones!$AA$79)&gt;=$S104),$V104,IF(AND($R104&lt;&gt;"",EDATE($D104,Milestones!$AA$79)&gt;=$R104),$U104,$T104)))=Milestones!$AB$79),TEXT(EDATE($D104,Milestones!$AA$79),"dd/mm/yy")&amp;" "&amp;Milestones!$AB$79&amp;" "&amp;Milestones!$AC$79&amp;";  ",""))</f>
        <v/>
      </c>
      <c r="K104" s="0" t="str">
        <f aca="false">IF(OR($A104="",$D104=""),"",IF(AND(EDATE($D104,Milestones!$AA$80)&lt;=AsOfDate,IF($Q104=0,$W104,IF(AND($S104&lt;&gt;"",EDATE($D104,Milestones!$AA$80)&gt;=$S104),$V104,IF(AND($R104&lt;&gt;"",EDATE($D104,Milestones!$AA$80)&gt;=$R104),$U104,$T104)))=Milestones!$AB$80),TEXT(EDATE($D104,Milestones!$AA$80),"dd/mm/yy")&amp;" "&amp;Milestones!$AB$80&amp;" "&amp;Milestones!$AC$80&amp;";  ","")&amp;IF(AND(EDATE($D104,Milestones!$AA$81)&lt;=AsOfDate,IF($Q104=0,$W104,IF(AND($S104&lt;&gt;"",EDATE($D104,Milestones!$AA$81)&gt;=$S104),$V104,IF(AND($R104&lt;&gt;"",EDATE($D104,Milestones!$AA$81)&gt;=$R104),$U104,$T104)))=Milestones!$AB$81),TEXT(EDATE($D104,Milestones!$AA$81),"dd/mm/yy")&amp;" "&amp;Milestones!$AB$81&amp;" "&amp;Milestones!$AC$81&amp;";  ","")&amp;IF(AND(EDATE($D104,Milestones!$AA$82)&lt;=AsOfDate,IF($Q104=0,$W104,IF(AND($S104&lt;&gt;"",EDATE($D104,Milestones!$AA$82)&gt;=$S104),$V104,IF(AND($R104&lt;&gt;"",EDATE($D104,Milestones!$AA$82)&gt;=$R104),$U104,$T104)))=Milestones!$AB$82),TEXT(EDATE($D104,Milestones!$AA$82),"dd/mm/yy")&amp;" "&amp;Milestones!$AB$82&amp;" "&amp;Milestones!$AC$82&amp;";  ","")&amp;IF(AND(EDATE($D104,Milestones!$AA$83)&lt;=AsOfDate,IF($Q104=0,$W104,IF(AND($S104&lt;&gt;"",EDATE($D104,Milestones!$AA$83)&gt;=$S104),$V104,IF(AND($R104&lt;&gt;"",EDATE($D104,Milestones!$AA$83)&gt;=$R104),$U104,$T104)))=Milestones!$AB$83),TEXT(EDATE($D104,Milestones!$AA$83),"dd/mm/yy")&amp;" "&amp;Milestones!$AB$83&amp;" "&amp;Milestones!$AC$83&amp;";  ","")&amp;IF(AND(EDATE($D104,Milestones!$AA$84)&lt;=AsOfDate,IF($Q104=0,$W104,IF(AND($S104&lt;&gt;"",EDATE($D104,Milestones!$AA$84)&gt;=$S104),$V104,IF(AND($R104&lt;&gt;"",EDATE($D104,Milestones!$AA$84)&gt;=$R104),$U104,$T104)))=Milestones!$AB$84),TEXT(EDATE($D104,Milestones!$AA$84),"dd/mm/yy")&amp;" "&amp;Milestones!$AB$84&amp;" "&amp;Milestones!$AC$84&amp;";  ","")&amp;IF(AND(EDATE($D104,Milestones!$AA$85)&lt;=AsOfDate,IF($Q104=0,$W104,IF(AND($S104&lt;&gt;"",EDATE($D104,Milestones!$AA$85)&gt;=$S104),$V104,IF(AND($R104&lt;&gt;"",EDATE($D104,Milestones!$AA$85)&gt;=$R104),$U104,$T104)))=Milestones!$AB$85),TEXT(EDATE($D104,Milestones!$AA$85),"dd/mm/yy")&amp;" "&amp;Milestones!$AB$85&amp;" "&amp;Milestones!$AC$85&amp;";  ","")&amp;IF(AND(EDATE($D104,Milestones!$AA$86)&lt;=AsOfDate,IF($Q104=0,$W104,IF(AND($S104&lt;&gt;"",EDATE($D104,Milestones!$AA$86)&gt;=$S104),$V104,IF(AND($R104&lt;&gt;"",EDATE($D104,Milestones!$AA$86)&gt;=$R104),$U104,$T104)))=Milestones!$AB$86),TEXT(EDATE($D104,Milestones!$AA$86),"dd/mm/yy")&amp;" "&amp;Milestones!$AB$86&amp;" "&amp;Milestones!$AC$86&amp;";  ","")&amp;IF(AND(EDATE($D104,Milestones!$AA$87)&lt;=AsOfDate,IF($Q104=0,$W104,IF(AND($S104&lt;&gt;"",EDATE($D104,Milestones!$AA$87)&gt;=$S104),$V104,IF(AND($R104&lt;&gt;"",EDATE($D104,Milestones!$AA$87)&gt;=$R104),$U104,$T104)))=Milestones!$AB$87),TEXT(EDATE($D104,Milestones!$AA$87),"dd/mm/yy")&amp;" "&amp;Milestones!$AB$87&amp;" "&amp;Milestones!$AC$87&amp;";  ","")&amp;IF(AND(EDATE($D104,Milestones!$AA$88)&lt;=AsOfDate,IF($Q104=0,$W104,IF(AND($S104&lt;&gt;"",EDATE($D104,Milestones!$AA$88)&gt;=$S104),$V104,IF(AND($R104&lt;&gt;"",EDATE($D104,Milestones!$AA$88)&gt;=$R104),$U104,$T104)))=Milestones!$AB$88),TEXT(EDATE($D104,Milestones!$AA$88),"dd/mm/yy")&amp;" "&amp;Milestones!$AB$88&amp;" "&amp;Milestones!$AC$88&amp;";  ","")&amp;IF(AND(EDATE($D104,Milestones!$AA$89)&lt;=AsOfDate,IF($Q104=0,$W104,IF(AND($S104&lt;&gt;"",EDATE($D104,Milestones!$AA$89)&gt;=$S104),$V104,IF(AND($R104&lt;&gt;"",EDATE($D104,Milestones!$AA$89)&gt;=$R104),$U104,$T104)))=Milestones!$AB$89),TEXT(EDATE($D104,Milestones!$AA$89),"dd/mm/yy")&amp;" "&amp;Milestones!$AB$89&amp;" "&amp;Milestones!$AC$89&amp;";  ","")&amp;IF(AND(EDATE($D104,Milestones!$AA$90)&lt;=AsOfDate,IF($Q104=0,$W104,IF(AND($S104&lt;&gt;"",EDATE($D104,Milestones!$AA$90)&gt;=$S104),$V104,IF(AND($R104&lt;&gt;"",EDATE($D104,Milestones!$AA$90)&gt;=$R104),$U104,$T104)))=Milestones!$AB$90),TEXT(EDATE($D104,Milestones!$AA$90),"dd/mm/yy")&amp;" "&amp;Milestones!$AB$90&amp;" "&amp;Milestones!$AC$90&amp;";  ","")&amp;IF(AND(EDATE($D104,Milestones!$AA$91)&lt;=AsOfDate,IF($Q104=0,$W104,IF(AND($S104&lt;&gt;"",EDATE($D104,Milestones!$AA$91)&gt;=$S104),$V104,IF(AND($R104&lt;&gt;"",EDATE($D104,Milestones!$AA$91)&gt;=$R104),$U104,$T104)))=Milestones!$AB$91),TEXT(EDATE($D104,Milestones!$AA$91),"dd/mm/yy")&amp;" "&amp;Milestones!$AB$91&amp;" "&amp;Milestones!$AC$91&amp;";  ","")&amp;IF(AND(EDATE($D104,Milestones!$AA$92)&lt;=AsOfDate,IF($Q104=0,$W104,IF(AND($S104&lt;&gt;"",EDATE($D104,Milestones!$AA$92)&gt;=$S104),$V104,IF(AND($R104&lt;&gt;"",EDATE($D104,Milestones!$AA$92)&gt;=$R104),$U104,$T104)))=Milestones!$AB$92),TEXT(EDATE($D104,Milestones!$AA$92),"dd/mm/yy")&amp;" "&amp;Milestones!$AB$92&amp;" "&amp;Milestones!$AC$92&amp;";  ","")&amp;IF(AND(EDATE($D104,Milestones!$AA$93)&lt;=AsOfDate,IF($Q104=0,$W104,IF(AND($S104&lt;&gt;"",EDATE($D104,Milestones!$AA$93)&gt;=$S104),$V104,IF(AND($R104&lt;&gt;"",EDATE($D104,Milestones!$AA$93)&gt;=$R104),$U104,$T104)))=Milestones!$AB$93),TEXT(EDATE($D104,Milestones!$AA$93),"dd/mm/yy")&amp;" "&amp;Milestones!$AB$93&amp;" "&amp;Milestones!$AC$93&amp;";  ","")&amp;IF(AND(EDATE($D104,Milestones!$AA$94)&lt;=AsOfDate,IF($Q104=0,$W104,IF(AND($S104&lt;&gt;"",EDATE($D104,Milestones!$AA$94)&gt;=$S104),$V104,IF(AND($R104&lt;&gt;"",EDATE($D104,Milestones!$AA$94)&gt;=$R104),$U104,$T104)))=Milestones!$AB$94),TEXT(EDATE($D104,Milestones!$AA$94),"dd/mm/yy")&amp;" "&amp;Milestones!$AB$94&amp;" "&amp;Milestones!$AC$94&amp;";  ","")&amp;IF(AND(EDATE($D104,Milestones!$AA$95)&lt;=AsOfDate,IF($Q104=0,$W104,IF(AND($S104&lt;&gt;"",EDATE($D104,Milestones!$AA$95)&gt;=$S104),$V104,IF(AND($R104&lt;&gt;"",EDATE($D104,Milestones!$AA$95)&gt;=$R104),$U104,$T104)))=Milestones!$AB$95),TEXT(EDATE($D104,Milestones!$AA$95),"dd/mm/yy")&amp;" "&amp;Milestones!$AB$95&amp;" "&amp;Milestones!$AC$95&amp;";  ","")&amp;IF(AND(EDATE($D104,Milestones!$AA$96)&lt;=AsOfDate,IF($Q104=0,$W104,IF(AND($S104&lt;&gt;"",EDATE($D104,Milestones!$AA$96)&gt;=$S104),$V104,IF(AND($R104&lt;&gt;"",EDATE($D104,Milestones!$AA$96)&gt;=$R104),$U104,$T104)))=Milestones!$AB$96),TEXT(EDATE($D104,Milestones!$AA$96),"dd/mm/yy")&amp;" "&amp;Milestones!$AB$96&amp;" "&amp;Milestones!$AC$96&amp;";  ","")&amp;IF(AND(EDATE($D104,Milestones!$AA$97)&lt;=AsOfDate,IF($Q104=0,$W104,IF(AND($S104&lt;&gt;"",EDATE($D104,Milestones!$AA$97)&gt;=$S104),$V104,IF(AND($R104&lt;&gt;"",EDATE($D104,Milestones!$AA$97)&gt;=$R104),$U104,$T104)))=Milestones!$AB$97),TEXT(EDATE($D104,Milestones!$AA$97),"dd/mm/yy")&amp;" "&amp;Milestones!$AB$97&amp;" "&amp;Milestones!$AC$97&amp;";  ","")&amp;IF(AND(EDATE($D104,Milestones!$AA$98)&lt;=AsOfDate,IF($Q104=0,$W104,IF(AND($S104&lt;&gt;"",EDATE($D104,Milestones!$AA$98)&gt;=$S104),$V104,IF(AND($R104&lt;&gt;"",EDATE($D104,Milestones!$AA$98)&gt;=$R104),$U104,$T104)))=Milestones!$AB$98),TEXT(EDATE($D104,Milestones!$AA$98),"dd/mm/yy")&amp;" "&amp;Milestones!$AB$98&amp;" "&amp;Milestones!$AC$98&amp;";  ","")&amp;IF(AND(EDATE($D104,Milestones!$AA$99)&lt;=AsOfDate,IF($Q104=0,$W104,IF(AND($S104&lt;&gt;"",EDATE($D104,Milestones!$AA$99)&gt;=$S104),$V104,IF(AND($R104&lt;&gt;"",EDATE($D104,Milestones!$AA$99)&gt;=$R104),$U104,$T104)))=Milestones!$AB$99),TEXT(EDATE($D104,Milestones!$AA$99),"dd/mm/yy")&amp;" "&amp;Milestones!$AB$99&amp;" "&amp;Milestones!$AC$99&amp;";  ",""))</f>
        <v/>
      </c>
      <c r="L104" s="0" t="str">
        <f aca="false">IF(OR($A104="",$D104=""),"",IF(AND(EDATE($D104,Milestones!$AA$100)&lt;=AsOfDate,IF($Q104=0,$W104,IF(AND($S104&lt;&gt;"",EDATE($D104,Milestones!$AA$100)&gt;=$S104),$V104,IF(AND($R104&lt;&gt;"",EDATE($D104,Milestones!$AA$100)&gt;=$R104),$U104,$T104)))=Milestones!$AB$100),TEXT(EDATE($D104,Milestones!$AA$100),"dd/mm/yy")&amp;" "&amp;Milestones!$AB$100&amp;" "&amp;Milestones!$AC$100&amp;";  ","")&amp;IF(AND(EDATE($D104,Milestones!$AA$101)&lt;=AsOfDate,IF($Q104=0,$W104,IF(AND($S104&lt;&gt;"",EDATE($D104,Milestones!$AA$101)&gt;=$S104),$V104,IF(AND($R104&lt;&gt;"",EDATE($D104,Milestones!$AA$101)&gt;=$R104),$U104,$T104)))=Milestones!$AB$101),TEXT(EDATE($D104,Milestones!$AA$101),"dd/mm/yy")&amp;" "&amp;Milestones!$AB$101&amp;" "&amp;Milestones!$AC$101&amp;";  ","")&amp;IF(AND(EDATE($D104,Milestones!$AA$102)&lt;=AsOfDate,IF($Q104=0,$W104,IF(AND($S104&lt;&gt;"",EDATE($D104,Milestones!$AA$102)&gt;=$S104),$V104,IF(AND($R104&lt;&gt;"",EDATE($D104,Milestones!$AA$102)&gt;=$R104),$U104,$T104)))=Milestones!$AB$102),TEXT(EDATE($D104,Milestones!$AA$102),"dd/mm/yy")&amp;" "&amp;Milestones!$AB$102&amp;" "&amp;Milestones!$AC$102&amp;";  ","")&amp;IF(AND(EDATE($D104,Milestones!$AA$103)&lt;=AsOfDate,IF($Q104=0,$W104,IF(AND($S104&lt;&gt;"",EDATE($D104,Milestones!$AA$103)&gt;=$S104),$V104,IF(AND($R104&lt;&gt;"",EDATE($D104,Milestones!$AA$103)&gt;=$R104),$U104,$T104)))=Milestones!$AB$103),TEXT(EDATE($D104,Milestones!$AA$103),"dd/mm/yy")&amp;" "&amp;Milestones!$AB$103&amp;" "&amp;Milestones!$AC$103&amp;";  ","")&amp;IF(AND(EDATE($D104,Milestones!$AA$104)&lt;=AsOfDate,IF($Q104=0,$W104,IF(AND($S104&lt;&gt;"",EDATE($D104,Milestones!$AA$104)&gt;=$S104),$V104,IF(AND($R104&lt;&gt;"",EDATE($D104,Milestones!$AA$104)&gt;=$R104),$U104,$T104)))=Milestones!$AB$104),TEXT(EDATE($D104,Milestones!$AA$104),"dd/mm/yy")&amp;" "&amp;Milestones!$AB$104&amp;" "&amp;Milestones!$AC$104&amp;";  ","")&amp;IF(AND(EDATE($D104,Milestones!$AA$105)&lt;=AsOfDate,IF($Q104=0,$W104,IF(AND($S104&lt;&gt;"",EDATE($D104,Milestones!$AA$105)&gt;=$S104),$V104,IF(AND($R104&lt;&gt;"",EDATE($D104,Milestones!$AA$105)&gt;=$R104),$U104,$T104)))=Milestones!$AB$105),TEXT(EDATE($D104,Milestones!$AA$105),"dd/mm/yy")&amp;" "&amp;Milestones!$AB$105&amp;" "&amp;Milestones!$AC$105&amp;";  ","")&amp;IF(AND(EDATE($D104,Milestones!$AA$106)&lt;=AsOfDate,IF($Q104=0,$W104,IF(AND($S104&lt;&gt;"",EDATE($D104,Milestones!$AA$106)&gt;=$S104),$V104,IF(AND($R104&lt;&gt;"",EDATE($D104,Milestones!$AA$106)&gt;=$R104),$U104,$T104)))=Milestones!$AB$106),TEXT(EDATE($D104,Milestones!$AA$106),"dd/mm/yy")&amp;" "&amp;Milestones!$AB$106&amp;" "&amp;Milestones!$AC$106&amp;";  ","")&amp;IF(AND(EDATE($D104,Milestones!$AA$107)&lt;=AsOfDate,IF($Q104=0,$W104,IF(AND($S104&lt;&gt;"",EDATE($D104,Milestones!$AA$107)&gt;=$S104),$V104,IF(AND($R104&lt;&gt;"",EDATE($D104,Milestones!$AA$107)&gt;=$R104),$U104,$T104)))=Milestones!$AB$107),TEXT(EDATE($D104,Milestones!$AA$107),"dd/mm/yy")&amp;" "&amp;Milestones!$AB$107&amp;" "&amp;Milestones!$AC$107&amp;";  ","")&amp;IF(AND(EDATE($D104,Milestones!$AA$108)&lt;=AsOfDate,IF($Q104=0,$W104,IF(AND($S104&lt;&gt;"",EDATE($D104,Milestones!$AA$108)&gt;=$S104),$V104,IF(AND($R104&lt;&gt;"",EDATE($D104,Milestones!$AA$108)&gt;=$R104),$U104,$T104)))=Milestones!$AB$108),TEXT(EDATE($D104,Milestones!$AA$108),"dd/mm/yy")&amp;" "&amp;Milestones!$AB$108&amp;" "&amp;Milestones!$AC$108&amp;";  ","")&amp;IF(AND(EDATE($D104,Milestones!$AA$109)&lt;=AsOfDate,IF($Q104=0,$W104,IF(AND($S104&lt;&gt;"",EDATE($D104,Milestones!$AA$109)&gt;=$S104),$V104,IF(AND($R104&lt;&gt;"",EDATE($D104,Milestones!$AA$109)&gt;=$R104),$U104,$T104)))=Milestones!$AB$109),TEXT(EDATE($D104,Milestones!$AA$109),"dd/mm/yy")&amp;" "&amp;Milestones!$AB$109&amp;" "&amp;Milestones!$AC$109&amp;";  ","")&amp;IF(AND(EDATE($D104,Milestones!$AA$110)&lt;=AsOfDate,IF($Q104=0,$W104,IF(AND($S104&lt;&gt;"",EDATE($D104,Milestones!$AA$110)&gt;=$S104),$V104,IF(AND($R104&lt;&gt;"",EDATE($D104,Milestones!$AA$110)&gt;=$R104),$U104,$T104)))=Milestones!$AB$110),TEXT(EDATE($D104,Milestones!$AA$110),"dd/mm/yy")&amp;" "&amp;Milestones!$AB$110&amp;" "&amp;Milestones!$AC$110&amp;";  ","")&amp;IF(AND(EDATE($D104,Milestones!$AA$111)&lt;=AsOfDate,IF($Q104=0,$W104,IF(AND($S104&lt;&gt;"",EDATE($D104,Milestones!$AA$111)&gt;=$S104),$V104,IF(AND($R104&lt;&gt;"",EDATE($D104,Milestones!$AA$111)&gt;=$R104),$U104,$T104)))=Milestones!$AB$111),TEXT(EDATE($D104,Milestones!$AA$111),"dd/mm/yy")&amp;" "&amp;Milestones!$AB$111&amp;" "&amp;Milestones!$AC$111&amp;";  ","")&amp;IF(AND(EDATE($D104,Milestones!$AA$112)&lt;=AsOfDate,IF($Q104=0,$W104,IF(AND($S104&lt;&gt;"",EDATE($D104,Milestones!$AA$112)&gt;=$S104),$V104,IF(AND($R104&lt;&gt;"",EDATE($D104,Milestones!$AA$112)&gt;=$R104),$U104,$T104)))=Milestones!$AB$112),TEXT(EDATE($D104,Milestones!$AA$112),"dd/mm/yy")&amp;" "&amp;Milestones!$AB$112&amp;" "&amp;Milestones!$AC$112&amp;";  ","")&amp;IF(AND(EDATE($D104,Milestones!$AA$113)&lt;=AsOfDate,IF($Q104=0,$W104,IF(AND($S104&lt;&gt;"",EDATE($D104,Milestones!$AA$113)&gt;=$S104),$V104,IF(AND($R104&lt;&gt;"",EDATE($D104,Milestones!$AA$113)&gt;=$R104),$U104,$T104)))=Milestones!$AB$113),TEXT(EDATE($D104,Milestones!$AA$113),"dd/mm/yy")&amp;" "&amp;Milestones!$AB$113&amp;" "&amp;Milestones!$AC$113&amp;";  ","")&amp;IF(AND(EDATE($D104,Milestones!$AA$114)&lt;=AsOfDate,IF($Q104=0,$W104,IF(AND($S104&lt;&gt;"",EDATE($D104,Milestones!$AA$114)&gt;=$S104),$V104,IF(AND($R104&lt;&gt;"",EDATE($D104,Milestones!$AA$114)&gt;=$R104),$U104,$T104)))=Milestones!$AB$114),TEXT(EDATE($D104,Milestones!$AA$114),"dd/mm/yy")&amp;" "&amp;Milestones!$AB$114&amp;" "&amp;Milestones!$AC$114&amp;";  ","")&amp;IF(AND(EDATE($D104,Milestones!$AA$115)&lt;=AsOfDate,IF($Q104=0,$W104,IF(AND($S104&lt;&gt;"",EDATE($D104,Milestones!$AA$115)&gt;=$S104),$V104,IF(AND($R104&lt;&gt;"",EDATE($D104,Milestones!$AA$115)&gt;=$R104),$U104,$T104)))=Milestones!$AB$115),TEXT(EDATE($D104,Milestones!$AA$115),"dd/mm/yy")&amp;" "&amp;Milestones!$AB$115&amp;" "&amp;Milestones!$AC$115&amp;";  ","")&amp;IF(AND(EDATE($D104,Milestones!$AA$116)&lt;=AsOfDate,IF($Q104=0,$W104,IF(AND($S104&lt;&gt;"",EDATE($D104,Milestones!$AA$116)&gt;=$S104),$V104,IF(AND($R104&lt;&gt;"",EDATE($D104,Milestones!$AA$116)&gt;=$R104),$U104,$T104)))=Milestones!$AB$116),TEXT(EDATE($D104,Milestones!$AA$116),"dd/mm/yy")&amp;" "&amp;Milestones!$AB$116&amp;" "&amp;Milestones!$AC$116&amp;";  ","")&amp;IF(AND(EDATE($D104,Milestones!$AA$117)&lt;=AsOfDate,IF($Q104=0,$W104,IF(AND($S104&lt;&gt;"",EDATE($D104,Milestones!$AA$117)&gt;=$S104),$V104,IF(AND($R104&lt;&gt;"",EDATE($D104,Milestones!$AA$117)&gt;=$R104),$U104,$T104)))=Milestones!$AB$117),TEXT(EDATE($D104,Milestones!$AA$117),"dd/mm/yy")&amp;" "&amp;Milestones!$AB$117&amp;" "&amp;Milestones!$AC$117&amp;";  ","")&amp;IF(AND(EDATE($D104,Milestones!$AA$118)&lt;=AsOfDate,IF($Q104=0,$W104,IF(AND($S104&lt;&gt;"",EDATE($D104,Milestones!$AA$118)&gt;=$S104),$V104,IF(AND($R104&lt;&gt;"",EDATE($D104,Milestones!$AA$118)&gt;=$R104),$U104,$T104)))=Milestones!$AB$118),TEXT(EDATE($D104,Milestones!$AA$118),"dd/mm/yy")&amp;" "&amp;Milestones!$AB$118&amp;" "&amp;Milestones!$AC$118&amp;";  ","")&amp;IF(AND(EDATE($D104,Milestones!$AA$119)&lt;=AsOfDate,IF($Q104=0,$W104,IF(AND($S104&lt;&gt;"",EDATE($D104,Milestones!$AA$119)&gt;=$S104),$V104,IF(AND($R104&lt;&gt;"",EDATE($D104,Milestones!$AA$119)&gt;=$R104),$U104,$T104)))=Milestones!$AB$119),TEXT(EDATE($D104,Milestones!$AA$119),"dd/mm/yy")&amp;" "&amp;Milestones!$AB$119&amp;" "&amp;Milestones!$AC$119&amp;";  ",""))</f>
        <v/>
      </c>
      <c r="M104" s="0" t="str">
        <f aca="false">IF(OR($A104="",$D104=""),"",IF(AND(EDATE($D104,Milestones!$AA$120)&lt;=AsOfDate,IF($Q104=0,$W104,IF(AND($S104&lt;&gt;"",EDATE($D104,Milestones!$AA$120)&gt;=$S104),$V104,IF(AND($R104&lt;&gt;"",EDATE($D104,Milestones!$AA$120)&gt;=$R104),$U104,$T104)))=Milestones!$AB$120),TEXT(EDATE($D104,Milestones!$AA$120),"dd/mm/yy")&amp;" "&amp;Milestones!$AB$120&amp;" "&amp;Milestones!$AC$120&amp;";  ","")&amp;IF(AND(EDATE($D104,Milestones!$AA$121)&lt;=AsOfDate,IF($Q104=0,$W104,IF(AND($S104&lt;&gt;"",EDATE($D104,Milestones!$AA$121)&gt;=$S104),$V104,IF(AND($R104&lt;&gt;"",EDATE($D104,Milestones!$AA$121)&gt;=$R104),$U104,$T104)))=Milestones!$AB$121),TEXT(EDATE($D104,Milestones!$AA$121),"dd/mm/yy")&amp;" "&amp;Milestones!$AB$121&amp;" "&amp;Milestones!$AC$121&amp;";  ","")&amp;IF(AND(EDATE($D104,Milestones!$AA$122)&lt;=AsOfDate,IF($Q104=0,$W104,IF(AND($S104&lt;&gt;"",EDATE($D104,Milestones!$AA$122)&gt;=$S104),$V104,IF(AND($R104&lt;&gt;"",EDATE($D104,Milestones!$AA$122)&gt;=$R104),$U104,$T104)))=Milestones!$AB$122),TEXT(EDATE($D104,Milestones!$AA$122),"dd/mm/yy")&amp;" "&amp;Milestones!$AB$122&amp;" "&amp;Milestones!$AC$122&amp;";  ","")&amp;IF(AND(EDATE($D104,Milestones!$AA$123)&lt;=AsOfDate,IF($Q104=0,$W104,IF(AND($S104&lt;&gt;"",EDATE($D104,Milestones!$AA$123)&gt;=$S104),$V104,IF(AND($R104&lt;&gt;"",EDATE($D104,Milestones!$AA$123)&gt;=$R104),$U104,$T104)))=Milestones!$AB$123),TEXT(EDATE($D104,Milestones!$AA$123),"dd/mm/yy")&amp;" "&amp;Milestones!$AB$123&amp;" "&amp;Milestones!$AC$123&amp;";  ","")&amp;IF(AND(EDATE($D104,Milestones!$AA$124)&lt;=AsOfDate,IF($Q104=0,$W104,IF(AND($S104&lt;&gt;"",EDATE($D104,Milestones!$AA$124)&gt;=$S104),$V104,IF(AND($R104&lt;&gt;"",EDATE($D104,Milestones!$AA$124)&gt;=$R104),$U104,$T104)))=Milestones!$AB$124),TEXT(EDATE($D104,Milestones!$AA$124),"dd/mm/yy")&amp;" "&amp;Milestones!$AB$124&amp;" "&amp;Milestones!$AC$124&amp;";  ","")&amp;IF(AND(EDATE($D104,Milestones!$AA$125)&lt;=AsOfDate,IF($Q104=0,$W104,IF(AND($S104&lt;&gt;"",EDATE($D104,Milestones!$AA$125)&gt;=$S104),$V104,IF(AND($R104&lt;&gt;"",EDATE($D104,Milestones!$AA$125)&gt;=$R104),$U104,$T104)))=Milestones!$AB$125),TEXT(EDATE($D104,Milestones!$AA$125),"dd/mm/yy")&amp;" "&amp;Milestones!$AB$125&amp;" "&amp;Milestones!$AC$125&amp;";  ","")&amp;IF(AND(EDATE($D104,Milestones!$AA$126)&lt;=AsOfDate,IF($Q104=0,$W104,IF(AND($S104&lt;&gt;"",EDATE($D104,Milestones!$AA$126)&gt;=$S104),$V104,IF(AND($R104&lt;&gt;"",EDATE($D104,Milestones!$AA$126)&gt;=$R104),$U104,$T104)))=Milestones!$AB$126),TEXT(EDATE($D104,Milestones!$AA$126),"dd/mm/yy")&amp;" "&amp;Milestones!$AB$126&amp;" "&amp;Milestones!$AC$126&amp;";  ","")&amp;IF(AND(EDATE($D104,Milestones!$AA$127)&lt;=AsOfDate,IF($Q104=0,$W104,IF(AND($S104&lt;&gt;"",EDATE($D104,Milestones!$AA$127)&gt;=$S104),$V104,IF(AND($R104&lt;&gt;"",EDATE($D104,Milestones!$AA$127)&gt;=$R104),$U104,$T104)))=Milestones!$AB$127),TEXT(EDATE($D104,Milestones!$AA$127),"dd/mm/yy")&amp;" "&amp;Milestones!$AB$127&amp;" "&amp;Milestones!$AC$127&amp;";  ","")&amp;IF(AND(EDATE($D104,Milestones!$AA$128)&lt;=AsOfDate,IF($Q104=0,$W104,IF(AND($S104&lt;&gt;"",EDATE($D104,Milestones!$AA$128)&gt;=$S104),$V104,IF(AND($R104&lt;&gt;"",EDATE($D104,Milestones!$AA$128)&gt;=$R104),$U104,$T104)))=Milestones!$AB$128),TEXT(EDATE($D104,Milestones!$AA$128),"dd/mm/yy")&amp;" "&amp;Milestones!$AB$128&amp;" "&amp;Milestones!$AC$128&amp;";  ","")&amp;IF(AND(EDATE($D104,Milestones!$AA$129)&lt;=AsOfDate,IF($Q104=0,$W104,IF(AND($S104&lt;&gt;"",EDATE($D104,Milestones!$AA$129)&gt;=$S104),$V104,IF(AND($R104&lt;&gt;"",EDATE($D104,Milestones!$AA$129)&gt;=$R104),$U104,$T104)))=Milestones!$AB$129),TEXT(EDATE($D104,Milestones!$AA$129),"dd/mm/yy")&amp;" "&amp;Milestones!$AB$129&amp;" "&amp;Milestones!$AC$129&amp;";  ","")&amp;IF(AND(EDATE($D104,Milestones!$AA$130)&lt;=AsOfDate,IF($Q104=0,$W104,IF(AND($S104&lt;&gt;"",EDATE($D104,Milestones!$AA$130)&gt;=$S104),$V104,IF(AND($R104&lt;&gt;"",EDATE($D104,Milestones!$AA$130)&gt;=$R104),$U104,$T104)))=Milestones!$AB$130),TEXT(EDATE($D104,Milestones!$AA$130),"dd/mm/yy")&amp;" "&amp;Milestones!$AB$130&amp;" "&amp;Milestones!$AC$130&amp;";  ","")&amp;IF(AND(EDATE($D104,Milestones!$AA$131)&lt;=AsOfDate,IF($Q104=0,$W104,IF(AND($S104&lt;&gt;"",EDATE($D104,Milestones!$AA$131)&gt;=$S104),$V104,IF(AND($R104&lt;&gt;"",EDATE($D104,Milestones!$AA$131)&gt;=$R104),$U104,$T104)))=Milestones!$AB$131),TEXT(EDATE($D104,Milestones!$AA$131),"dd/mm/yy")&amp;" "&amp;Milestones!$AB$131&amp;" "&amp;Milestones!$AC$131&amp;";  ","")&amp;IF(AND(EDATE($D104,Milestones!$AA$132)&lt;=AsOfDate,IF($Q104=0,$W104,IF(AND($S104&lt;&gt;"",EDATE($D104,Milestones!$AA$132)&gt;=$S104),$V104,IF(AND($R104&lt;&gt;"",EDATE($D104,Milestones!$AA$132)&gt;=$R104),$U104,$T104)))=Milestones!$AB$132),TEXT(EDATE($D104,Milestones!$AA$132),"dd/mm/yy")&amp;" "&amp;Milestones!$AB$132&amp;" "&amp;Milestones!$AC$132&amp;";  ","")&amp;IF(AND(EDATE($D104,Milestones!$AA$133)&lt;=AsOfDate,IF($Q104=0,$W104,IF(AND($S104&lt;&gt;"",EDATE($D104,Milestones!$AA$133)&gt;=$S104),$V104,IF(AND($R104&lt;&gt;"",EDATE($D104,Milestones!$AA$133)&gt;=$R104),$U104,$T104)))=Milestones!$AB$133),TEXT(EDATE($D104,Milestones!$AA$133),"dd/mm/yy")&amp;" "&amp;Milestones!$AB$133&amp;" "&amp;Milestones!$AC$133&amp;";  ","")&amp;IF(AND(EDATE($D104,Milestones!$AA$134)&lt;=AsOfDate,IF($Q104=0,$W104,IF(AND($S104&lt;&gt;"",EDATE($D104,Milestones!$AA$134)&gt;=$S104),$V104,IF(AND($R104&lt;&gt;"",EDATE($D104,Milestones!$AA$134)&gt;=$R104),$U104,$T104)))=Milestones!$AB$134),TEXT(EDATE($D104,Milestones!$AA$134),"dd/mm/yy")&amp;" "&amp;Milestones!$AB$134&amp;" "&amp;Milestones!$AC$134&amp;";  ","")&amp;IF(AND(EDATE($D104,Milestones!$AA$135)&lt;=AsOfDate,IF($Q104=0,$W104,IF(AND($S104&lt;&gt;"",EDATE($D104,Milestones!$AA$135)&gt;=$S104),$V104,IF(AND($R104&lt;&gt;"",EDATE($D104,Milestones!$AA$135)&gt;=$R104),$U104,$T104)))=Milestones!$AB$135),TEXT(EDATE($D104,Milestones!$AA$135),"dd/mm/yy")&amp;" "&amp;Milestones!$AB$135&amp;" "&amp;Milestones!$AC$135&amp;";  ","")&amp;IF(AND(EDATE($D104,Milestones!$AA$136)&lt;=AsOfDate,IF($Q104=0,$W104,IF(AND($S104&lt;&gt;"",EDATE($D104,Milestones!$AA$136)&gt;=$S104),$V104,IF(AND($R104&lt;&gt;"",EDATE($D104,Milestones!$AA$136)&gt;=$R104),$U104,$T104)))=Milestones!$AB$136),TEXT(EDATE($D104,Milestones!$AA$136),"dd/mm/yy")&amp;" "&amp;Milestones!$AB$136&amp;" "&amp;Milestones!$AC$136&amp;";  ","")&amp;IF(AND(EDATE($D104,Milestones!$AA$137)&lt;=AsOfDate,IF($Q104=0,$W104,IF(AND($S104&lt;&gt;"",EDATE($D104,Milestones!$AA$137)&gt;=$S104),$V104,IF(AND($R104&lt;&gt;"",EDATE($D104,Milestones!$AA$137)&gt;=$R104),$U104,$T104)))=Milestones!$AB$137),TEXT(EDATE($D104,Milestones!$AA$137),"dd/mm/yy")&amp;" "&amp;Milestones!$AB$137&amp;" "&amp;Milestones!$AC$137&amp;";  ","")&amp;IF(AND(EDATE($D104,Milestones!$AA$138)&lt;=AsOfDate,IF($Q104=0,$W104,IF(AND($S104&lt;&gt;"",EDATE($D104,Milestones!$AA$138)&gt;=$S104),$V104,IF(AND($R104&lt;&gt;"",EDATE($D104,Milestones!$AA$138)&gt;=$R104),$U104,$T104)))=Milestones!$AB$138),TEXT(EDATE($D104,Milestones!$AA$138),"dd/mm/yy")&amp;" "&amp;Milestones!$AB$138&amp;" "&amp;Milestones!$AC$138&amp;";  ","")&amp;IF(AND(EDATE($D104,Milestones!$AA$139)&lt;=AsOfDate,IF($Q104=0,$W104,IF(AND($S104&lt;&gt;"",EDATE($D104,Milestones!$AA$139)&gt;=$S104),$V104,IF(AND($R104&lt;&gt;"",EDATE($D104,Milestones!$AA$139)&gt;=$R104),$U104,$T104)))=Milestones!$AB$139),TEXT(EDATE($D104,Milestones!$AA$139),"dd/mm/yy")&amp;" "&amp;Milestones!$AB$139&amp;" "&amp;Milestones!$AC$139&amp;";  ",""))</f>
        <v/>
      </c>
      <c r="N104" s="0" t="str">
        <f aca="false">IF(OR($A104="",$D104=""),"",IF(AND(EDATE($D104,Milestones!$AA$140)&lt;=AsOfDate,IF($Q104=0,$W104,IF(AND($S104&lt;&gt;"",EDATE($D104,Milestones!$AA$140)&gt;=$S104),$V104,IF(AND($R104&lt;&gt;"",EDATE($D104,Milestones!$AA$140)&gt;=$R104),$U104,$T104)))=Milestones!$AB$140),TEXT(EDATE($D104,Milestones!$AA$140),"dd/mm/yy")&amp;" "&amp;Milestones!$AB$140&amp;" "&amp;Milestones!$AC$140&amp;";  ","")&amp;IF(AND(EDATE($D104,Milestones!$AA$141)&lt;=AsOfDate,IF($Q104=0,$W104,IF(AND($S104&lt;&gt;"",EDATE($D104,Milestones!$AA$141)&gt;=$S104),$V104,IF(AND($R104&lt;&gt;"",EDATE($D104,Milestones!$AA$141)&gt;=$R104),$U104,$T104)))=Milestones!$AB$141),TEXT(EDATE($D104,Milestones!$AA$141),"dd/mm/yy")&amp;" "&amp;Milestones!$AB$141&amp;" "&amp;Milestones!$AC$141&amp;";  ","")&amp;IF(AND(EDATE($D104,Milestones!$AA$142)&lt;=AsOfDate,IF($Q104=0,$W104,IF(AND($S104&lt;&gt;"",EDATE($D104,Milestones!$AA$142)&gt;=$S104),$V104,IF(AND($R104&lt;&gt;"",EDATE($D104,Milestones!$AA$142)&gt;=$R104),$U104,$T104)))=Milestones!$AB$142),TEXT(EDATE($D104,Milestones!$AA$142),"dd/mm/yy")&amp;" "&amp;Milestones!$AB$142&amp;" "&amp;Milestones!$AC$142&amp;";  ","")&amp;IF(AND(EDATE($D104,Milestones!$AA$143)&lt;=AsOfDate,IF($Q104=0,$W104,IF(AND($S104&lt;&gt;"",EDATE($D104,Milestones!$AA$143)&gt;=$S104),$V104,IF(AND($R104&lt;&gt;"",EDATE($D104,Milestones!$AA$143)&gt;=$R104),$U104,$T104)))=Milestones!$AB$143),TEXT(EDATE($D104,Milestones!$AA$143),"dd/mm/yy")&amp;" "&amp;Milestones!$AB$143&amp;" "&amp;Milestones!$AC$143&amp;";  ","")&amp;IF(AND(EDATE($D104,Milestones!$AA$144)&lt;=AsOfDate,IF($Q104=0,$W104,IF(AND($S104&lt;&gt;"",EDATE($D104,Milestones!$AA$144)&gt;=$S104),$V104,IF(AND($R104&lt;&gt;"",EDATE($D104,Milestones!$AA$144)&gt;=$R104),$U104,$T104)))=Milestones!$AB$144),TEXT(EDATE($D104,Milestones!$AA$144),"dd/mm/yy")&amp;" "&amp;Milestones!$AB$144&amp;" "&amp;Milestones!$AC$144&amp;";  ","")&amp;IF(AND(EDATE($D104,Milestones!$AA$145)&lt;=AsOfDate,IF($Q104=0,$W104,IF(AND($S104&lt;&gt;"",EDATE($D104,Milestones!$AA$145)&gt;=$S104),$V104,IF(AND($R104&lt;&gt;"",EDATE($D104,Milestones!$AA$145)&gt;=$R104),$U104,$T104)))=Milestones!$AB$145),TEXT(EDATE($D104,Milestones!$AA$145),"dd/mm/yy")&amp;" "&amp;Milestones!$AB$145&amp;" "&amp;Milestones!$AC$145&amp;";  ","")&amp;IF(AND(EDATE($D104,Milestones!$AA$146)&lt;=AsOfDate,IF($Q104=0,$W104,IF(AND($S104&lt;&gt;"",EDATE($D104,Milestones!$AA$146)&gt;=$S104),$V104,IF(AND($R104&lt;&gt;"",EDATE($D104,Milestones!$AA$146)&gt;=$R104),$U104,$T104)))=Milestones!$AB$146),TEXT(EDATE($D104,Milestones!$AA$146),"dd/mm/yy")&amp;" "&amp;Milestones!$AB$146&amp;" "&amp;Milestones!$AC$146&amp;";  ","")&amp;IF(AND(EDATE($D104,Milestones!$AA$147)&lt;=AsOfDate,IF($Q104=0,$W104,IF(AND($S104&lt;&gt;"",EDATE($D104,Milestones!$AA$147)&gt;=$S104),$V104,IF(AND($R104&lt;&gt;"",EDATE($D104,Milestones!$AA$147)&gt;=$R104),$U104,$T104)))=Milestones!$AB$147),TEXT(EDATE($D104,Milestones!$AA$147),"dd/mm/yy")&amp;" "&amp;Milestones!$AB$147&amp;" "&amp;Milestones!$AC$147&amp;";  ","")&amp;IF(AND(EDATE($D104,Milestones!$AA$148)&lt;=AsOfDate,IF($Q104=0,$W104,IF(AND($S104&lt;&gt;"",EDATE($D104,Milestones!$AA$148)&gt;=$S104),$V104,IF(AND($R104&lt;&gt;"",EDATE($D104,Milestones!$AA$148)&gt;=$R104),$U104,$T104)))=Milestones!$AB$148),TEXT(EDATE($D104,Milestones!$AA$148),"dd/mm/yy")&amp;" "&amp;Milestones!$AB$148&amp;" "&amp;Milestones!$AC$148&amp;";  ","")&amp;IF(AND(EDATE($D104,Milestones!$AA$149)&lt;=AsOfDate,IF($Q104=0,$W104,IF(AND($S104&lt;&gt;"",EDATE($D104,Milestones!$AA$149)&gt;=$S104),$V104,IF(AND($R104&lt;&gt;"",EDATE($D104,Milestones!$AA$149)&gt;=$R104),$U104,$T104)))=Milestones!$AB$149),TEXT(EDATE($D104,Milestones!$AA$149),"dd/mm/yy")&amp;" "&amp;Milestones!$AB$149&amp;" "&amp;Milestones!$AC$149&amp;";  ","")&amp;IF(AND(EDATE($D104,Milestones!$AA$150)&lt;=AsOfDate,IF($Q104=0,$W104,IF(AND($S104&lt;&gt;"",EDATE($D104,Milestones!$AA$150)&gt;=$S104),$V104,IF(AND($R104&lt;&gt;"",EDATE($D104,Milestones!$AA$150)&gt;=$R104),$U104,$T104)))=Milestones!$AB$150),TEXT(EDATE($D104,Milestones!$AA$150),"dd/mm/yy")&amp;" "&amp;Milestones!$AB$150&amp;" "&amp;Milestones!$AC$150&amp;";  ","")&amp;IF(AND(EDATE($D104,Milestones!$AA$151)&lt;=AsOfDate,IF($Q104=0,$W104,IF(AND($S104&lt;&gt;"",EDATE($D104,Milestones!$AA$151)&gt;=$S104),$V104,IF(AND($R104&lt;&gt;"",EDATE($D104,Milestones!$AA$151)&gt;=$R104),$U104,$T104)))=Milestones!$AB$151),TEXT(EDATE($D104,Milestones!$AA$151),"dd/mm/yy")&amp;" "&amp;Milestones!$AB$151&amp;" "&amp;Milestones!$AC$151&amp;";  ","")&amp;IF(AND(EDATE($D104,Milestones!$AA$152)&lt;=AsOfDate,IF($Q104=0,$W104,IF(AND($S104&lt;&gt;"",EDATE($D104,Milestones!$AA$152)&gt;=$S104),$V104,IF(AND($R104&lt;&gt;"",EDATE($D104,Milestones!$AA$152)&gt;=$R104),$U104,$T104)))=Milestones!$AB$152),TEXT(EDATE($D104,Milestones!$AA$152),"dd/mm/yy")&amp;" "&amp;Milestones!$AB$152&amp;" "&amp;Milestones!$AC$152&amp;";  ","")&amp;IF(AND(EDATE($D104,Milestones!$AA$153)&lt;=AsOfDate,IF($Q104=0,$W104,IF(AND($S104&lt;&gt;"",EDATE($D104,Milestones!$AA$153)&gt;=$S104),$V104,IF(AND($R104&lt;&gt;"",EDATE($D104,Milestones!$AA$153)&gt;=$R104),$U104,$T104)))=Milestones!$AB$153),TEXT(EDATE($D104,Milestones!$AA$153),"dd/mm/yy")&amp;" "&amp;Milestones!$AB$153&amp;" "&amp;Milestones!$AC$153&amp;";  ","")&amp;IF(AND(EDATE($D104,Milestones!$AA$154)&lt;=AsOfDate,IF($Q104=0,$W104,IF(AND($S104&lt;&gt;"",EDATE($D104,Milestones!$AA$154)&gt;=$S104),$V104,IF(AND($R104&lt;&gt;"",EDATE($D104,Milestones!$AA$154)&gt;=$R104),$U104,$T104)))=Milestones!$AB$154),TEXT(EDATE($D104,Milestones!$AA$154),"dd/mm/yy")&amp;" "&amp;Milestones!$AB$154&amp;" "&amp;Milestones!$AC$154&amp;";  ","")&amp;IF(AND(EDATE($D104,Milestones!$AA$155)&lt;=AsOfDate,IF($Q104=0,$W104,IF(AND($S104&lt;&gt;"",EDATE($D104,Milestones!$AA$155)&gt;=$S104),$V104,IF(AND($R104&lt;&gt;"",EDATE($D104,Milestones!$AA$155)&gt;=$R104),$U104,$T104)))=Milestones!$AB$155),TEXT(EDATE($D104,Milestones!$AA$155),"dd/mm/yy")&amp;" "&amp;Milestones!$AB$155&amp;" "&amp;Milestones!$AC$155&amp;";  ","")&amp;IF(AND(EDATE($D104,Milestones!$AA$156)&lt;=AsOfDate,IF($Q104=0,$W104,IF(AND($S104&lt;&gt;"",EDATE($D104,Milestones!$AA$156)&gt;=$S104),$V104,IF(AND($R104&lt;&gt;"",EDATE($D104,Milestones!$AA$156)&gt;=$R104),$U104,$T104)))=Milestones!$AB$156),TEXT(EDATE($D104,Milestones!$AA$156),"dd/mm/yy")&amp;" "&amp;Milestones!$AB$156&amp;" "&amp;Milestones!$AC$156&amp;";  ","")&amp;IF(AND(EDATE($D104,Milestones!$AA$157)&lt;=AsOfDate,IF($Q104=0,$W104,IF(AND($S104&lt;&gt;"",EDATE($D104,Milestones!$AA$157)&gt;=$S104),$V104,IF(AND($R104&lt;&gt;"",EDATE($D104,Milestones!$AA$157)&gt;=$R104),$U104,$T104)))=Milestones!$AB$157),TEXT(EDATE($D104,Milestones!$AA$157),"dd/mm/yy")&amp;" "&amp;Milestones!$AB$157&amp;" "&amp;Milestones!$AC$157&amp;";  ","")&amp;IF(AND(EDATE($D104,Milestones!$AA$158)&lt;=AsOfDate,IF($Q104=0,$W104,IF(AND($S104&lt;&gt;"",EDATE($D104,Milestones!$AA$158)&gt;=$S104),$V104,IF(AND($R104&lt;&gt;"",EDATE($D104,Milestones!$AA$158)&gt;=$R104),$U104,$T104)))=Milestones!$AB$158),TEXT(EDATE($D104,Milestones!$AA$158),"dd/mm/yy")&amp;" "&amp;Milestones!$AB$158&amp;" "&amp;Milestones!$AC$158&amp;";  ","")&amp;IF(AND(EDATE($D104,Milestones!$AA$159)&lt;=AsOfDate,IF($Q104=0,$W104,IF(AND($S104&lt;&gt;"",EDATE($D104,Milestones!$AA$159)&gt;=$S104),$V104,IF(AND($R104&lt;&gt;"",EDATE($D104,Milestones!$AA$159)&gt;=$R104),$U104,$T104)))=Milestones!$AB$159),TEXT(EDATE($D104,Milestones!$AA$159),"dd/mm/yy")&amp;" "&amp;Milestones!$AB$159&amp;" "&amp;Milestones!$AC$159&amp;";  ",""))</f>
        <v/>
      </c>
      <c r="O104" s="0" t="str">
        <f aca="false">IF(OR($A104="",$D104=""),"",IF(AND(EDATE($D104,Milestones!$AA$160)&lt;=AsOfDate,IF($Q104=0,$W104,IF(AND($S104&lt;&gt;"",EDATE($D104,Milestones!$AA$160)&gt;=$S104),$V104,IF(AND($R104&lt;&gt;"",EDATE($D104,Milestones!$AA$160)&gt;=$R104),$U104,$T104)))=Milestones!$AB$160),TEXT(EDATE($D104,Milestones!$AA$160),"dd/mm/yy")&amp;" "&amp;Milestones!$AB$160&amp;" "&amp;Milestones!$AC$160&amp;";  ","")&amp;IF(AND(EDATE($D104,Milestones!$AA$161)&lt;=AsOfDate,IF($Q104=0,$W104,IF(AND($S104&lt;&gt;"",EDATE($D104,Milestones!$AA$161)&gt;=$S104),$V104,IF(AND($R104&lt;&gt;"",EDATE($D104,Milestones!$AA$161)&gt;=$R104),$U104,$T104)))=Milestones!$AB$161),TEXT(EDATE($D104,Milestones!$AA$161),"dd/mm/yy")&amp;" "&amp;Milestones!$AB$161&amp;" "&amp;Milestones!$AC$161&amp;";  ","")&amp;IF(AND(EDATE($D104,Milestones!$AA$162)&lt;=AsOfDate,IF($Q104=0,$W104,IF(AND($S104&lt;&gt;"",EDATE($D104,Milestones!$AA$162)&gt;=$S104),$V104,IF(AND($R104&lt;&gt;"",EDATE($D104,Milestones!$AA$162)&gt;=$R104),$U104,$T104)))=Milestones!$AB$162),TEXT(EDATE($D104,Milestones!$AA$162),"dd/mm/yy")&amp;" "&amp;Milestones!$AB$162&amp;" "&amp;Milestones!$AC$162&amp;";  ","")&amp;IF(AND(EDATE($D104,Milestones!$AA$163)&lt;=AsOfDate,IF($Q104=0,$W104,IF(AND($S104&lt;&gt;"",EDATE($D104,Milestones!$AA$163)&gt;=$S104),$V104,IF(AND($R104&lt;&gt;"",EDATE($D104,Milestones!$AA$163)&gt;=$R104),$U104,$T104)))=Milestones!$AB$163),TEXT(EDATE($D104,Milestones!$AA$163),"dd/mm/yy")&amp;" "&amp;Milestones!$AB$163&amp;" "&amp;Milestones!$AC$163&amp;";  ","")&amp;IF(AND(EDATE($D104,Milestones!$AA$164)&lt;=AsOfDate,IF($Q104=0,$W104,IF(AND($S104&lt;&gt;"",EDATE($D104,Milestones!$AA$164)&gt;=$S104),$V104,IF(AND($R104&lt;&gt;"",EDATE($D104,Milestones!$AA$164)&gt;=$R104),$U104,$T104)))=Milestones!$AB$164),TEXT(EDATE($D104,Milestones!$AA$164),"dd/mm/yy")&amp;" "&amp;Milestones!$AB$164&amp;" "&amp;Milestones!$AC$164&amp;";  ","")&amp;IF(AND(EDATE($D104,Milestones!$AA$165)&lt;=AsOfDate,IF($Q104=0,$W104,IF(AND($S104&lt;&gt;"",EDATE($D104,Milestones!$AA$165)&gt;=$S104),$V104,IF(AND($R104&lt;&gt;"",EDATE($D104,Milestones!$AA$165)&gt;=$R104),$U104,$T104)))=Milestones!$AB$165),TEXT(EDATE($D104,Milestones!$AA$165),"dd/mm/yy")&amp;" "&amp;Milestones!$AB$165&amp;" "&amp;Milestones!$AC$165&amp;";  ","")&amp;IF(AND(EDATE($D104,Milestones!$AA$166)&lt;=AsOfDate,IF($Q104=0,$W104,IF(AND($S104&lt;&gt;"",EDATE($D104,Milestones!$AA$166)&gt;=$S104),$V104,IF(AND($R104&lt;&gt;"",EDATE($D104,Milestones!$AA$166)&gt;=$R104),$U104,$T104)))=Milestones!$AB$166),TEXT(EDATE($D104,Milestones!$AA$166),"dd/mm/yy")&amp;" "&amp;Milestones!$AB$166&amp;" "&amp;Milestones!$AC$166&amp;";  ","")&amp;IF(AND(EDATE($D104,Milestones!$AA$167)&lt;=AsOfDate,IF($Q104=0,$W104,IF(AND($S104&lt;&gt;"",EDATE($D104,Milestones!$AA$167)&gt;=$S104),$V104,IF(AND($R104&lt;&gt;"",EDATE($D104,Milestones!$AA$167)&gt;=$R104),$U104,$T104)))=Milestones!$AB$167),TEXT(EDATE($D104,Milestones!$AA$167),"dd/mm/yy")&amp;" "&amp;Milestones!$AB$167&amp;" "&amp;Milestones!$AC$167&amp;";  ","")&amp;IF(AND(EDATE($D104,Milestones!$AA$168)&lt;=AsOfDate,IF($Q104=0,$W104,IF(AND($S104&lt;&gt;"",EDATE($D104,Milestones!$AA$168)&gt;=$S104),$V104,IF(AND($R104&lt;&gt;"",EDATE($D104,Milestones!$AA$168)&gt;=$R104),$U104,$T104)))=Milestones!$AB$168),TEXT(EDATE($D104,Milestones!$AA$168),"dd/mm/yy")&amp;" "&amp;Milestones!$AB$168&amp;" "&amp;Milestones!$AC$168&amp;";  ","")&amp;IF(AND(EDATE($D104,Milestones!$AA$169)&lt;=AsOfDate,IF($Q104=0,$W104,IF(AND($S104&lt;&gt;"",EDATE($D104,Milestones!$AA$169)&gt;=$S104),$V104,IF(AND($R104&lt;&gt;"",EDATE($D104,Milestones!$AA$169)&gt;=$R104),$U104,$T104)))=Milestones!$AB$169),TEXT(EDATE($D104,Milestones!$AA$169),"dd/mm/yy")&amp;" "&amp;Milestones!$AB$169&amp;" "&amp;Milestones!$AC$169&amp;";  ","")&amp;IF(AND(EDATE($D104,Milestones!$AA$170)&lt;=AsOfDate,IF($Q104=0,$W104,IF(AND($S104&lt;&gt;"",EDATE($D104,Milestones!$AA$170)&gt;=$S104),$V104,IF(AND($R104&lt;&gt;"",EDATE($D104,Milestones!$AA$170)&gt;=$R104),$U104,$T104)))=Milestones!$AB$170),TEXT(EDATE($D104,Milestones!$AA$170),"dd/mm/yy")&amp;" "&amp;Milestones!$AB$170&amp;" "&amp;Milestones!$AC$170&amp;";  ","")&amp;IF(AND(EDATE($D104,Milestones!$AA$171)&lt;=AsOfDate,IF($Q104=0,$W104,IF(AND($S104&lt;&gt;"",EDATE($D104,Milestones!$AA$171)&gt;=$S104),$V104,IF(AND($R104&lt;&gt;"",EDATE($D104,Milestones!$AA$171)&gt;=$R104),$U104,$T104)))=Milestones!$AB$171),TEXT(EDATE($D104,Milestones!$AA$171),"dd/mm/yy")&amp;" "&amp;Milestones!$AB$171&amp;" "&amp;Milestones!$AC$171&amp;";  ","")&amp;IF(AND(EDATE($D104,Milestones!$AA$172)&lt;=AsOfDate,IF($Q104=0,$W104,IF(AND($S104&lt;&gt;"",EDATE($D104,Milestones!$AA$172)&gt;=$S104),$V104,IF(AND($R104&lt;&gt;"",EDATE($D104,Milestones!$AA$172)&gt;=$R104),$U104,$T104)))=Milestones!$AB$172),TEXT(EDATE($D104,Milestones!$AA$172),"dd/mm/yy")&amp;" "&amp;Milestones!$AB$172&amp;" "&amp;Milestones!$AC$172&amp;";  ","")&amp;IF(AND(EDATE($D104,Milestones!$AA$173)&lt;=AsOfDate,IF($Q104=0,$W104,IF(AND($S104&lt;&gt;"",EDATE($D104,Milestones!$AA$173)&gt;=$S104),$V104,IF(AND($R104&lt;&gt;"",EDATE($D104,Milestones!$AA$173)&gt;=$R104),$U104,$T104)))=Milestones!$AB$173),TEXT(EDATE($D104,Milestones!$AA$173),"dd/mm/yy")&amp;" "&amp;Milestones!$AB$173&amp;" "&amp;Milestones!$AC$173&amp;";  ","")&amp;IF(AND(EDATE($D104,Milestones!$AA$174)&lt;=AsOfDate,IF($Q104=0,$W104,IF(AND($S104&lt;&gt;"",EDATE($D104,Milestones!$AA$174)&gt;=$S104),$V104,IF(AND($R104&lt;&gt;"",EDATE($D104,Milestones!$AA$174)&gt;=$R104),$U104,$T104)))=Milestones!$AB$174),TEXT(EDATE($D104,Milestones!$AA$174),"dd/mm/yy")&amp;" "&amp;Milestones!$AB$174&amp;" "&amp;Milestones!$AC$174&amp;";  ","")&amp;IF(AND(EDATE($D104,Milestones!$AA$175)&lt;=AsOfDate,IF($Q104=0,$W104,IF(AND($S104&lt;&gt;"",EDATE($D104,Milestones!$AA$175)&gt;=$S104),$V104,IF(AND($R104&lt;&gt;"",EDATE($D104,Milestones!$AA$175)&gt;=$R104),$U104,$T104)))=Milestones!$AB$175),TEXT(EDATE($D104,Milestones!$AA$175),"dd/mm/yy")&amp;" "&amp;Milestones!$AB$175&amp;" "&amp;Milestones!$AC$175&amp;";  ","")&amp;IF(AND(EDATE($D104,Milestones!$AA$176)&lt;=AsOfDate,IF($Q104=0,$W104,IF(AND($S104&lt;&gt;"",EDATE($D104,Milestones!$AA$176)&gt;=$S104),$V104,IF(AND($R104&lt;&gt;"",EDATE($D104,Milestones!$AA$176)&gt;=$R104),$U104,$T104)))=Milestones!$AB$176),TEXT(EDATE($D104,Milestones!$AA$176),"dd/mm/yy")&amp;" "&amp;Milestones!$AB$176&amp;" "&amp;Milestones!$AC$176&amp;";  ","")&amp;IF(AND(EDATE($D104,Milestones!$AA$177)&lt;=AsOfDate,IF($Q104=0,$W104,IF(AND($S104&lt;&gt;"",EDATE($D104,Milestones!$AA$177)&gt;=$S104),$V104,IF(AND($R104&lt;&gt;"",EDATE($D104,Milestones!$AA$177)&gt;=$R104),$U104,$T104)))=Milestones!$AB$177),TEXT(EDATE($D104,Milestones!$AA$177),"dd/mm/yy")&amp;" "&amp;Milestones!$AB$177&amp;" "&amp;Milestones!$AC$177&amp;";  ","")&amp;IF(AND(EDATE($D104,Milestones!$AA$178)&lt;=AsOfDate,IF($Q104=0,$W104,IF(AND($S104&lt;&gt;"",EDATE($D104,Milestones!$AA$178)&gt;=$S104),$V104,IF(AND($R104&lt;&gt;"",EDATE($D104,Milestones!$AA$178)&gt;=$R104),$U104,$T104)))=Milestones!$AB$178),TEXT(EDATE($D104,Milestones!$AA$178),"dd/mm/yy")&amp;" "&amp;Milestones!$AB$178&amp;" "&amp;Milestones!$AC$178&amp;";  ","")&amp;IF(AND(EDATE($D104,Milestones!$AA$179)&lt;=AsOfDate,IF($Q104=0,$W104,IF(AND($S104&lt;&gt;"",EDATE($D104,Milestones!$AA$179)&gt;=$S104),$V104,IF(AND($R104&lt;&gt;"",EDATE($D104,Milestones!$AA$179)&gt;=$R104),$U104,$T104)))=Milestones!$AB$179),TEXT(EDATE($D104,Milestones!$AA$179),"dd/mm/yy")&amp;" "&amp;Milestones!$AB$179&amp;" "&amp;Milestones!$AC$179&amp;";  ",""))</f>
        <v/>
      </c>
      <c r="P104" s="0" t="str">
        <f aca="false">IF(OR($A104="",$D104=""),"",IF(AND(EDATE($D104,Milestones!$AA$180)&lt;=AsOfDate,IF($Q104=0,$W104,IF(AND($S104&lt;&gt;"",EDATE($D104,Milestones!$AA$180)&gt;=$S104),$V104,IF(AND($R104&lt;&gt;"",EDATE($D104,Milestones!$AA$180)&gt;=$R104),$U104,$T104)))=Milestones!$AB$180),TEXT(EDATE($D104,Milestones!$AA$180),"dd/mm/yy")&amp;" "&amp;Milestones!$AB$180&amp;" "&amp;Milestones!$AC$180&amp;";  ","")&amp;IF(AND(EDATE($D104,Milestones!$AA$181)&lt;=AsOfDate,IF($Q104=0,$W104,IF(AND($S104&lt;&gt;"",EDATE($D104,Milestones!$AA$181)&gt;=$S104),$V104,IF(AND($R104&lt;&gt;"",EDATE($D104,Milestones!$AA$181)&gt;=$R104),$U104,$T104)))=Milestones!$AB$181),TEXT(EDATE($D104,Milestones!$AA$181),"dd/mm/yy")&amp;" "&amp;Milestones!$AB$181&amp;" "&amp;Milestones!$AC$181&amp;";  ","")&amp;IF(AND(EDATE($D104,Milestones!$AA$182)&lt;=AsOfDate,IF($Q104=0,$W104,IF(AND($S104&lt;&gt;"",EDATE($D104,Milestones!$AA$182)&gt;=$S104),$V104,IF(AND($R104&lt;&gt;"",EDATE($D104,Milestones!$AA$182)&gt;=$R104),$U104,$T104)))=Milestones!$AB$182),TEXT(EDATE($D104,Milestones!$AA$182),"dd/mm/yy")&amp;" "&amp;Milestones!$AB$182&amp;" "&amp;Milestones!$AC$182&amp;";  ","")&amp;IF(AND(EDATE($D104,Milestones!$AA$183)&lt;=AsOfDate,IF($Q104=0,$W104,IF(AND($S104&lt;&gt;"",EDATE($D104,Milestones!$AA$183)&gt;=$S104),$V104,IF(AND($R104&lt;&gt;"",EDATE($D104,Milestones!$AA$183)&gt;=$R104),$U104,$T104)))=Milestones!$AB$183),TEXT(EDATE($D104,Milestones!$AA$183),"dd/mm/yy")&amp;" "&amp;Milestones!$AB$183&amp;" "&amp;Milestones!$AC$183&amp;";  ","")&amp;IF(AND(EDATE($D104,Milestones!$AA$184)&lt;=AsOfDate,IF($Q104=0,$W104,IF(AND($S104&lt;&gt;"",EDATE($D104,Milestones!$AA$184)&gt;=$S104),$V104,IF(AND($R104&lt;&gt;"",EDATE($D104,Milestones!$AA$184)&gt;=$R104),$U104,$T104)))=Milestones!$AB$184),TEXT(EDATE($D104,Milestones!$AA$184),"dd/mm/yy")&amp;" "&amp;Milestones!$AB$184&amp;" "&amp;Milestones!$AC$184&amp;";  ","")&amp;IF(AND(EDATE($D104,Milestones!$AA$185)&lt;=AsOfDate,IF($Q104=0,$W104,IF(AND($S104&lt;&gt;"",EDATE($D104,Milestones!$AA$185)&gt;=$S104),$V104,IF(AND($R104&lt;&gt;"",EDATE($D104,Milestones!$AA$185)&gt;=$R104),$U104,$T104)))=Milestones!$AB$185),TEXT(EDATE($D104,Milestones!$AA$185),"dd/mm/yy")&amp;" "&amp;Milestones!$AB$185&amp;" "&amp;Milestones!$AC$185&amp;";  ","")&amp;IF(AND(EDATE($D104,Milestones!$AA$186)&lt;=AsOfDate,IF($Q104=0,$W104,IF(AND($S104&lt;&gt;"",EDATE($D104,Milestones!$AA$186)&gt;=$S104),$V104,IF(AND($R104&lt;&gt;"",EDATE($D104,Milestones!$AA$186)&gt;=$R104),$U104,$T104)))=Milestones!$AB$186),TEXT(EDATE($D104,Milestones!$AA$186),"dd/mm/yy")&amp;" "&amp;Milestones!$AB$186&amp;" "&amp;Milestones!$AC$186&amp;";  ","")&amp;IF(AND(EDATE($D104,Milestones!$AA$187)&lt;=AsOfDate,IF($Q104=0,$W104,IF(AND($S104&lt;&gt;"",EDATE($D104,Milestones!$AA$187)&gt;=$S104),$V104,IF(AND($R104&lt;&gt;"",EDATE($D104,Milestones!$AA$187)&gt;=$R104),$U104,$T104)))=Milestones!$AB$187),TEXT(EDATE($D104,Milestones!$AA$187),"dd/mm/yy")&amp;" "&amp;Milestones!$AB$187&amp;" "&amp;Milestones!$AC$187&amp;";  ","")&amp;IF(AND(EDATE($D104,Milestones!$AA$188)&lt;=AsOfDate,IF($Q104=0,$W104,IF(AND($S104&lt;&gt;"",EDATE($D104,Milestones!$AA$188)&gt;=$S104),$V104,IF(AND($R104&lt;&gt;"",EDATE($D104,Milestones!$AA$188)&gt;=$R104),$U104,$T104)))=Milestones!$AB$188),TEXT(EDATE($D104,Milestones!$AA$188),"dd/mm/yy")&amp;" "&amp;Milestones!$AB$188&amp;" "&amp;Milestones!$AC$188&amp;";  ","")&amp;IF(AND(EDATE($D104,Milestones!$AA$189)&lt;=AsOfDate,IF($Q104=0,$W104,IF(AND($S104&lt;&gt;"",EDATE($D104,Milestones!$AA$189)&gt;=$S104),$V104,IF(AND($R104&lt;&gt;"",EDATE($D104,Milestones!$AA$189)&gt;=$R104),$U104,$T104)))=Milestones!$AB$189),TEXT(EDATE($D104,Milestones!$AA$189),"dd/mm/yy")&amp;" "&amp;Milestones!$AB$189&amp;" "&amp;Milestones!$AC$189&amp;";  ","")&amp;IF(AND(EDATE($D104,Milestones!$AA$190)&lt;=AsOfDate,IF($Q104=0,$W104,IF(AND($S104&lt;&gt;"",EDATE($D104,Milestones!$AA$190)&gt;=$S104),$V104,IF(AND($R104&lt;&gt;"",EDATE($D104,Milestones!$AA$190)&gt;=$R104),$U104,$T104)))=Milestones!$AB$190),TEXT(EDATE($D104,Milestones!$AA$190),"dd/mm/yy")&amp;" "&amp;Milestones!$AB$190&amp;" "&amp;Milestones!$AC$190&amp;";  ","")&amp;IF(AND(EDATE($D104,Milestones!$AA$191)&lt;=AsOfDate,IF($Q104=0,$W104,IF(AND($S104&lt;&gt;"",EDATE($D104,Milestones!$AA$191)&gt;=$S104),$V104,IF(AND($R104&lt;&gt;"",EDATE($D104,Milestones!$AA$191)&gt;=$R104),$U104,$T104)))=Milestones!$AB$191),TEXT(EDATE($D104,Milestones!$AA$191),"dd/mm/yy")&amp;" "&amp;Milestones!$AB$191&amp;" "&amp;Milestones!$AC$191&amp;";  ","")&amp;IF(AND(EDATE($D104,Milestones!$AA$192)&lt;=AsOfDate,IF($Q104=0,$W104,IF(AND($S104&lt;&gt;"",EDATE($D104,Milestones!$AA$192)&gt;=$S104),$V104,IF(AND($R104&lt;&gt;"",EDATE($D104,Milestones!$AA$192)&gt;=$R104),$U104,$T104)))=Milestones!$AB$192),TEXT(EDATE($D104,Milestones!$AA$192),"dd/mm/yy")&amp;" "&amp;Milestones!$AB$192&amp;" "&amp;Milestones!$AC$192&amp;";  ","")&amp;IF(AND(EDATE($D104,Milestones!$AA$193)&lt;=AsOfDate,IF($Q104=0,$W104,IF(AND($S104&lt;&gt;"",EDATE($D104,Milestones!$AA$193)&gt;=$S104),$V104,IF(AND($R104&lt;&gt;"",EDATE($D104,Milestones!$AA$193)&gt;=$R104),$U104,$T104)))=Milestones!$AB$193),TEXT(EDATE($D104,Milestones!$AA$193),"dd/mm/yy")&amp;" "&amp;Milestones!$AB$193&amp;" "&amp;Milestones!$AC$193&amp;";  ","")&amp;IF(AND(EDATE($D104,Milestones!$AA$194)&lt;=AsOfDate,IF($Q104=0,$W104,IF(AND($S104&lt;&gt;"",EDATE($D104,Milestones!$AA$194)&gt;=$S104),$V104,IF(AND($R104&lt;&gt;"",EDATE($D104,Milestones!$AA$194)&gt;=$R104),$U104,$T104)))=Milestones!$AB$194),TEXT(EDATE($D104,Milestones!$AA$194),"dd/mm/yy")&amp;" "&amp;Milestones!$AB$194&amp;" "&amp;Milestones!$AC$194&amp;";  ","")&amp;IF(AND(EDATE($D104,Milestones!$AA$195)&lt;=AsOfDate,IF($Q104=0,$W104,IF(AND($S104&lt;&gt;"",EDATE($D104,Milestones!$AA$195)&gt;=$S104),$V104,IF(AND($R104&lt;&gt;"",EDATE($D104,Milestones!$AA$195)&gt;=$R104),$U104,$T104)))=Milestones!$AB$195),TEXT(EDATE($D104,Milestones!$AA$195),"dd/mm/yy")&amp;" "&amp;Milestones!$AB$195&amp;" "&amp;Milestones!$AC$195&amp;";  ","")&amp;IF(AND(EDATE($D104,Milestones!$AA$196)&lt;=AsOfDate,IF($Q104=0,$W104,IF(AND($S104&lt;&gt;"",EDATE($D104,Milestones!$AA$196)&gt;=$S104),$V104,IF(AND($R104&lt;&gt;"",EDATE($D104,Milestones!$AA$196)&gt;=$R104),$U104,$T104)))=Milestones!$AB$196),TEXT(EDATE($D104,Milestones!$AA$196),"dd/mm/yy")&amp;" "&amp;Milestones!$AB$196&amp;" "&amp;Milestones!$AC$196&amp;";  ","")&amp;IF(AND(EDATE($D104,Milestones!$AA$197)&lt;=AsOfDate,IF($Q104=0,$W104,IF(AND($S104&lt;&gt;"",EDATE($D104,Milestones!$AA$197)&gt;=$S104),$V104,IF(AND($R104&lt;&gt;"",EDATE($D104,Milestones!$AA$197)&gt;=$R104),$U104,$T104)))=Milestones!$AB$197),TEXT(EDATE($D104,Milestones!$AA$197),"dd/mm/yy")&amp;" "&amp;Milestones!$AB$197&amp;" "&amp;Milestones!$AC$197&amp;";  ","")&amp;IF(AND(EDATE($D104,Milestones!$AA$198)&lt;=AsOfDate,IF($Q104=0,$W104,IF(AND($S104&lt;&gt;"",EDATE($D104,Milestones!$AA$198)&gt;=$S104),$V104,IF(AND($R104&lt;&gt;"",EDATE($D104,Milestones!$AA$198)&gt;=$R104),$U104,$T104)))=Milestones!$AB$198),TEXT(EDATE($D104,Milestones!$AA$198),"dd/mm/yy")&amp;" "&amp;Milestones!$AB$198&amp;" "&amp;Milestones!$AC$198&amp;";  ","")&amp;IF(AND(EDATE($D104,Milestones!$AA$199)&lt;=AsOfDate,IF($Q104=0,$W104,IF(AND($S104&lt;&gt;"",EDATE($D104,Milestones!$AA$199)&gt;=$S104),$V104,IF(AND($R104&lt;&gt;"",EDATE($D104,Milestones!$AA$199)&gt;=$R104),$U104,$T104)))=Milestones!$AB$199),TEXT(EDATE($D104,Milestones!$AA$199),"dd/mm/yy")&amp;" "&amp;Milestones!$AB$199&amp;" "&amp;Milestones!$AC$199&amp;";  ",""))</f>
        <v/>
      </c>
      <c r="Q104" s="0" t="str">
        <f aca="false">IF(Staff!$A104="","",Staff!$AG104)</f>
        <v/>
      </c>
      <c r="R104" s="0" t="str">
        <f aca="false">IF(Staff!$A104="","",Staff!$AI104)</f>
        <v/>
      </c>
      <c r="S104" s="0" t="str">
        <f aca="false">IF(Staff!$A104="","",Staff!$AJ104)</f>
        <v/>
      </c>
      <c r="T104" s="0" t="str">
        <f aca="false">IF(Staff!$A104="","",Staff!$AN104)</f>
        <v/>
      </c>
      <c r="U104" s="0" t="str">
        <f aca="false">IF(Staff!$A104="","",Staff!$AO104)</f>
        <v/>
      </c>
      <c r="V104" s="0" t="str">
        <f aca="false">IF(Staff!$A104="","",Staff!$AP104)</f>
        <v/>
      </c>
      <c r="W104" s="0" t="str">
        <f aca="false">IF(Staff!$A104="","",Staff!$AQ104)</f>
        <v/>
      </c>
    </row>
    <row r="105" customFormat="false" ht="15" hidden="false" customHeight="false" outlineLevel="0" collapsed="false">
      <c r="A105" s="13" t="str">
        <f aca="false">IF(Staff!$A105="","",Staff!$A105)</f>
        <v/>
      </c>
      <c r="B105" s="13" t="str">
        <f aca="false">IF(Staff!$A105="","",Staff!$B105)</f>
        <v/>
      </c>
      <c r="C105" s="13" t="str">
        <f aca="false">IF(Staff!$A105="","",Staff!$C105)</f>
        <v/>
      </c>
      <c r="D105" s="11" t="str">
        <f aca="false">IF(Staff!$A105="","",Staff!$AF105)</f>
        <v/>
      </c>
      <c r="E105" s="13" t="str">
        <f aca="false">IF(Staff!$A105="","",Staff!$O105)</f>
        <v/>
      </c>
      <c r="F105" s="13" t="str">
        <f aca="false">IF(E105="","",E105*HoursPerDay)</f>
        <v/>
      </c>
      <c r="G105" s="26" t="str">
        <f aca="false">IF($A105="","",H105&amp;I105&amp;J105&amp;K105&amp;L105&amp;M105&amp;N105&amp;O105&amp;P105)</f>
        <v/>
      </c>
      <c r="H105" s="0" t="str">
        <f aca="false">IF(OR($A105="",$D105=""),"",IF(AND(EDATE($D105,Milestones!$AA$20)&lt;=AsOfDate,IF($Q105=0,$W105,IF(AND($S105&lt;&gt;"",EDATE($D105,Milestones!$AA$20)&gt;=$S105),$V105,IF(AND($R105&lt;&gt;"",EDATE($D105,Milestones!$AA$20)&gt;=$R105),$U105,$T105)))=Milestones!$AB$20),TEXT(EDATE($D105,Milestones!$AA$20),"dd/mm/yy")&amp;" "&amp;Milestones!$AB$20&amp;" "&amp;Milestones!$AC$20&amp;";  ","")&amp;IF(AND(EDATE($D105,Milestones!$AA$21)&lt;=AsOfDate,IF($Q105=0,$W105,IF(AND($S105&lt;&gt;"",EDATE($D105,Milestones!$AA$21)&gt;=$S105),$V105,IF(AND($R105&lt;&gt;"",EDATE($D105,Milestones!$AA$21)&gt;=$R105),$U105,$T105)))=Milestones!$AB$21),TEXT(EDATE($D105,Milestones!$AA$21),"dd/mm/yy")&amp;" "&amp;Milestones!$AB$21&amp;" "&amp;Milestones!$AC$21&amp;";  ","")&amp;IF(AND(EDATE($D105,Milestones!$AA$22)&lt;=AsOfDate,IF($Q105=0,$W105,IF(AND($S105&lt;&gt;"",EDATE($D105,Milestones!$AA$22)&gt;=$S105),$V105,IF(AND($R105&lt;&gt;"",EDATE($D105,Milestones!$AA$22)&gt;=$R105),$U105,$T105)))=Milestones!$AB$22),TEXT(EDATE($D105,Milestones!$AA$22),"dd/mm/yy")&amp;" "&amp;Milestones!$AB$22&amp;" "&amp;Milestones!$AC$22&amp;";  ","")&amp;IF(AND(EDATE($D105,Milestones!$AA$23)&lt;=AsOfDate,IF($Q105=0,$W105,IF(AND($S105&lt;&gt;"",EDATE($D105,Milestones!$AA$23)&gt;=$S105),$V105,IF(AND($R105&lt;&gt;"",EDATE($D105,Milestones!$AA$23)&gt;=$R105),$U105,$T105)))=Milestones!$AB$23),TEXT(EDATE($D105,Milestones!$AA$23),"dd/mm/yy")&amp;" "&amp;Milestones!$AB$23&amp;" "&amp;Milestones!$AC$23&amp;";  ","")&amp;IF(AND(EDATE($D105,Milestones!$AA$24)&lt;=AsOfDate,IF($Q105=0,$W105,IF(AND($S105&lt;&gt;"",EDATE($D105,Milestones!$AA$24)&gt;=$S105),$V105,IF(AND($R105&lt;&gt;"",EDATE($D105,Milestones!$AA$24)&gt;=$R105),$U105,$T105)))=Milestones!$AB$24),TEXT(EDATE($D105,Milestones!$AA$24),"dd/mm/yy")&amp;" "&amp;Milestones!$AB$24&amp;" "&amp;Milestones!$AC$24&amp;";  ","")&amp;IF(AND(EDATE($D105,Milestones!$AA$25)&lt;=AsOfDate,IF($Q105=0,$W105,IF(AND($S105&lt;&gt;"",EDATE($D105,Milestones!$AA$25)&gt;=$S105),$V105,IF(AND($R105&lt;&gt;"",EDATE($D105,Milestones!$AA$25)&gt;=$R105),$U105,$T105)))=Milestones!$AB$25),TEXT(EDATE($D105,Milestones!$AA$25),"dd/mm/yy")&amp;" "&amp;Milestones!$AB$25&amp;" "&amp;Milestones!$AC$25&amp;";  ","")&amp;IF(AND(EDATE($D105,Milestones!$AA$26)&lt;=AsOfDate,IF($Q105=0,$W105,IF(AND($S105&lt;&gt;"",EDATE($D105,Milestones!$AA$26)&gt;=$S105),$V105,IF(AND($R105&lt;&gt;"",EDATE($D105,Milestones!$AA$26)&gt;=$R105),$U105,$T105)))=Milestones!$AB$26),TEXT(EDATE($D105,Milestones!$AA$26),"dd/mm/yy")&amp;" "&amp;Milestones!$AB$26&amp;" "&amp;Milestones!$AC$26&amp;";  ","")&amp;IF(AND(EDATE($D105,Milestones!$AA$27)&lt;=AsOfDate,IF($Q105=0,$W105,IF(AND($S105&lt;&gt;"",EDATE($D105,Milestones!$AA$27)&gt;=$S105),$V105,IF(AND($R105&lt;&gt;"",EDATE($D105,Milestones!$AA$27)&gt;=$R105),$U105,$T105)))=Milestones!$AB$27),TEXT(EDATE($D105,Milestones!$AA$27),"dd/mm/yy")&amp;" "&amp;Milestones!$AB$27&amp;" "&amp;Milestones!$AC$27&amp;";  ","")&amp;IF(AND(EDATE($D105,Milestones!$AA$28)&lt;=AsOfDate,IF($Q105=0,$W105,IF(AND($S105&lt;&gt;"",EDATE($D105,Milestones!$AA$28)&gt;=$S105),$V105,IF(AND($R105&lt;&gt;"",EDATE($D105,Milestones!$AA$28)&gt;=$R105),$U105,$T105)))=Milestones!$AB$28),TEXT(EDATE($D105,Milestones!$AA$28),"dd/mm/yy")&amp;" "&amp;Milestones!$AB$28&amp;" "&amp;Milestones!$AC$28&amp;";  ","")&amp;IF(AND(EDATE($D105,Milestones!$AA$29)&lt;=AsOfDate,IF($Q105=0,$W105,IF(AND($S105&lt;&gt;"",EDATE($D105,Milestones!$AA$29)&gt;=$S105),$V105,IF(AND($R105&lt;&gt;"",EDATE($D105,Milestones!$AA$29)&gt;=$R105),$U105,$T105)))=Milestones!$AB$29),TEXT(EDATE($D105,Milestones!$AA$29),"dd/mm/yy")&amp;" "&amp;Milestones!$AB$29&amp;" "&amp;Milestones!$AC$29&amp;";  ","")&amp;IF(AND(EDATE($D105,Milestones!$AA$30)&lt;=AsOfDate,IF($Q105=0,$W105,IF(AND($S105&lt;&gt;"",EDATE($D105,Milestones!$AA$30)&gt;=$S105),$V105,IF(AND($R105&lt;&gt;"",EDATE($D105,Milestones!$AA$30)&gt;=$R105),$U105,$T105)))=Milestones!$AB$30),TEXT(EDATE($D105,Milestones!$AA$30),"dd/mm/yy")&amp;" "&amp;Milestones!$AB$30&amp;" "&amp;Milestones!$AC$30&amp;";  ","")&amp;IF(AND(EDATE($D105,Milestones!$AA$31)&lt;=AsOfDate,IF($Q105=0,$W105,IF(AND($S105&lt;&gt;"",EDATE($D105,Milestones!$AA$31)&gt;=$S105),$V105,IF(AND($R105&lt;&gt;"",EDATE($D105,Milestones!$AA$31)&gt;=$R105),$U105,$T105)))=Milestones!$AB$31),TEXT(EDATE($D105,Milestones!$AA$31),"dd/mm/yy")&amp;" "&amp;Milestones!$AB$31&amp;" "&amp;Milestones!$AC$31&amp;";  ","")&amp;IF(AND(EDATE($D105,Milestones!$AA$32)&lt;=AsOfDate,IF($Q105=0,$W105,IF(AND($S105&lt;&gt;"",EDATE($D105,Milestones!$AA$32)&gt;=$S105),$V105,IF(AND($R105&lt;&gt;"",EDATE($D105,Milestones!$AA$32)&gt;=$R105),$U105,$T105)))=Milestones!$AB$32),TEXT(EDATE($D105,Milestones!$AA$32),"dd/mm/yy")&amp;" "&amp;Milestones!$AB$32&amp;" "&amp;Milestones!$AC$32&amp;";  ","")&amp;IF(AND(EDATE($D105,Milestones!$AA$33)&lt;=AsOfDate,IF($Q105=0,$W105,IF(AND($S105&lt;&gt;"",EDATE($D105,Milestones!$AA$33)&gt;=$S105),$V105,IF(AND($R105&lt;&gt;"",EDATE($D105,Milestones!$AA$33)&gt;=$R105),$U105,$T105)))=Milestones!$AB$33),TEXT(EDATE($D105,Milestones!$AA$33),"dd/mm/yy")&amp;" "&amp;Milestones!$AB$33&amp;" "&amp;Milestones!$AC$33&amp;";  ","")&amp;IF(AND(EDATE($D105,Milestones!$AA$34)&lt;=AsOfDate,IF($Q105=0,$W105,IF(AND($S105&lt;&gt;"",EDATE($D105,Milestones!$AA$34)&gt;=$S105),$V105,IF(AND($R105&lt;&gt;"",EDATE($D105,Milestones!$AA$34)&gt;=$R105),$U105,$T105)))=Milestones!$AB$34),TEXT(EDATE($D105,Milestones!$AA$34),"dd/mm/yy")&amp;" "&amp;Milestones!$AB$34&amp;" "&amp;Milestones!$AC$34&amp;";  ","")&amp;IF(AND(EDATE($D105,Milestones!$AA$35)&lt;=AsOfDate,IF($Q105=0,$W105,IF(AND($S105&lt;&gt;"",EDATE($D105,Milestones!$AA$35)&gt;=$S105),$V105,IF(AND($R105&lt;&gt;"",EDATE($D105,Milestones!$AA$35)&gt;=$R105),$U105,$T105)))=Milestones!$AB$35),TEXT(EDATE($D105,Milestones!$AA$35),"dd/mm/yy")&amp;" "&amp;Milestones!$AB$35&amp;" "&amp;Milestones!$AC$35&amp;";  ","")&amp;IF(AND(EDATE($D105,Milestones!$AA$36)&lt;=AsOfDate,IF($Q105=0,$W105,IF(AND($S105&lt;&gt;"",EDATE($D105,Milestones!$AA$36)&gt;=$S105),$V105,IF(AND($R105&lt;&gt;"",EDATE($D105,Milestones!$AA$36)&gt;=$R105),$U105,$T105)))=Milestones!$AB$36),TEXT(EDATE($D105,Milestones!$AA$36),"dd/mm/yy")&amp;" "&amp;Milestones!$AB$36&amp;" "&amp;Milestones!$AC$36&amp;";  ","")&amp;IF(AND(EDATE($D105,Milestones!$AA$37)&lt;=AsOfDate,IF($Q105=0,$W105,IF(AND($S105&lt;&gt;"",EDATE($D105,Milestones!$AA$37)&gt;=$S105),$V105,IF(AND($R105&lt;&gt;"",EDATE($D105,Milestones!$AA$37)&gt;=$R105),$U105,$T105)))=Milestones!$AB$37),TEXT(EDATE($D105,Milestones!$AA$37),"dd/mm/yy")&amp;" "&amp;Milestones!$AB$37&amp;" "&amp;Milestones!$AC$37&amp;";  ","")&amp;IF(AND(EDATE($D105,Milestones!$AA$38)&lt;=AsOfDate,IF($Q105=0,$W105,IF(AND($S105&lt;&gt;"",EDATE($D105,Milestones!$AA$38)&gt;=$S105),$V105,IF(AND($R105&lt;&gt;"",EDATE($D105,Milestones!$AA$38)&gt;=$R105),$U105,$T105)))=Milestones!$AB$38),TEXT(EDATE($D105,Milestones!$AA$38),"dd/mm/yy")&amp;" "&amp;Milestones!$AB$38&amp;" "&amp;Milestones!$AC$38&amp;";  ","")&amp;IF(AND(EDATE($D105,Milestones!$AA$39)&lt;=AsOfDate,IF($Q105=0,$W105,IF(AND($S105&lt;&gt;"",EDATE($D105,Milestones!$AA$39)&gt;=$S105),$V105,IF(AND($R105&lt;&gt;"",EDATE($D105,Milestones!$AA$39)&gt;=$R105),$U105,$T105)))=Milestones!$AB$39),TEXT(EDATE($D105,Milestones!$AA$39),"dd/mm/yy")&amp;" "&amp;Milestones!$AB$39&amp;" "&amp;Milestones!$AC$39&amp;";  ",""))</f>
        <v/>
      </c>
      <c r="I105" s="0" t="str">
        <f aca="false">IF(OR($A105="",$D105=""),"",IF(AND(EDATE($D105,Milestones!$AA$40)&lt;=AsOfDate,IF($Q105=0,$W105,IF(AND($S105&lt;&gt;"",EDATE($D105,Milestones!$AA$40)&gt;=$S105),$V105,IF(AND($R105&lt;&gt;"",EDATE($D105,Milestones!$AA$40)&gt;=$R105),$U105,$T105)))=Milestones!$AB$40),TEXT(EDATE($D105,Milestones!$AA$40),"dd/mm/yy")&amp;" "&amp;Milestones!$AB$40&amp;" "&amp;Milestones!$AC$40&amp;";  ","")&amp;IF(AND(EDATE($D105,Milestones!$AA$41)&lt;=AsOfDate,IF($Q105=0,$W105,IF(AND($S105&lt;&gt;"",EDATE($D105,Milestones!$AA$41)&gt;=$S105),$V105,IF(AND($R105&lt;&gt;"",EDATE($D105,Milestones!$AA$41)&gt;=$R105),$U105,$T105)))=Milestones!$AB$41),TEXT(EDATE($D105,Milestones!$AA$41),"dd/mm/yy")&amp;" "&amp;Milestones!$AB$41&amp;" "&amp;Milestones!$AC$41&amp;";  ","")&amp;IF(AND(EDATE($D105,Milestones!$AA$42)&lt;=AsOfDate,IF($Q105=0,$W105,IF(AND($S105&lt;&gt;"",EDATE($D105,Milestones!$AA$42)&gt;=$S105),$V105,IF(AND($R105&lt;&gt;"",EDATE($D105,Milestones!$AA$42)&gt;=$R105),$U105,$T105)))=Milestones!$AB$42),TEXT(EDATE($D105,Milestones!$AA$42),"dd/mm/yy")&amp;" "&amp;Milestones!$AB$42&amp;" "&amp;Milestones!$AC$42&amp;";  ","")&amp;IF(AND(EDATE($D105,Milestones!$AA$43)&lt;=AsOfDate,IF($Q105=0,$W105,IF(AND($S105&lt;&gt;"",EDATE($D105,Milestones!$AA$43)&gt;=$S105),$V105,IF(AND($R105&lt;&gt;"",EDATE($D105,Milestones!$AA$43)&gt;=$R105),$U105,$T105)))=Milestones!$AB$43),TEXT(EDATE($D105,Milestones!$AA$43),"dd/mm/yy")&amp;" "&amp;Milestones!$AB$43&amp;" "&amp;Milestones!$AC$43&amp;";  ","")&amp;IF(AND(EDATE($D105,Milestones!$AA$44)&lt;=AsOfDate,IF($Q105=0,$W105,IF(AND($S105&lt;&gt;"",EDATE($D105,Milestones!$AA$44)&gt;=$S105),$V105,IF(AND($R105&lt;&gt;"",EDATE($D105,Milestones!$AA$44)&gt;=$R105),$U105,$T105)))=Milestones!$AB$44),TEXT(EDATE($D105,Milestones!$AA$44),"dd/mm/yy")&amp;" "&amp;Milestones!$AB$44&amp;" "&amp;Milestones!$AC$44&amp;";  ","")&amp;IF(AND(EDATE($D105,Milestones!$AA$45)&lt;=AsOfDate,IF($Q105=0,$W105,IF(AND($S105&lt;&gt;"",EDATE($D105,Milestones!$AA$45)&gt;=$S105),$V105,IF(AND($R105&lt;&gt;"",EDATE($D105,Milestones!$AA$45)&gt;=$R105),$U105,$T105)))=Milestones!$AB$45),TEXT(EDATE($D105,Milestones!$AA$45),"dd/mm/yy")&amp;" "&amp;Milestones!$AB$45&amp;" "&amp;Milestones!$AC$45&amp;";  ","")&amp;IF(AND(EDATE($D105,Milestones!$AA$46)&lt;=AsOfDate,IF($Q105=0,$W105,IF(AND($S105&lt;&gt;"",EDATE($D105,Milestones!$AA$46)&gt;=$S105),$V105,IF(AND($R105&lt;&gt;"",EDATE($D105,Milestones!$AA$46)&gt;=$R105),$U105,$T105)))=Milestones!$AB$46),TEXT(EDATE($D105,Milestones!$AA$46),"dd/mm/yy")&amp;" "&amp;Milestones!$AB$46&amp;" "&amp;Milestones!$AC$46&amp;";  ","")&amp;IF(AND(EDATE($D105,Milestones!$AA$47)&lt;=AsOfDate,IF($Q105=0,$W105,IF(AND($S105&lt;&gt;"",EDATE($D105,Milestones!$AA$47)&gt;=$S105),$V105,IF(AND($R105&lt;&gt;"",EDATE($D105,Milestones!$AA$47)&gt;=$R105),$U105,$T105)))=Milestones!$AB$47),TEXT(EDATE($D105,Milestones!$AA$47),"dd/mm/yy")&amp;" "&amp;Milestones!$AB$47&amp;" "&amp;Milestones!$AC$47&amp;";  ","")&amp;IF(AND(EDATE($D105,Milestones!$AA$48)&lt;=AsOfDate,IF($Q105=0,$W105,IF(AND($S105&lt;&gt;"",EDATE($D105,Milestones!$AA$48)&gt;=$S105),$V105,IF(AND($R105&lt;&gt;"",EDATE($D105,Milestones!$AA$48)&gt;=$R105),$U105,$T105)))=Milestones!$AB$48),TEXT(EDATE($D105,Milestones!$AA$48),"dd/mm/yy")&amp;" "&amp;Milestones!$AB$48&amp;" "&amp;Milestones!$AC$48&amp;";  ","")&amp;IF(AND(EDATE($D105,Milestones!$AA$49)&lt;=AsOfDate,IF($Q105=0,$W105,IF(AND($S105&lt;&gt;"",EDATE($D105,Milestones!$AA$49)&gt;=$S105),$V105,IF(AND($R105&lt;&gt;"",EDATE($D105,Milestones!$AA$49)&gt;=$R105),$U105,$T105)))=Milestones!$AB$49),TEXT(EDATE($D105,Milestones!$AA$49),"dd/mm/yy")&amp;" "&amp;Milestones!$AB$49&amp;" "&amp;Milestones!$AC$49&amp;";  ","")&amp;IF(AND(EDATE($D105,Milestones!$AA$50)&lt;=AsOfDate,IF($Q105=0,$W105,IF(AND($S105&lt;&gt;"",EDATE($D105,Milestones!$AA$50)&gt;=$S105),$V105,IF(AND($R105&lt;&gt;"",EDATE($D105,Milestones!$AA$50)&gt;=$R105),$U105,$T105)))=Milestones!$AB$50),TEXT(EDATE($D105,Milestones!$AA$50),"dd/mm/yy")&amp;" "&amp;Milestones!$AB$50&amp;" "&amp;Milestones!$AC$50&amp;";  ","")&amp;IF(AND(EDATE($D105,Milestones!$AA$51)&lt;=AsOfDate,IF($Q105=0,$W105,IF(AND($S105&lt;&gt;"",EDATE($D105,Milestones!$AA$51)&gt;=$S105),$V105,IF(AND($R105&lt;&gt;"",EDATE($D105,Milestones!$AA$51)&gt;=$R105),$U105,$T105)))=Milestones!$AB$51),TEXT(EDATE($D105,Milestones!$AA$51),"dd/mm/yy")&amp;" "&amp;Milestones!$AB$51&amp;" "&amp;Milestones!$AC$51&amp;";  ","")&amp;IF(AND(EDATE($D105,Milestones!$AA$52)&lt;=AsOfDate,IF($Q105=0,$W105,IF(AND($S105&lt;&gt;"",EDATE($D105,Milestones!$AA$52)&gt;=$S105),$V105,IF(AND($R105&lt;&gt;"",EDATE($D105,Milestones!$AA$52)&gt;=$R105),$U105,$T105)))=Milestones!$AB$52),TEXT(EDATE($D105,Milestones!$AA$52),"dd/mm/yy")&amp;" "&amp;Milestones!$AB$52&amp;" "&amp;Milestones!$AC$52&amp;";  ","")&amp;IF(AND(EDATE($D105,Milestones!$AA$53)&lt;=AsOfDate,IF($Q105=0,$W105,IF(AND($S105&lt;&gt;"",EDATE($D105,Milestones!$AA$53)&gt;=$S105),$V105,IF(AND($R105&lt;&gt;"",EDATE($D105,Milestones!$AA$53)&gt;=$R105),$U105,$T105)))=Milestones!$AB$53),TEXT(EDATE($D105,Milestones!$AA$53),"dd/mm/yy")&amp;" "&amp;Milestones!$AB$53&amp;" "&amp;Milestones!$AC$53&amp;";  ","")&amp;IF(AND(EDATE($D105,Milestones!$AA$54)&lt;=AsOfDate,IF($Q105=0,$W105,IF(AND($S105&lt;&gt;"",EDATE($D105,Milestones!$AA$54)&gt;=$S105),$V105,IF(AND($R105&lt;&gt;"",EDATE($D105,Milestones!$AA$54)&gt;=$R105),$U105,$T105)))=Milestones!$AB$54),TEXT(EDATE($D105,Milestones!$AA$54),"dd/mm/yy")&amp;" "&amp;Milestones!$AB$54&amp;" "&amp;Milestones!$AC$54&amp;";  ","")&amp;IF(AND(EDATE($D105,Milestones!$AA$55)&lt;=AsOfDate,IF($Q105=0,$W105,IF(AND($S105&lt;&gt;"",EDATE($D105,Milestones!$AA$55)&gt;=$S105),$V105,IF(AND($R105&lt;&gt;"",EDATE($D105,Milestones!$AA$55)&gt;=$R105),$U105,$T105)))=Milestones!$AB$55),TEXT(EDATE($D105,Milestones!$AA$55),"dd/mm/yy")&amp;" "&amp;Milestones!$AB$55&amp;" "&amp;Milestones!$AC$55&amp;";  ","")&amp;IF(AND(EDATE($D105,Milestones!$AA$56)&lt;=AsOfDate,IF($Q105=0,$W105,IF(AND($S105&lt;&gt;"",EDATE($D105,Milestones!$AA$56)&gt;=$S105),$V105,IF(AND($R105&lt;&gt;"",EDATE($D105,Milestones!$AA$56)&gt;=$R105),$U105,$T105)))=Milestones!$AB$56),TEXT(EDATE($D105,Milestones!$AA$56),"dd/mm/yy")&amp;" "&amp;Milestones!$AB$56&amp;" "&amp;Milestones!$AC$56&amp;";  ","")&amp;IF(AND(EDATE($D105,Milestones!$AA$57)&lt;=AsOfDate,IF($Q105=0,$W105,IF(AND($S105&lt;&gt;"",EDATE($D105,Milestones!$AA$57)&gt;=$S105),$V105,IF(AND($R105&lt;&gt;"",EDATE($D105,Milestones!$AA$57)&gt;=$R105),$U105,$T105)))=Milestones!$AB$57),TEXT(EDATE($D105,Milestones!$AA$57),"dd/mm/yy")&amp;" "&amp;Milestones!$AB$57&amp;" "&amp;Milestones!$AC$57&amp;";  ","")&amp;IF(AND(EDATE($D105,Milestones!$AA$58)&lt;=AsOfDate,IF($Q105=0,$W105,IF(AND($S105&lt;&gt;"",EDATE($D105,Milestones!$AA$58)&gt;=$S105),$V105,IF(AND($R105&lt;&gt;"",EDATE($D105,Milestones!$AA$58)&gt;=$R105),$U105,$T105)))=Milestones!$AB$58),TEXT(EDATE($D105,Milestones!$AA$58),"dd/mm/yy")&amp;" "&amp;Milestones!$AB$58&amp;" "&amp;Milestones!$AC$58&amp;";  ","")&amp;IF(AND(EDATE($D105,Milestones!$AA$59)&lt;=AsOfDate,IF($Q105=0,$W105,IF(AND($S105&lt;&gt;"",EDATE($D105,Milestones!$AA$59)&gt;=$S105),$V105,IF(AND($R105&lt;&gt;"",EDATE($D105,Milestones!$AA$59)&gt;=$R105),$U105,$T105)))=Milestones!$AB$59),TEXT(EDATE($D105,Milestones!$AA$59),"dd/mm/yy")&amp;" "&amp;Milestones!$AB$59&amp;" "&amp;Milestones!$AC$59&amp;";  ",""))</f>
        <v/>
      </c>
      <c r="J105" s="0" t="str">
        <f aca="false">IF(OR($A105="",$D105=""),"",IF(AND(EDATE($D105,Milestones!$AA$60)&lt;=AsOfDate,IF($Q105=0,$W105,IF(AND($S105&lt;&gt;"",EDATE($D105,Milestones!$AA$60)&gt;=$S105),$V105,IF(AND($R105&lt;&gt;"",EDATE($D105,Milestones!$AA$60)&gt;=$R105),$U105,$T105)))=Milestones!$AB$60),TEXT(EDATE($D105,Milestones!$AA$60),"dd/mm/yy")&amp;" "&amp;Milestones!$AB$60&amp;" "&amp;Milestones!$AC$60&amp;";  ","")&amp;IF(AND(EDATE($D105,Milestones!$AA$61)&lt;=AsOfDate,IF($Q105=0,$W105,IF(AND($S105&lt;&gt;"",EDATE($D105,Milestones!$AA$61)&gt;=$S105),$V105,IF(AND($R105&lt;&gt;"",EDATE($D105,Milestones!$AA$61)&gt;=$R105),$U105,$T105)))=Milestones!$AB$61),TEXT(EDATE($D105,Milestones!$AA$61),"dd/mm/yy")&amp;" "&amp;Milestones!$AB$61&amp;" "&amp;Milestones!$AC$61&amp;";  ","")&amp;IF(AND(EDATE($D105,Milestones!$AA$62)&lt;=AsOfDate,IF($Q105=0,$W105,IF(AND($S105&lt;&gt;"",EDATE($D105,Milestones!$AA$62)&gt;=$S105),$V105,IF(AND($R105&lt;&gt;"",EDATE($D105,Milestones!$AA$62)&gt;=$R105),$U105,$T105)))=Milestones!$AB$62),TEXT(EDATE($D105,Milestones!$AA$62),"dd/mm/yy")&amp;" "&amp;Milestones!$AB$62&amp;" "&amp;Milestones!$AC$62&amp;";  ","")&amp;IF(AND(EDATE($D105,Milestones!$AA$63)&lt;=AsOfDate,IF($Q105=0,$W105,IF(AND($S105&lt;&gt;"",EDATE($D105,Milestones!$AA$63)&gt;=$S105),$V105,IF(AND($R105&lt;&gt;"",EDATE($D105,Milestones!$AA$63)&gt;=$R105),$U105,$T105)))=Milestones!$AB$63),TEXT(EDATE($D105,Milestones!$AA$63),"dd/mm/yy")&amp;" "&amp;Milestones!$AB$63&amp;" "&amp;Milestones!$AC$63&amp;";  ","")&amp;IF(AND(EDATE($D105,Milestones!$AA$64)&lt;=AsOfDate,IF($Q105=0,$W105,IF(AND($S105&lt;&gt;"",EDATE($D105,Milestones!$AA$64)&gt;=$S105),$V105,IF(AND($R105&lt;&gt;"",EDATE($D105,Milestones!$AA$64)&gt;=$R105),$U105,$T105)))=Milestones!$AB$64),TEXT(EDATE($D105,Milestones!$AA$64),"dd/mm/yy")&amp;" "&amp;Milestones!$AB$64&amp;" "&amp;Milestones!$AC$64&amp;";  ","")&amp;IF(AND(EDATE($D105,Milestones!$AA$65)&lt;=AsOfDate,IF($Q105=0,$W105,IF(AND($S105&lt;&gt;"",EDATE($D105,Milestones!$AA$65)&gt;=$S105),$V105,IF(AND($R105&lt;&gt;"",EDATE($D105,Milestones!$AA$65)&gt;=$R105),$U105,$T105)))=Milestones!$AB$65),TEXT(EDATE($D105,Milestones!$AA$65),"dd/mm/yy")&amp;" "&amp;Milestones!$AB$65&amp;" "&amp;Milestones!$AC$65&amp;";  ","")&amp;IF(AND(EDATE($D105,Milestones!$AA$66)&lt;=AsOfDate,IF($Q105=0,$W105,IF(AND($S105&lt;&gt;"",EDATE($D105,Milestones!$AA$66)&gt;=$S105),$V105,IF(AND($R105&lt;&gt;"",EDATE($D105,Milestones!$AA$66)&gt;=$R105),$U105,$T105)))=Milestones!$AB$66),TEXT(EDATE($D105,Milestones!$AA$66),"dd/mm/yy")&amp;" "&amp;Milestones!$AB$66&amp;" "&amp;Milestones!$AC$66&amp;";  ","")&amp;IF(AND(EDATE($D105,Milestones!$AA$67)&lt;=AsOfDate,IF($Q105=0,$W105,IF(AND($S105&lt;&gt;"",EDATE($D105,Milestones!$AA$67)&gt;=$S105),$V105,IF(AND($R105&lt;&gt;"",EDATE($D105,Milestones!$AA$67)&gt;=$R105),$U105,$T105)))=Milestones!$AB$67),TEXT(EDATE($D105,Milestones!$AA$67),"dd/mm/yy")&amp;" "&amp;Milestones!$AB$67&amp;" "&amp;Milestones!$AC$67&amp;";  ","")&amp;IF(AND(EDATE($D105,Milestones!$AA$68)&lt;=AsOfDate,IF($Q105=0,$W105,IF(AND($S105&lt;&gt;"",EDATE($D105,Milestones!$AA$68)&gt;=$S105),$V105,IF(AND($R105&lt;&gt;"",EDATE($D105,Milestones!$AA$68)&gt;=$R105),$U105,$T105)))=Milestones!$AB$68),TEXT(EDATE($D105,Milestones!$AA$68),"dd/mm/yy")&amp;" "&amp;Milestones!$AB$68&amp;" "&amp;Milestones!$AC$68&amp;";  ","")&amp;IF(AND(EDATE($D105,Milestones!$AA$69)&lt;=AsOfDate,IF($Q105=0,$W105,IF(AND($S105&lt;&gt;"",EDATE($D105,Milestones!$AA$69)&gt;=$S105),$V105,IF(AND($R105&lt;&gt;"",EDATE($D105,Milestones!$AA$69)&gt;=$R105),$U105,$T105)))=Milestones!$AB$69),TEXT(EDATE($D105,Milestones!$AA$69),"dd/mm/yy")&amp;" "&amp;Milestones!$AB$69&amp;" "&amp;Milestones!$AC$69&amp;";  ","")&amp;IF(AND(EDATE($D105,Milestones!$AA$70)&lt;=AsOfDate,IF($Q105=0,$W105,IF(AND($S105&lt;&gt;"",EDATE($D105,Milestones!$AA$70)&gt;=$S105),$V105,IF(AND($R105&lt;&gt;"",EDATE($D105,Milestones!$AA$70)&gt;=$R105),$U105,$T105)))=Milestones!$AB$70),TEXT(EDATE($D105,Milestones!$AA$70),"dd/mm/yy")&amp;" "&amp;Milestones!$AB$70&amp;" "&amp;Milestones!$AC$70&amp;";  ","")&amp;IF(AND(EDATE($D105,Milestones!$AA$71)&lt;=AsOfDate,IF($Q105=0,$W105,IF(AND($S105&lt;&gt;"",EDATE($D105,Milestones!$AA$71)&gt;=$S105),$V105,IF(AND($R105&lt;&gt;"",EDATE($D105,Milestones!$AA$71)&gt;=$R105),$U105,$T105)))=Milestones!$AB$71),TEXT(EDATE($D105,Milestones!$AA$71),"dd/mm/yy")&amp;" "&amp;Milestones!$AB$71&amp;" "&amp;Milestones!$AC$71&amp;";  ","")&amp;IF(AND(EDATE($D105,Milestones!$AA$72)&lt;=AsOfDate,IF($Q105=0,$W105,IF(AND($S105&lt;&gt;"",EDATE($D105,Milestones!$AA$72)&gt;=$S105),$V105,IF(AND($R105&lt;&gt;"",EDATE($D105,Milestones!$AA$72)&gt;=$R105),$U105,$T105)))=Milestones!$AB$72),TEXT(EDATE($D105,Milestones!$AA$72),"dd/mm/yy")&amp;" "&amp;Milestones!$AB$72&amp;" "&amp;Milestones!$AC$72&amp;";  ","")&amp;IF(AND(EDATE($D105,Milestones!$AA$73)&lt;=AsOfDate,IF($Q105=0,$W105,IF(AND($S105&lt;&gt;"",EDATE($D105,Milestones!$AA$73)&gt;=$S105),$V105,IF(AND($R105&lt;&gt;"",EDATE($D105,Milestones!$AA$73)&gt;=$R105),$U105,$T105)))=Milestones!$AB$73),TEXT(EDATE($D105,Milestones!$AA$73),"dd/mm/yy")&amp;" "&amp;Milestones!$AB$73&amp;" "&amp;Milestones!$AC$73&amp;";  ","")&amp;IF(AND(EDATE($D105,Milestones!$AA$74)&lt;=AsOfDate,IF($Q105=0,$W105,IF(AND($S105&lt;&gt;"",EDATE($D105,Milestones!$AA$74)&gt;=$S105),$V105,IF(AND($R105&lt;&gt;"",EDATE($D105,Milestones!$AA$74)&gt;=$R105),$U105,$T105)))=Milestones!$AB$74),TEXT(EDATE($D105,Milestones!$AA$74),"dd/mm/yy")&amp;" "&amp;Milestones!$AB$74&amp;" "&amp;Milestones!$AC$74&amp;";  ","")&amp;IF(AND(EDATE($D105,Milestones!$AA$75)&lt;=AsOfDate,IF($Q105=0,$W105,IF(AND($S105&lt;&gt;"",EDATE($D105,Milestones!$AA$75)&gt;=$S105),$V105,IF(AND($R105&lt;&gt;"",EDATE($D105,Milestones!$AA$75)&gt;=$R105),$U105,$T105)))=Milestones!$AB$75),TEXT(EDATE($D105,Milestones!$AA$75),"dd/mm/yy")&amp;" "&amp;Milestones!$AB$75&amp;" "&amp;Milestones!$AC$75&amp;";  ","")&amp;IF(AND(EDATE($D105,Milestones!$AA$76)&lt;=AsOfDate,IF($Q105=0,$W105,IF(AND($S105&lt;&gt;"",EDATE($D105,Milestones!$AA$76)&gt;=$S105),$V105,IF(AND($R105&lt;&gt;"",EDATE($D105,Milestones!$AA$76)&gt;=$R105),$U105,$T105)))=Milestones!$AB$76),TEXT(EDATE($D105,Milestones!$AA$76),"dd/mm/yy")&amp;" "&amp;Milestones!$AB$76&amp;" "&amp;Milestones!$AC$76&amp;";  ","")&amp;IF(AND(EDATE($D105,Milestones!$AA$77)&lt;=AsOfDate,IF($Q105=0,$W105,IF(AND($S105&lt;&gt;"",EDATE($D105,Milestones!$AA$77)&gt;=$S105),$V105,IF(AND($R105&lt;&gt;"",EDATE($D105,Milestones!$AA$77)&gt;=$R105),$U105,$T105)))=Milestones!$AB$77),TEXT(EDATE($D105,Milestones!$AA$77),"dd/mm/yy")&amp;" "&amp;Milestones!$AB$77&amp;" "&amp;Milestones!$AC$77&amp;";  ","")&amp;IF(AND(EDATE($D105,Milestones!$AA$78)&lt;=AsOfDate,IF($Q105=0,$W105,IF(AND($S105&lt;&gt;"",EDATE($D105,Milestones!$AA$78)&gt;=$S105),$V105,IF(AND($R105&lt;&gt;"",EDATE($D105,Milestones!$AA$78)&gt;=$R105),$U105,$T105)))=Milestones!$AB$78),TEXT(EDATE($D105,Milestones!$AA$78),"dd/mm/yy")&amp;" "&amp;Milestones!$AB$78&amp;" "&amp;Milestones!$AC$78&amp;";  ","")&amp;IF(AND(EDATE($D105,Milestones!$AA$79)&lt;=AsOfDate,IF($Q105=0,$W105,IF(AND($S105&lt;&gt;"",EDATE($D105,Milestones!$AA$79)&gt;=$S105),$V105,IF(AND($R105&lt;&gt;"",EDATE($D105,Milestones!$AA$79)&gt;=$R105),$U105,$T105)))=Milestones!$AB$79),TEXT(EDATE($D105,Milestones!$AA$79),"dd/mm/yy")&amp;" "&amp;Milestones!$AB$79&amp;" "&amp;Milestones!$AC$79&amp;";  ",""))</f>
        <v/>
      </c>
      <c r="K105" s="0" t="str">
        <f aca="false">IF(OR($A105="",$D105=""),"",IF(AND(EDATE($D105,Milestones!$AA$80)&lt;=AsOfDate,IF($Q105=0,$W105,IF(AND($S105&lt;&gt;"",EDATE($D105,Milestones!$AA$80)&gt;=$S105),$V105,IF(AND($R105&lt;&gt;"",EDATE($D105,Milestones!$AA$80)&gt;=$R105),$U105,$T105)))=Milestones!$AB$80),TEXT(EDATE($D105,Milestones!$AA$80),"dd/mm/yy")&amp;" "&amp;Milestones!$AB$80&amp;" "&amp;Milestones!$AC$80&amp;";  ","")&amp;IF(AND(EDATE($D105,Milestones!$AA$81)&lt;=AsOfDate,IF($Q105=0,$W105,IF(AND($S105&lt;&gt;"",EDATE($D105,Milestones!$AA$81)&gt;=$S105),$V105,IF(AND($R105&lt;&gt;"",EDATE($D105,Milestones!$AA$81)&gt;=$R105),$U105,$T105)))=Milestones!$AB$81),TEXT(EDATE($D105,Milestones!$AA$81),"dd/mm/yy")&amp;" "&amp;Milestones!$AB$81&amp;" "&amp;Milestones!$AC$81&amp;";  ","")&amp;IF(AND(EDATE($D105,Milestones!$AA$82)&lt;=AsOfDate,IF($Q105=0,$W105,IF(AND($S105&lt;&gt;"",EDATE($D105,Milestones!$AA$82)&gt;=$S105),$V105,IF(AND($R105&lt;&gt;"",EDATE($D105,Milestones!$AA$82)&gt;=$R105),$U105,$T105)))=Milestones!$AB$82),TEXT(EDATE($D105,Milestones!$AA$82),"dd/mm/yy")&amp;" "&amp;Milestones!$AB$82&amp;" "&amp;Milestones!$AC$82&amp;";  ","")&amp;IF(AND(EDATE($D105,Milestones!$AA$83)&lt;=AsOfDate,IF($Q105=0,$W105,IF(AND($S105&lt;&gt;"",EDATE($D105,Milestones!$AA$83)&gt;=$S105),$V105,IF(AND($R105&lt;&gt;"",EDATE($D105,Milestones!$AA$83)&gt;=$R105),$U105,$T105)))=Milestones!$AB$83),TEXT(EDATE($D105,Milestones!$AA$83),"dd/mm/yy")&amp;" "&amp;Milestones!$AB$83&amp;" "&amp;Milestones!$AC$83&amp;";  ","")&amp;IF(AND(EDATE($D105,Milestones!$AA$84)&lt;=AsOfDate,IF($Q105=0,$W105,IF(AND($S105&lt;&gt;"",EDATE($D105,Milestones!$AA$84)&gt;=$S105),$V105,IF(AND($R105&lt;&gt;"",EDATE($D105,Milestones!$AA$84)&gt;=$R105),$U105,$T105)))=Milestones!$AB$84),TEXT(EDATE($D105,Milestones!$AA$84),"dd/mm/yy")&amp;" "&amp;Milestones!$AB$84&amp;" "&amp;Milestones!$AC$84&amp;";  ","")&amp;IF(AND(EDATE($D105,Milestones!$AA$85)&lt;=AsOfDate,IF($Q105=0,$W105,IF(AND($S105&lt;&gt;"",EDATE($D105,Milestones!$AA$85)&gt;=$S105),$V105,IF(AND($R105&lt;&gt;"",EDATE($D105,Milestones!$AA$85)&gt;=$R105),$U105,$T105)))=Milestones!$AB$85),TEXT(EDATE($D105,Milestones!$AA$85),"dd/mm/yy")&amp;" "&amp;Milestones!$AB$85&amp;" "&amp;Milestones!$AC$85&amp;";  ","")&amp;IF(AND(EDATE($D105,Milestones!$AA$86)&lt;=AsOfDate,IF($Q105=0,$W105,IF(AND($S105&lt;&gt;"",EDATE($D105,Milestones!$AA$86)&gt;=$S105),$V105,IF(AND($R105&lt;&gt;"",EDATE($D105,Milestones!$AA$86)&gt;=$R105),$U105,$T105)))=Milestones!$AB$86),TEXT(EDATE($D105,Milestones!$AA$86),"dd/mm/yy")&amp;" "&amp;Milestones!$AB$86&amp;" "&amp;Milestones!$AC$86&amp;";  ","")&amp;IF(AND(EDATE($D105,Milestones!$AA$87)&lt;=AsOfDate,IF($Q105=0,$W105,IF(AND($S105&lt;&gt;"",EDATE($D105,Milestones!$AA$87)&gt;=$S105),$V105,IF(AND($R105&lt;&gt;"",EDATE($D105,Milestones!$AA$87)&gt;=$R105),$U105,$T105)))=Milestones!$AB$87),TEXT(EDATE($D105,Milestones!$AA$87),"dd/mm/yy")&amp;" "&amp;Milestones!$AB$87&amp;" "&amp;Milestones!$AC$87&amp;";  ","")&amp;IF(AND(EDATE($D105,Milestones!$AA$88)&lt;=AsOfDate,IF($Q105=0,$W105,IF(AND($S105&lt;&gt;"",EDATE($D105,Milestones!$AA$88)&gt;=$S105),$V105,IF(AND($R105&lt;&gt;"",EDATE($D105,Milestones!$AA$88)&gt;=$R105),$U105,$T105)))=Milestones!$AB$88),TEXT(EDATE($D105,Milestones!$AA$88),"dd/mm/yy")&amp;" "&amp;Milestones!$AB$88&amp;" "&amp;Milestones!$AC$88&amp;";  ","")&amp;IF(AND(EDATE($D105,Milestones!$AA$89)&lt;=AsOfDate,IF($Q105=0,$W105,IF(AND($S105&lt;&gt;"",EDATE($D105,Milestones!$AA$89)&gt;=$S105),$V105,IF(AND($R105&lt;&gt;"",EDATE($D105,Milestones!$AA$89)&gt;=$R105),$U105,$T105)))=Milestones!$AB$89),TEXT(EDATE($D105,Milestones!$AA$89),"dd/mm/yy")&amp;" "&amp;Milestones!$AB$89&amp;" "&amp;Milestones!$AC$89&amp;";  ","")&amp;IF(AND(EDATE($D105,Milestones!$AA$90)&lt;=AsOfDate,IF($Q105=0,$W105,IF(AND($S105&lt;&gt;"",EDATE($D105,Milestones!$AA$90)&gt;=$S105),$V105,IF(AND($R105&lt;&gt;"",EDATE($D105,Milestones!$AA$90)&gt;=$R105),$U105,$T105)))=Milestones!$AB$90),TEXT(EDATE($D105,Milestones!$AA$90),"dd/mm/yy")&amp;" "&amp;Milestones!$AB$90&amp;" "&amp;Milestones!$AC$90&amp;";  ","")&amp;IF(AND(EDATE($D105,Milestones!$AA$91)&lt;=AsOfDate,IF($Q105=0,$W105,IF(AND($S105&lt;&gt;"",EDATE($D105,Milestones!$AA$91)&gt;=$S105),$V105,IF(AND($R105&lt;&gt;"",EDATE($D105,Milestones!$AA$91)&gt;=$R105),$U105,$T105)))=Milestones!$AB$91),TEXT(EDATE($D105,Milestones!$AA$91),"dd/mm/yy")&amp;" "&amp;Milestones!$AB$91&amp;" "&amp;Milestones!$AC$91&amp;";  ","")&amp;IF(AND(EDATE($D105,Milestones!$AA$92)&lt;=AsOfDate,IF($Q105=0,$W105,IF(AND($S105&lt;&gt;"",EDATE($D105,Milestones!$AA$92)&gt;=$S105),$V105,IF(AND($R105&lt;&gt;"",EDATE($D105,Milestones!$AA$92)&gt;=$R105),$U105,$T105)))=Milestones!$AB$92),TEXT(EDATE($D105,Milestones!$AA$92),"dd/mm/yy")&amp;" "&amp;Milestones!$AB$92&amp;" "&amp;Milestones!$AC$92&amp;";  ","")&amp;IF(AND(EDATE($D105,Milestones!$AA$93)&lt;=AsOfDate,IF($Q105=0,$W105,IF(AND($S105&lt;&gt;"",EDATE($D105,Milestones!$AA$93)&gt;=$S105),$V105,IF(AND($R105&lt;&gt;"",EDATE($D105,Milestones!$AA$93)&gt;=$R105),$U105,$T105)))=Milestones!$AB$93),TEXT(EDATE($D105,Milestones!$AA$93),"dd/mm/yy")&amp;" "&amp;Milestones!$AB$93&amp;" "&amp;Milestones!$AC$93&amp;";  ","")&amp;IF(AND(EDATE($D105,Milestones!$AA$94)&lt;=AsOfDate,IF($Q105=0,$W105,IF(AND($S105&lt;&gt;"",EDATE($D105,Milestones!$AA$94)&gt;=$S105),$V105,IF(AND($R105&lt;&gt;"",EDATE($D105,Milestones!$AA$94)&gt;=$R105),$U105,$T105)))=Milestones!$AB$94),TEXT(EDATE($D105,Milestones!$AA$94),"dd/mm/yy")&amp;" "&amp;Milestones!$AB$94&amp;" "&amp;Milestones!$AC$94&amp;";  ","")&amp;IF(AND(EDATE($D105,Milestones!$AA$95)&lt;=AsOfDate,IF($Q105=0,$W105,IF(AND($S105&lt;&gt;"",EDATE($D105,Milestones!$AA$95)&gt;=$S105),$V105,IF(AND($R105&lt;&gt;"",EDATE($D105,Milestones!$AA$95)&gt;=$R105),$U105,$T105)))=Milestones!$AB$95),TEXT(EDATE($D105,Milestones!$AA$95),"dd/mm/yy")&amp;" "&amp;Milestones!$AB$95&amp;" "&amp;Milestones!$AC$95&amp;";  ","")&amp;IF(AND(EDATE($D105,Milestones!$AA$96)&lt;=AsOfDate,IF($Q105=0,$W105,IF(AND($S105&lt;&gt;"",EDATE($D105,Milestones!$AA$96)&gt;=$S105),$V105,IF(AND($R105&lt;&gt;"",EDATE($D105,Milestones!$AA$96)&gt;=$R105),$U105,$T105)))=Milestones!$AB$96),TEXT(EDATE($D105,Milestones!$AA$96),"dd/mm/yy")&amp;" "&amp;Milestones!$AB$96&amp;" "&amp;Milestones!$AC$96&amp;";  ","")&amp;IF(AND(EDATE($D105,Milestones!$AA$97)&lt;=AsOfDate,IF($Q105=0,$W105,IF(AND($S105&lt;&gt;"",EDATE($D105,Milestones!$AA$97)&gt;=$S105),$V105,IF(AND($R105&lt;&gt;"",EDATE($D105,Milestones!$AA$97)&gt;=$R105),$U105,$T105)))=Milestones!$AB$97),TEXT(EDATE($D105,Milestones!$AA$97),"dd/mm/yy")&amp;" "&amp;Milestones!$AB$97&amp;" "&amp;Milestones!$AC$97&amp;";  ","")&amp;IF(AND(EDATE($D105,Milestones!$AA$98)&lt;=AsOfDate,IF($Q105=0,$W105,IF(AND($S105&lt;&gt;"",EDATE($D105,Milestones!$AA$98)&gt;=$S105),$V105,IF(AND($R105&lt;&gt;"",EDATE($D105,Milestones!$AA$98)&gt;=$R105),$U105,$T105)))=Milestones!$AB$98),TEXT(EDATE($D105,Milestones!$AA$98),"dd/mm/yy")&amp;" "&amp;Milestones!$AB$98&amp;" "&amp;Milestones!$AC$98&amp;";  ","")&amp;IF(AND(EDATE($D105,Milestones!$AA$99)&lt;=AsOfDate,IF($Q105=0,$W105,IF(AND($S105&lt;&gt;"",EDATE($D105,Milestones!$AA$99)&gt;=$S105),$V105,IF(AND($R105&lt;&gt;"",EDATE($D105,Milestones!$AA$99)&gt;=$R105),$U105,$T105)))=Milestones!$AB$99),TEXT(EDATE($D105,Milestones!$AA$99),"dd/mm/yy")&amp;" "&amp;Milestones!$AB$99&amp;" "&amp;Milestones!$AC$99&amp;";  ",""))</f>
        <v/>
      </c>
      <c r="L105" s="0" t="str">
        <f aca="false">IF(OR($A105="",$D105=""),"",IF(AND(EDATE($D105,Milestones!$AA$100)&lt;=AsOfDate,IF($Q105=0,$W105,IF(AND($S105&lt;&gt;"",EDATE($D105,Milestones!$AA$100)&gt;=$S105),$V105,IF(AND($R105&lt;&gt;"",EDATE($D105,Milestones!$AA$100)&gt;=$R105),$U105,$T105)))=Milestones!$AB$100),TEXT(EDATE($D105,Milestones!$AA$100),"dd/mm/yy")&amp;" "&amp;Milestones!$AB$100&amp;" "&amp;Milestones!$AC$100&amp;";  ","")&amp;IF(AND(EDATE($D105,Milestones!$AA$101)&lt;=AsOfDate,IF($Q105=0,$W105,IF(AND($S105&lt;&gt;"",EDATE($D105,Milestones!$AA$101)&gt;=$S105),$V105,IF(AND($R105&lt;&gt;"",EDATE($D105,Milestones!$AA$101)&gt;=$R105),$U105,$T105)))=Milestones!$AB$101),TEXT(EDATE($D105,Milestones!$AA$101),"dd/mm/yy")&amp;" "&amp;Milestones!$AB$101&amp;" "&amp;Milestones!$AC$101&amp;";  ","")&amp;IF(AND(EDATE($D105,Milestones!$AA$102)&lt;=AsOfDate,IF($Q105=0,$W105,IF(AND($S105&lt;&gt;"",EDATE($D105,Milestones!$AA$102)&gt;=$S105),$V105,IF(AND($R105&lt;&gt;"",EDATE($D105,Milestones!$AA$102)&gt;=$R105),$U105,$T105)))=Milestones!$AB$102),TEXT(EDATE($D105,Milestones!$AA$102),"dd/mm/yy")&amp;" "&amp;Milestones!$AB$102&amp;" "&amp;Milestones!$AC$102&amp;";  ","")&amp;IF(AND(EDATE($D105,Milestones!$AA$103)&lt;=AsOfDate,IF($Q105=0,$W105,IF(AND($S105&lt;&gt;"",EDATE($D105,Milestones!$AA$103)&gt;=$S105),$V105,IF(AND($R105&lt;&gt;"",EDATE($D105,Milestones!$AA$103)&gt;=$R105),$U105,$T105)))=Milestones!$AB$103),TEXT(EDATE($D105,Milestones!$AA$103),"dd/mm/yy")&amp;" "&amp;Milestones!$AB$103&amp;" "&amp;Milestones!$AC$103&amp;";  ","")&amp;IF(AND(EDATE($D105,Milestones!$AA$104)&lt;=AsOfDate,IF($Q105=0,$W105,IF(AND($S105&lt;&gt;"",EDATE($D105,Milestones!$AA$104)&gt;=$S105),$V105,IF(AND($R105&lt;&gt;"",EDATE($D105,Milestones!$AA$104)&gt;=$R105),$U105,$T105)))=Milestones!$AB$104),TEXT(EDATE($D105,Milestones!$AA$104),"dd/mm/yy")&amp;" "&amp;Milestones!$AB$104&amp;" "&amp;Milestones!$AC$104&amp;";  ","")&amp;IF(AND(EDATE($D105,Milestones!$AA$105)&lt;=AsOfDate,IF($Q105=0,$W105,IF(AND($S105&lt;&gt;"",EDATE($D105,Milestones!$AA$105)&gt;=$S105),$V105,IF(AND($R105&lt;&gt;"",EDATE($D105,Milestones!$AA$105)&gt;=$R105),$U105,$T105)))=Milestones!$AB$105),TEXT(EDATE($D105,Milestones!$AA$105),"dd/mm/yy")&amp;" "&amp;Milestones!$AB$105&amp;" "&amp;Milestones!$AC$105&amp;";  ","")&amp;IF(AND(EDATE($D105,Milestones!$AA$106)&lt;=AsOfDate,IF($Q105=0,$W105,IF(AND($S105&lt;&gt;"",EDATE($D105,Milestones!$AA$106)&gt;=$S105),$V105,IF(AND($R105&lt;&gt;"",EDATE($D105,Milestones!$AA$106)&gt;=$R105),$U105,$T105)))=Milestones!$AB$106),TEXT(EDATE($D105,Milestones!$AA$106),"dd/mm/yy")&amp;" "&amp;Milestones!$AB$106&amp;" "&amp;Milestones!$AC$106&amp;";  ","")&amp;IF(AND(EDATE($D105,Milestones!$AA$107)&lt;=AsOfDate,IF($Q105=0,$W105,IF(AND($S105&lt;&gt;"",EDATE($D105,Milestones!$AA$107)&gt;=$S105),$V105,IF(AND($R105&lt;&gt;"",EDATE($D105,Milestones!$AA$107)&gt;=$R105),$U105,$T105)))=Milestones!$AB$107),TEXT(EDATE($D105,Milestones!$AA$107),"dd/mm/yy")&amp;" "&amp;Milestones!$AB$107&amp;" "&amp;Milestones!$AC$107&amp;";  ","")&amp;IF(AND(EDATE($D105,Milestones!$AA$108)&lt;=AsOfDate,IF($Q105=0,$W105,IF(AND($S105&lt;&gt;"",EDATE($D105,Milestones!$AA$108)&gt;=$S105),$V105,IF(AND($R105&lt;&gt;"",EDATE($D105,Milestones!$AA$108)&gt;=$R105),$U105,$T105)))=Milestones!$AB$108),TEXT(EDATE($D105,Milestones!$AA$108),"dd/mm/yy")&amp;" "&amp;Milestones!$AB$108&amp;" "&amp;Milestones!$AC$108&amp;";  ","")&amp;IF(AND(EDATE($D105,Milestones!$AA$109)&lt;=AsOfDate,IF($Q105=0,$W105,IF(AND($S105&lt;&gt;"",EDATE($D105,Milestones!$AA$109)&gt;=$S105),$V105,IF(AND($R105&lt;&gt;"",EDATE($D105,Milestones!$AA$109)&gt;=$R105),$U105,$T105)))=Milestones!$AB$109),TEXT(EDATE($D105,Milestones!$AA$109),"dd/mm/yy")&amp;" "&amp;Milestones!$AB$109&amp;" "&amp;Milestones!$AC$109&amp;";  ","")&amp;IF(AND(EDATE($D105,Milestones!$AA$110)&lt;=AsOfDate,IF($Q105=0,$W105,IF(AND($S105&lt;&gt;"",EDATE($D105,Milestones!$AA$110)&gt;=$S105),$V105,IF(AND($R105&lt;&gt;"",EDATE($D105,Milestones!$AA$110)&gt;=$R105),$U105,$T105)))=Milestones!$AB$110),TEXT(EDATE($D105,Milestones!$AA$110),"dd/mm/yy")&amp;" "&amp;Milestones!$AB$110&amp;" "&amp;Milestones!$AC$110&amp;";  ","")&amp;IF(AND(EDATE($D105,Milestones!$AA$111)&lt;=AsOfDate,IF($Q105=0,$W105,IF(AND($S105&lt;&gt;"",EDATE($D105,Milestones!$AA$111)&gt;=$S105),$V105,IF(AND($R105&lt;&gt;"",EDATE($D105,Milestones!$AA$111)&gt;=$R105),$U105,$T105)))=Milestones!$AB$111),TEXT(EDATE($D105,Milestones!$AA$111),"dd/mm/yy")&amp;" "&amp;Milestones!$AB$111&amp;" "&amp;Milestones!$AC$111&amp;";  ","")&amp;IF(AND(EDATE($D105,Milestones!$AA$112)&lt;=AsOfDate,IF($Q105=0,$W105,IF(AND($S105&lt;&gt;"",EDATE($D105,Milestones!$AA$112)&gt;=$S105),$V105,IF(AND($R105&lt;&gt;"",EDATE($D105,Milestones!$AA$112)&gt;=$R105),$U105,$T105)))=Milestones!$AB$112),TEXT(EDATE($D105,Milestones!$AA$112),"dd/mm/yy")&amp;" "&amp;Milestones!$AB$112&amp;" "&amp;Milestones!$AC$112&amp;";  ","")&amp;IF(AND(EDATE($D105,Milestones!$AA$113)&lt;=AsOfDate,IF($Q105=0,$W105,IF(AND($S105&lt;&gt;"",EDATE($D105,Milestones!$AA$113)&gt;=$S105),$V105,IF(AND($R105&lt;&gt;"",EDATE($D105,Milestones!$AA$113)&gt;=$R105),$U105,$T105)))=Milestones!$AB$113),TEXT(EDATE($D105,Milestones!$AA$113),"dd/mm/yy")&amp;" "&amp;Milestones!$AB$113&amp;" "&amp;Milestones!$AC$113&amp;";  ","")&amp;IF(AND(EDATE($D105,Milestones!$AA$114)&lt;=AsOfDate,IF($Q105=0,$W105,IF(AND($S105&lt;&gt;"",EDATE($D105,Milestones!$AA$114)&gt;=$S105),$V105,IF(AND($R105&lt;&gt;"",EDATE($D105,Milestones!$AA$114)&gt;=$R105),$U105,$T105)))=Milestones!$AB$114),TEXT(EDATE($D105,Milestones!$AA$114),"dd/mm/yy")&amp;" "&amp;Milestones!$AB$114&amp;" "&amp;Milestones!$AC$114&amp;";  ","")&amp;IF(AND(EDATE($D105,Milestones!$AA$115)&lt;=AsOfDate,IF($Q105=0,$W105,IF(AND($S105&lt;&gt;"",EDATE($D105,Milestones!$AA$115)&gt;=$S105),$V105,IF(AND($R105&lt;&gt;"",EDATE($D105,Milestones!$AA$115)&gt;=$R105),$U105,$T105)))=Milestones!$AB$115),TEXT(EDATE($D105,Milestones!$AA$115),"dd/mm/yy")&amp;" "&amp;Milestones!$AB$115&amp;" "&amp;Milestones!$AC$115&amp;";  ","")&amp;IF(AND(EDATE($D105,Milestones!$AA$116)&lt;=AsOfDate,IF($Q105=0,$W105,IF(AND($S105&lt;&gt;"",EDATE($D105,Milestones!$AA$116)&gt;=$S105),$V105,IF(AND($R105&lt;&gt;"",EDATE($D105,Milestones!$AA$116)&gt;=$R105),$U105,$T105)))=Milestones!$AB$116),TEXT(EDATE($D105,Milestones!$AA$116),"dd/mm/yy")&amp;" "&amp;Milestones!$AB$116&amp;" "&amp;Milestones!$AC$116&amp;";  ","")&amp;IF(AND(EDATE($D105,Milestones!$AA$117)&lt;=AsOfDate,IF($Q105=0,$W105,IF(AND($S105&lt;&gt;"",EDATE($D105,Milestones!$AA$117)&gt;=$S105),$V105,IF(AND($R105&lt;&gt;"",EDATE($D105,Milestones!$AA$117)&gt;=$R105),$U105,$T105)))=Milestones!$AB$117),TEXT(EDATE($D105,Milestones!$AA$117),"dd/mm/yy")&amp;" "&amp;Milestones!$AB$117&amp;" "&amp;Milestones!$AC$117&amp;";  ","")&amp;IF(AND(EDATE($D105,Milestones!$AA$118)&lt;=AsOfDate,IF($Q105=0,$W105,IF(AND($S105&lt;&gt;"",EDATE($D105,Milestones!$AA$118)&gt;=$S105),$V105,IF(AND($R105&lt;&gt;"",EDATE($D105,Milestones!$AA$118)&gt;=$R105),$U105,$T105)))=Milestones!$AB$118),TEXT(EDATE($D105,Milestones!$AA$118),"dd/mm/yy")&amp;" "&amp;Milestones!$AB$118&amp;" "&amp;Milestones!$AC$118&amp;";  ","")&amp;IF(AND(EDATE($D105,Milestones!$AA$119)&lt;=AsOfDate,IF($Q105=0,$W105,IF(AND($S105&lt;&gt;"",EDATE($D105,Milestones!$AA$119)&gt;=$S105),$V105,IF(AND($R105&lt;&gt;"",EDATE($D105,Milestones!$AA$119)&gt;=$R105),$U105,$T105)))=Milestones!$AB$119),TEXT(EDATE($D105,Milestones!$AA$119),"dd/mm/yy")&amp;" "&amp;Milestones!$AB$119&amp;" "&amp;Milestones!$AC$119&amp;";  ",""))</f>
        <v/>
      </c>
      <c r="M105" s="0" t="str">
        <f aca="false">IF(OR($A105="",$D105=""),"",IF(AND(EDATE($D105,Milestones!$AA$120)&lt;=AsOfDate,IF($Q105=0,$W105,IF(AND($S105&lt;&gt;"",EDATE($D105,Milestones!$AA$120)&gt;=$S105),$V105,IF(AND($R105&lt;&gt;"",EDATE($D105,Milestones!$AA$120)&gt;=$R105),$U105,$T105)))=Milestones!$AB$120),TEXT(EDATE($D105,Milestones!$AA$120),"dd/mm/yy")&amp;" "&amp;Milestones!$AB$120&amp;" "&amp;Milestones!$AC$120&amp;";  ","")&amp;IF(AND(EDATE($D105,Milestones!$AA$121)&lt;=AsOfDate,IF($Q105=0,$W105,IF(AND($S105&lt;&gt;"",EDATE($D105,Milestones!$AA$121)&gt;=$S105),$V105,IF(AND($R105&lt;&gt;"",EDATE($D105,Milestones!$AA$121)&gt;=$R105),$U105,$T105)))=Milestones!$AB$121),TEXT(EDATE($D105,Milestones!$AA$121),"dd/mm/yy")&amp;" "&amp;Milestones!$AB$121&amp;" "&amp;Milestones!$AC$121&amp;";  ","")&amp;IF(AND(EDATE($D105,Milestones!$AA$122)&lt;=AsOfDate,IF($Q105=0,$W105,IF(AND($S105&lt;&gt;"",EDATE($D105,Milestones!$AA$122)&gt;=$S105),$V105,IF(AND($R105&lt;&gt;"",EDATE($D105,Milestones!$AA$122)&gt;=$R105),$U105,$T105)))=Milestones!$AB$122),TEXT(EDATE($D105,Milestones!$AA$122),"dd/mm/yy")&amp;" "&amp;Milestones!$AB$122&amp;" "&amp;Milestones!$AC$122&amp;";  ","")&amp;IF(AND(EDATE($D105,Milestones!$AA$123)&lt;=AsOfDate,IF($Q105=0,$W105,IF(AND($S105&lt;&gt;"",EDATE($D105,Milestones!$AA$123)&gt;=$S105),$V105,IF(AND($R105&lt;&gt;"",EDATE($D105,Milestones!$AA$123)&gt;=$R105),$U105,$T105)))=Milestones!$AB$123),TEXT(EDATE($D105,Milestones!$AA$123),"dd/mm/yy")&amp;" "&amp;Milestones!$AB$123&amp;" "&amp;Milestones!$AC$123&amp;";  ","")&amp;IF(AND(EDATE($D105,Milestones!$AA$124)&lt;=AsOfDate,IF($Q105=0,$W105,IF(AND($S105&lt;&gt;"",EDATE($D105,Milestones!$AA$124)&gt;=$S105),$V105,IF(AND($R105&lt;&gt;"",EDATE($D105,Milestones!$AA$124)&gt;=$R105),$U105,$T105)))=Milestones!$AB$124),TEXT(EDATE($D105,Milestones!$AA$124),"dd/mm/yy")&amp;" "&amp;Milestones!$AB$124&amp;" "&amp;Milestones!$AC$124&amp;";  ","")&amp;IF(AND(EDATE($D105,Milestones!$AA$125)&lt;=AsOfDate,IF($Q105=0,$W105,IF(AND($S105&lt;&gt;"",EDATE($D105,Milestones!$AA$125)&gt;=$S105),$V105,IF(AND($R105&lt;&gt;"",EDATE($D105,Milestones!$AA$125)&gt;=$R105),$U105,$T105)))=Milestones!$AB$125),TEXT(EDATE($D105,Milestones!$AA$125),"dd/mm/yy")&amp;" "&amp;Milestones!$AB$125&amp;" "&amp;Milestones!$AC$125&amp;";  ","")&amp;IF(AND(EDATE($D105,Milestones!$AA$126)&lt;=AsOfDate,IF($Q105=0,$W105,IF(AND($S105&lt;&gt;"",EDATE($D105,Milestones!$AA$126)&gt;=$S105),$V105,IF(AND($R105&lt;&gt;"",EDATE($D105,Milestones!$AA$126)&gt;=$R105),$U105,$T105)))=Milestones!$AB$126),TEXT(EDATE($D105,Milestones!$AA$126),"dd/mm/yy")&amp;" "&amp;Milestones!$AB$126&amp;" "&amp;Milestones!$AC$126&amp;";  ","")&amp;IF(AND(EDATE($D105,Milestones!$AA$127)&lt;=AsOfDate,IF($Q105=0,$W105,IF(AND($S105&lt;&gt;"",EDATE($D105,Milestones!$AA$127)&gt;=$S105),$V105,IF(AND($R105&lt;&gt;"",EDATE($D105,Milestones!$AA$127)&gt;=$R105),$U105,$T105)))=Milestones!$AB$127),TEXT(EDATE($D105,Milestones!$AA$127),"dd/mm/yy")&amp;" "&amp;Milestones!$AB$127&amp;" "&amp;Milestones!$AC$127&amp;";  ","")&amp;IF(AND(EDATE($D105,Milestones!$AA$128)&lt;=AsOfDate,IF($Q105=0,$W105,IF(AND($S105&lt;&gt;"",EDATE($D105,Milestones!$AA$128)&gt;=$S105),$V105,IF(AND($R105&lt;&gt;"",EDATE($D105,Milestones!$AA$128)&gt;=$R105),$U105,$T105)))=Milestones!$AB$128),TEXT(EDATE($D105,Milestones!$AA$128),"dd/mm/yy")&amp;" "&amp;Milestones!$AB$128&amp;" "&amp;Milestones!$AC$128&amp;";  ","")&amp;IF(AND(EDATE($D105,Milestones!$AA$129)&lt;=AsOfDate,IF($Q105=0,$W105,IF(AND($S105&lt;&gt;"",EDATE($D105,Milestones!$AA$129)&gt;=$S105),$V105,IF(AND($R105&lt;&gt;"",EDATE($D105,Milestones!$AA$129)&gt;=$R105),$U105,$T105)))=Milestones!$AB$129),TEXT(EDATE($D105,Milestones!$AA$129),"dd/mm/yy")&amp;" "&amp;Milestones!$AB$129&amp;" "&amp;Milestones!$AC$129&amp;";  ","")&amp;IF(AND(EDATE($D105,Milestones!$AA$130)&lt;=AsOfDate,IF($Q105=0,$W105,IF(AND($S105&lt;&gt;"",EDATE($D105,Milestones!$AA$130)&gt;=$S105),$V105,IF(AND($R105&lt;&gt;"",EDATE($D105,Milestones!$AA$130)&gt;=$R105),$U105,$T105)))=Milestones!$AB$130),TEXT(EDATE($D105,Milestones!$AA$130),"dd/mm/yy")&amp;" "&amp;Milestones!$AB$130&amp;" "&amp;Milestones!$AC$130&amp;";  ","")&amp;IF(AND(EDATE($D105,Milestones!$AA$131)&lt;=AsOfDate,IF($Q105=0,$W105,IF(AND($S105&lt;&gt;"",EDATE($D105,Milestones!$AA$131)&gt;=$S105),$V105,IF(AND($R105&lt;&gt;"",EDATE($D105,Milestones!$AA$131)&gt;=$R105),$U105,$T105)))=Milestones!$AB$131),TEXT(EDATE($D105,Milestones!$AA$131),"dd/mm/yy")&amp;" "&amp;Milestones!$AB$131&amp;" "&amp;Milestones!$AC$131&amp;";  ","")&amp;IF(AND(EDATE($D105,Milestones!$AA$132)&lt;=AsOfDate,IF($Q105=0,$W105,IF(AND($S105&lt;&gt;"",EDATE($D105,Milestones!$AA$132)&gt;=$S105),$V105,IF(AND($R105&lt;&gt;"",EDATE($D105,Milestones!$AA$132)&gt;=$R105),$U105,$T105)))=Milestones!$AB$132),TEXT(EDATE($D105,Milestones!$AA$132),"dd/mm/yy")&amp;" "&amp;Milestones!$AB$132&amp;" "&amp;Milestones!$AC$132&amp;";  ","")&amp;IF(AND(EDATE($D105,Milestones!$AA$133)&lt;=AsOfDate,IF($Q105=0,$W105,IF(AND($S105&lt;&gt;"",EDATE($D105,Milestones!$AA$133)&gt;=$S105),$V105,IF(AND($R105&lt;&gt;"",EDATE($D105,Milestones!$AA$133)&gt;=$R105),$U105,$T105)))=Milestones!$AB$133),TEXT(EDATE($D105,Milestones!$AA$133),"dd/mm/yy")&amp;" "&amp;Milestones!$AB$133&amp;" "&amp;Milestones!$AC$133&amp;";  ","")&amp;IF(AND(EDATE($D105,Milestones!$AA$134)&lt;=AsOfDate,IF($Q105=0,$W105,IF(AND($S105&lt;&gt;"",EDATE($D105,Milestones!$AA$134)&gt;=$S105),$V105,IF(AND($R105&lt;&gt;"",EDATE($D105,Milestones!$AA$134)&gt;=$R105),$U105,$T105)))=Milestones!$AB$134),TEXT(EDATE($D105,Milestones!$AA$134),"dd/mm/yy")&amp;" "&amp;Milestones!$AB$134&amp;" "&amp;Milestones!$AC$134&amp;";  ","")&amp;IF(AND(EDATE($D105,Milestones!$AA$135)&lt;=AsOfDate,IF($Q105=0,$W105,IF(AND($S105&lt;&gt;"",EDATE($D105,Milestones!$AA$135)&gt;=$S105),$V105,IF(AND($R105&lt;&gt;"",EDATE($D105,Milestones!$AA$135)&gt;=$R105),$U105,$T105)))=Milestones!$AB$135),TEXT(EDATE($D105,Milestones!$AA$135),"dd/mm/yy")&amp;" "&amp;Milestones!$AB$135&amp;" "&amp;Milestones!$AC$135&amp;";  ","")&amp;IF(AND(EDATE($D105,Milestones!$AA$136)&lt;=AsOfDate,IF($Q105=0,$W105,IF(AND($S105&lt;&gt;"",EDATE($D105,Milestones!$AA$136)&gt;=$S105),$V105,IF(AND($R105&lt;&gt;"",EDATE($D105,Milestones!$AA$136)&gt;=$R105),$U105,$T105)))=Milestones!$AB$136),TEXT(EDATE($D105,Milestones!$AA$136),"dd/mm/yy")&amp;" "&amp;Milestones!$AB$136&amp;" "&amp;Milestones!$AC$136&amp;";  ","")&amp;IF(AND(EDATE($D105,Milestones!$AA$137)&lt;=AsOfDate,IF($Q105=0,$W105,IF(AND($S105&lt;&gt;"",EDATE($D105,Milestones!$AA$137)&gt;=$S105),$V105,IF(AND($R105&lt;&gt;"",EDATE($D105,Milestones!$AA$137)&gt;=$R105),$U105,$T105)))=Milestones!$AB$137),TEXT(EDATE($D105,Milestones!$AA$137),"dd/mm/yy")&amp;" "&amp;Milestones!$AB$137&amp;" "&amp;Milestones!$AC$137&amp;";  ","")&amp;IF(AND(EDATE($D105,Milestones!$AA$138)&lt;=AsOfDate,IF($Q105=0,$W105,IF(AND($S105&lt;&gt;"",EDATE($D105,Milestones!$AA$138)&gt;=$S105),$V105,IF(AND($R105&lt;&gt;"",EDATE($D105,Milestones!$AA$138)&gt;=$R105),$U105,$T105)))=Milestones!$AB$138),TEXT(EDATE($D105,Milestones!$AA$138),"dd/mm/yy")&amp;" "&amp;Milestones!$AB$138&amp;" "&amp;Milestones!$AC$138&amp;";  ","")&amp;IF(AND(EDATE($D105,Milestones!$AA$139)&lt;=AsOfDate,IF($Q105=0,$W105,IF(AND($S105&lt;&gt;"",EDATE($D105,Milestones!$AA$139)&gt;=$S105),$V105,IF(AND($R105&lt;&gt;"",EDATE($D105,Milestones!$AA$139)&gt;=$R105),$U105,$T105)))=Milestones!$AB$139),TEXT(EDATE($D105,Milestones!$AA$139),"dd/mm/yy")&amp;" "&amp;Milestones!$AB$139&amp;" "&amp;Milestones!$AC$139&amp;";  ",""))</f>
        <v/>
      </c>
      <c r="N105" s="0" t="str">
        <f aca="false">IF(OR($A105="",$D105=""),"",IF(AND(EDATE($D105,Milestones!$AA$140)&lt;=AsOfDate,IF($Q105=0,$W105,IF(AND($S105&lt;&gt;"",EDATE($D105,Milestones!$AA$140)&gt;=$S105),$V105,IF(AND($R105&lt;&gt;"",EDATE($D105,Milestones!$AA$140)&gt;=$R105),$U105,$T105)))=Milestones!$AB$140),TEXT(EDATE($D105,Milestones!$AA$140),"dd/mm/yy")&amp;" "&amp;Milestones!$AB$140&amp;" "&amp;Milestones!$AC$140&amp;";  ","")&amp;IF(AND(EDATE($D105,Milestones!$AA$141)&lt;=AsOfDate,IF($Q105=0,$W105,IF(AND($S105&lt;&gt;"",EDATE($D105,Milestones!$AA$141)&gt;=$S105),$V105,IF(AND($R105&lt;&gt;"",EDATE($D105,Milestones!$AA$141)&gt;=$R105),$U105,$T105)))=Milestones!$AB$141),TEXT(EDATE($D105,Milestones!$AA$141),"dd/mm/yy")&amp;" "&amp;Milestones!$AB$141&amp;" "&amp;Milestones!$AC$141&amp;";  ","")&amp;IF(AND(EDATE($D105,Milestones!$AA$142)&lt;=AsOfDate,IF($Q105=0,$W105,IF(AND($S105&lt;&gt;"",EDATE($D105,Milestones!$AA$142)&gt;=$S105),$V105,IF(AND($R105&lt;&gt;"",EDATE($D105,Milestones!$AA$142)&gt;=$R105),$U105,$T105)))=Milestones!$AB$142),TEXT(EDATE($D105,Milestones!$AA$142),"dd/mm/yy")&amp;" "&amp;Milestones!$AB$142&amp;" "&amp;Milestones!$AC$142&amp;";  ","")&amp;IF(AND(EDATE($D105,Milestones!$AA$143)&lt;=AsOfDate,IF($Q105=0,$W105,IF(AND($S105&lt;&gt;"",EDATE($D105,Milestones!$AA$143)&gt;=$S105),$V105,IF(AND($R105&lt;&gt;"",EDATE($D105,Milestones!$AA$143)&gt;=$R105),$U105,$T105)))=Milestones!$AB$143),TEXT(EDATE($D105,Milestones!$AA$143),"dd/mm/yy")&amp;" "&amp;Milestones!$AB$143&amp;" "&amp;Milestones!$AC$143&amp;";  ","")&amp;IF(AND(EDATE($D105,Milestones!$AA$144)&lt;=AsOfDate,IF($Q105=0,$W105,IF(AND($S105&lt;&gt;"",EDATE($D105,Milestones!$AA$144)&gt;=$S105),$V105,IF(AND($R105&lt;&gt;"",EDATE($D105,Milestones!$AA$144)&gt;=$R105),$U105,$T105)))=Milestones!$AB$144),TEXT(EDATE($D105,Milestones!$AA$144),"dd/mm/yy")&amp;" "&amp;Milestones!$AB$144&amp;" "&amp;Milestones!$AC$144&amp;";  ","")&amp;IF(AND(EDATE($D105,Milestones!$AA$145)&lt;=AsOfDate,IF($Q105=0,$W105,IF(AND($S105&lt;&gt;"",EDATE($D105,Milestones!$AA$145)&gt;=$S105),$V105,IF(AND($R105&lt;&gt;"",EDATE($D105,Milestones!$AA$145)&gt;=$R105),$U105,$T105)))=Milestones!$AB$145),TEXT(EDATE($D105,Milestones!$AA$145),"dd/mm/yy")&amp;" "&amp;Milestones!$AB$145&amp;" "&amp;Milestones!$AC$145&amp;";  ","")&amp;IF(AND(EDATE($D105,Milestones!$AA$146)&lt;=AsOfDate,IF($Q105=0,$W105,IF(AND($S105&lt;&gt;"",EDATE($D105,Milestones!$AA$146)&gt;=$S105),$V105,IF(AND($R105&lt;&gt;"",EDATE($D105,Milestones!$AA$146)&gt;=$R105),$U105,$T105)))=Milestones!$AB$146),TEXT(EDATE($D105,Milestones!$AA$146),"dd/mm/yy")&amp;" "&amp;Milestones!$AB$146&amp;" "&amp;Milestones!$AC$146&amp;";  ","")&amp;IF(AND(EDATE($D105,Milestones!$AA$147)&lt;=AsOfDate,IF($Q105=0,$W105,IF(AND($S105&lt;&gt;"",EDATE($D105,Milestones!$AA$147)&gt;=$S105),$V105,IF(AND($R105&lt;&gt;"",EDATE($D105,Milestones!$AA$147)&gt;=$R105),$U105,$T105)))=Milestones!$AB$147),TEXT(EDATE($D105,Milestones!$AA$147),"dd/mm/yy")&amp;" "&amp;Milestones!$AB$147&amp;" "&amp;Milestones!$AC$147&amp;";  ","")&amp;IF(AND(EDATE($D105,Milestones!$AA$148)&lt;=AsOfDate,IF($Q105=0,$W105,IF(AND($S105&lt;&gt;"",EDATE($D105,Milestones!$AA$148)&gt;=$S105),$V105,IF(AND($R105&lt;&gt;"",EDATE($D105,Milestones!$AA$148)&gt;=$R105),$U105,$T105)))=Milestones!$AB$148),TEXT(EDATE($D105,Milestones!$AA$148),"dd/mm/yy")&amp;" "&amp;Milestones!$AB$148&amp;" "&amp;Milestones!$AC$148&amp;";  ","")&amp;IF(AND(EDATE($D105,Milestones!$AA$149)&lt;=AsOfDate,IF($Q105=0,$W105,IF(AND($S105&lt;&gt;"",EDATE($D105,Milestones!$AA$149)&gt;=$S105),$V105,IF(AND($R105&lt;&gt;"",EDATE($D105,Milestones!$AA$149)&gt;=$R105),$U105,$T105)))=Milestones!$AB$149),TEXT(EDATE($D105,Milestones!$AA$149),"dd/mm/yy")&amp;" "&amp;Milestones!$AB$149&amp;" "&amp;Milestones!$AC$149&amp;";  ","")&amp;IF(AND(EDATE($D105,Milestones!$AA$150)&lt;=AsOfDate,IF($Q105=0,$W105,IF(AND($S105&lt;&gt;"",EDATE($D105,Milestones!$AA$150)&gt;=$S105),$V105,IF(AND($R105&lt;&gt;"",EDATE($D105,Milestones!$AA$150)&gt;=$R105),$U105,$T105)))=Milestones!$AB$150),TEXT(EDATE($D105,Milestones!$AA$150),"dd/mm/yy")&amp;" "&amp;Milestones!$AB$150&amp;" "&amp;Milestones!$AC$150&amp;";  ","")&amp;IF(AND(EDATE($D105,Milestones!$AA$151)&lt;=AsOfDate,IF($Q105=0,$W105,IF(AND($S105&lt;&gt;"",EDATE($D105,Milestones!$AA$151)&gt;=$S105),$V105,IF(AND($R105&lt;&gt;"",EDATE($D105,Milestones!$AA$151)&gt;=$R105),$U105,$T105)))=Milestones!$AB$151),TEXT(EDATE($D105,Milestones!$AA$151),"dd/mm/yy")&amp;" "&amp;Milestones!$AB$151&amp;" "&amp;Milestones!$AC$151&amp;";  ","")&amp;IF(AND(EDATE($D105,Milestones!$AA$152)&lt;=AsOfDate,IF($Q105=0,$W105,IF(AND($S105&lt;&gt;"",EDATE($D105,Milestones!$AA$152)&gt;=$S105),$V105,IF(AND($R105&lt;&gt;"",EDATE($D105,Milestones!$AA$152)&gt;=$R105),$U105,$T105)))=Milestones!$AB$152),TEXT(EDATE($D105,Milestones!$AA$152),"dd/mm/yy")&amp;" "&amp;Milestones!$AB$152&amp;" "&amp;Milestones!$AC$152&amp;";  ","")&amp;IF(AND(EDATE($D105,Milestones!$AA$153)&lt;=AsOfDate,IF($Q105=0,$W105,IF(AND($S105&lt;&gt;"",EDATE($D105,Milestones!$AA$153)&gt;=$S105),$V105,IF(AND($R105&lt;&gt;"",EDATE($D105,Milestones!$AA$153)&gt;=$R105),$U105,$T105)))=Milestones!$AB$153),TEXT(EDATE($D105,Milestones!$AA$153),"dd/mm/yy")&amp;" "&amp;Milestones!$AB$153&amp;" "&amp;Milestones!$AC$153&amp;";  ","")&amp;IF(AND(EDATE($D105,Milestones!$AA$154)&lt;=AsOfDate,IF($Q105=0,$W105,IF(AND($S105&lt;&gt;"",EDATE($D105,Milestones!$AA$154)&gt;=$S105),$V105,IF(AND($R105&lt;&gt;"",EDATE($D105,Milestones!$AA$154)&gt;=$R105),$U105,$T105)))=Milestones!$AB$154),TEXT(EDATE($D105,Milestones!$AA$154),"dd/mm/yy")&amp;" "&amp;Milestones!$AB$154&amp;" "&amp;Milestones!$AC$154&amp;";  ","")&amp;IF(AND(EDATE($D105,Milestones!$AA$155)&lt;=AsOfDate,IF($Q105=0,$W105,IF(AND($S105&lt;&gt;"",EDATE($D105,Milestones!$AA$155)&gt;=$S105),$V105,IF(AND($R105&lt;&gt;"",EDATE($D105,Milestones!$AA$155)&gt;=$R105),$U105,$T105)))=Milestones!$AB$155),TEXT(EDATE($D105,Milestones!$AA$155),"dd/mm/yy")&amp;" "&amp;Milestones!$AB$155&amp;" "&amp;Milestones!$AC$155&amp;";  ","")&amp;IF(AND(EDATE($D105,Milestones!$AA$156)&lt;=AsOfDate,IF($Q105=0,$W105,IF(AND($S105&lt;&gt;"",EDATE($D105,Milestones!$AA$156)&gt;=$S105),$V105,IF(AND($R105&lt;&gt;"",EDATE($D105,Milestones!$AA$156)&gt;=$R105),$U105,$T105)))=Milestones!$AB$156),TEXT(EDATE($D105,Milestones!$AA$156),"dd/mm/yy")&amp;" "&amp;Milestones!$AB$156&amp;" "&amp;Milestones!$AC$156&amp;";  ","")&amp;IF(AND(EDATE($D105,Milestones!$AA$157)&lt;=AsOfDate,IF($Q105=0,$W105,IF(AND($S105&lt;&gt;"",EDATE($D105,Milestones!$AA$157)&gt;=$S105),$V105,IF(AND($R105&lt;&gt;"",EDATE($D105,Milestones!$AA$157)&gt;=$R105),$U105,$T105)))=Milestones!$AB$157),TEXT(EDATE($D105,Milestones!$AA$157),"dd/mm/yy")&amp;" "&amp;Milestones!$AB$157&amp;" "&amp;Milestones!$AC$157&amp;";  ","")&amp;IF(AND(EDATE($D105,Milestones!$AA$158)&lt;=AsOfDate,IF($Q105=0,$W105,IF(AND($S105&lt;&gt;"",EDATE($D105,Milestones!$AA$158)&gt;=$S105),$V105,IF(AND($R105&lt;&gt;"",EDATE($D105,Milestones!$AA$158)&gt;=$R105),$U105,$T105)))=Milestones!$AB$158),TEXT(EDATE($D105,Milestones!$AA$158),"dd/mm/yy")&amp;" "&amp;Milestones!$AB$158&amp;" "&amp;Milestones!$AC$158&amp;";  ","")&amp;IF(AND(EDATE($D105,Milestones!$AA$159)&lt;=AsOfDate,IF($Q105=0,$W105,IF(AND($S105&lt;&gt;"",EDATE($D105,Milestones!$AA$159)&gt;=$S105),$V105,IF(AND($R105&lt;&gt;"",EDATE($D105,Milestones!$AA$159)&gt;=$R105),$U105,$T105)))=Milestones!$AB$159),TEXT(EDATE($D105,Milestones!$AA$159),"dd/mm/yy")&amp;" "&amp;Milestones!$AB$159&amp;" "&amp;Milestones!$AC$159&amp;";  ",""))</f>
        <v/>
      </c>
      <c r="O105" s="0" t="str">
        <f aca="false">IF(OR($A105="",$D105=""),"",IF(AND(EDATE($D105,Milestones!$AA$160)&lt;=AsOfDate,IF($Q105=0,$W105,IF(AND($S105&lt;&gt;"",EDATE($D105,Milestones!$AA$160)&gt;=$S105),$V105,IF(AND($R105&lt;&gt;"",EDATE($D105,Milestones!$AA$160)&gt;=$R105),$U105,$T105)))=Milestones!$AB$160),TEXT(EDATE($D105,Milestones!$AA$160),"dd/mm/yy")&amp;" "&amp;Milestones!$AB$160&amp;" "&amp;Milestones!$AC$160&amp;";  ","")&amp;IF(AND(EDATE($D105,Milestones!$AA$161)&lt;=AsOfDate,IF($Q105=0,$W105,IF(AND($S105&lt;&gt;"",EDATE($D105,Milestones!$AA$161)&gt;=$S105),$V105,IF(AND($R105&lt;&gt;"",EDATE($D105,Milestones!$AA$161)&gt;=$R105),$U105,$T105)))=Milestones!$AB$161),TEXT(EDATE($D105,Milestones!$AA$161),"dd/mm/yy")&amp;" "&amp;Milestones!$AB$161&amp;" "&amp;Milestones!$AC$161&amp;";  ","")&amp;IF(AND(EDATE($D105,Milestones!$AA$162)&lt;=AsOfDate,IF($Q105=0,$W105,IF(AND($S105&lt;&gt;"",EDATE($D105,Milestones!$AA$162)&gt;=$S105),$V105,IF(AND($R105&lt;&gt;"",EDATE($D105,Milestones!$AA$162)&gt;=$R105),$U105,$T105)))=Milestones!$AB$162),TEXT(EDATE($D105,Milestones!$AA$162),"dd/mm/yy")&amp;" "&amp;Milestones!$AB$162&amp;" "&amp;Milestones!$AC$162&amp;";  ","")&amp;IF(AND(EDATE($D105,Milestones!$AA$163)&lt;=AsOfDate,IF($Q105=0,$W105,IF(AND($S105&lt;&gt;"",EDATE($D105,Milestones!$AA$163)&gt;=$S105),$V105,IF(AND($R105&lt;&gt;"",EDATE($D105,Milestones!$AA$163)&gt;=$R105),$U105,$T105)))=Milestones!$AB$163),TEXT(EDATE($D105,Milestones!$AA$163),"dd/mm/yy")&amp;" "&amp;Milestones!$AB$163&amp;" "&amp;Milestones!$AC$163&amp;";  ","")&amp;IF(AND(EDATE($D105,Milestones!$AA$164)&lt;=AsOfDate,IF($Q105=0,$W105,IF(AND($S105&lt;&gt;"",EDATE($D105,Milestones!$AA$164)&gt;=$S105),$V105,IF(AND($R105&lt;&gt;"",EDATE($D105,Milestones!$AA$164)&gt;=$R105),$U105,$T105)))=Milestones!$AB$164),TEXT(EDATE($D105,Milestones!$AA$164),"dd/mm/yy")&amp;" "&amp;Milestones!$AB$164&amp;" "&amp;Milestones!$AC$164&amp;";  ","")&amp;IF(AND(EDATE($D105,Milestones!$AA$165)&lt;=AsOfDate,IF($Q105=0,$W105,IF(AND($S105&lt;&gt;"",EDATE($D105,Milestones!$AA$165)&gt;=$S105),$V105,IF(AND($R105&lt;&gt;"",EDATE($D105,Milestones!$AA$165)&gt;=$R105),$U105,$T105)))=Milestones!$AB$165),TEXT(EDATE($D105,Milestones!$AA$165),"dd/mm/yy")&amp;" "&amp;Milestones!$AB$165&amp;" "&amp;Milestones!$AC$165&amp;";  ","")&amp;IF(AND(EDATE($D105,Milestones!$AA$166)&lt;=AsOfDate,IF($Q105=0,$W105,IF(AND($S105&lt;&gt;"",EDATE($D105,Milestones!$AA$166)&gt;=$S105),$V105,IF(AND($R105&lt;&gt;"",EDATE($D105,Milestones!$AA$166)&gt;=$R105),$U105,$T105)))=Milestones!$AB$166),TEXT(EDATE($D105,Milestones!$AA$166),"dd/mm/yy")&amp;" "&amp;Milestones!$AB$166&amp;" "&amp;Milestones!$AC$166&amp;";  ","")&amp;IF(AND(EDATE($D105,Milestones!$AA$167)&lt;=AsOfDate,IF($Q105=0,$W105,IF(AND($S105&lt;&gt;"",EDATE($D105,Milestones!$AA$167)&gt;=$S105),$V105,IF(AND($R105&lt;&gt;"",EDATE($D105,Milestones!$AA$167)&gt;=$R105),$U105,$T105)))=Milestones!$AB$167),TEXT(EDATE($D105,Milestones!$AA$167),"dd/mm/yy")&amp;" "&amp;Milestones!$AB$167&amp;" "&amp;Milestones!$AC$167&amp;";  ","")&amp;IF(AND(EDATE($D105,Milestones!$AA$168)&lt;=AsOfDate,IF($Q105=0,$W105,IF(AND($S105&lt;&gt;"",EDATE($D105,Milestones!$AA$168)&gt;=$S105),$V105,IF(AND($R105&lt;&gt;"",EDATE($D105,Milestones!$AA$168)&gt;=$R105),$U105,$T105)))=Milestones!$AB$168),TEXT(EDATE($D105,Milestones!$AA$168),"dd/mm/yy")&amp;" "&amp;Milestones!$AB$168&amp;" "&amp;Milestones!$AC$168&amp;";  ","")&amp;IF(AND(EDATE($D105,Milestones!$AA$169)&lt;=AsOfDate,IF($Q105=0,$W105,IF(AND($S105&lt;&gt;"",EDATE($D105,Milestones!$AA$169)&gt;=$S105),$V105,IF(AND($R105&lt;&gt;"",EDATE($D105,Milestones!$AA$169)&gt;=$R105),$U105,$T105)))=Milestones!$AB$169),TEXT(EDATE($D105,Milestones!$AA$169),"dd/mm/yy")&amp;" "&amp;Milestones!$AB$169&amp;" "&amp;Milestones!$AC$169&amp;";  ","")&amp;IF(AND(EDATE($D105,Milestones!$AA$170)&lt;=AsOfDate,IF($Q105=0,$W105,IF(AND($S105&lt;&gt;"",EDATE($D105,Milestones!$AA$170)&gt;=$S105),$V105,IF(AND($R105&lt;&gt;"",EDATE($D105,Milestones!$AA$170)&gt;=$R105),$U105,$T105)))=Milestones!$AB$170),TEXT(EDATE($D105,Milestones!$AA$170),"dd/mm/yy")&amp;" "&amp;Milestones!$AB$170&amp;" "&amp;Milestones!$AC$170&amp;";  ","")&amp;IF(AND(EDATE($D105,Milestones!$AA$171)&lt;=AsOfDate,IF($Q105=0,$W105,IF(AND($S105&lt;&gt;"",EDATE($D105,Milestones!$AA$171)&gt;=$S105),$V105,IF(AND($R105&lt;&gt;"",EDATE($D105,Milestones!$AA$171)&gt;=$R105),$U105,$T105)))=Milestones!$AB$171),TEXT(EDATE($D105,Milestones!$AA$171),"dd/mm/yy")&amp;" "&amp;Milestones!$AB$171&amp;" "&amp;Milestones!$AC$171&amp;";  ","")&amp;IF(AND(EDATE($D105,Milestones!$AA$172)&lt;=AsOfDate,IF($Q105=0,$W105,IF(AND($S105&lt;&gt;"",EDATE($D105,Milestones!$AA$172)&gt;=$S105),$V105,IF(AND($R105&lt;&gt;"",EDATE($D105,Milestones!$AA$172)&gt;=$R105),$U105,$T105)))=Milestones!$AB$172),TEXT(EDATE($D105,Milestones!$AA$172),"dd/mm/yy")&amp;" "&amp;Milestones!$AB$172&amp;" "&amp;Milestones!$AC$172&amp;";  ","")&amp;IF(AND(EDATE($D105,Milestones!$AA$173)&lt;=AsOfDate,IF($Q105=0,$W105,IF(AND($S105&lt;&gt;"",EDATE($D105,Milestones!$AA$173)&gt;=$S105),$V105,IF(AND($R105&lt;&gt;"",EDATE($D105,Milestones!$AA$173)&gt;=$R105),$U105,$T105)))=Milestones!$AB$173),TEXT(EDATE($D105,Milestones!$AA$173),"dd/mm/yy")&amp;" "&amp;Milestones!$AB$173&amp;" "&amp;Milestones!$AC$173&amp;";  ","")&amp;IF(AND(EDATE($D105,Milestones!$AA$174)&lt;=AsOfDate,IF($Q105=0,$W105,IF(AND($S105&lt;&gt;"",EDATE($D105,Milestones!$AA$174)&gt;=$S105),$V105,IF(AND($R105&lt;&gt;"",EDATE($D105,Milestones!$AA$174)&gt;=$R105),$U105,$T105)))=Milestones!$AB$174),TEXT(EDATE($D105,Milestones!$AA$174),"dd/mm/yy")&amp;" "&amp;Milestones!$AB$174&amp;" "&amp;Milestones!$AC$174&amp;";  ","")&amp;IF(AND(EDATE($D105,Milestones!$AA$175)&lt;=AsOfDate,IF($Q105=0,$W105,IF(AND($S105&lt;&gt;"",EDATE($D105,Milestones!$AA$175)&gt;=$S105),$V105,IF(AND($R105&lt;&gt;"",EDATE($D105,Milestones!$AA$175)&gt;=$R105),$U105,$T105)))=Milestones!$AB$175),TEXT(EDATE($D105,Milestones!$AA$175),"dd/mm/yy")&amp;" "&amp;Milestones!$AB$175&amp;" "&amp;Milestones!$AC$175&amp;";  ","")&amp;IF(AND(EDATE($D105,Milestones!$AA$176)&lt;=AsOfDate,IF($Q105=0,$W105,IF(AND($S105&lt;&gt;"",EDATE($D105,Milestones!$AA$176)&gt;=$S105),$V105,IF(AND($R105&lt;&gt;"",EDATE($D105,Milestones!$AA$176)&gt;=$R105),$U105,$T105)))=Milestones!$AB$176),TEXT(EDATE($D105,Milestones!$AA$176),"dd/mm/yy")&amp;" "&amp;Milestones!$AB$176&amp;" "&amp;Milestones!$AC$176&amp;";  ","")&amp;IF(AND(EDATE($D105,Milestones!$AA$177)&lt;=AsOfDate,IF($Q105=0,$W105,IF(AND($S105&lt;&gt;"",EDATE($D105,Milestones!$AA$177)&gt;=$S105),$V105,IF(AND($R105&lt;&gt;"",EDATE($D105,Milestones!$AA$177)&gt;=$R105),$U105,$T105)))=Milestones!$AB$177),TEXT(EDATE($D105,Milestones!$AA$177),"dd/mm/yy")&amp;" "&amp;Milestones!$AB$177&amp;" "&amp;Milestones!$AC$177&amp;";  ","")&amp;IF(AND(EDATE($D105,Milestones!$AA$178)&lt;=AsOfDate,IF($Q105=0,$W105,IF(AND($S105&lt;&gt;"",EDATE($D105,Milestones!$AA$178)&gt;=$S105),$V105,IF(AND($R105&lt;&gt;"",EDATE($D105,Milestones!$AA$178)&gt;=$R105),$U105,$T105)))=Milestones!$AB$178),TEXT(EDATE($D105,Milestones!$AA$178),"dd/mm/yy")&amp;" "&amp;Milestones!$AB$178&amp;" "&amp;Milestones!$AC$178&amp;";  ","")&amp;IF(AND(EDATE($D105,Milestones!$AA$179)&lt;=AsOfDate,IF($Q105=0,$W105,IF(AND($S105&lt;&gt;"",EDATE($D105,Milestones!$AA$179)&gt;=$S105),$V105,IF(AND($R105&lt;&gt;"",EDATE($D105,Milestones!$AA$179)&gt;=$R105),$U105,$T105)))=Milestones!$AB$179),TEXT(EDATE($D105,Milestones!$AA$179),"dd/mm/yy")&amp;" "&amp;Milestones!$AB$179&amp;" "&amp;Milestones!$AC$179&amp;";  ",""))</f>
        <v/>
      </c>
      <c r="P105" s="0" t="str">
        <f aca="false">IF(OR($A105="",$D105=""),"",IF(AND(EDATE($D105,Milestones!$AA$180)&lt;=AsOfDate,IF($Q105=0,$W105,IF(AND($S105&lt;&gt;"",EDATE($D105,Milestones!$AA$180)&gt;=$S105),$V105,IF(AND($R105&lt;&gt;"",EDATE($D105,Milestones!$AA$180)&gt;=$R105),$U105,$T105)))=Milestones!$AB$180),TEXT(EDATE($D105,Milestones!$AA$180),"dd/mm/yy")&amp;" "&amp;Milestones!$AB$180&amp;" "&amp;Milestones!$AC$180&amp;";  ","")&amp;IF(AND(EDATE($D105,Milestones!$AA$181)&lt;=AsOfDate,IF($Q105=0,$W105,IF(AND($S105&lt;&gt;"",EDATE($D105,Milestones!$AA$181)&gt;=$S105),$V105,IF(AND($R105&lt;&gt;"",EDATE($D105,Milestones!$AA$181)&gt;=$R105),$U105,$T105)))=Milestones!$AB$181),TEXT(EDATE($D105,Milestones!$AA$181),"dd/mm/yy")&amp;" "&amp;Milestones!$AB$181&amp;" "&amp;Milestones!$AC$181&amp;";  ","")&amp;IF(AND(EDATE($D105,Milestones!$AA$182)&lt;=AsOfDate,IF($Q105=0,$W105,IF(AND($S105&lt;&gt;"",EDATE($D105,Milestones!$AA$182)&gt;=$S105),$V105,IF(AND($R105&lt;&gt;"",EDATE($D105,Milestones!$AA$182)&gt;=$R105),$U105,$T105)))=Milestones!$AB$182),TEXT(EDATE($D105,Milestones!$AA$182),"dd/mm/yy")&amp;" "&amp;Milestones!$AB$182&amp;" "&amp;Milestones!$AC$182&amp;";  ","")&amp;IF(AND(EDATE($D105,Milestones!$AA$183)&lt;=AsOfDate,IF($Q105=0,$W105,IF(AND($S105&lt;&gt;"",EDATE($D105,Milestones!$AA$183)&gt;=$S105),$V105,IF(AND($R105&lt;&gt;"",EDATE($D105,Milestones!$AA$183)&gt;=$R105),$U105,$T105)))=Milestones!$AB$183),TEXT(EDATE($D105,Milestones!$AA$183),"dd/mm/yy")&amp;" "&amp;Milestones!$AB$183&amp;" "&amp;Milestones!$AC$183&amp;";  ","")&amp;IF(AND(EDATE($D105,Milestones!$AA$184)&lt;=AsOfDate,IF($Q105=0,$W105,IF(AND($S105&lt;&gt;"",EDATE($D105,Milestones!$AA$184)&gt;=$S105),$V105,IF(AND($R105&lt;&gt;"",EDATE($D105,Milestones!$AA$184)&gt;=$R105),$U105,$T105)))=Milestones!$AB$184),TEXT(EDATE($D105,Milestones!$AA$184),"dd/mm/yy")&amp;" "&amp;Milestones!$AB$184&amp;" "&amp;Milestones!$AC$184&amp;";  ","")&amp;IF(AND(EDATE($D105,Milestones!$AA$185)&lt;=AsOfDate,IF($Q105=0,$W105,IF(AND($S105&lt;&gt;"",EDATE($D105,Milestones!$AA$185)&gt;=$S105),$V105,IF(AND($R105&lt;&gt;"",EDATE($D105,Milestones!$AA$185)&gt;=$R105),$U105,$T105)))=Milestones!$AB$185),TEXT(EDATE($D105,Milestones!$AA$185),"dd/mm/yy")&amp;" "&amp;Milestones!$AB$185&amp;" "&amp;Milestones!$AC$185&amp;";  ","")&amp;IF(AND(EDATE($D105,Milestones!$AA$186)&lt;=AsOfDate,IF($Q105=0,$W105,IF(AND($S105&lt;&gt;"",EDATE($D105,Milestones!$AA$186)&gt;=$S105),$V105,IF(AND($R105&lt;&gt;"",EDATE($D105,Milestones!$AA$186)&gt;=$R105),$U105,$T105)))=Milestones!$AB$186),TEXT(EDATE($D105,Milestones!$AA$186),"dd/mm/yy")&amp;" "&amp;Milestones!$AB$186&amp;" "&amp;Milestones!$AC$186&amp;";  ","")&amp;IF(AND(EDATE($D105,Milestones!$AA$187)&lt;=AsOfDate,IF($Q105=0,$W105,IF(AND($S105&lt;&gt;"",EDATE($D105,Milestones!$AA$187)&gt;=$S105),$V105,IF(AND($R105&lt;&gt;"",EDATE($D105,Milestones!$AA$187)&gt;=$R105),$U105,$T105)))=Milestones!$AB$187),TEXT(EDATE($D105,Milestones!$AA$187),"dd/mm/yy")&amp;" "&amp;Milestones!$AB$187&amp;" "&amp;Milestones!$AC$187&amp;";  ","")&amp;IF(AND(EDATE($D105,Milestones!$AA$188)&lt;=AsOfDate,IF($Q105=0,$W105,IF(AND($S105&lt;&gt;"",EDATE($D105,Milestones!$AA$188)&gt;=$S105),$V105,IF(AND($R105&lt;&gt;"",EDATE($D105,Milestones!$AA$188)&gt;=$R105),$U105,$T105)))=Milestones!$AB$188),TEXT(EDATE($D105,Milestones!$AA$188),"dd/mm/yy")&amp;" "&amp;Milestones!$AB$188&amp;" "&amp;Milestones!$AC$188&amp;";  ","")&amp;IF(AND(EDATE($D105,Milestones!$AA$189)&lt;=AsOfDate,IF($Q105=0,$W105,IF(AND($S105&lt;&gt;"",EDATE($D105,Milestones!$AA$189)&gt;=$S105),$V105,IF(AND($R105&lt;&gt;"",EDATE($D105,Milestones!$AA$189)&gt;=$R105),$U105,$T105)))=Milestones!$AB$189),TEXT(EDATE($D105,Milestones!$AA$189),"dd/mm/yy")&amp;" "&amp;Milestones!$AB$189&amp;" "&amp;Milestones!$AC$189&amp;";  ","")&amp;IF(AND(EDATE($D105,Milestones!$AA$190)&lt;=AsOfDate,IF($Q105=0,$W105,IF(AND($S105&lt;&gt;"",EDATE($D105,Milestones!$AA$190)&gt;=$S105),$V105,IF(AND($R105&lt;&gt;"",EDATE($D105,Milestones!$AA$190)&gt;=$R105),$U105,$T105)))=Milestones!$AB$190),TEXT(EDATE($D105,Milestones!$AA$190),"dd/mm/yy")&amp;" "&amp;Milestones!$AB$190&amp;" "&amp;Milestones!$AC$190&amp;";  ","")&amp;IF(AND(EDATE($D105,Milestones!$AA$191)&lt;=AsOfDate,IF($Q105=0,$W105,IF(AND($S105&lt;&gt;"",EDATE($D105,Milestones!$AA$191)&gt;=$S105),$V105,IF(AND($R105&lt;&gt;"",EDATE($D105,Milestones!$AA$191)&gt;=$R105),$U105,$T105)))=Milestones!$AB$191),TEXT(EDATE($D105,Milestones!$AA$191),"dd/mm/yy")&amp;" "&amp;Milestones!$AB$191&amp;" "&amp;Milestones!$AC$191&amp;";  ","")&amp;IF(AND(EDATE($D105,Milestones!$AA$192)&lt;=AsOfDate,IF($Q105=0,$W105,IF(AND($S105&lt;&gt;"",EDATE($D105,Milestones!$AA$192)&gt;=$S105),$V105,IF(AND($R105&lt;&gt;"",EDATE($D105,Milestones!$AA$192)&gt;=$R105),$U105,$T105)))=Milestones!$AB$192),TEXT(EDATE($D105,Milestones!$AA$192),"dd/mm/yy")&amp;" "&amp;Milestones!$AB$192&amp;" "&amp;Milestones!$AC$192&amp;";  ","")&amp;IF(AND(EDATE($D105,Milestones!$AA$193)&lt;=AsOfDate,IF($Q105=0,$W105,IF(AND($S105&lt;&gt;"",EDATE($D105,Milestones!$AA$193)&gt;=$S105),$V105,IF(AND($R105&lt;&gt;"",EDATE($D105,Milestones!$AA$193)&gt;=$R105),$U105,$T105)))=Milestones!$AB$193),TEXT(EDATE($D105,Milestones!$AA$193),"dd/mm/yy")&amp;" "&amp;Milestones!$AB$193&amp;" "&amp;Milestones!$AC$193&amp;";  ","")&amp;IF(AND(EDATE($D105,Milestones!$AA$194)&lt;=AsOfDate,IF($Q105=0,$W105,IF(AND($S105&lt;&gt;"",EDATE($D105,Milestones!$AA$194)&gt;=$S105),$V105,IF(AND($R105&lt;&gt;"",EDATE($D105,Milestones!$AA$194)&gt;=$R105),$U105,$T105)))=Milestones!$AB$194),TEXT(EDATE($D105,Milestones!$AA$194),"dd/mm/yy")&amp;" "&amp;Milestones!$AB$194&amp;" "&amp;Milestones!$AC$194&amp;";  ","")&amp;IF(AND(EDATE($D105,Milestones!$AA$195)&lt;=AsOfDate,IF($Q105=0,$W105,IF(AND($S105&lt;&gt;"",EDATE($D105,Milestones!$AA$195)&gt;=$S105),$V105,IF(AND($R105&lt;&gt;"",EDATE($D105,Milestones!$AA$195)&gt;=$R105),$U105,$T105)))=Milestones!$AB$195),TEXT(EDATE($D105,Milestones!$AA$195),"dd/mm/yy")&amp;" "&amp;Milestones!$AB$195&amp;" "&amp;Milestones!$AC$195&amp;";  ","")&amp;IF(AND(EDATE($D105,Milestones!$AA$196)&lt;=AsOfDate,IF($Q105=0,$W105,IF(AND($S105&lt;&gt;"",EDATE($D105,Milestones!$AA$196)&gt;=$S105),$V105,IF(AND($R105&lt;&gt;"",EDATE($D105,Milestones!$AA$196)&gt;=$R105),$U105,$T105)))=Milestones!$AB$196),TEXT(EDATE($D105,Milestones!$AA$196),"dd/mm/yy")&amp;" "&amp;Milestones!$AB$196&amp;" "&amp;Milestones!$AC$196&amp;";  ","")&amp;IF(AND(EDATE($D105,Milestones!$AA$197)&lt;=AsOfDate,IF($Q105=0,$W105,IF(AND($S105&lt;&gt;"",EDATE($D105,Milestones!$AA$197)&gt;=$S105),$V105,IF(AND($R105&lt;&gt;"",EDATE($D105,Milestones!$AA$197)&gt;=$R105),$U105,$T105)))=Milestones!$AB$197),TEXT(EDATE($D105,Milestones!$AA$197),"dd/mm/yy")&amp;" "&amp;Milestones!$AB$197&amp;" "&amp;Milestones!$AC$197&amp;";  ","")&amp;IF(AND(EDATE($D105,Milestones!$AA$198)&lt;=AsOfDate,IF($Q105=0,$W105,IF(AND($S105&lt;&gt;"",EDATE($D105,Milestones!$AA$198)&gt;=$S105),$V105,IF(AND($R105&lt;&gt;"",EDATE($D105,Milestones!$AA$198)&gt;=$R105),$U105,$T105)))=Milestones!$AB$198),TEXT(EDATE($D105,Milestones!$AA$198),"dd/mm/yy")&amp;" "&amp;Milestones!$AB$198&amp;" "&amp;Milestones!$AC$198&amp;";  ","")&amp;IF(AND(EDATE($D105,Milestones!$AA$199)&lt;=AsOfDate,IF($Q105=0,$W105,IF(AND($S105&lt;&gt;"",EDATE($D105,Milestones!$AA$199)&gt;=$S105),$V105,IF(AND($R105&lt;&gt;"",EDATE($D105,Milestones!$AA$199)&gt;=$R105),$U105,$T105)))=Milestones!$AB$199),TEXT(EDATE($D105,Milestones!$AA$199),"dd/mm/yy")&amp;" "&amp;Milestones!$AB$199&amp;" "&amp;Milestones!$AC$199&amp;";  ",""))</f>
        <v/>
      </c>
      <c r="Q105" s="0" t="str">
        <f aca="false">IF(Staff!$A105="","",Staff!$AG105)</f>
        <v/>
      </c>
      <c r="R105" s="0" t="str">
        <f aca="false">IF(Staff!$A105="","",Staff!$AI105)</f>
        <v/>
      </c>
      <c r="S105" s="0" t="str">
        <f aca="false">IF(Staff!$A105="","",Staff!$AJ105)</f>
        <v/>
      </c>
      <c r="T105" s="0" t="str">
        <f aca="false">IF(Staff!$A105="","",Staff!$AN105)</f>
        <v/>
      </c>
      <c r="U105" s="0" t="str">
        <f aca="false">IF(Staff!$A105="","",Staff!$AO105)</f>
        <v/>
      </c>
      <c r="V105" s="0" t="str">
        <f aca="false">IF(Staff!$A105="","",Staff!$AP105)</f>
        <v/>
      </c>
      <c r="W105" s="0" t="str">
        <f aca="false">IF(Staff!$A105="","",Staff!$AQ105)</f>
        <v/>
      </c>
    </row>
    <row r="106" customFormat="false" ht="15" hidden="false" customHeight="false" outlineLevel="0" collapsed="false">
      <c r="A106" s="13" t="str">
        <f aca="false">IF(Staff!$A106="","",Staff!$A106)</f>
        <v/>
      </c>
      <c r="B106" s="13" t="str">
        <f aca="false">IF(Staff!$A106="","",Staff!$B106)</f>
        <v/>
      </c>
      <c r="C106" s="13" t="str">
        <f aca="false">IF(Staff!$A106="","",Staff!$C106)</f>
        <v/>
      </c>
      <c r="D106" s="11" t="str">
        <f aca="false">IF(Staff!$A106="","",Staff!$AF106)</f>
        <v/>
      </c>
      <c r="E106" s="13" t="str">
        <f aca="false">IF(Staff!$A106="","",Staff!$O106)</f>
        <v/>
      </c>
      <c r="F106" s="13" t="str">
        <f aca="false">IF(E106="","",E106*HoursPerDay)</f>
        <v/>
      </c>
      <c r="G106" s="26" t="str">
        <f aca="false">IF($A106="","",H106&amp;I106&amp;J106&amp;K106&amp;L106&amp;M106&amp;N106&amp;O106&amp;P106)</f>
        <v/>
      </c>
      <c r="H106" s="0" t="str">
        <f aca="false">IF(OR($A106="",$D106=""),"",IF(AND(EDATE($D106,Milestones!$AA$20)&lt;=AsOfDate,IF($Q106=0,$W106,IF(AND($S106&lt;&gt;"",EDATE($D106,Milestones!$AA$20)&gt;=$S106),$V106,IF(AND($R106&lt;&gt;"",EDATE($D106,Milestones!$AA$20)&gt;=$R106),$U106,$T106)))=Milestones!$AB$20),TEXT(EDATE($D106,Milestones!$AA$20),"dd/mm/yy")&amp;" "&amp;Milestones!$AB$20&amp;" "&amp;Milestones!$AC$20&amp;";  ","")&amp;IF(AND(EDATE($D106,Milestones!$AA$21)&lt;=AsOfDate,IF($Q106=0,$W106,IF(AND($S106&lt;&gt;"",EDATE($D106,Milestones!$AA$21)&gt;=$S106),$V106,IF(AND($R106&lt;&gt;"",EDATE($D106,Milestones!$AA$21)&gt;=$R106),$U106,$T106)))=Milestones!$AB$21),TEXT(EDATE($D106,Milestones!$AA$21),"dd/mm/yy")&amp;" "&amp;Milestones!$AB$21&amp;" "&amp;Milestones!$AC$21&amp;";  ","")&amp;IF(AND(EDATE($D106,Milestones!$AA$22)&lt;=AsOfDate,IF($Q106=0,$W106,IF(AND($S106&lt;&gt;"",EDATE($D106,Milestones!$AA$22)&gt;=$S106),$V106,IF(AND($R106&lt;&gt;"",EDATE($D106,Milestones!$AA$22)&gt;=$R106),$U106,$T106)))=Milestones!$AB$22),TEXT(EDATE($D106,Milestones!$AA$22),"dd/mm/yy")&amp;" "&amp;Milestones!$AB$22&amp;" "&amp;Milestones!$AC$22&amp;";  ","")&amp;IF(AND(EDATE($D106,Milestones!$AA$23)&lt;=AsOfDate,IF($Q106=0,$W106,IF(AND($S106&lt;&gt;"",EDATE($D106,Milestones!$AA$23)&gt;=$S106),$V106,IF(AND($R106&lt;&gt;"",EDATE($D106,Milestones!$AA$23)&gt;=$R106),$U106,$T106)))=Milestones!$AB$23),TEXT(EDATE($D106,Milestones!$AA$23),"dd/mm/yy")&amp;" "&amp;Milestones!$AB$23&amp;" "&amp;Milestones!$AC$23&amp;";  ","")&amp;IF(AND(EDATE($D106,Milestones!$AA$24)&lt;=AsOfDate,IF($Q106=0,$W106,IF(AND($S106&lt;&gt;"",EDATE($D106,Milestones!$AA$24)&gt;=$S106),$V106,IF(AND($R106&lt;&gt;"",EDATE($D106,Milestones!$AA$24)&gt;=$R106),$U106,$T106)))=Milestones!$AB$24),TEXT(EDATE($D106,Milestones!$AA$24),"dd/mm/yy")&amp;" "&amp;Milestones!$AB$24&amp;" "&amp;Milestones!$AC$24&amp;";  ","")&amp;IF(AND(EDATE($D106,Milestones!$AA$25)&lt;=AsOfDate,IF($Q106=0,$W106,IF(AND($S106&lt;&gt;"",EDATE($D106,Milestones!$AA$25)&gt;=$S106),$V106,IF(AND($R106&lt;&gt;"",EDATE($D106,Milestones!$AA$25)&gt;=$R106),$U106,$T106)))=Milestones!$AB$25),TEXT(EDATE($D106,Milestones!$AA$25),"dd/mm/yy")&amp;" "&amp;Milestones!$AB$25&amp;" "&amp;Milestones!$AC$25&amp;";  ","")&amp;IF(AND(EDATE($D106,Milestones!$AA$26)&lt;=AsOfDate,IF($Q106=0,$W106,IF(AND($S106&lt;&gt;"",EDATE($D106,Milestones!$AA$26)&gt;=$S106),$V106,IF(AND($R106&lt;&gt;"",EDATE($D106,Milestones!$AA$26)&gt;=$R106),$U106,$T106)))=Milestones!$AB$26),TEXT(EDATE($D106,Milestones!$AA$26),"dd/mm/yy")&amp;" "&amp;Milestones!$AB$26&amp;" "&amp;Milestones!$AC$26&amp;";  ","")&amp;IF(AND(EDATE($D106,Milestones!$AA$27)&lt;=AsOfDate,IF($Q106=0,$W106,IF(AND($S106&lt;&gt;"",EDATE($D106,Milestones!$AA$27)&gt;=$S106),$V106,IF(AND($R106&lt;&gt;"",EDATE($D106,Milestones!$AA$27)&gt;=$R106),$U106,$T106)))=Milestones!$AB$27),TEXT(EDATE($D106,Milestones!$AA$27),"dd/mm/yy")&amp;" "&amp;Milestones!$AB$27&amp;" "&amp;Milestones!$AC$27&amp;";  ","")&amp;IF(AND(EDATE($D106,Milestones!$AA$28)&lt;=AsOfDate,IF($Q106=0,$W106,IF(AND($S106&lt;&gt;"",EDATE($D106,Milestones!$AA$28)&gt;=$S106),$V106,IF(AND($R106&lt;&gt;"",EDATE($D106,Milestones!$AA$28)&gt;=$R106),$U106,$T106)))=Milestones!$AB$28),TEXT(EDATE($D106,Milestones!$AA$28),"dd/mm/yy")&amp;" "&amp;Milestones!$AB$28&amp;" "&amp;Milestones!$AC$28&amp;";  ","")&amp;IF(AND(EDATE($D106,Milestones!$AA$29)&lt;=AsOfDate,IF($Q106=0,$W106,IF(AND($S106&lt;&gt;"",EDATE($D106,Milestones!$AA$29)&gt;=$S106),$V106,IF(AND($R106&lt;&gt;"",EDATE($D106,Milestones!$AA$29)&gt;=$R106),$U106,$T106)))=Milestones!$AB$29),TEXT(EDATE($D106,Milestones!$AA$29),"dd/mm/yy")&amp;" "&amp;Milestones!$AB$29&amp;" "&amp;Milestones!$AC$29&amp;";  ","")&amp;IF(AND(EDATE($D106,Milestones!$AA$30)&lt;=AsOfDate,IF($Q106=0,$W106,IF(AND($S106&lt;&gt;"",EDATE($D106,Milestones!$AA$30)&gt;=$S106),$V106,IF(AND($R106&lt;&gt;"",EDATE($D106,Milestones!$AA$30)&gt;=$R106),$U106,$T106)))=Milestones!$AB$30),TEXT(EDATE($D106,Milestones!$AA$30),"dd/mm/yy")&amp;" "&amp;Milestones!$AB$30&amp;" "&amp;Milestones!$AC$30&amp;";  ","")&amp;IF(AND(EDATE($D106,Milestones!$AA$31)&lt;=AsOfDate,IF($Q106=0,$W106,IF(AND($S106&lt;&gt;"",EDATE($D106,Milestones!$AA$31)&gt;=$S106),$V106,IF(AND($R106&lt;&gt;"",EDATE($D106,Milestones!$AA$31)&gt;=$R106),$U106,$T106)))=Milestones!$AB$31),TEXT(EDATE($D106,Milestones!$AA$31),"dd/mm/yy")&amp;" "&amp;Milestones!$AB$31&amp;" "&amp;Milestones!$AC$31&amp;";  ","")&amp;IF(AND(EDATE($D106,Milestones!$AA$32)&lt;=AsOfDate,IF($Q106=0,$W106,IF(AND($S106&lt;&gt;"",EDATE($D106,Milestones!$AA$32)&gt;=$S106),$V106,IF(AND($R106&lt;&gt;"",EDATE($D106,Milestones!$AA$32)&gt;=$R106),$U106,$T106)))=Milestones!$AB$32),TEXT(EDATE($D106,Milestones!$AA$32),"dd/mm/yy")&amp;" "&amp;Milestones!$AB$32&amp;" "&amp;Milestones!$AC$32&amp;";  ","")&amp;IF(AND(EDATE($D106,Milestones!$AA$33)&lt;=AsOfDate,IF($Q106=0,$W106,IF(AND($S106&lt;&gt;"",EDATE($D106,Milestones!$AA$33)&gt;=$S106),$V106,IF(AND($R106&lt;&gt;"",EDATE($D106,Milestones!$AA$33)&gt;=$R106),$U106,$T106)))=Milestones!$AB$33),TEXT(EDATE($D106,Milestones!$AA$33),"dd/mm/yy")&amp;" "&amp;Milestones!$AB$33&amp;" "&amp;Milestones!$AC$33&amp;";  ","")&amp;IF(AND(EDATE($D106,Milestones!$AA$34)&lt;=AsOfDate,IF($Q106=0,$W106,IF(AND($S106&lt;&gt;"",EDATE($D106,Milestones!$AA$34)&gt;=$S106),$V106,IF(AND($R106&lt;&gt;"",EDATE($D106,Milestones!$AA$34)&gt;=$R106),$U106,$T106)))=Milestones!$AB$34),TEXT(EDATE($D106,Milestones!$AA$34),"dd/mm/yy")&amp;" "&amp;Milestones!$AB$34&amp;" "&amp;Milestones!$AC$34&amp;";  ","")&amp;IF(AND(EDATE($D106,Milestones!$AA$35)&lt;=AsOfDate,IF($Q106=0,$W106,IF(AND($S106&lt;&gt;"",EDATE($D106,Milestones!$AA$35)&gt;=$S106),$V106,IF(AND($R106&lt;&gt;"",EDATE($D106,Milestones!$AA$35)&gt;=$R106),$U106,$T106)))=Milestones!$AB$35),TEXT(EDATE($D106,Milestones!$AA$35),"dd/mm/yy")&amp;" "&amp;Milestones!$AB$35&amp;" "&amp;Milestones!$AC$35&amp;";  ","")&amp;IF(AND(EDATE($D106,Milestones!$AA$36)&lt;=AsOfDate,IF($Q106=0,$W106,IF(AND($S106&lt;&gt;"",EDATE($D106,Milestones!$AA$36)&gt;=$S106),$V106,IF(AND($R106&lt;&gt;"",EDATE($D106,Milestones!$AA$36)&gt;=$R106),$U106,$T106)))=Milestones!$AB$36),TEXT(EDATE($D106,Milestones!$AA$36),"dd/mm/yy")&amp;" "&amp;Milestones!$AB$36&amp;" "&amp;Milestones!$AC$36&amp;";  ","")&amp;IF(AND(EDATE($D106,Milestones!$AA$37)&lt;=AsOfDate,IF($Q106=0,$W106,IF(AND($S106&lt;&gt;"",EDATE($D106,Milestones!$AA$37)&gt;=$S106),$V106,IF(AND($R106&lt;&gt;"",EDATE($D106,Milestones!$AA$37)&gt;=$R106),$U106,$T106)))=Milestones!$AB$37),TEXT(EDATE($D106,Milestones!$AA$37),"dd/mm/yy")&amp;" "&amp;Milestones!$AB$37&amp;" "&amp;Milestones!$AC$37&amp;";  ","")&amp;IF(AND(EDATE($D106,Milestones!$AA$38)&lt;=AsOfDate,IF($Q106=0,$W106,IF(AND($S106&lt;&gt;"",EDATE($D106,Milestones!$AA$38)&gt;=$S106),$V106,IF(AND($R106&lt;&gt;"",EDATE($D106,Milestones!$AA$38)&gt;=$R106),$U106,$T106)))=Milestones!$AB$38),TEXT(EDATE($D106,Milestones!$AA$38),"dd/mm/yy")&amp;" "&amp;Milestones!$AB$38&amp;" "&amp;Milestones!$AC$38&amp;";  ","")&amp;IF(AND(EDATE($D106,Milestones!$AA$39)&lt;=AsOfDate,IF($Q106=0,$W106,IF(AND($S106&lt;&gt;"",EDATE($D106,Milestones!$AA$39)&gt;=$S106),$V106,IF(AND($R106&lt;&gt;"",EDATE($D106,Milestones!$AA$39)&gt;=$R106),$U106,$T106)))=Milestones!$AB$39),TEXT(EDATE($D106,Milestones!$AA$39),"dd/mm/yy")&amp;" "&amp;Milestones!$AB$39&amp;" "&amp;Milestones!$AC$39&amp;";  ",""))</f>
        <v/>
      </c>
      <c r="I106" s="0" t="str">
        <f aca="false">IF(OR($A106="",$D106=""),"",IF(AND(EDATE($D106,Milestones!$AA$40)&lt;=AsOfDate,IF($Q106=0,$W106,IF(AND($S106&lt;&gt;"",EDATE($D106,Milestones!$AA$40)&gt;=$S106),$V106,IF(AND($R106&lt;&gt;"",EDATE($D106,Milestones!$AA$40)&gt;=$R106),$U106,$T106)))=Milestones!$AB$40),TEXT(EDATE($D106,Milestones!$AA$40),"dd/mm/yy")&amp;" "&amp;Milestones!$AB$40&amp;" "&amp;Milestones!$AC$40&amp;";  ","")&amp;IF(AND(EDATE($D106,Milestones!$AA$41)&lt;=AsOfDate,IF($Q106=0,$W106,IF(AND($S106&lt;&gt;"",EDATE($D106,Milestones!$AA$41)&gt;=$S106),$V106,IF(AND($R106&lt;&gt;"",EDATE($D106,Milestones!$AA$41)&gt;=$R106),$U106,$T106)))=Milestones!$AB$41),TEXT(EDATE($D106,Milestones!$AA$41),"dd/mm/yy")&amp;" "&amp;Milestones!$AB$41&amp;" "&amp;Milestones!$AC$41&amp;";  ","")&amp;IF(AND(EDATE($D106,Milestones!$AA$42)&lt;=AsOfDate,IF($Q106=0,$W106,IF(AND($S106&lt;&gt;"",EDATE($D106,Milestones!$AA$42)&gt;=$S106),$V106,IF(AND($R106&lt;&gt;"",EDATE($D106,Milestones!$AA$42)&gt;=$R106),$U106,$T106)))=Milestones!$AB$42),TEXT(EDATE($D106,Milestones!$AA$42),"dd/mm/yy")&amp;" "&amp;Milestones!$AB$42&amp;" "&amp;Milestones!$AC$42&amp;";  ","")&amp;IF(AND(EDATE($D106,Milestones!$AA$43)&lt;=AsOfDate,IF($Q106=0,$W106,IF(AND($S106&lt;&gt;"",EDATE($D106,Milestones!$AA$43)&gt;=$S106),$V106,IF(AND($R106&lt;&gt;"",EDATE($D106,Milestones!$AA$43)&gt;=$R106),$U106,$T106)))=Milestones!$AB$43),TEXT(EDATE($D106,Milestones!$AA$43),"dd/mm/yy")&amp;" "&amp;Milestones!$AB$43&amp;" "&amp;Milestones!$AC$43&amp;";  ","")&amp;IF(AND(EDATE($D106,Milestones!$AA$44)&lt;=AsOfDate,IF($Q106=0,$W106,IF(AND($S106&lt;&gt;"",EDATE($D106,Milestones!$AA$44)&gt;=$S106),$V106,IF(AND($R106&lt;&gt;"",EDATE($D106,Milestones!$AA$44)&gt;=$R106),$U106,$T106)))=Milestones!$AB$44),TEXT(EDATE($D106,Milestones!$AA$44),"dd/mm/yy")&amp;" "&amp;Milestones!$AB$44&amp;" "&amp;Milestones!$AC$44&amp;";  ","")&amp;IF(AND(EDATE($D106,Milestones!$AA$45)&lt;=AsOfDate,IF($Q106=0,$W106,IF(AND($S106&lt;&gt;"",EDATE($D106,Milestones!$AA$45)&gt;=$S106),$V106,IF(AND($R106&lt;&gt;"",EDATE($D106,Milestones!$AA$45)&gt;=$R106),$U106,$T106)))=Milestones!$AB$45),TEXT(EDATE($D106,Milestones!$AA$45),"dd/mm/yy")&amp;" "&amp;Milestones!$AB$45&amp;" "&amp;Milestones!$AC$45&amp;";  ","")&amp;IF(AND(EDATE($D106,Milestones!$AA$46)&lt;=AsOfDate,IF($Q106=0,$W106,IF(AND($S106&lt;&gt;"",EDATE($D106,Milestones!$AA$46)&gt;=$S106),$V106,IF(AND($R106&lt;&gt;"",EDATE($D106,Milestones!$AA$46)&gt;=$R106),$U106,$T106)))=Milestones!$AB$46),TEXT(EDATE($D106,Milestones!$AA$46),"dd/mm/yy")&amp;" "&amp;Milestones!$AB$46&amp;" "&amp;Milestones!$AC$46&amp;";  ","")&amp;IF(AND(EDATE($D106,Milestones!$AA$47)&lt;=AsOfDate,IF($Q106=0,$W106,IF(AND($S106&lt;&gt;"",EDATE($D106,Milestones!$AA$47)&gt;=$S106),$V106,IF(AND($R106&lt;&gt;"",EDATE($D106,Milestones!$AA$47)&gt;=$R106),$U106,$T106)))=Milestones!$AB$47),TEXT(EDATE($D106,Milestones!$AA$47),"dd/mm/yy")&amp;" "&amp;Milestones!$AB$47&amp;" "&amp;Milestones!$AC$47&amp;";  ","")&amp;IF(AND(EDATE($D106,Milestones!$AA$48)&lt;=AsOfDate,IF($Q106=0,$W106,IF(AND($S106&lt;&gt;"",EDATE($D106,Milestones!$AA$48)&gt;=$S106),$V106,IF(AND($R106&lt;&gt;"",EDATE($D106,Milestones!$AA$48)&gt;=$R106),$U106,$T106)))=Milestones!$AB$48),TEXT(EDATE($D106,Milestones!$AA$48),"dd/mm/yy")&amp;" "&amp;Milestones!$AB$48&amp;" "&amp;Milestones!$AC$48&amp;";  ","")&amp;IF(AND(EDATE($D106,Milestones!$AA$49)&lt;=AsOfDate,IF($Q106=0,$W106,IF(AND($S106&lt;&gt;"",EDATE($D106,Milestones!$AA$49)&gt;=$S106),$V106,IF(AND($R106&lt;&gt;"",EDATE($D106,Milestones!$AA$49)&gt;=$R106),$U106,$T106)))=Milestones!$AB$49),TEXT(EDATE($D106,Milestones!$AA$49),"dd/mm/yy")&amp;" "&amp;Milestones!$AB$49&amp;" "&amp;Milestones!$AC$49&amp;";  ","")&amp;IF(AND(EDATE($D106,Milestones!$AA$50)&lt;=AsOfDate,IF($Q106=0,$W106,IF(AND($S106&lt;&gt;"",EDATE($D106,Milestones!$AA$50)&gt;=$S106),$V106,IF(AND($R106&lt;&gt;"",EDATE($D106,Milestones!$AA$50)&gt;=$R106),$U106,$T106)))=Milestones!$AB$50),TEXT(EDATE($D106,Milestones!$AA$50),"dd/mm/yy")&amp;" "&amp;Milestones!$AB$50&amp;" "&amp;Milestones!$AC$50&amp;";  ","")&amp;IF(AND(EDATE($D106,Milestones!$AA$51)&lt;=AsOfDate,IF($Q106=0,$W106,IF(AND($S106&lt;&gt;"",EDATE($D106,Milestones!$AA$51)&gt;=$S106),$V106,IF(AND($R106&lt;&gt;"",EDATE($D106,Milestones!$AA$51)&gt;=$R106),$U106,$T106)))=Milestones!$AB$51),TEXT(EDATE($D106,Milestones!$AA$51),"dd/mm/yy")&amp;" "&amp;Milestones!$AB$51&amp;" "&amp;Milestones!$AC$51&amp;";  ","")&amp;IF(AND(EDATE($D106,Milestones!$AA$52)&lt;=AsOfDate,IF($Q106=0,$W106,IF(AND($S106&lt;&gt;"",EDATE($D106,Milestones!$AA$52)&gt;=$S106),$V106,IF(AND($R106&lt;&gt;"",EDATE($D106,Milestones!$AA$52)&gt;=$R106),$U106,$T106)))=Milestones!$AB$52),TEXT(EDATE($D106,Milestones!$AA$52),"dd/mm/yy")&amp;" "&amp;Milestones!$AB$52&amp;" "&amp;Milestones!$AC$52&amp;";  ","")&amp;IF(AND(EDATE($D106,Milestones!$AA$53)&lt;=AsOfDate,IF($Q106=0,$W106,IF(AND($S106&lt;&gt;"",EDATE($D106,Milestones!$AA$53)&gt;=$S106),$V106,IF(AND($R106&lt;&gt;"",EDATE($D106,Milestones!$AA$53)&gt;=$R106),$U106,$T106)))=Milestones!$AB$53),TEXT(EDATE($D106,Milestones!$AA$53),"dd/mm/yy")&amp;" "&amp;Milestones!$AB$53&amp;" "&amp;Milestones!$AC$53&amp;";  ","")&amp;IF(AND(EDATE($D106,Milestones!$AA$54)&lt;=AsOfDate,IF($Q106=0,$W106,IF(AND($S106&lt;&gt;"",EDATE($D106,Milestones!$AA$54)&gt;=$S106),$V106,IF(AND($R106&lt;&gt;"",EDATE($D106,Milestones!$AA$54)&gt;=$R106),$U106,$T106)))=Milestones!$AB$54),TEXT(EDATE($D106,Milestones!$AA$54),"dd/mm/yy")&amp;" "&amp;Milestones!$AB$54&amp;" "&amp;Milestones!$AC$54&amp;";  ","")&amp;IF(AND(EDATE($D106,Milestones!$AA$55)&lt;=AsOfDate,IF($Q106=0,$W106,IF(AND($S106&lt;&gt;"",EDATE($D106,Milestones!$AA$55)&gt;=$S106),$V106,IF(AND($R106&lt;&gt;"",EDATE($D106,Milestones!$AA$55)&gt;=$R106),$U106,$T106)))=Milestones!$AB$55),TEXT(EDATE($D106,Milestones!$AA$55),"dd/mm/yy")&amp;" "&amp;Milestones!$AB$55&amp;" "&amp;Milestones!$AC$55&amp;";  ","")&amp;IF(AND(EDATE($D106,Milestones!$AA$56)&lt;=AsOfDate,IF($Q106=0,$W106,IF(AND($S106&lt;&gt;"",EDATE($D106,Milestones!$AA$56)&gt;=$S106),$V106,IF(AND($R106&lt;&gt;"",EDATE($D106,Milestones!$AA$56)&gt;=$R106),$U106,$T106)))=Milestones!$AB$56),TEXT(EDATE($D106,Milestones!$AA$56),"dd/mm/yy")&amp;" "&amp;Milestones!$AB$56&amp;" "&amp;Milestones!$AC$56&amp;";  ","")&amp;IF(AND(EDATE($D106,Milestones!$AA$57)&lt;=AsOfDate,IF($Q106=0,$W106,IF(AND($S106&lt;&gt;"",EDATE($D106,Milestones!$AA$57)&gt;=$S106),$V106,IF(AND($R106&lt;&gt;"",EDATE($D106,Milestones!$AA$57)&gt;=$R106),$U106,$T106)))=Milestones!$AB$57),TEXT(EDATE($D106,Milestones!$AA$57),"dd/mm/yy")&amp;" "&amp;Milestones!$AB$57&amp;" "&amp;Milestones!$AC$57&amp;";  ","")&amp;IF(AND(EDATE($D106,Milestones!$AA$58)&lt;=AsOfDate,IF($Q106=0,$W106,IF(AND($S106&lt;&gt;"",EDATE($D106,Milestones!$AA$58)&gt;=$S106),$V106,IF(AND($R106&lt;&gt;"",EDATE($D106,Milestones!$AA$58)&gt;=$R106),$U106,$T106)))=Milestones!$AB$58),TEXT(EDATE($D106,Milestones!$AA$58),"dd/mm/yy")&amp;" "&amp;Milestones!$AB$58&amp;" "&amp;Milestones!$AC$58&amp;";  ","")&amp;IF(AND(EDATE($D106,Milestones!$AA$59)&lt;=AsOfDate,IF($Q106=0,$W106,IF(AND($S106&lt;&gt;"",EDATE($D106,Milestones!$AA$59)&gt;=$S106),$V106,IF(AND($R106&lt;&gt;"",EDATE($D106,Milestones!$AA$59)&gt;=$R106),$U106,$T106)))=Milestones!$AB$59),TEXT(EDATE($D106,Milestones!$AA$59),"dd/mm/yy")&amp;" "&amp;Milestones!$AB$59&amp;" "&amp;Milestones!$AC$59&amp;";  ",""))</f>
        <v/>
      </c>
      <c r="J106" s="0" t="str">
        <f aca="false">IF(OR($A106="",$D106=""),"",IF(AND(EDATE($D106,Milestones!$AA$60)&lt;=AsOfDate,IF($Q106=0,$W106,IF(AND($S106&lt;&gt;"",EDATE($D106,Milestones!$AA$60)&gt;=$S106),$V106,IF(AND($R106&lt;&gt;"",EDATE($D106,Milestones!$AA$60)&gt;=$R106),$U106,$T106)))=Milestones!$AB$60),TEXT(EDATE($D106,Milestones!$AA$60),"dd/mm/yy")&amp;" "&amp;Milestones!$AB$60&amp;" "&amp;Milestones!$AC$60&amp;";  ","")&amp;IF(AND(EDATE($D106,Milestones!$AA$61)&lt;=AsOfDate,IF($Q106=0,$W106,IF(AND($S106&lt;&gt;"",EDATE($D106,Milestones!$AA$61)&gt;=$S106),$V106,IF(AND($R106&lt;&gt;"",EDATE($D106,Milestones!$AA$61)&gt;=$R106),$U106,$T106)))=Milestones!$AB$61),TEXT(EDATE($D106,Milestones!$AA$61),"dd/mm/yy")&amp;" "&amp;Milestones!$AB$61&amp;" "&amp;Milestones!$AC$61&amp;";  ","")&amp;IF(AND(EDATE($D106,Milestones!$AA$62)&lt;=AsOfDate,IF($Q106=0,$W106,IF(AND($S106&lt;&gt;"",EDATE($D106,Milestones!$AA$62)&gt;=$S106),$V106,IF(AND($R106&lt;&gt;"",EDATE($D106,Milestones!$AA$62)&gt;=$R106),$U106,$T106)))=Milestones!$AB$62),TEXT(EDATE($D106,Milestones!$AA$62),"dd/mm/yy")&amp;" "&amp;Milestones!$AB$62&amp;" "&amp;Milestones!$AC$62&amp;";  ","")&amp;IF(AND(EDATE($D106,Milestones!$AA$63)&lt;=AsOfDate,IF($Q106=0,$W106,IF(AND($S106&lt;&gt;"",EDATE($D106,Milestones!$AA$63)&gt;=$S106),$V106,IF(AND($R106&lt;&gt;"",EDATE($D106,Milestones!$AA$63)&gt;=$R106),$U106,$T106)))=Milestones!$AB$63),TEXT(EDATE($D106,Milestones!$AA$63),"dd/mm/yy")&amp;" "&amp;Milestones!$AB$63&amp;" "&amp;Milestones!$AC$63&amp;";  ","")&amp;IF(AND(EDATE($D106,Milestones!$AA$64)&lt;=AsOfDate,IF($Q106=0,$W106,IF(AND($S106&lt;&gt;"",EDATE($D106,Milestones!$AA$64)&gt;=$S106),$V106,IF(AND($R106&lt;&gt;"",EDATE($D106,Milestones!$AA$64)&gt;=$R106),$U106,$T106)))=Milestones!$AB$64),TEXT(EDATE($D106,Milestones!$AA$64),"dd/mm/yy")&amp;" "&amp;Milestones!$AB$64&amp;" "&amp;Milestones!$AC$64&amp;";  ","")&amp;IF(AND(EDATE($D106,Milestones!$AA$65)&lt;=AsOfDate,IF($Q106=0,$W106,IF(AND($S106&lt;&gt;"",EDATE($D106,Milestones!$AA$65)&gt;=$S106),$V106,IF(AND($R106&lt;&gt;"",EDATE($D106,Milestones!$AA$65)&gt;=$R106),$U106,$T106)))=Milestones!$AB$65),TEXT(EDATE($D106,Milestones!$AA$65),"dd/mm/yy")&amp;" "&amp;Milestones!$AB$65&amp;" "&amp;Milestones!$AC$65&amp;";  ","")&amp;IF(AND(EDATE($D106,Milestones!$AA$66)&lt;=AsOfDate,IF($Q106=0,$W106,IF(AND($S106&lt;&gt;"",EDATE($D106,Milestones!$AA$66)&gt;=$S106),$V106,IF(AND($R106&lt;&gt;"",EDATE($D106,Milestones!$AA$66)&gt;=$R106),$U106,$T106)))=Milestones!$AB$66),TEXT(EDATE($D106,Milestones!$AA$66),"dd/mm/yy")&amp;" "&amp;Milestones!$AB$66&amp;" "&amp;Milestones!$AC$66&amp;";  ","")&amp;IF(AND(EDATE($D106,Milestones!$AA$67)&lt;=AsOfDate,IF($Q106=0,$W106,IF(AND($S106&lt;&gt;"",EDATE($D106,Milestones!$AA$67)&gt;=$S106),$V106,IF(AND($R106&lt;&gt;"",EDATE($D106,Milestones!$AA$67)&gt;=$R106),$U106,$T106)))=Milestones!$AB$67),TEXT(EDATE($D106,Milestones!$AA$67),"dd/mm/yy")&amp;" "&amp;Milestones!$AB$67&amp;" "&amp;Milestones!$AC$67&amp;";  ","")&amp;IF(AND(EDATE($D106,Milestones!$AA$68)&lt;=AsOfDate,IF($Q106=0,$W106,IF(AND($S106&lt;&gt;"",EDATE($D106,Milestones!$AA$68)&gt;=$S106),$V106,IF(AND($R106&lt;&gt;"",EDATE($D106,Milestones!$AA$68)&gt;=$R106),$U106,$T106)))=Milestones!$AB$68),TEXT(EDATE($D106,Milestones!$AA$68),"dd/mm/yy")&amp;" "&amp;Milestones!$AB$68&amp;" "&amp;Milestones!$AC$68&amp;";  ","")&amp;IF(AND(EDATE($D106,Milestones!$AA$69)&lt;=AsOfDate,IF($Q106=0,$W106,IF(AND($S106&lt;&gt;"",EDATE($D106,Milestones!$AA$69)&gt;=$S106),$V106,IF(AND($R106&lt;&gt;"",EDATE($D106,Milestones!$AA$69)&gt;=$R106),$U106,$T106)))=Milestones!$AB$69),TEXT(EDATE($D106,Milestones!$AA$69),"dd/mm/yy")&amp;" "&amp;Milestones!$AB$69&amp;" "&amp;Milestones!$AC$69&amp;";  ","")&amp;IF(AND(EDATE($D106,Milestones!$AA$70)&lt;=AsOfDate,IF($Q106=0,$W106,IF(AND($S106&lt;&gt;"",EDATE($D106,Milestones!$AA$70)&gt;=$S106),$V106,IF(AND($R106&lt;&gt;"",EDATE($D106,Milestones!$AA$70)&gt;=$R106),$U106,$T106)))=Milestones!$AB$70),TEXT(EDATE($D106,Milestones!$AA$70),"dd/mm/yy")&amp;" "&amp;Milestones!$AB$70&amp;" "&amp;Milestones!$AC$70&amp;";  ","")&amp;IF(AND(EDATE($D106,Milestones!$AA$71)&lt;=AsOfDate,IF($Q106=0,$W106,IF(AND($S106&lt;&gt;"",EDATE($D106,Milestones!$AA$71)&gt;=$S106),$V106,IF(AND($R106&lt;&gt;"",EDATE($D106,Milestones!$AA$71)&gt;=$R106),$U106,$T106)))=Milestones!$AB$71),TEXT(EDATE($D106,Milestones!$AA$71),"dd/mm/yy")&amp;" "&amp;Milestones!$AB$71&amp;" "&amp;Milestones!$AC$71&amp;";  ","")&amp;IF(AND(EDATE($D106,Milestones!$AA$72)&lt;=AsOfDate,IF($Q106=0,$W106,IF(AND($S106&lt;&gt;"",EDATE($D106,Milestones!$AA$72)&gt;=$S106),$V106,IF(AND($R106&lt;&gt;"",EDATE($D106,Milestones!$AA$72)&gt;=$R106),$U106,$T106)))=Milestones!$AB$72),TEXT(EDATE($D106,Milestones!$AA$72),"dd/mm/yy")&amp;" "&amp;Milestones!$AB$72&amp;" "&amp;Milestones!$AC$72&amp;";  ","")&amp;IF(AND(EDATE($D106,Milestones!$AA$73)&lt;=AsOfDate,IF($Q106=0,$W106,IF(AND($S106&lt;&gt;"",EDATE($D106,Milestones!$AA$73)&gt;=$S106),$V106,IF(AND($R106&lt;&gt;"",EDATE($D106,Milestones!$AA$73)&gt;=$R106),$U106,$T106)))=Milestones!$AB$73),TEXT(EDATE($D106,Milestones!$AA$73),"dd/mm/yy")&amp;" "&amp;Milestones!$AB$73&amp;" "&amp;Milestones!$AC$73&amp;";  ","")&amp;IF(AND(EDATE($D106,Milestones!$AA$74)&lt;=AsOfDate,IF($Q106=0,$W106,IF(AND($S106&lt;&gt;"",EDATE($D106,Milestones!$AA$74)&gt;=$S106),$V106,IF(AND($R106&lt;&gt;"",EDATE($D106,Milestones!$AA$74)&gt;=$R106),$U106,$T106)))=Milestones!$AB$74),TEXT(EDATE($D106,Milestones!$AA$74),"dd/mm/yy")&amp;" "&amp;Milestones!$AB$74&amp;" "&amp;Milestones!$AC$74&amp;";  ","")&amp;IF(AND(EDATE($D106,Milestones!$AA$75)&lt;=AsOfDate,IF($Q106=0,$W106,IF(AND($S106&lt;&gt;"",EDATE($D106,Milestones!$AA$75)&gt;=$S106),$V106,IF(AND($R106&lt;&gt;"",EDATE($D106,Milestones!$AA$75)&gt;=$R106),$U106,$T106)))=Milestones!$AB$75),TEXT(EDATE($D106,Milestones!$AA$75),"dd/mm/yy")&amp;" "&amp;Milestones!$AB$75&amp;" "&amp;Milestones!$AC$75&amp;";  ","")&amp;IF(AND(EDATE($D106,Milestones!$AA$76)&lt;=AsOfDate,IF($Q106=0,$W106,IF(AND($S106&lt;&gt;"",EDATE($D106,Milestones!$AA$76)&gt;=$S106),$V106,IF(AND($R106&lt;&gt;"",EDATE($D106,Milestones!$AA$76)&gt;=$R106),$U106,$T106)))=Milestones!$AB$76),TEXT(EDATE($D106,Milestones!$AA$76),"dd/mm/yy")&amp;" "&amp;Milestones!$AB$76&amp;" "&amp;Milestones!$AC$76&amp;";  ","")&amp;IF(AND(EDATE($D106,Milestones!$AA$77)&lt;=AsOfDate,IF($Q106=0,$W106,IF(AND($S106&lt;&gt;"",EDATE($D106,Milestones!$AA$77)&gt;=$S106),$V106,IF(AND($R106&lt;&gt;"",EDATE($D106,Milestones!$AA$77)&gt;=$R106),$U106,$T106)))=Milestones!$AB$77),TEXT(EDATE($D106,Milestones!$AA$77),"dd/mm/yy")&amp;" "&amp;Milestones!$AB$77&amp;" "&amp;Milestones!$AC$77&amp;";  ","")&amp;IF(AND(EDATE($D106,Milestones!$AA$78)&lt;=AsOfDate,IF($Q106=0,$W106,IF(AND($S106&lt;&gt;"",EDATE($D106,Milestones!$AA$78)&gt;=$S106),$V106,IF(AND($R106&lt;&gt;"",EDATE($D106,Milestones!$AA$78)&gt;=$R106),$U106,$T106)))=Milestones!$AB$78),TEXT(EDATE($D106,Milestones!$AA$78),"dd/mm/yy")&amp;" "&amp;Milestones!$AB$78&amp;" "&amp;Milestones!$AC$78&amp;";  ","")&amp;IF(AND(EDATE($D106,Milestones!$AA$79)&lt;=AsOfDate,IF($Q106=0,$W106,IF(AND($S106&lt;&gt;"",EDATE($D106,Milestones!$AA$79)&gt;=$S106),$V106,IF(AND($R106&lt;&gt;"",EDATE($D106,Milestones!$AA$79)&gt;=$R106),$U106,$T106)))=Milestones!$AB$79),TEXT(EDATE($D106,Milestones!$AA$79),"dd/mm/yy")&amp;" "&amp;Milestones!$AB$79&amp;" "&amp;Milestones!$AC$79&amp;";  ",""))</f>
        <v/>
      </c>
      <c r="K106" s="0" t="str">
        <f aca="false">IF(OR($A106="",$D106=""),"",IF(AND(EDATE($D106,Milestones!$AA$80)&lt;=AsOfDate,IF($Q106=0,$W106,IF(AND($S106&lt;&gt;"",EDATE($D106,Milestones!$AA$80)&gt;=$S106),$V106,IF(AND($R106&lt;&gt;"",EDATE($D106,Milestones!$AA$80)&gt;=$R106),$U106,$T106)))=Milestones!$AB$80),TEXT(EDATE($D106,Milestones!$AA$80),"dd/mm/yy")&amp;" "&amp;Milestones!$AB$80&amp;" "&amp;Milestones!$AC$80&amp;";  ","")&amp;IF(AND(EDATE($D106,Milestones!$AA$81)&lt;=AsOfDate,IF($Q106=0,$W106,IF(AND($S106&lt;&gt;"",EDATE($D106,Milestones!$AA$81)&gt;=$S106),$V106,IF(AND($R106&lt;&gt;"",EDATE($D106,Milestones!$AA$81)&gt;=$R106),$U106,$T106)))=Milestones!$AB$81),TEXT(EDATE($D106,Milestones!$AA$81),"dd/mm/yy")&amp;" "&amp;Milestones!$AB$81&amp;" "&amp;Milestones!$AC$81&amp;";  ","")&amp;IF(AND(EDATE($D106,Milestones!$AA$82)&lt;=AsOfDate,IF($Q106=0,$W106,IF(AND($S106&lt;&gt;"",EDATE($D106,Milestones!$AA$82)&gt;=$S106),$V106,IF(AND($R106&lt;&gt;"",EDATE($D106,Milestones!$AA$82)&gt;=$R106),$U106,$T106)))=Milestones!$AB$82),TEXT(EDATE($D106,Milestones!$AA$82),"dd/mm/yy")&amp;" "&amp;Milestones!$AB$82&amp;" "&amp;Milestones!$AC$82&amp;";  ","")&amp;IF(AND(EDATE($D106,Milestones!$AA$83)&lt;=AsOfDate,IF($Q106=0,$W106,IF(AND($S106&lt;&gt;"",EDATE($D106,Milestones!$AA$83)&gt;=$S106),$V106,IF(AND($R106&lt;&gt;"",EDATE($D106,Milestones!$AA$83)&gt;=$R106),$U106,$T106)))=Milestones!$AB$83),TEXT(EDATE($D106,Milestones!$AA$83),"dd/mm/yy")&amp;" "&amp;Milestones!$AB$83&amp;" "&amp;Milestones!$AC$83&amp;";  ","")&amp;IF(AND(EDATE($D106,Milestones!$AA$84)&lt;=AsOfDate,IF($Q106=0,$W106,IF(AND($S106&lt;&gt;"",EDATE($D106,Milestones!$AA$84)&gt;=$S106),$V106,IF(AND($R106&lt;&gt;"",EDATE($D106,Milestones!$AA$84)&gt;=$R106),$U106,$T106)))=Milestones!$AB$84),TEXT(EDATE($D106,Milestones!$AA$84),"dd/mm/yy")&amp;" "&amp;Milestones!$AB$84&amp;" "&amp;Milestones!$AC$84&amp;";  ","")&amp;IF(AND(EDATE($D106,Milestones!$AA$85)&lt;=AsOfDate,IF($Q106=0,$W106,IF(AND($S106&lt;&gt;"",EDATE($D106,Milestones!$AA$85)&gt;=$S106),$V106,IF(AND($R106&lt;&gt;"",EDATE($D106,Milestones!$AA$85)&gt;=$R106),$U106,$T106)))=Milestones!$AB$85),TEXT(EDATE($D106,Milestones!$AA$85),"dd/mm/yy")&amp;" "&amp;Milestones!$AB$85&amp;" "&amp;Milestones!$AC$85&amp;";  ","")&amp;IF(AND(EDATE($D106,Milestones!$AA$86)&lt;=AsOfDate,IF($Q106=0,$W106,IF(AND($S106&lt;&gt;"",EDATE($D106,Milestones!$AA$86)&gt;=$S106),$V106,IF(AND($R106&lt;&gt;"",EDATE($D106,Milestones!$AA$86)&gt;=$R106),$U106,$T106)))=Milestones!$AB$86),TEXT(EDATE($D106,Milestones!$AA$86),"dd/mm/yy")&amp;" "&amp;Milestones!$AB$86&amp;" "&amp;Milestones!$AC$86&amp;";  ","")&amp;IF(AND(EDATE($D106,Milestones!$AA$87)&lt;=AsOfDate,IF($Q106=0,$W106,IF(AND($S106&lt;&gt;"",EDATE($D106,Milestones!$AA$87)&gt;=$S106),$V106,IF(AND($R106&lt;&gt;"",EDATE($D106,Milestones!$AA$87)&gt;=$R106),$U106,$T106)))=Milestones!$AB$87),TEXT(EDATE($D106,Milestones!$AA$87),"dd/mm/yy")&amp;" "&amp;Milestones!$AB$87&amp;" "&amp;Milestones!$AC$87&amp;";  ","")&amp;IF(AND(EDATE($D106,Milestones!$AA$88)&lt;=AsOfDate,IF($Q106=0,$W106,IF(AND($S106&lt;&gt;"",EDATE($D106,Milestones!$AA$88)&gt;=$S106),$V106,IF(AND($R106&lt;&gt;"",EDATE($D106,Milestones!$AA$88)&gt;=$R106),$U106,$T106)))=Milestones!$AB$88),TEXT(EDATE($D106,Milestones!$AA$88),"dd/mm/yy")&amp;" "&amp;Milestones!$AB$88&amp;" "&amp;Milestones!$AC$88&amp;";  ","")&amp;IF(AND(EDATE($D106,Milestones!$AA$89)&lt;=AsOfDate,IF($Q106=0,$W106,IF(AND($S106&lt;&gt;"",EDATE($D106,Milestones!$AA$89)&gt;=$S106),$V106,IF(AND($R106&lt;&gt;"",EDATE($D106,Milestones!$AA$89)&gt;=$R106),$U106,$T106)))=Milestones!$AB$89),TEXT(EDATE($D106,Milestones!$AA$89),"dd/mm/yy")&amp;" "&amp;Milestones!$AB$89&amp;" "&amp;Milestones!$AC$89&amp;";  ","")&amp;IF(AND(EDATE($D106,Milestones!$AA$90)&lt;=AsOfDate,IF($Q106=0,$W106,IF(AND($S106&lt;&gt;"",EDATE($D106,Milestones!$AA$90)&gt;=$S106),$V106,IF(AND($R106&lt;&gt;"",EDATE($D106,Milestones!$AA$90)&gt;=$R106),$U106,$T106)))=Milestones!$AB$90),TEXT(EDATE($D106,Milestones!$AA$90),"dd/mm/yy")&amp;" "&amp;Milestones!$AB$90&amp;" "&amp;Milestones!$AC$90&amp;";  ","")&amp;IF(AND(EDATE($D106,Milestones!$AA$91)&lt;=AsOfDate,IF($Q106=0,$W106,IF(AND($S106&lt;&gt;"",EDATE($D106,Milestones!$AA$91)&gt;=$S106),$V106,IF(AND($R106&lt;&gt;"",EDATE($D106,Milestones!$AA$91)&gt;=$R106),$U106,$T106)))=Milestones!$AB$91),TEXT(EDATE($D106,Milestones!$AA$91),"dd/mm/yy")&amp;" "&amp;Milestones!$AB$91&amp;" "&amp;Milestones!$AC$91&amp;";  ","")&amp;IF(AND(EDATE($D106,Milestones!$AA$92)&lt;=AsOfDate,IF($Q106=0,$W106,IF(AND($S106&lt;&gt;"",EDATE($D106,Milestones!$AA$92)&gt;=$S106),$V106,IF(AND($R106&lt;&gt;"",EDATE($D106,Milestones!$AA$92)&gt;=$R106),$U106,$T106)))=Milestones!$AB$92),TEXT(EDATE($D106,Milestones!$AA$92),"dd/mm/yy")&amp;" "&amp;Milestones!$AB$92&amp;" "&amp;Milestones!$AC$92&amp;";  ","")&amp;IF(AND(EDATE($D106,Milestones!$AA$93)&lt;=AsOfDate,IF($Q106=0,$W106,IF(AND($S106&lt;&gt;"",EDATE($D106,Milestones!$AA$93)&gt;=$S106),$V106,IF(AND($R106&lt;&gt;"",EDATE($D106,Milestones!$AA$93)&gt;=$R106),$U106,$T106)))=Milestones!$AB$93),TEXT(EDATE($D106,Milestones!$AA$93),"dd/mm/yy")&amp;" "&amp;Milestones!$AB$93&amp;" "&amp;Milestones!$AC$93&amp;";  ","")&amp;IF(AND(EDATE($D106,Milestones!$AA$94)&lt;=AsOfDate,IF($Q106=0,$W106,IF(AND($S106&lt;&gt;"",EDATE($D106,Milestones!$AA$94)&gt;=$S106),$V106,IF(AND($R106&lt;&gt;"",EDATE($D106,Milestones!$AA$94)&gt;=$R106),$U106,$T106)))=Milestones!$AB$94),TEXT(EDATE($D106,Milestones!$AA$94),"dd/mm/yy")&amp;" "&amp;Milestones!$AB$94&amp;" "&amp;Milestones!$AC$94&amp;";  ","")&amp;IF(AND(EDATE($D106,Milestones!$AA$95)&lt;=AsOfDate,IF($Q106=0,$W106,IF(AND($S106&lt;&gt;"",EDATE($D106,Milestones!$AA$95)&gt;=$S106),$V106,IF(AND($R106&lt;&gt;"",EDATE($D106,Milestones!$AA$95)&gt;=$R106),$U106,$T106)))=Milestones!$AB$95),TEXT(EDATE($D106,Milestones!$AA$95),"dd/mm/yy")&amp;" "&amp;Milestones!$AB$95&amp;" "&amp;Milestones!$AC$95&amp;";  ","")&amp;IF(AND(EDATE($D106,Milestones!$AA$96)&lt;=AsOfDate,IF($Q106=0,$W106,IF(AND($S106&lt;&gt;"",EDATE($D106,Milestones!$AA$96)&gt;=$S106),$V106,IF(AND($R106&lt;&gt;"",EDATE($D106,Milestones!$AA$96)&gt;=$R106),$U106,$T106)))=Milestones!$AB$96),TEXT(EDATE($D106,Milestones!$AA$96),"dd/mm/yy")&amp;" "&amp;Milestones!$AB$96&amp;" "&amp;Milestones!$AC$96&amp;";  ","")&amp;IF(AND(EDATE($D106,Milestones!$AA$97)&lt;=AsOfDate,IF($Q106=0,$W106,IF(AND($S106&lt;&gt;"",EDATE($D106,Milestones!$AA$97)&gt;=$S106),$V106,IF(AND($R106&lt;&gt;"",EDATE($D106,Milestones!$AA$97)&gt;=$R106),$U106,$T106)))=Milestones!$AB$97),TEXT(EDATE($D106,Milestones!$AA$97),"dd/mm/yy")&amp;" "&amp;Milestones!$AB$97&amp;" "&amp;Milestones!$AC$97&amp;";  ","")&amp;IF(AND(EDATE($D106,Milestones!$AA$98)&lt;=AsOfDate,IF($Q106=0,$W106,IF(AND($S106&lt;&gt;"",EDATE($D106,Milestones!$AA$98)&gt;=$S106),$V106,IF(AND($R106&lt;&gt;"",EDATE($D106,Milestones!$AA$98)&gt;=$R106),$U106,$T106)))=Milestones!$AB$98),TEXT(EDATE($D106,Milestones!$AA$98),"dd/mm/yy")&amp;" "&amp;Milestones!$AB$98&amp;" "&amp;Milestones!$AC$98&amp;";  ","")&amp;IF(AND(EDATE($D106,Milestones!$AA$99)&lt;=AsOfDate,IF($Q106=0,$W106,IF(AND($S106&lt;&gt;"",EDATE($D106,Milestones!$AA$99)&gt;=$S106),$V106,IF(AND($R106&lt;&gt;"",EDATE($D106,Milestones!$AA$99)&gt;=$R106),$U106,$T106)))=Milestones!$AB$99),TEXT(EDATE($D106,Milestones!$AA$99),"dd/mm/yy")&amp;" "&amp;Milestones!$AB$99&amp;" "&amp;Milestones!$AC$99&amp;";  ",""))</f>
        <v/>
      </c>
      <c r="L106" s="0" t="str">
        <f aca="false">IF(OR($A106="",$D106=""),"",IF(AND(EDATE($D106,Milestones!$AA$100)&lt;=AsOfDate,IF($Q106=0,$W106,IF(AND($S106&lt;&gt;"",EDATE($D106,Milestones!$AA$100)&gt;=$S106),$V106,IF(AND($R106&lt;&gt;"",EDATE($D106,Milestones!$AA$100)&gt;=$R106),$U106,$T106)))=Milestones!$AB$100),TEXT(EDATE($D106,Milestones!$AA$100),"dd/mm/yy")&amp;" "&amp;Milestones!$AB$100&amp;" "&amp;Milestones!$AC$100&amp;";  ","")&amp;IF(AND(EDATE($D106,Milestones!$AA$101)&lt;=AsOfDate,IF($Q106=0,$W106,IF(AND($S106&lt;&gt;"",EDATE($D106,Milestones!$AA$101)&gt;=$S106),$V106,IF(AND($R106&lt;&gt;"",EDATE($D106,Milestones!$AA$101)&gt;=$R106),$U106,$T106)))=Milestones!$AB$101),TEXT(EDATE($D106,Milestones!$AA$101),"dd/mm/yy")&amp;" "&amp;Milestones!$AB$101&amp;" "&amp;Milestones!$AC$101&amp;";  ","")&amp;IF(AND(EDATE($D106,Milestones!$AA$102)&lt;=AsOfDate,IF($Q106=0,$W106,IF(AND($S106&lt;&gt;"",EDATE($D106,Milestones!$AA$102)&gt;=$S106),$V106,IF(AND($R106&lt;&gt;"",EDATE($D106,Milestones!$AA$102)&gt;=$R106),$U106,$T106)))=Milestones!$AB$102),TEXT(EDATE($D106,Milestones!$AA$102),"dd/mm/yy")&amp;" "&amp;Milestones!$AB$102&amp;" "&amp;Milestones!$AC$102&amp;";  ","")&amp;IF(AND(EDATE($D106,Milestones!$AA$103)&lt;=AsOfDate,IF($Q106=0,$W106,IF(AND($S106&lt;&gt;"",EDATE($D106,Milestones!$AA$103)&gt;=$S106),$V106,IF(AND($R106&lt;&gt;"",EDATE($D106,Milestones!$AA$103)&gt;=$R106),$U106,$T106)))=Milestones!$AB$103),TEXT(EDATE($D106,Milestones!$AA$103),"dd/mm/yy")&amp;" "&amp;Milestones!$AB$103&amp;" "&amp;Milestones!$AC$103&amp;";  ","")&amp;IF(AND(EDATE($D106,Milestones!$AA$104)&lt;=AsOfDate,IF($Q106=0,$W106,IF(AND($S106&lt;&gt;"",EDATE($D106,Milestones!$AA$104)&gt;=$S106),$V106,IF(AND($R106&lt;&gt;"",EDATE($D106,Milestones!$AA$104)&gt;=$R106),$U106,$T106)))=Milestones!$AB$104),TEXT(EDATE($D106,Milestones!$AA$104),"dd/mm/yy")&amp;" "&amp;Milestones!$AB$104&amp;" "&amp;Milestones!$AC$104&amp;";  ","")&amp;IF(AND(EDATE($D106,Milestones!$AA$105)&lt;=AsOfDate,IF($Q106=0,$W106,IF(AND($S106&lt;&gt;"",EDATE($D106,Milestones!$AA$105)&gt;=$S106),$V106,IF(AND($R106&lt;&gt;"",EDATE($D106,Milestones!$AA$105)&gt;=$R106),$U106,$T106)))=Milestones!$AB$105),TEXT(EDATE($D106,Milestones!$AA$105),"dd/mm/yy")&amp;" "&amp;Milestones!$AB$105&amp;" "&amp;Milestones!$AC$105&amp;";  ","")&amp;IF(AND(EDATE($D106,Milestones!$AA$106)&lt;=AsOfDate,IF($Q106=0,$W106,IF(AND($S106&lt;&gt;"",EDATE($D106,Milestones!$AA$106)&gt;=$S106),$V106,IF(AND($R106&lt;&gt;"",EDATE($D106,Milestones!$AA$106)&gt;=$R106),$U106,$T106)))=Milestones!$AB$106),TEXT(EDATE($D106,Milestones!$AA$106),"dd/mm/yy")&amp;" "&amp;Milestones!$AB$106&amp;" "&amp;Milestones!$AC$106&amp;";  ","")&amp;IF(AND(EDATE($D106,Milestones!$AA$107)&lt;=AsOfDate,IF($Q106=0,$W106,IF(AND($S106&lt;&gt;"",EDATE($D106,Milestones!$AA$107)&gt;=$S106),$V106,IF(AND($R106&lt;&gt;"",EDATE($D106,Milestones!$AA$107)&gt;=$R106),$U106,$T106)))=Milestones!$AB$107),TEXT(EDATE($D106,Milestones!$AA$107),"dd/mm/yy")&amp;" "&amp;Milestones!$AB$107&amp;" "&amp;Milestones!$AC$107&amp;";  ","")&amp;IF(AND(EDATE($D106,Milestones!$AA$108)&lt;=AsOfDate,IF($Q106=0,$W106,IF(AND($S106&lt;&gt;"",EDATE($D106,Milestones!$AA$108)&gt;=$S106),$V106,IF(AND($R106&lt;&gt;"",EDATE($D106,Milestones!$AA$108)&gt;=$R106),$U106,$T106)))=Milestones!$AB$108),TEXT(EDATE($D106,Milestones!$AA$108),"dd/mm/yy")&amp;" "&amp;Milestones!$AB$108&amp;" "&amp;Milestones!$AC$108&amp;";  ","")&amp;IF(AND(EDATE($D106,Milestones!$AA$109)&lt;=AsOfDate,IF($Q106=0,$W106,IF(AND($S106&lt;&gt;"",EDATE($D106,Milestones!$AA$109)&gt;=$S106),$V106,IF(AND($R106&lt;&gt;"",EDATE($D106,Milestones!$AA$109)&gt;=$R106),$U106,$T106)))=Milestones!$AB$109),TEXT(EDATE($D106,Milestones!$AA$109),"dd/mm/yy")&amp;" "&amp;Milestones!$AB$109&amp;" "&amp;Milestones!$AC$109&amp;";  ","")&amp;IF(AND(EDATE($D106,Milestones!$AA$110)&lt;=AsOfDate,IF($Q106=0,$W106,IF(AND($S106&lt;&gt;"",EDATE($D106,Milestones!$AA$110)&gt;=$S106),$V106,IF(AND($R106&lt;&gt;"",EDATE($D106,Milestones!$AA$110)&gt;=$R106),$U106,$T106)))=Milestones!$AB$110),TEXT(EDATE($D106,Milestones!$AA$110),"dd/mm/yy")&amp;" "&amp;Milestones!$AB$110&amp;" "&amp;Milestones!$AC$110&amp;";  ","")&amp;IF(AND(EDATE($D106,Milestones!$AA$111)&lt;=AsOfDate,IF($Q106=0,$W106,IF(AND($S106&lt;&gt;"",EDATE($D106,Milestones!$AA$111)&gt;=$S106),$V106,IF(AND($R106&lt;&gt;"",EDATE($D106,Milestones!$AA$111)&gt;=$R106),$U106,$T106)))=Milestones!$AB$111),TEXT(EDATE($D106,Milestones!$AA$111),"dd/mm/yy")&amp;" "&amp;Milestones!$AB$111&amp;" "&amp;Milestones!$AC$111&amp;";  ","")&amp;IF(AND(EDATE($D106,Milestones!$AA$112)&lt;=AsOfDate,IF($Q106=0,$W106,IF(AND($S106&lt;&gt;"",EDATE($D106,Milestones!$AA$112)&gt;=$S106),$V106,IF(AND($R106&lt;&gt;"",EDATE($D106,Milestones!$AA$112)&gt;=$R106),$U106,$T106)))=Milestones!$AB$112),TEXT(EDATE($D106,Milestones!$AA$112),"dd/mm/yy")&amp;" "&amp;Milestones!$AB$112&amp;" "&amp;Milestones!$AC$112&amp;";  ","")&amp;IF(AND(EDATE($D106,Milestones!$AA$113)&lt;=AsOfDate,IF($Q106=0,$W106,IF(AND($S106&lt;&gt;"",EDATE($D106,Milestones!$AA$113)&gt;=$S106),$V106,IF(AND($R106&lt;&gt;"",EDATE($D106,Milestones!$AA$113)&gt;=$R106),$U106,$T106)))=Milestones!$AB$113),TEXT(EDATE($D106,Milestones!$AA$113),"dd/mm/yy")&amp;" "&amp;Milestones!$AB$113&amp;" "&amp;Milestones!$AC$113&amp;";  ","")&amp;IF(AND(EDATE($D106,Milestones!$AA$114)&lt;=AsOfDate,IF($Q106=0,$W106,IF(AND($S106&lt;&gt;"",EDATE($D106,Milestones!$AA$114)&gt;=$S106),$V106,IF(AND($R106&lt;&gt;"",EDATE($D106,Milestones!$AA$114)&gt;=$R106),$U106,$T106)))=Milestones!$AB$114),TEXT(EDATE($D106,Milestones!$AA$114),"dd/mm/yy")&amp;" "&amp;Milestones!$AB$114&amp;" "&amp;Milestones!$AC$114&amp;";  ","")&amp;IF(AND(EDATE($D106,Milestones!$AA$115)&lt;=AsOfDate,IF($Q106=0,$W106,IF(AND($S106&lt;&gt;"",EDATE($D106,Milestones!$AA$115)&gt;=$S106),$V106,IF(AND($R106&lt;&gt;"",EDATE($D106,Milestones!$AA$115)&gt;=$R106),$U106,$T106)))=Milestones!$AB$115),TEXT(EDATE($D106,Milestones!$AA$115),"dd/mm/yy")&amp;" "&amp;Milestones!$AB$115&amp;" "&amp;Milestones!$AC$115&amp;";  ","")&amp;IF(AND(EDATE($D106,Milestones!$AA$116)&lt;=AsOfDate,IF($Q106=0,$W106,IF(AND($S106&lt;&gt;"",EDATE($D106,Milestones!$AA$116)&gt;=$S106),$V106,IF(AND($R106&lt;&gt;"",EDATE($D106,Milestones!$AA$116)&gt;=$R106),$U106,$T106)))=Milestones!$AB$116),TEXT(EDATE($D106,Milestones!$AA$116),"dd/mm/yy")&amp;" "&amp;Milestones!$AB$116&amp;" "&amp;Milestones!$AC$116&amp;";  ","")&amp;IF(AND(EDATE($D106,Milestones!$AA$117)&lt;=AsOfDate,IF($Q106=0,$W106,IF(AND($S106&lt;&gt;"",EDATE($D106,Milestones!$AA$117)&gt;=$S106),$V106,IF(AND($R106&lt;&gt;"",EDATE($D106,Milestones!$AA$117)&gt;=$R106),$U106,$T106)))=Milestones!$AB$117),TEXT(EDATE($D106,Milestones!$AA$117),"dd/mm/yy")&amp;" "&amp;Milestones!$AB$117&amp;" "&amp;Milestones!$AC$117&amp;";  ","")&amp;IF(AND(EDATE($D106,Milestones!$AA$118)&lt;=AsOfDate,IF($Q106=0,$W106,IF(AND($S106&lt;&gt;"",EDATE($D106,Milestones!$AA$118)&gt;=$S106),$V106,IF(AND($R106&lt;&gt;"",EDATE($D106,Milestones!$AA$118)&gt;=$R106),$U106,$T106)))=Milestones!$AB$118),TEXT(EDATE($D106,Milestones!$AA$118),"dd/mm/yy")&amp;" "&amp;Milestones!$AB$118&amp;" "&amp;Milestones!$AC$118&amp;";  ","")&amp;IF(AND(EDATE($D106,Milestones!$AA$119)&lt;=AsOfDate,IF($Q106=0,$W106,IF(AND($S106&lt;&gt;"",EDATE($D106,Milestones!$AA$119)&gt;=$S106),$V106,IF(AND($R106&lt;&gt;"",EDATE($D106,Milestones!$AA$119)&gt;=$R106),$U106,$T106)))=Milestones!$AB$119),TEXT(EDATE($D106,Milestones!$AA$119),"dd/mm/yy")&amp;" "&amp;Milestones!$AB$119&amp;" "&amp;Milestones!$AC$119&amp;";  ",""))</f>
        <v/>
      </c>
      <c r="M106" s="0" t="str">
        <f aca="false">IF(OR($A106="",$D106=""),"",IF(AND(EDATE($D106,Milestones!$AA$120)&lt;=AsOfDate,IF($Q106=0,$W106,IF(AND($S106&lt;&gt;"",EDATE($D106,Milestones!$AA$120)&gt;=$S106),$V106,IF(AND($R106&lt;&gt;"",EDATE($D106,Milestones!$AA$120)&gt;=$R106),$U106,$T106)))=Milestones!$AB$120),TEXT(EDATE($D106,Milestones!$AA$120),"dd/mm/yy")&amp;" "&amp;Milestones!$AB$120&amp;" "&amp;Milestones!$AC$120&amp;";  ","")&amp;IF(AND(EDATE($D106,Milestones!$AA$121)&lt;=AsOfDate,IF($Q106=0,$W106,IF(AND($S106&lt;&gt;"",EDATE($D106,Milestones!$AA$121)&gt;=$S106),$V106,IF(AND($R106&lt;&gt;"",EDATE($D106,Milestones!$AA$121)&gt;=$R106),$U106,$T106)))=Milestones!$AB$121),TEXT(EDATE($D106,Milestones!$AA$121),"dd/mm/yy")&amp;" "&amp;Milestones!$AB$121&amp;" "&amp;Milestones!$AC$121&amp;";  ","")&amp;IF(AND(EDATE($D106,Milestones!$AA$122)&lt;=AsOfDate,IF($Q106=0,$W106,IF(AND($S106&lt;&gt;"",EDATE($D106,Milestones!$AA$122)&gt;=$S106),$V106,IF(AND($R106&lt;&gt;"",EDATE($D106,Milestones!$AA$122)&gt;=$R106),$U106,$T106)))=Milestones!$AB$122),TEXT(EDATE($D106,Milestones!$AA$122),"dd/mm/yy")&amp;" "&amp;Milestones!$AB$122&amp;" "&amp;Milestones!$AC$122&amp;";  ","")&amp;IF(AND(EDATE($D106,Milestones!$AA$123)&lt;=AsOfDate,IF($Q106=0,$W106,IF(AND($S106&lt;&gt;"",EDATE($D106,Milestones!$AA$123)&gt;=$S106),$V106,IF(AND($R106&lt;&gt;"",EDATE($D106,Milestones!$AA$123)&gt;=$R106),$U106,$T106)))=Milestones!$AB$123),TEXT(EDATE($D106,Milestones!$AA$123),"dd/mm/yy")&amp;" "&amp;Milestones!$AB$123&amp;" "&amp;Milestones!$AC$123&amp;";  ","")&amp;IF(AND(EDATE($D106,Milestones!$AA$124)&lt;=AsOfDate,IF($Q106=0,$W106,IF(AND($S106&lt;&gt;"",EDATE($D106,Milestones!$AA$124)&gt;=$S106),$V106,IF(AND($R106&lt;&gt;"",EDATE($D106,Milestones!$AA$124)&gt;=$R106),$U106,$T106)))=Milestones!$AB$124),TEXT(EDATE($D106,Milestones!$AA$124),"dd/mm/yy")&amp;" "&amp;Milestones!$AB$124&amp;" "&amp;Milestones!$AC$124&amp;";  ","")&amp;IF(AND(EDATE($D106,Milestones!$AA$125)&lt;=AsOfDate,IF($Q106=0,$W106,IF(AND($S106&lt;&gt;"",EDATE($D106,Milestones!$AA$125)&gt;=$S106),$V106,IF(AND($R106&lt;&gt;"",EDATE($D106,Milestones!$AA$125)&gt;=$R106),$U106,$T106)))=Milestones!$AB$125),TEXT(EDATE($D106,Milestones!$AA$125),"dd/mm/yy")&amp;" "&amp;Milestones!$AB$125&amp;" "&amp;Milestones!$AC$125&amp;";  ","")&amp;IF(AND(EDATE($D106,Milestones!$AA$126)&lt;=AsOfDate,IF($Q106=0,$W106,IF(AND($S106&lt;&gt;"",EDATE($D106,Milestones!$AA$126)&gt;=$S106),$V106,IF(AND($R106&lt;&gt;"",EDATE($D106,Milestones!$AA$126)&gt;=$R106),$U106,$T106)))=Milestones!$AB$126),TEXT(EDATE($D106,Milestones!$AA$126),"dd/mm/yy")&amp;" "&amp;Milestones!$AB$126&amp;" "&amp;Milestones!$AC$126&amp;";  ","")&amp;IF(AND(EDATE($D106,Milestones!$AA$127)&lt;=AsOfDate,IF($Q106=0,$W106,IF(AND($S106&lt;&gt;"",EDATE($D106,Milestones!$AA$127)&gt;=$S106),$V106,IF(AND($R106&lt;&gt;"",EDATE($D106,Milestones!$AA$127)&gt;=$R106),$U106,$T106)))=Milestones!$AB$127),TEXT(EDATE($D106,Milestones!$AA$127),"dd/mm/yy")&amp;" "&amp;Milestones!$AB$127&amp;" "&amp;Milestones!$AC$127&amp;";  ","")&amp;IF(AND(EDATE($D106,Milestones!$AA$128)&lt;=AsOfDate,IF($Q106=0,$W106,IF(AND($S106&lt;&gt;"",EDATE($D106,Milestones!$AA$128)&gt;=$S106),$V106,IF(AND($R106&lt;&gt;"",EDATE($D106,Milestones!$AA$128)&gt;=$R106),$U106,$T106)))=Milestones!$AB$128),TEXT(EDATE($D106,Milestones!$AA$128),"dd/mm/yy")&amp;" "&amp;Milestones!$AB$128&amp;" "&amp;Milestones!$AC$128&amp;";  ","")&amp;IF(AND(EDATE($D106,Milestones!$AA$129)&lt;=AsOfDate,IF($Q106=0,$W106,IF(AND($S106&lt;&gt;"",EDATE($D106,Milestones!$AA$129)&gt;=$S106),$V106,IF(AND($R106&lt;&gt;"",EDATE($D106,Milestones!$AA$129)&gt;=$R106),$U106,$T106)))=Milestones!$AB$129),TEXT(EDATE($D106,Milestones!$AA$129),"dd/mm/yy")&amp;" "&amp;Milestones!$AB$129&amp;" "&amp;Milestones!$AC$129&amp;";  ","")&amp;IF(AND(EDATE($D106,Milestones!$AA$130)&lt;=AsOfDate,IF($Q106=0,$W106,IF(AND($S106&lt;&gt;"",EDATE($D106,Milestones!$AA$130)&gt;=$S106),$V106,IF(AND($R106&lt;&gt;"",EDATE($D106,Milestones!$AA$130)&gt;=$R106),$U106,$T106)))=Milestones!$AB$130),TEXT(EDATE($D106,Milestones!$AA$130),"dd/mm/yy")&amp;" "&amp;Milestones!$AB$130&amp;" "&amp;Milestones!$AC$130&amp;";  ","")&amp;IF(AND(EDATE($D106,Milestones!$AA$131)&lt;=AsOfDate,IF($Q106=0,$W106,IF(AND($S106&lt;&gt;"",EDATE($D106,Milestones!$AA$131)&gt;=$S106),$V106,IF(AND($R106&lt;&gt;"",EDATE($D106,Milestones!$AA$131)&gt;=$R106),$U106,$T106)))=Milestones!$AB$131),TEXT(EDATE($D106,Milestones!$AA$131),"dd/mm/yy")&amp;" "&amp;Milestones!$AB$131&amp;" "&amp;Milestones!$AC$131&amp;";  ","")&amp;IF(AND(EDATE($D106,Milestones!$AA$132)&lt;=AsOfDate,IF($Q106=0,$W106,IF(AND($S106&lt;&gt;"",EDATE($D106,Milestones!$AA$132)&gt;=$S106),$V106,IF(AND($R106&lt;&gt;"",EDATE($D106,Milestones!$AA$132)&gt;=$R106),$U106,$T106)))=Milestones!$AB$132),TEXT(EDATE($D106,Milestones!$AA$132),"dd/mm/yy")&amp;" "&amp;Milestones!$AB$132&amp;" "&amp;Milestones!$AC$132&amp;";  ","")&amp;IF(AND(EDATE($D106,Milestones!$AA$133)&lt;=AsOfDate,IF($Q106=0,$W106,IF(AND($S106&lt;&gt;"",EDATE($D106,Milestones!$AA$133)&gt;=$S106),$V106,IF(AND($R106&lt;&gt;"",EDATE($D106,Milestones!$AA$133)&gt;=$R106),$U106,$T106)))=Milestones!$AB$133),TEXT(EDATE($D106,Milestones!$AA$133),"dd/mm/yy")&amp;" "&amp;Milestones!$AB$133&amp;" "&amp;Milestones!$AC$133&amp;";  ","")&amp;IF(AND(EDATE($D106,Milestones!$AA$134)&lt;=AsOfDate,IF($Q106=0,$W106,IF(AND($S106&lt;&gt;"",EDATE($D106,Milestones!$AA$134)&gt;=$S106),$V106,IF(AND($R106&lt;&gt;"",EDATE($D106,Milestones!$AA$134)&gt;=$R106),$U106,$T106)))=Milestones!$AB$134),TEXT(EDATE($D106,Milestones!$AA$134),"dd/mm/yy")&amp;" "&amp;Milestones!$AB$134&amp;" "&amp;Milestones!$AC$134&amp;";  ","")&amp;IF(AND(EDATE($D106,Milestones!$AA$135)&lt;=AsOfDate,IF($Q106=0,$W106,IF(AND($S106&lt;&gt;"",EDATE($D106,Milestones!$AA$135)&gt;=$S106),$V106,IF(AND($R106&lt;&gt;"",EDATE($D106,Milestones!$AA$135)&gt;=$R106),$U106,$T106)))=Milestones!$AB$135),TEXT(EDATE($D106,Milestones!$AA$135),"dd/mm/yy")&amp;" "&amp;Milestones!$AB$135&amp;" "&amp;Milestones!$AC$135&amp;";  ","")&amp;IF(AND(EDATE($D106,Milestones!$AA$136)&lt;=AsOfDate,IF($Q106=0,$W106,IF(AND($S106&lt;&gt;"",EDATE($D106,Milestones!$AA$136)&gt;=$S106),$V106,IF(AND($R106&lt;&gt;"",EDATE($D106,Milestones!$AA$136)&gt;=$R106),$U106,$T106)))=Milestones!$AB$136),TEXT(EDATE($D106,Milestones!$AA$136),"dd/mm/yy")&amp;" "&amp;Milestones!$AB$136&amp;" "&amp;Milestones!$AC$136&amp;";  ","")&amp;IF(AND(EDATE($D106,Milestones!$AA$137)&lt;=AsOfDate,IF($Q106=0,$W106,IF(AND($S106&lt;&gt;"",EDATE($D106,Milestones!$AA$137)&gt;=$S106),$V106,IF(AND($R106&lt;&gt;"",EDATE($D106,Milestones!$AA$137)&gt;=$R106),$U106,$T106)))=Milestones!$AB$137),TEXT(EDATE($D106,Milestones!$AA$137),"dd/mm/yy")&amp;" "&amp;Milestones!$AB$137&amp;" "&amp;Milestones!$AC$137&amp;";  ","")&amp;IF(AND(EDATE($D106,Milestones!$AA$138)&lt;=AsOfDate,IF($Q106=0,$W106,IF(AND($S106&lt;&gt;"",EDATE($D106,Milestones!$AA$138)&gt;=$S106),$V106,IF(AND($R106&lt;&gt;"",EDATE($D106,Milestones!$AA$138)&gt;=$R106),$U106,$T106)))=Milestones!$AB$138),TEXT(EDATE($D106,Milestones!$AA$138),"dd/mm/yy")&amp;" "&amp;Milestones!$AB$138&amp;" "&amp;Milestones!$AC$138&amp;";  ","")&amp;IF(AND(EDATE($D106,Milestones!$AA$139)&lt;=AsOfDate,IF($Q106=0,$W106,IF(AND($S106&lt;&gt;"",EDATE($D106,Milestones!$AA$139)&gt;=$S106),$V106,IF(AND($R106&lt;&gt;"",EDATE($D106,Milestones!$AA$139)&gt;=$R106),$U106,$T106)))=Milestones!$AB$139),TEXT(EDATE($D106,Milestones!$AA$139),"dd/mm/yy")&amp;" "&amp;Milestones!$AB$139&amp;" "&amp;Milestones!$AC$139&amp;";  ",""))</f>
        <v/>
      </c>
      <c r="N106" s="0" t="str">
        <f aca="false">IF(OR($A106="",$D106=""),"",IF(AND(EDATE($D106,Milestones!$AA$140)&lt;=AsOfDate,IF($Q106=0,$W106,IF(AND($S106&lt;&gt;"",EDATE($D106,Milestones!$AA$140)&gt;=$S106),$V106,IF(AND($R106&lt;&gt;"",EDATE($D106,Milestones!$AA$140)&gt;=$R106),$U106,$T106)))=Milestones!$AB$140),TEXT(EDATE($D106,Milestones!$AA$140),"dd/mm/yy")&amp;" "&amp;Milestones!$AB$140&amp;" "&amp;Milestones!$AC$140&amp;";  ","")&amp;IF(AND(EDATE($D106,Milestones!$AA$141)&lt;=AsOfDate,IF($Q106=0,$W106,IF(AND($S106&lt;&gt;"",EDATE($D106,Milestones!$AA$141)&gt;=$S106),$V106,IF(AND($R106&lt;&gt;"",EDATE($D106,Milestones!$AA$141)&gt;=$R106),$U106,$T106)))=Milestones!$AB$141),TEXT(EDATE($D106,Milestones!$AA$141),"dd/mm/yy")&amp;" "&amp;Milestones!$AB$141&amp;" "&amp;Milestones!$AC$141&amp;";  ","")&amp;IF(AND(EDATE($D106,Milestones!$AA$142)&lt;=AsOfDate,IF($Q106=0,$W106,IF(AND($S106&lt;&gt;"",EDATE($D106,Milestones!$AA$142)&gt;=$S106),$V106,IF(AND($R106&lt;&gt;"",EDATE($D106,Milestones!$AA$142)&gt;=$R106),$U106,$T106)))=Milestones!$AB$142),TEXT(EDATE($D106,Milestones!$AA$142),"dd/mm/yy")&amp;" "&amp;Milestones!$AB$142&amp;" "&amp;Milestones!$AC$142&amp;";  ","")&amp;IF(AND(EDATE($D106,Milestones!$AA$143)&lt;=AsOfDate,IF($Q106=0,$W106,IF(AND($S106&lt;&gt;"",EDATE($D106,Milestones!$AA$143)&gt;=$S106),$V106,IF(AND($R106&lt;&gt;"",EDATE($D106,Milestones!$AA$143)&gt;=$R106),$U106,$T106)))=Milestones!$AB$143),TEXT(EDATE($D106,Milestones!$AA$143),"dd/mm/yy")&amp;" "&amp;Milestones!$AB$143&amp;" "&amp;Milestones!$AC$143&amp;";  ","")&amp;IF(AND(EDATE($D106,Milestones!$AA$144)&lt;=AsOfDate,IF($Q106=0,$W106,IF(AND($S106&lt;&gt;"",EDATE($D106,Milestones!$AA$144)&gt;=$S106),$V106,IF(AND($R106&lt;&gt;"",EDATE($D106,Milestones!$AA$144)&gt;=$R106),$U106,$T106)))=Milestones!$AB$144),TEXT(EDATE($D106,Milestones!$AA$144),"dd/mm/yy")&amp;" "&amp;Milestones!$AB$144&amp;" "&amp;Milestones!$AC$144&amp;";  ","")&amp;IF(AND(EDATE($D106,Milestones!$AA$145)&lt;=AsOfDate,IF($Q106=0,$W106,IF(AND($S106&lt;&gt;"",EDATE($D106,Milestones!$AA$145)&gt;=$S106),$V106,IF(AND($R106&lt;&gt;"",EDATE($D106,Milestones!$AA$145)&gt;=$R106),$U106,$T106)))=Milestones!$AB$145),TEXT(EDATE($D106,Milestones!$AA$145),"dd/mm/yy")&amp;" "&amp;Milestones!$AB$145&amp;" "&amp;Milestones!$AC$145&amp;";  ","")&amp;IF(AND(EDATE($D106,Milestones!$AA$146)&lt;=AsOfDate,IF($Q106=0,$W106,IF(AND($S106&lt;&gt;"",EDATE($D106,Milestones!$AA$146)&gt;=$S106),$V106,IF(AND($R106&lt;&gt;"",EDATE($D106,Milestones!$AA$146)&gt;=$R106),$U106,$T106)))=Milestones!$AB$146),TEXT(EDATE($D106,Milestones!$AA$146),"dd/mm/yy")&amp;" "&amp;Milestones!$AB$146&amp;" "&amp;Milestones!$AC$146&amp;";  ","")&amp;IF(AND(EDATE($D106,Milestones!$AA$147)&lt;=AsOfDate,IF($Q106=0,$W106,IF(AND($S106&lt;&gt;"",EDATE($D106,Milestones!$AA$147)&gt;=$S106),$V106,IF(AND($R106&lt;&gt;"",EDATE($D106,Milestones!$AA$147)&gt;=$R106),$U106,$T106)))=Milestones!$AB$147),TEXT(EDATE($D106,Milestones!$AA$147),"dd/mm/yy")&amp;" "&amp;Milestones!$AB$147&amp;" "&amp;Milestones!$AC$147&amp;";  ","")&amp;IF(AND(EDATE($D106,Milestones!$AA$148)&lt;=AsOfDate,IF($Q106=0,$W106,IF(AND($S106&lt;&gt;"",EDATE($D106,Milestones!$AA$148)&gt;=$S106),$V106,IF(AND($R106&lt;&gt;"",EDATE($D106,Milestones!$AA$148)&gt;=$R106),$U106,$T106)))=Milestones!$AB$148),TEXT(EDATE($D106,Milestones!$AA$148),"dd/mm/yy")&amp;" "&amp;Milestones!$AB$148&amp;" "&amp;Milestones!$AC$148&amp;";  ","")&amp;IF(AND(EDATE($D106,Milestones!$AA$149)&lt;=AsOfDate,IF($Q106=0,$W106,IF(AND($S106&lt;&gt;"",EDATE($D106,Milestones!$AA$149)&gt;=$S106),$V106,IF(AND($R106&lt;&gt;"",EDATE($D106,Milestones!$AA$149)&gt;=$R106),$U106,$T106)))=Milestones!$AB$149),TEXT(EDATE($D106,Milestones!$AA$149),"dd/mm/yy")&amp;" "&amp;Milestones!$AB$149&amp;" "&amp;Milestones!$AC$149&amp;";  ","")&amp;IF(AND(EDATE($D106,Milestones!$AA$150)&lt;=AsOfDate,IF($Q106=0,$W106,IF(AND($S106&lt;&gt;"",EDATE($D106,Milestones!$AA$150)&gt;=$S106),$V106,IF(AND($R106&lt;&gt;"",EDATE($D106,Milestones!$AA$150)&gt;=$R106),$U106,$T106)))=Milestones!$AB$150),TEXT(EDATE($D106,Milestones!$AA$150),"dd/mm/yy")&amp;" "&amp;Milestones!$AB$150&amp;" "&amp;Milestones!$AC$150&amp;";  ","")&amp;IF(AND(EDATE($D106,Milestones!$AA$151)&lt;=AsOfDate,IF($Q106=0,$W106,IF(AND($S106&lt;&gt;"",EDATE($D106,Milestones!$AA$151)&gt;=$S106),$V106,IF(AND($R106&lt;&gt;"",EDATE($D106,Milestones!$AA$151)&gt;=$R106),$U106,$T106)))=Milestones!$AB$151),TEXT(EDATE($D106,Milestones!$AA$151),"dd/mm/yy")&amp;" "&amp;Milestones!$AB$151&amp;" "&amp;Milestones!$AC$151&amp;";  ","")&amp;IF(AND(EDATE($D106,Milestones!$AA$152)&lt;=AsOfDate,IF($Q106=0,$W106,IF(AND($S106&lt;&gt;"",EDATE($D106,Milestones!$AA$152)&gt;=$S106),$V106,IF(AND($R106&lt;&gt;"",EDATE($D106,Milestones!$AA$152)&gt;=$R106),$U106,$T106)))=Milestones!$AB$152),TEXT(EDATE($D106,Milestones!$AA$152),"dd/mm/yy")&amp;" "&amp;Milestones!$AB$152&amp;" "&amp;Milestones!$AC$152&amp;";  ","")&amp;IF(AND(EDATE($D106,Milestones!$AA$153)&lt;=AsOfDate,IF($Q106=0,$W106,IF(AND($S106&lt;&gt;"",EDATE($D106,Milestones!$AA$153)&gt;=$S106),$V106,IF(AND($R106&lt;&gt;"",EDATE($D106,Milestones!$AA$153)&gt;=$R106),$U106,$T106)))=Milestones!$AB$153),TEXT(EDATE($D106,Milestones!$AA$153),"dd/mm/yy")&amp;" "&amp;Milestones!$AB$153&amp;" "&amp;Milestones!$AC$153&amp;";  ","")&amp;IF(AND(EDATE($D106,Milestones!$AA$154)&lt;=AsOfDate,IF($Q106=0,$W106,IF(AND($S106&lt;&gt;"",EDATE($D106,Milestones!$AA$154)&gt;=$S106),$V106,IF(AND($R106&lt;&gt;"",EDATE($D106,Milestones!$AA$154)&gt;=$R106),$U106,$T106)))=Milestones!$AB$154),TEXT(EDATE($D106,Milestones!$AA$154),"dd/mm/yy")&amp;" "&amp;Milestones!$AB$154&amp;" "&amp;Milestones!$AC$154&amp;";  ","")&amp;IF(AND(EDATE($D106,Milestones!$AA$155)&lt;=AsOfDate,IF($Q106=0,$W106,IF(AND($S106&lt;&gt;"",EDATE($D106,Milestones!$AA$155)&gt;=$S106),$V106,IF(AND($R106&lt;&gt;"",EDATE($D106,Milestones!$AA$155)&gt;=$R106),$U106,$T106)))=Milestones!$AB$155),TEXT(EDATE($D106,Milestones!$AA$155),"dd/mm/yy")&amp;" "&amp;Milestones!$AB$155&amp;" "&amp;Milestones!$AC$155&amp;";  ","")&amp;IF(AND(EDATE($D106,Milestones!$AA$156)&lt;=AsOfDate,IF($Q106=0,$W106,IF(AND($S106&lt;&gt;"",EDATE($D106,Milestones!$AA$156)&gt;=$S106),$V106,IF(AND($R106&lt;&gt;"",EDATE($D106,Milestones!$AA$156)&gt;=$R106),$U106,$T106)))=Milestones!$AB$156),TEXT(EDATE($D106,Milestones!$AA$156),"dd/mm/yy")&amp;" "&amp;Milestones!$AB$156&amp;" "&amp;Milestones!$AC$156&amp;";  ","")&amp;IF(AND(EDATE($D106,Milestones!$AA$157)&lt;=AsOfDate,IF($Q106=0,$W106,IF(AND($S106&lt;&gt;"",EDATE($D106,Milestones!$AA$157)&gt;=$S106),$V106,IF(AND($R106&lt;&gt;"",EDATE($D106,Milestones!$AA$157)&gt;=$R106),$U106,$T106)))=Milestones!$AB$157),TEXT(EDATE($D106,Milestones!$AA$157),"dd/mm/yy")&amp;" "&amp;Milestones!$AB$157&amp;" "&amp;Milestones!$AC$157&amp;";  ","")&amp;IF(AND(EDATE($D106,Milestones!$AA$158)&lt;=AsOfDate,IF($Q106=0,$W106,IF(AND($S106&lt;&gt;"",EDATE($D106,Milestones!$AA$158)&gt;=$S106),$V106,IF(AND($R106&lt;&gt;"",EDATE($D106,Milestones!$AA$158)&gt;=$R106),$U106,$T106)))=Milestones!$AB$158),TEXT(EDATE($D106,Milestones!$AA$158),"dd/mm/yy")&amp;" "&amp;Milestones!$AB$158&amp;" "&amp;Milestones!$AC$158&amp;";  ","")&amp;IF(AND(EDATE($D106,Milestones!$AA$159)&lt;=AsOfDate,IF($Q106=0,$W106,IF(AND($S106&lt;&gt;"",EDATE($D106,Milestones!$AA$159)&gt;=$S106),$V106,IF(AND($R106&lt;&gt;"",EDATE($D106,Milestones!$AA$159)&gt;=$R106),$U106,$T106)))=Milestones!$AB$159),TEXT(EDATE($D106,Milestones!$AA$159),"dd/mm/yy")&amp;" "&amp;Milestones!$AB$159&amp;" "&amp;Milestones!$AC$159&amp;";  ",""))</f>
        <v/>
      </c>
      <c r="O106" s="0" t="str">
        <f aca="false">IF(OR($A106="",$D106=""),"",IF(AND(EDATE($D106,Milestones!$AA$160)&lt;=AsOfDate,IF($Q106=0,$W106,IF(AND($S106&lt;&gt;"",EDATE($D106,Milestones!$AA$160)&gt;=$S106),$V106,IF(AND($R106&lt;&gt;"",EDATE($D106,Milestones!$AA$160)&gt;=$R106),$U106,$T106)))=Milestones!$AB$160),TEXT(EDATE($D106,Milestones!$AA$160),"dd/mm/yy")&amp;" "&amp;Milestones!$AB$160&amp;" "&amp;Milestones!$AC$160&amp;";  ","")&amp;IF(AND(EDATE($D106,Milestones!$AA$161)&lt;=AsOfDate,IF($Q106=0,$W106,IF(AND($S106&lt;&gt;"",EDATE($D106,Milestones!$AA$161)&gt;=$S106),$V106,IF(AND($R106&lt;&gt;"",EDATE($D106,Milestones!$AA$161)&gt;=$R106),$U106,$T106)))=Milestones!$AB$161),TEXT(EDATE($D106,Milestones!$AA$161),"dd/mm/yy")&amp;" "&amp;Milestones!$AB$161&amp;" "&amp;Milestones!$AC$161&amp;";  ","")&amp;IF(AND(EDATE($D106,Milestones!$AA$162)&lt;=AsOfDate,IF($Q106=0,$W106,IF(AND($S106&lt;&gt;"",EDATE($D106,Milestones!$AA$162)&gt;=$S106),$V106,IF(AND($R106&lt;&gt;"",EDATE($D106,Milestones!$AA$162)&gt;=$R106),$U106,$T106)))=Milestones!$AB$162),TEXT(EDATE($D106,Milestones!$AA$162),"dd/mm/yy")&amp;" "&amp;Milestones!$AB$162&amp;" "&amp;Milestones!$AC$162&amp;";  ","")&amp;IF(AND(EDATE($D106,Milestones!$AA$163)&lt;=AsOfDate,IF($Q106=0,$W106,IF(AND($S106&lt;&gt;"",EDATE($D106,Milestones!$AA$163)&gt;=$S106),$V106,IF(AND($R106&lt;&gt;"",EDATE($D106,Milestones!$AA$163)&gt;=$R106),$U106,$T106)))=Milestones!$AB$163),TEXT(EDATE($D106,Milestones!$AA$163),"dd/mm/yy")&amp;" "&amp;Milestones!$AB$163&amp;" "&amp;Milestones!$AC$163&amp;";  ","")&amp;IF(AND(EDATE($D106,Milestones!$AA$164)&lt;=AsOfDate,IF($Q106=0,$W106,IF(AND($S106&lt;&gt;"",EDATE($D106,Milestones!$AA$164)&gt;=$S106),$V106,IF(AND($R106&lt;&gt;"",EDATE($D106,Milestones!$AA$164)&gt;=$R106),$U106,$T106)))=Milestones!$AB$164),TEXT(EDATE($D106,Milestones!$AA$164),"dd/mm/yy")&amp;" "&amp;Milestones!$AB$164&amp;" "&amp;Milestones!$AC$164&amp;";  ","")&amp;IF(AND(EDATE($D106,Milestones!$AA$165)&lt;=AsOfDate,IF($Q106=0,$W106,IF(AND($S106&lt;&gt;"",EDATE($D106,Milestones!$AA$165)&gt;=$S106),$V106,IF(AND($R106&lt;&gt;"",EDATE($D106,Milestones!$AA$165)&gt;=$R106),$U106,$T106)))=Milestones!$AB$165),TEXT(EDATE($D106,Milestones!$AA$165),"dd/mm/yy")&amp;" "&amp;Milestones!$AB$165&amp;" "&amp;Milestones!$AC$165&amp;";  ","")&amp;IF(AND(EDATE($D106,Milestones!$AA$166)&lt;=AsOfDate,IF($Q106=0,$W106,IF(AND($S106&lt;&gt;"",EDATE($D106,Milestones!$AA$166)&gt;=$S106),$V106,IF(AND($R106&lt;&gt;"",EDATE($D106,Milestones!$AA$166)&gt;=$R106),$U106,$T106)))=Milestones!$AB$166),TEXT(EDATE($D106,Milestones!$AA$166),"dd/mm/yy")&amp;" "&amp;Milestones!$AB$166&amp;" "&amp;Milestones!$AC$166&amp;";  ","")&amp;IF(AND(EDATE($D106,Milestones!$AA$167)&lt;=AsOfDate,IF($Q106=0,$W106,IF(AND($S106&lt;&gt;"",EDATE($D106,Milestones!$AA$167)&gt;=$S106),$V106,IF(AND($R106&lt;&gt;"",EDATE($D106,Milestones!$AA$167)&gt;=$R106),$U106,$T106)))=Milestones!$AB$167),TEXT(EDATE($D106,Milestones!$AA$167),"dd/mm/yy")&amp;" "&amp;Milestones!$AB$167&amp;" "&amp;Milestones!$AC$167&amp;";  ","")&amp;IF(AND(EDATE($D106,Milestones!$AA$168)&lt;=AsOfDate,IF($Q106=0,$W106,IF(AND($S106&lt;&gt;"",EDATE($D106,Milestones!$AA$168)&gt;=$S106),$V106,IF(AND($R106&lt;&gt;"",EDATE($D106,Milestones!$AA$168)&gt;=$R106),$U106,$T106)))=Milestones!$AB$168),TEXT(EDATE($D106,Milestones!$AA$168),"dd/mm/yy")&amp;" "&amp;Milestones!$AB$168&amp;" "&amp;Milestones!$AC$168&amp;";  ","")&amp;IF(AND(EDATE($D106,Milestones!$AA$169)&lt;=AsOfDate,IF($Q106=0,$W106,IF(AND($S106&lt;&gt;"",EDATE($D106,Milestones!$AA$169)&gt;=$S106),$V106,IF(AND($R106&lt;&gt;"",EDATE($D106,Milestones!$AA$169)&gt;=$R106),$U106,$T106)))=Milestones!$AB$169),TEXT(EDATE($D106,Milestones!$AA$169),"dd/mm/yy")&amp;" "&amp;Milestones!$AB$169&amp;" "&amp;Milestones!$AC$169&amp;";  ","")&amp;IF(AND(EDATE($D106,Milestones!$AA$170)&lt;=AsOfDate,IF($Q106=0,$W106,IF(AND($S106&lt;&gt;"",EDATE($D106,Milestones!$AA$170)&gt;=$S106),$V106,IF(AND($R106&lt;&gt;"",EDATE($D106,Milestones!$AA$170)&gt;=$R106),$U106,$T106)))=Milestones!$AB$170),TEXT(EDATE($D106,Milestones!$AA$170),"dd/mm/yy")&amp;" "&amp;Milestones!$AB$170&amp;" "&amp;Milestones!$AC$170&amp;";  ","")&amp;IF(AND(EDATE($D106,Milestones!$AA$171)&lt;=AsOfDate,IF($Q106=0,$W106,IF(AND($S106&lt;&gt;"",EDATE($D106,Milestones!$AA$171)&gt;=$S106),$V106,IF(AND($R106&lt;&gt;"",EDATE($D106,Milestones!$AA$171)&gt;=$R106),$U106,$T106)))=Milestones!$AB$171),TEXT(EDATE($D106,Milestones!$AA$171),"dd/mm/yy")&amp;" "&amp;Milestones!$AB$171&amp;" "&amp;Milestones!$AC$171&amp;";  ","")&amp;IF(AND(EDATE($D106,Milestones!$AA$172)&lt;=AsOfDate,IF($Q106=0,$W106,IF(AND($S106&lt;&gt;"",EDATE($D106,Milestones!$AA$172)&gt;=$S106),$V106,IF(AND($R106&lt;&gt;"",EDATE($D106,Milestones!$AA$172)&gt;=$R106),$U106,$T106)))=Milestones!$AB$172),TEXT(EDATE($D106,Milestones!$AA$172),"dd/mm/yy")&amp;" "&amp;Milestones!$AB$172&amp;" "&amp;Milestones!$AC$172&amp;";  ","")&amp;IF(AND(EDATE($D106,Milestones!$AA$173)&lt;=AsOfDate,IF($Q106=0,$W106,IF(AND($S106&lt;&gt;"",EDATE($D106,Milestones!$AA$173)&gt;=$S106),$V106,IF(AND($R106&lt;&gt;"",EDATE($D106,Milestones!$AA$173)&gt;=$R106),$U106,$T106)))=Milestones!$AB$173),TEXT(EDATE($D106,Milestones!$AA$173),"dd/mm/yy")&amp;" "&amp;Milestones!$AB$173&amp;" "&amp;Milestones!$AC$173&amp;";  ","")&amp;IF(AND(EDATE($D106,Milestones!$AA$174)&lt;=AsOfDate,IF($Q106=0,$W106,IF(AND($S106&lt;&gt;"",EDATE($D106,Milestones!$AA$174)&gt;=$S106),$V106,IF(AND($R106&lt;&gt;"",EDATE($D106,Milestones!$AA$174)&gt;=$R106),$U106,$T106)))=Milestones!$AB$174),TEXT(EDATE($D106,Milestones!$AA$174),"dd/mm/yy")&amp;" "&amp;Milestones!$AB$174&amp;" "&amp;Milestones!$AC$174&amp;";  ","")&amp;IF(AND(EDATE($D106,Milestones!$AA$175)&lt;=AsOfDate,IF($Q106=0,$W106,IF(AND($S106&lt;&gt;"",EDATE($D106,Milestones!$AA$175)&gt;=$S106),$V106,IF(AND($R106&lt;&gt;"",EDATE($D106,Milestones!$AA$175)&gt;=$R106),$U106,$T106)))=Milestones!$AB$175),TEXT(EDATE($D106,Milestones!$AA$175),"dd/mm/yy")&amp;" "&amp;Milestones!$AB$175&amp;" "&amp;Milestones!$AC$175&amp;";  ","")&amp;IF(AND(EDATE($D106,Milestones!$AA$176)&lt;=AsOfDate,IF($Q106=0,$W106,IF(AND($S106&lt;&gt;"",EDATE($D106,Milestones!$AA$176)&gt;=$S106),$V106,IF(AND($R106&lt;&gt;"",EDATE($D106,Milestones!$AA$176)&gt;=$R106),$U106,$T106)))=Milestones!$AB$176),TEXT(EDATE($D106,Milestones!$AA$176),"dd/mm/yy")&amp;" "&amp;Milestones!$AB$176&amp;" "&amp;Milestones!$AC$176&amp;";  ","")&amp;IF(AND(EDATE($D106,Milestones!$AA$177)&lt;=AsOfDate,IF($Q106=0,$W106,IF(AND($S106&lt;&gt;"",EDATE($D106,Milestones!$AA$177)&gt;=$S106),$V106,IF(AND($R106&lt;&gt;"",EDATE($D106,Milestones!$AA$177)&gt;=$R106),$U106,$T106)))=Milestones!$AB$177),TEXT(EDATE($D106,Milestones!$AA$177),"dd/mm/yy")&amp;" "&amp;Milestones!$AB$177&amp;" "&amp;Milestones!$AC$177&amp;";  ","")&amp;IF(AND(EDATE($D106,Milestones!$AA$178)&lt;=AsOfDate,IF($Q106=0,$W106,IF(AND($S106&lt;&gt;"",EDATE($D106,Milestones!$AA$178)&gt;=$S106),$V106,IF(AND($R106&lt;&gt;"",EDATE($D106,Milestones!$AA$178)&gt;=$R106),$U106,$T106)))=Milestones!$AB$178),TEXT(EDATE($D106,Milestones!$AA$178),"dd/mm/yy")&amp;" "&amp;Milestones!$AB$178&amp;" "&amp;Milestones!$AC$178&amp;";  ","")&amp;IF(AND(EDATE($D106,Milestones!$AA$179)&lt;=AsOfDate,IF($Q106=0,$W106,IF(AND($S106&lt;&gt;"",EDATE($D106,Milestones!$AA$179)&gt;=$S106),$V106,IF(AND($R106&lt;&gt;"",EDATE($D106,Milestones!$AA$179)&gt;=$R106),$U106,$T106)))=Milestones!$AB$179),TEXT(EDATE($D106,Milestones!$AA$179),"dd/mm/yy")&amp;" "&amp;Milestones!$AB$179&amp;" "&amp;Milestones!$AC$179&amp;";  ",""))</f>
        <v/>
      </c>
      <c r="P106" s="0" t="str">
        <f aca="false">IF(OR($A106="",$D106=""),"",IF(AND(EDATE($D106,Milestones!$AA$180)&lt;=AsOfDate,IF($Q106=0,$W106,IF(AND($S106&lt;&gt;"",EDATE($D106,Milestones!$AA$180)&gt;=$S106),$V106,IF(AND($R106&lt;&gt;"",EDATE($D106,Milestones!$AA$180)&gt;=$R106),$U106,$T106)))=Milestones!$AB$180),TEXT(EDATE($D106,Milestones!$AA$180),"dd/mm/yy")&amp;" "&amp;Milestones!$AB$180&amp;" "&amp;Milestones!$AC$180&amp;";  ","")&amp;IF(AND(EDATE($D106,Milestones!$AA$181)&lt;=AsOfDate,IF($Q106=0,$W106,IF(AND($S106&lt;&gt;"",EDATE($D106,Milestones!$AA$181)&gt;=$S106),$V106,IF(AND($R106&lt;&gt;"",EDATE($D106,Milestones!$AA$181)&gt;=$R106),$U106,$T106)))=Milestones!$AB$181),TEXT(EDATE($D106,Milestones!$AA$181),"dd/mm/yy")&amp;" "&amp;Milestones!$AB$181&amp;" "&amp;Milestones!$AC$181&amp;";  ","")&amp;IF(AND(EDATE($D106,Milestones!$AA$182)&lt;=AsOfDate,IF($Q106=0,$W106,IF(AND($S106&lt;&gt;"",EDATE($D106,Milestones!$AA$182)&gt;=$S106),$V106,IF(AND($R106&lt;&gt;"",EDATE($D106,Milestones!$AA$182)&gt;=$R106),$U106,$T106)))=Milestones!$AB$182),TEXT(EDATE($D106,Milestones!$AA$182),"dd/mm/yy")&amp;" "&amp;Milestones!$AB$182&amp;" "&amp;Milestones!$AC$182&amp;";  ","")&amp;IF(AND(EDATE($D106,Milestones!$AA$183)&lt;=AsOfDate,IF($Q106=0,$W106,IF(AND($S106&lt;&gt;"",EDATE($D106,Milestones!$AA$183)&gt;=$S106),$V106,IF(AND($R106&lt;&gt;"",EDATE($D106,Milestones!$AA$183)&gt;=$R106),$U106,$T106)))=Milestones!$AB$183),TEXT(EDATE($D106,Milestones!$AA$183),"dd/mm/yy")&amp;" "&amp;Milestones!$AB$183&amp;" "&amp;Milestones!$AC$183&amp;";  ","")&amp;IF(AND(EDATE($D106,Milestones!$AA$184)&lt;=AsOfDate,IF($Q106=0,$W106,IF(AND($S106&lt;&gt;"",EDATE($D106,Milestones!$AA$184)&gt;=$S106),$V106,IF(AND($R106&lt;&gt;"",EDATE($D106,Milestones!$AA$184)&gt;=$R106),$U106,$T106)))=Milestones!$AB$184),TEXT(EDATE($D106,Milestones!$AA$184),"dd/mm/yy")&amp;" "&amp;Milestones!$AB$184&amp;" "&amp;Milestones!$AC$184&amp;";  ","")&amp;IF(AND(EDATE($D106,Milestones!$AA$185)&lt;=AsOfDate,IF($Q106=0,$W106,IF(AND($S106&lt;&gt;"",EDATE($D106,Milestones!$AA$185)&gt;=$S106),$V106,IF(AND($R106&lt;&gt;"",EDATE($D106,Milestones!$AA$185)&gt;=$R106),$U106,$T106)))=Milestones!$AB$185),TEXT(EDATE($D106,Milestones!$AA$185),"dd/mm/yy")&amp;" "&amp;Milestones!$AB$185&amp;" "&amp;Milestones!$AC$185&amp;";  ","")&amp;IF(AND(EDATE($D106,Milestones!$AA$186)&lt;=AsOfDate,IF($Q106=0,$W106,IF(AND($S106&lt;&gt;"",EDATE($D106,Milestones!$AA$186)&gt;=$S106),$V106,IF(AND($R106&lt;&gt;"",EDATE($D106,Milestones!$AA$186)&gt;=$R106),$U106,$T106)))=Milestones!$AB$186),TEXT(EDATE($D106,Milestones!$AA$186),"dd/mm/yy")&amp;" "&amp;Milestones!$AB$186&amp;" "&amp;Milestones!$AC$186&amp;";  ","")&amp;IF(AND(EDATE($D106,Milestones!$AA$187)&lt;=AsOfDate,IF($Q106=0,$W106,IF(AND($S106&lt;&gt;"",EDATE($D106,Milestones!$AA$187)&gt;=$S106),$V106,IF(AND($R106&lt;&gt;"",EDATE($D106,Milestones!$AA$187)&gt;=$R106),$U106,$T106)))=Milestones!$AB$187),TEXT(EDATE($D106,Milestones!$AA$187),"dd/mm/yy")&amp;" "&amp;Milestones!$AB$187&amp;" "&amp;Milestones!$AC$187&amp;";  ","")&amp;IF(AND(EDATE($D106,Milestones!$AA$188)&lt;=AsOfDate,IF($Q106=0,$W106,IF(AND($S106&lt;&gt;"",EDATE($D106,Milestones!$AA$188)&gt;=$S106),$V106,IF(AND($R106&lt;&gt;"",EDATE($D106,Milestones!$AA$188)&gt;=$R106),$U106,$T106)))=Milestones!$AB$188),TEXT(EDATE($D106,Milestones!$AA$188),"dd/mm/yy")&amp;" "&amp;Milestones!$AB$188&amp;" "&amp;Milestones!$AC$188&amp;";  ","")&amp;IF(AND(EDATE($D106,Milestones!$AA$189)&lt;=AsOfDate,IF($Q106=0,$W106,IF(AND($S106&lt;&gt;"",EDATE($D106,Milestones!$AA$189)&gt;=$S106),$V106,IF(AND($R106&lt;&gt;"",EDATE($D106,Milestones!$AA$189)&gt;=$R106),$U106,$T106)))=Milestones!$AB$189),TEXT(EDATE($D106,Milestones!$AA$189),"dd/mm/yy")&amp;" "&amp;Milestones!$AB$189&amp;" "&amp;Milestones!$AC$189&amp;";  ","")&amp;IF(AND(EDATE($D106,Milestones!$AA$190)&lt;=AsOfDate,IF($Q106=0,$W106,IF(AND($S106&lt;&gt;"",EDATE($D106,Milestones!$AA$190)&gt;=$S106),$V106,IF(AND($R106&lt;&gt;"",EDATE($D106,Milestones!$AA$190)&gt;=$R106),$U106,$T106)))=Milestones!$AB$190),TEXT(EDATE($D106,Milestones!$AA$190),"dd/mm/yy")&amp;" "&amp;Milestones!$AB$190&amp;" "&amp;Milestones!$AC$190&amp;";  ","")&amp;IF(AND(EDATE($D106,Milestones!$AA$191)&lt;=AsOfDate,IF($Q106=0,$W106,IF(AND($S106&lt;&gt;"",EDATE($D106,Milestones!$AA$191)&gt;=$S106),$V106,IF(AND($R106&lt;&gt;"",EDATE($D106,Milestones!$AA$191)&gt;=$R106),$U106,$T106)))=Milestones!$AB$191),TEXT(EDATE($D106,Milestones!$AA$191),"dd/mm/yy")&amp;" "&amp;Milestones!$AB$191&amp;" "&amp;Milestones!$AC$191&amp;";  ","")&amp;IF(AND(EDATE($D106,Milestones!$AA$192)&lt;=AsOfDate,IF($Q106=0,$W106,IF(AND($S106&lt;&gt;"",EDATE($D106,Milestones!$AA$192)&gt;=$S106),$V106,IF(AND($R106&lt;&gt;"",EDATE($D106,Milestones!$AA$192)&gt;=$R106),$U106,$T106)))=Milestones!$AB$192),TEXT(EDATE($D106,Milestones!$AA$192),"dd/mm/yy")&amp;" "&amp;Milestones!$AB$192&amp;" "&amp;Milestones!$AC$192&amp;";  ","")&amp;IF(AND(EDATE($D106,Milestones!$AA$193)&lt;=AsOfDate,IF($Q106=0,$W106,IF(AND($S106&lt;&gt;"",EDATE($D106,Milestones!$AA$193)&gt;=$S106),$V106,IF(AND($R106&lt;&gt;"",EDATE($D106,Milestones!$AA$193)&gt;=$R106),$U106,$T106)))=Milestones!$AB$193),TEXT(EDATE($D106,Milestones!$AA$193),"dd/mm/yy")&amp;" "&amp;Milestones!$AB$193&amp;" "&amp;Milestones!$AC$193&amp;";  ","")&amp;IF(AND(EDATE($D106,Milestones!$AA$194)&lt;=AsOfDate,IF($Q106=0,$W106,IF(AND($S106&lt;&gt;"",EDATE($D106,Milestones!$AA$194)&gt;=$S106),$V106,IF(AND($R106&lt;&gt;"",EDATE($D106,Milestones!$AA$194)&gt;=$R106),$U106,$T106)))=Milestones!$AB$194),TEXT(EDATE($D106,Milestones!$AA$194),"dd/mm/yy")&amp;" "&amp;Milestones!$AB$194&amp;" "&amp;Milestones!$AC$194&amp;";  ","")&amp;IF(AND(EDATE($D106,Milestones!$AA$195)&lt;=AsOfDate,IF($Q106=0,$W106,IF(AND($S106&lt;&gt;"",EDATE($D106,Milestones!$AA$195)&gt;=$S106),$V106,IF(AND($R106&lt;&gt;"",EDATE($D106,Milestones!$AA$195)&gt;=$R106),$U106,$T106)))=Milestones!$AB$195),TEXT(EDATE($D106,Milestones!$AA$195),"dd/mm/yy")&amp;" "&amp;Milestones!$AB$195&amp;" "&amp;Milestones!$AC$195&amp;";  ","")&amp;IF(AND(EDATE($D106,Milestones!$AA$196)&lt;=AsOfDate,IF($Q106=0,$W106,IF(AND($S106&lt;&gt;"",EDATE($D106,Milestones!$AA$196)&gt;=$S106),$V106,IF(AND($R106&lt;&gt;"",EDATE($D106,Milestones!$AA$196)&gt;=$R106),$U106,$T106)))=Milestones!$AB$196),TEXT(EDATE($D106,Milestones!$AA$196),"dd/mm/yy")&amp;" "&amp;Milestones!$AB$196&amp;" "&amp;Milestones!$AC$196&amp;";  ","")&amp;IF(AND(EDATE($D106,Milestones!$AA$197)&lt;=AsOfDate,IF($Q106=0,$W106,IF(AND($S106&lt;&gt;"",EDATE($D106,Milestones!$AA$197)&gt;=$S106),$V106,IF(AND($R106&lt;&gt;"",EDATE($D106,Milestones!$AA$197)&gt;=$R106),$U106,$T106)))=Milestones!$AB$197),TEXT(EDATE($D106,Milestones!$AA$197),"dd/mm/yy")&amp;" "&amp;Milestones!$AB$197&amp;" "&amp;Milestones!$AC$197&amp;";  ","")&amp;IF(AND(EDATE($D106,Milestones!$AA$198)&lt;=AsOfDate,IF($Q106=0,$W106,IF(AND($S106&lt;&gt;"",EDATE($D106,Milestones!$AA$198)&gt;=$S106),$V106,IF(AND($R106&lt;&gt;"",EDATE($D106,Milestones!$AA$198)&gt;=$R106),$U106,$T106)))=Milestones!$AB$198),TEXT(EDATE($D106,Milestones!$AA$198),"dd/mm/yy")&amp;" "&amp;Milestones!$AB$198&amp;" "&amp;Milestones!$AC$198&amp;";  ","")&amp;IF(AND(EDATE($D106,Milestones!$AA$199)&lt;=AsOfDate,IF($Q106=0,$W106,IF(AND($S106&lt;&gt;"",EDATE($D106,Milestones!$AA$199)&gt;=$S106),$V106,IF(AND($R106&lt;&gt;"",EDATE($D106,Milestones!$AA$199)&gt;=$R106),$U106,$T106)))=Milestones!$AB$199),TEXT(EDATE($D106,Milestones!$AA$199),"dd/mm/yy")&amp;" "&amp;Milestones!$AB$199&amp;" "&amp;Milestones!$AC$199&amp;";  ",""))</f>
        <v/>
      </c>
      <c r="Q106" s="0" t="str">
        <f aca="false">IF(Staff!$A106="","",Staff!$AG106)</f>
        <v/>
      </c>
      <c r="R106" s="0" t="str">
        <f aca="false">IF(Staff!$A106="","",Staff!$AI106)</f>
        <v/>
      </c>
      <c r="S106" s="0" t="str">
        <f aca="false">IF(Staff!$A106="","",Staff!$AJ106)</f>
        <v/>
      </c>
      <c r="T106" s="0" t="str">
        <f aca="false">IF(Staff!$A106="","",Staff!$AN106)</f>
        <v/>
      </c>
      <c r="U106" s="0" t="str">
        <f aca="false">IF(Staff!$A106="","",Staff!$AO106)</f>
        <v/>
      </c>
      <c r="V106" s="0" t="str">
        <f aca="false">IF(Staff!$A106="","",Staff!$AP106)</f>
        <v/>
      </c>
      <c r="W106" s="0" t="str">
        <f aca="false">IF(Staff!$A106="","",Staff!$AQ106)</f>
        <v/>
      </c>
    </row>
    <row r="107" customFormat="false" ht="15" hidden="false" customHeight="false" outlineLevel="0" collapsed="false">
      <c r="A107" s="13" t="str">
        <f aca="false">IF(Staff!$A107="","",Staff!$A107)</f>
        <v/>
      </c>
      <c r="B107" s="13" t="str">
        <f aca="false">IF(Staff!$A107="","",Staff!$B107)</f>
        <v/>
      </c>
      <c r="C107" s="13" t="str">
        <f aca="false">IF(Staff!$A107="","",Staff!$C107)</f>
        <v/>
      </c>
      <c r="D107" s="11" t="str">
        <f aca="false">IF(Staff!$A107="","",Staff!$AF107)</f>
        <v/>
      </c>
      <c r="E107" s="13" t="str">
        <f aca="false">IF(Staff!$A107="","",Staff!$O107)</f>
        <v/>
      </c>
      <c r="F107" s="13" t="str">
        <f aca="false">IF(E107="","",E107*HoursPerDay)</f>
        <v/>
      </c>
      <c r="G107" s="26" t="str">
        <f aca="false">IF($A107="","",H107&amp;I107&amp;J107&amp;K107&amp;L107&amp;M107&amp;N107&amp;O107&amp;P107)</f>
        <v/>
      </c>
      <c r="H107" s="0" t="str">
        <f aca="false">IF(OR($A107="",$D107=""),"",IF(AND(EDATE($D107,Milestones!$AA$20)&lt;=AsOfDate,IF($Q107=0,$W107,IF(AND($S107&lt;&gt;"",EDATE($D107,Milestones!$AA$20)&gt;=$S107),$V107,IF(AND($R107&lt;&gt;"",EDATE($D107,Milestones!$AA$20)&gt;=$R107),$U107,$T107)))=Milestones!$AB$20),TEXT(EDATE($D107,Milestones!$AA$20),"dd/mm/yy")&amp;" "&amp;Milestones!$AB$20&amp;" "&amp;Milestones!$AC$20&amp;";  ","")&amp;IF(AND(EDATE($D107,Milestones!$AA$21)&lt;=AsOfDate,IF($Q107=0,$W107,IF(AND($S107&lt;&gt;"",EDATE($D107,Milestones!$AA$21)&gt;=$S107),$V107,IF(AND($R107&lt;&gt;"",EDATE($D107,Milestones!$AA$21)&gt;=$R107),$U107,$T107)))=Milestones!$AB$21),TEXT(EDATE($D107,Milestones!$AA$21),"dd/mm/yy")&amp;" "&amp;Milestones!$AB$21&amp;" "&amp;Milestones!$AC$21&amp;";  ","")&amp;IF(AND(EDATE($D107,Milestones!$AA$22)&lt;=AsOfDate,IF($Q107=0,$W107,IF(AND($S107&lt;&gt;"",EDATE($D107,Milestones!$AA$22)&gt;=$S107),$V107,IF(AND($R107&lt;&gt;"",EDATE($D107,Milestones!$AA$22)&gt;=$R107),$U107,$T107)))=Milestones!$AB$22),TEXT(EDATE($D107,Milestones!$AA$22),"dd/mm/yy")&amp;" "&amp;Milestones!$AB$22&amp;" "&amp;Milestones!$AC$22&amp;";  ","")&amp;IF(AND(EDATE($D107,Milestones!$AA$23)&lt;=AsOfDate,IF($Q107=0,$W107,IF(AND($S107&lt;&gt;"",EDATE($D107,Milestones!$AA$23)&gt;=$S107),$V107,IF(AND($R107&lt;&gt;"",EDATE($D107,Milestones!$AA$23)&gt;=$R107),$U107,$T107)))=Milestones!$AB$23),TEXT(EDATE($D107,Milestones!$AA$23),"dd/mm/yy")&amp;" "&amp;Milestones!$AB$23&amp;" "&amp;Milestones!$AC$23&amp;";  ","")&amp;IF(AND(EDATE($D107,Milestones!$AA$24)&lt;=AsOfDate,IF($Q107=0,$W107,IF(AND($S107&lt;&gt;"",EDATE($D107,Milestones!$AA$24)&gt;=$S107),$V107,IF(AND($R107&lt;&gt;"",EDATE($D107,Milestones!$AA$24)&gt;=$R107),$U107,$T107)))=Milestones!$AB$24),TEXT(EDATE($D107,Milestones!$AA$24),"dd/mm/yy")&amp;" "&amp;Milestones!$AB$24&amp;" "&amp;Milestones!$AC$24&amp;";  ","")&amp;IF(AND(EDATE($D107,Milestones!$AA$25)&lt;=AsOfDate,IF($Q107=0,$W107,IF(AND($S107&lt;&gt;"",EDATE($D107,Milestones!$AA$25)&gt;=$S107),$V107,IF(AND($R107&lt;&gt;"",EDATE($D107,Milestones!$AA$25)&gt;=$R107),$U107,$T107)))=Milestones!$AB$25),TEXT(EDATE($D107,Milestones!$AA$25),"dd/mm/yy")&amp;" "&amp;Milestones!$AB$25&amp;" "&amp;Milestones!$AC$25&amp;";  ","")&amp;IF(AND(EDATE($D107,Milestones!$AA$26)&lt;=AsOfDate,IF($Q107=0,$W107,IF(AND($S107&lt;&gt;"",EDATE($D107,Milestones!$AA$26)&gt;=$S107),$V107,IF(AND($R107&lt;&gt;"",EDATE($D107,Milestones!$AA$26)&gt;=$R107),$U107,$T107)))=Milestones!$AB$26),TEXT(EDATE($D107,Milestones!$AA$26),"dd/mm/yy")&amp;" "&amp;Milestones!$AB$26&amp;" "&amp;Milestones!$AC$26&amp;";  ","")&amp;IF(AND(EDATE($D107,Milestones!$AA$27)&lt;=AsOfDate,IF($Q107=0,$W107,IF(AND($S107&lt;&gt;"",EDATE($D107,Milestones!$AA$27)&gt;=$S107),$V107,IF(AND($R107&lt;&gt;"",EDATE($D107,Milestones!$AA$27)&gt;=$R107),$U107,$T107)))=Milestones!$AB$27),TEXT(EDATE($D107,Milestones!$AA$27),"dd/mm/yy")&amp;" "&amp;Milestones!$AB$27&amp;" "&amp;Milestones!$AC$27&amp;";  ","")&amp;IF(AND(EDATE($D107,Milestones!$AA$28)&lt;=AsOfDate,IF($Q107=0,$W107,IF(AND($S107&lt;&gt;"",EDATE($D107,Milestones!$AA$28)&gt;=$S107),$V107,IF(AND($R107&lt;&gt;"",EDATE($D107,Milestones!$AA$28)&gt;=$R107),$U107,$T107)))=Milestones!$AB$28),TEXT(EDATE($D107,Milestones!$AA$28),"dd/mm/yy")&amp;" "&amp;Milestones!$AB$28&amp;" "&amp;Milestones!$AC$28&amp;";  ","")&amp;IF(AND(EDATE($D107,Milestones!$AA$29)&lt;=AsOfDate,IF($Q107=0,$W107,IF(AND($S107&lt;&gt;"",EDATE($D107,Milestones!$AA$29)&gt;=$S107),$V107,IF(AND($R107&lt;&gt;"",EDATE($D107,Milestones!$AA$29)&gt;=$R107),$U107,$T107)))=Milestones!$AB$29),TEXT(EDATE($D107,Milestones!$AA$29),"dd/mm/yy")&amp;" "&amp;Milestones!$AB$29&amp;" "&amp;Milestones!$AC$29&amp;";  ","")&amp;IF(AND(EDATE($D107,Milestones!$AA$30)&lt;=AsOfDate,IF($Q107=0,$W107,IF(AND($S107&lt;&gt;"",EDATE($D107,Milestones!$AA$30)&gt;=$S107),$V107,IF(AND($R107&lt;&gt;"",EDATE($D107,Milestones!$AA$30)&gt;=$R107),$U107,$T107)))=Milestones!$AB$30),TEXT(EDATE($D107,Milestones!$AA$30),"dd/mm/yy")&amp;" "&amp;Milestones!$AB$30&amp;" "&amp;Milestones!$AC$30&amp;";  ","")&amp;IF(AND(EDATE($D107,Milestones!$AA$31)&lt;=AsOfDate,IF($Q107=0,$W107,IF(AND($S107&lt;&gt;"",EDATE($D107,Milestones!$AA$31)&gt;=$S107),$V107,IF(AND($R107&lt;&gt;"",EDATE($D107,Milestones!$AA$31)&gt;=$R107),$U107,$T107)))=Milestones!$AB$31),TEXT(EDATE($D107,Milestones!$AA$31),"dd/mm/yy")&amp;" "&amp;Milestones!$AB$31&amp;" "&amp;Milestones!$AC$31&amp;";  ","")&amp;IF(AND(EDATE($D107,Milestones!$AA$32)&lt;=AsOfDate,IF($Q107=0,$W107,IF(AND($S107&lt;&gt;"",EDATE($D107,Milestones!$AA$32)&gt;=$S107),$V107,IF(AND($R107&lt;&gt;"",EDATE($D107,Milestones!$AA$32)&gt;=$R107),$U107,$T107)))=Milestones!$AB$32),TEXT(EDATE($D107,Milestones!$AA$32),"dd/mm/yy")&amp;" "&amp;Milestones!$AB$32&amp;" "&amp;Milestones!$AC$32&amp;";  ","")&amp;IF(AND(EDATE($D107,Milestones!$AA$33)&lt;=AsOfDate,IF($Q107=0,$W107,IF(AND($S107&lt;&gt;"",EDATE($D107,Milestones!$AA$33)&gt;=$S107),$V107,IF(AND($R107&lt;&gt;"",EDATE($D107,Milestones!$AA$33)&gt;=$R107),$U107,$T107)))=Milestones!$AB$33),TEXT(EDATE($D107,Milestones!$AA$33),"dd/mm/yy")&amp;" "&amp;Milestones!$AB$33&amp;" "&amp;Milestones!$AC$33&amp;";  ","")&amp;IF(AND(EDATE($D107,Milestones!$AA$34)&lt;=AsOfDate,IF($Q107=0,$W107,IF(AND($S107&lt;&gt;"",EDATE($D107,Milestones!$AA$34)&gt;=$S107),$V107,IF(AND($R107&lt;&gt;"",EDATE($D107,Milestones!$AA$34)&gt;=$R107),$U107,$T107)))=Milestones!$AB$34),TEXT(EDATE($D107,Milestones!$AA$34),"dd/mm/yy")&amp;" "&amp;Milestones!$AB$34&amp;" "&amp;Milestones!$AC$34&amp;";  ","")&amp;IF(AND(EDATE($D107,Milestones!$AA$35)&lt;=AsOfDate,IF($Q107=0,$W107,IF(AND($S107&lt;&gt;"",EDATE($D107,Milestones!$AA$35)&gt;=$S107),$V107,IF(AND($R107&lt;&gt;"",EDATE($D107,Milestones!$AA$35)&gt;=$R107),$U107,$T107)))=Milestones!$AB$35),TEXT(EDATE($D107,Milestones!$AA$35),"dd/mm/yy")&amp;" "&amp;Milestones!$AB$35&amp;" "&amp;Milestones!$AC$35&amp;";  ","")&amp;IF(AND(EDATE($D107,Milestones!$AA$36)&lt;=AsOfDate,IF($Q107=0,$W107,IF(AND($S107&lt;&gt;"",EDATE($D107,Milestones!$AA$36)&gt;=$S107),$V107,IF(AND($R107&lt;&gt;"",EDATE($D107,Milestones!$AA$36)&gt;=$R107),$U107,$T107)))=Milestones!$AB$36),TEXT(EDATE($D107,Milestones!$AA$36),"dd/mm/yy")&amp;" "&amp;Milestones!$AB$36&amp;" "&amp;Milestones!$AC$36&amp;";  ","")&amp;IF(AND(EDATE($D107,Milestones!$AA$37)&lt;=AsOfDate,IF($Q107=0,$W107,IF(AND($S107&lt;&gt;"",EDATE($D107,Milestones!$AA$37)&gt;=$S107),$V107,IF(AND($R107&lt;&gt;"",EDATE($D107,Milestones!$AA$37)&gt;=$R107),$U107,$T107)))=Milestones!$AB$37),TEXT(EDATE($D107,Milestones!$AA$37),"dd/mm/yy")&amp;" "&amp;Milestones!$AB$37&amp;" "&amp;Milestones!$AC$37&amp;";  ","")&amp;IF(AND(EDATE($D107,Milestones!$AA$38)&lt;=AsOfDate,IF($Q107=0,$W107,IF(AND($S107&lt;&gt;"",EDATE($D107,Milestones!$AA$38)&gt;=$S107),$V107,IF(AND($R107&lt;&gt;"",EDATE($D107,Milestones!$AA$38)&gt;=$R107),$U107,$T107)))=Milestones!$AB$38),TEXT(EDATE($D107,Milestones!$AA$38),"dd/mm/yy")&amp;" "&amp;Milestones!$AB$38&amp;" "&amp;Milestones!$AC$38&amp;";  ","")&amp;IF(AND(EDATE($D107,Milestones!$AA$39)&lt;=AsOfDate,IF($Q107=0,$W107,IF(AND($S107&lt;&gt;"",EDATE($D107,Milestones!$AA$39)&gt;=$S107),$V107,IF(AND($R107&lt;&gt;"",EDATE($D107,Milestones!$AA$39)&gt;=$R107),$U107,$T107)))=Milestones!$AB$39),TEXT(EDATE($D107,Milestones!$AA$39),"dd/mm/yy")&amp;" "&amp;Milestones!$AB$39&amp;" "&amp;Milestones!$AC$39&amp;";  ",""))</f>
        <v/>
      </c>
      <c r="I107" s="0" t="str">
        <f aca="false">IF(OR($A107="",$D107=""),"",IF(AND(EDATE($D107,Milestones!$AA$40)&lt;=AsOfDate,IF($Q107=0,$W107,IF(AND($S107&lt;&gt;"",EDATE($D107,Milestones!$AA$40)&gt;=$S107),$V107,IF(AND($R107&lt;&gt;"",EDATE($D107,Milestones!$AA$40)&gt;=$R107),$U107,$T107)))=Milestones!$AB$40),TEXT(EDATE($D107,Milestones!$AA$40),"dd/mm/yy")&amp;" "&amp;Milestones!$AB$40&amp;" "&amp;Milestones!$AC$40&amp;";  ","")&amp;IF(AND(EDATE($D107,Milestones!$AA$41)&lt;=AsOfDate,IF($Q107=0,$W107,IF(AND($S107&lt;&gt;"",EDATE($D107,Milestones!$AA$41)&gt;=$S107),$V107,IF(AND($R107&lt;&gt;"",EDATE($D107,Milestones!$AA$41)&gt;=$R107),$U107,$T107)))=Milestones!$AB$41),TEXT(EDATE($D107,Milestones!$AA$41),"dd/mm/yy")&amp;" "&amp;Milestones!$AB$41&amp;" "&amp;Milestones!$AC$41&amp;";  ","")&amp;IF(AND(EDATE($D107,Milestones!$AA$42)&lt;=AsOfDate,IF($Q107=0,$W107,IF(AND($S107&lt;&gt;"",EDATE($D107,Milestones!$AA$42)&gt;=$S107),$V107,IF(AND($R107&lt;&gt;"",EDATE($D107,Milestones!$AA$42)&gt;=$R107),$U107,$T107)))=Milestones!$AB$42),TEXT(EDATE($D107,Milestones!$AA$42),"dd/mm/yy")&amp;" "&amp;Milestones!$AB$42&amp;" "&amp;Milestones!$AC$42&amp;";  ","")&amp;IF(AND(EDATE($D107,Milestones!$AA$43)&lt;=AsOfDate,IF($Q107=0,$W107,IF(AND($S107&lt;&gt;"",EDATE($D107,Milestones!$AA$43)&gt;=$S107),$V107,IF(AND($R107&lt;&gt;"",EDATE($D107,Milestones!$AA$43)&gt;=$R107),$U107,$T107)))=Milestones!$AB$43),TEXT(EDATE($D107,Milestones!$AA$43),"dd/mm/yy")&amp;" "&amp;Milestones!$AB$43&amp;" "&amp;Milestones!$AC$43&amp;";  ","")&amp;IF(AND(EDATE($D107,Milestones!$AA$44)&lt;=AsOfDate,IF($Q107=0,$W107,IF(AND($S107&lt;&gt;"",EDATE($D107,Milestones!$AA$44)&gt;=$S107),$V107,IF(AND($R107&lt;&gt;"",EDATE($D107,Milestones!$AA$44)&gt;=$R107),$U107,$T107)))=Milestones!$AB$44),TEXT(EDATE($D107,Milestones!$AA$44),"dd/mm/yy")&amp;" "&amp;Milestones!$AB$44&amp;" "&amp;Milestones!$AC$44&amp;";  ","")&amp;IF(AND(EDATE($D107,Milestones!$AA$45)&lt;=AsOfDate,IF($Q107=0,$W107,IF(AND($S107&lt;&gt;"",EDATE($D107,Milestones!$AA$45)&gt;=$S107),$V107,IF(AND($R107&lt;&gt;"",EDATE($D107,Milestones!$AA$45)&gt;=$R107),$U107,$T107)))=Milestones!$AB$45),TEXT(EDATE($D107,Milestones!$AA$45),"dd/mm/yy")&amp;" "&amp;Milestones!$AB$45&amp;" "&amp;Milestones!$AC$45&amp;";  ","")&amp;IF(AND(EDATE($D107,Milestones!$AA$46)&lt;=AsOfDate,IF($Q107=0,$W107,IF(AND($S107&lt;&gt;"",EDATE($D107,Milestones!$AA$46)&gt;=$S107),$V107,IF(AND($R107&lt;&gt;"",EDATE($D107,Milestones!$AA$46)&gt;=$R107),$U107,$T107)))=Milestones!$AB$46),TEXT(EDATE($D107,Milestones!$AA$46),"dd/mm/yy")&amp;" "&amp;Milestones!$AB$46&amp;" "&amp;Milestones!$AC$46&amp;";  ","")&amp;IF(AND(EDATE($D107,Milestones!$AA$47)&lt;=AsOfDate,IF($Q107=0,$W107,IF(AND($S107&lt;&gt;"",EDATE($D107,Milestones!$AA$47)&gt;=$S107),$V107,IF(AND($R107&lt;&gt;"",EDATE($D107,Milestones!$AA$47)&gt;=$R107),$U107,$T107)))=Milestones!$AB$47),TEXT(EDATE($D107,Milestones!$AA$47),"dd/mm/yy")&amp;" "&amp;Milestones!$AB$47&amp;" "&amp;Milestones!$AC$47&amp;";  ","")&amp;IF(AND(EDATE($D107,Milestones!$AA$48)&lt;=AsOfDate,IF($Q107=0,$W107,IF(AND($S107&lt;&gt;"",EDATE($D107,Milestones!$AA$48)&gt;=$S107),$V107,IF(AND($R107&lt;&gt;"",EDATE($D107,Milestones!$AA$48)&gt;=$R107),$U107,$T107)))=Milestones!$AB$48),TEXT(EDATE($D107,Milestones!$AA$48),"dd/mm/yy")&amp;" "&amp;Milestones!$AB$48&amp;" "&amp;Milestones!$AC$48&amp;";  ","")&amp;IF(AND(EDATE($D107,Milestones!$AA$49)&lt;=AsOfDate,IF($Q107=0,$W107,IF(AND($S107&lt;&gt;"",EDATE($D107,Milestones!$AA$49)&gt;=$S107),$V107,IF(AND($R107&lt;&gt;"",EDATE($D107,Milestones!$AA$49)&gt;=$R107),$U107,$T107)))=Milestones!$AB$49),TEXT(EDATE($D107,Milestones!$AA$49),"dd/mm/yy")&amp;" "&amp;Milestones!$AB$49&amp;" "&amp;Milestones!$AC$49&amp;";  ","")&amp;IF(AND(EDATE($D107,Milestones!$AA$50)&lt;=AsOfDate,IF($Q107=0,$W107,IF(AND($S107&lt;&gt;"",EDATE($D107,Milestones!$AA$50)&gt;=$S107),$V107,IF(AND($R107&lt;&gt;"",EDATE($D107,Milestones!$AA$50)&gt;=$R107),$U107,$T107)))=Milestones!$AB$50),TEXT(EDATE($D107,Milestones!$AA$50),"dd/mm/yy")&amp;" "&amp;Milestones!$AB$50&amp;" "&amp;Milestones!$AC$50&amp;";  ","")&amp;IF(AND(EDATE($D107,Milestones!$AA$51)&lt;=AsOfDate,IF($Q107=0,$W107,IF(AND($S107&lt;&gt;"",EDATE($D107,Milestones!$AA$51)&gt;=$S107),$V107,IF(AND($R107&lt;&gt;"",EDATE($D107,Milestones!$AA$51)&gt;=$R107),$U107,$T107)))=Milestones!$AB$51),TEXT(EDATE($D107,Milestones!$AA$51),"dd/mm/yy")&amp;" "&amp;Milestones!$AB$51&amp;" "&amp;Milestones!$AC$51&amp;";  ","")&amp;IF(AND(EDATE($D107,Milestones!$AA$52)&lt;=AsOfDate,IF($Q107=0,$W107,IF(AND($S107&lt;&gt;"",EDATE($D107,Milestones!$AA$52)&gt;=$S107),$V107,IF(AND($R107&lt;&gt;"",EDATE($D107,Milestones!$AA$52)&gt;=$R107),$U107,$T107)))=Milestones!$AB$52),TEXT(EDATE($D107,Milestones!$AA$52),"dd/mm/yy")&amp;" "&amp;Milestones!$AB$52&amp;" "&amp;Milestones!$AC$52&amp;";  ","")&amp;IF(AND(EDATE($D107,Milestones!$AA$53)&lt;=AsOfDate,IF($Q107=0,$W107,IF(AND($S107&lt;&gt;"",EDATE($D107,Milestones!$AA$53)&gt;=$S107),$V107,IF(AND($R107&lt;&gt;"",EDATE($D107,Milestones!$AA$53)&gt;=$R107),$U107,$T107)))=Milestones!$AB$53),TEXT(EDATE($D107,Milestones!$AA$53),"dd/mm/yy")&amp;" "&amp;Milestones!$AB$53&amp;" "&amp;Milestones!$AC$53&amp;";  ","")&amp;IF(AND(EDATE($D107,Milestones!$AA$54)&lt;=AsOfDate,IF($Q107=0,$W107,IF(AND($S107&lt;&gt;"",EDATE($D107,Milestones!$AA$54)&gt;=$S107),$V107,IF(AND($R107&lt;&gt;"",EDATE($D107,Milestones!$AA$54)&gt;=$R107),$U107,$T107)))=Milestones!$AB$54),TEXT(EDATE($D107,Milestones!$AA$54),"dd/mm/yy")&amp;" "&amp;Milestones!$AB$54&amp;" "&amp;Milestones!$AC$54&amp;";  ","")&amp;IF(AND(EDATE($D107,Milestones!$AA$55)&lt;=AsOfDate,IF($Q107=0,$W107,IF(AND($S107&lt;&gt;"",EDATE($D107,Milestones!$AA$55)&gt;=$S107),$V107,IF(AND($R107&lt;&gt;"",EDATE($D107,Milestones!$AA$55)&gt;=$R107),$U107,$T107)))=Milestones!$AB$55),TEXT(EDATE($D107,Milestones!$AA$55),"dd/mm/yy")&amp;" "&amp;Milestones!$AB$55&amp;" "&amp;Milestones!$AC$55&amp;";  ","")&amp;IF(AND(EDATE($D107,Milestones!$AA$56)&lt;=AsOfDate,IF($Q107=0,$W107,IF(AND($S107&lt;&gt;"",EDATE($D107,Milestones!$AA$56)&gt;=$S107),$V107,IF(AND($R107&lt;&gt;"",EDATE($D107,Milestones!$AA$56)&gt;=$R107),$U107,$T107)))=Milestones!$AB$56),TEXT(EDATE($D107,Milestones!$AA$56),"dd/mm/yy")&amp;" "&amp;Milestones!$AB$56&amp;" "&amp;Milestones!$AC$56&amp;";  ","")&amp;IF(AND(EDATE($D107,Milestones!$AA$57)&lt;=AsOfDate,IF($Q107=0,$W107,IF(AND($S107&lt;&gt;"",EDATE($D107,Milestones!$AA$57)&gt;=$S107),$V107,IF(AND($R107&lt;&gt;"",EDATE($D107,Milestones!$AA$57)&gt;=$R107),$U107,$T107)))=Milestones!$AB$57),TEXT(EDATE($D107,Milestones!$AA$57),"dd/mm/yy")&amp;" "&amp;Milestones!$AB$57&amp;" "&amp;Milestones!$AC$57&amp;";  ","")&amp;IF(AND(EDATE($D107,Milestones!$AA$58)&lt;=AsOfDate,IF($Q107=0,$W107,IF(AND($S107&lt;&gt;"",EDATE($D107,Milestones!$AA$58)&gt;=$S107),$V107,IF(AND($R107&lt;&gt;"",EDATE($D107,Milestones!$AA$58)&gt;=$R107),$U107,$T107)))=Milestones!$AB$58),TEXT(EDATE($D107,Milestones!$AA$58),"dd/mm/yy")&amp;" "&amp;Milestones!$AB$58&amp;" "&amp;Milestones!$AC$58&amp;";  ","")&amp;IF(AND(EDATE($D107,Milestones!$AA$59)&lt;=AsOfDate,IF($Q107=0,$W107,IF(AND($S107&lt;&gt;"",EDATE($D107,Milestones!$AA$59)&gt;=$S107),$V107,IF(AND($R107&lt;&gt;"",EDATE($D107,Milestones!$AA$59)&gt;=$R107),$U107,$T107)))=Milestones!$AB$59),TEXT(EDATE($D107,Milestones!$AA$59),"dd/mm/yy")&amp;" "&amp;Milestones!$AB$59&amp;" "&amp;Milestones!$AC$59&amp;";  ",""))</f>
        <v/>
      </c>
      <c r="J107" s="0" t="str">
        <f aca="false">IF(OR($A107="",$D107=""),"",IF(AND(EDATE($D107,Milestones!$AA$60)&lt;=AsOfDate,IF($Q107=0,$W107,IF(AND($S107&lt;&gt;"",EDATE($D107,Milestones!$AA$60)&gt;=$S107),$V107,IF(AND($R107&lt;&gt;"",EDATE($D107,Milestones!$AA$60)&gt;=$R107),$U107,$T107)))=Milestones!$AB$60),TEXT(EDATE($D107,Milestones!$AA$60),"dd/mm/yy")&amp;" "&amp;Milestones!$AB$60&amp;" "&amp;Milestones!$AC$60&amp;";  ","")&amp;IF(AND(EDATE($D107,Milestones!$AA$61)&lt;=AsOfDate,IF($Q107=0,$W107,IF(AND($S107&lt;&gt;"",EDATE($D107,Milestones!$AA$61)&gt;=$S107),$V107,IF(AND($R107&lt;&gt;"",EDATE($D107,Milestones!$AA$61)&gt;=$R107),$U107,$T107)))=Milestones!$AB$61),TEXT(EDATE($D107,Milestones!$AA$61),"dd/mm/yy")&amp;" "&amp;Milestones!$AB$61&amp;" "&amp;Milestones!$AC$61&amp;";  ","")&amp;IF(AND(EDATE($D107,Milestones!$AA$62)&lt;=AsOfDate,IF($Q107=0,$W107,IF(AND($S107&lt;&gt;"",EDATE($D107,Milestones!$AA$62)&gt;=$S107),$V107,IF(AND($R107&lt;&gt;"",EDATE($D107,Milestones!$AA$62)&gt;=$R107),$U107,$T107)))=Milestones!$AB$62),TEXT(EDATE($D107,Milestones!$AA$62),"dd/mm/yy")&amp;" "&amp;Milestones!$AB$62&amp;" "&amp;Milestones!$AC$62&amp;";  ","")&amp;IF(AND(EDATE($D107,Milestones!$AA$63)&lt;=AsOfDate,IF($Q107=0,$W107,IF(AND($S107&lt;&gt;"",EDATE($D107,Milestones!$AA$63)&gt;=$S107),$V107,IF(AND($R107&lt;&gt;"",EDATE($D107,Milestones!$AA$63)&gt;=$R107),$U107,$T107)))=Milestones!$AB$63),TEXT(EDATE($D107,Milestones!$AA$63),"dd/mm/yy")&amp;" "&amp;Milestones!$AB$63&amp;" "&amp;Milestones!$AC$63&amp;";  ","")&amp;IF(AND(EDATE($D107,Milestones!$AA$64)&lt;=AsOfDate,IF($Q107=0,$W107,IF(AND($S107&lt;&gt;"",EDATE($D107,Milestones!$AA$64)&gt;=$S107),$V107,IF(AND($R107&lt;&gt;"",EDATE($D107,Milestones!$AA$64)&gt;=$R107),$U107,$T107)))=Milestones!$AB$64),TEXT(EDATE($D107,Milestones!$AA$64),"dd/mm/yy")&amp;" "&amp;Milestones!$AB$64&amp;" "&amp;Milestones!$AC$64&amp;";  ","")&amp;IF(AND(EDATE($D107,Milestones!$AA$65)&lt;=AsOfDate,IF($Q107=0,$W107,IF(AND($S107&lt;&gt;"",EDATE($D107,Milestones!$AA$65)&gt;=$S107),$V107,IF(AND($R107&lt;&gt;"",EDATE($D107,Milestones!$AA$65)&gt;=$R107),$U107,$T107)))=Milestones!$AB$65),TEXT(EDATE($D107,Milestones!$AA$65),"dd/mm/yy")&amp;" "&amp;Milestones!$AB$65&amp;" "&amp;Milestones!$AC$65&amp;";  ","")&amp;IF(AND(EDATE($D107,Milestones!$AA$66)&lt;=AsOfDate,IF($Q107=0,$W107,IF(AND($S107&lt;&gt;"",EDATE($D107,Milestones!$AA$66)&gt;=$S107),$V107,IF(AND($R107&lt;&gt;"",EDATE($D107,Milestones!$AA$66)&gt;=$R107),$U107,$T107)))=Milestones!$AB$66),TEXT(EDATE($D107,Milestones!$AA$66),"dd/mm/yy")&amp;" "&amp;Milestones!$AB$66&amp;" "&amp;Milestones!$AC$66&amp;";  ","")&amp;IF(AND(EDATE($D107,Milestones!$AA$67)&lt;=AsOfDate,IF($Q107=0,$W107,IF(AND($S107&lt;&gt;"",EDATE($D107,Milestones!$AA$67)&gt;=$S107),$V107,IF(AND($R107&lt;&gt;"",EDATE($D107,Milestones!$AA$67)&gt;=$R107),$U107,$T107)))=Milestones!$AB$67),TEXT(EDATE($D107,Milestones!$AA$67),"dd/mm/yy")&amp;" "&amp;Milestones!$AB$67&amp;" "&amp;Milestones!$AC$67&amp;";  ","")&amp;IF(AND(EDATE($D107,Milestones!$AA$68)&lt;=AsOfDate,IF($Q107=0,$W107,IF(AND($S107&lt;&gt;"",EDATE($D107,Milestones!$AA$68)&gt;=$S107),$V107,IF(AND($R107&lt;&gt;"",EDATE($D107,Milestones!$AA$68)&gt;=$R107),$U107,$T107)))=Milestones!$AB$68),TEXT(EDATE($D107,Milestones!$AA$68),"dd/mm/yy")&amp;" "&amp;Milestones!$AB$68&amp;" "&amp;Milestones!$AC$68&amp;";  ","")&amp;IF(AND(EDATE($D107,Milestones!$AA$69)&lt;=AsOfDate,IF($Q107=0,$W107,IF(AND($S107&lt;&gt;"",EDATE($D107,Milestones!$AA$69)&gt;=$S107),$V107,IF(AND($R107&lt;&gt;"",EDATE($D107,Milestones!$AA$69)&gt;=$R107),$U107,$T107)))=Milestones!$AB$69),TEXT(EDATE($D107,Milestones!$AA$69),"dd/mm/yy")&amp;" "&amp;Milestones!$AB$69&amp;" "&amp;Milestones!$AC$69&amp;";  ","")&amp;IF(AND(EDATE($D107,Milestones!$AA$70)&lt;=AsOfDate,IF($Q107=0,$W107,IF(AND($S107&lt;&gt;"",EDATE($D107,Milestones!$AA$70)&gt;=$S107),$V107,IF(AND($R107&lt;&gt;"",EDATE($D107,Milestones!$AA$70)&gt;=$R107),$U107,$T107)))=Milestones!$AB$70),TEXT(EDATE($D107,Milestones!$AA$70),"dd/mm/yy")&amp;" "&amp;Milestones!$AB$70&amp;" "&amp;Milestones!$AC$70&amp;";  ","")&amp;IF(AND(EDATE($D107,Milestones!$AA$71)&lt;=AsOfDate,IF($Q107=0,$W107,IF(AND($S107&lt;&gt;"",EDATE($D107,Milestones!$AA$71)&gt;=$S107),$V107,IF(AND($R107&lt;&gt;"",EDATE($D107,Milestones!$AA$71)&gt;=$R107),$U107,$T107)))=Milestones!$AB$71),TEXT(EDATE($D107,Milestones!$AA$71),"dd/mm/yy")&amp;" "&amp;Milestones!$AB$71&amp;" "&amp;Milestones!$AC$71&amp;";  ","")&amp;IF(AND(EDATE($D107,Milestones!$AA$72)&lt;=AsOfDate,IF($Q107=0,$W107,IF(AND($S107&lt;&gt;"",EDATE($D107,Milestones!$AA$72)&gt;=$S107),$V107,IF(AND($R107&lt;&gt;"",EDATE($D107,Milestones!$AA$72)&gt;=$R107),$U107,$T107)))=Milestones!$AB$72),TEXT(EDATE($D107,Milestones!$AA$72),"dd/mm/yy")&amp;" "&amp;Milestones!$AB$72&amp;" "&amp;Milestones!$AC$72&amp;";  ","")&amp;IF(AND(EDATE($D107,Milestones!$AA$73)&lt;=AsOfDate,IF($Q107=0,$W107,IF(AND($S107&lt;&gt;"",EDATE($D107,Milestones!$AA$73)&gt;=$S107),$V107,IF(AND($R107&lt;&gt;"",EDATE($D107,Milestones!$AA$73)&gt;=$R107),$U107,$T107)))=Milestones!$AB$73),TEXT(EDATE($D107,Milestones!$AA$73),"dd/mm/yy")&amp;" "&amp;Milestones!$AB$73&amp;" "&amp;Milestones!$AC$73&amp;";  ","")&amp;IF(AND(EDATE($D107,Milestones!$AA$74)&lt;=AsOfDate,IF($Q107=0,$W107,IF(AND($S107&lt;&gt;"",EDATE($D107,Milestones!$AA$74)&gt;=$S107),$V107,IF(AND($R107&lt;&gt;"",EDATE($D107,Milestones!$AA$74)&gt;=$R107),$U107,$T107)))=Milestones!$AB$74),TEXT(EDATE($D107,Milestones!$AA$74),"dd/mm/yy")&amp;" "&amp;Milestones!$AB$74&amp;" "&amp;Milestones!$AC$74&amp;";  ","")&amp;IF(AND(EDATE($D107,Milestones!$AA$75)&lt;=AsOfDate,IF($Q107=0,$W107,IF(AND($S107&lt;&gt;"",EDATE($D107,Milestones!$AA$75)&gt;=$S107),$V107,IF(AND($R107&lt;&gt;"",EDATE($D107,Milestones!$AA$75)&gt;=$R107),$U107,$T107)))=Milestones!$AB$75),TEXT(EDATE($D107,Milestones!$AA$75),"dd/mm/yy")&amp;" "&amp;Milestones!$AB$75&amp;" "&amp;Milestones!$AC$75&amp;";  ","")&amp;IF(AND(EDATE($D107,Milestones!$AA$76)&lt;=AsOfDate,IF($Q107=0,$W107,IF(AND($S107&lt;&gt;"",EDATE($D107,Milestones!$AA$76)&gt;=$S107),$V107,IF(AND($R107&lt;&gt;"",EDATE($D107,Milestones!$AA$76)&gt;=$R107),$U107,$T107)))=Milestones!$AB$76),TEXT(EDATE($D107,Milestones!$AA$76),"dd/mm/yy")&amp;" "&amp;Milestones!$AB$76&amp;" "&amp;Milestones!$AC$76&amp;";  ","")&amp;IF(AND(EDATE($D107,Milestones!$AA$77)&lt;=AsOfDate,IF($Q107=0,$W107,IF(AND($S107&lt;&gt;"",EDATE($D107,Milestones!$AA$77)&gt;=$S107),$V107,IF(AND($R107&lt;&gt;"",EDATE($D107,Milestones!$AA$77)&gt;=$R107),$U107,$T107)))=Milestones!$AB$77),TEXT(EDATE($D107,Milestones!$AA$77),"dd/mm/yy")&amp;" "&amp;Milestones!$AB$77&amp;" "&amp;Milestones!$AC$77&amp;";  ","")&amp;IF(AND(EDATE($D107,Milestones!$AA$78)&lt;=AsOfDate,IF($Q107=0,$W107,IF(AND($S107&lt;&gt;"",EDATE($D107,Milestones!$AA$78)&gt;=$S107),$V107,IF(AND($R107&lt;&gt;"",EDATE($D107,Milestones!$AA$78)&gt;=$R107),$U107,$T107)))=Milestones!$AB$78),TEXT(EDATE($D107,Milestones!$AA$78),"dd/mm/yy")&amp;" "&amp;Milestones!$AB$78&amp;" "&amp;Milestones!$AC$78&amp;";  ","")&amp;IF(AND(EDATE($D107,Milestones!$AA$79)&lt;=AsOfDate,IF($Q107=0,$W107,IF(AND($S107&lt;&gt;"",EDATE($D107,Milestones!$AA$79)&gt;=$S107),$V107,IF(AND($R107&lt;&gt;"",EDATE($D107,Milestones!$AA$79)&gt;=$R107),$U107,$T107)))=Milestones!$AB$79),TEXT(EDATE($D107,Milestones!$AA$79),"dd/mm/yy")&amp;" "&amp;Milestones!$AB$79&amp;" "&amp;Milestones!$AC$79&amp;";  ",""))</f>
        <v/>
      </c>
      <c r="K107" s="0" t="str">
        <f aca="false">IF(OR($A107="",$D107=""),"",IF(AND(EDATE($D107,Milestones!$AA$80)&lt;=AsOfDate,IF($Q107=0,$W107,IF(AND($S107&lt;&gt;"",EDATE($D107,Milestones!$AA$80)&gt;=$S107),$V107,IF(AND($R107&lt;&gt;"",EDATE($D107,Milestones!$AA$80)&gt;=$R107),$U107,$T107)))=Milestones!$AB$80),TEXT(EDATE($D107,Milestones!$AA$80),"dd/mm/yy")&amp;" "&amp;Milestones!$AB$80&amp;" "&amp;Milestones!$AC$80&amp;";  ","")&amp;IF(AND(EDATE($D107,Milestones!$AA$81)&lt;=AsOfDate,IF($Q107=0,$W107,IF(AND($S107&lt;&gt;"",EDATE($D107,Milestones!$AA$81)&gt;=$S107),$V107,IF(AND($R107&lt;&gt;"",EDATE($D107,Milestones!$AA$81)&gt;=$R107),$U107,$T107)))=Milestones!$AB$81),TEXT(EDATE($D107,Milestones!$AA$81),"dd/mm/yy")&amp;" "&amp;Milestones!$AB$81&amp;" "&amp;Milestones!$AC$81&amp;";  ","")&amp;IF(AND(EDATE($D107,Milestones!$AA$82)&lt;=AsOfDate,IF($Q107=0,$W107,IF(AND($S107&lt;&gt;"",EDATE($D107,Milestones!$AA$82)&gt;=$S107),$V107,IF(AND($R107&lt;&gt;"",EDATE($D107,Milestones!$AA$82)&gt;=$R107),$U107,$T107)))=Milestones!$AB$82),TEXT(EDATE($D107,Milestones!$AA$82),"dd/mm/yy")&amp;" "&amp;Milestones!$AB$82&amp;" "&amp;Milestones!$AC$82&amp;";  ","")&amp;IF(AND(EDATE($D107,Milestones!$AA$83)&lt;=AsOfDate,IF($Q107=0,$W107,IF(AND($S107&lt;&gt;"",EDATE($D107,Milestones!$AA$83)&gt;=$S107),$V107,IF(AND($R107&lt;&gt;"",EDATE($D107,Milestones!$AA$83)&gt;=$R107),$U107,$T107)))=Milestones!$AB$83),TEXT(EDATE($D107,Milestones!$AA$83),"dd/mm/yy")&amp;" "&amp;Milestones!$AB$83&amp;" "&amp;Milestones!$AC$83&amp;";  ","")&amp;IF(AND(EDATE($D107,Milestones!$AA$84)&lt;=AsOfDate,IF($Q107=0,$W107,IF(AND($S107&lt;&gt;"",EDATE($D107,Milestones!$AA$84)&gt;=$S107),$V107,IF(AND($R107&lt;&gt;"",EDATE($D107,Milestones!$AA$84)&gt;=$R107),$U107,$T107)))=Milestones!$AB$84),TEXT(EDATE($D107,Milestones!$AA$84),"dd/mm/yy")&amp;" "&amp;Milestones!$AB$84&amp;" "&amp;Milestones!$AC$84&amp;";  ","")&amp;IF(AND(EDATE($D107,Milestones!$AA$85)&lt;=AsOfDate,IF($Q107=0,$W107,IF(AND($S107&lt;&gt;"",EDATE($D107,Milestones!$AA$85)&gt;=$S107),$V107,IF(AND($R107&lt;&gt;"",EDATE($D107,Milestones!$AA$85)&gt;=$R107),$U107,$T107)))=Milestones!$AB$85),TEXT(EDATE($D107,Milestones!$AA$85),"dd/mm/yy")&amp;" "&amp;Milestones!$AB$85&amp;" "&amp;Milestones!$AC$85&amp;";  ","")&amp;IF(AND(EDATE($D107,Milestones!$AA$86)&lt;=AsOfDate,IF($Q107=0,$W107,IF(AND($S107&lt;&gt;"",EDATE($D107,Milestones!$AA$86)&gt;=$S107),$V107,IF(AND($R107&lt;&gt;"",EDATE($D107,Milestones!$AA$86)&gt;=$R107),$U107,$T107)))=Milestones!$AB$86),TEXT(EDATE($D107,Milestones!$AA$86),"dd/mm/yy")&amp;" "&amp;Milestones!$AB$86&amp;" "&amp;Milestones!$AC$86&amp;";  ","")&amp;IF(AND(EDATE($D107,Milestones!$AA$87)&lt;=AsOfDate,IF($Q107=0,$W107,IF(AND($S107&lt;&gt;"",EDATE($D107,Milestones!$AA$87)&gt;=$S107),$V107,IF(AND($R107&lt;&gt;"",EDATE($D107,Milestones!$AA$87)&gt;=$R107),$U107,$T107)))=Milestones!$AB$87),TEXT(EDATE($D107,Milestones!$AA$87),"dd/mm/yy")&amp;" "&amp;Milestones!$AB$87&amp;" "&amp;Milestones!$AC$87&amp;";  ","")&amp;IF(AND(EDATE($D107,Milestones!$AA$88)&lt;=AsOfDate,IF($Q107=0,$W107,IF(AND($S107&lt;&gt;"",EDATE($D107,Milestones!$AA$88)&gt;=$S107),$V107,IF(AND($R107&lt;&gt;"",EDATE($D107,Milestones!$AA$88)&gt;=$R107),$U107,$T107)))=Milestones!$AB$88),TEXT(EDATE($D107,Milestones!$AA$88),"dd/mm/yy")&amp;" "&amp;Milestones!$AB$88&amp;" "&amp;Milestones!$AC$88&amp;";  ","")&amp;IF(AND(EDATE($D107,Milestones!$AA$89)&lt;=AsOfDate,IF($Q107=0,$W107,IF(AND($S107&lt;&gt;"",EDATE($D107,Milestones!$AA$89)&gt;=$S107),$V107,IF(AND($R107&lt;&gt;"",EDATE($D107,Milestones!$AA$89)&gt;=$R107),$U107,$T107)))=Milestones!$AB$89),TEXT(EDATE($D107,Milestones!$AA$89),"dd/mm/yy")&amp;" "&amp;Milestones!$AB$89&amp;" "&amp;Milestones!$AC$89&amp;";  ","")&amp;IF(AND(EDATE($D107,Milestones!$AA$90)&lt;=AsOfDate,IF($Q107=0,$W107,IF(AND($S107&lt;&gt;"",EDATE($D107,Milestones!$AA$90)&gt;=$S107),$V107,IF(AND($R107&lt;&gt;"",EDATE($D107,Milestones!$AA$90)&gt;=$R107),$U107,$T107)))=Milestones!$AB$90),TEXT(EDATE($D107,Milestones!$AA$90),"dd/mm/yy")&amp;" "&amp;Milestones!$AB$90&amp;" "&amp;Milestones!$AC$90&amp;";  ","")&amp;IF(AND(EDATE($D107,Milestones!$AA$91)&lt;=AsOfDate,IF($Q107=0,$W107,IF(AND($S107&lt;&gt;"",EDATE($D107,Milestones!$AA$91)&gt;=$S107),$V107,IF(AND($R107&lt;&gt;"",EDATE($D107,Milestones!$AA$91)&gt;=$R107),$U107,$T107)))=Milestones!$AB$91),TEXT(EDATE($D107,Milestones!$AA$91),"dd/mm/yy")&amp;" "&amp;Milestones!$AB$91&amp;" "&amp;Milestones!$AC$91&amp;";  ","")&amp;IF(AND(EDATE($D107,Milestones!$AA$92)&lt;=AsOfDate,IF($Q107=0,$W107,IF(AND($S107&lt;&gt;"",EDATE($D107,Milestones!$AA$92)&gt;=$S107),$V107,IF(AND($R107&lt;&gt;"",EDATE($D107,Milestones!$AA$92)&gt;=$R107),$U107,$T107)))=Milestones!$AB$92),TEXT(EDATE($D107,Milestones!$AA$92),"dd/mm/yy")&amp;" "&amp;Milestones!$AB$92&amp;" "&amp;Milestones!$AC$92&amp;";  ","")&amp;IF(AND(EDATE($D107,Milestones!$AA$93)&lt;=AsOfDate,IF($Q107=0,$W107,IF(AND($S107&lt;&gt;"",EDATE($D107,Milestones!$AA$93)&gt;=$S107),$V107,IF(AND($R107&lt;&gt;"",EDATE($D107,Milestones!$AA$93)&gt;=$R107),$U107,$T107)))=Milestones!$AB$93),TEXT(EDATE($D107,Milestones!$AA$93),"dd/mm/yy")&amp;" "&amp;Milestones!$AB$93&amp;" "&amp;Milestones!$AC$93&amp;";  ","")&amp;IF(AND(EDATE($D107,Milestones!$AA$94)&lt;=AsOfDate,IF($Q107=0,$W107,IF(AND($S107&lt;&gt;"",EDATE($D107,Milestones!$AA$94)&gt;=$S107),$V107,IF(AND($R107&lt;&gt;"",EDATE($D107,Milestones!$AA$94)&gt;=$R107),$U107,$T107)))=Milestones!$AB$94),TEXT(EDATE($D107,Milestones!$AA$94),"dd/mm/yy")&amp;" "&amp;Milestones!$AB$94&amp;" "&amp;Milestones!$AC$94&amp;";  ","")&amp;IF(AND(EDATE($D107,Milestones!$AA$95)&lt;=AsOfDate,IF($Q107=0,$W107,IF(AND($S107&lt;&gt;"",EDATE($D107,Milestones!$AA$95)&gt;=$S107),$V107,IF(AND($R107&lt;&gt;"",EDATE($D107,Milestones!$AA$95)&gt;=$R107),$U107,$T107)))=Milestones!$AB$95),TEXT(EDATE($D107,Milestones!$AA$95),"dd/mm/yy")&amp;" "&amp;Milestones!$AB$95&amp;" "&amp;Milestones!$AC$95&amp;";  ","")&amp;IF(AND(EDATE($D107,Milestones!$AA$96)&lt;=AsOfDate,IF($Q107=0,$W107,IF(AND($S107&lt;&gt;"",EDATE($D107,Milestones!$AA$96)&gt;=$S107),$V107,IF(AND($R107&lt;&gt;"",EDATE($D107,Milestones!$AA$96)&gt;=$R107),$U107,$T107)))=Milestones!$AB$96),TEXT(EDATE($D107,Milestones!$AA$96),"dd/mm/yy")&amp;" "&amp;Milestones!$AB$96&amp;" "&amp;Milestones!$AC$96&amp;";  ","")&amp;IF(AND(EDATE($D107,Milestones!$AA$97)&lt;=AsOfDate,IF($Q107=0,$W107,IF(AND($S107&lt;&gt;"",EDATE($D107,Milestones!$AA$97)&gt;=$S107),$V107,IF(AND($R107&lt;&gt;"",EDATE($D107,Milestones!$AA$97)&gt;=$R107),$U107,$T107)))=Milestones!$AB$97),TEXT(EDATE($D107,Milestones!$AA$97),"dd/mm/yy")&amp;" "&amp;Milestones!$AB$97&amp;" "&amp;Milestones!$AC$97&amp;";  ","")&amp;IF(AND(EDATE($D107,Milestones!$AA$98)&lt;=AsOfDate,IF($Q107=0,$W107,IF(AND($S107&lt;&gt;"",EDATE($D107,Milestones!$AA$98)&gt;=$S107),$V107,IF(AND($R107&lt;&gt;"",EDATE($D107,Milestones!$AA$98)&gt;=$R107),$U107,$T107)))=Milestones!$AB$98),TEXT(EDATE($D107,Milestones!$AA$98),"dd/mm/yy")&amp;" "&amp;Milestones!$AB$98&amp;" "&amp;Milestones!$AC$98&amp;";  ","")&amp;IF(AND(EDATE($D107,Milestones!$AA$99)&lt;=AsOfDate,IF($Q107=0,$W107,IF(AND($S107&lt;&gt;"",EDATE($D107,Milestones!$AA$99)&gt;=$S107),$V107,IF(AND($R107&lt;&gt;"",EDATE($D107,Milestones!$AA$99)&gt;=$R107),$U107,$T107)))=Milestones!$AB$99),TEXT(EDATE($D107,Milestones!$AA$99),"dd/mm/yy")&amp;" "&amp;Milestones!$AB$99&amp;" "&amp;Milestones!$AC$99&amp;";  ",""))</f>
        <v/>
      </c>
      <c r="L107" s="0" t="str">
        <f aca="false">IF(OR($A107="",$D107=""),"",IF(AND(EDATE($D107,Milestones!$AA$100)&lt;=AsOfDate,IF($Q107=0,$W107,IF(AND($S107&lt;&gt;"",EDATE($D107,Milestones!$AA$100)&gt;=$S107),$V107,IF(AND($R107&lt;&gt;"",EDATE($D107,Milestones!$AA$100)&gt;=$R107),$U107,$T107)))=Milestones!$AB$100),TEXT(EDATE($D107,Milestones!$AA$100),"dd/mm/yy")&amp;" "&amp;Milestones!$AB$100&amp;" "&amp;Milestones!$AC$100&amp;";  ","")&amp;IF(AND(EDATE($D107,Milestones!$AA$101)&lt;=AsOfDate,IF($Q107=0,$W107,IF(AND($S107&lt;&gt;"",EDATE($D107,Milestones!$AA$101)&gt;=$S107),$V107,IF(AND($R107&lt;&gt;"",EDATE($D107,Milestones!$AA$101)&gt;=$R107),$U107,$T107)))=Milestones!$AB$101),TEXT(EDATE($D107,Milestones!$AA$101),"dd/mm/yy")&amp;" "&amp;Milestones!$AB$101&amp;" "&amp;Milestones!$AC$101&amp;";  ","")&amp;IF(AND(EDATE($D107,Milestones!$AA$102)&lt;=AsOfDate,IF($Q107=0,$W107,IF(AND($S107&lt;&gt;"",EDATE($D107,Milestones!$AA$102)&gt;=$S107),$V107,IF(AND($R107&lt;&gt;"",EDATE($D107,Milestones!$AA$102)&gt;=$R107),$U107,$T107)))=Milestones!$AB$102),TEXT(EDATE($D107,Milestones!$AA$102),"dd/mm/yy")&amp;" "&amp;Milestones!$AB$102&amp;" "&amp;Milestones!$AC$102&amp;";  ","")&amp;IF(AND(EDATE($D107,Milestones!$AA$103)&lt;=AsOfDate,IF($Q107=0,$W107,IF(AND($S107&lt;&gt;"",EDATE($D107,Milestones!$AA$103)&gt;=$S107),$V107,IF(AND($R107&lt;&gt;"",EDATE($D107,Milestones!$AA$103)&gt;=$R107),$U107,$T107)))=Milestones!$AB$103),TEXT(EDATE($D107,Milestones!$AA$103),"dd/mm/yy")&amp;" "&amp;Milestones!$AB$103&amp;" "&amp;Milestones!$AC$103&amp;";  ","")&amp;IF(AND(EDATE($D107,Milestones!$AA$104)&lt;=AsOfDate,IF($Q107=0,$W107,IF(AND($S107&lt;&gt;"",EDATE($D107,Milestones!$AA$104)&gt;=$S107),$V107,IF(AND($R107&lt;&gt;"",EDATE($D107,Milestones!$AA$104)&gt;=$R107),$U107,$T107)))=Milestones!$AB$104),TEXT(EDATE($D107,Milestones!$AA$104),"dd/mm/yy")&amp;" "&amp;Milestones!$AB$104&amp;" "&amp;Milestones!$AC$104&amp;";  ","")&amp;IF(AND(EDATE($D107,Milestones!$AA$105)&lt;=AsOfDate,IF($Q107=0,$W107,IF(AND($S107&lt;&gt;"",EDATE($D107,Milestones!$AA$105)&gt;=$S107),$V107,IF(AND($R107&lt;&gt;"",EDATE($D107,Milestones!$AA$105)&gt;=$R107),$U107,$T107)))=Milestones!$AB$105),TEXT(EDATE($D107,Milestones!$AA$105),"dd/mm/yy")&amp;" "&amp;Milestones!$AB$105&amp;" "&amp;Milestones!$AC$105&amp;";  ","")&amp;IF(AND(EDATE($D107,Milestones!$AA$106)&lt;=AsOfDate,IF($Q107=0,$W107,IF(AND($S107&lt;&gt;"",EDATE($D107,Milestones!$AA$106)&gt;=$S107),$V107,IF(AND($R107&lt;&gt;"",EDATE($D107,Milestones!$AA$106)&gt;=$R107),$U107,$T107)))=Milestones!$AB$106),TEXT(EDATE($D107,Milestones!$AA$106),"dd/mm/yy")&amp;" "&amp;Milestones!$AB$106&amp;" "&amp;Milestones!$AC$106&amp;";  ","")&amp;IF(AND(EDATE($D107,Milestones!$AA$107)&lt;=AsOfDate,IF($Q107=0,$W107,IF(AND($S107&lt;&gt;"",EDATE($D107,Milestones!$AA$107)&gt;=$S107),$V107,IF(AND($R107&lt;&gt;"",EDATE($D107,Milestones!$AA$107)&gt;=$R107),$U107,$T107)))=Milestones!$AB$107),TEXT(EDATE($D107,Milestones!$AA$107),"dd/mm/yy")&amp;" "&amp;Milestones!$AB$107&amp;" "&amp;Milestones!$AC$107&amp;";  ","")&amp;IF(AND(EDATE($D107,Milestones!$AA$108)&lt;=AsOfDate,IF($Q107=0,$W107,IF(AND($S107&lt;&gt;"",EDATE($D107,Milestones!$AA$108)&gt;=$S107),$V107,IF(AND($R107&lt;&gt;"",EDATE($D107,Milestones!$AA$108)&gt;=$R107),$U107,$T107)))=Milestones!$AB$108),TEXT(EDATE($D107,Milestones!$AA$108),"dd/mm/yy")&amp;" "&amp;Milestones!$AB$108&amp;" "&amp;Milestones!$AC$108&amp;";  ","")&amp;IF(AND(EDATE($D107,Milestones!$AA$109)&lt;=AsOfDate,IF($Q107=0,$W107,IF(AND($S107&lt;&gt;"",EDATE($D107,Milestones!$AA$109)&gt;=$S107),$V107,IF(AND($R107&lt;&gt;"",EDATE($D107,Milestones!$AA$109)&gt;=$R107),$U107,$T107)))=Milestones!$AB$109),TEXT(EDATE($D107,Milestones!$AA$109),"dd/mm/yy")&amp;" "&amp;Milestones!$AB$109&amp;" "&amp;Milestones!$AC$109&amp;";  ","")&amp;IF(AND(EDATE($D107,Milestones!$AA$110)&lt;=AsOfDate,IF($Q107=0,$W107,IF(AND($S107&lt;&gt;"",EDATE($D107,Milestones!$AA$110)&gt;=$S107),$V107,IF(AND($R107&lt;&gt;"",EDATE($D107,Milestones!$AA$110)&gt;=$R107),$U107,$T107)))=Milestones!$AB$110),TEXT(EDATE($D107,Milestones!$AA$110),"dd/mm/yy")&amp;" "&amp;Milestones!$AB$110&amp;" "&amp;Milestones!$AC$110&amp;";  ","")&amp;IF(AND(EDATE($D107,Milestones!$AA$111)&lt;=AsOfDate,IF($Q107=0,$W107,IF(AND($S107&lt;&gt;"",EDATE($D107,Milestones!$AA$111)&gt;=$S107),$V107,IF(AND($R107&lt;&gt;"",EDATE($D107,Milestones!$AA$111)&gt;=$R107),$U107,$T107)))=Milestones!$AB$111),TEXT(EDATE($D107,Milestones!$AA$111),"dd/mm/yy")&amp;" "&amp;Milestones!$AB$111&amp;" "&amp;Milestones!$AC$111&amp;";  ","")&amp;IF(AND(EDATE($D107,Milestones!$AA$112)&lt;=AsOfDate,IF($Q107=0,$W107,IF(AND($S107&lt;&gt;"",EDATE($D107,Milestones!$AA$112)&gt;=$S107),$V107,IF(AND($R107&lt;&gt;"",EDATE($D107,Milestones!$AA$112)&gt;=$R107),$U107,$T107)))=Milestones!$AB$112),TEXT(EDATE($D107,Milestones!$AA$112),"dd/mm/yy")&amp;" "&amp;Milestones!$AB$112&amp;" "&amp;Milestones!$AC$112&amp;";  ","")&amp;IF(AND(EDATE($D107,Milestones!$AA$113)&lt;=AsOfDate,IF($Q107=0,$W107,IF(AND($S107&lt;&gt;"",EDATE($D107,Milestones!$AA$113)&gt;=$S107),$V107,IF(AND($R107&lt;&gt;"",EDATE($D107,Milestones!$AA$113)&gt;=$R107),$U107,$T107)))=Milestones!$AB$113),TEXT(EDATE($D107,Milestones!$AA$113),"dd/mm/yy")&amp;" "&amp;Milestones!$AB$113&amp;" "&amp;Milestones!$AC$113&amp;";  ","")&amp;IF(AND(EDATE($D107,Milestones!$AA$114)&lt;=AsOfDate,IF($Q107=0,$W107,IF(AND($S107&lt;&gt;"",EDATE($D107,Milestones!$AA$114)&gt;=$S107),$V107,IF(AND($R107&lt;&gt;"",EDATE($D107,Milestones!$AA$114)&gt;=$R107),$U107,$T107)))=Milestones!$AB$114),TEXT(EDATE($D107,Milestones!$AA$114),"dd/mm/yy")&amp;" "&amp;Milestones!$AB$114&amp;" "&amp;Milestones!$AC$114&amp;";  ","")&amp;IF(AND(EDATE($D107,Milestones!$AA$115)&lt;=AsOfDate,IF($Q107=0,$W107,IF(AND($S107&lt;&gt;"",EDATE($D107,Milestones!$AA$115)&gt;=$S107),$V107,IF(AND($R107&lt;&gt;"",EDATE($D107,Milestones!$AA$115)&gt;=$R107),$U107,$T107)))=Milestones!$AB$115),TEXT(EDATE($D107,Milestones!$AA$115),"dd/mm/yy")&amp;" "&amp;Milestones!$AB$115&amp;" "&amp;Milestones!$AC$115&amp;";  ","")&amp;IF(AND(EDATE($D107,Milestones!$AA$116)&lt;=AsOfDate,IF($Q107=0,$W107,IF(AND($S107&lt;&gt;"",EDATE($D107,Milestones!$AA$116)&gt;=$S107),$V107,IF(AND($R107&lt;&gt;"",EDATE($D107,Milestones!$AA$116)&gt;=$R107),$U107,$T107)))=Milestones!$AB$116),TEXT(EDATE($D107,Milestones!$AA$116),"dd/mm/yy")&amp;" "&amp;Milestones!$AB$116&amp;" "&amp;Milestones!$AC$116&amp;";  ","")&amp;IF(AND(EDATE($D107,Milestones!$AA$117)&lt;=AsOfDate,IF($Q107=0,$W107,IF(AND($S107&lt;&gt;"",EDATE($D107,Milestones!$AA$117)&gt;=$S107),$V107,IF(AND($R107&lt;&gt;"",EDATE($D107,Milestones!$AA$117)&gt;=$R107),$U107,$T107)))=Milestones!$AB$117),TEXT(EDATE($D107,Milestones!$AA$117),"dd/mm/yy")&amp;" "&amp;Milestones!$AB$117&amp;" "&amp;Milestones!$AC$117&amp;";  ","")&amp;IF(AND(EDATE($D107,Milestones!$AA$118)&lt;=AsOfDate,IF($Q107=0,$W107,IF(AND($S107&lt;&gt;"",EDATE($D107,Milestones!$AA$118)&gt;=$S107),$V107,IF(AND($R107&lt;&gt;"",EDATE($D107,Milestones!$AA$118)&gt;=$R107),$U107,$T107)))=Milestones!$AB$118),TEXT(EDATE($D107,Milestones!$AA$118),"dd/mm/yy")&amp;" "&amp;Milestones!$AB$118&amp;" "&amp;Milestones!$AC$118&amp;";  ","")&amp;IF(AND(EDATE($D107,Milestones!$AA$119)&lt;=AsOfDate,IF($Q107=0,$W107,IF(AND($S107&lt;&gt;"",EDATE($D107,Milestones!$AA$119)&gt;=$S107),$V107,IF(AND($R107&lt;&gt;"",EDATE($D107,Milestones!$AA$119)&gt;=$R107),$U107,$T107)))=Milestones!$AB$119),TEXT(EDATE($D107,Milestones!$AA$119),"dd/mm/yy")&amp;" "&amp;Milestones!$AB$119&amp;" "&amp;Milestones!$AC$119&amp;";  ",""))</f>
        <v/>
      </c>
      <c r="M107" s="0" t="str">
        <f aca="false">IF(OR($A107="",$D107=""),"",IF(AND(EDATE($D107,Milestones!$AA$120)&lt;=AsOfDate,IF($Q107=0,$W107,IF(AND($S107&lt;&gt;"",EDATE($D107,Milestones!$AA$120)&gt;=$S107),$V107,IF(AND($R107&lt;&gt;"",EDATE($D107,Milestones!$AA$120)&gt;=$R107),$U107,$T107)))=Milestones!$AB$120),TEXT(EDATE($D107,Milestones!$AA$120),"dd/mm/yy")&amp;" "&amp;Milestones!$AB$120&amp;" "&amp;Milestones!$AC$120&amp;";  ","")&amp;IF(AND(EDATE($D107,Milestones!$AA$121)&lt;=AsOfDate,IF($Q107=0,$W107,IF(AND($S107&lt;&gt;"",EDATE($D107,Milestones!$AA$121)&gt;=$S107),$V107,IF(AND($R107&lt;&gt;"",EDATE($D107,Milestones!$AA$121)&gt;=$R107),$U107,$T107)))=Milestones!$AB$121),TEXT(EDATE($D107,Milestones!$AA$121),"dd/mm/yy")&amp;" "&amp;Milestones!$AB$121&amp;" "&amp;Milestones!$AC$121&amp;";  ","")&amp;IF(AND(EDATE($D107,Milestones!$AA$122)&lt;=AsOfDate,IF($Q107=0,$W107,IF(AND($S107&lt;&gt;"",EDATE($D107,Milestones!$AA$122)&gt;=$S107),$V107,IF(AND($R107&lt;&gt;"",EDATE($D107,Milestones!$AA$122)&gt;=$R107),$U107,$T107)))=Milestones!$AB$122),TEXT(EDATE($D107,Milestones!$AA$122),"dd/mm/yy")&amp;" "&amp;Milestones!$AB$122&amp;" "&amp;Milestones!$AC$122&amp;";  ","")&amp;IF(AND(EDATE($D107,Milestones!$AA$123)&lt;=AsOfDate,IF($Q107=0,$W107,IF(AND($S107&lt;&gt;"",EDATE($D107,Milestones!$AA$123)&gt;=$S107),$V107,IF(AND($R107&lt;&gt;"",EDATE($D107,Milestones!$AA$123)&gt;=$R107),$U107,$T107)))=Milestones!$AB$123),TEXT(EDATE($D107,Milestones!$AA$123),"dd/mm/yy")&amp;" "&amp;Milestones!$AB$123&amp;" "&amp;Milestones!$AC$123&amp;";  ","")&amp;IF(AND(EDATE($D107,Milestones!$AA$124)&lt;=AsOfDate,IF($Q107=0,$W107,IF(AND($S107&lt;&gt;"",EDATE($D107,Milestones!$AA$124)&gt;=$S107),$V107,IF(AND($R107&lt;&gt;"",EDATE($D107,Milestones!$AA$124)&gt;=$R107),$U107,$T107)))=Milestones!$AB$124),TEXT(EDATE($D107,Milestones!$AA$124),"dd/mm/yy")&amp;" "&amp;Milestones!$AB$124&amp;" "&amp;Milestones!$AC$124&amp;";  ","")&amp;IF(AND(EDATE($D107,Milestones!$AA$125)&lt;=AsOfDate,IF($Q107=0,$W107,IF(AND($S107&lt;&gt;"",EDATE($D107,Milestones!$AA$125)&gt;=$S107),$V107,IF(AND($R107&lt;&gt;"",EDATE($D107,Milestones!$AA$125)&gt;=$R107),$U107,$T107)))=Milestones!$AB$125),TEXT(EDATE($D107,Milestones!$AA$125),"dd/mm/yy")&amp;" "&amp;Milestones!$AB$125&amp;" "&amp;Milestones!$AC$125&amp;";  ","")&amp;IF(AND(EDATE($D107,Milestones!$AA$126)&lt;=AsOfDate,IF($Q107=0,$W107,IF(AND($S107&lt;&gt;"",EDATE($D107,Milestones!$AA$126)&gt;=$S107),$V107,IF(AND($R107&lt;&gt;"",EDATE($D107,Milestones!$AA$126)&gt;=$R107),$U107,$T107)))=Milestones!$AB$126),TEXT(EDATE($D107,Milestones!$AA$126),"dd/mm/yy")&amp;" "&amp;Milestones!$AB$126&amp;" "&amp;Milestones!$AC$126&amp;";  ","")&amp;IF(AND(EDATE($D107,Milestones!$AA$127)&lt;=AsOfDate,IF($Q107=0,$W107,IF(AND($S107&lt;&gt;"",EDATE($D107,Milestones!$AA$127)&gt;=$S107),$V107,IF(AND($R107&lt;&gt;"",EDATE($D107,Milestones!$AA$127)&gt;=$R107),$U107,$T107)))=Milestones!$AB$127),TEXT(EDATE($D107,Milestones!$AA$127),"dd/mm/yy")&amp;" "&amp;Milestones!$AB$127&amp;" "&amp;Milestones!$AC$127&amp;";  ","")&amp;IF(AND(EDATE($D107,Milestones!$AA$128)&lt;=AsOfDate,IF($Q107=0,$W107,IF(AND($S107&lt;&gt;"",EDATE($D107,Milestones!$AA$128)&gt;=$S107),$V107,IF(AND($R107&lt;&gt;"",EDATE($D107,Milestones!$AA$128)&gt;=$R107),$U107,$T107)))=Milestones!$AB$128),TEXT(EDATE($D107,Milestones!$AA$128),"dd/mm/yy")&amp;" "&amp;Milestones!$AB$128&amp;" "&amp;Milestones!$AC$128&amp;";  ","")&amp;IF(AND(EDATE($D107,Milestones!$AA$129)&lt;=AsOfDate,IF($Q107=0,$W107,IF(AND($S107&lt;&gt;"",EDATE($D107,Milestones!$AA$129)&gt;=$S107),$V107,IF(AND($R107&lt;&gt;"",EDATE($D107,Milestones!$AA$129)&gt;=$R107),$U107,$T107)))=Milestones!$AB$129),TEXT(EDATE($D107,Milestones!$AA$129),"dd/mm/yy")&amp;" "&amp;Milestones!$AB$129&amp;" "&amp;Milestones!$AC$129&amp;";  ","")&amp;IF(AND(EDATE($D107,Milestones!$AA$130)&lt;=AsOfDate,IF($Q107=0,$W107,IF(AND($S107&lt;&gt;"",EDATE($D107,Milestones!$AA$130)&gt;=$S107),$V107,IF(AND($R107&lt;&gt;"",EDATE($D107,Milestones!$AA$130)&gt;=$R107),$U107,$T107)))=Milestones!$AB$130),TEXT(EDATE($D107,Milestones!$AA$130),"dd/mm/yy")&amp;" "&amp;Milestones!$AB$130&amp;" "&amp;Milestones!$AC$130&amp;";  ","")&amp;IF(AND(EDATE($D107,Milestones!$AA$131)&lt;=AsOfDate,IF($Q107=0,$W107,IF(AND($S107&lt;&gt;"",EDATE($D107,Milestones!$AA$131)&gt;=$S107),$V107,IF(AND($R107&lt;&gt;"",EDATE($D107,Milestones!$AA$131)&gt;=$R107),$U107,$T107)))=Milestones!$AB$131),TEXT(EDATE($D107,Milestones!$AA$131),"dd/mm/yy")&amp;" "&amp;Milestones!$AB$131&amp;" "&amp;Milestones!$AC$131&amp;";  ","")&amp;IF(AND(EDATE($D107,Milestones!$AA$132)&lt;=AsOfDate,IF($Q107=0,$W107,IF(AND($S107&lt;&gt;"",EDATE($D107,Milestones!$AA$132)&gt;=$S107),$V107,IF(AND($R107&lt;&gt;"",EDATE($D107,Milestones!$AA$132)&gt;=$R107),$U107,$T107)))=Milestones!$AB$132),TEXT(EDATE($D107,Milestones!$AA$132),"dd/mm/yy")&amp;" "&amp;Milestones!$AB$132&amp;" "&amp;Milestones!$AC$132&amp;";  ","")&amp;IF(AND(EDATE($D107,Milestones!$AA$133)&lt;=AsOfDate,IF($Q107=0,$W107,IF(AND($S107&lt;&gt;"",EDATE($D107,Milestones!$AA$133)&gt;=$S107),$V107,IF(AND($R107&lt;&gt;"",EDATE($D107,Milestones!$AA$133)&gt;=$R107),$U107,$T107)))=Milestones!$AB$133),TEXT(EDATE($D107,Milestones!$AA$133),"dd/mm/yy")&amp;" "&amp;Milestones!$AB$133&amp;" "&amp;Milestones!$AC$133&amp;";  ","")&amp;IF(AND(EDATE($D107,Milestones!$AA$134)&lt;=AsOfDate,IF($Q107=0,$W107,IF(AND($S107&lt;&gt;"",EDATE($D107,Milestones!$AA$134)&gt;=$S107),$V107,IF(AND($R107&lt;&gt;"",EDATE($D107,Milestones!$AA$134)&gt;=$R107),$U107,$T107)))=Milestones!$AB$134),TEXT(EDATE($D107,Milestones!$AA$134),"dd/mm/yy")&amp;" "&amp;Milestones!$AB$134&amp;" "&amp;Milestones!$AC$134&amp;";  ","")&amp;IF(AND(EDATE($D107,Milestones!$AA$135)&lt;=AsOfDate,IF($Q107=0,$W107,IF(AND($S107&lt;&gt;"",EDATE($D107,Milestones!$AA$135)&gt;=$S107),$V107,IF(AND($R107&lt;&gt;"",EDATE($D107,Milestones!$AA$135)&gt;=$R107),$U107,$T107)))=Milestones!$AB$135),TEXT(EDATE($D107,Milestones!$AA$135),"dd/mm/yy")&amp;" "&amp;Milestones!$AB$135&amp;" "&amp;Milestones!$AC$135&amp;";  ","")&amp;IF(AND(EDATE($D107,Milestones!$AA$136)&lt;=AsOfDate,IF($Q107=0,$W107,IF(AND($S107&lt;&gt;"",EDATE($D107,Milestones!$AA$136)&gt;=$S107),$V107,IF(AND($R107&lt;&gt;"",EDATE($D107,Milestones!$AA$136)&gt;=$R107),$U107,$T107)))=Milestones!$AB$136),TEXT(EDATE($D107,Milestones!$AA$136),"dd/mm/yy")&amp;" "&amp;Milestones!$AB$136&amp;" "&amp;Milestones!$AC$136&amp;";  ","")&amp;IF(AND(EDATE($D107,Milestones!$AA$137)&lt;=AsOfDate,IF($Q107=0,$W107,IF(AND($S107&lt;&gt;"",EDATE($D107,Milestones!$AA$137)&gt;=$S107),$V107,IF(AND($R107&lt;&gt;"",EDATE($D107,Milestones!$AA$137)&gt;=$R107),$U107,$T107)))=Milestones!$AB$137),TEXT(EDATE($D107,Milestones!$AA$137),"dd/mm/yy")&amp;" "&amp;Milestones!$AB$137&amp;" "&amp;Milestones!$AC$137&amp;";  ","")&amp;IF(AND(EDATE($D107,Milestones!$AA$138)&lt;=AsOfDate,IF($Q107=0,$W107,IF(AND($S107&lt;&gt;"",EDATE($D107,Milestones!$AA$138)&gt;=$S107),$V107,IF(AND($R107&lt;&gt;"",EDATE($D107,Milestones!$AA$138)&gt;=$R107),$U107,$T107)))=Milestones!$AB$138),TEXT(EDATE($D107,Milestones!$AA$138),"dd/mm/yy")&amp;" "&amp;Milestones!$AB$138&amp;" "&amp;Milestones!$AC$138&amp;";  ","")&amp;IF(AND(EDATE($D107,Milestones!$AA$139)&lt;=AsOfDate,IF($Q107=0,$W107,IF(AND($S107&lt;&gt;"",EDATE($D107,Milestones!$AA$139)&gt;=$S107),$V107,IF(AND($R107&lt;&gt;"",EDATE($D107,Milestones!$AA$139)&gt;=$R107),$U107,$T107)))=Milestones!$AB$139),TEXT(EDATE($D107,Milestones!$AA$139),"dd/mm/yy")&amp;" "&amp;Milestones!$AB$139&amp;" "&amp;Milestones!$AC$139&amp;";  ",""))</f>
        <v/>
      </c>
      <c r="N107" s="0" t="str">
        <f aca="false">IF(OR($A107="",$D107=""),"",IF(AND(EDATE($D107,Milestones!$AA$140)&lt;=AsOfDate,IF($Q107=0,$W107,IF(AND($S107&lt;&gt;"",EDATE($D107,Milestones!$AA$140)&gt;=$S107),$V107,IF(AND($R107&lt;&gt;"",EDATE($D107,Milestones!$AA$140)&gt;=$R107),$U107,$T107)))=Milestones!$AB$140),TEXT(EDATE($D107,Milestones!$AA$140),"dd/mm/yy")&amp;" "&amp;Milestones!$AB$140&amp;" "&amp;Milestones!$AC$140&amp;";  ","")&amp;IF(AND(EDATE($D107,Milestones!$AA$141)&lt;=AsOfDate,IF($Q107=0,$W107,IF(AND($S107&lt;&gt;"",EDATE($D107,Milestones!$AA$141)&gt;=$S107),$V107,IF(AND($R107&lt;&gt;"",EDATE($D107,Milestones!$AA$141)&gt;=$R107),$U107,$T107)))=Milestones!$AB$141),TEXT(EDATE($D107,Milestones!$AA$141),"dd/mm/yy")&amp;" "&amp;Milestones!$AB$141&amp;" "&amp;Milestones!$AC$141&amp;";  ","")&amp;IF(AND(EDATE($D107,Milestones!$AA$142)&lt;=AsOfDate,IF($Q107=0,$W107,IF(AND($S107&lt;&gt;"",EDATE($D107,Milestones!$AA$142)&gt;=$S107),$V107,IF(AND($R107&lt;&gt;"",EDATE($D107,Milestones!$AA$142)&gt;=$R107),$U107,$T107)))=Milestones!$AB$142),TEXT(EDATE($D107,Milestones!$AA$142),"dd/mm/yy")&amp;" "&amp;Milestones!$AB$142&amp;" "&amp;Milestones!$AC$142&amp;";  ","")&amp;IF(AND(EDATE($D107,Milestones!$AA$143)&lt;=AsOfDate,IF($Q107=0,$W107,IF(AND($S107&lt;&gt;"",EDATE($D107,Milestones!$AA$143)&gt;=$S107),$V107,IF(AND($R107&lt;&gt;"",EDATE($D107,Milestones!$AA$143)&gt;=$R107),$U107,$T107)))=Milestones!$AB$143),TEXT(EDATE($D107,Milestones!$AA$143),"dd/mm/yy")&amp;" "&amp;Milestones!$AB$143&amp;" "&amp;Milestones!$AC$143&amp;";  ","")&amp;IF(AND(EDATE($D107,Milestones!$AA$144)&lt;=AsOfDate,IF($Q107=0,$W107,IF(AND($S107&lt;&gt;"",EDATE($D107,Milestones!$AA$144)&gt;=$S107),$V107,IF(AND($R107&lt;&gt;"",EDATE($D107,Milestones!$AA$144)&gt;=$R107),$U107,$T107)))=Milestones!$AB$144),TEXT(EDATE($D107,Milestones!$AA$144),"dd/mm/yy")&amp;" "&amp;Milestones!$AB$144&amp;" "&amp;Milestones!$AC$144&amp;";  ","")&amp;IF(AND(EDATE($D107,Milestones!$AA$145)&lt;=AsOfDate,IF($Q107=0,$W107,IF(AND($S107&lt;&gt;"",EDATE($D107,Milestones!$AA$145)&gt;=$S107),$V107,IF(AND($R107&lt;&gt;"",EDATE($D107,Milestones!$AA$145)&gt;=$R107),$U107,$T107)))=Milestones!$AB$145),TEXT(EDATE($D107,Milestones!$AA$145),"dd/mm/yy")&amp;" "&amp;Milestones!$AB$145&amp;" "&amp;Milestones!$AC$145&amp;";  ","")&amp;IF(AND(EDATE($D107,Milestones!$AA$146)&lt;=AsOfDate,IF($Q107=0,$W107,IF(AND($S107&lt;&gt;"",EDATE($D107,Milestones!$AA$146)&gt;=$S107),$V107,IF(AND($R107&lt;&gt;"",EDATE($D107,Milestones!$AA$146)&gt;=$R107),$U107,$T107)))=Milestones!$AB$146),TEXT(EDATE($D107,Milestones!$AA$146),"dd/mm/yy")&amp;" "&amp;Milestones!$AB$146&amp;" "&amp;Milestones!$AC$146&amp;";  ","")&amp;IF(AND(EDATE($D107,Milestones!$AA$147)&lt;=AsOfDate,IF($Q107=0,$W107,IF(AND($S107&lt;&gt;"",EDATE($D107,Milestones!$AA$147)&gt;=$S107),$V107,IF(AND($R107&lt;&gt;"",EDATE($D107,Milestones!$AA$147)&gt;=$R107),$U107,$T107)))=Milestones!$AB$147),TEXT(EDATE($D107,Milestones!$AA$147),"dd/mm/yy")&amp;" "&amp;Milestones!$AB$147&amp;" "&amp;Milestones!$AC$147&amp;";  ","")&amp;IF(AND(EDATE($D107,Milestones!$AA$148)&lt;=AsOfDate,IF($Q107=0,$W107,IF(AND($S107&lt;&gt;"",EDATE($D107,Milestones!$AA$148)&gt;=$S107),$V107,IF(AND($R107&lt;&gt;"",EDATE($D107,Milestones!$AA$148)&gt;=$R107),$U107,$T107)))=Milestones!$AB$148),TEXT(EDATE($D107,Milestones!$AA$148),"dd/mm/yy")&amp;" "&amp;Milestones!$AB$148&amp;" "&amp;Milestones!$AC$148&amp;";  ","")&amp;IF(AND(EDATE($D107,Milestones!$AA$149)&lt;=AsOfDate,IF($Q107=0,$W107,IF(AND($S107&lt;&gt;"",EDATE($D107,Milestones!$AA$149)&gt;=$S107),$V107,IF(AND($R107&lt;&gt;"",EDATE($D107,Milestones!$AA$149)&gt;=$R107),$U107,$T107)))=Milestones!$AB$149),TEXT(EDATE($D107,Milestones!$AA$149),"dd/mm/yy")&amp;" "&amp;Milestones!$AB$149&amp;" "&amp;Milestones!$AC$149&amp;";  ","")&amp;IF(AND(EDATE($D107,Milestones!$AA$150)&lt;=AsOfDate,IF($Q107=0,$W107,IF(AND($S107&lt;&gt;"",EDATE($D107,Milestones!$AA$150)&gt;=$S107),$V107,IF(AND($R107&lt;&gt;"",EDATE($D107,Milestones!$AA$150)&gt;=$R107),$U107,$T107)))=Milestones!$AB$150),TEXT(EDATE($D107,Milestones!$AA$150),"dd/mm/yy")&amp;" "&amp;Milestones!$AB$150&amp;" "&amp;Milestones!$AC$150&amp;";  ","")&amp;IF(AND(EDATE($D107,Milestones!$AA$151)&lt;=AsOfDate,IF($Q107=0,$W107,IF(AND($S107&lt;&gt;"",EDATE($D107,Milestones!$AA$151)&gt;=$S107),$V107,IF(AND($R107&lt;&gt;"",EDATE($D107,Milestones!$AA$151)&gt;=$R107),$U107,$T107)))=Milestones!$AB$151),TEXT(EDATE($D107,Milestones!$AA$151),"dd/mm/yy")&amp;" "&amp;Milestones!$AB$151&amp;" "&amp;Milestones!$AC$151&amp;";  ","")&amp;IF(AND(EDATE($D107,Milestones!$AA$152)&lt;=AsOfDate,IF($Q107=0,$W107,IF(AND($S107&lt;&gt;"",EDATE($D107,Milestones!$AA$152)&gt;=$S107),$V107,IF(AND($R107&lt;&gt;"",EDATE($D107,Milestones!$AA$152)&gt;=$R107),$U107,$T107)))=Milestones!$AB$152),TEXT(EDATE($D107,Milestones!$AA$152),"dd/mm/yy")&amp;" "&amp;Milestones!$AB$152&amp;" "&amp;Milestones!$AC$152&amp;";  ","")&amp;IF(AND(EDATE($D107,Milestones!$AA$153)&lt;=AsOfDate,IF($Q107=0,$W107,IF(AND($S107&lt;&gt;"",EDATE($D107,Milestones!$AA$153)&gt;=$S107),$V107,IF(AND($R107&lt;&gt;"",EDATE($D107,Milestones!$AA$153)&gt;=$R107),$U107,$T107)))=Milestones!$AB$153),TEXT(EDATE($D107,Milestones!$AA$153),"dd/mm/yy")&amp;" "&amp;Milestones!$AB$153&amp;" "&amp;Milestones!$AC$153&amp;";  ","")&amp;IF(AND(EDATE($D107,Milestones!$AA$154)&lt;=AsOfDate,IF($Q107=0,$W107,IF(AND($S107&lt;&gt;"",EDATE($D107,Milestones!$AA$154)&gt;=$S107),$V107,IF(AND($R107&lt;&gt;"",EDATE($D107,Milestones!$AA$154)&gt;=$R107),$U107,$T107)))=Milestones!$AB$154),TEXT(EDATE($D107,Milestones!$AA$154),"dd/mm/yy")&amp;" "&amp;Milestones!$AB$154&amp;" "&amp;Milestones!$AC$154&amp;";  ","")&amp;IF(AND(EDATE($D107,Milestones!$AA$155)&lt;=AsOfDate,IF($Q107=0,$W107,IF(AND($S107&lt;&gt;"",EDATE($D107,Milestones!$AA$155)&gt;=$S107),$V107,IF(AND($R107&lt;&gt;"",EDATE($D107,Milestones!$AA$155)&gt;=$R107),$U107,$T107)))=Milestones!$AB$155),TEXT(EDATE($D107,Milestones!$AA$155),"dd/mm/yy")&amp;" "&amp;Milestones!$AB$155&amp;" "&amp;Milestones!$AC$155&amp;";  ","")&amp;IF(AND(EDATE($D107,Milestones!$AA$156)&lt;=AsOfDate,IF($Q107=0,$W107,IF(AND($S107&lt;&gt;"",EDATE($D107,Milestones!$AA$156)&gt;=$S107),$V107,IF(AND($R107&lt;&gt;"",EDATE($D107,Milestones!$AA$156)&gt;=$R107),$U107,$T107)))=Milestones!$AB$156),TEXT(EDATE($D107,Milestones!$AA$156),"dd/mm/yy")&amp;" "&amp;Milestones!$AB$156&amp;" "&amp;Milestones!$AC$156&amp;";  ","")&amp;IF(AND(EDATE($D107,Milestones!$AA$157)&lt;=AsOfDate,IF($Q107=0,$W107,IF(AND($S107&lt;&gt;"",EDATE($D107,Milestones!$AA$157)&gt;=$S107),$V107,IF(AND($R107&lt;&gt;"",EDATE($D107,Milestones!$AA$157)&gt;=$R107),$U107,$T107)))=Milestones!$AB$157),TEXT(EDATE($D107,Milestones!$AA$157),"dd/mm/yy")&amp;" "&amp;Milestones!$AB$157&amp;" "&amp;Milestones!$AC$157&amp;";  ","")&amp;IF(AND(EDATE($D107,Milestones!$AA$158)&lt;=AsOfDate,IF($Q107=0,$W107,IF(AND($S107&lt;&gt;"",EDATE($D107,Milestones!$AA$158)&gt;=$S107),$V107,IF(AND($R107&lt;&gt;"",EDATE($D107,Milestones!$AA$158)&gt;=$R107),$U107,$T107)))=Milestones!$AB$158),TEXT(EDATE($D107,Milestones!$AA$158),"dd/mm/yy")&amp;" "&amp;Milestones!$AB$158&amp;" "&amp;Milestones!$AC$158&amp;";  ","")&amp;IF(AND(EDATE($D107,Milestones!$AA$159)&lt;=AsOfDate,IF($Q107=0,$W107,IF(AND($S107&lt;&gt;"",EDATE($D107,Milestones!$AA$159)&gt;=$S107),$V107,IF(AND($R107&lt;&gt;"",EDATE($D107,Milestones!$AA$159)&gt;=$R107),$U107,$T107)))=Milestones!$AB$159),TEXT(EDATE($D107,Milestones!$AA$159),"dd/mm/yy")&amp;" "&amp;Milestones!$AB$159&amp;" "&amp;Milestones!$AC$159&amp;";  ",""))</f>
        <v/>
      </c>
      <c r="O107" s="0" t="str">
        <f aca="false">IF(OR($A107="",$D107=""),"",IF(AND(EDATE($D107,Milestones!$AA$160)&lt;=AsOfDate,IF($Q107=0,$W107,IF(AND($S107&lt;&gt;"",EDATE($D107,Milestones!$AA$160)&gt;=$S107),$V107,IF(AND($R107&lt;&gt;"",EDATE($D107,Milestones!$AA$160)&gt;=$R107),$U107,$T107)))=Milestones!$AB$160),TEXT(EDATE($D107,Milestones!$AA$160),"dd/mm/yy")&amp;" "&amp;Milestones!$AB$160&amp;" "&amp;Milestones!$AC$160&amp;";  ","")&amp;IF(AND(EDATE($D107,Milestones!$AA$161)&lt;=AsOfDate,IF($Q107=0,$W107,IF(AND($S107&lt;&gt;"",EDATE($D107,Milestones!$AA$161)&gt;=$S107),$V107,IF(AND($R107&lt;&gt;"",EDATE($D107,Milestones!$AA$161)&gt;=$R107),$U107,$T107)))=Milestones!$AB$161),TEXT(EDATE($D107,Milestones!$AA$161),"dd/mm/yy")&amp;" "&amp;Milestones!$AB$161&amp;" "&amp;Milestones!$AC$161&amp;";  ","")&amp;IF(AND(EDATE($D107,Milestones!$AA$162)&lt;=AsOfDate,IF($Q107=0,$W107,IF(AND($S107&lt;&gt;"",EDATE($D107,Milestones!$AA$162)&gt;=$S107),$V107,IF(AND($R107&lt;&gt;"",EDATE($D107,Milestones!$AA$162)&gt;=$R107),$U107,$T107)))=Milestones!$AB$162),TEXT(EDATE($D107,Milestones!$AA$162),"dd/mm/yy")&amp;" "&amp;Milestones!$AB$162&amp;" "&amp;Milestones!$AC$162&amp;";  ","")&amp;IF(AND(EDATE($D107,Milestones!$AA$163)&lt;=AsOfDate,IF($Q107=0,$W107,IF(AND($S107&lt;&gt;"",EDATE($D107,Milestones!$AA$163)&gt;=$S107),$V107,IF(AND($R107&lt;&gt;"",EDATE($D107,Milestones!$AA$163)&gt;=$R107),$U107,$T107)))=Milestones!$AB$163),TEXT(EDATE($D107,Milestones!$AA$163),"dd/mm/yy")&amp;" "&amp;Milestones!$AB$163&amp;" "&amp;Milestones!$AC$163&amp;";  ","")&amp;IF(AND(EDATE($D107,Milestones!$AA$164)&lt;=AsOfDate,IF($Q107=0,$W107,IF(AND($S107&lt;&gt;"",EDATE($D107,Milestones!$AA$164)&gt;=$S107),$V107,IF(AND($R107&lt;&gt;"",EDATE($D107,Milestones!$AA$164)&gt;=$R107),$U107,$T107)))=Milestones!$AB$164),TEXT(EDATE($D107,Milestones!$AA$164),"dd/mm/yy")&amp;" "&amp;Milestones!$AB$164&amp;" "&amp;Milestones!$AC$164&amp;";  ","")&amp;IF(AND(EDATE($D107,Milestones!$AA$165)&lt;=AsOfDate,IF($Q107=0,$W107,IF(AND($S107&lt;&gt;"",EDATE($D107,Milestones!$AA$165)&gt;=$S107),$V107,IF(AND($R107&lt;&gt;"",EDATE($D107,Milestones!$AA$165)&gt;=$R107),$U107,$T107)))=Milestones!$AB$165),TEXT(EDATE($D107,Milestones!$AA$165),"dd/mm/yy")&amp;" "&amp;Milestones!$AB$165&amp;" "&amp;Milestones!$AC$165&amp;";  ","")&amp;IF(AND(EDATE($D107,Milestones!$AA$166)&lt;=AsOfDate,IF($Q107=0,$W107,IF(AND($S107&lt;&gt;"",EDATE($D107,Milestones!$AA$166)&gt;=$S107),$V107,IF(AND($R107&lt;&gt;"",EDATE($D107,Milestones!$AA$166)&gt;=$R107),$U107,$T107)))=Milestones!$AB$166),TEXT(EDATE($D107,Milestones!$AA$166),"dd/mm/yy")&amp;" "&amp;Milestones!$AB$166&amp;" "&amp;Milestones!$AC$166&amp;";  ","")&amp;IF(AND(EDATE($D107,Milestones!$AA$167)&lt;=AsOfDate,IF($Q107=0,$W107,IF(AND($S107&lt;&gt;"",EDATE($D107,Milestones!$AA$167)&gt;=$S107),$V107,IF(AND($R107&lt;&gt;"",EDATE($D107,Milestones!$AA$167)&gt;=$R107),$U107,$T107)))=Milestones!$AB$167),TEXT(EDATE($D107,Milestones!$AA$167),"dd/mm/yy")&amp;" "&amp;Milestones!$AB$167&amp;" "&amp;Milestones!$AC$167&amp;";  ","")&amp;IF(AND(EDATE($D107,Milestones!$AA$168)&lt;=AsOfDate,IF($Q107=0,$W107,IF(AND($S107&lt;&gt;"",EDATE($D107,Milestones!$AA$168)&gt;=$S107),$V107,IF(AND($R107&lt;&gt;"",EDATE($D107,Milestones!$AA$168)&gt;=$R107),$U107,$T107)))=Milestones!$AB$168),TEXT(EDATE($D107,Milestones!$AA$168),"dd/mm/yy")&amp;" "&amp;Milestones!$AB$168&amp;" "&amp;Milestones!$AC$168&amp;";  ","")&amp;IF(AND(EDATE($D107,Milestones!$AA$169)&lt;=AsOfDate,IF($Q107=0,$W107,IF(AND($S107&lt;&gt;"",EDATE($D107,Milestones!$AA$169)&gt;=$S107),$V107,IF(AND($R107&lt;&gt;"",EDATE($D107,Milestones!$AA$169)&gt;=$R107),$U107,$T107)))=Milestones!$AB$169),TEXT(EDATE($D107,Milestones!$AA$169),"dd/mm/yy")&amp;" "&amp;Milestones!$AB$169&amp;" "&amp;Milestones!$AC$169&amp;";  ","")&amp;IF(AND(EDATE($D107,Milestones!$AA$170)&lt;=AsOfDate,IF($Q107=0,$W107,IF(AND($S107&lt;&gt;"",EDATE($D107,Milestones!$AA$170)&gt;=$S107),$V107,IF(AND($R107&lt;&gt;"",EDATE($D107,Milestones!$AA$170)&gt;=$R107),$U107,$T107)))=Milestones!$AB$170),TEXT(EDATE($D107,Milestones!$AA$170),"dd/mm/yy")&amp;" "&amp;Milestones!$AB$170&amp;" "&amp;Milestones!$AC$170&amp;";  ","")&amp;IF(AND(EDATE($D107,Milestones!$AA$171)&lt;=AsOfDate,IF($Q107=0,$W107,IF(AND($S107&lt;&gt;"",EDATE($D107,Milestones!$AA$171)&gt;=$S107),$V107,IF(AND($R107&lt;&gt;"",EDATE($D107,Milestones!$AA$171)&gt;=$R107),$U107,$T107)))=Milestones!$AB$171),TEXT(EDATE($D107,Milestones!$AA$171),"dd/mm/yy")&amp;" "&amp;Milestones!$AB$171&amp;" "&amp;Milestones!$AC$171&amp;";  ","")&amp;IF(AND(EDATE($D107,Milestones!$AA$172)&lt;=AsOfDate,IF($Q107=0,$W107,IF(AND($S107&lt;&gt;"",EDATE($D107,Milestones!$AA$172)&gt;=$S107),$V107,IF(AND($R107&lt;&gt;"",EDATE($D107,Milestones!$AA$172)&gt;=$R107),$U107,$T107)))=Milestones!$AB$172),TEXT(EDATE($D107,Milestones!$AA$172),"dd/mm/yy")&amp;" "&amp;Milestones!$AB$172&amp;" "&amp;Milestones!$AC$172&amp;";  ","")&amp;IF(AND(EDATE($D107,Milestones!$AA$173)&lt;=AsOfDate,IF($Q107=0,$W107,IF(AND($S107&lt;&gt;"",EDATE($D107,Milestones!$AA$173)&gt;=$S107),$V107,IF(AND($R107&lt;&gt;"",EDATE($D107,Milestones!$AA$173)&gt;=$R107),$U107,$T107)))=Milestones!$AB$173),TEXT(EDATE($D107,Milestones!$AA$173),"dd/mm/yy")&amp;" "&amp;Milestones!$AB$173&amp;" "&amp;Milestones!$AC$173&amp;";  ","")&amp;IF(AND(EDATE($D107,Milestones!$AA$174)&lt;=AsOfDate,IF($Q107=0,$W107,IF(AND($S107&lt;&gt;"",EDATE($D107,Milestones!$AA$174)&gt;=$S107),$V107,IF(AND($R107&lt;&gt;"",EDATE($D107,Milestones!$AA$174)&gt;=$R107),$U107,$T107)))=Milestones!$AB$174),TEXT(EDATE($D107,Milestones!$AA$174),"dd/mm/yy")&amp;" "&amp;Milestones!$AB$174&amp;" "&amp;Milestones!$AC$174&amp;";  ","")&amp;IF(AND(EDATE($D107,Milestones!$AA$175)&lt;=AsOfDate,IF($Q107=0,$W107,IF(AND($S107&lt;&gt;"",EDATE($D107,Milestones!$AA$175)&gt;=$S107),$V107,IF(AND($R107&lt;&gt;"",EDATE($D107,Milestones!$AA$175)&gt;=$R107),$U107,$T107)))=Milestones!$AB$175),TEXT(EDATE($D107,Milestones!$AA$175),"dd/mm/yy")&amp;" "&amp;Milestones!$AB$175&amp;" "&amp;Milestones!$AC$175&amp;";  ","")&amp;IF(AND(EDATE($D107,Milestones!$AA$176)&lt;=AsOfDate,IF($Q107=0,$W107,IF(AND($S107&lt;&gt;"",EDATE($D107,Milestones!$AA$176)&gt;=$S107),$V107,IF(AND($R107&lt;&gt;"",EDATE($D107,Milestones!$AA$176)&gt;=$R107),$U107,$T107)))=Milestones!$AB$176),TEXT(EDATE($D107,Milestones!$AA$176),"dd/mm/yy")&amp;" "&amp;Milestones!$AB$176&amp;" "&amp;Milestones!$AC$176&amp;";  ","")&amp;IF(AND(EDATE($D107,Milestones!$AA$177)&lt;=AsOfDate,IF($Q107=0,$W107,IF(AND($S107&lt;&gt;"",EDATE($D107,Milestones!$AA$177)&gt;=$S107),$V107,IF(AND($R107&lt;&gt;"",EDATE($D107,Milestones!$AA$177)&gt;=$R107),$U107,$T107)))=Milestones!$AB$177),TEXT(EDATE($D107,Milestones!$AA$177),"dd/mm/yy")&amp;" "&amp;Milestones!$AB$177&amp;" "&amp;Milestones!$AC$177&amp;";  ","")&amp;IF(AND(EDATE($D107,Milestones!$AA$178)&lt;=AsOfDate,IF($Q107=0,$W107,IF(AND($S107&lt;&gt;"",EDATE($D107,Milestones!$AA$178)&gt;=$S107),$V107,IF(AND($R107&lt;&gt;"",EDATE($D107,Milestones!$AA$178)&gt;=$R107),$U107,$T107)))=Milestones!$AB$178),TEXT(EDATE($D107,Milestones!$AA$178),"dd/mm/yy")&amp;" "&amp;Milestones!$AB$178&amp;" "&amp;Milestones!$AC$178&amp;";  ","")&amp;IF(AND(EDATE($D107,Milestones!$AA$179)&lt;=AsOfDate,IF($Q107=0,$W107,IF(AND($S107&lt;&gt;"",EDATE($D107,Milestones!$AA$179)&gt;=$S107),$V107,IF(AND($R107&lt;&gt;"",EDATE($D107,Milestones!$AA$179)&gt;=$R107),$U107,$T107)))=Milestones!$AB$179),TEXT(EDATE($D107,Milestones!$AA$179),"dd/mm/yy")&amp;" "&amp;Milestones!$AB$179&amp;" "&amp;Milestones!$AC$179&amp;";  ",""))</f>
        <v/>
      </c>
      <c r="P107" s="0" t="str">
        <f aca="false">IF(OR($A107="",$D107=""),"",IF(AND(EDATE($D107,Milestones!$AA$180)&lt;=AsOfDate,IF($Q107=0,$W107,IF(AND($S107&lt;&gt;"",EDATE($D107,Milestones!$AA$180)&gt;=$S107),$V107,IF(AND($R107&lt;&gt;"",EDATE($D107,Milestones!$AA$180)&gt;=$R107),$U107,$T107)))=Milestones!$AB$180),TEXT(EDATE($D107,Milestones!$AA$180),"dd/mm/yy")&amp;" "&amp;Milestones!$AB$180&amp;" "&amp;Milestones!$AC$180&amp;";  ","")&amp;IF(AND(EDATE($D107,Milestones!$AA$181)&lt;=AsOfDate,IF($Q107=0,$W107,IF(AND($S107&lt;&gt;"",EDATE($D107,Milestones!$AA$181)&gt;=$S107),$V107,IF(AND($R107&lt;&gt;"",EDATE($D107,Milestones!$AA$181)&gt;=$R107),$U107,$T107)))=Milestones!$AB$181),TEXT(EDATE($D107,Milestones!$AA$181),"dd/mm/yy")&amp;" "&amp;Milestones!$AB$181&amp;" "&amp;Milestones!$AC$181&amp;";  ","")&amp;IF(AND(EDATE($D107,Milestones!$AA$182)&lt;=AsOfDate,IF($Q107=0,$W107,IF(AND($S107&lt;&gt;"",EDATE($D107,Milestones!$AA$182)&gt;=$S107),$V107,IF(AND($R107&lt;&gt;"",EDATE($D107,Milestones!$AA$182)&gt;=$R107),$U107,$T107)))=Milestones!$AB$182),TEXT(EDATE($D107,Milestones!$AA$182),"dd/mm/yy")&amp;" "&amp;Milestones!$AB$182&amp;" "&amp;Milestones!$AC$182&amp;";  ","")&amp;IF(AND(EDATE($D107,Milestones!$AA$183)&lt;=AsOfDate,IF($Q107=0,$W107,IF(AND($S107&lt;&gt;"",EDATE($D107,Milestones!$AA$183)&gt;=$S107),$V107,IF(AND($R107&lt;&gt;"",EDATE($D107,Milestones!$AA$183)&gt;=$R107),$U107,$T107)))=Milestones!$AB$183),TEXT(EDATE($D107,Milestones!$AA$183),"dd/mm/yy")&amp;" "&amp;Milestones!$AB$183&amp;" "&amp;Milestones!$AC$183&amp;";  ","")&amp;IF(AND(EDATE($D107,Milestones!$AA$184)&lt;=AsOfDate,IF($Q107=0,$W107,IF(AND($S107&lt;&gt;"",EDATE($D107,Milestones!$AA$184)&gt;=$S107),$V107,IF(AND($R107&lt;&gt;"",EDATE($D107,Milestones!$AA$184)&gt;=$R107),$U107,$T107)))=Milestones!$AB$184),TEXT(EDATE($D107,Milestones!$AA$184),"dd/mm/yy")&amp;" "&amp;Milestones!$AB$184&amp;" "&amp;Milestones!$AC$184&amp;";  ","")&amp;IF(AND(EDATE($D107,Milestones!$AA$185)&lt;=AsOfDate,IF($Q107=0,$W107,IF(AND($S107&lt;&gt;"",EDATE($D107,Milestones!$AA$185)&gt;=$S107),$V107,IF(AND($R107&lt;&gt;"",EDATE($D107,Milestones!$AA$185)&gt;=$R107),$U107,$T107)))=Milestones!$AB$185),TEXT(EDATE($D107,Milestones!$AA$185),"dd/mm/yy")&amp;" "&amp;Milestones!$AB$185&amp;" "&amp;Milestones!$AC$185&amp;";  ","")&amp;IF(AND(EDATE($D107,Milestones!$AA$186)&lt;=AsOfDate,IF($Q107=0,$W107,IF(AND($S107&lt;&gt;"",EDATE($D107,Milestones!$AA$186)&gt;=$S107),$V107,IF(AND($R107&lt;&gt;"",EDATE($D107,Milestones!$AA$186)&gt;=$R107),$U107,$T107)))=Milestones!$AB$186),TEXT(EDATE($D107,Milestones!$AA$186),"dd/mm/yy")&amp;" "&amp;Milestones!$AB$186&amp;" "&amp;Milestones!$AC$186&amp;";  ","")&amp;IF(AND(EDATE($D107,Milestones!$AA$187)&lt;=AsOfDate,IF($Q107=0,$W107,IF(AND($S107&lt;&gt;"",EDATE($D107,Milestones!$AA$187)&gt;=$S107),$V107,IF(AND($R107&lt;&gt;"",EDATE($D107,Milestones!$AA$187)&gt;=$R107),$U107,$T107)))=Milestones!$AB$187),TEXT(EDATE($D107,Milestones!$AA$187),"dd/mm/yy")&amp;" "&amp;Milestones!$AB$187&amp;" "&amp;Milestones!$AC$187&amp;";  ","")&amp;IF(AND(EDATE($D107,Milestones!$AA$188)&lt;=AsOfDate,IF($Q107=0,$W107,IF(AND($S107&lt;&gt;"",EDATE($D107,Milestones!$AA$188)&gt;=$S107),$V107,IF(AND($R107&lt;&gt;"",EDATE($D107,Milestones!$AA$188)&gt;=$R107),$U107,$T107)))=Milestones!$AB$188),TEXT(EDATE($D107,Milestones!$AA$188),"dd/mm/yy")&amp;" "&amp;Milestones!$AB$188&amp;" "&amp;Milestones!$AC$188&amp;";  ","")&amp;IF(AND(EDATE($D107,Milestones!$AA$189)&lt;=AsOfDate,IF($Q107=0,$W107,IF(AND($S107&lt;&gt;"",EDATE($D107,Milestones!$AA$189)&gt;=$S107),$V107,IF(AND($R107&lt;&gt;"",EDATE($D107,Milestones!$AA$189)&gt;=$R107),$U107,$T107)))=Milestones!$AB$189),TEXT(EDATE($D107,Milestones!$AA$189),"dd/mm/yy")&amp;" "&amp;Milestones!$AB$189&amp;" "&amp;Milestones!$AC$189&amp;";  ","")&amp;IF(AND(EDATE($D107,Milestones!$AA$190)&lt;=AsOfDate,IF($Q107=0,$W107,IF(AND($S107&lt;&gt;"",EDATE($D107,Milestones!$AA$190)&gt;=$S107),$V107,IF(AND($R107&lt;&gt;"",EDATE($D107,Milestones!$AA$190)&gt;=$R107),$U107,$T107)))=Milestones!$AB$190),TEXT(EDATE($D107,Milestones!$AA$190),"dd/mm/yy")&amp;" "&amp;Milestones!$AB$190&amp;" "&amp;Milestones!$AC$190&amp;";  ","")&amp;IF(AND(EDATE($D107,Milestones!$AA$191)&lt;=AsOfDate,IF($Q107=0,$W107,IF(AND($S107&lt;&gt;"",EDATE($D107,Milestones!$AA$191)&gt;=$S107),$V107,IF(AND($R107&lt;&gt;"",EDATE($D107,Milestones!$AA$191)&gt;=$R107),$U107,$T107)))=Milestones!$AB$191),TEXT(EDATE($D107,Milestones!$AA$191),"dd/mm/yy")&amp;" "&amp;Milestones!$AB$191&amp;" "&amp;Milestones!$AC$191&amp;";  ","")&amp;IF(AND(EDATE($D107,Milestones!$AA$192)&lt;=AsOfDate,IF($Q107=0,$W107,IF(AND($S107&lt;&gt;"",EDATE($D107,Milestones!$AA$192)&gt;=$S107),$V107,IF(AND($R107&lt;&gt;"",EDATE($D107,Milestones!$AA$192)&gt;=$R107),$U107,$T107)))=Milestones!$AB$192),TEXT(EDATE($D107,Milestones!$AA$192),"dd/mm/yy")&amp;" "&amp;Milestones!$AB$192&amp;" "&amp;Milestones!$AC$192&amp;";  ","")&amp;IF(AND(EDATE($D107,Milestones!$AA$193)&lt;=AsOfDate,IF($Q107=0,$W107,IF(AND($S107&lt;&gt;"",EDATE($D107,Milestones!$AA$193)&gt;=$S107),$V107,IF(AND($R107&lt;&gt;"",EDATE($D107,Milestones!$AA$193)&gt;=$R107),$U107,$T107)))=Milestones!$AB$193),TEXT(EDATE($D107,Milestones!$AA$193),"dd/mm/yy")&amp;" "&amp;Milestones!$AB$193&amp;" "&amp;Milestones!$AC$193&amp;";  ","")&amp;IF(AND(EDATE($D107,Milestones!$AA$194)&lt;=AsOfDate,IF($Q107=0,$W107,IF(AND($S107&lt;&gt;"",EDATE($D107,Milestones!$AA$194)&gt;=$S107),$V107,IF(AND($R107&lt;&gt;"",EDATE($D107,Milestones!$AA$194)&gt;=$R107),$U107,$T107)))=Milestones!$AB$194),TEXT(EDATE($D107,Milestones!$AA$194),"dd/mm/yy")&amp;" "&amp;Milestones!$AB$194&amp;" "&amp;Milestones!$AC$194&amp;";  ","")&amp;IF(AND(EDATE($D107,Milestones!$AA$195)&lt;=AsOfDate,IF($Q107=0,$W107,IF(AND($S107&lt;&gt;"",EDATE($D107,Milestones!$AA$195)&gt;=$S107),$V107,IF(AND($R107&lt;&gt;"",EDATE($D107,Milestones!$AA$195)&gt;=$R107),$U107,$T107)))=Milestones!$AB$195),TEXT(EDATE($D107,Milestones!$AA$195),"dd/mm/yy")&amp;" "&amp;Milestones!$AB$195&amp;" "&amp;Milestones!$AC$195&amp;";  ","")&amp;IF(AND(EDATE($D107,Milestones!$AA$196)&lt;=AsOfDate,IF($Q107=0,$W107,IF(AND($S107&lt;&gt;"",EDATE($D107,Milestones!$AA$196)&gt;=$S107),$V107,IF(AND($R107&lt;&gt;"",EDATE($D107,Milestones!$AA$196)&gt;=$R107),$U107,$T107)))=Milestones!$AB$196),TEXT(EDATE($D107,Milestones!$AA$196),"dd/mm/yy")&amp;" "&amp;Milestones!$AB$196&amp;" "&amp;Milestones!$AC$196&amp;";  ","")&amp;IF(AND(EDATE($D107,Milestones!$AA$197)&lt;=AsOfDate,IF($Q107=0,$W107,IF(AND($S107&lt;&gt;"",EDATE($D107,Milestones!$AA$197)&gt;=$S107),$V107,IF(AND($R107&lt;&gt;"",EDATE($D107,Milestones!$AA$197)&gt;=$R107),$U107,$T107)))=Milestones!$AB$197),TEXT(EDATE($D107,Milestones!$AA$197),"dd/mm/yy")&amp;" "&amp;Milestones!$AB$197&amp;" "&amp;Milestones!$AC$197&amp;";  ","")&amp;IF(AND(EDATE($D107,Milestones!$AA$198)&lt;=AsOfDate,IF($Q107=0,$W107,IF(AND($S107&lt;&gt;"",EDATE($D107,Milestones!$AA$198)&gt;=$S107),$V107,IF(AND($R107&lt;&gt;"",EDATE($D107,Milestones!$AA$198)&gt;=$R107),$U107,$T107)))=Milestones!$AB$198),TEXT(EDATE($D107,Milestones!$AA$198),"dd/mm/yy")&amp;" "&amp;Milestones!$AB$198&amp;" "&amp;Milestones!$AC$198&amp;";  ","")&amp;IF(AND(EDATE($D107,Milestones!$AA$199)&lt;=AsOfDate,IF($Q107=0,$W107,IF(AND($S107&lt;&gt;"",EDATE($D107,Milestones!$AA$199)&gt;=$S107),$V107,IF(AND($R107&lt;&gt;"",EDATE($D107,Milestones!$AA$199)&gt;=$R107),$U107,$T107)))=Milestones!$AB$199),TEXT(EDATE($D107,Milestones!$AA$199),"dd/mm/yy")&amp;" "&amp;Milestones!$AB$199&amp;" "&amp;Milestones!$AC$199&amp;";  ",""))</f>
        <v/>
      </c>
      <c r="Q107" s="0" t="str">
        <f aca="false">IF(Staff!$A107="","",Staff!$AG107)</f>
        <v/>
      </c>
      <c r="R107" s="0" t="str">
        <f aca="false">IF(Staff!$A107="","",Staff!$AI107)</f>
        <v/>
      </c>
      <c r="S107" s="0" t="str">
        <f aca="false">IF(Staff!$A107="","",Staff!$AJ107)</f>
        <v/>
      </c>
      <c r="T107" s="0" t="str">
        <f aca="false">IF(Staff!$A107="","",Staff!$AN107)</f>
        <v/>
      </c>
      <c r="U107" s="0" t="str">
        <f aca="false">IF(Staff!$A107="","",Staff!$AO107)</f>
        <v/>
      </c>
      <c r="V107" s="0" t="str">
        <f aca="false">IF(Staff!$A107="","",Staff!$AP107)</f>
        <v/>
      </c>
      <c r="W107" s="0" t="str">
        <f aca="false">IF(Staff!$A107="","",Staff!$AQ107)</f>
        <v/>
      </c>
    </row>
    <row r="108" customFormat="false" ht="15" hidden="false" customHeight="false" outlineLevel="0" collapsed="false">
      <c r="A108" s="13" t="str">
        <f aca="false">IF(Staff!$A108="","",Staff!$A108)</f>
        <v/>
      </c>
      <c r="B108" s="13" t="str">
        <f aca="false">IF(Staff!$A108="","",Staff!$B108)</f>
        <v/>
      </c>
      <c r="C108" s="13" t="str">
        <f aca="false">IF(Staff!$A108="","",Staff!$C108)</f>
        <v/>
      </c>
      <c r="D108" s="11" t="str">
        <f aca="false">IF(Staff!$A108="","",Staff!$AF108)</f>
        <v/>
      </c>
      <c r="E108" s="13" t="str">
        <f aca="false">IF(Staff!$A108="","",Staff!$O108)</f>
        <v/>
      </c>
      <c r="F108" s="13" t="str">
        <f aca="false">IF(E108="","",E108*HoursPerDay)</f>
        <v/>
      </c>
      <c r="G108" s="26" t="str">
        <f aca="false">IF($A108="","",H108&amp;I108&amp;J108&amp;K108&amp;L108&amp;M108&amp;N108&amp;O108&amp;P108)</f>
        <v/>
      </c>
      <c r="H108" s="0" t="str">
        <f aca="false">IF(OR($A108="",$D108=""),"",IF(AND(EDATE($D108,Milestones!$AA$20)&lt;=AsOfDate,IF($Q108=0,$W108,IF(AND($S108&lt;&gt;"",EDATE($D108,Milestones!$AA$20)&gt;=$S108),$V108,IF(AND($R108&lt;&gt;"",EDATE($D108,Milestones!$AA$20)&gt;=$R108),$U108,$T108)))=Milestones!$AB$20),TEXT(EDATE($D108,Milestones!$AA$20),"dd/mm/yy")&amp;" "&amp;Milestones!$AB$20&amp;" "&amp;Milestones!$AC$20&amp;";  ","")&amp;IF(AND(EDATE($D108,Milestones!$AA$21)&lt;=AsOfDate,IF($Q108=0,$W108,IF(AND($S108&lt;&gt;"",EDATE($D108,Milestones!$AA$21)&gt;=$S108),$V108,IF(AND($R108&lt;&gt;"",EDATE($D108,Milestones!$AA$21)&gt;=$R108),$U108,$T108)))=Milestones!$AB$21),TEXT(EDATE($D108,Milestones!$AA$21),"dd/mm/yy")&amp;" "&amp;Milestones!$AB$21&amp;" "&amp;Milestones!$AC$21&amp;";  ","")&amp;IF(AND(EDATE($D108,Milestones!$AA$22)&lt;=AsOfDate,IF($Q108=0,$W108,IF(AND($S108&lt;&gt;"",EDATE($D108,Milestones!$AA$22)&gt;=$S108),$V108,IF(AND($R108&lt;&gt;"",EDATE($D108,Milestones!$AA$22)&gt;=$R108),$U108,$T108)))=Milestones!$AB$22),TEXT(EDATE($D108,Milestones!$AA$22),"dd/mm/yy")&amp;" "&amp;Milestones!$AB$22&amp;" "&amp;Milestones!$AC$22&amp;";  ","")&amp;IF(AND(EDATE($D108,Milestones!$AA$23)&lt;=AsOfDate,IF($Q108=0,$W108,IF(AND($S108&lt;&gt;"",EDATE($D108,Milestones!$AA$23)&gt;=$S108),$V108,IF(AND($R108&lt;&gt;"",EDATE($D108,Milestones!$AA$23)&gt;=$R108),$U108,$T108)))=Milestones!$AB$23),TEXT(EDATE($D108,Milestones!$AA$23),"dd/mm/yy")&amp;" "&amp;Milestones!$AB$23&amp;" "&amp;Milestones!$AC$23&amp;";  ","")&amp;IF(AND(EDATE($D108,Milestones!$AA$24)&lt;=AsOfDate,IF($Q108=0,$W108,IF(AND($S108&lt;&gt;"",EDATE($D108,Milestones!$AA$24)&gt;=$S108),$V108,IF(AND($R108&lt;&gt;"",EDATE($D108,Milestones!$AA$24)&gt;=$R108),$U108,$T108)))=Milestones!$AB$24),TEXT(EDATE($D108,Milestones!$AA$24),"dd/mm/yy")&amp;" "&amp;Milestones!$AB$24&amp;" "&amp;Milestones!$AC$24&amp;";  ","")&amp;IF(AND(EDATE($D108,Milestones!$AA$25)&lt;=AsOfDate,IF($Q108=0,$W108,IF(AND($S108&lt;&gt;"",EDATE($D108,Milestones!$AA$25)&gt;=$S108),$V108,IF(AND($R108&lt;&gt;"",EDATE($D108,Milestones!$AA$25)&gt;=$R108),$U108,$T108)))=Milestones!$AB$25),TEXT(EDATE($D108,Milestones!$AA$25),"dd/mm/yy")&amp;" "&amp;Milestones!$AB$25&amp;" "&amp;Milestones!$AC$25&amp;";  ","")&amp;IF(AND(EDATE($D108,Milestones!$AA$26)&lt;=AsOfDate,IF($Q108=0,$W108,IF(AND($S108&lt;&gt;"",EDATE($D108,Milestones!$AA$26)&gt;=$S108),$V108,IF(AND($R108&lt;&gt;"",EDATE($D108,Milestones!$AA$26)&gt;=$R108),$U108,$T108)))=Milestones!$AB$26),TEXT(EDATE($D108,Milestones!$AA$26),"dd/mm/yy")&amp;" "&amp;Milestones!$AB$26&amp;" "&amp;Milestones!$AC$26&amp;";  ","")&amp;IF(AND(EDATE($D108,Milestones!$AA$27)&lt;=AsOfDate,IF($Q108=0,$W108,IF(AND($S108&lt;&gt;"",EDATE($D108,Milestones!$AA$27)&gt;=$S108),$V108,IF(AND($R108&lt;&gt;"",EDATE($D108,Milestones!$AA$27)&gt;=$R108),$U108,$T108)))=Milestones!$AB$27),TEXT(EDATE($D108,Milestones!$AA$27),"dd/mm/yy")&amp;" "&amp;Milestones!$AB$27&amp;" "&amp;Milestones!$AC$27&amp;";  ","")&amp;IF(AND(EDATE($D108,Milestones!$AA$28)&lt;=AsOfDate,IF($Q108=0,$W108,IF(AND($S108&lt;&gt;"",EDATE($D108,Milestones!$AA$28)&gt;=$S108),$V108,IF(AND($R108&lt;&gt;"",EDATE($D108,Milestones!$AA$28)&gt;=$R108),$U108,$T108)))=Milestones!$AB$28),TEXT(EDATE($D108,Milestones!$AA$28),"dd/mm/yy")&amp;" "&amp;Milestones!$AB$28&amp;" "&amp;Milestones!$AC$28&amp;";  ","")&amp;IF(AND(EDATE($D108,Milestones!$AA$29)&lt;=AsOfDate,IF($Q108=0,$W108,IF(AND($S108&lt;&gt;"",EDATE($D108,Milestones!$AA$29)&gt;=$S108),$V108,IF(AND($R108&lt;&gt;"",EDATE($D108,Milestones!$AA$29)&gt;=$R108),$U108,$T108)))=Milestones!$AB$29),TEXT(EDATE($D108,Milestones!$AA$29),"dd/mm/yy")&amp;" "&amp;Milestones!$AB$29&amp;" "&amp;Milestones!$AC$29&amp;";  ","")&amp;IF(AND(EDATE($D108,Milestones!$AA$30)&lt;=AsOfDate,IF($Q108=0,$W108,IF(AND($S108&lt;&gt;"",EDATE($D108,Milestones!$AA$30)&gt;=$S108),$V108,IF(AND($R108&lt;&gt;"",EDATE($D108,Milestones!$AA$30)&gt;=$R108),$U108,$T108)))=Milestones!$AB$30),TEXT(EDATE($D108,Milestones!$AA$30),"dd/mm/yy")&amp;" "&amp;Milestones!$AB$30&amp;" "&amp;Milestones!$AC$30&amp;";  ","")&amp;IF(AND(EDATE($D108,Milestones!$AA$31)&lt;=AsOfDate,IF($Q108=0,$W108,IF(AND($S108&lt;&gt;"",EDATE($D108,Milestones!$AA$31)&gt;=$S108),$V108,IF(AND($R108&lt;&gt;"",EDATE($D108,Milestones!$AA$31)&gt;=$R108),$U108,$T108)))=Milestones!$AB$31),TEXT(EDATE($D108,Milestones!$AA$31),"dd/mm/yy")&amp;" "&amp;Milestones!$AB$31&amp;" "&amp;Milestones!$AC$31&amp;";  ","")&amp;IF(AND(EDATE($D108,Milestones!$AA$32)&lt;=AsOfDate,IF($Q108=0,$W108,IF(AND($S108&lt;&gt;"",EDATE($D108,Milestones!$AA$32)&gt;=$S108),$V108,IF(AND($R108&lt;&gt;"",EDATE($D108,Milestones!$AA$32)&gt;=$R108),$U108,$T108)))=Milestones!$AB$32),TEXT(EDATE($D108,Milestones!$AA$32),"dd/mm/yy")&amp;" "&amp;Milestones!$AB$32&amp;" "&amp;Milestones!$AC$32&amp;";  ","")&amp;IF(AND(EDATE($D108,Milestones!$AA$33)&lt;=AsOfDate,IF($Q108=0,$W108,IF(AND($S108&lt;&gt;"",EDATE($D108,Milestones!$AA$33)&gt;=$S108),$V108,IF(AND($R108&lt;&gt;"",EDATE($D108,Milestones!$AA$33)&gt;=$R108),$U108,$T108)))=Milestones!$AB$33),TEXT(EDATE($D108,Milestones!$AA$33),"dd/mm/yy")&amp;" "&amp;Milestones!$AB$33&amp;" "&amp;Milestones!$AC$33&amp;";  ","")&amp;IF(AND(EDATE($D108,Milestones!$AA$34)&lt;=AsOfDate,IF($Q108=0,$W108,IF(AND($S108&lt;&gt;"",EDATE($D108,Milestones!$AA$34)&gt;=$S108),$V108,IF(AND($R108&lt;&gt;"",EDATE($D108,Milestones!$AA$34)&gt;=$R108),$U108,$T108)))=Milestones!$AB$34),TEXT(EDATE($D108,Milestones!$AA$34),"dd/mm/yy")&amp;" "&amp;Milestones!$AB$34&amp;" "&amp;Milestones!$AC$34&amp;";  ","")&amp;IF(AND(EDATE($D108,Milestones!$AA$35)&lt;=AsOfDate,IF($Q108=0,$W108,IF(AND($S108&lt;&gt;"",EDATE($D108,Milestones!$AA$35)&gt;=$S108),$V108,IF(AND($R108&lt;&gt;"",EDATE($D108,Milestones!$AA$35)&gt;=$R108),$U108,$T108)))=Milestones!$AB$35),TEXT(EDATE($D108,Milestones!$AA$35),"dd/mm/yy")&amp;" "&amp;Milestones!$AB$35&amp;" "&amp;Milestones!$AC$35&amp;";  ","")&amp;IF(AND(EDATE($D108,Milestones!$AA$36)&lt;=AsOfDate,IF($Q108=0,$W108,IF(AND($S108&lt;&gt;"",EDATE($D108,Milestones!$AA$36)&gt;=$S108),$V108,IF(AND($R108&lt;&gt;"",EDATE($D108,Milestones!$AA$36)&gt;=$R108),$U108,$T108)))=Milestones!$AB$36),TEXT(EDATE($D108,Milestones!$AA$36),"dd/mm/yy")&amp;" "&amp;Milestones!$AB$36&amp;" "&amp;Milestones!$AC$36&amp;";  ","")&amp;IF(AND(EDATE($D108,Milestones!$AA$37)&lt;=AsOfDate,IF($Q108=0,$W108,IF(AND($S108&lt;&gt;"",EDATE($D108,Milestones!$AA$37)&gt;=$S108),$V108,IF(AND($R108&lt;&gt;"",EDATE($D108,Milestones!$AA$37)&gt;=$R108),$U108,$T108)))=Milestones!$AB$37),TEXT(EDATE($D108,Milestones!$AA$37),"dd/mm/yy")&amp;" "&amp;Milestones!$AB$37&amp;" "&amp;Milestones!$AC$37&amp;";  ","")&amp;IF(AND(EDATE($D108,Milestones!$AA$38)&lt;=AsOfDate,IF($Q108=0,$W108,IF(AND($S108&lt;&gt;"",EDATE($D108,Milestones!$AA$38)&gt;=$S108),$V108,IF(AND($R108&lt;&gt;"",EDATE($D108,Milestones!$AA$38)&gt;=$R108),$U108,$T108)))=Milestones!$AB$38),TEXT(EDATE($D108,Milestones!$AA$38),"dd/mm/yy")&amp;" "&amp;Milestones!$AB$38&amp;" "&amp;Milestones!$AC$38&amp;";  ","")&amp;IF(AND(EDATE($D108,Milestones!$AA$39)&lt;=AsOfDate,IF($Q108=0,$W108,IF(AND($S108&lt;&gt;"",EDATE($D108,Milestones!$AA$39)&gt;=$S108),$V108,IF(AND($R108&lt;&gt;"",EDATE($D108,Milestones!$AA$39)&gt;=$R108),$U108,$T108)))=Milestones!$AB$39),TEXT(EDATE($D108,Milestones!$AA$39),"dd/mm/yy")&amp;" "&amp;Milestones!$AB$39&amp;" "&amp;Milestones!$AC$39&amp;";  ",""))</f>
        <v/>
      </c>
      <c r="I108" s="0" t="str">
        <f aca="false">IF(OR($A108="",$D108=""),"",IF(AND(EDATE($D108,Milestones!$AA$40)&lt;=AsOfDate,IF($Q108=0,$W108,IF(AND($S108&lt;&gt;"",EDATE($D108,Milestones!$AA$40)&gt;=$S108),$V108,IF(AND($R108&lt;&gt;"",EDATE($D108,Milestones!$AA$40)&gt;=$R108),$U108,$T108)))=Milestones!$AB$40),TEXT(EDATE($D108,Milestones!$AA$40),"dd/mm/yy")&amp;" "&amp;Milestones!$AB$40&amp;" "&amp;Milestones!$AC$40&amp;";  ","")&amp;IF(AND(EDATE($D108,Milestones!$AA$41)&lt;=AsOfDate,IF($Q108=0,$W108,IF(AND($S108&lt;&gt;"",EDATE($D108,Milestones!$AA$41)&gt;=$S108),$V108,IF(AND($R108&lt;&gt;"",EDATE($D108,Milestones!$AA$41)&gt;=$R108),$U108,$T108)))=Milestones!$AB$41),TEXT(EDATE($D108,Milestones!$AA$41),"dd/mm/yy")&amp;" "&amp;Milestones!$AB$41&amp;" "&amp;Milestones!$AC$41&amp;";  ","")&amp;IF(AND(EDATE($D108,Milestones!$AA$42)&lt;=AsOfDate,IF($Q108=0,$W108,IF(AND($S108&lt;&gt;"",EDATE($D108,Milestones!$AA$42)&gt;=$S108),$V108,IF(AND($R108&lt;&gt;"",EDATE($D108,Milestones!$AA$42)&gt;=$R108),$U108,$T108)))=Milestones!$AB$42),TEXT(EDATE($D108,Milestones!$AA$42),"dd/mm/yy")&amp;" "&amp;Milestones!$AB$42&amp;" "&amp;Milestones!$AC$42&amp;";  ","")&amp;IF(AND(EDATE($D108,Milestones!$AA$43)&lt;=AsOfDate,IF($Q108=0,$W108,IF(AND($S108&lt;&gt;"",EDATE($D108,Milestones!$AA$43)&gt;=$S108),$V108,IF(AND($R108&lt;&gt;"",EDATE($D108,Milestones!$AA$43)&gt;=$R108),$U108,$T108)))=Milestones!$AB$43),TEXT(EDATE($D108,Milestones!$AA$43),"dd/mm/yy")&amp;" "&amp;Milestones!$AB$43&amp;" "&amp;Milestones!$AC$43&amp;";  ","")&amp;IF(AND(EDATE($D108,Milestones!$AA$44)&lt;=AsOfDate,IF($Q108=0,$W108,IF(AND($S108&lt;&gt;"",EDATE($D108,Milestones!$AA$44)&gt;=$S108),$V108,IF(AND($R108&lt;&gt;"",EDATE($D108,Milestones!$AA$44)&gt;=$R108),$U108,$T108)))=Milestones!$AB$44),TEXT(EDATE($D108,Milestones!$AA$44),"dd/mm/yy")&amp;" "&amp;Milestones!$AB$44&amp;" "&amp;Milestones!$AC$44&amp;";  ","")&amp;IF(AND(EDATE($D108,Milestones!$AA$45)&lt;=AsOfDate,IF($Q108=0,$W108,IF(AND($S108&lt;&gt;"",EDATE($D108,Milestones!$AA$45)&gt;=$S108),$V108,IF(AND($R108&lt;&gt;"",EDATE($D108,Milestones!$AA$45)&gt;=$R108),$U108,$T108)))=Milestones!$AB$45),TEXT(EDATE($D108,Milestones!$AA$45),"dd/mm/yy")&amp;" "&amp;Milestones!$AB$45&amp;" "&amp;Milestones!$AC$45&amp;";  ","")&amp;IF(AND(EDATE($D108,Milestones!$AA$46)&lt;=AsOfDate,IF($Q108=0,$W108,IF(AND($S108&lt;&gt;"",EDATE($D108,Milestones!$AA$46)&gt;=$S108),$V108,IF(AND($R108&lt;&gt;"",EDATE($D108,Milestones!$AA$46)&gt;=$R108),$U108,$T108)))=Milestones!$AB$46),TEXT(EDATE($D108,Milestones!$AA$46),"dd/mm/yy")&amp;" "&amp;Milestones!$AB$46&amp;" "&amp;Milestones!$AC$46&amp;";  ","")&amp;IF(AND(EDATE($D108,Milestones!$AA$47)&lt;=AsOfDate,IF($Q108=0,$W108,IF(AND($S108&lt;&gt;"",EDATE($D108,Milestones!$AA$47)&gt;=$S108),$V108,IF(AND($R108&lt;&gt;"",EDATE($D108,Milestones!$AA$47)&gt;=$R108),$U108,$T108)))=Milestones!$AB$47),TEXT(EDATE($D108,Milestones!$AA$47),"dd/mm/yy")&amp;" "&amp;Milestones!$AB$47&amp;" "&amp;Milestones!$AC$47&amp;";  ","")&amp;IF(AND(EDATE($D108,Milestones!$AA$48)&lt;=AsOfDate,IF($Q108=0,$W108,IF(AND($S108&lt;&gt;"",EDATE($D108,Milestones!$AA$48)&gt;=$S108),$V108,IF(AND($R108&lt;&gt;"",EDATE($D108,Milestones!$AA$48)&gt;=$R108),$U108,$T108)))=Milestones!$AB$48),TEXT(EDATE($D108,Milestones!$AA$48),"dd/mm/yy")&amp;" "&amp;Milestones!$AB$48&amp;" "&amp;Milestones!$AC$48&amp;";  ","")&amp;IF(AND(EDATE($D108,Milestones!$AA$49)&lt;=AsOfDate,IF($Q108=0,$W108,IF(AND($S108&lt;&gt;"",EDATE($D108,Milestones!$AA$49)&gt;=$S108),$V108,IF(AND($R108&lt;&gt;"",EDATE($D108,Milestones!$AA$49)&gt;=$R108),$U108,$T108)))=Milestones!$AB$49),TEXT(EDATE($D108,Milestones!$AA$49),"dd/mm/yy")&amp;" "&amp;Milestones!$AB$49&amp;" "&amp;Milestones!$AC$49&amp;";  ","")&amp;IF(AND(EDATE($D108,Milestones!$AA$50)&lt;=AsOfDate,IF($Q108=0,$W108,IF(AND($S108&lt;&gt;"",EDATE($D108,Milestones!$AA$50)&gt;=$S108),$V108,IF(AND($R108&lt;&gt;"",EDATE($D108,Milestones!$AA$50)&gt;=$R108),$U108,$T108)))=Milestones!$AB$50),TEXT(EDATE($D108,Milestones!$AA$50),"dd/mm/yy")&amp;" "&amp;Milestones!$AB$50&amp;" "&amp;Milestones!$AC$50&amp;";  ","")&amp;IF(AND(EDATE($D108,Milestones!$AA$51)&lt;=AsOfDate,IF($Q108=0,$W108,IF(AND($S108&lt;&gt;"",EDATE($D108,Milestones!$AA$51)&gt;=$S108),$V108,IF(AND($R108&lt;&gt;"",EDATE($D108,Milestones!$AA$51)&gt;=$R108),$U108,$T108)))=Milestones!$AB$51),TEXT(EDATE($D108,Milestones!$AA$51),"dd/mm/yy")&amp;" "&amp;Milestones!$AB$51&amp;" "&amp;Milestones!$AC$51&amp;";  ","")&amp;IF(AND(EDATE($D108,Milestones!$AA$52)&lt;=AsOfDate,IF($Q108=0,$W108,IF(AND($S108&lt;&gt;"",EDATE($D108,Milestones!$AA$52)&gt;=$S108),$V108,IF(AND($R108&lt;&gt;"",EDATE($D108,Milestones!$AA$52)&gt;=$R108),$U108,$T108)))=Milestones!$AB$52),TEXT(EDATE($D108,Milestones!$AA$52),"dd/mm/yy")&amp;" "&amp;Milestones!$AB$52&amp;" "&amp;Milestones!$AC$52&amp;";  ","")&amp;IF(AND(EDATE($D108,Milestones!$AA$53)&lt;=AsOfDate,IF($Q108=0,$W108,IF(AND($S108&lt;&gt;"",EDATE($D108,Milestones!$AA$53)&gt;=$S108),$V108,IF(AND($R108&lt;&gt;"",EDATE($D108,Milestones!$AA$53)&gt;=$R108),$U108,$T108)))=Milestones!$AB$53),TEXT(EDATE($D108,Milestones!$AA$53),"dd/mm/yy")&amp;" "&amp;Milestones!$AB$53&amp;" "&amp;Milestones!$AC$53&amp;";  ","")&amp;IF(AND(EDATE($D108,Milestones!$AA$54)&lt;=AsOfDate,IF($Q108=0,$W108,IF(AND($S108&lt;&gt;"",EDATE($D108,Milestones!$AA$54)&gt;=$S108),$V108,IF(AND($R108&lt;&gt;"",EDATE($D108,Milestones!$AA$54)&gt;=$R108),$U108,$T108)))=Milestones!$AB$54),TEXT(EDATE($D108,Milestones!$AA$54),"dd/mm/yy")&amp;" "&amp;Milestones!$AB$54&amp;" "&amp;Milestones!$AC$54&amp;";  ","")&amp;IF(AND(EDATE($D108,Milestones!$AA$55)&lt;=AsOfDate,IF($Q108=0,$W108,IF(AND($S108&lt;&gt;"",EDATE($D108,Milestones!$AA$55)&gt;=$S108),$V108,IF(AND($R108&lt;&gt;"",EDATE($D108,Milestones!$AA$55)&gt;=$R108),$U108,$T108)))=Milestones!$AB$55),TEXT(EDATE($D108,Milestones!$AA$55),"dd/mm/yy")&amp;" "&amp;Milestones!$AB$55&amp;" "&amp;Milestones!$AC$55&amp;";  ","")&amp;IF(AND(EDATE($D108,Milestones!$AA$56)&lt;=AsOfDate,IF($Q108=0,$W108,IF(AND($S108&lt;&gt;"",EDATE($D108,Milestones!$AA$56)&gt;=$S108),$V108,IF(AND($R108&lt;&gt;"",EDATE($D108,Milestones!$AA$56)&gt;=$R108),$U108,$T108)))=Milestones!$AB$56),TEXT(EDATE($D108,Milestones!$AA$56),"dd/mm/yy")&amp;" "&amp;Milestones!$AB$56&amp;" "&amp;Milestones!$AC$56&amp;";  ","")&amp;IF(AND(EDATE($D108,Milestones!$AA$57)&lt;=AsOfDate,IF($Q108=0,$W108,IF(AND($S108&lt;&gt;"",EDATE($D108,Milestones!$AA$57)&gt;=$S108),$V108,IF(AND($R108&lt;&gt;"",EDATE($D108,Milestones!$AA$57)&gt;=$R108),$U108,$T108)))=Milestones!$AB$57),TEXT(EDATE($D108,Milestones!$AA$57),"dd/mm/yy")&amp;" "&amp;Milestones!$AB$57&amp;" "&amp;Milestones!$AC$57&amp;";  ","")&amp;IF(AND(EDATE($D108,Milestones!$AA$58)&lt;=AsOfDate,IF($Q108=0,$W108,IF(AND($S108&lt;&gt;"",EDATE($D108,Milestones!$AA$58)&gt;=$S108),$V108,IF(AND($R108&lt;&gt;"",EDATE($D108,Milestones!$AA$58)&gt;=$R108),$U108,$T108)))=Milestones!$AB$58),TEXT(EDATE($D108,Milestones!$AA$58),"dd/mm/yy")&amp;" "&amp;Milestones!$AB$58&amp;" "&amp;Milestones!$AC$58&amp;";  ","")&amp;IF(AND(EDATE($D108,Milestones!$AA$59)&lt;=AsOfDate,IF($Q108=0,$W108,IF(AND($S108&lt;&gt;"",EDATE($D108,Milestones!$AA$59)&gt;=$S108),$V108,IF(AND($R108&lt;&gt;"",EDATE($D108,Milestones!$AA$59)&gt;=$R108),$U108,$T108)))=Milestones!$AB$59),TEXT(EDATE($D108,Milestones!$AA$59),"dd/mm/yy")&amp;" "&amp;Milestones!$AB$59&amp;" "&amp;Milestones!$AC$59&amp;";  ",""))</f>
        <v/>
      </c>
      <c r="J108" s="0" t="str">
        <f aca="false">IF(OR($A108="",$D108=""),"",IF(AND(EDATE($D108,Milestones!$AA$60)&lt;=AsOfDate,IF($Q108=0,$W108,IF(AND($S108&lt;&gt;"",EDATE($D108,Milestones!$AA$60)&gt;=$S108),$V108,IF(AND($R108&lt;&gt;"",EDATE($D108,Milestones!$AA$60)&gt;=$R108),$U108,$T108)))=Milestones!$AB$60),TEXT(EDATE($D108,Milestones!$AA$60),"dd/mm/yy")&amp;" "&amp;Milestones!$AB$60&amp;" "&amp;Milestones!$AC$60&amp;";  ","")&amp;IF(AND(EDATE($D108,Milestones!$AA$61)&lt;=AsOfDate,IF($Q108=0,$W108,IF(AND($S108&lt;&gt;"",EDATE($D108,Milestones!$AA$61)&gt;=$S108),$V108,IF(AND($R108&lt;&gt;"",EDATE($D108,Milestones!$AA$61)&gt;=$R108),$U108,$T108)))=Milestones!$AB$61),TEXT(EDATE($D108,Milestones!$AA$61),"dd/mm/yy")&amp;" "&amp;Milestones!$AB$61&amp;" "&amp;Milestones!$AC$61&amp;";  ","")&amp;IF(AND(EDATE($D108,Milestones!$AA$62)&lt;=AsOfDate,IF($Q108=0,$W108,IF(AND($S108&lt;&gt;"",EDATE($D108,Milestones!$AA$62)&gt;=$S108),$V108,IF(AND($R108&lt;&gt;"",EDATE($D108,Milestones!$AA$62)&gt;=$R108),$U108,$T108)))=Milestones!$AB$62),TEXT(EDATE($D108,Milestones!$AA$62),"dd/mm/yy")&amp;" "&amp;Milestones!$AB$62&amp;" "&amp;Milestones!$AC$62&amp;";  ","")&amp;IF(AND(EDATE($D108,Milestones!$AA$63)&lt;=AsOfDate,IF($Q108=0,$W108,IF(AND($S108&lt;&gt;"",EDATE($D108,Milestones!$AA$63)&gt;=$S108),$V108,IF(AND($R108&lt;&gt;"",EDATE($D108,Milestones!$AA$63)&gt;=$R108),$U108,$T108)))=Milestones!$AB$63),TEXT(EDATE($D108,Milestones!$AA$63),"dd/mm/yy")&amp;" "&amp;Milestones!$AB$63&amp;" "&amp;Milestones!$AC$63&amp;";  ","")&amp;IF(AND(EDATE($D108,Milestones!$AA$64)&lt;=AsOfDate,IF($Q108=0,$W108,IF(AND($S108&lt;&gt;"",EDATE($D108,Milestones!$AA$64)&gt;=$S108),$V108,IF(AND($R108&lt;&gt;"",EDATE($D108,Milestones!$AA$64)&gt;=$R108),$U108,$T108)))=Milestones!$AB$64),TEXT(EDATE($D108,Milestones!$AA$64),"dd/mm/yy")&amp;" "&amp;Milestones!$AB$64&amp;" "&amp;Milestones!$AC$64&amp;";  ","")&amp;IF(AND(EDATE($D108,Milestones!$AA$65)&lt;=AsOfDate,IF($Q108=0,$W108,IF(AND($S108&lt;&gt;"",EDATE($D108,Milestones!$AA$65)&gt;=$S108),$V108,IF(AND($R108&lt;&gt;"",EDATE($D108,Milestones!$AA$65)&gt;=$R108),$U108,$T108)))=Milestones!$AB$65),TEXT(EDATE($D108,Milestones!$AA$65),"dd/mm/yy")&amp;" "&amp;Milestones!$AB$65&amp;" "&amp;Milestones!$AC$65&amp;";  ","")&amp;IF(AND(EDATE($D108,Milestones!$AA$66)&lt;=AsOfDate,IF($Q108=0,$W108,IF(AND($S108&lt;&gt;"",EDATE($D108,Milestones!$AA$66)&gt;=$S108),$V108,IF(AND($R108&lt;&gt;"",EDATE($D108,Milestones!$AA$66)&gt;=$R108),$U108,$T108)))=Milestones!$AB$66),TEXT(EDATE($D108,Milestones!$AA$66),"dd/mm/yy")&amp;" "&amp;Milestones!$AB$66&amp;" "&amp;Milestones!$AC$66&amp;";  ","")&amp;IF(AND(EDATE($D108,Milestones!$AA$67)&lt;=AsOfDate,IF($Q108=0,$W108,IF(AND($S108&lt;&gt;"",EDATE($D108,Milestones!$AA$67)&gt;=$S108),$V108,IF(AND($R108&lt;&gt;"",EDATE($D108,Milestones!$AA$67)&gt;=$R108),$U108,$T108)))=Milestones!$AB$67),TEXT(EDATE($D108,Milestones!$AA$67),"dd/mm/yy")&amp;" "&amp;Milestones!$AB$67&amp;" "&amp;Milestones!$AC$67&amp;";  ","")&amp;IF(AND(EDATE($D108,Milestones!$AA$68)&lt;=AsOfDate,IF($Q108=0,$W108,IF(AND($S108&lt;&gt;"",EDATE($D108,Milestones!$AA$68)&gt;=$S108),$V108,IF(AND($R108&lt;&gt;"",EDATE($D108,Milestones!$AA$68)&gt;=$R108),$U108,$T108)))=Milestones!$AB$68),TEXT(EDATE($D108,Milestones!$AA$68),"dd/mm/yy")&amp;" "&amp;Milestones!$AB$68&amp;" "&amp;Milestones!$AC$68&amp;";  ","")&amp;IF(AND(EDATE($D108,Milestones!$AA$69)&lt;=AsOfDate,IF($Q108=0,$W108,IF(AND($S108&lt;&gt;"",EDATE($D108,Milestones!$AA$69)&gt;=$S108),$V108,IF(AND($R108&lt;&gt;"",EDATE($D108,Milestones!$AA$69)&gt;=$R108),$U108,$T108)))=Milestones!$AB$69),TEXT(EDATE($D108,Milestones!$AA$69),"dd/mm/yy")&amp;" "&amp;Milestones!$AB$69&amp;" "&amp;Milestones!$AC$69&amp;";  ","")&amp;IF(AND(EDATE($D108,Milestones!$AA$70)&lt;=AsOfDate,IF($Q108=0,$W108,IF(AND($S108&lt;&gt;"",EDATE($D108,Milestones!$AA$70)&gt;=$S108),$V108,IF(AND($R108&lt;&gt;"",EDATE($D108,Milestones!$AA$70)&gt;=$R108),$U108,$T108)))=Milestones!$AB$70),TEXT(EDATE($D108,Milestones!$AA$70),"dd/mm/yy")&amp;" "&amp;Milestones!$AB$70&amp;" "&amp;Milestones!$AC$70&amp;";  ","")&amp;IF(AND(EDATE($D108,Milestones!$AA$71)&lt;=AsOfDate,IF($Q108=0,$W108,IF(AND($S108&lt;&gt;"",EDATE($D108,Milestones!$AA$71)&gt;=$S108),$V108,IF(AND($R108&lt;&gt;"",EDATE($D108,Milestones!$AA$71)&gt;=$R108),$U108,$T108)))=Milestones!$AB$71),TEXT(EDATE($D108,Milestones!$AA$71),"dd/mm/yy")&amp;" "&amp;Milestones!$AB$71&amp;" "&amp;Milestones!$AC$71&amp;";  ","")&amp;IF(AND(EDATE($D108,Milestones!$AA$72)&lt;=AsOfDate,IF($Q108=0,$W108,IF(AND($S108&lt;&gt;"",EDATE($D108,Milestones!$AA$72)&gt;=$S108),$V108,IF(AND($R108&lt;&gt;"",EDATE($D108,Milestones!$AA$72)&gt;=$R108),$U108,$T108)))=Milestones!$AB$72),TEXT(EDATE($D108,Milestones!$AA$72),"dd/mm/yy")&amp;" "&amp;Milestones!$AB$72&amp;" "&amp;Milestones!$AC$72&amp;";  ","")&amp;IF(AND(EDATE($D108,Milestones!$AA$73)&lt;=AsOfDate,IF($Q108=0,$W108,IF(AND($S108&lt;&gt;"",EDATE($D108,Milestones!$AA$73)&gt;=$S108),$V108,IF(AND($R108&lt;&gt;"",EDATE($D108,Milestones!$AA$73)&gt;=$R108),$U108,$T108)))=Milestones!$AB$73),TEXT(EDATE($D108,Milestones!$AA$73),"dd/mm/yy")&amp;" "&amp;Milestones!$AB$73&amp;" "&amp;Milestones!$AC$73&amp;";  ","")&amp;IF(AND(EDATE($D108,Milestones!$AA$74)&lt;=AsOfDate,IF($Q108=0,$W108,IF(AND($S108&lt;&gt;"",EDATE($D108,Milestones!$AA$74)&gt;=$S108),$V108,IF(AND($R108&lt;&gt;"",EDATE($D108,Milestones!$AA$74)&gt;=$R108),$U108,$T108)))=Milestones!$AB$74),TEXT(EDATE($D108,Milestones!$AA$74),"dd/mm/yy")&amp;" "&amp;Milestones!$AB$74&amp;" "&amp;Milestones!$AC$74&amp;";  ","")&amp;IF(AND(EDATE($D108,Milestones!$AA$75)&lt;=AsOfDate,IF($Q108=0,$W108,IF(AND($S108&lt;&gt;"",EDATE($D108,Milestones!$AA$75)&gt;=$S108),$V108,IF(AND($R108&lt;&gt;"",EDATE($D108,Milestones!$AA$75)&gt;=$R108),$U108,$T108)))=Milestones!$AB$75),TEXT(EDATE($D108,Milestones!$AA$75),"dd/mm/yy")&amp;" "&amp;Milestones!$AB$75&amp;" "&amp;Milestones!$AC$75&amp;";  ","")&amp;IF(AND(EDATE($D108,Milestones!$AA$76)&lt;=AsOfDate,IF($Q108=0,$W108,IF(AND($S108&lt;&gt;"",EDATE($D108,Milestones!$AA$76)&gt;=$S108),$V108,IF(AND($R108&lt;&gt;"",EDATE($D108,Milestones!$AA$76)&gt;=$R108),$U108,$T108)))=Milestones!$AB$76),TEXT(EDATE($D108,Milestones!$AA$76),"dd/mm/yy")&amp;" "&amp;Milestones!$AB$76&amp;" "&amp;Milestones!$AC$76&amp;";  ","")&amp;IF(AND(EDATE($D108,Milestones!$AA$77)&lt;=AsOfDate,IF($Q108=0,$W108,IF(AND($S108&lt;&gt;"",EDATE($D108,Milestones!$AA$77)&gt;=$S108),$V108,IF(AND($R108&lt;&gt;"",EDATE($D108,Milestones!$AA$77)&gt;=$R108),$U108,$T108)))=Milestones!$AB$77),TEXT(EDATE($D108,Milestones!$AA$77),"dd/mm/yy")&amp;" "&amp;Milestones!$AB$77&amp;" "&amp;Milestones!$AC$77&amp;";  ","")&amp;IF(AND(EDATE($D108,Milestones!$AA$78)&lt;=AsOfDate,IF($Q108=0,$W108,IF(AND($S108&lt;&gt;"",EDATE($D108,Milestones!$AA$78)&gt;=$S108),$V108,IF(AND($R108&lt;&gt;"",EDATE($D108,Milestones!$AA$78)&gt;=$R108),$U108,$T108)))=Milestones!$AB$78),TEXT(EDATE($D108,Milestones!$AA$78),"dd/mm/yy")&amp;" "&amp;Milestones!$AB$78&amp;" "&amp;Milestones!$AC$78&amp;";  ","")&amp;IF(AND(EDATE($D108,Milestones!$AA$79)&lt;=AsOfDate,IF($Q108=0,$W108,IF(AND($S108&lt;&gt;"",EDATE($D108,Milestones!$AA$79)&gt;=$S108),$V108,IF(AND($R108&lt;&gt;"",EDATE($D108,Milestones!$AA$79)&gt;=$R108),$U108,$T108)))=Milestones!$AB$79),TEXT(EDATE($D108,Milestones!$AA$79),"dd/mm/yy")&amp;" "&amp;Milestones!$AB$79&amp;" "&amp;Milestones!$AC$79&amp;";  ",""))</f>
        <v/>
      </c>
      <c r="K108" s="0" t="str">
        <f aca="false">IF(OR($A108="",$D108=""),"",IF(AND(EDATE($D108,Milestones!$AA$80)&lt;=AsOfDate,IF($Q108=0,$W108,IF(AND($S108&lt;&gt;"",EDATE($D108,Milestones!$AA$80)&gt;=$S108),$V108,IF(AND($R108&lt;&gt;"",EDATE($D108,Milestones!$AA$80)&gt;=$R108),$U108,$T108)))=Milestones!$AB$80),TEXT(EDATE($D108,Milestones!$AA$80),"dd/mm/yy")&amp;" "&amp;Milestones!$AB$80&amp;" "&amp;Milestones!$AC$80&amp;";  ","")&amp;IF(AND(EDATE($D108,Milestones!$AA$81)&lt;=AsOfDate,IF($Q108=0,$W108,IF(AND($S108&lt;&gt;"",EDATE($D108,Milestones!$AA$81)&gt;=$S108),$V108,IF(AND($R108&lt;&gt;"",EDATE($D108,Milestones!$AA$81)&gt;=$R108),$U108,$T108)))=Milestones!$AB$81),TEXT(EDATE($D108,Milestones!$AA$81),"dd/mm/yy")&amp;" "&amp;Milestones!$AB$81&amp;" "&amp;Milestones!$AC$81&amp;";  ","")&amp;IF(AND(EDATE($D108,Milestones!$AA$82)&lt;=AsOfDate,IF($Q108=0,$W108,IF(AND($S108&lt;&gt;"",EDATE($D108,Milestones!$AA$82)&gt;=$S108),$V108,IF(AND($R108&lt;&gt;"",EDATE($D108,Milestones!$AA$82)&gt;=$R108),$U108,$T108)))=Milestones!$AB$82),TEXT(EDATE($D108,Milestones!$AA$82),"dd/mm/yy")&amp;" "&amp;Milestones!$AB$82&amp;" "&amp;Milestones!$AC$82&amp;";  ","")&amp;IF(AND(EDATE($D108,Milestones!$AA$83)&lt;=AsOfDate,IF($Q108=0,$W108,IF(AND($S108&lt;&gt;"",EDATE($D108,Milestones!$AA$83)&gt;=$S108),$V108,IF(AND($R108&lt;&gt;"",EDATE($D108,Milestones!$AA$83)&gt;=$R108),$U108,$T108)))=Milestones!$AB$83),TEXT(EDATE($D108,Milestones!$AA$83),"dd/mm/yy")&amp;" "&amp;Milestones!$AB$83&amp;" "&amp;Milestones!$AC$83&amp;";  ","")&amp;IF(AND(EDATE($D108,Milestones!$AA$84)&lt;=AsOfDate,IF($Q108=0,$W108,IF(AND($S108&lt;&gt;"",EDATE($D108,Milestones!$AA$84)&gt;=$S108),$V108,IF(AND($R108&lt;&gt;"",EDATE($D108,Milestones!$AA$84)&gt;=$R108),$U108,$T108)))=Milestones!$AB$84),TEXT(EDATE($D108,Milestones!$AA$84),"dd/mm/yy")&amp;" "&amp;Milestones!$AB$84&amp;" "&amp;Milestones!$AC$84&amp;";  ","")&amp;IF(AND(EDATE($D108,Milestones!$AA$85)&lt;=AsOfDate,IF($Q108=0,$W108,IF(AND($S108&lt;&gt;"",EDATE($D108,Milestones!$AA$85)&gt;=$S108),$V108,IF(AND($R108&lt;&gt;"",EDATE($D108,Milestones!$AA$85)&gt;=$R108),$U108,$T108)))=Milestones!$AB$85),TEXT(EDATE($D108,Milestones!$AA$85),"dd/mm/yy")&amp;" "&amp;Milestones!$AB$85&amp;" "&amp;Milestones!$AC$85&amp;";  ","")&amp;IF(AND(EDATE($D108,Milestones!$AA$86)&lt;=AsOfDate,IF($Q108=0,$W108,IF(AND($S108&lt;&gt;"",EDATE($D108,Milestones!$AA$86)&gt;=$S108),$V108,IF(AND($R108&lt;&gt;"",EDATE($D108,Milestones!$AA$86)&gt;=$R108),$U108,$T108)))=Milestones!$AB$86),TEXT(EDATE($D108,Milestones!$AA$86),"dd/mm/yy")&amp;" "&amp;Milestones!$AB$86&amp;" "&amp;Milestones!$AC$86&amp;";  ","")&amp;IF(AND(EDATE($D108,Milestones!$AA$87)&lt;=AsOfDate,IF($Q108=0,$W108,IF(AND($S108&lt;&gt;"",EDATE($D108,Milestones!$AA$87)&gt;=$S108),$V108,IF(AND($R108&lt;&gt;"",EDATE($D108,Milestones!$AA$87)&gt;=$R108),$U108,$T108)))=Milestones!$AB$87),TEXT(EDATE($D108,Milestones!$AA$87),"dd/mm/yy")&amp;" "&amp;Milestones!$AB$87&amp;" "&amp;Milestones!$AC$87&amp;";  ","")&amp;IF(AND(EDATE($D108,Milestones!$AA$88)&lt;=AsOfDate,IF($Q108=0,$W108,IF(AND($S108&lt;&gt;"",EDATE($D108,Milestones!$AA$88)&gt;=$S108),$V108,IF(AND($R108&lt;&gt;"",EDATE($D108,Milestones!$AA$88)&gt;=$R108),$U108,$T108)))=Milestones!$AB$88),TEXT(EDATE($D108,Milestones!$AA$88),"dd/mm/yy")&amp;" "&amp;Milestones!$AB$88&amp;" "&amp;Milestones!$AC$88&amp;";  ","")&amp;IF(AND(EDATE($D108,Milestones!$AA$89)&lt;=AsOfDate,IF($Q108=0,$W108,IF(AND($S108&lt;&gt;"",EDATE($D108,Milestones!$AA$89)&gt;=$S108),$V108,IF(AND($R108&lt;&gt;"",EDATE($D108,Milestones!$AA$89)&gt;=$R108),$U108,$T108)))=Milestones!$AB$89),TEXT(EDATE($D108,Milestones!$AA$89),"dd/mm/yy")&amp;" "&amp;Milestones!$AB$89&amp;" "&amp;Milestones!$AC$89&amp;";  ","")&amp;IF(AND(EDATE($D108,Milestones!$AA$90)&lt;=AsOfDate,IF($Q108=0,$W108,IF(AND($S108&lt;&gt;"",EDATE($D108,Milestones!$AA$90)&gt;=$S108),$V108,IF(AND($R108&lt;&gt;"",EDATE($D108,Milestones!$AA$90)&gt;=$R108),$U108,$T108)))=Milestones!$AB$90),TEXT(EDATE($D108,Milestones!$AA$90),"dd/mm/yy")&amp;" "&amp;Milestones!$AB$90&amp;" "&amp;Milestones!$AC$90&amp;";  ","")&amp;IF(AND(EDATE($D108,Milestones!$AA$91)&lt;=AsOfDate,IF($Q108=0,$W108,IF(AND($S108&lt;&gt;"",EDATE($D108,Milestones!$AA$91)&gt;=$S108),$V108,IF(AND($R108&lt;&gt;"",EDATE($D108,Milestones!$AA$91)&gt;=$R108),$U108,$T108)))=Milestones!$AB$91),TEXT(EDATE($D108,Milestones!$AA$91),"dd/mm/yy")&amp;" "&amp;Milestones!$AB$91&amp;" "&amp;Milestones!$AC$91&amp;";  ","")&amp;IF(AND(EDATE($D108,Milestones!$AA$92)&lt;=AsOfDate,IF($Q108=0,$W108,IF(AND($S108&lt;&gt;"",EDATE($D108,Milestones!$AA$92)&gt;=$S108),$V108,IF(AND($R108&lt;&gt;"",EDATE($D108,Milestones!$AA$92)&gt;=$R108),$U108,$T108)))=Milestones!$AB$92),TEXT(EDATE($D108,Milestones!$AA$92),"dd/mm/yy")&amp;" "&amp;Milestones!$AB$92&amp;" "&amp;Milestones!$AC$92&amp;";  ","")&amp;IF(AND(EDATE($D108,Milestones!$AA$93)&lt;=AsOfDate,IF($Q108=0,$W108,IF(AND($S108&lt;&gt;"",EDATE($D108,Milestones!$AA$93)&gt;=$S108),$V108,IF(AND($R108&lt;&gt;"",EDATE($D108,Milestones!$AA$93)&gt;=$R108),$U108,$T108)))=Milestones!$AB$93),TEXT(EDATE($D108,Milestones!$AA$93),"dd/mm/yy")&amp;" "&amp;Milestones!$AB$93&amp;" "&amp;Milestones!$AC$93&amp;";  ","")&amp;IF(AND(EDATE($D108,Milestones!$AA$94)&lt;=AsOfDate,IF($Q108=0,$W108,IF(AND($S108&lt;&gt;"",EDATE($D108,Milestones!$AA$94)&gt;=$S108),$V108,IF(AND($R108&lt;&gt;"",EDATE($D108,Milestones!$AA$94)&gt;=$R108),$U108,$T108)))=Milestones!$AB$94),TEXT(EDATE($D108,Milestones!$AA$94),"dd/mm/yy")&amp;" "&amp;Milestones!$AB$94&amp;" "&amp;Milestones!$AC$94&amp;";  ","")&amp;IF(AND(EDATE($D108,Milestones!$AA$95)&lt;=AsOfDate,IF($Q108=0,$W108,IF(AND($S108&lt;&gt;"",EDATE($D108,Milestones!$AA$95)&gt;=$S108),$V108,IF(AND($R108&lt;&gt;"",EDATE($D108,Milestones!$AA$95)&gt;=$R108),$U108,$T108)))=Milestones!$AB$95),TEXT(EDATE($D108,Milestones!$AA$95),"dd/mm/yy")&amp;" "&amp;Milestones!$AB$95&amp;" "&amp;Milestones!$AC$95&amp;";  ","")&amp;IF(AND(EDATE($D108,Milestones!$AA$96)&lt;=AsOfDate,IF($Q108=0,$W108,IF(AND($S108&lt;&gt;"",EDATE($D108,Milestones!$AA$96)&gt;=$S108),$V108,IF(AND($R108&lt;&gt;"",EDATE($D108,Milestones!$AA$96)&gt;=$R108),$U108,$T108)))=Milestones!$AB$96),TEXT(EDATE($D108,Milestones!$AA$96),"dd/mm/yy")&amp;" "&amp;Milestones!$AB$96&amp;" "&amp;Milestones!$AC$96&amp;";  ","")&amp;IF(AND(EDATE($D108,Milestones!$AA$97)&lt;=AsOfDate,IF($Q108=0,$W108,IF(AND($S108&lt;&gt;"",EDATE($D108,Milestones!$AA$97)&gt;=$S108),$V108,IF(AND($R108&lt;&gt;"",EDATE($D108,Milestones!$AA$97)&gt;=$R108),$U108,$T108)))=Milestones!$AB$97),TEXT(EDATE($D108,Milestones!$AA$97),"dd/mm/yy")&amp;" "&amp;Milestones!$AB$97&amp;" "&amp;Milestones!$AC$97&amp;";  ","")&amp;IF(AND(EDATE($D108,Milestones!$AA$98)&lt;=AsOfDate,IF($Q108=0,$W108,IF(AND($S108&lt;&gt;"",EDATE($D108,Milestones!$AA$98)&gt;=$S108),$V108,IF(AND($R108&lt;&gt;"",EDATE($D108,Milestones!$AA$98)&gt;=$R108),$U108,$T108)))=Milestones!$AB$98),TEXT(EDATE($D108,Milestones!$AA$98),"dd/mm/yy")&amp;" "&amp;Milestones!$AB$98&amp;" "&amp;Milestones!$AC$98&amp;";  ","")&amp;IF(AND(EDATE($D108,Milestones!$AA$99)&lt;=AsOfDate,IF($Q108=0,$W108,IF(AND($S108&lt;&gt;"",EDATE($D108,Milestones!$AA$99)&gt;=$S108),$V108,IF(AND($R108&lt;&gt;"",EDATE($D108,Milestones!$AA$99)&gt;=$R108),$U108,$T108)))=Milestones!$AB$99),TEXT(EDATE($D108,Milestones!$AA$99),"dd/mm/yy")&amp;" "&amp;Milestones!$AB$99&amp;" "&amp;Milestones!$AC$99&amp;";  ",""))</f>
        <v/>
      </c>
      <c r="L108" s="0" t="str">
        <f aca="false">IF(OR($A108="",$D108=""),"",IF(AND(EDATE($D108,Milestones!$AA$100)&lt;=AsOfDate,IF($Q108=0,$W108,IF(AND($S108&lt;&gt;"",EDATE($D108,Milestones!$AA$100)&gt;=$S108),$V108,IF(AND($R108&lt;&gt;"",EDATE($D108,Milestones!$AA$100)&gt;=$R108),$U108,$T108)))=Milestones!$AB$100),TEXT(EDATE($D108,Milestones!$AA$100),"dd/mm/yy")&amp;" "&amp;Milestones!$AB$100&amp;" "&amp;Milestones!$AC$100&amp;";  ","")&amp;IF(AND(EDATE($D108,Milestones!$AA$101)&lt;=AsOfDate,IF($Q108=0,$W108,IF(AND($S108&lt;&gt;"",EDATE($D108,Milestones!$AA$101)&gt;=$S108),$V108,IF(AND($R108&lt;&gt;"",EDATE($D108,Milestones!$AA$101)&gt;=$R108),$U108,$T108)))=Milestones!$AB$101),TEXT(EDATE($D108,Milestones!$AA$101),"dd/mm/yy")&amp;" "&amp;Milestones!$AB$101&amp;" "&amp;Milestones!$AC$101&amp;";  ","")&amp;IF(AND(EDATE($D108,Milestones!$AA$102)&lt;=AsOfDate,IF($Q108=0,$W108,IF(AND($S108&lt;&gt;"",EDATE($D108,Milestones!$AA$102)&gt;=$S108),$V108,IF(AND($R108&lt;&gt;"",EDATE($D108,Milestones!$AA$102)&gt;=$R108),$U108,$T108)))=Milestones!$AB$102),TEXT(EDATE($D108,Milestones!$AA$102),"dd/mm/yy")&amp;" "&amp;Milestones!$AB$102&amp;" "&amp;Milestones!$AC$102&amp;";  ","")&amp;IF(AND(EDATE($D108,Milestones!$AA$103)&lt;=AsOfDate,IF($Q108=0,$W108,IF(AND($S108&lt;&gt;"",EDATE($D108,Milestones!$AA$103)&gt;=$S108),$V108,IF(AND($R108&lt;&gt;"",EDATE($D108,Milestones!$AA$103)&gt;=$R108),$U108,$T108)))=Milestones!$AB$103),TEXT(EDATE($D108,Milestones!$AA$103),"dd/mm/yy")&amp;" "&amp;Milestones!$AB$103&amp;" "&amp;Milestones!$AC$103&amp;";  ","")&amp;IF(AND(EDATE($D108,Milestones!$AA$104)&lt;=AsOfDate,IF($Q108=0,$W108,IF(AND($S108&lt;&gt;"",EDATE($D108,Milestones!$AA$104)&gt;=$S108),$V108,IF(AND($R108&lt;&gt;"",EDATE($D108,Milestones!$AA$104)&gt;=$R108),$U108,$T108)))=Milestones!$AB$104),TEXT(EDATE($D108,Milestones!$AA$104),"dd/mm/yy")&amp;" "&amp;Milestones!$AB$104&amp;" "&amp;Milestones!$AC$104&amp;";  ","")&amp;IF(AND(EDATE($D108,Milestones!$AA$105)&lt;=AsOfDate,IF($Q108=0,$W108,IF(AND($S108&lt;&gt;"",EDATE($D108,Milestones!$AA$105)&gt;=$S108),$V108,IF(AND($R108&lt;&gt;"",EDATE($D108,Milestones!$AA$105)&gt;=$R108),$U108,$T108)))=Milestones!$AB$105),TEXT(EDATE($D108,Milestones!$AA$105),"dd/mm/yy")&amp;" "&amp;Milestones!$AB$105&amp;" "&amp;Milestones!$AC$105&amp;";  ","")&amp;IF(AND(EDATE($D108,Milestones!$AA$106)&lt;=AsOfDate,IF($Q108=0,$W108,IF(AND($S108&lt;&gt;"",EDATE($D108,Milestones!$AA$106)&gt;=$S108),$V108,IF(AND($R108&lt;&gt;"",EDATE($D108,Milestones!$AA$106)&gt;=$R108),$U108,$T108)))=Milestones!$AB$106),TEXT(EDATE($D108,Milestones!$AA$106),"dd/mm/yy")&amp;" "&amp;Milestones!$AB$106&amp;" "&amp;Milestones!$AC$106&amp;";  ","")&amp;IF(AND(EDATE($D108,Milestones!$AA$107)&lt;=AsOfDate,IF($Q108=0,$W108,IF(AND($S108&lt;&gt;"",EDATE($D108,Milestones!$AA$107)&gt;=$S108),$V108,IF(AND($R108&lt;&gt;"",EDATE($D108,Milestones!$AA$107)&gt;=$R108),$U108,$T108)))=Milestones!$AB$107),TEXT(EDATE($D108,Milestones!$AA$107),"dd/mm/yy")&amp;" "&amp;Milestones!$AB$107&amp;" "&amp;Milestones!$AC$107&amp;";  ","")&amp;IF(AND(EDATE($D108,Milestones!$AA$108)&lt;=AsOfDate,IF($Q108=0,$W108,IF(AND($S108&lt;&gt;"",EDATE($D108,Milestones!$AA$108)&gt;=$S108),$V108,IF(AND($R108&lt;&gt;"",EDATE($D108,Milestones!$AA$108)&gt;=$R108),$U108,$T108)))=Milestones!$AB$108),TEXT(EDATE($D108,Milestones!$AA$108),"dd/mm/yy")&amp;" "&amp;Milestones!$AB$108&amp;" "&amp;Milestones!$AC$108&amp;";  ","")&amp;IF(AND(EDATE($D108,Milestones!$AA$109)&lt;=AsOfDate,IF($Q108=0,$W108,IF(AND($S108&lt;&gt;"",EDATE($D108,Milestones!$AA$109)&gt;=$S108),$V108,IF(AND($R108&lt;&gt;"",EDATE($D108,Milestones!$AA$109)&gt;=$R108),$U108,$T108)))=Milestones!$AB$109),TEXT(EDATE($D108,Milestones!$AA$109),"dd/mm/yy")&amp;" "&amp;Milestones!$AB$109&amp;" "&amp;Milestones!$AC$109&amp;";  ","")&amp;IF(AND(EDATE($D108,Milestones!$AA$110)&lt;=AsOfDate,IF($Q108=0,$W108,IF(AND($S108&lt;&gt;"",EDATE($D108,Milestones!$AA$110)&gt;=$S108),$V108,IF(AND($R108&lt;&gt;"",EDATE($D108,Milestones!$AA$110)&gt;=$R108),$U108,$T108)))=Milestones!$AB$110),TEXT(EDATE($D108,Milestones!$AA$110),"dd/mm/yy")&amp;" "&amp;Milestones!$AB$110&amp;" "&amp;Milestones!$AC$110&amp;";  ","")&amp;IF(AND(EDATE($D108,Milestones!$AA$111)&lt;=AsOfDate,IF($Q108=0,$W108,IF(AND($S108&lt;&gt;"",EDATE($D108,Milestones!$AA$111)&gt;=$S108),$V108,IF(AND($R108&lt;&gt;"",EDATE($D108,Milestones!$AA$111)&gt;=$R108),$U108,$T108)))=Milestones!$AB$111),TEXT(EDATE($D108,Milestones!$AA$111),"dd/mm/yy")&amp;" "&amp;Milestones!$AB$111&amp;" "&amp;Milestones!$AC$111&amp;";  ","")&amp;IF(AND(EDATE($D108,Milestones!$AA$112)&lt;=AsOfDate,IF($Q108=0,$W108,IF(AND($S108&lt;&gt;"",EDATE($D108,Milestones!$AA$112)&gt;=$S108),$V108,IF(AND($R108&lt;&gt;"",EDATE($D108,Milestones!$AA$112)&gt;=$R108),$U108,$T108)))=Milestones!$AB$112),TEXT(EDATE($D108,Milestones!$AA$112),"dd/mm/yy")&amp;" "&amp;Milestones!$AB$112&amp;" "&amp;Milestones!$AC$112&amp;";  ","")&amp;IF(AND(EDATE($D108,Milestones!$AA$113)&lt;=AsOfDate,IF($Q108=0,$W108,IF(AND($S108&lt;&gt;"",EDATE($D108,Milestones!$AA$113)&gt;=$S108),$V108,IF(AND($R108&lt;&gt;"",EDATE($D108,Milestones!$AA$113)&gt;=$R108),$U108,$T108)))=Milestones!$AB$113),TEXT(EDATE($D108,Milestones!$AA$113),"dd/mm/yy")&amp;" "&amp;Milestones!$AB$113&amp;" "&amp;Milestones!$AC$113&amp;";  ","")&amp;IF(AND(EDATE($D108,Milestones!$AA$114)&lt;=AsOfDate,IF($Q108=0,$W108,IF(AND($S108&lt;&gt;"",EDATE($D108,Milestones!$AA$114)&gt;=$S108),$V108,IF(AND($R108&lt;&gt;"",EDATE($D108,Milestones!$AA$114)&gt;=$R108),$U108,$T108)))=Milestones!$AB$114),TEXT(EDATE($D108,Milestones!$AA$114),"dd/mm/yy")&amp;" "&amp;Milestones!$AB$114&amp;" "&amp;Milestones!$AC$114&amp;";  ","")&amp;IF(AND(EDATE($D108,Milestones!$AA$115)&lt;=AsOfDate,IF($Q108=0,$W108,IF(AND($S108&lt;&gt;"",EDATE($D108,Milestones!$AA$115)&gt;=$S108),$V108,IF(AND($R108&lt;&gt;"",EDATE($D108,Milestones!$AA$115)&gt;=$R108),$U108,$T108)))=Milestones!$AB$115),TEXT(EDATE($D108,Milestones!$AA$115),"dd/mm/yy")&amp;" "&amp;Milestones!$AB$115&amp;" "&amp;Milestones!$AC$115&amp;";  ","")&amp;IF(AND(EDATE($D108,Milestones!$AA$116)&lt;=AsOfDate,IF($Q108=0,$W108,IF(AND($S108&lt;&gt;"",EDATE($D108,Milestones!$AA$116)&gt;=$S108),$V108,IF(AND($R108&lt;&gt;"",EDATE($D108,Milestones!$AA$116)&gt;=$R108),$U108,$T108)))=Milestones!$AB$116),TEXT(EDATE($D108,Milestones!$AA$116),"dd/mm/yy")&amp;" "&amp;Milestones!$AB$116&amp;" "&amp;Milestones!$AC$116&amp;";  ","")&amp;IF(AND(EDATE($D108,Milestones!$AA$117)&lt;=AsOfDate,IF($Q108=0,$W108,IF(AND($S108&lt;&gt;"",EDATE($D108,Milestones!$AA$117)&gt;=$S108),$V108,IF(AND($R108&lt;&gt;"",EDATE($D108,Milestones!$AA$117)&gt;=$R108),$U108,$T108)))=Milestones!$AB$117),TEXT(EDATE($D108,Milestones!$AA$117),"dd/mm/yy")&amp;" "&amp;Milestones!$AB$117&amp;" "&amp;Milestones!$AC$117&amp;";  ","")&amp;IF(AND(EDATE($D108,Milestones!$AA$118)&lt;=AsOfDate,IF($Q108=0,$W108,IF(AND($S108&lt;&gt;"",EDATE($D108,Milestones!$AA$118)&gt;=$S108),$V108,IF(AND($R108&lt;&gt;"",EDATE($D108,Milestones!$AA$118)&gt;=$R108),$U108,$T108)))=Milestones!$AB$118),TEXT(EDATE($D108,Milestones!$AA$118),"dd/mm/yy")&amp;" "&amp;Milestones!$AB$118&amp;" "&amp;Milestones!$AC$118&amp;";  ","")&amp;IF(AND(EDATE($D108,Milestones!$AA$119)&lt;=AsOfDate,IF($Q108=0,$W108,IF(AND($S108&lt;&gt;"",EDATE($D108,Milestones!$AA$119)&gt;=$S108),$V108,IF(AND($R108&lt;&gt;"",EDATE($D108,Milestones!$AA$119)&gt;=$R108),$U108,$T108)))=Milestones!$AB$119),TEXT(EDATE($D108,Milestones!$AA$119),"dd/mm/yy")&amp;" "&amp;Milestones!$AB$119&amp;" "&amp;Milestones!$AC$119&amp;";  ",""))</f>
        <v/>
      </c>
      <c r="M108" s="0" t="str">
        <f aca="false">IF(OR($A108="",$D108=""),"",IF(AND(EDATE($D108,Milestones!$AA$120)&lt;=AsOfDate,IF($Q108=0,$W108,IF(AND($S108&lt;&gt;"",EDATE($D108,Milestones!$AA$120)&gt;=$S108),$V108,IF(AND($R108&lt;&gt;"",EDATE($D108,Milestones!$AA$120)&gt;=$R108),$U108,$T108)))=Milestones!$AB$120),TEXT(EDATE($D108,Milestones!$AA$120),"dd/mm/yy")&amp;" "&amp;Milestones!$AB$120&amp;" "&amp;Milestones!$AC$120&amp;";  ","")&amp;IF(AND(EDATE($D108,Milestones!$AA$121)&lt;=AsOfDate,IF($Q108=0,$W108,IF(AND($S108&lt;&gt;"",EDATE($D108,Milestones!$AA$121)&gt;=$S108),$V108,IF(AND($R108&lt;&gt;"",EDATE($D108,Milestones!$AA$121)&gt;=$R108),$U108,$T108)))=Milestones!$AB$121),TEXT(EDATE($D108,Milestones!$AA$121),"dd/mm/yy")&amp;" "&amp;Milestones!$AB$121&amp;" "&amp;Milestones!$AC$121&amp;";  ","")&amp;IF(AND(EDATE($D108,Milestones!$AA$122)&lt;=AsOfDate,IF($Q108=0,$W108,IF(AND($S108&lt;&gt;"",EDATE($D108,Milestones!$AA$122)&gt;=$S108),$V108,IF(AND($R108&lt;&gt;"",EDATE($D108,Milestones!$AA$122)&gt;=$R108),$U108,$T108)))=Milestones!$AB$122),TEXT(EDATE($D108,Milestones!$AA$122),"dd/mm/yy")&amp;" "&amp;Milestones!$AB$122&amp;" "&amp;Milestones!$AC$122&amp;";  ","")&amp;IF(AND(EDATE($D108,Milestones!$AA$123)&lt;=AsOfDate,IF($Q108=0,$W108,IF(AND($S108&lt;&gt;"",EDATE($D108,Milestones!$AA$123)&gt;=$S108),$V108,IF(AND($R108&lt;&gt;"",EDATE($D108,Milestones!$AA$123)&gt;=$R108),$U108,$T108)))=Milestones!$AB$123),TEXT(EDATE($D108,Milestones!$AA$123),"dd/mm/yy")&amp;" "&amp;Milestones!$AB$123&amp;" "&amp;Milestones!$AC$123&amp;";  ","")&amp;IF(AND(EDATE($D108,Milestones!$AA$124)&lt;=AsOfDate,IF($Q108=0,$W108,IF(AND($S108&lt;&gt;"",EDATE($D108,Milestones!$AA$124)&gt;=$S108),$V108,IF(AND($R108&lt;&gt;"",EDATE($D108,Milestones!$AA$124)&gt;=$R108),$U108,$T108)))=Milestones!$AB$124),TEXT(EDATE($D108,Milestones!$AA$124),"dd/mm/yy")&amp;" "&amp;Milestones!$AB$124&amp;" "&amp;Milestones!$AC$124&amp;";  ","")&amp;IF(AND(EDATE($D108,Milestones!$AA$125)&lt;=AsOfDate,IF($Q108=0,$W108,IF(AND($S108&lt;&gt;"",EDATE($D108,Milestones!$AA$125)&gt;=$S108),$V108,IF(AND($R108&lt;&gt;"",EDATE($D108,Milestones!$AA$125)&gt;=$R108),$U108,$T108)))=Milestones!$AB$125),TEXT(EDATE($D108,Milestones!$AA$125),"dd/mm/yy")&amp;" "&amp;Milestones!$AB$125&amp;" "&amp;Milestones!$AC$125&amp;";  ","")&amp;IF(AND(EDATE($D108,Milestones!$AA$126)&lt;=AsOfDate,IF($Q108=0,$W108,IF(AND($S108&lt;&gt;"",EDATE($D108,Milestones!$AA$126)&gt;=$S108),$V108,IF(AND($R108&lt;&gt;"",EDATE($D108,Milestones!$AA$126)&gt;=$R108),$U108,$T108)))=Milestones!$AB$126),TEXT(EDATE($D108,Milestones!$AA$126),"dd/mm/yy")&amp;" "&amp;Milestones!$AB$126&amp;" "&amp;Milestones!$AC$126&amp;";  ","")&amp;IF(AND(EDATE($D108,Milestones!$AA$127)&lt;=AsOfDate,IF($Q108=0,$W108,IF(AND($S108&lt;&gt;"",EDATE($D108,Milestones!$AA$127)&gt;=$S108),$V108,IF(AND($R108&lt;&gt;"",EDATE($D108,Milestones!$AA$127)&gt;=$R108),$U108,$T108)))=Milestones!$AB$127),TEXT(EDATE($D108,Milestones!$AA$127),"dd/mm/yy")&amp;" "&amp;Milestones!$AB$127&amp;" "&amp;Milestones!$AC$127&amp;";  ","")&amp;IF(AND(EDATE($D108,Milestones!$AA$128)&lt;=AsOfDate,IF($Q108=0,$W108,IF(AND($S108&lt;&gt;"",EDATE($D108,Milestones!$AA$128)&gt;=$S108),$V108,IF(AND($R108&lt;&gt;"",EDATE($D108,Milestones!$AA$128)&gt;=$R108),$U108,$T108)))=Milestones!$AB$128),TEXT(EDATE($D108,Milestones!$AA$128),"dd/mm/yy")&amp;" "&amp;Milestones!$AB$128&amp;" "&amp;Milestones!$AC$128&amp;";  ","")&amp;IF(AND(EDATE($D108,Milestones!$AA$129)&lt;=AsOfDate,IF($Q108=0,$W108,IF(AND($S108&lt;&gt;"",EDATE($D108,Milestones!$AA$129)&gt;=$S108),$V108,IF(AND($R108&lt;&gt;"",EDATE($D108,Milestones!$AA$129)&gt;=$R108),$U108,$T108)))=Milestones!$AB$129),TEXT(EDATE($D108,Milestones!$AA$129),"dd/mm/yy")&amp;" "&amp;Milestones!$AB$129&amp;" "&amp;Milestones!$AC$129&amp;";  ","")&amp;IF(AND(EDATE($D108,Milestones!$AA$130)&lt;=AsOfDate,IF($Q108=0,$W108,IF(AND($S108&lt;&gt;"",EDATE($D108,Milestones!$AA$130)&gt;=$S108),$V108,IF(AND($R108&lt;&gt;"",EDATE($D108,Milestones!$AA$130)&gt;=$R108),$U108,$T108)))=Milestones!$AB$130),TEXT(EDATE($D108,Milestones!$AA$130),"dd/mm/yy")&amp;" "&amp;Milestones!$AB$130&amp;" "&amp;Milestones!$AC$130&amp;";  ","")&amp;IF(AND(EDATE($D108,Milestones!$AA$131)&lt;=AsOfDate,IF($Q108=0,$W108,IF(AND($S108&lt;&gt;"",EDATE($D108,Milestones!$AA$131)&gt;=$S108),$V108,IF(AND($R108&lt;&gt;"",EDATE($D108,Milestones!$AA$131)&gt;=$R108),$U108,$T108)))=Milestones!$AB$131),TEXT(EDATE($D108,Milestones!$AA$131),"dd/mm/yy")&amp;" "&amp;Milestones!$AB$131&amp;" "&amp;Milestones!$AC$131&amp;";  ","")&amp;IF(AND(EDATE($D108,Milestones!$AA$132)&lt;=AsOfDate,IF($Q108=0,$W108,IF(AND($S108&lt;&gt;"",EDATE($D108,Milestones!$AA$132)&gt;=$S108),$V108,IF(AND($R108&lt;&gt;"",EDATE($D108,Milestones!$AA$132)&gt;=$R108),$U108,$T108)))=Milestones!$AB$132),TEXT(EDATE($D108,Milestones!$AA$132),"dd/mm/yy")&amp;" "&amp;Milestones!$AB$132&amp;" "&amp;Milestones!$AC$132&amp;";  ","")&amp;IF(AND(EDATE($D108,Milestones!$AA$133)&lt;=AsOfDate,IF($Q108=0,$W108,IF(AND($S108&lt;&gt;"",EDATE($D108,Milestones!$AA$133)&gt;=$S108),$V108,IF(AND($R108&lt;&gt;"",EDATE($D108,Milestones!$AA$133)&gt;=$R108),$U108,$T108)))=Milestones!$AB$133),TEXT(EDATE($D108,Milestones!$AA$133),"dd/mm/yy")&amp;" "&amp;Milestones!$AB$133&amp;" "&amp;Milestones!$AC$133&amp;";  ","")&amp;IF(AND(EDATE($D108,Milestones!$AA$134)&lt;=AsOfDate,IF($Q108=0,$W108,IF(AND($S108&lt;&gt;"",EDATE($D108,Milestones!$AA$134)&gt;=$S108),$V108,IF(AND($R108&lt;&gt;"",EDATE($D108,Milestones!$AA$134)&gt;=$R108),$U108,$T108)))=Milestones!$AB$134),TEXT(EDATE($D108,Milestones!$AA$134),"dd/mm/yy")&amp;" "&amp;Milestones!$AB$134&amp;" "&amp;Milestones!$AC$134&amp;";  ","")&amp;IF(AND(EDATE($D108,Milestones!$AA$135)&lt;=AsOfDate,IF($Q108=0,$W108,IF(AND($S108&lt;&gt;"",EDATE($D108,Milestones!$AA$135)&gt;=$S108),$V108,IF(AND($R108&lt;&gt;"",EDATE($D108,Milestones!$AA$135)&gt;=$R108),$U108,$T108)))=Milestones!$AB$135),TEXT(EDATE($D108,Milestones!$AA$135),"dd/mm/yy")&amp;" "&amp;Milestones!$AB$135&amp;" "&amp;Milestones!$AC$135&amp;";  ","")&amp;IF(AND(EDATE($D108,Milestones!$AA$136)&lt;=AsOfDate,IF($Q108=0,$W108,IF(AND($S108&lt;&gt;"",EDATE($D108,Milestones!$AA$136)&gt;=$S108),$V108,IF(AND($R108&lt;&gt;"",EDATE($D108,Milestones!$AA$136)&gt;=$R108),$U108,$T108)))=Milestones!$AB$136),TEXT(EDATE($D108,Milestones!$AA$136),"dd/mm/yy")&amp;" "&amp;Milestones!$AB$136&amp;" "&amp;Milestones!$AC$136&amp;";  ","")&amp;IF(AND(EDATE($D108,Milestones!$AA$137)&lt;=AsOfDate,IF($Q108=0,$W108,IF(AND($S108&lt;&gt;"",EDATE($D108,Milestones!$AA$137)&gt;=$S108),$V108,IF(AND($R108&lt;&gt;"",EDATE($D108,Milestones!$AA$137)&gt;=$R108),$U108,$T108)))=Milestones!$AB$137),TEXT(EDATE($D108,Milestones!$AA$137),"dd/mm/yy")&amp;" "&amp;Milestones!$AB$137&amp;" "&amp;Milestones!$AC$137&amp;";  ","")&amp;IF(AND(EDATE($D108,Milestones!$AA$138)&lt;=AsOfDate,IF($Q108=0,$W108,IF(AND($S108&lt;&gt;"",EDATE($D108,Milestones!$AA$138)&gt;=$S108),$V108,IF(AND($R108&lt;&gt;"",EDATE($D108,Milestones!$AA$138)&gt;=$R108),$U108,$T108)))=Milestones!$AB$138),TEXT(EDATE($D108,Milestones!$AA$138),"dd/mm/yy")&amp;" "&amp;Milestones!$AB$138&amp;" "&amp;Milestones!$AC$138&amp;";  ","")&amp;IF(AND(EDATE($D108,Milestones!$AA$139)&lt;=AsOfDate,IF($Q108=0,$W108,IF(AND($S108&lt;&gt;"",EDATE($D108,Milestones!$AA$139)&gt;=$S108),$V108,IF(AND($R108&lt;&gt;"",EDATE($D108,Milestones!$AA$139)&gt;=$R108),$U108,$T108)))=Milestones!$AB$139),TEXT(EDATE($D108,Milestones!$AA$139),"dd/mm/yy")&amp;" "&amp;Milestones!$AB$139&amp;" "&amp;Milestones!$AC$139&amp;";  ",""))</f>
        <v/>
      </c>
      <c r="N108" s="0" t="str">
        <f aca="false">IF(OR($A108="",$D108=""),"",IF(AND(EDATE($D108,Milestones!$AA$140)&lt;=AsOfDate,IF($Q108=0,$W108,IF(AND($S108&lt;&gt;"",EDATE($D108,Milestones!$AA$140)&gt;=$S108),$V108,IF(AND($R108&lt;&gt;"",EDATE($D108,Milestones!$AA$140)&gt;=$R108),$U108,$T108)))=Milestones!$AB$140),TEXT(EDATE($D108,Milestones!$AA$140),"dd/mm/yy")&amp;" "&amp;Milestones!$AB$140&amp;" "&amp;Milestones!$AC$140&amp;";  ","")&amp;IF(AND(EDATE($D108,Milestones!$AA$141)&lt;=AsOfDate,IF($Q108=0,$W108,IF(AND($S108&lt;&gt;"",EDATE($D108,Milestones!$AA$141)&gt;=$S108),$V108,IF(AND($R108&lt;&gt;"",EDATE($D108,Milestones!$AA$141)&gt;=$R108),$U108,$T108)))=Milestones!$AB$141),TEXT(EDATE($D108,Milestones!$AA$141),"dd/mm/yy")&amp;" "&amp;Milestones!$AB$141&amp;" "&amp;Milestones!$AC$141&amp;";  ","")&amp;IF(AND(EDATE($D108,Milestones!$AA$142)&lt;=AsOfDate,IF($Q108=0,$W108,IF(AND($S108&lt;&gt;"",EDATE($D108,Milestones!$AA$142)&gt;=$S108),$V108,IF(AND($R108&lt;&gt;"",EDATE($D108,Milestones!$AA$142)&gt;=$R108),$U108,$T108)))=Milestones!$AB$142),TEXT(EDATE($D108,Milestones!$AA$142),"dd/mm/yy")&amp;" "&amp;Milestones!$AB$142&amp;" "&amp;Milestones!$AC$142&amp;";  ","")&amp;IF(AND(EDATE($D108,Milestones!$AA$143)&lt;=AsOfDate,IF($Q108=0,$W108,IF(AND($S108&lt;&gt;"",EDATE($D108,Milestones!$AA$143)&gt;=$S108),$V108,IF(AND($R108&lt;&gt;"",EDATE($D108,Milestones!$AA$143)&gt;=$R108),$U108,$T108)))=Milestones!$AB$143),TEXT(EDATE($D108,Milestones!$AA$143),"dd/mm/yy")&amp;" "&amp;Milestones!$AB$143&amp;" "&amp;Milestones!$AC$143&amp;";  ","")&amp;IF(AND(EDATE($D108,Milestones!$AA$144)&lt;=AsOfDate,IF($Q108=0,$W108,IF(AND($S108&lt;&gt;"",EDATE($D108,Milestones!$AA$144)&gt;=$S108),$V108,IF(AND($R108&lt;&gt;"",EDATE($D108,Milestones!$AA$144)&gt;=$R108),$U108,$T108)))=Milestones!$AB$144),TEXT(EDATE($D108,Milestones!$AA$144),"dd/mm/yy")&amp;" "&amp;Milestones!$AB$144&amp;" "&amp;Milestones!$AC$144&amp;";  ","")&amp;IF(AND(EDATE($D108,Milestones!$AA$145)&lt;=AsOfDate,IF($Q108=0,$W108,IF(AND($S108&lt;&gt;"",EDATE($D108,Milestones!$AA$145)&gt;=$S108),$V108,IF(AND($R108&lt;&gt;"",EDATE($D108,Milestones!$AA$145)&gt;=$R108),$U108,$T108)))=Milestones!$AB$145),TEXT(EDATE($D108,Milestones!$AA$145),"dd/mm/yy")&amp;" "&amp;Milestones!$AB$145&amp;" "&amp;Milestones!$AC$145&amp;";  ","")&amp;IF(AND(EDATE($D108,Milestones!$AA$146)&lt;=AsOfDate,IF($Q108=0,$W108,IF(AND($S108&lt;&gt;"",EDATE($D108,Milestones!$AA$146)&gt;=$S108),$V108,IF(AND($R108&lt;&gt;"",EDATE($D108,Milestones!$AA$146)&gt;=$R108),$U108,$T108)))=Milestones!$AB$146),TEXT(EDATE($D108,Milestones!$AA$146),"dd/mm/yy")&amp;" "&amp;Milestones!$AB$146&amp;" "&amp;Milestones!$AC$146&amp;";  ","")&amp;IF(AND(EDATE($D108,Milestones!$AA$147)&lt;=AsOfDate,IF($Q108=0,$W108,IF(AND($S108&lt;&gt;"",EDATE($D108,Milestones!$AA$147)&gt;=$S108),$V108,IF(AND($R108&lt;&gt;"",EDATE($D108,Milestones!$AA$147)&gt;=$R108),$U108,$T108)))=Milestones!$AB$147),TEXT(EDATE($D108,Milestones!$AA$147),"dd/mm/yy")&amp;" "&amp;Milestones!$AB$147&amp;" "&amp;Milestones!$AC$147&amp;";  ","")&amp;IF(AND(EDATE($D108,Milestones!$AA$148)&lt;=AsOfDate,IF($Q108=0,$W108,IF(AND($S108&lt;&gt;"",EDATE($D108,Milestones!$AA$148)&gt;=$S108),$V108,IF(AND($R108&lt;&gt;"",EDATE($D108,Milestones!$AA$148)&gt;=$R108),$U108,$T108)))=Milestones!$AB$148),TEXT(EDATE($D108,Milestones!$AA$148),"dd/mm/yy")&amp;" "&amp;Milestones!$AB$148&amp;" "&amp;Milestones!$AC$148&amp;";  ","")&amp;IF(AND(EDATE($D108,Milestones!$AA$149)&lt;=AsOfDate,IF($Q108=0,$W108,IF(AND($S108&lt;&gt;"",EDATE($D108,Milestones!$AA$149)&gt;=$S108),$V108,IF(AND($R108&lt;&gt;"",EDATE($D108,Milestones!$AA$149)&gt;=$R108),$U108,$T108)))=Milestones!$AB$149),TEXT(EDATE($D108,Milestones!$AA$149),"dd/mm/yy")&amp;" "&amp;Milestones!$AB$149&amp;" "&amp;Milestones!$AC$149&amp;";  ","")&amp;IF(AND(EDATE($D108,Milestones!$AA$150)&lt;=AsOfDate,IF($Q108=0,$W108,IF(AND($S108&lt;&gt;"",EDATE($D108,Milestones!$AA$150)&gt;=$S108),$V108,IF(AND($R108&lt;&gt;"",EDATE($D108,Milestones!$AA$150)&gt;=$R108),$U108,$T108)))=Milestones!$AB$150),TEXT(EDATE($D108,Milestones!$AA$150),"dd/mm/yy")&amp;" "&amp;Milestones!$AB$150&amp;" "&amp;Milestones!$AC$150&amp;";  ","")&amp;IF(AND(EDATE($D108,Milestones!$AA$151)&lt;=AsOfDate,IF($Q108=0,$W108,IF(AND($S108&lt;&gt;"",EDATE($D108,Milestones!$AA$151)&gt;=$S108),$V108,IF(AND($R108&lt;&gt;"",EDATE($D108,Milestones!$AA$151)&gt;=$R108),$U108,$T108)))=Milestones!$AB$151),TEXT(EDATE($D108,Milestones!$AA$151),"dd/mm/yy")&amp;" "&amp;Milestones!$AB$151&amp;" "&amp;Milestones!$AC$151&amp;";  ","")&amp;IF(AND(EDATE($D108,Milestones!$AA$152)&lt;=AsOfDate,IF($Q108=0,$W108,IF(AND($S108&lt;&gt;"",EDATE($D108,Milestones!$AA$152)&gt;=$S108),$V108,IF(AND($R108&lt;&gt;"",EDATE($D108,Milestones!$AA$152)&gt;=$R108),$U108,$T108)))=Milestones!$AB$152),TEXT(EDATE($D108,Milestones!$AA$152),"dd/mm/yy")&amp;" "&amp;Milestones!$AB$152&amp;" "&amp;Milestones!$AC$152&amp;";  ","")&amp;IF(AND(EDATE($D108,Milestones!$AA$153)&lt;=AsOfDate,IF($Q108=0,$W108,IF(AND($S108&lt;&gt;"",EDATE($D108,Milestones!$AA$153)&gt;=$S108),$V108,IF(AND($R108&lt;&gt;"",EDATE($D108,Milestones!$AA$153)&gt;=$R108),$U108,$T108)))=Milestones!$AB$153),TEXT(EDATE($D108,Milestones!$AA$153),"dd/mm/yy")&amp;" "&amp;Milestones!$AB$153&amp;" "&amp;Milestones!$AC$153&amp;";  ","")&amp;IF(AND(EDATE($D108,Milestones!$AA$154)&lt;=AsOfDate,IF($Q108=0,$W108,IF(AND($S108&lt;&gt;"",EDATE($D108,Milestones!$AA$154)&gt;=$S108),$V108,IF(AND($R108&lt;&gt;"",EDATE($D108,Milestones!$AA$154)&gt;=$R108),$U108,$T108)))=Milestones!$AB$154),TEXT(EDATE($D108,Milestones!$AA$154),"dd/mm/yy")&amp;" "&amp;Milestones!$AB$154&amp;" "&amp;Milestones!$AC$154&amp;";  ","")&amp;IF(AND(EDATE($D108,Milestones!$AA$155)&lt;=AsOfDate,IF($Q108=0,$W108,IF(AND($S108&lt;&gt;"",EDATE($D108,Milestones!$AA$155)&gt;=$S108),$V108,IF(AND($R108&lt;&gt;"",EDATE($D108,Milestones!$AA$155)&gt;=$R108),$U108,$T108)))=Milestones!$AB$155),TEXT(EDATE($D108,Milestones!$AA$155),"dd/mm/yy")&amp;" "&amp;Milestones!$AB$155&amp;" "&amp;Milestones!$AC$155&amp;";  ","")&amp;IF(AND(EDATE($D108,Milestones!$AA$156)&lt;=AsOfDate,IF($Q108=0,$W108,IF(AND($S108&lt;&gt;"",EDATE($D108,Milestones!$AA$156)&gt;=$S108),$V108,IF(AND($R108&lt;&gt;"",EDATE($D108,Milestones!$AA$156)&gt;=$R108),$U108,$T108)))=Milestones!$AB$156),TEXT(EDATE($D108,Milestones!$AA$156),"dd/mm/yy")&amp;" "&amp;Milestones!$AB$156&amp;" "&amp;Milestones!$AC$156&amp;";  ","")&amp;IF(AND(EDATE($D108,Milestones!$AA$157)&lt;=AsOfDate,IF($Q108=0,$W108,IF(AND($S108&lt;&gt;"",EDATE($D108,Milestones!$AA$157)&gt;=$S108),$V108,IF(AND($R108&lt;&gt;"",EDATE($D108,Milestones!$AA$157)&gt;=$R108),$U108,$T108)))=Milestones!$AB$157),TEXT(EDATE($D108,Milestones!$AA$157),"dd/mm/yy")&amp;" "&amp;Milestones!$AB$157&amp;" "&amp;Milestones!$AC$157&amp;";  ","")&amp;IF(AND(EDATE($D108,Milestones!$AA$158)&lt;=AsOfDate,IF($Q108=0,$W108,IF(AND($S108&lt;&gt;"",EDATE($D108,Milestones!$AA$158)&gt;=$S108),$V108,IF(AND($R108&lt;&gt;"",EDATE($D108,Milestones!$AA$158)&gt;=$R108),$U108,$T108)))=Milestones!$AB$158),TEXT(EDATE($D108,Milestones!$AA$158),"dd/mm/yy")&amp;" "&amp;Milestones!$AB$158&amp;" "&amp;Milestones!$AC$158&amp;";  ","")&amp;IF(AND(EDATE($D108,Milestones!$AA$159)&lt;=AsOfDate,IF($Q108=0,$W108,IF(AND($S108&lt;&gt;"",EDATE($D108,Milestones!$AA$159)&gt;=$S108),$V108,IF(AND($R108&lt;&gt;"",EDATE($D108,Milestones!$AA$159)&gt;=$R108),$U108,$T108)))=Milestones!$AB$159),TEXT(EDATE($D108,Milestones!$AA$159),"dd/mm/yy")&amp;" "&amp;Milestones!$AB$159&amp;" "&amp;Milestones!$AC$159&amp;";  ",""))</f>
        <v/>
      </c>
      <c r="O108" s="0" t="str">
        <f aca="false">IF(OR($A108="",$D108=""),"",IF(AND(EDATE($D108,Milestones!$AA$160)&lt;=AsOfDate,IF($Q108=0,$W108,IF(AND($S108&lt;&gt;"",EDATE($D108,Milestones!$AA$160)&gt;=$S108),$V108,IF(AND($R108&lt;&gt;"",EDATE($D108,Milestones!$AA$160)&gt;=$R108),$U108,$T108)))=Milestones!$AB$160),TEXT(EDATE($D108,Milestones!$AA$160),"dd/mm/yy")&amp;" "&amp;Milestones!$AB$160&amp;" "&amp;Milestones!$AC$160&amp;";  ","")&amp;IF(AND(EDATE($D108,Milestones!$AA$161)&lt;=AsOfDate,IF($Q108=0,$W108,IF(AND($S108&lt;&gt;"",EDATE($D108,Milestones!$AA$161)&gt;=$S108),$V108,IF(AND($R108&lt;&gt;"",EDATE($D108,Milestones!$AA$161)&gt;=$R108),$U108,$T108)))=Milestones!$AB$161),TEXT(EDATE($D108,Milestones!$AA$161),"dd/mm/yy")&amp;" "&amp;Milestones!$AB$161&amp;" "&amp;Milestones!$AC$161&amp;";  ","")&amp;IF(AND(EDATE($D108,Milestones!$AA$162)&lt;=AsOfDate,IF($Q108=0,$W108,IF(AND($S108&lt;&gt;"",EDATE($D108,Milestones!$AA$162)&gt;=$S108),$V108,IF(AND($R108&lt;&gt;"",EDATE($D108,Milestones!$AA$162)&gt;=$R108),$U108,$T108)))=Milestones!$AB$162),TEXT(EDATE($D108,Milestones!$AA$162),"dd/mm/yy")&amp;" "&amp;Milestones!$AB$162&amp;" "&amp;Milestones!$AC$162&amp;";  ","")&amp;IF(AND(EDATE($D108,Milestones!$AA$163)&lt;=AsOfDate,IF($Q108=0,$W108,IF(AND($S108&lt;&gt;"",EDATE($D108,Milestones!$AA$163)&gt;=$S108),$V108,IF(AND($R108&lt;&gt;"",EDATE($D108,Milestones!$AA$163)&gt;=$R108),$U108,$T108)))=Milestones!$AB$163),TEXT(EDATE($D108,Milestones!$AA$163),"dd/mm/yy")&amp;" "&amp;Milestones!$AB$163&amp;" "&amp;Milestones!$AC$163&amp;";  ","")&amp;IF(AND(EDATE($D108,Milestones!$AA$164)&lt;=AsOfDate,IF($Q108=0,$W108,IF(AND($S108&lt;&gt;"",EDATE($D108,Milestones!$AA$164)&gt;=$S108),$V108,IF(AND($R108&lt;&gt;"",EDATE($D108,Milestones!$AA$164)&gt;=$R108),$U108,$T108)))=Milestones!$AB$164),TEXT(EDATE($D108,Milestones!$AA$164),"dd/mm/yy")&amp;" "&amp;Milestones!$AB$164&amp;" "&amp;Milestones!$AC$164&amp;";  ","")&amp;IF(AND(EDATE($D108,Milestones!$AA$165)&lt;=AsOfDate,IF($Q108=0,$W108,IF(AND($S108&lt;&gt;"",EDATE($D108,Milestones!$AA$165)&gt;=$S108),$V108,IF(AND($R108&lt;&gt;"",EDATE($D108,Milestones!$AA$165)&gt;=$R108),$U108,$T108)))=Milestones!$AB$165),TEXT(EDATE($D108,Milestones!$AA$165),"dd/mm/yy")&amp;" "&amp;Milestones!$AB$165&amp;" "&amp;Milestones!$AC$165&amp;";  ","")&amp;IF(AND(EDATE($D108,Milestones!$AA$166)&lt;=AsOfDate,IF($Q108=0,$W108,IF(AND($S108&lt;&gt;"",EDATE($D108,Milestones!$AA$166)&gt;=$S108),$V108,IF(AND($R108&lt;&gt;"",EDATE($D108,Milestones!$AA$166)&gt;=$R108),$U108,$T108)))=Milestones!$AB$166),TEXT(EDATE($D108,Milestones!$AA$166),"dd/mm/yy")&amp;" "&amp;Milestones!$AB$166&amp;" "&amp;Milestones!$AC$166&amp;";  ","")&amp;IF(AND(EDATE($D108,Milestones!$AA$167)&lt;=AsOfDate,IF($Q108=0,$W108,IF(AND($S108&lt;&gt;"",EDATE($D108,Milestones!$AA$167)&gt;=$S108),$V108,IF(AND($R108&lt;&gt;"",EDATE($D108,Milestones!$AA$167)&gt;=$R108),$U108,$T108)))=Milestones!$AB$167),TEXT(EDATE($D108,Milestones!$AA$167),"dd/mm/yy")&amp;" "&amp;Milestones!$AB$167&amp;" "&amp;Milestones!$AC$167&amp;";  ","")&amp;IF(AND(EDATE($D108,Milestones!$AA$168)&lt;=AsOfDate,IF($Q108=0,$W108,IF(AND($S108&lt;&gt;"",EDATE($D108,Milestones!$AA$168)&gt;=$S108),$V108,IF(AND($R108&lt;&gt;"",EDATE($D108,Milestones!$AA$168)&gt;=$R108),$U108,$T108)))=Milestones!$AB$168),TEXT(EDATE($D108,Milestones!$AA$168),"dd/mm/yy")&amp;" "&amp;Milestones!$AB$168&amp;" "&amp;Milestones!$AC$168&amp;";  ","")&amp;IF(AND(EDATE($D108,Milestones!$AA$169)&lt;=AsOfDate,IF($Q108=0,$W108,IF(AND($S108&lt;&gt;"",EDATE($D108,Milestones!$AA$169)&gt;=$S108),$V108,IF(AND($R108&lt;&gt;"",EDATE($D108,Milestones!$AA$169)&gt;=$R108),$U108,$T108)))=Milestones!$AB$169),TEXT(EDATE($D108,Milestones!$AA$169),"dd/mm/yy")&amp;" "&amp;Milestones!$AB$169&amp;" "&amp;Milestones!$AC$169&amp;";  ","")&amp;IF(AND(EDATE($D108,Milestones!$AA$170)&lt;=AsOfDate,IF($Q108=0,$W108,IF(AND($S108&lt;&gt;"",EDATE($D108,Milestones!$AA$170)&gt;=$S108),$V108,IF(AND($R108&lt;&gt;"",EDATE($D108,Milestones!$AA$170)&gt;=$R108),$U108,$T108)))=Milestones!$AB$170),TEXT(EDATE($D108,Milestones!$AA$170),"dd/mm/yy")&amp;" "&amp;Milestones!$AB$170&amp;" "&amp;Milestones!$AC$170&amp;";  ","")&amp;IF(AND(EDATE($D108,Milestones!$AA$171)&lt;=AsOfDate,IF($Q108=0,$W108,IF(AND($S108&lt;&gt;"",EDATE($D108,Milestones!$AA$171)&gt;=$S108),$V108,IF(AND($R108&lt;&gt;"",EDATE($D108,Milestones!$AA$171)&gt;=$R108),$U108,$T108)))=Milestones!$AB$171),TEXT(EDATE($D108,Milestones!$AA$171),"dd/mm/yy")&amp;" "&amp;Milestones!$AB$171&amp;" "&amp;Milestones!$AC$171&amp;";  ","")&amp;IF(AND(EDATE($D108,Milestones!$AA$172)&lt;=AsOfDate,IF($Q108=0,$W108,IF(AND($S108&lt;&gt;"",EDATE($D108,Milestones!$AA$172)&gt;=$S108),$V108,IF(AND($R108&lt;&gt;"",EDATE($D108,Milestones!$AA$172)&gt;=$R108),$U108,$T108)))=Milestones!$AB$172),TEXT(EDATE($D108,Milestones!$AA$172),"dd/mm/yy")&amp;" "&amp;Milestones!$AB$172&amp;" "&amp;Milestones!$AC$172&amp;";  ","")&amp;IF(AND(EDATE($D108,Milestones!$AA$173)&lt;=AsOfDate,IF($Q108=0,$W108,IF(AND($S108&lt;&gt;"",EDATE($D108,Milestones!$AA$173)&gt;=$S108),$V108,IF(AND($R108&lt;&gt;"",EDATE($D108,Milestones!$AA$173)&gt;=$R108),$U108,$T108)))=Milestones!$AB$173),TEXT(EDATE($D108,Milestones!$AA$173),"dd/mm/yy")&amp;" "&amp;Milestones!$AB$173&amp;" "&amp;Milestones!$AC$173&amp;";  ","")&amp;IF(AND(EDATE($D108,Milestones!$AA$174)&lt;=AsOfDate,IF($Q108=0,$W108,IF(AND($S108&lt;&gt;"",EDATE($D108,Milestones!$AA$174)&gt;=$S108),$V108,IF(AND($R108&lt;&gt;"",EDATE($D108,Milestones!$AA$174)&gt;=$R108),$U108,$T108)))=Milestones!$AB$174),TEXT(EDATE($D108,Milestones!$AA$174),"dd/mm/yy")&amp;" "&amp;Milestones!$AB$174&amp;" "&amp;Milestones!$AC$174&amp;";  ","")&amp;IF(AND(EDATE($D108,Milestones!$AA$175)&lt;=AsOfDate,IF($Q108=0,$W108,IF(AND($S108&lt;&gt;"",EDATE($D108,Milestones!$AA$175)&gt;=$S108),$V108,IF(AND($R108&lt;&gt;"",EDATE($D108,Milestones!$AA$175)&gt;=$R108),$U108,$T108)))=Milestones!$AB$175),TEXT(EDATE($D108,Milestones!$AA$175),"dd/mm/yy")&amp;" "&amp;Milestones!$AB$175&amp;" "&amp;Milestones!$AC$175&amp;";  ","")&amp;IF(AND(EDATE($D108,Milestones!$AA$176)&lt;=AsOfDate,IF($Q108=0,$W108,IF(AND($S108&lt;&gt;"",EDATE($D108,Milestones!$AA$176)&gt;=$S108),$V108,IF(AND($R108&lt;&gt;"",EDATE($D108,Milestones!$AA$176)&gt;=$R108),$U108,$T108)))=Milestones!$AB$176),TEXT(EDATE($D108,Milestones!$AA$176),"dd/mm/yy")&amp;" "&amp;Milestones!$AB$176&amp;" "&amp;Milestones!$AC$176&amp;";  ","")&amp;IF(AND(EDATE($D108,Milestones!$AA$177)&lt;=AsOfDate,IF($Q108=0,$W108,IF(AND($S108&lt;&gt;"",EDATE($D108,Milestones!$AA$177)&gt;=$S108),$V108,IF(AND($R108&lt;&gt;"",EDATE($D108,Milestones!$AA$177)&gt;=$R108),$U108,$T108)))=Milestones!$AB$177),TEXT(EDATE($D108,Milestones!$AA$177),"dd/mm/yy")&amp;" "&amp;Milestones!$AB$177&amp;" "&amp;Milestones!$AC$177&amp;";  ","")&amp;IF(AND(EDATE($D108,Milestones!$AA$178)&lt;=AsOfDate,IF($Q108=0,$W108,IF(AND($S108&lt;&gt;"",EDATE($D108,Milestones!$AA$178)&gt;=$S108),$V108,IF(AND($R108&lt;&gt;"",EDATE($D108,Milestones!$AA$178)&gt;=$R108),$U108,$T108)))=Milestones!$AB$178),TEXT(EDATE($D108,Milestones!$AA$178),"dd/mm/yy")&amp;" "&amp;Milestones!$AB$178&amp;" "&amp;Milestones!$AC$178&amp;";  ","")&amp;IF(AND(EDATE($D108,Milestones!$AA$179)&lt;=AsOfDate,IF($Q108=0,$W108,IF(AND($S108&lt;&gt;"",EDATE($D108,Milestones!$AA$179)&gt;=$S108),$V108,IF(AND($R108&lt;&gt;"",EDATE($D108,Milestones!$AA$179)&gt;=$R108),$U108,$T108)))=Milestones!$AB$179),TEXT(EDATE($D108,Milestones!$AA$179),"dd/mm/yy")&amp;" "&amp;Milestones!$AB$179&amp;" "&amp;Milestones!$AC$179&amp;";  ",""))</f>
        <v/>
      </c>
      <c r="P108" s="0" t="str">
        <f aca="false">IF(OR($A108="",$D108=""),"",IF(AND(EDATE($D108,Milestones!$AA$180)&lt;=AsOfDate,IF($Q108=0,$W108,IF(AND($S108&lt;&gt;"",EDATE($D108,Milestones!$AA$180)&gt;=$S108),$V108,IF(AND($R108&lt;&gt;"",EDATE($D108,Milestones!$AA$180)&gt;=$R108),$U108,$T108)))=Milestones!$AB$180),TEXT(EDATE($D108,Milestones!$AA$180),"dd/mm/yy")&amp;" "&amp;Milestones!$AB$180&amp;" "&amp;Milestones!$AC$180&amp;";  ","")&amp;IF(AND(EDATE($D108,Milestones!$AA$181)&lt;=AsOfDate,IF($Q108=0,$W108,IF(AND($S108&lt;&gt;"",EDATE($D108,Milestones!$AA$181)&gt;=$S108),$V108,IF(AND($R108&lt;&gt;"",EDATE($D108,Milestones!$AA$181)&gt;=$R108),$U108,$T108)))=Milestones!$AB$181),TEXT(EDATE($D108,Milestones!$AA$181),"dd/mm/yy")&amp;" "&amp;Milestones!$AB$181&amp;" "&amp;Milestones!$AC$181&amp;";  ","")&amp;IF(AND(EDATE($D108,Milestones!$AA$182)&lt;=AsOfDate,IF($Q108=0,$W108,IF(AND($S108&lt;&gt;"",EDATE($D108,Milestones!$AA$182)&gt;=$S108),$V108,IF(AND($R108&lt;&gt;"",EDATE($D108,Milestones!$AA$182)&gt;=$R108),$U108,$T108)))=Milestones!$AB$182),TEXT(EDATE($D108,Milestones!$AA$182),"dd/mm/yy")&amp;" "&amp;Milestones!$AB$182&amp;" "&amp;Milestones!$AC$182&amp;";  ","")&amp;IF(AND(EDATE($D108,Milestones!$AA$183)&lt;=AsOfDate,IF($Q108=0,$W108,IF(AND($S108&lt;&gt;"",EDATE($D108,Milestones!$AA$183)&gt;=$S108),$V108,IF(AND($R108&lt;&gt;"",EDATE($D108,Milestones!$AA$183)&gt;=$R108),$U108,$T108)))=Milestones!$AB$183),TEXT(EDATE($D108,Milestones!$AA$183),"dd/mm/yy")&amp;" "&amp;Milestones!$AB$183&amp;" "&amp;Milestones!$AC$183&amp;";  ","")&amp;IF(AND(EDATE($D108,Milestones!$AA$184)&lt;=AsOfDate,IF($Q108=0,$W108,IF(AND($S108&lt;&gt;"",EDATE($D108,Milestones!$AA$184)&gt;=$S108),$V108,IF(AND($R108&lt;&gt;"",EDATE($D108,Milestones!$AA$184)&gt;=$R108),$U108,$T108)))=Milestones!$AB$184),TEXT(EDATE($D108,Milestones!$AA$184),"dd/mm/yy")&amp;" "&amp;Milestones!$AB$184&amp;" "&amp;Milestones!$AC$184&amp;";  ","")&amp;IF(AND(EDATE($D108,Milestones!$AA$185)&lt;=AsOfDate,IF($Q108=0,$W108,IF(AND($S108&lt;&gt;"",EDATE($D108,Milestones!$AA$185)&gt;=$S108),$V108,IF(AND($R108&lt;&gt;"",EDATE($D108,Milestones!$AA$185)&gt;=$R108),$U108,$T108)))=Milestones!$AB$185),TEXT(EDATE($D108,Milestones!$AA$185),"dd/mm/yy")&amp;" "&amp;Milestones!$AB$185&amp;" "&amp;Milestones!$AC$185&amp;";  ","")&amp;IF(AND(EDATE($D108,Milestones!$AA$186)&lt;=AsOfDate,IF($Q108=0,$W108,IF(AND($S108&lt;&gt;"",EDATE($D108,Milestones!$AA$186)&gt;=$S108),$V108,IF(AND($R108&lt;&gt;"",EDATE($D108,Milestones!$AA$186)&gt;=$R108),$U108,$T108)))=Milestones!$AB$186),TEXT(EDATE($D108,Milestones!$AA$186),"dd/mm/yy")&amp;" "&amp;Milestones!$AB$186&amp;" "&amp;Milestones!$AC$186&amp;";  ","")&amp;IF(AND(EDATE($D108,Milestones!$AA$187)&lt;=AsOfDate,IF($Q108=0,$W108,IF(AND($S108&lt;&gt;"",EDATE($D108,Milestones!$AA$187)&gt;=$S108),$V108,IF(AND($R108&lt;&gt;"",EDATE($D108,Milestones!$AA$187)&gt;=$R108),$U108,$T108)))=Milestones!$AB$187),TEXT(EDATE($D108,Milestones!$AA$187),"dd/mm/yy")&amp;" "&amp;Milestones!$AB$187&amp;" "&amp;Milestones!$AC$187&amp;";  ","")&amp;IF(AND(EDATE($D108,Milestones!$AA$188)&lt;=AsOfDate,IF($Q108=0,$W108,IF(AND($S108&lt;&gt;"",EDATE($D108,Milestones!$AA$188)&gt;=$S108),$V108,IF(AND($R108&lt;&gt;"",EDATE($D108,Milestones!$AA$188)&gt;=$R108),$U108,$T108)))=Milestones!$AB$188),TEXT(EDATE($D108,Milestones!$AA$188),"dd/mm/yy")&amp;" "&amp;Milestones!$AB$188&amp;" "&amp;Milestones!$AC$188&amp;";  ","")&amp;IF(AND(EDATE($D108,Milestones!$AA$189)&lt;=AsOfDate,IF($Q108=0,$W108,IF(AND($S108&lt;&gt;"",EDATE($D108,Milestones!$AA$189)&gt;=$S108),$V108,IF(AND($R108&lt;&gt;"",EDATE($D108,Milestones!$AA$189)&gt;=$R108),$U108,$T108)))=Milestones!$AB$189),TEXT(EDATE($D108,Milestones!$AA$189),"dd/mm/yy")&amp;" "&amp;Milestones!$AB$189&amp;" "&amp;Milestones!$AC$189&amp;";  ","")&amp;IF(AND(EDATE($D108,Milestones!$AA$190)&lt;=AsOfDate,IF($Q108=0,$W108,IF(AND($S108&lt;&gt;"",EDATE($D108,Milestones!$AA$190)&gt;=$S108),$V108,IF(AND($R108&lt;&gt;"",EDATE($D108,Milestones!$AA$190)&gt;=$R108),$U108,$T108)))=Milestones!$AB$190),TEXT(EDATE($D108,Milestones!$AA$190),"dd/mm/yy")&amp;" "&amp;Milestones!$AB$190&amp;" "&amp;Milestones!$AC$190&amp;";  ","")&amp;IF(AND(EDATE($D108,Milestones!$AA$191)&lt;=AsOfDate,IF($Q108=0,$W108,IF(AND($S108&lt;&gt;"",EDATE($D108,Milestones!$AA$191)&gt;=$S108),$V108,IF(AND($R108&lt;&gt;"",EDATE($D108,Milestones!$AA$191)&gt;=$R108),$U108,$T108)))=Milestones!$AB$191),TEXT(EDATE($D108,Milestones!$AA$191),"dd/mm/yy")&amp;" "&amp;Milestones!$AB$191&amp;" "&amp;Milestones!$AC$191&amp;";  ","")&amp;IF(AND(EDATE($D108,Milestones!$AA$192)&lt;=AsOfDate,IF($Q108=0,$W108,IF(AND($S108&lt;&gt;"",EDATE($D108,Milestones!$AA$192)&gt;=$S108),$V108,IF(AND($R108&lt;&gt;"",EDATE($D108,Milestones!$AA$192)&gt;=$R108),$U108,$T108)))=Milestones!$AB$192),TEXT(EDATE($D108,Milestones!$AA$192),"dd/mm/yy")&amp;" "&amp;Milestones!$AB$192&amp;" "&amp;Milestones!$AC$192&amp;";  ","")&amp;IF(AND(EDATE($D108,Milestones!$AA$193)&lt;=AsOfDate,IF($Q108=0,$W108,IF(AND($S108&lt;&gt;"",EDATE($D108,Milestones!$AA$193)&gt;=$S108),$V108,IF(AND($R108&lt;&gt;"",EDATE($D108,Milestones!$AA$193)&gt;=$R108),$U108,$T108)))=Milestones!$AB$193),TEXT(EDATE($D108,Milestones!$AA$193),"dd/mm/yy")&amp;" "&amp;Milestones!$AB$193&amp;" "&amp;Milestones!$AC$193&amp;";  ","")&amp;IF(AND(EDATE($D108,Milestones!$AA$194)&lt;=AsOfDate,IF($Q108=0,$W108,IF(AND($S108&lt;&gt;"",EDATE($D108,Milestones!$AA$194)&gt;=$S108),$V108,IF(AND($R108&lt;&gt;"",EDATE($D108,Milestones!$AA$194)&gt;=$R108),$U108,$T108)))=Milestones!$AB$194),TEXT(EDATE($D108,Milestones!$AA$194),"dd/mm/yy")&amp;" "&amp;Milestones!$AB$194&amp;" "&amp;Milestones!$AC$194&amp;";  ","")&amp;IF(AND(EDATE($D108,Milestones!$AA$195)&lt;=AsOfDate,IF($Q108=0,$W108,IF(AND($S108&lt;&gt;"",EDATE($D108,Milestones!$AA$195)&gt;=$S108),$V108,IF(AND($R108&lt;&gt;"",EDATE($D108,Milestones!$AA$195)&gt;=$R108),$U108,$T108)))=Milestones!$AB$195),TEXT(EDATE($D108,Milestones!$AA$195),"dd/mm/yy")&amp;" "&amp;Milestones!$AB$195&amp;" "&amp;Milestones!$AC$195&amp;";  ","")&amp;IF(AND(EDATE($D108,Milestones!$AA$196)&lt;=AsOfDate,IF($Q108=0,$W108,IF(AND($S108&lt;&gt;"",EDATE($D108,Milestones!$AA$196)&gt;=$S108),$V108,IF(AND($R108&lt;&gt;"",EDATE($D108,Milestones!$AA$196)&gt;=$R108),$U108,$T108)))=Milestones!$AB$196),TEXT(EDATE($D108,Milestones!$AA$196),"dd/mm/yy")&amp;" "&amp;Milestones!$AB$196&amp;" "&amp;Milestones!$AC$196&amp;";  ","")&amp;IF(AND(EDATE($D108,Milestones!$AA$197)&lt;=AsOfDate,IF($Q108=0,$W108,IF(AND($S108&lt;&gt;"",EDATE($D108,Milestones!$AA$197)&gt;=$S108),$V108,IF(AND($R108&lt;&gt;"",EDATE($D108,Milestones!$AA$197)&gt;=$R108),$U108,$T108)))=Milestones!$AB$197),TEXT(EDATE($D108,Milestones!$AA$197),"dd/mm/yy")&amp;" "&amp;Milestones!$AB$197&amp;" "&amp;Milestones!$AC$197&amp;";  ","")&amp;IF(AND(EDATE($D108,Milestones!$AA$198)&lt;=AsOfDate,IF($Q108=0,$W108,IF(AND($S108&lt;&gt;"",EDATE($D108,Milestones!$AA$198)&gt;=$S108),$V108,IF(AND($R108&lt;&gt;"",EDATE($D108,Milestones!$AA$198)&gt;=$R108),$U108,$T108)))=Milestones!$AB$198),TEXT(EDATE($D108,Milestones!$AA$198),"dd/mm/yy")&amp;" "&amp;Milestones!$AB$198&amp;" "&amp;Milestones!$AC$198&amp;";  ","")&amp;IF(AND(EDATE($D108,Milestones!$AA$199)&lt;=AsOfDate,IF($Q108=0,$W108,IF(AND($S108&lt;&gt;"",EDATE($D108,Milestones!$AA$199)&gt;=$S108),$V108,IF(AND($R108&lt;&gt;"",EDATE($D108,Milestones!$AA$199)&gt;=$R108),$U108,$T108)))=Milestones!$AB$199),TEXT(EDATE($D108,Milestones!$AA$199),"dd/mm/yy")&amp;" "&amp;Milestones!$AB$199&amp;" "&amp;Milestones!$AC$199&amp;";  ",""))</f>
        <v/>
      </c>
      <c r="Q108" s="0" t="str">
        <f aca="false">IF(Staff!$A108="","",Staff!$AG108)</f>
        <v/>
      </c>
      <c r="R108" s="0" t="str">
        <f aca="false">IF(Staff!$A108="","",Staff!$AI108)</f>
        <v/>
      </c>
      <c r="S108" s="0" t="str">
        <f aca="false">IF(Staff!$A108="","",Staff!$AJ108)</f>
        <v/>
      </c>
      <c r="T108" s="0" t="str">
        <f aca="false">IF(Staff!$A108="","",Staff!$AN108)</f>
        <v/>
      </c>
      <c r="U108" s="0" t="str">
        <f aca="false">IF(Staff!$A108="","",Staff!$AO108)</f>
        <v/>
      </c>
      <c r="V108" s="0" t="str">
        <f aca="false">IF(Staff!$A108="","",Staff!$AP108)</f>
        <v/>
      </c>
      <c r="W108" s="0" t="str">
        <f aca="false">IF(Staff!$A108="","",Staff!$AQ108)</f>
        <v/>
      </c>
    </row>
    <row r="109" customFormat="false" ht="15" hidden="false" customHeight="false" outlineLevel="0" collapsed="false">
      <c r="A109" s="13" t="str">
        <f aca="false">IF(Staff!$A109="","",Staff!$A109)</f>
        <v/>
      </c>
      <c r="B109" s="13" t="str">
        <f aca="false">IF(Staff!$A109="","",Staff!$B109)</f>
        <v/>
      </c>
      <c r="C109" s="13" t="str">
        <f aca="false">IF(Staff!$A109="","",Staff!$C109)</f>
        <v/>
      </c>
      <c r="D109" s="11" t="str">
        <f aca="false">IF(Staff!$A109="","",Staff!$AF109)</f>
        <v/>
      </c>
      <c r="E109" s="13" t="str">
        <f aca="false">IF(Staff!$A109="","",Staff!$O109)</f>
        <v/>
      </c>
      <c r="F109" s="13" t="str">
        <f aca="false">IF(E109="","",E109*HoursPerDay)</f>
        <v/>
      </c>
      <c r="G109" s="26" t="str">
        <f aca="false">IF($A109="","",H109&amp;I109&amp;J109&amp;K109&amp;L109&amp;M109&amp;N109&amp;O109&amp;P109)</f>
        <v/>
      </c>
      <c r="H109" s="0" t="str">
        <f aca="false">IF(OR($A109="",$D109=""),"",IF(AND(EDATE($D109,Milestones!$AA$20)&lt;=AsOfDate,IF($Q109=0,$W109,IF(AND($S109&lt;&gt;"",EDATE($D109,Milestones!$AA$20)&gt;=$S109),$V109,IF(AND($R109&lt;&gt;"",EDATE($D109,Milestones!$AA$20)&gt;=$R109),$U109,$T109)))=Milestones!$AB$20),TEXT(EDATE($D109,Milestones!$AA$20),"dd/mm/yy")&amp;" "&amp;Milestones!$AB$20&amp;" "&amp;Milestones!$AC$20&amp;";  ","")&amp;IF(AND(EDATE($D109,Milestones!$AA$21)&lt;=AsOfDate,IF($Q109=0,$W109,IF(AND($S109&lt;&gt;"",EDATE($D109,Milestones!$AA$21)&gt;=$S109),$V109,IF(AND($R109&lt;&gt;"",EDATE($D109,Milestones!$AA$21)&gt;=$R109),$U109,$T109)))=Milestones!$AB$21),TEXT(EDATE($D109,Milestones!$AA$21),"dd/mm/yy")&amp;" "&amp;Milestones!$AB$21&amp;" "&amp;Milestones!$AC$21&amp;";  ","")&amp;IF(AND(EDATE($D109,Milestones!$AA$22)&lt;=AsOfDate,IF($Q109=0,$W109,IF(AND($S109&lt;&gt;"",EDATE($D109,Milestones!$AA$22)&gt;=$S109),$V109,IF(AND($R109&lt;&gt;"",EDATE($D109,Milestones!$AA$22)&gt;=$R109),$U109,$T109)))=Milestones!$AB$22),TEXT(EDATE($D109,Milestones!$AA$22),"dd/mm/yy")&amp;" "&amp;Milestones!$AB$22&amp;" "&amp;Milestones!$AC$22&amp;";  ","")&amp;IF(AND(EDATE($D109,Milestones!$AA$23)&lt;=AsOfDate,IF($Q109=0,$W109,IF(AND($S109&lt;&gt;"",EDATE($D109,Milestones!$AA$23)&gt;=$S109),$V109,IF(AND($R109&lt;&gt;"",EDATE($D109,Milestones!$AA$23)&gt;=$R109),$U109,$T109)))=Milestones!$AB$23),TEXT(EDATE($D109,Milestones!$AA$23),"dd/mm/yy")&amp;" "&amp;Milestones!$AB$23&amp;" "&amp;Milestones!$AC$23&amp;";  ","")&amp;IF(AND(EDATE($D109,Milestones!$AA$24)&lt;=AsOfDate,IF($Q109=0,$W109,IF(AND($S109&lt;&gt;"",EDATE($D109,Milestones!$AA$24)&gt;=$S109),$V109,IF(AND($R109&lt;&gt;"",EDATE($D109,Milestones!$AA$24)&gt;=$R109),$U109,$T109)))=Milestones!$AB$24),TEXT(EDATE($D109,Milestones!$AA$24),"dd/mm/yy")&amp;" "&amp;Milestones!$AB$24&amp;" "&amp;Milestones!$AC$24&amp;";  ","")&amp;IF(AND(EDATE($D109,Milestones!$AA$25)&lt;=AsOfDate,IF($Q109=0,$W109,IF(AND($S109&lt;&gt;"",EDATE($D109,Milestones!$AA$25)&gt;=$S109),$V109,IF(AND($R109&lt;&gt;"",EDATE($D109,Milestones!$AA$25)&gt;=$R109),$U109,$T109)))=Milestones!$AB$25),TEXT(EDATE($D109,Milestones!$AA$25),"dd/mm/yy")&amp;" "&amp;Milestones!$AB$25&amp;" "&amp;Milestones!$AC$25&amp;";  ","")&amp;IF(AND(EDATE($D109,Milestones!$AA$26)&lt;=AsOfDate,IF($Q109=0,$W109,IF(AND($S109&lt;&gt;"",EDATE($D109,Milestones!$AA$26)&gt;=$S109),$V109,IF(AND($R109&lt;&gt;"",EDATE($D109,Milestones!$AA$26)&gt;=$R109),$U109,$T109)))=Milestones!$AB$26),TEXT(EDATE($D109,Milestones!$AA$26),"dd/mm/yy")&amp;" "&amp;Milestones!$AB$26&amp;" "&amp;Milestones!$AC$26&amp;";  ","")&amp;IF(AND(EDATE($D109,Milestones!$AA$27)&lt;=AsOfDate,IF($Q109=0,$W109,IF(AND($S109&lt;&gt;"",EDATE($D109,Milestones!$AA$27)&gt;=$S109),$V109,IF(AND($R109&lt;&gt;"",EDATE($D109,Milestones!$AA$27)&gt;=$R109),$U109,$T109)))=Milestones!$AB$27),TEXT(EDATE($D109,Milestones!$AA$27),"dd/mm/yy")&amp;" "&amp;Milestones!$AB$27&amp;" "&amp;Milestones!$AC$27&amp;";  ","")&amp;IF(AND(EDATE($D109,Milestones!$AA$28)&lt;=AsOfDate,IF($Q109=0,$W109,IF(AND($S109&lt;&gt;"",EDATE($D109,Milestones!$AA$28)&gt;=$S109),$V109,IF(AND($R109&lt;&gt;"",EDATE($D109,Milestones!$AA$28)&gt;=$R109),$U109,$T109)))=Milestones!$AB$28),TEXT(EDATE($D109,Milestones!$AA$28),"dd/mm/yy")&amp;" "&amp;Milestones!$AB$28&amp;" "&amp;Milestones!$AC$28&amp;";  ","")&amp;IF(AND(EDATE($D109,Milestones!$AA$29)&lt;=AsOfDate,IF($Q109=0,$W109,IF(AND($S109&lt;&gt;"",EDATE($D109,Milestones!$AA$29)&gt;=$S109),$V109,IF(AND($R109&lt;&gt;"",EDATE($D109,Milestones!$AA$29)&gt;=$R109),$U109,$T109)))=Milestones!$AB$29),TEXT(EDATE($D109,Milestones!$AA$29),"dd/mm/yy")&amp;" "&amp;Milestones!$AB$29&amp;" "&amp;Milestones!$AC$29&amp;";  ","")&amp;IF(AND(EDATE($D109,Milestones!$AA$30)&lt;=AsOfDate,IF($Q109=0,$W109,IF(AND($S109&lt;&gt;"",EDATE($D109,Milestones!$AA$30)&gt;=$S109),$V109,IF(AND($R109&lt;&gt;"",EDATE($D109,Milestones!$AA$30)&gt;=$R109),$U109,$T109)))=Milestones!$AB$30),TEXT(EDATE($D109,Milestones!$AA$30),"dd/mm/yy")&amp;" "&amp;Milestones!$AB$30&amp;" "&amp;Milestones!$AC$30&amp;";  ","")&amp;IF(AND(EDATE($D109,Milestones!$AA$31)&lt;=AsOfDate,IF($Q109=0,$W109,IF(AND($S109&lt;&gt;"",EDATE($D109,Milestones!$AA$31)&gt;=$S109),$V109,IF(AND($R109&lt;&gt;"",EDATE($D109,Milestones!$AA$31)&gt;=$R109),$U109,$T109)))=Milestones!$AB$31),TEXT(EDATE($D109,Milestones!$AA$31),"dd/mm/yy")&amp;" "&amp;Milestones!$AB$31&amp;" "&amp;Milestones!$AC$31&amp;";  ","")&amp;IF(AND(EDATE($D109,Milestones!$AA$32)&lt;=AsOfDate,IF($Q109=0,$W109,IF(AND($S109&lt;&gt;"",EDATE($D109,Milestones!$AA$32)&gt;=$S109),$V109,IF(AND($R109&lt;&gt;"",EDATE($D109,Milestones!$AA$32)&gt;=$R109),$U109,$T109)))=Milestones!$AB$32),TEXT(EDATE($D109,Milestones!$AA$32),"dd/mm/yy")&amp;" "&amp;Milestones!$AB$32&amp;" "&amp;Milestones!$AC$32&amp;";  ","")&amp;IF(AND(EDATE($D109,Milestones!$AA$33)&lt;=AsOfDate,IF($Q109=0,$W109,IF(AND($S109&lt;&gt;"",EDATE($D109,Milestones!$AA$33)&gt;=$S109),$V109,IF(AND($R109&lt;&gt;"",EDATE($D109,Milestones!$AA$33)&gt;=$R109),$U109,$T109)))=Milestones!$AB$33),TEXT(EDATE($D109,Milestones!$AA$33),"dd/mm/yy")&amp;" "&amp;Milestones!$AB$33&amp;" "&amp;Milestones!$AC$33&amp;";  ","")&amp;IF(AND(EDATE($D109,Milestones!$AA$34)&lt;=AsOfDate,IF($Q109=0,$W109,IF(AND($S109&lt;&gt;"",EDATE($D109,Milestones!$AA$34)&gt;=$S109),$V109,IF(AND($R109&lt;&gt;"",EDATE($D109,Milestones!$AA$34)&gt;=$R109),$U109,$T109)))=Milestones!$AB$34),TEXT(EDATE($D109,Milestones!$AA$34),"dd/mm/yy")&amp;" "&amp;Milestones!$AB$34&amp;" "&amp;Milestones!$AC$34&amp;";  ","")&amp;IF(AND(EDATE($D109,Milestones!$AA$35)&lt;=AsOfDate,IF($Q109=0,$W109,IF(AND($S109&lt;&gt;"",EDATE($D109,Milestones!$AA$35)&gt;=$S109),$V109,IF(AND($R109&lt;&gt;"",EDATE($D109,Milestones!$AA$35)&gt;=$R109),$U109,$T109)))=Milestones!$AB$35),TEXT(EDATE($D109,Milestones!$AA$35),"dd/mm/yy")&amp;" "&amp;Milestones!$AB$35&amp;" "&amp;Milestones!$AC$35&amp;";  ","")&amp;IF(AND(EDATE($D109,Milestones!$AA$36)&lt;=AsOfDate,IF($Q109=0,$W109,IF(AND($S109&lt;&gt;"",EDATE($D109,Milestones!$AA$36)&gt;=$S109),$V109,IF(AND($R109&lt;&gt;"",EDATE($D109,Milestones!$AA$36)&gt;=$R109),$U109,$T109)))=Milestones!$AB$36),TEXT(EDATE($D109,Milestones!$AA$36),"dd/mm/yy")&amp;" "&amp;Milestones!$AB$36&amp;" "&amp;Milestones!$AC$36&amp;";  ","")&amp;IF(AND(EDATE($D109,Milestones!$AA$37)&lt;=AsOfDate,IF($Q109=0,$W109,IF(AND($S109&lt;&gt;"",EDATE($D109,Milestones!$AA$37)&gt;=$S109),$V109,IF(AND($R109&lt;&gt;"",EDATE($D109,Milestones!$AA$37)&gt;=$R109),$U109,$T109)))=Milestones!$AB$37),TEXT(EDATE($D109,Milestones!$AA$37),"dd/mm/yy")&amp;" "&amp;Milestones!$AB$37&amp;" "&amp;Milestones!$AC$37&amp;";  ","")&amp;IF(AND(EDATE($D109,Milestones!$AA$38)&lt;=AsOfDate,IF($Q109=0,$W109,IF(AND($S109&lt;&gt;"",EDATE($D109,Milestones!$AA$38)&gt;=$S109),$V109,IF(AND($R109&lt;&gt;"",EDATE($D109,Milestones!$AA$38)&gt;=$R109),$U109,$T109)))=Milestones!$AB$38),TEXT(EDATE($D109,Milestones!$AA$38),"dd/mm/yy")&amp;" "&amp;Milestones!$AB$38&amp;" "&amp;Milestones!$AC$38&amp;";  ","")&amp;IF(AND(EDATE($D109,Milestones!$AA$39)&lt;=AsOfDate,IF($Q109=0,$W109,IF(AND($S109&lt;&gt;"",EDATE($D109,Milestones!$AA$39)&gt;=$S109),$V109,IF(AND($R109&lt;&gt;"",EDATE($D109,Milestones!$AA$39)&gt;=$R109),$U109,$T109)))=Milestones!$AB$39),TEXT(EDATE($D109,Milestones!$AA$39),"dd/mm/yy")&amp;" "&amp;Milestones!$AB$39&amp;" "&amp;Milestones!$AC$39&amp;";  ",""))</f>
        <v/>
      </c>
      <c r="I109" s="0" t="str">
        <f aca="false">IF(OR($A109="",$D109=""),"",IF(AND(EDATE($D109,Milestones!$AA$40)&lt;=AsOfDate,IF($Q109=0,$W109,IF(AND($S109&lt;&gt;"",EDATE($D109,Milestones!$AA$40)&gt;=$S109),$V109,IF(AND($R109&lt;&gt;"",EDATE($D109,Milestones!$AA$40)&gt;=$R109),$U109,$T109)))=Milestones!$AB$40),TEXT(EDATE($D109,Milestones!$AA$40),"dd/mm/yy")&amp;" "&amp;Milestones!$AB$40&amp;" "&amp;Milestones!$AC$40&amp;";  ","")&amp;IF(AND(EDATE($D109,Milestones!$AA$41)&lt;=AsOfDate,IF($Q109=0,$W109,IF(AND($S109&lt;&gt;"",EDATE($D109,Milestones!$AA$41)&gt;=$S109),$V109,IF(AND($R109&lt;&gt;"",EDATE($D109,Milestones!$AA$41)&gt;=$R109),$U109,$T109)))=Milestones!$AB$41),TEXT(EDATE($D109,Milestones!$AA$41),"dd/mm/yy")&amp;" "&amp;Milestones!$AB$41&amp;" "&amp;Milestones!$AC$41&amp;";  ","")&amp;IF(AND(EDATE($D109,Milestones!$AA$42)&lt;=AsOfDate,IF($Q109=0,$W109,IF(AND($S109&lt;&gt;"",EDATE($D109,Milestones!$AA$42)&gt;=$S109),$V109,IF(AND($R109&lt;&gt;"",EDATE($D109,Milestones!$AA$42)&gt;=$R109),$U109,$T109)))=Milestones!$AB$42),TEXT(EDATE($D109,Milestones!$AA$42),"dd/mm/yy")&amp;" "&amp;Milestones!$AB$42&amp;" "&amp;Milestones!$AC$42&amp;";  ","")&amp;IF(AND(EDATE($D109,Milestones!$AA$43)&lt;=AsOfDate,IF($Q109=0,$W109,IF(AND($S109&lt;&gt;"",EDATE($D109,Milestones!$AA$43)&gt;=$S109),$V109,IF(AND($R109&lt;&gt;"",EDATE($D109,Milestones!$AA$43)&gt;=$R109),$U109,$T109)))=Milestones!$AB$43),TEXT(EDATE($D109,Milestones!$AA$43),"dd/mm/yy")&amp;" "&amp;Milestones!$AB$43&amp;" "&amp;Milestones!$AC$43&amp;";  ","")&amp;IF(AND(EDATE($D109,Milestones!$AA$44)&lt;=AsOfDate,IF($Q109=0,$W109,IF(AND($S109&lt;&gt;"",EDATE($D109,Milestones!$AA$44)&gt;=$S109),$V109,IF(AND($R109&lt;&gt;"",EDATE($D109,Milestones!$AA$44)&gt;=$R109),$U109,$T109)))=Milestones!$AB$44),TEXT(EDATE($D109,Milestones!$AA$44),"dd/mm/yy")&amp;" "&amp;Milestones!$AB$44&amp;" "&amp;Milestones!$AC$44&amp;";  ","")&amp;IF(AND(EDATE($D109,Milestones!$AA$45)&lt;=AsOfDate,IF($Q109=0,$W109,IF(AND($S109&lt;&gt;"",EDATE($D109,Milestones!$AA$45)&gt;=$S109),$V109,IF(AND($R109&lt;&gt;"",EDATE($D109,Milestones!$AA$45)&gt;=$R109),$U109,$T109)))=Milestones!$AB$45),TEXT(EDATE($D109,Milestones!$AA$45),"dd/mm/yy")&amp;" "&amp;Milestones!$AB$45&amp;" "&amp;Milestones!$AC$45&amp;";  ","")&amp;IF(AND(EDATE($D109,Milestones!$AA$46)&lt;=AsOfDate,IF($Q109=0,$W109,IF(AND($S109&lt;&gt;"",EDATE($D109,Milestones!$AA$46)&gt;=$S109),$V109,IF(AND($R109&lt;&gt;"",EDATE($D109,Milestones!$AA$46)&gt;=$R109),$U109,$T109)))=Milestones!$AB$46),TEXT(EDATE($D109,Milestones!$AA$46),"dd/mm/yy")&amp;" "&amp;Milestones!$AB$46&amp;" "&amp;Milestones!$AC$46&amp;";  ","")&amp;IF(AND(EDATE($D109,Milestones!$AA$47)&lt;=AsOfDate,IF($Q109=0,$W109,IF(AND($S109&lt;&gt;"",EDATE($D109,Milestones!$AA$47)&gt;=$S109),$V109,IF(AND($R109&lt;&gt;"",EDATE($D109,Milestones!$AA$47)&gt;=$R109),$U109,$T109)))=Milestones!$AB$47),TEXT(EDATE($D109,Milestones!$AA$47),"dd/mm/yy")&amp;" "&amp;Milestones!$AB$47&amp;" "&amp;Milestones!$AC$47&amp;";  ","")&amp;IF(AND(EDATE($D109,Milestones!$AA$48)&lt;=AsOfDate,IF($Q109=0,$W109,IF(AND($S109&lt;&gt;"",EDATE($D109,Milestones!$AA$48)&gt;=$S109),$V109,IF(AND($R109&lt;&gt;"",EDATE($D109,Milestones!$AA$48)&gt;=$R109),$U109,$T109)))=Milestones!$AB$48),TEXT(EDATE($D109,Milestones!$AA$48),"dd/mm/yy")&amp;" "&amp;Milestones!$AB$48&amp;" "&amp;Milestones!$AC$48&amp;";  ","")&amp;IF(AND(EDATE($D109,Milestones!$AA$49)&lt;=AsOfDate,IF($Q109=0,$W109,IF(AND($S109&lt;&gt;"",EDATE($D109,Milestones!$AA$49)&gt;=$S109),$V109,IF(AND($R109&lt;&gt;"",EDATE($D109,Milestones!$AA$49)&gt;=$R109),$U109,$T109)))=Milestones!$AB$49),TEXT(EDATE($D109,Milestones!$AA$49),"dd/mm/yy")&amp;" "&amp;Milestones!$AB$49&amp;" "&amp;Milestones!$AC$49&amp;";  ","")&amp;IF(AND(EDATE($D109,Milestones!$AA$50)&lt;=AsOfDate,IF($Q109=0,$W109,IF(AND($S109&lt;&gt;"",EDATE($D109,Milestones!$AA$50)&gt;=$S109),$V109,IF(AND($R109&lt;&gt;"",EDATE($D109,Milestones!$AA$50)&gt;=$R109),$U109,$T109)))=Milestones!$AB$50),TEXT(EDATE($D109,Milestones!$AA$50),"dd/mm/yy")&amp;" "&amp;Milestones!$AB$50&amp;" "&amp;Milestones!$AC$50&amp;";  ","")&amp;IF(AND(EDATE($D109,Milestones!$AA$51)&lt;=AsOfDate,IF($Q109=0,$W109,IF(AND($S109&lt;&gt;"",EDATE($D109,Milestones!$AA$51)&gt;=$S109),$V109,IF(AND($R109&lt;&gt;"",EDATE($D109,Milestones!$AA$51)&gt;=$R109),$U109,$T109)))=Milestones!$AB$51),TEXT(EDATE($D109,Milestones!$AA$51),"dd/mm/yy")&amp;" "&amp;Milestones!$AB$51&amp;" "&amp;Milestones!$AC$51&amp;";  ","")&amp;IF(AND(EDATE($D109,Milestones!$AA$52)&lt;=AsOfDate,IF($Q109=0,$W109,IF(AND($S109&lt;&gt;"",EDATE($D109,Milestones!$AA$52)&gt;=$S109),$V109,IF(AND($R109&lt;&gt;"",EDATE($D109,Milestones!$AA$52)&gt;=$R109),$U109,$T109)))=Milestones!$AB$52),TEXT(EDATE($D109,Milestones!$AA$52),"dd/mm/yy")&amp;" "&amp;Milestones!$AB$52&amp;" "&amp;Milestones!$AC$52&amp;";  ","")&amp;IF(AND(EDATE($D109,Milestones!$AA$53)&lt;=AsOfDate,IF($Q109=0,$W109,IF(AND($S109&lt;&gt;"",EDATE($D109,Milestones!$AA$53)&gt;=$S109),$V109,IF(AND($R109&lt;&gt;"",EDATE($D109,Milestones!$AA$53)&gt;=$R109),$U109,$T109)))=Milestones!$AB$53),TEXT(EDATE($D109,Milestones!$AA$53),"dd/mm/yy")&amp;" "&amp;Milestones!$AB$53&amp;" "&amp;Milestones!$AC$53&amp;";  ","")&amp;IF(AND(EDATE($D109,Milestones!$AA$54)&lt;=AsOfDate,IF($Q109=0,$W109,IF(AND($S109&lt;&gt;"",EDATE($D109,Milestones!$AA$54)&gt;=$S109),$V109,IF(AND($R109&lt;&gt;"",EDATE($D109,Milestones!$AA$54)&gt;=$R109),$U109,$T109)))=Milestones!$AB$54),TEXT(EDATE($D109,Milestones!$AA$54),"dd/mm/yy")&amp;" "&amp;Milestones!$AB$54&amp;" "&amp;Milestones!$AC$54&amp;";  ","")&amp;IF(AND(EDATE($D109,Milestones!$AA$55)&lt;=AsOfDate,IF($Q109=0,$W109,IF(AND($S109&lt;&gt;"",EDATE($D109,Milestones!$AA$55)&gt;=$S109),$V109,IF(AND($R109&lt;&gt;"",EDATE($D109,Milestones!$AA$55)&gt;=$R109),$U109,$T109)))=Milestones!$AB$55),TEXT(EDATE($D109,Milestones!$AA$55),"dd/mm/yy")&amp;" "&amp;Milestones!$AB$55&amp;" "&amp;Milestones!$AC$55&amp;";  ","")&amp;IF(AND(EDATE($D109,Milestones!$AA$56)&lt;=AsOfDate,IF($Q109=0,$W109,IF(AND($S109&lt;&gt;"",EDATE($D109,Milestones!$AA$56)&gt;=$S109),$V109,IF(AND($R109&lt;&gt;"",EDATE($D109,Milestones!$AA$56)&gt;=$R109),$U109,$T109)))=Milestones!$AB$56),TEXT(EDATE($D109,Milestones!$AA$56),"dd/mm/yy")&amp;" "&amp;Milestones!$AB$56&amp;" "&amp;Milestones!$AC$56&amp;";  ","")&amp;IF(AND(EDATE($D109,Milestones!$AA$57)&lt;=AsOfDate,IF($Q109=0,$W109,IF(AND($S109&lt;&gt;"",EDATE($D109,Milestones!$AA$57)&gt;=$S109),$V109,IF(AND($R109&lt;&gt;"",EDATE($D109,Milestones!$AA$57)&gt;=$R109),$U109,$T109)))=Milestones!$AB$57),TEXT(EDATE($D109,Milestones!$AA$57),"dd/mm/yy")&amp;" "&amp;Milestones!$AB$57&amp;" "&amp;Milestones!$AC$57&amp;";  ","")&amp;IF(AND(EDATE($D109,Milestones!$AA$58)&lt;=AsOfDate,IF($Q109=0,$W109,IF(AND($S109&lt;&gt;"",EDATE($D109,Milestones!$AA$58)&gt;=$S109),$V109,IF(AND($R109&lt;&gt;"",EDATE($D109,Milestones!$AA$58)&gt;=$R109),$U109,$T109)))=Milestones!$AB$58),TEXT(EDATE($D109,Milestones!$AA$58),"dd/mm/yy")&amp;" "&amp;Milestones!$AB$58&amp;" "&amp;Milestones!$AC$58&amp;";  ","")&amp;IF(AND(EDATE($D109,Milestones!$AA$59)&lt;=AsOfDate,IF($Q109=0,$W109,IF(AND($S109&lt;&gt;"",EDATE($D109,Milestones!$AA$59)&gt;=$S109),$V109,IF(AND($R109&lt;&gt;"",EDATE($D109,Milestones!$AA$59)&gt;=$R109),$U109,$T109)))=Milestones!$AB$59),TEXT(EDATE($D109,Milestones!$AA$59),"dd/mm/yy")&amp;" "&amp;Milestones!$AB$59&amp;" "&amp;Milestones!$AC$59&amp;";  ",""))</f>
        <v/>
      </c>
      <c r="J109" s="0" t="str">
        <f aca="false">IF(OR($A109="",$D109=""),"",IF(AND(EDATE($D109,Milestones!$AA$60)&lt;=AsOfDate,IF($Q109=0,$W109,IF(AND($S109&lt;&gt;"",EDATE($D109,Milestones!$AA$60)&gt;=$S109),$V109,IF(AND($R109&lt;&gt;"",EDATE($D109,Milestones!$AA$60)&gt;=$R109),$U109,$T109)))=Milestones!$AB$60),TEXT(EDATE($D109,Milestones!$AA$60),"dd/mm/yy")&amp;" "&amp;Milestones!$AB$60&amp;" "&amp;Milestones!$AC$60&amp;";  ","")&amp;IF(AND(EDATE($D109,Milestones!$AA$61)&lt;=AsOfDate,IF($Q109=0,$W109,IF(AND($S109&lt;&gt;"",EDATE($D109,Milestones!$AA$61)&gt;=$S109),$V109,IF(AND($R109&lt;&gt;"",EDATE($D109,Milestones!$AA$61)&gt;=$R109),$U109,$T109)))=Milestones!$AB$61),TEXT(EDATE($D109,Milestones!$AA$61),"dd/mm/yy")&amp;" "&amp;Milestones!$AB$61&amp;" "&amp;Milestones!$AC$61&amp;";  ","")&amp;IF(AND(EDATE($D109,Milestones!$AA$62)&lt;=AsOfDate,IF($Q109=0,$W109,IF(AND($S109&lt;&gt;"",EDATE($D109,Milestones!$AA$62)&gt;=$S109),$V109,IF(AND($R109&lt;&gt;"",EDATE($D109,Milestones!$AA$62)&gt;=$R109),$U109,$T109)))=Milestones!$AB$62),TEXT(EDATE($D109,Milestones!$AA$62),"dd/mm/yy")&amp;" "&amp;Milestones!$AB$62&amp;" "&amp;Milestones!$AC$62&amp;";  ","")&amp;IF(AND(EDATE($D109,Milestones!$AA$63)&lt;=AsOfDate,IF($Q109=0,$W109,IF(AND($S109&lt;&gt;"",EDATE($D109,Milestones!$AA$63)&gt;=$S109),$V109,IF(AND($R109&lt;&gt;"",EDATE($D109,Milestones!$AA$63)&gt;=$R109),$U109,$T109)))=Milestones!$AB$63),TEXT(EDATE($D109,Milestones!$AA$63),"dd/mm/yy")&amp;" "&amp;Milestones!$AB$63&amp;" "&amp;Milestones!$AC$63&amp;";  ","")&amp;IF(AND(EDATE($D109,Milestones!$AA$64)&lt;=AsOfDate,IF($Q109=0,$W109,IF(AND($S109&lt;&gt;"",EDATE($D109,Milestones!$AA$64)&gt;=$S109),$V109,IF(AND($R109&lt;&gt;"",EDATE($D109,Milestones!$AA$64)&gt;=$R109),$U109,$T109)))=Milestones!$AB$64),TEXT(EDATE($D109,Milestones!$AA$64),"dd/mm/yy")&amp;" "&amp;Milestones!$AB$64&amp;" "&amp;Milestones!$AC$64&amp;";  ","")&amp;IF(AND(EDATE($D109,Milestones!$AA$65)&lt;=AsOfDate,IF($Q109=0,$W109,IF(AND($S109&lt;&gt;"",EDATE($D109,Milestones!$AA$65)&gt;=$S109),$V109,IF(AND($R109&lt;&gt;"",EDATE($D109,Milestones!$AA$65)&gt;=$R109),$U109,$T109)))=Milestones!$AB$65),TEXT(EDATE($D109,Milestones!$AA$65),"dd/mm/yy")&amp;" "&amp;Milestones!$AB$65&amp;" "&amp;Milestones!$AC$65&amp;";  ","")&amp;IF(AND(EDATE($D109,Milestones!$AA$66)&lt;=AsOfDate,IF($Q109=0,$W109,IF(AND($S109&lt;&gt;"",EDATE($D109,Milestones!$AA$66)&gt;=$S109),$V109,IF(AND($R109&lt;&gt;"",EDATE($D109,Milestones!$AA$66)&gt;=$R109),$U109,$T109)))=Milestones!$AB$66),TEXT(EDATE($D109,Milestones!$AA$66),"dd/mm/yy")&amp;" "&amp;Milestones!$AB$66&amp;" "&amp;Milestones!$AC$66&amp;";  ","")&amp;IF(AND(EDATE($D109,Milestones!$AA$67)&lt;=AsOfDate,IF($Q109=0,$W109,IF(AND($S109&lt;&gt;"",EDATE($D109,Milestones!$AA$67)&gt;=$S109),$V109,IF(AND($R109&lt;&gt;"",EDATE($D109,Milestones!$AA$67)&gt;=$R109),$U109,$T109)))=Milestones!$AB$67),TEXT(EDATE($D109,Milestones!$AA$67),"dd/mm/yy")&amp;" "&amp;Milestones!$AB$67&amp;" "&amp;Milestones!$AC$67&amp;";  ","")&amp;IF(AND(EDATE($D109,Milestones!$AA$68)&lt;=AsOfDate,IF($Q109=0,$W109,IF(AND($S109&lt;&gt;"",EDATE($D109,Milestones!$AA$68)&gt;=$S109),$V109,IF(AND($R109&lt;&gt;"",EDATE($D109,Milestones!$AA$68)&gt;=$R109),$U109,$T109)))=Milestones!$AB$68),TEXT(EDATE($D109,Milestones!$AA$68),"dd/mm/yy")&amp;" "&amp;Milestones!$AB$68&amp;" "&amp;Milestones!$AC$68&amp;";  ","")&amp;IF(AND(EDATE($D109,Milestones!$AA$69)&lt;=AsOfDate,IF($Q109=0,$W109,IF(AND($S109&lt;&gt;"",EDATE($D109,Milestones!$AA$69)&gt;=$S109),$V109,IF(AND($R109&lt;&gt;"",EDATE($D109,Milestones!$AA$69)&gt;=$R109),$U109,$T109)))=Milestones!$AB$69),TEXT(EDATE($D109,Milestones!$AA$69),"dd/mm/yy")&amp;" "&amp;Milestones!$AB$69&amp;" "&amp;Milestones!$AC$69&amp;";  ","")&amp;IF(AND(EDATE($D109,Milestones!$AA$70)&lt;=AsOfDate,IF($Q109=0,$W109,IF(AND($S109&lt;&gt;"",EDATE($D109,Milestones!$AA$70)&gt;=$S109),$V109,IF(AND($R109&lt;&gt;"",EDATE($D109,Milestones!$AA$70)&gt;=$R109),$U109,$T109)))=Milestones!$AB$70),TEXT(EDATE($D109,Milestones!$AA$70),"dd/mm/yy")&amp;" "&amp;Milestones!$AB$70&amp;" "&amp;Milestones!$AC$70&amp;";  ","")&amp;IF(AND(EDATE($D109,Milestones!$AA$71)&lt;=AsOfDate,IF($Q109=0,$W109,IF(AND($S109&lt;&gt;"",EDATE($D109,Milestones!$AA$71)&gt;=$S109),$V109,IF(AND($R109&lt;&gt;"",EDATE($D109,Milestones!$AA$71)&gt;=$R109),$U109,$T109)))=Milestones!$AB$71),TEXT(EDATE($D109,Milestones!$AA$71),"dd/mm/yy")&amp;" "&amp;Milestones!$AB$71&amp;" "&amp;Milestones!$AC$71&amp;";  ","")&amp;IF(AND(EDATE($D109,Milestones!$AA$72)&lt;=AsOfDate,IF($Q109=0,$W109,IF(AND($S109&lt;&gt;"",EDATE($D109,Milestones!$AA$72)&gt;=$S109),$V109,IF(AND($R109&lt;&gt;"",EDATE($D109,Milestones!$AA$72)&gt;=$R109),$U109,$T109)))=Milestones!$AB$72),TEXT(EDATE($D109,Milestones!$AA$72),"dd/mm/yy")&amp;" "&amp;Milestones!$AB$72&amp;" "&amp;Milestones!$AC$72&amp;";  ","")&amp;IF(AND(EDATE($D109,Milestones!$AA$73)&lt;=AsOfDate,IF($Q109=0,$W109,IF(AND($S109&lt;&gt;"",EDATE($D109,Milestones!$AA$73)&gt;=$S109),$V109,IF(AND($R109&lt;&gt;"",EDATE($D109,Milestones!$AA$73)&gt;=$R109),$U109,$T109)))=Milestones!$AB$73),TEXT(EDATE($D109,Milestones!$AA$73),"dd/mm/yy")&amp;" "&amp;Milestones!$AB$73&amp;" "&amp;Milestones!$AC$73&amp;";  ","")&amp;IF(AND(EDATE($D109,Milestones!$AA$74)&lt;=AsOfDate,IF($Q109=0,$W109,IF(AND($S109&lt;&gt;"",EDATE($D109,Milestones!$AA$74)&gt;=$S109),$V109,IF(AND($R109&lt;&gt;"",EDATE($D109,Milestones!$AA$74)&gt;=$R109),$U109,$T109)))=Milestones!$AB$74),TEXT(EDATE($D109,Milestones!$AA$74),"dd/mm/yy")&amp;" "&amp;Milestones!$AB$74&amp;" "&amp;Milestones!$AC$74&amp;";  ","")&amp;IF(AND(EDATE($D109,Milestones!$AA$75)&lt;=AsOfDate,IF($Q109=0,$W109,IF(AND($S109&lt;&gt;"",EDATE($D109,Milestones!$AA$75)&gt;=$S109),$V109,IF(AND($R109&lt;&gt;"",EDATE($D109,Milestones!$AA$75)&gt;=$R109),$U109,$T109)))=Milestones!$AB$75),TEXT(EDATE($D109,Milestones!$AA$75),"dd/mm/yy")&amp;" "&amp;Milestones!$AB$75&amp;" "&amp;Milestones!$AC$75&amp;";  ","")&amp;IF(AND(EDATE($D109,Milestones!$AA$76)&lt;=AsOfDate,IF($Q109=0,$W109,IF(AND($S109&lt;&gt;"",EDATE($D109,Milestones!$AA$76)&gt;=$S109),$V109,IF(AND($R109&lt;&gt;"",EDATE($D109,Milestones!$AA$76)&gt;=$R109),$U109,$T109)))=Milestones!$AB$76),TEXT(EDATE($D109,Milestones!$AA$76),"dd/mm/yy")&amp;" "&amp;Milestones!$AB$76&amp;" "&amp;Milestones!$AC$76&amp;";  ","")&amp;IF(AND(EDATE($D109,Milestones!$AA$77)&lt;=AsOfDate,IF($Q109=0,$W109,IF(AND($S109&lt;&gt;"",EDATE($D109,Milestones!$AA$77)&gt;=$S109),$V109,IF(AND($R109&lt;&gt;"",EDATE($D109,Milestones!$AA$77)&gt;=$R109),$U109,$T109)))=Milestones!$AB$77),TEXT(EDATE($D109,Milestones!$AA$77),"dd/mm/yy")&amp;" "&amp;Milestones!$AB$77&amp;" "&amp;Milestones!$AC$77&amp;";  ","")&amp;IF(AND(EDATE($D109,Milestones!$AA$78)&lt;=AsOfDate,IF($Q109=0,$W109,IF(AND($S109&lt;&gt;"",EDATE($D109,Milestones!$AA$78)&gt;=$S109),$V109,IF(AND($R109&lt;&gt;"",EDATE($D109,Milestones!$AA$78)&gt;=$R109),$U109,$T109)))=Milestones!$AB$78),TEXT(EDATE($D109,Milestones!$AA$78),"dd/mm/yy")&amp;" "&amp;Milestones!$AB$78&amp;" "&amp;Milestones!$AC$78&amp;";  ","")&amp;IF(AND(EDATE($D109,Milestones!$AA$79)&lt;=AsOfDate,IF($Q109=0,$W109,IF(AND($S109&lt;&gt;"",EDATE($D109,Milestones!$AA$79)&gt;=$S109),$V109,IF(AND($R109&lt;&gt;"",EDATE($D109,Milestones!$AA$79)&gt;=$R109),$U109,$T109)))=Milestones!$AB$79),TEXT(EDATE($D109,Milestones!$AA$79),"dd/mm/yy")&amp;" "&amp;Milestones!$AB$79&amp;" "&amp;Milestones!$AC$79&amp;";  ",""))</f>
        <v/>
      </c>
      <c r="K109" s="0" t="str">
        <f aca="false">IF(OR($A109="",$D109=""),"",IF(AND(EDATE($D109,Milestones!$AA$80)&lt;=AsOfDate,IF($Q109=0,$W109,IF(AND($S109&lt;&gt;"",EDATE($D109,Milestones!$AA$80)&gt;=$S109),$V109,IF(AND($R109&lt;&gt;"",EDATE($D109,Milestones!$AA$80)&gt;=$R109),$U109,$T109)))=Milestones!$AB$80),TEXT(EDATE($D109,Milestones!$AA$80),"dd/mm/yy")&amp;" "&amp;Milestones!$AB$80&amp;" "&amp;Milestones!$AC$80&amp;";  ","")&amp;IF(AND(EDATE($D109,Milestones!$AA$81)&lt;=AsOfDate,IF($Q109=0,$W109,IF(AND($S109&lt;&gt;"",EDATE($D109,Milestones!$AA$81)&gt;=$S109),$V109,IF(AND($R109&lt;&gt;"",EDATE($D109,Milestones!$AA$81)&gt;=$R109),$U109,$T109)))=Milestones!$AB$81),TEXT(EDATE($D109,Milestones!$AA$81),"dd/mm/yy")&amp;" "&amp;Milestones!$AB$81&amp;" "&amp;Milestones!$AC$81&amp;";  ","")&amp;IF(AND(EDATE($D109,Milestones!$AA$82)&lt;=AsOfDate,IF($Q109=0,$W109,IF(AND($S109&lt;&gt;"",EDATE($D109,Milestones!$AA$82)&gt;=$S109),$V109,IF(AND($R109&lt;&gt;"",EDATE($D109,Milestones!$AA$82)&gt;=$R109),$U109,$T109)))=Milestones!$AB$82),TEXT(EDATE($D109,Milestones!$AA$82),"dd/mm/yy")&amp;" "&amp;Milestones!$AB$82&amp;" "&amp;Milestones!$AC$82&amp;";  ","")&amp;IF(AND(EDATE($D109,Milestones!$AA$83)&lt;=AsOfDate,IF($Q109=0,$W109,IF(AND($S109&lt;&gt;"",EDATE($D109,Milestones!$AA$83)&gt;=$S109),$V109,IF(AND($R109&lt;&gt;"",EDATE($D109,Milestones!$AA$83)&gt;=$R109),$U109,$T109)))=Milestones!$AB$83),TEXT(EDATE($D109,Milestones!$AA$83),"dd/mm/yy")&amp;" "&amp;Milestones!$AB$83&amp;" "&amp;Milestones!$AC$83&amp;";  ","")&amp;IF(AND(EDATE($D109,Milestones!$AA$84)&lt;=AsOfDate,IF($Q109=0,$W109,IF(AND($S109&lt;&gt;"",EDATE($D109,Milestones!$AA$84)&gt;=$S109),$V109,IF(AND($R109&lt;&gt;"",EDATE($D109,Milestones!$AA$84)&gt;=$R109),$U109,$T109)))=Milestones!$AB$84),TEXT(EDATE($D109,Milestones!$AA$84),"dd/mm/yy")&amp;" "&amp;Milestones!$AB$84&amp;" "&amp;Milestones!$AC$84&amp;";  ","")&amp;IF(AND(EDATE($D109,Milestones!$AA$85)&lt;=AsOfDate,IF($Q109=0,$W109,IF(AND($S109&lt;&gt;"",EDATE($D109,Milestones!$AA$85)&gt;=$S109),$V109,IF(AND($R109&lt;&gt;"",EDATE($D109,Milestones!$AA$85)&gt;=$R109),$U109,$T109)))=Milestones!$AB$85),TEXT(EDATE($D109,Milestones!$AA$85),"dd/mm/yy")&amp;" "&amp;Milestones!$AB$85&amp;" "&amp;Milestones!$AC$85&amp;";  ","")&amp;IF(AND(EDATE($D109,Milestones!$AA$86)&lt;=AsOfDate,IF($Q109=0,$W109,IF(AND($S109&lt;&gt;"",EDATE($D109,Milestones!$AA$86)&gt;=$S109),$V109,IF(AND($R109&lt;&gt;"",EDATE($D109,Milestones!$AA$86)&gt;=$R109),$U109,$T109)))=Milestones!$AB$86),TEXT(EDATE($D109,Milestones!$AA$86),"dd/mm/yy")&amp;" "&amp;Milestones!$AB$86&amp;" "&amp;Milestones!$AC$86&amp;";  ","")&amp;IF(AND(EDATE($D109,Milestones!$AA$87)&lt;=AsOfDate,IF($Q109=0,$W109,IF(AND($S109&lt;&gt;"",EDATE($D109,Milestones!$AA$87)&gt;=$S109),$V109,IF(AND($R109&lt;&gt;"",EDATE($D109,Milestones!$AA$87)&gt;=$R109),$U109,$T109)))=Milestones!$AB$87),TEXT(EDATE($D109,Milestones!$AA$87),"dd/mm/yy")&amp;" "&amp;Milestones!$AB$87&amp;" "&amp;Milestones!$AC$87&amp;";  ","")&amp;IF(AND(EDATE($D109,Milestones!$AA$88)&lt;=AsOfDate,IF($Q109=0,$W109,IF(AND($S109&lt;&gt;"",EDATE($D109,Milestones!$AA$88)&gt;=$S109),$V109,IF(AND($R109&lt;&gt;"",EDATE($D109,Milestones!$AA$88)&gt;=$R109),$U109,$T109)))=Milestones!$AB$88),TEXT(EDATE($D109,Milestones!$AA$88),"dd/mm/yy")&amp;" "&amp;Milestones!$AB$88&amp;" "&amp;Milestones!$AC$88&amp;";  ","")&amp;IF(AND(EDATE($D109,Milestones!$AA$89)&lt;=AsOfDate,IF($Q109=0,$W109,IF(AND($S109&lt;&gt;"",EDATE($D109,Milestones!$AA$89)&gt;=$S109),$V109,IF(AND($R109&lt;&gt;"",EDATE($D109,Milestones!$AA$89)&gt;=$R109),$U109,$T109)))=Milestones!$AB$89),TEXT(EDATE($D109,Milestones!$AA$89),"dd/mm/yy")&amp;" "&amp;Milestones!$AB$89&amp;" "&amp;Milestones!$AC$89&amp;";  ","")&amp;IF(AND(EDATE($D109,Milestones!$AA$90)&lt;=AsOfDate,IF($Q109=0,$W109,IF(AND($S109&lt;&gt;"",EDATE($D109,Milestones!$AA$90)&gt;=$S109),$V109,IF(AND($R109&lt;&gt;"",EDATE($D109,Milestones!$AA$90)&gt;=$R109),$U109,$T109)))=Milestones!$AB$90),TEXT(EDATE($D109,Milestones!$AA$90),"dd/mm/yy")&amp;" "&amp;Milestones!$AB$90&amp;" "&amp;Milestones!$AC$90&amp;";  ","")&amp;IF(AND(EDATE($D109,Milestones!$AA$91)&lt;=AsOfDate,IF($Q109=0,$W109,IF(AND($S109&lt;&gt;"",EDATE($D109,Milestones!$AA$91)&gt;=$S109),$V109,IF(AND($R109&lt;&gt;"",EDATE($D109,Milestones!$AA$91)&gt;=$R109),$U109,$T109)))=Milestones!$AB$91),TEXT(EDATE($D109,Milestones!$AA$91),"dd/mm/yy")&amp;" "&amp;Milestones!$AB$91&amp;" "&amp;Milestones!$AC$91&amp;";  ","")&amp;IF(AND(EDATE($D109,Milestones!$AA$92)&lt;=AsOfDate,IF($Q109=0,$W109,IF(AND($S109&lt;&gt;"",EDATE($D109,Milestones!$AA$92)&gt;=$S109),$V109,IF(AND($R109&lt;&gt;"",EDATE($D109,Milestones!$AA$92)&gt;=$R109),$U109,$T109)))=Milestones!$AB$92),TEXT(EDATE($D109,Milestones!$AA$92),"dd/mm/yy")&amp;" "&amp;Milestones!$AB$92&amp;" "&amp;Milestones!$AC$92&amp;";  ","")&amp;IF(AND(EDATE($D109,Milestones!$AA$93)&lt;=AsOfDate,IF($Q109=0,$W109,IF(AND($S109&lt;&gt;"",EDATE($D109,Milestones!$AA$93)&gt;=$S109),$V109,IF(AND($R109&lt;&gt;"",EDATE($D109,Milestones!$AA$93)&gt;=$R109),$U109,$T109)))=Milestones!$AB$93),TEXT(EDATE($D109,Milestones!$AA$93),"dd/mm/yy")&amp;" "&amp;Milestones!$AB$93&amp;" "&amp;Milestones!$AC$93&amp;";  ","")&amp;IF(AND(EDATE($D109,Milestones!$AA$94)&lt;=AsOfDate,IF($Q109=0,$W109,IF(AND($S109&lt;&gt;"",EDATE($D109,Milestones!$AA$94)&gt;=$S109),$V109,IF(AND($R109&lt;&gt;"",EDATE($D109,Milestones!$AA$94)&gt;=$R109),$U109,$T109)))=Milestones!$AB$94),TEXT(EDATE($D109,Milestones!$AA$94),"dd/mm/yy")&amp;" "&amp;Milestones!$AB$94&amp;" "&amp;Milestones!$AC$94&amp;";  ","")&amp;IF(AND(EDATE($D109,Milestones!$AA$95)&lt;=AsOfDate,IF($Q109=0,$W109,IF(AND($S109&lt;&gt;"",EDATE($D109,Milestones!$AA$95)&gt;=$S109),$V109,IF(AND($R109&lt;&gt;"",EDATE($D109,Milestones!$AA$95)&gt;=$R109),$U109,$T109)))=Milestones!$AB$95),TEXT(EDATE($D109,Milestones!$AA$95),"dd/mm/yy")&amp;" "&amp;Milestones!$AB$95&amp;" "&amp;Milestones!$AC$95&amp;";  ","")&amp;IF(AND(EDATE($D109,Milestones!$AA$96)&lt;=AsOfDate,IF($Q109=0,$W109,IF(AND($S109&lt;&gt;"",EDATE($D109,Milestones!$AA$96)&gt;=$S109),$V109,IF(AND($R109&lt;&gt;"",EDATE($D109,Milestones!$AA$96)&gt;=$R109),$U109,$T109)))=Milestones!$AB$96),TEXT(EDATE($D109,Milestones!$AA$96),"dd/mm/yy")&amp;" "&amp;Milestones!$AB$96&amp;" "&amp;Milestones!$AC$96&amp;";  ","")&amp;IF(AND(EDATE($D109,Milestones!$AA$97)&lt;=AsOfDate,IF($Q109=0,$W109,IF(AND($S109&lt;&gt;"",EDATE($D109,Milestones!$AA$97)&gt;=$S109),$V109,IF(AND($R109&lt;&gt;"",EDATE($D109,Milestones!$AA$97)&gt;=$R109),$U109,$T109)))=Milestones!$AB$97),TEXT(EDATE($D109,Milestones!$AA$97),"dd/mm/yy")&amp;" "&amp;Milestones!$AB$97&amp;" "&amp;Milestones!$AC$97&amp;";  ","")&amp;IF(AND(EDATE($D109,Milestones!$AA$98)&lt;=AsOfDate,IF($Q109=0,$W109,IF(AND($S109&lt;&gt;"",EDATE($D109,Milestones!$AA$98)&gt;=$S109),$V109,IF(AND($R109&lt;&gt;"",EDATE($D109,Milestones!$AA$98)&gt;=$R109),$U109,$T109)))=Milestones!$AB$98),TEXT(EDATE($D109,Milestones!$AA$98),"dd/mm/yy")&amp;" "&amp;Milestones!$AB$98&amp;" "&amp;Milestones!$AC$98&amp;";  ","")&amp;IF(AND(EDATE($D109,Milestones!$AA$99)&lt;=AsOfDate,IF($Q109=0,$W109,IF(AND($S109&lt;&gt;"",EDATE($D109,Milestones!$AA$99)&gt;=$S109),$V109,IF(AND($R109&lt;&gt;"",EDATE($D109,Milestones!$AA$99)&gt;=$R109),$U109,$T109)))=Milestones!$AB$99),TEXT(EDATE($D109,Milestones!$AA$99),"dd/mm/yy")&amp;" "&amp;Milestones!$AB$99&amp;" "&amp;Milestones!$AC$99&amp;";  ",""))</f>
        <v/>
      </c>
      <c r="L109" s="0" t="str">
        <f aca="false">IF(OR($A109="",$D109=""),"",IF(AND(EDATE($D109,Milestones!$AA$100)&lt;=AsOfDate,IF($Q109=0,$W109,IF(AND($S109&lt;&gt;"",EDATE($D109,Milestones!$AA$100)&gt;=$S109),$V109,IF(AND($R109&lt;&gt;"",EDATE($D109,Milestones!$AA$100)&gt;=$R109),$U109,$T109)))=Milestones!$AB$100),TEXT(EDATE($D109,Milestones!$AA$100),"dd/mm/yy")&amp;" "&amp;Milestones!$AB$100&amp;" "&amp;Milestones!$AC$100&amp;";  ","")&amp;IF(AND(EDATE($D109,Milestones!$AA$101)&lt;=AsOfDate,IF($Q109=0,$W109,IF(AND($S109&lt;&gt;"",EDATE($D109,Milestones!$AA$101)&gt;=$S109),$V109,IF(AND($R109&lt;&gt;"",EDATE($D109,Milestones!$AA$101)&gt;=$R109),$U109,$T109)))=Milestones!$AB$101),TEXT(EDATE($D109,Milestones!$AA$101),"dd/mm/yy")&amp;" "&amp;Milestones!$AB$101&amp;" "&amp;Milestones!$AC$101&amp;";  ","")&amp;IF(AND(EDATE($D109,Milestones!$AA$102)&lt;=AsOfDate,IF($Q109=0,$W109,IF(AND($S109&lt;&gt;"",EDATE($D109,Milestones!$AA$102)&gt;=$S109),$V109,IF(AND($R109&lt;&gt;"",EDATE($D109,Milestones!$AA$102)&gt;=$R109),$U109,$T109)))=Milestones!$AB$102),TEXT(EDATE($D109,Milestones!$AA$102),"dd/mm/yy")&amp;" "&amp;Milestones!$AB$102&amp;" "&amp;Milestones!$AC$102&amp;";  ","")&amp;IF(AND(EDATE($D109,Milestones!$AA$103)&lt;=AsOfDate,IF($Q109=0,$W109,IF(AND($S109&lt;&gt;"",EDATE($D109,Milestones!$AA$103)&gt;=$S109),$V109,IF(AND($R109&lt;&gt;"",EDATE($D109,Milestones!$AA$103)&gt;=$R109),$U109,$T109)))=Milestones!$AB$103),TEXT(EDATE($D109,Milestones!$AA$103),"dd/mm/yy")&amp;" "&amp;Milestones!$AB$103&amp;" "&amp;Milestones!$AC$103&amp;";  ","")&amp;IF(AND(EDATE($D109,Milestones!$AA$104)&lt;=AsOfDate,IF($Q109=0,$W109,IF(AND($S109&lt;&gt;"",EDATE($D109,Milestones!$AA$104)&gt;=$S109),$V109,IF(AND($R109&lt;&gt;"",EDATE($D109,Milestones!$AA$104)&gt;=$R109),$U109,$T109)))=Milestones!$AB$104),TEXT(EDATE($D109,Milestones!$AA$104),"dd/mm/yy")&amp;" "&amp;Milestones!$AB$104&amp;" "&amp;Milestones!$AC$104&amp;";  ","")&amp;IF(AND(EDATE($D109,Milestones!$AA$105)&lt;=AsOfDate,IF($Q109=0,$W109,IF(AND($S109&lt;&gt;"",EDATE($D109,Milestones!$AA$105)&gt;=$S109),$V109,IF(AND($R109&lt;&gt;"",EDATE($D109,Milestones!$AA$105)&gt;=$R109),$U109,$T109)))=Milestones!$AB$105),TEXT(EDATE($D109,Milestones!$AA$105),"dd/mm/yy")&amp;" "&amp;Milestones!$AB$105&amp;" "&amp;Milestones!$AC$105&amp;";  ","")&amp;IF(AND(EDATE($D109,Milestones!$AA$106)&lt;=AsOfDate,IF($Q109=0,$W109,IF(AND($S109&lt;&gt;"",EDATE($D109,Milestones!$AA$106)&gt;=$S109),$V109,IF(AND($R109&lt;&gt;"",EDATE($D109,Milestones!$AA$106)&gt;=$R109),$U109,$T109)))=Milestones!$AB$106),TEXT(EDATE($D109,Milestones!$AA$106),"dd/mm/yy")&amp;" "&amp;Milestones!$AB$106&amp;" "&amp;Milestones!$AC$106&amp;";  ","")&amp;IF(AND(EDATE($D109,Milestones!$AA$107)&lt;=AsOfDate,IF($Q109=0,$W109,IF(AND($S109&lt;&gt;"",EDATE($D109,Milestones!$AA$107)&gt;=$S109),$V109,IF(AND($R109&lt;&gt;"",EDATE($D109,Milestones!$AA$107)&gt;=$R109),$U109,$T109)))=Milestones!$AB$107),TEXT(EDATE($D109,Milestones!$AA$107),"dd/mm/yy")&amp;" "&amp;Milestones!$AB$107&amp;" "&amp;Milestones!$AC$107&amp;";  ","")&amp;IF(AND(EDATE($D109,Milestones!$AA$108)&lt;=AsOfDate,IF($Q109=0,$W109,IF(AND($S109&lt;&gt;"",EDATE($D109,Milestones!$AA$108)&gt;=$S109),$V109,IF(AND($R109&lt;&gt;"",EDATE($D109,Milestones!$AA$108)&gt;=$R109),$U109,$T109)))=Milestones!$AB$108),TEXT(EDATE($D109,Milestones!$AA$108),"dd/mm/yy")&amp;" "&amp;Milestones!$AB$108&amp;" "&amp;Milestones!$AC$108&amp;";  ","")&amp;IF(AND(EDATE($D109,Milestones!$AA$109)&lt;=AsOfDate,IF($Q109=0,$W109,IF(AND($S109&lt;&gt;"",EDATE($D109,Milestones!$AA$109)&gt;=$S109),$V109,IF(AND($R109&lt;&gt;"",EDATE($D109,Milestones!$AA$109)&gt;=$R109),$U109,$T109)))=Milestones!$AB$109),TEXT(EDATE($D109,Milestones!$AA$109),"dd/mm/yy")&amp;" "&amp;Milestones!$AB$109&amp;" "&amp;Milestones!$AC$109&amp;";  ","")&amp;IF(AND(EDATE($D109,Milestones!$AA$110)&lt;=AsOfDate,IF($Q109=0,$W109,IF(AND($S109&lt;&gt;"",EDATE($D109,Milestones!$AA$110)&gt;=$S109),$V109,IF(AND($R109&lt;&gt;"",EDATE($D109,Milestones!$AA$110)&gt;=$R109),$U109,$T109)))=Milestones!$AB$110),TEXT(EDATE($D109,Milestones!$AA$110),"dd/mm/yy")&amp;" "&amp;Milestones!$AB$110&amp;" "&amp;Milestones!$AC$110&amp;";  ","")&amp;IF(AND(EDATE($D109,Milestones!$AA$111)&lt;=AsOfDate,IF($Q109=0,$W109,IF(AND($S109&lt;&gt;"",EDATE($D109,Milestones!$AA$111)&gt;=$S109),$V109,IF(AND($R109&lt;&gt;"",EDATE($D109,Milestones!$AA$111)&gt;=$R109),$U109,$T109)))=Milestones!$AB$111),TEXT(EDATE($D109,Milestones!$AA$111),"dd/mm/yy")&amp;" "&amp;Milestones!$AB$111&amp;" "&amp;Milestones!$AC$111&amp;";  ","")&amp;IF(AND(EDATE($D109,Milestones!$AA$112)&lt;=AsOfDate,IF($Q109=0,$W109,IF(AND($S109&lt;&gt;"",EDATE($D109,Milestones!$AA$112)&gt;=$S109),$V109,IF(AND($R109&lt;&gt;"",EDATE($D109,Milestones!$AA$112)&gt;=$R109),$U109,$T109)))=Milestones!$AB$112),TEXT(EDATE($D109,Milestones!$AA$112),"dd/mm/yy")&amp;" "&amp;Milestones!$AB$112&amp;" "&amp;Milestones!$AC$112&amp;";  ","")&amp;IF(AND(EDATE($D109,Milestones!$AA$113)&lt;=AsOfDate,IF($Q109=0,$W109,IF(AND($S109&lt;&gt;"",EDATE($D109,Milestones!$AA$113)&gt;=$S109),$V109,IF(AND($R109&lt;&gt;"",EDATE($D109,Milestones!$AA$113)&gt;=$R109),$U109,$T109)))=Milestones!$AB$113),TEXT(EDATE($D109,Milestones!$AA$113),"dd/mm/yy")&amp;" "&amp;Milestones!$AB$113&amp;" "&amp;Milestones!$AC$113&amp;";  ","")&amp;IF(AND(EDATE($D109,Milestones!$AA$114)&lt;=AsOfDate,IF($Q109=0,$W109,IF(AND($S109&lt;&gt;"",EDATE($D109,Milestones!$AA$114)&gt;=$S109),$V109,IF(AND($R109&lt;&gt;"",EDATE($D109,Milestones!$AA$114)&gt;=$R109),$U109,$T109)))=Milestones!$AB$114),TEXT(EDATE($D109,Milestones!$AA$114),"dd/mm/yy")&amp;" "&amp;Milestones!$AB$114&amp;" "&amp;Milestones!$AC$114&amp;";  ","")&amp;IF(AND(EDATE($D109,Milestones!$AA$115)&lt;=AsOfDate,IF($Q109=0,$W109,IF(AND($S109&lt;&gt;"",EDATE($D109,Milestones!$AA$115)&gt;=$S109),$V109,IF(AND($R109&lt;&gt;"",EDATE($D109,Milestones!$AA$115)&gt;=$R109),$U109,$T109)))=Milestones!$AB$115),TEXT(EDATE($D109,Milestones!$AA$115),"dd/mm/yy")&amp;" "&amp;Milestones!$AB$115&amp;" "&amp;Milestones!$AC$115&amp;";  ","")&amp;IF(AND(EDATE($D109,Milestones!$AA$116)&lt;=AsOfDate,IF($Q109=0,$W109,IF(AND($S109&lt;&gt;"",EDATE($D109,Milestones!$AA$116)&gt;=$S109),$V109,IF(AND($R109&lt;&gt;"",EDATE($D109,Milestones!$AA$116)&gt;=$R109),$U109,$T109)))=Milestones!$AB$116),TEXT(EDATE($D109,Milestones!$AA$116),"dd/mm/yy")&amp;" "&amp;Milestones!$AB$116&amp;" "&amp;Milestones!$AC$116&amp;";  ","")&amp;IF(AND(EDATE($D109,Milestones!$AA$117)&lt;=AsOfDate,IF($Q109=0,$W109,IF(AND($S109&lt;&gt;"",EDATE($D109,Milestones!$AA$117)&gt;=$S109),$V109,IF(AND($R109&lt;&gt;"",EDATE($D109,Milestones!$AA$117)&gt;=$R109),$U109,$T109)))=Milestones!$AB$117),TEXT(EDATE($D109,Milestones!$AA$117),"dd/mm/yy")&amp;" "&amp;Milestones!$AB$117&amp;" "&amp;Milestones!$AC$117&amp;";  ","")&amp;IF(AND(EDATE($D109,Milestones!$AA$118)&lt;=AsOfDate,IF($Q109=0,$W109,IF(AND($S109&lt;&gt;"",EDATE($D109,Milestones!$AA$118)&gt;=$S109),$V109,IF(AND($R109&lt;&gt;"",EDATE($D109,Milestones!$AA$118)&gt;=$R109),$U109,$T109)))=Milestones!$AB$118),TEXT(EDATE($D109,Milestones!$AA$118),"dd/mm/yy")&amp;" "&amp;Milestones!$AB$118&amp;" "&amp;Milestones!$AC$118&amp;";  ","")&amp;IF(AND(EDATE($D109,Milestones!$AA$119)&lt;=AsOfDate,IF($Q109=0,$W109,IF(AND($S109&lt;&gt;"",EDATE($D109,Milestones!$AA$119)&gt;=$S109),$V109,IF(AND($R109&lt;&gt;"",EDATE($D109,Milestones!$AA$119)&gt;=$R109),$U109,$T109)))=Milestones!$AB$119),TEXT(EDATE($D109,Milestones!$AA$119),"dd/mm/yy")&amp;" "&amp;Milestones!$AB$119&amp;" "&amp;Milestones!$AC$119&amp;";  ",""))</f>
        <v/>
      </c>
      <c r="M109" s="0" t="str">
        <f aca="false">IF(OR($A109="",$D109=""),"",IF(AND(EDATE($D109,Milestones!$AA$120)&lt;=AsOfDate,IF($Q109=0,$W109,IF(AND($S109&lt;&gt;"",EDATE($D109,Milestones!$AA$120)&gt;=$S109),$V109,IF(AND($R109&lt;&gt;"",EDATE($D109,Milestones!$AA$120)&gt;=$R109),$U109,$T109)))=Milestones!$AB$120),TEXT(EDATE($D109,Milestones!$AA$120),"dd/mm/yy")&amp;" "&amp;Milestones!$AB$120&amp;" "&amp;Milestones!$AC$120&amp;";  ","")&amp;IF(AND(EDATE($D109,Milestones!$AA$121)&lt;=AsOfDate,IF($Q109=0,$W109,IF(AND($S109&lt;&gt;"",EDATE($D109,Milestones!$AA$121)&gt;=$S109),$V109,IF(AND($R109&lt;&gt;"",EDATE($D109,Milestones!$AA$121)&gt;=$R109),$U109,$T109)))=Milestones!$AB$121),TEXT(EDATE($D109,Milestones!$AA$121),"dd/mm/yy")&amp;" "&amp;Milestones!$AB$121&amp;" "&amp;Milestones!$AC$121&amp;";  ","")&amp;IF(AND(EDATE($D109,Milestones!$AA$122)&lt;=AsOfDate,IF($Q109=0,$W109,IF(AND($S109&lt;&gt;"",EDATE($D109,Milestones!$AA$122)&gt;=$S109),$V109,IF(AND($R109&lt;&gt;"",EDATE($D109,Milestones!$AA$122)&gt;=$R109),$U109,$T109)))=Milestones!$AB$122),TEXT(EDATE($D109,Milestones!$AA$122),"dd/mm/yy")&amp;" "&amp;Milestones!$AB$122&amp;" "&amp;Milestones!$AC$122&amp;";  ","")&amp;IF(AND(EDATE($D109,Milestones!$AA$123)&lt;=AsOfDate,IF($Q109=0,$W109,IF(AND($S109&lt;&gt;"",EDATE($D109,Milestones!$AA$123)&gt;=$S109),$V109,IF(AND($R109&lt;&gt;"",EDATE($D109,Milestones!$AA$123)&gt;=$R109),$U109,$T109)))=Milestones!$AB$123),TEXT(EDATE($D109,Milestones!$AA$123),"dd/mm/yy")&amp;" "&amp;Milestones!$AB$123&amp;" "&amp;Milestones!$AC$123&amp;";  ","")&amp;IF(AND(EDATE($D109,Milestones!$AA$124)&lt;=AsOfDate,IF($Q109=0,$W109,IF(AND($S109&lt;&gt;"",EDATE($D109,Milestones!$AA$124)&gt;=$S109),$V109,IF(AND($R109&lt;&gt;"",EDATE($D109,Milestones!$AA$124)&gt;=$R109),$U109,$T109)))=Milestones!$AB$124),TEXT(EDATE($D109,Milestones!$AA$124),"dd/mm/yy")&amp;" "&amp;Milestones!$AB$124&amp;" "&amp;Milestones!$AC$124&amp;";  ","")&amp;IF(AND(EDATE($D109,Milestones!$AA$125)&lt;=AsOfDate,IF($Q109=0,$W109,IF(AND($S109&lt;&gt;"",EDATE($D109,Milestones!$AA$125)&gt;=$S109),$V109,IF(AND($R109&lt;&gt;"",EDATE($D109,Milestones!$AA$125)&gt;=$R109),$U109,$T109)))=Milestones!$AB$125),TEXT(EDATE($D109,Milestones!$AA$125),"dd/mm/yy")&amp;" "&amp;Milestones!$AB$125&amp;" "&amp;Milestones!$AC$125&amp;";  ","")&amp;IF(AND(EDATE($D109,Milestones!$AA$126)&lt;=AsOfDate,IF($Q109=0,$W109,IF(AND($S109&lt;&gt;"",EDATE($D109,Milestones!$AA$126)&gt;=$S109),$V109,IF(AND($R109&lt;&gt;"",EDATE($D109,Milestones!$AA$126)&gt;=$R109),$U109,$T109)))=Milestones!$AB$126),TEXT(EDATE($D109,Milestones!$AA$126),"dd/mm/yy")&amp;" "&amp;Milestones!$AB$126&amp;" "&amp;Milestones!$AC$126&amp;";  ","")&amp;IF(AND(EDATE($D109,Milestones!$AA$127)&lt;=AsOfDate,IF($Q109=0,$W109,IF(AND($S109&lt;&gt;"",EDATE($D109,Milestones!$AA$127)&gt;=$S109),$V109,IF(AND($R109&lt;&gt;"",EDATE($D109,Milestones!$AA$127)&gt;=$R109),$U109,$T109)))=Milestones!$AB$127),TEXT(EDATE($D109,Milestones!$AA$127),"dd/mm/yy")&amp;" "&amp;Milestones!$AB$127&amp;" "&amp;Milestones!$AC$127&amp;";  ","")&amp;IF(AND(EDATE($D109,Milestones!$AA$128)&lt;=AsOfDate,IF($Q109=0,$W109,IF(AND($S109&lt;&gt;"",EDATE($D109,Milestones!$AA$128)&gt;=$S109),$V109,IF(AND($R109&lt;&gt;"",EDATE($D109,Milestones!$AA$128)&gt;=$R109),$U109,$T109)))=Milestones!$AB$128),TEXT(EDATE($D109,Milestones!$AA$128),"dd/mm/yy")&amp;" "&amp;Milestones!$AB$128&amp;" "&amp;Milestones!$AC$128&amp;";  ","")&amp;IF(AND(EDATE($D109,Milestones!$AA$129)&lt;=AsOfDate,IF($Q109=0,$W109,IF(AND($S109&lt;&gt;"",EDATE($D109,Milestones!$AA$129)&gt;=$S109),$V109,IF(AND($R109&lt;&gt;"",EDATE($D109,Milestones!$AA$129)&gt;=$R109),$U109,$T109)))=Milestones!$AB$129),TEXT(EDATE($D109,Milestones!$AA$129),"dd/mm/yy")&amp;" "&amp;Milestones!$AB$129&amp;" "&amp;Milestones!$AC$129&amp;";  ","")&amp;IF(AND(EDATE($D109,Milestones!$AA$130)&lt;=AsOfDate,IF($Q109=0,$W109,IF(AND($S109&lt;&gt;"",EDATE($D109,Milestones!$AA$130)&gt;=$S109),$V109,IF(AND($R109&lt;&gt;"",EDATE($D109,Milestones!$AA$130)&gt;=$R109),$U109,$T109)))=Milestones!$AB$130),TEXT(EDATE($D109,Milestones!$AA$130),"dd/mm/yy")&amp;" "&amp;Milestones!$AB$130&amp;" "&amp;Milestones!$AC$130&amp;";  ","")&amp;IF(AND(EDATE($D109,Milestones!$AA$131)&lt;=AsOfDate,IF($Q109=0,$W109,IF(AND($S109&lt;&gt;"",EDATE($D109,Milestones!$AA$131)&gt;=$S109),$V109,IF(AND($R109&lt;&gt;"",EDATE($D109,Milestones!$AA$131)&gt;=$R109),$U109,$T109)))=Milestones!$AB$131),TEXT(EDATE($D109,Milestones!$AA$131),"dd/mm/yy")&amp;" "&amp;Milestones!$AB$131&amp;" "&amp;Milestones!$AC$131&amp;";  ","")&amp;IF(AND(EDATE($D109,Milestones!$AA$132)&lt;=AsOfDate,IF($Q109=0,$W109,IF(AND($S109&lt;&gt;"",EDATE($D109,Milestones!$AA$132)&gt;=$S109),$V109,IF(AND($R109&lt;&gt;"",EDATE($D109,Milestones!$AA$132)&gt;=$R109),$U109,$T109)))=Milestones!$AB$132),TEXT(EDATE($D109,Milestones!$AA$132),"dd/mm/yy")&amp;" "&amp;Milestones!$AB$132&amp;" "&amp;Milestones!$AC$132&amp;";  ","")&amp;IF(AND(EDATE($D109,Milestones!$AA$133)&lt;=AsOfDate,IF($Q109=0,$W109,IF(AND($S109&lt;&gt;"",EDATE($D109,Milestones!$AA$133)&gt;=$S109),$V109,IF(AND($R109&lt;&gt;"",EDATE($D109,Milestones!$AA$133)&gt;=$R109),$U109,$T109)))=Milestones!$AB$133),TEXT(EDATE($D109,Milestones!$AA$133),"dd/mm/yy")&amp;" "&amp;Milestones!$AB$133&amp;" "&amp;Milestones!$AC$133&amp;";  ","")&amp;IF(AND(EDATE($D109,Milestones!$AA$134)&lt;=AsOfDate,IF($Q109=0,$W109,IF(AND($S109&lt;&gt;"",EDATE($D109,Milestones!$AA$134)&gt;=$S109),$V109,IF(AND($R109&lt;&gt;"",EDATE($D109,Milestones!$AA$134)&gt;=$R109),$U109,$T109)))=Milestones!$AB$134),TEXT(EDATE($D109,Milestones!$AA$134),"dd/mm/yy")&amp;" "&amp;Milestones!$AB$134&amp;" "&amp;Milestones!$AC$134&amp;";  ","")&amp;IF(AND(EDATE($D109,Milestones!$AA$135)&lt;=AsOfDate,IF($Q109=0,$W109,IF(AND($S109&lt;&gt;"",EDATE($D109,Milestones!$AA$135)&gt;=$S109),$V109,IF(AND($R109&lt;&gt;"",EDATE($D109,Milestones!$AA$135)&gt;=$R109),$U109,$T109)))=Milestones!$AB$135),TEXT(EDATE($D109,Milestones!$AA$135),"dd/mm/yy")&amp;" "&amp;Milestones!$AB$135&amp;" "&amp;Milestones!$AC$135&amp;";  ","")&amp;IF(AND(EDATE($D109,Milestones!$AA$136)&lt;=AsOfDate,IF($Q109=0,$W109,IF(AND($S109&lt;&gt;"",EDATE($D109,Milestones!$AA$136)&gt;=$S109),$V109,IF(AND($R109&lt;&gt;"",EDATE($D109,Milestones!$AA$136)&gt;=$R109),$U109,$T109)))=Milestones!$AB$136),TEXT(EDATE($D109,Milestones!$AA$136),"dd/mm/yy")&amp;" "&amp;Milestones!$AB$136&amp;" "&amp;Milestones!$AC$136&amp;";  ","")&amp;IF(AND(EDATE($D109,Milestones!$AA$137)&lt;=AsOfDate,IF($Q109=0,$W109,IF(AND($S109&lt;&gt;"",EDATE($D109,Milestones!$AA$137)&gt;=$S109),$V109,IF(AND($R109&lt;&gt;"",EDATE($D109,Milestones!$AA$137)&gt;=$R109),$U109,$T109)))=Milestones!$AB$137),TEXT(EDATE($D109,Milestones!$AA$137),"dd/mm/yy")&amp;" "&amp;Milestones!$AB$137&amp;" "&amp;Milestones!$AC$137&amp;";  ","")&amp;IF(AND(EDATE($D109,Milestones!$AA$138)&lt;=AsOfDate,IF($Q109=0,$W109,IF(AND($S109&lt;&gt;"",EDATE($D109,Milestones!$AA$138)&gt;=$S109),$V109,IF(AND($R109&lt;&gt;"",EDATE($D109,Milestones!$AA$138)&gt;=$R109),$U109,$T109)))=Milestones!$AB$138),TEXT(EDATE($D109,Milestones!$AA$138),"dd/mm/yy")&amp;" "&amp;Milestones!$AB$138&amp;" "&amp;Milestones!$AC$138&amp;";  ","")&amp;IF(AND(EDATE($D109,Milestones!$AA$139)&lt;=AsOfDate,IF($Q109=0,$W109,IF(AND($S109&lt;&gt;"",EDATE($D109,Milestones!$AA$139)&gt;=$S109),$V109,IF(AND($R109&lt;&gt;"",EDATE($D109,Milestones!$AA$139)&gt;=$R109),$U109,$T109)))=Milestones!$AB$139),TEXT(EDATE($D109,Milestones!$AA$139),"dd/mm/yy")&amp;" "&amp;Milestones!$AB$139&amp;" "&amp;Milestones!$AC$139&amp;";  ",""))</f>
        <v/>
      </c>
      <c r="N109" s="0" t="str">
        <f aca="false">IF(OR($A109="",$D109=""),"",IF(AND(EDATE($D109,Milestones!$AA$140)&lt;=AsOfDate,IF($Q109=0,$W109,IF(AND($S109&lt;&gt;"",EDATE($D109,Milestones!$AA$140)&gt;=$S109),$V109,IF(AND($R109&lt;&gt;"",EDATE($D109,Milestones!$AA$140)&gt;=$R109),$U109,$T109)))=Milestones!$AB$140),TEXT(EDATE($D109,Milestones!$AA$140),"dd/mm/yy")&amp;" "&amp;Milestones!$AB$140&amp;" "&amp;Milestones!$AC$140&amp;";  ","")&amp;IF(AND(EDATE($D109,Milestones!$AA$141)&lt;=AsOfDate,IF($Q109=0,$W109,IF(AND($S109&lt;&gt;"",EDATE($D109,Milestones!$AA$141)&gt;=$S109),$V109,IF(AND($R109&lt;&gt;"",EDATE($D109,Milestones!$AA$141)&gt;=$R109),$U109,$T109)))=Milestones!$AB$141),TEXT(EDATE($D109,Milestones!$AA$141),"dd/mm/yy")&amp;" "&amp;Milestones!$AB$141&amp;" "&amp;Milestones!$AC$141&amp;";  ","")&amp;IF(AND(EDATE($D109,Milestones!$AA$142)&lt;=AsOfDate,IF($Q109=0,$W109,IF(AND($S109&lt;&gt;"",EDATE($D109,Milestones!$AA$142)&gt;=$S109),$V109,IF(AND($R109&lt;&gt;"",EDATE($D109,Milestones!$AA$142)&gt;=$R109),$U109,$T109)))=Milestones!$AB$142),TEXT(EDATE($D109,Milestones!$AA$142),"dd/mm/yy")&amp;" "&amp;Milestones!$AB$142&amp;" "&amp;Milestones!$AC$142&amp;";  ","")&amp;IF(AND(EDATE($D109,Milestones!$AA$143)&lt;=AsOfDate,IF($Q109=0,$W109,IF(AND($S109&lt;&gt;"",EDATE($D109,Milestones!$AA$143)&gt;=$S109),$V109,IF(AND($R109&lt;&gt;"",EDATE($D109,Milestones!$AA$143)&gt;=$R109),$U109,$T109)))=Milestones!$AB$143),TEXT(EDATE($D109,Milestones!$AA$143),"dd/mm/yy")&amp;" "&amp;Milestones!$AB$143&amp;" "&amp;Milestones!$AC$143&amp;";  ","")&amp;IF(AND(EDATE($D109,Milestones!$AA$144)&lt;=AsOfDate,IF($Q109=0,$W109,IF(AND($S109&lt;&gt;"",EDATE($D109,Milestones!$AA$144)&gt;=$S109),$V109,IF(AND($R109&lt;&gt;"",EDATE($D109,Milestones!$AA$144)&gt;=$R109),$U109,$T109)))=Milestones!$AB$144),TEXT(EDATE($D109,Milestones!$AA$144),"dd/mm/yy")&amp;" "&amp;Milestones!$AB$144&amp;" "&amp;Milestones!$AC$144&amp;";  ","")&amp;IF(AND(EDATE($D109,Milestones!$AA$145)&lt;=AsOfDate,IF($Q109=0,$W109,IF(AND($S109&lt;&gt;"",EDATE($D109,Milestones!$AA$145)&gt;=$S109),$V109,IF(AND($R109&lt;&gt;"",EDATE($D109,Milestones!$AA$145)&gt;=$R109),$U109,$T109)))=Milestones!$AB$145),TEXT(EDATE($D109,Milestones!$AA$145),"dd/mm/yy")&amp;" "&amp;Milestones!$AB$145&amp;" "&amp;Milestones!$AC$145&amp;";  ","")&amp;IF(AND(EDATE($D109,Milestones!$AA$146)&lt;=AsOfDate,IF($Q109=0,$W109,IF(AND($S109&lt;&gt;"",EDATE($D109,Milestones!$AA$146)&gt;=$S109),$V109,IF(AND($R109&lt;&gt;"",EDATE($D109,Milestones!$AA$146)&gt;=$R109),$U109,$T109)))=Milestones!$AB$146),TEXT(EDATE($D109,Milestones!$AA$146),"dd/mm/yy")&amp;" "&amp;Milestones!$AB$146&amp;" "&amp;Milestones!$AC$146&amp;";  ","")&amp;IF(AND(EDATE($D109,Milestones!$AA$147)&lt;=AsOfDate,IF($Q109=0,$W109,IF(AND($S109&lt;&gt;"",EDATE($D109,Milestones!$AA$147)&gt;=$S109),$V109,IF(AND($R109&lt;&gt;"",EDATE($D109,Milestones!$AA$147)&gt;=$R109),$U109,$T109)))=Milestones!$AB$147),TEXT(EDATE($D109,Milestones!$AA$147),"dd/mm/yy")&amp;" "&amp;Milestones!$AB$147&amp;" "&amp;Milestones!$AC$147&amp;";  ","")&amp;IF(AND(EDATE($D109,Milestones!$AA$148)&lt;=AsOfDate,IF($Q109=0,$W109,IF(AND($S109&lt;&gt;"",EDATE($D109,Milestones!$AA$148)&gt;=$S109),$V109,IF(AND($R109&lt;&gt;"",EDATE($D109,Milestones!$AA$148)&gt;=$R109),$U109,$T109)))=Milestones!$AB$148),TEXT(EDATE($D109,Milestones!$AA$148),"dd/mm/yy")&amp;" "&amp;Milestones!$AB$148&amp;" "&amp;Milestones!$AC$148&amp;";  ","")&amp;IF(AND(EDATE($D109,Milestones!$AA$149)&lt;=AsOfDate,IF($Q109=0,$W109,IF(AND($S109&lt;&gt;"",EDATE($D109,Milestones!$AA$149)&gt;=$S109),$V109,IF(AND($R109&lt;&gt;"",EDATE($D109,Milestones!$AA$149)&gt;=$R109),$U109,$T109)))=Milestones!$AB$149),TEXT(EDATE($D109,Milestones!$AA$149),"dd/mm/yy")&amp;" "&amp;Milestones!$AB$149&amp;" "&amp;Milestones!$AC$149&amp;";  ","")&amp;IF(AND(EDATE($D109,Milestones!$AA$150)&lt;=AsOfDate,IF($Q109=0,$W109,IF(AND($S109&lt;&gt;"",EDATE($D109,Milestones!$AA$150)&gt;=$S109),$V109,IF(AND($R109&lt;&gt;"",EDATE($D109,Milestones!$AA$150)&gt;=$R109),$U109,$T109)))=Milestones!$AB$150),TEXT(EDATE($D109,Milestones!$AA$150),"dd/mm/yy")&amp;" "&amp;Milestones!$AB$150&amp;" "&amp;Milestones!$AC$150&amp;";  ","")&amp;IF(AND(EDATE($D109,Milestones!$AA$151)&lt;=AsOfDate,IF($Q109=0,$W109,IF(AND($S109&lt;&gt;"",EDATE($D109,Milestones!$AA$151)&gt;=$S109),$V109,IF(AND($R109&lt;&gt;"",EDATE($D109,Milestones!$AA$151)&gt;=$R109),$U109,$T109)))=Milestones!$AB$151),TEXT(EDATE($D109,Milestones!$AA$151),"dd/mm/yy")&amp;" "&amp;Milestones!$AB$151&amp;" "&amp;Milestones!$AC$151&amp;";  ","")&amp;IF(AND(EDATE($D109,Milestones!$AA$152)&lt;=AsOfDate,IF($Q109=0,$W109,IF(AND($S109&lt;&gt;"",EDATE($D109,Milestones!$AA$152)&gt;=$S109),$V109,IF(AND($R109&lt;&gt;"",EDATE($D109,Milestones!$AA$152)&gt;=$R109),$U109,$T109)))=Milestones!$AB$152),TEXT(EDATE($D109,Milestones!$AA$152),"dd/mm/yy")&amp;" "&amp;Milestones!$AB$152&amp;" "&amp;Milestones!$AC$152&amp;";  ","")&amp;IF(AND(EDATE($D109,Milestones!$AA$153)&lt;=AsOfDate,IF($Q109=0,$W109,IF(AND($S109&lt;&gt;"",EDATE($D109,Milestones!$AA$153)&gt;=$S109),$V109,IF(AND($R109&lt;&gt;"",EDATE($D109,Milestones!$AA$153)&gt;=$R109),$U109,$T109)))=Milestones!$AB$153),TEXT(EDATE($D109,Milestones!$AA$153),"dd/mm/yy")&amp;" "&amp;Milestones!$AB$153&amp;" "&amp;Milestones!$AC$153&amp;";  ","")&amp;IF(AND(EDATE($D109,Milestones!$AA$154)&lt;=AsOfDate,IF($Q109=0,$W109,IF(AND($S109&lt;&gt;"",EDATE($D109,Milestones!$AA$154)&gt;=$S109),$V109,IF(AND($R109&lt;&gt;"",EDATE($D109,Milestones!$AA$154)&gt;=$R109),$U109,$T109)))=Milestones!$AB$154),TEXT(EDATE($D109,Milestones!$AA$154),"dd/mm/yy")&amp;" "&amp;Milestones!$AB$154&amp;" "&amp;Milestones!$AC$154&amp;";  ","")&amp;IF(AND(EDATE($D109,Milestones!$AA$155)&lt;=AsOfDate,IF($Q109=0,$W109,IF(AND($S109&lt;&gt;"",EDATE($D109,Milestones!$AA$155)&gt;=$S109),$V109,IF(AND($R109&lt;&gt;"",EDATE($D109,Milestones!$AA$155)&gt;=$R109),$U109,$T109)))=Milestones!$AB$155),TEXT(EDATE($D109,Milestones!$AA$155),"dd/mm/yy")&amp;" "&amp;Milestones!$AB$155&amp;" "&amp;Milestones!$AC$155&amp;";  ","")&amp;IF(AND(EDATE($D109,Milestones!$AA$156)&lt;=AsOfDate,IF($Q109=0,$W109,IF(AND($S109&lt;&gt;"",EDATE($D109,Milestones!$AA$156)&gt;=$S109),$V109,IF(AND($R109&lt;&gt;"",EDATE($D109,Milestones!$AA$156)&gt;=$R109),$U109,$T109)))=Milestones!$AB$156),TEXT(EDATE($D109,Milestones!$AA$156),"dd/mm/yy")&amp;" "&amp;Milestones!$AB$156&amp;" "&amp;Milestones!$AC$156&amp;";  ","")&amp;IF(AND(EDATE($D109,Milestones!$AA$157)&lt;=AsOfDate,IF($Q109=0,$W109,IF(AND($S109&lt;&gt;"",EDATE($D109,Milestones!$AA$157)&gt;=$S109),$V109,IF(AND($R109&lt;&gt;"",EDATE($D109,Milestones!$AA$157)&gt;=$R109),$U109,$T109)))=Milestones!$AB$157),TEXT(EDATE($D109,Milestones!$AA$157),"dd/mm/yy")&amp;" "&amp;Milestones!$AB$157&amp;" "&amp;Milestones!$AC$157&amp;";  ","")&amp;IF(AND(EDATE($D109,Milestones!$AA$158)&lt;=AsOfDate,IF($Q109=0,$W109,IF(AND($S109&lt;&gt;"",EDATE($D109,Milestones!$AA$158)&gt;=$S109),$V109,IF(AND($R109&lt;&gt;"",EDATE($D109,Milestones!$AA$158)&gt;=$R109),$U109,$T109)))=Milestones!$AB$158),TEXT(EDATE($D109,Milestones!$AA$158),"dd/mm/yy")&amp;" "&amp;Milestones!$AB$158&amp;" "&amp;Milestones!$AC$158&amp;";  ","")&amp;IF(AND(EDATE($D109,Milestones!$AA$159)&lt;=AsOfDate,IF($Q109=0,$W109,IF(AND($S109&lt;&gt;"",EDATE($D109,Milestones!$AA$159)&gt;=$S109),$V109,IF(AND($R109&lt;&gt;"",EDATE($D109,Milestones!$AA$159)&gt;=$R109),$U109,$T109)))=Milestones!$AB$159),TEXT(EDATE($D109,Milestones!$AA$159),"dd/mm/yy")&amp;" "&amp;Milestones!$AB$159&amp;" "&amp;Milestones!$AC$159&amp;";  ",""))</f>
        <v/>
      </c>
      <c r="O109" s="0" t="str">
        <f aca="false">IF(OR($A109="",$D109=""),"",IF(AND(EDATE($D109,Milestones!$AA$160)&lt;=AsOfDate,IF($Q109=0,$W109,IF(AND($S109&lt;&gt;"",EDATE($D109,Milestones!$AA$160)&gt;=$S109),$V109,IF(AND($R109&lt;&gt;"",EDATE($D109,Milestones!$AA$160)&gt;=$R109),$U109,$T109)))=Milestones!$AB$160),TEXT(EDATE($D109,Milestones!$AA$160),"dd/mm/yy")&amp;" "&amp;Milestones!$AB$160&amp;" "&amp;Milestones!$AC$160&amp;";  ","")&amp;IF(AND(EDATE($D109,Milestones!$AA$161)&lt;=AsOfDate,IF($Q109=0,$W109,IF(AND($S109&lt;&gt;"",EDATE($D109,Milestones!$AA$161)&gt;=$S109),$V109,IF(AND($R109&lt;&gt;"",EDATE($D109,Milestones!$AA$161)&gt;=$R109),$U109,$T109)))=Milestones!$AB$161),TEXT(EDATE($D109,Milestones!$AA$161),"dd/mm/yy")&amp;" "&amp;Milestones!$AB$161&amp;" "&amp;Milestones!$AC$161&amp;";  ","")&amp;IF(AND(EDATE($D109,Milestones!$AA$162)&lt;=AsOfDate,IF($Q109=0,$W109,IF(AND($S109&lt;&gt;"",EDATE($D109,Milestones!$AA$162)&gt;=$S109),$V109,IF(AND($R109&lt;&gt;"",EDATE($D109,Milestones!$AA$162)&gt;=$R109),$U109,$T109)))=Milestones!$AB$162),TEXT(EDATE($D109,Milestones!$AA$162),"dd/mm/yy")&amp;" "&amp;Milestones!$AB$162&amp;" "&amp;Milestones!$AC$162&amp;";  ","")&amp;IF(AND(EDATE($D109,Milestones!$AA$163)&lt;=AsOfDate,IF($Q109=0,$W109,IF(AND($S109&lt;&gt;"",EDATE($D109,Milestones!$AA$163)&gt;=$S109),$V109,IF(AND($R109&lt;&gt;"",EDATE($D109,Milestones!$AA$163)&gt;=$R109),$U109,$T109)))=Milestones!$AB$163),TEXT(EDATE($D109,Milestones!$AA$163),"dd/mm/yy")&amp;" "&amp;Milestones!$AB$163&amp;" "&amp;Milestones!$AC$163&amp;";  ","")&amp;IF(AND(EDATE($D109,Milestones!$AA$164)&lt;=AsOfDate,IF($Q109=0,$W109,IF(AND($S109&lt;&gt;"",EDATE($D109,Milestones!$AA$164)&gt;=$S109),$V109,IF(AND($R109&lt;&gt;"",EDATE($D109,Milestones!$AA$164)&gt;=$R109),$U109,$T109)))=Milestones!$AB$164),TEXT(EDATE($D109,Milestones!$AA$164),"dd/mm/yy")&amp;" "&amp;Milestones!$AB$164&amp;" "&amp;Milestones!$AC$164&amp;";  ","")&amp;IF(AND(EDATE($D109,Milestones!$AA$165)&lt;=AsOfDate,IF($Q109=0,$W109,IF(AND($S109&lt;&gt;"",EDATE($D109,Milestones!$AA$165)&gt;=$S109),$V109,IF(AND($R109&lt;&gt;"",EDATE($D109,Milestones!$AA$165)&gt;=$R109),$U109,$T109)))=Milestones!$AB$165),TEXT(EDATE($D109,Milestones!$AA$165),"dd/mm/yy")&amp;" "&amp;Milestones!$AB$165&amp;" "&amp;Milestones!$AC$165&amp;";  ","")&amp;IF(AND(EDATE($D109,Milestones!$AA$166)&lt;=AsOfDate,IF($Q109=0,$W109,IF(AND($S109&lt;&gt;"",EDATE($D109,Milestones!$AA$166)&gt;=$S109),$V109,IF(AND($R109&lt;&gt;"",EDATE($D109,Milestones!$AA$166)&gt;=$R109),$U109,$T109)))=Milestones!$AB$166),TEXT(EDATE($D109,Milestones!$AA$166),"dd/mm/yy")&amp;" "&amp;Milestones!$AB$166&amp;" "&amp;Milestones!$AC$166&amp;";  ","")&amp;IF(AND(EDATE($D109,Milestones!$AA$167)&lt;=AsOfDate,IF($Q109=0,$W109,IF(AND($S109&lt;&gt;"",EDATE($D109,Milestones!$AA$167)&gt;=$S109),$V109,IF(AND($R109&lt;&gt;"",EDATE($D109,Milestones!$AA$167)&gt;=$R109),$U109,$T109)))=Milestones!$AB$167),TEXT(EDATE($D109,Milestones!$AA$167),"dd/mm/yy")&amp;" "&amp;Milestones!$AB$167&amp;" "&amp;Milestones!$AC$167&amp;";  ","")&amp;IF(AND(EDATE($D109,Milestones!$AA$168)&lt;=AsOfDate,IF($Q109=0,$W109,IF(AND($S109&lt;&gt;"",EDATE($D109,Milestones!$AA$168)&gt;=$S109),$V109,IF(AND($R109&lt;&gt;"",EDATE($D109,Milestones!$AA$168)&gt;=$R109),$U109,$T109)))=Milestones!$AB$168),TEXT(EDATE($D109,Milestones!$AA$168),"dd/mm/yy")&amp;" "&amp;Milestones!$AB$168&amp;" "&amp;Milestones!$AC$168&amp;";  ","")&amp;IF(AND(EDATE($D109,Milestones!$AA$169)&lt;=AsOfDate,IF($Q109=0,$W109,IF(AND($S109&lt;&gt;"",EDATE($D109,Milestones!$AA$169)&gt;=$S109),$V109,IF(AND($R109&lt;&gt;"",EDATE($D109,Milestones!$AA$169)&gt;=$R109),$U109,$T109)))=Milestones!$AB$169),TEXT(EDATE($D109,Milestones!$AA$169),"dd/mm/yy")&amp;" "&amp;Milestones!$AB$169&amp;" "&amp;Milestones!$AC$169&amp;";  ","")&amp;IF(AND(EDATE($D109,Milestones!$AA$170)&lt;=AsOfDate,IF($Q109=0,$W109,IF(AND($S109&lt;&gt;"",EDATE($D109,Milestones!$AA$170)&gt;=$S109),$V109,IF(AND($R109&lt;&gt;"",EDATE($D109,Milestones!$AA$170)&gt;=$R109),$U109,$T109)))=Milestones!$AB$170),TEXT(EDATE($D109,Milestones!$AA$170),"dd/mm/yy")&amp;" "&amp;Milestones!$AB$170&amp;" "&amp;Milestones!$AC$170&amp;";  ","")&amp;IF(AND(EDATE($D109,Milestones!$AA$171)&lt;=AsOfDate,IF($Q109=0,$W109,IF(AND($S109&lt;&gt;"",EDATE($D109,Milestones!$AA$171)&gt;=$S109),$V109,IF(AND($R109&lt;&gt;"",EDATE($D109,Milestones!$AA$171)&gt;=$R109),$U109,$T109)))=Milestones!$AB$171),TEXT(EDATE($D109,Milestones!$AA$171),"dd/mm/yy")&amp;" "&amp;Milestones!$AB$171&amp;" "&amp;Milestones!$AC$171&amp;";  ","")&amp;IF(AND(EDATE($D109,Milestones!$AA$172)&lt;=AsOfDate,IF($Q109=0,$W109,IF(AND($S109&lt;&gt;"",EDATE($D109,Milestones!$AA$172)&gt;=$S109),$V109,IF(AND($R109&lt;&gt;"",EDATE($D109,Milestones!$AA$172)&gt;=$R109),$U109,$T109)))=Milestones!$AB$172),TEXT(EDATE($D109,Milestones!$AA$172),"dd/mm/yy")&amp;" "&amp;Milestones!$AB$172&amp;" "&amp;Milestones!$AC$172&amp;";  ","")&amp;IF(AND(EDATE($D109,Milestones!$AA$173)&lt;=AsOfDate,IF($Q109=0,$W109,IF(AND($S109&lt;&gt;"",EDATE($D109,Milestones!$AA$173)&gt;=$S109),$V109,IF(AND($R109&lt;&gt;"",EDATE($D109,Milestones!$AA$173)&gt;=$R109),$U109,$T109)))=Milestones!$AB$173),TEXT(EDATE($D109,Milestones!$AA$173),"dd/mm/yy")&amp;" "&amp;Milestones!$AB$173&amp;" "&amp;Milestones!$AC$173&amp;";  ","")&amp;IF(AND(EDATE($D109,Milestones!$AA$174)&lt;=AsOfDate,IF($Q109=0,$W109,IF(AND($S109&lt;&gt;"",EDATE($D109,Milestones!$AA$174)&gt;=$S109),$V109,IF(AND($R109&lt;&gt;"",EDATE($D109,Milestones!$AA$174)&gt;=$R109),$U109,$T109)))=Milestones!$AB$174),TEXT(EDATE($D109,Milestones!$AA$174),"dd/mm/yy")&amp;" "&amp;Milestones!$AB$174&amp;" "&amp;Milestones!$AC$174&amp;";  ","")&amp;IF(AND(EDATE($D109,Milestones!$AA$175)&lt;=AsOfDate,IF($Q109=0,$W109,IF(AND($S109&lt;&gt;"",EDATE($D109,Milestones!$AA$175)&gt;=$S109),$V109,IF(AND($R109&lt;&gt;"",EDATE($D109,Milestones!$AA$175)&gt;=$R109),$U109,$T109)))=Milestones!$AB$175),TEXT(EDATE($D109,Milestones!$AA$175),"dd/mm/yy")&amp;" "&amp;Milestones!$AB$175&amp;" "&amp;Milestones!$AC$175&amp;";  ","")&amp;IF(AND(EDATE($D109,Milestones!$AA$176)&lt;=AsOfDate,IF($Q109=0,$W109,IF(AND($S109&lt;&gt;"",EDATE($D109,Milestones!$AA$176)&gt;=$S109),$V109,IF(AND($R109&lt;&gt;"",EDATE($D109,Milestones!$AA$176)&gt;=$R109),$U109,$T109)))=Milestones!$AB$176),TEXT(EDATE($D109,Milestones!$AA$176),"dd/mm/yy")&amp;" "&amp;Milestones!$AB$176&amp;" "&amp;Milestones!$AC$176&amp;";  ","")&amp;IF(AND(EDATE($D109,Milestones!$AA$177)&lt;=AsOfDate,IF($Q109=0,$W109,IF(AND($S109&lt;&gt;"",EDATE($D109,Milestones!$AA$177)&gt;=$S109),$V109,IF(AND($R109&lt;&gt;"",EDATE($D109,Milestones!$AA$177)&gt;=$R109),$U109,$T109)))=Milestones!$AB$177),TEXT(EDATE($D109,Milestones!$AA$177),"dd/mm/yy")&amp;" "&amp;Milestones!$AB$177&amp;" "&amp;Milestones!$AC$177&amp;";  ","")&amp;IF(AND(EDATE($D109,Milestones!$AA$178)&lt;=AsOfDate,IF($Q109=0,$W109,IF(AND($S109&lt;&gt;"",EDATE($D109,Milestones!$AA$178)&gt;=$S109),$V109,IF(AND($R109&lt;&gt;"",EDATE($D109,Milestones!$AA$178)&gt;=$R109),$U109,$T109)))=Milestones!$AB$178),TEXT(EDATE($D109,Milestones!$AA$178),"dd/mm/yy")&amp;" "&amp;Milestones!$AB$178&amp;" "&amp;Milestones!$AC$178&amp;";  ","")&amp;IF(AND(EDATE($D109,Milestones!$AA$179)&lt;=AsOfDate,IF($Q109=0,$W109,IF(AND($S109&lt;&gt;"",EDATE($D109,Milestones!$AA$179)&gt;=$S109),$V109,IF(AND($R109&lt;&gt;"",EDATE($D109,Milestones!$AA$179)&gt;=$R109),$U109,$T109)))=Milestones!$AB$179),TEXT(EDATE($D109,Milestones!$AA$179),"dd/mm/yy")&amp;" "&amp;Milestones!$AB$179&amp;" "&amp;Milestones!$AC$179&amp;";  ",""))</f>
        <v/>
      </c>
      <c r="P109" s="0" t="str">
        <f aca="false">IF(OR($A109="",$D109=""),"",IF(AND(EDATE($D109,Milestones!$AA$180)&lt;=AsOfDate,IF($Q109=0,$W109,IF(AND($S109&lt;&gt;"",EDATE($D109,Milestones!$AA$180)&gt;=$S109),$V109,IF(AND($R109&lt;&gt;"",EDATE($D109,Milestones!$AA$180)&gt;=$R109),$U109,$T109)))=Milestones!$AB$180),TEXT(EDATE($D109,Milestones!$AA$180),"dd/mm/yy")&amp;" "&amp;Milestones!$AB$180&amp;" "&amp;Milestones!$AC$180&amp;";  ","")&amp;IF(AND(EDATE($D109,Milestones!$AA$181)&lt;=AsOfDate,IF($Q109=0,$W109,IF(AND($S109&lt;&gt;"",EDATE($D109,Milestones!$AA$181)&gt;=$S109),$V109,IF(AND($R109&lt;&gt;"",EDATE($D109,Milestones!$AA$181)&gt;=$R109),$U109,$T109)))=Milestones!$AB$181),TEXT(EDATE($D109,Milestones!$AA$181),"dd/mm/yy")&amp;" "&amp;Milestones!$AB$181&amp;" "&amp;Milestones!$AC$181&amp;";  ","")&amp;IF(AND(EDATE($D109,Milestones!$AA$182)&lt;=AsOfDate,IF($Q109=0,$W109,IF(AND($S109&lt;&gt;"",EDATE($D109,Milestones!$AA$182)&gt;=$S109),$V109,IF(AND($R109&lt;&gt;"",EDATE($D109,Milestones!$AA$182)&gt;=$R109),$U109,$T109)))=Milestones!$AB$182),TEXT(EDATE($D109,Milestones!$AA$182),"dd/mm/yy")&amp;" "&amp;Milestones!$AB$182&amp;" "&amp;Milestones!$AC$182&amp;";  ","")&amp;IF(AND(EDATE($D109,Milestones!$AA$183)&lt;=AsOfDate,IF($Q109=0,$W109,IF(AND($S109&lt;&gt;"",EDATE($D109,Milestones!$AA$183)&gt;=$S109),$V109,IF(AND($R109&lt;&gt;"",EDATE($D109,Milestones!$AA$183)&gt;=$R109),$U109,$T109)))=Milestones!$AB$183),TEXT(EDATE($D109,Milestones!$AA$183),"dd/mm/yy")&amp;" "&amp;Milestones!$AB$183&amp;" "&amp;Milestones!$AC$183&amp;";  ","")&amp;IF(AND(EDATE($D109,Milestones!$AA$184)&lt;=AsOfDate,IF($Q109=0,$W109,IF(AND($S109&lt;&gt;"",EDATE($D109,Milestones!$AA$184)&gt;=$S109),$V109,IF(AND($R109&lt;&gt;"",EDATE($D109,Milestones!$AA$184)&gt;=$R109),$U109,$T109)))=Milestones!$AB$184),TEXT(EDATE($D109,Milestones!$AA$184),"dd/mm/yy")&amp;" "&amp;Milestones!$AB$184&amp;" "&amp;Milestones!$AC$184&amp;";  ","")&amp;IF(AND(EDATE($D109,Milestones!$AA$185)&lt;=AsOfDate,IF($Q109=0,$W109,IF(AND($S109&lt;&gt;"",EDATE($D109,Milestones!$AA$185)&gt;=$S109),$V109,IF(AND($R109&lt;&gt;"",EDATE($D109,Milestones!$AA$185)&gt;=$R109),$U109,$T109)))=Milestones!$AB$185),TEXT(EDATE($D109,Milestones!$AA$185),"dd/mm/yy")&amp;" "&amp;Milestones!$AB$185&amp;" "&amp;Milestones!$AC$185&amp;";  ","")&amp;IF(AND(EDATE($D109,Milestones!$AA$186)&lt;=AsOfDate,IF($Q109=0,$W109,IF(AND($S109&lt;&gt;"",EDATE($D109,Milestones!$AA$186)&gt;=$S109),$V109,IF(AND($R109&lt;&gt;"",EDATE($D109,Milestones!$AA$186)&gt;=$R109),$U109,$T109)))=Milestones!$AB$186),TEXT(EDATE($D109,Milestones!$AA$186),"dd/mm/yy")&amp;" "&amp;Milestones!$AB$186&amp;" "&amp;Milestones!$AC$186&amp;";  ","")&amp;IF(AND(EDATE($D109,Milestones!$AA$187)&lt;=AsOfDate,IF($Q109=0,$W109,IF(AND($S109&lt;&gt;"",EDATE($D109,Milestones!$AA$187)&gt;=$S109),$V109,IF(AND($R109&lt;&gt;"",EDATE($D109,Milestones!$AA$187)&gt;=$R109),$U109,$T109)))=Milestones!$AB$187),TEXT(EDATE($D109,Milestones!$AA$187),"dd/mm/yy")&amp;" "&amp;Milestones!$AB$187&amp;" "&amp;Milestones!$AC$187&amp;";  ","")&amp;IF(AND(EDATE($D109,Milestones!$AA$188)&lt;=AsOfDate,IF($Q109=0,$W109,IF(AND($S109&lt;&gt;"",EDATE($D109,Milestones!$AA$188)&gt;=$S109),$V109,IF(AND($R109&lt;&gt;"",EDATE($D109,Milestones!$AA$188)&gt;=$R109),$U109,$T109)))=Milestones!$AB$188),TEXT(EDATE($D109,Milestones!$AA$188),"dd/mm/yy")&amp;" "&amp;Milestones!$AB$188&amp;" "&amp;Milestones!$AC$188&amp;";  ","")&amp;IF(AND(EDATE($D109,Milestones!$AA$189)&lt;=AsOfDate,IF($Q109=0,$W109,IF(AND($S109&lt;&gt;"",EDATE($D109,Milestones!$AA$189)&gt;=$S109),$V109,IF(AND($R109&lt;&gt;"",EDATE($D109,Milestones!$AA$189)&gt;=$R109),$U109,$T109)))=Milestones!$AB$189),TEXT(EDATE($D109,Milestones!$AA$189),"dd/mm/yy")&amp;" "&amp;Milestones!$AB$189&amp;" "&amp;Milestones!$AC$189&amp;";  ","")&amp;IF(AND(EDATE($D109,Milestones!$AA$190)&lt;=AsOfDate,IF($Q109=0,$W109,IF(AND($S109&lt;&gt;"",EDATE($D109,Milestones!$AA$190)&gt;=$S109),$V109,IF(AND($R109&lt;&gt;"",EDATE($D109,Milestones!$AA$190)&gt;=$R109),$U109,$T109)))=Milestones!$AB$190),TEXT(EDATE($D109,Milestones!$AA$190),"dd/mm/yy")&amp;" "&amp;Milestones!$AB$190&amp;" "&amp;Milestones!$AC$190&amp;";  ","")&amp;IF(AND(EDATE($D109,Milestones!$AA$191)&lt;=AsOfDate,IF($Q109=0,$W109,IF(AND($S109&lt;&gt;"",EDATE($D109,Milestones!$AA$191)&gt;=$S109),$V109,IF(AND($R109&lt;&gt;"",EDATE($D109,Milestones!$AA$191)&gt;=$R109),$U109,$T109)))=Milestones!$AB$191),TEXT(EDATE($D109,Milestones!$AA$191),"dd/mm/yy")&amp;" "&amp;Milestones!$AB$191&amp;" "&amp;Milestones!$AC$191&amp;";  ","")&amp;IF(AND(EDATE($D109,Milestones!$AA$192)&lt;=AsOfDate,IF($Q109=0,$W109,IF(AND($S109&lt;&gt;"",EDATE($D109,Milestones!$AA$192)&gt;=$S109),$V109,IF(AND($R109&lt;&gt;"",EDATE($D109,Milestones!$AA$192)&gt;=$R109),$U109,$T109)))=Milestones!$AB$192),TEXT(EDATE($D109,Milestones!$AA$192),"dd/mm/yy")&amp;" "&amp;Milestones!$AB$192&amp;" "&amp;Milestones!$AC$192&amp;";  ","")&amp;IF(AND(EDATE($D109,Milestones!$AA$193)&lt;=AsOfDate,IF($Q109=0,$W109,IF(AND($S109&lt;&gt;"",EDATE($D109,Milestones!$AA$193)&gt;=$S109),$V109,IF(AND($R109&lt;&gt;"",EDATE($D109,Milestones!$AA$193)&gt;=$R109),$U109,$T109)))=Milestones!$AB$193),TEXT(EDATE($D109,Milestones!$AA$193),"dd/mm/yy")&amp;" "&amp;Milestones!$AB$193&amp;" "&amp;Milestones!$AC$193&amp;";  ","")&amp;IF(AND(EDATE($D109,Milestones!$AA$194)&lt;=AsOfDate,IF($Q109=0,$W109,IF(AND($S109&lt;&gt;"",EDATE($D109,Milestones!$AA$194)&gt;=$S109),$V109,IF(AND($R109&lt;&gt;"",EDATE($D109,Milestones!$AA$194)&gt;=$R109),$U109,$T109)))=Milestones!$AB$194),TEXT(EDATE($D109,Milestones!$AA$194),"dd/mm/yy")&amp;" "&amp;Milestones!$AB$194&amp;" "&amp;Milestones!$AC$194&amp;";  ","")&amp;IF(AND(EDATE($D109,Milestones!$AA$195)&lt;=AsOfDate,IF($Q109=0,$W109,IF(AND($S109&lt;&gt;"",EDATE($D109,Milestones!$AA$195)&gt;=$S109),$V109,IF(AND($R109&lt;&gt;"",EDATE($D109,Milestones!$AA$195)&gt;=$R109),$U109,$T109)))=Milestones!$AB$195),TEXT(EDATE($D109,Milestones!$AA$195),"dd/mm/yy")&amp;" "&amp;Milestones!$AB$195&amp;" "&amp;Milestones!$AC$195&amp;";  ","")&amp;IF(AND(EDATE($D109,Milestones!$AA$196)&lt;=AsOfDate,IF($Q109=0,$W109,IF(AND($S109&lt;&gt;"",EDATE($D109,Milestones!$AA$196)&gt;=$S109),$V109,IF(AND($R109&lt;&gt;"",EDATE($D109,Milestones!$AA$196)&gt;=$R109),$U109,$T109)))=Milestones!$AB$196),TEXT(EDATE($D109,Milestones!$AA$196),"dd/mm/yy")&amp;" "&amp;Milestones!$AB$196&amp;" "&amp;Milestones!$AC$196&amp;";  ","")&amp;IF(AND(EDATE($D109,Milestones!$AA$197)&lt;=AsOfDate,IF($Q109=0,$W109,IF(AND($S109&lt;&gt;"",EDATE($D109,Milestones!$AA$197)&gt;=$S109),$V109,IF(AND($R109&lt;&gt;"",EDATE($D109,Milestones!$AA$197)&gt;=$R109),$U109,$T109)))=Milestones!$AB$197),TEXT(EDATE($D109,Milestones!$AA$197),"dd/mm/yy")&amp;" "&amp;Milestones!$AB$197&amp;" "&amp;Milestones!$AC$197&amp;";  ","")&amp;IF(AND(EDATE($D109,Milestones!$AA$198)&lt;=AsOfDate,IF($Q109=0,$W109,IF(AND($S109&lt;&gt;"",EDATE($D109,Milestones!$AA$198)&gt;=$S109),$V109,IF(AND($R109&lt;&gt;"",EDATE($D109,Milestones!$AA$198)&gt;=$R109),$U109,$T109)))=Milestones!$AB$198),TEXT(EDATE($D109,Milestones!$AA$198),"dd/mm/yy")&amp;" "&amp;Milestones!$AB$198&amp;" "&amp;Milestones!$AC$198&amp;";  ","")&amp;IF(AND(EDATE($D109,Milestones!$AA$199)&lt;=AsOfDate,IF($Q109=0,$W109,IF(AND($S109&lt;&gt;"",EDATE($D109,Milestones!$AA$199)&gt;=$S109),$V109,IF(AND($R109&lt;&gt;"",EDATE($D109,Milestones!$AA$199)&gt;=$R109),$U109,$T109)))=Milestones!$AB$199),TEXT(EDATE($D109,Milestones!$AA$199),"dd/mm/yy")&amp;" "&amp;Milestones!$AB$199&amp;" "&amp;Milestones!$AC$199&amp;";  ",""))</f>
        <v/>
      </c>
      <c r="Q109" s="0" t="str">
        <f aca="false">IF(Staff!$A109="","",Staff!$AG109)</f>
        <v/>
      </c>
      <c r="R109" s="0" t="str">
        <f aca="false">IF(Staff!$A109="","",Staff!$AI109)</f>
        <v/>
      </c>
      <c r="S109" s="0" t="str">
        <f aca="false">IF(Staff!$A109="","",Staff!$AJ109)</f>
        <v/>
      </c>
      <c r="T109" s="0" t="str">
        <f aca="false">IF(Staff!$A109="","",Staff!$AN109)</f>
        <v/>
      </c>
      <c r="U109" s="0" t="str">
        <f aca="false">IF(Staff!$A109="","",Staff!$AO109)</f>
        <v/>
      </c>
      <c r="V109" s="0" t="str">
        <f aca="false">IF(Staff!$A109="","",Staff!$AP109)</f>
        <v/>
      </c>
      <c r="W109" s="0" t="str">
        <f aca="false">IF(Staff!$A109="","",Staff!$AQ109)</f>
        <v/>
      </c>
    </row>
    <row r="110" customFormat="false" ht="15" hidden="false" customHeight="false" outlineLevel="0" collapsed="false">
      <c r="A110" s="13" t="str">
        <f aca="false">IF(Staff!$A110="","",Staff!$A110)</f>
        <v/>
      </c>
      <c r="B110" s="13" t="str">
        <f aca="false">IF(Staff!$A110="","",Staff!$B110)</f>
        <v/>
      </c>
      <c r="C110" s="13" t="str">
        <f aca="false">IF(Staff!$A110="","",Staff!$C110)</f>
        <v/>
      </c>
      <c r="D110" s="11" t="str">
        <f aca="false">IF(Staff!$A110="","",Staff!$AF110)</f>
        <v/>
      </c>
      <c r="E110" s="13" t="str">
        <f aca="false">IF(Staff!$A110="","",Staff!$O110)</f>
        <v/>
      </c>
      <c r="F110" s="13" t="str">
        <f aca="false">IF(E110="","",E110*HoursPerDay)</f>
        <v/>
      </c>
      <c r="G110" s="26" t="str">
        <f aca="false">IF($A110="","",H110&amp;I110&amp;J110&amp;K110&amp;L110&amp;M110&amp;N110&amp;O110&amp;P110)</f>
        <v/>
      </c>
      <c r="H110" s="0" t="str">
        <f aca="false">IF(OR($A110="",$D110=""),"",IF(AND(EDATE($D110,Milestones!$AA$20)&lt;=AsOfDate,IF($Q110=0,$W110,IF(AND($S110&lt;&gt;"",EDATE($D110,Milestones!$AA$20)&gt;=$S110),$V110,IF(AND($R110&lt;&gt;"",EDATE($D110,Milestones!$AA$20)&gt;=$R110),$U110,$T110)))=Milestones!$AB$20),TEXT(EDATE($D110,Milestones!$AA$20),"dd/mm/yy")&amp;" "&amp;Milestones!$AB$20&amp;" "&amp;Milestones!$AC$20&amp;";  ","")&amp;IF(AND(EDATE($D110,Milestones!$AA$21)&lt;=AsOfDate,IF($Q110=0,$W110,IF(AND($S110&lt;&gt;"",EDATE($D110,Milestones!$AA$21)&gt;=$S110),$V110,IF(AND($R110&lt;&gt;"",EDATE($D110,Milestones!$AA$21)&gt;=$R110),$U110,$T110)))=Milestones!$AB$21),TEXT(EDATE($D110,Milestones!$AA$21),"dd/mm/yy")&amp;" "&amp;Milestones!$AB$21&amp;" "&amp;Milestones!$AC$21&amp;";  ","")&amp;IF(AND(EDATE($D110,Milestones!$AA$22)&lt;=AsOfDate,IF($Q110=0,$W110,IF(AND($S110&lt;&gt;"",EDATE($D110,Milestones!$AA$22)&gt;=$S110),$V110,IF(AND($R110&lt;&gt;"",EDATE($D110,Milestones!$AA$22)&gt;=$R110),$U110,$T110)))=Milestones!$AB$22),TEXT(EDATE($D110,Milestones!$AA$22),"dd/mm/yy")&amp;" "&amp;Milestones!$AB$22&amp;" "&amp;Milestones!$AC$22&amp;";  ","")&amp;IF(AND(EDATE($D110,Milestones!$AA$23)&lt;=AsOfDate,IF($Q110=0,$W110,IF(AND($S110&lt;&gt;"",EDATE($D110,Milestones!$AA$23)&gt;=$S110),$V110,IF(AND($R110&lt;&gt;"",EDATE($D110,Milestones!$AA$23)&gt;=$R110),$U110,$T110)))=Milestones!$AB$23),TEXT(EDATE($D110,Milestones!$AA$23),"dd/mm/yy")&amp;" "&amp;Milestones!$AB$23&amp;" "&amp;Milestones!$AC$23&amp;";  ","")&amp;IF(AND(EDATE($D110,Milestones!$AA$24)&lt;=AsOfDate,IF($Q110=0,$W110,IF(AND($S110&lt;&gt;"",EDATE($D110,Milestones!$AA$24)&gt;=$S110),$V110,IF(AND($R110&lt;&gt;"",EDATE($D110,Milestones!$AA$24)&gt;=$R110),$U110,$T110)))=Milestones!$AB$24),TEXT(EDATE($D110,Milestones!$AA$24),"dd/mm/yy")&amp;" "&amp;Milestones!$AB$24&amp;" "&amp;Milestones!$AC$24&amp;";  ","")&amp;IF(AND(EDATE($D110,Milestones!$AA$25)&lt;=AsOfDate,IF($Q110=0,$W110,IF(AND($S110&lt;&gt;"",EDATE($D110,Milestones!$AA$25)&gt;=$S110),$V110,IF(AND($R110&lt;&gt;"",EDATE($D110,Milestones!$AA$25)&gt;=$R110),$U110,$T110)))=Milestones!$AB$25),TEXT(EDATE($D110,Milestones!$AA$25),"dd/mm/yy")&amp;" "&amp;Milestones!$AB$25&amp;" "&amp;Milestones!$AC$25&amp;";  ","")&amp;IF(AND(EDATE($D110,Milestones!$AA$26)&lt;=AsOfDate,IF($Q110=0,$W110,IF(AND($S110&lt;&gt;"",EDATE($D110,Milestones!$AA$26)&gt;=$S110),$V110,IF(AND($R110&lt;&gt;"",EDATE($D110,Milestones!$AA$26)&gt;=$R110),$U110,$T110)))=Milestones!$AB$26),TEXT(EDATE($D110,Milestones!$AA$26),"dd/mm/yy")&amp;" "&amp;Milestones!$AB$26&amp;" "&amp;Milestones!$AC$26&amp;";  ","")&amp;IF(AND(EDATE($D110,Milestones!$AA$27)&lt;=AsOfDate,IF($Q110=0,$W110,IF(AND($S110&lt;&gt;"",EDATE($D110,Milestones!$AA$27)&gt;=$S110),$V110,IF(AND($R110&lt;&gt;"",EDATE($D110,Milestones!$AA$27)&gt;=$R110),$U110,$T110)))=Milestones!$AB$27),TEXT(EDATE($D110,Milestones!$AA$27),"dd/mm/yy")&amp;" "&amp;Milestones!$AB$27&amp;" "&amp;Milestones!$AC$27&amp;";  ","")&amp;IF(AND(EDATE($D110,Milestones!$AA$28)&lt;=AsOfDate,IF($Q110=0,$W110,IF(AND($S110&lt;&gt;"",EDATE($D110,Milestones!$AA$28)&gt;=$S110),$V110,IF(AND($R110&lt;&gt;"",EDATE($D110,Milestones!$AA$28)&gt;=$R110),$U110,$T110)))=Milestones!$AB$28),TEXT(EDATE($D110,Milestones!$AA$28),"dd/mm/yy")&amp;" "&amp;Milestones!$AB$28&amp;" "&amp;Milestones!$AC$28&amp;";  ","")&amp;IF(AND(EDATE($D110,Milestones!$AA$29)&lt;=AsOfDate,IF($Q110=0,$W110,IF(AND($S110&lt;&gt;"",EDATE($D110,Milestones!$AA$29)&gt;=$S110),$V110,IF(AND($R110&lt;&gt;"",EDATE($D110,Milestones!$AA$29)&gt;=$R110),$U110,$T110)))=Milestones!$AB$29),TEXT(EDATE($D110,Milestones!$AA$29),"dd/mm/yy")&amp;" "&amp;Milestones!$AB$29&amp;" "&amp;Milestones!$AC$29&amp;";  ","")&amp;IF(AND(EDATE($D110,Milestones!$AA$30)&lt;=AsOfDate,IF($Q110=0,$W110,IF(AND($S110&lt;&gt;"",EDATE($D110,Milestones!$AA$30)&gt;=$S110),$V110,IF(AND($R110&lt;&gt;"",EDATE($D110,Milestones!$AA$30)&gt;=$R110),$U110,$T110)))=Milestones!$AB$30),TEXT(EDATE($D110,Milestones!$AA$30),"dd/mm/yy")&amp;" "&amp;Milestones!$AB$30&amp;" "&amp;Milestones!$AC$30&amp;";  ","")&amp;IF(AND(EDATE($D110,Milestones!$AA$31)&lt;=AsOfDate,IF($Q110=0,$W110,IF(AND($S110&lt;&gt;"",EDATE($D110,Milestones!$AA$31)&gt;=$S110),$V110,IF(AND($R110&lt;&gt;"",EDATE($D110,Milestones!$AA$31)&gt;=$R110),$U110,$T110)))=Milestones!$AB$31),TEXT(EDATE($D110,Milestones!$AA$31),"dd/mm/yy")&amp;" "&amp;Milestones!$AB$31&amp;" "&amp;Milestones!$AC$31&amp;";  ","")&amp;IF(AND(EDATE($D110,Milestones!$AA$32)&lt;=AsOfDate,IF($Q110=0,$W110,IF(AND($S110&lt;&gt;"",EDATE($D110,Milestones!$AA$32)&gt;=$S110),$V110,IF(AND($R110&lt;&gt;"",EDATE($D110,Milestones!$AA$32)&gt;=$R110),$U110,$T110)))=Milestones!$AB$32),TEXT(EDATE($D110,Milestones!$AA$32),"dd/mm/yy")&amp;" "&amp;Milestones!$AB$32&amp;" "&amp;Milestones!$AC$32&amp;";  ","")&amp;IF(AND(EDATE($D110,Milestones!$AA$33)&lt;=AsOfDate,IF($Q110=0,$W110,IF(AND($S110&lt;&gt;"",EDATE($D110,Milestones!$AA$33)&gt;=$S110),$V110,IF(AND($R110&lt;&gt;"",EDATE($D110,Milestones!$AA$33)&gt;=$R110),$U110,$T110)))=Milestones!$AB$33),TEXT(EDATE($D110,Milestones!$AA$33),"dd/mm/yy")&amp;" "&amp;Milestones!$AB$33&amp;" "&amp;Milestones!$AC$33&amp;";  ","")&amp;IF(AND(EDATE($D110,Milestones!$AA$34)&lt;=AsOfDate,IF($Q110=0,$W110,IF(AND($S110&lt;&gt;"",EDATE($D110,Milestones!$AA$34)&gt;=$S110),$V110,IF(AND($R110&lt;&gt;"",EDATE($D110,Milestones!$AA$34)&gt;=$R110),$U110,$T110)))=Milestones!$AB$34),TEXT(EDATE($D110,Milestones!$AA$34),"dd/mm/yy")&amp;" "&amp;Milestones!$AB$34&amp;" "&amp;Milestones!$AC$34&amp;";  ","")&amp;IF(AND(EDATE($D110,Milestones!$AA$35)&lt;=AsOfDate,IF($Q110=0,$W110,IF(AND($S110&lt;&gt;"",EDATE($D110,Milestones!$AA$35)&gt;=$S110),$V110,IF(AND($R110&lt;&gt;"",EDATE($D110,Milestones!$AA$35)&gt;=$R110),$U110,$T110)))=Milestones!$AB$35),TEXT(EDATE($D110,Milestones!$AA$35),"dd/mm/yy")&amp;" "&amp;Milestones!$AB$35&amp;" "&amp;Milestones!$AC$35&amp;";  ","")&amp;IF(AND(EDATE($D110,Milestones!$AA$36)&lt;=AsOfDate,IF($Q110=0,$W110,IF(AND($S110&lt;&gt;"",EDATE($D110,Milestones!$AA$36)&gt;=$S110),$V110,IF(AND($R110&lt;&gt;"",EDATE($D110,Milestones!$AA$36)&gt;=$R110),$U110,$T110)))=Milestones!$AB$36),TEXT(EDATE($D110,Milestones!$AA$36),"dd/mm/yy")&amp;" "&amp;Milestones!$AB$36&amp;" "&amp;Milestones!$AC$36&amp;";  ","")&amp;IF(AND(EDATE($D110,Milestones!$AA$37)&lt;=AsOfDate,IF($Q110=0,$W110,IF(AND($S110&lt;&gt;"",EDATE($D110,Milestones!$AA$37)&gt;=$S110),$V110,IF(AND($R110&lt;&gt;"",EDATE($D110,Milestones!$AA$37)&gt;=$R110),$U110,$T110)))=Milestones!$AB$37),TEXT(EDATE($D110,Milestones!$AA$37),"dd/mm/yy")&amp;" "&amp;Milestones!$AB$37&amp;" "&amp;Milestones!$AC$37&amp;";  ","")&amp;IF(AND(EDATE($D110,Milestones!$AA$38)&lt;=AsOfDate,IF($Q110=0,$W110,IF(AND($S110&lt;&gt;"",EDATE($D110,Milestones!$AA$38)&gt;=$S110),$V110,IF(AND($R110&lt;&gt;"",EDATE($D110,Milestones!$AA$38)&gt;=$R110),$U110,$T110)))=Milestones!$AB$38),TEXT(EDATE($D110,Milestones!$AA$38),"dd/mm/yy")&amp;" "&amp;Milestones!$AB$38&amp;" "&amp;Milestones!$AC$38&amp;";  ","")&amp;IF(AND(EDATE($D110,Milestones!$AA$39)&lt;=AsOfDate,IF($Q110=0,$W110,IF(AND($S110&lt;&gt;"",EDATE($D110,Milestones!$AA$39)&gt;=$S110),$V110,IF(AND($R110&lt;&gt;"",EDATE($D110,Milestones!$AA$39)&gt;=$R110),$U110,$T110)))=Milestones!$AB$39),TEXT(EDATE($D110,Milestones!$AA$39),"dd/mm/yy")&amp;" "&amp;Milestones!$AB$39&amp;" "&amp;Milestones!$AC$39&amp;";  ",""))</f>
        <v/>
      </c>
      <c r="I110" s="0" t="str">
        <f aca="false">IF(OR($A110="",$D110=""),"",IF(AND(EDATE($D110,Milestones!$AA$40)&lt;=AsOfDate,IF($Q110=0,$W110,IF(AND($S110&lt;&gt;"",EDATE($D110,Milestones!$AA$40)&gt;=$S110),$V110,IF(AND($R110&lt;&gt;"",EDATE($D110,Milestones!$AA$40)&gt;=$R110),$U110,$T110)))=Milestones!$AB$40),TEXT(EDATE($D110,Milestones!$AA$40),"dd/mm/yy")&amp;" "&amp;Milestones!$AB$40&amp;" "&amp;Milestones!$AC$40&amp;";  ","")&amp;IF(AND(EDATE($D110,Milestones!$AA$41)&lt;=AsOfDate,IF($Q110=0,$W110,IF(AND($S110&lt;&gt;"",EDATE($D110,Milestones!$AA$41)&gt;=$S110),$V110,IF(AND($R110&lt;&gt;"",EDATE($D110,Milestones!$AA$41)&gt;=$R110),$U110,$T110)))=Milestones!$AB$41),TEXT(EDATE($D110,Milestones!$AA$41),"dd/mm/yy")&amp;" "&amp;Milestones!$AB$41&amp;" "&amp;Milestones!$AC$41&amp;";  ","")&amp;IF(AND(EDATE($D110,Milestones!$AA$42)&lt;=AsOfDate,IF($Q110=0,$W110,IF(AND($S110&lt;&gt;"",EDATE($D110,Milestones!$AA$42)&gt;=$S110),$V110,IF(AND($R110&lt;&gt;"",EDATE($D110,Milestones!$AA$42)&gt;=$R110),$U110,$T110)))=Milestones!$AB$42),TEXT(EDATE($D110,Milestones!$AA$42),"dd/mm/yy")&amp;" "&amp;Milestones!$AB$42&amp;" "&amp;Milestones!$AC$42&amp;";  ","")&amp;IF(AND(EDATE($D110,Milestones!$AA$43)&lt;=AsOfDate,IF($Q110=0,$W110,IF(AND($S110&lt;&gt;"",EDATE($D110,Milestones!$AA$43)&gt;=$S110),$V110,IF(AND($R110&lt;&gt;"",EDATE($D110,Milestones!$AA$43)&gt;=$R110),$U110,$T110)))=Milestones!$AB$43),TEXT(EDATE($D110,Milestones!$AA$43),"dd/mm/yy")&amp;" "&amp;Milestones!$AB$43&amp;" "&amp;Milestones!$AC$43&amp;";  ","")&amp;IF(AND(EDATE($D110,Milestones!$AA$44)&lt;=AsOfDate,IF($Q110=0,$W110,IF(AND($S110&lt;&gt;"",EDATE($D110,Milestones!$AA$44)&gt;=$S110),$V110,IF(AND($R110&lt;&gt;"",EDATE($D110,Milestones!$AA$44)&gt;=$R110),$U110,$T110)))=Milestones!$AB$44),TEXT(EDATE($D110,Milestones!$AA$44),"dd/mm/yy")&amp;" "&amp;Milestones!$AB$44&amp;" "&amp;Milestones!$AC$44&amp;";  ","")&amp;IF(AND(EDATE($D110,Milestones!$AA$45)&lt;=AsOfDate,IF($Q110=0,$W110,IF(AND($S110&lt;&gt;"",EDATE($D110,Milestones!$AA$45)&gt;=$S110),$V110,IF(AND($R110&lt;&gt;"",EDATE($D110,Milestones!$AA$45)&gt;=$R110),$U110,$T110)))=Milestones!$AB$45),TEXT(EDATE($D110,Milestones!$AA$45),"dd/mm/yy")&amp;" "&amp;Milestones!$AB$45&amp;" "&amp;Milestones!$AC$45&amp;";  ","")&amp;IF(AND(EDATE($D110,Milestones!$AA$46)&lt;=AsOfDate,IF($Q110=0,$W110,IF(AND($S110&lt;&gt;"",EDATE($D110,Milestones!$AA$46)&gt;=$S110),$V110,IF(AND($R110&lt;&gt;"",EDATE($D110,Milestones!$AA$46)&gt;=$R110),$U110,$T110)))=Milestones!$AB$46),TEXT(EDATE($D110,Milestones!$AA$46),"dd/mm/yy")&amp;" "&amp;Milestones!$AB$46&amp;" "&amp;Milestones!$AC$46&amp;";  ","")&amp;IF(AND(EDATE($D110,Milestones!$AA$47)&lt;=AsOfDate,IF($Q110=0,$W110,IF(AND($S110&lt;&gt;"",EDATE($D110,Milestones!$AA$47)&gt;=$S110),$V110,IF(AND($R110&lt;&gt;"",EDATE($D110,Milestones!$AA$47)&gt;=$R110),$U110,$T110)))=Milestones!$AB$47),TEXT(EDATE($D110,Milestones!$AA$47),"dd/mm/yy")&amp;" "&amp;Milestones!$AB$47&amp;" "&amp;Milestones!$AC$47&amp;";  ","")&amp;IF(AND(EDATE($D110,Milestones!$AA$48)&lt;=AsOfDate,IF($Q110=0,$W110,IF(AND($S110&lt;&gt;"",EDATE($D110,Milestones!$AA$48)&gt;=$S110),$V110,IF(AND($R110&lt;&gt;"",EDATE($D110,Milestones!$AA$48)&gt;=$R110),$U110,$T110)))=Milestones!$AB$48),TEXT(EDATE($D110,Milestones!$AA$48),"dd/mm/yy")&amp;" "&amp;Milestones!$AB$48&amp;" "&amp;Milestones!$AC$48&amp;";  ","")&amp;IF(AND(EDATE($D110,Milestones!$AA$49)&lt;=AsOfDate,IF($Q110=0,$W110,IF(AND($S110&lt;&gt;"",EDATE($D110,Milestones!$AA$49)&gt;=$S110),$V110,IF(AND($R110&lt;&gt;"",EDATE($D110,Milestones!$AA$49)&gt;=$R110),$U110,$T110)))=Milestones!$AB$49),TEXT(EDATE($D110,Milestones!$AA$49),"dd/mm/yy")&amp;" "&amp;Milestones!$AB$49&amp;" "&amp;Milestones!$AC$49&amp;";  ","")&amp;IF(AND(EDATE($D110,Milestones!$AA$50)&lt;=AsOfDate,IF($Q110=0,$W110,IF(AND($S110&lt;&gt;"",EDATE($D110,Milestones!$AA$50)&gt;=$S110),$V110,IF(AND($R110&lt;&gt;"",EDATE($D110,Milestones!$AA$50)&gt;=$R110),$U110,$T110)))=Milestones!$AB$50),TEXT(EDATE($D110,Milestones!$AA$50),"dd/mm/yy")&amp;" "&amp;Milestones!$AB$50&amp;" "&amp;Milestones!$AC$50&amp;";  ","")&amp;IF(AND(EDATE($D110,Milestones!$AA$51)&lt;=AsOfDate,IF($Q110=0,$W110,IF(AND($S110&lt;&gt;"",EDATE($D110,Milestones!$AA$51)&gt;=$S110),$V110,IF(AND($R110&lt;&gt;"",EDATE($D110,Milestones!$AA$51)&gt;=$R110),$U110,$T110)))=Milestones!$AB$51),TEXT(EDATE($D110,Milestones!$AA$51),"dd/mm/yy")&amp;" "&amp;Milestones!$AB$51&amp;" "&amp;Milestones!$AC$51&amp;";  ","")&amp;IF(AND(EDATE($D110,Milestones!$AA$52)&lt;=AsOfDate,IF($Q110=0,$W110,IF(AND($S110&lt;&gt;"",EDATE($D110,Milestones!$AA$52)&gt;=$S110),$V110,IF(AND($R110&lt;&gt;"",EDATE($D110,Milestones!$AA$52)&gt;=$R110),$U110,$T110)))=Milestones!$AB$52),TEXT(EDATE($D110,Milestones!$AA$52),"dd/mm/yy")&amp;" "&amp;Milestones!$AB$52&amp;" "&amp;Milestones!$AC$52&amp;";  ","")&amp;IF(AND(EDATE($D110,Milestones!$AA$53)&lt;=AsOfDate,IF($Q110=0,$W110,IF(AND($S110&lt;&gt;"",EDATE($D110,Milestones!$AA$53)&gt;=$S110),$V110,IF(AND($R110&lt;&gt;"",EDATE($D110,Milestones!$AA$53)&gt;=$R110),$U110,$T110)))=Milestones!$AB$53),TEXT(EDATE($D110,Milestones!$AA$53),"dd/mm/yy")&amp;" "&amp;Milestones!$AB$53&amp;" "&amp;Milestones!$AC$53&amp;";  ","")&amp;IF(AND(EDATE($D110,Milestones!$AA$54)&lt;=AsOfDate,IF($Q110=0,$W110,IF(AND($S110&lt;&gt;"",EDATE($D110,Milestones!$AA$54)&gt;=$S110),$V110,IF(AND($R110&lt;&gt;"",EDATE($D110,Milestones!$AA$54)&gt;=$R110),$U110,$T110)))=Milestones!$AB$54),TEXT(EDATE($D110,Milestones!$AA$54),"dd/mm/yy")&amp;" "&amp;Milestones!$AB$54&amp;" "&amp;Milestones!$AC$54&amp;";  ","")&amp;IF(AND(EDATE($D110,Milestones!$AA$55)&lt;=AsOfDate,IF($Q110=0,$W110,IF(AND($S110&lt;&gt;"",EDATE($D110,Milestones!$AA$55)&gt;=$S110),$V110,IF(AND($R110&lt;&gt;"",EDATE($D110,Milestones!$AA$55)&gt;=$R110),$U110,$T110)))=Milestones!$AB$55),TEXT(EDATE($D110,Milestones!$AA$55),"dd/mm/yy")&amp;" "&amp;Milestones!$AB$55&amp;" "&amp;Milestones!$AC$55&amp;";  ","")&amp;IF(AND(EDATE($D110,Milestones!$AA$56)&lt;=AsOfDate,IF($Q110=0,$W110,IF(AND($S110&lt;&gt;"",EDATE($D110,Milestones!$AA$56)&gt;=$S110),$V110,IF(AND($R110&lt;&gt;"",EDATE($D110,Milestones!$AA$56)&gt;=$R110),$U110,$T110)))=Milestones!$AB$56),TEXT(EDATE($D110,Milestones!$AA$56),"dd/mm/yy")&amp;" "&amp;Milestones!$AB$56&amp;" "&amp;Milestones!$AC$56&amp;";  ","")&amp;IF(AND(EDATE($D110,Milestones!$AA$57)&lt;=AsOfDate,IF($Q110=0,$W110,IF(AND($S110&lt;&gt;"",EDATE($D110,Milestones!$AA$57)&gt;=$S110),$V110,IF(AND($R110&lt;&gt;"",EDATE($D110,Milestones!$AA$57)&gt;=$R110),$U110,$T110)))=Milestones!$AB$57),TEXT(EDATE($D110,Milestones!$AA$57),"dd/mm/yy")&amp;" "&amp;Milestones!$AB$57&amp;" "&amp;Milestones!$AC$57&amp;";  ","")&amp;IF(AND(EDATE($D110,Milestones!$AA$58)&lt;=AsOfDate,IF($Q110=0,$W110,IF(AND($S110&lt;&gt;"",EDATE($D110,Milestones!$AA$58)&gt;=$S110),$V110,IF(AND($R110&lt;&gt;"",EDATE($D110,Milestones!$AA$58)&gt;=$R110),$U110,$T110)))=Milestones!$AB$58),TEXT(EDATE($D110,Milestones!$AA$58),"dd/mm/yy")&amp;" "&amp;Milestones!$AB$58&amp;" "&amp;Milestones!$AC$58&amp;";  ","")&amp;IF(AND(EDATE($D110,Milestones!$AA$59)&lt;=AsOfDate,IF($Q110=0,$W110,IF(AND($S110&lt;&gt;"",EDATE($D110,Milestones!$AA$59)&gt;=$S110),$V110,IF(AND($R110&lt;&gt;"",EDATE($D110,Milestones!$AA$59)&gt;=$R110),$U110,$T110)))=Milestones!$AB$59),TEXT(EDATE($D110,Milestones!$AA$59),"dd/mm/yy")&amp;" "&amp;Milestones!$AB$59&amp;" "&amp;Milestones!$AC$59&amp;";  ",""))</f>
        <v/>
      </c>
      <c r="J110" s="0" t="str">
        <f aca="false">IF(OR($A110="",$D110=""),"",IF(AND(EDATE($D110,Milestones!$AA$60)&lt;=AsOfDate,IF($Q110=0,$W110,IF(AND($S110&lt;&gt;"",EDATE($D110,Milestones!$AA$60)&gt;=$S110),$V110,IF(AND($R110&lt;&gt;"",EDATE($D110,Milestones!$AA$60)&gt;=$R110),$U110,$T110)))=Milestones!$AB$60),TEXT(EDATE($D110,Milestones!$AA$60),"dd/mm/yy")&amp;" "&amp;Milestones!$AB$60&amp;" "&amp;Milestones!$AC$60&amp;";  ","")&amp;IF(AND(EDATE($D110,Milestones!$AA$61)&lt;=AsOfDate,IF($Q110=0,$W110,IF(AND($S110&lt;&gt;"",EDATE($D110,Milestones!$AA$61)&gt;=$S110),$V110,IF(AND($R110&lt;&gt;"",EDATE($D110,Milestones!$AA$61)&gt;=$R110),$U110,$T110)))=Milestones!$AB$61),TEXT(EDATE($D110,Milestones!$AA$61),"dd/mm/yy")&amp;" "&amp;Milestones!$AB$61&amp;" "&amp;Milestones!$AC$61&amp;";  ","")&amp;IF(AND(EDATE($D110,Milestones!$AA$62)&lt;=AsOfDate,IF($Q110=0,$W110,IF(AND($S110&lt;&gt;"",EDATE($D110,Milestones!$AA$62)&gt;=$S110),$V110,IF(AND($R110&lt;&gt;"",EDATE($D110,Milestones!$AA$62)&gt;=$R110),$U110,$T110)))=Milestones!$AB$62),TEXT(EDATE($D110,Milestones!$AA$62),"dd/mm/yy")&amp;" "&amp;Milestones!$AB$62&amp;" "&amp;Milestones!$AC$62&amp;";  ","")&amp;IF(AND(EDATE($D110,Milestones!$AA$63)&lt;=AsOfDate,IF($Q110=0,$W110,IF(AND($S110&lt;&gt;"",EDATE($D110,Milestones!$AA$63)&gt;=$S110),$V110,IF(AND($R110&lt;&gt;"",EDATE($D110,Milestones!$AA$63)&gt;=$R110),$U110,$T110)))=Milestones!$AB$63),TEXT(EDATE($D110,Milestones!$AA$63),"dd/mm/yy")&amp;" "&amp;Milestones!$AB$63&amp;" "&amp;Milestones!$AC$63&amp;";  ","")&amp;IF(AND(EDATE($D110,Milestones!$AA$64)&lt;=AsOfDate,IF($Q110=0,$W110,IF(AND($S110&lt;&gt;"",EDATE($D110,Milestones!$AA$64)&gt;=$S110),$V110,IF(AND($R110&lt;&gt;"",EDATE($D110,Milestones!$AA$64)&gt;=$R110),$U110,$T110)))=Milestones!$AB$64),TEXT(EDATE($D110,Milestones!$AA$64),"dd/mm/yy")&amp;" "&amp;Milestones!$AB$64&amp;" "&amp;Milestones!$AC$64&amp;";  ","")&amp;IF(AND(EDATE($D110,Milestones!$AA$65)&lt;=AsOfDate,IF($Q110=0,$W110,IF(AND($S110&lt;&gt;"",EDATE($D110,Milestones!$AA$65)&gt;=$S110),$V110,IF(AND($R110&lt;&gt;"",EDATE($D110,Milestones!$AA$65)&gt;=$R110),$U110,$T110)))=Milestones!$AB$65),TEXT(EDATE($D110,Milestones!$AA$65),"dd/mm/yy")&amp;" "&amp;Milestones!$AB$65&amp;" "&amp;Milestones!$AC$65&amp;";  ","")&amp;IF(AND(EDATE($D110,Milestones!$AA$66)&lt;=AsOfDate,IF($Q110=0,$W110,IF(AND($S110&lt;&gt;"",EDATE($D110,Milestones!$AA$66)&gt;=$S110),$V110,IF(AND($R110&lt;&gt;"",EDATE($D110,Milestones!$AA$66)&gt;=$R110),$U110,$T110)))=Milestones!$AB$66),TEXT(EDATE($D110,Milestones!$AA$66),"dd/mm/yy")&amp;" "&amp;Milestones!$AB$66&amp;" "&amp;Milestones!$AC$66&amp;";  ","")&amp;IF(AND(EDATE($D110,Milestones!$AA$67)&lt;=AsOfDate,IF($Q110=0,$W110,IF(AND($S110&lt;&gt;"",EDATE($D110,Milestones!$AA$67)&gt;=$S110),$V110,IF(AND($R110&lt;&gt;"",EDATE($D110,Milestones!$AA$67)&gt;=$R110),$U110,$T110)))=Milestones!$AB$67),TEXT(EDATE($D110,Milestones!$AA$67),"dd/mm/yy")&amp;" "&amp;Milestones!$AB$67&amp;" "&amp;Milestones!$AC$67&amp;";  ","")&amp;IF(AND(EDATE($D110,Milestones!$AA$68)&lt;=AsOfDate,IF($Q110=0,$W110,IF(AND($S110&lt;&gt;"",EDATE($D110,Milestones!$AA$68)&gt;=$S110),$V110,IF(AND($R110&lt;&gt;"",EDATE($D110,Milestones!$AA$68)&gt;=$R110),$U110,$T110)))=Milestones!$AB$68),TEXT(EDATE($D110,Milestones!$AA$68),"dd/mm/yy")&amp;" "&amp;Milestones!$AB$68&amp;" "&amp;Milestones!$AC$68&amp;";  ","")&amp;IF(AND(EDATE($D110,Milestones!$AA$69)&lt;=AsOfDate,IF($Q110=0,$W110,IF(AND($S110&lt;&gt;"",EDATE($D110,Milestones!$AA$69)&gt;=$S110),$V110,IF(AND($R110&lt;&gt;"",EDATE($D110,Milestones!$AA$69)&gt;=$R110),$U110,$T110)))=Milestones!$AB$69),TEXT(EDATE($D110,Milestones!$AA$69),"dd/mm/yy")&amp;" "&amp;Milestones!$AB$69&amp;" "&amp;Milestones!$AC$69&amp;";  ","")&amp;IF(AND(EDATE($D110,Milestones!$AA$70)&lt;=AsOfDate,IF($Q110=0,$W110,IF(AND($S110&lt;&gt;"",EDATE($D110,Milestones!$AA$70)&gt;=$S110),$V110,IF(AND($R110&lt;&gt;"",EDATE($D110,Milestones!$AA$70)&gt;=$R110),$U110,$T110)))=Milestones!$AB$70),TEXT(EDATE($D110,Milestones!$AA$70),"dd/mm/yy")&amp;" "&amp;Milestones!$AB$70&amp;" "&amp;Milestones!$AC$70&amp;";  ","")&amp;IF(AND(EDATE($D110,Milestones!$AA$71)&lt;=AsOfDate,IF($Q110=0,$W110,IF(AND($S110&lt;&gt;"",EDATE($D110,Milestones!$AA$71)&gt;=$S110),$V110,IF(AND($R110&lt;&gt;"",EDATE($D110,Milestones!$AA$71)&gt;=$R110),$U110,$T110)))=Milestones!$AB$71),TEXT(EDATE($D110,Milestones!$AA$71),"dd/mm/yy")&amp;" "&amp;Milestones!$AB$71&amp;" "&amp;Milestones!$AC$71&amp;";  ","")&amp;IF(AND(EDATE($D110,Milestones!$AA$72)&lt;=AsOfDate,IF($Q110=0,$W110,IF(AND($S110&lt;&gt;"",EDATE($D110,Milestones!$AA$72)&gt;=$S110),$V110,IF(AND($R110&lt;&gt;"",EDATE($D110,Milestones!$AA$72)&gt;=$R110),$U110,$T110)))=Milestones!$AB$72),TEXT(EDATE($D110,Milestones!$AA$72),"dd/mm/yy")&amp;" "&amp;Milestones!$AB$72&amp;" "&amp;Milestones!$AC$72&amp;";  ","")&amp;IF(AND(EDATE($D110,Milestones!$AA$73)&lt;=AsOfDate,IF($Q110=0,$W110,IF(AND($S110&lt;&gt;"",EDATE($D110,Milestones!$AA$73)&gt;=$S110),$V110,IF(AND($R110&lt;&gt;"",EDATE($D110,Milestones!$AA$73)&gt;=$R110),$U110,$T110)))=Milestones!$AB$73),TEXT(EDATE($D110,Milestones!$AA$73),"dd/mm/yy")&amp;" "&amp;Milestones!$AB$73&amp;" "&amp;Milestones!$AC$73&amp;";  ","")&amp;IF(AND(EDATE($D110,Milestones!$AA$74)&lt;=AsOfDate,IF($Q110=0,$W110,IF(AND($S110&lt;&gt;"",EDATE($D110,Milestones!$AA$74)&gt;=$S110),$V110,IF(AND($R110&lt;&gt;"",EDATE($D110,Milestones!$AA$74)&gt;=$R110),$U110,$T110)))=Milestones!$AB$74),TEXT(EDATE($D110,Milestones!$AA$74),"dd/mm/yy")&amp;" "&amp;Milestones!$AB$74&amp;" "&amp;Milestones!$AC$74&amp;";  ","")&amp;IF(AND(EDATE($D110,Milestones!$AA$75)&lt;=AsOfDate,IF($Q110=0,$W110,IF(AND($S110&lt;&gt;"",EDATE($D110,Milestones!$AA$75)&gt;=$S110),$V110,IF(AND($R110&lt;&gt;"",EDATE($D110,Milestones!$AA$75)&gt;=$R110),$U110,$T110)))=Milestones!$AB$75),TEXT(EDATE($D110,Milestones!$AA$75),"dd/mm/yy")&amp;" "&amp;Milestones!$AB$75&amp;" "&amp;Milestones!$AC$75&amp;";  ","")&amp;IF(AND(EDATE($D110,Milestones!$AA$76)&lt;=AsOfDate,IF($Q110=0,$W110,IF(AND($S110&lt;&gt;"",EDATE($D110,Milestones!$AA$76)&gt;=$S110),$V110,IF(AND($R110&lt;&gt;"",EDATE($D110,Milestones!$AA$76)&gt;=$R110),$U110,$T110)))=Milestones!$AB$76),TEXT(EDATE($D110,Milestones!$AA$76),"dd/mm/yy")&amp;" "&amp;Milestones!$AB$76&amp;" "&amp;Milestones!$AC$76&amp;";  ","")&amp;IF(AND(EDATE($D110,Milestones!$AA$77)&lt;=AsOfDate,IF($Q110=0,$W110,IF(AND($S110&lt;&gt;"",EDATE($D110,Milestones!$AA$77)&gt;=$S110),$V110,IF(AND($R110&lt;&gt;"",EDATE($D110,Milestones!$AA$77)&gt;=$R110),$U110,$T110)))=Milestones!$AB$77),TEXT(EDATE($D110,Milestones!$AA$77),"dd/mm/yy")&amp;" "&amp;Milestones!$AB$77&amp;" "&amp;Milestones!$AC$77&amp;";  ","")&amp;IF(AND(EDATE($D110,Milestones!$AA$78)&lt;=AsOfDate,IF($Q110=0,$W110,IF(AND($S110&lt;&gt;"",EDATE($D110,Milestones!$AA$78)&gt;=$S110),$V110,IF(AND($R110&lt;&gt;"",EDATE($D110,Milestones!$AA$78)&gt;=$R110),$U110,$T110)))=Milestones!$AB$78),TEXT(EDATE($D110,Milestones!$AA$78),"dd/mm/yy")&amp;" "&amp;Milestones!$AB$78&amp;" "&amp;Milestones!$AC$78&amp;";  ","")&amp;IF(AND(EDATE($D110,Milestones!$AA$79)&lt;=AsOfDate,IF($Q110=0,$W110,IF(AND($S110&lt;&gt;"",EDATE($D110,Milestones!$AA$79)&gt;=$S110),$V110,IF(AND($R110&lt;&gt;"",EDATE($D110,Milestones!$AA$79)&gt;=$R110),$U110,$T110)))=Milestones!$AB$79),TEXT(EDATE($D110,Milestones!$AA$79),"dd/mm/yy")&amp;" "&amp;Milestones!$AB$79&amp;" "&amp;Milestones!$AC$79&amp;";  ",""))</f>
        <v/>
      </c>
      <c r="K110" s="0" t="str">
        <f aca="false">IF(OR($A110="",$D110=""),"",IF(AND(EDATE($D110,Milestones!$AA$80)&lt;=AsOfDate,IF($Q110=0,$W110,IF(AND($S110&lt;&gt;"",EDATE($D110,Milestones!$AA$80)&gt;=$S110),$V110,IF(AND($R110&lt;&gt;"",EDATE($D110,Milestones!$AA$80)&gt;=$R110),$U110,$T110)))=Milestones!$AB$80),TEXT(EDATE($D110,Milestones!$AA$80),"dd/mm/yy")&amp;" "&amp;Milestones!$AB$80&amp;" "&amp;Milestones!$AC$80&amp;";  ","")&amp;IF(AND(EDATE($D110,Milestones!$AA$81)&lt;=AsOfDate,IF($Q110=0,$W110,IF(AND($S110&lt;&gt;"",EDATE($D110,Milestones!$AA$81)&gt;=$S110),$V110,IF(AND($R110&lt;&gt;"",EDATE($D110,Milestones!$AA$81)&gt;=$R110),$U110,$T110)))=Milestones!$AB$81),TEXT(EDATE($D110,Milestones!$AA$81),"dd/mm/yy")&amp;" "&amp;Milestones!$AB$81&amp;" "&amp;Milestones!$AC$81&amp;";  ","")&amp;IF(AND(EDATE($D110,Milestones!$AA$82)&lt;=AsOfDate,IF($Q110=0,$W110,IF(AND($S110&lt;&gt;"",EDATE($D110,Milestones!$AA$82)&gt;=$S110),$V110,IF(AND($R110&lt;&gt;"",EDATE($D110,Milestones!$AA$82)&gt;=$R110),$U110,$T110)))=Milestones!$AB$82),TEXT(EDATE($D110,Milestones!$AA$82),"dd/mm/yy")&amp;" "&amp;Milestones!$AB$82&amp;" "&amp;Milestones!$AC$82&amp;";  ","")&amp;IF(AND(EDATE($D110,Milestones!$AA$83)&lt;=AsOfDate,IF($Q110=0,$W110,IF(AND($S110&lt;&gt;"",EDATE($D110,Milestones!$AA$83)&gt;=$S110),$V110,IF(AND($R110&lt;&gt;"",EDATE($D110,Milestones!$AA$83)&gt;=$R110),$U110,$T110)))=Milestones!$AB$83),TEXT(EDATE($D110,Milestones!$AA$83),"dd/mm/yy")&amp;" "&amp;Milestones!$AB$83&amp;" "&amp;Milestones!$AC$83&amp;";  ","")&amp;IF(AND(EDATE($D110,Milestones!$AA$84)&lt;=AsOfDate,IF($Q110=0,$W110,IF(AND($S110&lt;&gt;"",EDATE($D110,Milestones!$AA$84)&gt;=$S110),$V110,IF(AND($R110&lt;&gt;"",EDATE($D110,Milestones!$AA$84)&gt;=$R110),$U110,$T110)))=Milestones!$AB$84),TEXT(EDATE($D110,Milestones!$AA$84),"dd/mm/yy")&amp;" "&amp;Milestones!$AB$84&amp;" "&amp;Milestones!$AC$84&amp;";  ","")&amp;IF(AND(EDATE($D110,Milestones!$AA$85)&lt;=AsOfDate,IF($Q110=0,$W110,IF(AND($S110&lt;&gt;"",EDATE($D110,Milestones!$AA$85)&gt;=$S110),$V110,IF(AND($R110&lt;&gt;"",EDATE($D110,Milestones!$AA$85)&gt;=$R110),$U110,$T110)))=Milestones!$AB$85),TEXT(EDATE($D110,Milestones!$AA$85),"dd/mm/yy")&amp;" "&amp;Milestones!$AB$85&amp;" "&amp;Milestones!$AC$85&amp;";  ","")&amp;IF(AND(EDATE($D110,Milestones!$AA$86)&lt;=AsOfDate,IF($Q110=0,$W110,IF(AND($S110&lt;&gt;"",EDATE($D110,Milestones!$AA$86)&gt;=$S110),$V110,IF(AND($R110&lt;&gt;"",EDATE($D110,Milestones!$AA$86)&gt;=$R110),$U110,$T110)))=Milestones!$AB$86),TEXT(EDATE($D110,Milestones!$AA$86),"dd/mm/yy")&amp;" "&amp;Milestones!$AB$86&amp;" "&amp;Milestones!$AC$86&amp;";  ","")&amp;IF(AND(EDATE($D110,Milestones!$AA$87)&lt;=AsOfDate,IF($Q110=0,$W110,IF(AND($S110&lt;&gt;"",EDATE($D110,Milestones!$AA$87)&gt;=$S110),$V110,IF(AND($R110&lt;&gt;"",EDATE($D110,Milestones!$AA$87)&gt;=$R110),$U110,$T110)))=Milestones!$AB$87),TEXT(EDATE($D110,Milestones!$AA$87),"dd/mm/yy")&amp;" "&amp;Milestones!$AB$87&amp;" "&amp;Milestones!$AC$87&amp;";  ","")&amp;IF(AND(EDATE($D110,Milestones!$AA$88)&lt;=AsOfDate,IF($Q110=0,$W110,IF(AND($S110&lt;&gt;"",EDATE($D110,Milestones!$AA$88)&gt;=$S110),$V110,IF(AND($R110&lt;&gt;"",EDATE($D110,Milestones!$AA$88)&gt;=$R110),$U110,$T110)))=Milestones!$AB$88),TEXT(EDATE($D110,Milestones!$AA$88),"dd/mm/yy")&amp;" "&amp;Milestones!$AB$88&amp;" "&amp;Milestones!$AC$88&amp;";  ","")&amp;IF(AND(EDATE($D110,Milestones!$AA$89)&lt;=AsOfDate,IF($Q110=0,$W110,IF(AND($S110&lt;&gt;"",EDATE($D110,Milestones!$AA$89)&gt;=$S110),$V110,IF(AND($R110&lt;&gt;"",EDATE($D110,Milestones!$AA$89)&gt;=$R110),$U110,$T110)))=Milestones!$AB$89),TEXT(EDATE($D110,Milestones!$AA$89),"dd/mm/yy")&amp;" "&amp;Milestones!$AB$89&amp;" "&amp;Milestones!$AC$89&amp;";  ","")&amp;IF(AND(EDATE($D110,Milestones!$AA$90)&lt;=AsOfDate,IF($Q110=0,$W110,IF(AND($S110&lt;&gt;"",EDATE($D110,Milestones!$AA$90)&gt;=$S110),$V110,IF(AND($R110&lt;&gt;"",EDATE($D110,Milestones!$AA$90)&gt;=$R110),$U110,$T110)))=Milestones!$AB$90),TEXT(EDATE($D110,Milestones!$AA$90),"dd/mm/yy")&amp;" "&amp;Milestones!$AB$90&amp;" "&amp;Milestones!$AC$90&amp;";  ","")&amp;IF(AND(EDATE($D110,Milestones!$AA$91)&lt;=AsOfDate,IF($Q110=0,$W110,IF(AND($S110&lt;&gt;"",EDATE($D110,Milestones!$AA$91)&gt;=$S110),$V110,IF(AND($R110&lt;&gt;"",EDATE($D110,Milestones!$AA$91)&gt;=$R110),$U110,$T110)))=Milestones!$AB$91),TEXT(EDATE($D110,Milestones!$AA$91),"dd/mm/yy")&amp;" "&amp;Milestones!$AB$91&amp;" "&amp;Milestones!$AC$91&amp;";  ","")&amp;IF(AND(EDATE($D110,Milestones!$AA$92)&lt;=AsOfDate,IF($Q110=0,$W110,IF(AND($S110&lt;&gt;"",EDATE($D110,Milestones!$AA$92)&gt;=$S110),$V110,IF(AND($R110&lt;&gt;"",EDATE($D110,Milestones!$AA$92)&gt;=$R110),$U110,$T110)))=Milestones!$AB$92),TEXT(EDATE($D110,Milestones!$AA$92),"dd/mm/yy")&amp;" "&amp;Milestones!$AB$92&amp;" "&amp;Milestones!$AC$92&amp;";  ","")&amp;IF(AND(EDATE($D110,Milestones!$AA$93)&lt;=AsOfDate,IF($Q110=0,$W110,IF(AND($S110&lt;&gt;"",EDATE($D110,Milestones!$AA$93)&gt;=$S110),$V110,IF(AND($R110&lt;&gt;"",EDATE($D110,Milestones!$AA$93)&gt;=$R110),$U110,$T110)))=Milestones!$AB$93),TEXT(EDATE($D110,Milestones!$AA$93),"dd/mm/yy")&amp;" "&amp;Milestones!$AB$93&amp;" "&amp;Milestones!$AC$93&amp;";  ","")&amp;IF(AND(EDATE($D110,Milestones!$AA$94)&lt;=AsOfDate,IF($Q110=0,$W110,IF(AND($S110&lt;&gt;"",EDATE($D110,Milestones!$AA$94)&gt;=$S110),$V110,IF(AND($R110&lt;&gt;"",EDATE($D110,Milestones!$AA$94)&gt;=$R110),$U110,$T110)))=Milestones!$AB$94),TEXT(EDATE($D110,Milestones!$AA$94),"dd/mm/yy")&amp;" "&amp;Milestones!$AB$94&amp;" "&amp;Milestones!$AC$94&amp;";  ","")&amp;IF(AND(EDATE($D110,Milestones!$AA$95)&lt;=AsOfDate,IF($Q110=0,$W110,IF(AND($S110&lt;&gt;"",EDATE($D110,Milestones!$AA$95)&gt;=$S110),$V110,IF(AND($R110&lt;&gt;"",EDATE($D110,Milestones!$AA$95)&gt;=$R110),$U110,$T110)))=Milestones!$AB$95),TEXT(EDATE($D110,Milestones!$AA$95),"dd/mm/yy")&amp;" "&amp;Milestones!$AB$95&amp;" "&amp;Milestones!$AC$95&amp;";  ","")&amp;IF(AND(EDATE($D110,Milestones!$AA$96)&lt;=AsOfDate,IF($Q110=0,$W110,IF(AND($S110&lt;&gt;"",EDATE($D110,Milestones!$AA$96)&gt;=$S110),$V110,IF(AND($R110&lt;&gt;"",EDATE($D110,Milestones!$AA$96)&gt;=$R110),$U110,$T110)))=Milestones!$AB$96),TEXT(EDATE($D110,Milestones!$AA$96),"dd/mm/yy")&amp;" "&amp;Milestones!$AB$96&amp;" "&amp;Milestones!$AC$96&amp;";  ","")&amp;IF(AND(EDATE($D110,Milestones!$AA$97)&lt;=AsOfDate,IF($Q110=0,$W110,IF(AND($S110&lt;&gt;"",EDATE($D110,Milestones!$AA$97)&gt;=$S110),$V110,IF(AND($R110&lt;&gt;"",EDATE($D110,Milestones!$AA$97)&gt;=$R110),$U110,$T110)))=Milestones!$AB$97),TEXT(EDATE($D110,Milestones!$AA$97),"dd/mm/yy")&amp;" "&amp;Milestones!$AB$97&amp;" "&amp;Milestones!$AC$97&amp;";  ","")&amp;IF(AND(EDATE($D110,Milestones!$AA$98)&lt;=AsOfDate,IF($Q110=0,$W110,IF(AND($S110&lt;&gt;"",EDATE($D110,Milestones!$AA$98)&gt;=$S110),$V110,IF(AND($R110&lt;&gt;"",EDATE($D110,Milestones!$AA$98)&gt;=$R110),$U110,$T110)))=Milestones!$AB$98),TEXT(EDATE($D110,Milestones!$AA$98),"dd/mm/yy")&amp;" "&amp;Milestones!$AB$98&amp;" "&amp;Milestones!$AC$98&amp;";  ","")&amp;IF(AND(EDATE($D110,Milestones!$AA$99)&lt;=AsOfDate,IF($Q110=0,$W110,IF(AND($S110&lt;&gt;"",EDATE($D110,Milestones!$AA$99)&gt;=$S110),$V110,IF(AND($R110&lt;&gt;"",EDATE($D110,Milestones!$AA$99)&gt;=$R110),$U110,$T110)))=Milestones!$AB$99),TEXT(EDATE($D110,Milestones!$AA$99),"dd/mm/yy")&amp;" "&amp;Milestones!$AB$99&amp;" "&amp;Milestones!$AC$99&amp;";  ",""))</f>
        <v/>
      </c>
      <c r="L110" s="0" t="str">
        <f aca="false">IF(OR($A110="",$D110=""),"",IF(AND(EDATE($D110,Milestones!$AA$100)&lt;=AsOfDate,IF($Q110=0,$W110,IF(AND($S110&lt;&gt;"",EDATE($D110,Milestones!$AA$100)&gt;=$S110),$V110,IF(AND($R110&lt;&gt;"",EDATE($D110,Milestones!$AA$100)&gt;=$R110),$U110,$T110)))=Milestones!$AB$100),TEXT(EDATE($D110,Milestones!$AA$100),"dd/mm/yy")&amp;" "&amp;Milestones!$AB$100&amp;" "&amp;Milestones!$AC$100&amp;";  ","")&amp;IF(AND(EDATE($D110,Milestones!$AA$101)&lt;=AsOfDate,IF($Q110=0,$W110,IF(AND($S110&lt;&gt;"",EDATE($D110,Milestones!$AA$101)&gt;=$S110),$V110,IF(AND($R110&lt;&gt;"",EDATE($D110,Milestones!$AA$101)&gt;=$R110),$U110,$T110)))=Milestones!$AB$101),TEXT(EDATE($D110,Milestones!$AA$101),"dd/mm/yy")&amp;" "&amp;Milestones!$AB$101&amp;" "&amp;Milestones!$AC$101&amp;";  ","")&amp;IF(AND(EDATE($D110,Milestones!$AA$102)&lt;=AsOfDate,IF($Q110=0,$W110,IF(AND($S110&lt;&gt;"",EDATE($D110,Milestones!$AA$102)&gt;=$S110),$V110,IF(AND($R110&lt;&gt;"",EDATE($D110,Milestones!$AA$102)&gt;=$R110),$U110,$T110)))=Milestones!$AB$102),TEXT(EDATE($D110,Milestones!$AA$102),"dd/mm/yy")&amp;" "&amp;Milestones!$AB$102&amp;" "&amp;Milestones!$AC$102&amp;";  ","")&amp;IF(AND(EDATE($D110,Milestones!$AA$103)&lt;=AsOfDate,IF($Q110=0,$W110,IF(AND($S110&lt;&gt;"",EDATE($D110,Milestones!$AA$103)&gt;=$S110),$V110,IF(AND($R110&lt;&gt;"",EDATE($D110,Milestones!$AA$103)&gt;=$R110),$U110,$T110)))=Milestones!$AB$103),TEXT(EDATE($D110,Milestones!$AA$103),"dd/mm/yy")&amp;" "&amp;Milestones!$AB$103&amp;" "&amp;Milestones!$AC$103&amp;";  ","")&amp;IF(AND(EDATE($D110,Milestones!$AA$104)&lt;=AsOfDate,IF($Q110=0,$W110,IF(AND($S110&lt;&gt;"",EDATE($D110,Milestones!$AA$104)&gt;=$S110),$V110,IF(AND($R110&lt;&gt;"",EDATE($D110,Milestones!$AA$104)&gt;=$R110),$U110,$T110)))=Milestones!$AB$104),TEXT(EDATE($D110,Milestones!$AA$104),"dd/mm/yy")&amp;" "&amp;Milestones!$AB$104&amp;" "&amp;Milestones!$AC$104&amp;";  ","")&amp;IF(AND(EDATE($D110,Milestones!$AA$105)&lt;=AsOfDate,IF($Q110=0,$W110,IF(AND($S110&lt;&gt;"",EDATE($D110,Milestones!$AA$105)&gt;=$S110),$V110,IF(AND($R110&lt;&gt;"",EDATE($D110,Milestones!$AA$105)&gt;=$R110),$U110,$T110)))=Milestones!$AB$105),TEXT(EDATE($D110,Milestones!$AA$105),"dd/mm/yy")&amp;" "&amp;Milestones!$AB$105&amp;" "&amp;Milestones!$AC$105&amp;";  ","")&amp;IF(AND(EDATE($D110,Milestones!$AA$106)&lt;=AsOfDate,IF($Q110=0,$W110,IF(AND($S110&lt;&gt;"",EDATE($D110,Milestones!$AA$106)&gt;=$S110),$V110,IF(AND($R110&lt;&gt;"",EDATE($D110,Milestones!$AA$106)&gt;=$R110),$U110,$T110)))=Milestones!$AB$106),TEXT(EDATE($D110,Milestones!$AA$106),"dd/mm/yy")&amp;" "&amp;Milestones!$AB$106&amp;" "&amp;Milestones!$AC$106&amp;";  ","")&amp;IF(AND(EDATE($D110,Milestones!$AA$107)&lt;=AsOfDate,IF($Q110=0,$W110,IF(AND($S110&lt;&gt;"",EDATE($D110,Milestones!$AA$107)&gt;=$S110),$V110,IF(AND($R110&lt;&gt;"",EDATE($D110,Milestones!$AA$107)&gt;=$R110),$U110,$T110)))=Milestones!$AB$107),TEXT(EDATE($D110,Milestones!$AA$107),"dd/mm/yy")&amp;" "&amp;Milestones!$AB$107&amp;" "&amp;Milestones!$AC$107&amp;";  ","")&amp;IF(AND(EDATE($D110,Milestones!$AA$108)&lt;=AsOfDate,IF($Q110=0,$W110,IF(AND($S110&lt;&gt;"",EDATE($D110,Milestones!$AA$108)&gt;=$S110),$V110,IF(AND($R110&lt;&gt;"",EDATE($D110,Milestones!$AA$108)&gt;=$R110),$U110,$T110)))=Milestones!$AB$108),TEXT(EDATE($D110,Milestones!$AA$108),"dd/mm/yy")&amp;" "&amp;Milestones!$AB$108&amp;" "&amp;Milestones!$AC$108&amp;";  ","")&amp;IF(AND(EDATE($D110,Milestones!$AA$109)&lt;=AsOfDate,IF($Q110=0,$W110,IF(AND($S110&lt;&gt;"",EDATE($D110,Milestones!$AA$109)&gt;=$S110),$V110,IF(AND($R110&lt;&gt;"",EDATE($D110,Milestones!$AA$109)&gt;=$R110),$U110,$T110)))=Milestones!$AB$109),TEXT(EDATE($D110,Milestones!$AA$109),"dd/mm/yy")&amp;" "&amp;Milestones!$AB$109&amp;" "&amp;Milestones!$AC$109&amp;";  ","")&amp;IF(AND(EDATE($D110,Milestones!$AA$110)&lt;=AsOfDate,IF($Q110=0,$W110,IF(AND($S110&lt;&gt;"",EDATE($D110,Milestones!$AA$110)&gt;=$S110),$V110,IF(AND($R110&lt;&gt;"",EDATE($D110,Milestones!$AA$110)&gt;=$R110),$U110,$T110)))=Milestones!$AB$110),TEXT(EDATE($D110,Milestones!$AA$110),"dd/mm/yy")&amp;" "&amp;Milestones!$AB$110&amp;" "&amp;Milestones!$AC$110&amp;";  ","")&amp;IF(AND(EDATE($D110,Milestones!$AA$111)&lt;=AsOfDate,IF($Q110=0,$W110,IF(AND($S110&lt;&gt;"",EDATE($D110,Milestones!$AA$111)&gt;=$S110),$V110,IF(AND($R110&lt;&gt;"",EDATE($D110,Milestones!$AA$111)&gt;=$R110),$U110,$T110)))=Milestones!$AB$111),TEXT(EDATE($D110,Milestones!$AA$111),"dd/mm/yy")&amp;" "&amp;Milestones!$AB$111&amp;" "&amp;Milestones!$AC$111&amp;";  ","")&amp;IF(AND(EDATE($D110,Milestones!$AA$112)&lt;=AsOfDate,IF($Q110=0,$W110,IF(AND($S110&lt;&gt;"",EDATE($D110,Milestones!$AA$112)&gt;=$S110),$V110,IF(AND($R110&lt;&gt;"",EDATE($D110,Milestones!$AA$112)&gt;=$R110),$U110,$T110)))=Milestones!$AB$112),TEXT(EDATE($D110,Milestones!$AA$112),"dd/mm/yy")&amp;" "&amp;Milestones!$AB$112&amp;" "&amp;Milestones!$AC$112&amp;";  ","")&amp;IF(AND(EDATE($D110,Milestones!$AA$113)&lt;=AsOfDate,IF($Q110=0,$W110,IF(AND($S110&lt;&gt;"",EDATE($D110,Milestones!$AA$113)&gt;=$S110),$V110,IF(AND($R110&lt;&gt;"",EDATE($D110,Milestones!$AA$113)&gt;=$R110),$U110,$T110)))=Milestones!$AB$113),TEXT(EDATE($D110,Milestones!$AA$113),"dd/mm/yy")&amp;" "&amp;Milestones!$AB$113&amp;" "&amp;Milestones!$AC$113&amp;";  ","")&amp;IF(AND(EDATE($D110,Milestones!$AA$114)&lt;=AsOfDate,IF($Q110=0,$W110,IF(AND($S110&lt;&gt;"",EDATE($D110,Milestones!$AA$114)&gt;=$S110),$V110,IF(AND($R110&lt;&gt;"",EDATE($D110,Milestones!$AA$114)&gt;=$R110),$U110,$T110)))=Milestones!$AB$114),TEXT(EDATE($D110,Milestones!$AA$114),"dd/mm/yy")&amp;" "&amp;Milestones!$AB$114&amp;" "&amp;Milestones!$AC$114&amp;";  ","")&amp;IF(AND(EDATE($D110,Milestones!$AA$115)&lt;=AsOfDate,IF($Q110=0,$W110,IF(AND($S110&lt;&gt;"",EDATE($D110,Milestones!$AA$115)&gt;=$S110),$V110,IF(AND($R110&lt;&gt;"",EDATE($D110,Milestones!$AA$115)&gt;=$R110),$U110,$T110)))=Milestones!$AB$115),TEXT(EDATE($D110,Milestones!$AA$115),"dd/mm/yy")&amp;" "&amp;Milestones!$AB$115&amp;" "&amp;Milestones!$AC$115&amp;";  ","")&amp;IF(AND(EDATE($D110,Milestones!$AA$116)&lt;=AsOfDate,IF($Q110=0,$W110,IF(AND($S110&lt;&gt;"",EDATE($D110,Milestones!$AA$116)&gt;=$S110),$V110,IF(AND($R110&lt;&gt;"",EDATE($D110,Milestones!$AA$116)&gt;=$R110),$U110,$T110)))=Milestones!$AB$116),TEXT(EDATE($D110,Milestones!$AA$116),"dd/mm/yy")&amp;" "&amp;Milestones!$AB$116&amp;" "&amp;Milestones!$AC$116&amp;";  ","")&amp;IF(AND(EDATE($D110,Milestones!$AA$117)&lt;=AsOfDate,IF($Q110=0,$W110,IF(AND($S110&lt;&gt;"",EDATE($D110,Milestones!$AA$117)&gt;=$S110),$V110,IF(AND($R110&lt;&gt;"",EDATE($D110,Milestones!$AA$117)&gt;=$R110),$U110,$T110)))=Milestones!$AB$117),TEXT(EDATE($D110,Milestones!$AA$117),"dd/mm/yy")&amp;" "&amp;Milestones!$AB$117&amp;" "&amp;Milestones!$AC$117&amp;";  ","")&amp;IF(AND(EDATE($D110,Milestones!$AA$118)&lt;=AsOfDate,IF($Q110=0,$W110,IF(AND($S110&lt;&gt;"",EDATE($D110,Milestones!$AA$118)&gt;=$S110),$V110,IF(AND($R110&lt;&gt;"",EDATE($D110,Milestones!$AA$118)&gt;=$R110),$U110,$T110)))=Milestones!$AB$118),TEXT(EDATE($D110,Milestones!$AA$118),"dd/mm/yy")&amp;" "&amp;Milestones!$AB$118&amp;" "&amp;Milestones!$AC$118&amp;";  ","")&amp;IF(AND(EDATE($D110,Milestones!$AA$119)&lt;=AsOfDate,IF($Q110=0,$W110,IF(AND($S110&lt;&gt;"",EDATE($D110,Milestones!$AA$119)&gt;=$S110),$V110,IF(AND($R110&lt;&gt;"",EDATE($D110,Milestones!$AA$119)&gt;=$R110),$U110,$T110)))=Milestones!$AB$119),TEXT(EDATE($D110,Milestones!$AA$119),"dd/mm/yy")&amp;" "&amp;Milestones!$AB$119&amp;" "&amp;Milestones!$AC$119&amp;";  ",""))</f>
        <v/>
      </c>
      <c r="M110" s="0" t="str">
        <f aca="false">IF(OR($A110="",$D110=""),"",IF(AND(EDATE($D110,Milestones!$AA$120)&lt;=AsOfDate,IF($Q110=0,$W110,IF(AND($S110&lt;&gt;"",EDATE($D110,Milestones!$AA$120)&gt;=$S110),$V110,IF(AND($R110&lt;&gt;"",EDATE($D110,Milestones!$AA$120)&gt;=$R110),$U110,$T110)))=Milestones!$AB$120),TEXT(EDATE($D110,Milestones!$AA$120),"dd/mm/yy")&amp;" "&amp;Milestones!$AB$120&amp;" "&amp;Milestones!$AC$120&amp;";  ","")&amp;IF(AND(EDATE($D110,Milestones!$AA$121)&lt;=AsOfDate,IF($Q110=0,$W110,IF(AND($S110&lt;&gt;"",EDATE($D110,Milestones!$AA$121)&gt;=$S110),$V110,IF(AND($R110&lt;&gt;"",EDATE($D110,Milestones!$AA$121)&gt;=$R110),$U110,$T110)))=Milestones!$AB$121),TEXT(EDATE($D110,Milestones!$AA$121),"dd/mm/yy")&amp;" "&amp;Milestones!$AB$121&amp;" "&amp;Milestones!$AC$121&amp;";  ","")&amp;IF(AND(EDATE($D110,Milestones!$AA$122)&lt;=AsOfDate,IF($Q110=0,$W110,IF(AND($S110&lt;&gt;"",EDATE($D110,Milestones!$AA$122)&gt;=$S110),$V110,IF(AND($R110&lt;&gt;"",EDATE($D110,Milestones!$AA$122)&gt;=$R110),$U110,$T110)))=Milestones!$AB$122),TEXT(EDATE($D110,Milestones!$AA$122),"dd/mm/yy")&amp;" "&amp;Milestones!$AB$122&amp;" "&amp;Milestones!$AC$122&amp;";  ","")&amp;IF(AND(EDATE($D110,Milestones!$AA$123)&lt;=AsOfDate,IF($Q110=0,$W110,IF(AND($S110&lt;&gt;"",EDATE($D110,Milestones!$AA$123)&gt;=$S110),$V110,IF(AND($R110&lt;&gt;"",EDATE($D110,Milestones!$AA$123)&gt;=$R110),$U110,$T110)))=Milestones!$AB$123),TEXT(EDATE($D110,Milestones!$AA$123),"dd/mm/yy")&amp;" "&amp;Milestones!$AB$123&amp;" "&amp;Milestones!$AC$123&amp;";  ","")&amp;IF(AND(EDATE($D110,Milestones!$AA$124)&lt;=AsOfDate,IF($Q110=0,$W110,IF(AND($S110&lt;&gt;"",EDATE($D110,Milestones!$AA$124)&gt;=$S110),$V110,IF(AND($R110&lt;&gt;"",EDATE($D110,Milestones!$AA$124)&gt;=$R110),$U110,$T110)))=Milestones!$AB$124),TEXT(EDATE($D110,Milestones!$AA$124),"dd/mm/yy")&amp;" "&amp;Milestones!$AB$124&amp;" "&amp;Milestones!$AC$124&amp;";  ","")&amp;IF(AND(EDATE($D110,Milestones!$AA$125)&lt;=AsOfDate,IF($Q110=0,$W110,IF(AND($S110&lt;&gt;"",EDATE($D110,Milestones!$AA$125)&gt;=$S110),$V110,IF(AND($R110&lt;&gt;"",EDATE($D110,Milestones!$AA$125)&gt;=$R110),$U110,$T110)))=Milestones!$AB$125),TEXT(EDATE($D110,Milestones!$AA$125),"dd/mm/yy")&amp;" "&amp;Milestones!$AB$125&amp;" "&amp;Milestones!$AC$125&amp;";  ","")&amp;IF(AND(EDATE($D110,Milestones!$AA$126)&lt;=AsOfDate,IF($Q110=0,$W110,IF(AND($S110&lt;&gt;"",EDATE($D110,Milestones!$AA$126)&gt;=$S110),$V110,IF(AND($R110&lt;&gt;"",EDATE($D110,Milestones!$AA$126)&gt;=$R110),$U110,$T110)))=Milestones!$AB$126),TEXT(EDATE($D110,Milestones!$AA$126),"dd/mm/yy")&amp;" "&amp;Milestones!$AB$126&amp;" "&amp;Milestones!$AC$126&amp;";  ","")&amp;IF(AND(EDATE($D110,Milestones!$AA$127)&lt;=AsOfDate,IF($Q110=0,$W110,IF(AND($S110&lt;&gt;"",EDATE($D110,Milestones!$AA$127)&gt;=$S110),$V110,IF(AND($R110&lt;&gt;"",EDATE($D110,Milestones!$AA$127)&gt;=$R110),$U110,$T110)))=Milestones!$AB$127),TEXT(EDATE($D110,Milestones!$AA$127),"dd/mm/yy")&amp;" "&amp;Milestones!$AB$127&amp;" "&amp;Milestones!$AC$127&amp;";  ","")&amp;IF(AND(EDATE($D110,Milestones!$AA$128)&lt;=AsOfDate,IF($Q110=0,$W110,IF(AND($S110&lt;&gt;"",EDATE($D110,Milestones!$AA$128)&gt;=$S110),$V110,IF(AND($R110&lt;&gt;"",EDATE($D110,Milestones!$AA$128)&gt;=$R110),$U110,$T110)))=Milestones!$AB$128),TEXT(EDATE($D110,Milestones!$AA$128),"dd/mm/yy")&amp;" "&amp;Milestones!$AB$128&amp;" "&amp;Milestones!$AC$128&amp;";  ","")&amp;IF(AND(EDATE($D110,Milestones!$AA$129)&lt;=AsOfDate,IF($Q110=0,$W110,IF(AND($S110&lt;&gt;"",EDATE($D110,Milestones!$AA$129)&gt;=$S110),$V110,IF(AND($R110&lt;&gt;"",EDATE($D110,Milestones!$AA$129)&gt;=$R110),$U110,$T110)))=Milestones!$AB$129),TEXT(EDATE($D110,Milestones!$AA$129),"dd/mm/yy")&amp;" "&amp;Milestones!$AB$129&amp;" "&amp;Milestones!$AC$129&amp;";  ","")&amp;IF(AND(EDATE($D110,Milestones!$AA$130)&lt;=AsOfDate,IF($Q110=0,$W110,IF(AND($S110&lt;&gt;"",EDATE($D110,Milestones!$AA$130)&gt;=$S110),$V110,IF(AND($R110&lt;&gt;"",EDATE($D110,Milestones!$AA$130)&gt;=$R110),$U110,$T110)))=Milestones!$AB$130),TEXT(EDATE($D110,Milestones!$AA$130),"dd/mm/yy")&amp;" "&amp;Milestones!$AB$130&amp;" "&amp;Milestones!$AC$130&amp;";  ","")&amp;IF(AND(EDATE($D110,Milestones!$AA$131)&lt;=AsOfDate,IF($Q110=0,$W110,IF(AND($S110&lt;&gt;"",EDATE($D110,Milestones!$AA$131)&gt;=$S110),$V110,IF(AND($R110&lt;&gt;"",EDATE($D110,Milestones!$AA$131)&gt;=$R110),$U110,$T110)))=Milestones!$AB$131),TEXT(EDATE($D110,Milestones!$AA$131),"dd/mm/yy")&amp;" "&amp;Milestones!$AB$131&amp;" "&amp;Milestones!$AC$131&amp;";  ","")&amp;IF(AND(EDATE($D110,Milestones!$AA$132)&lt;=AsOfDate,IF($Q110=0,$W110,IF(AND($S110&lt;&gt;"",EDATE($D110,Milestones!$AA$132)&gt;=$S110),$V110,IF(AND($R110&lt;&gt;"",EDATE($D110,Milestones!$AA$132)&gt;=$R110),$U110,$T110)))=Milestones!$AB$132),TEXT(EDATE($D110,Milestones!$AA$132),"dd/mm/yy")&amp;" "&amp;Milestones!$AB$132&amp;" "&amp;Milestones!$AC$132&amp;";  ","")&amp;IF(AND(EDATE($D110,Milestones!$AA$133)&lt;=AsOfDate,IF($Q110=0,$W110,IF(AND($S110&lt;&gt;"",EDATE($D110,Milestones!$AA$133)&gt;=$S110),$V110,IF(AND($R110&lt;&gt;"",EDATE($D110,Milestones!$AA$133)&gt;=$R110),$U110,$T110)))=Milestones!$AB$133),TEXT(EDATE($D110,Milestones!$AA$133),"dd/mm/yy")&amp;" "&amp;Milestones!$AB$133&amp;" "&amp;Milestones!$AC$133&amp;";  ","")&amp;IF(AND(EDATE($D110,Milestones!$AA$134)&lt;=AsOfDate,IF($Q110=0,$W110,IF(AND($S110&lt;&gt;"",EDATE($D110,Milestones!$AA$134)&gt;=$S110),$V110,IF(AND($R110&lt;&gt;"",EDATE($D110,Milestones!$AA$134)&gt;=$R110),$U110,$T110)))=Milestones!$AB$134),TEXT(EDATE($D110,Milestones!$AA$134),"dd/mm/yy")&amp;" "&amp;Milestones!$AB$134&amp;" "&amp;Milestones!$AC$134&amp;";  ","")&amp;IF(AND(EDATE($D110,Milestones!$AA$135)&lt;=AsOfDate,IF($Q110=0,$W110,IF(AND($S110&lt;&gt;"",EDATE($D110,Milestones!$AA$135)&gt;=$S110),$V110,IF(AND($R110&lt;&gt;"",EDATE($D110,Milestones!$AA$135)&gt;=$R110),$U110,$T110)))=Milestones!$AB$135),TEXT(EDATE($D110,Milestones!$AA$135),"dd/mm/yy")&amp;" "&amp;Milestones!$AB$135&amp;" "&amp;Milestones!$AC$135&amp;";  ","")&amp;IF(AND(EDATE($D110,Milestones!$AA$136)&lt;=AsOfDate,IF($Q110=0,$W110,IF(AND($S110&lt;&gt;"",EDATE($D110,Milestones!$AA$136)&gt;=$S110),$V110,IF(AND($R110&lt;&gt;"",EDATE($D110,Milestones!$AA$136)&gt;=$R110),$U110,$T110)))=Milestones!$AB$136),TEXT(EDATE($D110,Milestones!$AA$136),"dd/mm/yy")&amp;" "&amp;Milestones!$AB$136&amp;" "&amp;Milestones!$AC$136&amp;";  ","")&amp;IF(AND(EDATE($D110,Milestones!$AA$137)&lt;=AsOfDate,IF($Q110=0,$W110,IF(AND($S110&lt;&gt;"",EDATE($D110,Milestones!$AA$137)&gt;=$S110),$V110,IF(AND($R110&lt;&gt;"",EDATE($D110,Milestones!$AA$137)&gt;=$R110),$U110,$T110)))=Milestones!$AB$137),TEXT(EDATE($D110,Milestones!$AA$137),"dd/mm/yy")&amp;" "&amp;Milestones!$AB$137&amp;" "&amp;Milestones!$AC$137&amp;";  ","")&amp;IF(AND(EDATE($D110,Milestones!$AA$138)&lt;=AsOfDate,IF($Q110=0,$W110,IF(AND($S110&lt;&gt;"",EDATE($D110,Milestones!$AA$138)&gt;=$S110),$V110,IF(AND($R110&lt;&gt;"",EDATE($D110,Milestones!$AA$138)&gt;=$R110),$U110,$T110)))=Milestones!$AB$138),TEXT(EDATE($D110,Milestones!$AA$138),"dd/mm/yy")&amp;" "&amp;Milestones!$AB$138&amp;" "&amp;Milestones!$AC$138&amp;";  ","")&amp;IF(AND(EDATE($D110,Milestones!$AA$139)&lt;=AsOfDate,IF($Q110=0,$W110,IF(AND($S110&lt;&gt;"",EDATE($D110,Milestones!$AA$139)&gt;=$S110),$V110,IF(AND($R110&lt;&gt;"",EDATE($D110,Milestones!$AA$139)&gt;=$R110),$U110,$T110)))=Milestones!$AB$139),TEXT(EDATE($D110,Milestones!$AA$139),"dd/mm/yy")&amp;" "&amp;Milestones!$AB$139&amp;" "&amp;Milestones!$AC$139&amp;";  ",""))</f>
        <v/>
      </c>
      <c r="N110" s="0" t="str">
        <f aca="false">IF(OR($A110="",$D110=""),"",IF(AND(EDATE($D110,Milestones!$AA$140)&lt;=AsOfDate,IF($Q110=0,$W110,IF(AND($S110&lt;&gt;"",EDATE($D110,Milestones!$AA$140)&gt;=$S110),$V110,IF(AND($R110&lt;&gt;"",EDATE($D110,Milestones!$AA$140)&gt;=$R110),$U110,$T110)))=Milestones!$AB$140),TEXT(EDATE($D110,Milestones!$AA$140),"dd/mm/yy")&amp;" "&amp;Milestones!$AB$140&amp;" "&amp;Milestones!$AC$140&amp;";  ","")&amp;IF(AND(EDATE($D110,Milestones!$AA$141)&lt;=AsOfDate,IF($Q110=0,$W110,IF(AND($S110&lt;&gt;"",EDATE($D110,Milestones!$AA$141)&gt;=$S110),$V110,IF(AND($R110&lt;&gt;"",EDATE($D110,Milestones!$AA$141)&gt;=$R110),$U110,$T110)))=Milestones!$AB$141),TEXT(EDATE($D110,Milestones!$AA$141),"dd/mm/yy")&amp;" "&amp;Milestones!$AB$141&amp;" "&amp;Milestones!$AC$141&amp;";  ","")&amp;IF(AND(EDATE($D110,Milestones!$AA$142)&lt;=AsOfDate,IF($Q110=0,$W110,IF(AND($S110&lt;&gt;"",EDATE($D110,Milestones!$AA$142)&gt;=$S110),$V110,IF(AND($R110&lt;&gt;"",EDATE($D110,Milestones!$AA$142)&gt;=$R110),$U110,$T110)))=Milestones!$AB$142),TEXT(EDATE($D110,Milestones!$AA$142),"dd/mm/yy")&amp;" "&amp;Milestones!$AB$142&amp;" "&amp;Milestones!$AC$142&amp;";  ","")&amp;IF(AND(EDATE($D110,Milestones!$AA$143)&lt;=AsOfDate,IF($Q110=0,$W110,IF(AND($S110&lt;&gt;"",EDATE($D110,Milestones!$AA$143)&gt;=$S110),$V110,IF(AND($R110&lt;&gt;"",EDATE($D110,Milestones!$AA$143)&gt;=$R110),$U110,$T110)))=Milestones!$AB$143),TEXT(EDATE($D110,Milestones!$AA$143),"dd/mm/yy")&amp;" "&amp;Milestones!$AB$143&amp;" "&amp;Milestones!$AC$143&amp;";  ","")&amp;IF(AND(EDATE($D110,Milestones!$AA$144)&lt;=AsOfDate,IF($Q110=0,$W110,IF(AND($S110&lt;&gt;"",EDATE($D110,Milestones!$AA$144)&gt;=$S110),$V110,IF(AND($R110&lt;&gt;"",EDATE($D110,Milestones!$AA$144)&gt;=$R110),$U110,$T110)))=Milestones!$AB$144),TEXT(EDATE($D110,Milestones!$AA$144),"dd/mm/yy")&amp;" "&amp;Milestones!$AB$144&amp;" "&amp;Milestones!$AC$144&amp;";  ","")&amp;IF(AND(EDATE($D110,Milestones!$AA$145)&lt;=AsOfDate,IF($Q110=0,$W110,IF(AND($S110&lt;&gt;"",EDATE($D110,Milestones!$AA$145)&gt;=$S110),$V110,IF(AND($R110&lt;&gt;"",EDATE($D110,Milestones!$AA$145)&gt;=$R110),$U110,$T110)))=Milestones!$AB$145),TEXT(EDATE($D110,Milestones!$AA$145),"dd/mm/yy")&amp;" "&amp;Milestones!$AB$145&amp;" "&amp;Milestones!$AC$145&amp;";  ","")&amp;IF(AND(EDATE($D110,Milestones!$AA$146)&lt;=AsOfDate,IF($Q110=0,$W110,IF(AND($S110&lt;&gt;"",EDATE($D110,Milestones!$AA$146)&gt;=$S110),$V110,IF(AND($R110&lt;&gt;"",EDATE($D110,Milestones!$AA$146)&gt;=$R110),$U110,$T110)))=Milestones!$AB$146),TEXT(EDATE($D110,Milestones!$AA$146),"dd/mm/yy")&amp;" "&amp;Milestones!$AB$146&amp;" "&amp;Milestones!$AC$146&amp;";  ","")&amp;IF(AND(EDATE($D110,Milestones!$AA$147)&lt;=AsOfDate,IF($Q110=0,$W110,IF(AND($S110&lt;&gt;"",EDATE($D110,Milestones!$AA$147)&gt;=$S110),$V110,IF(AND($R110&lt;&gt;"",EDATE($D110,Milestones!$AA$147)&gt;=$R110),$U110,$T110)))=Milestones!$AB$147),TEXT(EDATE($D110,Milestones!$AA$147),"dd/mm/yy")&amp;" "&amp;Milestones!$AB$147&amp;" "&amp;Milestones!$AC$147&amp;";  ","")&amp;IF(AND(EDATE($D110,Milestones!$AA$148)&lt;=AsOfDate,IF($Q110=0,$W110,IF(AND($S110&lt;&gt;"",EDATE($D110,Milestones!$AA$148)&gt;=$S110),$V110,IF(AND($R110&lt;&gt;"",EDATE($D110,Milestones!$AA$148)&gt;=$R110),$U110,$T110)))=Milestones!$AB$148),TEXT(EDATE($D110,Milestones!$AA$148),"dd/mm/yy")&amp;" "&amp;Milestones!$AB$148&amp;" "&amp;Milestones!$AC$148&amp;";  ","")&amp;IF(AND(EDATE($D110,Milestones!$AA$149)&lt;=AsOfDate,IF($Q110=0,$W110,IF(AND($S110&lt;&gt;"",EDATE($D110,Milestones!$AA$149)&gt;=$S110),$V110,IF(AND($R110&lt;&gt;"",EDATE($D110,Milestones!$AA$149)&gt;=$R110),$U110,$T110)))=Milestones!$AB$149),TEXT(EDATE($D110,Milestones!$AA$149),"dd/mm/yy")&amp;" "&amp;Milestones!$AB$149&amp;" "&amp;Milestones!$AC$149&amp;";  ","")&amp;IF(AND(EDATE($D110,Milestones!$AA$150)&lt;=AsOfDate,IF($Q110=0,$W110,IF(AND($S110&lt;&gt;"",EDATE($D110,Milestones!$AA$150)&gt;=$S110),$V110,IF(AND($R110&lt;&gt;"",EDATE($D110,Milestones!$AA$150)&gt;=$R110),$U110,$T110)))=Milestones!$AB$150),TEXT(EDATE($D110,Milestones!$AA$150),"dd/mm/yy")&amp;" "&amp;Milestones!$AB$150&amp;" "&amp;Milestones!$AC$150&amp;";  ","")&amp;IF(AND(EDATE($D110,Milestones!$AA$151)&lt;=AsOfDate,IF($Q110=0,$W110,IF(AND($S110&lt;&gt;"",EDATE($D110,Milestones!$AA$151)&gt;=$S110),$V110,IF(AND($R110&lt;&gt;"",EDATE($D110,Milestones!$AA$151)&gt;=$R110),$U110,$T110)))=Milestones!$AB$151),TEXT(EDATE($D110,Milestones!$AA$151),"dd/mm/yy")&amp;" "&amp;Milestones!$AB$151&amp;" "&amp;Milestones!$AC$151&amp;";  ","")&amp;IF(AND(EDATE($D110,Milestones!$AA$152)&lt;=AsOfDate,IF($Q110=0,$W110,IF(AND($S110&lt;&gt;"",EDATE($D110,Milestones!$AA$152)&gt;=$S110),$V110,IF(AND($R110&lt;&gt;"",EDATE($D110,Milestones!$AA$152)&gt;=$R110),$U110,$T110)))=Milestones!$AB$152),TEXT(EDATE($D110,Milestones!$AA$152),"dd/mm/yy")&amp;" "&amp;Milestones!$AB$152&amp;" "&amp;Milestones!$AC$152&amp;";  ","")&amp;IF(AND(EDATE($D110,Milestones!$AA$153)&lt;=AsOfDate,IF($Q110=0,$W110,IF(AND($S110&lt;&gt;"",EDATE($D110,Milestones!$AA$153)&gt;=$S110),$V110,IF(AND($R110&lt;&gt;"",EDATE($D110,Milestones!$AA$153)&gt;=$R110),$U110,$T110)))=Milestones!$AB$153),TEXT(EDATE($D110,Milestones!$AA$153),"dd/mm/yy")&amp;" "&amp;Milestones!$AB$153&amp;" "&amp;Milestones!$AC$153&amp;";  ","")&amp;IF(AND(EDATE($D110,Milestones!$AA$154)&lt;=AsOfDate,IF($Q110=0,$W110,IF(AND($S110&lt;&gt;"",EDATE($D110,Milestones!$AA$154)&gt;=$S110),$V110,IF(AND($R110&lt;&gt;"",EDATE($D110,Milestones!$AA$154)&gt;=$R110),$U110,$T110)))=Milestones!$AB$154),TEXT(EDATE($D110,Milestones!$AA$154),"dd/mm/yy")&amp;" "&amp;Milestones!$AB$154&amp;" "&amp;Milestones!$AC$154&amp;";  ","")&amp;IF(AND(EDATE($D110,Milestones!$AA$155)&lt;=AsOfDate,IF($Q110=0,$W110,IF(AND($S110&lt;&gt;"",EDATE($D110,Milestones!$AA$155)&gt;=$S110),$V110,IF(AND($R110&lt;&gt;"",EDATE($D110,Milestones!$AA$155)&gt;=$R110),$U110,$T110)))=Milestones!$AB$155),TEXT(EDATE($D110,Milestones!$AA$155),"dd/mm/yy")&amp;" "&amp;Milestones!$AB$155&amp;" "&amp;Milestones!$AC$155&amp;";  ","")&amp;IF(AND(EDATE($D110,Milestones!$AA$156)&lt;=AsOfDate,IF($Q110=0,$W110,IF(AND($S110&lt;&gt;"",EDATE($D110,Milestones!$AA$156)&gt;=$S110),$V110,IF(AND($R110&lt;&gt;"",EDATE($D110,Milestones!$AA$156)&gt;=$R110),$U110,$T110)))=Milestones!$AB$156),TEXT(EDATE($D110,Milestones!$AA$156),"dd/mm/yy")&amp;" "&amp;Milestones!$AB$156&amp;" "&amp;Milestones!$AC$156&amp;";  ","")&amp;IF(AND(EDATE($D110,Milestones!$AA$157)&lt;=AsOfDate,IF($Q110=0,$W110,IF(AND($S110&lt;&gt;"",EDATE($D110,Milestones!$AA$157)&gt;=$S110),$V110,IF(AND($R110&lt;&gt;"",EDATE($D110,Milestones!$AA$157)&gt;=$R110),$U110,$T110)))=Milestones!$AB$157),TEXT(EDATE($D110,Milestones!$AA$157),"dd/mm/yy")&amp;" "&amp;Milestones!$AB$157&amp;" "&amp;Milestones!$AC$157&amp;";  ","")&amp;IF(AND(EDATE($D110,Milestones!$AA$158)&lt;=AsOfDate,IF($Q110=0,$W110,IF(AND($S110&lt;&gt;"",EDATE($D110,Milestones!$AA$158)&gt;=$S110),$V110,IF(AND($R110&lt;&gt;"",EDATE($D110,Milestones!$AA$158)&gt;=$R110),$U110,$T110)))=Milestones!$AB$158),TEXT(EDATE($D110,Milestones!$AA$158),"dd/mm/yy")&amp;" "&amp;Milestones!$AB$158&amp;" "&amp;Milestones!$AC$158&amp;";  ","")&amp;IF(AND(EDATE($D110,Milestones!$AA$159)&lt;=AsOfDate,IF($Q110=0,$W110,IF(AND($S110&lt;&gt;"",EDATE($D110,Milestones!$AA$159)&gt;=$S110),$V110,IF(AND($R110&lt;&gt;"",EDATE($D110,Milestones!$AA$159)&gt;=$R110),$U110,$T110)))=Milestones!$AB$159),TEXT(EDATE($D110,Milestones!$AA$159),"dd/mm/yy")&amp;" "&amp;Milestones!$AB$159&amp;" "&amp;Milestones!$AC$159&amp;";  ",""))</f>
        <v/>
      </c>
      <c r="O110" s="0" t="str">
        <f aca="false">IF(OR($A110="",$D110=""),"",IF(AND(EDATE($D110,Milestones!$AA$160)&lt;=AsOfDate,IF($Q110=0,$W110,IF(AND($S110&lt;&gt;"",EDATE($D110,Milestones!$AA$160)&gt;=$S110),$V110,IF(AND($R110&lt;&gt;"",EDATE($D110,Milestones!$AA$160)&gt;=$R110),$U110,$T110)))=Milestones!$AB$160),TEXT(EDATE($D110,Milestones!$AA$160),"dd/mm/yy")&amp;" "&amp;Milestones!$AB$160&amp;" "&amp;Milestones!$AC$160&amp;";  ","")&amp;IF(AND(EDATE($D110,Milestones!$AA$161)&lt;=AsOfDate,IF($Q110=0,$W110,IF(AND($S110&lt;&gt;"",EDATE($D110,Milestones!$AA$161)&gt;=$S110),$V110,IF(AND($R110&lt;&gt;"",EDATE($D110,Milestones!$AA$161)&gt;=$R110),$U110,$T110)))=Milestones!$AB$161),TEXT(EDATE($D110,Milestones!$AA$161),"dd/mm/yy")&amp;" "&amp;Milestones!$AB$161&amp;" "&amp;Milestones!$AC$161&amp;";  ","")&amp;IF(AND(EDATE($D110,Milestones!$AA$162)&lt;=AsOfDate,IF($Q110=0,$W110,IF(AND($S110&lt;&gt;"",EDATE($D110,Milestones!$AA$162)&gt;=$S110),$V110,IF(AND($R110&lt;&gt;"",EDATE($D110,Milestones!$AA$162)&gt;=$R110),$U110,$T110)))=Milestones!$AB$162),TEXT(EDATE($D110,Milestones!$AA$162),"dd/mm/yy")&amp;" "&amp;Milestones!$AB$162&amp;" "&amp;Milestones!$AC$162&amp;";  ","")&amp;IF(AND(EDATE($D110,Milestones!$AA$163)&lt;=AsOfDate,IF($Q110=0,$W110,IF(AND($S110&lt;&gt;"",EDATE($D110,Milestones!$AA$163)&gt;=$S110),$V110,IF(AND($R110&lt;&gt;"",EDATE($D110,Milestones!$AA$163)&gt;=$R110),$U110,$T110)))=Milestones!$AB$163),TEXT(EDATE($D110,Milestones!$AA$163),"dd/mm/yy")&amp;" "&amp;Milestones!$AB$163&amp;" "&amp;Milestones!$AC$163&amp;";  ","")&amp;IF(AND(EDATE($D110,Milestones!$AA$164)&lt;=AsOfDate,IF($Q110=0,$W110,IF(AND($S110&lt;&gt;"",EDATE($D110,Milestones!$AA$164)&gt;=$S110),$V110,IF(AND($R110&lt;&gt;"",EDATE($D110,Milestones!$AA$164)&gt;=$R110),$U110,$T110)))=Milestones!$AB$164),TEXT(EDATE($D110,Milestones!$AA$164),"dd/mm/yy")&amp;" "&amp;Milestones!$AB$164&amp;" "&amp;Milestones!$AC$164&amp;";  ","")&amp;IF(AND(EDATE($D110,Milestones!$AA$165)&lt;=AsOfDate,IF($Q110=0,$W110,IF(AND($S110&lt;&gt;"",EDATE($D110,Milestones!$AA$165)&gt;=$S110),$V110,IF(AND($R110&lt;&gt;"",EDATE($D110,Milestones!$AA$165)&gt;=$R110),$U110,$T110)))=Milestones!$AB$165),TEXT(EDATE($D110,Milestones!$AA$165),"dd/mm/yy")&amp;" "&amp;Milestones!$AB$165&amp;" "&amp;Milestones!$AC$165&amp;";  ","")&amp;IF(AND(EDATE($D110,Milestones!$AA$166)&lt;=AsOfDate,IF($Q110=0,$W110,IF(AND($S110&lt;&gt;"",EDATE($D110,Milestones!$AA$166)&gt;=$S110),$V110,IF(AND($R110&lt;&gt;"",EDATE($D110,Milestones!$AA$166)&gt;=$R110),$U110,$T110)))=Milestones!$AB$166),TEXT(EDATE($D110,Milestones!$AA$166),"dd/mm/yy")&amp;" "&amp;Milestones!$AB$166&amp;" "&amp;Milestones!$AC$166&amp;";  ","")&amp;IF(AND(EDATE($D110,Milestones!$AA$167)&lt;=AsOfDate,IF($Q110=0,$W110,IF(AND($S110&lt;&gt;"",EDATE($D110,Milestones!$AA$167)&gt;=$S110),$V110,IF(AND($R110&lt;&gt;"",EDATE($D110,Milestones!$AA$167)&gt;=$R110),$U110,$T110)))=Milestones!$AB$167),TEXT(EDATE($D110,Milestones!$AA$167),"dd/mm/yy")&amp;" "&amp;Milestones!$AB$167&amp;" "&amp;Milestones!$AC$167&amp;";  ","")&amp;IF(AND(EDATE($D110,Milestones!$AA$168)&lt;=AsOfDate,IF($Q110=0,$W110,IF(AND($S110&lt;&gt;"",EDATE($D110,Milestones!$AA$168)&gt;=$S110),$V110,IF(AND($R110&lt;&gt;"",EDATE($D110,Milestones!$AA$168)&gt;=$R110),$U110,$T110)))=Milestones!$AB$168),TEXT(EDATE($D110,Milestones!$AA$168),"dd/mm/yy")&amp;" "&amp;Milestones!$AB$168&amp;" "&amp;Milestones!$AC$168&amp;";  ","")&amp;IF(AND(EDATE($D110,Milestones!$AA$169)&lt;=AsOfDate,IF($Q110=0,$W110,IF(AND($S110&lt;&gt;"",EDATE($D110,Milestones!$AA$169)&gt;=$S110),$V110,IF(AND($R110&lt;&gt;"",EDATE($D110,Milestones!$AA$169)&gt;=$R110),$U110,$T110)))=Milestones!$AB$169),TEXT(EDATE($D110,Milestones!$AA$169),"dd/mm/yy")&amp;" "&amp;Milestones!$AB$169&amp;" "&amp;Milestones!$AC$169&amp;";  ","")&amp;IF(AND(EDATE($D110,Milestones!$AA$170)&lt;=AsOfDate,IF($Q110=0,$W110,IF(AND($S110&lt;&gt;"",EDATE($D110,Milestones!$AA$170)&gt;=$S110),$V110,IF(AND($R110&lt;&gt;"",EDATE($D110,Milestones!$AA$170)&gt;=$R110),$U110,$T110)))=Milestones!$AB$170),TEXT(EDATE($D110,Milestones!$AA$170),"dd/mm/yy")&amp;" "&amp;Milestones!$AB$170&amp;" "&amp;Milestones!$AC$170&amp;";  ","")&amp;IF(AND(EDATE($D110,Milestones!$AA$171)&lt;=AsOfDate,IF($Q110=0,$W110,IF(AND($S110&lt;&gt;"",EDATE($D110,Milestones!$AA$171)&gt;=$S110),$V110,IF(AND($R110&lt;&gt;"",EDATE($D110,Milestones!$AA$171)&gt;=$R110),$U110,$T110)))=Milestones!$AB$171),TEXT(EDATE($D110,Milestones!$AA$171),"dd/mm/yy")&amp;" "&amp;Milestones!$AB$171&amp;" "&amp;Milestones!$AC$171&amp;";  ","")&amp;IF(AND(EDATE($D110,Milestones!$AA$172)&lt;=AsOfDate,IF($Q110=0,$W110,IF(AND($S110&lt;&gt;"",EDATE($D110,Milestones!$AA$172)&gt;=$S110),$V110,IF(AND($R110&lt;&gt;"",EDATE($D110,Milestones!$AA$172)&gt;=$R110),$U110,$T110)))=Milestones!$AB$172),TEXT(EDATE($D110,Milestones!$AA$172),"dd/mm/yy")&amp;" "&amp;Milestones!$AB$172&amp;" "&amp;Milestones!$AC$172&amp;";  ","")&amp;IF(AND(EDATE($D110,Milestones!$AA$173)&lt;=AsOfDate,IF($Q110=0,$W110,IF(AND($S110&lt;&gt;"",EDATE($D110,Milestones!$AA$173)&gt;=$S110),$V110,IF(AND($R110&lt;&gt;"",EDATE($D110,Milestones!$AA$173)&gt;=$R110),$U110,$T110)))=Milestones!$AB$173),TEXT(EDATE($D110,Milestones!$AA$173),"dd/mm/yy")&amp;" "&amp;Milestones!$AB$173&amp;" "&amp;Milestones!$AC$173&amp;";  ","")&amp;IF(AND(EDATE($D110,Milestones!$AA$174)&lt;=AsOfDate,IF($Q110=0,$W110,IF(AND($S110&lt;&gt;"",EDATE($D110,Milestones!$AA$174)&gt;=$S110),$V110,IF(AND($R110&lt;&gt;"",EDATE($D110,Milestones!$AA$174)&gt;=$R110),$U110,$T110)))=Milestones!$AB$174),TEXT(EDATE($D110,Milestones!$AA$174),"dd/mm/yy")&amp;" "&amp;Milestones!$AB$174&amp;" "&amp;Milestones!$AC$174&amp;";  ","")&amp;IF(AND(EDATE($D110,Milestones!$AA$175)&lt;=AsOfDate,IF($Q110=0,$W110,IF(AND($S110&lt;&gt;"",EDATE($D110,Milestones!$AA$175)&gt;=$S110),$V110,IF(AND($R110&lt;&gt;"",EDATE($D110,Milestones!$AA$175)&gt;=$R110),$U110,$T110)))=Milestones!$AB$175),TEXT(EDATE($D110,Milestones!$AA$175),"dd/mm/yy")&amp;" "&amp;Milestones!$AB$175&amp;" "&amp;Milestones!$AC$175&amp;";  ","")&amp;IF(AND(EDATE($D110,Milestones!$AA$176)&lt;=AsOfDate,IF($Q110=0,$W110,IF(AND($S110&lt;&gt;"",EDATE($D110,Milestones!$AA$176)&gt;=$S110),$V110,IF(AND($R110&lt;&gt;"",EDATE($D110,Milestones!$AA$176)&gt;=$R110),$U110,$T110)))=Milestones!$AB$176),TEXT(EDATE($D110,Milestones!$AA$176),"dd/mm/yy")&amp;" "&amp;Milestones!$AB$176&amp;" "&amp;Milestones!$AC$176&amp;";  ","")&amp;IF(AND(EDATE($D110,Milestones!$AA$177)&lt;=AsOfDate,IF($Q110=0,$W110,IF(AND($S110&lt;&gt;"",EDATE($D110,Milestones!$AA$177)&gt;=$S110),$V110,IF(AND($R110&lt;&gt;"",EDATE($D110,Milestones!$AA$177)&gt;=$R110),$U110,$T110)))=Milestones!$AB$177),TEXT(EDATE($D110,Milestones!$AA$177),"dd/mm/yy")&amp;" "&amp;Milestones!$AB$177&amp;" "&amp;Milestones!$AC$177&amp;";  ","")&amp;IF(AND(EDATE($D110,Milestones!$AA$178)&lt;=AsOfDate,IF($Q110=0,$W110,IF(AND($S110&lt;&gt;"",EDATE($D110,Milestones!$AA$178)&gt;=$S110),$V110,IF(AND($R110&lt;&gt;"",EDATE($D110,Milestones!$AA$178)&gt;=$R110),$U110,$T110)))=Milestones!$AB$178),TEXT(EDATE($D110,Milestones!$AA$178),"dd/mm/yy")&amp;" "&amp;Milestones!$AB$178&amp;" "&amp;Milestones!$AC$178&amp;";  ","")&amp;IF(AND(EDATE($D110,Milestones!$AA$179)&lt;=AsOfDate,IF($Q110=0,$W110,IF(AND($S110&lt;&gt;"",EDATE($D110,Milestones!$AA$179)&gt;=$S110),$V110,IF(AND($R110&lt;&gt;"",EDATE($D110,Milestones!$AA$179)&gt;=$R110),$U110,$T110)))=Milestones!$AB$179),TEXT(EDATE($D110,Milestones!$AA$179),"dd/mm/yy")&amp;" "&amp;Milestones!$AB$179&amp;" "&amp;Milestones!$AC$179&amp;";  ",""))</f>
        <v/>
      </c>
      <c r="P110" s="0" t="str">
        <f aca="false">IF(OR($A110="",$D110=""),"",IF(AND(EDATE($D110,Milestones!$AA$180)&lt;=AsOfDate,IF($Q110=0,$W110,IF(AND($S110&lt;&gt;"",EDATE($D110,Milestones!$AA$180)&gt;=$S110),$V110,IF(AND($R110&lt;&gt;"",EDATE($D110,Milestones!$AA$180)&gt;=$R110),$U110,$T110)))=Milestones!$AB$180),TEXT(EDATE($D110,Milestones!$AA$180),"dd/mm/yy")&amp;" "&amp;Milestones!$AB$180&amp;" "&amp;Milestones!$AC$180&amp;";  ","")&amp;IF(AND(EDATE($D110,Milestones!$AA$181)&lt;=AsOfDate,IF($Q110=0,$W110,IF(AND($S110&lt;&gt;"",EDATE($D110,Milestones!$AA$181)&gt;=$S110),$V110,IF(AND($R110&lt;&gt;"",EDATE($D110,Milestones!$AA$181)&gt;=$R110),$U110,$T110)))=Milestones!$AB$181),TEXT(EDATE($D110,Milestones!$AA$181),"dd/mm/yy")&amp;" "&amp;Milestones!$AB$181&amp;" "&amp;Milestones!$AC$181&amp;";  ","")&amp;IF(AND(EDATE($D110,Milestones!$AA$182)&lt;=AsOfDate,IF($Q110=0,$W110,IF(AND($S110&lt;&gt;"",EDATE($D110,Milestones!$AA$182)&gt;=$S110),$V110,IF(AND($R110&lt;&gt;"",EDATE($D110,Milestones!$AA$182)&gt;=$R110),$U110,$T110)))=Milestones!$AB$182),TEXT(EDATE($D110,Milestones!$AA$182),"dd/mm/yy")&amp;" "&amp;Milestones!$AB$182&amp;" "&amp;Milestones!$AC$182&amp;";  ","")&amp;IF(AND(EDATE($D110,Milestones!$AA$183)&lt;=AsOfDate,IF($Q110=0,$W110,IF(AND($S110&lt;&gt;"",EDATE($D110,Milestones!$AA$183)&gt;=$S110),$V110,IF(AND($R110&lt;&gt;"",EDATE($D110,Milestones!$AA$183)&gt;=$R110),$U110,$T110)))=Milestones!$AB$183),TEXT(EDATE($D110,Milestones!$AA$183),"dd/mm/yy")&amp;" "&amp;Milestones!$AB$183&amp;" "&amp;Milestones!$AC$183&amp;";  ","")&amp;IF(AND(EDATE($D110,Milestones!$AA$184)&lt;=AsOfDate,IF($Q110=0,$W110,IF(AND($S110&lt;&gt;"",EDATE($D110,Milestones!$AA$184)&gt;=$S110),$V110,IF(AND($R110&lt;&gt;"",EDATE($D110,Milestones!$AA$184)&gt;=$R110),$U110,$T110)))=Milestones!$AB$184),TEXT(EDATE($D110,Milestones!$AA$184),"dd/mm/yy")&amp;" "&amp;Milestones!$AB$184&amp;" "&amp;Milestones!$AC$184&amp;";  ","")&amp;IF(AND(EDATE($D110,Milestones!$AA$185)&lt;=AsOfDate,IF($Q110=0,$W110,IF(AND($S110&lt;&gt;"",EDATE($D110,Milestones!$AA$185)&gt;=$S110),$V110,IF(AND($R110&lt;&gt;"",EDATE($D110,Milestones!$AA$185)&gt;=$R110),$U110,$T110)))=Milestones!$AB$185),TEXT(EDATE($D110,Milestones!$AA$185),"dd/mm/yy")&amp;" "&amp;Milestones!$AB$185&amp;" "&amp;Milestones!$AC$185&amp;";  ","")&amp;IF(AND(EDATE($D110,Milestones!$AA$186)&lt;=AsOfDate,IF($Q110=0,$W110,IF(AND($S110&lt;&gt;"",EDATE($D110,Milestones!$AA$186)&gt;=$S110),$V110,IF(AND($R110&lt;&gt;"",EDATE($D110,Milestones!$AA$186)&gt;=$R110),$U110,$T110)))=Milestones!$AB$186),TEXT(EDATE($D110,Milestones!$AA$186),"dd/mm/yy")&amp;" "&amp;Milestones!$AB$186&amp;" "&amp;Milestones!$AC$186&amp;";  ","")&amp;IF(AND(EDATE($D110,Milestones!$AA$187)&lt;=AsOfDate,IF($Q110=0,$W110,IF(AND($S110&lt;&gt;"",EDATE($D110,Milestones!$AA$187)&gt;=$S110),$V110,IF(AND($R110&lt;&gt;"",EDATE($D110,Milestones!$AA$187)&gt;=$R110),$U110,$T110)))=Milestones!$AB$187),TEXT(EDATE($D110,Milestones!$AA$187),"dd/mm/yy")&amp;" "&amp;Milestones!$AB$187&amp;" "&amp;Milestones!$AC$187&amp;";  ","")&amp;IF(AND(EDATE($D110,Milestones!$AA$188)&lt;=AsOfDate,IF($Q110=0,$W110,IF(AND($S110&lt;&gt;"",EDATE($D110,Milestones!$AA$188)&gt;=$S110),$V110,IF(AND($R110&lt;&gt;"",EDATE($D110,Milestones!$AA$188)&gt;=$R110),$U110,$T110)))=Milestones!$AB$188),TEXT(EDATE($D110,Milestones!$AA$188),"dd/mm/yy")&amp;" "&amp;Milestones!$AB$188&amp;" "&amp;Milestones!$AC$188&amp;";  ","")&amp;IF(AND(EDATE($D110,Milestones!$AA$189)&lt;=AsOfDate,IF($Q110=0,$W110,IF(AND($S110&lt;&gt;"",EDATE($D110,Milestones!$AA$189)&gt;=$S110),$V110,IF(AND($R110&lt;&gt;"",EDATE($D110,Milestones!$AA$189)&gt;=$R110),$U110,$T110)))=Milestones!$AB$189),TEXT(EDATE($D110,Milestones!$AA$189),"dd/mm/yy")&amp;" "&amp;Milestones!$AB$189&amp;" "&amp;Milestones!$AC$189&amp;";  ","")&amp;IF(AND(EDATE($D110,Milestones!$AA$190)&lt;=AsOfDate,IF($Q110=0,$W110,IF(AND($S110&lt;&gt;"",EDATE($D110,Milestones!$AA$190)&gt;=$S110),$V110,IF(AND($R110&lt;&gt;"",EDATE($D110,Milestones!$AA$190)&gt;=$R110),$U110,$T110)))=Milestones!$AB$190),TEXT(EDATE($D110,Milestones!$AA$190),"dd/mm/yy")&amp;" "&amp;Milestones!$AB$190&amp;" "&amp;Milestones!$AC$190&amp;";  ","")&amp;IF(AND(EDATE($D110,Milestones!$AA$191)&lt;=AsOfDate,IF($Q110=0,$W110,IF(AND($S110&lt;&gt;"",EDATE($D110,Milestones!$AA$191)&gt;=$S110),$V110,IF(AND($R110&lt;&gt;"",EDATE($D110,Milestones!$AA$191)&gt;=$R110),$U110,$T110)))=Milestones!$AB$191),TEXT(EDATE($D110,Milestones!$AA$191),"dd/mm/yy")&amp;" "&amp;Milestones!$AB$191&amp;" "&amp;Milestones!$AC$191&amp;";  ","")&amp;IF(AND(EDATE($D110,Milestones!$AA$192)&lt;=AsOfDate,IF($Q110=0,$W110,IF(AND($S110&lt;&gt;"",EDATE($D110,Milestones!$AA$192)&gt;=$S110),$V110,IF(AND($R110&lt;&gt;"",EDATE($D110,Milestones!$AA$192)&gt;=$R110),$U110,$T110)))=Milestones!$AB$192),TEXT(EDATE($D110,Milestones!$AA$192),"dd/mm/yy")&amp;" "&amp;Milestones!$AB$192&amp;" "&amp;Milestones!$AC$192&amp;";  ","")&amp;IF(AND(EDATE($D110,Milestones!$AA$193)&lt;=AsOfDate,IF($Q110=0,$W110,IF(AND($S110&lt;&gt;"",EDATE($D110,Milestones!$AA$193)&gt;=$S110),$V110,IF(AND($R110&lt;&gt;"",EDATE($D110,Milestones!$AA$193)&gt;=$R110),$U110,$T110)))=Milestones!$AB$193),TEXT(EDATE($D110,Milestones!$AA$193),"dd/mm/yy")&amp;" "&amp;Milestones!$AB$193&amp;" "&amp;Milestones!$AC$193&amp;";  ","")&amp;IF(AND(EDATE($D110,Milestones!$AA$194)&lt;=AsOfDate,IF($Q110=0,$W110,IF(AND($S110&lt;&gt;"",EDATE($D110,Milestones!$AA$194)&gt;=$S110),$V110,IF(AND($R110&lt;&gt;"",EDATE($D110,Milestones!$AA$194)&gt;=$R110),$U110,$T110)))=Milestones!$AB$194),TEXT(EDATE($D110,Milestones!$AA$194),"dd/mm/yy")&amp;" "&amp;Milestones!$AB$194&amp;" "&amp;Milestones!$AC$194&amp;";  ","")&amp;IF(AND(EDATE($D110,Milestones!$AA$195)&lt;=AsOfDate,IF($Q110=0,$W110,IF(AND($S110&lt;&gt;"",EDATE($D110,Milestones!$AA$195)&gt;=$S110),$V110,IF(AND($R110&lt;&gt;"",EDATE($D110,Milestones!$AA$195)&gt;=$R110),$U110,$T110)))=Milestones!$AB$195),TEXT(EDATE($D110,Milestones!$AA$195),"dd/mm/yy")&amp;" "&amp;Milestones!$AB$195&amp;" "&amp;Milestones!$AC$195&amp;";  ","")&amp;IF(AND(EDATE($D110,Milestones!$AA$196)&lt;=AsOfDate,IF($Q110=0,$W110,IF(AND($S110&lt;&gt;"",EDATE($D110,Milestones!$AA$196)&gt;=$S110),$V110,IF(AND($R110&lt;&gt;"",EDATE($D110,Milestones!$AA$196)&gt;=$R110),$U110,$T110)))=Milestones!$AB$196),TEXT(EDATE($D110,Milestones!$AA$196),"dd/mm/yy")&amp;" "&amp;Milestones!$AB$196&amp;" "&amp;Milestones!$AC$196&amp;";  ","")&amp;IF(AND(EDATE($D110,Milestones!$AA$197)&lt;=AsOfDate,IF($Q110=0,$W110,IF(AND($S110&lt;&gt;"",EDATE($D110,Milestones!$AA$197)&gt;=$S110),$V110,IF(AND($R110&lt;&gt;"",EDATE($D110,Milestones!$AA$197)&gt;=$R110),$U110,$T110)))=Milestones!$AB$197),TEXT(EDATE($D110,Milestones!$AA$197),"dd/mm/yy")&amp;" "&amp;Milestones!$AB$197&amp;" "&amp;Milestones!$AC$197&amp;";  ","")&amp;IF(AND(EDATE($D110,Milestones!$AA$198)&lt;=AsOfDate,IF($Q110=0,$W110,IF(AND($S110&lt;&gt;"",EDATE($D110,Milestones!$AA$198)&gt;=$S110),$V110,IF(AND($R110&lt;&gt;"",EDATE($D110,Milestones!$AA$198)&gt;=$R110),$U110,$T110)))=Milestones!$AB$198),TEXT(EDATE($D110,Milestones!$AA$198),"dd/mm/yy")&amp;" "&amp;Milestones!$AB$198&amp;" "&amp;Milestones!$AC$198&amp;";  ","")&amp;IF(AND(EDATE($D110,Milestones!$AA$199)&lt;=AsOfDate,IF($Q110=0,$W110,IF(AND($S110&lt;&gt;"",EDATE($D110,Milestones!$AA$199)&gt;=$S110),$V110,IF(AND($R110&lt;&gt;"",EDATE($D110,Milestones!$AA$199)&gt;=$R110),$U110,$T110)))=Milestones!$AB$199),TEXT(EDATE($D110,Milestones!$AA$199),"dd/mm/yy")&amp;" "&amp;Milestones!$AB$199&amp;" "&amp;Milestones!$AC$199&amp;";  ",""))</f>
        <v/>
      </c>
      <c r="Q110" s="0" t="str">
        <f aca="false">IF(Staff!$A110="","",Staff!$AG110)</f>
        <v/>
      </c>
      <c r="R110" s="0" t="str">
        <f aca="false">IF(Staff!$A110="","",Staff!$AI110)</f>
        <v/>
      </c>
      <c r="S110" s="0" t="str">
        <f aca="false">IF(Staff!$A110="","",Staff!$AJ110)</f>
        <v/>
      </c>
      <c r="T110" s="0" t="str">
        <f aca="false">IF(Staff!$A110="","",Staff!$AN110)</f>
        <v/>
      </c>
      <c r="U110" s="0" t="str">
        <f aca="false">IF(Staff!$A110="","",Staff!$AO110)</f>
        <v/>
      </c>
      <c r="V110" s="0" t="str">
        <f aca="false">IF(Staff!$A110="","",Staff!$AP110)</f>
        <v/>
      </c>
      <c r="W110" s="0" t="str">
        <f aca="false">IF(Staff!$A110="","",Staff!$AQ110)</f>
        <v/>
      </c>
    </row>
    <row r="111" customFormat="false" ht="15" hidden="false" customHeight="false" outlineLevel="0" collapsed="false">
      <c r="A111" s="13" t="str">
        <f aca="false">IF(Staff!$A111="","",Staff!$A111)</f>
        <v/>
      </c>
      <c r="B111" s="13" t="str">
        <f aca="false">IF(Staff!$A111="","",Staff!$B111)</f>
        <v/>
      </c>
      <c r="C111" s="13" t="str">
        <f aca="false">IF(Staff!$A111="","",Staff!$C111)</f>
        <v/>
      </c>
      <c r="D111" s="11" t="str">
        <f aca="false">IF(Staff!$A111="","",Staff!$AF111)</f>
        <v/>
      </c>
      <c r="E111" s="13" t="str">
        <f aca="false">IF(Staff!$A111="","",Staff!$O111)</f>
        <v/>
      </c>
      <c r="F111" s="13" t="str">
        <f aca="false">IF(E111="","",E111*HoursPerDay)</f>
        <v/>
      </c>
      <c r="G111" s="26" t="str">
        <f aca="false">IF($A111="","",H111&amp;I111&amp;J111&amp;K111&amp;L111&amp;M111&amp;N111&amp;O111&amp;P111)</f>
        <v/>
      </c>
      <c r="H111" s="0" t="str">
        <f aca="false">IF(OR($A111="",$D111=""),"",IF(AND(EDATE($D111,Milestones!$AA$20)&lt;=AsOfDate,IF($Q111=0,$W111,IF(AND($S111&lt;&gt;"",EDATE($D111,Milestones!$AA$20)&gt;=$S111),$V111,IF(AND($R111&lt;&gt;"",EDATE($D111,Milestones!$AA$20)&gt;=$R111),$U111,$T111)))=Milestones!$AB$20),TEXT(EDATE($D111,Milestones!$AA$20),"dd/mm/yy")&amp;" "&amp;Milestones!$AB$20&amp;" "&amp;Milestones!$AC$20&amp;";  ","")&amp;IF(AND(EDATE($D111,Milestones!$AA$21)&lt;=AsOfDate,IF($Q111=0,$W111,IF(AND($S111&lt;&gt;"",EDATE($D111,Milestones!$AA$21)&gt;=$S111),$V111,IF(AND($R111&lt;&gt;"",EDATE($D111,Milestones!$AA$21)&gt;=$R111),$U111,$T111)))=Milestones!$AB$21),TEXT(EDATE($D111,Milestones!$AA$21),"dd/mm/yy")&amp;" "&amp;Milestones!$AB$21&amp;" "&amp;Milestones!$AC$21&amp;";  ","")&amp;IF(AND(EDATE($D111,Milestones!$AA$22)&lt;=AsOfDate,IF($Q111=0,$W111,IF(AND($S111&lt;&gt;"",EDATE($D111,Milestones!$AA$22)&gt;=$S111),$V111,IF(AND($R111&lt;&gt;"",EDATE($D111,Milestones!$AA$22)&gt;=$R111),$U111,$T111)))=Milestones!$AB$22),TEXT(EDATE($D111,Milestones!$AA$22),"dd/mm/yy")&amp;" "&amp;Milestones!$AB$22&amp;" "&amp;Milestones!$AC$22&amp;";  ","")&amp;IF(AND(EDATE($D111,Milestones!$AA$23)&lt;=AsOfDate,IF($Q111=0,$W111,IF(AND($S111&lt;&gt;"",EDATE($D111,Milestones!$AA$23)&gt;=$S111),$V111,IF(AND($R111&lt;&gt;"",EDATE($D111,Milestones!$AA$23)&gt;=$R111),$U111,$T111)))=Milestones!$AB$23),TEXT(EDATE($D111,Milestones!$AA$23),"dd/mm/yy")&amp;" "&amp;Milestones!$AB$23&amp;" "&amp;Milestones!$AC$23&amp;";  ","")&amp;IF(AND(EDATE($D111,Milestones!$AA$24)&lt;=AsOfDate,IF($Q111=0,$W111,IF(AND($S111&lt;&gt;"",EDATE($D111,Milestones!$AA$24)&gt;=$S111),$V111,IF(AND($R111&lt;&gt;"",EDATE($D111,Milestones!$AA$24)&gt;=$R111),$U111,$T111)))=Milestones!$AB$24),TEXT(EDATE($D111,Milestones!$AA$24),"dd/mm/yy")&amp;" "&amp;Milestones!$AB$24&amp;" "&amp;Milestones!$AC$24&amp;";  ","")&amp;IF(AND(EDATE($D111,Milestones!$AA$25)&lt;=AsOfDate,IF($Q111=0,$W111,IF(AND($S111&lt;&gt;"",EDATE($D111,Milestones!$AA$25)&gt;=$S111),$V111,IF(AND($R111&lt;&gt;"",EDATE($D111,Milestones!$AA$25)&gt;=$R111),$U111,$T111)))=Milestones!$AB$25),TEXT(EDATE($D111,Milestones!$AA$25),"dd/mm/yy")&amp;" "&amp;Milestones!$AB$25&amp;" "&amp;Milestones!$AC$25&amp;";  ","")&amp;IF(AND(EDATE($D111,Milestones!$AA$26)&lt;=AsOfDate,IF($Q111=0,$W111,IF(AND($S111&lt;&gt;"",EDATE($D111,Milestones!$AA$26)&gt;=$S111),$V111,IF(AND($R111&lt;&gt;"",EDATE($D111,Milestones!$AA$26)&gt;=$R111),$U111,$T111)))=Milestones!$AB$26),TEXT(EDATE($D111,Milestones!$AA$26),"dd/mm/yy")&amp;" "&amp;Milestones!$AB$26&amp;" "&amp;Milestones!$AC$26&amp;";  ","")&amp;IF(AND(EDATE($D111,Milestones!$AA$27)&lt;=AsOfDate,IF($Q111=0,$W111,IF(AND($S111&lt;&gt;"",EDATE($D111,Milestones!$AA$27)&gt;=$S111),$V111,IF(AND($R111&lt;&gt;"",EDATE($D111,Milestones!$AA$27)&gt;=$R111),$U111,$T111)))=Milestones!$AB$27),TEXT(EDATE($D111,Milestones!$AA$27),"dd/mm/yy")&amp;" "&amp;Milestones!$AB$27&amp;" "&amp;Milestones!$AC$27&amp;";  ","")&amp;IF(AND(EDATE($D111,Milestones!$AA$28)&lt;=AsOfDate,IF($Q111=0,$W111,IF(AND($S111&lt;&gt;"",EDATE($D111,Milestones!$AA$28)&gt;=$S111),$V111,IF(AND($R111&lt;&gt;"",EDATE($D111,Milestones!$AA$28)&gt;=$R111),$U111,$T111)))=Milestones!$AB$28),TEXT(EDATE($D111,Milestones!$AA$28),"dd/mm/yy")&amp;" "&amp;Milestones!$AB$28&amp;" "&amp;Milestones!$AC$28&amp;";  ","")&amp;IF(AND(EDATE($D111,Milestones!$AA$29)&lt;=AsOfDate,IF($Q111=0,$W111,IF(AND($S111&lt;&gt;"",EDATE($D111,Milestones!$AA$29)&gt;=$S111),$V111,IF(AND($R111&lt;&gt;"",EDATE($D111,Milestones!$AA$29)&gt;=$R111),$U111,$T111)))=Milestones!$AB$29),TEXT(EDATE($D111,Milestones!$AA$29),"dd/mm/yy")&amp;" "&amp;Milestones!$AB$29&amp;" "&amp;Milestones!$AC$29&amp;";  ","")&amp;IF(AND(EDATE($D111,Milestones!$AA$30)&lt;=AsOfDate,IF($Q111=0,$W111,IF(AND($S111&lt;&gt;"",EDATE($D111,Milestones!$AA$30)&gt;=$S111),$V111,IF(AND($R111&lt;&gt;"",EDATE($D111,Milestones!$AA$30)&gt;=$R111),$U111,$T111)))=Milestones!$AB$30),TEXT(EDATE($D111,Milestones!$AA$30),"dd/mm/yy")&amp;" "&amp;Milestones!$AB$30&amp;" "&amp;Milestones!$AC$30&amp;";  ","")&amp;IF(AND(EDATE($D111,Milestones!$AA$31)&lt;=AsOfDate,IF($Q111=0,$W111,IF(AND($S111&lt;&gt;"",EDATE($D111,Milestones!$AA$31)&gt;=$S111),$V111,IF(AND($R111&lt;&gt;"",EDATE($D111,Milestones!$AA$31)&gt;=$R111),$U111,$T111)))=Milestones!$AB$31),TEXT(EDATE($D111,Milestones!$AA$31),"dd/mm/yy")&amp;" "&amp;Milestones!$AB$31&amp;" "&amp;Milestones!$AC$31&amp;";  ","")&amp;IF(AND(EDATE($D111,Milestones!$AA$32)&lt;=AsOfDate,IF($Q111=0,$W111,IF(AND($S111&lt;&gt;"",EDATE($D111,Milestones!$AA$32)&gt;=$S111),$V111,IF(AND($R111&lt;&gt;"",EDATE($D111,Milestones!$AA$32)&gt;=$R111),$U111,$T111)))=Milestones!$AB$32),TEXT(EDATE($D111,Milestones!$AA$32),"dd/mm/yy")&amp;" "&amp;Milestones!$AB$32&amp;" "&amp;Milestones!$AC$32&amp;";  ","")&amp;IF(AND(EDATE($D111,Milestones!$AA$33)&lt;=AsOfDate,IF($Q111=0,$W111,IF(AND($S111&lt;&gt;"",EDATE($D111,Milestones!$AA$33)&gt;=$S111),$V111,IF(AND($R111&lt;&gt;"",EDATE($D111,Milestones!$AA$33)&gt;=$R111),$U111,$T111)))=Milestones!$AB$33),TEXT(EDATE($D111,Milestones!$AA$33),"dd/mm/yy")&amp;" "&amp;Milestones!$AB$33&amp;" "&amp;Milestones!$AC$33&amp;";  ","")&amp;IF(AND(EDATE($D111,Milestones!$AA$34)&lt;=AsOfDate,IF($Q111=0,$W111,IF(AND($S111&lt;&gt;"",EDATE($D111,Milestones!$AA$34)&gt;=$S111),$V111,IF(AND($R111&lt;&gt;"",EDATE($D111,Milestones!$AA$34)&gt;=$R111),$U111,$T111)))=Milestones!$AB$34),TEXT(EDATE($D111,Milestones!$AA$34),"dd/mm/yy")&amp;" "&amp;Milestones!$AB$34&amp;" "&amp;Milestones!$AC$34&amp;";  ","")&amp;IF(AND(EDATE($D111,Milestones!$AA$35)&lt;=AsOfDate,IF($Q111=0,$W111,IF(AND($S111&lt;&gt;"",EDATE($D111,Milestones!$AA$35)&gt;=$S111),$V111,IF(AND($R111&lt;&gt;"",EDATE($D111,Milestones!$AA$35)&gt;=$R111),$U111,$T111)))=Milestones!$AB$35),TEXT(EDATE($D111,Milestones!$AA$35),"dd/mm/yy")&amp;" "&amp;Milestones!$AB$35&amp;" "&amp;Milestones!$AC$35&amp;";  ","")&amp;IF(AND(EDATE($D111,Milestones!$AA$36)&lt;=AsOfDate,IF($Q111=0,$W111,IF(AND($S111&lt;&gt;"",EDATE($D111,Milestones!$AA$36)&gt;=$S111),$V111,IF(AND($R111&lt;&gt;"",EDATE($D111,Milestones!$AA$36)&gt;=$R111),$U111,$T111)))=Milestones!$AB$36),TEXT(EDATE($D111,Milestones!$AA$36),"dd/mm/yy")&amp;" "&amp;Milestones!$AB$36&amp;" "&amp;Milestones!$AC$36&amp;";  ","")&amp;IF(AND(EDATE($D111,Milestones!$AA$37)&lt;=AsOfDate,IF($Q111=0,$W111,IF(AND($S111&lt;&gt;"",EDATE($D111,Milestones!$AA$37)&gt;=$S111),$V111,IF(AND($R111&lt;&gt;"",EDATE($D111,Milestones!$AA$37)&gt;=$R111),$U111,$T111)))=Milestones!$AB$37),TEXT(EDATE($D111,Milestones!$AA$37),"dd/mm/yy")&amp;" "&amp;Milestones!$AB$37&amp;" "&amp;Milestones!$AC$37&amp;";  ","")&amp;IF(AND(EDATE($D111,Milestones!$AA$38)&lt;=AsOfDate,IF($Q111=0,$W111,IF(AND($S111&lt;&gt;"",EDATE($D111,Milestones!$AA$38)&gt;=$S111),$V111,IF(AND($R111&lt;&gt;"",EDATE($D111,Milestones!$AA$38)&gt;=$R111),$U111,$T111)))=Milestones!$AB$38),TEXT(EDATE($D111,Milestones!$AA$38),"dd/mm/yy")&amp;" "&amp;Milestones!$AB$38&amp;" "&amp;Milestones!$AC$38&amp;";  ","")&amp;IF(AND(EDATE($D111,Milestones!$AA$39)&lt;=AsOfDate,IF($Q111=0,$W111,IF(AND($S111&lt;&gt;"",EDATE($D111,Milestones!$AA$39)&gt;=$S111),$V111,IF(AND($R111&lt;&gt;"",EDATE($D111,Milestones!$AA$39)&gt;=$R111),$U111,$T111)))=Milestones!$AB$39),TEXT(EDATE($D111,Milestones!$AA$39),"dd/mm/yy")&amp;" "&amp;Milestones!$AB$39&amp;" "&amp;Milestones!$AC$39&amp;";  ",""))</f>
        <v/>
      </c>
      <c r="I111" s="0" t="str">
        <f aca="false">IF(OR($A111="",$D111=""),"",IF(AND(EDATE($D111,Milestones!$AA$40)&lt;=AsOfDate,IF($Q111=0,$W111,IF(AND($S111&lt;&gt;"",EDATE($D111,Milestones!$AA$40)&gt;=$S111),$V111,IF(AND($R111&lt;&gt;"",EDATE($D111,Milestones!$AA$40)&gt;=$R111),$U111,$T111)))=Milestones!$AB$40),TEXT(EDATE($D111,Milestones!$AA$40),"dd/mm/yy")&amp;" "&amp;Milestones!$AB$40&amp;" "&amp;Milestones!$AC$40&amp;";  ","")&amp;IF(AND(EDATE($D111,Milestones!$AA$41)&lt;=AsOfDate,IF($Q111=0,$W111,IF(AND($S111&lt;&gt;"",EDATE($D111,Milestones!$AA$41)&gt;=$S111),$V111,IF(AND($R111&lt;&gt;"",EDATE($D111,Milestones!$AA$41)&gt;=$R111),$U111,$T111)))=Milestones!$AB$41),TEXT(EDATE($D111,Milestones!$AA$41),"dd/mm/yy")&amp;" "&amp;Milestones!$AB$41&amp;" "&amp;Milestones!$AC$41&amp;";  ","")&amp;IF(AND(EDATE($D111,Milestones!$AA$42)&lt;=AsOfDate,IF($Q111=0,$W111,IF(AND($S111&lt;&gt;"",EDATE($D111,Milestones!$AA$42)&gt;=$S111),$V111,IF(AND($R111&lt;&gt;"",EDATE($D111,Milestones!$AA$42)&gt;=$R111),$U111,$T111)))=Milestones!$AB$42),TEXT(EDATE($D111,Milestones!$AA$42),"dd/mm/yy")&amp;" "&amp;Milestones!$AB$42&amp;" "&amp;Milestones!$AC$42&amp;";  ","")&amp;IF(AND(EDATE($D111,Milestones!$AA$43)&lt;=AsOfDate,IF($Q111=0,$W111,IF(AND($S111&lt;&gt;"",EDATE($D111,Milestones!$AA$43)&gt;=$S111),$V111,IF(AND($R111&lt;&gt;"",EDATE($D111,Milestones!$AA$43)&gt;=$R111),$U111,$T111)))=Milestones!$AB$43),TEXT(EDATE($D111,Milestones!$AA$43),"dd/mm/yy")&amp;" "&amp;Milestones!$AB$43&amp;" "&amp;Milestones!$AC$43&amp;";  ","")&amp;IF(AND(EDATE($D111,Milestones!$AA$44)&lt;=AsOfDate,IF($Q111=0,$W111,IF(AND($S111&lt;&gt;"",EDATE($D111,Milestones!$AA$44)&gt;=$S111),$V111,IF(AND($R111&lt;&gt;"",EDATE($D111,Milestones!$AA$44)&gt;=$R111),$U111,$T111)))=Milestones!$AB$44),TEXT(EDATE($D111,Milestones!$AA$44),"dd/mm/yy")&amp;" "&amp;Milestones!$AB$44&amp;" "&amp;Milestones!$AC$44&amp;";  ","")&amp;IF(AND(EDATE($D111,Milestones!$AA$45)&lt;=AsOfDate,IF($Q111=0,$W111,IF(AND($S111&lt;&gt;"",EDATE($D111,Milestones!$AA$45)&gt;=$S111),$V111,IF(AND($R111&lt;&gt;"",EDATE($D111,Milestones!$AA$45)&gt;=$R111),$U111,$T111)))=Milestones!$AB$45),TEXT(EDATE($D111,Milestones!$AA$45),"dd/mm/yy")&amp;" "&amp;Milestones!$AB$45&amp;" "&amp;Milestones!$AC$45&amp;";  ","")&amp;IF(AND(EDATE($D111,Milestones!$AA$46)&lt;=AsOfDate,IF($Q111=0,$W111,IF(AND($S111&lt;&gt;"",EDATE($D111,Milestones!$AA$46)&gt;=$S111),$V111,IF(AND($R111&lt;&gt;"",EDATE($D111,Milestones!$AA$46)&gt;=$R111),$U111,$T111)))=Milestones!$AB$46),TEXT(EDATE($D111,Milestones!$AA$46),"dd/mm/yy")&amp;" "&amp;Milestones!$AB$46&amp;" "&amp;Milestones!$AC$46&amp;";  ","")&amp;IF(AND(EDATE($D111,Milestones!$AA$47)&lt;=AsOfDate,IF($Q111=0,$W111,IF(AND($S111&lt;&gt;"",EDATE($D111,Milestones!$AA$47)&gt;=$S111),$V111,IF(AND($R111&lt;&gt;"",EDATE($D111,Milestones!$AA$47)&gt;=$R111),$U111,$T111)))=Milestones!$AB$47),TEXT(EDATE($D111,Milestones!$AA$47),"dd/mm/yy")&amp;" "&amp;Milestones!$AB$47&amp;" "&amp;Milestones!$AC$47&amp;";  ","")&amp;IF(AND(EDATE($D111,Milestones!$AA$48)&lt;=AsOfDate,IF($Q111=0,$W111,IF(AND($S111&lt;&gt;"",EDATE($D111,Milestones!$AA$48)&gt;=$S111),$V111,IF(AND($R111&lt;&gt;"",EDATE($D111,Milestones!$AA$48)&gt;=$R111),$U111,$T111)))=Milestones!$AB$48),TEXT(EDATE($D111,Milestones!$AA$48),"dd/mm/yy")&amp;" "&amp;Milestones!$AB$48&amp;" "&amp;Milestones!$AC$48&amp;";  ","")&amp;IF(AND(EDATE($D111,Milestones!$AA$49)&lt;=AsOfDate,IF($Q111=0,$W111,IF(AND($S111&lt;&gt;"",EDATE($D111,Milestones!$AA$49)&gt;=$S111),$V111,IF(AND($R111&lt;&gt;"",EDATE($D111,Milestones!$AA$49)&gt;=$R111),$U111,$T111)))=Milestones!$AB$49),TEXT(EDATE($D111,Milestones!$AA$49),"dd/mm/yy")&amp;" "&amp;Milestones!$AB$49&amp;" "&amp;Milestones!$AC$49&amp;";  ","")&amp;IF(AND(EDATE($D111,Milestones!$AA$50)&lt;=AsOfDate,IF($Q111=0,$W111,IF(AND($S111&lt;&gt;"",EDATE($D111,Milestones!$AA$50)&gt;=$S111),$V111,IF(AND($R111&lt;&gt;"",EDATE($D111,Milestones!$AA$50)&gt;=$R111),$U111,$T111)))=Milestones!$AB$50),TEXT(EDATE($D111,Milestones!$AA$50),"dd/mm/yy")&amp;" "&amp;Milestones!$AB$50&amp;" "&amp;Milestones!$AC$50&amp;";  ","")&amp;IF(AND(EDATE($D111,Milestones!$AA$51)&lt;=AsOfDate,IF($Q111=0,$W111,IF(AND($S111&lt;&gt;"",EDATE($D111,Milestones!$AA$51)&gt;=$S111),$V111,IF(AND($R111&lt;&gt;"",EDATE($D111,Milestones!$AA$51)&gt;=$R111),$U111,$T111)))=Milestones!$AB$51),TEXT(EDATE($D111,Milestones!$AA$51),"dd/mm/yy")&amp;" "&amp;Milestones!$AB$51&amp;" "&amp;Milestones!$AC$51&amp;";  ","")&amp;IF(AND(EDATE($D111,Milestones!$AA$52)&lt;=AsOfDate,IF($Q111=0,$W111,IF(AND($S111&lt;&gt;"",EDATE($D111,Milestones!$AA$52)&gt;=$S111),$V111,IF(AND($R111&lt;&gt;"",EDATE($D111,Milestones!$AA$52)&gt;=$R111),$U111,$T111)))=Milestones!$AB$52),TEXT(EDATE($D111,Milestones!$AA$52),"dd/mm/yy")&amp;" "&amp;Milestones!$AB$52&amp;" "&amp;Milestones!$AC$52&amp;";  ","")&amp;IF(AND(EDATE($D111,Milestones!$AA$53)&lt;=AsOfDate,IF($Q111=0,$W111,IF(AND($S111&lt;&gt;"",EDATE($D111,Milestones!$AA$53)&gt;=$S111),$V111,IF(AND($R111&lt;&gt;"",EDATE($D111,Milestones!$AA$53)&gt;=$R111),$U111,$T111)))=Milestones!$AB$53),TEXT(EDATE($D111,Milestones!$AA$53),"dd/mm/yy")&amp;" "&amp;Milestones!$AB$53&amp;" "&amp;Milestones!$AC$53&amp;";  ","")&amp;IF(AND(EDATE($D111,Milestones!$AA$54)&lt;=AsOfDate,IF($Q111=0,$W111,IF(AND($S111&lt;&gt;"",EDATE($D111,Milestones!$AA$54)&gt;=$S111),$V111,IF(AND($R111&lt;&gt;"",EDATE($D111,Milestones!$AA$54)&gt;=$R111),$U111,$T111)))=Milestones!$AB$54),TEXT(EDATE($D111,Milestones!$AA$54),"dd/mm/yy")&amp;" "&amp;Milestones!$AB$54&amp;" "&amp;Milestones!$AC$54&amp;";  ","")&amp;IF(AND(EDATE($D111,Milestones!$AA$55)&lt;=AsOfDate,IF($Q111=0,$W111,IF(AND($S111&lt;&gt;"",EDATE($D111,Milestones!$AA$55)&gt;=$S111),$V111,IF(AND($R111&lt;&gt;"",EDATE($D111,Milestones!$AA$55)&gt;=$R111),$U111,$T111)))=Milestones!$AB$55),TEXT(EDATE($D111,Milestones!$AA$55),"dd/mm/yy")&amp;" "&amp;Milestones!$AB$55&amp;" "&amp;Milestones!$AC$55&amp;";  ","")&amp;IF(AND(EDATE($D111,Milestones!$AA$56)&lt;=AsOfDate,IF($Q111=0,$W111,IF(AND($S111&lt;&gt;"",EDATE($D111,Milestones!$AA$56)&gt;=$S111),$V111,IF(AND($R111&lt;&gt;"",EDATE($D111,Milestones!$AA$56)&gt;=$R111),$U111,$T111)))=Milestones!$AB$56),TEXT(EDATE($D111,Milestones!$AA$56),"dd/mm/yy")&amp;" "&amp;Milestones!$AB$56&amp;" "&amp;Milestones!$AC$56&amp;";  ","")&amp;IF(AND(EDATE($D111,Milestones!$AA$57)&lt;=AsOfDate,IF($Q111=0,$W111,IF(AND($S111&lt;&gt;"",EDATE($D111,Milestones!$AA$57)&gt;=$S111),$V111,IF(AND($R111&lt;&gt;"",EDATE($D111,Milestones!$AA$57)&gt;=$R111),$U111,$T111)))=Milestones!$AB$57),TEXT(EDATE($D111,Milestones!$AA$57),"dd/mm/yy")&amp;" "&amp;Milestones!$AB$57&amp;" "&amp;Milestones!$AC$57&amp;";  ","")&amp;IF(AND(EDATE($D111,Milestones!$AA$58)&lt;=AsOfDate,IF($Q111=0,$W111,IF(AND($S111&lt;&gt;"",EDATE($D111,Milestones!$AA$58)&gt;=$S111),$V111,IF(AND($R111&lt;&gt;"",EDATE($D111,Milestones!$AA$58)&gt;=$R111),$U111,$T111)))=Milestones!$AB$58),TEXT(EDATE($D111,Milestones!$AA$58),"dd/mm/yy")&amp;" "&amp;Milestones!$AB$58&amp;" "&amp;Milestones!$AC$58&amp;";  ","")&amp;IF(AND(EDATE($D111,Milestones!$AA$59)&lt;=AsOfDate,IF($Q111=0,$W111,IF(AND($S111&lt;&gt;"",EDATE($D111,Milestones!$AA$59)&gt;=$S111),$V111,IF(AND($R111&lt;&gt;"",EDATE($D111,Milestones!$AA$59)&gt;=$R111),$U111,$T111)))=Milestones!$AB$59),TEXT(EDATE($D111,Milestones!$AA$59),"dd/mm/yy")&amp;" "&amp;Milestones!$AB$59&amp;" "&amp;Milestones!$AC$59&amp;";  ",""))</f>
        <v/>
      </c>
      <c r="J111" s="0" t="str">
        <f aca="false">IF(OR($A111="",$D111=""),"",IF(AND(EDATE($D111,Milestones!$AA$60)&lt;=AsOfDate,IF($Q111=0,$W111,IF(AND($S111&lt;&gt;"",EDATE($D111,Milestones!$AA$60)&gt;=$S111),$V111,IF(AND($R111&lt;&gt;"",EDATE($D111,Milestones!$AA$60)&gt;=$R111),$U111,$T111)))=Milestones!$AB$60),TEXT(EDATE($D111,Milestones!$AA$60),"dd/mm/yy")&amp;" "&amp;Milestones!$AB$60&amp;" "&amp;Milestones!$AC$60&amp;";  ","")&amp;IF(AND(EDATE($D111,Milestones!$AA$61)&lt;=AsOfDate,IF($Q111=0,$W111,IF(AND($S111&lt;&gt;"",EDATE($D111,Milestones!$AA$61)&gt;=$S111),$V111,IF(AND($R111&lt;&gt;"",EDATE($D111,Milestones!$AA$61)&gt;=$R111),$U111,$T111)))=Milestones!$AB$61),TEXT(EDATE($D111,Milestones!$AA$61),"dd/mm/yy")&amp;" "&amp;Milestones!$AB$61&amp;" "&amp;Milestones!$AC$61&amp;";  ","")&amp;IF(AND(EDATE($D111,Milestones!$AA$62)&lt;=AsOfDate,IF($Q111=0,$W111,IF(AND($S111&lt;&gt;"",EDATE($D111,Milestones!$AA$62)&gt;=$S111),$V111,IF(AND($R111&lt;&gt;"",EDATE($D111,Milestones!$AA$62)&gt;=$R111),$U111,$T111)))=Milestones!$AB$62),TEXT(EDATE($D111,Milestones!$AA$62),"dd/mm/yy")&amp;" "&amp;Milestones!$AB$62&amp;" "&amp;Milestones!$AC$62&amp;";  ","")&amp;IF(AND(EDATE($D111,Milestones!$AA$63)&lt;=AsOfDate,IF($Q111=0,$W111,IF(AND($S111&lt;&gt;"",EDATE($D111,Milestones!$AA$63)&gt;=$S111),$V111,IF(AND($R111&lt;&gt;"",EDATE($D111,Milestones!$AA$63)&gt;=$R111),$U111,$T111)))=Milestones!$AB$63),TEXT(EDATE($D111,Milestones!$AA$63),"dd/mm/yy")&amp;" "&amp;Milestones!$AB$63&amp;" "&amp;Milestones!$AC$63&amp;";  ","")&amp;IF(AND(EDATE($D111,Milestones!$AA$64)&lt;=AsOfDate,IF($Q111=0,$W111,IF(AND($S111&lt;&gt;"",EDATE($D111,Milestones!$AA$64)&gt;=$S111),$V111,IF(AND($R111&lt;&gt;"",EDATE($D111,Milestones!$AA$64)&gt;=$R111),$U111,$T111)))=Milestones!$AB$64),TEXT(EDATE($D111,Milestones!$AA$64),"dd/mm/yy")&amp;" "&amp;Milestones!$AB$64&amp;" "&amp;Milestones!$AC$64&amp;";  ","")&amp;IF(AND(EDATE($D111,Milestones!$AA$65)&lt;=AsOfDate,IF($Q111=0,$W111,IF(AND($S111&lt;&gt;"",EDATE($D111,Milestones!$AA$65)&gt;=$S111),$V111,IF(AND($R111&lt;&gt;"",EDATE($D111,Milestones!$AA$65)&gt;=$R111),$U111,$T111)))=Milestones!$AB$65),TEXT(EDATE($D111,Milestones!$AA$65),"dd/mm/yy")&amp;" "&amp;Milestones!$AB$65&amp;" "&amp;Milestones!$AC$65&amp;";  ","")&amp;IF(AND(EDATE($D111,Milestones!$AA$66)&lt;=AsOfDate,IF($Q111=0,$W111,IF(AND($S111&lt;&gt;"",EDATE($D111,Milestones!$AA$66)&gt;=$S111),$V111,IF(AND($R111&lt;&gt;"",EDATE($D111,Milestones!$AA$66)&gt;=$R111),$U111,$T111)))=Milestones!$AB$66),TEXT(EDATE($D111,Milestones!$AA$66),"dd/mm/yy")&amp;" "&amp;Milestones!$AB$66&amp;" "&amp;Milestones!$AC$66&amp;";  ","")&amp;IF(AND(EDATE($D111,Milestones!$AA$67)&lt;=AsOfDate,IF($Q111=0,$W111,IF(AND($S111&lt;&gt;"",EDATE($D111,Milestones!$AA$67)&gt;=$S111),$V111,IF(AND($R111&lt;&gt;"",EDATE($D111,Milestones!$AA$67)&gt;=$R111),$U111,$T111)))=Milestones!$AB$67),TEXT(EDATE($D111,Milestones!$AA$67),"dd/mm/yy")&amp;" "&amp;Milestones!$AB$67&amp;" "&amp;Milestones!$AC$67&amp;";  ","")&amp;IF(AND(EDATE($D111,Milestones!$AA$68)&lt;=AsOfDate,IF($Q111=0,$W111,IF(AND($S111&lt;&gt;"",EDATE($D111,Milestones!$AA$68)&gt;=$S111),$V111,IF(AND($R111&lt;&gt;"",EDATE($D111,Milestones!$AA$68)&gt;=$R111),$U111,$T111)))=Milestones!$AB$68),TEXT(EDATE($D111,Milestones!$AA$68),"dd/mm/yy")&amp;" "&amp;Milestones!$AB$68&amp;" "&amp;Milestones!$AC$68&amp;";  ","")&amp;IF(AND(EDATE($D111,Milestones!$AA$69)&lt;=AsOfDate,IF($Q111=0,$W111,IF(AND($S111&lt;&gt;"",EDATE($D111,Milestones!$AA$69)&gt;=$S111),$V111,IF(AND($R111&lt;&gt;"",EDATE($D111,Milestones!$AA$69)&gt;=$R111),$U111,$T111)))=Milestones!$AB$69),TEXT(EDATE($D111,Milestones!$AA$69),"dd/mm/yy")&amp;" "&amp;Milestones!$AB$69&amp;" "&amp;Milestones!$AC$69&amp;";  ","")&amp;IF(AND(EDATE($D111,Milestones!$AA$70)&lt;=AsOfDate,IF($Q111=0,$W111,IF(AND($S111&lt;&gt;"",EDATE($D111,Milestones!$AA$70)&gt;=$S111),$V111,IF(AND($R111&lt;&gt;"",EDATE($D111,Milestones!$AA$70)&gt;=$R111),$U111,$T111)))=Milestones!$AB$70),TEXT(EDATE($D111,Milestones!$AA$70),"dd/mm/yy")&amp;" "&amp;Milestones!$AB$70&amp;" "&amp;Milestones!$AC$70&amp;";  ","")&amp;IF(AND(EDATE($D111,Milestones!$AA$71)&lt;=AsOfDate,IF($Q111=0,$W111,IF(AND($S111&lt;&gt;"",EDATE($D111,Milestones!$AA$71)&gt;=$S111),$V111,IF(AND($R111&lt;&gt;"",EDATE($D111,Milestones!$AA$71)&gt;=$R111),$U111,$T111)))=Milestones!$AB$71),TEXT(EDATE($D111,Milestones!$AA$71),"dd/mm/yy")&amp;" "&amp;Milestones!$AB$71&amp;" "&amp;Milestones!$AC$71&amp;";  ","")&amp;IF(AND(EDATE($D111,Milestones!$AA$72)&lt;=AsOfDate,IF($Q111=0,$W111,IF(AND($S111&lt;&gt;"",EDATE($D111,Milestones!$AA$72)&gt;=$S111),$V111,IF(AND($R111&lt;&gt;"",EDATE($D111,Milestones!$AA$72)&gt;=$R111),$U111,$T111)))=Milestones!$AB$72),TEXT(EDATE($D111,Milestones!$AA$72),"dd/mm/yy")&amp;" "&amp;Milestones!$AB$72&amp;" "&amp;Milestones!$AC$72&amp;";  ","")&amp;IF(AND(EDATE($D111,Milestones!$AA$73)&lt;=AsOfDate,IF($Q111=0,$W111,IF(AND($S111&lt;&gt;"",EDATE($D111,Milestones!$AA$73)&gt;=$S111),$V111,IF(AND($R111&lt;&gt;"",EDATE($D111,Milestones!$AA$73)&gt;=$R111),$U111,$T111)))=Milestones!$AB$73),TEXT(EDATE($D111,Milestones!$AA$73),"dd/mm/yy")&amp;" "&amp;Milestones!$AB$73&amp;" "&amp;Milestones!$AC$73&amp;";  ","")&amp;IF(AND(EDATE($D111,Milestones!$AA$74)&lt;=AsOfDate,IF($Q111=0,$W111,IF(AND($S111&lt;&gt;"",EDATE($D111,Milestones!$AA$74)&gt;=$S111),$V111,IF(AND($R111&lt;&gt;"",EDATE($D111,Milestones!$AA$74)&gt;=$R111),$U111,$T111)))=Milestones!$AB$74),TEXT(EDATE($D111,Milestones!$AA$74),"dd/mm/yy")&amp;" "&amp;Milestones!$AB$74&amp;" "&amp;Milestones!$AC$74&amp;";  ","")&amp;IF(AND(EDATE($D111,Milestones!$AA$75)&lt;=AsOfDate,IF($Q111=0,$W111,IF(AND($S111&lt;&gt;"",EDATE($D111,Milestones!$AA$75)&gt;=$S111),$V111,IF(AND($R111&lt;&gt;"",EDATE($D111,Milestones!$AA$75)&gt;=$R111),$U111,$T111)))=Milestones!$AB$75),TEXT(EDATE($D111,Milestones!$AA$75),"dd/mm/yy")&amp;" "&amp;Milestones!$AB$75&amp;" "&amp;Milestones!$AC$75&amp;";  ","")&amp;IF(AND(EDATE($D111,Milestones!$AA$76)&lt;=AsOfDate,IF($Q111=0,$W111,IF(AND($S111&lt;&gt;"",EDATE($D111,Milestones!$AA$76)&gt;=$S111),$V111,IF(AND($R111&lt;&gt;"",EDATE($D111,Milestones!$AA$76)&gt;=$R111),$U111,$T111)))=Milestones!$AB$76),TEXT(EDATE($D111,Milestones!$AA$76),"dd/mm/yy")&amp;" "&amp;Milestones!$AB$76&amp;" "&amp;Milestones!$AC$76&amp;";  ","")&amp;IF(AND(EDATE($D111,Milestones!$AA$77)&lt;=AsOfDate,IF($Q111=0,$W111,IF(AND($S111&lt;&gt;"",EDATE($D111,Milestones!$AA$77)&gt;=$S111),$V111,IF(AND($R111&lt;&gt;"",EDATE($D111,Milestones!$AA$77)&gt;=$R111),$U111,$T111)))=Milestones!$AB$77),TEXT(EDATE($D111,Milestones!$AA$77),"dd/mm/yy")&amp;" "&amp;Milestones!$AB$77&amp;" "&amp;Milestones!$AC$77&amp;";  ","")&amp;IF(AND(EDATE($D111,Milestones!$AA$78)&lt;=AsOfDate,IF($Q111=0,$W111,IF(AND($S111&lt;&gt;"",EDATE($D111,Milestones!$AA$78)&gt;=$S111),$V111,IF(AND($R111&lt;&gt;"",EDATE($D111,Milestones!$AA$78)&gt;=$R111),$U111,$T111)))=Milestones!$AB$78),TEXT(EDATE($D111,Milestones!$AA$78),"dd/mm/yy")&amp;" "&amp;Milestones!$AB$78&amp;" "&amp;Milestones!$AC$78&amp;";  ","")&amp;IF(AND(EDATE($D111,Milestones!$AA$79)&lt;=AsOfDate,IF($Q111=0,$W111,IF(AND($S111&lt;&gt;"",EDATE($D111,Milestones!$AA$79)&gt;=$S111),$V111,IF(AND($R111&lt;&gt;"",EDATE($D111,Milestones!$AA$79)&gt;=$R111),$U111,$T111)))=Milestones!$AB$79),TEXT(EDATE($D111,Milestones!$AA$79),"dd/mm/yy")&amp;" "&amp;Milestones!$AB$79&amp;" "&amp;Milestones!$AC$79&amp;";  ",""))</f>
        <v/>
      </c>
      <c r="K111" s="0" t="str">
        <f aca="false">IF(OR($A111="",$D111=""),"",IF(AND(EDATE($D111,Milestones!$AA$80)&lt;=AsOfDate,IF($Q111=0,$W111,IF(AND($S111&lt;&gt;"",EDATE($D111,Milestones!$AA$80)&gt;=$S111),$V111,IF(AND($R111&lt;&gt;"",EDATE($D111,Milestones!$AA$80)&gt;=$R111),$U111,$T111)))=Milestones!$AB$80),TEXT(EDATE($D111,Milestones!$AA$80),"dd/mm/yy")&amp;" "&amp;Milestones!$AB$80&amp;" "&amp;Milestones!$AC$80&amp;";  ","")&amp;IF(AND(EDATE($D111,Milestones!$AA$81)&lt;=AsOfDate,IF($Q111=0,$W111,IF(AND($S111&lt;&gt;"",EDATE($D111,Milestones!$AA$81)&gt;=$S111),$V111,IF(AND($R111&lt;&gt;"",EDATE($D111,Milestones!$AA$81)&gt;=$R111),$U111,$T111)))=Milestones!$AB$81),TEXT(EDATE($D111,Milestones!$AA$81),"dd/mm/yy")&amp;" "&amp;Milestones!$AB$81&amp;" "&amp;Milestones!$AC$81&amp;";  ","")&amp;IF(AND(EDATE($D111,Milestones!$AA$82)&lt;=AsOfDate,IF($Q111=0,$W111,IF(AND($S111&lt;&gt;"",EDATE($D111,Milestones!$AA$82)&gt;=$S111),$V111,IF(AND($R111&lt;&gt;"",EDATE($D111,Milestones!$AA$82)&gt;=$R111),$U111,$T111)))=Milestones!$AB$82),TEXT(EDATE($D111,Milestones!$AA$82),"dd/mm/yy")&amp;" "&amp;Milestones!$AB$82&amp;" "&amp;Milestones!$AC$82&amp;";  ","")&amp;IF(AND(EDATE($D111,Milestones!$AA$83)&lt;=AsOfDate,IF($Q111=0,$W111,IF(AND($S111&lt;&gt;"",EDATE($D111,Milestones!$AA$83)&gt;=$S111),$V111,IF(AND($R111&lt;&gt;"",EDATE($D111,Milestones!$AA$83)&gt;=$R111),$U111,$T111)))=Milestones!$AB$83),TEXT(EDATE($D111,Milestones!$AA$83),"dd/mm/yy")&amp;" "&amp;Milestones!$AB$83&amp;" "&amp;Milestones!$AC$83&amp;";  ","")&amp;IF(AND(EDATE($D111,Milestones!$AA$84)&lt;=AsOfDate,IF($Q111=0,$W111,IF(AND($S111&lt;&gt;"",EDATE($D111,Milestones!$AA$84)&gt;=$S111),$V111,IF(AND($R111&lt;&gt;"",EDATE($D111,Milestones!$AA$84)&gt;=$R111),$U111,$T111)))=Milestones!$AB$84),TEXT(EDATE($D111,Milestones!$AA$84),"dd/mm/yy")&amp;" "&amp;Milestones!$AB$84&amp;" "&amp;Milestones!$AC$84&amp;";  ","")&amp;IF(AND(EDATE($D111,Milestones!$AA$85)&lt;=AsOfDate,IF($Q111=0,$W111,IF(AND($S111&lt;&gt;"",EDATE($D111,Milestones!$AA$85)&gt;=$S111),$V111,IF(AND($R111&lt;&gt;"",EDATE($D111,Milestones!$AA$85)&gt;=$R111),$U111,$T111)))=Milestones!$AB$85),TEXT(EDATE($D111,Milestones!$AA$85),"dd/mm/yy")&amp;" "&amp;Milestones!$AB$85&amp;" "&amp;Milestones!$AC$85&amp;";  ","")&amp;IF(AND(EDATE($D111,Milestones!$AA$86)&lt;=AsOfDate,IF($Q111=0,$W111,IF(AND($S111&lt;&gt;"",EDATE($D111,Milestones!$AA$86)&gt;=$S111),$V111,IF(AND($R111&lt;&gt;"",EDATE($D111,Milestones!$AA$86)&gt;=$R111),$U111,$T111)))=Milestones!$AB$86),TEXT(EDATE($D111,Milestones!$AA$86),"dd/mm/yy")&amp;" "&amp;Milestones!$AB$86&amp;" "&amp;Milestones!$AC$86&amp;";  ","")&amp;IF(AND(EDATE($D111,Milestones!$AA$87)&lt;=AsOfDate,IF($Q111=0,$W111,IF(AND($S111&lt;&gt;"",EDATE($D111,Milestones!$AA$87)&gt;=$S111),$V111,IF(AND($R111&lt;&gt;"",EDATE($D111,Milestones!$AA$87)&gt;=$R111),$U111,$T111)))=Milestones!$AB$87),TEXT(EDATE($D111,Milestones!$AA$87),"dd/mm/yy")&amp;" "&amp;Milestones!$AB$87&amp;" "&amp;Milestones!$AC$87&amp;";  ","")&amp;IF(AND(EDATE($D111,Milestones!$AA$88)&lt;=AsOfDate,IF($Q111=0,$W111,IF(AND($S111&lt;&gt;"",EDATE($D111,Milestones!$AA$88)&gt;=$S111),$V111,IF(AND($R111&lt;&gt;"",EDATE($D111,Milestones!$AA$88)&gt;=$R111),$U111,$T111)))=Milestones!$AB$88),TEXT(EDATE($D111,Milestones!$AA$88),"dd/mm/yy")&amp;" "&amp;Milestones!$AB$88&amp;" "&amp;Milestones!$AC$88&amp;";  ","")&amp;IF(AND(EDATE($D111,Milestones!$AA$89)&lt;=AsOfDate,IF($Q111=0,$W111,IF(AND($S111&lt;&gt;"",EDATE($D111,Milestones!$AA$89)&gt;=$S111),$V111,IF(AND($R111&lt;&gt;"",EDATE($D111,Milestones!$AA$89)&gt;=$R111),$U111,$T111)))=Milestones!$AB$89),TEXT(EDATE($D111,Milestones!$AA$89),"dd/mm/yy")&amp;" "&amp;Milestones!$AB$89&amp;" "&amp;Milestones!$AC$89&amp;";  ","")&amp;IF(AND(EDATE($D111,Milestones!$AA$90)&lt;=AsOfDate,IF($Q111=0,$W111,IF(AND($S111&lt;&gt;"",EDATE($D111,Milestones!$AA$90)&gt;=$S111),$V111,IF(AND($R111&lt;&gt;"",EDATE($D111,Milestones!$AA$90)&gt;=$R111),$U111,$T111)))=Milestones!$AB$90),TEXT(EDATE($D111,Milestones!$AA$90),"dd/mm/yy")&amp;" "&amp;Milestones!$AB$90&amp;" "&amp;Milestones!$AC$90&amp;";  ","")&amp;IF(AND(EDATE($D111,Milestones!$AA$91)&lt;=AsOfDate,IF($Q111=0,$W111,IF(AND($S111&lt;&gt;"",EDATE($D111,Milestones!$AA$91)&gt;=$S111),$V111,IF(AND($R111&lt;&gt;"",EDATE($D111,Milestones!$AA$91)&gt;=$R111),$U111,$T111)))=Milestones!$AB$91),TEXT(EDATE($D111,Milestones!$AA$91),"dd/mm/yy")&amp;" "&amp;Milestones!$AB$91&amp;" "&amp;Milestones!$AC$91&amp;";  ","")&amp;IF(AND(EDATE($D111,Milestones!$AA$92)&lt;=AsOfDate,IF($Q111=0,$W111,IF(AND($S111&lt;&gt;"",EDATE($D111,Milestones!$AA$92)&gt;=$S111),$V111,IF(AND($R111&lt;&gt;"",EDATE($D111,Milestones!$AA$92)&gt;=$R111),$U111,$T111)))=Milestones!$AB$92),TEXT(EDATE($D111,Milestones!$AA$92),"dd/mm/yy")&amp;" "&amp;Milestones!$AB$92&amp;" "&amp;Milestones!$AC$92&amp;";  ","")&amp;IF(AND(EDATE($D111,Milestones!$AA$93)&lt;=AsOfDate,IF($Q111=0,$W111,IF(AND($S111&lt;&gt;"",EDATE($D111,Milestones!$AA$93)&gt;=$S111),$V111,IF(AND($R111&lt;&gt;"",EDATE($D111,Milestones!$AA$93)&gt;=$R111),$U111,$T111)))=Milestones!$AB$93),TEXT(EDATE($D111,Milestones!$AA$93),"dd/mm/yy")&amp;" "&amp;Milestones!$AB$93&amp;" "&amp;Milestones!$AC$93&amp;";  ","")&amp;IF(AND(EDATE($D111,Milestones!$AA$94)&lt;=AsOfDate,IF($Q111=0,$W111,IF(AND($S111&lt;&gt;"",EDATE($D111,Milestones!$AA$94)&gt;=$S111),$V111,IF(AND($R111&lt;&gt;"",EDATE($D111,Milestones!$AA$94)&gt;=$R111),$U111,$T111)))=Milestones!$AB$94),TEXT(EDATE($D111,Milestones!$AA$94),"dd/mm/yy")&amp;" "&amp;Milestones!$AB$94&amp;" "&amp;Milestones!$AC$94&amp;";  ","")&amp;IF(AND(EDATE($D111,Milestones!$AA$95)&lt;=AsOfDate,IF($Q111=0,$W111,IF(AND($S111&lt;&gt;"",EDATE($D111,Milestones!$AA$95)&gt;=$S111),$V111,IF(AND($R111&lt;&gt;"",EDATE($D111,Milestones!$AA$95)&gt;=$R111),$U111,$T111)))=Milestones!$AB$95),TEXT(EDATE($D111,Milestones!$AA$95),"dd/mm/yy")&amp;" "&amp;Milestones!$AB$95&amp;" "&amp;Milestones!$AC$95&amp;";  ","")&amp;IF(AND(EDATE($D111,Milestones!$AA$96)&lt;=AsOfDate,IF($Q111=0,$W111,IF(AND($S111&lt;&gt;"",EDATE($D111,Milestones!$AA$96)&gt;=$S111),$V111,IF(AND($R111&lt;&gt;"",EDATE($D111,Milestones!$AA$96)&gt;=$R111),$U111,$T111)))=Milestones!$AB$96),TEXT(EDATE($D111,Milestones!$AA$96),"dd/mm/yy")&amp;" "&amp;Milestones!$AB$96&amp;" "&amp;Milestones!$AC$96&amp;";  ","")&amp;IF(AND(EDATE($D111,Milestones!$AA$97)&lt;=AsOfDate,IF($Q111=0,$W111,IF(AND($S111&lt;&gt;"",EDATE($D111,Milestones!$AA$97)&gt;=$S111),$V111,IF(AND($R111&lt;&gt;"",EDATE($D111,Milestones!$AA$97)&gt;=$R111),$U111,$T111)))=Milestones!$AB$97),TEXT(EDATE($D111,Milestones!$AA$97),"dd/mm/yy")&amp;" "&amp;Milestones!$AB$97&amp;" "&amp;Milestones!$AC$97&amp;";  ","")&amp;IF(AND(EDATE($D111,Milestones!$AA$98)&lt;=AsOfDate,IF($Q111=0,$W111,IF(AND($S111&lt;&gt;"",EDATE($D111,Milestones!$AA$98)&gt;=$S111),$V111,IF(AND($R111&lt;&gt;"",EDATE($D111,Milestones!$AA$98)&gt;=$R111),$U111,$T111)))=Milestones!$AB$98),TEXT(EDATE($D111,Milestones!$AA$98),"dd/mm/yy")&amp;" "&amp;Milestones!$AB$98&amp;" "&amp;Milestones!$AC$98&amp;";  ","")&amp;IF(AND(EDATE($D111,Milestones!$AA$99)&lt;=AsOfDate,IF($Q111=0,$W111,IF(AND($S111&lt;&gt;"",EDATE($D111,Milestones!$AA$99)&gt;=$S111),$V111,IF(AND($R111&lt;&gt;"",EDATE($D111,Milestones!$AA$99)&gt;=$R111),$U111,$T111)))=Milestones!$AB$99),TEXT(EDATE($D111,Milestones!$AA$99),"dd/mm/yy")&amp;" "&amp;Milestones!$AB$99&amp;" "&amp;Milestones!$AC$99&amp;";  ",""))</f>
        <v/>
      </c>
      <c r="L111" s="0" t="str">
        <f aca="false">IF(OR($A111="",$D111=""),"",IF(AND(EDATE($D111,Milestones!$AA$100)&lt;=AsOfDate,IF($Q111=0,$W111,IF(AND($S111&lt;&gt;"",EDATE($D111,Milestones!$AA$100)&gt;=$S111),$V111,IF(AND($R111&lt;&gt;"",EDATE($D111,Milestones!$AA$100)&gt;=$R111),$U111,$T111)))=Milestones!$AB$100),TEXT(EDATE($D111,Milestones!$AA$100),"dd/mm/yy")&amp;" "&amp;Milestones!$AB$100&amp;" "&amp;Milestones!$AC$100&amp;";  ","")&amp;IF(AND(EDATE($D111,Milestones!$AA$101)&lt;=AsOfDate,IF($Q111=0,$W111,IF(AND($S111&lt;&gt;"",EDATE($D111,Milestones!$AA$101)&gt;=$S111),$V111,IF(AND($R111&lt;&gt;"",EDATE($D111,Milestones!$AA$101)&gt;=$R111),$U111,$T111)))=Milestones!$AB$101),TEXT(EDATE($D111,Milestones!$AA$101),"dd/mm/yy")&amp;" "&amp;Milestones!$AB$101&amp;" "&amp;Milestones!$AC$101&amp;";  ","")&amp;IF(AND(EDATE($D111,Milestones!$AA$102)&lt;=AsOfDate,IF($Q111=0,$W111,IF(AND($S111&lt;&gt;"",EDATE($D111,Milestones!$AA$102)&gt;=$S111),$V111,IF(AND($R111&lt;&gt;"",EDATE($D111,Milestones!$AA$102)&gt;=$R111),$U111,$T111)))=Milestones!$AB$102),TEXT(EDATE($D111,Milestones!$AA$102),"dd/mm/yy")&amp;" "&amp;Milestones!$AB$102&amp;" "&amp;Milestones!$AC$102&amp;";  ","")&amp;IF(AND(EDATE($D111,Milestones!$AA$103)&lt;=AsOfDate,IF($Q111=0,$W111,IF(AND($S111&lt;&gt;"",EDATE($D111,Milestones!$AA$103)&gt;=$S111),$V111,IF(AND($R111&lt;&gt;"",EDATE($D111,Milestones!$AA$103)&gt;=$R111),$U111,$T111)))=Milestones!$AB$103),TEXT(EDATE($D111,Milestones!$AA$103),"dd/mm/yy")&amp;" "&amp;Milestones!$AB$103&amp;" "&amp;Milestones!$AC$103&amp;";  ","")&amp;IF(AND(EDATE($D111,Milestones!$AA$104)&lt;=AsOfDate,IF($Q111=0,$W111,IF(AND($S111&lt;&gt;"",EDATE($D111,Milestones!$AA$104)&gt;=$S111),$V111,IF(AND($R111&lt;&gt;"",EDATE($D111,Milestones!$AA$104)&gt;=$R111),$U111,$T111)))=Milestones!$AB$104),TEXT(EDATE($D111,Milestones!$AA$104),"dd/mm/yy")&amp;" "&amp;Milestones!$AB$104&amp;" "&amp;Milestones!$AC$104&amp;";  ","")&amp;IF(AND(EDATE($D111,Milestones!$AA$105)&lt;=AsOfDate,IF($Q111=0,$W111,IF(AND($S111&lt;&gt;"",EDATE($D111,Milestones!$AA$105)&gt;=$S111),$V111,IF(AND($R111&lt;&gt;"",EDATE($D111,Milestones!$AA$105)&gt;=$R111),$U111,$T111)))=Milestones!$AB$105),TEXT(EDATE($D111,Milestones!$AA$105),"dd/mm/yy")&amp;" "&amp;Milestones!$AB$105&amp;" "&amp;Milestones!$AC$105&amp;";  ","")&amp;IF(AND(EDATE($D111,Milestones!$AA$106)&lt;=AsOfDate,IF($Q111=0,$W111,IF(AND($S111&lt;&gt;"",EDATE($D111,Milestones!$AA$106)&gt;=$S111),$V111,IF(AND($R111&lt;&gt;"",EDATE($D111,Milestones!$AA$106)&gt;=$R111),$U111,$T111)))=Milestones!$AB$106),TEXT(EDATE($D111,Milestones!$AA$106),"dd/mm/yy")&amp;" "&amp;Milestones!$AB$106&amp;" "&amp;Milestones!$AC$106&amp;";  ","")&amp;IF(AND(EDATE($D111,Milestones!$AA$107)&lt;=AsOfDate,IF($Q111=0,$W111,IF(AND($S111&lt;&gt;"",EDATE($D111,Milestones!$AA$107)&gt;=$S111),$V111,IF(AND($R111&lt;&gt;"",EDATE($D111,Milestones!$AA$107)&gt;=$R111),$U111,$T111)))=Milestones!$AB$107),TEXT(EDATE($D111,Milestones!$AA$107),"dd/mm/yy")&amp;" "&amp;Milestones!$AB$107&amp;" "&amp;Milestones!$AC$107&amp;";  ","")&amp;IF(AND(EDATE($D111,Milestones!$AA$108)&lt;=AsOfDate,IF($Q111=0,$W111,IF(AND($S111&lt;&gt;"",EDATE($D111,Milestones!$AA$108)&gt;=$S111),$V111,IF(AND($R111&lt;&gt;"",EDATE($D111,Milestones!$AA$108)&gt;=$R111),$U111,$T111)))=Milestones!$AB$108),TEXT(EDATE($D111,Milestones!$AA$108),"dd/mm/yy")&amp;" "&amp;Milestones!$AB$108&amp;" "&amp;Milestones!$AC$108&amp;";  ","")&amp;IF(AND(EDATE($D111,Milestones!$AA$109)&lt;=AsOfDate,IF($Q111=0,$W111,IF(AND($S111&lt;&gt;"",EDATE($D111,Milestones!$AA$109)&gt;=$S111),$V111,IF(AND($R111&lt;&gt;"",EDATE($D111,Milestones!$AA$109)&gt;=$R111),$U111,$T111)))=Milestones!$AB$109),TEXT(EDATE($D111,Milestones!$AA$109),"dd/mm/yy")&amp;" "&amp;Milestones!$AB$109&amp;" "&amp;Milestones!$AC$109&amp;";  ","")&amp;IF(AND(EDATE($D111,Milestones!$AA$110)&lt;=AsOfDate,IF($Q111=0,$W111,IF(AND($S111&lt;&gt;"",EDATE($D111,Milestones!$AA$110)&gt;=$S111),$V111,IF(AND($R111&lt;&gt;"",EDATE($D111,Milestones!$AA$110)&gt;=$R111),$U111,$T111)))=Milestones!$AB$110),TEXT(EDATE($D111,Milestones!$AA$110),"dd/mm/yy")&amp;" "&amp;Milestones!$AB$110&amp;" "&amp;Milestones!$AC$110&amp;";  ","")&amp;IF(AND(EDATE($D111,Milestones!$AA$111)&lt;=AsOfDate,IF($Q111=0,$W111,IF(AND($S111&lt;&gt;"",EDATE($D111,Milestones!$AA$111)&gt;=$S111),$V111,IF(AND($R111&lt;&gt;"",EDATE($D111,Milestones!$AA$111)&gt;=$R111),$U111,$T111)))=Milestones!$AB$111),TEXT(EDATE($D111,Milestones!$AA$111),"dd/mm/yy")&amp;" "&amp;Milestones!$AB$111&amp;" "&amp;Milestones!$AC$111&amp;";  ","")&amp;IF(AND(EDATE($D111,Milestones!$AA$112)&lt;=AsOfDate,IF($Q111=0,$W111,IF(AND($S111&lt;&gt;"",EDATE($D111,Milestones!$AA$112)&gt;=$S111),$V111,IF(AND($R111&lt;&gt;"",EDATE($D111,Milestones!$AA$112)&gt;=$R111),$U111,$T111)))=Milestones!$AB$112),TEXT(EDATE($D111,Milestones!$AA$112),"dd/mm/yy")&amp;" "&amp;Milestones!$AB$112&amp;" "&amp;Milestones!$AC$112&amp;";  ","")&amp;IF(AND(EDATE($D111,Milestones!$AA$113)&lt;=AsOfDate,IF($Q111=0,$W111,IF(AND($S111&lt;&gt;"",EDATE($D111,Milestones!$AA$113)&gt;=$S111),$V111,IF(AND($R111&lt;&gt;"",EDATE($D111,Milestones!$AA$113)&gt;=$R111),$U111,$T111)))=Milestones!$AB$113),TEXT(EDATE($D111,Milestones!$AA$113),"dd/mm/yy")&amp;" "&amp;Milestones!$AB$113&amp;" "&amp;Milestones!$AC$113&amp;";  ","")&amp;IF(AND(EDATE($D111,Milestones!$AA$114)&lt;=AsOfDate,IF($Q111=0,$W111,IF(AND($S111&lt;&gt;"",EDATE($D111,Milestones!$AA$114)&gt;=$S111),$V111,IF(AND($R111&lt;&gt;"",EDATE($D111,Milestones!$AA$114)&gt;=$R111),$U111,$T111)))=Milestones!$AB$114),TEXT(EDATE($D111,Milestones!$AA$114),"dd/mm/yy")&amp;" "&amp;Milestones!$AB$114&amp;" "&amp;Milestones!$AC$114&amp;";  ","")&amp;IF(AND(EDATE($D111,Milestones!$AA$115)&lt;=AsOfDate,IF($Q111=0,$W111,IF(AND($S111&lt;&gt;"",EDATE($D111,Milestones!$AA$115)&gt;=$S111),$V111,IF(AND($R111&lt;&gt;"",EDATE($D111,Milestones!$AA$115)&gt;=$R111),$U111,$T111)))=Milestones!$AB$115),TEXT(EDATE($D111,Milestones!$AA$115),"dd/mm/yy")&amp;" "&amp;Milestones!$AB$115&amp;" "&amp;Milestones!$AC$115&amp;";  ","")&amp;IF(AND(EDATE($D111,Milestones!$AA$116)&lt;=AsOfDate,IF($Q111=0,$W111,IF(AND($S111&lt;&gt;"",EDATE($D111,Milestones!$AA$116)&gt;=$S111),$V111,IF(AND($R111&lt;&gt;"",EDATE($D111,Milestones!$AA$116)&gt;=$R111),$U111,$T111)))=Milestones!$AB$116),TEXT(EDATE($D111,Milestones!$AA$116),"dd/mm/yy")&amp;" "&amp;Milestones!$AB$116&amp;" "&amp;Milestones!$AC$116&amp;";  ","")&amp;IF(AND(EDATE($D111,Milestones!$AA$117)&lt;=AsOfDate,IF($Q111=0,$W111,IF(AND($S111&lt;&gt;"",EDATE($D111,Milestones!$AA$117)&gt;=$S111),$V111,IF(AND($R111&lt;&gt;"",EDATE($D111,Milestones!$AA$117)&gt;=$R111),$U111,$T111)))=Milestones!$AB$117),TEXT(EDATE($D111,Milestones!$AA$117),"dd/mm/yy")&amp;" "&amp;Milestones!$AB$117&amp;" "&amp;Milestones!$AC$117&amp;";  ","")&amp;IF(AND(EDATE($D111,Milestones!$AA$118)&lt;=AsOfDate,IF($Q111=0,$W111,IF(AND($S111&lt;&gt;"",EDATE($D111,Milestones!$AA$118)&gt;=$S111),$V111,IF(AND($R111&lt;&gt;"",EDATE($D111,Milestones!$AA$118)&gt;=$R111),$U111,$T111)))=Milestones!$AB$118),TEXT(EDATE($D111,Milestones!$AA$118),"dd/mm/yy")&amp;" "&amp;Milestones!$AB$118&amp;" "&amp;Milestones!$AC$118&amp;";  ","")&amp;IF(AND(EDATE($D111,Milestones!$AA$119)&lt;=AsOfDate,IF($Q111=0,$W111,IF(AND($S111&lt;&gt;"",EDATE($D111,Milestones!$AA$119)&gt;=$S111),$V111,IF(AND($R111&lt;&gt;"",EDATE($D111,Milestones!$AA$119)&gt;=$R111),$U111,$T111)))=Milestones!$AB$119),TEXT(EDATE($D111,Milestones!$AA$119),"dd/mm/yy")&amp;" "&amp;Milestones!$AB$119&amp;" "&amp;Milestones!$AC$119&amp;";  ",""))</f>
        <v/>
      </c>
      <c r="M111" s="0" t="str">
        <f aca="false">IF(OR($A111="",$D111=""),"",IF(AND(EDATE($D111,Milestones!$AA$120)&lt;=AsOfDate,IF($Q111=0,$W111,IF(AND($S111&lt;&gt;"",EDATE($D111,Milestones!$AA$120)&gt;=$S111),$V111,IF(AND($R111&lt;&gt;"",EDATE($D111,Milestones!$AA$120)&gt;=$R111),$U111,$T111)))=Milestones!$AB$120),TEXT(EDATE($D111,Milestones!$AA$120),"dd/mm/yy")&amp;" "&amp;Milestones!$AB$120&amp;" "&amp;Milestones!$AC$120&amp;";  ","")&amp;IF(AND(EDATE($D111,Milestones!$AA$121)&lt;=AsOfDate,IF($Q111=0,$W111,IF(AND($S111&lt;&gt;"",EDATE($D111,Milestones!$AA$121)&gt;=$S111),$V111,IF(AND($R111&lt;&gt;"",EDATE($D111,Milestones!$AA$121)&gt;=$R111),$U111,$T111)))=Milestones!$AB$121),TEXT(EDATE($D111,Milestones!$AA$121),"dd/mm/yy")&amp;" "&amp;Milestones!$AB$121&amp;" "&amp;Milestones!$AC$121&amp;";  ","")&amp;IF(AND(EDATE($D111,Milestones!$AA$122)&lt;=AsOfDate,IF($Q111=0,$W111,IF(AND($S111&lt;&gt;"",EDATE($D111,Milestones!$AA$122)&gt;=$S111),$V111,IF(AND($R111&lt;&gt;"",EDATE($D111,Milestones!$AA$122)&gt;=$R111),$U111,$T111)))=Milestones!$AB$122),TEXT(EDATE($D111,Milestones!$AA$122),"dd/mm/yy")&amp;" "&amp;Milestones!$AB$122&amp;" "&amp;Milestones!$AC$122&amp;";  ","")&amp;IF(AND(EDATE($D111,Milestones!$AA$123)&lt;=AsOfDate,IF($Q111=0,$W111,IF(AND($S111&lt;&gt;"",EDATE($D111,Milestones!$AA$123)&gt;=$S111),$V111,IF(AND($R111&lt;&gt;"",EDATE($D111,Milestones!$AA$123)&gt;=$R111),$U111,$T111)))=Milestones!$AB$123),TEXT(EDATE($D111,Milestones!$AA$123),"dd/mm/yy")&amp;" "&amp;Milestones!$AB$123&amp;" "&amp;Milestones!$AC$123&amp;";  ","")&amp;IF(AND(EDATE($D111,Milestones!$AA$124)&lt;=AsOfDate,IF($Q111=0,$W111,IF(AND($S111&lt;&gt;"",EDATE($D111,Milestones!$AA$124)&gt;=$S111),$V111,IF(AND($R111&lt;&gt;"",EDATE($D111,Milestones!$AA$124)&gt;=$R111),$U111,$T111)))=Milestones!$AB$124),TEXT(EDATE($D111,Milestones!$AA$124),"dd/mm/yy")&amp;" "&amp;Milestones!$AB$124&amp;" "&amp;Milestones!$AC$124&amp;";  ","")&amp;IF(AND(EDATE($D111,Milestones!$AA$125)&lt;=AsOfDate,IF($Q111=0,$W111,IF(AND($S111&lt;&gt;"",EDATE($D111,Milestones!$AA$125)&gt;=$S111),$V111,IF(AND($R111&lt;&gt;"",EDATE($D111,Milestones!$AA$125)&gt;=$R111),$U111,$T111)))=Milestones!$AB$125),TEXT(EDATE($D111,Milestones!$AA$125),"dd/mm/yy")&amp;" "&amp;Milestones!$AB$125&amp;" "&amp;Milestones!$AC$125&amp;";  ","")&amp;IF(AND(EDATE($D111,Milestones!$AA$126)&lt;=AsOfDate,IF($Q111=0,$W111,IF(AND($S111&lt;&gt;"",EDATE($D111,Milestones!$AA$126)&gt;=$S111),$V111,IF(AND($R111&lt;&gt;"",EDATE($D111,Milestones!$AA$126)&gt;=$R111),$U111,$T111)))=Milestones!$AB$126),TEXT(EDATE($D111,Milestones!$AA$126),"dd/mm/yy")&amp;" "&amp;Milestones!$AB$126&amp;" "&amp;Milestones!$AC$126&amp;";  ","")&amp;IF(AND(EDATE($D111,Milestones!$AA$127)&lt;=AsOfDate,IF($Q111=0,$W111,IF(AND($S111&lt;&gt;"",EDATE($D111,Milestones!$AA$127)&gt;=$S111),$V111,IF(AND($R111&lt;&gt;"",EDATE($D111,Milestones!$AA$127)&gt;=$R111),$U111,$T111)))=Milestones!$AB$127),TEXT(EDATE($D111,Milestones!$AA$127),"dd/mm/yy")&amp;" "&amp;Milestones!$AB$127&amp;" "&amp;Milestones!$AC$127&amp;";  ","")&amp;IF(AND(EDATE($D111,Milestones!$AA$128)&lt;=AsOfDate,IF($Q111=0,$W111,IF(AND($S111&lt;&gt;"",EDATE($D111,Milestones!$AA$128)&gt;=$S111),$V111,IF(AND($R111&lt;&gt;"",EDATE($D111,Milestones!$AA$128)&gt;=$R111),$U111,$T111)))=Milestones!$AB$128),TEXT(EDATE($D111,Milestones!$AA$128),"dd/mm/yy")&amp;" "&amp;Milestones!$AB$128&amp;" "&amp;Milestones!$AC$128&amp;";  ","")&amp;IF(AND(EDATE($D111,Milestones!$AA$129)&lt;=AsOfDate,IF($Q111=0,$W111,IF(AND($S111&lt;&gt;"",EDATE($D111,Milestones!$AA$129)&gt;=$S111),$V111,IF(AND($R111&lt;&gt;"",EDATE($D111,Milestones!$AA$129)&gt;=$R111),$U111,$T111)))=Milestones!$AB$129),TEXT(EDATE($D111,Milestones!$AA$129),"dd/mm/yy")&amp;" "&amp;Milestones!$AB$129&amp;" "&amp;Milestones!$AC$129&amp;";  ","")&amp;IF(AND(EDATE($D111,Milestones!$AA$130)&lt;=AsOfDate,IF($Q111=0,$W111,IF(AND($S111&lt;&gt;"",EDATE($D111,Milestones!$AA$130)&gt;=$S111),$V111,IF(AND($R111&lt;&gt;"",EDATE($D111,Milestones!$AA$130)&gt;=$R111),$U111,$T111)))=Milestones!$AB$130),TEXT(EDATE($D111,Milestones!$AA$130),"dd/mm/yy")&amp;" "&amp;Milestones!$AB$130&amp;" "&amp;Milestones!$AC$130&amp;";  ","")&amp;IF(AND(EDATE($D111,Milestones!$AA$131)&lt;=AsOfDate,IF($Q111=0,$W111,IF(AND($S111&lt;&gt;"",EDATE($D111,Milestones!$AA$131)&gt;=$S111),$V111,IF(AND($R111&lt;&gt;"",EDATE($D111,Milestones!$AA$131)&gt;=$R111),$U111,$T111)))=Milestones!$AB$131),TEXT(EDATE($D111,Milestones!$AA$131),"dd/mm/yy")&amp;" "&amp;Milestones!$AB$131&amp;" "&amp;Milestones!$AC$131&amp;";  ","")&amp;IF(AND(EDATE($D111,Milestones!$AA$132)&lt;=AsOfDate,IF($Q111=0,$W111,IF(AND($S111&lt;&gt;"",EDATE($D111,Milestones!$AA$132)&gt;=$S111),$V111,IF(AND($R111&lt;&gt;"",EDATE($D111,Milestones!$AA$132)&gt;=$R111),$U111,$T111)))=Milestones!$AB$132),TEXT(EDATE($D111,Milestones!$AA$132),"dd/mm/yy")&amp;" "&amp;Milestones!$AB$132&amp;" "&amp;Milestones!$AC$132&amp;";  ","")&amp;IF(AND(EDATE($D111,Milestones!$AA$133)&lt;=AsOfDate,IF($Q111=0,$W111,IF(AND($S111&lt;&gt;"",EDATE($D111,Milestones!$AA$133)&gt;=$S111),$V111,IF(AND($R111&lt;&gt;"",EDATE($D111,Milestones!$AA$133)&gt;=$R111),$U111,$T111)))=Milestones!$AB$133),TEXT(EDATE($D111,Milestones!$AA$133),"dd/mm/yy")&amp;" "&amp;Milestones!$AB$133&amp;" "&amp;Milestones!$AC$133&amp;";  ","")&amp;IF(AND(EDATE($D111,Milestones!$AA$134)&lt;=AsOfDate,IF($Q111=0,$W111,IF(AND($S111&lt;&gt;"",EDATE($D111,Milestones!$AA$134)&gt;=$S111),$V111,IF(AND($R111&lt;&gt;"",EDATE($D111,Milestones!$AA$134)&gt;=$R111),$U111,$T111)))=Milestones!$AB$134),TEXT(EDATE($D111,Milestones!$AA$134),"dd/mm/yy")&amp;" "&amp;Milestones!$AB$134&amp;" "&amp;Milestones!$AC$134&amp;";  ","")&amp;IF(AND(EDATE($D111,Milestones!$AA$135)&lt;=AsOfDate,IF($Q111=0,$W111,IF(AND($S111&lt;&gt;"",EDATE($D111,Milestones!$AA$135)&gt;=$S111),$V111,IF(AND($R111&lt;&gt;"",EDATE($D111,Milestones!$AA$135)&gt;=$R111),$U111,$T111)))=Milestones!$AB$135),TEXT(EDATE($D111,Milestones!$AA$135),"dd/mm/yy")&amp;" "&amp;Milestones!$AB$135&amp;" "&amp;Milestones!$AC$135&amp;";  ","")&amp;IF(AND(EDATE($D111,Milestones!$AA$136)&lt;=AsOfDate,IF($Q111=0,$W111,IF(AND($S111&lt;&gt;"",EDATE($D111,Milestones!$AA$136)&gt;=$S111),$V111,IF(AND($R111&lt;&gt;"",EDATE($D111,Milestones!$AA$136)&gt;=$R111),$U111,$T111)))=Milestones!$AB$136),TEXT(EDATE($D111,Milestones!$AA$136),"dd/mm/yy")&amp;" "&amp;Milestones!$AB$136&amp;" "&amp;Milestones!$AC$136&amp;";  ","")&amp;IF(AND(EDATE($D111,Milestones!$AA$137)&lt;=AsOfDate,IF($Q111=0,$W111,IF(AND($S111&lt;&gt;"",EDATE($D111,Milestones!$AA$137)&gt;=$S111),$V111,IF(AND($R111&lt;&gt;"",EDATE($D111,Milestones!$AA$137)&gt;=$R111),$U111,$T111)))=Milestones!$AB$137),TEXT(EDATE($D111,Milestones!$AA$137),"dd/mm/yy")&amp;" "&amp;Milestones!$AB$137&amp;" "&amp;Milestones!$AC$137&amp;";  ","")&amp;IF(AND(EDATE($D111,Milestones!$AA$138)&lt;=AsOfDate,IF($Q111=0,$W111,IF(AND($S111&lt;&gt;"",EDATE($D111,Milestones!$AA$138)&gt;=$S111),$V111,IF(AND($R111&lt;&gt;"",EDATE($D111,Milestones!$AA$138)&gt;=$R111),$U111,$T111)))=Milestones!$AB$138),TEXT(EDATE($D111,Milestones!$AA$138),"dd/mm/yy")&amp;" "&amp;Milestones!$AB$138&amp;" "&amp;Milestones!$AC$138&amp;";  ","")&amp;IF(AND(EDATE($D111,Milestones!$AA$139)&lt;=AsOfDate,IF($Q111=0,$W111,IF(AND($S111&lt;&gt;"",EDATE($D111,Milestones!$AA$139)&gt;=$S111),$V111,IF(AND($R111&lt;&gt;"",EDATE($D111,Milestones!$AA$139)&gt;=$R111),$U111,$T111)))=Milestones!$AB$139),TEXT(EDATE($D111,Milestones!$AA$139),"dd/mm/yy")&amp;" "&amp;Milestones!$AB$139&amp;" "&amp;Milestones!$AC$139&amp;";  ",""))</f>
        <v/>
      </c>
      <c r="N111" s="0" t="str">
        <f aca="false">IF(OR($A111="",$D111=""),"",IF(AND(EDATE($D111,Milestones!$AA$140)&lt;=AsOfDate,IF($Q111=0,$W111,IF(AND($S111&lt;&gt;"",EDATE($D111,Milestones!$AA$140)&gt;=$S111),$V111,IF(AND($R111&lt;&gt;"",EDATE($D111,Milestones!$AA$140)&gt;=$R111),$U111,$T111)))=Milestones!$AB$140),TEXT(EDATE($D111,Milestones!$AA$140),"dd/mm/yy")&amp;" "&amp;Milestones!$AB$140&amp;" "&amp;Milestones!$AC$140&amp;";  ","")&amp;IF(AND(EDATE($D111,Milestones!$AA$141)&lt;=AsOfDate,IF($Q111=0,$W111,IF(AND($S111&lt;&gt;"",EDATE($D111,Milestones!$AA$141)&gt;=$S111),$V111,IF(AND($R111&lt;&gt;"",EDATE($D111,Milestones!$AA$141)&gt;=$R111),$U111,$T111)))=Milestones!$AB$141),TEXT(EDATE($D111,Milestones!$AA$141),"dd/mm/yy")&amp;" "&amp;Milestones!$AB$141&amp;" "&amp;Milestones!$AC$141&amp;";  ","")&amp;IF(AND(EDATE($D111,Milestones!$AA$142)&lt;=AsOfDate,IF($Q111=0,$W111,IF(AND($S111&lt;&gt;"",EDATE($D111,Milestones!$AA$142)&gt;=$S111),$V111,IF(AND($R111&lt;&gt;"",EDATE($D111,Milestones!$AA$142)&gt;=$R111),$U111,$T111)))=Milestones!$AB$142),TEXT(EDATE($D111,Milestones!$AA$142),"dd/mm/yy")&amp;" "&amp;Milestones!$AB$142&amp;" "&amp;Milestones!$AC$142&amp;";  ","")&amp;IF(AND(EDATE($D111,Milestones!$AA$143)&lt;=AsOfDate,IF($Q111=0,$W111,IF(AND($S111&lt;&gt;"",EDATE($D111,Milestones!$AA$143)&gt;=$S111),$V111,IF(AND($R111&lt;&gt;"",EDATE($D111,Milestones!$AA$143)&gt;=$R111),$U111,$T111)))=Milestones!$AB$143),TEXT(EDATE($D111,Milestones!$AA$143),"dd/mm/yy")&amp;" "&amp;Milestones!$AB$143&amp;" "&amp;Milestones!$AC$143&amp;";  ","")&amp;IF(AND(EDATE($D111,Milestones!$AA$144)&lt;=AsOfDate,IF($Q111=0,$W111,IF(AND($S111&lt;&gt;"",EDATE($D111,Milestones!$AA$144)&gt;=$S111),$V111,IF(AND($R111&lt;&gt;"",EDATE($D111,Milestones!$AA$144)&gt;=$R111),$U111,$T111)))=Milestones!$AB$144),TEXT(EDATE($D111,Milestones!$AA$144),"dd/mm/yy")&amp;" "&amp;Milestones!$AB$144&amp;" "&amp;Milestones!$AC$144&amp;";  ","")&amp;IF(AND(EDATE($D111,Milestones!$AA$145)&lt;=AsOfDate,IF($Q111=0,$W111,IF(AND($S111&lt;&gt;"",EDATE($D111,Milestones!$AA$145)&gt;=$S111),$V111,IF(AND($R111&lt;&gt;"",EDATE($D111,Milestones!$AA$145)&gt;=$R111),$U111,$T111)))=Milestones!$AB$145),TEXT(EDATE($D111,Milestones!$AA$145),"dd/mm/yy")&amp;" "&amp;Milestones!$AB$145&amp;" "&amp;Milestones!$AC$145&amp;";  ","")&amp;IF(AND(EDATE($D111,Milestones!$AA$146)&lt;=AsOfDate,IF($Q111=0,$W111,IF(AND($S111&lt;&gt;"",EDATE($D111,Milestones!$AA$146)&gt;=$S111),$V111,IF(AND($R111&lt;&gt;"",EDATE($D111,Milestones!$AA$146)&gt;=$R111),$U111,$T111)))=Milestones!$AB$146),TEXT(EDATE($D111,Milestones!$AA$146),"dd/mm/yy")&amp;" "&amp;Milestones!$AB$146&amp;" "&amp;Milestones!$AC$146&amp;";  ","")&amp;IF(AND(EDATE($D111,Milestones!$AA$147)&lt;=AsOfDate,IF($Q111=0,$W111,IF(AND($S111&lt;&gt;"",EDATE($D111,Milestones!$AA$147)&gt;=$S111),$V111,IF(AND($R111&lt;&gt;"",EDATE($D111,Milestones!$AA$147)&gt;=$R111),$U111,$T111)))=Milestones!$AB$147),TEXT(EDATE($D111,Milestones!$AA$147),"dd/mm/yy")&amp;" "&amp;Milestones!$AB$147&amp;" "&amp;Milestones!$AC$147&amp;";  ","")&amp;IF(AND(EDATE($D111,Milestones!$AA$148)&lt;=AsOfDate,IF($Q111=0,$W111,IF(AND($S111&lt;&gt;"",EDATE($D111,Milestones!$AA$148)&gt;=$S111),$V111,IF(AND($R111&lt;&gt;"",EDATE($D111,Milestones!$AA$148)&gt;=$R111),$U111,$T111)))=Milestones!$AB$148),TEXT(EDATE($D111,Milestones!$AA$148),"dd/mm/yy")&amp;" "&amp;Milestones!$AB$148&amp;" "&amp;Milestones!$AC$148&amp;";  ","")&amp;IF(AND(EDATE($D111,Milestones!$AA$149)&lt;=AsOfDate,IF($Q111=0,$W111,IF(AND($S111&lt;&gt;"",EDATE($D111,Milestones!$AA$149)&gt;=$S111),$V111,IF(AND($R111&lt;&gt;"",EDATE($D111,Milestones!$AA$149)&gt;=$R111),$U111,$T111)))=Milestones!$AB$149),TEXT(EDATE($D111,Milestones!$AA$149),"dd/mm/yy")&amp;" "&amp;Milestones!$AB$149&amp;" "&amp;Milestones!$AC$149&amp;";  ","")&amp;IF(AND(EDATE($D111,Milestones!$AA$150)&lt;=AsOfDate,IF($Q111=0,$W111,IF(AND($S111&lt;&gt;"",EDATE($D111,Milestones!$AA$150)&gt;=$S111),$V111,IF(AND($R111&lt;&gt;"",EDATE($D111,Milestones!$AA$150)&gt;=$R111),$U111,$T111)))=Milestones!$AB$150),TEXT(EDATE($D111,Milestones!$AA$150),"dd/mm/yy")&amp;" "&amp;Milestones!$AB$150&amp;" "&amp;Milestones!$AC$150&amp;";  ","")&amp;IF(AND(EDATE($D111,Milestones!$AA$151)&lt;=AsOfDate,IF($Q111=0,$W111,IF(AND($S111&lt;&gt;"",EDATE($D111,Milestones!$AA$151)&gt;=$S111),$V111,IF(AND($R111&lt;&gt;"",EDATE($D111,Milestones!$AA$151)&gt;=$R111),$U111,$T111)))=Milestones!$AB$151),TEXT(EDATE($D111,Milestones!$AA$151),"dd/mm/yy")&amp;" "&amp;Milestones!$AB$151&amp;" "&amp;Milestones!$AC$151&amp;";  ","")&amp;IF(AND(EDATE($D111,Milestones!$AA$152)&lt;=AsOfDate,IF($Q111=0,$W111,IF(AND($S111&lt;&gt;"",EDATE($D111,Milestones!$AA$152)&gt;=$S111),$V111,IF(AND($R111&lt;&gt;"",EDATE($D111,Milestones!$AA$152)&gt;=$R111),$U111,$T111)))=Milestones!$AB$152),TEXT(EDATE($D111,Milestones!$AA$152),"dd/mm/yy")&amp;" "&amp;Milestones!$AB$152&amp;" "&amp;Milestones!$AC$152&amp;";  ","")&amp;IF(AND(EDATE($D111,Milestones!$AA$153)&lt;=AsOfDate,IF($Q111=0,$W111,IF(AND($S111&lt;&gt;"",EDATE($D111,Milestones!$AA$153)&gt;=$S111),$V111,IF(AND($R111&lt;&gt;"",EDATE($D111,Milestones!$AA$153)&gt;=$R111),$U111,$T111)))=Milestones!$AB$153),TEXT(EDATE($D111,Milestones!$AA$153),"dd/mm/yy")&amp;" "&amp;Milestones!$AB$153&amp;" "&amp;Milestones!$AC$153&amp;";  ","")&amp;IF(AND(EDATE($D111,Milestones!$AA$154)&lt;=AsOfDate,IF($Q111=0,$W111,IF(AND($S111&lt;&gt;"",EDATE($D111,Milestones!$AA$154)&gt;=$S111),$V111,IF(AND($R111&lt;&gt;"",EDATE($D111,Milestones!$AA$154)&gt;=$R111),$U111,$T111)))=Milestones!$AB$154),TEXT(EDATE($D111,Milestones!$AA$154),"dd/mm/yy")&amp;" "&amp;Milestones!$AB$154&amp;" "&amp;Milestones!$AC$154&amp;";  ","")&amp;IF(AND(EDATE($D111,Milestones!$AA$155)&lt;=AsOfDate,IF($Q111=0,$W111,IF(AND($S111&lt;&gt;"",EDATE($D111,Milestones!$AA$155)&gt;=$S111),$V111,IF(AND($R111&lt;&gt;"",EDATE($D111,Milestones!$AA$155)&gt;=$R111),$U111,$T111)))=Milestones!$AB$155),TEXT(EDATE($D111,Milestones!$AA$155),"dd/mm/yy")&amp;" "&amp;Milestones!$AB$155&amp;" "&amp;Milestones!$AC$155&amp;";  ","")&amp;IF(AND(EDATE($D111,Milestones!$AA$156)&lt;=AsOfDate,IF($Q111=0,$W111,IF(AND($S111&lt;&gt;"",EDATE($D111,Milestones!$AA$156)&gt;=$S111),$V111,IF(AND($R111&lt;&gt;"",EDATE($D111,Milestones!$AA$156)&gt;=$R111),$U111,$T111)))=Milestones!$AB$156),TEXT(EDATE($D111,Milestones!$AA$156),"dd/mm/yy")&amp;" "&amp;Milestones!$AB$156&amp;" "&amp;Milestones!$AC$156&amp;";  ","")&amp;IF(AND(EDATE($D111,Milestones!$AA$157)&lt;=AsOfDate,IF($Q111=0,$W111,IF(AND($S111&lt;&gt;"",EDATE($D111,Milestones!$AA$157)&gt;=$S111),$V111,IF(AND($R111&lt;&gt;"",EDATE($D111,Milestones!$AA$157)&gt;=$R111),$U111,$T111)))=Milestones!$AB$157),TEXT(EDATE($D111,Milestones!$AA$157),"dd/mm/yy")&amp;" "&amp;Milestones!$AB$157&amp;" "&amp;Milestones!$AC$157&amp;";  ","")&amp;IF(AND(EDATE($D111,Milestones!$AA$158)&lt;=AsOfDate,IF($Q111=0,$W111,IF(AND($S111&lt;&gt;"",EDATE($D111,Milestones!$AA$158)&gt;=$S111),$V111,IF(AND($R111&lt;&gt;"",EDATE($D111,Milestones!$AA$158)&gt;=$R111),$U111,$T111)))=Milestones!$AB$158),TEXT(EDATE($D111,Milestones!$AA$158),"dd/mm/yy")&amp;" "&amp;Milestones!$AB$158&amp;" "&amp;Milestones!$AC$158&amp;";  ","")&amp;IF(AND(EDATE($D111,Milestones!$AA$159)&lt;=AsOfDate,IF($Q111=0,$W111,IF(AND($S111&lt;&gt;"",EDATE($D111,Milestones!$AA$159)&gt;=$S111),$V111,IF(AND($R111&lt;&gt;"",EDATE($D111,Milestones!$AA$159)&gt;=$R111),$U111,$T111)))=Milestones!$AB$159),TEXT(EDATE($D111,Milestones!$AA$159),"dd/mm/yy")&amp;" "&amp;Milestones!$AB$159&amp;" "&amp;Milestones!$AC$159&amp;";  ",""))</f>
        <v/>
      </c>
      <c r="O111" s="0" t="str">
        <f aca="false">IF(OR($A111="",$D111=""),"",IF(AND(EDATE($D111,Milestones!$AA$160)&lt;=AsOfDate,IF($Q111=0,$W111,IF(AND($S111&lt;&gt;"",EDATE($D111,Milestones!$AA$160)&gt;=$S111),$V111,IF(AND($R111&lt;&gt;"",EDATE($D111,Milestones!$AA$160)&gt;=$R111),$U111,$T111)))=Milestones!$AB$160),TEXT(EDATE($D111,Milestones!$AA$160),"dd/mm/yy")&amp;" "&amp;Milestones!$AB$160&amp;" "&amp;Milestones!$AC$160&amp;";  ","")&amp;IF(AND(EDATE($D111,Milestones!$AA$161)&lt;=AsOfDate,IF($Q111=0,$W111,IF(AND($S111&lt;&gt;"",EDATE($D111,Milestones!$AA$161)&gt;=$S111),$V111,IF(AND($R111&lt;&gt;"",EDATE($D111,Milestones!$AA$161)&gt;=$R111),$U111,$T111)))=Milestones!$AB$161),TEXT(EDATE($D111,Milestones!$AA$161),"dd/mm/yy")&amp;" "&amp;Milestones!$AB$161&amp;" "&amp;Milestones!$AC$161&amp;";  ","")&amp;IF(AND(EDATE($D111,Milestones!$AA$162)&lt;=AsOfDate,IF($Q111=0,$W111,IF(AND($S111&lt;&gt;"",EDATE($D111,Milestones!$AA$162)&gt;=$S111),$V111,IF(AND($R111&lt;&gt;"",EDATE($D111,Milestones!$AA$162)&gt;=$R111),$U111,$T111)))=Milestones!$AB$162),TEXT(EDATE($D111,Milestones!$AA$162),"dd/mm/yy")&amp;" "&amp;Milestones!$AB$162&amp;" "&amp;Milestones!$AC$162&amp;";  ","")&amp;IF(AND(EDATE($D111,Milestones!$AA$163)&lt;=AsOfDate,IF($Q111=0,$W111,IF(AND($S111&lt;&gt;"",EDATE($D111,Milestones!$AA$163)&gt;=$S111),$V111,IF(AND($R111&lt;&gt;"",EDATE($D111,Milestones!$AA$163)&gt;=$R111),$U111,$T111)))=Milestones!$AB$163),TEXT(EDATE($D111,Milestones!$AA$163),"dd/mm/yy")&amp;" "&amp;Milestones!$AB$163&amp;" "&amp;Milestones!$AC$163&amp;";  ","")&amp;IF(AND(EDATE($D111,Milestones!$AA$164)&lt;=AsOfDate,IF($Q111=0,$W111,IF(AND($S111&lt;&gt;"",EDATE($D111,Milestones!$AA$164)&gt;=$S111),$V111,IF(AND($R111&lt;&gt;"",EDATE($D111,Milestones!$AA$164)&gt;=$R111),$U111,$T111)))=Milestones!$AB$164),TEXT(EDATE($D111,Milestones!$AA$164),"dd/mm/yy")&amp;" "&amp;Milestones!$AB$164&amp;" "&amp;Milestones!$AC$164&amp;";  ","")&amp;IF(AND(EDATE($D111,Milestones!$AA$165)&lt;=AsOfDate,IF($Q111=0,$W111,IF(AND($S111&lt;&gt;"",EDATE($D111,Milestones!$AA$165)&gt;=$S111),$V111,IF(AND($R111&lt;&gt;"",EDATE($D111,Milestones!$AA$165)&gt;=$R111),$U111,$T111)))=Milestones!$AB$165),TEXT(EDATE($D111,Milestones!$AA$165),"dd/mm/yy")&amp;" "&amp;Milestones!$AB$165&amp;" "&amp;Milestones!$AC$165&amp;";  ","")&amp;IF(AND(EDATE($D111,Milestones!$AA$166)&lt;=AsOfDate,IF($Q111=0,$W111,IF(AND($S111&lt;&gt;"",EDATE($D111,Milestones!$AA$166)&gt;=$S111),$V111,IF(AND($R111&lt;&gt;"",EDATE($D111,Milestones!$AA$166)&gt;=$R111),$U111,$T111)))=Milestones!$AB$166),TEXT(EDATE($D111,Milestones!$AA$166),"dd/mm/yy")&amp;" "&amp;Milestones!$AB$166&amp;" "&amp;Milestones!$AC$166&amp;";  ","")&amp;IF(AND(EDATE($D111,Milestones!$AA$167)&lt;=AsOfDate,IF($Q111=0,$W111,IF(AND($S111&lt;&gt;"",EDATE($D111,Milestones!$AA$167)&gt;=$S111),$V111,IF(AND($R111&lt;&gt;"",EDATE($D111,Milestones!$AA$167)&gt;=$R111),$U111,$T111)))=Milestones!$AB$167),TEXT(EDATE($D111,Milestones!$AA$167),"dd/mm/yy")&amp;" "&amp;Milestones!$AB$167&amp;" "&amp;Milestones!$AC$167&amp;";  ","")&amp;IF(AND(EDATE($D111,Milestones!$AA$168)&lt;=AsOfDate,IF($Q111=0,$W111,IF(AND($S111&lt;&gt;"",EDATE($D111,Milestones!$AA$168)&gt;=$S111),$V111,IF(AND($R111&lt;&gt;"",EDATE($D111,Milestones!$AA$168)&gt;=$R111),$U111,$T111)))=Milestones!$AB$168),TEXT(EDATE($D111,Milestones!$AA$168),"dd/mm/yy")&amp;" "&amp;Milestones!$AB$168&amp;" "&amp;Milestones!$AC$168&amp;";  ","")&amp;IF(AND(EDATE($D111,Milestones!$AA$169)&lt;=AsOfDate,IF($Q111=0,$W111,IF(AND($S111&lt;&gt;"",EDATE($D111,Milestones!$AA$169)&gt;=$S111),$V111,IF(AND($R111&lt;&gt;"",EDATE($D111,Milestones!$AA$169)&gt;=$R111),$U111,$T111)))=Milestones!$AB$169),TEXT(EDATE($D111,Milestones!$AA$169),"dd/mm/yy")&amp;" "&amp;Milestones!$AB$169&amp;" "&amp;Milestones!$AC$169&amp;";  ","")&amp;IF(AND(EDATE($D111,Milestones!$AA$170)&lt;=AsOfDate,IF($Q111=0,$W111,IF(AND($S111&lt;&gt;"",EDATE($D111,Milestones!$AA$170)&gt;=$S111),$V111,IF(AND($R111&lt;&gt;"",EDATE($D111,Milestones!$AA$170)&gt;=$R111),$U111,$T111)))=Milestones!$AB$170),TEXT(EDATE($D111,Milestones!$AA$170),"dd/mm/yy")&amp;" "&amp;Milestones!$AB$170&amp;" "&amp;Milestones!$AC$170&amp;";  ","")&amp;IF(AND(EDATE($D111,Milestones!$AA$171)&lt;=AsOfDate,IF($Q111=0,$W111,IF(AND($S111&lt;&gt;"",EDATE($D111,Milestones!$AA$171)&gt;=$S111),$V111,IF(AND($R111&lt;&gt;"",EDATE($D111,Milestones!$AA$171)&gt;=$R111),$U111,$T111)))=Milestones!$AB$171),TEXT(EDATE($D111,Milestones!$AA$171),"dd/mm/yy")&amp;" "&amp;Milestones!$AB$171&amp;" "&amp;Milestones!$AC$171&amp;";  ","")&amp;IF(AND(EDATE($D111,Milestones!$AA$172)&lt;=AsOfDate,IF($Q111=0,$W111,IF(AND($S111&lt;&gt;"",EDATE($D111,Milestones!$AA$172)&gt;=$S111),$V111,IF(AND($R111&lt;&gt;"",EDATE($D111,Milestones!$AA$172)&gt;=$R111),$U111,$T111)))=Milestones!$AB$172),TEXT(EDATE($D111,Milestones!$AA$172),"dd/mm/yy")&amp;" "&amp;Milestones!$AB$172&amp;" "&amp;Milestones!$AC$172&amp;";  ","")&amp;IF(AND(EDATE($D111,Milestones!$AA$173)&lt;=AsOfDate,IF($Q111=0,$W111,IF(AND($S111&lt;&gt;"",EDATE($D111,Milestones!$AA$173)&gt;=$S111),$V111,IF(AND($R111&lt;&gt;"",EDATE($D111,Milestones!$AA$173)&gt;=$R111),$U111,$T111)))=Milestones!$AB$173),TEXT(EDATE($D111,Milestones!$AA$173),"dd/mm/yy")&amp;" "&amp;Milestones!$AB$173&amp;" "&amp;Milestones!$AC$173&amp;";  ","")&amp;IF(AND(EDATE($D111,Milestones!$AA$174)&lt;=AsOfDate,IF($Q111=0,$W111,IF(AND($S111&lt;&gt;"",EDATE($D111,Milestones!$AA$174)&gt;=$S111),$V111,IF(AND($R111&lt;&gt;"",EDATE($D111,Milestones!$AA$174)&gt;=$R111),$U111,$T111)))=Milestones!$AB$174),TEXT(EDATE($D111,Milestones!$AA$174),"dd/mm/yy")&amp;" "&amp;Milestones!$AB$174&amp;" "&amp;Milestones!$AC$174&amp;";  ","")&amp;IF(AND(EDATE($D111,Milestones!$AA$175)&lt;=AsOfDate,IF($Q111=0,$W111,IF(AND($S111&lt;&gt;"",EDATE($D111,Milestones!$AA$175)&gt;=$S111),$V111,IF(AND($R111&lt;&gt;"",EDATE($D111,Milestones!$AA$175)&gt;=$R111),$U111,$T111)))=Milestones!$AB$175),TEXT(EDATE($D111,Milestones!$AA$175),"dd/mm/yy")&amp;" "&amp;Milestones!$AB$175&amp;" "&amp;Milestones!$AC$175&amp;";  ","")&amp;IF(AND(EDATE($D111,Milestones!$AA$176)&lt;=AsOfDate,IF($Q111=0,$W111,IF(AND($S111&lt;&gt;"",EDATE($D111,Milestones!$AA$176)&gt;=$S111),$V111,IF(AND($R111&lt;&gt;"",EDATE($D111,Milestones!$AA$176)&gt;=$R111),$U111,$T111)))=Milestones!$AB$176),TEXT(EDATE($D111,Milestones!$AA$176),"dd/mm/yy")&amp;" "&amp;Milestones!$AB$176&amp;" "&amp;Milestones!$AC$176&amp;";  ","")&amp;IF(AND(EDATE($D111,Milestones!$AA$177)&lt;=AsOfDate,IF($Q111=0,$W111,IF(AND($S111&lt;&gt;"",EDATE($D111,Milestones!$AA$177)&gt;=$S111),$V111,IF(AND($R111&lt;&gt;"",EDATE($D111,Milestones!$AA$177)&gt;=$R111),$U111,$T111)))=Milestones!$AB$177),TEXT(EDATE($D111,Milestones!$AA$177),"dd/mm/yy")&amp;" "&amp;Milestones!$AB$177&amp;" "&amp;Milestones!$AC$177&amp;";  ","")&amp;IF(AND(EDATE($D111,Milestones!$AA$178)&lt;=AsOfDate,IF($Q111=0,$W111,IF(AND($S111&lt;&gt;"",EDATE($D111,Milestones!$AA$178)&gt;=$S111),$V111,IF(AND($R111&lt;&gt;"",EDATE($D111,Milestones!$AA$178)&gt;=$R111),$U111,$T111)))=Milestones!$AB$178),TEXT(EDATE($D111,Milestones!$AA$178),"dd/mm/yy")&amp;" "&amp;Milestones!$AB$178&amp;" "&amp;Milestones!$AC$178&amp;";  ","")&amp;IF(AND(EDATE($D111,Milestones!$AA$179)&lt;=AsOfDate,IF($Q111=0,$W111,IF(AND($S111&lt;&gt;"",EDATE($D111,Milestones!$AA$179)&gt;=$S111),$V111,IF(AND($R111&lt;&gt;"",EDATE($D111,Milestones!$AA$179)&gt;=$R111),$U111,$T111)))=Milestones!$AB$179),TEXT(EDATE($D111,Milestones!$AA$179),"dd/mm/yy")&amp;" "&amp;Milestones!$AB$179&amp;" "&amp;Milestones!$AC$179&amp;";  ",""))</f>
        <v/>
      </c>
      <c r="P111" s="0" t="str">
        <f aca="false">IF(OR($A111="",$D111=""),"",IF(AND(EDATE($D111,Milestones!$AA$180)&lt;=AsOfDate,IF($Q111=0,$W111,IF(AND($S111&lt;&gt;"",EDATE($D111,Milestones!$AA$180)&gt;=$S111),$V111,IF(AND($R111&lt;&gt;"",EDATE($D111,Milestones!$AA$180)&gt;=$R111),$U111,$T111)))=Milestones!$AB$180),TEXT(EDATE($D111,Milestones!$AA$180),"dd/mm/yy")&amp;" "&amp;Milestones!$AB$180&amp;" "&amp;Milestones!$AC$180&amp;";  ","")&amp;IF(AND(EDATE($D111,Milestones!$AA$181)&lt;=AsOfDate,IF($Q111=0,$W111,IF(AND($S111&lt;&gt;"",EDATE($D111,Milestones!$AA$181)&gt;=$S111),$V111,IF(AND($R111&lt;&gt;"",EDATE($D111,Milestones!$AA$181)&gt;=$R111),$U111,$T111)))=Milestones!$AB$181),TEXT(EDATE($D111,Milestones!$AA$181),"dd/mm/yy")&amp;" "&amp;Milestones!$AB$181&amp;" "&amp;Milestones!$AC$181&amp;";  ","")&amp;IF(AND(EDATE($D111,Milestones!$AA$182)&lt;=AsOfDate,IF($Q111=0,$W111,IF(AND($S111&lt;&gt;"",EDATE($D111,Milestones!$AA$182)&gt;=$S111),$V111,IF(AND($R111&lt;&gt;"",EDATE($D111,Milestones!$AA$182)&gt;=$R111),$U111,$T111)))=Milestones!$AB$182),TEXT(EDATE($D111,Milestones!$AA$182),"dd/mm/yy")&amp;" "&amp;Milestones!$AB$182&amp;" "&amp;Milestones!$AC$182&amp;";  ","")&amp;IF(AND(EDATE($D111,Milestones!$AA$183)&lt;=AsOfDate,IF($Q111=0,$W111,IF(AND($S111&lt;&gt;"",EDATE($D111,Milestones!$AA$183)&gt;=$S111),$V111,IF(AND($R111&lt;&gt;"",EDATE($D111,Milestones!$AA$183)&gt;=$R111),$U111,$T111)))=Milestones!$AB$183),TEXT(EDATE($D111,Milestones!$AA$183),"dd/mm/yy")&amp;" "&amp;Milestones!$AB$183&amp;" "&amp;Milestones!$AC$183&amp;";  ","")&amp;IF(AND(EDATE($D111,Milestones!$AA$184)&lt;=AsOfDate,IF($Q111=0,$W111,IF(AND($S111&lt;&gt;"",EDATE($D111,Milestones!$AA$184)&gt;=$S111),$V111,IF(AND($R111&lt;&gt;"",EDATE($D111,Milestones!$AA$184)&gt;=$R111),$U111,$T111)))=Milestones!$AB$184),TEXT(EDATE($D111,Milestones!$AA$184),"dd/mm/yy")&amp;" "&amp;Milestones!$AB$184&amp;" "&amp;Milestones!$AC$184&amp;";  ","")&amp;IF(AND(EDATE($D111,Milestones!$AA$185)&lt;=AsOfDate,IF($Q111=0,$W111,IF(AND($S111&lt;&gt;"",EDATE($D111,Milestones!$AA$185)&gt;=$S111),$V111,IF(AND($R111&lt;&gt;"",EDATE($D111,Milestones!$AA$185)&gt;=$R111),$U111,$T111)))=Milestones!$AB$185),TEXT(EDATE($D111,Milestones!$AA$185),"dd/mm/yy")&amp;" "&amp;Milestones!$AB$185&amp;" "&amp;Milestones!$AC$185&amp;";  ","")&amp;IF(AND(EDATE($D111,Milestones!$AA$186)&lt;=AsOfDate,IF($Q111=0,$W111,IF(AND($S111&lt;&gt;"",EDATE($D111,Milestones!$AA$186)&gt;=$S111),$V111,IF(AND($R111&lt;&gt;"",EDATE($D111,Milestones!$AA$186)&gt;=$R111),$U111,$T111)))=Milestones!$AB$186),TEXT(EDATE($D111,Milestones!$AA$186),"dd/mm/yy")&amp;" "&amp;Milestones!$AB$186&amp;" "&amp;Milestones!$AC$186&amp;";  ","")&amp;IF(AND(EDATE($D111,Milestones!$AA$187)&lt;=AsOfDate,IF($Q111=0,$W111,IF(AND($S111&lt;&gt;"",EDATE($D111,Milestones!$AA$187)&gt;=$S111),$V111,IF(AND($R111&lt;&gt;"",EDATE($D111,Milestones!$AA$187)&gt;=$R111),$U111,$T111)))=Milestones!$AB$187),TEXT(EDATE($D111,Milestones!$AA$187),"dd/mm/yy")&amp;" "&amp;Milestones!$AB$187&amp;" "&amp;Milestones!$AC$187&amp;";  ","")&amp;IF(AND(EDATE($D111,Milestones!$AA$188)&lt;=AsOfDate,IF($Q111=0,$W111,IF(AND($S111&lt;&gt;"",EDATE($D111,Milestones!$AA$188)&gt;=$S111),$V111,IF(AND($R111&lt;&gt;"",EDATE($D111,Milestones!$AA$188)&gt;=$R111),$U111,$T111)))=Milestones!$AB$188),TEXT(EDATE($D111,Milestones!$AA$188),"dd/mm/yy")&amp;" "&amp;Milestones!$AB$188&amp;" "&amp;Milestones!$AC$188&amp;";  ","")&amp;IF(AND(EDATE($D111,Milestones!$AA$189)&lt;=AsOfDate,IF($Q111=0,$W111,IF(AND($S111&lt;&gt;"",EDATE($D111,Milestones!$AA$189)&gt;=$S111),$V111,IF(AND($R111&lt;&gt;"",EDATE($D111,Milestones!$AA$189)&gt;=$R111),$U111,$T111)))=Milestones!$AB$189),TEXT(EDATE($D111,Milestones!$AA$189),"dd/mm/yy")&amp;" "&amp;Milestones!$AB$189&amp;" "&amp;Milestones!$AC$189&amp;";  ","")&amp;IF(AND(EDATE($D111,Milestones!$AA$190)&lt;=AsOfDate,IF($Q111=0,$W111,IF(AND($S111&lt;&gt;"",EDATE($D111,Milestones!$AA$190)&gt;=$S111),$V111,IF(AND($R111&lt;&gt;"",EDATE($D111,Milestones!$AA$190)&gt;=$R111),$U111,$T111)))=Milestones!$AB$190),TEXT(EDATE($D111,Milestones!$AA$190),"dd/mm/yy")&amp;" "&amp;Milestones!$AB$190&amp;" "&amp;Milestones!$AC$190&amp;";  ","")&amp;IF(AND(EDATE($D111,Milestones!$AA$191)&lt;=AsOfDate,IF($Q111=0,$W111,IF(AND($S111&lt;&gt;"",EDATE($D111,Milestones!$AA$191)&gt;=$S111),$V111,IF(AND($R111&lt;&gt;"",EDATE($D111,Milestones!$AA$191)&gt;=$R111),$U111,$T111)))=Milestones!$AB$191),TEXT(EDATE($D111,Milestones!$AA$191),"dd/mm/yy")&amp;" "&amp;Milestones!$AB$191&amp;" "&amp;Milestones!$AC$191&amp;";  ","")&amp;IF(AND(EDATE($D111,Milestones!$AA$192)&lt;=AsOfDate,IF($Q111=0,$W111,IF(AND($S111&lt;&gt;"",EDATE($D111,Milestones!$AA$192)&gt;=$S111),$V111,IF(AND($R111&lt;&gt;"",EDATE($D111,Milestones!$AA$192)&gt;=$R111),$U111,$T111)))=Milestones!$AB$192),TEXT(EDATE($D111,Milestones!$AA$192),"dd/mm/yy")&amp;" "&amp;Milestones!$AB$192&amp;" "&amp;Milestones!$AC$192&amp;";  ","")&amp;IF(AND(EDATE($D111,Milestones!$AA$193)&lt;=AsOfDate,IF($Q111=0,$W111,IF(AND($S111&lt;&gt;"",EDATE($D111,Milestones!$AA$193)&gt;=$S111),$V111,IF(AND($R111&lt;&gt;"",EDATE($D111,Milestones!$AA$193)&gt;=$R111),$U111,$T111)))=Milestones!$AB$193),TEXT(EDATE($D111,Milestones!$AA$193),"dd/mm/yy")&amp;" "&amp;Milestones!$AB$193&amp;" "&amp;Milestones!$AC$193&amp;";  ","")&amp;IF(AND(EDATE($D111,Milestones!$AA$194)&lt;=AsOfDate,IF($Q111=0,$W111,IF(AND($S111&lt;&gt;"",EDATE($D111,Milestones!$AA$194)&gt;=$S111),$V111,IF(AND($R111&lt;&gt;"",EDATE($D111,Milestones!$AA$194)&gt;=$R111),$U111,$T111)))=Milestones!$AB$194),TEXT(EDATE($D111,Milestones!$AA$194),"dd/mm/yy")&amp;" "&amp;Milestones!$AB$194&amp;" "&amp;Milestones!$AC$194&amp;";  ","")&amp;IF(AND(EDATE($D111,Milestones!$AA$195)&lt;=AsOfDate,IF($Q111=0,$W111,IF(AND($S111&lt;&gt;"",EDATE($D111,Milestones!$AA$195)&gt;=$S111),$V111,IF(AND($R111&lt;&gt;"",EDATE($D111,Milestones!$AA$195)&gt;=$R111),$U111,$T111)))=Milestones!$AB$195),TEXT(EDATE($D111,Milestones!$AA$195),"dd/mm/yy")&amp;" "&amp;Milestones!$AB$195&amp;" "&amp;Milestones!$AC$195&amp;";  ","")&amp;IF(AND(EDATE($D111,Milestones!$AA$196)&lt;=AsOfDate,IF($Q111=0,$W111,IF(AND($S111&lt;&gt;"",EDATE($D111,Milestones!$AA$196)&gt;=$S111),$V111,IF(AND($R111&lt;&gt;"",EDATE($D111,Milestones!$AA$196)&gt;=$R111),$U111,$T111)))=Milestones!$AB$196),TEXT(EDATE($D111,Milestones!$AA$196),"dd/mm/yy")&amp;" "&amp;Milestones!$AB$196&amp;" "&amp;Milestones!$AC$196&amp;";  ","")&amp;IF(AND(EDATE($D111,Milestones!$AA$197)&lt;=AsOfDate,IF($Q111=0,$W111,IF(AND($S111&lt;&gt;"",EDATE($D111,Milestones!$AA$197)&gt;=$S111),$V111,IF(AND($R111&lt;&gt;"",EDATE($D111,Milestones!$AA$197)&gt;=$R111),$U111,$T111)))=Milestones!$AB$197),TEXT(EDATE($D111,Milestones!$AA$197),"dd/mm/yy")&amp;" "&amp;Milestones!$AB$197&amp;" "&amp;Milestones!$AC$197&amp;";  ","")&amp;IF(AND(EDATE($D111,Milestones!$AA$198)&lt;=AsOfDate,IF($Q111=0,$W111,IF(AND($S111&lt;&gt;"",EDATE($D111,Milestones!$AA$198)&gt;=$S111),$V111,IF(AND($R111&lt;&gt;"",EDATE($D111,Milestones!$AA$198)&gt;=$R111),$U111,$T111)))=Milestones!$AB$198),TEXT(EDATE($D111,Milestones!$AA$198),"dd/mm/yy")&amp;" "&amp;Milestones!$AB$198&amp;" "&amp;Milestones!$AC$198&amp;";  ","")&amp;IF(AND(EDATE($D111,Milestones!$AA$199)&lt;=AsOfDate,IF($Q111=0,$W111,IF(AND($S111&lt;&gt;"",EDATE($D111,Milestones!$AA$199)&gt;=$S111),$V111,IF(AND($R111&lt;&gt;"",EDATE($D111,Milestones!$AA$199)&gt;=$R111),$U111,$T111)))=Milestones!$AB$199),TEXT(EDATE($D111,Milestones!$AA$199),"dd/mm/yy")&amp;" "&amp;Milestones!$AB$199&amp;" "&amp;Milestones!$AC$199&amp;";  ",""))</f>
        <v/>
      </c>
      <c r="Q111" s="0" t="str">
        <f aca="false">IF(Staff!$A111="","",Staff!$AG111)</f>
        <v/>
      </c>
      <c r="R111" s="0" t="str">
        <f aca="false">IF(Staff!$A111="","",Staff!$AI111)</f>
        <v/>
      </c>
      <c r="S111" s="0" t="str">
        <f aca="false">IF(Staff!$A111="","",Staff!$AJ111)</f>
        <v/>
      </c>
      <c r="T111" s="0" t="str">
        <f aca="false">IF(Staff!$A111="","",Staff!$AN111)</f>
        <v/>
      </c>
      <c r="U111" s="0" t="str">
        <f aca="false">IF(Staff!$A111="","",Staff!$AO111)</f>
        <v/>
      </c>
      <c r="V111" s="0" t="str">
        <f aca="false">IF(Staff!$A111="","",Staff!$AP111)</f>
        <v/>
      </c>
      <c r="W111" s="0" t="str">
        <f aca="false">IF(Staff!$A111="","",Staff!$AQ111)</f>
        <v/>
      </c>
    </row>
    <row r="112" customFormat="false" ht="15" hidden="false" customHeight="false" outlineLevel="0" collapsed="false">
      <c r="A112" s="13" t="str">
        <f aca="false">IF(Staff!$A112="","",Staff!$A112)</f>
        <v/>
      </c>
      <c r="B112" s="13" t="str">
        <f aca="false">IF(Staff!$A112="","",Staff!$B112)</f>
        <v/>
      </c>
      <c r="C112" s="13" t="str">
        <f aca="false">IF(Staff!$A112="","",Staff!$C112)</f>
        <v/>
      </c>
      <c r="D112" s="11" t="str">
        <f aca="false">IF(Staff!$A112="","",Staff!$AF112)</f>
        <v/>
      </c>
      <c r="E112" s="13" t="str">
        <f aca="false">IF(Staff!$A112="","",Staff!$O112)</f>
        <v/>
      </c>
      <c r="F112" s="13" t="str">
        <f aca="false">IF(E112="","",E112*HoursPerDay)</f>
        <v/>
      </c>
      <c r="G112" s="26" t="str">
        <f aca="false">IF($A112="","",H112&amp;I112&amp;J112&amp;K112&amp;L112&amp;M112&amp;N112&amp;O112&amp;P112)</f>
        <v/>
      </c>
      <c r="H112" s="0" t="str">
        <f aca="false">IF(OR($A112="",$D112=""),"",IF(AND(EDATE($D112,Milestones!$AA$20)&lt;=AsOfDate,IF($Q112=0,$W112,IF(AND($S112&lt;&gt;"",EDATE($D112,Milestones!$AA$20)&gt;=$S112),$V112,IF(AND($R112&lt;&gt;"",EDATE($D112,Milestones!$AA$20)&gt;=$R112),$U112,$T112)))=Milestones!$AB$20),TEXT(EDATE($D112,Milestones!$AA$20),"dd/mm/yy")&amp;" "&amp;Milestones!$AB$20&amp;" "&amp;Milestones!$AC$20&amp;";  ","")&amp;IF(AND(EDATE($D112,Milestones!$AA$21)&lt;=AsOfDate,IF($Q112=0,$W112,IF(AND($S112&lt;&gt;"",EDATE($D112,Milestones!$AA$21)&gt;=$S112),$V112,IF(AND($R112&lt;&gt;"",EDATE($D112,Milestones!$AA$21)&gt;=$R112),$U112,$T112)))=Milestones!$AB$21),TEXT(EDATE($D112,Milestones!$AA$21),"dd/mm/yy")&amp;" "&amp;Milestones!$AB$21&amp;" "&amp;Milestones!$AC$21&amp;";  ","")&amp;IF(AND(EDATE($D112,Milestones!$AA$22)&lt;=AsOfDate,IF($Q112=0,$W112,IF(AND($S112&lt;&gt;"",EDATE($D112,Milestones!$AA$22)&gt;=$S112),$V112,IF(AND($R112&lt;&gt;"",EDATE($D112,Milestones!$AA$22)&gt;=$R112),$U112,$T112)))=Milestones!$AB$22),TEXT(EDATE($D112,Milestones!$AA$22),"dd/mm/yy")&amp;" "&amp;Milestones!$AB$22&amp;" "&amp;Milestones!$AC$22&amp;";  ","")&amp;IF(AND(EDATE($D112,Milestones!$AA$23)&lt;=AsOfDate,IF($Q112=0,$W112,IF(AND($S112&lt;&gt;"",EDATE($D112,Milestones!$AA$23)&gt;=$S112),$V112,IF(AND($R112&lt;&gt;"",EDATE($D112,Milestones!$AA$23)&gt;=$R112),$U112,$T112)))=Milestones!$AB$23),TEXT(EDATE($D112,Milestones!$AA$23),"dd/mm/yy")&amp;" "&amp;Milestones!$AB$23&amp;" "&amp;Milestones!$AC$23&amp;";  ","")&amp;IF(AND(EDATE($D112,Milestones!$AA$24)&lt;=AsOfDate,IF($Q112=0,$W112,IF(AND($S112&lt;&gt;"",EDATE($D112,Milestones!$AA$24)&gt;=$S112),$V112,IF(AND($R112&lt;&gt;"",EDATE($D112,Milestones!$AA$24)&gt;=$R112),$U112,$T112)))=Milestones!$AB$24),TEXT(EDATE($D112,Milestones!$AA$24),"dd/mm/yy")&amp;" "&amp;Milestones!$AB$24&amp;" "&amp;Milestones!$AC$24&amp;";  ","")&amp;IF(AND(EDATE($D112,Milestones!$AA$25)&lt;=AsOfDate,IF($Q112=0,$W112,IF(AND($S112&lt;&gt;"",EDATE($D112,Milestones!$AA$25)&gt;=$S112),$V112,IF(AND($R112&lt;&gt;"",EDATE($D112,Milestones!$AA$25)&gt;=$R112),$U112,$T112)))=Milestones!$AB$25),TEXT(EDATE($D112,Milestones!$AA$25),"dd/mm/yy")&amp;" "&amp;Milestones!$AB$25&amp;" "&amp;Milestones!$AC$25&amp;";  ","")&amp;IF(AND(EDATE($D112,Milestones!$AA$26)&lt;=AsOfDate,IF($Q112=0,$W112,IF(AND($S112&lt;&gt;"",EDATE($D112,Milestones!$AA$26)&gt;=$S112),$V112,IF(AND($R112&lt;&gt;"",EDATE($D112,Milestones!$AA$26)&gt;=$R112),$U112,$T112)))=Milestones!$AB$26),TEXT(EDATE($D112,Milestones!$AA$26),"dd/mm/yy")&amp;" "&amp;Milestones!$AB$26&amp;" "&amp;Milestones!$AC$26&amp;";  ","")&amp;IF(AND(EDATE($D112,Milestones!$AA$27)&lt;=AsOfDate,IF($Q112=0,$W112,IF(AND($S112&lt;&gt;"",EDATE($D112,Milestones!$AA$27)&gt;=$S112),$V112,IF(AND($R112&lt;&gt;"",EDATE($D112,Milestones!$AA$27)&gt;=$R112),$U112,$T112)))=Milestones!$AB$27),TEXT(EDATE($D112,Milestones!$AA$27),"dd/mm/yy")&amp;" "&amp;Milestones!$AB$27&amp;" "&amp;Milestones!$AC$27&amp;";  ","")&amp;IF(AND(EDATE($D112,Milestones!$AA$28)&lt;=AsOfDate,IF($Q112=0,$W112,IF(AND($S112&lt;&gt;"",EDATE($D112,Milestones!$AA$28)&gt;=$S112),$V112,IF(AND($R112&lt;&gt;"",EDATE($D112,Milestones!$AA$28)&gt;=$R112),$U112,$T112)))=Milestones!$AB$28),TEXT(EDATE($D112,Milestones!$AA$28),"dd/mm/yy")&amp;" "&amp;Milestones!$AB$28&amp;" "&amp;Milestones!$AC$28&amp;";  ","")&amp;IF(AND(EDATE($D112,Milestones!$AA$29)&lt;=AsOfDate,IF($Q112=0,$W112,IF(AND($S112&lt;&gt;"",EDATE($D112,Milestones!$AA$29)&gt;=$S112),$V112,IF(AND($R112&lt;&gt;"",EDATE($D112,Milestones!$AA$29)&gt;=$R112),$U112,$T112)))=Milestones!$AB$29),TEXT(EDATE($D112,Milestones!$AA$29),"dd/mm/yy")&amp;" "&amp;Milestones!$AB$29&amp;" "&amp;Milestones!$AC$29&amp;";  ","")&amp;IF(AND(EDATE($D112,Milestones!$AA$30)&lt;=AsOfDate,IF($Q112=0,$W112,IF(AND($S112&lt;&gt;"",EDATE($D112,Milestones!$AA$30)&gt;=$S112),$V112,IF(AND($R112&lt;&gt;"",EDATE($D112,Milestones!$AA$30)&gt;=$R112),$U112,$T112)))=Milestones!$AB$30),TEXT(EDATE($D112,Milestones!$AA$30),"dd/mm/yy")&amp;" "&amp;Milestones!$AB$30&amp;" "&amp;Milestones!$AC$30&amp;";  ","")&amp;IF(AND(EDATE($D112,Milestones!$AA$31)&lt;=AsOfDate,IF($Q112=0,$W112,IF(AND($S112&lt;&gt;"",EDATE($D112,Milestones!$AA$31)&gt;=$S112),$V112,IF(AND($R112&lt;&gt;"",EDATE($D112,Milestones!$AA$31)&gt;=$R112),$U112,$T112)))=Milestones!$AB$31),TEXT(EDATE($D112,Milestones!$AA$31),"dd/mm/yy")&amp;" "&amp;Milestones!$AB$31&amp;" "&amp;Milestones!$AC$31&amp;";  ","")&amp;IF(AND(EDATE($D112,Milestones!$AA$32)&lt;=AsOfDate,IF($Q112=0,$W112,IF(AND($S112&lt;&gt;"",EDATE($D112,Milestones!$AA$32)&gt;=$S112),$V112,IF(AND($R112&lt;&gt;"",EDATE($D112,Milestones!$AA$32)&gt;=$R112),$U112,$T112)))=Milestones!$AB$32),TEXT(EDATE($D112,Milestones!$AA$32),"dd/mm/yy")&amp;" "&amp;Milestones!$AB$32&amp;" "&amp;Milestones!$AC$32&amp;";  ","")&amp;IF(AND(EDATE($D112,Milestones!$AA$33)&lt;=AsOfDate,IF($Q112=0,$W112,IF(AND($S112&lt;&gt;"",EDATE($D112,Milestones!$AA$33)&gt;=$S112),$V112,IF(AND($R112&lt;&gt;"",EDATE($D112,Milestones!$AA$33)&gt;=$R112),$U112,$T112)))=Milestones!$AB$33),TEXT(EDATE($D112,Milestones!$AA$33),"dd/mm/yy")&amp;" "&amp;Milestones!$AB$33&amp;" "&amp;Milestones!$AC$33&amp;";  ","")&amp;IF(AND(EDATE($D112,Milestones!$AA$34)&lt;=AsOfDate,IF($Q112=0,$W112,IF(AND($S112&lt;&gt;"",EDATE($D112,Milestones!$AA$34)&gt;=$S112),$V112,IF(AND($R112&lt;&gt;"",EDATE($D112,Milestones!$AA$34)&gt;=$R112),$U112,$T112)))=Milestones!$AB$34),TEXT(EDATE($D112,Milestones!$AA$34),"dd/mm/yy")&amp;" "&amp;Milestones!$AB$34&amp;" "&amp;Milestones!$AC$34&amp;";  ","")&amp;IF(AND(EDATE($D112,Milestones!$AA$35)&lt;=AsOfDate,IF($Q112=0,$W112,IF(AND($S112&lt;&gt;"",EDATE($D112,Milestones!$AA$35)&gt;=$S112),$V112,IF(AND($R112&lt;&gt;"",EDATE($D112,Milestones!$AA$35)&gt;=$R112),$U112,$T112)))=Milestones!$AB$35),TEXT(EDATE($D112,Milestones!$AA$35),"dd/mm/yy")&amp;" "&amp;Milestones!$AB$35&amp;" "&amp;Milestones!$AC$35&amp;";  ","")&amp;IF(AND(EDATE($D112,Milestones!$AA$36)&lt;=AsOfDate,IF($Q112=0,$W112,IF(AND($S112&lt;&gt;"",EDATE($D112,Milestones!$AA$36)&gt;=$S112),$V112,IF(AND($R112&lt;&gt;"",EDATE($D112,Milestones!$AA$36)&gt;=$R112),$U112,$T112)))=Milestones!$AB$36),TEXT(EDATE($D112,Milestones!$AA$36),"dd/mm/yy")&amp;" "&amp;Milestones!$AB$36&amp;" "&amp;Milestones!$AC$36&amp;";  ","")&amp;IF(AND(EDATE($D112,Milestones!$AA$37)&lt;=AsOfDate,IF($Q112=0,$W112,IF(AND($S112&lt;&gt;"",EDATE($D112,Milestones!$AA$37)&gt;=$S112),$V112,IF(AND($R112&lt;&gt;"",EDATE($D112,Milestones!$AA$37)&gt;=$R112),$U112,$T112)))=Milestones!$AB$37),TEXT(EDATE($D112,Milestones!$AA$37),"dd/mm/yy")&amp;" "&amp;Milestones!$AB$37&amp;" "&amp;Milestones!$AC$37&amp;";  ","")&amp;IF(AND(EDATE($D112,Milestones!$AA$38)&lt;=AsOfDate,IF($Q112=0,$W112,IF(AND($S112&lt;&gt;"",EDATE($D112,Milestones!$AA$38)&gt;=$S112),$V112,IF(AND($R112&lt;&gt;"",EDATE($D112,Milestones!$AA$38)&gt;=$R112),$U112,$T112)))=Milestones!$AB$38),TEXT(EDATE($D112,Milestones!$AA$38),"dd/mm/yy")&amp;" "&amp;Milestones!$AB$38&amp;" "&amp;Milestones!$AC$38&amp;";  ","")&amp;IF(AND(EDATE($D112,Milestones!$AA$39)&lt;=AsOfDate,IF($Q112=0,$W112,IF(AND($S112&lt;&gt;"",EDATE($D112,Milestones!$AA$39)&gt;=$S112),$V112,IF(AND($R112&lt;&gt;"",EDATE($D112,Milestones!$AA$39)&gt;=$R112),$U112,$T112)))=Milestones!$AB$39),TEXT(EDATE($D112,Milestones!$AA$39),"dd/mm/yy")&amp;" "&amp;Milestones!$AB$39&amp;" "&amp;Milestones!$AC$39&amp;";  ",""))</f>
        <v/>
      </c>
      <c r="I112" s="0" t="str">
        <f aca="false">IF(OR($A112="",$D112=""),"",IF(AND(EDATE($D112,Milestones!$AA$40)&lt;=AsOfDate,IF($Q112=0,$W112,IF(AND($S112&lt;&gt;"",EDATE($D112,Milestones!$AA$40)&gt;=$S112),$V112,IF(AND($R112&lt;&gt;"",EDATE($D112,Milestones!$AA$40)&gt;=$R112),$U112,$T112)))=Milestones!$AB$40),TEXT(EDATE($D112,Milestones!$AA$40),"dd/mm/yy")&amp;" "&amp;Milestones!$AB$40&amp;" "&amp;Milestones!$AC$40&amp;";  ","")&amp;IF(AND(EDATE($D112,Milestones!$AA$41)&lt;=AsOfDate,IF($Q112=0,$W112,IF(AND($S112&lt;&gt;"",EDATE($D112,Milestones!$AA$41)&gt;=$S112),$V112,IF(AND($R112&lt;&gt;"",EDATE($D112,Milestones!$AA$41)&gt;=$R112),$U112,$T112)))=Milestones!$AB$41),TEXT(EDATE($D112,Milestones!$AA$41),"dd/mm/yy")&amp;" "&amp;Milestones!$AB$41&amp;" "&amp;Milestones!$AC$41&amp;";  ","")&amp;IF(AND(EDATE($D112,Milestones!$AA$42)&lt;=AsOfDate,IF($Q112=0,$W112,IF(AND($S112&lt;&gt;"",EDATE($D112,Milestones!$AA$42)&gt;=$S112),$V112,IF(AND($R112&lt;&gt;"",EDATE($D112,Milestones!$AA$42)&gt;=$R112),$U112,$T112)))=Milestones!$AB$42),TEXT(EDATE($D112,Milestones!$AA$42),"dd/mm/yy")&amp;" "&amp;Milestones!$AB$42&amp;" "&amp;Milestones!$AC$42&amp;";  ","")&amp;IF(AND(EDATE($D112,Milestones!$AA$43)&lt;=AsOfDate,IF($Q112=0,$W112,IF(AND($S112&lt;&gt;"",EDATE($D112,Milestones!$AA$43)&gt;=$S112),$V112,IF(AND($R112&lt;&gt;"",EDATE($D112,Milestones!$AA$43)&gt;=$R112),$U112,$T112)))=Milestones!$AB$43),TEXT(EDATE($D112,Milestones!$AA$43),"dd/mm/yy")&amp;" "&amp;Milestones!$AB$43&amp;" "&amp;Milestones!$AC$43&amp;";  ","")&amp;IF(AND(EDATE($D112,Milestones!$AA$44)&lt;=AsOfDate,IF($Q112=0,$W112,IF(AND($S112&lt;&gt;"",EDATE($D112,Milestones!$AA$44)&gt;=$S112),$V112,IF(AND($R112&lt;&gt;"",EDATE($D112,Milestones!$AA$44)&gt;=$R112),$U112,$T112)))=Milestones!$AB$44),TEXT(EDATE($D112,Milestones!$AA$44),"dd/mm/yy")&amp;" "&amp;Milestones!$AB$44&amp;" "&amp;Milestones!$AC$44&amp;";  ","")&amp;IF(AND(EDATE($D112,Milestones!$AA$45)&lt;=AsOfDate,IF($Q112=0,$W112,IF(AND($S112&lt;&gt;"",EDATE($D112,Milestones!$AA$45)&gt;=$S112),$V112,IF(AND($R112&lt;&gt;"",EDATE($D112,Milestones!$AA$45)&gt;=$R112),$U112,$T112)))=Milestones!$AB$45),TEXT(EDATE($D112,Milestones!$AA$45),"dd/mm/yy")&amp;" "&amp;Milestones!$AB$45&amp;" "&amp;Milestones!$AC$45&amp;";  ","")&amp;IF(AND(EDATE($D112,Milestones!$AA$46)&lt;=AsOfDate,IF($Q112=0,$W112,IF(AND($S112&lt;&gt;"",EDATE($D112,Milestones!$AA$46)&gt;=$S112),$V112,IF(AND($R112&lt;&gt;"",EDATE($D112,Milestones!$AA$46)&gt;=$R112),$U112,$T112)))=Milestones!$AB$46),TEXT(EDATE($D112,Milestones!$AA$46),"dd/mm/yy")&amp;" "&amp;Milestones!$AB$46&amp;" "&amp;Milestones!$AC$46&amp;";  ","")&amp;IF(AND(EDATE($D112,Milestones!$AA$47)&lt;=AsOfDate,IF($Q112=0,$W112,IF(AND($S112&lt;&gt;"",EDATE($D112,Milestones!$AA$47)&gt;=$S112),$V112,IF(AND($R112&lt;&gt;"",EDATE($D112,Milestones!$AA$47)&gt;=$R112),$U112,$T112)))=Milestones!$AB$47),TEXT(EDATE($D112,Milestones!$AA$47),"dd/mm/yy")&amp;" "&amp;Milestones!$AB$47&amp;" "&amp;Milestones!$AC$47&amp;";  ","")&amp;IF(AND(EDATE($D112,Milestones!$AA$48)&lt;=AsOfDate,IF($Q112=0,$W112,IF(AND($S112&lt;&gt;"",EDATE($D112,Milestones!$AA$48)&gt;=$S112),$V112,IF(AND($R112&lt;&gt;"",EDATE($D112,Milestones!$AA$48)&gt;=$R112),$U112,$T112)))=Milestones!$AB$48),TEXT(EDATE($D112,Milestones!$AA$48),"dd/mm/yy")&amp;" "&amp;Milestones!$AB$48&amp;" "&amp;Milestones!$AC$48&amp;";  ","")&amp;IF(AND(EDATE($D112,Milestones!$AA$49)&lt;=AsOfDate,IF($Q112=0,$W112,IF(AND($S112&lt;&gt;"",EDATE($D112,Milestones!$AA$49)&gt;=$S112),$V112,IF(AND($R112&lt;&gt;"",EDATE($D112,Milestones!$AA$49)&gt;=$R112),$U112,$T112)))=Milestones!$AB$49),TEXT(EDATE($D112,Milestones!$AA$49),"dd/mm/yy")&amp;" "&amp;Milestones!$AB$49&amp;" "&amp;Milestones!$AC$49&amp;";  ","")&amp;IF(AND(EDATE($D112,Milestones!$AA$50)&lt;=AsOfDate,IF($Q112=0,$W112,IF(AND($S112&lt;&gt;"",EDATE($D112,Milestones!$AA$50)&gt;=$S112),$V112,IF(AND($R112&lt;&gt;"",EDATE($D112,Milestones!$AA$50)&gt;=$R112),$U112,$T112)))=Milestones!$AB$50),TEXT(EDATE($D112,Milestones!$AA$50),"dd/mm/yy")&amp;" "&amp;Milestones!$AB$50&amp;" "&amp;Milestones!$AC$50&amp;";  ","")&amp;IF(AND(EDATE($D112,Milestones!$AA$51)&lt;=AsOfDate,IF($Q112=0,$W112,IF(AND($S112&lt;&gt;"",EDATE($D112,Milestones!$AA$51)&gt;=$S112),$V112,IF(AND($R112&lt;&gt;"",EDATE($D112,Milestones!$AA$51)&gt;=$R112),$U112,$T112)))=Milestones!$AB$51),TEXT(EDATE($D112,Milestones!$AA$51),"dd/mm/yy")&amp;" "&amp;Milestones!$AB$51&amp;" "&amp;Milestones!$AC$51&amp;";  ","")&amp;IF(AND(EDATE($D112,Milestones!$AA$52)&lt;=AsOfDate,IF($Q112=0,$W112,IF(AND($S112&lt;&gt;"",EDATE($D112,Milestones!$AA$52)&gt;=$S112),$V112,IF(AND($R112&lt;&gt;"",EDATE($D112,Milestones!$AA$52)&gt;=$R112),$U112,$T112)))=Milestones!$AB$52),TEXT(EDATE($D112,Milestones!$AA$52),"dd/mm/yy")&amp;" "&amp;Milestones!$AB$52&amp;" "&amp;Milestones!$AC$52&amp;";  ","")&amp;IF(AND(EDATE($D112,Milestones!$AA$53)&lt;=AsOfDate,IF($Q112=0,$W112,IF(AND($S112&lt;&gt;"",EDATE($D112,Milestones!$AA$53)&gt;=$S112),$V112,IF(AND($R112&lt;&gt;"",EDATE($D112,Milestones!$AA$53)&gt;=$R112),$U112,$T112)))=Milestones!$AB$53),TEXT(EDATE($D112,Milestones!$AA$53),"dd/mm/yy")&amp;" "&amp;Milestones!$AB$53&amp;" "&amp;Milestones!$AC$53&amp;";  ","")&amp;IF(AND(EDATE($D112,Milestones!$AA$54)&lt;=AsOfDate,IF($Q112=0,$W112,IF(AND($S112&lt;&gt;"",EDATE($D112,Milestones!$AA$54)&gt;=$S112),$V112,IF(AND($R112&lt;&gt;"",EDATE($D112,Milestones!$AA$54)&gt;=$R112),$U112,$T112)))=Milestones!$AB$54),TEXT(EDATE($D112,Milestones!$AA$54),"dd/mm/yy")&amp;" "&amp;Milestones!$AB$54&amp;" "&amp;Milestones!$AC$54&amp;";  ","")&amp;IF(AND(EDATE($D112,Milestones!$AA$55)&lt;=AsOfDate,IF($Q112=0,$W112,IF(AND($S112&lt;&gt;"",EDATE($D112,Milestones!$AA$55)&gt;=$S112),$V112,IF(AND($R112&lt;&gt;"",EDATE($D112,Milestones!$AA$55)&gt;=$R112),$U112,$T112)))=Milestones!$AB$55),TEXT(EDATE($D112,Milestones!$AA$55),"dd/mm/yy")&amp;" "&amp;Milestones!$AB$55&amp;" "&amp;Milestones!$AC$55&amp;";  ","")&amp;IF(AND(EDATE($D112,Milestones!$AA$56)&lt;=AsOfDate,IF($Q112=0,$W112,IF(AND($S112&lt;&gt;"",EDATE($D112,Milestones!$AA$56)&gt;=$S112),$V112,IF(AND($R112&lt;&gt;"",EDATE($D112,Milestones!$AA$56)&gt;=$R112),$U112,$T112)))=Milestones!$AB$56),TEXT(EDATE($D112,Milestones!$AA$56),"dd/mm/yy")&amp;" "&amp;Milestones!$AB$56&amp;" "&amp;Milestones!$AC$56&amp;";  ","")&amp;IF(AND(EDATE($D112,Milestones!$AA$57)&lt;=AsOfDate,IF($Q112=0,$W112,IF(AND($S112&lt;&gt;"",EDATE($D112,Milestones!$AA$57)&gt;=$S112),$V112,IF(AND($R112&lt;&gt;"",EDATE($D112,Milestones!$AA$57)&gt;=$R112),$U112,$T112)))=Milestones!$AB$57),TEXT(EDATE($D112,Milestones!$AA$57),"dd/mm/yy")&amp;" "&amp;Milestones!$AB$57&amp;" "&amp;Milestones!$AC$57&amp;";  ","")&amp;IF(AND(EDATE($D112,Milestones!$AA$58)&lt;=AsOfDate,IF($Q112=0,$W112,IF(AND($S112&lt;&gt;"",EDATE($D112,Milestones!$AA$58)&gt;=$S112),$V112,IF(AND($R112&lt;&gt;"",EDATE($D112,Milestones!$AA$58)&gt;=$R112),$U112,$T112)))=Milestones!$AB$58),TEXT(EDATE($D112,Milestones!$AA$58),"dd/mm/yy")&amp;" "&amp;Milestones!$AB$58&amp;" "&amp;Milestones!$AC$58&amp;";  ","")&amp;IF(AND(EDATE($D112,Milestones!$AA$59)&lt;=AsOfDate,IF($Q112=0,$W112,IF(AND($S112&lt;&gt;"",EDATE($D112,Milestones!$AA$59)&gt;=$S112),$V112,IF(AND($R112&lt;&gt;"",EDATE($D112,Milestones!$AA$59)&gt;=$R112),$U112,$T112)))=Milestones!$AB$59),TEXT(EDATE($D112,Milestones!$AA$59),"dd/mm/yy")&amp;" "&amp;Milestones!$AB$59&amp;" "&amp;Milestones!$AC$59&amp;";  ",""))</f>
        <v/>
      </c>
      <c r="J112" s="0" t="str">
        <f aca="false">IF(OR($A112="",$D112=""),"",IF(AND(EDATE($D112,Milestones!$AA$60)&lt;=AsOfDate,IF($Q112=0,$W112,IF(AND($S112&lt;&gt;"",EDATE($D112,Milestones!$AA$60)&gt;=$S112),$V112,IF(AND($R112&lt;&gt;"",EDATE($D112,Milestones!$AA$60)&gt;=$R112),$U112,$T112)))=Milestones!$AB$60),TEXT(EDATE($D112,Milestones!$AA$60),"dd/mm/yy")&amp;" "&amp;Milestones!$AB$60&amp;" "&amp;Milestones!$AC$60&amp;";  ","")&amp;IF(AND(EDATE($D112,Milestones!$AA$61)&lt;=AsOfDate,IF($Q112=0,$W112,IF(AND($S112&lt;&gt;"",EDATE($D112,Milestones!$AA$61)&gt;=$S112),$V112,IF(AND($R112&lt;&gt;"",EDATE($D112,Milestones!$AA$61)&gt;=$R112),$U112,$T112)))=Milestones!$AB$61),TEXT(EDATE($D112,Milestones!$AA$61),"dd/mm/yy")&amp;" "&amp;Milestones!$AB$61&amp;" "&amp;Milestones!$AC$61&amp;";  ","")&amp;IF(AND(EDATE($D112,Milestones!$AA$62)&lt;=AsOfDate,IF($Q112=0,$W112,IF(AND($S112&lt;&gt;"",EDATE($D112,Milestones!$AA$62)&gt;=$S112),$V112,IF(AND($R112&lt;&gt;"",EDATE($D112,Milestones!$AA$62)&gt;=$R112),$U112,$T112)))=Milestones!$AB$62),TEXT(EDATE($D112,Milestones!$AA$62),"dd/mm/yy")&amp;" "&amp;Milestones!$AB$62&amp;" "&amp;Milestones!$AC$62&amp;";  ","")&amp;IF(AND(EDATE($D112,Milestones!$AA$63)&lt;=AsOfDate,IF($Q112=0,$W112,IF(AND($S112&lt;&gt;"",EDATE($D112,Milestones!$AA$63)&gt;=$S112),$V112,IF(AND($R112&lt;&gt;"",EDATE($D112,Milestones!$AA$63)&gt;=$R112),$U112,$T112)))=Milestones!$AB$63),TEXT(EDATE($D112,Milestones!$AA$63),"dd/mm/yy")&amp;" "&amp;Milestones!$AB$63&amp;" "&amp;Milestones!$AC$63&amp;";  ","")&amp;IF(AND(EDATE($D112,Milestones!$AA$64)&lt;=AsOfDate,IF($Q112=0,$W112,IF(AND($S112&lt;&gt;"",EDATE($D112,Milestones!$AA$64)&gt;=$S112),$V112,IF(AND($R112&lt;&gt;"",EDATE($D112,Milestones!$AA$64)&gt;=$R112),$U112,$T112)))=Milestones!$AB$64),TEXT(EDATE($D112,Milestones!$AA$64),"dd/mm/yy")&amp;" "&amp;Milestones!$AB$64&amp;" "&amp;Milestones!$AC$64&amp;";  ","")&amp;IF(AND(EDATE($D112,Milestones!$AA$65)&lt;=AsOfDate,IF($Q112=0,$W112,IF(AND($S112&lt;&gt;"",EDATE($D112,Milestones!$AA$65)&gt;=$S112),$V112,IF(AND($R112&lt;&gt;"",EDATE($D112,Milestones!$AA$65)&gt;=$R112),$U112,$T112)))=Milestones!$AB$65),TEXT(EDATE($D112,Milestones!$AA$65),"dd/mm/yy")&amp;" "&amp;Milestones!$AB$65&amp;" "&amp;Milestones!$AC$65&amp;";  ","")&amp;IF(AND(EDATE($D112,Milestones!$AA$66)&lt;=AsOfDate,IF($Q112=0,$W112,IF(AND($S112&lt;&gt;"",EDATE($D112,Milestones!$AA$66)&gt;=$S112),$V112,IF(AND($R112&lt;&gt;"",EDATE($D112,Milestones!$AA$66)&gt;=$R112),$U112,$T112)))=Milestones!$AB$66),TEXT(EDATE($D112,Milestones!$AA$66),"dd/mm/yy")&amp;" "&amp;Milestones!$AB$66&amp;" "&amp;Milestones!$AC$66&amp;";  ","")&amp;IF(AND(EDATE($D112,Milestones!$AA$67)&lt;=AsOfDate,IF($Q112=0,$W112,IF(AND($S112&lt;&gt;"",EDATE($D112,Milestones!$AA$67)&gt;=$S112),$V112,IF(AND($R112&lt;&gt;"",EDATE($D112,Milestones!$AA$67)&gt;=$R112),$U112,$T112)))=Milestones!$AB$67),TEXT(EDATE($D112,Milestones!$AA$67),"dd/mm/yy")&amp;" "&amp;Milestones!$AB$67&amp;" "&amp;Milestones!$AC$67&amp;";  ","")&amp;IF(AND(EDATE($D112,Milestones!$AA$68)&lt;=AsOfDate,IF($Q112=0,$W112,IF(AND($S112&lt;&gt;"",EDATE($D112,Milestones!$AA$68)&gt;=$S112),$V112,IF(AND($R112&lt;&gt;"",EDATE($D112,Milestones!$AA$68)&gt;=$R112),$U112,$T112)))=Milestones!$AB$68),TEXT(EDATE($D112,Milestones!$AA$68),"dd/mm/yy")&amp;" "&amp;Milestones!$AB$68&amp;" "&amp;Milestones!$AC$68&amp;";  ","")&amp;IF(AND(EDATE($D112,Milestones!$AA$69)&lt;=AsOfDate,IF($Q112=0,$W112,IF(AND($S112&lt;&gt;"",EDATE($D112,Milestones!$AA$69)&gt;=$S112),$V112,IF(AND($R112&lt;&gt;"",EDATE($D112,Milestones!$AA$69)&gt;=$R112),$U112,$T112)))=Milestones!$AB$69),TEXT(EDATE($D112,Milestones!$AA$69),"dd/mm/yy")&amp;" "&amp;Milestones!$AB$69&amp;" "&amp;Milestones!$AC$69&amp;";  ","")&amp;IF(AND(EDATE($D112,Milestones!$AA$70)&lt;=AsOfDate,IF($Q112=0,$W112,IF(AND($S112&lt;&gt;"",EDATE($D112,Milestones!$AA$70)&gt;=$S112),$V112,IF(AND($R112&lt;&gt;"",EDATE($D112,Milestones!$AA$70)&gt;=$R112),$U112,$T112)))=Milestones!$AB$70),TEXT(EDATE($D112,Milestones!$AA$70),"dd/mm/yy")&amp;" "&amp;Milestones!$AB$70&amp;" "&amp;Milestones!$AC$70&amp;";  ","")&amp;IF(AND(EDATE($D112,Milestones!$AA$71)&lt;=AsOfDate,IF($Q112=0,$W112,IF(AND($S112&lt;&gt;"",EDATE($D112,Milestones!$AA$71)&gt;=$S112),$V112,IF(AND($R112&lt;&gt;"",EDATE($D112,Milestones!$AA$71)&gt;=$R112),$U112,$T112)))=Milestones!$AB$71),TEXT(EDATE($D112,Milestones!$AA$71),"dd/mm/yy")&amp;" "&amp;Milestones!$AB$71&amp;" "&amp;Milestones!$AC$71&amp;";  ","")&amp;IF(AND(EDATE($D112,Milestones!$AA$72)&lt;=AsOfDate,IF($Q112=0,$W112,IF(AND($S112&lt;&gt;"",EDATE($D112,Milestones!$AA$72)&gt;=$S112),$V112,IF(AND($R112&lt;&gt;"",EDATE($D112,Milestones!$AA$72)&gt;=$R112),$U112,$T112)))=Milestones!$AB$72),TEXT(EDATE($D112,Milestones!$AA$72),"dd/mm/yy")&amp;" "&amp;Milestones!$AB$72&amp;" "&amp;Milestones!$AC$72&amp;";  ","")&amp;IF(AND(EDATE($D112,Milestones!$AA$73)&lt;=AsOfDate,IF($Q112=0,$W112,IF(AND($S112&lt;&gt;"",EDATE($D112,Milestones!$AA$73)&gt;=$S112),$V112,IF(AND($R112&lt;&gt;"",EDATE($D112,Milestones!$AA$73)&gt;=$R112),$U112,$T112)))=Milestones!$AB$73),TEXT(EDATE($D112,Milestones!$AA$73),"dd/mm/yy")&amp;" "&amp;Milestones!$AB$73&amp;" "&amp;Milestones!$AC$73&amp;";  ","")&amp;IF(AND(EDATE($D112,Milestones!$AA$74)&lt;=AsOfDate,IF($Q112=0,$W112,IF(AND($S112&lt;&gt;"",EDATE($D112,Milestones!$AA$74)&gt;=$S112),$V112,IF(AND($R112&lt;&gt;"",EDATE($D112,Milestones!$AA$74)&gt;=$R112),$U112,$T112)))=Milestones!$AB$74),TEXT(EDATE($D112,Milestones!$AA$74),"dd/mm/yy")&amp;" "&amp;Milestones!$AB$74&amp;" "&amp;Milestones!$AC$74&amp;";  ","")&amp;IF(AND(EDATE($D112,Milestones!$AA$75)&lt;=AsOfDate,IF($Q112=0,$W112,IF(AND($S112&lt;&gt;"",EDATE($D112,Milestones!$AA$75)&gt;=$S112),$V112,IF(AND($R112&lt;&gt;"",EDATE($D112,Milestones!$AA$75)&gt;=$R112),$U112,$T112)))=Milestones!$AB$75),TEXT(EDATE($D112,Milestones!$AA$75),"dd/mm/yy")&amp;" "&amp;Milestones!$AB$75&amp;" "&amp;Milestones!$AC$75&amp;";  ","")&amp;IF(AND(EDATE($D112,Milestones!$AA$76)&lt;=AsOfDate,IF($Q112=0,$W112,IF(AND($S112&lt;&gt;"",EDATE($D112,Milestones!$AA$76)&gt;=$S112),$V112,IF(AND($R112&lt;&gt;"",EDATE($D112,Milestones!$AA$76)&gt;=$R112),$U112,$T112)))=Milestones!$AB$76),TEXT(EDATE($D112,Milestones!$AA$76),"dd/mm/yy")&amp;" "&amp;Milestones!$AB$76&amp;" "&amp;Milestones!$AC$76&amp;";  ","")&amp;IF(AND(EDATE($D112,Milestones!$AA$77)&lt;=AsOfDate,IF($Q112=0,$W112,IF(AND($S112&lt;&gt;"",EDATE($D112,Milestones!$AA$77)&gt;=$S112),$V112,IF(AND($R112&lt;&gt;"",EDATE($D112,Milestones!$AA$77)&gt;=$R112),$U112,$T112)))=Milestones!$AB$77),TEXT(EDATE($D112,Milestones!$AA$77),"dd/mm/yy")&amp;" "&amp;Milestones!$AB$77&amp;" "&amp;Milestones!$AC$77&amp;";  ","")&amp;IF(AND(EDATE($D112,Milestones!$AA$78)&lt;=AsOfDate,IF($Q112=0,$W112,IF(AND($S112&lt;&gt;"",EDATE($D112,Milestones!$AA$78)&gt;=$S112),$V112,IF(AND($R112&lt;&gt;"",EDATE($D112,Milestones!$AA$78)&gt;=$R112),$U112,$T112)))=Milestones!$AB$78),TEXT(EDATE($D112,Milestones!$AA$78),"dd/mm/yy")&amp;" "&amp;Milestones!$AB$78&amp;" "&amp;Milestones!$AC$78&amp;";  ","")&amp;IF(AND(EDATE($D112,Milestones!$AA$79)&lt;=AsOfDate,IF($Q112=0,$W112,IF(AND($S112&lt;&gt;"",EDATE($D112,Milestones!$AA$79)&gt;=$S112),$V112,IF(AND($R112&lt;&gt;"",EDATE($D112,Milestones!$AA$79)&gt;=$R112),$U112,$T112)))=Milestones!$AB$79),TEXT(EDATE($D112,Milestones!$AA$79),"dd/mm/yy")&amp;" "&amp;Milestones!$AB$79&amp;" "&amp;Milestones!$AC$79&amp;";  ",""))</f>
        <v/>
      </c>
      <c r="K112" s="0" t="str">
        <f aca="false">IF(OR($A112="",$D112=""),"",IF(AND(EDATE($D112,Milestones!$AA$80)&lt;=AsOfDate,IF($Q112=0,$W112,IF(AND($S112&lt;&gt;"",EDATE($D112,Milestones!$AA$80)&gt;=$S112),$V112,IF(AND($R112&lt;&gt;"",EDATE($D112,Milestones!$AA$80)&gt;=$R112),$U112,$T112)))=Milestones!$AB$80),TEXT(EDATE($D112,Milestones!$AA$80),"dd/mm/yy")&amp;" "&amp;Milestones!$AB$80&amp;" "&amp;Milestones!$AC$80&amp;";  ","")&amp;IF(AND(EDATE($D112,Milestones!$AA$81)&lt;=AsOfDate,IF($Q112=0,$W112,IF(AND($S112&lt;&gt;"",EDATE($D112,Milestones!$AA$81)&gt;=$S112),$V112,IF(AND($R112&lt;&gt;"",EDATE($D112,Milestones!$AA$81)&gt;=$R112),$U112,$T112)))=Milestones!$AB$81),TEXT(EDATE($D112,Milestones!$AA$81),"dd/mm/yy")&amp;" "&amp;Milestones!$AB$81&amp;" "&amp;Milestones!$AC$81&amp;";  ","")&amp;IF(AND(EDATE($D112,Milestones!$AA$82)&lt;=AsOfDate,IF($Q112=0,$W112,IF(AND($S112&lt;&gt;"",EDATE($D112,Milestones!$AA$82)&gt;=$S112),$V112,IF(AND($R112&lt;&gt;"",EDATE($D112,Milestones!$AA$82)&gt;=$R112),$U112,$T112)))=Milestones!$AB$82),TEXT(EDATE($D112,Milestones!$AA$82),"dd/mm/yy")&amp;" "&amp;Milestones!$AB$82&amp;" "&amp;Milestones!$AC$82&amp;";  ","")&amp;IF(AND(EDATE($D112,Milestones!$AA$83)&lt;=AsOfDate,IF($Q112=0,$W112,IF(AND($S112&lt;&gt;"",EDATE($D112,Milestones!$AA$83)&gt;=$S112),$V112,IF(AND($R112&lt;&gt;"",EDATE($D112,Milestones!$AA$83)&gt;=$R112),$U112,$T112)))=Milestones!$AB$83),TEXT(EDATE($D112,Milestones!$AA$83),"dd/mm/yy")&amp;" "&amp;Milestones!$AB$83&amp;" "&amp;Milestones!$AC$83&amp;";  ","")&amp;IF(AND(EDATE($D112,Milestones!$AA$84)&lt;=AsOfDate,IF($Q112=0,$W112,IF(AND($S112&lt;&gt;"",EDATE($D112,Milestones!$AA$84)&gt;=$S112),$V112,IF(AND($R112&lt;&gt;"",EDATE($D112,Milestones!$AA$84)&gt;=$R112),$U112,$T112)))=Milestones!$AB$84),TEXT(EDATE($D112,Milestones!$AA$84),"dd/mm/yy")&amp;" "&amp;Milestones!$AB$84&amp;" "&amp;Milestones!$AC$84&amp;";  ","")&amp;IF(AND(EDATE($D112,Milestones!$AA$85)&lt;=AsOfDate,IF($Q112=0,$W112,IF(AND($S112&lt;&gt;"",EDATE($D112,Milestones!$AA$85)&gt;=$S112),$V112,IF(AND($R112&lt;&gt;"",EDATE($D112,Milestones!$AA$85)&gt;=$R112),$U112,$T112)))=Milestones!$AB$85),TEXT(EDATE($D112,Milestones!$AA$85),"dd/mm/yy")&amp;" "&amp;Milestones!$AB$85&amp;" "&amp;Milestones!$AC$85&amp;";  ","")&amp;IF(AND(EDATE($D112,Milestones!$AA$86)&lt;=AsOfDate,IF($Q112=0,$W112,IF(AND($S112&lt;&gt;"",EDATE($D112,Milestones!$AA$86)&gt;=$S112),$V112,IF(AND($R112&lt;&gt;"",EDATE($D112,Milestones!$AA$86)&gt;=$R112),$U112,$T112)))=Milestones!$AB$86),TEXT(EDATE($D112,Milestones!$AA$86),"dd/mm/yy")&amp;" "&amp;Milestones!$AB$86&amp;" "&amp;Milestones!$AC$86&amp;";  ","")&amp;IF(AND(EDATE($D112,Milestones!$AA$87)&lt;=AsOfDate,IF($Q112=0,$W112,IF(AND($S112&lt;&gt;"",EDATE($D112,Milestones!$AA$87)&gt;=$S112),$V112,IF(AND($R112&lt;&gt;"",EDATE($D112,Milestones!$AA$87)&gt;=$R112),$U112,$T112)))=Milestones!$AB$87),TEXT(EDATE($D112,Milestones!$AA$87),"dd/mm/yy")&amp;" "&amp;Milestones!$AB$87&amp;" "&amp;Milestones!$AC$87&amp;";  ","")&amp;IF(AND(EDATE($D112,Milestones!$AA$88)&lt;=AsOfDate,IF($Q112=0,$W112,IF(AND($S112&lt;&gt;"",EDATE($D112,Milestones!$AA$88)&gt;=$S112),$V112,IF(AND($R112&lt;&gt;"",EDATE($D112,Milestones!$AA$88)&gt;=$R112),$U112,$T112)))=Milestones!$AB$88),TEXT(EDATE($D112,Milestones!$AA$88),"dd/mm/yy")&amp;" "&amp;Milestones!$AB$88&amp;" "&amp;Milestones!$AC$88&amp;";  ","")&amp;IF(AND(EDATE($D112,Milestones!$AA$89)&lt;=AsOfDate,IF($Q112=0,$W112,IF(AND($S112&lt;&gt;"",EDATE($D112,Milestones!$AA$89)&gt;=$S112),$V112,IF(AND($R112&lt;&gt;"",EDATE($D112,Milestones!$AA$89)&gt;=$R112),$U112,$T112)))=Milestones!$AB$89),TEXT(EDATE($D112,Milestones!$AA$89),"dd/mm/yy")&amp;" "&amp;Milestones!$AB$89&amp;" "&amp;Milestones!$AC$89&amp;";  ","")&amp;IF(AND(EDATE($D112,Milestones!$AA$90)&lt;=AsOfDate,IF($Q112=0,$W112,IF(AND($S112&lt;&gt;"",EDATE($D112,Milestones!$AA$90)&gt;=$S112),$V112,IF(AND($R112&lt;&gt;"",EDATE($D112,Milestones!$AA$90)&gt;=$R112),$U112,$T112)))=Milestones!$AB$90),TEXT(EDATE($D112,Milestones!$AA$90),"dd/mm/yy")&amp;" "&amp;Milestones!$AB$90&amp;" "&amp;Milestones!$AC$90&amp;";  ","")&amp;IF(AND(EDATE($D112,Milestones!$AA$91)&lt;=AsOfDate,IF($Q112=0,$W112,IF(AND($S112&lt;&gt;"",EDATE($D112,Milestones!$AA$91)&gt;=$S112),$V112,IF(AND($R112&lt;&gt;"",EDATE($D112,Milestones!$AA$91)&gt;=$R112),$U112,$T112)))=Milestones!$AB$91),TEXT(EDATE($D112,Milestones!$AA$91),"dd/mm/yy")&amp;" "&amp;Milestones!$AB$91&amp;" "&amp;Milestones!$AC$91&amp;";  ","")&amp;IF(AND(EDATE($D112,Milestones!$AA$92)&lt;=AsOfDate,IF($Q112=0,$W112,IF(AND($S112&lt;&gt;"",EDATE($D112,Milestones!$AA$92)&gt;=$S112),$V112,IF(AND($R112&lt;&gt;"",EDATE($D112,Milestones!$AA$92)&gt;=$R112),$U112,$T112)))=Milestones!$AB$92),TEXT(EDATE($D112,Milestones!$AA$92),"dd/mm/yy")&amp;" "&amp;Milestones!$AB$92&amp;" "&amp;Milestones!$AC$92&amp;";  ","")&amp;IF(AND(EDATE($D112,Milestones!$AA$93)&lt;=AsOfDate,IF($Q112=0,$W112,IF(AND($S112&lt;&gt;"",EDATE($D112,Milestones!$AA$93)&gt;=$S112),$V112,IF(AND($R112&lt;&gt;"",EDATE($D112,Milestones!$AA$93)&gt;=$R112),$U112,$T112)))=Milestones!$AB$93),TEXT(EDATE($D112,Milestones!$AA$93),"dd/mm/yy")&amp;" "&amp;Milestones!$AB$93&amp;" "&amp;Milestones!$AC$93&amp;";  ","")&amp;IF(AND(EDATE($D112,Milestones!$AA$94)&lt;=AsOfDate,IF($Q112=0,$W112,IF(AND($S112&lt;&gt;"",EDATE($D112,Milestones!$AA$94)&gt;=$S112),$V112,IF(AND($R112&lt;&gt;"",EDATE($D112,Milestones!$AA$94)&gt;=$R112),$U112,$T112)))=Milestones!$AB$94),TEXT(EDATE($D112,Milestones!$AA$94),"dd/mm/yy")&amp;" "&amp;Milestones!$AB$94&amp;" "&amp;Milestones!$AC$94&amp;";  ","")&amp;IF(AND(EDATE($D112,Milestones!$AA$95)&lt;=AsOfDate,IF($Q112=0,$W112,IF(AND($S112&lt;&gt;"",EDATE($D112,Milestones!$AA$95)&gt;=$S112),$V112,IF(AND($R112&lt;&gt;"",EDATE($D112,Milestones!$AA$95)&gt;=$R112),$U112,$T112)))=Milestones!$AB$95),TEXT(EDATE($D112,Milestones!$AA$95),"dd/mm/yy")&amp;" "&amp;Milestones!$AB$95&amp;" "&amp;Milestones!$AC$95&amp;";  ","")&amp;IF(AND(EDATE($D112,Milestones!$AA$96)&lt;=AsOfDate,IF($Q112=0,$W112,IF(AND($S112&lt;&gt;"",EDATE($D112,Milestones!$AA$96)&gt;=$S112),$V112,IF(AND($R112&lt;&gt;"",EDATE($D112,Milestones!$AA$96)&gt;=$R112),$U112,$T112)))=Milestones!$AB$96),TEXT(EDATE($D112,Milestones!$AA$96),"dd/mm/yy")&amp;" "&amp;Milestones!$AB$96&amp;" "&amp;Milestones!$AC$96&amp;";  ","")&amp;IF(AND(EDATE($D112,Milestones!$AA$97)&lt;=AsOfDate,IF($Q112=0,$W112,IF(AND($S112&lt;&gt;"",EDATE($D112,Milestones!$AA$97)&gt;=$S112),$V112,IF(AND($R112&lt;&gt;"",EDATE($D112,Milestones!$AA$97)&gt;=$R112),$U112,$T112)))=Milestones!$AB$97),TEXT(EDATE($D112,Milestones!$AA$97),"dd/mm/yy")&amp;" "&amp;Milestones!$AB$97&amp;" "&amp;Milestones!$AC$97&amp;";  ","")&amp;IF(AND(EDATE($D112,Milestones!$AA$98)&lt;=AsOfDate,IF($Q112=0,$W112,IF(AND($S112&lt;&gt;"",EDATE($D112,Milestones!$AA$98)&gt;=$S112),$V112,IF(AND($R112&lt;&gt;"",EDATE($D112,Milestones!$AA$98)&gt;=$R112),$U112,$T112)))=Milestones!$AB$98),TEXT(EDATE($D112,Milestones!$AA$98),"dd/mm/yy")&amp;" "&amp;Milestones!$AB$98&amp;" "&amp;Milestones!$AC$98&amp;";  ","")&amp;IF(AND(EDATE($D112,Milestones!$AA$99)&lt;=AsOfDate,IF($Q112=0,$W112,IF(AND($S112&lt;&gt;"",EDATE($D112,Milestones!$AA$99)&gt;=$S112),$V112,IF(AND($R112&lt;&gt;"",EDATE($D112,Milestones!$AA$99)&gt;=$R112),$U112,$T112)))=Milestones!$AB$99),TEXT(EDATE($D112,Milestones!$AA$99),"dd/mm/yy")&amp;" "&amp;Milestones!$AB$99&amp;" "&amp;Milestones!$AC$99&amp;";  ",""))</f>
        <v/>
      </c>
      <c r="L112" s="0" t="str">
        <f aca="false">IF(OR($A112="",$D112=""),"",IF(AND(EDATE($D112,Milestones!$AA$100)&lt;=AsOfDate,IF($Q112=0,$W112,IF(AND($S112&lt;&gt;"",EDATE($D112,Milestones!$AA$100)&gt;=$S112),$V112,IF(AND($R112&lt;&gt;"",EDATE($D112,Milestones!$AA$100)&gt;=$R112),$U112,$T112)))=Milestones!$AB$100),TEXT(EDATE($D112,Milestones!$AA$100),"dd/mm/yy")&amp;" "&amp;Milestones!$AB$100&amp;" "&amp;Milestones!$AC$100&amp;";  ","")&amp;IF(AND(EDATE($D112,Milestones!$AA$101)&lt;=AsOfDate,IF($Q112=0,$W112,IF(AND($S112&lt;&gt;"",EDATE($D112,Milestones!$AA$101)&gt;=$S112),$V112,IF(AND($R112&lt;&gt;"",EDATE($D112,Milestones!$AA$101)&gt;=$R112),$U112,$T112)))=Milestones!$AB$101),TEXT(EDATE($D112,Milestones!$AA$101),"dd/mm/yy")&amp;" "&amp;Milestones!$AB$101&amp;" "&amp;Milestones!$AC$101&amp;";  ","")&amp;IF(AND(EDATE($D112,Milestones!$AA$102)&lt;=AsOfDate,IF($Q112=0,$W112,IF(AND($S112&lt;&gt;"",EDATE($D112,Milestones!$AA$102)&gt;=$S112),$V112,IF(AND($R112&lt;&gt;"",EDATE($D112,Milestones!$AA$102)&gt;=$R112),$U112,$T112)))=Milestones!$AB$102),TEXT(EDATE($D112,Milestones!$AA$102),"dd/mm/yy")&amp;" "&amp;Milestones!$AB$102&amp;" "&amp;Milestones!$AC$102&amp;";  ","")&amp;IF(AND(EDATE($D112,Milestones!$AA$103)&lt;=AsOfDate,IF($Q112=0,$W112,IF(AND($S112&lt;&gt;"",EDATE($D112,Milestones!$AA$103)&gt;=$S112),$V112,IF(AND($R112&lt;&gt;"",EDATE($D112,Milestones!$AA$103)&gt;=$R112),$U112,$T112)))=Milestones!$AB$103),TEXT(EDATE($D112,Milestones!$AA$103),"dd/mm/yy")&amp;" "&amp;Milestones!$AB$103&amp;" "&amp;Milestones!$AC$103&amp;";  ","")&amp;IF(AND(EDATE($D112,Milestones!$AA$104)&lt;=AsOfDate,IF($Q112=0,$W112,IF(AND($S112&lt;&gt;"",EDATE($D112,Milestones!$AA$104)&gt;=$S112),$V112,IF(AND($R112&lt;&gt;"",EDATE($D112,Milestones!$AA$104)&gt;=$R112),$U112,$T112)))=Milestones!$AB$104),TEXT(EDATE($D112,Milestones!$AA$104),"dd/mm/yy")&amp;" "&amp;Milestones!$AB$104&amp;" "&amp;Milestones!$AC$104&amp;";  ","")&amp;IF(AND(EDATE($D112,Milestones!$AA$105)&lt;=AsOfDate,IF($Q112=0,$W112,IF(AND($S112&lt;&gt;"",EDATE($D112,Milestones!$AA$105)&gt;=$S112),$V112,IF(AND($R112&lt;&gt;"",EDATE($D112,Milestones!$AA$105)&gt;=$R112),$U112,$T112)))=Milestones!$AB$105),TEXT(EDATE($D112,Milestones!$AA$105),"dd/mm/yy")&amp;" "&amp;Milestones!$AB$105&amp;" "&amp;Milestones!$AC$105&amp;";  ","")&amp;IF(AND(EDATE($D112,Milestones!$AA$106)&lt;=AsOfDate,IF($Q112=0,$W112,IF(AND($S112&lt;&gt;"",EDATE($D112,Milestones!$AA$106)&gt;=$S112),$V112,IF(AND($R112&lt;&gt;"",EDATE($D112,Milestones!$AA$106)&gt;=$R112),$U112,$T112)))=Milestones!$AB$106),TEXT(EDATE($D112,Milestones!$AA$106),"dd/mm/yy")&amp;" "&amp;Milestones!$AB$106&amp;" "&amp;Milestones!$AC$106&amp;";  ","")&amp;IF(AND(EDATE($D112,Milestones!$AA$107)&lt;=AsOfDate,IF($Q112=0,$W112,IF(AND($S112&lt;&gt;"",EDATE($D112,Milestones!$AA$107)&gt;=$S112),$V112,IF(AND($R112&lt;&gt;"",EDATE($D112,Milestones!$AA$107)&gt;=$R112),$U112,$T112)))=Milestones!$AB$107),TEXT(EDATE($D112,Milestones!$AA$107),"dd/mm/yy")&amp;" "&amp;Milestones!$AB$107&amp;" "&amp;Milestones!$AC$107&amp;";  ","")&amp;IF(AND(EDATE($D112,Milestones!$AA$108)&lt;=AsOfDate,IF($Q112=0,$W112,IF(AND($S112&lt;&gt;"",EDATE($D112,Milestones!$AA$108)&gt;=$S112),$V112,IF(AND($R112&lt;&gt;"",EDATE($D112,Milestones!$AA$108)&gt;=$R112),$U112,$T112)))=Milestones!$AB$108),TEXT(EDATE($D112,Milestones!$AA$108),"dd/mm/yy")&amp;" "&amp;Milestones!$AB$108&amp;" "&amp;Milestones!$AC$108&amp;";  ","")&amp;IF(AND(EDATE($D112,Milestones!$AA$109)&lt;=AsOfDate,IF($Q112=0,$W112,IF(AND($S112&lt;&gt;"",EDATE($D112,Milestones!$AA$109)&gt;=$S112),$V112,IF(AND($R112&lt;&gt;"",EDATE($D112,Milestones!$AA$109)&gt;=$R112),$U112,$T112)))=Milestones!$AB$109),TEXT(EDATE($D112,Milestones!$AA$109),"dd/mm/yy")&amp;" "&amp;Milestones!$AB$109&amp;" "&amp;Milestones!$AC$109&amp;";  ","")&amp;IF(AND(EDATE($D112,Milestones!$AA$110)&lt;=AsOfDate,IF($Q112=0,$W112,IF(AND($S112&lt;&gt;"",EDATE($D112,Milestones!$AA$110)&gt;=$S112),$V112,IF(AND($R112&lt;&gt;"",EDATE($D112,Milestones!$AA$110)&gt;=$R112),$U112,$T112)))=Milestones!$AB$110),TEXT(EDATE($D112,Milestones!$AA$110),"dd/mm/yy")&amp;" "&amp;Milestones!$AB$110&amp;" "&amp;Milestones!$AC$110&amp;";  ","")&amp;IF(AND(EDATE($D112,Milestones!$AA$111)&lt;=AsOfDate,IF($Q112=0,$W112,IF(AND($S112&lt;&gt;"",EDATE($D112,Milestones!$AA$111)&gt;=$S112),$V112,IF(AND($R112&lt;&gt;"",EDATE($D112,Milestones!$AA$111)&gt;=$R112),$U112,$T112)))=Milestones!$AB$111),TEXT(EDATE($D112,Milestones!$AA$111),"dd/mm/yy")&amp;" "&amp;Milestones!$AB$111&amp;" "&amp;Milestones!$AC$111&amp;";  ","")&amp;IF(AND(EDATE($D112,Milestones!$AA$112)&lt;=AsOfDate,IF($Q112=0,$W112,IF(AND($S112&lt;&gt;"",EDATE($D112,Milestones!$AA$112)&gt;=$S112),$V112,IF(AND($R112&lt;&gt;"",EDATE($D112,Milestones!$AA$112)&gt;=$R112),$U112,$T112)))=Milestones!$AB$112),TEXT(EDATE($D112,Milestones!$AA$112),"dd/mm/yy")&amp;" "&amp;Milestones!$AB$112&amp;" "&amp;Milestones!$AC$112&amp;";  ","")&amp;IF(AND(EDATE($D112,Milestones!$AA$113)&lt;=AsOfDate,IF($Q112=0,$W112,IF(AND($S112&lt;&gt;"",EDATE($D112,Milestones!$AA$113)&gt;=$S112),$V112,IF(AND($R112&lt;&gt;"",EDATE($D112,Milestones!$AA$113)&gt;=$R112),$U112,$T112)))=Milestones!$AB$113),TEXT(EDATE($D112,Milestones!$AA$113),"dd/mm/yy")&amp;" "&amp;Milestones!$AB$113&amp;" "&amp;Milestones!$AC$113&amp;";  ","")&amp;IF(AND(EDATE($D112,Milestones!$AA$114)&lt;=AsOfDate,IF($Q112=0,$W112,IF(AND($S112&lt;&gt;"",EDATE($D112,Milestones!$AA$114)&gt;=$S112),$V112,IF(AND($R112&lt;&gt;"",EDATE($D112,Milestones!$AA$114)&gt;=$R112),$U112,$T112)))=Milestones!$AB$114),TEXT(EDATE($D112,Milestones!$AA$114),"dd/mm/yy")&amp;" "&amp;Milestones!$AB$114&amp;" "&amp;Milestones!$AC$114&amp;";  ","")&amp;IF(AND(EDATE($D112,Milestones!$AA$115)&lt;=AsOfDate,IF($Q112=0,$W112,IF(AND($S112&lt;&gt;"",EDATE($D112,Milestones!$AA$115)&gt;=$S112),$V112,IF(AND($R112&lt;&gt;"",EDATE($D112,Milestones!$AA$115)&gt;=$R112),$U112,$T112)))=Milestones!$AB$115),TEXT(EDATE($D112,Milestones!$AA$115),"dd/mm/yy")&amp;" "&amp;Milestones!$AB$115&amp;" "&amp;Milestones!$AC$115&amp;";  ","")&amp;IF(AND(EDATE($D112,Milestones!$AA$116)&lt;=AsOfDate,IF($Q112=0,$W112,IF(AND($S112&lt;&gt;"",EDATE($D112,Milestones!$AA$116)&gt;=$S112),$V112,IF(AND($R112&lt;&gt;"",EDATE($D112,Milestones!$AA$116)&gt;=$R112),$U112,$T112)))=Milestones!$AB$116),TEXT(EDATE($D112,Milestones!$AA$116),"dd/mm/yy")&amp;" "&amp;Milestones!$AB$116&amp;" "&amp;Milestones!$AC$116&amp;";  ","")&amp;IF(AND(EDATE($D112,Milestones!$AA$117)&lt;=AsOfDate,IF($Q112=0,$W112,IF(AND($S112&lt;&gt;"",EDATE($D112,Milestones!$AA$117)&gt;=$S112),$V112,IF(AND($R112&lt;&gt;"",EDATE($D112,Milestones!$AA$117)&gt;=$R112),$U112,$T112)))=Milestones!$AB$117),TEXT(EDATE($D112,Milestones!$AA$117),"dd/mm/yy")&amp;" "&amp;Milestones!$AB$117&amp;" "&amp;Milestones!$AC$117&amp;";  ","")&amp;IF(AND(EDATE($D112,Milestones!$AA$118)&lt;=AsOfDate,IF($Q112=0,$W112,IF(AND($S112&lt;&gt;"",EDATE($D112,Milestones!$AA$118)&gt;=$S112),$V112,IF(AND($R112&lt;&gt;"",EDATE($D112,Milestones!$AA$118)&gt;=$R112),$U112,$T112)))=Milestones!$AB$118),TEXT(EDATE($D112,Milestones!$AA$118),"dd/mm/yy")&amp;" "&amp;Milestones!$AB$118&amp;" "&amp;Milestones!$AC$118&amp;";  ","")&amp;IF(AND(EDATE($D112,Milestones!$AA$119)&lt;=AsOfDate,IF($Q112=0,$W112,IF(AND($S112&lt;&gt;"",EDATE($D112,Milestones!$AA$119)&gt;=$S112),$V112,IF(AND($R112&lt;&gt;"",EDATE($D112,Milestones!$AA$119)&gt;=$R112),$U112,$T112)))=Milestones!$AB$119),TEXT(EDATE($D112,Milestones!$AA$119),"dd/mm/yy")&amp;" "&amp;Milestones!$AB$119&amp;" "&amp;Milestones!$AC$119&amp;";  ",""))</f>
        <v/>
      </c>
      <c r="M112" s="0" t="str">
        <f aca="false">IF(OR($A112="",$D112=""),"",IF(AND(EDATE($D112,Milestones!$AA$120)&lt;=AsOfDate,IF($Q112=0,$W112,IF(AND($S112&lt;&gt;"",EDATE($D112,Milestones!$AA$120)&gt;=$S112),$V112,IF(AND($R112&lt;&gt;"",EDATE($D112,Milestones!$AA$120)&gt;=$R112),$U112,$T112)))=Milestones!$AB$120),TEXT(EDATE($D112,Milestones!$AA$120),"dd/mm/yy")&amp;" "&amp;Milestones!$AB$120&amp;" "&amp;Milestones!$AC$120&amp;";  ","")&amp;IF(AND(EDATE($D112,Milestones!$AA$121)&lt;=AsOfDate,IF($Q112=0,$W112,IF(AND($S112&lt;&gt;"",EDATE($D112,Milestones!$AA$121)&gt;=$S112),$V112,IF(AND($R112&lt;&gt;"",EDATE($D112,Milestones!$AA$121)&gt;=$R112),$U112,$T112)))=Milestones!$AB$121),TEXT(EDATE($D112,Milestones!$AA$121),"dd/mm/yy")&amp;" "&amp;Milestones!$AB$121&amp;" "&amp;Milestones!$AC$121&amp;";  ","")&amp;IF(AND(EDATE($D112,Milestones!$AA$122)&lt;=AsOfDate,IF($Q112=0,$W112,IF(AND($S112&lt;&gt;"",EDATE($D112,Milestones!$AA$122)&gt;=$S112),$V112,IF(AND($R112&lt;&gt;"",EDATE($D112,Milestones!$AA$122)&gt;=$R112),$U112,$T112)))=Milestones!$AB$122),TEXT(EDATE($D112,Milestones!$AA$122),"dd/mm/yy")&amp;" "&amp;Milestones!$AB$122&amp;" "&amp;Milestones!$AC$122&amp;";  ","")&amp;IF(AND(EDATE($D112,Milestones!$AA$123)&lt;=AsOfDate,IF($Q112=0,$W112,IF(AND($S112&lt;&gt;"",EDATE($D112,Milestones!$AA$123)&gt;=$S112),$V112,IF(AND($R112&lt;&gt;"",EDATE($D112,Milestones!$AA$123)&gt;=$R112),$U112,$T112)))=Milestones!$AB$123),TEXT(EDATE($D112,Milestones!$AA$123),"dd/mm/yy")&amp;" "&amp;Milestones!$AB$123&amp;" "&amp;Milestones!$AC$123&amp;";  ","")&amp;IF(AND(EDATE($D112,Milestones!$AA$124)&lt;=AsOfDate,IF($Q112=0,$W112,IF(AND($S112&lt;&gt;"",EDATE($D112,Milestones!$AA$124)&gt;=$S112),$V112,IF(AND($R112&lt;&gt;"",EDATE($D112,Milestones!$AA$124)&gt;=$R112),$U112,$T112)))=Milestones!$AB$124),TEXT(EDATE($D112,Milestones!$AA$124),"dd/mm/yy")&amp;" "&amp;Milestones!$AB$124&amp;" "&amp;Milestones!$AC$124&amp;";  ","")&amp;IF(AND(EDATE($D112,Milestones!$AA$125)&lt;=AsOfDate,IF($Q112=0,$W112,IF(AND($S112&lt;&gt;"",EDATE($D112,Milestones!$AA$125)&gt;=$S112),$V112,IF(AND($R112&lt;&gt;"",EDATE($D112,Milestones!$AA$125)&gt;=$R112),$U112,$T112)))=Milestones!$AB$125),TEXT(EDATE($D112,Milestones!$AA$125),"dd/mm/yy")&amp;" "&amp;Milestones!$AB$125&amp;" "&amp;Milestones!$AC$125&amp;";  ","")&amp;IF(AND(EDATE($D112,Milestones!$AA$126)&lt;=AsOfDate,IF($Q112=0,$W112,IF(AND($S112&lt;&gt;"",EDATE($D112,Milestones!$AA$126)&gt;=$S112),$V112,IF(AND($R112&lt;&gt;"",EDATE($D112,Milestones!$AA$126)&gt;=$R112),$U112,$T112)))=Milestones!$AB$126),TEXT(EDATE($D112,Milestones!$AA$126),"dd/mm/yy")&amp;" "&amp;Milestones!$AB$126&amp;" "&amp;Milestones!$AC$126&amp;";  ","")&amp;IF(AND(EDATE($D112,Milestones!$AA$127)&lt;=AsOfDate,IF($Q112=0,$W112,IF(AND($S112&lt;&gt;"",EDATE($D112,Milestones!$AA$127)&gt;=$S112),$V112,IF(AND($R112&lt;&gt;"",EDATE($D112,Milestones!$AA$127)&gt;=$R112),$U112,$T112)))=Milestones!$AB$127),TEXT(EDATE($D112,Milestones!$AA$127),"dd/mm/yy")&amp;" "&amp;Milestones!$AB$127&amp;" "&amp;Milestones!$AC$127&amp;";  ","")&amp;IF(AND(EDATE($D112,Milestones!$AA$128)&lt;=AsOfDate,IF($Q112=0,$W112,IF(AND($S112&lt;&gt;"",EDATE($D112,Milestones!$AA$128)&gt;=$S112),$V112,IF(AND($R112&lt;&gt;"",EDATE($D112,Milestones!$AA$128)&gt;=$R112),$U112,$T112)))=Milestones!$AB$128),TEXT(EDATE($D112,Milestones!$AA$128),"dd/mm/yy")&amp;" "&amp;Milestones!$AB$128&amp;" "&amp;Milestones!$AC$128&amp;";  ","")&amp;IF(AND(EDATE($D112,Milestones!$AA$129)&lt;=AsOfDate,IF($Q112=0,$W112,IF(AND($S112&lt;&gt;"",EDATE($D112,Milestones!$AA$129)&gt;=$S112),$V112,IF(AND($R112&lt;&gt;"",EDATE($D112,Milestones!$AA$129)&gt;=$R112),$U112,$T112)))=Milestones!$AB$129),TEXT(EDATE($D112,Milestones!$AA$129),"dd/mm/yy")&amp;" "&amp;Milestones!$AB$129&amp;" "&amp;Milestones!$AC$129&amp;";  ","")&amp;IF(AND(EDATE($D112,Milestones!$AA$130)&lt;=AsOfDate,IF($Q112=0,$W112,IF(AND($S112&lt;&gt;"",EDATE($D112,Milestones!$AA$130)&gt;=$S112),$V112,IF(AND($R112&lt;&gt;"",EDATE($D112,Milestones!$AA$130)&gt;=$R112),$U112,$T112)))=Milestones!$AB$130),TEXT(EDATE($D112,Milestones!$AA$130),"dd/mm/yy")&amp;" "&amp;Milestones!$AB$130&amp;" "&amp;Milestones!$AC$130&amp;";  ","")&amp;IF(AND(EDATE($D112,Milestones!$AA$131)&lt;=AsOfDate,IF($Q112=0,$W112,IF(AND($S112&lt;&gt;"",EDATE($D112,Milestones!$AA$131)&gt;=$S112),$V112,IF(AND($R112&lt;&gt;"",EDATE($D112,Milestones!$AA$131)&gt;=$R112),$U112,$T112)))=Milestones!$AB$131),TEXT(EDATE($D112,Milestones!$AA$131),"dd/mm/yy")&amp;" "&amp;Milestones!$AB$131&amp;" "&amp;Milestones!$AC$131&amp;";  ","")&amp;IF(AND(EDATE($D112,Milestones!$AA$132)&lt;=AsOfDate,IF($Q112=0,$W112,IF(AND($S112&lt;&gt;"",EDATE($D112,Milestones!$AA$132)&gt;=$S112),$V112,IF(AND($R112&lt;&gt;"",EDATE($D112,Milestones!$AA$132)&gt;=$R112),$U112,$T112)))=Milestones!$AB$132),TEXT(EDATE($D112,Milestones!$AA$132),"dd/mm/yy")&amp;" "&amp;Milestones!$AB$132&amp;" "&amp;Milestones!$AC$132&amp;";  ","")&amp;IF(AND(EDATE($D112,Milestones!$AA$133)&lt;=AsOfDate,IF($Q112=0,$W112,IF(AND($S112&lt;&gt;"",EDATE($D112,Milestones!$AA$133)&gt;=$S112),$V112,IF(AND($R112&lt;&gt;"",EDATE($D112,Milestones!$AA$133)&gt;=$R112),$U112,$T112)))=Milestones!$AB$133),TEXT(EDATE($D112,Milestones!$AA$133),"dd/mm/yy")&amp;" "&amp;Milestones!$AB$133&amp;" "&amp;Milestones!$AC$133&amp;";  ","")&amp;IF(AND(EDATE($D112,Milestones!$AA$134)&lt;=AsOfDate,IF($Q112=0,$W112,IF(AND($S112&lt;&gt;"",EDATE($D112,Milestones!$AA$134)&gt;=$S112),$V112,IF(AND($R112&lt;&gt;"",EDATE($D112,Milestones!$AA$134)&gt;=$R112),$U112,$T112)))=Milestones!$AB$134),TEXT(EDATE($D112,Milestones!$AA$134),"dd/mm/yy")&amp;" "&amp;Milestones!$AB$134&amp;" "&amp;Milestones!$AC$134&amp;";  ","")&amp;IF(AND(EDATE($D112,Milestones!$AA$135)&lt;=AsOfDate,IF($Q112=0,$W112,IF(AND($S112&lt;&gt;"",EDATE($D112,Milestones!$AA$135)&gt;=$S112),$V112,IF(AND($R112&lt;&gt;"",EDATE($D112,Milestones!$AA$135)&gt;=$R112),$U112,$T112)))=Milestones!$AB$135),TEXT(EDATE($D112,Milestones!$AA$135),"dd/mm/yy")&amp;" "&amp;Milestones!$AB$135&amp;" "&amp;Milestones!$AC$135&amp;";  ","")&amp;IF(AND(EDATE($D112,Milestones!$AA$136)&lt;=AsOfDate,IF($Q112=0,$W112,IF(AND($S112&lt;&gt;"",EDATE($D112,Milestones!$AA$136)&gt;=$S112),$V112,IF(AND($R112&lt;&gt;"",EDATE($D112,Milestones!$AA$136)&gt;=$R112),$U112,$T112)))=Milestones!$AB$136),TEXT(EDATE($D112,Milestones!$AA$136),"dd/mm/yy")&amp;" "&amp;Milestones!$AB$136&amp;" "&amp;Milestones!$AC$136&amp;";  ","")&amp;IF(AND(EDATE($D112,Milestones!$AA$137)&lt;=AsOfDate,IF($Q112=0,$W112,IF(AND($S112&lt;&gt;"",EDATE($D112,Milestones!$AA$137)&gt;=$S112),$V112,IF(AND($R112&lt;&gt;"",EDATE($D112,Milestones!$AA$137)&gt;=$R112),$U112,$T112)))=Milestones!$AB$137),TEXT(EDATE($D112,Milestones!$AA$137),"dd/mm/yy")&amp;" "&amp;Milestones!$AB$137&amp;" "&amp;Milestones!$AC$137&amp;";  ","")&amp;IF(AND(EDATE($D112,Milestones!$AA$138)&lt;=AsOfDate,IF($Q112=0,$W112,IF(AND($S112&lt;&gt;"",EDATE($D112,Milestones!$AA$138)&gt;=$S112),$V112,IF(AND($R112&lt;&gt;"",EDATE($D112,Milestones!$AA$138)&gt;=$R112),$U112,$T112)))=Milestones!$AB$138),TEXT(EDATE($D112,Milestones!$AA$138),"dd/mm/yy")&amp;" "&amp;Milestones!$AB$138&amp;" "&amp;Milestones!$AC$138&amp;";  ","")&amp;IF(AND(EDATE($D112,Milestones!$AA$139)&lt;=AsOfDate,IF($Q112=0,$W112,IF(AND($S112&lt;&gt;"",EDATE($D112,Milestones!$AA$139)&gt;=$S112),$V112,IF(AND($R112&lt;&gt;"",EDATE($D112,Milestones!$AA$139)&gt;=$R112),$U112,$T112)))=Milestones!$AB$139),TEXT(EDATE($D112,Milestones!$AA$139),"dd/mm/yy")&amp;" "&amp;Milestones!$AB$139&amp;" "&amp;Milestones!$AC$139&amp;";  ",""))</f>
        <v/>
      </c>
      <c r="N112" s="0" t="str">
        <f aca="false">IF(OR($A112="",$D112=""),"",IF(AND(EDATE($D112,Milestones!$AA$140)&lt;=AsOfDate,IF($Q112=0,$W112,IF(AND($S112&lt;&gt;"",EDATE($D112,Milestones!$AA$140)&gt;=$S112),$V112,IF(AND($R112&lt;&gt;"",EDATE($D112,Milestones!$AA$140)&gt;=$R112),$U112,$T112)))=Milestones!$AB$140),TEXT(EDATE($D112,Milestones!$AA$140),"dd/mm/yy")&amp;" "&amp;Milestones!$AB$140&amp;" "&amp;Milestones!$AC$140&amp;";  ","")&amp;IF(AND(EDATE($D112,Milestones!$AA$141)&lt;=AsOfDate,IF($Q112=0,$W112,IF(AND($S112&lt;&gt;"",EDATE($D112,Milestones!$AA$141)&gt;=$S112),$V112,IF(AND($R112&lt;&gt;"",EDATE($D112,Milestones!$AA$141)&gt;=$R112),$U112,$T112)))=Milestones!$AB$141),TEXT(EDATE($D112,Milestones!$AA$141),"dd/mm/yy")&amp;" "&amp;Milestones!$AB$141&amp;" "&amp;Milestones!$AC$141&amp;";  ","")&amp;IF(AND(EDATE($D112,Milestones!$AA$142)&lt;=AsOfDate,IF($Q112=0,$W112,IF(AND($S112&lt;&gt;"",EDATE($D112,Milestones!$AA$142)&gt;=$S112),$V112,IF(AND($R112&lt;&gt;"",EDATE($D112,Milestones!$AA$142)&gt;=$R112),$U112,$T112)))=Milestones!$AB$142),TEXT(EDATE($D112,Milestones!$AA$142),"dd/mm/yy")&amp;" "&amp;Milestones!$AB$142&amp;" "&amp;Milestones!$AC$142&amp;";  ","")&amp;IF(AND(EDATE($D112,Milestones!$AA$143)&lt;=AsOfDate,IF($Q112=0,$W112,IF(AND($S112&lt;&gt;"",EDATE($D112,Milestones!$AA$143)&gt;=$S112),$V112,IF(AND($R112&lt;&gt;"",EDATE($D112,Milestones!$AA$143)&gt;=$R112),$U112,$T112)))=Milestones!$AB$143),TEXT(EDATE($D112,Milestones!$AA$143),"dd/mm/yy")&amp;" "&amp;Milestones!$AB$143&amp;" "&amp;Milestones!$AC$143&amp;";  ","")&amp;IF(AND(EDATE($D112,Milestones!$AA$144)&lt;=AsOfDate,IF($Q112=0,$W112,IF(AND($S112&lt;&gt;"",EDATE($D112,Milestones!$AA$144)&gt;=$S112),$V112,IF(AND($R112&lt;&gt;"",EDATE($D112,Milestones!$AA$144)&gt;=$R112),$U112,$T112)))=Milestones!$AB$144),TEXT(EDATE($D112,Milestones!$AA$144),"dd/mm/yy")&amp;" "&amp;Milestones!$AB$144&amp;" "&amp;Milestones!$AC$144&amp;";  ","")&amp;IF(AND(EDATE($D112,Milestones!$AA$145)&lt;=AsOfDate,IF($Q112=0,$W112,IF(AND($S112&lt;&gt;"",EDATE($D112,Milestones!$AA$145)&gt;=$S112),$V112,IF(AND($R112&lt;&gt;"",EDATE($D112,Milestones!$AA$145)&gt;=$R112),$U112,$T112)))=Milestones!$AB$145),TEXT(EDATE($D112,Milestones!$AA$145),"dd/mm/yy")&amp;" "&amp;Milestones!$AB$145&amp;" "&amp;Milestones!$AC$145&amp;";  ","")&amp;IF(AND(EDATE($D112,Milestones!$AA$146)&lt;=AsOfDate,IF($Q112=0,$W112,IF(AND($S112&lt;&gt;"",EDATE($D112,Milestones!$AA$146)&gt;=$S112),$V112,IF(AND($R112&lt;&gt;"",EDATE($D112,Milestones!$AA$146)&gt;=$R112),$U112,$T112)))=Milestones!$AB$146),TEXT(EDATE($D112,Milestones!$AA$146),"dd/mm/yy")&amp;" "&amp;Milestones!$AB$146&amp;" "&amp;Milestones!$AC$146&amp;";  ","")&amp;IF(AND(EDATE($D112,Milestones!$AA$147)&lt;=AsOfDate,IF($Q112=0,$W112,IF(AND($S112&lt;&gt;"",EDATE($D112,Milestones!$AA$147)&gt;=$S112),$V112,IF(AND($R112&lt;&gt;"",EDATE($D112,Milestones!$AA$147)&gt;=$R112),$U112,$T112)))=Milestones!$AB$147),TEXT(EDATE($D112,Milestones!$AA$147),"dd/mm/yy")&amp;" "&amp;Milestones!$AB$147&amp;" "&amp;Milestones!$AC$147&amp;";  ","")&amp;IF(AND(EDATE($D112,Milestones!$AA$148)&lt;=AsOfDate,IF($Q112=0,$W112,IF(AND($S112&lt;&gt;"",EDATE($D112,Milestones!$AA$148)&gt;=$S112),$V112,IF(AND($R112&lt;&gt;"",EDATE($D112,Milestones!$AA$148)&gt;=$R112),$U112,$T112)))=Milestones!$AB$148),TEXT(EDATE($D112,Milestones!$AA$148),"dd/mm/yy")&amp;" "&amp;Milestones!$AB$148&amp;" "&amp;Milestones!$AC$148&amp;";  ","")&amp;IF(AND(EDATE($D112,Milestones!$AA$149)&lt;=AsOfDate,IF($Q112=0,$W112,IF(AND($S112&lt;&gt;"",EDATE($D112,Milestones!$AA$149)&gt;=$S112),$V112,IF(AND($R112&lt;&gt;"",EDATE($D112,Milestones!$AA$149)&gt;=$R112),$U112,$T112)))=Milestones!$AB$149),TEXT(EDATE($D112,Milestones!$AA$149),"dd/mm/yy")&amp;" "&amp;Milestones!$AB$149&amp;" "&amp;Milestones!$AC$149&amp;";  ","")&amp;IF(AND(EDATE($D112,Milestones!$AA$150)&lt;=AsOfDate,IF($Q112=0,$W112,IF(AND($S112&lt;&gt;"",EDATE($D112,Milestones!$AA$150)&gt;=$S112),$V112,IF(AND($R112&lt;&gt;"",EDATE($D112,Milestones!$AA$150)&gt;=$R112),$U112,$T112)))=Milestones!$AB$150),TEXT(EDATE($D112,Milestones!$AA$150),"dd/mm/yy")&amp;" "&amp;Milestones!$AB$150&amp;" "&amp;Milestones!$AC$150&amp;";  ","")&amp;IF(AND(EDATE($D112,Milestones!$AA$151)&lt;=AsOfDate,IF($Q112=0,$W112,IF(AND($S112&lt;&gt;"",EDATE($D112,Milestones!$AA$151)&gt;=$S112),$V112,IF(AND($R112&lt;&gt;"",EDATE($D112,Milestones!$AA$151)&gt;=$R112),$U112,$T112)))=Milestones!$AB$151),TEXT(EDATE($D112,Milestones!$AA$151),"dd/mm/yy")&amp;" "&amp;Milestones!$AB$151&amp;" "&amp;Milestones!$AC$151&amp;";  ","")&amp;IF(AND(EDATE($D112,Milestones!$AA$152)&lt;=AsOfDate,IF($Q112=0,$W112,IF(AND($S112&lt;&gt;"",EDATE($D112,Milestones!$AA$152)&gt;=$S112),$V112,IF(AND($R112&lt;&gt;"",EDATE($D112,Milestones!$AA$152)&gt;=$R112),$U112,$T112)))=Milestones!$AB$152),TEXT(EDATE($D112,Milestones!$AA$152),"dd/mm/yy")&amp;" "&amp;Milestones!$AB$152&amp;" "&amp;Milestones!$AC$152&amp;";  ","")&amp;IF(AND(EDATE($D112,Milestones!$AA$153)&lt;=AsOfDate,IF($Q112=0,$W112,IF(AND($S112&lt;&gt;"",EDATE($D112,Milestones!$AA$153)&gt;=$S112),$V112,IF(AND($R112&lt;&gt;"",EDATE($D112,Milestones!$AA$153)&gt;=$R112),$U112,$T112)))=Milestones!$AB$153),TEXT(EDATE($D112,Milestones!$AA$153),"dd/mm/yy")&amp;" "&amp;Milestones!$AB$153&amp;" "&amp;Milestones!$AC$153&amp;";  ","")&amp;IF(AND(EDATE($D112,Milestones!$AA$154)&lt;=AsOfDate,IF($Q112=0,$W112,IF(AND($S112&lt;&gt;"",EDATE($D112,Milestones!$AA$154)&gt;=$S112),$V112,IF(AND($R112&lt;&gt;"",EDATE($D112,Milestones!$AA$154)&gt;=$R112),$U112,$T112)))=Milestones!$AB$154),TEXT(EDATE($D112,Milestones!$AA$154),"dd/mm/yy")&amp;" "&amp;Milestones!$AB$154&amp;" "&amp;Milestones!$AC$154&amp;";  ","")&amp;IF(AND(EDATE($D112,Milestones!$AA$155)&lt;=AsOfDate,IF($Q112=0,$W112,IF(AND($S112&lt;&gt;"",EDATE($D112,Milestones!$AA$155)&gt;=$S112),$V112,IF(AND($R112&lt;&gt;"",EDATE($D112,Milestones!$AA$155)&gt;=$R112),$U112,$T112)))=Milestones!$AB$155),TEXT(EDATE($D112,Milestones!$AA$155),"dd/mm/yy")&amp;" "&amp;Milestones!$AB$155&amp;" "&amp;Milestones!$AC$155&amp;";  ","")&amp;IF(AND(EDATE($D112,Milestones!$AA$156)&lt;=AsOfDate,IF($Q112=0,$W112,IF(AND($S112&lt;&gt;"",EDATE($D112,Milestones!$AA$156)&gt;=$S112),$V112,IF(AND($R112&lt;&gt;"",EDATE($D112,Milestones!$AA$156)&gt;=$R112),$U112,$T112)))=Milestones!$AB$156),TEXT(EDATE($D112,Milestones!$AA$156),"dd/mm/yy")&amp;" "&amp;Milestones!$AB$156&amp;" "&amp;Milestones!$AC$156&amp;";  ","")&amp;IF(AND(EDATE($D112,Milestones!$AA$157)&lt;=AsOfDate,IF($Q112=0,$W112,IF(AND($S112&lt;&gt;"",EDATE($D112,Milestones!$AA$157)&gt;=$S112),$V112,IF(AND($R112&lt;&gt;"",EDATE($D112,Milestones!$AA$157)&gt;=$R112),$U112,$T112)))=Milestones!$AB$157),TEXT(EDATE($D112,Milestones!$AA$157),"dd/mm/yy")&amp;" "&amp;Milestones!$AB$157&amp;" "&amp;Milestones!$AC$157&amp;";  ","")&amp;IF(AND(EDATE($D112,Milestones!$AA$158)&lt;=AsOfDate,IF($Q112=0,$W112,IF(AND($S112&lt;&gt;"",EDATE($D112,Milestones!$AA$158)&gt;=$S112),$V112,IF(AND($R112&lt;&gt;"",EDATE($D112,Milestones!$AA$158)&gt;=$R112),$U112,$T112)))=Milestones!$AB$158),TEXT(EDATE($D112,Milestones!$AA$158),"dd/mm/yy")&amp;" "&amp;Milestones!$AB$158&amp;" "&amp;Milestones!$AC$158&amp;";  ","")&amp;IF(AND(EDATE($D112,Milestones!$AA$159)&lt;=AsOfDate,IF($Q112=0,$W112,IF(AND($S112&lt;&gt;"",EDATE($D112,Milestones!$AA$159)&gt;=$S112),$V112,IF(AND($R112&lt;&gt;"",EDATE($D112,Milestones!$AA$159)&gt;=$R112),$U112,$T112)))=Milestones!$AB$159),TEXT(EDATE($D112,Milestones!$AA$159),"dd/mm/yy")&amp;" "&amp;Milestones!$AB$159&amp;" "&amp;Milestones!$AC$159&amp;";  ",""))</f>
        <v/>
      </c>
      <c r="O112" s="0" t="str">
        <f aca="false">IF(OR($A112="",$D112=""),"",IF(AND(EDATE($D112,Milestones!$AA$160)&lt;=AsOfDate,IF($Q112=0,$W112,IF(AND($S112&lt;&gt;"",EDATE($D112,Milestones!$AA$160)&gt;=$S112),$V112,IF(AND($R112&lt;&gt;"",EDATE($D112,Milestones!$AA$160)&gt;=$R112),$U112,$T112)))=Milestones!$AB$160),TEXT(EDATE($D112,Milestones!$AA$160),"dd/mm/yy")&amp;" "&amp;Milestones!$AB$160&amp;" "&amp;Milestones!$AC$160&amp;";  ","")&amp;IF(AND(EDATE($D112,Milestones!$AA$161)&lt;=AsOfDate,IF($Q112=0,$W112,IF(AND($S112&lt;&gt;"",EDATE($D112,Milestones!$AA$161)&gt;=$S112),$V112,IF(AND($R112&lt;&gt;"",EDATE($D112,Milestones!$AA$161)&gt;=$R112),$U112,$T112)))=Milestones!$AB$161),TEXT(EDATE($D112,Milestones!$AA$161),"dd/mm/yy")&amp;" "&amp;Milestones!$AB$161&amp;" "&amp;Milestones!$AC$161&amp;";  ","")&amp;IF(AND(EDATE($D112,Milestones!$AA$162)&lt;=AsOfDate,IF($Q112=0,$W112,IF(AND($S112&lt;&gt;"",EDATE($D112,Milestones!$AA$162)&gt;=$S112),$V112,IF(AND($R112&lt;&gt;"",EDATE($D112,Milestones!$AA$162)&gt;=$R112),$U112,$T112)))=Milestones!$AB$162),TEXT(EDATE($D112,Milestones!$AA$162),"dd/mm/yy")&amp;" "&amp;Milestones!$AB$162&amp;" "&amp;Milestones!$AC$162&amp;";  ","")&amp;IF(AND(EDATE($D112,Milestones!$AA$163)&lt;=AsOfDate,IF($Q112=0,$W112,IF(AND($S112&lt;&gt;"",EDATE($D112,Milestones!$AA$163)&gt;=$S112),$V112,IF(AND($R112&lt;&gt;"",EDATE($D112,Milestones!$AA$163)&gt;=$R112),$U112,$T112)))=Milestones!$AB$163),TEXT(EDATE($D112,Milestones!$AA$163),"dd/mm/yy")&amp;" "&amp;Milestones!$AB$163&amp;" "&amp;Milestones!$AC$163&amp;";  ","")&amp;IF(AND(EDATE($D112,Milestones!$AA$164)&lt;=AsOfDate,IF($Q112=0,$W112,IF(AND($S112&lt;&gt;"",EDATE($D112,Milestones!$AA$164)&gt;=$S112),$V112,IF(AND($R112&lt;&gt;"",EDATE($D112,Milestones!$AA$164)&gt;=$R112),$U112,$T112)))=Milestones!$AB$164),TEXT(EDATE($D112,Milestones!$AA$164),"dd/mm/yy")&amp;" "&amp;Milestones!$AB$164&amp;" "&amp;Milestones!$AC$164&amp;";  ","")&amp;IF(AND(EDATE($D112,Milestones!$AA$165)&lt;=AsOfDate,IF($Q112=0,$W112,IF(AND($S112&lt;&gt;"",EDATE($D112,Milestones!$AA$165)&gt;=$S112),$V112,IF(AND($R112&lt;&gt;"",EDATE($D112,Milestones!$AA$165)&gt;=$R112),$U112,$T112)))=Milestones!$AB$165),TEXT(EDATE($D112,Milestones!$AA$165),"dd/mm/yy")&amp;" "&amp;Milestones!$AB$165&amp;" "&amp;Milestones!$AC$165&amp;";  ","")&amp;IF(AND(EDATE($D112,Milestones!$AA$166)&lt;=AsOfDate,IF($Q112=0,$W112,IF(AND($S112&lt;&gt;"",EDATE($D112,Milestones!$AA$166)&gt;=$S112),$V112,IF(AND($R112&lt;&gt;"",EDATE($D112,Milestones!$AA$166)&gt;=$R112),$U112,$T112)))=Milestones!$AB$166),TEXT(EDATE($D112,Milestones!$AA$166),"dd/mm/yy")&amp;" "&amp;Milestones!$AB$166&amp;" "&amp;Milestones!$AC$166&amp;";  ","")&amp;IF(AND(EDATE($D112,Milestones!$AA$167)&lt;=AsOfDate,IF($Q112=0,$W112,IF(AND($S112&lt;&gt;"",EDATE($D112,Milestones!$AA$167)&gt;=$S112),$V112,IF(AND($R112&lt;&gt;"",EDATE($D112,Milestones!$AA$167)&gt;=$R112),$U112,$T112)))=Milestones!$AB$167),TEXT(EDATE($D112,Milestones!$AA$167),"dd/mm/yy")&amp;" "&amp;Milestones!$AB$167&amp;" "&amp;Milestones!$AC$167&amp;";  ","")&amp;IF(AND(EDATE($D112,Milestones!$AA$168)&lt;=AsOfDate,IF($Q112=0,$W112,IF(AND($S112&lt;&gt;"",EDATE($D112,Milestones!$AA$168)&gt;=$S112),$V112,IF(AND($R112&lt;&gt;"",EDATE($D112,Milestones!$AA$168)&gt;=$R112),$U112,$T112)))=Milestones!$AB$168),TEXT(EDATE($D112,Milestones!$AA$168),"dd/mm/yy")&amp;" "&amp;Milestones!$AB$168&amp;" "&amp;Milestones!$AC$168&amp;";  ","")&amp;IF(AND(EDATE($D112,Milestones!$AA$169)&lt;=AsOfDate,IF($Q112=0,$W112,IF(AND($S112&lt;&gt;"",EDATE($D112,Milestones!$AA$169)&gt;=$S112),$V112,IF(AND($R112&lt;&gt;"",EDATE($D112,Milestones!$AA$169)&gt;=$R112),$U112,$T112)))=Milestones!$AB$169),TEXT(EDATE($D112,Milestones!$AA$169),"dd/mm/yy")&amp;" "&amp;Milestones!$AB$169&amp;" "&amp;Milestones!$AC$169&amp;";  ","")&amp;IF(AND(EDATE($D112,Milestones!$AA$170)&lt;=AsOfDate,IF($Q112=0,$W112,IF(AND($S112&lt;&gt;"",EDATE($D112,Milestones!$AA$170)&gt;=$S112),$V112,IF(AND($R112&lt;&gt;"",EDATE($D112,Milestones!$AA$170)&gt;=$R112),$U112,$T112)))=Milestones!$AB$170),TEXT(EDATE($D112,Milestones!$AA$170),"dd/mm/yy")&amp;" "&amp;Milestones!$AB$170&amp;" "&amp;Milestones!$AC$170&amp;";  ","")&amp;IF(AND(EDATE($D112,Milestones!$AA$171)&lt;=AsOfDate,IF($Q112=0,$W112,IF(AND($S112&lt;&gt;"",EDATE($D112,Milestones!$AA$171)&gt;=$S112),$V112,IF(AND($R112&lt;&gt;"",EDATE($D112,Milestones!$AA$171)&gt;=$R112),$U112,$T112)))=Milestones!$AB$171),TEXT(EDATE($D112,Milestones!$AA$171),"dd/mm/yy")&amp;" "&amp;Milestones!$AB$171&amp;" "&amp;Milestones!$AC$171&amp;";  ","")&amp;IF(AND(EDATE($D112,Milestones!$AA$172)&lt;=AsOfDate,IF($Q112=0,$W112,IF(AND($S112&lt;&gt;"",EDATE($D112,Milestones!$AA$172)&gt;=$S112),$V112,IF(AND($R112&lt;&gt;"",EDATE($D112,Milestones!$AA$172)&gt;=$R112),$U112,$T112)))=Milestones!$AB$172),TEXT(EDATE($D112,Milestones!$AA$172),"dd/mm/yy")&amp;" "&amp;Milestones!$AB$172&amp;" "&amp;Milestones!$AC$172&amp;";  ","")&amp;IF(AND(EDATE($D112,Milestones!$AA$173)&lt;=AsOfDate,IF($Q112=0,$W112,IF(AND($S112&lt;&gt;"",EDATE($D112,Milestones!$AA$173)&gt;=$S112),$V112,IF(AND($R112&lt;&gt;"",EDATE($D112,Milestones!$AA$173)&gt;=$R112),$U112,$T112)))=Milestones!$AB$173),TEXT(EDATE($D112,Milestones!$AA$173),"dd/mm/yy")&amp;" "&amp;Milestones!$AB$173&amp;" "&amp;Milestones!$AC$173&amp;";  ","")&amp;IF(AND(EDATE($D112,Milestones!$AA$174)&lt;=AsOfDate,IF($Q112=0,$W112,IF(AND($S112&lt;&gt;"",EDATE($D112,Milestones!$AA$174)&gt;=$S112),$V112,IF(AND($R112&lt;&gt;"",EDATE($D112,Milestones!$AA$174)&gt;=$R112),$U112,$T112)))=Milestones!$AB$174),TEXT(EDATE($D112,Milestones!$AA$174),"dd/mm/yy")&amp;" "&amp;Milestones!$AB$174&amp;" "&amp;Milestones!$AC$174&amp;";  ","")&amp;IF(AND(EDATE($D112,Milestones!$AA$175)&lt;=AsOfDate,IF($Q112=0,$W112,IF(AND($S112&lt;&gt;"",EDATE($D112,Milestones!$AA$175)&gt;=$S112),$V112,IF(AND($R112&lt;&gt;"",EDATE($D112,Milestones!$AA$175)&gt;=$R112),$U112,$T112)))=Milestones!$AB$175),TEXT(EDATE($D112,Milestones!$AA$175),"dd/mm/yy")&amp;" "&amp;Milestones!$AB$175&amp;" "&amp;Milestones!$AC$175&amp;";  ","")&amp;IF(AND(EDATE($D112,Milestones!$AA$176)&lt;=AsOfDate,IF($Q112=0,$W112,IF(AND($S112&lt;&gt;"",EDATE($D112,Milestones!$AA$176)&gt;=$S112),$V112,IF(AND($R112&lt;&gt;"",EDATE($D112,Milestones!$AA$176)&gt;=$R112),$U112,$T112)))=Milestones!$AB$176),TEXT(EDATE($D112,Milestones!$AA$176),"dd/mm/yy")&amp;" "&amp;Milestones!$AB$176&amp;" "&amp;Milestones!$AC$176&amp;";  ","")&amp;IF(AND(EDATE($D112,Milestones!$AA$177)&lt;=AsOfDate,IF($Q112=0,$W112,IF(AND($S112&lt;&gt;"",EDATE($D112,Milestones!$AA$177)&gt;=$S112),$V112,IF(AND($R112&lt;&gt;"",EDATE($D112,Milestones!$AA$177)&gt;=$R112),$U112,$T112)))=Milestones!$AB$177),TEXT(EDATE($D112,Milestones!$AA$177),"dd/mm/yy")&amp;" "&amp;Milestones!$AB$177&amp;" "&amp;Milestones!$AC$177&amp;";  ","")&amp;IF(AND(EDATE($D112,Milestones!$AA$178)&lt;=AsOfDate,IF($Q112=0,$W112,IF(AND($S112&lt;&gt;"",EDATE($D112,Milestones!$AA$178)&gt;=$S112),$V112,IF(AND($R112&lt;&gt;"",EDATE($D112,Milestones!$AA$178)&gt;=$R112),$U112,$T112)))=Milestones!$AB$178),TEXT(EDATE($D112,Milestones!$AA$178),"dd/mm/yy")&amp;" "&amp;Milestones!$AB$178&amp;" "&amp;Milestones!$AC$178&amp;";  ","")&amp;IF(AND(EDATE($D112,Milestones!$AA$179)&lt;=AsOfDate,IF($Q112=0,$W112,IF(AND($S112&lt;&gt;"",EDATE($D112,Milestones!$AA$179)&gt;=$S112),$V112,IF(AND($R112&lt;&gt;"",EDATE($D112,Milestones!$AA$179)&gt;=$R112),$U112,$T112)))=Milestones!$AB$179),TEXT(EDATE($D112,Milestones!$AA$179),"dd/mm/yy")&amp;" "&amp;Milestones!$AB$179&amp;" "&amp;Milestones!$AC$179&amp;";  ",""))</f>
        <v/>
      </c>
      <c r="P112" s="0" t="str">
        <f aca="false">IF(OR($A112="",$D112=""),"",IF(AND(EDATE($D112,Milestones!$AA$180)&lt;=AsOfDate,IF($Q112=0,$W112,IF(AND($S112&lt;&gt;"",EDATE($D112,Milestones!$AA$180)&gt;=$S112),$V112,IF(AND($R112&lt;&gt;"",EDATE($D112,Milestones!$AA$180)&gt;=$R112),$U112,$T112)))=Milestones!$AB$180),TEXT(EDATE($D112,Milestones!$AA$180),"dd/mm/yy")&amp;" "&amp;Milestones!$AB$180&amp;" "&amp;Milestones!$AC$180&amp;";  ","")&amp;IF(AND(EDATE($D112,Milestones!$AA$181)&lt;=AsOfDate,IF($Q112=0,$W112,IF(AND($S112&lt;&gt;"",EDATE($D112,Milestones!$AA$181)&gt;=$S112),$V112,IF(AND($R112&lt;&gt;"",EDATE($D112,Milestones!$AA$181)&gt;=$R112),$U112,$T112)))=Milestones!$AB$181),TEXT(EDATE($D112,Milestones!$AA$181),"dd/mm/yy")&amp;" "&amp;Milestones!$AB$181&amp;" "&amp;Milestones!$AC$181&amp;";  ","")&amp;IF(AND(EDATE($D112,Milestones!$AA$182)&lt;=AsOfDate,IF($Q112=0,$W112,IF(AND($S112&lt;&gt;"",EDATE($D112,Milestones!$AA$182)&gt;=$S112),$V112,IF(AND($R112&lt;&gt;"",EDATE($D112,Milestones!$AA$182)&gt;=$R112),$U112,$T112)))=Milestones!$AB$182),TEXT(EDATE($D112,Milestones!$AA$182),"dd/mm/yy")&amp;" "&amp;Milestones!$AB$182&amp;" "&amp;Milestones!$AC$182&amp;";  ","")&amp;IF(AND(EDATE($D112,Milestones!$AA$183)&lt;=AsOfDate,IF($Q112=0,$W112,IF(AND($S112&lt;&gt;"",EDATE($D112,Milestones!$AA$183)&gt;=$S112),$V112,IF(AND($R112&lt;&gt;"",EDATE($D112,Milestones!$AA$183)&gt;=$R112),$U112,$T112)))=Milestones!$AB$183),TEXT(EDATE($D112,Milestones!$AA$183),"dd/mm/yy")&amp;" "&amp;Milestones!$AB$183&amp;" "&amp;Milestones!$AC$183&amp;";  ","")&amp;IF(AND(EDATE($D112,Milestones!$AA$184)&lt;=AsOfDate,IF($Q112=0,$W112,IF(AND($S112&lt;&gt;"",EDATE($D112,Milestones!$AA$184)&gt;=$S112),$V112,IF(AND($R112&lt;&gt;"",EDATE($D112,Milestones!$AA$184)&gt;=$R112),$U112,$T112)))=Milestones!$AB$184),TEXT(EDATE($D112,Milestones!$AA$184),"dd/mm/yy")&amp;" "&amp;Milestones!$AB$184&amp;" "&amp;Milestones!$AC$184&amp;";  ","")&amp;IF(AND(EDATE($D112,Milestones!$AA$185)&lt;=AsOfDate,IF($Q112=0,$W112,IF(AND($S112&lt;&gt;"",EDATE($D112,Milestones!$AA$185)&gt;=$S112),$V112,IF(AND($R112&lt;&gt;"",EDATE($D112,Milestones!$AA$185)&gt;=$R112),$U112,$T112)))=Milestones!$AB$185),TEXT(EDATE($D112,Milestones!$AA$185),"dd/mm/yy")&amp;" "&amp;Milestones!$AB$185&amp;" "&amp;Milestones!$AC$185&amp;";  ","")&amp;IF(AND(EDATE($D112,Milestones!$AA$186)&lt;=AsOfDate,IF($Q112=0,$W112,IF(AND($S112&lt;&gt;"",EDATE($D112,Milestones!$AA$186)&gt;=$S112),$V112,IF(AND($R112&lt;&gt;"",EDATE($D112,Milestones!$AA$186)&gt;=$R112),$U112,$T112)))=Milestones!$AB$186),TEXT(EDATE($D112,Milestones!$AA$186),"dd/mm/yy")&amp;" "&amp;Milestones!$AB$186&amp;" "&amp;Milestones!$AC$186&amp;";  ","")&amp;IF(AND(EDATE($D112,Milestones!$AA$187)&lt;=AsOfDate,IF($Q112=0,$W112,IF(AND($S112&lt;&gt;"",EDATE($D112,Milestones!$AA$187)&gt;=$S112),$V112,IF(AND($R112&lt;&gt;"",EDATE($D112,Milestones!$AA$187)&gt;=$R112),$U112,$T112)))=Milestones!$AB$187),TEXT(EDATE($D112,Milestones!$AA$187),"dd/mm/yy")&amp;" "&amp;Milestones!$AB$187&amp;" "&amp;Milestones!$AC$187&amp;";  ","")&amp;IF(AND(EDATE($D112,Milestones!$AA$188)&lt;=AsOfDate,IF($Q112=0,$W112,IF(AND($S112&lt;&gt;"",EDATE($D112,Milestones!$AA$188)&gt;=$S112),$V112,IF(AND($R112&lt;&gt;"",EDATE($D112,Milestones!$AA$188)&gt;=$R112),$U112,$T112)))=Milestones!$AB$188),TEXT(EDATE($D112,Milestones!$AA$188),"dd/mm/yy")&amp;" "&amp;Milestones!$AB$188&amp;" "&amp;Milestones!$AC$188&amp;";  ","")&amp;IF(AND(EDATE($D112,Milestones!$AA$189)&lt;=AsOfDate,IF($Q112=0,$W112,IF(AND($S112&lt;&gt;"",EDATE($D112,Milestones!$AA$189)&gt;=$S112),$V112,IF(AND($R112&lt;&gt;"",EDATE($D112,Milestones!$AA$189)&gt;=$R112),$U112,$T112)))=Milestones!$AB$189),TEXT(EDATE($D112,Milestones!$AA$189),"dd/mm/yy")&amp;" "&amp;Milestones!$AB$189&amp;" "&amp;Milestones!$AC$189&amp;";  ","")&amp;IF(AND(EDATE($D112,Milestones!$AA$190)&lt;=AsOfDate,IF($Q112=0,$W112,IF(AND($S112&lt;&gt;"",EDATE($D112,Milestones!$AA$190)&gt;=$S112),$V112,IF(AND($R112&lt;&gt;"",EDATE($D112,Milestones!$AA$190)&gt;=$R112),$U112,$T112)))=Milestones!$AB$190),TEXT(EDATE($D112,Milestones!$AA$190),"dd/mm/yy")&amp;" "&amp;Milestones!$AB$190&amp;" "&amp;Milestones!$AC$190&amp;";  ","")&amp;IF(AND(EDATE($D112,Milestones!$AA$191)&lt;=AsOfDate,IF($Q112=0,$W112,IF(AND($S112&lt;&gt;"",EDATE($D112,Milestones!$AA$191)&gt;=$S112),$V112,IF(AND($R112&lt;&gt;"",EDATE($D112,Milestones!$AA$191)&gt;=$R112),$U112,$T112)))=Milestones!$AB$191),TEXT(EDATE($D112,Milestones!$AA$191),"dd/mm/yy")&amp;" "&amp;Milestones!$AB$191&amp;" "&amp;Milestones!$AC$191&amp;";  ","")&amp;IF(AND(EDATE($D112,Milestones!$AA$192)&lt;=AsOfDate,IF($Q112=0,$W112,IF(AND($S112&lt;&gt;"",EDATE($D112,Milestones!$AA$192)&gt;=$S112),$V112,IF(AND($R112&lt;&gt;"",EDATE($D112,Milestones!$AA$192)&gt;=$R112),$U112,$T112)))=Milestones!$AB$192),TEXT(EDATE($D112,Milestones!$AA$192),"dd/mm/yy")&amp;" "&amp;Milestones!$AB$192&amp;" "&amp;Milestones!$AC$192&amp;";  ","")&amp;IF(AND(EDATE($D112,Milestones!$AA$193)&lt;=AsOfDate,IF($Q112=0,$W112,IF(AND($S112&lt;&gt;"",EDATE($D112,Milestones!$AA$193)&gt;=$S112),$V112,IF(AND($R112&lt;&gt;"",EDATE($D112,Milestones!$AA$193)&gt;=$R112),$U112,$T112)))=Milestones!$AB$193),TEXT(EDATE($D112,Milestones!$AA$193),"dd/mm/yy")&amp;" "&amp;Milestones!$AB$193&amp;" "&amp;Milestones!$AC$193&amp;";  ","")&amp;IF(AND(EDATE($D112,Milestones!$AA$194)&lt;=AsOfDate,IF($Q112=0,$W112,IF(AND($S112&lt;&gt;"",EDATE($D112,Milestones!$AA$194)&gt;=$S112),$V112,IF(AND($R112&lt;&gt;"",EDATE($D112,Milestones!$AA$194)&gt;=$R112),$U112,$T112)))=Milestones!$AB$194),TEXT(EDATE($D112,Milestones!$AA$194),"dd/mm/yy")&amp;" "&amp;Milestones!$AB$194&amp;" "&amp;Milestones!$AC$194&amp;";  ","")&amp;IF(AND(EDATE($D112,Milestones!$AA$195)&lt;=AsOfDate,IF($Q112=0,$W112,IF(AND($S112&lt;&gt;"",EDATE($D112,Milestones!$AA$195)&gt;=$S112),$V112,IF(AND($R112&lt;&gt;"",EDATE($D112,Milestones!$AA$195)&gt;=$R112),$U112,$T112)))=Milestones!$AB$195),TEXT(EDATE($D112,Milestones!$AA$195),"dd/mm/yy")&amp;" "&amp;Milestones!$AB$195&amp;" "&amp;Milestones!$AC$195&amp;";  ","")&amp;IF(AND(EDATE($D112,Milestones!$AA$196)&lt;=AsOfDate,IF($Q112=0,$W112,IF(AND($S112&lt;&gt;"",EDATE($D112,Milestones!$AA$196)&gt;=$S112),$V112,IF(AND($R112&lt;&gt;"",EDATE($D112,Milestones!$AA$196)&gt;=$R112),$U112,$T112)))=Milestones!$AB$196),TEXT(EDATE($D112,Milestones!$AA$196),"dd/mm/yy")&amp;" "&amp;Milestones!$AB$196&amp;" "&amp;Milestones!$AC$196&amp;";  ","")&amp;IF(AND(EDATE($D112,Milestones!$AA$197)&lt;=AsOfDate,IF($Q112=0,$W112,IF(AND($S112&lt;&gt;"",EDATE($D112,Milestones!$AA$197)&gt;=$S112),$V112,IF(AND($R112&lt;&gt;"",EDATE($D112,Milestones!$AA$197)&gt;=$R112),$U112,$T112)))=Milestones!$AB$197),TEXT(EDATE($D112,Milestones!$AA$197),"dd/mm/yy")&amp;" "&amp;Milestones!$AB$197&amp;" "&amp;Milestones!$AC$197&amp;";  ","")&amp;IF(AND(EDATE($D112,Milestones!$AA$198)&lt;=AsOfDate,IF($Q112=0,$W112,IF(AND($S112&lt;&gt;"",EDATE($D112,Milestones!$AA$198)&gt;=$S112),$V112,IF(AND($R112&lt;&gt;"",EDATE($D112,Milestones!$AA$198)&gt;=$R112),$U112,$T112)))=Milestones!$AB$198),TEXT(EDATE($D112,Milestones!$AA$198),"dd/mm/yy")&amp;" "&amp;Milestones!$AB$198&amp;" "&amp;Milestones!$AC$198&amp;";  ","")&amp;IF(AND(EDATE($D112,Milestones!$AA$199)&lt;=AsOfDate,IF($Q112=0,$W112,IF(AND($S112&lt;&gt;"",EDATE($D112,Milestones!$AA$199)&gt;=$S112),$V112,IF(AND($R112&lt;&gt;"",EDATE($D112,Milestones!$AA$199)&gt;=$R112),$U112,$T112)))=Milestones!$AB$199),TEXT(EDATE($D112,Milestones!$AA$199),"dd/mm/yy")&amp;" "&amp;Milestones!$AB$199&amp;" "&amp;Milestones!$AC$199&amp;";  ",""))</f>
        <v/>
      </c>
      <c r="Q112" s="0" t="str">
        <f aca="false">IF(Staff!$A112="","",Staff!$AG112)</f>
        <v/>
      </c>
      <c r="R112" s="0" t="str">
        <f aca="false">IF(Staff!$A112="","",Staff!$AI112)</f>
        <v/>
      </c>
      <c r="S112" s="0" t="str">
        <f aca="false">IF(Staff!$A112="","",Staff!$AJ112)</f>
        <v/>
      </c>
      <c r="T112" s="0" t="str">
        <f aca="false">IF(Staff!$A112="","",Staff!$AN112)</f>
        <v/>
      </c>
      <c r="U112" s="0" t="str">
        <f aca="false">IF(Staff!$A112="","",Staff!$AO112)</f>
        <v/>
      </c>
      <c r="V112" s="0" t="str">
        <f aca="false">IF(Staff!$A112="","",Staff!$AP112)</f>
        <v/>
      </c>
      <c r="W112" s="0" t="str">
        <f aca="false">IF(Staff!$A112="","",Staff!$AQ112)</f>
        <v/>
      </c>
    </row>
    <row r="113" customFormat="false" ht="15" hidden="false" customHeight="false" outlineLevel="0" collapsed="false">
      <c r="A113" s="13" t="str">
        <f aca="false">IF(Staff!$A113="","",Staff!$A113)</f>
        <v/>
      </c>
      <c r="B113" s="13" t="str">
        <f aca="false">IF(Staff!$A113="","",Staff!$B113)</f>
        <v/>
      </c>
      <c r="C113" s="13" t="str">
        <f aca="false">IF(Staff!$A113="","",Staff!$C113)</f>
        <v/>
      </c>
      <c r="D113" s="11" t="str">
        <f aca="false">IF(Staff!$A113="","",Staff!$AF113)</f>
        <v/>
      </c>
      <c r="E113" s="13" t="str">
        <f aca="false">IF(Staff!$A113="","",Staff!$O113)</f>
        <v/>
      </c>
      <c r="F113" s="13" t="str">
        <f aca="false">IF(E113="","",E113*HoursPerDay)</f>
        <v/>
      </c>
      <c r="G113" s="26" t="str">
        <f aca="false">IF($A113="","",H113&amp;I113&amp;J113&amp;K113&amp;L113&amp;M113&amp;N113&amp;O113&amp;P113)</f>
        <v/>
      </c>
      <c r="H113" s="0" t="str">
        <f aca="false">IF(OR($A113="",$D113=""),"",IF(AND(EDATE($D113,Milestones!$AA$20)&lt;=AsOfDate,IF($Q113=0,$W113,IF(AND($S113&lt;&gt;"",EDATE($D113,Milestones!$AA$20)&gt;=$S113),$V113,IF(AND($R113&lt;&gt;"",EDATE($D113,Milestones!$AA$20)&gt;=$R113),$U113,$T113)))=Milestones!$AB$20),TEXT(EDATE($D113,Milestones!$AA$20),"dd/mm/yy")&amp;" "&amp;Milestones!$AB$20&amp;" "&amp;Milestones!$AC$20&amp;";  ","")&amp;IF(AND(EDATE($D113,Milestones!$AA$21)&lt;=AsOfDate,IF($Q113=0,$W113,IF(AND($S113&lt;&gt;"",EDATE($D113,Milestones!$AA$21)&gt;=$S113),$V113,IF(AND($R113&lt;&gt;"",EDATE($D113,Milestones!$AA$21)&gt;=$R113),$U113,$T113)))=Milestones!$AB$21),TEXT(EDATE($D113,Milestones!$AA$21),"dd/mm/yy")&amp;" "&amp;Milestones!$AB$21&amp;" "&amp;Milestones!$AC$21&amp;";  ","")&amp;IF(AND(EDATE($D113,Milestones!$AA$22)&lt;=AsOfDate,IF($Q113=0,$W113,IF(AND($S113&lt;&gt;"",EDATE($D113,Milestones!$AA$22)&gt;=$S113),$V113,IF(AND($R113&lt;&gt;"",EDATE($D113,Milestones!$AA$22)&gt;=$R113),$U113,$T113)))=Milestones!$AB$22),TEXT(EDATE($D113,Milestones!$AA$22),"dd/mm/yy")&amp;" "&amp;Milestones!$AB$22&amp;" "&amp;Milestones!$AC$22&amp;";  ","")&amp;IF(AND(EDATE($D113,Milestones!$AA$23)&lt;=AsOfDate,IF($Q113=0,$W113,IF(AND($S113&lt;&gt;"",EDATE($D113,Milestones!$AA$23)&gt;=$S113),$V113,IF(AND($R113&lt;&gt;"",EDATE($D113,Milestones!$AA$23)&gt;=$R113),$U113,$T113)))=Milestones!$AB$23),TEXT(EDATE($D113,Milestones!$AA$23),"dd/mm/yy")&amp;" "&amp;Milestones!$AB$23&amp;" "&amp;Milestones!$AC$23&amp;";  ","")&amp;IF(AND(EDATE($D113,Milestones!$AA$24)&lt;=AsOfDate,IF($Q113=0,$W113,IF(AND($S113&lt;&gt;"",EDATE($D113,Milestones!$AA$24)&gt;=$S113),$V113,IF(AND($R113&lt;&gt;"",EDATE($D113,Milestones!$AA$24)&gt;=$R113),$U113,$T113)))=Milestones!$AB$24),TEXT(EDATE($D113,Milestones!$AA$24),"dd/mm/yy")&amp;" "&amp;Milestones!$AB$24&amp;" "&amp;Milestones!$AC$24&amp;";  ","")&amp;IF(AND(EDATE($D113,Milestones!$AA$25)&lt;=AsOfDate,IF($Q113=0,$W113,IF(AND($S113&lt;&gt;"",EDATE($D113,Milestones!$AA$25)&gt;=$S113),$V113,IF(AND($R113&lt;&gt;"",EDATE($D113,Milestones!$AA$25)&gt;=$R113),$U113,$T113)))=Milestones!$AB$25),TEXT(EDATE($D113,Milestones!$AA$25),"dd/mm/yy")&amp;" "&amp;Milestones!$AB$25&amp;" "&amp;Milestones!$AC$25&amp;";  ","")&amp;IF(AND(EDATE($D113,Milestones!$AA$26)&lt;=AsOfDate,IF($Q113=0,$W113,IF(AND($S113&lt;&gt;"",EDATE($D113,Milestones!$AA$26)&gt;=$S113),$V113,IF(AND($R113&lt;&gt;"",EDATE($D113,Milestones!$AA$26)&gt;=$R113),$U113,$T113)))=Milestones!$AB$26),TEXT(EDATE($D113,Milestones!$AA$26),"dd/mm/yy")&amp;" "&amp;Milestones!$AB$26&amp;" "&amp;Milestones!$AC$26&amp;";  ","")&amp;IF(AND(EDATE($D113,Milestones!$AA$27)&lt;=AsOfDate,IF($Q113=0,$W113,IF(AND($S113&lt;&gt;"",EDATE($D113,Milestones!$AA$27)&gt;=$S113),$V113,IF(AND($R113&lt;&gt;"",EDATE($D113,Milestones!$AA$27)&gt;=$R113),$U113,$T113)))=Milestones!$AB$27),TEXT(EDATE($D113,Milestones!$AA$27),"dd/mm/yy")&amp;" "&amp;Milestones!$AB$27&amp;" "&amp;Milestones!$AC$27&amp;";  ","")&amp;IF(AND(EDATE($D113,Milestones!$AA$28)&lt;=AsOfDate,IF($Q113=0,$W113,IF(AND($S113&lt;&gt;"",EDATE($D113,Milestones!$AA$28)&gt;=$S113),$V113,IF(AND($R113&lt;&gt;"",EDATE($D113,Milestones!$AA$28)&gt;=$R113),$U113,$T113)))=Milestones!$AB$28),TEXT(EDATE($D113,Milestones!$AA$28),"dd/mm/yy")&amp;" "&amp;Milestones!$AB$28&amp;" "&amp;Milestones!$AC$28&amp;";  ","")&amp;IF(AND(EDATE($D113,Milestones!$AA$29)&lt;=AsOfDate,IF($Q113=0,$W113,IF(AND($S113&lt;&gt;"",EDATE($D113,Milestones!$AA$29)&gt;=$S113),$V113,IF(AND($R113&lt;&gt;"",EDATE($D113,Milestones!$AA$29)&gt;=$R113),$U113,$T113)))=Milestones!$AB$29),TEXT(EDATE($D113,Milestones!$AA$29),"dd/mm/yy")&amp;" "&amp;Milestones!$AB$29&amp;" "&amp;Milestones!$AC$29&amp;";  ","")&amp;IF(AND(EDATE($D113,Milestones!$AA$30)&lt;=AsOfDate,IF($Q113=0,$W113,IF(AND($S113&lt;&gt;"",EDATE($D113,Milestones!$AA$30)&gt;=$S113),$V113,IF(AND($R113&lt;&gt;"",EDATE($D113,Milestones!$AA$30)&gt;=$R113),$U113,$T113)))=Milestones!$AB$30),TEXT(EDATE($D113,Milestones!$AA$30),"dd/mm/yy")&amp;" "&amp;Milestones!$AB$30&amp;" "&amp;Milestones!$AC$30&amp;";  ","")&amp;IF(AND(EDATE($D113,Milestones!$AA$31)&lt;=AsOfDate,IF($Q113=0,$W113,IF(AND($S113&lt;&gt;"",EDATE($D113,Milestones!$AA$31)&gt;=$S113),$V113,IF(AND($R113&lt;&gt;"",EDATE($D113,Milestones!$AA$31)&gt;=$R113),$U113,$T113)))=Milestones!$AB$31),TEXT(EDATE($D113,Milestones!$AA$31),"dd/mm/yy")&amp;" "&amp;Milestones!$AB$31&amp;" "&amp;Milestones!$AC$31&amp;";  ","")&amp;IF(AND(EDATE($D113,Milestones!$AA$32)&lt;=AsOfDate,IF($Q113=0,$W113,IF(AND($S113&lt;&gt;"",EDATE($D113,Milestones!$AA$32)&gt;=$S113),$V113,IF(AND($R113&lt;&gt;"",EDATE($D113,Milestones!$AA$32)&gt;=$R113),$U113,$T113)))=Milestones!$AB$32),TEXT(EDATE($D113,Milestones!$AA$32),"dd/mm/yy")&amp;" "&amp;Milestones!$AB$32&amp;" "&amp;Milestones!$AC$32&amp;";  ","")&amp;IF(AND(EDATE($D113,Milestones!$AA$33)&lt;=AsOfDate,IF($Q113=0,$W113,IF(AND($S113&lt;&gt;"",EDATE($D113,Milestones!$AA$33)&gt;=$S113),$V113,IF(AND($R113&lt;&gt;"",EDATE($D113,Milestones!$AA$33)&gt;=$R113),$U113,$T113)))=Milestones!$AB$33),TEXT(EDATE($D113,Milestones!$AA$33),"dd/mm/yy")&amp;" "&amp;Milestones!$AB$33&amp;" "&amp;Milestones!$AC$33&amp;";  ","")&amp;IF(AND(EDATE($D113,Milestones!$AA$34)&lt;=AsOfDate,IF($Q113=0,$W113,IF(AND($S113&lt;&gt;"",EDATE($D113,Milestones!$AA$34)&gt;=$S113),$V113,IF(AND($R113&lt;&gt;"",EDATE($D113,Milestones!$AA$34)&gt;=$R113),$U113,$T113)))=Milestones!$AB$34),TEXT(EDATE($D113,Milestones!$AA$34),"dd/mm/yy")&amp;" "&amp;Milestones!$AB$34&amp;" "&amp;Milestones!$AC$34&amp;";  ","")&amp;IF(AND(EDATE($D113,Milestones!$AA$35)&lt;=AsOfDate,IF($Q113=0,$W113,IF(AND($S113&lt;&gt;"",EDATE($D113,Milestones!$AA$35)&gt;=$S113),$V113,IF(AND($R113&lt;&gt;"",EDATE($D113,Milestones!$AA$35)&gt;=$R113),$U113,$T113)))=Milestones!$AB$35),TEXT(EDATE($D113,Milestones!$AA$35),"dd/mm/yy")&amp;" "&amp;Milestones!$AB$35&amp;" "&amp;Milestones!$AC$35&amp;";  ","")&amp;IF(AND(EDATE($D113,Milestones!$AA$36)&lt;=AsOfDate,IF($Q113=0,$W113,IF(AND($S113&lt;&gt;"",EDATE($D113,Milestones!$AA$36)&gt;=$S113),$V113,IF(AND($R113&lt;&gt;"",EDATE($D113,Milestones!$AA$36)&gt;=$R113),$U113,$T113)))=Milestones!$AB$36),TEXT(EDATE($D113,Milestones!$AA$36),"dd/mm/yy")&amp;" "&amp;Milestones!$AB$36&amp;" "&amp;Milestones!$AC$36&amp;";  ","")&amp;IF(AND(EDATE($D113,Milestones!$AA$37)&lt;=AsOfDate,IF($Q113=0,$W113,IF(AND($S113&lt;&gt;"",EDATE($D113,Milestones!$AA$37)&gt;=$S113),$V113,IF(AND($R113&lt;&gt;"",EDATE($D113,Milestones!$AA$37)&gt;=$R113),$U113,$T113)))=Milestones!$AB$37),TEXT(EDATE($D113,Milestones!$AA$37),"dd/mm/yy")&amp;" "&amp;Milestones!$AB$37&amp;" "&amp;Milestones!$AC$37&amp;";  ","")&amp;IF(AND(EDATE($D113,Milestones!$AA$38)&lt;=AsOfDate,IF($Q113=0,$W113,IF(AND($S113&lt;&gt;"",EDATE($D113,Milestones!$AA$38)&gt;=$S113),$V113,IF(AND($R113&lt;&gt;"",EDATE($D113,Milestones!$AA$38)&gt;=$R113),$U113,$T113)))=Milestones!$AB$38),TEXT(EDATE($D113,Milestones!$AA$38),"dd/mm/yy")&amp;" "&amp;Milestones!$AB$38&amp;" "&amp;Milestones!$AC$38&amp;";  ","")&amp;IF(AND(EDATE($D113,Milestones!$AA$39)&lt;=AsOfDate,IF($Q113=0,$W113,IF(AND($S113&lt;&gt;"",EDATE($D113,Milestones!$AA$39)&gt;=$S113),$V113,IF(AND($R113&lt;&gt;"",EDATE($D113,Milestones!$AA$39)&gt;=$R113),$U113,$T113)))=Milestones!$AB$39),TEXT(EDATE($D113,Milestones!$AA$39),"dd/mm/yy")&amp;" "&amp;Milestones!$AB$39&amp;" "&amp;Milestones!$AC$39&amp;";  ",""))</f>
        <v/>
      </c>
      <c r="I113" s="0" t="str">
        <f aca="false">IF(OR($A113="",$D113=""),"",IF(AND(EDATE($D113,Milestones!$AA$40)&lt;=AsOfDate,IF($Q113=0,$W113,IF(AND($S113&lt;&gt;"",EDATE($D113,Milestones!$AA$40)&gt;=$S113),$V113,IF(AND($R113&lt;&gt;"",EDATE($D113,Milestones!$AA$40)&gt;=$R113),$U113,$T113)))=Milestones!$AB$40),TEXT(EDATE($D113,Milestones!$AA$40),"dd/mm/yy")&amp;" "&amp;Milestones!$AB$40&amp;" "&amp;Milestones!$AC$40&amp;";  ","")&amp;IF(AND(EDATE($D113,Milestones!$AA$41)&lt;=AsOfDate,IF($Q113=0,$W113,IF(AND($S113&lt;&gt;"",EDATE($D113,Milestones!$AA$41)&gt;=$S113),$V113,IF(AND($R113&lt;&gt;"",EDATE($D113,Milestones!$AA$41)&gt;=$R113),$U113,$T113)))=Milestones!$AB$41),TEXT(EDATE($D113,Milestones!$AA$41),"dd/mm/yy")&amp;" "&amp;Milestones!$AB$41&amp;" "&amp;Milestones!$AC$41&amp;";  ","")&amp;IF(AND(EDATE($D113,Milestones!$AA$42)&lt;=AsOfDate,IF($Q113=0,$W113,IF(AND($S113&lt;&gt;"",EDATE($D113,Milestones!$AA$42)&gt;=$S113),$V113,IF(AND($R113&lt;&gt;"",EDATE($D113,Milestones!$AA$42)&gt;=$R113),$U113,$T113)))=Milestones!$AB$42),TEXT(EDATE($D113,Milestones!$AA$42),"dd/mm/yy")&amp;" "&amp;Milestones!$AB$42&amp;" "&amp;Milestones!$AC$42&amp;";  ","")&amp;IF(AND(EDATE($D113,Milestones!$AA$43)&lt;=AsOfDate,IF($Q113=0,$W113,IF(AND($S113&lt;&gt;"",EDATE($D113,Milestones!$AA$43)&gt;=$S113),$V113,IF(AND($R113&lt;&gt;"",EDATE($D113,Milestones!$AA$43)&gt;=$R113),$U113,$T113)))=Milestones!$AB$43),TEXT(EDATE($D113,Milestones!$AA$43),"dd/mm/yy")&amp;" "&amp;Milestones!$AB$43&amp;" "&amp;Milestones!$AC$43&amp;";  ","")&amp;IF(AND(EDATE($D113,Milestones!$AA$44)&lt;=AsOfDate,IF($Q113=0,$W113,IF(AND($S113&lt;&gt;"",EDATE($D113,Milestones!$AA$44)&gt;=$S113),$V113,IF(AND($R113&lt;&gt;"",EDATE($D113,Milestones!$AA$44)&gt;=$R113),$U113,$T113)))=Milestones!$AB$44),TEXT(EDATE($D113,Milestones!$AA$44),"dd/mm/yy")&amp;" "&amp;Milestones!$AB$44&amp;" "&amp;Milestones!$AC$44&amp;";  ","")&amp;IF(AND(EDATE($D113,Milestones!$AA$45)&lt;=AsOfDate,IF($Q113=0,$W113,IF(AND($S113&lt;&gt;"",EDATE($D113,Milestones!$AA$45)&gt;=$S113),$V113,IF(AND($R113&lt;&gt;"",EDATE($D113,Milestones!$AA$45)&gt;=$R113),$U113,$T113)))=Milestones!$AB$45),TEXT(EDATE($D113,Milestones!$AA$45),"dd/mm/yy")&amp;" "&amp;Milestones!$AB$45&amp;" "&amp;Milestones!$AC$45&amp;";  ","")&amp;IF(AND(EDATE($D113,Milestones!$AA$46)&lt;=AsOfDate,IF($Q113=0,$W113,IF(AND($S113&lt;&gt;"",EDATE($D113,Milestones!$AA$46)&gt;=$S113),$V113,IF(AND($R113&lt;&gt;"",EDATE($D113,Milestones!$AA$46)&gt;=$R113),$U113,$T113)))=Milestones!$AB$46),TEXT(EDATE($D113,Milestones!$AA$46),"dd/mm/yy")&amp;" "&amp;Milestones!$AB$46&amp;" "&amp;Milestones!$AC$46&amp;";  ","")&amp;IF(AND(EDATE($D113,Milestones!$AA$47)&lt;=AsOfDate,IF($Q113=0,$W113,IF(AND($S113&lt;&gt;"",EDATE($D113,Milestones!$AA$47)&gt;=$S113),$V113,IF(AND($R113&lt;&gt;"",EDATE($D113,Milestones!$AA$47)&gt;=$R113),$U113,$T113)))=Milestones!$AB$47),TEXT(EDATE($D113,Milestones!$AA$47),"dd/mm/yy")&amp;" "&amp;Milestones!$AB$47&amp;" "&amp;Milestones!$AC$47&amp;";  ","")&amp;IF(AND(EDATE($D113,Milestones!$AA$48)&lt;=AsOfDate,IF($Q113=0,$W113,IF(AND($S113&lt;&gt;"",EDATE($D113,Milestones!$AA$48)&gt;=$S113),$V113,IF(AND($R113&lt;&gt;"",EDATE($D113,Milestones!$AA$48)&gt;=$R113),$U113,$T113)))=Milestones!$AB$48),TEXT(EDATE($D113,Milestones!$AA$48),"dd/mm/yy")&amp;" "&amp;Milestones!$AB$48&amp;" "&amp;Milestones!$AC$48&amp;";  ","")&amp;IF(AND(EDATE($D113,Milestones!$AA$49)&lt;=AsOfDate,IF($Q113=0,$W113,IF(AND($S113&lt;&gt;"",EDATE($D113,Milestones!$AA$49)&gt;=$S113),$V113,IF(AND($R113&lt;&gt;"",EDATE($D113,Milestones!$AA$49)&gt;=$R113),$U113,$T113)))=Milestones!$AB$49),TEXT(EDATE($D113,Milestones!$AA$49),"dd/mm/yy")&amp;" "&amp;Milestones!$AB$49&amp;" "&amp;Milestones!$AC$49&amp;";  ","")&amp;IF(AND(EDATE($D113,Milestones!$AA$50)&lt;=AsOfDate,IF($Q113=0,$W113,IF(AND($S113&lt;&gt;"",EDATE($D113,Milestones!$AA$50)&gt;=$S113),$V113,IF(AND($R113&lt;&gt;"",EDATE($D113,Milestones!$AA$50)&gt;=$R113),$U113,$T113)))=Milestones!$AB$50),TEXT(EDATE($D113,Milestones!$AA$50),"dd/mm/yy")&amp;" "&amp;Milestones!$AB$50&amp;" "&amp;Milestones!$AC$50&amp;";  ","")&amp;IF(AND(EDATE($D113,Milestones!$AA$51)&lt;=AsOfDate,IF($Q113=0,$W113,IF(AND($S113&lt;&gt;"",EDATE($D113,Milestones!$AA$51)&gt;=$S113),$V113,IF(AND($R113&lt;&gt;"",EDATE($D113,Milestones!$AA$51)&gt;=$R113),$U113,$T113)))=Milestones!$AB$51),TEXT(EDATE($D113,Milestones!$AA$51),"dd/mm/yy")&amp;" "&amp;Milestones!$AB$51&amp;" "&amp;Milestones!$AC$51&amp;";  ","")&amp;IF(AND(EDATE($D113,Milestones!$AA$52)&lt;=AsOfDate,IF($Q113=0,$W113,IF(AND($S113&lt;&gt;"",EDATE($D113,Milestones!$AA$52)&gt;=$S113),$V113,IF(AND($R113&lt;&gt;"",EDATE($D113,Milestones!$AA$52)&gt;=$R113),$U113,$T113)))=Milestones!$AB$52),TEXT(EDATE($D113,Milestones!$AA$52),"dd/mm/yy")&amp;" "&amp;Milestones!$AB$52&amp;" "&amp;Milestones!$AC$52&amp;";  ","")&amp;IF(AND(EDATE($D113,Milestones!$AA$53)&lt;=AsOfDate,IF($Q113=0,$W113,IF(AND($S113&lt;&gt;"",EDATE($D113,Milestones!$AA$53)&gt;=$S113),$V113,IF(AND($R113&lt;&gt;"",EDATE($D113,Milestones!$AA$53)&gt;=$R113),$U113,$T113)))=Milestones!$AB$53),TEXT(EDATE($D113,Milestones!$AA$53),"dd/mm/yy")&amp;" "&amp;Milestones!$AB$53&amp;" "&amp;Milestones!$AC$53&amp;";  ","")&amp;IF(AND(EDATE($D113,Milestones!$AA$54)&lt;=AsOfDate,IF($Q113=0,$W113,IF(AND($S113&lt;&gt;"",EDATE($D113,Milestones!$AA$54)&gt;=$S113),$V113,IF(AND($R113&lt;&gt;"",EDATE($D113,Milestones!$AA$54)&gt;=$R113),$U113,$T113)))=Milestones!$AB$54),TEXT(EDATE($D113,Milestones!$AA$54),"dd/mm/yy")&amp;" "&amp;Milestones!$AB$54&amp;" "&amp;Milestones!$AC$54&amp;";  ","")&amp;IF(AND(EDATE($D113,Milestones!$AA$55)&lt;=AsOfDate,IF($Q113=0,$W113,IF(AND($S113&lt;&gt;"",EDATE($D113,Milestones!$AA$55)&gt;=$S113),$V113,IF(AND($R113&lt;&gt;"",EDATE($D113,Milestones!$AA$55)&gt;=$R113),$U113,$T113)))=Milestones!$AB$55),TEXT(EDATE($D113,Milestones!$AA$55),"dd/mm/yy")&amp;" "&amp;Milestones!$AB$55&amp;" "&amp;Milestones!$AC$55&amp;";  ","")&amp;IF(AND(EDATE($D113,Milestones!$AA$56)&lt;=AsOfDate,IF($Q113=0,$W113,IF(AND($S113&lt;&gt;"",EDATE($D113,Milestones!$AA$56)&gt;=$S113),$V113,IF(AND($R113&lt;&gt;"",EDATE($D113,Milestones!$AA$56)&gt;=$R113),$U113,$T113)))=Milestones!$AB$56),TEXT(EDATE($D113,Milestones!$AA$56),"dd/mm/yy")&amp;" "&amp;Milestones!$AB$56&amp;" "&amp;Milestones!$AC$56&amp;";  ","")&amp;IF(AND(EDATE($D113,Milestones!$AA$57)&lt;=AsOfDate,IF($Q113=0,$W113,IF(AND($S113&lt;&gt;"",EDATE($D113,Milestones!$AA$57)&gt;=$S113),$V113,IF(AND($R113&lt;&gt;"",EDATE($D113,Milestones!$AA$57)&gt;=$R113),$U113,$T113)))=Milestones!$AB$57),TEXT(EDATE($D113,Milestones!$AA$57),"dd/mm/yy")&amp;" "&amp;Milestones!$AB$57&amp;" "&amp;Milestones!$AC$57&amp;";  ","")&amp;IF(AND(EDATE($D113,Milestones!$AA$58)&lt;=AsOfDate,IF($Q113=0,$W113,IF(AND($S113&lt;&gt;"",EDATE($D113,Milestones!$AA$58)&gt;=$S113),$V113,IF(AND($R113&lt;&gt;"",EDATE($D113,Milestones!$AA$58)&gt;=$R113),$U113,$T113)))=Milestones!$AB$58),TEXT(EDATE($D113,Milestones!$AA$58),"dd/mm/yy")&amp;" "&amp;Milestones!$AB$58&amp;" "&amp;Milestones!$AC$58&amp;";  ","")&amp;IF(AND(EDATE($D113,Milestones!$AA$59)&lt;=AsOfDate,IF($Q113=0,$W113,IF(AND($S113&lt;&gt;"",EDATE($D113,Milestones!$AA$59)&gt;=$S113),$V113,IF(AND($R113&lt;&gt;"",EDATE($D113,Milestones!$AA$59)&gt;=$R113),$U113,$T113)))=Milestones!$AB$59),TEXT(EDATE($D113,Milestones!$AA$59),"dd/mm/yy")&amp;" "&amp;Milestones!$AB$59&amp;" "&amp;Milestones!$AC$59&amp;";  ",""))</f>
        <v/>
      </c>
      <c r="J113" s="0" t="str">
        <f aca="false">IF(OR($A113="",$D113=""),"",IF(AND(EDATE($D113,Milestones!$AA$60)&lt;=AsOfDate,IF($Q113=0,$W113,IF(AND($S113&lt;&gt;"",EDATE($D113,Milestones!$AA$60)&gt;=$S113),$V113,IF(AND($R113&lt;&gt;"",EDATE($D113,Milestones!$AA$60)&gt;=$R113),$U113,$T113)))=Milestones!$AB$60),TEXT(EDATE($D113,Milestones!$AA$60),"dd/mm/yy")&amp;" "&amp;Milestones!$AB$60&amp;" "&amp;Milestones!$AC$60&amp;";  ","")&amp;IF(AND(EDATE($D113,Milestones!$AA$61)&lt;=AsOfDate,IF($Q113=0,$W113,IF(AND($S113&lt;&gt;"",EDATE($D113,Milestones!$AA$61)&gt;=$S113),$V113,IF(AND($R113&lt;&gt;"",EDATE($D113,Milestones!$AA$61)&gt;=$R113),$U113,$T113)))=Milestones!$AB$61),TEXT(EDATE($D113,Milestones!$AA$61),"dd/mm/yy")&amp;" "&amp;Milestones!$AB$61&amp;" "&amp;Milestones!$AC$61&amp;";  ","")&amp;IF(AND(EDATE($D113,Milestones!$AA$62)&lt;=AsOfDate,IF($Q113=0,$W113,IF(AND($S113&lt;&gt;"",EDATE($D113,Milestones!$AA$62)&gt;=$S113),$V113,IF(AND($R113&lt;&gt;"",EDATE($D113,Milestones!$AA$62)&gt;=$R113),$U113,$T113)))=Milestones!$AB$62),TEXT(EDATE($D113,Milestones!$AA$62),"dd/mm/yy")&amp;" "&amp;Milestones!$AB$62&amp;" "&amp;Milestones!$AC$62&amp;";  ","")&amp;IF(AND(EDATE($D113,Milestones!$AA$63)&lt;=AsOfDate,IF($Q113=0,$W113,IF(AND($S113&lt;&gt;"",EDATE($D113,Milestones!$AA$63)&gt;=$S113),$V113,IF(AND($R113&lt;&gt;"",EDATE($D113,Milestones!$AA$63)&gt;=$R113),$U113,$T113)))=Milestones!$AB$63),TEXT(EDATE($D113,Milestones!$AA$63),"dd/mm/yy")&amp;" "&amp;Milestones!$AB$63&amp;" "&amp;Milestones!$AC$63&amp;";  ","")&amp;IF(AND(EDATE($D113,Milestones!$AA$64)&lt;=AsOfDate,IF($Q113=0,$W113,IF(AND($S113&lt;&gt;"",EDATE($D113,Milestones!$AA$64)&gt;=$S113),$V113,IF(AND($R113&lt;&gt;"",EDATE($D113,Milestones!$AA$64)&gt;=$R113),$U113,$T113)))=Milestones!$AB$64),TEXT(EDATE($D113,Milestones!$AA$64),"dd/mm/yy")&amp;" "&amp;Milestones!$AB$64&amp;" "&amp;Milestones!$AC$64&amp;";  ","")&amp;IF(AND(EDATE($D113,Milestones!$AA$65)&lt;=AsOfDate,IF($Q113=0,$W113,IF(AND($S113&lt;&gt;"",EDATE($D113,Milestones!$AA$65)&gt;=$S113),$V113,IF(AND($R113&lt;&gt;"",EDATE($D113,Milestones!$AA$65)&gt;=$R113),$U113,$T113)))=Milestones!$AB$65),TEXT(EDATE($D113,Milestones!$AA$65),"dd/mm/yy")&amp;" "&amp;Milestones!$AB$65&amp;" "&amp;Milestones!$AC$65&amp;";  ","")&amp;IF(AND(EDATE($D113,Milestones!$AA$66)&lt;=AsOfDate,IF($Q113=0,$W113,IF(AND($S113&lt;&gt;"",EDATE($D113,Milestones!$AA$66)&gt;=$S113),$V113,IF(AND($R113&lt;&gt;"",EDATE($D113,Milestones!$AA$66)&gt;=$R113),$U113,$T113)))=Milestones!$AB$66),TEXT(EDATE($D113,Milestones!$AA$66),"dd/mm/yy")&amp;" "&amp;Milestones!$AB$66&amp;" "&amp;Milestones!$AC$66&amp;";  ","")&amp;IF(AND(EDATE($D113,Milestones!$AA$67)&lt;=AsOfDate,IF($Q113=0,$W113,IF(AND($S113&lt;&gt;"",EDATE($D113,Milestones!$AA$67)&gt;=$S113),$V113,IF(AND($R113&lt;&gt;"",EDATE($D113,Milestones!$AA$67)&gt;=$R113),$U113,$T113)))=Milestones!$AB$67),TEXT(EDATE($D113,Milestones!$AA$67),"dd/mm/yy")&amp;" "&amp;Milestones!$AB$67&amp;" "&amp;Milestones!$AC$67&amp;";  ","")&amp;IF(AND(EDATE($D113,Milestones!$AA$68)&lt;=AsOfDate,IF($Q113=0,$W113,IF(AND($S113&lt;&gt;"",EDATE($D113,Milestones!$AA$68)&gt;=$S113),$V113,IF(AND($R113&lt;&gt;"",EDATE($D113,Milestones!$AA$68)&gt;=$R113),$U113,$T113)))=Milestones!$AB$68),TEXT(EDATE($D113,Milestones!$AA$68),"dd/mm/yy")&amp;" "&amp;Milestones!$AB$68&amp;" "&amp;Milestones!$AC$68&amp;";  ","")&amp;IF(AND(EDATE($D113,Milestones!$AA$69)&lt;=AsOfDate,IF($Q113=0,$W113,IF(AND($S113&lt;&gt;"",EDATE($D113,Milestones!$AA$69)&gt;=$S113),$V113,IF(AND($R113&lt;&gt;"",EDATE($D113,Milestones!$AA$69)&gt;=$R113),$U113,$T113)))=Milestones!$AB$69),TEXT(EDATE($D113,Milestones!$AA$69),"dd/mm/yy")&amp;" "&amp;Milestones!$AB$69&amp;" "&amp;Milestones!$AC$69&amp;";  ","")&amp;IF(AND(EDATE($D113,Milestones!$AA$70)&lt;=AsOfDate,IF($Q113=0,$W113,IF(AND($S113&lt;&gt;"",EDATE($D113,Milestones!$AA$70)&gt;=$S113),$V113,IF(AND($R113&lt;&gt;"",EDATE($D113,Milestones!$AA$70)&gt;=$R113),$U113,$T113)))=Milestones!$AB$70),TEXT(EDATE($D113,Milestones!$AA$70),"dd/mm/yy")&amp;" "&amp;Milestones!$AB$70&amp;" "&amp;Milestones!$AC$70&amp;";  ","")&amp;IF(AND(EDATE($D113,Milestones!$AA$71)&lt;=AsOfDate,IF($Q113=0,$W113,IF(AND($S113&lt;&gt;"",EDATE($D113,Milestones!$AA$71)&gt;=$S113),$V113,IF(AND($R113&lt;&gt;"",EDATE($D113,Milestones!$AA$71)&gt;=$R113),$U113,$T113)))=Milestones!$AB$71),TEXT(EDATE($D113,Milestones!$AA$71),"dd/mm/yy")&amp;" "&amp;Milestones!$AB$71&amp;" "&amp;Milestones!$AC$71&amp;";  ","")&amp;IF(AND(EDATE($D113,Milestones!$AA$72)&lt;=AsOfDate,IF($Q113=0,$W113,IF(AND($S113&lt;&gt;"",EDATE($D113,Milestones!$AA$72)&gt;=$S113),$V113,IF(AND($R113&lt;&gt;"",EDATE($D113,Milestones!$AA$72)&gt;=$R113),$U113,$T113)))=Milestones!$AB$72),TEXT(EDATE($D113,Milestones!$AA$72),"dd/mm/yy")&amp;" "&amp;Milestones!$AB$72&amp;" "&amp;Milestones!$AC$72&amp;";  ","")&amp;IF(AND(EDATE($D113,Milestones!$AA$73)&lt;=AsOfDate,IF($Q113=0,$W113,IF(AND($S113&lt;&gt;"",EDATE($D113,Milestones!$AA$73)&gt;=$S113),$V113,IF(AND($R113&lt;&gt;"",EDATE($D113,Milestones!$AA$73)&gt;=$R113),$U113,$T113)))=Milestones!$AB$73),TEXT(EDATE($D113,Milestones!$AA$73),"dd/mm/yy")&amp;" "&amp;Milestones!$AB$73&amp;" "&amp;Milestones!$AC$73&amp;";  ","")&amp;IF(AND(EDATE($D113,Milestones!$AA$74)&lt;=AsOfDate,IF($Q113=0,$W113,IF(AND($S113&lt;&gt;"",EDATE($D113,Milestones!$AA$74)&gt;=$S113),$V113,IF(AND($R113&lt;&gt;"",EDATE($D113,Milestones!$AA$74)&gt;=$R113),$U113,$T113)))=Milestones!$AB$74),TEXT(EDATE($D113,Milestones!$AA$74),"dd/mm/yy")&amp;" "&amp;Milestones!$AB$74&amp;" "&amp;Milestones!$AC$74&amp;";  ","")&amp;IF(AND(EDATE($D113,Milestones!$AA$75)&lt;=AsOfDate,IF($Q113=0,$W113,IF(AND($S113&lt;&gt;"",EDATE($D113,Milestones!$AA$75)&gt;=$S113),$V113,IF(AND($R113&lt;&gt;"",EDATE($D113,Milestones!$AA$75)&gt;=$R113),$U113,$T113)))=Milestones!$AB$75),TEXT(EDATE($D113,Milestones!$AA$75),"dd/mm/yy")&amp;" "&amp;Milestones!$AB$75&amp;" "&amp;Milestones!$AC$75&amp;";  ","")&amp;IF(AND(EDATE($D113,Milestones!$AA$76)&lt;=AsOfDate,IF($Q113=0,$W113,IF(AND($S113&lt;&gt;"",EDATE($D113,Milestones!$AA$76)&gt;=$S113),$V113,IF(AND($R113&lt;&gt;"",EDATE($D113,Milestones!$AA$76)&gt;=$R113),$U113,$T113)))=Milestones!$AB$76),TEXT(EDATE($D113,Milestones!$AA$76),"dd/mm/yy")&amp;" "&amp;Milestones!$AB$76&amp;" "&amp;Milestones!$AC$76&amp;";  ","")&amp;IF(AND(EDATE($D113,Milestones!$AA$77)&lt;=AsOfDate,IF($Q113=0,$W113,IF(AND($S113&lt;&gt;"",EDATE($D113,Milestones!$AA$77)&gt;=$S113),$V113,IF(AND($R113&lt;&gt;"",EDATE($D113,Milestones!$AA$77)&gt;=$R113),$U113,$T113)))=Milestones!$AB$77),TEXT(EDATE($D113,Milestones!$AA$77),"dd/mm/yy")&amp;" "&amp;Milestones!$AB$77&amp;" "&amp;Milestones!$AC$77&amp;";  ","")&amp;IF(AND(EDATE($D113,Milestones!$AA$78)&lt;=AsOfDate,IF($Q113=0,$W113,IF(AND($S113&lt;&gt;"",EDATE($D113,Milestones!$AA$78)&gt;=$S113),$V113,IF(AND($R113&lt;&gt;"",EDATE($D113,Milestones!$AA$78)&gt;=$R113),$U113,$T113)))=Milestones!$AB$78),TEXT(EDATE($D113,Milestones!$AA$78),"dd/mm/yy")&amp;" "&amp;Milestones!$AB$78&amp;" "&amp;Milestones!$AC$78&amp;";  ","")&amp;IF(AND(EDATE($D113,Milestones!$AA$79)&lt;=AsOfDate,IF($Q113=0,$W113,IF(AND($S113&lt;&gt;"",EDATE($D113,Milestones!$AA$79)&gt;=$S113),$V113,IF(AND($R113&lt;&gt;"",EDATE($D113,Milestones!$AA$79)&gt;=$R113),$U113,$T113)))=Milestones!$AB$79),TEXT(EDATE($D113,Milestones!$AA$79),"dd/mm/yy")&amp;" "&amp;Milestones!$AB$79&amp;" "&amp;Milestones!$AC$79&amp;";  ",""))</f>
        <v/>
      </c>
      <c r="K113" s="0" t="str">
        <f aca="false">IF(OR($A113="",$D113=""),"",IF(AND(EDATE($D113,Milestones!$AA$80)&lt;=AsOfDate,IF($Q113=0,$W113,IF(AND($S113&lt;&gt;"",EDATE($D113,Milestones!$AA$80)&gt;=$S113),$V113,IF(AND($R113&lt;&gt;"",EDATE($D113,Milestones!$AA$80)&gt;=$R113),$U113,$T113)))=Milestones!$AB$80),TEXT(EDATE($D113,Milestones!$AA$80),"dd/mm/yy")&amp;" "&amp;Milestones!$AB$80&amp;" "&amp;Milestones!$AC$80&amp;";  ","")&amp;IF(AND(EDATE($D113,Milestones!$AA$81)&lt;=AsOfDate,IF($Q113=0,$W113,IF(AND($S113&lt;&gt;"",EDATE($D113,Milestones!$AA$81)&gt;=$S113),$V113,IF(AND($R113&lt;&gt;"",EDATE($D113,Milestones!$AA$81)&gt;=$R113),$U113,$T113)))=Milestones!$AB$81),TEXT(EDATE($D113,Milestones!$AA$81),"dd/mm/yy")&amp;" "&amp;Milestones!$AB$81&amp;" "&amp;Milestones!$AC$81&amp;";  ","")&amp;IF(AND(EDATE($D113,Milestones!$AA$82)&lt;=AsOfDate,IF($Q113=0,$W113,IF(AND($S113&lt;&gt;"",EDATE($D113,Milestones!$AA$82)&gt;=$S113),$V113,IF(AND($R113&lt;&gt;"",EDATE($D113,Milestones!$AA$82)&gt;=$R113),$U113,$T113)))=Milestones!$AB$82),TEXT(EDATE($D113,Milestones!$AA$82),"dd/mm/yy")&amp;" "&amp;Milestones!$AB$82&amp;" "&amp;Milestones!$AC$82&amp;";  ","")&amp;IF(AND(EDATE($D113,Milestones!$AA$83)&lt;=AsOfDate,IF($Q113=0,$W113,IF(AND($S113&lt;&gt;"",EDATE($D113,Milestones!$AA$83)&gt;=$S113),$V113,IF(AND($R113&lt;&gt;"",EDATE($D113,Milestones!$AA$83)&gt;=$R113),$U113,$T113)))=Milestones!$AB$83),TEXT(EDATE($D113,Milestones!$AA$83),"dd/mm/yy")&amp;" "&amp;Milestones!$AB$83&amp;" "&amp;Milestones!$AC$83&amp;";  ","")&amp;IF(AND(EDATE($D113,Milestones!$AA$84)&lt;=AsOfDate,IF($Q113=0,$W113,IF(AND($S113&lt;&gt;"",EDATE($D113,Milestones!$AA$84)&gt;=$S113),$V113,IF(AND($R113&lt;&gt;"",EDATE($D113,Milestones!$AA$84)&gt;=$R113),$U113,$T113)))=Milestones!$AB$84),TEXT(EDATE($D113,Milestones!$AA$84),"dd/mm/yy")&amp;" "&amp;Milestones!$AB$84&amp;" "&amp;Milestones!$AC$84&amp;";  ","")&amp;IF(AND(EDATE($D113,Milestones!$AA$85)&lt;=AsOfDate,IF($Q113=0,$W113,IF(AND($S113&lt;&gt;"",EDATE($D113,Milestones!$AA$85)&gt;=$S113),$V113,IF(AND($R113&lt;&gt;"",EDATE($D113,Milestones!$AA$85)&gt;=$R113),$U113,$T113)))=Milestones!$AB$85),TEXT(EDATE($D113,Milestones!$AA$85),"dd/mm/yy")&amp;" "&amp;Milestones!$AB$85&amp;" "&amp;Milestones!$AC$85&amp;";  ","")&amp;IF(AND(EDATE($D113,Milestones!$AA$86)&lt;=AsOfDate,IF($Q113=0,$W113,IF(AND($S113&lt;&gt;"",EDATE($D113,Milestones!$AA$86)&gt;=$S113),$V113,IF(AND($R113&lt;&gt;"",EDATE($D113,Milestones!$AA$86)&gt;=$R113),$U113,$T113)))=Milestones!$AB$86),TEXT(EDATE($D113,Milestones!$AA$86),"dd/mm/yy")&amp;" "&amp;Milestones!$AB$86&amp;" "&amp;Milestones!$AC$86&amp;";  ","")&amp;IF(AND(EDATE($D113,Milestones!$AA$87)&lt;=AsOfDate,IF($Q113=0,$W113,IF(AND($S113&lt;&gt;"",EDATE($D113,Milestones!$AA$87)&gt;=$S113),$V113,IF(AND($R113&lt;&gt;"",EDATE($D113,Milestones!$AA$87)&gt;=$R113),$U113,$T113)))=Milestones!$AB$87),TEXT(EDATE($D113,Milestones!$AA$87),"dd/mm/yy")&amp;" "&amp;Milestones!$AB$87&amp;" "&amp;Milestones!$AC$87&amp;";  ","")&amp;IF(AND(EDATE($D113,Milestones!$AA$88)&lt;=AsOfDate,IF($Q113=0,$W113,IF(AND($S113&lt;&gt;"",EDATE($D113,Milestones!$AA$88)&gt;=$S113),$V113,IF(AND($R113&lt;&gt;"",EDATE($D113,Milestones!$AA$88)&gt;=$R113),$U113,$T113)))=Milestones!$AB$88),TEXT(EDATE($D113,Milestones!$AA$88),"dd/mm/yy")&amp;" "&amp;Milestones!$AB$88&amp;" "&amp;Milestones!$AC$88&amp;";  ","")&amp;IF(AND(EDATE($D113,Milestones!$AA$89)&lt;=AsOfDate,IF($Q113=0,$W113,IF(AND($S113&lt;&gt;"",EDATE($D113,Milestones!$AA$89)&gt;=$S113),$V113,IF(AND($R113&lt;&gt;"",EDATE($D113,Milestones!$AA$89)&gt;=$R113),$U113,$T113)))=Milestones!$AB$89),TEXT(EDATE($D113,Milestones!$AA$89),"dd/mm/yy")&amp;" "&amp;Milestones!$AB$89&amp;" "&amp;Milestones!$AC$89&amp;";  ","")&amp;IF(AND(EDATE($D113,Milestones!$AA$90)&lt;=AsOfDate,IF($Q113=0,$W113,IF(AND($S113&lt;&gt;"",EDATE($D113,Milestones!$AA$90)&gt;=$S113),$V113,IF(AND($R113&lt;&gt;"",EDATE($D113,Milestones!$AA$90)&gt;=$R113),$U113,$T113)))=Milestones!$AB$90),TEXT(EDATE($D113,Milestones!$AA$90),"dd/mm/yy")&amp;" "&amp;Milestones!$AB$90&amp;" "&amp;Milestones!$AC$90&amp;";  ","")&amp;IF(AND(EDATE($D113,Milestones!$AA$91)&lt;=AsOfDate,IF($Q113=0,$W113,IF(AND($S113&lt;&gt;"",EDATE($D113,Milestones!$AA$91)&gt;=$S113),$V113,IF(AND($R113&lt;&gt;"",EDATE($D113,Milestones!$AA$91)&gt;=$R113),$U113,$T113)))=Milestones!$AB$91),TEXT(EDATE($D113,Milestones!$AA$91),"dd/mm/yy")&amp;" "&amp;Milestones!$AB$91&amp;" "&amp;Milestones!$AC$91&amp;";  ","")&amp;IF(AND(EDATE($D113,Milestones!$AA$92)&lt;=AsOfDate,IF($Q113=0,$W113,IF(AND($S113&lt;&gt;"",EDATE($D113,Milestones!$AA$92)&gt;=$S113),$V113,IF(AND($R113&lt;&gt;"",EDATE($D113,Milestones!$AA$92)&gt;=$R113),$U113,$T113)))=Milestones!$AB$92),TEXT(EDATE($D113,Milestones!$AA$92),"dd/mm/yy")&amp;" "&amp;Milestones!$AB$92&amp;" "&amp;Milestones!$AC$92&amp;";  ","")&amp;IF(AND(EDATE($D113,Milestones!$AA$93)&lt;=AsOfDate,IF($Q113=0,$W113,IF(AND($S113&lt;&gt;"",EDATE($D113,Milestones!$AA$93)&gt;=$S113),$V113,IF(AND($R113&lt;&gt;"",EDATE($D113,Milestones!$AA$93)&gt;=$R113),$U113,$T113)))=Milestones!$AB$93),TEXT(EDATE($D113,Milestones!$AA$93),"dd/mm/yy")&amp;" "&amp;Milestones!$AB$93&amp;" "&amp;Milestones!$AC$93&amp;";  ","")&amp;IF(AND(EDATE($D113,Milestones!$AA$94)&lt;=AsOfDate,IF($Q113=0,$W113,IF(AND($S113&lt;&gt;"",EDATE($D113,Milestones!$AA$94)&gt;=$S113),$V113,IF(AND($R113&lt;&gt;"",EDATE($D113,Milestones!$AA$94)&gt;=$R113),$U113,$T113)))=Milestones!$AB$94),TEXT(EDATE($D113,Milestones!$AA$94),"dd/mm/yy")&amp;" "&amp;Milestones!$AB$94&amp;" "&amp;Milestones!$AC$94&amp;";  ","")&amp;IF(AND(EDATE($D113,Milestones!$AA$95)&lt;=AsOfDate,IF($Q113=0,$W113,IF(AND($S113&lt;&gt;"",EDATE($D113,Milestones!$AA$95)&gt;=$S113),$V113,IF(AND($R113&lt;&gt;"",EDATE($D113,Milestones!$AA$95)&gt;=$R113),$U113,$T113)))=Milestones!$AB$95),TEXT(EDATE($D113,Milestones!$AA$95),"dd/mm/yy")&amp;" "&amp;Milestones!$AB$95&amp;" "&amp;Milestones!$AC$95&amp;";  ","")&amp;IF(AND(EDATE($D113,Milestones!$AA$96)&lt;=AsOfDate,IF($Q113=0,$W113,IF(AND($S113&lt;&gt;"",EDATE($D113,Milestones!$AA$96)&gt;=$S113),$V113,IF(AND($R113&lt;&gt;"",EDATE($D113,Milestones!$AA$96)&gt;=$R113),$U113,$T113)))=Milestones!$AB$96),TEXT(EDATE($D113,Milestones!$AA$96),"dd/mm/yy")&amp;" "&amp;Milestones!$AB$96&amp;" "&amp;Milestones!$AC$96&amp;";  ","")&amp;IF(AND(EDATE($D113,Milestones!$AA$97)&lt;=AsOfDate,IF($Q113=0,$W113,IF(AND($S113&lt;&gt;"",EDATE($D113,Milestones!$AA$97)&gt;=$S113),$V113,IF(AND($R113&lt;&gt;"",EDATE($D113,Milestones!$AA$97)&gt;=$R113),$U113,$T113)))=Milestones!$AB$97),TEXT(EDATE($D113,Milestones!$AA$97),"dd/mm/yy")&amp;" "&amp;Milestones!$AB$97&amp;" "&amp;Milestones!$AC$97&amp;";  ","")&amp;IF(AND(EDATE($D113,Milestones!$AA$98)&lt;=AsOfDate,IF($Q113=0,$W113,IF(AND($S113&lt;&gt;"",EDATE($D113,Milestones!$AA$98)&gt;=$S113),$V113,IF(AND($R113&lt;&gt;"",EDATE($D113,Milestones!$AA$98)&gt;=$R113),$U113,$T113)))=Milestones!$AB$98),TEXT(EDATE($D113,Milestones!$AA$98),"dd/mm/yy")&amp;" "&amp;Milestones!$AB$98&amp;" "&amp;Milestones!$AC$98&amp;";  ","")&amp;IF(AND(EDATE($D113,Milestones!$AA$99)&lt;=AsOfDate,IF($Q113=0,$W113,IF(AND($S113&lt;&gt;"",EDATE($D113,Milestones!$AA$99)&gt;=$S113),$V113,IF(AND($R113&lt;&gt;"",EDATE($D113,Milestones!$AA$99)&gt;=$R113),$U113,$T113)))=Milestones!$AB$99),TEXT(EDATE($D113,Milestones!$AA$99),"dd/mm/yy")&amp;" "&amp;Milestones!$AB$99&amp;" "&amp;Milestones!$AC$99&amp;";  ",""))</f>
        <v/>
      </c>
      <c r="L113" s="0" t="str">
        <f aca="false">IF(OR($A113="",$D113=""),"",IF(AND(EDATE($D113,Milestones!$AA$100)&lt;=AsOfDate,IF($Q113=0,$W113,IF(AND($S113&lt;&gt;"",EDATE($D113,Milestones!$AA$100)&gt;=$S113),$V113,IF(AND($R113&lt;&gt;"",EDATE($D113,Milestones!$AA$100)&gt;=$R113),$U113,$T113)))=Milestones!$AB$100),TEXT(EDATE($D113,Milestones!$AA$100),"dd/mm/yy")&amp;" "&amp;Milestones!$AB$100&amp;" "&amp;Milestones!$AC$100&amp;";  ","")&amp;IF(AND(EDATE($D113,Milestones!$AA$101)&lt;=AsOfDate,IF($Q113=0,$W113,IF(AND($S113&lt;&gt;"",EDATE($D113,Milestones!$AA$101)&gt;=$S113),$V113,IF(AND($R113&lt;&gt;"",EDATE($D113,Milestones!$AA$101)&gt;=$R113),$U113,$T113)))=Milestones!$AB$101),TEXT(EDATE($D113,Milestones!$AA$101),"dd/mm/yy")&amp;" "&amp;Milestones!$AB$101&amp;" "&amp;Milestones!$AC$101&amp;";  ","")&amp;IF(AND(EDATE($D113,Milestones!$AA$102)&lt;=AsOfDate,IF($Q113=0,$W113,IF(AND($S113&lt;&gt;"",EDATE($D113,Milestones!$AA$102)&gt;=$S113),$V113,IF(AND($R113&lt;&gt;"",EDATE($D113,Milestones!$AA$102)&gt;=$R113),$U113,$T113)))=Milestones!$AB$102),TEXT(EDATE($D113,Milestones!$AA$102),"dd/mm/yy")&amp;" "&amp;Milestones!$AB$102&amp;" "&amp;Milestones!$AC$102&amp;";  ","")&amp;IF(AND(EDATE($D113,Milestones!$AA$103)&lt;=AsOfDate,IF($Q113=0,$W113,IF(AND($S113&lt;&gt;"",EDATE($D113,Milestones!$AA$103)&gt;=$S113),$V113,IF(AND($R113&lt;&gt;"",EDATE($D113,Milestones!$AA$103)&gt;=$R113),$U113,$T113)))=Milestones!$AB$103),TEXT(EDATE($D113,Milestones!$AA$103),"dd/mm/yy")&amp;" "&amp;Milestones!$AB$103&amp;" "&amp;Milestones!$AC$103&amp;";  ","")&amp;IF(AND(EDATE($D113,Milestones!$AA$104)&lt;=AsOfDate,IF($Q113=0,$W113,IF(AND($S113&lt;&gt;"",EDATE($D113,Milestones!$AA$104)&gt;=$S113),$V113,IF(AND($R113&lt;&gt;"",EDATE($D113,Milestones!$AA$104)&gt;=$R113),$U113,$T113)))=Milestones!$AB$104),TEXT(EDATE($D113,Milestones!$AA$104),"dd/mm/yy")&amp;" "&amp;Milestones!$AB$104&amp;" "&amp;Milestones!$AC$104&amp;";  ","")&amp;IF(AND(EDATE($D113,Milestones!$AA$105)&lt;=AsOfDate,IF($Q113=0,$W113,IF(AND($S113&lt;&gt;"",EDATE($D113,Milestones!$AA$105)&gt;=$S113),$V113,IF(AND($R113&lt;&gt;"",EDATE($D113,Milestones!$AA$105)&gt;=$R113),$U113,$T113)))=Milestones!$AB$105),TEXT(EDATE($D113,Milestones!$AA$105),"dd/mm/yy")&amp;" "&amp;Milestones!$AB$105&amp;" "&amp;Milestones!$AC$105&amp;";  ","")&amp;IF(AND(EDATE($D113,Milestones!$AA$106)&lt;=AsOfDate,IF($Q113=0,$W113,IF(AND($S113&lt;&gt;"",EDATE($D113,Milestones!$AA$106)&gt;=$S113),$V113,IF(AND($R113&lt;&gt;"",EDATE($D113,Milestones!$AA$106)&gt;=$R113),$U113,$T113)))=Milestones!$AB$106),TEXT(EDATE($D113,Milestones!$AA$106),"dd/mm/yy")&amp;" "&amp;Milestones!$AB$106&amp;" "&amp;Milestones!$AC$106&amp;";  ","")&amp;IF(AND(EDATE($D113,Milestones!$AA$107)&lt;=AsOfDate,IF($Q113=0,$W113,IF(AND($S113&lt;&gt;"",EDATE($D113,Milestones!$AA$107)&gt;=$S113),$V113,IF(AND($R113&lt;&gt;"",EDATE($D113,Milestones!$AA$107)&gt;=$R113),$U113,$T113)))=Milestones!$AB$107),TEXT(EDATE($D113,Milestones!$AA$107),"dd/mm/yy")&amp;" "&amp;Milestones!$AB$107&amp;" "&amp;Milestones!$AC$107&amp;";  ","")&amp;IF(AND(EDATE($D113,Milestones!$AA$108)&lt;=AsOfDate,IF($Q113=0,$W113,IF(AND($S113&lt;&gt;"",EDATE($D113,Milestones!$AA$108)&gt;=$S113),$V113,IF(AND($R113&lt;&gt;"",EDATE($D113,Milestones!$AA$108)&gt;=$R113),$U113,$T113)))=Milestones!$AB$108),TEXT(EDATE($D113,Milestones!$AA$108),"dd/mm/yy")&amp;" "&amp;Milestones!$AB$108&amp;" "&amp;Milestones!$AC$108&amp;";  ","")&amp;IF(AND(EDATE($D113,Milestones!$AA$109)&lt;=AsOfDate,IF($Q113=0,$W113,IF(AND($S113&lt;&gt;"",EDATE($D113,Milestones!$AA$109)&gt;=$S113),$V113,IF(AND($R113&lt;&gt;"",EDATE($D113,Milestones!$AA$109)&gt;=$R113),$U113,$T113)))=Milestones!$AB$109),TEXT(EDATE($D113,Milestones!$AA$109),"dd/mm/yy")&amp;" "&amp;Milestones!$AB$109&amp;" "&amp;Milestones!$AC$109&amp;";  ","")&amp;IF(AND(EDATE($D113,Milestones!$AA$110)&lt;=AsOfDate,IF($Q113=0,$W113,IF(AND($S113&lt;&gt;"",EDATE($D113,Milestones!$AA$110)&gt;=$S113),$V113,IF(AND($R113&lt;&gt;"",EDATE($D113,Milestones!$AA$110)&gt;=$R113),$U113,$T113)))=Milestones!$AB$110),TEXT(EDATE($D113,Milestones!$AA$110),"dd/mm/yy")&amp;" "&amp;Milestones!$AB$110&amp;" "&amp;Milestones!$AC$110&amp;";  ","")&amp;IF(AND(EDATE($D113,Milestones!$AA$111)&lt;=AsOfDate,IF($Q113=0,$W113,IF(AND($S113&lt;&gt;"",EDATE($D113,Milestones!$AA$111)&gt;=$S113),$V113,IF(AND($R113&lt;&gt;"",EDATE($D113,Milestones!$AA$111)&gt;=$R113),$U113,$T113)))=Milestones!$AB$111),TEXT(EDATE($D113,Milestones!$AA$111),"dd/mm/yy")&amp;" "&amp;Milestones!$AB$111&amp;" "&amp;Milestones!$AC$111&amp;";  ","")&amp;IF(AND(EDATE($D113,Milestones!$AA$112)&lt;=AsOfDate,IF($Q113=0,$W113,IF(AND($S113&lt;&gt;"",EDATE($D113,Milestones!$AA$112)&gt;=$S113),$V113,IF(AND($R113&lt;&gt;"",EDATE($D113,Milestones!$AA$112)&gt;=$R113),$U113,$T113)))=Milestones!$AB$112),TEXT(EDATE($D113,Milestones!$AA$112),"dd/mm/yy")&amp;" "&amp;Milestones!$AB$112&amp;" "&amp;Milestones!$AC$112&amp;";  ","")&amp;IF(AND(EDATE($D113,Milestones!$AA$113)&lt;=AsOfDate,IF($Q113=0,$W113,IF(AND($S113&lt;&gt;"",EDATE($D113,Milestones!$AA$113)&gt;=$S113),$V113,IF(AND($R113&lt;&gt;"",EDATE($D113,Milestones!$AA$113)&gt;=$R113),$U113,$T113)))=Milestones!$AB$113),TEXT(EDATE($D113,Milestones!$AA$113),"dd/mm/yy")&amp;" "&amp;Milestones!$AB$113&amp;" "&amp;Milestones!$AC$113&amp;";  ","")&amp;IF(AND(EDATE($D113,Milestones!$AA$114)&lt;=AsOfDate,IF($Q113=0,$W113,IF(AND($S113&lt;&gt;"",EDATE($D113,Milestones!$AA$114)&gt;=$S113),$V113,IF(AND($R113&lt;&gt;"",EDATE($D113,Milestones!$AA$114)&gt;=$R113),$U113,$T113)))=Milestones!$AB$114),TEXT(EDATE($D113,Milestones!$AA$114),"dd/mm/yy")&amp;" "&amp;Milestones!$AB$114&amp;" "&amp;Milestones!$AC$114&amp;";  ","")&amp;IF(AND(EDATE($D113,Milestones!$AA$115)&lt;=AsOfDate,IF($Q113=0,$W113,IF(AND($S113&lt;&gt;"",EDATE($D113,Milestones!$AA$115)&gt;=$S113),$V113,IF(AND($R113&lt;&gt;"",EDATE($D113,Milestones!$AA$115)&gt;=$R113),$U113,$T113)))=Milestones!$AB$115),TEXT(EDATE($D113,Milestones!$AA$115),"dd/mm/yy")&amp;" "&amp;Milestones!$AB$115&amp;" "&amp;Milestones!$AC$115&amp;";  ","")&amp;IF(AND(EDATE($D113,Milestones!$AA$116)&lt;=AsOfDate,IF($Q113=0,$W113,IF(AND($S113&lt;&gt;"",EDATE($D113,Milestones!$AA$116)&gt;=$S113),$V113,IF(AND($R113&lt;&gt;"",EDATE($D113,Milestones!$AA$116)&gt;=$R113),$U113,$T113)))=Milestones!$AB$116),TEXT(EDATE($D113,Milestones!$AA$116),"dd/mm/yy")&amp;" "&amp;Milestones!$AB$116&amp;" "&amp;Milestones!$AC$116&amp;";  ","")&amp;IF(AND(EDATE($D113,Milestones!$AA$117)&lt;=AsOfDate,IF($Q113=0,$W113,IF(AND($S113&lt;&gt;"",EDATE($D113,Milestones!$AA$117)&gt;=$S113),$V113,IF(AND($R113&lt;&gt;"",EDATE($D113,Milestones!$AA$117)&gt;=$R113),$U113,$T113)))=Milestones!$AB$117),TEXT(EDATE($D113,Milestones!$AA$117),"dd/mm/yy")&amp;" "&amp;Milestones!$AB$117&amp;" "&amp;Milestones!$AC$117&amp;";  ","")&amp;IF(AND(EDATE($D113,Milestones!$AA$118)&lt;=AsOfDate,IF($Q113=0,$W113,IF(AND($S113&lt;&gt;"",EDATE($D113,Milestones!$AA$118)&gt;=$S113),$V113,IF(AND($R113&lt;&gt;"",EDATE($D113,Milestones!$AA$118)&gt;=$R113),$U113,$T113)))=Milestones!$AB$118),TEXT(EDATE($D113,Milestones!$AA$118),"dd/mm/yy")&amp;" "&amp;Milestones!$AB$118&amp;" "&amp;Milestones!$AC$118&amp;";  ","")&amp;IF(AND(EDATE($D113,Milestones!$AA$119)&lt;=AsOfDate,IF($Q113=0,$W113,IF(AND($S113&lt;&gt;"",EDATE($D113,Milestones!$AA$119)&gt;=$S113),$V113,IF(AND($R113&lt;&gt;"",EDATE($D113,Milestones!$AA$119)&gt;=$R113),$U113,$T113)))=Milestones!$AB$119),TEXT(EDATE($D113,Milestones!$AA$119),"dd/mm/yy")&amp;" "&amp;Milestones!$AB$119&amp;" "&amp;Milestones!$AC$119&amp;";  ",""))</f>
        <v/>
      </c>
      <c r="M113" s="0" t="str">
        <f aca="false">IF(OR($A113="",$D113=""),"",IF(AND(EDATE($D113,Milestones!$AA$120)&lt;=AsOfDate,IF($Q113=0,$W113,IF(AND($S113&lt;&gt;"",EDATE($D113,Milestones!$AA$120)&gt;=$S113),$V113,IF(AND($R113&lt;&gt;"",EDATE($D113,Milestones!$AA$120)&gt;=$R113),$U113,$T113)))=Milestones!$AB$120),TEXT(EDATE($D113,Milestones!$AA$120),"dd/mm/yy")&amp;" "&amp;Milestones!$AB$120&amp;" "&amp;Milestones!$AC$120&amp;";  ","")&amp;IF(AND(EDATE($D113,Milestones!$AA$121)&lt;=AsOfDate,IF($Q113=0,$W113,IF(AND($S113&lt;&gt;"",EDATE($D113,Milestones!$AA$121)&gt;=$S113),$V113,IF(AND($R113&lt;&gt;"",EDATE($D113,Milestones!$AA$121)&gt;=$R113),$U113,$T113)))=Milestones!$AB$121),TEXT(EDATE($D113,Milestones!$AA$121),"dd/mm/yy")&amp;" "&amp;Milestones!$AB$121&amp;" "&amp;Milestones!$AC$121&amp;";  ","")&amp;IF(AND(EDATE($D113,Milestones!$AA$122)&lt;=AsOfDate,IF($Q113=0,$W113,IF(AND($S113&lt;&gt;"",EDATE($D113,Milestones!$AA$122)&gt;=$S113),$V113,IF(AND($R113&lt;&gt;"",EDATE($D113,Milestones!$AA$122)&gt;=$R113),$U113,$T113)))=Milestones!$AB$122),TEXT(EDATE($D113,Milestones!$AA$122),"dd/mm/yy")&amp;" "&amp;Milestones!$AB$122&amp;" "&amp;Milestones!$AC$122&amp;";  ","")&amp;IF(AND(EDATE($D113,Milestones!$AA$123)&lt;=AsOfDate,IF($Q113=0,$W113,IF(AND($S113&lt;&gt;"",EDATE($D113,Milestones!$AA$123)&gt;=$S113),$V113,IF(AND($R113&lt;&gt;"",EDATE($D113,Milestones!$AA$123)&gt;=$R113),$U113,$T113)))=Milestones!$AB$123),TEXT(EDATE($D113,Milestones!$AA$123),"dd/mm/yy")&amp;" "&amp;Milestones!$AB$123&amp;" "&amp;Milestones!$AC$123&amp;";  ","")&amp;IF(AND(EDATE($D113,Milestones!$AA$124)&lt;=AsOfDate,IF($Q113=0,$W113,IF(AND($S113&lt;&gt;"",EDATE($D113,Milestones!$AA$124)&gt;=$S113),$V113,IF(AND($R113&lt;&gt;"",EDATE($D113,Milestones!$AA$124)&gt;=$R113),$U113,$T113)))=Milestones!$AB$124),TEXT(EDATE($D113,Milestones!$AA$124),"dd/mm/yy")&amp;" "&amp;Milestones!$AB$124&amp;" "&amp;Milestones!$AC$124&amp;";  ","")&amp;IF(AND(EDATE($D113,Milestones!$AA$125)&lt;=AsOfDate,IF($Q113=0,$W113,IF(AND($S113&lt;&gt;"",EDATE($D113,Milestones!$AA$125)&gt;=$S113),$V113,IF(AND($R113&lt;&gt;"",EDATE($D113,Milestones!$AA$125)&gt;=$R113),$U113,$T113)))=Milestones!$AB$125),TEXT(EDATE($D113,Milestones!$AA$125),"dd/mm/yy")&amp;" "&amp;Milestones!$AB$125&amp;" "&amp;Milestones!$AC$125&amp;";  ","")&amp;IF(AND(EDATE($D113,Milestones!$AA$126)&lt;=AsOfDate,IF($Q113=0,$W113,IF(AND($S113&lt;&gt;"",EDATE($D113,Milestones!$AA$126)&gt;=$S113),$V113,IF(AND($R113&lt;&gt;"",EDATE($D113,Milestones!$AA$126)&gt;=$R113),$U113,$T113)))=Milestones!$AB$126),TEXT(EDATE($D113,Milestones!$AA$126),"dd/mm/yy")&amp;" "&amp;Milestones!$AB$126&amp;" "&amp;Milestones!$AC$126&amp;";  ","")&amp;IF(AND(EDATE($D113,Milestones!$AA$127)&lt;=AsOfDate,IF($Q113=0,$W113,IF(AND($S113&lt;&gt;"",EDATE($D113,Milestones!$AA$127)&gt;=$S113),$V113,IF(AND($R113&lt;&gt;"",EDATE($D113,Milestones!$AA$127)&gt;=$R113),$U113,$T113)))=Milestones!$AB$127),TEXT(EDATE($D113,Milestones!$AA$127),"dd/mm/yy")&amp;" "&amp;Milestones!$AB$127&amp;" "&amp;Milestones!$AC$127&amp;";  ","")&amp;IF(AND(EDATE($D113,Milestones!$AA$128)&lt;=AsOfDate,IF($Q113=0,$W113,IF(AND($S113&lt;&gt;"",EDATE($D113,Milestones!$AA$128)&gt;=$S113),$V113,IF(AND($R113&lt;&gt;"",EDATE($D113,Milestones!$AA$128)&gt;=$R113),$U113,$T113)))=Milestones!$AB$128),TEXT(EDATE($D113,Milestones!$AA$128),"dd/mm/yy")&amp;" "&amp;Milestones!$AB$128&amp;" "&amp;Milestones!$AC$128&amp;";  ","")&amp;IF(AND(EDATE($D113,Milestones!$AA$129)&lt;=AsOfDate,IF($Q113=0,$W113,IF(AND($S113&lt;&gt;"",EDATE($D113,Milestones!$AA$129)&gt;=$S113),$V113,IF(AND($R113&lt;&gt;"",EDATE($D113,Milestones!$AA$129)&gt;=$R113),$U113,$T113)))=Milestones!$AB$129),TEXT(EDATE($D113,Milestones!$AA$129),"dd/mm/yy")&amp;" "&amp;Milestones!$AB$129&amp;" "&amp;Milestones!$AC$129&amp;";  ","")&amp;IF(AND(EDATE($D113,Milestones!$AA$130)&lt;=AsOfDate,IF($Q113=0,$W113,IF(AND($S113&lt;&gt;"",EDATE($D113,Milestones!$AA$130)&gt;=$S113),$V113,IF(AND($R113&lt;&gt;"",EDATE($D113,Milestones!$AA$130)&gt;=$R113),$U113,$T113)))=Milestones!$AB$130),TEXT(EDATE($D113,Milestones!$AA$130),"dd/mm/yy")&amp;" "&amp;Milestones!$AB$130&amp;" "&amp;Milestones!$AC$130&amp;";  ","")&amp;IF(AND(EDATE($D113,Milestones!$AA$131)&lt;=AsOfDate,IF($Q113=0,$W113,IF(AND($S113&lt;&gt;"",EDATE($D113,Milestones!$AA$131)&gt;=$S113),$V113,IF(AND($R113&lt;&gt;"",EDATE($D113,Milestones!$AA$131)&gt;=$R113),$U113,$T113)))=Milestones!$AB$131),TEXT(EDATE($D113,Milestones!$AA$131),"dd/mm/yy")&amp;" "&amp;Milestones!$AB$131&amp;" "&amp;Milestones!$AC$131&amp;";  ","")&amp;IF(AND(EDATE($D113,Milestones!$AA$132)&lt;=AsOfDate,IF($Q113=0,$W113,IF(AND($S113&lt;&gt;"",EDATE($D113,Milestones!$AA$132)&gt;=$S113),$V113,IF(AND($R113&lt;&gt;"",EDATE($D113,Milestones!$AA$132)&gt;=$R113),$U113,$T113)))=Milestones!$AB$132),TEXT(EDATE($D113,Milestones!$AA$132),"dd/mm/yy")&amp;" "&amp;Milestones!$AB$132&amp;" "&amp;Milestones!$AC$132&amp;";  ","")&amp;IF(AND(EDATE($D113,Milestones!$AA$133)&lt;=AsOfDate,IF($Q113=0,$W113,IF(AND($S113&lt;&gt;"",EDATE($D113,Milestones!$AA$133)&gt;=$S113),$V113,IF(AND($R113&lt;&gt;"",EDATE($D113,Milestones!$AA$133)&gt;=$R113),$U113,$T113)))=Milestones!$AB$133),TEXT(EDATE($D113,Milestones!$AA$133),"dd/mm/yy")&amp;" "&amp;Milestones!$AB$133&amp;" "&amp;Milestones!$AC$133&amp;";  ","")&amp;IF(AND(EDATE($D113,Milestones!$AA$134)&lt;=AsOfDate,IF($Q113=0,$W113,IF(AND($S113&lt;&gt;"",EDATE($D113,Milestones!$AA$134)&gt;=$S113),$V113,IF(AND($R113&lt;&gt;"",EDATE($D113,Milestones!$AA$134)&gt;=$R113),$U113,$T113)))=Milestones!$AB$134),TEXT(EDATE($D113,Milestones!$AA$134),"dd/mm/yy")&amp;" "&amp;Milestones!$AB$134&amp;" "&amp;Milestones!$AC$134&amp;";  ","")&amp;IF(AND(EDATE($D113,Milestones!$AA$135)&lt;=AsOfDate,IF($Q113=0,$W113,IF(AND($S113&lt;&gt;"",EDATE($D113,Milestones!$AA$135)&gt;=$S113),$V113,IF(AND($R113&lt;&gt;"",EDATE($D113,Milestones!$AA$135)&gt;=$R113),$U113,$T113)))=Milestones!$AB$135),TEXT(EDATE($D113,Milestones!$AA$135),"dd/mm/yy")&amp;" "&amp;Milestones!$AB$135&amp;" "&amp;Milestones!$AC$135&amp;";  ","")&amp;IF(AND(EDATE($D113,Milestones!$AA$136)&lt;=AsOfDate,IF($Q113=0,$W113,IF(AND($S113&lt;&gt;"",EDATE($D113,Milestones!$AA$136)&gt;=$S113),$V113,IF(AND($R113&lt;&gt;"",EDATE($D113,Milestones!$AA$136)&gt;=$R113),$U113,$T113)))=Milestones!$AB$136),TEXT(EDATE($D113,Milestones!$AA$136),"dd/mm/yy")&amp;" "&amp;Milestones!$AB$136&amp;" "&amp;Milestones!$AC$136&amp;";  ","")&amp;IF(AND(EDATE($D113,Milestones!$AA$137)&lt;=AsOfDate,IF($Q113=0,$W113,IF(AND($S113&lt;&gt;"",EDATE($D113,Milestones!$AA$137)&gt;=$S113),$V113,IF(AND($R113&lt;&gt;"",EDATE($D113,Milestones!$AA$137)&gt;=$R113),$U113,$T113)))=Milestones!$AB$137),TEXT(EDATE($D113,Milestones!$AA$137),"dd/mm/yy")&amp;" "&amp;Milestones!$AB$137&amp;" "&amp;Milestones!$AC$137&amp;";  ","")&amp;IF(AND(EDATE($D113,Milestones!$AA$138)&lt;=AsOfDate,IF($Q113=0,$W113,IF(AND($S113&lt;&gt;"",EDATE($D113,Milestones!$AA$138)&gt;=$S113),$V113,IF(AND($R113&lt;&gt;"",EDATE($D113,Milestones!$AA$138)&gt;=$R113),$U113,$T113)))=Milestones!$AB$138),TEXT(EDATE($D113,Milestones!$AA$138),"dd/mm/yy")&amp;" "&amp;Milestones!$AB$138&amp;" "&amp;Milestones!$AC$138&amp;";  ","")&amp;IF(AND(EDATE($D113,Milestones!$AA$139)&lt;=AsOfDate,IF($Q113=0,$W113,IF(AND($S113&lt;&gt;"",EDATE($D113,Milestones!$AA$139)&gt;=$S113),$V113,IF(AND($R113&lt;&gt;"",EDATE($D113,Milestones!$AA$139)&gt;=$R113),$U113,$T113)))=Milestones!$AB$139),TEXT(EDATE($D113,Milestones!$AA$139),"dd/mm/yy")&amp;" "&amp;Milestones!$AB$139&amp;" "&amp;Milestones!$AC$139&amp;";  ",""))</f>
        <v/>
      </c>
      <c r="N113" s="0" t="str">
        <f aca="false">IF(OR($A113="",$D113=""),"",IF(AND(EDATE($D113,Milestones!$AA$140)&lt;=AsOfDate,IF($Q113=0,$W113,IF(AND($S113&lt;&gt;"",EDATE($D113,Milestones!$AA$140)&gt;=$S113),$V113,IF(AND($R113&lt;&gt;"",EDATE($D113,Milestones!$AA$140)&gt;=$R113),$U113,$T113)))=Milestones!$AB$140),TEXT(EDATE($D113,Milestones!$AA$140),"dd/mm/yy")&amp;" "&amp;Milestones!$AB$140&amp;" "&amp;Milestones!$AC$140&amp;";  ","")&amp;IF(AND(EDATE($D113,Milestones!$AA$141)&lt;=AsOfDate,IF($Q113=0,$W113,IF(AND($S113&lt;&gt;"",EDATE($D113,Milestones!$AA$141)&gt;=$S113),$V113,IF(AND($R113&lt;&gt;"",EDATE($D113,Milestones!$AA$141)&gt;=$R113),$U113,$T113)))=Milestones!$AB$141),TEXT(EDATE($D113,Milestones!$AA$141),"dd/mm/yy")&amp;" "&amp;Milestones!$AB$141&amp;" "&amp;Milestones!$AC$141&amp;";  ","")&amp;IF(AND(EDATE($D113,Milestones!$AA$142)&lt;=AsOfDate,IF($Q113=0,$W113,IF(AND($S113&lt;&gt;"",EDATE($D113,Milestones!$AA$142)&gt;=$S113),$V113,IF(AND($R113&lt;&gt;"",EDATE($D113,Milestones!$AA$142)&gt;=$R113),$U113,$T113)))=Milestones!$AB$142),TEXT(EDATE($D113,Milestones!$AA$142),"dd/mm/yy")&amp;" "&amp;Milestones!$AB$142&amp;" "&amp;Milestones!$AC$142&amp;";  ","")&amp;IF(AND(EDATE($D113,Milestones!$AA$143)&lt;=AsOfDate,IF($Q113=0,$W113,IF(AND($S113&lt;&gt;"",EDATE($D113,Milestones!$AA$143)&gt;=$S113),$V113,IF(AND($R113&lt;&gt;"",EDATE($D113,Milestones!$AA$143)&gt;=$R113),$U113,$T113)))=Milestones!$AB$143),TEXT(EDATE($D113,Milestones!$AA$143),"dd/mm/yy")&amp;" "&amp;Milestones!$AB$143&amp;" "&amp;Milestones!$AC$143&amp;";  ","")&amp;IF(AND(EDATE($D113,Milestones!$AA$144)&lt;=AsOfDate,IF($Q113=0,$W113,IF(AND($S113&lt;&gt;"",EDATE($D113,Milestones!$AA$144)&gt;=$S113),$V113,IF(AND($R113&lt;&gt;"",EDATE($D113,Milestones!$AA$144)&gt;=$R113),$U113,$T113)))=Milestones!$AB$144),TEXT(EDATE($D113,Milestones!$AA$144),"dd/mm/yy")&amp;" "&amp;Milestones!$AB$144&amp;" "&amp;Milestones!$AC$144&amp;";  ","")&amp;IF(AND(EDATE($D113,Milestones!$AA$145)&lt;=AsOfDate,IF($Q113=0,$W113,IF(AND($S113&lt;&gt;"",EDATE($D113,Milestones!$AA$145)&gt;=$S113),$V113,IF(AND($R113&lt;&gt;"",EDATE($D113,Milestones!$AA$145)&gt;=$R113),$U113,$T113)))=Milestones!$AB$145),TEXT(EDATE($D113,Milestones!$AA$145),"dd/mm/yy")&amp;" "&amp;Milestones!$AB$145&amp;" "&amp;Milestones!$AC$145&amp;";  ","")&amp;IF(AND(EDATE($D113,Milestones!$AA$146)&lt;=AsOfDate,IF($Q113=0,$W113,IF(AND($S113&lt;&gt;"",EDATE($D113,Milestones!$AA$146)&gt;=$S113),$V113,IF(AND($R113&lt;&gt;"",EDATE($D113,Milestones!$AA$146)&gt;=$R113),$U113,$T113)))=Milestones!$AB$146),TEXT(EDATE($D113,Milestones!$AA$146),"dd/mm/yy")&amp;" "&amp;Milestones!$AB$146&amp;" "&amp;Milestones!$AC$146&amp;";  ","")&amp;IF(AND(EDATE($D113,Milestones!$AA$147)&lt;=AsOfDate,IF($Q113=0,$W113,IF(AND($S113&lt;&gt;"",EDATE($D113,Milestones!$AA$147)&gt;=$S113),$V113,IF(AND($R113&lt;&gt;"",EDATE($D113,Milestones!$AA$147)&gt;=$R113),$U113,$T113)))=Milestones!$AB$147),TEXT(EDATE($D113,Milestones!$AA$147),"dd/mm/yy")&amp;" "&amp;Milestones!$AB$147&amp;" "&amp;Milestones!$AC$147&amp;";  ","")&amp;IF(AND(EDATE($D113,Milestones!$AA$148)&lt;=AsOfDate,IF($Q113=0,$W113,IF(AND($S113&lt;&gt;"",EDATE($D113,Milestones!$AA$148)&gt;=$S113),$V113,IF(AND($R113&lt;&gt;"",EDATE($D113,Milestones!$AA$148)&gt;=$R113),$U113,$T113)))=Milestones!$AB$148),TEXT(EDATE($D113,Milestones!$AA$148),"dd/mm/yy")&amp;" "&amp;Milestones!$AB$148&amp;" "&amp;Milestones!$AC$148&amp;";  ","")&amp;IF(AND(EDATE($D113,Milestones!$AA$149)&lt;=AsOfDate,IF($Q113=0,$W113,IF(AND($S113&lt;&gt;"",EDATE($D113,Milestones!$AA$149)&gt;=$S113),$V113,IF(AND($R113&lt;&gt;"",EDATE($D113,Milestones!$AA$149)&gt;=$R113),$U113,$T113)))=Milestones!$AB$149),TEXT(EDATE($D113,Milestones!$AA$149),"dd/mm/yy")&amp;" "&amp;Milestones!$AB$149&amp;" "&amp;Milestones!$AC$149&amp;";  ","")&amp;IF(AND(EDATE($D113,Milestones!$AA$150)&lt;=AsOfDate,IF($Q113=0,$W113,IF(AND($S113&lt;&gt;"",EDATE($D113,Milestones!$AA$150)&gt;=$S113),$V113,IF(AND($R113&lt;&gt;"",EDATE($D113,Milestones!$AA$150)&gt;=$R113),$U113,$T113)))=Milestones!$AB$150),TEXT(EDATE($D113,Milestones!$AA$150),"dd/mm/yy")&amp;" "&amp;Milestones!$AB$150&amp;" "&amp;Milestones!$AC$150&amp;";  ","")&amp;IF(AND(EDATE($D113,Milestones!$AA$151)&lt;=AsOfDate,IF($Q113=0,$W113,IF(AND($S113&lt;&gt;"",EDATE($D113,Milestones!$AA$151)&gt;=$S113),$V113,IF(AND($R113&lt;&gt;"",EDATE($D113,Milestones!$AA$151)&gt;=$R113),$U113,$T113)))=Milestones!$AB$151),TEXT(EDATE($D113,Milestones!$AA$151),"dd/mm/yy")&amp;" "&amp;Milestones!$AB$151&amp;" "&amp;Milestones!$AC$151&amp;";  ","")&amp;IF(AND(EDATE($D113,Milestones!$AA$152)&lt;=AsOfDate,IF($Q113=0,$W113,IF(AND($S113&lt;&gt;"",EDATE($D113,Milestones!$AA$152)&gt;=$S113),$V113,IF(AND($R113&lt;&gt;"",EDATE($D113,Milestones!$AA$152)&gt;=$R113),$U113,$T113)))=Milestones!$AB$152),TEXT(EDATE($D113,Milestones!$AA$152),"dd/mm/yy")&amp;" "&amp;Milestones!$AB$152&amp;" "&amp;Milestones!$AC$152&amp;";  ","")&amp;IF(AND(EDATE($D113,Milestones!$AA$153)&lt;=AsOfDate,IF($Q113=0,$W113,IF(AND($S113&lt;&gt;"",EDATE($D113,Milestones!$AA$153)&gt;=$S113),$V113,IF(AND($R113&lt;&gt;"",EDATE($D113,Milestones!$AA$153)&gt;=$R113),$U113,$T113)))=Milestones!$AB$153),TEXT(EDATE($D113,Milestones!$AA$153),"dd/mm/yy")&amp;" "&amp;Milestones!$AB$153&amp;" "&amp;Milestones!$AC$153&amp;";  ","")&amp;IF(AND(EDATE($D113,Milestones!$AA$154)&lt;=AsOfDate,IF($Q113=0,$W113,IF(AND($S113&lt;&gt;"",EDATE($D113,Milestones!$AA$154)&gt;=$S113),$V113,IF(AND($R113&lt;&gt;"",EDATE($D113,Milestones!$AA$154)&gt;=$R113),$U113,$T113)))=Milestones!$AB$154),TEXT(EDATE($D113,Milestones!$AA$154),"dd/mm/yy")&amp;" "&amp;Milestones!$AB$154&amp;" "&amp;Milestones!$AC$154&amp;";  ","")&amp;IF(AND(EDATE($D113,Milestones!$AA$155)&lt;=AsOfDate,IF($Q113=0,$W113,IF(AND($S113&lt;&gt;"",EDATE($D113,Milestones!$AA$155)&gt;=$S113),$V113,IF(AND($R113&lt;&gt;"",EDATE($D113,Milestones!$AA$155)&gt;=$R113),$U113,$T113)))=Milestones!$AB$155),TEXT(EDATE($D113,Milestones!$AA$155),"dd/mm/yy")&amp;" "&amp;Milestones!$AB$155&amp;" "&amp;Milestones!$AC$155&amp;";  ","")&amp;IF(AND(EDATE($D113,Milestones!$AA$156)&lt;=AsOfDate,IF($Q113=0,$W113,IF(AND($S113&lt;&gt;"",EDATE($D113,Milestones!$AA$156)&gt;=$S113),$V113,IF(AND($R113&lt;&gt;"",EDATE($D113,Milestones!$AA$156)&gt;=$R113),$U113,$T113)))=Milestones!$AB$156),TEXT(EDATE($D113,Milestones!$AA$156),"dd/mm/yy")&amp;" "&amp;Milestones!$AB$156&amp;" "&amp;Milestones!$AC$156&amp;";  ","")&amp;IF(AND(EDATE($D113,Milestones!$AA$157)&lt;=AsOfDate,IF($Q113=0,$W113,IF(AND($S113&lt;&gt;"",EDATE($D113,Milestones!$AA$157)&gt;=$S113),$V113,IF(AND($R113&lt;&gt;"",EDATE($D113,Milestones!$AA$157)&gt;=$R113),$U113,$T113)))=Milestones!$AB$157),TEXT(EDATE($D113,Milestones!$AA$157),"dd/mm/yy")&amp;" "&amp;Milestones!$AB$157&amp;" "&amp;Milestones!$AC$157&amp;";  ","")&amp;IF(AND(EDATE($D113,Milestones!$AA$158)&lt;=AsOfDate,IF($Q113=0,$W113,IF(AND($S113&lt;&gt;"",EDATE($D113,Milestones!$AA$158)&gt;=$S113),$V113,IF(AND($R113&lt;&gt;"",EDATE($D113,Milestones!$AA$158)&gt;=$R113),$U113,$T113)))=Milestones!$AB$158),TEXT(EDATE($D113,Milestones!$AA$158),"dd/mm/yy")&amp;" "&amp;Milestones!$AB$158&amp;" "&amp;Milestones!$AC$158&amp;";  ","")&amp;IF(AND(EDATE($D113,Milestones!$AA$159)&lt;=AsOfDate,IF($Q113=0,$W113,IF(AND($S113&lt;&gt;"",EDATE($D113,Milestones!$AA$159)&gt;=$S113),$V113,IF(AND($R113&lt;&gt;"",EDATE($D113,Milestones!$AA$159)&gt;=$R113),$U113,$T113)))=Milestones!$AB$159),TEXT(EDATE($D113,Milestones!$AA$159),"dd/mm/yy")&amp;" "&amp;Milestones!$AB$159&amp;" "&amp;Milestones!$AC$159&amp;";  ",""))</f>
        <v/>
      </c>
      <c r="O113" s="0" t="str">
        <f aca="false">IF(OR($A113="",$D113=""),"",IF(AND(EDATE($D113,Milestones!$AA$160)&lt;=AsOfDate,IF($Q113=0,$W113,IF(AND($S113&lt;&gt;"",EDATE($D113,Milestones!$AA$160)&gt;=$S113),$V113,IF(AND($R113&lt;&gt;"",EDATE($D113,Milestones!$AA$160)&gt;=$R113),$U113,$T113)))=Milestones!$AB$160),TEXT(EDATE($D113,Milestones!$AA$160),"dd/mm/yy")&amp;" "&amp;Milestones!$AB$160&amp;" "&amp;Milestones!$AC$160&amp;";  ","")&amp;IF(AND(EDATE($D113,Milestones!$AA$161)&lt;=AsOfDate,IF($Q113=0,$W113,IF(AND($S113&lt;&gt;"",EDATE($D113,Milestones!$AA$161)&gt;=$S113),$V113,IF(AND($R113&lt;&gt;"",EDATE($D113,Milestones!$AA$161)&gt;=$R113),$U113,$T113)))=Milestones!$AB$161),TEXT(EDATE($D113,Milestones!$AA$161),"dd/mm/yy")&amp;" "&amp;Milestones!$AB$161&amp;" "&amp;Milestones!$AC$161&amp;";  ","")&amp;IF(AND(EDATE($D113,Milestones!$AA$162)&lt;=AsOfDate,IF($Q113=0,$W113,IF(AND($S113&lt;&gt;"",EDATE($D113,Milestones!$AA$162)&gt;=$S113),$V113,IF(AND($R113&lt;&gt;"",EDATE($D113,Milestones!$AA$162)&gt;=$R113),$U113,$T113)))=Milestones!$AB$162),TEXT(EDATE($D113,Milestones!$AA$162),"dd/mm/yy")&amp;" "&amp;Milestones!$AB$162&amp;" "&amp;Milestones!$AC$162&amp;";  ","")&amp;IF(AND(EDATE($D113,Milestones!$AA$163)&lt;=AsOfDate,IF($Q113=0,$W113,IF(AND($S113&lt;&gt;"",EDATE($D113,Milestones!$AA$163)&gt;=$S113),$V113,IF(AND($R113&lt;&gt;"",EDATE($D113,Milestones!$AA$163)&gt;=$R113),$U113,$T113)))=Milestones!$AB$163),TEXT(EDATE($D113,Milestones!$AA$163),"dd/mm/yy")&amp;" "&amp;Milestones!$AB$163&amp;" "&amp;Milestones!$AC$163&amp;";  ","")&amp;IF(AND(EDATE($D113,Milestones!$AA$164)&lt;=AsOfDate,IF($Q113=0,$W113,IF(AND($S113&lt;&gt;"",EDATE($D113,Milestones!$AA$164)&gt;=$S113),$V113,IF(AND($R113&lt;&gt;"",EDATE($D113,Milestones!$AA$164)&gt;=$R113),$U113,$T113)))=Milestones!$AB$164),TEXT(EDATE($D113,Milestones!$AA$164),"dd/mm/yy")&amp;" "&amp;Milestones!$AB$164&amp;" "&amp;Milestones!$AC$164&amp;";  ","")&amp;IF(AND(EDATE($D113,Milestones!$AA$165)&lt;=AsOfDate,IF($Q113=0,$W113,IF(AND($S113&lt;&gt;"",EDATE($D113,Milestones!$AA$165)&gt;=$S113),$V113,IF(AND($R113&lt;&gt;"",EDATE($D113,Milestones!$AA$165)&gt;=$R113),$U113,$T113)))=Milestones!$AB$165),TEXT(EDATE($D113,Milestones!$AA$165),"dd/mm/yy")&amp;" "&amp;Milestones!$AB$165&amp;" "&amp;Milestones!$AC$165&amp;";  ","")&amp;IF(AND(EDATE($D113,Milestones!$AA$166)&lt;=AsOfDate,IF($Q113=0,$W113,IF(AND($S113&lt;&gt;"",EDATE($D113,Milestones!$AA$166)&gt;=$S113),$V113,IF(AND($R113&lt;&gt;"",EDATE($D113,Milestones!$AA$166)&gt;=$R113),$U113,$T113)))=Milestones!$AB$166),TEXT(EDATE($D113,Milestones!$AA$166),"dd/mm/yy")&amp;" "&amp;Milestones!$AB$166&amp;" "&amp;Milestones!$AC$166&amp;";  ","")&amp;IF(AND(EDATE($D113,Milestones!$AA$167)&lt;=AsOfDate,IF($Q113=0,$W113,IF(AND($S113&lt;&gt;"",EDATE($D113,Milestones!$AA$167)&gt;=$S113),$V113,IF(AND($R113&lt;&gt;"",EDATE($D113,Milestones!$AA$167)&gt;=$R113),$U113,$T113)))=Milestones!$AB$167),TEXT(EDATE($D113,Milestones!$AA$167),"dd/mm/yy")&amp;" "&amp;Milestones!$AB$167&amp;" "&amp;Milestones!$AC$167&amp;";  ","")&amp;IF(AND(EDATE($D113,Milestones!$AA$168)&lt;=AsOfDate,IF($Q113=0,$W113,IF(AND($S113&lt;&gt;"",EDATE($D113,Milestones!$AA$168)&gt;=$S113),$V113,IF(AND($R113&lt;&gt;"",EDATE($D113,Milestones!$AA$168)&gt;=$R113),$U113,$T113)))=Milestones!$AB$168),TEXT(EDATE($D113,Milestones!$AA$168),"dd/mm/yy")&amp;" "&amp;Milestones!$AB$168&amp;" "&amp;Milestones!$AC$168&amp;";  ","")&amp;IF(AND(EDATE($D113,Milestones!$AA$169)&lt;=AsOfDate,IF($Q113=0,$W113,IF(AND($S113&lt;&gt;"",EDATE($D113,Milestones!$AA$169)&gt;=$S113),$V113,IF(AND($R113&lt;&gt;"",EDATE($D113,Milestones!$AA$169)&gt;=$R113),$U113,$T113)))=Milestones!$AB$169),TEXT(EDATE($D113,Milestones!$AA$169),"dd/mm/yy")&amp;" "&amp;Milestones!$AB$169&amp;" "&amp;Milestones!$AC$169&amp;";  ","")&amp;IF(AND(EDATE($D113,Milestones!$AA$170)&lt;=AsOfDate,IF($Q113=0,$W113,IF(AND($S113&lt;&gt;"",EDATE($D113,Milestones!$AA$170)&gt;=$S113),$V113,IF(AND($R113&lt;&gt;"",EDATE($D113,Milestones!$AA$170)&gt;=$R113),$U113,$T113)))=Milestones!$AB$170),TEXT(EDATE($D113,Milestones!$AA$170),"dd/mm/yy")&amp;" "&amp;Milestones!$AB$170&amp;" "&amp;Milestones!$AC$170&amp;";  ","")&amp;IF(AND(EDATE($D113,Milestones!$AA$171)&lt;=AsOfDate,IF($Q113=0,$W113,IF(AND($S113&lt;&gt;"",EDATE($D113,Milestones!$AA$171)&gt;=$S113),$V113,IF(AND($R113&lt;&gt;"",EDATE($D113,Milestones!$AA$171)&gt;=$R113),$U113,$T113)))=Milestones!$AB$171),TEXT(EDATE($D113,Milestones!$AA$171),"dd/mm/yy")&amp;" "&amp;Milestones!$AB$171&amp;" "&amp;Milestones!$AC$171&amp;";  ","")&amp;IF(AND(EDATE($D113,Milestones!$AA$172)&lt;=AsOfDate,IF($Q113=0,$W113,IF(AND($S113&lt;&gt;"",EDATE($D113,Milestones!$AA$172)&gt;=$S113),$V113,IF(AND($R113&lt;&gt;"",EDATE($D113,Milestones!$AA$172)&gt;=$R113),$U113,$T113)))=Milestones!$AB$172),TEXT(EDATE($D113,Milestones!$AA$172),"dd/mm/yy")&amp;" "&amp;Milestones!$AB$172&amp;" "&amp;Milestones!$AC$172&amp;";  ","")&amp;IF(AND(EDATE($D113,Milestones!$AA$173)&lt;=AsOfDate,IF($Q113=0,$W113,IF(AND($S113&lt;&gt;"",EDATE($D113,Milestones!$AA$173)&gt;=$S113),$V113,IF(AND($R113&lt;&gt;"",EDATE($D113,Milestones!$AA$173)&gt;=$R113),$U113,$T113)))=Milestones!$AB$173),TEXT(EDATE($D113,Milestones!$AA$173),"dd/mm/yy")&amp;" "&amp;Milestones!$AB$173&amp;" "&amp;Milestones!$AC$173&amp;";  ","")&amp;IF(AND(EDATE($D113,Milestones!$AA$174)&lt;=AsOfDate,IF($Q113=0,$W113,IF(AND($S113&lt;&gt;"",EDATE($D113,Milestones!$AA$174)&gt;=$S113),$V113,IF(AND($R113&lt;&gt;"",EDATE($D113,Milestones!$AA$174)&gt;=$R113),$U113,$T113)))=Milestones!$AB$174),TEXT(EDATE($D113,Milestones!$AA$174),"dd/mm/yy")&amp;" "&amp;Milestones!$AB$174&amp;" "&amp;Milestones!$AC$174&amp;";  ","")&amp;IF(AND(EDATE($D113,Milestones!$AA$175)&lt;=AsOfDate,IF($Q113=0,$W113,IF(AND($S113&lt;&gt;"",EDATE($D113,Milestones!$AA$175)&gt;=$S113),$V113,IF(AND($R113&lt;&gt;"",EDATE($D113,Milestones!$AA$175)&gt;=$R113),$U113,$T113)))=Milestones!$AB$175),TEXT(EDATE($D113,Milestones!$AA$175),"dd/mm/yy")&amp;" "&amp;Milestones!$AB$175&amp;" "&amp;Milestones!$AC$175&amp;";  ","")&amp;IF(AND(EDATE($D113,Milestones!$AA$176)&lt;=AsOfDate,IF($Q113=0,$W113,IF(AND($S113&lt;&gt;"",EDATE($D113,Milestones!$AA$176)&gt;=$S113),$V113,IF(AND($R113&lt;&gt;"",EDATE($D113,Milestones!$AA$176)&gt;=$R113),$U113,$T113)))=Milestones!$AB$176),TEXT(EDATE($D113,Milestones!$AA$176),"dd/mm/yy")&amp;" "&amp;Milestones!$AB$176&amp;" "&amp;Milestones!$AC$176&amp;";  ","")&amp;IF(AND(EDATE($D113,Milestones!$AA$177)&lt;=AsOfDate,IF($Q113=0,$W113,IF(AND($S113&lt;&gt;"",EDATE($D113,Milestones!$AA$177)&gt;=$S113),$V113,IF(AND($R113&lt;&gt;"",EDATE($D113,Milestones!$AA$177)&gt;=$R113),$U113,$T113)))=Milestones!$AB$177),TEXT(EDATE($D113,Milestones!$AA$177),"dd/mm/yy")&amp;" "&amp;Milestones!$AB$177&amp;" "&amp;Milestones!$AC$177&amp;";  ","")&amp;IF(AND(EDATE($D113,Milestones!$AA$178)&lt;=AsOfDate,IF($Q113=0,$W113,IF(AND($S113&lt;&gt;"",EDATE($D113,Milestones!$AA$178)&gt;=$S113),$V113,IF(AND($R113&lt;&gt;"",EDATE($D113,Milestones!$AA$178)&gt;=$R113),$U113,$T113)))=Milestones!$AB$178),TEXT(EDATE($D113,Milestones!$AA$178),"dd/mm/yy")&amp;" "&amp;Milestones!$AB$178&amp;" "&amp;Milestones!$AC$178&amp;";  ","")&amp;IF(AND(EDATE($D113,Milestones!$AA$179)&lt;=AsOfDate,IF($Q113=0,$W113,IF(AND($S113&lt;&gt;"",EDATE($D113,Milestones!$AA$179)&gt;=$S113),$V113,IF(AND($R113&lt;&gt;"",EDATE($D113,Milestones!$AA$179)&gt;=$R113),$U113,$T113)))=Milestones!$AB$179),TEXT(EDATE($D113,Milestones!$AA$179),"dd/mm/yy")&amp;" "&amp;Milestones!$AB$179&amp;" "&amp;Milestones!$AC$179&amp;";  ",""))</f>
        <v/>
      </c>
      <c r="P113" s="0" t="str">
        <f aca="false">IF(OR($A113="",$D113=""),"",IF(AND(EDATE($D113,Milestones!$AA$180)&lt;=AsOfDate,IF($Q113=0,$W113,IF(AND($S113&lt;&gt;"",EDATE($D113,Milestones!$AA$180)&gt;=$S113),$V113,IF(AND($R113&lt;&gt;"",EDATE($D113,Milestones!$AA$180)&gt;=$R113),$U113,$T113)))=Milestones!$AB$180),TEXT(EDATE($D113,Milestones!$AA$180),"dd/mm/yy")&amp;" "&amp;Milestones!$AB$180&amp;" "&amp;Milestones!$AC$180&amp;";  ","")&amp;IF(AND(EDATE($D113,Milestones!$AA$181)&lt;=AsOfDate,IF($Q113=0,$W113,IF(AND($S113&lt;&gt;"",EDATE($D113,Milestones!$AA$181)&gt;=$S113),$V113,IF(AND($R113&lt;&gt;"",EDATE($D113,Milestones!$AA$181)&gt;=$R113),$U113,$T113)))=Milestones!$AB$181),TEXT(EDATE($D113,Milestones!$AA$181),"dd/mm/yy")&amp;" "&amp;Milestones!$AB$181&amp;" "&amp;Milestones!$AC$181&amp;";  ","")&amp;IF(AND(EDATE($D113,Milestones!$AA$182)&lt;=AsOfDate,IF($Q113=0,$W113,IF(AND($S113&lt;&gt;"",EDATE($D113,Milestones!$AA$182)&gt;=$S113),$V113,IF(AND($R113&lt;&gt;"",EDATE($D113,Milestones!$AA$182)&gt;=$R113),$U113,$T113)))=Milestones!$AB$182),TEXT(EDATE($D113,Milestones!$AA$182),"dd/mm/yy")&amp;" "&amp;Milestones!$AB$182&amp;" "&amp;Milestones!$AC$182&amp;";  ","")&amp;IF(AND(EDATE($D113,Milestones!$AA$183)&lt;=AsOfDate,IF($Q113=0,$W113,IF(AND($S113&lt;&gt;"",EDATE($D113,Milestones!$AA$183)&gt;=$S113),$V113,IF(AND($R113&lt;&gt;"",EDATE($D113,Milestones!$AA$183)&gt;=$R113),$U113,$T113)))=Milestones!$AB$183),TEXT(EDATE($D113,Milestones!$AA$183),"dd/mm/yy")&amp;" "&amp;Milestones!$AB$183&amp;" "&amp;Milestones!$AC$183&amp;";  ","")&amp;IF(AND(EDATE($D113,Milestones!$AA$184)&lt;=AsOfDate,IF($Q113=0,$W113,IF(AND($S113&lt;&gt;"",EDATE($D113,Milestones!$AA$184)&gt;=$S113),$V113,IF(AND($R113&lt;&gt;"",EDATE($D113,Milestones!$AA$184)&gt;=$R113),$U113,$T113)))=Milestones!$AB$184),TEXT(EDATE($D113,Milestones!$AA$184),"dd/mm/yy")&amp;" "&amp;Milestones!$AB$184&amp;" "&amp;Milestones!$AC$184&amp;";  ","")&amp;IF(AND(EDATE($D113,Milestones!$AA$185)&lt;=AsOfDate,IF($Q113=0,$W113,IF(AND($S113&lt;&gt;"",EDATE($D113,Milestones!$AA$185)&gt;=$S113),$V113,IF(AND($R113&lt;&gt;"",EDATE($D113,Milestones!$AA$185)&gt;=$R113),$U113,$T113)))=Milestones!$AB$185),TEXT(EDATE($D113,Milestones!$AA$185),"dd/mm/yy")&amp;" "&amp;Milestones!$AB$185&amp;" "&amp;Milestones!$AC$185&amp;";  ","")&amp;IF(AND(EDATE($D113,Milestones!$AA$186)&lt;=AsOfDate,IF($Q113=0,$W113,IF(AND($S113&lt;&gt;"",EDATE($D113,Milestones!$AA$186)&gt;=$S113),$V113,IF(AND($R113&lt;&gt;"",EDATE($D113,Milestones!$AA$186)&gt;=$R113),$U113,$T113)))=Milestones!$AB$186),TEXT(EDATE($D113,Milestones!$AA$186),"dd/mm/yy")&amp;" "&amp;Milestones!$AB$186&amp;" "&amp;Milestones!$AC$186&amp;";  ","")&amp;IF(AND(EDATE($D113,Milestones!$AA$187)&lt;=AsOfDate,IF($Q113=0,$W113,IF(AND($S113&lt;&gt;"",EDATE($D113,Milestones!$AA$187)&gt;=$S113),$V113,IF(AND($R113&lt;&gt;"",EDATE($D113,Milestones!$AA$187)&gt;=$R113),$U113,$T113)))=Milestones!$AB$187),TEXT(EDATE($D113,Milestones!$AA$187),"dd/mm/yy")&amp;" "&amp;Milestones!$AB$187&amp;" "&amp;Milestones!$AC$187&amp;";  ","")&amp;IF(AND(EDATE($D113,Milestones!$AA$188)&lt;=AsOfDate,IF($Q113=0,$W113,IF(AND($S113&lt;&gt;"",EDATE($D113,Milestones!$AA$188)&gt;=$S113),$V113,IF(AND($R113&lt;&gt;"",EDATE($D113,Milestones!$AA$188)&gt;=$R113),$U113,$T113)))=Milestones!$AB$188),TEXT(EDATE($D113,Milestones!$AA$188),"dd/mm/yy")&amp;" "&amp;Milestones!$AB$188&amp;" "&amp;Milestones!$AC$188&amp;";  ","")&amp;IF(AND(EDATE($D113,Milestones!$AA$189)&lt;=AsOfDate,IF($Q113=0,$W113,IF(AND($S113&lt;&gt;"",EDATE($D113,Milestones!$AA$189)&gt;=$S113),$V113,IF(AND($R113&lt;&gt;"",EDATE($D113,Milestones!$AA$189)&gt;=$R113),$U113,$T113)))=Milestones!$AB$189),TEXT(EDATE($D113,Milestones!$AA$189),"dd/mm/yy")&amp;" "&amp;Milestones!$AB$189&amp;" "&amp;Milestones!$AC$189&amp;";  ","")&amp;IF(AND(EDATE($D113,Milestones!$AA$190)&lt;=AsOfDate,IF($Q113=0,$W113,IF(AND($S113&lt;&gt;"",EDATE($D113,Milestones!$AA$190)&gt;=$S113),$V113,IF(AND($R113&lt;&gt;"",EDATE($D113,Milestones!$AA$190)&gt;=$R113),$U113,$T113)))=Milestones!$AB$190),TEXT(EDATE($D113,Milestones!$AA$190),"dd/mm/yy")&amp;" "&amp;Milestones!$AB$190&amp;" "&amp;Milestones!$AC$190&amp;";  ","")&amp;IF(AND(EDATE($D113,Milestones!$AA$191)&lt;=AsOfDate,IF($Q113=0,$W113,IF(AND($S113&lt;&gt;"",EDATE($D113,Milestones!$AA$191)&gt;=$S113),$V113,IF(AND($R113&lt;&gt;"",EDATE($D113,Milestones!$AA$191)&gt;=$R113),$U113,$T113)))=Milestones!$AB$191),TEXT(EDATE($D113,Milestones!$AA$191),"dd/mm/yy")&amp;" "&amp;Milestones!$AB$191&amp;" "&amp;Milestones!$AC$191&amp;";  ","")&amp;IF(AND(EDATE($D113,Milestones!$AA$192)&lt;=AsOfDate,IF($Q113=0,$W113,IF(AND($S113&lt;&gt;"",EDATE($D113,Milestones!$AA$192)&gt;=$S113),$V113,IF(AND($R113&lt;&gt;"",EDATE($D113,Milestones!$AA$192)&gt;=$R113),$U113,$T113)))=Milestones!$AB$192),TEXT(EDATE($D113,Milestones!$AA$192),"dd/mm/yy")&amp;" "&amp;Milestones!$AB$192&amp;" "&amp;Milestones!$AC$192&amp;";  ","")&amp;IF(AND(EDATE($D113,Milestones!$AA$193)&lt;=AsOfDate,IF($Q113=0,$W113,IF(AND($S113&lt;&gt;"",EDATE($D113,Milestones!$AA$193)&gt;=$S113),$V113,IF(AND($R113&lt;&gt;"",EDATE($D113,Milestones!$AA$193)&gt;=$R113),$U113,$T113)))=Milestones!$AB$193),TEXT(EDATE($D113,Milestones!$AA$193),"dd/mm/yy")&amp;" "&amp;Milestones!$AB$193&amp;" "&amp;Milestones!$AC$193&amp;";  ","")&amp;IF(AND(EDATE($D113,Milestones!$AA$194)&lt;=AsOfDate,IF($Q113=0,$W113,IF(AND($S113&lt;&gt;"",EDATE($D113,Milestones!$AA$194)&gt;=$S113),$V113,IF(AND($R113&lt;&gt;"",EDATE($D113,Milestones!$AA$194)&gt;=$R113),$U113,$T113)))=Milestones!$AB$194),TEXT(EDATE($D113,Milestones!$AA$194),"dd/mm/yy")&amp;" "&amp;Milestones!$AB$194&amp;" "&amp;Milestones!$AC$194&amp;";  ","")&amp;IF(AND(EDATE($D113,Milestones!$AA$195)&lt;=AsOfDate,IF($Q113=0,$W113,IF(AND($S113&lt;&gt;"",EDATE($D113,Milestones!$AA$195)&gt;=$S113),$V113,IF(AND($R113&lt;&gt;"",EDATE($D113,Milestones!$AA$195)&gt;=$R113),$U113,$T113)))=Milestones!$AB$195),TEXT(EDATE($D113,Milestones!$AA$195),"dd/mm/yy")&amp;" "&amp;Milestones!$AB$195&amp;" "&amp;Milestones!$AC$195&amp;";  ","")&amp;IF(AND(EDATE($D113,Milestones!$AA$196)&lt;=AsOfDate,IF($Q113=0,$W113,IF(AND($S113&lt;&gt;"",EDATE($D113,Milestones!$AA$196)&gt;=$S113),$V113,IF(AND($R113&lt;&gt;"",EDATE($D113,Milestones!$AA$196)&gt;=$R113),$U113,$T113)))=Milestones!$AB$196),TEXT(EDATE($D113,Milestones!$AA$196),"dd/mm/yy")&amp;" "&amp;Milestones!$AB$196&amp;" "&amp;Milestones!$AC$196&amp;";  ","")&amp;IF(AND(EDATE($D113,Milestones!$AA$197)&lt;=AsOfDate,IF($Q113=0,$W113,IF(AND($S113&lt;&gt;"",EDATE($D113,Milestones!$AA$197)&gt;=$S113),$V113,IF(AND($R113&lt;&gt;"",EDATE($D113,Milestones!$AA$197)&gt;=$R113),$U113,$T113)))=Milestones!$AB$197),TEXT(EDATE($D113,Milestones!$AA$197),"dd/mm/yy")&amp;" "&amp;Milestones!$AB$197&amp;" "&amp;Milestones!$AC$197&amp;";  ","")&amp;IF(AND(EDATE($D113,Milestones!$AA$198)&lt;=AsOfDate,IF($Q113=0,$W113,IF(AND($S113&lt;&gt;"",EDATE($D113,Milestones!$AA$198)&gt;=$S113),$V113,IF(AND($R113&lt;&gt;"",EDATE($D113,Milestones!$AA$198)&gt;=$R113),$U113,$T113)))=Milestones!$AB$198),TEXT(EDATE($D113,Milestones!$AA$198),"dd/mm/yy")&amp;" "&amp;Milestones!$AB$198&amp;" "&amp;Milestones!$AC$198&amp;";  ","")&amp;IF(AND(EDATE($D113,Milestones!$AA$199)&lt;=AsOfDate,IF($Q113=0,$W113,IF(AND($S113&lt;&gt;"",EDATE($D113,Milestones!$AA$199)&gt;=$S113),$V113,IF(AND($R113&lt;&gt;"",EDATE($D113,Milestones!$AA$199)&gt;=$R113),$U113,$T113)))=Milestones!$AB$199),TEXT(EDATE($D113,Milestones!$AA$199),"dd/mm/yy")&amp;" "&amp;Milestones!$AB$199&amp;" "&amp;Milestones!$AC$199&amp;";  ",""))</f>
        <v/>
      </c>
      <c r="Q113" s="0" t="str">
        <f aca="false">IF(Staff!$A113="","",Staff!$AG113)</f>
        <v/>
      </c>
      <c r="R113" s="0" t="str">
        <f aca="false">IF(Staff!$A113="","",Staff!$AI113)</f>
        <v/>
      </c>
      <c r="S113" s="0" t="str">
        <f aca="false">IF(Staff!$A113="","",Staff!$AJ113)</f>
        <v/>
      </c>
      <c r="T113" s="0" t="str">
        <f aca="false">IF(Staff!$A113="","",Staff!$AN113)</f>
        <v/>
      </c>
      <c r="U113" s="0" t="str">
        <f aca="false">IF(Staff!$A113="","",Staff!$AO113)</f>
        <v/>
      </c>
      <c r="V113" s="0" t="str">
        <f aca="false">IF(Staff!$A113="","",Staff!$AP113)</f>
        <v/>
      </c>
      <c r="W113" s="0" t="str">
        <f aca="false">IF(Staff!$A113="","",Staff!$AQ113)</f>
        <v/>
      </c>
    </row>
    <row r="114" customFormat="false" ht="15" hidden="false" customHeight="false" outlineLevel="0" collapsed="false">
      <c r="A114" s="13" t="str">
        <f aca="false">IF(Staff!$A114="","",Staff!$A114)</f>
        <v/>
      </c>
      <c r="B114" s="13" t="str">
        <f aca="false">IF(Staff!$A114="","",Staff!$B114)</f>
        <v/>
      </c>
      <c r="C114" s="13" t="str">
        <f aca="false">IF(Staff!$A114="","",Staff!$C114)</f>
        <v/>
      </c>
      <c r="D114" s="11" t="str">
        <f aca="false">IF(Staff!$A114="","",Staff!$AF114)</f>
        <v/>
      </c>
      <c r="E114" s="13" t="str">
        <f aca="false">IF(Staff!$A114="","",Staff!$O114)</f>
        <v/>
      </c>
      <c r="F114" s="13" t="str">
        <f aca="false">IF(E114="","",E114*HoursPerDay)</f>
        <v/>
      </c>
      <c r="G114" s="26" t="str">
        <f aca="false">IF($A114="","",H114&amp;I114&amp;J114&amp;K114&amp;L114&amp;M114&amp;N114&amp;O114&amp;P114)</f>
        <v/>
      </c>
      <c r="H114" s="0" t="str">
        <f aca="false">IF(OR($A114="",$D114=""),"",IF(AND(EDATE($D114,Milestones!$AA$20)&lt;=AsOfDate,IF($Q114=0,$W114,IF(AND($S114&lt;&gt;"",EDATE($D114,Milestones!$AA$20)&gt;=$S114),$V114,IF(AND($R114&lt;&gt;"",EDATE($D114,Milestones!$AA$20)&gt;=$R114),$U114,$T114)))=Milestones!$AB$20),TEXT(EDATE($D114,Milestones!$AA$20),"dd/mm/yy")&amp;" "&amp;Milestones!$AB$20&amp;" "&amp;Milestones!$AC$20&amp;";  ","")&amp;IF(AND(EDATE($D114,Milestones!$AA$21)&lt;=AsOfDate,IF($Q114=0,$W114,IF(AND($S114&lt;&gt;"",EDATE($D114,Milestones!$AA$21)&gt;=$S114),$V114,IF(AND($R114&lt;&gt;"",EDATE($D114,Milestones!$AA$21)&gt;=$R114),$U114,$T114)))=Milestones!$AB$21),TEXT(EDATE($D114,Milestones!$AA$21),"dd/mm/yy")&amp;" "&amp;Milestones!$AB$21&amp;" "&amp;Milestones!$AC$21&amp;";  ","")&amp;IF(AND(EDATE($D114,Milestones!$AA$22)&lt;=AsOfDate,IF($Q114=0,$W114,IF(AND($S114&lt;&gt;"",EDATE($D114,Milestones!$AA$22)&gt;=$S114),$V114,IF(AND($R114&lt;&gt;"",EDATE($D114,Milestones!$AA$22)&gt;=$R114),$U114,$T114)))=Milestones!$AB$22),TEXT(EDATE($D114,Milestones!$AA$22),"dd/mm/yy")&amp;" "&amp;Milestones!$AB$22&amp;" "&amp;Milestones!$AC$22&amp;";  ","")&amp;IF(AND(EDATE($D114,Milestones!$AA$23)&lt;=AsOfDate,IF($Q114=0,$W114,IF(AND($S114&lt;&gt;"",EDATE($D114,Milestones!$AA$23)&gt;=$S114),$V114,IF(AND($R114&lt;&gt;"",EDATE($D114,Milestones!$AA$23)&gt;=$R114),$U114,$T114)))=Milestones!$AB$23),TEXT(EDATE($D114,Milestones!$AA$23),"dd/mm/yy")&amp;" "&amp;Milestones!$AB$23&amp;" "&amp;Milestones!$AC$23&amp;";  ","")&amp;IF(AND(EDATE($D114,Milestones!$AA$24)&lt;=AsOfDate,IF($Q114=0,$W114,IF(AND($S114&lt;&gt;"",EDATE($D114,Milestones!$AA$24)&gt;=$S114),$V114,IF(AND($R114&lt;&gt;"",EDATE($D114,Milestones!$AA$24)&gt;=$R114),$U114,$T114)))=Milestones!$AB$24),TEXT(EDATE($D114,Milestones!$AA$24),"dd/mm/yy")&amp;" "&amp;Milestones!$AB$24&amp;" "&amp;Milestones!$AC$24&amp;";  ","")&amp;IF(AND(EDATE($D114,Milestones!$AA$25)&lt;=AsOfDate,IF($Q114=0,$W114,IF(AND($S114&lt;&gt;"",EDATE($D114,Milestones!$AA$25)&gt;=$S114),$V114,IF(AND($R114&lt;&gt;"",EDATE($D114,Milestones!$AA$25)&gt;=$R114),$U114,$T114)))=Milestones!$AB$25),TEXT(EDATE($D114,Milestones!$AA$25),"dd/mm/yy")&amp;" "&amp;Milestones!$AB$25&amp;" "&amp;Milestones!$AC$25&amp;";  ","")&amp;IF(AND(EDATE($D114,Milestones!$AA$26)&lt;=AsOfDate,IF($Q114=0,$W114,IF(AND($S114&lt;&gt;"",EDATE($D114,Milestones!$AA$26)&gt;=$S114),$V114,IF(AND($R114&lt;&gt;"",EDATE($D114,Milestones!$AA$26)&gt;=$R114),$U114,$T114)))=Milestones!$AB$26),TEXT(EDATE($D114,Milestones!$AA$26),"dd/mm/yy")&amp;" "&amp;Milestones!$AB$26&amp;" "&amp;Milestones!$AC$26&amp;";  ","")&amp;IF(AND(EDATE($D114,Milestones!$AA$27)&lt;=AsOfDate,IF($Q114=0,$W114,IF(AND($S114&lt;&gt;"",EDATE($D114,Milestones!$AA$27)&gt;=$S114),$V114,IF(AND($R114&lt;&gt;"",EDATE($D114,Milestones!$AA$27)&gt;=$R114),$U114,$T114)))=Milestones!$AB$27),TEXT(EDATE($D114,Milestones!$AA$27),"dd/mm/yy")&amp;" "&amp;Milestones!$AB$27&amp;" "&amp;Milestones!$AC$27&amp;";  ","")&amp;IF(AND(EDATE($D114,Milestones!$AA$28)&lt;=AsOfDate,IF($Q114=0,$W114,IF(AND($S114&lt;&gt;"",EDATE($D114,Milestones!$AA$28)&gt;=$S114),$V114,IF(AND($R114&lt;&gt;"",EDATE($D114,Milestones!$AA$28)&gt;=$R114),$U114,$T114)))=Milestones!$AB$28),TEXT(EDATE($D114,Milestones!$AA$28),"dd/mm/yy")&amp;" "&amp;Milestones!$AB$28&amp;" "&amp;Milestones!$AC$28&amp;";  ","")&amp;IF(AND(EDATE($D114,Milestones!$AA$29)&lt;=AsOfDate,IF($Q114=0,$W114,IF(AND($S114&lt;&gt;"",EDATE($D114,Milestones!$AA$29)&gt;=$S114),$V114,IF(AND($R114&lt;&gt;"",EDATE($D114,Milestones!$AA$29)&gt;=$R114),$U114,$T114)))=Milestones!$AB$29),TEXT(EDATE($D114,Milestones!$AA$29),"dd/mm/yy")&amp;" "&amp;Milestones!$AB$29&amp;" "&amp;Milestones!$AC$29&amp;";  ","")&amp;IF(AND(EDATE($D114,Milestones!$AA$30)&lt;=AsOfDate,IF($Q114=0,$W114,IF(AND($S114&lt;&gt;"",EDATE($D114,Milestones!$AA$30)&gt;=$S114),$V114,IF(AND($R114&lt;&gt;"",EDATE($D114,Milestones!$AA$30)&gt;=$R114),$U114,$T114)))=Milestones!$AB$30),TEXT(EDATE($D114,Milestones!$AA$30),"dd/mm/yy")&amp;" "&amp;Milestones!$AB$30&amp;" "&amp;Milestones!$AC$30&amp;";  ","")&amp;IF(AND(EDATE($D114,Milestones!$AA$31)&lt;=AsOfDate,IF($Q114=0,$W114,IF(AND($S114&lt;&gt;"",EDATE($D114,Milestones!$AA$31)&gt;=$S114),$V114,IF(AND($R114&lt;&gt;"",EDATE($D114,Milestones!$AA$31)&gt;=$R114),$U114,$T114)))=Milestones!$AB$31),TEXT(EDATE($D114,Milestones!$AA$31),"dd/mm/yy")&amp;" "&amp;Milestones!$AB$31&amp;" "&amp;Milestones!$AC$31&amp;";  ","")&amp;IF(AND(EDATE($D114,Milestones!$AA$32)&lt;=AsOfDate,IF($Q114=0,$W114,IF(AND($S114&lt;&gt;"",EDATE($D114,Milestones!$AA$32)&gt;=$S114),$V114,IF(AND($R114&lt;&gt;"",EDATE($D114,Milestones!$AA$32)&gt;=$R114),$U114,$T114)))=Milestones!$AB$32),TEXT(EDATE($D114,Milestones!$AA$32),"dd/mm/yy")&amp;" "&amp;Milestones!$AB$32&amp;" "&amp;Milestones!$AC$32&amp;";  ","")&amp;IF(AND(EDATE($D114,Milestones!$AA$33)&lt;=AsOfDate,IF($Q114=0,$W114,IF(AND($S114&lt;&gt;"",EDATE($D114,Milestones!$AA$33)&gt;=$S114),$V114,IF(AND($R114&lt;&gt;"",EDATE($D114,Milestones!$AA$33)&gt;=$R114),$U114,$T114)))=Milestones!$AB$33),TEXT(EDATE($D114,Milestones!$AA$33),"dd/mm/yy")&amp;" "&amp;Milestones!$AB$33&amp;" "&amp;Milestones!$AC$33&amp;";  ","")&amp;IF(AND(EDATE($D114,Milestones!$AA$34)&lt;=AsOfDate,IF($Q114=0,$W114,IF(AND($S114&lt;&gt;"",EDATE($D114,Milestones!$AA$34)&gt;=$S114),$V114,IF(AND($R114&lt;&gt;"",EDATE($D114,Milestones!$AA$34)&gt;=$R114),$U114,$T114)))=Milestones!$AB$34),TEXT(EDATE($D114,Milestones!$AA$34),"dd/mm/yy")&amp;" "&amp;Milestones!$AB$34&amp;" "&amp;Milestones!$AC$34&amp;";  ","")&amp;IF(AND(EDATE($D114,Milestones!$AA$35)&lt;=AsOfDate,IF($Q114=0,$W114,IF(AND($S114&lt;&gt;"",EDATE($D114,Milestones!$AA$35)&gt;=$S114),$V114,IF(AND($R114&lt;&gt;"",EDATE($D114,Milestones!$AA$35)&gt;=$R114),$U114,$T114)))=Milestones!$AB$35),TEXT(EDATE($D114,Milestones!$AA$35),"dd/mm/yy")&amp;" "&amp;Milestones!$AB$35&amp;" "&amp;Milestones!$AC$35&amp;";  ","")&amp;IF(AND(EDATE($D114,Milestones!$AA$36)&lt;=AsOfDate,IF($Q114=0,$W114,IF(AND($S114&lt;&gt;"",EDATE($D114,Milestones!$AA$36)&gt;=$S114),$V114,IF(AND($R114&lt;&gt;"",EDATE($D114,Milestones!$AA$36)&gt;=$R114),$U114,$T114)))=Milestones!$AB$36),TEXT(EDATE($D114,Milestones!$AA$36),"dd/mm/yy")&amp;" "&amp;Milestones!$AB$36&amp;" "&amp;Milestones!$AC$36&amp;";  ","")&amp;IF(AND(EDATE($D114,Milestones!$AA$37)&lt;=AsOfDate,IF($Q114=0,$W114,IF(AND($S114&lt;&gt;"",EDATE($D114,Milestones!$AA$37)&gt;=$S114),$V114,IF(AND($R114&lt;&gt;"",EDATE($D114,Milestones!$AA$37)&gt;=$R114),$U114,$T114)))=Milestones!$AB$37),TEXT(EDATE($D114,Milestones!$AA$37),"dd/mm/yy")&amp;" "&amp;Milestones!$AB$37&amp;" "&amp;Milestones!$AC$37&amp;";  ","")&amp;IF(AND(EDATE($D114,Milestones!$AA$38)&lt;=AsOfDate,IF($Q114=0,$W114,IF(AND($S114&lt;&gt;"",EDATE($D114,Milestones!$AA$38)&gt;=$S114),$V114,IF(AND($R114&lt;&gt;"",EDATE($D114,Milestones!$AA$38)&gt;=$R114),$U114,$T114)))=Milestones!$AB$38),TEXT(EDATE($D114,Milestones!$AA$38),"dd/mm/yy")&amp;" "&amp;Milestones!$AB$38&amp;" "&amp;Milestones!$AC$38&amp;";  ","")&amp;IF(AND(EDATE($D114,Milestones!$AA$39)&lt;=AsOfDate,IF($Q114=0,$W114,IF(AND($S114&lt;&gt;"",EDATE($D114,Milestones!$AA$39)&gt;=$S114),$V114,IF(AND($R114&lt;&gt;"",EDATE($D114,Milestones!$AA$39)&gt;=$R114),$U114,$T114)))=Milestones!$AB$39),TEXT(EDATE($D114,Milestones!$AA$39),"dd/mm/yy")&amp;" "&amp;Milestones!$AB$39&amp;" "&amp;Milestones!$AC$39&amp;";  ",""))</f>
        <v/>
      </c>
      <c r="I114" s="0" t="str">
        <f aca="false">IF(OR($A114="",$D114=""),"",IF(AND(EDATE($D114,Milestones!$AA$40)&lt;=AsOfDate,IF($Q114=0,$W114,IF(AND($S114&lt;&gt;"",EDATE($D114,Milestones!$AA$40)&gt;=$S114),$V114,IF(AND($R114&lt;&gt;"",EDATE($D114,Milestones!$AA$40)&gt;=$R114),$U114,$T114)))=Milestones!$AB$40),TEXT(EDATE($D114,Milestones!$AA$40),"dd/mm/yy")&amp;" "&amp;Milestones!$AB$40&amp;" "&amp;Milestones!$AC$40&amp;";  ","")&amp;IF(AND(EDATE($D114,Milestones!$AA$41)&lt;=AsOfDate,IF($Q114=0,$W114,IF(AND($S114&lt;&gt;"",EDATE($D114,Milestones!$AA$41)&gt;=$S114),$V114,IF(AND($R114&lt;&gt;"",EDATE($D114,Milestones!$AA$41)&gt;=$R114),$U114,$T114)))=Milestones!$AB$41),TEXT(EDATE($D114,Milestones!$AA$41),"dd/mm/yy")&amp;" "&amp;Milestones!$AB$41&amp;" "&amp;Milestones!$AC$41&amp;";  ","")&amp;IF(AND(EDATE($D114,Milestones!$AA$42)&lt;=AsOfDate,IF($Q114=0,$W114,IF(AND($S114&lt;&gt;"",EDATE($D114,Milestones!$AA$42)&gt;=$S114),$V114,IF(AND($R114&lt;&gt;"",EDATE($D114,Milestones!$AA$42)&gt;=$R114),$U114,$T114)))=Milestones!$AB$42),TEXT(EDATE($D114,Milestones!$AA$42),"dd/mm/yy")&amp;" "&amp;Milestones!$AB$42&amp;" "&amp;Milestones!$AC$42&amp;";  ","")&amp;IF(AND(EDATE($D114,Milestones!$AA$43)&lt;=AsOfDate,IF($Q114=0,$W114,IF(AND($S114&lt;&gt;"",EDATE($D114,Milestones!$AA$43)&gt;=$S114),$V114,IF(AND($R114&lt;&gt;"",EDATE($D114,Milestones!$AA$43)&gt;=$R114),$U114,$T114)))=Milestones!$AB$43),TEXT(EDATE($D114,Milestones!$AA$43),"dd/mm/yy")&amp;" "&amp;Milestones!$AB$43&amp;" "&amp;Milestones!$AC$43&amp;";  ","")&amp;IF(AND(EDATE($D114,Milestones!$AA$44)&lt;=AsOfDate,IF($Q114=0,$W114,IF(AND($S114&lt;&gt;"",EDATE($D114,Milestones!$AA$44)&gt;=$S114),$V114,IF(AND($R114&lt;&gt;"",EDATE($D114,Milestones!$AA$44)&gt;=$R114),$U114,$T114)))=Milestones!$AB$44),TEXT(EDATE($D114,Milestones!$AA$44),"dd/mm/yy")&amp;" "&amp;Milestones!$AB$44&amp;" "&amp;Milestones!$AC$44&amp;";  ","")&amp;IF(AND(EDATE($D114,Milestones!$AA$45)&lt;=AsOfDate,IF($Q114=0,$W114,IF(AND($S114&lt;&gt;"",EDATE($D114,Milestones!$AA$45)&gt;=$S114),$V114,IF(AND($R114&lt;&gt;"",EDATE($D114,Milestones!$AA$45)&gt;=$R114),$U114,$T114)))=Milestones!$AB$45),TEXT(EDATE($D114,Milestones!$AA$45),"dd/mm/yy")&amp;" "&amp;Milestones!$AB$45&amp;" "&amp;Milestones!$AC$45&amp;";  ","")&amp;IF(AND(EDATE($D114,Milestones!$AA$46)&lt;=AsOfDate,IF($Q114=0,$W114,IF(AND($S114&lt;&gt;"",EDATE($D114,Milestones!$AA$46)&gt;=$S114),$V114,IF(AND($R114&lt;&gt;"",EDATE($D114,Milestones!$AA$46)&gt;=$R114),$U114,$T114)))=Milestones!$AB$46),TEXT(EDATE($D114,Milestones!$AA$46),"dd/mm/yy")&amp;" "&amp;Milestones!$AB$46&amp;" "&amp;Milestones!$AC$46&amp;";  ","")&amp;IF(AND(EDATE($D114,Milestones!$AA$47)&lt;=AsOfDate,IF($Q114=0,$W114,IF(AND($S114&lt;&gt;"",EDATE($D114,Milestones!$AA$47)&gt;=$S114),$V114,IF(AND($R114&lt;&gt;"",EDATE($D114,Milestones!$AA$47)&gt;=$R114),$U114,$T114)))=Milestones!$AB$47),TEXT(EDATE($D114,Milestones!$AA$47),"dd/mm/yy")&amp;" "&amp;Milestones!$AB$47&amp;" "&amp;Milestones!$AC$47&amp;";  ","")&amp;IF(AND(EDATE($D114,Milestones!$AA$48)&lt;=AsOfDate,IF($Q114=0,$W114,IF(AND($S114&lt;&gt;"",EDATE($D114,Milestones!$AA$48)&gt;=$S114),$V114,IF(AND($R114&lt;&gt;"",EDATE($D114,Milestones!$AA$48)&gt;=$R114),$U114,$T114)))=Milestones!$AB$48),TEXT(EDATE($D114,Milestones!$AA$48),"dd/mm/yy")&amp;" "&amp;Milestones!$AB$48&amp;" "&amp;Milestones!$AC$48&amp;";  ","")&amp;IF(AND(EDATE($D114,Milestones!$AA$49)&lt;=AsOfDate,IF($Q114=0,$W114,IF(AND($S114&lt;&gt;"",EDATE($D114,Milestones!$AA$49)&gt;=$S114),$V114,IF(AND($R114&lt;&gt;"",EDATE($D114,Milestones!$AA$49)&gt;=$R114),$U114,$T114)))=Milestones!$AB$49),TEXT(EDATE($D114,Milestones!$AA$49),"dd/mm/yy")&amp;" "&amp;Milestones!$AB$49&amp;" "&amp;Milestones!$AC$49&amp;";  ","")&amp;IF(AND(EDATE($D114,Milestones!$AA$50)&lt;=AsOfDate,IF($Q114=0,$W114,IF(AND($S114&lt;&gt;"",EDATE($D114,Milestones!$AA$50)&gt;=$S114),$V114,IF(AND($R114&lt;&gt;"",EDATE($D114,Milestones!$AA$50)&gt;=$R114),$U114,$T114)))=Milestones!$AB$50),TEXT(EDATE($D114,Milestones!$AA$50),"dd/mm/yy")&amp;" "&amp;Milestones!$AB$50&amp;" "&amp;Milestones!$AC$50&amp;";  ","")&amp;IF(AND(EDATE($D114,Milestones!$AA$51)&lt;=AsOfDate,IF($Q114=0,$W114,IF(AND($S114&lt;&gt;"",EDATE($D114,Milestones!$AA$51)&gt;=$S114),$V114,IF(AND($R114&lt;&gt;"",EDATE($D114,Milestones!$AA$51)&gt;=$R114),$U114,$T114)))=Milestones!$AB$51),TEXT(EDATE($D114,Milestones!$AA$51),"dd/mm/yy")&amp;" "&amp;Milestones!$AB$51&amp;" "&amp;Milestones!$AC$51&amp;";  ","")&amp;IF(AND(EDATE($D114,Milestones!$AA$52)&lt;=AsOfDate,IF($Q114=0,$W114,IF(AND($S114&lt;&gt;"",EDATE($D114,Milestones!$AA$52)&gt;=$S114),$V114,IF(AND($R114&lt;&gt;"",EDATE($D114,Milestones!$AA$52)&gt;=$R114),$U114,$T114)))=Milestones!$AB$52),TEXT(EDATE($D114,Milestones!$AA$52),"dd/mm/yy")&amp;" "&amp;Milestones!$AB$52&amp;" "&amp;Milestones!$AC$52&amp;";  ","")&amp;IF(AND(EDATE($D114,Milestones!$AA$53)&lt;=AsOfDate,IF($Q114=0,$W114,IF(AND($S114&lt;&gt;"",EDATE($D114,Milestones!$AA$53)&gt;=$S114),$V114,IF(AND($R114&lt;&gt;"",EDATE($D114,Milestones!$AA$53)&gt;=$R114),$U114,$T114)))=Milestones!$AB$53),TEXT(EDATE($D114,Milestones!$AA$53),"dd/mm/yy")&amp;" "&amp;Milestones!$AB$53&amp;" "&amp;Milestones!$AC$53&amp;";  ","")&amp;IF(AND(EDATE($D114,Milestones!$AA$54)&lt;=AsOfDate,IF($Q114=0,$W114,IF(AND($S114&lt;&gt;"",EDATE($D114,Milestones!$AA$54)&gt;=$S114),$V114,IF(AND($R114&lt;&gt;"",EDATE($D114,Milestones!$AA$54)&gt;=$R114),$U114,$T114)))=Milestones!$AB$54),TEXT(EDATE($D114,Milestones!$AA$54),"dd/mm/yy")&amp;" "&amp;Milestones!$AB$54&amp;" "&amp;Milestones!$AC$54&amp;";  ","")&amp;IF(AND(EDATE($D114,Milestones!$AA$55)&lt;=AsOfDate,IF($Q114=0,$W114,IF(AND($S114&lt;&gt;"",EDATE($D114,Milestones!$AA$55)&gt;=$S114),$V114,IF(AND($R114&lt;&gt;"",EDATE($D114,Milestones!$AA$55)&gt;=$R114),$U114,$T114)))=Milestones!$AB$55),TEXT(EDATE($D114,Milestones!$AA$55),"dd/mm/yy")&amp;" "&amp;Milestones!$AB$55&amp;" "&amp;Milestones!$AC$55&amp;";  ","")&amp;IF(AND(EDATE($D114,Milestones!$AA$56)&lt;=AsOfDate,IF($Q114=0,$W114,IF(AND($S114&lt;&gt;"",EDATE($D114,Milestones!$AA$56)&gt;=$S114),$V114,IF(AND($R114&lt;&gt;"",EDATE($D114,Milestones!$AA$56)&gt;=$R114),$U114,$T114)))=Milestones!$AB$56),TEXT(EDATE($D114,Milestones!$AA$56),"dd/mm/yy")&amp;" "&amp;Milestones!$AB$56&amp;" "&amp;Milestones!$AC$56&amp;";  ","")&amp;IF(AND(EDATE($D114,Milestones!$AA$57)&lt;=AsOfDate,IF($Q114=0,$W114,IF(AND($S114&lt;&gt;"",EDATE($D114,Milestones!$AA$57)&gt;=$S114),$V114,IF(AND($R114&lt;&gt;"",EDATE($D114,Milestones!$AA$57)&gt;=$R114),$U114,$T114)))=Milestones!$AB$57),TEXT(EDATE($D114,Milestones!$AA$57),"dd/mm/yy")&amp;" "&amp;Milestones!$AB$57&amp;" "&amp;Milestones!$AC$57&amp;";  ","")&amp;IF(AND(EDATE($D114,Milestones!$AA$58)&lt;=AsOfDate,IF($Q114=0,$W114,IF(AND($S114&lt;&gt;"",EDATE($D114,Milestones!$AA$58)&gt;=$S114),$V114,IF(AND($R114&lt;&gt;"",EDATE($D114,Milestones!$AA$58)&gt;=$R114),$U114,$T114)))=Milestones!$AB$58),TEXT(EDATE($D114,Milestones!$AA$58),"dd/mm/yy")&amp;" "&amp;Milestones!$AB$58&amp;" "&amp;Milestones!$AC$58&amp;";  ","")&amp;IF(AND(EDATE($D114,Milestones!$AA$59)&lt;=AsOfDate,IF($Q114=0,$W114,IF(AND($S114&lt;&gt;"",EDATE($D114,Milestones!$AA$59)&gt;=$S114),$V114,IF(AND($R114&lt;&gt;"",EDATE($D114,Milestones!$AA$59)&gt;=$R114),$U114,$T114)))=Milestones!$AB$59),TEXT(EDATE($D114,Milestones!$AA$59),"dd/mm/yy")&amp;" "&amp;Milestones!$AB$59&amp;" "&amp;Milestones!$AC$59&amp;";  ",""))</f>
        <v/>
      </c>
      <c r="J114" s="0" t="str">
        <f aca="false">IF(OR($A114="",$D114=""),"",IF(AND(EDATE($D114,Milestones!$AA$60)&lt;=AsOfDate,IF($Q114=0,$W114,IF(AND($S114&lt;&gt;"",EDATE($D114,Milestones!$AA$60)&gt;=$S114),$V114,IF(AND($R114&lt;&gt;"",EDATE($D114,Milestones!$AA$60)&gt;=$R114),$U114,$T114)))=Milestones!$AB$60),TEXT(EDATE($D114,Milestones!$AA$60),"dd/mm/yy")&amp;" "&amp;Milestones!$AB$60&amp;" "&amp;Milestones!$AC$60&amp;";  ","")&amp;IF(AND(EDATE($D114,Milestones!$AA$61)&lt;=AsOfDate,IF($Q114=0,$W114,IF(AND($S114&lt;&gt;"",EDATE($D114,Milestones!$AA$61)&gt;=$S114),$V114,IF(AND($R114&lt;&gt;"",EDATE($D114,Milestones!$AA$61)&gt;=$R114),$U114,$T114)))=Milestones!$AB$61),TEXT(EDATE($D114,Milestones!$AA$61),"dd/mm/yy")&amp;" "&amp;Milestones!$AB$61&amp;" "&amp;Milestones!$AC$61&amp;";  ","")&amp;IF(AND(EDATE($D114,Milestones!$AA$62)&lt;=AsOfDate,IF($Q114=0,$W114,IF(AND($S114&lt;&gt;"",EDATE($D114,Milestones!$AA$62)&gt;=$S114),$V114,IF(AND($R114&lt;&gt;"",EDATE($D114,Milestones!$AA$62)&gt;=$R114),$U114,$T114)))=Milestones!$AB$62),TEXT(EDATE($D114,Milestones!$AA$62),"dd/mm/yy")&amp;" "&amp;Milestones!$AB$62&amp;" "&amp;Milestones!$AC$62&amp;";  ","")&amp;IF(AND(EDATE($D114,Milestones!$AA$63)&lt;=AsOfDate,IF($Q114=0,$W114,IF(AND($S114&lt;&gt;"",EDATE($D114,Milestones!$AA$63)&gt;=$S114),$V114,IF(AND($R114&lt;&gt;"",EDATE($D114,Milestones!$AA$63)&gt;=$R114),$U114,$T114)))=Milestones!$AB$63),TEXT(EDATE($D114,Milestones!$AA$63),"dd/mm/yy")&amp;" "&amp;Milestones!$AB$63&amp;" "&amp;Milestones!$AC$63&amp;";  ","")&amp;IF(AND(EDATE($D114,Milestones!$AA$64)&lt;=AsOfDate,IF($Q114=0,$W114,IF(AND($S114&lt;&gt;"",EDATE($D114,Milestones!$AA$64)&gt;=$S114),$V114,IF(AND($R114&lt;&gt;"",EDATE($D114,Milestones!$AA$64)&gt;=$R114),$U114,$T114)))=Milestones!$AB$64),TEXT(EDATE($D114,Milestones!$AA$64),"dd/mm/yy")&amp;" "&amp;Milestones!$AB$64&amp;" "&amp;Milestones!$AC$64&amp;";  ","")&amp;IF(AND(EDATE($D114,Milestones!$AA$65)&lt;=AsOfDate,IF($Q114=0,$W114,IF(AND($S114&lt;&gt;"",EDATE($D114,Milestones!$AA$65)&gt;=$S114),$V114,IF(AND($R114&lt;&gt;"",EDATE($D114,Milestones!$AA$65)&gt;=$R114),$U114,$T114)))=Milestones!$AB$65),TEXT(EDATE($D114,Milestones!$AA$65),"dd/mm/yy")&amp;" "&amp;Milestones!$AB$65&amp;" "&amp;Milestones!$AC$65&amp;";  ","")&amp;IF(AND(EDATE($D114,Milestones!$AA$66)&lt;=AsOfDate,IF($Q114=0,$W114,IF(AND($S114&lt;&gt;"",EDATE($D114,Milestones!$AA$66)&gt;=$S114),$V114,IF(AND($R114&lt;&gt;"",EDATE($D114,Milestones!$AA$66)&gt;=$R114),$U114,$T114)))=Milestones!$AB$66),TEXT(EDATE($D114,Milestones!$AA$66),"dd/mm/yy")&amp;" "&amp;Milestones!$AB$66&amp;" "&amp;Milestones!$AC$66&amp;";  ","")&amp;IF(AND(EDATE($D114,Milestones!$AA$67)&lt;=AsOfDate,IF($Q114=0,$W114,IF(AND($S114&lt;&gt;"",EDATE($D114,Milestones!$AA$67)&gt;=$S114),$V114,IF(AND($R114&lt;&gt;"",EDATE($D114,Milestones!$AA$67)&gt;=$R114),$U114,$T114)))=Milestones!$AB$67),TEXT(EDATE($D114,Milestones!$AA$67),"dd/mm/yy")&amp;" "&amp;Milestones!$AB$67&amp;" "&amp;Milestones!$AC$67&amp;";  ","")&amp;IF(AND(EDATE($D114,Milestones!$AA$68)&lt;=AsOfDate,IF($Q114=0,$W114,IF(AND($S114&lt;&gt;"",EDATE($D114,Milestones!$AA$68)&gt;=$S114),$V114,IF(AND($R114&lt;&gt;"",EDATE($D114,Milestones!$AA$68)&gt;=$R114),$U114,$T114)))=Milestones!$AB$68),TEXT(EDATE($D114,Milestones!$AA$68),"dd/mm/yy")&amp;" "&amp;Milestones!$AB$68&amp;" "&amp;Milestones!$AC$68&amp;";  ","")&amp;IF(AND(EDATE($D114,Milestones!$AA$69)&lt;=AsOfDate,IF($Q114=0,$W114,IF(AND($S114&lt;&gt;"",EDATE($D114,Milestones!$AA$69)&gt;=$S114),$V114,IF(AND($R114&lt;&gt;"",EDATE($D114,Milestones!$AA$69)&gt;=$R114),$U114,$T114)))=Milestones!$AB$69),TEXT(EDATE($D114,Milestones!$AA$69),"dd/mm/yy")&amp;" "&amp;Milestones!$AB$69&amp;" "&amp;Milestones!$AC$69&amp;";  ","")&amp;IF(AND(EDATE($D114,Milestones!$AA$70)&lt;=AsOfDate,IF($Q114=0,$W114,IF(AND($S114&lt;&gt;"",EDATE($D114,Milestones!$AA$70)&gt;=$S114),$V114,IF(AND($R114&lt;&gt;"",EDATE($D114,Milestones!$AA$70)&gt;=$R114),$U114,$T114)))=Milestones!$AB$70),TEXT(EDATE($D114,Milestones!$AA$70),"dd/mm/yy")&amp;" "&amp;Milestones!$AB$70&amp;" "&amp;Milestones!$AC$70&amp;";  ","")&amp;IF(AND(EDATE($D114,Milestones!$AA$71)&lt;=AsOfDate,IF($Q114=0,$W114,IF(AND($S114&lt;&gt;"",EDATE($D114,Milestones!$AA$71)&gt;=$S114),$V114,IF(AND($R114&lt;&gt;"",EDATE($D114,Milestones!$AA$71)&gt;=$R114),$U114,$T114)))=Milestones!$AB$71),TEXT(EDATE($D114,Milestones!$AA$71),"dd/mm/yy")&amp;" "&amp;Milestones!$AB$71&amp;" "&amp;Milestones!$AC$71&amp;";  ","")&amp;IF(AND(EDATE($D114,Milestones!$AA$72)&lt;=AsOfDate,IF($Q114=0,$W114,IF(AND($S114&lt;&gt;"",EDATE($D114,Milestones!$AA$72)&gt;=$S114),$V114,IF(AND($R114&lt;&gt;"",EDATE($D114,Milestones!$AA$72)&gt;=$R114),$U114,$T114)))=Milestones!$AB$72),TEXT(EDATE($D114,Milestones!$AA$72),"dd/mm/yy")&amp;" "&amp;Milestones!$AB$72&amp;" "&amp;Milestones!$AC$72&amp;";  ","")&amp;IF(AND(EDATE($D114,Milestones!$AA$73)&lt;=AsOfDate,IF($Q114=0,$W114,IF(AND($S114&lt;&gt;"",EDATE($D114,Milestones!$AA$73)&gt;=$S114),$V114,IF(AND($R114&lt;&gt;"",EDATE($D114,Milestones!$AA$73)&gt;=$R114),$U114,$T114)))=Milestones!$AB$73),TEXT(EDATE($D114,Milestones!$AA$73),"dd/mm/yy")&amp;" "&amp;Milestones!$AB$73&amp;" "&amp;Milestones!$AC$73&amp;";  ","")&amp;IF(AND(EDATE($D114,Milestones!$AA$74)&lt;=AsOfDate,IF($Q114=0,$W114,IF(AND($S114&lt;&gt;"",EDATE($D114,Milestones!$AA$74)&gt;=$S114),$V114,IF(AND($R114&lt;&gt;"",EDATE($D114,Milestones!$AA$74)&gt;=$R114),$U114,$T114)))=Milestones!$AB$74),TEXT(EDATE($D114,Milestones!$AA$74),"dd/mm/yy")&amp;" "&amp;Milestones!$AB$74&amp;" "&amp;Milestones!$AC$74&amp;";  ","")&amp;IF(AND(EDATE($D114,Milestones!$AA$75)&lt;=AsOfDate,IF($Q114=0,$W114,IF(AND($S114&lt;&gt;"",EDATE($D114,Milestones!$AA$75)&gt;=$S114),$V114,IF(AND($R114&lt;&gt;"",EDATE($D114,Milestones!$AA$75)&gt;=$R114),$U114,$T114)))=Milestones!$AB$75),TEXT(EDATE($D114,Milestones!$AA$75),"dd/mm/yy")&amp;" "&amp;Milestones!$AB$75&amp;" "&amp;Milestones!$AC$75&amp;";  ","")&amp;IF(AND(EDATE($D114,Milestones!$AA$76)&lt;=AsOfDate,IF($Q114=0,$W114,IF(AND($S114&lt;&gt;"",EDATE($D114,Milestones!$AA$76)&gt;=$S114),$V114,IF(AND($R114&lt;&gt;"",EDATE($D114,Milestones!$AA$76)&gt;=$R114),$U114,$T114)))=Milestones!$AB$76),TEXT(EDATE($D114,Milestones!$AA$76),"dd/mm/yy")&amp;" "&amp;Milestones!$AB$76&amp;" "&amp;Milestones!$AC$76&amp;";  ","")&amp;IF(AND(EDATE($D114,Milestones!$AA$77)&lt;=AsOfDate,IF($Q114=0,$W114,IF(AND($S114&lt;&gt;"",EDATE($D114,Milestones!$AA$77)&gt;=$S114),$V114,IF(AND($R114&lt;&gt;"",EDATE($D114,Milestones!$AA$77)&gt;=$R114),$U114,$T114)))=Milestones!$AB$77),TEXT(EDATE($D114,Milestones!$AA$77),"dd/mm/yy")&amp;" "&amp;Milestones!$AB$77&amp;" "&amp;Milestones!$AC$77&amp;";  ","")&amp;IF(AND(EDATE($D114,Milestones!$AA$78)&lt;=AsOfDate,IF($Q114=0,$W114,IF(AND($S114&lt;&gt;"",EDATE($D114,Milestones!$AA$78)&gt;=$S114),$V114,IF(AND($R114&lt;&gt;"",EDATE($D114,Milestones!$AA$78)&gt;=$R114),$U114,$T114)))=Milestones!$AB$78),TEXT(EDATE($D114,Milestones!$AA$78),"dd/mm/yy")&amp;" "&amp;Milestones!$AB$78&amp;" "&amp;Milestones!$AC$78&amp;";  ","")&amp;IF(AND(EDATE($D114,Milestones!$AA$79)&lt;=AsOfDate,IF($Q114=0,$W114,IF(AND($S114&lt;&gt;"",EDATE($D114,Milestones!$AA$79)&gt;=$S114),$V114,IF(AND($R114&lt;&gt;"",EDATE($D114,Milestones!$AA$79)&gt;=$R114),$U114,$T114)))=Milestones!$AB$79),TEXT(EDATE($D114,Milestones!$AA$79),"dd/mm/yy")&amp;" "&amp;Milestones!$AB$79&amp;" "&amp;Milestones!$AC$79&amp;";  ",""))</f>
        <v/>
      </c>
      <c r="K114" s="0" t="str">
        <f aca="false">IF(OR($A114="",$D114=""),"",IF(AND(EDATE($D114,Milestones!$AA$80)&lt;=AsOfDate,IF($Q114=0,$W114,IF(AND($S114&lt;&gt;"",EDATE($D114,Milestones!$AA$80)&gt;=$S114),$V114,IF(AND($R114&lt;&gt;"",EDATE($D114,Milestones!$AA$80)&gt;=$R114),$U114,$T114)))=Milestones!$AB$80),TEXT(EDATE($D114,Milestones!$AA$80),"dd/mm/yy")&amp;" "&amp;Milestones!$AB$80&amp;" "&amp;Milestones!$AC$80&amp;";  ","")&amp;IF(AND(EDATE($D114,Milestones!$AA$81)&lt;=AsOfDate,IF($Q114=0,$W114,IF(AND($S114&lt;&gt;"",EDATE($D114,Milestones!$AA$81)&gt;=$S114),$V114,IF(AND($R114&lt;&gt;"",EDATE($D114,Milestones!$AA$81)&gt;=$R114),$U114,$T114)))=Milestones!$AB$81),TEXT(EDATE($D114,Milestones!$AA$81),"dd/mm/yy")&amp;" "&amp;Milestones!$AB$81&amp;" "&amp;Milestones!$AC$81&amp;";  ","")&amp;IF(AND(EDATE($D114,Milestones!$AA$82)&lt;=AsOfDate,IF($Q114=0,$W114,IF(AND($S114&lt;&gt;"",EDATE($D114,Milestones!$AA$82)&gt;=$S114),$V114,IF(AND($R114&lt;&gt;"",EDATE($D114,Milestones!$AA$82)&gt;=$R114),$U114,$T114)))=Milestones!$AB$82),TEXT(EDATE($D114,Milestones!$AA$82),"dd/mm/yy")&amp;" "&amp;Milestones!$AB$82&amp;" "&amp;Milestones!$AC$82&amp;";  ","")&amp;IF(AND(EDATE($D114,Milestones!$AA$83)&lt;=AsOfDate,IF($Q114=0,$W114,IF(AND($S114&lt;&gt;"",EDATE($D114,Milestones!$AA$83)&gt;=$S114),$V114,IF(AND($R114&lt;&gt;"",EDATE($D114,Milestones!$AA$83)&gt;=$R114),$U114,$T114)))=Milestones!$AB$83),TEXT(EDATE($D114,Milestones!$AA$83),"dd/mm/yy")&amp;" "&amp;Milestones!$AB$83&amp;" "&amp;Milestones!$AC$83&amp;";  ","")&amp;IF(AND(EDATE($D114,Milestones!$AA$84)&lt;=AsOfDate,IF($Q114=0,$W114,IF(AND($S114&lt;&gt;"",EDATE($D114,Milestones!$AA$84)&gt;=$S114),$V114,IF(AND($R114&lt;&gt;"",EDATE($D114,Milestones!$AA$84)&gt;=$R114),$U114,$T114)))=Milestones!$AB$84),TEXT(EDATE($D114,Milestones!$AA$84),"dd/mm/yy")&amp;" "&amp;Milestones!$AB$84&amp;" "&amp;Milestones!$AC$84&amp;";  ","")&amp;IF(AND(EDATE($D114,Milestones!$AA$85)&lt;=AsOfDate,IF($Q114=0,$W114,IF(AND($S114&lt;&gt;"",EDATE($D114,Milestones!$AA$85)&gt;=$S114),$V114,IF(AND($R114&lt;&gt;"",EDATE($D114,Milestones!$AA$85)&gt;=$R114),$U114,$T114)))=Milestones!$AB$85),TEXT(EDATE($D114,Milestones!$AA$85),"dd/mm/yy")&amp;" "&amp;Milestones!$AB$85&amp;" "&amp;Milestones!$AC$85&amp;";  ","")&amp;IF(AND(EDATE($D114,Milestones!$AA$86)&lt;=AsOfDate,IF($Q114=0,$W114,IF(AND($S114&lt;&gt;"",EDATE($D114,Milestones!$AA$86)&gt;=$S114),$V114,IF(AND($R114&lt;&gt;"",EDATE($D114,Milestones!$AA$86)&gt;=$R114),$U114,$T114)))=Milestones!$AB$86),TEXT(EDATE($D114,Milestones!$AA$86),"dd/mm/yy")&amp;" "&amp;Milestones!$AB$86&amp;" "&amp;Milestones!$AC$86&amp;";  ","")&amp;IF(AND(EDATE($D114,Milestones!$AA$87)&lt;=AsOfDate,IF($Q114=0,$W114,IF(AND($S114&lt;&gt;"",EDATE($D114,Milestones!$AA$87)&gt;=$S114),$V114,IF(AND($R114&lt;&gt;"",EDATE($D114,Milestones!$AA$87)&gt;=$R114),$U114,$T114)))=Milestones!$AB$87),TEXT(EDATE($D114,Milestones!$AA$87),"dd/mm/yy")&amp;" "&amp;Milestones!$AB$87&amp;" "&amp;Milestones!$AC$87&amp;";  ","")&amp;IF(AND(EDATE($D114,Milestones!$AA$88)&lt;=AsOfDate,IF($Q114=0,$W114,IF(AND($S114&lt;&gt;"",EDATE($D114,Milestones!$AA$88)&gt;=$S114),$V114,IF(AND($R114&lt;&gt;"",EDATE($D114,Milestones!$AA$88)&gt;=$R114),$U114,$T114)))=Milestones!$AB$88),TEXT(EDATE($D114,Milestones!$AA$88),"dd/mm/yy")&amp;" "&amp;Milestones!$AB$88&amp;" "&amp;Milestones!$AC$88&amp;";  ","")&amp;IF(AND(EDATE($D114,Milestones!$AA$89)&lt;=AsOfDate,IF($Q114=0,$W114,IF(AND($S114&lt;&gt;"",EDATE($D114,Milestones!$AA$89)&gt;=$S114),$V114,IF(AND($R114&lt;&gt;"",EDATE($D114,Milestones!$AA$89)&gt;=$R114),$U114,$T114)))=Milestones!$AB$89),TEXT(EDATE($D114,Milestones!$AA$89),"dd/mm/yy")&amp;" "&amp;Milestones!$AB$89&amp;" "&amp;Milestones!$AC$89&amp;";  ","")&amp;IF(AND(EDATE($D114,Milestones!$AA$90)&lt;=AsOfDate,IF($Q114=0,$W114,IF(AND($S114&lt;&gt;"",EDATE($D114,Milestones!$AA$90)&gt;=$S114),$V114,IF(AND($R114&lt;&gt;"",EDATE($D114,Milestones!$AA$90)&gt;=$R114),$U114,$T114)))=Milestones!$AB$90),TEXT(EDATE($D114,Milestones!$AA$90),"dd/mm/yy")&amp;" "&amp;Milestones!$AB$90&amp;" "&amp;Milestones!$AC$90&amp;";  ","")&amp;IF(AND(EDATE($D114,Milestones!$AA$91)&lt;=AsOfDate,IF($Q114=0,$W114,IF(AND($S114&lt;&gt;"",EDATE($D114,Milestones!$AA$91)&gt;=$S114),$V114,IF(AND($R114&lt;&gt;"",EDATE($D114,Milestones!$AA$91)&gt;=$R114),$U114,$T114)))=Milestones!$AB$91),TEXT(EDATE($D114,Milestones!$AA$91),"dd/mm/yy")&amp;" "&amp;Milestones!$AB$91&amp;" "&amp;Milestones!$AC$91&amp;";  ","")&amp;IF(AND(EDATE($D114,Milestones!$AA$92)&lt;=AsOfDate,IF($Q114=0,$W114,IF(AND($S114&lt;&gt;"",EDATE($D114,Milestones!$AA$92)&gt;=$S114),$V114,IF(AND($R114&lt;&gt;"",EDATE($D114,Milestones!$AA$92)&gt;=$R114),$U114,$T114)))=Milestones!$AB$92),TEXT(EDATE($D114,Milestones!$AA$92),"dd/mm/yy")&amp;" "&amp;Milestones!$AB$92&amp;" "&amp;Milestones!$AC$92&amp;";  ","")&amp;IF(AND(EDATE($D114,Milestones!$AA$93)&lt;=AsOfDate,IF($Q114=0,$W114,IF(AND($S114&lt;&gt;"",EDATE($D114,Milestones!$AA$93)&gt;=$S114),$V114,IF(AND($R114&lt;&gt;"",EDATE($D114,Milestones!$AA$93)&gt;=$R114),$U114,$T114)))=Milestones!$AB$93),TEXT(EDATE($D114,Milestones!$AA$93),"dd/mm/yy")&amp;" "&amp;Milestones!$AB$93&amp;" "&amp;Milestones!$AC$93&amp;";  ","")&amp;IF(AND(EDATE($D114,Milestones!$AA$94)&lt;=AsOfDate,IF($Q114=0,$W114,IF(AND($S114&lt;&gt;"",EDATE($D114,Milestones!$AA$94)&gt;=$S114),$V114,IF(AND($R114&lt;&gt;"",EDATE($D114,Milestones!$AA$94)&gt;=$R114),$U114,$T114)))=Milestones!$AB$94),TEXT(EDATE($D114,Milestones!$AA$94),"dd/mm/yy")&amp;" "&amp;Milestones!$AB$94&amp;" "&amp;Milestones!$AC$94&amp;";  ","")&amp;IF(AND(EDATE($D114,Milestones!$AA$95)&lt;=AsOfDate,IF($Q114=0,$W114,IF(AND($S114&lt;&gt;"",EDATE($D114,Milestones!$AA$95)&gt;=$S114),$V114,IF(AND($R114&lt;&gt;"",EDATE($D114,Milestones!$AA$95)&gt;=$R114),$U114,$T114)))=Milestones!$AB$95),TEXT(EDATE($D114,Milestones!$AA$95),"dd/mm/yy")&amp;" "&amp;Milestones!$AB$95&amp;" "&amp;Milestones!$AC$95&amp;";  ","")&amp;IF(AND(EDATE($D114,Milestones!$AA$96)&lt;=AsOfDate,IF($Q114=0,$W114,IF(AND($S114&lt;&gt;"",EDATE($D114,Milestones!$AA$96)&gt;=$S114),$V114,IF(AND($R114&lt;&gt;"",EDATE($D114,Milestones!$AA$96)&gt;=$R114),$U114,$T114)))=Milestones!$AB$96),TEXT(EDATE($D114,Milestones!$AA$96),"dd/mm/yy")&amp;" "&amp;Milestones!$AB$96&amp;" "&amp;Milestones!$AC$96&amp;";  ","")&amp;IF(AND(EDATE($D114,Milestones!$AA$97)&lt;=AsOfDate,IF($Q114=0,$W114,IF(AND($S114&lt;&gt;"",EDATE($D114,Milestones!$AA$97)&gt;=$S114),$V114,IF(AND($R114&lt;&gt;"",EDATE($D114,Milestones!$AA$97)&gt;=$R114),$U114,$T114)))=Milestones!$AB$97),TEXT(EDATE($D114,Milestones!$AA$97),"dd/mm/yy")&amp;" "&amp;Milestones!$AB$97&amp;" "&amp;Milestones!$AC$97&amp;";  ","")&amp;IF(AND(EDATE($D114,Milestones!$AA$98)&lt;=AsOfDate,IF($Q114=0,$W114,IF(AND($S114&lt;&gt;"",EDATE($D114,Milestones!$AA$98)&gt;=$S114),$V114,IF(AND($R114&lt;&gt;"",EDATE($D114,Milestones!$AA$98)&gt;=$R114),$U114,$T114)))=Milestones!$AB$98),TEXT(EDATE($D114,Milestones!$AA$98),"dd/mm/yy")&amp;" "&amp;Milestones!$AB$98&amp;" "&amp;Milestones!$AC$98&amp;";  ","")&amp;IF(AND(EDATE($D114,Milestones!$AA$99)&lt;=AsOfDate,IF($Q114=0,$W114,IF(AND($S114&lt;&gt;"",EDATE($D114,Milestones!$AA$99)&gt;=$S114),$V114,IF(AND($R114&lt;&gt;"",EDATE($D114,Milestones!$AA$99)&gt;=$R114),$U114,$T114)))=Milestones!$AB$99),TEXT(EDATE($D114,Milestones!$AA$99),"dd/mm/yy")&amp;" "&amp;Milestones!$AB$99&amp;" "&amp;Milestones!$AC$99&amp;";  ",""))</f>
        <v/>
      </c>
      <c r="L114" s="0" t="str">
        <f aca="false">IF(OR($A114="",$D114=""),"",IF(AND(EDATE($D114,Milestones!$AA$100)&lt;=AsOfDate,IF($Q114=0,$W114,IF(AND($S114&lt;&gt;"",EDATE($D114,Milestones!$AA$100)&gt;=$S114),$V114,IF(AND($R114&lt;&gt;"",EDATE($D114,Milestones!$AA$100)&gt;=$R114),$U114,$T114)))=Milestones!$AB$100),TEXT(EDATE($D114,Milestones!$AA$100),"dd/mm/yy")&amp;" "&amp;Milestones!$AB$100&amp;" "&amp;Milestones!$AC$100&amp;";  ","")&amp;IF(AND(EDATE($D114,Milestones!$AA$101)&lt;=AsOfDate,IF($Q114=0,$W114,IF(AND($S114&lt;&gt;"",EDATE($D114,Milestones!$AA$101)&gt;=$S114),$V114,IF(AND($R114&lt;&gt;"",EDATE($D114,Milestones!$AA$101)&gt;=$R114),$U114,$T114)))=Milestones!$AB$101),TEXT(EDATE($D114,Milestones!$AA$101),"dd/mm/yy")&amp;" "&amp;Milestones!$AB$101&amp;" "&amp;Milestones!$AC$101&amp;";  ","")&amp;IF(AND(EDATE($D114,Milestones!$AA$102)&lt;=AsOfDate,IF($Q114=0,$W114,IF(AND($S114&lt;&gt;"",EDATE($D114,Milestones!$AA$102)&gt;=$S114),$V114,IF(AND($R114&lt;&gt;"",EDATE($D114,Milestones!$AA$102)&gt;=$R114),$U114,$T114)))=Milestones!$AB$102),TEXT(EDATE($D114,Milestones!$AA$102),"dd/mm/yy")&amp;" "&amp;Milestones!$AB$102&amp;" "&amp;Milestones!$AC$102&amp;";  ","")&amp;IF(AND(EDATE($D114,Milestones!$AA$103)&lt;=AsOfDate,IF($Q114=0,$W114,IF(AND($S114&lt;&gt;"",EDATE($D114,Milestones!$AA$103)&gt;=$S114),$V114,IF(AND($R114&lt;&gt;"",EDATE($D114,Milestones!$AA$103)&gt;=$R114),$U114,$T114)))=Milestones!$AB$103),TEXT(EDATE($D114,Milestones!$AA$103),"dd/mm/yy")&amp;" "&amp;Milestones!$AB$103&amp;" "&amp;Milestones!$AC$103&amp;";  ","")&amp;IF(AND(EDATE($D114,Milestones!$AA$104)&lt;=AsOfDate,IF($Q114=0,$W114,IF(AND($S114&lt;&gt;"",EDATE($D114,Milestones!$AA$104)&gt;=$S114),$V114,IF(AND($R114&lt;&gt;"",EDATE($D114,Milestones!$AA$104)&gt;=$R114),$U114,$T114)))=Milestones!$AB$104),TEXT(EDATE($D114,Milestones!$AA$104),"dd/mm/yy")&amp;" "&amp;Milestones!$AB$104&amp;" "&amp;Milestones!$AC$104&amp;";  ","")&amp;IF(AND(EDATE($D114,Milestones!$AA$105)&lt;=AsOfDate,IF($Q114=0,$W114,IF(AND($S114&lt;&gt;"",EDATE($D114,Milestones!$AA$105)&gt;=$S114),$V114,IF(AND($R114&lt;&gt;"",EDATE($D114,Milestones!$AA$105)&gt;=$R114),$U114,$T114)))=Milestones!$AB$105),TEXT(EDATE($D114,Milestones!$AA$105),"dd/mm/yy")&amp;" "&amp;Milestones!$AB$105&amp;" "&amp;Milestones!$AC$105&amp;";  ","")&amp;IF(AND(EDATE($D114,Milestones!$AA$106)&lt;=AsOfDate,IF($Q114=0,$W114,IF(AND($S114&lt;&gt;"",EDATE($D114,Milestones!$AA$106)&gt;=$S114),$V114,IF(AND($R114&lt;&gt;"",EDATE($D114,Milestones!$AA$106)&gt;=$R114),$U114,$T114)))=Milestones!$AB$106),TEXT(EDATE($D114,Milestones!$AA$106),"dd/mm/yy")&amp;" "&amp;Milestones!$AB$106&amp;" "&amp;Milestones!$AC$106&amp;";  ","")&amp;IF(AND(EDATE($D114,Milestones!$AA$107)&lt;=AsOfDate,IF($Q114=0,$W114,IF(AND($S114&lt;&gt;"",EDATE($D114,Milestones!$AA$107)&gt;=$S114),$V114,IF(AND($R114&lt;&gt;"",EDATE($D114,Milestones!$AA$107)&gt;=$R114),$U114,$T114)))=Milestones!$AB$107),TEXT(EDATE($D114,Milestones!$AA$107),"dd/mm/yy")&amp;" "&amp;Milestones!$AB$107&amp;" "&amp;Milestones!$AC$107&amp;";  ","")&amp;IF(AND(EDATE($D114,Milestones!$AA$108)&lt;=AsOfDate,IF($Q114=0,$W114,IF(AND($S114&lt;&gt;"",EDATE($D114,Milestones!$AA$108)&gt;=$S114),$V114,IF(AND($R114&lt;&gt;"",EDATE($D114,Milestones!$AA$108)&gt;=$R114),$U114,$T114)))=Milestones!$AB$108),TEXT(EDATE($D114,Milestones!$AA$108),"dd/mm/yy")&amp;" "&amp;Milestones!$AB$108&amp;" "&amp;Milestones!$AC$108&amp;";  ","")&amp;IF(AND(EDATE($D114,Milestones!$AA$109)&lt;=AsOfDate,IF($Q114=0,$W114,IF(AND($S114&lt;&gt;"",EDATE($D114,Milestones!$AA$109)&gt;=$S114),$V114,IF(AND($R114&lt;&gt;"",EDATE($D114,Milestones!$AA$109)&gt;=$R114),$U114,$T114)))=Milestones!$AB$109),TEXT(EDATE($D114,Milestones!$AA$109),"dd/mm/yy")&amp;" "&amp;Milestones!$AB$109&amp;" "&amp;Milestones!$AC$109&amp;";  ","")&amp;IF(AND(EDATE($D114,Milestones!$AA$110)&lt;=AsOfDate,IF($Q114=0,$W114,IF(AND($S114&lt;&gt;"",EDATE($D114,Milestones!$AA$110)&gt;=$S114),$V114,IF(AND($R114&lt;&gt;"",EDATE($D114,Milestones!$AA$110)&gt;=$R114),$U114,$T114)))=Milestones!$AB$110),TEXT(EDATE($D114,Milestones!$AA$110),"dd/mm/yy")&amp;" "&amp;Milestones!$AB$110&amp;" "&amp;Milestones!$AC$110&amp;";  ","")&amp;IF(AND(EDATE($D114,Milestones!$AA$111)&lt;=AsOfDate,IF($Q114=0,$W114,IF(AND($S114&lt;&gt;"",EDATE($D114,Milestones!$AA$111)&gt;=$S114),$V114,IF(AND($R114&lt;&gt;"",EDATE($D114,Milestones!$AA$111)&gt;=$R114),$U114,$T114)))=Milestones!$AB$111),TEXT(EDATE($D114,Milestones!$AA$111),"dd/mm/yy")&amp;" "&amp;Milestones!$AB$111&amp;" "&amp;Milestones!$AC$111&amp;";  ","")&amp;IF(AND(EDATE($D114,Milestones!$AA$112)&lt;=AsOfDate,IF($Q114=0,$W114,IF(AND($S114&lt;&gt;"",EDATE($D114,Milestones!$AA$112)&gt;=$S114),$V114,IF(AND($R114&lt;&gt;"",EDATE($D114,Milestones!$AA$112)&gt;=$R114),$U114,$T114)))=Milestones!$AB$112),TEXT(EDATE($D114,Milestones!$AA$112),"dd/mm/yy")&amp;" "&amp;Milestones!$AB$112&amp;" "&amp;Milestones!$AC$112&amp;";  ","")&amp;IF(AND(EDATE($D114,Milestones!$AA$113)&lt;=AsOfDate,IF($Q114=0,$W114,IF(AND($S114&lt;&gt;"",EDATE($D114,Milestones!$AA$113)&gt;=$S114),$V114,IF(AND($R114&lt;&gt;"",EDATE($D114,Milestones!$AA$113)&gt;=$R114),$U114,$T114)))=Milestones!$AB$113),TEXT(EDATE($D114,Milestones!$AA$113),"dd/mm/yy")&amp;" "&amp;Milestones!$AB$113&amp;" "&amp;Milestones!$AC$113&amp;";  ","")&amp;IF(AND(EDATE($D114,Milestones!$AA$114)&lt;=AsOfDate,IF($Q114=0,$W114,IF(AND($S114&lt;&gt;"",EDATE($D114,Milestones!$AA$114)&gt;=$S114),$V114,IF(AND($R114&lt;&gt;"",EDATE($D114,Milestones!$AA$114)&gt;=$R114),$U114,$T114)))=Milestones!$AB$114),TEXT(EDATE($D114,Milestones!$AA$114),"dd/mm/yy")&amp;" "&amp;Milestones!$AB$114&amp;" "&amp;Milestones!$AC$114&amp;";  ","")&amp;IF(AND(EDATE($D114,Milestones!$AA$115)&lt;=AsOfDate,IF($Q114=0,$W114,IF(AND($S114&lt;&gt;"",EDATE($D114,Milestones!$AA$115)&gt;=$S114),$V114,IF(AND($R114&lt;&gt;"",EDATE($D114,Milestones!$AA$115)&gt;=$R114),$U114,$T114)))=Milestones!$AB$115),TEXT(EDATE($D114,Milestones!$AA$115),"dd/mm/yy")&amp;" "&amp;Milestones!$AB$115&amp;" "&amp;Milestones!$AC$115&amp;";  ","")&amp;IF(AND(EDATE($D114,Milestones!$AA$116)&lt;=AsOfDate,IF($Q114=0,$W114,IF(AND($S114&lt;&gt;"",EDATE($D114,Milestones!$AA$116)&gt;=$S114),$V114,IF(AND($R114&lt;&gt;"",EDATE($D114,Milestones!$AA$116)&gt;=$R114),$U114,$T114)))=Milestones!$AB$116),TEXT(EDATE($D114,Milestones!$AA$116),"dd/mm/yy")&amp;" "&amp;Milestones!$AB$116&amp;" "&amp;Milestones!$AC$116&amp;";  ","")&amp;IF(AND(EDATE($D114,Milestones!$AA$117)&lt;=AsOfDate,IF($Q114=0,$W114,IF(AND($S114&lt;&gt;"",EDATE($D114,Milestones!$AA$117)&gt;=$S114),$V114,IF(AND($R114&lt;&gt;"",EDATE($D114,Milestones!$AA$117)&gt;=$R114),$U114,$T114)))=Milestones!$AB$117),TEXT(EDATE($D114,Milestones!$AA$117),"dd/mm/yy")&amp;" "&amp;Milestones!$AB$117&amp;" "&amp;Milestones!$AC$117&amp;";  ","")&amp;IF(AND(EDATE($D114,Milestones!$AA$118)&lt;=AsOfDate,IF($Q114=0,$W114,IF(AND($S114&lt;&gt;"",EDATE($D114,Milestones!$AA$118)&gt;=$S114),$V114,IF(AND($R114&lt;&gt;"",EDATE($D114,Milestones!$AA$118)&gt;=$R114),$U114,$T114)))=Milestones!$AB$118),TEXT(EDATE($D114,Milestones!$AA$118),"dd/mm/yy")&amp;" "&amp;Milestones!$AB$118&amp;" "&amp;Milestones!$AC$118&amp;";  ","")&amp;IF(AND(EDATE($D114,Milestones!$AA$119)&lt;=AsOfDate,IF($Q114=0,$W114,IF(AND($S114&lt;&gt;"",EDATE($D114,Milestones!$AA$119)&gt;=$S114),$V114,IF(AND($R114&lt;&gt;"",EDATE($D114,Milestones!$AA$119)&gt;=$R114),$U114,$T114)))=Milestones!$AB$119),TEXT(EDATE($D114,Milestones!$AA$119),"dd/mm/yy")&amp;" "&amp;Milestones!$AB$119&amp;" "&amp;Milestones!$AC$119&amp;";  ",""))</f>
        <v/>
      </c>
      <c r="M114" s="0" t="str">
        <f aca="false">IF(OR($A114="",$D114=""),"",IF(AND(EDATE($D114,Milestones!$AA$120)&lt;=AsOfDate,IF($Q114=0,$W114,IF(AND($S114&lt;&gt;"",EDATE($D114,Milestones!$AA$120)&gt;=$S114),$V114,IF(AND($R114&lt;&gt;"",EDATE($D114,Milestones!$AA$120)&gt;=$R114),$U114,$T114)))=Milestones!$AB$120),TEXT(EDATE($D114,Milestones!$AA$120),"dd/mm/yy")&amp;" "&amp;Milestones!$AB$120&amp;" "&amp;Milestones!$AC$120&amp;";  ","")&amp;IF(AND(EDATE($D114,Milestones!$AA$121)&lt;=AsOfDate,IF($Q114=0,$W114,IF(AND($S114&lt;&gt;"",EDATE($D114,Milestones!$AA$121)&gt;=$S114),$V114,IF(AND($R114&lt;&gt;"",EDATE($D114,Milestones!$AA$121)&gt;=$R114),$U114,$T114)))=Milestones!$AB$121),TEXT(EDATE($D114,Milestones!$AA$121),"dd/mm/yy")&amp;" "&amp;Milestones!$AB$121&amp;" "&amp;Milestones!$AC$121&amp;";  ","")&amp;IF(AND(EDATE($D114,Milestones!$AA$122)&lt;=AsOfDate,IF($Q114=0,$W114,IF(AND($S114&lt;&gt;"",EDATE($D114,Milestones!$AA$122)&gt;=$S114),$V114,IF(AND($R114&lt;&gt;"",EDATE($D114,Milestones!$AA$122)&gt;=$R114),$U114,$T114)))=Milestones!$AB$122),TEXT(EDATE($D114,Milestones!$AA$122),"dd/mm/yy")&amp;" "&amp;Milestones!$AB$122&amp;" "&amp;Milestones!$AC$122&amp;";  ","")&amp;IF(AND(EDATE($D114,Milestones!$AA$123)&lt;=AsOfDate,IF($Q114=0,$W114,IF(AND($S114&lt;&gt;"",EDATE($D114,Milestones!$AA$123)&gt;=$S114),$V114,IF(AND($R114&lt;&gt;"",EDATE($D114,Milestones!$AA$123)&gt;=$R114),$U114,$T114)))=Milestones!$AB$123),TEXT(EDATE($D114,Milestones!$AA$123),"dd/mm/yy")&amp;" "&amp;Milestones!$AB$123&amp;" "&amp;Milestones!$AC$123&amp;";  ","")&amp;IF(AND(EDATE($D114,Milestones!$AA$124)&lt;=AsOfDate,IF($Q114=0,$W114,IF(AND($S114&lt;&gt;"",EDATE($D114,Milestones!$AA$124)&gt;=$S114),$V114,IF(AND($R114&lt;&gt;"",EDATE($D114,Milestones!$AA$124)&gt;=$R114),$U114,$T114)))=Milestones!$AB$124),TEXT(EDATE($D114,Milestones!$AA$124),"dd/mm/yy")&amp;" "&amp;Milestones!$AB$124&amp;" "&amp;Milestones!$AC$124&amp;";  ","")&amp;IF(AND(EDATE($D114,Milestones!$AA$125)&lt;=AsOfDate,IF($Q114=0,$W114,IF(AND($S114&lt;&gt;"",EDATE($D114,Milestones!$AA$125)&gt;=$S114),$V114,IF(AND($R114&lt;&gt;"",EDATE($D114,Milestones!$AA$125)&gt;=$R114),$U114,$T114)))=Milestones!$AB$125),TEXT(EDATE($D114,Milestones!$AA$125),"dd/mm/yy")&amp;" "&amp;Milestones!$AB$125&amp;" "&amp;Milestones!$AC$125&amp;";  ","")&amp;IF(AND(EDATE($D114,Milestones!$AA$126)&lt;=AsOfDate,IF($Q114=0,$W114,IF(AND($S114&lt;&gt;"",EDATE($D114,Milestones!$AA$126)&gt;=$S114),$V114,IF(AND($R114&lt;&gt;"",EDATE($D114,Milestones!$AA$126)&gt;=$R114),$U114,$T114)))=Milestones!$AB$126),TEXT(EDATE($D114,Milestones!$AA$126),"dd/mm/yy")&amp;" "&amp;Milestones!$AB$126&amp;" "&amp;Milestones!$AC$126&amp;";  ","")&amp;IF(AND(EDATE($D114,Milestones!$AA$127)&lt;=AsOfDate,IF($Q114=0,$W114,IF(AND($S114&lt;&gt;"",EDATE($D114,Milestones!$AA$127)&gt;=$S114),$V114,IF(AND($R114&lt;&gt;"",EDATE($D114,Milestones!$AA$127)&gt;=$R114),$U114,$T114)))=Milestones!$AB$127),TEXT(EDATE($D114,Milestones!$AA$127),"dd/mm/yy")&amp;" "&amp;Milestones!$AB$127&amp;" "&amp;Milestones!$AC$127&amp;";  ","")&amp;IF(AND(EDATE($D114,Milestones!$AA$128)&lt;=AsOfDate,IF($Q114=0,$W114,IF(AND($S114&lt;&gt;"",EDATE($D114,Milestones!$AA$128)&gt;=$S114),$V114,IF(AND($R114&lt;&gt;"",EDATE($D114,Milestones!$AA$128)&gt;=$R114),$U114,$T114)))=Milestones!$AB$128),TEXT(EDATE($D114,Milestones!$AA$128),"dd/mm/yy")&amp;" "&amp;Milestones!$AB$128&amp;" "&amp;Milestones!$AC$128&amp;";  ","")&amp;IF(AND(EDATE($D114,Milestones!$AA$129)&lt;=AsOfDate,IF($Q114=0,$W114,IF(AND($S114&lt;&gt;"",EDATE($D114,Milestones!$AA$129)&gt;=$S114),$V114,IF(AND($R114&lt;&gt;"",EDATE($D114,Milestones!$AA$129)&gt;=$R114),$U114,$T114)))=Milestones!$AB$129),TEXT(EDATE($D114,Milestones!$AA$129),"dd/mm/yy")&amp;" "&amp;Milestones!$AB$129&amp;" "&amp;Milestones!$AC$129&amp;";  ","")&amp;IF(AND(EDATE($D114,Milestones!$AA$130)&lt;=AsOfDate,IF($Q114=0,$W114,IF(AND($S114&lt;&gt;"",EDATE($D114,Milestones!$AA$130)&gt;=$S114),$V114,IF(AND($R114&lt;&gt;"",EDATE($D114,Milestones!$AA$130)&gt;=$R114),$U114,$T114)))=Milestones!$AB$130),TEXT(EDATE($D114,Milestones!$AA$130),"dd/mm/yy")&amp;" "&amp;Milestones!$AB$130&amp;" "&amp;Milestones!$AC$130&amp;";  ","")&amp;IF(AND(EDATE($D114,Milestones!$AA$131)&lt;=AsOfDate,IF($Q114=0,$W114,IF(AND($S114&lt;&gt;"",EDATE($D114,Milestones!$AA$131)&gt;=$S114),$V114,IF(AND($R114&lt;&gt;"",EDATE($D114,Milestones!$AA$131)&gt;=$R114),$U114,$T114)))=Milestones!$AB$131),TEXT(EDATE($D114,Milestones!$AA$131),"dd/mm/yy")&amp;" "&amp;Milestones!$AB$131&amp;" "&amp;Milestones!$AC$131&amp;";  ","")&amp;IF(AND(EDATE($D114,Milestones!$AA$132)&lt;=AsOfDate,IF($Q114=0,$W114,IF(AND($S114&lt;&gt;"",EDATE($D114,Milestones!$AA$132)&gt;=$S114),$V114,IF(AND($R114&lt;&gt;"",EDATE($D114,Milestones!$AA$132)&gt;=$R114),$U114,$T114)))=Milestones!$AB$132),TEXT(EDATE($D114,Milestones!$AA$132),"dd/mm/yy")&amp;" "&amp;Milestones!$AB$132&amp;" "&amp;Milestones!$AC$132&amp;";  ","")&amp;IF(AND(EDATE($D114,Milestones!$AA$133)&lt;=AsOfDate,IF($Q114=0,$W114,IF(AND($S114&lt;&gt;"",EDATE($D114,Milestones!$AA$133)&gt;=$S114),$V114,IF(AND($R114&lt;&gt;"",EDATE($D114,Milestones!$AA$133)&gt;=$R114),$U114,$T114)))=Milestones!$AB$133),TEXT(EDATE($D114,Milestones!$AA$133),"dd/mm/yy")&amp;" "&amp;Milestones!$AB$133&amp;" "&amp;Milestones!$AC$133&amp;";  ","")&amp;IF(AND(EDATE($D114,Milestones!$AA$134)&lt;=AsOfDate,IF($Q114=0,$W114,IF(AND($S114&lt;&gt;"",EDATE($D114,Milestones!$AA$134)&gt;=$S114),$V114,IF(AND($R114&lt;&gt;"",EDATE($D114,Milestones!$AA$134)&gt;=$R114),$U114,$T114)))=Milestones!$AB$134),TEXT(EDATE($D114,Milestones!$AA$134),"dd/mm/yy")&amp;" "&amp;Milestones!$AB$134&amp;" "&amp;Milestones!$AC$134&amp;";  ","")&amp;IF(AND(EDATE($D114,Milestones!$AA$135)&lt;=AsOfDate,IF($Q114=0,$W114,IF(AND($S114&lt;&gt;"",EDATE($D114,Milestones!$AA$135)&gt;=$S114),$V114,IF(AND($R114&lt;&gt;"",EDATE($D114,Milestones!$AA$135)&gt;=$R114),$U114,$T114)))=Milestones!$AB$135),TEXT(EDATE($D114,Milestones!$AA$135),"dd/mm/yy")&amp;" "&amp;Milestones!$AB$135&amp;" "&amp;Milestones!$AC$135&amp;";  ","")&amp;IF(AND(EDATE($D114,Milestones!$AA$136)&lt;=AsOfDate,IF($Q114=0,$W114,IF(AND($S114&lt;&gt;"",EDATE($D114,Milestones!$AA$136)&gt;=$S114),$V114,IF(AND($R114&lt;&gt;"",EDATE($D114,Milestones!$AA$136)&gt;=$R114),$U114,$T114)))=Milestones!$AB$136),TEXT(EDATE($D114,Milestones!$AA$136),"dd/mm/yy")&amp;" "&amp;Milestones!$AB$136&amp;" "&amp;Milestones!$AC$136&amp;";  ","")&amp;IF(AND(EDATE($D114,Milestones!$AA$137)&lt;=AsOfDate,IF($Q114=0,$W114,IF(AND($S114&lt;&gt;"",EDATE($D114,Milestones!$AA$137)&gt;=$S114),$V114,IF(AND($R114&lt;&gt;"",EDATE($D114,Milestones!$AA$137)&gt;=$R114),$U114,$T114)))=Milestones!$AB$137),TEXT(EDATE($D114,Milestones!$AA$137),"dd/mm/yy")&amp;" "&amp;Milestones!$AB$137&amp;" "&amp;Milestones!$AC$137&amp;";  ","")&amp;IF(AND(EDATE($D114,Milestones!$AA$138)&lt;=AsOfDate,IF($Q114=0,$W114,IF(AND($S114&lt;&gt;"",EDATE($D114,Milestones!$AA$138)&gt;=$S114),$V114,IF(AND($R114&lt;&gt;"",EDATE($D114,Milestones!$AA$138)&gt;=$R114),$U114,$T114)))=Milestones!$AB$138),TEXT(EDATE($D114,Milestones!$AA$138),"dd/mm/yy")&amp;" "&amp;Milestones!$AB$138&amp;" "&amp;Milestones!$AC$138&amp;";  ","")&amp;IF(AND(EDATE($D114,Milestones!$AA$139)&lt;=AsOfDate,IF($Q114=0,$W114,IF(AND($S114&lt;&gt;"",EDATE($D114,Milestones!$AA$139)&gt;=$S114),$V114,IF(AND($R114&lt;&gt;"",EDATE($D114,Milestones!$AA$139)&gt;=$R114),$U114,$T114)))=Milestones!$AB$139),TEXT(EDATE($D114,Milestones!$AA$139),"dd/mm/yy")&amp;" "&amp;Milestones!$AB$139&amp;" "&amp;Milestones!$AC$139&amp;";  ",""))</f>
        <v/>
      </c>
      <c r="N114" s="0" t="str">
        <f aca="false">IF(OR($A114="",$D114=""),"",IF(AND(EDATE($D114,Milestones!$AA$140)&lt;=AsOfDate,IF($Q114=0,$W114,IF(AND($S114&lt;&gt;"",EDATE($D114,Milestones!$AA$140)&gt;=$S114),$V114,IF(AND($R114&lt;&gt;"",EDATE($D114,Milestones!$AA$140)&gt;=$R114),$U114,$T114)))=Milestones!$AB$140),TEXT(EDATE($D114,Milestones!$AA$140),"dd/mm/yy")&amp;" "&amp;Milestones!$AB$140&amp;" "&amp;Milestones!$AC$140&amp;";  ","")&amp;IF(AND(EDATE($D114,Milestones!$AA$141)&lt;=AsOfDate,IF($Q114=0,$W114,IF(AND($S114&lt;&gt;"",EDATE($D114,Milestones!$AA$141)&gt;=$S114),$V114,IF(AND($R114&lt;&gt;"",EDATE($D114,Milestones!$AA$141)&gt;=$R114),$U114,$T114)))=Milestones!$AB$141),TEXT(EDATE($D114,Milestones!$AA$141),"dd/mm/yy")&amp;" "&amp;Milestones!$AB$141&amp;" "&amp;Milestones!$AC$141&amp;";  ","")&amp;IF(AND(EDATE($D114,Milestones!$AA$142)&lt;=AsOfDate,IF($Q114=0,$W114,IF(AND($S114&lt;&gt;"",EDATE($D114,Milestones!$AA$142)&gt;=$S114),$V114,IF(AND($R114&lt;&gt;"",EDATE($D114,Milestones!$AA$142)&gt;=$R114),$U114,$T114)))=Milestones!$AB$142),TEXT(EDATE($D114,Milestones!$AA$142),"dd/mm/yy")&amp;" "&amp;Milestones!$AB$142&amp;" "&amp;Milestones!$AC$142&amp;";  ","")&amp;IF(AND(EDATE($D114,Milestones!$AA$143)&lt;=AsOfDate,IF($Q114=0,$W114,IF(AND($S114&lt;&gt;"",EDATE($D114,Milestones!$AA$143)&gt;=$S114),$V114,IF(AND($R114&lt;&gt;"",EDATE($D114,Milestones!$AA$143)&gt;=$R114),$U114,$T114)))=Milestones!$AB$143),TEXT(EDATE($D114,Milestones!$AA$143),"dd/mm/yy")&amp;" "&amp;Milestones!$AB$143&amp;" "&amp;Milestones!$AC$143&amp;";  ","")&amp;IF(AND(EDATE($D114,Milestones!$AA$144)&lt;=AsOfDate,IF($Q114=0,$W114,IF(AND($S114&lt;&gt;"",EDATE($D114,Milestones!$AA$144)&gt;=$S114),$V114,IF(AND($R114&lt;&gt;"",EDATE($D114,Milestones!$AA$144)&gt;=$R114),$U114,$T114)))=Milestones!$AB$144),TEXT(EDATE($D114,Milestones!$AA$144),"dd/mm/yy")&amp;" "&amp;Milestones!$AB$144&amp;" "&amp;Milestones!$AC$144&amp;";  ","")&amp;IF(AND(EDATE($D114,Milestones!$AA$145)&lt;=AsOfDate,IF($Q114=0,$W114,IF(AND($S114&lt;&gt;"",EDATE($D114,Milestones!$AA$145)&gt;=$S114),$V114,IF(AND($R114&lt;&gt;"",EDATE($D114,Milestones!$AA$145)&gt;=$R114),$U114,$T114)))=Milestones!$AB$145),TEXT(EDATE($D114,Milestones!$AA$145),"dd/mm/yy")&amp;" "&amp;Milestones!$AB$145&amp;" "&amp;Milestones!$AC$145&amp;";  ","")&amp;IF(AND(EDATE($D114,Milestones!$AA$146)&lt;=AsOfDate,IF($Q114=0,$W114,IF(AND($S114&lt;&gt;"",EDATE($D114,Milestones!$AA$146)&gt;=$S114),$V114,IF(AND($R114&lt;&gt;"",EDATE($D114,Milestones!$AA$146)&gt;=$R114),$U114,$T114)))=Milestones!$AB$146),TEXT(EDATE($D114,Milestones!$AA$146),"dd/mm/yy")&amp;" "&amp;Milestones!$AB$146&amp;" "&amp;Milestones!$AC$146&amp;";  ","")&amp;IF(AND(EDATE($D114,Milestones!$AA$147)&lt;=AsOfDate,IF($Q114=0,$W114,IF(AND($S114&lt;&gt;"",EDATE($D114,Milestones!$AA$147)&gt;=$S114),$V114,IF(AND($R114&lt;&gt;"",EDATE($D114,Milestones!$AA$147)&gt;=$R114),$U114,$T114)))=Milestones!$AB$147),TEXT(EDATE($D114,Milestones!$AA$147),"dd/mm/yy")&amp;" "&amp;Milestones!$AB$147&amp;" "&amp;Milestones!$AC$147&amp;";  ","")&amp;IF(AND(EDATE($D114,Milestones!$AA$148)&lt;=AsOfDate,IF($Q114=0,$W114,IF(AND($S114&lt;&gt;"",EDATE($D114,Milestones!$AA$148)&gt;=$S114),$V114,IF(AND($R114&lt;&gt;"",EDATE($D114,Milestones!$AA$148)&gt;=$R114),$U114,$T114)))=Milestones!$AB$148),TEXT(EDATE($D114,Milestones!$AA$148),"dd/mm/yy")&amp;" "&amp;Milestones!$AB$148&amp;" "&amp;Milestones!$AC$148&amp;";  ","")&amp;IF(AND(EDATE($D114,Milestones!$AA$149)&lt;=AsOfDate,IF($Q114=0,$W114,IF(AND($S114&lt;&gt;"",EDATE($D114,Milestones!$AA$149)&gt;=$S114),$V114,IF(AND($R114&lt;&gt;"",EDATE($D114,Milestones!$AA$149)&gt;=$R114),$U114,$T114)))=Milestones!$AB$149),TEXT(EDATE($D114,Milestones!$AA$149),"dd/mm/yy")&amp;" "&amp;Milestones!$AB$149&amp;" "&amp;Milestones!$AC$149&amp;";  ","")&amp;IF(AND(EDATE($D114,Milestones!$AA$150)&lt;=AsOfDate,IF($Q114=0,$W114,IF(AND($S114&lt;&gt;"",EDATE($D114,Milestones!$AA$150)&gt;=$S114),$V114,IF(AND($R114&lt;&gt;"",EDATE($D114,Milestones!$AA$150)&gt;=$R114),$U114,$T114)))=Milestones!$AB$150),TEXT(EDATE($D114,Milestones!$AA$150),"dd/mm/yy")&amp;" "&amp;Milestones!$AB$150&amp;" "&amp;Milestones!$AC$150&amp;";  ","")&amp;IF(AND(EDATE($D114,Milestones!$AA$151)&lt;=AsOfDate,IF($Q114=0,$W114,IF(AND($S114&lt;&gt;"",EDATE($D114,Milestones!$AA$151)&gt;=$S114),$V114,IF(AND($R114&lt;&gt;"",EDATE($D114,Milestones!$AA$151)&gt;=$R114),$U114,$T114)))=Milestones!$AB$151),TEXT(EDATE($D114,Milestones!$AA$151),"dd/mm/yy")&amp;" "&amp;Milestones!$AB$151&amp;" "&amp;Milestones!$AC$151&amp;";  ","")&amp;IF(AND(EDATE($D114,Milestones!$AA$152)&lt;=AsOfDate,IF($Q114=0,$W114,IF(AND($S114&lt;&gt;"",EDATE($D114,Milestones!$AA$152)&gt;=$S114),$V114,IF(AND($R114&lt;&gt;"",EDATE($D114,Milestones!$AA$152)&gt;=$R114),$U114,$T114)))=Milestones!$AB$152),TEXT(EDATE($D114,Milestones!$AA$152),"dd/mm/yy")&amp;" "&amp;Milestones!$AB$152&amp;" "&amp;Milestones!$AC$152&amp;";  ","")&amp;IF(AND(EDATE($D114,Milestones!$AA$153)&lt;=AsOfDate,IF($Q114=0,$W114,IF(AND($S114&lt;&gt;"",EDATE($D114,Milestones!$AA$153)&gt;=$S114),$V114,IF(AND($R114&lt;&gt;"",EDATE($D114,Milestones!$AA$153)&gt;=$R114),$U114,$T114)))=Milestones!$AB$153),TEXT(EDATE($D114,Milestones!$AA$153),"dd/mm/yy")&amp;" "&amp;Milestones!$AB$153&amp;" "&amp;Milestones!$AC$153&amp;";  ","")&amp;IF(AND(EDATE($D114,Milestones!$AA$154)&lt;=AsOfDate,IF($Q114=0,$W114,IF(AND($S114&lt;&gt;"",EDATE($D114,Milestones!$AA$154)&gt;=$S114),$V114,IF(AND($R114&lt;&gt;"",EDATE($D114,Milestones!$AA$154)&gt;=$R114),$U114,$T114)))=Milestones!$AB$154),TEXT(EDATE($D114,Milestones!$AA$154),"dd/mm/yy")&amp;" "&amp;Milestones!$AB$154&amp;" "&amp;Milestones!$AC$154&amp;";  ","")&amp;IF(AND(EDATE($D114,Milestones!$AA$155)&lt;=AsOfDate,IF($Q114=0,$W114,IF(AND($S114&lt;&gt;"",EDATE($D114,Milestones!$AA$155)&gt;=$S114),$V114,IF(AND($R114&lt;&gt;"",EDATE($D114,Milestones!$AA$155)&gt;=$R114),$U114,$T114)))=Milestones!$AB$155),TEXT(EDATE($D114,Milestones!$AA$155),"dd/mm/yy")&amp;" "&amp;Milestones!$AB$155&amp;" "&amp;Milestones!$AC$155&amp;";  ","")&amp;IF(AND(EDATE($D114,Milestones!$AA$156)&lt;=AsOfDate,IF($Q114=0,$W114,IF(AND($S114&lt;&gt;"",EDATE($D114,Milestones!$AA$156)&gt;=$S114),$V114,IF(AND($R114&lt;&gt;"",EDATE($D114,Milestones!$AA$156)&gt;=$R114),$U114,$T114)))=Milestones!$AB$156),TEXT(EDATE($D114,Milestones!$AA$156),"dd/mm/yy")&amp;" "&amp;Milestones!$AB$156&amp;" "&amp;Milestones!$AC$156&amp;";  ","")&amp;IF(AND(EDATE($D114,Milestones!$AA$157)&lt;=AsOfDate,IF($Q114=0,$W114,IF(AND($S114&lt;&gt;"",EDATE($D114,Milestones!$AA$157)&gt;=$S114),$V114,IF(AND($R114&lt;&gt;"",EDATE($D114,Milestones!$AA$157)&gt;=$R114),$U114,$T114)))=Milestones!$AB$157),TEXT(EDATE($D114,Milestones!$AA$157),"dd/mm/yy")&amp;" "&amp;Milestones!$AB$157&amp;" "&amp;Milestones!$AC$157&amp;";  ","")&amp;IF(AND(EDATE($D114,Milestones!$AA$158)&lt;=AsOfDate,IF($Q114=0,$W114,IF(AND($S114&lt;&gt;"",EDATE($D114,Milestones!$AA$158)&gt;=$S114),$V114,IF(AND($R114&lt;&gt;"",EDATE($D114,Milestones!$AA$158)&gt;=$R114),$U114,$T114)))=Milestones!$AB$158),TEXT(EDATE($D114,Milestones!$AA$158),"dd/mm/yy")&amp;" "&amp;Milestones!$AB$158&amp;" "&amp;Milestones!$AC$158&amp;";  ","")&amp;IF(AND(EDATE($D114,Milestones!$AA$159)&lt;=AsOfDate,IF($Q114=0,$W114,IF(AND($S114&lt;&gt;"",EDATE($D114,Milestones!$AA$159)&gt;=$S114),$V114,IF(AND($R114&lt;&gt;"",EDATE($D114,Milestones!$AA$159)&gt;=$R114),$U114,$T114)))=Milestones!$AB$159),TEXT(EDATE($D114,Milestones!$AA$159),"dd/mm/yy")&amp;" "&amp;Milestones!$AB$159&amp;" "&amp;Milestones!$AC$159&amp;";  ",""))</f>
        <v/>
      </c>
      <c r="O114" s="0" t="str">
        <f aca="false">IF(OR($A114="",$D114=""),"",IF(AND(EDATE($D114,Milestones!$AA$160)&lt;=AsOfDate,IF($Q114=0,$W114,IF(AND($S114&lt;&gt;"",EDATE($D114,Milestones!$AA$160)&gt;=$S114),$V114,IF(AND($R114&lt;&gt;"",EDATE($D114,Milestones!$AA$160)&gt;=$R114),$U114,$T114)))=Milestones!$AB$160),TEXT(EDATE($D114,Milestones!$AA$160),"dd/mm/yy")&amp;" "&amp;Milestones!$AB$160&amp;" "&amp;Milestones!$AC$160&amp;";  ","")&amp;IF(AND(EDATE($D114,Milestones!$AA$161)&lt;=AsOfDate,IF($Q114=0,$W114,IF(AND($S114&lt;&gt;"",EDATE($D114,Milestones!$AA$161)&gt;=$S114),$V114,IF(AND($R114&lt;&gt;"",EDATE($D114,Milestones!$AA$161)&gt;=$R114),$U114,$T114)))=Milestones!$AB$161),TEXT(EDATE($D114,Milestones!$AA$161),"dd/mm/yy")&amp;" "&amp;Milestones!$AB$161&amp;" "&amp;Milestones!$AC$161&amp;";  ","")&amp;IF(AND(EDATE($D114,Milestones!$AA$162)&lt;=AsOfDate,IF($Q114=0,$W114,IF(AND($S114&lt;&gt;"",EDATE($D114,Milestones!$AA$162)&gt;=$S114),$V114,IF(AND($R114&lt;&gt;"",EDATE($D114,Milestones!$AA$162)&gt;=$R114),$U114,$T114)))=Milestones!$AB$162),TEXT(EDATE($D114,Milestones!$AA$162),"dd/mm/yy")&amp;" "&amp;Milestones!$AB$162&amp;" "&amp;Milestones!$AC$162&amp;";  ","")&amp;IF(AND(EDATE($D114,Milestones!$AA$163)&lt;=AsOfDate,IF($Q114=0,$W114,IF(AND($S114&lt;&gt;"",EDATE($D114,Milestones!$AA$163)&gt;=$S114),$V114,IF(AND($R114&lt;&gt;"",EDATE($D114,Milestones!$AA$163)&gt;=$R114),$U114,$T114)))=Milestones!$AB$163),TEXT(EDATE($D114,Milestones!$AA$163),"dd/mm/yy")&amp;" "&amp;Milestones!$AB$163&amp;" "&amp;Milestones!$AC$163&amp;";  ","")&amp;IF(AND(EDATE($D114,Milestones!$AA$164)&lt;=AsOfDate,IF($Q114=0,$W114,IF(AND($S114&lt;&gt;"",EDATE($D114,Milestones!$AA$164)&gt;=$S114),$V114,IF(AND($R114&lt;&gt;"",EDATE($D114,Milestones!$AA$164)&gt;=$R114),$U114,$T114)))=Milestones!$AB$164),TEXT(EDATE($D114,Milestones!$AA$164),"dd/mm/yy")&amp;" "&amp;Milestones!$AB$164&amp;" "&amp;Milestones!$AC$164&amp;";  ","")&amp;IF(AND(EDATE($D114,Milestones!$AA$165)&lt;=AsOfDate,IF($Q114=0,$W114,IF(AND($S114&lt;&gt;"",EDATE($D114,Milestones!$AA$165)&gt;=$S114),$V114,IF(AND($R114&lt;&gt;"",EDATE($D114,Milestones!$AA$165)&gt;=$R114),$U114,$T114)))=Milestones!$AB$165),TEXT(EDATE($D114,Milestones!$AA$165),"dd/mm/yy")&amp;" "&amp;Milestones!$AB$165&amp;" "&amp;Milestones!$AC$165&amp;";  ","")&amp;IF(AND(EDATE($D114,Milestones!$AA$166)&lt;=AsOfDate,IF($Q114=0,$W114,IF(AND($S114&lt;&gt;"",EDATE($D114,Milestones!$AA$166)&gt;=$S114),$V114,IF(AND($R114&lt;&gt;"",EDATE($D114,Milestones!$AA$166)&gt;=$R114),$U114,$T114)))=Milestones!$AB$166),TEXT(EDATE($D114,Milestones!$AA$166),"dd/mm/yy")&amp;" "&amp;Milestones!$AB$166&amp;" "&amp;Milestones!$AC$166&amp;";  ","")&amp;IF(AND(EDATE($D114,Milestones!$AA$167)&lt;=AsOfDate,IF($Q114=0,$W114,IF(AND($S114&lt;&gt;"",EDATE($D114,Milestones!$AA$167)&gt;=$S114),$V114,IF(AND($R114&lt;&gt;"",EDATE($D114,Milestones!$AA$167)&gt;=$R114),$U114,$T114)))=Milestones!$AB$167),TEXT(EDATE($D114,Milestones!$AA$167),"dd/mm/yy")&amp;" "&amp;Milestones!$AB$167&amp;" "&amp;Milestones!$AC$167&amp;";  ","")&amp;IF(AND(EDATE($D114,Milestones!$AA$168)&lt;=AsOfDate,IF($Q114=0,$W114,IF(AND($S114&lt;&gt;"",EDATE($D114,Milestones!$AA$168)&gt;=$S114),$V114,IF(AND($R114&lt;&gt;"",EDATE($D114,Milestones!$AA$168)&gt;=$R114),$U114,$T114)))=Milestones!$AB$168),TEXT(EDATE($D114,Milestones!$AA$168),"dd/mm/yy")&amp;" "&amp;Milestones!$AB$168&amp;" "&amp;Milestones!$AC$168&amp;";  ","")&amp;IF(AND(EDATE($D114,Milestones!$AA$169)&lt;=AsOfDate,IF($Q114=0,$W114,IF(AND($S114&lt;&gt;"",EDATE($D114,Milestones!$AA$169)&gt;=$S114),$V114,IF(AND($R114&lt;&gt;"",EDATE($D114,Milestones!$AA$169)&gt;=$R114),$U114,$T114)))=Milestones!$AB$169),TEXT(EDATE($D114,Milestones!$AA$169),"dd/mm/yy")&amp;" "&amp;Milestones!$AB$169&amp;" "&amp;Milestones!$AC$169&amp;";  ","")&amp;IF(AND(EDATE($D114,Milestones!$AA$170)&lt;=AsOfDate,IF($Q114=0,$W114,IF(AND($S114&lt;&gt;"",EDATE($D114,Milestones!$AA$170)&gt;=$S114),$V114,IF(AND($R114&lt;&gt;"",EDATE($D114,Milestones!$AA$170)&gt;=$R114),$U114,$T114)))=Milestones!$AB$170),TEXT(EDATE($D114,Milestones!$AA$170),"dd/mm/yy")&amp;" "&amp;Milestones!$AB$170&amp;" "&amp;Milestones!$AC$170&amp;";  ","")&amp;IF(AND(EDATE($D114,Milestones!$AA$171)&lt;=AsOfDate,IF($Q114=0,$W114,IF(AND($S114&lt;&gt;"",EDATE($D114,Milestones!$AA$171)&gt;=$S114),$V114,IF(AND($R114&lt;&gt;"",EDATE($D114,Milestones!$AA$171)&gt;=$R114),$U114,$T114)))=Milestones!$AB$171),TEXT(EDATE($D114,Milestones!$AA$171),"dd/mm/yy")&amp;" "&amp;Milestones!$AB$171&amp;" "&amp;Milestones!$AC$171&amp;";  ","")&amp;IF(AND(EDATE($D114,Milestones!$AA$172)&lt;=AsOfDate,IF($Q114=0,$W114,IF(AND($S114&lt;&gt;"",EDATE($D114,Milestones!$AA$172)&gt;=$S114),$V114,IF(AND($R114&lt;&gt;"",EDATE($D114,Milestones!$AA$172)&gt;=$R114),$U114,$T114)))=Milestones!$AB$172),TEXT(EDATE($D114,Milestones!$AA$172),"dd/mm/yy")&amp;" "&amp;Milestones!$AB$172&amp;" "&amp;Milestones!$AC$172&amp;";  ","")&amp;IF(AND(EDATE($D114,Milestones!$AA$173)&lt;=AsOfDate,IF($Q114=0,$W114,IF(AND($S114&lt;&gt;"",EDATE($D114,Milestones!$AA$173)&gt;=$S114),$V114,IF(AND($R114&lt;&gt;"",EDATE($D114,Milestones!$AA$173)&gt;=$R114),$U114,$T114)))=Milestones!$AB$173),TEXT(EDATE($D114,Milestones!$AA$173),"dd/mm/yy")&amp;" "&amp;Milestones!$AB$173&amp;" "&amp;Milestones!$AC$173&amp;";  ","")&amp;IF(AND(EDATE($D114,Milestones!$AA$174)&lt;=AsOfDate,IF($Q114=0,$W114,IF(AND($S114&lt;&gt;"",EDATE($D114,Milestones!$AA$174)&gt;=$S114),$V114,IF(AND($R114&lt;&gt;"",EDATE($D114,Milestones!$AA$174)&gt;=$R114),$U114,$T114)))=Milestones!$AB$174),TEXT(EDATE($D114,Milestones!$AA$174),"dd/mm/yy")&amp;" "&amp;Milestones!$AB$174&amp;" "&amp;Milestones!$AC$174&amp;";  ","")&amp;IF(AND(EDATE($D114,Milestones!$AA$175)&lt;=AsOfDate,IF($Q114=0,$W114,IF(AND($S114&lt;&gt;"",EDATE($D114,Milestones!$AA$175)&gt;=$S114),$V114,IF(AND($R114&lt;&gt;"",EDATE($D114,Milestones!$AA$175)&gt;=$R114),$U114,$T114)))=Milestones!$AB$175),TEXT(EDATE($D114,Milestones!$AA$175),"dd/mm/yy")&amp;" "&amp;Milestones!$AB$175&amp;" "&amp;Milestones!$AC$175&amp;";  ","")&amp;IF(AND(EDATE($D114,Milestones!$AA$176)&lt;=AsOfDate,IF($Q114=0,$W114,IF(AND($S114&lt;&gt;"",EDATE($D114,Milestones!$AA$176)&gt;=$S114),$V114,IF(AND($R114&lt;&gt;"",EDATE($D114,Milestones!$AA$176)&gt;=$R114),$U114,$T114)))=Milestones!$AB$176),TEXT(EDATE($D114,Milestones!$AA$176),"dd/mm/yy")&amp;" "&amp;Milestones!$AB$176&amp;" "&amp;Milestones!$AC$176&amp;";  ","")&amp;IF(AND(EDATE($D114,Milestones!$AA$177)&lt;=AsOfDate,IF($Q114=0,$W114,IF(AND($S114&lt;&gt;"",EDATE($D114,Milestones!$AA$177)&gt;=$S114),$V114,IF(AND($R114&lt;&gt;"",EDATE($D114,Milestones!$AA$177)&gt;=$R114),$U114,$T114)))=Milestones!$AB$177),TEXT(EDATE($D114,Milestones!$AA$177),"dd/mm/yy")&amp;" "&amp;Milestones!$AB$177&amp;" "&amp;Milestones!$AC$177&amp;";  ","")&amp;IF(AND(EDATE($D114,Milestones!$AA$178)&lt;=AsOfDate,IF($Q114=0,$W114,IF(AND($S114&lt;&gt;"",EDATE($D114,Milestones!$AA$178)&gt;=$S114),$V114,IF(AND($R114&lt;&gt;"",EDATE($D114,Milestones!$AA$178)&gt;=$R114),$U114,$T114)))=Milestones!$AB$178),TEXT(EDATE($D114,Milestones!$AA$178),"dd/mm/yy")&amp;" "&amp;Milestones!$AB$178&amp;" "&amp;Milestones!$AC$178&amp;";  ","")&amp;IF(AND(EDATE($D114,Milestones!$AA$179)&lt;=AsOfDate,IF($Q114=0,$W114,IF(AND($S114&lt;&gt;"",EDATE($D114,Milestones!$AA$179)&gt;=$S114),$V114,IF(AND($R114&lt;&gt;"",EDATE($D114,Milestones!$AA$179)&gt;=$R114),$U114,$T114)))=Milestones!$AB$179),TEXT(EDATE($D114,Milestones!$AA$179),"dd/mm/yy")&amp;" "&amp;Milestones!$AB$179&amp;" "&amp;Milestones!$AC$179&amp;";  ",""))</f>
        <v/>
      </c>
      <c r="P114" s="0" t="str">
        <f aca="false">IF(OR($A114="",$D114=""),"",IF(AND(EDATE($D114,Milestones!$AA$180)&lt;=AsOfDate,IF($Q114=0,$W114,IF(AND($S114&lt;&gt;"",EDATE($D114,Milestones!$AA$180)&gt;=$S114),$V114,IF(AND($R114&lt;&gt;"",EDATE($D114,Milestones!$AA$180)&gt;=$R114),$U114,$T114)))=Milestones!$AB$180),TEXT(EDATE($D114,Milestones!$AA$180),"dd/mm/yy")&amp;" "&amp;Milestones!$AB$180&amp;" "&amp;Milestones!$AC$180&amp;";  ","")&amp;IF(AND(EDATE($D114,Milestones!$AA$181)&lt;=AsOfDate,IF($Q114=0,$W114,IF(AND($S114&lt;&gt;"",EDATE($D114,Milestones!$AA$181)&gt;=$S114),$V114,IF(AND($R114&lt;&gt;"",EDATE($D114,Milestones!$AA$181)&gt;=$R114),$U114,$T114)))=Milestones!$AB$181),TEXT(EDATE($D114,Milestones!$AA$181),"dd/mm/yy")&amp;" "&amp;Milestones!$AB$181&amp;" "&amp;Milestones!$AC$181&amp;";  ","")&amp;IF(AND(EDATE($D114,Milestones!$AA$182)&lt;=AsOfDate,IF($Q114=0,$W114,IF(AND($S114&lt;&gt;"",EDATE($D114,Milestones!$AA$182)&gt;=$S114),$V114,IF(AND($R114&lt;&gt;"",EDATE($D114,Milestones!$AA$182)&gt;=$R114),$U114,$T114)))=Milestones!$AB$182),TEXT(EDATE($D114,Milestones!$AA$182),"dd/mm/yy")&amp;" "&amp;Milestones!$AB$182&amp;" "&amp;Milestones!$AC$182&amp;";  ","")&amp;IF(AND(EDATE($D114,Milestones!$AA$183)&lt;=AsOfDate,IF($Q114=0,$W114,IF(AND($S114&lt;&gt;"",EDATE($D114,Milestones!$AA$183)&gt;=$S114),$V114,IF(AND($R114&lt;&gt;"",EDATE($D114,Milestones!$AA$183)&gt;=$R114),$U114,$T114)))=Milestones!$AB$183),TEXT(EDATE($D114,Milestones!$AA$183),"dd/mm/yy")&amp;" "&amp;Milestones!$AB$183&amp;" "&amp;Milestones!$AC$183&amp;";  ","")&amp;IF(AND(EDATE($D114,Milestones!$AA$184)&lt;=AsOfDate,IF($Q114=0,$W114,IF(AND($S114&lt;&gt;"",EDATE($D114,Milestones!$AA$184)&gt;=$S114),$V114,IF(AND($R114&lt;&gt;"",EDATE($D114,Milestones!$AA$184)&gt;=$R114),$U114,$T114)))=Milestones!$AB$184),TEXT(EDATE($D114,Milestones!$AA$184),"dd/mm/yy")&amp;" "&amp;Milestones!$AB$184&amp;" "&amp;Milestones!$AC$184&amp;";  ","")&amp;IF(AND(EDATE($D114,Milestones!$AA$185)&lt;=AsOfDate,IF($Q114=0,$W114,IF(AND($S114&lt;&gt;"",EDATE($D114,Milestones!$AA$185)&gt;=$S114),$V114,IF(AND($R114&lt;&gt;"",EDATE($D114,Milestones!$AA$185)&gt;=$R114),$U114,$T114)))=Milestones!$AB$185),TEXT(EDATE($D114,Milestones!$AA$185),"dd/mm/yy")&amp;" "&amp;Milestones!$AB$185&amp;" "&amp;Milestones!$AC$185&amp;";  ","")&amp;IF(AND(EDATE($D114,Milestones!$AA$186)&lt;=AsOfDate,IF($Q114=0,$W114,IF(AND($S114&lt;&gt;"",EDATE($D114,Milestones!$AA$186)&gt;=$S114),$V114,IF(AND($R114&lt;&gt;"",EDATE($D114,Milestones!$AA$186)&gt;=$R114),$U114,$T114)))=Milestones!$AB$186),TEXT(EDATE($D114,Milestones!$AA$186),"dd/mm/yy")&amp;" "&amp;Milestones!$AB$186&amp;" "&amp;Milestones!$AC$186&amp;";  ","")&amp;IF(AND(EDATE($D114,Milestones!$AA$187)&lt;=AsOfDate,IF($Q114=0,$W114,IF(AND($S114&lt;&gt;"",EDATE($D114,Milestones!$AA$187)&gt;=$S114),$V114,IF(AND($R114&lt;&gt;"",EDATE($D114,Milestones!$AA$187)&gt;=$R114),$U114,$T114)))=Milestones!$AB$187),TEXT(EDATE($D114,Milestones!$AA$187),"dd/mm/yy")&amp;" "&amp;Milestones!$AB$187&amp;" "&amp;Milestones!$AC$187&amp;";  ","")&amp;IF(AND(EDATE($D114,Milestones!$AA$188)&lt;=AsOfDate,IF($Q114=0,$W114,IF(AND($S114&lt;&gt;"",EDATE($D114,Milestones!$AA$188)&gt;=$S114),$V114,IF(AND($R114&lt;&gt;"",EDATE($D114,Milestones!$AA$188)&gt;=$R114),$U114,$T114)))=Milestones!$AB$188),TEXT(EDATE($D114,Milestones!$AA$188),"dd/mm/yy")&amp;" "&amp;Milestones!$AB$188&amp;" "&amp;Milestones!$AC$188&amp;";  ","")&amp;IF(AND(EDATE($D114,Milestones!$AA$189)&lt;=AsOfDate,IF($Q114=0,$W114,IF(AND($S114&lt;&gt;"",EDATE($D114,Milestones!$AA$189)&gt;=$S114),$V114,IF(AND($R114&lt;&gt;"",EDATE($D114,Milestones!$AA$189)&gt;=$R114),$U114,$T114)))=Milestones!$AB$189),TEXT(EDATE($D114,Milestones!$AA$189),"dd/mm/yy")&amp;" "&amp;Milestones!$AB$189&amp;" "&amp;Milestones!$AC$189&amp;";  ","")&amp;IF(AND(EDATE($D114,Milestones!$AA$190)&lt;=AsOfDate,IF($Q114=0,$W114,IF(AND($S114&lt;&gt;"",EDATE($D114,Milestones!$AA$190)&gt;=$S114),$V114,IF(AND($R114&lt;&gt;"",EDATE($D114,Milestones!$AA$190)&gt;=$R114),$U114,$T114)))=Milestones!$AB$190),TEXT(EDATE($D114,Milestones!$AA$190),"dd/mm/yy")&amp;" "&amp;Milestones!$AB$190&amp;" "&amp;Milestones!$AC$190&amp;";  ","")&amp;IF(AND(EDATE($D114,Milestones!$AA$191)&lt;=AsOfDate,IF($Q114=0,$W114,IF(AND($S114&lt;&gt;"",EDATE($D114,Milestones!$AA$191)&gt;=$S114),$V114,IF(AND($R114&lt;&gt;"",EDATE($D114,Milestones!$AA$191)&gt;=$R114),$U114,$T114)))=Milestones!$AB$191),TEXT(EDATE($D114,Milestones!$AA$191),"dd/mm/yy")&amp;" "&amp;Milestones!$AB$191&amp;" "&amp;Milestones!$AC$191&amp;";  ","")&amp;IF(AND(EDATE($D114,Milestones!$AA$192)&lt;=AsOfDate,IF($Q114=0,$W114,IF(AND($S114&lt;&gt;"",EDATE($D114,Milestones!$AA$192)&gt;=$S114),$V114,IF(AND($R114&lt;&gt;"",EDATE($D114,Milestones!$AA$192)&gt;=$R114),$U114,$T114)))=Milestones!$AB$192),TEXT(EDATE($D114,Milestones!$AA$192),"dd/mm/yy")&amp;" "&amp;Milestones!$AB$192&amp;" "&amp;Milestones!$AC$192&amp;";  ","")&amp;IF(AND(EDATE($D114,Milestones!$AA$193)&lt;=AsOfDate,IF($Q114=0,$W114,IF(AND($S114&lt;&gt;"",EDATE($D114,Milestones!$AA$193)&gt;=$S114),$V114,IF(AND($R114&lt;&gt;"",EDATE($D114,Milestones!$AA$193)&gt;=$R114),$U114,$T114)))=Milestones!$AB$193),TEXT(EDATE($D114,Milestones!$AA$193),"dd/mm/yy")&amp;" "&amp;Milestones!$AB$193&amp;" "&amp;Milestones!$AC$193&amp;";  ","")&amp;IF(AND(EDATE($D114,Milestones!$AA$194)&lt;=AsOfDate,IF($Q114=0,$W114,IF(AND($S114&lt;&gt;"",EDATE($D114,Milestones!$AA$194)&gt;=$S114),$V114,IF(AND($R114&lt;&gt;"",EDATE($D114,Milestones!$AA$194)&gt;=$R114),$U114,$T114)))=Milestones!$AB$194),TEXT(EDATE($D114,Milestones!$AA$194),"dd/mm/yy")&amp;" "&amp;Milestones!$AB$194&amp;" "&amp;Milestones!$AC$194&amp;";  ","")&amp;IF(AND(EDATE($D114,Milestones!$AA$195)&lt;=AsOfDate,IF($Q114=0,$W114,IF(AND($S114&lt;&gt;"",EDATE($D114,Milestones!$AA$195)&gt;=$S114),$V114,IF(AND($R114&lt;&gt;"",EDATE($D114,Milestones!$AA$195)&gt;=$R114),$U114,$T114)))=Milestones!$AB$195),TEXT(EDATE($D114,Milestones!$AA$195),"dd/mm/yy")&amp;" "&amp;Milestones!$AB$195&amp;" "&amp;Milestones!$AC$195&amp;";  ","")&amp;IF(AND(EDATE($D114,Milestones!$AA$196)&lt;=AsOfDate,IF($Q114=0,$W114,IF(AND($S114&lt;&gt;"",EDATE($D114,Milestones!$AA$196)&gt;=$S114),$V114,IF(AND($R114&lt;&gt;"",EDATE($D114,Milestones!$AA$196)&gt;=$R114),$U114,$T114)))=Milestones!$AB$196),TEXT(EDATE($D114,Milestones!$AA$196),"dd/mm/yy")&amp;" "&amp;Milestones!$AB$196&amp;" "&amp;Milestones!$AC$196&amp;";  ","")&amp;IF(AND(EDATE($D114,Milestones!$AA$197)&lt;=AsOfDate,IF($Q114=0,$W114,IF(AND($S114&lt;&gt;"",EDATE($D114,Milestones!$AA$197)&gt;=$S114),$V114,IF(AND($R114&lt;&gt;"",EDATE($D114,Milestones!$AA$197)&gt;=$R114),$U114,$T114)))=Milestones!$AB$197),TEXT(EDATE($D114,Milestones!$AA$197),"dd/mm/yy")&amp;" "&amp;Milestones!$AB$197&amp;" "&amp;Milestones!$AC$197&amp;";  ","")&amp;IF(AND(EDATE($D114,Milestones!$AA$198)&lt;=AsOfDate,IF($Q114=0,$W114,IF(AND($S114&lt;&gt;"",EDATE($D114,Milestones!$AA$198)&gt;=$S114),$V114,IF(AND($R114&lt;&gt;"",EDATE($D114,Milestones!$AA$198)&gt;=$R114),$U114,$T114)))=Milestones!$AB$198),TEXT(EDATE($D114,Milestones!$AA$198),"dd/mm/yy")&amp;" "&amp;Milestones!$AB$198&amp;" "&amp;Milestones!$AC$198&amp;";  ","")&amp;IF(AND(EDATE($D114,Milestones!$AA$199)&lt;=AsOfDate,IF($Q114=0,$W114,IF(AND($S114&lt;&gt;"",EDATE($D114,Milestones!$AA$199)&gt;=$S114),$V114,IF(AND($R114&lt;&gt;"",EDATE($D114,Milestones!$AA$199)&gt;=$R114),$U114,$T114)))=Milestones!$AB$199),TEXT(EDATE($D114,Milestones!$AA$199),"dd/mm/yy")&amp;" "&amp;Milestones!$AB$199&amp;" "&amp;Milestones!$AC$199&amp;";  ",""))</f>
        <v/>
      </c>
      <c r="Q114" s="0" t="str">
        <f aca="false">IF(Staff!$A114="","",Staff!$AG114)</f>
        <v/>
      </c>
      <c r="R114" s="0" t="str">
        <f aca="false">IF(Staff!$A114="","",Staff!$AI114)</f>
        <v/>
      </c>
      <c r="S114" s="0" t="str">
        <f aca="false">IF(Staff!$A114="","",Staff!$AJ114)</f>
        <v/>
      </c>
      <c r="T114" s="0" t="str">
        <f aca="false">IF(Staff!$A114="","",Staff!$AN114)</f>
        <v/>
      </c>
      <c r="U114" s="0" t="str">
        <f aca="false">IF(Staff!$A114="","",Staff!$AO114)</f>
        <v/>
      </c>
      <c r="V114" s="0" t="str">
        <f aca="false">IF(Staff!$A114="","",Staff!$AP114)</f>
        <v/>
      </c>
      <c r="W114" s="0" t="str">
        <f aca="false">IF(Staff!$A114="","",Staff!$AQ114)</f>
        <v/>
      </c>
    </row>
    <row r="115" customFormat="false" ht="15" hidden="false" customHeight="false" outlineLevel="0" collapsed="false">
      <c r="A115" s="13" t="str">
        <f aca="false">IF(Staff!$A115="","",Staff!$A115)</f>
        <v/>
      </c>
      <c r="B115" s="13" t="str">
        <f aca="false">IF(Staff!$A115="","",Staff!$B115)</f>
        <v/>
      </c>
      <c r="C115" s="13" t="str">
        <f aca="false">IF(Staff!$A115="","",Staff!$C115)</f>
        <v/>
      </c>
      <c r="D115" s="11" t="str">
        <f aca="false">IF(Staff!$A115="","",Staff!$AF115)</f>
        <v/>
      </c>
      <c r="E115" s="13" t="str">
        <f aca="false">IF(Staff!$A115="","",Staff!$O115)</f>
        <v/>
      </c>
      <c r="F115" s="13" t="str">
        <f aca="false">IF(E115="","",E115*HoursPerDay)</f>
        <v/>
      </c>
      <c r="G115" s="26" t="str">
        <f aca="false">IF($A115="","",H115&amp;I115&amp;J115&amp;K115&amp;L115&amp;M115&amp;N115&amp;O115&amp;P115)</f>
        <v/>
      </c>
      <c r="H115" s="0" t="str">
        <f aca="false">IF(OR($A115="",$D115=""),"",IF(AND(EDATE($D115,Milestones!$AA$20)&lt;=AsOfDate,IF($Q115=0,$W115,IF(AND($S115&lt;&gt;"",EDATE($D115,Milestones!$AA$20)&gt;=$S115),$V115,IF(AND($R115&lt;&gt;"",EDATE($D115,Milestones!$AA$20)&gt;=$R115),$U115,$T115)))=Milestones!$AB$20),TEXT(EDATE($D115,Milestones!$AA$20),"dd/mm/yy")&amp;" "&amp;Milestones!$AB$20&amp;" "&amp;Milestones!$AC$20&amp;";  ","")&amp;IF(AND(EDATE($D115,Milestones!$AA$21)&lt;=AsOfDate,IF($Q115=0,$W115,IF(AND($S115&lt;&gt;"",EDATE($D115,Milestones!$AA$21)&gt;=$S115),$V115,IF(AND($R115&lt;&gt;"",EDATE($D115,Milestones!$AA$21)&gt;=$R115),$U115,$T115)))=Milestones!$AB$21),TEXT(EDATE($D115,Milestones!$AA$21),"dd/mm/yy")&amp;" "&amp;Milestones!$AB$21&amp;" "&amp;Milestones!$AC$21&amp;";  ","")&amp;IF(AND(EDATE($D115,Milestones!$AA$22)&lt;=AsOfDate,IF($Q115=0,$W115,IF(AND($S115&lt;&gt;"",EDATE($D115,Milestones!$AA$22)&gt;=$S115),$V115,IF(AND($R115&lt;&gt;"",EDATE($D115,Milestones!$AA$22)&gt;=$R115),$U115,$T115)))=Milestones!$AB$22),TEXT(EDATE($D115,Milestones!$AA$22),"dd/mm/yy")&amp;" "&amp;Milestones!$AB$22&amp;" "&amp;Milestones!$AC$22&amp;";  ","")&amp;IF(AND(EDATE($D115,Milestones!$AA$23)&lt;=AsOfDate,IF($Q115=0,$W115,IF(AND($S115&lt;&gt;"",EDATE($D115,Milestones!$AA$23)&gt;=$S115),$V115,IF(AND($R115&lt;&gt;"",EDATE($D115,Milestones!$AA$23)&gt;=$R115),$U115,$T115)))=Milestones!$AB$23),TEXT(EDATE($D115,Milestones!$AA$23),"dd/mm/yy")&amp;" "&amp;Milestones!$AB$23&amp;" "&amp;Milestones!$AC$23&amp;";  ","")&amp;IF(AND(EDATE($D115,Milestones!$AA$24)&lt;=AsOfDate,IF($Q115=0,$W115,IF(AND($S115&lt;&gt;"",EDATE($D115,Milestones!$AA$24)&gt;=$S115),$V115,IF(AND($R115&lt;&gt;"",EDATE($D115,Milestones!$AA$24)&gt;=$R115),$U115,$T115)))=Milestones!$AB$24),TEXT(EDATE($D115,Milestones!$AA$24),"dd/mm/yy")&amp;" "&amp;Milestones!$AB$24&amp;" "&amp;Milestones!$AC$24&amp;";  ","")&amp;IF(AND(EDATE($D115,Milestones!$AA$25)&lt;=AsOfDate,IF($Q115=0,$W115,IF(AND($S115&lt;&gt;"",EDATE($D115,Milestones!$AA$25)&gt;=$S115),$V115,IF(AND($R115&lt;&gt;"",EDATE($D115,Milestones!$AA$25)&gt;=$R115),$U115,$T115)))=Milestones!$AB$25),TEXT(EDATE($D115,Milestones!$AA$25),"dd/mm/yy")&amp;" "&amp;Milestones!$AB$25&amp;" "&amp;Milestones!$AC$25&amp;";  ","")&amp;IF(AND(EDATE($D115,Milestones!$AA$26)&lt;=AsOfDate,IF($Q115=0,$W115,IF(AND($S115&lt;&gt;"",EDATE($D115,Milestones!$AA$26)&gt;=$S115),$V115,IF(AND($R115&lt;&gt;"",EDATE($D115,Milestones!$AA$26)&gt;=$R115),$U115,$T115)))=Milestones!$AB$26),TEXT(EDATE($D115,Milestones!$AA$26),"dd/mm/yy")&amp;" "&amp;Milestones!$AB$26&amp;" "&amp;Milestones!$AC$26&amp;";  ","")&amp;IF(AND(EDATE($D115,Milestones!$AA$27)&lt;=AsOfDate,IF($Q115=0,$W115,IF(AND($S115&lt;&gt;"",EDATE($D115,Milestones!$AA$27)&gt;=$S115),$V115,IF(AND($R115&lt;&gt;"",EDATE($D115,Milestones!$AA$27)&gt;=$R115),$U115,$T115)))=Milestones!$AB$27),TEXT(EDATE($D115,Milestones!$AA$27),"dd/mm/yy")&amp;" "&amp;Milestones!$AB$27&amp;" "&amp;Milestones!$AC$27&amp;";  ","")&amp;IF(AND(EDATE($D115,Milestones!$AA$28)&lt;=AsOfDate,IF($Q115=0,$W115,IF(AND($S115&lt;&gt;"",EDATE($D115,Milestones!$AA$28)&gt;=$S115),$V115,IF(AND($R115&lt;&gt;"",EDATE($D115,Milestones!$AA$28)&gt;=$R115),$U115,$T115)))=Milestones!$AB$28),TEXT(EDATE($D115,Milestones!$AA$28),"dd/mm/yy")&amp;" "&amp;Milestones!$AB$28&amp;" "&amp;Milestones!$AC$28&amp;";  ","")&amp;IF(AND(EDATE($D115,Milestones!$AA$29)&lt;=AsOfDate,IF($Q115=0,$W115,IF(AND($S115&lt;&gt;"",EDATE($D115,Milestones!$AA$29)&gt;=$S115),$V115,IF(AND($R115&lt;&gt;"",EDATE($D115,Milestones!$AA$29)&gt;=$R115),$U115,$T115)))=Milestones!$AB$29),TEXT(EDATE($D115,Milestones!$AA$29),"dd/mm/yy")&amp;" "&amp;Milestones!$AB$29&amp;" "&amp;Milestones!$AC$29&amp;";  ","")&amp;IF(AND(EDATE($D115,Milestones!$AA$30)&lt;=AsOfDate,IF($Q115=0,$W115,IF(AND($S115&lt;&gt;"",EDATE($D115,Milestones!$AA$30)&gt;=$S115),$V115,IF(AND($R115&lt;&gt;"",EDATE($D115,Milestones!$AA$30)&gt;=$R115),$U115,$T115)))=Milestones!$AB$30),TEXT(EDATE($D115,Milestones!$AA$30),"dd/mm/yy")&amp;" "&amp;Milestones!$AB$30&amp;" "&amp;Milestones!$AC$30&amp;";  ","")&amp;IF(AND(EDATE($D115,Milestones!$AA$31)&lt;=AsOfDate,IF($Q115=0,$W115,IF(AND($S115&lt;&gt;"",EDATE($D115,Milestones!$AA$31)&gt;=$S115),$V115,IF(AND($R115&lt;&gt;"",EDATE($D115,Milestones!$AA$31)&gt;=$R115),$U115,$T115)))=Milestones!$AB$31),TEXT(EDATE($D115,Milestones!$AA$31),"dd/mm/yy")&amp;" "&amp;Milestones!$AB$31&amp;" "&amp;Milestones!$AC$31&amp;";  ","")&amp;IF(AND(EDATE($D115,Milestones!$AA$32)&lt;=AsOfDate,IF($Q115=0,$W115,IF(AND($S115&lt;&gt;"",EDATE($D115,Milestones!$AA$32)&gt;=$S115),$V115,IF(AND($R115&lt;&gt;"",EDATE($D115,Milestones!$AA$32)&gt;=$R115),$U115,$T115)))=Milestones!$AB$32),TEXT(EDATE($D115,Milestones!$AA$32),"dd/mm/yy")&amp;" "&amp;Milestones!$AB$32&amp;" "&amp;Milestones!$AC$32&amp;";  ","")&amp;IF(AND(EDATE($D115,Milestones!$AA$33)&lt;=AsOfDate,IF($Q115=0,$W115,IF(AND($S115&lt;&gt;"",EDATE($D115,Milestones!$AA$33)&gt;=$S115),$V115,IF(AND($R115&lt;&gt;"",EDATE($D115,Milestones!$AA$33)&gt;=$R115),$U115,$T115)))=Milestones!$AB$33),TEXT(EDATE($D115,Milestones!$AA$33),"dd/mm/yy")&amp;" "&amp;Milestones!$AB$33&amp;" "&amp;Milestones!$AC$33&amp;";  ","")&amp;IF(AND(EDATE($D115,Milestones!$AA$34)&lt;=AsOfDate,IF($Q115=0,$W115,IF(AND($S115&lt;&gt;"",EDATE($D115,Milestones!$AA$34)&gt;=$S115),$V115,IF(AND($R115&lt;&gt;"",EDATE($D115,Milestones!$AA$34)&gt;=$R115),$U115,$T115)))=Milestones!$AB$34),TEXT(EDATE($D115,Milestones!$AA$34),"dd/mm/yy")&amp;" "&amp;Milestones!$AB$34&amp;" "&amp;Milestones!$AC$34&amp;";  ","")&amp;IF(AND(EDATE($D115,Milestones!$AA$35)&lt;=AsOfDate,IF($Q115=0,$W115,IF(AND($S115&lt;&gt;"",EDATE($D115,Milestones!$AA$35)&gt;=$S115),$V115,IF(AND($R115&lt;&gt;"",EDATE($D115,Milestones!$AA$35)&gt;=$R115),$U115,$T115)))=Milestones!$AB$35),TEXT(EDATE($D115,Milestones!$AA$35),"dd/mm/yy")&amp;" "&amp;Milestones!$AB$35&amp;" "&amp;Milestones!$AC$35&amp;";  ","")&amp;IF(AND(EDATE($D115,Milestones!$AA$36)&lt;=AsOfDate,IF($Q115=0,$W115,IF(AND($S115&lt;&gt;"",EDATE($D115,Milestones!$AA$36)&gt;=$S115),$V115,IF(AND($R115&lt;&gt;"",EDATE($D115,Milestones!$AA$36)&gt;=$R115),$U115,$T115)))=Milestones!$AB$36),TEXT(EDATE($D115,Milestones!$AA$36),"dd/mm/yy")&amp;" "&amp;Milestones!$AB$36&amp;" "&amp;Milestones!$AC$36&amp;";  ","")&amp;IF(AND(EDATE($D115,Milestones!$AA$37)&lt;=AsOfDate,IF($Q115=0,$W115,IF(AND($S115&lt;&gt;"",EDATE($D115,Milestones!$AA$37)&gt;=$S115),$V115,IF(AND($R115&lt;&gt;"",EDATE($D115,Milestones!$AA$37)&gt;=$R115),$U115,$T115)))=Milestones!$AB$37),TEXT(EDATE($D115,Milestones!$AA$37),"dd/mm/yy")&amp;" "&amp;Milestones!$AB$37&amp;" "&amp;Milestones!$AC$37&amp;";  ","")&amp;IF(AND(EDATE($D115,Milestones!$AA$38)&lt;=AsOfDate,IF($Q115=0,$W115,IF(AND($S115&lt;&gt;"",EDATE($D115,Milestones!$AA$38)&gt;=$S115),$V115,IF(AND($R115&lt;&gt;"",EDATE($D115,Milestones!$AA$38)&gt;=$R115),$U115,$T115)))=Milestones!$AB$38),TEXT(EDATE($D115,Milestones!$AA$38),"dd/mm/yy")&amp;" "&amp;Milestones!$AB$38&amp;" "&amp;Milestones!$AC$38&amp;";  ","")&amp;IF(AND(EDATE($D115,Milestones!$AA$39)&lt;=AsOfDate,IF($Q115=0,$W115,IF(AND($S115&lt;&gt;"",EDATE($D115,Milestones!$AA$39)&gt;=$S115),$V115,IF(AND($R115&lt;&gt;"",EDATE($D115,Milestones!$AA$39)&gt;=$R115),$U115,$T115)))=Milestones!$AB$39),TEXT(EDATE($D115,Milestones!$AA$39),"dd/mm/yy")&amp;" "&amp;Milestones!$AB$39&amp;" "&amp;Milestones!$AC$39&amp;";  ",""))</f>
        <v/>
      </c>
      <c r="I115" s="0" t="str">
        <f aca="false">IF(OR($A115="",$D115=""),"",IF(AND(EDATE($D115,Milestones!$AA$40)&lt;=AsOfDate,IF($Q115=0,$W115,IF(AND($S115&lt;&gt;"",EDATE($D115,Milestones!$AA$40)&gt;=$S115),$V115,IF(AND($R115&lt;&gt;"",EDATE($D115,Milestones!$AA$40)&gt;=$R115),$U115,$T115)))=Milestones!$AB$40),TEXT(EDATE($D115,Milestones!$AA$40),"dd/mm/yy")&amp;" "&amp;Milestones!$AB$40&amp;" "&amp;Milestones!$AC$40&amp;";  ","")&amp;IF(AND(EDATE($D115,Milestones!$AA$41)&lt;=AsOfDate,IF($Q115=0,$W115,IF(AND($S115&lt;&gt;"",EDATE($D115,Milestones!$AA$41)&gt;=$S115),$V115,IF(AND($R115&lt;&gt;"",EDATE($D115,Milestones!$AA$41)&gt;=$R115),$U115,$T115)))=Milestones!$AB$41),TEXT(EDATE($D115,Milestones!$AA$41),"dd/mm/yy")&amp;" "&amp;Milestones!$AB$41&amp;" "&amp;Milestones!$AC$41&amp;";  ","")&amp;IF(AND(EDATE($D115,Milestones!$AA$42)&lt;=AsOfDate,IF($Q115=0,$W115,IF(AND($S115&lt;&gt;"",EDATE($D115,Milestones!$AA$42)&gt;=$S115),$V115,IF(AND($R115&lt;&gt;"",EDATE($D115,Milestones!$AA$42)&gt;=$R115),$U115,$T115)))=Milestones!$AB$42),TEXT(EDATE($D115,Milestones!$AA$42),"dd/mm/yy")&amp;" "&amp;Milestones!$AB$42&amp;" "&amp;Milestones!$AC$42&amp;";  ","")&amp;IF(AND(EDATE($D115,Milestones!$AA$43)&lt;=AsOfDate,IF($Q115=0,$W115,IF(AND($S115&lt;&gt;"",EDATE($D115,Milestones!$AA$43)&gt;=$S115),$V115,IF(AND($R115&lt;&gt;"",EDATE($D115,Milestones!$AA$43)&gt;=$R115),$U115,$T115)))=Milestones!$AB$43),TEXT(EDATE($D115,Milestones!$AA$43),"dd/mm/yy")&amp;" "&amp;Milestones!$AB$43&amp;" "&amp;Milestones!$AC$43&amp;";  ","")&amp;IF(AND(EDATE($D115,Milestones!$AA$44)&lt;=AsOfDate,IF($Q115=0,$W115,IF(AND($S115&lt;&gt;"",EDATE($D115,Milestones!$AA$44)&gt;=$S115),$V115,IF(AND($R115&lt;&gt;"",EDATE($D115,Milestones!$AA$44)&gt;=$R115),$U115,$T115)))=Milestones!$AB$44),TEXT(EDATE($D115,Milestones!$AA$44),"dd/mm/yy")&amp;" "&amp;Milestones!$AB$44&amp;" "&amp;Milestones!$AC$44&amp;";  ","")&amp;IF(AND(EDATE($D115,Milestones!$AA$45)&lt;=AsOfDate,IF($Q115=0,$W115,IF(AND($S115&lt;&gt;"",EDATE($D115,Milestones!$AA$45)&gt;=$S115),$V115,IF(AND($R115&lt;&gt;"",EDATE($D115,Milestones!$AA$45)&gt;=$R115),$U115,$T115)))=Milestones!$AB$45),TEXT(EDATE($D115,Milestones!$AA$45),"dd/mm/yy")&amp;" "&amp;Milestones!$AB$45&amp;" "&amp;Milestones!$AC$45&amp;";  ","")&amp;IF(AND(EDATE($D115,Milestones!$AA$46)&lt;=AsOfDate,IF($Q115=0,$W115,IF(AND($S115&lt;&gt;"",EDATE($D115,Milestones!$AA$46)&gt;=$S115),$V115,IF(AND($R115&lt;&gt;"",EDATE($D115,Milestones!$AA$46)&gt;=$R115),$U115,$T115)))=Milestones!$AB$46),TEXT(EDATE($D115,Milestones!$AA$46),"dd/mm/yy")&amp;" "&amp;Milestones!$AB$46&amp;" "&amp;Milestones!$AC$46&amp;";  ","")&amp;IF(AND(EDATE($D115,Milestones!$AA$47)&lt;=AsOfDate,IF($Q115=0,$W115,IF(AND($S115&lt;&gt;"",EDATE($D115,Milestones!$AA$47)&gt;=$S115),$V115,IF(AND($R115&lt;&gt;"",EDATE($D115,Milestones!$AA$47)&gt;=$R115),$U115,$T115)))=Milestones!$AB$47),TEXT(EDATE($D115,Milestones!$AA$47),"dd/mm/yy")&amp;" "&amp;Milestones!$AB$47&amp;" "&amp;Milestones!$AC$47&amp;";  ","")&amp;IF(AND(EDATE($D115,Milestones!$AA$48)&lt;=AsOfDate,IF($Q115=0,$W115,IF(AND($S115&lt;&gt;"",EDATE($D115,Milestones!$AA$48)&gt;=$S115),$V115,IF(AND($R115&lt;&gt;"",EDATE($D115,Milestones!$AA$48)&gt;=$R115),$U115,$T115)))=Milestones!$AB$48),TEXT(EDATE($D115,Milestones!$AA$48),"dd/mm/yy")&amp;" "&amp;Milestones!$AB$48&amp;" "&amp;Milestones!$AC$48&amp;";  ","")&amp;IF(AND(EDATE($D115,Milestones!$AA$49)&lt;=AsOfDate,IF($Q115=0,$W115,IF(AND($S115&lt;&gt;"",EDATE($D115,Milestones!$AA$49)&gt;=$S115),$V115,IF(AND($R115&lt;&gt;"",EDATE($D115,Milestones!$AA$49)&gt;=$R115),$U115,$T115)))=Milestones!$AB$49),TEXT(EDATE($D115,Milestones!$AA$49),"dd/mm/yy")&amp;" "&amp;Milestones!$AB$49&amp;" "&amp;Milestones!$AC$49&amp;";  ","")&amp;IF(AND(EDATE($D115,Milestones!$AA$50)&lt;=AsOfDate,IF($Q115=0,$W115,IF(AND($S115&lt;&gt;"",EDATE($D115,Milestones!$AA$50)&gt;=$S115),$V115,IF(AND($R115&lt;&gt;"",EDATE($D115,Milestones!$AA$50)&gt;=$R115),$U115,$T115)))=Milestones!$AB$50),TEXT(EDATE($D115,Milestones!$AA$50),"dd/mm/yy")&amp;" "&amp;Milestones!$AB$50&amp;" "&amp;Milestones!$AC$50&amp;";  ","")&amp;IF(AND(EDATE($D115,Milestones!$AA$51)&lt;=AsOfDate,IF($Q115=0,$W115,IF(AND($S115&lt;&gt;"",EDATE($D115,Milestones!$AA$51)&gt;=$S115),$V115,IF(AND($R115&lt;&gt;"",EDATE($D115,Milestones!$AA$51)&gt;=$R115),$U115,$T115)))=Milestones!$AB$51),TEXT(EDATE($D115,Milestones!$AA$51),"dd/mm/yy")&amp;" "&amp;Milestones!$AB$51&amp;" "&amp;Milestones!$AC$51&amp;";  ","")&amp;IF(AND(EDATE($D115,Milestones!$AA$52)&lt;=AsOfDate,IF($Q115=0,$W115,IF(AND($S115&lt;&gt;"",EDATE($D115,Milestones!$AA$52)&gt;=$S115),$V115,IF(AND($R115&lt;&gt;"",EDATE($D115,Milestones!$AA$52)&gt;=$R115),$U115,$T115)))=Milestones!$AB$52),TEXT(EDATE($D115,Milestones!$AA$52),"dd/mm/yy")&amp;" "&amp;Milestones!$AB$52&amp;" "&amp;Milestones!$AC$52&amp;";  ","")&amp;IF(AND(EDATE($D115,Milestones!$AA$53)&lt;=AsOfDate,IF($Q115=0,$W115,IF(AND($S115&lt;&gt;"",EDATE($D115,Milestones!$AA$53)&gt;=$S115),$V115,IF(AND($R115&lt;&gt;"",EDATE($D115,Milestones!$AA$53)&gt;=$R115),$U115,$T115)))=Milestones!$AB$53),TEXT(EDATE($D115,Milestones!$AA$53),"dd/mm/yy")&amp;" "&amp;Milestones!$AB$53&amp;" "&amp;Milestones!$AC$53&amp;";  ","")&amp;IF(AND(EDATE($D115,Milestones!$AA$54)&lt;=AsOfDate,IF($Q115=0,$W115,IF(AND($S115&lt;&gt;"",EDATE($D115,Milestones!$AA$54)&gt;=$S115),$V115,IF(AND($R115&lt;&gt;"",EDATE($D115,Milestones!$AA$54)&gt;=$R115),$U115,$T115)))=Milestones!$AB$54),TEXT(EDATE($D115,Milestones!$AA$54),"dd/mm/yy")&amp;" "&amp;Milestones!$AB$54&amp;" "&amp;Milestones!$AC$54&amp;";  ","")&amp;IF(AND(EDATE($D115,Milestones!$AA$55)&lt;=AsOfDate,IF($Q115=0,$W115,IF(AND($S115&lt;&gt;"",EDATE($D115,Milestones!$AA$55)&gt;=$S115),$V115,IF(AND($R115&lt;&gt;"",EDATE($D115,Milestones!$AA$55)&gt;=$R115),$U115,$T115)))=Milestones!$AB$55),TEXT(EDATE($D115,Milestones!$AA$55),"dd/mm/yy")&amp;" "&amp;Milestones!$AB$55&amp;" "&amp;Milestones!$AC$55&amp;";  ","")&amp;IF(AND(EDATE($D115,Milestones!$AA$56)&lt;=AsOfDate,IF($Q115=0,$W115,IF(AND($S115&lt;&gt;"",EDATE($D115,Milestones!$AA$56)&gt;=$S115),$V115,IF(AND($R115&lt;&gt;"",EDATE($D115,Milestones!$AA$56)&gt;=$R115),$U115,$T115)))=Milestones!$AB$56),TEXT(EDATE($D115,Milestones!$AA$56),"dd/mm/yy")&amp;" "&amp;Milestones!$AB$56&amp;" "&amp;Milestones!$AC$56&amp;";  ","")&amp;IF(AND(EDATE($D115,Milestones!$AA$57)&lt;=AsOfDate,IF($Q115=0,$W115,IF(AND($S115&lt;&gt;"",EDATE($D115,Milestones!$AA$57)&gt;=$S115),$V115,IF(AND($R115&lt;&gt;"",EDATE($D115,Milestones!$AA$57)&gt;=$R115),$U115,$T115)))=Milestones!$AB$57),TEXT(EDATE($D115,Milestones!$AA$57),"dd/mm/yy")&amp;" "&amp;Milestones!$AB$57&amp;" "&amp;Milestones!$AC$57&amp;";  ","")&amp;IF(AND(EDATE($D115,Milestones!$AA$58)&lt;=AsOfDate,IF($Q115=0,$W115,IF(AND($S115&lt;&gt;"",EDATE($D115,Milestones!$AA$58)&gt;=$S115),$V115,IF(AND($R115&lt;&gt;"",EDATE($D115,Milestones!$AA$58)&gt;=$R115),$U115,$T115)))=Milestones!$AB$58),TEXT(EDATE($D115,Milestones!$AA$58),"dd/mm/yy")&amp;" "&amp;Milestones!$AB$58&amp;" "&amp;Milestones!$AC$58&amp;";  ","")&amp;IF(AND(EDATE($D115,Milestones!$AA$59)&lt;=AsOfDate,IF($Q115=0,$W115,IF(AND($S115&lt;&gt;"",EDATE($D115,Milestones!$AA$59)&gt;=$S115),$V115,IF(AND($R115&lt;&gt;"",EDATE($D115,Milestones!$AA$59)&gt;=$R115),$U115,$T115)))=Milestones!$AB$59),TEXT(EDATE($D115,Milestones!$AA$59),"dd/mm/yy")&amp;" "&amp;Milestones!$AB$59&amp;" "&amp;Milestones!$AC$59&amp;";  ",""))</f>
        <v/>
      </c>
      <c r="J115" s="0" t="str">
        <f aca="false">IF(OR($A115="",$D115=""),"",IF(AND(EDATE($D115,Milestones!$AA$60)&lt;=AsOfDate,IF($Q115=0,$W115,IF(AND($S115&lt;&gt;"",EDATE($D115,Milestones!$AA$60)&gt;=$S115),$V115,IF(AND($R115&lt;&gt;"",EDATE($D115,Milestones!$AA$60)&gt;=$R115),$U115,$T115)))=Milestones!$AB$60),TEXT(EDATE($D115,Milestones!$AA$60),"dd/mm/yy")&amp;" "&amp;Milestones!$AB$60&amp;" "&amp;Milestones!$AC$60&amp;";  ","")&amp;IF(AND(EDATE($D115,Milestones!$AA$61)&lt;=AsOfDate,IF($Q115=0,$W115,IF(AND($S115&lt;&gt;"",EDATE($D115,Milestones!$AA$61)&gt;=$S115),$V115,IF(AND($R115&lt;&gt;"",EDATE($D115,Milestones!$AA$61)&gt;=$R115),$U115,$T115)))=Milestones!$AB$61),TEXT(EDATE($D115,Milestones!$AA$61),"dd/mm/yy")&amp;" "&amp;Milestones!$AB$61&amp;" "&amp;Milestones!$AC$61&amp;";  ","")&amp;IF(AND(EDATE($D115,Milestones!$AA$62)&lt;=AsOfDate,IF($Q115=0,$W115,IF(AND($S115&lt;&gt;"",EDATE($D115,Milestones!$AA$62)&gt;=$S115),$V115,IF(AND($R115&lt;&gt;"",EDATE($D115,Milestones!$AA$62)&gt;=$R115),$U115,$T115)))=Milestones!$AB$62),TEXT(EDATE($D115,Milestones!$AA$62),"dd/mm/yy")&amp;" "&amp;Milestones!$AB$62&amp;" "&amp;Milestones!$AC$62&amp;";  ","")&amp;IF(AND(EDATE($D115,Milestones!$AA$63)&lt;=AsOfDate,IF($Q115=0,$W115,IF(AND($S115&lt;&gt;"",EDATE($D115,Milestones!$AA$63)&gt;=$S115),$V115,IF(AND($R115&lt;&gt;"",EDATE($D115,Milestones!$AA$63)&gt;=$R115),$U115,$T115)))=Milestones!$AB$63),TEXT(EDATE($D115,Milestones!$AA$63),"dd/mm/yy")&amp;" "&amp;Milestones!$AB$63&amp;" "&amp;Milestones!$AC$63&amp;";  ","")&amp;IF(AND(EDATE($D115,Milestones!$AA$64)&lt;=AsOfDate,IF($Q115=0,$W115,IF(AND($S115&lt;&gt;"",EDATE($D115,Milestones!$AA$64)&gt;=$S115),$V115,IF(AND($R115&lt;&gt;"",EDATE($D115,Milestones!$AA$64)&gt;=$R115),$U115,$T115)))=Milestones!$AB$64),TEXT(EDATE($D115,Milestones!$AA$64),"dd/mm/yy")&amp;" "&amp;Milestones!$AB$64&amp;" "&amp;Milestones!$AC$64&amp;";  ","")&amp;IF(AND(EDATE($D115,Milestones!$AA$65)&lt;=AsOfDate,IF($Q115=0,$W115,IF(AND($S115&lt;&gt;"",EDATE($D115,Milestones!$AA$65)&gt;=$S115),$V115,IF(AND($R115&lt;&gt;"",EDATE($D115,Milestones!$AA$65)&gt;=$R115),$U115,$T115)))=Milestones!$AB$65),TEXT(EDATE($D115,Milestones!$AA$65),"dd/mm/yy")&amp;" "&amp;Milestones!$AB$65&amp;" "&amp;Milestones!$AC$65&amp;";  ","")&amp;IF(AND(EDATE($D115,Milestones!$AA$66)&lt;=AsOfDate,IF($Q115=0,$W115,IF(AND($S115&lt;&gt;"",EDATE($D115,Milestones!$AA$66)&gt;=$S115),$V115,IF(AND($R115&lt;&gt;"",EDATE($D115,Milestones!$AA$66)&gt;=$R115),$U115,$T115)))=Milestones!$AB$66),TEXT(EDATE($D115,Milestones!$AA$66),"dd/mm/yy")&amp;" "&amp;Milestones!$AB$66&amp;" "&amp;Milestones!$AC$66&amp;";  ","")&amp;IF(AND(EDATE($D115,Milestones!$AA$67)&lt;=AsOfDate,IF($Q115=0,$W115,IF(AND($S115&lt;&gt;"",EDATE($D115,Milestones!$AA$67)&gt;=$S115),$V115,IF(AND($R115&lt;&gt;"",EDATE($D115,Milestones!$AA$67)&gt;=$R115),$U115,$T115)))=Milestones!$AB$67),TEXT(EDATE($D115,Milestones!$AA$67),"dd/mm/yy")&amp;" "&amp;Milestones!$AB$67&amp;" "&amp;Milestones!$AC$67&amp;";  ","")&amp;IF(AND(EDATE($D115,Milestones!$AA$68)&lt;=AsOfDate,IF($Q115=0,$W115,IF(AND($S115&lt;&gt;"",EDATE($D115,Milestones!$AA$68)&gt;=$S115),$V115,IF(AND($R115&lt;&gt;"",EDATE($D115,Milestones!$AA$68)&gt;=$R115),$U115,$T115)))=Milestones!$AB$68),TEXT(EDATE($D115,Milestones!$AA$68),"dd/mm/yy")&amp;" "&amp;Milestones!$AB$68&amp;" "&amp;Milestones!$AC$68&amp;";  ","")&amp;IF(AND(EDATE($D115,Milestones!$AA$69)&lt;=AsOfDate,IF($Q115=0,$W115,IF(AND($S115&lt;&gt;"",EDATE($D115,Milestones!$AA$69)&gt;=$S115),$V115,IF(AND($R115&lt;&gt;"",EDATE($D115,Milestones!$AA$69)&gt;=$R115),$U115,$T115)))=Milestones!$AB$69),TEXT(EDATE($D115,Milestones!$AA$69),"dd/mm/yy")&amp;" "&amp;Milestones!$AB$69&amp;" "&amp;Milestones!$AC$69&amp;";  ","")&amp;IF(AND(EDATE($D115,Milestones!$AA$70)&lt;=AsOfDate,IF($Q115=0,$W115,IF(AND($S115&lt;&gt;"",EDATE($D115,Milestones!$AA$70)&gt;=$S115),$V115,IF(AND($R115&lt;&gt;"",EDATE($D115,Milestones!$AA$70)&gt;=$R115),$U115,$T115)))=Milestones!$AB$70),TEXT(EDATE($D115,Milestones!$AA$70),"dd/mm/yy")&amp;" "&amp;Milestones!$AB$70&amp;" "&amp;Milestones!$AC$70&amp;";  ","")&amp;IF(AND(EDATE($D115,Milestones!$AA$71)&lt;=AsOfDate,IF($Q115=0,$W115,IF(AND($S115&lt;&gt;"",EDATE($D115,Milestones!$AA$71)&gt;=$S115),$V115,IF(AND($R115&lt;&gt;"",EDATE($D115,Milestones!$AA$71)&gt;=$R115),$U115,$T115)))=Milestones!$AB$71),TEXT(EDATE($D115,Milestones!$AA$71),"dd/mm/yy")&amp;" "&amp;Milestones!$AB$71&amp;" "&amp;Milestones!$AC$71&amp;";  ","")&amp;IF(AND(EDATE($D115,Milestones!$AA$72)&lt;=AsOfDate,IF($Q115=0,$W115,IF(AND($S115&lt;&gt;"",EDATE($D115,Milestones!$AA$72)&gt;=$S115),$V115,IF(AND($R115&lt;&gt;"",EDATE($D115,Milestones!$AA$72)&gt;=$R115),$U115,$T115)))=Milestones!$AB$72),TEXT(EDATE($D115,Milestones!$AA$72),"dd/mm/yy")&amp;" "&amp;Milestones!$AB$72&amp;" "&amp;Milestones!$AC$72&amp;";  ","")&amp;IF(AND(EDATE($D115,Milestones!$AA$73)&lt;=AsOfDate,IF($Q115=0,$W115,IF(AND($S115&lt;&gt;"",EDATE($D115,Milestones!$AA$73)&gt;=$S115),$V115,IF(AND($R115&lt;&gt;"",EDATE($D115,Milestones!$AA$73)&gt;=$R115),$U115,$T115)))=Milestones!$AB$73),TEXT(EDATE($D115,Milestones!$AA$73),"dd/mm/yy")&amp;" "&amp;Milestones!$AB$73&amp;" "&amp;Milestones!$AC$73&amp;";  ","")&amp;IF(AND(EDATE($D115,Milestones!$AA$74)&lt;=AsOfDate,IF($Q115=0,$W115,IF(AND($S115&lt;&gt;"",EDATE($D115,Milestones!$AA$74)&gt;=$S115),$V115,IF(AND($R115&lt;&gt;"",EDATE($D115,Milestones!$AA$74)&gt;=$R115),$U115,$T115)))=Milestones!$AB$74),TEXT(EDATE($D115,Milestones!$AA$74),"dd/mm/yy")&amp;" "&amp;Milestones!$AB$74&amp;" "&amp;Milestones!$AC$74&amp;";  ","")&amp;IF(AND(EDATE($D115,Milestones!$AA$75)&lt;=AsOfDate,IF($Q115=0,$W115,IF(AND($S115&lt;&gt;"",EDATE($D115,Milestones!$AA$75)&gt;=$S115),$V115,IF(AND($R115&lt;&gt;"",EDATE($D115,Milestones!$AA$75)&gt;=$R115),$U115,$T115)))=Milestones!$AB$75),TEXT(EDATE($D115,Milestones!$AA$75),"dd/mm/yy")&amp;" "&amp;Milestones!$AB$75&amp;" "&amp;Milestones!$AC$75&amp;";  ","")&amp;IF(AND(EDATE($D115,Milestones!$AA$76)&lt;=AsOfDate,IF($Q115=0,$W115,IF(AND($S115&lt;&gt;"",EDATE($D115,Milestones!$AA$76)&gt;=$S115),$V115,IF(AND($R115&lt;&gt;"",EDATE($D115,Milestones!$AA$76)&gt;=$R115),$U115,$T115)))=Milestones!$AB$76),TEXT(EDATE($D115,Milestones!$AA$76),"dd/mm/yy")&amp;" "&amp;Milestones!$AB$76&amp;" "&amp;Milestones!$AC$76&amp;";  ","")&amp;IF(AND(EDATE($D115,Milestones!$AA$77)&lt;=AsOfDate,IF($Q115=0,$W115,IF(AND($S115&lt;&gt;"",EDATE($D115,Milestones!$AA$77)&gt;=$S115),$V115,IF(AND($R115&lt;&gt;"",EDATE($D115,Milestones!$AA$77)&gt;=$R115),$U115,$T115)))=Milestones!$AB$77),TEXT(EDATE($D115,Milestones!$AA$77),"dd/mm/yy")&amp;" "&amp;Milestones!$AB$77&amp;" "&amp;Milestones!$AC$77&amp;";  ","")&amp;IF(AND(EDATE($D115,Milestones!$AA$78)&lt;=AsOfDate,IF($Q115=0,$W115,IF(AND($S115&lt;&gt;"",EDATE($D115,Milestones!$AA$78)&gt;=$S115),$V115,IF(AND($R115&lt;&gt;"",EDATE($D115,Milestones!$AA$78)&gt;=$R115),$U115,$T115)))=Milestones!$AB$78),TEXT(EDATE($D115,Milestones!$AA$78),"dd/mm/yy")&amp;" "&amp;Milestones!$AB$78&amp;" "&amp;Milestones!$AC$78&amp;";  ","")&amp;IF(AND(EDATE($D115,Milestones!$AA$79)&lt;=AsOfDate,IF($Q115=0,$W115,IF(AND($S115&lt;&gt;"",EDATE($D115,Milestones!$AA$79)&gt;=$S115),$V115,IF(AND($R115&lt;&gt;"",EDATE($D115,Milestones!$AA$79)&gt;=$R115),$U115,$T115)))=Milestones!$AB$79),TEXT(EDATE($D115,Milestones!$AA$79),"dd/mm/yy")&amp;" "&amp;Milestones!$AB$79&amp;" "&amp;Milestones!$AC$79&amp;";  ",""))</f>
        <v/>
      </c>
      <c r="K115" s="0" t="str">
        <f aca="false">IF(OR($A115="",$D115=""),"",IF(AND(EDATE($D115,Milestones!$AA$80)&lt;=AsOfDate,IF($Q115=0,$W115,IF(AND($S115&lt;&gt;"",EDATE($D115,Milestones!$AA$80)&gt;=$S115),$V115,IF(AND($R115&lt;&gt;"",EDATE($D115,Milestones!$AA$80)&gt;=$R115),$U115,$T115)))=Milestones!$AB$80),TEXT(EDATE($D115,Milestones!$AA$80),"dd/mm/yy")&amp;" "&amp;Milestones!$AB$80&amp;" "&amp;Milestones!$AC$80&amp;";  ","")&amp;IF(AND(EDATE($D115,Milestones!$AA$81)&lt;=AsOfDate,IF($Q115=0,$W115,IF(AND($S115&lt;&gt;"",EDATE($D115,Milestones!$AA$81)&gt;=$S115),$V115,IF(AND($R115&lt;&gt;"",EDATE($D115,Milestones!$AA$81)&gt;=$R115),$U115,$T115)))=Milestones!$AB$81),TEXT(EDATE($D115,Milestones!$AA$81),"dd/mm/yy")&amp;" "&amp;Milestones!$AB$81&amp;" "&amp;Milestones!$AC$81&amp;";  ","")&amp;IF(AND(EDATE($D115,Milestones!$AA$82)&lt;=AsOfDate,IF($Q115=0,$W115,IF(AND($S115&lt;&gt;"",EDATE($D115,Milestones!$AA$82)&gt;=$S115),$V115,IF(AND($R115&lt;&gt;"",EDATE($D115,Milestones!$AA$82)&gt;=$R115),$U115,$T115)))=Milestones!$AB$82),TEXT(EDATE($D115,Milestones!$AA$82),"dd/mm/yy")&amp;" "&amp;Milestones!$AB$82&amp;" "&amp;Milestones!$AC$82&amp;";  ","")&amp;IF(AND(EDATE($D115,Milestones!$AA$83)&lt;=AsOfDate,IF($Q115=0,$W115,IF(AND($S115&lt;&gt;"",EDATE($D115,Milestones!$AA$83)&gt;=$S115),$V115,IF(AND($R115&lt;&gt;"",EDATE($D115,Milestones!$AA$83)&gt;=$R115),$U115,$T115)))=Milestones!$AB$83),TEXT(EDATE($D115,Milestones!$AA$83),"dd/mm/yy")&amp;" "&amp;Milestones!$AB$83&amp;" "&amp;Milestones!$AC$83&amp;";  ","")&amp;IF(AND(EDATE($D115,Milestones!$AA$84)&lt;=AsOfDate,IF($Q115=0,$W115,IF(AND($S115&lt;&gt;"",EDATE($D115,Milestones!$AA$84)&gt;=$S115),$V115,IF(AND($R115&lt;&gt;"",EDATE($D115,Milestones!$AA$84)&gt;=$R115),$U115,$T115)))=Milestones!$AB$84),TEXT(EDATE($D115,Milestones!$AA$84),"dd/mm/yy")&amp;" "&amp;Milestones!$AB$84&amp;" "&amp;Milestones!$AC$84&amp;";  ","")&amp;IF(AND(EDATE($D115,Milestones!$AA$85)&lt;=AsOfDate,IF($Q115=0,$W115,IF(AND($S115&lt;&gt;"",EDATE($D115,Milestones!$AA$85)&gt;=$S115),$V115,IF(AND($R115&lt;&gt;"",EDATE($D115,Milestones!$AA$85)&gt;=$R115),$U115,$T115)))=Milestones!$AB$85),TEXT(EDATE($D115,Milestones!$AA$85),"dd/mm/yy")&amp;" "&amp;Milestones!$AB$85&amp;" "&amp;Milestones!$AC$85&amp;";  ","")&amp;IF(AND(EDATE($D115,Milestones!$AA$86)&lt;=AsOfDate,IF($Q115=0,$W115,IF(AND($S115&lt;&gt;"",EDATE($D115,Milestones!$AA$86)&gt;=$S115),$V115,IF(AND($R115&lt;&gt;"",EDATE($D115,Milestones!$AA$86)&gt;=$R115),$U115,$T115)))=Milestones!$AB$86),TEXT(EDATE($D115,Milestones!$AA$86),"dd/mm/yy")&amp;" "&amp;Milestones!$AB$86&amp;" "&amp;Milestones!$AC$86&amp;";  ","")&amp;IF(AND(EDATE($D115,Milestones!$AA$87)&lt;=AsOfDate,IF($Q115=0,$W115,IF(AND($S115&lt;&gt;"",EDATE($D115,Milestones!$AA$87)&gt;=$S115),$V115,IF(AND($R115&lt;&gt;"",EDATE($D115,Milestones!$AA$87)&gt;=$R115),$U115,$T115)))=Milestones!$AB$87),TEXT(EDATE($D115,Milestones!$AA$87),"dd/mm/yy")&amp;" "&amp;Milestones!$AB$87&amp;" "&amp;Milestones!$AC$87&amp;";  ","")&amp;IF(AND(EDATE($D115,Milestones!$AA$88)&lt;=AsOfDate,IF($Q115=0,$W115,IF(AND($S115&lt;&gt;"",EDATE($D115,Milestones!$AA$88)&gt;=$S115),$V115,IF(AND($R115&lt;&gt;"",EDATE($D115,Milestones!$AA$88)&gt;=$R115),$U115,$T115)))=Milestones!$AB$88),TEXT(EDATE($D115,Milestones!$AA$88),"dd/mm/yy")&amp;" "&amp;Milestones!$AB$88&amp;" "&amp;Milestones!$AC$88&amp;";  ","")&amp;IF(AND(EDATE($D115,Milestones!$AA$89)&lt;=AsOfDate,IF($Q115=0,$W115,IF(AND($S115&lt;&gt;"",EDATE($D115,Milestones!$AA$89)&gt;=$S115),$V115,IF(AND($R115&lt;&gt;"",EDATE($D115,Milestones!$AA$89)&gt;=$R115),$U115,$T115)))=Milestones!$AB$89),TEXT(EDATE($D115,Milestones!$AA$89),"dd/mm/yy")&amp;" "&amp;Milestones!$AB$89&amp;" "&amp;Milestones!$AC$89&amp;";  ","")&amp;IF(AND(EDATE($D115,Milestones!$AA$90)&lt;=AsOfDate,IF($Q115=0,$W115,IF(AND($S115&lt;&gt;"",EDATE($D115,Milestones!$AA$90)&gt;=$S115),$V115,IF(AND($R115&lt;&gt;"",EDATE($D115,Milestones!$AA$90)&gt;=$R115),$U115,$T115)))=Milestones!$AB$90),TEXT(EDATE($D115,Milestones!$AA$90),"dd/mm/yy")&amp;" "&amp;Milestones!$AB$90&amp;" "&amp;Milestones!$AC$90&amp;";  ","")&amp;IF(AND(EDATE($D115,Milestones!$AA$91)&lt;=AsOfDate,IF($Q115=0,$W115,IF(AND($S115&lt;&gt;"",EDATE($D115,Milestones!$AA$91)&gt;=$S115),$V115,IF(AND($R115&lt;&gt;"",EDATE($D115,Milestones!$AA$91)&gt;=$R115),$U115,$T115)))=Milestones!$AB$91),TEXT(EDATE($D115,Milestones!$AA$91),"dd/mm/yy")&amp;" "&amp;Milestones!$AB$91&amp;" "&amp;Milestones!$AC$91&amp;";  ","")&amp;IF(AND(EDATE($D115,Milestones!$AA$92)&lt;=AsOfDate,IF($Q115=0,$W115,IF(AND($S115&lt;&gt;"",EDATE($D115,Milestones!$AA$92)&gt;=$S115),$V115,IF(AND($R115&lt;&gt;"",EDATE($D115,Milestones!$AA$92)&gt;=$R115),$U115,$T115)))=Milestones!$AB$92),TEXT(EDATE($D115,Milestones!$AA$92),"dd/mm/yy")&amp;" "&amp;Milestones!$AB$92&amp;" "&amp;Milestones!$AC$92&amp;";  ","")&amp;IF(AND(EDATE($D115,Milestones!$AA$93)&lt;=AsOfDate,IF($Q115=0,$W115,IF(AND($S115&lt;&gt;"",EDATE($D115,Milestones!$AA$93)&gt;=$S115),$V115,IF(AND($R115&lt;&gt;"",EDATE($D115,Milestones!$AA$93)&gt;=$R115),$U115,$T115)))=Milestones!$AB$93),TEXT(EDATE($D115,Milestones!$AA$93),"dd/mm/yy")&amp;" "&amp;Milestones!$AB$93&amp;" "&amp;Milestones!$AC$93&amp;";  ","")&amp;IF(AND(EDATE($D115,Milestones!$AA$94)&lt;=AsOfDate,IF($Q115=0,$W115,IF(AND($S115&lt;&gt;"",EDATE($D115,Milestones!$AA$94)&gt;=$S115),$V115,IF(AND($R115&lt;&gt;"",EDATE($D115,Milestones!$AA$94)&gt;=$R115),$U115,$T115)))=Milestones!$AB$94),TEXT(EDATE($D115,Milestones!$AA$94),"dd/mm/yy")&amp;" "&amp;Milestones!$AB$94&amp;" "&amp;Milestones!$AC$94&amp;";  ","")&amp;IF(AND(EDATE($D115,Milestones!$AA$95)&lt;=AsOfDate,IF($Q115=0,$W115,IF(AND($S115&lt;&gt;"",EDATE($D115,Milestones!$AA$95)&gt;=$S115),$V115,IF(AND($R115&lt;&gt;"",EDATE($D115,Milestones!$AA$95)&gt;=$R115),$U115,$T115)))=Milestones!$AB$95),TEXT(EDATE($D115,Milestones!$AA$95),"dd/mm/yy")&amp;" "&amp;Milestones!$AB$95&amp;" "&amp;Milestones!$AC$95&amp;";  ","")&amp;IF(AND(EDATE($D115,Milestones!$AA$96)&lt;=AsOfDate,IF($Q115=0,$W115,IF(AND($S115&lt;&gt;"",EDATE($D115,Milestones!$AA$96)&gt;=$S115),$V115,IF(AND($R115&lt;&gt;"",EDATE($D115,Milestones!$AA$96)&gt;=$R115),$U115,$T115)))=Milestones!$AB$96),TEXT(EDATE($D115,Milestones!$AA$96),"dd/mm/yy")&amp;" "&amp;Milestones!$AB$96&amp;" "&amp;Milestones!$AC$96&amp;";  ","")&amp;IF(AND(EDATE($D115,Milestones!$AA$97)&lt;=AsOfDate,IF($Q115=0,$W115,IF(AND($S115&lt;&gt;"",EDATE($D115,Milestones!$AA$97)&gt;=$S115),$V115,IF(AND($R115&lt;&gt;"",EDATE($D115,Milestones!$AA$97)&gt;=$R115),$U115,$T115)))=Milestones!$AB$97),TEXT(EDATE($D115,Milestones!$AA$97),"dd/mm/yy")&amp;" "&amp;Milestones!$AB$97&amp;" "&amp;Milestones!$AC$97&amp;";  ","")&amp;IF(AND(EDATE($D115,Milestones!$AA$98)&lt;=AsOfDate,IF($Q115=0,$W115,IF(AND($S115&lt;&gt;"",EDATE($D115,Milestones!$AA$98)&gt;=$S115),$V115,IF(AND($R115&lt;&gt;"",EDATE($D115,Milestones!$AA$98)&gt;=$R115),$U115,$T115)))=Milestones!$AB$98),TEXT(EDATE($D115,Milestones!$AA$98),"dd/mm/yy")&amp;" "&amp;Milestones!$AB$98&amp;" "&amp;Milestones!$AC$98&amp;";  ","")&amp;IF(AND(EDATE($D115,Milestones!$AA$99)&lt;=AsOfDate,IF($Q115=0,$W115,IF(AND($S115&lt;&gt;"",EDATE($D115,Milestones!$AA$99)&gt;=$S115),$V115,IF(AND($R115&lt;&gt;"",EDATE($D115,Milestones!$AA$99)&gt;=$R115),$U115,$T115)))=Milestones!$AB$99),TEXT(EDATE($D115,Milestones!$AA$99),"dd/mm/yy")&amp;" "&amp;Milestones!$AB$99&amp;" "&amp;Milestones!$AC$99&amp;";  ",""))</f>
        <v/>
      </c>
      <c r="L115" s="0" t="str">
        <f aca="false">IF(OR($A115="",$D115=""),"",IF(AND(EDATE($D115,Milestones!$AA$100)&lt;=AsOfDate,IF($Q115=0,$W115,IF(AND($S115&lt;&gt;"",EDATE($D115,Milestones!$AA$100)&gt;=$S115),$V115,IF(AND($R115&lt;&gt;"",EDATE($D115,Milestones!$AA$100)&gt;=$R115),$U115,$T115)))=Milestones!$AB$100),TEXT(EDATE($D115,Milestones!$AA$100),"dd/mm/yy")&amp;" "&amp;Milestones!$AB$100&amp;" "&amp;Milestones!$AC$100&amp;";  ","")&amp;IF(AND(EDATE($D115,Milestones!$AA$101)&lt;=AsOfDate,IF($Q115=0,$W115,IF(AND($S115&lt;&gt;"",EDATE($D115,Milestones!$AA$101)&gt;=$S115),$V115,IF(AND($R115&lt;&gt;"",EDATE($D115,Milestones!$AA$101)&gt;=$R115),$U115,$T115)))=Milestones!$AB$101),TEXT(EDATE($D115,Milestones!$AA$101),"dd/mm/yy")&amp;" "&amp;Milestones!$AB$101&amp;" "&amp;Milestones!$AC$101&amp;";  ","")&amp;IF(AND(EDATE($D115,Milestones!$AA$102)&lt;=AsOfDate,IF($Q115=0,$W115,IF(AND($S115&lt;&gt;"",EDATE($D115,Milestones!$AA$102)&gt;=$S115),$V115,IF(AND($R115&lt;&gt;"",EDATE($D115,Milestones!$AA$102)&gt;=$R115),$U115,$T115)))=Milestones!$AB$102),TEXT(EDATE($D115,Milestones!$AA$102),"dd/mm/yy")&amp;" "&amp;Milestones!$AB$102&amp;" "&amp;Milestones!$AC$102&amp;";  ","")&amp;IF(AND(EDATE($D115,Milestones!$AA$103)&lt;=AsOfDate,IF($Q115=0,$W115,IF(AND($S115&lt;&gt;"",EDATE($D115,Milestones!$AA$103)&gt;=$S115),$V115,IF(AND($R115&lt;&gt;"",EDATE($D115,Milestones!$AA$103)&gt;=$R115),$U115,$T115)))=Milestones!$AB$103),TEXT(EDATE($D115,Milestones!$AA$103),"dd/mm/yy")&amp;" "&amp;Milestones!$AB$103&amp;" "&amp;Milestones!$AC$103&amp;";  ","")&amp;IF(AND(EDATE($D115,Milestones!$AA$104)&lt;=AsOfDate,IF($Q115=0,$W115,IF(AND($S115&lt;&gt;"",EDATE($D115,Milestones!$AA$104)&gt;=$S115),$V115,IF(AND($R115&lt;&gt;"",EDATE($D115,Milestones!$AA$104)&gt;=$R115),$U115,$T115)))=Milestones!$AB$104),TEXT(EDATE($D115,Milestones!$AA$104),"dd/mm/yy")&amp;" "&amp;Milestones!$AB$104&amp;" "&amp;Milestones!$AC$104&amp;";  ","")&amp;IF(AND(EDATE($D115,Milestones!$AA$105)&lt;=AsOfDate,IF($Q115=0,$W115,IF(AND($S115&lt;&gt;"",EDATE($D115,Milestones!$AA$105)&gt;=$S115),$V115,IF(AND($R115&lt;&gt;"",EDATE($D115,Milestones!$AA$105)&gt;=$R115),$U115,$T115)))=Milestones!$AB$105),TEXT(EDATE($D115,Milestones!$AA$105),"dd/mm/yy")&amp;" "&amp;Milestones!$AB$105&amp;" "&amp;Milestones!$AC$105&amp;";  ","")&amp;IF(AND(EDATE($D115,Milestones!$AA$106)&lt;=AsOfDate,IF($Q115=0,$W115,IF(AND($S115&lt;&gt;"",EDATE($D115,Milestones!$AA$106)&gt;=$S115),$V115,IF(AND($R115&lt;&gt;"",EDATE($D115,Milestones!$AA$106)&gt;=$R115),$U115,$T115)))=Milestones!$AB$106),TEXT(EDATE($D115,Milestones!$AA$106),"dd/mm/yy")&amp;" "&amp;Milestones!$AB$106&amp;" "&amp;Milestones!$AC$106&amp;";  ","")&amp;IF(AND(EDATE($D115,Milestones!$AA$107)&lt;=AsOfDate,IF($Q115=0,$W115,IF(AND($S115&lt;&gt;"",EDATE($D115,Milestones!$AA$107)&gt;=$S115),$V115,IF(AND($R115&lt;&gt;"",EDATE($D115,Milestones!$AA$107)&gt;=$R115),$U115,$T115)))=Milestones!$AB$107),TEXT(EDATE($D115,Milestones!$AA$107),"dd/mm/yy")&amp;" "&amp;Milestones!$AB$107&amp;" "&amp;Milestones!$AC$107&amp;";  ","")&amp;IF(AND(EDATE($D115,Milestones!$AA$108)&lt;=AsOfDate,IF($Q115=0,$W115,IF(AND($S115&lt;&gt;"",EDATE($D115,Milestones!$AA$108)&gt;=$S115),$V115,IF(AND($R115&lt;&gt;"",EDATE($D115,Milestones!$AA$108)&gt;=$R115),$U115,$T115)))=Milestones!$AB$108),TEXT(EDATE($D115,Milestones!$AA$108),"dd/mm/yy")&amp;" "&amp;Milestones!$AB$108&amp;" "&amp;Milestones!$AC$108&amp;";  ","")&amp;IF(AND(EDATE($D115,Milestones!$AA$109)&lt;=AsOfDate,IF($Q115=0,$W115,IF(AND($S115&lt;&gt;"",EDATE($D115,Milestones!$AA$109)&gt;=$S115),$V115,IF(AND($R115&lt;&gt;"",EDATE($D115,Milestones!$AA$109)&gt;=$R115),$U115,$T115)))=Milestones!$AB$109),TEXT(EDATE($D115,Milestones!$AA$109),"dd/mm/yy")&amp;" "&amp;Milestones!$AB$109&amp;" "&amp;Milestones!$AC$109&amp;";  ","")&amp;IF(AND(EDATE($D115,Milestones!$AA$110)&lt;=AsOfDate,IF($Q115=0,$W115,IF(AND($S115&lt;&gt;"",EDATE($D115,Milestones!$AA$110)&gt;=$S115),$V115,IF(AND($R115&lt;&gt;"",EDATE($D115,Milestones!$AA$110)&gt;=$R115),$U115,$T115)))=Milestones!$AB$110),TEXT(EDATE($D115,Milestones!$AA$110),"dd/mm/yy")&amp;" "&amp;Milestones!$AB$110&amp;" "&amp;Milestones!$AC$110&amp;";  ","")&amp;IF(AND(EDATE($D115,Milestones!$AA$111)&lt;=AsOfDate,IF($Q115=0,$W115,IF(AND($S115&lt;&gt;"",EDATE($D115,Milestones!$AA$111)&gt;=$S115),$V115,IF(AND($R115&lt;&gt;"",EDATE($D115,Milestones!$AA$111)&gt;=$R115),$U115,$T115)))=Milestones!$AB$111),TEXT(EDATE($D115,Milestones!$AA$111),"dd/mm/yy")&amp;" "&amp;Milestones!$AB$111&amp;" "&amp;Milestones!$AC$111&amp;";  ","")&amp;IF(AND(EDATE($D115,Milestones!$AA$112)&lt;=AsOfDate,IF($Q115=0,$W115,IF(AND($S115&lt;&gt;"",EDATE($D115,Milestones!$AA$112)&gt;=$S115),$V115,IF(AND($R115&lt;&gt;"",EDATE($D115,Milestones!$AA$112)&gt;=$R115),$U115,$T115)))=Milestones!$AB$112),TEXT(EDATE($D115,Milestones!$AA$112),"dd/mm/yy")&amp;" "&amp;Milestones!$AB$112&amp;" "&amp;Milestones!$AC$112&amp;";  ","")&amp;IF(AND(EDATE($D115,Milestones!$AA$113)&lt;=AsOfDate,IF($Q115=0,$W115,IF(AND($S115&lt;&gt;"",EDATE($D115,Milestones!$AA$113)&gt;=$S115),$V115,IF(AND($R115&lt;&gt;"",EDATE($D115,Milestones!$AA$113)&gt;=$R115),$U115,$T115)))=Milestones!$AB$113),TEXT(EDATE($D115,Milestones!$AA$113),"dd/mm/yy")&amp;" "&amp;Milestones!$AB$113&amp;" "&amp;Milestones!$AC$113&amp;";  ","")&amp;IF(AND(EDATE($D115,Milestones!$AA$114)&lt;=AsOfDate,IF($Q115=0,$W115,IF(AND($S115&lt;&gt;"",EDATE($D115,Milestones!$AA$114)&gt;=$S115),$V115,IF(AND($R115&lt;&gt;"",EDATE($D115,Milestones!$AA$114)&gt;=$R115),$U115,$T115)))=Milestones!$AB$114),TEXT(EDATE($D115,Milestones!$AA$114),"dd/mm/yy")&amp;" "&amp;Milestones!$AB$114&amp;" "&amp;Milestones!$AC$114&amp;";  ","")&amp;IF(AND(EDATE($D115,Milestones!$AA$115)&lt;=AsOfDate,IF($Q115=0,$W115,IF(AND($S115&lt;&gt;"",EDATE($D115,Milestones!$AA$115)&gt;=$S115),$V115,IF(AND($R115&lt;&gt;"",EDATE($D115,Milestones!$AA$115)&gt;=$R115),$U115,$T115)))=Milestones!$AB$115),TEXT(EDATE($D115,Milestones!$AA$115),"dd/mm/yy")&amp;" "&amp;Milestones!$AB$115&amp;" "&amp;Milestones!$AC$115&amp;";  ","")&amp;IF(AND(EDATE($D115,Milestones!$AA$116)&lt;=AsOfDate,IF($Q115=0,$W115,IF(AND($S115&lt;&gt;"",EDATE($D115,Milestones!$AA$116)&gt;=$S115),$V115,IF(AND($R115&lt;&gt;"",EDATE($D115,Milestones!$AA$116)&gt;=$R115),$U115,$T115)))=Milestones!$AB$116),TEXT(EDATE($D115,Milestones!$AA$116),"dd/mm/yy")&amp;" "&amp;Milestones!$AB$116&amp;" "&amp;Milestones!$AC$116&amp;";  ","")&amp;IF(AND(EDATE($D115,Milestones!$AA$117)&lt;=AsOfDate,IF($Q115=0,$W115,IF(AND($S115&lt;&gt;"",EDATE($D115,Milestones!$AA$117)&gt;=$S115),$V115,IF(AND($R115&lt;&gt;"",EDATE($D115,Milestones!$AA$117)&gt;=$R115),$U115,$T115)))=Milestones!$AB$117),TEXT(EDATE($D115,Milestones!$AA$117),"dd/mm/yy")&amp;" "&amp;Milestones!$AB$117&amp;" "&amp;Milestones!$AC$117&amp;";  ","")&amp;IF(AND(EDATE($D115,Milestones!$AA$118)&lt;=AsOfDate,IF($Q115=0,$W115,IF(AND($S115&lt;&gt;"",EDATE($D115,Milestones!$AA$118)&gt;=$S115),$V115,IF(AND($R115&lt;&gt;"",EDATE($D115,Milestones!$AA$118)&gt;=$R115),$U115,$T115)))=Milestones!$AB$118),TEXT(EDATE($D115,Milestones!$AA$118),"dd/mm/yy")&amp;" "&amp;Milestones!$AB$118&amp;" "&amp;Milestones!$AC$118&amp;";  ","")&amp;IF(AND(EDATE($D115,Milestones!$AA$119)&lt;=AsOfDate,IF($Q115=0,$W115,IF(AND($S115&lt;&gt;"",EDATE($D115,Milestones!$AA$119)&gt;=$S115),$V115,IF(AND($R115&lt;&gt;"",EDATE($D115,Milestones!$AA$119)&gt;=$R115),$U115,$T115)))=Milestones!$AB$119),TEXT(EDATE($D115,Milestones!$AA$119),"dd/mm/yy")&amp;" "&amp;Milestones!$AB$119&amp;" "&amp;Milestones!$AC$119&amp;";  ",""))</f>
        <v/>
      </c>
      <c r="M115" s="0" t="str">
        <f aca="false">IF(OR($A115="",$D115=""),"",IF(AND(EDATE($D115,Milestones!$AA$120)&lt;=AsOfDate,IF($Q115=0,$W115,IF(AND($S115&lt;&gt;"",EDATE($D115,Milestones!$AA$120)&gt;=$S115),$V115,IF(AND($R115&lt;&gt;"",EDATE($D115,Milestones!$AA$120)&gt;=$R115),$U115,$T115)))=Milestones!$AB$120),TEXT(EDATE($D115,Milestones!$AA$120),"dd/mm/yy")&amp;" "&amp;Milestones!$AB$120&amp;" "&amp;Milestones!$AC$120&amp;";  ","")&amp;IF(AND(EDATE($D115,Milestones!$AA$121)&lt;=AsOfDate,IF($Q115=0,$W115,IF(AND($S115&lt;&gt;"",EDATE($D115,Milestones!$AA$121)&gt;=$S115),$V115,IF(AND($R115&lt;&gt;"",EDATE($D115,Milestones!$AA$121)&gt;=$R115),$U115,$T115)))=Milestones!$AB$121),TEXT(EDATE($D115,Milestones!$AA$121),"dd/mm/yy")&amp;" "&amp;Milestones!$AB$121&amp;" "&amp;Milestones!$AC$121&amp;";  ","")&amp;IF(AND(EDATE($D115,Milestones!$AA$122)&lt;=AsOfDate,IF($Q115=0,$W115,IF(AND($S115&lt;&gt;"",EDATE($D115,Milestones!$AA$122)&gt;=$S115),$V115,IF(AND($R115&lt;&gt;"",EDATE($D115,Milestones!$AA$122)&gt;=$R115),$U115,$T115)))=Milestones!$AB$122),TEXT(EDATE($D115,Milestones!$AA$122),"dd/mm/yy")&amp;" "&amp;Milestones!$AB$122&amp;" "&amp;Milestones!$AC$122&amp;";  ","")&amp;IF(AND(EDATE($D115,Milestones!$AA$123)&lt;=AsOfDate,IF($Q115=0,$W115,IF(AND($S115&lt;&gt;"",EDATE($D115,Milestones!$AA$123)&gt;=$S115),$V115,IF(AND($R115&lt;&gt;"",EDATE($D115,Milestones!$AA$123)&gt;=$R115),$U115,$T115)))=Milestones!$AB$123),TEXT(EDATE($D115,Milestones!$AA$123),"dd/mm/yy")&amp;" "&amp;Milestones!$AB$123&amp;" "&amp;Milestones!$AC$123&amp;";  ","")&amp;IF(AND(EDATE($D115,Milestones!$AA$124)&lt;=AsOfDate,IF($Q115=0,$W115,IF(AND($S115&lt;&gt;"",EDATE($D115,Milestones!$AA$124)&gt;=$S115),$V115,IF(AND($R115&lt;&gt;"",EDATE($D115,Milestones!$AA$124)&gt;=$R115),$U115,$T115)))=Milestones!$AB$124),TEXT(EDATE($D115,Milestones!$AA$124),"dd/mm/yy")&amp;" "&amp;Milestones!$AB$124&amp;" "&amp;Milestones!$AC$124&amp;";  ","")&amp;IF(AND(EDATE($D115,Milestones!$AA$125)&lt;=AsOfDate,IF($Q115=0,$W115,IF(AND($S115&lt;&gt;"",EDATE($D115,Milestones!$AA$125)&gt;=$S115),$V115,IF(AND($R115&lt;&gt;"",EDATE($D115,Milestones!$AA$125)&gt;=$R115),$U115,$T115)))=Milestones!$AB$125),TEXT(EDATE($D115,Milestones!$AA$125),"dd/mm/yy")&amp;" "&amp;Milestones!$AB$125&amp;" "&amp;Milestones!$AC$125&amp;";  ","")&amp;IF(AND(EDATE($D115,Milestones!$AA$126)&lt;=AsOfDate,IF($Q115=0,$W115,IF(AND($S115&lt;&gt;"",EDATE($D115,Milestones!$AA$126)&gt;=$S115),$V115,IF(AND($R115&lt;&gt;"",EDATE($D115,Milestones!$AA$126)&gt;=$R115),$U115,$T115)))=Milestones!$AB$126),TEXT(EDATE($D115,Milestones!$AA$126),"dd/mm/yy")&amp;" "&amp;Milestones!$AB$126&amp;" "&amp;Milestones!$AC$126&amp;";  ","")&amp;IF(AND(EDATE($D115,Milestones!$AA$127)&lt;=AsOfDate,IF($Q115=0,$W115,IF(AND($S115&lt;&gt;"",EDATE($D115,Milestones!$AA$127)&gt;=$S115),$V115,IF(AND($R115&lt;&gt;"",EDATE($D115,Milestones!$AA$127)&gt;=$R115),$U115,$T115)))=Milestones!$AB$127),TEXT(EDATE($D115,Milestones!$AA$127),"dd/mm/yy")&amp;" "&amp;Milestones!$AB$127&amp;" "&amp;Milestones!$AC$127&amp;";  ","")&amp;IF(AND(EDATE($D115,Milestones!$AA$128)&lt;=AsOfDate,IF($Q115=0,$W115,IF(AND($S115&lt;&gt;"",EDATE($D115,Milestones!$AA$128)&gt;=$S115),$V115,IF(AND($R115&lt;&gt;"",EDATE($D115,Milestones!$AA$128)&gt;=$R115),$U115,$T115)))=Milestones!$AB$128),TEXT(EDATE($D115,Milestones!$AA$128),"dd/mm/yy")&amp;" "&amp;Milestones!$AB$128&amp;" "&amp;Milestones!$AC$128&amp;";  ","")&amp;IF(AND(EDATE($D115,Milestones!$AA$129)&lt;=AsOfDate,IF($Q115=0,$W115,IF(AND($S115&lt;&gt;"",EDATE($D115,Milestones!$AA$129)&gt;=$S115),$V115,IF(AND($R115&lt;&gt;"",EDATE($D115,Milestones!$AA$129)&gt;=$R115),$U115,$T115)))=Milestones!$AB$129),TEXT(EDATE($D115,Milestones!$AA$129),"dd/mm/yy")&amp;" "&amp;Milestones!$AB$129&amp;" "&amp;Milestones!$AC$129&amp;";  ","")&amp;IF(AND(EDATE($D115,Milestones!$AA$130)&lt;=AsOfDate,IF($Q115=0,$W115,IF(AND($S115&lt;&gt;"",EDATE($D115,Milestones!$AA$130)&gt;=$S115),$V115,IF(AND($R115&lt;&gt;"",EDATE($D115,Milestones!$AA$130)&gt;=$R115),$U115,$T115)))=Milestones!$AB$130),TEXT(EDATE($D115,Milestones!$AA$130),"dd/mm/yy")&amp;" "&amp;Milestones!$AB$130&amp;" "&amp;Milestones!$AC$130&amp;";  ","")&amp;IF(AND(EDATE($D115,Milestones!$AA$131)&lt;=AsOfDate,IF($Q115=0,$W115,IF(AND($S115&lt;&gt;"",EDATE($D115,Milestones!$AA$131)&gt;=$S115),$V115,IF(AND($R115&lt;&gt;"",EDATE($D115,Milestones!$AA$131)&gt;=$R115),$U115,$T115)))=Milestones!$AB$131),TEXT(EDATE($D115,Milestones!$AA$131),"dd/mm/yy")&amp;" "&amp;Milestones!$AB$131&amp;" "&amp;Milestones!$AC$131&amp;";  ","")&amp;IF(AND(EDATE($D115,Milestones!$AA$132)&lt;=AsOfDate,IF($Q115=0,$W115,IF(AND($S115&lt;&gt;"",EDATE($D115,Milestones!$AA$132)&gt;=$S115),$V115,IF(AND($R115&lt;&gt;"",EDATE($D115,Milestones!$AA$132)&gt;=$R115),$U115,$T115)))=Milestones!$AB$132),TEXT(EDATE($D115,Milestones!$AA$132),"dd/mm/yy")&amp;" "&amp;Milestones!$AB$132&amp;" "&amp;Milestones!$AC$132&amp;";  ","")&amp;IF(AND(EDATE($D115,Milestones!$AA$133)&lt;=AsOfDate,IF($Q115=0,$W115,IF(AND($S115&lt;&gt;"",EDATE($D115,Milestones!$AA$133)&gt;=$S115),$V115,IF(AND($R115&lt;&gt;"",EDATE($D115,Milestones!$AA$133)&gt;=$R115),$U115,$T115)))=Milestones!$AB$133),TEXT(EDATE($D115,Milestones!$AA$133),"dd/mm/yy")&amp;" "&amp;Milestones!$AB$133&amp;" "&amp;Milestones!$AC$133&amp;";  ","")&amp;IF(AND(EDATE($D115,Milestones!$AA$134)&lt;=AsOfDate,IF($Q115=0,$W115,IF(AND($S115&lt;&gt;"",EDATE($D115,Milestones!$AA$134)&gt;=$S115),$V115,IF(AND($R115&lt;&gt;"",EDATE($D115,Milestones!$AA$134)&gt;=$R115),$U115,$T115)))=Milestones!$AB$134),TEXT(EDATE($D115,Milestones!$AA$134),"dd/mm/yy")&amp;" "&amp;Milestones!$AB$134&amp;" "&amp;Milestones!$AC$134&amp;";  ","")&amp;IF(AND(EDATE($D115,Milestones!$AA$135)&lt;=AsOfDate,IF($Q115=0,$W115,IF(AND($S115&lt;&gt;"",EDATE($D115,Milestones!$AA$135)&gt;=$S115),$V115,IF(AND($R115&lt;&gt;"",EDATE($D115,Milestones!$AA$135)&gt;=$R115),$U115,$T115)))=Milestones!$AB$135),TEXT(EDATE($D115,Milestones!$AA$135),"dd/mm/yy")&amp;" "&amp;Milestones!$AB$135&amp;" "&amp;Milestones!$AC$135&amp;";  ","")&amp;IF(AND(EDATE($D115,Milestones!$AA$136)&lt;=AsOfDate,IF($Q115=0,$W115,IF(AND($S115&lt;&gt;"",EDATE($D115,Milestones!$AA$136)&gt;=$S115),$V115,IF(AND($R115&lt;&gt;"",EDATE($D115,Milestones!$AA$136)&gt;=$R115),$U115,$T115)))=Milestones!$AB$136),TEXT(EDATE($D115,Milestones!$AA$136),"dd/mm/yy")&amp;" "&amp;Milestones!$AB$136&amp;" "&amp;Milestones!$AC$136&amp;";  ","")&amp;IF(AND(EDATE($D115,Milestones!$AA$137)&lt;=AsOfDate,IF($Q115=0,$W115,IF(AND($S115&lt;&gt;"",EDATE($D115,Milestones!$AA$137)&gt;=$S115),$V115,IF(AND($R115&lt;&gt;"",EDATE($D115,Milestones!$AA$137)&gt;=$R115),$U115,$T115)))=Milestones!$AB$137),TEXT(EDATE($D115,Milestones!$AA$137),"dd/mm/yy")&amp;" "&amp;Milestones!$AB$137&amp;" "&amp;Milestones!$AC$137&amp;";  ","")&amp;IF(AND(EDATE($D115,Milestones!$AA$138)&lt;=AsOfDate,IF($Q115=0,$W115,IF(AND($S115&lt;&gt;"",EDATE($D115,Milestones!$AA$138)&gt;=$S115),$V115,IF(AND($R115&lt;&gt;"",EDATE($D115,Milestones!$AA$138)&gt;=$R115),$U115,$T115)))=Milestones!$AB$138),TEXT(EDATE($D115,Milestones!$AA$138),"dd/mm/yy")&amp;" "&amp;Milestones!$AB$138&amp;" "&amp;Milestones!$AC$138&amp;";  ","")&amp;IF(AND(EDATE($D115,Milestones!$AA$139)&lt;=AsOfDate,IF($Q115=0,$W115,IF(AND($S115&lt;&gt;"",EDATE($D115,Milestones!$AA$139)&gt;=$S115),$V115,IF(AND($R115&lt;&gt;"",EDATE($D115,Milestones!$AA$139)&gt;=$R115),$U115,$T115)))=Milestones!$AB$139),TEXT(EDATE($D115,Milestones!$AA$139),"dd/mm/yy")&amp;" "&amp;Milestones!$AB$139&amp;" "&amp;Milestones!$AC$139&amp;";  ",""))</f>
        <v/>
      </c>
      <c r="N115" s="0" t="str">
        <f aca="false">IF(OR($A115="",$D115=""),"",IF(AND(EDATE($D115,Milestones!$AA$140)&lt;=AsOfDate,IF($Q115=0,$W115,IF(AND($S115&lt;&gt;"",EDATE($D115,Milestones!$AA$140)&gt;=$S115),$V115,IF(AND($R115&lt;&gt;"",EDATE($D115,Milestones!$AA$140)&gt;=$R115),$U115,$T115)))=Milestones!$AB$140),TEXT(EDATE($D115,Milestones!$AA$140),"dd/mm/yy")&amp;" "&amp;Milestones!$AB$140&amp;" "&amp;Milestones!$AC$140&amp;";  ","")&amp;IF(AND(EDATE($D115,Milestones!$AA$141)&lt;=AsOfDate,IF($Q115=0,$W115,IF(AND($S115&lt;&gt;"",EDATE($D115,Milestones!$AA$141)&gt;=$S115),$V115,IF(AND($R115&lt;&gt;"",EDATE($D115,Milestones!$AA$141)&gt;=$R115),$U115,$T115)))=Milestones!$AB$141),TEXT(EDATE($D115,Milestones!$AA$141),"dd/mm/yy")&amp;" "&amp;Milestones!$AB$141&amp;" "&amp;Milestones!$AC$141&amp;";  ","")&amp;IF(AND(EDATE($D115,Milestones!$AA$142)&lt;=AsOfDate,IF($Q115=0,$W115,IF(AND($S115&lt;&gt;"",EDATE($D115,Milestones!$AA$142)&gt;=$S115),$V115,IF(AND($R115&lt;&gt;"",EDATE($D115,Milestones!$AA$142)&gt;=$R115),$U115,$T115)))=Milestones!$AB$142),TEXT(EDATE($D115,Milestones!$AA$142),"dd/mm/yy")&amp;" "&amp;Milestones!$AB$142&amp;" "&amp;Milestones!$AC$142&amp;";  ","")&amp;IF(AND(EDATE($D115,Milestones!$AA$143)&lt;=AsOfDate,IF($Q115=0,$W115,IF(AND($S115&lt;&gt;"",EDATE($D115,Milestones!$AA$143)&gt;=$S115),$V115,IF(AND($R115&lt;&gt;"",EDATE($D115,Milestones!$AA$143)&gt;=$R115),$U115,$T115)))=Milestones!$AB$143),TEXT(EDATE($D115,Milestones!$AA$143),"dd/mm/yy")&amp;" "&amp;Milestones!$AB$143&amp;" "&amp;Milestones!$AC$143&amp;";  ","")&amp;IF(AND(EDATE($D115,Milestones!$AA$144)&lt;=AsOfDate,IF($Q115=0,$W115,IF(AND($S115&lt;&gt;"",EDATE($D115,Milestones!$AA$144)&gt;=$S115),$V115,IF(AND($R115&lt;&gt;"",EDATE($D115,Milestones!$AA$144)&gt;=$R115),$U115,$T115)))=Milestones!$AB$144),TEXT(EDATE($D115,Milestones!$AA$144),"dd/mm/yy")&amp;" "&amp;Milestones!$AB$144&amp;" "&amp;Milestones!$AC$144&amp;";  ","")&amp;IF(AND(EDATE($D115,Milestones!$AA$145)&lt;=AsOfDate,IF($Q115=0,$W115,IF(AND($S115&lt;&gt;"",EDATE($D115,Milestones!$AA$145)&gt;=$S115),$V115,IF(AND($R115&lt;&gt;"",EDATE($D115,Milestones!$AA$145)&gt;=$R115),$U115,$T115)))=Milestones!$AB$145),TEXT(EDATE($D115,Milestones!$AA$145),"dd/mm/yy")&amp;" "&amp;Milestones!$AB$145&amp;" "&amp;Milestones!$AC$145&amp;";  ","")&amp;IF(AND(EDATE($D115,Milestones!$AA$146)&lt;=AsOfDate,IF($Q115=0,$W115,IF(AND($S115&lt;&gt;"",EDATE($D115,Milestones!$AA$146)&gt;=$S115),$V115,IF(AND($R115&lt;&gt;"",EDATE($D115,Milestones!$AA$146)&gt;=$R115),$U115,$T115)))=Milestones!$AB$146),TEXT(EDATE($D115,Milestones!$AA$146),"dd/mm/yy")&amp;" "&amp;Milestones!$AB$146&amp;" "&amp;Milestones!$AC$146&amp;";  ","")&amp;IF(AND(EDATE($D115,Milestones!$AA$147)&lt;=AsOfDate,IF($Q115=0,$W115,IF(AND($S115&lt;&gt;"",EDATE($D115,Milestones!$AA$147)&gt;=$S115),$V115,IF(AND($R115&lt;&gt;"",EDATE($D115,Milestones!$AA$147)&gt;=$R115),$U115,$T115)))=Milestones!$AB$147),TEXT(EDATE($D115,Milestones!$AA$147),"dd/mm/yy")&amp;" "&amp;Milestones!$AB$147&amp;" "&amp;Milestones!$AC$147&amp;";  ","")&amp;IF(AND(EDATE($D115,Milestones!$AA$148)&lt;=AsOfDate,IF($Q115=0,$W115,IF(AND($S115&lt;&gt;"",EDATE($D115,Milestones!$AA$148)&gt;=$S115),$V115,IF(AND($R115&lt;&gt;"",EDATE($D115,Milestones!$AA$148)&gt;=$R115),$U115,$T115)))=Milestones!$AB$148),TEXT(EDATE($D115,Milestones!$AA$148),"dd/mm/yy")&amp;" "&amp;Milestones!$AB$148&amp;" "&amp;Milestones!$AC$148&amp;";  ","")&amp;IF(AND(EDATE($D115,Milestones!$AA$149)&lt;=AsOfDate,IF($Q115=0,$W115,IF(AND($S115&lt;&gt;"",EDATE($D115,Milestones!$AA$149)&gt;=$S115),$V115,IF(AND($R115&lt;&gt;"",EDATE($D115,Milestones!$AA$149)&gt;=$R115),$U115,$T115)))=Milestones!$AB$149),TEXT(EDATE($D115,Milestones!$AA$149),"dd/mm/yy")&amp;" "&amp;Milestones!$AB$149&amp;" "&amp;Milestones!$AC$149&amp;";  ","")&amp;IF(AND(EDATE($D115,Milestones!$AA$150)&lt;=AsOfDate,IF($Q115=0,$W115,IF(AND($S115&lt;&gt;"",EDATE($D115,Milestones!$AA$150)&gt;=$S115),$V115,IF(AND($R115&lt;&gt;"",EDATE($D115,Milestones!$AA$150)&gt;=$R115),$U115,$T115)))=Milestones!$AB$150),TEXT(EDATE($D115,Milestones!$AA$150),"dd/mm/yy")&amp;" "&amp;Milestones!$AB$150&amp;" "&amp;Milestones!$AC$150&amp;";  ","")&amp;IF(AND(EDATE($D115,Milestones!$AA$151)&lt;=AsOfDate,IF($Q115=0,$W115,IF(AND($S115&lt;&gt;"",EDATE($D115,Milestones!$AA$151)&gt;=$S115),$V115,IF(AND($R115&lt;&gt;"",EDATE($D115,Milestones!$AA$151)&gt;=$R115),$U115,$T115)))=Milestones!$AB$151),TEXT(EDATE($D115,Milestones!$AA$151),"dd/mm/yy")&amp;" "&amp;Milestones!$AB$151&amp;" "&amp;Milestones!$AC$151&amp;";  ","")&amp;IF(AND(EDATE($D115,Milestones!$AA$152)&lt;=AsOfDate,IF($Q115=0,$W115,IF(AND($S115&lt;&gt;"",EDATE($D115,Milestones!$AA$152)&gt;=$S115),$V115,IF(AND($R115&lt;&gt;"",EDATE($D115,Milestones!$AA$152)&gt;=$R115),$U115,$T115)))=Milestones!$AB$152),TEXT(EDATE($D115,Milestones!$AA$152),"dd/mm/yy")&amp;" "&amp;Milestones!$AB$152&amp;" "&amp;Milestones!$AC$152&amp;";  ","")&amp;IF(AND(EDATE($D115,Milestones!$AA$153)&lt;=AsOfDate,IF($Q115=0,$W115,IF(AND($S115&lt;&gt;"",EDATE($D115,Milestones!$AA$153)&gt;=$S115),$V115,IF(AND($R115&lt;&gt;"",EDATE($D115,Milestones!$AA$153)&gt;=$R115),$U115,$T115)))=Milestones!$AB$153),TEXT(EDATE($D115,Milestones!$AA$153),"dd/mm/yy")&amp;" "&amp;Milestones!$AB$153&amp;" "&amp;Milestones!$AC$153&amp;";  ","")&amp;IF(AND(EDATE($D115,Milestones!$AA$154)&lt;=AsOfDate,IF($Q115=0,$W115,IF(AND($S115&lt;&gt;"",EDATE($D115,Milestones!$AA$154)&gt;=$S115),$V115,IF(AND($R115&lt;&gt;"",EDATE($D115,Milestones!$AA$154)&gt;=$R115),$U115,$T115)))=Milestones!$AB$154),TEXT(EDATE($D115,Milestones!$AA$154),"dd/mm/yy")&amp;" "&amp;Milestones!$AB$154&amp;" "&amp;Milestones!$AC$154&amp;";  ","")&amp;IF(AND(EDATE($D115,Milestones!$AA$155)&lt;=AsOfDate,IF($Q115=0,$W115,IF(AND($S115&lt;&gt;"",EDATE($D115,Milestones!$AA$155)&gt;=$S115),$V115,IF(AND($R115&lt;&gt;"",EDATE($D115,Milestones!$AA$155)&gt;=$R115),$U115,$T115)))=Milestones!$AB$155),TEXT(EDATE($D115,Milestones!$AA$155),"dd/mm/yy")&amp;" "&amp;Milestones!$AB$155&amp;" "&amp;Milestones!$AC$155&amp;";  ","")&amp;IF(AND(EDATE($D115,Milestones!$AA$156)&lt;=AsOfDate,IF($Q115=0,$W115,IF(AND($S115&lt;&gt;"",EDATE($D115,Milestones!$AA$156)&gt;=$S115),$V115,IF(AND($R115&lt;&gt;"",EDATE($D115,Milestones!$AA$156)&gt;=$R115),$U115,$T115)))=Milestones!$AB$156),TEXT(EDATE($D115,Milestones!$AA$156),"dd/mm/yy")&amp;" "&amp;Milestones!$AB$156&amp;" "&amp;Milestones!$AC$156&amp;";  ","")&amp;IF(AND(EDATE($D115,Milestones!$AA$157)&lt;=AsOfDate,IF($Q115=0,$W115,IF(AND($S115&lt;&gt;"",EDATE($D115,Milestones!$AA$157)&gt;=$S115),$V115,IF(AND($R115&lt;&gt;"",EDATE($D115,Milestones!$AA$157)&gt;=$R115),$U115,$T115)))=Milestones!$AB$157),TEXT(EDATE($D115,Milestones!$AA$157),"dd/mm/yy")&amp;" "&amp;Milestones!$AB$157&amp;" "&amp;Milestones!$AC$157&amp;";  ","")&amp;IF(AND(EDATE($D115,Milestones!$AA$158)&lt;=AsOfDate,IF($Q115=0,$W115,IF(AND($S115&lt;&gt;"",EDATE($D115,Milestones!$AA$158)&gt;=$S115),$V115,IF(AND($R115&lt;&gt;"",EDATE($D115,Milestones!$AA$158)&gt;=$R115),$U115,$T115)))=Milestones!$AB$158),TEXT(EDATE($D115,Milestones!$AA$158),"dd/mm/yy")&amp;" "&amp;Milestones!$AB$158&amp;" "&amp;Milestones!$AC$158&amp;";  ","")&amp;IF(AND(EDATE($D115,Milestones!$AA$159)&lt;=AsOfDate,IF($Q115=0,$W115,IF(AND($S115&lt;&gt;"",EDATE($D115,Milestones!$AA$159)&gt;=$S115),$V115,IF(AND($R115&lt;&gt;"",EDATE($D115,Milestones!$AA$159)&gt;=$R115),$U115,$T115)))=Milestones!$AB$159),TEXT(EDATE($D115,Milestones!$AA$159),"dd/mm/yy")&amp;" "&amp;Milestones!$AB$159&amp;" "&amp;Milestones!$AC$159&amp;";  ",""))</f>
        <v/>
      </c>
      <c r="O115" s="0" t="str">
        <f aca="false">IF(OR($A115="",$D115=""),"",IF(AND(EDATE($D115,Milestones!$AA$160)&lt;=AsOfDate,IF($Q115=0,$W115,IF(AND($S115&lt;&gt;"",EDATE($D115,Milestones!$AA$160)&gt;=$S115),$V115,IF(AND($R115&lt;&gt;"",EDATE($D115,Milestones!$AA$160)&gt;=$R115),$U115,$T115)))=Milestones!$AB$160),TEXT(EDATE($D115,Milestones!$AA$160),"dd/mm/yy")&amp;" "&amp;Milestones!$AB$160&amp;" "&amp;Milestones!$AC$160&amp;";  ","")&amp;IF(AND(EDATE($D115,Milestones!$AA$161)&lt;=AsOfDate,IF($Q115=0,$W115,IF(AND($S115&lt;&gt;"",EDATE($D115,Milestones!$AA$161)&gt;=$S115),$V115,IF(AND($R115&lt;&gt;"",EDATE($D115,Milestones!$AA$161)&gt;=$R115),$U115,$T115)))=Milestones!$AB$161),TEXT(EDATE($D115,Milestones!$AA$161),"dd/mm/yy")&amp;" "&amp;Milestones!$AB$161&amp;" "&amp;Milestones!$AC$161&amp;";  ","")&amp;IF(AND(EDATE($D115,Milestones!$AA$162)&lt;=AsOfDate,IF($Q115=0,$W115,IF(AND($S115&lt;&gt;"",EDATE($D115,Milestones!$AA$162)&gt;=$S115),$V115,IF(AND($R115&lt;&gt;"",EDATE($D115,Milestones!$AA$162)&gt;=$R115),$U115,$T115)))=Milestones!$AB$162),TEXT(EDATE($D115,Milestones!$AA$162),"dd/mm/yy")&amp;" "&amp;Milestones!$AB$162&amp;" "&amp;Milestones!$AC$162&amp;";  ","")&amp;IF(AND(EDATE($D115,Milestones!$AA$163)&lt;=AsOfDate,IF($Q115=0,$W115,IF(AND($S115&lt;&gt;"",EDATE($D115,Milestones!$AA$163)&gt;=$S115),$V115,IF(AND($R115&lt;&gt;"",EDATE($D115,Milestones!$AA$163)&gt;=$R115),$U115,$T115)))=Milestones!$AB$163),TEXT(EDATE($D115,Milestones!$AA$163),"dd/mm/yy")&amp;" "&amp;Milestones!$AB$163&amp;" "&amp;Milestones!$AC$163&amp;";  ","")&amp;IF(AND(EDATE($D115,Milestones!$AA$164)&lt;=AsOfDate,IF($Q115=0,$W115,IF(AND($S115&lt;&gt;"",EDATE($D115,Milestones!$AA$164)&gt;=$S115),$V115,IF(AND($R115&lt;&gt;"",EDATE($D115,Milestones!$AA$164)&gt;=$R115),$U115,$T115)))=Milestones!$AB$164),TEXT(EDATE($D115,Milestones!$AA$164),"dd/mm/yy")&amp;" "&amp;Milestones!$AB$164&amp;" "&amp;Milestones!$AC$164&amp;";  ","")&amp;IF(AND(EDATE($D115,Milestones!$AA$165)&lt;=AsOfDate,IF($Q115=0,$W115,IF(AND($S115&lt;&gt;"",EDATE($D115,Milestones!$AA$165)&gt;=$S115),$V115,IF(AND($R115&lt;&gt;"",EDATE($D115,Milestones!$AA$165)&gt;=$R115),$U115,$T115)))=Milestones!$AB$165),TEXT(EDATE($D115,Milestones!$AA$165),"dd/mm/yy")&amp;" "&amp;Milestones!$AB$165&amp;" "&amp;Milestones!$AC$165&amp;";  ","")&amp;IF(AND(EDATE($D115,Milestones!$AA$166)&lt;=AsOfDate,IF($Q115=0,$W115,IF(AND($S115&lt;&gt;"",EDATE($D115,Milestones!$AA$166)&gt;=$S115),$V115,IF(AND($R115&lt;&gt;"",EDATE($D115,Milestones!$AA$166)&gt;=$R115),$U115,$T115)))=Milestones!$AB$166),TEXT(EDATE($D115,Milestones!$AA$166),"dd/mm/yy")&amp;" "&amp;Milestones!$AB$166&amp;" "&amp;Milestones!$AC$166&amp;";  ","")&amp;IF(AND(EDATE($D115,Milestones!$AA$167)&lt;=AsOfDate,IF($Q115=0,$W115,IF(AND($S115&lt;&gt;"",EDATE($D115,Milestones!$AA$167)&gt;=$S115),$V115,IF(AND($R115&lt;&gt;"",EDATE($D115,Milestones!$AA$167)&gt;=$R115),$U115,$T115)))=Milestones!$AB$167),TEXT(EDATE($D115,Milestones!$AA$167),"dd/mm/yy")&amp;" "&amp;Milestones!$AB$167&amp;" "&amp;Milestones!$AC$167&amp;";  ","")&amp;IF(AND(EDATE($D115,Milestones!$AA$168)&lt;=AsOfDate,IF($Q115=0,$W115,IF(AND($S115&lt;&gt;"",EDATE($D115,Milestones!$AA$168)&gt;=$S115),$V115,IF(AND($R115&lt;&gt;"",EDATE($D115,Milestones!$AA$168)&gt;=$R115),$U115,$T115)))=Milestones!$AB$168),TEXT(EDATE($D115,Milestones!$AA$168),"dd/mm/yy")&amp;" "&amp;Milestones!$AB$168&amp;" "&amp;Milestones!$AC$168&amp;";  ","")&amp;IF(AND(EDATE($D115,Milestones!$AA$169)&lt;=AsOfDate,IF($Q115=0,$W115,IF(AND($S115&lt;&gt;"",EDATE($D115,Milestones!$AA$169)&gt;=$S115),$V115,IF(AND($R115&lt;&gt;"",EDATE($D115,Milestones!$AA$169)&gt;=$R115),$U115,$T115)))=Milestones!$AB$169),TEXT(EDATE($D115,Milestones!$AA$169),"dd/mm/yy")&amp;" "&amp;Milestones!$AB$169&amp;" "&amp;Milestones!$AC$169&amp;";  ","")&amp;IF(AND(EDATE($D115,Milestones!$AA$170)&lt;=AsOfDate,IF($Q115=0,$W115,IF(AND($S115&lt;&gt;"",EDATE($D115,Milestones!$AA$170)&gt;=$S115),$V115,IF(AND($R115&lt;&gt;"",EDATE($D115,Milestones!$AA$170)&gt;=$R115),$U115,$T115)))=Milestones!$AB$170),TEXT(EDATE($D115,Milestones!$AA$170),"dd/mm/yy")&amp;" "&amp;Milestones!$AB$170&amp;" "&amp;Milestones!$AC$170&amp;";  ","")&amp;IF(AND(EDATE($D115,Milestones!$AA$171)&lt;=AsOfDate,IF($Q115=0,$W115,IF(AND($S115&lt;&gt;"",EDATE($D115,Milestones!$AA$171)&gt;=$S115),$V115,IF(AND($R115&lt;&gt;"",EDATE($D115,Milestones!$AA$171)&gt;=$R115),$U115,$T115)))=Milestones!$AB$171),TEXT(EDATE($D115,Milestones!$AA$171),"dd/mm/yy")&amp;" "&amp;Milestones!$AB$171&amp;" "&amp;Milestones!$AC$171&amp;";  ","")&amp;IF(AND(EDATE($D115,Milestones!$AA$172)&lt;=AsOfDate,IF($Q115=0,$W115,IF(AND($S115&lt;&gt;"",EDATE($D115,Milestones!$AA$172)&gt;=$S115),$V115,IF(AND($R115&lt;&gt;"",EDATE($D115,Milestones!$AA$172)&gt;=$R115),$U115,$T115)))=Milestones!$AB$172),TEXT(EDATE($D115,Milestones!$AA$172),"dd/mm/yy")&amp;" "&amp;Milestones!$AB$172&amp;" "&amp;Milestones!$AC$172&amp;";  ","")&amp;IF(AND(EDATE($D115,Milestones!$AA$173)&lt;=AsOfDate,IF($Q115=0,$W115,IF(AND($S115&lt;&gt;"",EDATE($D115,Milestones!$AA$173)&gt;=$S115),$V115,IF(AND($R115&lt;&gt;"",EDATE($D115,Milestones!$AA$173)&gt;=$R115),$U115,$T115)))=Milestones!$AB$173),TEXT(EDATE($D115,Milestones!$AA$173),"dd/mm/yy")&amp;" "&amp;Milestones!$AB$173&amp;" "&amp;Milestones!$AC$173&amp;";  ","")&amp;IF(AND(EDATE($D115,Milestones!$AA$174)&lt;=AsOfDate,IF($Q115=0,$W115,IF(AND($S115&lt;&gt;"",EDATE($D115,Milestones!$AA$174)&gt;=$S115),$V115,IF(AND($R115&lt;&gt;"",EDATE($D115,Milestones!$AA$174)&gt;=$R115),$U115,$T115)))=Milestones!$AB$174),TEXT(EDATE($D115,Milestones!$AA$174),"dd/mm/yy")&amp;" "&amp;Milestones!$AB$174&amp;" "&amp;Milestones!$AC$174&amp;";  ","")&amp;IF(AND(EDATE($D115,Milestones!$AA$175)&lt;=AsOfDate,IF($Q115=0,$W115,IF(AND($S115&lt;&gt;"",EDATE($D115,Milestones!$AA$175)&gt;=$S115),$V115,IF(AND($R115&lt;&gt;"",EDATE($D115,Milestones!$AA$175)&gt;=$R115),$U115,$T115)))=Milestones!$AB$175),TEXT(EDATE($D115,Milestones!$AA$175),"dd/mm/yy")&amp;" "&amp;Milestones!$AB$175&amp;" "&amp;Milestones!$AC$175&amp;";  ","")&amp;IF(AND(EDATE($D115,Milestones!$AA$176)&lt;=AsOfDate,IF($Q115=0,$W115,IF(AND($S115&lt;&gt;"",EDATE($D115,Milestones!$AA$176)&gt;=$S115),$V115,IF(AND($R115&lt;&gt;"",EDATE($D115,Milestones!$AA$176)&gt;=$R115),$U115,$T115)))=Milestones!$AB$176),TEXT(EDATE($D115,Milestones!$AA$176),"dd/mm/yy")&amp;" "&amp;Milestones!$AB$176&amp;" "&amp;Milestones!$AC$176&amp;";  ","")&amp;IF(AND(EDATE($D115,Milestones!$AA$177)&lt;=AsOfDate,IF($Q115=0,$W115,IF(AND($S115&lt;&gt;"",EDATE($D115,Milestones!$AA$177)&gt;=$S115),$V115,IF(AND($R115&lt;&gt;"",EDATE($D115,Milestones!$AA$177)&gt;=$R115),$U115,$T115)))=Milestones!$AB$177),TEXT(EDATE($D115,Milestones!$AA$177),"dd/mm/yy")&amp;" "&amp;Milestones!$AB$177&amp;" "&amp;Milestones!$AC$177&amp;";  ","")&amp;IF(AND(EDATE($D115,Milestones!$AA$178)&lt;=AsOfDate,IF($Q115=0,$W115,IF(AND($S115&lt;&gt;"",EDATE($D115,Milestones!$AA$178)&gt;=$S115),$V115,IF(AND($R115&lt;&gt;"",EDATE($D115,Milestones!$AA$178)&gt;=$R115),$U115,$T115)))=Milestones!$AB$178),TEXT(EDATE($D115,Milestones!$AA$178),"dd/mm/yy")&amp;" "&amp;Milestones!$AB$178&amp;" "&amp;Milestones!$AC$178&amp;";  ","")&amp;IF(AND(EDATE($D115,Milestones!$AA$179)&lt;=AsOfDate,IF($Q115=0,$W115,IF(AND($S115&lt;&gt;"",EDATE($D115,Milestones!$AA$179)&gt;=$S115),$V115,IF(AND($R115&lt;&gt;"",EDATE($D115,Milestones!$AA$179)&gt;=$R115),$U115,$T115)))=Milestones!$AB$179),TEXT(EDATE($D115,Milestones!$AA$179),"dd/mm/yy")&amp;" "&amp;Milestones!$AB$179&amp;" "&amp;Milestones!$AC$179&amp;";  ",""))</f>
        <v/>
      </c>
      <c r="P115" s="0" t="str">
        <f aca="false">IF(OR($A115="",$D115=""),"",IF(AND(EDATE($D115,Milestones!$AA$180)&lt;=AsOfDate,IF($Q115=0,$W115,IF(AND($S115&lt;&gt;"",EDATE($D115,Milestones!$AA$180)&gt;=$S115),$V115,IF(AND($R115&lt;&gt;"",EDATE($D115,Milestones!$AA$180)&gt;=$R115),$U115,$T115)))=Milestones!$AB$180),TEXT(EDATE($D115,Milestones!$AA$180),"dd/mm/yy")&amp;" "&amp;Milestones!$AB$180&amp;" "&amp;Milestones!$AC$180&amp;";  ","")&amp;IF(AND(EDATE($D115,Milestones!$AA$181)&lt;=AsOfDate,IF($Q115=0,$W115,IF(AND($S115&lt;&gt;"",EDATE($D115,Milestones!$AA$181)&gt;=$S115),$V115,IF(AND($R115&lt;&gt;"",EDATE($D115,Milestones!$AA$181)&gt;=$R115),$U115,$T115)))=Milestones!$AB$181),TEXT(EDATE($D115,Milestones!$AA$181),"dd/mm/yy")&amp;" "&amp;Milestones!$AB$181&amp;" "&amp;Milestones!$AC$181&amp;";  ","")&amp;IF(AND(EDATE($D115,Milestones!$AA$182)&lt;=AsOfDate,IF($Q115=0,$W115,IF(AND($S115&lt;&gt;"",EDATE($D115,Milestones!$AA$182)&gt;=$S115),$V115,IF(AND($R115&lt;&gt;"",EDATE($D115,Milestones!$AA$182)&gt;=$R115),$U115,$T115)))=Milestones!$AB$182),TEXT(EDATE($D115,Milestones!$AA$182),"dd/mm/yy")&amp;" "&amp;Milestones!$AB$182&amp;" "&amp;Milestones!$AC$182&amp;";  ","")&amp;IF(AND(EDATE($D115,Milestones!$AA$183)&lt;=AsOfDate,IF($Q115=0,$W115,IF(AND($S115&lt;&gt;"",EDATE($D115,Milestones!$AA$183)&gt;=$S115),$V115,IF(AND($R115&lt;&gt;"",EDATE($D115,Milestones!$AA$183)&gt;=$R115),$U115,$T115)))=Milestones!$AB$183),TEXT(EDATE($D115,Milestones!$AA$183),"dd/mm/yy")&amp;" "&amp;Milestones!$AB$183&amp;" "&amp;Milestones!$AC$183&amp;";  ","")&amp;IF(AND(EDATE($D115,Milestones!$AA$184)&lt;=AsOfDate,IF($Q115=0,$W115,IF(AND($S115&lt;&gt;"",EDATE($D115,Milestones!$AA$184)&gt;=$S115),$V115,IF(AND($R115&lt;&gt;"",EDATE($D115,Milestones!$AA$184)&gt;=$R115),$U115,$T115)))=Milestones!$AB$184),TEXT(EDATE($D115,Milestones!$AA$184),"dd/mm/yy")&amp;" "&amp;Milestones!$AB$184&amp;" "&amp;Milestones!$AC$184&amp;";  ","")&amp;IF(AND(EDATE($D115,Milestones!$AA$185)&lt;=AsOfDate,IF($Q115=0,$W115,IF(AND($S115&lt;&gt;"",EDATE($D115,Milestones!$AA$185)&gt;=$S115),$V115,IF(AND($R115&lt;&gt;"",EDATE($D115,Milestones!$AA$185)&gt;=$R115),$U115,$T115)))=Milestones!$AB$185),TEXT(EDATE($D115,Milestones!$AA$185),"dd/mm/yy")&amp;" "&amp;Milestones!$AB$185&amp;" "&amp;Milestones!$AC$185&amp;";  ","")&amp;IF(AND(EDATE($D115,Milestones!$AA$186)&lt;=AsOfDate,IF($Q115=0,$W115,IF(AND($S115&lt;&gt;"",EDATE($D115,Milestones!$AA$186)&gt;=$S115),$V115,IF(AND($R115&lt;&gt;"",EDATE($D115,Milestones!$AA$186)&gt;=$R115),$U115,$T115)))=Milestones!$AB$186),TEXT(EDATE($D115,Milestones!$AA$186),"dd/mm/yy")&amp;" "&amp;Milestones!$AB$186&amp;" "&amp;Milestones!$AC$186&amp;";  ","")&amp;IF(AND(EDATE($D115,Milestones!$AA$187)&lt;=AsOfDate,IF($Q115=0,$W115,IF(AND($S115&lt;&gt;"",EDATE($D115,Milestones!$AA$187)&gt;=$S115),$V115,IF(AND($R115&lt;&gt;"",EDATE($D115,Milestones!$AA$187)&gt;=$R115),$U115,$T115)))=Milestones!$AB$187),TEXT(EDATE($D115,Milestones!$AA$187),"dd/mm/yy")&amp;" "&amp;Milestones!$AB$187&amp;" "&amp;Milestones!$AC$187&amp;";  ","")&amp;IF(AND(EDATE($D115,Milestones!$AA$188)&lt;=AsOfDate,IF($Q115=0,$W115,IF(AND($S115&lt;&gt;"",EDATE($D115,Milestones!$AA$188)&gt;=$S115),$V115,IF(AND($R115&lt;&gt;"",EDATE($D115,Milestones!$AA$188)&gt;=$R115),$U115,$T115)))=Milestones!$AB$188),TEXT(EDATE($D115,Milestones!$AA$188),"dd/mm/yy")&amp;" "&amp;Milestones!$AB$188&amp;" "&amp;Milestones!$AC$188&amp;";  ","")&amp;IF(AND(EDATE($D115,Milestones!$AA$189)&lt;=AsOfDate,IF($Q115=0,$W115,IF(AND($S115&lt;&gt;"",EDATE($D115,Milestones!$AA$189)&gt;=$S115),$V115,IF(AND($R115&lt;&gt;"",EDATE($D115,Milestones!$AA$189)&gt;=$R115),$U115,$T115)))=Milestones!$AB$189),TEXT(EDATE($D115,Milestones!$AA$189),"dd/mm/yy")&amp;" "&amp;Milestones!$AB$189&amp;" "&amp;Milestones!$AC$189&amp;";  ","")&amp;IF(AND(EDATE($D115,Milestones!$AA$190)&lt;=AsOfDate,IF($Q115=0,$W115,IF(AND($S115&lt;&gt;"",EDATE($D115,Milestones!$AA$190)&gt;=$S115),$V115,IF(AND($R115&lt;&gt;"",EDATE($D115,Milestones!$AA$190)&gt;=$R115),$U115,$T115)))=Milestones!$AB$190),TEXT(EDATE($D115,Milestones!$AA$190),"dd/mm/yy")&amp;" "&amp;Milestones!$AB$190&amp;" "&amp;Milestones!$AC$190&amp;";  ","")&amp;IF(AND(EDATE($D115,Milestones!$AA$191)&lt;=AsOfDate,IF($Q115=0,$W115,IF(AND($S115&lt;&gt;"",EDATE($D115,Milestones!$AA$191)&gt;=$S115),$V115,IF(AND($R115&lt;&gt;"",EDATE($D115,Milestones!$AA$191)&gt;=$R115),$U115,$T115)))=Milestones!$AB$191),TEXT(EDATE($D115,Milestones!$AA$191),"dd/mm/yy")&amp;" "&amp;Milestones!$AB$191&amp;" "&amp;Milestones!$AC$191&amp;";  ","")&amp;IF(AND(EDATE($D115,Milestones!$AA$192)&lt;=AsOfDate,IF($Q115=0,$W115,IF(AND($S115&lt;&gt;"",EDATE($D115,Milestones!$AA$192)&gt;=$S115),$V115,IF(AND($R115&lt;&gt;"",EDATE($D115,Milestones!$AA$192)&gt;=$R115),$U115,$T115)))=Milestones!$AB$192),TEXT(EDATE($D115,Milestones!$AA$192),"dd/mm/yy")&amp;" "&amp;Milestones!$AB$192&amp;" "&amp;Milestones!$AC$192&amp;";  ","")&amp;IF(AND(EDATE($D115,Milestones!$AA$193)&lt;=AsOfDate,IF($Q115=0,$W115,IF(AND($S115&lt;&gt;"",EDATE($D115,Milestones!$AA$193)&gt;=$S115),$V115,IF(AND($R115&lt;&gt;"",EDATE($D115,Milestones!$AA$193)&gt;=$R115),$U115,$T115)))=Milestones!$AB$193),TEXT(EDATE($D115,Milestones!$AA$193),"dd/mm/yy")&amp;" "&amp;Milestones!$AB$193&amp;" "&amp;Milestones!$AC$193&amp;";  ","")&amp;IF(AND(EDATE($D115,Milestones!$AA$194)&lt;=AsOfDate,IF($Q115=0,$W115,IF(AND($S115&lt;&gt;"",EDATE($D115,Milestones!$AA$194)&gt;=$S115),$V115,IF(AND($R115&lt;&gt;"",EDATE($D115,Milestones!$AA$194)&gt;=$R115),$U115,$T115)))=Milestones!$AB$194),TEXT(EDATE($D115,Milestones!$AA$194),"dd/mm/yy")&amp;" "&amp;Milestones!$AB$194&amp;" "&amp;Milestones!$AC$194&amp;";  ","")&amp;IF(AND(EDATE($D115,Milestones!$AA$195)&lt;=AsOfDate,IF($Q115=0,$W115,IF(AND($S115&lt;&gt;"",EDATE($D115,Milestones!$AA$195)&gt;=$S115),$V115,IF(AND($R115&lt;&gt;"",EDATE($D115,Milestones!$AA$195)&gt;=$R115),$U115,$T115)))=Milestones!$AB$195),TEXT(EDATE($D115,Milestones!$AA$195),"dd/mm/yy")&amp;" "&amp;Milestones!$AB$195&amp;" "&amp;Milestones!$AC$195&amp;";  ","")&amp;IF(AND(EDATE($D115,Milestones!$AA$196)&lt;=AsOfDate,IF($Q115=0,$W115,IF(AND($S115&lt;&gt;"",EDATE($D115,Milestones!$AA$196)&gt;=$S115),$V115,IF(AND($R115&lt;&gt;"",EDATE($D115,Milestones!$AA$196)&gt;=$R115),$U115,$T115)))=Milestones!$AB$196),TEXT(EDATE($D115,Milestones!$AA$196),"dd/mm/yy")&amp;" "&amp;Milestones!$AB$196&amp;" "&amp;Milestones!$AC$196&amp;";  ","")&amp;IF(AND(EDATE($D115,Milestones!$AA$197)&lt;=AsOfDate,IF($Q115=0,$W115,IF(AND($S115&lt;&gt;"",EDATE($D115,Milestones!$AA$197)&gt;=$S115),$V115,IF(AND($R115&lt;&gt;"",EDATE($D115,Milestones!$AA$197)&gt;=$R115),$U115,$T115)))=Milestones!$AB$197),TEXT(EDATE($D115,Milestones!$AA$197),"dd/mm/yy")&amp;" "&amp;Milestones!$AB$197&amp;" "&amp;Milestones!$AC$197&amp;";  ","")&amp;IF(AND(EDATE($D115,Milestones!$AA$198)&lt;=AsOfDate,IF($Q115=0,$W115,IF(AND($S115&lt;&gt;"",EDATE($D115,Milestones!$AA$198)&gt;=$S115),$V115,IF(AND($R115&lt;&gt;"",EDATE($D115,Milestones!$AA$198)&gt;=$R115),$U115,$T115)))=Milestones!$AB$198),TEXT(EDATE($D115,Milestones!$AA$198),"dd/mm/yy")&amp;" "&amp;Milestones!$AB$198&amp;" "&amp;Milestones!$AC$198&amp;";  ","")&amp;IF(AND(EDATE($D115,Milestones!$AA$199)&lt;=AsOfDate,IF($Q115=0,$W115,IF(AND($S115&lt;&gt;"",EDATE($D115,Milestones!$AA$199)&gt;=$S115),$V115,IF(AND($R115&lt;&gt;"",EDATE($D115,Milestones!$AA$199)&gt;=$R115),$U115,$T115)))=Milestones!$AB$199),TEXT(EDATE($D115,Milestones!$AA$199),"dd/mm/yy")&amp;" "&amp;Milestones!$AB$199&amp;" "&amp;Milestones!$AC$199&amp;";  ",""))</f>
        <v/>
      </c>
      <c r="Q115" s="0" t="str">
        <f aca="false">IF(Staff!$A115="","",Staff!$AG115)</f>
        <v/>
      </c>
      <c r="R115" s="0" t="str">
        <f aca="false">IF(Staff!$A115="","",Staff!$AI115)</f>
        <v/>
      </c>
      <c r="S115" s="0" t="str">
        <f aca="false">IF(Staff!$A115="","",Staff!$AJ115)</f>
        <v/>
      </c>
      <c r="T115" s="0" t="str">
        <f aca="false">IF(Staff!$A115="","",Staff!$AN115)</f>
        <v/>
      </c>
      <c r="U115" s="0" t="str">
        <f aca="false">IF(Staff!$A115="","",Staff!$AO115)</f>
        <v/>
      </c>
      <c r="V115" s="0" t="str">
        <f aca="false">IF(Staff!$A115="","",Staff!$AP115)</f>
        <v/>
      </c>
      <c r="W115" s="0" t="str">
        <f aca="false">IF(Staff!$A115="","",Staff!$AQ115)</f>
        <v/>
      </c>
    </row>
    <row r="116" customFormat="false" ht="15" hidden="false" customHeight="false" outlineLevel="0" collapsed="false">
      <c r="A116" s="13" t="str">
        <f aca="false">IF(Staff!$A116="","",Staff!$A116)</f>
        <v/>
      </c>
      <c r="B116" s="13" t="str">
        <f aca="false">IF(Staff!$A116="","",Staff!$B116)</f>
        <v/>
      </c>
      <c r="C116" s="13" t="str">
        <f aca="false">IF(Staff!$A116="","",Staff!$C116)</f>
        <v/>
      </c>
      <c r="D116" s="11" t="str">
        <f aca="false">IF(Staff!$A116="","",Staff!$AF116)</f>
        <v/>
      </c>
      <c r="E116" s="13" t="str">
        <f aca="false">IF(Staff!$A116="","",Staff!$O116)</f>
        <v/>
      </c>
      <c r="F116" s="13" t="str">
        <f aca="false">IF(E116="","",E116*HoursPerDay)</f>
        <v/>
      </c>
      <c r="G116" s="26" t="str">
        <f aca="false">IF($A116="","",H116&amp;I116&amp;J116&amp;K116&amp;L116&amp;M116&amp;N116&amp;O116&amp;P116)</f>
        <v/>
      </c>
      <c r="H116" s="0" t="str">
        <f aca="false">IF(OR($A116="",$D116=""),"",IF(AND(EDATE($D116,Milestones!$AA$20)&lt;=AsOfDate,IF($Q116=0,$W116,IF(AND($S116&lt;&gt;"",EDATE($D116,Milestones!$AA$20)&gt;=$S116),$V116,IF(AND($R116&lt;&gt;"",EDATE($D116,Milestones!$AA$20)&gt;=$R116),$U116,$T116)))=Milestones!$AB$20),TEXT(EDATE($D116,Milestones!$AA$20),"dd/mm/yy")&amp;" "&amp;Milestones!$AB$20&amp;" "&amp;Milestones!$AC$20&amp;";  ","")&amp;IF(AND(EDATE($D116,Milestones!$AA$21)&lt;=AsOfDate,IF($Q116=0,$W116,IF(AND($S116&lt;&gt;"",EDATE($D116,Milestones!$AA$21)&gt;=$S116),$V116,IF(AND($R116&lt;&gt;"",EDATE($D116,Milestones!$AA$21)&gt;=$R116),$U116,$T116)))=Milestones!$AB$21),TEXT(EDATE($D116,Milestones!$AA$21),"dd/mm/yy")&amp;" "&amp;Milestones!$AB$21&amp;" "&amp;Milestones!$AC$21&amp;";  ","")&amp;IF(AND(EDATE($D116,Milestones!$AA$22)&lt;=AsOfDate,IF($Q116=0,$W116,IF(AND($S116&lt;&gt;"",EDATE($D116,Milestones!$AA$22)&gt;=$S116),$V116,IF(AND($R116&lt;&gt;"",EDATE($D116,Milestones!$AA$22)&gt;=$R116),$U116,$T116)))=Milestones!$AB$22),TEXT(EDATE($D116,Milestones!$AA$22),"dd/mm/yy")&amp;" "&amp;Milestones!$AB$22&amp;" "&amp;Milestones!$AC$22&amp;";  ","")&amp;IF(AND(EDATE($D116,Milestones!$AA$23)&lt;=AsOfDate,IF($Q116=0,$W116,IF(AND($S116&lt;&gt;"",EDATE($D116,Milestones!$AA$23)&gt;=$S116),$V116,IF(AND($R116&lt;&gt;"",EDATE($D116,Milestones!$AA$23)&gt;=$R116),$U116,$T116)))=Milestones!$AB$23),TEXT(EDATE($D116,Milestones!$AA$23),"dd/mm/yy")&amp;" "&amp;Milestones!$AB$23&amp;" "&amp;Milestones!$AC$23&amp;";  ","")&amp;IF(AND(EDATE($D116,Milestones!$AA$24)&lt;=AsOfDate,IF($Q116=0,$W116,IF(AND($S116&lt;&gt;"",EDATE($D116,Milestones!$AA$24)&gt;=$S116),$V116,IF(AND($R116&lt;&gt;"",EDATE($D116,Milestones!$AA$24)&gt;=$R116),$U116,$T116)))=Milestones!$AB$24),TEXT(EDATE($D116,Milestones!$AA$24),"dd/mm/yy")&amp;" "&amp;Milestones!$AB$24&amp;" "&amp;Milestones!$AC$24&amp;";  ","")&amp;IF(AND(EDATE($D116,Milestones!$AA$25)&lt;=AsOfDate,IF($Q116=0,$W116,IF(AND($S116&lt;&gt;"",EDATE($D116,Milestones!$AA$25)&gt;=$S116),$V116,IF(AND($R116&lt;&gt;"",EDATE($D116,Milestones!$AA$25)&gt;=$R116),$U116,$T116)))=Milestones!$AB$25),TEXT(EDATE($D116,Milestones!$AA$25),"dd/mm/yy")&amp;" "&amp;Milestones!$AB$25&amp;" "&amp;Milestones!$AC$25&amp;";  ","")&amp;IF(AND(EDATE($D116,Milestones!$AA$26)&lt;=AsOfDate,IF($Q116=0,$W116,IF(AND($S116&lt;&gt;"",EDATE($D116,Milestones!$AA$26)&gt;=$S116),$V116,IF(AND($R116&lt;&gt;"",EDATE($D116,Milestones!$AA$26)&gt;=$R116),$U116,$T116)))=Milestones!$AB$26),TEXT(EDATE($D116,Milestones!$AA$26),"dd/mm/yy")&amp;" "&amp;Milestones!$AB$26&amp;" "&amp;Milestones!$AC$26&amp;";  ","")&amp;IF(AND(EDATE($D116,Milestones!$AA$27)&lt;=AsOfDate,IF($Q116=0,$W116,IF(AND($S116&lt;&gt;"",EDATE($D116,Milestones!$AA$27)&gt;=$S116),$V116,IF(AND($R116&lt;&gt;"",EDATE($D116,Milestones!$AA$27)&gt;=$R116),$U116,$T116)))=Milestones!$AB$27),TEXT(EDATE($D116,Milestones!$AA$27),"dd/mm/yy")&amp;" "&amp;Milestones!$AB$27&amp;" "&amp;Milestones!$AC$27&amp;";  ","")&amp;IF(AND(EDATE($D116,Milestones!$AA$28)&lt;=AsOfDate,IF($Q116=0,$W116,IF(AND($S116&lt;&gt;"",EDATE($D116,Milestones!$AA$28)&gt;=$S116),$V116,IF(AND($R116&lt;&gt;"",EDATE($D116,Milestones!$AA$28)&gt;=$R116),$U116,$T116)))=Milestones!$AB$28),TEXT(EDATE($D116,Milestones!$AA$28),"dd/mm/yy")&amp;" "&amp;Milestones!$AB$28&amp;" "&amp;Milestones!$AC$28&amp;";  ","")&amp;IF(AND(EDATE($D116,Milestones!$AA$29)&lt;=AsOfDate,IF($Q116=0,$W116,IF(AND($S116&lt;&gt;"",EDATE($D116,Milestones!$AA$29)&gt;=$S116),$V116,IF(AND($R116&lt;&gt;"",EDATE($D116,Milestones!$AA$29)&gt;=$R116),$U116,$T116)))=Milestones!$AB$29),TEXT(EDATE($D116,Milestones!$AA$29),"dd/mm/yy")&amp;" "&amp;Milestones!$AB$29&amp;" "&amp;Milestones!$AC$29&amp;";  ","")&amp;IF(AND(EDATE($D116,Milestones!$AA$30)&lt;=AsOfDate,IF($Q116=0,$W116,IF(AND($S116&lt;&gt;"",EDATE($D116,Milestones!$AA$30)&gt;=$S116),$V116,IF(AND($R116&lt;&gt;"",EDATE($D116,Milestones!$AA$30)&gt;=$R116),$U116,$T116)))=Milestones!$AB$30),TEXT(EDATE($D116,Milestones!$AA$30),"dd/mm/yy")&amp;" "&amp;Milestones!$AB$30&amp;" "&amp;Milestones!$AC$30&amp;";  ","")&amp;IF(AND(EDATE($D116,Milestones!$AA$31)&lt;=AsOfDate,IF($Q116=0,$W116,IF(AND($S116&lt;&gt;"",EDATE($D116,Milestones!$AA$31)&gt;=$S116),$V116,IF(AND($R116&lt;&gt;"",EDATE($D116,Milestones!$AA$31)&gt;=$R116),$U116,$T116)))=Milestones!$AB$31),TEXT(EDATE($D116,Milestones!$AA$31),"dd/mm/yy")&amp;" "&amp;Milestones!$AB$31&amp;" "&amp;Milestones!$AC$31&amp;";  ","")&amp;IF(AND(EDATE($D116,Milestones!$AA$32)&lt;=AsOfDate,IF($Q116=0,$W116,IF(AND($S116&lt;&gt;"",EDATE($D116,Milestones!$AA$32)&gt;=$S116),$V116,IF(AND($R116&lt;&gt;"",EDATE($D116,Milestones!$AA$32)&gt;=$R116),$U116,$T116)))=Milestones!$AB$32),TEXT(EDATE($D116,Milestones!$AA$32),"dd/mm/yy")&amp;" "&amp;Milestones!$AB$32&amp;" "&amp;Milestones!$AC$32&amp;";  ","")&amp;IF(AND(EDATE($D116,Milestones!$AA$33)&lt;=AsOfDate,IF($Q116=0,$W116,IF(AND($S116&lt;&gt;"",EDATE($D116,Milestones!$AA$33)&gt;=$S116),$V116,IF(AND($R116&lt;&gt;"",EDATE($D116,Milestones!$AA$33)&gt;=$R116),$U116,$T116)))=Milestones!$AB$33),TEXT(EDATE($D116,Milestones!$AA$33),"dd/mm/yy")&amp;" "&amp;Milestones!$AB$33&amp;" "&amp;Milestones!$AC$33&amp;";  ","")&amp;IF(AND(EDATE($D116,Milestones!$AA$34)&lt;=AsOfDate,IF($Q116=0,$W116,IF(AND($S116&lt;&gt;"",EDATE($D116,Milestones!$AA$34)&gt;=$S116),$V116,IF(AND($R116&lt;&gt;"",EDATE($D116,Milestones!$AA$34)&gt;=$R116),$U116,$T116)))=Milestones!$AB$34),TEXT(EDATE($D116,Milestones!$AA$34),"dd/mm/yy")&amp;" "&amp;Milestones!$AB$34&amp;" "&amp;Milestones!$AC$34&amp;";  ","")&amp;IF(AND(EDATE($D116,Milestones!$AA$35)&lt;=AsOfDate,IF($Q116=0,$W116,IF(AND($S116&lt;&gt;"",EDATE($D116,Milestones!$AA$35)&gt;=$S116),$V116,IF(AND($R116&lt;&gt;"",EDATE($D116,Milestones!$AA$35)&gt;=$R116),$U116,$T116)))=Milestones!$AB$35),TEXT(EDATE($D116,Milestones!$AA$35),"dd/mm/yy")&amp;" "&amp;Milestones!$AB$35&amp;" "&amp;Milestones!$AC$35&amp;";  ","")&amp;IF(AND(EDATE($D116,Milestones!$AA$36)&lt;=AsOfDate,IF($Q116=0,$W116,IF(AND($S116&lt;&gt;"",EDATE($D116,Milestones!$AA$36)&gt;=$S116),$V116,IF(AND($R116&lt;&gt;"",EDATE($D116,Milestones!$AA$36)&gt;=$R116),$U116,$T116)))=Milestones!$AB$36),TEXT(EDATE($D116,Milestones!$AA$36),"dd/mm/yy")&amp;" "&amp;Milestones!$AB$36&amp;" "&amp;Milestones!$AC$36&amp;";  ","")&amp;IF(AND(EDATE($D116,Milestones!$AA$37)&lt;=AsOfDate,IF($Q116=0,$W116,IF(AND($S116&lt;&gt;"",EDATE($D116,Milestones!$AA$37)&gt;=$S116),$V116,IF(AND($R116&lt;&gt;"",EDATE($D116,Milestones!$AA$37)&gt;=$R116),$U116,$T116)))=Milestones!$AB$37),TEXT(EDATE($D116,Milestones!$AA$37),"dd/mm/yy")&amp;" "&amp;Milestones!$AB$37&amp;" "&amp;Milestones!$AC$37&amp;";  ","")&amp;IF(AND(EDATE($D116,Milestones!$AA$38)&lt;=AsOfDate,IF($Q116=0,$W116,IF(AND($S116&lt;&gt;"",EDATE($D116,Milestones!$AA$38)&gt;=$S116),$V116,IF(AND($R116&lt;&gt;"",EDATE($D116,Milestones!$AA$38)&gt;=$R116),$U116,$T116)))=Milestones!$AB$38),TEXT(EDATE($D116,Milestones!$AA$38),"dd/mm/yy")&amp;" "&amp;Milestones!$AB$38&amp;" "&amp;Milestones!$AC$38&amp;";  ","")&amp;IF(AND(EDATE($D116,Milestones!$AA$39)&lt;=AsOfDate,IF($Q116=0,$W116,IF(AND($S116&lt;&gt;"",EDATE($D116,Milestones!$AA$39)&gt;=$S116),$V116,IF(AND($R116&lt;&gt;"",EDATE($D116,Milestones!$AA$39)&gt;=$R116),$U116,$T116)))=Milestones!$AB$39),TEXT(EDATE($D116,Milestones!$AA$39),"dd/mm/yy")&amp;" "&amp;Milestones!$AB$39&amp;" "&amp;Milestones!$AC$39&amp;";  ",""))</f>
        <v/>
      </c>
      <c r="I116" s="0" t="str">
        <f aca="false">IF(OR($A116="",$D116=""),"",IF(AND(EDATE($D116,Milestones!$AA$40)&lt;=AsOfDate,IF($Q116=0,$W116,IF(AND($S116&lt;&gt;"",EDATE($D116,Milestones!$AA$40)&gt;=$S116),$V116,IF(AND($R116&lt;&gt;"",EDATE($D116,Milestones!$AA$40)&gt;=$R116),$U116,$T116)))=Milestones!$AB$40),TEXT(EDATE($D116,Milestones!$AA$40),"dd/mm/yy")&amp;" "&amp;Milestones!$AB$40&amp;" "&amp;Milestones!$AC$40&amp;";  ","")&amp;IF(AND(EDATE($D116,Milestones!$AA$41)&lt;=AsOfDate,IF($Q116=0,$W116,IF(AND($S116&lt;&gt;"",EDATE($D116,Milestones!$AA$41)&gt;=$S116),$V116,IF(AND($R116&lt;&gt;"",EDATE($D116,Milestones!$AA$41)&gt;=$R116),$U116,$T116)))=Milestones!$AB$41),TEXT(EDATE($D116,Milestones!$AA$41),"dd/mm/yy")&amp;" "&amp;Milestones!$AB$41&amp;" "&amp;Milestones!$AC$41&amp;";  ","")&amp;IF(AND(EDATE($D116,Milestones!$AA$42)&lt;=AsOfDate,IF($Q116=0,$W116,IF(AND($S116&lt;&gt;"",EDATE($D116,Milestones!$AA$42)&gt;=$S116),$V116,IF(AND($R116&lt;&gt;"",EDATE($D116,Milestones!$AA$42)&gt;=$R116),$U116,$T116)))=Milestones!$AB$42),TEXT(EDATE($D116,Milestones!$AA$42),"dd/mm/yy")&amp;" "&amp;Milestones!$AB$42&amp;" "&amp;Milestones!$AC$42&amp;";  ","")&amp;IF(AND(EDATE($D116,Milestones!$AA$43)&lt;=AsOfDate,IF($Q116=0,$W116,IF(AND($S116&lt;&gt;"",EDATE($D116,Milestones!$AA$43)&gt;=$S116),$V116,IF(AND($R116&lt;&gt;"",EDATE($D116,Milestones!$AA$43)&gt;=$R116),$U116,$T116)))=Milestones!$AB$43),TEXT(EDATE($D116,Milestones!$AA$43),"dd/mm/yy")&amp;" "&amp;Milestones!$AB$43&amp;" "&amp;Milestones!$AC$43&amp;";  ","")&amp;IF(AND(EDATE($D116,Milestones!$AA$44)&lt;=AsOfDate,IF($Q116=0,$W116,IF(AND($S116&lt;&gt;"",EDATE($D116,Milestones!$AA$44)&gt;=$S116),$V116,IF(AND($R116&lt;&gt;"",EDATE($D116,Milestones!$AA$44)&gt;=$R116),$U116,$T116)))=Milestones!$AB$44),TEXT(EDATE($D116,Milestones!$AA$44),"dd/mm/yy")&amp;" "&amp;Milestones!$AB$44&amp;" "&amp;Milestones!$AC$44&amp;";  ","")&amp;IF(AND(EDATE($D116,Milestones!$AA$45)&lt;=AsOfDate,IF($Q116=0,$W116,IF(AND($S116&lt;&gt;"",EDATE($D116,Milestones!$AA$45)&gt;=$S116),$V116,IF(AND($R116&lt;&gt;"",EDATE($D116,Milestones!$AA$45)&gt;=$R116),$U116,$T116)))=Milestones!$AB$45),TEXT(EDATE($D116,Milestones!$AA$45),"dd/mm/yy")&amp;" "&amp;Milestones!$AB$45&amp;" "&amp;Milestones!$AC$45&amp;";  ","")&amp;IF(AND(EDATE($D116,Milestones!$AA$46)&lt;=AsOfDate,IF($Q116=0,$W116,IF(AND($S116&lt;&gt;"",EDATE($D116,Milestones!$AA$46)&gt;=$S116),$V116,IF(AND($R116&lt;&gt;"",EDATE($D116,Milestones!$AA$46)&gt;=$R116),$U116,$T116)))=Milestones!$AB$46),TEXT(EDATE($D116,Milestones!$AA$46),"dd/mm/yy")&amp;" "&amp;Milestones!$AB$46&amp;" "&amp;Milestones!$AC$46&amp;";  ","")&amp;IF(AND(EDATE($D116,Milestones!$AA$47)&lt;=AsOfDate,IF($Q116=0,$W116,IF(AND($S116&lt;&gt;"",EDATE($D116,Milestones!$AA$47)&gt;=$S116),$V116,IF(AND($R116&lt;&gt;"",EDATE($D116,Milestones!$AA$47)&gt;=$R116),$U116,$T116)))=Milestones!$AB$47),TEXT(EDATE($D116,Milestones!$AA$47),"dd/mm/yy")&amp;" "&amp;Milestones!$AB$47&amp;" "&amp;Milestones!$AC$47&amp;";  ","")&amp;IF(AND(EDATE($D116,Milestones!$AA$48)&lt;=AsOfDate,IF($Q116=0,$W116,IF(AND($S116&lt;&gt;"",EDATE($D116,Milestones!$AA$48)&gt;=$S116),$V116,IF(AND($R116&lt;&gt;"",EDATE($D116,Milestones!$AA$48)&gt;=$R116),$U116,$T116)))=Milestones!$AB$48),TEXT(EDATE($D116,Milestones!$AA$48),"dd/mm/yy")&amp;" "&amp;Milestones!$AB$48&amp;" "&amp;Milestones!$AC$48&amp;";  ","")&amp;IF(AND(EDATE($D116,Milestones!$AA$49)&lt;=AsOfDate,IF($Q116=0,$W116,IF(AND($S116&lt;&gt;"",EDATE($D116,Milestones!$AA$49)&gt;=$S116),$V116,IF(AND($R116&lt;&gt;"",EDATE($D116,Milestones!$AA$49)&gt;=$R116),$U116,$T116)))=Milestones!$AB$49),TEXT(EDATE($D116,Milestones!$AA$49),"dd/mm/yy")&amp;" "&amp;Milestones!$AB$49&amp;" "&amp;Milestones!$AC$49&amp;";  ","")&amp;IF(AND(EDATE($D116,Milestones!$AA$50)&lt;=AsOfDate,IF($Q116=0,$W116,IF(AND($S116&lt;&gt;"",EDATE($D116,Milestones!$AA$50)&gt;=$S116),$V116,IF(AND($R116&lt;&gt;"",EDATE($D116,Milestones!$AA$50)&gt;=$R116),$U116,$T116)))=Milestones!$AB$50),TEXT(EDATE($D116,Milestones!$AA$50),"dd/mm/yy")&amp;" "&amp;Milestones!$AB$50&amp;" "&amp;Milestones!$AC$50&amp;";  ","")&amp;IF(AND(EDATE($D116,Milestones!$AA$51)&lt;=AsOfDate,IF($Q116=0,$W116,IF(AND($S116&lt;&gt;"",EDATE($D116,Milestones!$AA$51)&gt;=$S116),$V116,IF(AND($R116&lt;&gt;"",EDATE($D116,Milestones!$AA$51)&gt;=$R116),$U116,$T116)))=Milestones!$AB$51),TEXT(EDATE($D116,Milestones!$AA$51),"dd/mm/yy")&amp;" "&amp;Milestones!$AB$51&amp;" "&amp;Milestones!$AC$51&amp;";  ","")&amp;IF(AND(EDATE($D116,Milestones!$AA$52)&lt;=AsOfDate,IF($Q116=0,$W116,IF(AND($S116&lt;&gt;"",EDATE($D116,Milestones!$AA$52)&gt;=$S116),$V116,IF(AND($R116&lt;&gt;"",EDATE($D116,Milestones!$AA$52)&gt;=$R116),$U116,$T116)))=Milestones!$AB$52),TEXT(EDATE($D116,Milestones!$AA$52),"dd/mm/yy")&amp;" "&amp;Milestones!$AB$52&amp;" "&amp;Milestones!$AC$52&amp;";  ","")&amp;IF(AND(EDATE($D116,Milestones!$AA$53)&lt;=AsOfDate,IF($Q116=0,$W116,IF(AND($S116&lt;&gt;"",EDATE($D116,Milestones!$AA$53)&gt;=$S116),$V116,IF(AND($R116&lt;&gt;"",EDATE($D116,Milestones!$AA$53)&gt;=$R116),$U116,$T116)))=Milestones!$AB$53),TEXT(EDATE($D116,Milestones!$AA$53),"dd/mm/yy")&amp;" "&amp;Milestones!$AB$53&amp;" "&amp;Milestones!$AC$53&amp;";  ","")&amp;IF(AND(EDATE($D116,Milestones!$AA$54)&lt;=AsOfDate,IF($Q116=0,$W116,IF(AND($S116&lt;&gt;"",EDATE($D116,Milestones!$AA$54)&gt;=$S116),$V116,IF(AND($R116&lt;&gt;"",EDATE($D116,Milestones!$AA$54)&gt;=$R116),$U116,$T116)))=Milestones!$AB$54),TEXT(EDATE($D116,Milestones!$AA$54),"dd/mm/yy")&amp;" "&amp;Milestones!$AB$54&amp;" "&amp;Milestones!$AC$54&amp;";  ","")&amp;IF(AND(EDATE($D116,Milestones!$AA$55)&lt;=AsOfDate,IF($Q116=0,$W116,IF(AND($S116&lt;&gt;"",EDATE($D116,Milestones!$AA$55)&gt;=$S116),$V116,IF(AND($R116&lt;&gt;"",EDATE($D116,Milestones!$AA$55)&gt;=$R116),$U116,$T116)))=Milestones!$AB$55),TEXT(EDATE($D116,Milestones!$AA$55),"dd/mm/yy")&amp;" "&amp;Milestones!$AB$55&amp;" "&amp;Milestones!$AC$55&amp;";  ","")&amp;IF(AND(EDATE($D116,Milestones!$AA$56)&lt;=AsOfDate,IF($Q116=0,$W116,IF(AND($S116&lt;&gt;"",EDATE($D116,Milestones!$AA$56)&gt;=$S116),$V116,IF(AND($R116&lt;&gt;"",EDATE($D116,Milestones!$AA$56)&gt;=$R116),$U116,$T116)))=Milestones!$AB$56),TEXT(EDATE($D116,Milestones!$AA$56),"dd/mm/yy")&amp;" "&amp;Milestones!$AB$56&amp;" "&amp;Milestones!$AC$56&amp;";  ","")&amp;IF(AND(EDATE($D116,Milestones!$AA$57)&lt;=AsOfDate,IF($Q116=0,$W116,IF(AND($S116&lt;&gt;"",EDATE($D116,Milestones!$AA$57)&gt;=$S116),$V116,IF(AND($R116&lt;&gt;"",EDATE($D116,Milestones!$AA$57)&gt;=$R116),$U116,$T116)))=Milestones!$AB$57),TEXT(EDATE($D116,Milestones!$AA$57),"dd/mm/yy")&amp;" "&amp;Milestones!$AB$57&amp;" "&amp;Milestones!$AC$57&amp;";  ","")&amp;IF(AND(EDATE($D116,Milestones!$AA$58)&lt;=AsOfDate,IF($Q116=0,$W116,IF(AND($S116&lt;&gt;"",EDATE($D116,Milestones!$AA$58)&gt;=$S116),$V116,IF(AND($R116&lt;&gt;"",EDATE($D116,Milestones!$AA$58)&gt;=$R116),$U116,$T116)))=Milestones!$AB$58),TEXT(EDATE($D116,Milestones!$AA$58),"dd/mm/yy")&amp;" "&amp;Milestones!$AB$58&amp;" "&amp;Milestones!$AC$58&amp;";  ","")&amp;IF(AND(EDATE($D116,Milestones!$AA$59)&lt;=AsOfDate,IF($Q116=0,$W116,IF(AND($S116&lt;&gt;"",EDATE($D116,Milestones!$AA$59)&gt;=$S116),$V116,IF(AND($R116&lt;&gt;"",EDATE($D116,Milestones!$AA$59)&gt;=$R116),$U116,$T116)))=Milestones!$AB$59),TEXT(EDATE($D116,Milestones!$AA$59),"dd/mm/yy")&amp;" "&amp;Milestones!$AB$59&amp;" "&amp;Milestones!$AC$59&amp;";  ",""))</f>
        <v/>
      </c>
      <c r="J116" s="0" t="str">
        <f aca="false">IF(OR($A116="",$D116=""),"",IF(AND(EDATE($D116,Milestones!$AA$60)&lt;=AsOfDate,IF($Q116=0,$W116,IF(AND($S116&lt;&gt;"",EDATE($D116,Milestones!$AA$60)&gt;=$S116),$V116,IF(AND($R116&lt;&gt;"",EDATE($D116,Milestones!$AA$60)&gt;=$R116),$U116,$T116)))=Milestones!$AB$60),TEXT(EDATE($D116,Milestones!$AA$60),"dd/mm/yy")&amp;" "&amp;Milestones!$AB$60&amp;" "&amp;Milestones!$AC$60&amp;";  ","")&amp;IF(AND(EDATE($D116,Milestones!$AA$61)&lt;=AsOfDate,IF($Q116=0,$W116,IF(AND($S116&lt;&gt;"",EDATE($D116,Milestones!$AA$61)&gt;=$S116),$V116,IF(AND($R116&lt;&gt;"",EDATE($D116,Milestones!$AA$61)&gt;=$R116),$U116,$T116)))=Milestones!$AB$61),TEXT(EDATE($D116,Milestones!$AA$61),"dd/mm/yy")&amp;" "&amp;Milestones!$AB$61&amp;" "&amp;Milestones!$AC$61&amp;";  ","")&amp;IF(AND(EDATE($D116,Milestones!$AA$62)&lt;=AsOfDate,IF($Q116=0,$W116,IF(AND($S116&lt;&gt;"",EDATE($D116,Milestones!$AA$62)&gt;=$S116),$V116,IF(AND($R116&lt;&gt;"",EDATE($D116,Milestones!$AA$62)&gt;=$R116),$U116,$T116)))=Milestones!$AB$62),TEXT(EDATE($D116,Milestones!$AA$62),"dd/mm/yy")&amp;" "&amp;Milestones!$AB$62&amp;" "&amp;Milestones!$AC$62&amp;";  ","")&amp;IF(AND(EDATE($D116,Milestones!$AA$63)&lt;=AsOfDate,IF($Q116=0,$W116,IF(AND($S116&lt;&gt;"",EDATE($D116,Milestones!$AA$63)&gt;=$S116),$V116,IF(AND($R116&lt;&gt;"",EDATE($D116,Milestones!$AA$63)&gt;=$R116),$U116,$T116)))=Milestones!$AB$63),TEXT(EDATE($D116,Milestones!$AA$63),"dd/mm/yy")&amp;" "&amp;Milestones!$AB$63&amp;" "&amp;Milestones!$AC$63&amp;";  ","")&amp;IF(AND(EDATE($D116,Milestones!$AA$64)&lt;=AsOfDate,IF($Q116=0,$W116,IF(AND($S116&lt;&gt;"",EDATE($D116,Milestones!$AA$64)&gt;=$S116),$V116,IF(AND($R116&lt;&gt;"",EDATE($D116,Milestones!$AA$64)&gt;=$R116),$U116,$T116)))=Milestones!$AB$64),TEXT(EDATE($D116,Milestones!$AA$64),"dd/mm/yy")&amp;" "&amp;Milestones!$AB$64&amp;" "&amp;Milestones!$AC$64&amp;";  ","")&amp;IF(AND(EDATE($D116,Milestones!$AA$65)&lt;=AsOfDate,IF($Q116=0,$W116,IF(AND($S116&lt;&gt;"",EDATE($D116,Milestones!$AA$65)&gt;=$S116),$V116,IF(AND($R116&lt;&gt;"",EDATE($D116,Milestones!$AA$65)&gt;=$R116),$U116,$T116)))=Milestones!$AB$65),TEXT(EDATE($D116,Milestones!$AA$65),"dd/mm/yy")&amp;" "&amp;Milestones!$AB$65&amp;" "&amp;Milestones!$AC$65&amp;";  ","")&amp;IF(AND(EDATE($D116,Milestones!$AA$66)&lt;=AsOfDate,IF($Q116=0,$W116,IF(AND($S116&lt;&gt;"",EDATE($D116,Milestones!$AA$66)&gt;=$S116),$V116,IF(AND($R116&lt;&gt;"",EDATE($D116,Milestones!$AA$66)&gt;=$R116),$U116,$T116)))=Milestones!$AB$66),TEXT(EDATE($D116,Milestones!$AA$66),"dd/mm/yy")&amp;" "&amp;Milestones!$AB$66&amp;" "&amp;Milestones!$AC$66&amp;";  ","")&amp;IF(AND(EDATE($D116,Milestones!$AA$67)&lt;=AsOfDate,IF($Q116=0,$W116,IF(AND($S116&lt;&gt;"",EDATE($D116,Milestones!$AA$67)&gt;=$S116),$V116,IF(AND($R116&lt;&gt;"",EDATE($D116,Milestones!$AA$67)&gt;=$R116),$U116,$T116)))=Milestones!$AB$67),TEXT(EDATE($D116,Milestones!$AA$67),"dd/mm/yy")&amp;" "&amp;Milestones!$AB$67&amp;" "&amp;Milestones!$AC$67&amp;";  ","")&amp;IF(AND(EDATE($D116,Milestones!$AA$68)&lt;=AsOfDate,IF($Q116=0,$W116,IF(AND($S116&lt;&gt;"",EDATE($D116,Milestones!$AA$68)&gt;=$S116),$V116,IF(AND($R116&lt;&gt;"",EDATE($D116,Milestones!$AA$68)&gt;=$R116),$U116,$T116)))=Milestones!$AB$68),TEXT(EDATE($D116,Milestones!$AA$68),"dd/mm/yy")&amp;" "&amp;Milestones!$AB$68&amp;" "&amp;Milestones!$AC$68&amp;";  ","")&amp;IF(AND(EDATE($D116,Milestones!$AA$69)&lt;=AsOfDate,IF($Q116=0,$W116,IF(AND($S116&lt;&gt;"",EDATE($D116,Milestones!$AA$69)&gt;=$S116),$V116,IF(AND($R116&lt;&gt;"",EDATE($D116,Milestones!$AA$69)&gt;=$R116),$U116,$T116)))=Milestones!$AB$69),TEXT(EDATE($D116,Milestones!$AA$69),"dd/mm/yy")&amp;" "&amp;Milestones!$AB$69&amp;" "&amp;Milestones!$AC$69&amp;";  ","")&amp;IF(AND(EDATE($D116,Milestones!$AA$70)&lt;=AsOfDate,IF($Q116=0,$W116,IF(AND($S116&lt;&gt;"",EDATE($D116,Milestones!$AA$70)&gt;=$S116),$V116,IF(AND($R116&lt;&gt;"",EDATE($D116,Milestones!$AA$70)&gt;=$R116),$U116,$T116)))=Milestones!$AB$70),TEXT(EDATE($D116,Milestones!$AA$70),"dd/mm/yy")&amp;" "&amp;Milestones!$AB$70&amp;" "&amp;Milestones!$AC$70&amp;";  ","")&amp;IF(AND(EDATE($D116,Milestones!$AA$71)&lt;=AsOfDate,IF($Q116=0,$W116,IF(AND($S116&lt;&gt;"",EDATE($D116,Milestones!$AA$71)&gt;=$S116),$V116,IF(AND($R116&lt;&gt;"",EDATE($D116,Milestones!$AA$71)&gt;=$R116),$U116,$T116)))=Milestones!$AB$71),TEXT(EDATE($D116,Milestones!$AA$71),"dd/mm/yy")&amp;" "&amp;Milestones!$AB$71&amp;" "&amp;Milestones!$AC$71&amp;";  ","")&amp;IF(AND(EDATE($D116,Milestones!$AA$72)&lt;=AsOfDate,IF($Q116=0,$W116,IF(AND($S116&lt;&gt;"",EDATE($D116,Milestones!$AA$72)&gt;=$S116),$V116,IF(AND($R116&lt;&gt;"",EDATE($D116,Milestones!$AA$72)&gt;=$R116),$U116,$T116)))=Milestones!$AB$72),TEXT(EDATE($D116,Milestones!$AA$72),"dd/mm/yy")&amp;" "&amp;Milestones!$AB$72&amp;" "&amp;Milestones!$AC$72&amp;";  ","")&amp;IF(AND(EDATE($D116,Milestones!$AA$73)&lt;=AsOfDate,IF($Q116=0,$W116,IF(AND($S116&lt;&gt;"",EDATE($D116,Milestones!$AA$73)&gt;=$S116),$V116,IF(AND($R116&lt;&gt;"",EDATE($D116,Milestones!$AA$73)&gt;=$R116),$U116,$T116)))=Milestones!$AB$73),TEXT(EDATE($D116,Milestones!$AA$73),"dd/mm/yy")&amp;" "&amp;Milestones!$AB$73&amp;" "&amp;Milestones!$AC$73&amp;";  ","")&amp;IF(AND(EDATE($D116,Milestones!$AA$74)&lt;=AsOfDate,IF($Q116=0,$W116,IF(AND($S116&lt;&gt;"",EDATE($D116,Milestones!$AA$74)&gt;=$S116),$V116,IF(AND($R116&lt;&gt;"",EDATE($D116,Milestones!$AA$74)&gt;=$R116),$U116,$T116)))=Milestones!$AB$74),TEXT(EDATE($D116,Milestones!$AA$74),"dd/mm/yy")&amp;" "&amp;Milestones!$AB$74&amp;" "&amp;Milestones!$AC$74&amp;";  ","")&amp;IF(AND(EDATE($D116,Milestones!$AA$75)&lt;=AsOfDate,IF($Q116=0,$W116,IF(AND($S116&lt;&gt;"",EDATE($D116,Milestones!$AA$75)&gt;=$S116),$V116,IF(AND($R116&lt;&gt;"",EDATE($D116,Milestones!$AA$75)&gt;=$R116),$U116,$T116)))=Milestones!$AB$75),TEXT(EDATE($D116,Milestones!$AA$75),"dd/mm/yy")&amp;" "&amp;Milestones!$AB$75&amp;" "&amp;Milestones!$AC$75&amp;";  ","")&amp;IF(AND(EDATE($D116,Milestones!$AA$76)&lt;=AsOfDate,IF($Q116=0,$W116,IF(AND($S116&lt;&gt;"",EDATE($D116,Milestones!$AA$76)&gt;=$S116),$V116,IF(AND($R116&lt;&gt;"",EDATE($D116,Milestones!$AA$76)&gt;=$R116),$U116,$T116)))=Milestones!$AB$76),TEXT(EDATE($D116,Milestones!$AA$76),"dd/mm/yy")&amp;" "&amp;Milestones!$AB$76&amp;" "&amp;Milestones!$AC$76&amp;";  ","")&amp;IF(AND(EDATE($D116,Milestones!$AA$77)&lt;=AsOfDate,IF($Q116=0,$W116,IF(AND($S116&lt;&gt;"",EDATE($D116,Milestones!$AA$77)&gt;=$S116),$V116,IF(AND($R116&lt;&gt;"",EDATE($D116,Milestones!$AA$77)&gt;=$R116),$U116,$T116)))=Milestones!$AB$77),TEXT(EDATE($D116,Milestones!$AA$77),"dd/mm/yy")&amp;" "&amp;Milestones!$AB$77&amp;" "&amp;Milestones!$AC$77&amp;";  ","")&amp;IF(AND(EDATE($D116,Milestones!$AA$78)&lt;=AsOfDate,IF($Q116=0,$W116,IF(AND($S116&lt;&gt;"",EDATE($D116,Milestones!$AA$78)&gt;=$S116),$V116,IF(AND($R116&lt;&gt;"",EDATE($D116,Milestones!$AA$78)&gt;=$R116),$U116,$T116)))=Milestones!$AB$78),TEXT(EDATE($D116,Milestones!$AA$78),"dd/mm/yy")&amp;" "&amp;Milestones!$AB$78&amp;" "&amp;Milestones!$AC$78&amp;";  ","")&amp;IF(AND(EDATE($D116,Milestones!$AA$79)&lt;=AsOfDate,IF($Q116=0,$W116,IF(AND($S116&lt;&gt;"",EDATE($D116,Milestones!$AA$79)&gt;=$S116),$V116,IF(AND($R116&lt;&gt;"",EDATE($D116,Milestones!$AA$79)&gt;=$R116),$U116,$T116)))=Milestones!$AB$79),TEXT(EDATE($D116,Milestones!$AA$79),"dd/mm/yy")&amp;" "&amp;Milestones!$AB$79&amp;" "&amp;Milestones!$AC$79&amp;";  ",""))</f>
        <v/>
      </c>
      <c r="K116" s="0" t="str">
        <f aca="false">IF(OR($A116="",$D116=""),"",IF(AND(EDATE($D116,Milestones!$AA$80)&lt;=AsOfDate,IF($Q116=0,$W116,IF(AND($S116&lt;&gt;"",EDATE($D116,Milestones!$AA$80)&gt;=$S116),$V116,IF(AND($R116&lt;&gt;"",EDATE($D116,Milestones!$AA$80)&gt;=$R116),$U116,$T116)))=Milestones!$AB$80),TEXT(EDATE($D116,Milestones!$AA$80),"dd/mm/yy")&amp;" "&amp;Milestones!$AB$80&amp;" "&amp;Milestones!$AC$80&amp;";  ","")&amp;IF(AND(EDATE($D116,Milestones!$AA$81)&lt;=AsOfDate,IF($Q116=0,$W116,IF(AND($S116&lt;&gt;"",EDATE($D116,Milestones!$AA$81)&gt;=$S116),$V116,IF(AND($R116&lt;&gt;"",EDATE($D116,Milestones!$AA$81)&gt;=$R116),$U116,$T116)))=Milestones!$AB$81),TEXT(EDATE($D116,Milestones!$AA$81),"dd/mm/yy")&amp;" "&amp;Milestones!$AB$81&amp;" "&amp;Milestones!$AC$81&amp;";  ","")&amp;IF(AND(EDATE($D116,Milestones!$AA$82)&lt;=AsOfDate,IF($Q116=0,$W116,IF(AND($S116&lt;&gt;"",EDATE($D116,Milestones!$AA$82)&gt;=$S116),$V116,IF(AND($R116&lt;&gt;"",EDATE($D116,Milestones!$AA$82)&gt;=$R116),$U116,$T116)))=Milestones!$AB$82),TEXT(EDATE($D116,Milestones!$AA$82),"dd/mm/yy")&amp;" "&amp;Milestones!$AB$82&amp;" "&amp;Milestones!$AC$82&amp;";  ","")&amp;IF(AND(EDATE($D116,Milestones!$AA$83)&lt;=AsOfDate,IF($Q116=0,$W116,IF(AND($S116&lt;&gt;"",EDATE($D116,Milestones!$AA$83)&gt;=$S116),$V116,IF(AND($R116&lt;&gt;"",EDATE($D116,Milestones!$AA$83)&gt;=$R116),$U116,$T116)))=Milestones!$AB$83),TEXT(EDATE($D116,Milestones!$AA$83),"dd/mm/yy")&amp;" "&amp;Milestones!$AB$83&amp;" "&amp;Milestones!$AC$83&amp;";  ","")&amp;IF(AND(EDATE($D116,Milestones!$AA$84)&lt;=AsOfDate,IF($Q116=0,$W116,IF(AND($S116&lt;&gt;"",EDATE($D116,Milestones!$AA$84)&gt;=$S116),$V116,IF(AND($R116&lt;&gt;"",EDATE($D116,Milestones!$AA$84)&gt;=$R116),$U116,$T116)))=Milestones!$AB$84),TEXT(EDATE($D116,Milestones!$AA$84),"dd/mm/yy")&amp;" "&amp;Milestones!$AB$84&amp;" "&amp;Milestones!$AC$84&amp;";  ","")&amp;IF(AND(EDATE($D116,Milestones!$AA$85)&lt;=AsOfDate,IF($Q116=0,$W116,IF(AND($S116&lt;&gt;"",EDATE($D116,Milestones!$AA$85)&gt;=$S116),$V116,IF(AND($R116&lt;&gt;"",EDATE($D116,Milestones!$AA$85)&gt;=$R116),$U116,$T116)))=Milestones!$AB$85),TEXT(EDATE($D116,Milestones!$AA$85),"dd/mm/yy")&amp;" "&amp;Milestones!$AB$85&amp;" "&amp;Milestones!$AC$85&amp;";  ","")&amp;IF(AND(EDATE($D116,Milestones!$AA$86)&lt;=AsOfDate,IF($Q116=0,$W116,IF(AND($S116&lt;&gt;"",EDATE($D116,Milestones!$AA$86)&gt;=$S116),$V116,IF(AND($R116&lt;&gt;"",EDATE($D116,Milestones!$AA$86)&gt;=$R116),$U116,$T116)))=Milestones!$AB$86),TEXT(EDATE($D116,Milestones!$AA$86),"dd/mm/yy")&amp;" "&amp;Milestones!$AB$86&amp;" "&amp;Milestones!$AC$86&amp;";  ","")&amp;IF(AND(EDATE($D116,Milestones!$AA$87)&lt;=AsOfDate,IF($Q116=0,$W116,IF(AND($S116&lt;&gt;"",EDATE($D116,Milestones!$AA$87)&gt;=$S116),$V116,IF(AND($R116&lt;&gt;"",EDATE($D116,Milestones!$AA$87)&gt;=$R116),$U116,$T116)))=Milestones!$AB$87),TEXT(EDATE($D116,Milestones!$AA$87),"dd/mm/yy")&amp;" "&amp;Milestones!$AB$87&amp;" "&amp;Milestones!$AC$87&amp;";  ","")&amp;IF(AND(EDATE($D116,Milestones!$AA$88)&lt;=AsOfDate,IF($Q116=0,$W116,IF(AND($S116&lt;&gt;"",EDATE($D116,Milestones!$AA$88)&gt;=$S116),$V116,IF(AND($R116&lt;&gt;"",EDATE($D116,Milestones!$AA$88)&gt;=$R116),$U116,$T116)))=Milestones!$AB$88),TEXT(EDATE($D116,Milestones!$AA$88),"dd/mm/yy")&amp;" "&amp;Milestones!$AB$88&amp;" "&amp;Milestones!$AC$88&amp;";  ","")&amp;IF(AND(EDATE($D116,Milestones!$AA$89)&lt;=AsOfDate,IF($Q116=0,$W116,IF(AND($S116&lt;&gt;"",EDATE($D116,Milestones!$AA$89)&gt;=$S116),$V116,IF(AND($R116&lt;&gt;"",EDATE($D116,Milestones!$AA$89)&gt;=$R116),$U116,$T116)))=Milestones!$AB$89),TEXT(EDATE($D116,Milestones!$AA$89),"dd/mm/yy")&amp;" "&amp;Milestones!$AB$89&amp;" "&amp;Milestones!$AC$89&amp;";  ","")&amp;IF(AND(EDATE($D116,Milestones!$AA$90)&lt;=AsOfDate,IF($Q116=0,$W116,IF(AND($S116&lt;&gt;"",EDATE($D116,Milestones!$AA$90)&gt;=$S116),$V116,IF(AND($R116&lt;&gt;"",EDATE($D116,Milestones!$AA$90)&gt;=$R116),$U116,$T116)))=Milestones!$AB$90),TEXT(EDATE($D116,Milestones!$AA$90),"dd/mm/yy")&amp;" "&amp;Milestones!$AB$90&amp;" "&amp;Milestones!$AC$90&amp;";  ","")&amp;IF(AND(EDATE($D116,Milestones!$AA$91)&lt;=AsOfDate,IF($Q116=0,$W116,IF(AND($S116&lt;&gt;"",EDATE($D116,Milestones!$AA$91)&gt;=$S116),$V116,IF(AND($R116&lt;&gt;"",EDATE($D116,Milestones!$AA$91)&gt;=$R116),$U116,$T116)))=Milestones!$AB$91),TEXT(EDATE($D116,Milestones!$AA$91),"dd/mm/yy")&amp;" "&amp;Milestones!$AB$91&amp;" "&amp;Milestones!$AC$91&amp;";  ","")&amp;IF(AND(EDATE($D116,Milestones!$AA$92)&lt;=AsOfDate,IF($Q116=0,$W116,IF(AND($S116&lt;&gt;"",EDATE($D116,Milestones!$AA$92)&gt;=$S116),$V116,IF(AND($R116&lt;&gt;"",EDATE($D116,Milestones!$AA$92)&gt;=$R116),$U116,$T116)))=Milestones!$AB$92),TEXT(EDATE($D116,Milestones!$AA$92),"dd/mm/yy")&amp;" "&amp;Milestones!$AB$92&amp;" "&amp;Milestones!$AC$92&amp;";  ","")&amp;IF(AND(EDATE($D116,Milestones!$AA$93)&lt;=AsOfDate,IF($Q116=0,$W116,IF(AND($S116&lt;&gt;"",EDATE($D116,Milestones!$AA$93)&gt;=$S116),$V116,IF(AND($R116&lt;&gt;"",EDATE($D116,Milestones!$AA$93)&gt;=$R116),$U116,$T116)))=Milestones!$AB$93),TEXT(EDATE($D116,Milestones!$AA$93),"dd/mm/yy")&amp;" "&amp;Milestones!$AB$93&amp;" "&amp;Milestones!$AC$93&amp;";  ","")&amp;IF(AND(EDATE($D116,Milestones!$AA$94)&lt;=AsOfDate,IF($Q116=0,$W116,IF(AND($S116&lt;&gt;"",EDATE($D116,Milestones!$AA$94)&gt;=$S116),$V116,IF(AND($R116&lt;&gt;"",EDATE($D116,Milestones!$AA$94)&gt;=$R116),$U116,$T116)))=Milestones!$AB$94),TEXT(EDATE($D116,Milestones!$AA$94),"dd/mm/yy")&amp;" "&amp;Milestones!$AB$94&amp;" "&amp;Milestones!$AC$94&amp;";  ","")&amp;IF(AND(EDATE($D116,Milestones!$AA$95)&lt;=AsOfDate,IF($Q116=0,$W116,IF(AND($S116&lt;&gt;"",EDATE($D116,Milestones!$AA$95)&gt;=$S116),$V116,IF(AND($R116&lt;&gt;"",EDATE($D116,Milestones!$AA$95)&gt;=$R116),$U116,$T116)))=Milestones!$AB$95),TEXT(EDATE($D116,Milestones!$AA$95),"dd/mm/yy")&amp;" "&amp;Milestones!$AB$95&amp;" "&amp;Milestones!$AC$95&amp;";  ","")&amp;IF(AND(EDATE($D116,Milestones!$AA$96)&lt;=AsOfDate,IF($Q116=0,$W116,IF(AND($S116&lt;&gt;"",EDATE($D116,Milestones!$AA$96)&gt;=$S116),$V116,IF(AND($R116&lt;&gt;"",EDATE($D116,Milestones!$AA$96)&gt;=$R116),$U116,$T116)))=Milestones!$AB$96),TEXT(EDATE($D116,Milestones!$AA$96),"dd/mm/yy")&amp;" "&amp;Milestones!$AB$96&amp;" "&amp;Milestones!$AC$96&amp;";  ","")&amp;IF(AND(EDATE($D116,Milestones!$AA$97)&lt;=AsOfDate,IF($Q116=0,$W116,IF(AND($S116&lt;&gt;"",EDATE($D116,Milestones!$AA$97)&gt;=$S116),$V116,IF(AND($R116&lt;&gt;"",EDATE($D116,Milestones!$AA$97)&gt;=$R116),$U116,$T116)))=Milestones!$AB$97),TEXT(EDATE($D116,Milestones!$AA$97),"dd/mm/yy")&amp;" "&amp;Milestones!$AB$97&amp;" "&amp;Milestones!$AC$97&amp;";  ","")&amp;IF(AND(EDATE($D116,Milestones!$AA$98)&lt;=AsOfDate,IF($Q116=0,$W116,IF(AND($S116&lt;&gt;"",EDATE($D116,Milestones!$AA$98)&gt;=$S116),$V116,IF(AND($R116&lt;&gt;"",EDATE($D116,Milestones!$AA$98)&gt;=$R116),$U116,$T116)))=Milestones!$AB$98),TEXT(EDATE($D116,Milestones!$AA$98),"dd/mm/yy")&amp;" "&amp;Milestones!$AB$98&amp;" "&amp;Milestones!$AC$98&amp;";  ","")&amp;IF(AND(EDATE($D116,Milestones!$AA$99)&lt;=AsOfDate,IF($Q116=0,$W116,IF(AND($S116&lt;&gt;"",EDATE($D116,Milestones!$AA$99)&gt;=$S116),$V116,IF(AND($R116&lt;&gt;"",EDATE($D116,Milestones!$AA$99)&gt;=$R116),$U116,$T116)))=Milestones!$AB$99),TEXT(EDATE($D116,Milestones!$AA$99),"dd/mm/yy")&amp;" "&amp;Milestones!$AB$99&amp;" "&amp;Milestones!$AC$99&amp;";  ",""))</f>
        <v/>
      </c>
      <c r="L116" s="0" t="str">
        <f aca="false">IF(OR($A116="",$D116=""),"",IF(AND(EDATE($D116,Milestones!$AA$100)&lt;=AsOfDate,IF($Q116=0,$W116,IF(AND($S116&lt;&gt;"",EDATE($D116,Milestones!$AA$100)&gt;=$S116),$V116,IF(AND($R116&lt;&gt;"",EDATE($D116,Milestones!$AA$100)&gt;=$R116),$U116,$T116)))=Milestones!$AB$100),TEXT(EDATE($D116,Milestones!$AA$100),"dd/mm/yy")&amp;" "&amp;Milestones!$AB$100&amp;" "&amp;Milestones!$AC$100&amp;";  ","")&amp;IF(AND(EDATE($D116,Milestones!$AA$101)&lt;=AsOfDate,IF($Q116=0,$W116,IF(AND($S116&lt;&gt;"",EDATE($D116,Milestones!$AA$101)&gt;=$S116),$V116,IF(AND($R116&lt;&gt;"",EDATE($D116,Milestones!$AA$101)&gt;=$R116),$U116,$T116)))=Milestones!$AB$101),TEXT(EDATE($D116,Milestones!$AA$101),"dd/mm/yy")&amp;" "&amp;Milestones!$AB$101&amp;" "&amp;Milestones!$AC$101&amp;";  ","")&amp;IF(AND(EDATE($D116,Milestones!$AA$102)&lt;=AsOfDate,IF($Q116=0,$W116,IF(AND($S116&lt;&gt;"",EDATE($D116,Milestones!$AA$102)&gt;=$S116),$V116,IF(AND($R116&lt;&gt;"",EDATE($D116,Milestones!$AA$102)&gt;=$R116),$U116,$T116)))=Milestones!$AB$102),TEXT(EDATE($D116,Milestones!$AA$102),"dd/mm/yy")&amp;" "&amp;Milestones!$AB$102&amp;" "&amp;Milestones!$AC$102&amp;";  ","")&amp;IF(AND(EDATE($D116,Milestones!$AA$103)&lt;=AsOfDate,IF($Q116=0,$W116,IF(AND($S116&lt;&gt;"",EDATE($D116,Milestones!$AA$103)&gt;=$S116),$V116,IF(AND($R116&lt;&gt;"",EDATE($D116,Milestones!$AA$103)&gt;=$R116),$U116,$T116)))=Milestones!$AB$103),TEXT(EDATE($D116,Milestones!$AA$103),"dd/mm/yy")&amp;" "&amp;Milestones!$AB$103&amp;" "&amp;Milestones!$AC$103&amp;";  ","")&amp;IF(AND(EDATE($D116,Milestones!$AA$104)&lt;=AsOfDate,IF($Q116=0,$W116,IF(AND($S116&lt;&gt;"",EDATE($D116,Milestones!$AA$104)&gt;=$S116),$V116,IF(AND($R116&lt;&gt;"",EDATE($D116,Milestones!$AA$104)&gt;=$R116),$U116,$T116)))=Milestones!$AB$104),TEXT(EDATE($D116,Milestones!$AA$104),"dd/mm/yy")&amp;" "&amp;Milestones!$AB$104&amp;" "&amp;Milestones!$AC$104&amp;";  ","")&amp;IF(AND(EDATE($D116,Milestones!$AA$105)&lt;=AsOfDate,IF($Q116=0,$W116,IF(AND($S116&lt;&gt;"",EDATE($D116,Milestones!$AA$105)&gt;=$S116),$V116,IF(AND($R116&lt;&gt;"",EDATE($D116,Milestones!$AA$105)&gt;=$R116),$U116,$T116)))=Milestones!$AB$105),TEXT(EDATE($D116,Milestones!$AA$105),"dd/mm/yy")&amp;" "&amp;Milestones!$AB$105&amp;" "&amp;Milestones!$AC$105&amp;";  ","")&amp;IF(AND(EDATE($D116,Milestones!$AA$106)&lt;=AsOfDate,IF($Q116=0,$W116,IF(AND($S116&lt;&gt;"",EDATE($D116,Milestones!$AA$106)&gt;=$S116),$V116,IF(AND($R116&lt;&gt;"",EDATE($D116,Milestones!$AA$106)&gt;=$R116),$U116,$T116)))=Milestones!$AB$106),TEXT(EDATE($D116,Milestones!$AA$106),"dd/mm/yy")&amp;" "&amp;Milestones!$AB$106&amp;" "&amp;Milestones!$AC$106&amp;";  ","")&amp;IF(AND(EDATE($D116,Milestones!$AA$107)&lt;=AsOfDate,IF($Q116=0,$W116,IF(AND($S116&lt;&gt;"",EDATE($D116,Milestones!$AA$107)&gt;=$S116),$V116,IF(AND($R116&lt;&gt;"",EDATE($D116,Milestones!$AA$107)&gt;=$R116),$U116,$T116)))=Milestones!$AB$107),TEXT(EDATE($D116,Milestones!$AA$107),"dd/mm/yy")&amp;" "&amp;Milestones!$AB$107&amp;" "&amp;Milestones!$AC$107&amp;";  ","")&amp;IF(AND(EDATE($D116,Milestones!$AA$108)&lt;=AsOfDate,IF($Q116=0,$W116,IF(AND($S116&lt;&gt;"",EDATE($D116,Milestones!$AA$108)&gt;=$S116),$V116,IF(AND($R116&lt;&gt;"",EDATE($D116,Milestones!$AA$108)&gt;=$R116),$U116,$T116)))=Milestones!$AB$108),TEXT(EDATE($D116,Milestones!$AA$108),"dd/mm/yy")&amp;" "&amp;Milestones!$AB$108&amp;" "&amp;Milestones!$AC$108&amp;";  ","")&amp;IF(AND(EDATE($D116,Milestones!$AA$109)&lt;=AsOfDate,IF($Q116=0,$W116,IF(AND($S116&lt;&gt;"",EDATE($D116,Milestones!$AA$109)&gt;=$S116),$V116,IF(AND($R116&lt;&gt;"",EDATE($D116,Milestones!$AA$109)&gt;=$R116),$U116,$T116)))=Milestones!$AB$109),TEXT(EDATE($D116,Milestones!$AA$109),"dd/mm/yy")&amp;" "&amp;Milestones!$AB$109&amp;" "&amp;Milestones!$AC$109&amp;";  ","")&amp;IF(AND(EDATE($D116,Milestones!$AA$110)&lt;=AsOfDate,IF($Q116=0,$W116,IF(AND($S116&lt;&gt;"",EDATE($D116,Milestones!$AA$110)&gt;=$S116),$V116,IF(AND($R116&lt;&gt;"",EDATE($D116,Milestones!$AA$110)&gt;=$R116),$U116,$T116)))=Milestones!$AB$110),TEXT(EDATE($D116,Milestones!$AA$110),"dd/mm/yy")&amp;" "&amp;Milestones!$AB$110&amp;" "&amp;Milestones!$AC$110&amp;";  ","")&amp;IF(AND(EDATE($D116,Milestones!$AA$111)&lt;=AsOfDate,IF($Q116=0,$W116,IF(AND($S116&lt;&gt;"",EDATE($D116,Milestones!$AA$111)&gt;=$S116),$V116,IF(AND($R116&lt;&gt;"",EDATE($D116,Milestones!$AA$111)&gt;=$R116),$U116,$T116)))=Milestones!$AB$111),TEXT(EDATE($D116,Milestones!$AA$111),"dd/mm/yy")&amp;" "&amp;Milestones!$AB$111&amp;" "&amp;Milestones!$AC$111&amp;";  ","")&amp;IF(AND(EDATE($D116,Milestones!$AA$112)&lt;=AsOfDate,IF($Q116=0,$W116,IF(AND($S116&lt;&gt;"",EDATE($D116,Milestones!$AA$112)&gt;=$S116),$V116,IF(AND($R116&lt;&gt;"",EDATE($D116,Milestones!$AA$112)&gt;=$R116),$U116,$T116)))=Milestones!$AB$112),TEXT(EDATE($D116,Milestones!$AA$112),"dd/mm/yy")&amp;" "&amp;Milestones!$AB$112&amp;" "&amp;Milestones!$AC$112&amp;";  ","")&amp;IF(AND(EDATE($D116,Milestones!$AA$113)&lt;=AsOfDate,IF($Q116=0,$W116,IF(AND($S116&lt;&gt;"",EDATE($D116,Milestones!$AA$113)&gt;=$S116),$V116,IF(AND($R116&lt;&gt;"",EDATE($D116,Milestones!$AA$113)&gt;=$R116),$U116,$T116)))=Milestones!$AB$113),TEXT(EDATE($D116,Milestones!$AA$113),"dd/mm/yy")&amp;" "&amp;Milestones!$AB$113&amp;" "&amp;Milestones!$AC$113&amp;";  ","")&amp;IF(AND(EDATE($D116,Milestones!$AA$114)&lt;=AsOfDate,IF($Q116=0,$W116,IF(AND($S116&lt;&gt;"",EDATE($D116,Milestones!$AA$114)&gt;=$S116),$V116,IF(AND($R116&lt;&gt;"",EDATE($D116,Milestones!$AA$114)&gt;=$R116),$U116,$T116)))=Milestones!$AB$114),TEXT(EDATE($D116,Milestones!$AA$114),"dd/mm/yy")&amp;" "&amp;Milestones!$AB$114&amp;" "&amp;Milestones!$AC$114&amp;";  ","")&amp;IF(AND(EDATE($D116,Milestones!$AA$115)&lt;=AsOfDate,IF($Q116=0,$W116,IF(AND($S116&lt;&gt;"",EDATE($D116,Milestones!$AA$115)&gt;=$S116),$V116,IF(AND($R116&lt;&gt;"",EDATE($D116,Milestones!$AA$115)&gt;=$R116),$U116,$T116)))=Milestones!$AB$115),TEXT(EDATE($D116,Milestones!$AA$115),"dd/mm/yy")&amp;" "&amp;Milestones!$AB$115&amp;" "&amp;Milestones!$AC$115&amp;";  ","")&amp;IF(AND(EDATE($D116,Milestones!$AA$116)&lt;=AsOfDate,IF($Q116=0,$W116,IF(AND($S116&lt;&gt;"",EDATE($D116,Milestones!$AA$116)&gt;=$S116),$V116,IF(AND($R116&lt;&gt;"",EDATE($D116,Milestones!$AA$116)&gt;=$R116),$U116,$T116)))=Milestones!$AB$116),TEXT(EDATE($D116,Milestones!$AA$116),"dd/mm/yy")&amp;" "&amp;Milestones!$AB$116&amp;" "&amp;Milestones!$AC$116&amp;";  ","")&amp;IF(AND(EDATE($D116,Milestones!$AA$117)&lt;=AsOfDate,IF($Q116=0,$W116,IF(AND($S116&lt;&gt;"",EDATE($D116,Milestones!$AA$117)&gt;=$S116),$V116,IF(AND($R116&lt;&gt;"",EDATE($D116,Milestones!$AA$117)&gt;=$R116),$U116,$T116)))=Milestones!$AB$117),TEXT(EDATE($D116,Milestones!$AA$117),"dd/mm/yy")&amp;" "&amp;Milestones!$AB$117&amp;" "&amp;Milestones!$AC$117&amp;";  ","")&amp;IF(AND(EDATE($D116,Milestones!$AA$118)&lt;=AsOfDate,IF($Q116=0,$W116,IF(AND($S116&lt;&gt;"",EDATE($D116,Milestones!$AA$118)&gt;=$S116),$V116,IF(AND($R116&lt;&gt;"",EDATE($D116,Milestones!$AA$118)&gt;=$R116),$U116,$T116)))=Milestones!$AB$118),TEXT(EDATE($D116,Milestones!$AA$118),"dd/mm/yy")&amp;" "&amp;Milestones!$AB$118&amp;" "&amp;Milestones!$AC$118&amp;";  ","")&amp;IF(AND(EDATE($D116,Milestones!$AA$119)&lt;=AsOfDate,IF($Q116=0,$W116,IF(AND($S116&lt;&gt;"",EDATE($D116,Milestones!$AA$119)&gt;=$S116),$V116,IF(AND($R116&lt;&gt;"",EDATE($D116,Milestones!$AA$119)&gt;=$R116),$U116,$T116)))=Milestones!$AB$119),TEXT(EDATE($D116,Milestones!$AA$119),"dd/mm/yy")&amp;" "&amp;Milestones!$AB$119&amp;" "&amp;Milestones!$AC$119&amp;";  ",""))</f>
        <v/>
      </c>
      <c r="M116" s="0" t="str">
        <f aca="false">IF(OR($A116="",$D116=""),"",IF(AND(EDATE($D116,Milestones!$AA$120)&lt;=AsOfDate,IF($Q116=0,$W116,IF(AND($S116&lt;&gt;"",EDATE($D116,Milestones!$AA$120)&gt;=$S116),$V116,IF(AND($R116&lt;&gt;"",EDATE($D116,Milestones!$AA$120)&gt;=$R116),$U116,$T116)))=Milestones!$AB$120),TEXT(EDATE($D116,Milestones!$AA$120),"dd/mm/yy")&amp;" "&amp;Milestones!$AB$120&amp;" "&amp;Milestones!$AC$120&amp;";  ","")&amp;IF(AND(EDATE($D116,Milestones!$AA$121)&lt;=AsOfDate,IF($Q116=0,$W116,IF(AND($S116&lt;&gt;"",EDATE($D116,Milestones!$AA$121)&gt;=$S116),$V116,IF(AND($R116&lt;&gt;"",EDATE($D116,Milestones!$AA$121)&gt;=$R116),$U116,$T116)))=Milestones!$AB$121),TEXT(EDATE($D116,Milestones!$AA$121),"dd/mm/yy")&amp;" "&amp;Milestones!$AB$121&amp;" "&amp;Milestones!$AC$121&amp;";  ","")&amp;IF(AND(EDATE($D116,Milestones!$AA$122)&lt;=AsOfDate,IF($Q116=0,$W116,IF(AND($S116&lt;&gt;"",EDATE($D116,Milestones!$AA$122)&gt;=$S116),$V116,IF(AND($R116&lt;&gt;"",EDATE($D116,Milestones!$AA$122)&gt;=$R116),$U116,$T116)))=Milestones!$AB$122),TEXT(EDATE($D116,Milestones!$AA$122),"dd/mm/yy")&amp;" "&amp;Milestones!$AB$122&amp;" "&amp;Milestones!$AC$122&amp;";  ","")&amp;IF(AND(EDATE($D116,Milestones!$AA$123)&lt;=AsOfDate,IF($Q116=0,$W116,IF(AND($S116&lt;&gt;"",EDATE($D116,Milestones!$AA$123)&gt;=$S116),$V116,IF(AND($R116&lt;&gt;"",EDATE($D116,Milestones!$AA$123)&gt;=$R116),$U116,$T116)))=Milestones!$AB$123),TEXT(EDATE($D116,Milestones!$AA$123),"dd/mm/yy")&amp;" "&amp;Milestones!$AB$123&amp;" "&amp;Milestones!$AC$123&amp;";  ","")&amp;IF(AND(EDATE($D116,Milestones!$AA$124)&lt;=AsOfDate,IF($Q116=0,$W116,IF(AND($S116&lt;&gt;"",EDATE($D116,Milestones!$AA$124)&gt;=$S116),$V116,IF(AND($R116&lt;&gt;"",EDATE($D116,Milestones!$AA$124)&gt;=$R116),$U116,$T116)))=Milestones!$AB$124),TEXT(EDATE($D116,Milestones!$AA$124),"dd/mm/yy")&amp;" "&amp;Milestones!$AB$124&amp;" "&amp;Milestones!$AC$124&amp;";  ","")&amp;IF(AND(EDATE($D116,Milestones!$AA$125)&lt;=AsOfDate,IF($Q116=0,$W116,IF(AND($S116&lt;&gt;"",EDATE($D116,Milestones!$AA$125)&gt;=$S116),$V116,IF(AND($R116&lt;&gt;"",EDATE($D116,Milestones!$AA$125)&gt;=$R116),$U116,$T116)))=Milestones!$AB$125),TEXT(EDATE($D116,Milestones!$AA$125),"dd/mm/yy")&amp;" "&amp;Milestones!$AB$125&amp;" "&amp;Milestones!$AC$125&amp;";  ","")&amp;IF(AND(EDATE($D116,Milestones!$AA$126)&lt;=AsOfDate,IF($Q116=0,$W116,IF(AND($S116&lt;&gt;"",EDATE($D116,Milestones!$AA$126)&gt;=$S116),$V116,IF(AND($R116&lt;&gt;"",EDATE($D116,Milestones!$AA$126)&gt;=$R116),$U116,$T116)))=Milestones!$AB$126),TEXT(EDATE($D116,Milestones!$AA$126),"dd/mm/yy")&amp;" "&amp;Milestones!$AB$126&amp;" "&amp;Milestones!$AC$126&amp;";  ","")&amp;IF(AND(EDATE($D116,Milestones!$AA$127)&lt;=AsOfDate,IF($Q116=0,$W116,IF(AND($S116&lt;&gt;"",EDATE($D116,Milestones!$AA$127)&gt;=$S116),$V116,IF(AND($R116&lt;&gt;"",EDATE($D116,Milestones!$AA$127)&gt;=$R116),$U116,$T116)))=Milestones!$AB$127),TEXT(EDATE($D116,Milestones!$AA$127),"dd/mm/yy")&amp;" "&amp;Milestones!$AB$127&amp;" "&amp;Milestones!$AC$127&amp;";  ","")&amp;IF(AND(EDATE($D116,Milestones!$AA$128)&lt;=AsOfDate,IF($Q116=0,$W116,IF(AND($S116&lt;&gt;"",EDATE($D116,Milestones!$AA$128)&gt;=$S116),$V116,IF(AND($R116&lt;&gt;"",EDATE($D116,Milestones!$AA$128)&gt;=$R116),$U116,$T116)))=Milestones!$AB$128),TEXT(EDATE($D116,Milestones!$AA$128),"dd/mm/yy")&amp;" "&amp;Milestones!$AB$128&amp;" "&amp;Milestones!$AC$128&amp;";  ","")&amp;IF(AND(EDATE($D116,Milestones!$AA$129)&lt;=AsOfDate,IF($Q116=0,$W116,IF(AND($S116&lt;&gt;"",EDATE($D116,Milestones!$AA$129)&gt;=$S116),$V116,IF(AND($R116&lt;&gt;"",EDATE($D116,Milestones!$AA$129)&gt;=$R116),$U116,$T116)))=Milestones!$AB$129),TEXT(EDATE($D116,Milestones!$AA$129),"dd/mm/yy")&amp;" "&amp;Milestones!$AB$129&amp;" "&amp;Milestones!$AC$129&amp;";  ","")&amp;IF(AND(EDATE($D116,Milestones!$AA$130)&lt;=AsOfDate,IF($Q116=0,$W116,IF(AND($S116&lt;&gt;"",EDATE($D116,Milestones!$AA$130)&gt;=$S116),$V116,IF(AND($R116&lt;&gt;"",EDATE($D116,Milestones!$AA$130)&gt;=$R116),$U116,$T116)))=Milestones!$AB$130),TEXT(EDATE($D116,Milestones!$AA$130),"dd/mm/yy")&amp;" "&amp;Milestones!$AB$130&amp;" "&amp;Milestones!$AC$130&amp;";  ","")&amp;IF(AND(EDATE($D116,Milestones!$AA$131)&lt;=AsOfDate,IF($Q116=0,$W116,IF(AND($S116&lt;&gt;"",EDATE($D116,Milestones!$AA$131)&gt;=$S116),$V116,IF(AND($R116&lt;&gt;"",EDATE($D116,Milestones!$AA$131)&gt;=$R116),$U116,$T116)))=Milestones!$AB$131),TEXT(EDATE($D116,Milestones!$AA$131),"dd/mm/yy")&amp;" "&amp;Milestones!$AB$131&amp;" "&amp;Milestones!$AC$131&amp;";  ","")&amp;IF(AND(EDATE($D116,Milestones!$AA$132)&lt;=AsOfDate,IF($Q116=0,$W116,IF(AND($S116&lt;&gt;"",EDATE($D116,Milestones!$AA$132)&gt;=$S116),$V116,IF(AND($R116&lt;&gt;"",EDATE($D116,Milestones!$AA$132)&gt;=$R116),$U116,$T116)))=Milestones!$AB$132),TEXT(EDATE($D116,Milestones!$AA$132),"dd/mm/yy")&amp;" "&amp;Milestones!$AB$132&amp;" "&amp;Milestones!$AC$132&amp;";  ","")&amp;IF(AND(EDATE($D116,Milestones!$AA$133)&lt;=AsOfDate,IF($Q116=0,$W116,IF(AND($S116&lt;&gt;"",EDATE($D116,Milestones!$AA$133)&gt;=$S116),$V116,IF(AND($R116&lt;&gt;"",EDATE($D116,Milestones!$AA$133)&gt;=$R116),$U116,$T116)))=Milestones!$AB$133),TEXT(EDATE($D116,Milestones!$AA$133),"dd/mm/yy")&amp;" "&amp;Milestones!$AB$133&amp;" "&amp;Milestones!$AC$133&amp;";  ","")&amp;IF(AND(EDATE($D116,Milestones!$AA$134)&lt;=AsOfDate,IF($Q116=0,$W116,IF(AND($S116&lt;&gt;"",EDATE($D116,Milestones!$AA$134)&gt;=$S116),$V116,IF(AND($R116&lt;&gt;"",EDATE($D116,Milestones!$AA$134)&gt;=$R116),$U116,$T116)))=Milestones!$AB$134),TEXT(EDATE($D116,Milestones!$AA$134),"dd/mm/yy")&amp;" "&amp;Milestones!$AB$134&amp;" "&amp;Milestones!$AC$134&amp;";  ","")&amp;IF(AND(EDATE($D116,Milestones!$AA$135)&lt;=AsOfDate,IF($Q116=0,$W116,IF(AND($S116&lt;&gt;"",EDATE($D116,Milestones!$AA$135)&gt;=$S116),$V116,IF(AND($R116&lt;&gt;"",EDATE($D116,Milestones!$AA$135)&gt;=$R116),$U116,$T116)))=Milestones!$AB$135),TEXT(EDATE($D116,Milestones!$AA$135),"dd/mm/yy")&amp;" "&amp;Milestones!$AB$135&amp;" "&amp;Milestones!$AC$135&amp;";  ","")&amp;IF(AND(EDATE($D116,Milestones!$AA$136)&lt;=AsOfDate,IF($Q116=0,$W116,IF(AND($S116&lt;&gt;"",EDATE($D116,Milestones!$AA$136)&gt;=$S116),$V116,IF(AND($R116&lt;&gt;"",EDATE($D116,Milestones!$AA$136)&gt;=$R116),$U116,$T116)))=Milestones!$AB$136),TEXT(EDATE($D116,Milestones!$AA$136),"dd/mm/yy")&amp;" "&amp;Milestones!$AB$136&amp;" "&amp;Milestones!$AC$136&amp;";  ","")&amp;IF(AND(EDATE($D116,Milestones!$AA$137)&lt;=AsOfDate,IF($Q116=0,$W116,IF(AND($S116&lt;&gt;"",EDATE($D116,Milestones!$AA$137)&gt;=$S116),$V116,IF(AND($R116&lt;&gt;"",EDATE($D116,Milestones!$AA$137)&gt;=$R116),$U116,$T116)))=Milestones!$AB$137),TEXT(EDATE($D116,Milestones!$AA$137),"dd/mm/yy")&amp;" "&amp;Milestones!$AB$137&amp;" "&amp;Milestones!$AC$137&amp;";  ","")&amp;IF(AND(EDATE($D116,Milestones!$AA$138)&lt;=AsOfDate,IF($Q116=0,$W116,IF(AND($S116&lt;&gt;"",EDATE($D116,Milestones!$AA$138)&gt;=$S116),$V116,IF(AND($R116&lt;&gt;"",EDATE($D116,Milestones!$AA$138)&gt;=$R116),$U116,$T116)))=Milestones!$AB$138),TEXT(EDATE($D116,Milestones!$AA$138),"dd/mm/yy")&amp;" "&amp;Milestones!$AB$138&amp;" "&amp;Milestones!$AC$138&amp;";  ","")&amp;IF(AND(EDATE($D116,Milestones!$AA$139)&lt;=AsOfDate,IF($Q116=0,$W116,IF(AND($S116&lt;&gt;"",EDATE($D116,Milestones!$AA$139)&gt;=$S116),$V116,IF(AND($R116&lt;&gt;"",EDATE($D116,Milestones!$AA$139)&gt;=$R116),$U116,$T116)))=Milestones!$AB$139),TEXT(EDATE($D116,Milestones!$AA$139),"dd/mm/yy")&amp;" "&amp;Milestones!$AB$139&amp;" "&amp;Milestones!$AC$139&amp;";  ",""))</f>
        <v/>
      </c>
      <c r="N116" s="0" t="str">
        <f aca="false">IF(OR($A116="",$D116=""),"",IF(AND(EDATE($D116,Milestones!$AA$140)&lt;=AsOfDate,IF($Q116=0,$W116,IF(AND($S116&lt;&gt;"",EDATE($D116,Milestones!$AA$140)&gt;=$S116),$V116,IF(AND($R116&lt;&gt;"",EDATE($D116,Milestones!$AA$140)&gt;=$R116),$U116,$T116)))=Milestones!$AB$140),TEXT(EDATE($D116,Milestones!$AA$140),"dd/mm/yy")&amp;" "&amp;Milestones!$AB$140&amp;" "&amp;Milestones!$AC$140&amp;";  ","")&amp;IF(AND(EDATE($D116,Milestones!$AA$141)&lt;=AsOfDate,IF($Q116=0,$W116,IF(AND($S116&lt;&gt;"",EDATE($D116,Milestones!$AA$141)&gt;=$S116),$V116,IF(AND($R116&lt;&gt;"",EDATE($D116,Milestones!$AA$141)&gt;=$R116),$U116,$T116)))=Milestones!$AB$141),TEXT(EDATE($D116,Milestones!$AA$141),"dd/mm/yy")&amp;" "&amp;Milestones!$AB$141&amp;" "&amp;Milestones!$AC$141&amp;";  ","")&amp;IF(AND(EDATE($D116,Milestones!$AA$142)&lt;=AsOfDate,IF($Q116=0,$W116,IF(AND($S116&lt;&gt;"",EDATE($D116,Milestones!$AA$142)&gt;=$S116),$V116,IF(AND($R116&lt;&gt;"",EDATE($D116,Milestones!$AA$142)&gt;=$R116),$U116,$T116)))=Milestones!$AB$142),TEXT(EDATE($D116,Milestones!$AA$142),"dd/mm/yy")&amp;" "&amp;Milestones!$AB$142&amp;" "&amp;Milestones!$AC$142&amp;";  ","")&amp;IF(AND(EDATE($D116,Milestones!$AA$143)&lt;=AsOfDate,IF($Q116=0,$W116,IF(AND($S116&lt;&gt;"",EDATE($D116,Milestones!$AA$143)&gt;=$S116),$V116,IF(AND($R116&lt;&gt;"",EDATE($D116,Milestones!$AA$143)&gt;=$R116),$U116,$T116)))=Milestones!$AB$143),TEXT(EDATE($D116,Milestones!$AA$143),"dd/mm/yy")&amp;" "&amp;Milestones!$AB$143&amp;" "&amp;Milestones!$AC$143&amp;";  ","")&amp;IF(AND(EDATE($D116,Milestones!$AA$144)&lt;=AsOfDate,IF($Q116=0,$W116,IF(AND($S116&lt;&gt;"",EDATE($D116,Milestones!$AA$144)&gt;=$S116),$V116,IF(AND($R116&lt;&gt;"",EDATE($D116,Milestones!$AA$144)&gt;=$R116),$U116,$T116)))=Milestones!$AB$144),TEXT(EDATE($D116,Milestones!$AA$144),"dd/mm/yy")&amp;" "&amp;Milestones!$AB$144&amp;" "&amp;Milestones!$AC$144&amp;";  ","")&amp;IF(AND(EDATE($D116,Milestones!$AA$145)&lt;=AsOfDate,IF($Q116=0,$W116,IF(AND($S116&lt;&gt;"",EDATE($D116,Milestones!$AA$145)&gt;=$S116),$V116,IF(AND($R116&lt;&gt;"",EDATE($D116,Milestones!$AA$145)&gt;=$R116),$U116,$T116)))=Milestones!$AB$145),TEXT(EDATE($D116,Milestones!$AA$145),"dd/mm/yy")&amp;" "&amp;Milestones!$AB$145&amp;" "&amp;Milestones!$AC$145&amp;";  ","")&amp;IF(AND(EDATE($D116,Milestones!$AA$146)&lt;=AsOfDate,IF($Q116=0,$W116,IF(AND($S116&lt;&gt;"",EDATE($D116,Milestones!$AA$146)&gt;=$S116),$V116,IF(AND($R116&lt;&gt;"",EDATE($D116,Milestones!$AA$146)&gt;=$R116),$U116,$T116)))=Milestones!$AB$146),TEXT(EDATE($D116,Milestones!$AA$146),"dd/mm/yy")&amp;" "&amp;Milestones!$AB$146&amp;" "&amp;Milestones!$AC$146&amp;";  ","")&amp;IF(AND(EDATE($D116,Milestones!$AA$147)&lt;=AsOfDate,IF($Q116=0,$W116,IF(AND($S116&lt;&gt;"",EDATE($D116,Milestones!$AA$147)&gt;=$S116),$V116,IF(AND($R116&lt;&gt;"",EDATE($D116,Milestones!$AA$147)&gt;=$R116),$U116,$T116)))=Milestones!$AB$147),TEXT(EDATE($D116,Milestones!$AA$147),"dd/mm/yy")&amp;" "&amp;Milestones!$AB$147&amp;" "&amp;Milestones!$AC$147&amp;";  ","")&amp;IF(AND(EDATE($D116,Milestones!$AA$148)&lt;=AsOfDate,IF($Q116=0,$W116,IF(AND($S116&lt;&gt;"",EDATE($D116,Milestones!$AA$148)&gt;=$S116),$V116,IF(AND($R116&lt;&gt;"",EDATE($D116,Milestones!$AA$148)&gt;=$R116),$U116,$T116)))=Milestones!$AB$148),TEXT(EDATE($D116,Milestones!$AA$148),"dd/mm/yy")&amp;" "&amp;Milestones!$AB$148&amp;" "&amp;Milestones!$AC$148&amp;";  ","")&amp;IF(AND(EDATE($D116,Milestones!$AA$149)&lt;=AsOfDate,IF($Q116=0,$W116,IF(AND($S116&lt;&gt;"",EDATE($D116,Milestones!$AA$149)&gt;=$S116),$V116,IF(AND($R116&lt;&gt;"",EDATE($D116,Milestones!$AA$149)&gt;=$R116),$U116,$T116)))=Milestones!$AB$149),TEXT(EDATE($D116,Milestones!$AA$149),"dd/mm/yy")&amp;" "&amp;Milestones!$AB$149&amp;" "&amp;Milestones!$AC$149&amp;";  ","")&amp;IF(AND(EDATE($D116,Milestones!$AA$150)&lt;=AsOfDate,IF($Q116=0,$W116,IF(AND($S116&lt;&gt;"",EDATE($D116,Milestones!$AA$150)&gt;=$S116),$V116,IF(AND($R116&lt;&gt;"",EDATE($D116,Milestones!$AA$150)&gt;=$R116),$U116,$T116)))=Milestones!$AB$150),TEXT(EDATE($D116,Milestones!$AA$150),"dd/mm/yy")&amp;" "&amp;Milestones!$AB$150&amp;" "&amp;Milestones!$AC$150&amp;";  ","")&amp;IF(AND(EDATE($D116,Milestones!$AA$151)&lt;=AsOfDate,IF($Q116=0,$W116,IF(AND($S116&lt;&gt;"",EDATE($D116,Milestones!$AA$151)&gt;=$S116),$V116,IF(AND($R116&lt;&gt;"",EDATE($D116,Milestones!$AA$151)&gt;=$R116),$U116,$T116)))=Milestones!$AB$151),TEXT(EDATE($D116,Milestones!$AA$151),"dd/mm/yy")&amp;" "&amp;Milestones!$AB$151&amp;" "&amp;Milestones!$AC$151&amp;";  ","")&amp;IF(AND(EDATE($D116,Milestones!$AA$152)&lt;=AsOfDate,IF($Q116=0,$W116,IF(AND($S116&lt;&gt;"",EDATE($D116,Milestones!$AA$152)&gt;=$S116),$V116,IF(AND($R116&lt;&gt;"",EDATE($D116,Milestones!$AA$152)&gt;=$R116),$U116,$T116)))=Milestones!$AB$152),TEXT(EDATE($D116,Milestones!$AA$152),"dd/mm/yy")&amp;" "&amp;Milestones!$AB$152&amp;" "&amp;Milestones!$AC$152&amp;";  ","")&amp;IF(AND(EDATE($D116,Milestones!$AA$153)&lt;=AsOfDate,IF($Q116=0,$W116,IF(AND($S116&lt;&gt;"",EDATE($D116,Milestones!$AA$153)&gt;=$S116),$V116,IF(AND($R116&lt;&gt;"",EDATE($D116,Milestones!$AA$153)&gt;=$R116),$U116,$T116)))=Milestones!$AB$153),TEXT(EDATE($D116,Milestones!$AA$153),"dd/mm/yy")&amp;" "&amp;Milestones!$AB$153&amp;" "&amp;Milestones!$AC$153&amp;";  ","")&amp;IF(AND(EDATE($D116,Milestones!$AA$154)&lt;=AsOfDate,IF($Q116=0,$W116,IF(AND($S116&lt;&gt;"",EDATE($D116,Milestones!$AA$154)&gt;=$S116),$V116,IF(AND($R116&lt;&gt;"",EDATE($D116,Milestones!$AA$154)&gt;=$R116),$U116,$T116)))=Milestones!$AB$154),TEXT(EDATE($D116,Milestones!$AA$154),"dd/mm/yy")&amp;" "&amp;Milestones!$AB$154&amp;" "&amp;Milestones!$AC$154&amp;";  ","")&amp;IF(AND(EDATE($D116,Milestones!$AA$155)&lt;=AsOfDate,IF($Q116=0,$W116,IF(AND($S116&lt;&gt;"",EDATE($D116,Milestones!$AA$155)&gt;=$S116),$V116,IF(AND($R116&lt;&gt;"",EDATE($D116,Milestones!$AA$155)&gt;=$R116),$U116,$T116)))=Milestones!$AB$155),TEXT(EDATE($D116,Milestones!$AA$155),"dd/mm/yy")&amp;" "&amp;Milestones!$AB$155&amp;" "&amp;Milestones!$AC$155&amp;";  ","")&amp;IF(AND(EDATE($D116,Milestones!$AA$156)&lt;=AsOfDate,IF($Q116=0,$W116,IF(AND($S116&lt;&gt;"",EDATE($D116,Milestones!$AA$156)&gt;=$S116),$V116,IF(AND($R116&lt;&gt;"",EDATE($D116,Milestones!$AA$156)&gt;=$R116),$U116,$T116)))=Milestones!$AB$156),TEXT(EDATE($D116,Milestones!$AA$156),"dd/mm/yy")&amp;" "&amp;Milestones!$AB$156&amp;" "&amp;Milestones!$AC$156&amp;";  ","")&amp;IF(AND(EDATE($D116,Milestones!$AA$157)&lt;=AsOfDate,IF($Q116=0,$W116,IF(AND($S116&lt;&gt;"",EDATE($D116,Milestones!$AA$157)&gt;=$S116),$V116,IF(AND($R116&lt;&gt;"",EDATE($D116,Milestones!$AA$157)&gt;=$R116),$U116,$T116)))=Milestones!$AB$157),TEXT(EDATE($D116,Milestones!$AA$157),"dd/mm/yy")&amp;" "&amp;Milestones!$AB$157&amp;" "&amp;Milestones!$AC$157&amp;";  ","")&amp;IF(AND(EDATE($D116,Milestones!$AA$158)&lt;=AsOfDate,IF($Q116=0,$W116,IF(AND($S116&lt;&gt;"",EDATE($D116,Milestones!$AA$158)&gt;=$S116),$V116,IF(AND($R116&lt;&gt;"",EDATE($D116,Milestones!$AA$158)&gt;=$R116),$U116,$T116)))=Milestones!$AB$158),TEXT(EDATE($D116,Milestones!$AA$158),"dd/mm/yy")&amp;" "&amp;Milestones!$AB$158&amp;" "&amp;Milestones!$AC$158&amp;";  ","")&amp;IF(AND(EDATE($D116,Milestones!$AA$159)&lt;=AsOfDate,IF($Q116=0,$W116,IF(AND($S116&lt;&gt;"",EDATE($D116,Milestones!$AA$159)&gt;=$S116),$V116,IF(AND($R116&lt;&gt;"",EDATE($D116,Milestones!$AA$159)&gt;=$R116),$U116,$T116)))=Milestones!$AB$159),TEXT(EDATE($D116,Milestones!$AA$159),"dd/mm/yy")&amp;" "&amp;Milestones!$AB$159&amp;" "&amp;Milestones!$AC$159&amp;";  ",""))</f>
        <v/>
      </c>
      <c r="O116" s="0" t="str">
        <f aca="false">IF(OR($A116="",$D116=""),"",IF(AND(EDATE($D116,Milestones!$AA$160)&lt;=AsOfDate,IF($Q116=0,$W116,IF(AND($S116&lt;&gt;"",EDATE($D116,Milestones!$AA$160)&gt;=$S116),$V116,IF(AND($R116&lt;&gt;"",EDATE($D116,Milestones!$AA$160)&gt;=$R116),$U116,$T116)))=Milestones!$AB$160),TEXT(EDATE($D116,Milestones!$AA$160),"dd/mm/yy")&amp;" "&amp;Milestones!$AB$160&amp;" "&amp;Milestones!$AC$160&amp;";  ","")&amp;IF(AND(EDATE($D116,Milestones!$AA$161)&lt;=AsOfDate,IF($Q116=0,$W116,IF(AND($S116&lt;&gt;"",EDATE($D116,Milestones!$AA$161)&gt;=$S116),$V116,IF(AND($R116&lt;&gt;"",EDATE($D116,Milestones!$AA$161)&gt;=$R116),$U116,$T116)))=Milestones!$AB$161),TEXT(EDATE($D116,Milestones!$AA$161),"dd/mm/yy")&amp;" "&amp;Milestones!$AB$161&amp;" "&amp;Milestones!$AC$161&amp;";  ","")&amp;IF(AND(EDATE($D116,Milestones!$AA$162)&lt;=AsOfDate,IF($Q116=0,$W116,IF(AND($S116&lt;&gt;"",EDATE($D116,Milestones!$AA$162)&gt;=$S116),$V116,IF(AND($R116&lt;&gt;"",EDATE($D116,Milestones!$AA$162)&gt;=$R116),$U116,$T116)))=Milestones!$AB$162),TEXT(EDATE($D116,Milestones!$AA$162),"dd/mm/yy")&amp;" "&amp;Milestones!$AB$162&amp;" "&amp;Milestones!$AC$162&amp;";  ","")&amp;IF(AND(EDATE($D116,Milestones!$AA$163)&lt;=AsOfDate,IF($Q116=0,$W116,IF(AND($S116&lt;&gt;"",EDATE($D116,Milestones!$AA$163)&gt;=$S116),$V116,IF(AND($R116&lt;&gt;"",EDATE($D116,Milestones!$AA$163)&gt;=$R116),$U116,$T116)))=Milestones!$AB$163),TEXT(EDATE($D116,Milestones!$AA$163),"dd/mm/yy")&amp;" "&amp;Milestones!$AB$163&amp;" "&amp;Milestones!$AC$163&amp;";  ","")&amp;IF(AND(EDATE($D116,Milestones!$AA$164)&lt;=AsOfDate,IF($Q116=0,$W116,IF(AND($S116&lt;&gt;"",EDATE($D116,Milestones!$AA$164)&gt;=$S116),$V116,IF(AND($R116&lt;&gt;"",EDATE($D116,Milestones!$AA$164)&gt;=$R116),$U116,$T116)))=Milestones!$AB$164),TEXT(EDATE($D116,Milestones!$AA$164),"dd/mm/yy")&amp;" "&amp;Milestones!$AB$164&amp;" "&amp;Milestones!$AC$164&amp;";  ","")&amp;IF(AND(EDATE($D116,Milestones!$AA$165)&lt;=AsOfDate,IF($Q116=0,$W116,IF(AND($S116&lt;&gt;"",EDATE($D116,Milestones!$AA$165)&gt;=$S116),$V116,IF(AND($R116&lt;&gt;"",EDATE($D116,Milestones!$AA$165)&gt;=$R116),$U116,$T116)))=Milestones!$AB$165),TEXT(EDATE($D116,Milestones!$AA$165),"dd/mm/yy")&amp;" "&amp;Milestones!$AB$165&amp;" "&amp;Milestones!$AC$165&amp;";  ","")&amp;IF(AND(EDATE($D116,Milestones!$AA$166)&lt;=AsOfDate,IF($Q116=0,$W116,IF(AND($S116&lt;&gt;"",EDATE($D116,Milestones!$AA$166)&gt;=$S116),$V116,IF(AND($R116&lt;&gt;"",EDATE($D116,Milestones!$AA$166)&gt;=$R116),$U116,$T116)))=Milestones!$AB$166),TEXT(EDATE($D116,Milestones!$AA$166),"dd/mm/yy")&amp;" "&amp;Milestones!$AB$166&amp;" "&amp;Milestones!$AC$166&amp;";  ","")&amp;IF(AND(EDATE($D116,Milestones!$AA$167)&lt;=AsOfDate,IF($Q116=0,$W116,IF(AND($S116&lt;&gt;"",EDATE($D116,Milestones!$AA$167)&gt;=$S116),$V116,IF(AND($R116&lt;&gt;"",EDATE($D116,Milestones!$AA$167)&gt;=$R116),$U116,$T116)))=Milestones!$AB$167),TEXT(EDATE($D116,Milestones!$AA$167),"dd/mm/yy")&amp;" "&amp;Milestones!$AB$167&amp;" "&amp;Milestones!$AC$167&amp;";  ","")&amp;IF(AND(EDATE($D116,Milestones!$AA$168)&lt;=AsOfDate,IF($Q116=0,$W116,IF(AND($S116&lt;&gt;"",EDATE($D116,Milestones!$AA$168)&gt;=$S116),$V116,IF(AND($R116&lt;&gt;"",EDATE($D116,Milestones!$AA$168)&gt;=$R116),$U116,$T116)))=Milestones!$AB$168),TEXT(EDATE($D116,Milestones!$AA$168),"dd/mm/yy")&amp;" "&amp;Milestones!$AB$168&amp;" "&amp;Milestones!$AC$168&amp;";  ","")&amp;IF(AND(EDATE($D116,Milestones!$AA$169)&lt;=AsOfDate,IF($Q116=0,$W116,IF(AND($S116&lt;&gt;"",EDATE($D116,Milestones!$AA$169)&gt;=$S116),$V116,IF(AND($R116&lt;&gt;"",EDATE($D116,Milestones!$AA$169)&gt;=$R116),$U116,$T116)))=Milestones!$AB$169),TEXT(EDATE($D116,Milestones!$AA$169),"dd/mm/yy")&amp;" "&amp;Milestones!$AB$169&amp;" "&amp;Milestones!$AC$169&amp;";  ","")&amp;IF(AND(EDATE($D116,Milestones!$AA$170)&lt;=AsOfDate,IF($Q116=0,$W116,IF(AND($S116&lt;&gt;"",EDATE($D116,Milestones!$AA$170)&gt;=$S116),$V116,IF(AND($R116&lt;&gt;"",EDATE($D116,Milestones!$AA$170)&gt;=$R116),$U116,$T116)))=Milestones!$AB$170),TEXT(EDATE($D116,Milestones!$AA$170),"dd/mm/yy")&amp;" "&amp;Milestones!$AB$170&amp;" "&amp;Milestones!$AC$170&amp;";  ","")&amp;IF(AND(EDATE($D116,Milestones!$AA$171)&lt;=AsOfDate,IF($Q116=0,$W116,IF(AND($S116&lt;&gt;"",EDATE($D116,Milestones!$AA$171)&gt;=$S116),$V116,IF(AND($R116&lt;&gt;"",EDATE($D116,Milestones!$AA$171)&gt;=$R116),$U116,$T116)))=Milestones!$AB$171),TEXT(EDATE($D116,Milestones!$AA$171),"dd/mm/yy")&amp;" "&amp;Milestones!$AB$171&amp;" "&amp;Milestones!$AC$171&amp;";  ","")&amp;IF(AND(EDATE($D116,Milestones!$AA$172)&lt;=AsOfDate,IF($Q116=0,$W116,IF(AND($S116&lt;&gt;"",EDATE($D116,Milestones!$AA$172)&gt;=$S116),$V116,IF(AND($R116&lt;&gt;"",EDATE($D116,Milestones!$AA$172)&gt;=$R116),$U116,$T116)))=Milestones!$AB$172),TEXT(EDATE($D116,Milestones!$AA$172),"dd/mm/yy")&amp;" "&amp;Milestones!$AB$172&amp;" "&amp;Milestones!$AC$172&amp;";  ","")&amp;IF(AND(EDATE($D116,Milestones!$AA$173)&lt;=AsOfDate,IF($Q116=0,$W116,IF(AND($S116&lt;&gt;"",EDATE($D116,Milestones!$AA$173)&gt;=$S116),$V116,IF(AND($R116&lt;&gt;"",EDATE($D116,Milestones!$AA$173)&gt;=$R116),$U116,$T116)))=Milestones!$AB$173),TEXT(EDATE($D116,Milestones!$AA$173),"dd/mm/yy")&amp;" "&amp;Milestones!$AB$173&amp;" "&amp;Milestones!$AC$173&amp;";  ","")&amp;IF(AND(EDATE($D116,Milestones!$AA$174)&lt;=AsOfDate,IF($Q116=0,$W116,IF(AND($S116&lt;&gt;"",EDATE($D116,Milestones!$AA$174)&gt;=$S116),$V116,IF(AND($R116&lt;&gt;"",EDATE($D116,Milestones!$AA$174)&gt;=$R116),$U116,$T116)))=Milestones!$AB$174),TEXT(EDATE($D116,Milestones!$AA$174),"dd/mm/yy")&amp;" "&amp;Milestones!$AB$174&amp;" "&amp;Milestones!$AC$174&amp;";  ","")&amp;IF(AND(EDATE($D116,Milestones!$AA$175)&lt;=AsOfDate,IF($Q116=0,$W116,IF(AND($S116&lt;&gt;"",EDATE($D116,Milestones!$AA$175)&gt;=$S116),$V116,IF(AND($R116&lt;&gt;"",EDATE($D116,Milestones!$AA$175)&gt;=$R116),$U116,$T116)))=Milestones!$AB$175),TEXT(EDATE($D116,Milestones!$AA$175),"dd/mm/yy")&amp;" "&amp;Milestones!$AB$175&amp;" "&amp;Milestones!$AC$175&amp;";  ","")&amp;IF(AND(EDATE($D116,Milestones!$AA$176)&lt;=AsOfDate,IF($Q116=0,$W116,IF(AND($S116&lt;&gt;"",EDATE($D116,Milestones!$AA$176)&gt;=$S116),$V116,IF(AND($R116&lt;&gt;"",EDATE($D116,Milestones!$AA$176)&gt;=$R116),$U116,$T116)))=Milestones!$AB$176),TEXT(EDATE($D116,Milestones!$AA$176),"dd/mm/yy")&amp;" "&amp;Milestones!$AB$176&amp;" "&amp;Milestones!$AC$176&amp;";  ","")&amp;IF(AND(EDATE($D116,Milestones!$AA$177)&lt;=AsOfDate,IF($Q116=0,$W116,IF(AND($S116&lt;&gt;"",EDATE($D116,Milestones!$AA$177)&gt;=$S116),$V116,IF(AND($R116&lt;&gt;"",EDATE($D116,Milestones!$AA$177)&gt;=$R116),$U116,$T116)))=Milestones!$AB$177),TEXT(EDATE($D116,Milestones!$AA$177),"dd/mm/yy")&amp;" "&amp;Milestones!$AB$177&amp;" "&amp;Milestones!$AC$177&amp;";  ","")&amp;IF(AND(EDATE($D116,Milestones!$AA$178)&lt;=AsOfDate,IF($Q116=0,$W116,IF(AND($S116&lt;&gt;"",EDATE($D116,Milestones!$AA$178)&gt;=$S116),$V116,IF(AND($R116&lt;&gt;"",EDATE($D116,Milestones!$AA$178)&gt;=$R116),$U116,$T116)))=Milestones!$AB$178),TEXT(EDATE($D116,Milestones!$AA$178),"dd/mm/yy")&amp;" "&amp;Milestones!$AB$178&amp;" "&amp;Milestones!$AC$178&amp;";  ","")&amp;IF(AND(EDATE($D116,Milestones!$AA$179)&lt;=AsOfDate,IF($Q116=0,$W116,IF(AND($S116&lt;&gt;"",EDATE($D116,Milestones!$AA$179)&gt;=$S116),$V116,IF(AND($R116&lt;&gt;"",EDATE($D116,Milestones!$AA$179)&gt;=$R116),$U116,$T116)))=Milestones!$AB$179),TEXT(EDATE($D116,Milestones!$AA$179),"dd/mm/yy")&amp;" "&amp;Milestones!$AB$179&amp;" "&amp;Milestones!$AC$179&amp;";  ",""))</f>
        <v/>
      </c>
      <c r="P116" s="0" t="str">
        <f aca="false">IF(OR($A116="",$D116=""),"",IF(AND(EDATE($D116,Milestones!$AA$180)&lt;=AsOfDate,IF($Q116=0,$W116,IF(AND($S116&lt;&gt;"",EDATE($D116,Milestones!$AA$180)&gt;=$S116),$V116,IF(AND($R116&lt;&gt;"",EDATE($D116,Milestones!$AA$180)&gt;=$R116),$U116,$T116)))=Milestones!$AB$180),TEXT(EDATE($D116,Milestones!$AA$180),"dd/mm/yy")&amp;" "&amp;Milestones!$AB$180&amp;" "&amp;Milestones!$AC$180&amp;";  ","")&amp;IF(AND(EDATE($D116,Milestones!$AA$181)&lt;=AsOfDate,IF($Q116=0,$W116,IF(AND($S116&lt;&gt;"",EDATE($D116,Milestones!$AA$181)&gt;=$S116),$V116,IF(AND($R116&lt;&gt;"",EDATE($D116,Milestones!$AA$181)&gt;=$R116),$U116,$T116)))=Milestones!$AB$181),TEXT(EDATE($D116,Milestones!$AA$181),"dd/mm/yy")&amp;" "&amp;Milestones!$AB$181&amp;" "&amp;Milestones!$AC$181&amp;";  ","")&amp;IF(AND(EDATE($D116,Milestones!$AA$182)&lt;=AsOfDate,IF($Q116=0,$W116,IF(AND($S116&lt;&gt;"",EDATE($D116,Milestones!$AA$182)&gt;=$S116),$V116,IF(AND($R116&lt;&gt;"",EDATE($D116,Milestones!$AA$182)&gt;=$R116),$U116,$T116)))=Milestones!$AB$182),TEXT(EDATE($D116,Milestones!$AA$182),"dd/mm/yy")&amp;" "&amp;Milestones!$AB$182&amp;" "&amp;Milestones!$AC$182&amp;";  ","")&amp;IF(AND(EDATE($D116,Milestones!$AA$183)&lt;=AsOfDate,IF($Q116=0,$W116,IF(AND($S116&lt;&gt;"",EDATE($D116,Milestones!$AA$183)&gt;=$S116),$V116,IF(AND($R116&lt;&gt;"",EDATE($D116,Milestones!$AA$183)&gt;=$R116),$U116,$T116)))=Milestones!$AB$183),TEXT(EDATE($D116,Milestones!$AA$183),"dd/mm/yy")&amp;" "&amp;Milestones!$AB$183&amp;" "&amp;Milestones!$AC$183&amp;";  ","")&amp;IF(AND(EDATE($D116,Milestones!$AA$184)&lt;=AsOfDate,IF($Q116=0,$W116,IF(AND($S116&lt;&gt;"",EDATE($D116,Milestones!$AA$184)&gt;=$S116),$V116,IF(AND($R116&lt;&gt;"",EDATE($D116,Milestones!$AA$184)&gt;=$R116),$U116,$T116)))=Milestones!$AB$184),TEXT(EDATE($D116,Milestones!$AA$184),"dd/mm/yy")&amp;" "&amp;Milestones!$AB$184&amp;" "&amp;Milestones!$AC$184&amp;";  ","")&amp;IF(AND(EDATE($D116,Milestones!$AA$185)&lt;=AsOfDate,IF($Q116=0,$W116,IF(AND($S116&lt;&gt;"",EDATE($D116,Milestones!$AA$185)&gt;=$S116),$V116,IF(AND($R116&lt;&gt;"",EDATE($D116,Milestones!$AA$185)&gt;=$R116),$U116,$T116)))=Milestones!$AB$185),TEXT(EDATE($D116,Milestones!$AA$185),"dd/mm/yy")&amp;" "&amp;Milestones!$AB$185&amp;" "&amp;Milestones!$AC$185&amp;";  ","")&amp;IF(AND(EDATE($D116,Milestones!$AA$186)&lt;=AsOfDate,IF($Q116=0,$W116,IF(AND($S116&lt;&gt;"",EDATE($D116,Milestones!$AA$186)&gt;=$S116),$V116,IF(AND($R116&lt;&gt;"",EDATE($D116,Milestones!$AA$186)&gt;=$R116),$U116,$T116)))=Milestones!$AB$186),TEXT(EDATE($D116,Milestones!$AA$186),"dd/mm/yy")&amp;" "&amp;Milestones!$AB$186&amp;" "&amp;Milestones!$AC$186&amp;";  ","")&amp;IF(AND(EDATE($D116,Milestones!$AA$187)&lt;=AsOfDate,IF($Q116=0,$W116,IF(AND($S116&lt;&gt;"",EDATE($D116,Milestones!$AA$187)&gt;=$S116),$V116,IF(AND($R116&lt;&gt;"",EDATE($D116,Milestones!$AA$187)&gt;=$R116),$U116,$T116)))=Milestones!$AB$187),TEXT(EDATE($D116,Milestones!$AA$187),"dd/mm/yy")&amp;" "&amp;Milestones!$AB$187&amp;" "&amp;Milestones!$AC$187&amp;";  ","")&amp;IF(AND(EDATE($D116,Milestones!$AA$188)&lt;=AsOfDate,IF($Q116=0,$W116,IF(AND($S116&lt;&gt;"",EDATE($D116,Milestones!$AA$188)&gt;=$S116),$V116,IF(AND($R116&lt;&gt;"",EDATE($D116,Milestones!$AA$188)&gt;=$R116),$U116,$T116)))=Milestones!$AB$188),TEXT(EDATE($D116,Milestones!$AA$188),"dd/mm/yy")&amp;" "&amp;Milestones!$AB$188&amp;" "&amp;Milestones!$AC$188&amp;";  ","")&amp;IF(AND(EDATE($D116,Milestones!$AA$189)&lt;=AsOfDate,IF($Q116=0,$W116,IF(AND($S116&lt;&gt;"",EDATE($D116,Milestones!$AA$189)&gt;=$S116),$V116,IF(AND($R116&lt;&gt;"",EDATE($D116,Milestones!$AA$189)&gt;=$R116),$U116,$T116)))=Milestones!$AB$189),TEXT(EDATE($D116,Milestones!$AA$189),"dd/mm/yy")&amp;" "&amp;Milestones!$AB$189&amp;" "&amp;Milestones!$AC$189&amp;";  ","")&amp;IF(AND(EDATE($D116,Milestones!$AA$190)&lt;=AsOfDate,IF($Q116=0,$W116,IF(AND($S116&lt;&gt;"",EDATE($D116,Milestones!$AA$190)&gt;=$S116),$V116,IF(AND($R116&lt;&gt;"",EDATE($D116,Milestones!$AA$190)&gt;=$R116),$U116,$T116)))=Milestones!$AB$190),TEXT(EDATE($D116,Milestones!$AA$190),"dd/mm/yy")&amp;" "&amp;Milestones!$AB$190&amp;" "&amp;Milestones!$AC$190&amp;";  ","")&amp;IF(AND(EDATE($D116,Milestones!$AA$191)&lt;=AsOfDate,IF($Q116=0,$W116,IF(AND($S116&lt;&gt;"",EDATE($D116,Milestones!$AA$191)&gt;=$S116),$V116,IF(AND($R116&lt;&gt;"",EDATE($D116,Milestones!$AA$191)&gt;=$R116),$U116,$T116)))=Milestones!$AB$191),TEXT(EDATE($D116,Milestones!$AA$191),"dd/mm/yy")&amp;" "&amp;Milestones!$AB$191&amp;" "&amp;Milestones!$AC$191&amp;";  ","")&amp;IF(AND(EDATE($D116,Milestones!$AA$192)&lt;=AsOfDate,IF($Q116=0,$W116,IF(AND($S116&lt;&gt;"",EDATE($D116,Milestones!$AA$192)&gt;=$S116),$V116,IF(AND($R116&lt;&gt;"",EDATE($D116,Milestones!$AA$192)&gt;=$R116),$U116,$T116)))=Milestones!$AB$192),TEXT(EDATE($D116,Milestones!$AA$192),"dd/mm/yy")&amp;" "&amp;Milestones!$AB$192&amp;" "&amp;Milestones!$AC$192&amp;";  ","")&amp;IF(AND(EDATE($D116,Milestones!$AA$193)&lt;=AsOfDate,IF($Q116=0,$W116,IF(AND($S116&lt;&gt;"",EDATE($D116,Milestones!$AA$193)&gt;=$S116),$V116,IF(AND($R116&lt;&gt;"",EDATE($D116,Milestones!$AA$193)&gt;=$R116),$U116,$T116)))=Milestones!$AB$193),TEXT(EDATE($D116,Milestones!$AA$193),"dd/mm/yy")&amp;" "&amp;Milestones!$AB$193&amp;" "&amp;Milestones!$AC$193&amp;";  ","")&amp;IF(AND(EDATE($D116,Milestones!$AA$194)&lt;=AsOfDate,IF($Q116=0,$W116,IF(AND($S116&lt;&gt;"",EDATE($D116,Milestones!$AA$194)&gt;=$S116),$V116,IF(AND($R116&lt;&gt;"",EDATE($D116,Milestones!$AA$194)&gt;=$R116),$U116,$T116)))=Milestones!$AB$194),TEXT(EDATE($D116,Milestones!$AA$194),"dd/mm/yy")&amp;" "&amp;Milestones!$AB$194&amp;" "&amp;Milestones!$AC$194&amp;";  ","")&amp;IF(AND(EDATE($D116,Milestones!$AA$195)&lt;=AsOfDate,IF($Q116=0,$W116,IF(AND($S116&lt;&gt;"",EDATE($D116,Milestones!$AA$195)&gt;=$S116),$V116,IF(AND($R116&lt;&gt;"",EDATE($D116,Milestones!$AA$195)&gt;=$R116),$U116,$T116)))=Milestones!$AB$195),TEXT(EDATE($D116,Milestones!$AA$195),"dd/mm/yy")&amp;" "&amp;Milestones!$AB$195&amp;" "&amp;Milestones!$AC$195&amp;";  ","")&amp;IF(AND(EDATE($D116,Milestones!$AA$196)&lt;=AsOfDate,IF($Q116=0,$W116,IF(AND($S116&lt;&gt;"",EDATE($D116,Milestones!$AA$196)&gt;=$S116),$V116,IF(AND($R116&lt;&gt;"",EDATE($D116,Milestones!$AA$196)&gt;=$R116),$U116,$T116)))=Milestones!$AB$196),TEXT(EDATE($D116,Milestones!$AA$196),"dd/mm/yy")&amp;" "&amp;Milestones!$AB$196&amp;" "&amp;Milestones!$AC$196&amp;";  ","")&amp;IF(AND(EDATE($D116,Milestones!$AA$197)&lt;=AsOfDate,IF($Q116=0,$W116,IF(AND($S116&lt;&gt;"",EDATE($D116,Milestones!$AA$197)&gt;=$S116),$V116,IF(AND($R116&lt;&gt;"",EDATE($D116,Milestones!$AA$197)&gt;=$R116),$U116,$T116)))=Milestones!$AB$197),TEXT(EDATE($D116,Milestones!$AA$197),"dd/mm/yy")&amp;" "&amp;Milestones!$AB$197&amp;" "&amp;Milestones!$AC$197&amp;";  ","")&amp;IF(AND(EDATE($D116,Milestones!$AA$198)&lt;=AsOfDate,IF($Q116=0,$W116,IF(AND($S116&lt;&gt;"",EDATE($D116,Milestones!$AA$198)&gt;=$S116),$V116,IF(AND($R116&lt;&gt;"",EDATE($D116,Milestones!$AA$198)&gt;=$R116),$U116,$T116)))=Milestones!$AB$198),TEXT(EDATE($D116,Milestones!$AA$198),"dd/mm/yy")&amp;" "&amp;Milestones!$AB$198&amp;" "&amp;Milestones!$AC$198&amp;";  ","")&amp;IF(AND(EDATE($D116,Milestones!$AA$199)&lt;=AsOfDate,IF($Q116=0,$W116,IF(AND($S116&lt;&gt;"",EDATE($D116,Milestones!$AA$199)&gt;=$S116),$V116,IF(AND($R116&lt;&gt;"",EDATE($D116,Milestones!$AA$199)&gt;=$R116),$U116,$T116)))=Milestones!$AB$199),TEXT(EDATE($D116,Milestones!$AA$199),"dd/mm/yy")&amp;" "&amp;Milestones!$AB$199&amp;" "&amp;Milestones!$AC$199&amp;";  ",""))</f>
        <v/>
      </c>
      <c r="Q116" s="0" t="str">
        <f aca="false">IF(Staff!$A116="","",Staff!$AG116)</f>
        <v/>
      </c>
      <c r="R116" s="0" t="str">
        <f aca="false">IF(Staff!$A116="","",Staff!$AI116)</f>
        <v/>
      </c>
      <c r="S116" s="0" t="str">
        <f aca="false">IF(Staff!$A116="","",Staff!$AJ116)</f>
        <v/>
      </c>
      <c r="T116" s="0" t="str">
        <f aca="false">IF(Staff!$A116="","",Staff!$AN116)</f>
        <v/>
      </c>
      <c r="U116" s="0" t="str">
        <f aca="false">IF(Staff!$A116="","",Staff!$AO116)</f>
        <v/>
      </c>
      <c r="V116" s="0" t="str">
        <f aca="false">IF(Staff!$A116="","",Staff!$AP116)</f>
        <v/>
      </c>
      <c r="W116" s="0" t="str">
        <f aca="false">IF(Staff!$A116="","",Staff!$AQ116)</f>
        <v/>
      </c>
    </row>
    <row r="117" customFormat="false" ht="15" hidden="false" customHeight="false" outlineLevel="0" collapsed="false">
      <c r="A117" s="13" t="str">
        <f aca="false">IF(Staff!$A117="","",Staff!$A117)</f>
        <v/>
      </c>
      <c r="B117" s="13" t="str">
        <f aca="false">IF(Staff!$A117="","",Staff!$B117)</f>
        <v/>
      </c>
      <c r="C117" s="13" t="str">
        <f aca="false">IF(Staff!$A117="","",Staff!$C117)</f>
        <v/>
      </c>
      <c r="D117" s="11" t="str">
        <f aca="false">IF(Staff!$A117="","",Staff!$AF117)</f>
        <v/>
      </c>
      <c r="E117" s="13" t="str">
        <f aca="false">IF(Staff!$A117="","",Staff!$O117)</f>
        <v/>
      </c>
      <c r="F117" s="13" t="str">
        <f aca="false">IF(E117="","",E117*HoursPerDay)</f>
        <v/>
      </c>
      <c r="G117" s="26" t="str">
        <f aca="false">IF($A117="","",H117&amp;I117&amp;J117&amp;K117&amp;L117&amp;M117&amp;N117&amp;O117&amp;P117)</f>
        <v/>
      </c>
      <c r="H117" s="0" t="str">
        <f aca="false">IF(OR($A117="",$D117=""),"",IF(AND(EDATE($D117,Milestones!$AA$20)&lt;=AsOfDate,IF($Q117=0,$W117,IF(AND($S117&lt;&gt;"",EDATE($D117,Milestones!$AA$20)&gt;=$S117),$V117,IF(AND($R117&lt;&gt;"",EDATE($D117,Milestones!$AA$20)&gt;=$R117),$U117,$T117)))=Milestones!$AB$20),TEXT(EDATE($D117,Milestones!$AA$20),"dd/mm/yy")&amp;" "&amp;Milestones!$AB$20&amp;" "&amp;Milestones!$AC$20&amp;";  ","")&amp;IF(AND(EDATE($D117,Milestones!$AA$21)&lt;=AsOfDate,IF($Q117=0,$W117,IF(AND($S117&lt;&gt;"",EDATE($D117,Milestones!$AA$21)&gt;=$S117),$V117,IF(AND($R117&lt;&gt;"",EDATE($D117,Milestones!$AA$21)&gt;=$R117),$U117,$T117)))=Milestones!$AB$21),TEXT(EDATE($D117,Milestones!$AA$21),"dd/mm/yy")&amp;" "&amp;Milestones!$AB$21&amp;" "&amp;Milestones!$AC$21&amp;";  ","")&amp;IF(AND(EDATE($D117,Milestones!$AA$22)&lt;=AsOfDate,IF($Q117=0,$W117,IF(AND($S117&lt;&gt;"",EDATE($D117,Milestones!$AA$22)&gt;=$S117),$V117,IF(AND($R117&lt;&gt;"",EDATE($D117,Milestones!$AA$22)&gt;=$R117),$U117,$T117)))=Milestones!$AB$22),TEXT(EDATE($D117,Milestones!$AA$22),"dd/mm/yy")&amp;" "&amp;Milestones!$AB$22&amp;" "&amp;Milestones!$AC$22&amp;";  ","")&amp;IF(AND(EDATE($D117,Milestones!$AA$23)&lt;=AsOfDate,IF($Q117=0,$W117,IF(AND($S117&lt;&gt;"",EDATE($D117,Milestones!$AA$23)&gt;=$S117),$V117,IF(AND($R117&lt;&gt;"",EDATE($D117,Milestones!$AA$23)&gt;=$R117),$U117,$T117)))=Milestones!$AB$23),TEXT(EDATE($D117,Milestones!$AA$23),"dd/mm/yy")&amp;" "&amp;Milestones!$AB$23&amp;" "&amp;Milestones!$AC$23&amp;";  ","")&amp;IF(AND(EDATE($D117,Milestones!$AA$24)&lt;=AsOfDate,IF($Q117=0,$W117,IF(AND($S117&lt;&gt;"",EDATE($D117,Milestones!$AA$24)&gt;=$S117),$V117,IF(AND($R117&lt;&gt;"",EDATE($D117,Milestones!$AA$24)&gt;=$R117),$U117,$T117)))=Milestones!$AB$24),TEXT(EDATE($D117,Milestones!$AA$24),"dd/mm/yy")&amp;" "&amp;Milestones!$AB$24&amp;" "&amp;Milestones!$AC$24&amp;";  ","")&amp;IF(AND(EDATE($D117,Milestones!$AA$25)&lt;=AsOfDate,IF($Q117=0,$W117,IF(AND($S117&lt;&gt;"",EDATE($D117,Milestones!$AA$25)&gt;=$S117),$V117,IF(AND($R117&lt;&gt;"",EDATE($D117,Milestones!$AA$25)&gt;=$R117),$U117,$T117)))=Milestones!$AB$25),TEXT(EDATE($D117,Milestones!$AA$25),"dd/mm/yy")&amp;" "&amp;Milestones!$AB$25&amp;" "&amp;Milestones!$AC$25&amp;";  ","")&amp;IF(AND(EDATE($D117,Milestones!$AA$26)&lt;=AsOfDate,IF($Q117=0,$W117,IF(AND($S117&lt;&gt;"",EDATE($D117,Milestones!$AA$26)&gt;=$S117),$V117,IF(AND($R117&lt;&gt;"",EDATE($D117,Milestones!$AA$26)&gt;=$R117),$U117,$T117)))=Milestones!$AB$26),TEXT(EDATE($D117,Milestones!$AA$26),"dd/mm/yy")&amp;" "&amp;Milestones!$AB$26&amp;" "&amp;Milestones!$AC$26&amp;";  ","")&amp;IF(AND(EDATE($D117,Milestones!$AA$27)&lt;=AsOfDate,IF($Q117=0,$W117,IF(AND($S117&lt;&gt;"",EDATE($D117,Milestones!$AA$27)&gt;=$S117),$V117,IF(AND($R117&lt;&gt;"",EDATE($D117,Milestones!$AA$27)&gt;=$R117),$U117,$T117)))=Milestones!$AB$27),TEXT(EDATE($D117,Milestones!$AA$27),"dd/mm/yy")&amp;" "&amp;Milestones!$AB$27&amp;" "&amp;Milestones!$AC$27&amp;";  ","")&amp;IF(AND(EDATE($D117,Milestones!$AA$28)&lt;=AsOfDate,IF($Q117=0,$W117,IF(AND($S117&lt;&gt;"",EDATE($D117,Milestones!$AA$28)&gt;=$S117),$V117,IF(AND($R117&lt;&gt;"",EDATE($D117,Milestones!$AA$28)&gt;=$R117),$U117,$T117)))=Milestones!$AB$28),TEXT(EDATE($D117,Milestones!$AA$28),"dd/mm/yy")&amp;" "&amp;Milestones!$AB$28&amp;" "&amp;Milestones!$AC$28&amp;";  ","")&amp;IF(AND(EDATE($D117,Milestones!$AA$29)&lt;=AsOfDate,IF($Q117=0,$W117,IF(AND($S117&lt;&gt;"",EDATE($D117,Milestones!$AA$29)&gt;=$S117),$V117,IF(AND($R117&lt;&gt;"",EDATE($D117,Milestones!$AA$29)&gt;=$R117),$U117,$T117)))=Milestones!$AB$29),TEXT(EDATE($D117,Milestones!$AA$29),"dd/mm/yy")&amp;" "&amp;Milestones!$AB$29&amp;" "&amp;Milestones!$AC$29&amp;";  ","")&amp;IF(AND(EDATE($D117,Milestones!$AA$30)&lt;=AsOfDate,IF($Q117=0,$W117,IF(AND($S117&lt;&gt;"",EDATE($D117,Milestones!$AA$30)&gt;=$S117),$V117,IF(AND($R117&lt;&gt;"",EDATE($D117,Milestones!$AA$30)&gt;=$R117),$U117,$T117)))=Milestones!$AB$30),TEXT(EDATE($D117,Milestones!$AA$30),"dd/mm/yy")&amp;" "&amp;Milestones!$AB$30&amp;" "&amp;Milestones!$AC$30&amp;";  ","")&amp;IF(AND(EDATE($D117,Milestones!$AA$31)&lt;=AsOfDate,IF($Q117=0,$W117,IF(AND($S117&lt;&gt;"",EDATE($D117,Milestones!$AA$31)&gt;=$S117),$V117,IF(AND($R117&lt;&gt;"",EDATE($D117,Milestones!$AA$31)&gt;=$R117),$U117,$T117)))=Milestones!$AB$31),TEXT(EDATE($D117,Milestones!$AA$31),"dd/mm/yy")&amp;" "&amp;Milestones!$AB$31&amp;" "&amp;Milestones!$AC$31&amp;";  ","")&amp;IF(AND(EDATE($D117,Milestones!$AA$32)&lt;=AsOfDate,IF($Q117=0,$W117,IF(AND($S117&lt;&gt;"",EDATE($D117,Milestones!$AA$32)&gt;=$S117),$V117,IF(AND($R117&lt;&gt;"",EDATE($D117,Milestones!$AA$32)&gt;=$R117),$U117,$T117)))=Milestones!$AB$32),TEXT(EDATE($D117,Milestones!$AA$32),"dd/mm/yy")&amp;" "&amp;Milestones!$AB$32&amp;" "&amp;Milestones!$AC$32&amp;";  ","")&amp;IF(AND(EDATE($D117,Milestones!$AA$33)&lt;=AsOfDate,IF($Q117=0,$W117,IF(AND($S117&lt;&gt;"",EDATE($D117,Milestones!$AA$33)&gt;=$S117),$V117,IF(AND($R117&lt;&gt;"",EDATE($D117,Milestones!$AA$33)&gt;=$R117),$U117,$T117)))=Milestones!$AB$33),TEXT(EDATE($D117,Milestones!$AA$33),"dd/mm/yy")&amp;" "&amp;Milestones!$AB$33&amp;" "&amp;Milestones!$AC$33&amp;";  ","")&amp;IF(AND(EDATE($D117,Milestones!$AA$34)&lt;=AsOfDate,IF($Q117=0,$W117,IF(AND($S117&lt;&gt;"",EDATE($D117,Milestones!$AA$34)&gt;=$S117),$V117,IF(AND($R117&lt;&gt;"",EDATE($D117,Milestones!$AA$34)&gt;=$R117),$U117,$T117)))=Milestones!$AB$34),TEXT(EDATE($D117,Milestones!$AA$34),"dd/mm/yy")&amp;" "&amp;Milestones!$AB$34&amp;" "&amp;Milestones!$AC$34&amp;";  ","")&amp;IF(AND(EDATE($D117,Milestones!$AA$35)&lt;=AsOfDate,IF($Q117=0,$W117,IF(AND($S117&lt;&gt;"",EDATE($D117,Milestones!$AA$35)&gt;=$S117),$V117,IF(AND($R117&lt;&gt;"",EDATE($D117,Milestones!$AA$35)&gt;=$R117),$U117,$T117)))=Milestones!$AB$35),TEXT(EDATE($D117,Milestones!$AA$35),"dd/mm/yy")&amp;" "&amp;Milestones!$AB$35&amp;" "&amp;Milestones!$AC$35&amp;";  ","")&amp;IF(AND(EDATE($D117,Milestones!$AA$36)&lt;=AsOfDate,IF($Q117=0,$W117,IF(AND($S117&lt;&gt;"",EDATE($D117,Milestones!$AA$36)&gt;=$S117),$V117,IF(AND($R117&lt;&gt;"",EDATE($D117,Milestones!$AA$36)&gt;=$R117),$U117,$T117)))=Milestones!$AB$36),TEXT(EDATE($D117,Milestones!$AA$36),"dd/mm/yy")&amp;" "&amp;Milestones!$AB$36&amp;" "&amp;Milestones!$AC$36&amp;";  ","")&amp;IF(AND(EDATE($D117,Milestones!$AA$37)&lt;=AsOfDate,IF($Q117=0,$W117,IF(AND($S117&lt;&gt;"",EDATE($D117,Milestones!$AA$37)&gt;=$S117),$V117,IF(AND($R117&lt;&gt;"",EDATE($D117,Milestones!$AA$37)&gt;=$R117),$U117,$T117)))=Milestones!$AB$37),TEXT(EDATE($D117,Milestones!$AA$37),"dd/mm/yy")&amp;" "&amp;Milestones!$AB$37&amp;" "&amp;Milestones!$AC$37&amp;";  ","")&amp;IF(AND(EDATE($D117,Milestones!$AA$38)&lt;=AsOfDate,IF($Q117=0,$W117,IF(AND($S117&lt;&gt;"",EDATE($D117,Milestones!$AA$38)&gt;=$S117),$V117,IF(AND($R117&lt;&gt;"",EDATE($D117,Milestones!$AA$38)&gt;=$R117),$U117,$T117)))=Milestones!$AB$38),TEXT(EDATE($D117,Milestones!$AA$38),"dd/mm/yy")&amp;" "&amp;Milestones!$AB$38&amp;" "&amp;Milestones!$AC$38&amp;";  ","")&amp;IF(AND(EDATE($D117,Milestones!$AA$39)&lt;=AsOfDate,IF($Q117=0,$W117,IF(AND($S117&lt;&gt;"",EDATE($D117,Milestones!$AA$39)&gt;=$S117),$V117,IF(AND($R117&lt;&gt;"",EDATE($D117,Milestones!$AA$39)&gt;=$R117),$U117,$T117)))=Milestones!$AB$39),TEXT(EDATE($D117,Milestones!$AA$39),"dd/mm/yy")&amp;" "&amp;Milestones!$AB$39&amp;" "&amp;Milestones!$AC$39&amp;";  ",""))</f>
        <v/>
      </c>
      <c r="I117" s="0" t="str">
        <f aca="false">IF(OR($A117="",$D117=""),"",IF(AND(EDATE($D117,Milestones!$AA$40)&lt;=AsOfDate,IF($Q117=0,$W117,IF(AND($S117&lt;&gt;"",EDATE($D117,Milestones!$AA$40)&gt;=$S117),$V117,IF(AND($R117&lt;&gt;"",EDATE($D117,Milestones!$AA$40)&gt;=$R117),$U117,$T117)))=Milestones!$AB$40),TEXT(EDATE($D117,Milestones!$AA$40),"dd/mm/yy")&amp;" "&amp;Milestones!$AB$40&amp;" "&amp;Milestones!$AC$40&amp;";  ","")&amp;IF(AND(EDATE($D117,Milestones!$AA$41)&lt;=AsOfDate,IF($Q117=0,$W117,IF(AND($S117&lt;&gt;"",EDATE($D117,Milestones!$AA$41)&gt;=$S117),$V117,IF(AND($R117&lt;&gt;"",EDATE($D117,Milestones!$AA$41)&gt;=$R117),$U117,$T117)))=Milestones!$AB$41),TEXT(EDATE($D117,Milestones!$AA$41),"dd/mm/yy")&amp;" "&amp;Milestones!$AB$41&amp;" "&amp;Milestones!$AC$41&amp;";  ","")&amp;IF(AND(EDATE($D117,Milestones!$AA$42)&lt;=AsOfDate,IF($Q117=0,$W117,IF(AND($S117&lt;&gt;"",EDATE($D117,Milestones!$AA$42)&gt;=$S117),$V117,IF(AND($R117&lt;&gt;"",EDATE($D117,Milestones!$AA$42)&gt;=$R117),$U117,$T117)))=Milestones!$AB$42),TEXT(EDATE($D117,Milestones!$AA$42),"dd/mm/yy")&amp;" "&amp;Milestones!$AB$42&amp;" "&amp;Milestones!$AC$42&amp;";  ","")&amp;IF(AND(EDATE($D117,Milestones!$AA$43)&lt;=AsOfDate,IF($Q117=0,$W117,IF(AND($S117&lt;&gt;"",EDATE($D117,Milestones!$AA$43)&gt;=$S117),$V117,IF(AND($R117&lt;&gt;"",EDATE($D117,Milestones!$AA$43)&gt;=$R117),$U117,$T117)))=Milestones!$AB$43),TEXT(EDATE($D117,Milestones!$AA$43),"dd/mm/yy")&amp;" "&amp;Milestones!$AB$43&amp;" "&amp;Milestones!$AC$43&amp;";  ","")&amp;IF(AND(EDATE($D117,Milestones!$AA$44)&lt;=AsOfDate,IF($Q117=0,$W117,IF(AND($S117&lt;&gt;"",EDATE($D117,Milestones!$AA$44)&gt;=$S117),$V117,IF(AND($R117&lt;&gt;"",EDATE($D117,Milestones!$AA$44)&gt;=$R117),$U117,$T117)))=Milestones!$AB$44),TEXT(EDATE($D117,Milestones!$AA$44),"dd/mm/yy")&amp;" "&amp;Milestones!$AB$44&amp;" "&amp;Milestones!$AC$44&amp;";  ","")&amp;IF(AND(EDATE($D117,Milestones!$AA$45)&lt;=AsOfDate,IF($Q117=0,$W117,IF(AND($S117&lt;&gt;"",EDATE($D117,Milestones!$AA$45)&gt;=$S117),$V117,IF(AND($R117&lt;&gt;"",EDATE($D117,Milestones!$AA$45)&gt;=$R117),$U117,$T117)))=Milestones!$AB$45),TEXT(EDATE($D117,Milestones!$AA$45),"dd/mm/yy")&amp;" "&amp;Milestones!$AB$45&amp;" "&amp;Milestones!$AC$45&amp;";  ","")&amp;IF(AND(EDATE($D117,Milestones!$AA$46)&lt;=AsOfDate,IF($Q117=0,$W117,IF(AND($S117&lt;&gt;"",EDATE($D117,Milestones!$AA$46)&gt;=$S117),$V117,IF(AND($R117&lt;&gt;"",EDATE($D117,Milestones!$AA$46)&gt;=$R117),$U117,$T117)))=Milestones!$AB$46),TEXT(EDATE($D117,Milestones!$AA$46),"dd/mm/yy")&amp;" "&amp;Milestones!$AB$46&amp;" "&amp;Milestones!$AC$46&amp;";  ","")&amp;IF(AND(EDATE($D117,Milestones!$AA$47)&lt;=AsOfDate,IF($Q117=0,$W117,IF(AND($S117&lt;&gt;"",EDATE($D117,Milestones!$AA$47)&gt;=$S117),$V117,IF(AND($R117&lt;&gt;"",EDATE($D117,Milestones!$AA$47)&gt;=$R117),$U117,$T117)))=Milestones!$AB$47),TEXT(EDATE($D117,Milestones!$AA$47),"dd/mm/yy")&amp;" "&amp;Milestones!$AB$47&amp;" "&amp;Milestones!$AC$47&amp;";  ","")&amp;IF(AND(EDATE($D117,Milestones!$AA$48)&lt;=AsOfDate,IF($Q117=0,$W117,IF(AND($S117&lt;&gt;"",EDATE($D117,Milestones!$AA$48)&gt;=$S117),$V117,IF(AND($R117&lt;&gt;"",EDATE($D117,Milestones!$AA$48)&gt;=$R117),$U117,$T117)))=Milestones!$AB$48),TEXT(EDATE($D117,Milestones!$AA$48),"dd/mm/yy")&amp;" "&amp;Milestones!$AB$48&amp;" "&amp;Milestones!$AC$48&amp;";  ","")&amp;IF(AND(EDATE($D117,Milestones!$AA$49)&lt;=AsOfDate,IF($Q117=0,$W117,IF(AND($S117&lt;&gt;"",EDATE($D117,Milestones!$AA$49)&gt;=$S117),$V117,IF(AND($R117&lt;&gt;"",EDATE($D117,Milestones!$AA$49)&gt;=$R117),$U117,$T117)))=Milestones!$AB$49),TEXT(EDATE($D117,Milestones!$AA$49),"dd/mm/yy")&amp;" "&amp;Milestones!$AB$49&amp;" "&amp;Milestones!$AC$49&amp;";  ","")&amp;IF(AND(EDATE($D117,Milestones!$AA$50)&lt;=AsOfDate,IF($Q117=0,$W117,IF(AND($S117&lt;&gt;"",EDATE($D117,Milestones!$AA$50)&gt;=$S117),$V117,IF(AND($R117&lt;&gt;"",EDATE($D117,Milestones!$AA$50)&gt;=$R117),$U117,$T117)))=Milestones!$AB$50),TEXT(EDATE($D117,Milestones!$AA$50),"dd/mm/yy")&amp;" "&amp;Milestones!$AB$50&amp;" "&amp;Milestones!$AC$50&amp;";  ","")&amp;IF(AND(EDATE($D117,Milestones!$AA$51)&lt;=AsOfDate,IF($Q117=0,$W117,IF(AND($S117&lt;&gt;"",EDATE($D117,Milestones!$AA$51)&gt;=$S117),$V117,IF(AND($R117&lt;&gt;"",EDATE($D117,Milestones!$AA$51)&gt;=$R117),$U117,$T117)))=Milestones!$AB$51),TEXT(EDATE($D117,Milestones!$AA$51),"dd/mm/yy")&amp;" "&amp;Milestones!$AB$51&amp;" "&amp;Milestones!$AC$51&amp;";  ","")&amp;IF(AND(EDATE($D117,Milestones!$AA$52)&lt;=AsOfDate,IF($Q117=0,$W117,IF(AND($S117&lt;&gt;"",EDATE($D117,Milestones!$AA$52)&gt;=$S117),$V117,IF(AND($R117&lt;&gt;"",EDATE($D117,Milestones!$AA$52)&gt;=$R117),$U117,$T117)))=Milestones!$AB$52),TEXT(EDATE($D117,Milestones!$AA$52),"dd/mm/yy")&amp;" "&amp;Milestones!$AB$52&amp;" "&amp;Milestones!$AC$52&amp;";  ","")&amp;IF(AND(EDATE($D117,Milestones!$AA$53)&lt;=AsOfDate,IF($Q117=0,$W117,IF(AND($S117&lt;&gt;"",EDATE($D117,Milestones!$AA$53)&gt;=$S117),$V117,IF(AND($R117&lt;&gt;"",EDATE($D117,Milestones!$AA$53)&gt;=$R117),$U117,$T117)))=Milestones!$AB$53),TEXT(EDATE($D117,Milestones!$AA$53),"dd/mm/yy")&amp;" "&amp;Milestones!$AB$53&amp;" "&amp;Milestones!$AC$53&amp;";  ","")&amp;IF(AND(EDATE($D117,Milestones!$AA$54)&lt;=AsOfDate,IF($Q117=0,$W117,IF(AND($S117&lt;&gt;"",EDATE($D117,Milestones!$AA$54)&gt;=$S117),$V117,IF(AND($R117&lt;&gt;"",EDATE($D117,Milestones!$AA$54)&gt;=$R117),$U117,$T117)))=Milestones!$AB$54),TEXT(EDATE($D117,Milestones!$AA$54),"dd/mm/yy")&amp;" "&amp;Milestones!$AB$54&amp;" "&amp;Milestones!$AC$54&amp;";  ","")&amp;IF(AND(EDATE($D117,Milestones!$AA$55)&lt;=AsOfDate,IF($Q117=0,$W117,IF(AND($S117&lt;&gt;"",EDATE($D117,Milestones!$AA$55)&gt;=$S117),$V117,IF(AND($R117&lt;&gt;"",EDATE($D117,Milestones!$AA$55)&gt;=$R117),$U117,$T117)))=Milestones!$AB$55),TEXT(EDATE($D117,Milestones!$AA$55),"dd/mm/yy")&amp;" "&amp;Milestones!$AB$55&amp;" "&amp;Milestones!$AC$55&amp;";  ","")&amp;IF(AND(EDATE($D117,Milestones!$AA$56)&lt;=AsOfDate,IF($Q117=0,$W117,IF(AND($S117&lt;&gt;"",EDATE($D117,Milestones!$AA$56)&gt;=$S117),$V117,IF(AND($R117&lt;&gt;"",EDATE($D117,Milestones!$AA$56)&gt;=$R117),$U117,$T117)))=Milestones!$AB$56),TEXT(EDATE($D117,Milestones!$AA$56),"dd/mm/yy")&amp;" "&amp;Milestones!$AB$56&amp;" "&amp;Milestones!$AC$56&amp;";  ","")&amp;IF(AND(EDATE($D117,Milestones!$AA$57)&lt;=AsOfDate,IF($Q117=0,$W117,IF(AND($S117&lt;&gt;"",EDATE($D117,Milestones!$AA$57)&gt;=$S117),$V117,IF(AND($R117&lt;&gt;"",EDATE($D117,Milestones!$AA$57)&gt;=$R117),$U117,$T117)))=Milestones!$AB$57),TEXT(EDATE($D117,Milestones!$AA$57),"dd/mm/yy")&amp;" "&amp;Milestones!$AB$57&amp;" "&amp;Milestones!$AC$57&amp;";  ","")&amp;IF(AND(EDATE($D117,Milestones!$AA$58)&lt;=AsOfDate,IF($Q117=0,$W117,IF(AND($S117&lt;&gt;"",EDATE($D117,Milestones!$AA$58)&gt;=$S117),$V117,IF(AND($R117&lt;&gt;"",EDATE($D117,Milestones!$AA$58)&gt;=$R117),$U117,$T117)))=Milestones!$AB$58),TEXT(EDATE($D117,Milestones!$AA$58),"dd/mm/yy")&amp;" "&amp;Milestones!$AB$58&amp;" "&amp;Milestones!$AC$58&amp;";  ","")&amp;IF(AND(EDATE($D117,Milestones!$AA$59)&lt;=AsOfDate,IF($Q117=0,$W117,IF(AND($S117&lt;&gt;"",EDATE($D117,Milestones!$AA$59)&gt;=$S117),$V117,IF(AND($R117&lt;&gt;"",EDATE($D117,Milestones!$AA$59)&gt;=$R117),$U117,$T117)))=Milestones!$AB$59),TEXT(EDATE($D117,Milestones!$AA$59),"dd/mm/yy")&amp;" "&amp;Milestones!$AB$59&amp;" "&amp;Milestones!$AC$59&amp;";  ",""))</f>
        <v/>
      </c>
      <c r="J117" s="0" t="str">
        <f aca="false">IF(OR($A117="",$D117=""),"",IF(AND(EDATE($D117,Milestones!$AA$60)&lt;=AsOfDate,IF($Q117=0,$W117,IF(AND($S117&lt;&gt;"",EDATE($D117,Milestones!$AA$60)&gt;=$S117),$V117,IF(AND($R117&lt;&gt;"",EDATE($D117,Milestones!$AA$60)&gt;=$R117),$U117,$T117)))=Milestones!$AB$60),TEXT(EDATE($D117,Milestones!$AA$60),"dd/mm/yy")&amp;" "&amp;Milestones!$AB$60&amp;" "&amp;Milestones!$AC$60&amp;";  ","")&amp;IF(AND(EDATE($D117,Milestones!$AA$61)&lt;=AsOfDate,IF($Q117=0,$W117,IF(AND($S117&lt;&gt;"",EDATE($D117,Milestones!$AA$61)&gt;=$S117),$V117,IF(AND($R117&lt;&gt;"",EDATE($D117,Milestones!$AA$61)&gt;=$R117),$U117,$T117)))=Milestones!$AB$61),TEXT(EDATE($D117,Milestones!$AA$61),"dd/mm/yy")&amp;" "&amp;Milestones!$AB$61&amp;" "&amp;Milestones!$AC$61&amp;";  ","")&amp;IF(AND(EDATE($D117,Milestones!$AA$62)&lt;=AsOfDate,IF($Q117=0,$W117,IF(AND($S117&lt;&gt;"",EDATE($D117,Milestones!$AA$62)&gt;=$S117),$V117,IF(AND($R117&lt;&gt;"",EDATE($D117,Milestones!$AA$62)&gt;=$R117),$U117,$T117)))=Milestones!$AB$62),TEXT(EDATE($D117,Milestones!$AA$62),"dd/mm/yy")&amp;" "&amp;Milestones!$AB$62&amp;" "&amp;Milestones!$AC$62&amp;";  ","")&amp;IF(AND(EDATE($D117,Milestones!$AA$63)&lt;=AsOfDate,IF($Q117=0,$W117,IF(AND($S117&lt;&gt;"",EDATE($D117,Milestones!$AA$63)&gt;=$S117),$V117,IF(AND($R117&lt;&gt;"",EDATE($D117,Milestones!$AA$63)&gt;=$R117),$U117,$T117)))=Milestones!$AB$63),TEXT(EDATE($D117,Milestones!$AA$63),"dd/mm/yy")&amp;" "&amp;Milestones!$AB$63&amp;" "&amp;Milestones!$AC$63&amp;";  ","")&amp;IF(AND(EDATE($D117,Milestones!$AA$64)&lt;=AsOfDate,IF($Q117=0,$W117,IF(AND($S117&lt;&gt;"",EDATE($D117,Milestones!$AA$64)&gt;=$S117),$V117,IF(AND($R117&lt;&gt;"",EDATE($D117,Milestones!$AA$64)&gt;=$R117),$U117,$T117)))=Milestones!$AB$64),TEXT(EDATE($D117,Milestones!$AA$64),"dd/mm/yy")&amp;" "&amp;Milestones!$AB$64&amp;" "&amp;Milestones!$AC$64&amp;";  ","")&amp;IF(AND(EDATE($D117,Milestones!$AA$65)&lt;=AsOfDate,IF($Q117=0,$W117,IF(AND($S117&lt;&gt;"",EDATE($D117,Milestones!$AA$65)&gt;=$S117),$V117,IF(AND($R117&lt;&gt;"",EDATE($D117,Milestones!$AA$65)&gt;=$R117),$U117,$T117)))=Milestones!$AB$65),TEXT(EDATE($D117,Milestones!$AA$65),"dd/mm/yy")&amp;" "&amp;Milestones!$AB$65&amp;" "&amp;Milestones!$AC$65&amp;";  ","")&amp;IF(AND(EDATE($D117,Milestones!$AA$66)&lt;=AsOfDate,IF($Q117=0,$W117,IF(AND($S117&lt;&gt;"",EDATE($D117,Milestones!$AA$66)&gt;=$S117),$V117,IF(AND($R117&lt;&gt;"",EDATE($D117,Milestones!$AA$66)&gt;=$R117),$U117,$T117)))=Milestones!$AB$66),TEXT(EDATE($D117,Milestones!$AA$66),"dd/mm/yy")&amp;" "&amp;Milestones!$AB$66&amp;" "&amp;Milestones!$AC$66&amp;";  ","")&amp;IF(AND(EDATE($D117,Milestones!$AA$67)&lt;=AsOfDate,IF($Q117=0,$W117,IF(AND($S117&lt;&gt;"",EDATE($D117,Milestones!$AA$67)&gt;=$S117),$V117,IF(AND($R117&lt;&gt;"",EDATE($D117,Milestones!$AA$67)&gt;=$R117),$U117,$T117)))=Milestones!$AB$67),TEXT(EDATE($D117,Milestones!$AA$67),"dd/mm/yy")&amp;" "&amp;Milestones!$AB$67&amp;" "&amp;Milestones!$AC$67&amp;";  ","")&amp;IF(AND(EDATE($D117,Milestones!$AA$68)&lt;=AsOfDate,IF($Q117=0,$W117,IF(AND($S117&lt;&gt;"",EDATE($D117,Milestones!$AA$68)&gt;=$S117),$V117,IF(AND($R117&lt;&gt;"",EDATE($D117,Milestones!$AA$68)&gt;=$R117),$U117,$T117)))=Milestones!$AB$68),TEXT(EDATE($D117,Milestones!$AA$68),"dd/mm/yy")&amp;" "&amp;Milestones!$AB$68&amp;" "&amp;Milestones!$AC$68&amp;";  ","")&amp;IF(AND(EDATE($D117,Milestones!$AA$69)&lt;=AsOfDate,IF($Q117=0,$W117,IF(AND($S117&lt;&gt;"",EDATE($D117,Milestones!$AA$69)&gt;=$S117),$V117,IF(AND($R117&lt;&gt;"",EDATE($D117,Milestones!$AA$69)&gt;=$R117),$U117,$T117)))=Milestones!$AB$69),TEXT(EDATE($D117,Milestones!$AA$69),"dd/mm/yy")&amp;" "&amp;Milestones!$AB$69&amp;" "&amp;Milestones!$AC$69&amp;";  ","")&amp;IF(AND(EDATE($D117,Milestones!$AA$70)&lt;=AsOfDate,IF($Q117=0,$W117,IF(AND($S117&lt;&gt;"",EDATE($D117,Milestones!$AA$70)&gt;=$S117),$V117,IF(AND($R117&lt;&gt;"",EDATE($D117,Milestones!$AA$70)&gt;=$R117),$U117,$T117)))=Milestones!$AB$70),TEXT(EDATE($D117,Milestones!$AA$70),"dd/mm/yy")&amp;" "&amp;Milestones!$AB$70&amp;" "&amp;Milestones!$AC$70&amp;";  ","")&amp;IF(AND(EDATE($D117,Milestones!$AA$71)&lt;=AsOfDate,IF($Q117=0,$W117,IF(AND($S117&lt;&gt;"",EDATE($D117,Milestones!$AA$71)&gt;=$S117),$V117,IF(AND($R117&lt;&gt;"",EDATE($D117,Milestones!$AA$71)&gt;=$R117),$U117,$T117)))=Milestones!$AB$71),TEXT(EDATE($D117,Milestones!$AA$71),"dd/mm/yy")&amp;" "&amp;Milestones!$AB$71&amp;" "&amp;Milestones!$AC$71&amp;";  ","")&amp;IF(AND(EDATE($D117,Milestones!$AA$72)&lt;=AsOfDate,IF($Q117=0,$W117,IF(AND($S117&lt;&gt;"",EDATE($D117,Milestones!$AA$72)&gt;=$S117),$V117,IF(AND($R117&lt;&gt;"",EDATE($D117,Milestones!$AA$72)&gt;=$R117),$U117,$T117)))=Milestones!$AB$72),TEXT(EDATE($D117,Milestones!$AA$72),"dd/mm/yy")&amp;" "&amp;Milestones!$AB$72&amp;" "&amp;Milestones!$AC$72&amp;";  ","")&amp;IF(AND(EDATE($D117,Milestones!$AA$73)&lt;=AsOfDate,IF($Q117=0,$W117,IF(AND($S117&lt;&gt;"",EDATE($D117,Milestones!$AA$73)&gt;=$S117),$V117,IF(AND($R117&lt;&gt;"",EDATE($D117,Milestones!$AA$73)&gt;=$R117),$U117,$T117)))=Milestones!$AB$73),TEXT(EDATE($D117,Milestones!$AA$73),"dd/mm/yy")&amp;" "&amp;Milestones!$AB$73&amp;" "&amp;Milestones!$AC$73&amp;";  ","")&amp;IF(AND(EDATE($D117,Milestones!$AA$74)&lt;=AsOfDate,IF($Q117=0,$W117,IF(AND($S117&lt;&gt;"",EDATE($D117,Milestones!$AA$74)&gt;=$S117),$V117,IF(AND($R117&lt;&gt;"",EDATE($D117,Milestones!$AA$74)&gt;=$R117),$U117,$T117)))=Milestones!$AB$74),TEXT(EDATE($D117,Milestones!$AA$74),"dd/mm/yy")&amp;" "&amp;Milestones!$AB$74&amp;" "&amp;Milestones!$AC$74&amp;";  ","")&amp;IF(AND(EDATE($D117,Milestones!$AA$75)&lt;=AsOfDate,IF($Q117=0,$W117,IF(AND($S117&lt;&gt;"",EDATE($D117,Milestones!$AA$75)&gt;=$S117),$V117,IF(AND($R117&lt;&gt;"",EDATE($D117,Milestones!$AA$75)&gt;=$R117),$U117,$T117)))=Milestones!$AB$75),TEXT(EDATE($D117,Milestones!$AA$75),"dd/mm/yy")&amp;" "&amp;Milestones!$AB$75&amp;" "&amp;Milestones!$AC$75&amp;";  ","")&amp;IF(AND(EDATE($D117,Milestones!$AA$76)&lt;=AsOfDate,IF($Q117=0,$W117,IF(AND($S117&lt;&gt;"",EDATE($D117,Milestones!$AA$76)&gt;=$S117),$V117,IF(AND($R117&lt;&gt;"",EDATE($D117,Milestones!$AA$76)&gt;=$R117),$U117,$T117)))=Milestones!$AB$76),TEXT(EDATE($D117,Milestones!$AA$76),"dd/mm/yy")&amp;" "&amp;Milestones!$AB$76&amp;" "&amp;Milestones!$AC$76&amp;";  ","")&amp;IF(AND(EDATE($D117,Milestones!$AA$77)&lt;=AsOfDate,IF($Q117=0,$W117,IF(AND($S117&lt;&gt;"",EDATE($D117,Milestones!$AA$77)&gt;=$S117),$V117,IF(AND($R117&lt;&gt;"",EDATE($D117,Milestones!$AA$77)&gt;=$R117),$U117,$T117)))=Milestones!$AB$77),TEXT(EDATE($D117,Milestones!$AA$77),"dd/mm/yy")&amp;" "&amp;Milestones!$AB$77&amp;" "&amp;Milestones!$AC$77&amp;";  ","")&amp;IF(AND(EDATE($D117,Milestones!$AA$78)&lt;=AsOfDate,IF($Q117=0,$W117,IF(AND($S117&lt;&gt;"",EDATE($D117,Milestones!$AA$78)&gt;=$S117),$V117,IF(AND($R117&lt;&gt;"",EDATE($D117,Milestones!$AA$78)&gt;=$R117),$U117,$T117)))=Milestones!$AB$78),TEXT(EDATE($D117,Milestones!$AA$78),"dd/mm/yy")&amp;" "&amp;Milestones!$AB$78&amp;" "&amp;Milestones!$AC$78&amp;";  ","")&amp;IF(AND(EDATE($D117,Milestones!$AA$79)&lt;=AsOfDate,IF($Q117=0,$W117,IF(AND($S117&lt;&gt;"",EDATE($D117,Milestones!$AA$79)&gt;=$S117),$V117,IF(AND($R117&lt;&gt;"",EDATE($D117,Milestones!$AA$79)&gt;=$R117),$U117,$T117)))=Milestones!$AB$79),TEXT(EDATE($D117,Milestones!$AA$79),"dd/mm/yy")&amp;" "&amp;Milestones!$AB$79&amp;" "&amp;Milestones!$AC$79&amp;";  ",""))</f>
        <v/>
      </c>
      <c r="K117" s="0" t="str">
        <f aca="false">IF(OR($A117="",$D117=""),"",IF(AND(EDATE($D117,Milestones!$AA$80)&lt;=AsOfDate,IF($Q117=0,$W117,IF(AND($S117&lt;&gt;"",EDATE($D117,Milestones!$AA$80)&gt;=$S117),$V117,IF(AND($R117&lt;&gt;"",EDATE($D117,Milestones!$AA$80)&gt;=$R117),$U117,$T117)))=Milestones!$AB$80),TEXT(EDATE($D117,Milestones!$AA$80),"dd/mm/yy")&amp;" "&amp;Milestones!$AB$80&amp;" "&amp;Milestones!$AC$80&amp;";  ","")&amp;IF(AND(EDATE($D117,Milestones!$AA$81)&lt;=AsOfDate,IF($Q117=0,$W117,IF(AND($S117&lt;&gt;"",EDATE($D117,Milestones!$AA$81)&gt;=$S117),$V117,IF(AND($R117&lt;&gt;"",EDATE($D117,Milestones!$AA$81)&gt;=$R117),$U117,$T117)))=Milestones!$AB$81),TEXT(EDATE($D117,Milestones!$AA$81),"dd/mm/yy")&amp;" "&amp;Milestones!$AB$81&amp;" "&amp;Milestones!$AC$81&amp;";  ","")&amp;IF(AND(EDATE($D117,Milestones!$AA$82)&lt;=AsOfDate,IF($Q117=0,$W117,IF(AND($S117&lt;&gt;"",EDATE($D117,Milestones!$AA$82)&gt;=$S117),$V117,IF(AND($R117&lt;&gt;"",EDATE($D117,Milestones!$AA$82)&gt;=$R117),$U117,$T117)))=Milestones!$AB$82),TEXT(EDATE($D117,Milestones!$AA$82),"dd/mm/yy")&amp;" "&amp;Milestones!$AB$82&amp;" "&amp;Milestones!$AC$82&amp;";  ","")&amp;IF(AND(EDATE($D117,Milestones!$AA$83)&lt;=AsOfDate,IF($Q117=0,$W117,IF(AND($S117&lt;&gt;"",EDATE($D117,Milestones!$AA$83)&gt;=$S117),$V117,IF(AND($R117&lt;&gt;"",EDATE($D117,Milestones!$AA$83)&gt;=$R117),$U117,$T117)))=Milestones!$AB$83),TEXT(EDATE($D117,Milestones!$AA$83),"dd/mm/yy")&amp;" "&amp;Milestones!$AB$83&amp;" "&amp;Milestones!$AC$83&amp;";  ","")&amp;IF(AND(EDATE($D117,Milestones!$AA$84)&lt;=AsOfDate,IF($Q117=0,$W117,IF(AND($S117&lt;&gt;"",EDATE($D117,Milestones!$AA$84)&gt;=$S117),$V117,IF(AND($R117&lt;&gt;"",EDATE($D117,Milestones!$AA$84)&gt;=$R117),$U117,$T117)))=Milestones!$AB$84),TEXT(EDATE($D117,Milestones!$AA$84),"dd/mm/yy")&amp;" "&amp;Milestones!$AB$84&amp;" "&amp;Milestones!$AC$84&amp;";  ","")&amp;IF(AND(EDATE($D117,Milestones!$AA$85)&lt;=AsOfDate,IF($Q117=0,$W117,IF(AND($S117&lt;&gt;"",EDATE($D117,Milestones!$AA$85)&gt;=$S117),$V117,IF(AND($R117&lt;&gt;"",EDATE($D117,Milestones!$AA$85)&gt;=$R117),$U117,$T117)))=Milestones!$AB$85),TEXT(EDATE($D117,Milestones!$AA$85),"dd/mm/yy")&amp;" "&amp;Milestones!$AB$85&amp;" "&amp;Milestones!$AC$85&amp;";  ","")&amp;IF(AND(EDATE($D117,Milestones!$AA$86)&lt;=AsOfDate,IF($Q117=0,$W117,IF(AND($S117&lt;&gt;"",EDATE($D117,Milestones!$AA$86)&gt;=$S117),$V117,IF(AND($R117&lt;&gt;"",EDATE($D117,Milestones!$AA$86)&gt;=$R117),$U117,$T117)))=Milestones!$AB$86),TEXT(EDATE($D117,Milestones!$AA$86),"dd/mm/yy")&amp;" "&amp;Milestones!$AB$86&amp;" "&amp;Milestones!$AC$86&amp;";  ","")&amp;IF(AND(EDATE($D117,Milestones!$AA$87)&lt;=AsOfDate,IF($Q117=0,$W117,IF(AND($S117&lt;&gt;"",EDATE($D117,Milestones!$AA$87)&gt;=$S117),$V117,IF(AND($R117&lt;&gt;"",EDATE($D117,Milestones!$AA$87)&gt;=$R117),$U117,$T117)))=Milestones!$AB$87),TEXT(EDATE($D117,Milestones!$AA$87),"dd/mm/yy")&amp;" "&amp;Milestones!$AB$87&amp;" "&amp;Milestones!$AC$87&amp;";  ","")&amp;IF(AND(EDATE($D117,Milestones!$AA$88)&lt;=AsOfDate,IF($Q117=0,$W117,IF(AND($S117&lt;&gt;"",EDATE($D117,Milestones!$AA$88)&gt;=$S117),$V117,IF(AND($R117&lt;&gt;"",EDATE($D117,Milestones!$AA$88)&gt;=$R117),$U117,$T117)))=Milestones!$AB$88),TEXT(EDATE($D117,Milestones!$AA$88),"dd/mm/yy")&amp;" "&amp;Milestones!$AB$88&amp;" "&amp;Milestones!$AC$88&amp;";  ","")&amp;IF(AND(EDATE($D117,Milestones!$AA$89)&lt;=AsOfDate,IF($Q117=0,$W117,IF(AND($S117&lt;&gt;"",EDATE($D117,Milestones!$AA$89)&gt;=$S117),$V117,IF(AND($R117&lt;&gt;"",EDATE($D117,Milestones!$AA$89)&gt;=$R117),$U117,$T117)))=Milestones!$AB$89),TEXT(EDATE($D117,Milestones!$AA$89),"dd/mm/yy")&amp;" "&amp;Milestones!$AB$89&amp;" "&amp;Milestones!$AC$89&amp;";  ","")&amp;IF(AND(EDATE($D117,Milestones!$AA$90)&lt;=AsOfDate,IF($Q117=0,$W117,IF(AND($S117&lt;&gt;"",EDATE($D117,Milestones!$AA$90)&gt;=$S117),$V117,IF(AND($R117&lt;&gt;"",EDATE($D117,Milestones!$AA$90)&gt;=$R117),$U117,$T117)))=Milestones!$AB$90),TEXT(EDATE($D117,Milestones!$AA$90),"dd/mm/yy")&amp;" "&amp;Milestones!$AB$90&amp;" "&amp;Milestones!$AC$90&amp;";  ","")&amp;IF(AND(EDATE($D117,Milestones!$AA$91)&lt;=AsOfDate,IF($Q117=0,$W117,IF(AND($S117&lt;&gt;"",EDATE($D117,Milestones!$AA$91)&gt;=$S117),$V117,IF(AND($R117&lt;&gt;"",EDATE($D117,Milestones!$AA$91)&gt;=$R117),$U117,$T117)))=Milestones!$AB$91),TEXT(EDATE($D117,Milestones!$AA$91),"dd/mm/yy")&amp;" "&amp;Milestones!$AB$91&amp;" "&amp;Milestones!$AC$91&amp;";  ","")&amp;IF(AND(EDATE($D117,Milestones!$AA$92)&lt;=AsOfDate,IF($Q117=0,$W117,IF(AND($S117&lt;&gt;"",EDATE($D117,Milestones!$AA$92)&gt;=$S117),$V117,IF(AND($R117&lt;&gt;"",EDATE($D117,Milestones!$AA$92)&gt;=$R117),$U117,$T117)))=Milestones!$AB$92),TEXT(EDATE($D117,Milestones!$AA$92),"dd/mm/yy")&amp;" "&amp;Milestones!$AB$92&amp;" "&amp;Milestones!$AC$92&amp;";  ","")&amp;IF(AND(EDATE($D117,Milestones!$AA$93)&lt;=AsOfDate,IF($Q117=0,$W117,IF(AND($S117&lt;&gt;"",EDATE($D117,Milestones!$AA$93)&gt;=$S117),$V117,IF(AND($R117&lt;&gt;"",EDATE($D117,Milestones!$AA$93)&gt;=$R117),$U117,$T117)))=Milestones!$AB$93),TEXT(EDATE($D117,Milestones!$AA$93),"dd/mm/yy")&amp;" "&amp;Milestones!$AB$93&amp;" "&amp;Milestones!$AC$93&amp;";  ","")&amp;IF(AND(EDATE($D117,Milestones!$AA$94)&lt;=AsOfDate,IF($Q117=0,$W117,IF(AND($S117&lt;&gt;"",EDATE($D117,Milestones!$AA$94)&gt;=$S117),$V117,IF(AND($R117&lt;&gt;"",EDATE($D117,Milestones!$AA$94)&gt;=$R117),$U117,$T117)))=Milestones!$AB$94),TEXT(EDATE($D117,Milestones!$AA$94),"dd/mm/yy")&amp;" "&amp;Milestones!$AB$94&amp;" "&amp;Milestones!$AC$94&amp;";  ","")&amp;IF(AND(EDATE($D117,Milestones!$AA$95)&lt;=AsOfDate,IF($Q117=0,$W117,IF(AND($S117&lt;&gt;"",EDATE($D117,Milestones!$AA$95)&gt;=$S117),$V117,IF(AND($R117&lt;&gt;"",EDATE($D117,Milestones!$AA$95)&gt;=$R117),$U117,$T117)))=Milestones!$AB$95),TEXT(EDATE($D117,Milestones!$AA$95),"dd/mm/yy")&amp;" "&amp;Milestones!$AB$95&amp;" "&amp;Milestones!$AC$95&amp;";  ","")&amp;IF(AND(EDATE($D117,Milestones!$AA$96)&lt;=AsOfDate,IF($Q117=0,$W117,IF(AND($S117&lt;&gt;"",EDATE($D117,Milestones!$AA$96)&gt;=$S117),$V117,IF(AND($R117&lt;&gt;"",EDATE($D117,Milestones!$AA$96)&gt;=$R117),$U117,$T117)))=Milestones!$AB$96),TEXT(EDATE($D117,Milestones!$AA$96),"dd/mm/yy")&amp;" "&amp;Milestones!$AB$96&amp;" "&amp;Milestones!$AC$96&amp;";  ","")&amp;IF(AND(EDATE($D117,Milestones!$AA$97)&lt;=AsOfDate,IF($Q117=0,$W117,IF(AND($S117&lt;&gt;"",EDATE($D117,Milestones!$AA$97)&gt;=$S117),$V117,IF(AND($R117&lt;&gt;"",EDATE($D117,Milestones!$AA$97)&gt;=$R117),$U117,$T117)))=Milestones!$AB$97),TEXT(EDATE($D117,Milestones!$AA$97),"dd/mm/yy")&amp;" "&amp;Milestones!$AB$97&amp;" "&amp;Milestones!$AC$97&amp;";  ","")&amp;IF(AND(EDATE($D117,Milestones!$AA$98)&lt;=AsOfDate,IF($Q117=0,$W117,IF(AND($S117&lt;&gt;"",EDATE($D117,Milestones!$AA$98)&gt;=$S117),$V117,IF(AND($R117&lt;&gt;"",EDATE($D117,Milestones!$AA$98)&gt;=$R117),$U117,$T117)))=Milestones!$AB$98),TEXT(EDATE($D117,Milestones!$AA$98),"dd/mm/yy")&amp;" "&amp;Milestones!$AB$98&amp;" "&amp;Milestones!$AC$98&amp;";  ","")&amp;IF(AND(EDATE($D117,Milestones!$AA$99)&lt;=AsOfDate,IF($Q117=0,$W117,IF(AND($S117&lt;&gt;"",EDATE($D117,Milestones!$AA$99)&gt;=$S117),$V117,IF(AND($R117&lt;&gt;"",EDATE($D117,Milestones!$AA$99)&gt;=$R117),$U117,$T117)))=Milestones!$AB$99),TEXT(EDATE($D117,Milestones!$AA$99),"dd/mm/yy")&amp;" "&amp;Milestones!$AB$99&amp;" "&amp;Milestones!$AC$99&amp;";  ",""))</f>
        <v/>
      </c>
      <c r="L117" s="0" t="str">
        <f aca="false">IF(OR($A117="",$D117=""),"",IF(AND(EDATE($D117,Milestones!$AA$100)&lt;=AsOfDate,IF($Q117=0,$W117,IF(AND($S117&lt;&gt;"",EDATE($D117,Milestones!$AA$100)&gt;=$S117),$V117,IF(AND($R117&lt;&gt;"",EDATE($D117,Milestones!$AA$100)&gt;=$R117),$U117,$T117)))=Milestones!$AB$100),TEXT(EDATE($D117,Milestones!$AA$100),"dd/mm/yy")&amp;" "&amp;Milestones!$AB$100&amp;" "&amp;Milestones!$AC$100&amp;";  ","")&amp;IF(AND(EDATE($D117,Milestones!$AA$101)&lt;=AsOfDate,IF($Q117=0,$W117,IF(AND($S117&lt;&gt;"",EDATE($D117,Milestones!$AA$101)&gt;=$S117),$V117,IF(AND($R117&lt;&gt;"",EDATE($D117,Milestones!$AA$101)&gt;=$R117),$U117,$T117)))=Milestones!$AB$101),TEXT(EDATE($D117,Milestones!$AA$101),"dd/mm/yy")&amp;" "&amp;Milestones!$AB$101&amp;" "&amp;Milestones!$AC$101&amp;";  ","")&amp;IF(AND(EDATE($D117,Milestones!$AA$102)&lt;=AsOfDate,IF($Q117=0,$W117,IF(AND($S117&lt;&gt;"",EDATE($D117,Milestones!$AA$102)&gt;=$S117),$V117,IF(AND($R117&lt;&gt;"",EDATE($D117,Milestones!$AA$102)&gt;=$R117),$U117,$T117)))=Milestones!$AB$102),TEXT(EDATE($D117,Milestones!$AA$102),"dd/mm/yy")&amp;" "&amp;Milestones!$AB$102&amp;" "&amp;Milestones!$AC$102&amp;";  ","")&amp;IF(AND(EDATE($D117,Milestones!$AA$103)&lt;=AsOfDate,IF($Q117=0,$W117,IF(AND($S117&lt;&gt;"",EDATE($D117,Milestones!$AA$103)&gt;=$S117),$V117,IF(AND($R117&lt;&gt;"",EDATE($D117,Milestones!$AA$103)&gt;=$R117),$U117,$T117)))=Milestones!$AB$103),TEXT(EDATE($D117,Milestones!$AA$103),"dd/mm/yy")&amp;" "&amp;Milestones!$AB$103&amp;" "&amp;Milestones!$AC$103&amp;";  ","")&amp;IF(AND(EDATE($D117,Milestones!$AA$104)&lt;=AsOfDate,IF($Q117=0,$W117,IF(AND($S117&lt;&gt;"",EDATE($D117,Milestones!$AA$104)&gt;=$S117),$V117,IF(AND($R117&lt;&gt;"",EDATE($D117,Milestones!$AA$104)&gt;=$R117),$U117,$T117)))=Milestones!$AB$104),TEXT(EDATE($D117,Milestones!$AA$104),"dd/mm/yy")&amp;" "&amp;Milestones!$AB$104&amp;" "&amp;Milestones!$AC$104&amp;";  ","")&amp;IF(AND(EDATE($D117,Milestones!$AA$105)&lt;=AsOfDate,IF($Q117=0,$W117,IF(AND($S117&lt;&gt;"",EDATE($D117,Milestones!$AA$105)&gt;=$S117),$V117,IF(AND($R117&lt;&gt;"",EDATE($D117,Milestones!$AA$105)&gt;=$R117),$U117,$T117)))=Milestones!$AB$105),TEXT(EDATE($D117,Milestones!$AA$105),"dd/mm/yy")&amp;" "&amp;Milestones!$AB$105&amp;" "&amp;Milestones!$AC$105&amp;";  ","")&amp;IF(AND(EDATE($D117,Milestones!$AA$106)&lt;=AsOfDate,IF($Q117=0,$W117,IF(AND($S117&lt;&gt;"",EDATE($D117,Milestones!$AA$106)&gt;=$S117),$V117,IF(AND($R117&lt;&gt;"",EDATE($D117,Milestones!$AA$106)&gt;=$R117),$U117,$T117)))=Milestones!$AB$106),TEXT(EDATE($D117,Milestones!$AA$106),"dd/mm/yy")&amp;" "&amp;Milestones!$AB$106&amp;" "&amp;Milestones!$AC$106&amp;";  ","")&amp;IF(AND(EDATE($D117,Milestones!$AA$107)&lt;=AsOfDate,IF($Q117=0,$W117,IF(AND($S117&lt;&gt;"",EDATE($D117,Milestones!$AA$107)&gt;=$S117),$V117,IF(AND($R117&lt;&gt;"",EDATE($D117,Milestones!$AA$107)&gt;=$R117),$U117,$T117)))=Milestones!$AB$107),TEXT(EDATE($D117,Milestones!$AA$107),"dd/mm/yy")&amp;" "&amp;Milestones!$AB$107&amp;" "&amp;Milestones!$AC$107&amp;";  ","")&amp;IF(AND(EDATE($D117,Milestones!$AA$108)&lt;=AsOfDate,IF($Q117=0,$W117,IF(AND($S117&lt;&gt;"",EDATE($D117,Milestones!$AA$108)&gt;=$S117),$V117,IF(AND($R117&lt;&gt;"",EDATE($D117,Milestones!$AA$108)&gt;=$R117),$U117,$T117)))=Milestones!$AB$108),TEXT(EDATE($D117,Milestones!$AA$108),"dd/mm/yy")&amp;" "&amp;Milestones!$AB$108&amp;" "&amp;Milestones!$AC$108&amp;";  ","")&amp;IF(AND(EDATE($D117,Milestones!$AA$109)&lt;=AsOfDate,IF($Q117=0,$W117,IF(AND($S117&lt;&gt;"",EDATE($D117,Milestones!$AA$109)&gt;=$S117),$V117,IF(AND($R117&lt;&gt;"",EDATE($D117,Milestones!$AA$109)&gt;=$R117),$U117,$T117)))=Milestones!$AB$109),TEXT(EDATE($D117,Milestones!$AA$109),"dd/mm/yy")&amp;" "&amp;Milestones!$AB$109&amp;" "&amp;Milestones!$AC$109&amp;";  ","")&amp;IF(AND(EDATE($D117,Milestones!$AA$110)&lt;=AsOfDate,IF($Q117=0,$W117,IF(AND($S117&lt;&gt;"",EDATE($D117,Milestones!$AA$110)&gt;=$S117),$V117,IF(AND($R117&lt;&gt;"",EDATE($D117,Milestones!$AA$110)&gt;=$R117),$U117,$T117)))=Milestones!$AB$110),TEXT(EDATE($D117,Milestones!$AA$110),"dd/mm/yy")&amp;" "&amp;Milestones!$AB$110&amp;" "&amp;Milestones!$AC$110&amp;";  ","")&amp;IF(AND(EDATE($D117,Milestones!$AA$111)&lt;=AsOfDate,IF($Q117=0,$W117,IF(AND($S117&lt;&gt;"",EDATE($D117,Milestones!$AA$111)&gt;=$S117),$V117,IF(AND($R117&lt;&gt;"",EDATE($D117,Milestones!$AA$111)&gt;=$R117),$U117,$T117)))=Milestones!$AB$111),TEXT(EDATE($D117,Milestones!$AA$111),"dd/mm/yy")&amp;" "&amp;Milestones!$AB$111&amp;" "&amp;Milestones!$AC$111&amp;";  ","")&amp;IF(AND(EDATE($D117,Milestones!$AA$112)&lt;=AsOfDate,IF($Q117=0,$W117,IF(AND($S117&lt;&gt;"",EDATE($D117,Milestones!$AA$112)&gt;=$S117),$V117,IF(AND($R117&lt;&gt;"",EDATE($D117,Milestones!$AA$112)&gt;=$R117),$U117,$T117)))=Milestones!$AB$112),TEXT(EDATE($D117,Milestones!$AA$112),"dd/mm/yy")&amp;" "&amp;Milestones!$AB$112&amp;" "&amp;Milestones!$AC$112&amp;";  ","")&amp;IF(AND(EDATE($D117,Milestones!$AA$113)&lt;=AsOfDate,IF($Q117=0,$W117,IF(AND($S117&lt;&gt;"",EDATE($D117,Milestones!$AA$113)&gt;=$S117),$V117,IF(AND($R117&lt;&gt;"",EDATE($D117,Milestones!$AA$113)&gt;=$R117),$U117,$T117)))=Milestones!$AB$113),TEXT(EDATE($D117,Milestones!$AA$113),"dd/mm/yy")&amp;" "&amp;Milestones!$AB$113&amp;" "&amp;Milestones!$AC$113&amp;";  ","")&amp;IF(AND(EDATE($D117,Milestones!$AA$114)&lt;=AsOfDate,IF($Q117=0,$W117,IF(AND($S117&lt;&gt;"",EDATE($D117,Milestones!$AA$114)&gt;=$S117),$V117,IF(AND($R117&lt;&gt;"",EDATE($D117,Milestones!$AA$114)&gt;=$R117),$U117,$T117)))=Milestones!$AB$114),TEXT(EDATE($D117,Milestones!$AA$114),"dd/mm/yy")&amp;" "&amp;Milestones!$AB$114&amp;" "&amp;Milestones!$AC$114&amp;";  ","")&amp;IF(AND(EDATE($D117,Milestones!$AA$115)&lt;=AsOfDate,IF($Q117=0,$W117,IF(AND($S117&lt;&gt;"",EDATE($D117,Milestones!$AA$115)&gt;=$S117),$V117,IF(AND($R117&lt;&gt;"",EDATE($D117,Milestones!$AA$115)&gt;=$R117),$U117,$T117)))=Milestones!$AB$115),TEXT(EDATE($D117,Milestones!$AA$115),"dd/mm/yy")&amp;" "&amp;Milestones!$AB$115&amp;" "&amp;Milestones!$AC$115&amp;";  ","")&amp;IF(AND(EDATE($D117,Milestones!$AA$116)&lt;=AsOfDate,IF($Q117=0,$W117,IF(AND($S117&lt;&gt;"",EDATE($D117,Milestones!$AA$116)&gt;=$S117),$V117,IF(AND($R117&lt;&gt;"",EDATE($D117,Milestones!$AA$116)&gt;=$R117),$U117,$T117)))=Milestones!$AB$116),TEXT(EDATE($D117,Milestones!$AA$116),"dd/mm/yy")&amp;" "&amp;Milestones!$AB$116&amp;" "&amp;Milestones!$AC$116&amp;";  ","")&amp;IF(AND(EDATE($D117,Milestones!$AA$117)&lt;=AsOfDate,IF($Q117=0,$W117,IF(AND($S117&lt;&gt;"",EDATE($D117,Milestones!$AA$117)&gt;=$S117),$V117,IF(AND($R117&lt;&gt;"",EDATE($D117,Milestones!$AA$117)&gt;=$R117),$U117,$T117)))=Milestones!$AB$117),TEXT(EDATE($D117,Milestones!$AA$117),"dd/mm/yy")&amp;" "&amp;Milestones!$AB$117&amp;" "&amp;Milestones!$AC$117&amp;";  ","")&amp;IF(AND(EDATE($D117,Milestones!$AA$118)&lt;=AsOfDate,IF($Q117=0,$W117,IF(AND($S117&lt;&gt;"",EDATE($D117,Milestones!$AA$118)&gt;=$S117),$V117,IF(AND($R117&lt;&gt;"",EDATE($D117,Milestones!$AA$118)&gt;=$R117),$U117,$T117)))=Milestones!$AB$118),TEXT(EDATE($D117,Milestones!$AA$118),"dd/mm/yy")&amp;" "&amp;Milestones!$AB$118&amp;" "&amp;Milestones!$AC$118&amp;";  ","")&amp;IF(AND(EDATE($D117,Milestones!$AA$119)&lt;=AsOfDate,IF($Q117=0,$W117,IF(AND($S117&lt;&gt;"",EDATE($D117,Milestones!$AA$119)&gt;=$S117),$V117,IF(AND($R117&lt;&gt;"",EDATE($D117,Milestones!$AA$119)&gt;=$R117),$U117,$T117)))=Milestones!$AB$119),TEXT(EDATE($D117,Milestones!$AA$119),"dd/mm/yy")&amp;" "&amp;Milestones!$AB$119&amp;" "&amp;Milestones!$AC$119&amp;";  ",""))</f>
        <v/>
      </c>
      <c r="M117" s="0" t="str">
        <f aca="false">IF(OR($A117="",$D117=""),"",IF(AND(EDATE($D117,Milestones!$AA$120)&lt;=AsOfDate,IF($Q117=0,$W117,IF(AND($S117&lt;&gt;"",EDATE($D117,Milestones!$AA$120)&gt;=$S117),$V117,IF(AND($R117&lt;&gt;"",EDATE($D117,Milestones!$AA$120)&gt;=$R117),$U117,$T117)))=Milestones!$AB$120),TEXT(EDATE($D117,Milestones!$AA$120),"dd/mm/yy")&amp;" "&amp;Milestones!$AB$120&amp;" "&amp;Milestones!$AC$120&amp;";  ","")&amp;IF(AND(EDATE($D117,Milestones!$AA$121)&lt;=AsOfDate,IF($Q117=0,$W117,IF(AND($S117&lt;&gt;"",EDATE($D117,Milestones!$AA$121)&gt;=$S117),$V117,IF(AND($R117&lt;&gt;"",EDATE($D117,Milestones!$AA$121)&gt;=$R117),$U117,$T117)))=Milestones!$AB$121),TEXT(EDATE($D117,Milestones!$AA$121),"dd/mm/yy")&amp;" "&amp;Milestones!$AB$121&amp;" "&amp;Milestones!$AC$121&amp;";  ","")&amp;IF(AND(EDATE($D117,Milestones!$AA$122)&lt;=AsOfDate,IF($Q117=0,$W117,IF(AND($S117&lt;&gt;"",EDATE($D117,Milestones!$AA$122)&gt;=$S117),$V117,IF(AND($R117&lt;&gt;"",EDATE($D117,Milestones!$AA$122)&gt;=$R117),$U117,$T117)))=Milestones!$AB$122),TEXT(EDATE($D117,Milestones!$AA$122),"dd/mm/yy")&amp;" "&amp;Milestones!$AB$122&amp;" "&amp;Milestones!$AC$122&amp;";  ","")&amp;IF(AND(EDATE($D117,Milestones!$AA$123)&lt;=AsOfDate,IF($Q117=0,$W117,IF(AND($S117&lt;&gt;"",EDATE($D117,Milestones!$AA$123)&gt;=$S117),$V117,IF(AND($R117&lt;&gt;"",EDATE($D117,Milestones!$AA$123)&gt;=$R117),$U117,$T117)))=Milestones!$AB$123),TEXT(EDATE($D117,Milestones!$AA$123),"dd/mm/yy")&amp;" "&amp;Milestones!$AB$123&amp;" "&amp;Milestones!$AC$123&amp;";  ","")&amp;IF(AND(EDATE($D117,Milestones!$AA$124)&lt;=AsOfDate,IF($Q117=0,$W117,IF(AND($S117&lt;&gt;"",EDATE($D117,Milestones!$AA$124)&gt;=$S117),$V117,IF(AND($R117&lt;&gt;"",EDATE($D117,Milestones!$AA$124)&gt;=$R117),$U117,$T117)))=Milestones!$AB$124),TEXT(EDATE($D117,Milestones!$AA$124),"dd/mm/yy")&amp;" "&amp;Milestones!$AB$124&amp;" "&amp;Milestones!$AC$124&amp;";  ","")&amp;IF(AND(EDATE($D117,Milestones!$AA$125)&lt;=AsOfDate,IF($Q117=0,$W117,IF(AND($S117&lt;&gt;"",EDATE($D117,Milestones!$AA$125)&gt;=$S117),$V117,IF(AND($R117&lt;&gt;"",EDATE($D117,Milestones!$AA$125)&gt;=$R117),$U117,$T117)))=Milestones!$AB$125),TEXT(EDATE($D117,Milestones!$AA$125),"dd/mm/yy")&amp;" "&amp;Milestones!$AB$125&amp;" "&amp;Milestones!$AC$125&amp;";  ","")&amp;IF(AND(EDATE($D117,Milestones!$AA$126)&lt;=AsOfDate,IF($Q117=0,$W117,IF(AND($S117&lt;&gt;"",EDATE($D117,Milestones!$AA$126)&gt;=$S117),$V117,IF(AND($R117&lt;&gt;"",EDATE($D117,Milestones!$AA$126)&gt;=$R117),$U117,$T117)))=Milestones!$AB$126),TEXT(EDATE($D117,Milestones!$AA$126),"dd/mm/yy")&amp;" "&amp;Milestones!$AB$126&amp;" "&amp;Milestones!$AC$126&amp;";  ","")&amp;IF(AND(EDATE($D117,Milestones!$AA$127)&lt;=AsOfDate,IF($Q117=0,$W117,IF(AND($S117&lt;&gt;"",EDATE($D117,Milestones!$AA$127)&gt;=$S117),$V117,IF(AND($R117&lt;&gt;"",EDATE($D117,Milestones!$AA$127)&gt;=$R117),$U117,$T117)))=Milestones!$AB$127),TEXT(EDATE($D117,Milestones!$AA$127),"dd/mm/yy")&amp;" "&amp;Milestones!$AB$127&amp;" "&amp;Milestones!$AC$127&amp;";  ","")&amp;IF(AND(EDATE($D117,Milestones!$AA$128)&lt;=AsOfDate,IF($Q117=0,$W117,IF(AND($S117&lt;&gt;"",EDATE($D117,Milestones!$AA$128)&gt;=$S117),$V117,IF(AND($R117&lt;&gt;"",EDATE($D117,Milestones!$AA$128)&gt;=$R117),$U117,$T117)))=Milestones!$AB$128),TEXT(EDATE($D117,Milestones!$AA$128),"dd/mm/yy")&amp;" "&amp;Milestones!$AB$128&amp;" "&amp;Milestones!$AC$128&amp;";  ","")&amp;IF(AND(EDATE($D117,Milestones!$AA$129)&lt;=AsOfDate,IF($Q117=0,$W117,IF(AND($S117&lt;&gt;"",EDATE($D117,Milestones!$AA$129)&gt;=$S117),$V117,IF(AND($R117&lt;&gt;"",EDATE($D117,Milestones!$AA$129)&gt;=$R117),$U117,$T117)))=Milestones!$AB$129),TEXT(EDATE($D117,Milestones!$AA$129),"dd/mm/yy")&amp;" "&amp;Milestones!$AB$129&amp;" "&amp;Milestones!$AC$129&amp;";  ","")&amp;IF(AND(EDATE($D117,Milestones!$AA$130)&lt;=AsOfDate,IF($Q117=0,$W117,IF(AND($S117&lt;&gt;"",EDATE($D117,Milestones!$AA$130)&gt;=$S117),$V117,IF(AND($R117&lt;&gt;"",EDATE($D117,Milestones!$AA$130)&gt;=$R117),$U117,$T117)))=Milestones!$AB$130),TEXT(EDATE($D117,Milestones!$AA$130),"dd/mm/yy")&amp;" "&amp;Milestones!$AB$130&amp;" "&amp;Milestones!$AC$130&amp;";  ","")&amp;IF(AND(EDATE($D117,Milestones!$AA$131)&lt;=AsOfDate,IF($Q117=0,$W117,IF(AND($S117&lt;&gt;"",EDATE($D117,Milestones!$AA$131)&gt;=$S117),$V117,IF(AND($R117&lt;&gt;"",EDATE($D117,Milestones!$AA$131)&gt;=$R117),$U117,$T117)))=Milestones!$AB$131),TEXT(EDATE($D117,Milestones!$AA$131),"dd/mm/yy")&amp;" "&amp;Milestones!$AB$131&amp;" "&amp;Milestones!$AC$131&amp;";  ","")&amp;IF(AND(EDATE($D117,Milestones!$AA$132)&lt;=AsOfDate,IF($Q117=0,$W117,IF(AND($S117&lt;&gt;"",EDATE($D117,Milestones!$AA$132)&gt;=$S117),$V117,IF(AND($R117&lt;&gt;"",EDATE($D117,Milestones!$AA$132)&gt;=$R117),$U117,$T117)))=Milestones!$AB$132),TEXT(EDATE($D117,Milestones!$AA$132),"dd/mm/yy")&amp;" "&amp;Milestones!$AB$132&amp;" "&amp;Milestones!$AC$132&amp;";  ","")&amp;IF(AND(EDATE($D117,Milestones!$AA$133)&lt;=AsOfDate,IF($Q117=0,$W117,IF(AND($S117&lt;&gt;"",EDATE($D117,Milestones!$AA$133)&gt;=$S117),$V117,IF(AND($R117&lt;&gt;"",EDATE($D117,Milestones!$AA$133)&gt;=$R117),$U117,$T117)))=Milestones!$AB$133),TEXT(EDATE($D117,Milestones!$AA$133),"dd/mm/yy")&amp;" "&amp;Milestones!$AB$133&amp;" "&amp;Milestones!$AC$133&amp;";  ","")&amp;IF(AND(EDATE($D117,Milestones!$AA$134)&lt;=AsOfDate,IF($Q117=0,$W117,IF(AND($S117&lt;&gt;"",EDATE($D117,Milestones!$AA$134)&gt;=$S117),$V117,IF(AND($R117&lt;&gt;"",EDATE($D117,Milestones!$AA$134)&gt;=$R117),$U117,$T117)))=Milestones!$AB$134),TEXT(EDATE($D117,Milestones!$AA$134),"dd/mm/yy")&amp;" "&amp;Milestones!$AB$134&amp;" "&amp;Milestones!$AC$134&amp;";  ","")&amp;IF(AND(EDATE($D117,Milestones!$AA$135)&lt;=AsOfDate,IF($Q117=0,$W117,IF(AND($S117&lt;&gt;"",EDATE($D117,Milestones!$AA$135)&gt;=$S117),$V117,IF(AND($R117&lt;&gt;"",EDATE($D117,Milestones!$AA$135)&gt;=$R117),$U117,$T117)))=Milestones!$AB$135),TEXT(EDATE($D117,Milestones!$AA$135),"dd/mm/yy")&amp;" "&amp;Milestones!$AB$135&amp;" "&amp;Milestones!$AC$135&amp;";  ","")&amp;IF(AND(EDATE($D117,Milestones!$AA$136)&lt;=AsOfDate,IF($Q117=0,$W117,IF(AND($S117&lt;&gt;"",EDATE($D117,Milestones!$AA$136)&gt;=$S117),$V117,IF(AND($R117&lt;&gt;"",EDATE($D117,Milestones!$AA$136)&gt;=$R117),$U117,$T117)))=Milestones!$AB$136),TEXT(EDATE($D117,Milestones!$AA$136),"dd/mm/yy")&amp;" "&amp;Milestones!$AB$136&amp;" "&amp;Milestones!$AC$136&amp;";  ","")&amp;IF(AND(EDATE($D117,Milestones!$AA$137)&lt;=AsOfDate,IF($Q117=0,$W117,IF(AND($S117&lt;&gt;"",EDATE($D117,Milestones!$AA$137)&gt;=$S117),$V117,IF(AND($R117&lt;&gt;"",EDATE($D117,Milestones!$AA$137)&gt;=$R117),$U117,$T117)))=Milestones!$AB$137),TEXT(EDATE($D117,Milestones!$AA$137),"dd/mm/yy")&amp;" "&amp;Milestones!$AB$137&amp;" "&amp;Milestones!$AC$137&amp;";  ","")&amp;IF(AND(EDATE($D117,Milestones!$AA$138)&lt;=AsOfDate,IF($Q117=0,$W117,IF(AND($S117&lt;&gt;"",EDATE($D117,Milestones!$AA$138)&gt;=$S117),$V117,IF(AND($R117&lt;&gt;"",EDATE($D117,Milestones!$AA$138)&gt;=$R117),$U117,$T117)))=Milestones!$AB$138),TEXT(EDATE($D117,Milestones!$AA$138),"dd/mm/yy")&amp;" "&amp;Milestones!$AB$138&amp;" "&amp;Milestones!$AC$138&amp;";  ","")&amp;IF(AND(EDATE($D117,Milestones!$AA$139)&lt;=AsOfDate,IF($Q117=0,$W117,IF(AND($S117&lt;&gt;"",EDATE($D117,Milestones!$AA$139)&gt;=$S117),$V117,IF(AND($R117&lt;&gt;"",EDATE($D117,Milestones!$AA$139)&gt;=$R117),$U117,$T117)))=Milestones!$AB$139),TEXT(EDATE($D117,Milestones!$AA$139),"dd/mm/yy")&amp;" "&amp;Milestones!$AB$139&amp;" "&amp;Milestones!$AC$139&amp;";  ",""))</f>
        <v/>
      </c>
      <c r="N117" s="0" t="str">
        <f aca="false">IF(OR($A117="",$D117=""),"",IF(AND(EDATE($D117,Milestones!$AA$140)&lt;=AsOfDate,IF($Q117=0,$W117,IF(AND($S117&lt;&gt;"",EDATE($D117,Milestones!$AA$140)&gt;=$S117),$V117,IF(AND($R117&lt;&gt;"",EDATE($D117,Milestones!$AA$140)&gt;=$R117),$U117,$T117)))=Milestones!$AB$140),TEXT(EDATE($D117,Milestones!$AA$140),"dd/mm/yy")&amp;" "&amp;Milestones!$AB$140&amp;" "&amp;Milestones!$AC$140&amp;";  ","")&amp;IF(AND(EDATE($D117,Milestones!$AA$141)&lt;=AsOfDate,IF($Q117=0,$W117,IF(AND($S117&lt;&gt;"",EDATE($D117,Milestones!$AA$141)&gt;=$S117),$V117,IF(AND($R117&lt;&gt;"",EDATE($D117,Milestones!$AA$141)&gt;=$R117),$U117,$T117)))=Milestones!$AB$141),TEXT(EDATE($D117,Milestones!$AA$141),"dd/mm/yy")&amp;" "&amp;Milestones!$AB$141&amp;" "&amp;Milestones!$AC$141&amp;";  ","")&amp;IF(AND(EDATE($D117,Milestones!$AA$142)&lt;=AsOfDate,IF($Q117=0,$W117,IF(AND($S117&lt;&gt;"",EDATE($D117,Milestones!$AA$142)&gt;=$S117),$V117,IF(AND($R117&lt;&gt;"",EDATE($D117,Milestones!$AA$142)&gt;=$R117),$U117,$T117)))=Milestones!$AB$142),TEXT(EDATE($D117,Milestones!$AA$142),"dd/mm/yy")&amp;" "&amp;Milestones!$AB$142&amp;" "&amp;Milestones!$AC$142&amp;";  ","")&amp;IF(AND(EDATE($D117,Milestones!$AA$143)&lt;=AsOfDate,IF($Q117=0,$W117,IF(AND($S117&lt;&gt;"",EDATE($D117,Milestones!$AA$143)&gt;=$S117),$V117,IF(AND($R117&lt;&gt;"",EDATE($D117,Milestones!$AA$143)&gt;=$R117),$U117,$T117)))=Milestones!$AB$143),TEXT(EDATE($D117,Milestones!$AA$143),"dd/mm/yy")&amp;" "&amp;Milestones!$AB$143&amp;" "&amp;Milestones!$AC$143&amp;";  ","")&amp;IF(AND(EDATE($D117,Milestones!$AA$144)&lt;=AsOfDate,IF($Q117=0,$W117,IF(AND($S117&lt;&gt;"",EDATE($D117,Milestones!$AA$144)&gt;=$S117),$V117,IF(AND($R117&lt;&gt;"",EDATE($D117,Milestones!$AA$144)&gt;=$R117),$U117,$T117)))=Milestones!$AB$144),TEXT(EDATE($D117,Milestones!$AA$144),"dd/mm/yy")&amp;" "&amp;Milestones!$AB$144&amp;" "&amp;Milestones!$AC$144&amp;";  ","")&amp;IF(AND(EDATE($D117,Milestones!$AA$145)&lt;=AsOfDate,IF($Q117=0,$W117,IF(AND($S117&lt;&gt;"",EDATE($D117,Milestones!$AA$145)&gt;=$S117),$V117,IF(AND($R117&lt;&gt;"",EDATE($D117,Milestones!$AA$145)&gt;=$R117),$U117,$T117)))=Milestones!$AB$145),TEXT(EDATE($D117,Milestones!$AA$145),"dd/mm/yy")&amp;" "&amp;Milestones!$AB$145&amp;" "&amp;Milestones!$AC$145&amp;";  ","")&amp;IF(AND(EDATE($D117,Milestones!$AA$146)&lt;=AsOfDate,IF($Q117=0,$W117,IF(AND($S117&lt;&gt;"",EDATE($D117,Milestones!$AA$146)&gt;=$S117),$V117,IF(AND($R117&lt;&gt;"",EDATE($D117,Milestones!$AA$146)&gt;=$R117),$U117,$T117)))=Milestones!$AB$146),TEXT(EDATE($D117,Milestones!$AA$146),"dd/mm/yy")&amp;" "&amp;Milestones!$AB$146&amp;" "&amp;Milestones!$AC$146&amp;";  ","")&amp;IF(AND(EDATE($D117,Milestones!$AA$147)&lt;=AsOfDate,IF($Q117=0,$W117,IF(AND($S117&lt;&gt;"",EDATE($D117,Milestones!$AA$147)&gt;=$S117),$V117,IF(AND($R117&lt;&gt;"",EDATE($D117,Milestones!$AA$147)&gt;=$R117),$U117,$T117)))=Milestones!$AB$147),TEXT(EDATE($D117,Milestones!$AA$147),"dd/mm/yy")&amp;" "&amp;Milestones!$AB$147&amp;" "&amp;Milestones!$AC$147&amp;";  ","")&amp;IF(AND(EDATE($D117,Milestones!$AA$148)&lt;=AsOfDate,IF($Q117=0,$W117,IF(AND($S117&lt;&gt;"",EDATE($D117,Milestones!$AA$148)&gt;=$S117),$V117,IF(AND($R117&lt;&gt;"",EDATE($D117,Milestones!$AA$148)&gt;=$R117),$U117,$T117)))=Milestones!$AB$148),TEXT(EDATE($D117,Milestones!$AA$148),"dd/mm/yy")&amp;" "&amp;Milestones!$AB$148&amp;" "&amp;Milestones!$AC$148&amp;";  ","")&amp;IF(AND(EDATE($D117,Milestones!$AA$149)&lt;=AsOfDate,IF($Q117=0,$W117,IF(AND($S117&lt;&gt;"",EDATE($D117,Milestones!$AA$149)&gt;=$S117),$V117,IF(AND($R117&lt;&gt;"",EDATE($D117,Milestones!$AA$149)&gt;=$R117),$U117,$T117)))=Milestones!$AB$149),TEXT(EDATE($D117,Milestones!$AA$149),"dd/mm/yy")&amp;" "&amp;Milestones!$AB$149&amp;" "&amp;Milestones!$AC$149&amp;";  ","")&amp;IF(AND(EDATE($D117,Milestones!$AA$150)&lt;=AsOfDate,IF($Q117=0,$W117,IF(AND($S117&lt;&gt;"",EDATE($D117,Milestones!$AA$150)&gt;=$S117),$V117,IF(AND($R117&lt;&gt;"",EDATE($D117,Milestones!$AA$150)&gt;=$R117),$U117,$T117)))=Milestones!$AB$150),TEXT(EDATE($D117,Milestones!$AA$150),"dd/mm/yy")&amp;" "&amp;Milestones!$AB$150&amp;" "&amp;Milestones!$AC$150&amp;";  ","")&amp;IF(AND(EDATE($D117,Milestones!$AA$151)&lt;=AsOfDate,IF($Q117=0,$W117,IF(AND($S117&lt;&gt;"",EDATE($D117,Milestones!$AA$151)&gt;=$S117),$V117,IF(AND($R117&lt;&gt;"",EDATE($D117,Milestones!$AA$151)&gt;=$R117),$U117,$T117)))=Milestones!$AB$151),TEXT(EDATE($D117,Milestones!$AA$151),"dd/mm/yy")&amp;" "&amp;Milestones!$AB$151&amp;" "&amp;Milestones!$AC$151&amp;";  ","")&amp;IF(AND(EDATE($D117,Milestones!$AA$152)&lt;=AsOfDate,IF($Q117=0,$W117,IF(AND($S117&lt;&gt;"",EDATE($D117,Milestones!$AA$152)&gt;=$S117),$V117,IF(AND($R117&lt;&gt;"",EDATE($D117,Milestones!$AA$152)&gt;=$R117),$U117,$T117)))=Milestones!$AB$152),TEXT(EDATE($D117,Milestones!$AA$152),"dd/mm/yy")&amp;" "&amp;Milestones!$AB$152&amp;" "&amp;Milestones!$AC$152&amp;";  ","")&amp;IF(AND(EDATE($D117,Milestones!$AA$153)&lt;=AsOfDate,IF($Q117=0,$W117,IF(AND($S117&lt;&gt;"",EDATE($D117,Milestones!$AA$153)&gt;=$S117),$V117,IF(AND($R117&lt;&gt;"",EDATE($D117,Milestones!$AA$153)&gt;=$R117),$U117,$T117)))=Milestones!$AB$153),TEXT(EDATE($D117,Milestones!$AA$153),"dd/mm/yy")&amp;" "&amp;Milestones!$AB$153&amp;" "&amp;Milestones!$AC$153&amp;";  ","")&amp;IF(AND(EDATE($D117,Milestones!$AA$154)&lt;=AsOfDate,IF($Q117=0,$W117,IF(AND($S117&lt;&gt;"",EDATE($D117,Milestones!$AA$154)&gt;=$S117),$V117,IF(AND($R117&lt;&gt;"",EDATE($D117,Milestones!$AA$154)&gt;=$R117),$U117,$T117)))=Milestones!$AB$154),TEXT(EDATE($D117,Milestones!$AA$154),"dd/mm/yy")&amp;" "&amp;Milestones!$AB$154&amp;" "&amp;Milestones!$AC$154&amp;";  ","")&amp;IF(AND(EDATE($D117,Milestones!$AA$155)&lt;=AsOfDate,IF($Q117=0,$W117,IF(AND($S117&lt;&gt;"",EDATE($D117,Milestones!$AA$155)&gt;=$S117),$V117,IF(AND($R117&lt;&gt;"",EDATE($D117,Milestones!$AA$155)&gt;=$R117),$U117,$T117)))=Milestones!$AB$155),TEXT(EDATE($D117,Milestones!$AA$155),"dd/mm/yy")&amp;" "&amp;Milestones!$AB$155&amp;" "&amp;Milestones!$AC$155&amp;";  ","")&amp;IF(AND(EDATE($D117,Milestones!$AA$156)&lt;=AsOfDate,IF($Q117=0,$W117,IF(AND($S117&lt;&gt;"",EDATE($D117,Milestones!$AA$156)&gt;=$S117),$V117,IF(AND($R117&lt;&gt;"",EDATE($D117,Milestones!$AA$156)&gt;=$R117),$U117,$T117)))=Milestones!$AB$156),TEXT(EDATE($D117,Milestones!$AA$156),"dd/mm/yy")&amp;" "&amp;Milestones!$AB$156&amp;" "&amp;Milestones!$AC$156&amp;";  ","")&amp;IF(AND(EDATE($D117,Milestones!$AA$157)&lt;=AsOfDate,IF($Q117=0,$W117,IF(AND($S117&lt;&gt;"",EDATE($D117,Milestones!$AA$157)&gt;=$S117),$V117,IF(AND($R117&lt;&gt;"",EDATE($D117,Milestones!$AA$157)&gt;=$R117),$U117,$T117)))=Milestones!$AB$157),TEXT(EDATE($D117,Milestones!$AA$157),"dd/mm/yy")&amp;" "&amp;Milestones!$AB$157&amp;" "&amp;Milestones!$AC$157&amp;";  ","")&amp;IF(AND(EDATE($D117,Milestones!$AA$158)&lt;=AsOfDate,IF($Q117=0,$W117,IF(AND($S117&lt;&gt;"",EDATE($D117,Milestones!$AA$158)&gt;=$S117),$V117,IF(AND($R117&lt;&gt;"",EDATE($D117,Milestones!$AA$158)&gt;=$R117),$U117,$T117)))=Milestones!$AB$158),TEXT(EDATE($D117,Milestones!$AA$158),"dd/mm/yy")&amp;" "&amp;Milestones!$AB$158&amp;" "&amp;Milestones!$AC$158&amp;";  ","")&amp;IF(AND(EDATE($D117,Milestones!$AA$159)&lt;=AsOfDate,IF($Q117=0,$W117,IF(AND($S117&lt;&gt;"",EDATE($D117,Milestones!$AA$159)&gt;=$S117),$V117,IF(AND($R117&lt;&gt;"",EDATE($D117,Milestones!$AA$159)&gt;=$R117),$U117,$T117)))=Milestones!$AB$159),TEXT(EDATE($D117,Milestones!$AA$159),"dd/mm/yy")&amp;" "&amp;Milestones!$AB$159&amp;" "&amp;Milestones!$AC$159&amp;";  ",""))</f>
        <v/>
      </c>
      <c r="O117" s="0" t="str">
        <f aca="false">IF(OR($A117="",$D117=""),"",IF(AND(EDATE($D117,Milestones!$AA$160)&lt;=AsOfDate,IF($Q117=0,$W117,IF(AND($S117&lt;&gt;"",EDATE($D117,Milestones!$AA$160)&gt;=$S117),$V117,IF(AND($R117&lt;&gt;"",EDATE($D117,Milestones!$AA$160)&gt;=$R117),$U117,$T117)))=Milestones!$AB$160),TEXT(EDATE($D117,Milestones!$AA$160),"dd/mm/yy")&amp;" "&amp;Milestones!$AB$160&amp;" "&amp;Milestones!$AC$160&amp;";  ","")&amp;IF(AND(EDATE($D117,Milestones!$AA$161)&lt;=AsOfDate,IF($Q117=0,$W117,IF(AND($S117&lt;&gt;"",EDATE($D117,Milestones!$AA$161)&gt;=$S117),$V117,IF(AND($R117&lt;&gt;"",EDATE($D117,Milestones!$AA$161)&gt;=$R117),$U117,$T117)))=Milestones!$AB$161),TEXT(EDATE($D117,Milestones!$AA$161),"dd/mm/yy")&amp;" "&amp;Milestones!$AB$161&amp;" "&amp;Milestones!$AC$161&amp;";  ","")&amp;IF(AND(EDATE($D117,Milestones!$AA$162)&lt;=AsOfDate,IF($Q117=0,$W117,IF(AND($S117&lt;&gt;"",EDATE($D117,Milestones!$AA$162)&gt;=$S117),$V117,IF(AND($R117&lt;&gt;"",EDATE($D117,Milestones!$AA$162)&gt;=$R117),$U117,$T117)))=Milestones!$AB$162),TEXT(EDATE($D117,Milestones!$AA$162),"dd/mm/yy")&amp;" "&amp;Milestones!$AB$162&amp;" "&amp;Milestones!$AC$162&amp;";  ","")&amp;IF(AND(EDATE($D117,Milestones!$AA$163)&lt;=AsOfDate,IF($Q117=0,$W117,IF(AND($S117&lt;&gt;"",EDATE($D117,Milestones!$AA$163)&gt;=$S117),$V117,IF(AND($R117&lt;&gt;"",EDATE($D117,Milestones!$AA$163)&gt;=$R117),$U117,$T117)))=Milestones!$AB$163),TEXT(EDATE($D117,Milestones!$AA$163),"dd/mm/yy")&amp;" "&amp;Milestones!$AB$163&amp;" "&amp;Milestones!$AC$163&amp;";  ","")&amp;IF(AND(EDATE($D117,Milestones!$AA$164)&lt;=AsOfDate,IF($Q117=0,$W117,IF(AND($S117&lt;&gt;"",EDATE($D117,Milestones!$AA$164)&gt;=$S117),$V117,IF(AND($R117&lt;&gt;"",EDATE($D117,Milestones!$AA$164)&gt;=$R117),$U117,$T117)))=Milestones!$AB$164),TEXT(EDATE($D117,Milestones!$AA$164),"dd/mm/yy")&amp;" "&amp;Milestones!$AB$164&amp;" "&amp;Milestones!$AC$164&amp;";  ","")&amp;IF(AND(EDATE($D117,Milestones!$AA$165)&lt;=AsOfDate,IF($Q117=0,$W117,IF(AND($S117&lt;&gt;"",EDATE($D117,Milestones!$AA$165)&gt;=$S117),$V117,IF(AND($R117&lt;&gt;"",EDATE($D117,Milestones!$AA$165)&gt;=$R117),$U117,$T117)))=Milestones!$AB$165),TEXT(EDATE($D117,Milestones!$AA$165),"dd/mm/yy")&amp;" "&amp;Milestones!$AB$165&amp;" "&amp;Milestones!$AC$165&amp;";  ","")&amp;IF(AND(EDATE($D117,Milestones!$AA$166)&lt;=AsOfDate,IF($Q117=0,$W117,IF(AND($S117&lt;&gt;"",EDATE($D117,Milestones!$AA$166)&gt;=$S117),$V117,IF(AND($R117&lt;&gt;"",EDATE($D117,Milestones!$AA$166)&gt;=$R117),$U117,$T117)))=Milestones!$AB$166),TEXT(EDATE($D117,Milestones!$AA$166),"dd/mm/yy")&amp;" "&amp;Milestones!$AB$166&amp;" "&amp;Milestones!$AC$166&amp;";  ","")&amp;IF(AND(EDATE($D117,Milestones!$AA$167)&lt;=AsOfDate,IF($Q117=0,$W117,IF(AND($S117&lt;&gt;"",EDATE($D117,Milestones!$AA$167)&gt;=$S117),$V117,IF(AND($R117&lt;&gt;"",EDATE($D117,Milestones!$AA$167)&gt;=$R117),$U117,$T117)))=Milestones!$AB$167),TEXT(EDATE($D117,Milestones!$AA$167),"dd/mm/yy")&amp;" "&amp;Milestones!$AB$167&amp;" "&amp;Milestones!$AC$167&amp;";  ","")&amp;IF(AND(EDATE($D117,Milestones!$AA$168)&lt;=AsOfDate,IF($Q117=0,$W117,IF(AND($S117&lt;&gt;"",EDATE($D117,Milestones!$AA$168)&gt;=$S117),$V117,IF(AND($R117&lt;&gt;"",EDATE($D117,Milestones!$AA$168)&gt;=$R117),$U117,$T117)))=Milestones!$AB$168),TEXT(EDATE($D117,Milestones!$AA$168),"dd/mm/yy")&amp;" "&amp;Milestones!$AB$168&amp;" "&amp;Milestones!$AC$168&amp;";  ","")&amp;IF(AND(EDATE($D117,Milestones!$AA$169)&lt;=AsOfDate,IF($Q117=0,$W117,IF(AND($S117&lt;&gt;"",EDATE($D117,Milestones!$AA$169)&gt;=$S117),$V117,IF(AND($R117&lt;&gt;"",EDATE($D117,Milestones!$AA$169)&gt;=$R117),$U117,$T117)))=Milestones!$AB$169),TEXT(EDATE($D117,Milestones!$AA$169),"dd/mm/yy")&amp;" "&amp;Milestones!$AB$169&amp;" "&amp;Milestones!$AC$169&amp;";  ","")&amp;IF(AND(EDATE($D117,Milestones!$AA$170)&lt;=AsOfDate,IF($Q117=0,$W117,IF(AND($S117&lt;&gt;"",EDATE($D117,Milestones!$AA$170)&gt;=$S117),$V117,IF(AND($R117&lt;&gt;"",EDATE($D117,Milestones!$AA$170)&gt;=$R117),$U117,$T117)))=Milestones!$AB$170),TEXT(EDATE($D117,Milestones!$AA$170),"dd/mm/yy")&amp;" "&amp;Milestones!$AB$170&amp;" "&amp;Milestones!$AC$170&amp;";  ","")&amp;IF(AND(EDATE($D117,Milestones!$AA$171)&lt;=AsOfDate,IF($Q117=0,$W117,IF(AND($S117&lt;&gt;"",EDATE($D117,Milestones!$AA$171)&gt;=$S117),$V117,IF(AND($R117&lt;&gt;"",EDATE($D117,Milestones!$AA$171)&gt;=$R117),$U117,$T117)))=Milestones!$AB$171),TEXT(EDATE($D117,Milestones!$AA$171),"dd/mm/yy")&amp;" "&amp;Milestones!$AB$171&amp;" "&amp;Milestones!$AC$171&amp;";  ","")&amp;IF(AND(EDATE($D117,Milestones!$AA$172)&lt;=AsOfDate,IF($Q117=0,$W117,IF(AND($S117&lt;&gt;"",EDATE($D117,Milestones!$AA$172)&gt;=$S117),$V117,IF(AND($R117&lt;&gt;"",EDATE($D117,Milestones!$AA$172)&gt;=$R117),$U117,$T117)))=Milestones!$AB$172),TEXT(EDATE($D117,Milestones!$AA$172),"dd/mm/yy")&amp;" "&amp;Milestones!$AB$172&amp;" "&amp;Milestones!$AC$172&amp;";  ","")&amp;IF(AND(EDATE($D117,Milestones!$AA$173)&lt;=AsOfDate,IF($Q117=0,$W117,IF(AND($S117&lt;&gt;"",EDATE($D117,Milestones!$AA$173)&gt;=$S117),$V117,IF(AND($R117&lt;&gt;"",EDATE($D117,Milestones!$AA$173)&gt;=$R117),$U117,$T117)))=Milestones!$AB$173),TEXT(EDATE($D117,Milestones!$AA$173),"dd/mm/yy")&amp;" "&amp;Milestones!$AB$173&amp;" "&amp;Milestones!$AC$173&amp;";  ","")&amp;IF(AND(EDATE($D117,Milestones!$AA$174)&lt;=AsOfDate,IF($Q117=0,$W117,IF(AND($S117&lt;&gt;"",EDATE($D117,Milestones!$AA$174)&gt;=$S117),$V117,IF(AND($R117&lt;&gt;"",EDATE($D117,Milestones!$AA$174)&gt;=$R117),$U117,$T117)))=Milestones!$AB$174),TEXT(EDATE($D117,Milestones!$AA$174),"dd/mm/yy")&amp;" "&amp;Milestones!$AB$174&amp;" "&amp;Milestones!$AC$174&amp;";  ","")&amp;IF(AND(EDATE($D117,Milestones!$AA$175)&lt;=AsOfDate,IF($Q117=0,$W117,IF(AND($S117&lt;&gt;"",EDATE($D117,Milestones!$AA$175)&gt;=$S117),$V117,IF(AND($R117&lt;&gt;"",EDATE($D117,Milestones!$AA$175)&gt;=$R117),$U117,$T117)))=Milestones!$AB$175),TEXT(EDATE($D117,Milestones!$AA$175),"dd/mm/yy")&amp;" "&amp;Milestones!$AB$175&amp;" "&amp;Milestones!$AC$175&amp;";  ","")&amp;IF(AND(EDATE($D117,Milestones!$AA$176)&lt;=AsOfDate,IF($Q117=0,$W117,IF(AND($S117&lt;&gt;"",EDATE($D117,Milestones!$AA$176)&gt;=$S117),$V117,IF(AND($R117&lt;&gt;"",EDATE($D117,Milestones!$AA$176)&gt;=$R117),$U117,$T117)))=Milestones!$AB$176),TEXT(EDATE($D117,Milestones!$AA$176),"dd/mm/yy")&amp;" "&amp;Milestones!$AB$176&amp;" "&amp;Milestones!$AC$176&amp;";  ","")&amp;IF(AND(EDATE($D117,Milestones!$AA$177)&lt;=AsOfDate,IF($Q117=0,$W117,IF(AND($S117&lt;&gt;"",EDATE($D117,Milestones!$AA$177)&gt;=$S117),$V117,IF(AND($R117&lt;&gt;"",EDATE($D117,Milestones!$AA$177)&gt;=$R117),$U117,$T117)))=Milestones!$AB$177),TEXT(EDATE($D117,Milestones!$AA$177),"dd/mm/yy")&amp;" "&amp;Milestones!$AB$177&amp;" "&amp;Milestones!$AC$177&amp;";  ","")&amp;IF(AND(EDATE($D117,Milestones!$AA$178)&lt;=AsOfDate,IF($Q117=0,$W117,IF(AND($S117&lt;&gt;"",EDATE($D117,Milestones!$AA$178)&gt;=$S117),$V117,IF(AND($R117&lt;&gt;"",EDATE($D117,Milestones!$AA$178)&gt;=$R117),$U117,$T117)))=Milestones!$AB$178),TEXT(EDATE($D117,Milestones!$AA$178),"dd/mm/yy")&amp;" "&amp;Milestones!$AB$178&amp;" "&amp;Milestones!$AC$178&amp;";  ","")&amp;IF(AND(EDATE($D117,Milestones!$AA$179)&lt;=AsOfDate,IF($Q117=0,$W117,IF(AND($S117&lt;&gt;"",EDATE($D117,Milestones!$AA$179)&gt;=$S117),$V117,IF(AND($R117&lt;&gt;"",EDATE($D117,Milestones!$AA$179)&gt;=$R117),$U117,$T117)))=Milestones!$AB$179),TEXT(EDATE($D117,Milestones!$AA$179),"dd/mm/yy")&amp;" "&amp;Milestones!$AB$179&amp;" "&amp;Milestones!$AC$179&amp;";  ",""))</f>
        <v/>
      </c>
      <c r="P117" s="0" t="str">
        <f aca="false">IF(OR($A117="",$D117=""),"",IF(AND(EDATE($D117,Milestones!$AA$180)&lt;=AsOfDate,IF($Q117=0,$W117,IF(AND($S117&lt;&gt;"",EDATE($D117,Milestones!$AA$180)&gt;=$S117),$V117,IF(AND($R117&lt;&gt;"",EDATE($D117,Milestones!$AA$180)&gt;=$R117),$U117,$T117)))=Milestones!$AB$180),TEXT(EDATE($D117,Milestones!$AA$180),"dd/mm/yy")&amp;" "&amp;Milestones!$AB$180&amp;" "&amp;Milestones!$AC$180&amp;";  ","")&amp;IF(AND(EDATE($D117,Milestones!$AA$181)&lt;=AsOfDate,IF($Q117=0,$W117,IF(AND($S117&lt;&gt;"",EDATE($D117,Milestones!$AA$181)&gt;=$S117),$V117,IF(AND($R117&lt;&gt;"",EDATE($D117,Milestones!$AA$181)&gt;=$R117),$U117,$T117)))=Milestones!$AB$181),TEXT(EDATE($D117,Milestones!$AA$181),"dd/mm/yy")&amp;" "&amp;Milestones!$AB$181&amp;" "&amp;Milestones!$AC$181&amp;";  ","")&amp;IF(AND(EDATE($D117,Milestones!$AA$182)&lt;=AsOfDate,IF($Q117=0,$W117,IF(AND($S117&lt;&gt;"",EDATE($D117,Milestones!$AA$182)&gt;=$S117),$V117,IF(AND($R117&lt;&gt;"",EDATE($D117,Milestones!$AA$182)&gt;=$R117),$U117,$T117)))=Milestones!$AB$182),TEXT(EDATE($D117,Milestones!$AA$182),"dd/mm/yy")&amp;" "&amp;Milestones!$AB$182&amp;" "&amp;Milestones!$AC$182&amp;";  ","")&amp;IF(AND(EDATE($D117,Milestones!$AA$183)&lt;=AsOfDate,IF($Q117=0,$W117,IF(AND($S117&lt;&gt;"",EDATE($D117,Milestones!$AA$183)&gt;=$S117),$V117,IF(AND($R117&lt;&gt;"",EDATE($D117,Milestones!$AA$183)&gt;=$R117),$U117,$T117)))=Milestones!$AB$183),TEXT(EDATE($D117,Milestones!$AA$183),"dd/mm/yy")&amp;" "&amp;Milestones!$AB$183&amp;" "&amp;Milestones!$AC$183&amp;";  ","")&amp;IF(AND(EDATE($D117,Milestones!$AA$184)&lt;=AsOfDate,IF($Q117=0,$W117,IF(AND($S117&lt;&gt;"",EDATE($D117,Milestones!$AA$184)&gt;=$S117),$V117,IF(AND($R117&lt;&gt;"",EDATE($D117,Milestones!$AA$184)&gt;=$R117),$U117,$T117)))=Milestones!$AB$184),TEXT(EDATE($D117,Milestones!$AA$184),"dd/mm/yy")&amp;" "&amp;Milestones!$AB$184&amp;" "&amp;Milestones!$AC$184&amp;";  ","")&amp;IF(AND(EDATE($D117,Milestones!$AA$185)&lt;=AsOfDate,IF($Q117=0,$W117,IF(AND($S117&lt;&gt;"",EDATE($D117,Milestones!$AA$185)&gt;=$S117),$V117,IF(AND($R117&lt;&gt;"",EDATE($D117,Milestones!$AA$185)&gt;=$R117),$U117,$T117)))=Milestones!$AB$185),TEXT(EDATE($D117,Milestones!$AA$185),"dd/mm/yy")&amp;" "&amp;Milestones!$AB$185&amp;" "&amp;Milestones!$AC$185&amp;";  ","")&amp;IF(AND(EDATE($D117,Milestones!$AA$186)&lt;=AsOfDate,IF($Q117=0,$W117,IF(AND($S117&lt;&gt;"",EDATE($D117,Milestones!$AA$186)&gt;=$S117),$V117,IF(AND($R117&lt;&gt;"",EDATE($D117,Milestones!$AA$186)&gt;=$R117),$U117,$T117)))=Milestones!$AB$186),TEXT(EDATE($D117,Milestones!$AA$186),"dd/mm/yy")&amp;" "&amp;Milestones!$AB$186&amp;" "&amp;Milestones!$AC$186&amp;";  ","")&amp;IF(AND(EDATE($D117,Milestones!$AA$187)&lt;=AsOfDate,IF($Q117=0,$W117,IF(AND($S117&lt;&gt;"",EDATE($D117,Milestones!$AA$187)&gt;=$S117),$V117,IF(AND($R117&lt;&gt;"",EDATE($D117,Milestones!$AA$187)&gt;=$R117),$U117,$T117)))=Milestones!$AB$187),TEXT(EDATE($D117,Milestones!$AA$187),"dd/mm/yy")&amp;" "&amp;Milestones!$AB$187&amp;" "&amp;Milestones!$AC$187&amp;";  ","")&amp;IF(AND(EDATE($D117,Milestones!$AA$188)&lt;=AsOfDate,IF($Q117=0,$W117,IF(AND($S117&lt;&gt;"",EDATE($D117,Milestones!$AA$188)&gt;=$S117),$V117,IF(AND($R117&lt;&gt;"",EDATE($D117,Milestones!$AA$188)&gt;=$R117),$U117,$T117)))=Milestones!$AB$188),TEXT(EDATE($D117,Milestones!$AA$188),"dd/mm/yy")&amp;" "&amp;Milestones!$AB$188&amp;" "&amp;Milestones!$AC$188&amp;";  ","")&amp;IF(AND(EDATE($D117,Milestones!$AA$189)&lt;=AsOfDate,IF($Q117=0,$W117,IF(AND($S117&lt;&gt;"",EDATE($D117,Milestones!$AA$189)&gt;=$S117),$V117,IF(AND($R117&lt;&gt;"",EDATE($D117,Milestones!$AA$189)&gt;=$R117),$U117,$T117)))=Milestones!$AB$189),TEXT(EDATE($D117,Milestones!$AA$189),"dd/mm/yy")&amp;" "&amp;Milestones!$AB$189&amp;" "&amp;Milestones!$AC$189&amp;";  ","")&amp;IF(AND(EDATE($D117,Milestones!$AA$190)&lt;=AsOfDate,IF($Q117=0,$W117,IF(AND($S117&lt;&gt;"",EDATE($D117,Milestones!$AA$190)&gt;=$S117),$V117,IF(AND($R117&lt;&gt;"",EDATE($D117,Milestones!$AA$190)&gt;=$R117),$U117,$T117)))=Milestones!$AB$190),TEXT(EDATE($D117,Milestones!$AA$190),"dd/mm/yy")&amp;" "&amp;Milestones!$AB$190&amp;" "&amp;Milestones!$AC$190&amp;";  ","")&amp;IF(AND(EDATE($D117,Milestones!$AA$191)&lt;=AsOfDate,IF($Q117=0,$W117,IF(AND($S117&lt;&gt;"",EDATE($D117,Milestones!$AA$191)&gt;=$S117),$V117,IF(AND($R117&lt;&gt;"",EDATE($D117,Milestones!$AA$191)&gt;=$R117),$U117,$T117)))=Milestones!$AB$191),TEXT(EDATE($D117,Milestones!$AA$191),"dd/mm/yy")&amp;" "&amp;Milestones!$AB$191&amp;" "&amp;Milestones!$AC$191&amp;";  ","")&amp;IF(AND(EDATE($D117,Milestones!$AA$192)&lt;=AsOfDate,IF($Q117=0,$W117,IF(AND($S117&lt;&gt;"",EDATE($D117,Milestones!$AA$192)&gt;=$S117),$V117,IF(AND($R117&lt;&gt;"",EDATE($D117,Milestones!$AA$192)&gt;=$R117),$U117,$T117)))=Milestones!$AB$192),TEXT(EDATE($D117,Milestones!$AA$192),"dd/mm/yy")&amp;" "&amp;Milestones!$AB$192&amp;" "&amp;Milestones!$AC$192&amp;";  ","")&amp;IF(AND(EDATE($D117,Milestones!$AA$193)&lt;=AsOfDate,IF($Q117=0,$W117,IF(AND($S117&lt;&gt;"",EDATE($D117,Milestones!$AA$193)&gt;=$S117),$V117,IF(AND($R117&lt;&gt;"",EDATE($D117,Milestones!$AA$193)&gt;=$R117),$U117,$T117)))=Milestones!$AB$193),TEXT(EDATE($D117,Milestones!$AA$193),"dd/mm/yy")&amp;" "&amp;Milestones!$AB$193&amp;" "&amp;Milestones!$AC$193&amp;";  ","")&amp;IF(AND(EDATE($D117,Milestones!$AA$194)&lt;=AsOfDate,IF($Q117=0,$W117,IF(AND($S117&lt;&gt;"",EDATE($D117,Milestones!$AA$194)&gt;=$S117),$V117,IF(AND($R117&lt;&gt;"",EDATE($D117,Milestones!$AA$194)&gt;=$R117),$U117,$T117)))=Milestones!$AB$194),TEXT(EDATE($D117,Milestones!$AA$194),"dd/mm/yy")&amp;" "&amp;Milestones!$AB$194&amp;" "&amp;Milestones!$AC$194&amp;";  ","")&amp;IF(AND(EDATE($D117,Milestones!$AA$195)&lt;=AsOfDate,IF($Q117=0,$W117,IF(AND($S117&lt;&gt;"",EDATE($D117,Milestones!$AA$195)&gt;=$S117),$V117,IF(AND($R117&lt;&gt;"",EDATE($D117,Milestones!$AA$195)&gt;=$R117),$U117,$T117)))=Milestones!$AB$195),TEXT(EDATE($D117,Milestones!$AA$195),"dd/mm/yy")&amp;" "&amp;Milestones!$AB$195&amp;" "&amp;Milestones!$AC$195&amp;";  ","")&amp;IF(AND(EDATE($D117,Milestones!$AA$196)&lt;=AsOfDate,IF($Q117=0,$W117,IF(AND($S117&lt;&gt;"",EDATE($D117,Milestones!$AA$196)&gt;=$S117),$V117,IF(AND($R117&lt;&gt;"",EDATE($D117,Milestones!$AA$196)&gt;=$R117),$U117,$T117)))=Milestones!$AB$196),TEXT(EDATE($D117,Milestones!$AA$196),"dd/mm/yy")&amp;" "&amp;Milestones!$AB$196&amp;" "&amp;Milestones!$AC$196&amp;";  ","")&amp;IF(AND(EDATE($D117,Milestones!$AA$197)&lt;=AsOfDate,IF($Q117=0,$W117,IF(AND($S117&lt;&gt;"",EDATE($D117,Milestones!$AA$197)&gt;=$S117),$V117,IF(AND($R117&lt;&gt;"",EDATE($D117,Milestones!$AA$197)&gt;=$R117),$U117,$T117)))=Milestones!$AB$197),TEXT(EDATE($D117,Milestones!$AA$197),"dd/mm/yy")&amp;" "&amp;Milestones!$AB$197&amp;" "&amp;Milestones!$AC$197&amp;";  ","")&amp;IF(AND(EDATE($D117,Milestones!$AA$198)&lt;=AsOfDate,IF($Q117=0,$W117,IF(AND($S117&lt;&gt;"",EDATE($D117,Milestones!$AA$198)&gt;=$S117),$V117,IF(AND($R117&lt;&gt;"",EDATE($D117,Milestones!$AA$198)&gt;=$R117),$U117,$T117)))=Milestones!$AB$198),TEXT(EDATE($D117,Milestones!$AA$198),"dd/mm/yy")&amp;" "&amp;Milestones!$AB$198&amp;" "&amp;Milestones!$AC$198&amp;";  ","")&amp;IF(AND(EDATE($D117,Milestones!$AA$199)&lt;=AsOfDate,IF($Q117=0,$W117,IF(AND($S117&lt;&gt;"",EDATE($D117,Milestones!$AA$199)&gt;=$S117),$V117,IF(AND($R117&lt;&gt;"",EDATE($D117,Milestones!$AA$199)&gt;=$R117),$U117,$T117)))=Milestones!$AB$199),TEXT(EDATE($D117,Milestones!$AA$199),"dd/mm/yy")&amp;" "&amp;Milestones!$AB$199&amp;" "&amp;Milestones!$AC$199&amp;";  ",""))</f>
        <v/>
      </c>
      <c r="Q117" s="0" t="str">
        <f aca="false">IF(Staff!$A117="","",Staff!$AG117)</f>
        <v/>
      </c>
      <c r="R117" s="0" t="str">
        <f aca="false">IF(Staff!$A117="","",Staff!$AI117)</f>
        <v/>
      </c>
      <c r="S117" s="0" t="str">
        <f aca="false">IF(Staff!$A117="","",Staff!$AJ117)</f>
        <v/>
      </c>
      <c r="T117" s="0" t="str">
        <f aca="false">IF(Staff!$A117="","",Staff!$AN117)</f>
        <v/>
      </c>
      <c r="U117" s="0" t="str">
        <f aca="false">IF(Staff!$A117="","",Staff!$AO117)</f>
        <v/>
      </c>
      <c r="V117" s="0" t="str">
        <f aca="false">IF(Staff!$A117="","",Staff!$AP117)</f>
        <v/>
      </c>
      <c r="W117" s="0" t="str">
        <f aca="false">IF(Staff!$A117="","",Staff!$AQ117)</f>
        <v/>
      </c>
    </row>
    <row r="118" customFormat="false" ht="15" hidden="false" customHeight="false" outlineLevel="0" collapsed="false">
      <c r="A118" s="13" t="str">
        <f aca="false">IF(Staff!$A118="","",Staff!$A118)</f>
        <v/>
      </c>
      <c r="B118" s="13" t="str">
        <f aca="false">IF(Staff!$A118="","",Staff!$B118)</f>
        <v/>
      </c>
      <c r="C118" s="13" t="str">
        <f aca="false">IF(Staff!$A118="","",Staff!$C118)</f>
        <v/>
      </c>
      <c r="D118" s="11" t="str">
        <f aca="false">IF(Staff!$A118="","",Staff!$AF118)</f>
        <v/>
      </c>
      <c r="E118" s="13" t="str">
        <f aca="false">IF(Staff!$A118="","",Staff!$O118)</f>
        <v/>
      </c>
      <c r="F118" s="13" t="str">
        <f aca="false">IF(E118="","",E118*HoursPerDay)</f>
        <v/>
      </c>
      <c r="G118" s="26" t="str">
        <f aca="false">IF($A118="","",H118&amp;I118&amp;J118&amp;K118&amp;L118&amp;M118&amp;N118&amp;O118&amp;P118)</f>
        <v/>
      </c>
      <c r="H118" s="0" t="str">
        <f aca="false">IF(OR($A118="",$D118=""),"",IF(AND(EDATE($D118,Milestones!$AA$20)&lt;=AsOfDate,IF($Q118=0,$W118,IF(AND($S118&lt;&gt;"",EDATE($D118,Milestones!$AA$20)&gt;=$S118),$V118,IF(AND($R118&lt;&gt;"",EDATE($D118,Milestones!$AA$20)&gt;=$R118),$U118,$T118)))=Milestones!$AB$20),TEXT(EDATE($D118,Milestones!$AA$20),"dd/mm/yy")&amp;" "&amp;Milestones!$AB$20&amp;" "&amp;Milestones!$AC$20&amp;";  ","")&amp;IF(AND(EDATE($D118,Milestones!$AA$21)&lt;=AsOfDate,IF($Q118=0,$W118,IF(AND($S118&lt;&gt;"",EDATE($D118,Milestones!$AA$21)&gt;=$S118),$V118,IF(AND($R118&lt;&gt;"",EDATE($D118,Milestones!$AA$21)&gt;=$R118),$U118,$T118)))=Milestones!$AB$21),TEXT(EDATE($D118,Milestones!$AA$21),"dd/mm/yy")&amp;" "&amp;Milestones!$AB$21&amp;" "&amp;Milestones!$AC$21&amp;";  ","")&amp;IF(AND(EDATE($D118,Milestones!$AA$22)&lt;=AsOfDate,IF($Q118=0,$W118,IF(AND($S118&lt;&gt;"",EDATE($D118,Milestones!$AA$22)&gt;=$S118),$V118,IF(AND($R118&lt;&gt;"",EDATE($D118,Milestones!$AA$22)&gt;=$R118),$U118,$T118)))=Milestones!$AB$22),TEXT(EDATE($D118,Milestones!$AA$22),"dd/mm/yy")&amp;" "&amp;Milestones!$AB$22&amp;" "&amp;Milestones!$AC$22&amp;";  ","")&amp;IF(AND(EDATE($D118,Milestones!$AA$23)&lt;=AsOfDate,IF($Q118=0,$W118,IF(AND($S118&lt;&gt;"",EDATE($D118,Milestones!$AA$23)&gt;=$S118),$V118,IF(AND($R118&lt;&gt;"",EDATE($D118,Milestones!$AA$23)&gt;=$R118),$U118,$T118)))=Milestones!$AB$23),TEXT(EDATE($D118,Milestones!$AA$23),"dd/mm/yy")&amp;" "&amp;Milestones!$AB$23&amp;" "&amp;Milestones!$AC$23&amp;";  ","")&amp;IF(AND(EDATE($D118,Milestones!$AA$24)&lt;=AsOfDate,IF($Q118=0,$W118,IF(AND($S118&lt;&gt;"",EDATE($D118,Milestones!$AA$24)&gt;=$S118),$V118,IF(AND($R118&lt;&gt;"",EDATE($D118,Milestones!$AA$24)&gt;=$R118),$U118,$T118)))=Milestones!$AB$24),TEXT(EDATE($D118,Milestones!$AA$24),"dd/mm/yy")&amp;" "&amp;Milestones!$AB$24&amp;" "&amp;Milestones!$AC$24&amp;";  ","")&amp;IF(AND(EDATE($D118,Milestones!$AA$25)&lt;=AsOfDate,IF($Q118=0,$W118,IF(AND($S118&lt;&gt;"",EDATE($D118,Milestones!$AA$25)&gt;=$S118),$V118,IF(AND($R118&lt;&gt;"",EDATE($D118,Milestones!$AA$25)&gt;=$R118),$U118,$T118)))=Milestones!$AB$25),TEXT(EDATE($D118,Milestones!$AA$25),"dd/mm/yy")&amp;" "&amp;Milestones!$AB$25&amp;" "&amp;Milestones!$AC$25&amp;";  ","")&amp;IF(AND(EDATE($D118,Milestones!$AA$26)&lt;=AsOfDate,IF($Q118=0,$W118,IF(AND($S118&lt;&gt;"",EDATE($D118,Milestones!$AA$26)&gt;=$S118),$V118,IF(AND($R118&lt;&gt;"",EDATE($D118,Milestones!$AA$26)&gt;=$R118),$U118,$T118)))=Milestones!$AB$26),TEXT(EDATE($D118,Milestones!$AA$26),"dd/mm/yy")&amp;" "&amp;Milestones!$AB$26&amp;" "&amp;Milestones!$AC$26&amp;";  ","")&amp;IF(AND(EDATE($D118,Milestones!$AA$27)&lt;=AsOfDate,IF($Q118=0,$W118,IF(AND($S118&lt;&gt;"",EDATE($D118,Milestones!$AA$27)&gt;=$S118),$V118,IF(AND($R118&lt;&gt;"",EDATE($D118,Milestones!$AA$27)&gt;=$R118),$U118,$T118)))=Milestones!$AB$27),TEXT(EDATE($D118,Milestones!$AA$27),"dd/mm/yy")&amp;" "&amp;Milestones!$AB$27&amp;" "&amp;Milestones!$AC$27&amp;";  ","")&amp;IF(AND(EDATE($D118,Milestones!$AA$28)&lt;=AsOfDate,IF($Q118=0,$W118,IF(AND($S118&lt;&gt;"",EDATE($D118,Milestones!$AA$28)&gt;=$S118),$V118,IF(AND($R118&lt;&gt;"",EDATE($D118,Milestones!$AA$28)&gt;=$R118),$U118,$T118)))=Milestones!$AB$28),TEXT(EDATE($D118,Milestones!$AA$28),"dd/mm/yy")&amp;" "&amp;Milestones!$AB$28&amp;" "&amp;Milestones!$AC$28&amp;";  ","")&amp;IF(AND(EDATE($D118,Milestones!$AA$29)&lt;=AsOfDate,IF($Q118=0,$W118,IF(AND($S118&lt;&gt;"",EDATE($D118,Milestones!$AA$29)&gt;=$S118),$V118,IF(AND($R118&lt;&gt;"",EDATE($D118,Milestones!$AA$29)&gt;=$R118),$U118,$T118)))=Milestones!$AB$29),TEXT(EDATE($D118,Milestones!$AA$29),"dd/mm/yy")&amp;" "&amp;Milestones!$AB$29&amp;" "&amp;Milestones!$AC$29&amp;";  ","")&amp;IF(AND(EDATE($D118,Milestones!$AA$30)&lt;=AsOfDate,IF($Q118=0,$W118,IF(AND($S118&lt;&gt;"",EDATE($D118,Milestones!$AA$30)&gt;=$S118),$V118,IF(AND($R118&lt;&gt;"",EDATE($D118,Milestones!$AA$30)&gt;=$R118),$U118,$T118)))=Milestones!$AB$30),TEXT(EDATE($D118,Milestones!$AA$30),"dd/mm/yy")&amp;" "&amp;Milestones!$AB$30&amp;" "&amp;Milestones!$AC$30&amp;";  ","")&amp;IF(AND(EDATE($D118,Milestones!$AA$31)&lt;=AsOfDate,IF($Q118=0,$W118,IF(AND($S118&lt;&gt;"",EDATE($D118,Milestones!$AA$31)&gt;=$S118),$V118,IF(AND($R118&lt;&gt;"",EDATE($D118,Milestones!$AA$31)&gt;=$R118),$U118,$T118)))=Milestones!$AB$31),TEXT(EDATE($D118,Milestones!$AA$31),"dd/mm/yy")&amp;" "&amp;Milestones!$AB$31&amp;" "&amp;Milestones!$AC$31&amp;";  ","")&amp;IF(AND(EDATE($D118,Milestones!$AA$32)&lt;=AsOfDate,IF($Q118=0,$W118,IF(AND($S118&lt;&gt;"",EDATE($D118,Milestones!$AA$32)&gt;=$S118),$V118,IF(AND($R118&lt;&gt;"",EDATE($D118,Milestones!$AA$32)&gt;=$R118),$U118,$T118)))=Milestones!$AB$32),TEXT(EDATE($D118,Milestones!$AA$32),"dd/mm/yy")&amp;" "&amp;Milestones!$AB$32&amp;" "&amp;Milestones!$AC$32&amp;";  ","")&amp;IF(AND(EDATE($D118,Milestones!$AA$33)&lt;=AsOfDate,IF($Q118=0,$W118,IF(AND($S118&lt;&gt;"",EDATE($D118,Milestones!$AA$33)&gt;=$S118),$V118,IF(AND($R118&lt;&gt;"",EDATE($D118,Milestones!$AA$33)&gt;=$R118),$U118,$T118)))=Milestones!$AB$33),TEXT(EDATE($D118,Milestones!$AA$33),"dd/mm/yy")&amp;" "&amp;Milestones!$AB$33&amp;" "&amp;Milestones!$AC$33&amp;";  ","")&amp;IF(AND(EDATE($D118,Milestones!$AA$34)&lt;=AsOfDate,IF($Q118=0,$W118,IF(AND($S118&lt;&gt;"",EDATE($D118,Milestones!$AA$34)&gt;=$S118),$V118,IF(AND($R118&lt;&gt;"",EDATE($D118,Milestones!$AA$34)&gt;=$R118),$U118,$T118)))=Milestones!$AB$34),TEXT(EDATE($D118,Milestones!$AA$34),"dd/mm/yy")&amp;" "&amp;Milestones!$AB$34&amp;" "&amp;Milestones!$AC$34&amp;";  ","")&amp;IF(AND(EDATE($D118,Milestones!$AA$35)&lt;=AsOfDate,IF($Q118=0,$W118,IF(AND($S118&lt;&gt;"",EDATE($D118,Milestones!$AA$35)&gt;=$S118),$V118,IF(AND($R118&lt;&gt;"",EDATE($D118,Milestones!$AA$35)&gt;=$R118),$U118,$T118)))=Milestones!$AB$35),TEXT(EDATE($D118,Milestones!$AA$35),"dd/mm/yy")&amp;" "&amp;Milestones!$AB$35&amp;" "&amp;Milestones!$AC$35&amp;";  ","")&amp;IF(AND(EDATE($D118,Milestones!$AA$36)&lt;=AsOfDate,IF($Q118=0,$W118,IF(AND($S118&lt;&gt;"",EDATE($D118,Milestones!$AA$36)&gt;=$S118),$V118,IF(AND($R118&lt;&gt;"",EDATE($D118,Milestones!$AA$36)&gt;=$R118),$U118,$T118)))=Milestones!$AB$36),TEXT(EDATE($D118,Milestones!$AA$36),"dd/mm/yy")&amp;" "&amp;Milestones!$AB$36&amp;" "&amp;Milestones!$AC$36&amp;";  ","")&amp;IF(AND(EDATE($D118,Milestones!$AA$37)&lt;=AsOfDate,IF($Q118=0,$W118,IF(AND($S118&lt;&gt;"",EDATE($D118,Milestones!$AA$37)&gt;=$S118),$V118,IF(AND($R118&lt;&gt;"",EDATE($D118,Milestones!$AA$37)&gt;=$R118),$U118,$T118)))=Milestones!$AB$37),TEXT(EDATE($D118,Milestones!$AA$37),"dd/mm/yy")&amp;" "&amp;Milestones!$AB$37&amp;" "&amp;Milestones!$AC$37&amp;";  ","")&amp;IF(AND(EDATE($D118,Milestones!$AA$38)&lt;=AsOfDate,IF($Q118=0,$W118,IF(AND($S118&lt;&gt;"",EDATE($D118,Milestones!$AA$38)&gt;=$S118),$V118,IF(AND($R118&lt;&gt;"",EDATE($D118,Milestones!$AA$38)&gt;=$R118),$U118,$T118)))=Milestones!$AB$38),TEXT(EDATE($D118,Milestones!$AA$38),"dd/mm/yy")&amp;" "&amp;Milestones!$AB$38&amp;" "&amp;Milestones!$AC$38&amp;";  ","")&amp;IF(AND(EDATE($D118,Milestones!$AA$39)&lt;=AsOfDate,IF($Q118=0,$W118,IF(AND($S118&lt;&gt;"",EDATE($D118,Milestones!$AA$39)&gt;=$S118),$V118,IF(AND($R118&lt;&gt;"",EDATE($D118,Milestones!$AA$39)&gt;=$R118),$U118,$T118)))=Milestones!$AB$39),TEXT(EDATE($D118,Milestones!$AA$39),"dd/mm/yy")&amp;" "&amp;Milestones!$AB$39&amp;" "&amp;Milestones!$AC$39&amp;";  ",""))</f>
        <v/>
      </c>
      <c r="I118" s="0" t="str">
        <f aca="false">IF(OR($A118="",$D118=""),"",IF(AND(EDATE($D118,Milestones!$AA$40)&lt;=AsOfDate,IF($Q118=0,$W118,IF(AND($S118&lt;&gt;"",EDATE($D118,Milestones!$AA$40)&gt;=$S118),$V118,IF(AND($R118&lt;&gt;"",EDATE($D118,Milestones!$AA$40)&gt;=$R118),$U118,$T118)))=Milestones!$AB$40),TEXT(EDATE($D118,Milestones!$AA$40),"dd/mm/yy")&amp;" "&amp;Milestones!$AB$40&amp;" "&amp;Milestones!$AC$40&amp;";  ","")&amp;IF(AND(EDATE($D118,Milestones!$AA$41)&lt;=AsOfDate,IF($Q118=0,$W118,IF(AND($S118&lt;&gt;"",EDATE($D118,Milestones!$AA$41)&gt;=$S118),$V118,IF(AND($R118&lt;&gt;"",EDATE($D118,Milestones!$AA$41)&gt;=$R118),$U118,$T118)))=Milestones!$AB$41),TEXT(EDATE($D118,Milestones!$AA$41),"dd/mm/yy")&amp;" "&amp;Milestones!$AB$41&amp;" "&amp;Milestones!$AC$41&amp;";  ","")&amp;IF(AND(EDATE($D118,Milestones!$AA$42)&lt;=AsOfDate,IF($Q118=0,$W118,IF(AND($S118&lt;&gt;"",EDATE($D118,Milestones!$AA$42)&gt;=$S118),$V118,IF(AND($R118&lt;&gt;"",EDATE($D118,Milestones!$AA$42)&gt;=$R118),$U118,$T118)))=Milestones!$AB$42),TEXT(EDATE($D118,Milestones!$AA$42),"dd/mm/yy")&amp;" "&amp;Milestones!$AB$42&amp;" "&amp;Milestones!$AC$42&amp;";  ","")&amp;IF(AND(EDATE($D118,Milestones!$AA$43)&lt;=AsOfDate,IF($Q118=0,$W118,IF(AND($S118&lt;&gt;"",EDATE($D118,Milestones!$AA$43)&gt;=$S118),$V118,IF(AND($R118&lt;&gt;"",EDATE($D118,Milestones!$AA$43)&gt;=$R118),$U118,$T118)))=Milestones!$AB$43),TEXT(EDATE($D118,Milestones!$AA$43),"dd/mm/yy")&amp;" "&amp;Milestones!$AB$43&amp;" "&amp;Milestones!$AC$43&amp;";  ","")&amp;IF(AND(EDATE($D118,Milestones!$AA$44)&lt;=AsOfDate,IF($Q118=0,$W118,IF(AND($S118&lt;&gt;"",EDATE($D118,Milestones!$AA$44)&gt;=$S118),$V118,IF(AND($R118&lt;&gt;"",EDATE($D118,Milestones!$AA$44)&gt;=$R118),$U118,$T118)))=Milestones!$AB$44),TEXT(EDATE($D118,Milestones!$AA$44),"dd/mm/yy")&amp;" "&amp;Milestones!$AB$44&amp;" "&amp;Milestones!$AC$44&amp;";  ","")&amp;IF(AND(EDATE($D118,Milestones!$AA$45)&lt;=AsOfDate,IF($Q118=0,$W118,IF(AND($S118&lt;&gt;"",EDATE($D118,Milestones!$AA$45)&gt;=$S118),$V118,IF(AND($R118&lt;&gt;"",EDATE($D118,Milestones!$AA$45)&gt;=$R118),$U118,$T118)))=Milestones!$AB$45),TEXT(EDATE($D118,Milestones!$AA$45),"dd/mm/yy")&amp;" "&amp;Milestones!$AB$45&amp;" "&amp;Milestones!$AC$45&amp;";  ","")&amp;IF(AND(EDATE($D118,Milestones!$AA$46)&lt;=AsOfDate,IF($Q118=0,$W118,IF(AND($S118&lt;&gt;"",EDATE($D118,Milestones!$AA$46)&gt;=$S118),$V118,IF(AND($R118&lt;&gt;"",EDATE($D118,Milestones!$AA$46)&gt;=$R118),$U118,$T118)))=Milestones!$AB$46),TEXT(EDATE($D118,Milestones!$AA$46),"dd/mm/yy")&amp;" "&amp;Milestones!$AB$46&amp;" "&amp;Milestones!$AC$46&amp;";  ","")&amp;IF(AND(EDATE($D118,Milestones!$AA$47)&lt;=AsOfDate,IF($Q118=0,$W118,IF(AND($S118&lt;&gt;"",EDATE($D118,Milestones!$AA$47)&gt;=$S118),$V118,IF(AND($R118&lt;&gt;"",EDATE($D118,Milestones!$AA$47)&gt;=$R118),$U118,$T118)))=Milestones!$AB$47),TEXT(EDATE($D118,Milestones!$AA$47),"dd/mm/yy")&amp;" "&amp;Milestones!$AB$47&amp;" "&amp;Milestones!$AC$47&amp;";  ","")&amp;IF(AND(EDATE($D118,Milestones!$AA$48)&lt;=AsOfDate,IF($Q118=0,$W118,IF(AND($S118&lt;&gt;"",EDATE($D118,Milestones!$AA$48)&gt;=$S118),$V118,IF(AND($R118&lt;&gt;"",EDATE($D118,Milestones!$AA$48)&gt;=$R118),$U118,$T118)))=Milestones!$AB$48),TEXT(EDATE($D118,Milestones!$AA$48),"dd/mm/yy")&amp;" "&amp;Milestones!$AB$48&amp;" "&amp;Milestones!$AC$48&amp;";  ","")&amp;IF(AND(EDATE($D118,Milestones!$AA$49)&lt;=AsOfDate,IF($Q118=0,$W118,IF(AND($S118&lt;&gt;"",EDATE($D118,Milestones!$AA$49)&gt;=$S118),$V118,IF(AND($R118&lt;&gt;"",EDATE($D118,Milestones!$AA$49)&gt;=$R118),$U118,$T118)))=Milestones!$AB$49),TEXT(EDATE($D118,Milestones!$AA$49),"dd/mm/yy")&amp;" "&amp;Milestones!$AB$49&amp;" "&amp;Milestones!$AC$49&amp;";  ","")&amp;IF(AND(EDATE($D118,Milestones!$AA$50)&lt;=AsOfDate,IF($Q118=0,$W118,IF(AND($S118&lt;&gt;"",EDATE($D118,Milestones!$AA$50)&gt;=$S118),$V118,IF(AND($R118&lt;&gt;"",EDATE($D118,Milestones!$AA$50)&gt;=$R118),$U118,$T118)))=Milestones!$AB$50),TEXT(EDATE($D118,Milestones!$AA$50),"dd/mm/yy")&amp;" "&amp;Milestones!$AB$50&amp;" "&amp;Milestones!$AC$50&amp;";  ","")&amp;IF(AND(EDATE($D118,Milestones!$AA$51)&lt;=AsOfDate,IF($Q118=0,$W118,IF(AND($S118&lt;&gt;"",EDATE($D118,Milestones!$AA$51)&gt;=$S118),$V118,IF(AND($R118&lt;&gt;"",EDATE($D118,Milestones!$AA$51)&gt;=$R118),$U118,$T118)))=Milestones!$AB$51),TEXT(EDATE($D118,Milestones!$AA$51),"dd/mm/yy")&amp;" "&amp;Milestones!$AB$51&amp;" "&amp;Milestones!$AC$51&amp;";  ","")&amp;IF(AND(EDATE($D118,Milestones!$AA$52)&lt;=AsOfDate,IF($Q118=0,$W118,IF(AND($S118&lt;&gt;"",EDATE($D118,Milestones!$AA$52)&gt;=$S118),$V118,IF(AND($R118&lt;&gt;"",EDATE($D118,Milestones!$AA$52)&gt;=$R118),$U118,$T118)))=Milestones!$AB$52),TEXT(EDATE($D118,Milestones!$AA$52),"dd/mm/yy")&amp;" "&amp;Milestones!$AB$52&amp;" "&amp;Milestones!$AC$52&amp;";  ","")&amp;IF(AND(EDATE($D118,Milestones!$AA$53)&lt;=AsOfDate,IF($Q118=0,$W118,IF(AND($S118&lt;&gt;"",EDATE($D118,Milestones!$AA$53)&gt;=$S118),$V118,IF(AND($R118&lt;&gt;"",EDATE($D118,Milestones!$AA$53)&gt;=$R118),$U118,$T118)))=Milestones!$AB$53),TEXT(EDATE($D118,Milestones!$AA$53),"dd/mm/yy")&amp;" "&amp;Milestones!$AB$53&amp;" "&amp;Milestones!$AC$53&amp;";  ","")&amp;IF(AND(EDATE($D118,Milestones!$AA$54)&lt;=AsOfDate,IF($Q118=0,$W118,IF(AND($S118&lt;&gt;"",EDATE($D118,Milestones!$AA$54)&gt;=$S118),$V118,IF(AND($R118&lt;&gt;"",EDATE($D118,Milestones!$AA$54)&gt;=$R118),$U118,$T118)))=Milestones!$AB$54),TEXT(EDATE($D118,Milestones!$AA$54),"dd/mm/yy")&amp;" "&amp;Milestones!$AB$54&amp;" "&amp;Milestones!$AC$54&amp;";  ","")&amp;IF(AND(EDATE($D118,Milestones!$AA$55)&lt;=AsOfDate,IF($Q118=0,$W118,IF(AND($S118&lt;&gt;"",EDATE($D118,Milestones!$AA$55)&gt;=$S118),$V118,IF(AND($R118&lt;&gt;"",EDATE($D118,Milestones!$AA$55)&gt;=$R118),$U118,$T118)))=Milestones!$AB$55),TEXT(EDATE($D118,Milestones!$AA$55),"dd/mm/yy")&amp;" "&amp;Milestones!$AB$55&amp;" "&amp;Milestones!$AC$55&amp;";  ","")&amp;IF(AND(EDATE($D118,Milestones!$AA$56)&lt;=AsOfDate,IF($Q118=0,$W118,IF(AND($S118&lt;&gt;"",EDATE($D118,Milestones!$AA$56)&gt;=$S118),$V118,IF(AND($R118&lt;&gt;"",EDATE($D118,Milestones!$AA$56)&gt;=$R118),$U118,$T118)))=Milestones!$AB$56),TEXT(EDATE($D118,Milestones!$AA$56),"dd/mm/yy")&amp;" "&amp;Milestones!$AB$56&amp;" "&amp;Milestones!$AC$56&amp;";  ","")&amp;IF(AND(EDATE($D118,Milestones!$AA$57)&lt;=AsOfDate,IF($Q118=0,$W118,IF(AND($S118&lt;&gt;"",EDATE($D118,Milestones!$AA$57)&gt;=$S118),$V118,IF(AND($R118&lt;&gt;"",EDATE($D118,Milestones!$AA$57)&gt;=$R118),$U118,$T118)))=Milestones!$AB$57),TEXT(EDATE($D118,Milestones!$AA$57),"dd/mm/yy")&amp;" "&amp;Milestones!$AB$57&amp;" "&amp;Milestones!$AC$57&amp;";  ","")&amp;IF(AND(EDATE($D118,Milestones!$AA$58)&lt;=AsOfDate,IF($Q118=0,$W118,IF(AND($S118&lt;&gt;"",EDATE($D118,Milestones!$AA$58)&gt;=$S118),$V118,IF(AND($R118&lt;&gt;"",EDATE($D118,Milestones!$AA$58)&gt;=$R118),$U118,$T118)))=Milestones!$AB$58),TEXT(EDATE($D118,Milestones!$AA$58),"dd/mm/yy")&amp;" "&amp;Milestones!$AB$58&amp;" "&amp;Milestones!$AC$58&amp;";  ","")&amp;IF(AND(EDATE($D118,Milestones!$AA$59)&lt;=AsOfDate,IF($Q118=0,$W118,IF(AND($S118&lt;&gt;"",EDATE($D118,Milestones!$AA$59)&gt;=$S118),$V118,IF(AND($R118&lt;&gt;"",EDATE($D118,Milestones!$AA$59)&gt;=$R118),$U118,$T118)))=Milestones!$AB$59),TEXT(EDATE($D118,Milestones!$AA$59),"dd/mm/yy")&amp;" "&amp;Milestones!$AB$59&amp;" "&amp;Milestones!$AC$59&amp;";  ",""))</f>
        <v/>
      </c>
      <c r="J118" s="0" t="str">
        <f aca="false">IF(OR($A118="",$D118=""),"",IF(AND(EDATE($D118,Milestones!$AA$60)&lt;=AsOfDate,IF($Q118=0,$W118,IF(AND($S118&lt;&gt;"",EDATE($D118,Milestones!$AA$60)&gt;=$S118),$V118,IF(AND($R118&lt;&gt;"",EDATE($D118,Milestones!$AA$60)&gt;=$R118),$U118,$T118)))=Milestones!$AB$60),TEXT(EDATE($D118,Milestones!$AA$60),"dd/mm/yy")&amp;" "&amp;Milestones!$AB$60&amp;" "&amp;Milestones!$AC$60&amp;";  ","")&amp;IF(AND(EDATE($D118,Milestones!$AA$61)&lt;=AsOfDate,IF($Q118=0,$W118,IF(AND($S118&lt;&gt;"",EDATE($D118,Milestones!$AA$61)&gt;=$S118),$V118,IF(AND($R118&lt;&gt;"",EDATE($D118,Milestones!$AA$61)&gt;=$R118),$U118,$T118)))=Milestones!$AB$61),TEXT(EDATE($D118,Milestones!$AA$61),"dd/mm/yy")&amp;" "&amp;Milestones!$AB$61&amp;" "&amp;Milestones!$AC$61&amp;";  ","")&amp;IF(AND(EDATE($D118,Milestones!$AA$62)&lt;=AsOfDate,IF($Q118=0,$W118,IF(AND($S118&lt;&gt;"",EDATE($D118,Milestones!$AA$62)&gt;=$S118),$V118,IF(AND($R118&lt;&gt;"",EDATE($D118,Milestones!$AA$62)&gt;=$R118),$U118,$T118)))=Milestones!$AB$62),TEXT(EDATE($D118,Milestones!$AA$62),"dd/mm/yy")&amp;" "&amp;Milestones!$AB$62&amp;" "&amp;Milestones!$AC$62&amp;";  ","")&amp;IF(AND(EDATE($D118,Milestones!$AA$63)&lt;=AsOfDate,IF($Q118=0,$W118,IF(AND($S118&lt;&gt;"",EDATE($D118,Milestones!$AA$63)&gt;=$S118),$V118,IF(AND($R118&lt;&gt;"",EDATE($D118,Milestones!$AA$63)&gt;=$R118),$U118,$T118)))=Milestones!$AB$63),TEXT(EDATE($D118,Milestones!$AA$63),"dd/mm/yy")&amp;" "&amp;Milestones!$AB$63&amp;" "&amp;Milestones!$AC$63&amp;";  ","")&amp;IF(AND(EDATE($D118,Milestones!$AA$64)&lt;=AsOfDate,IF($Q118=0,$W118,IF(AND($S118&lt;&gt;"",EDATE($D118,Milestones!$AA$64)&gt;=$S118),$V118,IF(AND($R118&lt;&gt;"",EDATE($D118,Milestones!$AA$64)&gt;=$R118),$U118,$T118)))=Milestones!$AB$64),TEXT(EDATE($D118,Milestones!$AA$64),"dd/mm/yy")&amp;" "&amp;Milestones!$AB$64&amp;" "&amp;Milestones!$AC$64&amp;";  ","")&amp;IF(AND(EDATE($D118,Milestones!$AA$65)&lt;=AsOfDate,IF($Q118=0,$W118,IF(AND($S118&lt;&gt;"",EDATE($D118,Milestones!$AA$65)&gt;=$S118),$V118,IF(AND($R118&lt;&gt;"",EDATE($D118,Milestones!$AA$65)&gt;=$R118),$U118,$T118)))=Milestones!$AB$65),TEXT(EDATE($D118,Milestones!$AA$65),"dd/mm/yy")&amp;" "&amp;Milestones!$AB$65&amp;" "&amp;Milestones!$AC$65&amp;";  ","")&amp;IF(AND(EDATE($D118,Milestones!$AA$66)&lt;=AsOfDate,IF($Q118=0,$W118,IF(AND($S118&lt;&gt;"",EDATE($D118,Milestones!$AA$66)&gt;=$S118),$V118,IF(AND($R118&lt;&gt;"",EDATE($D118,Milestones!$AA$66)&gt;=$R118),$U118,$T118)))=Milestones!$AB$66),TEXT(EDATE($D118,Milestones!$AA$66),"dd/mm/yy")&amp;" "&amp;Milestones!$AB$66&amp;" "&amp;Milestones!$AC$66&amp;";  ","")&amp;IF(AND(EDATE($D118,Milestones!$AA$67)&lt;=AsOfDate,IF($Q118=0,$W118,IF(AND($S118&lt;&gt;"",EDATE($D118,Milestones!$AA$67)&gt;=$S118),$V118,IF(AND($R118&lt;&gt;"",EDATE($D118,Milestones!$AA$67)&gt;=$R118),$U118,$T118)))=Milestones!$AB$67),TEXT(EDATE($D118,Milestones!$AA$67),"dd/mm/yy")&amp;" "&amp;Milestones!$AB$67&amp;" "&amp;Milestones!$AC$67&amp;";  ","")&amp;IF(AND(EDATE($D118,Milestones!$AA$68)&lt;=AsOfDate,IF($Q118=0,$W118,IF(AND($S118&lt;&gt;"",EDATE($D118,Milestones!$AA$68)&gt;=$S118),$V118,IF(AND($R118&lt;&gt;"",EDATE($D118,Milestones!$AA$68)&gt;=$R118),$U118,$T118)))=Milestones!$AB$68),TEXT(EDATE($D118,Milestones!$AA$68),"dd/mm/yy")&amp;" "&amp;Milestones!$AB$68&amp;" "&amp;Milestones!$AC$68&amp;";  ","")&amp;IF(AND(EDATE($D118,Milestones!$AA$69)&lt;=AsOfDate,IF($Q118=0,$W118,IF(AND($S118&lt;&gt;"",EDATE($D118,Milestones!$AA$69)&gt;=$S118),$V118,IF(AND($R118&lt;&gt;"",EDATE($D118,Milestones!$AA$69)&gt;=$R118),$U118,$T118)))=Milestones!$AB$69),TEXT(EDATE($D118,Milestones!$AA$69),"dd/mm/yy")&amp;" "&amp;Milestones!$AB$69&amp;" "&amp;Milestones!$AC$69&amp;";  ","")&amp;IF(AND(EDATE($D118,Milestones!$AA$70)&lt;=AsOfDate,IF($Q118=0,$W118,IF(AND($S118&lt;&gt;"",EDATE($D118,Milestones!$AA$70)&gt;=$S118),$V118,IF(AND($R118&lt;&gt;"",EDATE($D118,Milestones!$AA$70)&gt;=$R118),$U118,$T118)))=Milestones!$AB$70),TEXT(EDATE($D118,Milestones!$AA$70),"dd/mm/yy")&amp;" "&amp;Milestones!$AB$70&amp;" "&amp;Milestones!$AC$70&amp;";  ","")&amp;IF(AND(EDATE($D118,Milestones!$AA$71)&lt;=AsOfDate,IF($Q118=0,$W118,IF(AND($S118&lt;&gt;"",EDATE($D118,Milestones!$AA$71)&gt;=$S118),$V118,IF(AND($R118&lt;&gt;"",EDATE($D118,Milestones!$AA$71)&gt;=$R118),$U118,$T118)))=Milestones!$AB$71),TEXT(EDATE($D118,Milestones!$AA$71),"dd/mm/yy")&amp;" "&amp;Milestones!$AB$71&amp;" "&amp;Milestones!$AC$71&amp;";  ","")&amp;IF(AND(EDATE($D118,Milestones!$AA$72)&lt;=AsOfDate,IF($Q118=0,$W118,IF(AND($S118&lt;&gt;"",EDATE($D118,Milestones!$AA$72)&gt;=$S118),$V118,IF(AND($R118&lt;&gt;"",EDATE($D118,Milestones!$AA$72)&gt;=$R118),$U118,$T118)))=Milestones!$AB$72),TEXT(EDATE($D118,Milestones!$AA$72),"dd/mm/yy")&amp;" "&amp;Milestones!$AB$72&amp;" "&amp;Milestones!$AC$72&amp;";  ","")&amp;IF(AND(EDATE($D118,Milestones!$AA$73)&lt;=AsOfDate,IF($Q118=0,$W118,IF(AND($S118&lt;&gt;"",EDATE($D118,Milestones!$AA$73)&gt;=$S118),$V118,IF(AND($R118&lt;&gt;"",EDATE($D118,Milestones!$AA$73)&gt;=$R118),$U118,$T118)))=Milestones!$AB$73),TEXT(EDATE($D118,Milestones!$AA$73),"dd/mm/yy")&amp;" "&amp;Milestones!$AB$73&amp;" "&amp;Milestones!$AC$73&amp;";  ","")&amp;IF(AND(EDATE($D118,Milestones!$AA$74)&lt;=AsOfDate,IF($Q118=0,$W118,IF(AND($S118&lt;&gt;"",EDATE($D118,Milestones!$AA$74)&gt;=$S118),$V118,IF(AND($R118&lt;&gt;"",EDATE($D118,Milestones!$AA$74)&gt;=$R118),$U118,$T118)))=Milestones!$AB$74),TEXT(EDATE($D118,Milestones!$AA$74),"dd/mm/yy")&amp;" "&amp;Milestones!$AB$74&amp;" "&amp;Milestones!$AC$74&amp;";  ","")&amp;IF(AND(EDATE($D118,Milestones!$AA$75)&lt;=AsOfDate,IF($Q118=0,$W118,IF(AND($S118&lt;&gt;"",EDATE($D118,Milestones!$AA$75)&gt;=$S118),$V118,IF(AND($R118&lt;&gt;"",EDATE($D118,Milestones!$AA$75)&gt;=$R118),$U118,$T118)))=Milestones!$AB$75),TEXT(EDATE($D118,Milestones!$AA$75),"dd/mm/yy")&amp;" "&amp;Milestones!$AB$75&amp;" "&amp;Milestones!$AC$75&amp;";  ","")&amp;IF(AND(EDATE($D118,Milestones!$AA$76)&lt;=AsOfDate,IF($Q118=0,$W118,IF(AND($S118&lt;&gt;"",EDATE($D118,Milestones!$AA$76)&gt;=$S118),$V118,IF(AND($R118&lt;&gt;"",EDATE($D118,Milestones!$AA$76)&gt;=$R118),$U118,$T118)))=Milestones!$AB$76),TEXT(EDATE($D118,Milestones!$AA$76),"dd/mm/yy")&amp;" "&amp;Milestones!$AB$76&amp;" "&amp;Milestones!$AC$76&amp;";  ","")&amp;IF(AND(EDATE($D118,Milestones!$AA$77)&lt;=AsOfDate,IF($Q118=0,$W118,IF(AND($S118&lt;&gt;"",EDATE($D118,Milestones!$AA$77)&gt;=$S118),$V118,IF(AND($R118&lt;&gt;"",EDATE($D118,Milestones!$AA$77)&gt;=$R118),$U118,$T118)))=Milestones!$AB$77),TEXT(EDATE($D118,Milestones!$AA$77),"dd/mm/yy")&amp;" "&amp;Milestones!$AB$77&amp;" "&amp;Milestones!$AC$77&amp;";  ","")&amp;IF(AND(EDATE($D118,Milestones!$AA$78)&lt;=AsOfDate,IF($Q118=0,$W118,IF(AND($S118&lt;&gt;"",EDATE($D118,Milestones!$AA$78)&gt;=$S118),$V118,IF(AND($R118&lt;&gt;"",EDATE($D118,Milestones!$AA$78)&gt;=$R118),$U118,$T118)))=Milestones!$AB$78),TEXT(EDATE($D118,Milestones!$AA$78),"dd/mm/yy")&amp;" "&amp;Milestones!$AB$78&amp;" "&amp;Milestones!$AC$78&amp;";  ","")&amp;IF(AND(EDATE($D118,Milestones!$AA$79)&lt;=AsOfDate,IF($Q118=0,$W118,IF(AND($S118&lt;&gt;"",EDATE($D118,Milestones!$AA$79)&gt;=$S118),$V118,IF(AND($R118&lt;&gt;"",EDATE($D118,Milestones!$AA$79)&gt;=$R118),$U118,$T118)))=Milestones!$AB$79),TEXT(EDATE($D118,Milestones!$AA$79),"dd/mm/yy")&amp;" "&amp;Milestones!$AB$79&amp;" "&amp;Milestones!$AC$79&amp;";  ",""))</f>
        <v/>
      </c>
      <c r="K118" s="0" t="str">
        <f aca="false">IF(OR($A118="",$D118=""),"",IF(AND(EDATE($D118,Milestones!$AA$80)&lt;=AsOfDate,IF($Q118=0,$W118,IF(AND($S118&lt;&gt;"",EDATE($D118,Milestones!$AA$80)&gt;=$S118),$V118,IF(AND($R118&lt;&gt;"",EDATE($D118,Milestones!$AA$80)&gt;=$R118),$U118,$T118)))=Milestones!$AB$80),TEXT(EDATE($D118,Milestones!$AA$80),"dd/mm/yy")&amp;" "&amp;Milestones!$AB$80&amp;" "&amp;Milestones!$AC$80&amp;";  ","")&amp;IF(AND(EDATE($D118,Milestones!$AA$81)&lt;=AsOfDate,IF($Q118=0,$W118,IF(AND($S118&lt;&gt;"",EDATE($D118,Milestones!$AA$81)&gt;=$S118),$V118,IF(AND($R118&lt;&gt;"",EDATE($D118,Milestones!$AA$81)&gt;=$R118),$U118,$T118)))=Milestones!$AB$81),TEXT(EDATE($D118,Milestones!$AA$81),"dd/mm/yy")&amp;" "&amp;Milestones!$AB$81&amp;" "&amp;Milestones!$AC$81&amp;";  ","")&amp;IF(AND(EDATE($D118,Milestones!$AA$82)&lt;=AsOfDate,IF($Q118=0,$W118,IF(AND($S118&lt;&gt;"",EDATE($D118,Milestones!$AA$82)&gt;=$S118),$V118,IF(AND($R118&lt;&gt;"",EDATE($D118,Milestones!$AA$82)&gt;=$R118),$U118,$T118)))=Milestones!$AB$82),TEXT(EDATE($D118,Milestones!$AA$82),"dd/mm/yy")&amp;" "&amp;Milestones!$AB$82&amp;" "&amp;Milestones!$AC$82&amp;";  ","")&amp;IF(AND(EDATE($D118,Milestones!$AA$83)&lt;=AsOfDate,IF($Q118=0,$W118,IF(AND($S118&lt;&gt;"",EDATE($D118,Milestones!$AA$83)&gt;=$S118),$V118,IF(AND($R118&lt;&gt;"",EDATE($D118,Milestones!$AA$83)&gt;=$R118),$U118,$T118)))=Milestones!$AB$83),TEXT(EDATE($D118,Milestones!$AA$83),"dd/mm/yy")&amp;" "&amp;Milestones!$AB$83&amp;" "&amp;Milestones!$AC$83&amp;";  ","")&amp;IF(AND(EDATE($D118,Milestones!$AA$84)&lt;=AsOfDate,IF($Q118=0,$W118,IF(AND($S118&lt;&gt;"",EDATE($D118,Milestones!$AA$84)&gt;=$S118),$V118,IF(AND($R118&lt;&gt;"",EDATE($D118,Milestones!$AA$84)&gt;=$R118),$U118,$T118)))=Milestones!$AB$84),TEXT(EDATE($D118,Milestones!$AA$84),"dd/mm/yy")&amp;" "&amp;Milestones!$AB$84&amp;" "&amp;Milestones!$AC$84&amp;";  ","")&amp;IF(AND(EDATE($D118,Milestones!$AA$85)&lt;=AsOfDate,IF($Q118=0,$W118,IF(AND($S118&lt;&gt;"",EDATE($D118,Milestones!$AA$85)&gt;=$S118),$V118,IF(AND($R118&lt;&gt;"",EDATE($D118,Milestones!$AA$85)&gt;=$R118),$U118,$T118)))=Milestones!$AB$85),TEXT(EDATE($D118,Milestones!$AA$85),"dd/mm/yy")&amp;" "&amp;Milestones!$AB$85&amp;" "&amp;Milestones!$AC$85&amp;";  ","")&amp;IF(AND(EDATE($D118,Milestones!$AA$86)&lt;=AsOfDate,IF($Q118=0,$W118,IF(AND($S118&lt;&gt;"",EDATE($D118,Milestones!$AA$86)&gt;=$S118),$V118,IF(AND($R118&lt;&gt;"",EDATE($D118,Milestones!$AA$86)&gt;=$R118),$U118,$T118)))=Milestones!$AB$86),TEXT(EDATE($D118,Milestones!$AA$86),"dd/mm/yy")&amp;" "&amp;Milestones!$AB$86&amp;" "&amp;Milestones!$AC$86&amp;";  ","")&amp;IF(AND(EDATE($D118,Milestones!$AA$87)&lt;=AsOfDate,IF($Q118=0,$W118,IF(AND($S118&lt;&gt;"",EDATE($D118,Milestones!$AA$87)&gt;=$S118),$V118,IF(AND($R118&lt;&gt;"",EDATE($D118,Milestones!$AA$87)&gt;=$R118),$U118,$T118)))=Milestones!$AB$87),TEXT(EDATE($D118,Milestones!$AA$87),"dd/mm/yy")&amp;" "&amp;Milestones!$AB$87&amp;" "&amp;Milestones!$AC$87&amp;";  ","")&amp;IF(AND(EDATE($D118,Milestones!$AA$88)&lt;=AsOfDate,IF($Q118=0,$W118,IF(AND($S118&lt;&gt;"",EDATE($D118,Milestones!$AA$88)&gt;=$S118),$V118,IF(AND($R118&lt;&gt;"",EDATE($D118,Milestones!$AA$88)&gt;=$R118),$U118,$T118)))=Milestones!$AB$88),TEXT(EDATE($D118,Milestones!$AA$88),"dd/mm/yy")&amp;" "&amp;Milestones!$AB$88&amp;" "&amp;Milestones!$AC$88&amp;";  ","")&amp;IF(AND(EDATE($D118,Milestones!$AA$89)&lt;=AsOfDate,IF($Q118=0,$W118,IF(AND($S118&lt;&gt;"",EDATE($D118,Milestones!$AA$89)&gt;=$S118),$V118,IF(AND($R118&lt;&gt;"",EDATE($D118,Milestones!$AA$89)&gt;=$R118),$U118,$T118)))=Milestones!$AB$89),TEXT(EDATE($D118,Milestones!$AA$89),"dd/mm/yy")&amp;" "&amp;Milestones!$AB$89&amp;" "&amp;Milestones!$AC$89&amp;";  ","")&amp;IF(AND(EDATE($D118,Milestones!$AA$90)&lt;=AsOfDate,IF($Q118=0,$W118,IF(AND($S118&lt;&gt;"",EDATE($D118,Milestones!$AA$90)&gt;=$S118),$V118,IF(AND($R118&lt;&gt;"",EDATE($D118,Milestones!$AA$90)&gt;=$R118),$U118,$T118)))=Milestones!$AB$90),TEXT(EDATE($D118,Milestones!$AA$90),"dd/mm/yy")&amp;" "&amp;Milestones!$AB$90&amp;" "&amp;Milestones!$AC$90&amp;";  ","")&amp;IF(AND(EDATE($D118,Milestones!$AA$91)&lt;=AsOfDate,IF($Q118=0,$W118,IF(AND($S118&lt;&gt;"",EDATE($D118,Milestones!$AA$91)&gt;=$S118),$V118,IF(AND($R118&lt;&gt;"",EDATE($D118,Milestones!$AA$91)&gt;=$R118),$U118,$T118)))=Milestones!$AB$91),TEXT(EDATE($D118,Milestones!$AA$91),"dd/mm/yy")&amp;" "&amp;Milestones!$AB$91&amp;" "&amp;Milestones!$AC$91&amp;";  ","")&amp;IF(AND(EDATE($D118,Milestones!$AA$92)&lt;=AsOfDate,IF($Q118=0,$W118,IF(AND($S118&lt;&gt;"",EDATE($D118,Milestones!$AA$92)&gt;=$S118),$V118,IF(AND($R118&lt;&gt;"",EDATE($D118,Milestones!$AA$92)&gt;=$R118),$U118,$T118)))=Milestones!$AB$92),TEXT(EDATE($D118,Milestones!$AA$92),"dd/mm/yy")&amp;" "&amp;Milestones!$AB$92&amp;" "&amp;Milestones!$AC$92&amp;";  ","")&amp;IF(AND(EDATE($D118,Milestones!$AA$93)&lt;=AsOfDate,IF($Q118=0,$W118,IF(AND($S118&lt;&gt;"",EDATE($D118,Milestones!$AA$93)&gt;=$S118),$V118,IF(AND($R118&lt;&gt;"",EDATE($D118,Milestones!$AA$93)&gt;=$R118),$U118,$T118)))=Milestones!$AB$93),TEXT(EDATE($D118,Milestones!$AA$93),"dd/mm/yy")&amp;" "&amp;Milestones!$AB$93&amp;" "&amp;Milestones!$AC$93&amp;";  ","")&amp;IF(AND(EDATE($D118,Milestones!$AA$94)&lt;=AsOfDate,IF($Q118=0,$W118,IF(AND($S118&lt;&gt;"",EDATE($D118,Milestones!$AA$94)&gt;=$S118),$V118,IF(AND($R118&lt;&gt;"",EDATE($D118,Milestones!$AA$94)&gt;=$R118),$U118,$T118)))=Milestones!$AB$94),TEXT(EDATE($D118,Milestones!$AA$94),"dd/mm/yy")&amp;" "&amp;Milestones!$AB$94&amp;" "&amp;Milestones!$AC$94&amp;";  ","")&amp;IF(AND(EDATE($D118,Milestones!$AA$95)&lt;=AsOfDate,IF($Q118=0,$W118,IF(AND($S118&lt;&gt;"",EDATE($D118,Milestones!$AA$95)&gt;=$S118),$V118,IF(AND($R118&lt;&gt;"",EDATE($D118,Milestones!$AA$95)&gt;=$R118),$U118,$T118)))=Milestones!$AB$95),TEXT(EDATE($D118,Milestones!$AA$95),"dd/mm/yy")&amp;" "&amp;Milestones!$AB$95&amp;" "&amp;Milestones!$AC$95&amp;";  ","")&amp;IF(AND(EDATE($D118,Milestones!$AA$96)&lt;=AsOfDate,IF($Q118=0,$W118,IF(AND($S118&lt;&gt;"",EDATE($D118,Milestones!$AA$96)&gt;=$S118),$V118,IF(AND($R118&lt;&gt;"",EDATE($D118,Milestones!$AA$96)&gt;=$R118),$U118,$T118)))=Milestones!$AB$96),TEXT(EDATE($D118,Milestones!$AA$96),"dd/mm/yy")&amp;" "&amp;Milestones!$AB$96&amp;" "&amp;Milestones!$AC$96&amp;";  ","")&amp;IF(AND(EDATE($D118,Milestones!$AA$97)&lt;=AsOfDate,IF($Q118=0,$W118,IF(AND($S118&lt;&gt;"",EDATE($D118,Milestones!$AA$97)&gt;=$S118),$V118,IF(AND($R118&lt;&gt;"",EDATE($D118,Milestones!$AA$97)&gt;=$R118),$U118,$T118)))=Milestones!$AB$97),TEXT(EDATE($D118,Milestones!$AA$97),"dd/mm/yy")&amp;" "&amp;Milestones!$AB$97&amp;" "&amp;Milestones!$AC$97&amp;";  ","")&amp;IF(AND(EDATE($D118,Milestones!$AA$98)&lt;=AsOfDate,IF($Q118=0,$W118,IF(AND($S118&lt;&gt;"",EDATE($D118,Milestones!$AA$98)&gt;=$S118),$V118,IF(AND($R118&lt;&gt;"",EDATE($D118,Milestones!$AA$98)&gt;=$R118),$U118,$T118)))=Milestones!$AB$98),TEXT(EDATE($D118,Milestones!$AA$98),"dd/mm/yy")&amp;" "&amp;Milestones!$AB$98&amp;" "&amp;Milestones!$AC$98&amp;";  ","")&amp;IF(AND(EDATE($D118,Milestones!$AA$99)&lt;=AsOfDate,IF($Q118=0,$W118,IF(AND($S118&lt;&gt;"",EDATE($D118,Milestones!$AA$99)&gt;=$S118),$V118,IF(AND($R118&lt;&gt;"",EDATE($D118,Milestones!$AA$99)&gt;=$R118),$U118,$T118)))=Milestones!$AB$99),TEXT(EDATE($D118,Milestones!$AA$99),"dd/mm/yy")&amp;" "&amp;Milestones!$AB$99&amp;" "&amp;Milestones!$AC$99&amp;";  ",""))</f>
        <v/>
      </c>
      <c r="L118" s="0" t="str">
        <f aca="false">IF(OR($A118="",$D118=""),"",IF(AND(EDATE($D118,Milestones!$AA$100)&lt;=AsOfDate,IF($Q118=0,$W118,IF(AND($S118&lt;&gt;"",EDATE($D118,Milestones!$AA$100)&gt;=$S118),$V118,IF(AND($R118&lt;&gt;"",EDATE($D118,Milestones!$AA$100)&gt;=$R118),$U118,$T118)))=Milestones!$AB$100),TEXT(EDATE($D118,Milestones!$AA$100),"dd/mm/yy")&amp;" "&amp;Milestones!$AB$100&amp;" "&amp;Milestones!$AC$100&amp;";  ","")&amp;IF(AND(EDATE($D118,Milestones!$AA$101)&lt;=AsOfDate,IF($Q118=0,$W118,IF(AND($S118&lt;&gt;"",EDATE($D118,Milestones!$AA$101)&gt;=$S118),$V118,IF(AND($R118&lt;&gt;"",EDATE($D118,Milestones!$AA$101)&gt;=$R118),$U118,$T118)))=Milestones!$AB$101),TEXT(EDATE($D118,Milestones!$AA$101),"dd/mm/yy")&amp;" "&amp;Milestones!$AB$101&amp;" "&amp;Milestones!$AC$101&amp;";  ","")&amp;IF(AND(EDATE($D118,Milestones!$AA$102)&lt;=AsOfDate,IF($Q118=0,$W118,IF(AND($S118&lt;&gt;"",EDATE($D118,Milestones!$AA$102)&gt;=$S118),$V118,IF(AND($R118&lt;&gt;"",EDATE($D118,Milestones!$AA$102)&gt;=$R118),$U118,$T118)))=Milestones!$AB$102),TEXT(EDATE($D118,Milestones!$AA$102),"dd/mm/yy")&amp;" "&amp;Milestones!$AB$102&amp;" "&amp;Milestones!$AC$102&amp;";  ","")&amp;IF(AND(EDATE($D118,Milestones!$AA$103)&lt;=AsOfDate,IF($Q118=0,$W118,IF(AND($S118&lt;&gt;"",EDATE($D118,Milestones!$AA$103)&gt;=$S118),$V118,IF(AND($R118&lt;&gt;"",EDATE($D118,Milestones!$AA$103)&gt;=$R118),$U118,$T118)))=Milestones!$AB$103),TEXT(EDATE($D118,Milestones!$AA$103),"dd/mm/yy")&amp;" "&amp;Milestones!$AB$103&amp;" "&amp;Milestones!$AC$103&amp;";  ","")&amp;IF(AND(EDATE($D118,Milestones!$AA$104)&lt;=AsOfDate,IF($Q118=0,$W118,IF(AND($S118&lt;&gt;"",EDATE($D118,Milestones!$AA$104)&gt;=$S118),$V118,IF(AND($R118&lt;&gt;"",EDATE($D118,Milestones!$AA$104)&gt;=$R118),$U118,$T118)))=Milestones!$AB$104),TEXT(EDATE($D118,Milestones!$AA$104),"dd/mm/yy")&amp;" "&amp;Milestones!$AB$104&amp;" "&amp;Milestones!$AC$104&amp;";  ","")&amp;IF(AND(EDATE($D118,Milestones!$AA$105)&lt;=AsOfDate,IF($Q118=0,$W118,IF(AND($S118&lt;&gt;"",EDATE($D118,Milestones!$AA$105)&gt;=$S118),$V118,IF(AND($R118&lt;&gt;"",EDATE($D118,Milestones!$AA$105)&gt;=$R118),$U118,$T118)))=Milestones!$AB$105),TEXT(EDATE($D118,Milestones!$AA$105),"dd/mm/yy")&amp;" "&amp;Milestones!$AB$105&amp;" "&amp;Milestones!$AC$105&amp;";  ","")&amp;IF(AND(EDATE($D118,Milestones!$AA$106)&lt;=AsOfDate,IF($Q118=0,$W118,IF(AND($S118&lt;&gt;"",EDATE($D118,Milestones!$AA$106)&gt;=$S118),$V118,IF(AND($R118&lt;&gt;"",EDATE($D118,Milestones!$AA$106)&gt;=$R118),$U118,$T118)))=Milestones!$AB$106),TEXT(EDATE($D118,Milestones!$AA$106),"dd/mm/yy")&amp;" "&amp;Milestones!$AB$106&amp;" "&amp;Milestones!$AC$106&amp;";  ","")&amp;IF(AND(EDATE($D118,Milestones!$AA$107)&lt;=AsOfDate,IF($Q118=0,$W118,IF(AND($S118&lt;&gt;"",EDATE($D118,Milestones!$AA$107)&gt;=$S118),$V118,IF(AND($R118&lt;&gt;"",EDATE($D118,Milestones!$AA$107)&gt;=$R118),$U118,$T118)))=Milestones!$AB$107),TEXT(EDATE($D118,Milestones!$AA$107),"dd/mm/yy")&amp;" "&amp;Milestones!$AB$107&amp;" "&amp;Milestones!$AC$107&amp;";  ","")&amp;IF(AND(EDATE($D118,Milestones!$AA$108)&lt;=AsOfDate,IF($Q118=0,$W118,IF(AND($S118&lt;&gt;"",EDATE($D118,Milestones!$AA$108)&gt;=$S118),$V118,IF(AND($R118&lt;&gt;"",EDATE($D118,Milestones!$AA$108)&gt;=$R118),$U118,$T118)))=Milestones!$AB$108),TEXT(EDATE($D118,Milestones!$AA$108),"dd/mm/yy")&amp;" "&amp;Milestones!$AB$108&amp;" "&amp;Milestones!$AC$108&amp;";  ","")&amp;IF(AND(EDATE($D118,Milestones!$AA$109)&lt;=AsOfDate,IF($Q118=0,$W118,IF(AND($S118&lt;&gt;"",EDATE($D118,Milestones!$AA$109)&gt;=$S118),$V118,IF(AND($R118&lt;&gt;"",EDATE($D118,Milestones!$AA$109)&gt;=$R118),$U118,$T118)))=Milestones!$AB$109),TEXT(EDATE($D118,Milestones!$AA$109),"dd/mm/yy")&amp;" "&amp;Milestones!$AB$109&amp;" "&amp;Milestones!$AC$109&amp;";  ","")&amp;IF(AND(EDATE($D118,Milestones!$AA$110)&lt;=AsOfDate,IF($Q118=0,$W118,IF(AND($S118&lt;&gt;"",EDATE($D118,Milestones!$AA$110)&gt;=$S118),$V118,IF(AND($R118&lt;&gt;"",EDATE($D118,Milestones!$AA$110)&gt;=$R118),$U118,$T118)))=Milestones!$AB$110),TEXT(EDATE($D118,Milestones!$AA$110),"dd/mm/yy")&amp;" "&amp;Milestones!$AB$110&amp;" "&amp;Milestones!$AC$110&amp;";  ","")&amp;IF(AND(EDATE($D118,Milestones!$AA$111)&lt;=AsOfDate,IF($Q118=0,$W118,IF(AND($S118&lt;&gt;"",EDATE($D118,Milestones!$AA$111)&gt;=$S118),$V118,IF(AND($R118&lt;&gt;"",EDATE($D118,Milestones!$AA$111)&gt;=$R118),$U118,$T118)))=Milestones!$AB$111),TEXT(EDATE($D118,Milestones!$AA$111),"dd/mm/yy")&amp;" "&amp;Milestones!$AB$111&amp;" "&amp;Milestones!$AC$111&amp;";  ","")&amp;IF(AND(EDATE($D118,Milestones!$AA$112)&lt;=AsOfDate,IF($Q118=0,$W118,IF(AND($S118&lt;&gt;"",EDATE($D118,Milestones!$AA$112)&gt;=$S118),$V118,IF(AND($R118&lt;&gt;"",EDATE($D118,Milestones!$AA$112)&gt;=$R118),$U118,$T118)))=Milestones!$AB$112),TEXT(EDATE($D118,Milestones!$AA$112),"dd/mm/yy")&amp;" "&amp;Milestones!$AB$112&amp;" "&amp;Milestones!$AC$112&amp;";  ","")&amp;IF(AND(EDATE($D118,Milestones!$AA$113)&lt;=AsOfDate,IF($Q118=0,$W118,IF(AND($S118&lt;&gt;"",EDATE($D118,Milestones!$AA$113)&gt;=$S118),$V118,IF(AND($R118&lt;&gt;"",EDATE($D118,Milestones!$AA$113)&gt;=$R118),$U118,$T118)))=Milestones!$AB$113),TEXT(EDATE($D118,Milestones!$AA$113),"dd/mm/yy")&amp;" "&amp;Milestones!$AB$113&amp;" "&amp;Milestones!$AC$113&amp;";  ","")&amp;IF(AND(EDATE($D118,Milestones!$AA$114)&lt;=AsOfDate,IF($Q118=0,$W118,IF(AND($S118&lt;&gt;"",EDATE($D118,Milestones!$AA$114)&gt;=$S118),$V118,IF(AND($R118&lt;&gt;"",EDATE($D118,Milestones!$AA$114)&gt;=$R118),$U118,$T118)))=Milestones!$AB$114),TEXT(EDATE($D118,Milestones!$AA$114),"dd/mm/yy")&amp;" "&amp;Milestones!$AB$114&amp;" "&amp;Milestones!$AC$114&amp;";  ","")&amp;IF(AND(EDATE($D118,Milestones!$AA$115)&lt;=AsOfDate,IF($Q118=0,$W118,IF(AND($S118&lt;&gt;"",EDATE($D118,Milestones!$AA$115)&gt;=$S118),$V118,IF(AND($R118&lt;&gt;"",EDATE($D118,Milestones!$AA$115)&gt;=$R118),$U118,$T118)))=Milestones!$AB$115),TEXT(EDATE($D118,Milestones!$AA$115),"dd/mm/yy")&amp;" "&amp;Milestones!$AB$115&amp;" "&amp;Milestones!$AC$115&amp;";  ","")&amp;IF(AND(EDATE($D118,Milestones!$AA$116)&lt;=AsOfDate,IF($Q118=0,$W118,IF(AND($S118&lt;&gt;"",EDATE($D118,Milestones!$AA$116)&gt;=$S118),$V118,IF(AND($R118&lt;&gt;"",EDATE($D118,Milestones!$AA$116)&gt;=$R118),$U118,$T118)))=Milestones!$AB$116),TEXT(EDATE($D118,Milestones!$AA$116),"dd/mm/yy")&amp;" "&amp;Milestones!$AB$116&amp;" "&amp;Milestones!$AC$116&amp;";  ","")&amp;IF(AND(EDATE($D118,Milestones!$AA$117)&lt;=AsOfDate,IF($Q118=0,$W118,IF(AND($S118&lt;&gt;"",EDATE($D118,Milestones!$AA$117)&gt;=$S118),$V118,IF(AND($R118&lt;&gt;"",EDATE($D118,Milestones!$AA$117)&gt;=$R118),$U118,$T118)))=Milestones!$AB$117),TEXT(EDATE($D118,Milestones!$AA$117),"dd/mm/yy")&amp;" "&amp;Milestones!$AB$117&amp;" "&amp;Milestones!$AC$117&amp;";  ","")&amp;IF(AND(EDATE($D118,Milestones!$AA$118)&lt;=AsOfDate,IF($Q118=0,$W118,IF(AND($S118&lt;&gt;"",EDATE($D118,Milestones!$AA$118)&gt;=$S118),$V118,IF(AND($R118&lt;&gt;"",EDATE($D118,Milestones!$AA$118)&gt;=$R118),$U118,$T118)))=Milestones!$AB$118),TEXT(EDATE($D118,Milestones!$AA$118),"dd/mm/yy")&amp;" "&amp;Milestones!$AB$118&amp;" "&amp;Milestones!$AC$118&amp;";  ","")&amp;IF(AND(EDATE($D118,Milestones!$AA$119)&lt;=AsOfDate,IF($Q118=0,$W118,IF(AND($S118&lt;&gt;"",EDATE($D118,Milestones!$AA$119)&gt;=$S118),$V118,IF(AND($R118&lt;&gt;"",EDATE($D118,Milestones!$AA$119)&gt;=$R118),$U118,$T118)))=Milestones!$AB$119),TEXT(EDATE($D118,Milestones!$AA$119),"dd/mm/yy")&amp;" "&amp;Milestones!$AB$119&amp;" "&amp;Milestones!$AC$119&amp;";  ",""))</f>
        <v/>
      </c>
      <c r="M118" s="0" t="str">
        <f aca="false">IF(OR($A118="",$D118=""),"",IF(AND(EDATE($D118,Milestones!$AA$120)&lt;=AsOfDate,IF($Q118=0,$W118,IF(AND($S118&lt;&gt;"",EDATE($D118,Milestones!$AA$120)&gt;=$S118),$V118,IF(AND($R118&lt;&gt;"",EDATE($D118,Milestones!$AA$120)&gt;=$R118),$U118,$T118)))=Milestones!$AB$120),TEXT(EDATE($D118,Milestones!$AA$120),"dd/mm/yy")&amp;" "&amp;Milestones!$AB$120&amp;" "&amp;Milestones!$AC$120&amp;";  ","")&amp;IF(AND(EDATE($D118,Milestones!$AA$121)&lt;=AsOfDate,IF($Q118=0,$W118,IF(AND($S118&lt;&gt;"",EDATE($D118,Milestones!$AA$121)&gt;=$S118),$V118,IF(AND($R118&lt;&gt;"",EDATE($D118,Milestones!$AA$121)&gt;=$R118),$U118,$T118)))=Milestones!$AB$121),TEXT(EDATE($D118,Milestones!$AA$121),"dd/mm/yy")&amp;" "&amp;Milestones!$AB$121&amp;" "&amp;Milestones!$AC$121&amp;";  ","")&amp;IF(AND(EDATE($D118,Milestones!$AA$122)&lt;=AsOfDate,IF($Q118=0,$W118,IF(AND($S118&lt;&gt;"",EDATE($D118,Milestones!$AA$122)&gt;=$S118),$V118,IF(AND($R118&lt;&gt;"",EDATE($D118,Milestones!$AA$122)&gt;=$R118),$U118,$T118)))=Milestones!$AB$122),TEXT(EDATE($D118,Milestones!$AA$122),"dd/mm/yy")&amp;" "&amp;Milestones!$AB$122&amp;" "&amp;Milestones!$AC$122&amp;";  ","")&amp;IF(AND(EDATE($D118,Milestones!$AA$123)&lt;=AsOfDate,IF($Q118=0,$W118,IF(AND($S118&lt;&gt;"",EDATE($D118,Milestones!$AA$123)&gt;=$S118),$V118,IF(AND($R118&lt;&gt;"",EDATE($D118,Milestones!$AA$123)&gt;=$R118),$U118,$T118)))=Milestones!$AB$123),TEXT(EDATE($D118,Milestones!$AA$123),"dd/mm/yy")&amp;" "&amp;Milestones!$AB$123&amp;" "&amp;Milestones!$AC$123&amp;";  ","")&amp;IF(AND(EDATE($D118,Milestones!$AA$124)&lt;=AsOfDate,IF($Q118=0,$W118,IF(AND($S118&lt;&gt;"",EDATE($D118,Milestones!$AA$124)&gt;=$S118),$V118,IF(AND($R118&lt;&gt;"",EDATE($D118,Milestones!$AA$124)&gt;=$R118),$U118,$T118)))=Milestones!$AB$124),TEXT(EDATE($D118,Milestones!$AA$124),"dd/mm/yy")&amp;" "&amp;Milestones!$AB$124&amp;" "&amp;Milestones!$AC$124&amp;";  ","")&amp;IF(AND(EDATE($D118,Milestones!$AA$125)&lt;=AsOfDate,IF($Q118=0,$W118,IF(AND($S118&lt;&gt;"",EDATE($D118,Milestones!$AA$125)&gt;=$S118),$V118,IF(AND($R118&lt;&gt;"",EDATE($D118,Milestones!$AA$125)&gt;=$R118),$U118,$T118)))=Milestones!$AB$125),TEXT(EDATE($D118,Milestones!$AA$125),"dd/mm/yy")&amp;" "&amp;Milestones!$AB$125&amp;" "&amp;Milestones!$AC$125&amp;";  ","")&amp;IF(AND(EDATE($D118,Milestones!$AA$126)&lt;=AsOfDate,IF($Q118=0,$W118,IF(AND($S118&lt;&gt;"",EDATE($D118,Milestones!$AA$126)&gt;=$S118),$V118,IF(AND($R118&lt;&gt;"",EDATE($D118,Milestones!$AA$126)&gt;=$R118),$U118,$T118)))=Milestones!$AB$126),TEXT(EDATE($D118,Milestones!$AA$126),"dd/mm/yy")&amp;" "&amp;Milestones!$AB$126&amp;" "&amp;Milestones!$AC$126&amp;";  ","")&amp;IF(AND(EDATE($D118,Milestones!$AA$127)&lt;=AsOfDate,IF($Q118=0,$W118,IF(AND($S118&lt;&gt;"",EDATE($D118,Milestones!$AA$127)&gt;=$S118),$V118,IF(AND($R118&lt;&gt;"",EDATE($D118,Milestones!$AA$127)&gt;=$R118),$U118,$T118)))=Milestones!$AB$127),TEXT(EDATE($D118,Milestones!$AA$127),"dd/mm/yy")&amp;" "&amp;Milestones!$AB$127&amp;" "&amp;Milestones!$AC$127&amp;";  ","")&amp;IF(AND(EDATE($D118,Milestones!$AA$128)&lt;=AsOfDate,IF($Q118=0,$W118,IF(AND($S118&lt;&gt;"",EDATE($D118,Milestones!$AA$128)&gt;=$S118),$V118,IF(AND($R118&lt;&gt;"",EDATE($D118,Milestones!$AA$128)&gt;=$R118),$U118,$T118)))=Milestones!$AB$128),TEXT(EDATE($D118,Milestones!$AA$128),"dd/mm/yy")&amp;" "&amp;Milestones!$AB$128&amp;" "&amp;Milestones!$AC$128&amp;";  ","")&amp;IF(AND(EDATE($D118,Milestones!$AA$129)&lt;=AsOfDate,IF($Q118=0,$W118,IF(AND($S118&lt;&gt;"",EDATE($D118,Milestones!$AA$129)&gt;=$S118),$V118,IF(AND($R118&lt;&gt;"",EDATE($D118,Milestones!$AA$129)&gt;=$R118),$U118,$T118)))=Milestones!$AB$129),TEXT(EDATE($D118,Milestones!$AA$129),"dd/mm/yy")&amp;" "&amp;Milestones!$AB$129&amp;" "&amp;Milestones!$AC$129&amp;";  ","")&amp;IF(AND(EDATE($D118,Milestones!$AA$130)&lt;=AsOfDate,IF($Q118=0,$W118,IF(AND($S118&lt;&gt;"",EDATE($D118,Milestones!$AA$130)&gt;=$S118),$V118,IF(AND($R118&lt;&gt;"",EDATE($D118,Milestones!$AA$130)&gt;=$R118),$U118,$T118)))=Milestones!$AB$130),TEXT(EDATE($D118,Milestones!$AA$130),"dd/mm/yy")&amp;" "&amp;Milestones!$AB$130&amp;" "&amp;Milestones!$AC$130&amp;";  ","")&amp;IF(AND(EDATE($D118,Milestones!$AA$131)&lt;=AsOfDate,IF($Q118=0,$W118,IF(AND($S118&lt;&gt;"",EDATE($D118,Milestones!$AA$131)&gt;=$S118),$V118,IF(AND($R118&lt;&gt;"",EDATE($D118,Milestones!$AA$131)&gt;=$R118),$U118,$T118)))=Milestones!$AB$131),TEXT(EDATE($D118,Milestones!$AA$131),"dd/mm/yy")&amp;" "&amp;Milestones!$AB$131&amp;" "&amp;Milestones!$AC$131&amp;";  ","")&amp;IF(AND(EDATE($D118,Milestones!$AA$132)&lt;=AsOfDate,IF($Q118=0,$W118,IF(AND($S118&lt;&gt;"",EDATE($D118,Milestones!$AA$132)&gt;=$S118),$V118,IF(AND($R118&lt;&gt;"",EDATE($D118,Milestones!$AA$132)&gt;=$R118),$U118,$T118)))=Milestones!$AB$132),TEXT(EDATE($D118,Milestones!$AA$132),"dd/mm/yy")&amp;" "&amp;Milestones!$AB$132&amp;" "&amp;Milestones!$AC$132&amp;";  ","")&amp;IF(AND(EDATE($D118,Milestones!$AA$133)&lt;=AsOfDate,IF($Q118=0,$W118,IF(AND($S118&lt;&gt;"",EDATE($D118,Milestones!$AA$133)&gt;=$S118),$V118,IF(AND($R118&lt;&gt;"",EDATE($D118,Milestones!$AA$133)&gt;=$R118),$U118,$T118)))=Milestones!$AB$133),TEXT(EDATE($D118,Milestones!$AA$133),"dd/mm/yy")&amp;" "&amp;Milestones!$AB$133&amp;" "&amp;Milestones!$AC$133&amp;";  ","")&amp;IF(AND(EDATE($D118,Milestones!$AA$134)&lt;=AsOfDate,IF($Q118=0,$W118,IF(AND($S118&lt;&gt;"",EDATE($D118,Milestones!$AA$134)&gt;=$S118),$V118,IF(AND($R118&lt;&gt;"",EDATE($D118,Milestones!$AA$134)&gt;=$R118),$U118,$T118)))=Milestones!$AB$134),TEXT(EDATE($D118,Milestones!$AA$134),"dd/mm/yy")&amp;" "&amp;Milestones!$AB$134&amp;" "&amp;Milestones!$AC$134&amp;";  ","")&amp;IF(AND(EDATE($D118,Milestones!$AA$135)&lt;=AsOfDate,IF($Q118=0,$W118,IF(AND($S118&lt;&gt;"",EDATE($D118,Milestones!$AA$135)&gt;=$S118),$V118,IF(AND($R118&lt;&gt;"",EDATE($D118,Milestones!$AA$135)&gt;=$R118),$U118,$T118)))=Milestones!$AB$135),TEXT(EDATE($D118,Milestones!$AA$135),"dd/mm/yy")&amp;" "&amp;Milestones!$AB$135&amp;" "&amp;Milestones!$AC$135&amp;";  ","")&amp;IF(AND(EDATE($D118,Milestones!$AA$136)&lt;=AsOfDate,IF($Q118=0,$W118,IF(AND($S118&lt;&gt;"",EDATE($D118,Milestones!$AA$136)&gt;=$S118),$V118,IF(AND($R118&lt;&gt;"",EDATE($D118,Milestones!$AA$136)&gt;=$R118),$U118,$T118)))=Milestones!$AB$136),TEXT(EDATE($D118,Milestones!$AA$136),"dd/mm/yy")&amp;" "&amp;Milestones!$AB$136&amp;" "&amp;Milestones!$AC$136&amp;";  ","")&amp;IF(AND(EDATE($D118,Milestones!$AA$137)&lt;=AsOfDate,IF($Q118=0,$W118,IF(AND($S118&lt;&gt;"",EDATE($D118,Milestones!$AA$137)&gt;=$S118),$V118,IF(AND($R118&lt;&gt;"",EDATE($D118,Milestones!$AA$137)&gt;=$R118),$U118,$T118)))=Milestones!$AB$137),TEXT(EDATE($D118,Milestones!$AA$137),"dd/mm/yy")&amp;" "&amp;Milestones!$AB$137&amp;" "&amp;Milestones!$AC$137&amp;";  ","")&amp;IF(AND(EDATE($D118,Milestones!$AA$138)&lt;=AsOfDate,IF($Q118=0,$W118,IF(AND($S118&lt;&gt;"",EDATE($D118,Milestones!$AA$138)&gt;=$S118),$V118,IF(AND($R118&lt;&gt;"",EDATE($D118,Milestones!$AA$138)&gt;=$R118),$U118,$T118)))=Milestones!$AB$138),TEXT(EDATE($D118,Milestones!$AA$138),"dd/mm/yy")&amp;" "&amp;Milestones!$AB$138&amp;" "&amp;Milestones!$AC$138&amp;";  ","")&amp;IF(AND(EDATE($D118,Milestones!$AA$139)&lt;=AsOfDate,IF($Q118=0,$W118,IF(AND($S118&lt;&gt;"",EDATE($D118,Milestones!$AA$139)&gt;=$S118),$V118,IF(AND($R118&lt;&gt;"",EDATE($D118,Milestones!$AA$139)&gt;=$R118),$U118,$T118)))=Milestones!$AB$139),TEXT(EDATE($D118,Milestones!$AA$139),"dd/mm/yy")&amp;" "&amp;Milestones!$AB$139&amp;" "&amp;Milestones!$AC$139&amp;";  ",""))</f>
        <v/>
      </c>
      <c r="N118" s="0" t="str">
        <f aca="false">IF(OR($A118="",$D118=""),"",IF(AND(EDATE($D118,Milestones!$AA$140)&lt;=AsOfDate,IF($Q118=0,$W118,IF(AND($S118&lt;&gt;"",EDATE($D118,Milestones!$AA$140)&gt;=$S118),$V118,IF(AND($R118&lt;&gt;"",EDATE($D118,Milestones!$AA$140)&gt;=$R118),$U118,$T118)))=Milestones!$AB$140),TEXT(EDATE($D118,Milestones!$AA$140),"dd/mm/yy")&amp;" "&amp;Milestones!$AB$140&amp;" "&amp;Milestones!$AC$140&amp;";  ","")&amp;IF(AND(EDATE($D118,Milestones!$AA$141)&lt;=AsOfDate,IF($Q118=0,$W118,IF(AND($S118&lt;&gt;"",EDATE($D118,Milestones!$AA$141)&gt;=$S118),$V118,IF(AND($R118&lt;&gt;"",EDATE($D118,Milestones!$AA$141)&gt;=$R118),$U118,$T118)))=Milestones!$AB$141),TEXT(EDATE($D118,Milestones!$AA$141),"dd/mm/yy")&amp;" "&amp;Milestones!$AB$141&amp;" "&amp;Milestones!$AC$141&amp;";  ","")&amp;IF(AND(EDATE($D118,Milestones!$AA$142)&lt;=AsOfDate,IF($Q118=0,$W118,IF(AND($S118&lt;&gt;"",EDATE($D118,Milestones!$AA$142)&gt;=$S118),$V118,IF(AND($R118&lt;&gt;"",EDATE($D118,Milestones!$AA$142)&gt;=$R118),$U118,$T118)))=Milestones!$AB$142),TEXT(EDATE($D118,Milestones!$AA$142),"dd/mm/yy")&amp;" "&amp;Milestones!$AB$142&amp;" "&amp;Milestones!$AC$142&amp;";  ","")&amp;IF(AND(EDATE($D118,Milestones!$AA$143)&lt;=AsOfDate,IF($Q118=0,$W118,IF(AND($S118&lt;&gt;"",EDATE($D118,Milestones!$AA$143)&gt;=$S118),$V118,IF(AND($R118&lt;&gt;"",EDATE($D118,Milestones!$AA$143)&gt;=$R118),$U118,$T118)))=Milestones!$AB$143),TEXT(EDATE($D118,Milestones!$AA$143),"dd/mm/yy")&amp;" "&amp;Milestones!$AB$143&amp;" "&amp;Milestones!$AC$143&amp;";  ","")&amp;IF(AND(EDATE($D118,Milestones!$AA$144)&lt;=AsOfDate,IF($Q118=0,$W118,IF(AND($S118&lt;&gt;"",EDATE($D118,Milestones!$AA$144)&gt;=$S118),$V118,IF(AND($R118&lt;&gt;"",EDATE($D118,Milestones!$AA$144)&gt;=$R118),$U118,$T118)))=Milestones!$AB$144),TEXT(EDATE($D118,Milestones!$AA$144),"dd/mm/yy")&amp;" "&amp;Milestones!$AB$144&amp;" "&amp;Milestones!$AC$144&amp;";  ","")&amp;IF(AND(EDATE($D118,Milestones!$AA$145)&lt;=AsOfDate,IF($Q118=0,$W118,IF(AND($S118&lt;&gt;"",EDATE($D118,Milestones!$AA$145)&gt;=$S118),$V118,IF(AND($R118&lt;&gt;"",EDATE($D118,Milestones!$AA$145)&gt;=$R118),$U118,$T118)))=Milestones!$AB$145),TEXT(EDATE($D118,Milestones!$AA$145),"dd/mm/yy")&amp;" "&amp;Milestones!$AB$145&amp;" "&amp;Milestones!$AC$145&amp;";  ","")&amp;IF(AND(EDATE($D118,Milestones!$AA$146)&lt;=AsOfDate,IF($Q118=0,$W118,IF(AND($S118&lt;&gt;"",EDATE($D118,Milestones!$AA$146)&gt;=$S118),$V118,IF(AND($R118&lt;&gt;"",EDATE($D118,Milestones!$AA$146)&gt;=$R118),$U118,$T118)))=Milestones!$AB$146),TEXT(EDATE($D118,Milestones!$AA$146),"dd/mm/yy")&amp;" "&amp;Milestones!$AB$146&amp;" "&amp;Milestones!$AC$146&amp;";  ","")&amp;IF(AND(EDATE($D118,Milestones!$AA$147)&lt;=AsOfDate,IF($Q118=0,$W118,IF(AND($S118&lt;&gt;"",EDATE($D118,Milestones!$AA$147)&gt;=$S118),$V118,IF(AND($R118&lt;&gt;"",EDATE($D118,Milestones!$AA$147)&gt;=$R118),$U118,$T118)))=Milestones!$AB$147),TEXT(EDATE($D118,Milestones!$AA$147),"dd/mm/yy")&amp;" "&amp;Milestones!$AB$147&amp;" "&amp;Milestones!$AC$147&amp;";  ","")&amp;IF(AND(EDATE($D118,Milestones!$AA$148)&lt;=AsOfDate,IF($Q118=0,$W118,IF(AND($S118&lt;&gt;"",EDATE($D118,Milestones!$AA$148)&gt;=$S118),$V118,IF(AND($R118&lt;&gt;"",EDATE($D118,Milestones!$AA$148)&gt;=$R118),$U118,$T118)))=Milestones!$AB$148),TEXT(EDATE($D118,Milestones!$AA$148),"dd/mm/yy")&amp;" "&amp;Milestones!$AB$148&amp;" "&amp;Milestones!$AC$148&amp;";  ","")&amp;IF(AND(EDATE($D118,Milestones!$AA$149)&lt;=AsOfDate,IF($Q118=0,$W118,IF(AND($S118&lt;&gt;"",EDATE($D118,Milestones!$AA$149)&gt;=$S118),$V118,IF(AND($R118&lt;&gt;"",EDATE($D118,Milestones!$AA$149)&gt;=$R118),$U118,$T118)))=Milestones!$AB$149),TEXT(EDATE($D118,Milestones!$AA$149),"dd/mm/yy")&amp;" "&amp;Milestones!$AB$149&amp;" "&amp;Milestones!$AC$149&amp;";  ","")&amp;IF(AND(EDATE($D118,Milestones!$AA$150)&lt;=AsOfDate,IF($Q118=0,$W118,IF(AND($S118&lt;&gt;"",EDATE($D118,Milestones!$AA$150)&gt;=$S118),$V118,IF(AND($R118&lt;&gt;"",EDATE($D118,Milestones!$AA$150)&gt;=$R118),$U118,$T118)))=Milestones!$AB$150),TEXT(EDATE($D118,Milestones!$AA$150),"dd/mm/yy")&amp;" "&amp;Milestones!$AB$150&amp;" "&amp;Milestones!$AC$150&amp;";  ","")&amp;IF(AND(EDATE($D118,Milestones!$AA$151)&lt;=AsOfDate,IF($Q118=0,$W118,IF(AND($S118&lt;&gt;"",EDATE($D118,Milestones!$AA$151)&gt;=$S118),$V118,IF(AND($R118&lt;&gt;"",EDATE($D118,Milestones!$AA$151)&gt;=$R118),$U118,$T118)))=Milestones!$AB$151),TEXT(EDATE($D118,Milestones!$AA$151),"dd/mm/yy")&amp;" "&amp;Milestones!$AB$151&amp;" "&amp;Milestones!$AC$151&amp;";  ","")&amp;IF(AND(EDATE($D118,Milestones!$AA$152)&lt;=AsOfDate,IF($Q118=0,$W118,IF(AND($S118&lt;&gt;"",EDATE($D118,Milestones!$AA$152)&gt;=$S118),$V118,IF(AND($R118&lt;&gt;"",EDATE($D118,Milestones!$AA$152)&gt;=$R118),$U118,$T118)))=Milestones!$AB$152),TEXT(EDATE($D118,Milestones!$AA$152),"dd/mm/yy")&amp;" "&amp;Milestones!$AB$152&amp;" "&amp;Milestones!$AC$152&amp;";  ","")&amp;IF(AND(EDATE($D118,Milestones!$AA$153)&lt;=AsOfDate,IF($Q118=0,$W118,IF(AND($S118&lt;&gt;"",EDATE($D118,Milestones!$AA$153)&gt;=$S118),$V118,IF(AND($R118&lt;&gt;"",EDATE($D118,Milestones!$AA$153)&gt;=$R118),$U118,$T118)))=Milestones!$AB$153),TEXT(EDATE($D118,Milestones!$AA$153),"dd/mm/yy")&amp;" "&amp;Milestones!$AB$153&amp;" "&amp;Milestones!$AC$153&amp;";  ","")&amp;IF(AND(EDATE($D118,Milestones!$AA$154)&lt;=AsOfDate,IF($Q118=0,$W118,IF(AND($S118&lt;&gt;"",EDATE($D118,Milestones!$AA$154)&gt;=$S118),$V118,IF(AND($R118&lt;&gt;"",EDATE($D118,Milestones!$AA$154)&gt;=$R118),$U118,$T118)))=Milestones!$AB$154),TEXT(EDATE($D118,Milestones!$AA$154),"dd/mm/yy")&amp;" "&amp;Milestones!$AB$154&amp;" "&amp;Milestones!$AC$154&amp;";  ","")&amp;IF(AND(EDATE($D118,Milestones!$AA$155)&lt;=AsOfDate,IF($Q118=0,$W118,IF(AND($S118&lt;&gt;"",EDATE($D118,Milestones!$AA$155)&gt;=$S118),$V118,IF(AND($R118&lt;&gt;"",EDATE($D118,Milestones!$AA$155)&gt;=$R118),$U118,$T118)))=Milestones!$AB$155),TEXT(EDATE($D118,Milestones!$AA$155),"dd/mm/yy")&amp;" "&amp;Milestones!$AB$155&amp;" "&amp;Milestones!$AC$155&amp;";  ","")&amp;IF(AND(EDATE($D118,Milestones!$AA$156)&lt;=AsOfDate,IF($Q118=0,$W118,IF(AND($S118&lt;&gt;"",EDATE($D118,Milestones!$AA$156)&gt;=$S118),$V118,IF(AND($R118&lt;&gt;"",EDATE($D118,Milestones!$AA$156)&gt;=$R118),$U118,$T118)))=Milestones!$AB$156),TEXT(EDATE($D118,Milestones!$AA$156),"dd/mm/yy")&amp;" "&amp;Milestones!$AB$156&amp;" "&amp;Milestones!$AC$156&amp;";  ","")&amp;IF(AND(EDATE($D118,Milestones!$AA$157)&lt;=AsOfDate,IF($Q118=0,$W118,IF(AND($S118&lt;&gt;"",EDATE($D118,Milestones!$AA$157)&gt;=$S118),$V118,IF(AND($R118&lt;&gt;"",EDATE($D118,Milestones!$AA$157)&gt;=$R118),$U118,$T118)))=Milestones!$AB$157),TEXT(EDATE($D118,Milestones!$AA$157),"dd/mm/yy")&amp;" "&amp;Milestones!$AB$157&amp;" "&amp;Milestones!$AC$157&amp;";  ","")&amp;IF(AND(EDATE($D118,Milestones!$AA$158)&lt;=AsOfDate,IF($Q118=0,$W118,IF(AND($S118&lt;&gt;"",EDATE($D118,Milestones!$AA$158)&gt;=$S118),$V118,IF(AND($R118&lt;&gt;"",EDATE($D118,Milestones!$AA$158)&gt;=$R118),$U118,$T118)))=Milestones!$AB$158),TEXT(EDATE($D118,Milestones!$AA$158),"dd/mm/yy")&amp;" "&amp;Milestones!$AB$158&amp;" "&amp;Milestones!$AC$158&amp;";  ","")&amp;IF(AND(EDATE($D118,Milestones!$AA$159)&lt;=AsOfDate,IF($Q118=0,$W118,IF(AND($S118&lt;&gt;"",EDATE($D118,Milestones!$AA$159)&gt;=$S118),$V118,IF(AND($R118&lt;&gt;"",EDATE($D118,Milestones!$AA$159)&gt;=$R118),$U118,$T118)))=Milestones!$AB$159),TEXT(EDATE($D118,Milestones!$AA$159),"dd/mm/yy")&amp;" "&amp;Milestones!$AB$159&amp;" "&amp;Milestones!$AC$159&amp;";  ",""))</f>
        <v/>
      </c>
      <c r="O118" s="0" t="str">
        <f aca="false">IF(OR($A118="",$D118=""),"",IF(AND(EDATE($D118,Milestones!$AA$160)&lt;=AsOfDate,IF($Q118=0,$W118,IF(AND($S118&lt;&gt;"",EDATE($D118,Milestones!$AA$160)&gt;=$S118),$V118,IF(AND($R118&lt;&gt;"",EDATE($D118,Milestones!$AA$160)&gt;=$R118),$U118,$T118)))=Milestones!$AB$160),TEXT(EDATE($D118,Milestones!$AA$160),"dd/mm/yy")&amp;" "&amp;Milestones!$AB$160&amp;" "&amp;Milestones!$AC$160&amp;";  ","")&amp;IF(AND(EDATE($D118,Milestones!$AA$161)&lt;=AsOfDate,IF($Q118=0,$W118,IF(AND($S118&lt;&gt;"",EDATE($D118,Milestones!$AA$161)&gt;=$S118),$V118,IF(AND($R118&lt;&gt;"",EDATE($D118,Milestones!$AA$161)&gt;=$R118),$U118,$T118)))=Milestones!$AB$161),TEXT(EDATE($D118,Milestones!$AA$161),"dd/mm/yy")&amp;" "&amp;Milestones!$AB$161&amp;" "&amp;Milestones!$AC$161&amp;";  ","")&amp;IF(AND(EDATE($D118,Milestones!$AA$162)&lt;=AsOfDate,IF($Q118=0,$W118,IF(AND($S118&lt;&gt;"",EDATE($D118,Milestones!$AA$162)&gt;=$S118),$V118,IF(AND($R118&lt;&gt;"",EDATE($D118,Milestones!$AA$162)&gt;=$R118),$U118,$T118)))=Milestones!$AB$162),TEXT(EDATE($D118,Milestones!$AA$162),"dd/mm/yy")&amp;" "&amp;Milestones!$AB$162&amp;" "&amp;Milestones!$AC$162&amp;";  ","")&amp;IF(AND(EDATE($D118,Milestones!$AA$163)&lt;=AsOfDate,IF($Q118=0,$W118,IF(AND($S118&lt;&gt;"",EDATE($D118,Milestones!$AA$163)&gt;=$S118),$V118,IF(AND($R118&lt;&gt;"",EDATE($D118,Milestones!$AA$163)&gt;=$R118),$U118,$T118)))=Milestones!$AB$163),TEXT(EDATE($D118,Milestones!$AA$163),"dd/mm/yy")&amp;" "&amp;Milestones!$AB$163&amp;" "&amp;Milestones!$AC$163&amp;";  ","")&amp;IF(AND(EDATE($D118,Milestones!$AA$164)&lt;=AsOfDate,IF($Q118=0,$W118,IF(AND($S118&lt;&gt;"",EDATE($D118,Milestones!$AA$164)&gt;=$S118),$V118,IF(AND($R118&lt;&gt;"",EDATE($D118,Milestones!$AA$164)&gt;=$R118),$U118,$T118)))=Milestones!$AB$164),TEXT(EDATE($D118,Milestones!$AA$164),"dd/mm/yy")&amp;" "&amp;Milestones!$AB$164&amp;" "&amp;Milestones!$AC$164&amp;";  ","")&amp;IF(AND(EDATE($D118,Milestones!$AA$165)&lt;=AsOfDate,IF($Q118=0,$W118,IF(AND($S118&lt;&gt;"",EDATE($D118,Milestones!$AA$165)&gt;=$S118),$V118,IF(AND($R118&lt;&gt;"",EDATE($D118,Milestones!$AA$165)&gt;=$R118),$U118,$T118)))=Milestones!$AB$165),TEXT(EDATE($D118,Milestones!$AA$165),"dd/mm/yy")&amp;" "&amp;Milestones!$AB$165&amp;" "&amp;Milestones!$AC$165&amp;";  ","")&amp;IF(AND(EDATE($D118,Milestones!$AA$166)&lt;=AsOfDate,IF($Q118=0,$W118,IF(AND($S118&lt;&gt;"",EDATE($D118,Milestones!$AA$166)&gt;=$S118),$V118,IF(AND($R118&lt;&gt;"",EDATE($D118,Milestones!$AA$166)&gt;=$R118),$U118,$T118)))=Milestones!$AB$166),TEXT(EDATE($D118,Milestones!$AA$166),"dd/mm/yy")&amp;" "&amp;Milestones!$AB$166&amp;" "&amp;Milestones!$AC$166&amp;";  ","")&amp;IF(AND(EDATE($D118,Milestones!$AA$167)&lt;=AsOfDate,IF($Q118=0,$W118,IF(AND($S118&lt;&gt;"",EDATE($D118,Milestones!$AA$167)&gt;=$S118),$V118,IF(AND($R118&lt;&gt;"",EDATE($D118,Milestones!$AA$167)&gt;=$R118),$U118,$T118)))=Milestones!$AB$167),TEXT(EDATE($D118,Milestones!$AA$167),"dd/mm/yy")&amp;" "&amp;Milestones!$AB$167&amp;" "&amp;Milestones!$AC$167&amp;";  ","")&amp;IF(AND(EDATE($D118,Milestones!$AA$168)&lt;=AsOfDate,IF($Q118=0,$W118,IF(AND($S118&lt;&gt;"",EDATE($D118,Milestones!$AA$168)&gt;=$S118),$V118,IF(AND($R118&lt;&gt;"",EDATE($D118,Milestones!$AA$168)&gt;=$R118),$U118,$T118)))=Milestones!$AB$168),TEXT(EDATE($D118,Milestones!$AA$168),"dd/mm/yy")&amp;" "&amp;Milestones!$AB$168&amp;" "&amp;Milestones!$AC$168&amp;";  ","")&amp;IF(AND(EDATE($D118,Milestones!$AA$169)&lt;=AsOfDate,IF($Q118=0,$W118,IF(AND($S118&lt;&gt;"",EDATE($D118,Milestones!$AA$169)&gt;=$S118),$V118,IF(AND($R118&lt;&gt;"",EDATE($D118,Milestones!$AA$169)&gt;=$R118),$U118,$T118)))=Milestones!$AB$169),TEXT(EDATE($D118,Milestones!$AA$169),"dd/mm/yy")&amp;" "&amp;Milestones!$AB$169&amp;" "&amp;Milestones!$AC$169&amp;";  ","")&amp;IF(AND(EDATE($D118,Milestones!$AA$170)&lt;=AsOfDate,IF($Q118=0,$W118,IF(AND($S118&lt;&gt;"",EDATE($D118,Milestones!$AA$170)&gt;=$S118),$V118,IF(AND($R118&lt;&gt;"",EDATE($D118,Milestones!$AA$170)&gt;=$R118),$U118,$T118)))=Milestones!$AB$170),TEXT(EDATE($D118,Milestones!$AA$170),"dd/mm/yy")&amp;" "&amp;Milestones!$AB$170&amp;" "&amp;Milestones!$AC$170&amp;";  ","")&amp;IF(AND(EDATE($D118,Milestones!$AA$171)&lt;=AsOfDate,IF($Q118=0,$W118,IF(AND($S118&lt;&gt;"",EDATE($D118,Milestones!$AA$171)&gt;=$S118),$V118,IF(AND($R118&lt;&gt;"",EDATE($D118,Milestones!$AA$171)&gt;=$R118),$U118,$T118)))=Milestones!$AB$171),TEXT(EDATE($D118,Milestones!$AA$171),"dd/mm/yy")&amp;" "&amp;Milestones!$AB$171&amp;" "&amp;Milestones!$AC$171&amp;";  ","")&amp;IF(AND(EDATE($D118,Milestones!$AA$172)&lt;=AsOfDate,IF($Q118=0,$W118,IF(AND($S118&lt;&gt;"",EDATE($D118,Milestones!$AA$172)&gt;=$S118),$V118,IF(AND($R118&lt;&gt;"",EDATE($D118,Milestones!$AA$172)&gt;=$R118),$U118,$T118)))=Milestones!$AB$172),TEXT(EDATE($D118,Milestones!$AA$172),"dd/mm/yy")&amp;" "&amp;Milestones!$AB$172&amp;" "&amp;Milestones!$AC$172&amp;";  ","")&amp;IF(AND(EDATE($D118,Milestones!$AA$173)&lt;=AsOfDate,IF($Q118=0,$W118,IF(AND($S118&lt;&gt;"",EDATE($D118,Milestones!$AA$173)&gt;=$S118),$V118,IF(AND($R118&lt;&gt;"",EDATE($D118,Milestones!$AA$173)&gt;=$R118),$U118,$T118)))=Milestones!$AB$173),TEXT(EDATE($D118,Milestones!$AA$173),"dd/mm/yy")&amp;" "&amp;Milestones!$AB$173&amp;" "&amp;Milestones!$AC$173&amp;";  ","")&amp;IF(AND(EDATE($D118,Milestones!$AA$174)&lt;=AsOfDate,IF($Q118=0,$W118,IF(AND($S118&lt;&gt;"",EDATE($D118,Milestones!$AA$174)&gt;=$S118),$V118,IF(AND($R118&lt;&gt;"",EDATE($D118,Milestones!$AA$174)&gt;=$R118),$U118,$T118)))=Milestones!$AB$174),TEXT(EDATE($D118,Milestones!$AA$174),"dd/mm/yy")&amp;" "&amp;Milestones!$AB$174&amp;" "&amp;Milestones!$AC$174&amp;";  ","")&amp;IF(AND(EDATE($D118,Milestones!$AA$175)&lt;=AsOfDate,IF($Q118=0,$W118,IF(AND($S118&lt;&gt;"",EDATE($D118,Milestones!$AA$175)&gt;=$S118),$V118,IF(AND($R118&lt;&gt;"",EDATE($D118,Milestones!$AA$175)&gt;=$R118),$U118,$T118)))=Milestones!$AB$175),TEXT(EDATE($D118,Milestones!$AA$175),"dd/mm/yy")&amp;" "&amp;Milestones!$AB$175&amp;" "&amp;Milestones!$AC$175&amp;";  ","")&amp;IF(AND(EDATE($D118,Milestones!$AA$176)&lt;=AsOfDate,IF($Q118=0,$W118,IF(AND($S118&lt;&gt;"",EDATE($D118,Milestones!$AA$176)&gt;=$S118),$V118,IF(AND($R118&lt;&gt;"",EDATE($D118,Milestones!$AA$176)&gt;=$R118),$U118,$T118)))=Milestones!$AB$176),TEXT(EDATE($D118,Milestones!$AA$176),"dd/mm/yy")&amp;" "&amp;Milestones!$AB$176&amp;" "&amp;Milestones!$AC$176&amp;";  ","")&amp;IF(AND(EDATE($D118,Milestones!$AA$177)&lt;=AsOfDate,IF($Q118=0,$W118,IF(AND($S118&lt;&gt;"",EDATE($D118,Milestones!$AA$177)&gt;=$S118),$V118,IF(AND($R118&lt;&gt;"",EDATE($D118,Milestones!$AA$177)&gt;=$R118),$U118,$T118)))=Milestones!$AB$177),TEXT(EDATE($D118,Milestones!$AA$177),"dd/mm/yy")&amp;" "&amp;Milestones!$AB$177&amp;" "&amp;Milestones!$AC$177&amp;";  ","")&amp;IF(AND(EDATE($D118,Milestones!$AA$178)&lt;=AsOfDate,IF($Q118=0,$W118,IF(AND($S118&lt;&gt;"",EDATE($D118,Milestones!$AA$178)&gt;=$S118),$V118,IF(AND($R118&lt;&gt;"",EDATE($D118,Milestones!$AA$178)&gt;=$R118),$U118,$T118)))=Milestones!$AB$178),TEXT(EDATE($D118,Milestones!$AA$178),"dd/mm/yy")&amp;" "&amp;Milestones!$AB$178&amp;" "&amp;Milestones!$AC$178&amp;";  ","")&amp;IF(AND(EDATE($D118,Milestones!$AA$179)&lt;=AsOfDate,IF($Q118=0,$W118,IF(AND($S118&lt;&gt;"",EDATE($D118,Milestones!$AA$179)&gt;=$S118),$V118,IF(AND($R118&lt;&gt;"",EDATE($D118,Milestones!$AA$179)&gt;=$R118),$U118,$T118)))=Milestones!$AB$179),TEXT(EDATE($D118,Milestones!$AA$179),"dd/mm/yy")&amp;" "&amp;Milestones!$AB$179&amp;" "&amp;Milestones!$AC$179&amp;";  ",""))</f>
        <v/>
      </c>
      <c r="P118" s="0" t="str">
        <f aca="false">IF(OR($A118="",$D118=""),"",IF(AND(EDATE($D118,Milestones!$AA$180)&lt;=AsOfDate,IF($Q118=0,$W118,IF(AND($S118&lt;&gt;"",EDATE($D118,Milestones!$AA$180)&gt;=$S118),$V118,IF(AND($R118&lt;&gt;"",EDATE($D118,Milestones!$AA$180)&gt;=$R118),$U118,$T118)))=Milestones!$AB$180),TEXT(EDATE($D118,Milestones!$AA$180),"dd/mm/yy")&amp;" "&amp;Milestones!$AB$180&amp;" "&amp;Milestones!$AC$180&amp;";  ","")&amp;IF(AND(EDATE($D118,Milestones!$AA$181)&lt;=AsOfDate,IF($Q118=0,$W118,IF(AND($S118&lt;&gt;"",EDATE($D118,Milestones!$AA$181)&gt;=$S118),$V118,IF(AND($R118&lt;&gt;"",EDATE($D118,Milestones!$AA$181)&gt;=$R118),$U118,$T118)))=Milestones!$AB$181),TEXT(EDATE($D118,Milestones!$AA$181),"dd/mm/yy")&amp;" "&amp;Milestones!$AB$181&amp;" "&amp;Milestones!$AC$181&amp;";  ","")&amp;IF(AND(EDATE($D118,Milestones!$AA$182)&lt;=AsOfDate,IF($Q118=0,$W118,IF(AND($S118&lt;&gt;"",EDATE($D118,Milestones!$AA$182)&gt;=$S118),$V118,IF(AND($R118&lt;&gt;"",EDATE($D118,Milestones!$AA$182)&gt;=$R118),$U118,$T118)))=Milestones!$AB$182),TEXT(EDATE($D118,Milestones!$AA$182),"dd/mm/yy")&amp;" "&amp;Milestones!$AB$182&amp;" "&amp;Milestones!$AC$182&amp;";  ","")&amp;IF(AND(EDATE($D118,Milestones!$AA$183)&lt;=AsOfDate,IF($Q118=0,$W118,IF(AND($S118&lt;&gt;"",EDATE($D118,Milestones!$AA$183)&gt;=$S118),$V118,IF(AND($R118&lt;&gt;"",EDATE($D118,Milestones!$AA$183)&gt;=$R118),$U118,$T118)))=Milestones!$AB$183),TEXT(EDATE($D118,Milestones!$AA$183),"dd/mm/yy")&amp;" "&amp;Milestones!$AB$183&amp;" "&amp;Milestones!$AC$183&amp;";  ","")&amp;IF(AND(EDATE($D118,Milestones!$AA$184)&lt;=AsOfDate,IF($Q118=0,$W118,IF(AND($S118&lt;&gt;"",EDATE($D118,Milestones!$AA$184)&gt;=$S118),$V118,IF(AND($R118&lt;&gt;"",EDATE($D118,Milestones!$AA$184)&gt;=$R118),$U118,$T118)))=Milestones!$AB$184),TEXT(EDATE($D118,Milestones!$AA$184),"dd/mm/yy")&amp;" "&amp;Milestones!$AB$184&amp;" "&amp;Milestones!$AC$184&amp;";  ","")&amp;IF(AND(EDATE($D118,Milestones!$AA$185)&lt;=AsOfDate,IF($Q118=0,$W118,IF(AND($S118&lt;&gt;"",EDATE($D118,Milestones!$AA$185)&gt;=$S118),$V118,IF(AND($R118&lt;&gt;"",EDATE($D118,Milestones!$AA$185)&gt;=$R118),$U118,$T118)))=Milestones!$AB$185),TEXT(EDATE($D118,Milestones!$AA$185),"dd/mm/yy")&amp;" "&amp;Milestones!$AB$185&amp;" "&amp;Milestones!$AC$185&amp;";  ","")&amp;IF(AND(EDATE($D118,Milestones!$AA$186)&lt;=AsOfDate,IF($Q118=0,$W118,IF(AND($S118&lt;&gt;"",EDATE($D118,Milestones!$AA$186)&gt;=$S118),$V118,IF(AND($R118&lt;&gt;"",EDATE($D118,Milestones!$AA$186)&gt;=$R118),$U118,$T118)))=Milestones!$AB$186),TEXT(EDATE($D118,Milestones!$AA$186),"dd/mm/yy")&amp;" "&amp;Milestones!$AB$186&amp;" "&amp;Milestones!$AC$186&amp;";  ","")&amp;IF(AND(EDATE($D118,Milestones!$AA$187)&lt;=AsOfDate,IF($Q118=0,$W118,IF(AND($S118&lt;&gt;"",EDATE($D118,Milestones!$AA$187)&gt;=$S118),$V118,IF(AND($R118&lt;&gt;"",EDATE($D118,Milestones!$AA$187)&gt;=$R118),$U118,$T118)))=Milestones!$AB$187),TEXT(EDATE($D118,Milestones!$AA$187),"dd/mm/yy")&amp;" "&amp;Milestones!$AB$187&amp;" "&amp;Milestones!$AC$187&amp;";  ","")&amp;IF(AND(EDATE($D118,Milestones!$AA$188)&lt;=AsOfDate,IF($Q118=0,$W118,IF(AND($S118&lt;&gt;"",EDATE($D118,Milestones!$AA$188)&gt;=$S118),$V118,IF(AND($R118&lt;&gt;"",EDATE($D118,Milestones!$AA$188)&gt;=$R118),$U118,$T118)))=Milestones!$AB$188),TEXT(EDATE($D118,Milestones!$AA$188),"dd/mm/yy")&amp;" "&amp;Milestones!$AB$188&amp;" "&amp;Milestones!$AC$188&amp;";  ","")&amp;IF(AND(EDATE($D118,Milestones!$AA$189)&lt;=AsOfDate,IF($Q118=0,$W118,IF(AND($S118&lt;&gt;"",EDATE($D118,Milestones!$AA$189)&gt;=$S118),$V118,IF(AND($R118&lt;&gt;"",EDATE($D118,Milestones!$AA$189)&gt;=$R118),$U118,$T118)))=Milestones!$AB$189),TEXT(EDATE($D118,Milestones!$AA$189),"dd/mm/yy")&amp;" "&amp;Milestones!$AB$189&amp;" "&amp;Milestones!$AC$189&amp;";  ","")&amp;IF(AND(EDATE($D118,Milestones!$AA$190)&lt;=AsOfDate,IF($Q118=0,$W118,IF(AND($S118&lt;&gt;"",EDATE($D118,Milestones!$AA$190)&gt;=$S118),$V118,IF(AND($R118&lt;&gt;"",EDATE($D118,Milestones!$AA$190)&gt;=$R118),$U118,$T118)))=Milestones!$AB$190),TEXT(EDATE($D118,Milestones!$AA$190),"dd/mm/yy")&amp;" "&amp;Milestones!$AB$190&amp;" "&amp;Milestones!$AC$190&amp;";  ","")&amp;IF(AND(EDATE($D118,Milestones!$AA$191)&lt;=AsOfDate,IF($Q118=0,$W118,IF(AND($S118&lt;&gt;"",EDATE($D118,Milestones!$AA$191)&gt;=$S118),$V118,IF(AND($R118&lt;&gt;"",EDATE($D118,Milestones!$AA$191)&gt;=$R118),$U118,$T118)))=Milestones!$AB$191),TEXT(EDATE($D118,Milestones!$AA$191),"dd/mm/yy")&amp;" "&amp;Milestones!$AB$191&amp;" "&amp;Milestones!$AC$191&amp;";  ","")&amp;IF(AND(EDATE($D118,Milestones!$AA$192)&lt;=AsOfDate,IF($Q118=0,$W118,IF(AND($S118&lt;&gt;"",EDATE($D118,Milestones!$AA$192)&gt;=$S118),$V118,IF(AND($R118&lt;&gt;"",EDATE($D118,Milestones!$AA$192)&gt;=$R118),$U118,$T118)))=Milestones!$AB$192),TEXT(EDATE($D118,Milestones!$AA$192),"dd/mm/yy")&amp;" "&amp;Milestones!$AB$192&amp;" "&amp;Milestones!$AC$192&amp;";  ","")&amp;IF(AND(EDATE($D118,Milestones!$AA$193)&lt;=AsOfDate,IF($Q118=0,$W118,IF(AND($S118&lt;&gt;"",EDATE($D118,Milestones!$AA$193)&gt;=$S118),$V118,IF(AND($R118&lt;&gt;"",EDATE($D118,Milestones!$AA$193)&gt;=$R118),$U118,$T118)))=Milestones!$AB$193),TEXT(EDATE($D118,Milestones!$AA$193),"dd/mm/yy")&amp;" "&amp;Milestones!$AB$193&amp;" "&amp;Milestones!$AC$193&amp;";  ","")&amp;IF(AND(EDATE($D118,Milestones!$AA$194)&lt;=AsOfDate,IF($Q118=0,$W118,IF(AND($S118&lt;&gt;"",EDATE($D118,Milestones!$AA$194)&gt;=$S118),$V118,IF(AND($R118&lt;&gt;"",EDATE($D118,Milestones!$AA$194)&gt;=$R118),$U118,$T118)))=Milestones!$AB$194),TEXT(EDATE($D118,Milestones!$AA$194),"dd/mm/yy")&amp;" "&amp;Milestones!$AB$194&amp;" "&amp;Milestones!$AC$194&amp;";  ","")&amp;IF(AND(EDATE($D118,Milestones!$AA$195)&lt;=AsOfDate,IF($Q118=0,$W118,IF(AND($S118&lt;&gt;"",EDATE($D118,Milestones!$AA$195)&gt;=$S118),$V118,IF(AND($R118&lt;&gt;"",EDATE($D118,Milestones!$AA$195)&gt;=$R118),$U118,$T118)))=Milestones!$AB$195),TEXT(EDATE($D118,Milestones!$AA$195),"dd/mm/yy")&amp;" "&amp;Milestones!$AB$195&amp;" "&amp;Milestones!$AC$195&amp;";  ","")&amp;IF(AND(EDATE($D118,Milestones!$AA$196)&lt;=AsOfDate,IF($Q118=0,$W118,IF(AND($S118&lt;&gt;"",EDATE($D118,Milestones!$AA$196)&gt;=$S118),$V118,IF(AND($R118&lt;&gt;"",EDATE($D118,Milestones!$AA$196)&gt;=$R118),$U118,$T118)))=Milestones!$AB$196),TEXT(EDATE($D118,Milestones!$AA$196),"dd/mm/yy")&amp;" "&amp;Milestones!$AB$196&amp;" "&amp;Milestones!$AC$196&amp;";  ","")&amp;IF(AND(EDATE($D118,Milestones!$AA$197)&lt;=AsOfDate,IF($Q118=0,$W118,IF(AND($S118&lt;&gt;"",EDATE($D118,Milestones!$AA$197)&gt;=$S118),$V118,IF(AND($R118&lt;&gt;"",EDATE($D118,Milestones!$AA$197)&gt;=$R118),$U118,$T118)))=Milestones!$AB$197),TEXT(EDATE($D118,Milestones!$AA$197),"dd/mm/yy")&amp;" "&amp;Milestones!$AB$197&amp;" "&amp;Milestones!$AC$197&amp;";  ","")&amp;IF(AND(EDATE($D118,Milestones!$AA$198)&lt;=AsOfDate,IF($Q118=0,$W118,IF(AND($S118&lt;&gt;"",EDATE($D118,Milestones!$AA$198)&gt;=$S118),$V118,IF(AND($R118&lt;&gt;"",EDATE($D118,Milestones!$AA$198)&gt;=$R118),$U118,$T118)))=Milestones!$AB$198),TEXT(EDATE($D118,Milestones!$AA$198),"dd/mm/yy")&amp;" "&amp;Milestones!$AB$198&amp;" "&amp;Milestones!$AC$198&amp;";  ","")&amp;IF(AND(EDATE($D118,Milestones!$AA$199)&lt;=AsOfDate,IF($Q118=0,$W118,IF(AND($S118&lt;&gt;"",EDATE($D118,Milestones!$AA$199)&gt;=$S118),$V118,IF(AND($R118&lt;&gt;"",EDATE($D118,Milestones!$AA$199)&gt;=$R118),$U118,$T118)))=Milestones!$AB$199),TEXT(EDATE($D118,Milestones!$AA$199),"dd/mm/yy")&amp;" "&amp;Milestones!$AB$199&amp;" "&amp;Milestones!$AC$199&amp;";  ",""))</f>
        <v/>
      </c>
      <c r="Q118" s="0" t="str">
        <f aca="false">IF(Staff!$A118="","",Staff!$AG118)</f>
        <v/>
      </c>
      <c r="R118" s="0" t="str">
        <f aca="false">IF(Staff!$A118="","",Staff!$AI118)</f>
        <v/>
      </c>
      <c r="S118" s="0" t="str">
        <f aca="false">IF(Staff!$A118="","",Staff!$AJ118)</f>
        <v/>
      </c>
      <c r="T118" s="0" t="str">
        <f aca="false">IF(Staff!$A118="","",Staff!$AN118)</f>
        <v/>
      </c>
      <c r="U118" s="0" t="str">
        <f aca="false">IF(Staff!$A118="","",Staff!$AO118)</f>
        <v/>
      </c>
      <c r="V118" s="0" t="str">
        <f aca="false">IF(Staff!$A118="","",Staff!$AP118)</f>
        <v/>
      </c>
      <c r="W118" s="0" t="str">
        <f aca="false">IF(Staff!$A118="","",Staff!$AQ118)</f>
        <v/>
      </c>
    </row>
    <row r="119" customFormat="false" ht="15" hidden="false" customHeight="false" outlineLevel="0" collapsed="false">
      <c r="A119" s="13" t="str">
        <f aca="false">IF(Staff!$A119="","",Staff!$A119)</f>
        <v/>
      </c>
      <c r="B119" s="13" t="str">
        <f aca="false">IF(Staff!$A119="","",Staff!$B119)</f>
        <v/>
      </c>
      <c r="C119" s="13" t="str">
        <f aca="false">IF(Staff!$A119="","",Staff!$C119)</f>
        <v/>
      </c>
      <c r="D119" s="11" t="str">
        <f aca="false">IF(Staff!$A119="","",Staff!$AF119)</f>
        <v/>
      </c>
      <c r="E119" s="13" t="str">
        <f aca="false">IF(Staff!$A119="","",Staff!$O119)</f>
        <v/>
      </c>
      <c r="F119" s="13" t="str">
        <f aca="false">IF(E119="","",E119*HoursPerDay)</f>
        <v/>
      </c>
      <c r="G119" s="26" t="str">
        <f aca="false">IF($A119="","",H119&amp;I119&amp;J119&amp;K119&amp;L119&amp;M119&amp;N119&amp;O119&amp;P119)</f>
        <v/>
      </c>
      <c r="H119" s="0" t="str">
        <f aca="false">IF(OR($A119="",$D119=""),"",IF(AND(EDATE($D119,Milestones!$AA$20)&lt;=AsOfDate,IF($Q119=0,$W119,IF(AND($S119&lt;&gt;"",EDATE($D119,Milestones!$AA$20)&gt;=$S119),$V119,IF(AND($R119&lt;&gt;"",EDATE($D119,Milestones!$AA$20)&gt;=$R119),$U119,$T119)))=Milestones!$AB$20),TEXT(EDATE($D119,Milestones!$AA$20),"dd/mm/yy")&amp;" "&amp;Milestones!$AB$20&amp;" "&amp;Milestones!$AC$20&amp;";  ","")&amp;IF(AND(EDATE($D119,Milestones!$AA$21)&lt;=AsOfDate,IF($Q119=0,$W119,IF(AND($S119&lt;&gt;"",EDATE($D119,Milestones!$AA$21)&gt;=$S119),$V119,IF(AND($R119&lt;&gt;"",EDATE($D119,Milestones!$AA$21)&gt;=$R119),$U119,$T119)))=Milestones!$AB$21),TEXT(EDATE($D119,Milestones!$AA$21),"dd/mm/yy")&amp;" "&amp;Milestones!$AB$21&amp;" "&amp;Milestones!$AC$21&amp;";  ","")&amp;IF(AND(EDATE($D119,Milestones!$AA$22)&lt;=AsOfDate,IF($Q119=0,$W119,IF(AND($S119&lt;&gt;"",EDATE($D119,Milestones!$AA$22)&gt;=$S119),$V119,IF(AND($R119&lt;&gt;"",EDATE($D119,Milestones!$AA$22)&gt;=$R119),$U119,$T119)))=Milestones!$AB$22),TEXT(EDATE($D119,Milestones!$AA$22),"dd/mm/yy")&amp;" "&amp;Milestones!$AB$22&amp;" "&amp;Milestones!$AC$22&amp;";  ","")&amp;IF(AND(EDATE($D119,Milestones!$AA$23)&lt;=AsOfDate,IF($Q119=0,$W119,IF(AND($S119&lt;&gt;"",EDATE($D119,Milestones!$AA$23)&gt;=$S119),$V119,IF(AND($R119&lt;&gt;"",EDATE($D119,Milestones!$AA$23)&gt;=$R119),$U119,$T119)))=Milestones!$AB$23),TEXT(EDATE($D119,Milestones!$AA$23),"dd/mm/yy")&amp;" "&amp;Milestones!$AB$23&amp;" "&amp;Milestones!$AC$23&amp;";  ","")&amp;IF(AND(EDATE($D119,Milestones!$AA$24)&lt;=AsOfDate,IF($Q119=0,$W119,IF(AND($S119&lt;&gt;"",EDATE($D119,Milestones!$AA$24)&gt;=$S119),$V119,IF(AND($R119&lt;&gt;"",EDATE($D119,Milestones!$AA$24)&gt;=$R119),$U119,$T119)))=Milestones!$AB$24),TEXT(EDATE($D119,Milestones!$AA$24),"dd/mm/yy")&amp;" "&amp;Milestones!$AB$24&amp;" "&amp;Milestones!$AC$24&amp;";  ","")&amp;IF(AND(EDATE($D119,Milestones!$AA$25)&lt;=AsOfDate,IF($Q119=0,$W119,IF(AND($S119&lt;&gt;"",EDATE($D119,Milestones!$AA$25)&gt;=$S119),$V119,IF(AND($R119&lt;&gt;"",EDATE($D119,Milestones!$AA$25)&gt;=$R119),$U119,$T119)))=Milestones!$AB$25),TEXT(EDATE($D119,Milestones!$AA$25),"dd/mm/yy")&amp;" "&amp;Milestones!$AB$25&amp;" "&amp;Milestones!$AC$25&amp;";  ","")&amp;IF(AND(EDATE($D119,Milestones!$AA$26)&lt;=AsOfDate,IF($Q119=0,$W119,IF(AND($S119&lt;&gt;"",EDATE($D119,Milestones!$AA$26)&gt;=$S119),$V119,IF(AND($R119&lt;&gt;"",EDATE($D119,Milestones!$AA$26)&gt;=$R119),$U119,$T119)))=Milestones!$AB$26),TEXT(EDATE($D119,Milestones!$AA$26),"dd/mm/yy")&amp;" "&amp;Milestones!$AB$26&amp;" "&amp;Milestones!$AC$26&amp;";  ","")&amp;IF(AND(EDATE($D119,Milestones!$AA$27)&lt;=AsOfDate,IF($Q119=0,$W119,IF(AND($S119&lt;&gt;"",EDATE($D119,Milestones!$AA$27)&gt;=$S119),$V119,IF(AND($R119&lt;&gt;"",EDATE($D119,Milestones!$AA$27)&gt;=$R119),$U119,$T119)))=Milestones!$AB$27),TEXT(EDATE($D119,Milestones!$AA$27),"dd/mm/yy")&amp;" "&amp;Milestones!$AB$27&amp;" "&amp;Milestones!$AC$27&amp;";  ","")&amp;IF(AND(EDATE($D119,Milestones!$AA$28)&lt;=AsOfDate,IF($Q119=0,$W119,IF(AND($S119&lt;&gt;"",EDATE($D119,Milestones!$AA$28)&gt;=$S119),$V119,IF(AND($R119&lt;&gt;"",EDATE($D119,Milestones!$AA$28)&gt;=$R119),$U119,$T119)))=Milestones!$AB$28),TEXT(EDATE($D119,Milestones!$AA$28),"dd/mm/yy")&amp;" "&amp;Milestones!$AB$28&amp;" "&amp;Milestones!$AC$28&amp;";  ","")&amp;IF(AND(EDATE($D119,Milestones!$AA$29)&lt;=AsOfDate,IF($Q119=0,$W119,IF(AND($S119&lt;&gt;"",EDATE($D119,Milestones!$AA$29)&gt;=$S119),$V119,IF(AND($R119&lt;&gt;"",EDATE($D119,Milestones!$AA$29)&gt;=$R119),$U119,$T119)))=Milestones!$AB$29),TEXT(EDATE($D119,Milestones!$AA$29),"dd/mm/yy")&amp;" "&amp;Milestones!$AB$29&amp;" "&amp;Milestones!$AC$29&amp;";  ","")&amp;IF(AND(EDATE($D119,Milestones!$AA$30)&lt;=AsOfDate,IF($Q119=0,$W119,IF(AND($S119&lt;&gt;"",EDATE($D119,Milestones!$AA$30)&gt;=$S119),$V119,IF(AND($R119&lt;&gt;"",EDATE($D119,Milestones!$AA$30)&gt;=$R119),$U119,$T119)))=Milestones!$AB$30),TEXT(EDATE($D119,Milestones!$AA$30),"dd/mm/yy")&amp;" "&amp;Milestones!$AB$30&amp;" "&amp;Milestones!$AC$30&amp;";  ","")&amp;IF(AND(EDATE($D119,Milestones!$AA$31)&lt;=AsOfDate,IF($Q119=0,$W119,IF(AND($S119&lt;&gt;"",EDATE($D119,Milestones!$AA$31)&gt;=$S119),$V119,IF(AND($R119&lt;&gt;"",EDATE($D119,Milestones!$AA$31)&gt;=$R119),$U119,$T119)))=Milestones!$AB$31),TEXT(EDATE($D119,Milestones!$AA$31),"dd/mm/yy")&amp;" "&amp;Milestones!$AB$31&amp;" "&amp;Milestones!$AC$31&amp;";  ","")&amp;IF(AND(EDATE($D119,Milestones!$AA$32)&lt;=AsOfDate,IF($Q119=0,$W119,IF(AND($S119&lt;&gt;"",EDATE($D119,Milestones!$AA$32)&gt;=$S119),$V119,IF(AND($R119&lt;&gt;"",EDATE($D119,Milestones!$AA$32)&gt;=$R119),$U119,$T119)))=Milestones!$AB$32),TEXT(EDATE($D119,Milestones!$AA$32),"dd/mm/yy")&amp;" "&amp;Milestones!$AB$32&amp;" "&amp;Milestones!$AC$32&amp;";  ","")&amp;IF(AND(EDATE($D119,Milestones!$AA$33)&lt;=AsOfDate,IF($Q119=0,$W119,IF(AND($S119&lt;&gt;"",EDATE($D119,Milestones!$AA$33)&gt;=$S119),$V119,IF(AND($R119&lt;&gt;"",EDATE($D119,Milestones!$AA$33)&gt;=$R119),$U119,$T119)))=Milestones!$AB$33),TEXT(EDATE($D119,Milestones!$AA$33),"dd/mm/yy")&amp;" "&amp;Milestones!$AB$33&amp;" "&amp;Milestones!$AC$33&amp;";  ","")&amp;IF(AND(EDATE($D119,Milestones!$AA$34)&lt;=AsOfDate,IF($Q119=0,$W119,IF(AND($S119&lt;&gt;"",EDATE($D119,Milestones!$AA$34)&gt;=$S119),$V119,IF(AND($R119&lt;&gt;"",EDATE($D119,Milestones!$AA$34)&gt;=$R119),$U119,$T119)))=Milestones!$AB$34),TEXT(EDATE($D119,Milestones!$AA$34),"dd/mm/yy")&amp;" "&amp;Milestones!$AB$34&amp;" "&amp;Milestones!$AC$34&amp;";  ","")&amp;IF(AND(EDATE($D119,Milestones!$AA$35)&lt;=AsOfDate,IF($Q119=0,$W119,IF(AND($S119&lt;&gt;"",EDATE($D119,Milestones!$AA$35)&gt;=$S119),$V119,IF(AND($R119&lt;&gt;"",EDATE($D119,Milestones!$AA$35)&gt;=$R119),$U119,$T119)))=Milestones!$AB$35),TEXT(EDATE($D119,Milestones!$AA$35),"dd/mm/yy")&amp;" "&amp;Milestones!$AB$35&amp;" "&amp;Milestones!$AC$35&amp;";  ","")&amp;IF(AND(EDATE($D119,Milestones!$AA$36)&lt;=AsOfDate,IF($Q119=0,$W119,IF(AND($S119&lt;&gt;"",EDATE($D119,Milestones!$AA$36)&gt;=$S119),$V119,IF(AND($R119&lt;&gt;"",EDATE($D119,Milestones!$AA$36)&gt;=$R119),$U119,$T119)))=Milestones!$AB$36),TEXT(EDATE($D119,Milestones!$AA$36),"dd/mm/yy")&amp;" "&amp;Milestones!$AB$36&amp;" "&amp;Milestones!$AC$36&amp;";  ","")&amp;IF(AND(EDATE($D119,Milestones!$AA$37)&lt;=AsOfDate,IF($Q119=0,$W119,IF(AND($S119&lt;&gt;"",EDATE($D119,Milestones!$AA$37)&gt;=$S119),$V119,IF(AND($R119&lt;&gt;"",EDATE($D119,Milestones!$AA$37)&gt;=$R119),$U119,$T119)))=Milestones!$AB$37),TEXT(EDATE($D119,Milestones!$AA$37),"dd/mm/yy")&amp;" "&amp;Milestones!$AB$37&amp;" "&amp;Milestones!$AC$37&amp;";  ","")&amp;IF(AND(EDATE($D119,Milestones!$AA$38)&lt;=AsOfDate,IF($Q119=0,$W119,IF(AND($S119&lt;&gt;"",EDATE($D119,Milestones!$AA$38)&gt;=$S119),$V119,IF(AND($R119&lt;&gt;"",EDATE($D119,Milestones!$AA$38)&gt;=$R119),$U119,$T119)))=Milestones!$AB$38),TEXT(EDATE($D119,Milestones!$AA$38),"dd/mm/yy")&amp;" "&amp;Milestones!$AB$38&amp;" "&amp;Milestones!$AC$38&amp;";  ","")&amp;IF(AND(EDATE($D119,Milestones!$AA$39)&lt;=AsOfDate,IF($Q119=0,$W119,IF(AND($S119&lt;&gt;"",EDATE($D119,Milestones!$AA$39)&gt;=$S119),$V119,IF(AND($R119&lt;&gt;"",EDATE($D119,Milestones!$AA$39)&gt;=$R119),$U119,$T119)))=Milestones!$AB$39),TEXT(EDATE($D119,Milestones!$AA$39),"dd/mm/yy")&amp;" "&amp;Milestones!$AB$39&amp;" "&amp;Milestones!$AC$39&amp;";  ",""))</f>
        <v/>
      </c>
      <c r="I119" s="0" t="str">
        <f aca="false">IF(OR($A119="",$D119=""),"",IF(AND(EDATE($D119,Milestones!$AA$40)&lt;=AsOfDate,IF($Q119=0,$W119,IF(AND($S119&lt;&gt;"",EDATE($D119,Milestones!$AA$40)&gt;=$S119),$V119,IF(AND($R119&lt;&gt;"",EDATE($D119,Milestones!$AA$40)&gt;=$R119),$U119,$T119)))=Milestones!$AB$40),TEXT(EDATE($D119,Milestones!$AA$40),"dd/mm/yy")&amp;" "&amp;Milestones!$AB$40&amp;" "&amp;Milestones!$AC$40&amp;";  ","")&amp;IF(AND(EDATE($D119,Milestones!$AA$41)&lt;=AsOfDate,IF($Q119=0,$W119,IF(AND($S119&lt;&gt;"",EDATE($D119,Milestones!$AA$41)&gt;=$S119),$V119,IF(AND($R119&lt;&gt;"",EDATE($D119,Milestones!$AA$41)&gt;=$R119),$U119,$T119)))=Milestones!$AB$41),TEXT(EDATE($D119,Milestones!$AA$41),"dd/mm/yy")&amp;" "&amp;Milestones!$AB$41&amp;" "&amp;Milestones!$AC$41&amp;";  ","")&amp;IF(AND(EDATE($D119,Milestones!$AA$42)&lt;=AsOfDate,IF($Q119=0,$W119,IF(AND($S119&lt;&gt;"",EDATE($D119,Milestones!$AA$42)&gt;=$S119),$V119,IF(AND($R119&lt;&gt;"",EDATE($D119,Milestones!$AA$42)&gt;=$R119),$U119,$T119)))=Milestones!$AB$42),TEXT(EDATE($D119,Milestones!$AA$42),"dd/mm/yy")&amp;" "&amp;Milestones!$AB$42&amp;" "&amp;Milestones!$AC$42&amp;";  ","")&amp;IF(AND(EDATE($D119,Milestones!$AA$43)&lt;=AsOfDate,IF($Q119=0,$W119,IF(AND($S119&lt;&gt;"",EDATE($D119,Milestones!$AA$43)&gt;=$S119),$V119,IF(AND($R119&lt;&gt;"",EDATE($D119,Milestones!$AA$43)&gt;=$R119),$U119,$T119)))=Milestones!$AB$43),TEXT(EDATE($D119,Milestones!$AA$43),"dd/mm/yy")&amp;" "&amp;Milestones!$AB$43&amp;" "&amp;Milestones!$AC$43&amp;";  ","")&amp;IF(AND(EDATE($D119,Milestones!$AA$44)&lt;=AsOfDate,IF($Q119=0,$W119,IF(AND($S119&lt;&gt;"",EDATE($D119,Milestones!$AA$44)&gt;=$S119),$V119,IF(AND($R119&lt;&gt;"",EDATE($D119,Milestones!$AA$44)&gt;=$R119),$U119,$T119)))=Milestones!$AB$44),TEXT(EDATE($D119,Milestones!$AA$44),"dd/mm/yy")&amp;" "&amp;Milestones!$AB$44&amp;" "&amp;Milestones!$AC$44&amp;";  ","")&amp;IF(AND(EDATE($D119,Milestones!$AA$45)&lt;=AsOfDate,IF($Q119=0,$W119,IF(AND($S119&lt;&gt;"",EDATE($D119,Milestones!$AA$45)&gt;=$S119),$V119,IF(AND($R119&lt;&gt;"",EDATE($D119,Milestones!$AA$45)&gt;=$R119),$U119,$T119)))=Milestones!$AB$45),TEXT(EDATE($D119,Milestones!$AA$45),"dd/mm/yy")&amp;" "&amp;Milestones!$AB$45&amp;" "&amp;Milestones!$AC$45&amp;";  ","")&amp;IF(AND(EDATE($D119,Milestones!$AA$46)&lt;=AsOfDate,IF($Q119=0,$W119,IF(AND($S119&lt;&gt;"",EDATE($D119,Milestones!$AA$46)&gt;=$S119),$V119,IF(AND($R119&lt;&gt;"",EDATE($D119,Milestones!$AA$46)&gt;=$R119),$U119,$T119)))=Milestones!$AB$46),TEXT(EDATE($D119,Milestones!$AA$46),"dd/mm/yy")&amp;" "&amp;Milestones!$AB$46&amp;" "&amp;Milestones!$AC$46&amp;";  ","")&amp;IF(AND(EDATE($D119,Milestones!$AA$47)&lt;=AsOfDate,IF($Q119=0,$W119,IF(AND($S119&lt;&gt;"",EDATE($D119,Milestones!$AA$47)&gt;=$S119),$V119,IF(AND($R119&lt;&gt;"",EDATE($D119,Milestones!$AA$47)&gt;=$R119),$U119,$T119)))=Milestones!$AB$47),TEXT(EDATE($D119,Milestones!$AA$47),"dd/mm/yy")&amp;" "&amp;Milestones!$AB$47&amp;" "&amp;Milestones!$AC$47&amp;";  ","")&amp;IF(AND(EDATE($D119,Milestones!$AA$48)&lt;=AsOfDate,IF($Q119=0,$W119,IF(AND($S119&lt;&gt;"",EDATE($D119,Milestones!$AA$48)&gt;=$S119),$V119,IF(AND($R119&lt;&gt;"",EDATE($D119,Milestones!$AA$48)&gt;=$R119),$U119,$T119)))=Milestones!$AB$48),TEXT(EDATE($D119,Milestones!$AA$48),"dd/mm/yy")&amp;" "&amp;Milestones!$AB$48&amp;" "&amp;Milestones!$AC$48&amp;";  ","")&amp;IF(AND(EDATE($D119,Milestones!$AA$49)&lt;=AsOfDate,IF($Q119=0,$W119,IF(AND($S119&lt;&gt;"",EDATE($D119,Milestones!$AA$49)&gt;=$S119),$V119,IF(AND($R119&lt;&gt;"",EDATE($D119,Milestones!$AA$49)&gt;=$R119),$U119,$T119)))=Milestones!$AB$49),TEXT(EDATE($D119,Milestones!$AA$49),"dd/mm/yy")&amp;" "&amp;Milestones!$AB$49&amp;" "&amp;Milestones!$AC$49&amp;";  ","")&amp;IF(AND(EDATE($D119,Milestones!$AA$50)&lt;=AsOfDate,IF($Q119=0,$W119,IF(AND($S119&lt;&gt;"",EDATE($D119,Milestones!$AA$50)&gt;=$S119),$V119,IF(AND($R119&lt;&gt;"",EDATE($D119,Milestones!$AA$50)&gt;=$R119),$U119,$T119)))=Milestones!$AB$50),TEXT(EDATE($D119,Milestones!$AA$50),"dd/mm/yy")&amp;" "&amp;Milestones!$AB$50&amp;" "&amp;Milestones!$AC$50&amp;";  ","")&amp;IF(AND(EDATE($D119,Milestones!$AA$51)&lt;=AsOfDate,IF($Q119=0,$W119,IF(AND($S119&lt;&gt;"",EDATE($D119,Milestones!$AA$51)&gt;=$S119),$V119,IF(AND($R119&lt;&gt;"",EDATE($D119,Milestones!$AA$51)&gt;=$R119),$U119,$T119)))=Milestones!$AB$51),TEXT(EDATE($D119,Milestones!$AA$51),"dd/mm/yy")&amp;" "&amp;Milestones!$AB$51&amp;" "&amp;Milestones!$AC$51&amp;";  ","")&amp;IF(AND(EDATE($D119,Milestones!$AA$52)&lt;=AsOfDate,IF($Q119=0,$W119,IF(AND($S119&lt;&gt;"",EDATE($D119,Milestones!$AA$52)&gt;=$S119),$V119,IF(AND($R119&lt;&gt;"",EDATE($D119,Milestones!$AA$52)&gt;=$R119),$U119,$T119)))=Milestones!$AB$52),TEXT(EDATE($D119,Milestones!$AA$52),"dd/mm/yy")&amp;" "&amp;Milestones!$AB$52&amp;" "&amp;Milestones!$AC$52&amp;";  ","")&amp;IF(AND(EDATE($D119,Milestones!$AA$53)&lt;=AsOfDate,IF($Q119=0,$W119,IF(AND($S119&lt;&gt;"",EDATE($D119,Milestones!$AA$53)&gt;=$S119),$V119,IF(AND($R119&lt;&gt;"",EDATE($D119,Milestones!$AA$53)&gt;=$R119),$U119,$T119)))=Milestones!$AB$53),TEXT(EDATE($D119,Milestones!$AA$53),"dd/mm/yy")&amp;" "&amp;Milestones!$AB$53&amp;" "&amp;Milestones!$AC$53&amp;";  ","")&amp;IF(AND(EDATE($D119,Milestones!$AA$54)&lt;=AsOfDate,IF($Q119=0,$W119,IF(AND($S119&lt;&gt;"",EDATE($D119,Milestones!$AA$54)&gt;=$S119),$V119,IF(AND($R119&lt;&gt;"",EDATE($D119,Milestones!$AA$54)&gt;=$R119),$U119,$T119)))=Milestones!$AB$54),TEXT(EDATE($D119,Milestones!$AA$54),"dd/mm/yy")&amp;" "&amp;Milestones!$AB$54&amp;" "&amp;Milestones!$AC$54&amp;";  ","")&amp;IF(AND(EDATE($D119,Milestones!$AA$55)&lt;=AsOfDate,IF($Q119=0,$W119,IF(AND($S119&lt;&gt;"",EDATE($D119,Milestones!$AA$55)&gt;=$S119),$V119,IF(AND($R119&lt;&gt;"",EDATE($D119,Milestones!$AA$55)&gt;=$R119),$U119,$T119)))=Milestones!$AB$55),TEXT(EDATE($D119,Milestones!$AA$55),"dd/mm/yy")&amp;" "&amp;Milestones!$AB$55&amp;" "&amp;Milestones!$AC$55&amp;";  ","")&amp;IF(AND(EDATE($D119,Milestones!$AA$56)&lt;=AsOfDate,IF($Q119=0,$W119,IF(AND($S119&lt;&gt;"",EDATE($D119,Milestones!$AA$56)&gt;=$S119),$V119,IF(AND($R119&lt;&gt;"",EDATE($D119,Milestones!$AA$56)&gt;=$R119),$U119,$T119)))=Milestones!$AB$56),TEXT(EDATE($D119,Milestones!$AA$56),"dd/mm/yy")&amp;" "&amp;Milestones!$AB$56&amp;" "&amp;Milestones!$AC$56&amp;";  ","")&amp;IF(AND(EDATE($D119,Milestones!$AA$57)&lt;=AsOfDate,IF($Q119=0,$W119,IF(AND($S119&lt;&gt;"",EDATE($D119,Milestones!$AA$57)&gt;=$S119),$V119,IF(AND($R119&lt;&gt;"",EDATE($D119,Milestones!$AA$57)&gt;=$R119),$U119,$T119)))=Milestones!$AB$57),TEXT(EDATE($D119,Milestones!$AA$57),"dd/mm/yy")&amp;" "&amp;Milestones!$AB$57&amp;" "&amp;Milestones!$AC$57&amp;";  ","")&amp;IF(AND(EDATE($D119,Milestones!$AA$58)&lt;=AsOfDate,IF($Q119=0,$W119,IF(AND($S119&lt;&gt;"",EDATE($D119,Milestones!$AA$58)&gt;=$S119),$V119,IF(AND($R119&lt;&gt;"",EDATE($D119,Milestones!$AA$58)&gt;=$R119),$U119,$T119)))=Milestones!$AB$58),TEXT(EDATE($D119,Milestones!$AA$58),"dd/mm/yy")&amp;" "&amp;Milestones!$AB$58&amp;" "&amp;Milestones!$AC$58&amp;";  ","")&amp;IF(AND(EDATE($D119,Milestones!$AA$59)&lt;=AsOfDate,IF($Q119=0,$W119,IF(AND($S119&lt;&gt;"",EDATE($D119,Milestones!$AA$59)&gt;=$S119),$V119,IF(AND($R119&lt;&gt;"",EDATE($D119,Milestones!$AA$59)&gt;=$R119),$U119,$T119)))=Milestones!$AB$59),TEXT(EDATE($D119,Milestones!$AA$59),"dd/mm/yy")&amp;" "&amp;Milestones!$AB$59&amp;" "&amp;Milestones!$AC$59&amp;";  ",""))</f>
        <v/>
      </c>
      <c r="J119" s="0" t="str">
        <f aca="false">IF(OR($A119="",$D119=""),"",IF(AND(EDATE($D119,Milestones!$AA$60)&lt;=AsOfDate,IF($Q119=0,$W119,IF(AND($S119&lt;&gt;"",EDATE($D119,Milestones!$AA$60)&gt;=$S119),$V119,IF(AND($R119&lt;&gt;"",EDATE($D119,Milestones!$AA$60)&gt;=$R119),$U119,$T119)))=Milestones!$AB$60),TEXT(EDATE($D119,Milestones!$AA$60),"dd/mm/yy")&amp;" "&amp;Milestones!$AB$60&amp;" "&amp;Milestones!$AC$60&amp;";  ","")&amp;IF(AND(EDATE($D119,Milestones!$AA$61)&lt;=AsOfDate,IF($Q119=0,$W119,IF(AND($S119&lt;&gt;"",EDATE($D119,Milestones!$AA$61)&gt;=$S119),$V119,IF(AND($R119&lt;&gt;"",EDATE($D119,Milestones!$AA$61)&gt;=$R119),$U119,$T119)))=Milestones!$AB$61),TEXT(EDATE($D119,Milestones!$AA$61),"dd/mm/yy")&amp;" "&amp;Milestones!$AB$61&amp;" "&amp;Milestones!$AC$61&amp;";  ","")&amp;IF(AND(EDATE($D119,Milestones!$AA$62)&lt;=AsOfDate,IF($Q119=0,$W119,IF(AND($S119&lt;&gt;"",EDATE($D119,Milestones!$AA$62)&gt;=$S119),$V119,IF(AND($R119&lt;&gt;"",EDATE($D119,Milestones!$AA$62)&gt;=$R119),$U119,$T119)))=Milestones!$AB$62),TEXT(EDATE($D119,Milestones!$AA$62),"dd/mm/yy")&amp;" "&amp;Milestones!$AB$62&amp;" "&amp;Milestones!$AC$62&amp;";  ","")&amp;IF(AND(EDATE($D119,Milestones!$AA$63)&lt;=AsOfDate,IF($Q119=0,$W119,IF(AND($S119&lt;&gt;"",EDATE($D119,Milestones!$AA$63)&gt;=$S119),$V119,IF(AND($R119&lt;&gt;"",EDATE($D119,Milestones!$AA$63)&gt;=$R119),$U119,$T119)))=Milestones!$AB$63),TEXT(EDATE($D119,Milestones!$AA$63),"dd/mm/yy")&amp;" "&amp;Milestones!$AB$63&amp;" "&amp;Milestones!$AC$63&amp;";  ","")&amp;IF(AND(EDATE($D119,Milestones!$AA$64)&lt;=AsOfDate,IF($Q119=0,$W119,IF(AND($S119&lt;&gt;"",EDATE($D119,Milestones!$AA$64)&gt;=$S119),$V119,IF(AND($R119&lt;&gt;"",EDATE($D119,Milestones!$AA$64)&gt;=$R119),$U119,$T119)))=Milestones!$AB$64),TEXT(EDATE($D119,Milestones!$AA$64),"dd/mm/yy")&amp;" "&amp;Milestones!$AB$64&amp;" "&amp;Milestones!$AC$64&amp;";  ","")&amp;IF(AND(EDATE($D119,Milestones!$AA$65)&lt;=AsOfDate,IF($Q119=0,$W119,IF(AND($S119&lt;&gt;"",EDATE($D119,Milestones!$AA$65)&gt;=$S119),$V119,IF(AND($R119&lt;&gt;"",EDATE($D119,Milestones!$AA$65)&gt;=$R119),$U119,$T119)))=Milestones!$AB$65),TEXT(EDATE($D119,Milestones!$AA$65),"dd/mm/yy")&amp;" "&amp;Milestones!$AB$65&amp;" "&amp;Milestones!$AC$65&amp;";  ","")&amp;IF(AND(EDATE($D119,Milestones!$AA$66)&lt;=AsOfDate,IF($Q119=0,$W119,IF(AND($S119&lt;&gt;"",EDATE($D119,Milestones!$AA$66)&gt;=$S119),$V119,IF(AND($R119&lt;&gt;"",EDATE($D119,Milestones!$AA$66)&gt;=$R119),$U119,$T119)))=Milestones!$AB$66),TEXT(EDATE($D119,Milestones!$AA$66),"dd/mm/yy")&amp;" "&amp;Milestones!$AB$66&amp;" "&amp;Milestones!$AC$66&amp;";  ","")&amp;IF(AND(EDATE($D119,Milestones!$AA$67)&lt;=AsOfDate,IF($Q119=0,$W119,IF(AND($S119&lt;&gt;"",EDATE($D119,Milestones!$AA$67)&gt;=$S119),$V119,IF(AND($R119&lt;&gt;"",EDATE($D119,Milestones!$AA$67)&gt;=$R119),$U119,$T119)))=Milestones!$AB$67),TEXT(EDATE($D119,Milestones!$AA$67),"dd/mm/yy")&amp;" "&amp;Milestones!$AB$67&amp;" "&amp;Milestones!$AC$67&amp;";  ","")&amp;IF(AND(EDATE($D119,Milestones!$AA$68)&lt;=AsOfDate,IF($Q119=0,$W119,IF(AND($S119&lt;&gt;"",EDATE($D119,Milestones!$AA$68)&gt;=$S119),$V119,IF(AND($R119&lt;&gt;"",EDATE($D119,Milestones!$AA$68)&gt;=$R119),$U119,$T119)))=Milestones!$AB$68),TEXT(EDATE($D119,Milestones!$AA$68),"dd/mm/yy")&amp;" "&amp;Milestones!$AB$68&amp;" "&amp;Milestones!$AC$68&amp;";  ","")&amp;IF(AND(EDATE($D119,Milestones!$AA$69)&lt;=AsOfDate,IF($Q119=0,$W119,IF(AND($S119&lt;&gt;"",EDATE($D119,Milestones!$AA$69)&gt;=$S119),$V119,IF(AND($R119&lt;&gt;"",EDATE($D119,Milestones!$AA$69)&gt;=$R119),$U119,$T119)))=Milestones!$AB$69),TEXT(EDATE($D119,Milestones!$AA$69),"dd/mm/yy")&amp;" "&amp;Milestones!$AB$69&amp;" "&amp;Milestones!$AC$69&amp;";  ","")&amp;IF(AND(EDATE($D119,Milestones!$AA$70)&lt;=AsOfDate,IF($Q119=0,$W119,IF(AND($S119&lt;&gt;"",EDATE($D119,Milestones!$AA$70)&gt;=$S119),$V119,IF(AND($R119&lt;&gt;"",EDATE($D119,Milestones!$AA$70)&gt;=$R119),$U119,$T119)))=Milestones!$AB$70),TEXT(EDATE($D119,Milestones!$AA$70),"dd/mm/yy")&amp;" "&amp;Milestones!$AB$70&amp;" "&amp;Milestones!$AC$70&amp;";  ","")&amp;IF(AND(EDATE($D119,Milestones!$AA$71)&lt;=AsOfDate,IF($Q119=0,$W119,IF(AND($S119&lt;&gt;"",EDATE($D119,Milestones!$AA$71)&gt;=$S119),$V119,IF(AND($R119&lt;&gt;"",EDATE($D119,Milestones!$AA$71)&gt;=$R119),$U119,$T119)))=Milestones!$AB$71),TEXT(EDATE($D119,Milestones!$AA$71),"dd/mm/yy")&amp;" "&amp;Milestones!$AB$71&amp;" "&amp;Milestones!$AC$71&amp;";  ","")&amp;IF(AND(EDATE($D119,Milestones!$AA$72)&lt;=AsOfDate,IF($Q119=0,$W119,IF(AND($S119&lt;&gt;"",EDATE($D119,Milestones!$AA$72)&gt;=$S119),$V119,IF(AND($R119&lt;&gt;"",EDATE($D119,Milestones!$AA$72)&gt;=$R119),$U119,$T119)))=Milestones!$AB$72),TEXT(EDATE($D119,Milestones!$AA$72),"dd/mm/yy")&amp;" "&amp;Milestones!$AB$72&amp;" "&amp;Milestones!$AC$72&amp;";  ","")&amp;IF(AND(EDATE($D119,Milestones!$AA$73)&lt;=AsOfDate,IF($Q119=0,$W119,IF(AND($S119&lt;&gt;"",EDATE($D119,Milestones!$AA$73)&gt;=$S119),$V119,IF(AND($R119&lt;&gt;"",EDATE($D119,Milestones!$AA$73)&gt;=$R119),$U119,$T119)))=Milestones!$AB$73),TEXT(EDATE($D119,Milestones!$AA$73),"dd/mm/yy")&amp;" "&amp;Milestones!$AB$73&amp;" "&amp;Milestones!$AC$73&amp;";  ","")&amp;IF(AND(EDATE($D119,Milestones!$AA$74)&lt;=AsOfDate,IF($Q119=0,$W119,IF(AND($S119&lt;&gt;"",EDATE($D119,Milestones!$AA$74)&gt;=$S119),$V119,IF(AND($R119&lt;&gt;"",EDATE($D119,Milestones!$AA$74)&gt;=$R119),$U119,$T119)))=Milestones!$AB$74),TEXT(EDATE($D119,Milestones!$AA$74),"dd/mm/yy")&amp;" "&amp;Milestones!$AB$74&amp;" "&amp;Milestones!$AC$74&amp;";  ","")&amp;IF(AND(EDATE($D119,Milestones!$AA$75)&lt;=AsOfDate,IF($Q119=0,$W119,IF(AND($S119&lt;&gt;"",EDATE($D119,Milestones!$AA$75)&gt;=$S119),$V119,IF(AND($R119&lt;&gt;"",EDATE($D119,Milestones!$AA$75)&gt;=$R119),$U119,$T119)))=Milestones!$AB$75),TEXT(EDATE($D119,Milestones!$AA$75),"dd/mm/yy")&amp;" "&amp;Milestones!$AB$75&amp;" "&amp;Milestones!$AC$75&amp;";  ","")&amp;IF(AND(EDATE($D119,Milestones!$AA$76)&lt;=AsOfDate,IF($Q119=0,$W119,IF(AND($S119&lt;&gt;"",EDATE($D119,Milestones!$AA$76)&gt;=$S119),$V119,IF(AND($R119&lt;&gt;"",EDATE($D119,Milestones!$AA$76)&gt;=$R119),$U119,$T119)))=Milestones!$AB$76),TEXT(EDATE($D119,Milestones!$AA$76),"dd/mm/yy")&amp;" "&amp;Milestones!$AB$76&amp;" "&amp;Milestones!$AC$76&amp;";  ","")&amp;IF(AND(EDATE($D119,Milestones!$AA$77)&lt;=AsOfDate,IF($Q119=0,$W119,IF(AND($S119&lt;&gt;"",EDATE($D119,Milestones!$AA$77)&gt;=$S119),$V119,IF(AND($R119&lt;&gt;"",EDATE($D119,Milestones!$AA$77)&gt;=$R119),$U119,$T119)))=Milestones!$AB$77),TEXT(EDATE($D119,Milestones!$AA$77),"dd/mm/yy")&amp;" "&amp;Milestones!$AB$77&amp;" "&amp;Milestones!$AC$77&amp;";  ","")&amp;IF(AND(EDATE($D119,Milestones!$AA$78)&lt;=AsOfDate,IF($Q119=0,$W119,IF(AND($S119&lt;&gt;"",EDATE($D119,Milestones!$AA$78)&gt;=$S119),$V119,IF(AND($R119&lt;&gt;"",EDATE($D119,Milestones!$AA$78)&gt;=$R119),$U119,$T119)))=Milestones!$AB$78),TEXT(EDATE($D119,Milestones!$AA$78),"dd/mm/yy")&amp;" "&amp;Milestones!$AB$78&amp;" "&amp;Milestones!$AC$78&amp;";  ","")&amp;IF(AND(EDATE($D119,Milestones!$AA$79)&lt;=AsOfDate,IF($Q119=0,$W119,IF(AND($S119&lt;&gt;"",EDATE($D119,Milestones!$AA$79)&gt;=$S119),$V119,IF(AND($R119&lt;&gt;"",EDATE($D119,Milestones!$AA$79)&gt;=$R119),$U119,$T119)))=Milestones!$AB$79),TEXT(EDATE($D119,Milestones!$AA$79),"dd/mm/yy")&amp;" "&amp;Milestones!$AB$79&amp;" "&amp;Milestones!$AC$79&amp;";  ",""))</f>
        <v/>
      </c>
      <c r="K119" s="0" t="str">
        <f aca="false">IF(OR($A119="",$D119=""),"",IF(AND(EDATE($D119,Milestones!$AA$80)&lt;=AsOfDate,IF($Q119=0,$W119,IF(AND($S119&lt;&gt;"",EDATE($D119,Milestones!$AA$80)&gt;=$S119),$V119,IF(AND($R119&lt;&gt;"",EDATE($D119,Milestones!$AA$80)&gt;=$R119),$U119,$T119)))=Milestones!$AB$80),TEXT(EDATE($D119,Milestones!$AA$80),"dd/mm/yy")&amp;" "&amp;Milestones!$AB$80&amp;" "&amp;Milestones!$AC$80&amp;";  ","")&amp;IF(AND(EDATE($D119,Milestones!$AA$81)&lt;=AsOfDate,IF($Q119=0,$W119,IF(AND($S119&lt;&gt;"",EDATE($D119,Milestones!$AA$81)&gt;=$S119),$V119,IF(AND($R119&lt;&gt;"",EDATE($D119,Milestones!$AA$81)&gt;=$R119),$U119,$T119)))=Milestones!$AB$81),TEXT(EDATE($D119,Milestones!$AA$81),"dd/mm/yy")&amp;" "&amp;Milestones!$AB$81&amp;" "&amp;Milestones!$AC$81&amp;";  ","")&amp;IF(AND(EDATE($D119,Milestones!$AA$82)&lt;=AsOfDate,IF($Q119=0,$W119,IF(AND($S119&lt;&gt;"",EDATE($D119,Milestones!$AA$82)&gt;=$S119),$V119,IF(AND($R119&lt;&gt;"",EDATE($D119,Milestones!$AA$82)&gt;=$R119),$U119,$T119)))=Milestones!$AB$82),TEXT(EDATE($D119,Milestones!$AA$82),"dd/mm/yy")&amp;" "&amp;Milestones!$AB$82&amp;" "&amp;Milestones!$AC$82&amp;";  ","")&amp;IF(AND(EDATE($D119,Milestones!$AA$83)&lt;=AsOfDate,IF($Q119=0,$W119,IF(AND($S119&lt;&gt;"",EDATE($D119,Milestones!$AA$83)&gt;=$S119),$V119,IF(AND($R119&lt;&gt;"",EDATE($D119,Milestones!$AA$83)&gt;=$R119),$U119,$T119)))=Milestones!$AB$83),TEXT(EDATE($D119,Milestones!$AA$83),"dd/mm/yy")&amp;" "&amp;Milestones!$AB$83&amp;" "&amp;Milestones!$AC$83&amp;";  ","")&amp;IF(AND(EDATE($D119,Milestones!$AA$84)&lt;=AsOfDate,IF($Q119=0,$W119,IF(AND($S119&lt;&gt;"",EDATE($D119,Milestones!$AA$84)&gt;=$S119),$V119,IF(AND($R119&lt;&gt;"",EDATE($D119,Milestones!$AA$84)&gt;=$R119),$U119,$T119)))=Milestones!$AB$84),TEXT(EDATE($D119,Milestones!$AA$84),"dd/mm/yy")&amp;" "&amp;Milestones!$AB$84&amp;" "&amp;Milestones!$AC$84&amp;";  ","")&amp;IF(AND(EDATE($D119,Milestones!$AA$85)&lt;=AsOfDate,IF($Q119=0,$W119,IF(AND($S119&lt;&gt;"",EDATE($D119,Milestones!$AA$85)&gt;=$S119),$V119,IF(AND($R119&lt;&gt;"",EDATE($D119,Milestones!$AA$85)&gt;=$R119),$U119,$T119)))=Milestones!$AB$85),TEXT(EDATE($D119,Milestones!$AA$85),"dd/mm/yy")&amp;" "&amp;Milestones!$AB$85&amp;" "&amp;Milestones!$AC$85&amp;";  ","")&amp;IF(AND(EDATE($D119,Milestones!$AA$86)&lt;=AsOfDate,IF($Q119=0,$W119,IF(AND($S119&lt;&gt;"",EDATE($D119,Milestones!$AA$86)&gt;=$S119),$V119,IF(AND($R119&lt;&gt;"",EDATE($D119,Milestones!$AA$86)&gt;=$R119),$U119,$T119)))=Milestones!$AB$86),TEXT(EDATE($D119,Milestones!$AA$86),"dd/mm/yy")&amp;" "&amp;Milestones!$AB$86&amp;" "&amp;Milestones!$AC$86&amp;";  ","")&amp;IF(AND(EDATE($D119,Milestones!$AA$87)&lt;=AsOfDate,IF($Q119=0,$W119,IF(AND($S119&lt;&gt;"",EDATE($D119,Milestones!$AA$87)&gt;=$S119),$V119,IF(AND($R119&lt;&gt;"",EDATE($D119,Milestones!$AA$87)&gt;=$R119),$U119,$T119)))=Milestones!$AB$87),TEXT(EDATE($D119,Milestones!$AA$87),"dd/mm/yy")&amp;" "&amp;Milestones!$AB$87&amp;" "&amp;Milestones!$AC$87&amp;";  ","")&amp;IF(AND(EDATE($D119,Milestones!$AA$88)&lt;=AsOfDate,IF($Q119=0,$W119,IF(AND($S119&lt;&gt;"",EDATE($D119,Milestones!$AA$88)&gt;=$S119),$V119,IF(AND($R119&lt;&gt;"",EDATE($D119,Milestones!$AA$88)&gt;=$R119),$U119,$T119)))=Milestones!$AB$88),TEXT(EDATE($D119,Milestones!$AA$88),"dd/mm/yy")&amp;" "&amp;Milestones!$AB$88&amp;" "&amp;Milestones!$AC$88&amp;";  ","")&amp;IF(AND(EDATE($D119,Milestones!$AA$89)&lt;=AsOfDate,IF($Q119=0,$W119,IF(AND($S119&lt;&gt;"",EDATE($D119,Milestones!$AA$89)&gt;=$S119),$V119,IF(AND($R119&lt;&gt;"",EDATE($D119,Milestones!$AA$89)&gt;=$R119),$U119,$T119)))=Milestones!$AB$89),TEXT(EDATE($D119,Milestones!$AA$89),"dd/mm/yy")&amp;" "&amp;Milestones!$AB$89&amp;" "&amp;Milestones!$AC$89&amp;";  ","")&amp;IF(AND(EDATE($D119,Milestones!$AA$90)&lt;=AsOfDate,IF($Q119=0,$W119,IF(AND($S119&lt;&gt;"",EDATE($D119,Milestones!$AA$90)&gt;=$S119),$V119,IF(AND($R119&lt;&gt;"",EDATE($D119,Milestones!$AA$90)&gt;=$R119),$U119,$T119)))=Milestones!$AB$90),TEXT(EDATE($D119,Milestones!$AA$90),"dd/mm/yy")&amp;" "&amp;Milestones!$AB$90&amp;" "&amp;Milestones!$AC$90&amp;";  ","")&amp;IF(AND(EDATE($D119,Milestones!$AA$91)&lt;=AsOfDate,IF($Q119=0,$W119,IF(AND($S119&lt;&gt;"",EDATE($D119,Milestones!$AA$91)&gt;=$S119),$V119,IF(AND($R119&lt;&gt;"",EDATE($D119,Milestones!$AA$91)&gt;=$R119),$U119,$T119)))=Milestones!$AB$91),TEXT(EDATE($D119,Milestones!$AA$91),"dd/mm/yy")&amp;" "&amp;Milestones!$AB$91&amp;" "&amp;Milestones!$AC$91&amp;";  ","")&amp;IF(AND(EDATE($D119,Milestones!$AA$92)&lt;=AsOfDate,IF($Q119=0,$W119,IF(AND($S119&lt;&gt;"",EDATE($D119,Milestones!$AA$92)&gt;=$S119),$V119,IF(AND($R119&lt;&gt;"",EDATE($D119,Milestones!$AA$92)&gt;=$R119),$U119,$T119)))=Milestones!$AB$92),TEXT(EDATE($D119,Milestones!$AA$92),"dd/mm/yy")&amp;" "&amp;Milestones!$AB$92&amp;" "&amp;Milestones!$AC$92&amp;";  ","")&amp;IF(AND(EDATE($D119,Milestones!$AA$93)&lt;=AsOfDate,IF($Q119=0,$W119,IF(AND($S119&lt;&gt;"",EDATE($D119,Milestones!$AA$93)&gt;=$S119),$V119,IF(AND($R119&lt;&gt;"",EDATE($D119,Milestones!$AA$93)&gt;=$R119),$U119,$T119)))=Milestones!$AB$93),TEXT(EDATE($D119,Milestones!$AA$93),"dd/mm/yy")&amp;" "&amp;Milestones!$AB$93&amp;" "&amp;Milestones!$AC$93&amp;";  ","")&amp;IF(AND(EDATE($D119,Milestones!$AA$94)&lt;=AsOfDate,IF($Q119=0,$W119,IF(AND($S119&lt;&gt;"",EDATE($D119,Milestones!$AA$94)&gt;=$S119),$V119,IF(AND($R119&lt;&gt;"",EDATE($D119,Milestones!$AA$94)&gt;=$R119),$U119,$T119)))=Milestones!$AB$94),TEXT(EDATE($D119,Milestones!$AA$94),"dd/mm/yy")&amp;" "&amp;Milestones!$AB$94&amp;" "&amp;Milestones!$AC$94&amp;";  ","")&amp;IF(AND(EDATE($D119,Milestones!$AA$95)&lt;=AsOfDate,IF($Q119=0,$W119,IF(AND($S119&lt;&gt;"",EDATE($D119,Milestones!$AA$95)&gt;=$S119),$V119,IF(AND($R119&lt;&gt;"",EDATE($D119,Milestones!$AA$95)&gt;=$R119),$U119,$T119)))=Milestones!$AB$95),TEXT(EDATE($D119,Milestones!$AA$95),"dd/mm/yy")&amp;" "&amp;Milestones!$AB$95&amp;" "&amp;Milestones!$AC$95&amp;";  ","")&amp;IF(AND(EDATE($D119,Milestones!$AA$96)&lt;=AsOfDate,IF($Q119=0,$W119,IF(AND($S119&lt;&gt;"",EDATE($D119,Milestones!$AA$96)&gt;=$S119),$V119,IF(AND($R119&lt;&gt;"",EDATE($D119,Milestones!$AA$96)&gt;=$R119),$U119,$T119)))=Milestones!$AB$96),TEXT(EDATE($D119,Milestones!$AA$96),"dd/mm/yy")&amp;" "&amp;Milestones!$AB$96&amp;" "&amp;Milestones!$AC$96&amp;";  ","")&amp;IF(AND(EDATE($D119,Milestones!$AA$97)&lt;=AsOfDate,IF($Q119=0,$W119,IF(AND($S119&lt;&gt;"",EDATE($D119,Milestones!$AA$97)&gt;=$S119),$V119,IF(AND($R119&lt;&gt;"",EDATE($D119,Milestones!$AA$97)&gt;=$R119),$U119,$T119)))=Milestones!$AB$97),TEXT(EDATE($D119,Milestones!$AA$97),"dd/mm/yy")&amp;" "&amp;Milestones!$AB$97&amp;" "&amp;Milestones!$AC$97&amp;";  ","")&amp;IF(AND(EDATE($D119,Milestones!$AA$98)&lt;=AsOfDate,IF($Q119=0,$W119,IF(AND($S119&lt;&gt;"",EDATE($D119,Milestones!$AA$98)&gt;=$S119),$V119,IF(AND($R119&lt;&gt;"",EDATE($D119,Milestones!$AA$98)&gt;=$R119),$U119,$T119)))=Milestones!$AB$98),TEXT(EDATE($D119,Milestones!$AA$98),"dd/mm/yy")&amp;" "&amp;Milestones!$AB$98&amp;" "&amp;Milestones!$AC$98&amp;";  ","")&amp;IF(AND(EDATE($D119,Milestones!$AA$99)&lt;=AsOfDate,IF($Q119=0,$W119,IF(AND($S119&lt;&gt;"",EDATE($D119,Milestones!$AA$99)&gt;=$S119),$V119,IF(AND($R119&lt;&gt;"",EDATE($D119,Milestones!$AA$99)&gt;=$R119),$U119,$T119)))=Milestones!$AB$99),TEXT(EDATE($D119,Milestones!$AA$99),"dd/mm/yy")&amp;" "&amp;Milestones!$AB$99&amp;" "&amp;Milestones!$AC$99&amp;";  ",""))</f>
        <v/>
      </c>
      <c r="L119" s="0" t="str">
        <f aca="false">IF(OR($A119="",$D119=""),"",IF(AND(EDATE($D119,Milestones!$AA$100)&lt;=AsOfDate,IF($Q119=0,$W119,IF(AND($S119&lt;&gt;"",EDATE($D119,Milestones!$AA$100)&gt;=$S119),$V119,IF(AND($R119&lt;&gt;"",EDATE($D119,Milestones!$AA$100)&gt;=$R119),$U119,$T119)))=Milestones!$AB$100),TEXT(EDATE($D119,Milestones!$AA$100),"dd/mm/yy")&amp;" "&amp;Milestones!$AB$100&amp;" "&amp;Milestones!$AC$100&amp;";  ","")&amp;IF(AND(EDATE($D119,Milestones!$AA$101)&lt;=AsOfDate,IF($Q119=0,$W119,IF(AND($S119&lt;&gt;"",EDATE($D119,Milestones!$AA$101)&gt;=$S119),$V119,IF(AND($R119&lt;&gt;"",EDATE($D119,Milestones!$AA$101)&gt;=$R119),$U119,$T119)))=Milestones!$AB$101),TEXT(EDATE($D119,Milestones!$AA$101),"dd/mm/yy")&amp;" "&amp;Milestones!$AB$101&amp;" "&amp;Milestones!$AC$101&amp;";  ","")&amp;IF(AND(EDATE($D119,Milestones!$AA$102)&lt;=AsOfDate,IF($Q119=0,$W119,IF(AND($S119&lt;&gt;"",EDATE($D119,Milestones!$AA$102)&gt;=$S119),$V119,IF(AND($R119&lt;&gt;"",EDATE($D119,Milestones!$AA$102)&gt;=$R119),$U119,$T119)))=Milestones!$AB$102),TEXT(EDATE($D119,Milestones!$AA$102),"dd/mm/yy")&amp;" "&amp;Milestones!$AB$102&amp;" "&amp;Milestones!$AC$102&amp;";  ","")&amp;IF(AND(EDATE($D119,Milestones!$AA$103)&lt;=AsOfDate,IF($Q119=0,$W119,IF(AND($S119&lt;&gt;"",EDATE($D119,Milestones!$AA$103)&gt;=$S119),$V119,IF(AND($R119&lt;&gt;"",EDATE($D119,Milestones!$AA$103)&gt;=$R119),$U119,$T119)))=Milestones!$AB$103),TEXT(EDATE($D119,Milestones!$AA$103),"dd/mm/yy")&amp;" "&amp;Milestones!$AB$103&amp;" "&amp;Milestones!$AC$103&amp;";  ","")&amp;IF(AND(EDATE($D119,Milestones!$AA$104)&lt;=AsOfDate,IF($Q119=0,$W119,IF(AND($S119&lt;&gt;"",EDATE($D119,Milestones!$AA$104)&gt;=$S119),$V119,IF(AND($R119&lt;&gt;"",EDATE($D119,Milestones!$AA$104)&gt;=$R119),$U119,$T119)))=Milestones!$AB$104),TEXT(EDATE($D119,Milestones!$AA$104),"dd/mm/yy")&amp;" "&amp;Milestones!$AB$104&amp;" "&amp;Milestones!$AC$104&amp;";  ","")&amp;IF(AND(EDATE($D119,Milestones!$AA$105)&lt;=AsOfDate,IF($Q119=0,$W119,IF(AND($S119&lt;&gt;"",EDATE($D119,Milestones!$AA$105)&gt;=$S119),$V119,IF(AND($R119&lt;&gt;"",EDATE($D119,Milestones!$AA$105)&gt;=$R119),$U119,$T119)))=Milestones!$AB$105),TEXT(EDATE($D119,Milestones!$AA$105),"dd/mm/yy")&amp;" "&amp;Milestones!$AB$105&amp;" "&amp;Milestones!$AC$105&amp;";  ","")&amp;IF(AND(EDATE($D119,Milestones!$AA$106)&lt;=AsOfDate,IF($Q119=0,$W119,IF(AND($S119&lt;&gt;"",EDATE($D119,Milestones!$AA$106)&gt;=$S119),$V119,IF(AND($R119&lt;&gt;"",EDATE($D119,Milestones!$AA$106)&gt;=$R119),$U119,$T119)))=Milestones!$AB$106),TEXT(EDATE($D119,Milestones!$AA$106),"dd/mm/yy")&amp;" "&amp;Milestones!$AB$106&amp;" "&amp;Milestones!$AC$106&amp;";  ","")&amp;IF(AND(EDATE($D119,Milestones!$AA$107)&lt;=AsOfDate,IF($Q119=0,$W119,IF(AND($S119&lt;&gt;"",EDATE($D119,Milestones!$AA$107)&gt;=$S119),$V119,IF(AND($R119&lt;&gt;"",EDATE($D119,Milestones!$AA$107)&gt;=$R119),$U119,$T119)))=Milestones!$AB$107),TEXT(EDATE($D119,Milestones!$AA$107),"dd/mm/yy")&amp;" "&amp;Milestones!$AB$107&amp;" "&amp;Milestones!$AC$107&amp;";  ","")&amp;IF(AND(EDATE($D119,Milestones!$AA$108)&lt;=AsOfDate,IF($Q119=0,$W119,IF(AND($S119&lt;&gt;"",EDATE($D119,Milestones!$AA$108)&gt;=$S119),$V119,IF(AND($R119&lt;&gt;"",EDATE($D119,Milestones!$AA$108)&gt;=$R119),$U119,$T119)))=Milestones!$AB$108),TEXT(EDATE($D119,Milestones!$AA$108),"dd/mm/yy")&amp;" "&amp;Milestones!$AB$108&amp;" "&amp;Milestones!$AC$108&amp;";  ","")&amp;IF(AND(EDATE($D119,Milestones!$AA$109)&lt;=AsOfDate,IF($Q119=0,$W119,IF(AND($S119&lt;&gt;"",EDATE($D119,Milestones!$AA$109)&gt;=$S119),$V119,IF(AND($R119&lt;&gt;"",EDATE($D119,Milestones!$AA$109)&gt;=$R119),$U119,$T119)))=Milestones!$AB$109),TEXT(EDATE($D119,Milestones!$AA$109),"dd/mm/yy")&amp;" "&amp;Milestones!$AB$109&amp;" "&amp;Milestones!$AC$109&amp;";  ","")&amp;IF(AND(EDATE($D119,Milestones!$AA$110)&lt;=AsOfDate,IF($Q119=0,$W119,IF(AND($S119&lt;&gt;"",EDATE($D119,Milestones!$AA$110)&gt;=$S119),$V119,IF(AND($R119&lt;&gt;"",EDATE($D119,Milestones!$AA$110)&gt;=$R119),$U119,$T119)))=Milestones!$AB$110),TEXT(EDATE($D119,Milestones!$AA$110),"dd/mm/yy")&amp;" "&amp;Milestones!$AB$110&amp;" "&amp;Milestones!$AC$110&amp;";  ","")&amp;IF(AND(EDATE($D119,Milestones!$AA$111)&lt;=AsOfDate,IF($Q119=0,$W119,IF(AND($S119&lt;&gt;"",EDATE($D119,Milestones!$AA$111)&gt;=$S119),$V119,IF(AND($R119&lt;&gt;"",EDATE($D119,Milestones!$AA$111)&gt;=$R119),$U119,$T119)))=Milestones!$AB$111),TEXT(EDATE($D119,Milestones!$AA$111),"dd/mm/yy")&amp;" "&amp;Milestones!$AB$111&amp;" "&amp;Milestones!$AC$111&amp;";  ","")&amp;IF(AND(EDATE($D119,Milestones!$AA$112)&lt;=AsOfDate,IF($Q119=0,$W119,IF(AND($S119&lt;&gt;"",EDATE($D119,Milestones!$AA$112)&gt;=$S119),$V119,IF(AND($R119&lt;&gt;"",EDATE($D119,Milestones!$AA$112)&gt;=$R119),$U119,$T119)))=Milestones!$AB$112),TEXT(EDATE($D119,Milestones!$AA$112),"dd/mm/yy")&amp;" "&amp;Milestones!$AB$112&amp;" "&amp;Milestones!$AC$112&amp;";  ","")&amp;IF(AND(EDATE($D119,Milestones!$AA$113)&lt;=AsOfDate,IF($Q119=0,$W119,IF(AND($S119&lt;&gt;"",EDATE($D119,Milestones!$AA$113)&gt;=$S119),$V119,IF(AND($R119&lt;&gt;"",EDATE($D119,Milestones!$AA$113)&gt;=$R119),$U119,$T119)))=Milestones!$AB$113),TEXT(EDATE($D119,Milestones!$AA$113),"dd/mm/yy")&amp;" "&amp;Milestones!$AB$113&amp;" "&amp;Milestones!$AC$113&amp;";  ","")&amp;IF(AND(EDATE($D119,Milestones!$AA$114)&lt;=AsOfDate,IF($Q119=0,$W119,IF(AND($S119&lt;&gt;"",EDATE($D119,Milestones!$AA$114)&gt;=$S119),$V119,IF(AND($R119&lt;&gt;"",EDATE($D119,Milestones!$AA$114)&gt;=$R119),$U119,$T119)))=Milestones!$AB$114),TEXT(EDATE($D119,Milestones!$AA$114),"dd/mm/yy")&amp;" "&amp;Milestones!$AB$114&amp;" "&amp;Milestones!$AC$114&amp;";  ","")&amp;IF(AND(EDATE($D119,Milestones!$AA$115)&lt;=AsOfDate,IF($Q119=0,$W119,IF(AND($S119&lt;&gt;"",EDATE($D119,Milestones!$AA$115)&gt;=$S119),$V119,IF(AND($R119&lt;&gt;"",EDATE($D119,Milestones!$AA$115)&gt;=$R119),$U119,$T119)))=Milestones!$AB$115),TEXT(EDATE($D119,Milestones!$AA$115),"dd/mm/yy")&amp;" "&amp;Milestones!$AB$115&amp;" "&amp;Milestones!$AC$115&amp;";  ","")&amp;IF(AND(EDATE($D119,Milestones!$AA$116)&lt;=AsOfDate,IF($Q119=0,$W119,IF(AND($S119&lt;&gt;"",EDATE($D119,Milestones!$AA$116)&gt;=$S119),$V119,IF(AND($R119&lt;&gt;"",EDATE($D119,Milestones!$AA$116)&gt;=$R119),$U119,$T119)))=Milestones!$AB$116),TEXT(EDATE($D119,Milestones!$AA$116),"dd/mm/yy")&amp;" "&amp;Milestones!$AB$116&amp;" "&amp;Milestones!$AC$116&amp;";  ","")&amp;IF(AND(EDATE($D119,Milestones!$AA$117)&lt;=AsOfDate,IF($Q119=0,$W119,IF(AND($S119&lt;&gt;"",EDATE($D119,Milestones!$AA$117)&gt;=$S119),$V119,IF(AND($R119&lt;&gt;"",EDATE($D119,Milestones!$AA$117)&gt;=$R119),$U119,$T119)))=Milestones!$AB$117),TEXT(EDATE($D119,Milestones!$AA$117),"dd/mm/yy")&amp;" "&amp;Milestones!$AB$117&amp;" "&amp;Milestones!$AC$117&amp;";  ","")&amp;IF(AND(EDATE($D119,Milestones!$AA$118)&lt;=AsOfDate,IF($Q119=0,$W119,IF(AND($S119&lt;&gt;"",EDATE($D119,Milestones!$AA$118)&gt;=$S119),$V119,IF(AND($R119&lt;&gt;"",EDATE($D119,Milestones!$AA$118)&gt;=$R119),$U119,$T119)))=Milestones!$AB$118),TEXT(EDATE($D119,Milestones!$AA$118),"dd/mm/yy")&amp;" "&amp;Milestones!$AB$118&amp;" "&amp;Milestones!$AC$118&amp;";  ","")&amp;IF(AND(EDATE($D119,Milestones!$AA$119)&lt;=AsOfDate,IF($Q119=0,$W119,IF(AND($S119&lt;&gt;"",EDATE($D119,Milestones!$AA$119)&gt;=$S119),$V119,IF(AND($R119&lt;&gt;"",EDATE($D119,Milestones!$AA$119)&gt;=$R119),$U119,$T119)))=Milestones!$AB$119),TEXT(EDATE($D119,Milestones!$AA$119),"dd/mm/yy")&amp;" "&amp;Milestones!$AB$119&amp;" "&amp;Milestones!$AC$119&amp;";  ",""))</f>
        <v/>
      </c>
      <c r="M119" s="0" t="str">
        <f aca="false">IF(OR($A119="",$D119=""),"",IF(AND(EDATE($D119,Milestones!$AA$120)&lt;=AsOfDate,IF($Q119=0,$W119,IF(AND($S119&lt;&gt;"",EDATE($D119,Milestones!$AA$120)&gt;=$S119),$V119,IF(AND($R119&lt;&gt;"",EDATE($D119,Milestones!$AA$120)&gt;=$R119),$U119,$T119)))=Milestones!$AB$120),TEXT(EDATE($D119,Milestones!$AA$120),"dd/mm/yy")&amp;" "&amp;Milestones!$AB$120&amp;" "&amp;Milestones!$AC$120&amp;";  ","")&amp;IF(AND(EDATE($D119,Milestones!$AA$121)&lt;=AsOfDate,IF($Q119=0,$W119,IF(AND($S119&lt;&gt;"",EDATE($D119,Milestones!$AA$121)&gt;=$S119),$V119,IF(AND($R119&lt;&gt;"",EDATE($D119,Milestones!$AA$121)&gt;=$R119),$U119,$T119)))=Milestones!$AB$121),TEXT(EDATE($D119,Milestones!$AA$121),"dd/mm/yy")&amp;" "&amp;Milestones!$AB$121&amp;" "&amp;Milestones!$AC$121&amp;";  ","")&amp;IF(AND(EDATE($D119,Milestones!$AA$122)&lt;=AsOfDate,IF($Q119=0,$W119,IF(AND($S119&lt;&gt;"",EDATE($D119,Milestones!$AA$122)&gt;=$S119),$V119,IF(AND($R119&lt;&gt;"",EDATE($D119,Milestones!$AA$122)&gt;=$R119),$U119,$T119)))=Milestones!$AB$122),TEXT(EDATE($D119,Milestones!$AA$122),"dd/mm/yy")&amp;" "&amp;Milestones!$AB$122&amp;" "&amp;Milestones!$AC$122&amp;";  ","")&amp;IF(AND(EDATE($D119,Milestones!$AA$123)&lt;=AsOfDate,IF($Q119=0,$W119,IF(AND($S119&lt;&gt;"",EDATE($D119,Milestones!$AA$123)&gt;=$S119),$V119,IF(AND($R119&lt;&gt;"",EDATE($D119,Milestones!$AA$123)&gt;=$R119),$U119,$T119)))=Milestones!$AB$123),TEXT(EDATE($D119,Milestones!$AA$123),"dd/mm/yy")&amp;" "&amp;Milestones!$AB$123&amp;" "&amp;Milestones!$AC$123&amp;";  ","")&amp;IF(AND(EDATE($D119,Milestones!$AA$124)&lt;=AsOfDate,IF($Q119=0,$W119,IF(AND($S119&lt;&gt;"",EDATE($D119,Milestones!$AA$124)&gt;=$S119),$V119,IF(AND($R119&lt;&gt;"",EDATE($D119,Milestones!$AA$124)&gt;=$R119),$U119,$T119)))=Milestones!$AB$124),TEXT(EDATE($D119,Milestones!$AA$124),"dd/mm/yy")&amp;" "&amp;Milestones!$AB$124&amp;" "&amp;Milestones!$AC$124&amp;";  ","")&amp;IF(AND(EDATE($D119,Milestones!$AA$125)&lt;=AsOfDate,IF($Q119=0,$W119,IF(AND($S119&lt;&gt;"",EDATE($D119,Milestones!$AA$125)&gt;=$S119),$V119,IF(AND($R119&lt;&gt;"",EDATE($D119,Milestones!$AA$125)&gt;=$R119),$U119,$T119)))=Milestones!$AB$125),TEXT(EDATE($D119,Milestones!$AA$125),"dd/mm/yy")&amp;" "&amp;Milestones!$AB$125&amp;" "&amp;Milestones!$AC$125&amp;";  ","")&amp;IF(AND(EDATE($D119,Milestones!$AA$126)&lt;=AsOfDate,IF($Q119=0,$W119,IF(AND($S119&lt;&gt;"",EDATE($D119,Milestones!$AA$126)&gt;=$S119),$V119,IF(AND($R119&lt;&gt;"",EDATE($D119,Milestones!$AA$126)&gt;=$R119),$U119,$T119)))=Milestones!$AB$126),TEXT(EDATE($D119,Milestones!$AA$126),"dd/mm/yy")&amp;" "&amp;Milestones!$AB$126&amp;" "&amp;Milestones!$AC$126&amp;";  ","")&amp;IF(AND(EDATE($D119,Milestones!$AA$127)&lt;=AsOfDate,IF($Q119=0,$W119,IF(AND($S119&lt;&gt;"",EDATE($D119,Milestones!$AA$127)&gt;=$S119),$V119,IF(AND($R119&lt;&gt;"",EDATE($D119,Milestones!$AA$127)&gt;=$R119),$U119,$T119)))=Milestones!$AB$127),TEXT(EDATE($D119,Milestones!$AA$127),"dd/mm/yy")&amp;" "&amp;Milestones!$AB$127&amp;" "&amp;Milestones!$AC$127&amp;";  ","")&amp;IF(AND(EDATE($D119,Milestones!$AA$128)&lt;=AsOfDate,IF($Q119=0,$W119,IF(AND($S119&lt;&gt;"",EDATE($D119,Milestones!$AA$128)&gt;=$S119),$V119,IF(AND($R119&lt;&gt;"",EDATE($D119,Milestones!$AA$128)&gt;=$R119),$U119,$T119)))=Milestones!$AB$128),TEXT(EDATE($D119,Milestones!$AA$128),"dd/mm/yy")&amp;" "&amp;Milestones!$AB$128&amp;" "&amp;Milestones!$AC$128&amp;";  ","")&amp;IF(AND(EDATE($D119,Milestones!$AA$129)&lt;=AsOfDate,IF($Q119=0,$W119,IF(AND($S119&lt;&gt;"",EDATE($D119,Milestones!$AA$129)&gt;=$S119),$V119,IF(AND($R119&lt;&gt;"",EDATE($D119,Milestones!$AA$129)&gt;=$R119),$U119,$T119)))=Milestones!$AB$129),TEXT(EDATE($D119,Milestones!$AA$129),"dd/mm/yy")&amp;" "&amp;Milestones!$AB$129&amp;" "&amp;Milestones!$AC$129&amp;";  ","")&amp;IF(AND(EDATE($D119,Milestones!$AA$130)&lt;=AsOfDate,IF($Q119=0,$W119,IF(AND($S119&lt;&gt;"",EDATE($D119,Milestones!$AA$130)&gt;=$S119),$V119,IF(AND($R119&lt;&gt;"",EDATE($D119,Milestones!$AA$130)&gt;=$R119),$U119,$T119)))=Milestones!$AB$130),TEXT(EDATE($D119,Milestones!$AA$130),"dd/mm/yy")&amp;" "&amp;Milestones!$AB$130&amp;" "&amp;Milestones!$AC$130&amp;";  ","")&amp;IF(AND(EDATE($D119,Milestones!$AA$131)&lt;=AsOfDate,IF($Q119=0,$W119,IF(AND($S119&lt;&gt;"",EDATE($D119,Milestones!$AA$131)&gt;=$S119),$V119,IF(AND($R119&lt;&gt;"",EDATE($D119,Milestones!$AA$131)&gt;=$R119),$U119,$T119)))=Milestones!$AB$131),TEXT(EDATE($D119,Milestones!$AA$131),"dd/mm/yy")&amp;" "&amp;Milestones!$AB$131&amp;" "&amp;Milestones!$AC$131&amp;";  ","")&amp;IF(AND(EDATE($D119,Milestones!$AA$132)&lt;=AsOfDate,IF($Q119=0,$W119,IF(AND($S119&lt;&gt;"",EDATE($D119,Milestones!$AA$132)&gt;=$S119),$V119,IF(AND($R119&lt;&gt;"",EDATE($D119,Milestones!$AA$132)&gt;=$R119),$U119,$T119)))=Milestones!$AB$132),TEXT(EDATE($D119,Milestones!$AA$132),"dd/mm/yy")&amp;" "&amp;Milestones!$AB$132&amp;" "&amp;Milestones!$AC$132&amp;";  ","")&amp;IF(AND(EDATE($D119,Milestones!$AA$133)&lt;=AsOfDate,IF($Q119=0,$W119,IF(AND($S119&lt;&gt;"",EDATE($D119,Milestones!$AA$133)&gt;=$S119),$V119,IF(AND($R119&lt;&gt;"",EDATE($D119,Milestones!$AA$133)&gt;=$R119),$U119,$T119)))=Milestones!$AB$133),TEXT(EDATE($D119,Milestones!$AA$133),"dd/mm/yy")&amp;" "&amp;Milestones!$AB$133&amp;" "&amp;Milestones!$AC$133&amp;";  ","")&amp;IF(AND(EDATE($D119,Milestones!$AA$134)&lt;=AsOfDate,IF($Q119=0,$W119,IF(AND($S119&lt;&gt;"",EDATE($D119,Milestones!$AA$134)&gt;=$S119),$V119,IF(AND($R119&lt;&gt;"",EDATE($D119,Milestones!$AA$134)&gt;=$R119),$U119,$T119)))=Milestones!$AB$134),TEXT(EDATE($D119,Milestones!$AA$134),"dd/mm/yy")&amp;" "&amp;Milestones!$AB$134&amp;" "&amp;Milestones!$AC$134&amp;";  ","")&amp;IF(AND(EDATE($D119,Milestones!$AA$135)&lt;=AsOfDate,IF($Q119=0,$W119,IF(AND($S119&lt;&gt;"",EDATE($D119,Milestones!$AA$135)&gt;=$S119),$V119,IF(AND($R119&lt;&gt;"",EDATE($D119,Milestones!$AA$135)&gt;=$R119),$U119,$T119)))=Milestones!$AB$135),TEXT(EDATE($D119,Milestones!$AA$135),"dd/mm/yy")&amp;" "&amp;Milestones!$AB$135&amp;" "&amp;Milestones!$AC$135&amp;";  ","")&amp;IF(AND(EDATE($D119,Milestones!$AA$136)&lt;=AsOfDate,IF($Q119=0,$W119,IF(AND($S119&lt;&gt;"",EDATE($D119,Milestones!$AA$136)&gt;=$S119),$V119,IF(AND($R119&lt;&gt;"",EDATE($D119,Milestones!$AA$136)&gt;=$R119),$U119,$T119)))=Milestones!$AB$136),TEXT(EDATE($D119,Milestones!$AA$136),"dd/mm/yy")&amp;" "&amp;Milestones!$AB$136&amp;" "&amp;Milestones!$AC$136&amp;";  ","")&amp;IF(AND(EDATE($D119,Milestones!$AA$137)&lt;=AsOfDate,IF($Q119=0,$W119,IF(AND($S119&lt;&gt;"",EDATE($D119,Milestones!$AA$137)&gt;=$S119),$V119,IF(AND($R119&lt;&gt;"",EDATE($D119,Milestones!$AA$137)&gt;=$R119),$U119,$T119)))=Milestones!$AB$137),TEXT(EDATE($D119,Milestones!$AA$137),"dd/mm/yy")&amp;" "&amp;Milestones!$AB$137&amp;" "&amp;Milestones!$AC$137&amp;";  ","")&amp;IF(AND(EDATE($D119,Milestones!$AA$138)&lt;=AsOfDate,IF($Q119=0,$W119,IF(AND($S119&lt;&gt;"",EDATE($D119,Milestones!$AA$138)&gt;=$S119),$V119,IF(AND($R119&lt;&gt;"",EDATE($D119,Milestones!$AA$138)&gt;=$R119),$U119,$T119)))=Milestones!$AB$138),TEXT(EDATE($D119,Milestones!$AA$138),"dd/mm/yy")&amp;" "&amp;Milestones!$AB$138&amp;" "&amp;Milestones!$AC$138&amp;";  ","")&amp;IF(AND(EDATE($D119,Milestones!$AA$139)&lt;=AsOfDate,IF($Q119=0,$W119,IF(AND($S119&lt;&gt;"",EDATE($D119,Milestones!$AA$139)&gt;=$S119),$V119,IF(AND($R119&lt;&gt;"",EDATE($D119,Milestones!$AA$139)&gt;=$R119),$U119,$T119)))=Milestones!$AB$139),TEXT(EDATE($D119,Milestones!$AA$139),"dd/mm/yy")&amp;" "&amp;Milestones!$AB$139&amp;" "&amp;Milestones!$AC$139&amp;";  ",""))</f>
        <v/>
      </c>
      <c r="N119" s="0" t="str">
        <f aca="false">IF(OR($A119="",$D119=""),"",IF(AND(EDATE($D119,Milestones!$AA$140)&lt;=AsOfDate,IF($Q119=0,$W119,IF(AND($S119&lt;&gt;"",EDATE($D119,Milestones!$AA$140)&gt;=$S119),$V119,IF(AND($R119&lt;&gt;"",EDATE($D119,Milestones!$AA$140)&gt;=$R119),$U119,$T119)))=Milestones!$AB$140),TEXT(EDATE($D119,Milestones!$AA$140),"dd/mm/yy")&amp;" "&amp;Milestones!$AB$140&amp;" "&amp;Milestones!$AC$140&amp;";  ","")&amp;IF(AND(EDATE($D119,Milestones!$AA$141)&lt;=AsOfDate,IF($Q119=0,$W119,IF(AND($S119&lt;&gt;"",EDATE($D119,Milestones!$AA$141)&gt;=$S119),$V119,IF(AND($R119&lt;&gt;"",EDATE($D119,Milestones!$AA$141)&gt;=$R119),$U119,$T119)))=Milestones!$AB$141),TEXT(EDATE($D119,Milestones!$AA$141),"dd/mm/yy")&amp;" "&amp;Milestones!$AB$141&amp;" "&amp;Milestones!$AC$141&amp;";  ","")&amp;IF(AND(EDATE($D119,Milestones!$AA$142)&lt;=AsOfDate,IF($Q119=0,$W119,IF(AND($S119&lt;&gt;"",EDATE($D119,Milestones!$AA$142)&gt;=$S119),$V119,IF(AND($R119&lt;&gt;"",EDATE($D119,Milestones!$AA$142)&gt;=$R119),$U119,$T119)))=Milestones!$AB$142),TEXT(EDATE($D119,Milestones!$AA$142),"dd/mm/yy")&amp;" "&amp;Milestones!$AB$142&amp;" "&amp;Milestones!$AC$142&amp;";  ","")&amp;IF(AND(EDATE($D119,Milestones!$AA$143)&lt;=AsOfDate,IF($Q119=0,$W119,IF(AND($S119&lt;&gt;"",EDATE($D119,Milestones!$AA$143)&gt;=$S119),$V119,IF(AND($R119&lt;&gt;"",EDATE($D119,Milestones!$AA$143)&gt;=$R119),$U119,$T119)))=Milestones!$AB$143),TEXT(EDATE($D119,Milestones!$AA$143),"dd/mm/yy")&amp;" "&amp;Milestones!$AB$143&amp;" "&amp;Milestones!$AC$143&amp;";  ","")&amp;IF(AND(EDATE($D119,Milestones!$AA$144)&lt;=AsOfDate,IF($Q119=0,$W119,IF(AND($S119&lt;&gt;"",EDATE($D119,Milestones!$AA$144)&gt;=$S119),$V119,IF(AND($R119&lt;&gt;"",EDATE($D119,Milestones!$AA$144)&gt;=$R119),$U119,$T119)))=Milestones!$AB$144),TEXT(EDATE($D119,Milestones!$AA$144),"dd/mm/yy")&amp;" "&amp;Milestones!$AB$144&amp;" "&amp;Milestones!$AC$144&amp;";  ","")&amp;IF(AND(EDATE($D119,Milestones!$AA$145)&lt;=AsOfDate,IF($Q119=0,$W119,IF(AND($S119&lt;&gt;"",EDATE($D119,Milestones!$AA$145)&gt;=$S119),$V119,IF(AND($R119&lt;&gt;"",EDATE($D119,Milestones!$AA$145)&gt;=$R119),$U119,$T119)))=Milestones!$AB$145),TEXT(EDATE($D119,Milestones!$AA$145),"dd/mm/yy")&amp;" "&amp;Milestones!$AB$145&amp;" "&amp;Milestones!$AC$145&amp;";  ","")&amp;IF(AND(EDATE($D119,Milestones!$AA$146)&lt;=AsOfDate,IF($Q119=0,$W119,IF(AND($S119&lt;&gt;"",EDATE($D119,Milestones!$AA$146)&gt;=$S119),$V119,IF(AND($R119&lt;&gt;"",EDATE($D119,Milestones!$AA$146)&gt;=$R119),$U119,$T119)))=Milestones!$AB$146),TEXT(EDATE($D119,Milestones!$AA$146),"dd/mm/yy")&amp;" "&amp;Milestones!$AB$146&amp;" "&amp;Milestones!$AC$146&amp;";  ","")&amp;IF(AND(EDATE($D119,Milestones!$AA$147)&lt;=AsOfDate,IF($Q119=0,$W119,IF(AND($S119&lt;&gt;"",EDATE($D119,Milestones!$AA$147)&gt;=$S119),$V119,IF(AND($R119&lt;&gt;"",EDATE($D119,Milestones!$AA$147)&gt;=$R119),$U119,$T119)))=Milestones!$AB$147),TEXT(EDATE($D119,Milestones!$AA$147),"dd/mm/yy")&amp;" "&amp;Milestones!$AB$147&amp;" "&amp;Milestones!$AC$147&amp;";  ","")&amp;IF(AND(EDATE($D119,Milestones!$AA$148)&lt;=AsOfDate,IF($Q119=0,$W119,IF(AND($S119&lt;&gt;"",EDATE($D119,Milestones!$AA$148)&gt;=$S119),$V119,IF(AND($R119&lt;&gt;"",EDATE($D119,Milestones!$AA$148)&gt;=$R119),$U119,$T119)))=Milestones!$AB$148),TEXT(EDATE($D119,Milestones!$AA$148),"dd/mm/yy")&amp;" "&amp;Milestones!$AB$148&amp;" "&amp;Milestones!$AC$148&amp;";  ","")&amp;IF(AND(EDATE($D119,Milestones!$AA$149)&lt;=AsOfDate,IF($Q119=0,$W119,IF(AND($S119&lt;&gt;"",EDATE($D119,Milestones!$AA$149)&gt;=$S119),$V119,IF(AND($R119&lt;&gt;"",EDATE($D119,Milestones!$AA$149)&gt;=$R119),$U119,$T119)))=Milestones!$AB$149),TEXT(EDATE($D119,Milestones!$AA$149),"dd/mm/yy")&amp;" "&amp;Milestones!$AB$149&amp;" "&amp;Milestones!$AC$149&amp;";  ","")&amp;IF(AND(EDATE($D119,Milestones!$AA$150)&lt;=AsOfDate,IF($Q119=0,$W119,IF(AND($S119&lt;&gt;"",EDATE($D119,Milestones!$AA$150)&gt;=$S119),$V119,IF(AND($R119&lt;&gt;"",EDATE($D119,Milestones!$AA$150)&gt;=$R119),$U119,$T119)))=Milestones!$AB$150),TEXT(EDATE($D119,Milestones!$AA$150),"dd/mm/yy")&amp;" "&amp;Milestones!$AB$150&amp;" "&amp;Milestones!$AC$150&amp;";  ","")&amp;IF(AND(EDATE($D119,Milestones!$AA$151)&lt;=AsOfDate,IF($Q119=0,$W119,IF(AND($S119&lt;&gt;"",EDATE($D119,Milestones!$AA$151)&gt;=$S119),$V119,IF(AND($R119&lt;&gt;"",EDATE($D119,Milestones!$AA$151)&gt;=$R119),$U119,$T119)))=Milestones!$AB$151),TEXT(EDATE($D119,Milestones!$AA$151),"dd/mm/yy")&amp;" "&amp;Milestones!$AB$151&amp;" "&amp;Milestones!$AC$151&amp;";  ","")&amp;IF(AND(EDATE($D119,Milestones!$AA$152)&lt;=AsOfDate,IF($Q119=0,$W119,IF(AND($S119&lt;&gt;"",EDATE($D119,Milestones!$AA$152)&gt;=$S119),$V119,IF(AND($R119&lt;&gt;"",EDATE($D119,Milestones!$AA$152)&gt;=$R119),$U119,$T119)))=Milestones!$AB$152),TEXT(EDATE($D119,Milestones!$AA$152),"dd/mm/yy")&amp;" "&amp;Milestones!$AB$152&amp;" "&amp;Milestones!$AC$152&amp;";  ","")&amp;IF(AND(EDATE($D119,Milestones!$AA$153)&lt;=AsOfDate,IF($Q119=0,$W119,IF(AND($S119&lt;&gt;"",EDATE($D119,Milestones!$AA$153)&gt;=$S119),$V119,IF(AND($R119&lt;&gt;"",EDATE($D119,Milestones!$AA$153)&gt;=$R119),$U119,$T119)))=Milestones!$AB$153),TEXT(EDATE($D119,Milestones!$AA$153),"dd/mm/yy")&amp;" "&amp;Milestones!$AB$153&amp;" "&amp;Milestones!$AC$153&amp;";  ","")&amp;IF(AND(EDATE($D119,Milestones!$AA$154)&lt;=AsOfDate,IF($Q119=0,$W119,IF(AND($S119&lt;&gt;"",EDATE($D119,Milestones!$AA$154)&gt;=$S119),$V119,IF(AND($R119&lt;&gt;"",EDATE($D119,Milestones!$AA$154)&gt;=$R119),$U119,$T119)))=Milestones!$AB$154),TEXT(EDATE($D119,Milestones!$AA$154),"dd/mm/yy")&amp;" "&amp;Milestones!$AB$154&amp;" "&amp;Milestones!$AC$154&amp;";  ","")&amp;IF(AND(EDATE($D119,Milestones!$AA$155)&lt;=AsOfDate,IF($Q119=0,$W119,IF(AND($S119&lt;&gt;"",EDATE($D119,Milestones!$AA$155)&gt;=$S119),$V119,IF(AND($R119&lt;&gt;"",EDATE($D119,Milestones!$AA$155)&gt;=$R119),$U119,$T119)))=Milestones!$AB$155),TEXT(EDATE($D119,Milestones!$AA$155),"dd/mm/yy")&amp;" "&amp;Milestones!$AB$155&amp;" "&amp;Milestones!$AC$155&amp;";  ","")&amp;IF(AND(EDATE($D119,Milestones!$AA$156)&lt;=AsOfDate,IF($Q119=0,$W119,IF(AND($S119&lt;&gt;"",EDATE($D119,Milestones!$AA$156)&gt;=$S119),$V119,IF(AND($R119&lt;&gt;"",EDATE($D119,Milestones!$AA$156)&gt;=$R119),$U119,$T119)))=Milestones!$AB$156),TEXT(EDATE($D119,Milestones!$AA$156),"dd/mm/yy")&amp;" "&amp;Milestones!$AB$156&amp;" "&amp;Milestones!$AC$156&amp;";  ","")&amp;IF(AND(EDATE($D119,Milestones!$AA$157)&lt;=AsOfDate,IF($Q119=0,$W119,IF(AND($S119&lt;&gt;"",EDATE($D119,Milestones!$AA$157)&gt;=$S119),$V119,IF(AND($R119&lt;&gt;"",EDATE($D119,Milestones!$AA$157)&gt;=$R119),$U119,$T119)))=Milestones!$AB$157),TEXT(EDATE($D119,Milestones!$AA$157),"dd/mm/yy")&amp;" "&amp;Milestones!$AB$157&amp;" "&amp;Milestones!$AC$157&amp;";  ","")&amp;IF(AND(EDATE($D119,Milestones!$AA$158)&lt;=AsOfDate,IF($Q119=0,$W119,IF(AND($S119&lt;&gt;"",EDATE($D119,Milestones!$AA$158)&gt;=$S119),$V119,IF(AND($R119&lt;&gt;"",EDATE($D119,Milestones!$AA$158)&gt;=$R119),$U119,$T119)))=Milestones!$AB$158),TEXT(EDATE($D119,Milestones!$AA$158),"dd/mm/yy")&amp;" "&amp;Milestones!$AB$158&amp;" "&amp;Milestones!$AC$158&amp;";  ","")&amp;IF(AND(EDATE($D119,Milestones!$AA$159)&lt;=AsOfDate,IF($Q119=0,$W119,IF(AND($S119&lt;&gt;"",EDATE($D119,Milestones!$AA$159)&gt;=$S119),$V119,IF(AND($R119&lt;&gt;"",EDATE($D119,Milestones!$AA$159)&gt;=$R119),$U119,$T119)))=Milestones!$AB$159),TEXT(EDATE($D119,Milestones!$AA$159),"dd/mm/yy")&amp;" "&amp;Milestones!$AB$159&amp;" "&amp;Milestones!$AC$159&amp;";  ",""))</f>
        <v/>
      </c>
      <c r="O119" s="0" t="str">
        <f aca="false">IF(OR($A119="",$D119=""),"",IF(AND(EDATE($D119,Milestones!$AA$160)&lt;=AsOfDate,IF($Q119=0,$W119,IF(AND($S119&lt;&gt;"",EDATE($D119,Milestones!$AA$160)&gt;=$S119),$V119,IF(AND($R119&lt;&gt;"",EDATE($D119,Milestones!$AA$160)&gt;=$R119),$U119,$T119)))=Milestones!$AB$160),TEXT(EDATE($D119,Milestones!$AA$160),"dd/mm/yy")&amp;" "&amp;Milestones!$AB$160&amp;" "&amp;Milestones!$AC$160&amp;";  ","")&amp;IF(AND(EDATE($D119,Milestones!$AA$161)&lt;=AsOfDate,IF($Q119=0,$W119,IF(AND($S119&lt;&gt;"",EDATE($D119,Milestones!$AA$161)&gt;=$S119),$V119,IF(AND($R119&lt;&gt;"",EDATE($D119,Milestones!$AA$161)&gt;=$R119),$U119,$T119)))=Milestones!$AB$161),TEXT(EDATE($D119,Milestones!$AA$161),"dd/mm/yy")&amp;" "&amp;Milestones!$AB$161&amp;" "&amp;Milestones!$AC$161&amp;";  ","")&amp;IF(AND(EDATE($D119,Milestones!$AA$162)&lt;=AsOfDate,IF($Q119=0,$W119,IF(AND($S119&lt;&gt;"",EDATE($D119,Milestones!$AA$162)&gt;=$S119),$V119,IF(AND($R119&lt;&gt;"",EDATE($D119,Milestones!$AA$162)&gt;=$R119),$U119,$T119)))=Milestones!$AB$162),TEXT(EDATE($D119,Milestones!$AA$162),"dd/mm/yy")&amp;" "&amp;Milestones!$AB$162&amp;" "&amp;Milestones!$AC$162&amp;";  ","")&amp;IF(AND(EDATE($D119,Milestones!$AA$163)&lt;=AsOfDate,IF($Q119=0,$W119,IF(AND($S119&lt;&gt;"",EDATE($D119,Milestones!$AA$163)&gt;=$S119),$V119,IF(AND($R119&lt;&gt;"",EDATE($D119,Milestones!$AA$163)&gt;=$R119),$U119,$T119)))=Milestones!$AB$163),TEXT(EDATE($D119,Milestones!$AA$163),"dd/mm/yy")&amp;" "&amp;Milestones!$AB$163&amp;" "&amp;Milestones!$AC$163&amp;";  ","")&amp;IF(AND(EDATE($D119,Milestones!$AA$164)&lt;=AsOfDate,IF($Q119=0,$W119,IF(AND($S119&lt;&gt;"",EDATE($D119,Milestones!$AA$164)&gt;=$S119),$V119,IF(AND($R119&lt;&gt;"",EDATE($D119,Milestones!$AA$164)&gt;=$R119),$U119,$T119)))=Milestones!$AB$164),TEXT(EDATE($D119,Milestones!$AA$164),"dd/mm/yy")&amp;" "&amp;Milestones!$AB$164&amp;" "&amp;Milestones!$AC$164&amp;";  ","")&amp;IF(AND(EDATE($D119,Milestones!$AA$165)&lt;=AsOfDate,IF($Q119=0,$W119,IF(AND($S119&lt;&gt;"",EDATE($D119,Milestones!$AA$165)&gt;=$S119),$V119,IF(AND($R119&lt;&gt;"",EDATE($D119,Milestones!$AA$165)&gt;=$R119),$U119,$T119)))=Milestones!$AB$165),TEXT(EDATE($D119,Milestones!$AA$165),"dd/mm/yy")&amp;" "&amp;Milestones!$AB$165&amp;" "&amp;Milestones!$AC$165&amp;";  ","")&amp;IF(AND(EDATE($D119,Milestones!$AA$166)&lt;=AsOfDate,IF($Q119=0,$W119,IF(AND($S119&lt;&gt;"",EDATE($D119,Milestones!$AA$166)&gt;=$S119),$V119,IF(AND($R119&lt;&gt;"",EDATE($D119,Milestones!$AA$166)&gt;=$R119),$U119,$T119)))=Milestones!$AB$166),TEXT(EDATE($D119,Milestones!$AA$166),"dd/mm/yy")&amp;" "&amp;Milestones!$AB$166&amp;" "&amp;Milestones!$AC$166&amp;";  ","")&amp;IF(AND(EDATE($D119,Milestones!$AA$167)&lt;=AsOfDate,IF($Q119=0,$W119,IF(AND($S119&lt;&gt;"",EDATE($D119,Milestones!$AA$167)&gt;=$S119),$V119,IF(AND($R119&lt;&gt;"",EDATE($D119,Milestones!$AA$167)&gt;=$R119),$U119,$T119)))=Milestones!$AB$167),TEXT(EDATE($D119,Milestones!$AA$167),"dd/mm/yy")&amp;" "&amp;Milestones!$AB$167&amp;" "&amp;Milestones!$AC$167&amp;";  ","")&amp;IF(AND(EDATE($D119,Milestones!$AA$168)&lt;=AsOfDate,IF($Q119=0,$W119,IF(AND($S119&lt;&gt;"",EDATE($D119,Milestones!$AA$168)&gt;=$S119),$V119,IF(AND($R119&lt;&gt;"",EDATE($D119,Milestones!$AA$168)&gt;=$R119),$U119,$T119)))=Milestones!$AB$168),TEXT(EDATE($D119,Milestones!$AA$168),"dd/mm/yy")&amp;" "&amp;Milestones!$AB$168&amp;" "&amp;Milestones!$AC$168&amp;";  ","")&amp;IF(AND(EDATE($D119,Milestones!$AA$169)&lt;=AsOfDate,IF($Q119=0,$W119,IF(AND($S119&lt;&gt;"",EDATE($D119,Milestones!$AA$169)&gt;=$S119),$V119,IF(AND($R119&lt;&gt;"",EDATE($D119,Milestones!$AA$169)&gt;=$R119),$U119,$T119)))=Milestones!$AB$169),TEXT(EDATE($D119,Milestones!$AA$169),"dd/mm/yy")&amp;" "&amp;Milestones!$AB$169&amp;" "&amp;Milestones!$AC$169&amp;";  ","")&amp;IF(AND(EDATE($D119,Milestones!$AA$170)&lt;=AsOfDate,IF($Q119=0,$W119,IF(AND($S119&lt;&gt;"",EDATE($D119,Milestones!$AA$170)&gt;=$S119),$V119,IF(AND($R119&lt;&gt;"",EDATE($D119,Milestones!$AA$170)&gt;=$R119),$U119,$T119)))=Milestones!$AB$170),TEXT(EDATE($D119,Milestones!$AA$170),"dd/mm/yy")&amp;" "&amp;Milestones!$AB$170&amp;" "&amp;Milestones!$AC$170&amp;";  ","")&amp;IF(AND(EDATE($D119,Milestones!$AA$171)&lt;=AsOfDate,IF($Q119=0,$W119,IF(AND($S119&lt;&gt;"",EDATE($D119,Milestones!$AA$171)&gt;=$S119),$V119,IF(AND($R119&lt;&gt;"",EDATE($D119,Milestones!$AA$171)&gt;=$R119),$U119,$T119)))=Milestones!$AB$171),TEXT(EDATE($D119,Milestones!$AA$171),"dd/mm/yy")&amp;" "&amp;Milestones!$AB$171&amp;" "&amp;Milestones!$AC$171&amp;";  ","")&amp;IF(AND(EDATE($D119,Milestones!$AA$172)&lt;=AsOfDate,IF($Q119=0,$W119,IF(AND($S119&lt;&gt;"",EDATE($D119,Milestones!$AA$172)&gt;=$S119),$V119,IF(AND($R119&lt;&gt;"",EDATE($D119,Milestones!$AA$172)&gt;=$R119),$U119,$T119)))=Milestones!$AB$172),TEXT(EDATE($D119,Milestones!$AA$172),"dd/mm/yy")&amp;" "&amp;Milestones!$AB$172&amp;" "&amp;Milestones!$AC$172&amp;";  ","")&amp;IF(AND(EDATE($D119,Milestones!$AA$173)&lt;=AsOfDate,IF($Q119=0,$W119,IF(AND($S119&lt;&gt;"",EDATE($D119,Milestones!$AA$173)&gt;=$S119),$V119,IF(AND($R119&lt;&gt;"",EDATE($D119,Milestones!$AA$173)&gt;=$R119),$U119,$T119)))=Milestones!$AB$173),TEXT(EDATE($D119,Milestones!$AA$173),"dd/mm/yy")&amp;" "&amp;Milestones!$AB$173&amp;" "&amp;Milestones!$AC$173&amp;";  ","")&amp;IF(AND(EDATE($D119,Milestones!$AA$174)&lt;=AsOfDate,IF($Q119=0,$W119,IF(AND($S119&lt;&gt;"",EDATE($D119,Milestones!$AA$174)&gt;=$S119),$V119,IF(AND($R119&lt;&gt;"",EDATE($D119,Milestones!$AA$174)&gt;=$R119),$U119,$T119)))=Milestones!$AB$174),TEXT(EDATE($D119,Milestones!$AA$174),"dd/mm/yy")&amp;" "&amp;Milestones!$AB$174&amp;" "&amp;Milestones!$AC$174&amp;";  ","")&amp;IF(AND(EDATE($D119,Milestones!$AA$175)&lt;=AsOfDate,IF($Q119=0,$W119,IF(AND($S119&lt;&gt;"",EDATE($D119,Milestones!$AA$175)&gt;=$S119),$V119,IF(AND($R119&lt;&gt;"",EDATE($D119,Milestones!$AA$175)&gt;=$R119),$U119,$T119)))=Milestones!$AB$175),TEXT(EDATE($D119,Milestones!$AA$175),"dd/mm/yy")&amp;" "&amp;Milestones!$AB$175&amp;" "&amp;Milestones!$AC$175&amp;";  ","")&amp;IF(AND(EDATE($D119,Milestones!$AA$176)&lt;=AsOfDate,IF($Q119=0,$W119,IF(AND($S119&lt;&gt;"",EDATE($D119,Milestones!$AA$176)&gt;=$S119),$V119,IF(AND($R119&lt;&gt;"",EDATE($D119,Milestones!$AA$176)&gt;=$R119),$U119,$T119)))=Milestones!$AB$176),TEXT(EDATE($D119,Milestones!$AA$176),"dd/mm/yy")&amp;" "&amp;Milestones!$AB$176&amp;" "&amp;Milestones!$AC$176&amp;";  ","")&amp;IF(AND(EDATE($D119,Milestones!$AA$177)&lt;=AsOfDate,IF($Q119=0,$W119,IF(AND($S119&lt;&gt;"",EDATE($D119,Milestones!$AA$177)&gt;=$S119),$V119,IF(AND($R119&lt;&gt;"",EDATE($D119,Milestones!$AA$177)&gt;=$R119),$U119,$T119)))=Milestones!$AB$177),TEXT(EDATE($D119,Milestones!$AA$177),"dd/mm/yy")&amp;" "&amp;Milestones!$AB$177&amp;" "&amp;Milestones!$AC$177&amp;";  ","")&amp;IF(AND(EDATE($D119,Milestones!$AA$178)&lt;=AsOfDate,IF($Q119=0,$W119,IF(AND($S119&lt;&gt;"",EDATE($D119,Milestones!$AA$178)&gt;=$S119),$V119,IF(AND($R119&lt;&gt;"",EDATE($D119,Milestones!$AA$178)&gt;=$R119),$U119,$T119)))=Milestones!$AB$178),TEXT(EDATE($D119,Milestones!$AA$178),"dd/mm/yy")&amp;" "&amp;Milestones!$AB$178&amp;" "&amp;Milestones!$AC$178&amp;";  ","")&amp;IF(AND(EDATE($D119,Milestones!$AA$179)&lt;=AsOfDate,IF($Q119=0,$W119,IF(AND($S119&lt;&gt;"",EDATE($D119,Milestones!$AA$179)&gt;=$S119),$V119,IF(AND($R119&lt;&gt;"",EDATE($D119,Milestones!$AA$179)&gt;=$R119),$U119,$T119)))=Milestones!$AB$179),TEXT(EDATE($D119,Milestones!$AA$179),"dd/mm/yy")&amp;" "&amp;Milestones!$AB$179&amp;" "&amp;Milestones!$AC$179&amp;";  ",""))</f>
        <v/>
      </c>
      <c r="P119" s="0" t="str">
        <f aca="false">IF(OR($A119="",$D119=""),"",IF(AND(EDATE($D119,Milestones!$AA$180)&lt;=AsOfDate,IF($Q119=0,$W119,IF(AND($S119&lt;&gt;"",EDATE($D119,Milestones!$AA$180)&gt;=$S119),$V119,IF(AND($R119&lt;&gt;"",EDATE($D119,Milestones!$AA$180)&gt;=$R119),$U119,$T119)))=Milestones!$AB$180),TEXT(EDATE($D119,Milestones!$AA$180),"dd/mm/yy")&amp;" "&amp;Milestones!$AB$180&amp;" "&amp;Milestones!$AC$180&amp;";  ","")&amp;IF(AND(EDATE($D119,Milestones!$AA$181)&lt;=AsOfDate,IF($Q119=0,$W119,IF(AND($S119&lt;&gt;"",EDATE($D119,Milestones!$AA$181)&gt;=$S119),$V119,IF(AND($R119&lt;&gt;"",EDATE($D119,Milestones!$AA$181)&gt;=$R119),$U119,$T119)))=Milestones!$AB$181),TEXT(EDATE($D119,Milestones!$AA$181),"dd/mm/yy")&amp;" "&amp;Milestones!$AB$181&amp;" "&amp;Milestones!$AC$181&amp;";  ","")&amp;IF(AND(EDATE($D119,Milestones!$AA$182)&lt;=AsOfDate,IF($Q119=0,$W119,IF(AND($S119&lt;&gt;"",EDATE($D119,Milestones!$AA$182)&gt;=$S119),$V119,IF(AND($R119&lt;&gt;"",EDATE($D119,Milestones!$AA$182)&gt;=$R119),$U119,$T119)))=Milestones!$AB$182),TEXT(EDATE($D119,Milestones!$AA$182),"dd/mm/yy")&amp;" "&amp;Milestones!$AB$182&amp;" "&amp;Milestones!$AC$182&amp;";  ","")&amp;IF(AND(EDATE($D119,Milestones!$AA$183)&lt;=AsOfDate,IF($Q119=0,$W119,IF(AND($S119&lt;&gt;"",EDATE($D119,Milestones!$AA$183)&gt;=$S119),$V119,IF(AND($R119&lt;&gt;"",EDATE($D119,Milestones!$AA$183)&gt;=$R119),$U119,$T119)))=Milestones!$AB$183),TEXT(EDATE($D119,Milestones!$AA$183),"dd/mm/yy")&amp;" "&amp;Milestones!$AB$183&amp;" "&amp;Milestones!$AC$183&amp;";  ","")&amp;IF(AND(EDATE($D119,Milestones!$AA$184)&lt;=AsOfDate,IF($Q119=0,$W119,IF(AND($S119&lt;&gt;"",EDATE($D119,Milestones!$AA$184)&gt;=$S119),$V119,IF(AND($R119&lt;&gt;"",EDATE($D119,Milestones!$AA$184)&gt;=$R119),$U119,$T119)))=Milestones!$AB$184),TEXT(EDATE($D119,Milestones!$AA$184),"dd/mm/yy")&amp;" "&amp;Milestones!$AB$184&amp;" "&amp;Milestones!$AC$184&amp;";  ","")&amp;IF(AND(EDATE($D119,Milestones!$AA$185)&lt;=AsOfDate,IF($Q119=0,$W119,IF(AND($S119&lt;&gt;"",EDATE($D119,Milestones!$AA$185)&gt;=$S119),$V119,IF(AND($R119&lt;&gt;"",EDATE($D119,Milestones!$AA$185)&gt;=$R119),$U119,$T119)))=Milestones!$AB$185),TEXT(EDATE($D119,Milestones!$AA$185),"dd/mm/yy")&amp;" "&amp;Milestones!$AB$185&amp;" "&amp;Milestones!$AC$185&amp;";  ","")&amp;IF(AND(EDATE($D119,Milestones!$AA$186)&lt;=AsOfDate,IF($Q119=0,$W119,IF(AND($S119&lt;&gt;"",EDATE($D119,Milestones!$AA$186)&gt;=$S119),$V119,IF(AND($R119&lt;&gt;"",EDATE($D119,Milestones!$AA$186)&gt;=$R119),$U119,$T119)))=Milestones!$AB$186),TEXT(EDATE($D119,Milestones!$AA$186),"dd/mm/yy")&amp;" "&amp;Milestones!$AB$186&amp;" "&amp;Milestones!$AC$186&amp;";  ","")&amp;IF(AND(EDATE($D119,Milestones!$AA$187)&lt;=AsOfDate,IF($Q119=0,$W119,IF(AND($S119&lt;&gt;"",EDATE($D119,Milestones!$AA$187)&gt;=$S119),$V119,IF(AND($R119&lt;&gt;"",EDATE($D119,Milestones!$AA$187)&gt;=$R119),$U119,$T119)))=Milestones!$AB$187),TEXT(EDATE($D119,Milestones!$AA$187),"dd/mm/yy")&amp;" "&amp;Milestones!$AB$187&amp;" "&amp;Milestones!$AC$187&amp;";  ","")&amp;IF(AND(EDATE($D119,Milestones!$AA$188)&lt;=AsOfDate,IF($Q119=0,$W119,IF(AND($S119&lt;&gt;"",EDATE($D119,Milestones!$AA$188)&gt;=$S119),$V119,IF(AND($R119&lt;&gt;"",EDATE($D119,Milestones!$AA$188)&gt;=$R119),$U119,$T119)))=Milestones!$AB$188),TEXT(EDATE($D119,Milestones!$AA$188),"dd/mm/yy")&amp;" "&amp;Milestones!$AB$188&amp;" "&amp;Milestones!$AC$188&amp;";  ","")&amp;IF(AND(EDATE($D119,Milestones!$AA$189)&lt;=AsOfDate,IF($Q119=0,$W119,IF(AND($S119&lt;&gt;"",EDATE($D119,Milestones!$AA$189)&gt;=$S119),$V119,IF(AND($R119&lt;&gt;"",EDATE($D119,Milestones!$AA$189)&gt;=$R119),$U119,$T119)))=Milestones!$AB$189),TEXT(EDATE($D119,Milestones!$AA$189),"dd/mm/yy")&amp;" "&amp;Milestones!$AB$189&amp;" "&amp;Milestones!$AC$189&amp;";  ","")&amp;IF(AND(EDATE($D119,Milestones!$AA$190)&lt;=AsOfDate,IF($Q119=0,$W119,IF(AND($S119&lt;&gt;"",EDATE($D119,Milestones!$AA$190)&gt;=$S119),$V119,IF(AND($R119&lt;&gt;"",EDATE($D119,Milestones!$AA$190)&gt;=$R119),$U119,$T119)))=Milestones!$AB$190),TEXT(EDATE($D119,Milestones!$AA$190),"dd/mm/yy")&amp;" "&amp;Milestones!$AB$190&amp;" "&amp;Milestones!$AC$190&amp;";  ","")&amp;IF(AND(EDATE($D119,Milestones!$AA$191)&lt;=AsOfDate,IF($Q119=0,$W119,IF(AND($S119&lt;&gt;"",EDATE($D119,Milestones!$AA$191)&gt;=$S119),$V119,IF(AND($R119&lt;&gt;"",EDATE($D119,Milestones!$AA$191)&gt;=$R119),$U119,$T119)))=Milestones!$AB$191),TEXT(EDATE($D119,Milestones!$AA$191),"dd/mm/yy")&amp;" "&amp;Milestones!$AB$191&amp;" "&amp;Milestones!$AC$191&amp;";  ","")&amp;IF(AND(EDATE($D119,Milestones!$AA$192)&lt;=AsOfDate,IF($Q119=0,$W119,IF(AND($S119&lt;&gt;"",EDATE($D119,Milestones!$AA$192)&gt;=$S119),$V119,IF(AND($R119&lt;&gt;"",EDATE($D119,Milestones!$AA$192)&gt;=$R119),$U119,$T119)))=Milestones!$AB$192),TEXT(EDATE($D119,Milestones!$AA$192),"dd/mm/yy")&amp;" "&amp;Milestones!$AB$192&amp;" "&amp;Milestones!$AC$192&amp;";  ","")&amp;IF(AND(EDATE($D119,Milestones!$AA$193)&lt;=AsOfDate,IF($Q119=0,$W119,IF(AND($S119&lt;&gt;"",EDATE($D119,Milestones!$AA$193)&gt;=$S119),$V119,IF(AND($R119&lt;&gt;"",EDATE($D119,Milestones!$AA$193)&gt;=$R119),$U119,$T119)))=Milestones!$AB$193),TEXT(EDATE($D119,Milestones!$AA$193),"dd/mm/yy")&amp;" "&amp;Milestones!$AB$193&amp;" "&amp;Milestones!$AC$193&amp;";  ","")&amp;IF(AND(EDATE($D119,Milestones!$AA$194)&lt;=AsOfDate,IF($Q119=0,$W119,IF(AND($S119&lt;&gt;"",EDATE($D119,Milestones!$AA$194)&gt;=$S119),$V119,IF(AND($R119&lt;&gt;"",EDATE($D119,Milestones!$AA$194)&gt;=$R119),$U119,$T119)))=Milestones!$AB$194),TEXT(EDATE($D119,Milestones!$AA$194),"dd/mm/yy")&amp;" "&amp;Milestones!$AB$194&amp;" "&amp;Milestones!$AC$194&amp;";  ","")&amp;IF(AND(EDATE($D119,Milestones!$AA$195)&lt;=AsOfDate,IF($Q119=0,$W119,IF(AND($S119&lt;&gt;"",EDATE($D119,Milestones!$AA$195)&gt;=$S119),$V119,IF(AND($R119&lt;&gt;"",EDATE($D119,Milestones!$AA$195)&gt;=$R119),$U119,$T119)))=Milestones!$AB$195),TEXT(EDATE($D119,Milestones!$AA$195),"dd/mm/yy")&amp;" "&amp;Milestones!$AB$195&amp;" "&amp;Milestones!$AC$195&amp;";  ","")&amp;IF(AND(EDATE($D119,Milestones!$AA$196)&lt;=AsOfDate,IF($Q119=0,$W119,IF(AND($S119&lt;&gt;"",EDATE($D119,Milestones!$AA$196)&gt;=$S119),$V119,IF(AND($R119&lt;&gt;"",EDATE($D119,Milestones!$AA$196)&gt;=$R119),$U119,$T119)))=Milestones!$AB$196),TEXT(EDATE($D119,Milestones!$AA$196),"dd/mm/yy")&amp;" "&amp;Milestones!$AB$196&amp;" "&amp;Milestones!$AC$196&amp;";  ","")&amp;IF(AND(EDATE($D119,Milestones!$AA$197)&lt;=AsOfDate,IF($Q119=0,$W119,IF(AND($S119&lt;&gt;"",EDATE($D119,Milestones!$AA$197)&gt;=$S119),$V119,IF(AND($R119&lt;&gt;"",EDATE($D119,Milestones!$AA$197)&gt;=$R119),$U119,$T119)))=Milestones!$AB$197),TEXT(EDATE($D119,Milestones!$AA$197),"dd/mm/yy")&amp;" "&amp;Milestones!$AB$197&amp;" "&amp;Milestones!$AC$197&amp;";  ","")&amp;IF(AND(EDATE($D119,Milestones!$AA$198)&lt;=AsOfDate,IF($Q119=0,$W119,IF(AND($S119&lt;&gt;"",EDATE($D119,Milestones!$AA$198)&gt;=$S119),$V119,IF(AND($R119&lt;&gt;"",EDATE($D119,Milestones!$AA$198)&gt;=$R119),$U119,$T119)))=Milestones!$AB$198),TEXT(EDATE($D119,Milestones!$AA$198),"dd/mm/yy")&amp;" "&amp;Milestones!$AB$198&amp;" "&amp;Milestones!$AC$198&amp;";  ","")&amp;IF(AND(EDATE($D119,Milestones!$AA$199)&lt;=AsOfDate,IF($Q119=0,$W119,IF(AND($S119&lt;&gt;"",EDATE($D119,Milestones!$AA$199)&gt;=$S119),$V119,IF(AND($R119&lt;&gt;"",EDATE($D119,Milestones!$AA$199)&gt;=$R119),$U119,$T119)))=Milestones!$AB$199),TEXT(EDATE($D119,Milestones!$AA$199),"dd/mm/yy")&amp;" "&amp;Milestones!$AB$199&amp;" "&amp;Milestones!$AC$199&amp;";  ",""))</f>
        <v/>
      </c>
      <c r="Q119" s="0" t="str">
        <f aca="false">IF(Staff!$A119="","",Staff!$AG119)</f>
        <v/>
      </c>
      <c r="R119" s="0" t="str">
        <f aca="false">IF(Staff!$A119="","",Staff!$AI119)</f>
        <v/>
      </c>
      <c r="S119" s="0" t="str">
        <f aca="false">IF(Staff!$A119="","",Staff!$AJ119)</f>
        <v/>
      </c>
      <c r="T119" s="0" t="str">
        <f aca="false">IF(Staff!$A119="","",Staff!$AN119)</f>
        <v/>
      </c>
      <c r="U119" s="0" t="str">
        <f aca="false">IF(Staff!$A119="","",Staff!$AO119)</f>
        <v/>
      </c>
      <c r="V119" s="0" t="str">
        <f aca="false">IF(Staff!$A119="","",Staff!$AP119)</f>
        <v/>
      </c>
      <c r="W119" s="0" t="str">
        <f aca="false">IF(Staff!$A119="","",Staff!$AQ119)</f>
        <v/>
      </c>
    </row>
    <row r="120" customFormat="false" ht="15" hidden="false" customHeight="false" outlineLevel="0" collapsed="false">
      <c r="A120" s="13" t="str">
        <f aca="false">IF(Staff!$A120="","",Staff!$A120)</f>
        <v/>
      </c>
      <c r="B120" s="13" t="str">
        <f aca="false">IF(Staff!$A120="","",Staff!$B120)</f>
        <v/>
      </c>
      <c r="C120" s="13" t="str">
        <f aca="false">IF(Staff!$A120="","",Staff!$C120)</f>
        <v/>
      </c>
      <c r="D120" s="11" t="str">
        <f aca="false">IF(Staff!$A120="","",Staff!$AF120)</f>
        <v/>
      </c>
      <c r="E120" s="13" t="str">
        <f aca="false">IF(Staff!$A120="","",Staff!$O120)</f>
        <v/>
      </c>
      <c r="F120" s="13" t="str">
        <f aca="false">IF(E120="","",E120*HoursPerDay)</f>
        <v/>
      </c>
      <c r="G120" s="26" t="str">
        <f aca="false">IF($A120="","",H120&amp;I120&amp;J120&amp;K120&amp;L120&amp;M120&amp;N120&amp;O120&amp;P120)</f>
        <v/>
      </c>
      <c r="H120" s="0" t="str">
        <f aca="false">IF(OR($A120="",$D120=""),"",IF(AND(EDATE($D120,Milestones!$AA$20)&lt;=AsOfDate,IF($Q120=0,$W120,IF(AND($S120&lt;&gt;"",EDATE($D120,Milestones!$AA$20)&gt;=$S120),$V120,IF(AND($R120&lt;&gt;"",EDATE($D120,Milestones!$AA$20)&gt;=$R120),$U120,$T120)))=Milestones!$AB$20),TEXT(EDATE($D120,Milestones!$AA$20),"dd/mm/yy")&amp;" "&amp;Milestones!$AB$20&amp;" "&amp;Milestones!$AC$20&amp;";  ","")&amp;IF(AND(EDATE($D120,Milestones!$AA$21)&lt;=AsOfDate,IF($Q120=0,$W120,IF(AND($S120&lt;&gt;"",EDATE($D120,Milestones!$AA$21)&gt;=$S120),$V120,IF(AND($R120&lt;&gt;"",EDATE($D120,Milestones!$AA$21)&gt;=$R120),$U120,$T120)))=Milestones!$AB$21),TEXT(EDATE($D120,Milestones!$AA$21),"dd/mm/yy")&amp;" "&amp;Milestones!$AB$21&amp;" "&amp;Milestones!$AC$21&amp;";  ","")&amp;IF(AND(EDATE($D120,Milestones!$AA$22)&lt;=AsOfDate,IF($Q120=0,$W120,IF(AND($S120&lt;&gt;"",EDATE($D120,Milestones!$AA$22)&gt;=$S120),$V120,IF(AND($R120&lt;&gt;"",EDATE($D120,Milestones!$AA$22)&gt;=$R120),$U120,$T120)))=Milestones!$AB$22),TEXT(EDATE($D120,Milestones!$AA$22),"dd/mm/yy")&amp;" "&amp;Milestones!$AB$22&amp;" "&amp;Milestones!$AC$22&amp;";  ","")&amp;IF(AND(EDATE($D120,Milestones!$AA$23)&lt;=AsOfDate,IF($Q120=0,$W120,IF(AND($S120&lt;&gt;"",EDATE($D120,Milestones!$AA$23)&gt;=$S120),$V120,IF(AND($R120&lt;&gt;"",EDATE($D120,Milestones!$AA$23)&gt;=$R120),$U120,$T120)))=Milestones!$AB$23),TEXT(EDATE($D120,Milestones!$AA$23),"dd/mm/yy")&amp;" "&amp;Milestones!$AB$23&amp;" "&amp;Milestones!$AC$23&amp;";  ","")&amp;IF(AND(EDATE($D120,Milestones!$AA$24)&lt;=AsOfDate,IF($Q120=0,$W120,IF(AND($S120&lt;&gt;"",EDATE($D120,Milestones!$AA$24)&gt;=$S120),$V120,IF(AND($R120&lt;&gt;"",EDATE($D120,Milestones!$AA$24)&gt;=$R120),$U120,$T120)))=Milestones!$AB$24),TEXT(EDATE($D120,Milestones!$AA$24),"dd/mm/yy")&amp;" "&amp;Milestones!$AB$24&amp;" "&amp;Milestones!$AC$24&amp;";  ","")&amp;IF(AND(EDATE($D120,Milestones!$AA$25)&lt;=AsOfDate,IF($Q120=0,$W120,IF(AND($S120&lt;&gt;"",EDATE($D120,Milestones!$AA$25)&gt;=$S120),$V120,IF(AND($R120&lt;&gt;"",EDATE($D120,Milestones!$AA$25)&gt;=$R120),$U120,$T120)))=Milestones!$AB$25),TEXT(EDATE($D120,Milestones!$AA$25),"dd/mm/yy")&amp;" "&amp;Milestones!$AB$25&amp;" "&amp;Milestones!$AC$25&amp;";  ","")&amp;IF(AND(EDATE($D120,Milestones!$AA$26)&lt;=AsOfDate,IF($Q120=0,$W120,IF(AND($S120&lt;&gt;"",EDATE($D120,Milestones!$AA$26)&gt;=$S120),$V120,IF(AND($R120&lt;&gt;"",EDATE($D120,Milestones!$AA$26)&gt;=$R120),$U120,$T120)))=Milestones!$AB$26),TEXT(EDATE($D120,Milestones!$AA$26),"dd/mm/yy")&amp;" "&amp;Milestones!$AB$26&amp;" "&amp;Milestones!$AC$26&amp;";  ","")&amp;IF(AND(EDATE($D120,Milestones!$AA$27)&lt;=AsOfDate,IF($Q120=0,$W120,IF(AND($S120&lt;&gt;"",EDATE($D120,Milestones!$AA$27)&gt;=$S120),$V120,IF(AND($R120&lt;&gt;"",EDATE($D120,Milestones!$AA$27)&gt;=$R120),$U120,$T120)))=Milestones!$AB$27),TEXT(EDATE($D120,Milestones!$AA$27),"dd/mm/yy")&amp;" "&amp;Milestones!$AB$27&amp;" "&amp;Milestones!$AC$27&amp;";  ","")&amp;IF(AND(EDATE($D120,Milestones!$AA$28)&lt;=AsOfDate,IF($Q120=0,$W120,IF(AND($S120&lt;&gt;"",EDATE($D120,Milestones!$AA$28)&gt;=$S120),$V120,IF(AND($R120&lt;&gt;"",EDATE($D120,Milestones!$AA$28)&gt;=$R120),$U120,$T120)))=Milestones!$AB$28),TEXT(EDATE($D120,Milestones!$AA$28),"dd/mm/yy")&amp;" "&amp;Milestones!$AB$28&amp;" "&amp;Milestones!$AC$28&amp;";  ","")&amp;IF(AND(EDATE($D120,Milestones!$AA$29)&lt;=AsOfDate,IF($Q120=0,$W120,IF(AND($S120&lt;&gt;"",EDATE($D120,Milestones!$AA$29)&gt;=$S120),$V120,IF(AND($R120&lt;&gt;"",EDATE($D120,Milestones!$AA$29)&gt;=$R120),$U120,$T120)))=Milestones!$AB$29),TEXT(EDATE($D120,Milestones!$AA$29),"dd/mm/yy")&amp;" "&amp;Milestones!$AB$29&amp;" "&amp;Milestones!$AC$29&amp;";  ","")&amp;IF(AND(EDATE($D120,Milestones!$AA$30)&lt;=AsOfDate,IF($Q120=0,$W120,IF(AND($S120&lt;&gt;"",EDATE($D120,Milestones!$AA$30)&gt;=$S120),$V120,IF(AND($R120&lt;&gt;"",EDATE($D120,Milestones!$AA$30)&gt;=$R120),$U120,$T120)))=Milestones!$AB$30),TEXT(EDATE($D120,Milestones!$AA$30),"dd/mm/yy")&amp;" "&amp;Milestones!$AB$30&amp;" "&amp;Milestones!$AC$30&amp;";  ","")&amp;IF(AND(EDATE($D120,Milestones!$AA$31)&lt;=AsOfDate,IF($Q120=0,$W120,IF(AND($S120&lt;&gt;"",EDATE($D120,Milestones!$AA$31)&gt;=$S120),$V120,IF(AND($R120&lt;&gt;"",EDATE($D120,Milestones!$AA$31)&gt;=$R120),$U120,$T120)))=Milestones!$AB$31),TEXT(EDATE($D120,Milestones!$AA$31),"dd/mm/yy")&amp;" "&amp;Milestones!$AB$31&amp;" "&amp;Milestones!$AC$31&amp;";  ","")&amp;IF(AND(EDATE($D120,Milestones!$AA$32)&lt;=AsOfDate,IF($Q120=0,$W120,IF(AND($S120&lt;&gt;"",EDATE($D120,Milestones!$AA$32)&gt;=$S120),$V120,IF(AND($R120&lt;&gt;"",EDATE($D120,Milestones!$AA$32)&gt;=$R120),$U120,$T120)))=Milestones!$AB$32),TEXT(EDATE($D120,Milestones!$AA$32),"dd/mm/yy")&amp;" "&amp;Milestones!$AB$32&amp;" "&amp;Milestones!$AC$32&amp;";  ","")&amp;IF(AND(EDATE($D120,Milestones!$AA$33)&lt;=AsOfDate,IF($Q120=0,$W120,IF(AND($S120&lt;&gt;"",EDATE($D120,Milestones!$AA$33)&gt;=$S120),$V120,IF(AND($R120&lt;&gt;"",EDATE($D120,Milestones!$AA$33)&gt;=$R120),$U120,$T120)))=Milestones!$AB$33),TEXT(EDATE($D120,Milestones!$AA$33),"dd/mm/yy")&amp;" "&amp;Milestones!$AB$33&amp;" "&amp;Milestones!$AC$33&amp;";  ","")&amp;IF(AND(EDATE($D120,Milestones!$AA$34)&lt;=AsOfDate,IF($Q120=0,$W120,IF(AND($S120&lt;&gt;"",EDATE($D120,Milestones!$AA$34)&gt;=$S120),$V120,IF(AND($R120&lt;&gt;"",EDATE($D120,Milestones!$AA$34)&gt;=$R120),$U120,$T120)))=Milestones!$AB$34),TEXT(EDATE($D120,Milestones!$AA$34),"dd/mm/yy")&amp;" "&amp;Milestones!$AB$34&amp;" "&amp;Milestones!$AC$34&amp;";  ","")&amp;IF(AND(EDATE($D120,Milestones!$AA$35)&lt;=AsOfDate,IF($Q120=0,$W120,IF(AND($S120&lt;&gt;"",EDATE($D120,Milestones!$AA$35)&gt;=$S120),$V120,IF(AND($R120&lt;&gt;"",EDATE($D120,Milestones!$AA$35)&gt;=$R120),$U120,$T120)))=Milestones!$AB$35),TEXT(EDATE($D120,Milestones!$AA$35),"dd/mm/yy")&amp;" "&amp;Milestones!$AB$35&amp;" "&amp;Milestones!$AC$35&amp;";  ","")&amp;IF(AND(EDATE($D120,Milestones!$AA$36)&lt;=AsOfDate,IF($Q120=0,$W120,IF(AND($S120&lt;&gt;"",EDATE($D120,Milestones!$AA$36)&gt;=$S120),$V120,IF(AND($R120&lt;&gt;"",EDATE($D120,Milestones!$AA$36)&gt;=$R120),$U120,$T120)))=Milestones!$AB$36),TEXT(EDATE($D120,Milestones!$AA$36),"dd/mm/yy")&amp;" "&amp;Milestones!$AB$36&amp;" "&amp;Milestones!$AC$36&amp;";  ","")&amp;IF(AND(EDATE($D120,Milestones!$AA$37)&lt;=AsOfDate,IF($Q120=0,$W120,IF(AND($S120&lt;&gt;"",EDATE($D120,Milestones!$AA$37)&gt;=$S120),$V120,IF(AND($R120&lt;&gt;"",EDATE($D120,Milestones!$AA$37)&gt;=$R120),$U120,$T120)))=Milestones!$AB$37),TEXT(EDATE($D120,Milestones!$AA$37),"dd/mm/yy")&amp;" "&amp;Milestones!$AB$37&amp;" "&amp;Milestones!$AC$37&amp;";  ","")&amp;IF(AND(EDATE($D120,Milestones!$AA$38)&lt;=AsOfDate,IF($Q120=0,$W120,IF(AND($S120&lt;&gt;"",EDATE($D120,Milestones!$AA$38)&gt;=$S120),$V120,IF(AND($R120&lt;&gt;"",EDATE($D120,Milestones!$AA$38)&gt;=$R120),$U120,$T120)))=Milestones!$AB$38),TEXT(EDATE($D120,Milestones!$AA$38),"dd/mm/yy")&amp;" "&amp;Milestones!$AB$38&amp;" "&amp;Milestones!$AC$38&amp;";  ","")&amp;IF(AND(EDATE($D120,Milestones!$AA$39)&lt;=AsOfDate,IF($Q120=0,$W120,IF(AND($S120&lt;&gt;"",EDATE($D120,Milestones!$AA$39)&gt;=$S120),$V120,IF(AND($R120&lt;&gt;"",EDATE($D120,Milestones!$AA$39)&gt;=$R120),$U120,$T120)))=Milestones!$AB$39),TEXT(EDATE($D120,Milestones!$AA$39),"dd/mm/yy")&amp;" "&amp;Milestones!$AB$39&amp;" "&amp;Milestones!$AC$39&amp;";  ",""))</f>
        <v/>
      </c>
      <c r="I120" s="0" t="str">
        <f aca="false">IF(OR($A120="",$D120=""),"",IF(AND(EDATE($D120,Milestones!$AA$40)&lt;=AsOfDate,IF($Q120=0,$W120,IF(AND($S120&lt;&gt;"",EDATE($D120,Milestones!$AA$40)&gt;=$S120),$V120,IF(AND($R120&lt;&gt;"",EDATE($D120,Milestones!$AA$40)&gt;=$R120),$U120,$T120)))=Milestones!$AB$40),TEXT(EDATE($D120,Milestones!$AA$40),"dd/mm/yy")&amp;" "&amp;Milestones!$AB$40&amp;" "&amp;Milestones!$AC$40&amp;";  ","")&amp;IF(AND(EDATE($D120,Milestones!$AA$41)&lt;=AsOfDate,IF($Q120=0,$W120,IF(AND($S120&lt;&gt;"",EDATE($D120,Milestones!$AA$41)&gt;=$S120),$V120,IF(AND($R120&lt;&gt;"",EDATE($D120,Milestones!$AA$41)&gt;=$R120),$U120,$T120)))=Milestones!$AB$41),TEXT(EDATE($D120,Milestones!$AA$41),"dd/mm/yy")&amp;" "&amp;Milestones!$AB$41&amp;" "&amp;Milestones!$AC$41&amp;";  ","")&amp;IF(AND(EDATE($D120,Milestones!$AA$42)&lt;=AsOfDate,IF($Q120=0,$W120,IF(AND($S120&lt;&gt;"",EDATE($D120,Milestones!$AA$42)&gt;=$S120),$V120,IF(AND($R120&lt;&gt;"",EDATE($D120,Milestones!$AA$42)&gt;=$R120),$U120,$T120)))=Milestones!$AB$42),TEXT(EDATE($D120,Milestones!$AA$42),"dd/mm/yy")&amp;" "&amp;Milestones!$AB$42&amp;" "&amp;Milestones!$AC$42&amp;";  ","")&amp;IF(AND(EDATE($D120,Milestones!$AA$43)&lt;=AsOfDate,IF($Q120=0,$W120,IF(AND($S120&lt;&gt;"",EDATE($D120,Milestones!$AA$43)&gt;=$S120),$V120,IF(AND($R120&lt;&gt;"",EDATE($D120,Milestones!$AA$43)&gt;=$R120),$U120,$T120)))=Milestones!$AB$43),TEXT(EDATE($D120,Milestones!$AA$43),"dd/mm/yy")&amp;" "&amp;Milestones!$AB$43&amp;" "&amp;Milestones!$AC$43&amp;";  ","")&amp;IF(AND(EDATE($D120,Milestones!$AA$44)&lt;=AsOfDate,IF($Q120=0,$W120,IF(AND($S120&lt;&gt;"",EDATE($D120,Milestones!$AA$44)&gt;=$S120),$V120,IF(AND($R120&lt;&gt;"",EDATE($D120,Milestones!$AA$44)&gt;=$R120),$U120,$T120)))=Milestones!$AB$44),TEXT(EDATE($D120,Milestones!$AA$44),"dd/mm/yy")&amp;" "&amp;Milestones!$AB$44&amp;" "&amp;Milestones!$AC$44&amp;";  ","")&amp;IF(AND(EDATE($D120,Milestones!$AA$45)&lt;=AsOfDate,IF($Q120=0,$W120,IF(AND($S120&lt;&gt;"",EDATE($D120,Milestones!$AA$45)&gt;=$S120),$V120,IF(AND($R120&lt;&gt;"",EDATE($D120,Milestones!$AA$45)&gt;=$R120),$U120,$T120)))=Milestones!$AB$45),TEXT(EDATE($D120,Milestones!$AA$45),"dd/mm/yy")&amp;" "&amp;Milestones!$AB$45&amp;" "&amp;Milestones!$AC$45&amp;";  ","")&amp;IF(AND(EDATE($D120,Milestones!$AA$46)&lt;=AsOfDate,IF($Q120=0,$W120,IF(AND($S120&lt;&gt;"",EDATE($D120,Milestones!$AA$46)&gt;=$S120),$V120,IF(AND($R120&lt;&gt;"",EDATE($D120,Milestones!$AA$46)&gt;=$R120),$U120,$T120)))=Milestones!$AB$46),TEXT(EDATE($D120,Milestones!$AA$46),"dd/mm/yy")&amp;" "&amp;Milestones!$AB$46&amp;" "&amp;Milestones!$AC$46&amp;";  ","")&amp;IF(AND(EDATE($D120,Milestones!$AA$47)&lt;=AsOfDate,IF($Q120=0,$W120,IF(AND($S120&lt;&gt;"",EDATE($D120,Milestones!$AA$47)&gt;=$S120),$V120,IF(AND($R120&lt;&gt;"",EDATE($D120,Milestones!$AA$47)&gt;=$R120),$U120,$T120)))=Milestones!$AB$47),TEXT(EDATE($D120,Milestones!$AA$47),"dd/mm/yy")&amp;" "&amp;Milestones!$AB$47&amp;" "&amp;Milestones!$AC$47&amp;";  ","")&amp;IF(AND(EDATE($D120,Milestones!$AA$48)&lt;=AsOfDate,IF($Q120=0,$W120,IF(AND($S120&lt;&gt;"",EDATE($D120,Milestones!$AA$48)&gt;=$S120),$V120,IF(AND($R120&lt;&gt;"",EDATE($D120,Milestones!$AA$48)&gt;=$R120),$U120,$T120)))=Milestones!$AB$48),TEXT(EDATE($D120,Milestones!$AA$48),"dd/mm/yy")&amp;" "&amp;Milestones!$AB$48&amp;" "&amp;Milestones!$AC$48&amp;";  ","")&amp;IF(AND(EDATE($D120,Milestones!$AA$49)&lt;=AsOfDate,IF($Q120=0,$W120,IF(AND($S120&lt;&gt;"",EDATE($D120,Milestones!$AA$49)&gt;=$S120),$V120,IF(AND($R120&lt;&gt;"",EDATE($D120,Milestones!$AA$49)&gt;=$R120),$U120,$T120)))=Milestones!$AB$49),TEXT(EDATE($D120,Milestones!$AA$49),"dd/mm/yy")&amp;" "&amp;Milestones!$AB$49&amp;" "&amp;Milestones!$AC$49&amp;";  ","")&amp;IF(AND(EDATE($D120,Milestones!$AA$50)&lt;=AsOfDate,IF($Q120=0,$W120,IF(AND($S120&lt;&gt;"",EDATE($D120,Milestones!$AA$50)&gt;=$S120),$V120,IF(AND($R120&lt;&gt;"",EDATE($D120,Milestones!$AA$50)&gt;=$R120),$U120,$T120)))=Milestones!$AB$50),TEXT(EDATE($D120,Milestones!$AA$50),"dd/mm/yy")&amp;" "&amp;Milestones!$AB$50&amp;" "&amp;Milestones!$AC$50&amp;";  ","")&amp;IF(AND(EDATE($D120,Milestones!$AA$51)&lt;=AsOfDate,IF($Q120=0,$W120,IF(AND($S120&lt;&gt;"",EDATE($D120,Milestones!$AA$51)&gt;=$S120),$V120,IF(AND($R120&lt;&gt;"",EDATE($D120,Milestones!$AA$51)&gt;=$R120),$U120,$T120)))=Milestones!$AB$51),TEXT(EDATE($D120,Milestones!$AA$51),"dd/mm/yy")&amp;" "&amp;Milestones!$AB$51&amp;" "&amp;Milestones!$AC$51&amp;";  ","")&amp;IF(AND(EDATE($D120,Milestones!$AA$52)&lt;=AsOfDate,IF($Q120=0,$W120,IF(AND($S120&lt;&gt;"",EDATE($D120,Milestones!$AA$52)&gt;=$S120),$V120,IF(AND($R120&lt;&gt;"",EDATE($D120,Milestones!$AA$52)&gt;=$R120),$U120,$T120)))=Milestones!$AB$52),TEXT(EDATE($D120,Milestones!$AA$52),"dd/mm/yy")&amp;" "&amp;Milestones!$AB$52&amp;" "&amp;Milestones!$AC$52&amp;";  ","")&amp;IF(AND(EDATE($D120,Milestones!$AA$53)&lt;=AsOfDate,IF($Q120=0,$W120,IF(AND($S120&lt;&gt;"",EDATE($D120,Milestones!$AA$53)&gt;=$S120),$V120,IF(AND($R120&lt;&gt;"",EDATE($D120,Milestones!$AA$53)&gt;=$R120),$U120,$T120)))=Milestones!$AB$53),TEXT(EDATE($D120,Milestones!$AA$53),"dd/mm/yy")&amp;" "&amp;Milestones!$AB$53&amp;" "&amp;Milestones!$AC$53&amp;";  ","")&amp;IF(AND(EDATE($D120,Milestones!$AA$54)&lt;=AsOfDate,IF($Q120=0,$W120,IF(AND($S120&lt;&gt;"",EDATE($D120,Milestones!$AA$54)&gt;=$S120),$V120,IF(AND($R120&lt;&gt;"",EDATE($D120,Milestones!$AA$54)&gt;=$R120),$U120,$T120)))=Milestones!$AB$54),TEXT(EDATE($D120,Milestones!$AA$54),"dd/mm/yy")&amp;" "&amp;Milestones!$AB$54&amp;" "&amp;Milestones!$AC$54&amp;";  ","")&amp;IF(AND(EDATE($D120,Milestones!$AA$55)&lt;=AsOfDate,IF($Q120=0,$W120,IF(AND($S120&lt;&gt;"",EDATE($D120,Milestones!$AA$55)&gt;=$S120),$V120,IF(AND($R120&lt;&gt;"",EDATE($D120,Milestones!$AA$55)&gt;=$R120),$U120,$T120)))=Milestones!$AB$55),TEXT(EDATE($D120,Milestones!$AA$55),"dd/mm/yy")&amp;" "&amp;Milestones!$AB$55&amp;" "&amp;Milestones!$AC$55&amp;";  ","")&amp;IF(AND(EDATE($D120,Milestones!$AA$56)&lt;=AsOfDate,IF($Q120=0,$W120,IF(AND($S120&lt;&gt;"",EDATE($D120,Milestones!$AA$56)&gt;=$S120),$V120,IF(AND($R120&lt;&gt;"",EDATE($D120,Milestones!$AA$56)&gt;=$R120),$U120,$T120)))=Milestones!$AB$56),TEXT(EDATE($D120,Milestones!$AA$56),"dd/mm/yy")&amp;" "&amp;Milestones!$AB$56&amp;" "&amp;Milestones!$AC$56&amp;";  ","")&amp;IF(AND(EDATE($D120,Milestones!$AA$57)&lt;=AsOfDate,IF($Q120=0,$W120,IF(AND($S120&lt;&gt;"",EDATE($D120,Milestones!$AA$57)&gt;=$S120),$V120,IF(AND($R120&lt;&gt;"",EDATE($D120,Milestones!$AA$57)&gt;=$R120),$U120,$T120)))=Milestones!$AB$57),TEXT(EDATE($D120,Milestones!$AA$57),"dd/mm/yy")&amp;" "&amp;Milestones!$AB$57&amp;" "&amp;Milestones!$AC$57&amp;";  ","")&amp;IF(AND(EDATE($D120,Milestones!$AA$58)&lt;=AsOfDate,IF($Q120=0,$W120,IF(AND($S120&lt;&gt;"",EDATE($D120,Milestones!$AA$58)&gt;=$S120),$V120,IF(AND($R120&lt;&gt;"",EDATE($D120,Milestones!$AA$58)&gt;=$R120),$U120,$T120)))=Milestones!$AB$58),TEXT(EDATE($D120,Milestones!$AA$58),"dd/mm/yy")&amp;" "&amp;Milestones!$AB$58&amp;" "&amp;Milestones!$AC$58&amp;";  ","")&amp;IF(AND(EDATE($D120,Milestones!$AA$59)&lt;=AsOfDate,IF($Q120=0,$W120,IF(AND($S120&lt;&gt;"",EDATE($D120,Milestones!$AA$59)&gt;=$S120),$V120,IF(AND($R120&lt;&gt;"",EDATE($D120,Milestones!$AA$59)&gt;=$R120),$U120,$T120)))=Milestones!$AB$59),TEXT(EDATE($D120,Milestones!$AA$59),"dd/mm/yy")&amp;" "&amp;Milestones!$AB$59&amp;" "&amp;Milestones!$AC$59&amp;";  ",""))</f>
        <v/>
      </c>
      <c r="J120" s="0" t="str">
        <f aca="false">IF(OR($A120="",$D120=""),"",IF(AND(EDATE($D120,Milestones!$AA$60)&lt;=AsOfDate,IF($Q120=0,$W120,IF(AND($S120&lt;&gt;"",EDATE($D120,Milestones!$AA$60)&gt;=$S120),$V120,IF(AND($R120&lt;&gt;"",EDATE($D120,Milestones!$AA$60)&gt;=$R120),$U120,$T120)))=Milestones!$AB$60),TEXT(EDATE($D120,Milestones!$AA$60),"dd/mm/yy")&amp;" "&amp;Milestones!$AB$60&amp;" "&amp;Milestones!$AC$60&amp;";  ","")&amp;IF(AND(EDATE($D120,Milestones!$AA$61)&lt;=AsOfDate,IF($Q120=0,$W120,IF(AND($S120&lt;&gt;"",EDATE($D120,Milestones!$AA$61)&gt;=$S120),$V120,IF(AND($R120&lt;&gt;"",EDATE($D120,Milestones!$AA$61)&gt;=$R120),$U120,$T120)))=Milestones!$AB$61),TEXT(EDATE($D120,Milestones!$AA$61),"dd/mm/yy")&amp;" "&amp;Milestones!$AB$61&amp;" "&amp;Milestones!$AC$61&amp;";  ","")&amp;IF(AND(EDATE($D120,Milestones!$AA$62)&lt;=AsOfDate,IF($Q120=0,$W120,IF(AND($S120&lt;&gt;"",EDATE($D120,Milestones!$AA$62)&gt;=$S120),$V120,IF(AND($R120&lt;&gt;"",EDATE($D120,Milestones!$AA$62)&gt;=$R120),$U120,$T120)))=Milestones!$AB$62),TEXT(EDATE($D120,Milestones!$AA$62),"dd/mm/yy")&amp;" "&amp;Milestones!$AB$62&amp;" "&amp;Milestones!$AC$62&amp;";  ","")&amp;IF(AND(EDATE($D120,Milestones!$AA$63)&lt;=AsOfDate,IF($Q120=0,$W120,IF(AND($S120&lt;&gt;"",EDATE($D120,Milestones!$AA$63)&gt;=$S120),$V120,IF(AND($R120&lt;&gt;"",EDATE($D120,Milestones!$AA$63)&gt;=$R120),$U120,$T120)))=Milestones!$AB$63),TEXT(EDATE($D120,Milestones!$AA$63),"dd/mm/yy")&amp;" "&amp;Milestones!$AB$63&amp;" "&amp;Milestones!$AC$63&amp;";  ","")&amp;IF(AND(EDATE($D120,Milestones!$AA$64)&lt;=AsOfDate,IF($Q120=0,$W120,IF(AND($S120&lt;&gt;"",EDATE($D120,Milestones!$AA$64)&gt;=$S120),$V120,IF(AND($R120&lt;&gt;"",EDATE($D120,Milestones!$AA$64)&gt;=$R120),$U120,$T120)))=Milestones!$AB$64),TEXT(EDATE($D120,Milestones!$AA$64),"dd/mm/yy")&amp;" "&amp;Milestones!$AB$64&amp;" "&amp;Milestones!$AC$64&amp;";  ","")&amp;IF(AND(EDATE($D120,Milestones!$AA$65)&lt;=AsOfDate,IF($Q120=0,$W120,IF(AND($S120&lt;&gt;"",EDATE($D120,Milestones!$AA$65)&gt;=$S120),$V120,IF(AND($R120&lt;&gt;"",EDATE($D120,Milestones!$AA$65)&gt;=$R120),$U120,$T120)))=Milestones!$AB$65),TEXT(EDATE($D120,Milestones!$AA$65),"dd/mm/yy")&amp;" "&amp;Milestones!$AB$65&amp;" "&amp;Milestones!$AC$65&amp;";  ","")&amp;IF(AND(EDATE($D120,Milestones!$AA$66)&lt;=AsOfDate,IF($Q120=0,$W120,IF(AND($S120&lt;&gt;"",EDATE($D120,Milestones!$AA$66)&gt;=$S120),$V120,IF(AND($R120&lt;&gt;"",EDATE($D120,Milestones!$AA$66)&gt;=$R120),$U120,$T120)))=Milestones!$AB$66),TEXT(EDATE($D120,Milestones!$AA$66),"dd/mm/yy")&amp;" "&amp;Milestones!$AB$66&amp;" "&amp;Milestones!$AC$66&amp;";  ","")&amp;IF(AND(EDATE($D120,Milestones!$AA$67)&lt;=AsOfDate,IF($Q120=0,$W120,IF(AND($S120&lt;&gt;"",EDATE($D120,Milestones!$AA$67)&gt;=$S120),$V120,IF(AND($R120&lt;&gt;"",EDATE($D120,Milestones!$AA$67)&gt;=$R120),$U120,$T120)))=Milestones!$AB$67),TEXT(EDATE($D120,Milestones!$AA$67),"dd/mm/yy")&amp;" "&amp;Milestones!$AB$67&amp;" "&amp;Milestones!$AC$67&amp;";  ","")&amp;IF(AND(EDATE($D120,Milestones!$AA$68)&lt;=AsOfDate,IF($Q120=0,$W120,IF(AND($S120&lt;&gt;"",EDATE($D120,Milestones!$AA$68)&gt;=$S120),$V120,IF(AND($R120&lt;&gt;"",EDATE($D120,Milestones!$AA$68)&gt;=$R120),$U120,$T120)))=Milestones!$AB$68),TEXT(EDATE($D120,Milestones!$AA$68),"dd/mm/yy")&amp;" "&amp;Milestones!$AB$68&amp;" "&amp;Milestones!$AC$68&amp;";  ","")&amp;IF(AND(EDATE($D120,Milestones!$AA$69)&lt;=AsOfDate,IF($Q120=0,$W120,IF(AND($S120&lt;&gt;"",EDATE($D120,Milestones!$AA$69)&gt;=$S120),$V120,IF(AND($R120&lt;&gt;"",EDATE($D120,Milestones!$AA$69)&gt;=$R120),$U120,$T120)))=Milestones!$AB$69),TEXT(EDATE($D120,Milestones!$AA$69),"dd/mm/yy")&amp;" "&amp;Milestones!$AB$69&amp;" "&amp;Milestones!$AC$69&amp;";  ","")&amp;IF(AND(EDATE($D120,Milestones!$AA$70)&lt;=AsOfDate,IF($Q120=0,$W120,IF(AND($S120&lt;&gt;"",EDATE($D120,Milestones!$AA$70)&gt;=$S120),$V120,IF(AND($R120&lt;&gt;"",EDATE($D120,Milestones!$AA$70)&gt;=$R120),$U120,$T120)))=Milestones!$AB$70),TEXT(EDATE($D120,Milestones!$AA$70),"dd/mm/yy")&amp;" "&amp;Milestones!$AB$70&amp;" "&amp;Milestones!$AC$70&amp;";  ","")&amp;IF(AND(EDATE($D120,Milestones!$AA$71)&lt;=AsOfDate,IF($Q120=0,$W120,IF(AND($S120&lt;&gt;"",EDATE($D120,Milestones!$AA$71)&gt;=$S120),$V120,IF(AND($R120&lt;&gt;"",EDATE($D120,Milestones!$AA$71)&gt;=$R120),$U120,$T120)))=Milestones!$AB$71),TEXT(EDATE($D120,Milestones!$AA$71),"dd/mm/yy")&amp;" "&amp;Milestones!$AB$71&amp;" "&amp;Milestones!$AC$71&amp;";  ","")&amp;IF(AND(EDATE($D120,Milestones!$AA$72)&lt;=AsOfDate,IF($Q120=0,$W120,IF(AND($S120&lt;&gt;"",EDATE($D120,Milestones!$AA$72)&gt;=$S120),$V120,IF(AND($R120&lt;&gt;"",EDATE($D120,Milestones!$AA$72)&gt;=$R120),$U120,$T120)))=Milestones!$AB$72),TEXT(EDATE($D120,Milestones!$AA$72),"dd/mm/yy")&amp;" "&amp;Milestones!$AB$72&amp;" "&amp;Milestones!$AC$72&amp;";  ","")&amp;IF(AND(EDATE($D120,Milestones!$AA$73)&lt;=AsOfDate,IF($Q120=0,$W120,IF(AND($S120&lt;&gt;"",EDATE($D120,Milestones!$AA$73)&gt;=$S120),$V120,IF(AND($R120&lt;&gt;"",EDATE($D120,Milestones!$AA$73)&gt;=$R120),$U120,$T120)))=Milestones!$AB$73),TEXT(EDATE($D120,Milestones!$AA$73),"dd/mm/yy")&amp;" "&amp;Milestones!$AB$73&amp;" "&amp;Milestones!$AC$73&amp;";  ","")&amp;IF(AND(EDATE($D120,Milestones!$AA$74)&lt;=AsOfDate,IF($Q120=0,$W120,IF(AND($S120&lt;&gt;"",EDATE($D120,Milestones!$AA$74)&gt;=$S120),$V120,IF(AND($R120&lt;&gt;"",EDATE($D120,Milestones!$AA$74)&gt;=$R120),$U120,$T120)))=Milestones!$AB$74),TEXT(EDATE($D120,Milestones!$AA$74),"dd/mm/yy")&amp;" "&amp;Milestones!$AB$74&amp;" "&amp;Milestones!$AC$74&amp;";  ","")&amp;IF(AND(EDATE($D120,Milestones!$AA$75)&lt;=AsOfDate,IF($Q120=0,$W120,IF(AND($S120&lt;&gt;"",EDATE($D120,Milestones!$AA$75)&gt;=$S120),$V120,IF(AND($R120&lt;&gt;"",EDATE($D120,Milestones!$AA$75)&gt;=$R120),$U120,$T120)))=Milestones!$AB$75),TEXT(EDATE($D120,Milestones!$AA$75),"dd/mm/yy")&amp;" "&amp;Milestones!$AB$75&amp;" "&amp;Milestones!$AC$75&amp;";  ","")&amp;IF(AND(EDATE($D120,Milestones!$AA$76)&lt;=AsOfDate,IF($Q120=0,$W120,IF(AND($S120&lt;&gt;"",EDATE($D120,Milestones!$AA$76)&gt;=$S120),$V120,IF(AND($R120&lt;&gt;"",EDATE($D120,Milestones!$AA$76)&gt;=$R120),$U120,$T120)))=Milestones!$AB$76),TEXT(EDATE($D120,Milestones!$AA$76),"dd/mm/yy")&amp;" "&amp;Milestones!$AB$76&amp;" "&amp;Milestones!$AC$76&amp;";  ","")&amp;IF(AND(EDATE($D120,Milestones!$AA$77)&lt;=AsOfDate,IF($Q120=0,$W120,IF(AND($S120&lt;&gt;"",EDATE($D120,Milestones!$AA$77)&gt;=$S120),$V120,IF(AND($R120&lt;&gt;"",EDATE($D120,Milestones!$AA$77)&gt;=$R120),$U120,$T120)))=Milestones!$AB$77),TEXT(EDATE($D120,Milestones!$AA$77),"dd/mm/yy")&amp;" "&amp;Milestones!$AB$77&amp;" "&amp;Milestones!$AC$77&amp;";  ","")&amp;IF(AND(EDATE($D120,Milestones!$AA$78)&lt;=AsOfDate,IF($Q120=0,$W120,IF(AND($S120&lt;&gt;"",EDATE($D120,Milestones!$AA$78)&gt;=$S120),$V120,IF(AND($R120&lt;&gt;"",EDATE($D120,Milestones!$AA$78)&gt;=$R120),$U120,$T120)))=Milestones!$AB$78),TEXT(EDATE($D120,Milestones!$AA$78),"dd/mm/yy")&amp;" "&amp;Milestones!$AB$78&amp;" "&amp;Milestones!$AC$78&amp;";  ","")&amp;IF(AND(EDATE($D120,Milestones!$AA$79)&lt;=AsOfDate,IF($Q120=0,$W120,IF(AND($S120&lt;&gt;"",EDATE($D120,Milestones!$AA$79)&gt;=$S120),$V120,IF(AND($R120&lt;&gt;"",EDATE($D120,Milestones!$AA$79)&gt;=$R120),$U120,$T120)))=Milestones!$AB$79),TEXT(EDATE($D120,Milestones!$AA$79),"dd/mm/yy")&amp;" "&amp;Milestones!$AB$79&amp;" "&amp;Milestones!$AC$79&amp;";  ",""))</f>
        <v/>
      </c>
      <c r="K120" s="0" t="str">
        <f aca="false">IF(OR($A120="",$D120=""),"",IF(AND(EDATE($D120,Milestones!$AA$80)&lt;=AsOfDate,IF($Q120=0,$W120,IF(AND($S120&lt;&gt;"",EDATE($D120,Milestones!$AA$80)&gt;=$S120),$V120,IF(AND($R120&lt;&gt;"",EDATE($D120,Milestones!$AA$80)&gt;=$R120),$U120,$T120)))=Milestones!$AB$80),TEXT(EDATE($D120,Milestones!$AA$80),"dd/mm/yy")&amp;" "&amp;Milestones!$AB$80&amp;" "&amp;Milestones!$AC$80&amp;";  ","")&amp;IF(AND(EDATE($D120,Milestones!$AA$81)&lt;=AsOfDate,IF($Q120=0,$W120,IF(AND($S120&lt;&gt;"",EDATE($D120,Milestones!$AA$81)&gt;=$S120),$V120,IF(AND($R120&lt;&gt;"",EDATE($D120,Milestones!$AA$81)&gt;=$R120),$U120,$T120)))=Milestones!$AB$81),TEXT(EDATE($D120,Milestones!$AA$81),"dd/mm/yy")&amp;" "&amp;Milestones!$AB$81&amp;" "&amp;Milestones!$AC$81&amp;";  ","")&amp;IF(AND(EDATE($D120,Milestones!$AA$82)&lt;=AsOfDate,IF($Q120=0,$W120,IF(AND($S120&lt;&gt;"",EDATE($D120,Milestones!$AA$82)&gt;=$S120),$V120,IF(AND($R120&lt;&gt;"",EDATE($D120,Milestones!$AA$82)&gt;=$R120),$U120,$T120)))=Milestones!$AB$82),TEXT(EDATE($D120,Milestones!$AA$82),"dd/mm/yy")&amp;" "&amp;Milestones!$AB$82&amp;" "&amp;Milestones!$AC$82&amp;";  ","")&amp;IF(AND(EDATE($D120,Milestones!$AA$83)&lt;=AsOfDate,IF($Q120=0,$W120,IF(AND($S120&lt;&gt;"",EDATE($D120,Milestones!$AA$83)&gt;=$S120),$V120,IF(AND($R120&lt;&gt;"",EDATE($D120,Milestones!$AA$83)&gt;=$R120),$U120,$T120)))=Milestones!$AB$83),TEXT(EDATE($D120,Milestones!$AA$83),"dd/mm/yy")&amp;" "&amp;Milestones!$AB$83&amp;" "&amp;Milestones!$AC$83&amp;";  ","")&amp;IF(AND(EDATE($D120,Milestones!$AA$84)&lt;=AsOfDate,IF($Q120=0,$W120,IF(AND($S120&lt;&gt;"",EDATE($D120,Milestones!$AA$84)&gt;=$S120),$V120,IF(AND($R120&lt;&gt;"",EDATE($D120,Milestones!$AA$84)&gt;=$R120),$U120,$T120)))=Milestones!$AB$84),TEXT(EDATE($D120,Milestones!$AA$84),"dd/mm/yy")&amp;" "&amp;Milestones!$AB$84&amp;" "&amp;Milestones!$AC$84&amp;";  ","")&amp;IF(AND(EDATE($D120,Milestones!$AA$85)&lt;=AsOfDate,IF($Q120=0,$W120,IF(AND($S120&lt;&gt;"",EDATE($D120,Milestones!$AA$85)&gt;=$S120),$V120,IF(AND($R120&lt;&gt;"",EDATE($D120,Milestones!$AA$85)&gt;=$R120),$U120,$T120)))=Milestones!$AB$85),TEXT(EDATE($D120,Milestones!$AA$85),"dd/mm/yy")&amp;" "&amp;Milestones!$AB$85&amp;" "&amp;Milestones!$AC$85&amp;";  ","")&amp;IF(AND(EDATE($D120,Milestones!$AA$86)&lt;=AsOfDate,IF($Q120=0,$W120,IF(AND($S120&lt;&gt;"",EDATE($D120,Milestones!$AA$86)&gt;=$S120),$V120,IF(AND($R120&lt;&gt;"",EDATE($D120,Milestones!$AA$86)&gt;=$R120),$U120,$T120)))=Milestones!$AB$86),TEXT(EDATE($D120,Milestones!$AA$86),"dd/mm/yy")&amp;" "&amp;Milestones!$AB$86&amp;" "&amp;Milestones!$AC$86&amp;";  ","")&amp;IF(AND(EDATE($D120,Milestones!$AA$87)&lt;=AsOfDate,IF($Q120=0,$W120,IF(AND($S120&lt;&gt;"",EDATE($D120,Milestones!$AA$87)&gt;=$S120),$V120,IF(AND($R120&lt;&gt;"",EDATE($D120,Milestones!$AA$87)&gt;=$R120),$U120,$T120)))=Milestones!$AB$87),TEXT(EDATE($D120,Milestones!$AA$87),"dd/mm/yy")&amp;" "&amp;Milestones!$AB$87&amp;" "&amp;Milestones!$AC$87&amp;";  ","")&amp;IF(AND(EDATE($D120,Milestones!$AA$88)&lt;=AsOfDate,IF($Q120=0,$W120,IF(AND($S120&lt;&gt;"",EDATE($D120,Milestones!$AA$88)&gt;=$S120),$V120,IF(AND($R120&lt;&gt;"",EDATE($D120,Milestones!$AA$88)&gt;=$R120),$U120,$T120)))=Milestones!$AB$88),TEXT(EDATE($D120,Milestones!$AA$88),"dd/mm/yy")&amp;" "&amp;Milestones!$AB$88&amp;" "&amp;Milestones!$AC$88&amp;";  ","")&amp;IF(AND(EDATE($D120,Milestones!$AA$89)&lt;=AsOfDate,IF($Q120=0,$W120,IF(AND($S120&lt;&gt;"",EDATE($D120,Milestones!$AA$89)&gt;=$S120),$V120,IF(AND($R120&lt;&gt;"",EDATE($D120,Milestones!$AA$89)&gt;=$R120),$U120,$T120)))=Milestones!$AB$89),TEXT(EDATE($D120,Milestones!$AA$89),"dd/mm/yy")&amp;" "&amp;Milestones!$AB$89&amp;" "&amp;Milestones!$AC$89&amp;";  ","")&amp;IF(AND(EDATE($D120,Milestones!$AA$90)&lt;=AsOfDate,IF($Q120=0,$W120,IF(AND($S120&lt;&gt;"",EDATE($D120,Milestones!$AA$90)&gt;=$S120),$V120,IF(AND($R120&lt;&gt;"",EDATE($D120,Milestones!$AA$90)&gt;=$R120),$U120,$T120)))=Milestones!$AB$90),TEXT(EDATE($D120,Milestones!$AA$90),"dd/mm/yy")&amp;" "&amp;Milestones!$AB$90&amp;" "&amp;Milestones!$AC$90&amp;";  ","")&amp;IF(AND(EDATE($D120,Milestones!$AA$91)&lt;=AsOfDate,IF($Q120=0,$W120,IF(AND($S120&lt;&gt;"",EDATE($D120,Milestones!$AA$91)&gt;=$S120),$V120,IF(AND($R120&lt;&gt;"",EDATE($D120,Milestones!$AA$91)&gt;=$R120),$U120,$T120)))=Milestones!$AB$91),TEXT(EDATE($D120,Milestones!$AA$91),"dd/mm/yy")&amp;" "&amp;Milestones!$AB$91&amp;" "&amp;Milestones!$AC$91&amp;";  ","")&amp;IF(AND(EDATE($D120,Milestones!$AA$92)&lt;=AsOfDate,IF($Q120=0,$W120,IF(AND($S120&lt;&gt;"",EDATE($D120,Milestones!$AA$92)&gt;=$S120),$V120,IF(AND($R120&lt;&gt;"",EDATE($D120,Milestones!$AA$92)&gt;=$R120),$U120,$T120)))=Milestones!$AB$92),TEXT(EDATE($D120,Milestones!$AA$92),"dd/mm/yy")&amp;" "&amp;Milestones!$AB$92&amp;" "&amp;Milestones!$AC$92&amp;";  ","")&amp;IF(AND(EDATE($D120,Milestones!$AA$93)&lt;=AsOfDate,IF($Q120=0,$W120,IF(AND($S120&lt;&gt;"",EDATE($D120,Milestones!$AA$93)&gt;=$S120),$V120,IF(AND($R120&lt;&gt;"",EDATE($D120,Milestones!$AA$93)&gt;=$R120),$U120,$T120)))=Milestones!$AB$93),TEXT(EDATE($D120,Milestones!$AA$93),"dd/mm/yy")&amp;" "&amp;Milestones!$AB$93&amp;" "&amp;Milestones!$AC$93&amp;";  ","")&amp;IF(AND(EDATE($D120,Milestones!$AA$94)&lt;=AsOfDate,IF($Q120=0,$W120,IF(AND($S120&lt;&gt;"",EDATE($D120,Milestones!$AA$94)&gt;=$S120),$V120,IF(AND($R120&lt;&gt;"",EDATE($D120,Milestones!$AA$94)&gt;=$R120),$U120,$T120)))=Milestones!$AB$94),TEXT(EDATE($D120,Milestones!$AA$94),"dd/mm/yy")&amp;" "&amp;Milestones!$AB$94&amp;" "&amp;Milestones!$AC$94&amp;";  ","")&amp;IF(AND(EDATE($D120,Milestones!$AA$95)&lt;=AsOfDate,IF($Q120=0,$W120,IF(AND($S120&lt;&gt;"",EDATE($D120,Milestones!$AA$95)&gt;=$S120),$V120,IF(AND($R120&lt;&gt;"",EDATE($D120,Milestones!$AA$95)&gt;=$R120),$U120,$T120)))=Milestones!$AB$95),TEXT(EDATE($D120,Milestones!$AA$95),"dd/mm/yy")&amp;" "&amp;Milestones!$AB$95&amp;" "&amp;Milestones!$AC$95&amp;";  ","")&amp;IF(AND(EDATE($D120,Milestones!$AA$96)&lt;=AsOfDate,IF($Q120=0,$W120,IF(AND($S120&lt;&gt;"",EDATE($D120,Milestones!$AA$96)&gt;=$S120),$V120,IF(AND($R120&lt;&gt;"",EDATE($D120,Milestones!$AA$96)&gt;=$R120),$U120,$T120)))=Milestones!$AB$96),TEXT(EDATE($D120,Milestones!$AA$96),"dd/mm/yy")&amp;" "&amp;Milestones!$AB$96&amp;" "&amp;Milestones!$AC$96&amp;";  ","")&amp;IF(AND(EDATE($D120,Milestones!$AA$97)&lt;=AsOfDate,IF($Q120=0,$W120,IF(AND($S120&lt;&gt;"",EDATE($D120,Milestones!$AA$97)&gt;=$S120),$V120,IF(AND($R120&lt;&gt;"",EDATE($D120,Milestones!$AA$97)&gt;=$R120),$U120,$T120)))=Milestones!$AB$97),TEXT(EDATE($D120,Milestones!$AA$97),"dd/mm/yy")&amp;" "&amp;Milestones!$AB$97&amp;" "&amp;Milestones!$AC$97&amp;";  ","")&amp;IF(AND(EDATE($D120,Milestones!$AA$98)&lt;=AsOfDate,IF($Q120=0,$W120,IF(AND($S120&lt;&gt;"",EDATE($D120,Milestones!$AA$98)&gt;=$S120),$V120,IF(AND($R120&lt;&gt;"",EDATE($D120,Milestones!$AA$98)&gt;=$R120),$U120,$T120)))=Milestones!$AB$98),TEXT(EDATE($D120,Milestones!$AA$98),"dd/mm/yy")&amp;" "&amp;Milestones!$AB$98&amp;" "&amp;Milestones!$AC$98&amp;";  ","")&amp;IF(AND(EDATE($D120,Milestones!$AA$99)&lt;=AsOfDate,IF($Q120=0,$W120,IF(AND($S120&lt;&gt;"",EDATE($D120,Milestones!$AA$99)&gt;=$S120),$V120,IF(AND($R120&lt;&gt;"",EDATE($D120,Milestones!$AA$99)&gt;=$R120),$U120,$T120)))=Milestones!$AB$99),TEXT(EDATE($D120,Milestones!$AA$99),"dd/mm/yy")&amp;" "&amp;Milestones!$AB$99&amp;" "&amp;Milestones!$AC$99&amp;";  ",""))</f>
        <v/>
      </c>
      <c r="L120" s="0" t="str">
        <f aca="false">IF(OR($A120="",$D120=""),"",IF(AND(EDATE($D120,Milestones!$AA$100)&lt;=AsOfDate,IF($Q120=0,$W120,IF(AND($S120&lt;&gt;"",EDATE($D120,Milestones!$AA$100)&gt;=$S120),$V120,IF(AND($R120&lt;&gt;"",EDATE($D120,Milestones!$AA$100)&gt;=$R120),$U120,$T120)))=Milestones!$AB$100),TEXT(EDATE($D120,Milestones!$AA$100),"dd/mm/yy")&amp;" "&amp;Milestones!$AB$100&amp;" "&amp;Milestones!$AC$100&amp;";  ","")&amp;IF(AND(EDATE($D120,Milestones!$AA$101)&lt;=AsOfDate,IF($Q120=0,$W120,IF(AND($S120&lt;&gt;"",EDATE($D120,Milestones!$AA$101)&gt;=$S120),$V120,IF(AND($R120&lt;&gt;"",EDATE($D120,Milestones!$AA$101)&gt;=$R120),$U120,$T120)))=Milestones!$AB$101),TEXT(EDATE($D120,Milestones!$AA$101),"dd/mm/yy")&amp;" "&amp;Milestones!$AB$101&amp;" "&amp;Milestones!$AC$101&amp;";  ","")&amp;IF(AND(EDATE($D120,Milestones!$AA$102)&lt;=AsOfDate,IF($Q120=0,$W120,IF(AND($S120&lt;&gt;"",EDATE($D120,Milestones!$AA$102)&gt;=$S120),$V120,IF(AND($R120&lt;&gt;"",EDATE($D120,Milestones!$AA$102)&gt;=$R120),$U120,$T120)))=Milestones!$AB$102),TEXT(EDATE($D120,Milestones!$AA$102),"dd/mm/yy")&amp;" "&amp;Milestones!$AB$102&amp;" "&amp;Milestones!$AC$102&amp;";  ","")&amp;IF(AND(EDATE($D120,Milestones!$AA$103)&lt;=AsOfDate,IF($Q120=0,$W120,IF(AND($S120&lt;&gt;"",EDATE($D120,Milestones!$AA$103)&gt;=$S120),$V120,IF(AND($R120&lt;&gt;"",EDATE($D120,Milestones!$AA$103)&gt;=$R120),$U120,$T120)))=Milestones!$AB$103),TEXT(EDATE($D120,Milestones!$AA$103),"dd/mm/yy")&amp;" "&amp;Milestones!$AB$103&amp;" "&amp;Milestones!$AC$103&amp;";  ","")&amp;IF(AND(EDATE($D120,Milestones!$AA$104)&lt;=AsOfDate,IF($Q120=0,$W120,IF(AND($S120&lt;&gt;"",EDATE($D120,Milestones!$AA$104)&gt;=$S120),$V120,IF(AND($R120&lt;&gt;"",EDATE($D120,Milestones!$AA$104)&gt;=$R120),$U120,$T120)))=Milestones!$AB$104),TEXT(EDATE($D120,Milestones!$AA$104),"dd/mm/yy")&amp;" "&amp;Milestones!$AB$104&amp;" "&amp;Milestones!$AC$104&amp;";  ","")&amp;IF(AND(EDATE($D120,Milestones!$AA$105)&lt;=AsOfDate,IF($Q120=0,$W120,IF(AND($S120&lt;&gt;"",EDATE($D120,Milestones!$AA$105)&gt;=$S120),$V120,IF(AND($R120&lt;&gt;"",EDATE($D120,Milestones!$AA$105)&gt;=$R120),$U120,$T120)))=Milestones!$AB$105),TEXT(EDATE($D120,Milestones!$AA$105),"dd/mm/yy")&amp;" "&amp;Milestones!$AB$105&amp;" "&amp;Milestones!$AC$105&amp;";  ","")&amp;IF(AND(EDATE($D120,Milestones!$AA$106)&lt;=AsOfDate,IF($Q120=0,$W120,IF(AND($S120&lt;&gt;"",EDATE($D120,Milestones!$AA$106)&gt;=$S120),$V120,IF(AND($R120&lt;&gt;"",EDATE($D120,Milestones!$AA$106)&gt;=$R120),$U120,$T120)))=Milestones!$AB$106),TEXT(EDATE($D120,Milestones!$AA$106),"dd/mm/yy")&amp;" "&amp;Milestones!$AB$106&amp;" "&amp;Milestones!$AC$106&amp;";  ","")&amp;IF(AND(EDATE($D120,Milestones!$AA$107)&lt;=AsOfDate,IF($Q120=0,$W120,IF(AND($S120&lt;&gt;"",EDATE($D120,Milestones!$AA$107)&gt;=$S120),$V120,IF(AND($R120&lt;&gt;"",EDATE($D120,Milestones!$AA$107)&gt;=$R120),$U120,$T120)))=Milestones!$AB$107),TEXT(EDATE($D120,Milestones!$AA$107),"dd/mm/yy")&amp;" "&amp;Milestones!$AB$107&amp;" "&amp;Milestones!$AC$107&amp;";  ","")&amp;IF(AND(EDATE($D120,Milestones!$AA$108)&lt;=AsOfDate,IF($Q120=0,$W120,IF(AND($S120&lt;&gt;"",EDATE($D120,Milestones!$AA$108)&gt;=$S120),$V120,IF(AND($R120&lt;&gt;"",EDATE($D120,Milestones!$AA$108)&gt;=$R120),$U120,$T120)))=Milestones!$AB$108),TEXT(EDATE($D120,Milestones!$AA$108),"dd/mm/yy")&amp;" "&amp;Milestones!$AB$108&amp;" "&amp;Milestones!$AC$108&amp;";  ","")&amp;IF(AND(EDATE($D120,Milestones!$AA$109)&lt;=AsOfDate,IF($Q120=0,$W120,IF(AND($S120&lt;&gt;"",EDATE($D120,Milestones!$AA$109)&gt;=$S120),$V120,IF(AND($R120&lt;&gt;"",EDATE($D120,Milestones!$AA$109)&gt;=$R120),$U120,$T120)))=Milestones!$AB$109),TEXT(EDATE($D120,Milestones!$AA$109),"dd/mm/yy")&amp;" "&amp;Milestones!$AB$109&amp;" "&amp;Milestones!$AC$109&amp;";  ","")&amp;IF(AND(EDATE($D120,Milestones!$AA$110)&lt;=AsOfDate,IF($Q120=0,$W120,IF(AND($S120&lt;&gt;"",EDATE($D120,Milestones!$AA$110)&gt;=$S120),$V120,IF(AND($R120&lt;&gt;"",EDATE($D120,Milestones!$AA$110)&gt;=$R120),$U120,$T120)))=Milestones!$AB$110),TEXT(EDATE($D120,Milestones!$AA$110),"dd/mm/yy")&amp;" "&amp;Milestones!$AB$110&amp;" "&amp;Milestones!$AC$110&amp;";  ","")&amp;IF(AND(EDATE($D120,Milestones!$AA$111)&lt;=AsOfDate,IF($Q120=0,$W120,IF(AND($S120&lt;&gt;"",EDATE($D120,Milestones!$AA$111)&gt;=$S120),$V120,IF(AND($R120&lt;&gt;"",EDATE($D120,Milestones!$AA$111)&gt;=$R120),$U120,$T120)))=Milestones!$AB$111),TEXT(EDATE($D120,Milestones!$AA$111),"dd/mm/yy")&amp;" "&amp;Milestones!$AB$111&amp;" "&amp;Milestones!$AC$111&amp;";  ","")&amp;IF(AND(EDATE($D120,Milestones!$AA$112)&lt;=AsOfDate,IF($Q120=0,$W120,IF(AND($S120&lt;&gt;"",EDATE($D120,Milestones!$AA$112)&gt;=$S120),$V120,IF(AND($R120&lt;&gt;"",EDATE($D120,Milestones!$AA$112)&gt;=$R120),$U120,$T120)))=Milestones!$AB$112),TEXT(EDATE($D120,Milestones!$AA$112),"dd/mm/yy")&amp;" "&amp;Milestones!$AB$112&amp;" "&amp;Milestones!$AC$112&amp;";  ","")&amp;IF(AND(EDATE($D120,Milestones!$AA$113)&lt;=AsOfDate,IF($Q120=0,$W120,IF(AND($S120&lt;&gt;"",EDATE($D120,Milestones!$AA$113)&gt;=$S120),$V120,IF(AND($R120&lt;&gt;"",EDATE($D120,Milestones!$AA$113)&gt;=$R120),$U120,$T120)))=Milestones!$AB$113),TEXT(EDATE($D120,Milestones!$AA$113),"dd/mm/yy")&amp;" "&amp;Milestones!$AB$113&amp;" "&amp;Milestones!$AC$113&amp;";  ","")&amp;IF(AND(EDATE($D120,Milestones!$AA$114)&lt;=AsOfDate,IF($Q120=0,$W120,IF(AND($S120&lt;&gt;"",EDATE($D120,Milestones!$AA$114)&gt;=$S120),$V120,IF(AND($R120&lt;&gt;"",EDATE($D120,Milestones!$AA$114)&gt;=$R120),$U120,$T120)))=Milestones!$AB$114),TEXT(EDATE($D120,Milestones!$AA$114),"dd/mm/yy")&amp;" "&amp;Milestones!$AB$114&amp;" "&amp;Milestones!$AC$114&amp;";  ","")&amp;IF(AND(EDATE($D120,Milestones!$AA$115)&lt;=AsOfDate,IF($Q120=0,$W120,IF(AND($S120&lt;&gt;"",EDATE($D120,Milestones!$AA$115)&gt;=$S120),$V120,IF(AND($R120&lt;&gt;"",EDATE($D120,Milestones!$AA$115)&gt;=$R120),$U120,$T120)))=Milestones!$AB$115),TEXT(EDATE($D120,Milestones!$AA$115),"dd/mm/yy")&amp;" "&amp;Milestones!$AB$115&amp;" "&amp;Milestones!$AC$115&amp;";  ","")&amp;IF(AND(EDATE($D120,Milestones!$AA$116)&lt;=AsOfDate,IF($Q120=0,$W120,IF(AND($S120&lt;&gt;"",EDATE($D120,Milestones!$AA$116)&gt;=$S120),$V120,IF(AND($R120&lt;&gt;"",EDATE($D120,Milestones!$AA$116)&gt;=$R120),$U120,$T120)))=Milestones!$AB$116),TEXT(EDATE($D120,Milestones!$AA$116),"dd/mm/yy")&amp;" "&amp;Milestones!$AB$116&amp;" "&amp;Milestones!$AC$116&amp;";  ","")&amp;IF(AND(EDATE($D120,Milestones!$AA$117)&lt;=AsOfDate,IF($Q120=0,$W120,IF(AND($S120&lt;&gt;"",EDATE($D120,Milestones!$AA$117)&gt;=$S120),$V120,IF(AND($R120&lt;&gt;"",EDATE($D120,Milestones!$AA$117)&gt;=$R120),$U120,$T120)))=Milestones!$AB$117),TEXT(EDATE($D120,Milestones!$AA$117),"dd/mm/yy")&amp;" "&amp;Milestones!$AB$117&amp;" "&amp;Milestones!$AC$117&amp;";  ","")&amp;IF(AND(EDATE($D120,Milestones!$AA$118)&lt;=AsOfDate,IF($Q120=0,$W120,IF(AND($S120&lt;&gt;"",EDATE($D120,Milestones!$AA$118)&gt;=$S120),$V120,IF(AND($R120&lt;&gt;"",EDATE($D120,Milestones!$AA$118)&gt;=$R120),$U120,$T120)))=Milestones!$AB$118),TEXT(EDATE($D120,Milestones!$AA$118),"dd/mm/yy")&amp;" "&amp;Milestones!$AB$118&amp;" "&amp;Milestones!$AC$118&amp;";  ","")&amp;IF(AND(EDATE($D120,Milestones!$AA$119)&lt;=AsOfDate,IF($Q120=0,$W120,IF(AND($S120&lt;&gt;"",EDATE($D120,Milestones!$AA$119)&gt;=$S120),$V120,IF(AND($R120&lt;&gt;"",EDATE($D120,Milestones!$AA$119)&gt;=$R120),$U120,$T120)))=Milestones!$AB$119),TEXT(EDATE($D120,Milestones!$AA$119),"dd/mm/yy")&amp;" "&amp;Milestones!$AB$119&amp;" "&amp;Milestones!$AC$119&amp;";  ",""))</f>
        <v/>
      </c>
      <c r="M120" s="0" t="str">
        <f aca="false">IF(OR($A120="",$D120=""),"",IF(AND(EDATE($D120,Milestones!$AA$120)&lt;=AsOfDate,IF($Q120=0,$W120,IF(AND($S120&lt;&gt;"",EDATE($D120,Milestones!$AA$120)&gt;=$S120),$V120,IF(AND($R120&lt;&gt;"",EDATE($D120,Milestones!$AA$120)&gt;=$R120),$U120,$T120)))=Milestones!$AB$120),TEXT(EDATE($D120,Milestones!$AA$120),"dd/mm/yy")&amp;" "&amp;Milestones!$AB$120&amp;" "&amp;Milestones!$AC$120&amp;";  ","")&amp;IF(AND(EDATE($D120,Milestones!$AA$121)&lt;=AsOfDate,IF($Q120=0,$W120,IF(AND($S120&lt;&gt;"",EDATE($D120,Milestones!$AA$121)&gt;=$S120),$V120,IF(AND($R120&lt;&gt;"",EDATE($D120,Milestones!$AA$121)&gt;=$R120),$U120,$T120)))=Milestones!$AB$121),TEXT(EDATE($D120,Milestones!$AA$121),"dd/mm/yy")&amp;" "&amp;Milestones!$AB$121&amp;" "&amp;Milestones!$AC$121&amp;";  ","")&amp;IF(AND(EDATE($D120,Milestones!$AA$122)&lt;=AsOfDate,IF($Q120=0,$W120,IF(AND($S120&lt;&gt;"",EDATE($D120,Milestones!$AA$122)&gt;=$S120),$V120,IF(AND($R120&lt;&gt;"",EDATE($D120,Milestones!$AA$122)&gt;=$R120),$U120,$T120)))=Milestones!$AB$122),TEXT(EDATE($D120,Milestones!$AA$122),"dd/mm/yy")&amp;" "&amp;Milestones!$AB$122&amp;" "&amp;Milestones!$AC$122&amp;";  ","")&amp;IF(AND(EDATE($D120,Milestones!$AA$123)&lt;=AsOfDate,IF($Q120=0,$W120,IF(AND($S120&lt;&gt;"",EDATE($D120,Milestones!$AA$123)&gt;=$S120),$V120,IF(AND($R120&lt;&gt;"",EDATE($D120,Milestones!$AA$123)&gt;=$R120),$U120,$T120)))=Milestones!$AB$123),TEXT(EDATE($D120,Milestones!$AA$123),"dd/mm/yy")&amp;" "&amp;Milestones!$AB$123&amp;" "&amp;Milestones!$AC$123&amp;";  ","")&amp;IF(AND(EDATE($D120,Milestones!$AA$124)&lt;=AsOfDate,IF($Q120=0,$W120,IF(AND($S120&lt;&gt;"",EDATE($D120,Milestones!$AA$124)&gt;=$S120),$V120,IF(AND($R120&lt;&gt;"",EDATE($D120,Milestones!$AA$124)&gt;=$R120),$U120,$T120)))=Milestones!$AB$124),TEXT(EDATE($D120,Milestones!$AA$124),"dd/mm/yy")&amp;" "&amp;Milestones!$AB$124&amp;" "&amp;Milestones!$AC$124&amp;";  ","")&amp;IF(AND(EDATE($D120,Milestones!$AA$125)&lt;=AsOfDate,IF($Q120=0,$W120,IF(AND($S120&lt;&gt;"",EDATE($D120,Milestones!$AA$125)&gt;=$S120),$V120,IF(AND($R120&lt;&gt;"",EDATE($D120,Milestones!$AA$125)&gt;=$R120),$U120,$T120)))=Milestones!$AB$125),TEXT(EDATE($D120,Milestones!$AA$125),"dd/mm/yy")&amp;" "&amp;Milestones!$AB$125&amp;" "&amp;Milestones!$AC$125&amp;";  ","")&amp;IF(AND(EDATE($D120,Milestones!$AA$126)&lt;=AsOfDate,IF($Q120=0,$W120,IF(AND($S120&lt;&gt;"",EDATE($D120,Milestones!$AA$126)&gt;=$S120),$V120,IF(AND($R120&lt;&gt;"",EDATE($D120,Milestones!$AA$126)&gt;=$R120),$U120,$T120)))=Milestones!$AB$126),TEXT(EDATE($D120,Milestones!$AA$126),"dd/mm/yy")&amp;" "&amp;Milestones!$AB$126&amp;" "&amp;Milestones!$AC$126&amp;";  ","")&amp;IF(AND(EDATE($D120,Milestones!$AA$127)&lt;=AsOfDate,IF($Q120=0,$W120,IF(AND($S120&lt;&gt;"",EDATE($D120,Milestones!$AA$127)&gt;=$S120),$V120,IF(AND($R120&lt;&gt;"",EDATE($D120,Milestones!$AA$127)&gt;=$R120),$U120,$T120)))=Milestones!$AB$127),TEXT(EDATE($D120,Milestones!$AA$127),"dd/mm/yy")&amp;" "&amp;Milestones!$AB$127&amp;" "&amp;Milestones!$AC$127&amp;";  ","")&amp;IF(AND(EDATE($D120,Milestones!$AA$128)&lt;=AsOfDate,IF($Q120=0,$W120,IF(AND($S120&lt;&gt;"",EDATE($D120,Milestones!$AA$128)&gt;=$S120),$V120,IF(AND($R120&lt;&gt;"",EDATE($D120,Milestones!$AA$128)&gt;=$R120),$U120,$T120)))=Milestones!$AB$128),TEXT(EDATE($D120,Milestones!$AA$128),"dd/mm/yy")&amp;" "&amp;Milestones!$AB$128&amp;" "&amp;Milestones!$AC$128&amp;";  ","")&amp;IF(AND(EDATE($D120,Milestones!$AA$129)&lt;=AsOfDate,IF($Q120=0,$W120,IF(AND($S120&lt;&gt;"",EDATE($D120,Milestones!$AA$129)&gt;=$S120),$V120,IF(AND($R120&lt;&gt;"",EDATE($D120,Milestones!$AA$129)&gt;=$R120),$U120,$T120)))=Milestones!$AB$129),TEXT(EDATE($D120,Milestones!$AA$129),"dd/mm/yy")&amp;" "&amp;Milestones!$AB$129&amp;" "&amp;Milestones!$AC$129&amp;";  ","")&amp;IF(AND(EDATE($D120,Milestones!$AA$130)&lt;=AsOfDate,IF($Q120=0,$W120,IF(AND($S120&lt;&gt;"",EDATE($D120,Milestones!$AA$130)&gt;=$S120),$V120,IF(AND($R120&lt;&gt;"",EDATE($D120,Milestones!$AA$130)&gt;=$R120),$U120,$T120)))=Milestones!$AB$130),TEXT(EDATE($D120,Milestones!$AA$130),"dd/mm/yy")&amp;" "&amp;Milestones!$AB$130&amp;" "&amp;Milestones!$AC$130&amp;";  ","")&amp;IF(AND(EDATE($D120,Milestones!$AA$131)&lt;=AsOfDate,IF($Q120=0,$W120,IF(AND($S120&lt;&gt;"",EDATE($D120,Milestones!$AA$131)&gt;=$S120),$V120,IF(AND($R120&lt;&gt;"",EDATE($D120,Milestones!$AA$131)&gt;=$R120),$U120,$T120)))=Milestones!$AB$131),TEXT(EDATE($D120,Milestones!$AA$131),"dd/mm/yy")&amp;" "&amp;Milestones!$AB$131&amp;" "&amp;Milestones!$AC$131&amp;";  ","")&amp;IF(AND(EDATE($D120,Milestones!$AA$132)&lt;=AsOfDate,IF($Q120=0,$W120,IF(AND($S120&lt;&gt;"",EDATE($D120,Milestones!$AA$132)&gt;=$S120),$V120,IF(AND($R120&lt;&gt;"",EDATE($D120,Milestones!$AA$132)&gt;=$R120),$U120,$T120)))=Milestones!$AB$132),TEXT(EDATE($D120,Milestones!$AA$132),"dd/mm/yy")&amp;" "&amp;Milestones!$AB$132&amp;" "&amp;Milestones!$AC$132&amp;";  ","")&amp;IF(AND(EDATE($D120,Milestones!$AA$133)&lt;=AsOfDate,IF($Q120=0,$W120,IF(AND($S120&lt;&gt;"",EDATE($D120,Milestones!$AA$133)&gt;=$S120),$V120,IF(AND($R120&lt;&gt;"",EDATE($D120,Milestones!$AA$133)&gt;=$R120),$U120,$T120)))=Milestones!$AB$133),TEXT(EDATE($D120,Milestones!$AA$133),"dd/mm/yy")&amp;" "&amp;Milestones!$AB$133&amp;" "&amp;Milestones!$AC$133&amp;";  ","")&amp;IF(AND(EDATE($D120,Milestones!$AA$134)&lt;=AsOfDate,IF($Q120=0,$W120,IF(AND($S120&lt;&gt;"",EDATE($D120,Milestones!$AA$134)&gt;=$S120),$V120,IF(AND($R120&lt;&gt;"",EDATE($D120,Milestones!$AA$134)&gt;=$R120),$U120,$T120)))=Milestones!$AB$134),TEXT(EDATE($D120,Milestones!$AA$134),"dd/mm/yy")&amp;" "&amp;Milestones!$AB$134&amp;" "&amp;Milestones!$AC$134&amp;";  ","")&amp;IF(AND(EDATE($D120,Milestones!$AA$135)&lt;=AsOfDate,IF($Q120=0,$W120,IF(AND($S120&lt;&gt;"",EDATE($D120,Milestones!$AA$135)&gt;=$S120),$V120,IF(AND($R120&lt;&gt;"",EDATE($D120,Milestones!$AA$135)&gt;=$R120),$U120,$T120)))=Milestones!$AB$135),TEXT(EDATE($D120,Milestones!$AA$135),"dd/mm/yy")&amp;" "&amp;Milestones!$AB$135&amp;" "&amp;Milestones!$AC$135&amp;";  ","")&amp;IF(AND(EDATE($D120,Milestones!$AA$136)&lt;=AsOfDate,IF($Q120=0,$W120,IF(AND($S120&lt;&gt;"",EDATE($D120,Milestones!$AA$136)&gt;=$S120),$V120,IF(AND($R120&lt;&gt;"",EDATE($D120,Milestones!$AA$136)&gt;=$R120),$U120,$T120)))=Milestones!$AB$136),TEXT(EDATE($D120,Milestones!$AA$136),"dd/mm/yy")&amp;" "&amp;Milestones!$AB$136&amp;" "&amp;Milestones!$AC$136&amp;";  ","")&amp;IF(AND(EDATE($D120,Milestones!$AA$137)&lt;=AsOfDate,IF($Q120=0,$W120,IF(AND($S120&lt;&gt;"",EDATE($D120,Milestones!$AA$137)&gt;=$S120),$V120,IF(AND($R120&lt;&gt;"",EDATE($D120,Milestones!$AA$137)&gt;=$R120),$U120,$T120)))=Milestones!$AB$137),TEXT(EDATE($D120,Milestones!$AA$137),"dd/mm/yy")&amp;" "&amp;Milestones!$AB$137&amp;" "&amp;Milestones!$AC$137&amp;";  ","")&amp;IF(AND(EDATE($D120,Milestones!$AA$138)&lt;=AsOfDate,IF($Q120=0,$W120,IF(AND($S120&lt;&gt;"",EDATE($D120,Milestones!$AA$138)&gt;=$S120),$V120,IF(AND($R120&lt;&gt;"",EDATE($D120,Milestones!$AA$138)&gt;=$R120),$U120,$T120)))=Milestones!$AB$138),TEXT(EDATE($D120,Milestones!$AA$138),"dd/mm/yy")&amp;" "&amp;Milestones!$AB$138&amp;" "&amp;Milestones!$AC$138&amp;";  ","")&amp;IF(AND(EDATE($D120,Milestones!$AA$139)&lt;=AsOfDate,IF($Q120=0,$W120,IF(AND($S120&lt;&gt;"",EDATE($D120,Milestones!$AA$139)&gt;=$S120),$V120,IF(AND($R120&lt;&gt;"",EDATE($D120,Milestones!$AA$139)&gt;=$R120),$U120,$T120)))=Milestones!$AB$139),TEXT(EDATE($D120,Milestones!$AA$139),"dd/mm/yy")&amp;" "&amp;Milestones!$AB$139&amp;" "&amp;Milestones!$AC$139&amp;";  ",""))</f>
        <v/>
      </c>
      <c r="N120" s="0" t="str">
        <f aca="false">IF(OR($A120="",$D120=""),"",IF(AND(EDATE($D120,Milestones!$AA$140)&lt;=AsOfDate,IF($Q120=0,$W120,IF(AND($S120&lt;&gt;"",EDATE($D120,Milestones!$AA$140)&gt;=$S120),$V120,IF(AND($R120&lt;&gt;"",EDATE($D120,Milestones!$AA$140)&gt;=$R120),$U120,$T120)))=Milestones!$AB$140),TEXT(EDATE($D120,Milestones!$AA$140),"dd/mm/yy")&amp;" "&amp;Milestones!$AB$140&amp;" "&amp;Milestones!$AC$140&amp;";  ","")&amp;IF(AND(EDATE($D120,Milestones!$AA$141)&lt;=AsOfDate,IF($Q120=0,$W120,IF(AND($S120&lt;&gt;"",EDATE($D120,Milestones!$AA$141)&gt;=$S120),$V120,IF(AND($R120&lt;&gt;"",EDATE($D120,Milestones!$AA$141)&gt;=$R120),$U120,$T120)))=Milestones!$AB$141),TEXT(EDATE($D120,Milestones!$AA$141),"dd/mm/yy")&amp;" "&amp;Milestones!$AB$141&amp;" "&amp;Milestones!$AC$141&amp;";  ","")&amp;IF(AND(EDATE($D120,Milestones!$AA$142)&lt;=AsOfDate,IF($Q120=0,$W120,IF(AND($S120&lt;&gt;"",EDATE($D120,Milestones!$AA$142)&gt;=$S120),$V120,IF(AND($R120&lt;&gt;"",EDATE($D120,Milestones!$AA$142)&gt;=$R120),$U120,$T120)))=Milestones!$AB$142),TEXT(EDATE($D120,Milestones!$AA$142),"dd/mm/yy")&amp;" "&amp;Milestones!$AB$142&amp;" "&amp;Milestones!$AC$142&amp;";  ","")&amp;IF(AND(EDATE($D120,Milestones!$AA$143)&lt;=AsOfDate,IF($Q120=0,$W120,IF(AND($S120&lt;&gt;"",EDATE($D120,Milestones!$AA$143)&gt;=$S120),$V120,IF(AND($R120&lt;&gt;"",EDATE($D120,Milestones!$AA$143)&gt;=$R120),$U120,$T120)))=Milestones!$AB$143),TEXT(EDATE($D120,Milestones!$AA$143),"dd/mm/yy")&amp;" "&amp;Milestones!$AB$143&amp;" "&amp;Milestones!$AC$143&amp;";  ","")&amp;IF(AND(EDATE($D120,Milestones!$AA$144)&lt;=AsOfDate,IF($Q120=0,$W120,IF(AND($S120&lt;&gt;"",EDATE($D120,Milestones!$AA$144)&gt;=$S120),$V120,IF(AND($R120&lt;&gt;"",EDATE($D120,Milestones!$AA$144)&gt;=$R120),$U120,$T120)))=Milestones!$AB$144),TEXT(EDATE($D120,Milestones!$AA$144),"dd/mm/yy")&amp;" "&amp;Milestones!$AB$144&amp;" "&amp;Milestones!$AC$144&amp;";  ","")&amp;IF(AND(EDATE($D120,Milestones!$AA$145)&lt;=AsOfDate,IF($Q120=0,$W120,IF(AND($S120&lt;&gt;"",EDATE($D120,Milestones!$AA$145)&gt;=$S120),$V120,IF(AND($R120&lt;&gt;"",EDATE($D120,Milestones!$AA$145)&gt;=$R120),$U120,$T120)))=Milestones!$AB$145),TEXT(EDATE($D120,Milestones!$AA$145),"dd/mm/yy")&amp;" "&amp;Milestones!$AB$145&amp;" "&amp;Milestones!$AC$145&amp;";  ","")&amp;IF(AND(EDATE($D120,Milestones!$AA$146)&lt;=AsOfDate,IF($Q120=0,$W120,IF(AND($S120&lt;&gt;"",EDATE($D120,Milestones!$AA$146)&gt;=$S120),$V120,IF(AND($R120&lt;&gt;"",EDATE($D120,Milestones!$AA$146)&gt;=$R120),$U120,$T120)))=Milestones!$AB$146),TEXT(EDATE($D120,Milestones!$AA$146),"dd/mm/yy")&amp;" "&amp;Milestones!$AB$146&amp;" "&amp;Milestones!$AC$146&amp;";  ","")&amp;IF(AND(EDATE($D120,Milestones!$AA$147)&lt;=AsOfDate,IF($Q120=0,$W120,IF(AND($S120&lt;&gt;"",EDATE($D120,Milestones!$AA$147)&gt;=$S120),$V120,IF(AND($R120&lt;&gt;"",EDATE($D120,Milestones!$AA$147)&gt;=$R120),$U120,$T120)))=Milestones!$AB$147),TEXT(EDATE($D120,Milestones!$AA$147),"dd/mm/yy")&amp;" "&amp;Milestones!$AB$147&amp;" "&amp;Milestones!$AC$147&amp;";  ","")&amp;IF(AND(EDATE($D120,Milestones!$AA$148)&lt;=AsOfDate,IF($Q120=0,$W120,IF(AND($S120&lt;&gt;"",EDATE($D120,Milestones!$AA$148)&gt;=$S120),$V120,IF(AND($R120&lt;&gt;"",EDATE($D120,Milestones!$AA$148)&gt;=$R120),$U120,$T120)))=Milestones!$AB$148),TEXT(EDATE($D120,Milestones!$AA$148),"dd/mm/yy")&amp;" "&amp;Milestones!$AB$148&amp;" "&amp;Milestones!$AC$148&amp;";  ","")&amp;IF(AND(EDATE($D120,Milestones!$AA$149)&lt;=AsOfDate,IF($Q120=0,$W120,IF(AND($S120&lt;&gt;"",EDATE($D120,Milestones!$AA$149)&gt;=$S120),$V120,IF(AND($R120&lt;&gt;"",EDATE($D120,Milestones!$AA$149)&gt;=$R120),$U120,$T120)))=Milestones!$AB$149),TEXT(EDATE($D120,Milestones!$AA$149),"dd/mm/yy")&amp;" "&amp;Milestones!$AB$149&amp;" "&amp;Milestones!$AC$149&amp;";  ","")&amp;IF(AND(EDATE($D120,Milestones!$AA$150)&lt;=AsOfDate,IF($Q120=0,$W120,IF(AND($S120&lt;&gt;"",EDATE($D120,Milestones!$AA$150)&gt;=$S120),$V120,IF(AND($R120&lt;&gt;"",EDATE($D120,Milestones!$AA$150)&gt;=$R120),$U120,$T120)))=Milestones!$AB$150),TEXT(EDATE($D120,Milestones!$AA$150),"dd/mm/yy")&amp;" "&amp;Milestones!$AB$150&amp;" "&amp;Milestones!$AC$150&amp;";  ","")&amp;IF(AND(EDATE($D120,Milestones!$AA$151)&lt;=AsOfDate,IF($Q120=0,$W120,IF(AND($S120&lt;&gt;"",EDATE($D120,Milestones!$AA$151)&gt;=$S120),$V120,IF(AND($R120&lt;&gt;"",EDATE($D120,Milestones!$AA$151)&gt;=$R120),$U120,$T120)))=Milestones!$AB$151),TEXT(EDATE($D120,Milestones!$AA$151),"dd/mm/yy")&amp;" "&amp;Milestones!$AB$151&amp;" "&amp;Milestones!$AC$151&amp;";  ","")&amp;IF(AND(EDATE($D120,Milestones!$AA$152)&lt;=AsOfDate,IF($Q120=0,$W120,IF(AND($S120&lt;&gt;"",EDATE($D120,Milestones!$AA$152)&gt;=$S120),$V120,IF(AND($R120&lt;&gt;"",EDATE($D120,Milestones!$AA$152)&gt;=$R120),$U120,$T120)))=Milestones!$AB$152),TEXT(EDATE($D120,Milestones!$AA$152),"dd/mm/yy")&amp;" "&amp;Milestones!$AB$152&amp;" "&amp;Milestones!$AC$152&amp;";  ","")&amp;IF(AND(EDATE($D120,Milestones!$AA$153)&lt;=AsOfDate,IF($Q120=0,$W120,IF(AND($S120&lt;&gt;"",EDATE($D120,Milestones!$AA$153)&gt;=$S120),$V120,IF(AND($R120&lt;&gt;"",EDATE($D120,Milestones!$AA$153)&gt;=$R120),$U120,$T120)))=Milestones!$AB$153),TEXT(EDATE($D120,Milestones!$AA$153),"dd/mm/yy")&amp;" "&amp;Milestones!$AB$153&amp;" "&amp;Milestones!$AC$153&amp;";  ","")&amp;IF(AND(EDATE($D120,Milestones!$AA$154)&lt;=AsOfDate,IF($Q120=0,$W120,IF(AND($S120&lt;&gt;"",EDATE($D120,Milestones!$AA$154)&gt;=$S120),$V120,IF(AND($R120&lt;&gt;"",EDATE($D120,Milestones!$AA$154)&gt;=$R120),$U120,$T120)))=Milestones!$AB$154),TEXT(EDATE($D120,Milestones!$AA$154),"dd/mm/yy")&amp;" "&amp;Milestones!$AB$154&amp;" "&amp;Milestones!$AC$154&amp;";  ","")&amp;IF(AND(EDATE($D120,Milestones!$AA$155)&lt;=AsOfDate,IF($Q120=0,$W120,IF(AND($S120&lt;&gt;"",EDATE($D120,Milestones!$AA$155)&gt;=$S120),$V120,IF(AND($R120&lt;&gt;"",EDATE($D120,Milestones!$AA$155)&gt;=$R120),$U120,$T120)))=Milestones!$AB$155),TEXT(EDATE($D120,Milestones!$AA$155),"dd/mm/yy")&amp;" "&amp;Milestones!$AB$155&amp;" "&amp;Milestones!$AC$155&amp;";  ","")&amp;IF(AND(EDATE($D120,Milestones!$AA$156)&lt;=AsOfDate,IF($Q120=0,$W120,IF(AND($S120&lt;&gt;"",EDATE($D120,Milestones!$AA$156)&gt;=$S120),$V120,IF(AND($R120&lt;&gt;"",EDATE($D120,Milestones!$AA$156)&gt;=$R120),$U120,$T120)))=Milestones!$AB$156),TEXT(EDATE($D120,Milestones!$AA$156),"dd/mm/yy")&amp;" "&amp;Milestones!$AB$156&amp;" "&amp;Milestones!$AC$156&amp;";  ","")&amp;IF(AND(EDATE($D120,Milestones!$AA$157)&lt;=AsOfDate,IF($Q120=0,$W120,IF(AND($S120&lt;&gt;"",EDATE($D120,Milestones!$AA$157)&gt;=$S120),$V120,IF(AND($R120&lt;&gt;"",EDATE($D120,Milestones!$AA$157)&gt;=$R120),$U120,$T120)))=Milestones!$AB$157),TEXT(EDATE($D120,Milestones!$AA$157),"dd/mm/yy")&amp;" "&amp;Milestones!$AB$157&amp;" "&amp;Milestones!$AC$157&amp;";  ","")&amp;IF(AND(EDATE($D120,Milestones!$AA$158)&lt;=AsOfDate,IF($Q120=0,$W120,IF(AND($S120&lt;&gt;"",EDATE($D120,Milestones!$AA$158)&gt;=$S120),$V120,IF(AND($R120&lt;&gt;"",EDATE($D120,Milestones!$AA$158)&gt;=$R120),$U120,$T120)))=Milestones!$AB$158),TEXT(EDATE($D120,Milestones!$AA$158),"dd/mm/yy")&amp;" "&amp;Milestones!$AB$158&amp;" "&amp;Milestones!$AC$158&amp;";  ","")&amp;IF(AND(EDATE($D120,Milestones!$AA$159)&lt;=AsOfDate,IF($Q120=0,$W120,IF(AND($S120&lt;&gt;"",EDATE($D120,Milestones!$AA$159)&gt;=$S120),$V120,IF(AND($R120&lt;&gt;"",EDATE($D120,Milestones!$AA$159)&gt;=$R120),$U120,$T120)))=Milestones!$AB$159),TEXT(EDATE($D120,Milestones!$AA$159),"dd/mm/yy")&amp;" "&amp;Milestones!$AB$159&amp;" "&amp;Milestones!$AC$159&amp;";  ",""))</f>
        <v/>
      </c>
      <c r="O120" s="0" t="str">
        <f aca="false">IF(OR($A120="",$D120=""),"",IF(AND(EDATE($D120,Milestones!$AA$160)&lt;=AsOfDate,IF($Q120=0,$W120,IF(AND($S120&lt;&gt;"",EDATE($D120,Milestones!$AA$160)&gt;=$S120),$V120,IF(AND($R120&lt;&gt;"",EDATE($D120,Milestones!$AA$160)&gt;=$R120),$U120,$T120)))=Milestones!$AB$160),TEXT(EDATE($D120,Milestones!$AA$160),"dd/mm/yy")&amp;" "&amp;Milestones!$AB$160&amp;" "&amp;Milestones!$AC$160&amp;";  ","")&amp;IF(AND(EDATE($D120,Milestones!$AA$161)&lt;=AsOfDate,IF($Q120=0,$W120,IF(AND($S120&lt;&gt;"",EDATE($D120,Milestones!$AA$161)&gt;=$S120),$V120,IF(AND($R120&lt;&gt;"",EDATE($D120,Milestones!$AA$161)&gt;=$R120),$U120,$T120)))=Milestones!$AB$161),TEXT(EDATE($D120,Milestones!$AA$161),"dd/mm/yy")&amp;" "&amp;Milestones!$AB$161&amp;" "&amp;Milestones!$AC$161&amp;";  ","")&amp;IF(AND(EDATE($D120,Milestones!$AA$162)&lt;=AsOfDate,IF($Q120=0,$W120,IF(AND($S120&lt;&gt;"",EDATE($D120,Milestones!$AA$162)&gt;=$S120),$V120,IF(AND($R120&lt;&gt;"",EDATE($D120,Milestones!$AA$162)&gt;=$R120),$U120,$T120)))=Milestones!$AB$162),TEXT(EDATE($D120,Milestones!$AA$162),"dd/mm/yy")&amp;" "&amp;Milestones!$AB$162&amp;" "&amp;Milestones!$AC$162&amp;";  ","")&amp;IF(AND(EDATE($D120,Milestones!$AA$163)&lt;=AsOfDate,IF($Q120=0,$W120,IF(AND($S120&lt;&gt;"",EDATE($D120,Milestones!$AA$163)&gt;=$S120),$V120,IF(AND($R120&lt;&gt;"",EDATE($D120,Milestones!$AA$163)&gt;=$R120),$U120,$T120)))=Milestones!$AB$163),TEXT(EDATE($D120,Milestones!$AA$163),"dd/mm/yy")&amp;" "&amp;Milestones!$AB$163&amp;" "&amp;Milestones!$AC$163&amp;";  ","")&amp;IF(AND(EDATE($D120,Milestones!$AA$164)&lt;=AsOfDate,IF($Q120=0,$W120,IF(AND($S120&lt;&gt;"",EDATE($D120,Milestones!$AA$164)&gt;=$S120),$V120,IF(AND($R120&lt;&gt;"",EDATE($D120,Milestones!$AA$164)&gt;=$R120),$U120,$T120)))=Milestones!$AB$164),TEXT(EDATE($D120,Milestones!$AA$164),"dd/mm/yy")&amp;" "&amp;Milestones!$AB$164&amp;" "&amp;Milestones!$AC$164&amp;";  ","")&amp;IF(AND(EDATE($D120,Milestones!$AA$165)&lt;=AsOfDate,IF($Q120=0,$W120,IF(AND($S120&lt;&gt;"",EDATE($D120,Milestones!$AA$165)&gt;=$S120),$V120,IF(AND($R120&lt;&gt;"",EDATE($D120,Milestones!$AA$165)&gt;=$R120),$U120,$T120)))=Milestones!$AB$165),TEXT(EDATE($D120,Milestones!$AA$165),"dd/mm/yy")&amp;" "&amp;Milestones!$AB$165&amp;" "&amp;Milestones!$AC$165&amp;";  ","")&amp;IF(AND(EDATE($D120,Milestones!$AA$166)&lt;=AsOfDate,IF($Q120=0,$W120,IF(AND($S120&lt;&gt;"",EDATE($D120,Milestones!$AA$166)&gt;=$S120),$V120,IF(AND($R120&lt;&gt;"",EDATE($D120,Milestones!$AA$166)&gt;=$R120),$U120,$T120)))=Milestones!$AB$166),TEXT(EDATE($D120,Milestones!$AA$166),"dd/mm/yy")&amp;" "&amp;Milestones!$AB$166&amp;" "&amp;Milestones!$AC$166&amp;";  ","")&amp;IF(AND(EDATE($D120,Milestones!$AA$167)&lt;=AsOfDate,IF($Q120=0,$W120,IF(AND($S120&lt;&gt;"",EDATE($D120,Milestones!$AA$167)&gt;=$S120),$V120,IF(AND($R120&lt;&gt;"",EDATE($D120,Milestones!$AA$167)&gt;=$R120),$U120,$T120)))=Milestones!$AB$167),TEXT(EDATE($D120,Milestones!$AA$167),"dd/mm/yy")&amp;" "&amp;Milestones!$AB$167&amp;" "&amp;Milestones!$AC$167&amp;";  ","")&amp;IF(AND(EDATE($D120,Milestones!$AA$168)&lt;=AsOfDate,IF($Q120=0,$W120,IF(AND($S120&lt;&gt;"",EDATE($D120,Milestones!$AA$168)&gt;=$S120),$V120,IF(AND($R120&lt;&gt;"",EDATE($D120,Milestones!$AA$168)&gt;=$R120),$U120,$T120)))=Milestones!$AB$168),TEXT(EDATE($D120,Milestones!$AA$168),"dd/mm/yy")&amp;" "&amp;Milestones!$AB$168&amp;" "&amp;Milestones!$AC$168&amp;";  ","")&amp;IF(AND(EDATE($D120,Milestones!$AA$169)&lt;=AsOfDate,IF($Q120=0,$W120,IF(AND($S120&lt;&gt;"",EDATE($D120,Milestones!$AA$169)&gt;=$S120),$V120,IF(AND($R120&lt;&gt;"",EDATE($D120,Milestones!$AA$169)&gt;=$R120),$U120,$T120)))=Milestones!$AB$169),TEXT(EDATE($D120,Milestones!$AA$169),"dd/mm/yy")&amp;" "&amp;Milestones!$AB$169&amp;" "&amp;Milestones!$AC$169&amp;";  ","")&amp;IF(AND(EDATE($D120,Milestones!$AA$170)&lt;=AsOfDate,IF($Q120=0,$W120,IF(AND($S120&lt;&gt;"",EDATE($D120,Milestones!$AA$170)&gt;=$S120),$V120,IF(AND($R120&lt;&gt;"",EDATE($D120,Milestones!$AA$170)&gt;=$R120),$U120,$T120)))=Milestones!$AB$170),TEXT(EDATE($D120,Milestones!$AA$170),"dd/mm/yy")&amp;" "&amp;Milestones!$AB$170&amp;" "&amp;Milestones!$AC$170&amp;";  ","")&amp;IF(AND(EDATE($D120,Milestones!$AA$171)&lt;=AsOfDate,IF($Q120=0,$W120,IF(AND($S120&lt;&gt;"",EDATE($D120,Milestones!$AA$171)&gt;=$S120),$V120,IF(AND($R120&lt;&gt;"",EDATE($D120,Milestones!$AA$171)&gt;=$R120),$U120,$T120)))=Milestones!$AB$171),TEXT(EDATE($D120,Milestones!$AA$171),"dd/mm/yy")&amp;" "&amp;Milestones!$AB$171&amp;" "&amp;Milestones!$AC$171&amp;";  ","")&amp;IF(AND(EDATE($D120,Milestones!$AA$172)&lt;=AsOfDate,IF($Q120=0,$W120,IF(AND($S120&lt;&gt;"",EDATE($D120,Milestones!$AA$172)&gt;=$S120),$V120,IF(AND($R120&lt;&gt;"",EDATE($D120,Milestones!$AA$172)&gt;=$R120),$U120,$T120)))=Milestones!$AB$172),TEXT(EDATE($D120,Milestones!$AA$172),"dd/mm/yy")&amp;" "&amp;Milestones!$AB$172&amp;" "&amp;Milestones!$AC$172&amp;";  ","")&amp;IF(AND(EDATE($D120,Milestones!$AA$173)&lt;=AsOfDate,IF($Q120=0,$W120,IF(AND($S120&lt;&gt;"",EDATE($D120,Milestones!$AA$173)&gt;=$S120),$V120,IF(AND($R120&lt;&gt;"",EDATE($D120,Milestones!$AA$173)&gt;=$R120),$U120,$T120)))=Milestones!$AB$173),TEXT(EDATE($D120,Milestones!$AA$173),"dd/mm/yy")&amp;" "&amp;Milestones!$AB$173&amp;" "&amp;Milestones!$AC$173&amp;";  ","")&amp;IF(AND(EDATE($D120,Milestones!$AA$174)&lt;=AsOfDate,IF($Q120=0,$W120,IF(AND($S120&lt;&gt;"",EDATE($D120,Milestones!$AA$174)&gt;=$S120),$V120,IF(AND($R120&lt;&gt;"",EDATE($D120,Milestones!$AA$174)&gt;=$R120),$U120,$T120)))=Milestones!$AB$174),TEXT(EDATE($D120,Milestones!$AA$174),"dd/mm/yy")&amp;" "&amp;Milestones!$AB$174&amp;" "&amp;Milestones!$AC$174&amp;";  ","")&amp;IF(AND(EDATE($D120,Milestones!$AA$175)&lt;=AsOfDate,IF($Q120=0,$W120,IF(AND($S120&lt;&gt;"",EDATE($D120,Milestones!$AA$175)&gt;=$S120),$V120,IF(AND($R120&lt;&gt;"",EDATE($D120,Milestones!$AA$175)&gt;=$R120),$U120,$T120)))=Milestones!$AB$175),TEXT(EDATE($D120,Milestones!$AA$175),"dd/mm/yy")&amp;" "&amp;Milestones!$AB$175&amp;" "&amp;Milestones!$AC$175&amp;";  ","")&amp;IF(AND(EDATE($D120,Milestones!$AA$176)&lt;=AsOfDate,IF($Q120=0,$W120,IF(AND($S120&lt;&gt;"",EDATE($D120,Milestones!$AA$176)&gt;=$S120),$V120,IF(AND($R120&lt;&gt;"",EDATE($D120,Milestones!$AA$176)&gt;=$R120),$U120,$T120)))=Milestones!$AB$176),TEXT(EDATE($D120,Milestones!$AA$176),"dd/mm/yy")&amp;" "&amp;Milestones!$AB$176&amp;" "&amp;Milestones!$AC$176&amp;";  ","")&amp;IF(AND(EDATE($D120,Milestones!$AA$177)&lt;=AsOfDate,IF($Q120=0,$W120,IF(AND($S120&lt;&gt;"",EDATE($D120,Milestones!$AA$177)&gt;=$S120),$V120,IF(AND($R120&lt;&gt;"",EDATE($D120,Milestones!$AA$177)&gt;=$R120),$U120,$T120)))=Milestones!$AB$177),TEXT(EDATE($D120,Milestones!$AA$177),"dd/mm/yy")&amp;" "&amp;Milestones!$AB$177&amp;" "&amp;Milestones!$AC$177&amp;";  ","")&amp;IF(AND(EDATE($D120,Milestones!$AA$178)&lt;=AsOfDate,IF($Q120=0,$W120,IF(AND($S120&lt;&gt;"",EDATE($D120,Milestones!$AA$178)&gt;=$S120),$V120,IF(AND($R120&lt;&gt;"",EDATE($D120,Milestones!$AA$178)&gt;=$R120),$U120,$T120)))=Milestones!$AB$178),TEXT(EDATE($D120,Milestones!$AA$178),"dd/mm/yy")&amp;" "&amp;Milestones!$AB$178&amp;" "&amp;Milestones!$AC$178&amp;";  ","")&amp;IF(AND(EDATE($D120,Milestones!$AA$179)&lt;=AsOfDate,IF($Q120=0,$W120,IF(AND($S120&lt;&gt;"",EDATE($D120,Milestones!$AA$179)&gt;=$S120),$V120,IF(AND($R120&lt;&gt;"",EDATE($D120,Milestones!$AA$179)&gt;=$R120),$U120,$T120)))=Milestones!$AB$179),TEXT(EDATE($D120,Milestones!$AA$179),"dd/mm/yy")&amp;" "&amp;Milestones!$AB$179&amp;" "&amp;Milestones!$AC$179&amp;";  ",""))</f>
        <v/>
      </c>
      <c r="P120" s="0" t="str">
        <f aca="false">IF(OR($A120="",$D120=""),"",IF(AND(EDATE($D120,Milestones!$AA$180)&lt;=AsOfDate,IF($Q120=0,$W120,IF(AND($S120&lt;&gt;"",EDATE($D120,Milestones!$AA$180)&gt;=$S120),$V120,IF(AND($R120&lt;&gt;"",EDATE($D120,Milestones!$AA$180)&gt;=$R120),$U120,$T120)))=Milestones!$AB$180),TEXT(EDATE($D120,Milestones!$AA$180),"dd/mm/yy")&amp;" "&amp;Milestones!$AB$180&amp;" "&amp;Milestones!$AC$180&amp;";  ","")&amp;IF(AND(EDATE($D120,Milestones!$AA$181)&lt;=AsOfDate,IF($Q120=0,$W120,IF(AND($S120&lt;&gt;"",EDATE($D120,Milestones!$AA$181)&gt;=$S120),$V120,IF(AND($R120&lt;&gt;"",EDATE($D120,Milestones!$AA$181)&gt;=$R120),$U120,$T120)))=Milestones!$AB$181),TEXT(EDATE($D120,Milestones!$AA$181),"dd/mm/yy")&amp;" "&amp;Milestones!$AB$181&amp;" "&amp;Milestones!$AC$181&amp;";  ","")&amp;IF(AND(EDATE($D120,Milestones!$AA$182)&lt;=AsOfDate,IF($Q120=0,$W120,IF(AND($S120&lt;&gt;"",EDATE($D120,Milestones!$AA$182)&gt;=$S120),$V120,IF(AND($R120&lt;&gt;"",EDATE($D120,Milestones!$AA$182)&gt;=$R120),$U120,$T120)))=Milestones!$AB$182),TEXT(EDATE($D120,Milestones!$AA$182),"dd/mm/yy")&amp;" "&amp;Milestones!$AB$182&amp;" "&amp;Milestones!$AC$182&amp;";  ","")&amp;IF(AND(EDATE($D120,Milestones!$AA$183)&lt;=AsOfDate,IF($Q120=0,$W120,IF(AND($S120&lt;&gt;"",EDATE($D120,Milestones!$AA$183)&gt;=$S120),$V120,IF(AND($R120&lt;&gt;"",EDATE($D120,Milestones!$AA$183)&gt;=$R120),$U120,$T120)))=Milestones!$AB$183),TEXT(EDATE($D120,Milestones!$AA$183),"dd/mm/yy")&amp;" "&amp;Milestones!$AB$183&amp;" "&amp;Milestones!$AC$183&amp;";  ","")&amp;IF(AND(EDATE($D120,Milestones!$AA$184)&lt;=AsOfDate,IF($Q120=0,$W120,IF(AND($S120&lt;&gt;"",EDATE($D120,Milestones!$AA$184)&gt;=$S120),$V120,IF(AND($R120&lt;&gt;"",EDATE($D120,Milestones!$AA$184)&gt;=$R120),$U120,$T120)))=Milestones!$AB$184),TEXT(EDATE($D120,Milestones!$AA$184),"dd/mm/yy")&amp;" "&amp;Milestones!$AB$184&amp;" "&amp;Milestones!$AC$184&amp;";  ","")&amp;IF(AND(EDATE($D120,Milestones!$AA$185)&lt;=AsOfDate,IF($Q120=0,$W120,IF(AND($S120&lt;&gt;"",EDATE($D120,Milestones!$AA$185)&gt;=$S120),$V120,IF(AND($R120&lt;&gt;"",EDATE($D120,Milestones!$AA$185)&gt;=$R120),$U120,$T120)))=Milestones!$AB$185),TEXT(EDATE($D120,Milestones!$AA$185),"dd/mm/yy")&amp;" "&amp;Milestones!$AB$185&amp;" "&amp;Milestones!$AC$185&amp;";  ","")&amp;IF(AND(EDATE($D120,Milestones!$AA$186)&lt;=AsOfDate,IF($Q120=0,$W120,IF(AND($S120&lt;&gt;"",EDATE($D120,Milestones!$AA$186)&gt;=$S120),$V120,IF(AND($R120&lt;&gt;"",EDATE($D120,Milestones!$AA$186)&gt;=$R120),$U120,$T120)))=Milestones!$AB$186),TEXT(EDATE($D120,Milestones!$AA$186),"dd/mm/yy")&amp;" "&amp;Milestones!$AB$186&amp;" "&amp;Milestones!$AC$186&amp;";  ","")&amp;IF(AND(EDATE($D120,Milestones!$AA$187)&lt;=AsOfDate,IF($Q120=0,$W120,IF(AND($S120&lt;&gt;"",EDATE($D120,Milestones!$AA$187)&gt;=$S120),$V120,IF(AND($R120&lt;&gt;"",EDATE($D120,Milestones!$AA$187)&gt;=$R120),$U120,$T120)))=Milestones!$AB$187),TEXT(EDATE($D120,Milestones!$AA$187),"dd/mm/yy")&amp;" "&amp;Milestones!$AB$187&amp;" "&amp;Milestones!$AC$187&amp;";  ","")&amp;IF(AND(EDATE($D120,Milestones!$AA$188)&lt;=AsOfDate,IF($Q120=0,$W120,IF(AND($S120&lt;&gt;"",EDATE($D120,Milestones!$AA$188)&gt;=$S120),$V120,IF(AND($R120&lt;&gt;"",EDATE($D120,Milestones!$AA$188)&gt;=$R120),$U120,$T120)))=Milestones!$AB$188),TEXT(EDATE($D120,Milestones!$AA$188),"dd/mm/yy")&amp;" "&amp;Milestones!$AB$188&amp;" "&amp;Milestones!$AC$188&amp;";  ","")&amp;IF(AND(EDATE($D120,Milestones!$AA$189)&lt;=AsOfDate,IF($Q120=0,$W120,IF(AND($S120&lt;&gt;"",EDATE($D120,Milestones!$AA$189)&gt;=$S120),$V120,IF(AND($R120&lt;&gt;"",EDATE($D120,Milestones!$AA$189)&gt;=$R120),$U120,$T120)))=Milestones!$AB$189),TEXT(EDATE($D120,Milestones!$AA$189),"dd/mm/yy")&amp;" "&amp;Milestones!$AB$189&amp;" "&amp;Milestones!$AC$189&amp;";  ","")&amp;IF(AND(EDATE($D120,Milestones!$AA$190)&lt;=AsOfDate,IF($Q120=0,$W120,IF(AND($S120&lt;&gt;"",EDATE($D120,Milestones!$AA$190)&gt;=$S120),$V120,IF(AND($R120&lt;&gt;"",EDATE($D120,Milestones!$AA$190)&gt;=$R120),$U120,$T120)))=Milestones!$AB$190),TEXT(EDATE($D120,Milestones!$AA$190),"dd/mm/yy")&amp;" "&amp;Milestones!$AB$190&amp;" "&amp;Milestones!$AC$190&amp;";  ","")&amp;IF(AND(EDATE($D120,Milestones!$AA$191)&lt;=AsOfDate,IF($Q120=0,$W120,IF(AND($S120&lt;&gt;"",EDATE($D120,Milestones!$AA$191)&gt;=$S120),$V120,IF(AND($R120&lt;&gt;"",EDATE($D120,Milestones!$AA$191)&gt;=$R120),$U120,$T120)))=Milestones!$AB$191),TEXT(EDATE($D120,Milestones!$AA$191),"dd/mm/yy")&amp;" "&amp;Milestones!$AB$191&amp;" "&amp;Milestones!$AC$191&amp;";  ","")&amp;IF(AND(EDATE($D120,Milestones!$AA$192)&lt;=AsOfDate,IF($Q120=0,$W120,IF(AND($S120&lt;&gt;"",EDATE($D120,Milestones!$AA$192)&gt;=$S120),$V120,IF(AND($R120&lt;&gt;"",EDATE($D120,Milestones!$AA$192)&gt;=$R120),$U120,$T120)))=Milestones!$AB$192),TEXT(EDATE($D120,Milestones!$AA$192),"dd/mm/yy")&amp;" "&amp;Milestones!$AB$192&amp;" "&amp;Milestones!$AC$192&amp;";  ","")&amp;IF(AND(EDATE($D120,Milestones!$AA$193)&lt;=AsOfDate,IF($Q120=0,$W120,IF(AND($S120&lt;&gt;"",EDATE($D120,Milestones!$AA$193)&gt;=$S120),$V120,IF(AND($R120&lt;&gt;"",EDATE($D120,Milestones!$AA$193)&gt;=$R120),$U120,$T120)))=Milestones!$AB$193),TEXT(EDATE($D120,Milestones!$AA$193),"dd/mm/yy")&amp;" "&amp;Milestones!$AB$193&amp;" "&amp;Milestones!$AC$193&amp;";  ","")&amp;IF(AND(EDATE($D120,Milestones!$AA$194)&lt;=AsOfDate,IF($Q120=0,$W120,IF(AND($S120&lt;&gt;"",EDATE($D120,Milestones!$AA$194)&gt;=$S120),$V120,IF(AND($R120&lt;&gt;"",EDATE($D120,Milestones!$AA$194)&gt;=$R120),$U120,$T120)))=Milestones!$AB$194),TEXT(EDATE($D120,Milestones!$AA$194),"dd/mm/yy")&amp;" "&amp;Milestones!$AB$194&amp;" "&amp;Milestones!$AC$194&amp;";  ","")&amp;IF(AND(EDATE($D120,Milestones!$AA$195)&lt;=AsOfDate,IF($Q120=0,$W120,IF(AND($S120&lt;&gt;"",EDATE($D120,Milestones!$AA$195)&gt;=$S120),$V120,IF(AND($R120&lt;&gt;"",EDATE($D120,Milestones!$AA$195)&gt;=$R120),$U120,$T120)))=Milestones!$AB$195),TEXT(EDATE($D120,Milestones!$AA$195),"dd/mm/yy")&amp;" "&amp;Milestones!$AB$195&amp;" "&amp;Milestones!$AC$195&amp;";  ","")&amp;IF(AND(EDATE($D120,Milestones!$AA$196)&lt;=AsOfDate,IF($Q120=0,$W120,IF(AND($S120&lt;&gt;"",EDATE($D120,Milestones!$AA$196)&gt;=$S120),$V120,IF(AND($R120&lt;&gt;"",EDATE($D120,Milestones!$AA$196)&gt;=$R120),$U120,$T120)))=Milestones!$AB$196),TEXT(EDATE($D120,Milestones!$AA$196),"dd/mm/yy")&amp;" "&amp;Milestones!$AB$196&amp;" "&amp;Milestones!$AC$196&amp;";  ","")&amp;IF(AND(EDATE($D120,Milestones!$AA$197)&lt;=AsOfDate,IF($Q120=0,$W120,IF(AND($S120&lt;&gt;"",EDATE($D120,Milestones!$AA$197)&gt;=$S120),$V120,IF(AND($R120&lt;&gt;"",EDATE($D120,Milestones!$AA$197)&gt;=$R120),$U120,$T120)))=Milestones!$AB$197),TEXT(EDATE($D120,Milestones!$AA$197),"dd/mm/yy")&amp;" "&amp;Milestones!$AB$197&amp;" "&amp;Milestones!$AC$197&amp;";  ","")&amp;IF(AND(EDATE($D120,Milestones!$AA$198)&lt;=AsOfDate,IF($Q120=0,$W120,IF(AND($S120&lt;&gt;"",EDATE($D120,Milestones!$AA$198)&gt;=$S120),$V120,IF(AND($R120&lt;&gt;"",EDATE($D120,Milestones!$AA$198)&gt;=$R120),$U120,$T120)))=Milestones!$AB$198),TEXT(EDATE($D120,Milestones!$AA$198),"dd/mm/yy")&amp;" "&amp;Milestones!$AB$198&amp;" "&amp;Milestones!$AC$198&amp;";  ","")&amp;IF(AND(EDATE($D120,Milestones!$AA$199)&lt;=AsOfDate,IF($Q120=0,$W120,IF(AND($S120&lt;&gt;"",EDATE($D120,Milestones!$AA$199)&gt;=$S120),$V120,IF(AND($R120&lt;&gt;"",EDATE($D120,Milestones!$AA$199)&gt;=$R120),$U120,$T120)))=Milestones!$AB$199),TEXT(EDATE($D120,Milestones!$AA$199),"dd/mm/yy")&amp;" "&amp;Milestones!$AB$199&amp;" "&amp;Milestones!$AC$199&amp;";  ",""))</f>
        <v/>
      </c>
      <c r="Q120" s="0" t="str">
        <f aca="false">IF(Staff!$A120="","",Staff!$AG120)</f>
        <v/>
      </c>
      <c r="R120" s="0" t="str">
        <f aca="false">IF(Staff!$A120="","",Staff!$AI120)</f>
        <v/>
      </c>
      <c r="S120" s="0" t="str">
        <f aca="false">IF(Staff!$A120="","",Staff!$AJ120)</f>
        <v/>
      </c>
      <c r="T120" s="0" t="str">
        <f aca="false">IF(Staff!$A120="","",Staff!$AN120)</f>
        <v/>
      </c>
      <c r="U120" s="0" t="str">
        <f aca="false">IF(Staff!$A120="","",Staff!$AO120)</f>
        <v/>
      </c>
      <c r="V120" s="0" t="str">
        <f aca="false">IF(Staff!$A120="","",Staff!$AP120)</f>
        <v/>
      </c>
      <c r="W120" s="0" t="str">
        <f aca="false">IF(Staff!$A120="","",Staff!$AQ120)</f>
        <v/>
      </c>
    </row>
    <row r="121" customFormat="false" ht="15" hidden="false" customHeight="false" outlineLevel="0" collapsed="false">
      <c r="A121" s="13" t="str">
        <f aca="false">IF(Staff!$A121="","",Staff!$A121)</f>
        <v/>
      </c>
      <c r="B121" s="13" t="str">
        <f aca="false">IF(Staff!$A121="","",Staff!$B121)</f>
        <v/>
      </c>
      <c r="C121" s="13" t="str">
        <f aca="false">IF(Staff!$A121="","",Staff!$C121)</f>
        <v/>
      </c>
      <c r="D121" s="11" t="str">
        <f aca="false">IF(Staff!$A121="","",Staff!$AF121)</f>
        <v/>
      </c>
      <c r="E121" s="13" t="str">
        <f aca="false">IF(Staff!$A121="","",Staff!$O121)</f>
        <v/>
      </c>
      <c r="F121" s="13" t="str">
        <f aca="false">IF(E121="","",E121*HoursPerDay)</f>
        <v/>
      </c>
      <c r="G121" s="26" t="str">
        <f aca="false">IF($A121="","",H121&amp;I121&amp;J121&amp;K121&amp;L121&amp;M121&amp;N121&amp;O121&amp;P121)</f>
        <v/>
      </c>
      <c r="H121" s="0" t="str">
        <f aca="false">IF(OR($A121="",$D121=""),"",IF(AND(EDATE($D121,Milestones!$AA$20)&lt;=AsOfDate,IF($Q121=0,$W121,IF(AND($S121&lt;&gt;"",EDATE($D121,Milestones!$AA$20)&gt;=$S121),$V121,IF(AND($R121&lt;&gt;"",EDATE($D121,Milestones!$AA$20)&gt;=$R121),$U121,$T121)))=Milestones!$AB$20),TEXT(EDATE($D121,Milestones!$AA$20),"dd/mm/yy")&amp;" "&amp;Milestones!$AB$20&amp;" "&amp;Milestones!$AC$20&amp;";  ","")&amp;IF(AND(EDATE($D121,Milestones!$AA$21)&lt;=AsOfDate,IF($Q121=0,$W121,IF(AND($S121&lt;&gt;"",EDATE($D121,Milestones!$AA$21)&gt;=$S121),$V121,IF(AND($R121&lt;&gt;"",EDATE($D121,Milestones!$AA$21)&gt;=$R121),$U121,$T121)))=Milestones!$AB$21),TEXT(EDATE($D121,Milestones!$AA$21),"dd/mm/yy")&amp;" "&amp;Milestones!$AB$21&amp;" "&amp;Milestones!$AC$21&amp;";  ","")&amp;IF(AND(EDATE($D121,Milestones!$AA$22)&lt;=AsOfDate,IF($Q121=0,$W121,IF(AND($S121&lt;&gt;"",EDATE($D121,Milestones!$AA$22)&gt;=$S121),$V121,IF(AND($R121&lt;&gt;"",EDATE($D121,Milestones!$AA$22)&gt;=$R121),$U121,$T121)))=Milestones!$AB$22),TEXT(EDATE($D121,Milestones!$AA$22),"dd/mm/yy")&amp;" "&amp;Milestones!$AB$22&amp;" "&amp;Milestones!$AC$22&amp;";  ","")&amp;IF(AND(EDATE($D121,Milestones!$AA$23)&lt;=AsOfDate,IF($Q121=0,$W121,IF(AND($S121&lt;&gt;"",EDATE($D121,Milestones!$AA$23)&gt;=$S121),$V121,IF(AND($R121&lt;&gt;"",EDATE($D121,Milestones!$AA$23)&gt;=$R121),$U121,$T121)))=Milestones!$AB$23),TEXT(EDATE($D121,Milestones!$AA$23),"dd/mm/yy")&amp;" "&amp;Milestones!$AB$23&amp;" "&amp;Milestones!$AC$23&amp;";  ","")&amp;IF(AND(EDATE($D121,Milestones!$AA$24)&lt;=AsOfDate,IF($Q121=0,$W121,IF(AND($S121&lt;&gt;"",EDATE($D121,Milestones!$AA$24)&gt;=$S121),$V121,IF(AND($R121&lt;&gt;"",EDATE($D121,Milestones!$AA$24)&gt;=$R121),$U121,$T121)))=Milestones!$AB$24),TEXT(EDATE($D121,Milestones!$AA$24),"dd/mm/yy")&amp;" "&amp;Milestones!$AB$24&amp;" "&amp;Milestones!$AC$24&amp;";  ","")&amp;IF(AND(EDATE($D121,Milestones!$AA$25)&lt;=AsOfDate,IF($Q121=0,$W121,IF(AND($S121&lt;&gt;"",EDATE($D121,Milestones!$AA$25)&gt;=$S121),$V121,IF(AND($R121&lt;&gt;"",EDATE($D121,Milestones!$AA$25)&gt;=$R121),$U121,$T121)))=Milestones!$AB$25),TEXT(EDATE($D121,Milestones!$AA$25),"dd/mm/yy")&amp;" "&amp;Milestones!$AB$25&amp;" "&amp;Milestones!$AC$25&amp;";  ","")&amp;IF(AND(EDATE($D121,Milestones!$AA$26)&lt;=AsOfDate,IF($Q121=0,$W121,IF(AND($S121&lt;&gt;"",EDATE($D121,Milestones!$AA$26)&gt;=$S121),$V121,IF(AND($R121&lt;&gt;"",EDATE($D121,Milestones!$AA$26)&gt;=$R121),$U121,$T121)))=Milestones!$AB$26),TEXT(EDATE($D121,Milestones!$AA$26),"dd/mm/yy")&amp;" "&amp;Milestones!$AB$26&amp;" "&amp;Milestones!$AC$26&amp;";  ","")&amp;IF(AND(EDATE($D121,Milestones!$AA$27)&lt;=AsOfDate,IF($Q121=0,$W121,IF(AND($S121&lt;&gt;"",EDATE($D121,Milestones!$AA$27)&gt;=$S121),$V121,IF(AND($R121&lt;&gt;"",EDATE($D121,Milestones!$AA$27)&gt;=$R121),$U121,$T121)))=Milestones!$AB$27),TEXT(EDATE($D121,Milestones!$AA$27),"dd/mm/yy")&amp;" "&amp;Milestones!$AB$27&amp;" "&amp;Milestones!$AC$27&amp;";  ","")&amp;IF(AND(EDATE($D121,Milestones!$AA$28)&lt;=AsOfDate,IF($Q121=0,$W121,IF(AND($S121&lt;&gt;"",EDATE($D121,Milestones!$AA$28)&gt;=$S121),$V121,IF(AND($R121&lt;&gt;"",EDATE($D121,Milestones!$AA$28)&gt;=$R121),$U121,$T121)))=Milestones!$AB$28),TEXT(EDATE($D121,Milestones!$AA$28),"dd/mm/yy")&amp;" "&amp;Milestones!$AB$28&amp;" "&amp;Milestones!$AC$28&amp;";  ","")&amp;IF(AND(EDATE($D121,Milestones!$AA$29)&lt;=AsOfDate,IF($Q121=0,$W121,IF(AND($S121&lt;&gt;"",EDATE($D121,Milestones!$AA$29)&gt;=$S121),$V121,IF(AND($R121&lt;&gt;"",EDATE($D121,Milestones!$AA$29)&gt;=$R121),$U121,$T121)))=Milestones!$AB$29),TEXT(EDATE($D121,Milestones!$AA$29),"dd/mm/yy")&amp;" "&amp;Milestones!$AB$29&amp;" "&amp;Milestones!$AC$29&amp;";  ","")&amp;IF(AND(EDATE($D121,Milestones!$AA$30)&lt;=AsOfDate,IF($Q121=0,$W121,IF(AND($S121&lt;&gt;"",EDATE($D121,Milestones!$AA$30)&gt;=$S121),$V121,IF(AND($R121&lt;&gt;"",EDATE($D121,Milestones!$AA$30)&gt;=$R121),$U121,$T121)))=Milestones!$AB$30),TEXT(EDATE($D121,Milestones!$AA$30),"dd/mm/yy")&amp;" "&amp;Milestones!$AB$30&amp;" "&amp;Milestones!$AC$30&amp;";  ","")&amp;IF(AND(EDATE($D121,Milestones!$AA$31)&lt;=AsOfDate,IF($Q121=0,$W121,IF(AND($S121&lt;&gt;"",EDATE($D121,Milestones!$AA$31)&gt;=$S121),$V121,IF(AND($R121&lt;&gt;"",EDATE($D121,Milestones!$AA$31)&gt;=$R121),$U121,$T121)))=Milestones!$AB$31),TEXT(EDATE($D121,Milestones!$AA$31),"dd/mm/yy")&amp;" "&amp;Milestones!$AB$31&amp;" "&amp;Milestones!$AC$31&amp;";  ","")&amp;IF(AND(EDATE($D121,Milestones!$AA$32)&lt;=AsOfDate,IF($Q121=0,$W121,IF(AND($S121&lt;&gt;"",EDATE($D121,Milestones!$AA$32)&gt;=$S121),$V121,IF(AND($R121&lt;&gt;"",EDATE($D121,Milestones!$AA$32)&gt;=$R121),$U121,$T121)))=Milestones!$AB$32),TEXT(EDATE($D121,Milestones!$AA$32),"dd/mm/yy")&amp;" "&amp;Milestones!$AB$32&amp;" "&amp;Milestones!$AC$32&amp;";  ","")&amp;IF(AND(EDATE($D121,Milestones!$AA$33)&lt;=AsOfDate,IF($Q121=0,$W121,IF(AND($S121&lt;&gt;"",EDATE($D121,Milestones!$AA$33)&gt;=$S121),$V121,IF(AND($R121&lt;&gt;"",EDATE($D121,Milestones!$AA$33)&gt;=$R121),$U121,$T121)))=Milestones!$AB$33),TEXT(EDATE($D121,Milestones!$AA$33),"dd/mm/yy")&amp;" "&amp;Milestones!$AB$33&amp;" "&amp;Milestones!$AC$33&amp;";  ","")&amp;IF(AND(EDATE($D121,Milestones!$AA$34)&lt;=AsOfDate,IF($Q121=0,$W121,IF(AND($S121&lt;&gt;"",EDATE($D121,Milestones!$AA$34)&gt;=$S121),$V121,IF(AND($R121&lt;&gt;"",EDATE($D121,Milestones!$AA$34)&gt;=$R121),$U121,$T121)))=Milestones!$AB$34),TEXT(EDATE($D121,Milestones!$AA$34),"dd/mm/yy")&amp;" "&amp;Milestones!$AB$34&amp;" "&amp;Milestones!$AC$34&amp;";  ","")&amp;IF(AND(EDATE($D121,Milestones!$AA$35)&lt;=AsOfDate,IF($Q121=0,$W121,IF(AND($S121&lt;&gt;"",EDATE($D121,Milestones!$AA$35)&gt;=$S121),$V121,IF(AND($R121&lt;&gt;"",EDATE($D121,Milestones!$AA$35)&gt;=$R121),$U121,$T121)))=Milestones!$AB$35),TEXT(EDATE($D121,Milestones!$AA$35),"dd/mm/yy")&amp;" "&amp;Milestones!$AB$35&amp;" "&amp;Milestones!$AC$35&amp;";  ","")&amp;IF(AND(EDATE($D121,Milestones!$AA$36)&lt;=AsOfDate,IF($Q121=0,$W121,IF(AND($S121&lt;&gt;"",EDATE($D121,Milestones!$AA$36)&gt;=$S121),$V121,IF(AND($R121&lt;&gt;"",EDATE($D121,Milestones!$AA$36)&gt;=$R121),$U121,$T121)))=Milestones!$AB$36),TEXT(EDATE($D121,Milestones!$AA$36),"dd/mm/yy")&amp;" "&amp;Milestones!$AB$36&amp;" "&amp;Milestones!$AC$36&amp;";  ","")&amp;IF(AND(EDATE($D121,Milestones!$AA$37)&lt;=AsOfDate,IF($Q121=0,$W121,IF(AND($S121&lt;&gt;"",EDATE($D121,Milestones!$AA$37)&gt;=$S121),$V121,IF(AND($R121&lt;&gt;"",EDATE($D121,Milestones!$AA$37)&gt;=$R121),$U121,$T121)))=Milestones!$AB$37),TEXT(EDATE($D121,Milestones!$AA$37),"dd/mm/yy")&amp;" "&amp;Milestones!$AB$37&amp;" "&amp;Milestones!$AC$37&amp;";  ","")&amp;IF(AND(EDATE($D121,Milestones!$AA$38)&lt;=AsOfDate,IF($Q121=0,$W121,IF(AND($S121&lt;&gt;"",EDATE($D121,Milestones!$AA$38)&gt;=$S121),$V121,IF(AND($R121&lt;&gt;"",EDATE($D121,Milestones!$AA$38)&gt;=$R121),$U121,$T121)))=Milestones!$AB$38),TEXT(EDATE($D121,Milestones!$AA$38),"dd/mm/yy")&amp;" "&amp;Milestones!$AB$38&amp;" "&amp;Milestones!$AC$38&amp;";  ","")&amp;IF(AND(EDATE($D121,Milestones!$AA$39)&lt;=AsOfDate,IF($Q121=0,$W121,IF(AND($S121&lt;&gt;"",EDATE($D121,Milestones!$AA$39)&gt;=$S121),$V121,IF(AND($R121&lt;&gt;"",EDATE($D121,Milestones!$AA$39)&gt;=$R121),$U121,$T121)))=Milestones!$AB$39),TEXT(EDATE($D121,Milestones!$AA$39),"dd/mm/yy")&amp;" "&amp;Milestones!$AB$39&amp;" "&amp;Milestones!$AC$39&amp;";  ",""))</f>
        <v/>
      </c>
      <c r="I121" s="0" t="str">
        <f aca="false">IF(OR($A121="",$D121=""),"",IF(AND(EDATE($D121,Milestones!$AA$40)&lt;=AsOfDate,IF($Q121=0,$W121,IF(AND($S121&lt;&gt;"",EDATE($D121,Milestones!$AA$40)&gt;=$S121),$V121,IF(AND($R121&lt;&gt;"",EDATE($D121,Milestones!$AA$40)&gt;=$R121),$U121,$T121)))=Milestones!$AB$40),TEXT(EDATE($D121,Milestones!$AA$40),"dd/mm/yy")&amp;" "&amp;Milestones!$AB$40&amp;" "&amp;Milestones!$AC$40&amp;";  ","")&amp;IF(AND(EDATE($D121,Milestones!$AA$41)&lt;=AsOfDate,IF($Q121=0,$W121,IF(AND($S121&lt;&gt;"",EDATE($D121,Milestones!$AA$41)&gt;=$S121),$V121,IF(AND($R121&lt;&gt;"",EDATE($D121,Milestones!$AA$41)&gt;=$R121),$U121,$T121)))=Milestones!$AB$41),TEXT(EDATE($D121,Milestones!$AA$41),"dd/mm/yy")&amp;" "&amp;Milestones!$AB$41&amp;" "&amp;Milestones!$AC$41&amp;";  ","")&amp;IF(AND(EDATE($D121,Milestones!$AA$42)&lt;=AsOfDate,IF($Q121=0,$W121,IF(AND($S121&lt;&gt;"",EDATE($D121,Milestones!$AA$42)&gt;=$S121),$V121,IF(AND($R121&lt;&gt;"",EDATE($D121,Milestones!$AA$42)&gt;=$R121),$U121,$T121)))=Milestones!$AB$42),TEXT(EDATE($D121,Milestones!$AA$42),"dd/mm/yy")&amp;" "&amp;Milestones!$AB$42&amp;" "&amp;Milestones!$AC$42&amp;";  ","")&amp;IF(AND(EDATE($D121,Milestones!$AA$43)&lt;=AsOfDate,IF($Q121=0,$W121,IF(AND($S121&lt;&gt;"",EDATE($D121,Milestones!$AA$43)&gt;=$S121),$V121,IF(AND($R121&lt;&gt;"",EDATE($D121,Milestones!$AA$43)&gt;=$R121),$U121,$T121)))=Milestones!$AB$43),TEXT(EDATE($D121,Milestones!$AA$43),"dd/mm/yy")&amp;" "&amp;Milestones!$AB$43&amp;" "&amp;Milestones!$AC$43&amp;";  ","")&amp;IF(AND(EDATE($D121,Milestones!$AA$44)&lt;=AsOfDate,IF($Q121=0,$W121,IF(AND($S121&lt;&gt;"",EDATE($D121,Milestones!$AA$44)&gt;=$S121),$V121,IF(AND($R121&lt;&gt;"",EDATE($D121,Milestones!$AA$44)&gt;=$R121),$U121,$T121)))=Milestones!$AB$44),TEXT(EDATE($D121,Milestones!$AA$44),"dd/mm/yy")&amp;" "&amp;Milestones!$AB$44&amp;" "&amp;Milestones!$AC$44&amp;";  ","")&amp;IF(AND(EDATE($D121,Milestones!$AA$45)&lt;=AsOfDate,IF($Q121=0,$W121,IF(AND($S121&lt;&gt;"",EDATE($D121,Milestones!$AA$45)&gt;=$S121),$V121,IF(AND($R121&lt;&gt;"",EDATE($D121,Milestones!$AA$45)&gt;=$R121),$U121,$T121)))=Milestones!$AB$45),TEXT(EDATE($D121,Milestones!$AA$45),"dd/mm/yy")&amp;" "&amp;Milestones!$AB$45&amp;" "&amp;Milestones!$AC$45&amp;";  ","")&amp;IF(AND(EDATE($D121,Milestones!$AA$46)&lt;=AsOfDate,IF($Q121=0,$W121,IF(AND($S121&lt;&gt;"",EDATE($D121,Milestones!$AA$46)&gt;=$S121),$V121,IF(AND($R121&lt;&gt;"",EDATE($D121,Milestones!$AA$46)&gt;=$R121),$U121,$T121)))=Milestones!$AB$46),TEXT(EDATE($D121,Milestones!$AA$46),"dd/mm/yy")&amp;" "&amp;Milestones!$AB$46&amp;" "&amp;Milestones!$AC$46&amp;";  ","")&amp;IF(AND(EDATE($D121,Milestones!$AA$47)&lt;=AsOfDate,IF($Q121=0,$W121,IF(AND($S121&lt;&gt;"",EDATE($D121,Milestones!$AA$47)&gt;=$S121),$V121,IF(AND($R121&lt;&gt;"",EDATE($D121,Milestones!$AA$47)&gt;=$R121),$U121,$T121)))=Milestones!$AB$47),TEXT(EDATE($D121,Milestones!$AA$47),"dd/mm/yy")&amp;" "&amp;Milestones!$AB$47&amp;" "&amp;Milestones!$AC$47&amp;";  ","")&amp;IF(AND(EDATE($D121,Milestones!$AA$48)&lt;=AsOfDate,IF($Q121=0,$W121,IF(AND($S121&lt;&gt;"",EDATE($D121,Milestones!$AA$48)&gt;=$S121),$V121,IF(AND($R121&lt;&gt;"",EDATE($D121,Milestones!$AA$48)&gt;=$R121),$U121,$T121)))=Milestones!$AB$48),TEXT(EDATE($D121,Milestones!$AA$48),"dd/mm/yy")&amp;" "&amp;Milestones!$AB$48&amp;" "&amp;Milestones!$AC$48&amp;";  ","")&amp;IF(AND(EDATE($D121,Milestones!$AA$49)&lt;=AsOfDate,IF($Q121=0,$W121,IF(AND($S121&lt;&gt;"",EDATE($D121,Milestones!$AA$49)&gt;=$S121),$V121,IF(AND($R121&lt;&gt;"",EDATE($D121,Milestones!$AA$49)&gt;=$R121),$U121,$T121)))=Milestones!$AB$49),TEXT(EDATE($D121,Milestones!$AA$49),"dd/mm/yy")&amp;" "&amp;Milestones!$AB$49&amp;" "&amp;Milestones!$AC$49&amp;";  ","")&amp;IF(AND(EDATE($D121,Milestones!$AA$50)&lt;=AsOfDate,IF($Q121=0,$W121,IF(AND($S121&lt;&gt;"",EDATE($D121,Milestones!$AA$50)&gt;=$S121),$V121,IF(AND($R121&lt;&gt;"",EDATE($D121,Milestones!$AA$50)&gt;=$R121),$U121,$T121)))=Milestones!$AB$50),TEXT(EDATE($D121,Milestones!$AA$50),"dd/mm/yy")&amp;" "&amp;Milestones!$AB$50&amp;" "&amp;Milestones!$AC$50&amp;";  ","")&amp;IF(AND(EDATE($D121,Milestones!$AA$51)&lt;=AsOfDate,IF($Q121=0,$W121,IF(AND($S121&lt;&gt;"",EDATE($D121,Milestones!$AA$51)&gt;=$S121),$V121,IF(AND($R121&lt;&gt;"",EDATE($D121,Milestones!$AA$51)&gt;=$R121),$U121,$T121)))=Milestones!$AB$51),TEXT(EDATE($D121,Milestones!$AA$51),"dd/mm/yy")&amp;" "&amp;Milestones!$AB$51&amp;" "&amp;Milestones!$AC$51&amp;";  ","")&amp;IF(AND(EDATE($D121,Milestones!$AA$52)&lt;=AsOfDate,IF($Q121=0,$W121,IF(AND($S121&lt;&gt;"",EDATE($D121,Milestones!$AA$52)&gt;=$S121),$V121,IF(AND($R121&lt;&gt;"",EDATE($D121,Milestones!$AA$52)&gt;=$R121),$U121,$T121)))=Milestones!$AB$52),TEXT(EDATE($D121,Milestones!$AA$52),"dd/mm/yy")&amp;" "&amp;Milestones!$AB$52&amp;" "&amp;Milestones!$AC$52&amp;";  ","")&amp;IF(AND(EDATE($D121,Milestones!$AA$53)&lt;=AsOfDate,IF($Q121=0,$W121,IF(AND($S121&lt;&gt;"",EDATE($D121,Milestones!$AA$53)&gt;=$S121),$V121,IF(AND($R121&lt;&gt;"",EDATE($D121,Milestones!$AA$53)&gt;=$R121),$U121,$T121)))=Milestones!$AB$53),TEXT(EDATE($D121,Milestones!$AA$53),"dd/mm/yy")&amp;" "&amp;Milestones!$AB$53&amp;" "&amp;Milestones!$AC$53&amp;";  ","")&amp;IF(AND(EDATE($D121,Milestones!$AA$54)&lt;=AsOfDate,IF($Q121=0,$W121,IF(AND($S121&lt;&gt;"",EDATE($D121,Milestones!$AA$54)&gt;=$S121),$V121,IF(AND($R121&lt;&gt;"",EDATE($D121,Milestones!$AA$54)&gt;=$R121),$U121,$T121)))=Milestones!$AB$54),TEXT(EDATE($D121,Milestones!$AA$54),"dd/mm/yy")&amp;" "&amp;Milestones!$AB$54&amp;" "&amp;Milestones!$AC$54&amp;";  ","")&amp;IF(AND(EDATE($D121,Milestones!$AA$55)&lt;=AsOfDate,IF($Q121=0,$W121,IF(AND($S121&lt;&gt;"",EDATE($D121,Milestones!$AA$55)&gt;=$S121),$V121,IF(AND($R121&lt;&gt;"",EDATE($D121,Milestones!$AA$55)&gt;=$R121),$U121,$T121)))=Milestones!$AB$55),TEXT(EDATE($D121,Milestones!$AA$55),"dd/mm/yy")&amp;" "&amp;Milestones!$AB$55&amp;" "&amp;Milestones!$AC$55&amp;";  ","")&amp;IF(AND(EDATE($D121,Milestones!$AA$56)&lt;=AsOfDate,IF($Q121=0,$W121,IF(AND($S121&lt;&gt;"",EDATE($D121,Milestones!$AA$56)&gt;=$S121),$V121,IF(AND($R121&lt;&gt;"",EDATE($D121,Milestones!$AA$56)&gt;=$R121),$U121,$T121)))=Milestones!$AB$56),TEXT(EDATE($D121,Milestones!$AA$56),"dd/mm/yy")&amp;" "&amp;Milestones!$AB$56&amp;" "&amp;Milestones!$AC$56&amp;";  ","")&amp;IF(AND(EDATE($D121,Milestones!$AA$57)&lt;=AsOfDate,IF($Q121=0,$W121,IF(AND($S121&lt;&gt;"",EDATE($D121,Milestones!$AA$57)&gt;=$S121),$V121,IF(AND($R121&lt;&gt;"",EDATE($D121,Milestones!$AA$57)&gt;=$R121),$U121,$T121)))=Milestones!$AB$57),TEXT(EDATE($D121,Milestones!$AA$57),"dd/mm/yy")&amp;" "&amp;Milestones!$AB$57&amp;" "&amp;Milestones!$AC$57&amp;";  ","")&amp;IF(AND(EDATE($D121,Milestones!$AA$58)&lt;=AsOfDate,IF($Q121=0,$W121,IF(AND($S121&lt;&gt;"",EDATE($D121,Milestones!$AA$58)&gt;=$S121),$V121,IF(AND($R121&lt;&gt;"",EDATE($D121,Milestones!$AA$58)&gt;=$R121),$U121,$T121)))=Milestones!$AB$58),TEXT(EDATE($D121,Milestones!$AA$58),"dd/mm/yy")&amp;" "&amp;Milestones!$AB$58&amp;" "&amp;Milestones!$AC$58&amp;";  ","")&amp;IF(AND(EDATE($D121,Milestones!$AA$59)&lt;=AsOfDate,IF($Q121=0,$W121,IF(AND($S121&lt;&gt;"",EDATE($D121,Milestones!$AA$59)&gt;=$S121),$V121,IF(AND($R121&lt;&gt;"",EDATE($D121,Milestones!$AA$59)&gt;=$R121),$U121,$T121)))=Milestones!$AB$59),TEXT(EDATE($D121,Milestones!$AA$59),"dd/mm/yy")&amp;" "&amp;Milestones!$AB$59&amp;" "&amp;Milestones!$AC$59&amp;";  ",""))</f>
        <v/>
      </c>
      <c r="J121" s="0" t="str">
        <f aca="false">IF(OR($A121="",$D121=""),"",IF(AND(EDATE($D121,Milestones!$AA$60)&lt;=AsOfDate,IF($Q121=0,$W121,IF(AND($S121&lt;&gt;"",EDATE($D121,Milestones!$AA$60)&gt;=$S121),$V121,IF(AND($R121&lt;&gt;"",EDATE($D121,Milestones!$AA$60)&gt;=$R121),$U121,$T121)))=Milestones!$AB$60),TEXT(EDATE($D121,Milestones!$AA$60),"dd/mm/yy")&amp;" "&amp;Milestones!$AB$60&amp;" "&amp;Milestones!$AC$60&amp;";  ","")&amp;IF(AND(EDATE($D121,Milestones!$AA$61)&lt;=AsOfDate,IF($Q121=0,$W121,IF(AND($S121&lt;&gt;"",EDATE($D121,Milestones!$AA$61)&gt;=$S121),$V121,IF(AND($R121&lt;&gt;"",EDATE($D121,Milestones!$AA$61)&gt;=$R121),$U121,$T121)))=Milestones!$AB$61),TEXT(EDATE($D121,Milestones!$AA$61),"dd/mm/yy")&amp;" "&amp;Milestones!$AB$61&amp;" "&amp;Milestones!$AC$61&amp;";  ","")&amp;IF(AND(EDATE($D121,Milestones!$AA$62)&lt;=AsOfDate,IF($Q121=0,$W121,IF(AND($S121&lt;&gt;"",EDATE($D121,Milestones!$AA$62)&gt;=$S121),$V121,IF(AND($R121&lt;&gt;"",EDATE($D121,Milestones!$AA$62)&gt;=$R121),$U121,$T121)))=Milestones!$AB$62),TEXT(EDATE($D121,Milestones!$AA$62),"dd/mm/yy")&amp;" "&amp;Milestones!$AB$62&amp;" "&amp;Milestones!$AC$62&amp;";  ","")&amp;IF(AND(EDATE($D121,Milestones!$AA$63)&lt;=AsOfDate,IF($Q121=0,$W121,IF(AND($S121&lt;&gt;"",EDATE($D121,Milestones!$AA$63)&gt;=$S121),$V121,IF(AND($R121&lt;&gt;"",EDATE($D121,Milestones!$AA$63)&gt;=$R121),$U121,$T121)))=Milestones!$AB$63),TEXT(EDATE($D121,Milestones!$AA$63),"dd/mm/yy")&amp;" "&amp;Milestones!$AB$63&amp;" "&amp;Milestones!$AC$63&amp;";  ","")&amp;IF(AND(EDATE($D121,Milestones!$AA$64)&lt;=AsOfDate,IF($Q121=0,$W121,IF(AND($S121&lt;&gt;"",EDATE($D121,Milestones!$AA$64)&gt;=$S121),$V121,IF(AND($R121&lt;&gt;"",EDATE($D121,Milestones!$AA$64)&gt;=$R121),$U121,$T121)))=Milestones!$AB$64),TEXT(EDATE($D121,Milestones!$AA$64),"dd/mm/yy")&amp;" "&amp;Milestones!$AB$64&amp;" "&amp;Milestones!$AC$64&amp;";  ","")&amp;IF(AND(EDATE($D121,Milestones!$AA$65)&lt;=AsOfDate,IF($Q121=0,$W121,IF(AND($S121&lt;&gt;"",EDATE($D121,Milestones!$AA$65)&gt;=$S121),$V121,IF(AND($R121&lt;&gt;"",EDATE($D121,Milestones!$AA$65)&gt;=$R121),$U121,$T121)))=Milestones!$AB$65),TEXT(EDATE($D121,Milestones!$AA$65),"dd/mm/yy")&amp;" "&amp;Milestones!$AB$65&amp;" "&amp;Milestones!$AC$65&amp;";  ","")&amp;IF(AND(EDATE($D121,Milestones!$AA$66)&lt;=AsOfDate,IF($Q121=0,$W121,IF(AND($S121&lt;&gt;"",EDATE($D121,Milestones!$AA$66)&gt;=$S121),$V121,IF(AND($R121&lt;&gt;"",EDATE($D121,Milestones!$AA$66)&gt;=$R121),$U121,$T121)))=Milestones!$AB$66),TEXT(EDATE($D121,Milestones!$AA$66),"dd/mm/yy")&amp;" "&amp;Milestones!$AB$66&amp;" "&amp;Milestones!$AC$66&amp;";  ","")&amp;IF(AND(EDATE($D121,Milestones!$AA$67)&lt;=AsOfDate,IF($Q121=0,$W121,IF(AND($S121&lt;&gt;"",EDATE($D121,Milestones!$AA$67)&gt;=$S121),$V121,IF(AND($R121&lt;&gt;"",EDATE($D121,Milestones!$AA$67)&gt;=$R121),$U121,$T121)))=Milestones!$AB$67),TEXT(EDATE($D121,Milestones!$AA$67),"dd/mm/yy")&amp;" "&amp;Milestones!$AB$67&amp;" "&amp;Milestones!$AC$67&amp;";  ","")&amp;IF(AND(EDATE($D121,Milestones!$AA$68)&lt;=AsOfDate,IF($Q121=0,$W121,IF(AND($S121&lt;&gt;"",EDATE($D121,Milestones!$AA$68)&gt;=$S121),$V121,IF(AND($R121&lt;&gt;"",EDATE($D121,Milestones!$AA$68)&gt;=$R121),$U121,$T121)))=Milestones!$AB$68),TEXT(EDATE($D121,Milestones!$AA$68),"dd/mm/yy")&amp;" "&amp;Milestones!$AB$68&amp;" "&amp;Milestones!$AC$68&amp;";  ","")&amp;IF(AND(EDATE($D121,Milestones!$AA$69)&lt;=AsOfDate,IF($Q121=0,$W121,IF(AND($S121&lt;&gt;"",EDATE($D121,Milestones!$AA$69)&gt;=$S121),$V121,IF(AND($R121&lt;&gt;"",EDATE($D121,Milestones!$AA$69)&gt;=$R121),$U121,$T121)))=Milestones!$AB$69),TEXT(EDATE($D121,Milestones!$AA$69),"dd/mm/yy")&amp;" "&amp;Milestones!$AB$69&amp;" "&amp;Milestones!$AC$69&amp;";  ","")&amp;IF(AND(EDATE($D121,Milestones!$AA$70)&lt;=AsOfDate,IF($Q121=0,$W121,IF(AND($S121&lt;&gt;"",EDATE($D121,Milestones!$AA$70)&gt;=$S121),$V121,IF(AND($R121&lt;&gt;"",EDATE($D121,Milestones!$AA$70)&gt;=$R121),$U121,$T121)))=Milestones!$AB$70),TEXT(EDATE($D121,Milestones!$AA$70),"dd/mm/yy")&amp;" "&amp;Milestones!$AB$70&amp;" "&amp;Milestones!$AC$70&amp;";  ","")&amp;IF(AND(EDATE($D121,Milestones!$AA$71)&lt;=AsOfDate,IF($Q121=0,$W121,IF(AND($S121&lt;&gt;"",EDATE($D121,Milestones!$AA$71)&gt;=$S121),$V121,IF(AND($R121&lt;&gt;"",EDATE($D121,Milestones!$AA$71)&gt;=$R121),$U121,$T121)))=Milestones!$AB$71),TEXT(EDATE($D121,Milestones!$AA$71),"dd/mm/yy")&amp;" "&amp;Milestones!$AB$71&amp;" "&amp;Milestones!$AC$71&amp;";  ","")&amp;IF(AND(EDATE($D121,Milestones!$AA$72)&lt;=AsOfDate,IF($Q121=0,$W121,IF(AND($S121&lt;&gt;"",EDATE($D121,Milestones!$AA$72)&gt;=$S121),$V121,IF(AND($R121&lt;&gt;"",EDATE($D121,Milestones!$AA$72)&gt;=$R121),$U121,$T121)))=Milestones!$AB$72),TEXT(EDATE($D121,Milestones!$AA$72),"dd/mm/yy")&amp;" "&amp;Milestones!$AB$72&amp;" "&amp;Milestones!$AC$72&amp;";  ","")&amp;IF(AND(EDATE($D121,Milestones!$AA$73)&lt;=AsOfDate,IF($Q121=0,$W121,IF(AND($S121&lt;&gt;"",EDATE($D121,Milestones!$AA$73)&gt;=$S121),$V121,IF(AND($R121&lt;&gt;"",EDATE($D121,Milestones!$AA$73)&gt;=$R121),$U121,$T121)))=Milestones!$AB$73),TEXT(EDATE($D121,Milestones!$AA$73),"dd/mm/yy")&amp;" "&amp;Milestones!$AB$73&amp;" "&amp;Milestones!$AC$73&amp;";  ","")&amp;IF(AND(EDATE($D121,Milestones!$AA$74)&lt;=AsOfDate,IF($Q121=0,$W121,IF(AND($S121&lt;&gt;"",EDATE($D121,Milestones!$AA$74)&gt;=$S121),$V121,IF(AND($R121&lt;&gt;"",EDATE($D121,Milestones!$AA$74)&gt;=$R121),$U121,$T121)))=Milestones!$AB$74),TEXT(EDATE($D121,Milestones!$AA$74),"dd/mm/yy")&amp;" "&amp;Milestones!$AB$74&amp;" "&amp;Milestones!$AC$74&amp;";  ","")&amp;IF(AND(EDATE($D121,Milestones!$AA$75)&lt;=AsOfDate,IF($Q121=0,$W121,IF(AND($S121&lt;&gt;"",EDATE($D121,Milestones!$AA$75)&gt;=$S121),$V121,IF(AND($R121&lt;&gt;"",EDATE($D121,Milestones!$AA$75)&gt;=$R121),$U121,$T121)))=Milestones!$AB$75),TEXT(EDATE($D121,Milestones!$AA$75),"dd/mm/yy")&amp;" "&amp;Milestones!$AB$75&amp;" "&amp;Milestones!$AC$75&amp;";  ","")&amp;IF(AND(EDATE($D121,Milestones!$AA$76)&lt;=AsOfDate,IF($Q121=0,$W121,IF(AND($S121&lt;&gt;"",EDATE($D121,Milestones!$AA$76)&gt;=$S121),$V121,IF(AND($R121&lt;&gt;"",EDATE($D121,Milestones!$AA$76)&gt;=$R121),$U121,$T121)))=Milestones!$AB$76),TEXT(EDATE($D121,Milestones!$AA$76),"dd/mm/yy")&amp;" "&amp;Milestones!$AB$76&amp;" "&amp;Milestones!$AC$76&amp;";  ","")&amp;IF(AND(EDATE($D121,Milestones!$AA$77)&lt;=AsOfDate,IF($Q121=0,$W121,IF(AND($S121&lt;&gt;"",EDATE($D121,Milestones!$AA$77)&gt;=$S121),$V121,IF(AND($R121&lt;&gt;"",EDATE($D121,Milestones!$AA$77)&gt;=$R121),$U121,$T121)))=Milestones!$AB$77),TEXT(EDATE($D121,Milestones!$AA$77),"dd/mm/yy")&amp;" "&amp;Milestones!$AB$77&amp;" "&amp;Milestones!$AC$77&amp;";  ","")&amp;IF(AND(EDATE($D121,Milestones!$AA$78)&lt;=AsOfDate,IF($Q121=0,$W121,IF(AND($S121&lt;&gt;"",EDATE($D121,Milestones!$AA$78)&gt;=$S121),$V121,IF(AND($R121&lt;&gt;"",EDATE($D121,Milestones!$AA$78)&gt;=$R121),$U121,$T121)))=Milestones!$AB$78),TEXT(EDATE($D121,Milestones!$AA$78),"dd/mm/yy")&amp;" "&amp;Milestones!$AB$78&amp;" "&amp;Milestones!$AC$78&amp;";  ","")&amp;IF(AND(EDATE($D121,Milestones!$AA$79)&lt;=AsOfDate,IF($Q121=0,$W121,IF(AND($S121&lt;&gt;"",EDATE($D121,Milestones!$AA$79)&gt;=$S121),$V121,IF(AND($R121&lt;&gt;"",EDATE($D121,Milestones!$AA$79)&gt;=$R121),$U121,$T121)))=Milestones!$AB$79),TEXT(EDATE($D121,Milestones!$AA$79),"dd/mm/yy")&amp;" "&amp;Milestones!$AB$79&amp;" "&amp;Milestones!$AC$79&amp;";  ",""))</f>
        <v/>
      </c>
      <c r="K121" s="0" t="str">
        <f aca="false">IF(OR($A121="",$D121=""),"",IF(AND(EDATE($D121,Milestones!$AA$80)&lt;=AsOfDate,IF($Q121=0,$W121,IF(AND($S121&lt;&gt;"",EDATE($D121,Milestones!$AA$80)&gt;=$S121),$V121,IF(AND($R121&lt;&gt;"",EDATE($D121,Milestones!$AA$80)&gt;=$R121),$U121,$T121)))=Milestones!$AB$80),TEXT(EDATE($D121,Milestones!$AA$80),"dd/mm/yy")&amp;" "&amp;Milestones!$AB$80&amp;" "&amp;Milestones!$AC$80&amp;";  ","")&amp;IF(AND(EDATE($D121,Milestones!$AA$81)&lt;=AsOfDate,IF($Q121=0,$W121,IF(AND($S121&lt;&gt;"",EDATE($D121,Milestones!$AA$81)&gt;=$S121),$V121,IF(AND($R121&lt;&gt;"",EDATE($D121,Milestones!$AA$81)&gt;=$R121),$U121,$T121)))=Milestones!$AB$81),TEXT(EDATE($D121,Milestones!$AA$81),"dd/mm/yy")&amp;" "&amp;Milestones!$AB$81&amp;" "&amp;Milestones!$AC$81&amp;";  ","")&amp;IF(AND(EDATE($D121,Milestones!$AA$82)&lt;=AsOfDate,IF($Q121=0,$W121,IF(AND($S121&lt;&gt;"",EDATE($D121,Milestones!$AA$82)&gt;=$S121),$V121,IF(AND($R121&lt;&gt;"",EDATE($D121,Milestones!$AA$82)&gt;=$R121),$U121,$T121)))=Milestones!$AB$82),TEXT(EDATE($D121,Milestones!$AA$82),"dd/mm/yy")&amp;" "&amp;Milestones!$AB$82&amp;" "&amp;Milestones!$AC$82&amp;";  ","")&amp;IF(AND(EDATE($D121,Milestones!$AA$83)&lt;=AsOfDate,IF($Q121=0,$W121,IF(AND($S121&lt;&gt;"",EDATE($D121,Milestones!$AA$83)&gt;=$S121),$V121,IF(AND($R121&lt;&gt;"",EDATE($D121,Milestones!$AA$83)&gt;=$R121),$U121,$T121)))=Milestones!$AB$83),TEXT(EDATE($D121,Milestones!$AA$83),"dd/mm/yy")&amp;" "&amp;Milestones!$AB$83&amp;" "&amp;Milestones!$AC$83&amp;";  ","")&amp;IF(AND(EDATE($D121,Milestones!$AA$84)&lt;=AsOfDate,IF($Q121=0,$W121,IF(AND($S121&lt;&gt;"",EDATE($D121,Milestones!$AA$84)&gt;=$S121),$V121,IF(AND($R121&lt;&gt;"",EDATE($D121,Milestones!$AA$84)&gt;=$R121),$U121,$T121)))=Milestones!$AB$84),TEXT(EDATE($D121,Milestones!$AA$84),"dd/mm/yy")&amp;" "&amp;Milestones!$AB$84&amp;" "&amp;Milestones!$AC$84&amp;";  ","")&amp;IF(AND(EDATE($D121,Milestones!$AA$85)&lt;=AsOfDate,IF($Q121=0,$W121,IF(AND($S121&lt;&gt;"",EDATE($D121,Milestones!$AA$85)&gt;=$S121),$V121,IF(AND($R121&lt;&gt;"",EDATE($D121,Milestones!$AA$85)&gt;=$R121),$U121,$T121)))=Milestones!$AB$85),TEXT(EDATE($D121,Milestones!$AA$85),"dd/mm/yy")&amp;" "&amp;Milestones!$AB$85&amp;" "&amp;Milestones!$AC$85&amp;";  ","")&amp;IF(AND(EDATE($D121,Milestones!$AA$86)&lt;=AsOfDate,IF($Q121=0,$W121,IF(AND($S121&lt;&gt;"",EDATE($D121,Milestones!$AA$86)&gt;=$S121),$V121,IF(AND($R121&lt;&gt;"",EDATE($D121,Milestones!$AA$86)&gt;=$R121),$U121,$T121)))=Milestones!$AB$86),TEXT(EDATE($D121,Milestones!$AA$86),"dd/mm/yy")&amp;" "&amp;Milestones!$AB$86&amp;" "&amp;Milestones!$AC$86&amp;";  ","")&amp;IF(AND(EDATE($D121,Milestones!$AA$87)&lt;=AsOfDate,IF($Q121=0,$W121,IF(AND($S121&lt;&gt;"",EDATE($D121,Milestones!$AA$87)&gt;=$S121),$V121,IF(AND($R121&lt;&gt;"",EDATE($D121,Milestones!$AA$87)&gt;=$R121),$U121,$T121)))=Milestones!$AB$87),TEXT(EDATE($D121,Milestones!$AA$87),"dd/mm/yy")&amp;" "&amp;Milestones!$AB$87&amp;" "&amp;Milestones!$AC$87&amp;";  ","")&amp;IF(AND(EDATE($D121,Milestones!$AA$88)&lt;=AsOfDate,IF($Q121=0,$W121,IF(AND($S121&lt;&gt;"",EDATE($D121,Milestones!$AA$88)&gt;=$S121),$V121,IF(AND($R121&lt;&gt;"",EDATE($D121,Milestones!$AA$88)&gt;=$R121),$U121,$T121)))=Milestones!$AB$88),TEXT(EDATE($D121,Milestones!$AA$88),"dd/mm/yy")&amp;" "&amp;Milestones!$AB$88&amp;" "&amp;Milestones!$AC$88&amp;";  ","")&amp;IF(AND(EDATE($D121,Milestones!$AA$89)&lt;=AsOfDate,IF($Q121=0,$W121,IF(AND($S121&lt;&gt;"",EDATE($D121,Milestones!$AA$89)&gt;=$S121),$V121,IF(AND($R121&lt;&gt;"",EDATE($D121,Milestones!$AA$89)&gt;=$R121),$U121,$T121)))=Milestones!$AB$89),TEXT(EDATE($D121,Milestones!$AA$89),"dd/mm/yy")&amp;" "&amp;Milestones!$AB$89&amp;" "&amp;Milestones!$AC$89&amp;";  ","")&amp;IF(AND(EDATE($D121,Milestones!$AA$90)&lt;=AsOfDate,IF($Q121=0,$W121,IF(AND($S121&lt;&gt;"",EDATE($D121,Milestones!$AA$90)&gt;=$S121),$V121,IF(AND($R121&lt;&gt;"",EDATE($D121,Milestones!$AA$90)&gt;=$R121),$U121,$T121)))=Milestones!$AB$90),TEXT(EDATE($D121,Milestones!$AA$90),"dd/mm/yy")&amp;" "&amp;Milestones!$AB$90&amp;" "&amp;Milestones!$AC$90&amp;";  ","")&amp;IF(AND(EDATE($D121,Milestones!$AA$91)&lt;=AsOfDate,IF($Q121=0,$W121,IF(AND($S121&lt;&gt;"",EDATE($D121,Milestones!$AA$91)&gt;=$S121),$V121,IF(AND($R121&lt;&gt;"",EDATE($D121,Milestones!$AA$91)&gt;=$R121),$U121,$T121)))=Milestones!$AB$91),TEXT(EDATE($D121,Milestones!$AA$91),"dd/mm/yy")&amp;" "&amp;Milestones!$AB$91&amp;" "&amp;Milestones!$AC$91&amp;";  ","")&amp;IF(AND(EDATE($D121,Milestones!$AA$92)&lt;=AsOfDate,IF($Q121=0,$W121,IF(AND($S121&lt;&gt;"",EDATE($D121,Milestones!$AA$92)&gt;=$S121),$V121,IF(AND($R121&lt;&gt;"",EDATE($D121,Milestones!$AA$92)&gt;=$R121),$U121,$T121)))=Milestones!$AB$92),TEXT(EDATE($D121,Milestones!$AA$92),"dd/mm/yy")&amp;" "&amp;Milestones!$AB$92&amp;" "&amp;Milestones!$AC$92&amp;";  ","")&amp;IF(AND(EDATE($D121,Milestones!$AA$93)&lt;=AsOfDate,IF($Q121=0,$W121,IF(AND($S121&lt;&gt;"",EDATE($D121,Milestones!$AA$93)&gt;=$S121),$V121,IF(AND($R121&lt;&gt;"",EDATE($D121,Milestones!$AA$93)&gt;=$R121),$U121,$T121)))=Milestones!$AB$93),TEXT(EDATE($D121,Milestones!$AA$93),"dd/mm/yy")&amp;" "&amp;Milestones!$AB$93&amp;" "&amp;Milestones!$AC$93&amp;";  ","")&amp;IF(AND(EDATE($D121,Milestones!$AA$94)&lt;=AsOfDate,IF($Q121=0,$W121,IF(AND($S121&lt;&gt;"",EDATE($D121,Milestones!$AA$94)&gt;=$S121),$V121,IF(AND($R121&lt;&gt;"",EDATE($D121,Milestones!$AA$94)&gt;=$R121),$U121,$T121)))=Milestones!$AB$94),TEXT(EDATE($D121,Milestones!$AA$94),"dd/mm/yy")&amp;" "&amp;Milestones!$AB$94&amp;" "&amp;Milestones!$AC$94&amp;";  ","")&amp;IF(AND(EDATE($D121,Milestones!$AA$95)&lt;=AsOfDate,IF($Q121=0,$W121,IF(AND($S121&lt;&gt;"",EDATE($D121,Milestones!$AA$95)&gt;=$S121),$V121,IF(AND($R121&lt;&gt;"",EDATE($D121,Milestones!$AA$95)&gt;=$R121),$U121,$T121)))=Milestones!$AB$95),TEXT(EDATE($D121,Milestones!$AA$95),"dd/mm/yy")&amp;" "&amp;Milestones!$AB$95&amp;" "&amp;Milestones!$AC$95&amp;";  ","")&amp;IF(AND(EDATE($D121,Milestones!$AA$96)&lt;=AsOfDate,IF($Q121=0,$W121,IF(AND($S121&lt;&gt;"",EDATE($D121,Milestones!$AA$96)&gt;=$S121),$V121,IF(AND($R121&lt;&gt;"",EDATE($D121,Milestones!$AA$96)&gt;=$R121),$U121,$T121)))=Milestones!$AB$96),TEXT(EDATE($D121,Milestones!$AA$96),"dd/mm/yy")&amp;" "&amp;Milestones!$AB$96&amp;" "&amp;Milestones!$AC$96&amp;";  ","")&amp;IF(AND(EDATE($D121,Milestones!$AA$97)&lt;=AsOfDate,IF($Q121=0,$W121,IF(AND($S121&lt;&gt;"",EDATE($D121,Milestones!$AA$97)&gt;=$S121),$V121,IF(AND($R121&lt;&gt;"",EDATE($D121,Milestones!$AA$97)&gt;=$R121),$U121,$T121)))=Milestones!$AB$97),TEXT(EDATE($D121,Milestones!$AA$97),"dd/mm/yy")&amp;" "&amp;Milestones!$AB$97&amp;" "&amp;Milestones!$AC$97&amp;";  ","")&amp;IF(AND(EDATE($D121,Milestones!$AA$98)&lt;=AsOfDate,IF($Q121=0,$W121,IF(AND($S121&lt;&gt;"",EDATE($D121,Milestones!$AA$98)&gt;=$S121),$V121,IF(AND($R121&lt;&gt;"",EDATE($D121,Milestones!$AA$98)&gt;=$R121),$U121,$T121)))=Milestones!$AB$98),TEXT(EDATE($D121,Milestones!$AA$98),"dd/mm/yy")&amp;" "&amp;Milestones!$AB$98&amp;" "&amp;Milestones!$AC$98&amp;";  ","")&amp;IF(AND(EDATE($D121,Milestones!$AA$99)&lt;=AsOfDate,IF($Q121=0,$W121,IF(AND($S121&lt;&gt;"",EDATE($D121,Milestones!$AA$99)&gt;=$S121),$V121,IF(AND($R121&lt;&gt;"",EDATE($D121,Milestones!$AA$99)&gt;=$R121),$U121,$T121)))=Milestones!$AB$99),TEXT(EDATE($D121,Milestones!$AA$99),"dd/mm/yy")&amp;" "&amp;Milestones!$AB$99&amp;" "&amp;Milestones!$AC$99&amp;";  ",""))</f>
        <v/>
      </c>
      <c r="L121" s="0" t="str">
        <f aca="false">IF(OR($A121="",$D121=""),"",IF(AND(EDATE($D121,Milestones!$AA$100)&lt;=AsOfDate,IF($Q121=0,$W121,IF(AND($S121&lt;&gt;"",EDATE($D121,Milestones!$AA$100)&gt;=$S121),$V121,IF(AND($R121&lt;&gt;"",EDATE($D121,Milestones!$AA$100)&gt;=$R121),$U121,$T121)))=Milestones!$AB$100),TEXT(EDATE($D121,Milestones!$AA$100),"dd/mm/yy")&amp;" "&amp;Milestones!$AB$100&amp;" "&amp;Milestones!$AC$100&amp;";  ","")&amp;IF(AND(EDATE($D121,Milestones!$AA$101)&lt;=AsOfDate,IF($Q121=0,$W121,IF(AND($S121&lt;&gt;"",EDATE($D121,Milestones!$AA$101)&gt;=$S121),$V121,IF(AND($R121&lt;&gt;"",EDATE($D121,Milestones!$AA$101)&gt;=$R121),$U121,$T121)))=Milestones!$AB$101),TEXT(EDATE($D121,Milestones!$AA$101),"dd/mm/yy")&amp;" "&amp;Milestones!$AB$101&amp;" "&amp;Milestones!$AC$101&amp;";  ","")&amp;IF(AND(EDATE($D121,Milestones!$AA$102)&lt;=AsOfDate,IF($Q121=0,$W121,IF(AND($S121&lt;&gt;"",EDATE($D121,Milestones!$AA$102)&gt;=$S121),$V121,IF(AND($R121&lt;&gt;"",EDATE($D121,Milestones!$AA$102)&gt;=$R121),$U121,$T121)))=Milestones!$AB$102),TEXT(EDATE($D121,Milestones!$AA$102),"dd/mm/yy")&amp;" "&amp;Milestones!$AB$102&amp;" "&amp;Milestones!$AC$102&amp;";  ","")&amp;IF(AND(EDATE($D121,Milestones!$AA$103)&lt;=AsOfDate,IF($Q121=0,$W121,IF(AND($S121&lt;&gt;"",EDATE($D121,Milestones!$AA$103)&gt;=$S121),$V121,IF(AND($R121&lt;&gt;"",EDATE($D121,Milestones!$AA$103)&gt;=$R121),$U121,$T121)))=Milestones!$AB$103),TEXT(EDATE($D121,Milestones!$AA$103),"dd/mm/yy")&amp;" "&amp;Milestones!$AB$103&amp;" "&amp;Milestones!$AC$103&amp;";  ","")&amp;IF(AND(EDATE($D121,Milestones!$AA$104)&lt;=AsOfDate,IF($Q121=0,$W121,IF(AND($S121&lt;&gt;"",EDATE($D121,Milestones!$AA$104)&gt;=$S121),$V121,IF(AND($R121&lt;&gt;"",EDATE($D121,Milestones!$AA$104)&gt;=$R121),$U121,$T121)))=Milestones!$AB$104),TEXT(EDATE($D121,Milestones!$AA$104),"dd/mm/yy")&amp;" "&amp;Milestones!$AB$104&amp;" "&amp;Milestones!$AC$104&amp;";  ","")&amp;IF(AND(EDATE($D121,Milestones!$AA$105)&lt;=AsOfDate,IF($Q121=0,$W121,IF(AND($S121&lt;&gt;"",EDATE($D121,Milestones!$AA$105)&gt;=$S121),$V121,IF(AND($R121&lt;&gt;"",EDATE($D121,Milestones!$AA$105)&gt;=$R121),$U121,$T121)))=Milestones!$AB$105),TEXT(EDATE($D121,Milestones!$AA$105),"dd/mm/yy")&amp;" "&amp;Milestones!$AB$105&amp;" "&amp;Milestones!$AC$105&amp;";  ","")&amp;IF(AND(EDATE($D121,Milestones!$AA$106)&lt;=AsOfDate,IF($Q121=0,$W121,IF(AND($S121&lt;&gt;"",EDATE($D121,Milestones!$AA$106)&gt;=$S121),$V121,IF(AND($R121&lt;&gt;"",EDATE($D121,Milestones!$AA$106)&gt;=$R121),$U121,$T121)))=Milestones!$AB$106),TEXT(EDATE($D121,Milestones!$AA$106),"dd/mm/yy")&amp;" "&amp;Milestones!$AB$106&amp;" "&amp;Milestones!$AC$106&amp;";  ","")&amp;IF(AND(EDATE($D121,Milestones!$AA$107)&lt;=AsOfDate,IF($Q121=0,$W121,IF(AND($S121&lt;&gt;"",EDATE($D121,Milestones!$AA$107)&gt;=$S121),$V121,IF(AND($R121&lt;&gt;"",EDATE($D121,Milestones!$AA$107)&gt;=$R121),$U121,$T121)))=Milestones!$AB$107),TEXT(EDATE($D121,Milestones!$AA$107),"dd/mm/yy")&amp;" "&amp;Milestones!$AB$107&amp;" "&amp;Milestones!$AC$107&amp;";  ","")&amp;IF(AND(EDATE($D121,Milestones!$AA$108)&lt;=AsOfDate,IF($Q121=0,$W121,IF(AND($S121&lt;&gt;"",EDATE($D121,Milestones!$AA$108)&gt;=$S121),$V121,IF(AND($R121&lt;&gt;"",EDATE($D121,Milestones!$AA$108)&gt;=$R121),$U121,$T121)))=Milestones!$AB$108),TEXT(EDATE($D121,Milestones!$AA$108),"dd/mm/yy")&amp;" "&amp;Milestones!$AB$108&amp;" "&amp;Milestones!$AC$108&amp;";  ","")&amp;IF(AND(EDATE($D121,Milestones!$AA$109)&lt;=AsOfDate,IF($Q121=0,$W121,IF(AND($S121&lt;&gt;"",EDATE($D121,Milestones!$AA$109)&gt;=$S121),$V121,IF(AND($R121&lt;&gt;"",EDATE($D121,Milestones!$AA$109)&gt;=$R121),$U121,$T121)))=Milestones!$AB$109),TEXT(EDATE($D121,Milestones!$AA$109),"dd/mm/yy")&amp;" "&amp;Milestones!$AB$109&amp;" "&amp;Milestones!$AC$109&amp;";  ","")&amp;IF(AND(EDATE($D121,Milestones!$AA$110)&lt;=AsOfDate,IF($Q121=0,$W121,IF(AND($S121&lt;&gt;"",EDATE($D121,Milestones!$AA$110)&gt;=$S121),$V121,IF(AND($R121&lt;&gt;"",EDATE($D121,Milestones!$AA$110)&gt;=$R121),$U121,$T121)))=Milestones!$AB$110),TEXT(EDATE($D121,Milestones!$AA$110),"dd/mm/yy")&amp;" "&amp;Milestones!$AB$110&amp;" "&amp;Milestones!$AC$110&amp;";  ","")&amp;IF(AND(EDATE($D121,Milestones!$AA$111)&lt;=AsOfDate,IF($Q121=0,$W121,IF(AND($S121&lt;&gt;"",EDATE($D121,Milestones!$AA$111)&gt;=$S121),$V121,IF(AND($R121&lt;&gt;"",EDATE($D121,Milestones!$AA$111)&gt;=$R121),$U121,$T121)))=Milestones!$AB$111),TEXT(EDATE($D121,Milestones!$AA$111),"dd/mm/yy")&amp;" "&amp;Milestones!$AB$111&amp;" "&amp;Milestones!$AC$111&amp;";  ","")&amp;IF(AND(EDATE($D121,Milestones!$AA$112)&lt;=AsOfDate,IF($Q121=0,$W121,IF(AND($S121&lt;&gt;"",EDATE($D121,Milestones!$AA$112)&gt;=$S121),$V121,IF(AND($R121&lt;&gt;"",EDATE($D121,Milestones!$AA$112)&gt;=$R121),$U121,$T121)))=Milestones!$AB$112),TEXT(EDATE($D121,Milestones!$AA$112),"dd/mm/yy")&amp;" "&amp;Milestones!$AB$112&amp;" "&amp;Milestones!$AC$112&amp;";  ","")&amp;IF(AND(EDATE($D121,Milestones!$AA$113)&lt;=AsOfDate,IF($Q121=0,$W121,IF(AND($S121&lt;&gt;"",EDATE($D121,Milestones!$AA$113)&gt;=$S121),$V121,IF(AND($R121&lt;&gt;"",EDATE($D121,Milestones!$AA$113)&gt;=$R121),$U121,$T121)))=Milestones!$AB$113),TEXT(EDATE($D121,Milestones!$AA$113),"dd/mm/yy")&amp;" "&amp;Milestones!$AB$113&amp;" "&amp;Milestones!$AC$113&amp;";  ","")&amp;IF(AND(EDATE($D121,Milestones!$AA$114)&lt;=AsOfDate,IF($Q121=0,$W121,IF(AND($S121&lt;&gt;"",EDATE($D121,Milestones!$AA$114)&gt;=$S121),$V121,IF(AND($R121&lt;&gt;"",EDATE($D121,Milestones!$AA$114)&gt;=$R121),$U121,$T121)))=Milestones!$AB$114),TEXT(EDATE($D121,Milestones!$AA$114),"dd/mm/yy")&amp;" "&amp;Milestones!$AB$114&amp;" "&amp;Milestones!$AC$114&amp;";  ","")&amp;IF(AND(EDATE($D121,Milestones!$AA$115)&lt;=AsOfDate,IF($Q121=0,$W121,IF(AND($S121&lt;&gt;"",EDATE($D121,Milestones!$AA$115)&gt;=$S121),$V121,IF(AND($R121&lt;&gt;"",EDATE($D121,Milestones!$AA$115)&gt;=$R121),$U121,$T121)))=Milestones!$AB$115),TEXT(EDATE($D121,Milestones!$AA$115),"dd/mm/yy")&amp;" "&amp;Milestones!$AB$115&amp;" "&amp;Milestones!$AC$115&amp;";  ","")&amp;IF(AND(EDATE($D121,Milestones!$AA$116)&lt;=AsOfDate,IF($Q121=0,$W121,IF(AND($S121&lt;&gt;"",EDATE($D121,Milestones!$AA$116)&gt;=$S121),$V121,IF(AND($R121&lt;&gt;"",EDATE($D121,Milestones!$AA$116)&gt;=$R121),$U121,$T121)))=Milestones!$AB$116),TEXT(EDATE($D121,Milestones!$AA$116),"dd/mm/yy")&amp;" "&amp;Milestones!$AB$116&amp;" "&amp;Milestones!$AC$116&amp;";  ","")&amp;IF(AND(EDATE($D121,Milestones!$AA$117)&lt;=AsOfDate,IF($Q121=0,$W121,IF(AND($S121&lt;&gt;"",EDATE($D121,Milestones!$AA$117)&gt;=$S121),$V121,IF(AND($R121&lt;&gt;"",EDATE($D121,Milestones!$AA$117)&gt;=$R121),$U121,$T121)))=Milestones!$AB$117),TEXT(EDATE($D121,Milestones!$AA$117),"dd/mm/yy")&amp;" "&amp;Milestones!$AB$117&amp;" "&amp;Milestones!$AC$117&amp;";  ","")&amp;IF(AND(EDATE($D121,Milestones!$AA$118)&lt;=AsOfDate,IF($Q121=0,$W121,IF(AND($S121&lt;&gt;"",EDATE($D121,Milestones!$AA$118)&gt;=$S121),$V121,IF(AND($R121&lt;&gt;"",EDATE($D121,Milestones!$AA$118)&gt;=$R121),$U121,$T121)))=Milestones!$AB$118),TEXT(EDATE($D121,Milestones!$AA$118),"dd/mm/yy")&amp;" "&amp;Milestones!$AB$118&amp;" "&amp;Milestones!$AC$118&amp;";  ","")&amp;IF(AND(EDATE($D121,Milestones!$AA$119)&lt;=AsOfDate,IF($Q121=0,$W121,IF(AND($S121&lt;&gt;"",EDATE($D121,Milestones!$AA$119)&gt;=$S121),$V121,IF(AND($R121&lt;&gt;"",EDATE($D121,Milestones!$AA$119)&gt;=$R121),$U121,$T121)))=Milestones!$AB$119),TEXT(EDATE($D121,Milestones!$AA$119),"dd/mm/yy")&amp;" "&amp;Milestones!$AB$119&amp;" "&amp;Milestones!$AC$119&amp;";  ",""))</f>
        <v/>
      </c>
      <c r="M121" s="0" t="str">
        <f aca="false">IF(OR($A121="",$D121=""),"",IF(AND(EDATE($D121,Milestones!$AA$120)&lt;=AsOfDate,IF($Q121=0,$W121,IF(AND($S121&lt;&gt;"",EDATE($D121,Milestones!$AA$120)&gt;=$S121),$V121,IF(AND($R121&lt;&gt;"",EDATE($D121,Milestones!$AA$120)&gt;=$R121),$U121,$T121)))=Milestones!$AB$120),TEXT(EDATE($D121,Milestones!$AA$120),"dd/mm/yy")&amp;" "&amp;Milestones!$AB$120&amp;" "&amp;Milestones!$AC$120&amp;";  ","")&amp;IF(AND(EDATE($D121,Milestones!$AA$121)&lt;=AsOfDate,IF($Q121=0,$W121,IF(AND($S121&lt;&gt;"",EDATE($D121,Milestones!$AA$121)&gt;=$S121),$V121,IF(AND($R121&lt;&gt;"",EDATE($D121,Milestones!$AA$121)&gt;=$R121),$U121,$T121)))=Milestones!$AB$121),TEXT(EDATE($D121,Milestones!$AA$121),"dd/mm/yy")&amp;" "&amp;Milestones!$AB$121&amp;" "&amp;Milestones!$AC$121&amp;";  ","")&amp;IF(AND(EDATE($D121,Milestones!$AA$122)&lt;=AsOfDate,IF($Q121=0,$W121,IF(AND($S121&lt;&gt;"",EDATE($D121,Milestones!$AA$122)&gt;=$S121),$V121,IF(AND($R121&lt;&gt;"",EDATE($D121,Milestones!$AA$122)&gt;=$R121),$U121,$T121)))=Milestones!$AB$122),TEXT(EDATE($D121,Milestones!$AA$122),"dd/mm/yy")&amp;" "&amp;Milestones!$AB$122&amp;" "&amp;Milestones!$AC$122&amp;";  ","")&amp;IF(AND(EDATE($D121,Milestones!$AA$123)&lt;=AsOfDate,IF($Q121=0,$W121,IF(AND($S121&lt;&gt;"",EDATE($D121,Milestones!$AA$123)&gt;=$S121),$V121,IF(AND($R121&lt;&gt;"",EDATE($D121,Milestones!$AA$123)&gt;=$R121),$U121,$T121)))=Milestones!$AB$123),TEXT(EDATE($D121,Milestones!$AA$123),"dd/mm/yy")&amp;" "&amp;Milestones!$AB$123&amp;" "&amp;Milestones!$AC$123&amp;";  ","")&amp;IF(AND(EDATE($D121,Milestones!$AA$124)&lt;=AsOfDate,IF($Q121=0,$W121,IF(AND($S121&lt;&gt;"",EDATE($D121,Milestones!$AA$124)&gt;=$S121),$V121,IF(AND($R121&lt;&gt;"",EDATE($D121,Milestones!$AA$124)&gt;=$R121),$U121,$T121)))=Milestones!$AB$124),TEXT(EDATE($D121,Milestones!$AA$124),"dd/mm/yy")&amp;" "&amp;Milestones!$AB$124&amp;" "&amp;Milestones!$AC$124&amp;";  ","")&amp;IF(AND(EDATE($D121,Milestones!$AA$125)&lt;=AsOfDate,IF($Q121=0,$W121,IF(AND($S121&lt;&gt;"",EDATE($D121,Milestones!$AA$125)&gt;=$S121),$V121,IF(AND($R121&lt;&gt;"",EDATE($D121,Milestones!$AA$125)&gt;=$R121),$U121,$T121)))=Milestones!$AB$125),TEXT(EDATE($D121,Milestones!$AA$125),"dd/mm/yy")&amp;" "&amp;Milestones!$AB$125&amp;" "&amp;Milestones!$AC$125&amp;";  ","")&amp;IF(AND(EDATE($D121,Milestones!$AA$126)&lt;=AsOfDate,IF($Q121=0,$W121,IF(AND($S121&lt;&gt;"",EDATE($D121,Milestones!$AA$126)&gt;=$S121),$V121,IF(AND($R121&lt;&gt;"",EDATE($D121,Milestones!$AA$126)&gt;=$R121),$U121,$T121)))=Milestones!$AB$126),TEXT(EDATE($D121,Milestones!$AA$126),"dd/mm/yy")&amp;" "&amp;Milestones!$AB$126&amp;" "&amp;Milestones!$AC$126&amp;";  ","")&amp;IF(AND(EDATE($D121,Milestones!$AA$127)&lt;=AsOfDate,IF($Q121=0,$W121,IF(AND($S121&lt;&gt;"",EDATE($D121,Milestones!$AA$127)&gt;=$S121),$V121,IF(AND($R121&lt;&gt;"",EDATE($D121,Milestones!$AA$127)&gt;=$R121),$U121,$T121)))=Milestones!$AB$127),TEXT(EDATE($D121,Milestones!$AA$127),"dd/mm/yy")&amp;" "&amp;Milestones!$AB$127&amp;" "&amp;Milestones!$AC$127&amp;";  ","")&amp;IF(AND(EDATE($D121,Milestones!$AA$128)&lt;=AsOfDate,IF($Q121=0,$W121,IF(AND($S121&lt;&gt;"",EDATE($D121,Milestones!$AA$128)&gt;=$S121),$V121,IF(AND($R121&lt;&gt;"",EDATE($D121,Milestones!$AA$128)&gt;=$R121),$U121,$T121)))=Milestones!$AB$128),TEXT(EDATE($D121,Milestones!$AA$128),"dd/mm/yy")&amp;" "&amp;Milestones!$AB$128&amp;" "&amp;Milestones!$AC$128&amp;";  ","")&amp;IF(AND(EDATE($D121,Milestones!$AA$129)&lt;=AsOfDate,IF($Q121=0,$W121,IF(AND($S121&lt;&gt;"",EDATE($D121,Milestones!$AA$129)&gt;=$S121),$V121,IF(AND($R121&lt;&gt;"",EDATE($D121,Milestones!$AA$129)&gt;=$R121),$U121,$T121)))=Milestones!$AB$129),TEXT(EDATE($D121,Milestones!$AA$129),"dd/mm/yy")&amp;" "&amp;Milestones!$AB$129&amp;" "&amp;Milestones!$AC$129&amp;";  ","")&amp;IF(AND(EDATE($D121,Milestones!$AA$130)&lt;=AsOfDate,IF($Q121=0,$W121,IF(AND($S121&lt;&gt;"",EDATE($D121,Milestones!$AA$130)&gt;=$S121),$V121,IF(AND($R121&lt;&gt;"",EDATE($D121,Milestones!$AA$130)&gt;=$R121),$U121,$T121)))=Milestones!$AB$130),TEXT(EDATE($D121,Milestones!$AA$130),"dd/mm/yy")&amp;" "&amp;Milestones!$AB$130&amp;" "&amp;Milestones!$AC$130&amp;";  ","")&amp;IF(AND(EDATE($D121,Milestones!$AA$131)&lt;=AsOfDate,IF($Q121=0,$W121,IF(AND($S121&lt;&gt;"",EDATE($D121,Milestones!$AA$131)&gt;=$S121),$V121,IF(AND($R121&lt;&gt;"",EDATE($D121,Milestones!$AA$131)&gt;=$R121),$U121,$T121)))=Milestones!$AB$131),TEXT(EDATE($D121,Milestones!$AA$131),"dd/mm/yy")&amp;" "&amp;Milestones!$AB$131&amp;" "&amp;Milestones!$AC$131&amp;";  ","")&amp;IF(AND(EDATE($D121,Milestones!$AA$132)&lt;=AsOfDate,IF($Q121=0,$W121,IF(AND($S121&lt;&gt;"",EDATE($D121,Milestones!$AA$132)&gt;=$S121),$V121,IF(AND($R121&lt;&gt;"",EDATE($D121,Milestones!$AA$132)&gt;=$R121),$U121,$T121)))=Milestones!$AB$132),TEXT(EDATE($D121,Milestones!$AA$132),"dd/mm/yy")&amp;" "&amp;Milestones!$AB$132&amp;" "&amp;Milestones!$AC$132&amp;";  ","")&amp;IF(AND(EDATE($D121,Milestones!$AA$133)&lt;=AsOfDate,IF($Q121=0,$W121,IF(AND($S121&lt;&gt;"",EDATE($D121,Milestones!$AA$133)&gt;=$S121),$V121,IF(AND($R121&lt;&gt;"",EDATE($D121,Milestones!$AA$133)&gt;=$R121),$U121,$T121)))=Milestones!$AB$133),TEXT(EDATE($D121,Milestones!$AA$133),"dd/mm/yy")&amp;" "&amp;Milestones!$AB$133&amp;" "&amp;Milestones!$AC$133&amp;";  ","")&amp;IF(AND(EDATE($D121,Milestones!$AA$134)&lt;=AsOfDate,IF($Q121=0,$W121,IF(AND($S121&lt;&gt;"",EDATE($D121,Milestones!$AA$134)&gt;=$S121),$V121,IF(AND($R121&lt;&gt;"",EDATE($D121,Milestones!$AA$134)&gt;=$R121),$U121,$T121)))=Milestones!$AB$134),TEXT(EDATE($D121,Milestones!$AA$134),"dd/mm/yy")&amp;" "&amp;Milestones!$AB$134&amp;" "&amp;Milestones!$AC$134&amp;";  ","")&amp;IF(AND(EDATE($D121,Milestones!$AA$135)&lt;=AsOfDate,IF($Q121=0,$W121,IF(AND($S121&lt;&gt;"",EDATE($D121,Milestones!$AA$135)&gt;=$S121),$V121,IF(AND($R121&lt;&gt;"",EDATE($D121,Milestones!$AA$135)&gt;=$R121),$U121,$T121)))=Milestones!$AB$135),TEXT(EDATE($D121,Milestones!$AA$135),"dd/mm/yy")&amp;" "&amp;Milestones!$AB$135&amp;" "&amp;Milestones!$AC$135&amp;";  ","")&amp;IF(AND(EDATE($D121,Milestones!$AA$136)&lt;=AsOfDate,IF($Q121=0,$W121,IF(AND($S121&lt;&gt;"",EDATE($D121,Milestones!$AA$136)&gt;=$S121),$V121,IF(AND($R121&lt;&gt;"",EDATE($D121,Milestones!$AA$136)&gt;=$R121),$U121,$T121)))=Milestones!$AB$136),TEXT(EDATE($D121,Milestones!$AA$136),"dd/mm/yy")&amp;" "&amp;Milestones!$AB$136&amp;" "&amp;Milestones!$AC$136&amp;";  ","")&amp;IF(AND(EDATE($D121,Milestones!$AA$137)&lt;=AsOfDate,IF($Q121=0,$W121,IF(AND($S121&lt;&gt;"",EDATE($D121,Milestones!$AA$137)&gt;=$S121),$V121,IF(AND($R121&lt;&gt;"",EDATE($D121,Milestones!$AA$137)&gt;=$R121),$U121,$T121)))=Milestones!$AB$137),TEXT(EDATE($D121,Milestones!$AA$137),"dd/mm/yy")&amp;" "&amp;Milestones!$AB$137&amp;" "&amp;Milestones!$AC$137&amp;";  ","")&amp;IF(AND(EDATE($D121,Milestones!$AA$138)&lt;=AsOfDate,IF($Q121=0,$W121,IF(AND($S121&lt;&gt;"",EDATE($D121,Milestones!$AA$138)&gt;=$S121),$V121,IF(AND($R121&lt;&gt;"",EDATE($D121,Milestones!$AA$138)&gt;=$R121),$U121,$T121)))=Milestones!$AB$138),TEXT(EDATE($D121,Milestones!$AA$138),"dd/mm/yy")&amp;" "&amp;Milestones!$AB$138&amp;" "&amp;Milestones!$AC$138&amp;";  ","")&amp;IF(AND(EDATE($D121,Milestones!$AA$139)&lt;=AsOfDate,IF($Q121=0,$W121,IF(AND($S121&lt;&gt;"",EDATE($D121,Milestones!$AA$139)&gt;=$S121),$V121,IF(AND($R121&lt;&gt;"",EDATE($D121,Milestones!$AA$139)&gt;=$R121),$U121,$T121)))=Milestones!$AB$139),TEXT(EDATE($D121,Milestones!$AA$139),"dd/mm/yy")&amp;" "&amp;Milestones!$AB$139&amp;" "&amp;Milestones!$AC$139&amp;";  ",""))</f>
        <v/>
      </c>
      <c r="N121" s="0" t="str">
        <f aca="false">IF(OR($A121="",$D121=""),"",IF(AND(EDATE($D121,Milestones!$AA$140)&lt;=AsOfDate,IF($Q121=0,$W121,IF(AND($S121&lt;&gt;"",EDATE($D121,Milestones!$AA$140)&gt;=$S121),$V121,IF(AND($R121&lt;&gt;"",EDATE($D121,Milestones!$AA$140)&gt;=$R121),$U121,$T121)))=Milestones!$AB$140),TEXT(EDATE($D121,Milestones!$AA$140),"dd/mm/yy")&amp;" "&amp;Milestones!$AB$140&amp;" "&amp;Milestones!$AC$140&amp;";  ","")&amp;IF(AND(EDATE($D121,Milestones!$AA$141)&lt;=AsOfDate,IF($Q121=0,$W121,IF(AND($S121&lt;&gt;"",EDATE($D121,Milestones!$AA$141)&gt;=$S121),$V121,IF(AND($R121&lt;&gt;"",EDATE($D121,Milestones!$AA$141)&gt;=$R121),$U121,$T121)))=Milestones!$AB$141),TEXT(EDATE($D121,Milestones!$AA$141),"dd/mm/yy")&amp;" "&amp;Milestones!$AB$141&amp;" "&amp;Milestones!$AC$141&amp;";  ","")&amp;IF(AND(EDATE($D121,Milestones!$AA$142)&lt;=AsOfDate,IF($Q121=0,$W121,IF(AND($S121&lt;&gt;"",EDATE($D121,Milestones!$AA$142)&gt;=$S121),$V121,IF(AND($R121&lt;&gt;"",EDATE($D121,Milestones!$AA$142)&gt;=$R121),$U121,$T121)))=Milestones!$AB$142),TEXT(EDATE($D121,Milestones!$AA$142),"dd/mm/yy")&amp;" "&amp;Milestones!$AB$142&amp;" "&amp;Milestones!$AC$142&amp;";  ","")&amp;IF(AND(EDATE($D121,Milestones!$AA$143)&lt;=AsOfDate,IF($Q121=0,$W121,IF(AND($S121&lt;&gt;"",EDATE($D121,Milestones!$AA$143)&gt;=$S121),$V121,IF(AND($R121&lt;&gt;"",EDATE($D121,Milestones!$AA$143)&gt;=$R121),$U121,$T121)))=Milestones!$AB$143),TEXT(EDATE($D121,Milestones!$AA$143),"dd/mm/yy")&amp;" "&amp;Milestones!$AB$143&amp;" "&amp;Milestones!$AC$143&amp;";  ","")&amp;IF(AND(EDATE($D121,Milestones!$AA$144)&lt;=AsOfDate,IF($Q121=0,$W121,IF(AND($S121&lt;&gt;"",EDATE($D121,Milestones!$AA$144)&gt;=$S121),$V121,IF(AND($R121&lt;&gt;"",EDATE($D121,Milestones!$AA$144)&gt;=$R121),$U121,$T121)))=Milestones!$AB$144),TEXT(EDATE($D121,Milestones!$AA$144),"dd/mm/yy")&amp;" "&amp;Milestones!$AB$144&amp;" "&amp;Milestones!$AC$144&amp;";  ","")&amp;IF(AND(EDATE($D121,Milestones!$AA$145)&lt;=AsOfDate,IF($Q121=0,$W121,IF(AND($S121&lt;&gt;"",EDATE($D121,Milestones!$AA$145)&gt;=$S121),$V121,IF(AND($R121&lt;&gt;"",EDATE($D121,Milestones!$AA$145)&gt;=$R121),$U121,$T121)))=Milestones!$AB$145),TEXT(EDATE($D121,Milestones!$AA$145),"dd/mm/yy")&amp;" "&amp;Milestones!$AB$145&amp;" "&amp;Milestones!$AC$145&amp;";  ","")&amp;IF(AND(EDATE($D121,Milestones!$AA$146)&lt;=AsOfDate,IF($Q121=0,$W121,IF(AND($S121&lt;&gt;"",EDATE($D121,Milestones!$AA$146)&gt;=$S121),$V121,IF(AND($R121&lt;&gt;"",EDATE($D121,Milestones!$AA$146)&gt;=$R121),$U121,$T121)))=Milestones!$AB$146),TEXT(EDATE($D121,Milestones!$AA$146),"dd/mm/yy")&amp;" "&amp;Milestones!$AB$146&amp;" "&amp;Milestones!$AC$146&amp;";  ","")&amp;IF(AND(EDATE($D121,Milestones!$AA$147)&lt;=AsOfDate,IF($Q121=0,$W121,IF(AND($S121&lt;&gt;"",EDATE($D121,Milestones!$AA$147)&gt;=$S121),$V121,IF(AND($R121&lt;&gt;"",EDATE($D121,Milestones!$AA$147)&gt;=$R121),$U121,$T121)))=Milestones!$AB$147),TEXT(EDATE($D121,Milestones!$AA$147),"dd/mm/yy")&amp;" "&amp;Milestones!$AB$147&amp;" "&amp;Milestones!$AC$147&amp;";  ","")&amp;IF(AND(EDATE($D121,Milestones!$AA$148)&lt;=AsOfDate,IF($Q121=0,$W121,IF(AND($S121&lt;&gt;"",EDATE($D121,Milestones!$AA$148)&gt;=$S121),$V121,IF(AND($R121&lt;&gt;"",EDATE($D121,Milestones!$AA$148)&gt;=$R121),$U121,$T121)))=Milestones!$AB$148),TEXT(EDATE($D121,Milestones!$AA$148),"dd/mm/yy")&amp;" "&amp;Milestones!$AB$148&amp;" "&amp;Milestones!$AC$148&amp;";  ","")&amp;IF(AND(EDATE($D121,Milestones!$AA$149)&lt;=AsOfDate,IF($Q121=0,$W121,IF(AND($S121&lt;&gt;"",EDATE($D121,Milestones!$AA$149)&gt;=$S121),$V121,IF(AND($R121&lt;&gt;"",EDATE($D121,Milestones!$AA$149)&gt;=$R121),$U121,$T121)))=Milestones!$AB$149),TEXT(EDATE($D121,Milestones!$AA$149),"dd/mm/yy")&amp;" "&amp;Milestones!$AB$149&amp;" "&amp;Milestones!$AC$149&amp;";  ","")&amp;IF(AND(EDATE($D121,Milestones!$AA$150)&lt;=AsOfDate,IF($Q121=0,$W121,IF(AND($S121&lt;&gt;"",EDATE($D121,Milestones!$AA$150)&gt;=$S121),$V121,IF(AND($R121&lt;&gt;"",EDATE($D121,Milestones!$AA$150)&gt;=$R121),$U121,$T121)))=Milestones!$AB$150),TEXT(EDATE($D121,Milestones!$AA$150),"dd/mm/yy")&amp;" "&amp;Milestones!$AB$150&amp;" "&amp;Milestones!$AC$150&amp;";  ","")&amp;IF(AND(EDATE($D121,Milestones!$AA$151)&lt;=AsOfDate,IF($Q121=0,$W121,IF(AND($S121&lt;&gt;"",EDATE($D121,Milestones!$AA$151)&gt;=$S121),$V121,IF(AND($R121&lt;&gt;"",EDATE($D121,Milestones!$AA$151)&gt;=$R121),$U121,$T121)))=Milestones!$AB$151),TEXT(EDATE($D121,Milestones!$AA$151),"dd/mm/yy")&amp;" "&amp;Milestones!$AB$151&amp;" "&amp;Milestones!$AC$151&amp;";  ","")&amp;IF(AND(EDATE($D121,Milestones!$AA$152)&lt;=AsOfDate,IF($Q121=0,$W121,IF(AND($S121&lt;&gt;"",EDATE($D121,Milestones!$AA$152)&gt;=$S121),$V121,IF(AND($R121&lt;&gt;"",EDATE($D121,Milestones!$AA$152)&gt;=$R121),$U121,$T121)))=Milestones!$AB$152),TEXT(EDATE($D121,Milestones!$AA$152),"dd/mm/yy")&amp;" "&amp;Milestones!$AB$152&amp;" "&amp;Milestones!$AC$152&amp;";  ","")&amp;IF(AND(EDATE($D121,Milestones!$AA$153)&lt;=AsOfDate,IF($Q121=0,$W121,IF(AND($S121&lt;&gt;"",EDATE($D121,Milestones!$AA$153)&gt;=$S121),$V121,IF(AND($R121&lt;&gt;"",EDATE($D121,Milestones!$AA$153)&gt;=$R121),$U121,$T121)))=Milestones!$AB$153),TEXT(EDATE($D121,Milestones!$AA$153),"dd/mm/yy")&amp;" "&amp;Milestones!$AB$153&amp;" "&amp;Milestones!$AC$153&amp;";  ","")&amp;IF(AND(EDATE($D121,Milestones!$AA$154)&lt;=AsOfDate,IF($Q121=0,$W121,IF(AND($S121&lt;&gt;"",EDATE($D121,Milestones!$AA$154)&gt;=$S121),$V121,IF(AND($R121&lt;&gt;"",EDATE($D121,Milestones!$AA$154)&gt;=$R121),$U121,$T121)))=Milestones!$AB$154),TEXT(EDATE($D121,Milestones!$AA$154),"dd/mm/yy")&amp;" "&amp;Milestones!$AB$154&amp;" "&amp;Milestones!$AC$154&amp;";  ","")&amp;IF(AND(EDATE($D121,Milestones!$AA$155)&lt;=AsOfDate,IF($Q121=0,$W121,IF(AND($S121&lt;&gt;"",EDATE($D121,Milestones!$AA$155)&gt;=$S121),$V121,IF(AND($R121&lt;&gt;"",EDATE($D121,Milestones!$AA$155)&gt;=$R121),$U121,$T121)))=Milestones!$AB$155),TEXT(EDATE($D121,Milestones!$AA$155),"dd/mm/yy")&amp;" "&amp;Milestones!$AB$155&amp;" "&amp;Milestones!$AC$155&amp;";  ","")&amp;IF(AND(EDATE($D121,Milestones!$AA$156)&lt;=AsOfDate,IF($Q121=0,$W121,IF(AND($S121&lt;&gt;"",EDATE($D121,Milestones!$AA$156)&gt;=$S121),$V121,IF(AND($R121&lt;&gt;"",EDATE($D121,Milestones!$AA$156)&gt;=$R121),$U121,$T121)))=Milestones!$AB$156),TEXT(EDATE($D121,Milestones!$AA$156),"dd/mm/yy")&amp;" "&amp;Milestones!$AB$156&amp;" "&amp;Milestones!$AC$156&amp;";  ","")&amp;IF(AND(EDATE($D121,Milestones!$AA$157)&lt;=AsOfDate,IF($Q121=0,$W121,IF(AND($S121&lt;&gt;"",EDATE($D121,Milestones!$AA$157)&gt;=$S121),$V121,IF(AND($R121&lt;&gt;"",EDATE($D121,Milestones!$AA$157)&gt;=$R121),$U121,$T121)))=Milestones!$AB$157),TEXT(EDATE($D121,Milestones!$AA$157),"dd/mm/yy")&amp;" "&amp;Milestones!$AB$157&amp;" "&amp;Milestones!$AC$157&amp;";  ","")&amp;IF(AND(EDATE($D121,Milestones!$AA$158)&lt;=AsOfDate,IF($Q121=0,$W121,IF(AND($S121&lt;&gt;"",EDATE($D121,Milestones!$AA$158)&gt;=$S121),$V121,IF(AND($R121&lt;&gt;"",EDATE($D121,Milestones!$AA$158)&gt;=$R121),$U121,$T121)))=Milestones!$AB$158),TEXT(EDATE($D121,Milestones!$AA$158),"dd/mm/yy")&amp;" "&amp;Milestones!$AB$158&amp;" "&amp;Milestones!$AC$158&amp;";  ","")&amp;IF(AND(EDATE($D121,Milestones!$AA$159)&lt;=AsOfDate,IF($Q121=0,$W121,IF(AND($S121&lt;&gt;"",EDATE($D121,Milestones!$AA$159)&gt;=$S121),$V121,IF(AND($R121&lt;&gt;"",EDATE($D121,Milestones!$AA$159)&gt;=$R121),$U121,$T121)))=Milestones!$AB$159),TEXT(EDATE($D121,Milestones!$AA$159),"dd/mm/yy")&amp;" "&amp;Milestones!$AB$159&amp;" "&amp;Milestones!$AC$159&amp;";  ",""))</f>
        <v/>
      </c>
      <c r="O121" s="0" t="str">
        <f aca="false">IF(OR($A121="",$D121=""),"",IF(AND(EDATE($D121,Milestones!$AA$160)&lt;=AsOfDate,IF($Q121=0,$W121,IF(AND($S121&lt;&gt;"",EDATE($D121,Milestones!$AA$160)&gt;=$S121),$V121,IF(AND($R121&lt;&gt;"",EDATE($D121,Milestones!$AA$160)&gt;=$R121),$U121,$T121)))=Milestones!$AB$160),TEXT(EDATE($D121,Milestones!$AA$160),"dd/mm/yy")&amp;" "&amp;Milestones!$AB$160&amp;" "&amp;Milestones!$AC$160&amp;";  ","")&amp;IF(AND(EDATE($D121,Milestones!$AA$161)&lt;=AsOfDate,IF($Q121=0,$W121,IF(AND($S121&lt;&gt;"",EDATE($D121,Milestones!$AA$161)&gt;=$S121),$V121,IF(AND($R121&lt;&gt;"",EDATE($D121,Milestones!$AA$161)&gt;=$R121),$U121,$T121)))=Milestones!$AB$161),TEXT(EDATE($D121,Milestones!$AA$161),"dd/mm/yy")&amp;" "&amp;Milestones!$AB$161&amp;" "&amp;Milestones!$AC$161&amp;";  ","")&amp;IF(AND(EDATE($D121,Milestones!$AA$162)&lt;=AsOfDate,IF($Q121=0,$W121,IF(AND($S121&lt;&gt;"",EDATE($D121,Milestones!$AA$162)&gt;=$S121),$V121,IF(AND($R121&lt;&gt;"",EDATE($D121,Milestones!$AA$162)&gt;=$R121),$U121,$T121)))=Milestones!$AB$162),TEXT(EDATE($D121,Milestones!$AA$162),"dd/mm/yy")&amp;" "&amp;Milestones!$AB$162&amp;" "&amp;Milestones!$AC$162&amp;";  ","")&amp;IF(AND(EDATE($D121,Milestones!$AA$163)&lt;=AsOfDate,IF($Q121=0,$W121,IF(AND($S121&lt;&gt;"",EDATE($D121,Milestones!$AA$163)&gt;=$S121),$V121,IF(AND($R121&lt;&gt;"",EDATE($D121,Milestones!$AA$163)&gt;=$R121),$U121,$T121)))=Milestones!$AB$163),TEXT(EDATE($D121,Milestones!$AA$163),"dd/mm/yy")&amp;" "&amp;Milestones!$AB$163&amp;" "&amp;Milestones!$AC$163&amp;";  ","")&amp;IF(AND(EDATE($D121,Milestones!$AA$164)&lt;=AsOfDate,IF($Q121=0,$W121,IF(AND($S121&lt;&gt;"",EDATE($D121,Milestones!$AA$164)&gt;=$S121),$V121,IF(AND($R121&lt;&gt;"",EDATE($D121,Milestones!$AA$164)&gt;=$R121),$U121,$T121)))=Milestones!$AB$164),TEXT(EDATE($D121,Milestones!$AA$164),"dd/mm/yy")&amp;" "&amp;Milestones!$AB$164&amp;" "&amp;Milestones!$AC$164&amp;";  ","")&amp;IF(AND(EDATE($D121,Milestones!$AA$165)&lt;=AsOfDate,IF($Q121=0,$W121,IF(AND($S121&lt;&gt;"",EDATE($D121,Milestones!$AA$165)&gt;=$S121),$V121,IF(AND($R121&lt;&gt;"",EDATE($D121,Milestones!$AA$165)&gt;=$R121),$U121,$T121)))=Milestones!$AB$165),TEXT(EDATE($D121,Milestones!$AA$165),"dd/mm/yy")&amp;" "&amp;Milestones!$AB$165&amp;" "&amp;Milestones!$AC$165&amp;";  ","")&amp;IF(AND(EDATE($D121,Milestones!$AA$166)&lt;=AsOfDate,IF($Q121=0,$W121,IF(AND($S121&lt;&gt;"",EDATE($D121,Milestones!$AA$166)&gt;=$S121),$V121,IF(AND($R121&lt;&gt;"",EDATE($D121,Milestones!$AA$166)&gt;=$R121),$U121,$T121)))=Milestones!$AB$166),TEXT(EDATE($D121,Milestones!$AA$166),"dd/mm/yy")&amp;" "&amp;Milestones!$AB$166&amp;" "&amp;Milestones!$AC$166&amp;";  ","")&amp;IF(AND(EDATE($D121,Milestones!$AA$167)&lt;=AsOfDate,IF($Q121=0,$W121,IF(AND($S121&lt;&gt;"",EDATE($D121,Milestones!$AA$167)&gt;=$S121),$V121,IF(AND($R121&lt;&gt;"",EDATE($D121,Milestones!$AA$167)&gt;=$R121),$U121,$T121)))=Milestones!$AB$167),TEXT(EDATE($D121,Milestones!$AA$167),"dd/mm/yy")&amp;" "&amp;Milestones!$AB$167&amp;" "&amp;Milestones!$AC$167&amp;";  ","")&amp;IF(AND(EDATE($D121,Milestones!$AA$168)&lt;=AsOfDate,IF($Q121=0,$W121,IF(AND($S121&lt;&gt;"",EDATE($D121,Milestones!$AA$168)&gt;=$S121),$V121,IF(AND($R121&lt;&gt;"",EDATE($D121,Milestones!$AA$168)&gt;=$R121),$U121,$T121)))=Milestones!$AB$168),TEXT(EDATE($D121,Milestones!$AA$168),"dd/mm/yy")&amp;" "&amp;Milestones!$AB$168&amp;" "&amp;Milestones!$AC$168&amp;";  ","")&amp;IF(AND(EDATE($D121,Milestones!$AA$169)&lt;=AsOfDate,IF($Q121=0,$W121,IF(AND($S121&lt;&gt;"",EDATE($D121,Milestones!$AA$169)&gt;=$S121),$V121,IF(AND($R121&lt;&gt;"",EDATE($D121,Milestones!$AA$169)&gt;=$R121),$U121,$T121)))=Milestones!$AB$169),TEXT(EDATE($D121,Milestones!$AA$169),"dd/mm/yy")&amp;" "&amp;Milestones!$AB$169&amp;" "&amp;Milestones!$AC$169&amp;";  ","")&amp;IF(AND(EDATE($D121,Milestones!$AA$170)&lt;=AsOfDate,IF($Q121=0,$W121,IF(AND($S121&lt;&gt;"",EDATE($D121,Milestones!$AA$170)&gt;=$S121),$V121,IF(AND($R121&lt;&gt;"",EDATE($D121,Milestones!$AA$170)&gt;=$R121),$U121,$T121)))=Milestones!$AB$170),TEXT(EDATE($D121,Milestones!$AA$170),"dd/mm/yy")&amp;" "&amp;Milestones!$AB$170&amp;" "&amp;Milestones!$AC$170&amp;";  ","")&amp;IF(AND(EDATE($D121,Milestones!$AA$171)&lt;=AsOfDate,IF($Q121=0,$W121,IF(AND($S121&lt;&gt;"",EDATE($D121,Milestones!$AA$171)&gt;=$S121),$V121,IF(AND($R121&lt;&gt;"",EDATE($D121,Milestones!$AA$171)&gt;=$R121),$U121,$T121)))=Milestones!$AB$171),TEXT(EDATE($D121,Milestones!$AA$171),"dd/mm/yy")&amp;" "&amp;Milestones!$AB$171&amp;" "&amp;Milestones!$AC$171&amp;";  ","")&amp;IF(AND(EDATE($D121,Milestones!$AA$172)&lt;=AsOfDate,IF($Q121=0,$W121,IF(AND($S121&lt;&gt;"",EDATE($D121,Milestones!$AA$172)&gt;=$S121),$V121,IF(AND($R121&lt;&gt;"",EDATE($D121,Milestones!$AA$172)&gt;=$R121),$U121,$T121)))=Milestones!$AB$172),TEXT(EDATE($D121,Milestones!$AA$172),"dd/mm/yy")&amp;" "&amp;Milestones!$AB$172&amp;" "&amp;Milestones!$AC$172&amp;";  ","")&amp;IF(AND(EDATE($D121,Milestones!$AA$173)&lt;=AsOfDate,IF($Q121=0,$W121,IF(AND($S121&lt;&gt;"",EDATE($D121,Milestones!$AA$173)&gt;=$S121),$V121,IF(AND($R121&lt;&gt;"",EDATE($D121,Milestones!$AA$173)&gt;=$R121),$U121,$T121)))=Milestones!$AB$173),TEXT(EDATE($D121,Milestones!$AA$173),"dd/mm/yy")&amp;" "&amp;Milestones!$AB$173&amp;" "&amp;Milestones!$AC$173&amp;";  ","")&amp;IF(AND(EDATE($D121,Milestones!$AA$174)&lt;=AsOfDate,IF($Q121=0,$W121,IF(AND($S121&lt;&gt;"",EDATE($D121,Milestones!$AA$174)&gt;=$S121),$V121,IF(AND($R121&lt;&gt;"",EDATE($D121,Milestones!$AA$174)&gt;=$R121),$U121,$T121)))=Milestones!$AB$174),TEXT(EDATE($D121,Milestones!$AA$174),"dd/mm/yy")&amp;" "&amp;Milestones!$AB$174&amp;" "&amp;Milestones!$AC$174&amp;";  ","")&amp;IF(AND(EDATE($D121,Milestones!$AA$175)&lt;=AsOfDate,IF($Q121=0,$W121,IF(AND($S121&lt;&gt;"",EDATE($D121,Milestones!$AA$175)&gt;=$S121),$V121,IF(AND($R121&lt;&gt;"",EDATE($D121,Milestones!$AA$175)&gt;=$R121),$U121,$T121)))=Milestones!$AB$175),TEXT(EDATE($D121,Milestones!$AA$175),"dd/mm/yy")&amp;" "&amp;Milestones!$AB$175&amp;" "&amp;Milestones!$AC$175&amp;";  ","")&amp;IF(AND(EDATE($D121,Milestones!$AA$176)&lt;=AsOfDate,IF($Q121=0,$W121,IF(AND($S121&lt;&gt;"",EDATE($D121,Milestones!$AA$176)&gt;=$S121),$V121,IF(AND($R121&lt;&gt;"",EDATE($D121,Milestones!$AA$176)&gt;=$R121),$U121,$T121)))=Milestones!$AB$176),TEXT(EDATE($D121,Milestones!$AA$176),"dd/mm/yy")&amp;" "&amp;Milestones!$AB$176&amp;" "&amp;Milestones!$AC$176&amp;";  ","")&amp;IF(AND(EDATE($D121,Milestones!$AA$177)&lt;=AsOfDate,IF($Q121=0,$W121,IF(AND($S121&lt;&gt;"",EDATE($D121,Milestones!$AA$177)&gt;=$S121),$V121,IF(AND($R121&lt;&gt;"",EDATE($D121,Milestones!$AA$177)&gt;=$R121),$U121,$T121)))=Milestones!$AB$177),TEXT(EDATE($D121,Milestones!$AA$177),"dd/mm/yy")&amp;" "&amp;Milestones!$AB$177&amp;" "&amp;Milestones!$AC$177&amp;";  ","")&amp;IF(AND(EDATE($D121,Milestones!$AA$178)&lt;=AsOfDate,IF($Q121=0,$W121,IF(AND($S121&lt;&gt;"",EDATE($D121,Milestones!$AA$178)&gt;=$S121),$V121,IF(AND($R121&lt;&gt;"",EDATE($D121,Milestones!$AA$178)&gt;=$R121),$U121,$T121)))=Milestones!$AB$178),TEXT(EDATE($D121,Milestones!$AA$178),"dd/mm/yy")&amp;" "&amp;Milestones!$AB$178&amp;" "&amp;Milestones!$AC$178&amp;";  ","")&amp;IF(AND(EDATE($D121,Milestones!$AA$179)&lt;=AsOfDate,IF($Q121=0,$W121,IF(AND($S121&lt;&gt;"",EDATE($D121,Milestones!$AA$179)&gt;=$S121),$V121,IF(AND($R121&lt;&gt;"",EDATE($D121,Milestones!$AA$179)&gt;=$R121),$U121,$T121)))=Milestones!$AB$179),TEXT(EDATE($D121,Milestones!$AA$179),"dd/mm/yy")&amp;" "&amp;Milestones!$AB$179&amp;" "&amp;Milestones!$AC$179&amp;";  ",""))</f>
        <v/>
      </c>
      <c r="P121" s="0" t="str">
        <f aca="false">IF(OR($A121="",$D121=""),"",IF(AND(EDATE($D121,Milestones!$AA$180)&lt;=AsOfDate,IF($Q121=0,$W121,IF(AND($S121&lt;&gt;"",EDATE($D121,Milestones!$AA$180)&gt;=$S121),$V121,IF(AND($R121&lt;&gt;"",EDATE($D121,Milestones!$AA$180)&gt;=$R121),$U121,$T121)))=Milestones!$AB$180),TEXT(EDATE($D121,Milestones!$AA$180),"dd/mm/yy")&amp;" "&amp;Milestones!$AB$180&amp;" "&amp;Milestones!$AC$180&amp;";  ","")&amp;IF(AND(EDATE($D121,Milestones!$AA$181)&lt;=AsOfDate,IF($Q121=0,$W121,IF(AND($S121&lt;&gt;"",EDATE($D121,Milestones!$AA$181)&gt;=$S121),$V121,IF(AND($R121&lt;&gt;"",EDATE($D121,Milestones!$AA$181)&gt;=$R121),$U121,$T121)))=Milestones!$AB$181),TEXT(EDATE($D121,Milestones!$AA$181),"dd/mm/yy")&amp;" "&amp;Milestones!$AB$181&amp;" "&amp;Milestones!$AC$181&amp;";  ","")&amp;IF(AND(EDATE($D121,Milestones!$AA$182)&lt;=AsOfDate,IF($Q121=0,$W121,IF(AND($S121&lt;&gt;"",EDATE($D121,Milestones!$AA$182)&gt;=$S121),$V121,IF(AND($R121&lt;&gt;"",EDATE($D121,Milestones!$AA$182)&gt;=$R121),$U121,$T121)))=Milestones!$AB$182),TEXT(EDATE($D121,Milestones!$AA$182),"dd/mm/yy")&amp;" "&amp;Milestones!$AB$182&amp;" "&amp;Milestones!$AC$182&amp;";  ","")&amp;IF(AND(EDATE($D121,Milestones!$AA$183)&lt;=AsOfDate,IF($Q121=0,$W121,IF(AND($S121&lt;&gt;"",EDATE($D121,Milestones!$AA$183)&gt;=$S121),$V121,IF(AND($R121&lt;&gt;"",EDATE($D121,Milestones!$AA$183)&gt;=$R121),$U121,$T121)))=Milestones!$AB$183),TEXT(EDATE($D121,Milestones!$AA$183),"dd/mm/yy")&amp;" "&amp;Milestones!$AB$183&amp;" "&amp;Milestones!$AC$183&amp;";  ","")&amp;IF(AND(EDATE($D121,Milestones!$AA$184)&lt;=AsOfDate,IF($Q121=0,$W121,IF(AND($S121&lt;&gt;"",EDATE($D121,Milestones!$AA$184)&gt;=$S121),$V121,IF(AND($R121&lt;&gt;"",EDATE($D121,Milestones!$AA$184)&gt;=$R121),$U121,$T121)))=Milestones!$AB$184),TEXT(EDATE($D121,Milestones!$AA$184),"dd/mm/yy")&amp;" "&amp;Milestones!$AB$184&amp;" "&amp;Milestones!$AC$184&amp;";  ","")&amp;IF(AND(EDATE($D121,Milestones!$AA$185)&lt;=AsOfDate,IF($Q121=0,$W121,IF(AND($S121&lt;&gt;"",EDATE($D121,Milestones!$AA$185)&gt;=$S121),$V121,IF(AND($R121&lt;&gt;"",EDATE($D121,Milestones!$AA$185)&gt;=$R121),$U121,$T121)))=Milestones!$AB$185),TEXT(EDATE($D121,Milestones!$AA$185),"dd/mm/yy")&amp;" "&amp;Milestones!$AB$185&amp;" "&amp;Milestones!$AC$185&amp;";  ","")&amp;IF(AND(EDATE($D121,Milestones!$AA$186)&lt;=AsOfDate,IF($Q121=0,$W121,IF(AND($S121&lt;&gt;"",EDATE($D121,Milestones!$AA$186)&gt;=$S121),$V121,IF(AND($R121&lt;&gt;"",EDATE($D121,Milestones!$AA$186)&gt;=$R121),$U121,$T121)))=Milestones!$AB$186),TEXT(EDATE($D121,Milestones!$AA$186),"dd/mm/yy")&amp;" "&amp;Milestones!$AB$186&amp;" "&amp;Milestones!$AC$186&amp;";  ","")&amp;IF(AND(EDATE($D121,Milestones!$AA$187)&lt;=AsOfDate,IF($Q121=0,$W121,IF(AND($S121&lt;&gt;"",EDATE($D121,Milestones!$AA$187)&gt;=$S121),$V121,IF(AND($R121&lt;&gt;"",EDATE($D121,Milestones!$AA$187)&gt;=$R121),$U121,$T121)))=Milestones!$AB$187),TEXT(EDATE($D121,Milestones!$AA$187),"dd/mm/yy")&amp;" "&amp;Milestones!$AB$187&amp;" "&amp;Milestones!$AC$187&amp;";  ","")&amp;IF(AND(EDATE($D121,Milestones!$AA$188)&lt;=AsOfDate,IF($Q121=0,$W121,IF(AND($S121&lt;&gt;"",EDATE($D121,Milestones!$AA$188)&gt;=$S121),$V121,IF(AND($R121&lt;&gt;"",EDATE($D121,Milestones!$AA$188)&gt;=$R121),$U121,$T121)))=Milestones!$AB$188),TEXT(EDATE($D121,Milestones!$AA$188),"dd/mm/yy")&amp;" "&amp;Milestones!$AB$188&amp;" "&amp;Milestones!$AC$188&amp;";  ","")&amp;IF(AND(EDATE($D121,Milestones!$AA$189)&lt;=AsOfDate,IF($Q121=0,$W121,IF(AND($S121&lt;&gt;"",EDATE($D121,Milestones!$AA$189)&gt;=$S121),$V121,IF(AND($R121&lt;&gt;"",EDATE($D121,Milestones!$AA$189)&gt;=$R121),$U121,$T121)))=Milestones!$AB$189),TEXT(EDATE($D121,Milestones!$AA$189),"dd/mm/yy")&amp;" "&amp;Milestones!$AB$189&amp;" "&amp;Milestones!$AC$189&amp;";  ","")&amp;IF(AND(EDATE($D121,Milestones!$AA$190)&lt;=AsOfDate,IF($Q121=0,$W121,IF(AND($S121&lt;&gt;"",EDATE($D121,Milestones!$AA$190)&gt;=$S121),$V121,IF(AND($R121&lt;&gt;"",EDATE($D121,Milestones!$AA$190)&gt;=$R121),$U121,$T121)))=Milestones!$AB$190),TEXT(EDATE($D121,Milestones!$AA$190),"dd/mm/yy")&amp;" "&amp;Milestones!$AB$190&amp;" "&amp;Milestones!$AC$190&amp;";  ","")&amp;IF(AND(EDATE($D121,Milestones!$AA$191)&lt;=AsOfDate,IF($Q121=0,$W121,IF(AND($S121&lt;&gt;"",EDATE($D121,Milestones!$AA$191)&gt;=$S121),$V121,IF(AND($R121&lt;&gt;"",EDATE($D121,Milestones!$AA$191)&gt;=$R121),$U121,$T121)))=Milestones!$AB$191),TEXT(EDATE($D121,Milestones!$AA$191),"dd/mm/yy")&amp;" "&amp;Milestones!$AB$191&amp;" "&amp;Milestones!$AC$191&amp;";  ","")&amp;IF(AND(EDATE($D121,Milestones!$AA$192)&lt;=AsOfDate,IF($Q121=0,$W121,IF(AND($S121&lt;&gt;"",EDATE($D121,Milestones!$AA$192)&gt;=$S121),$V121,IF(AND($R121&lt;&gt;"",EDATE($D121,Milestones!$AA$192)&gt;=$R121),$U121,$T121)))=Milestones!$AB$192),TEXT(EDATE($D121,Milestones!$AA$192),"dd/mm/yy")&amp;" "&amp;Milestones!$AB$192&amp;" "&amp;Milestones!$AC$192&amp;";  ","")&amp;IF(AND(EDATE($D121,Milestones!$AA$193)&lt;=AsOfDate,IF($Q121=0,$W121,IF(AND($S121&lt;&gt;"",EDATE($D121,Milestones!$AA$193)&gt;=$S121),$V121,IF(AND($R121&lt;&gt;"",EDATE($D121,Milestones!$AA$193)&gt;=$R121),$U121,$T121)))=Milestones!$AB$193),TEXT(EDATE($D121,Milestones!$AA$193),"dd/mm/yy")&amp;" "&amp;Milestones!$AB$193&amp;" "&amp;Milestones!$AC$193&amp;";  ","")&amp;IF(AND(EDATE($D121,Milestones!$AA$194)&lt;=AsOfDate,IF($Q121=0,$W121,IF(AND($S121&lt;&gt;"",EDATE($D121,Milestones!$AA$194)&gt;=$S121),$V121,IF(AND($R121&lt;&gt;"",EDATE($D121,Milestones!$AA$194)&gt;=$R121),$U121,$T121)))=Milestones!$AB$194),TEXT(EDATE($D121,Milestones!$AA$194),"dd/mm/yy")&amp;" "&amp;Milestones!$AB$194&amp;" "&amp;Milestones!$AC$194&amp;";  ","")&amp;IF(AND(EDATE($D121,Milestones!$AA$195)&lt;=AsOfDate,IF($Q121=0,$W121,IF(AND($S121&lt;&gt;"",EDATE($D121,Milestones!$AA$195)&gt;=$S121),$V121,IF(AND($R121&lt;&gt;"",EDATE($D121,Milestones!$AA$195)&gt;=$R121),$U121,$T121)))=Milestones!$AB$195),TEXT(EDATE($D121,Milestones!$AA$195),"dd/mm/yy")&amp;" "&amp;Milestones!$AB$195&amp;" "&amp;Milestones!$AC$195&amp;";  ","")&amp;IF(AND(EDATE($D121,Milestones!$AA$196)&lt;=AsOfDate,IF($Q121=0,$W121,IF(AND($S121&lt;&gt;"",EDATE($D121,Milestones!$AA$196)&gt;=$S121),$V121,IF(AND($R121&lt;&gt;"",EDATE($D121,Milestones!$AA$196)&gt;=$R121),$U121,$T121)))=Milestones!$AB$196),TEXT(EDATE($D121,Milestones!$AA$196),"dd/mm/yy")&amp;" "&amp;Milestones!$AB$196&amp;" "&amp;Milestones!$AC$196&amp;";  ","")&amp;IF(AND(EDATE($D121,Milestones!$AA$197)&lt;=AsOfDate,IF($Q121=0,$W121,IF(AND($S121&lt;&gt;"",EDATE($D121,Milestones!$AA$197)&gt;=$S121),$V121,IF(AND($R121&lt;&gt;"",EDATE($D121,Milestones!$AA$197)&gt;=$R121),$U121,$T121)))=Milestones!$AB$197),TEXT(EDATE($D121,Milestones!$AA$197),"dd/mm/yy")&amp;" "&amp;Milestones!$AB$197&amp;" "&amp;Milestones!$AC$197&amp;";  ","")&amp;IF(AND(EDATE($D121,Milestones!$AA$198)&lt;=AsOfDate,IF($Q121=0,$W121,IF(AND($S121&lt;&gt;"",EDATE($D121,Milestones!$AA$198)&gt;=$S121),$V121,IF(AND($R121&lt;&gt;"",EDATE($D121,Milestones!$AA$198)&gt;=$R121),$U121,$T121)))=Milestones!$AB$198),TEXT(EDATE($D121,Milestones!$AA$198),"dd/mm/yy")&amp;" "&amp;Milestones!$AB$198&amp;" "&amp;Milestones!$AC$198&amp;";  ","")&amp;IF(AND(EDATE($D121,Milestones!$AA$199)&lt;=AsOfDate,IF($Q121=0,$W121,IF(AND($S121&lt;&gt;"",EDATE($D121,Milestones!$AA$199)&gt;=$S121),$V121,IF(AND($R121&lt;&gt;"",EDATE($D121,Milestones!$AA$199)&gt;=$R121),$U121,$T121)))=Milestones!$AB$199),TEXT(EDATE($D121,Milestones!$AA$199),"dd/mm/yy")&amp;" "&amp;Milestones!$AB$199&amp;" "&amp;Milestones!$AC$199&amp;";  ",""))</f>
        <v/>
      </c>
      <c r="Q121" s="0" t="str">
        <f aca="false">IF(Staff!$A121="","",Staff!$AG121)</f>
        <v/>
      </c>
      <c r="R121" s="0" t="str">
        <f aca="false">IF(Staff!$A121="","",Staff!$AI121)</f>
        <v/>
      </c>
      <c r="S121" s="0" t="str">
        <f aca="false">IF(Staff!$A121="","",Staff!$AJ121)</f>
        <v/>
      </c>
      <c r="T121" s="0" t="str">
        <f aca="false">IF(Staff!$A121="","",Staff!$AN121)</f>
        <v/>
      </c>
      <c r="U121" s="0" t="str">
        <f aca="false">IF(Staff!$A121="","",Staff!$AO121)</f>
        <v/>
      </c>
      <c r="V121" s="0" t="str">
        <f aca="false">IF(Staff!$A121="","",Staff!$AP121)</f>
        <v/>
      </c>
      <c r="W121" s="0" t="str">
        <f aca="false">IF(Staff!$A121="","",Staff!$AQ121)</f>
        <v/>
      </c>
    </row>
    <row r="122" customFormat="false" ht="15" hidden="false" customHeight="false" outlineLevel="0" collapsed="false">
      <c r="A122" s="13" t="str">
        <f aca="false">IF(Staff!$A122="","",Staff!$A122)</f>
        <v/>
      </c>
      <c r="B122" s="13" t="str">
        <f aca="false">IF(Staff!$A122="","",Staff!$B122)</f>
        <v/>
      </c>
      <c r="C122" s="13" t="str">
        <f aca="false">IF(Staff!$A122="","",Staff!$C122)</f>
        <v/>
      </c>
      <c r="D122" s="11" t="str">
        <f aca="false">IF(Staff!$A122="","",Staff!$AF122)</f>
        <v/>
      </c>
      <c r="E122" s="13" t="str">
        <f aca="false">IF(Staff!$A122="","",Staff!$O122)</f>
        <v/>
      </c>
      <c r="F122" s="13" t="str">
        <f aca="false">IF(E122="","",E122*HoursPerDay)</f>
        <v/>
      </c>
      <c r="G122" s="26" t="str">
        <f aca="false">IF($A122="","",H122&amp;I122&amp;J122&amp;K122&amp;L122&amp;M122&amp;N122&amp;O122&amp;P122)</f>
        <v/>
      </c>
      <c r="H122" s="0" t="str">
        <f aca="false">IF(OR($A122="",$D122=""),"",IF(AND(EDATE($D122,Milestones!$AA$20)&lt;=AsOfDate,IF($Q122=0,$W122,IF(AND($S122&lt;&gt;"",EDATE($D122,Milestones!$AA$20)&gt;=$S122),$V122,IF(AND($R122&lt;&gt;"",EDATE($D122,Milestones!$AA$20)&gt;=$R122),$U122,$T122)))=Milestones!$AB$20),TEXT(EDATE($D122,Milestones!$AA$20),"dd/mm/yy")&amp;" "&amp;Milestones!$AB$20&amp;" "&amp;Milestones!$AC$20&amp;";  ","")&amp;IF(AND(EDATE($D122,Milestones!$AA$21)&lt;=AsOfDate,IF($Q122=0,$W122,IF(AND($S122&lt;&gt;"",EDATE($D122,Milestones!$AA$21)&gt;=$S122),$V122,IF(AND($R122&lt;&gt;"",EDATE($D122,Milestones!$AA$21)&gt;=$R122),$U122,$T122)))=Milestones!$AB$21),TEXT(EDATE($D122,Milestones!$AA$21),"dd/mm/yy")&amp;" "&amp;Milestones!$AB$21&amp;" "&amp;Milestones!$AC$21&amp;";  ","")&amp;IF(AND(EDATE($D122,Milestones!$AA$22)&lt;=AsOfDate,IF($Q122=0,$W122,IF(AND($S122&lt;&gt;"",EDATE($D122,Milestones!$AA$22)&gt;=$S122),$V122,IF(AND($R122&lt;&gt;"",EDATE($D122,Milestones!$AA$22)&gt;=$R122),$U122,$T122)))=Milestones!$AB$22),TEXT(EDATE($D122,Milestones!$AA$22),"dd/mm/yy")&amp;" "&amp;Milestones!$AB$22&amp;" "&amp;Milestones!$AC$22&amp;";  ","")&amp;IF(AND(EDATE($D122,Milestones!$AA$23)&lt;=AsOfDate,IF($Q122=0,$W122,IF(AND($S122&lt;&gt;"",EDATE($D122,Milestones!$AA$23)&gt;=$S122),$V122,IF(AND($R122&lt;&gt;"",EDATE($D122,Milestones!$AA$23)&gt;=$R122),$U122,$T122)))=Milestones!$AB$23),TEXT(EDATE($D122,Milestones!$AA$23),"dd/mm/yy")&amp;" "&amp;Milestones!$AB$23&amp;" "&amp;Milestones!$AC$23&amp;";  ","")&amp;IF(AND(EDATE($D122,Milestones!$AA$24)&lt;=AsOfDate,IF($Q122=0,$W122,IF(AND($S122&lt;&gt;"",EDATE($D122,Milestones!$AA$24)&gt;=$S122),$V122,IF(AND($R122&lt;&gt;"",EDATE($D122,Milestones!$AA$24)&gt;=$R122),$U122,$T122)))=Milestones!$AB$24),TEXT(EDATE($D122,Milestones!$AA$24),"dd/mm/yy")&amp;" "&amp;Milestones!$AB$24&amp;" "&amp;Milestones!$AC$24&amp;";  ","")&amp;IF(AND(EDATE($D122,Milestones!$AA$25)&lt;=AsOfDate,IF($Q122=0,$W122,IF(AND($S122&lt;&gt;"",EDATE($D122,Milestones!$AA$25)&gt;=$S122),$V122,IF(AND($R122&lt;&gt;"",EDATE($D122,Milestones!$AA$25)&gt;=$R122),$U122,$T122)))=Milestones!$AB$25),TEXT(EDATE($D122,Milestones!$AA$25),"dd/mm/yy")&amp;" "&amp;Milestones!$AB$25&amp;" "&amp;Milestones!$AC$25&amp;";  ","")&amp;IF(AND(EDATE($D122,Milestones!$AA$26)&lt;=AsOfDate,IF($Q122=0,$W122,IF(AND($S122&lt;&gt;"",EDATE($D122,Milestones!$AA$26)&gt;=$S122),$V122,IF(AND($R122&lt;&gt;"",EDATE($D122,Milestones!$AA$26)&gt;=$R122),$U122,$T122)))=Milestones!$AB$26),TEXT(EDATE($D122,Milestones!$AA$26),"dd/mm/yy")&amp;" "&amp;Milestones!$AB$26&amp;" "&amp;Milestones!$AC$26&amp;";  ","")&amp;IF(AND(EDATE($D122,Milestones!$AA$27)&lt;=AsOfDate,IF($Q122=0,$W122,IF(AND($S122&lt;&gt;"",EDATE($D122,Milestones!$AA$27)&gt;=$S122),$V122,IF(AND($R122&lt;&gt;"",EDATE($D122,Milestones!$AA$27)&gt;=$R122),$U122,$T122)))=Milestones!$AB$27),TEXT(EDATE($D122,Milestones!$AA$27),"dd/mm/yy")&amp;" "&amp;Milestones!$AB$27&amp;" "&amp;Milestones!$AC$27&amp;";  ","")&amp;IF(AND(EDATE($D122,Milestones!$AA$28)&lt;=AsOfDate,IF($Q122=0,$W122,IF(AND($S122&lt;&gt;"",EDATE($D122,Milestones!$AA$28)&gt;=$S122),$V122,IF(AND($R122&lt;&gt;"",EDATE($D122,Milestones!$AA$28)&gt;=$R122),$U122,$T122)))=Milestones!$AB$28),TEXT(EDATE($D122,Milestones!$AA$28),"dd/mm/yy")&amp;" "&amp;Milestones!$AB$28&amp;" "&amp;Milestones!$AC$28&amp;";  ","")&amp;IF(AND(EDATE($D122,Milestones!$AA$29)&lt;=AsOfDate,IF($Q122=0,$W122,IF(AND($S122&lt;&gt;"",EDATE($D122,Milestones!$AA$29)&gt;=$S122),$V122,IF(AND($R122&lt;&gt;"",EDATE($D122,Milestones!$AA$29)&gt;=$R122),$U122,$T122)))=Milestones!$AB$29),TEXT(EDATE($D122,Milestones!$AA$29),"dd/mm/yy")&amp;" "&amp;Milestones!$AB$29&amp;" "&amp;Milestones!$AC$29&amp;";  ","")&amp;IF(AND(EDATE($D122,Milestones!$AA$30)&lt;=AsOfDate,IF($Q122=0,$W122,IF(AND($S122&lt;&gt;"",EDATE($D122,Milestones!$AA$30)&gt;=$S122),$V122,IF(AND($R122&lt;&gt;"",EDATE($D122,Milestones!$AA$30)&gt;=$R122),$U122,$T122)))=Milestones!$AB$30),TEXT(EDATE($D122,Milestones!$AA$30),"dd/mm/yy")&amp;" "&amp;Milestones!$AB$30&amp;" "&amp;Milestones!$AC$30&amp;";  ","")&amp;IF(AND(EDATE($D122,Milestones!$AA$31)&lt;=AsOfDate,IF($Q122=0,$W122,IF(AND($S122&lt;&gt;"",EDATE($D122,Milestones!$AA$31)&gt;=$S122),$V122,IF(AND($R122&lt;&gt;"",EDATE($D122,Milestones!$AA$31)&gt;=$R122),$U122,$T122)))=Milestones!$AB$31),TEXT(EDATE($D122,Milestones!$AA$31),"dd/mm/yy")&amp;" "&amp;Milestones!$AB$31&amp;" "&amp;Milestones!$AC$31&amp;";  ","")&amp;IF(AND(EDATE($D122,Milestones!$AA$32)&lt;=AsOfDate,IF($Q122=0,$W122,IF(AND($S122&lt;&gt;"",EDATE($D122,Milestones!$AA$32)&gt;=$S122),$V122,IF(AND($R122&lt;&gt;"",EDATE($D122,Milestones!$AA$32)&gt;=$R122),$U122,$T122)))=Milestones!$AB$32),TEXT(EDATE($D122,Milestones!$AA$32),"dd/mm/yy")&amp;" "&amp;Milestones!$AB$32&amp;" "&amp;Milestones!$AC$32&amp;";  ","")&amp;IF(AND(EDATE($D122,Milestones!$AA$33)&lt;=AsOfDate,IF($Q122=0,$W122,IF(AND($S122&lt;&gt;"",EDATE($D122,Milestones!$AA$33)&gt;=$S122),$V122,IF(AND($R122&lt;&gt;"",EDATE($D122,Milestones!$AA$33)&gt;=$R122),$U122,$T122)))=Milestones!$AB$33),TEXT(EDATE($D122,Milestones!$AA$33),"dd/mm/yy")&amp;" "&amp;Milestones!$AB$33&amp;" "&amp;Milestones!$AC$33&amp;";  ","")&amp;IF(AND(EDATE($D122,Milestones!$AA$34)&lt;=AsOfDate,IF($Q122=0,$W122,IF(AND($S122&lt;&gt;"",EDATE($D122,Milestones!$AA$34)&gt;=$S122),$V122,IF(AND($R122&lt;&gt;"",EDATE($D122,Milestones!$AA$34)&gt;=$R122),$U122,$T122)))=Milestones!$AB$34),TEXT(EDATE($D122,Milestones!$AA$34),"dd/mm/yy")&amp;" "&amp;Milestones!$AB$34&amp;" "&amp;Milestones!$AC$34&amp;";  ","")&amp;IF(AND(EDATE($D122,Milestones!$AA$35)&lt;=AsOfDate,IF($Q122=0,$W122,IF(AND($S122&lt;&gt;"",EDATE($D122,Milestones!$AA$35)&gt;=$S122),$V122,IF(AND($R122&lt;&gt;"",EDATE($D122,Milestones!$AA$35)&gt;=$R122),$U122,$T122)))=Milestones!$AB$35),TEXT(EDATE($D122,Milestones!$AA$35),"dd/mm/yy")&amp;" "&amp;Milestones!$AB$35&amp;" "&amp;Milestones!$AC$35&amp;";  ","")&amp;IF(AND(EDATE($D122,Milestones!$AA$36)&lt;=AsOfDate,IF($Q122=0,$W122,IF(AND($S122&lt;&gt;"",EDATE($D122,Milestones!$AA$36)&gt;=$S122),$V122,IF(AND($R122&lt;&gt;"",EDATE($D122,Milestones!$AA$36)&gt;=$R122),$U122,$T122)))=Milestones!$AB$36),TEXT(EDATE($D122,Milestones!$AA$36),"dd/mm/yy")&amp;" "&amp;Milestones!$AB$36&amp;" "&amp;Milestones!$AC$36&amp;";  ","")&amp;IF(AND(EDATE($D122,Milestones!$AA$37)&lt;=AsOfDate,IF($Q122=0,$W122,IF(AND($S122&lt;&gt;"",EDATE($D122,Milestones!$AA$37)&gt;=$S122),$V122,IF(AND($R122&lt;&gt;"",EDATE($D122,Milestones!$AA$37)&gt;=$R122),$U122,$T122)))=Milestones!$AB$37),TEXT(EDATE($D122,Milestones!$AA$37),"dd/mm/yy")&amp;" "&amp;Milestones!$AB$37&amp;" "&amp;Milestones!$AC$37&amp;";  ","")&amp;IF(AND(EDATE($D122,Milestones!$AA$38)&lt;=AsOfDate,IF($Q122=0,$W122,IF(AND($S122&lt;&gt;"",EDATE($D122,Milestones!$AA$38)&gt;=$S122),$V122,IF(AND($R122&lt;&gt;"",EDATE($D122,Milestones!$AA$38)&gt;=$R122),$U122,$T122)))=Milestones!$AB$38),TEXT(EDATE($D122,Milestones!$AA$38),"dd/mm/yy")&amp;" "&amp;Milestones!$AB$38&amp;" "&amp;Milestones!$AC$38&amp;";  ","")&amp;IF(AND(EDATE($D122,Milestones!$AA$39)&lt;=AsOfDate,IF($Q122=0,$W122,IF(AND($S122&lt;&gt;"",EDATE($D122,Milestones!$AA$39)&gt;=$S122),$V122,IF(AND($R122&lt;&gt;"",EDATE($D122,Milestones!$AA$39)&gt;=$R122),$U122,$T122)))=Milestones!$AB$39),TEXT(EDATE($D122,Milestones!$AA$39),"dd/mm/yy")&amp;" "&amp;Milestones!$AB$39&amp;" "&amp;Milestones!$AC$39&amp;";  ",""))</f>
        <v/>
      </c>
      <c r="I122" s="0" t="str">
        <f aca="false">IF(OR($A122="",$D122=""),"",IF(AND(EDATE($D122,Milestones!$AA$40)&lt;=AsOfDate,IF($Q122=0,$W122,IF(AND($S122&lt;&gt;"",EDATE($D122,Milestones!$AA$40)&gt;=$S122),$V122,IF(AND($R122&lt;&gt;"",EDATE($D122,Milestones!$AA$40)&gt;=$R122),$U122,$T122)))=Milestones!$AB$40),TEXT(EDATE($D122,Milestones!$AA$40),"dd/mm/yy")&amp;" "&amp;Milestones!$AB$40&amp;" "&amp;Milestones!$AC$40&amp;";  ","")&amp;IF(AND(EDATE($D122,Milestones!$AA$41)&lt;=AsOfDate,IF($Q122=0,$W122,IF(AND($S122&lt;&gt;"",EDATE($D122,Milestones!$AA$41)&gt;=$S122),$V122,IF(AND($R122&lt;&gt;"",EDATE($D122,Milestones!$AA$41)&gt;=$R122),$U122,$T122)))=Milestones!$AB$41),TEXT(EDATE($D122,Milestones!$AA$41),"dd/mm/yy")&amp;" "&amp;Milestones!$AB$41&amp;" "&amp;Milestones!$AC$41&amp;";  ","")&amp;IF(AND(EDATE($D122,Milestones!$AA$42)&lt;=AsOfDate,IF($Q122=0,$W122,IF(AND($S122&lt;&gt;"",EDATE($D122,Milestones!$AA$42)&gt;=$S122),$V122,IF(AND($R122&lt;&gt;"",EDATE($D122,Milestones!$AA$42)&gt;=$R122),$U122,$T122)))=Milestones!$AB$42),TEXT(EDATE($D122,Milestones!$AA$42),"dd/mm/yy")&amp;" "&amp;Milestones!$AB$42&amp;" "&amp;Milestones!$AC$42&amp;";  ","")&amp;IF(AND(EDATE($D122,Milestones!$AA$43)&lt;=AsOfDate,IF($Q122=0,$W122,IF(AND($S122&lt;&gt;"",EDATE($D122,Milestones!$AA$43)&gt;=$S122),$V122,IF(AND($R122&lt;&gt;"",EDATE($D122,Milestones!$AA$43)&gt;=$R122),$U122,$T122)))=Milestones!$AB$43),TEXT(EDATE($D122,Milestones!$AA$43),"dd/mm/yy")&amp;" "&amp;Milestones!$AB$43&amp;" "&amp;Milestones!$AC$43&amp;";  ","")&amp;IF(AND(EDATE($D122,Milestones!$AA$44)&lt;=AsOfDate,IF($Q122=0,$W122,IF(AND($S122&lt;&gt;"",EDATE($D122,Milestones!$AA$44)&gt;=$S122),$V122,IF(AND($R122&lt;&gt;"",EDATE($D122,Milestones!$AA$44)&gt;=$R122),$U122,$T122)))=Milestones!$AB$44),TEXT(EDATE($D122,Milestones!$AA$44),"dd/mm/yy")&amp;" "&amp;Milestones!$AB$44&amp;" "&amp;Milestones!$AC$44&amp;";  ","")&amp;IF(AND(EDATE($D122,Milestones!$AA$45)&lt;=AsOfDate,IF($Q122=0,$W122,IF(AND($S122&lt;&gt;"",EDATE($D122,Milestones!$AA$45)&gt;=$S122),$V122,IF(AND($R122&lt;&gt;"",EDATE($D122,Milestones!$AA$45)&gt;=$R122),$U122,$T122)))=Milestones!$AB$45),TEXT(EDATE($D122,Milestones!$AA$45),"dd/mm/yy")&amp;" "&amp;Milestones!$AB$45&amp;" "&amp;Milestones!$AC$45&amp;";  ","")&amp;IF(AND(EDATE($D122,Milestones!$AA$46)&lt;=AsOfDate,IF($Q122=0,$W122,IF(AND($S122&lt;&gt;"",EDATE($D122,Milestones!$AA$46)&gt;=$S122),$V122,IF(AND($R122&lt;&gt;"",EDATE($D122,Milestones!$AA$46)&gt;=$R122),$U122,$T122)))=Milestones!$AB$46),TEXT(EDATE($D122,Milestones!$AA$46),"dd/mm/yy")&amp;" "&amp;Milestones!$AB$46&amp;" "&amp;Milestones!$AC$46&amp;";  ","")&amp;IF(AND(EDATE($D122,Milestones!$AA$47)&lt;=AsOfDate,IF($Q122=0,$W122,IF(AND($S122&lt;&gt;"",EDATE($D122,Milestones!$AA$47)&gt;=$S122),$V122,IF(AND($R122&lt;&gt;"",EDATE($D122,Milestones!$AA$47)&gt;=$R122),$U122,$T122)))=Milestones!$AB$47),TEXT(EDATE($D122,Milestones!$AA$47),"dd/mm/yy")&amp;" "&amp;Milestones!$AB$47&amp;" "&amp;Milestones!$AC$47&amp;";  ","")&amp;IF(AND(EDATE($D122,Milestones!$AA$48)&lt;=AsOfDate,IF($Q122=0,$W122,IF(AND($S122&lt;&gt;"",EDATE($D122,Milestones!$AA$48)&gt;=$S122),$V122,IF(AND($R122&lt;&gt;"",EDATE($D122,Milestones!$AA$48)&gt;=$R122),$U122,$T122)))=Milestones!$AB$48),TEXT(EDATE($D122,Milestones!$AA$48),"dd/mm/yy")&amp;" "&amp;Milestones!$AB$48&amp;" "&amp;Milestones!$AC$48&amp;";  ","")&amp;IF(AND(EDATE($D122,Milestones!$AA$49)&lt;=AsOfDate,IF($Q122=0,$W122,IF(AND($S122&lt;&gt;"",EDATE($D122,Milestones!$AA$49)&gt;=$S122),$V122,IF(AND($R122&lt;&gt;"",EDATE($D122,Milestones!$AA$49)&gt;=$R122),$U122,$T122)))=Milestones!$AB$49),TEXT(EDATE($D122,Milestones!$AA$49),"dd/mm/yy")&amp;" "&amp;Milestones!$AB$49&amp;" "&amp;Milestones!$AC$49&amp;";  ","")&amp;IF(AND(EDATE($D122,Milestones!$AA$50)&lt;=AsOfDate,IF($Q122=0,$W122,IF(AND($S122&lt;&gt;"",EDATE($D122,Milestones!$AA$50)&gt;=$S122),$V122,IF(AND($R122&lt;&gt;"",EDATE($D122,Milestones!$AA$50)&gt;=$R122),$U122,$T122)))=Milestones!$AB$50),TEXT(EDATE($D122,Milestones!$AA$50),"dd/mm/yy")&amp;" "&amp;Milestones!$AB$50&amp;" "&amp;Milestones!$AC$50&amp;";  ","")&amp;IF(AND(EDATE($D122,Milestones!$AA$51)&lt;=AsOfDate,IF($Q122=0,$W122,IF(AND($S122&lt;&gt;"",EDATE($D122,Milestones!$AA$51)&gt;=$S122),$V122,IF(AND($R122&lt;&gt;"",EDATE($D122,Milestones!$AA$51)&gt;=$R122),$U122,$T122)))=Milestones!$AB$51),TEXT(EDATE($D122,Milestones!$AA$51),"dd/mm/yy")&amp;" "&amp;Milestones!$AB$51&amp;" "&amp;Milestones!$AC$51&amp;";  ","")&amp;IF(AND(EDATE($D122,Milestones!$AA$52)&lt;=AsOfDate,IF($Q122=0,$W122,IF(AND($S122&lt;&gt;"",EDATE($D122,Milestones!$AA$52)&gt;=$S122),$V122,IF(AND($R122&lt;&gt;"",EDATE($D122,Milestones!$AA$52)&gt;=$R122),$U122,$T122)))=Milestones!$AB$52),TEXT(EDATE($D122,Milestones!$AA$52),"dd/mm/yy")&amp;" "&amp;Milestones!$AB$52&amp;" "&amp;Milestones!$AC$52&amp;";  ","")&amp;IF(AND(EDATE($D122,Milestones!$AA$53)&lt;=AsOfDate,IF($Q122=0,$W122,IF(AND($S122&lt;&gt;"",EDATE($D122,Milestones!$AA$53)&gt;=$S122),$V122,IF(AND($R122&lt;&gt;"",EDATE($D122,Milestones!$AA$53)&gt;=$R122),$U122,$T122)))=Milestones!$AB$53),TEXT(EDATE($D122,Milestones!$AA$53),"dd/mm/yy")&amp;" "&amp;Milestones!$AB$53&amp;" "&amp;Milestones!$AC$53&amp;";  ","")&amp;IF(AND(EDATE($D122,Milestones!$AA$54)&lt;=AsOfDate,IF($Q122=0,$W122,IF(AND($S122&lt;&gt;"",EDATE($D122,Milestones!$AA$54)&gt;=$S122),$V122,IF(AND($R122&lt;&gt;"",EDATE($D122,Milestones!$AA$54)&gt;=$R122),$U122,$T122)))=Milestones!$AB$54),TEXT(EDATE($D122,Milestones!$AA$54),"dd/mm/yy")&amp;" "&amp;Milestones!$AB$54&amp;" "&amp;Milestones!$AC$54&amp;";  ","")&amp;IF(AND(EDATE($D122,Milestones!$AA$55)&lt;=AsOfDate,IF($Q122=0,$W122,IF(AND($S122&lt;&gt;"",EDATE($D122,Milestones!$AA$55)&gt;=$S122),$V122,IF(AND($R122&lt;&gt;"",EDATE($D122,Milestones!$AA$55)&gt;=$R122),$U122,$T122)))=Milestones!$AB$55),TEXT(EDATE($D122,Milestones!$AA$55),"dd/mm/yy")&amp;" "&amp;Milestones!$AB$55&amp;" "&amp;Milestones!$AC$55&amp;";  ","")&amp;IF(AND(EDATE($D122,Milestones!$AA$56)&lt;=AsOfDate,IF($Q122=0,$W122,IF(AND($S122&lt;&gt;"",EDATE($D122,Milestones!$AA$56)&gt;=$S122),$V122,IF(AND($R122&lt;&gt;"",EDATE($D122,Milestones!$AA$56)&gt;=$R122),$U122,$T122)))=Milestones!$AB$56),TEXT(EDATE($D122,Milestones!$AA$56),"dd/mm/yy")&amp;" "&amp;Milestones!$AB$56&amp;" "&amp;Milestones!$AC$56&amp;";  ","")&amp;IF(AND(EDATE($D122,Milestones!$AA$57)&lt;=AsOfDate,IF($Q122=0,$W122,IF(AND($S122&lt;&gt;"",EDATE($D122,Milestones!$AA$57)&gt;=$S122),$V122,IF(AND($R122&lt;&gt;"",EDATE($D122,Milestones!$AA$57)&gt;=$R122),$U122,$T122)))=Milestones!$AB$57),TEXT(EDATE($D122,Milestones!$AA$57),"dd/mm/yy")&amp;" "&amp;Milestones!$AB$57&amp;" "&amp;Milestones!$AC$57&amp;";  ","")&amp;IF(AND(EDATE($D122,Milestones!$AA$58)&lt;=AsOfDate,IF($Q122=0,$W122,IF(AND($S122&lt;&gt;"",EDATE($D122,Milestones!$AA$58)&gt;=$S122),$V122,IF(AND($R122&lt;&gt;"",EDATE($D122,Milestones!$AA$58)&gt;=$R122),$U122,$T122)))=Milestones!$AB$58),TEXT(EDATE($D122,Milestones!$AA$58),"dd/mm/yy")&amp;" "&amp;Milestones!$AB$58&amp;" "&amp;Milestones!$AC$58&amp;";  ","")&amp;IF(AND(EDATE($D122,Milestones!$AA$59)&lt;=AsOfDate,IF($Q122=0,$W122,IF(AND($S122&lt;&gt;"",EDATE($D122,Milestones!$AA$59)&gt;=$S122),$V122,IF(AND($R122&lt;&gt;"",EDATE($D122,Milestones!$AA$59)&gt;=$R122),$U122,$T122)))=Milestones!$AB$59),TEXT(EDATE($D122,Milestones!$AA$59),"dd/mm/yy")&amp;" "&amp;Milestones!$AB$59&amp;" "&amp;Milestones!$AC$59&amp;";  ",""))</f>
        <v/>
      </c>
      <c r="J122" s="0" t="str">
        <f aca="false">IF(OR($A122="",$D122=""),"",IF(AND(EDATE($D122,Milestones!$AA$60)&lt;=AsOfDate,IF($Q122=0,$W122,IF(AND($S122&lt;&gt;"",EDATE($D122,Milestones!$AA$60)&gt;=$S122),$V122,IF(AND($R122&lt;&gt;"",EDATE($D122,Milestones!$AA$60)&gt;=$R122),$U122,$T122)))=Milestones!$AB$60),TEXT(EDATE($D122,Milestones!$AA$60),"dd/mm/yy")&amp;" "&amp;Milestones!$AB$60&amp;" "&amp;Milestones!$AC$60&amp;";  ","")&amp;IF(AND(EDATE($D122,Milestones!$AA$61)&lt;=AsOfDate,IF($Q122=0,$W122,IF(AND($S122&lt;&gt;"",EDATE($D122,Milestones!$AA$61)&gt;=$S122),$V122,IF(AND($R122&lt;&gt;"",EDATE($D122,Milestones!$AA$61)&gt;=$R122),$U122,$T122)))=Milestones!$AB$61),TEXT(EDATE($D122,Milestones!$AA$61),"dd/mm/yy")&amp;" "&amp;Milestones!$AB$61&amp;" "&amp;Milestones!$AC$61&amp;";  ","")&amp;IF(AND(EDATE($D122,Milestones!$AA$62)&lt;=AsOfDate,IF($Q122=0,$W122,IF(AND($S122&lt;&gt;"",EDATE($D122,Milestones!$AA$62)&gt;=$S122),$V122,IF(AND($R122&lt;&gt;"",EDATE($D122,Milestones!$AA$62)&gt;=$R122),$U122,$T122)))=Milestones!$AB$62),TEXT(EDATE($D122,Milestones!$AA$62),"dd/mm/yy")&amp;" "&amp;Milestones!$AB$62&amp;" "&amp;Milestones!$AC$62&amp;";  ","")&amp;IF(AND(EDATE($D122,Milestones!$AA$63)&lt;=AsOfDate,IF($Q122=0,$W122,IF(AND($S122&lt;&gt;"",EDATE($D122,Milestones!$AA$63)&gt;=$S122),$V122,IF(AND($R122&lt;&gt;"",EDATE($D122,Milestones!$AA$63)&gt;=$R122),$U122,$T122)))=Milestones!$AB$63),TEXT(EDATE($D122,Milestones!$AA$63),"dd/mm/yy")&amp;" "&amp;Milestones!$AB$63&amp;" "&amp;Milestones!$AC$63&amp;";  ","")&amp;IF(AND(EDATE($D122,Milestones!$AA$64)&lt;=AsOfDate,IF($Q122=0,$W122,IF(AND($S122&lt;&gt;"",EDATE($D122,Milestones!$AA$64)&gt;=$S122),$V122,IF(AND($R122&lt;&gt;"",EDATE($D122,Milestones!$AA$64)&gt;=$R122),$U122,$T122)))=Milestones!$AB$64),TEXT(EDATE($D122,Milestones!$AA$64),"dd/mm/yy")&amp;" "&amp;Milestones!$AB$64&amp;" "&amp;Milestones!$AC$64&amp;";  ","")&amp;IF(AND(EDATE($D122,Milestones!$AA$65)&lt;=AsOfDate,IF($Q122=0,$W122,IF(AND($S122&lt;&gt;"",EDATE($D122,Milestones!$AA$65)&gt;=$S122),$V122,IF(AND($R122&lt;&gt;"",EDATE($D122,Milestones!$AA$65)&gt;=$R122),$U122,$T122)))=Milestones!$AB$65),TEXT(EDATE($D122,Milestones!$AA$65),"dd/mm/yy")&amp;" "&amp;Milestones!$AB$65&amp;" "&amp;Milestones!$AC$65&amp;";  ","")&amp;IF(AND(EDATE($D122,Milestones!$AA$66)&lt;=AsOfDate,IF($Q122=0,$W122,IF(AND($S122&lt;&gt;"",EDATE($D122,Milestones!$AA$66)&gt;=$S122),$V122,IF(AND($R122&lt;&gt;"",EDATE($D122,Milestones!$AA$66)&gt;=$R122),$U122,$T122)))=Milestones!$AB$66),TEXT(EDATE($D122,Milestones!$AA$66),"dd/mm/yy")&amp;" "&amp;Milestones!$AB$66&amp;" "&amp;Milestones!$AC$66&amp;";  ","")&amp;IF(AND(EDATE($D122,Milestones!$AA$67)&lt;=AsOfDate,IF($Q122=0,$W122,IF(AND($S122&lt;&gt;"",EDATE($D122,Milestones!$AA$67)&gt;=$S122),$V122,IF(AND($R122&lt;&gt;"",EDATE($D122,Milestones!$AA$67)&gt;=$R122),$U122,$T122)))=Milestones!$AB$67),TEXT(EDATE($D122,Milestones!$AA$67),"dd/mm/yy")&amp;" "&amp;Milestones!$AB$67&amp;" "&amp;Milestones!$AC$67&amp;";  ","")&amp;IF(AND(EDATE($D122,Milestones!$AA$68)&lt;=AsOfDate,IF($Q122=0,$W122,IF(AND($S122&lt;&gt;"",EDATE($D122,Milestones!$AA$68)&gt;=$S122),$V122,IF(AND($R122&lt;&gt;"",EDATE($D122,Milestones!$AA$68)&gt;=$R122),$U122,$T122)))=Milestones!$AB$68),TEXT(EDATE($D122,Milestones!$AA$68),"dd/mm/yy")&amp;" "&amp;Milestones!$AB$68&amp;" "&amp;Milestones!$AC$68&amp;";  ","")&amp;IF(AND(EDATE($D122,Milestones!$AA$69)&lt;=AsOfDate,IF($Q122=0,$W122,IF(AND($S122&lt;&gt;"",EDATE($D122,Milestones!$AA$69)&gt;=$S122),$V122,IF(AND($R122&lt;&gt;"",EDATE($D122,Milestones!$AA$69)&gt;=$R122),$U122,$T122)))=Milestones!$AB$69),TEXT(EDATE($D122,Milestones!$AA$69),"dd/mm/yy")&amp;" "&amp;Milestones!$AB$69&amp;" "&amp;Milestones!$AC$69&amp;";  ","")&amp;IF(AND(EDATE($D122,Milestones!$AA$70)&lt;=AsOfDate,IF($Q122=0,$W122,IF(AND($S122&lt;&gt;"",EDATE($D122,Milestones!$AA$70)&gt;=$S122),$V122,IF(AND($R122&lt;&gt;"",EDATE($D122,Milestones!$AA$70)&gt;=$R122),$U122,$T122)))=Milestones!$AB$70),TEXT(EDATE($D122,Milestones!$AA$70),"dd/mm/yy")&amp;" "&amp;Milestones!$AB$70&amp;" "&amp;Milestones!$AC$70&amp;";  ","")&amp;IF(AND(EDATE($D122,Milestones!$AA$71)&lt;=AsOfDate,IF($Q122=0,$W122,IF(AND($S122&lt;&gt;"",EDATE($D122,Milestones!$AA$71)&gt;=$S122),$V122,IF(AND($R122&lt;&gt;"",EDATE($D122,Milestones!$AA$71)&gt;=$R122),$U122,$T122)))=Milestones!$AB$71),TEXT(EDATE($D122,Milestones!$AA$71),"dd/mm/yy")&amp;" "&amp;Milestones!$AB$71&amp;" "&amp;Milestones!$AC$71&amp;";  ","")&amp;IF(AND(EDATE($D122,Milestones!$AA$72)&lt;=AsOfDate,IF($Q122=0,$W122,IF(AND($S122&lt;&gt;"",EDATE($D122,Milestones!$AA$72)&gt;=$S122),$V122,IF(AND($R122&lt;&gt;"",EDATE($D122,Milestones!$AA$72)&gt;=$R122),$U122,$T122)))=Milestones!$AB$72),TEXT(EDATE($D122,Milestones!$AA$72),"dd/mm/yy")&amp;" "&amp;Milestones!$AB$72&amp;" "&amp;Milestones!$AC$72&amp;";  ","")&amp;IF(AND(EDATE($D122,Milestones!$AA$73)&lt;=AsOfDate,IF($Q122=0,$W122,IF(AND($S122&lt;&gt;"",EDATE($D122,Milestones!$AA$73)&gt;=$S122),$V122,IF(AND($R122&lt;&gt;"",EDATE($D122,Milestones!$AA$73)&gt;=$R122),$U122,$T122)))=Milestones!$AB$73),TEXT(EDATE($D122,Milestones!$AA$73),"dd/mm/yy")&amp;" "&amp;Milestones!$AB$73&amp;" "&amp;Milestones!$AC$73&amp;";  ","")&amp;IF(AND(EDATE($D122,Milestones!$AA$74)&lt;=AsOfDate,IF($Q122=0,$W122,IF(AND($S122&lt;&gt;"",EDATE($D122,Milestones!$AA$74)&gt;=$S122),$V122,IF(AND($R122&lt;&gt;"",EDATE($D122,Milestones!$AA$74)&gt;=$R122),$U122,$T122)))=Milestones!$AB$74),TEXT(EDATE($D122,Milestones!$AA$74),"dd/mm/yy")&amp;" "&amp;Milestones!$AB$74&amp;" "&amp;Milestones!$AC$74&amp;";  ","")&amp;IF(AND(EDATE($D122,Milestones!$AA$75)&lt;=AsOfDate,IF($Q122=0,$W122,IF(AND($S122&lt;&gt;"",EDATE($D122,Milestones!$AA$75)&gt;=$S122),$V122,IF(AND($R122&lt;&gt;"",EDATE($D122,Milestones!$AA$75)&gt;=$R122),$U122,$T122)))=Milestones!$AB$75),TEXT(EDATE($D122,Milestones!$AA$75),"dd/mm/yy")&amp;" "&amp;Milestones!$AB$75&amp;" "&amp;Milestones!$AC$75&amp;";  ","")&amp;IF(AND(EDATE($D122,Milestones!$AA$76)&lt;=AsOfDate,IF($Q122=0,$W122,IF(AND($S122&lt;&gt;"",EDATE($D122,Milestones!$AA$76)&gt;=$S122),$V122,IF(AND($R122&lt;&gt;"",EDATE($D122,Milestones!$AA$76)&gt;=$R122),$U122,$T122)))=Milestones!$AB$76),TEXT(EDATE($D122,Milestones!$AA$76),"dd/mm/yy")&amp;" "&amp;Milestones!$AB$76&amp;" "&amp;Milestones!$AC$76&amp;";  ","")&amp;IF(AND(EDATE($D122,Milestones!$AA$77)&lt;=AsOfDate,IF($Q122=0,$W122,IF(AND($S122&lt;&gt;"",EDATE($D122,Milestones!$AA$77)&gt;=$S122),$V122,IF(AND($R122&lt;&gt;"",EDATE($D122,Milestones!$AA$77)&gt;=$R122),$U122,$T122)))=Milestones!$AB$77),TEXT(EDATE($D122,Milestones!$AA$77),"dd/mm/yy")&amp;" "&amp;Milestones!$AB$77&amp;" "&amp;Milestones!$AC$77&amp;";  ","")&amp;IF(AND(EDATE($D122,Milestones!$AA$78)&lt;=AsOfDate,IF($Q122=0,$W122,IF(AND($S122&lt;&gt;"",EDATE($D122,Milestones!$AA$78)&gt;=$S122),$V122,IF(AND($R122&lt;&gt;"",EDATE($D122,Milestones!$AA$78)&gt;=$R122),$U122,$T122)))=Milestones!$AB$78),TEXT(EDATE($D122,Milestones!$AA$78),"dd/mm/yy")&amp;" "&amp;Milestones!$AB$78&amp;" "&amp;Milestones!$AC$78&amp;";  ","")&amp;IF(AND(EDATE($D122,Milestones!$AA$79)&lt;=AsOfDate,IF($Q122=0,$W122,IF(AND($S122&lt;&gt;"",EDATE($D122,Milestones!$AA$79)&gt;=$S122),$V122,IF(AND($R122&lt;&gt;"",EDATE($D122,Milestones!$AA$79)&gt;=$R122),$U122,$T122)))=Milestones!$AB$79),TEXT(EDATE($D122,Milestones!$AA$79),"dd/mm/yy")&amp;" "&amp;Milestones!$AB$79&amp;" "&amp;Milestones!$AC$79&amp;";  ",""))</f>
        <v/>
      </c>
      <c r="K122" s="0" t="str">
        <f aca="false">IF(OR($A122="",$D122=""),"",IF(AND(EDATE($D122,Milestones!$AA$80)&lt;=AsOfDate,IF($Q122=0,$W122,IF(AND($S122&lt;&gt;"",EDATE($D122,Milestones!$AA$80)&gt;=$S122),$V122,IF(AND($R122&lt;&gt;"",EDATE($D122,Milestones!$AA$80)&gt;=$R122),$U122,$T122)))=Milestones!$AB$80),TEXT(EDATE($D122,Milestones!$AA$80),"dd/mm/yy")&amp;" "&amp;Milestones!$AB$80&amp;" "&amp;Milestones!$AC$80&amp;";  ","")&amp;IF(AND(EDATE($D122,Milestones!$AA$81)&lt;=AsOfDate,IF($Q122=0,$W122,IF(AND($S122&lt;&gt;"",EDATE($D122,Milestones!$AA$81)&gt;=$S122),$V122,IF(AND($R122&lt;&gt;"",EDATE($D122,Milestones!$AA$81)&gt;=$R122),$U122,$T122)))=Milestones!$AB$81),TEXT(EDATE($D122,Milestones!$AA$81),"dd/mm/yy")&amp;" "&amp;Milestones!$AB$81&amp;" "&amp;Milestones!$AC$81&amp;";  ","")&amp;IF(AND(EDATE($D122,Milestones!$AA$82)&lt;=AsOfDate,IF($Q122=0,$W122,IF(AND($S122&lt;&gt;"",EDATE($D122,Milestones!$AA$82)&gt;=$S122),$V122,IF(AND($R122&lt;&gt;"",EDATE($D122,Milestones!$AA$82)&gt;=$R122),$U122,$T122)))=Milestones!$AB$82),TEXT(EDATE($D122,Milestones!$AA$82),"dd/mm/yy")&amp;" "&amp;Milestones!$AB$82&amp;" "&amp;Milestones!$AC$82&amp;";  ","")&amp;IF(AND(EDATE($D122,Milestones!$AA$83)&lt;=AsOfDate,IF($Q122=0,$W122,IF(AND($S122&lt;&gt;"",EDATE($D122,Milestones!$AA$83)&gt;=$S122),$V122,IF(AND($R122&lt;&gt;"",EDATE($D122,Milestones!$AA$83)&gt;=$R122),$U122,$T122)))=Milestones!$AB$83),TEXT(EDATE($D122,Milestones!$AA$83),"dd/mm/yy")&amp;" "&amp;Milestones!$AB$83&amp;" "&amp;Milestones!$AC$83&amp;";  ","")&amp;IF(AND(EDATE($D122,Milestones!$AA$84)&lt;=AsOfDate,IF($Q122=0,$W122,IF(AND($S122&lt;&gt;"",EDATE($D122,Milestones!$AA$84)&gt;=$S122),$V122,IF(AND($R122&lt;&gt;"",EDATE($D122,Milestones!$AA$84)&gt;=$R122),$U122,$T122)))=Milestones!$AB$84),TEXT(EDATE($D122,Milestones!$AA$84),"dd/mm/yy")&amp;" "&amp;Milestones!$AB$84&amp;" "&amp;Milestones!$AC$84&amp;";  ","")&amp;IF(AND(EDATE($D122,Milestones!$AA$85)&lt;=AsOfDate,IF($Q122=0,$W122,IF(AND($S122&lt;&gt;"",EDATE($D122,Milestones!$AA$85)&gt;=$S122),$V122,IF(AND($R122&lt;&gt;"",EDATE($D122,Milestones!$AA$85)&gt;=$R122),$U122,$T122)))=Milestones!$AB$85),TEXT(EDATE($D122,Milestones!$AA$85),"dd/mm/yy")&amp;" "&amp;Milestones!$AB$85&amp;" "&amp;Milestones!$AC$85&amp;";  ","")&amp;IF(AND(EDATE($D122,Milestones!$AA$86)&lt;=AsOfDate,IF($Q122=0,$W122,IF(AND($S122&lt;&gt;"",EDATE($D122,Milestones!$AA$86)&gt;=$S122),$V122,IF(AND($R122&lt;&gt;"",EDATE($D122,Milestones!$AA$86)&gt;=$R122),$U122,$T122)))=Milestones!$AB$86),TEXT(EDATE($D122,Milestones!$AA$86),"dd/mm/yy")&amp;" "&amp;Milestones!$AB$86&amp;" "&amp;Milestones!$AC$86&amp;";  ","")&amp;IF(AND(EDATE($D122,Milestones!$AA$87)&lt;=AsOfDate,IF($Q122=0,$W122,IF(AND($S122&lt;&gt;"",EDATE($D122,Milestones!$AA$87)&gt;=$S122),$V122,IF(AND($R122&lt;&gt;"",EDATE($D122,Milestones!$AA$87)&gt;=$R122),$U122,$T122)))=Milestones!$AB$87),TEXT(EDATE($D122,Milestones!$AA$87),"dd/mm/yy")&amp;" "&amp;Milestones!$AB$87&amp;" "&amp;Milestones!$AC$87&amp;";  ","")&amp;IF(AND(EDATE($D122,Milestones!$AA$88)&lt;=AsOfDate,IF($Q122=0,$W122,IF(AND($S122&lt;&gt;"",EDATE($D122,Milestones!$AA$88)&gt;=$S122),$V122,IF(AND($R122&lt;&gt;"",EDATE($D122,Milestones!$AA$88)&gt;=$R122),$U122,$T122)))=Milestones!$AB$88),TEXT(EDATE($D122,Milestones!$AA$88),"dd/mm/yy")&amp;" "&amp;Milestones!$AB$88&amp;" "&amp;Milestones!$AC$88&amp;";  ","")&amp;IF(AND(EDATE($D122,Milestones!$AA$89)&lt;=AsOfDate,IF($Q122=0,$W122,IF(AND($S122&lt;&gt;"",EDATE($D122,Milestones!$AA$89)&gt;=$S122),$V122,IF(AND($R122&lt;&gt;"",EDATE($D122,Milestones!$AA$89)&gt;=$R122),$U122,$T122)))=Milestones!$AB$89),TEXT(EDATE($D122,Milestones!$AA$89),"dd/mm/yy")&amp;" "&amp;Milestones!$AB$89&amp;" "&amp;Milestones!$AC$89&amp;";  ","")&amp;IF(AND(EDATE($D122,Milestones!$AA$90)&lt;=AsOfDate,IF($Q122=0,$W122,IF(AND($S122&lt;&gt;"",EDATE($D122,Milestones!$AA$90)&gt;=$S122),$V122,IF(AND($R122&lt;&gt;"",EDATE($D122,Milestones!$AA$90)&gt;=$R122),$U122,$T122)))=Milestones!$AB$90),TEXT(EDATE($D122,Milestones!$AA$90),"dd/mm/yy")&amp;" "&amp;Milestones!$AB$90&amp;" "&amp;Milestones!$AC$90&amp;";  ","")&amp;IF(AND(EDATE($D122,Milestones!$AA$91)&lt;=AsOfDate,IF($Q122=0,$W122,IF(AND($S122&lt;&gt;"",EDATE($D122,Milestones!$AA$91)&gt;=$S122),$V122,IF(AND($R122&lt;&gt;"",EDATE($D122,Milestones!$AA$91)&gt;=$R122),$U122,$T122)))=Milestones!$AB$91),TEXT(EDATE($D122,Milestones!$AA$91),"dd/mm/yy")&amp;" "&amp;Milestones!$AB$91&amp;" "&amp;Milestones!$AC$91&amp;";  ","")&amp;IF(AND(EDATE($D122,Milestones!$AA$92)&lt;=AsOfDate,IF($Q122=0,$W122,IF(AND($S122&lt;&gt;"",EDATE($D122,Milestones!$AA$92)&gt;=$S122),$V122,IF(AND($R122&lt;&gt;"",EDATE($D122,Milestones!$AA$92)&gt;=$R122),$U122,$T122)))=Milestones!$AB$92),TEXT(EDATE($D122,Milestones!$AA$92),"dd/mm/yy")&amp;" "&amp;Milestones!$AB$92&amp;" "&amp;Milestones!$AC$92&amp;";  ","")&amp;IF(AND(EDATE($D122,Milestones!$AA$93)&lt;=AsOfDate,IF($Q122=0,$W122,IF(AND($S122&lt;&gt;"",EDATE($D122,Milestones!$AA$93)&gt;=$S122),$V122,IF(AND($R122&lt;&gt;"",EDATE($D122,Milestones!$AA$93)&gt;=$R122),$U122,$T122)))=Milestones!$AB$93),TEXT(EDATE($D122,Milestones!$AA$93),"dd/mm/yy")&amp;" "&amp;Milestones!$AB$93&amp;" "&amp;Milestones!$AC$93&amp;";  ","")&amp;IF(AND(EDATE($D122,Milestones!$AA$94)&lt;=AsOfDate,IF($Q122=0,$W122,IF(AND($S122&lt;&gt;"",EDATE($D122,Milestones!$AA$94)&gt;=$S122),$V122,IF(AND($R122&lt;&gt;"",EDATE($D122,Milestones!$AA$94)&gt;=$R122),$U122,$T122)))=Milestones!$AB$94),TEXT(EDATE($D122,Milestones!$AA$94),"dd/mm/yy")&amp;" "&amp;Milestones!$AB$94&amp;" "&amp;Milestones!$AC$94&amp;";  ","")&amp;IF(AND(EDATE($D122,Milestones!$AA$95)&lt;=AsOfDate,IF($Q122=0,$W122,IF(AND($S122&lt;&gt;"",EDATE($D122,Milestones!$AA$95)&gt;=$S122),$V122,IF(AND($R122&lt;&gt;"",EDATE($D122,Milestones!$AA$95)&gt;=$R122),$U122,$T122)))=Milestones!$AB$95),TEXT(EDATE($D122,Milestones!$AA$95),"dd/mm/yy")&amp;" "&amp;Milestones!$AB$95&amp;" "&amp;Milestones!$AC$95&amp;";  ","")&amp;IF(AND(EDATE($D122,Milestones!$AA$96)&lt;=AsOfDate,IF($Q122=0,$W122,IF(AND($S122&lt;&gt;"",EDATE($D122,Milestones!$AA$96)&gt;=$S122),$V122,IF(AND($R122&lt;&gt;"",EDATE($D122,Milestones!$AA$96)&gt;=$R122),$U122,$T122)))=Milestones!$AB$96),TEXT(EDATE($D122,Milestones!$AA$96),"dd/mm/yy")&amp;" "&amp;Milestones!$AB$96&amp;" "&amp;Milestones!$AC$96&amp;";  ","")&amp;IF(AND(EDATE($D122,Milestones!$AA$97)&lt;=AsOfDate,IF($Q122=0,$W122,IF(AND($S122&lt;&gt;"",EDATE($D122,Milestones!$AA$97)&gt;=$S122),$V122,IF(AND($R122&lt;&gt;"",EDATE($D122,Milestones!$AA$97)&gt;=$R122),$U122,$T122)))=Milestones!$AB$97),TEXT(EDATE($D122,Milestones!$AA$97),"dd/mm/yy")&amp;" "&amp;Milestones!$AB$97&amp;" "&amp;Milestones!$AC$97&amp;";  ","")&amp;IF(AND(EDATE($D122,Milestones!$AA$98)&lt;=AsOfDate,IF($Q122=0,$W122,IF(AND($S122&lt;&gt;"",EDATE($D122,Milestones!$AA$98)&gt;=$S122),$V122,IF(AND($R122&lt;&gt;"",EDATE($D122,Milestones!$AA$98)&gt;=$R122),$U122,$T122)))=Milestones!$AB$98),TEXT(EDATE($D122,Milestones!$AA$98),"dd/mm/yy")&amp;" "&amp;Milestones!$AB$98&amp;" "&amp;Milestones!$AC$98&amp;";  ","")&amp;IF(AND(EDATE($D122,Milestones!$AA$99)&lt;=AsOfDate,IF($Q122=0,$W122,IF(AND($S122&lt;&gt;"",EDATE($D122,Milestones!$AA$99)&gt;=$S122),$V122,IF(AND($R122&lt;&gt;"",EDATE($D122,Milestones!$AA$99)&gt;=$R122),$U122,$T122)))=Milestones!$AB$99),TEXT(EDATE($D122,Milestones!$AA$99),"dd/mm/yy")&amp;" "&amp;Milestones!$AB$99&amp;" "&amp;Milestones!$AC$99&amp;";  ",""))</f>
        <v/>
      </c>
      <c r="L122" s="0" t="str">
        <f aca="false">IF(OR($A122="",$D122=""),"",IF(AND(EDATE($D122,Milestones!$AA$100)&lt;=AsOfDate,IF($Q122=0,$W122,IF(AND($S122&lt;&gt;"",EDATE($D122,Milestones!$AA$100)&gt;=$S122),$V122,IF(AND($R122&lt;&gt;"",EDATE($D122,Milestones!$AA$100)&gt;=$R122),$U122,$T122)))=Milestones!$AB$100),TEXT(EDATE($D122,Milestones!$AA$100),"dd/mm/yy")&amp;" "&amp;Milestones!$AB$100&amp;" "&amp;Milestones!$AC$100&amp;";  ","")&amp;IF(AND(EDATE($D122,Milestones!$AA$101)&lt;=AsOfDate,IF($Q122=0,$W122,IF(AND($S122&lt;&gt;"",EDATE($D122,Milestones!$AA$101)&gt;=$S122),$V122,IF(AND($R122&lt;&gt;"",EDATE($D122,Milestones!$AA$101)&gt;=$R122),$U122,$T122)))=Milestones!$AB$101),TEXT(EDATE($D122,Milestones!$AA$101),"dd/mm/yy")&amp;" "&amp;Milestones!$AB$101&amp;" "&amp;Milestones!$AC$101&amp;";  ","")&amp;IF(AND(EDATE($D122,Milestones!$AA$102)&lt;=AsOfDate,IF($Q122=0,$W122,IF(AND($S122&lt;&gt;"",EDATE($D122,Milestones!$AA$102)&gt;=$S122),$V122,IF(AND($R122&lt;&gt;"",EDATE($D122,Milestones!$AA$102)&gt;=$R122),$U122,$T122)))=Milestones!$AB$102),TEXT(EDATE($D122,Milestones!$AA$102),"dd/mm/yy")&amp;" "&amp;Milestones!$AB$102&amp;" "&amp;Milestones!$AC$102&amp;";  ","")&amp;IF(AND(EDATE($D122,Milestones!$AA$103)&lt;=AsOfDate,IF($Q122=0,$W122,IF(AND($S122&lt;&gt;"",EDATE($D122,Milestones!$AA$103)&gt;=$S122),$V122,IF(AND($R122&lt;&gt;"",EDATE($D122,Milestones!$AA$103)&gt;=$R122),$U122,$T122)))=Milestones!$AB$103),TEXT(EDATE($D122,Milestones!$AA$103),"dd/mm/yy")&amp;" "&amp;Milestones!$AB$103&amp;" "&amp;Milestones!$AC$103&amp;";  ","")&amp;IF(AND(EDATE($D122,Milestones!$AA$104)&lt;=AsOfDate,IF($Q122=0,$W122,IF(AND($S122&lt;&gt;"",EDATE($D122,Milestones!$AA$104)&gt;=$S122),$V122,IF(AND($R122&lt;&gt;"",EDATE($D122,Milestones!$AA$104)&gt;=$R122),$U122,$T122)))=Milestones!$AB$104),TEXT(EDATE($D122,Milestones!$AA$104),"dd/mm/yy")&amp;" "&amp;Milestones!$AB$104&amp;" "&amp;Milestones!$AC$104&amp;";  ","")&amp;IF(AND(EDATE($D122,Milestones!$AA$105)&lt;=AsOfDate,IF($Q122=0,$W122,IF(AND($S122&lt;&gt;"",EDATE($D122,Milestones!$AA$105)&gt;=$S122),$V122,IF(AND($R122&lt;&gt;"",EDATE($D122,Milestones!$AA$105)&gt;=$R122),$U122,$T122)))=Milestones!$AB$105),TEXT(EDATE($D122,Milestones!$AA$105),"dd/mm/yy")&amp;" "&amp;Milestones!$AB$105&amp;" "&amp;Milestones!$AC$105&amp;";  ","")&amp;IF(AND(EDATE($D122,Milestones!$AA$106)&lt;=AsOfDate,IF($Q122=0,$W122,IF(AND($S122&lt;&gt;"",EDATE($D122,Milestones!$AA$106)&gt;=$S122),$V122,IF(AND($R122&lt;&gt;"",EDATE($D122,Milestones!$AA$106)&gt;=$R122),$U122,$T122)))=Milestones!$AB$106),TEXT(EDATE($D122,Milestones!$AA$106),"dd/mm/yy")&amp;" "&amp;Milestones!$AB$106&amp;" "&amp;Milestones!$AC$106&amp;";  ","")&amp;IF(AND(EDATE($D122,Milestones!$AA$107)&lt;=AsOfDate,IF($Q122=0,$W122,IF(AND($S122&lt;&gt;"",EDATE($D122,Milestones!$AA$107)&gt;=$S122),$V122,IF(AND($R122&lt;&gt;"",EDATE($D122,Milestones!$AA$107)&gt;=$R122),$U122,$T122)))=Milestones!$AB$107),TEXT(EDATE($D122,Milestones!$AA$107),"dd/mm/yy")&amp;" "&amp;Milestones!$AB$107&amp;" "&amp;Milestones!$AC$107&amp;";  ","")&amp;IF(AND(EDATE($D122,Milestones!$AA$108)&lt;=AsOfDate,IF($Q122=0,$W122,IF(AND($S122&lt;&gt;"",EDATE($D122,Milestones!$AA$108)&gt;=$S122),$V122,IF(AND($R122&lt;&gt;"",EDATE($D122,Milestones!$AA$108)&gt;=$R122),$U122,$T122)))=Milestones!$AB$108),TEXT(EDATE($D122,Milestones!$AA$108),"dd/mm/yy")&amp;" "&amp;Milestones!$AB$108&amp;" "&amp;Milestones!$AC$108&amp;";  ","")&amp;IF(AND(EDATE($D122,Milestones!$AA$109)&lt;=AsOfDate,IF($Q122=0,$W122,IF(AND($S122&lt;&gt;"",EDATE($D122,Milestones!$AA$109)&gt;=$S122),$V122,IF(AND($R122&lt;&gt;"",EDATE($D122,Milestones!$AA$109)&gt;=$R122),$U122,$T122)))=Milestones!$AB$109),TEXT(EDATE($D122,Milestones!$AA$109),"dd/mm/yy")&amp;" "&amp;Milestones!$AB$109&amp;" "&amp;Milestones!$AC$109&amp;";  ","")&amp;IF(AND(EDATE($D122,Milestones!$AA$110)&lt;=AsOfDate,IF($Q122=0,$W122,IF(AND($S122&lt;&gt;"",EDATE($D122,Milestones!$AA$110)&gt;=$S122),$V122,IF(AND($R122&lt;&gt;"",EDATE($D122,Milestones!$AA$110)&gt;=$R122),$U122,$T122)))=Milestones!$AB$110),TEXT(EDATE($D122,Milestones!$AA$110),"dd/mm/yy")&amp;" "&amp;Milestones!$AB$110&amp;" "&amp;Milestones!$AC$110&amp;";  ","")&amp;IF(AND(EDATE($D122,Milestones!$AA$111)&lt;=AsOfDate,IF($Q122=0,$W122,IF(AND($S122&lt;&gt;"",EDATE($D122,Milestones!$AA$111)&gt;=$S122),$V122,IF(AND($R122&lt;&gt;"",EDATE($D122,Milestones!$AA$111)&gt;=$R122),$U122,$T122)))=Milestones!$AB$111),TEXT(EDATE($D122,Milestones!$AA$111),"dd/mm/yy")&amp;" "&amp;Milestones!$AB$111&amp;" "&amp;Milestones!$AC$111&amp;";  ","")&amp;IF(AND(EDATE($D122,Milestones!$AA$112)&lt;=AsOfDate,IF($Q122=0,$W122,IF(AND($S122&lt;&gt;"",EDATE($D122,Milestones!$AA$112)&gt;=$S122),$V122,IF(AND($R122&lt;&gt;"",EDATE($D122,Milestones!$AA$112)&gt;=$R122),$U122,$T122)))=Milestones!$AB$112),TEXT(EDATE($D122,Milestones!$AA$112),"dd/mm/yy")&amp;" "&amp;Milestones!$AB$112&amp;" "&amp;Milestones!$AC$112&amp;";  ","")&amp;IF(AND(EDATE($D122,Milestones!$AA$113)&lt;=AsOfDate,IF($Q122=0,$W122,IF(AND($S122&lt;&gt;"",EDATE($D122,Milestones!$AA$113)&gt;=$S122),$V122,IF(AND($R122&lt;&gt;"",EDATE($D122,Milestones!$AA$113)&gt;=$R122),$U122,$T122)))=Milestones!$AB$113),TEXT(EDATE($D122,Milestones!$AA$113),"dd/mm/yy")&amp;" "&amp;Milestones!$AB$113&amp;" "&amp;Milestones!$AC$113&amp;";  ","")&amp;IF(AND(EDATE($D122,Milestones!$AA$114)&lt;=AsOfDate,IF($Q122=0,$W122,IF(AND($S122&lt;&gt;"",EDATE($D122,Milestones!$AA$114)&gt;=$S122),$V122,IF(AND($R122&lt;&gt;"",EDATE($D122,Milestones!$AA$114)&gt;=$R122),$U122,$T122)))=Milestones!$AB$114),TEXT(EDATE($D122,Milestones!$AA$114),"dd/mm/yy")&amp;" "&amp;Milestones!$AB$114&amp;" "&amp;Milestones!$AC$114&amp;";  ","")&amp;IF(AND(EDATE($D122,Milestones!$AA$115)&lt;=AsOfDate,IF($Q122=0,$W122,IF(AND($S122&lt;&gt;"",EDATE($D122,Milestones!$AA$115)&gt;=$S122),$V122,IF(AND($R122&lt;&gt;"",EDATE($D122,Milestones!$AA$115)&gt;=$R122),$U122,$T122)))=Milestones!$AB$115),TEXT(EDATE($D122,Milestones!$AA$115),"dd/mm/yy")&amp;" "&amp;Milestones!$AB$115&amp;" "&amp;Milestones!$AC$115&amp;";  ","")&amp;IF(AND(EDATE($D122,Milestones!$AA$116)&lt;=AsOfDate,IF($Q122=0,$W122,IF(AND($S122&lt;&gt;"",EDATE($D122,Milestones!$AA$116)&gt;=$S122),$V122,IF(AND($R122&lt;&gt;"",EDATE($D122,Milestones!$AA$116)&gt;=$R122),$U122,$T122)))=Milestones!$AB$116),TEXT(EDATE($D122,Milestones!$AA$116),"dd/mm/yy")&amp;" "&amp;Milestones!$AB$116&amp;" "&amp;Milestones!$AC$116&amp;";  ","")&amp;IF(AND(EDATE($D122,Milestones!$AA$117)&lt;=AsOfDate,IF($Q122=0,$W122,IF(AND($S122&lt;&gt;"",EDATE($D122,Milestones!$AA$117)&gt;=$S122),$V122,IF(AND($R122&lt;&gt;"",EDATE($D122,Milestones!$AA$117)&gt;=$R122),$U122,$T122)))=Milestones!$AB$117),TEXT(EDATE($D122,Milestones!$AA$117),"dd/mm/yy")&amp;" "&amp;Milestones!$AB$117&amp;" "&amp;Milestones!$AC$117&amp;";  ","")&amp;IF(AND(EDATE($D122,Milestones!$AA$118)&lt;=AsOfDate,IF($Q122=0,$W122,IF(AND($S122&lt;&gt;"",EDATE($D122,Milestones!$AA$118)&gt;=$S122),$V122,IF(AND($R122&lt;&gt;"",EDATE($D122,Milestones!$AA$118)&gt;=$R122),$U122,$T122)))=Milestones!$AB$118),TEXT(EDATE($D122,Milestones!$AA$118),"dd/mm/yy")&amp;" "&amp;Milestones!$AB$118&amp;" "&amp;Milestones!$AC$118&amp;";  ","")&amp;IF(AND(EDATE($D122,Milestones!$AA$119)&lt;=AsOfDate,IF($Q122=0,$W122,IF(AND($S122&lt;&gt;"",EDATE($D122,Milestones!$AA$119)&gt;=$S122),$V122,IF(AND($R122&lt;&gt;"",EDATE($D122,Milestones!$AA$119)&gt;=$R122),$U122,$T122)))=Milestones!$AB$119),TEXT(EDATE($D122,Milestones!$AA$119),"dd/mm/yy")&amp;" "&amp;Milestones!$AB$119&amp;" "&amp;Milestones!$AC$119&amp;";  ",""))</f>
        <v/>
      </c>
      <c r="M122" s="0" t="str">
        <f aca="false">IF(OR($A122="",$D122=""),"",IF(AND(EDATE($D122,Milestones!$AA$120)&lt;=AsOfDate,IF($Q122=0,$W122,IF(AND($S122&lt;&gt;"",EDATE($D122,Milestones!$AA$120)&gt;=$S122),$V122,IF(AND($R122&lt;&gt;"",EDATE($D122,Milestones!$AA$120)&gt;=$R122),$U122,$T122)))=Milestones!$AB$120),TEXT(EDATE($D122,Milestones!$AA$120),"dd/mm/yy")&amp;" "&amp;Milestones!$AB$120&amp;" "&amp;Milestones!$AC$120&amp;";  ","")&amp;IF(AND(EDATE($D122,Milestones!$AA$121)&lt;=AsOfDate,IF($Q122=0,$W122,IF(AND($S122&lt;&gt;"",EDATE($D122,Milestones!$AA$121)&gt;=$S122),$V122,IF(AND($R122&lt;&gt;"",EDATE($D122,Milestones!$AA$121)&gt;=$R122),$U122,$T122)))=Milestones!$AB$121),TEXT(EDATE($D122,Milestones!$AA$121),"dd/mm/yy")&amp;" "&amp;Milestones!$AB$121&amp;" "&amp;Milestones!$AC$121&amp;";  ","")&amp;IF(AND(EDATE($D122,Milestones!$AA$122)&lt;=AsOfDate,IF($Q122=0,$W122,IF(AND($S122&lt;&gt;"",EDATE($D122,Milestones!$AA$122)&gt;=$S122),$V122,IF(AND($R122&lt;&gt;"",EDATE($D122,Milestones!$AA$122)&gt;=$R122),$U122,$T122)))=Milestones!$AB$122),TEXT(EDATE($D122,Milestones!$AA$122),"dd/mm/yy")&amp;" "&amp;Milestones!$AB$122&amp;" "&amp;Milestones!$AC$122&amp;";  ","")&amp;IF(AND(EDATE($D122,Milestones!$AA$123)&lt;=AsOfDate,IF($Q122=0,$W122,IF(AND($S122&lt;&gt;"",EDATE($D122,Milestones!$AA$123)&gt;=$S122),$V122,IF(AND($R122&lt;&gt;"",EDATE($D122,Milestones!$AA$123)&gt;=$R122),$U122,$T122)))=Milestones!$AB$123),TEXT(EDATE($D122,Milestones!$AA$123),"dd/mm/yy")&amp;" "&amp;Milestones!$AB$123&amp;" "&amp;Milestones!$AC$123&amp;";  ","")&amp;IF(AND(EDATE($D122,Milestones!$AA$124)&lt;=AsOfDate,IF($Q122=0,$W122,IF(AND($S122&lt;&gt;"",EDATE($D122,Milestones!$AA$124)&gt;=$S122),$V122,IF(AND($R122&lt;&gt;"",EDATE($D122,Milestones!$AA$124)&gt;=$R122),$U122,$T122)))=Milestones!$AB$124),TEXT(EDATE($D122,Milestones!$AA$124),"dd/mm/yy")&amp;" "&amp;Milestones!$AB$124&amp;" "&amp;Milestones!$AC$124&amp;";  ","")&amp;IF(AND(EDATE($D122,Milestones!$AA$125)&lt;=AsOfDate,IF($Q122=0,$W122,IF(AND($S122&lt;&gt;"",EDATE($D122,Milestones!$AA$125)&gt;=$S122),$V122,IF(AND($R122&lt;&gt;"",EDATE($D122,Milestones!$AA$125)&gt;=$R122),$U122,$T122)))=Milestones!$AB$125),TEXT(EDATE($D122,Milestones!$AA$125),"dd/mm/yy")&amp;" "&amp;Milestones!$AB$125&amp;" "&amp;Milestones!$AC$125&amp;";  ","")&amp;IF(AND(EDATE($D122,Milestones!$AA$126)&lt;=AsOfDate,IF($Q122=0,$W122,IF(AND($S122&lt;&gt;"",EDATE($D122,Milestones!$AA$126)&gt;=$S122),$V122,IF(AND($R122&lt;&gt;"",EDATE($D122,Milestones!$AA$126)&gt;=$R122),$U122,$T122)))=Milestones!$AB$126),TEXT(EDATE($D122,Milestones!$AA$126),"dd/mm/yy")&amp;" "&amp;Milestones!$AB$126&amp;" "&amp;Milestones!$AC$126&amp;";  ","")&amp;IF(AND(EDATE($D122,Milestones!$AA$127)&lt;=AsOfDate,IF($Q122=0,$W122,IF(AND($S122&lt;&gt;"",EDATE($D122,Milestones!$AA$127)&gt;=$S122),$V122,IF(AND($R122&lt;&gt;"",EDATE($D122,Milestones!$AA$127)&gt;=$R122),$U122,$T122)))=Milestones!$AB$127),TEXT(EDATE($D122,Milestones!$AA$127),"dd/mm/yy")&amp;" "&amp;Milestones!$AB$127&amp;" "&amp;Milestones!$AC$127&amp;";  ","")&amp;IF(AND(EDATE($D122,Milestones!$AA$128)&lt;=AsOfDate,IF($Q122=0,$W122,IF(AND($S122&lt;&gt;"",EDATE($D122,Milestones!$AA$128)&gt;=$S122),$V122,IF(AND($R122&lt;&gt;"",EDATE($D122,Milestones!$AA$128)&gt;=$R122),$U122,$T122)))=Milestones!$AB$128),TEXT(EDATE($D122,Milestones!$AA$128),"dd/mm/yy")&amp;" "&amp;Milestones!$AB$128&amp;" "&amp;Milestones!$AC$128&amp;";  ","")&amp;IF(AND(EDATE($D122,Milestones!$AA$129)&lt;=AsOfDate,IF($Q122=0,$W122,IF(AND($S122&lt;&gt;"",EDATE($D122,Milestones!$AA$129)&gt;=$S122),$V122,IF(AND($R122&lt;&gt;"",EDATE($D122,Milestones!$AA$129)&gt;=$R122),$U122,$T122)))=Milestones!$AB$129),TEXT(EDATE($D122,Milestones!$AA$129),"dd/mm/yy")&amp;" "&amp;Milestones!$AB$129&amp;" "&amp;Milestones!$AC$129&amp;";  ","")&amp;IF(AND(EDATE($D122,Milestones!$AA$130)&lt;=AsOfDate,IF($Q122=0,$W122,IF(AND($S122&lt;&gt;"",EDATE($D122,Milestones!$AA$130)&gt;=$S122),$V122,IF(AND($R122&lt;&gt;"",EDATE($D122,Milestones!$AA$130)&gt;=$R122),$U122,$T122)))=Milestones!$AB$130),TEXT(EDATE($D122,Milestones!$AA$130),"dd/mm/yy")&amp;" "&amp;Milestones!$AB$130&amp;" "&amp;Milestones!$AC$130&amp;";  ","")&amp;IF(AND(EDATE($D122,Milestones!$AA$131)&lt;=AsOfDate,IF($Q122=0,$W122,IF(AND($S122&lt;&gt;"",EDATE($D122,Milestones!$AA$131)&gt;=$S122),$V122,IF(AND($R122&lt;&gt;"",EDATE($D122,Milestones!$AA$131)&gt;=$R122),$U122,$T122)))=Milestones!$AB$131),TEXT(EDATE($D122,Milestones!$AA$131),"dd/mm/yy")&amp;" "&amp;Milestones!$AB$131&amp;" "&amp;Milestones!$AC$131&amp;";  ","")&amp;IF(AND(EDATE($D122,Milestones!$AA$132)&lt;=AsOfDate,IF($Q122=0,$W122,IF(AND($S122&lt;&gt;"",EDATE($D122,Milestones!$AA$132)&gt;=$S122),$V122,IF(AND($R122&lt;&gt;"",EDATE($D122,Milestones!$AA$132)&gt;=$R122),$U122,$T122)))=Milestones!$AB$132),TEXT(EDATE($D122,Milestones!$AA$132),"dd/mm/yy")&amp;" "&amp;Milestones!$AB$132&amp;" "&amp;Milestones!$AC$132&amp;";  ","")&amp;IF(AND(EDATE($D122,Milestones!$AA$133)&lt;=AsOfDate,IF($Q122=0,$W122,IF(AND($S122&lt;&gt;"",EDATE($D122,Milestones!$AA$133)&gt;=$S122),$V122,IF(AND($R122&lt;&gt;"",EDATE($D122,Milestones!$AA$133)&gt;=$R122),$U122,$T122)))=Milestones!$AB$133),TEXT(EDATE($D122,Milestones!$AA$133),"dd/mm/yy")&amp;" "&amp;Milestones!$AB$133&amp;" "&amp;Milestones!$AC$133&amp;";  ","")&amp;IF(AND(EDATE($D122,Milestones!$AA$134)&lt;=AsOfDate,IF($Q122=0,$W122,IF(AND($S122&lt;&gt;"",EDATE($D122,Milestones!$AA$134)&gt;=$S122),$V122,IF(AND($R122&lt;&gt;"",EDATE($D122,Milestones!$AA$134)&gt;=$R122),$U122,$T122)))=Milestones!$AB$134),TEXT(EDATE($D122,Milestones!$AA$134),"dd/mm/yy")&amp;" "&amp;Milestones!$AB$134&amp;" "&amp;Milestones!$AC$134&amp;";  ","")&amp;IF(AND(EDATE($D122,Milestones!$AA$135)&lt;=AsOfDate,IF($Q122=0,$W122,IF(AND($S122&lt;&gt;"",EDATE($D122,Milestones!$AA$135)&gt;=$S122),$V122,IF(AND($R122&lt;&gt;"",EDATE($D122,Milestones!$AA$135)&gt;=$R122),$U122,$T122)))=Milestones!$AB$135),TEXT(EDATE($D122,Milestones!$AA$135),"dd/mm/yy")&amp;" "&amp;Milestones!$AB$135&amp;" "&amp;Milestones!$AC$135&amp;";  ","")&amp;IF(AND(EDATE($D122,Milestones!$AA$136)&lt;=AsOfDate,IF($Q122=0,$W122,IF(AND($S122&lt;&gt;"",EDATE($D122,Milestones!$AA$136)&gt;=$S122),$V122,IF(AND($R122&lt;&gt;"",EDATE($D122,Milestones!$AA$136)&gt;=$R122),$U122,$T122)))=Milestones!$AB$136),TEXT(EDATE($D122,Milestones!$AA$136),"dd/mm/yy")&amp;" "&amp;Milestones!$AB$136&amp;" "&amp;Milestones!$AC$136&amp;";  ","")&amp;IF(AND(EDATE($D122,Milestones!$AA$137)&lt;=AsOfDate,IF($Q122=0,$W122,IF(AND($S122&lt;&gt;"",EDATE($D122,Milestones!$AA$137)&gt;=$S122),$V122,IF(AND($R122&lt;&gt;"",EDATE($D122,Milestones!$AA$137)&gt;=$R122),$U122,$T122)))=Milestones!$AB$137),TEXT(EDATE($D122,Milestones!$AA$137),"dd/mm/yy")&amp;" "&amp;Milestones!$AB$137&amp;" "&amp;Milestones!$AC$137&amp;";  ","")&amp;IF(AND(EDATE($D122,Milestones!$AA$138)&lt;=AsOfDate,IF($Q122=0,$W122,IF(AND($S122&lt;&gt;"",EDATE($D122,Milestones!$AA$138)&gt;=$S122),$V122,IF(AND($R122&lt;&gt;"",EDATE($D122,Milestones!$AA$138)&gt;=$R122),$U122,$T122)))=Milestones!$AB$138),TEXT(EDATE($D122,Milestones!$AA$138),"dd/mm/yy")&amp;" "&amp;Milestones!$AB$138&amp;" "&amp;Milestones!$AC$138&amp;";  ","")&amp;IF(AND(EDATE($D122,Milestones!$AA$139)&lt;=AsOfDate,IF($Q122=0,$W122,IF(AND($S122&lt;&gt;"",EDATE($D122,Milestones!$AA$139)&gt;=$S122),$V122,IF(AND($R122&lt;&gt;"",EDATE($D122,Milestones!$AA$139)&gt;=$R122),$U122,$T122)))=Milestones!$AB$139),TEXT(EDATE($D122,Milestones!$AA$139),"dd/mm/yy")&amp;" "&amp;Milestones!$AB$139&amp;" "&amp;Milestones!$AC$139&amp;";  ",""))</f>
        <v/>
      </c>
      <c r="N122" s="0" t="str">
        <f aca="false">IF(OR($A122="",$D122=""),"",IF(AND(EDATE($D122,Milestones!$AA$140)&lt;=AsOfDate,IF($Q122=0,$W122,IF(AND($S122&lt;&gt;"",EDATE($D122,Milestones!$AA$140)&gt;=$S122),$V122,IF(AND($R122&lt;&gt;"",EDATE($D122,Milestones!$AA$140)&gt;=$R122),$U122,$T122)))=Milestones!$AB$140),TEXT(EDATE($D122,Milestones!$AA$140),"dd/mm/yy")&amp;" "&amp;Milestones!$AB$140&amp;" "&amp;Milestones!$AC$140&amp;";  ","")&amp;IF(AND(EDATE($D122,Milestones!$AA$141)&lt;=AsOfDate,IF($Q122=0,$W122,IF(AND($S122&lt;&gt;"",EDATE($D122,Milestones!$AA$141)&gt;=$S122),$V122,IF(AND($R122&lt;&gt;"",EDATE($D122,Milestones!$AA$141)&gt;=$R122),$U122,$T122)))=Milestones!$AB$141),TEXT(EDATE($D122,Milestones!$AA$141),"dd/mm/yy")&amp;" "&amp;Milestones!$AB$141&amp;" "&amp;Milestones!$AC$141&amp;";  ","")&amp;IF(AND(EDATE($D122,Milestones!$AA$142)&lt;=AsOfDate,IF($Q122=0,$W122,IF(AND($S122&lt;&gt;"",EDATE($D122,Milestones!$AA$142)&gt;=$S122),$V122,IF(AND($R122&lt;&gt;"",EDATE($D122,Milestones!$AA$142)&gt;=$R122),$U122,$T122)))=Milestones!$AB$142),TEXT(EDATE($D122,Milestones!$AA$142),"dd/mm/yy")&amp;" "&amp;Milestones!$AB$142&amp;" "&amp;Milestones!$AC$142&amp;";  ","")&amp;IF(AND(EDATE($D122,Milestones!$AA$143)&lt;=AsOfDate,IF($Q122=0,$W122,IF(AND($S122&lt;&gt;"",EDATE($D122,Milestones!$AA$143)&gt;=$S122),$V122,IF(AND($R122&lt;&gt;"",EDATE($D122,Milestones!$AA$143)&gt;=$R122),$U122,$T122)))=Milestones!$AB$143),TEXT(EDATE($D122,Milestones!$AA$143),"dd/mm/yy")&amp;" "&amp;Milestones!$AB$143&amp;" "&amp;Milestones!$AC$143&amp;";  ","")&amp;IF(AND(EDATE($D122,Milestones!$AA$144)&lt;=AsOfDate,IF($Q122=0,$W122,IF(AND($S122&lt;&gt;"",EDATE($D122,Milestones!$AA$144)&gt;=$S122),$V122,IF(AND($R122&lt;&gt;"",EDATE($D122,Milestones!$AA$144)&gt;=$R122),$U122,$T122)))=Milestones!$AB$144),TEXT(EDATE($D122,Milestones!$AA$144),"dd/mm/yy")&amp;" "&amp;Milestones!$AB$144&amp;" "&amp;Milestones!$AC$144&amp;";  ","")&amp;IF(AND(EDATE($D122,Milestones!$AA$145)&lt;=AsOfDate,IF($Q122=0,$W122,IF(AND($S122&lt;&gt;"",EDATE($D122,Milestones!$AA$145)&gt;=$S122),$V122,IF(AND($R122&lt;&gt;"",EDATE($D122,Milestones!$AA$145)&gt;=$R122),$U122,$T122)))=Milestones!$AB$145),TEXT(EDATE($D122,Milestones!$AA$145),"dd/mm/yy")&amp;" "&amp;Milestones!$AB$145&amp;" "&amp;Milestones!$AC$145&amp;";  ","")&amp;IF(AND(EDATE($D122,Milestones!$AA$146)&lt;=AsOfDate,IF($Q122=0,$W122,IF(AND($S122&lt;&gt;"",EDATE($D122,Milestones!$AA$146)&gt;=$S122),$V122,IF(AND($R122&lt;&gt;"",EDATE($D122,Milestones!$AA$146)&gt;=$R122),$U122,$T122)))=Milestones!$AB$146),TEXT(EDATE($D122,Milestones!$AA$146),"dd/mm/yy")&amp;" "&amp;Milestones!$AB$146&amp;" "&amp;Milestones!$AC$146&amp;";  ","")&amp;IF(AND(EDATE($D122,Milestones!$AA$147)&lt;=AsOfDate,IF($Q122=0,$W122,IF(AND($S122&lt;&gt;"",EDATE($D122,Milestones!$AA$147)&gt;=$S122),$V122,IF(AND($R122&lt;&gt;"",EDATE($D122,Milestones!$AA$147)&gt;=$R122),$U122,$T122)))=Milestones!$AB$147),TEXT(EDATE($D122,Milestones!$AA$147),"dd/mm/yy")&amp;" "&amp;Milestones!$AB$147&amp;" "&amp;Milestones!$AC$147&amp;";  ","")&amp;IF(AND(EDATE($D122,Milestones!$AA$148)&lt;=AsOfDate,IF($Q122=0,$W122,IF(AND($S122&lt;&gt;"",EDATE($D122,Milestones!$AA$148)&gt;=$S122),$V122,IF(AND($R122&lt;&gt;"",EDATE($D122,Milestones!$AA$148)&gt;=$R122),$U122,$T122)))=Milestones!$AB$148),TEXT(EDATE($D122,Milestones!$AA$148),"dd/mm/yy")&amp;" "&amp;Milestones!$AB$148&amp;" "&amp;Milestones!$AC$148&amp;";  ","")&amp;IF(AND(EDATE($D122,Milestones!$AA$149)&lt;=AsOfDate,IF($Q122=0,$W122,IF(AND($S122&lt;&gt;"",EDATE($D122,Milestones!$AA$149)&gt;=$S122),$V122,IF(AND($R122&lt;&gt;"",EDATE($D122,Milestones!$AA$149)&gt;=$R122),$U122,$T122)))=Milestones!$AB$149),TEXT(EDATE($D122,Milestones!$AA$149),"dd/mm/yy")&amp;" "&amp;Milestones!$AB$149&amp;" "&amp;Milestones!$AC$149&amp;";  ","")&amp;IF(AND(EDATE($D122,Milestones!$AA$150)&lt;=AsOfDate,IF($Q122=0,$W122,IF(AND($S122&lt;&gt;"",EDATE($D122,Milestones!$AA$150)&gt;=$S122),$V122,IF(AND($R122&lt;&gt;"",EDATE($D122,Milestones!$AA$150)&gt;=$R122),$U122,$T122)))=Milestones!$AB$150),TEXT(EDATE($D122,Milestones!$AA$150),"dd/mm/yy")&amp;" "&amp;Milestones!$AB$150&amp;" "&amp;Milestones!$AC$150&amp;";  ","")&amp;IF(AND(EDATE($D122,Milestones!$AA$151)&lt;=AsOfDate,IF($Q122=0,$W122,IF(AND($S122&lt;&gt;"",EDATE($D122,Milestones!$AA$151)&gt;=$S122),$V122,IF(AND($R122&lt;&gt;"",EDATE($D122,Milestones!$AA$151)&gt;=$R122),$U122,$T122)))=Milestones!$AB$151),TEXT(EDATE($D122,Milestones!$AA$151),"dd/mm/yy")&amp;" "&amp;Milestones!$AB$151&amp;" "&amp;Milestones!$AC$151&amp;";  ","")&amp;IF(AND(EDATE($D122,Milestones!$AA$152)&lt;=AsOfDate,IF($Q122=0,$W122,IF(AND($S122&lt;&gt;"",EDATE($D122,Milestones!$AA$152)&gt;=$S122),$V122,IF(AND($R122&lt;&gt;"",EDATE($D122,Milestones!$AA$152)&gt;=$R122),$U122,$T122)))=Milestones!$AB$152),TEXT(EDATE($D122,Milestones!$AA$152),"dd/mm/yy")&amp;" "&amp;Milestones!$AB$152&amp;" "&amp;Milestones!$AC$152&amp;";  ","")&amp;IF(AND(EDATE($D122,Milestones!$AA$153)&lt;=AsOfDate,IF($Q122=0,$W122,IF(AND($S122&lt;&gt;"",EDATE($D122,Milestones!$AA$153)&gt;=$S122),$V122,IF(AND($R122&lt;&gt;"",EDATE($D122,Milestones!$AA$153)&gt;=$R122),$U122,$T122)))=Milestones!$AB$153),TEXT(EDATE($D122,Milestones!$AA$153),"dd/mm/yy")&amp;" "&amp;Milestones!$AB$153&amp;" "&amp;Milestones!$AC$153&amp;";  ","")&amp;IF(AND(EDATE($D122,Milestones!$AA$154)&lt;=AsOfDate,IF($Q122=0,$W122,IF(AND($S122&lt;&gt;"",EDATE($D122,Milestones!$AA$154)&gt;=$S122),$V122,IF(AND($R122&lt;&gt;"",EDATE($D122,Milestones!$AA$154)&gt;=$R122),$U122,$T122)))=Milestones!$AB$154),TEXT(EDATE($D122,Milestones!$AA$154),"dd/mm/yy")&amp;" "&amp;Milestones!$AB$154&amp;" "&amp;Milestones!$AC$154&amp;";  ","")&amp;IF(AND(EDATE($D122,Milestones!$AA$155)&lt;=AsOfDate,IF($Q122=0,$W122,IF(AND($S122&lt;&gt;"",EDATE($D122,Milestones!$AA$155)&gt;=$S122),$V122,IF(AND($R122&lt;&gt;"",EDATE($D122,Milestones!$AA$155)&gt;=$R122),$U122,$T122)))=Milestones!$AB$155),TEXT(EDATE($D122,Milestones!$AA$155),"dd/mm/yy")&amp;" "&amp;Milestones!$AB$155&amp;" "&amp;Milestones!$AC$155&amp;";  ","")&amp;IF(AND(EDATE($D122,Milestones!$AA$156)&lt;=AsOfDate,IF($Q122=0,$W122,IF(AND($S122&lt;&gt;"",EDATE($D122,Milestones!$AA$156)&gt;=$S122),$V122,IF(AND($R122&lt;&gt;"",EDATE($D122,Milestones!$AA$156)&gt;=$R122),$U122,$T122)))=Milestones!$AB$156),TEXT(EDATE($D122,Milestones!$AA$156),"dd/mm/yy")&amp;" "&amp;Milestones!$AB$156&amp;" "&amp;Milestones!$AC$156&amp;";  ","")&amp;IF(AND(EDATE($D122,Milestones!$AA$157)&lt;=AsOfDate,IF($Q122=0,$W122,IF(AND($S122&lt;&gt;"",EDATE($D122,Milestones!$AA$157)&gt;=$S122),$V122,IF(AND($R122&lt;&gt;"",EDATE($D122,Milestones!$AA$157)&gt;=$R122),$U122,$T122)))=Milestones!$AB$157),TEXT(EDATE($D122,Milestones!$AA$157),"dd/mm/yy")&amp;" "&amp;Milestones!$AB$157&amp;" "&amp;Milestones!$AC$157&amp;";  ","")&amp;IF(AND(EDATE($D122,Milestones!$AA$158)&lt;=AsOfDate,IF($Q122=0,$W122,IF(AND($S122&lt;&gt;"",EDATE($D122,Milestones!$AA$158)&gt;=$S122),$V122,IF(AND($R122&lt;&gt;"",EDATE($D122,Milestones!$AA$158)&gt;=$R122),$U122,$T122)))=Milestones!$AB$158),TEXT(EDATE($D122,Milestones!$AA$158),"dd/mm/yy")&amp;" "&amp;Milestones!$AB$158&amp;" "&amp;Milestones!$AC$158&amp;";  ","")&amp;IF(AND(EDATE($D122,Milestones!$AA$159)&lt;=AsOfDate,IF($Q122=0,$W122,IF(AND($S122&lt;&gt;"",EDATE($D122,Milestones!$AA$159)&gt;=$S122),$V122,IF(AND($R122&lt;&gt;"",EDATE($D122,Milestones!$AA$159)&gt;=$R122),$U122,$T122)))=Milestones!$AB$159),TEXT(EDATE($D122,Milestones!$AA$159),"dd/mm/yy")&amp;" "&amp;Milestones!$AB$159&amp;" "&amp;Milestones!$AC$159&amp;";  ",""))</f>
        <v/>
      </c>
      <c r="O122" s="0" t="str">
        <f aca="false">IF(OR($A122="",$D122=""),"",IF(AND(EDATE($D122,Milestones!$AA$160)&lt;=AsOfDate,IF($Q122=0,$W122,IF(AND($S122&lt;&gt;"",EDATE($D122,Milestones!$AA$160)&gt;=$S122),$V122,IF(AND($R122&lt;&gt;"",EDATE($D122,Milestones!$AA$160)&gt;=$R122),$U122,$T122)))=Milestones!$AB$160),TEXT(EDATE($D122,Milestones!$AA$160),"dd/mm/yy")&amp;" "&amp;Milestones!$AB$160&amp;" "&amp;Milestones!$AC$160&amp;";  ","")&amp;IF(AND(EDATE($D122,Milestones!$AA$161)&lt;=AsOfDate,IF($Q122=0,$W122,IF(AND($S122&lt;&gt;"",EDATE($D122,Milestones!$AA$161)&gt;=$S122),$V122,IF(AND($R122&lt;&gt;"",EDATE($D122,Milestones!$AA$161)&gt;=$R122),$U122,$T122)))=Milestones!$AB$161),TEXT(EDATE($D122,Milestones!$AA$161),"dd/mm/yy")&amp;" "&amp;Milestones!$AB$161&amp;" "&amp;Milestones!$AC$161&amp;";  ","")&amp;IF(AND(EDATE($D122,Milestones!$AA$162)&lt;=AsOfDate,IF($Q122=0,$W122,IF(AND($S122&lt;&gt;"",EDATE($D122,Milestones!$AA$162)&gt;=$S122),$V122,IF(AND($R122&lt;&gt;"",EDATE($D122,Milestones!$AA$162)&gt;=$R122),$U122,$T122)))=Milestones!$AB$162),TEXT(EDATE($D122,Milestones!$AA$162),"dd/mm/yy")&amp;" "&amp;Milestones!$AB$162&amp;" "&amp;Milestones!$AC$162&amp;";  ","")&amp;IF(AND(EDATE($D122,Milestones!$AA$163)&lt;=AsOfDate,IF($Q122=0,$W122,IF(AND($S122&lt;&gt;"",EDATE($D122,Milestones!$AA$163)&gt;=$S122),$V122,IF(AND($R122&lt;&gt;"",EDATE($D122,Milestones!$AA$163)&gt;=$R122),$U122,$T122)))=Milestones!$AB$163),TEXT(EDATE($D122,Milestones!$AA$163),"dd/mm/yy")&amp;" "&amp;Milestones!$AB$163&amp;" "&amp;Milestones!$AC$163&amp;";  ","")&amp;IF(AND(EDATE($D122,Milestones!$AA$164)&lt;=AsOfDate,IF($Q122=0,$W122,IF(AND($S122&lt;&gt;"",EDATE($D122,Milestones!$AA$164)&gt;=$S122),$V122,IF(AND($R122&lt;&gt;"",EDATE($D122,Milestones!$AA$164)&gt;=$R122),$U122,$T122)))=Milestones!$AB$164),TEXT(EDATE($D122,Milestones!$AA$164),"dd/mm/yy")&amp;" "&amp;Milestones!$AB$164&amp;" "&amp;Milestones!$AC$164&amp;";  ","")&amp;IF(AND(EDATE($D122,Milestones!$AA$165)&lt;=AsOfDate,IF($Q122=0,$W122,IF(AND($S122&lt;&gt;"",EDATE($D122,Milestones!$AA$165)&gt;=$S122),$V122,IF(AND($R122&lt;&gt;"",EDATE($D122,Milestones!$AA$165)&gt;=$R122),$U122,$T122)))=Milestones!$AB$165),TEXT(EDATE($D122,Milestones!$AA$165),"dd/mm/yy")&amp;" "&amp;Milestones!$AB$165&amp;" "&amp;Milestones!$AC$165&amp;";  ","")&amp;IF(AND(EDATE($D122,Milestones!$AA$166)&lt;=AsOfDate,IF($Q122=0,$W122,IF(AND($S122&lt;&gt;"",EDATE($D122,Milestones!$AA$166)&gt;=$S122),$V122,IF(AND($R122&lt;&gt;"",EDATE($D122,Milestones!$AA$166)&gt;=$R122),$U122,$T122)))=Milestones!$AB$166),TEXT(EDATE($D122,Milestones!$AA$166),"dd/mm/yy")&amp;" "&amp;Milestones!$AB$166&amp;" "&amp;Milestones!$AC$166&amp;";  ","")&amp;IF(AND(EDATE($D122,Milestones!$AA$167)&lt;=AsOfDate,IF($Q122=0,$W122,IF(AND($S122&lt;&gt;"",EDATE($D122,Milestones!$AA$167)&gt;=$S122),$V122,IF(AND($R122&lt;&gt;"",EDATE($D122,Milestones!$AA$167)&gt;=$R122),$U122,$T122)))=Milestones!$AB$167),TEXT(EDATE($D122,Milestones!$AA$167),"dd/mm/yy")&amp;" "&amp;Milestones!$AB$167&amp;" "&amp;Milestones!$AC$167&amp;";  ","")&amp;IF(AND(EDATE($D122,Milestones!$AA$168)&lt;=AsOfDate,IF($Q122=0,$W122,IF(AND($S122&lt;&gt;"",EDATE($D122,Milestones!$AA$168)&gt;=$S122),$V122,IF(AND($R122&lt;&gt;"",EDATE($D122,Milestones!$AA$168)&gt;=$R122),$U122,$T122)))=Milestones!$AB$168),TEXT(EDATE($D122,Milestones!$AA$168),"dd/mm/yy")&amp;" "&amp;Milestones!$AB$168&amp;" "&amp;Milestones!$AC$168&amp;";  ","")&amp;IF(AND(EDATE($D122,Milestones!$AA$169)&lt;=AsOfDate,IF($Q122=0,$W122,IF(AND($S122&lt;&gt;"",EDATE($D122,Milestones!$AA$169)&gt;=$S122),$V122,IF(AND($R122&lt;&gt;"",EDATE($D122,Milestones!$AA$169)&gt;=$R122),$U122,$T122)))=Milestones!$AB$169),TEXT(EDATE($D122,Milestones!$AA$169),"dd/mm/yy")&amp;" "&amp;Milestones!$AB$169&amp;" "&amp;Milestones!$AC$169&amp;";  ","")&amp;IF(AND(EDATE($D122,Milestones!$AA$170)&lt;=AsOfDate,IF($Q122=0,$W122,IF(AND($S122&lt;&gt;"",EDATE($D122,Milestones!$AA$170)&gt;=$S122),$V122,IF(AND($R122&lt;&gt;"",EDATE($D122,Milestones!$AA$170)&gt;=$R122),$U122,$T122)))=Milestones!$AB$170),TEXT(EDATE($D122,Milestones!$AA$170),"dd/mm/yy")&amp;" "&amp;Milestones!$AB$170&amp;" "&amp;Milestones!$AC$170&amp;";  ","")&amp;IF(AND(EDATE($D122,Milestones!$AA$171)&lt;=AsOfDate,IF($Q122=0,$W122,IF(AND($S122&lt;&gt;"",EDATE($D122,Milestones!$AA$171)&gt;=$S122),$V122,IF(AND($R122&lt;&gt;"",EDATE($D122,Milestones!$AA$171)&gt;=$R122),$U122,$T122)))=Milestones!$AB$171),TEXT(EDATE($D122,Milestones!$AA$171),"dd/mm/yy")&amp;" "&amp;Milestones!$AB$171&amp;" "&amp;Milestones!$AC$171&amp;";  ","")&amp;IF(AND(EDATE($D122,Milestones!$AA$172)&lt;=AsOfDate,IF($Q122=0,$W122,IF(AND($S122&lt;&gt;"",EDATE($D122,Milestones!$AA$172)&gt;=$S122),$V122,IF(AND($R122&lt;&gt;"",EDATE($D122,Milestones!$AA$172)&gt;=$R122),$U122,$T122)))=Milestones!$AB$172),TEXT(EDATE($D122,Milestones!$AA$172),"dd/mm/yy")&amp;" "&amp;Milestones!$AB$172&amp;" "&amp;Milestones!$AC$172&amp;";  ","")&amp;IF(AND(EDATE($D122,Milestones!$AA$173)&lt;=AsOfDate,IF($Q122=0,$W122,IF(AND($S122&lt;&gt;"",EDATE($D122,Milestones!$AA$173)&gt;=$S122),$V122,IF(AND($R122&lt;&gt;"",EDATE($D122,Milestones!$AA$173)&gt;=$R122),$U122,$T122)))=Milestones!$AB$173),TEXT(EDATE($D122,Milestones!$AA$173),"dd/mm/yy")&amp;" "&amp;Milestones!$AB$173&amp;" "&amp;Milestones!$AC$173&amp;";  ","")&amp;IF(AND(EDATE($D122,Milestones!$AA$174)&lt;=AsOfDate,IF($Q122=0,$W122,IF(AND($S122&lt;&gt;"",EDATE($D122,Milestones!$AA$174)&gt;=$S122),$V122,IF(AND($R122&lt;&gt;"",EDATE($D122,Milestones!$AA$174)&gt;=$R122),$U122,$T122)))=Milestones!$AB$174),TEXT(EDATE($D122,Milestones!$AA$174),"dd/mm/yy")&amp;" "&amp;Milestones!$AB$174&amp;" "&amp;Milestones!$AC$174&amp;";  ","")&amp;IF(AND(EDATE($D122,Milestones!$AA$175)&lt;=AsOfDate,IF($Q122=0,$W122,IF(AND($S122&lt;&gt;"",EDATE($D122,Milestones!$AA$175)&gt;=$S122),$V122,IF(AND($R122&lt;&gt;"",EDATE($D122,Milestones!$AA$175)&gt;=$R122),$U122,$T122)))=Milestones!$AB$175),TEXT(EDATE($D122,Milestones!$AA$175),"dd/mm/yy")&amp;" "&amp;Milestones!$AB$175&amp;" "&amp;Milestones!$AC$175&amp;";  ","")&amp;IF(AND(EDATE($D122,Milestones!$AA$176)&lt;=AsOfDate,IF($Q122=0,$W122,IF(AND($S122&lt;&gt;"",EDATE($D122,Milestones!$AA$176)&gt;=$S122),$V122,IF(AND($R122&lt;&gt;"",EDATE($D122,Milestones!$AA$176)&gt;=$R122),$U122,$T122)))=Milestones!$AB$176),TEXT(EDATE($D122,Milestones!$AA$176),"dd/mm/yy")&amp;" "&amp;Milestones!$AB$176&amp;" "&amp;Milestones!$AC$176&amp;";  ","")&amp;IF(AND(EDATE($D122,Milestones!$AA$177)&lt;=AsOfDate,IF($Q122=0,$W122,IF(AND($S122&lt;&gt;"",EDATE($D122,Milestones!$AA$177)&gt;=$S122),$V122,IF(AND($R122&lt;&gt;"",EDATE($D122,Milestones!$AA$177)&gt;=$R122),$U122,$T122)))=Milestones!$AB$177),TEXT(EDATE($D122,Milestones!$AA$177),"dd/mm/yy")&amp;" "&amp;Milestones!$AB$177&amp;" "&amp;Milestones!$AC$177&amp;";  ","")&amp;IF(AND(EDATE($D122,Milestones!$AA$178)&lt;=AsOfDate,IF($Q122=0,$W122,IF(AND($S122&lt;&gt;"",EDATE($D122,Milestones!$AA$178)&gt;=$S122),$V122,IF(AND($R122&lt;&gt;"",EDATE($D122,Milestones!$AA$178)&gt;=$R122),$U122,$T122)))=Milestones!$AB$178),TEXT(EDATE($D122,Milestones!$AA$178),"dd/mm/yy")&amp;" "&amp;Milestones!$AB$178&amp;" "&amp;Milestones!$AC$178&amp;";  ","")&amp;IF(AND(EDATE($D122,Milestones!$AA$179)&lt;=AsOfDate,IF($Q122=0,$W122,IF(AND($S122&lt;&gt;"",EDATE($D122,Milestones!$AA$179)&gt;=$S122),$V122,IF(AND($R122&lt;&gt;"",EDATE($D122,Milestones!$AA$179)&gt;=$R122),$U122,$T122)))=Milestones!$AB$179),TEXT(EDATE($D122,Milestones!$AA$179),"dd/mm/yy")&amp;" "&amp;Milestones!$AB$179&amp;" "&amp;Milestones!$AC$179&amp;";  ",""))</f>
        <v/>
      </c>
      <c r="P122" s="0" t="str">
        <f aca="false">IF(OR($A122="",$D122=""),"",IF(AND(EDATE($D122,Milestones!$AA$180)&lt;=AsOfDate,IF($Q122=0,$W122,IF(AND($S122&lt;&gt;"",EDATE($D122,Milestones!$AA$180)&gt;=$S122),$V122,IF(AND($R122&lt;&gt;"",EDATE($D122,Milestones!$AA$180)&gt;=$R122),$U122,$T122)))=Milestones!$AB$180),TEXT(EDATE($D122,Milestones!$AA$180),"dd/mm/yy")&amp;" "&amp;Milestones!$AB$180&amp;" "&amp;Milestones!$AC$180&amp;";  ","")&amp;IF(AND(EDATE($D122,Milestones!$AA$181)&lt;=AsOfDate,IF($Q122=0,$W122,IF(AND($S122&lt;&gt;"",EDATE($D122,Milestones!$AA$181)&gt;=$S122),$V122,IF(AND($R122&lt;&gt;"",EDATE($D122,Milestones!$AA$181)&gt;=$R122),$U122,$T122)))=Milestones!$AB$181),TEXT(EDATE($D122,Milestones!$AA$181),"dd/mm/yy")&amp;" "&amp;Milestones!$AB$181&amp;" "&amp;Milestones!$AC$181&amp;";  ","")&amp;IF(AND(EDATE($D122,Milestones!$AA$182)&lt;=AsOfDate,IF($Q122=0,$W122,IF(AND($S122&lt;&gt;"",EDATE($D122,Milestones!$AA$182)&gt;=$S122),$V122,IF(AND($R122&lt;&gt;"",EDATE($D122,Milestones!$AA$182)&gt;=$R122),$U122,$T122)))=Milestones!$AB$182),TEXT(EDATE($D122,Milestones!$AA$182),"dd/mm/yy")&amp;" "&amp;Milestones!$AB$182&amp;" "&amp;Milestones!$AC$182&amp;";  ","")&amp;IF(AND(EDATE($D122,Milestones!$AA$183)&lt;=AsOfDate,IF($Q122=0,$W122,IF(AND($S122&lt;&gt;"",EDATE($D122,Milestones!$AA$183)&gt;=$S122),$V122,IF(AND($R122&lt;&gt;"",EDATE($D122,Milestones!$AA$183)&gt;=$R122),$U122,$T122)))=Milestones!$AB$183),TEXT(EDATE($D122,Milestones!$AA$183),"dd/mm/yy")&amp;" "&amp;Milestones!$AB$183&amp;" "&amp;Milestones!$AC$183&amp;";  ","")&amp;IF(AND(EDATE($D122,Milestones!$AA$184)&lt;=AsOfDate,IF($Q122=0,$W122,IF(AND($S122&lt;&gt;"",EDATE($D122,Milestones!$AA$184)&gt;=$S122),$V122,IF(AND($R122&lt;&gt;"",EDATE($D122,Milestones!$AA$184)&gt;=$R122),$U122,$T122)))=Milestones!$AB$184),TEXT(EDATE($D122,Milestones!$AA$184),"dd/mm/yy")&amp;" "&amp;Milestones!$AB$184&amp;" "&amp;Milestones!$AC$184&amp;";  ","")&amp;IF(AND(EDATE($D122,Milestones!$AA$185)&lt;=AsOfDate,IF($Q122=0,$W122,IF(AND($S122&lt;&gt;"",EDATE($D122,Milestones!$AA$185)&gt;=$S122),$V122,IF(AND($R122&lt;&gt;"",EDATE($D122,Milestones!$AA$185)&gt;=$R122),$U122,$T122)))=Milestones!$AB$185),TEXT(EDATE($D122,Milestones!$AA$185),"dd/mm/yy")&amp;" "&amp;Milestones!$AB$185&amp;" "&amp;Milestones!$AC$185&amp;";  ","")&amp;IF(AND(EDATE($D122,Milestones!$AA$186)&lt;=AsOfDate,IF($Q122=0,$W122,IF(AND($S122&lt;&gt;"",EDATE($D122,Milestones!$AA$186)&gt;=$S122),$V122,IF(AND($R122&lt;&gt;"",EDATE($D122,Milestones!$AA$186)&gt;=$R122),$U122,$T122)))=Milestones!$AB$186),TEXT(EDATE($D122,Milestones!$AA$186),"dd/mm/yy")&amp;" "&amp;Milestones!$AB$186&amp;" "&amp;Milestones!$AC$186&amp;";  ","")&amp;IF(AND(EDATE($D122,Milestones!$AA$187)&lt;=AsOfDate,IF($Q122=0,$W122,IF(AND($S122&lt;&gt;"",EDATE($D122,Milestones!$AA$187)&gt;=$S122),$V122,IF(AND($R122&lt;&gt;"",EDATE($D122,Milestones!$AA$187)&gt;=$R122),$U122,$T122)))=Milestones!$AB$187),TEXT(EDATE($D122,Milestones!$AA$187),"dd/mm/yy")&amp;" "&amp;Milestones!$AB$187&amp;" "&amp;Milestones!$AC$187&amp;";  ","")&amp;IF(AND(EDATE($D122,Milestones!$AA$188)&lt;=AsOfDate,IF($Q122=0,$W122,IF(AND($S122&lt;&gt;"",EDATE($D122,Milestones!$AA$188)&gt;=$S122),$V122,IF(AND($R122&lt;&gt;"",EDATE($D122,Milestones!$AA$188)&gt;=$R122),$U122,$T122)))=Milestones!$AB$188),TEXT(EDATE($D122,Milestones!$AA$188),"dd/mm/yy")&amp;" "&amp;Milestones!$AB$188&amp;" "&amp;Milestones!$AC$188&amp;";  ","")&amp;IF(AND(EDATE($D122,Milestones!$AA$189)&lt;=AsOfDate,IF($Q122=0,$W122,IF(AND($S122&lt;&gt;"",EDATE($D122,Milestones!$AA$189)&gt;=$S122),$V122,IF(AND($R122&lt;&gt;"",EDATE($D122,Milestones!$AA$189)&gt;=$R122),$U122,$T122)))=Milestones!$AB$189),TEXT(EDATE($D122,Milestones!$AA$189),"dd/mm/yy")&amp;" "&amp;Milestones!$AB$189&amp;" "&amp;Milestones!$AC$189&amp;";  ","")&amp;IF(AND(EDATE($D122,Milestones!$AA$190)&lt;=AsOfDate,IF($Q122=0,$W122,IF(AND($S122&lt;&gt;"",EDATE($D122,Milestones!$AA$190)&gt;=$S122),$V122,IF(AND($R122&lt;&gt;"",EDATE($D122,Milestones!$AA$190)&gt;=$R122),$U122,$T122)))=Milestones!$AB$190),TEXT(EDATE($D122,Milestones!$AA$190),"dd/mm/yy")&amp;" "&amp;Milestones!$AB$190&amp;" "&amp;Milestones!$AC$190&amp;";  ","")&amp;IF(AND(EDATE($D122,Milestones!$AA$191)&lt;=AsOfDate,IF($Q122=0,$W122,IF(AND($S122&lt;&gt;"",EDATE($D122,Milestones!$AA$191)&gt;=$S122),$V122,IF(AND($R122&lt;&gt;"",EDATE($D122,Milestones!$AA$191)&gt;=$R122),$U122,$T122)))=Milestones!$AB$191),TEXT(EDATE($D122,Milestones!$AA$191),"dd/mm/yy")&amp;" "&amp;Milestones!$AB$191&amp;" "&amp;Milestones!$AC$191&amp;";  ","")&amp;IF(AND(EDATE($D122,Milestones!$AA$192)&lt;=AsOfDate,IF($Q122=0,$W122,IF(AND($S122&lt;&gt;"",EDATE($D122,Milestones!$AA$192)&gt;=$S122),$V122,IF(AND($R122&lt;&gt;"",EDATE($D122,Milestones!$AA$192)&gt;=$R122),$U122,$T122)))=Milestones!$AB$192),TEXT(EDATE($D122,Milestones!$AA$192),"dd/mm/yy")&amp;" "&amp;Milestones!$AB$192&amp;" "&amp;Milestones!$AC$192&amp;";  ","")&amp;IF(AND(EDATE($D122,Milestones!$AA$193)&lt;=AsOfDate,IF($Q122=0,$W122,IF(AND($S122&lt;&gt;"",EDATE($D122,Milestones!$AA$193)&gt;=$S122),$V122,IF(AND($R122&lt;&gt;"",EDATE($D122,Milestones!$AA$193)&gt;=$R122),$U122,$T122)))=Milestones!$AB$193),TEXT(EDATE($D122,Milestones!$AA$193),"dd/mm/yy")&amp;" "&amp;Milestones!$AB$193&amp;" "&amp;Milestones!$AC$193&amp;";  ","")&amp;IF(AND(EDATE($D122,Milestones!$AA$194)&lt;=AsOfDate,IF($Q122=0,$W122,IF(AND($S122&lt;&gt;"",EDATE($D122,Milestones!$AA$194)&gt;=$S122),$V122,IF(AND($R122&lt;&gt;"",EDATE($D122,Milestones!$AA$194)&gt;=$R122),$U122,$T122)))=Milestones!$AB$194),TEXT(EDATE($D122,Milestones!$AA$194),"dd/mm/yy")&amp;" "&amp;Milestones!$AB$194&amp;" "&amp;Milestones!$AC$194&amp;";  ","")&amp;IF(AND(EDATE($D122,Milestones!$AA$195)&lt;=AsOfDate,IF($Q122=0,$W122,IF(AND($S122&lt;&gt;"",EDATE($D122,Milestones!$AA$195)&gt;=$S122),$V122,IF(AND($R122&lt;&gt;"",EDATE($D122,Milestones!$AA$195)&gt;=$R122),$U122,$T122)))=Milestones!$AB$195),TEXT(EDATE($D122,Milestones!$AA$195),"dd/mm/yy")&amp;" "&amp;Milestones!$AB$195&amp;" "&amp;Milestones!$AC$195&amp;";  ","")&amp;IF(AND(EDATE($D122,Milestones!$AA$196)&lt;=AsOfDate,IF($Q122=0,$W122,IF(AND($S122&lt;&gt;"",EDATE($D122,Milestones!$AA$196)&gt;=$S122),$V122,IF(AND($R122&lt;&gt;"",EDATE($D122,Milestones!$AA$196)&gt;=$R122),$U122,$T122)))=Milestones!$AB$196),TEXT(EDATE($D122,Milestones!$AA$196),"dd/mm/yy")&amp;" "&amp;Milestones!$AB$196&amp;" "&amp;Milestones!$AC$196&amp;";  ","")&amp;IF(AND(EDATE($D122,Milestones!$AA$197)&lt;=AsOfDate,IF($Q122=0,$W122,IF(AND($S122&lt;&gt;"",EDATE($D122,Milestones!$AA$197)&gt;=$S122),$V122,IF(AND($R122&lt;&gt;"",EDATE($D122,Milestones!$AA$197)&gt;=$R122),$U122,$T122)))=Milestones!$AB$197),TEXT(EDATE($D122,Milestones!$AA$197),"dd/mm/yy")&amp;" "&amp;Milestones!$AB$197&amp;" "&amp;Milestones!$AC$197&amp;";  ","")&amp;IF(AND(EDATE($D122,Milestones!$AA$198)&lt;=AsOfDate,IF($Q122=0,$W122,IF(AND($S122&lt;&gt;"",EDATE($D122,Milestones!$AA$198)&gt;=$S122),$V122,IF(AND($R122&lt;&gt;"",EDATE($D122,Milestones!$AA$198)&gt;=$R122),$U122,$T122)))=Milestones!$AB$198),TEXT(EDATE($D122,Milestones!$AA$198),"dd/mm/yy")&amp;" "&amp;Milestones!$AB$198&amp;" "&amp;Milestones!$AC$198&amp;";  ","")&amp;IF(AND(EDATE($D122,Milestones!$AA$199)&lt;=AsOfDate,IF($Q122=0,$W122,IF(AND($S122&lt;&gt;"",EDATE($D122,Milestones!$AA$199)&gt;=$S122),$V122,IF(AND($R122&lt;&gt;"",EDATE($D122,Milestones!$AA$199)&gt;=$R122),$U122,$T122)))=Milestones!$AB$199),TEXT(EDATE($D122,Milestones!$AA$199),"dd/mm/yy")&amp;" "&amp;Milestones!$AB$199&amp;" "&amp;Milestones!$AC$199&amp;";  ",""))</f>
        <v/>
      </c>
      <c r="Q122" s="0" t="str">
        <f aca="false">IF(Staff!$A122="","",Staff!$AG122)</f>
        <v/>
      </c>
      <c r="R122" s="0" t="str">
        <f aca="false">IF(Staff!$A122="","",Staff!$AI122)</f>
        <v/>
      </c>
      <c r="S122" s="0" t="str">
        <f aca="false">IF(Staff!$A122="","",Staff!$AJ122)</f>
        <v/>
      </c>
      <c r="T122" s="0" t="str">
        <f aca="false">IF(Staff!$A122="","",Staff!$AN122)</f>
        <v/>
      </c>
      <c r="U122" s="0" t="str">
        <f aca="false">IF(Staff!$A122="","",Staff!$AO122)</f>
        <v/>
      </c>
      <c r="V122" s="0" t="str">
        <f aca="false">IF(Staff!$A122="","",Staff!$AP122)</f>
        <v/>
      </c>
      <c r="W122" s="0" t="str">
        <f aca="false">IF(Staff!$A122="","",Staff!$AQ122)</f>
        <v/>
      </c>
    </row>
    <row r="123" customFormat="false" ht="15" hidden="false" customHeight="false" outlineLevel="0" collapsed="false">
      <c r="A123" s="13" t="str">
        <f aca="false">IF(Staff!$A123="","",Staff!$A123)</f>
        <v/>
      </c>
      <c r="B123" s="13" t="str">
        <f aca="false">IF(Staff!$A123="","",Staff!$B123)</f>
        <v/>
      </c>
      <c r="C123" s="13" t="str">
        <f aca="false">IF(Staff!$A123="","",Staff!$C123)</f>
        <v/>
      </c>
      <c r="D123" s="11" t="str">
        <f aca="false">IF(Staff!$A123="","",Staff!$AF123)</f>
        <v/>
      </c>
      <c r="E123" s="13" t="str">
        <f aca="false">IF(Staff!$A123="","",Staff!$O123)</f>
        <v/>
      </c>
      <c r="F123" s="13" t="str">
        <f aca="false">IF(E123="","",E123*HoursPerDay)</f>
        <v/>
      </c>
      <c r="G123" s="26" t="str">
        <f aca="false">IF($A123="","",H123&amp;I123&amp;J123&amp;K123&amp;L123&amp;M123&amp;N123&amp;O123&amp;P123)</f>
        <v/>
      </c>
      <c r="H123" s="0" t="str">
        <f aca="false">IF(OR($A123="",$D123=""),"",IF(AND(EDATE($D123,Milestones!$AA$20)&lt;=AsOfDate,IF($Q123=0,$W123,IF(AND($S123&lt;&gt;"",EDATE($D123,Milestones!$AA$20)&gt;=$S123),$V123,IF(AND($R123&lt;&gt;"",EDATE($D123,Milestones!$AA$20)&gt;=$R123),$U123,$T123)))=Milestones!$AB$20),TEXT(EDATE($D123,Milestones!$AA$20),"dd/mm/yy")&amp;" "&amp;Milestones!$AB$20&amp;" "&amp;Milestones!$AC$20&amp;";  ","")&amp;IF(AND(EDATE($D123,Milestones!$AA$21)&lt;=AsOfDate,IF($Q123=0,$W123,IF(AND($S123&lt;&gt;"",EDATE($D123,Milestones!$AA$21)&gt;=$S123),$V123,IF(AND($R123&lt;&gt;"",EDATE($D123,Milestones!$AA$21)&gt;=$R123),$U123,$T123)))=Milestones!$AB$21),TEXT(EDATE($D123,Milestones!$AA$21),"dd/mm/yy")&amp;" "&amp;Milestones!$AB$21&amp;" "&amp;Milestones!$AC$21&amp;";  ","")&amp;IF(AND(EDATE($D123,Milestones!$AA$22)&lt;=AsOfDate,IF($Q123=0,$W123,IF(AND($S123&lt;&gt;"",EDATE($D123,Milestones!$AA$22)&gt;=$S123),$V123,IF(AND($R123&lt;&gt;"",EDATE($D123,Milestones!$AA$22)&gt;=$R123),$U123,$T123)))=Milestones!$AB$22),TEXT(EDATE($D123,Milestones!$AA$22),"dd/mm/yy")&amp;" "&amp;Milestones!$AB$22&amp;" "&amp;Milestones!$AC$22&amp;";  ","")&amp;IF(AND(EDATE($D123,Milestones!$AA$23)&lt;=AsOfDate,IF($Q123=0,$W123,IF(AND($S123&lt;&gt;"",EDATE($D123,Milestones!$AA$23)&gt;=$S123),$V123,IF(AND($R123&lt;&gt;"",EDATE($D123,Milestones!$AA$23)&gt;=$R123),$U123,$T123)))=Milestones!$AB$23),TEXT(EDATE($D123,Milestones!$AA$23),"dd/mm/yy")&amp;" "&amp;Milestones!$AB$23&amp;" "&amp;Milestones!$AC$23&amp;";  ","")&amp;IF(AND(EDATE($D123,Milestones!$AA$24)&lt;=AsOfDate,IF($Q123=0,$W123,IF(AND($S123&lt;&gt;"",EDATE($D123,Milestones!$AA$24)&gt;=$S123),$V123,IF(AND($R123&lt;&gt;"",EDATE($D123,Milestones!$AA$24)&gt;=$R123),$U123,$T123)))=Milestones!$AB$24),TEXT(EDATE($D123,Milestones!$AA$24),"dd/mm/yy")&amp;" "&amp;Milestones!$AB$24&amp;" "&amp;Milestones!$AC$24&amp;";  ","")&amp;IF(AND(EDATE($D123,Milestones!$AA$25)&lt;=AsOfDate,IF($Q123=0,$W123,IF(AND($S123&lt;&gt;"",EDATE($D123,Milestones!$AA$25)&gt;=$S123),$V123,IF(AND($R123&lt;&gt;"",EDATE($D123,Milestones!$AA$25)&gt;=$R123),$U123,$T123)))=Milestones!$AB$25),TEXT(EDATE($D123,Milestones!$AA$25),"dd/mm/yy")&amp;" "&amp;Milestones!$AB$25&amp;" "&amp;Milestones!$AC$25&amp;";  ","")&amp;IF(AND(EDATE($D123,Milestones!$AA$26)&lt;=AsOfDate,IF($Q123=0,$W123,IF(AND($S123&lt;&gt;"",EDATE($D123,Milestones!$AA$26)&gt;=$S123),$V123,IF(AND($R123&lt;&gt;"",EDATE($D123,Milestones!$AA$26)&gt;=$R123),$U123,$T123)))=Milestones!$AB$26),TEXT(EDATE($D123,Milestones!$AA$26),"dd/mm/yy")&amp;" "&amp;Milestones!$AB$26&amp;" "&amp;Milestones!$AC$26&amp;";  ","")&amp;IF(AND(EDATE($D123,Milestones!$AA$27)&lt;=AsOfDate,IF($Q123=0,$W123,IF(AND($S123&lt;&gt;"",EDATE($D123,Milestones!$AA$27)&gt;=$S123),$V123,IF(AND($R123&lt;&gt;"",EDATE($D123,Milestones!$AA$27)&gt;=$R123),$U123,$T123)))=Milestones!$AB$27),TEXT(EDATE($D123,Milestones!$AA$27),"dd/mm/yy")&amp;" "&amp;Milestones!$AB$27&amp;" "&amp;Milestones!$AC$27&amp;";  ","")&amp;IF(AND(EDATE($D123,Milestones!$AA$28)&lt;=AsOfDate,IF($Q123=0,$W123,IF(AND($S123&lt;&gt;"",EDATE($D123,Milestones!$AA$28)&gt;=$S123),$V123,IF(AND($R123&lt;&gt;"",EDATE($D123,Milestones!$AA$28)&gt;=$R123),$U123,$T123)))=Milestones!$AB$28),TEXT(EDATE($D123,Milestones!$AA$28),"dd/mm/yy")&amp;" "&amp;Milestones!$AB$28&amp;" "&amp;Milestones!$AC$28&amp;";  ","")&amp;IF(AND(EDATE($D123,Milestones!$AA$29)&lt;=AsOfDate,IF($Q123=0,$W123,IF(AND($S123&lt;&gt;"",EDATE($D123,Milestones!$AA$29)&gt;=$S123),$V123,IF(AND($R123&lt;&gt;"",EDATE($D123,Milestones!$AA$29)&gt;=$R123),$U123,$T123)))=Milestones!$AB$29),TEXT(EDATE($D123,Milestones!$AA$29),"dd/mm/yy")&amp;" "&amp;Milestones!$AB$29&amp;" "&amp;Milestones!$AC$29&amp;";  ","")&amp;IF(AND(EDATE($D123,Milestones!$AA$30)&lt;=AsOfDate,IF($Q123=0,$W123,IF(AND($S123&lt;&gt;"",EDATE($D123,Milestones!$AA$30)&gt;=$S123),$V123,IF(AND($R123&lt;&gt;"",EDATE($D123,Milestones!$AA$30)&gt;=$R123),$U123,$T123)))=Milestones!$AB$30),TEXT(EDATE($D123,Milestones!$AA$30),"dd/mm/yy")&amp;" "&amp;Milestones!$AB$30&amp;" "&amp;Milestones!$AC$30&amp;";  ","")&amp;IF(AND(EDATE($D123,Milestones!$AA$31)&lt;=AsOfDate,IF($Q123=0,$W123,IF(AND($S123&lt;&gt;"",EDATE($D123,Milestones!$AA$31)&gt;=$S123),$V123,IF(AND($R123&lt;&gt;"",EDATE($D123,Milestones!$AA$31)&gt;=$R123),$U123,$T123)))=Milestones!$AB$31),TEXT(EDATE($D123,Milestones!$AA$31),"dd/mm/yy")&amp;" "&amp;Milestones!$AB$31&amp;" "&amp;Milestones!$AC$31&amp;";  ","")&amp;IF(AND(EDATE($D123,Milestones!$AA$32)&lt;=AsOfDate,IF($Q123=0,$W123,IF(AND($S123&lt;&gt;"",EDATE($D123,Milestones!$AA$32)&gt;=$S123),$V123,IF(AND($R123&lt;&gt;"",EDATE($D123,Milestones!$AA$32)&gt;=$R123),$U123,$T123)))=Milestones!$AB$32),TEXT(EDATE($D123,Milestones!$AA$32),"dd/mm/yy")&amp;" "&amp;Milestones!$AB$32&amp;" "&amp;Milestones!$AC$32&amp;";  ","")&amp;IF(AND(EDATE($D123,Milestones!$AA$33)&lt;=AsOfDate,IF($Q123=0,$W123,IF(AND($S123&lt;&gt;"",EDATE($D123,Milestones!$AA$33)&gt;=$S123),$V123,IF(AND($R123&lt;&gt;"",EDATE($D123,Milestones!$AA$33)&gt;=$R123),$U123,$T123)))=Milestones!$AB$33),TEXT(EDATE($D123,Milestones!$AA$33),"dd/mm/yy")&amp;" "&amp;Milestones!$AB$33&amp;" "&amp;Milestones!$AC$33&amp;";  ","")&amp;IF(AND(EDATE($D123,Milestones!$AA$34)&lt;=AsOfDate,IF($Q123=0,$W123,IF(AND($S123&lt;&gt;"",EDATE($D123,Milestones!$AA$34)&gt;=$S123),$V123,IF(AND($R123&lt;&gt;"",EDATE($D123,Milestones!$AA$34)&gt;=$R123),$U123,$T123)))=Milestones!$AB$34),TEXT(EDATE($D123,Milestones!$AA$34),"dd/mm/yy")&amp;" "&amp;Milestones!$AB$34&amp;" "&amp;Milestones!$AC$34&amp;";  ","")&amp;IF(AND(EDATE($D123,Milestones!$AA$35)&lt;=AsOfDate,IF($Q123=0,$W123,IF(AND($S123&lt;&gt;"",EDATE($D123,Milestones!$AA$35)&gt;=$S123),$V123,IF(AND($R123&lt;&gt;"",EDATE($D123,Milestones!$AA$35)&gt;=$R123),$U123,$T123)))=Milestones!$AB$35),TEXT(EDATE($D123,Milestones!$AA$35),"dd/mm/yy")&amp;" "&amp;Milestones!$AB$35&amp;" "&amp;Milestones!$AC$35&amp;";  ","")&amp;IF(AND(EDATE($D123,Milestones!$AA$36)&lt;=AsOfDate,IF($Q123=0,$W123,IF(AND($S123&lt;&gt;"",EDATE($D123,Milestones!$AA$36)&gt;=$S123),$V123,IF(AND($R123&lt;&gt;"",EDATE($D123,Milestones!$AA$36)&gt;=$R123),$U123,$T123)))=Milestones!$AB$36),TEXT(EDATE($D123,Milestones!$AA$36),"dd/mm/yy")&amp;" "&amp;Milestones!$AB$36&amp;" "&amp;Milestones!$AC$36&amp;";  ","")&amp;IF(AND(EDATE($D123,Milestones!$AA$37)&lt;=AsOfDate,IF($Q123=0,$W123,IF(AND($S123&lt;&gt;"",EDATE($D123,Milestones!$AA$37)&gt;=$S123),$V123,IF(AND($R123&lt;&gt;"",EDATE($D123,Milestones!$AA$37)&gt;=$R123),$U123,$T123)))=Milestones!$AB$37),TEXT(EDATE($D123,Milestones!$AA$37),"dd/mm/yy")&amp;" "&amp;Milestones!$AB$37&amp;" "&amp;Milestones!$AC$37&amp;";  ","")&amp;IF(AND(EDATE($D123,Milestones!$AA$38)&lt;=AsOfDate,IF($Q123=0,$W123,IF(AND($S123&lt;&gt;"",EDATE($D123,Milestones!$AA$38)&gt;=$S123),$V123,IF(AND($R123&lt;&gt;"",EDATE($D123,Milestones!$AA$38)&gt;=$R123),$U123,$T123)))=Milestones!$AB$38),TEXT(EDATE($D123,Milestones!$AA$38),"dd/mm/yy")&amp;" "&amp;Milestones!$AB$38&amp;" "&amp;Milestones!$AC$38&amp;";  ","")&amp;IF(AND(EDATE($D123,Milestones!$AA$39)&lt;=AsOfDate,IF($Q123=0,$W123,IF(AND($S123&lt;&gt;"",EDATE($D123,Milestones!$AA$39)&gt;=$S123),$V123,IF(AND($R123&lt;&gt;"",EDATE($D123,Milestones!$AA$39)&gt;=$R123),$U123,$T123)))=Milestones!$AB$39),TEXT(EDATE($D123,Milestones!$AA$39),"dd/mm/yy")&amp;" "&amp;Milestones!$AB$39&amp;" "&amp;Milestones!$AC$39&amp;";  ",""))</f>
        <v/>
      </c>
      <c r="I123" s="0" t="str">
        <f aca="false">IF(OR($A123="",$D123=""),"",IF(AND(EDATE($D123,Milestones!$AA$40)&lt;=AsOfDate,IF($Q123=0,$W123,IF(AND($S123&lt;&gt;"",EDATE($D123,Milestones!$AA$40)&gt;=$S123),$V123,IF(AND($R123&lt;&gt;"",EDATE($D123,Milestones!$AA$40)&gt;=$R123),$U123,$T123)))=Milestones!$AB$40),TEXT(EDATE($D123,Milestones!$AA$40),"dd/mm/yy")&amp;" "&amp;Milestones!$AB$40&amp;" "&amp;Milestones!$AC$40&amp;";  ","")&amp;IF(AND(EDATE($D123,Milestones!$AA$41)&lt;=AsOfDate,IF($Q123=0,$W123,IF(AND($S123&lt;&gt;"",EDATE($D123,Milestones!$AA$41)&gt;=$S123),$V123,IF(AND($R123&lt;&gt;"",EDATE($D123,Milestones!$AA$41)&gt;=$R123),$U123,$T123)))=Milestones!$AB$41),TEXT(EDATE($D123,Milestones!$AA$41),"dd/mm/yy")&amp;" "&amp;Milestones!$AB$41&amp;" "&amp;Milestones!$AC$41&amp;";  ","")&amp;IF(AND(EDATE($D123,Milestones!$AA$42)&lt;=AsOfDate,IF($Q123=0,$W123,IF(AND($S123&lt;&gt;"",EDATE($D123,Milestones!$AA$42)&gt;=$S123),$V123,IF(AND($R123&lt;&gt;"",EDATE($D123,Milestones!$AA$42)&gt;=$R123),$U123,$T123)))=Milestones!$AB$42),TEXT(EDATE($D123,Milestones!$AA$42),"dd/mm/yy")&amp;" "&amp;Milestones!$AB$42&amp;" "&amp;Milestones!$AC$42&amp;";  ","")&amp;IF(AND(EDATE($D123,Milestones!$AA$43)&lt;=AsOfDate,IF($Q123=0,$W123,IF(AND($S123&lt;&gt;"",EDATE($D123,Milestones!$AA$43)&gt;=$S123),$V123,IF(AND($R123&lt;&gt;"",EDATE($D123,Milestones!$AA$43)&gt;=$R123),$U123,$T123)))=Milestones!$AB$43),TEXT(EDATE($D123,Milestones!$AA$43),"dd/mm/yy")&amp;" "&amp;Milestones!$AB$43&amp;" "&amp;Milestones!$AC$43&amp;";  ","")&amp;IF(AND(EDATE($D123,Milestones!$AA$44)&lt;=AsOfDate,IF($Q123=0,$W123,IF(AND($S123&lt;&gt;"",EDATE($D123,Milestones!$AA$44)&gt;=$S123),$V123,IF(AND($R123&lt;&gt;"",EDATE($D123,Milestones!$AA$44)&gt;=$R123),$U123,$T123)))=Milestones!$AB$44),TEXT(EDATE($D123,Milestones!$AA$44),"dd/mm/yy")&amp;" "&amp;Milestones!$AB$44&amp;" "&amp;Milestones!$AC$44&amp;";  ","")&amp;IF(AND(EDATE($D123,Milestones!$AA$45)&lt;=AsOfDate,IF($Q123=0,$W123,IF(AND($S123&lt;&gt;"",EDATE($D123,Milestones!$AA$45)&gt;=$S123),$V123,IF(AND($R123&lt;&gt;"",EDATE($D123,Milestones!$AA$45)&gt;=$R123),$U123,$T123)))=Milestones!$AB$45),TEXT(EDATE($D123,Milestones!$AA$45),"dd/mm/yy")&amp;" "&amp;Milestones!$AB$45&amp;" "&amp;Milestones!$AC$45&amp;";  ","")&amp;IF(AND(EDATE($D123,Milestones!$AA$46)&lt;=AsOfDate,IF($Q123=0,$W123,IF(AND($S123&lt;&gt;"",EDATE($D123,Milestones!$AA$46)&gt;=$S123),$V123,IF(AND($R123&lt;&gt;"",EDATE($D123,Milestones!$AA$46)&gt;=$R123),$U123,$T123)))=Milestones!$AB$46),TEXT(EDATE($D123,Milestones!$AA$46),"dd/mm/yy")&amp;" "&amp;Milestones!$AB$46&amp;" "&amp;Milestones!$AC$46&amp;";  ","")&amp;IF(AND(EDATE($D123,Milestones!$AA$47)&lt;=AsOfDate,IF($Q123=0,$W123,IF(AND($S123&lt;&gt;"",EDATE($D123,Milestones!$AA$47)&gt;=$S123),$V123,IF(AND($R123&lt;&gt;"",EDATE($D123,Milestones!$AA$47)&gt;=$R123),$U123,$T123)))=Milestones!$AB$47),TEXT(EDATE($D123,Milestones!$AA$47),"dd/mm/yy")&amp;" "&amp;Milestones!$AB$47&amp;" "&amp;Milestones!$AC$47&amp;";  ","")&amp;IF(AND(EDATE($D123,Milestones!$AA$48)&lt;=AsOfDate,IF($Q123=0,$W123,IF(AND($S123&lt;&gt;"",EDATE($D123,Milestones!$AA$48)&gt;=$S123),$V123,IF(AND($R123&lt;&gt;"",EDATE($D123,Milestones!$AA$48)&gt;=$R123),$U123,$T123)))=Milestones!$AB$48),TEXT(EDATE($D123,Milestones!$AA$48),"dd/mm/yy")&amp;" "&amp;Milestones!$AB$48&amp;" "&amp;Milestones!$AC$48&amp;";  ","")&amp;IF(AND(EDATE($D123,Milestones!$AA$49)&lt;=AsOfDate,IF($Q123=0,$W123,IF(AND($S123&lt;&gt;"",EDATE($D123,Milestones!$AA$49)&gt;=$S123),$V123,IF(AND($R123&lt;&gt;"",EDATE($D123,Milestones!$AA$49)&gt;=$R123),$U123,$T123)))=Milestones!$AB$49),TEXT(EDATE($D123,Milestones!$AA$49),"dd/mm/yy")&amp;" "&amp;Milestones!$AB$49&amp;" "&amp;Milestones!$AC$49&amp;";  ","")&amp;IF(AND(EDATE($D123,Milestones!$AA$50)&lt;=AsOfDate,IF($Q123=0,$W123,IF(AND($S123&lt;&gt;"",EDATE($D123,Milestones!$AA$50)&gt;=$S123),$V123,IF(AND($R123&lt;&gt;"",EDATE($D123,Milestones!$AA$50)&gt;=$R123),$U123,$T123)))=Milestones!$AB$50),TEXT(EDATE($D123,Milestones!$AA$50),"dd/mm/yy")&amp;" "&amp;Milestones!$AB$50&amp;" "&amp;Milestones!$AC$50&amp;";  ","")&amp;IF(AND(EDATE($D123,Milestones!$AA$51)&lt;=AsOfDate,IF($Q123=0,$W123,IF(AND($S123&lt;&gt;"",EDATE($D123,Milestones!$AA$51)&gt;=$S123),$V123,IF(AND($R123&lt;&gt;"",EDATE($D123,Milestones!$AA$51)&gt;=$R123),$U123,$T123)))=Milestones!$AB$51),TEXT(EDATE($D123,Milestones!$AA$51),"dd/mm/yy")&amp;" "&amp;Milestones!$AB$51&amp;" "&amp;Milestones!$AC$51&amp;";  ","")&amp;IF(AND(EDATE($D123,Milestones!$AA$52)&lt;=AsOfDate,IF($Q123=0,$W123,IF(AND($S123&lt;&gt;"",EDATE($D123,Milestones!$AA$52)&gt;=$S123),$V123,IF(AND($R123&lt;&gt;"",EDATE($D123,Milestones!$AA$52)&gt;=$R123),$U123,$T123)))=Milestones!$AB$52),TEXT(EDATE($D123,Milestones!$AA$52),"dd/mm/yy")&amp;" "&amp;Milestones!$AB$52&amp;" "&amp;Milestones!$AC$52&amp;";  ","")&amp;IF(AND(EDATE($D123,Milestones!$AA$53)&lt;=AsOfDate,IF($Q123=0,$W123,IF(AND($S123&lt;&gt;"",EDATE($D123,Milestones!$AA$53)&gt;=$S123),$V123,IF(AND($R123&lt;&gt;"",EDATE($D123,Milestones!$AA$53)&gt;=$R123),$U123,$T123)))=Milestones!$AB$53),TEXT(EDATE($D123,Milestones!$AA$53),"dd/mm/yy")&amp;" "&amp;Milestones!$AB$53&amp;" "&amp;Milestones!$AC$53&amp;";  ","")&amp;IF(AND(EDATE($D123,Milestones!$AA$54)&lt;=AsOfDate,IF($Q123=0,$W123,IF(AND($S123&lt;&gt;"",EDATE($D123,Milestones!$AA$54)&gt;=$S123),$V123,IF(AND($R123&lt;&gt;"",EDATE($D123,Milestones!$AA$54)&gt;=$R123),$U123,$T123)))=Milestones!$AB$54),TEXT(EDATE($D123,Milestones!$AA$54),"dd/mm/yy")&amp;" "&amp;Milestones!$AB$54&amp;" "&amp;Milestones!$AC$54&amp;";  ","")&amp;IF(AND(EDATE($D123,Milestones!$AA$55)&lt;=AsOfDate,IF($Q123=0,$W123,IF(AND($S123&lt;&gt;"",EDATE($D123,Milestones!$AA$55)&gt;=$S123),$V123,IF(AND($R123&lt;&gt;"",EDATE($D123,Milestones!$AA$55)&gt;=$R123),$U123,$T123)))=Milestones!$AB$55),TEXT(EDATE($D123,Milestones!$AA$55),"dd/mm/yy")&amp;" "&amp;Milestones!$AB$55&amp;" "&amp;Milestones!$AC$55&amp;";  ","")&amp;IF(AND(EDATE($D123,Milestones!$AA$56)&lt;=AsOfDate,IF($Q123=0,$W123,IF(AND($S123&lt;&gt;"",EDATE($D123,Milestones!$AA$56)&gt;=$S123),$V123,IF(AND($R123&lt;&gt;"",EDATE($D123,Milestones!$AA$56)&gt;=$R123),$U123,$T123)))=Milestones!$AB$56),TEXT(EDATE($D123,Milestones!$AA$56),"dd/mm/yy")&amp;" "&amp;Milestones!$AB$56&amp;" "&amp;Milestones!$AC$56&amp;";  ","")&amp;IF(AND(EDATE($D123,Milestones!$AA$57)&lt;=AsOfDate,IF($Q123=0,$W123,IF(AND($S123&lt;&gt;"",EDATE($D123,Milestones!$AA$57)&gt;=$S123),$V123,IF(AND($R123&lt;&gt;"",EDATE($D123,Milestones!$AA$57)&gt;=$R123),$U123,$T123)))=Milestones!$AB$57),TEXT(EDATE($D123,Milestones!$AA$57),"dd/mm/yy")&amp;" "&amp;Milestones!$AB$57&amp;" "&amp;Milestones!$AC$57&amp;";  ","")&amp;IF(AND(EDATE($D123,Milestones!$AA$58)&lt;=AsOfDate,IF($Q123=0,$W123,IF(AND($S123&lt;&gt;"",EDATE($D123,Milestones!$AA$58)&gt;=$S123),$V123,IF(AND($R123&lt;&gt;"",EDATE($D123,Milestones!$AA$58)&gt;=$R123),$U123,$T123)))=Milestones!$AB$58),TEXT(EDATE($D123,Milestones!$AA$58),"dd/mm/yy")&amp;" "&amp;Milestones!$AB$58&amp;" "&amp;Milestones!$AC$58&amp;";  ","")&amp;IF(AND(EDATE($D123,Milestones!$AA$59)&lt;=AsOfDate,IF($Q123=0,$W123,IF(AND($S123&lt;&gt;"",EDATE($D123,Milestones!$AA$59)&gt;=$S123),$V123,IF(AND($R123&lt;&gt;"",EDATE($D123,Milestones!$AA$59)&gt;=$R123),$U123,$T123)))=Milestones!$AB$59),TEXT(EDATE($D123,Milestones!$AA$59),"dd/mm/yy")&amp;" "&amp;Milestones!$AB$59&amp;" "&amp;Milestones!$AC$59&amp;";  ",""))</f>
        <v/>
      </c>
      <c r="J123" s="0" t="str">
        <f aca="false">IF(OR($A123="",$D123=""),"",IF(AND(EDATE($D123,Milestones!$AA$60)&lt;=AsOfDate,IF($Q123=0,$W123,IF(AND($S123&lt;&gt;"",EDATE($D123,Milestones!$AA$60)&gt;=$S123),$V123,IF(AND($R123&lt;&gt;"",EDATE($D123,Milestones!$AA$60)&gt;=$R123),$U123,$T123)))=Milestones!$AB$60),TEXT(EDATE($D123,Milestones!$AA$60),"dd/mm/yy")&amp;" "&amp;Milestones!$AB$60&amp;" "&amp;Milestones!$AC$60&amp;";  ","")&amp;IF(AND(EDATE($D123,Milestones!$AA$61)&lt;=AsOfDate,IF($Q123=0,$W123,IF(AND($S123&lt;&gt;"",EDATE($D123,Milestones!$AA$61)&gt;=$S123),$V123,IF(AND($R123&lt;&gt;"",EDATE($D123,Milestones!$AA$61)&gt;=$R123),$U123,$T123)))=Milestones!$AB$61),TEXT(EDATE($D123,Milestones!$AA$61),"dd/mm/yy")&amp;" "&amp;Milestones!$AB$61&amp;" "&amp;Milestones!$AC$61&amp;";  ","")&amp;IF(AND(EDATE($D123,Milestones!$AA$62)&lt;=AsOfDate,IF($Q123=0,$W123,IF(AND($S123&lt;&gt;"",EDATE($D123,Milestones!$AA$62)&gt;=$S123),$V123,IF(AND($R123&lt;&gt;"",EDATE($D123,Milestones!$AA$62)&gt;=$R123),$U123,$T123)))=Milestones!$AB$62),TEXT(EDATE($D123,Milestones!$AA$62),"dd/mm/yy")&amp;" "&amp;Milestones!$AB$62&amp;" "&amp;Milestones!$AC$62&amp;";  ","")&amp;IF(AND(EDATE($D123,Milestones!$AA$63)&lt;=AsOfDate,IF($Q123=0,$W123,IF(AND($S123&lt;&gt;"",EDATE($D123,Milestones!$AA$63)&gt;=$S123),$V123,IF(AND($R123&lt;&gt;"",EDATE($D123,Milestones!$AA$63)&gt;=$R123),$U123,$T123)))=Milestones!$AB$63),TEXT(EDATE($D123,Milestones!$AA$63),"dd/mm/yy")&amp;" "&amp;Milestones!$AB$63&amp;" "&amp;Milestones!$AC$63&amp;";  ","")&amp;IF(AND(EDATE($D123,Milestones!$AA$64)&lt;=AsOfDate,IF($Q123=0,$W123,IF(AND($S123&lt;&gt;"",EDATE($D123,Milestones!$AA$64)&gt;=$S123),$V123,IF(AND($R123&lt;&gt;"",EDATE($D123,Milestones!$AA$64)&gt;=$R123),$U123,$T123)))=Milestones!$AB$64),TEXT(EDATE($D123,Milestones!$AA$64),"dd/mm/yy")&amp;" "&amp;Milestones!$AB$64&amp;" "&amp;Milestones!$AC$64&amp;";  ","")&amp;IF(AND(EDATE($D123,Milestones!$AA$65)&lt;=AsOfDate,IF($Q123=0,$W123,IF(AND($S123&lt;&gt;"",EDATE($D123,Milestones!$AA$65)&gt;=$S123),$V123,IF(AND($R123&lt;&gt;"",EDATE($D123,Milestones!$AA$65)&gt;=$R123),$U123,$T123)))=Milestones!$AB$65),TEXT(EDATE($D123,Milestones!$AA$65),"dd/mm/yy")&amp;" "&amp;Milestones!$AB$65&amp;" "&amp;Milestones!$AC$65&amp;";  ","")&amp;IF(AND(EDATE($D123,Milestones!$AA$66)&lt;=AsOfDate,IF($Q123=0,$W123,IF(AND($S123&lt;&gt;"",EDATE($D123,Milestones!$AA$66)&gt;=$S123),$V123,IF(AND($R123&lt;&gt;"",EDATE($D123,Milestones!$AA$66)&gt;=$R123),$U123,$T123)))=Milestones!$AB$66),TEXT(EDATE($D123,Milestones!$AA$66),"dd/mm/yy")&amp;" "&amp;Milestones!$AB$66&amp;" "&amp;Milestones!$AC$66&amp;";  ","")&amp;IF(AND(EDATE($D123,Milestones!$AA$67)&lt;=AsOfDate,IF($Q123=0,$W123,IF(AND($S123&lt;&gt;"",EDATE($D123,Milestones!$AA$67)&gt;=$S123),$V123,IF(AND($R123&lt;&gt;"",EDATE($D123,Milestones!$AA$67)&gt;=$R123),$U123,$T123)))=Milestones!$AB$67),TEXT(EDATE($D123,Milestones!$AA$67),"dd/mm/yy")&amp;" "&amp;Milestones!$AB$67&amp;" "&amp;Milestones!$AC$67&amp;";  ","")&amp;IF(AND(EDATE($D123,Milestones!$AA$68)&lt;=AsOfDate,IF($Q123=0,$W123,IF(AND($S123&lt;&gt;"",EDATE($D123,Milestones!$AA$68)&gt;=$S123),$V123,IF(AND($R123&lt;&gt;"",EDATE($D123,Milestones!$AA$68)&gt;=$R123),$U123,$T123)))=Milestones!$AB$68),TEXT(EDATE($D123,Milestones!$AA$68),"dd/mm/yy")&amp;" "&amp;Milestones!$AB$68&amp;" "&amp;Milestones!$AC$68&amp;";  ","")&amp;IF(AND(EDATE($D123,Milestones!$AA$69)&lt;=AsOfDate,IF($Q123=0,$W123,IF(AND($S123&lt;&gt;"",EDATE($D123,Milestones!$AA$69)&gt;=$S123),$V123,IF(AND($R123&lt;&gt;"",EDATE($D123,Milestones!$AA$69)&gt;=$R123),$U123,$T123)))=Milestones!$AB$69),TEXT(EDATE($D123,Milestones!$AA$69),"dd/mm/yy")&amp;" "&amp;Milestones!$AB$69&amp;" "&amp;Milestones!$AC$69&amp;";  ","")&amp;IF(AND(EDATE($D123,Milestones!$AA$70)&lt;=AsOfDate,IF($Q123=0,$W123,IF(AND($S123&lt;&gt;"",EDATE($D123,Milestones!$AA$70)&gt;=$S123),$V123,IF(AND($R123&lt;&gt;"",EDATE($D123,Milestones!$AA$70)&gt;=$R123),$U123,$T123)))=Milestones!$AB$70),TEXT(EDATE($D123,Milestones!$AA$70),"dd/mm/yy")&amp;" "&amp;Milestones!$AB$70&amp;" "&amp;Milestones!$AC$70&amp;";  ","")&amp;IF(AND(EDATE($D123,Milestones!$AA$71)&lt;=AsOfDate,IF($Q123=0,$W123,IF(AND($S123&lt;&gt;"",EDATE($D123,Milestones!$AA$71)&gt;=$S123),$V123,IF(AND($R123&lt;&gt;"",EDATE($D123,Milestones!$AA$71)&gt;=$R123),$U123,$T123)))=Milestones!$AB$71),TEXT(EDATE($D123,Milestones!$AA$71),"dd/mm/yy")&amp;" "&amp;Milestones!$AB$71&amp;" "&amp;Milestones!$AC$71&amp;";  ","")&amp;IF(AND(EDATE($D123,Milestones!$AA$72)&lt;=AsOfDate,IF($Q123=0,$W123,IF(AND($S123&lt;&gt;"",EDATE($D123,Milestones!$AA$72)&gt;=$S123),$V123,IF(AND($R123&lt;&gt;"",EDATE($D123,Milestones!$AA$72)&gt;=$R123),$U123,$T123)))=Milestones!$AB$72),TEXT(EDATE($D123,Milestones!$AA$72),"dd/mm/yy")&amp;" "&amp;Milestones!$AB$72&amp;" "&amp;Milestones!$AC$72&amp;";  ","")&amp;IF(AND(EDATE($D123,Milestones!$AA$73)&lt;=AsOfDate,IF($Q123=0,$W123,IF(AND($S123&lt;&gt;"",EDATE($D123,Milestones!$AA$73)&gt;=$S123),$V123,IF(AND($R123&lt;&gt;"",EDATE($D123,Milestones!$AA$73)&gt;=$R123),$U123,$T123)))=Milestones!$AB$73),TEXT(EDATE($D123,Milestones!$AA$73),"dd/mm/yy")&amp;" "&amp;Milestones!$AB$73&amp;" "&amp;Milestones!$AC$73&amp;";  ","")&amp;IF(AND(EDATE($D123,Milestones!$AA$74)&lt;=AsOfDate,IF($Q123=0,$W123,IF(AND($S123&lt;&gt;"",EDATE($D123,Milestones!$AA$74)&gt;=$S123),$V123,IF(AND($R123&lt;&gt;"",EDATE($D123,Milestones!$AA$74)&gt;=$R123),$U123,$T123)))=Milestones!$AB$74),TEXT(EDATE($D123,Milestones!$AA$74),"dd/mm/yy")&amp;" "&amp;Milestones!$AB$74&amp;" "&amp;Milestones!$AC$74&amp;";  ","")&amp;IF(AND(EDATE($D123,Milestones!$AA$75)&lt;=AsOfDate,IF($Q123=0,$W123,IF(AND($S123&lt;&gt;"",EDATE($D123,Milestones!$AA$75)&gt;=$S123),$V123,IF(AND($R123&lt;&gt;"",EDATE($D123,Milestones!$AA$75)&gt;=$R123),$U123,$T123)))=Milestones!$AB$75),TEXT(EDATE($D123,Milestones!$AA$75),"dd/mm/yy")&amp;" "&amp;Milestones!$AB$75&amp;" "&amp;Milestones!$AC$75&amp;";  ","")&amp;IF(AND(EDATE($D123,Milestones!$AA$76)&lt;=AsOfDate,IF($Q123=0,$W123,IF(AND($S123&lt;&gt;"",EDATE($D123,Milestones!$AA$76)&gt;=$S123),$V123,IF(AND($R123&lt;&gt;"",EDATE($D123,Milestones!$AA$76)&gt;=$R123),$U123,$T123)))=Milestones!$AB$76),TEXT(EDATE($D123,Milestones!$AA$76),"dd/mm/yy")&amp;" "&amp;Milestones!$AB$76&amp;" "&amp;Milestones!$AC$76&amp;";  ","")&amp;IF(AND(EDATE($D123,Milestones!$AA$77)&lt;=AsOfDate,IF($Q123=0,$W123,IF(AND($S123&lt;&gt;"",EDATE($D123,Milestones!$AA$77)&gt;=$S123),$V123,IF(AND($R123&lt;&gt;"",EDATE($D123,Milestones!$AA$77)&gt;=$R123),$U123,$T123)))=Milestones!$AB$77),TEXT(EDATE($D123,Milestones!$AA$77),"dd/mm/yy")&amp;" "&amp;Milestones!$AB$77&amp;" "&amp;Milestones!$AC$77&amp;";  ","")&amp;IF(AND(EDATE($D123,Milestones!$AA$78)&lt;=AsOfDate,IF($Q123=0,$W123,IF(AND($S123&lt;&gt;"",EDATE($D123,Milestones!$AA$78)&gt;=$S123),$V123,IF(AND($R123&lt;&gt;"",EDATE($D123,Milestones!$AA$78)&gt;=$R123),$U123,$T123)))=Milestones!$AB$78),TEXT(EDATE($D123,Milestones!$AA$78),"dd/mm/yy")&amp;" "&amp;Milestones!$AB$78&amp;" "&amp;Milestones!$AC$78&amp;";  ","")&amp;IF(AND(EDATE($D123,Milestones!$AA$79)&lt;=AsOfDate,IF($Q123=0,$W123,IF(AND($S123&lt;&gt;"",EDATE($D123,Milestones!$AA$79)&gt;=$S123),$V123,IF(AND($R123&lt;&gt;"",EDATE($D123,Milestones!$AA$79)&gt;=$R123),$U123,$T123)))=Milestones!$AB$79),TEXT(EDATE($D123,Milestones!$AA$79),"dd/mm/yy")&amp;" "&amp;Milestones!$AB$79&amp;" "&amp;Milestones!$AC$79&amp;";  ",""))</f>
        <v/>
      </c>
      <c r="K123" s="0" t="str">
        <f aca="false">IF(OR($A123="",$D123=""),"",IF(AND(EDATE($D123,Milestones!$AA$80)&lt;=AsOfDate,IF($Q123=0,$W123,IF(AND($S123&lt;&gt;"",EDATE($D123,Milestones!$AA$80)&gt;=$S123),$V123,IF(AND($R123&lt;&gt;"",EDATE($D123,Milestones!$AA$80)&gt;=$R123),$U123,$T123)))=Milestones!$AB$80),TEXT(EDATE($D123,Milestones!$AA$80),"dd/mm/yy")&amp;" "&amp;Milestones!$AB$80&amp;" "&amp;Milestones!$AC$80&amp;";  ","")&amp;IF(AND(EDATE($D123,Milestones!$AA$81)&lt;=AsOfDate,IF($Q123=0,$W123,IF(AND($S123&lt;&gt;"",EDATE($D123,Milestones!$AA$81)&gt;=$S123),$V123,IF(AND($R123&lt;&gt;"",EDATE($D123,Milestones!$AA$81)&gt;=$R123),$U123,$T123)))=Milestones!$AB$81),TEXT(EDATE($D123,Milestones!$AA$81),"dd/mm/yy")&amp;" "&amp;Milestones!$AB$81&amp;" "&amp;Milestones!$AC$81&amp;";  ","")&amp;IF(AND(EDATE($D123,Milestones!$AA$82)&lt;=AsOfDate,IF($Q123=0,$W123,IF(AND($S123&lt;&gt;"",EDATE($D123,Milestones!$AA$82)&gt;=$S123),$V123,IF(AND($R123&lt;&gt;"",EDATE($D123,Milestones!$AA$82)&gt;=$R123),$U123,$T123)))=Milestones!$AB$82),TEXT(EDATE($D123,Milestones!$AA$82),"dd/mm/yy")&amp;" "&amp;Milestones!$AB$82&amp;" "&amp;Milestones!$AC$82&amp;";  ","")&amp;IF(AND(EDATE($D123,Milestones!$AA$83)&lt;=AsOfDate,IF($Q123=0,$W123,IF(AND($S123&lt;&gt;"",EDATE($D123,Milestones!$AA$83)&gt;=$S123),$V123,IF(AND($R123&lt;&gt;"",EDATE($D123,Milestones!$AA$83)&gt;=$R123),$U123,$T123)))=Milestones!$AB$83),TEXT(EDATE($D123,Milestones!$AA$83),"dd/mm/yy")&amp;" "&amp;Milestones!$AB$83&amp;" "&amp;Milestones!$AC$83&amp;";  ","")&amp;IF(AND(EDATE($D123,Milestones!$AA$84)&lt;=AsOfDate,IF($Q123=0,$W123,IF(AND($S123&lt;&gt;"",EDATE($D123,Milestones!$AA$84)&gt;=$S123),$V123,IF(AND($R123&lt;&gt;"",EDATE($D123,Milestones!$AA$84)&gt;=$R123),$U123,$T123)))=Milestones!$AB$84),TEXT(EDATE($D123,Milestones!$AA$84),"dd/mm/yy")&amp;" "&amp;Milestones!$AB$84&amp;" "&amp;Milestones!$AC$84&amp;";  ","")&amp;IF(AND(EDATE($D123,Milestones!$AA$85)&lt;=AsOfDate,IF($Q123=0,$W123,IF(AND($S123&lt;&gt;"",EDATE($D123,Milestones!$AA$85)&gt;=$S123),$V123,IF(AND($R123&lt;&gt;"",EDATE($D123,Milestones!$AA$85)&gt;=$R123),$U123,$T123)))=Milestones!$AB$85),TEXT(EDATE($D123,Milestones!$AA$85),"dd/mm/yy")&amp;" "&amp;Milestones!$AB$85&amp;" "&amp;Milestones!$AC$85&amp;";  ","")&amp;IF(AND(EDATE($D123,Milestones!$AA$86)&lt;=AsOfDate,IF($Q123=0,$W123,IF(AND($S123&lt;&gt;"",EDATE($D123,Milestones!$AA$86)&gt;=$S123),$V123,IF(AND($R123&lt;&gt;"",EDATE($D123,Milestones!$AA$86)&gt;=$R123),$U123,$T123)))=Milestones!$AB$86),TEXT(EDATE($D123,Milestones!$AA$86),"dd/mm/yy")&amp;" "&amp;Milestones!$AB$86&amp;" "&amp;Milestones!$AC$86&amp;";  ","")&amp;IF(AND(EDATE($D123,Milestones!$AA$87)&lt;=AsOfDate,IF($Q123=0,$W123,IF(AND($S123&lt;&gt;"",EDATE($D123,Milestones!$AA$87)&gt;=$S123),$V123,IF(AND($R123&lt;&gt;"",EDATE($D123,Milestones!$AA$87)&gt;=$R123),$U123,$T123)))=Milestones!$AB$87),TEXT(EDATE($D123,Milestones!$AA$87),"dd/mm/yy")&amp;" "&amp;Milestones!$AB$87&amp;" "&amp;Milestones!$AC$87&amp;";  ","")&amp;IF(AND(EDATE($D123,Milestones!$AA$88)&lt;=AsOfDate,IF($Q123=0,$W123,IF(AND($S123&lt;&gt;"",EDATE($D123,Milestones!$AA$88)&gt;=$S123),$V123,IF(AND($R123&lt;&gt;"",EDATE($D123,Milestones!$AA$88)&gt;=$R123),$U123,$T123)))=Milestones!$AB$88),TEXT(EDATE($D123,Milestones!$AA$88),"dd/mm/yy")&amp;" "&amp;Milestones!$AB$88&amp;" "&amp;Milestones!$AC$88&amp;";  ","")&amp;IF(AND(EDATE($D123,Milestones!$AA$89)&lt;=AsOfDate,IF($Q123=0,$W123,IF(AND($S123&lt;&gt;"",EDATE($D123,Milestones!$AA$89)&gt;=$S123),$V123,IF(AND($R123&lt;&gt;"",EDATE($D123,Milestones!$AA$89)&gt;=$R123),$U123,$T123)))=Milestones!$AB$89),TEXT(EDATE($D123,Milestones!$AA$89),"dd/mm/yy")&amp;" "&amp;Milestones!$AB$89&amp;" "&amp;Milestones!$AC$89&amp;";  ","")&amp;IF(AND(EDATE($D123,Milestones!$AA$90)&lt;=AsOfDate,IF($Q123=0,$W123,IF(AND($S123&lt;&gt;"",EDATE($D123,Milestones!$AA$90)&gt;=$S123),$V123,IF(AND($R123&lt;&gt;"",EDATE($D123,Milestones!$AA$90)&gt;=$R123),$U123,$T123)))=Milestones!$AB$90),TEXT(EDATE($D123,Milestones!$AA$90),"dd/mm/yy")&amp;" "&amp;Milestones!$AB$90&amp;" "&amp;Milestones!$AC$90&amp;";  ","")&amp;IF(AND(EDATE($D123,Milestones!$AA$91)&lt;=AsOfDate,IF($Q123=0,$W123,IF(AND($S123&lt;&gt;"",EDATE($D123,Milestones!$AA$91)&gt;=$S123),$V123,IF(AND($R123&lt;&gt;"",EDATE($D123,Milestones!$AA$91)&gt;=$R123),$U123,$T123)))=Milestones!$AB$91),TEXT(EDATE($D123,Milestones!$AA$91),"dd/mm/yy")&amp;" "&amp;Milestones!$AB$91&amp;" "&amp;Milestones!$AC$91&amp;";  ","")&amp;IF(AND(EDATE($D123,Milestones!$AA$92)&lt;=AsOfDate,IF($Q123=0,$W123,IF(AND($S123&lt;&gt;"",EDATE($D123,Milestones!$AA$92)&gt;=$S123),$V123,IF(AND($R123&lt;&gt;"",EDATE($D123,Milestones!$AA$92)&gt;=$R123),$U123,$T123)))=Milestones!$AB$92),TEXT(EDATE($D123,Milestones!$AA$92),"dd/mm/yy")&amp;" "&amp;Milestones!$AB$92&amp;" "&amp;Milestones!$AC$92&amp;";  ","")&amp;IF(AND(EDATE($D123,Milestones!$AA$93)&lt;=AsOfDate,IF($Q123=0,$W123,IF(AND($S123&lt;&gt;"",EDATE($D123,Milestones!$AA$93)&gt;=$S123),$V123,IF(AND($R123&lt;&gt;"",EDATE($D123,Milestones!$AA$93)&gt;=$R123),$U123,$T123)))=Milestones!$AB$93),TEXT(EDATE($D123,Milestones!$AA$93),"dd/mm/yy")&amp;" "&amp;Milestones!$AB$93&amp;" "&amp;Milestones!$AC$93&amp;";  ","")&amp;IF(AND(EDATE($D123,Milestones!$AA$94)&lt;=AsOfDate,IF($Q123=0,$W123,IF(AND($S123&lt;&gt;"",EDATE($D123,Milestones!$AA$94)&gt;=$S123),$V123,IF(AND($R123&lt;&gt;"",EDATE($D123,Milestones!$AA$94)&gt;=$R123),$U123,$T123)))=Milestones!$AB$94),TEXT(EDATE($D123,Milestones!$AA$94),"dd/mm/yy")&amp;" "&amp;Milestones!$AB$94&amp;" "&amp;Milestones!$AC$94&amp;";  ","")&amp;IF(AND(EDATE($D123,Milestones!$AA$95)&lt;=AsOfDate,IF($Q123=0,$W123,IF(AND($S123&lt;&gt;"",EDATE($D123,Milestones!$AA$95)&gt;=$S123),$V123,IF(AND($R123&lt;&gt;"",EDATE($D123,Milestones!$AA$95)&gt;=$R123),$U123,$T123)))=Milestones!$AB$95),TEXT(EDATE($D123,Milestones!$AA$95),"dd/mm/yy")&amp;" "&amp;Milestones!$AB$95&amp;" "&amp;Milestones!$AC$95&amp;";  ","")&amp;IF(AND(EDATE($D123,Milestones!$AA$96)&lt;=AsOfDate,IF($Q123=0,$W123,IF(AND($S123&lt;&gt;"",EDATE($D123,Milestones!$AA$96)&gt;=$S123),$V123,IF(AND($R123&lt;&gt;"",EDATE($D123,Milestones!$AA$96)&gt;=$R123),$U123,$T123)))=Milestones!$AB$96),TEXT(EDATE($D123,Milestones!$AA$96),"dd/mm/yy")&amp;" "&amp;Milestones!$AB$96&amp;" "&amp;Milestones!$AC$96&amp;";  ","")&amp;IF(AND(EDATE($D123,Milestones!$AA$97)&lt;=AsOfDate,IF($Q123=0,$W123,IF(AND($S123&lt;&gt;"",EDATE($D123,Milestones!$AA$97)&gt;=$S123),$V123,IF(AND($R123&lt;&gt;"",EDATE($D123,Milestones!$AA$97)&gt;=$R123),$U123,$T123)))=Milestones!$AB$97),TEXT(EDATE($D123,Milestones!$AA$97),"dd/mm/yy")&amp;" "&amp;Milestones!$AB$97&amp;" "&amp;Milestones!$AC$97&amp;";  ","")&amp;IF(AND(EDATE($D123,Milestones!$AA$98)&lt;=AsOfDate,IF($Q123=0,$W123,IF(AND($S123&lt;&gt;"",EDATE($D123,Milestones!$AA$98)&gt;=$S123),$V123,IF(AND($R123&lt;&gt;"",EDATE($D123,Milestones!$AA$98)&gt;=$R123),$U123,$T123)))=Milestones!$AB$98),TEXT(EDATE($D123,Milestones!$AA$98),"dd/mm/yy")&amp;" "&amp;Milestones!$AB$98&amp;" "&amp;Milestones!$AC$98&amp;";  ","")&amp;IF(AND(EDATE($D123,Milestones!$AA$99)&lt;=AsOfDate,IF($Q123=0,$W123,IF(AND($S123&lt;&gt;"",EDATE($D123,Milestones!$AA$99)&gt;=$S123),$V123,IF(AND($R123&lt;&gt;"",EDATE($D123,Milestones!$AA$99)&gt;=$R123),$U123,$T123)))=Milestones!$AB$99),TEXT(EDATE($D123,Milestones!$AA$99),"dd/mm/yy")&amp;" "&amp;Milestones!$AB$99&amp;" "&amp;Milestones!$AC$99&amp;";  ",""))</f>
        <v/>
      </c>
      <c r="L123" s="0" t="str">
        <f aca="false">IF(OR($A123="",$D123=""),"",IF(AND(EDATE($D123,Milestones!$AA$100)&lt;=AsOfDate,IF($Q123=0,$W123,IF(AND($S123&lt;&gt;"",EDATE($D123,Milestones!$AA$100)&gt;=$S123),$V123,IF(AND($R123&lt;&gt;"",EDATE($D123,Milestones!$AA$100)&gt;=$R123),$U123,$T123)))=Milestones!$AB$100),TEXT(EDATE($D123,Milestones!$AA$100),"dd/mm/yy")&amp;" "&amp;Milestones!$AB$100&amp;" "&amp;Milestones!$AC$100&amp;";  ","")&amp;IF(AND(EDATE($D123,Milestones!$AA$101)&lt;=AsOfDate,IF($Q123=0,$W123,IF(AND($S123&lt;&gt;"",EDATE($D123,Milestones!$AA$101)&gt;=$S123),$V123,IF(AND($R123&lt;&gt;"",EDATE($D123,Milestones!$AA$101)&gt;=$R123),$U123,$T123)))=Milestones!$AB$101),TEXT(EDATE($D123,Milestones!$AA$101),"dd/mm/yy")&amp;" "&amp;Milestones!$AB$101&amp;" "&amp;Milestones!$AC$101&amp;";  ","")&amp;IF(AND(EDATE($D123,Milestones!$AA$102)&lt;=AsOfDate,IF($Q123=0,$W123,IF(AND($S123&lt;&gt;"",EDATE($D123,Milestones!$AA$102)&gt;=$S123),$V123,IF(AND($R123&lt;&gt;"",EDATE($D123,Milestones!$AA$102)&gt;=$R123),$U123,$T123)))=Milestones!$AB$102),TEXT(EDATE($D123,Milestones!$AA$102),"dd/mm/yy")&amp;" "&amp;Milestones!$AB$102&amp;" "&amp;Milestones!$AC$102&amp;";  ","")&amp;IF(AND(EDATE($D123,Milestones!$AA$103)&lt;=AsOfDate,IF($Q123=0,$W123,IF(AND($S123&lt;&gt;"",EDATE($D123,Milestones!$AA$103)&gt;=$S123),$V123,IF(AND($R123&lt;&gt;"",EDATE($D123,Milestones!$AA$103)&gt;=$R123),$U123,$T123)))=Milestones!$AB$103),TEXT(EDATE($D123,Milestones!$AA$103),"dd/mm/yy")&amp;" "&amp;Milestones!$AB$103&amp;" "&amp;Milestones!$AC$103&amp;";  ","")&amp;IF(AND(EDATE($D123,Milestones!$AA$104)&lt;=AsOfDate,IF($Q123=0,$W123,IF(AND($S123&lt;&gt;"",EDATE($D123,Milestones!$AA$104)&gt;=$S123),$V123,IF(AND($R123&lt;&gt;"",EDATE($D123,Milestones!$AA$104)&gt;=$R123),$U123,$T123)))=Milestones!$AB$104),TEXT(EDATE($D123,Milestones!$AA$104),"dd/mm/yy")&amp;" "&amp;Milestones!$AB$104&amp;" "&amp;Milestones!$AC$104&amp;";  ","")&amp;IF(AND(EDATE($D123,Milestones!$AA$105)&lt;=AsOfDate,IF($Q123=0,$W123,IF(AND($S123&lt;&gt;"",EDATE($D123,Milestones!$AA$105)&gt;=$S123),$V123,IF(AND($R123&lt;&gt;"",EDATE($D123,Milestones!$AA$105)&gt;=$R123),$U123,$T123)))=Milestones!$AB$105),TEXT(EDATE($D123,Milestones!$AA$105),"dd/mm/yy")&amp;" "&amp;Milestones!$AB$105&amp;" "&amp;Milestones!$AC$105&amp;";  ","")&amp;IF(AND(EDATE($D123,Milestones!$AA$106)&lt;=AsOfDate,IF($Q123=0,$W123,IF(AND($S123&lt;&gt;"",EDATE($D123,Milestones!$AA$106)&gt;=$S123),$V123,IF(AND($R123&lt;&gt;"",EDATE($D123,Milestones!$AA$106)&gt;=$R123),$U123,$T123)))=Milestones!$AB$106),TEXT(EDATE($D123,Milestones!$AA$106),"dd/mm/yy")&amp;" "&amp;Milestones!$AB$106&amp;" "&amp;Milestones!$AC$106&amp;";  ","")&amp;IF(AND(EDATE($D123,Milestones!$AA$107)&lt;=AsOfDate,IF($Q123=0,$W123,IF(AND($S123&lt;&gt;"",EDATE($D123,Milestones!$AA$107)&gt;=$S123),$V123,IF(AND($R123&lt;&gt;"",EDATE($D123,Milestones!$AA$107)&gt;=$R123),$U123,$T123)))=Milestones!$AB$107),TEXT(EDATE($D123,Milestones!$AA$107),"dd/mm/yy")&amp;" "&amp;Milestones!$AB$107&amp;" "&amp;Milestones!$AC$107&amp;";  ","")&amp;IF(AND(EDATE($D123,Milestones!$AA$108)&lt;=AsOfDate,IF($Q123=0,$W123,IF(AND($S123&lt;&gt;"",EDATE($D123,Milestones!$AA$108)&gt;=$S123),$V123,IF(AND($R123&lt;&gt;"",EDATE($D123,Milestones!$AA$108)&gt;=$R123),$U123,$T123)))=Milestones!$AB$108),TEXT(EDATE($D123,Milestones!$AA$108),"dd/mm/yy")&amp;" "&amp;Milestones!$AB$108&amp;" "&amp;Milestones!$AC$108&amp;";  ","")&amp;IF(AND(EDATE($D123,Milestones!$AA$109)&lt;=AsOfDate,IF($Q123=0,$W123,IF(AND($S123&lt;&gt;"",EDATE($D123,Milestones!$AA$109)&gt;=$S123),$V123,IF(AND($R123&lt;&gt;"",EDATE($D123,Milestones!$AA$109)&gt;=$R123),$U123,$T123)))=Milestones!$AB$109),TEXT(EDATE($D123,Milestones!$AA$109),"dd/mm/yy")&amp;" "&amp;Milestones!$AB$109&amp;" "&amp;Milestones!$AC$109&amp;";  ","")&amp;IF(AND(EDATE($D123,Milestones!$AA$110)&lt;=AsOfDate,IF($Q123=0,$W123,IF(AND($S123&lt;&gt;"",EDATE($D123,Milestones!$AA$110)&gt;=$S123),$V123,IF(AND($R123&lt;&gt;"",EDATE($D123,Milestones!$AA$110)&gt;=$R123),$U123,$T123)))=Milestones!$AB$110),TEXT(EDATE($D123,Milestones!$AA$110),"dd/mm/yy")&amp;" "&amp;Milestones!$AB$110&amp;" "&amp;Milestones!$AC$110&amp;";  ","")&amp;IF(AND(EDATE($D123,Milestones!$AA$111)&lt;=AsOfDate,IF($Q123=0,$W123,IF(AND($S123&lt;&gt;"",EDATE($D123,Milestones!$AA$111)&gt;=$S123),$V123,IF(AND($R123&lt;&gt;"",EDATE($D123,Milestones!$AA$111)&gt;=$R123),$U123,$T123)))=Milestones!$AB$111),TEXT(EDATE($D123,Milestones!$AA$111),"dd/mm/yy")&amp;" "&amp;Milestones!$AB$111&amp;" "&amp;Milestones!$AC$111&amp;";  ","")&amp;IF(AND(EDATE($D123,Milestones!$AA$112)&lt;=AsOfDate,IF($Q123=0,$W123,IF(AND($S123&lt;&gt;"",EDATE($D123,Milestones!$AA$112)&gt;=$S123),$V123,IF(AND($R123&lt;&gt;"",EDATE($D123,Milestones!$AA$112)&gt;=$R123),$U123,$T123)))=Milestones!$AB$112),TEXT(EDATE($D123,Milestones!$AA$112),"dd/mm/yy")&amp;" "&amp;Milestones!$AB$112&amp;" "&amp;Milestones!$AC$112&amp;";  ","")&amp;IF(AND(EDATE($D123,Milestones!$AA$113)&lt;=AsOfDate,IF($Q123=0,$W123,IF(AND($S123&lt;&gt;"",EDATE($D123,Milestones!$AA$113)&gt;=$S123),$V123,IF(AND($R123&lt;&gt;"",EDATE($D123,Milestones!$AA$113)&gt;=$R123),$U123,$T123)))=Milestones!$AB$113),TEXT(EDATE($D123,Milestones!$AA$113),"dd/mm/yy")&amp;" "&amp;Milestones!$AB$113&amp;" "&amp;Milestones!$AC$113&amp;";  ","")&amp;IF(AND(EDATE($D123,Milestones!$AA$114)&lt;=AsOfDate,IF($Q123=0,$W123,IF(AND($S123&lt;&gt;"",EDATE($D123,Milestones!$AA$114)&gt;=$S123),$V123,IF(AND($R123&lt;&gt;"",EDATE($D123,Milestones!$AA$114)&gt;=$R123),$U123,$T123)))=Milestones!$AB$114),TEXT(EDATE($D123,Milestones!$AA$114),"dd/mm/yy")&amp;" "&amp;Milestones!$AB$114&amp;" "&amp;Milestones!$AC$114&amp;";  ","")&amp;IF(AND(EDATE($D123,Milestones!$AA$115)&lt;=AsOfDate,IF($Q123=0,$W123,IF(AND($S123&lt;&gt;"",EDATE($D123,Milestones!$AA$115)&gt;=$S123),$V123,IF(AND($R123&lt;&gt;"",EDATE($D123,Milestones!$AA$115)&gt;=$R123),$U123,$T123)))=Milestones!$AB$115),TEXT(EDATE($D123,Milestones!$AA$115),"dd/mm/yy")&amp;" "&amp;Milestones!$AB$115&amp;" "&amp;Milestones!$AC$115&amp;";  ","")&amp;IF(AND(EDATE($D123,Milestones!$AA$116)&lt;=AsOfDate,IF($Q123=0,$W123,IF(AND($S123&lt;&gt;"",EDATE($D123,Milestones!$AA$116)&gt;=$S123),$V123,IF(AND($R123&lt;&gt;"",EDATE($D123,Milestones!$AA$116)&gt;=$R123),$U123,$T123)))=Milestones!$AB$116),TEXT(EDATE($D123,Milestones!$AA$116),"dd/mm/yy")&amp;" "&amp;Milestones!$AB$116&amp;" "&amp;Milestones!$AC$116&amp;";  ","")&amp;IF(AND(EDATE($D123,Milestones!$AA$117)&lt;=AsOfDate,IF($Q123=0,$W123,IF(AND($S123&lt;&gt;"",EDATE($D123,Milestones!$AA$117)&gt;=$S123),$V123,IF(AND($R123&lt;&gt;"",EDATE($D123,Milestones!$AA$117)&gt;=$R123),$U123,$T123)))=Milestones!$AB$117),TEXT(EDATE($D123,Milestones!$AA$117),"dd/mm/yy")&amp;" "&amp;Milestones!$AB$117&amp;" "&amp;Milestones!$AC$117&amp;";  ","")&amp;IF(AND(EDATE($D123,Milestones!$AA$118)&lt;=AsOfDate,IF($Q123=0,$W123,IF(AND($S123&lt;&gt;"",EDATE($D123,Milestones!$AA$118)&gt;=$S123),$V123,IF(AND($R123&lt;&gt;"",EDATE($D123,Milestones!$AA$118)&gt;=$R123),$U123,$T123)))=Milestones!$AB$118),TEXT(EDATE($D123,Milestones!$AA$118),"dd/mm/yy")&amp;" "&amp;Milestones!$AB$118&amp;" "&amp;Milestones!$AC$118&amp;";  ","")&amp;IF(AND(EDATE($D123,Milestones!$AA$119)&lt;=AsOfDate,IF($Q123=0,$W123,IF(AND($S123&lt;&gt;"",EDATE($D123,Milestones!$AA$119)&gt;=$S123),$V123,IF(AND($R123&lt;&gt;"",EDATE($D123,Milestones!$AA$119)&gt;=$R123),$U123,$T123)))=Milestones!$AB$119),TEXT(EDATE($D123,Milestones!$AA$119),"dd/mm/yy")&amp;" "&amp;Milestones!$AB$119&amp;" "&amp;Milestones!$AC$119&amp;";  ",""))</f>
        <v/>
      </c>
      <c r="M123" s="0" t="str">
        <f aca="false">IF(OR($A123="",$D123=""),"",IF(AND(EDATE($D123,Milestones!$AA$120)&lt;=AsOfDate,IF($Q123=0,$W123,IF(AND($S123&lt;&gt;"",EDATE($D123,Milestones!$AA$120)&gt;=$S123),$V123,IF(AND($R123&lt;&gt;"",EDATE($D123,Milestones!$AA$120)&gt;=$R123),$U123,$T123)))=Milestones!$AB$120),TEXT(EDATE($D123,Milestones!$AA$120),"dd/mm/yy")&amp;" "&amp;Milestones!$AB$120&amp;" "&amp;Milestones!$AC$120&amp;";  ","")&amp;IF(AND(EDATE($D123,Milestones!$AA$121)&lt;=AsOfDate,IF($Q123=0,$W123,IF(AND($S123&lt;&gt;"",EDATE($D123,Milestones!$AA$121)&gt;=$S123),$V123,IF(AND($R123&lt;&gt;"",EDATE($D123,Milestones!$AA$121)&gt;=$R123),$U123,$T123)))=Milestones!$AB$121),TEXT(EDATE($D123,Milestones!$AA$121),"dd/mm/yy")&amp;" "&amp;Milestones!$AB$121&amp;" "&amp;Milestones!$AC$121&amp;";  ","")&amp;IF(AND(EDATE($D123,Milestones!$AA$122)&lt;=AsOfDate,IF($Q123=0,$W123,IF(AND($S123&lt;&gt;"",EDATE($D123,Milestones!$AA$122)&gt;=$S123),$V123,IF(AND($R123&lt;&gt;"",EDATE($D123,Milestones!$AA$122)&gt;=$R123),$U123,$T123)))=Milestones!$AB$122),TEXT(EDATE($D123,Milestones!$AA$122),"dd/mm/yy")&amp;" "&amp;Milestones!$AB$122&amp;" "&amp;Milestones!$AC$122&amp;";  ","")&amp;IF(AND(EDATE($D123,Milestones!$AA$123)&lt;=AsOfDate,IF($Q123=0,$W123,IF(AND($S123&lt;&gt;"",EDATE($D123,Milestones!$AA$123)&gt;=$S123),$V123,IF(AND($R123&lt;&gt;"",EDATE($D123,Milestones!$AA$123)&gt;=$R123),$U123,$T123)))=Milestones!$AB$123),TEXT(EDATE($D123,Milestones!$AA$123),"dd/mm/yy")&amp;" "&amp;Milestones!$AB$123&amp;" "&amp;Milestones!$AC$123&amp;";  ","")&amp;IF(AND(EDATE($D123,Milestones!$AA$124)&lt;=AsOfDate,IF($Q123=0,$W123,IF(AND($S123&lt;&gt;"",EDATE($D123,Milestones!$AA$124)&gt;=$S123),$V123,IF(AND($R123&lt;&gt;"",EDATE($D123,Milestones!$AA$124)&gt;=$R123),$U123,$T123)))=Milestones!$AB$124),TEXT(EDATE($D123,Milestones!$AA$124),"dd/mm/yy")&amp;" "&amp;Milestones!$AB$124&amp;" "&amp;Milestones!$AC$124&amp;";  ","")&amp;IF(AND(EDATE($D123,Milestones!$AA$125)&lt;=AsOfDate,IF($Q123=0,$W123,IF(AND($S123&lt;&gt;"",EDATE($D123,Milestones!$AA$125)&gt;=$S123),$V123,IF(AND($R123&lt;&gt;"",EDATE($D123,Milestones!$AA$125)&gt;=$R123),$U123,$T123)))=Milestones!$AB$125),TEXT(EDATE($D123,Milestones!$AA$125),"dd/mm/yy")&amp;" "&amp;Milestones!$AB$125&amp;" "&amp;Milestones!$AC$125&amp;";  ","")&amp;IF(AND(EDATE($D123,Milestones!$AA$126)&lt;=AsOfDate,IF($Q123=0,$W123,IF(AND($S123&lt;&gt;"",EDATE($D123,Milestones!$AA$126)&gt;=$S123),$V123,IF(AND($R123&lt;&gt;"",EDATE($D123,Milestones!$AA$126)&gt;=$R123),$U123,$T123)))=Milestones!$AB$126),TEXT(EDATE($D123,Milestones!$AA$126),"dd/mm/yy")&amp;" "&amp;Milestones!$AB$126&amp;" "&amp;Milestones!$AC$126&amp;";  ","")&amp;IF(AND(EDATE($D123,Milestones!$AA$127)&lt;=AsOfDate,IF($Q123=0,$W123,IF(AND($S123&lt;&gt;"",EDATE($D123,Milestones!$AA$127)&gt;=$S123),$V123,IF(AND($R123&lt;&gt;"",EDATE($D123,Milestones!$AA$127)&gt;=$R123),$U123,$T123)))=Milestones!$AB$127),TEXT(EDATE($D123,Milestones!$AA$127),"dd/mm/yy")&amp;" "&amp;Milestones!$AB$127&amp;" "&amp;Milestones!$AC$127&amp;";  ","")&amp;IF(AND(EDATE($D123,Milestones!$AA$128)&lt;=AsOfDate,IF($Q123=0,$W123,IF(AND($S123&lt;&gt;"",EDATE($D123,Milestones!$AA$128)&gt;=$S123),$V123,IF(AND($R123&lt;&gt;"",EDATE($D123,Milestones!$AA$128)&gt;=$R123),$U123,$T123)))=Milestones!$AB$128),TEXT(EDATE($D123,Milestones!$AA$128),"dd/mm/yy")&amp;" "&amp;Milestones!$AB$128&amp;" "&amp;Milestones!$AC$128&amp;";  ","")&amp;IF(AND(EDATE($D123,Milestones!$AA$129)&lt;=AsOfDate,IF($Q123=0,$W123,IF(AND($S123&lt;&gt;"",EDATE($D123,Milestones!$AA$129)&gt;=$S123),$V123,IF(AND($R123&lt;&gt;"",EDATE($D123,Milestones!$AA$129)&gt;=$R123),$U123,$T123)))=Milestones!$AB$129),TEXT(EDATE($D123,Milestones!$AA$129),"dd/mm/yy")&amp;" "&amp;Milestones!$AB$129&amp;" "&amp;Milestones!$AC$129&amp;";  ","")&amp;IF(AND(EDATE($D123,Milestones!$AA$130)&lt;=AsOfDate,IF($Q123=0,$W123,IF(AND($S123&lt;&gt;"",EDATE($D123,Milestones!$AA$130)&gt;=$S123),$V123,IF(AND($R123&lt;&gt;"",EDATE($D123,Milestones!$AA$130)&gt;=$R123),$U123,$T123)))=Milestones!$AB$130),TEXT(EDATE($D123,Milestones!$AA$130),"dd/mm/yy")&amp;" "&amp;Milestones!$AB$130&amp;" "&amp;Milestones!$AC$130&amp;";  ","")&amp;IF(AND(EDATE($D123,Milestones!$AA$131)&lt;=AsOfDate,IF($Q123=0,$W123,IF(AND($S123&lt;&gt;"",EDATE($D123,Milestones!$AA$131)&gt;=$S123),$V123,IF(AND($R123&lt;&gt;"",EDATE($D123,Milestones!$AA$131)&gt;=$R123),$U123,$T123)))=Milestones!$AB$131),TEXT(EDATE($D123,Milestones!$AA$131),"dd/mm/yy")&amp;" "&amp;Milestones!$AB$131&amp;" "&amp;Milestones!$AC$131&amp;";  ","")&amp;IF(AND(EDATE($D123,Milestones!$AA$132)&lt;=AsOfDate,IF($Q123=0,$W123,IF(AND($S123&lt;&gt;"",EDATE($D123,Milestones!$AA$132)&gt;=$S123),$V123,IF(AND($R123&lt;&gt;"",EDATE($D123,Milestones!$AA$132)&gt;=$R123),$U123,$T123)))=Milestones!$AB$132),TEXT(EDATE($D123,Milestones!$AA$132),"dd/mm/yy")&amp;" "&amp;Milestones!$AB$132&amp;" "&amp;Milestones!$AC$132&amp;";  ","")&amp;IF(AND(EDATE($D123,Milestones!$AA$133)&lt;=AsOfDate,IF($Q123=0,$W123,IF(AND($S123&lt;&gt;"",EDATE($D123,Milestones!$AA$133)&gt;=$S123),$V123,IF(AND($R123&lt;&gt;"",EDATE($D123,Milestones!$AA$133)&gt;=$R123),$U123,$T123)))=Milestones!$AB$133),TEXT(EDATE($D123,Milestones!$AA$133),"dd/mm/yy")&amp;" "&amp;Milestones!$AB$133&amp;" "&amp;Milestones!$AC$133&amp;";  ","")&amp;IF(AND(EDATE($D123,Milestones!$AA$134)&lt;=AsOfDate,IF($Q123=0,$W123,IF(AND($S123&lt;&gt;"",EDATE($D123,Milestones!$AA$134)&gt;=$S123),$V123,IF(AND($R123&lt;&gt;"",EDATE($D123,Milestones!$AA$134)&gt;=$R123),$U123,$T123)))=Milestones!$AB$134),TEXT(EDATE($D123,Milestones!$AA$134),"dd/mm/yy")&amp;" "&amp;Milestones!$AB$134&amp;" "&amp;Milestones!$AC$134&amp;";  ","")&amp;IF(AND(EDATE($D123,Milestones!$AA$135)&lt;=AsOfDate,IF($Q123=0,$W123,IF(AND($S123&lt;&gt;"",EDATE($D123,Milestones!$AA$135)&gt;=$S123),$V123,IF(AND($R123&lt;&gt;"",EDATE($D123,Milestones!$AA$135)&gt;=$R123),$U123,$T123)))=Milestones!$AB$135),TEXT(EDATE($D123,Milestones!$AA$135),"dd/mm/yy")&amp;" "&amp;Milestones!$AB$135&amp;" "&amp;Milestones!$AC$135&amp;";  ","")&amp;IF(AND(EDATE($D123,Milestones!$AA$136)&lt;=AsOfDate,IF($Q123=0,$W123,IF(AND($S123&lt;&gt;"",EDATE($D123,Milestones!$AA$136)&gt;=$S123),$V123,IF(AND($R123&lt;&gt;"",EDATE($D123,Milestones!$AA$136)&gt;=$R123),$U123,$T123)))=Milestones!$AB$136),TEXT(EDATE($D123,Milestones!$AA$136),"dd/mm/yy")&amp;" "&amp;Milestones!$AB$136&amp;" "&amp;Milestones!$AC$136&amp;";  ","")&amp;IF(AND(EDATE($D123,Milestones!$AA$137)&lt;=AsOfDate,IF($Q123=0,$W123,IF(AND($S123&lt;&gt;"",EDATE($D123,Milestones!$AA$137)&gt;=$S123),$V123,IF(AND($R123&lt;&gt;"",EDATE($D123,Milestones!$AA$137)&gt;=$R123),$U123,$T123)))=Milestones!$AB$137),TEXT(EDATE($D123,Milestones!$AA$137),"dd/mm/yy")&amp;" "&amp;Milestones!$AB$137&amp;" "&amp;Milestones!$AC$137&amp;";  ","")&amp;IF(AND(EDATE($D123,Milestones!$AA$138)&lt;=AsOfDate,IF($Q123=0,$W123,IF(AND($S123&lt;&gt;"",EDATE($D123,Milestones!$AA$138)&gt;=$S123),$V123,IF(AND($R123&lt;&gt;"",EDATE($D123,Milestones!$AA$138)&gt;=$R123),$U123,$T123)))=Milestones!$AB$138),TEXT(EDATE($D123,Milestones!$AA$138),"dd/mm/yy")&amp;" "&amp;Milestones!$AB$138&amp;" "&amp;Milestones!$AC$138&amp;";  ","")&amp;IF(AND(EDATE($D123,Milestones!$AA$139)&lt;=AsOfDate,IF($Q123=0,$W123,IF(AND($S123&lt;&gt;"",EDATE($D123,Milestones!$AA$139)&gt;=$S123),$V123,IF(AND($R123&lt;&gt;"",EDATE($D123,Milestones!$AA$139)&gt;=$R123),$U123,$T123)))=Milestones!$AB$139),TEXT(EDATE($D123,Milestones!$AA$139),"dd/mm/yy")&amp;" "&amp;Milestones!$AB$139&amp;" "&amp;Milestones!$AC$139&amp;";  ",""))</f>
        <v/>
      </c>
      <c r="N123" s="0" t="str">
        <f aca="false">IF(OR($A123="",$D123=""),"",IF(AND(EDATE($D123,Milestones!$AA$140)&lt;=AsOfDate,IF($Q123=0,$W123,IF(AND($S123&lt;&gt;"",EDATE($D123,Milestones!$AA$140)&gt;=$S123),$V123,IF(AND($R123&lt;&gt;"",EDATE($D123,Milestones!$AA$140)&gt;=$R123),$U123,$T123)))=Milestones!$AB$140),TEXT(EDATE($D123,Milestones!$AA$140),"dd/mm/yy")&amp;" "&amp;Milestones!$AB$140&amp;" "&amp;Milestones!$AC$140&amp;";  ","")&amp;IF(AND(EDATE($D123,Milestones!$AA$141)&lt;=AsOfDate,IF($Q123=0,$W123,IF(AND($S123&lt;&gt;"",EDATE($D123,Milestones!$AA$141)&gt;=$S123),$V123,IF(AND($R123&lt;&gt;"",EDATE($D123,Milestones!$AA$141)&gt;=$R123),$U123,$T123)))=Milestones!$AB$141),TEXT(EDATE($D123,Milestones!$AA$141),"dd/mm/yy")&amp;" "&amp;Milestones!$AB$141&amp;" "&amp;Milestones!$AC$141&amp;";  ","")&amp;IF(AND(EDATE($D123,Milestones!$AA$142)&lt;=AsOfDate,IF($Q123=0,$W123,IF(AND($S123&lt;&gt;"",EDATE($D123,Milestones!$AA$142)&gt;=$S123),$V123,IF(AND($R123&lt;&gt;"",EDATE($D123,Milestones!$AA$142)&gt;=$R123),$U123,$T123)))=Milestones!$AB$142),TEXT(EDATE($D123,Milestones!$AA$142),"dd/mm/yy")&amp;" "&amp;Milestones!$AB$142&amp;" "&amp;Milestones!$AC$142&amp;";  ","")&amp;IF(AND(EDATE($D123,Milestones!$AA$143)&lt;=AsOfDate,IF($Q123=0,$W123,IF(AND($S123&lt;&gt;"",EDATE($D123,Milestones!$AA$143)&gt;=$S123),$V123,IF(AND($R123&lt;&gt;"",EDATE($D123,Milestones!$AA$143)&gt;=$R123),$U123,$T123)))=Milestones!$AB$143),TEXT(EDATE($D123,Milestones!$AA$143),"dd/mm/yy")&amp;" "&amp;Milestones!$AB$143&amp;" "&amp;Milestones!$AC$143&amp;";  ","")&amp;IF(AND(EDATE($D123,Milestones!$AA$144)&lt;=AsOfDate,IF($Q123=0,$W123,IF(AND($S123&lt;&gt;"",EDATE($D123,Milestones!$AA$144)&gt;=$S123),$V123,IF(AND($R123&lt;&gt;"",EDATE($D123,Milestones!$AA$144)&gt;=$R123),$U123,$T123)))=Milestones!$AB$144),TEXT(EDATE($D123,Milestones!$AA$144),"dd/mm/yy")&amp;" "&amp;Milestones!$AB$144&amp;" "&amp;Milestones!$AC$144&amp;";  ","")&amp;IF(AND(EDATE($D123,Milestones!$AA$145)&lt;=AsOfDate,IF($Q123=0,$W123,IF(AND($S123&lt;&gt;"",EDATE($D123,Milestones!$AA$145)&gt;=$S123),$V123,IF(AND($R123&lt;&gt;"",EDATE($D123,Milestones!$AA$145)&gt;=$R123),$U123,$T123)))=Milestones!$AB$145),TEXT(EDATE($D123,Milestones!$AA$145),"dd/mm/yy")&amp;" "&amp;Milestones!$AB$145&amp;" "&amp;Milestones!$AC$145&amp;";  ","")&amp;IF(AND(EDATE($D123,Milestones!$AA$146)&lt;=AsOfDate,IF($Q123=0,$W123,IF(AND($S123&lt;&gt;"",EDATE($D123,Milestones!$AA$146)&gt;=$S123),$V123,IF(AND($R123&lt;&gt;"",EDATE($D123,Milestones!$AA$146)&gt;=$R123),$U123,$T123)))=Milestones!$AB$146),TEXT(EDATE($D123,Milestones!$AA$146),"dd/mm/yy")&amp;" "&amp;Milestones!$AB$146&amp;" "&amp;Milestones!$AC$146&amp;";  ","")&amp;IF(AND(EDATE($D123,Milestones!$AA$147)&lt;=AsOfDate,IF($Q123=0,$W123,IF(AND($S123&lt;&gt;"",EDATE($D123,Milestones!$AA$147)&gt;=$S123),$V123,IF(AND($R123&lt;&gt;"",EDATE($D123,Milestones!$AA$147)&gt;=$R123),$U123,$T123)))=Milestones!$AB$147),TEXT(EDATE($D123,Milestones!$AA$147),"dd/mm/yy")&amp;" "&amp;Milestones!$AB$147&amp;" "&amp;Milestones!$AC$147&amp;";  ","")&amp;IF(AND(EDATE($D123,Milestones!$AA$148)&lt;=AsOfDate,IF($Q123=0,$W123,IF(AND($S123&lt;&gt;"",EDATE($D123,Milestones!$AA$148)&gt;=$S123),$V123,IF(AND($R123&lt;&gt;"",EDATE($D123,Milestones!$AA$148)&gt;=$R123),$U123,$T123)))=Milestones!$AB$148),TEXT(EDATE($D123,Milestones!$AA$148),"dd/mm/yy")&amp;" "&amp;Milestones!$AB$148&amp;" "&amp;Milestones!$AC$148&amp;";  ","")&amp;IF(AND(EDATE($D123,Milestones!$AA$149)&lt;=AsOfDate,IF($Q123=0,$W123,IF(AND($S123&lt;&gt;"",EDATE($D123,Milestones!$AA$149)&gt;=$S123),$V123,IF(AND($R123&lt;&gt;"",EDATE($D123,Milestones!$AA$149)&gt;=$R123),$U123,$T123)))=Milestones!$AB$149),TEXT(EDATE($D123,Milestones!$AA$149),"dd/mm/yy")&amp;" "&amp;Milestones!$AB$149&amp;" "&amp;Milestones!$AC$149&amp;";  ","")&amp;IF(AND(EDATE($D123,Milestones!$AA$150)&lt;=AsOfDate,IF($Q123=0,$W123,IF(AND($S123&lt;&gt;"",EDATE($D123,Milestones!$AA$150)&gt;=$S123),$V123,IF(AND($R123&lt;&gt;"",EDATE($D123,Milestones!$AA$150)&gt;=$R123),$U123,$T123)))=Milestones!$AB$150),TEXT(EDATE($D123,Milestones!$AA$150),"dd/mm/yy")&amp;" "&amp;Milestones!$AB$150&amp;" "&amp;Milestones!$AC$150&amp;";  ","")&amp;IF(AND(EDATE($D123,Milestones!$AA$151)&lt;=AsOfDate,IF($Q123=0,$W123,IF(AND($S123&lt;&gt;"",EDATE($D123,Milestones!$AA$151)&gt;=$S123),$V123,IF(AND($R123&lt;&gt;"",EDATE($D123,Milestones!$AA$151)&gt;=$R123),$U123,$T123)))=Milestones!$AB$151),TEXT(EDATE($D123,Milestones!$AA$151),"dd/mm/yy")&amp;" "&amp;Milestones!$AB$151&amp;" "&amp;Milestones!$AC$151&amp;";  ","")&amp;IF(AND(EDATE($D123,Milestones!$AA$152)&lt;=AsOfDate,IF($Q123=0,$W123,IF(AND($S123&lt;&gt;"",EDATE($D123,Milestones!$AA$152)&gt;=$S123),$V123,IF(AND($R123&lt;&gt;"",EDATE($D123,Milestones!$AA$152)&gt;=$R123),$U123,$T123)))=Milestones!$AB$152),TEXT(EDATE($D123,Milestones!$AA$152),"dd/mm/yy")&amp;" "&amp;Milestones!$AB$152&amp;" "&amp;Milestones!$AC$152&amp;";  ","")&amp;IF(AND(EDATE($D123,Milestones!$AA$153)&lt;=AsOfDate,IF($Q123=0,$W123,IF(AND($S123&lt;&gt;"",EDATE($D123,Milestones!$AA$153)&gt;=$S123),$V123,IF(AND($R123&lt;&gt;"",EDATE($D123,Milestones!$AA$153)&gt;=$R123),$U123,$T123)))=Milestones!$AB$153),TEXT(EDATE($D123,Milestones!$AA$153),"dd/mm/yy")&amp;" "&amp;Milestones!$AB$153&amp;" "&amp;Milestones!$AC$153&amp;";  ","")&amp;IF(AND(EDATE($D123,Milestones!$AA$154)&lt;=AsOfDate,IF($Q123=0,$W123,IF(AND($S123&lt;&gt;"",EDATE($D123,Milestones!$AA$154)&gt;=$S123),$V123,IF(AND($R123&lt;&gt;"",EDATE($D123,Milestones!$AA$154)&gt;=$R123),$U123,$T123)))=Milestones!$AB$154),TEXT(EDATE($D123,Milestones!$AA$154),"dd/mm/yy")&amp;" "&amp;Milestones!$AB$154&amp;" "&amp;Milestones!$AC$154&amp;";  ","")&amp;IF(AND(EDATE($D123,Milestones!$AA$155)&lt;=AsOfDate,IF($Q123=0,$W123,IF(AND($S123&lt;&gt;"",EDATE($D123,Milestones!$AA$155)&gt;=$S123),$V123,IF(AND($R123&lt;&gt;"",EDATE($D123,Milestones!$AA$155)&gt;=$R123),$U123,$T123)))=Milestones!$AB$155),TEXT(EDATE($D123,Milestones!$AA$155),"dd/mm/yy")&amp;" "&amp;Milestones!$AB$155&amp;" "&amp;Milestones!$AC$155&amp;";  ","")&amp;IF(AND(EDATE($D123,Milestones!$AA$156)&lt;=AsOfDate,IF($Q123=0,$W123,IF(AND($S123&lt;&gt;"",EDATE($D123,Milestones!$AA$156)&gt;=$S123),$V123,IF(AND($R123&lt;&gt;"",EDATE($D123,Milestones!$AA$156)&gt;=$R123),$U123,$T123)))=Milestones!$AB$156),TEXT(EDATE($D123,Milestones!$AA$156),"dd/mm/yy")&amp;" "&amp;Milestones!$AB$156&amp;" "&amp;Milestones!$AC$156&amp;";  ","")&amp;IF(AND(EDATE($D123,Milestones!$AA$157)&lt;=AsOfDate,IF($Q123=0,$W123,IF(AND($S123&lt;&gt;"",EDATE($D123,Milestones!$AA$157)&gt;=$S123),$V123,IF(AND($R123&lt;&gt;"",EDATE($D123,Milestones!$AA$157)&gt;=$R123),$U123,$T123)))=Milestones!$AB$157),TEXT(EDATE($D123,Milestones!$AA$157),"dd/mm/yy")&amp;" "&amp;Milestones!$AB$157&amp;" "&amp;Milestones!$AC$157&amp;";  ","")&amp;IF(AND(EDATE($D123,Milestones!$AA$158)&lt;=AsOfDate,IF($Q123=0,$W123,IF(AND($S123&lt;&gt;"",EDATE($D123,Milestones!$AA$158)&gt;=$S123),$V123,IF(AND($R123&lt;&gt;"",EDATE($D123,Milestones!$AA$158)&gt;=$R123),$U123,$T123)))=Milestones!$AB$158),TEXT(EDATE($D123,Milestones!$AA$158),"dd/mm/yy")&amp;" "&amp;Milestones!$AB$158&amp;" "&amp;Milestones!$AC$158&amp;";  ","")&amp;IF(AND(EDATE($D123,Milestones!$AA$159)&lt;=AsOfDate,IF($Q123=0,$W123,IF(AND($S123&lt;&gt;"",EDATE($D123,Milestones!$AA$159)&gt;=$S123),$V123,IF(AND($R123&lt;&gt;"",EDATE($D123,Milestones!$AA$159)&gt;=$R123),$U123,$T123)))=Milestones!$AB$159),TEXT(EDATE($D123,Milestones!$AA$159),"dd/mm/yy")&amp;" "&amp;Milestones!$AB$159&amp;" "&amp;Milestones!$AC$159&amp;";  ",""))</f>
        <v/>
      </c>
      <c r="O123" s="0" t="str">
        <f aca="false">IF(OR($A123="",$D123=""),"",IF(AND(EDATE($D123,Milestones!$AA$160)&lt;=AsOfDate,IF($Q123=0,$W123,IF(AND($S123&lt;&gt;"",EDATE($D123,Milestones!$AA$160)&gt;=$S123),$V123,IF(AND($R123&lt;&gt;"",EDATE($D123,Milestones!$AA$160)&gt;=$R123),$U123,$T123)))=Milestones!$AB$160),TEXT(EDATE($D123,Milestones!$AA$160),"dd/mm/yy")&amp;" "&amp;Milestones!$AB$160&amp;" "&amp;Milestones!$AC$160&amp;";  ","")&amp;IF(AND(EDATE($D123,Milestones!$AA$161)&lt;=AsOfDate,IF($Q123=0,$W123,IF(AND($S123&lt;&gt;"",EDATE($D123,Milestones!$AA$161)&gt;=$S123),$V123,IF(AND($R123&lt;&gt;"",EDATE($D123,Milestones!$AA$161)&gt;=$R123),$U123,$T123)))=Milestones!$AB$161),TEXT(EDATE($D123,Milestones!$AA$161),"dd/mm/yy")&amp;" "&amp;Milestones!$AB$161&amp;" "&amp;Milestones!$AC$161&amp;";  ","")&amp;IF(AND(EDATE($D123,Milestones!$AA$162)&lt;=AsOfDate,IF($Q123=0,$W123,IF(AND($S123&lt;&gt;"",EDATE($D123,Milestones!$AA$162)&gt;=$S123),$V123,IF(AND($R123&lt;&gt;"",EDATE($D123,Milestones!$AA$162)&gt;=$R123),$U123,$T123)))=Milestones!$AB$162),TEXT(EDATE($D123,Milestones!$AA$162),"dd/mm/yy")&amp;" "&amp;Milestones!$AB$162&amp;" "&amp;Milestones!$AC$162&amp;";  ","")&amp;IF(AND(EDATE($D123,Milestones!$AA$163)&lt;=AsOfDate,IF($Q123=0,$W123,IF(AND($S123&lt;&gt;"",EDATE($D123,Milestones!$AA$163)&gt;=$S123),$V123,IF(AND($R123&lt;&gt;"",EDATE($D123,Milestones!$AA$163)&gt;=$R123),$U123,$T123)))=Milestones!$AB$163),TEXT(EDATE($D123,Milestones!$AA$163),"dd/mm/yy")&amp;" "&amp;Milestones!$AB$163&amp;" "&amp;Milestones!$AC$163&amp;";  ","")&amp;IF(AND(EDATE($D123,Milestones!$AA$164)&lt;=AsOfDate,IF($Q123=0,$W123,IF(AND($S123&lt;&gt;"",EDATE($D123,Milestones!$AA$164)&gt;=$S123),$V123,IF(AND($R123&lt;&gt;"",EDATE($D123,Milestones!$AA$164)&gt;=$R123),$U123,$T123)))=Milestones!$AB$164),TEXT(EDATE($D123,Milestones!$AA$164),"dd/mm/yy")&amp;" "&amp;Milestones!$AB$164&amp;" "&amp;Milestones!$AC$164&amp;";  ","")&amp;IF(AND(EDATE($D123,Milestones!$AA$165)&lt;=AsOfDate,IF($Q123=0,$W123,IF(AND($S123&lt;&gt;"",EDATE($D123,Milestones!$AA$165)&gt;=$S123),$V123,IF(AND($R123&lt;&gt;"",EDATE($D123,Milestones!$AA$165)&gt;=$R123),$U123,$T123)))=Milestones!$AB$165),TEXT(EDATE($D123,Milestones!$AA$165),"dd/mm/yy")&amp;" "&amp;Milestones!$AB$165&amp;" "&amp;Milestones!$AC$165&amp;";  ","")&amp;IF(AND(EDATE($D123,Milestones!$AA$166)&lt;=AsOfDate,IF($Q123=0,$W123,IF(AND($S123&lt;&gt;"",EDATE($D123,Milestones!$AA$166)&gt;=$S123),$V123,IF(AND($R123&lt;&gt;"",EDATE($D123,Milestones!$AA$166)&gt;=$R123),$U123,$T123)))=Milestones!$AB$166),TEXT(EDATE($D123,Milestones!$AA$166),"dd/mm/yy")&amp;" "&amp;Milestones!$AB$166&amp;" "&amp;Milestones!$AC$166&amp;";  ","")&amp;IF(AND(EDATE($D123,Milestones!$AA$167)&lt;=AsOfDate,IF($Q123=0,$W123,IF(AND($S123&lt;&gt;"",EDATE($D123,Milestones!$AA$167)&gt;=$S123),$V123,IF(AND($R123&lt;&gt;"",EDATE($D123,Milestones!$AA$167)&gt;=$R123),$U123,$T123)))=Milestones!$AB$167),TEXT(EDATE($D123,Milestones!$AA$167),"dd/mm/yy")&amp;" "&amp;Milestones!$AB$167&amp;" "&amp;Milestones!$AC$167&amp;";  ","")&amp;IF(AND(EDATE($D123,Milestones!$AA$168)&lt;=AsOfDate,IF($Q123=0,$W123,IF(AND($S123&lt;&gt;"",EDATE($D123,Milestones!$AA$168)&gt;=$S123),$V123,IF(AND($R123&lt;&gt;"",EDATE($D123,Milestones!$AA$168)&gt;=$R123),$U123,$T123)))=Milestones!$AB$168),TEXT(EDATE($D123,Milestones!$AA$168),"dd/mm/yy")&amp;" "&amp;Milestones!$AB$168&amp;" "&amp;Milestones!$AC$168&amp;";  ","")&amp;IF(AND(EDATE($D123,Milestones!$AA$169)&lt;=AsOfDate,IF($Q123=0,$W123,IF(AND($S123&lt;&gt;"",EDATE($D123,Milestones!$AA$169)&gt;=$S123),$V123,IF(AND($R123&lt;&gt;"",EDATE($D123,Milestones!$AA$169)&gt;=$R123),$U123,$T123)))=Milestones!$AB$169),TEXT(EDATE($D123,Milestones!$AA$169),"dd/mm/yy")&amp;" "&amp;Milestones!$AB$169&amp;" "&amp;Milestones!$AC$169&amp;";  ","")&amp;IF(AND(EDATE($D123,Milestones!$AA$170)&lt;=AsOfDate,IF($Q123=0,$W123,IF(AND($S123&lt;&gt;"",EDATE($D123,Milestones!$AA$170)&gt;=$S123),$V123,IF(AND($R123&lt;&gt;"",EDATE($D123,Milestones!$AA$170)&gt;=$R123),$U123,$T123)))=Milestones!$AB$170),TEXT(EDATE($D123,Milestones!$AA$170),"dd/mm/yy")&amp;" "&amp;Milestones!$AB$170&amp;" "&amp;Milestones!$AC$170&amp;";  ","")&amp;IF(AND(EDATE($D123,Milestones!$AA$171)&lt;=AsOfDate,IF($Q123=0,$W123,IF(AND($S123&lt;&gt;"",EDATE($D123,Milestones!$AA$171)&gt;=$S123),$V123,IF(AND($R123&lt;&gt;"",EDATE($D123,Milestones!$AA$171)&gt;=$R123),$U123,$T123)))=Milestones!$AB$171),TEXT(EDATE($D123,Milestones!$AA$171),"dd/mm/yy")&amp;" "&amp;Milestones!$AB$171&amp;" "&amp;Milestones!$AC$171&amp;";  ","")&amp;IF(AND(EDATE($D123,Milestones!$AA$172)&lt;=AsOfDate,IF($Q123=0,$W123,IF(AND($S123&lt;&gt;"",EDATE($D123,Milestones!$AA$172)&gt;=$S123),$V123,IF(AND($R123&lt;&gt;"",EDATE($D123,Milestones!$AA$172)&gt;=$R123),$U123,$T123)))=Milestones!$AB$172),TEXT(EDATE($D123,Milestones!$AA$172),"dd/mm/yy")&amp;" "&amp;Milestones!$AB$172&amp;" "&amp;Milestones!$AC$172&amp;";  ","")&amp;IF(AND(EDATE($D123,Milestones!$AA$173)&lt;=AsOfDate,IF($Q123=0,$W123,IF(AND($S123&lt;&gt;"",EDATE($D123,Milestones!$AA$173)&gt;=$S123),$V123,IF(AND($R123&lt;&gt;"",EDATE($D123,Milestones!$AA$173)&gt;=$R123),$U123,$T123)))=Milestones!$AB$173),TEXT(EDATE($D123,Milestones!$AA$173),"dd/mm/yy")&amp;" "&amp;Milestones!$AB$173&amp;" "&amp;Milestones!$AC$173&amp;";  ","")&amp;IF(AND(EDATE($D123,Milestones!$AA$174)&lt;=AsOfDate,IF($Q123=0,$W123,IF(AND($S123&lt;&gt;"",EDATE($D123,Milestones!$AA$174)&gt;=$S123),$V123,IF(AND($R123&lt;&gt;"",EDATE($D123,Milestones!$AA$174)&gt;=$R123),$U123,$T123)))=Milestones!$AB$174),TEXT(EDATE($D123,Milestones!$AA$174),"dd/mm/yy")&amp;" "&amp;Milestones!$AB$174&amp;" "&amp;Milestones!$AC$174&amp;";  ","")&amp;IF(AND(EDATE($D123,Milestones!$AA$175)&lt;=AsOfDate,IF($Q123=0,$W123,IF(AND($S123&lt;&gt;"",EDATE($D123,Milestones!$AA$175)&gt;=$S123),$V123,IF(AND($R123&lt;&gt;"",EDATE($D123,Milestones!$AA$175)&gt;=$R123),$U123,$T123)))=Milestones!$AB$175),TEXT(EDATE($D123,Milestones!$AA$175),"dd/mm/yy")&amp;" "&amp;Milestones!$AB$175&amp;" "&amp;Milestones!$AC$175&amp;";  ","")&amp;IF(AND(EDATE($D123,Milestones!$AA$176)&lt;=AsOfDate,IF($Q123=0,$W123,IF(AND($S123&lt;&gt;"",EDATE($D123,Milestones!$AA$176)&gt;=$S123),$V123,IF(AND($R123&lt;&gt;"",EDATE($D123,Milestones!$AA$176)&gt;=$R123),$U123,$T123)))=Milestones!$AB$176),TEXT(EDATE($D123,Milestones!$AA$176),"dd/mm/yy")&amp;" "&amp;Milestones!$AB$176&amp;" "&amp;Milestones!$AC$176&amp;";  ","")&amp;IF(AND(EDATE($D123,Milestones!$AA$177)&lt;=AsOfDate,IF($Q123=0,$W123,IF(AND($S123&lt;&gt;"",EDATE($D123,Milestones!$AA$177)&gt;=$S123),$V123,IF(AND($R123&lt;&gt;"",EDATE($D123,Milestones!$AA$177)&gt;=$R123),$U123,$T123)))=Milestones!$AB$177),TEXT(EDATE($D123,Milestones!$AA$177),"dd/mm/yy")&amp;" "&amp;Milestones!$AB$177&amp;" "&amp;Milestones!$AC$177&amp;";  ","")&amp;IF(AND(EDATE($D123,Milestones!$AA$178)&lt;=AsOfDate,IF($Q123=0,$W123,IF(AND($S123&lt;&gt;"",EDATE($D123,Milestones!$AA$178)&gt;=$S123),$V123,IF(AND($R123&lt;&gt;"",EDATE($D123,Milestones!$AA$178)&gt;=$R123),$U123,$T123)))=Milestones!$AB$178),TEXT(EDATE($D123,Milestones!$AA$178),"dd/mm/yy")&amp;" "&amp;Milestones!$AB$178&amp;" "&amp;Milestones!$AC$178&amp;";  ","")&amp;IF(AND(EDATE($D123,Milestones!$AA$179)&lt;=AsOfDate,IF($Q123=0,$W123,IF(AND($S123&lt;&gt;"",EDATE($D123,Milestones!$AA$179)&gt;=$S123),$V123,IF(AND($R123&lt;&gt;"",EDATE($D123,Milestones!$AA$179)&gt;=$R123),$U123,$T123)))=Milestones!$AB$179),TEXT(EDATE($D123,Milestones!$AA$179),"dd/mm/yy")&amp;" "&amp;Milestones!$AB$179&amp;" "&amp;Milestones!$AC$179&amp;";  ",""))</f>
        <v/>
      </c>
      <c r="P123" s="0" t="str">
        <f aca="false">IF(OR($A123="",$D123=""),"",IF(AND(EDATE($D123,Milestones!$AA$180)&lt;=AsOfDate,IF($Q123=0,$W123,IF(AND($S123&lt;&gt;"",EDATE($D123,Milestones!$AA$180)&gt;=$S123),$V123,IF(AND($R123&lt;&gt;"",EDATE($D123,Milestones!$AA$180)&gt;=$R123),$U123,$T123)))=Milestones!$AB$180),TEXT(EDATE($D123,Milestones!$AA$180),"dd/mm/yy")&amp;" "&amp;Milestones!$AB$180&amp;" "&amp;Milestones!$AC$180&amp;";  ","")&amp;IF(AND(EDATE($D123,Milestones!$AA$181)&lt;=AsOfDate,IF($Q123=0,$W123,IF(AND($S123&lt;&gt;"",EDATE($D123,Milestones!$AA$181)&gt;=$S123),$V123,IF(AND($R123&lt;&gt;"",EDATE($D123,Milestones!$AA$181)&gt;=$R123),$U123,$T123)))=Milestones!$AB$181),TEXT(EDATE($D123,Milestones!$AA$181),"dd/mm/yy")&amp;" "&amp;Milestones!$AB$181&amp;" "&amp;Milestones!$AC$181&amp;";  ","")&amp;IF(AND(EDATE($D123,Milestones!$AA$182)&lt;=AsOfDate,IF($Q123=0,$W123,IF(AND($S123&lt;&gt;"",EDATE($D123,Milestones!$AA$182)&gt;=$S123),$V123,IF(AND($R123&lt;&gt;"",EDATE($D123,Milestones!$AA$182)&gt;=$R123),$U123,$T123)))=Milestones!$AB$182),TEXT(EDATE($D123,Milestones!$AA$182),"dd/mm/yy")&amp;" "&amp;Milestones!$AB$182&amp;" "&amp;Milestones!$AC$182&amp;";  ","")&amp;IF(AND(EDATE($D123,Milestones!$AA$183)&lt;=AsOfDate,IF($Q123=0,$W123,IF(AND($S123&lt;&gt;"",EDATE($D123,Milestones!$AA$183)&gt;=$S123),$V123,IF(AND($R123&lt;&gt;"",EDATE($D123,Milestones!$AA$183)&gt;=$R123),$U123,$T123)))=Milestones!$AB$183),TEXT(EDATE($D123,Milestones!$AA$183),"dd/mm/yy")&amp;" "&amp;Milestones!$AB$183&amp;" "&amp;Milestones!$AC$183&amp;";  ","")&amp;IF(AND(EDATE($D123,Milestones!$AA$184)&lt;=AsOfDate,IF($Q123=0,$W123,IF(AND($S123&lt;&gt;"",EDATE($D123,Milestones!$AA$184)&gt;=$S123),$V123,IF(AND($R123&lt;&gt;"",EDATE($D123,Milestones!$AA$184)&gt;=$R123),$U123,$T123)))=Milestones!$AB$184),TEXT(EDATE($D123,Milestones!$AA$184),"dd/mm/yy")&amp;" "&amp;Milestones!$AB$184&amp;" "&amp;Milestones!$AC$184&amp;";  ","")&amp;IF(AND(EDATE($D123,Milestones!$AA$185)&lt;=AsOfDate,IF($Q123=0,$W123,IF(AND($S123&lt;&gt;"",EDATE($D123,Milestones!$AA$185)&gt;=$S123),$V123,IF(AND($R123&lt;&gt;"",EDATE($D123,Milestones!$AA$185)&gt;=$R123),$U123,$T123)))=Milestones!$AB$185),TEXT(EDATE($D123,Milestones!$AA$185),"dd/mm/yy")&amp;" "&amp;Milestones!$AB$185&amp;" "&amp;Milestones!$AC$185&amp;";  ","")&amp;IF(AND(EDATE($D123,Milestones!$AA$186)&lt;=AsOfDate,IF($Q123=0,$W123,IF(AND($S123&lt;&gt;"",EDATE($D123,Milestones!$AA$186)&gt;=$S123),$V123,IF(AND($R123&lt;&gt;"",EDATE($D123,Milestones!$AA$186)&gt;=$R123),$U123,$T123)))=Milestones!$AB$186),TEXT(EDATE($D123,Milestones!$AA$186),"dd/mm/yy")&amp;" "&amp;Milestones!$AB$186&amp;" "&amp;Milestones!$AC$186&amp;";  ","")&amp;IF(AND(EDATE($D123,Milestones!$AA$187)&lt;=AsOfDate,IF($Q123=0,$W123,IF(AND($S123&lt;&gt;"",EDATE($D123,Milestones!$AA$187)&gt;=$S123),$V123,IF(AND($R123&lt;&gt;"",EDATE($D123,Milestones!$AA$187)&gt;=$R123),$U123,$T123)))=Milestones!$AB$187),TEXT(EDATE($D123,Milestones!$AA$187),"dd/mm/yy")&amp;" "&amp;Milestones!$AB$187&amp;" "&amp;Milestones!$AC$187&amp;";  ","")&amp;IF(AND(EDATE($D123,Milestones!$AA$188)&lt;=AsOfDate,IF($Q123=0,$W123,IF(AND($S123&lt;&gt;"",EDATE($D123,Milestones!$AA$188)&gt;=$S123),$V123,IF(AND($R123&lt;&gt;"",EDATE($D123,Milestones!$AA$188)&gt;=$R123),$U123,$T123)))=Milestones!$AB$188),TEXT(EDATE($D123,Milestones!$AA$188),"dd/mm/yy")&amp;" "&amp;Milestones!$AB$188&amp;" "&amp;Milestones!$AC$188&amp;";  ","")&amp;IF(AND(EDATE($D123,Milestones!$AA$189)&lt;=AsOfDate,IF($Q123=0,$W123,IF(AND($S123&lt;&gt;"",EDATE($D123,Milestones!$AA$189)&gt;=$S123),$V123,IF(AND($R123&lt;&gt;"",EDATE($D123,Milestones!$AA$189)&gt;=$R123),$U123,$T123)))=Milestones!$AB$189),TEXT(EDATE($D123,Milestones!$AA$189),"dd/mm/yy")&amp;" "&amp;Milestones!$AB$189&amp;" "&amp;Milestones!$AC$189&amp;";  ","")&amp;IF(AND(EDATE($D123,Milestones!$AA$190)&lt;=AsOfDate,IF($Q123=0,$W123,IF(AND($S123&lt;&gt;"",EDATE($D123,Milestones!$AA$190)&gt;=$S123),$V123,IF(AND($R123&lt;&gt;"",EDATE($D123,Milestones!$AA$190)&gt;=$R123),$U123,$T123)))=Milestones!$AB$190),TEXT(EDATE($D123,Milestones!$AA$190),"dd/mm/yy")&amp;" "&amp;Milestones!$AB$190&amp;" "&amp;Milestones!$AC$190&amp;";  ","")&amp;IF(AND(EDATE($D123,Milestones!$AA$191)&lt;=AsOfDate,IF($Q123=0,$W123,IF(AND($S123&lt;&gt;"",EDATE($D123,Milestones!$AA$191)&gt;=$S123),$V123,IF(AND($R123&lt;&gt;"",EDATE($D123,Milestones!$AA$191)&gt;=$R123),$U123,$T123)))=Milestones!$AB$191),TEXT(EDATE($D123,Milestones!$AA$191),"dd/mm/yy")&amp;" "&amp;Milestones!$AB$191&amp;" "&amp;Milestones!$AC$191&amp;";  ","")&amp;IF(AND(EDATE($D123,Milestones!$AA$192)&lt;=AsOfDate,IF($Q123=0,$W123,IF(AND($S123&lt;&gt;"",EDATE($D123,Milestones!$AA$192)&gt;=$S123),$V123,IF(AND($R123&lt;&gt;"",EDATE($D123,Milestones!$AA$192)&gt;=$R123),$U123,$T123)))=Milestones!$AB$192),TEXT(EDATE($D123,Milestones!$AA$192),"dd/mm/yy")&amp;" "&amp;Milestones!$AB$192&amp;" "&amp;Milestones!$AC$192&amp;";  ","")&amp;IF(AND(EDATE($D123,Milestones!$AA$193)&lt;=AsOfDate,IF($Q123=0,$W123,IF(AND($S123&lt;&gt;"",EDATE($D123,Milestones!$AA$193)&gt;=$S123),$V123,IF(AND($R123&lt;&gt;"",EDATE($D123,Milestones!$AA$193)&gt;=$R123),$U123,$T123)))=Milestones!$AB$193),TEXT(EDATE($D123,Milestones!$AA$193),"dd/mm/yy")&amp;" "&amp;Milestones!$AB$193&amp;" "&amp;Milestones!$AC$193&amp;";  ","")&amp;IF(AND(EDATE($D123,Milestones!$AA$194)&lt;=AsOfDate,IF($Q123=0,$W123,IF(AND($S123&lt;&gt;"",EDATE($D123,Milestones!$AA$194)&gt;=$S123),$V123,IF(AND($R123&lt;&gt;"",EDATE($D123,Milestones!$AA$194)&gt;=$R123),$U123,$T123)))=Milestones!$AB$194),TEXT(EDATE($D123,Milestones!$AA$194),"dd/mm/yy")&amp;" "&amp;Milestones!$AB$194&amp;" "&amp;Milestones!$AC$194&amp;";  ","")&amp;IF(AND(EDATE($D123,Milestones!$AA$195)&lt;=AsOfDate,IF($Q123=0,$W123,IF(AND($S123&lt;&gt;"",EDATE($D123,Milestones!$AA$195)&gt;=$S123),$V123,IF(AND($R123&lt;&gt;"",EDATE($D123,Milestones!$AA$195)&gt;=$R123),$U123,$T123)))=Milestones!$AB$195),TEXT(EDATE($D123,Milestones!$AA$195),"dd/mm/yy")&amp;" "&amp;Milestones!$AB$195&amp;" "&amp;Milestones!$AC$195&amp;";  ","")&amp;IF(AND(EDATE($D123,Milestones!$AA$196)&lt;=AsOfDate,IF($Q123=0,$W123,IF(AND($S123&lt;&gt;"",EDATE($D123,Milestones!$AA$196)&gt;=$S123),$V123,IF(AND($R123&lt;&gt;"",EDATE($D123,Milestones!$AA$196)&gt;=$R123),$U123,$T123)))=Milestones!$AB$196),TEXT(EDATE($D123,Milestones!$AA$196),"dd/mm/yy")&amp;" "&amp;Milestones!$AB$196&amp;" "&amp;Milestones!$AC$196&amp;";  ","")&amp;IF(AND(EDATE($D123,Milestones!$AA$197)&lt;=AsOfDate,IF($Q123=0,$W123,IF(AND($S123&lt;&gt;"",EDATE($D123,Milestones!$AA$197)&gt;=$S123),$V123,IF(AND($R123&lt;&gt;"",EDATE($D123,Milestones!$AA$197)&gt;=$R123),$U123,$T123)))=Milestones!$AB$197),TEXT(EDATE($D123,Milestones!$AA$197),"dd/mm/yy")&amp;" "&amp;Milestones!$AB$197&amp;" "&amp;Milestones!$AC$197&amp;";  ","")&amp;IF(AND(EDATE($D123,Milestones!$AA$198)&lt;=AsOfDate,IF($Q123=0,$W123,IF(AND($S123&lt;&gt;"",EDATE($D123,Milestones!$AA$198)&gt;=$S123),$V123,IF(AND($R123&lt;&gt;"",EDATE($D123,Milestones!$AA$198)&gt;=$R123),$U123,$T123)))=Milestones!$AB$198),TEXT(EDATE($D123,Milestones!$AA$198),"dd/mm/yy")&amp;" "&amp;Milestones!$AB$198&amp;" "&amp;Milestones!$AC$198&amp;";  ","")&amp;IF(AND(EDATE($D123,Milestones!$AA$199)&lt;=AsOfDate,IF($Q123=0,$W123,IF(AND($S123&lt;&gt;"",EDATE($D123,Milestones!$AA$199)&gt;=$S123),$V123,IF(AND($R123&lt;&gt;"",EDATE($D123,Milestones!$AA$199)&gt;=$R123),$U123,$T123)))=Milestones!$AB$199),TEXT(EDATE($D123,Milestones!$AA$199),"dd/mm/yy")&amp;" "&amp;Milestones!$AB$199&amp;" "&amp;Milestones!$AC$199&amp;";  ",""))</f>
        <v/>
      </c>
      <c r="Q123" s="0" t="str">
        <f aca="false">IF(Staff!$A123="","",Staff!$AG123)</f>
        <v/>
      </c>
      <c r="R123" s="0" t="str">
        <f aca="false">IF(Staff!$A123="","",Staff!$AI123)</f>
        <v/>
      </c>
      <c r="S123" s="0" t="str">
        <f aca="false">IF(Staff!$A123="","",Staff!$AJ123)</f>
        <v/>
      </c>
      <c r="T123" s="0" t="str">
        <f aca="false">IF(Staff!$A123="","",Staff!$AN123)</f>
        <v/>
      </c>
      <c r="U123" s="0" t="str">
        <f aca="false">IF(Staff!$A123="","",Staff!$AO123)</f>
        <v/>
      </c>
      <c r="V123" s="0" t="str">
        <f aca="false">IF(Staff!$A123="","",Staff!$AP123)</f>
        <v/>
      </c>
      <c r="W123" s="0" t="str">
        <f aca="false">IF(Staff!$A123="","",Staff!$AQ123)</f>
        <v/>
      </c>
    </row>
    <row r="124" customFormat="false" ht="15" hidden="false" customHeight="false" outlineLevel="0" collapsed="false">
      <c r="A124" s="13" t="str">
        <f aca="false">IF(Staff!$A124="","",Staff!$A124)</f>
        <v/>
      </c>
      <c r="B124" s="13" t="str">
        <f aca="false">IF(Staff!$A124="","",Staff!$B124)</f>
        <v/>
      </c>
      <c r="C124" s="13" t="str">
        <f aca="false">IF(Staff!$A124="","",Staff!$C124)</f>
        <v/>
      </c>
      <c r="D124" s="11" t="str">
        <f aca="false">IF(Staff!$A124="","",Staff!$AF124)</f>
        <v/>
      </c>
      <c r="E124" s="13" t="str">
        <f aca="false">IF(Staff!$A124="","",Staff!$O124)</f>
        <v/>
      </c>
      <c r="F124" s="13" t="str">
        <f aca="false">IF(E124="","",E124*HoursPerDay)</f>
        <v/>
      </c>
      <c r="G124" s="26" t="str">
        <f aca="false">IF($A124="","",H124&amp;I124&amp;J124&amp;K124&amp;L124&amp;M124&amp;N124&amp;O124&amp;P124)</f>
        <v/>
      </c>
      <c r="H124" s="0" t="str">
        <f aca="false">IF(OR($A124="",$D124=""),"",IF(AND(EDATE($D124,Milestones!$AA$20)&lt;=AsOfDate,IF($Q124=0,$W124,IF(AND($S124&lt;&gt;"",EDATE($D124,Milestones!$AA$20)&gt;=$S124),$V124,IF(AND($R124&lt;&gt;"",EDATE($D124,Milestones!$AA$20)&gt;=$R124),$U124,$T124)))=Milestones!$AB$20),TEXT(EDATE($D124,Milestones!$AA$20),"dd/mm/yy")&amp;" "&amp;Milestones!$AB$20&amp;" "&amp;Milestones!$AC$20&amp;";  ","")&amp;IF(AND(EDATE($D124,Milestones!$AA$21)&lt;=AsOfDate,IF($Q124=0,$W124,IF(AND($S124&lt;&gt;"",EDATE($D124,Milestones!$AA$21)&gt;=$S124),$V124,IF(AND($R124&lt;&gt;"",EDATE($D124,Milestones!$AA$21)&gt;=$R124),$U124,$T124)))=Milestones!$AB$21),TEXT(EDATE($D124,Milestones!$AA$21),"dd/mm/yy")&amp;" "&amp;Milestones!$AB$21&amp;" "&amp;Milestones!$AC$21&amp;";  ","")&amp;IF(AND(EDATE($D124,Milestones!$AA$22)&lt;=AsOfDate,IF($Q124=0,$W124,IF(AND($S124&lt;&gt;"",EDATE($D124,Milestones!$AA$22)&gt;=$S124),$V124,IF(AND($R124&lt;&gt;"",EDATE($D124,Milestones!$AA$22)&gt;=$R124),$U124,$T124)))=Milestones!$AB$22),TEXT(EDATE($D124,Milestones!$AA$22),"dd/mm/yy")&amp;" "&amp;Milestones!$AB$22&amp;" "&amp;Milestones!$AC$22&amp;";  ","")&amp;IF(AND(EDATE($D124,Milestones!$AA$23)&lt;=AsOfDate,IF($Q124=0,$W124,IF(AND($S124&lt;&gt;"",EDATE($D124,Milestones!$AA$23)&gt;=$S124),$V124,IF(AND($R124&lt;&gt;"",EDATE($D124,Milestones!$AA$23)&gt;=$R124),$U124,$T124)))=Milestones!$AB$23),TEXT(EDATE($D124,Milestones!$AA$23),"dd/mm/yy")&amp;" "&amp;Milestones!$AB$23&amp;" "&amp;Milestones!$AC$23&amp;";  ","")&amp;IF(AND(EDATE($D124,Milestones!$AA$24)&lt;=AsOfDate,IF($Q124=0,$W124,IF(AND($S124&lt;&gt;"",EDATE($D124,Milestones!$AA$24)&gt;=$S124),$V124,IF(AND($R124&lt;&gt;"",EDATE($D124,Milestones!$AA$24)&gt;=$R124),$U124,$T124)))=Milestones!$AB$24),TEXT(EDATE($D124,Milestones!$AA$24),"dd/mm/yy")&amp;" "&amp;Milestones!$AB$24&amp;" "&amp;Milestones!$AC$24&amp;";  ","")&amp;IF(AND(EDATE($D124,Milestones!$AA$25)&lt;=AsOfDate,IF($Q124=0,$W124,IF(AND($S124&lt;&gt;"",EDATE($D124,Milestones!$AA$25)&gt;=$S124),$V124,IF(AND($R124&lt;&gt;"",EDATE($D124,Milestones!$AA$25)&gt;=$R124),$U124,$T124)))=Milestones!$AB$25),TEXT(EDATE($D124,Milestones!$AA$25),"dd/mm/yy")&amp;" "&amp;Milestones!$AB$25&amp;" "&amp;Milestones!$AC$25&amp;";  ","")&amp;IF(AND(EDATE($D124,Milestones!$AA$26)&lt;=AsOfDate,IF($Q124=0,$W124,IF(AND($S124&lt;&gt;"",EDATE($D124,Milestones!$AA$26)&gt;=$S124),$V124,IF(AND($R124&lt;&gt;"",EDATE($D124,Milestones!$AA$26)&gt;=$R124),$U124,$T124)))=Milestones!$AB$26),TEXT(EDATE($D124,Milestones!$AA$26),"dd/mm/yy")&amp;" "&amp;Milestones!$AB$26&amp;" "&amp;Milestones!$AC$26&amp;";  ","")&amp;IF(AND(EDATE($D124,Milestones!$AA$27)&lt;=AsOfDate,IF($Q124=0,$W124,IF(AND($S124&lt;&gt;"",EDATE($D124,Milestones!$AA$27)&gt;=$S124),$V124,IF(AND($R124&lt;&gt;"",EDATE($D124,Milestones!$AA$27)&gt;=$R124),$U124,$T124)))=Milestones!$AB$27),TEXT(EDATE($D124,Milestones!$AA$27),"dd/mm/yy")&amp;" "&amp;Milestones!$AB$27&amp;" "&amp;Milestones!$AC$27&amp;";  ","")&amp;IF(AND(EDATE($D124,Milestones!$AA$28)&lt;=AsOfDate,IF($Q124=0,$W124,IF(AND($S124&lt;&gt;"",EDATE($D124,Milestones!$AA$28)&gt;=$S124),$V124,IF(AND($R124&lt;&gt;"",EDATE($D124,Milestones!$AA$28)&gt;=$R124),$U124,$T124)))=Milestones!$AB$28),TEXT(EDATE($D124,Milestones!$AA$28),"dd/mm/yy")&amp;" "&amp;Milestones!$AB$28&amp;" "&amp;Milestones!$AC$28&amp;";  ","")&amp;IF(AND(EDATE($D124,Milestones!$AA$29)&lt;=AsOfDate,IF($Q124=0,$W124,IF(AND($S124&lt;&gt;"",EDATE($D124,Milestones!$AA$29)&gt;=$S124),$V124,IF(AND($R124&lt;&gt;"",EDATE($D124,Milestones!$AA$29)&gt;=$R124),$U124,$T124)))=Milestones!$AB$29),TEXT(EDATE($D124,Milestones!$AA$29),"dd/mm/yy")&amp;" "&amp;Milestones!$AB$29&amp;" "&amp;Milestones!$AC$29&amp;";  ","")&amp;IF(AND(EDATE($D124,Milestones!$AA$30)&lt;=AsOfDate,IF($Q124=0,$W124,IF(AND($S124&lt;&gt;"",EDATE($D124,Milestones!$AA$30)&gt;=$S124),$V124,IF(AND($R124&lt;&gt;"",EDATE($D124,Milestones!$AA$30)&gt;=$R124),$U124,$T124)))=Milestones!$AB$30),TEXT(EDATE($D124,Milestones!$AA$30),"dd/mm/yy")&amp;" "&amp;Milestones!$AB$30&amp;" "&amp;Milestones!$AC$30&amp;";  ","")&amp;IF(AND(EDATE($D124,Milestones!$AA$31)&lt;=AsOfDate,IF($Q124=0,$W124,IF(AND($S124&lt;&gt;"",EDATE($D124,Milestones!$AA$31)&gt;=$S124),$V124,IF(AND($R124&lt;&gt;"",EDATE($D124,Milestones!$AA$31)&gt;=$R124),$U124,$T124)))=Milestones!$AB$31),TEXT(EDATE($D124,Milestones!$AA$31),"dd/mm/yy")&amp;" "&amp;Milestones!$AB$31&amp;" "&amp;Milestones!$AC$31&amp;";  ","")&amp;IF(AND(EDATE($D124,Milestones!$AA$32)&lt;=AsOfDate,IF($Q124=0,$W124,IF(AND($S124&lt;&gt;"",EDATE($D124,Milestones!$AA$32)&gt;=$S124),$V124,IF(AND($R124&lt;&gt;"",EDATE($D124,Milestones!$AA$32)&gt;=$R124),$U124,$T124)))=Milestones!$AB$32),TEXT(EDATE($D124,Milestones!$AA$32),"dd/mm/yy")&amp;" "&amp;Milestones!$AB$32&amp;" "&amp;Milestones!$AC$32&amp;";  ","")&amp;IF(AND(EDATE($D124,Milestones!$AA$33)&lt;=AsOfDate,IF($Q124=0,$W124,IF(AND($S124&lt;&gt;"",EDATE($D124,Milestones!$AA$33)&gt;=$S124),$V124,IF(AND($R124&lt;&gt;"",EDATE($D124,Milestones!$AA$33)&gt;=$R124),$U124,$T124)))=Milestones!$AB$33),TEXT(EDATE($D124,Milestones!$AA$33),"dd/mm/yy")&amp;" "&amp;Milestones!$AB$33&amp;" "&amp;Milestones!$AC$33&amp;";  ","")&amp;IF(AND(EDATE($D124,Milestones!$AA$34)&lt;=AsOfDate,IF($Q124=0,$W124,IF(AND($S124&lt;&gt;"",EDATE($D124,Milestones!$AA$34)&gt;=$S124),$V124,IF(AND($R124&lt;&gt;"",EDATE($D124,Milestones!$AA$34)&gt;=$R124),$U124,$T124)))=Milestones!$AB$34),TEXT(EDATE($D124,Milestones!$AA$34),"dd/mm/yy")&amp;" "&amp;Milestones!$AB$34&amp;" "&amp;Milestones!$AC$34&amp;";  ","")&amp;IF(AND(EDATE($D124,Milestones!$AA$35)&lt;=AsOfDate,IF($Q124=0,$W124,IF(AND($S124&lt;&gt;"",EDATE($D124,Milestones!$AA$35)&gt;=$S124),$V124,IF(AND($R124&lt;&gt;"",EDATE($D124,Milestones!$AA$35)&gt;=$R124),$U124,$T124)))=Milestones!$AB$35),TEXT(EDATE($D124,Milestones!$AA$35),"dd/mm/yy")&amp;" "&amp;Milestones!$AB$35&amp;" "&amp;Milestones!$AC$35&amp;";  ","")&amp;IF(AND(EDATE($D124,Milestones!$AA$36)&lt;=AsOfDate,IF($Q124=0,$W124,IF(AND($S124&lt;&gt;"",EDATE($D124,Milestones!$AA$36)&gt;=$S124),$V124,IF(AND($R124&lt;&gt;"",EDATE($D124,Milestones!$AA$36)&gt;=$R124),$U124,$T124)))=Milestones!$AB$36),TEXT(EDATE($D124,Milestones!$AA$36),"dd/mm/yy")&amp;" "&amp;Milestones!$AB$36&amp;" "&amp;Milestones!$AC$36&amp;";  ","")&amp;IF(AND(EDATE($D124,Milestones!$AA$37)&lt;=AsOfDate,IF($Q124=0,$W124,IF(AND($S124&lt;&gt;"",EDATE($D124,Milestones!$AA$37)&gt;=$S124),$V124,IF(AND($R124&lt;&gt;"",EDATE($D124,Milestones!$AA$37)&gt;=$R124),$U124,$T124)))=Milestones!$AB$37),TEXT(EDATE($D124,Milestones!$AA$37),"dd/mm/yy")&amp;" "&amp;Milestones!$AB$37&amp;" "&amp;Milestones!$AC$37&amp;";  ","")&amp;IF(AND(EDATE($D124,Milestones!$AA$38)&lt;=AsOfDate,IF($Q124=0,$W124,IF(AND($S124&lt;&gt;"",EDATE($D124,Milestones!$AA$38)&gt;=$S124),$V124,IF(AND($R124&lt;&gt;"",EDATE($D124,Milestones!$AA$38)&gt;=$R124),$U124,$T124)))=Milestones!$AB$38),TEXT(EDATE($D124,Milestones!$AA$38),"dd/mm/yy")&amp;" "&amp;Milestones!$AB$38&amp;" "&amp;Milestones!$AC$38&amp;";  ","")&amp;IF(AND(EDATE($D124,Milestones!$AA$39)&lt;=AsOfDate,IF($Q124=0,$W124,IF(AND($S124&lt;&gt;"",EDATE($D124,Milestones!$AA$39)&gt;=$S124),$V124,IF(AND($R124&lt;&gt;"",EDATE($D124,Milestones!$AA$39)&gt;=$R124),$U124,$T124)))=Milestones!$AB$39),TEXT(EDATE($D124,Milestones!$AA$39),"dd/mm/yy")&amp;" "&amp;Milestones!$AB$39&amp;" "&amp;Milestones!$AC$39&amp;";  ",""))</f>
        <v/>
      </c>
      <c r="I124" s="0" t="str">
        <f aca="false">IF(OR($A124="",$D124=""),"",IF(AND(EDATE($D124,Milestones!$AA$40)&lt;=AsOfDate,IF($Q124=0,$W124,IF(AND($S124&lt;&gt;"",EDATE($D124,Milestones!$AA$40)&gt;=$S124),$V124,IF(AND($R124&lt;&gt;"",EDATE($D124,Milestones!$AA$40)&gt;=$R124),$U124,$T124)))=Milestones!$AB$40),TEXT(EDATE($D124,Milestones!$AA$40),"dd/mm/yy")&amp;" "&amp;Milestones!$AB$40&amp;" "&amp;Milestones!$AC$40&amp;";  ","")&amp;IF(AND(EDATE($D124,Milestones!$AA$41)&lt;=AsOfDate,IF($Q124=0,$W124,IF(AND($S124&lt;&gt;"",EDATE($D124,Milestones!$AA$41)&gt;=$S124),$V124,IF(AND($R124&lt;&gt;"",EDATE($D124,Milestones!$AA$41)&gt;=$R124),$U124,$T124)))=Milestones!$AB$41),TEXT(EDATE($D124,Milestones!$AA$41),"dd/mm/yy")&amp;" "&amp;Milestones!$AB$41&amp;" "&amp;Milestones!$AC$41&amp;";  ","")&amp;IF(AND(EDATE($D124,Milestones!$AA$42)&lt;=AsOfDate,IF($Q124=0,$W124,IF(AND($S124&lt;&gt;"",EDATE($D124,Milestones!$AA$42)&gt;=$S124),$V124,IF(AND($R124&lt;&gt;"",EDATE($D124,Milestones!$AA$42)&gt;=$R124),$U124,$T124)))=Milestones!$AB$42),TEXT(EDATE($D124,Milestones!$AA$42),"dd/mm/yy")&amp;" "&amp;Milestones!$AB$42&amp;" "&amp;Milestones!$AC$42&amp;";  ","")&amp;IF(AND(EDATE($D124,Milestones!$AA$43)&lt;=AsOfDate,IF($Q124=0,$W124,IF(AND($S124&lt;&gt;"",EDATE($D124,Milestones!$AA$43)&gt;=$S124),$V124,IF(AND($R124&lt;&gt;"",EDATE($D124,Milestones!$AA$43)&gt;=$R124),$U124,$T124)))=Milestones!$AB$43),TEXT(EDATE($D124,Milestones!$AA$43),"dd/mm/yy")&amp;" "&amp;Milestones!$AB$43&amp;" "&amp;Milestones!$AC$43&amp;";  ","")&amp;IF(AND(EDATE($D124,Milestones!$AA$44)&lt;=AsOfDate,IF($Q124=0,$W124,IF(AND($S124&lt;&gt;"",EDATE($D124,Milestones!$AA$44)&gt;=$S124),$V124,IF(AND($R124&lt;&gt;"",EDATE($D124,Milestones!$AA$44)&gt;=$R124),$U124,$T124)))=Milestones!$AB$44),TEXT(EDATE($D124,Milestones!$AA$44),"dd/mm/yy")&amp;" "&amp;Milestones!$AB$44&amp;" "&amp;Milestones!$AC$44&amp;";  ","")&amp;IF(AND(EDATE($D124,Milestones!$AA$45)&lt;=AsOfDate,IF($Q124=0,$W124,IF(AND($S124&lt;&gt;"",EDATE($D124,Milestones!$AA$45)&gt;=$S124),$V124,IF(AND($R124&lt;&gt;"",EDATE($D124,Milestones!$AA$45)&gt;=$R124),$U124,$T124)))=Milestones!$AB$45),TEXT(EDATE($D124,Milestones!$AA$45),"dd/mm/yy")&amp;" "&amp;Milestones!$AB$45&amp;" "&amp;Milestones!$AC$45&amp;";  ","")&amp;IF(AND(EDATE($D124,Milestones!$AA$46)&lt;=AsOfDate,IF($Q124=0,$W124,IF(AND($S124&lt;&gt;"",EDATE($D124,Milestones!$AA$46)&gt;=$S124),$V124,IF(AND($R124&lt;&gt;"",EDATE($D124,Milestones!$AA$46)&gt;=$R124),$U124,$T124)))=Milestones!$AB$46),TEXT(EDATE($D124,Milestones!$AA$46),"dd/mm/yy")&amp;" "&amp;Milestones!$AB$46&amp;" "&amp;Milestones!$AC$46&amp;";  ","")&amp;IF(AND(EDATE($D124,Milestones!$AA$47)&lt;=AsOfDate,IF($Q124=0,$W124,IF(AND($S124&lt;&gt;"",EDATE($D124,Milestones!$AA$47)&gt;=$S124),$V124,IF(AND($R124&lt;&gt;"",EDATE($D124,Milestones!$AA$47)&gt;=$R124),$U124,$T124)))=Milestones!$AB$47),TEXT(EDATE($D124,Milestones!$AA$47),"dd/mm/yy")&amp;" "&amp;Milestones!$AB$47&amp;" "&amp;Milestones!$AC$47&amp;";  ","")&amp;IF(AND(EDATE($D124,Milestones!$AA$48)&lt;=AsOfDate,IF($Q124=0,$W124,IF(AND($S124&lt;&gt;"",EDATE($D124,Milestones!$AA$48)&gt;=$S124),$V124,IF(AND($R124&lt;&gt;"",EDATE($D124,Milestones!$AA$48)&gt;=$R124),$U124,$T124)))=Milestones!$AB$48),TEXT(EDATE($D124,Milestones!$AA$48),"dd/mm/yy")&amp;" "&amp;Milestones!$AB$48&amp;" "&amp;Milestones!$AC$48&amp;";  ","")&amp;IF(AND(EDATE($D124,Milestones!$AA$49)&lt;=AsOfDate,IF($Q124=0,$W124,IF(AND($S124&lt;&gt;"",EDATE($D124,Milestones!$AA$49)&gt;=$S124),$V124,IF(AND($R124&lt;&gt;"",EDATE($D124,Milestones!$AA$49)&gt;=$R124),$U124,$T124)))=Milestones!$AB$49),TEXT(EDATE($D124,Milestones!$AA$49),"dd/mm/yy")&amp;" "&amp;Milestones!$AB$49&amp;" "&amp;Milestones!$AC$49&amp;";  ","")&amp;IF(AND(EDATE($D124,Milestones!$AA$50)&lt;=AsOfDate,IF($Q124=0,$W124,IF(AND($S124&lt;&gt;"",EDATE($D124,Milestones!$AA$50)&gt;=$S124),$V124,IF(AND($R124&lt;&gt;"",EDATE($D124,Milestones!$AA$50)&gt;=$R124),$U124,$T124)))=Milestones!$AB$50),TEXT(EDATE($D124,Milestones!$AA$50),"dd/mm/yy")&amp;" "&amp;Milestones!$AB$50&amp;" "&amp;Milestones!$AC$50&amp;";  ","")&amp;IF(AND(EDATE($D124,Milestones!$AA$51)&lt;=AsOfDate,IF($Q124=0,$W124,IF(AND($S124&lt;&gt;"",EDATE($D124,Milestones!$AA$51)&gt;=$S124),$V124,IF(AND($R124&lt;&gt;"",EDATE($D124,Milestones!$AA$51)&gt;=$R124),$U124,$T124)))=Milestones!$AB$51),TEXT(EDATE($D124,Milestones!$AA$51),"dd/mm/yy")&amp;" "&amp;Milestones!$AB$51&amp;" "&amp;Milestones!$AC$51&amp;";  ","")&amp;IF(AND(EDATE($D124,Milestones!$AA$52)&lt;=AsOfDate,IF($Q124=0,$W124,IF(AND($S124&lt;&gt;"",EDATE($D124,Milestones!$AA$52)&gt;=$S124),$V124,IF(AND($R124&lt;&gt;"",EDATE($D124,Milestones!$AA$52)&gt;=$R124),$U124,$T124)))=Milestones!$AB$52),TEXT(EDATE($D124,Milestones!$AA$52),"dd/mm/yy")&amp;" "&amp;Milestones!$AB$52&amp;" "&amp;Milestones!$AC$52&amp;";  ","")&amp;IF(AND(EDATE($D124,Milestones!$AA$53)&lt;=AsOfDate,IF($Q124=0,$W124,IF(AND($S124&lt;&gt;"",EDATE($D124,Milestones!$AA$53)&gt;=$S124),$V124,IF(AND($R124&lt;&gt;"",EDATE($D124,Milestones!$AA$53)&gt;=$R124),$U124,$T124)))=Milestones!$AB$53),TEXT(EDATE($D124,Milestones!$AA$53),"dd/mm/yy")&amp;" "&amp;Milestones!$AB$53&amp;" "&amp;Milestones!$AC$53&amp;";  ","")&amp;IF(AND(EDATE($D124,Milestones!$AA$54)&lt;=AsOfDate,IF($Q124=0,$W124,IF(AND($S124&lt;&gt;"",EDATE($D124,Milestones!$AA$54)&gt;=$S124),$V124,IF(AND($R124&lt;&gt;"",EDATE($D124,Milestones!$AA$54)&gt;=$R124),$U124,$T124)))=Milestones!$AB$54),TEXT(EDATE($D124,Milestones!$AA$54),"dd/mm/yy")&amp;" "&amp;Milestones!$AB$54&amp;" "&amp;Milestones!$AC$54&amp;";  ","")&amp;IF(AND(EDATE($D124,Milestones!$AA$55)&lt;=AsOfDate,IF($Q124=0,$W124,IF(AND($S124&lt;&gt;"",EDATE($D124,Milestones!$AA$55)&gt;=$S124),$V124,IF(AND($R124&lt;&gt;"",EDATE($D124,Milestones!$AA$55)&gt;=$R124),$U124,$T124)))=Milestones!$AB$55),TEXT(EDATE($D124,Milestones!$AA$55),"dd/mm/yy")&amp;" "&amp;Milestones!$AB$55&amp;" "&amp;Milestones!$AC$55&amp;";  ","")&amp;IF(AND(EDATE($D124,Milestones!$AA$56)&lt;=AsOfDate,IF($Q124=0,$W124,IF(AND($S124&lt;&gt;"",EDATE($D124,Milestones!$AA$56)&gt;=$S124),$V124,IF(AND($R124&lt;&gt;"",EDATE($D124,Milestones!$AA$56)&gt;=$R124),$U124,$T124)))=Milestones!$AB$56),TEXT(EDATE($D124,Milestones!$AA$56),"dd/mm/yy")&amp;" "&amp;Milestones!$AB$56&amp;" "&amp;Milestones!$AC$56&amp;";  ","")&amp;IF(AND(EDATE($D124,Milestones!$AA$57)&lt;=AsOfDate,IF($Q124=0,$W124,IF(AND($S124&lt;&gt;"",EDATE($D124,Milestones!$AA$57)&gt;=$S124),$V124,IF(AND($R124&lt;&gt;"",EDATE($D124,Milestones!$AA$57)&gt;=$R124),$U124,$T124)))=Milestones!$AB$57),TEXT(EDATE($D124,Milestones!$AA$57),"dd/mm/yy")&amp;" "&amp;Milestones!$AB$57&amp;" "&amp;Milestones!$AC$57&amp;";  ","")&amp;IF(AND(EDATE($D124,Milestones!$AA$58)&lt;=AsOfDate,IF($Q124=0,$W124,IF(AND($S124&lt;&gt;"",EDATE($D124,Milestones!$AA$58)&gt;=$S124),$V124,IF(AND($R124&lt;&gt;"",EDATE($D124,Milestones!$AA$58)&gt;=$R124),$U124,$T124)))=Milestones!$AB$58),TEXT(EDATE($D124,Milestones!$AA$58),"dd/mm/yy")&amp;" "&amp;Milestones!$AB$58&amp;" "&amp;Milestones!$AC$58&amp;";  ","")&amp;IF(AND(EDATE($D124,Milestones!$AA$59)&lt;=AsOfDate,IF($Q124=0,$W124,IF(AND($S124&lt;&gt;"",EDATE($D124,Milestones!$AA$59)&gt;=$S124),$V124,IF(AND($R124&lt;&gt;"",EDATE($D124,Milestones!$AA$59)&gt;=$R124),$U124,$T124)))=Milestones!$AB$59),TEXT(EDATE($D124,Milestones!$AA$59),"dd/mm/yy")&amp;" "&amp;Milestones!$AB$59&amp;" "&amp;Milestones!$AC$59&amp;";  ",""))</f>
        <v/>
      </c>
      <c r="J124" s="0" t="str">
        <f aca="false">IF(OR($A124="",$D124=""),"",IF(AND(EDATE($D124,Milestones!$AA$60)&lt;=AsOfDate,IF($Q124=0,$W124,IF(AND($S124&lt;&gt;"",EDATE($D124,Milestones!$AA$60)&gt;=$S124),$V124,IF(AND($R124&lt;&gt;"",EDATE($D124,Milestones!$AA$60)&gt;=$R124),$U124,$T124)))=Milestones!$AB$60),TEXT(EDATE($D124,Milestones!$AA$60),"dd/mm/yy")&amp;" "&amp;Milestones!$AB$60&amp;" "&amp;Milestones!$AC$60&amp;";  ","")&amp;IF(AND(EDATE($D124,Milestones!$AA$61)&lt;=AsOfDate,IF($Q124=0,$W124,IF(AND($S124&lt;&gt;"",EDATE($D124,Milestones!$AA$61)&gt;=$S124),$V124,IF(AND($R124&lt;&gt;"",EDATE($D124,Milestones!$AA$61)&gt;=$R124),$U124,$T124)))=Milestones!$AB$61),TEXT(EDATE($D124,Milestones!$AA$61),"dd/mm/yy")&amp;" "&amp;Milestones!$AB$61&amp;" "&amp;Milestones!$AC$61&amp;";  ","")&amp;IF(AND(EDATE($D124,Milestones!$AA$62)&lt;=AsOfDate,IF($Q124=0,$W124,IF(AND($S124&lt;&gt;"",EDATE($D124,Milestones!$AA$62)&gt;=$S124),$V124,IF(AND($R124&lt;&gt;"",EDATE($D124,Milestones!$AA$62)&gt;=$R124),$U124,$T124)))=Milestones!$AB$62),TEXT(EDATE($D124,Milestones!$AA$62),"dd/mm/yy")&amp;" "&amp;Milestones!$AB$62&amp;" "&amp;Milestones!$AC$62&amp;";  ","")&amp;IF(AND(EDATE($D124,Milestones!$AA$63)&lt;=AsOfDate,IF($Q124=0,$W124,IF(AND($S124&lt;&gt;"",EDATE($D124,Milestones!$AA$63)&gt;=$S124),$V124,IF(AND($R124&lt;&gt;"",EDATE($D124,Milestones!$AA$63)&gt;=$R124),$U124,$T124)))=Milestones!$AB$63),TEXT(EDATE($D124,Milestones!$AA$63),"dd/mm/yy")&amp;" "&amp;Milestones!$AB$63&amp;" "&amp;Milestones!$AC$63&amp;";  ","")&amp;IF(AND(EDATE($D124,Milestones!$AA$64)&lt;=AsOfDate,IF($Q124=0,$W124,IF(AND($S124&lt;&gt;"",EDATE($D124,Milestones!$AA$64)&gt;=$S124),$V124,IF(AND($R124&lt;&gt;"",EDATE($D124,Milestones!$AA$64)&gt;=$R124),$U124,$T124)))=Milestones!$AB$64),TEXT(EDATE($D124,Milestones!$AA$64),"dd/mm/yy")&amp;" "&amp;Milestones!$AB$64&amp;" "&amp;Milestones!$AC$64&amp;";  ","")&amp;IF(AND(EDATE($D124,Milestones!$AA$65)&lt;=AsOfDate,IF($Q124=0,$W124,IF(AND($S124&lt;&gt;"",EDATE($D124,Milestones!$AA$65)&gt;=$S124),$V124,IF(AND($R124&lt;&gt;"",EDATE($D124,Milestones!$AA$65)&gt;=$R124),$U124,$T124)))=Milestones!$AB$65),TEXT(EDATE($D124,Milestones!$AA$65),"dd/mm/yy")&amp;" "&amp;Milestones!$AB$65&amp;" "&amp;Milestones!$AC$65&amp;";  ","")&amp;IF(AND(EDATE($D124,Milestones!$AA$66)&lt;=AsOfDate,IF($Q124=0,$W124,IF(AND($S124&lt;&gt;"",EDATE($D124,Milestones!$AA$66)&gt;=$S124),$V124,IF(AND($R124&lt;&gt;"",EDATE($D124,Milestones!$AA$66)&gt;=$R124),$U124,$T124)))=Milestones!$AB$66),TEXT(EDATE($D124,Milestones!$AA$66),"dd/mm/yy")&amp;" "&amp;Milestones!$AB$66&amp;" "&amp;Milestones!$AC$66&amp;";  ","")&amp;IF(AND(EDATE($D124,Milestones!$AA$67)&lt;=AsOfDate,IF($Q124=0,$W124,IF(AND($S124&lt;&gt;"",EDATE($D124,Milestones!$AA$67)&gt;=$S124),$V124,IF(AND($R124&lt;&gt;"",EDATE($D124,Milestones!$AA$67)&gt;=$R124),$U124,$T124)))=Milestones!$AB$67),TEXT(EDATE($D124,Milestones!$AA$67),"dd/mm/yy")&amp;" "&amp;Milestones!$AB$67&amp;" "&amp;Milestones!$AC$67&amp;";  ","")&amp;IF(AND(EDATE($D124,Milestones!$AA$68)&lt;=AsOfDate,IF($Q124=0,$W124,IF(AND($S124&lt;&gt;"",EDATE($D124,Milestones!$AA$68)&gt;=$S124),$V124,IF(AND($R124&lt;&gt;"",EDATE($D124,Milestones!$AA$68)&gt;=$R124),$U124,$T124)))=Milestones!$AB$68),TEXT(EDATE($D124,Milestones!$AA$68),"dd/mm/yy")&amp;" "&amp;Milestones!$AB$68&amp;" "&amp;Milestones!$AC$68&amp;";  ","")&amp;IF(AND(EDATE($D124,Milestones!$AA$69)&lt;=AsOfDate,IF($Q124=0,$W124,IF(AND($S124&lt;&gt;"",EDATE($D124,Milestones!$AA$69)&gt;=$S124),$V124,IF(AND($R124&lt;&gt;"",EDATE($D124,Milestones!$AA$69)&gt;=$R124),$U124,$T124)))=Milestones!$AB$69),TEXT(EDATE($D124,Milestones!$AA$69),"dd/mm/yy")&amp;" "&amp;Milestones!$AB$69&amp;" "&amp;Milestones!$AC$69&amp;";  ","")&amp;IF(AND(EDATE($D124,Milestones!$AA$70)&lt;=AsOfDate,IF($Q124=0,$W124,IF(AND($S124&lt;&gt;"",EDATE($D124,Milestones!$AA$70)&gt;=$S124),$V124,IF(AND($R124&lt;&gt;"",EDATE($D124,Milestones!$AA$70)&gt;=$R124),$U124,$T124)))=Milestones!$AB$70),TEXT(EDATE($D124,Milestones!$AA$70),"dd/mm/yy")&amp;" "&amp;Milestones!$AB$70&amp;" "&amp;Milestones!$AC$70&amp;";  ","")&amp;IF(AND(EDATE($D124,Milestones!$AA$71)&lt;=AsOfDate,IF($Q124=0,$W124,IF(AND($S124&lt;&gt;"",EDATE($D124,Milestones!$AA$71)&gt;=$S124),$V124,IF(AND($R124&lt;&gt;"",EDATE($D124,Milestones!$AA$71)&gt;=$R124),$U124,$T124)))=Milestones!$AB$71),TEXT(EDATE($D124,Milestones!$AA$71),"dd/mm/yy")&amp;" "&amp;Milestones!$AB$71&amp;" "&amp;Milestones!$AC$71&amp;";  ","")&amp;IF(AND(EDATE($D124,Milestones!$AA$72)&lt;=AsOfDate,IF($Q124=0,$W124,IF(AND($S124&lt;&gt;"",EDATE($D124,Milestones!$AA$72)&gt;=$S124),$V124,IF(AND($R124&lt;&gt;"",EDATE($D124,Milestones!$AA$72)&gt;=$R124),$U124,$T124)))=Milestones!$AB$72),TEXT(EDATE($D124,Milestones!$AA$72),"dd/mm/yy")&amp;" "&amp;Milestones!$AB$72&amp;" "&amp;Milestones!$AC$72&amp;";  ","")&amp;IF(AND(EDATE($D124,Milestones!$AA$73)&lt;=AsOfDate,IF($Q124=0,$W124,IF(AND($S124&lt;&gt;"",EDATE($D124,Milestones!$AA$73)&gt;=$S124),$V124,IF(AND($R124&lt;&gt;"",EDATE($D124,Milestones!$AA$73)&gt;=$R124),$U124,$T124)))=Milestones!$AB$73),TEXT(EDATE($D124,Milestones!$AA$73),"dd/mm/yy")&amp;" "&amp;Milestones!$AB$73&amp;" "&amp;Milestones!$AC$73&amp;";  ","")&amp;IF(AND(EDATE($D124,Milestones!$AA$74)&lt;=AsOfDate,IF($Q124=0,$W124,IF(AND($S124&lt;&gt;"",EDATE($D124,Milestones!$AA$74)&gt;=$S124),$V124,IF(AND($R124&lt;&gt;"",EDATE($D124,Milestones!$AA$74)&gt;=$R124),$U124,$T124)))=Milestones!$AB$74),TEXT(EDATE($D124,Milestones!$AA$74),"dd/mm/yy")&amp;" "&amp;Milestones!$AB$74&amp;" "&amp;Milestones!$AC$74&amp;";  ","")&amp;IF(AND(EDATE($D124,Milestones!$AA$75)&lt;=AsOfDate,IF($Q124=0,$W124,IF(AND($S124&lt;&gt;"",EDATE($D124,Milestones!$AA$75)&gt;=$S124),$V124,IF(AND($R124&lt;&gt;"",EDATE($D124,Milestones!$AA$75)&gt;=$R124),$U124,$T124)))=Milestones!$AB$75),TEXT(EDATE($D124,Milestones!$AA$75),"dd/mm/yy")&amp;" "&amp;Milestones!$AB$75&amp;" "&amp;Milestones!$AC$75&amp;";  ","")&amp;IF(AND(EDATE($D124,Milestones!$AA$76)&lt;=AsOfDate,IF($Q124=0,$W124,IF(AND($S124&lt;&gt;"",EDATE($D124,Milestones!$AA$76)&gt;=$S124),$V124,IF(AND($R124&lt;&gt;"",EDATE($D124,Milestones!$AA$76)&gt;=$R124),$U124,$T124)))=Milestones!$AB$76),TEXT(EDATE($D124,Milestones!$AA$76),"dd/mm/yy")&amp;" "&amp;Milestones!$AB$76&amp;" "&amp;Milestones!$AC$76&amp;";  ","")&amp;IF(AND(EDATE($D124,Milestones!$AA$77)&lt;=AsOfDate,IF($Q124=0,$W124,IF(AND($S124&lt;&gt;"",EDATE($D124,Milestones!$AA$77)&gt;=$S124),$V124,IF(AND($R124&lt;&gt;"",EDATE($D124,Milestones!$AA$77)&gt;=$R124),$U124,$T124)))=Milestones!$AB$77),TEXT(EDATE($D124,Milestones!$AA$77),"dd/mm/yy")&amp;" "&amp;Milestones!$AB$77&amp;" "&amp;Milestones!$AC$77&amp;";  ","")&amp;IF(AND(EDATE($D124,Milestones!$AA$78)&lt;=AsOfDate,IF($Q124=0,$W124,IF(AND($S124&lt;&gt;"",EDATE($D124,Milestones!$AA$78)&gt;=$S124),$V124,IF(AND($R124&lt;&gt;"",EDATE($D124,Milestones!$AA$78)&gt;=$R124),$U124,$T124)))=Milestones!$AB$78),TEXT(EDATE($D124,Milestones!$AA$78),"dd/mm/yy")&amp;" "&amp;Milestones!$AB$78&amp;" "&amp;Milestones!$AC$78&amp;";  ","")&amp;IF(AND(EDATE($D124,Milestones!$AA$79)&lt;=AsOfDate,IF($Q124=0,$W124,IF(AND($S124&lt;&gt;"",EDATE($D124,Milestones!$AA$79)&gt;=$S124),$V124,IF(AND($R124&lt;&gt;"",EDATE($D124,Milestones!$AA$79)&gt;=$R124),$U124,$T124)))=Milestones!$AB$79),TEXT(EDATE($D124,Milestones!$AA$79),"dd/mm/yy")&amp;" "&amp;Milestones!$AB$79&amp;" "&amp;Milestones!$AC$79&amp;";  ",""))</f>
        <v/>
      </c>
      <c r="K124" s="0" t="str">
        <f aca="false">IF(OR($A124="",$D124=""),"",IF(AND(EDATE($D124,Milestones!$AA$80)&lt;=AsOfDate,IF($Q124=0,$W124,IF(AND($S124&lt;&gt;"",EDATE($D124,Milestones!$AA$80)&gt;=$S124),$V124,IF(AND($R124&lt;&gt;"",EDATE($D124,Milestones!$AA$80)&gt;=$R124),$U124,$T124)))=Milestones!$AB$80),TEXT(EDATE($D124,Milestones!$AA$80),"dd/mm/yy")&amp;" "&amp;Milestones!$AB$80&amp;" "&amp;Milestones!$AC$80&amp;";  ","")&amp;IF(AND(EDATE($D124,Milestones!$AA$81)&lt;=AsOfDate,IF($Q124=0,$W124,IF(AND($S124&lt;&gt;"",EDATE($D124,Milestones!$AA$81)&gt;=$S124),$V124,IF(AND($R124&lt;&gt;"",EDATE($D124,Milestones!$AA$81)&gt;=$R124),$U124,$T124)))=Milestones!$AB$81),TEXT(EDATE($D124,Milestones!$AA$81),"dd/mm/yy")&amp;" "&amp;Milestones!$AB$81&amp;" "&amp;Milestones!$AC$81&amp;";  ","")&amp;IF(AND(EDATE($D124,Milestones!$AA$82)&lt;=AsOfDate,IF($Q124=0,$W124,IF(AND($S124&lt;&gt;"",EDATE($D124,Milestones!$AA$82)&gt;=$S124),$V124,IF(AND($R124&lt;&gt;"",EDATE($D124,Milestones!$AA$82)&gt;=$R124),$U124,$T124)))=Milestones!$AB$82),TEXT(EDATE($D124,Milestones!$AA$82),"dd/mm/yy")&amp;" "&amp;Milestones!$AB$82&amp;" "&amp;Milestones!$AC$82&amp;";  ","")&amp;IF(AND(EDATE($D124,Milestones!$AA$83)&lt;=AsOfDate,IF($Q124=0,$W124,IF(AND($S124&lt;&gt;"",EDATE($D124,Milestones!$AA$83)&gt;=$S124),$V124,IF(AND($R124&lt;&gt;"",EDATE($D124,Milestones!$AA$83)&gt;=$R124),$U124,$T124)))=Milestones!$AB$83),TEXT(EDATE($D124,Milestones!$AA$83),"dd/mm/yy")&amp;" "&amp;Milestones!$AB$83&amp;" "&amp;Milestones!$AC$83&amp;";  ","")&amp;IF(AND(EDATE($D124,Milestones!$AA$84)&lt;=AsOfDate,IF($Q124=0,$W124,IF(AND($S124&lt;&gt;"",EDATE($D124,Milestones!$AA$84)&gt;=$S124),$V124,IF(AND($R124&lt;&gt;"",EDATE($D124,Milestones!$AA$84)&gt;=$R124),$U124,$T124)))=Milestones!$AB$84),TEXT(EDATE($D124,Milestones!$AA$84),"dd/mm/yy")&amp;" "&amp;Milestones!$AB$84&amp;" "&amp;Milestones!$AC$84&amp;";  ","")&amp;IF(AND(EDATE($D124,Milestones!$AA$85)&lt;=AsOfDate,IF($Q124=0,$W124,IF(AND($S124&lt;&gt;"",EDATE($D124,Milestones!$AA$85)&gt;=$S124),$V124,IF(AND($R124&lt;&gt;"",EDATE($D124,Milestones!$AA$85)&gt;=$R124),$U124,$T124)))=Milestones!$AB$85),TEXT(EDATE($D124,Milestones!$AA$85),"dd/mm/yy")&amp;" "&amp;Milestones!$AB$85&amp;" "&amp;Milestones!$AC$85&amp;";  ","")&amp;IF(AND(EDATE($D124,Milestones!$AA$86)&lt;=AsOfDate,IF($Q124=0,$W124,IF(AND($S124&lt;&gt;"",EDATE($D124,Milestones!$AA$86)&gt;=$S124),$V124,IF(AND($R124&lt;&gt;"",EDATE($D124,Milestones!$AA$86)&gt;=$R124),$U124,$T124)))=Milestones!$AB$86),TEXT(EDATE($D124,Milestones!$AA$86),"dd/mm/yy")&amp;" "&amp;Milestones!$AB$86&amp;" "&amp;Milestones!$AC$86&amp;";  ","")&amp;IF(AND(EDATE($D124,Milestones!$AA$87)&lt;=AsOfDate,IF($Q124=0,$W124,IF(AND($S124&lt;&gt;"",EDATE($D124,Milestones!$AA$87)&gt;=$S124),$V124,IF(AND($R124&lt;&gt;"",EDATE($D124,Milestones!$AA$87)&gt;=$R124),$U124,$T124)))=Milestones!$AB$87),TEXT(EDATE($D124,Milestones!$AA$87),"dd/mm/yy")&amp;" "&amp;Milestones!$AB$87&amp;" "&amp;Milestones!$AC$87&amp;";  ","")&amp;IF(AND(EDATE($D124,Milestones!$AA$88)&lt;=AsOfDate,IF($Q124=0,$W124,IF(AND($S124&lt;&gt;"",EDATE($D124,Milestones!$AA$88)&gt;=$S124),$V124,IF(AND($R124&lt;&gt;"",EDATE($D124,Milestones!$AA$88)&gt;=$R124),$U124,$T124)))=Milestones!$AB$88),TEXT(EDATE($D124,Milestones!$AA$88),"dd/mm/yy")&amp;" "&amp;Milestones!$AB$88&amp;" "&amp;Milestones!$AC$88&amp;";  ","")&amp;IF(AND(EDATE($D124,Milestones!$AA$89)&lt;=AsOfDate,IF($Q124=0,$W124,IF(AND($S124&lt;&gt;"",EDATE($D124,Milestones!$AA$89)&gt;=$S124),$V124,IF(AND($R124&lt;&gt;"",EDATE($D124,Milestones!$AA$89)&gt;=$R124),$U124,$T124)))=Milestones!$AB$89),TEXT(EDATE($D124,Milestones!$AA$89),"dd/mm/yy")&amp;" "&amp;Milestones!$AB$89&amp;" "&amp;Milestones!$AC$89&amp;";  ","")&amp;IF(AND(EDATE($D124,Milestones!$AA$90)&lt;=AsOfDate,IF($Q124=0,$W124,IF(AND($S124&lt;&gt;"",EDATE($D124,Milestones!$AA$90)&gt;=$S124),$V124,IF(AND($R124&lt;&gt;"",EDATE($D124,Milestones!$AA$90)&gt;=$R124),$U124,$T124)))=Milestones!$AB$90),TEXT(EDATE($D124,Milestones!$AA$90),"dd/mm/yy")&amp;" "&amp;Milestones!$AB$90&amp;" "&amp;Milestones!$AC$90&amp;";  ","")&amp;IF(AND(EDATE($D124,Milestones!$AA$91)&lt;=AsOfDate,IF($Q124=0,$W124,IF(AND($S124&lt;&gt;"",EDATE($D124,Milestones!$AA$91)&gt;=$S124),$V124,IF(AND($R124&lt;&gt;"",EDATE($D124,Milestones!$AA$91)&gt;=$R124),$U124,$T124)))=Milestones!$AB$91),TEXT(EDATE($D124,Milestones!$AA$91),"dd/mm/yy")&amp;" "&amp;Milestones!$AB$91&amp;" "&amp;Milestones!$AC$91&amp;";  ","")&amp;IF(AND(EDATE($D124,Milestones!$AA$92)&lt;=AsOfDate,IF($Q124=0,$W124,IF(AND($S124&lt;&gt;"",EDATE($D124,Milestones!$AA$92)&gt;=$S124),$V124,IF(AND($R124&lt;&gt;"",EDATE($D124,Milestones!$AA$92)&gt;=$R124),$U124,$T124)))=Milestones!$AB$92),TEXT(EDATE($D124,Milestones!$AA$92),"dd/mm/yy")&amp;" "&amp;Milestones!$AB$92&amp;" "&amp;Milestones!$AC$92&amp;";  ","")&amp;IF(AND(EDATE($D124,Milestones!$AA$93)&lt;=AsOfDate,IF($Q124=0,$W124,IF(AND($S124&lt;&gt;"",EDATE($D124,Milestones!$AA$93)&gt;=$S124),$V124,IF(AND($R124&lt;&gt;"",EDATE($D124,Milestones!$AA$93)&gt;=$R124),$U124,$T124)))=Milestones!$AB$93),TEXT(EDATE($D124,Milestones!$AA$93),"dd/mm/yy")&amp;" "&amp;Milestones!$AB$93&amp;" "&amp;Milestones!$AC$93&amp;";  ","")&amp;IF(AND(EDATE($D124,Milestones!$AA$94)&lt;=AsOfDate,IF($Q124=0,$W124,IF(AND($S124&lt;&gt;"",EDATE($D124,Milestones!$AA$94)&gt;=$S124),$V124,IF(AND($R124&lt;&gt;"",EDATE($D124,Milestones!$AA$94)&gt;=$R124),$U124,$T124)))=Milestones!$AB$94),TEXT(EDATE($D124,Milestones!$AA$94),"dd/mm/yy")&amp;" "&amp;Milestones!$AB$94&amp;" "&amp;Milestones!$AC$94&amp;";  ","")&amp;IF(AND(EDATE($D124,Milestones!$AA$95)&lt;=AsOfDate,IF($Q124=0,$W124,IF(AND($S124&lt;&gt;"",EDATE($D124,Milestones!$AA$95)&gt;=$S124),$V124,IF(AND($R124&lt;&gt;"",EDATE($D124,Milestones!$AA$95)&gt;=$R124),$U124,$T124)))=Milestones!$AB$95),TEXT(EDATE($D124,Milestones!$AA$95),"dd/mm/yy")&amp;" "&amp;Milestones!$AB$95&amp;" "&amp;Milestones!$AC$95&amp;";  ","")&amp;IF(AND(EDATE($D124,Milestones!$AA$96)&lt;=AsOfDate,IF($Q124=0,$W124,IF(AND($S124&lt;&gt;"",EDATE($D124,Milestones!$AA$96)&gt;=$S124),$V124,IF(AND($R124&lt;&gt;"",EDATE($D124,Milestones!$AA$96)&gt;=$R124),$U124,$T124)))=Milestones!$AB$96),TEXT(EDATE($D124,Milestones!$AA$96),"dd/mm/yy")&amp;" "&amp;Milestones!$AB$96&amp;" "&amp;Milestones!$AC$96&amp;";  ","")&amp;IF(AND(EDATE($D124,Milestones!$AA$97)&lt;=AsOfDate,IF($Q124=0,$W124,IF(AND($S124&lt;&gt;"",EDATE($D124,Milestones!$AA$97)&gt;=$S124),$V124,IF(AND($R124&lt;&gt;"",EDATE($D124,Milestones!$AA$97)&gt;=$R124),$U124,$T124)))=Milestones!$AB$97),TEXT(EDATE($D124,Milestones!$AA$97),"dd/mm/yy")&amp;" "&amp;Milestones!$AB$97&amp;" "&amp;Milestones!$AC$97&amp;";  ","")&amp;IF(AND(EDATE($D124,Milestones!$AA$98)&lt;=AsOfDate,IF($Q124=0,$W124,IF(AND($S124&lt;&gt;"",EDATE($D124,Milestones!$AA$98)&gt;=$S124),$V124,IF(AND($R124&lt;&gt;"",EDATE($D124,Milestones!$AA$98)&gt;=$R124),$U124,$T124)))=Milestones!$AB$98),TEXT(EDATE($D124,Milestones!$AA$98),"dd/mm/yy")&amp;" "&amp;Milestones!$AB$98&amp;" "&amp;Milestones!$AC$98&amp;";  ","")&amp;IF(AND(EDATE($D124,Milestones!$AA$99)&lt;=AsOfDate,IF($Q124=0,$W124,IF(AND($S124&lt;&gt;"",EDATE($D124,Milestones!$AA$99)&gt;=$S124),$V124,IF(AND($R124&lt;&gt;"",EDATE($D124,Milestones!$AA$99)&gt;=$R124),$U124,$T124)))=Milestones!$AB$99),TEXT(EDATE($D124,Milestones!$AA$99),"dd/mm/yy")&amp;" "&amp;Milestones!$AB$99&amp;" "&amp;Milestones!$AC$99&amp;";  ",""))</f>
        <v/>
      </c>
      <c r="L124" s="0" t="str">
        <f aca="false">IF(OR($A124="",$D124=""),"",IF(AND(EDATE($D124,Milestones!$AA$100)&lt;=AsOfDate,IF($Q124=0,$W124,IF(AND($S124&lt;&gt;"",EDATE($D124,Milestones!$AA$100)&gt;=$S124),$V124,IF(AND($R124&lt;&gt;"",EDATE($D124,Milestones!$AA$100)&gt;=$R124),$U124,$T124)))=Milestones!$AB$100),TEXT(EDATE($D124,Milestones!$AA$100),"dd/mm/yy")&amp;" "&amp;Milestones!$AB$100&amp;" "&amp;Milestones!$AC$100&amp;";  ","")&amp;IF(AND(EDATE($D124,Milestones!$AA$101)&lt;=AsOfDate,IF($Q124=0,$W124,IF(AND($S124&lt;&gt;"",EDATE($D124,Milestones!$AA$101)&gt;=$S124),$V124,IF(AND($R124&lt;&gt;"",EDATE($D124,Milestones!$AA$101)&gt;=$R124),$U124,$T124)))=Milestones!$AB$101),TEXT(EDATE($D124,Milestones!$AA$101),"dd/mm/yy")&amp;" "&amp;Milestones!$AB$101&amp;" "&amp;Milestones!$AC$101&amp;";  ","")&amp;IF(AND(EDATE($D124,Milestones!$AA$102)&lt;=AsOfDate,IF($Q124=0,$W124,IF(AND($S124&lt;&gt;"",EDATE($D124,Milestones!$AA$102)&gt;=$S124),$V124,IF(AND($R124&lt;&gt;"",EDATE($D124,Milestones!$AA$102)&gt;=$R124),$U124,$T124)))=Milestones!$AB$102),TEXT(EDATE($D124,Milestones!$AA$102),"dd/mm/yy")&amp;" "&amp;Milestones!$AB$102&amp;" "&amp;Milestones!$AC$102&amp;";  ","")&amp;IF(AND(EDATE($D124,Milestones!$AA$103)&lt;=AsOfDate,IF($Q124=0,$W124,IF(AND($S124&lt;&gt;"",EDATE($D124,Milestones!$AA$103)&gt;=$S124),$V124,IF(AND($R124&lt;&gt;"",EDATE($D124,Milestones!$AA$103)&gt;=$R124),$U124,$T124)))=Milestones!$AB$103),TEXT(EDATE($D124,Milestones!$AA$103),"dd/mm/yy")&amp;" "&amp;Milestones!$AB$103&amp;" "&amp;Milestones!$AC$103&amp;";  ","")&amp;IF(AND(EDATE($D124,Milestones!$AA$104)&lt;=AsOfDate,IF($Q124=0,$W124,IF(AND($S124&lt;&gt;"",EDATE($D124,Milestones!$AA$104)&gt;=$S124),$V124,IF(AND($R124&lt;&gt;"",EDATE($D124,Milestones!$AA$104)&gt;=$R124),$U124,$T124)))=Milestones!$AB$104),TEXT(EDATE($D124,Milestones!$AA$104),"dd/mm/yy")&amp;" "&amp;Milestones!$AB$104&amp;" "&amp;Milestones!$AC$104&amp;";  ","")&amp;IF(AND(EDATE($D124,Milestones!$AA$105)&lt;=AsOfDate,IF($Q124=0,$W124,IF(AND($S124&lt;&gt;"",EDATE($D124,Milestones!$AA$105)&gt;=$S124),$V124,IF(AND($R124&lt;&gt;"",EDATE($D124,Milestones!$AA$105)&gt;=$R124),$U124,$T124)))=Milestones!$AB$105),TEXT(EDATE($D124,Milestones!$AA$105),"dd/mm/yy")&amp;" "&amp;Milestones!$AB$105&amp;" "&amp;Milestones!$AC$105&amp;";  ","")&amp;IF(AND(EDATE($D124,Milestones!$AA$106)&lt;=AsOfDate,IF($Q124=0,$W124,IF(AND($S124&lt;&gt;"",EDATE($D124,Milestones!$AA$106)&gt;=$S124),$V124,IF(AND($R124&lt;&gt;"",EDATE($D124,Milestones!$AA$106)&gt;=$R124),$U124,$T124)))=Milestones!$AB$106),TEXT(EDATE($D124,Milestones!$AA$106),"dd/mm/yy")&amp;" "&amp;Milestones!$AB$106&amp;" "&amp;Milestones!$AC$106&amp;";  ","")&amp;IF(AND(EDATE($D124,Milestones!$AA$107)&lt;=AsOfDate,IF($Q124=0,$W124,IF(AND($S124&lt;&gt;"",EDATE($D124,Milestones!$AA$107)&gt;=$S124),$V124,IF(AND($R124&lt;&gt;"",EDATE($D124,Milestones!$AA$107)&gt;=$R124),$U124,$T124)))=Milestones!$AB$107),TEXT(EDATE($D124,Milestones!$AA$107),"dd/mm/yy")&amp;" "&amp;Milestones!$AB$107&amp;" "&amp;Milestones!$AC$107&amp;";  ","")&amp;IF(AND(EDATE($D124,Milestones!$AA$108)&lt;=AsOfDate,IF($Q124=0,$W124,IF(AND($S124&lt;&gt;"",EDATE($D124,Milestones!$AA$108)&gt;=$S124),$V124,IF(AND($R124&lt;&gt;"",EDATE($D124,Milestones!$AA$108)&gt;=$R124),$U124,$T124)))=Milestones!$AB$108),TEXT(EDATE($D124,Milestones!$AA$108),"dd/mm/yy")&amp;" "&amp;Milestones!$AB$108&amp;" "&amp;Milestones!$AC$108&amp;";  ","")&amp;IF(AND(EDATE($D124,Milestones!$AA$109)&lt;=AsOfDate,IF($Q124=0,$W124,IF(AND($S124&lt;&gt;"",EDATE($D124,Milestones!$AA$109)&gt;=$S124),$V124,IF(AND($R124&lt;&gt;"",EDATE($D124,Milestones!$AA$109)&gt;=$R124),$U124,$T124)))=Milestones!$AB$109),TEXT(EDATE($D124,Milestones!$AA$109),"dd/mm/yy")&amp;" "&amp;Milestones!$AB$109&amp;" "&amp;Milestones!$AC$109&amp;";  ","")&amp;IF(AND(EDATE($D124,Milestones!$AA$110)&lt;=AsOfDate,IF($Q124=0,$W124,IF(AND($S124&lt;&gt;"",EDATE($D124,Milestones!$AA$110)&gt;=$S124),$V124,IF(AND($R124&lt;&gt;"",EDATE($D124,Milestones!$AA$110)&gt;=$R124),$U124,$T124)))=Milestones!$AB$110),TEXT(EDATE($D124,Milestones!$AA$110),"dd/mm/yy")&amp;" "&amp;Milestones!$AB$110&amp;" "&amp;Milestones!$AC$110&amp;";  ","")&amp;IF(AND(EDATE($D124,Milestones!$AA$111)&lt;=AsOfDate,IF($Q124=0,$W124,IF(AND($S124&lt;&gt;"",EDATE($D124,Milestones!$AA$111)&gt;=$S124),$V124,IF(AND($R124&lt;&gt;"",EDATE($D124,Milestones!$AA$111)&gt;=$R124),$U124,$T124)))=Milestones!$AB$111),TEXT(EDATE($D124,Milestones!$AA$111),"dd/mm/yy")&amp;" "&amp;Milestones!$AB$111&amp;" "&amp;Milestones!$AC$111&amp;";  ","")&amp;IF(AND(EDATE($D124,Milestones!$AA$112)&lt;=AsOfDate,IF($Q124=0,$W124,IF(AND($S124&lt;&gt;"",EDATE($D124,Milestones!$AA$112)&gt;=$S124),$V124,IF(AND($R124&lt;&gt;"",EDATE($D124,Milestones!$AA$112)&gt;=$R124),$U124,$T124)))=Milestones!$AB$112),TEXT(EDATE($D124,Milestones!$AA$112),"dd/mm/yy")&amp;" "&amp;Milestones!$AB$112&amp;" "&amp;Milestones!$AC$112&amp;";  ","")&amp;IF(AND(EDATE($D124,Milestones!$AA$113)&lt;=AsOfDate,IF($Q124=0,$W124,IF(AND($S124&lt;&gt;"",EDATE($D124,Milestones!$AA$113)&gt;=$S124),$V124,IF(AND($R124&lt;&gt;"",EDATE($D124,Milestones!$AA$113)&gt;=$R124),$U124,$T124)))=Milestones!$AB$113),TEXT(EDATE($D124,Milestones!$AA$113),"dd/mm/yy")&amp;" "&amp;Milestones!$AB$113&amp;" "&amp;Milestones!$AC$113&amp;";  ","")&amp;IF(AND(EDATE($D124,Milestones!$AA$114)&lt;=AsOfDate,IF($Q124=0,$W124,IF(AND($S124&lt;&gt;"",EDATE($D124,Milestones!$AA$114)&gt;=$S124),$V124,IF(AND($R124&lt;&gt;"",EDATE($D124,Milestones!$AA$114)&gt;=$R124),$U124,$T124)))=Milestones!$AB$114),TEXT(EDATE($D124,Milestones!$AA$114),"dd/mm/yy")&amp;" "&amp;Milestones!$AB$114&amp;" "&amp;Milestones!$AC$114&amp;";  ","")&amp;IF(AND(EDATE($D124,Milestones!$AA$115)&lt;=AsOfDate,IF($Q124=0,$W124,IF(AND($S124&lt;&gt;"",EDATE($D124,Milestones!$AA$115)&gt;=$S124),$V124,IF(AND($R124&lt;&gt;"",EDATE($D124,Milestones!$AA$115)&gt;=$R124),$U124,$T124)))=Milestones!$AB$115),TEXT(EDATE($D124,Milestones!$AA$115),"dd/mm/yy")&amp;" "&amp;Milestones!$AB$115&amp;" "&amp;Milestones!$AC$115&amp;";  ","")&amp;IF(AND(EDATE($D124,Milestones!$AA$116)&lt;=AsOfDate,IF($Q124=0,$W124,IF(AND($S124&lt;&gt;"",EDATE($D124,Milestones!$AA$116)&gt;=$S124),$V124,IF(AND($R124&lt;&gt;"",EDATE($D124,Milestones!$AA$116)&gt;=$R124),$U124,$T124)))=Milestones!$AB$116),TEXT(EDATE($D124,Milestones!$AA$116),"dd/mm/yy")&amp;" "&amp;Milestones!$AB$116&amp;" "&amp;Milestones!$AC$116&amp;";  ","")&amp;IF(AND(EDATE($D124,Milestones!$AA$117)&lt;=AsOfDate,IF($Q124=0,$W124,IF(AND($S124&lt;&gt;"",EDATE($D124,Milestones!$AA$117)&gt;=$S124),$V124,IF(AND($R124&lt;&gt;"",EDATE($D124,Milestones!$AA$117)&gt;=$R124),$U124,$T124)))=Milestones!$AB$117),TEXT(EDATE($D124,Milestones!$AA$117),"dd/mm/yy")&amp;" "&amp;Milestones!$AB$117&amp;" "&amp;Milestones!$AC$117&amp;";  ","")&amp;IF(AND(EDATE($D124,Milestones!$AA$118)&lt;=AsOfDate,IF($Q124=0,$W124,IF(AND($S124&lt;&gt;"",EDATE($D124,Milestones!$AA$118)&gt;=$S124),$V124,IF(AND($R124&lt;&gt;"",EDATE($D124,Milestones!$AA$118)&gt;=$R124),$U124,$T124)))=Milestones!$AB$118),TEXT(EDATE($D124,Milestones!$AA$118),"dd/mm/yy")&amp;" "&amp;Milestones!$AB$118&amp;" "&amp;Milestones!$AC$118&amp;";  ","")&amp;IF(AND(EDATE($D124,Milestones!$AA$119)&lt;=AsOfDate,IF($Q124=0,$W124,IF(AND($S124&lt;&gt;"",EDATE($D124,Milestones!$AA$119)&gt;=$S124),$V124,IF(AND($R124&lt;&gt;"",EDATE($D124,Milestones!$AA$119)&gt;=$R124),$U124,$T124)))=Milestones!$AB$119),TEXT(EDATE($D124,Milestones!$AA$119),"dd/mm/yy")&amp;" "&amp;Milestones!$AB$119&amp;" "&amp;Milestones!$AC$119&amp;";  ",""))</f>
        <v/>
      </c>
      <c r="M124" s="0" t="str">
        <f aca="false">IF(OR($A124="",$D124=""),"",IF(AND(EDATE($D124,Milestones!$AA$120)&lt;=AsOfDate,IF($Q124=0,$W124,IF(AND($S124&lt;&gt;"",EDATE($D124,Milestones!$AA$120)&gt;=$S124),$V124,IF(AND($R124&lt;&gt;"",EDATE($D124,Milestones!$AA$120)&gt;=$R124),$U124,$T124)))=Milestones!$AB$120),TEXT(EDATE($D124,Milestones!$AA$120),"dd/mm/yy")&amp;" "&amp;Milestones!$AB$120&amp;" "&amp;Milestones!$AC$120&amp;";  ","")&amp;IF(AND(EDATE($D124,Milestones!$AA$121)&lt;=AsOfDate,IF($Q124=0,$W124,IF(AND($S124&lt;&gt;"",EDATE($D124,Milestones!$AA$121)&gt;=$S124),$V124,IF(AND($R124&lt;&gt;"",EDATE($D124,Milestones!$AA$121)&gt;=$R124),$U124,$T124)))=Milestones!$AB$121),TEXT(EDATE($D124,Milestones!$AA$121),"dd/mm/yy")&amp;" "&amp;Milestones!$AB$121&amp;" "&amp;Milestones!$AC$121&amp;";  ","")&amp;IF(AND(EDATE($D124,Milestones!$AA$122)&lt;=AsOfDate,IF($Q124=0,$W124,IF(AND($S124&lt;&gt;"",EDATE($D124,Milestones!$AA$122)&gt;=$S124),$V124,IF(AND($R124&lt;&gt;"",EDATE($D124,Milestones!$AA$122)&gt;=$R124),$U124,$T124)))=Milestones!$AB$122),TEXT(EDATE($D124,Milestones!$AA$122),"dd/mm/yy")&amp;" "&amp;Milestones!$AB$122&amp;" "&amp;Milestones!$AC$122&amp;";  ","")&amp;IF(AND(EDATE($D124,Milestones!$AA$123)&lt;=AsOfDate,IF($Q124=0,$W124,IF(AND($S124&lt;&gt;"",EDATE($D124,Milestones!$AA$123)&gt;=$S124),$V124,IF(AND($R124&lt;&gt;"",EDATE($D124,Milestones!$AA$123)&gt;=$R124),$U124,$T124)))=Milestones!$AB$123),TEXT(EDATE($D124,Milestones!$AA$123),"dd/mm/yy")&amp;" "&amp;Milestones!$AB$123&amp;" "&amp;Milestones!$AC$123&amp;";  ","")&amp;IF(AND(EDATE($D124,Milestones!$AA$124)&lt;=AsOfDate,IF($Q124=0,$W124,IF(AND($S124&lt;&gt;"",EDATE($D124,Milestones!$AA$124)&gt;=$S124),$V124,IF(AND($R124&lt;&gt;"",EDATE($D124,Milestones!$AA$124)&gt;=$R124),$U124,$T124)))=Milestones!$AB$124),TEXT(EDATE($D124,Milestones!$AA$124),"dd/mm/yy")&amp;" "&amp;Milestones!$AB$124&amp;" "&amp;Milestones!$AC$124&amp;";  ","")&amp;IF(AND(EDATE($D124,Milestones!$AA$125)&lt;=AsOfDate,IF($Q124=0,$W124,IF(AND($S124&lt;&gt;"",EDATE($D124,Milestones!$AA$125)&gt;=$S124),$V124,IF(AND($R124&lt;&gt;"",EDATE($D124,Milestones!$AA$125)&gt;=$R124),$U124,$T124)))=Milestones!$AB$125),TEXT(EDATE($D124,Milestones!$AA$125),"dd/mm/yy")&amp;" "&amp;Milestones!$AB$125&amp;" "&amp;Milestones!$AC$125&amp;";  ","")&amp;IF(AND(EDATE($D124,Milestones!$AA$126)&lt;=AsOfDate,IF($Q124=0,$W124,IF(AND($S124&lt;&gt;"",EDATE($D124,Milestones!$AA$126)&gt;=$S124),$V124,IF(AND($R124&lt;&gt;"",EDATE($D124,Milestones!$AA$126)&gt;=$R124),$U124,$T124)))=Milestones!$AB$126),TEXT(EDATE($D124,Milestones!$AA$126),"dd/mm/yy")&amp;" "&amp;Milestones!$AB$126&amp;" "&amp;Milestones!$AC$126&amp;";  ","")&amp;IF(AND(EDATE($D124,Milestones!$AA$127)&lt;=AsOfDate,IF($Q124=0,$W124,IF(AND($S124&lt;&gt;"",EDATE($D124,Milestones!$AA$127)&gt;=$S124),$V124,IF(AND($R124&lt;&gt;"",EDATE($D124,Milestones!$AA$127)&gt;=$R124),$U124,$T124)))=Milestones!$AB$127),TEXT(EDATE($D124,Milestones!$AA$127),"dd/mm/yy")&amp;" "&amp;Milestones!$AB$127&amp;" "&amp;Milestones!$AC$127&amp;";  ","")&amp;IF(AND(EDATE($D124,Milestones!$AA$128)&lt;=AsOfDate,IF($Q124=0,$W124,IF(AND($S124&lt;&gt;"",EDATE($D124,Milestones!$AA$128)&gt;=$S124),$V124,IF(AND($R124&lt;&gt;"",EDATE($D124,Milestones!$AA$128)&gt;=$R124),$U124,$T124)))=Milestones!$AB$128),TEXT(EDATE($D124,Milestones!$AA$128),"dd/mm/yy")&amp;" "&amp;Milestones!$AB$128&amp;" "&amp;Milestones!$AC$128&amp;";  ","")&amp;IF(AND(EDATE($D124,Milestones!$AA$129)&lt;=AsOfDate,IF($Q124=0,$W124,IF(AND($S124&lt;&gt;"",EDATE($D124,Milestones!$AA$129)&gt;=$S124),$V124,IF(AND($R124&lt;&gt;"",EDATE($D124,Milestones!$AA$129)&gt;=$R124),$U124,$T124)))=Milestones!$AB$129),TEXT(EDATE($D124,Milestones!$AA$129),"dd/mm/yy")&amp;" "&amp;Milestones!$AB$129&amp;" "&amp;Milestones!$AC$129&amp;";  ","")&amp;IF(AND(EDATE($D124,Milestones!$AA$130)&lt;=AsOfDate,IF($Q124=0,$W124,IF(AND($S124&lt;&gt;"",EDATE($D124,Milestones!$AA$130)&gt;=$S124),$V124,IF(AND($R124&lt;&gt;"",EDATE($D124,Milestones!$AA$130)&gt;=$R124),$U124,$T124)))=Milestones!$AB$130),TEXT(EDATE($D124,Milestones!$AA$130),"dd/mm/yy")&amp;" "&amp;Milestones!$AB$130&amp;" "&amp;Milestones!$AC$130&amp;";  ","")&amp;IF(AND(EDATE($D124,Milestones!$AA$131)&lt;=AsOfDate,IF($Q124=0,$W124,IF(AND($S124&lt;&gt;"",EDATE($D124,Milestones!$AA$131)&gt;=$S124),$V124,IF(AND($R124&lt;&gt;"",EDATE($D124,Milestones!$AA$131)&gt;=$R124),$U124,$T124)))=Milestones!$AB$131),TEXT(EDATE($D124,Milestones!$AA$131),"dd/mm/yy")&amp;" "&amp;Milestones!$AB$131&amp;" "&amp;Milestones!$AC$131&amp;";  ","")&amp;IF(AND(EDATE($D124,Milestones!$AA$132)&lt;=AsOfDate,IF($Q124=0,$W124,IF(AND($S124&lt;&gt;"",EDATE($D124,Milestones!$AA$132)&gt;=$S124),$V124,IF(AND($R124&lt;&gt;"",EDATE($D124,Milestones!$AA$132)&gt;=$R124),$U124,$T124)))=Milestones!$AB$132),TEXT(EDATE($D124,Milestones!$AA$132),"dd/mm/yy")&amp;" "&amp;Milestones!$AB$132&amp;" "&amp;Milestones!$AC$132&amp;";  ","")&amp;IF(AND(EDATE($D124,Milestones!$AA$133)&lt;=AsOfDate,IF($Q124=0,$W124,IF(AND($S124&lt;&gt;"",EDATE($D124,Milestones!$AA$133)&gt;=$S124),$V124,IF(AND($R124&lt;&gt;"",EDATE($D124,Milestones!$AA$133)&gt;=$R124),$U124,$T124)))=Milestones!$AB$133),TEXT(EDATE($D124,Milestones!$AA$133),"dd/mm/yy")&amp;" "&amp;Milestones!$AB$133&amp;" "&amp;Milestones!$AC$133&amp;";  ","")&amp;IF(AND(EDATE($D124,Milestones!$AA$134)&lt;=AsOfDate,IF($Q124=0,$W124,IF(AND($S124&lt;&gt;"",EDATE($D124,Milestones!$AA$134)&gt;=$S124),$V124,IF(AND($R124&lt;&gt;"",EDATE($D124,Milestones!$AA$134)&gt;=$R124),$U124,$T124)))=Milestones!$AB$134),TEXT(EDATE($D124,Milestones!$AA$134),"dd/mm/yy")&amp;" "&amp;Milestones!$AB$134&amp;" "&amp;Milestones!$AC$134&amp;";  ","")&amp;IF(AND(EDATE($D124,Milestones!$AA$135)&lt;=AsOfDate,IF($Q124=0,$W124,IF(AND($S124&lt;&gt;"",EDATE($D124,Milestones!$AA$135)&gt;=$S124),$V124,IF(AND($R124&lt;&gt;"",EDATE($D124,Milestones!$AA$135)&gt;=$R124),$U124,$T124)))=Milestones!$AB$135),TEXT(EDATE($D124,Milestones!$AA$135),"dd/mm/yy")&amp;" "&amp;Milestones!$AB$135&amp;" "&amp;Milestones!$AC$135&amp;";  ","")&amp;IF(AND(EDATE($D124,Milestones!$AA$136)&lt;=AsOfDate,IF($Q124=0,$W124,IF(AND($S124&lt;&gt;"",EDATE($D124,Milestones!$AA$136)&gt;=$S124),$V124,IF(AND($R124&lt;&gt;"",EDATE($D124,Milestones!$AA$136)&gt;=$R124),$U124,$T124)))=Milestones!$AB$136),TEXT(EDATE($D124,Milestones!$AA$136),"dd/mm/yy")&amp;" "&amp;Milestones!$AB$136&amp;" "&amp;Milestones!$AC$136&amp;";  ","")&amp;IF(AND(EDATE($D124,Milestones!$AA$137)&lt;=AsOfDate,IF($Q124=0,$W124,IF(AND($S124&lt;&gt;"",EDATE($D124,Milestones!$AA$137)&gt;=$S124),$V124,IF(AND($R124&lt;&gt;"",EDATE($D124,Milestones!$AA$137)&gt;=$R124),$U124,$T124)))=Milestones!$AB$137),TEXT(EDATE($D124,Milestones!$AA$137),"dd/mm/yy")&amp;" "&amp;Milestones!$AB$137&amp;" "&amp;Milestones!$AC$137&amp;";  ","")&amp;IF(AND(EDATE($D124,Milestones!$AA$138)&lt;=AsOfDate,IF($Q124=0,$W124,IF(AND($S124&lt;&gt;"",EDATE($D124,Milestones!$AA$138)&gt;=$S124),$V124,IF(AND($R124&lt;&gt;"",EDATE($D124,Milestones!$AA$138)&gt;=$R124),$U124,$T124)))=Milestones!$AB$138),TEXT(EDATE($D124,Milestones!$AA$138),"dd/mm/yy")&amp;" "&amp;Milestones!$AB$138&amp;" "&amp;Milestones!$AC$138&amp;";  ","")&amp;IF(AND(EDATE($D124,Milestones!$AA$139)&lt;=AsOfDate,IF($Q124=0,$W124,IF(AND($S124&lt;&gt;"",EDATE($D124,Milestones!$AA$139)&gt;=$S124),$V124,IF(AND($R124&lt;&gt;"",EDATE($D124,Milestones!$AA$139)&gt;=$R124),$U124,$T124)))=Milestones!$AB$139),TEXT(EDATE($D124,Milestones!$AA$139),"dd/mm/yy")&amp;" "&amp;Milestones!$AB$139&amp;" "&amp;Milestones!$AC$139&amp;";  ",""))</f>
        <v/>
      </c>
      <c r="N124" s="0" t="str">
        <f aca="false">IF(OR($A124="",$D124=""),"",IF(AND(EDATE($D124,Milestones!$AA$140)&lt;=AsOfDate,IF($Q124=0,$W124,IF(AND($S124&lt;&gt;"",EDATE($D124,Milestones!$AA$140)&gt;=$S124),$V124,IF(AND($R124&lt;&gt;"",EDATE($D124,Milestones!$AA$140)&gt;=$R124),$U124,$T124)))=Milestones!$AB$140),TEXT(EDATE($D124,Milestones!$AA$140),"dd/mm/yy")&amp;" "&amp;Milestones!$AB$140&amp;" "&amp;Milestones!$AC$140&amp;";  ","")&amp;IF(AND(EDATE($D124,Milestones!$AA$141)&lt;=AsOfDate,IF($Q124=0,$W124,IF(AND($S124&lt;&gt;"",EDATE($D124,Milestones!$AA$141)&gt;=$S124),$V124,IF(AND($R124&lt;&gt;"",EDATE($D124,Milestones!$AA$141)&gt;=$R124),$U124,$T124)))=Milestones!$AB$141),TEXT(EDATE($D124,Milestones!$AA$141),"dd/mm/yy")&amp;" "&amp;Milestones!$AB$141&amp;" "&amp;Milestones!$AC$141&amp;";  ","")&amp;IF(AND(EDATE($D124,Milestones!$AA$142)&lt;=AsOfDate,IF($Q124=0,$W124,IF(AND($S124&lt;&gt;"",EDATE($D124,Milestones!$AA$142)&gt;=$S124),$V124,IF(AND($R124&lt;&gt;"",EDATE($D124,Milestones!$AA$142)&gt;=$R124),$U124,$T124)))=Milestones!$AB$142),TEXT(EDATE($D124,Milestones!$AA$142),"dd/mm/yy")&amp;" "&amp;Milestones!$AB$142&amp;" "&amp;Milestones!$AC$142&amp;";  ","")&amp;IF(AND(EDATE($D124,Milestones!$AA$143)&lt;=AsOfDate,IF($Q124=0,$W124,IF(AND($S124&lt;&gt;"",EDATE($D124,Milestones!$AA$143)&gt;=$S124),$V124,IF(AND($R124&lt;&gt;"",EDATE($D124,Milestones!$AA$143)&gt;=$R124),$U124,$T124)))=Milestones!$AB$143),TEXT(EDATE($D124,Milestones!$AA$143),"dd/mm/yy")&amp;" "&amp;Milestones!$AB$143&amp;" "&amp;Milestones!$AC$143&amp;";  ","")&amp;IF(AND(EDATE($D124,Milestones!$AA$144)&lt;=AsOfDate,IF($Q124=0,$W124,IF(AND($S124&lt;&gt;"",EDATE($D124,Milestones!$AA$144)&gt;=$S124),$V124,IF(AND($R124&lt;&gt;"",EDATE($D124,Milestones!$AA$144)&gt;=$R124),$U124,$T124)))=Milestones!$AB$144),TEXT(EDATE($D124,Milestones!$AA$144),"dd/mm/yy")&amp;" "&amp;Milestones!$AB$144&amp;" "&amp;Milestones!$AC$144&amp;";  ","")&amp;IF(AND(EDATE($D124,Milestones!$AA$145)&lt;=AsOfDate,IF($Q124=0,$W124,IF(AND($S124&lt;&gt;"",EDATE($D124,Milestones!$AA$145)&gt;=$S124),$V124,IF(AND($R124&lt;&gt;"",EDATE($D124,Milestones!$AA$145)&gt;=$R124),$U124,$T124)))=Milestones!$AB$145),TEXT(EDATE($D124,Milestones!$AA$145),"dd/mm/yy")&amp;" "&amp;Milestones!$AB$145&amp;" "&amp;Milestones!$AC$145&amp;";  ","")&amp;IF(AND(EDATE($D124,Milestones!$AA$146)&lt;=AsOfDate,IF($Q124=0,$W124,IF(AND($S124&lt;&gt;"",EDATE($D124,Milestones!$AA$146)&gt;=$S124),$V124,IF(AND($R124&lt;&gt;"",EDATE($D124,Milestones!$AA$146)&gt;=$R124),$U124,$T124)))=Milestones!$AB$146),TEXT(EDATE($D124,Milestones!$AA$146),"dd/mm/yy")&amp;" "&amp;Milestones!$AB$146&amp;" "&amp;Milestones!$AC$146&amp;";  ","")&amp;IF(AND(EDATE($D124,Milestones!$AA$147)&lt;=AsOfDate,IF($Q124=0,$W124,IF(AND($S124&lt;&gt;"",EDATE($D124,Milestones!$AA$147)&gt;=$S124),$V124,IF(AND($R124&lt;&gt;"",EDATE($D124,Milestones!$AA$147)&gt;=$R124),$U124,$T124)))=Milestones!$AB$147),TEXT(EDATE($D124,Milestones!$AA$147),"dd/mm/yy")&amp;" "&amp;Milestones!$AB$147&amp;" "&amp;Milestones!$AC$147&amp;";  ","")&amp;IF(AND(EDATE($D124,Milestones!$AA$148)&lt;=AsOfDate,IF($Q124=0,$W124,IF(AND($S124&lt;&gt;"",EDATE($D124,Milestones!$AA$148)&gt;=$S124),$V124,IF(AND($R124&lt;&gt;"",EDATE($D124,Milestones!$AA$148)&gt;=$R124),$U124,$T124)))=Milestones!$AB$148),TEXT(EDATE($D124,Milestones!$AA$148),"dd/mm/yy")&amp;" "&amp;Milestones!$AB$148&amp;" "&amp;Milestones!$AC$148&amp;";  ","")&amp;IF(AND(EDATE($D124,Milestones!$AA$149)&lt;=AsOfDate,IF($Q124=0,$W124,IF(AND($S124&lt;&gt;"",EDATE($D124,Milestones!$AA$149)&gt;=$S124),$V124,IF(AND($R124&lt;&gt;"",EDATE($D124,Milestones!$AA$149)&gt;=$R124),$U124,$T124)))=Milestones!$AB$149),TEXT(EDATE($D124,Milestones!$AA$149),"dd/mm/yy")&amp;" "&amp;Milestones!$AB$149&amp;" "&amp;Milestones!$AC$149&amp;";  ","")&amp;IF(AND(EDATE($D124,Milestones!$AA$150)&lt;=AsOfDate,IF($Q124=0,$W124,IF(AND($S124&lt;&gt;"",EDATE($D124,Milestones!$AA$150)&gt;=$S124),$V124,IF(AND($R124&lt;&gt;"",EDATE($D124,Milestones!$AA$150)&gt;=$R124),$U124,$T124)))=Milestones!$AB$150),TEXT(EDATE($D124,Milestones!$AA$150),"dd/mm/yy")&amp;" "&amp;Milestones!$AB$150&amp;" "&amp;Milestones!$AC$150&amp;";  ","")&amp;IF(AND(EDATE($D124,Milestones!$AA$151)&lt;=AsOfDate,IF($Q124=0,$W124,IF(AND($S124&lt;&gt;"",EDATE($D124,Milestones!$AA$151)&gt;=$S124),$V124,IF(AND($R124&lt;&gt;"",EDATE($D124,Milestones!$AA$151)&gt;=$R124),$U124,$T124)))=Milestones!$AB$151),TEXT(EDATE($D124,Milestones!$AA$151),"dd/mm/yy")&amp;" "&amp;Milestones!$AB$151&amp;" "&amp;Milestones!$AC$151&amp;";  ","")&amp;IF(AND(EDATE($D124,Milestones!$AA$152)&lt;=AsOfDate,IF($Q124=0,$W124,IF(AND($S124&lt;&gt;"",EDATE($D124,Milestones!$AA$152)&gt;=$S124),$V124,IF(AND($R124&lt;&gt;"",EDATE($D124,Milestones!$AA$152)&gt;=$R124),$U124,$T124)))=Milestones!$AB$152),TEXT(EDATE($D124,Milestones!$AA$152),"dd/mm/yy")&amp;" "&amp;Milestones!$AB$152&amp;" "&amp;Milestones!$AC$152&amp;";  ","")&amp;IF(AND(EDATE($D124,Milestones!$AA$153)&lt;=AsOfDate,IF($Q124=0,$W124,IF(AND($S124&lt;&gt;"",EDATE($D124,Milestones!$AA$153)&gt;=$S124),$V124,IF(AND($R124&lt;&gt;"",EDATE($D124,Milestones!$AA$153)&gt;=$R124),$U124,$T124)))=Milestones!$AB$153),TEXT(EDATE($D124,Milestones!$AA$153),"dd/mm/yy")&amp;" "&amp;Milestones!$AB$153&amp;" "&amp;Milestones!$AC$153&amp;";  ","")&amp;IF(AND(EDATE($D124,Milestones!$AA$154)&lt;=AsOfDate,IF($Q124=0,$W124,IF(AND($S124&lt;&gt;"",EDATE($D124,Milestones!$AA$154)&gt;=$S124),$V124,IF(AND($R124&lt;&gt;"",EDATE($D124,Milestones!$AA$154)&gt;=$R124),$U124,$T124)))=Milestones!$AB$154),TEXT(EDATE($D124,Milestones!$AA$154),"dd/mm/yy")&amp;" "&amp;Milestones!$AB$154&amp;" "&amp;Milestones!$AC$154&amp;";  ","")&amp;IF(AND(EDATE($D124,Milestones!$AA$155)&lt;=AsOfDate,IF($Q124=0,$W124,IF(AND($S124&lt;&gt;"",EDATE($D124,Milestones!$AA$155)&gt;=$S124),$V124,IF(AND($R124&lt;&gt;"",EDATE($D124,Milestones!$AA$155)&gt;=$R124),$U124,$T124)))=Milestones!$AB$155),TEXT(EDATE($D124,Milestones!$AA$155),"dd/mm/yy")&amp;" "&amp;Milestones!$AB$155&amp;" "&amp;Milestones!$AC$155&amp;";  ","")&amp;IF(AND(EDATE($D124,Milestones!$AA$156)&lt;=AsOfDate,IF($Q124=0,$W124,IF(AND($S124&lt;&gt;"",EDATE($D124,Milestones!$AA$156)&gt;=$S124),$V124,IF(AND($R124&lt;&gt;"",EDATE($D124,Milestones!$AA$156)&gt;=$R124),$U124,$T124)))=Milestones!$AB$156),TEXT(EDATE($D124,Milestones!$AA$156),"dd/mm/yy")&amp;" "&amp;Milestones!$AB$156&amp;" "&amp;Milestones!$AC$156&amp;";  ","")&amp;IF(AND(EDATE($D124,Milestones!$AA$157)&lt;=AsOfDate,IF($Q124=0,$W124,IF(AND($S124&lt;&gt;"",EDATE($D124,Milestones!$AA$157)&gt;=$S124),$V124,IF(AND($R124&lt;&gt;"",EDATE($D124,Milestones!$AA$157)&gt;=$R124),$U124,$T124)))=Milestones!$AB$157),TEXT(EDATE($D124,Milestones!$AA$157),"dd/mm/yy")&amp;" "&amp;Milestones!$AB$157&amp;" "&amp;Milestones!$AC$157&amp;";  ","")&amp;IF(AND(EDATE($D124,Milestones!$AA$158)&lt;=AsOfDate,IF($Q124=0,$W124,IF(AND($S124&lt;&gt;"",EDATE($D124,Milestones!$AA$158)&gt;=$S124),$V124,IF(AND($R124&lt;&gt;"",EDATE($D124,Milestones!$AA$158)&gt;=$R124),$U124,$T124)))=Milestones!$AB$158),TEXT(EDATE($D124,Milestones!$AA$158),"dd/mm/yy")&amp;" "&amp;Milestones!$AB$158&amp;" "&amp;Milestones!$AC$158&amp;";  ","")&amp;IF(AND(EDATE($D124,Milestones!$AA$159)&lt;=AsOfDate,IF($Q124=0,$W124,IF(AND($S124&lt;&gt;"",EDATE($D124,Milestones!$AA$159)&gt;=$S124),$V124,IF(AND($R124&lt;&gt;"",EDATE($D124,Milestones!$AA$159)&gt;=$R124),$U124,$T124)))=Milestones!$AB$159),TEXT(EDATE($D124,Milestones!$AA$159),"dd/mm/yy")&amp;" "&amp;Milestones!$AB$159&amp;" "&amp;Milestones!$AC$159&amp;";  ",""))</f>
        <v/>
      </c>
      <c r="O124" s="0" t="str">
        <f aca="false">IF(OR($A124="",$D124=""),"",IF(AND(EDATE($D124,Milestones!$AA$160)&lt;=AsOfDate,IF($Q124=0,$W124,IF(AND($S124&lt;&gt;"",EDATE($D124,Milestones!$AA$160)&gt;=$S124),$V124,IF(AND($R124&lt;&gt;"",EDATE($D124,Milestones!$AA$160)&gt;=$R124),$U124,$T124)))=Milestones!$AB$160),TEXT(EDATE($D124,Milestones!$AA$160),"dd/mm/yy")&amp;" "&amp;Milestones!$AB$160&amp;" "&amp;Milestones!$AC$160&amp;";  ","")&amp;IF(AND(EDATE($D124,Milestones!$AA$161)&lt;=AsOfDate,IF($Q124=0,$W124,IF(AND($S124&lt;&gt;"",EDATE($D124,Milestones!$AA$161)&gt;=$S124),$V124,IF(AND($R124&lt;&gt;"",EDATE($D124,Milestones!$AA$161)&gt;=$R124),$U124,$T124)))=Milestones!$AB$161),TEXT(EDATE($D124,Milestones!$AA$161),"dd/mm/yy")&amp;" "&amp;Milestones!$AB$161&amp;" "&amp;Milestones!$AC$161&amp;";  ","")&amp;IF(AND(EDATE($D124,Milestones!$AA$162)&lt;=AsOfDate,IF($Q124=0,$W124,IF(AND($S124&lt;&gt;"",EDATE($D124,Milestones!$AA$162)&gt;=$S124),$V124,IF(AND($R124&lt;&gt;"",EDATE($D124,Milestones!$AA$162)&gt;=$R124),$U124,$T124)))=Milestones!$AB$162),TEXT(EDATE($D124,Milestones!$AA$162),"dd/mm/yy")&amp;" "&amp;Milestones!$AB$162&amp;" "&amp;Milestones!$AC$162&amp;";  ","")&amp;IF(AND(EDATE($D124,Milestones!$AA$163)&lt;=AsOfDate,IF($Q124=0,$W124,IF(AND($S124&lt;&gt;"",EDATE($D124,Milestones!$AA$163)&gt;=$S124),$V124,IF(AND($R124&lt;&gt;"",EDATE($D124,Milestones!$AA$163)&gt;=$R124),$U124,$T124)))=Milestones!$AB$163),TEXT(EDATE($D124,Milestones!$AA$163),"dd/mm/yy")&amp;" "&amp;Milestones!$AB$163&amp;" "&amp;Milestones!$AC$163&amp;";  ","")&amp;IF(AND(EDATE($D124,Milestones!$AA$164)&lt;=AsOfDate,IF($Q124=0,$W124,IF(AND($S124&lt;&gt;"",EDATE($D124,Milestones!$AA$164)&gt;=$S124),$V124,IF(AND($R124&lt;&gt;"",EDATE($D124,Milestones!$AA$164)&gt;=$R124),$U124,$T124)))=Milestones!$AB$164),TEXT(EDATE($D124,Milestones!$AA$164),"dd/mm/yy")&amp;" "&amp;Milestones!$AB$164&amp;" "&amp;Milestones!$AC$164&amp;";  ","")&amp;IF(AND(EDATE($D124,Milestones!$AA$165)&lt;=AsOfDate,IF($Q124=0,$W124,IF(AND($S124&lt;&gt;"",EDATE($D124,Milestones!$AA$165)&gt;=$S124),$V124,IF(AND($R124&lt;&gt;"",EDATE($D124,Milestones!$AA$165)&gt;=$R124),$U124,$T124)))=Milestones!$AB$165),TEXT(EDATE($D124,Milestones!$AA$165),"dd/mm/yy")&amp;" "&amp;Milestones!$AB$165&amp;" "&amp;Milestones!$AC$165&amp;";  ","")&amp;IF(AND(EDATE($D124,Milestones!$AA$166)&lt;=AsOfDate,IF($Q124=0,$W124,IF(AND($S124&lt;&gt;"",EDATE($D124,Milestones!$AA$166)&gt;=$S124),$V124,IF(AND($R124&lt;&gt;"",EDATE($D124,Milestones!$AA$166)&gt;=$R124),$U124,$T124)))=Milestones!$AB$166),TEXT(EDATE($D124,Milestones!$AA$166),"dd/mm/yy")&amp;" "&amp;Milestones!$AB$166&amp;" "&amp;Milestones!$AC$166&amp;";  ","")&amp;IF(AND(EDATE($D124,Milestones!$AA$167)&lt;=AsOfDate,IF($Q124=0,$W124,IF(AND($S124&lt;&gt;"",EDATE($D124,Milestones!$AA$167)&gt;=$S124),$V124,IF(AND($R124&lt;&gt;"",EDATE($D124,Milestones!$AA$167)&gt;=$R124),$U124,$T124)))=Milestones!$AB$167),TEXT(EDATE($D124,Milestones!$AA$167),"dd/mm/yy")&amp;" "&amp;Milestones!$AB$167&amp;" "&amp;Milestones!$AC$167&amp;";  ","")&amp;IF(AND(EDATE($D124,Milestones!$AA$168)&lt;=AsOfDate,IF($Q124=0,$W124,IF(AND($S124&lt;&gt;"",EDATE($D124,Milestones!$AA$168)&gt;=$S124),$V124,IF(AND($R124&lt;&gt;"",EDATE($D124,Milestones!$AA$168)&gt;=$R124),$U124,$T124)))=Milestones!$AB$168),TEXT(EDATE($D124,Milestones!$AA$168),"dd/mm/yy")&amp;" "&amp;Milestones!$AB$168&amp;" "&amp;Milestones!$AC$168&amp;";  ","")&amp;IF(AND(EDATE($D124,Milestones!$AA$169)&lt;=AsOfDate,IF($Q124=0,$W124,IF(AND($S124&lt;&gt;"",EDATE($D124,Milestones!$AA$169)&gt;=$S124),$V124,IF(AND($R124&lt;&gt;"",EDATE($D124,Milestones!$AA$169)&gt;=$R124),$U124,$T124)))=Milestones!$AB$169),TEXT(EDATE($D124,Milestones!$AA$169),"dd/mm/yy")&amp;" "&amp;Milestones!$AB$169&amp;" "&amp;Milestones!$AC$169&amp;";  ","")&amp;IF(AND(EDATE($D124,Milestones!$AA$170)&lt;=AsOfDate,IF($Q124=0,$W124,IF(AND($S124&lt;&gt;"",EDATE($D124,Milestones!$AA$170)&gt;=$S124),$V124,IF(AND($R124&lt;&gt;"",EDATE($D124,Milestones!$AA$170)&gt;=$R124),$U124,$T124)))=Milestones!$AB$170),TEXT(EDATE($D124,Milestones!$AA$170),"dd/mm/yy")&amp;" "&amp;Milestones!$AB$170&amp;" "&amp;Milestones!$AC$170&amp;";  ","")&amp;IF(AND(EDATE($D124,Milestones!$AA$171)&lt;=AsOfDate,IF($Q124=0,$W124,IF(AND($S124&lt;&gt;"",EDATE($D124,Milestones!$AA$171)&gt;=$S124),$V124,IF(AND($R124&lt;&gt;"",EDATE($D124,Milestones!$AA$171)&gt;=$R124),$U124,$T124)))=Milestones!$AB$171),TEXT(EDATE($D124,Milestones!$AA$171),"dd/mm/yy")&amp;" "&amp;Milestones!$AB$171&amp;" "&amp;Milestones!$AC$171&amp;";  ","")&amp;IF(AND(EDATE($D124,Milestones!$AA$172)&lt;=AsOfDate,IF($Q124=0,$W124,IF(AND($S124&lt;&gt;"",EDATE($D124,Milestones!$AA$172)&gt;=$S124),$V124,IF(AND($R124&lt;&gt;"",EDATE($D124,Milestones!$AA$172)&gt;=$R124),$U124,$T124)))=Milestones!$AB$172),TEXT(EDATE($D124,Milestones!$AA$172),"dd/mm/yy")&amp;" "&amp;Milestones!$AB$172&amp;" "&amp;Milestones!$AC$172&amp;";  ","")&amp;IF(AND(EDATE($D124,Milestones!$AA$173)&lt;=AsOfDate,IF($Q124=0,$W124,IF(AND($S124&lt;&gt;"",EDATE($D124,Milestones!$AA$173)&gt;=$S124),$V124,IF(AND($R124&lt;&gt;"",EDATE($D124,Milestones!$AA$173)&gt;=$R124),$U124,$T124)))=Milestones!$AB$173),TEXT(EDATE($D124,Milestones!$AA$173),"dd/mm/yy")&amp;" "&amp;Milestones!$AB$173&amp;" "&amp;Milestones!$AC$173&amp;";  ","")&amp;IF(AND(EDATE($D124,Milestones!$AA$174)&lt;=AsOfDate,IF($Q124=0,$W124,IF(AND($S124&lt;&gt;"",EDATE($D124,Milestones!$AA$174)&gt;=$S124),$V124,IF(AND($R124&lt;&gt;"",EDATE($D124,Milestones!$AA$174)&gt;=$R124),$U124,$T124)))=Milestones!$AB$174),TEXT(EDATE($D124,Milestones!$AA$174),"dd/mm/yy")&amp;" "&amp;Milestones!$AB$174&amp;" "&amp;Milestones!$AC$174&amp;";  ","")&amp;IF(AND(EDATE($D124,Milestones!$AA$175)&lt;=AsOfDate,IF($Q124=0,$W124,IF(AND($S124&lt;&gt;"",EDATE($D124,Milestones!$AA$175)&gt;=$S124),$V124,IF(AND($R124&lt;&gt;"",EDATE($D124,Milestones!$AA$175)&gt;=$R124),$U124,$T124)))=Milestones!$AB$175),TEXT(EDATE($D124,Milestones!$AA$175),"dd/mm/yy")&amp;" "&amp;Milestones!$AB$175&amp;" "&amp;Milestones!$AC$175&amp;";  ","")&amp;IF(AND(EDATE($D124,Milestones!$AA$176)&lt;=AsOfDate,IF($Q124=0,$W124,IF(AND($S124&lt;&gt;"",EDATE($D124,Milestones!$AA$176)&gt;=$S124),$V124,IF(AND($R124&lt;&gt;"",EDATE($D124,Milestones!$AA$176)&gt;=$R124),$U124,$T124)))=Milestones!$AB$176),TEXT(EDATE($D124,Milestones!$AA$176),"dd/mm/yy")&amp;" "&amp;Milestones!$AB$176&amp;" "&amp;Milestones!$AC$176&amp;";  ","")&amp;IF(AND(EDATE($D124,Milestones!$AA$177)&lt;=AsOfDate,IF($Q124=0,$W124,IF(AND($S124&lt;&gt;"",EDATE($D124,Milestones!$AA$177)&gt;=$S124),$V124,IF(AND($R124&lt;&gt;"",EDATE($D124,Milestones!$AA$177)&gt;=$R124),$U124,$T124)))=Milestones!$AB$177),TEXT(EDATE($D124,Milestones!$AA$177),"dd/mm/yy")&amp;" "&amp;Milestones!$AB$177&amp;" "&amp;Milestones!$AC$177&amp;";  ","")&amp;IF(AND(EDATE($D124,Milestones!$AA$178)&lt;=AsOfDate,IF($Q124=0,$W124,IF(AND($S124&lt;&gt;"",EDATE($D124,Milestones!$AA$178)&gt;=$S124),$V124,IF(AND($R124&lt;&gt;"",EDATE($D124,Milestones!$AA$178)&gt;=$R124),$U124,$T124)))=Milestones!$AB$178),TEXT(EDATE($D124,Milestones!$AA$178),"dd/mm/yy")&amp;" "&amp;Milestones!$AB$178&amp;" "&amp;Milestones!$AC$178&amp;";  ","")&amp;IF(AND(EDATE($D124,Milestones!$AA$179)&lt;=AsOfDate,IF($Q124=0,$W124,IF(AND($S124&lt;&gt;"",EDATE($D124,Milestones!$AA$179)&gt;=$S124),$V124,IF(AND($R124&lt;&gt;"",EDATE($D124,Milestones!$AA$179)&gt;=$R124),$U124,$T124)))=Milestones!$AB$179),TEXT(EDATE($D124,Milestones!$AA$179),"dd/mm/yy")&amp;" "&amp;Milestones!$AB$179&amp;" "&amp;Milestones!$AC$179&amp;";  ",""))</f>
        <v/>
      </c>
      <c r="P124" s="0" t="str">
        <f aca="false">IF(OR($A124="",$D124=""),"",IF(AND(EDATE($D124,Milestones!$AA$180)&lt;=AsOfDate,IF($Q124=0,$W124,IF(AND($S124&lt;&gt;"",EDATE($D124,Milestones!$AA$180)&gt;=$S124),$V124,IF(AND($R124&lt;&gt;"",EDATE($D124,Milestones!$AA$180)&gt;=$R124),$U124,$T124)))=Milestones!$AB$180),TEXT(EDATE($D124,Milestones!$AA$180),"dd/mm/yy")&amp;" "&amp;Milestones!$AB$180&amp;" "&amp;Milestones!$AC$180&amp;";  ","")&amp;IF(AND(EDATE($D124,Milestones!$AA$181)&lt;=AsOfDate,IF($Q124=0,$W124,IF(AND($S124&lt;&gt;"",EDATE($D124,Milestones!$AA$181)&gt;=$S124),$V124,IF(AND($R124&lt;&gt;"",EDATE($D124,Milestones!$AA$181)&gt;=$R124),$U124,$T124)))=Milestones!$AB$181),TEXT(EDATE($D124,Milestones!$AA$181),"dd/mm/yy")&amp;" "&amp;Milestones!$AB$181&amp;" "&amp;Milestones!$AC$181&amp;";  ","")&amp;IF(AND(EDATE($D124,Milestones!$AA$182)&lt;=AsOfDate,IF($Q124=0,$W124,IF(AND($S124&lt;&gt;"",EDATE($D124,Milestones!$AA$182)&gt;=$S124),$V124,IF(AND($R124&lt;&gt;"",EDATE($D124,Milestones!$AA$182)&gt;=$R124),$U124,$T124)))=Milestones!$AB$182),TEXT(EDATE($D124,Milestones!$AA$182),"dd/mm/yy")&amp;" "&amp;Milestones!$AB$182&amp;" "&amp;Milestones!$AC$182&amp;";  ","")&amp;IF(AND(EDATE($D124,Milestones!$AA$183)&lt;=AsOfDate,IF($Q124=0,$W124,IF(AND($S124&lt;&gt;"",EDATE($D124,Milestones!$AA$183)&gt;=$S124),$V124,IF(AND($R124&lt;&gt;"",EDATE($D124,Milestones!$AA$183)&gt;=$R124),$U124,$T124)))=Milestones!$AB$183),TEXT(EDATE($D124,Milestones!$AA$183),"dd/mm/yy")&amp;" "&amp;Milestones!$AB$183&amp;" "&amp;Milestones!$AC$183&amp;";  ","")&amp;IF(AND(EDATE($D124,Milestones!$AA$184)&lt;=AsOfDate,IF($Q124=0,$W124,IF(AND($S124&lt;&gt;"",EDATE($D124,Milestones!$AA$184)&gt;=$S124),$V124,IF(AND($R124&lt;&gt;"",EDATE($D124,Milestones!$AA$184)&gt;=$R124),$U124,$T124)))=Milestones!$AB$184),TEXT(EDATE($D124,Milestones!$AA$184),"dd/mm/yy")&amp;" "&amp;Milestones!$AB$184&amp;" "&amp;Milestones!$AC$184&amp;";  ","")&amp;IF(AND(EDATE($D124,Milestones!$AA$185)&lt;=AsOfDate,IF($Q124=0,$W124,IF(AND($S124&lt;&gt;"",EDATE($D124,Milestones!$AA$185)&gt;=$S124),$V124,IF(AND($R124&lt;&gt;"",EDATE($D124,Milestones!$AA$185)&gt;=$R124),$U124,$T124)))=Milestones!$AB$185),TEXT(EDATE($D124,Milestones!$AA$185),"dd/mm/yy")&amp;" "&amp;Milestones!$AB$185&amp;" "&amp;Milestones!$AC$185&amp;";  ","")&amp;IF(AND(EDATE($D124,Milestones!$AA$186)&lt;=AsOfDate,IF($Q124=0,$W124,IF(AND($S124&lt;&gt;"",EDATE($D124,Milestones!$AA$186)&gt;=$S124),$V124,IF(AND($R124&lt;&gt;"",EDATE($D124,Milestones!$AA$186)&gt;=$R124),$U124,$T124)))=Milestones!$AB$186),TEXT(EDATE($D124,Milestones!$AA$186),"dd/mm/yy")&amp;" "&amp;Milestones!$AB$186&amp;" "&amp;Milestones!$AC$186&amp;";  ","")&amp;IF(AND(EDATE($D124,Milestones!$AA$187)&lt;=AsOfDate,IF($Q124=0,$W124,IF(AND($S124&lt;&gt;"",EDATE($D124,Milestones!$AA$187)&gt;=$S124),$V124,IF(AND($R124&lt;&gt;"",EDATE($D124,Milestones!$AA$187)&gt;=$R124),$U124,$T124)))=Milestones!$AB$187),TEXT(EDATE($D124,Milestones!$AA$187),"dd/mm/yy")&amp;" "&amp;Milestones!$AB$187&amp;" "&amp;Milestones!$AC$187&amp;";  ","")&amp;IF(AND(EDATE($D124,Milestones!$AA$188)&lt;=AsOfDate,IF($Q124=0,$W124,IF(AND($S124&lt;&gt;"",EDATE($D124,Milestones!$AA$188)&gt;=$S124),$V124,IF(AND($R124&lt;&gt;"",EDATE($D124,Milestones!$AA$188)&gt;=$R124),$U124,$T124)))=Milestones!$AB$188),TEXT(EDATE($D124,Milestones!$AA$188),"dd/mm/yy")&amp;" "&amp;Milestones!$AB$188&amp;" "&amp;Milestones!$AC$188&amp;";  ","")&amp;IF(AND(EDATE($D124,Milestones!$AA$189)&lt;=AsOfDate,IF($Q124=0,$W124,IF(AND($S124&lt;&gt;"",EDATE($D124,Milestones!$AA$189)&gt;=$S124),$V124,IF(AND($R124&lt;&gt;"",EDATE($D124,Milestones!$AA$189)&gt;=$R124),$U124,$T124)))=Milestones!$AB$189),TEXT(EDATE($D124,Milestones!$AA$189),"dd/mm/yy")&amp;" "&amp;Milestones!$AB$189&amp;" "&amp;Milestones!$AC$189&amp;";  ","")&amp;IF(AND(EDATE($D124,Milestones!$AA$190)&lt;=AsOfDate,IF($Q124=0,$W124,IF(AND($S124&lt;&gt;"",EDATE($D124,Milestones!$AA$190)&gt;=$S124),$V124,IF(AND($R124&lt;&gt;"",EDATE($D124,Milestones!$AA$190)&gt;=$R124),$U124,$T124)))=Milestones!$AB$190),TEXT(EDATE($D124,Milestones!$AA$190),"dd/mm/yy")&amp;" "&amp;Milestones!$AB$190&amp;" "&amp;Milestones!$AC$190&amp;";  ","")&amp;IF(AND(EDATE($D124,Milestones!$AA$191)&lt;=AsOfDate,IF($Q124=0,$W124,IF(AND($S124&lt;&gt;"",EDATE($D124,Milestones!$AA$191)&gt;=$S124),$V124,IF(AND($R124&lt;&gt;"",EDATE($D124,Milestones!$AA$191)&gt;=$R124),$U124,$T124)))=Milestones!$AB$191),TEXT(EDATE($D124,Milestones!$AA$191),"dd/mm/yy")&amp;" "&amp;Milestones!$AB$191&amp;" "&amp;Milestones!$AC$191&amp;";  ","")&amp;IF(AND(EDATE($D124,Milestones!$AA$192)&lt;=AsOfDate,IF($Q124=0,$W124,IF(AND($S124&lt;&gt;"",EDATE($D124,Milestones!$AA$192)&gt;=$S124),$V124,IF(AND($R124&lt;&gt;"",EDATE($D124,Milestones!$AA$192)&gt;=$R124),$U124,$T124)))=Milestones!$AB$192),TEXT(EDATE($D124,Milestones!$AA$192),"dd/mm/yy")&amp;" "&amp;Milestones!$AB$192&amp;" "&amp;Milestones!$AC$192&amp;";  ","")&amp;IF(AND(EDATE($D124,Milestones!$AA$193)&lt;=AsOfDate,IF($Q124=0,$W124,IF(AND($S124&lt;&gt;"",EDATE($D124,Milestones!$AA$193)&gt;=$S124),$V124,IF(AND($R124&lt;&gt;"",EDATE($D124,Milestones!$AA$193)&gt;=$R124),$U124,$T124)))=Milestones!$AB$193),TEXT(EDATE($D124,Milestones!$AA$193),"dd/mm/yy")&amp;" "&amp;Milestones!$AB$193&amp;" "&amp;Milestones!$AC$193&amp;";  ","")&amp;IF(AND(EDATE($D124,Milestones!$AA$194)&lt;=AsOfDate,IF($Q124=0,$W124,IF(AND($S124&lt;&gt;"",EDATE($D124,Milestones!$AA$194)&gt;=$S124),$V124,IF(AND($R124&lt;&gt;"",EDATE($D124,Milestones!$AA$194)&gt;=$R124),$U124,$T124)))=Milestones!$AB$194),TEXT(EDATE($D124,Milestones!$AA$194),"dd/mm/yy")&amp;" "&amp;Milestones!$AB$194&amp;" "&amp;Milestones!$AC$194&amp;";  ","")&amp;IF(AND(EDATE($D124,Milestones!$AA$195)&lt;=AsOfDate,IF($Q124=0,$W124,IF(AND($S124&lt;&gt;"",EDATE($D124,Milestones!$AA$195)&gt;=$S124),$V124,IF(AND($R124&lt;&gt;"",EDATE($D124,Milestones!$AA$195)&gt;=$R124),$U124,$T124)))=Milestones!$AB$195),TEXT(EDATE($D124,Milestones!$AA$195),"dd/mm/yy")&amp;" "&amp;Milestones!$AB$195&amp;" "&amp;Milestones!$AC$195&amp;";  ","")&amp;IF(AND(EDATE($D124,Milestones!$AA$196)&lt;=AsOfDate,IF($Q124=0,$W124,IF(AND($S124&lt;&gt;"",EDATE($D124,Milestones!$AA$196)&gt;=$S124),$V124,IF(AND($R124&lt;&gt;"",EDATE($D124,Milestones!$AA$196)&gt;=$R124),$U124,$T124)))=Milestones!$AB$196),TEXT(EDATE($D124,Milestones!$AA$196),"dd/mm/yy")&amp;" "&amp;Milestones!$AB$196&amp;" "&amp;Milestones!$AC$196&amp;";  ","")&amp;IF(AND(EDATE($D124,Milestones!$AA$197)&lt;=AsOfDate,IF($Q124=0,$W124,IF(AND($S124&lt;&gt;"",EDATE($D124,Milestones!$AA$197)&gt;=$S124),$V124,IF(AND($R124&lt;&gt;"",EDATE($D124,Milestones!$AA$197)&gt;=$R124),$U124,$T124)))=Milestones!$AB$197),TEXT(EDATE($D124,Milestones!$AA$197),"dd/mm/yy")&amp;" "&amp;Milestones!$AB$197&amp;" "&amp;Milestones!$AC$197&amp;";  ","")&amp;IF(AND(EDATE($D124,Milestones!$AA$198)&lt;=AsOfDate,IF($Q124=0,$W124,IF(AND($S124&lt;&gt;"",EDATE($D124,Milestones!$AA$198)&gt;=$S124),$V124,IF(AND($R124&lt;&gt;"",EDATE($D124,Milestones!$AA$198)&gt;=$R124),$U124,$T124)))=Milestones!$AB$198),TEXT(EDATE($D124,Milestones!$AA$198),"dd/mm/yy")&amp;" "&amp;Milestones!$AB$198&amp;" "&amp;Milestones!$AC$198&amp;";  ","")&amp;IF(AND(EDATE($D124,Milestones!$AA$199)&lt;=AsOfDate,IF($Q124=0,$W124,IF(AND($S124&lt;&gt;"",EDATE($D124,Milestones!$AA$199)&gt;=$S124),$V124,IF(AND($R124&lt;&gt;"",EDATE($D124,Milestones!$AA$199)&gt;=$R124),$U124,$T124)))=Milestones!$AB$199),TEXT(EDATE($D124,Milestones!$AA$199),"dd/mm/yy")&amp;" "&amp;Milestones!$AB$199&amp;" "&amp;Milestones!$AC$199&amp;";  ",""))</f>
        <v/>
      </c>
      <c r="Q124" s="0" t="str">
        <f aca="false">IF(Staff!$A124="","",Staff!$AG124)</f>
        <v/>
      </c>
      <c r="R124" s="0" t="str">
        <f aca="false">IF(Staff!$A124="","",Staff!$AI124)</f>
        <v/>
      </c>
      <c r="S124" s="0" t="str">
        <f aca="false">IF(Staff!$A124="","",Staff!$AJ124)</f>
        <v/>
      </c>
      <c r="T124" s="0" t="str">
        <f aca="false">IF(Staff!$A124="","",Staff!$AN124)</f>
        <v/>
      </c>
      <c r="U124" s="0" t="str">
        <f aca="false">IF(Staff!$A124="","",Staff!$AO124)</f>
        <v/>
      </c>
      <c r="V124" s="0" t="str">
        <f aca="false">IF(Staff!$A124="","",Staff!$AP124)</f>
        <v/>
      </c>
      <c r="W124" s="0" t="str">
        <f aca="false">IF(Staff!$A124="","",Staff!$AQ124)</f>
        <v/>
      </c>
    </row>
    <row r="125" customFormat="false" ht="15" hidden="false" customHeight="false" outlineLevel="0" collapsed="false">
      <c r="A125" s="13" t="str">
        <f aca="false">IF(Staff!$A125="","",Staff!$A125)</f>
        <v/>
      </c>
      <c r="B125" s="13" t="str">
        <f aca="false">IF(Staff!$A125="","",Staff!$B125)</f>
        <v/>
      </c>
      <c r="C125" s="13" t="str">
        <f aca="false">IF(Staff!$A125="","",Staff!$C125)</f>
        <v/>
      </c>
      <c r="D125" s="11" t="str">
        <f aca="false">IF(Staff!$A125="","",Staff!$AF125)</f>
        <v/>
      </c>
      <c r="E125" s="13" t="str">
        <f aca="false">IF(Staff!$A125="","",Staff!$O125)</f>
        <v/>
      </c>
      <c r="F125" s="13" t="str">
        <f aca="false">IF(E125="","",E125*HoursPerDay)</f>
        <v/>
      </c>
      <c r="G125" s="26" t="str">
        <f aca="false">IF($A125="","",H125&amp;I125&amp;J125&amp;K125&amp;L125&amp;M125&amp;N125&amp;O125&amp;P125)</f>
        <v/>
      </c>
      <c r="H125" s="0" t="str">
        <f aca="false">IF(OR($A125="",$D125=""),"",IF(AND(EDATE($D125,Milestones!$AA$20)&lt;=AsOfDate,IF($Q125=0,$W125,IF(AND($S125&lt;&gt;"",EDATE($D125,Milestones!$AA$20)&gt;=$S125),$V125,IF(AND($R125&lt;&gt;"",EDATE($D125,Milestones!$AA$20)&gt;=$R125),$U125,$T125)))=Milestones!$AB$20),TEXT(EDATE($D125,Milestones!$AA$20),"dd/mm/yy")&amp;" "&amp;Milestones!$AB$20&amp;" "&amp;Milestones!$AC$20&amp;";  ","")&amp;IF(AND(EDATE($D125,Milestones!$AA$21)&lt;=AsOfDate,IF($Q125=0,$W125,IF(AND($S125&lt;&gt;"",EDATE($D125,Milestones!$AA$21)&gt;=$S125),$V125,IF(AND($R125&lt;&gt;"",EDATE($D125,Milestones!$AA$21)&gt;=$R125),$U125,$T125)))=Milestones!$AB$21),TEXT(EDATE($D125,Milestones!$AA$21),"dd/mm/yy")&amp;" "&amp;Milestones!$AB$21&amp;" "&amp;Milestones!$AC$21&amp;";  ","")&amp;IF(AND(EDATE($D125,Milestones!$AA$22)&lt;=AsOfDate,IF($Q125=0,$W125,IF(AND($S125&lt;&gt;"",EDATE($D125,Milestones!$AA$22)&gt;=$S125),$V125,IF(AND($R125&lt;&gt;"",EDATE($D125,Milestones!$AA$22)&gt;=$R125),$U125,$T125)))=Milestones!$AB$22),TEXT(EDATE($D125,Milestones!$AA$22),"dd/mm/yy")&amp;" "&amp;Milestones!$AB$22&amp;" "&amp;Milestones!$AC$22&amp;";  ","")&amp;IF(AND(EDATE($D125,Milestones!$AA$23)&lt;=AsOfDate,IF($Q125=0,$W125,IF(AND($S125&lt;&gt;"",EDATE($D125,Milestones!$AA$23)&gt;=$S125),$V125,IF(AND($R125&lt;&gt;"",EDATE($D125,Milestones!$AA$23)&gt;=$R125),$U125,$T125)))=Milestones!$AB$23),TEXT(EDATE($D125,Milestones!$AA$23),"dd/mm/yy")&amp;" "&amp;Milestones!$AB$23&amp;" "&amp;Milestones!$AC$23&amp;";  ","")&amp;IF(AND(EDATE($D125,Milestones!$AA$24)&lt;=AsOfDate,IF($Q125=0,$W125,IF(AND($S125&lt;&gt;"",EDATE($D125,Milestones!$AA$24)&gt;=$S125),$V125,IF(AND($R125&lt;&gt;"",EDATE($D125,Milestones!$AA$24)&gt;=$R125),$U125,$T125)))=Milestones!$AB$24),TEXT(EDATE($D125,Milestones!$AA$24),"dd/mm/yy")&amp;" "&amp;Milestones!$AB$24&amp;" "&amp;Milestones!$AC$24&amp;";  ","")&amp;IF(AND(EDATE($D125,Milestones!$AA$25)&lt;=AsOfDate,IF($Q125=0,$W125,IF(AND($S125&lt;&gt;"",EDATE($D125,Milestones!$AA$25)&gt;=$S125),$V125,IF(AND($R125&lt;&gt;"",EDATE($D125,Milestones!$AA$25)&gt;=$R125),$U125,$T125)))=Milestones!$AB$25),TEXT(EDATE($D125,Milestones!$AA$25),"dd/mm/yy")&amp;" "&amp;Milestones!$AB$25&amp;" "&amp;Milestones!$AC$25&amp;";  ","")&amp;IF(AND(EDATE($D125,Milestones!$AA$26)&lt;=AsOfDate,IF($Q125=0,$W125,IF(AND($S125&lt;&gt;"",EDATE($D125,Milestones!$AA$26)&gt;=$S125),$V125,IF(AND($R125&lt;&gt;"",EDATE($D125,Milestones!$AA$26)&gt;=$R125),$U125,$T125)))=Milestones!$AB$26),TEXT(EDATE($D125,Milestones!$AA$26),"dd/mm/yy")&amp;" "&amp;Milestones!$AB$26&amp;" "&amp;Milestones!$AC$26&amp;";  ","")&amp;IF(AND(EDATE($D125,Milestones!$AA$27)&lt;=AsOfDate,IF($Q125=0,$W125,IF(AND($S125&lt;&gt;"",EDATE($D125,Milestones!$AA$27)&gt;=$S125),$V125,IF(AND($R125&lt;&gt;"",EDATE($D125,Milestones!$AA$27)&gt;=$R125),$U125,$T125)))=Milestones!$AB$27),TEXT(EDATE($D125,Milestones!$AA$27),"dd/mm/yy")&amp;" "&amp;Milestones!$AB$27&amp;" "&amp;Milestones!$AC$27&amp;";  ","")&amp;IF(AND(EDATE($D125,Milestones!$AA$28)&lt;=AsOfDate,IF($Q125=0,$W125,IF(AND($S125&lt;&gt;"",EDATE($D125,Milestones!$AA$28)&gt;=$S125),$V125,IF(AND($R125&lt;&gt;"",EDATE($D125,Milestones!$AA$28)&gt;=$R125),$U125,$T125)))=Milestones!$AB$28),TEXT(EDATE($D125,Milestones!$AA$28),"dd/mm/yy")&amp;" "&amp;Milestones!$AB$28&amp;" "&amp;Milestones!$AC$28&amp;";  ","")&amp;IF(AND(EDATE($D125,Milestones!$AA$29)&lt;=AsOfDate,IF($Q125=0,$W125,IF(AND($S125&lt;&gt;"",EDATE($D125,Milestones!$AA$29)&gt;=$S125),$V125,IF(AND($R125&lt;&gt;"",EDATE($D125,Milestones!$AA$29)&gt;=$R125),$U125,$T125)))=Milestones!$AB$29),TEXT(EDATE($D125,Milestones!$AA$29),"dd/mm/yy")&amp;" "&amp;Milestones!$AB$29&amp;" "&amp;Milestones!$AC$29&amp;";  ","")&amp;IF(AND(EDATE($D125,Milestones!$AA$30)&lt;=AsOfDate,IF($Q125=0,$W125,IF(AND($S125&lt;&gt;"",EDATE($D125,Milestones!$AA$30)&gt;=$S125),$V125,IF(AND($R125&lt;&gt;"",EDATE($D125,Milestones!$AA$30)&gt;=$R125),$U125,$T125)))=Milestones!$AB$30),TEXT(EDATE($D125,Milestones!$AA$30),"dd/mm/yy")&amp;" "&amp;Milestones!$AB$30&amp;" "&amp;Milestones!$AC$30&amp;";  ","")&amp;IF(AND(EDATE($D125,Milestones!$AA$31)&lt;=AsOfDate,IF($Q125=0,$W125,IF(AND($S125&lt;&gt;"",EDATE($D125,Milestones!$AA$31)&gt;=$S125),$V125,IF(AND($R125&lt;&gt;"",EDATE($D125,Milestones!$AA$31)&gt;=$R125),$U125,$T125)))=Milestones!$AB$31),TEXT(EDATE($D125,Milestones!$AA$31),"dd/mm/yy")&amp;" "&amp;Milestones!$AB$31&amp;" "&amp;Milestones!$AC$31&amp;";  ","")&amp;IF(AND(EDATE($D125,Milestones!$AA$32)&lt;=AsOfDate,IF($Q125=0,$W125,IF(AND($S125&lt;&gt;"",EDATE($D125,Milestones!$AA$32)&gt;=$S125),$V125,IF(AND($R125&lt;&gt;"",EDATE($D125,Milestones!$AA$32)&gt;=$R125),$U125,$T125)))=Milestones!$AB$32),TEXT(EDATE($D125,Milestones!$AA$32),"dd/mm/yy")&amp;" "&amp;Milestones!$AB$32&amp;" "&amp;Milestones!$AC$32&amp;";  ","")&amp;IF(AND(EDATE($D125,Milestones!$AA$33)&lt;=AsOfDate,IF($Q125=0,$W125,IF(AND($S125&lt;&gt;"",EDATE($D125,Milestones!$AA$33)&gt;=$S125),$V125,IF(AND($R125&lt;&gt;"",EDATE($D125,Milestones!$AA$33)&gt;=$R125),$U125,$T125)))=Milestones!$AB$33),TEXT(EDATE($D125,Milestones!$AA$33),"dd/mm/yy")&amp;" "&amp;Milestones!$AB$33&amp;" "&amp;Milestones!$AC$33&amp;";  ","")&amp;IF(AND(EDATE($D125,Milestones!$AA$34)&lt;=AsOfDate,IF($Q125=0,$W125,IF(AND($S125&lt;&gt;"",EDATE($D125,Milestones!$AA$34)&gt;=$S125),$V125,IF(AND($R125&lt;&gt;"",EDATE($D125,Milestones!$AA$34)&gt;=$R125),$U125,$T125)))=Milestones!$AB$34),TEXT(EDATE($D125,Milestones!$AA$34),"dd/mm/yy")&amp;" "&amp;Milestones!$AB$34&amp;" "&amp;Milestones!$AC$34&amp;";  ","")&amp;IF(AND(EDATE($D125,Milestones!$AA$35)&lt;=AsOfDate,IF($Q125=0,$W125,IF(AND($S125&lt;&gt;"",EDATE($D125,Milestones!$AA$35)&gt;=$S125),$V125,IF(AND($R125&lt;&gt;"",EDATE($D125,Milestones!$AA$35)&gt;=$R125),$U125,$T125)))=Milestones!$AB$35),TEXT(EDATE($D125,Milestones!$AA$35),"dd/mm/yy")&amp;" "&amp;Milestones!$AB$35&amp;" "&amp;Milestones!$AC$35&amp;";  ","")&amp;IF(AND(EDATE($D125,Milestones!$AA$36)&lt;=AsOfDate,IF($Q125=0,$W125,IF(AND($S125&lt;&gt;"",EDATE($D125,Milestones!$AA$36)&gt;=$S125),$V125,IF(AND($R125&lt;&gt;"",EDATE($D125,Milestones!$AA$36)&gt;=$R125),$U125,$T125)))=Milestones!$AB$36),TEXT(EDATE($D125,Milestones!$AA$36),"dd/mm/yy")&amp;" "&amp;Milestones!$AB$36&amp;" "&amp;Milestones!$AC$36&amp;";  ","")&amp;IF(AND(EDATE($D125,Milestones!$AA$37)&lt;=AsOfDate,IF($Q125=0,$W125,IF(AND($S125&lt;&gt;"",EDATE($D125,Milestones!$AA$37)&gt;=$S125),$V125,IF(AND($R125&lt;&gt;"",EDATE($D125,Milestones!$AA$37)&gt;=$R125),$U125,$T125)))=Milestones!$AB$37),TEXT(EDATE($D125,Milestones!$AA$37),"dd/mm/yy")&amp;" "&amp;Milestones!$AB$37&amp;" "&amp;Milestones!$AC$37&amp;";  ","")&amp;IF(AND(EDATE($D125,Milestones!$AA$38)&lt;=AsOfDate,IF($Q125=0,$W125,IF(AND($S125&lt;&gt;"",EDATE($D125,Milestones!$AA$38)&gt;=$S125),$V125,IF(AND($R125&lt;&gt;"",EDATE($D125,Milestones!$AA$38)&gt;=$R125),$U125,$T125)))=Milestones!$AB$38),TEXT(EDATE($D125,Milestones!$AA$38),"dd/mm/yy")&amp;" "&amp;Milestones!$AB$38&amp;" "&amp;Milestones!$AC$38&amp;";  ","")&amp;IF(AND(EDATE($D125,Milestones!$AA$39)&lt;=AsOfDate,IF($Q125=0,$W125,IF(AND($S125&lt;&gt;"",EDATE($D125,Milestones!$AA$39)&gt;=$S125),$V125,IF(AND($R125&lt;&gt;"",EDATE($D125,Milestones!$AA$39)&gt;=$R125),$U125,$T125)))=Milestones!$AB$39),TEXT(EDATE($D125,Milestones!$AA$39),"dd/mm/yy")&amp;" "&amp;Milestones!$AB$39&amp;" "&amp;Milestones!$AC$39&amp;";  ",""))</f>
        <v/>
      </c>
      <c r="I125" s="0" t="str">
        <f aca="false">IF(OR($A125="",$D125=""),"",IF(AND(EDATE($D125,Milestones!$AA$40)&lt;=AsOfDate,IF($Q125=0,$W125,IF(AND($S125&lt;&gt;"",EDATE($D125,Milestones!$AA$40)&gt;=$S125),$V125,IF(AND($R125&lt;&gt;"",EDATE($D125,Milestones!$AA$40)&gt;=$R125),$U125,$T125)))=Milestones!$AB$40),TEXT(EDATE($D125,Milestones!$AA$40),"dd/mm/yy")&amp;" "&amp;Milestones!$AB$40&amp;" "&amp;Milestones!$AC$40&amp;";  ","")&amp;IF(AND(EDATE($D125,Milestones!$AA$41)&lt;=AsOfDate,IF($Q125=0,$W125,IF(AND($S125&lt;&gt;"",EDATE($D125,Milestones!$AA$41)&gt;=$S125),$V125,IF(AND($R125&lt;&gt;"",EDATE($D125,Milestones!$AA$41)&gt;=$R125),$U125,$T125)))=Milestones!$AB$41),TEXT(EDATE($D125,Milestones!$AA$41),"dd/mm/yy")&amp;" "&amp;Milestones!$AB$41&amp;" "&amp;Milestones!$AC$41&amp;";  ","")&amp;IF(AND(EDATE($D125,Milestones!$AA$42)&lt;=AsOfDate,IF($Q125=0,$W125,IF(AND($S125&lt;&gt;"",EDATE($D125,Milestones!$AA$42)&gt;=$S125),$V125,IF(AND($R125&lt;&gt;"",EDATE($D125,Milestones!$AA$42)&gt;=$R125),$U125,$T125)))=Milestones!$AB$42),TEXT(EDATE($D125,Milestones!$AA$42),"dd/mm/yy")&amp;" "&amp;Milestones!$AB$42&amp;" "&amp;Milestones!$AC$42&amp;";  ","")&amp;IF(AND(EDATE($D125,Milestones!$AA$43)&lt;=AsOfDate,IF($Q125=0,$W125,IF(AND($S125&lt;&gt;"",EDATE($D125,Milestones!$AA$43)&gt;=$S125),$V125,IF(AND($R125&lt;&gt;"",EDATE($D125,Milestones!$AA$43)&gt;=$R125),$U125,$T125)))=Milestones!$AB$43),TEXT(EDATE($D125,Milestones!$AA$43),"dd/mm/yy")&amp;" "&amp;Milestones!$AB$43&amp;" "&amp;Milestones!$AC$43&amp;";  ","")&amp;IF(AND(EDATE($D125,Milestones!$AA$44)&lt;=AsOfDate,IF($Q125=0,$W125,IF(AND($S125&lt;&gt;"",EDATE($D125,Milestones!$AA$44)&gt;=$S125),$V125,IF(AND($R125&lt;&gt;"",EDATE($D125,Milestones!$AA$44)&gt;=$R125),$U125,$T125)))=Milestones!$AB$44),TEXT(EDATE($D125,Milestones!$AA$44),"dd/mm/yy")&amp;" "&amp;Milestones!$AB$44&amp;" "&amp;Milestones!$AC$44&amp;";  ","")&amp;IF(AND(EDATE($D125,Milestones!$AA$45)&lt;=AsOfDate,IF($Q125=0,$W125,IF(AND($S125&lt;&gt;"",EDATE($D125,Milestones!$AA$45)&gt;=$S125),$V125,IF(AND($R125&lt;&gt;"",EDATE($D125,Milestones!$AA$45)&gt;=$R125),$U125,$T125)))=Milestones!$AB$45),TEXT(EDATE($D125,Milestones!$AA$45),"dd/mm/yy")&amp;" "&amp;Milestones!$AB$45&amp;" "&amp;Milestones!$AC$45&amp;";  ","")&amp;IF(AND(EDATE($D125,Milestones!$AA$46)&lt;=AsOfDate,IF($Q125=0,$W125,IF(AND($S125&lt;&gt;"",EDATE($D125,Milestones!$AA$46)&gt;=$S125),$V125,IF(AND($R125&lt;&gt;"",EDATE($D125,Milestones!$AA$46)&gt;=$R125),$U125,$T125)))=Milestones!$AB$46),TEXT(EDATE($D125,Milestones!$AA$46),"dd/mm/yy")&amp;" "&amp;Milestones!$AB$46&amp;" "&amp;Milestones!$AC$46&amp;";  ","")&amp;IF(AND(EDATE($D125,Milestones!$AA$47)&lt;=AsOfDate,IF($Q125=0,$W125,IF(AND($S125&lt;&gt;"",EDATE($D125,Milestones!$AA$47)&gt;=$S125),$V125,IF(AND($R125&lt;&gt;"",EDATE($D125,Milestones!$AA$47)&gt;=$R125),$U125,$T125)))=Milestones!$AB$47),TEXT(EDATE($D125,Milestones!$AA$47),"dd/mm/yy")&amp;" "&amp;Milestones!$AB$47&amp;" "&amp;Milestones!$AC$47&amp;";  ","")&amp;IF(AND(EDATE($D125,Milestones!$AA$48)&lt;=AsOfDate,IF($Q125=0,$W125,IF(AND($S125&lt;&gt;"",EDATE($D125,Milestones!$AA$48)&gt;=$S125),$V125,IF(AND($R125&lt;&gt;"",EDATE($D125,Milestones!$AA$48)&gt;=$R125),$U125,$T125)))=Milestones!$AB$48),TEXT(EDATE($D125,Milestones!$AA$48),"dd/mm/yy")&amp;" "&amp;Milestones!$AB$48&amp;" "&amp;Milestones!$AC$48&amp;";  ","")&amp;IF(AND(EDATE($D125,Milestones!$AA$49)&lt;=AsOfDate,IF($Q125=0,$W125,IF(AND($S125&lt;&gt;"",EDATE($D125,Milestones!$AA$49)&gt;=$S125),$V125,IF(AND($R125&lt;&gt;"",EDATE($D125,Milestones!$AA$49)&gt;=$R125),$U125,$T125)))=Milestones!$AB$49),TEXT(EDATE($D125,Milestones!$AA$49),"dd/mm/yy")&amp;" "&amp;Milestones!$AB$49&amp;" "&amp;Milestones!$AC$49&amp;";  ","")&amp;IF(AND(EDATE($D125,Milestones!$AA$50)&lt;=AsOfDate,IF($Q125=0,$W125,IF(AND($S125&lt;&gt;"",EDATE($D125,Milestones!$AA$50)&gt;=$S125),$V125,IF(AND($R125&lt;&gt;"",EDATE($D125,Milestones!$AA$50)&gt;=$R125),$U125,$T125)))=Milestones!$AB$50),TEXT(EDATE($D125,Milestones!$AA$50),"dd/mm/yy")&amp;" "&amp;Milestones!$AB$50&amp;" "&amp;Milestones!$AC$50&amp;";  ","")&amp;IF(AND(EDATE($D125,Milestones!$AA$51)&lt;=AsOfDate,IF($Q125=0,$W125,IF(AND($S125&lt;&gt;"",EDATE($D125,Milestones!$AA$51)&gt;=$S125),$V125,IF(AND($R125&lt;&gt;"",EDATE($D125,Milestones!$AA$51)&gt;=$R125),$U125,$T125)))=Milestones!$AB$51),TEXT(EDATE($D125,Milestones!$AA$51),"dd/mm/yy")&amp;" "&amp;Milestones!$AB$51&amp;" "&amp;Milestones!$AC$51&amp;";  ","")&amp;IF(AND(EDATE($D125,Milestones!$AA$52)&lt;=AsOfDate,IF($Q125=0,$W125,IF(AND($S125&lt;&gt;"",EDATE($D125,Milestones!$AA$52)&gt;=$S125),$V125,IF(AND($R125&lt;&gt;"",EDATE($D125,Milestones!$AA$52)&gt;=$R125),$U125,$T125)))=Milestones!$AB$52),TEXT(EDATE($D125,Milestones!$AA$52),"dd/mm/yy")&amp;" "&amp;Milestones!$AB$52&amp;" "&amp;Milestones!$AC$52&amp;";  ","")&amp;IF(AND(EDATE($D125,Milestones!$AA$53)&lt;=AsOfDate,IF($Q125=0,$W125,IF(AND($S125&lt;&gt;"",EDATE($D125,Milestones!$AA$53)&gt;=$S125),$V125,IF(AND($R125&lt;&gt;"",EDATE($D125,Milestones!$AA$53)&gt;=$R125),$U125,$T125)))=Milestones!$AB$53),TEXT(EDATE($D125,Milestones!$AA$53),"dd/mm/yy")&amp;" "&amp;Milestones!$AB$53&amp;" "&amp;Milestones!$AC$53&amp;";  ","")&amp;IF(AND(EDATE($D125,Milestones!$AA$54)&lt;=AsOfDate,IF($Q125=0,$W125,IF(AND($S125&lt;&gt;"",EDATE($D125,Milestones!$AA$54)&gt;=$S125),$V125,IF(AND($R125&lt;&gt;"",EDATE($D125,Milestones!$AA$54)&gt;=$R125),$U125,$T125)))=Milestones!$AB$54),TEXT(EDATE($D125,Milestones!$AA$54),"dd/mm/yy")&amp;" "&amp;Milestones!$AB$54&amp;" "&amp;Milestones!$AC$54&amp;";  ","")&amp;IF(AND(EDATE($D125,Milestones!$AA$55)&lt;=AsOfDate,IF($Q125=0,$W125,IF(AND($S125&lt;&gt;"",EDATE($D125,Milestones!$AA$55)&gt;=$S125),$V125,IF(AND($R125&lt;&gt;"",EDATE($D125,Milestones!$AA$55)&gt;=$R125),$U125,$T125)))=Milestones!$AB$55),TEXT(EDATE($D125,Milestones!$AA$55),"dd/mm/yy")&amp;" "&amp;Milestones!$AB$55&amp;" "&amp;Milestones!$AC$55&amp;";  ","")&amp;IF(AND(EDATE($D125,Milestones!$AA$56)&lt;=AsOfDate,IF($Q125=0,$W125,IF(AND($S125&lt;&gt;"",EDATE($D125,Milestones!$AA$56)&gt;=$S125),$V125,IF(AND($R125&lt;&gt;"",EDATE($D125,Milestones!$AA$56)&gt;=$R125),$U125,$T125)))=Milestones!$AB$56),TEXT(EDATE($D125,Milestones!$AA$56),"dd/mm/yy")&amp;" "&amp;Milestones!$AB$56&amp;" "&amp;Milestones!$AC$56&amp;";  ","")&amp;IF(AND(EDATE($D125,Milestones!$AA$57)&lt;=AsOfDate,IF($Q125=0,$W125,IF(AND($S125&lt;&gt;"",EDATE($D125,Milestones!$AA$57)&gt;=$S125),$V125,IF(AND($R125&lt;&gt;"",EDATE($D125,Milestones!$AA$57)&gt;=$R125),$U125,$T125)))=Milestones!$AB$57),TEXT(EDATE($D125,Milestones!$AA$57),"dd/mm/yy")&amp;" "&amp;Milestones!$AB$57&amp;" "&amp;Milestones!$AC$57&amp;";  ","")&amp;IF(AND(EDATE($D125,Milestones!$AA$58)&lt;=AsOfDate,IF($Q125=0,$W125,IF(AND($S125&lt;&gt;"",EDATE($D125,Milestones!$AA$58)&gt;=$S125),$V125,IF(AND($R125&lt;&gt;"",EDATE($D125,Milestones!$AA$58)&gt;=$R125),$U125,$T125)))=Milestones!$AB$58),TEXT(EDATE($D125,Milestones!$AA$58),"dd/mm/yy")&amp;" "&amp;Milestones!$AB$58&amp;" "&amp;Milestones!$AC$58&amp;";  ","")&amp;IF(AND(EDATE($D125,Milestones!$AA$59)&lt;=AsOfDate,IF($Q125=0,$W125,IF(AND($S125&lt;&gt;"",EDATE($D125,Milestones!$AA$59)&gt;=$S125),$V125,IF(AND($R125&lt;&gt;"",EDATE($D125,Milestones!$AA$59)&gt;=$R125),$U125,$T125)))=Milestones!$AB$59),TEXT(EDATE($D125,Milestones!$AA$59),"dd/mm/yy")&amp;" "&amp;Milestones!$AB$59&amp;" "&amp;Milestones!$AC$59&amp;";  ",""))</f>
        <v/>
      </c>
      <c r="J125" s="0" t="str">
        <f aca="false">IF(OR($A125="",$D125=""),"",IF(AND(EDATE($D125,Milestones!$AA$60)&lt;=AsOfDate,IF($Q125=0,$W125,IF(AND($S125&lt;&gt;"",EDATE($D125,Milestones!$AA$60)&gt;=$S125),$V125,IF(AND($R125&lt;&gt;"",EDATE($D125,Milestones!$AA$60)&gt;=$R125),$U125,$T125)))=Milestones!$AB$60),TEXT(EDATE($D125,Milestones!$AA$60),"dd/mm/yy")&amp;" "&amp;Milestones!$AB$60&amp;" "&amp;Milestones!$AC$60&amp;";  ","")&amp;IF(AND(EDATE($D125,Milestones!$AA$61)&lt;=AsOfDate,IF($Q125=0,$W125,IF(AND($S125&lt;&gt;"",EDATE($D125,Milestones!$AA$61)&gt;=$S125),$V125,IF(AND($R125&lt;&gt;"",EDATE($D125,Milestones!$AA$61)&gt;=$R125),$U125,$T125)))=Milestones!$AB$61),TEXT(EDATE($D125,Milestones!$AA$61),"dd/mm/yy")&amp;" "&amp;Milestones!$AB$61&amp;" "&amp;Milestones!$AC$61&amp;";  ","")&amp;IF(AND(EDATE($D125,Milestones!$AA$62)&lt;=AsOfDate,IF($Q125=0,$W125,IF(AND($S125&lt;&gt;"",EDATE($D125,Milestones!$AA$62)&gt;=$S125),$V125,IF(AND($R125&lt;&gt;"",EDATE($D125,Milestones!$AA$62)&gt;=$R125),$U125,$T125)))=Milestones!$AB$62),TEXT(EDATE($D125,Milestones!$AA$62),"dd/mm/yy")&amp;" "&amp;Milestones!$AB$62&amp;" "&amp;Milestones!$AC$62&amp;";  ","")&amp;IF(AND(EDATE($D125,Milestones!$AA$63)&lt;=AsOfDate,IF($Q125=0,$W125,IF(AND($S125&lt;&gt;"",EDATE($D125,Milestones!$AA$63)&gt;=$S125),$V125,IF(AND($R125&lt;&gt;"",EDATE($D125,Milestones!$AA$63)&gt;=$R125),$U125,$T125)))=Milestones!$AB$63),TEXT(EDATE($D125,Milestones!$AA$63),"dd/mm/yy")&amp;" "&amp;Milestones!$AB$63&amp;" "&amp;Milestones!$AC$63&amp;";  ","")&amp;IF(AND(EDATE($D125,Milestones!$AA$64)&lt;=AsOfDate,IF($Q125=0,$W125,IF(AND($S125&lt;&gt;"",EDATE($D125,Milestones!$AA$64)&gt;=$S125),$V125,IF(AND($R125&lt;&gt;"",EDATE($D125,Milestones!$AA$64)&gt;=$R125),$U125,$T125)))=Milestones!$AB$64),TEXT(EDATE($D125,Milestones!$AA$64),"dd/mm/yy")&amp;" "&amp;Milestones!$AB$64&amp;" "&amp;Milestones!$AC$64&amp;";  ","")&amp;IF(AND(EDATE($D125,Milestones!$AA$65)&lt;=AsOfDate,IF($Q125=0,$W125,IF(AND($S125&lt;&gt;"",EDATE($D125,Milestones!$AA$65)&gt;=$S125),$V125,IF(AND($R125&lt;&gt;"",EDATE($D125,Milestones!$AA$65)&gt;=$R125),$U125,$T125)))=Milestones!$AB$65),TEXT(EDATE($D125,Milestones!$AA$65),"dd/mm/yy")&amp;" "&amp;Milestones!$AB$65&amp;" "&amp;Milestones!$AC$65&amp;";  ","")&amp;IF(AND(EDATE($D125,Milestones!$AA$66)&lt;=AsOfDate,IF($Q125=0,$W125,IF(AND($S125&lt;&gt;"",EDATE($D125,Milestones!$AA$66)&gt;=$S125),$V125,IF(AND($R125&lt;&gt;"",EDATE($D125,Milestones!$AA$66)&gt;=$R125),$U125,$T125)))=Milestones!$AB$66),TEXT(EDATE($D125,Milestones!$AA$66),"dd/mm/yy")&amp;" "&amp;Milestones!$AB$66&amp;" "&amp;Milestones!$AC$66&amp;";  ","")&amp;IF(AND(EDATE($D125,Milestones!$AA$67)&lt;=AsOfDate,IF($Q125=0,$W125,IF(AND($S125&lt;&gt;"",EDATE($D125,Milestones!$AA$67)&gt;=$S125),$V125,IF(AND($R125&lt;&gt;"",EDATE($D125,Milestones!$AA$67)&gt;=$R125),$U125,$T125)))=Milestones!$AB$67),TEXT(EDATE($D125,Milestones!$AA$67),"dd/mm/yy")&amp;" "&amp;Milestones!$AB$67&amp;" "&amp;Milestones!$AC$67&amp;";  ","")&amp;IF(AND(EDATE($D125,Milestones!$AA$68)&lt;=AsOfDate,IF($Q125=0,$W125,IF(AND($S125&lt;&gt;"",EDATE($D125,Milestones!$AA$68)&gt;=$S125),$V125,IF(AND($R125&lt;&gt;"",EDATE($D125,Milestones!$AA$68)&gt;=$R125),$U125,$T125)))=Milestones!$AB$68),TEXT(EDATE($D125,Milestones!$AA$68),"dd/mm/yy")&amp;" "&amp;Milestones!$AB$68&amp;" "&amp;Milestones!$AC$68&amp;";  ","")&amp;IF(AND(EDATE($D125,Milestones!$AA$69)&lt;=AsOfDate,IF($Q125=0,$W125,IF(AND($S125&lt;&gt;"",EDATE($D125,Milestones!$AA$69)&gt;=$S125),$V125,IF(AND($R125&lt;&gt;"",EDATE($D125,Milestones!$AA$69)&gt;=$R125),$U125,$T125)))=Milestones!$AB$69),TEXT(EDATE($D125,Milestones!$AA$69),"dd/mm/yy")&amp;" "&amp;Milestones!$AB$69&amp;" "&amp;Milestones!$AC$69&amp;";  ","")&amp;IF(AND(EDATE($D125,Milestones!$AA$70)&lt;=AsOfDate,IF($Q125=0,$W125,IF(AND($S125&lt;&gt;"",EDATE($D125,Milestones!$AA$70)&gt;=$S125),$V125,IF(AND($R125&lt;&gt;"",EDATE($D125,Milestones!$AA$70)&gt;=$R125),$U125,$T125)))=Milestones!$AB$70),TEXT(EDATE($D125,Milestones!$AA$70),"dd/mm/yy")&amp;" "&amp;Milestones!$AB$70&amp;" "&amp;Milestones!$AC$70&amp;";  ","")&amp;IF(AND(EDATE($D125,Milestones!$AA$71)&lt;=AsOfDate,IF($Q125=0,$W125,IF(AND($S125&lt;&gt;"",EDATE($D125,Milestones!$AA$71)&gt;=$S125),$V125,IF(AND($R125&lt;&gt;"",EDATE($D125,Milestones!$AA$71)&gt;=$R125),$U125,$T125)))=Milestones!$AB$71),TEXT(EDATE($D125,Milestones!$AA$71),"dd/mm/yy")&amp;" "&amp;Milestones!$AB$71&amp;" "&amp;Milestones!$AC$71&amp;";  ","")&amp;IF(AND(EDATE($D125,Milestones!$AA$72)&lt;=AsOfDate,IF($Q125=0,$W125,IF(AND($S125&lt;&gt;"",EDATE($D125,Milestones!$AA$72)&gt;=$S125),$V125,IF(AND($R125&lt;&gt;"",EDATE($D125,Milestones!$AA$72)&gt;=$R125),$U125,$T125)))=Milestones!$AB$72),TEXT(EDATE($D125,Milestones!$AA$72),"dd/mm/yy")&amp;" "&amp;Milestones!$AB$72&amp;" "&amp;Milestones!$AC$72&amp;";  ","")&amp;IF(AND(EDATE($D125,Milestones!$AA$73)&lt;=AsOfDate,IF($Q125=0,$W125,IF(AND($S125&lt;&gt;"",EDATE($D125,Milestones!$AA$73)&gt;=$S125),$V125,IF(AND($R125&lt;&gt;"",EDATE($D125,Milestones!$AA$73)&gt;=$R125),$U125,$T125)))=Milestones!$AB$73),TEXT(EDATE($D125,Milestones!$AA$73),"dd/mm/yy")&amp;" "&amp;Milestones!$AB$73&amp;" "&amp;Milestones!$AC$73&amp;";  ","")&amp;IF(AND(EDATE($D125,Milestones!$AA$74)&lt;=AsOfDate,IF($Q125=0,$W125,IF(AND($S125&lt;&gt;"",EDATE($D125,Milestones!$AA$74)&gt;=$S125),$V125,IF(AND($R125&lt;&gt;"",EDATE($D125,Milestones!$AA$74)&gt;=$R125),$U125,$T125)))=Milestones!$AB$74),TEXT(EDATE($D125,Milestones!$AA$74),"dd/mm/yy")&amp;" "&amp;Milestones!$AB$74&amp;" "&amp;Milestones!$AC$74&amp;";  ","")&amp;IF(AND(EDATE($D125,Milestones!$AA$75)&lt;=AsOfDate,IF($Q125=0,$W125,IF(AND($S125&lt;&gt;"",EDATE($D125,Milestones!$AA$75)&gt;=$S125),$V125,IF(AND($R125&lt;&gt;"",EDATE($D125,Milestones!$AA$75)&gt;=$R125),$U125,$T125)))=Milestones!$AB$75),TEXT(EDATE($D125,Milestones!$AA$75),"dd/mm/yy")&amp;" "&amp;Milestones!$AB$75&amp;" "&amp;Milestones!$AC$75&amp;";  ","")&amp;IF(AND(EDATE($D125,Milestones!$AA$76)&lt;=AsOfDate,IF($Q125=0,$W125,IF(AND($S125&lt;&gt;"",EDATE($D125,Milestones!$AA$76)&gt;=$S125),$V125,IF(AND($R125&lt;&gt;"",EDATE($D125,Milestones!$AA$76)&gt;=$R125),$U125,$T125)))=Milestones!$AB$76),TEXT(EDATE($D125,Milestones!$AA$76),"dd/mm/yy")&amp;" "&amp;Milestones!$AB$76&amp;" "&amp;Milestones!$AC$76&amp;";  ","")&amp;IF(AND(EDATE($D125,Milestones!$AA$77)&lt;=AsOfDate,IF($Q125=0,$W125,IF(AND($S125&lt;&gt;"",EDATE($D125,Milestones!$AA$77)&gt;=$S125),$V125,IF(AND($R125&lt;&gt;"",EDATE($D125,Milestones!$AA$77)&gt;=$R125),$U125,$T125)))=Milestones!$AB$77),TEXT(EDATE($D125,Milestones!$AA$77),"dd/mm/yy")&amp;" "&amp;Milestones!$AB$77&amp;" "&amp;Milestones!$AC$77&amp;";  ","")&amp;IF(AND(EDATE($D125,Milestones!$AA$78)&lt;=AsOfDate,IF($Q125=0,$W125,IF(AND($S125&lt;&gt;"",EDATE($D125,Milestones!$AA$78)&gt;=$S125),$V125,IF(AND($R125&lt;&gt;"",EDATE($D125,Milestones!$AA$78)&gt;=$R125),$U125,$T125)))=Milestones!$AB$78),TEXT(EDATE($D125,Milestones!$AA$78),"dd/mm/yy")&amp;" "&amp;Milestones!$AB$78&amp;" "&amp;Milestones!$AC$78&amp;";  ","")&amp;IF(AND(EDATE($D125,Milestones!$AA$79)&lt;=AsOfDate,IF($Q125=0,$W125,IF(AND($S125&lt;&gt;"",EDATE($D125,Milestones!$AA$79)&gt;=$S125),$V125,IF(AND($R125&lt;&gt;"",EDATE($D125,Milestones!$AA$79)&gt;=$R125),$U125,$T125)))=Milestones!$AB$79),TEXT(EDATE($D125,Milestones!$AA$79),"dd/mm/yy")&amp;" "&amp;Milestones!$AB$79&amp;" "&amp;Milestones!$AC$79&amp;";  ",""))</f>
        <v/>
      </c>
      <c r="K125" s="0" t="str">
        <f aca="false">IF(OR($A125="",$D125=""),"",IF(AND(EDATE($D125,Milestones!$AA$80)&lt;=AsOfDate,IF($Q125=0,$W125,IF(AND($S125&lt;&gt;"",EDATE($D125,Milestones!$AA$80)&gt;=$S125),$V125,IF(AND($R125&lt;&gt;"",EDATE($D125,Milestones!$AA$80)&gt;=$R125),$U125,$T125)))=Milestones!$AB$80),TEXT(EDATE($D125,Milestones!$AA$80),"dd/mm/yy")&amp;" "&amp;Milestones!$AB$80&amp;" "&amp;Milestones!$AC$80&amp;";  ","")&amp;IF(AND(EDATE($D125,Milestones!$AA$81)&lt;=AsOfDate,IF($Q125=0,$W125,IF(AND($S125&lt;&gt;"",EDATE($D125,Milestones!$AA$81)&gt;=$S125),$V125,IF(AND($R125&lt;&gt;"",EDATE($D125,Milestones!$AA$81)&gt;=$R125),$U125,$T125)))=Milestones!$AB$81),TEXT(EDATE($D125,Milestones!$AA$81),"dd/mm/yy")&amp;" "&amp;Milestones!$AB$81&amp;" "&amp;Milestones!$AC$81&amp;";  ","")&amp;IF(AND(EDATE($D125,Milestones!$AA$82)&lt;=AsOfDate,IF($Q125=0,$W125,IF(AND($S125&lt;&gt;"",EDATE($D125,Milestones!$AA$82)&gt;=$S125),$V125,IF(AND($R125&lt;&gt;"",EDATE($D125,Milestones!$AA$82)&gt;=$R125),$U125,$T125)))=Milestones!$AB$82),TEXT(EDATE($D125,Milestones!$AA$82),"dd/mm/yy")&amp;" "&amp;Milestones!$AB$82&amp;" "&amp;Milestones!$AC$82&amp;";  ","")&amp;IF(AND(EDATE($D125,Milestones!$AA$83)&lt;=AsOfDate,IF($Q125=0,$W125,IF(AND($S125&lt;&gt;"",EDATE($D125,Milestones!$AA$83)&gt;=$S125),$V125,IF(AND($R125&lt;&gt;"",EDATE($D125,Milestones!$AA$83)&gt;=$R125),$U125,$T125)))=Milestones!$AB$83),TEXT(EDATE($D125,Milestones!$AA$83),"dd/mm/yy")&amp;" "&amp;Milestones!$AB$83&amp;" "&amp;Milestones!$AC$83&amp;";  ","")&amp;IF(AND(EDATE($D125,Milestones!$AA$84)&lt;=AsOfDate,IF($Q125=0,$W125,IF(AND($S125&lt;&gt;"",EDATE($D125,Milestones!$AA$84)&gt;=$S125),$V125,IF(AND($R125&lt;&gt;"",EDATE($D125,Milestones!$AA$84)&gt;=$R125),$U125,$T125)))=Milestones!$AB$84),TEXT(EDATE($D125,Milestones!$AA$84),"dd/mm/yy")&amp;" "&amp;Milestones!$AB$84&amp;" "&amp;Milestones!$AC$84&amp;";  ","")&amp;IF(AND(EDATE($D125,Milestones!$AA$85)&lt;=AsOfDate,IF($Q125=0,$W125,IF(AND($S125&lt;&gt;"",EDATE($D125,Milestones!$AA$85)&gt;=$S125),$V125,IF(AND($R125&lt;&gt;"",EDATE($D125,Milestones!$AA$85)&gt;=$R125),$U125,$T125)))=Milestones!$AB$85),TEXT(EDATE($D125,Milestones!$AA$85),"dd/mm/yy")&amp;" "&amp;Milestones!$AB$85&amp;" "&amp;Milestones!$AC$85&amp;";  ","")&amp;IF(AND(EDATE($D125,Milestones!$AA$86)&lt;=AsOfDate,IF($Q125=0,$W125,IF(AND($S125&lt;&gt;"",EDATE($D125,Milestones!$AA$86)&gt;=$S125),$V125,IF(AND($R125&lt;&gt;"",EDATE($D125,Milestones!$AA$86)&gt;=$R125),$U125,$T125)))=Milestones!$AB$86),TEXT(EDATE($D125,Milestones!$AA$86),"dd/mm/yy")&amp;" "&amp;Milestones!$AB$86&amp;" "&amp;Milestones!$AC$86&amp;";  ","")&amp;IF(AND(EDATE($D125,Milestones!$AA$87)&lt;=AsOfDate,IF($Q125=0,$W125,IF(AND($S125&lt;&gt;"",EDATE($D125,Milestones!$AA$87)&gt;=$S125),$V125,IF(AND($R125&lt;&gt;"",EDATE($D125,Milestones!$AA$87)&gt;=$R125),$U125,$T125)))=Milestones!$AB$87),TEXT(EDATE($D125,Milestones!$AA$87),"dd/mm/yy")&amp;" "&amp;Milestones!$AB$87&amp;" "&amp;Milestones!$AC$87&amp;";  ","")&amp;IF(AND(EDATE($D125,Milestones!$AA$88)&lt;=AsOfDate,IF($Q125=0,$W125,IF(AND($S125&lt;&gt;"",EDATE($D125,Milestones!$AA$88)&gt;=$S125),$V125,IF(AND($R125&lt;&gt;"",EDATE($D125,Milestones!$AA$88)&gt;=$R125),$U125,$T125)))=Milestones!$AB$88),TEXT(EDATE($D125,Milestones!$AA$88),"dd/mm/yy")&amp;" "&amp;Milestones!$AB$88&amp;" "&amp;Milestones!$AC$88&amp;";  ","")&amp;IF(AND(EDATE($D125,Milestones!$AA$89)&lt;=AsOfDate,IF($Q125=0,$W125,IF(AND($S125&lt;&gt;"",EDATE($D125,Milestones!$AA$89)&gt;=$S125),$V125,IF(AND($R125&lt;&gt;"",EDATE($D125,Milestones!$AA$89)&gt;=$R125),$U125,$T125)))=Milestones!$AB$89),TEXT(EDATE($D125,Milestones!$AA$89),"dd/mm/yy")&amp;" "&amp;Milestones!$AB$89&amp;" "&amp;Milestones!$AC$89&amp;";  ","")&amp;IF(AND(EDATE($D125,Milestones!$AA$90)&lt;=AsOfDate,IF($Q125=0,$W125,IF(AND($S125&lt;&gt;"",EDATE($D125,Milestones!$AA$90)&gt;=$S125),$V125,IF(AND($R125&lt;&gt;"",EDATE($D125,Milestones!$AA$90)&gt;=$R125),$U125,$T125)))=Milestones!$AB$90),TEXT(EDATE($D125,Milestones!$AA$90),"dd/mm/yy")&amp;" "&amp;Milestones!$AB$90&amp;" "&amp;Milestones!$AC$90&amp;";  ","")&amp;IF(AND(EDATE($D125,Milestones!$AA$91)&lt;=AsOfDate,IF($Q125=0,$W125,IF(AND($S125&lt;&gt;"",EDATE($D125,Milestones!$AA$91)&gt;=$S125),$V125,IF(AND($R125&lt;&gt;"",EDATE($D125,Milestones!$AA$91)&gt;=$R125),$U125,$T125)))=Milestones!$AB$91),TEXT(EDATE($D125,Milestones!$AA$91),"dd/mm/yy")&amp;" "&amp;Milestones!$AB$91&amp;" "&amp;Milestones!$AC$91&amp;";  ","")&amp;IF(AND(EDATE($D125,Milestones!$AA$92)&lt;=AsOfDate,IF($Q125=0,$W125,IF(AND($S125&lt;&gt;"",EDATE($D125,Milestones!$AA$92)&gt;=$S125),$V125,IF(AND($R125&lt;&gt;"",EDATE($D125,Milestones!$AA$92)&gt;=$R125),$U125,$T125)))=Milestones!$AB$92),TEXT(EDATE($D125,Milestones!$AA$92),"dd/mm/yy")&amp;" "&amp;Milestones!$AB$92&amp;" "&amp;Milestones!$AC$92&amp;";  ","")&amp;IF(AND(EDATE($D125,Milestones!$AA$93)&lt;=AsOfDate,IF($Q125=0,$W125,IF(AND($S125&lt;&gt;"",EDATE($D125,Milestones!$AA$93)&gt;=$S125),$V125,IF(AND($R125&lt;&gt;"",EDATE($D125,Milestones!$AA$93)&gt;=$R125),$U125,$T125)))=Milestones!$AB$93),TEXT(EDATE($D125,Milestones!$AA$93),"dd/mm/yy")&amp;" "&amp;Milestones!$AB$93&amp;" "&amp;Milestones!$AC$93&amp;";  ","")&amp;IF(AND(EDATE($D125,Milestones!$AA$94)&lt;=AsOfDate,IF($Q125=0,$W125,IF(AND($S125&lt;&gt;"",EDATE($D125,Milestones!$AA$94)&gt;=$S125),$V125,IF(AND($R125&lt;&gt;"",EDATE($D125,Milestones!$AA$94)&gt;=$R125),$U125,$T125)))=Milestones!$AB$94),TEXT(EDATE($D125,Milestones!$AA$94),"dd/mm/yy")&amp;" "&amp;Milestones!$AB$94&amp;" "&amp;Milestones!$AC$94&amp;";  ","")&amp;IF(AND(EDATE($D125,Milestones!$AA$95)&lt;=AsOfDate,IF($Q125=0,$W125,IF(AND($S125&lt;&gt;"",EDATE($D125,Milestones!$AA$95)&gt;=$S125),$V125,IF(AND($R125&lt;&gt;"",EDATE($D125,Milestones!$AA$95)&gt;=$R125),$U125,$T125)))=Milestones!$AB$95),TEXT(EDATE($D125,Milestones!$AA$95),"dd/mm/yy")&amp;" "&amp;Milestones!$AB$95&amp;" "&amp;Milestones!$AC$95&amp;";  ","")&amp;IF(AND(EDATE($D125,Milestones!$AA$96)&lt;=AsOfDate,IF($Q125=0,$W125,IF(AND($S125&lt;&gt;"",EDATE($D125,Milestones!$AA$96)&gt;=$S125),$V125,IF(AND($R125&lt;&gt;"",EDATE($D125,Milestones!$AA$96)&gt;=$R125),$U125,$T125)))=Milestones!$AB$96),TEXT(EDATE($D125,Milestones!$AA$96),"dd/mm/yy")&amp;" "&amp;Milestones!$AB$96&amp;" "&amp;Milestones!$AC$96&amp;";  ","")&amp;IF(AND(EDATE($D125,Milestones!$AA$97)&lt;=AsOfDate,IF($Q125=0,$W125,IF(AND($S125&lt;&gt;"",EDATE($D125,Milestones!$AA$97)&gt;=$S125),$V125,IF(AND($R125&lt;&gt;"",EDATE($D125,Milestones!$AA$97)&gt;=$R125),$U125,$T125)))=Milestones!$AB$97),TEXT(EDATE($D125,Milestones!$AA$97),"dd/mm/yy")&amp;" "&amp;Milestones!$AB$97&amp;" "&amp;Milestones!$AC$97&amp;";  ","")&amp;IF(AND(EDATE($D125,Milestones!$AA$98)&lt;=AsOfDate,IF($Q125=0,$W125,IF(AND($S125&lt;&gt;"",EDATE($D125,Milestones!$AA$98)&gt;=$S125),$V125,IF(AND($R125&lt;&gt;"",EDATE($D125,Milestones!$AA$98)&gt;=$R125),$U125,$T125)))=Milestones!$AB$98),TEXT(EDATE($D125,Milestones!$AA$98),"dd/mm/yy")&amp;" "&amp;Milestones!$AB$98&amp;" "&amp;Milestones!$AC$98&amp;";  ","")&amp;IF(AND(EDATE($D125,Milestones!$AA$99)&lt;=AsOfDate,IF($Q125=0,$W125,IF(AND($S125&lt;&gt;"",EDATE($D125,Milestones!$AA$99)&gt;=$S125),$V125,IF(AND($R125&lt;&gt;"",EDATE($D125,Milestones!$AA$99)&gt;=$R125),$U125,$T125)))=Milestones!$AB$99),TEXT(EDATE($D125,Milestones!$AA$99),"dd/mm/yy")&amp;" "&amp;Milestones!$AB$99&amp;" "&amp;Milestones!$AC$99&amp;";  ",""))</f>
        <v/>
      </c>
      <c r="L125" s="0" t="str">
        <f aca="false">IF(OR($A125="",$D125=""),"",IF(AND(EDATE($D125,Milestones!$AA$100)&lt;=AsOfDate,IF($Q125=0,$W125,IF(AND($S125&lt;&gt;"",EDATE($D125,Milestones!$AA$100)&gt;=$S125),$V125,IF(AND($R125&lt;&gt;"",EDATE($D125,Milestones!$AA$100)&gt;=$R125),$U125,$T125)))=Milestones!$AB$100),TEXT(EDATE($D125,Milestones!$AA$100),"dd/mm/yy")&amp;" "&amp;Milestones!$AB$100&amp;" "&amp;Milestones!$AC$100&amp;";  ","")&amp;IF(AND(EDATE($D125,Milestones!$AA$101)&lt;=AsOfDate,IF($Q125=0,$W125,IF(AND($S125&lt;&gt;"",EDATE($D125,Milestones!$AA$101)&gt;=$S125),$V125,IF(AND($R125&lt;&gt;"",EDATE($D125,Milestones!$AA$101)&gt;=$R125),$U125,$T125)))=Milestones!$AB$101),TEXT(EDATE($D125,Milestones!$AA$101),"dd/mm/yy")&amp;" "&amp;Milestones!$AB$101&amp;" "&amp;Milestones!$AC$101&amp;";  ","")&amp;IF(AND(EDATE($D125,Milestones!$AA$102)&lt;=AsOfDate,IF($Q125=0,$W125,IF(AND($S125&lt;&gt;"",EDATE($D125,Milestones!$AA$102)&gt;=$S125),$V125,IF(AND($R125&lt;&gt;"",EDATE($D125,Milestones!$AA$102)&gt;=$R125),$U125,$T125)))=Milestones!$AB$102),TEXT(EDATE($D125,Milestones!$AA$102),"dd/mm/yy")&amp;" "&amp;Milestones!$AB$102&amp;" "&amp;Milestones!$AC$102&amp;";  ","")&amp;IF(AND(EDATE($D125,Milestones!$AA$103)&lt;=AsOfDate,IF($Q125=0,$W125,IF(AND($S125&lt;&gt;"",EDATE($D125,Milestones!$AA$103)&gt;=$S125),$V125,IF(AND($R125&lt;&gt;"",EDATE($D125,Milestones!$AA$103)&gt;=$R125),$U125,$T125)))=Milestones!$AB$103),TEXT(EDATE($D125,Milestones!$AA$103),"dd/mm/yy")&amp;" "&amp;Milestones!$AB$103&amp;" "&amp;Milestones!$AC$103&amp;";  ","")&amp;IF(AND(EDATE($D125,Milestones!$AA$104)&lt;=AsOfDate,IF($Q125=0,$W125,IF(AND($S125&lt;&gt;"",EDATE($D125,Milestones!$AA$104)&gt;=$S125),$V125,IF(AND($R125&lt;&gt;"",EDATE($D125,Milestones!$AA$104)&gt;=$R125),$U125,$T125)))=Milestones!$AB$104),TEXT(EDATE($D125,Milestones!$AA$104),"dd/mm/yy")&amp;" "&amp;Milestones!$AB$104&amp;" "&amp;Milestones!$AC$104&amp;";  ","")&amp;IF(AND(EDATE($D125,Milestones!$AA$105)&lt;=AsOfDate,IF($Q125=0,$W125,IF(AND($S125&lt;&gt;"",EDATE($D125,Milestones!$AA$105)&gt;=$S125),$V125,IF(AND($R125&lt;&gt;"",EDATE($D125,Milestones!$AA$105)&gt;=$R125),$U125,$T125)))=Milestones!$AB$105),TEXT(EDATE($D125,Milestones!$AA$105),"dd/mm/yy")&amp;" "&amp;Milestones!$AB$105&amp;" "&amp;Milestones!$AC$105&amp;";  ","")&amp;IF(AND(EDATE($D125,Milestones!$AA$106)&lt;=AsOfDate,IF($Q125=0,$W125,IF(AND($S125&lt;&gt;"",EDATE($D125,Milestones!$AA$106)&gt;=$S125),$V125,IF(AND($R125&lt;&gt;"",EDATE($D125,Milestones!$AA$106)&gt;=$R125),$U125,$T125)))=Milestones!$AB$106),TEXT(EDATE($D125,Milestones!$AA$106),"dd/mm/yy")&amp;" "&amp;Milestones!$AB$106&amp;" "&amp;Milestones!$AC$106&amp;";  ","")&amp;IF(AND(EDATE($D125,Milestones!$AA$107)&lt;=AsOfDate,IF($Q125=0,$W125,IF(AND($S125&lt;&gt;"",EDATE($D125,Milestones!$AA$107)&gt;=$S125),$V125,IF(AND($R125&lt;&gt;"",EDATE($D125,Milestones!$AA$107)&gt;=$R125),$U125,$T125)))=Milestones!$AB$107),TEXT(EDATE($D125,Milestones!$AA$107),"dd/mm/yy")&amp;" "&amp;Milestones!$AB$107&amp;" "&amp;Milestones!$AC$107&amp;";  ","")&amp;IF(AND(EDATE($D125,Milestones!$AA$108)&lt;=AsOfDate,IF($Q125=0,$W125,IF(AND($S125&lt;&gt;"",EDATE($D125,Milestones!$AA$108)&gt;=$S125),$V125,IF(AND($R125&lt;&gt;"",EDATE($D125,Milestones!$AA$108)&gt;=$R125),$U125,$T125)))=Milestones!$AB$108),TEXT(EDATE($D125,Milestones!$AA$108),"dd/mm/yy")&amp;" "&amp;Milestones!$AB$108&amp;" "&amp;Milestones!$AC$108&amp;";  ","")&amp;IF(AND(EDATE($D125,Milestones!$AA$109)&lt;=AsOfDate,IF($Q125=0,$W125,IF(AND($S125&lt;&gt;"",EDATE($D125,Milestones!$AA$109)&gt;=$S125),$V125,IF(AND($R125&lt;&gt;"",EDATE($D125,Milestones!$AA$109)&gt;=$R125),$U125,$T125)))=Milestones!$AB$109),TEXT(EDATE($D125,Milestones!$AA$109),"dd/mm/yy")&amp;" "&amp;Milestones!$AB$109&amp;" "&amp;Milestones!$AC$109&amp;";  ","")&amp;IF(AND(EDATE($D125,Milestones!$AA$110)&lt;=AsOfDate,IF($Q125=0,$W125,IF(AND($S125&lt;&gt;"",EDATE($D125,Milestones!$AA$110)&gt;=$S125),$V125,IF(AND($R125&lt;&gt;"",EDATE($D125,Milestones!$AA$110)&gt;=$R125),$U125,$T125)))=Milestones!$AB$110),TEXT(EDATE($D125,Milestones!$AA$110),"dd/mm/yy")&amp;" "&amp;Milestones!$AB$110&amp;" "&amp;Milestones!$AC$110&amp;";  ","")&amp;IF(AND(EDATE($D125,Milestones!$AA$111)&lt;=AsOfDate,IF($Q125=0,$W125,IF(AND($S125&lt;&gt;"",EDATE($D125,Milestones!$AA$111)&gt;=$S125),$V125,IF(AND($R125&lt;&gt;"",EDATE($D125,Milestones!$AA$111)&gt;=$R125),$U125,$T125)))=Milestones!$AB$111),TEXT(EDATE($D125,Milestones!$AA$111),"dd/mm/yy")&amp;" "&amp;Milestones!$AB$111&amp;" "&amp;Milestones!$AC$111&amp;";  ","")&amp;IF(AND(EDATE($D125,Milestones!$AA$112)&lt;=AsOfDate,IF($Q125=0,$W125,IF(AND($S125&lt;&gt;"",EDATE($D125,Milestones!$AA$112)&gt;=$S125),$V125,IF(AND($R125&lt;&gt;"",EDATE($D125,Milestones!$AA$112)&gt;=$R125),$U125,$T125)))=Milestones!$AB$112),TEXT(EDATE($D125,Milestones!$AA$112),"dd/mm/yy")&amp;" "&amp;Milestones!$AB$112&amp;" "&amp;Milestones!$AC$112&amp;";  ","")&amp;IF(AND(EDATE($D125,Milestones!$AA$113)&lt;=AsOfDate,IF($Q125=0,$W125,IF(AND($S125&lt;&gt;"",EDATE($D125,Milestones!$AA$113)&gt;=$S125),$V125,IF(AND($R125&lt;&gt;"",EDATE($D125,Milestones!$AA$113)&gt;=$R125),$U125,$T125)))=Milestones!$AB$113),TEXT(EDATE($D125,Milestones!$AA$113),"dd/mm/yy")&amp;" "&amp;Milestones!$AB$113&amp;" "&amp;Milestones!$AC$113&amp;";  ","")&amp;IF(AND(EDATE($D125,Milestones!$AA$114)&lt;=AsOfDate,IF($Q125=0,$W125,IF(AND($S125&lt;&gt;"",EDATE($D125,Milestones!$AA$114)&gt;=$S125),$V125,IF(AND($R125&lt;&gt;"",EDATE($D125,Milestones!$AA$114)&gt;=$R125),$U125,$T125)))=Milestones!$AB$114),TEXT(EDATE($D125,Milestones!$AA$114),"dd/mm/yy")&amp;" "&amp;Milestones!$AB$114&amp;" "&amp;Milestones!$AC$114&amp;";  ","")&amp;IF(AND(EDATE($D125,Milestones!$AA$115)&lt;=AsOfDate,IF($Q125=0,$W125,IF(AND($S125&lt;&gt;"",EDATE($D125,Milestones!$AA$115)&gt;=$S125),$V125,IF(AND($R125&lt;&gt;"",EDATE($D125,Milestones!$AA$115)&gt;=$R125),$U125,$T125)))=Milestones!$AB$115),TEXT(EDATE($D125,Milestones!$AA$115),"dd/mm/yy")&amp;" "&amp;Milestones!$AB$115&amp;" "&amp;Milestones!$AC$115&amp;";  ","")&amp;IF(AND(EDATE($D125,Milestones!$AA$116)&lt;=AsOfDate,IF($Q125=0,$W125,IF(AND($S125&lt;&gt;"",EDATE($D125,Milestones!$AA$116)&gt;=$S125),$V125,IF(AND($R125&lt;&gt;"",EDATE($D125,Milestones!$AA$116)&gt;=$R125),$U125,$T125)))=Milestones!$AB$116),TEXT(EDATE($D125,Milestones!$AA$116),"dd/mm/yy")&amp;" "&amp;Milestones!$AB$116&amp;" "&amp;Milestones!$AC$116&amp;";  ","")&amp;IF(AND(EDATE($D125,Milestones!$AA$117)&lt;=AsOfDate,IF($Q125=0,$W125,IF(AND($S125&lt;&gt;"",EDATE($D125,Milestones!$AA$117)&gt;=$S125),$V125,IF(AND($R125&lt;&gt;"",EDATE($D125,Milestones!$AA$117)&gt;=$R125),$U125,$T125)))=Milestones!$AB$117),TEXT(EDATE($D125,Milestones!$AA$117),"dd/mm/yy")&amp;" "&amp;Milestones!$AB$117&amp;" "&amp;Milestones!$AC$117&amp;";  ","")&amp;IF(AND(EDATE($D125,Milestones!$AA$118)&lt;=AsOfDate,IF($Q125=0,$W125,IF(AND($S125&lt;&gt;"",EDATE($D125,Milestones!$AA$118)&gt;=$S125),$V125,IF(AND($R125&lt;&gt;"",EDATE($D125,Milestones!$AA$118)&gt;=$R125),$U125,$T125)))=Milestones!$AB$118),TEXT(EDATE($D125,Milestones!$AA$118),"dd/mm/yy")&amp;" "&amp;Milestones!$AB$118&amp;" "&amp;Milestones!$AC$118&amp;";  ","")&amp;IF(AND(EDATE($D125,Milestones!$AA$119)&lt;=AsOfDate,IF($Q125=0,$W125,IF(AND($S125&lt;&gt;"",EDATE($D125,Milestones!$AA$119)&gt;=$S125),$V125,IF(AND($R125&lt;&gt;"",EDATE($D125,Milestones!$AA$119)&gt;=$R125),$U125,$T125)))=Milestones!$AB$119),TEXT(EDATE($D125,Milestones!$AA$119),"dd/mm/yy")&amp;" "&amp;Milestones!$AB$119&amp;" "&amp;Milestones!$AC$119&amp;";  ",""))</f>
        <v/>
      </c>
      <c r="M125" s="0" t="str">
        <f aca="false">IF(OR($A125="",$D125=""),"",IF(AND(EDATE($D125,Milestones!$AA$120)&lt;=AsOfDate,IF($Q125=0,$W125,IF(AND($S125&lt;&gt;"",EDATE($D125,Milestones!$AA$120)&gt;=$S125),$V125,IF(AND($R125&lt;&gt;"",EDATE($D125,Milestones!$AA$120)&gt;=$R125),$U125,$T125)))=Milestones!$AB$120),TEXT(EDATE($D125,Milestones!$AA$120),"dd/mm/yy")&amp;" "&amp;Milestones!$AB$120&amp;" "&amp;Milestones!$AC$120&amp;";  ","")&amp;IF(AND(EDATE($D125,Milestones!$AA$121)&lt;=AsOfDate,IF($Q125=0,$W125,IF(AND($S125&lt;&gt;"",EDATE($D125,Milestones!$AA$121)&gt;=$S125),$V125,IF(AND($R125&lt;&gt;"",EDATE($D125,Milestones!$AA$121)&gt;=$R125),$U125,$T125)))=Milestones!$AB$121),TEXT(EDATE($D125,Milestones!$AA$121),"dd/mm/yy")&amp;" "&amp;Milestones!$AB$121&amp;" "&amp;Milestones!$AC$121&amp;";  ","")&amp;IF(AND(EDATE($D125,Milestones!$AA$122)&lt;=AsOfDate,IF($Q125=0,$W125,IF(AND($S125&lt;&gt;"",EDATE($D125,Milestones!$AA$122)&gt;=$S125),$V125,IF(AND($R125&lt;&gt;"",EDATE($D125,Milestones!$AA$122)&gt;=$R125),$U125,$T125)))=Milestones!$AB$122),TEXT(EDATE($D125,Milestones!$AA$122),"dd/mm/yy")&amp;" "&amp;Milestones!$AB$122&amp;" "&amp;Milestones!$AC$122&amp;";  ","")&amp;IF(AND(EDATE($D125,Milestones!$AA$123)&lt;=AsOfDate,IF($Q125=0,$W125,IF(AND($S125&lt;&gt;"",EDATE($D125,Milestones!$AA$123)&gt;=$S125),$V125,IF(AND($R125&lt;&gt;"",EDATE($D125,Milestones!$AA$123)&gt;=$R125),$U125,$T125)))=Milestones!$AB$123),TEXT(EDATE($D125,Milestones!$AA$123),"dd/mm/yy")&amp;" "&amp;Milestones!$AB$123&amp;" "&amp;Milestones!$AC$123&amp;";  ","")&amp;IF(AND(EDATE($D125,Milestones!$AA$124)&lt;=AsOfDate,IF($Q125=0,$W125,IF(AND($S125&lt;&gt;"",EDATE($D125,Milestones!$AA$124)&gt;=$S125),$V125,IF(AND($R125&lt;&gt;"",EDATE($D125,Milestones!$AA$124)&gt;=$R125),$U125,$T125)))=Milestones!$AB$124),TEXT(EDATE($D125,Milestones!$AA$124),"dd/mm/yy")&amp;" "&amp;Milestones!$AB$124&amp;" "&amp;Milestones!$AC$124&amp;";  ","")&amp;IF(AND(EDATE($D125,Milestones!$AA$125)&lt;=AsOfDate,IF($Q125=0,$W125,IF(AND($S125&lt;&gt;"",EDATE($D125,Milestones!$AA$125)&gt;=$S125),$V125,IF(AND($R125&lt;&gt;"",EDATE($D125,Milestones!$AA$125)&gt;=$R125),$U125,$T125)))=Milestones!$AB$125),TEXT(EDATE($D125,Milestones!$AA$125),"dd/mm/yy")&amp;" "&amp;Milestones!$AB$125&amp;" "&amp;Milestones!$AC$125&amp;";  ","")&amp;IF(AND(EDATE($D125,Milestones!$AA$126)&lt;=AsOfDate,IF($Q125=0,$W125,IF(AND($S125&lt;&gt;"",EDATE($D125,Milestones!$AA$126)&gt;=$S125),$V125,IF(AND($R125&lt;&gt;"",EDATE($D125,Milestones!$AA$126)&gt;=$R125),$U125,$T125)))=Milestones!$AB$126),TEXT(EDATE($D125,Milestones!$AA$126),"dd/mm/yy")&amp;" "&amp;Milestones!$AB$126&amp;" "&amp;Milestones!$AC$126&amp;";  ","")&amp;IF(AND(EDATE($D125,Milestones!$AA$127)&lt;=AsOfDate,IF($Q125=0,$W125,IF(AND($S125&lt;&gt;"",EDATE($D125,Milestones!$AA$127)&gt;=$S125),$V125,IF(AND($R125&lt;&gt;"",EDATE($D125,Milestones!$AA$127)&gt;=$R125),$U125,$T125)))=Milestones!$AB$127),TEXT(EDATE($D125,Milestones!$AA$127),"dd/mm/yy")&amp;" "&amp;Milestones!$AB$127&amp;" "&amp;Milestones!$AC$127&amp;";  ","")&amp;IF(AND(EDATE($D125,Milestones!$AA$128)&lt;=AsOfDate,IF($Q125=0,$W125,IF(AND($S125&lt;&gt;"",EDATE($D125,Milestones!$AA$128)&gt;=$S125),$V125,IF(AND($R125&lt;&gt;"",EDATE($D125,Milestones!$AA$128)&gt;=$R125),$U125,$T125)))=Milestones!$AB$128),TEXT(EDATE($D125,Milestones!$AA$128),"dd/mm/yy")&amp;" "&amp;Milestones!$AB$128&amp;" "&amp;Milestones!$AC$128&amp;";  ","")&amp;IF(AND(EDATE($D125,Milestones!$AA$129)&lt;=AsOfDate,IF($Q125=0,$W125,IF(AND($S125&lt;&gt;"",EDATE($D125,Milestones!$AA$129)&gt;=$S125),$V125,IF(AND($R125&lt;&gt;"",EDATE($D125,Milestones!$AA$129)&gt;=$R125),$U125,$T125)))=Milestones!$AB$129),TEXT(EDATE($D125,Milestones!$AA$129),"dd/mm/yy")&amp;" "&amp;Milestones!$AB$129&amp;" "&amp;Milestones!$AC$129&amp;";  ","")&amp;IF(AND(EDATE($D125,Milestones!$AA$130)&lt;=AsOfDate,IF($Q125=0,$W125,IF(AND($S125&lt;&gt;"",EDATE($D125,Milestones!$AA$130)&gt;=$S125),$V125,IF(AND($R125&lt;&gt;"",EDATE($D125,Milestones!$AA$130)&gt;=$R125),$U125,$T125)))=Milestones!$AB$130),TEXT(EDATE($D125,Milestones!$AA$130),"dd/mm/yy")&amp;" "&amp;Milestones!$AB$130&amp;" "&amp;Milestones!$AC$130&amp;";  ","")&amp;IF(AND(EDATE($D125,Milestones!$AA$131)&lt;=AsOfDate,IF($Q125=0,$W125,IF(AND($S125&lt;&gt;"",EDATE($D125,Milestones!$AA$131)&gt;=$S125),$V125,IF(AND($R125&lt;&gt;"",EDATE($D125,Milestones!$AA$131)&gt;=$R125),$U125,$T125)))=Milestones!$AB$131),TEXT(EDATE($D125,Milestones!$AA$131),"dd/mm/yy")&amp;" "&amp;Milestones!$AB$131&amp;" "&amp;Milestones!$AC$131&amp;";  ","")&amp;IF(AND(EDATE($D125,Milestones!$AA$132)&lt;=AsOfDate,IF($Q125=0,$W125,IF(AND($S125&lt;&gt;"",EDATE($D125,Milestones!$AA$132)&gt;=$S125),$V125,IF(AND($R125&lt;&gt;"",EDATE($D125,Milestones!$AA$132)&gt;=$R125),$U125,$T125)))=Milestones!$AB$132),TEXT(EDATE($D125,Milestones!$AA$132),"dd/mm/yy")&amp;" "&amp;Milestones!$AB$132&amp;" "&amp;Milestones!$AC$132&amp;";  ","")&amp;IF(AND(EDATE($D125,Milestones!$AA$133)&lt;=AsOfDate,IF($Q125=0,$W125,IF(AND($S125&lt;&gt;"",EDATE($D125,Milestones!$AA$133)&gt;=$S125),$V125,IF(AND($R125&lt;&gt;"",EDATE($D125,Milestones!$AA$133)&gt;=$R125),$U125,$T125)))=Milestones!$AB$133),TEXT(EDATE($D125,Milestones!$AA$133),"dd/mm/yy")&amp;" "&amp;Milestones!$AB$133&amp;" "&amp;Milestones!$AC$133&amp;";  ","")&amp;IF(AND(EDATE($D125,Milestones!$AA$134)&lt;=AsOfDate,IF($Q125=0,$W125,IF(AND($S125&lt;&gt;"",EDATE($D125,Milestones!$AA$134)&gt;=$S125),$V125,IF(AND($R125&lt;&gt;"",EDATE($D125,Milestones!$AA$134)&gt;=$R125),$U125,$T125)))=Milestones!$AB$134),TEXT(EDATE($D125,Milestones!$AA$134),"dd/mm/yy")&amp;" "&amp;Milestones!$AB$134&amp;" "&amp;Milestones!$AC$134&amp;";  ","")&amp;IF(AND(EDATE($D125,Milestones!$AA$135)&lt;=AsOfDate,IF($Q125=0,$W125,IF(AND($S125&lt;&gt;"",EDATE($D125,Milestones!$AA$135)&gt;=$S125),$V125,IF(AND($R125&lt;&gt;"",EDATE($D125,Milestones!$AA$135)&gt;=$R125),$U125,$T125)))=Milestones!$AB$135),TEXT(EDATE($D125,Milestones!$AA$135),"dd/mm/yy")&amp;" "&amp;Milestones!$AB$135&amp;" "&amp;Milestones!$AC$135&amp;";  ","")&amp;IF(AND(EDATE($D125,Milestones!$AA$136)&lt;=AsOfDate,IF($Q125=0,$W125,IF(AND($S125&lt;&gt;"",EDATE($D125,Milestones!$AA$136)&gt;=$S125),$V125,IF(AND($R125&lt;&gt;"",EDATE($D125,Milestones!$AA$136)&gt;=$R125),$U125,$T125)))=Milestones!$AB$136),TEXT(EDATE($D125,Milestones!$AA$136),"dd/mm/yy")&amp;" "&amp;Milestones!$AB$136&amp;" "&amp;Milestones!$AC$136&amp;";  ","")&amp;IF(AND(EDATE($D125,Milestones!$AA$137)&lt;=AsOfDate,IF($Q125=0,$W125,IF(AND($S125&lt;&gt;"",EDATE($D125,Milestones!$AA$137)&gt;=$S125),$V125,IF(AND($R125&lt;&gt;"",EDATE($D125,Milestones!$AA$137)&gt;=$R125),$U125,$T125)))=Milestones!$AB$137),TEXT(EDATE($D125,Milestones!$AA$137),"dd/mm/yy")&amp;" "&amp;Milestones!$AB$137&amp;" "&amp;Milestones!$AC$137&amp;";  ","")&amp;IF(AND(EDATE($D125,Milestones!$AA$138)&lt;=AsOfDate,IF($Q125=0,$W125,IF(AND($S125&lt;&gt;"",EDATE($D125,Milestones!$AA$138)&gt;=$S125),$V125,IF(AND($R125&lt;&gt;"",EDATE($D125,Milestones!$AA$138)&gt;=$R125),$U125,$T125)))=Milestones!$AB$138),TEXT(EDATE($D125,Milestones!$AA$138),"dd/mm/yy")&amp;" "&amp;Milestones!$AB$138&amp;" "&amp;Milestones!$AC$138&amp;";  ","")&amp;IF(AND(EDATE($D125,Milestones!$AA$139)&lt;=AsOfDate,IF($Q125=0,$W125,IF(AND($S125&lt;&gt;"",EDATE($D125,Milestones!$AA$139)&gt;=$S125),$V125,IF(AND($R125&lt;&gt;"",EDATE($D125,Milestones!$AA$139)&gt;=$R125),$U125,$T125)))=Milestones!$AB$139),TEXT(EDATE($D125,Milestones!$AA$139),"dd/mm/yy")&amp;" "&amp;Milestones!$AB$139&amp;" "&amp;Milestones!$AC$139&amp;";  ",""))</f>
        <v/>
      </c>
      <c r="N125" s="0" t="str">
        <f aca="false">IF(OR($A125="",$D125=""),"",IF(AND(EDATE($D125,Milestones!$AA$140)&lt;=AsOfDate,IF($Q125=0,$W125,IF(AND($S125&lt;&gt;"",EDATE($D125,Milestones!$AA$140)&gt;=$S125),$V125,IF(AND($R125&lt;&gt;"",EDATE($D125,Milestones!$AA$140)&gt;=$R125),$U125,$T125)))=Milestones!$AB$140),TEXT(EDATE($D125,Milestones!$AA$140),"dd/mm/yy")&amp;" "&amp;Milestones!$AB$140&amp;" "&amp;Milestones!$AC$140&amp;";  ","")&amp;IF(AND(EDATE($D125,Milestones!$AA$141)&lt;=AsOfDate,IF($Q125=0,$W125,IF(AND($S125&lt;&gt;"",EDATE($D125,Milestones!$AA$141)&gt;=$S125),$V125,IF(AND($R125&lt;&gt;"",EDATE($D125,Milestones!$AA$141)&gt;=$R125),$U125,$T125)))=Milestones!$AB$141),TEXT(EDATE($D125,Milestones!$AA$141),"dd/mm/yy")&amp;" "&amp;Milestones!$AB$141&amp;" "&amp;Milestones!$AC$141&amp;";  ","")&amp;IF(AND(EDATE($D125,Milestones!$AA$142)&lt;=AsOfDate,IF($Q125=0,$W125,IF(AND($S125&lt;&gt;"",EDATE($D125,Milestones!$AA$142)&gt;=$S125),$V125,IF(AND($R125&lt;&gt;"",EDATE($D125,Milestones!$AA$142)&gt;=$R125),$U125,$T125)))=Milestones!$AB$142),TEXT(EDATE($D125,Milestones!$AA$142),"dd/mm/yy")&amp;" "&amp;Milestones!$AB$142&amp;" "&amp;Milestones!$AC$142&amp;";  ","")&amp;IF(AND(EDATE($D125,Milestones!$AA$143)&lt;=AsOfDate,IF($Q125=0,$W125,IF(AND($S125&lt;&gt;"",EDATE($D125,Milestones!$AA$143)&gt;=$S125),$V125,IF(AND($R125&lt;&gt;"",EDATE($D125,Milestones!$AA$143)&gt;=$R125),$U125,$T125)))=Milestones!$AB$143),TEXT(EDATE($D125,Milestones!$AA$143),"dd/mm/yy")&amp;" "&amp;Milestones!$AB$143&amp;" "&amp;Milestones!$AC$143&amp;";  ","")&amp;IF(AND(EDATE($D125,Milestones!$AA$144)&lt;=AsOfDate,IF($Q125=0,$W125,IF(AND($S125&lt;&gt;"",EDATE($D125,Milestones!$AA$144)&gt;=$S125),$V125,IF(AND($R125&lt;&gt;"",EDATE($D125,Milestones!$AA$144)&gt;=$R125),$U125,$T125)))=Milestones!$AB$144),TEXT(EDATE($D125,Milestones!$AA$144),"dd/mm/yy")&amp;" "&amp;Milestones!$AB$144&amp;" "&amp;Milestones!$AC$144&amp;";  ","")&amp;IF(AND(EDATE($D125,Milestones!$AA$145)&lt;=AsOfDate,IF($Q125=0,$W125,IF(AND($S125&lt;&gt;"",EDATE($D125,Milestones!$AA$145)&gt;=$S125),$V125,IF(AND($R125&lt;&gt;"",EDATE($D125,Milestones!$AA$145)&gt;=$R125),$U125,$T125)))=Milestones!$AB$145),TEXT(EDATE($D125,Milestones!$AA$145),"dd/mm/yy")&amp;" "&amp;Milestones!$AB$145&amp;" "&amp;Milestones!$AC$145&amp;";  ","")&amp;IF(AND(EDATE($D125,Milestones!$AA$146)&lt;=AsOfDate,IF($Q125=0,$W125,IF(AND($S125&lt;&gt;"",EDATE($D125,Milestones!$AA$146)&gt;=$S125),$V125,IF(AND($R125&lt;&gt;"",EDATE($D125,Milestones!$AA$146)&gt;=$R125),$U125,$T125)))=Milestones!$AB$146),TEXT(EDATE($D125,Milestones!$AA$146),"dd/mm/yy")&amp;" "&amp;Milestones!$AB$146&amp;" "&amp;Milestones!$AC$146&amp;";  ","")&amp;IF(AND(EDATE($D125,Milestones!$AA$147)&lt;=AsOfDate,IF($Q125=0,$W125,IF(AND($S125&lt;&gt;"",EDATE($D125,Milestones!$AA$147)&gt;=$S125),$V125,IF(AND($R125&lt;&gt;"",EDATE($D125,Milestones!$AA$147)&gt;=$R125),$U125,$T125)))=Milestones!$AB$147),TEXT(EDATE($D125,Milestones!$AA$147),"dd/mm/yy")&amp;" "&amp;Milestones!$AB$147&amp;" "&amp;Milestones!$AC$147&amp;";  ","")&amp;IF(AND(EDATE($D125,Milestones!$AA$148)&lt;=AsOfDate,IF($Q125=0,$W125,IF(AND($S125&lt;&gt;"",EDATE($D125,Milestones!$AA$148)&gt;=$S125),$V125,IF(AND($R125&lt;&gt;"",EDATE($D125,Milestones!$AA$148)&gt;=$R125),$U125,$T125)))=Milestones!$AB$148),TEXT(EDATE($D125,Milestones!$AA$148),"dd/mm/yy")&amp;" "&amp;Milestones!$AB$148&amp;" "&amp;Milestones!$AC$148&amp;";  ","")&amp;IF(AND(EDATE($D125,Milestones!$AA$149)&lt;=AsOfDate,IF($Q125=0,$W125,IF(AND($S125&lt;&gt;"",EDATE($D125,Milestones!$AA$149)&gt;=$S125),$V125,IF(AND($R125&lt;&gt;"",EDATE($D125,Milestones!$AA$149)&gt;=$R125),$U125,$T125)))=Milestones!$AB$149),TEXT(EDATE($D125,Milestones!$AA$149),"dd/mm/yy")&amp;" "&amp;Milestones!$AB$149&amp;" "&amp;Milestones!$AC$149&amp;";  ","")&amp;IF(AND(EDATE($D125,Milestones!$AA$150)&lt;=AsOfDate,IF($Q125=0,$W125,IF(AND($S125&lt;&gt;"",EDATE($D125,Milestones!$AA$150)&gt;=$S125),$V125,IF(AND($R125&lt;&gt;"",EDATE($D125,Milestones!$AA$150)&gt;=$R125),$U125,$T125)))=Milestones!$AB$150),TEXT(EDATE($D125,Milestones!$AA$150),"dd/mm/yy")&amp;" "&amp;Milestones!$AB$150&amp;" "&amp;Milestones!$AC$150&amp;";  ","")&amp;IF(AND(EDATE($D125,Milestones!$AA$151)&lt;=AsOfDate,IF($Q125=0,$W125,IF(AND($S125&lt;&gt;"",EDATE($D125,Milestones!$AA$151)&gt;=$S125),$V125,IF(AND($R125&lt;&gt;"",EDATE($D125,Milestones!$AA$151)&gt;=$R125),$U125,$T125)))=Milestones!$AB$151),TEXT(EDATE($D125,Milestones!$AA$151),"dd/mm/yy")&amp;" "&amp;Milestones!$AB$151&amp;" "&amp;Milestones!$AC$151&amp;";  ","")&amp;IF(AND(EDATE($D125,Milestones!$AA$152)&lt;=AsOfDate,IF($Q125=0,$W125,IF(AND($S125&lt;&gt;"",EDATE($D125,Milestones!$AA$152)&gt;=$S125),$V125,IF(AND($R125&lt;&gt;"",EDATE($D125,Milestones!$AA$152)&gt;=$R125),$U125,$T125)))=Milestones!$AB$152),TEXT(EDATE($D125,Milestones!$AA$152),"dd/mm/yy")&amp;" "&amp;Milestones!$AB$152&amp;" "&amp;Milestones!$AC$152&amp;";  ","")&amp;IF(AND(EDATE($D125,Milestones!$AA$153)&lt;=AsOfDate,IF($Q125=0,$W125,IF(AND($S125&lt;&gt;"",EDATE($D125,Milestones!$AA$153)&gt;=$S125),$V125,IF(AND($R125&lt;&gt;"",EDATE($D125,Milestones!$AA$153)&gt;=$R125),$U125,$T125)))=Milestones!$AB$153),TEXT(EDATE($D125,Milestones!$AA$153),"dd/mm/yy")&amp;" "&amp;Milestones!$AB$153&amp;" "&amp;Milestones!$AC$153&amp;";  ","")&amp;IF(AND(EDATE($D125,Milestones!$AA$154)&lt;=AsOfDate,IF($Q125=0,$W125,IF(AND($S125&lt;&gt;"",EDATE($D125,Milestones!$AA$154)&gt;=$S125),$V125,IF(AND($R125&lt;&gt;"",EDATE($D125,Milestones!$AA$154)&gt;=$R125),$U125,$T125)))=Milestones!$AB$154),TEXT(EDATE($D125,Milestones!$AA$154),"dd/mm/yy")&amp;" "&amp;Milestones!$AB$154&amp;" "&amp;Milestones!$AC$154&amp;";  ","")&amp;IF(AND(EDATE($D125,Milestones!$AA$155)&lt;=AsOfDate,IF($Q125=0,$W125,IF(AND($S125&lt;&gt;"",EDATE($D125,Milestones!$AA$155)&gt;=$S125),$V125,IF(AND($R125&lt;&gt;"",EDATE($D125,Milestones!$AA$155)&gt;=$R125),$U125,$T125)))=Milestones!$AB$155),TEXT(EDATE($D125,Milestones!$AA$155),"dd/mm/yy")&amp;" "&amp;Milestones!$AB$155&amp;" "&amp;Milestones!$AC$155&amp;";  ","")&amp;IF(AND(EDATE($D125,Milestones!$AA$156)&lt;=AsOfDate,IF($Q125=0,$W125,IF(AND($S125&lt;&gt;"",EDATE($D125,Milestones!$AA$156)&gt;=$S125),$V125,IF(AND($R125&lt;&gt;"",EDATE($D125,Milestones!$AA$156)&gt;=$R125),$U125,$T125)))=Milestones!$AB$156),TEXT(EDATE($D125,Milestones!$AA$156),"dd/mm/yy")&amp;" "&amp;Milestones!$AB$156&amp;" "&amp;Milestones!$AC$156&amp;";  ","")&amp;IF(AND(EDATE($D125,Milestones!$AA$157)&lt;=AsOfDate,IF($Q125=0,$W125,IF(AND($S125&lt;&gt;"",EDATE($D125,Milestones!$AA$157)&gt;=$S125),$V125,IF(AND($R125&lt;&gt;"",EDATE($D125,Milestones!$AA$157)&gt;=$R125),$U125,$T125)))=Milestones!$AB$157),TEXT(EDATE($D125,Milestones!$AA$157),"dd/mm/yy")&amp;" "&amp;Milestones!$AB$157&amp;" "&amp;Milestones!$AC$157&amp;";  ","")&amp;IF(AND(EDATE($D125,Milestones!$AA$158)&lt;=AsOfDate,IF($Q125=0,$W125,IF(AND($S125&lt;&gt;"",EDATE($D125,Milestones!$AA$158)&gt;=$S125),$V125,IF(AND($R125&lt;&gt;"",EDATE($D125,Milestones!$AA$158)&gt;=$R125),$U125,$T125)))=Milestones!$AB$158),TEXT(EDATE($D125,Milestones!$AA$158),"dd/mm/yy")&amp;" "&amp;Milestones!$AB$158&amp;" "&amp;Milestones!$AC$158&amp;";  ","")&amp;IF(AND(EDATE($D125,Milestones!$AA$159)&lt;=AsOfDate,IF($Q125=0,$W125,IF(AND($S125&lt;&gt;"",EDATE($D125,Milestones!$AA$159)&gt;=$S125),$V125,IF(AND($R125&lt;&gt;"",EDATE($D125,Milestones!$AA$159)&gt;=$R125),$U125,$T125)))=Milestones!$AB$159),TEXT(EDATE($D125,Milestones!$AA$159),"dd/mm/yy")&amp;" "&amp;Milestones!$AB$159&amp;" "&amp;Milestones!$AC$159&amp;";  ",""))</f>
        <v/>
      </c>
      <c r="O125" s="0" t="str">
        <f aca="false">IF(OR($A125="",$D125=""),"",IF(AND(EDATE($D125,Milestones!$AA$160)&lt;=AsOfDate,IF($Q125=0,$W125,IF(AND($S125&lt;&gt;"",EDATE($D125,Milestones!$AA$160)&gt;=$S125),$V125,IF(AND($R125&lt;&gt;"",EDATE($D125,Milestones!$AA$160)&gt;=$R125),$U125,$T125)))=Milestones!$AB$160),TEXT(EDATE($D125,Milestones!$AA$160),"dd/mm/yy")&amp;" "&amp;Milestones!$AB$160&amp;" "&amp;Milestones!$AC$160&amp;";  ","")&amp;IF(AND(EDATE($D125,Milestones!$AA$161)&lt;=AsOfDate,IF($Q125=0,$W125,IF(AND($S125&lt;&gt;"",EDATE($D125,Milestones!$AA$161)&gt;=$S125),$V125,IF(AND($R125&lt;&gt;"",EDATE($D125,Milestones!$AA$161)&gt;=$R125),$U125,$T125)))=Milestones!$AB$161),TEXT(EDATE($D125,Milestones!$AA$161),"dd/mm/yy")&amp;" "&amp;Milestones!$AB$161&amp;" "&amp;Milestones!$AC$161&amp;";  ","")&amp;IF(AND(EDATE($D125,Milestones!$AA$162)&lt;=AsOfDate,IF($Q125=0,$W125,IF(AND($S125&lt;&gt;"",EDATE($D125,Milestones!$AA$162)&gt;=$S125),$V125,IF(AND($R125&lt;&gt;"",EDATE($D125,Milestones!$AA$162)&gt;=$R125),$U125,$T125)))=Milestones!$AB$162),TEXT(EDATE($D125,Milestones!$AA$162),"dd/mm/yy")&amp;" "&amp;Milestones!$AB$162&amp;" "&amp;Milestones!$AC$162&amp;";  ","")&amp;IF(AND(EDATE($D125,Milestones!$AA$163)&lt;=AsOfDate,IF($Q125=0,$W125,IF(AND($S125&lt;&gt;"",EDATE($D125,Milestones!$AA$163)&gt;=$S125),$V125,IF(AND($R125&lt;&gt;"",EDATE($D125,Milestones!$AA$163)&gt;=$R125),$U125,$T125)))=Milestones!$AB$163),TEXT(EDATE($D125,Milestones!$AA$163),"dd/mm/yy")&amp;" "&amp;Milestones!$AB$163&amp;" "&amp;Milestones!$AC$163&amp;";  ","")&amp;IF(AND(EDATE($D125,Milestones!$AA$164)&lt;=AsOfDate,IF($Q125=0,$W125,IF(AND($S125&lt;&gt;"",EDATE($D125,Milestones!$AA$164)&gt;=$S125),$V125,IF(AND($R125&lt;&gt;"",EDATE($D125,Milestones!$AA$164)&gt;=$R125),$U125,$T125)))=Milestones!$AB$164),TEXT(EDATE($D125,Milestones!$AA$164),"dd/mm/yy")&amp;" "&amp;Milestones!$AB$164&amp;" "&amp;Milestones!$AC$164&amp;";  ","")&amp;IF(AND(EDATE($D125,Milestones!$AA$165)&lt;=AsOfDate,IF($Q125=0,$W125,IF(AND($S125&lt;&gt;"",EDATE($D125,Milestones!$AA$165)&gt;=$S125),$V125,IF(AND($R125&lt;&gt;"",EDATE($D125,Milestones!$AA$165)&gt;=$R125),$U125,$T125)))=Milestones!$AB$165),TEXT(EDATE($D125,Milestones!$AA$165),"dd/mm/yy")&amp;" "&amp;Milestones!$AB$165&amp;" "&amp;Milestones!$AC$165&amp;";  ","")&amp;IF(AND(EDATE($D125,Milestones!$AA$166)&lt;=AsOfDate,IF($Q125=0,$W125,IF(AND($S125&lt;&gt;"",EDATE($D125,Milestones!$AA$166)&gt;=$S125),$V125,IF(AND($R125&lt;&gt;"",EDATE($D125,Milestones!$AA$166)&gt;=$R125),$U125,$T125)))=Milestones!$AB$166),TEXT(EDATE($D125,Milestones!$AA$166),"dd/mm/yy")&amp;" "&amp;Milestones!$AB$166&amp;" "&amp;Milestones!$AC$166&amp;";  ","")&amp;IF(AND(EDATE($D125,Milestones!$AA$167)&lt;=AsOfDate,IF($Q125=0,$W125,IF(AND($S125&lt;&gt;"",EDATE($D125,Milestones!$AA$167)&gt;=$S125),$V125,IF(AND($R125&lt;&gt;"",EDATE($D125,Milestones!$AA$167)&gt;=$R125),$U125,$T125)))=Milestones!$AB$167),TEXT(EDATE($D125,Milestones!$AA$167),"dd/mm/yy")&amp;" "&amp;Milestones!$AB$167&amp;" "&amp;Milestones!$AC$167&amp;";  ","")&amp;IF(AND(EDATE($D125,Milestones!$AA$168)&lt;=AsOfDate,IF($Q125=0,$W125,IF(AND($S125&lt;&gt;"",EDATE($D125,Milestones!$AA$168)&gt;=$S125),$V125,IF(AND($R125&lt;&gt;"",EDATE($D125,Milestones!$AA$168)&gt;=$R125),$U125,$T125)))=Milestones!$AB$168),TEXT(EDATE($D125,Milestones!$AA$168),"dd/mm/yy")&amp;" "&amp;Milestones!$AB$168&amp;" "&amp;Milestones!$AC$168&amp;";  ","")&amp;IF(AND(EDATE($D125,Milestones!$AA$169)&lt;=AsOfDate,IF($Q125=0,$W125,IF(AND($S125&lt;&gt;"",EDATE($D125,Milestones!$AA$169)&gt;=$S125),$V125,IF(AND($R125&lt;&gt;"",EDATE($D125,Milestones!$AA$169)&gt;=$R125),$U125,$T125)))=Milestones!$AB$169),TEXT(EDATE($D125,Milestones!$AA$169),"dd/mm/yy")&amp;" "&amp;Milestones!$AB$169&amp;" "&amp;Milestones!$AC$169&amp;";  ","")&amp;IF(AND(EDATE($D125,Milestones!$AA$170)&lt;=AsOfDate,IF($Q125=0,$W125,IF(AND($S125&lt;&gt;"",EDATE($D125,Milestones!$AA$170)&gt;=$S125),$V125,IF(AND($R125&lt;&gt;"",EDATE($D125,Milestones!$AA$170)&gt;=$R125),$U125,$T125)))=Milestones!$AB$170),TEXT(EDATE($D125,Milestones!$AA$170),"dd/mm/yy")&amp;" "&amp;Milestones!$AB$170&amp;" "&amp;Milestones!$AC$170&amp;";  ","")&amp;IF(AND(EDATE($D125,Milestones!$AA$171)&lt;=AsOfDate,IF($Q125=0,$W125,IF(AND($S125&lt;&gt;"",EDATE($D125,Milestones!$AA$171)&gt;=$S125),$V125,IF(AND($R125&lt;&gt;"",EDATE($D125,Milestones!$AA$171)&gt;=$R125),$U125,$T125)))=Milestones!$AB$171),TEXT(EDATE($D125,Milestones!$AA$171),"dd/mm/yy")&amp;" "&amp;Milestones!$AB$171&amp;" "&amp;Milestones!$AC$171&amp;";  ","")&amp;IF(AND(EDATE($D125,Milestones!$AA$172)&lt;=AsOfDate,IF($Q125=0,$W125,IF(AND($S125&lt;&gt;"",EDATE($D125,Milestones!$AA$172)&gt;=$S125),$V125,IF(AND($R125&lt;&gt;"",EDATE($D125,Milestones!$AA$172)&gt;=$R125),$U125,$T125)))=Milestones!$AB$172),TEXT(EDATE($D125,Milestones!$AA$172),"dd/mm/yy")&amp;" "&amp;Milestones!$AB$172&amp;" "&amp;Milestones!$AC$172&amp;";  ","")&amp;IF(AND(EDATE($D125,Milestones!$AA$173)&lt;=AsOfDate,IF($Q125=0,$W125,IF(AND($S125&lt;&gt;"",EDATE($D125,Milestones!$AA$173)&gt;=$S125),$V125,IF(AND($R125&lt;&gt;"",EDATE($D125,Milestones!$AA$173)&gt;=$R125),$U125,$T125)))=Milestones!$AB$173),TEXT(EDATE($D125,Milestones!$AA$173),"dd/mm/yy")&amp;" "&amp;Milestones!$AB$173&amp;" "&amp;Milestones!$AC$173&amp;";  ","")&amp;IF(AND(EDATE($D125,Milestones!$AA$174)&lt;=AsOfDate,IF($Q125=0,$W125,IF(AND($S125&lt;&gt;"",EDATE($D125,Milestones!$AA$174)&gt;=$S125),$V125,IF(AND($R125&lt;&gt;"",EDATE($D125,Milestones!$AA$174)&gt;=$R125),$U125,$T125)))=Milestones!$AB$174),TEXT(EDATE($D125,Milestones!$AA$174),"dd/mm/yy")&amp;" "&amp;Milestones!$AB$174&amp;" "&amp;Milestones!$AC$174&amp;";  ","")&amp;IF(AND(EDATE($D125,Milestones!$AA$175)&lt;=AsOfDate,IF($Q125=0,$W125,IF(AND($S125&lt;&gt;"",EDATE($D125,Milestones!$AA$175)&gt;=$S125),$V125,IF(AND($R125&lt;&gt;"",EDATE($D125,Milestones!$AA$175)&gt;=$R125),$U125,$T125)))=Milestones!$AB$175),TEXT(EDATE($D125,Milestones!$AA$175),"dd/mm/yy")&amp;" "&amp;Milestones!$AB$175&amp;" "&amp;Milestones!$AC$175&amp;";  ","")&amp;IF(AND(EDATE($D125,Milestones!$AA$176)&lt;=AsOfDate,IF($Q125=0,$W125,IF(AND($S125&lt;&gt;"",EDATE($D125,Milestones!$AA$176)&gt;=$S125),$V125,IF(AND($R125&lt;&gt;"",EDATE($D125,Milestones!$AA$176)&gt;=$R125),$U125,$T125)))=Milestones!$AB$176),TEXT(EDATE($D125,Milestones!$AA$176),"dd/mm/yy")&amp;" "&amp;Milestones!$AB$176&amp;" "&amp;Milestones!$AC$176&amp;";  ","")&amp;IF(AND(EDATE($D125,Milestones!$AA$177)&lt;=AsOfDate,IF($Q125=0,$W125,IF(AND($S125&lt;&gt;"",EDATE($D125,Milestones!$AA$177)&gt;=$S125),$V125,IF(AND($R125&lt;&gt;"",EDATE($D125,Milestones!$AA$177)&gt;=$R125),$U125,$T125)))=Milestones!$AB$177),TEXT(EDATE($D125,Milestones!$AA$177),"dd/mm/yy")&amp;" "&amp;Milestones!$AB$177&amp;" "&amp;Milestones!$AC$177&amp;";  ","")&amp;IF(AND(EDATE($D125,Milestones!$AA$178)&lt;=AsOfDate,IF($Q125=0,$W125,IF(AND($S125&lt;&gt;"",EDATE($D125,Milestones!$AA$178)&gt;=$S125),$V125,IF(AND($R125&lt;&gt;"",EDATE($D125,Milestones!$AA$178)&gt;=$R125),$U125,$T125)))=Milestones!$AB$178),TEXT(EDATE($D125,Milestones!$AA$178),"dd/mm/yy")&amp;" "&amp;Milestones!$AB$178&amp;" "&amp;Milestones!$AC$178&amp;";  ","")&amp;IF(AND(EDATE($D125,Milestones!$AA$179)&lt;=AsOfDate,IF($Q125=0,$W125,IF(AND($S125&lt;&gt;"",EDATE($D125,Milestones!$AA$179)&gt;=$S125),$V125,IF(AND($R125&lt;&gt;"",EDATE($D125,Milestones!$AA$179)&gt;=$R125),$U125,$T125)))=Milestones!$AB$179),TEXT(EDATE($D125,Milestones!$AA$179),"dd/mm/yy")&amp;" "&amp;Milestones!$AB$179&amp;" "&amp;Milestones!$AC$179&amp;";  ",""))</f>
        <v/>
      </c>
      <c r="P125" s="0" t="str">
        <f aca="false">IF(OR($A125="",$D125=""),"",IF(AND(EDATE($D125,Milestones!$AA$180)&lt;=AsOfDate,IF($Q125=0,$W125,IF(AND($S125&lt;&gt;"",EDATE($D125,Milestones!$AA$180)&gt;=$S125),$V125,IF(AND($R125&lt;&gt;"",EDATE($D125,Milestones!$AA$180)&gt;=$R125),$U125,$T125)))=Milestones!$AB$180),TEXT(EDATE($D125,Milestones!$AA$180),"dd/mm/yy")&amp;" "&amp;Milestones!$AB$180&amp;" "&amp;Milestones!$AC$180&amp;";  ","")&amp;IF(AND(EDATE($D125,Milestones!$AA$181)&lt;=AsOfDate,IF($Q125=0,$W125,IF(AND($S125&lt;&gt;"",EDATE($D125,Milestones!$AA$181)&gt;=$S125),$V125,IF(AND($R125&lt;&gt;"",EDATE($D125,Milestones!$AA$181)&gt;=$R125),$U125,$T125)))=Milestones!$AB$181),TEXT(EDATE($D125,Milestones!$AA$181),"dd/mm/yy")&amp;" "&amp;Milestones!$AB$181&amp;" "&amp;Milestones!$AC$181&amp;";  ","")&amp;IF(AND(EDATE($D125,Milestones!$AA$182)&lt;=AsOfDate,IF($Q125=0,$W125,IF(AND($S125&lt;&gt;"",EDATE($D125,Milestones!$AA$182)&gt;=$S125),$V125,IF(AND($R125&lt;&gt;"",EDATE($D125,Milestones!$AA$182)&gt;=$R125),$U125,$T125)))=Milestones!$AB$182),TEXT(EDATE($D125,Milestones!$AA$182),"dd/mm/yy")&amp;" "&amp;Milestones!$AB$182&amp;" "&amp;Milestones!$AC$182&amp;";  ","")&amp;IF(AND(EDATE($D125,Milestones!$AA$183)&lt;=AsOfDate,IF($Q125=0,$W125,IF(AND($S125&lt;&gt;"",EDATE($D125,Milestones!$AA$183)&gt;=$S125),$V125,IF(AND($R125&lt;&gt;"",EDATE($D125,Milestones!$AA$183)&gt;=$R125),$U125,$T125)))=Milestones!$AB$183),TEXT(EDATE($D125,Milestones!$AA$183),"dd/mm/yy")&amp;" "&amp;Milestones!$AB$183&amp;" "&amp;Milestones!$AC$183&amp;";  ","")&amp;IF(AND(EDATE($D125,Milestones!$AA$184)&lt;=AsOfDate,IF($Q125=0,$W125,IF(AND($S125&lt;&gt;"",EDATE($D125,Milestones!$AA$184)&gt;=$S125),$V125,IF(AND($R125&lt;&gt;"",EDATE($D125,Milestones!$AA$184)&gt;=$R125),$U125,$T125)))=Milestones!$AB$184),TEXT(EDATE($D125,Milestones!$AA$184),"dd/mm/yy")&amp;" "&amp;Milestones!$AB$184&amp;" "&amp;Milestones!$AC$184&amp;";  ","")&amp;IF(AND(EDATE($D125,Milestones!$AA$185)&lt;=AsOfDate,IF($Q125=0,$W125,IF(AND($S125&lt;&gt;"",EDATE($D125,Milestones!$AA$185)&gt;=$S125),$V125,IF(AND($R125&lt;&gt;"",EDATE($D125,Milestones!$AA$185)&gt;=$R125),$U125,$T125)))=Milestones!$AB$185),TEXT(EDATE($D125,Milestones!$AA$185),"dd/mm/yy")&amp;" "&amp;Milestones!$AB$185&amp;" "&amp;Milestones!$AC$185&amp;";  ","")&amp;IF(AND(EDATE($D125,Milestones!$AA$186)&lt;=AsOfDate,IF($Q125=0,$W125,IF(AND($S125&lt;&gt;"",EDATE($D125,Milestones!$AA$186)&gt;=$S125),$V125,IF(AND($R125&lt;&gt;"",EDATE($D125,Milestones!$AA$186)&gt;=$R125),$U125,$T125)))=Milestones!$AB$186),TEXT(EDATE($D125,Milestones!$AA$186),"dd/mm/yy")&amp;" "&amp;Milestones!$AB$186&amp;" "&amp;Milestones!$AC$186&amp;";  ","")&amp;IF(AND(EDATE($D125,Milestones!$AA$187)&lt;=AsOfDate,IF($Q125=0,$W125,IF(AND($S125&lt;&gt;"",EDATE($D125,Milestones!$AA$187)&gt;=$S125),$V125,IF(AND($R125&lt;&gt;"",EDATE($D125,Milestones!$AA$187)&gt;=$R125),$U125,$T125)))=Milestones!$AB$187),TEXT(EDATE($D125,Milestones!$AA$187),"dd/mm/yy")&amp;" "&amp;Milestones!$AB$187&amp;" "&amp;Milestones!$AC$187&amp;";  ","")&amp;IF(AND(EDATE($D125,Milestones!$AA$188)&lt;=AsOfDate,IF($Q125=0,$W125,IF(AND($S125&lt;&gt;"",EDATE($D125,Milestones!$AA$188)&gt;=$S125),$V125,IF(AND($R125&lt;&gt;"",EDATE($D125,Milestones!$AA$188)&gt;=$R125),$U125,$T125)))=Milestones!$AB$188),TEXT(EDATE($D125,Milestones!$AA$188),"dd/mm/yy")&amp;" "&amp;Milestones!$AB$188&amp;" "&amp;Milestones!$AC$188&amp;";  ","")&amp;IF(AND(EDATE($D125,Milestones!$AA$189)&lt;=AsOfDate,IF($Q125=0,$W125,IF(AND($S125&lt;&gt;"",EDATE($D125,Milestones!$AA$189)&gt;=$S125),$V125,IF(AND($R125&lt;&gt;"",EDATE($D125,Milestones!$AA$189)&gt;=$R125),$U125,$T125)))=Milestones!$AB$189),TEXT(EDATE($D125,Milestones!$AA$189),"dd/mm/yy")&amp;" "&amp;Milestones!$AB$189&amp;" "&amp;Milestones!$AC$189&amp;";  ","")&amp;IF(AND(EDATE($D125,Milestones!$AA$190)&lt;=AsOfDate,IF($Q125=0,$W125,IF(AND($S125&lt;&gt;"",EDATE($D125,Milestones!$AA$190)&gt;=$S125),$V125,IF(AND($R125&lt;&gt;"",EDATE($D125,Milestones!$AA$190)&gt;=$R125),$U125,$T125)))=Milestones!$AB$190),TEXT(EDATE($D125,Milestones!$AA$190),"dd/mm/yy")&amp;" "&amp;Milestones!$AB$190&amp;" "&amp;Milestones!$AC$190&amp;";  ","")&amp;IF(AND(EDATE($D125,Milestones!$AA$191)&lt;=AsOfDate,IF($Q125=0,$W125,IF(AND($S125&lt;&gt;"",EDATE($D125,Milestones!$AA$191)&gt;=$S125),$V125,IF(AND($R125&lt;&gt;"",EDATE($D125,Milestones!$AA$191)&gt;=$R125),$U125,$T125)))=Milestones!$AB$191),TEXT(EDATE($D125,Milestones!$AA$191),"dd/mm/yy")&amp;" "&amp;Milestones!$AB$191&amp;" "&amp;Milestones!$AC$191&amp;";  ","")&amp;IF(AND(EDATE($D125,Milestones!$AA$192)&lt;=AsOfDate,IF($Q125=0,$W125,IF(AND($S125&lt;&gt;"",EDATE($D125,Milestones!$AA$192)&gt;=$S125),$V125,IF(AND($R125&lt;&gt;"",EDATE($D125,Milestones!$AA$192)&gt;=$R125),$U125,$T125)))=Milestones!$AB$192),TEXT(EDATE($D125,Milestones!$AA$192),"dd/mm/yy")&amp;" "&amp;Milestones!$AB$192&amp;" "&amp;Milestones!$AC$192&amp;";  ","")&amp;IF(AND(EDATE($D125,Milestones!$AA$193)&lt;=AsOfDate,IF($Q125=0,$W125,IF(AND($S125&lt;&gt;"",EDATE($D125,Milestones!$AA$193)&gt;=$S125),$V125,IF(AND($R125&lt;&gt;"",EDATE($D125,Milestones!$AA$193)&gt;=$R125),$U125,$T125)))=Milestones!$AB$193),TEXT(EDATE($D125,Milestones!$AA$193),"dd/mm/yy")&amp;" "&amp;Milestones!$AB$193&amp;" "&amp;Milestones!$AC$193&amp;";  ","")&amp;IF(AND(EDATE($D125,Milestones!$AA$194)&lt;=AsOfDate,IF($Q125=0,$W125,IF(AND($S125&lt;&gt;"",EDATE($D125,Milestones!$AA$194)&gt;=$S125),$V125,IF(AND($R125&lt;&gt;"",EDATE($D125,Milestones!$AA$194)&gt;=$R125),$U125,$T125)))=Milestones!$AB$194),TEXT(EDATE($D125,Milestones!$AA$194),"dd/mm/yy")&amp;" "&amp;Milestones!$AB$194&amp;" "&amp;Milestones!$AC$194&amp;";  ","")&amp;IF(AND(EDATE($D125,Milestones!$AA$195)&lt;=AsOfDate,IF($Q125=0,$W125,IF(AND($S125&lt;&gt;"",EDATE($D125,Milestones!$AA$195)&gt;=$S125),$V125,IF(AND($R125&lt;&gt;"",EDATE($D125,Milestones!$AA$195)&gt;=$R125),$U125,$T125)))=Milestones!$AB$195),TEXT(EDATE($D125,Milestones!$AA$195),"dd/mm/yy")&amp;" "&amp;Milestones!$AB$195&amp;" "&amp;Milestones!$AC$195&amp;";  ","")&amp;IF(AND(EDATE($D125,Milestones!$AA$196)&lt;=AsOfDate,IF($Q125=0,$W125,IF(AND($S125&lt;&gt;"",EDATE($D125,Milestones!$AA$196)&gt;=$S125),$V125,IF(AND($R125&lt;&gt;"",EDATE($D125,Milestones!$AA$196)&gt;=$R125),$U125,$T125)))=Milestones!$AB$196),TEXT(EDATE($D125,Milestones!$AA$196),"dd/mm/yy")&amp;" "&amp;Milestones!$AB$196&amp;" "&amp;Milestones!$AC$196&amp;";  ","")&amp;IF(AND(EDATE($D125,Milestones!$AA$197)&lt;=AsOfDate,IF($Q125=0,$W125,IF(AND($S125&lt;&gt;"",EDATE($D125,Milestones!$AA$197)&gt;=$S125),$V125,IF(AND($R125&lt;&gt;"",EDATE($D125,Milestones!$AA$197)&gt;=$R125),$U125,$T125)))=Milestones!$AB$197),TEXT(EDATE($D125,Milestones!$AA$197),"dd/mm/yy")&amp;" "&amp;Milestones!$AB$197&amp;" "&amp;Milestones!$AC$197&amp;";  ","")&amp;IF(AND(EDATE($D125,Milestones!$AA$198)&lt;=AsOfDate,IF($Q125=0,$W125,IF(AND($S125&lt;&gt;"",EDATE($D125,Milestones!$AA$198)&gt;=$S125),$V125,IF(AND($R125&lt;&gt;"",EDATE($D125,Milestones!$AA$198)&gt;=$R125),$U125,$T125)))=Milestones!$AB$198),TEXT(EDATE($D125,Milestones!$AA$198),"dd/mm/yy")&amp;" "&amp;Milestones!$AB$198&amp;" "&amp;Milestones!$AC$198&amp;";  ","")&amp;IF(AND(EDATE($D125,Milestones!$AA$199)&lt;=AsOfDate,IF($Q125=0,$W125,IF(AND($S125&lt;&gt;"",EDATE($D125,Milestones!$AA$199)&gt;=$S125),$V125,IF(AND($R125&lt;&gt;"",EDATE($D125,Milestones!$AA$199)&gt;=$R125),$U125,$T125)))=Milestones!$AB$199),TEXT(EDATE($D125,Milestones!$AA$199),"dd/mm/yy")&amp;" "&amp;Milestones!$AB$199&amp;" "&amp;Milestones!$AC$199&amp;";  ",""))</f>
        <v/>
      </c>
      <c r="Q125" s="0" t="str">
        <f aca="false">IF(Staff!$A125="","",Staff!$AG125)</f>
        <v/>
      </c>
      <c r="R125" s="0" t="str">
        <f aca="false">IF(Staff!$A125="","",Staff!$AI125)</f>
        <v/>
      </c>
      <c r="S125" s="0" t="str">
        <f aca="false">IF(Staff!$A125="","",Staff!$AJ125)</f>
        <v/>
      </c>
      <c r="T125" s="0" t="str">
        <f aca="false">IF(Staff!$A125="","",Staff!$AN125)</f>
        <v/>
      </c>
      <c r="U125" s="0" t="str">
        <f aca="false">IF(Staff!$A125="","",Staff!$AO125)</f>
        <v/>
      </c>
      <c r="V125" s="0" t="str">
        <f aca="false">IF(Staff!$A125="","",Staff!$AP125)</f>
        <v/>
      </c>
      <c r="W125" s="0" t="str">
        <f aca="false">IF(Staff!$A125="","",Staff!$AQ125)</f>
        <v/>
      </c>
    </row>
    <row r="126" customFormat="false" ht="15" hidden="false" customHeight="false" outlineLevel="0" collapsed="false">
      <c r="A126" s="13" t="str">
        <f aca="false">IF(Staff!$A126="","",Staff!$A126)</f>
        <v/>
      </c>
      <c r="B126" s="13" t="str">
        <f aca="false">IF(Staff!$A126="","",Staff!$B126)</f>
        <v/>
      </c>
      <c r="C126" s="13" t="str">
        <f aca="false">IF(Staff!$A126="","",Staff!$C126)</f>
        <v/>
      </c>
      <c r="D126" s="11" t="str">
        <f aca="false">IF(Staff!$A126="","",Staff!$AF126)</f>
        <v/>
      </c>
      <c r="E126" s="13" t="str">
        <f aca="false">IF(Staff!$A126="","",Staff!$O126)</f>
        <v/>
      </c>
      <c r="F126" s="13" t="str">
        <f aca="false">IF(E126="","",E126*HoursPerDay)</f>
        <v/>
      </c>
      <c r="G126" s="26" t="str">
        <f aca="false">IF($A126="","",H126&amp;I126&amp;J126&amp;K126&amp;L126&amp;M126&amp;N126&amp;O126&amp;P126)</f>
        <v/>
      </c>
      <c r="H126" s="0" t="str">
        <f aca="false">IF(OR($A126="",$D126=""),"",IF(AND(EDATE($D126,Milestones!$AA$20)&lt;=AsOfDate,IF($Q126=0,$W126,IF(AND($S126&lt;&gt;"",EDATE($D126,Milestones!$AA$20)&gt;=$S126),$V126,IF(AND($R126&lt;&gt;"",EDATE($D126,Milestones!$AA$20)&gt;=$R126),$U126,$T126)))=Milestones!$AB$20),TEXT(EDATE($D126,Milestones!$AA$20),"dd/mm/yy")&amp;" "&amp;Milestones!$AB$20&amp;" "&amp;Milestones!$AC$20&amp;";  ","")&amp;IF(AND(EDATE($D126,Milestones!$AA$21)&lt;=AsOfDate,IF($Q126=0,$W126,IF(AND($S126&lt;&gt;"",EDATE($D126,Milestones!$AA$21)&gt;=$S126),$V126,IF(AND($R126&lt;&gt;"",EDATE($D126,Milestones!$AA$21)&gt;=$R126),$U126,$T126)))=Milestones!$AB$21),TEXT(EDATE($D126,Milestones!$AA$21),"dd/mm/yy")&amp;" "&amp;Milestones!$AB$21&amp;" "&amp;Milestones!$AC$21&amp;";  ","")&amp;IF(AND(EDATE($D126,Milestones!$AA$22)&lt;=AsOfDate,IF($Q126=0,$W126,IF(AND($S126&lt;&gt;"",EDATE($D126,Milestones!$AA$22)&gt;=$S126),$V126,IF(AND($R126&lt;&gt;"",EDATE($D126,Milestones!$AA$22)&gt;=$R126),$U126,$T126)))=Milestones!$AB$22),TEXT(EDATE($D126,Milestones!$AA$22),"dd/mm/yy")&amp;" "&amp;Milestones!$AB$22&amp;" "&amp;Milestones!$AC$22&amp;";  ","")&amp;IF(AND(EDATE($D126,Milestones!$AA$23)&lt;=AsOfDate,IF($Q126=0,$W126,IF(AND($S126&lt;&gt;"",EDATE($D126,Milestones!$AA$23)&gt;=$S126),$V126,IF(AND($R126&lt;&gt;"",EDATE($D126,Milestones!$AA$23)&gt;=$R126),$U126,$T126)))=Milestones!$AB$23),TEXT(EDATE($D126,Milestones!$AA$23),"dd/mm/yy")&amp;" "&amp;Milestones!$AB$23&amp;" "&amp;Milestones!$AC$23&amp;";  ","")&amp;IF(AND(EDATE($D126,Milestones!$AA$24)&lt;=AsOfDate,IF($Q126=0,$W126,IF(AND($S126&lt;&gt;"",EDATE($D126,Milestones!$AA$24)&gt;=$S126),$V126,IF(AND($R126&lt;&gt;"",EDATE($D126,Milestones!$AA$24)&gt;=$R126),$U126,$T126)))=Milestones!$AB$24),TEXT(EDATE($D126,Milestones!$AA$24),"dd/mm/yy")&amp;" "&amp;Milestones!$AB$24&amp;" "&amp;Milestones!$AC$24&amp;";  ","")&amp;IF(AND(EDATE($D126,Milestones!$AA$25)&lt;=AsOfDate,IF($Q126=0,$W126,IF(AND($S126&lt;&gt;"",EDATE($D126,Milestones!$AA$25)&gt;=$S126),$V126,IF(AND($R126&lt;&gt;"",EDATE($D126,Milestones!$AA$25)&gt;=$R126),$U126,$T126)))=Milestones!$AB$25),TEXT(EDATE($D126,Milestones!$AA$25),"dd/mm/yy")&amp;" "&amp;Milestones!$AB$25&amp;" "&amp;Milestones!$AC$25&amp;";  ","")&amp;IF(AND(EDATE($D126,Milestones!$AA$26)&lt;=AsOfDate,IF($Q126=0,$W126,IF(AND($S126&lt;&gt;"",EDATE($D126,Milestones!$AA$26)&gt;=$S126),$V126,IF(AND($R126&lt;&gt;"",EDATE($D126,Milestones!$AA$26)&gt;=$R126),$U126,$T126)))=Milestones!$AB$26),TEXT(EDATE($D126,Milestones!$AA$26),"dd/mm/yy")&amp;" "&amp;Milestones!$AB$26&amp;" "&amp;Milestones!$AC$26&amp;";  ","")&amp;IF(AND(EDATE($D126,Milestones!$AA$27)&lt;=AsOfDate,IF($Q126=0,$W126,IF(AND($S126&lt;&gt;"",EDATE($D126,Milestones!$AA$27)&gt;=$S126),$V126,IF(AND($R126&lt;&gt;"",EDATE($D126,Milestones!$AA$27)&gt;=$R126),$U126,$T126)))=Milestones!$AB$27),TEXT(EDATE($D126,Milestones!$AA$27),"dd/mm/yy")&amp;" "&amp;Milestones!$AB$27&amp;" "&amp;Milestones!$AC$27&amp;";  ","")&amp;IF(AND(EDATE($D126,Milestones!$AA$28)&lt;=AsOfDate,IF($Q126=0,$W126,IF(AND($S126&lt;&gt;"",EDATE($D126,Milestones!$AA$28)&gt;=$S126),$V126,IF(AND($R126&lt;&gt;"",EDATE($D126,Milestones!$AA$28)&gt;=$R126),$U126,$T126)))=Milestones!$AB$28),TEXT(EDATE($D126,Milestones!$AA$28),"dd/mm/yy")&amp;" "&amp;Milestones!$AB$28&amp;" "&amp;Milestones!$AC$28&amp;";  ","")&amp;IF(AND(EDATE($D126,Milestones!$AA$29)&lt;=AsOfDate,IF($Q126=0,$W126,IF(AND($S126&lt;&gt;"",EDATE($D126,Milestones!$AA$29)&gt;=$S126),$V126,IF(AND($R126&lt;&gt;"",EDATE($D126,Milestones!$AA$29)&gt;=$R126),$U126,$T126)))=Milestones!$AB$29),TEXT(EDATE($D126,Milestones!$AA$29),"dd/mm/yy")&amp;" "&amp;Milestones!$AB$29&amp;" "&amp;Milestones!$AC$29&amp;";  ","")&amp;IF(AND(EDATE($D126,Milestones!$AA$30)&lt;=AsOfDate,IF($Q126=0,$W126,IF(AND($S126&lt;&gt;"",EDATE($D126,Milestones!$AA$30)&gt;=$S126),$V126,IF(AND($R126&lt;&gt;"",EDATE($D126,Milestones!$AA$30)&gt;=$R126),$U126,$T126)))=Milestones!$AB$30),TEXT(EDATE($D126,Milestones!$AA$30),"dd/mm/yy")&amp;" "&amp;Milestones!$AB$30&amp;" "&amp;Milestones!$AC$30&amp;";  ","")&amp;IF(AND(EDATE($D126,Milestones!$AA$31)&lt;=AsOfDate,IF($Q126=0,$W126,IF(AND($S126&lt;&gt;"",EDATE($D126,Milestones!$AA$31)&gt;=$S126),$V126,IF(AND($R126&lt;&gt;"",EDATE($D126,Milestones!$AA$31)&gt;=$R126),$U126,$T126)))=Milestones!$AB$31),TEXT(EDATE($D126,Milestones!$AA$31),"dd/mm/yy")&amp;" "&amp;Milestones!$AB$31&amp;" "&amp;Milestones!$AC$31&amp;";  ","")&amp;IF(AND(EDATE($D126,Milestones!$AA$32)&lt;=AsOfDate,IF($Q126=0,$W126,IF(AND($S126&lt;&gt;"",EDATE($D126,Milestones!$AA$32)&gt;=$S126),$V126,IF(AND($R126&lt;&gt;"",EDATE($D126,Milestones!$AA$32)&gt;=$R126),$U126,$T126)))=Milestones!$AB$32),TEXT(EDATE($D126,Milestones!$AA$32),"dd/mm/yy")&amp;" "&amp;Milestones!$AB$32&amp;" "&amp;Milestones!$AC$32&amp;";  ","")&amp;IF(AND(EDATE($D126,Milestones!$AA$33)&lt;=AsOfDate,IF($Q126=0,$W126,IF(AND($S126&lt;&gt;"",EDATE($D126,Milestones!$AA$33)&gt;=$S126),$V126,IF(AND($R126&lt;&gt;"",EDATE($D126,Milestones!$AA$33)&gt;=$R126),$U126,$T126)))=Milestones!$AB$33),TEXT(EDATE($D126,Milestones!$AA$33),"dd/mm/yy")&amp;" "&amp;Milestones!$AB$33&amp;" "&amp;Milestones!$AC$33&amp;";  ","")&amp;IF(AND(EDATE($D126,Milestones!$AA$34)&lt;=AsOfDate,IF($Q126=0,$W126,IF(AND($S126&lt;&gt;"",EDATE($D126,Milestones!$AA$34)&gt;=$S126),$V126,IF(AND($R126&lt;&gt;"",EDATE($D126,Milestones!$AA$34)&gt;=$R126),$U126,$T126)))=Milestones!$AB$34),TEXT(EDATE($D126,Milestones!$AA$34),"dd/mm/yy")&amp;" "&amp;Milestones!$AB$34&amp;" "&amp;Milestones!$AC$34&amp;";  ","")&amp;IF(AND(EDATE($D126,Milestones!$AA$35)&lt;=AsOfDate,IF($Q126=0,$W126,IF(AND($S126&lt;&gt;"",EDATE($D126,Milestones!$AA$35)&gt;=$S126),$V126,IF(AND($R126&lt;&gt;"",EDATE($D126,Milestones!$AA$35)&gt;=$R126),$U126,$T126)))=Milestones!$AB$35),TEXT(EDATE($D126,Milestones!$AA$35),"dd/mm/yy")&amp;" "&amp;Milestones!$AB$35&amp;" "&amp;Milestones!$AC$35&amp;";  ","")&amp;IF(AND(EDATE($D126,Milestones!$AA$36)&lt;=AsOfDate,IF($Q126=0,$W126,IF(AND($S126&lt;&gt;"",EDATE($D126,Milestones!$AA$36)&gt;=$S126),$V126,IF(AND($R126&lt;&gt;"",EDATE($D126,Milestones!$AA$36)&gt;=$R126),$U126,$T126)))=Milestones!$AB$36),TEXT(EDATE($D126,Milestones!$AA$36),"dd/mm/yy")&amp;" "&amp;Milestones!$AB$36&amp;" "&amp;Milestones!$AC$36&amp;";  ","")&amp;IF(AND(EDATE($D126,Milestones!$AA$37)&lt;=AsOfDate,IF($Q126=0,$W126,IF(AND($S126&lt;&gt;"",EDATE($D126,Milestones!$AA$37)&gt;=$S126),$V126,IF(AND($R126&lt;&gt;"",EDATE($D126,Milestones!$AA$37)&gt;=$R126),$U126,$T126)))=Milestones!$AB$37),TEXT(EDATE($D126,Milestones!$AA$37),"dd/mm/yy")&amp;" "&amp;Milestones!$AB$37&amp;" "&amp;Milestones!$AC$37&amp;";  ","")&amp;IF(AND(EDATE($D126,Milestones!$AA$38)&lt;=AsOfDate,IF($Q126=0,$W126,IF(AND($S126&lt;&gt;"",EDATE($D126,Milestones!$AA$38)&gt;=$S126),$V126,IF(AND($R126&lt;&gt;"",EDATE($D126,Milestones!$AA$38)&gt;=$R126),$U126,$T126)))=Milestones!$AB$38),TEXT(EDATE($D126,Milestones!$AA$38),"dd/mm/yy")&amp;" "&amp;Milestones!$AB$38&amp;" "&amp;Milestones!$AC$38&amp;";  ","")&amp;IF(AND(EDATE($D126,Milestones!$AA$39)&lt;=AsOfDate,IF($Q126=0,$W126,IF(AND($S126&lt;&gt;"",EDATE($D126,Milestones!$AA$39)&gt;=$S126),$V126,IF(AND($R126&lt;&gt;"",EDATE($D126,Milestones!$AA$39)&gt;=$R126),$U126,$T126)))=Milestones!$AB$39),TEXT(EDATE($D126,Milestones!$AA$39),"dd/mm/yy")&amp;" "&amp;Milestones!$AB$39&amp;" "&amp;Milestones!$AC$39&amp;";  ",""))</f>
        <v/>
      </c>
      <c r="I126" s="0" t="str">
        <f aca="false">IF(OR($A126="",$D126=""),"",IF(AND(EDATE($D126,Milestones!$AA$40)&lt;=AsOfDate,IF($Q126=0,$W126,IF(AND($S126&lt;&gt;"",EDATE($D126,Milestones!$AA$40)&gt;=$S126),$V126,IF(AND($R126&lt;&gt;"",EDATE($D126,Milestones!$AA$40)&gt;=$R126),$U126,$T126)))=Milestones!$AB$40),TEXT(EDATE($D126,Milestones!$AA$40),"dd/mm/yy")&amp;" "&amp;Milestones!$AB$40&amp;" "&amp;Milestones!$AC$40&amp;";  ","")&amp;IF(AND(EDATE($D126,Milestones!$AA$41)&lt;=AsOfDate,IF($Q126=0,$W126,IF(AND($S126&lt;&gt;"",EDATE($D126,Milestones!$AA$41)&gt;=$S126),$V126,IF(AND($R126&lt;&gt;"",EDATE($D126,Milestones!$AA$41)&gt;=$R126),$U126,$T126)))=Milestones!$AB$41),TEXT(EDATE($D126,Milestones!$AA$41),"dd/mm/yy")&amp;" "&amp;Milestones!$AB$41&amp;" "&amp;Milestones!$AC$41&amp;";  ","")&amp;IF(AND(EDATE($D126,Milestones!$AA$42)&lt;=AsOfDate,IF($Q126=0,$W126,IF(AND($S126&lt;&gt;"",EDATE($D126,Milestones!$AA$42)&gt;=$S126),$V126,IF(AND($R126&lt;&gt;"",EDATE($D126,Milestones!$AA$42)&gt;=$R126),$U126,$T126)))=Milestones!$AB$42),TEXT(EDATE($D126,Milestones!$AA$42),"dd/mm/yy")&amp;" "&amp;Milestones!$AB$42&amp;" "&amp;Milestones!$AC$42&amp;";  ","")&amp;IF(AND(EDATE($D126,Milestones!$AA$43)&lt;=AsOfDate,IF($Q126=0,$W126,IF(AND($S126&lt;&gt;"",EDATE($D126,Milestones!$AA$43)&gt;=$S126),$V126,IF(AND($R126&lt;&gt;"",EDATE($D126,Milestones!$AA$43)&gt;=$R126),$U126,$T126)))=Milestones!$AB$43),TEXT(EDATE($D126,Milestones!$AA$43),"dd/mm/yy")&amp;" "&amp;Milestones!$AB$43&amp;" "&amp;Milestones!$AC$43&amp;";  ","")&amp;IF(AND(EDATE($D126,Milestones!$AA$44)&lt;=AsOfDate,IF($Q126=0,$W126,IF(AND($S126&lt;&gt;"",EDATE($D126,Milestones!$AA$44)&gt;=$S126),$V126,IF(AND($R126&lt;&gt;"",EDATE($D126,Milestones!$AA$44)&gt;=$R126),$U126,$T126)))=Milestones!$AB$44),TEXT(EDATE($D126,Milestones!$AA$44),"dd/mm/yy")&amp;" "&amp;Milestones!$AB$44&amp;" "&amp;Milestones!$AC$44&amp;";  ","")&amp;IF(AND(EDATE($D126,Milestones!$AA$45)&lt;=AsOfDate,IF($Q126=0,$W126,IF(AND($S126&lt;&gt;"",EDATE($D126,Milestones!$AA$45)&gt;=$S126),$V126,IF(AND($R126&lt;&gt;"",EDATE($D126,Milestones!$AA$45)&gt;=$R126),$U126,$T126)))=Milestones!$AB$45),TEXT(EDATE($D126,Milestones!$AA$45),"dd/mm/yy")&amp;" "&amp;Milestones!$AB$45&amp;" "&amp;Milestones!$AC$45&amp;";  ","")&amp;IF(AND(EDATE($D126,Milestones!$AA$46)&lt;=AsOfDate,IF($Q126=0,$W126,IF(AND($S126&lt;&gt;"",EDATE($D126,Milestones!$AA$46)&gt;=$S126),$V126,IF(AND($R126&lt;&gt;"",EDATE($D126,Milestones!$AA$46)&gt;=$R126),$U126,$T126)))=Milestones!$AB$46),TEXT(EDATE($D126,Milestones!$AA$46),"dd/mm/yy")&amp;" "&amp;Milestones!$AB$46&amp;" "&amp;Milestones!$AC$46&amp;";  ","")&amp;IF(AND(EDATE($D126,Milestones!$AA$47)&lt;=AsOfDate,IF($Q126=0,$W126,IF(AND($S126&lt;&gt;"",EDATE($D126,Milestones!$AA$47)&gt;=$S126),$V126,IF(AND($R126&lt;&gt;"",EDATE($D126,Milestones!$AA$47)&gt;=$R126),$U126,$T126)))=Milestones!$AB$47),TEXT(EDATE($D126,Milestones!$AA$47),"dd/mm/yy")&amp;" "&amp;Milestones!$AB$47&amp;" "&amp;Milestones!$AC$47&amp;";  ","")&amp;IF(AND(EDATE($D126,Milestones!$AA$48)&lt;=AsOfDate,IF($Q126=0,$W126,IF(AND($S126&lt;&gt;"",EDATE($D126,Milestones!$AA$48)&gt;=$S126),$V126,IF(AND($R126&lt;&gt;"",EDATE($D126,Milestones!$AA$48)&gt;=$R126),$U126,$T126)))=Milestones!$AB$48),TEXT(EDATE($D126,Milestones!$AA$48),"dd/mm/yy")&amp;" "&amp;Milestones!$AB$48&amp;" "&amp;Milestones!$AC$48&amp;";  ","")&amp;IF(AND(EDATE($D126,Milestones!$AA$49)&lt;=AsOfDate,IF($Q126=0,$W126,IF(AND($S126&lt;&gt;"",EDATE($D126,Milestones!$AA$49)&gt;=$S126),$V126,IF(AND($R126&lt;&gt;"",EDATE($D126,Milestones!$AA$49)&gt;=$R126),$U126,$T126)))=Milestones!$AB$49),TEXT(EDATE($D126,Milestones!$AA$49),"dd/mm/yy")&amp;" "&amp;Milestones!$AB$49&amp;" "&amp;Milestones!$AC$49&amp;";  ","")&amp;IF(AND(EDATE($D126,Milestones!$AA$50)&lt;=AsOfDate,IF($Q126=0,$W126,IF(AND($S126&lt;&gt;"",EDATE($D126,Milestones!$AA$50)&gt;=$S126),$V126,IF(AND($R126&lt;&gt;"",EDATE($D126,Milestones!$AA$50)&gt;=$R126),$U126,$T126)))=Milestones!$AB$50),TEXT(EDATE($D126,Milestones!$AA$50),"dd/mm/yy")&amp;" "&amp;Milestones!$AB$50&amp;" "&amp;Milestones!$AC$50&amp;";  ","")&amp;IF(AND(EDATE($D126,Milestones!$AA$51)&lt;=AsOfDate,IF($Q126=0,$W126,IF(AND($S126&lt;&gt;"",EDATE($D126,Milestones!$AA$51)&gt;=$S126),$V126,IF(AND($R126&lt;&gt;"",EDATE($D126,Milestones!$AA$51)&gt;=$R126),$U126,$T126)))=Milestones!$AB$51),TEXT(EDATE($D126,Milestones!$AA$51),"dd/mm/yy")&amp;" "&amp;Milestones!$AB$51&amp;" "&amp;Milestones!$AC$51&amp;";  ","")&amp;IF(AND(EDATE($D126,Milestones!$AA$52)&lt;=AsOfDate,IF($Q126=0,$W126,IF(AND($S126&lt;&gt;"",EDATE($D126,Milestones!$AA$52)&gt;=$S126),$V126,IF(AND($R126&lt;&gt;"",EDATE($D126,Milestones!$AA$52)&gt;=$R126),$U126,$T126)))=Milestones!$AB$52),TEXT(EDATE($D126,Milestones!$AA$52),"dd/mm/yy")&amp;" "&amp;Milestones!$AB$52&amp;" "&amp;Milestones!$AC$52&amp;";  ","")&amp;IF(AND(EDATE($D126,Milestones!$AA$53)&lt;=AsOfDate,IF($Q126=0,$W126,IF(AND($S126&lt;&gt;"",EDATE($D126,Milestones!$AA$53)&gt;=$S126),$V126,IF(AND($R126&lt;&gt;"",EDATE($D126,Milestones!$AA$53)&gt;=$R126),$U126,$T126)))=Milestones!$AB$53),TEXT(EDATE($D126,Milestones!$AA$53),"dd/mm/yy")&amp;" "&amp;Milestones!$AB$53&amp;" "&amp;Milestones!$AC$53&amp;";  ","")&amp;IF(AND(EDATE($D126,Milestones!$AA$54)&lt;=AsOfDate,IF($Q126=0,$W126,IF(AND($S126&lt;&gt;"",EDATE($D126,Milestones!$AA$54)&gt;=$S126),$V126,IF(AND($R126&lt;&gt;"",EDATE($D126,Milestones!$AA$54)&gt;=$R126),$U126,$T126)))=Milestones!$AB$54),TEXT(EDATE($D126,Milestones!$AA$54),"dd/mm/yy")&amp;" "&amp;Milestones!$AB$54&amp;" "&amp;Milestones!$AC$54&amp;";  ","")&amp;IF(AND(EDATE($D126,Milestones!$AA$55)&lt;=AsOfDate,IF($Q126=0,$W126,IF(AND($S126&lt;&gt;"",EDATE($D126,Milestones!$AA$55)&gt;=$S126),$V126,IF(AND($R126&lt;&gt;"",EDATE($D126,Milestones!$AA$55)&gt;=$R126),$U126,$T126)))=Milestones!$AB$55),TEXT(EDATE($D126,Milestones!$AA$55),"dd/mm/yy")&amp;" "&amp;Milestones!$AB$55&amp;" "&amp;Milestones!$AC$55&amp;";  ","")&amp;IF(AND(EDATE($D126,Milestones!$AA$56)&lt;=AsOfDate,IF($Q126=0,$W126,IF(AND($S126&lt;&gt;"",EDATE($D126,Milestones!$AA$56)&gt;=$S126),$V126,IF(AND($R126&lt;&gt;"",EDATE($D126,Milestones!$AA$56)&gt;=$R126),$U126,$T126)))=Milestones!$AB$56),TEXT(EDATE($D126,Milestones!$AA$56),"dd/mm/yy")&amp;" "&amp;Milestones!$AB$56&amp;" "&amp;Milestones!$AC$56&amp;";  ","")&amp;IF(AND(EDATE($D126,Milestones!$AA$57)&lt;=AsOfDate,IF($Q126=0,$W126,IF(AND($S126&lt;&gt;"",EDATE($D126,Milestones!$AA$57)&gt;=$S126),$V126,IF(AND($R126&lt;&gt;"",EDATE($D126,Milestones!$AA$57)&gt;=$R126),$U126,$T126)))=Milestones!$AB$57),TEXT(EDATE($D126,Milestones!$AA$57),"dd/mm/yy")&amp;" "&amp;Milestones!$AB$57&amp;" "&amp;Milestones!$AC$57&amp;";  ","")&amp;IF(AND(EDATE($D126,Milestones!$AA$58)&lt;=AsOfDate,IF($Q126=0,$W126,IF(AND($S126&lt;&gt;"",EDATE($D126,Milestones!$AA$58)&gt;=$S126),$V126,IF(AND($R126&lt;&gt;"",EDATE($D126,Milestones!$AA$58)&gt;=$R126),$U126,$T126)))=Milestones!$AB$58),TEXT(EDATE($D126,Milestones!$AA$58),"dd/mm/yy")&amp;" "&amp;Milestones!$AB$58&amp;" "&amp;Milestones!$AC$58&amp;";  ","")&amp;IF(AND(EDATE($D126,Milestones!$AA$59)&lt;=AsOfDate,IF($Q126=0,$W126,IF(AND($S126&lt;&gt;"",EDATE($D126,Milestones!$AA$59)&gt;=$S126),$V126,IF(AND($R126&lt;&gt;"",EDATE($D126,Milestones!$AA$59)&gt;=$R126),$U126,$T126)))=Milestones!$AB$59),TEXT(EDATE($D126,Milestones!$AA$59),"dd/mm/yy")&amp;" "&amp;Milestones!$AB$59&amp;" "&amp;Milestones!$AC$59&amp;";  ",""))</f>
        <v/>
      </c>
      <c r="J126" s="0" t="str">
        <f aca="false">IF(OR($A126="",$D126=""),"",IF(AND(EDATE($D126,Milestones!$AA$60)&lt;=AsOfDate,IF($Q126=0,$W126,IF(AND($S126&lt;&gt;"",EDATE($D126,Milestones!$AA$60)&gt;=$S126),$V126,IF(AND($R126&lt;&gt;"",EDATE($D126,Milestones!$AA$60)&gt;=$R126),$U126,$T126)))=Milestones!$AB$60),TEXT(EDATE($D126,Milestones!$AA$60),"dd/mm/yy")&amp;" "&amp;Milestones!$AB$60&amp;" "&amp;Milestones!$AC$60&amp;";  ","")&amp;IF(AND(EDATE($D126,Milestones!$AA$61)&lt;=AsOfDate,IF($Q126=0,$W126,IF(AND($S126&lt;&gt;"",EDATE($D126,Milestones!$AA$61)&gt;=$S126),$V126,IF(AND($R126&lt;&gt;"",EDATE($D126,Milestones!$AA$61)&gt;=$R126),$U126,$T126)))=Milestones!$AB$61),TEXT(EDATE($D126,Milestones!$AA$61),"dd/mm/yy")&amp;" "&amp;Milestones!$AB$61&amp;" "&amp;Milestones!$AC$61&amp;";  ","")&amp;IF(AND(EDATE($D126,Milestones!$AA$62)&lt;=AsOfDate,IF($Q126=0,$W126,IF(AND($S126&lt;&gt;"",EDATE($D126,Milestones!$AA$62)&gt;=$S126),$V126,IF(AND($R126&lt;&gt;"",EDATE($D126,Milestones!$AA$62)&gt;=$R126),$U126,$T126)))=Milestones!$AB$62),TEXT(EDATE($D126,Milestones!$AA$62),"dd/mm/yy")&amp;" "&amp;Milestones!$AB$62&amp;" "&amp;Milestones!$AC$62&amp;";  ","")&amp;IF(AND(EDATE($D126,Milestones!$AA$63)&lt;=AsOfDate,IF($Q126=0,$W126,IF(AND($S126&lt;&gt;"",EDATE($D126,Milestones!$AA$63)&gt;=$S126),$V126,IF(AND($R126&lt;&gt;"",EDATE($D126,Milestones!$AA$63)&gt;=$R126),$U126,$T126)))=Milestones!$AB$63),TEXT(EDATE($D126,Milestones!$AA$63),"dd/mm/yy")&amp;" "&amp;Milestones!$AB$63&amp;" "&amp;Milestones!$AC$63&amp;";  ","")&amp;IF(AND(EDATE($D126,Milestones!$AA$64)&lt;=AsOfDate,IF($Q126=0,$W126,IF(AND($S126&lt;&gt;"",EDATE($D126,Milestones!$AA$64)&gt;=$S126),$V126,IF(AND($R126&lt;&gt;"",EDATE($D126,Milestones!$AA$64)&gt;=$R126),$U126,$T126)))=Milestones!$AB$64),TEXT(EDATE($D126,Milestones!$AA$64),"dd/mm/yy")&amp;" "&amp;Milestones!$AB$64&amp;" "&amp;Milestones!$AC$64&amp;";  ","")&amp;IF(AND(EDATE($D126,Milestones!$AA$65)&lt;=AsOfDate,IF($Q126=0,$W126,IF(AND($S126&lt;&gt;"",EDATE($D126,Milestones!$AA$65)&gt;=$S126),$V126,IF(AND($R126&lt;&gt;"",EDATE($D126,Milestones!$AA$65)&gt;=$R126),$U126,$T126)))=Milestones!$AB$65),TEXT(EDATE($D126,Milestones!$AA$65),"dd/mm/yy")&amp;" "&amp;Milestones!$AB$65&amp;" "&amp;Milestones!$AC$65&amp;";  ","")&amp;IF(AND(EDATE($D126,Milestones!$AA$66)&lt;=AsOfDate,IF($Q126=0,$W126,IF(AND($S126&lt;&gt;"",EDATE($D126,Milestones!$AA$66)&gt;=$S126),$V126,IF(AND($R126&lt;&gt;"",EDATE($D126,Milestones!$AA$66)&gt;=$R126),$U126,$T126)))=Milestones!$AB$66),TEXT(EDATE($D126,Milestones!$AA$66),"dd/mm/yy")&amp;" "&amp;Milestones!$AB$66&amp;" "&amp;Milestones!$AC$66&amp;";  ","")&amp;IF(AND(EDATE($D126,Milestones!$AA$67)&lt;=AsOfDate,IF($Q126=0,$W126,IF(AND($S126&lt;&gt;"",EDATE($D126,Milestones!$AA$67)&gt;=$S126),$V126,IF(AND($R126&lt;&gt;"",EDATE($D126,Milestones!$AA$67)&gt;=$R126),$U126,$T126)))=Milestones!$AB$67),TEXT(EDATE($D126,Milestones!$AA$67),"dd/mm/yy")&amp;" "&amp;Milestones!$AB$67&amp;" "&amp;Milestones!$AC$67&amp;";  ","")&amp;IF(AND(EDATE($D126,Milestones!$AA$68)&lt;=AsOfDate,IF($Q126=0,$W126,IF(AND($S126&lt;&gt;"",EDATE($D126,Milestones!$AA$68)&gt;=$S126),$V126,IF(AND($R126&lt;&gt;"",EDATE($D126,Milestones!$AA$68)&gt;=$R126),$U126,$T126)))=Milestones!$AB$68),TEXT(EDATE($D126,Milestones!$AA$68),"dd/mm/yy")&amp;" "&amp;Milestones!$AB$68&amp;" "&amp;Milestones!$AC$68&amp;";  ","")&amp;IF(AND(EDATE($D126,Milestones!$AA$69)&lt;=AsOfDate,IF($Q126=0,$W126,IF(AND($S126&lt;&gt;"",EDATE($D126,Milestones!$AA$69)&gt;=$S126),$V126,IF(AND($R126&lt;&gt;"",EDATE($D126,Milestones!$AA$69)&gt;=$R126),$U126,$T126)))=Milestones!$AB$69),TEXT(EDATE($D126,Milestones!$AA$69),"dd/mm/yy")&amp;" "&amp;Milestones!$AB$69&amp;" "&amp;Milestones!$AC$69&amp;";  ","")&amp;IF(AND(EDATE($D126,Milestones!$AA$70)&lt;=AsOfDate,IF($Q126=0,$W126,IF(AND($S126&lt;&gt;"",EDATE($D126,Milestones!$AA$70)&gt;=$S126),$V126,IF(AND($R126&lt;&gt;"",EDATE($D126,Milestones!$AA$70)&gt;=$R126),$U126,$T126)))=Milestones!$AB$70),TEXT(EDATE($D126,Milestones!$AA$70),"dd/mm/yy")&amp;" "&amp;Milestones!$AB$70&amp;" "&amp;Milestones!$AC$70&amp;";  ","")&amp;IF(AND(EDATE($D126,Milestones!$AA$71)&lt;=AsOfDate,IF($Q126=0,$W126,IF(AND($S126&lt;&gt;"",EDATE($D126,Milestones!$AA$71)&gt;=$S126),$V126,IF(AND($R126&lt;&gt;"",EDATE($D126,Milestones!$AA$71)&gt;=$R126),$U126,$T126)))=Milestones!$AB$71),TEXT(EDATE($D126,Milestones!$AA$71),"dd/mm/yy")&amp;" "&amp;Milestones!$AB$71&amp;" "&amp;Milestones!$AC$71&amp;";  ","")&amp;IF(AND(EDATE($D126,Milestones!$AA$72)&lt;=AsOfDate,IF($Q126=0,$W126,IF(AND($S126&lt;&gt;"",EDATE($D126,Milestones!$AA$72)&gt;=$S126),$V126,IF(AND($R126&lt;&gt;"",EDATE($D126,Milestones!$AA$72)&gt;=$R126),$U126,$T126)))=Milestones!$AB$72),TEXT(EDATE($D126,Milestones!$AA$72),"dd/mm/yy")&amp;" "&amp;Milestones!$AB$72&amp;" "&amp;Milestones!$AC$72&amp;";  ","")&amp;IF(AND(EDATE($D126,Milestones!$AA$73)&lt;=AsOfDate,IF($Q126=0,$W126,IF(AND($S126&lt;&gt;"",EDATE($D126,Milestones!$AA$73)&gt;=$S126),$V126,IF(AND($R126&lt;&gt;"",EDATE($D126,Milestones!$AA$73)&gt;=$R126),$U126,$T126)))=Milestones!$AB$73),TEXT(EDATE($D126,Milestones!$AA$73),"dd/mm/yy")&amp;" "&amp;Milestones!$AB$73&amp;" "&amp;Milestones!$AC$73&amp;";  ","")&amp;IF(AND(EDATE($D126,Milestones!$AA$74)&lt;=AsOfDate,IF($Q126=0,$W126,IF(AND($S126&lt;&gt;"",EDATE($D126,Milestones!$AA$74)&gt;=$S126),$V126,IF(AND($R126&lt;&gt;"",EDATE($D126,Milestones!$AA$74)&gt;=$R126),$U126,$T126)))=Milestones!$AB$74),TEXT(EDATE($D126,Milestones!$AA$74),"dd/mm/yy")&amp;" "&amp;Milestones!$AB$74&amp;" "&amp;Milestones!$AC$74&amp;";  ","")&amp;IF(AND(EDATE($D126,Milestones!$AA$75)&lt;=AsOfDate,IF($Q126=0,$W126,IF(AND($S126&lt;&gt;"",EDATE($D126,Milestones!$AA$75)&gt;=$S126),$V126,IF(AND($R126&lt;&gt;"",EDATE($D126,Milestones!$AA$75)&gt;=$R126),$U126,$T126)))=Milestones!$AB$75),TEXT(EDATE($D126,Milestones!$AA$75),"dd/mm/yy")&amp;" "&amp;Milestones!$AB$75&amp;" "&amp;Milestones!$AC$75&amp;";  ","")&amp;IF(AND(EDATE($D126,Milestones!$AA$76)&lt;=AsOfDate,IF($Q126=0,$W126,IF(AND($S126&lt;&gt;"",EDATE($D126,Milestones!$AA$76)&gt;=$S126),$V126,IF(AND($R126&lt;&gt;"",EDATE($D126,Milestones!$AA$76)&gt;=$R126),$U126,$T126)))=Milestones!$AB$76),TEXT(EDATE($D126,Milestones!$AA$76),"dd/mm/yy")&amp;" "&amp;Milestones!$AB$76&amp;" "&amp;Milestones!$AC$76&amp;";  ","")&amp;IF(AND(EDATE($D126,Milestones!$AA$77)&lt;=AsOfDate,IF($Q126=0,$W126,IF(AND($S126&lt;&gt;"",EDATE($D126,Milestones!$AA$77)&gt;=$S126),$V126,IF(AND($R126&lt;&gt;"",EDATE($D126,Milestones!$AA$77)&gt;=$R126),$U126,$T126)))=Milestones!$AB$77),TEXT(EDATE($D126,Milestones!$AA$77),"dd/mm/yy")&amp;" "&amp;Milestones!$AB$77&amp;" "&amp;Milestones!$AC$77&amp;";  ","")&amp;IF(AND(EDATE($D126,Milestones!$AA$78)&lt;=AsOfDate,IF($Q126=0,$W126,IF(AND($S126&lt;&gt;"",EDATE($D126,Milestones!$AA$78)&gt;=$S126),$V126,IF(AND($R126&lt;&gt;"",EDATE($D126,Milestones!$AA$78)&gt;=$R126),$U126,$T126)))=Milestones!$AB$78),TEXT(EDATE($D126,Milestones!$AA$78),"dd/mm/yy")&amp;" "&amp;Milestones!$AB$78&amp;" "&amp;Milestones!$AC$78&amp;";  ","")&amp;IF(AND(EDATE($D126,Milestones!$AA$79)&lt;=AsOfDate,IF($Q126=0,$W126,IF(AND($S126&lt;&gt;"",EDATE($D126,Milestones!$AA$79)&gt;=$S126),$V126,IF(AND($R126&lt;&gt;"",EDATE($D126,Milestones!$AA$79)&gt;=$R126),$U126,$T126)))=Milestones!$AB$79),TEXT(EDATE($D126,Milestones!$AA$79),"dd/mm/yy")&amp;" "&amp;Milestones!$AB$79&amp;" "&amp;Milestones!$AC$79&amp;";  ",""))</f>
        <v/>
      </c>
      <c r="K126" s="0" t="str">
        <f aca="false">IF(OR($A126="",$D126=""),"",IF(AND(EDATE($D126,Milestones!$AA$80)&lt;=AsOfDate,IF($Q126=0,$W126,IF(AND($S126&lt;&gt;"",EDATE($D126,Milestones!$AA$80)&gt;=$S126),$V126,IF(AND($R126&lt;&gt;"",EDATE($D126,Milestones!$AA$80)&gt;=$R126),$U126,$T126)))=Milestones!$AB$80),TEXT(EDATE($D126,Milestones!$AA$80),"dd/mm/yy")&amp;" "&amp;Milestones!$AB$80&amp;" "&amp;Milestones!$AC$80&amp;";  ","")&amp;IF(AND(EDATE($D126,Milestones!$AA$81)&lt;=AsOfDate,IF($Q126=0,$W126,IF(AND($S126&lt;&gt;"",EDATE($D126,Milestones!$AA$81)&gt;=$S126),$V126,IF(AND($R126&lt;&gt;"",EDATE($D126,Milestones!$AA$81)&gt;=$R126),$U126,$T126)))=Milestones!$AB$81),TEXT(EDATE($D126,Milestones!$AA$81),"dd/mm/yy")&amp;" "&amp;Milestones!$AB$81&amp;" "&amp;Milestones!$AC$81&amp;";  ","")&amp;IF(AND(EDATE($D126,Milestones!$AA$82)&lt;=AsOfDate,IF($Q126=0,$W126,IF(AND($S126&lt;&gt;"",EDATE($D126,Milestones!$AA$82)&gt;=$S126),$V126,IF(AND($R126&lt;&gt;"",EDATE($D126,Milestones!$AA$82)&gt;=$R126),$U126,$T126)))=Milestones!$AB$82),TEXT(EDATE($D126,Milestones!$AA$82),"dd/mm/yy")&amp;" "&amp;Milestones!$AB$82&amp;" "&amp;Milestones!$AC$82&amp;";  ","")&amp;IF(AND(EDATE($D126,Milestones!$AA$83)&lt;=AsOfDate,IF($Q126=0,$W126,IF(AND($S126&lt;&gt;"",EDATE($D126,Milestones!$AA$83)&gt;=$S126),$V126,IF(AND($R126&lt;&gt;"",EDATE($D126,Milestones!$AA$83)&gt;=$R126),$U126,$T126)))=Milestones!$AB$83),TEXT(EDATE($D126,Milestones!$AA$83),"dd/mm/yy")&amp;" "&amp;Milestones!$AB$83&amp;" "&amp;Milestones!$AC$83&amp;";  ","")&amp;IF(AND(EDATE($D126,Milestones!$AA$84)&lt;=AsOfDate,IF($Q126=0,$W126,IF(AND($S126&lt;&gt;"",EDATE($D126,Milestones!$AA$84)&gt;=$S126),$V126,IF(AND($R126&lt;&gt;"",EDATE($D126,Milestones!$AA$84)&gt;=$R126),$U126,$T126)))=Milestones!$AB$84),TEXT(EDATE($D126,Milestones!$AA$84),"dd/mm/yy")&amp;" "&amp;Milestones!$AB$84&amp;" "&amp;Milestones!$AC$84&amp;";  ","")&amp;IF(AND(EDATE($D126,Milestones!$AA$85)&lt;=AsOfDate,IF($Q126=0,$W126,IF(AND($S126&lt;&gt;"",EDATE($D126,Milestones!$AA$85)&gt;=$S126),$V126,IF(AND($R126&lt;&gt;"",EDATE($D126,Milestones!$AA$85)&gt;=$R126),$U126,$T126)))=Milestones!$AB$85),TEXT(EDATE($D126,Milestones!$AA$85),"dd/mm/yy")&amp;" "&amp;Milestones!$AB$85&amp;" "&amp;Milestones!$AC$85&amp;";  ","")&amp;IF(AND(EDATE($D126,Milestones!$AA$86)&lt;=AsOfDate,IF($Q126=0,$W126,IF(AND($S126&lt;&gt;"",EDATE($D126,Milestones!$AA$86)&gt;=$S126),$V126,IF(AND($R126&lt;&gt;"",EDATE($D126,Milestones!$AA$86)&gt;=$R126),$U126,$T126)))=Milestones!$AB$86),TEXT(EDATE($D126,Milestones!$AA$86),"dd/mm/yy")&amp;" "&amp;Milestones!$AB$86&amp;" "&amp;Milestones!$AC$86&amp;";  ","")&amp;IF(AND(EDATE($D126,Milestones!$AA$87)&lt;=AsOfDate,IF($Q126=0,$W126,IF(AND($S126&lt;&gt;"",EDATE($D126,Milestones!$AA$87)&gt;=$S126),$V126,IF(AND($R126&lt;&gt;"",EDATE($D126,Milestones!$AA$87)&gt;=$R126),$U126,$T126)))=Milestones!$AB$87),TEXT(EDATE($D126,Milestones!$AA$87),"dd/mm/yy")&amp;" "&amp;Milestones!$AB$87&amp;" "&amp;Milestones!$AC$87&amp;";  ","")&amp;IF(AND(EDATE($D126,Milestones!$AA$88)&lt;=AsOfDate,IF($Q126=0,$W126,IF(AND($S126&lt;&gt;"",EDATE($D126,Milestones!$AA$88)&gt;=$S126),$V126,IF(AND($R126&lt;&gt;"",EDATE($D126,Milestones!$AA$88)&gt;=$R126),$U126,$T126)))=Milestones!$AB$88),TEXT(EDATE($D126,Milestones!$AA$88),"dd/mm/yy")&amp;" "&amp;Milestones!$AB$88&amp;" "&amp;Milestones!$AC$88&amp;";  ","")&amp;IF(AND(EDATE($D126,Milestones!$AA$89)&lt;=AsOfDate,IF($Q126=0,$W126,IF(AND($S126&lt;&gt;"",EDATE($D126,Milestones!$AA$89)&gt;=$S126),$V126,IF(AND($R126&lt;&gt;"",EDATE($D126,Milestones!$AA$89)&gt;=$R126),$U126,$T126)))=Milestones!$AB$89),TEXT(EDATE($D126,Milestones!$AA$89),"dd/mm/yy")&amp;" "&amp;Milestones!$AB$89&amp;" "&amp;Milestones!$AC$89&amp;";  ","")&amp;IF(AND(EDATE($D126,Milestones!$AA$90)&lt;=AsOfDate,IF($Q126=0,$W126,IF(AND($S126&lt;&gt;"",EDATE($D126,Milestones!$AA$90)&gt;=$S126),$V126,IF(AND($R126&lt;&gt;"",EDATE($D126,Milestones!$AA$90)&gt;=$R126),$U126,$T126)))=Milestones!$AB$90),TEXT(EDATE($D126,Milestones!$AA$90),"dd/mm/yy")&amp;" "&amp;Milestones!$AB$90&amp;" "&amp;Milestones!$AC$90&amp;";  ","")&amp;IF(AND(EDATE($D126,Milestones!$AA$91)&lt;=AsOfDate,IF($Q126=0,$W126,IF(AND($S126&lt;&gt;"",EDATE($D126,Milestones!$AA$91)&gt;=$S126),$V126,IF(AND($R126&lt;&gt;"",EDATE($D126,Milestones!$AA$91)&gt;=$R126),$U126,$T126)))=Milestones!$AB$91),TEXT(EDATE($D126,Milestones!$AA$91),"dd/mm/yy")&amp;" "&amp;Milestones!$AB$91&amp;" "&amp;Milestones!$AC$91&amp;";  ","")&amp;IF(AND(EDATE($D126,Milestones!$AA$92)&lt;=AsOfDate,IF($Q126=0,$W126,IF(AND($S126&lt;&gt;"",EDATE($D126,Milestones!$AA$92)&gt;=$S126),$V126,IF(AND($R126&lt;&gt;"",EDATE($D126,Milestones!$AA$92)&gt;=$R126),$U126,$T126)))=Milestones!$AB$92),TEXT(EDATE($D126,Milestones!$AA$92),"dd/mm/yy")&amp;" "&amp;Milestones!$AB$92&amp;" "&amp;Milestones!$AC$92&amp;";  ","")&amp;IF(AND(EDATE($D126,Milestones!$AA$93)&lt;=AsOfDate,IF($Q126=0,$W126,IF(AND($S126&lt;&gt;"",EDATE($D126,Milestones!$AA$93)&gt;=$S126),$V126,IF(AND($R126&lt;&gt;"",EDATE($D126,Milestones!$AA$93)&gt;=$R126),$U126,$T126)))=Milestones!$AB$93),TEXT(EDATE($D126,Milestones!$AA$93),"dd/mm/yy")&amp;" "&amp;Milestones!$AB$93&amp;" "&amp;Milestones!$AC$93&amp;";  ","")&amp;IF(AND(EDATE($D126,Milestones!$AA$94)&lt;=AsOfDate,IF($Q126=0,$W126,IF(AND($S126&lt;&gt;"",EDATE($D126,Milestones!$AA$94)&gt;=$S126),$V126,IF(AND($R126&lt;&gt;"",EDATE($D126,Milestones!$AA$94)&gt;=$R126),$U126,$T126)))=Milestones!$AB$94),TEXT(EDATE($D126,Milestones!$AA$94),"dd/mm/yy")&amp;" "&amp;Milestones!$AB$94&amp;" "&amp;Milestones!$AC$94&amp;";  ","")&amp;IF(AND(EDATE($D126,Milestones!$AA$95)&lt;=AsOfDate,IF($Q126=0,$W126,IF(AND($S126&lt;&gt;"",EDATE($D126,Milestones!$AA$95)&gt;=$S126),$V126,IF(AND($R126&lt;&gt;"",EDATE($D126,Milestones!$AA$95)&gt;=$R126),$U126,$T126)))=Milestones!$AB$95),TEXT(EDATE($D126,Milestones!$AA$95),"dd/mm/yy")&amp;" "&amp;Milestones!$AB$95&amp;" "&amp;Milestones!$AC$95&amp;";  ","")&amp;IF(AND(EDATE($D126,Milestones!$AA$96)&lt;=AsOfDate,IF($Q126=0,$W126,IF(AND($S126&lt;&gt;"",EDATE($D126,Milestones!$AA$96)&gt;=$S126),$V126,IF(AND($R126&lt;&gt;"",EDATE($D126,Milestones!$AA$96)&gt;=$R126),$U126,$T126)))=Milestones!$AB$96),TEXT(EDATE($D126,Milestones!$AA$96),"dd/mm/yy")&amp;" "&amp;Milestones!$AB$96&amp;" "&amp;Milestones!$AC$96&amp;";  ","")&amp;IF(AND(EDATE($D126,Milestones!$AA$97)&lt;=AsOfDate,IF($Q126=0,$W126,IF(AND($S126&lt;&gt;"",EDATE($D126,Milestones!$AA$97)&gt;=$S126),$V126,IF(AND($R126&lt;&gt;"",EDATE($D126,Milestones!$AA$97)&gt;=$R126),$U126,$T126)))=Milestones!$AB$97),TEXT(EDATE($D126,Milestones!$AA$97),"dd/mm/yy")&amp;" "&amp;Milestones!$AB$97&amp;" "&amp;Milestones!$AC$97&amp;";  ","")&amp;IF(AND(EDATE($D126,Milestones!$AA$98)&lt;=AsOfDate,IF($Q126=0,$W126,IF(AND($S126&lt;&gt;"",EDATE($D126,Milestones!$AA$98)&gt;=$S126),$V126,IF(AND($R126&lt;&gt;"",EDATE($D126,Milestones!$AA$98)&gt;=$R126),$U126,$T126)))=Milestones!$AB$98),TEXT(EDATE($D126,Milestones!$AA$98),"dd/mm/yy")&amp;" "&amp;Milestones!$AB$98&amp;" "&amp;Milestones!$AC$98&amp;";  ","")&amp;IF(AND(EDATE($D126,Milestones!$AA$99)&lt;=AsOfDate,IF($Q126=0,$W126,IF(AND($S126&lt;&gt;"",EDATE($D126,Milestones!$AA$99)&gt;=$S126),$V126,IF(AND($R126&lt;&gt;"",EDATE($D126,Milestones!$AA$99)&gt;=$R126),$U126,$T126)))=Milestones!$AB$99),TEXT(EDATE($D126,Milestones!$AA$99),"dd/mm/yy")&amp;" "&amp;Milestones!$AB$99&amp;" "&amp;Milestones!$AC$99&amp;";  ",""))</f>
        <v/>
      </c>
      <c r="L126" s="0" t="str">
        <f aca="false">IF(OR($A126="",$D126=""),"",IF(AND(EDATE($D126,Milestones!$AA$100)&lt;=AsOfDate,IF($Q126=0,$W126,IF(AND($S126&lt;&gt;"",EDATE($D126,Milestones!$AA$100)&gt;=$S126),$V126,IF(AND($R126&lt;&gt;"",EDATE($D126,Milestones!$AA$100)&gt;=$R126),$U126,$T126)))=Milestones!$AB$100),TEXT(EDATE($D126,Milestones!$AA$100),"dd/mm/yy")&amp;" "&amp;Milestones!$AB$100&amp;" "&amp;Milestones!$AC$100&amp;";  ","")&amp;IF(AND(EDATE($D126,Milestones!$AA$101)&lt;=AsOfDate,IF($Q126=0,$W126,IF(AND($S126&lt;&gt;"",EDATE($D126,Milestones!$AA$101)&gt;=$S126),$V126,IF(AND($R126&lt;&gt;"",EDATE($D126,Milestones!$AA$101)&gt;=$R126),$U126,$T126)))=Milestones!$AB$101),TEXT(EDATE($D126,Milestones!$AA$101),"dd/mm/yy")&amp;" "&amp;Milestones!$AB$101&amp;" "&amp;Milestones!$AC$101&amp;";  ","")&amp;IF(AND(EDATE($D126,Milestones!$AA$102)&lt;=AsOfDate,IF($Q126=0,$W126,IF(AND($S126&lt;&gt;"",EDATE($D126,Milestones!$AA$102)&gt;=$S126),$V126,IF(AND($R126&lt;&gt;"",EDATE($D126,Milestones!$AA$102)&gt;=$R126),$U126,$T126)))=Milestones!$AB$102),TEXT(EDATE($D126,Milestones!$AA$102),"dd/mm/yy")&amp;" "&amp;Milestones!$AB$102&amp;" "&amp;Milestones!$AC$102&amp;";  ","")&amp;IF(AND(EDATE($D126,Milestones!$AA$103)&lt;=AsOfDate,IF($Q126=0,$W126,IF(AND($S126&lt;&gt;"",EDATE($D126,Milestones!$AA$103)&gt;=$S126),$V126,IF(AND($R126&lt;&gt;"",EDATE($D126,Milestones!$AA$103)&gt;=$R126),$U126,$T126)))=Milestones!$AB$103),TEXT(EDATE($D126,Milestones!$AA$103),"dd/mm/yy")&amp;" "&amp;Milestones!$AB$103&amp;" "&amp;Milestones!$AC$103&amp;";  ","")&amp;IF(AND(EDATE($D126,Milestones!$AA$104)&lt;=AsOfDate,IF($Q126=0,$W126,IF(AND($S126&lt;&gt;"",EDATE($D126,Milestones!$AA$104)&gt;=$S126),$V126,IF(AND($R126&lt;&gt;"",EDATE($D126,Milestones!$AA$104)&gt;=$R126),$U126,$T126)))=Milestones!$AB$104),TEXT(EDATE($D126,Milestones!$AA$104),"dd/mm/yy")&amp;" "&amp;Milestones!$AB$104&amp;" "&amp;Milestones!$AC$104&amp;";  ","")&amp;IF(AND(EDATE($D126,Milestones!$AA$105)&lt;=AsOfDate,IF($Q126=0,$W126,IF(AND($S126&lt;&gt;"",EDATE($D126,Milestones!$AA$105)&gt;=$S126),$V126,IF(AND($R126&lt;&gt;"",EDATE($D126,Milestones!$AA$105)&gt;=$R126),$U126,$T126)))=Milestones!$AB$105),TEXT(EDATE($D126,Milestones!$AA$105),"dd/mm/yy")&amp;" "&amp;Milestones!$AB$105&amp;" "&amp;Milestones!$AC$105&amp;";  ","")&amp;IF(AND(EDATE($D126,Milestones!$AA$106)&lt;=AsOfDate,IF($Q126=0,$W126,IF(AND($S126&lt;&gt;"",EDATE($D126,Milestones!$AA$106)&gt;=$S126),$V126,IF(AND($R126&lt;&gt;"",EDATE($D126,Milestones!$AA$106)&gt;=$R126),$U126,$T126)))=Milestones!$AB$106),TEXT(EDATE($D126,Milestones!$AA$106),"dd/mm/yy")&amp;" "&amp;Milestones!$AB$106&amp;" "&amp;Milestones!$AC$106&amp;";  ","")&amp;IF(AND(EDATE($D126,Milestones!$AA$107)&lt;=AsOfDate,IF($Q126=0,$W126,IF(AND($S126&lt;&gt;"",EDATE($D126,Milestones!$AA$107)&gt;=$S126),$V126,IF(AND($R126&lt;&gt;"",EDATE($D126,Milestones!$AA$107)&gt;=$R126),$U126,$T126)))=Milestones!$AB$107),TEXT(EDATE($D126,Milestones!$AA$107),"dd/mm/yy")&amp;" "&amp;Milestones!$AB$107&amp;" "&amp;Milestones!$AC$107&amp;";  ","")&amp;IF(AND(EDATE($D126,Milestones!$AA$108)&lt;=AsOfDate,IF($Q126=0,$W126,IF(AND($S126&lt;&gt;"",EDATE($D126,Milestones!$AA$108)&gt;=$S126),$V126,IF(AND($R126&lt;&gt;"",EDATE($D126,Milestones!$AA$108)&gt;=$R126),$U126,$T126)))=Milestones!$AB$108),TEXT(EDATE($D126,Milestones!$AA$108),"dd/mm/yy")&amp;" "&amp;Milestones!$AB$108&amp;" "&amp;Milestones!$AC$108&amp;";  ","")&amp;IF(AND(EDATE($D126,Milestones!$AA$109)&lt;=AsOfDate,IF($Q126=0,$W126,IF(AND($S126&lt;&gt;"",EDATE($D126,Milestones!$AA$109)&gt;=$S126),$V126,IF(AND($R126&lt;&gt;"",EDATE($D126,Milestones!$AA$109)&gt;=$R126),$U126,$T126)))=Milestones!$AB$109),TEXT(EDATE($D126,Milestones!$AA$109),"dd/mm/yy")&amp;" "&amp;Milestones!$AB$109&amp;" "&amp;Milestones!$AC$109&amp;";  ","")&amp;IF(AND(EDATE($D126,Milestones!$AA$110)&lt;=AsOfDate,IF($Q126=0,$W126,IF(AND($S126&lt;&gt;"",EDATE($D126,Milestones!$AA$110)&gt;=$S126),$V126,IF(AND($R126&lt;&gt;"",EDATE($D126,Milestones!$AA$110)&gt;=$R126),$U126,$T126)))=Milestones!$AB$110),TEXT(EDATE($D126,Milestones!$AA$110),"dd/mm/yy")&amp;" "&amp;Milestones!$AB$110&amp;" "&amp;Milestones!$AC$110&amp;";  ","")&amp;IF(AND(EDATE($D126,Milestones!$AA$111)&lt;=AsOfDate,IF($Q126=0,$W126,IF(AND($S126&lt;&gt;"",EDATE($D126,Milestones!$AA$111)&gt;=$S126),$V126,IF(AND($R126&lt;&gt;"",EDATE($D126,Milestones!$AA$111)&gt;=$R126),$U126,$T126)))=Milestones!$AB$111),TEXT(EDATE($D126,Milestones!$AA$111),"dd/mm/yy")&amp;" "&amp;Milestones!$AB$111&amp;" "&amp;Milestones!$AC$111&amp;";  ","")&amp;IF(AND(EDATE($D126,Milestones!$AA$112)&lt;=AsOfDate,IF($Q126=0,$W126,IF(AND($S126&lt;&gt;"",EDATE($D126,Milestones!$AA$112)&gt;=$S126),$V126,IF(AND($R126&lt;&gt;"",EDATE($D126,Milestones!$AA$112)&gt;=$R126),$U126,$T126)))=Milestones!$AB$112),TEXT(EDATE($D126,Milestones!$AA$112),"dd/mm/yy")&amp;" "&amp;Milestones!$AB$112&amp;" "&amp;Milestones!$AC$112&amp;";  ","")&amp;IF(AND(EDATE($D126,Milestones!$AA$113)&lt;=AsOfDate,IF($Q126=0,$W126,IF(AND($S126&lt;&gt;"",EDATE($D126,Milestones!$AA$113)&gt;=$S126),$V126,IF(AND($R126&lt;&gt;"",EDATE($D126,Milestones!$AA$113)&gt;=$R126),$U126,$T126)))=Milestones!$AB$113),TEXT(EDATE($D126,Milestones!$AA$113),"dd/mm/yy")&amp;" "&amp;Milestones!$AB$113&amp;" "&amp;Milestones!$AC$113&amp;";  ","")&amp;IF(AND(EDATE($D126,Milestones!$AA$114)&lt;=AsOfDate,IF($Q126=0,$W126,IF(AND($S126&lt;&gt;"",EDATE($D126,Milestones!$AA$114)&gt;=$S126),$V126,IF(AND($R126&lt;&gt;"",EDATE($D126,Milestones!$AA$114)&gt;=$R126),$U126,$T126)))=Milestones!$AB$114),TEXT(EDATE($D126,Milestones!$AA$114),"dd/mm/yy")&amp;" "&amp;Milestones!$AB$114&amp;" "&amp;Milestones!$AC$114&amp;";  ","")&amp;IF(AND(EDATE($D126,Milestones!$AA$115)&lt;=AsOfDate,IF($Q126=0,$W126,IF(AND($S126&lt;&gt;"",EDATE($D126,Milestones!$AA$115)&gt;=$S126),$V126,IF(AND($R126&lt;&gt;"",EDATE($D126,Milestones!$AA$115)&gt;=$R126),$U126,$T126)))=Milestones!$AB$115),TEXT(EDATE($D126,Milestones!$AA$115),"dd/mm/yy")&amp;" "&amp;Milestones!$AB$115&amp;" "&amp;Milestones!$AC$115&amp;";  ","")&amp;IF(AND(EDATE($D126,Milestones!$AA$116)&lt;=AsOfDate,IF($Q126=0,$W126,IF(AND($S126&lt;&gt;"",EDATE($D126,Milestones!$AA$116)&gt;=$S126),$V126,IF(AND($R126&lt;&gt;"",EDATE($D126,Milestones!$AA$116)&gt;=$R126),$U126,$T126)))=Milestones!$AB$116),TEXT(EDATE($D126,Milestones!$AA$116),"dd/mm/yy")&amp;" "&amp;Milestones!$AB$116&amp;" "&amp;Milestones!$AC$116&amp;";  ","")&amp;IF(AND(EDATE($D126,Milestones!$AA$117)&lt;=AsOfDate,IF($Q126=0,$W126,IF(AND($S126&lt;&gt;"",EDATE($D126,Milestones!$AA$117)&gt;=$S126),$V126,IF(AND($R126&lt;&gt;"",EDATE($D126,Milestones!$AA$117)&gt;=$R126),$U126,$T126)))=Milestones!$AB$117),TEXT(EDATE($D126,Milestones!$AA$117),"dd/mm/yy")&amp;" "&amp;Milestones!$AB$117&amp;" "&amp;Milestones!$AC$117&amp;";  ","")&amp;IF(AND(EDATE($D126,Milestones!$AA$118)&lt;=AsOfDate,IF($Q126=0,$W126,IF(AND($S126&lt;&gt;"",EDATE($D126,Milestones!$AA$118)&gt;=$S126),$V126,IF(AND($R126&lt;&gt;"",EDATE($D126,Milestones!$AA$118)&gt;=$R126),$U126,$T126)))=Milestones!$AB$118),TEXT(EDATE($D126,Milestones!$AA$118),"dd/mm/yy")&amp;" "&amp;Milestones!$AB$118&amp;" "&amp;Milestones!$AC$118&amp;";  ","")&amp;IF(AND(EDATE($D126,Milestones!$AA$119)&lt;=AsOfDate,IF($Q126=0,$W126,IF(AND($S126&lt;&gt;"",EDATE($D126,Milestones!$AA$119)&gt;=$S126),$V126,IF(AND($R126&lt;&gt;"",EDATE($D126,Milestones!$AA$119)&gt;=$R126),$U126,$T126)))=Milestones!$AB$119),TEXT(EDATE($D126,Milestones!$AA$119),"dd/mm/yy")&amp;" "&amp;Milestones!$AB$119&amp;" "&amp;Milestones!$AC$119&amp;";  ",""))</f>
        <v/>
      </c>
      <c r="M126" s="0" t="str">
        <f aca="false">IF(OR($A126="",$D126=""),"",IF(AND(EDATE($D126,Milestones!$AA$120)&lt;=AsOfDate,IF($Q126=0,$W126,IF(AND($S126&lt;&gt;"",EDATE($D126,Milestones!$AA$120)&gt;=$S126),$V126,IF(AND($R126&lt;&gt;"",EDATE($D126,Milestones!$AA$120)&gt;=$R126),$U126,$T126)))=Milestones!$AB$120),TEXT(EDATE($D126,Milestones!$AA$120),"dd/mm/yy")&amp;" "&amp;Milestones!$AB$120&amp;" "&amp;Milestones!$AC$120&amp;";  ","")&amp;IF(AND(EDATE($D126,Milestones!$AA$121)&lt;=AsOfDate,IF($Q126=0,$W126,IF(AND($S126&lt;&gt;"",EDATE($D126,Milestones!$AA$121)&gt;=$S126),$V126,IF(AND($R126&lt;&gt;"",EDATE($D126,Milestones!$AA$121)&gt;=$R126),$U126,$T126)))=Milestones!$AB$121),TEXT(EDATE($D126,Milestones!$AA$121),"dd/mm/yy")&amp;" "&amp;Milestones!$AB$121&amp;" "&amp;Milestones!$AC$121&amp;";  ","")&amp;IF(AND(EDATE($D126,Milestones!$AA$122)&lt;=AsOfDate,IF($Q126=0,$W126,IF(AND($S126&lt;&gt;"",EDATE($D126,Milestones!$AA$122)&gt;=$S126),$V126,IF(AND($R126&lt;&gt;"",EDATE($D126,Milestones!$AA$122)&gt;=$R126),$U126,$T126)))=Milestones!$AB$122),TEXT(EDATE($D126,Milestones!$AA$122),"dd/mm/yy")&amp;" "&amp;Milestones!$AB$122&amp;" "&amp;Milestones!$AC$122&amp;";  ","")&amp;IF(AND(EDATE($D126,Milestones!$AA$123)&lt;=AsOfDate,IF($Q126=0,$W126,IF(AND($S126&lt;&gt;"",EDATE($D126,Milestones!$AA$123)&gt;=$S126),$V126,IF(AND($R126&lt;&gt;"",EDATE($D126,Milestones!$AA$123)&gt;=$R126),$U126,$T126)))=Milestones!$AB$123),TEXT(EDATE($D126,Milestones!$AA$123),"dd/mm/yy")&amp;" "&amp;Milestones!$AB$123&amp;" "&amp;Milestones!$AC$123&amp;";  ","")&amp;IF(AND(EDATE($D126,Milestones!$AA$124)&lt;=AsOfDate,IF($Q126=0,$W126,IF(AND($S126&lt;&gt;"",EDATE($D126,Milestones!$AA$124)&gt;=$S126),$V126,IF(AND($R126&lt;&gt;"",EDATE($D126,Milestones!$AA$124)&gt;=$R126),$U126,$T126)))=Milestones!$AB$124),TEXT(EDATE($D126,Milestones!$AA$124),"dd/mm/yy")&amp;" "&amp;Milestones!$AB$124&amp;" "&amp;Milestones!$AC$124&amp;";  ","")&amp;IF(AND(EDATE($D126,Milestones!$AA$125)&lt;=AsOfDate,IF($Q126=0,$W126,IF(AND($S126&lt;&gt;"",EDATE($D126,Milestones!$AA$125)&gt;=$S126),$V126,IF(AND($R126&lt;&gt;"",EDATE($D126,Milestones!$AA$125)&gt;=$R126),$U126,$T126)))=Milestones!$AB$125),TEXT(EDATE($D126,Milestones!$AA$125),"dd/mm/yy")&amp;" "&amp;Milestones!$AB$125&amp;" "&amp;Milestones!$AC$125&amp;";  ","")&amp;IF(AND(EDATE($D126,Milestones!$AA$126)&lt;=AsOfDate,IF($Q126=0,$W126,IF(AND($S126&lt;&gt;"",EDATE($D126,Milestones!$AA$126)&gt;=$S126),$V126,IF(AND($R126&lt;&gt;"",EDATE($D126,Milestones!$AA$126)&gt;=$R126),$U126,$T126)))=Milestones!$AB$126),TEXT(EDATE($D126,Milestones!$AA$126),"dd/mm/yy")&amp;" "&amp;Milestones!$AB$126&amp;" "&amp;Milestones!$AC$126&amp;";  ","")&amp;IF(AND(EDATE($D126,Milestones!$AA$127)&lt;=AsOfDate,IF($Q126=0,$W126,IF(AND($S126&lt;&gt;"",EDATE($D126,Milestones!$AA$127)&gt;=$S126),$V126,IF(AND($R126&lt;&gt;"",EDATE($D126,Milestones!$AA$127)&gt;=$R126),$U126,$T126)))=Milestones!$AB$127),TEXT(EDATE($D126,Milestones!$AA$127),"dd/mm/yy")&amp;" "&amp;Milestones!$AB$127&amp;" "&amp;Milestones!$AC$127&amp;";  ","")&amp;IF(AND(EDATE($D126,Milestones!$AA$128)&lt;=AsOfDate,IF($Q126=0,$W126,IF(AND($S126&lt;&gt;"",EDATE($D126,Milestones!$AA$128)&gt;=$S126),$V126,IF(AND($R126&lt;&gt;"",EDATE($D126,Milestones!$AA$128)&gt;=$R126),$U126,$T126)))=Milestones!$AB$128),TEXT(EDATE($D126,Milestones!$AA$128),"dd/mm/yy")&amp;" "&amp;Milestones!$AB$128&amp;" "&amp;Milestones!$AC$128&amp;";  ","")&amp;IF(AND(EDATE($D126,Milestones!$AA$129)&lt;=AsOfDate,IF($Q126=0,$W126,IF(AND($S126&lt;&gt;"",EDATE($D126,Milestones!$AA$129)&gt;=$S126),$V126,IF(AND($R126&lt;&gt;"",EDATE($D126,Milestones!$AA$129)&gt;=$R126),$U126,$T126)))=Milestones!$AB$129),TEXT(EDATE($D126,Milestones!$AA$129),"dd/mm/yy")&amp;" "&amp;Milestones!$AB$129&amp;" "&amp;Milestones!$AC$129&amp;";  ","")&amp;IF(AND(EDATE($D126,Milestones!$AA$130)&lt;=AsOfDate,IF($Q126=0,$W126,IF(AND($S126&lt;&gt;"",EDATE($D126,Milestones!$AA$130)&gt;=$S126),$V126,IF(AND($R126&lt;&gt;"",EDATE($D126,Milestones!$AA$130)&gt;=$R126),$U126,$T126)))=Milestones!$AB$130),TEXT(EDATE($D126,Milestones!$AA$130),"dd/mm/yy")&amp;" "&amp;Milestones!$AB$130&amp;" "&amp;Milestones!$AC$130&amp;";  ","")&amp;IF(AND(EDATE($D126,Milestones!$AA$131)&lt;=AsOfDate,IF($Q126=0,$W126,IF(AND($S126&lt;&gt;"",EDATE($D126,Milestones!$AA$131)&gt;=$S126),$V126,IF(AND($R126&lt;&gt;"",EDATE($D126,Milestones!$AA$131)&gt;=$R126),$U126,$T126)))=Milestones!$AB$131),TEXT(EDATE($D126,Milestones!$AA$131),"dd/mm/yy")&amp;" "&amp;Milestones!$AB$131&amp;" "&amp;Milestones!$AC$131&amp;";  ","")&amp;IF(AND(EDATE($D126,Milestones!$AA$132)&lt;=AsOfDate,IF($Q126=0,$W126,IF(AND($S126&lt;&gt;"",EDATE($D126,Milestones!$AA$132)&gt;=$S126),$V126,IF(AND($R126&lt;&gt;"",EDATE($D126,Milestones!$AA$132)&gt;=$R126),$U126,$T126)))=Milestones!$AB$132),TEXT(EDATE($D126,Milestones!$AA$132),"dd/mm/yy")&amp;" "&amp;Milestones!$AB$132&amp;" "&amp;Milestones!$AC$132&amp;";  ","")&amp;IF(AND(EDATE($D126,Milestones!$AA$133)&lt;=AsOfDate,IF($Q126=0,$W126,IF(AND($S126&lt;&gt;"",EDATE($D126,Milestones!$AA$133)&gt;=$S126),$V126,IF(AND($R126&lt;&gt;"",EDATE($D126,Milestones!$AA$133)&gt;=$R126),$U126,$T126)))=Milestones!$AB$133),TEXT(EDATE($D126,Milestones!$AA$133),"dd/mm/yy")&amp;" "&amp;Milestones!$AB$133&amp;" "&amp;Milestones!$AC$133&amp;";  ","")&amp;IF(AND(EDATE($D126,Milestones!$AA$134)&lt;=AsOfDate,IF($Q126=0,$W126,IF(AND($S126&lt;&gt;"",EDATE($D126,Milestones!$AA$134)&gt;=$S126),$V126,IF(AND($R126&lt;&gt;"",EDATE($D126,Milestones!$AA$134)&gt;=$R126),$U126,$T126)))=Milestones!$AB$134),TEXT(EDATE($D126,Milestones!$AA$134),"dd/mm/yy")&amp;" "&amp;Milestones!$AB$134&amp;" "&amp;Milestones!$AC$134&amp;";  ","")&amp;IF(AND(EDATE($D126,Milestones!$AA$135)&lt;=AsOfDate,IF($Q126=0,$W126,IF(AND($S126&lt;&gt;"",EDATE($D126,Milestones!$AA$135)&gt;=$S126),$V126,IF(AND($R126&lt;&gt;"",EDATE($D126,Milestones!$AA$135)&gt;=$R126),$U126,$T126)))=Milestones!$AB$135),TEXT(EDATE($D126,Milestones!$AA$135),"dd/mm/yy")&amp;" "&amp;Milestones!$AB$135&amp;" "&amp;Milestones!$AC$135&amp;";  ","")&amp;IF(AND(EDATE($D126,Milestones!$AA$136)&lt;=AsOfDate,IF($Q126=0,$W126,IF(AND($S126&lt;&gt;"",EDATE($D126,Milestones!$AA$136)&gt;=$S126),$V126,IF(AND($R126&lt;&gt;"",EDATE($D126,Milestones!$AA$136)&gt;=$R126),$U126,$T126)))=Milestones!$AB$136),TEXT(EDATE($D126,Milestones!$AA$136),"dd/mm/yy")&amp;" "&amp;Milestones!$AB$136&amp;" "&amp;Milestones!$AC$136&amp;";  ","")&amp;IF(AND(EDATE($D126,Milestones!$AA$137)&lt;=AsOfDate,IF($Q126=0,$W126,IF(AND($S126&lt;&gt;"",EDATE($D126,Milestones!$AA$137)&gt;=$S126),$V126,IF(AND($R126&lt;&gt;"",EDATE($D126,Milestones!$AA$137)&gt;=$R126),$U126,$T126)))=Milestones!$AB$137),TEXT(EDATE($D126,Milestones!$AA$137),"dd/mm/yy")&amp;" "&amp;Milestones!$AB$137&amp;" "&amp;Milestones!$AC$137&amp;";  ","")&amp;IF(AND(EDATE($D126,Milestones!$AA$138)&lt;=AsOfDate,IF($Q126=0,$W126,IF(AND($S126&lt;&gt;"",EDATE($D126,Milestones!$AA$138)&gt;=$S126),$V126,IF(AND($R126&lt;&gt;"",EDATE($D126,Milestones!$AA$138)&gt;=$R126),$U126,$T126)))=Milestones!$AB$138),TEXT(EDATE($D126,Milestones!$AA$138),"dd/mm/yy")&amp;" "&amp;Milestones!$AB$138&amp;" "&amp;Milestones!$AC$138&amp;";  ","")&amp;IF(AND(EDATE($D126,Milestones!$AA$139)&lt;=AsOfDate,IF($Q126=0,$W126,IF(AND($S126&lt;&gt;"",EDATE($D126,Milestones!$AA$139)&gt;=$S126),$V126,IF(AND($R126&lt;&gt;"",EDATE($D126,Milestones!$AA$139)&gt;=$R126),$U126,$T126)))=Milestones!$AB$139),TEXT(EDATE($D126,Milestones!$AA$139),"dd/mm/yy")&amp;" "&amp;Milestones!$AB$139&amp;" "&amp;Milestones!$AC$139&amp;";  ",""))</f>
        <v/>
      </c>
      <c r="N126" s="0" t="str">
        <f aca="false">IF(OR($A126="",$D126=""),"",IF(AND(EDATE($D126,Milestones!$AA$140)&lt;=AsOfDate,IF($Q126=0,$W126,IF(AND($S126&lt;&gt;"",EDATE($D126,Milestones!$AA$140)&gt;=$S126),$V126,IF(AND($R126&lt;&gt;"",EDATE($D126,Milestones!$AA$140)&gt;=$R126),$U126,$T126)))=Milestones!$AB$140),TEXT(EDATE($D126,Milestones!$AA$140),"dd/mm/yy")&amp;" "&amp;Milestones!$AB$140&amp;" "&amp;Milestones!$AC$140&amp;";  ","")&amp;IF(AND(EDATE($D126,Milestones!$AA$141)&lt;=AsOfDate,IF($Q126=0,$W126,IF(AND($S126&lt;&gt;"",EDATE($D126,Milestones!$AA$141)&gt;=$S126),$V126,IF(AND($R126&lt;&gt;"",EDATE($D126,Milestones!$AA$141)&gt;=$R126),$U126,$T126)))=Milestones!$AB$141),TEXT(EDATE($D126,Milestones!$AA$141),"dd/mm/yy")&amp;" "&amp;Milestones!$AB$141&amp;" "&amp;Milestones!$AC$141&amp;";  ","")&amp;IF(AND(EDATE($D126,Milestones!$AA$142)&lt;=AsOfDate,IF($Q126=0,$W126,IF(AND($S126&lt;&gt;"",EDATE($D126,Milestones!$AA$142)&gt;=$S126),$V126,IF(AND($R126&lt;&gt;"",EDATE($D126,Milestones!$AA$142)&gt;=$R126),$U126,$T126)))=Milestones!$AB$142),TEXT(EDATE($D126,Milestones!$AA$142),"dd/mm/yy")&amp;" "&amp;Milestones!$AB$142&amp;" "&amp;Milestones!$AC$142&amp;";  ","")&amp;IF(AND(EDATE($D126,Milestones!$AA$143)&lt;=AsOfDate,IF($Q126=0,$W126,IF(AND($S126&lt;&gt;"",EDATE($D126,Milestones!$AA$143)&gt;=$S126),$V126,IF(AND($R126&lt;&gt;"",EDATE($D126,Milestones!$AA$143)&gt;=$R126),$U126,$T126)))=Milestones!$AB$143),TEXT(EDATE($D126,Milestones!$AA$143),"dd/mm/yy")&amp;" "&amp;Milestones!$AB$143&amp;" "&amp;Milestones!$AC$143&amp;";  ","")&amp;IF(AND(EDATE($D126,Milestones!$AA$144)&lt;=AsOfDate,IF($Q126=0,$W126,IF(AND($S126&lt;&gt;"",EDATE($D126,Milestones!$AA$144)&gt;=$S126),$V126,IF(AND($R126&lt;&gt;"",EDATE($D126,Milestones!$AA$144)&gt;=$R126),$U126,$T126)))=Milestones!$AB$144),TEXT(EDATE($D126,Milestones!$AA$144),"dd/mm/yy")&amp;" "&amp;Milestones!$AB$144&amp;" "&amp;Milestones!$AC$144&amp;";  ","")&amp;IF(AND(EDATE($D126,Milestones!$AA$145)&lt;=AsOfDate,IF($Q126=0,$W126,IF(AND($S126&lt;&gt;"",EDATE($D126,Milestones!$AA$145)&gt;=$S126),$V126,IF(AND($R126&lt;&gt;"",EDATE($D126,Milestones!$AA$145)&gt;=$R126),$U126,$T126)))=Milestones!$AB$145),TEXT(EDATE($D126,Milestones!$AA$145),"dd/mm/yy")&amp;" "&amp;Milestones!$AB$145&amp;" "&amp;Milestones!$AC$145&amp;";  ","")&amp;IF(AND(EDATE($D126,Milestones!$AA$146)&lt;=AsOfDate,IF($Q126=0,$W126,IF(AND($S126&lt;&gt;"",EDATE($D126,Milestones!$AA$146)&gt;=$S126),$V126,IF(AND($R126&lt;&gt;"",EDATE($D126,Milestones!$AA$146)&gt;=$R126),$U126,$T126)))=Milestones!$AB$146),TEXT(EDATE($D126,Milestones!$AA$146),"dd/mm/yy")&amp;" "&amp;Milestones!$AB$146&amp;" "&amp;Milestones!$AC$146&amp;";  ","")&amp;IF(AND(EDATE($D126,Milestones!$AA$147)&lt;=AsOfDate,IF($Q126=0,$W126,IF(AND($S126&lt;&gt;"",EDATE($D126,Milestones!$AA$147)&gt;=$S126),$V126,IF(AND($R126&lt;&gt;"",EDATE($D126,Milestones!$AA$147)&gt;=$R126),$U126,$T126)))=Milestones!$AB$147),TEXT(EDATE($D126,Milestones!$AA$147),"dd/mm/yy")&amp;" "&amp;Milestones!$AB$147&amp;" "&amp;Milestones!$AC$147&amp;";  ","")&amp;IF(AND(EDATE($D126,Milestones!$AA$148)&lt;=AsOfDate,IF($Q126=0,$W126,IF(AND($S126&lt;&gt;"",EDATE($D126,Milestones!$AA$148)&gt;=$S126),$V126,IF(AND($R126&lt;&gt;"",EDATE($D126,Milestones!$AA$148)&gt;=$R126),$U126,$T126)))=Milestones!$AB$148),TEXT(EDATE($D126,Milestones!$AA$148),"dd/mm/yy")&amp;" "&amp;Milestones!$AB$148&amp;" "&amp;Milestones!$AC$148&amp;";  ","")&amp;IF(AND(EDATE($D126,Milestones!$AA$149)&lt;=AsOfDate,IF($Q126=0,$W126,IF(AND($S126&lt;&gt;"",EDATE($D126,Milestones!$AA$149)&gt;=$S126),$V126,IF(AND($R126&lt;&gt;"",EDATE($D126,Milestones!$AA$149)&gt;=$R126),$U126,$T126)))=Milestones!$AB$149),TEXT(EDATE($D126,Milestones!$AA$149),"dd/mm/yy")&amp;" "&amp;Milestones!$AB$149&amp;" "&amp;Milestones!$AC$149&amp;";  ","")&amp;IF(AND(EDATE($D126,Milestones!$AA$150)&lt;=AsOfDate,IF($Q126=0,$W126,IF(AND($S126&lt;&gt;"",EDATE($D126,Milestones!$AA$150)&gt;=$S126),$V126,IF(AND($R126&lt;&gt;"",EDATE($D126,Milestones!$AA$150)&gt;=$R126),$U126,$T126)))=Milestones!$AB$150),TEXT(EDATE($D126,Milestones!$AA$150),"dd/mm/yy")&amp;" "&amp;Milestones!$AB$150&amp;" "&amp;Milestones!$AC$150&amp;";  ","")&amp;IF(AND(EDATE($D126,Milestones!$AA$151)&lt;=AsOfDate,IF($Q126=0,$W126,IF(AND($S126&lt;&gt;"",EDATE($D126,Milestones!$AA$151)&gt;=$S126),$V126,IF(AND($R126&lt;&gt;"",EDATE($D126,Milestones!$AA$151)&gt;=$R126),$U126,$T126)))=Milestones!$AB$151),TEXT(EDATE($D126,Milestones!$AA$151),"dd/mm/yy")&amp;" "&amp;Milestones!$AB$151&amp;" "&amp;Milestones!$AC$151&amp;";  ","")&amp;IF(AND(EDATE($D126,Milestones!$AA$152)&lt;=AsOfDate,IF($Q126=0,$W126,IF(AND($S126&lt;&gt;"",EDATE($D126,Milestones!$AA$152)&gt;=$S126),$V126,IF(AND($R126&lt;&gt;"",EDATE($D126,Milestones!$AA$152)&gt;=$R126),$U126,$T126)))=Milestones!$AB$152),TEXT(EDATE($D126,Milestones!$AA$152),"dd/mm/yy")&amp;" "&amp;Milestones!$AB$152&amp;" "&amp;Milestones!$AC$152&amp;";  ","")&amp;IF(AND(EDATE($D126,Milestones!$AA$153)&lt;=AsOfDate,IF($Q126=0,$W126,IF(AND($S126&lt;&gt;"",EDATE($D126,Milestones!$AA$153)&gt;=$S126),$V126,IF(AND($R126&lt;&gt;"",EDATE($D126,Milestones!$AA$153)&gt;=$R126),$U126,$T126)))=Milestones!$AB$153),TEXT(EDATE($D126,Milestones!$AA$153),"dd/mm/yy")&amp;" "&amp;Milestones!$AB$153&amp;" "&amp;Milestones!$AC$153&amp;";  ","")&amp;IF(AND(EDATE($D126,Milestones!$AA$154)&lt;=AsOfDate,IF($Q126=0,$W126,IF(AND($S126&lt;&gt;"",EDATE($D126,Milestones!$AA$154)&gt;=$S126),$V126,IF(AND($R126&lt;&gt;"",EDATE($D126,Milestones!$AA$154)&gt;=$R126),$U126,$T126)))=Milestones!$AB$154),TEXT(EDATE($D126,Milestones!$AA$154),"dd/mm/yy")&amp;" "&amp;Milestones!$AB$154&amp;" "&amp;Milestones!$AC$154&amp;";  ","")&amp;IF(AND(EDATE($D126,Milestones!$AA$155)&lt;=AsOfDate,IF($Q126=0,$W126,IF(AND($S126&lt;&gt;"",EDATE($D126,Milestones!$AA$155)&gt;=$S126),$V126,IF(AND($R126&lt;&gt;"",EDATE($D126,Milestones!$AA$155)&gt;=$R126),$U126,$T126)))=Milestones!$AB$155),TEXT(EDATE($D126,Milestones!$AA$155),"dd/mm/yy")&amp;" "&amp;Milestones!$AB$155&amp;" "&amp;Milestones!$AC$155&amp;";  ","")&amp;IF(AND(EDATE($D126,Milestones!$AA$156)&lt;=AsOfDate,IF($Q126=0,$W126,IF(AND($S126&lt;&gt;"",EDATE($D126,Milestones!$AA$156)&gt;=$S126),$V126,IF(AND($R126&lt;&gt;"",EDATE($D126,Milestones!$AA$156)&gt;=$R126),$U126,$T126)))=Milestones!$AB$156),TEXT(EDATE($D126,Milestones!$AA$156),"dd/mm/yy")&amp;" "&amp;Milestones!$AB$156&amp;" "&amp;Milestones!$AC$156&amp;";  ","")&amp;IF(AND(EDATE($D126,Milestones!$AA$157)&lt;=AsOfDate,IF($Q126=0,$W126,IF(AND($S126&lt;&gt;"",EDATE($D126,Milestones!$AA$157)&gt;=$S126),$V126,IF(AND($R126&lt;&gt;"",EDATE($D126,Milestones!$AA$157)&gt;=$R126),$U126,$T126)))=Milestones!$AB$157),TEXT(EDATE($D126,Milestones!$AA$157),"dd/mm/yy")&amp;" "&amp;Milestones!$AB$157&amp;" "&amp;Milestones!$AC$157&amp;";  ","")&amp;IF(AND(EDATE($D126,Milestones!$AA$158)&lt;=AsOfDate,IF($Q126=0,$W126,IF(AND($S126&lt;&gt;"",EDATE($D126,Milestones!$AA$158)&gt;=$S126),$V126,IF(AND($R126&lt;&gt;"",EDATE($D126,Milestones!$AA$158)&gt;=$R126),$U126,$T126)))=Milestones!$AB$158),TEXT(EDATE($D126,Milestones!$AA$158),"dd/mm/yy")&amp;" "&amp;Milestones!$AB$158&amp;" "&amp;Milestones!$AC$158&amp;";  ","")&amp;IF(AND(EDATE($D126,Milestones!$AA$159)&lt;=AsOfDate,IF($Q126=0,$W126,IF(AND($S126&lt;&gt;"",EDATE($D126,Milestones!$AA$159)&gt;=$S126),$V126,IF(AND($R126&lt;&gt;"",EDATE($D126,Milestones!$AA$159)&gt;=$R126),$U126,$T126)))=Milestones!$AB$159),TEXT(EDATE($D126,Milestones!$AA$159),"dd/mm/yy")&amp;" "&amp;Milestones!$AB$159&amp;" "&amp;Milestones!$AC$159&amp;";  ",""))</f>
        <v/>
      </c>
      <c r="O126" s="0" t="str">
        <f aca="false">IF(OR($A126="",$D126=""),"",IF(AND(EDATE($D126,Milestones!$AA$160)&lt;=AsOfDate,IF($Q126=0,$W126,IF(AND($S126&lt;&gt;"",EDATE($D126,Milestones!$AA$160)&gt;=$S126),$V126,IF(AND($R126&lt;&gt;"",EDATE($D126,Milestones!$AA$160)&gt;=$R126),$U126,$T126)))=Milestones!$AB$160),TEXT(EDATE($D126,Milestones!$AA$160),"dd/mm/yy")&amp;" "&amp;Milestones!$AB$160&amp;" "&amp;Milestones!$AC$160&amp;";  ","")&amp;IF(AND(EDATE($D126,Milestones!$AA$161)&lt;=AsOfDate,IF($Q126=0,$W126,IF(AND($S126&lt;&gt;"",EDATE($D126,Milestones!$AA$161)&gt;=$S126),$V126,IF(AND($R126&lt;&gt;"",EDATE($D126,Milestones!$AA$161)&gt;=$R126),$U126,$T126)))=Milestones!$AB$161),TEXT(EDATE($D126,Milestones!$AA$161),"dd/mm/yy")&amp;" "&amp;Milestones!$AB$161&amp;" "&amp;Milestones!$AC$161&amp;";  ","")&amp;IF(AND(EDATE($D126,Milestones!$AA$162)&lt;=AsOfDate,IF($Q126=0,$W126,IF(AND($S126&lt;&gt;"",EDATE($D126,Milestones!$AA$162)&gt;=$S126),$V126,IF(AND($R126&lt;&gt;"",EDATE($D126,Milestones!$AA$162)&gt;=$R126),$U126,$T126)))=Milestones!$AB$162),TEXT(EDATE($D126,Milestones!$AA$162),"dd/mm/yy")&amp;" "&amp;Milestones!$AB$162&amp;" "&amp;Milestones!$AC$162&amp;";  ","")&amp;IF(AND(EDATE($D126,Milestones!$AA$163)&lt;=AsOfDate,IF($Q126=0,$W126,IF(AND($S126&lt;&gt;"",EDATE($D126,Milestones!$AA$163)&gt;=$S126),$V126,IF(AND($R126&lt;&gt;"",EDATE($D126,Milestones!$AA$163)&gt;=$R126),$U126,$T126)))=Milestones!$AB$163),TEXT(EDATE($D126,Milestones!$AA$163),"dd/mm/yy")&amp;" "&amp;Milestones!$AB$163&amp;" "&amp;Milestones!$AC$163&amp;";  ","")&amp;IF(AND(EDATE($D126,Milestones!$AA$164)&lt;=AsOfDate,IF($Q126=0,$W126,IF(AND($S126&lt;&gt;"",EDATE($D126,Milestones!$AA$164)&gt;=$S126),$V126,IF(AND($R126&lt;&gt;"",EDATE($D126,Milestones!$AA$164)&gt;=$R126),$U126,$T126)))=Milestones!$AB$164),TEXT(EDATE($D126,Milestones!$AA$164),"dd/mm/yy")&amp;" "&amp;Milestones!$AB$164&amp;" "&amp;Milestones!$AC$164&amp;";  ","")&amp;IF(AND(EDATE($D126,Milestones!$AA$165)&lt;=AsOfDate,IF($Q126=0,$W126,IF(AND($S126&lt;&gt;"",EDATE($D126,Milestones!$AA$165)&gt;=$S126),$V126,IF(AND($R126&lt;&gt;"",EDATE($D126,Milestones!$AA$165)&gt;=$R126),$U126,$T126)))=Milestones!$AB$165),TEXT(EDATE($D126,Milestones!$AA$165),"dd/mm/yy")&amp;" "&amp;Milestones!$AB$165&amp;" "&amp;Milestones!$AC$165&amp;";  ","")&amp;IF(AND(EDATE($D126,Milestones!$AA$166)&lt;=AsOfDate,IF($Q126=0,$W126,IF(AND($S126&lt;&gt;"",EDATE($D126,Milestones!$AA$166)&gt;=$S126),$V126,IF(AND($R126&lt;&gt;"",EDATE($D126,Milestones!$AA$166)&gt;=$R126),$U126,$T126)))=Milestones!$AB$166),TEXT(EDATE($D126,Milestones!$AA$166),"dd/mm/yy")&amp;" "&amp;Milestones!$AB$166&amp;" "&amp;Milestones!$AC$166&amp;";  ","")&amp;IF(AND(EDATE($D126,Milestones!$AA$167)&lt;=AsOfDate,IF($Q126=0,$W126,IF(AND($S126&lt;&gt;"",EDATE($D126,Milestones!$AA$167)&gt;=$S126),$V126,IF(AND($R126&lt;&gt;"",EDATE($D126,Milestones!$AA$167)&gt;=$R126),$U126,$T126)))=Milestones!$AB$167),TEXT(EDATE($D126,Milestones!$AA$167),"dd/mm/yy")&amp;" "&amp;Milestones!$AB$167&amp;" "&amp;Milestones!$AC$167&amp;";  ","")&amp;IF(AND(EDATE($D126,Milestones!$AA$168)&lt;=AsOfDate,IF($Q126=0,$W126,IF(AND($S126&lt;&gt;"",EDATE($D126,Milestones!$AA$168)&gt;=$S126),$V126,IF(AND($R126&lt;&gt;"",EDATE($D126,Milestones!$AA$168)&gt;=$R126),$U126,$T126)))=Milestones!$AB$168),TEXT(EDATE($D126,Milestones!$AA$168),"dd/mm/yy")&amp;" "&amp;Milestones!$AB$168&amp;" "&amp;Milestones!$AC$168&amp;";  ","")&amp;IF(AND(EDATE($D126,Milestones!$AA$169)&lt;=AsOfDate,IF($Q126=0,$W126,IF(AND($S126&lt;&gt;"",EDATE($D126,Milestones!$AA$169)&gt;=$S126),$V126,IF(AND($R126&lt;&gt;"",EDATE($D126,Milestones!$AA$169)&gt;=$R126),$U126,$T126)))=Milestones!$AB$169),TEXT(EDATE($D126,Milestones!$AA$169),"dd/mm/yy")&amp;" "&amp;Milestones!$AB$169&amp;" "&amp;Milestones!$AC$169&amp;";  ","")&amp;IF(AND(EDATE($D126,Milestones!$AA$170)&lt;=AsOfDate,IF($Q126=0,$W126,IF(AND($S126&lt;&gt;"",EDATE($D126,Milestones!$AA$170)&gt;=$S126),$V126,IF(AND($R126&lt;&gt;"",EDATE($D126,Milestones!$AA$170)&gt;=$R126),$U126,$T126)))=Milestones!$AB$170),TEXT(EDATE($D126,Milestones!$AA$170),"dd/mm/yy")&amp;" "&amp;Milestones!$AB$170&amp;" "&amp;Milestones!$AC$170&amp;";  ","")&amp;IF(AND(EDATE($D126,Milestones!$AA$171)&lt;=AsOfDate,IF($Q126=0,$W126,IF(AND($S126&lt;&gt;"",EDATE($D126,Milestones!$AA$171)&gt;=$S126),$V126,IF(AND($R126&lt;&gt;"",EDATE($D126,Milestones!$AA$171)&gt;=$R126),$U126,$T126)))=Milestones!$AB$171),TEXT(EDATE($D126,Milestones!$AA$171),"dd/mm/yy")&amp;" "&amp;Milestones!$AB$171&amp;" "&amp;Milestones!$AC$171&amp;";  ","")&amp;IF(AND(EDATE($D126,Milestones!$AA$172)&lt;=AsOfDate,IF($Q126=0,$W126,IF(AND($S126&lt;&gt;"",EDATE($D126,Milestones!$AA$172)&gt;=$S126),$V126,IF(AND($R126&lt;&gt;"",EDATE($D126,Milestones!$AA$172)&gt;=$R126),$U126,$T126)))=Milestones!$AB$172),TEXT(EDATE($D126,Milestones!$AA$172),"dd/mm/yy")&amp;" "&amp;Milestones!$AB$172&amp;" "&amp;Milestones!$AC$172&amp;";  ","")&amp;IF(AND(EDATE($D126,Milestones!$AA$173)&lt;=AsOfDate,IF($Q126=0,$W126,IF(AND($S126&lt;&gt;"",EDATE($D126,Milestones!$AA$173)&gt;=$S126),$V126,IF(AND($R126&lt;&gt;"",EDATE($D126,Milestones!$AA$173)&gt;=$R126),$U126,$T126)))=Milestones!$AB$173),TEXT(EDATE($D126,Milestones!$AA$173),"dd/mm/yy")&amp;" "&amp;Milestones!$AB$173&amp;" "&amp;Milestones!$AC$173&amp;";  ","")&amp;IF(AND(EDATE($D126,Milestones!$AA$174)&lt;=AsOfDate,IF($Q126=0,$W126,IF(AND($S126&lt;&gt;"",EDATE($D126,Milestones!$AA$174)&gt;=$S126),$V126,IF(AND($R126&lt;&gt;"",EDATE($D126,Milestones!$AA$174)&gt;=$R126),$U126,$T126)))=Milestones!$AB$174),TEXT(EDATE($D126,Milestones!$AA$174),"dd/mm/yy")&amp;" "&amp;Milestones!$AB$174&amp;" "&amp;Milestones!$AC$174&amp;";  ","")&amp;IF(AND(EDATE($D126,Milestones!$AA$175)&lt;=AsOfDate,IF($Q126=0,$W126,IF(AND($S126&lt;&gt;"",EDATE($D126,Milestones!$AA$175)&gt;=$S126),$V126,IF(AND($R126&lt;&gt;"",EDATE($D126,Milestones!$AA$175)&gt;=$R126),$U126,$T126)))=Milestones!$AB$175),TEXT(EDATE($D126,Milestones!$AA$175),"dd/mm/yy")&amp;" "&amp;Milestones!$AB$175&amp;" "&amp;Milestones!$AC$175&amp;";  ","")&amp;IF(AND(EDATE($D126,Milestones!$AA$176)&lt;=AsOfDate,IF($Q126=0,$W126,IF(AND($S126&lt;&gt;"",EDATE($D126,Milestones!$AA$176)&gt;=$S126),$V126,IF(AND($R126&lt;&gt;"",EDATE($D126,Milestones!$AA$176)&gt;=$R126),$U126,$T126)))=Milestones!$AB$176),TEXT(EDATE($D126,Milestones!$AA$176),"dd/mm/yy")&amp;" "&amp;Milestones!$AB$176&amp;" "&amp;Milestones!$AC$176&amp;";  ","")&amp;IF(AND(EDATE($D126,Milestones!$AA$177)&lt;=AsOfDate,IF($Q126=0,$W126,IF(AND($S126&lt;&gt;"",EDATE($D126,Milestones!$AA$177)&gt;=$S126),$V126,IF(AND($R126&lt;&gt;"",EDATE($D126,Milestones!$AA$177)&gt;=$R126),$U126,$T126)))=Milestones!$AB$177),TEXT(EDATE($D126,Milestones!$AA$177),"dd/mm/yy")&amp;" "&amp;Milestones!$AB$177&amp;" "&amp;Milestones!$AC$177&amp;";  ","")&amp;IF(AND(EDATE($D126,Milestones!$AA$178)&lt;=AsOfDate,IF($Q126=0,$W126,IF(AND($S126&lt;&gt;"",EDATE($D126,Milestones!$AA$178)&gt;=$S126),$V126,IF(AND($R126&lt;&gt;"",EDATE($D126,Milestones!$AA$178)&gt;=$R126),$U126,$T126)))=Milestones!$AB$178),TEXT(EDATE($D126,Milestones!$AA$178),"dd/mm/yy")&amp;" "&amp;Milestones!$AB$178&amp;" "&amp;Milestones!$AC$178&amp;";  ","")&amp;IF(AND(EDATE($D126,Milestones!$AA$179)&lt;=AsOfDate,IF($Q126=0,$W126,IF(AND($S126&lt;&gt;"",EDATE($D126,Milestones!$AA$179)&gt;=$S126),$V126,IF(AND($R126&lt;&gt;"",EDATE($D126,Milestones!$AA$179)&gt;=$R126),$U126,$T126)))=Milestones!$AB$179),TEXT(EDATE($D126,Milestones!$AA$179),"dd/mm/yy")&amp;" "&amp;Milestones!$AB$179&amp;" "&amp;Milestones!$AC$179&amp;";  ",""))</f>
        <v/>
      </c>
      <c r="P126" s="0" t="str">
        <f aca="false">IF(OR($A126="",$D126=""),"",IF(AND(EDATE($D126,Milestones!$AA$180)&lt;=AsOfDate,IF($Q126=0,$W126,IF(AND($S126&lt;&gt;"",EDATE($D126,Milestones!$AA$180)&gt;=$S126),$V126,IF(AND($R126&lt;&gt;"",EDATE($D126,Milestones!$AA$180)&gt;=$R126),$U126,$T126)))=Milestones!$AB$180),TEXT(EDATE($D126,Milestones!$AA$180),"dd/mm/yy")&amp;" "&amp;Milestones!$AB$180&amp;" "&amp;Milestones!$AC$180&amp;";  ","")&amp;IF(AND(EDATE($D126,Milestones!$AA$181)&lt;=AsOfDate,IF($Q126=0,$W126,IF(AND($S126&lt;&gt;"",EDATE($D126,Milestones!$AA$181)&gt;=$S126),$V126,IF(AND($R126&lt;&gt;"",EDATE($D126,Milestones!$AA$181)&gt;=$R126),$U126,$T126)))=Milestones!$AB$181),TEXT(EDATE($D126,Milestones!$AA$181),"dd/mm/yy")&amp;" "&amp;Milestones!$AB$181&amp;" "&amp;Milestones!$AC$181&amp;";  ","")&amp;IF(AND(EDATE($D126,Milestones!$AA$182)&lt;=AsOfDate,IF($Q126=0,$W126,IF(AND($S126&lt;&gt;"",EDATE($D126,Milestones!$AA$182)&gt;=$S126),$V126,IF(AND($R126&lt;&gt;"",EDATE($D126,Milestones!$AA$182)&gt;=$R126),$U126,$T126)))=Milestones!$AB$182),TEXT(EDATE($D126,Milestones!$AA$182),"dd/mm/yy")&amp;" "&amp;Milestones!$AB$182&amp;" "&amp;Milestones!$AC$182&amp;";  ","")&amp;IF(AND(EDATE($D126,Milestones!$AA$183)&lt;=AsOfDate,IF($Q126=0,$W126,IF(AND($S126&lt;&gt;"",EDATE($D126,Milestones!$AA$183)&gt;=$S126),$V126,IF(AND($R126&lt;&gt;"",EDATE($D126,Milestones!$AA$183)&gt;=$R126),$U126,$T126)))=Milestones!$AB$183),TEXT(EDATE($D126,Milestones!$AA$183),"dd/mm/yy")&amp;" "&amp;Milestones!$AB$183&amp;" "&amp;Milestones!$AC$183&amp;";  ","")&amp;IF(AND(EDATE($D126,Milestones!$AA$184)&lt;=AsOfDate,IF($Q126=0,$W126,IF(AND($S126&lt;&gt;"",EDATE($D126,Milestones!$AA$184)&gt;=$S126),$V126,IF(AND($R126&lt;&gt;"",EDATE($D126,Milestones!$AA$184)&gt;=$R126),$U126,$T126)))=Milestones!$AB$184),TEXT(EDATE($D126,Milestones!$AA$184),"dd/mm/yy")&amp;" "&amp;Milestones!$AB$184&amp;" "&amp;Milestones!$AC$184&amp;";  ","")&amp;IF(AND(EDATE($D126,Milestones!$AA$185)&lt;=AsOfDate,IF($Q126=0,$W126,IF(AND($S126&lt;&gt;"",EDATE($D126,Milestones!$AA$185)&gt;=$S126),$V126,IF(AND($R126&lt;&gt;"",EDATE($D126,Milestones!$AA$185)&gt;=$R126),$U126,$T126)))=Milestones!$AB$185),TEXT(EDATE($D126,Milestones!$AA$185),"dd/mm/yy")&amp;" "&amp;Milestones!$AB$185&amp;" "&amp;Milestones!$AC$185&amp;";  ","")&amp;IF(AND(EDATE($D126,Milestones!$AA$186)&lt;=AsOfDate,IF($Q126=0,$W126,IF(AND($S126&lt;&gt;"",EDATE($D126,Milestones!$AA$186)&gt;=$S126),$V126,IF(AND($R126&lt;&gt;"",EDATE($D126,Milestones!$AA$186)&gt;=$R126),$U126,$T126)))=Milestones!$AB$186),TEXT(EDATE($D126,Milestones!$AA$186),"dd/mm/yy")&amp;" "&amp;Milestones!$AB$186&amp;" "&amp;Milestones!$AC$186&amp;";  ","")&amp;IF(AND(EDATE($D126,Milestones!$AA$187)&lt;=AsOfDate,IF($Q126=0,$W126,IF(AND($S126&lt;&gt;"",EDATE($D126,Milestones!$AA$187)&gt;=$S126),$V126,IF(AND($R126&lt;&gt;"",EDATE($D126,Milestones!$AA$187)&gt;=$R126),$U126,$T126)))=Milestones!$AB$187),TEXT(EDATE($D126,Milestones!$AA$187),"dd/mm/yy")&amp;" "&amp;Milestones!$AB$187&amp;" "&amp;Milestones!$AC$187&amp;";  ","")&amp;IF(AND(EDATE($D126,Milestones!$AA$188)&lt;=AsOfDate,IF($Q126=0,$W126,IF(AND($S126&lt;&gt;"",EDATE($D126,Milestones!$AA$188)&gt;=$S126),$V126,IF(AND($R126&lt;&gt;"",EDATE($D126,Milestones!$AA$188)&gt;=$R126),$U126,$T126)))=Milestones!$AB$188),TEXT(EDATE($D126,Milestones!$AA$188),"dd/mm/yy")&amp;" "&amp;Milestones!$AB$188&amp;" "&amp;Milestones!$AC$188&amp;";  ","")&amp;IF(AND(EDATE($D126,Milestones!$AA$189)&lt;=AsOfDate,IF($Q126=0,$W126,IF(AND($S126&lt;&gt;"",EDATE($D126,Milestones!$AA$189)&gt;=$S126),$V126,IF(AND($R126&lt;&gt;"",EDATE($D126,Milestones!$AA$189)&gt;=$R126),$U126,$T126)))=Milestones!$AB$189),TEXT(EDATE($D126,Milestones!$AA$189),"dd/mm/yy")&amp;" "&amp;Milestones!$AB$189&amp;" "&amp;Milestones!$AC$189&amp;";  ","")&amp;IF(AND(EDATE($D126,Milestones!$AA$190)&lt;=AsOfDate,IF($Q126=0,$W126,IF(AND($S126&lt;&gt;"",EDATE($D126,Milestones!$AA$190)&gt;=$S126),$V126,IF(AND($R126&lt;&gt;"",EDATE($D126,Milestones!$AA$190)&gt;=$R126),$U126,$T126)))=Milestones!$AB$190),TEXT(EDATE($D126,Milestones!$AA$190),"dd/mm/yy")&amp;" "&amp;Milestones!$AB$190&amp;" "&amp;Milestones!$AC$190&amp;";  ","")&amp;IF(AND(EDATE($D126,Milestones!$AA$191)&lt;=AsOfDate,IF($Q126=0,$W126,IF(AND($S126&lt;&gt;"",EDATE($D126,Milestones!$AA$191)&gt;=$S126),$V126,IF(AND($R126&lt;&gt;"",EDATE($D126,Milestones!$AA$191)&gt;=$R126),$U126,$T126)))=Milestones!$AB$191),TEXT(EDATE($D126,Milestones!$AA$191),"dd/mm/yy")&amp;" "&amp;Milestones!$AB$191&amp;" "&amp;Milestones!$AC$191&amp;";  ","")&amp;IF(AND(EDATE($D126,Milestones!$AA$192)&lt;=AsOfDate,IF($Q126=0,$W126,IF(AND($S126&lt;&gt;"",EDATE($D126,Milestones!$AA$192)&gt;=$S126),$V126,IF(AND($R126&lt;&gt;"",EDATE($D126,Milestones!$AA$192)&gt;=$R126),$U126,$T126)))=Milestones!$AB$192),TEXT(EDATE($D126,Milestones!$AA$192),"dd/mm/yy")&amp;" "&amp;Milestones!$AB$192&amp;" "&amp;Milestones!$AC$192&amp;";  ","")&amp;IF(AND(EDATE($D126,Milestones!$AA$193)&lt;=AsOfDate,IF($Q126=0,$W126,IF(AND($S126&lt;&gt;"",EDATE($D126,Milestones!$AA$193)&gt;=$S126),$V126,IF(AND($R126&lt;&gt;"",EDATE($D126,Milestones!$AA$193)&gt;=$R126),$U126,$T126)))=Milestones!$AB$193),TEXT(EDATE($D126,Milestones!$AA$193),"dd/mm/yy")&amp;" "&amp;Milestones!$AB$193&amp;" "&amp;Milestones!$AC$193&amp;";  ","")&amp;IF(AND(EDATE($D126,Milestones!$AA$194)&lt;=AsOfDate,IF($Q126=0,$W126,IF(AND($S126&lt;&gt;"",EDATE($D126,Milestones!$AA$194)&gt;=$S126),$V126,IF(AND($R126&lt;&gt;"",EDATE($D126,Milestones!$AA$194)&gt;=$R126),$U126,$T126)))=Milestones!$AB$194),TEXT(EDATE($D126,Milestones!$AA$194),"dd/mm/yy")&amp;" "&amp;Milestones!$AB$194&amp;" "&amp;Milestones!$AC$194&amp;";  ","")&amp;IF(AND(EDATE($D126,Milestones!$AA$195)&lt;=AsOfDate,IF($Q126=0,$W126,IF(AND($S126&lt;&gt;"",EDATE($D126,Milestones!$AA$195)&gt;=$S126),$V126,IF(AND($R126&lt;&gt;"",EDATE($D126,Milestones!$AA$195)&gt;=$R126),$U126,$T126)))=Milestones!$AB$195),TEXT(EDATE($D126,Milestones!$AA$195),"dd/mm/yy")&amp;" "&amp;Milestones!$AB$195&amp;" "&amp;Milestones!$AC$195&amp;";  ","")&amp;IF(AND(EDATE($D126,Milestones!$AA$196)&lt;=AsOfDate,IF($Q126=0,$W126,IF(AND($S126&lt;&gt;"",EDATE($D126,Milestones!$AA$196)&gt;=$S126),$V126,IF(AND($R126&lt;&gt;"",EDATE($D126,Milestones!$AA$196)&gt;=$R126),$U126,$T126)))=Milestones!$AB$196),TEXT(EDATE($D126,Milestones!$AA$196),"dd/mm/yy")&amp;" "&amp;Milestones!$AB$196&amp;" "&amp;Milestones!$AC$196&amp;";  ","")&amp;IF(AND(EDATE($D126,Milestones!$AA$197)&lt;=AsOfDate,IF($Q126=0,$W126,IF(AND($S126&lt;&gt;"",EDATE($D126,Milestones!$AA$197)&gt;=$S126),$V126,IF(AND($R126&lt;&gt;"",EDATE($D126,Milestones!$AA$197)&gt;=$R126),$U126,$T126)))=Milestones!$AB$197),TEXT(EDATE($D126,Milestones!$AA$197),"dd/mm/yy")&amp;" "&amp;Milestones!$AB$197&amp;" "&amp;Milestones!$AC$197&amp;";  ","")&amp;IF(AND(EDATE($D126,Milestones!$AA$198)&lt;=AsOfDate,IF($Q126=0,$W126,IF(AND($S126&lt;&gt;"",EDATE($D126,Milestones!$AA$198)&gt;=$S126),$V126,IF(AND($R126&lt;&gt;"",EDATE($D126,Milestones!$AA$198)&gt;=$R126),$U126,$T126)))=Milestones!$AB$198),TEXT(EDATE($D126,Milestones!$AA$198),"dd/mm/yy")&amp;" "&amp;Milestones!$AB$198&amp;" "&amp;Milestones!$AC$198&amp;";  ","")&amp;IF(AND(EDATE($D126,Milestones!$AA$199)&lt;=AsOfDate,IF($Q126=0,$W126,IF(AND($S126&lt;&gt;"",EDATE($D126,Milestones!$AA$199)&gt;=$S126),$V126,IF(AND($R126&lt;&gt;"",EDATE($D126,Milestones!$AA$199)&gt;=$R126),$U126,$T126)))=Milestones!$AB$199),TEXT(EDATE($D126,Milestones!$AA$199),"dd/mm/yy")&amp;" "&amp;Milestones!$AB$199&amp;" "&amp;Milestones!$AC$199&amp;";  ",""))</f>
        <v/>
      </c>
      <c r="Q126" s="0" t="str">
        <f aca="false">IF(Staff!$A126="","",Staff!$AG126)</f>
        <v/>
      </c>
      <c r="R126" s="0" t="str">
        <f aca="false">IF(Staff!$A126="","",Staff!$AI126)</f>
        <v/>
      </c>
      <c r="S126" s="0" t="str">
        <f aca="false">IF(Staff!$A126="","",Staff!$AJ126)</f>
        <v/>
      </c>
      <c r="T126" s="0" t="str">
        <f aca="false">IF(Staff!$A126="","",Staff!$AN126)</f>
        <v/>
      </c>
      <c r="U126" s="0" t="str">
        <f aca="false">IF(Staff!$A126="","",Staff!$AO126)</f>
        <v/>
      </c>
      <c r="V126" s="0" t="str">
        <f aca="false">IF(Staff!$A126="","",Staff!$AP126)</f>
        <v/>
      </c>
      <c r="W126" s="0" t="str">
        <f aca="false">IF(Staff!$A126="","",Staff!$AQ126)</f>
        <v/>
      </c>
    </row>
    <row r="127" customFormat="false" ht="15" hidden="false" customHeight="false" outlineLevel="0" collapsed="false">
      <c r="A127" s="13" t="str">
        <f aca="false">IF(Staff!$A127="","",Staff!$A127)</f>
        <v/>
      </c>
      <c r="B127" s="13" t="str">
        <f aca="false">IF(Staff!$A127="","",Staff!$B127)</f>
        <v/>
      </c>
      <c r="C127" s="13" t="str">
        <f aca="false">IF(Staff!$A127="","",Staff!$C127)</f>
        <v/>
      </c>
      <c r="D127" s="11" t="str">
        <f aca="false">IF(Staff!$A127="","",Staff!$AF127)</f>
        <v/>
      </c>
      <c r="E127" s="13" t="str">
        <f aca="false">IF(Staff!$A127="","",Staff!$O127)</f>
        <v/>
      </c>
      <c r="F127" s="13" t="str">
        <f aca="false">IF(E127="","",E127*HoursPerDay)</f>
        <v/>
      </c>
      <c r="G127" s="26" t="str">
        <f aca="false">IF($A127="","",H127&amp;I127&amp;J127&amp;K127&amp;L127&amp;M127&amp;N127&amp;O127&amp;P127)</f>
        <v/>
      </c>
      <c r="H127" s="0" t="str">
        <f aca="false">IF(OR($A127="",$D127=""),"",IF(AND(EDATE($D127,Milestones!$AA$20)&lt;=AsOfDate,IF($Q127=0,$W127,IF(AND($S127&lt;&gt;"",EDATE($D127,Milestones!$AA$20)&gt;=$S127),$V127,IF(AND($R127&lt;&gt;"",EDATE($D127,Milestones!$AA$20)&gt;=$R127),$U127,$T127)))=Milestones!$AB$20),TEXT(EDATE($D127,Milestones!$AA$20),"dd/mm/yy")&amp;" "&amp;Milestones!$AB$20&amp;" "&amp;Milestones!$AC$20&amp;";  ","")&amp;IF(AND(EDATE($D127,Milestones!$AA$21)&lt;=AsOfDate,IF($Q127=0,$W127,IF(AND($S127&lt;&gt;"",EDATE($D127,Milestones!$AA$21)&gt;=$S127),$V127,IF(AND($R127&lt;&gt;"",EDATE($D127,Milestones!$AA$21)&gt;=$R127),$U127,$T127)))=Milestones!$AB$21),TEXT(EDATE($D127,Milestones!$AA$21),"dd/mm/yy")&amp;" "&amp;Milestones!$AB$21&amp;" "&amp;Milestones!$AC$21&amp;";  ","")&amp;IF(AND(EDATE($D127,Milestones!$AA$22)&lt;=AsOfDate,IF($Q127=0,$W127,IF(AND($S127&lt;&gt;"",EDATE($D127,Milestones!$AA$22)&gt;=$S127),$V127,IF(AND($R127&lt;&gt;"",EDATE($D127,Milestones!$AA$22)&gt;=$R127),$U127,$T127)))=Milestones!$AB$22),TEXT(EDATE($D127,Milestones!$AA$22),"dd/mm/yy")&amp;" "&amp;Milestones!$AB$22&amp;" "&amp;Milestones!$AC$22&amp;";  ","")&amp;IF(AND(EDATE($D127,Milestones!$AA$23)&lt;=AsOfDate,IF($Q127=0,$W127,IF(AND($S127&lt;&gt;"",EDATE($D127,Milestones!$AA$23)&gt;=$S127),$V127,IF(AND($R127&lt;&gt;"",EDATE($D127,Milestones!$AA$23)&gt;=$R127),$U127,$T127)))=Milestones!$AB$23),TEXT(EDATE($D127,Milestones!$AA$23),"dd/mm/yy")&amp;" "&amp;Milestones!$AB$23&amp;" "&amp;Milestones!$AC$23&amp;";  ","")&amp;IF(AND(EDATE($D127,Milestones!$AA$24)&lt;=AsOfDate,IF($Q127=0,$W127,IF(AND($S127&lt;&gt;"",EDATE($D127,Milestones!$AA$24)&gt;=$S127),$V127,IF(AND($R127&lt;&gt;"",EDATE($D127,Milestones!$AA$24)&gt;=$R127),$U127,$T127)))=Milestones!$AB$24),TEXT(EDATE($D127,Milestones!$AA$24),"dd/mm/yy")&amp;" "&amp;Milestones!$AB$24&amp;" "&amp;Milestones!$AC$24&amp;";  ","")&amp;IF(AND(EDATE($D127,Milestones!$AA$25)&lt;=AsOfDate,IF($Q127=0,$W127,IF(AND($S127&lt;&gt;"",EDATE($D127,Milestones!$AA$25)&gt;=$S127),$V127,IF(AND($R127&lt;&gt;"",EDATE($D127,Milestones!$AA$25)&gt;=$R127),$U127,$T127)))=Milestones!$AB$25),TEXT(EDATE($D127,Milestones!$AA$25),"dd/mm/yy")&amp;" "&amp;Milestones!$AB$25&amp;" "&amp;Milestones!$AC$25&amp;";  ","")&amp;IF(AND(EDATE($D127,Milestones!$AA$26)&lt;=AsOfDate,IF($Q127=0,$W127,IF(AND($S127&lt;&gt;"",EDATE($D127,Milestones!$AA$26)&gt;=$S127),$V127,IF(AND($R127&lt;&gt;"",EDATE($D127,Milestones!$AA$26)&gt;=$R127),$U127,$T127)))=Milestones!$AB$26),TEXT(EDATE($D127,Milestones!$AA$26),"dd/mm/yy")&amp;" "&amp;Milestones!$AB$26&amp;" "&amp;Milestones!$AC$26&amp;";  ","")&amp;IF(AND(EDATE($D127,Milestones!$AA$27)&lt;=AsOfDate,IF($Q127=0,$W127,IF(AND($S127&lt;&gt;"",EDATE($D127,Milestones!$AA$27)&gt;=$S127),$V127,IF(AND($R127&lt;&gt;"",EDATE($D127,Milestones!$AA$27)&gt;=$R127),$U127,$T127)))=Milestones!$AB$27),TEXT(EDATE($D127,Milestones!$AA$27),"dd/mm/yy")&amp;" "&amp;Milestones!$AB$27&amp;" "&amp;Milestones!$AC$27&amp;";  ","")&amp;IF(AND(EDATE($D127,Milestones!$AA$28)&lt;=AsOfDate,IF($Q127=0,$W127,IF(AND($S127&lt;&gt;"",EDATE($D127,Milestones!$AA$28)&gt;=$S127),$V127,IF(AND($R127&lt;&gt;"",EDATE($D127,Milestones!$AA$28)&gt;=$R127),$U127,$T127)))=Milestones!$AB$28),TEXT(EDATE($D127,Milestones!$AA$28),"dd/mm/yy")&amp;" "&amp;Milestones!$AB$28&amp;" "&amp;Milestones!$AC$28&amp;";  ","")&amp;IF(AND(EDATE($D127,Milestones!$AA$29)&lt;=AsOfDate,IF($Q127=0,$W127,IF(AND($S127&lt;&gt;"",EDATE($D127,Milestones!$AA$29)&gt;=$S127),$V127,IF(AND($R127&lt;&gt;"",EDATE($D127,Milestones!$AA$29)&gt;=$R127),$U127,$T127)))=Milestones!$AB$29),TEXT(EDATE($D127,Milestones!$AA$29),"dd/mm/yy")&amp;" "&amp;Milestones!$AB$29&amp;" "&amp;Milestones!$AC$29&amp;";  ","")&amp;IF(AND(EDATE($D127,Milestones!$AA$30)&lt;=AsOfDate,IF($Q127=0,$W127,IF(AND($S127&lt;&gt;"",EDATE($D127,Milestones!$AA$30)&gt;=$S127),$V127,IF(AND($R127&lt;&gt;"",EDATE($D127,Milestones!$AA$30)&gt;=$R127),$U127,$T127)))=Milestones!$AB$30),TEXT(EDATE($D127,Milestones!$AA$30),"dd/mm/yy")&amp;" "&amp;Milestones!$AB$30&amp;" "&amp;Milestones!$AC$30&amp;";  ","")&amp;IF(AND(EDATE($D127,Milestones!$AA$31)&lt;=AsOfDate,IF($Q127=0,$W127,IF(AND($S127&lt;&gt;"",EDATE($D127,Milestones!$AA$31)&gt;=$S127),$V127,IF(AND($R127&lt;&gt;"",EDATE($D127,Milestones!$AA$31)&gt;=$R127),$U127,$T127)))=Milestones!$AB$31),TEXT(EDATE($D127,Milestones!$AA$31),"dd/mm/yy")&amp;" "&amp;Milestones!$AB$31&amp;" "&amp;Milestones!$AC$31&amp;";  ","")&amp;IF(AND(EDATE($D127,Milestones!$AA$32)&lt;=AsOfDate,IF($Q127=0,$W127,IF(AND($S127&lt;&gt;"",EDATE($D127,Milestones!$AA$32)&gt;=$S127),$V127,IF(AND($R127&lt;&gt;"",EDATE($D127,Milestones!$AA$32)&gt;=$R127),$U127,$T127)))=Milestones!$AB$32),TEXT(EDATE($D127,Milestones!$AA$32),"dd/mm/yy")&amp;" "&amp;Milestones!$AB$32&amp;" "&amp;Milestones!$AC$32&amp;";  ","")&amp;IF(AND(EDATE($D127,Milestones!$AA$33)&lt;=AsOfDate,IF($Q127=0,$W127,IF(AND($S127&lt;&gt;"",EDATE($D127,Milestones!$AA$33)&gt;=$S127),$V127,IF(AND($R127&lt;&gt;"",EDATE($D127,Milestones!$AA$33)&gt;=$R127),$U127,$T127)))=Milestones!$AB$33),TEXT(EDATE($D127,Milestones!$AA$33),"dd/mm/yy")&amp;" "&amp;Milestones!$AB$33&amp;" "&amp;Milestones!$AC$33&amp;";  ","")&amp;IF(AND(EDATE($D127,Milestones!$AA$34)&lt;=AsOfDate,IF($Q127=0,$W127,IF(AND($S127&lt;&gt;"",EDATE($D127,Milestones!$AA$34)&gt;=$S127),$V127,IF(AND($R127&lt;&gt;"",EDATE($D127,Milestones!$AA$34)&gt;=$R127),$U127,$T127)))=Milestones!$AB$34),TEXT(EDATE($D127,Milestones!$AA$34),"dd/mm/yy")&amp;" "&amp;Milestones!$AB$34&amp;" "&amp;Milestones!$AC$34&amp;";  ","")&amp;IF(AND(EDATE($D127,Milestones!$AA$35)&lt;=AsOfDate,IF($Q127=0,$W127,IF(AND($S127&lt;&gt;"",EDATE($D127,Milestones!$AA$35)&gt;=$S127),$V127,IF(AND($R127&lt;&gt;"",EDATE($D127,Milestones!$AA$35)&gt;=$R127),$U127,$T127)))=Milestones!$AB$35),TEXT(EDATE($D127,Milestones!$AA$35),"dd/mm/yy")&amp;" "&amp;Milestones!$AB$35&amp;" "&amp;Milestones!$AC$35&amp;";  ","")&amp;IF(AND(EDATE($D127,Milestones!$AA$36)&lt;=AsOfDate,IF($Q127=0,$W127,IF(AND($S127&lt;&gt;"",EDATE($D127,Milestones!$AA$36)&gt;=$S127),$V127,IF(AND($R127&lt;&gt;"",EDATE($D127,Milestones!$AA$36)&gt;=$R127),$U127,$T127)))=Milestones!$AB$36),TEXT(EDATE($D127,Milestones!$AA$36),"dd/mm/yy")&amp;" "&amp;Milestones!$AB$36&amp;" "&amp;Milestones!$AC$36&amp;";  ","")&amp;IF(AND(EDATE($D127,Milestones!$AA$37)&lt;=AsOfDate,IF($Q127=0,$W127,IF(AND($S127&lt;&gt;"",EDATE($D127,Milestones!$AA$37)&gt;=$S127),$V127,IF(AND($R127&lt;&gt;"",EDATE($D127,Milestones!$AA$37)&gt;=$R127),$U127,$T127)))=Milestones!$AB$37),TEXT(EDATE($D127,Milestones!$AA$37),"dd/mm/yy")&amp;" "&amp;Milestones!$AB$37&amp;" "&amp;Milestones!$AC$37&amp;";  ","")&amp;IF(AND(EDATE($D127,Milestones!$AA$38)&lt;=AsOfDate,IF($Q127=0,$W127,IF(AND($S127&lt;&gt;"",EDATE($D127,Milestones!$AA$38)&gt;=$S127),$V127,IF(AND($R127&lt;&gt;"",EDATE($D127,Milestones!$AA$38)&gt;=$R127),$U127,$T127)))=Milestones!$AB$38),TEXT(EDATE($D127,Milestones!$AA$38),"dd/mm/yy")&amp;" "&amp;Milestones!$AB$38&amp;" "&amp;Milestones!$AC$38&amp;";  ","")&amp;IF(AND(EDATE($D127,Milestones!$AA$39)&lt;=AsOfDate,IF($Q127=0,$W127,IF(AND($S127&lt;&gt;"",EDATE($D127,Milestones!$AA$39)&gt;=$S127),$V127,IF(AND($R127&lt;&gt;"",EDATE($D127,Milestones!$AA$39)&gt;=$R127),$U127,$T127)))=Milestones!$AB$39),TEXT(EDATE($D127,Milestones!$AA$39),"dd/mm/yy")&amp;" "&amp;Milestones!$AB$39&amp;" "&amp;Milestones!$AC$39&amp;";  ",""))</f>
        <v/>
      </c>
      <c r="I127" s="0" t="str">
        <f aca="false">IF(OR($A127="",$D127=""),"",IF(AND(EDATE($D127,Milestones!$AA$40)&lt;=AsOfDate,IF($Q127=0,$W127,IF(AND($S127&lt;&gt;"",EDATE($D127,Milestones!$AA$40)&gt;=$S127),$V127,IF(AND($R127&lt;&gt;"",EDATE($D127,Milestones!$AA$40)&gt;=$R127),$U127,$T127)))=Milestones!$AB$40),TEXT(EDATE($D127,Milestones!$AA$40),"dd/mm/yy")&amp;" "&amp;Milestones!$AB$40&amp;" "&amp;Milestones!$AC$40&amp;";  ","")&amp;IF(AND(EDATE($D127,Milestones!$AA$41)&lt;=AsOfDate,IF($Q127=0,$W127,IF(AND($S127&lt;&gt;"",EDATE($D127,Milestones!$AA$41)&gt;=$S127),$V127,IF(AND($R127&lt;&gt;"",EDATE($D127,Milestones!$AA$41)&gt;=$R127),$U127,$T127)))=Milestones!$AB$41),TEXT(EDATE($D127,Milestones!$AA$41),"dd/mm/yy")&amp;" "&amp;Milestones!$AB$41&amp;" "&amp;Milestones!$AC$41&amp;";  ","")&amp;IF(AND(EDATE($D127,Milestones!$AA$42)&lt;=AsOfDate,IF($Q127=0,$W127,IF(AND($S127&lt;&gt;"",EDATE($D127,Milestones!$AA$42)&gt;=$S127),$V127,IF(AND($R127&lt;&gt;"",EDATE($D127,Milestones!$AA$42)&gt;=$R127),$U127,$T127)))=Milestones!$AB$42),TEXT(EDATE($D127,Milestones!$AA$42),"dd/mm/yy")&amp;" "&amp;Milestones!$AB$42&amp;" "&amp;Milestones!$AC$42&amp;";  ","")&amp;IF(AND(EDATE($D127,Milestones!$AA$43)&lt;=AsOfDate,IF($Q127=0,$W127,IF(AND($S127&lt;&gt;"",EDATE($D127,Milestones!$AA$43)&gt;=$S127),$V127,IF(AND($R127&lt;&gt;"",EDATE($D127,Milestones!$AA$43)&gt;=$R127),$U127,$T127)))=Milestones!$AB$43),TEXT(EDATE($D127,Milestones!$AA$43),"dd/mm/yy")&amp;" "&amp;Milestones!$AB$43&amp;" "&amp;Milestones!$AC$43&amp;";  ","")&amp;IF(AND(EDATE($D127,Milestones!$AA$44)&lt;=AsOfDate,IF($Q127=0,$W127,IF(AND($S127&lt;&gt;"",EDATE($D127,Milestones!$AA$44)&gt;=$S127),$V127,IF(AND($R127&lt;&gt;"",EDATE($D127,Milestones!$AA$44)&gt;=$R127),$U127,$T127)))=Milestones!$AB$44),TEXT(EDATE($D127,Milestones!$AA$44),"dd/mm/yy")&amp;" "&amp;Milestones!$AB$44&amp;" "&amp;Milestones!$AC$44&amp;";  ","")&amp;IF(AND(EDATE($D127,Milestones!$AA$45)&lt;=AsOfDate,IF($Q127=0,$W127,IF(AND($S127&lt;&gt;"",EDATE($D127,Milestones!$AA$45)&gt;=$S127),$V127,IF(AND($R127&lt;&gt;"",EDATE($D127,Milestones!$AA$45)&gt;=$R127),$U127,$T127)))=Milestones!$AB$45),TEXT(EDATE($D127,Milestones!$AA$45),"dd/mm/yy")&amp;" "&amp;Milestones!$AB$45&amp;" "&amp;Milestones!$AC$45&amp;";  ","")&amp;IF(AND(EDATE($D127,Milestones!$AA$46)&lt;=AsOfDate,IF($Q127=0,$W127,IF(AND($S127&lt;&gt;"",EDATE($D127,Milestones!$AA$46)&gt;=$S127),$V127,IF(AND($R127&lt;&gt;"",EDATE($D127,Milestones!$AA$46)&gt;=$R127),$U127,$T127)))=Milestones!$AB$46),TEXT(EDATE($D127,Milestones!$AA$46),"dd/mm/yy")&amp;" "&amp;Milestones!$AB$46&amp;" "&amp;Milestones!$AC$46&amp;";  ","")&amp;IF(AND(EDATE($D127,Milestones!$AA$47)&lt;=AsOfDate,IF($Q127=0,$W127,IF(AND($S127&lt;&gt;"",EDATE($D127,Milestones!$AA$47)&gt;=$S127),$V127,IF(AND($R127&lt;&gt;"",EDATE($D127,Milestones!$AA$47)&gt;=$R127),$U127,$T127)))=Milestones!$AB$47),TEXT(EDATE($D127,Milestones!$AA$47),"dd/mm/yy")&amp;" "&amp;Milestones!$AB$47&amp;" "&amp;Milestones!$AC$47&amp;";  ","")&amp;IF(AND(EDATE($D127,Milestones!$AA$48)&lt;=AsOfDate,IF($Q127=0,$W127,IF(AND($S127&lt;&gt;"",EDATE($D127,Milestones!$AA$48)&gt;=$S127),$V127,IF(AND($R127&lt;&gt;"",EDATE($D127,Milestones!$AA$48)&gt;=$R127),$U127,$T127)))=Milestones!$AB$48),TEXT(EDATE($D127,Milestones!$AA$48),"dd/mm/yy")&amp;" "&amp;Milestones!$AB$48&amp;" "&amp;Milestones!$AC$48&amp;";  ","")&amp;IF(AND(EDATE($D127,Milestones!$AA$49)&lt;=AsOfDate,IF($Q127=0,$W127,IF(AND($S127&lt;&gt;"",EDATE($D127,Milestones!$AA$49)&gt;=$S127),$V127,IF(AND($R127&lt;&gt;"",EDATE($D127,Milestones!$AA$49)&gt;=$R127),$U127,$T127)))=Milestones!$AB$49),TEXT(EDATE($D127,Milestones!$AA$49),"dd/mm/yy")&amp;" "&amp;Milestones!$AB$49&amp;" "&amp;Milestones!$AC$49&amp;";  ","")&amp;IF(AND(EDATE($D127,Milestones!$AA$50)&lt;=AsOfDate,IF($Q127=0,$W127,IF(AND($S127&lt;&gt;"",EDATE($D127,Milestones!$AA$50)&gt;=$S127),$V127,IF(AND($R127&lt;&gt;"",EDATE($D127,Milestones!$AA$50)&gt;=$R127),$U127,$T127)))=Milestones!$AB$50),TEXT(EDATE($D127,Milestones!$AA$50),"dd/mm/yy")&amp;" "&amp;Milestones!$AB$50&amp;" "&amp;Milestones!$AC$50&amp;";  ","")&amp;IF(AND(EDATE($D127,Milestones!$AA$51)&lt;=AsOfDate,IF($Q127=0,$W127,IF(AND($S127&lt;&gt;"",EDATE($D127,Milestones!$AA$51)&gt;=$S127),$V127,IF(AND($R127&lt;&gt;"",EDATE($D127,Milestones!$AA$51)&gt;=$R127),$U127,$T127)))=Milestones!$AB$51),TEXT(EDATE($D127,Milestones!$AA$51),"dd/mm/yy")&amp;" "&amp;Milestones!$AB$51&amp;" "&amp;Milestones!$AC$51&amp;";  ","")&amp;IF(AND(EDATE($D127,Milestones!$AA$52)&lt;=AsOfDate,IF($Q127=0,$W127,IF(AND($S127&lt;&gt;"",EDATE($D127,Milestones!$AA$52)&gt;=$S127),$V127,IF(AND($R127&lt;&gt;"",EDATE($D127,Milestones!$AA$52)&gt;=$R127),$U127,$T127)))=Milestones!$AB$52),TEXT(EDATE($D127,Milestones!$AA$52),"dd/mm/yy")&amp;" "&amp;Milestones!$AB$52&amp;" "&amp;Milestones!$AC$52&amp;";  ","")&amp;IF(AND(EDATE($D127,Milestones!$AA$53)&lt;=AsOfDate,IF($Q127=0,$W127,IF(AND($S127&lt;&gt;"",EDATE($D127,Milestones!$AA$53)&gt;=$S127),$V127,IF(AND($R127&lt;&gt;"",EDATE($D127,Milestones!$AA$53)&gt;=$R127),$U127,$T127)))=Milestones!$AB$53),TEXT(EDATE($D127,Milestones!$AA$53),"dd/mm/yy")&amp;" "&amp;Milestones!$AB$53&amp;" "&amp;Milestones!$AC$53&amp;";  ","")&amp;IF(AND(EDATE($D127,Milestones!$AA$54)&lt;=AsOfDate,IF($Q127=0,$W127,IF(AND($S127&lt;&gt;"",EDATE($D127,Milestones!$AA$54)&gt;=$S127),$V127,IF(AND($R127&lt;&gt;"",EDATE($D127,Milestones!$AA$54)&gt;=$R127),$U127,$T127)))=Milestones!$AB$54),TEXT(EDATE($D127,Milestones!$AA$54),"dd/mm/yy")&amp;" "&amp;Milestones!$AB$54&amp;" "&amp;Milestones!$AC$54&amp;";  ","")&amp;IF(AND(EDATE($D127,Milestones!$AA$55)&lt;=AsOfDate,IF($Q127=0,$W127,IF(AND($S127&lt;&gt;"",EDATE($D127,Milestones!$AA$55)&gt;=$S127),$V127,IF(AND($R127&lt;&gt;"",EDATE($D127,Milestones!$AA$55)&gt;=$R127),$U127,$T127)))=Milestones!$AB$55),TEXT(EDATE($D127,Milestones!$AA$55),"dd/mm/yy")&amp;" "&amp;Milestones!$AB$55&amp;" "&amp;Milestones!$AC$55&amp;";  ","")&amp;IF(AND(EDATE($D127,Milestones!$AA$56)&lt;=AsOfDate,IF($Q127=0,$W127,IF(AND($S127&lt;&gt;"",EDATE($D127,Milestones!$AA$56)&gt;=$S127),$V127,IF(AND($R127&lt;&gt;"",EDATE($D127,Milestones!$AA$56)&gt;=$R127),$U127,$T127)))=Milestones!$AB$56),TEXT(EDATE($D127,Milestones!$AA$56),"dd/mm/yy")&amp;" "&amp;Milestones!$AB$56&amp;" "&amp;Milestones!$AC$56&amp;";  ","")&amp;IF(AND(EDATE($D127,Milestones!$AA$57)&lt;=AsOfDate,IF($Q127=0,$W127,IF(AND($S127&lt;&gt;"",EDATE($D127,Milestones!$AA$57)&gt;=$S127),$V127,IF(AND($R127&lt;&gt;"",EDATE($D127,Milestones!$AA$57)&gt;=$R127),$U127,$T127)))=Milestones!$AB$57),TEXT(EDATE($D127,Milestones!$AA$57),"dd/mm/yy")&amp;" "&amp;Milestones!$AB$57&amp;" "&amp;Milestones!$AC$57&amp;";  ","")&amp;IF(AND(EDATE($D127,Milestones!$AA$58)&lt;=AsOfDate,IF($Q127=0,$W127,IF(AND($S127&lt;&gt;"",EDATE($D127,Milestones!$AA$58)&gt;=$S127),$V127,IF(AND($R127&lt;&gt;"",EDATE($D127,Milestones!$AA$58)&gt;=$R127),$U127,$T127)))=Milestones!$AB$58),TEXT(EDATE($D127,Milestones!$AA$58),"dd/mm/yy")&amp;" "&amp;Milestones!$AB$58&amp;" "&amp;Milestones!$AC$58&amp;";  ","")&amp;IF(AND(EDATE($D127,Milestones!$AA$59)&lt;=AsOfDate,IF($Q127=0,$W127,IF(AND($S127&lt;&gt;"",EDATE($D127,Milestones!$AA$59)&gt;=$S127),$V127,IF(AND($R127&lt;&gt;"",EDATE($D127,Milestones!$AA$59)&gt;=$R127),$U127,$T127)))=Milestones!$AB$59),TEXT(EDATE($D127,Milestones!$AA$59),"dd/mm/yy")&amp;" "&amp;Milestones!$AB$59&amp;" "&amp;Milestones!$AC$59&amp;";  ",""))</f>
        <v/>
      </c>
      <c r="J127" s="0" t="str">
        <f aca="false">IF(OR($A127="",$D127=""),"",IF(AND(EDATE($D127,Milestones!$AA$60)&lt;=AsOfDate,IF($Q127=0,$W127,IF(AND($S127&lt;&gt;"",EDATE($D127,Milestones!$AA$60)&gt;=$S127),$V127,IF(AND($R127&lt;&gt;"",EDATE($D127,Milestones!$AA$60)&gt;=$R127),$U127,$T127)))=Milestones!$AB$60),TEXT(EDATE($D127,Milestones!$AA$60),"dd/mm/yy")&amp;" "&amp;Milestones!$AB$60&amp;" "&amp;Milestones!$AC$60&amp;";  ","")&amp;IF(AND(EDATE($D127,Milestones!$AA$61)&lt;=AsOfDate,IF($Q127=0,$W127,IF(AND($S127&lt;&gt;"",EDATE($D127,Milestones!$AA$61)&gt;=$S127),$V127,IF(AND($R127&lt;&gt;"",EDATE($D127,Milestones!$AA$61)&gt;=$R127),$U127,$T127)))=Milestones!$AB$61),TEXT(EDATE($D127,Milestones!$AA$61),"dd/mm/yy")&amp;" "&amp;Milestones!$AB$61&amp;" "&amp;Milestones!$AC$61&amp;";  ","")&amp;IF(AND(EDATE($D127,Milestones!$AA$62)&lt;=AsOfDate,IF($Q127=0,$W127,IF(AND($S127&lt;&gt;"",EDATE($D127,Milestones!$AA$62)&gt;=$S127),$V127,IF(AND($R127&lt;&gt;"",EDATE($D127,Milestones!$AA$62)&gt;=$R127),$U127,$T127)))=Milestones!$AB$62),TEXT(EDATE($D127,Milestones!$AA$62),"dd/mm/yy")&amp;" "&amp;Milestones!$AB$62&amp;" "&amp;Milestones!$AC$62&amp;";  ","")&amp;IF(AND(EDATE($D127,Milestones!$AA$63)&lt;=AsOfDate,IF($Q127=0,$W127,IF(AND($S127&lt;&gt;"",EDATE($D127,Milestones!$AA$63)&gt;=$S127),$V127,IF(AND($R127&lt;&gt;"",EDATE($D127,Milestones!$AA$63)&gt;=$R127),$U127,$T127)))=Milestones!$AB$63),TEXT(EDATE($D127,Milestones!$AA$63),"dd/mm/yy")&amp;" "&amp;Milestones!$AB$63&amp;" "&amp;Milestones!$AC$63&amp;";  ","")&amp;IF(AND(EDATE($D127,Milestones!$AA$64)&lt;=AsOfDate,IF($Q127=0,$W127,IF(AND($S127&lt;&gt;"",EDATE($D127,Milestones!$AA$64)&gt;=$S127),$V127,IF(AND($R127&lt;&gt;"",EDATE($D127,Milestones!$AA$64)&gt;=$R127),$U127,$T127)))=Milestones!$AB$64),TEXT(EDATE($D127,Milestones!$AA$64),"dd/mm/yy")&amp;" "&amp;Milestones!$AB$64&amp;" "&amp;Milestones!$AC$64&amp;";  ","")&amp;IF(AND(EDATE($D127,Milestones!$AA$65)&lt;=AsOfDate,IF($Q127=0,$W127,IF(AND($S127&lt;&gt;"",EDATE($D127,Milestones!$AA$65)&gt;=$S127),$V127,IF(AND($R127&lt;&gt;"",EDATE($D127,Milestones!$AA$65)&gt;=$R127),$U127,$T127)))=Milestones!$AB$65),TEXT(EDATE($D127,Milestones!$AA$65),"dd/mm/yy")&amp;" "&amp;Milestones!$AB$65&amp;" "&amp;Milestones!$AC$65&amp;";  ","")&amp;IF(AND(EDATE($D127,Milestones!$AA$66)&lt;=AsOfDate,IF($Q127=0,$W127,IF(AND($S127&lt;&gt;"",EDATE($D127,Milestones!$AA$66)&gt;=$S127),$V127,IF(AND($R127&lt;&gt;"",EDATE($D127,Milestones!$AA$66)&gt;=$R127),$U127,$T127)))=Milestones!$AB$66),TEXT(EDATE($D127,Milestones!$AA$66),"dd/mm/yy")&amp;" "&amp;Milestones!$AB$66&amp;" "&amp;Milestones!$AC$66&amp;";  ","")&amp;IF(AND(EDATE($D127,Milestones!$AA$67)&lt;=AsOfDate,IF($Q127=0,$W127,IF(AND($S127&lt;&gt;"",EDATE($D127,Milestones!$AA$67)&gt;=$S127),$V127,IF(AND($R127&lt;&gt;"",EDATE($D127,Milestones!$AA$67)&gt;=$R127),$U127,$T127)))=Milestones!$AB$67),TEXT(EDATE($D127,Milestones!$AA$67),"dd/mm/yy")&amp;" "&amp;Milestones!$AB$67&amp;" "&amp;Milestones!$AC$67&amp;";  ","")&amp;IF(AND(EDATE($D127,Milestones!$AA$68)&lt;=AsOfDate,IF($Q127=0,$W127,IF(AND($S127&lt;&gt;"",EDATE($D127,Milestones!$AA$68)&gt;=$S127),$V127,IF(AND($R127&lt;&gt;"",EDATE($D127,Milestones!$AA$68)&gt;=$R127),$U127,$T127)))=Milestones!$AB$68),TEXT(EDATE($D127,Milestones!$AA$68),"dd/mm/yy")&amp;" "&amp;Milestones!$AB$68&amp;" "&amp;Milestones!$AC$68&amp;";  ","")&amp;IF(AND(EDATE($D127,Milestones!$AA$69)&lt;=AsOfDate,IF($Q127=0,$W127,IF(AND($S127&lt;&gt;"",EDATE($D127,Milestones!$AA$69)&gt;=$S127),$V127,IF(AND($R127&lt;&gt;"",EDATE($D127,Milestones!$AA$69)&gt;=$R127),$U127,$T127)))=Milestones!$AB$69),TEXT(EDATE($D127,Milestones!$AA$69),"dd/mm/yy")&amp;" "&amp;Milestones!$AB$69&amp;" "&amp;Milestones!$AC$69&amp;";  ","")&amp;IF(AND(EDATE($D127,Milestones!$AA$70)&lt;=AsOfDate,IF($Q127=0,$W127,IF(AND($S127&lt;&gt;"",EDATE($D127,Milestones!$AA$70)&gt;=$S127),$V127,IF(AND($R127&lt;&gt;"",EDATE($D127,Milestones!$AA$70)&gt;=$R127),$U127,$T127)))=Milestones!$AB$70),TEXT(EDATE($D127,Milestones!$AA$70),"dd/mm/yy")&amp;" "&amp;Milestones!$AB$70&amp;" "&amp;Milestones!$AC$70&amp;";  ","")&amp;IF(AND(EDATE($D127,Milestones!$AA$71)&lt;=AsOfDate,IF($Q127=0,$W127,IF(AND($S127&lt;&gt;"",EDATE($D127,Milestones!$AA$71)&gt;=$S127),$V127,IF(AND($R127&lt;&gt;"",EDATE($D127,Milestones!$AA$71)&gt;=$R127),$U127,$T127)))=Milestones!$AB$71),TEXT(EDATE($D127,Milestones!$AA$71),"dd/mm/yy")&amp;" "&amp;Milestones!$AB$71&amp;" "&amp;Milestones!$AC$71&amp;";  ","")&amp;IF(AND(EDATE($D127,Milestones!$AA$72)&lt;=AsOfDate,IF($Q127=0,$W127,IF(AND($S127&lt;&gt;"",EDATE($D127,Milestones!$AA$72)&gt;=$S127),$V127,IF(AND($R127&lt;&gt;"",EDATE($D127,Milestones!$AA$72)&gt;=$R127),$U127,$T127)))=Milestones!$AB$72),TEXT(EDATE($D127,Milestones!$AA$72),"dd/mm/yy")&amp;" "&amp;Milestones!$AB$72&amp;" "&amp;Milestones!$AC$72&amp;";  ","")&amp;IF(AND(EDATE($D127,Milestones!$AA$73)&lt;=AsOfDate,IF($Q127=0,$W127,IF(AND($S127&lt;&gt;"",EDATE($D127,Milestones!$AA$73)&gt;=$S127),$V127,IF(AND($R127&lt;&gt;"",EDATE($D127,Milestones!$AA$73)&gt;=$R127),$U127,$T127)))=Milestones!$AB$73),TEXT(EDATE($D127,Milestones!$AA$73),"dd/mm/yy")&amp;" "&amp;Milestones!$AB$73&amp;" "&amp;Milestones!$AC$73&amp;";  ","")&amp;IF(AND(EDATE($D127,Milestones!$AA$74)&lt;=AsOfDate,IF($Q127=0,$W127,IF(AND($S127&lt;&gt;"",EDATE($D127,Milestones!$AA$74)&gt;=$S127),$V127,IF(AND($R127&lt;&gt;"",EDATE($D127,Milestones!$AA$74)&gt;=$R127),$U127,$T127)))=Milestones!$AB$74),TEXT(EDATE($D127,Milestones!$AA$74),"dd/mm/yy")&amp;" "&amp;Milestones!$AB$74&amp;" "&amp;Milestones!$AC$74&amp;";  ","")&amp;IF(AND(EDATE($D127,Milestones!$AA$75)&lt;=AsOfDate,IF($Q127=0,$W127,IF(AND($S127&lt;&gt;"",EDATE($D127,Milestones!$AA$75)&gt;=$S127),$V127,IF(AND($R127&lt;&gt;"",EDATE($D127,Milestones!$AA$75)&gt;=$R127),$U127,$T127)))=Milestones!$AB$75),TEXT(EDATE($D127,Milestones!$AA$75),"dd/mm/yy")&amp;" "&amp;Milestones!$AB$75&amp;" "&amp;Milestones!$AC$75&amp;";  ","")&amp;IF(AND(EDATE($D127,Milestones!$AA$76)&lt;=AsOfDate,IF($Q127=0,$W127,IF(AND($S127&lt;&gt;"",EDATE($D127,Milestones!$AA$76)&gt;=$S127),$V127,IF(AND($R127&lt;&gt;"",EDATE($D127,Milestones!$AA$76)&gt;=$R127),$U127,$T127)))=Milestones!$AB$76),TEXT(EDATE($D127,Milestones!$AA$76),"dd/mm/yy")&amp;" "&amp;Milestones!$AB$76&amp;" "&amp;Milestones!$AC$76&amp;";  ","")&amp;IF(AND(EDATE($D127,Milestones!$AA$77)&lt;=AsOfDate,IF($Q127=0,$W127,IF(AND($S127&lt;&gt;"",EDATE($D127,Milestones!$AA$77)&gt;=$S127),$V127,IF(AND($R127&lt;&gt;"",EDATE($D127,Milestones!$AA$77)&gt;=$R127),$U127,$T127)))=Milestones!$AB$77),TEXT(EDATE($D127,Milestones!$AA$77),"dd/mm/yy")&amp;" "&amp;Milestones!$AB$77&amp;" "&amp;Milestones!$AC$77&amp;";  ","")&amp;IF(AND(EDATE($D127,Milestones!$AA$78)&lt;=AsOfDate,IF($Q127=0,$W127,IF(AND($S127&lt;&gt;"",EDATE($D127,Milestones!$AA$78)&gt;=$S127),$V127,IF(AND($R127&lt;&gt;"",EDATE($D127,Milestones!$AA$78)&gt;=$R127),$U127,$T127)))=Milestones!$AB$78),TEXT(EDATE($D127,Milestones!$AA$78),"dd/mm/yy")&amp;" "&amp;Milestones!$AB$78&amp;" "&amp;Milestones!$AC$78&amp;";  ","")&amp;IF(AND(EDATE($D127,Milestones!$AA$79)&lt;=AsOfDate,IF($Q127=0,$W127,IF(AND($S127&lt;&gt;"",EDATE($D127,Milestones!$AA$79)&gt;=$S127),$V127,IF(AND($R127&lt;&gt;"",EDATE($D127,Milestones!$AA$79)&gt;=$R127),$U127,$T127)))=Milestones!$AB$79),TEXT(EDATE($D127,Milestones!$AA$79),"dd/mm/yy")&amp;" "&amp;Milestones!$AB$79&amp;" "&amp;Milestones!$AC$79&amp;";  ",""))</f>
        <v/>
      </c>
      <c r="K127" s="0" t="str">
        <f aca="false">IF(OR($A127="",$D127=""),"",IF(AND(EDATE($D127,Milestones!$AA$80)&lt;=AsOfDate,IF($Q127=0,$W127,IF(AND($S127&lt;&gt;"",EDATE($D127,Milestones!$AA$80)&gt;=$S127),$V127,IF(AND($R127&lt;&gt;"",EDATE($D127,Milestones!$AA$80)&gt;=$R127),$U127,$T127)))=Milestones!$AB$80),TEXT(EDATE($D127,Milestones!$AA$80),"dd/mm/yy")&amp;" "&amp;Milestones!$AB$80&amp;" "&amp;Milestones!$AC$80&amp;";  ","")&amp;IF(AND(EDATE($D127,Milestones!$AA$81)&lt;=AsOfDate,IF($Q127=0,$W127,IF(AND($S127&lt;&gt;"",EDATE($D127,Milestones!$AA$81)&gt;=$S127),$V127,IF(AND($R127&lt;&gt;"",EDATE($D127,Milestones!$AA$81)&gt;=$R127),$U127,$T127)))=Milestones!$AB$81),TEXT(EDATE($D127,Milestones!$AA$81),"dd/mm/yy")&amp;" "&amp;Milestones!$AB$81&amp;" "&amp;Milestones!$AC$81&amp;";  ","")&amp;IF(AND(EDATE($D127,Milestones!$AA$82)&lt;=AsOfDate,IF($Q127=0,$W127,IF(AND($S127&lt;&gt;"",EDATE($D127,Milestones!$AA$82)&gt;=$S127),$V127,IF(AND($R127&lt;&gt;"",EDATE($D127,Milestones!$AA$82)&gt;=$R127),$U127,$T127)))=Milestones!$AB$82),TEXT(EDATE($D127,Milestones!$AA$82),"dd/mm/yy")&amp;" "&amp;Milestones!$AB$82&amp;" "&amp;Milestones!$AC$82&amp;";  ","")&amp;IF(AND(EDATE($D127,Milestones!$AA$83)&lt;=AsOfDate,IF($Q127=0,$W127,IF(AND($S127&lt;&gt;"",EDATE($D127,Milestones!$AA$83)&gt;=$S127),$V127,IF(AND($R127&lt;&gt;"",EDATE($D127,Milestones!$AA$83)&gt;=$R127),$U127,$T127)))=Milestones!$AB$83),TEXT(EDATE($D127,Milestones!$AA$83),"dd/mm/yy")&amp;" "&amp;Milestones!$AB$83&amp;" "&amp;Milestones!$AC$83&amp;";  ","")&amp;IF(AND(EDATE($D127,Milestones!$AA$84)&lt;=AsOfDate,IF($Q127=0,$W127,IF(AND($S127&lt;&gt;"",EDATE($D127,Milestones!$AA$84)&gt;=$S127),$V127,IF(AND($R127&lt;&gt;"",EDATE($D127,Milestones!$AA$84)&gt;=$R127),$U127,$T127)))=Milestones!$AB$84),TEXT(EDATE($D127,Milestones!$AA$84),"dd/mm/yy")&amp;" "&amp;Milestones!$AB$84&amp;" "&amp;Milestones!$AC$84&amp;";  ","")&amp;IF(AND(EDATE($D127,Milestones!$AA$85)&lt;=AsOfDate,IF($Q127=0,$W127,IF(AND($S127&lt;&gt;"",EDATE($D127,Milestones!$AA$85)&gt;=$S127),$V127,IF(AND($R127&lt;&gt;"",EDATE($D127,Milestones!$AA$85)&gt;=$R127),$U127,$T127)))=Milestones!$AB$85),TEXT(EDATE($D127,Milestones!$AA$85),"dd/mm/yy")&amp;" "&amp;Milestones!$AB$85&amp;" "&amp;Milestones!$AC$85&amp;";  ","")&amp;IF(AND(EDATE($D127,Milestones!$AA$86)&lt;=AsOfDate,IF($Q127=0,$W127,IF(AND($S127&lt;&gt;"",EDATE($D127,Milestones!$AA$86)&gt;=$S127),$V127,IF(AND($R127&lt;&gt;"",EDATE($D127,Milestones!$AA$86)&gt;=$R127),$U127,$T127)))=Milestones!$AB$86),TEXT(EDATE($D127,Milestones!$AA$86),"dd/mm/yy")&amp;" "&amp;Milestones!$AB$86&amp;" "&amp;Milestones!$AC$86&amp;";  ","")&amp;IF(AND(EDATE($D127,Milestones!$AA$87)&lt;=AsOfDate,IF($Q127=0,$W127,IF(AND($S127&lt;&gt;"",EDATE($D127,Milestones!$AA$87)&gt;=$S127),$V127,IF(AND($R127&lt;&gt;"",EDATE($D127,Milestones!$AA$87)&gt;=$R127),$U127,$T127)))=Milestones!$AB$87),TEXT(EDATE($D127,Milestones!$AA$87),"dd/mm/yy")&amp;" "&amp;Milestones!$AB$87&amp;" "&amp;Milestones!$AC$87&amp;";  ","")&amp;IF(AND(EDATE($D127,Milestones!$AA$88)&lt;=AsOfDate,IF($Q127=0,$W127,IF(AND($S127&lt;&gt;"",EDATE($D127,Milestones!$AA$88)&gt;=$S127),$V127,IF(AND($R127&lt;&gt;"",EDATE($D127,Milestones!$AA$88)&gt;=$R127),$U127,$T127)))=Milestones!$AB$88),TEXT(EDATE($D127,Milestones!$AA$88),"dd/mm/yy")&amp;" "&amp;Milestones!$AB$88&amp;" "&amp;Milestones!$AC$88&amp;";  ","")&amp;IF(AND(EDATE($D127,Milestones!$AA$89)&lt;=AsOfDate,IF($Q127=0,$W127,IF(AND($S127&lt;&gt;"",EDATE($D127,Milestones!$AA$89)&gt;=$S127),$V127,IF(AND($R127&lt;&gt;"",EDATE($D127,Milestones!$AA$89)&gt;=$R127),$U127,$T127)))=Milestones!$AB$89),TEXT(EDATE($D127,Milestones!$AA$89),"dd/mm/yy")&amp;" "&amp;Milestones!$AB$89&amp;" "&amp;Milestones!$AC$89&amp;";  ","")&amp;IF(AND(EDATE($D127,Milestones!$AA$90)&lt;=AsOfDate,IF($Q127=0,$W127,IF(AND($S127&lt;&gt;"",EDATE($D127,Milestones!$AA$90)&gt;=$S127),$V127,IF(AND($R127&lt;&gt;"",EDATE($D127,Milestones!$AA$90)&gt;=$R127),$U127,$T127)))=Milestones!$AB$90),TEXT(EDATE($D127,Milestones!$AA$90),"dd/mm/yy")&amp;" "&amp;Milestones!$AB$90&amp;" "&amp;Milestones!$AC$90&amp;";  ","")&amp;IF(AND(EDATE($D127,Milestones!$AA$91)&lt;=AsOfDate,IF($Q127=0,$W127,IF(AND($S127&lt;&gt;"",EDATE($D127,Milestones!$AA$91)&gt;=$S127),$V127,IF(AND($R127&lt;&gt;"",EDATE($D127,Milestones!$AA$91)&gt;=$R127),$U127,$T127)))=Milestones!$AB$91),TEXT(EDATE($D127,Milestones!$AA$91),"dd/mm/yy")&amp;" "&amp;Milestones!$AB$91&amp;" "&amp;Milestones!$AC$91&amp;";  ","")&amp;IF(AND(EDATE($D127,Milestones!$AA$92)&lt;=AsOfDate,IF($Q127=0,$W127,IF(AND($S127&lt;&gt;"",EDATE($D127,Milestones!$AA$92)&gt;=$S127),$V127,IF(AND($R127&lt;&gt;"",EDATE($D127,Milestones!$AA$92)&gt;=$R127),$U127,$T127)))=Milestones!$AB$92),TEXT(EDATE($D127,Milestones!$AA$92),"dd/mm/yy")&amp;" "&amp;Milestones!$AB$92&amp;" "&amp;Milestones!$AC$92&amp;";  ","")&amp;IF(AND(EDATE($D127,Milestones!$AA$93)&lt;=AsOfDate,IF($Q127=0,$W127,IF(AND($S127&lt;&gt;"",EDATE($D127,Milestones!$AA$93)&gt;=$S127),$V127,IF(AND($R127&lt;&gt;"",EDATE($D127,Milestones!$AA$93)&gt;=$R127),$U127,$T127)))=Milestones!$AB$93),TEXT(EDATE($D127,Milestones!$AA$93),"dd/mm/yy")&amp;" "&amp;Milestones!$AB$93&amp;" "&amp;Milestones!$AC$93&amp;";  ","")&amp;IF(AND(EDATE($D127,Milestones!$AA$94)&lt;=AsOfDate,IF($Q127=0,$W127,IF(AND($S127&lt;&gt;"",EDATE($D127,Milestones!$AA$94)&gt;=$S127),$V127,IF(AND($R127&lt;&gt;"",EDATE($D127,Milestones!$AA$94)&gt;=$R127),$U127,$T127)))=Milestones!$AB$94),TEXT(EDATE($D127,Milestones!$AA$94),"dd/mm/yy")&amp;" "&amp;Milestones!$AB$94&amp;" "&amp;Milestones!$AC$94&amp;";  ","")&amp;IF(AND(EDATE($D127,Milestones!$AA$95)&lt;=AsOfDate,IF($Q127=0,$W127,IF(AND($S127&lt;&gt;"",EDATE($D127,Milestones!$AA$95)&gt;=$S127),$V127,IF(AND($R127&lt;&gt;"",EDATE($D127,Milestones!$AA$95)&gt;=$R127),$U127,$T127)))=Milestones!$AB$95),TEXT(EDATE($D127,Milestones!$AA$95),"dd/mm/yy")&amp;" "&amp;Milestones!$AB$95&amp;" "&amp;Milestones!$AC$95&amp;";  ","")&amp;IF(AND(EDATE($D127,Milestones!$AA$96)&lt;=AsOfDate,IF($Q127=0,$W127,IF(AND($S127&lt;&gt;"",EDATE($D127,Milestones!$AA$96)&gt;=$S127),$V127,IF(AND($R127&lt;&gt;"",EDATE($D127,Milestones!$AA$96)&gt;=$R127),$U127,$T127)))=Milestones!$AB$96),TEXT(EDATE($D127,Milestones!$AA$96),"dd/mm/yy")&amp;" "&amp;Milestones!$AB$96&amp;" "&amp;Milestones!$AC$96&amp;";  ","")&amp;IF(AND(EDATE($D127,Milestones!$AA$97)&lt;=AsOfDate,IF($Q127=0,$W127,IF(AND($S127&lt;&gt;"",EDATE($D127,Milestones!$AA$97)&gt;=$S127),$V127,IF(AND($R127&lt;&gt;"",EDATE($D127,Milestones!$AA$97)&gt;=$R127),$U127,$T127)))=Milestones!$AB$97),TEXT(EDATE($D127,Milestones!$AA$97),"dd/mm/yy")&amp;" "&amp;Milestones!$AB$97&amp;" "&amp;Milestones!$AC$97&amp;";  ","")&amp;IF(AND(EDATE($D127,Milestones!$AA$98)&lt;=AsOfDate,IF($Q127=0,$W127,IF(AND($S127&lt;&gt;"",EDATE($D127,Milestones!$AA$98)&gt;=$S127),$V127,IF(AND($R127&lt;&gt;"",EDATE($D127,Milestones!$AA$98)&gt;=$R127),$U127,$T127)))=Milestones!$AB$98),TEXT(EDATE($D127,Milestones!$AA$98),"dd/mm/yy")&amp;" "&amp;Milestones!$AB$98&amp;" "&amp;Milestones!$AC$98&amp;";  ","")&amp;IF(AND(EDATE($D127,Milestones!$AA$99)&lt;=AsOfDate,IF($Q127=0,$W127,IF(AND($S127&lt;&gt;"",EDATE($D127,Milestones!$AA$99)&gt;=$S127),$V127,IF(AND($R127&lt;&gt;"",EDATE($D127,Milestones!$AA$99)&gt;=$R127),$U127,$T127)))=Milestones!$AB$99),TEXT(EDATE($D127,Milestones!$AA$99),"dd/mm/yy")&amp;" "&amp;Milestones!$AB$99&amp;" "&amp;Milestones!$AC$99&amp;";  ",""))</f>
        <v/>
      </c>
      <c r="L127" s="0" t="str">
        <f aca="false">IF(OR($A127="",$D127=""),"",IF(AND(EDATE($D127,Milestones!$AA$100)&lt;=AsOfDate,IF($Q127=0,$W127,IF(AND($S127&lt;&gt;"",EDATE($D127,Milestones!$AA$100)&gt;=$S127),$V127,IF(AND($R127&lt;&gt;"",EDATE($D127,Milestones!$AA$100)&gt;=$R127),$U127,$T127)))=Milestones!$AB$100),TEXT(EDATE($D127,Milestones!$AA$100),"dd/mm/yy")&amp;" "&amp;Milestones!$AB$100&amp;" "&amp;Milestones!$AC$100&amp;";  ","")&amp;IF(AND(EDATE($D127,Milestones!$AA$101)&lt;=AsOfDate,IF($Q127=0,$W127,IF(AND($S127&lt;&gt;"",EDATE($D127,Milestones!$AA$101)&gt;=$S127),$V127,IF(AND($R127&lt;&gt;"",EDATE($D127,Milestones!$AA$101)&gt;=$R127),$U127,$T127)))=Milestones!$AB$101),TEXT(EDATE($D127,Milestones!$AA$101),"dd/mm/yy")&amp;" "&amp;Milestones!$AB$101&amp;" "&amp;Milestones!$AC$101&amp;";  ","")&amp;IF(AND(EDATE($D127,Milestones!$AA$102)&lt;=AsOfDate,IF($Q127=0,$W127,IF(AND($S127&lt;&gt;"",EDATE($D127,Milestones!$AA$102)&gt;=$S127),$V127,IF(AND($R127&lt;&gt;"",EDATE($D127,Milestones!$AA$102)&gt;=$R127),$U127,$T127)))=Milestones!$AB$102),TEXT(EDATE($D127,Milestones!$AA$102),"dd/mm/yy")&amp;" "&amp;Milestones!$AB$102&amp;" "&amp;Milestones!$AC$102&amp;";  ","")&amp;IF(AND(EDATE($D127,Milestones!$AA$103)&lt;=AsOfDate,IF($Q127=0,$W127,IF(AND($S127&lt;&gt;"",EDATE($D127,Milestones!$AA$103)&gt;=$S127),$V127,IF(AND($R127&lt;&gt;"",EDATE($D127,Milestones!$AA$103)&gt;=$R127),$U127,$T127)))=Milestones!$AB$103),TEXT(EDATE($D127,Milestones!$AA$103),"dd/mm/yy")&amp;" "&amp;Milestones!$AB$103&amp;" "&amp;Milestones!$AC$103&amp;";  ","")&amp;IF(AND(EDATE($D127,Milestones!$AA$104)&lt;=AsOfDate,IF($Q127=0,$W127,IF(AND($S127&lt;&gt;"",EDATE($D127,Milestones!$AA$104)&gt;=$S127),$V127,IF(AND($R127&lt;&gt;"",EDATE($D127,Milestones!$AA$104)&gt;=$R127),$U127,$T127)))=Milestones!$AB$104),TEXT(EDATE($D127,Milestones!$AA$104),"dd/mm/yy")&amp;" "&amp;Milestones!$AB$104&amp;" "&amp;Milestones!$AC$104&amp;";  ","")&amp;IF(AND(EDATE($D127,Milestones!$AA$105)&lt;=AsOfDate,IF($Q127=0,$W127,IF(AND($S127&lt;&gt;"",EDATE($D127,Milestones!$AA$105)&gt;=$S127),$V127,IF(AND($R127&lt;&gt;"",EDATE($D127,Milestones!$AA$105)&gt;=$R127),$U127,$T127)))=Milestones!$AB$105),TEXT(EDATE($D127,Milestones!$AA$105),"dd/mm/yy")&amp;" "&amp;Milestones!$AB$105&amp;" "&amp;Milestones!$AC$105&amp;";  ","")&amp;IF(AND(EDATE($D127,Milestones!$AA$106)&lt;=AsOfDate,IF($Q127=0,$W127,IF(AND($S127&lt;&gt;"",EDATE($D127,Milestones!$AA$106)&gt;=$S127),$V127,IF(AND($R127&lt;&gt;"",EDATE($D127,Milestones!$AA$106)&gt;=$R127),$U127,$T127)))=Milestones!$AB$106),TEXT(EDATE($D127,Milestones!$AA$106),"dd/mm/yy")&amp;" "&amp;Milestones!$AB$106&amp;" "&amp;Milestones!$AC$106&amp;";  ","")&amp;IF(AND(EDATE($D127,Milestones!$AA$107)&lt;=AsOfDate,IF($Q127=0,$W127,IF(AND($S127&lt;&gt;"",EDATE($D127,Milestones!$AA$107)&gt;=$S127),$V127,IF(AND($R127&lt;&gt;"",EDATE($D127,Milestones!$AA$107)&gt;=$R127),$U127,$T127)))=Milestones!$AB$107),TEXT(EDATE($D127,Milestones!$AA$107),"dd/mm/yy")&amp;" "&amp;Milestones!$AB$107&amp;" "&amp;Milestones!$AC$107&amp;";  ","")&amp;IF(AND(EDATE($D127,Milestones!$AA$108)&lt;=AsOfDate,IF($Q127=0,$W127,IF(AND($S127&lt;&gt;"",EDATE($D127,Milestones!$AA$108)&gt;=$S127),$V127,IF(AND($R127&lt;&gt;"",EDATE($D127,Milestones!$AA$108)&gt;=$R127),$U127,$T127)))=Milestones!$AB$108),TEXT(EDATE($D127,Milestones!$AA$108),"dd/mm/yy")&amp;" "&amp;Milestones!$AB$108&amp;" "&amp;Milestones!$AC$108&amp;";  ","")&amp;IF(AND(EDATE($D127,Milestones!$AA$109)&lt;=AsOfDate,IF($Q127=0,$W127,IF(AND($S127&lt;&gt;"",EDATE($D127,Milestones!$AA$109)&gt;=$S127),$V127,IF(AND($R127&lt;&gt;"",EDATE($D127,Milestones!$AA$109)&gt;=$R127),$U127,$T127)))=Milestones!$AB$109),TEXT(EDATE($D127,Milestones!$AA$109),"dd/mm/yy")&amp;" "&amp;Milestones!$AB$109&amp;" "&amp;Milestones!$AC$109&amp;";  ","")&amp;IF(AND(EDATE($D127,Milestones!$AA$110)&lt;=AsOfDate,IF($Q127=0,$W127,IF(AND($S127&lt;&gt;"",EDATE($D127,Milestones!$AA$110)&gt;=$S127),$V127,IF(AND($R127&lt;&gt;"",EDATE($D127,Milestones!$AA$110)&gt;=$R127),$U127,$T127)))=Milestones!$AB$110),TEXT(EDATE($D127,Milestones!$AA$110),"dd/mm/yy")&amp;" "&amp;Milestones!$AB$110&amp;" "&amp;Milestones!$AC$110&amp;";  ","")&amp;IF(AND(EDATE($D127,Milestones!$AA$111)&lt;=AsOfDate,IF($Q127=0,$W127,IF(AND($S127&lt;&gt;"",EDATE($D127,Milestones!$AA$111)&gt;=$S127),$V127,IF(AND($R127&lt;&gt;"",EDATE($D127,Milestones!$AA$111)&gt;=$R127),$U127,$T127)))=Milestones!$AB$111),TEXT(EDATE($D127,Milestones!$AA$111),"dd/mm/yy")&amp;" "&amp;Milestones!$AB$111&amp;" "&amp;Milestones!$AC$111&amp;";  ","")&amp;IF(AND(EDATE($D127,Milestones!$AA$112)&lt;=AsOfDate,IF($Q127=0,$W127,IF(AND($S127&lt;&gt;"",EDATE($D127,Milestones!$AA$112)&gt;=$S127),$V127,IF(AND($R127&lt;&gt;"",EDATE($D127,Milestones!$AA$112)&gt;=$R127),$U127,$T127)))=Milestones!$AB$112),TEXT(EDATE($D127,Milestones!$AA$112),"dd/mm/yy")&amp;" "&amp;Milestones!$AB$112&amp;" "&amp;Milestones!$AC$112&amp;";  ","")&amp;IF(AND(EDATE($D127,Milestones!$AA$113)&lt;=AsOfDate,IF($Q127=0,$W127,IF(AND($S127&lt;&gt;"",EDATE($D127,Milestones!$AA$113)&gt;=$S127),$V127,IF(AND($R127&lt;&gt;"",EDATE($D127,Milestones!$AA$113)&gt;=$R127),$U127,$T127)))=Milestones!$AB$113),TEXT(EDATE($D127,Milestones!$AA$113),"dd/mm/yy")&amp;" "&amp;Milestones!$AB$113&amp;" "&amp;Milestones!$AC$113&amp;";  ","")&amp;IF(AND(EDATE($D127,Milestones!$AA$114)&lt;=AsOfDate,IF($Q127=0,$W127,IF(AND($S127&lt;&gt;"",EDATE($D127,Milestones!$AA$114)&gt;=$S127),$V127,IF(AND($R127&lt;&gt;"",EDATE($D127,Milestones!$AA$114)&gt;=$R127),$U127,$T127)))=Milestones!$AB$114),TEXT(EDATE($D127,Milestones!$AA$114),"dd/mm/yy")&amp;" "&amp;Milestones!$AB$114&amp;" "&amp;Milestones!$AC$114&amp;";  ","")&amp;IF(AND(EDATE($D127,Milestones!$AA$115)&lt;=AsOfDate,IF($Q127=0,$W127,IF(AND($S127&lt;&gt;"",EDATE($D127,Milestones!$AA$115)&gt;=$S127),$V127,IF(AND($R127&lt;&gt;"",EDATE($D127,Milestones!$AA$115)&gt;=$R127),$U127,$T127)))=Milestones!$AB$115),TEXT(EDATE($D127,Milestones!$AA$115),"dd/mm/yy")&amp;" "&amp;Milestones!$AB$115&amp;" "&amp;Milestones!$AC$115&amp;";  ","")&amp;IF(AND(EDATE($D127,Milestones!$AA$116)&lt;=AsOfDate,IF($Q127=0,$W127,IF(AND($S127&lt;&gt;"",EDATE($D127,Milestones!$AA$116)&gt;=$S127),$V127,IF(AND($R127&lt;&gt;"",EDATE($D127,Milestones!$AA$116)&gt;=$R127),$U127,$T127)))=Milestones!$AB$116),TEXT(EDATE($D127,Milestones!$AA$116),"dd/mm/yy")&amp;" "&amp;Milestones!$AB$116&amp;" "&amp;Milestones!$AC$116&amp;";  ","")&amp;IF(AND(EDATE($D127,Milestones!$AA$117)&lt;=AsOfDate,IF($Q127=0,$W127,IF(AND($S127&lt;&gt;"",EDATE($D127,Milestones!$AA$117)&gt;=$S127),$V127,IF(AND($R127&lt;&gt;"",EDATE($D127,Milestones!$AA$117)&gt;=$R127),$U127,$T127)))=Milestones!$AB$117),TEXT(EDATE($D127,Milestones!$AA$117),"dd/mm/yy")&amp;" "&amp;Milestones!$AB$117&amp;" "&amp;Milestones!$AC$117&amp;";  ","")&amp;IF(AND(EDATE($D127,Milestones!$AA$118)&lt;=AsOfDate,IF($Q127=0,$W127,IF(AND($S127&lt;&gt;"",EDATE($D127,Milestones!$AA$118)&gt;=$S127),$V127,IF(AND($R127&lt;&gt;"",EDATE($D127,Milestones!$AA$118)&gt;=$R127),$U127,$T127)))=Milestones!$AB$118),TEXT(EDATE($D127,Milestones!$AA$118),"dd/mm/yy")&amp;" "&amp;Milestones!$AB$118&amp;" "&amp;Milestones!$AC$118&amp;";  ","")&amp;IF(AND(EDATE($D127,Milestones!$AA$119)&lt;=AsOfDate,IF($Q127=0,$W127,IF(AND($S127&lt;&gt;"",EDATE($D127,Milestones!$AA$119)&gt;=$S127),$V127,IF(AND($R127&lt;&gt;"",EDATE($D127,Milestones!$AA$119)&gt;=$R127),$U127,$T127)))=Milestones!$AB$119),TEXT(EDATE($D127,Milestones!$AA$119),"dd/mm/yy")&amp;" "&amp;Milestones!$AB$119&amp;" "&amp;Milestones!$AC$119&amp;";  ",""))</f>
        <v/>
      </c>
      <c r="M127" s="0" t="str">
        <f aca="false">IF(OR($A127="",$D127=""),"",IF(AND(EDATE($D127,Milestones!$AA$120)&lt;=AsOfDate,IF($Q127=0,$W127,IF(AND($S127&lt;&gt;"",EDATE($D127,Milestones!$AA$120)&gt;=$S127),$V127,IF(AND($R127&lt;&gt;"",EDATE($D127,Milestones!$AA$120)&gt;=$R127),$U127,$T127)))=Milestones!$AB$120),TEXT(EDATE($D127,Milestones!$AA$120),"dd/mm/yy")&amp;" "&amp;Milestones!$AB$120&amp;" "&amp;Milestones!$AC$120&amp;";  ","")&amp;IF(AND(EDATE($D127,Milestones!$AA$121)&lt;=AsOfDate,IF($Q127=0,$W127,IF(AND($S127&lt;&gt;"",EDATE($D127,Milestones!$AA$121)&gt;=$S127),$V127,IF(AND($R127&lt;&gt;"",EDATE($D127,Milestones!$AA$121)&gt;=$R127),$U127,$T127)))=Milestones!$AB$121),TEXT(EDATE($D127,Milestones!$AA$121),"dd/mm/yy")&amp;" "&amp;Milestones!$AB$121&amp;" "&amp;Milestones!$AC$121&amp;";  ","")&amp;IF(AND(EDATE($D127,Milestones!$AA$122)&lt;=AsOfDate,IF($Q127=0,$W127,IF(AND($S127&lt;&gt;"",EDATE($D127,Milestones!$AA$122)&gt;=$S127),$V127,IF(AND($R127&lt;&gt;"",EDATE($D127,Milestones!$AA$122)&gt;=$R127),$U127,$T127)))=Milestones!$AB$122),TEXT(EDATE($D127,Milestones!$AA$122),"dd/mm/yy")&amp;" "&amp;Milestones!$AB$122&amp;" "&amp;Milestones!$AC$122&amp;";  ","")&amp;IF(AND(EDATE($D127,Milestones!$AA$123)&lt;=AsOfDate,IF($Q127=0,$W127,IF(AND($S127&lt;&gt;"",EDATE($D127,Milestones!$AA$123)&gt;=$S127),$V127,IF(AND($R127&lt;&gt;"",EDATE($D127,Milestones!$AA$123)&gt;=$R127),$U127,$T127)))=Milestones!$AB$123),TEXT(EDATE($D127,Milestones!$AA$123),"dd/mm/yy")&amp;" "&amp;Milestones!$AB$123&amp;" "&amp;Milestones!$AC$123&amp;";  ","")&amp;IF(AND(EDATE($D127,Milestones!$AA$124)&lt;=AsOfDate,IF($Q127=0,$W127,IF(AND($S127&lt;&gt;"",EDATE($D127,Milestones!$AA$124)&gt;=$S127),$V127,IF(AND($R127&lt;&gt;"",EDATE($D127,Milestones!$AA$124)&gt;=$R127),$U127,$T127)))=Milestones!$AB$124),TEXT(EDATE($D127,Milestones!$AA$124),"dd/mm/yy")&amp;" "&amp;Milestones!$AB$124&amp;" "&amp;Milestones!$AC$124&amp;";  ","")&amp;IF(AND(EDATE($D127,Milestones!$AA$125)&lt;=AsOfDate,IF($Q127=0,$W127,IF(AND($S127&lt;&gt;"",EDATE($D127,Milestones!$AA$125)&gt;=$S127),$V127,IF(AND($R127&lt;&gt;"",EDATE($D127,Milestones!$AA$125)&gt;=$R127),$U127,$T127)))=Milestones!$AB$125),TEXT(EDATE($D127,Milestones!$AA$125),"dd/mm/yy")&amp;" "&amp;Milestones!$AB$125&amp;" "&amp;Milestones!$AC$125&amp;";  ","")&amp;IF(AND(EDATE($D127,Milestones!$AA$126)&lt;=AsOfDate,IF($Q127=0,$W127,IF(AND($S127&lt;&gt;"",EDATE($D127,Milestones!$AA$126)&gt;=$S127),$V127,IF(AND($R127&lt;&gt;"",EDATE($D127,Milestones!$AA$126)&gt;=$R127),$U127,$T127)))=Milestones!$AB$126),TEXT(EDATE($D127,Milestones!$AA$126),"dd/mm/yy")&amp;" "&amp;Milestones!$AB$126&amp;" "&amp;Milestones!$AC$126&amp;";  ","")&amp;IF(AND(EDATE($D127,Milestones!$AA$127)&lt;=AsOfDate,IF($Q127=0,$W127,IF(AND($S127&lt;&gt;"",EDATE($D127,Milestones!$AA$127)&gt;=$S127),$V127,IF(AND($R127&lt;&gt;"",EDATE($D127,Milestones!$AA$127)&gt;=$R127),$U127,$T127)))=Milestones!$AB$127),TEXT(EDATE($D127,Milestones!$AA$127),"dd/mm/yy")&amp;" "&amp;Milestones!$AB$127&amp;" "&amp;Milestones!$AC$127&amp;";  ","")&amp;IF(AND(EDATE($D127,Milestones!$AA$128)&lt;=AsOfDate,IF($Q127=0,$W127,IF(AND($S127&lt;&gt;"",EDATE($D127,Milestones!$AA$128)&gt;=$S127),$V127,IF(AND($R127&lt;&gt;"",EDATE($D127,Milestones!$AA$128)&gt;=$R127),$U127,$T127)))=Milestones!$AB$128),TEXT(EDATE($D127,Milestones!$AA$128),"dd/mm/yy")&amp;" "&amp;Milestones!$AB$128&amp;" "&amp;Milestones!$AC$128&amp;";  ","")&amp;IF(AND(EDATE($D127,Milestones!$AA$129)&lt;=AsOfDate,IF($Q127=0,$W127,IF(AND($S127&lt;&gt;"",EDATE($D127,Milestones!$AA$129)&gt;=$S127),$V127,IF(AND($R127&lt;&gt;"",EDATE($D127,Milestones!$AA$129)&gt;=$R127),$U127,$T127)))=Milestones!$AB$129),TEXT(EDATE($D127,Milestones!$AA$129),"dd/mm/yy")&amp;" "&amp;Milestones!$AB$129&amp;" "&amp;Milestones!$AC$129&amp;";  ","")&amp;IF(AND(EDATE($D127,Milestones!$AA$130)&lt;=AsOfDate,IF($Q127=0,$W127,IF(AND($S127&lt;&gt;"",EDATE($D127,Milestones!$AA$130)&gt;=$S127),$V127,IF(AND($R127&lt;&gt;"",EDATE($D127,Milestones!$AA$130)&gt;=$R127),$U127,$T127)))=Milestones!$AB$130),TEXT(EDATE($D127,Milestones!$AA$130),"dd/mm/yy")&amp;" "&amp;Milestones!$AB$130&amp;" "&amp;Milestones!$AC$130&amp;";  ","")&amp;IF(AND(EDATE($D127,Milestones!$AA$131)&lt;=AsOfDate,IF($Q127=0,$W127,IF(AND($S127&lt;&gt;"",EDATE($D127,Milestones!$AA$131)&gt;=$S127),$V127,IF(AND($R127&lt;&gt;"",EDATE($D127,Milestones!$AA$131)&gt;=$R127),$U127,$T127)))=Milestones!$AB$131),TEXT(EDATE($D127,Milestones!$AA$131),"dd/mm/yy")&amp;" "&amp;Milestones!$AB$131&amp;" "&amp;Milestones!$AC$131&amp;";  ","")&amp;IF(AND(EDATE($D127,Milestones!$AA$132)&lt;=AsOfDate,IF($Q127=0,$W127,IF(AND($S127&lt;&gt;"",EDATE($D127,Milestones!$AA$132)&gt;=$S127),$V127,IF(AND($R127&lt;&gt;"",EDATE($D127,Milestones!$AA$132)&gt;=$R127),$U127,$T127)))=Milestones!$AB$132),TEXT(EDATE($D127,Milestones!$AA$132),"dd/mm/yy")&amp;" "&amp;Milestones!$AB$132&amp;" "&amp;Milestones!$AC$132&amp;";  ","")&amp;IF(AND(EDATE($D127,Milestones!$AA$133)&lt;=AsOfDate,IF($Q127=0,$W127,IF(AND($S127&lt;&gt;"",EDATE($D127,Milestones!$AA$133)&gt;=$S127),$V127,IF(AND($R127&lt;&gt;"",EDATE($D127,Milestones!$AA$133)&gt;=$R127),$U127,$T127)))=Milestones!$AB$133),TEXT(EDATE($D127,Milestones!$AA$133),"dd/mm/yy")&amp;" "&amp;Milestones!$AB$133&amp;" "&amp;Milestones!$AC$133&amp;";  ","")&amp;IF(AND(EDATE($D127,Milestones!$AA$134)&lt;=AsOfDate,IF($Q127=0,$W127,IF(AND($S127&lt;&gt;"",EDATE($D127,Milestones!$AA$134)&gt;=$S127),$V127,IF(AND($R127&lt;&gt;"",EDATE($D127,Milestones!$AA$134)&gt;=$R127),$U127,$T127)))=Milestones!$AB$134),TEXT(EDATE($D127,Milestones!$AA$134),"dd/mm/yy")&amp;" "&amp;Milestones!$AB$134&amp;" "&amp;Milestones!$AC$134&amp;";  ","")&amp;IF(AND(EDATE($D127,Milestones!$AA$135)&lt;=AsOfDate,IF($Q127=0,$W127,IF(AND($S127&lt;&gt;"",EDATE($D127,Milestones!$AA$135)&gt;=$S127),$V127,IF(AND($R127&lt;&gt;"",EDATE($D127,Milestones!$AA$135)&gt;=$R127),$U127,$T127)))=Milestones!$AB$135),TEXT(EDATE($D127,Milestones!$AA$135),"dd/mm/yy")&amp;" "&amp;Milestones!$AB$135&amp;" "&amp;Milestones!$AC$135&amp;";  ","")&amp;IF(AND(EDATE($D127,Milestones!$AA$136)&lt;=AsOfDate,IF($Q127=0,$W127,IF(AND($S127&lt;&gt;"",EDATE($D127,Milestones!$AA$136)&gt;=$S127),$V127,IF(AND($R127&lt;&gt;"",EDATE($D127,Milestones!$AA$136)&gt;=$R127),$U127,$T127)))=Milestones!$AB$136),TEXT(EDATE($D127,Milestones!$AA$136),"dd/mm/yy")&amp;" "&amp;Milestones!$AB$136&amp;" "&amp;Milestones!$AC$136&amp;";  ","")&amp;IF(AND(EDATE($D127,Milestones!$AA$137)&lt;=AsOfDate,IF($Q127=0,$W127,IF(AND($S127&lt;&gt;"",EDATE($D127,Milestones!$AA$137)&gt;=$S127),$V127,IF(AND($R127&lt;&gt;"",EDATE($D127,Milestones!$AA$137)&gt;=$R127),$U127,$T127)))=Milestones!$AB$137),TEXT(EDATE($D127,Milestones!$AA$137),"dd/mm/yy")&amp;" "&amp;Milestones!$AB$137&amp;" "&amp;Milestones!$AC$137&amp;";  ","")&amp;IF(AND(EDATE($D127,Milestones!$AA$138)&lt;=AsOfDate,IF($Q127=0,$W127,IF(AND($S127&lt;&gt;"",EDATE($D127,Milestones!$AA$138)&gt;=$S127),$V127,IF(AND($R127&lt;&gt;"",EDATE($D127,Milestones!$AA$138)&gt;=$R127),$U127,$T127)))=Milestones!$AB$138),TEXT(EDATE($D127,Milestones!$AA$138),"dd/mm/yy")&amp;" "&amp;Milestones!$AB$138&amp;" "&amp;Milestones!$AC$138&amp;";  ","")&amp;IF(AND(EDATE($D127,Milestones!$AA$139)&lt;=AsOfDate,IF($Q127=0,$W127,IF(AND($S127&lt;&gt;"",EDATE($D127,Milestones!$AA$139)&gt;=$S127),$V127,IF(AND($R127&lt;&gt;"",EDATE($D127,Milestones!$AA$139)&gt;=$R127),$U127,$T127)))=Milestones!$AB$139),TEXT(EDATE($D127,Milestones!$AA$139),"dd/mm/yy")&amp;" "&amp;Milestones!$AB$139&amp;" "&amp;Milestones!$AC$139&amp;";  ",""))</f>
        <v/>
      </c>
      <c r="N127" s="0" t="str">
        <f aca="false">IF(OR($A127="",$D127=""),"",IF(AND(EDATE($D127,Milestones!$AA$140)&lt;=AsOfDate,IF($Q127=0,$W127,IF(AND($S127&lt;&gt;"",EDATE($D127,Milestones!$AA$140)&gt;=$S127),$V127,IF(AND($R127&lt;&gt;"",EDATE($D127,Milestones!$AA$140)&gt;=$R127),$U127,$T127)))=Milestones!$AB$140),TEXT(EDATE($D127,Milestones!$AA$140),"dd/mm/yy")&amp;" "&amp;Milestones!$AB$140&amp;" "&amp;Milestones!$AC$140&amp;";  ","")&amp;IF(AND(EDATE($D127,Milestones!$AA$141)&lt;=AsOfDate,IF($Q127=0,$W127,IF(AND($S127&lt;&gt;"",EDATE($D127,Milestones!$AA$141)&gt;=$S127),$V127,IF(AND($R127&lt;&gt;"",EDATE($D127,Milestones!$AA$141)&gt;=$R127),$U127,$T127)))=Milestones!$AB$141),TEXT(EDATE($D127,Milestones!$AA$141),"dd/mm/yy")&amp;" "&amp;Milestones!$AB$141&amp;" "&amp;Milestones!$AC$141&amp;";  ","")&amp;IF(AND(EDATE($D127,Milestones!$AA$142)&lt;=AsOfDate,IF($Q127=0,$W127,IF(AND($S127&lt;&gt;"",EDATE($D127,Milestones!$AA$142)&gt;=$S127),$V127,IF(AND($R127&lt;&gt;"",EDATE($D127,Milestones!$AA$142)&gt;=$R127),$U127,$T127)))=Milestones!$AB$142),TEXT(EDATE($D127,Milestones!$AA$142),"dd/mm/yy")&amp;" "&amp;Milestones!$AB$142&amp;" "&amp;Milestones!$AC$142&amp;";  ","")&amp;IF(AND(EDATE($D127,Milestones!$AA$143)&lt;=AsOfDate,IF($Q127=0,$W127,IF(AND($S127&lt;&gt;"",EDATE($D127,Milestones!$AA$143)&gt;=$S127),$V127,IF(AND($R127&lt;&gt;"",EDATE($D127,Milestones!$AA$143)&gt;=$R127),$U127,$T127)))=Milestones!$AB$143),TEXT(EDATE($D127,Milestones!$AA$143),"dd/mm/yy")&amp;" "&amp;Milestones!$AB$143&amp;" "&amp;Milestones!$AC$143&amp;";  ","")&amp;IF(AND(EDATE($D127,Milestones!$AA$144)&lt;=AsOfDate,IF($Q127=0,$W127,IF(AND($S127&lt;&gt;"",EDATE($D127,Milestones!$AA$144)&gt;=$S127),$V127,IF(AND($R127&lt;&gt;"",EDATE($D127,Milestones!$AA$144)&gt;=$R127),$U127,$T127)))=Milestones!$AB$144),TEXT(EDATE($D127,Milestones!$AA$144),"dd/mm/yy")&amp;" "&amp;Milestones!$AB$144&amp;" "&amp;Milestones!$AC$144&amp;";  ","")&amp;IF(AND(EDATE($D127,Milestones!$AA$145)&lt;=AsOfDate,IF($Q127=0,$W127,IF(AND($S127&lt;&gt;"",EDATE($D127,Milestones!$AA$145)&gt;=$S127),$V127,IF(AND($R127&lt;&gt;"",EDATE($D127,Milestones!$AA$145)&gt;=$R127),$U127,$T127)))=Milestones!$AB$145),TEXT(EDATE($D127,Milestones!$AA$145),"dd/mm/yy")&amp;" "&amp;Milestones!$AB$145&amp;" "&amp;Milestones!$AC$145&amp;";  ","")&amp;IF(AND(EDATE($D127,Milestones!$AA$146)&lt;=AsOfDate,IF($Q127=0,$W127,IF(AND($S127&lt;&gt;"",EDATE($D127,Milestones!$AA$146)&gt;=$S127),$V127,IF(AND($R127&lt;&gt;"",EDATE($D127,Milestones!$AA$146)&gt;=$R127),$U127,$T127)))=Milestones!$AB$146),TEXT(EDATE($D127,Milestones!$AA$146),"dd/mm/yy")&amp;" "&amp;Milestones!$AB$146&amp;" "&amp;Milestones!$AC$146&amp;";  ","")&amp;IF(AND(EDATE($D127,Milestones!$AA$147)&lt;=AsOfDate,IF($Q127=0,$W127,IF(AND($S127&lt;&gt;"",EDATE($D127,Milestones!$AA$147)&gt;=$S127),$V127,IF(AND($R127&lt;&gt;"",EDATE($D127,Milestones!$AA$147)&gt;=$R127),$U127,$T127)))=Milestones!$AB$147),TEXT(EDATE($D127,Milestones!$AA$147),"dd/mm/yy")&amp;" "&amp;Milestones!$AB$147&amp;" "&amp;Milestones!$AC$147&amp;";  ","")&amp;IF(AND(EDATE($D127,Milestones!$AA$148)&lt;=AsOfDate,IF($Q127=0,$W127,IF(AND($S127&lt;&gt;"",EDATE($D127,Milestones!$AA$148)&gt;=$S127),$V127,IF(AND($R127&lt;&gt;"",EDATE($D127,Milestones!$AA$148)&gt;=$R127),$U127,$T127)))=Milestones!$AB$148),TEXT(EDATE($D127,Milestones!$AA$148),"dd/mm/yy")&amp;" "&amp;Milestones!$AB$148&amp;" "&amp;Milestones!$AC$148&amp;";  ","")&amp;IF(AND(EDATE($D127,Milestones!$AA$149)&lt;=AsOfDate,IF($Q127=0,$W127,IF(AND($S127&lt;&gt;"",EDATE($D127,Milestones!$AA$149)&gt;=$S127),$V127,IF(AND($R127&lt;&gt;"",EDATE($D127,Milestones!$AA$149)&gt;=$R127),$U127,$T127)))=Milestones!$AB$149),TEXT(EDATE($D127,Milestones!$AA$149),"dd/mm/yy")&amp;" "&amp;Milestones!$AB$149&amp;" "&amp;Milestones!$AC$149&amp;";  ","")&amp;IF(AND(EDATE($D127,Milestones!$AA$150)&lt;=AsOfDate,IF($Q127=0,$W127,IF(AND($S127&lt;&gt;"",EDATE($D127,Milestones!$AA$150)&gt;=$S127),$V127,IF(AND($R127&lt;&gt;"",EDATE($D127,Milestones!$AA$150)&gt;=$R127),$U127,$T127)))=Milestones!$AB$150),TEXT(EDATE($D127,Milestones!$AA$150),"dd/mm/yy")&amp;" "&amp;Milestones!$AB$150&amp;" "&amp;Milestones!$AC$150&amp;";  ","")&amp;IF(AND(EDATE($D127,Milestones!$AA$151)&lt;=AsOfDate,IF($Q127=0,$W127,IF(AND($S127&lt;&gt;"",EDATE($D127,Milestones!$AA$151)&gt;=$S127),$V127,IF(AND($R127&lt;&gt;"",EDATE($D127,Milestones!$AA$151)&gt;=$R127),$U127,$T127)))=Milestones!$AB$151),TEXT(EDATE($D127,Milestones!$AA$151),"dd/mm/yy")&amp;" "&amp;Milestones!$AB$151&amp;" "&amp;Milestones!$AC$151&amp;";  ","")&amp;IF(AND(EDATE($D127,Milestones!$AA$152)&lt;=AsOfDate,IF($Q127=0,$W127,IF(AND($S127&lt;&gt;"",EDATE($D127,Milestones!$AA$152)&gt;=$S127),$V127,IF(AND($R127&lt;&gt;"",EDATE($D127,Milestones!$AA$152)&gt;=$R127),$U127,$T127)))=Milestones!$AB$152),TEXT(EDATE($D127,Milestones!$AA$152),"dd/mm/yy")&amp;" "&amp;Milestones!$AB$152&amp;" "&amp;Milestones!$AC$152&amp;";  ","")&amp;IF(AND(EDATE($D127,Milestones!$AA$153)&lt;=AsOfDate,IF($Q127=0,$W127,IF(AND($S127&lt;&gt;"",EDATE($D127,Milestones!$AA$153)&gt;=$S127),$V127,IF(AND($R127&lt;&gt;"",EDATE($D127,Milestones!$AA$153)&gt;=$R127),$U127,$T127)))=Milestones!$AB$153),TEXT(EDATE($D127,Milestones!$AA$153),"dd/mm/yy")&amp;" "&amp;Milestones!$AB$153&amp;" "&amp;Milestones!$AC$153&amp;";  ","")&amp;IF(AND(EDATE($D127,Milestones!$AA$154)&lt;=AsOfDate,IF($Q127=0,$W127,IF(AND($S127&lt;&gt;"",EDATE($D127,Milestones!$AA$154)&gt;=$S127),$V127,IF(AND($R127&lt;&gt;"",EDATE($D127,Milestones!$AA$154)&gt;=$R127),$U127,$T127)))=Milestones!$AB$154),TEXT(EDATE($D127,Milestones!$AA$154),"dd/mm/yy")&amp;" "&amp;Milestones!$AB$154&amp;" "&amp;Milestones!$AC$154&amp;";  ","")&amp;IF(AND(EDATE($D127,Milestones!$AA$155)&lt;=AsOfDate,IF($Q127=0,$W127,IF(AND($S127&lt;&gt;"",EDATE($D127,Milestones!$AA$155)&gt;=$S127),$V127,IF(AND($R127&lt;&gt;"",EDATE($D127,Milestones!$AA$155)&gt;=$R127),$U127,$T127)))=Milestones!$AB$155),TEXT(EDATE($D127,Milestones!$AA$155),"dd/mm/yy")&amp;" "&amp;Milestones!$AB$155&amp;" "&amp;Milestones!$AC$155&amp;";  ","")&amp;IF(AND(EDATE($D127,Milestones!$AA$156)&lt;=AsOfDate,IF($Q127=0,$W127,IF(AND($S127&lt;&gt;"",EDATE($D127,Milestones!$AA$156)&gt;=$S127),$V127,IF(AND($R127&lt;&gt;"",EDATE($D127,Milestones!$AA$156)&gt;=$R127),$U127,$T127)))=Milestones!$AB$156),TEXT(EDATE($D127,Milestones!$AA$156),"dd/mm/yy")&amp;" "&amp;Milestones!$AB$156&amp;" "&amp;Milestones!$AC$156&amp;";  ","")&amp;IF(AND(EDATE($D127,Milestones!$AA$157)&lt;=AsOfDate,IF($Q127=0,$W127,IF(AND($S127&lt;&gt;"",EDATE($D127,Milestones!$AA$157)&gt;=$S127),$V127,IF(AND($R127&lt;&gt;"",EDATE($D127,Milestones!$AA$157)&gt;=$R127),$U127,$T127)))=Milestones!$AB$157),TEXT(EDATE($D127,Milestones!$AA$157),"dd/mm/yy")&amp;" "&amp;Milestones!$AB$157&amp;" "&amp;Milestones!$AC$157&amp;";  ","")&amp;IF(AND(EDATE($D127,Milestones!$AA$158)&lt;=AsOfDate,IF($Q127=0,$W127,IF(AND($S127&lt;&gt;"",EDATE($D127,Milestones!$AA$158)&gt;=$S127),$V127,IF(AND($R127&lt;&gt;"",EDATE($D127,Milestones!$AA$158)&gt;=$R127),$U127,$T127)))=Milestones!$AB$158),TEXT(EDATE($D127,Milestones!$AA$158),"dd/mm/yy")&amp;" "&amp;Milestones!$AB$158&amp;" "&amp;Milestones!$AC$158&amp;";  ","")&amp;IF(AND(EDATE($D127,Milestones!$AA$159)&lt;=AsOfDate,IF($Q127=0,$W127,IF(AND($S127&lt;&gt;"",EDATE($D127,Milestones!$AA$159)&gt;=$S127),$V127,IF(AND($R127&lt;&gt;"",EDATE($D127,Milestones!$AA$159)&gt;=$R127),$U127,$T127)))=Milestones!$AB$159),TEXT(EDATE($D127,Milestones!$AA$159),"dd/mm/yy")&amp;" "&amp;Milestones!$AB$159&amp;" "&amp;Milestones!$AC$159&amp;";  ",""))</f>
        <v/>
      </c>
      <c r="O127" s="0" t="str">
        <f aca="false">IF(OR($A127="",$D127=""),"",IF(AND(EDATE($D127,Milestones!$AA$160)&lt;=AsOfDate,IF($Q127=0,$W127,IF(AND($S127&lt;&gt;"",EDATE($D127,Milestones!$AA$160)&gt;=$S127),$V127,IF(AND($R127&lt;&gt;"",EDATE($D127,Milestones!$AA$160)&gt;=$R127),$U127,$T127)))=Milestones!$AB$160),TEXT(EDATE($D127,Milestones!$AA$160),"dd/mm/yy")&amp;" "&amp;Milestones!$AB$160&amp;" "&amp;Milestones!$AC$160&amp;";  ","")&amp;IF(AND(EDATE($D127,Milestones!$AA$161)&lt;=AsOfDate,IF($Q127=0,$W127,IF(AND($S127&lt;&gt;"",EDATE($D127,Milestones!$AA$161)&gt;=$S127),$V127,IF(AND($R127&lt;&gt;"",EDATE($D127,Milestones!$AA$161)&gt;=$R127),$U127,$T127)))=Milestones!$AB$161),TEXT(EDATE($D127,Milestones!$AA$161),"dd/mm/yy")&amp;" "&amp;Milestones!$AB$161&amp;" "&amp;Milestones!$AC$161&amp;";  ","")&amp;IF(AND(EDATE($D127,Milestones!$AA$162)&lt;=AsOfDate,IF($Q127=0,$W127,IF(AND($S127&lt;&gt;"",EDATE($D127,Milestones!$AA$162)&gt;=$S127),$V127,IF(AND($R127&lt;&gt;"",EDATE($D127,Milestones!$AA$162)&gt;=$R127),$U127,$T127)))=Milestones!$AB$162),TEXT(EDATE($D127,Milestones!$AA$162),"dd/mm/yy")&amp;" "&amp;Milestones!$AB$162&amp;" "&amp;Milestones!$AC$162&amp;";  ","")&amp;IF(AND(EDATE($D127,Milestones!$AA$163)&lt;=AsOfDate,IF($Q127=0,$W127,IF(AND($S127&lt;&gt;"",EDATE($D127,Milestones!$AA$163)&gt;=$S127),$V127,IF(AND($R127&lt;&gt;"",EDATE($D127,Milestones!$AA$163)&gt;=$R127),$U127,$T127)))=Milestones!$AB$163),TEXT(EDATE($D127,Milestones!$AA$163),"dd/mm/yy")&amp;" "&amp;Milestones!$AB$163&amp;" "&amp;Milestones!$AC$163&amp;";  ","")&amp;IF(AND(EDATE($D127,Milestones!$AA$164)&lt;=AsOfDate,IF($Q127=0,$W127,IF(AND($S127&lt;&gt;"",EDATE($D127,Milestones!$AA$164)&gt;=$S127),$V127,IF(AND($R127&lt;&gt;"",EDATE($D127,Milestones!$AA$164)&gt;=$R127),$U127,$T127)))=Milestones!$AB$164),TEXT(EDATE($D127,Milestones!$AA$164),"dd/mm/yy")&amp;" "&amp;Milestones!$AB$164&amp;" "&amp;Milestones!$AC$164&amp;";  ","")&amp;IF(AND(EDATE($D127,Milestones!$AA$165)&lt;=AsOfDate,IF($Q127=0,$W127,IF(AND($S127&lt;&gt;"",EDATE($D127,Milestones!$AA$165)&gt;=$S127),$V127,IF(AND($R127&lt;&gt;"",EDATE($D127,Milestones!$AA$165)&gt;=$R127),$U127,$T127)))=Milestones!$AB$165),TEXT(EDATE($D127,Milestones!$AA$165),"dd/mm/yy")&amp;" "&amp;Milestones!$AB$165&amp;" "&amp;Milestones!$AC$165&amp;";  ","")&amp;IF(AND(EDATE($D127,Milestones!$AA$166)&lt;=AsOfDate,IF($Q127=0,$W127,IF(AND($S127&lt;&gt;"",EDATE($D127,Milestones!$AA$166)&gt;=$S127),$V127,IF(AND($R127&lt;&gt;"",EDATE($D127,Milestones!$AA$166)&gt;=$R127),$U127,$T127)))=Milestones!$AB$166),TEXT(EDATE($D127,Milestones!$AA$166),"dd/mm/yy")&amp;" "&amp;Milestones!$AB$166&amp;" "&amp;Milestones!$AC$166&amp;";  ","")&amp;IF(AND(EDATE($D127,Milestones!$AA$167)&lt;=AsOfDate,IF($Q127=0,$W127,IF(AND($S127&lt;&gt;"",EDATE($D127,Milestones!$AA$167)&gt;=$S127),$V127,IF(AND($R127&lt;&gt;"",EDATE($D127,Milestones!$AA$167)&gt;=$R127),$U127,$T127)))=Milestones!$AB$167),TEXT(EDATE($D127,Milestones!$AA$167),"dd/mm/yy")&amp;" "&amp;Milestones!$AB$167&amp;" "&amp;Milestones!$AC$167&amp;";  ","")&amp;IF(AND(EDATE($D127,Milestones!$AA$168)&lt;=AsOfDate,IF($Q127=0,$W127,IF(AND($S127&lt;&gt;"",EDATE($D127,Milestones!$AA$168)&gt;=$S127),$V127,IF(AND($R127&lt;&gt;"",EDATE($D127,Milestones!$AA$168)&gt;=$R127),$U127,$T127)))=Milestones!$AB$168),TEXT(EDATE($D127,Milestones!$AA$168),"dd/mm/yy")&amp;" "&amp;Milestones!$AB$168&amp;" "&amp;Milestones!$AC$168&amp;";  ","")&amp;IF(AND(EDATE($D127,Milestones!$AA$169)&lt;=AsOfDate,IF($Q127=0,$W127,IF(AND($S127&lt;&gt;"",EDATE($D127,Milestones!$AA$169)&gt;=$S127),$V127,IF(AND($R127&lt;&gt;"",EDATE($D127,Milestones!$AA$169)&gt;=$R127),$U127,$T127)))=Milestones!$AB$169),TEXT(EDATE($D127,Milestones!$AA$169),"dd/mm/yy")&amp;" "&amp;Milestones!$AB$169&amp;" "&amp;Milestones!$AC$169&amp;";  ","")&amp;IF(AND(EDATE($D127,Milestones!$AA$170)&lt;=AsOfDate,IF($Q127=0,$W127,IF(AND($S127&lt;&gt;"",EDATE($D127,Milestones!$AA$170)&gt;=$S127),$V127,IF(AND($R127&lt;&gt;"",EDATE($D127,Milestones!$AA$170)&gt;=$R127),$U127,$T127)))=Milestones!$AB$170),TEXT(EDATE($D127,Milestones!$AA$170),"dd/mm/yy")&amp;" "&amp;Milestones!$AB$170&amp;" "&amp;Milestones!$AC$170&amp;";  ","")&amp;IF(AND(EDATE($D127,Milestones!$AA$171)&lt;=AsOfDate,IF($Q127=0,$W127,IF(AND($S127&lt;&gt;"",EDATE($D127,Milestones!$AA$171)&gt;=$S127),$V127,IF(AND($R127&lt;&gt;"",EDATE($D127,Milestones!$AA$171)&gt;=$R127),$U127,$T127)))=Milestones!$AB$171),TEXT(EDATE($D127,Milestones!$AA$171),"dd/mm/yy")&amp;" "&amp;Milestones!$AB$171&amp;" "&amp;Milestones!$AC$171&amp;";  ","")&amp;IF(AND(EDATE($D127,Milestones!$AA$172)&lt;=AsOfDate,IF($Q127=0,$W127,IF(AND($S127&lt;&gt;"",EDATE($D127,Milestones!$AA$172)&gt;=$S127),$V127,IF(AND($R127&lt;&gt;"",EDATE($D127,Milestones!$AA$172)&gt;=$R127),$U127,$T127)))=Milestones!$AB$172),TEXT(EDATE($D127,Milestones!$AA$172),"dd/mm/yy")&amp;" "&amp;Milestones!$AB$172&amp;" "&amp;Milestones!$AC$172&amp;";  ","")&amp;IF(AND(EDATE($D127,Milestones!$AA$173)&lt;=AsOfDate,IF($Q127=0,$W127,IF(AND($S127&lt;&gt;"",EDATE($D127,Milestones!$AA$173)&gt;=$S127),$V127,IF(AND($R127&lt;&gt;"",EDATE($D127,Milestones!$AA$173)&gt;=$R127),$U127,$T127)))=Milestones!$AB$173),TEXT(EDATE($D127,Milestones!$AA$173),"dd/mm/yy")&amp;" "&amp;Milestones!$AB$173&amp;" "&amp;Milestones!$AC$173&amp;";  ","")&amp;IF(AND(EDATE($D127,Milestones!$AA$174)&lt;=AsOfDate,IF($Q127=0,$W127,IF(AND($S127&lt;&gt;"",EDATE($D127,Milestones!$AA$174)&gt;=$S127),$V127,IF(AND($R127&lt;&gt;"",EDATE($D127,Milestones!$AA$174)&gt;=$R127),$U127,$T127)))=Milestones!$AB$174),TEXT(EDATE($D127,Milestones!$AA$174),"dd/mm/yy")&amp;" "&amp;Milestones!$AB$174&amp;" "&amp;Milestones!$AC$174&amp;";  ","")&amp;IF(AND(EDATE($D127,Milestones!$AA$175)&lt;=AsOfDate,IF($Q127=0,$W127,IF(AND($S127&lt;&gt;"",EDATE($D127,Milestones!$AA$175)&gt;=$S127),$V127,IF(AND($R127&lt;&gt;"",EDATE($D127,Milestones!$AA$175)&gt;=$R127),$U127,$T127)))=Milestones!$AB$175),TEXT(EDATE($D127,Milestones!$AA$175),"dd/mm/yy")&amp;" "&amp;Milestones!$AB$175&amp;" "&amp;Milestones!$AC$175&amp;";  ","")&amp;IF(AND(EDATE($D127,Milestones!$AA$176)&lt;=AsOfDate,IF($Q127=0,$W127,IF(AND($S127&lt;&gt;"",EDATE($D127,Milestones!$AA$176)&gt;=$S127),$V127,IF(AND($R127&lt;&gt;"",EDATE($D127,Milestones!$AA$176)&gt;=$R127),$U127,$T127)))=Milestones!$AB$176),TEXT(EDATE($D127,Milestones!$AA$176),"dd/mm/yy")&amp;" "&amp;Milestones!$AB$176&amp;" "&amp;Milestones!$AC$176&amp;";  ","")&amp;IF(AND(EDATE($D127,Milestones!$AA$177)&lt;=AsOfDate,IF($Q127=0,$W127,IF(AND($S127&lt;&gt;"",EDATE($D127,Milestones!$AA$177)&gt;=$S127),$V127,IF(AND($R127&lt;&gt;"",EDATE($D127,Milestones!$AA$177)&gt;=$R127),$U127,$T127)))=Milestones!$AB$177),TEXT(EDATE($D127,Milestones!$AA$177),"dd/mm/yy")&amp;" "&amp;Milestones!$AB$177&amp;" "&amp;Milestones!$AC$177&amp;";  ","")&amp;IF(AND(EDATE($D127,Milestones!$AA$178)&lt;=AsOfDate,IF($Q127=0,$W127,IF(AND($S127&lt;&gt;"",EDATE($D127,Milestones!$AA$178)&gt;=$S127),$V127,IF(AND($R127&lt;&gt;"",EDATE($D127,Milestones!$AA$178)&gt;=$R127),$U127,$T127)))=Milestones!$AB$178),TEXT(EDATE($D127,Milestones!$AA$178),"dd/mm/yy")&amp;" "&amp;Milestones!$AB$178&amp;" "&amp;Milestones!$AC$178&amp;";  ","")&amp;IF(AND(EDATE($D127,Milestones!$AA$179)&lt;=AsOfDate,IF($Q127=0,$W127,IF(AND($S127&lt;&gt;"",EDATE($D127,Milestones!$AA$179)&gt;=$S127),$V127,IF(AND($R127&lt;&gt;"",EDATE($D127,Milestones!$AA$179)&gt;=$R127),$U127,$T127)))=Milestones!$AB$179),TEXT(EDATE($D127,Milestones!$AA$179),"dd/mm/yy")&amp;" "&amp;Milestones!$AB$179&amp;" "&amp;Milestones!$AC$179&amp;";  ",""))</f>
        <v/>
      </c>
      <c r="P127" s="0" t="str">
        <f aca="false">IF(OR($A127="",$D127=""),"",IF(AND(EDATE($D127,Milestones!$AA$180)&lt;=AsOfDate,IF($Q127=0,$W127,IF(AND($S127&lt;&gt;"",EDATE($D127,Milestones!$AA$180)&gt;=$S127),$V127,IF(AND($R127&lt;&gt;"",EDATE($D127,Milestones!$AA$180)&gt;=$R127),$U127,$T127)))=Milestones!$AB$180),TEXT(EDATE($D127,Milestones!$AA$180),"dd/mm/yy")&amp;" "&amp;Milestones!$AB$180&amp;" "&amp;Milestones!$AC$180&amp;";  ","")&amp;IF(AND(EDATE($D127,Milestones!$AA$181)&lt;=AsOfDate,IF($Q127=0,$W127,IF(AND($S127&lt;&gt;"",EDATE($D127,Milestones!$AA$181)&gt;=$S127),$V127,IF(AND($R127&lt;&gt;"",EDATE($D127,Milestones!$AA$181)&gt;=$R127),$U127,$T127)))=Milestones!$AB$181),TEXT(EDATE($D127,Milestones!$AA$181),"dd/mm/yy")&amp;" "&amp;Milestones!$AB$181&amp;" "&amp;Milestones!$AC$181&amp;";  ","")&amp;IF(AND(EDATE($D127,Milestones!$AA$182)&lt;=AsOfDate,IF($Q127=0,$W127,IF(AND($S127&lt;&gt;"",EDATE($D127,Milestones!$AA$182)&gt;=$S127),$V127,IF(AND($R127&lt;&gt;"",EDATE($D127,Milestones!$AA$182)&gt;=$R127),$U127,$T127)))=Milestones!$AB$182),TEXT(EDATE($D127,Milestones!$AA$182),"dd/mm/yy")&amp;" "&amp;Milestones!$AB$182&amp;" "&amp;Milestones!$AC$182&amp;";  ","")&amp;IF(AND(EDATE($D127,Milestones!$AA$183)&lt;=AsOfDate,IF($Q127=0,$W127,IF(AND($S127&lt;&gt;"",EDATE($D127,Milestones!$AA$183)&gt;=$S127),$V127,IF(AND($R127&lt;&gt;"",EDATE($D127,Milestones!$AA$183)&gt;=$R127),$U127,$T127)))=Milestones!$AB$183),TEXT(EDATE($D127,Milestones!$AA$183),"dd/mm/yy")&amp;" "&amp;Milestones!$AB$183&amp;" "&amp;Milestones!$AC$183&amp;";  ","")&amp;IF(AND(EDATE($D127,Milestones!$AA$184)&lt;=AsOfDate,IF($Q127=0,$W127,IF(AND($S127&lt;&gt;"",EDATE($D127,Milestones!$AA$184)&gt;=$S127),$V127,IF(AND($R127&lt;&gt;"",EDATE($D127,Milestones!$AA$184)&gt;=$R127),$U127,$T127)))=Milestones!$AB$184),TEXT(EDATE($D127,Milestones!$AA$184),"dd/mm/yy")&amp;" "&amp;Milestones!$AB$184&amp;" "&amp;Milestones!$AC$184&amp;";  ","")&amp;IF(AND(EDATE($D127,Milestones!$AA$185)&lt;=AsOfDate,IF($Q127=0,$W127,IF(AND($S127&lt;&gt;"",EDATE($D127,Milestones!$AA$185)&gt;=$S127),$V127,IF(AND($R127&lt;&gt;"",EDATE($D127,Milestones!$AA$185)&gt;=$R127),$U127,$T127)))=Milestones!$AB$185),TEXT(EDATE($D127,Milestones!$AA$185),"dd/mm/yy")&amp;" "&amp;Milestones!$AB$185&amp;" "&amp;Milestones!$AC$185&amp;";  ","")&amp;IF(AND(EDATE($D127,Milestones!$AA$186)&lt;=AsOfDate,IF($Q127=0,$W127,IF(AND($S127&lt;&gt;"",EDATE($D127,Milestones!$AA$186)&gt;=$S127),$V127,IF(AND($R127&lt;&gt;"",EDATE($D127,Milestones!$AA$186)&gt;=$R127),$U127,$T127)))=Milestones!$AB$186),TEXT(EDATE($D127,Milestones!$AA$186),"dd/mm/yy")&amp;" "&amp;Milestones!$AB$186&amp;" "&amp;Milestones!$AC$186&amp;";  ","")&amp;IF(AND(EDATE($D127,Milestones!$AA$187)&lt;=AsOfDate,IF($Q127=0,$W127,IF(AND($S127&lt;&gt;"",EDATE($D127,Milestones!$AA$187)&gt;=$S127),$V127,IF(AND($R127&lt;&gt;"",EDATE($D127,Milestones!$AA$187)&gt;=$R127),$U127,$T127)))=Milestones!$AB$187),TEXT(EDATE($D127,Milestones!$AA$187),"dd/mm/yy")&amp;" "&amp;Milestones!$AB$187&amp;" "&amp;Milestones!$AC$187&amp;";  ","")&amp;IF(AND(EDATE($D127,Milestones!$AA$188)&lt;=AsOfDate,IF($Q127=0,$W127,IF(AND($S127&lt;&gt;"",EDATE($D127,Milestones!$AA$188)&gt;=$S127),$V127,IF(AND($R127&lt;&gt;"",EDATE($D127,Milestones!$AA$188)&gt;=$R127),$U127,$T127)))=Milestones!$AB$188),TEXT(EDATE($D127,Milestones!$AA$188),"dd/mm/yy")&amp;" "&amp;Milestones!$AB$188&amp;" "&amp;Milestones!$AC$188&amp;";  ","")&amp;IF(AND(EDATE($D127,Milestones!$AA$189)&lt;=AsOfDate,IF($Q127=0,$W127,IF(AND($S127&lt;&gt;"",EDATE($D127,Milestones!$AA$189)&gt;=$S127),$V127,IF(AND($R127&lt;&gt;"",EDATE($D127,Milestones!$AA$189)&gt;=$R127),$U127,$T127)))=Milestones!$AB$189),TEXT(EDATE($D127,Milestones!$AA$189),"dd/mm/yy")&amp;" "&amp;Milestones!$AB$189&amp;" "&amp;Milestones!$AC$189&amp;";  ","")&amp;IF(AND(EDATE($D127,Milestones!$AA$190)&lt;=AsOfDate,IF($Q127=0,$W127,IF(AND($S127&lt;&gt;"",EDATE($D127,Milestones!$AA$190)&gt;=$S127),$V127,IF(AND($R127&lt;&gt;"",EDATE($D127,Milestones!$AA$190)&gt;=$R127),$U127,$T127)))=Milestones!$AB$190),TEXT(EDATE($D127,Milestones!$AA$190),"dd/mm/yy")&amp;" "&amp;Milestones!$AB$190&amp;" "&amp;Milestones!$AC$190&amp;";  ","")&amp;IF(AND(EDATE($D127,Milestones!$AA$191)&lt;=AsOfDate,IF($Q127=0,$W127,IF(AND($S127&lt;&gt;"",EDATE($D127,Milestones!$AA$191)&gt;=$S127),$V127,IF(AND($R127&lt;&gt;"",EDATE($D127,Milestones!$AA$191)&gt;=$R127),$U127,$T127)))=Milestones!$AB$191),TEXT(EDATE($D127,Milestones!$AA$191),"dd/mm/yy")&amp;" "&amp;Milestones!$AB$191&amp;" "&amp;Milestones!$AC$191&amp;";  ","")&amp;IF(AND(EDATE($D127,Milestones!$AA$192)&lt;=AsOfDate,IF($Q127=0,$W127,IF(AND($S127&lt;&gt;"",EDATE($D127,Milestones!$AA$192)&gt;=$S127),$V127,IF(AND($R127&lt;&gt;"",EDATE($D127,Milestones!$AA$192)&gt;=$R127),$U127,$T127)))=Milestones!$AB$192),TEXT(EDATE($D127,Milestones!$AA$192),"dd/mm/yy")&amp;" "&amp;Milestones!$AB$192&amp;" "&amp;Milestones!$AC$192&amp;";  ","")&amp;IF(AND(EDATE($D127,Milestones!$AA$193)&lt;=AsOfDate,IF($Q127=0,$W127,IF(AND($S127&lt;&gt;"",EDATE($D127,Milestones!$AA$193)&gt;=$S127),$V127,IF(AND($R127&lt;&gt;"",EDATE($D127,Milestones!$AA$193)&gt;=$R127),$U127,$T127)))=Milestones!$AB$193),TEXT(EDATE($D127,Milestones!$AA$193),"dd/mm/yy")&amp;" "&amp;Milestones!$AB$193&amp;" "&amp;Milestones!$AC$193&amp;";  ","")&amp;IF(AND(EDATE($D127,Milestones!$AA$194)&lt;=AsOfDate,IF($Q127=0,$W127,IF(AND($S127&lt;&gt;"",EDATE($D127,Milestones!$AA$194)&gt;=$S127),$V127,IF(AND($R127&lt;&gt;"",EDATE($D127,Milestones!$AA$194)&gt;=$R127),$U127,$T127)))=Milestones!$AB$194),TEXT(EDATE($D127,Milestones!$AA$194),"dd/mm/yy")&amp;" "&amp;Milestones!$AB$194&amp;" "&amp;Milestones!$AC$194&amp;";  ","")&amp;IF(AND(EDATE($D127,Milestones!$AA$195)&lt;=AsOfDate,IF($Q127=0,$W127,IF(AND($S127&lt;&gt;"",EDATE($D127,Milestones!$AA$195)&gt;=$S127),$V127,IF(AND($R127&lt;&gt;"",EDATE($D127,Milestones!$AA$195)&gt;=$R127),$U127,$T127)))=Milestones!$AB$195),TEXT(EDATE($D127,Milestones!$AA$195),"dd/mm/yy")&amp;" "&amp;Milestones!$AB$195&amp;" "&amp;Milestones!$AC$195&amp;";  ","")&amp;IF(AND(EDATE($D127,Milestones!$AA$196)&lt;=AsOfDate,IF($Q127=0,$W127,IF(AND($S127&lt;&gt;"",EDATE($D127,Milestones!$AA$196)&gt;=$S127),$V127,IF(AND($R127&lt;&gt;"",EDATE($D127,Milestones!$AA$196)&gt;=$R127),$U127,$T127)))=Milestones!$AB$196),TEXT(EDATE($D127,Milestones!$AA$196),"dd/mm/yy")&amp;" "&amp;Milestones!$AB$196&amp;" "&amp;Milestones!$AC$196&amp;";  ","")&amp;IF(AND(EDATE($D127,Milestones!$AA$197)&lt;=AsOfDate,IF($Q127=0,$W127,IF(AND($S127&lt;&gt;"",EDATE($D127,Milestones!$AA$197)&gt;=$S127),$V127,IF(AND($R127&lt;&gt;"",EDATE($D127,Milestones!$AA$197)&gt;=$R127),$U127,$T127)))=Milestones!$AB$197),TEXT(EDATE($D127,Milestones!$AA$197),"dd/mm/yy")&amp;" "&amp;Milestones!$AB$197&amp;" "&amp;Milestones!$AC$197&amp;";  ","")&amp;IF(AND(EDATE($D127,Milestones!$AA$198)&lt;=AsOfDate,IF($Q127=0,$W127,IF(AND($S127&lt;&gt;"",EDATE($D127,Milestones!$AA$198)&gt;=$S127),$V127,IF(AND($R127&lt;&gt;"",EDATE($D127,Milestones!$AA$198)&gt;=$R127),$U127,$T127)))=Milestones!$AB$198),TEXT(EDATE($D127,Milestones!$AA$198),"dd/mm/yy")&amp;" "&amp;Milestones!$AB$198&amp;" "&amp;Milestones!$AC$198&amp;";  ","")&amp;IF(AND(EDATE($D127,Milestones!$AA$199)&lt;=AsOfDate,IF($Q127=0,$W127,IF(AND($S127&lt;&gt;"",EDATE($D127,Milestones!$AA$199)&gt;=$S127),$V127,IF(AND($R127&lt;&gt;"",EDATE($D127,Milestones!$AA$199)&gt;=$R127),$U127,$T127)))=Milestones!$AB$199),TEXT(EDATE($D127,Milestones!$AA$199),"dd/mm/yy")&amp;" "&amp;Milestones!$AB$199&amp;" "&amp;Milestones!$AC$199&amp;";  ",""))</f>
        <v/>
      </c>
      <c r="Q127" s="0" t="str">
        <f aca="false">IF(Staff!$A127="","",Staff!$AG127)</f>
        <v/>
      </c>
      <c r="R127" s="0" t="str">
        <f aca="false">IF(Staff!$A127="","",Staff!$AI127)</f>
        <v/>
      </c>
      <c r="S127" s="0" t="str">
        <f aca="false">IF(Staff!$A127="","",Staff!$AJ127)</f>
        <v/>
      </c>
      <c r="T127" s="0" t="str">
        <f aca="false">IF(Staff!$A127="","",Staff!$AN127)</f>
        <v/>
      </c>
      <c r="U127" s="0" t="str">
        <f aca="false">IF(Staff!$A127="","",Staff!$AO127)</f>
        <v/>
      </c>
      <c r="V127" s="0" t="str">
        <f aca="false">IF(Staff!$A127="","",Staff!$AP127)</f>
        <v/>
      </c>
      <c r="W127" s="0" t="str">
        <f aca="false">IF(Staff!$A127="","",Staff!$AQ127)</f>
        <v/>
      </c>
    </row>
    <row r="128" customFormat="false" ht="15" hidden="false" customHeight="false" outlineLevel="0" collapsed="false">
      <c r="A128" s="13" t="str">
        <f aca="false">IF(Staff!$A128="","",Staff!$A128)</f>
        <v/>
      </c>
      <c r="B128" s="13" t="str">
        <f aca="false">IF(Staff!$A128="","",Staff!$B128)</f>
        <v/>
      </c>
      <c r="C128" s="13" t="str">
        <f aca="false">IF(Staff!$A128="","",Staff!$C128)</f>
        <v/>
      </c>
      <c r="D128" s="11" t="str">
        <f aca="false">IF(Staff!$A128="","",Staff!$AF128)</f>
        <v/>
      </c>
      <c r="E128" s="13" t="str">
        <f aca="false">IF(Staff!$A128="","",Staff!$O128)</f>
        <v/>
      </c>
      <c r="F128" s="13" t="str">
        <f aca="false">IF(E128="","",E128*HoursPerDay)</f>
        <v/>
      </c>
      <c r="G128" s="26" t="str">
        <f aca="false">IF($A128="","",H128&amp;I128&amp;J128&amp;K128&amp;L128&amp;M128&amp;N128&amp;O128&amp;P128)</f>
        <v/>
      </c>
      <c r="H128" s="0" t="str">
        <f aca="false">IF(OR($A128="",$D128=""),"",IF(AND(EDATE($D128,Milestones!$AA$20)&lt;=AsOfDate,IF($Q128=0,$W128,IF(AND($S128&lt;&gt;"",EDATE($D128,Milestones!$AA$20)&gt;=$S128),$V128,IF(AND($R128&lt;&gt;"",EDATE($D128,Milestones!$AA$20)&gt;=$R128),$U128,$T128)))=Milestones!$AB$20),TEXT(EDATE($D128,Milestones!$AA$20),"dd/mm/yy")&amp;" "&amp;Milestones!$AB$20&amp;" "&amp;Milestones!$AC$20&amp;";  ","")&amp;IF(AND(EDATE($D128,Milestones!$AA$21)&lt;=AsOfDate,IF($Q128=0,$W128,IF(AND($S128&lt;&gt;"",EDATE($D128,Milestones!$AA$21)&gt;=$S128),$V128,IF(AND($R128&lt;&gt;"",EDATE($D128,Milestones!$AA$21)&gt;=$R128),$U128,$T128)))=Milestones!$AB$21),TEXT(EDATE($D128,Milestones!$AA$21),"dd/mm/yy")&amp;" "&amp;Milestones!$AB$21&amp;" "&amp;Milestones!$AC$21&amp;";  ","")&amp;IF(AND(EDATE($D128,Milestones!$AA$22)&lt;=AsOfDate,IF($Q128=0,$W128,IF(AND($S128&lt;&gt;"",EDATE($D128,Milestones!$AA$22)&gt;=$S128),$V128,IF(AND($R128&lt;&gt;"",EDATE($D128,Milestones!$AA$22)&gt;=$R128),$U128,$T128)))=Milestones!$AB$22),TEXT(EDATE($D128,Milestones!$AA$22),"dd/mm/yy")&amp;" "&amp;Milestones!$AB$22&amp;" "&amp;Milestones!$AC$22&amp;";  ","")&amp;IF(AND(EDATE($D128,Milestones!$AA$23)&lt;=AsOfDate,IF($Q128=0,$W128,IF(AND($S128&lt;&gt;"",EDATE($D128,Milestones!$AA$23)&gt;=$S128),$V128,IF(AND($R128&lt;&gt;"",EDATE($D128,Milestones!$AA$23)&gt;=$R128),$U128,$T128)))=Milestones!$AB$23),TEXT(EDATE($D128,Milestones!$AA$23),"dd/mm/yy")&amp;" "&amp;Milestones!$AB$23&amp;" "&amp;Milestones!$AC$23&amp;";  ","")&amp;IF(AND(EDATE($D128,Milestones!$AA$24)&lt;=AsOfDate,IF($Q128=0,$W128,IF(AND($S128&lt;&gt;"",EDATE($D128,Milestones!$AA$24)&gt;=$S128),$V128,IF(AND($R128&lt;&gt;"",EDATE($D128,Milestones!$AA$24)&gt;=$R128),$U128,$T128)))=Milestones!$AB$24),TEXT(EDATE($D128,Milestones!$AA$24),"dd/mm/yy")&amp;" "&amp;Milestones!$AB$24&amp;" "&amp;Milestones!$AC$24&amp;";  ","")&amp;IF(AND(EDATE($D128,Milestones!$AA$25)&lt;=AsOfDate,IF($Q128=0,$W128,IF(AND($S128&lt;&gt;"",EDATE($D128,Milestones!$AA$25)&gt;=$S128),$V128,IF(AND($R128&lt;&gt;"",EDATE($D128,Milestones!$AA$25)&gt;=$R128),$U128,$T128)))=Milestones!$AB$25),TEXT(EDATE($D128,Milestones!$AA$25),"dd/mm/yy")&amp;" "&amp;Milestones!$AB$25&amp;" "&amp;Milestones!$AC$25&amp;";  ","")&amp;IF(AND(EDATE($D128,Milestones!$AA$26)&lt;=AsOfDate,IF($Q128=0,$W128,IF(AND($S128&lt;&gt;"",EDATE($D128,Milestones!$AA$26)&gt;=$S128),$V128,IF(AND($R128&lt;&gt;"",EDATE($D128,Milestones!$AA$26)&gt;=$R128),$U128,$T128)))=Milestones!$AB$26),TEXT(EDATE($D128,Milestones!$AA$26),"dd/mm/yy")&amp;" "&amp;Milestones!$AB$26&amp;" "&amp;Milestones!$AC$26&amp;";  ","")&amp;IF(AND(EDATE($D128,Milestones!$AA$27)&lt;=AsOfDate,IF($Q128=0,$W128,IF(AND($S128&lt;&gt;"",EDATE($D128,Milestones!$AA$27)&gt;=$S128),$V128,IF(AND($R128&lt;&gt;"",EDATE($D128,Milestones!$AA$27)&gt;=$R128),$U128,$T128)))=Milestones!$AB$27),TEXT(EDATE($D128,Milestones!$AA$27),"dd/mm/yy")&amp;" "&amp;Milestones!$AB$27&amp;" "&amp;Milestones!$AC$27&amp;";  ","")&amp;IF(AND(EDATE($D128,Milestones!$AA$28)&lt;=AsOfDate,IF($Q128=0,$W128,IF(AND($S128&lt;&gt;"",EDATE($D128,Milestones!$AA$28)&gt;=$S128),$V128,IF(AND($R128&lt;&gt;"",EDATE($D128,Milestones!$AA$28)&gt;=$R128),$U128,$T128)))=Milestones!$AB$28),TEXT(EDATE($D128,Milestones!$AA$28),"dd/mm/yy")&amp;" "&amp;Milestones!$AB$28&amp;" "&amp;Milestones!$AC$28&amp;";  ","")&amp;IF(AND(EDATE($D128,Milestones!$AA$29)&lt;=AsOfDate,IF($Q128=0,$W128,IF(AND($S128&lt;&gt;"",EDATE($D128,Milestones!$AA$29)&gt;=$S128),$V128,IF(AND($R128&lt;&gt;"",EDATE($D128,Milestones!$AA$29)&gt;=$R128),$U128,$T128)))=Milestones!$AB$29),TEXT(EDATE($D128,Milestones!$AA$29),"dd/mm/yy")&amp;" "&amp;Milestones!$AB$29&amp;" "&amp;Milestones!$AC$29&amp;";  ","")&amp;IF(AND(EDATE($D128,Milestones!$AA$30)&lt;=AsOfDate,IF($Q128=0,$W128,IF(AND($S128&lt;&gt;"",EDATE($D128,Milestones!$AA$30)&gt;=$S128),$V128,IF(AND($R128&lt;&gt;"",EDATE($D128,Milestones!$AA$30)&gt;=$R128),$U128,$T128)))=Milestones!$AB$30),TEXT(EDATE($D128,Milestones!$AA$30),"dd/mm/yy")&amp;" "&amp;Milestones!$AB$30&amp;" "&amp;Milestones!$AC$30&amp;";  ","")&amp;IF(AND(EDATE($D128,Milestones!$AA$31)&lt;=AsOfDate,IF($Q128=0,$W128,IF(AND($S128&lt;&gt;"",EDATE($D128,Milestones!$AA$31)&gt;=$S128),$V128,IF(AND($R128&lt;&gt;"",EDATE($D128,Milestones!$AA$31)&gt;=$R128),$U128,$T128)))=Milestones!$AB$31),TEXT(EDATE($D128,Milestones!$AA$31),"dd/mm/yy")&amp;" "&amp;Milestones!$AB$31&amp;" "&amp;Milestones!$AC$31&amp;";  ","")&amp;IF(AND(EDATE($D128,Milestones!$AA$32)&lt;=AsOfDate,IF($Q128=0,$W128,IF(AND($S128&lt;&gt;"",EDATE($D128,Milestones!$AA$32)&gt;=$S128),$V128,IF(AND($R128&lt;&gt;"",EDATE($D128,Milestones!$AA$32)&gt;=$R128),$U128,$T128)))=Milestones!$AB$32),TEXT(EDATE($D128,Milestones!$AA$32),"dd/mm/yy")&amp;" "&amp;Milestones!$AB$32&amp;" "&amp;Milestones!$AC$32&amp;";  ","")&amp;IF(AND(EDATE($D128,Milestones!$AA$33)&lt;=AsOfDate,IF($Q128=0,$W128,IF(AND($S128&lt;&gt;"",EDATE($D128,Milestones!$AA$33)&gt;=$S128),$V128,IF(AND($R128&lt;&gt;"",EDATE($D128,Milestones!$AA$33)&gt;=$R128),$U128,$T128)))=Milestones!$AB$33),TEXT(EDATE($D128,Milestones!$AA$33),"dd/mm/yy")&amp;" "&amp;Milestones!$AB$33&amp;" "&amp;Milestones!$AC$33&amp;";  ","")&amp;IF(AND(EDATE($D128,Milestones!$AA$34)&lt;=AsOfDate,IF($Q128=0,$W128,IF(AND($S128&lt;&gt;"",EDATE($D128,Milestones!$AA$34)&gt;=$S128),$V128,IF(AND($R128&lt;&gt;"",EDATE($D128,Milestones!$AA$34)&gt;=$R128),$U128,$T128)))=Milestones!$AB$34),TEXT(EDATE($D128,Milestones!$AA$34),"dd/mm/yy")&amp;" "&amp;Milestones!$AB$34&amp;" "&amp;Milestones!$AC$34&amp;";  ","")&amp;IF(AND(EDATE($D128,Milestones!$AA$35)&lt;=AsOfDate,IF($Q128=0,$W128,IF(AND($S128&lt;&gt;"",EDATE($D128,Milestones!$AA$35)&gt;=$S128),$V128,IF(AND($R128&lt;&gt;"",EDATE($D128,Milestones!$AA$35)&gt;=$R128),$U128,$T128)))=Milestones!$AB$35),TEXT(EDATE($D128,Milestones!$AA$35),"dd/mm/yy")&amp;" "&amp;Milestones!$AB$35&amp;" "&amp;Milestones!$AC$35&amp;";  ","")&amp;IF(AND(EDATE($D128,Milestones!$AA$36)&lt;=AsOfDate,IF($Q128=0,$W128,IF(AND($S128&lt;&gt;"",EDATE($D128,Milestones!$AA$36)&gt;=$S128),$V128,IF(AND($R128&lt;&gt;"",EDATE($D128,Milestones!$AA$36)&gt;=$R128),$U128,$T128)))=Milestones!$AB$36),TEXT(EDATE($D128,Milestones!$AA$36),"dd/mm/yy")&amp;" "&amp;Milestones!$AB$36&amp;" "&amp;Milestones!$AC$36&amp;";  ","")&amp;IF(AND(EDATE($D128,Milestones!$AA$37)&lt;=AsOfDate,IF($Q128=0,$W128,IF(AND($S128&lt;&gt;"",EDATE($D128,Milestones!$AA$37)&gt;=$S128),$V128,IF(AND($R128&lt;&gt;"",EDATE($D128,Milestones!$AA$37)&gt;=$R128),$U128,$T128)))=Milestones!$AB$37),TEXT(EDATE($D128,Milestones!$AA$37),"dd/mm/yy")&amp;" "&amp;Milestones!$AB$37&amp;" "&amp;Milestones!$AC$37&amp;";  ","")&amp;IF(AND(EDATE($D128,Milestones!$AA$38)&lt;=AsOfDate,IF($Q128=0,$W128,IF(AND($S128&lt;&gt;"",EDATE($D128,Milestones!$AA$38)&gt;=$S128),$V128,IF(AND($R128&lt;&gt;"",EDATE($D128,Milestones!$AA$38)&gt;=$R128),$U128,$T128)))=Milestones!$AB$38),TEXT(EDATE($D128,Milestones!$AA$38),"dd/mm/yy")&amp;" "&amp;Milestones!$AB$38&amp;" "&amp;Milestones!$AC$38&amp;";  ","")&amp;IF(AND(EDATE($D128,Milestones!$AA$39)&lt;=AsOfDate,IF($Q128=0,$W128,IF(AND($S128&lt;&gt;"",EDATE($D128,Milestones!$AA$39)&gt;=$S128),$V128,IF(AND($R128&lt;&gt;"",EDATE($D128,Milestones!$AA$39)&gt;=$R128),$U128,$T128)))=Milestones!$AB$39),TEXT(EDATE($D128,Milestones!$AA$39),"dd/mm/yy")&amp;" "&amp;Milestones!$AB$39&amp;" "&amp;Milestones!$AC$39&amp;";  ",""))</f>
        <v/>
      </c>
      <c r="I128" s="0" t="str">
        <f aca="false">IF(OR($A128="",$D128=""),"",IF(AND(EDATE($D128,Milestones!$AA$40)&lt;=AsOfDate,IF($Q128=0,$W128,IF(AND($S128&lt;&gt;"",EDATE($D128,Milestones!$AA$40)&gt;=$S128),$V128,IF(AND($R128&lt;&gt;"",EDATE($D128,Milestones!$AA$40)&gt;=$R128),$U128,$T128)))=Milestones!$AB$40),TEXT(EDATE($D128,Milestones!$AA$40),"dd/mm/yy")&amp;" "&amp;Milestones!$AB$40&amp;" "&amp;Milestones!$AC$40&amp;";  ","")&amp;IF(AND(EDATE($D128,Milestones!$AA$41)&lt;=AsOfDate,IF($Q128=0,$W128,IF(AND($S128&lt;&gt;"",EDATE($D128,Milestones!$AA$41)&gt;=$S128),$V128,IF(AND($R128&lt;&gt;"",EDATE($D128,Milestones!$AA$41)&gt;=$R128),$U128,$T128)))=Milestones!$AB$41),TEXT(EDATE($D128,Milestones!$AA$41),"dd/mm/yy")&amp;" "&amp;Milestones!$AB$41&amp;" "&amp;Milestones!$AC$41&amp;";  ","")&amp;IF(AND(EDATE($D128,Milestones!$AA$42)&lt;=AsOfDate,IF($Q128=0,$W128,IF(AND($S128&lt;&gt;"",EDATE($D128,Milestones!$AA$42)&gt;=$S128),$V128,IF(AND($R128&lt;&gt;"",EDATE($D128,Milestones!$AA$42)&gt;=$R128),$U128,$T128)))=Milestones!$AB$42),TEXT(EDATE($D128,Milestones!$AA$42),"dd/mm/yy")&amp;" "&amp;Milestones!$AB$42&amp;" "&amp;Milestones!$AC$42&amp;";  ","")&amp;IF(AND(EDATE($D128,Milestones!$AA$43)&lt;=AsOfDate,IF($Q128=0,$W128,IF(AND($S128&lt;&gt;"",EDATE($D128,Milestones!$AA$43)&gt;=$S128),$V128,IF(AND($R128&lt;&gt;"",EDATE($D128,Milestones!$AA$43)&gt;=$R128),$U128,$T128)))=Milestones!$AB$43),TEXT(EDATE($D128,Milestones!$AA$43),"dd/mm/yy")&amp;" "&amp;Milestones!$AB$43&amp;" "&amp;Milestones!$AC$43&amp;";  ","")&amp;IF(AND(EDATE($D128,Milestones!$AA$44)&lt;=AsOfDate,IF($Q128=0,$W128,IF(AND($S128&lt;&gt;"",EDATE($D128,Milestones!$AA$44)&gt;=$S128),$V128,IF(AND($R128&lt;&gt;"",EDATE($D128,Milestones!$AA$44)&gt;=$R128),$U128,$T128)))=Milestones!$AB$44),TEXT(EDATE($D128,Milestones!$AA$44),"dd/mm/yy")&amp;" "&amp;Milestones!$AB$44&amp;" "&amp;Milestones!$AC$44&amp;";  ","")&amp;IF(AND(EDATE($D128,Milestones!$AA$45)&lt;=AsOfDate,IF($Q128=0,$W128,IF(AND($S128&lt;&gt;"",EDATE($D128,Milestones!$AA$45)&gt;=$S128),$V128,IF(AND($R128&lt;&gt;"",EDATE($D128,Milestones!$AA$45)&gt;=$R128),$U128,$T128)))=Milestones!$AB$45),TEXT(EDATE($D128,Milestones!$AA$45),"dd/mm/yy")&amp;" "&amp;Milestones!$AB$45&amp;" "&amp;Milestones!$AC$45&amp;";  ","")&amp;IF(AND(EDATE($D128,Milestones!$AA$46)&lt;=AsOfDate,IF($Q128=0,$W128,IF(AND($S128&lt;&gt;"",EDATE($D128,Milestones!$AA$46)&gt;=$S128),$V128,IF(AND($R128&lt;&gt;"",EDATE($D128,Milestones!$AA$46)&gt;=$R128),$U128,$T128)))=Milestones!$AB$46),TEXT(EDATE($D128,Milestones!$AA$46),"dd/mm/yy")&amp;" "&amp;Milestones!$AB$46&amp;" "&amp;Milestones!$AC$46&amp;";  ","")&amp;IF(AND(EDATE($D128,Milestones!$AA$47)&lt;=AsOfDate,IF($Q128=0,$W128,IF(AND($S128&lt;&gt;"",EDATE($D128,Milestones!$AA$47)&gt;=$S128),$V128,IF(AND($R128&lt;&gt;"",EDATE($D128,Milestones!$AA$47)&gt;=$R128),$U128,$T128)))=Milestones!$AB$47),TEXT(EDATE($D128,Milestones!$AA$47),"dd/mm/yy")&amp;" "&amp;Milestones!$AB$47&amp;" "&amp;Milestones!$AC$47&amp;";  ","")&amp;IF(AND(EDATE($D128,Milestones!$AA$48)&lt;=AsOfDate,IF($Q128=0,$W128,IF(AND($S128&lt;&gt;"",EDATE($D128,Milestones!$AA$48)&gt;=$S128),$V128,IF(AND($R128&lt;&gt;"",EDATE($D128,Milestones!$AA$48)&gt;=$R128),$U128,$T128)))=Milestones!$AB$48),TEXT(EDATE($D128,Milestones!$AA$48),"dd/mm/yy")&amp;" "&amp;Milestones!$AB$48&amp;" "&amp;Milestones!$AC$48&amp;";  ","")&amp;IF(AND(EDATE($D128,Milestones!$AA$49)&lt;=AsOfDate,IF($Q128=0,$W128,IF(AND($S128&lt;&gt;"",EDATE($D128,Milestones!$AA$49)&gt;=$S128),$V128,IF(AND($R128&lt;&gt;"",EDATE($D128,Milestones!$AA$49)&gt;=$R128),$U128,$T128)))=Milestones!$AB$49),TEXT(EDATE($D128,Milestones!$AA$49),"dd/mm/yy")&amp;" "&amp;Milestones!$AB$49&amp;" "&amp;Milestones!$AC$49&amp;";  ","")&amp;IF(AND(EDATE($D128,Milestones!$AA$50)&lt;=AsOfDate,IF($Q128=0,$W128,IF(AND($S128&lt;&gt;"",EDATE($D128,Milestones!$AA$50)&gt;=$S128),$V128,IF(AND($R128&lt;&gt;"",EDATE($D128,Milestones!$AA$50)&gt;=$R128),$U128,$T128)))=Milestones!$AB$50),TEXT(EDATE($D128,Milestones!$AA$50),"dd/mm/yy")&amp;" "&amp;Milestones!$AB$50&amp;" "&amp;Milestones!$AC$50&amp;";  ","")&amp;IF(AND(EDATE($D128,Milestones!$AA$51)&lt;=AsOfDate,IF($Q128=0,$W128,IF(AND($S128&lt;&gt;"",EDATE($D128,Milestones!$AA$51)&gt;=$S128),$V128,IF(AND($R128&lt;&gt;"",EDATE($D128,Milestones!$AA$51)&gt;=$R128),$U128,$T128)))=Milestones!$AB$51),TEXT(EDATE($D128,Milestones!$AA$51),"dd/mm/yy")&amp;" "&amp;Milestones!$AB$51&amp;" "&amp;Milestones!$AC$51&amp;";  ","")&amp;IF(AND(EDATE($D128,Milestones!$AA$52)&lt;=AsOfDate,IF($Q128=0,$W128,IF(AND($S128&lt;&gt;"",EDATE($D128,Milestones!$AA$52)&gt;=$S128),$V128,IF(AND($R128&lt;&gt;"",EDATE($D128,Milestones!$AA$52)&gt;=$R128),$U128,$T128)))=Milestones!$AB$52),TEXT(EDATE($D128,Milestones!$AA$52),"dd/mm/yy")&amp;" "&amp;Milestones!$AB$52&amp;" "&amp;Milestones!$AC$52&amp;";  ","")&amp;IF(AND(EDATE($D128,Milestones!$AA$53)&lt;=AsOfDate,IF($Q128=0,$W128,IF(AND($S128&lt;&gt;"",EDATE($D128,Milestones!$AA$53)&gt;=$S128),$V128,IF(AND($R128&lt;&gt;"",EDATE($D128,Milestones!$AA$53)&gt;=$R128),$U128,$T128)))=Milestones!$AB$53),TEXT(EDATE($D128,Milestones!$AA$53),"dd/mm/yy")&amp;" "&amp;Milestones!$AB$53&amp;" "&amp;Milestones!$AC$53&amp;";  ","")&amp;IF(AND(EDATE($D128,Milestones!$AA$54)&lt;=AsOfDate,IF($Q128=0,$W128,IF(AND($S128&lt;&gt;"",EDATE($D128,Milestones!$AA$54)&gt;=$S128),$V128,IF(AND($R128&lt;&gt;"",EDATE($D128,Milestones!$AA$54)&gt;=$R128),$U128,$T128)))=Milestones!$AB$54),TEXT(EDATE($D128,Milestones!$AA$54),"dd/mm/yy")&amp;" "&amp;Milestones!$AB$54&amp;" "&amp;Milestones!$AC$54&amp;";  ","")&amp;IF(AND(EDATE($D128,Milestones!$AA$55)&lt;=AsOfDate,IF($Q128=0,$W128,IF(AND($S128&lt;&gt;"",EDATE($D128,Milestones!$AA$55)&gt;=$S128),$V128,IF(AND($R128&lt;&gt;"",EDATE($D128,Milestones!$AA$55)&gt;=$R128),$U128,$T128)))=Milestones!$AB$55),TEXT(EDATE($D128,Milestones!$AA$55),"dd/mm/yy")&amp;" "&amp;Milestones!$AB$55&amp;" "&amp;Milestones!$AC$55&amp;";  ","")&amp;IF(AND(EDATE($D128,Milestones!$AA$56)&lt;=AsOfDate,IF($Q128=0,$W128,IF(AND($S128&lt;&gt;"",EDATE($D128,Milestones!$AA$56)&gt;=$S128),$V128,IF(AND($R128&lt;&gt;"",EDATE($D128,Milestones!$AA$56)&gt;=$R128),$U128,$T128)))=Milestones!$AB$56),TEXT(EDATE($D128,Milestones!$AA$56),"dd/mm/yy")&amp;" "&amp;Milestones!$AB$56&amp;" "&amp;Milestones!$AC$56&amp;";  ","")&amp;IF(AND(EDATE($D128,Milestones!$AA$57)&lt;=AsOfDate,IF($Q128=0,$W128,IF(AND($S128&lt;&gt;"",EDATE($D128,Milestones!$AA$57)&gt;=$S128),$V128,IF(AND($R128&lt;&gt;"",EDATE($D128,Milestones!$AA$57)&gt;=$R128),$U128,$T128)))=Milestones!$AB$57),TEXT(EDATE($D128,Milestones!$AA$57),"dd/mm/yy")&amp;" "&amp;Milestones!$AB$57&amp;" "&amp;Milestones!$AC$57&amp;";  ","")&amp;IF(AND(EDATE($D128,Milestones!$AA$58)&lt;=AsOfDate,IF($Q128=0,$W128,IF(AND($S128&lt;&gt;"",EDATE($D128,Milestones!$AA$58)&gt;=$S128),$V128,IF(AND($R128&lt;&gt;"",EDATE($D128,Milestones!$AA$58)&gt;=$R128),$U128,$T128)))=Milestones!$AB$58),TEXT(EDATE($D128,Milestones!$AA$58),"dd/mm/yy")&amp;" "&amp;Milestones!$AB$58&amp;" "&amp;Milestones!$AC$58&amp;";  ","")&amp;IF(AND(EDATE($D128,Milestones!$AA$59)&lt;=AsOfDate,IF($Q128=0,$W128,IF(AND($S128&lt;&gt;"",EDATE($D128,Milestones!$AA$59)&gt;=$S128),$V128,IF(AND($R128&lt;&gt;"",EDATE($D128,Milestones!$AA$59)&gt;=$R128),$U128,$T128)))=Milestones!$AB$59),TEXT(EDATE($D128,Milestones!$AA$59),"dd/mm/yy")&amp;" "&amp;Milestones!$AB$59&amp;" "&amp;Milestones!$AC$59&amp;";  ",""))</f>
        <v/>
      </c>
      <c r="J128" s="0" t="str">
        <f aca="false">IF(OR($A128="",$D128=""),"",IF(AND(EDATE($D128,Milestones!$AA$60)&lt;=AsOfDate,IF($Q128=0,$W128,IF(AND($S128&lt;&gt;"",EDATE($D128,Milestones!$AA$60)&gt;=$S128),$V128,IF(AND($R128&lt;&gt;"",EDATE($D128,Milestones!$AA$60)&gt;=$R128),$U128,$T128)))=Milestones!$AB$60),TEXT(EDATE($D128,Milestones!$AA$60),"dd/mm/yy")&amp;" "&amp;Milestones!$AB$60&amp;" "&amp;Milestones!$AC$60&amp;";  ","")&amp;IF(AND(EDATE($D128,Milestones!$AA$61)&lt;=AsOfDate,IF($Q128=0,$W128,IF(AND($S128&lt;&gt;"",EDATE($D128,Milestones!$AA$61)&gt;=$S128),$V128,IF(AND($R128&lt;&gt;"",EDATE($D128,Milestones!$AA$61)&gt;=$R128),$U128,$T128)))=Milestones!$AB$61),TEXT(EDATE($D128,Milestones!$AA$61),"dd/mm/yy")&amp;" "&amp;Milestones!$AB$61&amp;" "&amp;Milestones!$AC$61&amp;";  ","")&amp;IF(AND(EDATE($D128,Milestones!$AA$62)&lt;=AsOfDate,IF($Q128=0,$W128,IF(AND($S128&lt;&gt;"",EDATE($D128,Milestones!$AA$62)&gt;=$S128),$V128,IF(AND($R128&lt;&gt;"",EDATE($D128,Milestones!$AA$62)&gt;=$R128),$U128,$T128)))=Milestones!$AB$62),TEXT(EDATE($D128,Milestones!$AA$62),"dd/mm/yy")&amp;" "&amp;Milestones!$AB$62&amp;" "&amp;Milestones!$AC$62&amp;";  ","")&amp;IF(AND(EDATE($D128,Milestones!$AA$63)&lt;=AsOfDate,IF($Q128=0,$W128,IF(AND($S128&lt;&gt;"",EDATE($D128,Milestones!$AA$63)&gt;=$S128),$V128,IF(AND($R128&lt;&gt;"",EDATE($D128,Milestones!$AA$63)&gt;=$R128),$U128,$T128)))=Milestones!$AB$63),TEXT(EDATE($D128,Milestones!$AA$63),"dd/mm/yy")&amp;" "&amp;Milestones!$AB$63&amp;" "&amp;Milestones!$AC$63&amp;";  ","")&amp;IF(AND(EDATE($D128,Milestones!$AA$64)&lt;=AsOfDate,IF($Q128=0,$W128,IF(AND($S128&lt;&gt;"",EDATE($D128,Milestones!$AA$64)&gt;=$S128),$V128,IF(AND($R128&lt;&gt;"",EDATE($D128,Milestones!$AA$64)&gt;=$R128),$U128,$T128)))=Milestones!$AB$64),TEXT(EDATE($D128,Milestones!$AA$64),"dd/mm/yy")&amp;" "&amp;Milestones!$AB$64&amp;" "&amp;Milestones!$AC$64&amp;";  ","")&amp;IF(AND(EDATE($D128,Milestones!$AA$65)&lt;=AsOfDate,IF($Q128=0,$W128,IF(AND($S128&lt;&gt;"",EDATE($D128,Milestones!$AA$65)&gt;=$S128),$V128,IF(AND($R128&lt;&gt;"",EDATE($D128,Milestones!$AA$65)&gt;=$R128),$U128,$T128)))=Milestones!$AB$65),TEXT(EDATE($D128,Milestones!$AA$65),"dd/mm/yy")&amp;" "&amp;Milestones!$AB$65&amp;" "&amp;Milestones!$AC$65&amp;";  ","")&amp;IF(AND(EDATE($D128,Milestones!$AA$66)&lt;=AsOfDate,IF($Q128=0,$W128,IF(AND($S128&lt;&gt;"",EDATE($D128,Milestones!$AA$66)&gt;=$S128),$V128,IF(AND($R128&lt;&gt;"",EDATE($D128,Milestones!$AA$66)&gt;=$R128),$U128,$T128)))=Milestones!$AB$66),TEXT(EDATE($D128,Milestones!$AA$66),"dd/mm/yy")&amp;" "&amp;Milestones!$AB$66&amp;" "&amp;Milestones!$AC$66&amp;";  ","")&amp;IF(AND(EDATE($D128,Milestones!$AA$67)&lt;=AsOfDate,IF($Q128=0,$W128,IF(AND($S128&lt;&gt;"",EDATE($D128,Milestones!$AA$67)&gt;=$S128),$V128,IF(AND($R128&lt;&gt;"",EDATE($D128,Milestones!$AA$67)&gt;=$R128),$U128,$T128)))=Milestones!$AB$67),TEXT(EDATE($D128,Milestones!$AA$67),"dd/mm/yy")&amp;" "&amp;Milestones!$AB$67&amp;" "&amp;Milestones!$AC$67&amp;";  ","")&amp;IF(AND(EDATE($D128,Milestones!$AA$68)&lt;=AsOfDate,IF($Q128=0,$W128,IF(AND($S128&lt;&gt;"",EDATE($D128,Milestones!$AA$68)&gt;=$S128),$V128,IF(AND($R128&lt;&gt;"",EDATE($D128,Milestones!$AA$68)&gt;=$R128),$U128,$T128)))=Milestones!$AB$68),TEXT(EDATE($D128,Milestones!$AA$68),"dd/mm/yy")&amp;" "&amp;Milestones!$AB$68&amp;" "&amp;Milestones!$AC$68&amp;";  ","")&amp;IF(AND(EDATE($D128,Milestones!$AA$69)&lt;=AsOfDate,IF($Q128=0,$W128,IF(AND($S128&lt;&gt;"",EDATE($D128,Milestones!$AA$69)&gt;=$S128),$V128,IF(AND($R128&lt;&gt;"",EDATE($D128,Milestones!$AA$69)&gt;=$R128),$U128,$T128)))=Milestones!$AB$69),TEXT(EDATE($D128,Milestones!$AA$69),"dd/mm/yy")&amp;" "&amp;Milestones!$AB$69&amp;" "&amp;Milestones!$AC$69&amp;";  ","")&amp;IF(AND(EDATE($D128,Milestones!$AA$70)&lt;=AsOfDate,IF($Q128=0,$W128,IF(AND($S128&lt;&gt;"",EDATE($D128,Milestones!$AA$70)&gt;=$S128),$V128,IF(AND($R128&lt;&gt;"",EDATE($D128,Milestones!$AA$70)&gt;=$R128),$U128,$T128)))=Milestones!$AB$70),TEXT(EDATE($D128,Milestones!$AA$70),"dd/mm/yy")&amp;" "&amp;Milestones!$AB$70&amp;" "&amp;Milestones!$AC$70&amp;";  ","")&amp;IF(AND(EDATE($D128,Milestones!$AA$71)&lt;=AsOfDate,IF($Q128=0,$W128,IF(AND($S128&lt;&gt;"",EDATE($D128,Milestones!$AA$71)&gt;=$S128),$V128,IF(AND($R128&lt;&gt;"",EDATE($D128,Milestones!$AA$71)&gt;=$R128),$U128,$T128)))=Milestones!$AB$71),TEXT(EDATE($D128,Milestones!$AA$71),"dd/mm/yy")&amp;" "&amp;Milestones!$AB$71&amp;" "&amp;Milestones!$AC$71&amp;";  ","")&amp;IF(AND(EDATE($D128,Milestones!$AA$72)&lt;=AsOfDate,IF($Q128=0,$W128,IF(AND($S128&lt;&gt;"",EDATE($D128,Milestones!$AA$72)&gt;=$S128),$V128,IF(AND($R128&lt;&gt;"",EDATE($D128,Milestones!$AA$72)&gt;=$R128),$U128,$T128)))=Milestones!$AB$72),TEXT(EDATE($D128,Milestones!$AA$72),"dd/mm/yy")&amp;" "&amp;Milestones!$AB$72&amp;" "&amp;Milestones!$AC$72&amp;";  ","")&amp;IF(AND(EDATE($D128,Milestones!$AA$73)&lt;=AsOfDate,IF($Q128=0,$W128,IF(AND($S128&lt;&gt;"",EDATE($D128,Milestones!$AA$73)&gt;=$S128),$V128,IF(AND($R128&lt;&gt;"",EDATE($D128,Milestones!$AA$73)&gt;=$R128),$U128,$T128)))=Milestones!$AB$73),TEXT(EDATE($D128,Milestones!$AA$73),"dd/mm/yy")&amp;" "&amp;Milestones!$AB$73&amp;" "&amp;Milestones!$AC$73&amp;";  ","")&amp;IF(AND(EDATE($D128,Milestones!$AA$74)&lt;=AsOfDate,IF($Q128=0,$W128,IF(AND($S128&lt;&gt;"",EDATE($D128,Milestones!$AA$74)&gt;=$S128),$V128,IF(AND($R128&lt;&gt;"",EDATE($D128,Milestones!$AA$74)&gt;=$R128),$U128,$T128)))=Milestones!$AB$74),TEXT(EDATE($D128,Milestones!$AA$74),"dd/mm/yy")&amp;" "&amp;Milestones!$AB$74&amp;" "&amp;Milestones!$AC$74&amp;";  ","")&amp;IF(AND(EDATE($D128,Milestones!$AA$75)&lt;=AsOfDate,IF($Q128=0,$W128,IF(AND($S128&lt;&gt;"",EDATE($D128,Milestones!$AA$75)&gt;=$S128),$V128,IF(AND($R128&lt;&gt;"",EDATE($D128,Milestones!$AA$75)&gt;=$R128),$U128,$T128)))=Milestones!$AB$75),TEXT(EDATE($D128,Milestones!$AA$75),"dd/mm/yy")&amp;" "&amp;Milestones!$AB$75&amp;" "&amp;Milestones!$AC$75&amp;";  ","")&amp;IF(AND(EDATE($D128,Milestones!$AA$76)&lt;=AsOfDate,IF($Q128=0,$W128,IF(AND($S128&lt;&gt;"",EDATE($D128,Milestones!$AA$76)&gt;=$S128),$V128,IF(AND($R128&lt;&gt;"",EDATE($D128,Milestones!$AA$76)&gt;=$R128),$U128,$T128)))=Milestones!$AB$76),TEXT(EDATE($D128,Milestones!$AA$76),"dd/mm/yy")&amp;" "&amp;Milestones!$AB$76&amp;" "&amp;Milestones!$AC$76&amp;";  ","")&amp;IF(AND(EDATE($D128,Milestones!$AA$77)&lt;=AsOfDate,IF($Q128=0,$W128,IF(AND($S128&lt;&gt;"",EDATE($D128,Milestones!$AA$77)&gt;=$S128),$V128,IF(AND($R128&lt;&gt;"",EDATE($D128,Milestones!$AA$77)&gt;=$R128),$U128,$T128)))=Milestones!$AB$77),TEXT(EDATE($D128,Milestones!$AA$77),"dd/mm/yy")&amp;" "&amp;Milestones!$AB$77&amp;" "&amp;Milestones!$AC$77&amp;";  ","")&amp;IF(AND(EDATE($D128,Milestones!$AA$78)&lt;=AsOfDate,IF($Q128=0,$W128,IF(AND($S128&lt;&gt;"",EDATE($D128,Milestones!$AA$78)&gt;=$S128),$V128,IF(AND($R128&lt;&gt;"",EDATE($D128,Milestones!$AA$78)&gt;=$R128),$U128,$T128)))=Milestones!$AB$78),TEXT(EDATE($D128,Milestones!$AA$78),"dd/mm/yy")&amp;" "&amp;Milestones!$AB$78&amp;" "&amp;Milestones!$AC$78&amp;";  ","")&amp;IF(AND(EDATE($D128,Milestones!$AA$79)&lt;=AsOfDate,IF($Q128=0,$W128,IF(AND($S128&lt;&gt;"",EDATE($D128,Milestones!$AA$79)&gt;=$S128),$V128,IF(AND($R128&lt;&gt;"",EDATE($D128,Milestones!$AA$79)&gt;=$R128),$U128,$T128)))=Milestones!$AB$79),TEXT(EDATE($D128,Milestones!$AA$79),"dd/mm/yy")&amp;" "&amp;Milestones!$AB$79&amp;" "&amp;Milestones!$AC$79&amp;";  ",""))</f>
        <v/>
      </c>
      <c r="K128" s="0" t="str">
        <f aca="false">IF(OR($A128="",$D128=""),"",IF(AND(EDATE($D128,Milestones!$AA$80)&lt;=AsOfDate,IF($Q128=0,$W128,IF(AND($S128&lt;&gt;"",EDATE($D128,Milestones!$AA$80)&gt;=$S128),$V128,IF(AND($R128&lt;&gt;"",EDATE($D128,Milestones!$AA$80)&gt;=$R128),$U128,$T128)))=Milestones!$AB$80),TEXT(EDATE($D128,Milestones!$AA$80),"dd/mm/yy")&amp;" "&amp;Milestones!$AB$80&amp;" "&amp;Milestones!$AC$80&amp;";  ","")&amp;IF(AND(EDATE($D128,Milestones!$AA$81)&lt;=AsOfDate,IF($Q128=0,$W128,IF(AND($S128&lt;&gt;"",EDATE($D128,Milestones!$AA$81)&gt;=$S128),$V128,IF(AND($R128&lt;&gt;"",EDATE($D128,Milestones!$AA$81)&gt;=$R128),$U128,$T128)))=Milestones!$AB$81),TEXT(EDATE($D128,Milestones!$AA$81),"dd/mm/yy")&amp;" "&amp;Milestones!$AB$81&amp;" "&amp;Milestones!$AC$81&amp;";  ","")&amp;IF(AND(EDATE($D128,Milestones!$AA$82)&lt;=AsOfDate,IF($Q128=0,$W128,IF(AND($S128&lt;&gt;"",EDATE($D128,Milestones!$AA$82)&gt;=$S128),$V128,IF(AND($R128&lt;&gt;"",EDATE($D128,Milestones!$AA$82)&gt;=$R128),$U128,$T128)))=Milestones!$AB$82),TEXT(EDATE($D128,Milestones!$AA$82),"dd/mm/yy")&amp;" "&amp;Milestones!$AB$82&amp;" "&amp;Milestones!$AC$82&amp;";  ","")&amp;IF(AND(EDATE($D128,Milestones!$AA$83)&lt;=AsOfDate,IF($Q128=0,$W128,IF(AND($S128&lt;&gt;"",EDATE($D128,Milestones!$AA$83)&gt;=$S128),$V128,IF(AND($R128&lt;&gt;"",EDATE($D128,Milestones!$AA$83)&gt;=$R128),$U128,$T128)))=Milestones!$AB$83),TEXT(EDATE($D128,Milestones!$AA$83),"dd/mm/yy")&amp;" "&amp;Milestones!$AB$83&amp;" "&amp;Milestones!$AC$83&amp;";  ","")&amp;IF(AND(EDATE($D128,Milestones!$AA$84)&lt;=AsOfDate,IF($Q128=0,$W128,IF(AND($S128&lt;&gt;"",EDATE($D128,Milestones!$AA$84)&gt;=$S128),$V128,IF(AND($R128&lt;&gt;"",EDATE($D128,Milestones!$AA$84)&gt;=$R128),$U128,$T128)))=Milestones!$AB$84),TEXT(EDATE($D128,Milestones!$AA$84),"dd/mm/yy")&amp;" "&amp;Milestones!$AB$84&amp;" "&amp;Milestones!$AC$84&amp;";  ","")&amp;IF(AND(EDATE($D128,Milestones!$AA$85)&lt;=AsOfDate,IF($Q128=0,$W128,IF(AND($S128&lt;&gt;"",EDATE($D128,Milestones!$AA$85)&gt;=$S128),$V128,IF(AND($R128&lt;&gt;"",EDATE($D128,Milestones!$AA$85)&gt;=$R128),$U128,$T128)))=Milestones!$AB$85),TEXT(EDATE($D128,Milestones!$AA$85),"dd/mm/yy")&amp;" "&amp;Milestones!$AB$85&amp;" "&amp;Milestones!$AC$85&amp;";  ","")&amp;IF(AND(EDATE($D128,Milestones!$AA$86)&lt;=AsOfDate,IF($Q128=0,$W128,IF(AND($S128&lt;&gt;"",EDATE($D128,Milestones!$AA$86)&gt;=$S128),$V128,IF(AND($R128&lt;&gt;"",EDATE($D128,Milestones!$AA$86)&gt;=$R128),$U128,$T128)))=Milestones!$AB$86),TEXT(EDATE($D128,Milestones!$AA$86),"dd/mm/yy")&amp;" "&amp;Milestones!$AB$86&amp;" "&amp;Milestones!$AC$86&amp;";  ","")&amp;IF(AND(EDATE($D128,Milestones!$AA$87)&lt;=AsOfDate,IF($Q128=0,$W128,IF(AND($S128&lt;&gt;"",EDATE($D128,Milestones!$AA$87)&gt;=$S128),$V128,IF(AND($R128&lt;&gt;"",EDATE($D128,Milestones!$AA$87)&gt;=$R128),$U128,$T128)))=Milestones!$AB$87),TEXT(EDATE($D128,Milestones!$AA$87),"dd/mm/yy")&amp;" "&amp;Milestones!$AB$87&amp;" "&amp;Milestones!$AC$87&amp;";  ","")&amp;IF(AND(EDATE($D128,Milestones!$AA$88)&lt;=AsOfDate,IF($Q128=0,$W128,IF(AND($S128&lt;&gt;"",EDATE($D128,Milestones!$AA$88)&gt;=$S128),$V128,IF(AND($R128&lt;&gt;"",EDATE($D128,Milestones!$AA$88)&gt;=$R128),$U128,$T128)))=Milestones!$AB$88),TEXT(EDATE($D128,Milestones!$AA$88),"dd/mm/yy")&amp;" "&amp;Milestones!$AB$88&amp;" "&amp;Milestones!$AC$88&amp;";  ","")&amp;IF(AND(EDATE($D128,Milestones!$AA$89)&lt;=AsOfDate,IF($Q128=0,$W128,IF(AND($S128&lt;&gt;"",EDATE($D128,Milestones!$AA$89)&gt;=$S128),$V128,IF(AND($R128&lt;&gt;"",EDATE($D128,Milestones!$AA$89)&gt;=$R128),$U128,$T128)))=Milestones!$AB$89),TEXT(EDATE($D128,Milestones!$AA$89),"dd/mm/yy")&amp;" "&amp;Milestones!$AB$89&amp;" "&amp;Milestones!$AC$89&amp;";  ","")&amp;IF(AND(EDATE($D128,Milestones!$AA$90)&lt;=AsOfDate,IF($Q128=0,$W128,IF(AND($S128&lt;&gt;"",EDATE($D128,Milestones!$AA$90)&gt;=$S128),$V128,IF(AND($R128&lt;&gt;"",EDATE($D128,Milestones!$AA$90)&gt;=$R128),$U128,$T128)))=Milestones!$AB$90),TEXT(EDATE($D128,Milestones!$AA$90),"dd/mm/yy")&amp;" "&amp;Milestones!$AB$90&amp;" "&amp;Milestones!$AC$90&amp;";  ","")&amp;IF(AND(EDATE($D128,Milestones!$AA$91)&lt;=AsOfDate,IF($Q128=0,$W128,IF(AND($S128&lt;&gt;"",EDATE($D128,Milestones!$AA$91)&gt;=$S128),$V128,IF(AND($R128&lt;&gt;"",EDATE($D128,Milestones!$AA$91)&gt;=$R128),$U128,$T128)))=Milestones!$AB$91),TEXT(EDATE($D128,Milestones!$AA$91),"dd/mm/yy")&amp;" "&amp;Milestones!$AB$91&amp;" "&amp;Milestones!$AC$91&amp;";  ","")&amp;IF(AND(EDATE($D128,Milestones!$AA$92)&lt;=AsOfDate,IF($Q128=0,$W128,IF(AND($S128&lt;&gt;"",EDATE($D128,Milestones!$AA$92)&gt;=$S128),$V128,IF(AND($R128&lt;&gt;"",EDATE($D128,Milestones!$AA$92)&gt;=$R128),$U128,$T128)))=Milestones!$AB$92),TEXT(EDATE($D128,Milestones!$AA$92),"dd/mm/yy")&amp;" "&amp;Milestones!$AB$92&amp;" "&amp;Milestones!$AC$92&amp;";  ","")&amp;IF(AND(EDATE($D128,Milestones!$AA$93)&lt;=AsOfDate,IF($Q128=0,$W128,IF(AND($S128&lt;&gt;"",EDATE($D128,Milestones!$AA$93)&gt;=$S128),$V128,IF(AND($R128&lt;&gt;"",EDATE($D128,Milestones!$AA$93)&gt;=$R128),$U128,$T128)))=Milestones!$AB$93),TEXT(EDATE($D128,Milestones!$AA$93),"dd/mm/yy")&amp;" "&amp;Milestones!$AB$93&amp;" "&amp;Milestones!$AC$93&amp;";  ","")&amp;IF(AND(EDATE($D128,Milestones!$AA$94)&lt;=AsOfDate,IF($Q128=0,$W128,IF(AND($S128&lt;&gt;"",EDATE($D128,Milestones!$AA$94)&gt;=$S128),$V128,IF(AND($R128&lt;&gt;"",EDATE($D128,Milestones!$AA$94)&gt;=$R128),$U128,$T128)))=Milestones!$AB$94),TEXT(EDATE($D128,Milestones!$AA$94),"dd/mm/yy")&amp;" "&amp;Milestones!$AB$94&amp;" "&amp;Milestones!$AC$94&amp;";  ","")&amp;IF(AND(EDATE($D128,Milestones!$AA$95)&lt;=AsOfDate,IF($Q128=0,$W128,IF(AND($S128&lt;&gt;"",EDATE($D128,Milestones!$AA$95)&gt;=$S128),$V128,IF(AND($R128&lt;&gt;"",EDATE($D128,Milestones!$AA$95)&gt;=$R128),$U128,$T128)))=Milestones!$AB$95),TEXT(EDATE($D128,Milestones!$AA$95),"dd/mm/yy")&amp;" "&amp;Milestones!$AB$95&amp;" "&amp;Milestones!$AC$95&amp;";  ","")&amp;IF(AND(EDATE($D128,Milestones!$AA$96)&lt;=AsOfDate,IF($Q128=0,$W128,IF(AND($S128&lt;&gt;"",EDATE($D128,Milestones!$AA$96)&gt;=$S128),$V128,IF(AND($R128&lt;&gt;"",EDATE($D128,Milestones!$AA$96)&gt;=$R128),$U128,$T128)))=Milestones!$AB$96),TEXT(EDATE($D128,Milestones!$AA$96),"dd/mm/yy")&amp;" "&amp;Milestones!$AB$96&amp;" "&amp;Milestones!$AC$96&amp;";  ","")&amp;IF(AND(EDATE($D128,Milestones!$AA$97)&lt;=AsOfDate,IF($Q128=0,$W128,IF(AND($S128&lt;&gt;"",EDATE($D128,Milestones!$AA$97)&gt;=$S128),$V128,IF(AND($R128&lt;&gt;"",EDATE($D128,Milestones!$AA$97)&gt;=$R128),$U128,$T128)))=Milestones!$AB$97),TEXT(EDATE($D128,Milestones!$AA$97),"dd/mm/yy")&amp;" "&amp;Milestones!$AB$97&amp;" "&amp;Milestones!$AC$97&amp;";  ","")&amp;IF(AND(EDATE($D128,Milestones!$AA$98)&lt;=AsOfDate,IF($Q128=0,$W128,IF(AND($S128&lt;&gt;"",EDATE($D128,Milestones!$AA$98)&gt;=$S128),$V128,IF(AND($R128&lt;&gt;"",EDATE($D128,Milestones!$AA$98)&gt;=$R128),$U128,$T128)))=Milestones!$AB$98),TEXT(EDATE($D128,Milestones!$AA$98),"dd/mm/yy")&amp;" "&amp;Milestones!$AB$98&amp;" "&amp;Milestones!$AC$98&amp;";  ","")&amp;IF(AND(EDATE($D128,Milestones!$AA$99)&lt;=AsOfDate,IF($Q128=0,$W128,IF(AND($S128&lt;&gt;"",EDATE($D128,Milestones!$AA$99)&gt;=$S128),$V128,IF(AND($R128&lt;&gt;"",EDATE($D128,Milestones!$AA$99)&gt;=$R128),$U128,$T128)))=Milestones!$AB$99),TEXT(EDATE($D128,Milestones!$AA$99),"dd/mm/yy")&amp;" "&amp;Milestones!$AB$99&amp;" "&amp;Milestones!$AC$99&amp;";  ",""))</f>
        <v/>
      </c>
      <c r="L128" s="0" t="str">
        <f aca="false">IF(OR($A128="",$D128=""),"",IF(AND(EDATE($D128,Milestones!$AA$100)&lt;=AsOfDate,IF($Q128=0,$W128,IF(AND($S128&lt;&gt;"",EDATE($D128,Milestones!$AA$100)&gt;=$S128),$V128,IF(AND($R128&lt;&gt;"",EDATE($D128,Milestones!$AA$100)&gt;=$R128),$U128,$T128)))=Milestones!$AB$100),TEXT(EDATE($D128,Milestones!$AA$100),"dd/mm/yy")&amp;" "&amp;Milestones!$AB$100&amp;" "&amp;Milestones!$AC$100&amp;";  ","")&amp;IF(AND(EDATE($D128,Milestones!$AA$101)&lt;=AsOfDate,IF($Q128=0,$W128,IF(AND($S128&lt;&gt;"",EDATE($D128,Milestones!$AA$101)&gt;=$S128),$V128,IF(AND($R128&lt;&gt;"",EDATE($D128,Milestones!$AA$101)&gt;=$R128),$U128,$T128)))=Milestones!$AB$101),TEXT(EDATE($D128,Milestones!$AA$101),"dd/mm/yy")&amp;" "&amp;Milestones!$AB$101&amp;" "&amp;Milestones!$AC$101&amp;";  ","")&amp;IF(AND(EDATE($D128,Milestones!$AA$102)&lt;=AsOfDate,IF($Q128=0,$W128,IF(AND($S128&lt;&gt;"",EDATE($D128,Milestones!$AA$102)&gt;=$S128),$V128,IF(AND($R128&lt;&gt;"",EDATE($D128,Milestones!$AA$102)&gt;=$R128),$U128,$T128)))=Milestones!$AB$102),TEXT(EDATE($D128,Milestones!$AA$102),"dd/mm/yy")&amp;" "&amp;Milestones!$AB$102&amp;" "&amp;Milestones!$AC$102&amp;";  ","")&amp;IF(AND(EDATE($D128,Milestones!$AA$103)&lt;=AsOfDate,IF($Q128=0,$W128,IF(AND($S128&lt;&gt;"",EDATE($D128,Milestones!$AA$103)&gt;=$S128),$V128,IF(AND($R128&lt;&gt;"",EDATE($D128,Milestones!$AA$103)&gt;=$R128),$U128,$T128)))=Milestones!$AB$103),TEXT(EDATE($D128,Milestones!$AA$103),"dd/mm/yy")&amp;" "&amp;Milestones!$AB$103&amp;" "&amp;Milestones!$AC$103&amp;";  ","")&amp;IF(AND(EDATE($D128,Milestones!$AA$104)&lt;=AsOfDate,IF($Q128=0,$W128,IF(AND($S128&lt;&gt;"",EDATE($D128,Milestones!$AA$104)&gt;=$S128),$V128,IF(AND($R128&lt;&gt;"",EDATE($D128,Milestones!$AA$104)&gt;=$R128),$U128,$T128)))=Milestones!$AB$104),TEXT(EDATE($D128,Milestones!$AA$104),"dd/mm/yy")&amp;" "&amp;Milestones!$AB$104&amp;" "&amp;Milestones!$AC$104&amp;";  ","")&amp;IF(AND(EDATE($D128,Milestones!$AA$105)&lt;=AsOfDate,IF($Q128=0,$W128,IF(AND($S128&lt;&gt;"",EDATE($D128,Milestones!$AA$105)&gt;=$S128),$V128,IF(AND($R128&lt;&gt;"",EDATE($D128,Milestones!$AA$105)&gt;=$R128),$U128,$T128)))=Milestones!$AB$105),TEXT(EDATE($D128,Milestones!$AA$105),"dd/mm/yy")&amp;" "&amp;Milestones!$AB$105&amp;" "&amp;Milestones!$AC$105&amp;";  ","")&amp;IF(AND(EDATE($D128,Milestones!$AA$106)&lt;=AsOfDate,IF($Q128=0,$W128,IF(AND($S128&lt;&gt;"",EDATE($D128,Milestones!$AA$106)&gt;=$S128),$V128,IF(AND($R128&lt;&gt;"",EDATE($D128,Milestones!$AA$106)&gt;=$R128),$U128,$T128)))=Milestones!$AB$106),TEXT(EDATE($D128,Milestones!$AA$106),"dd/mm/yy")&amp;" "&amp;Milestones!$AB$106&amp;" "&amp;Milestones!$AC$106&amp;";  ","")&amp;IF(AND(EDATE($D128,Milestones!$AA$107)&lt;=AsOfDate,IF($Q128=0,$W128,IF(AND($S128&lt;&gt;"",EDATE($D128,Milestones!$AA$107)&gt;=$S128),$V128,IF(AND($R128&lt;&gt;"",EDATE($D128,Milestones!$AA$107)&gt;=$R128),$U128,$T128)))=Milestones!$AB$107),TEXT(EDATE($D128,Milestones!$AA$107),"dd/mm/yy")&amp;" "&amp;Milestones!$AB$107&amp;" "&amp;Milestones!$AC$107&amp;";  ","")&amp;IF(AND(EDATE($D128,Milestones!$AA$108)&lt;=AsOfDate,IF($Q128=0,$W128,IF(AND($S128&lt;&gt;"",EDATE($D128,Milestones!$AA$108)&gt;=$S128),$V128,IF(AND($R128&lt;&gt;"",EDATE($D128,Milestones!$AA$108)&gt;=$R128),$U128,$T128)))=Milestones!$AB$108),TEXT(EDATE($D128,Milestones!$AA$108),"dd/mm/yy")&amp;" "&amp;Milestones!$AB$108&amp;" "&amp;Milestones!$AC$108&amp;";  ","")&amp;IF(AND(EDATE($D128,Milestones!$AA$109)&lt;=AsOfDate,IF($Q128=0,$W128,IF(AND($S128&lt;&gt;"",EDATE($D128,Milestones!$AA$109)&gt;=$S128),$V128,IF(AND($R128&lt;&gt;"",EDATE($D128,Milestones!$AA$109)&gt;=$R128),$U128,$T128)))=Milestones!$AB$109),TEXT(EDATE($D128,Milestones!$AA$109),"dd/mm/yy")&amp;" "&amp;Milestones!$AB$109&amp;" "&amp;Milestones!$AC$109&amp;";  ","")&amp;IF(AND(EDATE($D128,Milestones!$AA$110)&lt;=AsOfDate,IF($Q128=0,$W128,IF(AND($S128&lt;&gt;"",EDATE($D128,Milestones!$AA$110)&gt;=$S128),$V128,IF(AND($R128&lt;&gt;"",EDATE($D128,Milestones!$AA$110)&gt;=$R128),$U128,$T128)))=Milestones!$AB$110),TEXT(EDATE($D128,Milestones!$AA$110),"dd/mm/yy")&amp;" "&amp;Milestones!$AB$110&amp;" "&amp;Milestones!$AC$110&amp;";  ","")&amp;IF(AND(EDATE($D128,Milestones!$AA$111)&lt;=AsOfDate,IF($Q128=0,$W128,IF(AND($S128&lt;&gt;"",EDATE($D128,Milestones!$AA$111)&gt;=$S128),$V128,IF(AND($R128&lt;&gt;"",EDATE($D128,Milestones!$AA$111)&gt;=$R128),$U128,$T128)))=Milestones!$AB$111),TEXT(EDATE($D128,Milestones!$AA$111),"dd/mm/yy")&amp;" "&amp;Milestones!$AB$111&amp;" "&amp;Milestones!$AC$111&amp;";  ","")&amp;IF(AND(EDATE($D128,Milestones!$AA$112)&lt;=AsOfDate,IF($Q128=0,$W128,IF(AND($S128&lt;&gt;"",EDATE($D128,Milestones!$AA$112)&gt;=$S128),$V128,IF(AND($R128&lt;&gt;"",EDATE($D128,Milestones!$AA$112)&gt;=$R128),$U128,$T128)))=Milestones!$AB$112),TEXT(EDATE($D128,Milestones!$AA$112),"dd/mm/yy")&amp;" "&amp;Milestones!$AB$112&amp;" "&amp;Milestones!$AC$112&amp;";  ","")&amp;IF(AND(EDATE($D128,Milestones!$AA$113)&lt;=AsOfDate,IF($Q128=0,$W128,IF(AND($S128&lt;&gt;"",EDATE($D128,Milestones!$AA$113)&gt;=$S128),$V128,IF(AND($R128&lt;&gt;"",EDATE($D128,Milestones!$AA$113)&gt;=$R128),$U128,$T128)))=Milestones!$AB$113),TEXT(EDATE($D128,Milestones!$AA$113),"dd/mm/yy")&amp;" "&amp;Milestones!$AB$113&amp;" "&amp;Milestones!$AC$113&amp;";  ","")&amp;IF(AND(EDATE($D128,Milestones!$AA$114)&lt;=AsOfDate,IF($Q128=0,$W128,IF(AND($S128&lt;&gt;"",EDATE($D128,Milestones!$AA$114)&gt;=$S128),$V128,IF(AND($R128&lt;&gt;"",EDATE($D128,Milestones!$AA$114)&gt;=$R128),$U128,$T128)))=Milestones!$AB$114),TEXT(EDATE($D128,Milestones!$AA$114),"dd/mm/yy")&amp;" "&amp;Milestones!$AB$114&amp;" "&amp;Milestones!$AC$114&amp;";  ","")&amp;IF(AND(EDATE($D128,Milestones!$AA$115)&lt;=AsOfDate,IF($Q128=0,$W128,IF(AND($S128&lt;&gt;"",EDATE($D128,Milestones!$AA$115)&gt;=$S128),$V128,IF(AND($R128&lt;&gt;"",EDATE($D128,Milestones!$AA$115)&gt;=$R128),$U128,$T128)))=Milestones!$AB$115),TEXT(EDATE($D128,Milestones!$AA$115),"dd/mm/yy")&amp;" "&amp;Milestones!$AB$115&amp;" "&amp;Milestones!$AC$115&amp;";  ","")&amp;IF(AND(EDATE($D128,Milestones!$AA$116)&lt;=AsOfDate,IF($Q128=0,$W128,IF(AND($S128&lt;&gt;"",EDATE($D128,Milestones!$AA$116)&gt;=$S128),$V128,IF(AND($R128&lt;&gt;"",EDATE($D128,Milestones!$AA$116)&gt;=$R128),$U128,$T128)))=Milestones!$AB$116),TEXT(EDATE($D128,Milestones!$AA$116),"dd/mm/yy")&amp;" "&amp;Milestones!$AB$116&amp;" "&amp;Milestones!$AC$116&amp;";  ","")&amp;IF(AND(EDATE($D128,Milestones!$AA$117)&lt;=AsOfDate,IF($Q128=0,$W128,IF(AND($S128&lt;&gt;"",EDATE($D128,Milestones!$AA$117)&gt;=$S128),$V128,IF(AND($R128&lt;&gt;"",EDATE($D128,Milestones!$AA$117)&gt;=$R128),$U128,$T128)))=Milestones!$AB$117),TEXT(EDATE($D128,Milestones!$AA$117),"dd/mm/yy")&amp;" "&amp;Milestones!$AB$117&amp;" "&amp;Milestones!$AC$117&amp;";  ","")&amp;IF(AND(EDATE($D128,Milestones!$AA$118)&lt;=AsOfDate,IF($Q128=0,$W128,IF(AND($S128&lt;&gt;"",EDATE($D128,Milestones!$AA$118)&gt;=$S128),$V128,IF(AND($R128&lt;&gt;"",EDATE($D128,Milestones!$AA$118)&gt;=$R128),$U128,$T128)))=Milestones!$AB$118),TEXT(EDATE($D128,Milestones!$AA$118),"dd/mm/yy")&amp;" "&amp;Milestones!$AB$118&amp;" "&amp;Milestones!$AC$118&amp;";  ","")&amp;IF(AND(EDATE($D128,Milestones!$AA$119)&lt;=AsOfDate,IF($Q128=0,$W128,IF(AND($S128&lt;&gt;"",EDATE($D128,Milestones!$AA$119)&gt;=$S128),$V128,IF(AND($R128&lt;&gt;"",EDATE($D128,Milestones!$AA$119)&gt;=$R128),$U128,$T128)))=Milestones!$AB$119),TEXT(EDATE($D128,Milestones!$AA$119),"dd/mm/yy")&amp;" "&amp;Milestones!$AB$119&amp;" "&amp;Milestones!$AC$119&amp;";  ",""))</f>
        <v/>
      </c>
      <c r="M128" s="0" t="str">
        <f aca="false">IF(OR($A128="",$D128=""),"",IF(AND(EDATE($D128,Milestones!$AA$120)&lt;=AsOfDate,IF($Q128=0,$W128,IF(AND($S128&lt;&gt;"",EDATE($D128,Milestones!$AA$120)&gt;=$S128),$V128,IF(AND($R128&lt;&gt;"",EDATE($D128,Milestones!$AA$120)&gt;=$R128),$U128,$T128)))=Milestones!$AB$120),TEXT(EDATE($D128,Milestones!$AA$120),"dd/mm/yy")&amp;" "&amp;Milestones!$AB$120&amp;" "&amp;Milestones!$AC$120&amp;";  ","")&amp;IF(AND(EDATE($D128,Milestones!$AA$121)&lt;=AsOfDate,IF($Q128=0,$W128,IF(AND($S128&lt;&gt;"",EDATE($D128,Milestones!$AA$121)&gt;=$S128),$V128,IF(AND($R128&lt;&gt;"",EDATE($D128,Milestones!$AA$121)&gt;=$R128),$U128,$T128)))=Milestones!$AB$121),TEXT(EDATE($D128,Milestones!$AA$121),"dd/mm/yy")&amp;" "&amp;Milestones!$AB$121&amp;" "&amp;Milestones!$AC$121&amp;";  ","")&amp;IF(AND(EDATE($D128,Milestones!$AA$122)&lt;=AsOfDate,IF($Q128=0,$W128,IF(AND($S128&lt;&gt;"",EDATE($D128,Milestones!$AA$122)&gt;=$S128),$V128,IF(AND($R128&lt;&gt;"",EDATE($D128,Milestones!$AA$122)&gt;=$R128),$U128,$T128)))=Milestones!$AB$122),TEXT(EDATE($D128,Milestones!$AA$122),"dd/mm/yy")&amp;" "&amp;Milestones!$AB$122&amp;" "&amp;Milestones!$AC$122&amp;";  ","")&amp;IF(AND(EDATE($D128,Milestones!$AA$123)&lt;=AsOfDate,IF($Q128=0,$W128,IF(AND($S128&lt;&gt;"",EDATE($D128,Milestones!$AA$123)&gt;=$S128),$V128,IF(AND($R128&lt;&gt;"",EDATE($D128,Milestones!$AA$123)&gt;=$R128),$U128,$T128)))=Milestones!$AB$123),TEXT(EDATE($D128,Milestones!$AA$123),"dd/mm/yy")&amp;" "&amp;Milestones!$AB$123&amp;" "&amp;Milestones!$AC$123&amp;";  ","")&amp;IF(AND(EDATE($D128,Milestones!$AA$124)&lt;=AsOfDate,IF($Q128=0,$W128,IF(AND($S128&lt;&gt;"",EDATE($D128,Milestones!$AA$124)&gt;=$S128),$V128,IF(AND($R128&lt;&gt;"",EDATE($D128,Milestones!$AA$124)&gt;=$R128),$U128,$T128)))=Milestones!$AB$124),TEXT(EDATE($D128,Milestones!$AA$124),"dd/mm/yy")&amp;" "&amp;Milestones!$AB$124&amp;" "&amp;Milestones!$AC$124&amp;";  ","")&amp;IF(AND(EDATE($D128,Milestones!$AA$125)&lt;=AsOfDate,IF($Q128=0,$W128,IF(AND($S128&lt;&gt;"",EDATE($D128,Milestones!$AA$125)&gt;=$S128),$V128,IF(AND($R128&lt;&gt;"",EDATE($D128,Milestones!$AA$125)&gt;=$R128),$U128,$T128)))=Milestones!$AB$125),TEXT(EDATE($D128,Milestones!$AA$125),"dd/mm/yy")&amp;" "&amp;Milestones!$AB$125&amp;" "&amp;Milestones!$AC$125&amp;";  ","")&amp;IF(AND(EDATE($D128,Milestones!$AA$126)&lt;=AsOfDate,IF($Q128=0,$W128,IF(AND($S128&lt;&gt;"",EDATE($D128,Milestones!$AA$126)&gt;=$S128),$V128,IF(AND($R128&lt;&gt;"",EDATE($D128,Milestones!$AA$126)&gt;=$R128),$U128,$T128)))=Milestones!$AB$126),TEXT(EDATE($D128,Milestones!$AA$126),"dd/mm/yy")&amp;" "&amp;Milestones!$AB$126&amp;" "&amp;Milestones!$AC$126&amp;";  ","")&amp;IF(AND(EDATE($D128,Milestones!$AA$127)&lt;=AsOfDate,IF($Q128=0,$W128,IF(AND($S128&lt;&gt;"",EDATE($D128,Milestones!$AA$127)&gt;=$S128),$V128,IF(AND($R128&lt;&gt;"",EDATE($D128,Milestones!$AA$127)&gt;=$R128),$U128,$T128)))=Milestones!$AB$127),TEXT(EDATE($D128,Milestones!$AA$127),"dd/mm/yy")&amp;" "&amp;Milestones!$AB$127&amp;" "&amp;Milestones!$AC$127&amp;";  ","")&amp;IF(AND(EDATE($D128,Milestones!$AA$128)&lt;=AsOfDate,IF($Q128=0,$W128,IF(AND($S128&lt;&gt;"",EDATE($D128,Milestones!$AA$128)&gt;=$S128),$V128,IF(AND($R128&lt;&gt;"",EDATE($D128,Milestones!$AA$128)&gt;=$R128),$U128,$T128)))=Milestones!$AB$128),TEXT(EDATE($D128,Milestones!$AA$128),"dd/mm/yy")&amp;" "&amp;Milestones!$AB$128&amp;" "&amp;Milestones!$AC$128&amp;";  ","")&amp;IF(AND(EDATE($D128,Milestones!$AA$129)&lt;=AsOfDate,IF($Q128=0,$W128,IF(AND($S128&lt;&gt;"",EDATE($D128,Milestones!$AA$129)&gt;=$S128),$V128,IF(AND($R128&lt;&gt;"",EDATE($D128,Milestones!$AA$129)&gt;=$R128),$U128,$T128)))=Milestones!$AB$129),TEXT(EDATE($D128,Milestones!$AA$129),"dd/mm/yy")&amp;" "&amp;Milestones!$AB$129&amp;" "&amp;Milestones!$AC$129&amp;";  ","")&amp;IF(AND(EDATE($D128,Milestones!$AA$130)&lt;=AsOfDate,IF($Q128=0,$W128,IF(AND($S128&lt;&gt;"",EDATE($D128,Milestones!$AA$130)&gt;=$S128),$V128,IF(AND($R128&lt;&gt;"",EDATE($D128,Milestones!$AA$130)&gt;=$R128),$U128,$T128)))=Milestones!$AB$130),TEXT(EDATE($D128,Milestones!$AA$130),"dd/mm/yy")&amp;" "&amp;Milestones!$AB$130&amp;" "&amp;Milestones!$AC$130&amp;";  ","")&amp;IF(AND(EDATE($D128,Milestones!$AA$131)&lt;=AsOfDate,IF($Q128=0,$W128,IF(AND($S128&lt;&gt;"",EDATE($D128,Milestones!$AA$131)&gt;=$S128),$V128,IF(AND($R128&lt;&gt;"",EDATE($D128,Milestones!$AA$131)&gt;=$R128),$U128,$T128)))=Milestones!$AB$131),TEXT(EDATE($D128,Milestones!$AA$131),"dd/mm/yy")&amp;" "&amp;Milestones!$AB$131&amp;" "&amp;Milestones!$AC$131&amp;";  ","")&amp;IF(AND(EDATE($D128,Milestones!$AA$132)&lt;=AsOfDate,IF($Q128=0,$W128,IF(AND($S128&lt;&gt;"",EDATE($D128,Milestones!$AA$132)&gt;=$S128),$V128,IF(AND($R128&lt;&gt;"",EDATE($D128,Milestones!$AA$132)&gt;=$R128),$U128,$T128)))=Milestones!$AB$132),TEXT(EDATE($D128,Milestones!$AA$132),"dd/mm/yy")&amp;" "&amp;Milestones!$AB$132&amp;" "&amp;Milestones!$AC$132&amp;";  ","")&amp;IF(AND(EDATE($D128,Milestones!$AA$133)&lt;=AsOfDate,IF($Q128=0,$W128,IF(AND($S128&lt;&gt;"",EDATE($D128,Milestones!$AA$133)&gt;=$S128),$V128,IF(AND($R128&lt;&gt;"",EDATE($D128,Milestones!$AA$133)&gt;=$R128),$U128,$T128)))=Milestones!$AB$133),TEXT(EDATE($D128,Milestones!$AA$133),"dd/mm/yy")&amp;" "&amp;Milestones!$AB$133&amp;" "&amp;Milestones!$AC$133&amp;";  ","")&amp;IF(AND(EDATE($D128,Milestones!$AA$134)&lt;=AsOfDate,IF($Q128=0,$W128,IF(AND($S128&lt;&gt;"",EDATE($D128,Milestones!$AA$134)&gt;=$S128),$V128,IF(AND($R128&lt;&gt;"",EDATE($D128,Milestones!$AA$134)&gt;=$R128),$U128,$T128)))=Milestones!$AB$134),TEXT(EDATE($D128,Milestones!$AA$134),"dd/mm/yy")&amp;" "&amp;Milestones!$AB$134&amp;" "&amp;Milestones!$AC$134&amp;";  ","")&amp;IF(AND(EDATE($D128,Milestones!$AA$135)&lt;=AsOfDate,IF($Q128=0,$W128,IF(AND($S128&lt;&gt;"",EDATE($D128,Milestones!$AA$135)&gt;=$S128),$V128,IF(AND($R128&lt;&gt;"",EDATE($D128,Milestones!$AA$135)&gt;=$R128),$U128,$T128)))=Milestones!$AB$135),TEXT(EDATE($D128,Milestones!$AA$135),"dd/mm/yy")&amp;" "&amp;Milestones!$AB$135&amp;" "&amp;Milestones!$AC$135&amp;";  ","")&amp;IF(AND(EDATE($D128,Milestones!$AA$136)&lt;=AsOfDate,IF($Q128=0,$W128,IF(AND($S128&lt;&gt;"",EDATE($D128,Milestones!$AA$136)&gt;=$S128),$V128,IF(AND($R128&lt;&gt;"",EDATE($D128,Milestones!$AA$136)&gt;=$R128),$U128,$T128)))=Milestones!$AB$136),TEXT(EDATE($D128,Milestones!$AA$136),"dd/mm/yy")&amp;" "&amp;Milestones!$AB$136&amp;" "&amp;Milestones!$AC$136&amp;";  ","")&amp;IF(AND(EDATE($D128,Milestones!$AA$137)&lt;=AsOfDate,IF($Q128=0,$W128,IF(AND($S128&lt;&gt;"",EDATE($D128,Milestones!$AA$137)&gt;=$S128),$V128,IF(AND($R128&lt;&gt;"",EDATE($D128,Milestones!$AA$137)&gt;=$R128),$U128,$T128)))=Milestones!$AB$137),TEXT(EDATE($D128,Milestones!$AA$137),"dd/mm/yy")&amp;" "&amp;Milestones!$AB$137&amp;" "&amp;Milestones!$AC$137&amp;";  ","")&amp;IF(AND(EDATE($D128,Milestones!$AA$138)&lt;=AsOfDate,IF($Q128=0,$W128,IF(AND($S128&lt;&gt;"",EDATE($D128,Milestones!$AA$138)&gt;=$S128),$V128,IF(AND($R128&lt;&gt;"",EDATE($D128,Milestones!$AA$138)&gt;=$R128),$U128,$T128)))=Milestones!$AB$138),TEXT(EDATE($D128,Milestones!$AA$138),"dd/mm/yy")&amp;" "&amp;Milestones!$AB$138&amp;" "&amp;Milestones!$AC$138&amp;";  ","")&amp;IF(AND(EDATE($D128,Milestones!$AA$139)&lt;=AsOfDate,IF($Q128=0,$W128,IF(AND($S128&lt;&gt;"",EDATE($D128,Milestones!$AA$139)&gt;=$S128),$V128,IF(AND($R128&lt;&gt;"",EDATE($D128,Milestones!$AA$139)&gt;=$R128),$U128,$T128)))=Milestones!$AB$139),TEXT(EDATE($D128,Milestones!$AA$139),"dd/mm/yy")&amp;" "&amp;Milestones!$AB$139&amp;" "&amp;Milestones!$AC$139&amp;";  ",""))</f>
        <v/>
      </c>
      <c r="N128" s="0" t="str">
        <f aca="false">IF(OR($A128="",$D128=""),"",IF(AND(EDATE($D128,Milestones!$AA$140)&lt;=AsOfDate,IF($Q128=0,$W128,IF(AND($S128&lt;&gt;"",EDATE($D128,Milestones!$AA$140)&gt;=$S128),$V128,IF(AND($R128&lt;&gt;"",EDATE($D128,Milestones!$AA$140)&gt;=$R128),$U128,$T128)))=Milestones!$AB$140),TEXT(EDATE($D128,Milestones!$AA$140),"dd/mm/yy")&amp;" "&amp;Milestones!$AB$140&amp;" "&amp;Milestones!$AC$140&amp;";  ","")&amp;IF(AND(EDATE($D128,Milestones!$AA$141)&lt;=AsOfDate,IF($Q128=0,$W128,IF(AND($S128&lt;&gt;"",EDATE($D128,Milestones!$AA$141)&gt;=$S128),$V128,IF(AND($R128&lt;&gt;"",EDATE($D128,Milestones!$AA$141)&gt;=$R128),$U128,$T128)))=Milestones!$AB$141),TEXT(EDATE($D128,Milestones!$AA$141),"dd/mm/yy")&amp;" "&amp;Milestones!$AB$141&amp;" "&amp;Milestones!$AC$141&amp;";  ","")&amp;IF(AND(EDATE($D128,Milestones!$AA$142)&lt;=AsOfDate,IF($Q128=0,$W128,IF(AND($S128&lt;&gt;"",EDATE($D128,Milestones!$AA$142)&gt;=$S128),$V128,IF(AND($R128&lt;&gt;"",EDATE($D128,Milestones!$AA$142)&gt;=$R128),$U128,$T128)))=Milestones!$AB$142),TEXT(EDATE($D128,Milestones!$AA$142),"dd/mm/yy")&amp;" "&amp;Milestones!$AB$142&amp;" "&amp;Milestones!$AC$142&amp;";  ","")&amp;IF(AND(EDATE($D128,Milestones!$AA$143)&lt;=AsOfDate,IF($Q128=0,$W128,IF(AND($S128&lt;&gt;"",EDATE($D128,Milestones!$AA$143)&gt;=$S128),$V128,IF(AND($R128&lt;&gt;"",EDATE($D128,Milestones!$AA$143)&gt;=$R128),$U128,$T128)))=Milestones!$AB$143),TEXT(EDATE($D128,Milestones!$AA$143),"dd/mm/yy")&amp;" "&amp;Milestones!$AB$143&amp;" "&amp;Milestones!$AC$143&amp;";  ","")&amp;IF(AND(EDATE($D128,Milestones!$AA$144)&lt;=AsOfDate,IF($Q128=0,$W128,IF(AND($S128&lt;&gt;"",EDATE($D128,Milestones!$AA$144)&gt;=$S128),$V128,IF(AND($R128&lt;&gt;"",EDATE($D128,Milestones!$AA$144)&gt;=$R128),$U128,$T128)))=Milestones!$AB$144),TEXT(EDATE($D128,Milestones!$AA$144),"dd/mm/yy")&amp;" "&amp;Milestones!$AB$144&amp;" "&amp;Milestones!$AC$144&amp;";  ","")&amp;IF(AND(EDATE($D128,Milestones!$AA$145)&lt;=AsOfDate,IF($Q128=0,$W128,IF(AND($S128&lt;&gt;"",EDATE($D128,Milestones!$AA$145)&gt;=$S128),$V128,IF(AND($R128&lt;&gt;"",EDATE($D128,Milestones!$AA$145)&gt;=$R128),$U128,$T128)))=Milestones!$AB$145),TEXT(EDATE($D128,Milestones!$AA$145),"dd/mm/yy")&amp;" "&amp;Milestones!$AB$145&amp;" "&amp;Milestones!$AC$145&amp;";  ","")&amp;IF(AND(EDATE($D128,Milestones!$AA$146)&lt;=AsOfDate,IF($Q128=0,$W128,IF(AND($S128&lt;&gt;"",EDATE($D128,Milestones!$AA$146)&gt;=$S128),$V128,IF(AND($R128&lt;&gt;"",EDATE($D128,Milestones!$AA$146)&gt;=$R128),$U128,$T128)))=Milestones!$AB$146),TEXT(EDATE($D128,Milestones!$AA$146),"dd/mm/yy")&amp;" "&amp;Milestones!$AB$146&amp;" "&amp;Milestones!$AC$146&amp;";  ","")&amp;IF(AND(EDATE($D128,Milestones!$AA$147)&lt;=AsOfDate,IF($Q128=0,$W128,IF(AND($S128&lt;&gt;"",EDATE($D128,Milestones!$AA$147)&gt;=$S128),$V128,IF(AND($R128&lt;&gt;"",EDATE($D128,Milestones!$AA$147)&gt;=$R128),$U128,$T128)))=Milestones!$AB$147),TEXT(EDATE($D128,Milestones!$AA$147),"dd/mm/yy")&amp;" "&amp;Milestones!$AB$147&amp;" "&amp;Milestones!$AC$147&amp;";  ","")&amp;IF(AND(EDATE($D128,Milestones!$AA$148)&lt;=AsOfDate,IF($Q128=0,$W128,IF(AND($S128&lt;&gt;"",EDATE($D128,Milestones!$AA$148)&gt;=$S128),$V128,IF(AND($R128&lt;&gt;"",EDATE($D128,Milestones!$AA$148)&gt;=$R128),$U128,$T128)))=Milestones!$AB$148),TEXT(EDATE($D128,Milestones!$AA$148),"dd/mm/yy")&amp;" "&amp;Milestones!$AB$148&amp;" "&amp;Milestones!$AC$148&amp;";  ","")&amp;IF(AND(EDATE($D128,Milestones!$AA$149)&lt;=AsOfDate,IF($Q128=0,$W128,IF(AND($S128&lt;&gt;"",EDATE($D128,Milestones!$AA$149)&gt;=$S128),$V128,IF(AND($R128&lt;&gt;"",EDATE($D128,Milestones!$AA$149)&gt;=$R128),$U128,$T128)))=Milestones!$AB$149),TEXT(EDATE($D128,Milestones!$AA$149),"dd/mm/yy")&amp;" "&amp;Milestones!$AB$149&amp;" "&amp;Milestones!$AC$149&amp;";  ","")&amp;IF(AND(EDATE($D128,Milestones!$AA$150)&lt;=AsOfDate,IF($Q128=0,$W128,IF(AND($S128&lt;&gt;"",EDATE($D128,Milestones!$AA$150)&gt;=$S128),$V128,IF(AND($R128&lt;&gt;"",EDATE($D128,Milestones!$AA$150)&gt;=$R128),$U128,$T128)))=Milestones!$AB$150),TEXT(EDATE($D128,Milestones!$AA$150),"dd/mm/yy")&amp;" "&amp;Milestones!$AB$150&amp;" "&amp;Milestones!$AC$150&amp;";  ","")&amp;IF(AND(EDATE($D128,Milestones!$AA$151)&lt;=AsOfDate,IF($Q128=0,$W128,IF(AND($S128&lt;&gt;"",EDATE($D128,Milestones!$AA$151)&gt;=$S128),$V128,IF(AND($R128&lt;&gt;"",EDATE($D128,Milestones!$AA$151)&gt;=$R128),$U128,$T128)))=Milestones!$AB$151),TEXT(EDATE($D128,Milestones!$AA$151),"dd/mm/yy")&amp;" "&amp;Milestones!$AB$151&amp;" "&amp;Milestones!$AC$151&amp;";  ","")&amp;IF(AND(EDATE($D128,Milestones!$AA$152)&lt;=AsOfDate,IF($Q128=0,$W128,IF(AND($S128&lt;&gt;"",EDATE($D128,Milestones!$AA$152)&gt;=$S128),$V128,IF(AND($R128&lt;&gt;"",EDATE($D128,Milestones!$AA$152)&gt;=$R128),$U128,$T128)))=Milestones!$AB$152),TEXT(EDATE($D128,Milestones!$AA$152),"dd/mm/yy")&amp;" "&amp;Milestones!$AB$152&amp;" "&amp;Milestones!$AC$152&amp;";  ","")&amp;IF(AND(EDATE($D128,Milestones!$AA$153)&lt;=AsOfDate,IF($Q128=0,$W128,IF(AND($S128&lt;&gt;"",EDATE($D128,Milestones!$AA$153)&gt;=$S128),$V128,IF(AND($R128&lt;&gt;"",EDATE($D128,Milestones!$AA$153)&gt;=$R128),$U128,$T128)))=Milestones!$AB$153),TEXT(EDATE($D128,Milestones!$AA$153),"dd/mm/yy")&amp;" "&amp;Milestones!$AB$153&amp;" "&amp;Milestones!$AC$153&amp;";  ","")&amp;IF(AND(EDATE($D128,Milestones!$AA$154)&lt;=AsOfDate,IF($Q128=0,$W128,IF(AND($S128&lt;&gt;"",EDATE($D128,Milestones!$AA$154)&gt;=$S128),$V128,IF(AND($R128&lt;&gt;"",EDATE($D128,Milestones!$AA$154)&gt;=$R128),$U128,$T128)))=Milestones!$AB$154),TEXT(EDATE($D128,Milestones!$AA$154),"dd/mm/yy")&amp;" "&amp;Milestones!$AB$154&amp;" "&amp;Milestones!$AC$154&amp;";  ","")&amp;IF(AND(EDATE($D128,Milestones!$AA$155)&lt;=AsOfDate,IF($Q128=0,$W128,IF(AND($S128&lt;&gt;"",EDATE($D128,Milestones!$AA$155)&gt;=$S128),$V128,IF(AND($R128&lt;&gt;"",EDATE($D128,Milestones!$AA$155)&gt;=$R128),$U128,$T128)))=Milestones!$AB$155),TEXT(EDATE($D128,Milestones!$AA$155),"dd/mm/yy")&amp;" "&amp;Milestones!$AB$155&amp;" "&amp;Milestones!$AC$155&amp;";  ","")&amp;IF(AND(EDATE($D128,Milestones!$AA$156)&lt;=AsOfDate,IF($Q128=0,$W128,IF(AND($S128&lt;&gt;"",EDATE($D128,Milestones!$AA$156)&gt;=$S128),$V128,IF(AND($R128&lt;&gt;"",EDATE($D128,Milestones!$AA$156)&gt;=$R128),$U128,$T128)))=Milestones!$AB$156),TEXT(EDATE($D128,Milestones!$AA$156),"dd/mm/yy")&amp;" "&amp;Milestones!$AB$156&amp;" "&amp;Milestones!$AC$156&amp;";  ","")&amp;IF(AND(EDATE($D128,Milestones!$AA$157)&lt;=AsOfDate,IF($Q128=0,$W128,IF(AND($S128&lt;&gt;"",EDATE($D128,Milestones!$AA$157)&gt;=$S128),$V128,IF(AND($R128&lt;&gt;"",EDATE($D128,Milestones!$AA$157)&gt;=$R128),$U128,$T128)))=Milestones!$AB$157),TEXT(EDATE($D128,Milestones!$AA$157),"dd/mm/yy")&amp;" "&amp;Milestones!$AB$157&amp;" "&amp;Milestones!$AC$157&amp;";  ","")&amp;IF(AND(EDATE($D128,Milestones!$AA$158)&lt;=AsOfDate,IF($Q128=0,$W128,IF(AND($S128&lt;&gt;"",EDATE($D128,Milestones!$AA$158)&gt;=$S128),$V128,IF(AND($R128&lt;&gt;"",EDATE($D128,Milestones!$AA$158)&gt;=$R128),$U128,$T128)))=Milestones!$AB$158),TEXT(EDATE($D128,Milestones!$AA$158),"dd/mm/yy")&amp;" "&amp;Milestones!$AB$158&amp;" "&amp;Milestones!$AC$158&amp;";  ","")&amp;IF(AND(EDATE($D128,Milestones!$AA$159)&lt;=AsOfDate,IF($Q128=0,$W128,IF(AND($S128&lt;&gt;"",EDATE($D128,Milestones!$AA$159)&gt;=$S128),$V128,IF(AND($R128&lt;&gt;"",EDATE($D128,Milestones!$AA$159)&gt;=$R128),$U128,$T128)))=Milestones!$AB$159),TEXT(EDATE($D128,Milestones!$AA$159),"dd/mm/yy")&amp;" "&amp;Milestones!$AB$159&amp;" "&amp;Milestones!$AC$159&amp;";  ",""))</f>
        <v/>
      </c>
      <c r="O128" s="0" t="str">
        <f aca="false">IF(OR($A128="",$D128=""),"",IF(AND(EDATE($D128,Milestones!$AA$160)&lt;=AsOfDate,IF($Q128=0,$W128,IF(AND($S128&lt;&gt;"",EDATE($D128,Milestones!$AA$160)&gt;=$S128),$V128,IF(AND($R128&lt;&gt;"",EDATE($D128,Milestones!$AA$160)&gt;=$R128),$U128,$T128)))=Milestones!$AB$160),TEXT(EDATE($D128,Milestones!$AA$160),"dd/mm/yy")&amp;" "&amp;Milestones!$AB$160&amp;" "&amp;Milestones!$AC$160&amp;";  ","")&amp;IF(AND(EDATE($D128,Milestones!$AA$161)&lt;=AsOfDate,IF($Q128=0,$W128,IF(AND($S128&lt;&gt;"",EDATE($D128,Milestones!$AA$161)&gt;=$S128),$V128,IF(AND($R128&lt;&gt;"",EDATE($D128,Milestones!$AA$161)&gt;=$R128),$U128,$T128)))=Milestones!$AB$161),TEXT(EDATE($D128,Milestones!$AA$161),"dd/mm/yy")&amp;" "&amp;Milestones!$AB$161&amp;" "&amp;Milestones!$AC$161&amp;";  ","")&amp;IF(AND(EDATE($D128,Milestones!$AA$162)&lt;=AsOfDate,IF($Q128=0,$W128,IF(AND($S128&lt;&gt;"",EDATE($D128,Milestones!$AA$162)&gt;=$S128),$V128,IF(AND($R128&lt;&gt;"",EDATE($D128,Milestones!$AA$162)&gt;=$R128),$U128,$T128)))=Milestones!$AB$162),TEXT(EDATE($D128,Milestones!$AA$162),"dd/mm/yy")&amp;" "&amp;Milestones!$AB$162&amp;" "&amp;Milestones!$AC$162&amp;";  ","")&amp;IF(AND(EDATE($D128,Milestones!$AA$163)&lt;=AsOfDate,IF($Q128=0,$W128,IF(AND($S128&lt;&gt;"",EDATE($D128,Milestones!$AA$163)&gt;=$S128),$V128,IF(AND($R128&lt;&gt;"",EDATE($D128,Milestones!$AA$163)&gt;=$R128),$U128,$T128)))=Milestones!$AB$163),TEXT(EDATE($D128,Milestones!$AA$163),"dd/mm/yy")&amp;" "&amp;Milestones!$AB$163&amp;" "&amp;Milestones!$AC$163&amp;";  ","")&amp;IF(AND(EDATE($D128,Milestones!$AA$164)&lt;=AsOfDate,IF($Q128=0,$W128,IF(AND($S128&lt;&gt;"",EDATE($D128,Milestones!$AA$164)&gt;=$S128),$V128,IF(AND($R128&lt;&gt;"",EDATE($D128,Milestones!$AA$164)&gt;=$R128),$U128,$T128)))=Milestones!$AB$164),TEXT(EDATE($D128,Milestones!$AA$164),"dd/mm/yy")&amp;" "&amp;Milestones!$AB$164&amp;" "&amp;Milestones!$AC$164&amp;";  ","")&amp;IF(AND(EDATE($D128,Milestones!$AA$165)&lt;=AsOfDate,IF($Q128=0,$W128,IF(AND($S128&lt;&gt;"",EDATE($D128,Milestones!$AA$165)&gt;=$S128),$V128,IF(AND($R128&lt;&gt;"",EDATE($D128,Milestones!$AA$165)&gt;=$R128),$U128,$T128)))=Milestones!$AB$165),TEXT(EDATE($D128,Milestones!$AA$165),"dd/mm/yy")&amp;" "&amp;Milestones!$AB$165&amp;" "&amp;Milestones!$AC$165&amp;";  ","")&amp;IF(AND(EDATE($D128,Milestones!$AA$166)&lt;=AsOfDate,IF($Q128=0,$W128,IF(AND($S128&lt;&gt;"",EDATE($D128,Milestones!$AA$166)&gt;=$S128),$V128,IF(AND($R128&lt;&gt;"",EDATE($D128,Milestones!$AA$166)&gt;=$R128),$U128,$T128)))=Milestones!$AB$166),TEXT(EDATE($D128,Milestones!$AA$166),"dd/mm/yy")&amp;" "&amp;Milestones!$AB$166&amp;" "&amp;Milestones!$AC$166&amp;";  ","")&amp;IF(AND(EDATE($D128,Milestones!$AA$167)&lt;=AsOfDate,IF($Q128=0,$W128,IF(AND($S128&lt;&gt;"",EDATE($D128,Milestones!$AA$167)&gt;=$S128),$V128,IF(AND($R128&lt;&gt;"",EDATE($D128,Milestones!$AA$167)&gt;=$R128),$U128,$T128)))=Milestones!$AB$167),TEXT(EDATE($D128,Milestones!$AA$167),"dd/mm/yy")&amp;" "&amp;Milestones!$AB$167&amp;" "&amp;Milestones!$AC$167&amp;";  ","")&amp;IF(AND(EDATE($D128,Milestones!$AA$168)&lt;=AsOfDate,IF($Q128=0,$W128,IF(AND($S128&lt;&gt;"",EDATE($D128,Milestones!$AA$168)&gt;=$S128),$V128,IF(AND($R128&lt;&gt;"",EDATE($D128,Milestones!$AA$168)&gt;=$R128),$U128,$T128)))=Milestones!$AB$168),TEXT(EDATE($D128,Milestones!$AA$168),"dd/mm/yy")&amp;" "&amp;Milestones!$AB$168&amp;" "&amp;Milestones!$AC$168&amp;";  ","")&amp;IF(AND(EDATE($D128,Milestones!$AA$169)&lt;=AsOfDate,IF($Q128=0,$W128,IF(AND($S128&lt;&gt;"",EDATE($D128,Milestones!$AA$169)&gt;=$S128),$V128,IF(AND($R128&lt;&gt;"",EDATE($D128,Milestones!$AA$169)&gt;=$R128),$U128,$T128)))=Milestones!$AB$169),TEXT(EDATE($D128,Milestones!$AA$169),"dd/mm/yy")&amp;" "&amp;Milestones!$AB$169&amp;" "&amp;Milestones!$AC$169&amp;";  ","")&amp;IF(AND(EDATE($D128,Milestones!$AA$170)&lt;=AsOfDate,IF($Q128=0,$W128,IF(AND($S128&lt;&gt;"",EDATE($D128,Milestones!$AA$170)&gt;=$S128),$V128,IF(AND($R128&lt;&gt;"",EDATE($D128,Milestones!$AA$170)&gt;=$R128),$U128,$T128)))=Milestones!$AB$170),TEXT(EDATE($D128,Milestones!$AA$170),"dd/mm/yy")&amp;" "&amp;Milestones!$AB$170&amp;" "&amp;Milestones!$AC$170&amp;";  ","")&amp;IF(AND(EDATE($D128,Milestones!$AA$171)&lt;=AsOfDate,IF($Q128=0,$W128,IF(AND($S128&lt;&gt;"",EDATE($D128,Milestones!$AA$171)&gt;=$S128),$V128,IF(AND($R128&lt;&gt;"",EDATE($D128,Milestones!$AA$171)&gt;=$R128),$U128,$T128)))=Milestones!$AB$171),TEXT(EDATE($D128,Milestones!$AA$171),"dd/mm/yy")&amp;" "&amp;Milestones!$AB$171&amp;" "&amp;Milestones!$AC$171&amp;";  ","")&amp;IF(AND(EDATE($D128,Milestones!$AA$172)&lt;=AsOfDate,IF($Q128=0,$W128,IF(AND($S128&lt;&gt;"",EDATE($D128,Milestones!$AA$172)&gt;=$S128),$V128,IF(AND($R128&lt;&gt;"",EDATE($D128,Milestones!$AA$172)&gt;=$R128),$U128,$T128)))=Milestones!$AB$172),TEXT(EDATE($D128,Milestones!$AA$172),"dd/mm/yy")&amp;" "&amp;Milestones!$AB$172&amp;" "&amp;Milestones!$AC$172&amp;";  ","")&amp;IF(AND(EDATE($D128,Milestones!$AA$173)&lt;=AsOfDate,IF($Q128=0,$W128,IF(AND($S128&lt;&gt;"",EDATE($D128,Milestones!$AA$173)&gt;=$S128),$V128,IF(AND($R128&lt;&gt;"",EDATE($D128,Milestones!$AA$173)&gt;=$R128),$U128,$T128)))=Milestones!$AB$173),TEXT(EDATE($D128,Milestones!$AA$173),"dd/mm/yy")&amp;" "&amp;Milestones!$AB$173&amp;" "&amp;Milestones!$AC$173&amp;";  ","")&amp;IF(AND(EDATE($D128,Milestones!$AA$174)&lt;=AsOfDate,IF($Q128=0,$W128,IF(AND($S128&lt;&gt;"",EDATE($D128,Milestones!$AA$174)&gt;=$S128),$V128,IF(AND($R128&lt;&gt;"",EDATE($D128,Milestones!$AA$174)&gt;=$R128),$U128,$T128)))=Milestones!$AB$174),TEXT(EDATE($D128,Milestones!$AA$174),"dd/mm/yy")&amp;" "&amp;Milestones!$AB$174&amp;" "&amp;Milestones!$AC$174&amp;";  ","")&amp;IF(AND(EDATE($D128,Milestones!$AA$175)&lt;=AsOfDate,IF($Q128=0,$W128,IF(AND($S128&lt;&gt;"",EDATE($D128,Milestones!$AA$175)&gt;=$S128),$V128,IF(AND($R128&lt;&gt;"",EDATE($D128,Milestones!$AA$175)&gt;=$R128),$U128,$T128)))=Milestones!$AB$175),TEXT(EDATE($D128,Milestones!$AA$175),"dd/mm/yy")&amp;" "&amp;Milestones!$AB$175&amp;" "&amp;Milestones!$AC$175&amp;";  ","")&amp;IF(AND(EDATE($D128,Milestones!$AA$176)&lt;=AsOfDate,IF($Q128=0,$W128,IF(AND($S128&lt;&gt;"",EDATE($D128,Milestones!$AA$176)&gt;=$S128),$V128,IF(AND($R128&lt;&gt;"",EDATE($D128,Milestones!$AA$176)&gt;=$R128),$U128,$T128)))=Milestones!$AB$176),TEXT(EDATE($D128,Milestones!$AA$176),"dd/mm/yy")&amp;" "&amp;Milestones!$AB$176&amp;" "&amp;Milestones!$AC$176&amp;";  ","")&amp;IF(AND(EDATE($D128,Milestones!$AA$177)&lt;=AsOfDate,IF($Q128=0,$W128,IF(AND($S128&lt;&gt;"",EDATE($D128,Milestones!$AA$177)&gt;=$S128),$V128,IF(AND($R128&lt;&gt;"",EDATE($D128,Milestones!$AA$177)&gt;=$R128),$U128,$T128)))=Milestones!$AB$177),TEXT(EDATE($D128,Milestones!$AA$177),"dd/mm/yy")&amp;" "&amp;Milestones!$AB$177&amp;" "&amp;Milestones!$AC$177&amp;";  ","")&amp;IF(AND(EDATE($D128,Milestones!$AA$178)&lt;=AsOfDate,IF($Q128=0,$W128,IF(AND($S128&lt;&gt;"",EDATE($D128,Milestones!$AA$178)&gt;=$S128),$V128,IF(AND($R128&lt;&gt;"",EDATE($D128,Milestones!$AA$178)&gt;=$R128),$U128,$T128)))=Milestones!$AB$178),TEXT(EDATE($D128,Milestones!$AA$178),"dd/mm/yy")&amp;" "&amp;Milestones!$AB$178&amp;" "&amp;Milestones!$AC$178&amp;";  ","")&amp;IF(AND(EDATE($D128,Milestones!$AA$179)&lt;=AsOfDate,IF($Q128=0,$W128,IF(AND($S128&lt;&gt;"",EDATE($D128,Milestones!$AA$179)&gt;=$S128),$V128,IF(AND($R128&lt;&gt;"",EDATE($D128,Milestones!$AA$179)&gt;=$R128),$U128,$T128)))=Milestones!$AB$179),TEXT(EDATE($D128,Milestones!$AA$179),"dd/mm/yy")&amp;" "&amp;Milestones!$AB$179&amp;" "&amp;Milestones!$AC$179&amp;";  ",""))</f>
        <v/>
      </c>
      <c r="P128" s="0" t="str">
        <f aca="false">IF(OR($A128="",$D128=""),"",IF(AND(EDATE($D128,Milestones!$AA$180)&lt;=AsOfDate,IF($Q128=0,$W128,IF(AND($S128&lt;&gt;"",EDATE($D128,Milestones!$AA$180)&gt;=$S128),$V128,IF(AND($R128&lt;&gt;"",EDATE($D128,Milestones!$AA$180)&gt;=$R128),$U128,$T128)))=Milestones!$AB$180),TEXT(EDATE($D128,Milestones!$AA$180),"dd/mm/yy")&amp;" "&amp;Milestones!$AB$180&amp;" "&amp;Milestones!$AC$180&amp;";  ","")&amp;IF(AND(EDATE($D128,Milestones!$AA$181)&lt;=AsOfDate,IF($Q128=0,$W128,IF(AND($S128&lt;&gt;"",EDATE($D128,Milestones!$AA$181)&gt;=$S128),$V128,IF(AND($R128&lt;&gt;"",EDATE($D128,Milestones!$AA$181)&gt;=$R128),$U128,$T128)))=Milestones!$AB$181),TEXT(EDATE($D128,Milestones!$AA$181),"dd/mm/yy")&amp;" "&amp;Milestones!$AB$181&amp;" "&amp;Milestones!$AC$181&amp;";  ","")&amp;IF(AND(EDATE($D128,Milestones!$AA$182)&lt;=AsOfDate,IF($Q128=0,$W128,IF(AND($S128&lt;&gt;"",EDATE($D128,Milestones!$AA$182)&gt;=$S128),$V128,IF(AND($R128&lt;&gt;"",EDATE($D128,Milestones!$AA$182)&gt;=$R128),$U128,$T128)))=Milestones!$AB$182),TEXT(EDATE($D128,Milestones!$AA$182),"dd/mm/yy")&amp;" "&amp;Milestones!$AB$182&amp;" "&amp;Milestones!$AC$182&amp;";  ","")&amp;IF(AND(EDATE($D128,Milestones!$AA$183)&lt;=AsOfDate,IF($Q128=0,$W128,IF(AND($S128&lt;&gt;"",EDATE($D128,Milestones!$AA$183)&gt;=$S128),$V128,IF(AND($R128&lt;&gt;"",EDATE($D128,Milestones!$AA$183)&gt;=$R128),$U128,$T128)))=Milestones!$AB$183),TEXT(EDATE($D128,Milestones!$AA$183),"dd/mm/yy")&amp;" "&amp;Milestones!$AB$183&amp;" "&amp;Milestones!$AC$183&amp;";  ","")&amp;IF(AND(EDATE($D128,Milestones!$AA$184)&lt;=AsOfDate,IF($Q128=0,$W128,IF(AND($S128&lt;&gt;"",EDATE($D128,Milestones!$AA$184)&gt;=$S128),$V128,IF(AND($R128&lt;&gt;"",EDATE($D128,Milestones!$AA$184)&gt;=$R128),$U128,$T128)))=Milestones!$AB$184),TEXT(EDATE($D128,Milestones!$AA$184),"dd/mm/yy")&amp;" "&amp;Milestones!$AB$184&amp;" "&amp;Milestones!$AC$184&amp;";  ","")&amp;IF(AND(EDATE($D128,Milestones!$AA$185)&lt;=AsOfDate,IF($Q128=0,$W128,IF(AND($S128&lt;&gt;"",EDATE($D128,Milestones!$AA$185)&gt;=$S128),$V128,IF(AND($R128&lt;&gt;"",EDATE($D128,Milestones!$AA$185)&gt;=$R128),$U128,$T128)))=Milestones!$AB$185),TEXT(EDATE($D128,Milestones!$AA$185),"dd/mm/yy")&amp;" "&amp;Milestones!$AB$185&amp;" "&amp;Milestones!$AC$185&amp;";  ","")&amp;IF(AND(EDATE($D128,Milestones!$AA$186)&lt;=AsOfDate,IF($Q128=0,$W128,IF(AND($S128&lt;&gt;"",EDATE($D128,Milestones!$AA$186)&gt;=$S128),$V128,IF(AND($R128&lt;&gt;"",EDATE($D128,Milestones!$AA$186)&gt;=$R128),$U128,$T128)))=Milestones!$AB$186),TEXT(EDATE($D128,Milestones!$AA$186),"dd/mm/yy")&amp;" "&amp;Milestones!$AB$186&amp;" "&amp;Milestones!$AC$186&amp;";  ","")&amp;IF(AND(EDATE($D128,Milestones!$AA$187)&lt;=AsOfDate,IF($Q128=0,$W128,IF(AND($S128&lt;&gt;"",EDATE($D128,Milestones!$AA$187)&gt;=$S128),$V128,IF(AND($R128&lt;&gt;"",EDATE($D128,Milestones!$AA$187)&gt;=$R128),$U128,$T128)))=Milestones!$AB$187),TEXT(EDATE($D128,Milestones!$AA$187),"dd/mm/yy")&amp;" "&amp;Milestones!$AB$187&amp;" "&amp;Milestones!$AC$187&amp;";  ","")&amp;IF(AND(EDATE($D128,Milestones!$AA$188)&lt;=AsOfDate,IF($Q128=0,$W128,IF(AND($S128&lt;&gt;"",EDATE($D128,Milestones!$AA$188)&gt;=$S128),$V128,IF(AND($R128&lt;&gt;"",EDATE($D128,Milestones!$AA$188)&gt;=$R128),$U128,$T128)))=Milestones!$AB$188),TEXT(EDATE($D128,Milestones!$AA$188),"dd/mm/yy")&amp;" "&amp;Milestones!$AB$188&amp;" "&amp;Milestones!$AC$188&amp;";  ","")&amp;IF(AND(EDATE($D128,Milestones!$AA$189)&lt;=AsOfDate,IF($Q128=0,$W128,IF(AND($S128&lt;&gt;"",EDATE($D128,Milestones!$AA$189)&gt;=$S128),$V128,IF(AND($R128&lt;&gt;"",EDATE($D128,Milestones!$AA$189)&gt;=$R128),$U128,$T128)))=Milestones!$AB$189),TEXT(EDATE($D128,Milestones!$AA$189),"dd/mm/yy")&amp;" "&amp;Milestones!$AB$189&amp;" "&amp;Milestones!$AC$189&amp;";  ","")&amp;IF(AND(EDATE($D128,Milestones!$AA$190)&lt;=AsOfDate,IF($Q128=0,$W128,IF(AND($S128&lt;&gt;"",EDATE($D128,Milestones!$AA$190)&gt;=$S128),$V128,IF(AND($R128&lt;&gt;"",EDATE($D128,Milestones!$AA$190)&gt;=$R128),$U128,$T128)))=Milestones!$AB$190),TEXT(EDATE($D128,Milestones!$AA$190),"dd/mm/yy")&amp;" "&amp;Milestones!$AB$190&amp;" "&amp;Milestones!$AC$190&amp;";  ","")&amp;IF(AND(EDATE($D128,Milestones!$AA$191)&lt;=AsOfDate,IF($Q128=0,$W128,IF(AND($S128&lt;&gt;"",EDATE($D128,Milestones!$AA$191)&gt;=$S128),$V128,IF(AND($R128&lt;&gt;"",EDATE($D128,Milestones!$AA$191)&gt;=$R128),$U128,$T128)))=Milestones!$AB$191),TEXT(EDATE($D128,Milestones!$AA$191),"dd/mm/yy")&amp;" "&amp;Milestones!$AB$191&amp;" "&amp;Milestones!$AC$191&amp;";  ","")&amp;IF(AND(EDATE($D128,Milestones!$AA$192)&lt;=AsOfDate,IF($Q128=0,$W128,IF(AND($S128&lt;&gt;"",EDATE($D128,Milestones!$AA$192)&gt;=$S128),$V128,IF(AND($R128&lt;&gt;"",EDATE($D128,Milestones!$AA$192)&gt;=$R128),$U128,$T128)))=Milestones!$AB$192),TEXT(EDATE($D128,Milestones!$AA$192),"dd/mm/yy")&amp;" "&amp;Milestones!$AB$192&amp;" "&amp;Milestones!$AC$192&amp;";  ","")&amp;IF(AND(EDATE($D128,Milestones!$AA$193)&lt;=AsOfDate,IF($Q128=0,$W128,IF(AND($S128&lt;&gt;"",EDATE($D128,Milestones!$AA$193)&gt;=$S128),$V128,IF(AND($R128&lt;&gt;"",EDATE($D128,Milestones!$AA$193)&gt;=$R128),$U128,$T128)))=Milestones!$AB$193),TEXT(EDATE($D128,Milestones!$AA$193),"dd/mm/yy")&amp;" "&amp;Milestones!$AB$193&amp;" "&amp;Milestones!$AC$193&amp;";  ","")&amp;IF(AND(EDATE($D128,Milestones!$AA$194)&lt;=AsOfDate,IF($Q128=0,$W128,IF(AND($S128&lt;&gt;"",EDATE($D128,Milestones!$AA$194)&gt;=$S128),$V128,IF(AND($R128&lt;&gt;"",EDATE($D128,Milestones!$AA$194)&gt;=$R128),$U128,$T128)))=Milestones!$AB$194),TEXT(EDATE($D128,Milestones!$AA$194),"dd/mm/yy")&amp;" "&amp;Milestones!$AB$194&amp;" "&amp;Milestones!$AC$194&amp;";  ","")&amp;IF(AND(EDATE($D128,Milestones!$AA$195)&lt;=AsOfDate,IF($Q128=0,$W128,IF(AND($S128&lt;&gt;"",EDATE($D128,Milestones!$AA$195)&gt;=$S128),$V128,IF(AND($R128&lt;&gt;"",EDATE($D128,Milestones!$AA$195)&gt;=$R128),$U128,$T128)))=Milestones!$AB$195),TEXT(EDATE($D128,Milestones!$AA$195),"dd/mm/yy")&amp;" "&amp;Milestones!$AB$195&amp;" "&amp;Milestones!$AC$195&amp;";  ","")&amp;IF(AND(EDATE($D128,Milestones!$AA$196)&lt;=AsOfDate,IF($Q128=0,$W128,IF(AND($S128&lt;&gt;"",EDATE($D128,Milestones!$AA$196)&gt;=$S128),$V128,IF(AND($R128&lt;&gt;"",EDATE($D128,Milestones!$AA$196)&gt;=$R128),$U128,$T128)))=Milestones!$AB$196),TEXT(EDATE($D128,Milestones!$AA$196),"dd/mm/yy")&amp;" "&amp;Milestones!$AB$196&amp;" "&amp;Milestones!$AC$196&amp;";  ","")&amp;IF(AND(EDATE($D128,Milestones!$AA$197)&lt;=AsOfDate,IF($Q128=0,$W128,IF(AND($S128&lt;&gt;"",EDATE($D128,Milestones!$AA$197)&gt;=$S128),$V128,IF(AND($R128&lt;&gt;"",EDATE($D128,Milestones!$AA$197)&gt;=$R128),$U128,$T128)))=Milestones!$AB$197),TEXT(EDATE($D128,Milestones!$AA$197),"dd/mm/yy")&amp;" "&amp;Milestones!$AB$197&amp;" "&amp;Milestones!$AC$197&amp;";  ","")&amp;IF(AND(EDATE($D128,Milestones!$AA$198)&lt;=AsOfDate,IF($Q128=0,$W128,IF(AND($S128&lt;&gt;"",EDATE($D128,Milestones!$AA$198)&gt;=$S128),$V128,IF(AND($R128&lt;&gt;"",EDATE($D128,Milestones!$AA$198)&gt;=$R128),$U128,$T128)))=Milestones!$AB$198),TEXT(EDATE($D128,Milestones!$AA$198),"dd/mm/yy")&amp;" "&amp;Milestones!$AB$198&amp;" "&amp;Milestones!$AC$198&amp;";  ","")&amp;IF(AND(EDATE($D128,Milestones!$AA$199)&lt;=AsOfDate,IF($Q128=0,$W128,IF(AND($S128&lt;&gt;"",EDATE($D128,Milestones!$AA$199)&gt;=$S128),$V128,IF(AND($R128&lt;&gt;"",EDATE($D128,Milestones!$AA$199)&gt;=$R128),$U128,$T128)))=Milestones!$AB$199),TEXT(EDATE($D128,Milestones!$AA$199),"dd/mm/yy")&amp;" "&amp;Milestones!$AB$199&amp;" "&amp;Milestones!$AC$199&amp;";  ",""))</f>
        <v/>
      </c>
      <c r="Q128" s="0" t="str">
        <f aca="false">IF(Staff!$A128="","",Staff!$AG128)</f>
        <v/>
      </c>
      <c r="R128" s="0" t="str">
        <f aca="false">IF(Staff!$A128="","",Staff!$AI128)</f>
        <v/>
      </c>
      <c r="S128" s="0" t="str">
        <f aca="false">IF(Staff!$A128="","",Staff!$AJ128)</f>
        <v/>
      </c>
      <c r="T128" s="0" t="str">
        <f aca="false">IF(Staff!$A128="","",Staff!$AN128)</f>
        <v/>
      </c>
      <c r="U128" s="0" t="str">
        <f aca="false">IF(Staff!$A128="","",Staff!$AO128)</f>
        <v/>
      </c>
      <c r="V128" s="0" t="str">
        <f aca="false">IF(Staff!$A128="","",Staff!$AP128)</f>
        <v/>
      </c>
      <c r="W128" s="0" t="str">
        <f aca="false">IF(Staff!$A128="","",Staff!$AQ128)</f>
        <v/>
      </c>
    </row>
    <row r="129" customFormat="false" ht="15" hidden="false" customHeight="false" outlineLevel="0" collapsed="false">
      <c r="A129" s="13" t="str">
        <f aca="false">IF(Staff!$A129="","",Staff!$A129)</f>
        <v/>
      </c>
      <c r="B129" s="13" t="str">
        <f aca="false">IF(Staff!$A129="","",Staff!$B129)</f>
        <v/>
      </c>
      <c r="C129" s="13" t="str">
        <f aca="false">IF(Staff!$A129="","",Staff!$C129)</f>
        <v/>
      </c>
      <c r="D129" s="11" t="str">
        <f aca="false">IF(Staff!$A129="","",Staff!$AF129)</f>
        <v/>
      </c>
      <c r="E129" s="13" t="str">
        <f aca="false">IF(Staff!$A129="","",Staff!$O129)</f>
        <v/>
      </c>
      <c r="F129" s="13" t="str">
        <f aca="false">IF(E129="","",E129*HoursPerDay)</f>
        <v/>
      </c>
      <c r="G129" s="26" t="str">
        <f aca="false">IF($A129="","",H129&amp;I129&amp;J129&amp;K129&amp;L129&amp;M129&amp;N129&amp;O129&amp;P129)</f>
        <v/>
      </c>
      <c r="H129" s="0" t="str">
        <f aca="false">IF(OR($A129="",$D129=""),"",IF(AND(EDATE($D129,Milestones!$AA$20)&lt;=AsOfDate,IF($Q129=0,$W129,IF(AND($S129&lt;&gt;"",EDATE($D129,Milestones!$AA$20)&gt;=$S129),$V129,IF(AND($R129&lt;&gt;"",EDATE($D129,Milestones!$AA$20)&gt;=$R129),$U129,$T129)))=Milestones!$AB$20),TEXT(EDATE($D129,Milestones!$AA$20),"dd/mm/yy")&amp;" "&amp;Milestones!$AB$20&amp;" "&amp;Milestones!$AC$20&amp;";  ","")&amp;IF(AND(EDATE($D129,Milestones!$AA$21)&lt;=AsOfDate,IF($Q129=0,$W129,IF(AND($S129&lt;&gt;"",EDATE($D129,Milestones!$AA$21)&gt;=$S129),$V129,IF(AND($R129&lt;&gt;"",EDATE($D129,Milestones!$AA$21)&gt;=$R129),$U129,$T129)))=Milestones!$AB$21),TEXT(EDATE($D129,Milestones!$AA$21),"dd/mm/yy")&amp;" "&amp;Milestones!$AB$21&amp;" "&amp;Milestones!$AC$21&amp;";  ","")&amp;IF(AND(EDATE($D129,Milestones!$AA$22)&lt;=AsOfDate,IF($Q129=0,$W129,IF(AND($S129&lt;&gt;"",EDATE($D129,Milestones!$AA$22)&gt;=$S129),$V129,IF(AND($R129&lt;&gt;"",EDATE($D129,Milestones!$AA$22)&gt;=$R129),$U129,$T129)))=Milestones!$AB$22),TEXT(EDATE($D129,Milestones!$AA$22),"dd/mm/yy")&amp;" "&amp;Milestones!$AB$22&amp;" "&amp;Milestones!$AC$22&amp;";  ","")&amp;IF(AND(EDATE($D129,Milestones!$AA$23)&lt;=AsOfDate,IF($Q129=0,$W129,IF(AND($S129&lt;&gt;"",EDATE($D129,Milestones!$AA$23)&gt;=$S129),$V129,IF(AND($R129&lt;&gt;"",EDATE($D129,Milestones!$AA$23)&gt;=$R129),$U129,$T129)))=Milestones!$AB$23),TEXT(EDATE($D129,Milestones!$AA$23),"dd/mm/yy")&amp;" "&amp;Milestones!$AB$23&amp;" "&amp;Milestones!$AC$23&amp;";  ","")&amp;IF(AND(EDATE($D129,Milestones!$AA$24)&lt;=AsOfDate,IF($Q129=0,$W129,IF(AND($S129&lt;&gt;"",EDATE($D129,Milestones!$AA$24)&gt;=$S129),$V129,IF(AND($R129&lt;&gt;"",EDATE($D129,Milestones!$AA$24)&gt;=$R129),$U129,$T129)))=Milestones!$AB$24),TEXT(EDATE($D129,Milestones!$AA$24),"dd/mm/yy")&amp;" "&amp;Milestones!$AB$24&amp;" "&amp;Milestones!$AC$24&amp;";  ","")&amp;IF(AND(EDATE($D129,Milestones!$AA$25)&lt;=AsOfDate,IF($Q129=0,$W129,IF(AND($S129&lt;&gt;"",EDATE($D129,Milestones!$AA$25)&gt;=$S129),$V129,IF(AND($R129&lt;&gt;"",EDATE($D129,Milestones!$AA$25)&gt;=$R129),$U129,$T129)))=Milestones!$AB$25),TEXT(EDATE($D129,Milestones!$AA$25),"dd/mm/yy")&amp;" "&amp;Milestones!$AB$25&amp;" "&amp;Milestones!$AC$25&amp;";  ","")&amp;IF(AND(EDATE($D129,Milestones!$AA$26)&lt;=AsOfDate,IF($Q129=0,$W129,IF(AND($S129&lt;&gt;"",EDATE($D129,Milestones!$AA$26)&gt;=$S129),$V129,IF(AND($R129&lt;&gt;"",EDATE($D129,Milestones!$AA$26)&gt;=$R129),$U129,$T129)))=Milestones!$AB$26),TEXT(EDATE($D129,Milestones!$AA$26),"dd/mm/yy")&amp;" "&amp;Milestones!$AB$26&amp;" "&amp;Milestones!$AC$26&amp;";  ","")&amp;IF(AND(EDATE($D129,Milestones!$AA$27)&lt;=AsOfDate,IF($Q129=0,$W129,IF(AND($S129&lt;&gt;"",EDATE($D129,Milestones!$AA$27)&gt;=$S129),$V129,IF(AND($R129&lt;&gt;"",EDATE($D129,Milestones!$AA$27)&gt;=$R129),$U129,$T129)))=Milestones!$AB$27),TEXT(EDATE($D129,Milestones!$AA$27),"dd/mm/yy")&amp;" "&amp;Milestones!$AB$27&amp;" "&amp;Milestones!$AC$27&amp;";  ","")&amp;IF(AND(EDATE($D129,Milestones!$AA$28)&lt;=AsOfDate,IF($Q129=0,$W129,IF(AND($S129&lt;&gt;"",EDATE($D129,Milestones!$AA$28)&gt;=$S129),$V129,IF(AND($R129&lt;&gt;"",EDATE($D129,Milestones!$AA$28)&gt;=$R129),$U129,$T129)))=Milestones!$AB$28),TEXT(EDATE($D129,Milestones!$AA$28),"dd/mm/yy")&amp;" "&amp;Milestones!$AB$28&amp;" "&amp;Milestones!$AC$28&amp;";  ","")&amp;IF(AND(EDATE($D129,Milestones!$AA$29)&lt;=AsOfDate,IF($Q129=0,$W129,IF(AND($S129&lt;&gt;"",EDATE($D129,Milestones!$AA$29)&gt;=$S129),$V129,IF(AND($R129&lt;&gt;"",EDATE($D129,Milestones!$AA$29)&gt;=$R129),$U129,$T129)))=Milestones!$AB$29),TEXT(EDATE($D129,Milestones!$AA$29),"dd/mm/yy")&amp;" "&amp;Milestones!$AB$29&amp;" "&amp;Milestones!$AC$29&amp;";  ","")&amp;IF(AND(EDATE($D129,Milestones!$AA$30)&lt;=AsOfDate,IF($Q129=0,$W129,IF(AND($S129&lt;&gt;"",EDATE($D129,Milestones!$AA$30)&gt;=$S129),$V129,IF(AND($R129&lt;&gt;"",EDATE($D129,Milestones!$AA$30)&gt;=$R129),$U129,$T129)))=Milestones!$AB$30),TEXT(EDATE($D129,Milestones!$AA$30),"dd/mm/yy")&amp;" "&amp;Milestones!$AB$30&amp;" "&amp;Milestones!$AC$30&amp;";  ","")&amp;IF(AND(EDATE($D129,Milestones!$AA$31)&lt;=AsOfDate,IF($Q129=0,$W129,IF(AND($S129&lt;&gt;"",EDATE($D129,Milestones!$AA$31)&gt;=$S129),$V129,IF(AND($R129&lt;&gt;"",EDATE($D129,Milestones!$AA$31)&gt;=$R129),$U129,$T129)))=Milestones!$AB$31),TEXT(EDATE($D129,Milestones!$AA$31),"dd/mm/yy")&amp;" "&amp;Milestones!$AB$31&amp;" "&amp;Milestones!$AC$31&amp;";  ","")&amp;IF(AND(EDATE($D129,Milestones!$AA$32)&lt;=AsOfDate,IF($Q129=0,$W129,IF(AND($S129&lt;&gt;"",EDATE($D129,Milestones!$AA$32)&gt;=$S129),$V129,IF(AND($R129&lt;&gt;"",EDATE($D129,Milestones!$AA$32)&gt;=$R129),$U129,$T129)))=Milestones!$AB$32),TEXT(EDATE($D129,Milestones!$AA$32),"dd/mm/yy")&amp;" "&amp;Milestones!$AB$32&amp;" "&amp;Milestones!$AC$32&amp;";  ","")&amp;IF(AND(EDATE($D129,Milestones!$AA$33)&lt;=AsOfDate,IF($Q129=0,$W129,IF(AND($S129&lt;&gt;"",EDATE($D129,Milestones!$AA$33)&gt;=$S129),$V129,IF(AND($R129&lt;&gt;"",EDATE($D129,Milestones!$AA$33)&gt;=$R129),$U129,$T129)))=Milestones!$AB$33),TEXT(EDATE($D129,Milestones!$AA$33),"dd/mm/yy")&amp;" "&amp;Milestones!$AB$33&amp;" "&amp;Milestones!$AC$33&amp;";  ","")&amp;IF(AND(EDATE($D129,Milestones!$AA$34)&lt;=AsOfDate,IF($Q129=0,$W129,IF(AND($S129&lt;&gt;"",EDATE($D129,Milestones!$AA$34)&gt;=$S129),$V129,IF(AND($R129&lt;&gt;"",EDATE($D129,Milestones!$AA$34)&gt;=$R129),$U129,$T129)))=Milestones!$AB$34),TEXT(EDATE($D129,Milestones!$AA$34),"dd/mm/yy")&amp;" "&amp;Milestones!$AB$34&amp;" "&amp;Milestones!$AC$34&amp;";  ","")&amp;IF(AND(EDATE($D129,Milestones!$AA$35)&lt;=AsOfDate,IF($Q129=0,$W129,IF(AND($S129&lt;&gt;"",EDATE($D129,Milestones!$AA$35)&gt;=$S129),$V129,IF(AND($R129&lt;&gt;"",EDATE($D129,Milestones!$AA$35)&gt;=$R129),$U129,$T129)))=Milestones!$AB$35),TEXT(EDATE($D129,Milestones!$AA$35),"dd/mm/yy")&amp;" "&amp;Milestones!$AB$35&amp;" "&amp;Milestones!$AC$35&amp;";  ","")&amp;IF(AND(EDATE($D129,Milestones!$AA$36)&lt;=AsOfDate,IF($Q129=0,$W129,IF(AND($S129&lt;&gt;"",EDATE($D129,Milestones!$AA$36)&gt;=$S129),$V129,IF(AND($R129&lt;&gt;"",EDATE($D129,Milestones!$AA$36)&gt;=$R129),$U129,$T129)))=Milestones!$AB$36),TEXT(EDATE($D129,Milestones!$AA$36),"dd/mm/yy")&amp;" "&amp;Milestones!$AB$36&amp;" "&amp;Milestones!$AC$36&amp;";  ","")&amp;IF(AND(EDATE($D129,Milestones!$AA$37)&lt;=AsOfDate,IF($Q129=0,$W129,IF(AND($S129&lt;&gt;"",EDATE($D129,Milestones!$AA$37)&gt;=$S129),$V129,IF(AND($R129&lt;&gt;"",EDATE($D129,Milestones!$AA$37)&gt;=$R129),$U129,$T129)))=Milestones!$AB$37),TEXT(EDATE($D129,Milestones!$AA$37),"dd/mm/yy")&amp;" "&amp;Milestones!$AB$37&amp;" "&amp;Milestones!$AC$37&amp;";  ","")&amp;IF(AND(EDATE($D129,Milestones!$AA$38)&lt;=AsOfDate,IF($Q129=0,$W129,IF(AND($S129&lt;&gt;"",EDATE($D129,Milestones!$AA$38)&gt;=$S129),$V129,IF(AND($R129&lt;&gt;"",EDATE($D129,Milestones!$AA$38)&gt;=$R129),$U129,$T129)))=Milestones!$AB$38),TEXT(EDATE($D129,Milestones!$AA$38),"dd/mm/yy")&amp;" "&amp;Milestones!$AB$38&amp;" "&amp;Milestones!$AC$38&amp;";  ","")&amp;IF(AND(EDATE($D129,Milestones!$AA$39)&lt;=AsOfDate,IF($Q129=0,$W129,IF(AND($S129&lt;&gt;"",EDATE($D129,Milestones!$AA$39)&gt;=$S129),$V129,IF(AND($R129&lt;&gt;"",EDATE($D129,Milestones!$AA$39)&gt;=$R129),$U129,$T129)))=Milestones!$AB$39),TEXT(EDATE($D129,Milestones!$AA$39),"dd/mm/yy")&amp;" "&amp;Milestones!$AB$39&amp;" "&amp;Milestones!$AC$39&amp;";  ",""))</f>
        <v/>
      </c>
      <c r="I129" s="0" t="str">
        <f aca="false">IF(OR($A129="",$D129=""),"",IF(AND(EDATE($D129,Milestones!$AA$40)&lt;=AsOfDate,IF($Q129=0,$W129,IF(AND($S129&lt;&gt;"",EDATE($D129,Milestones!$AA$40)&gt;=$S129),$V129,IF(AND($R129&lt;&gt;"",EDATE($D129,Milestones!$AA$40)&gt;=$R129),$U129,$T129)))=Milestones!$AB$40),TEXT(EDATE($D129,Milestones!$AA$40),"dd/mm/yy")&amp;" "&amp;Milestones!$AB$40&amp;" "&amp;Milestones!$AC$40&amp;";  ","")&amp;IF(AND(EDATE($D129,Milestones!$AA$41)&lt;=AsOfDate,IF($Q129=0,$W129,IF(AND($S129&lt;&gt;"",EDATE($D129,Milestones!$AA$41)&gt;=$S129),$V129,IF(AND($R129&lt;&gt;"",EDATE($D129,Milestones!$AA$41)&gt;=$R129),$U129,$T129)))=Milestones!$AB$41),TEXT(EDATE($D129,Milestones!$AA$41),"dd/mm/yy")&amp;" "&amp;Milestones!$AB$41&amp;" "&amp;Milestones!$AC$41&amp;";  ","")&amp;IF(AND(EDATE($D129,Milestones!$AA$42)&lt;=AsOfDate,IF($Q129=0,$W129,IF(AND($S129&lt;&gt;"",EDATE($D129,Milestones!$AA$42)&gt;=$S129),$V129,IF(AND($R129&lt;&gt;"",EDATE($D129,Milestones!$AA$42)&gt;=$R129),$U129,$T129)))=Milestones!$AB$42),TEXT(EDATE($D129,Milestones!$AA$42),"dd/mm/yy")&amp;" "&amp;Milestones!$AB$42&amp;" "&amp;Milestones!$AC$42&amp;";  ","")&amp;IF(AND(EDATE($D129,Milestones!$AA$43)&lt;=AsOfDate,IF($Q129=0,$W129,IF(AND($S129&lt;&gt;"",EDATE($D129,Milestones!$AA$43)&gt;=$S129),$V129,IF(AND($R129&lt;&gt;"",EDATE($D129,Milestones!$AA$43)&gt;=$R129),$U129,$T129)))=Milestones!$AB$43),TEXT(EDATE($D129,Milestones!$AA$43),"dd/mm/yy")&amp;" "&amp;Milestones!$AB$43&amp;" "&amp;Milestones!$AC$43&amp;";  ","")&amp;IF(AND(EDATE($D129,Milestones!$AA$44)&lt;=AsOfDate,IF($Q129=0,$W129,IF(AND($S129&lt;&gt;"",EDATE($D129,Milestones!$AA$44)&gt;=$S129),$V129,IF(AND($R129&lt;&gt;"",EDATE($D129,Milestones!$AA$44)&gt;=$R129),$U129,$T129)))=Milestones!$AB$44),TEXT(EDATE($D129,Milestones!$AA$44),"dd/mm/yy")&amp;" "&amp;Milestones!$AB$44&amp;" "&amp;Milestones!$AC$44&amp;";  ","")&amp;IF(AND(EDATE($D129,Milestones!$AA$45)&lt;=AsOfDate,IF($Q129=0,$W129,IF(AND($S129&lt;&gt;"",EDATE($D129,Milestones!$AA$45)&gt;=$S129),$V129,IF(AND($R129&lt;&gt;"",EDATE($D129,Milestones!$AA$45)&gt;=$R129),$U129,$T129)))=Milestones!$AB$45),TEXT(EDATE($D129,Milestones!$AA$45),"dd/mm/yy")&amp;" "&amp;Milestones!$AB$45&amp;" "&amp;Milestones!$AC$45&amp;";  ","")&amp;IF(AND(EDATE($D129,Milestones!$AA$46)&lt;=AsOfDate,IF($Q129=0,$W129,IF(AND($S129&lt;&gt;"",EDATE($D129,Milestones!$AA$46)&gt;=$S129),$V129,IF(AND($R129&lt;&gt;"",EDATE($D129,Milestones!$AA$46)&gt;=$R129),$U129,$T129)))=Milestones!$AB$46),TEXT(EDATE($D129,Milestones!$AA$46),"dd/mm/yy")&amp;" "&amp;Milestones!$AB$46&amp;" "&amp;Milestones!$AC$46&amp;";  ","")&amp;IF(AND(EDATE($D129,Milestones!$AA$47)&lt;=AsOfDate,IF($Q129=0,$W129,IF(AND($S129&lt;&gt;"",EDATE($D129,Milestones!$AA$47)&gt;=$S129),$V129,IF(AND($R129&lt;&gt;"",EDATE($D129,Milestones!$AA$47)&gt;=$R129),$U129,$T129)))=Milestones!$AB$47),TEXT(EDATE($D129,Milestones!$AA$47),"dd/mm/yy")&amp;" "&amp;Milestones!$AB$47&amp;" "&amp;Milestones!$AC$47&amp;";  ","")&amp;IF(AND(EDATE($D129,Milestones!$AA$48)&lt;=AsOfDate,IF($Q129=0,$W129,IF(AND($S129&lt;&gt;"",EDATE($D129,Milestones!$AA$48)&gt;=$S129),$V129,IF(AND($R129&lt;&gt;"",EDATE($D129,Milestones!$AA$48)&gt;=$R129),$U129,$T129)))=Milestones!$AB$48),TEXT(EDATE($D129,Milestones!$AA$48),"dd/mm/yy")&amp;" "&amp;Milestones!$AB$48&amp;" "&amp;Milestones!$AC$48&amp;";  ","")&amp;IF(AND(EDATE($D129,Milestones!$AA$49)&lt;=AsOfDate,IF($Q129=0,$W129,IF(AND($S129&lt;&gt;"",EDATE($D129,Milestones!$AA$49)&gt;=$S129),$V129,IF(AND($R129&lt;&gt;"",EDATE($D129,Milestones!$AA$49)&gt;=$R129),$U129,$T129)))=Milestones!$AB$49),TEXT(EDATE($D129,Milestones!$AA$49),"dd/mm/yy")&amp;" "&amp;Milestones!$AB$49&amp;" "&amp;Milestones!$AC$49&amp;";  ","")&amp;IF(AND(EDATE($D129,Milestones!$AA$50)&lt;=AsOfDate,IF($Q129=0,$W129,IF(AND($S129&lt;&gt;"",EDATE($D129,Milestones!$AA$50)&gt;=$S129),$V129,IF(AND($R129&lt;&gt;"",EDATE($D129,Milestones!$AA$50)&gt;=$R129),$U129,$T129)))=Milestones!$AB$50),TEXT(EDATE($D129,Milestones!$AA$50),"dd/mm/yy")&amp;" "&amp;Milestones!$AB$50&amp;" "&amp;Milestones!$AC$50&amp;";  ","")&amp;IF(AND(EDATE($D129,Milestones!$AA$51)&lt;=AsOfDate,IF($Q129=0,$W129,IF(AND($S129&lt;&gt;"",EDATE($D129,Milestones!$AA$51)&gt;=$S129),$V129,IF(AND($R129&lt;&gt;"",EDATE($D129,Milestones!$AA$51)&gt;=$R129),$U129,$T129)))=Milestones!$AB$51),TEXT(EDATE($D129,Milestones!$AA$51),"dd/mm/yy")&amp;" "&amp;Milestones!$AB$51&amp;" "&amp;Milestones!$AC$51&amp;";  ","")&amp;IF(AND(EDATE($D129,Milestones!$AA$52)&lt;=AsOfDate,IF($Q129=0,$W129,IF(AND($S129&lt;&gt;"",EDATE($D129,Milestones!$AA$52)&gt;=$S129),$V129,IF(AND($R129&lt;&gt;"",EDATE($D129,Milestones!$AA$52)&gt;=$R129),$U129,$T129)))=Milestones!$AB$52),TEXT(EDATE($D129,Milestones!$AA$52),"dd/mm/yy")&amp;" "&amp;Milestones!$AB$52&amp;" "&amp;Milestones!$AC$52&amp;";  ","")&amp;IF(AND(EDATE($D129,Milestones!$AA$53)&lt;=AsOfDate,IF($Q129=0,$W129,IF(AND($S129&lt;&gt;"",EDATE($D129,Milestones!$AA$53)&gt;=$S129),$V129,IF(AND($R129&lt;&gt;"",EDATE($D129,Milestones!$AA$53)&gt;=$R129),$U129,$T129)))=Milestones!$AB$53),TEXT(EDATE($D129,Milestones!$AA$53),"dd/mm/yy")&amp;" "&amp;Milestones!$AB$53&amp;" "&amp;Milestones!$AC$53&amp;";  ","")&amp;IF(AND(EDATE($D129,Milestones!$AA$54)&lt;=AsOfDate,IF($Q129=0,$W129,IF(AND($S129&lt;&gt;"",EDATE($D129,Milestones!$AA$54)&gt;=$S129),$V129,IF(AND($R129&lt;&gt;"",EDATE($D129,Milestones!$AA$54)&gt;=$R129),$U129,$T129)))=Milestones!$AB$54),TEXT(EDATE($D129,Milestones!$AA$54),"dd/mm/yy")&amp;" "&amp;Milestones!$AB$54&amp;" "&amp;Milestones!$AC$54&amp;";  ","")&amp;IF(AND(EDATE($D129,Milestones!$AA$55)&lt;=AsOfDate,IF($Q129=0,$W129,IF(AND($S129&lt;&gt;"",EDATE($D129,Milestones!$AA$55)&gt;=$S129),$V129,IF(AND($R129&lt;&gt;"",EDATE($D129,Milestones!$AA$55)&gt;=$R129),$U129,$T129)))=Milestones!$AB$55),TEXT(EDATE($D129,Milestones!$AA$55),"dd/mm/yy")&amp;" "&amp;Milestones!$AB$55&amp;" "&amp;Milestones!$AC$55&amp;";  ","")&amp;IF(AND(EDATE($D129,Milestones!$AA$56)&lt;=AsOfDate,IF($Q129=0,$W129,IF(AND($S129&lt;&gt;"",EDATE($D129,Milestones!$AA$56)&gt;=$S129),$V129,IF(AND($R129&lt;&gt;"",EDATE($D129,Milestones!$AA$56)&gt;=$R129),$U129,$T129)))=Milestones!$AB$56),TEXT(EDATE($D129,Milestones!$AA$56),"dd/mm/yy")&amp;" "&amp;Milestones!$AB$56&amp;" "&amp;Milestones!$AC$56&amp;";  ","")&amp;IF(AND(EDATE($D129,Milestones!$AA$57)&lt;=AsOfDate,IF($Q129=0,$W129,IF(AND($S129&lt;&gt;"",EDATE($D129,Milestones!$AA$57)&gt;=$S129),$V129,IF(AND($R129&lt;&gt;"",EDATE($D129,Milestones!$AA$57)&gt;=$R129),$U129,$T129)))=Milestones!$AB$57),TEXT(EDATE($D129,Milestones!$AA$57),"dd/mm/yy")&amp;" "&amp;Milestones!$AB$57&amp;" "&amp;Milestones!$AC$57&amp;";  ","")&amp;IF(AND(EDATE($D129,Milestones!$AA$58)&lt;=AsOfDate,IF($Q129=0,$W129,IF(AND($S129&lt;&gt;"",EDATE($D129,Milestones!$AA$58)&gt;=$S129),$V129,IF(AND($R129&lt;&gt;"",EDATE($D129,Milestones!$AA$58)&gt;=$R129),$U129,$T129)))=Milestones!$AB$58),TEXT(EDATE($D129,Milestones!$AA$58),"dd/mm/yy")&amp;" "&amp;Milestones!$AB$58&amp;" "&amp;Milestones!$AC$58&amp;";  ","")&amp;IF(AND(EDATE($D129,Milestones!$AA$59)&lt;=AsOfDate,IF($Q129=0,$W129,IF(AND($S129&lt;&gt;"",EDATE($D129,Milestones!$AA$59)&gt;=$S129),$V129,IF(AND($R129&lt;&gt;"",EDATE($D129,Milestones!$AA$59)&gt;=$R129),$U129,$T129)))=Milestones!$AB$59),TEXT(EDATE($D129,Milestones!$AA$59),"dd/mm/yy")&amp;" "&amp;Milestones!$AB$59&amp;" "&amp;Milestones!$AC$59&amp;";  ",""))</f>
        <v/>
      </c>
      <c r="J129" s="0" t="str">
        <f aca="false">IF(OR($A129="",$D129=""),"",IF(AND(EDATE($D129,Milestones!$AA$60)&lt;=AsOfDate,IF($Q129=0,$W129,IF(AND($S129&lt;&gt;"",EDATE($D129,Milestones!$AA$60)&gt;=$S129),$V129,IF(AND($R129&lt;&gt;"",EDATE($D129,Milestones!$AA$60)&gt;=$R129),$U129,$T129)))=Milestones!$AB$60),TEXT(EDATE($D129,Milestones!$AA$60),"dd/mm/yy")&amp;" "&amp;Milestones!$AB$60&amp;" "&amp;Milestones!$AC$60&amp;";  ","")&amp;IF(AND(EDATE($D129,Milestones!$AA$61)&lt;=AsOfDate,IF($Q129=0,$W129,IF(AND($S129&lt;&gt;"",EDATE($D129,Milestones!$AA$61)&gt;=$S129),$V129,IF(AND($R129&lt;&gt;"",EDATE($D129,Milestones!$AA$61)&gt;=$R129),$U129,$T129)))=Milestones!$AB$61),TEXT(EDATE($D129,Milestones!$AA$61),"dd/mm/yy")&amp;" "&amp;Milestones!$AB$61&amp;" "&amp;Milestones!$AC$61&amp;";  ","")&amp;IF(AND(EDATE($D129,Milestones!$AA$62)&lt;=AsOfDate,IF($Q129=0,$W129,IF(AND($S129&lt;&gt;"",EDATE($D129,Milestones!$AA$62)&gt;=$S129),$V129,IF(AND($R129&lt;&gt;"",EDATE($D129,Milestones!$AA$62)&gt;=$R129),$U129,$T129)))=Milestones!$AB$62),TEXT(EDATE($D129,Milestones!$AA$62),"dd/mm/yy")&amp;" "&amp;Milestones!$AB$62&amp;" "&amp;Milestones!$AC$62&amp;";  ","")&amp;IF(AND(EDATE($D129,Milestones!$AA$63)&lt;=AsOfDate,IF($Q129=0,$W129,IF(AND($S129&lt;&gt;"",EDATE($D129,Milestones!$AA$63)&gt;=$S129),$V129,IF(AND($R129&lt;&gt;"",EDATE($D129,Milestones!$AA$63)&gt;=$R129),$U129,$T129)))=Milestones!$AB$63),TEXT(EDATE($D129,Milestones!$AA$63),"dd/mm/yy")&amp;" "&amp;Milestones!$AB$63&amp;" "&amp;Milestones!$AC$63&amp;";  ","")&amp;IF(AND(EDATE($D129,Milestones!$AA$64)&lt;=AsOfDate,IF($Q129=0,$W129,IF(AND($S129&lt;&gt;"",EDATE($D129,Milestones!$AA$64)&gt;=$S129),$V129,IF(AND($R129&lt;&gt;"",EDATE($D129,Milestones!$AA$64)&gt;=$R129),$U129,$T129)))=Milestones!$AB$64),TEXT(EDATE($D129,Milestones!$AA$64),"dd/mm/yy")&amp;" "&amp;Milestones!$AB$64&amp;" "&amp;Milestones!$AC$64&amp;";  ","")&amp;IF(AND(EDATE($D129,Milestones!$AA$65)&lt;=AsOfDate,IF($Q129=0,$W129,IF(AND($S129&lt;&gt;"",EDATE($D129,Milestones!$AA$65)&gt;=$S129),$V129,IF(AND($R129&lt;&gt;"",EDATE($D129,Milestones!$AA$65)&gt;=$R129),$U129,$T129)))=Milestones!$AB$65),TEXT(EDATE($D129,Milestones!$AA$65),"dd/mm/yy")&amp;" "&amp;Milestones!$AB$65&amp;" "&amp;Milestones!$AC$65&amp;";  ","")&amp;IF(AND(EDATE($D129,Milestones!$AA$66)&lt;=AsOfDate,IF($Q129=0,$W129,IF(AND($S129&lt;&gt;"",EDATE($D129,Milestones!$AA$66)&gt;=$S129),$V129,IF(AND($R129&lt;&gt;"",EDATE($D129,Milestones!$AA$66)&gt;=$R129),$U129,$T129)))=Milestones!$AB$66),TEXT(EDATE($D129,Milestones!$AA$66),"dd/mm/yy")&amp;" "&amp;Milestones!$AB$66&amp;" "&amp;Milestones!$AC$66&amp;";  ","")&amp;IF(AND(EDATE($D129,Milestones!$AA$67)&lt;=AsOfDate,IF($Q129=0,$W129,IF(AND($S129&lt;&gt;"",EDATE($D129,Milestones!$AA$67)&gt;=$S129),$V129,IF(AND($R129&lt;&gt;"",EDATE($D129,Milestones!$AA$67)&gt;=$R129),$U129,$T129)))=Milestones!$AB$67),TEXT(EDATE($D129,Milestones!$AA$67),"dd/mm/yy")&amp;" "&amp;Milestones!$AB$67&amp;" "&amp;Milestones!$AC$67&amp;";  ","")&amp;IF(AND(EDATE($D129,Milestones!$AA$68)&lt;=AsOfDate,IF($Q129=0,$W129,IF(AND($S129&lt;&gt;"",EDATE($D129,Milestones!$AA$68)&gt;=$S129),$V129,IF(AND($R129&lt;&gt;"",EDATE($D129,Milestones!$AA$68)&gt;=$R129),$U129,$T129)))=Milestones!$AB$68),TEXT(EDATE($D129,Milestones!$AA$68),"dd/mm/yy")&amp;" "&amp;Milestones!$AB$68&amp;" "&amp;Milestones!$AC$68&amp;";  ","")&amp;IF(AND(EDATE($D129,Milestones!$AA$69)&lt;=AsOfDate,IF($Q129=0,$W129,IF(AND($S129&lt;&gt;"",EDATE($D129,Milestones!$AA$69)&gt;=$S129),$V129,IF(AND($R129&lt;&gt;"",EDATE($D129,Milestones!$AA$69)&gt;=$R129),$U129,$T129)))=Milestones!$AB$69),TEXT(EDATE($D129,Milestones!$AA$69),"dd/mm/yy")&amp;" "&amp;Milestones!$AB$69&amp;" "&amp;Milestones!$AC$69&amp;";  ","")&amp;IF(AND(EDATE($D129,Milestones!$AA$70)&lt;=AsOfDate,IF($Q129=0,$W129,IF(AND($S129&lt;&gt;"",EDATE($D129,Milestones!$AA$70)&gt;=$S129),$V129,IF(AND($R129&lt;&gt;"",EDATE($D129,Milestones!$AA$70)&gt;=$R129),$U129,$T129)))=Milestones!$AB$70),TEXT(EDATE($D129,Milestones!$AA$70),"dd/mm/yy")&amp;" "&amp;Milestones!$AB$70&amp;" "&amp;Milestones!$AC$70&amp;";  ","")&amp;IF(AND(EDATE($D129,Milestones!$AA$71)&lt;=AsOfDate,IF($Q129=0,$W129,IF(AND($S129&lt;&gt;"",EDATE($D129,Milestones!$AA$71)&gt;=$S129),$V129,IF(AND($R129&lt;&gt;"",EDATE($D129,Milestones!$AA$71)&gt;=$R129),$U129,$T129)))=Milestones!$AB$71),TEXT(EDATE($D129,Milestones!$AA$71),"dd/mm/yy")&amp;" "&amp;Milestones!$AB$71&amp;" "&amp;Milestones!$AC$71&amp;";  ","")&amp;IF(AND(EDATE($D129,Milestones!$AA$72)&lt;=AsOfDate,IF($Q129=0,$W129,IF(AND($S129&lt;&gt;"",EDATE($D129,Milestones!$AA$72)&gt;=$S129),$V129,IF(AND($R129&lt;&gt;"",EDATE($D129,Milestones!$AA$72)&gt;=$R129),$U129,$T129)))=Milestones!$AB$72),TEXT(EDATE($D129,Milestones!$AA$72),"dd/mm/yy")&amp;" "&amp;Milestones!$AB$72&amp;" "&amp;Milestones!$AC$72&amp;";  ","")&amp;IF(AND(EDATE($D129,Milestones!$AA$73)&lt;=AsOfDate,IF($Q129=0,$W129,IF(AND($S129&lt;&gt;"",EDATE($D129,Milestones!$AA$73)&gt;=$S129),$V129,IF(AND($R129&lt;&gt;"",EDATE($D129,Milestones!$AA$73)&gt;=$R129),$U129,$T129)))=Milestones!$AB$73),TEXT(EDATE($D129,Milestones!$AA$73),"dd/mm/yy")&amp;" "&amp;Milestones!$AB$73&amp;" "&amp;Milestones!$AC$73&amp;";  ","")&amp;IF(AND(EDATE($D129,Milestones!$AA$74)&lt;=AsOfDate,IF($Q129=0,$W129,IF(AND($S129&lt;&gt;"",EDATE($D129,Milestones!$AA$74)&gt;=$S129),$V129,IF(AND($R129&lt;&gt;"",EDATE($D129,Milestones!$AA$74)&gt;=$R129),$U129,$T129)))=Milestones!$AB$74),TEXT(EDATE($D129,Milestones!$AA$74),"dd/mm/yy")&amp;" "&amp;Milestones!$AB$74&amp;" "&amp;Milestones!$AC$74&amp;";  ","")&amp;IF(AND(EDATE($D129,Milestones!$AA$75)&lt;=AsOfDate,IF($Q129=0,$W129,IF(AND($S129&lt;&gt;"",EDATE($D129,Milestones!$AA$75)&gt;=$S129),$V129,IF(AND($R129&lt;&gt;"",EDATE($D129,Milestones!$AA$75)&gt;=$R129),$U129,$T129)))=Milestones!$AB$75),TEXT(EDATE($D129,Milestones!$AA$75),"dd/mm/yy")&amp;" "&amp;Milestones!$AB$75&amp;" "&amp;Milestones!$AC$75&amp;";  ","")&amp;IF(AND(EDATE($D129,Milestones!$AA$76)&lt;=AsOfDate,IF($Q129=0,$W129,IF(AND($S129&lt;&gt;"",EDATE($D129,Milestones!$AA$76)&gt;=$S129),$V129,IF(AND($R129&lt;&gt;"",EDATE($D129,Milestones!$AA$76)&gt;=$R129),$U129,$T129)))=Milestones!$AB$76),TEXT(EDATE($D129,Milestones!$AA$76),"dd/mm/yy")&amp;" "&amp;Milestones!$AB$76&amp;" "&amp;Milestones!$AC$76&amp;";  ","")&amp;IF(AND(EDATE($D129,Milestones!$AA$77)&lt;=AsOfDate,IF($Q129=0,$W129,IF(AND($S129&lt;&gt;"",EDATE($D129,Milestones!$AA$77)&gt;=$S129),$V129,IF(AND($R129&lt;&gt;"",EDATE($D129,Milestones!$AA$77)&gt;=$R129),$U129,$T129)))=Milestones!$AB$77),TEXT(EDATE($D129,Milestones!$AA$77),"dd/mm/yy")&amp;" "&amp;Milestones!$AB$77&amp;" "&amp;Milestones!$AC$77&amp;";  ","")&amp;IF(AND(EDATE($D129,Milestones!$AA$78)&lt;=AsOfDate,IF($Q129=0,$W129,IF(AND($S129&lt;&gt;"",EDATE($D129,Milestones!$AA$78)&gt;=$S129),$V129,IF(AND($R129&lt;&gt;"",EDATE($D129,Milestones!$AA$78)&gt;=$R129),$U129,$T129)))=Milestones!$AB$78),TEXT(EDATE($D129,Milestones!$AA$78),"dd/mm/yy")&amp;" "&amp;Milestones!$AB$78&amp;" "&amp;Milestones!$AC$78&amp;";  ","")&amp;IF(AND(EDATE($D129,Milestones!$AA$79)&lt;=AsOfDate,IF($Q129=0,$W129,IF(AND($S129&lt;&gt;"",EDATE($D129,Milestones!$AA$79)&gt;=$S129),$V129,IF(AND($R129&lt;&gt;"",EDATE($D129,Milestones!$AA$79)&gt;=$R129),$U129,$T129)))=Milestones!$AB$79),TEXT(EDATE($D129,Milestones!$AA$79),"dd/mm/yy")&amp;" "&amp;Milestones!$AB$79&amp;" "&amp;Milestones!$AC$79&amp;";  ",""))</f>
        <v/>
      </c>
      <c r="K129" s="0" t="str">
        <f aca="false">IF(OR($A129="",$D129=""),"",IF(AND(EDATE($D129,Milestones!$AA$80)&lt;=AsOfDate,IF($Q129=0,$W129,IF(AND($S129&lt;&gt;"",EDATE($D129,Milestones!$AA$80)&gt;=$S129),$V129,IF(AND($R129&lt;&gt;"",EDATE($D129,Milestones!$AA$80)&gt;=$R129),$U129,$T129)))=Milestones!$AB$80),TEXT(EDATE($D129,Milestones!$AA$80),"dd/mm/yy")&amp;" "&amp;Milestones!$AB$80&amp;" "&amp;Milestones!$AC$80&amp;";  ","")&amp;IF(AND(EDATE($D129,Milestones!$AA$81)&lt;=AsOfDate,IF($Q129=0,$W129,IF(AND($S129&lt;&gt;"",EDATE($D129,Milestones!$AA$81)&gt;=$S129),$V129,IF(AND($R129&lt;&gt;"",EDATE($D129,Milestones!$AA$81)&gt;=$R129),$U129,$T129)))=Milestones!$AB$81),TEXT(EDATE($D129,Milestones!$AA$81),"dd/mm/yy")&amp;" "&amp;Milestones!$AB$81&amp;" "&amp;Milestones!$AC$81&amp;";  ","")&amp;IF(AND(EDATE($D129,Milestones!$AA$82)&lt;=AsOfDate,IF($Q129=0,$W129,IF(AND($S129&lt;&gt;"",EDATE($D129,Milestones!$AA$82)&gt;=$S129),$V129,IF(AND($R129&lt;&gt;"",EDATE($D129,Milestones!$AA$82)&gt;=$R129),$U129,$T129)))=Milestones!$AB$82),TEXT(EDATE($D129,Milestones!$AA$82),"dd/mm/yy")&amp;" "&amp;Milestones!$AB$82&amp;" "&amp;Milestones!$AC$82&amp;";  ","")&amp;IF(AND(EDATE($D129,Milestones!$AA$83)&lt;=AsOfDate,IF($Q129=0,$W129,IF(AND($S129&lt;&gt;"",EDATE($D129,Milestones!$AA$83)&gt;=$S129),$V129,IF(AND($R129&lt;&gt;"",EDATE($D129,Milestones!$AA$83)&gt;=$R129),$U129,$T129)))=Milestones!$AB$83),TEXT(EDATE($D129,Milestones!$AA$83),"dd/mm/yy")&amp;" "&amp;Milestones!$AB$83&amp;" "&amp;Milestones!$AC$83&amp;";  ","")&amp;IF(AND(EDATE($D129,Milestones!$AA$84)&lt;=AsOfDate,IF($Q129=0,$W129,IF(AND($S129&lt;&gt;"",EDATE($D129,Milestones!$AA$84)&gt;=$S129),$V129,IF(AND($R129&lt;&gt;"",EDATE($D129,Milestones!$AA$84)&gt;=$R129),$U129,$T129)))=Milestones!$AB$84),TEXT(EDATE($D129,Milestones!$AA$84),"dd/mm/yy")&amp;" "&amp;Milestones!$AB$84&amp;" "&amp;Milestones!$AC$84&amp;";  ","")&amp;IF(AND(EDATE($D129,Milestones!$AA$85)&lt;=AsOfDate,IF($Q129=0,$W129,IF(AND($S129&lt;&gt;"",EDATE($D129,Milestones!$AA$85)&gt;=$S129),$V129,IF(AND($R129&lt;&gt;"",EDATE($D129,Milestones!$AA$85)&gt;=$R129),$U129,$T129)))=Milestones!$AB$85),TEXT(EDATE($D129,Milestones!$AA$85),"dd/mm/yy")&amp;" "&amp;Milestones!$AB$85&amp;" "&amp;Milestones!$AC$85&amp;";  ","")&amp;IF(AND(EDATE($D129,Milestones!$AA$86)&lt;=AsOfDate,IF($Q129=0,$W129,IF(AND($S129&lt;&gt;"",EDATE($D129,Milestones!$AA$86)&gt;=$S129),$V129,IF(AND($R129&lt;&gt;"",EDATE($D129,Milestones!$AA$86)&gt;=$R129),$U129,$T129)))=Milestones!$AB$86),TEXT(EDATE($D129,Milestones!$AA$86),"dd/mm/yy")&amp;" "&amp;Milestones!$AB$86&amp;" "&amp;Milestones!$AC$86&amp;";  ","")&amp;IF(AND(EDATE($D129,Milestones!$AA$87)&lt;=AsOfDate,IF($Q129=0,$W129,IF(AND($S129&lt;&gt;"",EDATE($D129,Milestones!$AA$87)&gt;=$S129),$V129,IF(AND($R129&lt;&gt;"",EDATE($D129,Milestones!$AA$87)&gt;=$R129),$U129,$T129)))=Milestones!$AB$87),TEXT(EDATE($D129,Milestones!$AA$87),"dd/mm/yy")&amp;" "&amp;Milestones!$AB$87&amp;" "&amp;Milestones!$AC$87&amp;";  ","")&amp;IF(AND(EDATE($D129,Milestones!$AA$88)&lt;=AsOfDate,IF($Q129=0,$W129,IF(AND($S129&lt;&gt;"",EDATE($D129,Milestones!$AA$88)&gt;=$S129),$V129,IF(AND($R129&lt;&gt;"",EDATE($D129,Milestones!$AA$88)&gt;=$R129),$U129,$T129)))=Milestones!$AB$88),TEXT(EDATE($D129,Milestones!$AA$88),"dd/mm/yy")&amp;" "&amp;Milestones!$AB$88&amp;" "&amp;Milestones!$AC$88&amp;";  ","")&amp;IF(AND(EDATE($D129,Milestones!$AA$89)&lt;=AsOfDate,IF($Q129=0,$W129,IF(AND($S129&lt;&gt;"",EDATE($D129,Milestones!$AA$89)&gt;=$S129),$V129,IF(AND($R129&lt;&gt;"",EDATE($D129,Milestones!$AA$89)&gt;=$R129),$U129,$T129)))=Milestones!$AB$89),TEXT(EDATE($D129,Milestones!$AA$89),"dd/mm/yy")&amp;" "&amp;Milestones!$AB$89&amp;" "&amp;Milestones!$AC$89&amp;";  ","")&amp;IF(AND(EDATE($D129,Milestones!$AA$90)&lt;=AsOfDate,IF($Q129=0,$W129,IF(AND($S129&lt;&gt;"",EDATE($D129,Milestones!$AA$90)&gt;=$S129),$V129,IF(AND($R129&lt;&gt;"",EDATE($D129,Milestones!$AA$90)&gt;=$R129),$U129,$T129)))=Milestones!$AB$90),TEXT(EDATE($D129,Milestones!$AA$90),"dd/mm/yy")&amp;" "&amp;Milestones!$AB$90&amp;" "&amp;Milestones!$AC$90&amp;";  ","")&amp;IF(AND(EDATE($D129,Milestones!$AA$91)&lt;=AsOfDate,IF($Q129=0,$W129,IF(AND($S129&lt;&gt;"",EDATE($D129,Milestones!$AA$91)&gt;=$S129),$V129,IF(AND($R129&lt;&gt;"",EDATE($D129,Milestones!$AA$91)&gt;=$R129),$U129,$T129)))=Milestones!$AB$91),TEXT(EDATE($D129,Milestones!$AA$91),"dd/mm/yy")&amp;" "&amp;Milestones!$AB$91&amp;" "&amp;Milestones!$AC$91&amp;";  ","")&amp;IF(AND(EDATE($D129,Milestones!$AA$92)&lt;=AsOfDate,IF($Q129=0,$W129,IF(AND($S129&lt;&gt;"",EDATE($D129,Milestones!$AA$92)&gt;=$S129),$V129,IF(AND($R129&lt;&gt;"",EDATE($D129,Milestones!$AA$92)&gt;=$R129),$U129,$T129)))=Milestones!$AB$92),TEXT(EDATE($D129,Milestones!$AA$92),"dd/mm/yy")&amp;" "&amp;Milestones!$AB$92&amp;" "&amp;Milestones!$AC$92&amp;";  ","")&amp;IF(AND(EDATE($D129,Milestones!$AA$93)&lt;=AsOfDate,IF($Q129=0,$W129,IF(AND($S129&lt;&gt;"",EDATE($D129,Milestones!$AA$93)&gt;=$S129),$V129,IF(AND($R129&lt;&gt;"",EDATE($D129,Milestones!$AA$93)&gt;=$R129),$U129,$T129)))=Milestones!$AB$93),TEXT(EDATE($D129,Milestones!$AA$93),"dd/mm/yy")&amp;" "&amp;Milestones!$AB$93&amp;" "&amp;Milestones!$AC$93&amp;";  ","")&amp;IF(AND(EDATE($D129,Milestones!$AA$94)&lt;=AsOfDate,IF($Q129=0,$W129,IF(AND($S129&lt;&gt;"",EDATE($D129,Milestones!$AA$94)&gt;=$S129),$V129,IF(AND($R129&lt;&gt;"",EDATE($D129,Milestones!$AA$94)&gt;=$R129),$U129,$T129)))=Milestones!$AB$94),TEXT(EDATE($D129,Milestones!$AA$94),"dd/mm/yy")&amp;" "&amp;Milestones!$AB$94&amp;" "&amp;Milestones!$AC$94&amp;";  ","")&amp;IF(AND(EDATE($D129,Milestones!$AA$95)&lt;=AsOfDate,IF($Q129=0,$W129,IF(AND($S129&lt;&gt;"",EDATE($D129,Milestones!$AA$95)&gt;=$S129),$V129,IF(AND($R129&lt;&gt;"",EDATE($D129,Milestones!$AA$95)&gt;=$R129),$U129,$T129)))=Milestones!$AB$95),TEXT(EDATE($D129,Milestones!$AA$95),"dd/mm/yy")&amp;" "&amp;Milestones!$AB$95&amp;" "&amp;Milestones!$AC$95&amp;";  ","")&amp;IF(AND(EDATE($D129,Milestones!$AA$96)&lt;=AsOfDate,IF($Q129=0,$W129,IF(AND($S129&lt;&gt;"",EDATE($D129,Milestones!$AA$96)&gt;=$S129),$V129,IF(AND($R129&lt;&gt;"",EDATE($D129,Milestones!$AA$96)&gt;=$R129),$U129,$T129)))=Milestones!$AB$96),TEXT(EDATE($D129,Milestones!$AA$96),"dd/mm/yy")&amp;" "&amp;Milestones!$AB$96&amp;" "&amp;Milestones!$AC$96&amp;";  ","")&amp;IF(AND(EDATE($D129,Milestones!$AA$97)&lt;=AsOfDate,IF($Q129=0,$W129,IF(AND($S129&lt;&gt;"",EDATE($D129,Milestones!$AA$97)&gt;=$S129),$V129,IF(AND($R129&lt;&gt;"",EDATE($D129,Milestones!$AA$97)&gt;=$R129),$U129,$T129)))=Milestones!$AB$97),TEXT(EDATE($D129,Milestones!$AA$97),"dd/mm/yy")&amp;" "&amp;Milestones!$AB$97&amp;" "&amp;Milestones!$AC$97&amp;";  ","")&amp;IF(AND(EDATE($D129,Milestones!$AA$98)&lt;=AsOfDate,IF($Q129=0,$W129,IF(AND($S129&lt;&gt;"",EDATE($D129,Milestones!$AA$98)&gt;=$S129),$V129,IF(AND($R129&lt;&gt;"",EDATE($D129,Milestones!$AA$98)&gt;=$R129),$U129,$T129)))=Milestones!$AB$98),TEXT(EDATE($D129,Milestones!$AA$98),"dd/mm/yy")&amp;" "&amp;Milestones!$AB$98&amp;" "&amp;Milestones!$AC$98&amp;";  ","")&amp;IF(AND(EDATE($D129,Milestones!$AA$99)&lt;=AsOfDate,IF($Q129=0,$W129,IF(AND($S129&lt;&gt;"",EDATE($D129,Milestones!$AA$99)&gt;=$S129),$V129,IF(AND($R129&lt;&gt;"",EDATE($D129,Milestones!$AA$99)&gt;=$R129),$U129,$T129)))=Milestones!$AB$99),TEXT(EDATE($D129,Milestones!$AA$99),"dd/mm/yy")&amp;" "&amp;Milestones!$AB$99&amp;" "&amp;Milestones!$AC$99&amp;";  ",""))</f>
        <v/>
      </c>
      <c r="L129" s="0" t="str">
        <f aca="false">IF(OR($A129="",$D129=""),"",IF(AND(EDATE($D129,Milestones!$AA$100)&lt;=AsOfDate,IF($Q129=0,$W129,IF(AND($S129&lt;&gt;"",EDATE($D129,Milestones!$AA$100)&gt;=$S129),$V129,IF(AND($R129&lt;&gt;"",EDATE($D129,Milestones!$AA$100)&gt;=$R129),$U129,$T129)))=Milestones!$AB$100),TEXT(EDATE($D129,Milestones!$AA$100),"dd/mm/yy")&amp;" "&amp;Milestones!$AB$100&amp;" "&amp;Milestones!$AC$100&amp;";  ","")&amp;IF(AND(EDATE($D129,Milestones!$AA$101)&lt;=AsOfDate,IF($Q129=0,$W129,IF(AND($S129&lt;&gt;"",EDATE($D129,Milestones!$AA$101)&gt;=$S129),$V129,IF(AND($R129&lt;&gt;"",EDATE($D129,Milestones!$AA$101)&gt;=$R129),$U129,$T129)))=Milestones!$AB$101),TEXT(EDATE($D129,Milestones!$AA$101),"dd/mm/yy")&amp;" "&amp;Milestones!$AB$101&amp;" "&amp;Milestones!$AC$101&amp;";  ","")&amp;IF(AND(EDATE($D129,Milestones!$AA$102)&lt;=AsOfDate,IF($Q129=0,$W129,IF(AND($S129&lt;&gt;"",EDATE($D129,Milestones!$AA$102)&gt;=$S129),$V129,IF(AND($R129&lt;&gt;"",EDATE($D129,Milestones!$AA$102)&gt;=$R129),$U129,$T129)))=Milestones!$AB$102),TEXT(EDATE($D129,Milestones!$AA$102),"dd/mm/yy")&amp;" "&amp;Milestones!$AB$102&amp;" "&amp;Milestones!$AC$102&amp;";  ","")&amp;IF(AND(EDATE($D129,Milestones!$AA$103)&lt;=AsOfDate,IF($Q129=0,$W129,IF(AND($S129&lt;&gt;"",EDATE($D129,Milestones!$AA$103)&gt;=$S129),$V129,IF(AND($R129&lt;&gt;"",EDATE($D129,Milestones!$AA$103)&gt;=$R129),$U129,$T129)))=Milestones!$AB$103),TEXT(EDATE($D129,Milestones!$AA$103),"dd/mm/yy")&amp;" "&amp;Milestones!$AB$103&amp;" "&amp;Milestones!$AC$103&amp;";  ","")&amp;IF(AND(EDATE($D129,Milestones!$AA$104)&lt;=AsOfDate,IF($Q129=0,$W129,IF(AND($S129&lt;&gt;"",EDATE($D129,Milestones!$AA$104)&gt;=$S129),$V129,IF(AND($R129&lt;&gt;"",EDATE($D129,Milestones!$AA$104)&gt;=$R129),$U129,$T129)))=Milestones!$AB$104),TEXT(EDATE($D129,Milestones!$AA$104),"dd/mm/yy")&amp;" "&amp;Milestones!$AB$104&amp;" "&amp;Milestones!$AC$104&amp;";  ","")&amp;IF(AND(EDATE($D129,Milestones!$AA$105)&lt;=AsOfDate,IF($Q129=0,$W129,IF(AND($S129&lt;&gt;"",EDATE($D129,Milestones!$AA$105)&gt;=$S129),$V129,IF(AND($R129&lt;&gt;"",EDATE($D129,Milestones!$AA$105)&gt;=$R129),$U129,$T129)))=Milestones!$AB$105),TEXT(EDATE($D129,Milestones!$AA$105),"dd/mm/yy")&amp;" "&amp;Milestones!$AB$105&amp;" "&amp;Milestones!$AC$105&amp;";  ","")&amp;IF(AND(EDATE($D129,Milestones!$AA$106)&lt;=AsOfDate,IF($Q129=0,$W129,IF(AND($S129&lt;&gt;"",EDATE($D129,Milestones!$AA$106)&gt;=$S129),$V129,IF(AND($R129&lt;&gt;"",EDATE($D129,Milestones!$AA$106)&gt;=$R129),$U129,$T129)))=Milestones!$AB$106),TEXT(EDATE($D129,Milestones!$AA$106),"dd/mm/yy")&amp;" "&amp;Milestones!$AB$106&amp;" "&amp;Milestones!$AC$106&amp;";  ","")&amp;IF(AND(EDATE($D129,Milestones!$AA$107)&lt;=AsOfDate,IF($Q129=0,$W129,IF(AND($S129&lt;&gt;"",EDATE($D129,Milestones!$AA$107)&gt;=$S129),$V129,IF(AND($R129&lt;&gt;"",EDATE($D129,Milestones!$AA$107)&gt;=$R129),$U129,$T129)))=Milestones!$AB$107),TEXT(EDATE($D129,Milestones!$AA$107),"dd/mm/yy")&amp;" "&amp;Milestones!$AB$107&amp;" "&amp;Milestones!$AC$107&amp;";  ","")&amp;IF(AND(EDATE($D129,Milestones!$AA$108)&lt;=AsOfDate,IF($Q129=0,$W129,IF(AND($S129&lt;&gt;"",EDATE($D129,Milestones!$AA$108)&gt;=$S129),$V129,IF(AND($R129&lt;&gt;"",EDATE($D129,Milestones!$AA$108)&gt;=$R129),$U129,$T129)))=Milestones!$AB$108),TEXT(EDATE($D129,Milestones!$AA$108),"dd/mm/yy")&amp;" "&amp;Milestones!$AB$108&amp;" "&amp;Milestones!$AC$108&amp;";  ","")&amp;IF(AND(EDATE($D129,Milestones!$AA$109)&lt;=AsOfDate,IF($Q129=0,$W129,IF(AND($S129&lt;&gt;"",EDATE($D129,Milestones!$AA$109)&gt;=$S129),$V129,IF(AND($R129&lt;&gt;"",EDATE($D129,Milestones!$AA$109)&gt;=$R129),$U129,$T129)))=Milestones!$AB$109),TEXT(EDATE($D129,Milestones!$AA$109),"dd/mm/yy")&amp;" "&amp;Milestones!$AB$109&amp;" "&amp;Milestones!$AC$109&amp;";  ","")&amp;IF(AND(EDATE($D129,Milestones!$AA$110)&lt;=AsOfDate,IF($Q129=0,$W129,IF(AND($S129&lt;&gt;"",EDATE($D129,Milestones!$AA$110)&gt;=$S129),$V129,IF(AND($R129&lt;&gt;"",EDATE($D129,Milestones!$AA$110)&gt;=$R129),$U129,$T129)))=Milestones!$AB$110),TEXT(EDATE($D129,Milestones!$AA$110),"dd/mm/yy")&amp;" "&amp;Milestones!$AB$110&amp;" "&amp;Milestones!$AC$110&amp;";  ","")&amp;IF(AND(EDATE($D129,Milestones!$AA$111)&lt;=AsOfDate,IF($Q129=0,$W129,IF(AND($S129&lt;&gt;"",EDATE($D129,Milestones!$AA$111)&gt;=$S129),$V129,IF(AND($R129&lt;&gt;"",EDATE($D129,Milestones!$AA$111)&gt;=$R129),$U129,$T129)))=Milestones!$AB$111),TEXT(EDATE($D129,Milestones!$AA$111),"dd/mm/yy")&amp;" "&amp;Milestones!$AB$111&amp;" "&amp;Milestones!$AC$111&amp;";  ","")&amp;IF(AND(EDATE($D129,Milestones!$AA$112)&lt;=AsOfDate,IF($Q129=0,$W129,IF(AND($S129&lt;&gt;"",EDATE($D129,Milestones!$AA$112)&gt;=$S129),$V129,IF(AND($R129&lt;&gt;"",EDATE($D129,Milestones!$AA$112)&gt;=$R129),$U129,$T129)))=Milestones!$AB$112),TEXT(EDATE($D129,Milestones!$AA$112),"dd/mm/yy")&amp;" "&amp;Milestones!$AB$112&amp;" "&amp;Milestones!$AC$112&amp;";  ","")&amp;IF(AND(EDATE($D129,Milestones!$AA$113)&lt;=AsOfDate,IF($Q129=0,$W129,IF(AND($S129&lt;&gt;"",EDATE($D129,Milestones!$AA$113)&gt;=$S129),$V129,IF(AND($R129&lt;&gt;"",EDATE($D129,Milestones!$AA$113)&gt;=$R129),$U129,$T129)))=Milestones!$AB$113),TEXT(EDATE($D129,Milestones!$AA$113),"dd/mm/yy")&amp;" "&amp;Milestones!$AB$113&amp;" "&amp;Milestones!$AC$113&amp;";  ","")&amp;IF(AND(EDATE($D129,Milestones!$AA$114)&lt;=AsOfDate,IF($Q129=0,$W129,IF(AND($S129&lt;&gt;"",EDATE($D129,Milestones!$AA$114)&gt;=$S129),$V129,IF(AND($R129&lt;&gt;"",EDATE($D129,Milestones!$AA$114)&gt;=$R129),$U129,$T129)))=Milestones!$AB$114),TEXT(EDATE($D129,Milestones!$AA$114),"dd/mm/yy")&amp;" "&amp;Milestones!$AB$114&amp;" "&amp;Milestones!$AC$114&amp;";  ","")&amp;IF(AND(EDATE($D129,Milestones!$AA$115)&lt;=AsOfDate,IF($Q129=0,$W129,IF(AND($S129&lt;&gt;"",EDATE($D129,Milestones!$AA$115)&gt;=$S129),$V129,IF(AND($R129&lt;&gt;"",EDATE($D129,Milestones!$AA$115)&gt;=$R129),$U129,$T129)))=Milestones!$AB$115),TEXT(EDATE($D129,Milestones!$AA$115),"dd/mm/yy")&amp;" "&amp;Milestones!$AB$115&amp;" "&amp;Milestones!$AC$115&amp;";  ","")&amp;IF(AND(EDATE($D129,Milestones!$AA$116)&lt;=AsOfDate,IF($Q129=0,$W129,IF(AND($S129&lt;&gt;"",EDATE($D129,Milestones!$AA$116)&gt;=$S129),$V129,IF(AND($R129&lt;&gt;"",EDATE($D129,Milestones!$AA$116)&gt;=$R129),$U129,$T129)))=Milestones!$AB$116),TEXT(EDATE($D129,Milestones!$AA$116),"dd/mm/yy")&amp;" "&amp;Milestones!$AB$116&amp;" "&amp;Milestones!$AC$116&amp;";  ","")&amp;IF(AND(EDATE($D129,Milestones!$AA$117)&lt;=AsOfDate,IF($Q129=0,$W129,IF(AND($S129&lt;&gt;"",EDATE($D129,Milestones!$AA$117)&gt;=$S129),$V129,IF(AND($R129&lt;&gt;"",EDATE($D129,Milestones!$AA$117)&gt;=$R129),$U129,$T129)))=Milestones!$AB$117),TEXT(EDATE($D129,Milestones!$AA$117),"dd/mm/yy")&amp;" "&amp;Milestones!$AB$117&amp;" "&amp;Milestones!$AC$117&amp;";  ","")&amp;IF(AND(EDATE($D129,Milestones!$AA$118)&lt;=AsOfDate,IF($Q129=0,$W129,IF(AND($S129&lt;&gt;"",EDATE($D129,Milestones!$AA$118)&gt;=$S129),$V129,IF(AND($R129&lt;&gt;"",EDATE($D129,Milestones!$AA$118)&gt;=$R129),$U129,$T129)))=Milestones!$AB$118),TEXT(EDATE($D129,Milestones!$AA$118),"dd/mm/yy")&amp;" "&amp;Milestones!$AB$118&amp;" "&amp;Milestones!$AC$118&amp;";  ","")&amp;IF(AND(EDATE($D129,Milestones!$AA$119)&lt;=AsOfDate,IF($Q129=0,$W129,IF(AND($S129&lt;&gt;"",EDATE($D129,Milestones!$AA$119)&gt;=$S129),$V129,IF(AND($R129&lt;&gt;"",EDATE($D129,Milestones!$AA$119)&gt;=$R129),$U129,$T129)))=Milestones!$AB$119),TEXT(EDATE($D129,Milestones!$AA$119),"dd/mm/yy")&amp;" "&amp;Milestones!$AB$119&amp;" "&amp;Milestones!$AC$119&amp;";  ",""))</f>
        <v/>
      </c>
      <c r="M129" s="0" t="str">
        <f aca="false">IF(OR($A129="",$D129=""),"",IF(AND(EDATE($D129,Milestones!$AA$120)&lt;=AsOfDate,IF($Q129=0,$W129,IF(AND($S129&lt;&gt;"",EDATE($D129,Milestones!$AA$120)&gt;=$S129),$V129,IF(AND($R129&lt;&gt;"",EDATE($D129,Milestones!$AA$120)&gt;=$R129),$U129,$T129)))=Milestones!$AB$120),TEXT(EDATE($D129,Milestones!$AA$120),"dd/mm/yy")&amp;" "&amp;Milestones!$AB$120&amp;" "&amp;Milestones!$AC$120&amp;";  ","")&amp;IF(AND(EDATE($D129,Milestones!$AA$121)&lt;=AsOfDate,IF($Q129=0,$W129,IF(AND($S129&lt;&gt;"",EDATE($D129,Milestones!$AA$121)&gt;=$S129),$V129,IF(AND($R129&lt;&gt;"",EDATE($D129,Milestones!$AA$121)&gt;=$R129),$U129,$T129)))=Milestones!$AB$121),TEXT(EDATE($D129,Milestones!$AA$121),"dd/mm/yy")&amp;" "&amp;Milestones!$AB$121&amp;" "&amp;Milestones!$AC$121&amp;";  ","")&amp;IF(AND(EDATE($D129,Milestones!$AA$122)&lt;=AsOfDate,IF($Q129=0,$W129,IF(AND($S129&lt;&gt;"",EDATE($D129,Milestones!$AA$122)&gt;=$S129),$V129,IF(AND($R129&lt;&gt;"",EDATE($D129,Milestones!$AA$122)&gt;=$R129),$U129,$T129)))=Milestones!$AB$122),TEXT(EDATE($D129,Milestones!$AA$122),"dd/mm/yy")&amp;" "&amp;Milestones!$AB$122&amp;" "&amp;Milestones!$AC$122&amp;";  ","")&amp;IF(AND(EDATE($D129,Milestones!$AA$123)&lt;=AsOfDate,IF($Q129=0,$W129,IF(AND($S129&lt;&gt;"",EDATE($D129,Milestones!$AA$123)&gt;=$S129),$V129,IF(AND($R129&lt;&gt;"",EDATE($D129,Milestones!$AA$123)&gt;=$R129),$U129,$T129)))=Milestones!$AB$123),TEXT(EDATE($D129,Milestones!$AA$123),"dd/mm/yy")&amp;" "&amp;Milestones!$AB$123&amp;" "&amp;Milestones!$AC$123&amp;";  ","")&amp;IF(AND(EDATE($D129,Milestones!$AA$124)&lt;=AsOfDate,IF($Q129=0,$W129,IF(AND($S129&lt;&gt;"",EDATE($D129,Milestones!$AA$124)&gt;=$S129),$V129,IF(AND($R129&lt;&gt;"",EDATE($D129,Milestones!$AA$124)&gt;=$R129),$U129,$T129)))=Milestones!$AB$124),TEXT(EDATE($D129,Milestones!$AA$124),"dd/mm/yy")&amp;" "&amp;Milestones!$AB$124&amp;" "&amp;Milestones!$AC$124&amp;";  ","")&amp;IF(AND(EDATE($D129,Milestones!$AA$125)&lt;=AsOfDate,IF($Q129=0,$W129,IF(AND($S129&lt;&gt;"",EDATE($D129,Milestones!$AA$125)&gt;=$S129),$V129,IF(AND($R129&lt;&gt;"",EDATE($D129,Milestones!$AA$125)&gt;=$R129),$U129,$T129)))=Milestones!$AB$125),TEXT(EDATE($D129,Milestones!$AA$125),"dd/mm/yy")&amp;" "&amp;Milestones!$AB$125&amp;" "&amp;Milestones!$AC$125&amp;";  ","")&amp;IF(AND(EDATE($D129,Milestones!$AA$126)&lt;=AsOfDate,IF($Q129=0,$W129,IF(AND($S129&lt;&gt;"",EDATE($D129,Milestones!$AA$126)&gt;=$S129),$V129,IF(AND($R129&lt;&gt;"",EDATE($D129,Milestones!$AA$126)&gt;=$R129),$U129,$T129)))=Milestones!$AB$126),TEXT(EDATE($D129,Milestones!$AA$126),"dd/mm/yy")&amp;" "&amp;Milestones!$AB$126&amp;" "&amp;Milestones!$AC$126&amp;";  ","")&amp;IF(AND(EDATE($D129,Milestones!$AA$127)&lt;=AsOfDate,IF($Q129=0,$W129,IF(AND($S129&lt;&gt;"",EDATE($D129,Milestones!$AA$127)&gt;=$S129),$V129,IF(AND($R129&lt;&gt;"",EDATE($D129,Milestones!$AA$127)&gt;=$R129),$U129,$T129)))=Milestones!$AB$127),TEXT(EDATE($D129,Milestones!$AA$127),"dd/mm/yy")&amp;" "&amp;Milestones!$AB$127&amp;" "&amp;Milestones!$AC$127&amp;";  ","")&amp;IF(AND(EDATE($D129,Milestones!$AA$128)&lt;=AsOfDate,IF($Q129=0,$W129,IF(AND($S129&lt;&gt;"",EDATE($D129,Milestones!$AA$128)&gt;=$S129),$V129,IF(AND($R129&lt;&gt;"",EDATE($D129,Milestones!$AA$128)&gt;=$R129),$U129,$T129)))=Milestones!$AB$128),TEXT(EDATE($D129,Milestones!$AA$128),"dd/mm/yy")&amp;" "&amp;Milestones!$AB$128&amp;" "&amp;Milestones!$AC$128&amp;";  ","")&amp;IF(AND(EDATE($D129,Milestones!$AA$129)&lt;=AsOfDate,IF($Q129=0,$W129,IF(AND($S129&lt;&gt;"",EDATE($D129,Milestones!$AA$129)&gt;=$S129),$V129,IF(AND($R129&lt;&gt;"",EDATE($D129,Milestones!$AA$129)&gt;=$R129),$U129,$T129)))=Milestones!$AB$129),TEXT(EDATE($D129,Milestones!$AA$129),"dd/mm/yy")&amp;" "&amp;Milestones!$AB$129&amp;" "&amp;Milestones!$AC$129&amp;";  ","")&amp;IF(AND(EDATE($D129,Milestones!$AA$130)&lt;=AsOfDate,IF($Q129=0,$W129,IF(AND($S129&lt;&gt;"",EDATE($D129,Milestones!$AA$130)&gt;=$S129),$V129,IF(AND($R129&lt;&gt;"",EDATE($D129,Milestones!$AA$130)&gt;=$R129),$U129,$T129)))=Milestones!$AB$130),TEXT(EDATE($D129,Milestones!$AA$130),"dd/mm/yy")&amp;" "&amp;Milestones!$AB$130&amp;" "&amp;Milestones!$AC$130&amp;";  ","")&amp;IF(AND(EDATE($D129,Milestones!$AA$131)&lt;=AsOfDate,IF($Q129=0,$W129,IF(AND($S129&lt;&gt;"",EDATE($D129,Milestones!$AA$131)&gt;=$S129),$V129,IF(AND($R129&lt;&gt;"",EDATE($D129,Milestones!$AA$131)&gt;=$R129),$U129,$T129)))=Milestones!$AB$131),TEXT(EDATE($D129,Milestones!$AA$131),"dd/mm/yy")&amp;" "&amp;Milestones!$AB$131&amp;" "&amp;Milestones!$AC$131&amp;";  ","")&amp;IF(AND(EDATE($D129,Milestones!$AA$132)&lt;=AsOfDate,IF($Q129=0,$W129,IF(AND($S129&lt;&gt;"",EDATE($D129,Milestones!$AA$132)&gt;=$S129),$V129,IF(AND($R129&lt;&gt;"",EDATE($D129,Milestones!$AA$132)&gt;=$R129),$U129,$T129)))=Milestones!$AB$132),TEXT(EDATE($D129,Milestones!$AA$132),"dd/mm/yy")&amp;" "&amp;Milestones!$AB$132&amp;" "&amp;Milestones!$AC$132&amp;";  ","")&amp;IF(AND(EDATE($D129,Milestones!$AA$133)&lt;=AsOfDate,IF($Q129=0,$W129,IF(AND($S129&lt;&gt;"",EDATE($D129,Milestones!$AA$133)&gt;=$S129),$V129,IF(AND($R129&lt;&gt;"",EDATE($D129,Milestones!$AA$133)&gt;=$R129),$U129,$T129)))=Milestones!$AB$133),TEXT(EDATE($D129,Milestones!$AA$133),"dd/mm/yy")&amp;" "&amp;Milestones!$AB$133&amp;" "&amp;Milestones!$AC$133&amp;";  ","")&amp;IF(AND(EDATE($D129,Milestones!$AA$134)&lt;=AsOfDate,IF($Q129=0,$W129,IF(AND($S129&lt;&gt;"",EDATE($D129,Milestones!$AA$134)&gt;=$S129),$V129,IF(AND($R129&lt;&gt;"",EDATE($D129,Milestones!$AA$134)&gt;=$R129),$U129,$T129)))=Milestones!$AB$134),TEXT(EDATE($D129,Milestones!$AA$134),"dd/mm/yy")&amp;" "&amp;Milestones!$AB$134&amp;" "&amp;Milestones!$AC$134&amp;";  ","")&amp;IF(AND(EDATE($D129,Milestones!$AA$135)&lt;=AsOfDate,IF($Q129=0,$W129,IF(AND($S129&lt;&gt;"",EDATE($D129,Milestones!$AA$135)&gt;=$S129),$V129,IF(AND($R129&lt;&gt;"",EDATE($D129,Milestones!$AA$135)&gt;=$R129),$U129,$T129)))=Milestones!$AB$135),TEXT(EDATE($D129,Milestones!$AA$135),"dd/mm/yy")&amp;" "&amp;Milestones!$AB$135&amp;" "&amp;Milestones!$AC$135&amp;";  ","")&amp;IF(AND(EDATE($D129,Milestones!$AA$136)&lt;=AsOfDate,IF($Q129=0,$W129,IF(AND($S129&lt;&gt;"",EDATE($D129,Milestones!$AA$136)&gt;=$S129),$V129,IF(AND($R129&lt;&gt;"",EDATE($D129,Milestones!$AA$136)&gt;=$R129),$U129,$T129)))=Milestones!$AB$136),TEXT(EDATE($D129,Milestones!$AA$136),"dd/mm/yy")&amp;" "&amp;Milestones!$AB$136&amp;" "&amp;Milestones!$AC$136&amp;";  ","")&amp;IF(AND(EDATE($D129,Milestones!$AA$137)&lt;=AsOfDate,IF($Q129=0,$W129,IF(AND($S129&lt;&gt;"",EDATE($D129,Milestones!$AA$137)&gt;=$S129),$V129,IF(AND($R129&lt;&gt;"",EDATE($D129,Milestones!$AA$137)&gt;=$R129),$U129,$T129)))=Milestones!$AB$137),TEXT(EDATE($D129,Milestones!$AA$137),"dd/mm/yy")&amp;" "&amp;Milestones!$AB$137&amp;" "&amp;Milestones!$AC$137&amp;";  ","")&amp;IF(AND(EDATE($D129,Milestones!$AA$138)&lt;=AsOfDate,IF($Q129=0,$W129,IF(AND($S129&lt;&gt;"",EDATE($D129,Milestones!$AA$138)&gt;=$S129),$V129,IF(AND($R129&lt;&gt;"",EDATE($D129,Milestones!$AA$138)&gt;=$R129),$U129,$T129)))=Milestones!$AB$138),TEXT(EDATE($D129,Milestones!$AA$138),"dd/mm/yy")&amp;" "&amp;Milestones!$AB$138&amp;" "&amp;Milestones!$AC$138&amp;";  ","")&amp;IF(AND(EDATE($D129,Milestones!$AA$139)&lt;=AsOfDate,IF($Q129=0,$W129,IF(AND($S129&lt;&gt;"",EDATE($D129,Milestones!$AA$139)&gt;=$S129),$V129,IF(AND($R129&lt;&gt;"",EDATE($D129,Milestones!$AA$139)&gt;=$R129),$U129,$T129)))=Milestones!$AB$139),TEXT(EDATE($D129,Milestones!$AA$139),"dd/mm/yy")&amp;" "&amp;Milestones!$AB$139&amp;" "&amp;Milestones!$AC$139&amp;";  ",""))</f>
        <v/>
      </c>
      <c r="N129" s="0" t="str">
        <f aca="false">IF(OR($A129="",$D129=""),"",IF(AND(EDATE($D129,Milestones!$AA$140)&lt;=AsOfDate,IF($Q129=0,$W129,IF(AND($S129&lt;&gt;"",EDATE($D129,Milestones!$AA$140)&gt;=$S129),$V129,IF(AND($R129&lt;&gt;"",EDATE($D129,Milestones!$AA$140)&gt;=$R129),$U129,$T129)))=Milestones!$AB$140),TEXT(EDATE($D129,Milestones!$AA$140),"dd/mm/yy")&amp;" "&amp;Milestones!$AB$140&amp;" "&amp;Milestones!$AC$140&amp;";  ","")&amp;IF(AND(EDATE($D129,Milestones!$AA$141)&lt;=AsOfDate,IF($Q129=0,$W129,IF(AND($S129&lt;&gt;"",EDATE($D129,Milestones!$AA$141)&gt;=$S129),$V129,IF(AND($R129&lt;&gt;"",EDATE($D129,Milestones!$AA$141)&gt;=$R129),$U129,$T129)))=Milestones!$AB$141),TEXT(EDATE($D129,Milestones!$AA$141),"dd/mm/yy")&amp;" "&amp;Milestones!$AB$141&amp;" "&amp;Milestones!$AC$141&amp;";  ","")&amp;IF(AND(EDATE($D129,Milestones!$AA$142)&lt;=AsOfDate,IF($Q129=0,$W129,IF(AND($S129&lt;&gt;"",EDATE($D129,Milestones!$AA$142)&gt;=$S129),$V129,IF(AND($R129&lt;&gt;"",EDATE($D129,Milestones!$AA$142)&gt;=$R129),$U129,$T129)))=Milestones!$AB$142),TEXT(EDATE($D129,Milestones!$AA$142),"dd/mm/yy")&amp;" "&amp;Milestones!$AB$142&amp;" "&amp;Milestones!$AC$142&amp;";  ","")&amp;IF(AND(EDATE($D129,Milestones!$AA$143)&lt;=AsOfDate,IF($Q129=0,$W129,IF(AND($S129&lt;&gt;"",EDATE($D129,Milestones!$AA$143)&gt;=$S129),$V129,IF(AND($R129&lt;&gt;"",EDATE($D129,Milestones!$AA$143)&gt;=$R129),$U129,$T129)))=Milestones!$AB$143),TEXT(EDATE($D129,Milestones!$AA$143),"dd/mm/yy")&amp;" "&amp;Milestones!$AB$143&amp;" "&amp;Milestones!$AC$143&amp;";  ","")&amp;IF(AND(EDATE($D129,Milestones!$AA$144)&lt;=AsOfDate,IF($Q129=0,$W129,IF(AND($S129&lt;&gt;"",EDATE($D129,Milestones!$AA$144)&gt;=$S129),$V129,IF(AND($R129&lt;&gt;"",EDATE($D129,Milestones!$AA$144)&gt;=$R129),$U129,$T129)))=Milestones!$AB$144),TEXT(EDATE($D129,Milestones!$AA$144),"dd/mm/yy")&amp;" "&amp;Milestones!$AB$144&amp;" "&amp;Milestones!$AC$144&amp;";  ","")&amp;IF(AND(EDATE($D129,Milestones!$AA$145)&lt;=AsOfDate,IF($Q129=0,$W129,IF(AND($S129&lt;&gt;"",EDATE($D129,Milestones!$AA$145)&gt;=$S129),$V129,IF(AND($R129&lt;&gt;"",EDATE($D129,Milestones!$AA$145)&gt;=$R129),$U129,$T129)))=Milestones!$AB$145),TEXT(EDATE($D129,Milestones!$AA$145),"dd/mm/yy")&amp;" "&amp;Milestones!$AB$145&amp;" "&amp;Milestones!$AC$145&amp;";  ","")&amp;IF(AND(EDATE($D129,Milestones!$AA$146)&lt;=AsOfDate,IF($Q129=0,$W129,IF(AND($S129&lt;&gt;"",EDATE($D129,Milestones!$AA$146)&gt;=$S129),$V129,IF(AND($R129&lt;&gt;"",EDATE($D129,Milestones!$AA$146)&gt;=$R129),$U129,$T129)))=Milestones!$AB$146),TEXT(EDATE($D129,Milestones!$AA$146),"dd/mm/yy")&amp;" "&amp;Milestones!$AB$146&amp;" "&amp;Milestones!$AC$146&amp;";  ","")&amp;IF(AND(EDATE($D129,Milestones!$AA$147)&lt;=AsOfDate,IF($Q129=0,$W129,IF(AND($S129&lt;&gt;"",EDATE($D129,Milestones!$AA$147)&gt;=$S129),$V129,IF(AND($R129&lt;&gt;"",EDATE($D129,Milestones!$AA$147)&gt;=$R129),$U129,$T129)))=Milestones!$AB$147),TEXT(EDATE($D129,Milestones!$AA$147),"dd/mm/yy")&amp;" "&amp;Milestones!$AB$147&amp;" "&amp;Milestones!$AC$147&amp;";  ","")&amp;IF(AND(EDATE($D129,Milestones!$AA$148)&lt;=AsOfDate,IF($Q129=0,$W129,IF(AND($S129&lt;&gt;"",EDATE($D129,Milestones!$AA$148)&gt;=$S129),$V129,IF(AND($R129&lt;&gt;"",EDATE($D129,Milestones!$AA$148)&gt;=$R129),$U129,$T129)))=Milestones!$AB$148),TEXT(EDATE($D129,Milestones!$AA$148),"dd/mm/yy")&amp;" "&amp;Milestones!$AB$148&amp;" "&amp;Milestones!$AC$148&amp;";  ","")&amp;IF(AND(EDATE($D129,Milestones!$AA$149)&lt;=AsOfDate,IF($Q129=0,$W129,IF(AND($S129&lt;&gt;"",EDATE($D129,Milestones!$AA$149)&gt;=$S129),$V129,IF(AND($R129&lt;&gt;"",EDATE($D129,Milestones!$AA$149)&gt;=$R129),$U129,$T129)))=Milestones!$AB$149),TEXT(EDATE($D129,Milestones!$AA$149),"dd/mm/yy")&amp;" "&amp;Milestones!$AB$149&amp;" "&amp;Milestones!$AC$149&amp;";  ","")&amp;IF(AND(EDATE($D129,Milestones!$AA$150)&lt;=AsOfDate,IF($Q129=0,$W129,IF(AND($S129&lt;&gt;"",EDATE($D129,Milestones!$AA$150)&gt;=$S129),$V129,IF(AND($R129&lt;&gt;"",EDATE($D129,Milestones!$AA$150)&gt;=$R129),$U129,$T129)))=Milestones!$AB$150),TEXT(EDATE($D129,Milestones!$AA$150),"dd/mm/yy")&amp;" "&amp;Milestones!$AB$150&amp;" "&amp;Milestones!$AC$150&amp;";  ","")&amp;IF(AND(EDATE($D129,Milestones!$AA$151)&lt;=AsOfDate,IF($Q129=0,$W129,IF(AND($S129&lt;&gt;"",EDATE($D129,Milestones!$AA$151)&gt;=$S129),$V129,IF(AND($R129&lt;&gt;"",EDATE($D129,Milestones!$AA$151)&gt;=$R129),$U129,$T129)))=Milestones!$AB$151),TEXT(EDATE($D129,Milestones!$AA$151),"dd/mm/yy")&amp;" "&amp;Milestones!$AB$151&amp;" "&amp;Milestones!$AC$151&amp;";  ","")&amp;IF(AND(EDATE($D129,Milestones!$AA$152)&lt;=AsOfDate,IF($Q129=0,$W129,IF(AND($S129&lt;&gt;"",EDATE($D129,Milestones!$AA$152)&gt;=$S129),$V129,IF(AND($R129&lt;&gt;"",EDATE($D129,Milestones!$AA$152)&gt;=$R129),$U129,$T129)))=Milestones!$AB$152),TEXT(EDATE($D129,Milestones!$AA$152),"dd/mm/yy")&amp;" "&amp;Milestones!$AB$152&amp;" "&amp;Milestones!$AC$152&amp;";  ","")&amp;IF(AND(EDATE($D129,Milestones!$AA$153)&lt;=AsOfDate,IF($Q129=0,$W129,IF(AND($S129&lt;&gt;"",EDATE($D129,Milestones!$AA$153)&gt;=$S129),$V129,IF(AND($R129&lt;&gt;"",EDATE($D129,Milestones!$AA$153)&gt;=$R129),$U129,$T129)))=Milestones!$AB$153),TEXT(EDATE($D129,Milestones!$AA$153),"dd/mm/yy")&amp;" "&amp;Milestones!$AB$153&amp;" "&amp;Milestones!$AC$153&amp;";  ","")&amp;IF(AND(EDATE($D129,Milestones!$AA$154)&lt;=AsOfDate,IF($Q129=0,$W129,IF(AND($S129&lt;&gt;"",EDATE($D129,Milestones!$AA$154)&gt;=$S129),$V129,IF(AND($R129&lt;&gt;"",EDATE($D129,Milestones!$AA$154)&gt;=$R129),$U129,$T129)))=Milestones!$AB$154),TEXT(EDATE($D129,Milestones!$AA$154),"dd/mm/yy")&amp;" "&amp;Milestones!$AB$154&amp;" "&amp;Milestones!$AC$154&amp;";  ","")&amp;IF(AND(EDATE($D129,Milestones!$AA$155)&lt;=AsOfDate,IF($Q129=0,$W129,IF(AND($S129&lt;&gt;"",EDATE($D129,Milestones!$AA$155)&gt;=$S129),$V129,IF(AND($R129&lt;&gt;"",EDATE($D129,Milestones!$AA$155)&gt;=$R129),$U129,$T129)))=Milestones!$AB$155),TEXT(EDATE($D129,Milestones!$AA$155),"dd/mm/yy")&amp;" "&amp;Milestones!$AB$155&amp;" "&amp;Milestones!$AC$155&amp;";  ","")&amp;IF(AND(EDATE($D129,Milestones!$AA$156)&lt;=AsOfDate,IF($Q129=0,$W129,IF(AND($S129&lt;&gt;"",EDATE($D129,Milestones!$AA$156)&gt;=$S129),$V129,IF(AND($R129&lt;&gt;"",EDATE($D129,Milestones!$AA$156)&gt;=$R129),$U129,$T129)))=Milestones!$AB$156),TEXT(EDATE($D129,Milestones!$AA$156),"dd/mm/yy")&amp;" "&amp;Milestones!$AB$156&amp;" "&amp;Milestones!$AC$156&amp;";  ","")&amp;IF(AND(EDATE($D129,Milestones!$AA$157)&lt;=AsOfDate,IF($Q129=0,$W129,IF(AND($S129&lt;&gt;"",EDATE($D129,Milestones!$AA$157)&gt;=$S129),$V129,IF(AND($R129&lt;&gt;"",EDATE($D129,Milestones!$AA$157)&gt;=$R129),$U129,$T129)))=Milestones!$AB$157),TEXT(EDATE($D129,Milestones!$AA$157),"dd/mm/yy")&amp;" "&amp;Milestones!$AB$157&amp;" "&amp;Milestones!$AC$157&amp;";  ","")&amp;IF(AND(EDATE($D129,Milestones!$AA$158)&lt;=AsOfDate,IF($Q129=0,$W129,IF(AND($S129&lt;&gt;"",EDATE($D129,Milestones!$AA$158)&gt;=$S129),$V129,IF(AND($R129&lt;&gt;"",EDATE($D129,Milestones!$AA$158)&gt;=$R129),$U129,$T129)))=Milestones!$AB$158),TEXT(EDATE($D129,Milestones!$AA$158),"dd/mm/yy")&amp;" "&amp;Milestones!$AB$158&amp;" "&amp;Milestones!$AC$158&amp;";  ","")&amp;IF(AND(EDATE($D129,Milestones!$AA$159)&lt;=AsOfDate,IF($Q129=0,$W129,IF(AND($S129&lt;&gt;"",EDATE($D129,Milestones!$AA$159)&gt;=$S129),$V129,IF(AND($R129&lt;&gt;"",EDATE($D129,Milestones!$AA$159)&gt;=$R129),$U129,$T129)))=Milestones!$AB$159),TEXT(EDATE($D129,Milestones!$AA$159),"dd/mm/yy")&amp;" "&amp;Milestones!$AB$159&amp;" "&amp;Milestones!$AC$159&amp;";  ",""))</f>
        <v/>
      </c>
      <c r="O129" s="0" t="str">
        <f aca="false">IF(OR($A129="",$D129=""),"",IF(AND(EDATE($D129,Milestones!$AA$160)&lt;=AsOfDate,IF($Q129=0,$W129,IF(AND($S129&lt;&gt;"",EDATE($D129,Milestones!$AA$160)&gt;=$S129),$V129,IF(AND($R129&lt;&gt;"",EDATE($D129,Milestones!$AA$160)&gt;=$R129),$U129,$T129)))=Milestones!$AB$160),TEXT(EDATE($D129,Milestones!$AA$160),"dd/mm/yy")&amp;" "&amp;Milestones!$AB$160&amp;" "&amp;Milestones!$AC$160&amp;";  ","")&amp;IF(AND(EDATE($D129,Milestones!$AA$161)&lt;=AsOfDate,IF($Q129=0,$W129,IF(AND($S129&lt;&gt;"",EDATE($D129,Milestones!$AA$161)&gt;=$S129),$V129,IF(AND($R129&lt;&gt;"",EDATE($D129,Milestones!$AA$161)&gt;=$R129),$U129,$T129)))=Milestones!$AB$161),TEXT(EDATE($D129,Milestones!$AA$161),"dd/mm/yy")&amp;" "&amp;Milestones!$AB$161&amp;" "&amp;Milestones!$AC$161&amp;";  ","")&amp;IF(AND(EDATE($D129,Milestones!$AA$162)&lt;=AsOfDate,IF($Q129=0,$W129,IF(AND($S129&lt;&gt;"",EDATE($D129,Milestones!$AA$162)&gt;=$S129),$V129,IF(AND($R129&lt;&gt;"",EDATE($D129,Milestones!$AA$162)&gt;=$R129),$U129,$T129)))=Milestones!$AB$162),TEXT(EDATE($D129,Milestones!$AA$162),"dd/mm/yy")&amp;" "&amp;Milestones!$AB$162&amp;" "&amp;Milestones!$AC$162&amp;";  ","")&amp;IF(AND(EDATE($D129,Milestones!$AA$163)&lt;=AsOfDate,IF($Q129=0,$W129,IF(AND($S129&lt;&gt;"",EDATE($D129,Milestones!$AA$163)&gt;=$S129),$V129,IF(AND($R129&lt;&gt;"",EDATE($D129,Milestones!$AA$163)&gt;=$R129),$U129,$T129)))=Milestones!$AB$163),TEXT(EDATE($D129,Milestones!$AA$163),"dd/mm/yy")&amp;" "&amp;Milestones!$AB$163&amp;" "&amp;Milestones!$AC$163&amp;";  ","")&amp;IF(AND(EDATE($D129,Milestones!$AA$164)&lt;=AsOfDate,IF($Q129=0,$W129,IF(AND($S129&lt;&gt;"",EDATE($D129,Milestones!$AA$164)&gt;=$S129),$V129,IF(AND($R129&lt;&gt;"",EDATE($D129,Milestones!$AA$164)&gt;=$R129),$U129,$T129)))=Milestones!$AB$164),TEXT(EDATE($D129,Milestones!$AA$164),"dd/mm/yy")&amp;" "&amp;Milestones!$AB$164&amp;" "&amp;Milestones!$AC$164&amp;";  ","")&amp;IF(AND(EDATE($D129,Milestones!$AA$165)&lt;=AsOfDate,IF($Q129=0,$W129,IF(AND($S129&lt;&gt;"",EDATE($D129,Milestones!$AA$165)&gt;=$S129),$V129,IF(AND($R129&lt;&gt;"",EDATE($D129,Milestones!$AA$165)&gt;=$R129),$U129,$T129)))=Milestones!$AB$165),TEXT(EDATE($D129,Milestones!$AA$165),"dd/mm/yy")&amp;" "&amp;Milestones!$AB$165&amp;" "&amp;Milestones!$AC$165&amp;";  ","")&amp;IF(AND(EDATE($D129,Milestones!$AA$166)&lt;=AsOfDate,IF($Q129=0,$W129,IF(AND($S129&lt;&gt;"",EDATE($D129,Milestones!$AA$166)&gt;=$S129),$V129,IF(AND($R129&lt;&gt;"",EDATE($D129,Milestones!$AA$166)&gt;=$R129),$U129,$T129)))=Milestones!$AB$166),TEXT(EDATE($D129,Milestones!$AA$166),"dd/mm/yy")&amp;" "&amp;Milestones!$AB$166&amp;" "&amp;Milestones!$AC$166&amp;";  ","")&amp;IF(AND(EDATE($D129,Milestones!$AA$167)&lt;=AsOfDate,IF($Q129=0,$W129,IF(AND($S129&lt;&gt;"",EDATE($D129,Milestones!$AA$167)&gt;=$S129),$V129,IF(AND($R129&lt;&gt;"",EDATE($D129,Milestones!$AA$167)&gt;=$R129),$U129,$T129)))=Milestones!$AB$167),TEXT(EDATE($D129,Milestones!$AA$167),"dd/mm/yy")&amp;" "&amp;Milestones!$AB$167&amp;" "&amp;Milestones!$AC$167&amp;";  ","")&amp;IF(AND(EDATE($D129,Milestones!$AA$168)&lt;=AsOfDate,IF($Q129=0,$W129,IF(AND($S129&lt;&gt;"",EDATE($D129,Milestones!$AA$168)&gt;=$S129),$V129,IF(AND($R129&lt;&gt;"",EDATE($D129,Milestones!$AA$168)&gt;=$R129),$U129,$T129)))=Milestones!$AB$168),TEXT(EDATE($D129,Milestones!$AA$168),"dd/mm/yy")&amp;" "&amp;Milestones!$AB$168&amp;" "&amp;Milestones!$AC$168&amp;";  ","")&amp;IF(AND(EDATE($D129,Milestones!$AA$169)&lt;=AsOfDate,IF($Q129=0,$W129,IF(AND($S129&lt;&gt;"",EDATE($D129,Milestones!$AA$169)&gt;=$S129),$V129,IF(AND($R129&lt;&gt;"",EDATE($D129,Milestones!$AA$169)&gt;=$R129),$U129,$T129)))=Milestones!$AB$169),TEXT(EDATE($D129,Milestones!$AA$169),"dd/mm/yy")&amp;" "&amp;Milestones!$AB$169&amp;" "&amp;Milestones!$AC$169&amp;";  ","")&amp;IF(AND(EDATE($D129,Milestones!$AA$170)&lt;=AsOfDate,IF($Q129=0,$W129,IF(AND($S129&lt;&gt;"",EDATE($D129,Milestones!$AA$170)&gt;=$S129),$V129,IF(AND($R129&lt;&gt;"",EDATE($D129,Milestones!$AA$170)&gt;=$R129),$U129,$T129)))=Milestones!$AB$170),TEXT(EDATE($D129,Milestones!$AA$170),"dd/mm/yy")&amp;" "&amp;Milestones!$AB$170&amp;" "&amp;Milestones!$AC$170&amp;";  ","")&amp;IF(AND(EDATE($D129,Milestones!$AA$171)&lt;=AsOfDate,IF($Q129=0,$W129,IF(AND($S129&lt;&gt;"",EDATE($D129,Milestones!$AA$171)&gt;=$S129),$V129,IF(AND($R129&lt;&gt;"",EDATE($D129,Milestones!$AA$171)&gt;=$R129),$U129,$T129)))=Milestones!$AB$171),TEXT(EDATE($D129,Milestones!$AA$171),"dd/mm/yy")&amp;" "&amp;Milestones!$AB$171&amp;" "&amp;Milestones!$AC$171&amp;";  ","")&amp;IF(AND(EDATE($D129,Milestones!$AA$172)&lt;=AsOfDate,IF($Q129=0,$W129,IF(AND($S129&lt;&gt;"",EDATE($D129,Milestones!$AA$172)&gt;=$S129),$V129,IF(AND($R129&lt;&gt;"",EDATE($D129,Milestones!$AA$172)&gt;=$R129),$U129,$T129)))=Milestones!$AB$172),TEXT(EDATE($D129,Milestones!$AA$172),"dd/mm/yy")&amp;" "&amp;Milestones!$AB$172&amp;" "&amp;Milestones!$AC$172&amp;";  ","")&amp;IF(AND(EDATE($D129,Milestones!$AA$173)&lt;=AsOfDate,IF($Q129=0,$W129,IF(AND($S129&lt;&gt;"",EDATE($D129,Milestones!$AA$173)&gt;=$S129),$V129,IF(AND($R129&lt;&gt;"",EDATE($D129,Milestones!$AA$173)&gt;=$R129),$U129,$T129)))=Milestones!$AB$173),TEXT(EDATE($D129,Milestones!$AA$173),"dd/mm/yy")&amp;" "&amp;Milestones!$AB$173&amp;" "&amp;Milestones!$AC$173&amp;";  ","")&amp;IF(AND(EDATE($D129,Milestones!$AA$174)&lt;=AsOfDate,IF($Q129=0,$W129,IF(AND($S129&lt;&gt;"",EDATE($D129,Milestones!$AA$174)&gt;=$S129),$V129,IF(AND($R129&lt;&gt;"",EDATE($D129,Milestones!$AA$174)&gt;=$R129),$U129,$T129)))=Milestones!$AB$174),TEXT(EDATE($D129,Milestones!$AA$174),"dd/mm/yy")&amp;" "&amp;Milestones!$AB$174&amp;" "&amp;Milestones!$AC$174&amp;";  ","")&amp;IF(AND(EDATE($D129,Milestones!$AA$175)&lt;=AsOfDate,IF($Q129=0,$W129,IF(AND($S129&lt;&gt;"",EDATE($D129,Milestones!$AA$175)&gt;=$S129),$V129,IF(AND($R129&lt;&gt;"",EDATE($D129,Milestones!$AA$175)&gt;=$R129),$U129,$T129)))=Milestones!$AB$175),TEXT(EDATE($D129,Milestones!$AA$175),"dd/mm/yy")&amp;" "&amp;Milestones!$AB$175&amp;" "&amp;Milestones!$AC$175&amp;";  ","")&amp;IF(AND(EDATE($D129,Milestones!$AA$176)&lt;=AsOfDate,IF($Q129=0,$W129,IF(AND($S129&lt;&gt;"",EDATE($D129,Milestones!$AA$176)&gt;=$S129),$V129,IF(AND($R129&lt;&gt;"",EDATE($D129,Milestones!$AA$176)&gt;=$R129),$U129,$T129)))=Milestones!$AB$176),TEXT(EDATE($D129,Milestones!$AA$176),"dd/mm/yy")&amp;" "&amp;Milestones!$AB$176&amp;" "&amp;Milestones!$AC$176&amp;";  ","")&amp;IF(AND(EDATE($D129,Milestones!$AA$177)&lt;=AsOfDate,IF($Q129=0,$W129,IF(AND($S129&lt;&gt;"",EDATE($D129,Milestones!$AA$177)&gt;=$S129),$V129,IF(AND($R129&lt;&gt;"",EDATE($D129,Milestones!$AA$177)&gt;=$R129),$U129,$T129)))=Milestones!$AB$177),TEXT(EDATE($D129,Milestones!$AA$177),"dd/mm/yy")&amp;" "&amp;Milestones!$AB$177&amp;" "&amp;Milestones!$AC$177&amp;";  ","")&amp;IF(AND(EDATE($D129,Milestones!$AA$178)&lt;=AsOfDate,IF($Q129=0,$W129,IF(AND($S129&lt;&gt;"",EDATE($D129,Milestones!$AA$178)&gt;=$S129),$V129,IF(AND($R129&lt;&gt;"",EDATE($D129,Milestones!$AA$178)&gt;=$R129),$U129,$T129)))=Milestones!$AB$178),TEXT(EDATE($D129,Milestones!$AA$178),"dd/mm/yy")&amp;" "&amp;Milestones!$AB$178&amp;" "&amp;Milestones!$AC$178&amp;";  ","")&amp;IF(AND(EDATE($D129,Milestones!$AA$179)&lt;=AsOfDate,IF($Q129=0,$W129,IF(AND($S129&lt;&gt;"",EDATE($D129,Milestones!$AA$179)&gt;=$S129),$V129,IF(AND($R129&lt;&gt;"",EDATE($D129,Milestones!$AA$179)&gt;=$R129),$U129,$T129)))=Milestones!$AB$179),TEXT(EDATE($D129,Milestones!$AA$179),"dd/mm/yy")&amp;" "&amp;Milestones!$AB$179&amp;" "&amp;Milestones!$AC$179&amp;";  ",""))</f>
        <v/>
      </c>
      <c r="P129" s="0" t="str">
        <f aca="false">IF(OR($A129="",$D129=""),"",IF(AND(EDATE($D129,Milestones!$AA$180)&lt;=AsOfDate,IF($Q129=0,$W129,IF(AND($S129&lt;&gt;"",EDATE($D129,Milestones!$AA$180)&gt;=$S129),$V129,IF(AND($R129&lt;&gt;"",EDATE($D129,Milestones!$AA$180)&gt;=$R129),$U129,$T129)))=Milestones!$AB$180),TEXT(EDATE($D129,Milestones!$AA$180),"dd/mm/yy")&amp;" "&amp;Milestones!$AB$180&amp;" "&amp;Milestones!$AC$180&amp;";  ","")&amp;IF(AND(EDATE($D129,Milestones!$AA$181)&lt;=AsOfDate,IF($Q129=0,$W129,IF(AND($S129&lt;&gt;"",EDATE($D129,Milestones!$AA$181)&gt;=$S129),$V129,IF(AND($R129&lt;&gt;"",EDATE($D129,Milestones!$AA$181)&gt;=$R129),$U129,$T129)))=Milestones!$AB$181),TEXT(EDATE($D129,Milestones!$AA$181),"dd/mm/yy")&amp;" "&amp;Milestones!$AB$181&amp;" "&amp;Milestones!$AC$181&amp;";  ","")&amp;IF(AND(EDATE($D129,Milestones!$AA$182)&lt;=AsOfDate,IF($Q129=0,$W129,IF(AND($S129&lt;&gt;"",EDATE($D129,Milestones!$AA$182)&gt;=$S129),$V129,IF(AND($R129&lt;&gt;"",EDATE($D129,Milestones!$AA$182)&gt;=$R129),$U129,$T129)))=Milestones!$AB$182),TEXT(EDATE($D129,Milestones!$AA$182),"dd/mm/yy")&amp;" "&amp;Milestones!$AB$182&amp;" "&amp;Milestones!$AC$182&amp;";  ","")&amp;IF(AND(EDATE($D129,Milestones!$AA$183)&lt;=AsOfDate,IF($Q129=0,$W129,IF(AND($S129&lt;&gt;"",EDATE($D129,Milestones!$AA$183)&gt;=$S129),$V129,IF(AND($R129&lt;&gt;"",EDATE($D129,Milestones!$AA$183)&gt;=$R129),$U129,$T129)))=Milestones!$AB$183),TEXT(EDATE($D129,Milestones!$AA$183),"dd/mm/yy")&amp;" "&amp;Milestones!$AB$183&amp;" "&amp;Milestones!$AC$183&amp;";  ","")&amp;IF(AND(EDATE($D129,Milestones!$AA$184)&lt;=AsOfDate,IF($Q129=0,$W129,IF(AND($S129&lt;&gt;"",EDATE($D129,Milestones!$AA$184)&gt;=$S129),$V129,IF(AND($R129&lt;&gt;"",EDATE($D129,Milestones!$AA$184)&gt;=$R129),$U129,$T129)))=Milestones!$AB$184),TEXT(EDATE($D129,Milestones!$AA$184),"dd/mm/yy")&amp;" "&amp;Milestones!$AB$184&amp;" "&amp;Milestones!$AC$184&amp;";  ","")&amp;IF(AND(EDATE($D129,Milestones!$AA$185)&lt;=AsOfDate,IF($Q129=0,$W129,IF(AND($S129&lt;&gt;"",EDATE($D129,Milestones!$AA$185)&gt;=$S129),$V129,IF(AND($R129&lt;&gt;"",EDATE($D129,Milestones!$AA$185)&gt;=$R129),$U129,$T129)))=Milestones!$AB$185),TEXT(EDATE($D129,Milestones!$AA$185),"dd/mm/yy")&amp;" "&amp;Milestones!$AB$185&amp;" "&amp;Milestones!$AC$185&amp;";  ","")&amp;IF(AND(EDATE($D129,Milestones!$AA$186)&lt;=AsOfDate,IF($Q129=0,$W129,IF(AND($S129&lt;&gt;"",EDATE($D129,Milestones!$AA$186)&gt;=$S129),$V129,IF(AND($R129&lt;&gt;"",EDATE($D129,Milestones!$AA$186)&gt;=$R129),$U129,$T129)))=Milestones!$AB$186),TEXT(EDATE($D129,Milestones!$AA$186),"dd/mm/yy")&amp;" "&amp;Milestones!$AB$186&amp;" "&amp;Milestones!$AC$186&amp;";  ","")&amp;IF(AND(EDATE($D129,Milestones!$AA$187)&lt;=AsOfDate,IF($Q129=0,$W129,IF(AND($S129&lt;&gt;"",EDATE($D129,Milestones!$AA$187)&gt;=$S129),$V129,IF(AND($R129&lt;&gt;"",EDATE($D129,Milestones!$AA$187)&gt;=$R129),$U129,$T129)))=Milestones!$AB$187),TEXT(EDATE($D129,Milestones!$AA$187),"dd/mm/yy")&amp;" "&amp;Milestones!$AB$187&amp;" "&amp;Milestones!$AC$187&amp;";  ","")&amp;IF(AND(EDATE($D129,Milestones!$AA$188)&lt;=AsOfDate,IF($Q129=0,$W129,IF(AND($S129&lt;&gt;"",EDATE($D129,Milestones!$AA$188)&gt;=$S129),$V129,IF(AND($R129&lt;&gt;"",EDATE($D129,Milestones!$AA$188)&gt;=$R129),$U129,$T129)))=Milestones!$AB$188),TEXT(EDATE($D129,Milestones!$AA$188),"dd/mm/yy")&amp;" "&amp;Milestones!$AB$188&amp;" "&amp;Milestones!$AC$188&amp;";  ","")&amp;IF(AND(EDATE($D129,Milestones!$AA$189)&lt;=AsOfDate,IF($Q129=0,$W129,IF(AND($S129&lt;&gt;"",EDATE($D129,Milestones!$AA$189)&gt;=$S129),$V129,IF(AND($R129&lt;&gt;"",EDATE($D129,Milestones!$AA$189)&gt;=$R129),$U129,$T129)))=Milestones!$AB$189),TEXT(EDATE($D129,Milestones!$AA$189),"dd/mm/yy")&amp;" "&amp;Milestones!$AB$189&amp;" "&amp;Milestones!$AC$189&amp;";  ","")&amp;IF(AND(EDATE($D129,Milestones!$AA$190)&lt;=AsOfDate,IF($Q129=0,$W129,IF(AND($S129&lt;&gt;"",EDATE($D129,Milestones!$AA$190)&gt;=$S129),$V129,IF(AND($R129&lt;&gt;"",EDATE($D129,Milestones!$AA$190)&gt;=$R129),$U129,$T129)))=Milestones!$AB$190),TEXT(EDATE($D129,Milestones!$AA$190),"dd/mm/yy")&amp;" "&amp;Milestones!$AB$190&amp;" "&amp;Milestones!$AC$190&amp;";  ","")&amp;IF(AND(EDATE($D129,Milestones!$AA$191)&lt;=AsOfDate,IF($Q129=0,$W129,IF(AND($S129&lt;&gt;"",EDATE($D129,Milestones!$AA$191)&gt;=$S129),$V129,IF(AND($R129&lt;&gt;"",EDATE($D129,Milestones!$AA$191)&gt;=$R129),$U129,$T129)))=Milestones!$AB$191),TEXT(EDATE($D129,Milestones!$AA$191),"dd/mm/yy")&amp;" "&amp;Milestones!$AB$191&amp;" "&amp;Milestones!$AC$191&amp;";  ","")&amp;IF(AND(EDATE($D129,Milestones!$AA$192)&lt;=AsOfDate,IF($Q129=0,$W129,IF(AND($S129&lt;&gt;"",EDATE($D129,Milestones!$AA$192)&gt;=$S129),$V129,IF(AND($R129&lt;&gt;"",EDATE($D129,Milestones!$AA$192)&gt;=$R129),$U129,$T129)))=Milestones!$AB$192),TEXT(EDATE($D129,Milestones!$AA$192),"dd/mm/yy")&amp;" "&amp;Milestones!$AB$192&amp;" "&amp;Milestones!$AC$192&amp;";  ","")&amp;IF(AND(EDATE($D129,Milestones!$AA$193)&lt;=AsOfDate,IF($Q129=0,$W129,IF(AND($S129&lt;&gt;"",EDATE($D129,Milestones!$AA$193)&gt;=$S129),$V129,IF(AND($R129&lt;&gt;"",EDATE($D129,Milestones!$AA$193)&gt;=$R129),$U129,$T129)))=Milestones!$AB$193),TEXT(EDATE($D129,Milestones!$AA$193),"dd/mm/yy")&amp;" "&amp;Milestones!$AB$193&amp;" "&amp;Milestones!$AC$193&amp;";  ","")&amp;IF(AND(EDATE($D129,Milestones!$AA$194)&lt;=AsOfDate,IF($Q129=0,$W129,IF(AND($S129&lt;&gt;"",EDATE($D129,Milestones!$AA$194)&gt;=$S129),$V129,IF(AND($R129&lt;&gt;"",EDATE($D129,Milestones!$AA$194)&gt;=$R129),$U129,$T129)))=Milestones!$AB$194),TEXT(EDATE($D129,Milestones!$AA$194),"dd/mm/yy")&amp;" "&amp;Milestones!$AB$194&amp;" "&amp;Milestones!$AC$194&amp;";  ","")&amp;IF(AND(EDATE($D129,Milestones!$AA$195)&lt;=AsOfDate,IF($Q129=0,$W129,IF(AND($S129&lt;&gt;"",EDATE($D129,Milestones!$AA$195)&gt;=$S129),$V129,IF(AND($R129&lt;&gt;"",EDATE($D129,Milestones!$AA$195)&gt;=$R129),$U129,$T129)))=Milestones!$AB$195),TEXT(EDATE($D129,Milestones!$AA$195),"dd/mm/yy")&amp;" "&amp;Milestones!$AB$195&amp;" "&amp;Milestones!$AC$195&amp;";  ","")&amp;IF(AND(EDATE($D129,Milestones!$AA$196)&lt;=AsOfDate,IF($Q129=0,$W129,IF(AND($S129&lt;&gt;"",EDATE($D129,Milestones!$AA$196)&gt;=$S129),$V129,IF(AND($R129&lt;&gt;"",EDATE($D129,Milestones!$AA$196)&gt;=$R129),$U129,$T129)))=Milestones!$AB$196),TEXT(EDATE($D129,Milestones!$AA$196),"dd/mm/yy")&amp;" "&amp;Milestones!$AB$196&amp;" "&amp;Milestones!$AC$196&amp;";  ","")&amp;IF(AND(EDATE($D129,Milestones!$AA$197)&lt;=AsOfDate,IF($Q129=0,$W129,IF(AND($S129&lt;&gt;"",EDATE($D129,Milestones!$AA$197)&gt;=$S129),$V129,IF(AND($R129&lt;&gt;"",EDATE($D129,Milestones!$AA$197)&gt;=$R129),$U129,$T129)))=Milestones!$AB$197),TEXT(EDATE($D129,Milestones!$AA$197),"dd/mm/yy")&amp;" "&amp;Milestones!$AB$197&amp;" "&amp;Milestones!$AC$197&amp;";  ","")&amp;IF(AND(EDATE($D129,Milestones!$AA$198)&lt;=AsOfDate,IF($Q129=0,$W129,IF(AND($S129&lt;&gt;"",EDATE($D129,Milestones!$AA$198)&gt;=$S129),$V129,IF(AND($R129&lt;&gt;"",EDATE($D129,Milestones!$AA$198)&gt;=$R129),$U129,$T129)))=Milestones!$AB$198),TEXT(EDATE($D129,Milestones!$AA$198),"dd/mm/yy")&amp;" "&amp;Milestones!$AB$198&amp;" "&amp;Milestones!$AC$198&amp;";  ","")&amp;IF(AND(EDATE($D129,Milestones!$AA$199)&lt;=AsOfDate,IF($Q129=0,$W129,IF(AND($S129&lt;&gt;"",EDATE($D129,Milestones!$AA$199)&gt;=$S129),$V129,IF(AND($R129&lt;&gt;"",EDATE($D129,Milestones!$AA$199)&gt;=$R129),$U129,$T129)))=Milestones!$AB$199),TEXT(EDATE($D129,Milestones!$AA$199),"dd/mm/yy")&amp;" "&amp;Milestones!$AB$199&amp;" "&amp;Milestones!$AC$199&amp;";  ",""))</f>
        <v/>
      </c>
      <c r="Q129" s="0" t="str">
        <f aca="false">IF(Staff!$A129="","",Staff!$AG129)</f>
        <v/>
      </c>
      <c r="R129" s="0" t="str">
        <f aca="false">IF(Staff!$A129="","",Staff!$AI129)</f>
        <v/>
      </c>
      <c r="S129" s="0" t="str">
        <f aca="false">IF(Staff!$A129="","",Staff!$AJ129)</f>
        <v/>
      </c>
      <c r="T129" s="0" t="str">
        <f aca="false">IF(Staff!$A129="","",Staff!$AN129)</f>
        <v/>
      </c>
      <c r="U129" s="0" t="str">
        <f aca="false">IF(Staff!$A129="","",Staff!$AO129)</f>
        <v/>
      </c>
      <c r="V129" s="0" t="str">
        <f aca="false">IF(Staff!$A129="","",Staff!$AP129)</f>
        <v/>
      </c>
      <c r="W129" s="0" t="str">
        <f aca="false">IF(Staff!$A129="","",Staff!$AQ129)</f>
        <v/>
      </c>
    </row>
    <row r="130" customFormat="false" ht="15" hidden="false" customHeight="false" outlineLevel="0" collapsed="false">
      <c r="A130" s="13" t="str">
        <f aca="false">IF(Staff!$A130="","",Staff!$A130)</f>
        <v/>
      </c>
      <c r="B130" s="13" t="str">
        <f aca="false">IF(Staff!$A130="","",Staff!$B130)</f>
        <v/>
      </c>
      <c r="C130" s="13" t="str">
        <f aca="false">IF(Staff!$A130="","",Staff!$C130)</f>
        <v/>
      </c>
      <c r="D130" s="11" t="str">
        <f aca="false">IF(Staff!$A130="","",Staff!$AF130)</f>
        <v/>
      </c>
      <c r="E130" s="13" t="str">
        <f aca="false">IF(Staff!$A130="","",Staff!$O130)</f>
        <v/>
      </c>
      <c r="F130" s="13" t="str">
        <f aca="false">IF(E130="","",E130*HoursPerDay)</f>
        <v/>
      </c>
      <c r="G130" s="26" t="str">
        <f aca="false">IF($A130="","",H130&amp;I130&amp;J130&amp;K130&amp;L130&amp;M130&amp;N130&amp;O130&amp;P130)</f>
        <v/>
      </c>
      <c r="H130" s="0" t="str">
        <f aca="false">IF(OR($A130="",$D130=""),"",IF(AND(EDATE($D130,Milestones!$AA$20)&lt;=AsOfDate,IF($Q130=0,$W130,IF(AND($S130&lt;&gt;"",EDATE($D130,Milestones!$AA$20)&gt;=$S130),$V130,IF(AND($R130&lt;&gt;"",EDATE($D130,Milestones!$AA$20)&gt;=$R130),$U130,$T130)))=Milestones!$AB$20),TEXT(EDATE($D130,Milestones!$AA$20),"dd/mm/yy")&amp;" "&amp;Milestones!$AB$20&amp;" "&amp;Milestones!$AC$20&amp;";  ","")&amp;IF(AND(EDATE($D130,Milestones!$AA$21)&lt;=AsOfDate,IF($Q130=0,$W130,IF(AND($S130&lt;&gt;"",EDATE($D130,Milestones!$AA$21)&gt;=$S130),$V130,IF(AND($R130&lt;&gt;"",EDATE($D130,Milestones!$AA$21)&gt;=$R130),$U130,$T130)))=Milestones!$AB$21),TEXT(EDATE($D130,Milestones!$AA$21),"dd/mm/yy")&amp;" "&amp;Milestones!$AB$21&amp;" "&amp;Milestones!$AC$21&amp;";  ","")&amp;IF(AND(EDATE($D130,Milestones!$AA$22)&lt;=AsOfDate,IF($Q130=0,$W130,IF(AND($S130&lt;&gt;"",EDATE($D130,Milestones!$AA$22)&gt;=$S130),$V130,IF(AND($R130&lt;&gt;"",EDATE($D130,Milestones!$AA$22)&gt;=$R130),$U130,$T130)))=Milestones!$AB$22),TEXT(EDATE($D130,Milestones!$AA$22),"dd/mm/yy")&amp;" "&amp;Milestones!$AB$22&amp;" "&amp;Milestones!$AC$22&amp;";  ","")&amp;IF(AND(EDATE($D130,Milestones!$AA$23)&lt;=AsOfDate,IF($Q130=0,$W130,IF(AND($S130&lt;&gt;"",EDATE($D130,Milestones!$AA$23)&gt;=$S130),$V130,IF(AND($R130&lt;&gt;"",EDATE($D130,Milestones!$AA$23)&gt;=$R130),$U130,$T130)))=Milestones!$AB$23),TEXT(EDATE($D130,Milestones!$AA$23),"dd/mm/yy")&amp;" "&amp;Milestones!$AB$23&amp;" "&amp;Milestones!$AC$23&amp;";  ","")&amp;IF(AND(EDATE($D130,Milestones!$AA$24)&lt;=AsOfDate,IF($Q130=0,$W130,IF(AND($S130&lt;&gt;"",EDATE($D130,Milestones!$AA$24)&gt;=$S130),$V130,IF(AND($R130&lt;&gt;"",EDATE($D130,Milestones!$AA$24)&gt;=$R130),$U130,$T130)))=Milestones!$AB$24),TEXT(EDATE($D130,Milestones!$AA$24),"dd/mm/yy")&amp;" "&amp;Milestones!$AB$24&amp;" "&amp;Milestones!$AC$24&amp;";  ","")&amp;IF(AND(EDATE($D130,Milestones!$AA$25)&lt;=AsOfDate,IF($Q130=0,$W130,IF(AND($S130&lt;&gt;"",EDATE($D130,Milestones!$AA$25)&gt;=$S130),$V130,IF(AND($R130&lt;&gt;"",EDATE($D130,Milestones!$AA$25)&gt;=$R130),$U130,$T130)))=Milestones!$AB$25),TEXT(EDATE($D130,Milestones!$AA$25),"dd/mm/yy")&amp;" "&amp;Milestones!$AB$25&amp;" "&amp;Milestones!$AC$25&amp;";  ","")&amp;IF(AND(EDATE($D130,Milestones!$AA$26)&lt;=AsOfDate,IF($Q130=0,$W130,IF(AND($S130&lt;&gt;"",EDATE($D130,Milestones!$AA$26)&gt;=$S130),$V130,IF(AND($R130&lt;&gt;"",EDATE($D130,Milestones!$AA$26)&gt;=$R130),$U130,$T130)))=Milestones!$AB$26),TEXT(EDATE($D130,Milestones!$AA$26),"dd/mm/yy")&amp;" "&amp;Milestones!$AB$26&amp;" "&amp;Milestones!$AC$26&amp;";  ","")&amp;IF(AND(EDATE($D130,Milestones!$AA$27)&lt;=AsOfDate,IF($Q130=0,$W130,IF(AND($S130&lt;&gt;"",EDATE($D130,Milestones!$AA$27)&gt;=$S130),$V130,IF(AND($R130&lt;&gt;"",EDATE($D130,Milestones!$AA$27)&gt;=$R130),$U130,$T130)))=Milestones!$AB$27),TEXT(EDATE($D130,Milestones!$AA$27),"dd/mm/yy")&amp;" "&amp;Milestones!$AB$27&amp;" "&amp;Milestones!$AC$27&amp;";  ","")&amp;IF(AND(EDATE($D130,Milestones!$AA$28)&lt;=AsOfDate,IF($Q130=0,$W130,IF(AND($S130&lt;&gt;"",EDATE($D130,Milestones!$AA$28)&gt;=$S130),$V130,IF(AND($R130&lt;&gt;"",EDATE($D130,Milestones!$AA$28)&gt;=$R130),$U130,$T130)))=Milestones!$AB$28),TEXT(EDATE($D130,Milestones!$AA$28),"dd/mm/yy")&amp;" "&amp;Milestones!$AB$28&amp;" "&amp;Milestones!$AC$28&amp;";  ","")&amp;IF(AND(EDATE($D130,Milestones!$AA$29)&lt;=AsOfDate,IF($Q130=0,$W130,IF(AND($S130&lt;&gt;"",EDATE($D130,Milestones!$AA$29)&gt;=$S130),$V130,IF(AND($R130&lt;&gt;"",EDATE($D130,Milestones!$AA$29)&gt;=$R130),$U130,$T130)))=Milestones!$AB$29),TEXT(EDATE($D130,Milestones!$AA$29),"dd/mm/yy")&amp;" "&amp;Milestones!$AB$29&amp;" "&amp;Milestones!$AC$29&amp;";  ","")&amp;IF(AND(EDATE($D130,Milestones!$AA$30)&lt;=AsOfDate,IF($Q130=0,$W130,IF(AND($S130&lt;&gt;"",EDATE($D130,Milestones!$AA$30)&gt;=$S130),$V130,IF(AND($R130&lt;&gt;"",EDATE($D130,Milestones!$AA$30)&gt;=$R130),$U130,$T130)))=Milestones!$AB$30),TEXT(EDATE($D130,Milestones!$AA$30),"dd/mm/yy")&amp;" "&amp;Milestones!$AB$30&amp;" "&amp;Milestones!$AC$30&amp;";  ","")&amp;IF(AND(EDATE($D130,Milestones!$AA$31)&lt;=AsOfDate,IF($Q130=0,$W130,IF(AND($S130&lt;&gt;"",EDATE($D130,Milestones!$AA$31)&gt;=$S130),$V130,IF(AND($R130&lt;&gt;"",EDATE($D130,Milestones!$AA$31)&gt;=$R130),$U130,$T130)))=Milestones!$AB$31),TEXT(EDATE($D130,Milestones!$AA$31),"dd/mm/yy")&amp;" "&amp;Milestones!$AB$31&amp;" "&amp;Milestones!$AC$31&amp;";  ","")&amp;IF(AND(EDATE($D130,Milestones!$AA$32)&lt;=AsOfDate,IF($Q130=0,$W130,IF(AND($S130&lt;&gt;"",EDATE($D130,Milestones!$AA$32)&gt;=$S130),$V130,IF(AND($R130&lt;&gt;"",EDATE($D130,Milestones!$AA$32)&gt;=$R130),$U130,$T130)))=Milestones!$AB$32),TEXT(EDATE($D130,Milestones!$AA$32),"dd/mm/yy")&amp;" "&amp;Milestones!$AB$32&amp;" "&amp;Milestones!$AC$32&amp;";  ","")&amp;IF(AND(EDATE($D130,Milestones!$AA$33)&lt;=AsOfDate,IF($Q130=0,$W130,IF(AND($S130&lt;&gt;"",EDATE($D130,Milestones!$AA$33)&gt;=$S130),$V130,IF(AND($R130&lt;&gt;"",EDATE($D130,Milestones!$AA$33)&gt;=$R130),$U130,$T130)))=Milestones!$AB$33),TEXT(EDATE($D130,Milestones!$AA$33),"dd/mm/yy")&amp;" "&amp;Milestones!$AB$33&amp;" "&amp;Milestones!$AC$33&amp;";  ","")&amp;IF(AND(EDATE($D130,Milestones!$AA$34)&lt;=AsOfDate,IF($Q130=0,$W130,IF(AND($S130&lt;&gt;"",EDATE($D130,Milestones!$AA$34)&gt;=$S130),$V130,IF(AND($R130&lt;&gt;"",EDATE($D130,Milestones!$AA$34)&gt;=$R130),$U130,$T130)))=Milestones!$AB$34),TEXT(EDATE($D130,Milestones!$AA$34),"dd/mm/yy")&amp;" "&amp;Milestones!$AB$34&amp;" "&amp;Milestones!$AC$34&amp;";  ","")&amp;IF(AND(EDATE($D130,Milestones!$AA$35)&lt;=AsOfDate,IF($Q130=0,$W130,IF(AND($S130&lt;&gt;"",EDATE($D130,Milestones!$AA$35)&gt;=$S130),$V130,IF(AND($R130&lt;&gt;"",EDATE($D130,Milestones!$AA$35)&gt;=$R130),$U130,$T130)))=Milestones!$AB$35),TEXT(EDATE($D130,Milestones!$AA$35),"dd/mm/yy")&amp;" "&amp;Milestones!$AB$35&amp;" "&amp;Milestones!$AC$35&amp;";  ","")&amp;IF(AND(EDATE($D130,Milestones!$AA$36)&lt;=AsOfDate,IF($Q130=0,$W130,IF(AND($S130&lt;&gt;"",EDATE($D130,Milestones!$AA$36)&gt;=$S130),$V130,IF(AND($R130&lt;&gt;"",EDATE($D130,Milestones!$AA$36)&gt;=$R130),$U130,$T130)))=Milestones!$AB$36),TEXT(EDATE($D130,Milestones!$AA$36),"dd/mm/yy")&amp;" "&amp;Milestones!$AB$36&amp;" "&amp;Milestones!$AC$36&amp;";  ","")&amp;IF(AND(EDATE($D130,Milestones!$AA$37)&lt;=AsOfDate,IF($Q130=0,$W130,IF(AND($S130&lt;&gt;"",EDATE($D130,Milestones!$AA$37)&gt;=$S130),$V130,IF(AND($R130&lt;&gt;"",EDATE($D130,Milestones!$AA$37)&gt;=$R130),$U130,$T130)))=Milestones!$AB$37),TEXT(EDATE($D130,Milestones!$AA$37),"dd/mm/yy")&amp;" "&amp;Milestones!$AB$37&amp;" "&amp;Milestones!$AC$37&amp;";  ","")&amp;IF(AND(EDATE($D130,Milestones!$AA$38)&lt;=AsOfDate,IF($Q130=0,$W130,IF(AND($S130&lt;&gt;"",EDATE($D130,Milestones!$AA$38)&gt;=$S130),$V130,IF(AND($R130&lt;&gt;"",EDATE($D130,Milestones!$AA$38)&gt;=$R130),$U130,$T130)))=Milestones!$AB$38),TEXT(EDATE($D130,Milestones!$AA$38),"dd/mm/yy")&amp;" "&amp;Milestones!$AB$38&amp;" "&amp;Milestones!$AC$38&amp;";  ","")&amp;IF(AND(EDATE($D130,Milestones!$AA$39)&lt;=AsOfDate,IF($Q130=0,$W130,IF(AND($S130&lt;&gt;"",EDATE($D130,Milestones!$AA$39)&gt;=$S130),$V130,IF(AND($R130&lt;&gt;"",EDATE($D130,Milestones!$AA$39)&gt;=$R130),$U130,$T130)))=Milestones!$AB$39),TEXT(EDATE($D130,Milestones!$AA$39),"dd/mm/yy")&amp;" "&amp;Milestones!$AB$39&amp;" "&amp;Milestones!$AC$39&amp;";  ",""))</f>
        <v/>
      </c>
      <c r="I130" s="0" t="str">
        <f aca="false">IF(OR($A130="",$D130=""),"",IF(AND(EDATE($D130,Milestones!$AA$40)&lt;=AsOfDate,IF($Q130=0,$W130,IF(AND($S130&lt;&gt;"",EDATE($D130,Milestones!$AA$40)&gt;=$S130),$V130,IF(AND($R130&lt;&gt;"",EDATE($D130,Milestones!$AA$40)&gt;=$R130),$U130,$T130)))=Milestones!$AB$40),TEXT(EDATE($D130,Milestones!$AA$40),"dd/mm/yy")&amp;" "&amp;Milestones!$AB$40&amp;" "&amp;Milestones!$AC$40&amp;";  ","")&amp;IF(AND(EDATE($D130,Milestones!$AA$41)&lt;=AsOfDate,IF($Q130=0,$W130,IF(AND($S130&lt;&gt;"",EDATE($D130,Milestones!$AA$41)&gt;=$S130),$V130,IF(AND($R130&lt;&gt;"",EDATE($D130,Milestones!$AA$41)&gt;=$R130),$U130,$T130)))=Milestones!$AB$41),TEXT(EDATE($D130,Milestones!$AA$41),"dd/mm/yy")&amp;" "&amp;Milestones!$AB$41&amp;" "&amp;Milestones!$AC$41&amp;";  ","")&amp;IF(AND(EDATE($D130,Milestones!$AA$42)&lt;=AsOfDate,IF($Q130=0,$W130,IF(AND($S130&lt;&gt;"",EDATE($D130,Milestones!$AA$42)&gt;=$S130),$V130,IF(AND($R130&lt;&gt;"",EDATE($D130,Milestones!$AA$42)&gt;=$R130),$U130,$T130)))=Milestones!$AB$42),TEXT(EDATE($D130,Milestones!$AA$42),"dd/mm/yy")&amp;" "&amp;Milestones!$AB$42&amp;" "&amp;Milestones!$AC$42&amp;";  ","")&amp;IF(AND(EDATE($D130,Milestones!$AA$43)&lt;=AsOfDate,IF($Q130=0,$W130,IF(AND($S130&lt;&gt;"",EDATE($D130,Milestones!$AA$43)&gt;=$S130),$V130,IF(AND($R130&lt;&gt;"",EDATE($D130,Milestones!$AA$43)&gt;=$R130),$U130,$T130)))=Milestones!$AB$43),TEXT(EDATE($D130,Milestones!$AA$43),"dd/mm/yy")&amp;" "&amp;Milestones!$AB$43&amp;" "&amp;Milestones!$AC$43&amp;";  ","")&amp;IF(AND(EDATE($D130,Milestones!$AA$44)&lt;=AsOfDate,IF($Q130=0,$W130,IF(AND($S130&lt;&gt;"",EDATE($D130,Milestones!$AA$44)&gt;=$S130),$V130,IF(AND($R130&lt;&gt;"",EDATE($D130,Milestones!$AA$44)&gt;=$R130),$U130,$T130)))=Milestones!$AB$44),TEXT(EDATE($D130,Milestones!$AA$44),"dd/mm/yy")&amp;" "&amp;Milestones!$AB$44&amp;" "&amp;Milestones!$AC$44&amp;";  ","")&amp;IF(AND(EDATE($D130,Milestones!$AA$45)&lt;=AsOfDate,IF($Q130=0,$W130,IF(AND($S130&lt;&gt;"",EDATE($D130,Milestones!$AA$45)&gt;=$S130),$V130,IF(AND($R130&lt;&gt;"",EDATE($D130,Milestones!$AA$45)&gt;=$R130),$U130,$T130)))=Milestones!$AB$45),TEXT(EDATE($D130,Milestones!$AA$45),"dd/mm/yy")&amp;" "&amp;Milestones!$AB$45&amp;" "&amp;Milestones!$AC$45&amp;";  ","")&amp;IF(AND(EDATE($D130,Milestones!$AA$46)&lt;=AsOfDate,IF($Q130=0,$W130,IF(AND($S130&lt;&gt;"",EDATE($D130,Milestones!$AA$46)&gt;=$S130),$V130,IF(AND($R130&lt;&gt;"",EDATE($D130,Milestones!$AA$46)&gt;=$R130),$U130,$T130)))=Milestones!$AB$46),TEXT(EDATE($D130,Milestones!$AA$46),"dd/mm/yy")&amp;" "&amp;Milestones!$AB$46&amp;" "&amp;Milestones!$AC$46&amp;";  ","")&amp;IF(AND(EDATE($D130,Milestones!$AA$47)&lt;=AsOfDate,IF($Q130=0,$W130,IF(AND($S130&lt;&gt;"",EDATE($D130,Milestones!$AA$47)&gt;=$S130),$V130,IF(AND($R130&lt;&gt;"",EDATE($D130,Milestones!$AA$47)&gt;=$R130),$U130,$T130)))=Milestones!$AB$47),TEXT(EDATE($D130,Milestones!$AA$47),"dd/mm/yy")&amp;" "&amp;Milestones!$AB$47&amp;" "&amp;Milestones!$AC$47&amp;";  ","")&amp;IF(AND(EDATE($D130,Milestones!$AA$48)&lt;=AsOfDate,IF($Q130=0,$W130,IF(AND($S130&lt;&gt;"",EDATE($D130,Milestones!$AA$48)&gt;=$S130),$V130,IF(AND($R130&lt;&gt;"",EDATE($D130,Milestones!$AA$48)&gt;=$R130),$U130,$T130)))=Milestones!$AB$48),TEXT(EDATE($D130,Milestones!$AA$48),"dd/mm/yy")&amp;" "&amp;Milestones!$AB$48&amp;" "&amp;Milestones!$AC$48&amp;";  ","")&amp;IF(AND(EDATE($D130,Milestones!$AA$49)&lt;=AsOfDate,IF($Q130=0,$W130,IF(AND($S130&lt;&gt;"",EDATE($D130,Milestones!$AA$49)&gt;=$S130),$V130,IF(AND($R130&lt;&gt;"",EDATE($D130,Milestones!$AA$49)&gt;=$R130),$U130,$T130)))=Milestones!$AB$49),TEXT(EDATE($D130,Milestones!$AA$49),"dd/mm/yy")&amp;" "&amp;Milestones!$AB$49&amp;" "&amp;Milestones!$AC$49&amp;";  ","")&amp;IF(AND(EDATE($D130,Milestones!$AA$50)&lt;=AsOfDate,IF($Q130=0,$W130,IF(AND($S130&lt;&gt;"",EDATE($D130,Milestones!$AA$50)&gt;=$S130),$V130,IF(AND($R130&lt;&gt;"",EDATE($D130,Milestones!$AA$50)&gt;=$R130),$U130,$T130)))=Milestones!$AB$50),TEXT(EDATE($D130,Milestones!$AA$50),"dd/mm/yy")&amp;" "&amp;Milestones!$AB$50&amp;" "&amp;Milestones!$AC$50&amp;";  ","")&amp;IF(AND(EDATE($D130,Milestones!$AA$51)&lt;=AsOfDate,IF($Q130=0,$W130,IF(AND($S130&lt;&gt;"",EDATE($D130,Milestones!$AA$51)&gt;=$S130),$V130,IF(AND($R130&lt;&gt;"",EDATE($D130,Milestones!$AA$51)&gt;=$R130),$U130,$T130)))=Milestones!$AB$51),TEXT(EDATE($D130,Milestones!$AA$51),"dd/mm/yy")&amp;" "&amp;Milestones!$AB$51&amp;" "&amp;Milestones!$AC$51&amp;";  ","")&amp;IF(AND(EDATE($D130,Milestones!$AA$52)&lt;=AsOfDate,IF($Q130=0,$W130,IF(AND($S130&lt;&gt;"",EDATE($D130,Milestones!$AA$52)&gt;=$S130),$V130,IF(AND($R130&lt;&gt;"",EDATE($D130,Milestones!$AA$52)&gt;=$R130),$U130,$T130)))=Milestones!$AB$52),TEXT(EDATE($D130,Milestones!$AA$52),"dd/mm/yy")&amp;" "&amp;Milestones!$AB$52&amp;" "&amp;Milestones!$AC$52&amp;";  ","")&amp;IF(AND(EDATE($D130,Milestones!$AA$53)&lt;=AsOfDate,IF($Q130=0,$W130,IF(AND($S130&lt;&gt;"",EDATE($D130,Milestones!$AA$53)&gt;=$S130),$V130,IF(AND($R130&lt;&gt;"",EDATE($D130,Milestones!$AA$53)&gt;=$R130),$U130,$T130)))=Milestones!$AB$53),TEXT(EDATE($D130,Milestones!$AA$53),"dd/mm/yy")&amp;" "&amp;Milestones!$AB$53&amp;" "&amp;Milestones!$AC$53&amp;";  ","")&amp;IF(AND(EDATE($D130,Milestones!$AA$54)&lt;=AsOfDate,IF($Q130=0,$W130,IF(AND($S130&lt;&gt;"",EDATE($D130,Milestones!$AA$54)&gt;=$S130),$V130,IF(AND($R130&lt;&gt;"",EDATE($D130,Milestones!$AA$54)&gt;=$R130),$U130,$T130)))=Milestones!$AB$54),TEXT(EDATE($D130,Milestones!$AA$54),"dd/mm/yy")&amp;" "&amp;Milestones!$AB$54&amp;" "&amp;Milestones!$AC$54&amp;";  ","")&amp;IF(AND(EDATE($D130,Milestones!$AA$55)&lt;=AsOfDate,IF($Q130=0,$W130,IF(AND($S130&lt;&gt;"",EDATE($D130,Milestones!$AA$55)&gt;=$S130),$V130,IF(AND($R130&lt;&gt;"",EDATE($D130,Milestones!$AA$55)&gt;=$R130),$U130,$T130)))=Milestones!$AB$55),TEXT(EDATE($D130,Milestones!$AA$55),"dd/mm/yy")&amp;" "&amp;Milestones!$AB$55&amp;" "&amp;Milestones!$AC$55&amp;";  ","")&amp;IF(AND(EDATE($D130,Milestones!$AA$56)&lt;=AsOfDate,IF($Q130=0,$W130,IF(AND($S130&lt;&gt;"",EDATE($D130,Milestones!$AA$56)&gt;=$S130),$V130,IF(AND($R130&lt;&gt;"",EDATE($D130,Milestones!$AA$56)&gt;=$R130),$U130,$T130)))=Milestones!$AB$56),TEXT(EDATE($D130,Milestones!$AA$56),"dd/mm/yy")&amp;" "&amp;Milestones!$AB$56&amp;" "&amp;Milestones!$AC$56&amp;";  ","")&amp;IF(AND(EDATE($D130,Milestones!$AA$57)&lt;=AsOfDate,IF($Q130=0,$W130,IF(AND($S130&lt;&gt;"",EDATE($D130,Milestones!$AA$57)&gt;=$S130),$V130,IF(AND($R130&lt;&gt;"",EDATE($D130,Milestones!$AA$57)&gt;=$R130),$U130,$T130)))=Milestones!$AB$57),TEXT(EDATE($D130,Milestones!$AA$57),"dd/mm/yy")&amp;" "&amp;Milestones!$AB$57&amp;" "&amp;Milestones!$AC$57&amp;";  ","")&amp;IF(AND(EDATE($D130,Milestones!$AA$58)&lt;=AsOfDate,IF($Q130=0,$W130,IF(AND($S130&lt;&gt;"",EDATE($D130,Milestones!$AA$58)&gt;=$S130),$V130,IF(AND($R130&lt;&gt;"",EDATE($D130,Milestones!$AA$58)&gt;=$R130),$U130,$T130)))=Milestones!$AB$58),TEXT(EDATE($D130,Milestones!$AA$58),"dd/mm/yy")&amp;" "&amp;Milestones!$AB$58&amp;" "&amp;Milestones!$AC$58&amp;";  ","")&amp;IF(AND(EDATE($D130,Milestones!$AA$59)&lt;=AsOfDate,IF($Q130=0,$W130,IF(AND($S130&lt;&gt;"",EDATE($D130,Milestones!$AA$59)&gt;=$S130),$V130,IF(AND($R130&lt;&gt;"",EDATE($D130,Milestones!$AA$59)&gt;=$R130),$U130,$T130)))=Milestones!$AB$59),TEXT(EDATE($D130,Milestones!$AA$59),"dd/mm/yy")&amp;" "&amp;Milestones!$AB$59&amp;" "&amp;Milestones!$AC$59&amp;";  ",""))</f>
        <v/>
      </c>
      <c r="J130" s="0" t="str">
        <f aca="false">IF(OR($A130="",$D130=""),"",IF(AND(EDATE($D130,Milestones!$AA$60)&lt;=AsOfDate,IF($Q130=0,$W130,IF(AND($S130&lt;&gt;"",EDATE($D130,Milestones!$AA$60)&gt;=$S130),$V130,IF(AND($R130&lt;&gt;"",EDATE($D130,Milestones!$AA$60)&gt;=$R130),$U130,$T130)))=Milestones!$AB$60),TEXT(EDATE($D130,Milestones!$AA$60),"dd/mm/yy")&amp;" "&amp;Milestones!$AB$60&amp;" "&amp;Milestones!$AC$60&amp;";  ","")&amp;IF(AND(EDATE($D130,Milestones!$AA$61)&lt;=AsOfDate,IF($Q130=0,$W130,IF(AND($S130&lt;&gt;"",EDATE($D130,Milestones!$AA$61)&gt;=$S130),$V130,IF(AND($R130&lt;&gt;"",EDATE($D130,Milestones!$AA$61)&gt;=$R130),$U130,$T130)))=Milestones!$AB$61),TEXT(EDATE($D130,Milestones!$AA$61),"dd/mm/yy")&amp;" "&amp;Milestones!$AB$61&amp;" "&amp;Milestones!$AC$61&amp;";  ","")&amp;IF(AND(EDATE($D130,Milestones!$AA$62)&lt;=AsOfDate,IF($Q130=0,$W130,IF(AND($S130&lt;&gt;"",EDATE($D130,Milestones!$AA$62)&gt;=$S130),$V130,IF(AND($R130&lt;&gt;"",EDATE($D130,Milestones!$AA$62)&gt;=$R130),$U130,$T130)))=Milestones!$AB$62),TEXT(EDATE($D130,Milestones!$AA$62),"dd/mm/yy")&amp;" "&amp;Milestones!$AB$62&amp;" "&amp;Milestones!$AC$62&amp;";  ","")&amp;IF(AND(EDATE($D130,Milestones!$AA$63)&lt;=AsOfDate,IF($Q130=0,$W130,IF(AND($S130&lt;&gt;"",EDATE($D130,Milestones!$AA$63)&gt;=$S130),$V130,IF(AND($R130&lt;&gt;"",EDATE($D130,Milestones!$AA$63)&gt;=$R130),$U130,$T130)))=Milestones!$AB$63),TEXT(EDATE($D130,Milestones!$AA$63),"dd/mm/yy")&amp;" "&amp;Milestones!$AB$63&amp;" "&amp;Milestones!$AC$63&amp;";  ","")&amp;IF(AND(EDATE($D130,Milestones!$AA$64)&lt;=AsOfDate,IF($Q130=0,$W130,IF(AND($S130&lt;&gt;"",EDATE($D130,Milestones!$AA$64)&gt;=$S130),$V130,IF(AND($R130&lt;&gt;"",EDATE($D130,Milestones!$AA$64)&gt;=$R130),$U130,$T130)))=Milestones!$AB$64),TEXT(EDATE($D130,Milestones!$AA$64),"dd/mm/yy")&amp;" "&amp;Milestones!$AB$64&amp;" "&amp;Milestones!$AC$64&amp;";  ","")&amp;IF(AND(EDATE($D130,Milestones!$AA$65)&lt;=AsOfDate,IF($Q130=0,$W130,IF(AND($S130&lt;&gt;"",EDATE($D130,Milestones!$AA$65)&gt;=$S130),$V130,IF(AND($R130&lt;&gt;"",EDATE($D130,Milestones!$AA$65)&gt;=$R130),$U130,$T130)))=Milestones!$AB$65),TEXT(EDATE($D130,Milestones!$AA$65),"dd/mm/yy")&amp;" "&amp;Milestones!$AB$65&amp;" "&amp;Milestones!$AC$65&amp;";  ","")&amp;IF(AND(EDATE($D130,Milestones!$AA$66)&lt;=AsOfDate,IF($Q130=0,$W130,IF(AND($S130&lt;&gt;"",EDATE($D130,Milestones!$AA$66)&gt;=$S130),$V130,IF(AND($R130&lt;&gt;"",EDATE($D130,Milestones!$AA$66)&gt;=$R130),$U130,$T130)))=Milestones!$AB$66),TEXT(EDATE($D130,Milestones!$AA$66),"dd/mm/yy")&amp;" "&amp;Milestones!$AB$66&amp;" "&amp;Milestones!$AC$66&amp;";  ","")&amp;IF(AND(EDATE($D130,Milestones!$AA$67)&lt;=AsOfDate,IF($Q130=0,$W130,IF(AND($S130&lt;&gt;"",EDATE($D130,Milestones!$AA$67)&gt;=$S130),$V130,IF(AND($R130&lt;&gt;"",EDATE($D130,Milestones!$AA$67)&gt;=$R130),$U130,$T130)))=Milestones!$AB$67),TEXT(EDATE($D130,Milestones!$AA$67),"dd/mm/yy")&amp;" "&amp;Milestones!$AB$67&amp;" "&amp;Milestones!$AC$67&amp;";  ","")&amp;IF(AND(EDATE($D130,Milestones!$AA$68)&lt;=AsOfDate,IF($Q130=0,$W130,IF(AND($S130&lt;&gt;"",EDATE($D130,Milestones!$AA$68)&gt;=$S130),$V130,IF(AND($R130&lt;&gt;"",EDATE($D130,Milestones!$AA$68)&gt;=$R130),$U130,$T130)))=Milestones!$AB$68),TEXT(EDATE($D130,Milestones!$AA$68),"dd/mm/yy")&amp;" "&amp;Milestones!$AB$68&amp;" "&amp;Milestones!$AC$68&amp;";  ","")&amp;IF(AND(EDATE($D130,Milestones!$AA$69)&lt;=AsOfDate,IF($Q130=0,$W130,IF(AND($S130&lt;&gt;"",EDATE($D130,Milestones!$AA$69)&gt;=$S130),$V130,IF(AND($R130&lt;&gt;"",EDATE($D130,Milestones!$AA$69)&gt;=$R130),$U130,$T130)))=Milestones!$AB$69),TEXT(EDATE($D130,Milestones!$AA$69),"dd/mm/yy")&amp;" "&amp;Milestones!$AB$69&amp;" "&amp;Milestones!$AC$69&amp;";  ","")&amp;IF(AND(EDATE($D130,Milestones!$AA$70)&lt;=AsOfDate,IF($Q130=0,$W130,IF(AND($S130&lt;&gt;"",EDATE($D130,Milestones!$AA$70)&gt;=$S130),$V130,IF(AND($R130&lt;&gt;"",EDATE($D130,Milestones!$AA$70)&gt;=$R130),$U130,$T130)))=Milestones!$AB$70),TEXT(EDATE($D130,Milestones!$AA$70),"dd/mm/yy")&amp;" "&amp;Milestones!$AB$70&amp;" "&amp;Milestones!$AC$70&amp;";  ","")&amp;IF(AND(EDATE($D130,Milestones!$AA$71)&lt;=AsOfDate,IF($Q130=0,$W130,IF(AND($S130&lt;&gt;"",EDATE($D130,Milestones!$AA$71)&gt;=$S130),$V130,IF(AND($R130&lt;&gt;"",EDATE($D130,Milestones!$AA$71)&gt;=$R130),$U130,$T130)))=Milestones!$AB$71),TEXT(EDATE($D130,Milestones!$AA$71),"dd/mm/yy")&amp;" "&amp;Milestones!$AB$71&amp;" "&amp;Milestones!$AC$71&amp;";  ","")&amp;IF(AND(EDATE($D130,Milestones!$AA$72)&lt;=AsOfDate,IF($Q130=0,$W130,IF(AND($S130&lt;&gt;"",EDATE($D130,Milestones!$AA$72)&gt;=$S130),$V130,IF(AND($R130&lt;&gt;"",EDATE($D130,Milestones!$AA$72)&gt;=$R130),$U130,$T130)))=Milestones!$AB$72),TEXT(EDATE($D130,Milestones!$AA$72),"dd/mm/yy")&amp;" "&amp;Milestones!$AB$72&amp;" "&amp;Milestones!$AC$72&amp;";  ","")&amp;IF(AND(EDATE($D130,Milestones!$AA$73)&lt;=AsOfDate,IF($Q130=0,$W130,IF(AND($S130&lt;&gt;"",EDATE($D130,Milestones!$AA$73)&gt;=$S130),$V130,IF(AND($R130&lt;&gt;"",EDATE($D130,Milestones!$AA$73)&gt;=$R130),$U130,$T130)))=Milestones!$AB$73),TEXT(EDATE($D130,Milestones!$AA$73),"dd/mm/yy")&amp;" "&amp;Milestones!$AB$73&amp;" "&amp;Milestones!$AC$73&amp;";  ","")&amp;IF(AND(EDATE($D130,Milestones!$AA$74)&lt;=AsOfDate,IF($Q130=0,$W130,IF(AND($S130&lt;&gt;"",EDATE($D130,Milestones!$AA$74)&gt;=$S130),$V130,IF(AND($R130&lt;&gt;"",EDATE($D130,Milestones!$AA$74)&gt;=$R130),$U130,$T130)))=Milestones!$AB$74),TEXT(EDATE($D130,Milestones!$AA$74),"dd/mm/yy")&amp;" "&amp;Milestones!$AB$74&amp;" "&amp;Milestones!$AC$74&amp;";  ","")&amp;IF(AND(EDATE($D130,Milestones!$AA$75)&lt;=AsOfDate,IF($Q130=0,$W130,IF(AND($S130&lt;&gt;"",EDATE($D130,Milestones!$AA$75)&gt;=$S130),$V130,IF(AND($R130&lt;&gt;"",EDATE($D130,Milestones!$AA$75)&gt;=$R130),$U130,$T130)))=Milestones!$AB$75),TEXT(EDATE($D130,Milestones!$AA$75),"dd/mm/yy")&amp;" "&amp;Milestones!$AB$75&amp;" "&amp;Milestones!$AC$75&amp;";  ","")&amp;IF(AND(EDATE($D130,Milestones!$AA$76)&lt;=AsOfDate,IF($Q130=0,$W130,IF(AND($S130&lt;&gt;"",EDATE($D130,Milestones!$AA$76)&gt;=$S130),$V130,IF(AND($R130&lt;&gt;"",EDATE($D130,Milestones!$AA$76)&gt;=$R130),$U130,$T130)))=Milestones!$AB$76),TEXT(EDATE($D130,Milestones!$AA$76),"dd/mm/yy")&amp;" "&amp;Milestones!$AB$76&amp;" "&amp;Milestones!$AC$76&amp;";  ","")&amp;IF(AND(EDATE($D130,Milestones!$AA$77)&lt;=AsOfDate,IF($Q130=0,$W130,IF(AND($S130&lt;&gt;"",EDATE($D130,Milestones!$AA$77)&gt;=$S130),$V130,IF(AND($R130&lt;&gt;"",EDATE($D130,Milestones!$AA$77)&gt;=$R130),$U130,$T130)))=Milestones!$AB$77),TEXT(EDATE($D130,Milestones!$AA$77),"dd/mm/yy")&amp;" "&amp;Milestones!$AB$77&amp;" "&amp;Milestones!$AC$77&amp;";  ","")&amp;IF(AND(EDATE($D130,Milestones!$AA$78)&lt;=AsOfDate,IF($Q130=0,$W130,IF(AND($S130&lt;&gt;"",EDATE($D130,Milestones!$AA$78)&gt;=$S130),$V130,IF(AND($R130&lt;&gt;"",EDATE($D130,Milestones!$AA$78)&gt;=$R130),$U130,$T130)))=Milestones!$AB$78),TEXT(EDATE($D130,Milestones!$AA$78),"dd/mm/yy")&amp;" "&amp;Milestones!$AB$78&amp;" "&amp;Milestones!$AC$78&amp;";  ","")&amp;IF(AND(EDATE($D130,Milestones!$AA$79)&lt;=AsOfDate,IF($Q130=0,$W130,IF(AND($S130&lt;&gt;"",EDATE($D130,Milestones!$AA$79)&gt;=$S130),$V130,IF(AND($R130&lt;&gt;"",EDATE($D130,Milestones!$AA$79)&gt;=$R130),$U130,$T130)))=Milestones!$AB$79),TEXT(EDATE($D130,Milestones!$AA$79),"dd/mm/yy")&amp;" "&amp;Milestones!$AB$79&amp;" "&amp;Milestones!$AC$79&amp;";  ",""))</f>
        <v/>
      </c>
      <c r="K130" s="0" t="str">
        <f aca="false">IF(OR($A130="",$D130=""),"",IF(AND(EDATE($D130,Milestones!$AA$80)&lt;=AsOfDate,IF($Q130=0,$W130,IF(AND($S130&lt;&gt;"",EDATE($D130,Milestones!$AA$80)&gt;=$S130),$V130,IF(AND($R130&lt;&gt;"",EDATE($D130,Milestones!$AA$80)&gt;=$R130),$U130,$T130)))=Milestones!$AB$80),TEXT(EDATE($D130,Milestones!$AA$80),"dd/mm/yy")&amp;" "&amp;Milestones!$AB$80&amp;" "&amp;Milestones!$AC$80&amp;";  ","")&amp;IF(AND(EDATE($D130,Milestones!$AA$81)&lt;=AsOfDate,IF($Q130=0,$W130,IF(AND($S130&lt;&gt;"",EDATE($D130,Milestones!$AA$81)&gt;=$S130),$V130,IF(AND($R130&lt;&gt;"",EDATE($D130,Milestones!$AA$81)&gt;=$R130),$U130,$T130)))=Milestones!$AB$81),TEXT(EDATE($D130,Milestones!$AA$81),"dd/mm/yy")&amp;" "&amp;Milestones!$AB$81&amp;" "&amp;Milestones!$AC$81&amp;";  ","")&amp;IF(AND(EDATE($D130,Milestones!$AA$82)&lt;=AsOfDate,IF($Q130=0,$W130,IF(AND($S130&lt;&gt;"",EDATE($D130,Milestones!$AA$82)&gt;=$S130),$V130,IF(AND($R130&lt;&gt;"",EDATE($D130,Milestones!$AA$82)&gt;=$R130),$U130,$T130)))=Milestones!$AB$82),TEXT(EDATE($D130,Milestones!$AA$82),"dd/mm/yy")&amp;" "&amp;Milestones!$AB$82&amp;" "&amp;Milestones!$AC$82&amp;";  ","")&amp;IF(AND(EDATE($D130,Milestones!$AA$83)&lt;=AsOfDate,IF($Q130=0,$W130,IF(AND($S130&lt;&gt;"",EDATE($D130,Milestones!$AA$83)&gt;=$S130),$V130,IF(AND($R130&lt;&gt;"",EDATE($D130,Milestones!$AA$83)&gt;=$R130),$U130,$T130)))=Milestones!$AB$83),TEXT(EDATE($D130,Milestones!$AA$83),"dd/mm/yy")&amp;" "&amp;Milestones!$AB$83&amp;" "&amp;Milestones!$AC$83&amp;";  ","")&amp;IF(AND(EDATE($D130,Milestones!$AA$84)&lt;=AsOfDate,IF($Q130=0,$W130,IF(AND($S130&lt;&gt;"",EDATE($D130,Milestones!$AA$84)&gt;=$S130),$V130,IF(AND($R130&lt;&gt;"",EDATE($D130,Milestones!$AA$84)&gt;=$R130),$U130,$T130)))=Milestones!$AB$84),TEXT(EDATE($D130,Milestones!$AA$84),"dd/mm/yy")&amp;" "&amp;Milestones!$AB$84&amp;" "&amp;Milestones!$AC$84&amp;";  ","")&amp;IF(AND(EDATE($D130,Milestones!$AA$85)&lt;=AsOfDate,IF($Q130=0,$W130,IF(AND($S130&lt;&gt;"",EDATE($D130,Milestones!$AA$85)&gt;=$S130),$V130,IF(AND($R130&lt;&gt;"",EDATE($D130,Milestones!$AA$85)&gt;=$R130),$U130,$T130)))=Milestones!$AB$85),TEXT(EDATE($D130,Milestones!$AA$85),"dd/mm/yy")&amp;" "&amp;Milestones!$AB$85&amp;" "&amp;Milestones!$AC$85&amp;";  ","")&amp;IF(AND(EDATE($D130,Milestones!$AA$86)&lt;=AsOfDate,IF($Q130=0,$W130,IF(AND($S130&lt;&gt;"",EDATE($D130,Milestones!$AA$86)&gt;=$S130),$V130,IF(AND($R130&lt;&gt;"",EDATE($D130,Milestones!$AA$86)&gt;=$R130),$U130,$T130)))=Milestones!$AB$86),TEXT(EDATE($D130,Milestones!$AA$86),"dd/mm/yy")&amp;" "&amp;Milestones!$AB$86&amp;" "&amp;Milestones!$AC$86&amp;";  ","")&amp;IF(AND(EDATE($D130,Milestones!$AA$87)&lt;=AsOfDate,IF($Q130=0,$W130,IF(AND($S130&lt;&gt;"",EDATE($D130,Milestones!$AA$87)&gt;=$S130),$V130,IF(AND($R130&lt;&gt;"",EDATE($D130,Milestones!$AA$87)&gt;=$R130),$U130,$T130)))=Milestones!$AB$87),TEXT(EDATE($D130,Milestones!$AA$87),"dd/mm/yy")&amp;" "&amp;Milestones!$AB$87&amp;" "&amp;Milestones!$AC$87&amp;";  ","")&amp;IF(AND(EDATE($D130,Milestones!$AA$88)&lt;=AsOfDate,IF($Q130=0,$W130,IF(AND($S130&lt;&gt;"",EDATE($D130,Milestones!$AA$88)&gt;=$S130),$V130,IF(AND($R130&lt;&gt;"",EDATE($D130,Milestones!$AA$88)&gt;=$R130),$U130,$T130)))=Milestones!$AB$88),TEXT(EDATE($D130,Milestones!$AA$88),"dd/mm/yy")&amp;" "&amp;Milestones!$AB$88&amp;" "&amp;Milestones!$AC$88&amp;";  ","")&amp;IF(AND(EDATE($D130,Milestones!$AA$89)&lt;=AsOfDate,IF($Q130=0,$W130,IF(AND($S130&lt;&gt;"",EDATE($D130,Milestones!$AA$89)&gt;=$S130),$V130,IF(AND($R130&lt;&gt;"",EDATE($D130,Milestones!$AA$89)&gt;=$R130),$U130,$T130)))=Milestones!$AB$89),TEXT(EDATE($D130,Milestones!$AA$89),"dd/mm/yy")&amp;" "&amp;Milestones!$AB$89&amp;" "&amp;Milestones!$AC$89&amp;";  ","")&amp;IF(AND(EDATE($D130,Milestones!$AA$90)&lt;=AsOfDate,IF($Q130=0,$W130,IF(AND($S130&lt;&gt;"",EDATE($D130,Milestones!$AA$90)&gt;=$S130),$V130,IF(AND($R130&lt;&gt;"",EDATE($D130,Milestones!$AA$90)&gt;=$R130),$U130,$T130)))=Milestones!$AB$90),TEXT(EDATE($D130,Milestones!$AA$90),"dd/mm/yy")&amp;" "&amp;Milestones!$AB$90&amp;" "&amp;Milestones!$AC$90&amp;";  ","")&amp;IF(AND(EDATE($D130,Milestones!$AA$91)&lt;=AsOfDate,IF($Q130=0,$W130,IF(AND($S130&lt;&gt;"",EDATE($D130,Milestones!$AA$91)&gt;=$S130),$V130,IF(AND($R130&lt;&gt;"",EDATE($D130,Milestones!$AA$91)&gt;=$R130),$U130,$T130)))=Milestones!$AB$91),TEXT(EDATE($D130,Milestones!$AA$91),"dd/mm/yy")&amp;" "&amp;Milestones!$AB$91&amp;" "&amp;Milestones!$AC$91&amp;";  ","")&amp;IF(AND(EDATE($D130,Milestones!$AA$92)&lt;=AsOfDate,IF($Q130=0,$W130,IF(AND($S130&lt;&gt;"",EDATE($D130,Milestones!$AA$92)&gt;=$S130),$V130,IF(AND($R130&lt;&gt;"",EDATE($D130,Milestones!$AA$92)&gt;=$R130),$U130,$T130)))=Milestones!$AB$92),TEXT(EDATE($D130,Milestones!$AA$92),"dd/mm/yy")&amp;" "&amp;Milestones!$AB$92&amp;" "&amp;Milestones!$AC$92&amp;";  ","")&amp;IF(AND(EDATE($D130,Milestones!$AA$93)&lt;=AsOfDate,IF($Q130=0,$W130,IF(AND($S130&lt;&gt;"",EDATE($D130,Milestones!$AA$93)&gt;=$S130),$V130,IF(AND($R130&lt;&gt;"",EDATE($D130,Milestones!$AA$93)&gt;=$R130),$U130,$T130)))=Milestones!$AB$93),TEXT(EDATE($D130,Milestones!$AA$93),"dd/mm/yy")&amp;" "&amp;Milestones!$AB$93&amp;" "&amp;Milestones!$AC$93&amp;";  ","")&amp;IF(AND(EDATE($D130,Milestones!$AA$94)&lt;=AsOfDate,IF($Q130=0,$W130,IF(AND($S130&lt;&gt;"",EDATE($D130,Milestones!$AA$94)&gt;=$S130),$V130,IF(AND($R130&lt;&gt;"",EDATE($D130,Milestones!$AA$94)&gt;=$R130),$U130,$T130)))=Milestones!$AB$94),TEXT(EDATE($D130,Milestones!$AA$94),"dd/mm/yy")&amp;" "&amp;Milestones!$AB$94&amp;" "&amp;Milestones!$AC$94&amp;";  ","")&amp;IF(AND(EDATE($D130,Milestones!$AA$95)&lt;=AsOfDate,IF($Q130=0,$W130,IF(AND($S130&lt;&gt;"",EDATE($D130,Milestones!$AA$95)&gt;=$S130),$V130,IF(AND($R130&lt;&gt;"",EDATE($D130,Milestones!$AA$95)&gt;=$R130),$U130,$T130)))=Milestones!$AB$95),TEXT(EDATE($D130,Milestones!$AA$95),"dd/mm/yy")&amp;" "&amp;Milestones!$AB$95&amp;" "&amp;Milestones!$AC$95&amp;";  ","")&amp;IF(AND(EDATE($D130,Milestones!$AA$96)&lt;=AsOfDate,IF($Q130=0,$W130,IF(AND($S130&lt;&gt;"",EDATE($D130,Milestones!$AA$96)&gt;=$S130),$V130,IF(AND($R130&lt;&gt;"",EDATE($D130,Milestones!$AA$96)&gt;=$R130),$U130,$T130)))=Milestones!$AB$96),TEXT(EDATE($D130,Milestones!$AA$96),"dd/mm/yy")&amp;" "&amp;Milestones!$AB$96&amp;" "&amp;Milestones!$AC$96&amp;";  ","")&amp;IF(AND(EDATE($D130,Milestones!$AA$97)&lt;=AsOfDate,IF($Q130=0,$W130,IF(AND($S130&lt;&gt;"",EDATE($D130,Milestones!$AA$97)&gt;=$S130),$V130,IF(AND($R130&lt;&gt;"",EDATE($D130,Milestones!$AA$97)&gt;=$R130),$U130,$T130)))=Milestones!$AB$97),TEXT(EDATE($D130,Milestones!$AA$97),"dd/mm/yy")&amp;" "&amp;Milestones!$AB$97&amp;" "&amp;Milestones!$AC$97&amp;";  ","")&amp;IF(AND(EDATE($D130,Milestones!$AA$98)&lt;=AsOfDate,IF($Q130=0,$W130,IF(AND($S130&lt;&gt;"",EDATE($D130,Milestones!$AA$98)&gt;=$S130),$V130,IF(AND($R130&lt;&gt;"",EDATE($D130,Milestones!$AA$98)&gt;=$R130),$U130,$T130)))=Milestones!$AB$98),TEXT(EDATE($D130,Milestones!$AA$98),"dd/mm/yy")&amp;" "&amp;Milestones!$AB$98&amp;" "&amp;Milestones!$AC$98&amp;";  ","")&amp;IF(AND(EDATE($D130,Milestones!$AA$99)&lt;=AsOfDate,IF($Q130=0,$W130,IF(AND($S130&lt;&gt;"",EDATE($D130,Milestones!$AA$99)&gt;=$S130),$V130,IF(AND($R130&lt;&gt;"",EDATE($D130,Milestones!$AA$99)&gt;=$R130),$U130,$T130)))=Milestones!$AB$99),TEXT(EDATE($D130,Milestones!$AA$99),"dd/mm/yy")&amp;" "&amp;Milestones!$AB$99&amp;" "&amp;Milestones!$AC$99&amp;";  ",""))</f>
        <v/>
      </c>
      <c r="L130" s="0" t="str">
        <f aca="false">IF(OR($A130="",$D130=""),"",IF(AND(EDATE($D130,Milestones!$AA$100)&lt;=AsOfDate,IF($Q130=0,$W130,IF(AND($S130&lt;&gt;"",EDATE($D130,Milestones!$AA$100)&gt;=$S130),$V130,IF(AND($R130&lt;&gt;"",EDATE($D130,Milestones!$AA$100)&gt;=$R130),$U130,$T130)))=Milestones!$AB$100),TEXT(EDATE($D130,Milestones!$AA$100),"dd/mm/yy")&amp;" "&amp;Milestones!$AB$100&amp;" "&amp;Milestones!$AC$100&amp;";  ","")&amp;IF(AND(EDATE($D130,Milestones!$AA$101)&lt;=AsOfDate,IF($Q130=0,$W130,IF(AND($S130&lt;&gt;"",EDATE($D130,Milestones!$AA$101)&gt;=$S130),$V130,IF(AND($R130&lt;&gt;"",EDATE($D130,Milestones!$AA$101)&gt;=$R130),$U130,$T130)))=Milestones!$AB$101),TEXT(EDATE($D130,Milestones!$AA$101),"dd/mm/yy")&amp;" "&amp;Milestones!$AB$101&amp;" "&amp;Milestones!$AC$101&amp;";  ","")&amp;IF(AND(EDATE($D130,Milestones!$AA$102)&lt;=AsOfDate,IF($Q130=0,$W130,IF(AND($S130&lt;&gt;"",EDATE($D130,Milestones!$AA$102)&gt;=$S130),$V130,IF(AND($R130&lt;&gt;"",EDATE($D130,Milestones!$AA$102)&gt;=$R130),$U130,$T130)))=Milestones!$AB$102),TEXT(EDATE($D130,Milestones!$AA$102),"dd/mm/yy")&amp;" "&amp;Milestones!$AB$102&amp;" "&amp;Milestones!$AC$102&amp;";  ","")&amp;IF(AND(EDATE($D130,Milestones!$AA$103)&lt;=AsOfDate,IF($Q130=0,$W130,IF(AND($S130&lt;&gt;"",EDATE($D130,Milestones!$AA$103)&gt;=$S130),$V130,IF(AND($R130&lt;&gt;"",EDATE($D130,Milestones!$AA$103)&gt;=$R130),$U130,$T130)))=Milestones!$AB$103),TEXT(EDATE($D130,Milestones!$AA$103),"dd/mm/yy")&amp;" "&amp;Milestones!$AB$103&amp;" "&amp;Milestones!$AC$103&amp;";  ","")&amp;IF(AND(EDATE($D130,Milestones!$AA$104)&lt;=AsOfDate,IF($Q130=0,$W130,IF(AND($S130&lt;&gt;"",EDATE($D130,Milestones!$AA$104)&gt;=$S130),$V130,IF(AND($R130&lt;&gt;"",EDATE($D130,Milestones!$AA$104)&gt;=$R130),$U130,$T130)))=Milestones!$AB$104),TEXT(EDATE($D130,Milestones!$AA$104),"dd/mm/yy")&amp;" "&amp;Milestones!$AB$104&amp;" "&amp;Milestones!$AC$104&amp;";  ","")&amp;IF(AND(EDATE($D130,Milestones!$AA$105)&lt;=AsOfDate,IF($Q130=0,$W130,IF(AND($S130&lt;&gt;"",EDATE($D130,Milestones!$AA$105)&gt;=$S130),$V130,IF(AND($R130&lt;&gt;"",EDATE($D130,Milestones!$AA$105)&gt;=$R130),$U130,$T130)))=Milestones!$AB$105),TEXT(EDATE($D130,Milestones!$AA$105),"dd/mm/yy")&amp;" "&amp;Milestones!$AB$105&amp;" "&amp;Milestones!$AC$105&amp;";  ","")&amp;IF(AND(EDATE($D130,Milestones!$AA$106)&lt;=AsOfDate,IF($Q130=0,$W130,IF(AND($S130&lt;&gt;"",EDATE($D130,Milestones!$AA$106)&gt;=$S130),$V130,IF(AND($R130&lt;&gt;"",EDATE($D130,Milestones!$AA$106)&gt;=$R130),$U130,$T130)))=Milestones!$AB$106),TEXT(EDATE($D130,Milestones!$AA$106),"dd/mm/yy")&amp;" "&amp;Milestones!$AB$106&amp;" "&amp;Milestones!$AC$106&amp;";  ","")&amp;IF(AND(EDATE($D130,Milestones!$AA$107)&lt;=AsOfDate,IF($Q130=0,$W130,IF(AND($S130&lt;&gt;"",EDATE($D130,Milestones!$AA$107)&gt;=$S130),$V130,IF(AND($R130&lt;&gt;"",EDATE($D130,Milestones!$AA$107)&gt;=$R130),$U130,$T130)))=Milestones!$AB$107),TEXT(EDATE($D130,Milestones!$AA$107),"dd/mm/yy")&amp;" "&amp;Milestones!$AB$107&amp;" "&amp;Milestones!$AC$107&amp;";  ","")&amp;IF(AND(EDATE($D130,Milestones!$AA$108)&lt;=AsOfDate,IF($Q130=0,$W130,IF(AND($S130&lt;&gt;"",EDATE($D130,Milestones!$AA$108)&gt;=$S130),$V130,IF(AND($R130&lt;&gt;"",EDATE($D130,Milestones!$AA$108)&gt;=$R130),$U130,$T130)))=Milestones!$AB$108),TEXT(EDATE($D130,Milestones!$AA$108),"dd/mm/yy")&amp;" "&amp;Milestones!$AB$108&amp;" "&amp;Milestones!$AC$108&amp;";  ","")&amp;IF(AND(EDATE($D130,Milestones!$AA$109)&lt;=AsOfDate,IF($Q130=0,$W130,IF(AND($S130&lt;&gt;"",EDATE($D130,Milestones!$AA$109)&gt;=$S130),$V130,IF(AND($R130&lt;&gt;"",EDATE($D130,Milestones!$AA$109)&gt;=$R130),$U130,$T130)))=Milestones!$AB$109),TEXT(EDATE($D130,Milestones!$AA$109),"dd/mm/yy")&amp;" "&amp;Milestones!$AB$109&amp;" "&amp;Milestones!$AC$109&amp;";  ","")&amp;IF(AND(EDATE($D130,Milestones!$AA$110)&lt;=AsOfDate,IF($Q130=0,$W130,IF(AND($S130&lt;&gt;"",EDATE($D130,Milestones!$AA$110)&gt;=$S130),$V130,IF(AND($R130&lt;&gt;"",EDATE($D130,Milestones!$AA$110)&gt;=$R130),$U130,$T130)))=Milestones!$AB$110),TEXT(EDATE($D130,Milestones!$AA$110),"dd/mm/yy")&amp;" "&amp;Milestones!$AB$110&amp;" "&amp;Milestones!$AC$110&amp;";  ","")&amp;IF(AND(EDATE($D130,Milestones!$AA$111)&lt;=AsOfDate,IF($Q130=0,$W130,IF(AND($S130&lt;&gt;"",EDATE($D130,Milestones!$AA$111)&gt;=$S130),$V130,IF(AND($R130&lt;&gt;"",EDATE($D130,Milestones!$AA$111)&gt;=$R130),$U130,$T130)))=Milestones!$AB$111),TEXT(EDATE($D130,Milestones!$AA$111),"dd/mm/yy")&amp;" "&amp;Milestones!$AB$111&amp;" "&amp;Milestones!$AC$111&amp;";  ","")&amp;IF(AND(EDATE($D130,Milestones!$AA$112)&lt;=AsOfDate,IF($Q130=0,$W130,IF(AND($S130&lt;&gt;"",EDATE($D130,Milestones!$AA$112)&gt;=$S130),$V130,IF(AND($R130&lt;&gt;"",EDATE($D130,Milestones!$AA$112)&gt;=$R130),$U130,$T130)))=Milestones!$AB$112),TEXT(EDATE($D130,Milestones!$AA$112),"dd/mm/yy")&amp;" "&amp;Milestones!$AB$112&amp;" "&amp;Milestones!$AC$112&amp;";  ","")&amp;IF(AND(EDATE($D130,Milestones!$AA$113)&lt;=AsOfDate,IF($Q130=0,$W130,IF(AND($S130&lt;&gt;"",EDATE($D130,Milestones!$AA$113)&gt;=$S130),$V130,IF(AND($R130&lt;&gt;"",EDATE($D130,Milestones!$AA$113)&gt;=$R130),$U130,$T130)))=Milestones!$AB$113),TEXT(EDATE($D130,Milestones!$AA$113),"dd/mm/yy")&amp;" "&amp;Milestones!$AB$113&amp;" "&amp;Milestones!$AC$113&amp;";  ","")&amp;IF(AND(EDATE($D130,Milestones!$AA$114)&lt;=AsOfDate,IF($Q130=0,$W130,IF(AND($S130&lt;&gt;"",EDATE($D130,Milestones!$AA$114)&gt;=$S130),$V130,IF(AND($R130&lt;&gt;"",EDATE($D130,Milestones!$AA$114)&gt;=$R130),$U130,$T130)))=Milestones!$AB$114),TEXT(EDATE($D130,Milestones!$AA$114),"dd/mm/yy")&amp;" "&amp;Milestones!$AB$114&amp;" "&amp;Milestones!$AC$114&amp;";  ","")&amp;IF(AND(EDATE($D130,Milestones!$AA$115)&lt;=AsOfDate,IF($Q130=0,$W130,IF(AND($S130&lt;&gt;"",EDATE($D130,Milestones!$AA$115)&gt;=$S130),$V130,IF(AND($R130&lt;&gt;"",EDATE($D130,Milestones!$AA$115)&gt;=$R130),$U130,$T130)))=Milestones!$AB$115),TEXT(EDATE($D130,Milestones!$AA$115),"dd/mm/yy")&amp;" "&amp;Milestones!$AB$115&amp;" "&amp;Milestones!$AC$115&amp;";  ","")&amp;IF(AND(EDATE($D130,Milestones!$AA$116)&lt;=AsOfDate,IF($Q130=0,$W130,IF(AND($S130&lt;&gt;"",EDATE($D130,Milestones!$AA$116)&gt;=$S130),$V130,IF(AND($R130&lt;&gt;"",EDATE($D130,Milestones!$AA$116)&gt;=$R130),$U130,$T130)))=Milestones!$AB$116),TEXT(EDATE($D130,Milestones!$AA$116),"dd/mm/yy")&amp;" "&amp;Milestones!$AB$116&amp;" "&amp;Milestones!$AC$116&amp;";  ","")&amp;IF(AND(EDATE($D130,Milestones!$AA$117)&lt;=AsOfDate,IF($Q130=0,$W130,IF(AND($S130&lt;&gt;"",EDATE($D130,Milestones!$AA$117)&gt;=$S130),$V130,IF(AND($R130&lt;&gt;"",EDATE($D130,Milestones!$AA$117)&gt;=$R130),$U130,$T130)))=Milestones!$AB$117),TEXT(EDATE($D130,Milestones!$AA$117),"dd/mm/yy")&amp;" "&amp;Milestones!$AB$117&amp;" "&amp;Milestones!$AC$117&amp;";  ","")&amp;IF(AND(EDATE($D130,Milestones!$AA$118)&lt;=AsOfDate,IF($Q130=0,$W130,IF(AND($S130&lt;&gt;"",EDATE($D130,Milestones!$AA$118)&gt;=$S130),$V130,IF(AND($R130&lt;&gt;"",EDATE($D130,Milestones!$AA$118)&gt;=$R130),$U130,$T130)))=Milestones!$AB$118),TEXT(EDATE($D130,Milestones!$AA$118),"dd/mm/yy")&amp;" "&amp;Milestones!$AB$118&amp;" "&amp;Milestones!$AC$118&amp;";  ","")&amp;IF(AND(EDATE($D130,Milestones!$AA$119)&lt;=AsOfDate,IF($Q130=0,$W130,IF(AND($S130&lt;&gt;"",EDATE($D130,Milestones!$AA$119)&gt;=$S130),$V130,IF(AND($R130&lt;&gt;"",EDATE($D130,Milestones!$AA$119)&gt;=$R130),$U130,$T130)))=Milestones!$AB$119),TEXT(EDATE($D130,Milestones!$AA$119),"dd/mm/yy")&amp;" "&amp;Milestones!$AB$119&amp;" "&amp;Milestones!$AC$119&amp;";  ",""))</f>
        <v/>
      </c>
      <c r="M130" s="0" t="str">
        <f aca="false">IF(OR($A130="",$D130=""),"",IF(AND(EDATE($D130,Milestones!$AA$120)&lt;=AsOfDate,IF($Q130=0,$W130,IF(AND($S130&lt;&gt;"",EDATE($D130,Milestones!$AA$120)&gt;=$S130),$V130,IF(AND($R130&lt;&gt;"",EDATE($D130,Milestones!$AA$120)&gt;=$R130),$U130,$T130)))=Milestones!$AB$120),TEXT(EDATE($D130,Milestones!$AA$120),"dd/mm/yy")&amp;" "&amp;Milestones!$AB$120&amp;" "&amp;Milestones!$AC$120&amp;";  ","")&amp;IF(AND(EDATE($D130,Milestones!$AA$121)&lt;=AsOfDate,IF($Q130=0,$W130,IF(AND($S130&lt;&gt;"",EDATE($D130,Milestones!$AA$121)&gt;=$S130),$V130,IF(AND($R130&lt;&gt;"",EDATE($D130,Milestones!$AA$121)&gt;=$R130),$U130,$T130)))=Milestones!$AB$121),TEXT(EDATE($D130,Milestones!$AA$121),"dd/mm/yy")&amp;" "&amp;Milestones!$AB$121&amp;" "&amp;Milestones!$AC$121&amp;";  ","")&amp;IF(AND(EDATE($D130,Milestones!$AA$122)&lt;=AsOfDate,IF($Q130=0,$W130,IF(AND($S130&lt;&gt;"",EDATE($D130,Milestones!$AA$122)&gt;=$S130),$V130,IF(AND($R130&lt;&gt;"",EDATE($D130,Milestones!$AA$122)&gt;=$R130),$U130,$T130)))=Milestones!$AB$122),TEXT(EDATE($D130,Milestones!$AA$122),"dd/mm/yy")&amp;" "&amp;Milestones!$AB$122&amp;" "&amp;Milestones!$AC$122&amp;";  ","")&amp;IF(AND(EDATE($D130,Milestones!$AA$123)&lt;=AsOfDate,IF($Q130=0,$W130,IF(AND($S130&lt;&gt;"",EDATE($D130,Milestones!$AA$123)&gt;=$S130),$V130,IF(AND($R130&lt;&gt;"",EDATE($D130,Milestones!$AA$123)&gt;=$R130),$U130,$T130)))=Milestones!$AB$123),TEXT(EDATE($D130,Milestones!$AA$123),"dd/mm/yy")&amp;" "&amp;Milestones!$AB$123&amp;" "&amp;Milestones!$AC$123&amp;";  ","")&amp;IF(AND(EDATE($D130,Milestones!$AA$124)&lt;=AsOfDate,IF($Q130=0,$W130,IF(AND($S130&lt;&gt;"",EDATE($D130,Milestones!$AA$124)&gt;=$S130),$V130,IF(AND($R130&lt;&gt;"",EDATE($D130,Milestones!$AA$124)&gt;=$R130),$U130,$T130)))=Milestones!$AB$124),TEXT(EDATE($D130,Milestones!$AA$124),"dd/mm/yy")&amp;" "&amp;Milestones!$AB$124&amp;" "&amp;Milestones!$AC$124&amp;";  ","")&amp;IF(AND(EDATE($D130,Milestones!$AA$125)&lt;=AsOfDate,IF($Q130=0,$W130,IF(AND($S130&lt;&gt;"",EDATE($D130,Milestones!$AA$125)&gt;=$S130),$V130,IF(AND($R130&lt;&gt;"",EDATE($D130,Milestones!$AA$125)&gt;=$R130),$U130,$T130)))=Milestones!$AB$125),TEXT(EDATE($D130,Milestones!$AA$125),"dd/mm/yy")&amp;" "&amp;Milestones!$AB$125&amp;" "&amp;Milestones!$AC$125&amp;";  ","")&amp;IF(AND(EDATE($D130,Milestones!$AA$126)&lt;=AsOfDate,IF($Q130=0,$W130,IF(AND($S130&lt;&gt;"",EDATE($D130,Milestones!$AA$126)&gt;=$S130),$V130,IF(AND($R130&lt;&gt;"",EDATE($D130,Milestones!$AA$126)&gt;=$R130),$U130,$T130)))=Milestones!$AB$126),TEXT(EDATE($D130,Milestones!$AA$126),"dd/mm/yy")&amp;" "&amp;Milestones!$AB$126&amp;" "&amp;Milestones!$AC$126&amp;";  ","")&amp;IF(AND(EDATE($D130,Milestones!$AA$127)&lt;=AsOfDate,IF($Q130=0,$W130,IF(AND($S130&lt;&gt;"",EDATE($D130,Milestones!$AA$127)&gt;=$S130),$V130,IF(AND($R130&lt;&gt;"",EDATE($D130,Milestones!$AA$127)&gt;=$R130),$U130,$T130)))=Milestones!$AB$127),TEXT(EDATE($D130,Milestones!$AA$127),"dd/mm/yy")&amp;" "&amp;Milestones!$AB$127&amp;" "&amp;Milestones!$AC$127&amp;";  ","")&amp;IF(AND(EDATE($D130,Milestones!$AA$128)&lt;=AsOfDate,IF($Q130=0,$W130,IF(AND($S130&lt;&gt;"",EDATE($D130,Milestones!$AA$128)&gt;=$S130),$V130,IF(AND($R130&lt;&gt;"",EDATE($D130,Milestones!$AA$128)&gt;=$R130),$U130,$T130)))=Milestones!$AB$128),TEXT(EDATE($D130,Milestones!$AA$128),"dd/mm/yy")&amp;" "&amp;Milestones!$AB$128&amp;" "&amp;Milestones!$AC$128&amp;";  ","")&amp;IF(AND(EDATE($D130,Milestones!$AA$129)&lt;=AsOfDate,IF($Q130=0,$W130,IF(AND($S130&lt;&gt;"",EDATE($D130,Milestones!$AA$129)&gt;=$S130),$V130,IF(AND($R130&lt;&gt;"",EDATE($D130,Milestones!$AA$129)&gt;=$R130),$U130,$T130)))=Milestones!$AB$129),TEXT(EDATE($D130,Milestones!$AA$129),"dd/mm/yy")&amp;" "&amp;Milestones!$AB$129&amp;" "&amp;Milestones!$AC$129&amp;";  ","")&amp;IF(AND(EDATE($D130,Milestones!$AA$130)&lt;=AsOfDate,IF($Q130=0,$W130,IF(AND($S130&lt;&gt;"",EDATE($D130,Milestones!$AA$130)&gt;=$S130),$V130,IF(AND($R130&lt;&gt;"",EDATE($D130,Milestones!$AA$130)&gt;=$R130),$U130,$T130)))=Milestones!$AB$130),TEXT(EDATE($D130,Milestones!$AA$130),"dd/mm/yy")&amp;" "&amp;Milestones!$AB$130&amp;" "&amp;Milestones!$AC$130&amp;";  ","")&amp;IF(AND(EDATE($D130,Milestones!$AA$131)&lt;=AsOfDate,IF($Q130=0,$W130,IF(AND($S130&lt;&gt;"",EDATE($D130,Milestones!$AA$131)&gt;=$S130),$V130,IF(AND($R130&lt;&gt;"",EDATE($D130,Milestones!$AA$131)&gt;=$R130),$U130,$T130)))=Milestones!$AB$131),TEXT(EDATE($D130,Milestones!$AA$131),"dd/mm/yy")&amp;" "&amp;Milestones!$AB$131&amp;" "&amp;Milestones!$AC$131&amp;";  ","")&amp;IF(AND(EDATE($D130,Milestones!$AA$132)&lt;=AsOfDate,IF($Q130=0,$W130,IF(AND($S130&lt;&gt;"",EDATE($D130,Milestones!$AA$132)&gt;=$S130),$V130,IF(AND($R130&lt;&gt;"",EDATE($D130,Milestones!$AA$132)&gt;=$R130),$U130,$T130)))=Milestones!$AB$132),TEXT(EDATE($D130,Milestones!$AA$132),"dd/mm/yy")&amp;" "&amp;Milestones!$AB$132&amp;" "&amp;Milestones!$AC$132&amp;";  ","")&amp;IF(AND(EDATE($D130,Milestones!$AA$133)&lt;=AsOfDate,IF($Q130=0,$W130,IF(AND($S130&lt;&gt;"",EDATE($D130,Milestones!$AA$133)&gt;=$S130),$V130,IF(AND($R130&lt;&gt;"",EDATE($D130,Milestones!$AA$133)&gt;=$R130),$U130,$T130)))=Milestones!$AB$133),TEXT(EDATE($D130,Milestones!$AA$133),"dd/mm/yy")&amp;" "&amp;Milestones!$AB$133&amp;" "&amp;Milestones!$AC$133&amp;";  ","")&amp;IF(AND(EDATE($D130,Milestones!$AA$134)&lt;=AsOfDate,IF($Q130=0,$W130,IF(AND($S130&lt;&gt;"",EDATE($D130,Milestones!$AA$134)&gt;=$S130),$V130,IF(AND($R130&lt;&gt;"",EDATE($D130,Milestones!$AA$134)&gt;=$R130),$U130,$T130)))=Milestones!$AB$134),TEXT(EDATE($D130,Milestones!$AA$134),"dd/mm/yy")&amp;" "&amp;Milestones!$AB$134&amp;" "&amp;Milestones!$AC$134&amp;";  ","")&amp;IF(AND(EDATE($D130,Milestones!$AA$135)&lt;=AsOfDate,IF($Q130=0,$W130,IF(AND($S130&lt;&gt;"",EDATE($D130,Milestones!$AA$135)&gt;=$S130),$V130,IF(AND($R130&lt;&gt;"",EDATE($D130,Milestones!$AA$135)&gt;=$R130),$U130,$T130)))=Milestones!$AB$135),TEXT(EDATE($D130,Milestones!$AA$135),"dd/mm/yy")&amp;" "&amp;Milestones!$AB$135&amp;" "&amp;Milestones!$AC$135&amp;";  ","")&amp;IF(AND(EDATE($D130,Milestones!$AA$136)&lt;=AsOfDate,IF($Q130=0,$W130,IF(AND($S130&lt;&gt;"",EDATE($D130,Milestones!$AA$136)&gt;=$S130),$V130,IF(AND($R130&lt;&gt;"",EDATE($D130,Milestones!$AA$136)&gt;=$R130),$U130,$T130)))=Milestones!$AB$136),TEXT(EDATE($D130,Milestones!$AA$136),"dd/mm/yy")&amp;" "&amp;Milestones!$AB$136&amp;" "&amp;Milestones!$AC$136&amp;";  ","")&amp;IF(AND(EDATE($D130,Milestones!$AA$137)&lt;=AsOfDate,IF($Q130=0,$W130,IF(AND($S130&lt;&gt;"",EDATE($D130,Milestones!$AA$137)&gt;=$S130),$V130,IF(AND($R130&lt;&gt;"",EDATE($D130,Milestones!$AA$137)&gt;=$R130),$U130,$T130)))=Milestones!$AB$137),TEXT(EDATE($D130,Milestones!$AA$137),"dd/mm/yy")&amp;" "&amp;Milestones!$AB$137&amp;" "&amp;Milestones!$AC$137&amp;";  ","")&amp;IF(AND(EDATE($D130,Milestones!$AA$138)&lt;=AsOfDate,IF($Q130=0,$W130,IF(AND($S130&lt;&gt;"",EDATE($D130,Milestones!$AA$138)&gt;=$S130),$V130,IF(AND($R130&lt;&gt;"",EDATE($D130,Milestones!$AA$138)&gt;=$R130),$U130,$T130)))=Milestones!$AB$138),TEXT(EDATE($D130,Milestones!$AA$138),"dd/mm/yy")&amp;" "&amp;Milestones!$AB$138&amp;" "&amp;Milestones!$AC$138&amp;";  ","")&amp;IF(AND(EDATE($D130,Milestones!$AA$139)&lt;=AsOfDate,IF($Q130=0,$W130,IF(AND($S130&lt;&gt;"",EDATE($D130,Milestones!$AA$139)&gt;=$S130),$V130,IF(AND($R130&lt;&gt;"",EDATE($D130,Milestones!$AA$139)&gt;=$R130),$U130,$T130)))=Milestones!$AB$139),TEXT(EDATE($D130,Milestones!$AA$139),"dd/mm/yy")&amp;" "&amp;Milestones!$AB$139&amp;" "&amp;Milestones!$AC$139&amp;";  ",""))</f>
        <v/>
      </c>
      <c r="N130" s="0" t="str">
        <f aca="false">IF(OR($A130="",$D130=""),"",IF(AND(EDATE($D130,Milestones!$AA$140)&lt;=AsOfDate,IF($Q130=0,$W130,IF(AND($S130&lt;&gt;"",EDATE($D130,Milestones!$AA$140)&gt;=$S130),$V130,IF(AND($R130&lt;&gt;"",EDATE($D130,Milestones!$AA$140)&gt;=$R130),$U130,$T130)))=Milestones!$AB$140),TEXT(EDATE($D130,Milestones!$AA$140),"dd/mm/yy")&amp;" "&amp;Milestones!$AB$140&amp;" "&amp;Milestones!$AC$140&amp;";  ","")&amp;IF(AND(EDATE($D130,Milestones!$AA$141)&lt;=AsOfDate,IF($Q130=0,$W130,IF(AND($S130&lt;&gt;"",EDATE($D130,Milestones!$AA$141)&gt;=$S130),$V130,IF(AND($R130&lt;&gt;"",EDATE($D130,Milestones!$AA$141)&gt;=$R130),$U130,$T130)))=Milestones!$AB$141),TEXT(EDATE($D130,Milestones!$AA$141),"dd/mm/yy")&amp;" "&amp;Milestones!$AB$141&amp;" "&amp;Milestones!$AC$141&amp;";  ","")&amp;IF(AND(EDATE($D130,Milestones!$AA$142)&lt;=AsOfDate,IF($Q130=0,$W130,IF(AND($S130&lt;&gt;"",EDATE($D130,Milestones!$AA$142)&gt;=$S130),$V130,IF(AND($R130&lt;&gt;"",EDATE($D130,Milestones!$AA$142)&gt;=$R130),$U130,$T130)))=Milestones!$AB$142),TEXT(EDATE($D130,Milestones!$AA$142),"dd/mm/yy")&amp;" "&amp;Milestones!$AB$142&amp;" "&amp;Milestones!$AC$142&amp;";  ","")&amp;IF(AND(EDATE($D130,Milestones!$AA$143)&lt;=AsOfDate,IF($Q130=0,$W130,IF(AND($S130&lt;&gt;"",EDATE($D130,Milestones!$AA$143)&gt;=$S130),$V130,IF(AND($R130&lt;&gt;"",EDATE($D130,Milestones!$AA$143)&gt;=$R130),$U130,$T130)))=Milestones!$AB$143),TEXT(EDATE($D130,Milestones!$AA$143),"dd/mm/yy")&amp;" "&amp;Milestones!$AB$143&amp;" "&amp;Milestones!$AC$143&amp;";  ","")&amp;IF(AND(EDATE($D130,Milestones!$AA$144)&lt;=AsOfDate,IF($Q130=0,$W130,IF(AND($S130&lt;&gt;"",EDATE($D130,Milestones!$AA$144)&gt;=$S130),$V130,IF(AND($R130&lt;&gt;"",EDATE($D130,Milestones!$AA$144)&gt;=$R130),$U130,$T130)))=Milestones!$AB$144),TEXT(EDATE($D130,Milestones!$AA$144),"dd/mm/yy")&amp;" "&amp;Milestones!$AB$144&amp;" "&amp;Milestones!$AC$144&amp;";  ","")&amp;IF(AND(EDATE($D130,Milestones!$AA$145)&lt;=AsOfDate,IF($Q130=0,$W130,IF(AND($S130&lt;&gt;"",EDATE($D130,Milestones!$AA$145)&gt;=$S130),$V130,IF(AND($R130&lt;&gt;"",EDATE($D130,Milestones!$AA$145)&gt;=$R130),$U130,$T130)))=Milestones!$AB$145),TEXT(EDATE($D130,Milestones!$AA$145),"dd/mm/yy")&amp;" "&amp;Milestones!$AB$145&amp;" "&amp;Milestones!$AC$145&amp;";  ","")&amp;IF(AND(EDATE($D130,Milestones!$AA$146)&lt;=AsOfDate,IF($Q130=0,$W130,IF(AND($S130&lt;&gt;"",EDATE($D130,Milestones!$AA$146)&gt;=$S130),$V130,IF(AND($R130&lt;&gt;"",EDATE($D130,Milestones!$AA$146)&gt;=$R130),$U130,$T130)))=Milestones!$AB$146),TEXT(EDATE($D130,Milestones!$AA$146),"dd/mm/yy")&amp;" "&amp;Milestones!$AB$146&amp;" "&amp;Milestones!$AC$146&amp;";  ","")&amp;IF(AND(EDATE($D130,Milestones!$AA$147)&lt;=AsOfDate,IF($Q130=0,$W130,IF(AND($S130&lt;&gt;"",EDATE($D130,Milestones!$AA$147)&gt;=$S130),$V130,IF(AND($R130&lt;&gt;"",EDATE($D130,Milestones!$AA$147)&gt;=$R130),$U130,$T130)))=Milestones!$AB$147),TEXT(EDATE($D130,Milestones!$AA$147),"dd/mm/yy")&amp;" "&amp;Milestones!$AB$147&amp;" "&amp;Milestones!$AC$147&amp;";  ","")&amp;IF(AND(EDATE($D130,Milestones!$AA$148)&lt;=AsOfDate,IF($Q130=0,$W130,IF(AND($S130&lt;&gt;"",EDATE($D130,Milestones!$AA$148)&gt;=$S130),$V130,IF(AND($R130&lt;&gt;"",EDATE($D130,Milestones!$AA$148)&gt;=$R130),$U130,$T130)))=Milestones!$AB$148),TEXT(EDATE($D130,Milestones!$AA$148),"dd/mm/yy")&amp;" "&amp;Milestones!$AB$148&amp;" "&amp;Milestones!$AC$148&amp;";  ","")&amp;IF(AND(EDATE($D130,Milestones!$AA$149)&lt;=AsOfDate,IF($Q130=0,$W130,IF(AND($S130&lt;&gt;"",EDATE($D130,Milestones!$AA$149)&gt;=$S130),$V130,IF(AND($R130&lt;&gt;"",EDATE($D130,Milestones!$AA$149)&gt;=$R130),$U130,$T130)))=Milestones!$AB$149),TEXT(EDATE($D130,Milestones!$AA$149),"dd/mm/yy")&amp;" "&amp;Milestones!$AB$149&amp;" "&amp;Milestones!$AC$149&amp;";  ","")&amp;IF(AND(EDATE($D130,Milestones!$AA$150)&lt;=AsOfDate,IF($Q130=0,$W130,IF(AND($S130&lt;&gt;"",EDATE($D130,Milestones!$AA$150)&gt;=$S130),$V130,IF(AND($R130&lt;&gt;"",EDATE($D130,Milestones!$AA$150)&gt;=$R130),$U130,$T130)))=Milestones!$AB$150),TEXT(EDATE($D130,Milestones!$AA$150),"dd/mm/yy")&amp;" "&amp;Milestones!$AB$150&amp;" "&amp;Milestones!$AC$150&amp;";  ","")&amp;IF(AND(EDATE($D130,Milestones!$AA$151)&lt;=AsOfDate,IF($Q130=0,$W130,IF(AND($S130&lt;&gt;"",EDATE($D130,Milestones!$AA$151)&gt;=$S130),$V130,IF(AND($R130&lt;&gt;"",EDATE($D130,Milestones!$AA$151)&gt;=$R130),$U130,$T130)))=Milestones!$AB$151),TEXT(EDATE($D130,Milestones!$AA$151),"dd/mm/yy")&amp;" "&amp;Milestones!$AB$151&amp;" "&amp;Milestones!$AC$151&amp;";  ","")&amp;IF(AND(EDATE($D130,Milestones!$AA$152)&lt;=AsOfDate,IF($Q130=0,$W130,IF(AND($S130&lt;&gt;"",EDATE($D130,Milestones!$AA$152)&gt;=$S130),$V130,IF(AND($R130&lt;&gt;"",EDATE($D130,Milestones!$AA$152)&gt;=$R130),$U130,$T130)))=Milestones!$AB$152),TEXT(EDATE($D130,Milestones!$AA$152),"dd/mm/yy")&amp;" "&amp;Milestones!$AB$152&amp;" "&amp;Milestones!$AC$152&amp;";  ","")&amp;IF(AND(EDATE($D130,Milestones!$AA$153)&lt;=AsOfDate,IF($Q130=0,$W130,IF(AND($S130&lt;&gt;"",EDATE($D130,Milestones!$AA$153)&gt;=$S130),$V130,IF(AND($R130&lt;&gt;"",EDATE($D130,Milestones!$AA$153)&gt;=$R130),$U130,$T130)))=Milestones!$AB$153),TEXT(EDATE($D130,Milestones!$AA$153),"dd/mm/yy")&amp;" "&amp;Milestones!$AB$153&amp;" "&amp;Milestones!$AC$153&amp;";  ","")&amp;IF(AND(EDATE($D130,Milestones!$AA$154)&lt;=AsOfDate,IF($Q130=0,$W130,IF(AND($S130&lt;&gt;"",EDATE($D130,Milestones!$AA$154)&gt;=$S130),$V130,IF(AND($R130&lt;&gt;"",EDATE($D130,Milestones!$AA$154)&gt;=$R130),$U130,$T130)))=Milestones!$AB$154),TEXT(EDATE($D130,Milestones!$AA$154),"dd/mm/yy")&amp;" "&amp;Milestones!$AB$154&amp;" "&amp;Milestones!$AC$154&amp;";  ","")&amp;IF(AND(EDATE($D130,Milestones!$AA$155)&lt;=AsOfDate,IF($Q130=0,$W130,IF(AND($S130&lt;&gt;"",EDATE($D130,Milestones!$AA$155)&gt;=$S130),$V130,IF(AND($R130&lt;&gt;"",EDATE($D130,Milestones!$AA$155)&gt;=$R130),$U130,$T130)))=Milestones!$AB$155),TEXT(EDATE($D130,Milestones!$AA$155),"dd/mm/yy")&amp;" "&amp;Milestones!$AB$155&amp;" "&amp;Milestones!$AC$155&amp;";  ","")&amp;IF(AND(EDATE($D130,Milestones!$AA$156)&lt;=AsOfDate,IF($Q130=0,$W130,IF(AND($S130&lt;&gt;"",EDATE($D130,Milestones!$AA$156)&gt;=$S130),$V130,IF(AND($R130&lt;&gt;"",EDATE($D130,Milestones!$AA$156)&gt;=$R130),$U130,$T130)))=Milestones!$AB$156),TEXT(EDATE($D130,Milestones!$AA$156),"dd/mm/yy")&amp;" "&amp;Milestones!$AB$156&amp;" "&amp;Milestones!$AC$156&amp;";  ","")&amp;IF(AND(EDATE($D130,Milestones!$AA$157)&lt;=AsOfDate,IF($Q130=0,$W130,IF(AND($S130&lt;&gt;"",EDATE($D130,Milestones!$AA$157)&gt;=$S130),$V130,IF(AND($R130&lt;&gt;"",EDATE($D130,Milestones!$AA$157)&gt;=$R130),$U130,$T130)))=Milestones!$AB$157),TEXT(EDATE($D130,Milestones!$AA$157),"dd/mm/yy")&amp;" "&amp;Milestones!$AB$157&amp;" "&amp;Milestones!$AC$157&amp;";  ","")&amp;IF(AND(EDATE($D130,Milestones!$AA$158)&lt;=AsOfDate,IF($Q130=0,$W130,IF(AND($S130&lt;&gt;"",EDATE($D130,Milestones!$AA$158)&gt;=$S130),$V130,IF(AND($R130&lt;&gt;"",EDATE($D130,Milestones!$AA$158)&gt;=$R130),$U130,$T130)))=Milestones!$AB$158),TEXT(EDATE($D130,Milestones!$AA$158),"dd/mm/yy")&amp;" "&amp;Milestones!$AB$158&amp;" "&amp;Milestones!$AC$158&amp;";  ","")&amp;IF(AND(EDATE($D130,Milestones!$AA$159)&lt;=AsOfDate,IF($Q130=0,$W130,IF(AND($S130&lt;&gt;"",EDATE($D130,Milestones!$AA$159)&gt;=$S130),$V130,IF(AND($R130&lt;&gt;"",EDATE($D130,Milestones!$AA$159)&gt;=$R130),$U130,$T130)))=Milestones!$AB$159),TEXT(EDATE($D130,Milestones!$AA$159),"dd/mm/yy")&amp;" "&amp;Milestones!$AB$159&amp;" "&amp;Milestones!$AC$159&amp;";  ",""))</f>
        <v/>
      </c>
      <c r="O130" s="0" t="str">
        <f aca="false">IF(OR($A130="",$D130=""),"",IF(AND(EDATE($D130,Milestones!$AA$160)&lt;=AsOfDate,IF($Q130=0,$W130,IF(AND($S130&lt;&gt;"",EDATE($D130,Milestones!$AA$160)&gt;=$S130),$V130,IF(AND($R130&lt;&gt;"",EDATE($D130,Milestones!$AA$160)&gt;=$R130),$U130,$T130)))=Milestones!$AB$160),TEXT(EDATE($D130,Milestones!$AA$160),"dd/mm/yy")&amp;" "&amp;Milestones!$AB$160&amp;" "&amp;Milestones!$AC$160&amp;";  ","")&amp;IF(AND(EDATE($D130,Milestones!$AA$161)&lt;=AsOfDate,IF($Q130=0,$W130,IF(AND($S130&lt;&gt;"",EDATE($D130,Milestones!$AA$161)&gt;=$S130),$V130,IF(AND($R130&lt;&gt;"",EDATE($D130,Milestones!$AA$161)&gt;=$R130),$U130,$T130)))=Milestones!$AB$161),TEXT(EDATE($D130,Milestones!$AA$161),"dd/mm/yy")&amp;" "&amp;Milestones!$AB$161&amp;" "&amp;Milestones!$AC$161&amp;";  ","")&amp;IF(AND(EDATE($D130,Milestones!$AA$162)&lt;=AsOfDate,IF($Q130=0,$W130,IF(AND($S130&lt;&gt;"",EDATE($D130,Milestones!$AA$162)&gt;=$S130),$V130,IF(AND($R130&lt;&gt;"",EDATE($D130,Milestones!$AA$162)&gt;=$R130),$U130,$T130)))=Milestones!$AB$162),TEXT(EDATE($D130,Milestones!$AA$162),"dd/mm/yy")&amp;" "&amp;Milestones!$AB$162&amp;" "&amp;Milestones!$AC$162&amp;";  ","")&amp;IF(AND(EDATE($D130,Milestones!$AA$163)&lt;=AsOfDate,IF($Q130=0,$W130,IF(AND($S130&lt;&gt;"",EDATE($D130,Milestones!$AA$163)&gt;=$S130),$V130,IF(AND($R130&lt;&gt;"",EDATE($D130,Milestones!$AA$163)&gt;=$R130),$U130,$T130)))=Milestones!$AB$163),TEXT(EDATE($D130,Milestones!$AA$163),"dd/mm/yy")&amp;" "&amp;Milestones!$AB$163&amp;" "&amp;Milestones!$AC$163&amp;";  ","")&amp;IF(AND(EDATE($D130,Milestones!$AA$164)&lt;=AsOfDate,IF($Q130=0,$W130,IF(AND($S130&lt;&gt;"",EDATE($D130,Milestones!$AA$164)&gt;=$S130),$V130,IF(AND($R130&lt;&gt;"",EDATE($D130,Milestones!$AA$164)&gt;=$R130),$U130,$T130)))=Milestones!$AB$164),TEXT(EDATE($D130,Milestones!$AA$164),"dd/mm/yy")&amp;" "&amp;Milestones!$AB$164&amp;" "&amp;Milestones!$AC$164&amp;";  ","")&amp;IF(AND(EDATE($D130,Milestones!$AA$165)&lt;=AsOfDate,IF($Q130=0,$W130,IF(AND($S130&lt;&gt;"",EDATE($D130,Milestones!$AA$165)&gt;=$S130),$V130,IF(AND($R130&lt;&gt;"",EDATE($D130,Milestones!$AA$165)&gt;=$R130),$U130,$T130)))=Milestones!$AB$165),TEXT(EDATE($D130,Milestones!$AA$165),"dd/mm/yy")&amp;" "&amp;Milestones!$AB$165&amp;" "&amp;Milestones!$AC$165&amp;";  ","")&amp;IF(AND(EDATE($D130,Milestones!$AA$166)&lt;=AsOfDate,IF($Q130=0,$W130,IF(AND($S130&lt;&gt;"",EDATE($D130,Milestones!$AA$166)&gt;=$S130),$V130,IF(AND($R130&lt;&gt;"",EDATE($D130,Milestones!$AA$166)&gt;=$R130),$U130,$T130)))=Milestones!$AB$166),TEXT(EDATE($D130,Milestones!$AA$166),"dd/mm/yy")&amp;" "&amp;Milestones!$AB$166&amp;" "&amp;Milestones!$AC$166&amp;";  ","")&amp;IF(AND(EDATE($D130,Milestones!$AA$167)&lt;=AsOfDate,IF($Q130=0,$W130,IF(AND($S130&lt;&gt;"",EDATE($D130,Milestones!$AA$167)&gt;=$S130),$V130,IF(AND($R130&lt;&gt;"",EDATE($D130,Milestones!$AA$167)&gt;=$R130),$U130,$T130)))=Milestones!$AB$167),TEXT(EDATE($D130,Milestones!$AA$167),"dd/mm/yy")&amp;" "&amp;Milestones!$AB$167&amp;" "&amp;Milestones!$AC$167&amp;";  ","")&amp;IF(AND(EDATE($D130,Milestones!$AA$168)&lt;=AsOfDate,IF($Q130=0,$W130,IF(AND($S130&lt;&gt;"",EDATE($D130,Milestones!$AA$168)&gt;=$S130),$V130,IF(AND($R130&lt;&gt;"",EDATE($D130,Milestones!$AA$168)&gt;=$R130),$U130,$T130)))=Milestones!$AB$168),TEXT(EDATE($D130,Milestones!$AA$168),"dd/mm/yy")&amp;" "&amp;Milestones!$AB$168&amp;" "&amp;Milestones!$AC$168&amp;";  ","")&amp;IF(AND(EDATE($D130,Milestones!$AA$169)&lt;=AsOfDate,IF($Q130=0,$W130,IF(AND($S130&lt;&gt;"",EDATE($D130,Milestones!$AA$169)&gt;=$S130),$V130,IF(AND($R130&lt;&gt;"",EDATE($D130,Milestones!$AA$169)&gt;=$R130),$U130,$T130)))=Milestones!$AB$169),TEXT(EDATE($D130,Milestones!$AA$169),"dd/mm/yy")&amp;" "&amp;Milestones!$AB$169&amp;" "&amp;Milestones!$AC$169&amp;";  ","")&amp;IF(AND(EDATE($D130,Milestones!$AA$170)&lt;=AsOfDate,IF($Q130=0,$W130,IF(AND($S130&lt;&gt;"",EDATE($D130,Milestones!$AA$170)&gt;=$S130),$V130,IF(AND($R130&lt;&gt;"",EDATE($D130,Milestones!$AA$170)&gt;=$R130),$U130,$T130)))=Milestones!$AB$170),TEXT(EDATE($D130,Milestones!$AA$170),"dd/mm/yy")&amp;" "&amp;Milestones!$AB$170&amp;" "&amp;Milestones!$AC$170&amp;";  ","")&amp;IF(AND(EDATE($D130,Milestones!$AA$171)&lt;=AsOfDate,IF($Q130=0,$W130,IF(AND($S130&lt;&gt;"",EDATE($D130,Milestones!$AA$171)&gt;=$S130),$V130,IF(AND($R130&lt;&gt;"",EDATE($D130,Milestones!$AA$171)&gt;=$R130),$U130,$T130)))=Milestones!$AB$171),TEXT(EDATE($D130,Milestones!$AA$171),"dd/mm/yy")&amp;" "&amp;Milestones!$AB$171&amp;" "&amp;Milestones!$AC$171&amp;";  ","")&amp;IF(AND(EDATE($D130,Milestones!$AA$172)&lt;=AsOfDate,IF($Q130=0,$W130,IF(AND($S130&lt;&gt;"",EDATE($D130,Milestones!$AA$172)&gt;=$S130),$V130,IF(AND($R130&lt;&gt;"",EDATE($D130,Milestones!$AA$172)&gt;=$R130),$U130,$T130)))=Milestones!$AB$172),TEXT(EDATE($D130,Milestones!$AA$172),"dd/mm/yy")&amp;" "&amp;Milestones!$AB$172&amp;" "&amp;Milestones!$AC$172&amp;";  ","")&amp;IF(AND(EDATE($D130,Milestones!$AA$173)&lt;=AsOfDate,IF($Q130=0,$W130,IF(AND($S130&lt;&gt;"",EDATE($D130,Milestones!$AA$173)&gt;=$S130),$V130,IF(AND($R130&lt;&gt;"",EDATE($D130,Milestones!$AA$173)&gt;=$R130),$U130,$T130)))=Milestones!$AB$173),TEXT(EDATE($D130,Milestones!$AA$173),"dd/mm/yy")&amp;" "&amp;Milestones!$AB$173&amp;" "&amp;Milestones!$AC$173&amp;";  ","")&amp;IF(AND(EDATE($D130,Milestones!$AA$174)&lt;=AsOfDate,IF($Q130=0,$W130,IF(AND($S130&lt;&gt;"",EDATE($D130,Milestones!$AA$174)&gt;=$S130),$V130,IF(AND($R130&lt;&gt;"",EDATE($D130,Milestones!$AA$174)&gt;=$R130),$U130,$T130)))=Milestones!$AB$174),TEXT(EDATE($D130,Milestones!$AA$174),"dd/mm/yy")&amp;" "&amp;Milestones!$AB$174&amp;" "&amp;Milestones!$AC$174&amp;";  ","")&amp;IF(AND(EDATE($D130,Milestones!$AA$175)&lt;=AsOfDate,IF($Q130=0,$W130,IF(AND($S130&lt;&gt;"",EDATE($D130,Milestones!$AA$175)&gt;=$S130),$V130,IF(AND($R130&lt;&gt;"",EDATE($D130,Milestones!$AA$175)&gt;=$R130),$U130,$T130)))=Milestones!$AB$175),TEXT(EDATE($D130,Milestones!$AA$175),"dd/mm/yy")&amp;" "&amp;Milestones!$AB$175&amp;" "&amp;Milestones!$AC$175&amp;";  ","")&amp;IF(AND(EDATE($D130,Milestones!$AA$176)&lt;=AsOfDate,IF($Q130=0,$W130,IF(AND($S130&lt;&gt;"",EDATE($D130,Milestones!$AA$176)&gt;=$S130),$V130,IF(AND($R130&lt;&gt;"",EDATE($D130,Milestones!$AA$176)&gt;=$R130),$U130,$T130)))=Milestones!$AB$176),TEXT(EDATE($D130,Milestones!$AA$176),"dd/mm/yy")&amp;" "&amp;Milestones!$AB$176&amp;" "&amp;Milestones!$AC$176&amp;";  ","")&amp;IF(AND(EDATE($D130,Milestones!$AA$177)&lt;=AsOfDate,IF($Q130=0,$W130,IF(AND($S130&lt;&gt;"",EDATE($D130,Milestones!$AA$177)&gt;=$S130),$V130,IF(AND($R130&lt;&gt;"",EDATE($D130,Milestones!$AA$177)&gt;=$R130),$U130,$T130)))=Milestones!$AB$177),TEXT(EDATE($D130,Milestones!$AA$177),"dd/mm/yy")&amp;" "&amp;Milestones!$AB$177&amp;" "&amp;Milestones!$AC$177&amp;";  ","")&amp;IF(AND(EDATE($D130,Milestones!$AA$178)&lt;=AsOfDate,IF($Q130=0,$W130,IF(AND($S130&lt;&gt;"",EDATE($D130,Milestones!$AA$178)&gt;=$S130),$V130,IF(AND($R130&lt;&gt;"",EDATE($D130,Milestones!$AA$178)&gt;=$R130),$U130,$T130)))=Milestones!$AB$178),TEXT(EDATE($D130,Milestones!$AA$178),"dd/mm/yy")&amp;" "&amp;Milestones!$AB$178&amp;" "&amp;Milestones!$AC$178&amp;";  ","")&amp;IF(AND(EDATE($D130,Milestones!$AA$179)&lt;=AsOfDate,IF($Q130=0,$W130,IF(AND($S130&lt;&gt;"",EDATE($D130,Milestones!$AA$179)&gt;=$S130),$V130,IF(AND($R130&lt;&gt;"",EDATE($D130,Milestones!$AA$179)&gt;=$R130),$U130,$T130)))=Milestones!$AB$179),TEXT(EDATE($D130,Milestones!$AA$179),"dd/mm/yy")&amp;" "&amp;Milestones!$AB$179&amp;" "&amp;Milestones!$AC$179&amp;";  ",""))</f>
        <v/>
      </c>
      <c r="P130" s="0" t="str">
        <f aca="false">IF(OR($A130="",$D130=""),"",IF(AND(EDATE($D130,Milestones!$AA$180)&lt;=AsOfDate,IF($Q130=0,$W130,IF(AND($S130&lt;&gt;"",EDATE($D130,Milestones!$AA$180)&gt;=$S130),$V130,IF(AND($R130&lt;&gt;"",EDATE($D130,Milestones!$AA$180)&gt;=$R130),$U130,$T130)))=Milestones!$AB$180),TEXT(EDATE($D130,Milestones!$AA$180),"dd/mm/yy")&amp;" "&amp;Milestones!$AB$180&amp;" "&amp;Milestones!$AC$180&amp;";  ","")&amp;IF(AND(EDATE($D130,Milestones!$AA$181)&lt;=AsOfDate,IF($Q130=0,$W130,IF(AND($S130&lt;&gt;"",EDATE($D130,Milestones!$AA$181)&gt;=$S130),$V130,IF(AND($R130&lt;&gt;"",EDATE($D130,Milestones!$AA$181)&gt;=$R130),$U130,$T130)))=Milestones!$AB$181),TEXT(EDATE($D130,Milestones!$AA$181),"dd/mm/yy")&amp;" "&amp;Milestones!$AB$181&amp;" "&amp;Milestones!$AC$181&amp;";  ","")&amp;IF(AND(EDATE($D130,Milestones!$AA$182)&lt;=AsOfDate,IF($Q130=0,$W130,IF(AND($S130&lt;&gt;"",EDATE($D130,Milestones!$AA$182)&gt;=$S130),$V130,IF(AND($R130&lt;&gt;"",EDATE($D130,Milestones!$AA$182)&gt;=$R130),$U130,$T130)))=Milestones!$AB$182),TEXT(EDATE($D130,Milestones!$AA$182),"dd/mm/yy")&amp;" "&amp;Milestones!$AB$182&amp;" "&amp;Milestones!$AC$182&amp;";  ","")&amp;IF(AND(EDATE($D130,Milestones!$AA$183)&lt;=AsOfDate,IF($Q130=0,$W130,IF(AND($S130&lt;&gt;"",EDATE($D130,Milestones!$AA$183)&gt;=$S130),$V130,IF(AND($R130&lt;&gt;"",EDATE($D130,Milestones!$AA$183)&gt;=$R130),$U130,$T130)))=Milestones!$AB$183),TEXT(EDATE($D130,Milestones!$AA$183),"dd/mm/yy")&amp;" "&amp;Milestones!$AB$183&amp;" "&amp;Milestones!$AC$183&amp;";  ","")&amp;IF(AND(EDATE($D130,Milestones!$AA$184)&lt;=AsOfDate,IF($Q130=0,$W130,IF(AND($S130&lt;&gt;"",EDATE($D130,Milestones!$AA$184)&gt;=$S130),$V130,IF(AND($R130&lt;&gt;"",EDATE($D130,Milestones!$AA$184)&gt;=$R130),$U130,$T130)))=Milestones!$AB$184),TEXT(EDATE($D130,Milestones!$AA$184),"dd/mm/yy")&amp;" "&amp;Milestones!$AB$184&amp;" "&amp;Milestones!$AC$184&amp;";  ","")&amp;IF(AND(EDATE($D130,Milestones!$AA$185)&lt;=AsOfDate,IF($Q130=0,$W130,IF(AND($S130&lt;&gt;"",EDATE($D130,Milestones!$AA$185)&gt;=$S130),$V130,IF(AND($R130&lt;&gt;"",EDATE($D130,Milestones!$AA$185)&gt;=$R130),$U130,$T130)))=Milestones!$AB$185),TEXT(EDATE($D130,Milestones!$AA$185),"dd/mm/yy")&amp;" "&amp;Milestones!$AB$185&amp;" "&amp;Milestones!$AC$185&amp;";  ","")&amp;IF(AND(EDATE($D130,Milestones!$AA$186)&lt;=AsOfDate,IF($Q130=0,$W130,IF(AND($S130&lt;&gt;"",EDATE($D130,Milestones!$AA$186)&gt;=$S130),$V130,IF(AND($R130&lt;&gt;"",EDATE($D130,Milestones!$AA$186)&gt;=$R130),$U130,$T130)))=Milestones!$AB$186),TEXT(EDATE($D130,Milestones!$AA$186),"dd/mm/yy")&amp;" "&amp;Milestones!$AB$186&amp;" "&amp;Milestones!$AC$186&amp;";  ","")&amp;IF(AND(EDATE($D130,Milestones!$AA$187)&lt;=AsOfDate,IF($Q130=0,$W130,IF(AND($S130&lt;&gt;"",EDATE($D130,Milestones!$AA$187)&gt;=$S130),$V130,IF(AND($R130&lt;&gt;"",EDATE($D130,Milestones!$AA$187)&gt;=$R130),$U130,$T130)))=Milestones!$AB$187),TEXT(EDATE($D130,Milestones!$AA$187),"dd/mm/yy")&amp;" "&amp;Milestones!$AB$187&amp;" "&amp;Milestones!$AC$187&amp;";  ","")&amp;IF(AND(EDATE($D130,Milestones!$AA$188)&lt;=AsOfDate,IF($Q130=0,$W130,IF(AND($S130&lt;&gt;"",EDATE($D130,Milestones!$AA$188)&gt;=$S130),$V130,IF(AND($R130&lt;&gt;"",EDATE($D130,Milestones!$AA$188)&gt;=$R130),$U130,$T130)))=Milestones!$AB$188),TEXT(EDATE($D130,Milestones!$AA$188),"dd/mm/yy")&amp;" "&amp;Milestones!$AB$188&amp;" "&amp;Milestones!$AC$188&amp;";  ","")&amp;IF(AND(EDATE($D130,Milestones!$AA$189)&lt;=AsOfDate,IF($Q130=0,$W130,IF(AND($S130&lt;&gt;"",EDATE($D130,Milestones!$AA$189)&gt;=$S130),$V130,IF(AND($R130&lt;&gt;"",EDATE($D130,Milestones!$AA$189)&gt;=$R130),$U130,$T130)))=Milestones!$AB$189),TEXT(EDATE($D130,Milestones!$AA$189),"dd/mm/yy")&amp;" "&amp;Milestones!$AB$189&amp;" "&amp;Milestones!$AC$189&amp;";  ","")&amp;IF(AND(EDATE($D130,Milestones!$AA$190)&lt;=AsOfDate,IF($Q130=0,$W130,IF(AND($S130&lt;&gt;"",EDATE($D130,Milestones!$AA$190)&gt;=$S130),$V130,IF(AND($R130&lt;&gt;"",EDATE($D130,Milestones!$AA$190)&gt;=$R130),$U130,$T130)))=Milestones!$AB$190),TEXT(EDATE($D130,Milestones!$AA$190),"dd/mm/yy")&amp;" "&amp;Milestones!$AB$190&amp;" "&amp;Milestones!$AC$190&amp;";  ","")&amp;IF(AND(EDATE($D130,Milestones!$AA$191)&lt;=AsOfDate,IF($Q130=0,$W130,IF(AND($S130&lt;&gt;"",EDATE($D130,Milestones!$AA$191)&gt;=$S130),$V130,IF(AND($R130&lt;&gt;"",EDATE($D130,Milestones!$AA$191)&gt;=$R130),$U130,$T130)))=Milestones!$AB$191),TEXT(EDATE($D130,Milestones!$AA$191),"dd/mm/yy")&amp;" "&amp;Milestones!$AB$191&amp;" "&amp;Milestones!$AC$191&amp;";  ","")&amp;IF(AND(EDATE($D130,Milestones!$AA$192)&lt;=AsOfDate,IF($Q130=0,$W130,IF(AND($S130&lt;&gt;"",EDATE($D130,Milestones!$AA$192)&gt;=$S130),$V130,IF(AND($R130&lt;&gt;"",EDATE($D130,Milestones!$AA$192)&gt;=$R130),$U130,$T130)))=Milestones!$AB$192),TEXT(EDATE($D130,Milestones!$AA$192),"dd/mm/yy")&amp;" "&amp;Milestones!$AB$192&amp;" "&amp;Milestones!$AC$192&amp;";  ","")&amp;IF(AND(EDATE($D130,Milestones!$AA$193)&lt;=AsOfDate,IF($Q130=0,$W130,IF(AND($S130&lt;&gt;"",EDATE($D130,Milestones!$AA$193)&gt;=$S130),$V130,IF(AND($R130&lt;&gt;"",EDATE($D130,Milestones!$AA$193)&gt;=$R130),$U130,$T130)))=Milestones!$AB$193),TEXT(EDATE($D130,Milestones!$AA$193),"dd/mm/yy")&amp;" "&amp;Milestones!$AB$193&amp;" "&amp;Milestones!$AC$193&amp;";  ","")&amp;IF(AND(EDATE($D130,Milestones!$AA$194)&lt;=AsOfDate,IF($Q130=0,$W130,IF(AND($S130&lt;&gt;"",EDATE($D130,Milestones!$AA$194)&gt;=$S130),$V130,IF(AND($R130&lt;&gt;"",EDATE($D130,Milestones!$AA$194)&gt;=$R130),$U130,$T130)))=Milestones!$AB$194),TEXT(EDATE($D130,Milestones!$AA$194),"dd/mm/yy")&amp;" "&amp;Milestones!$AB$194&amp;" "&amp;Milestones!$AC$194&amp;";  ","")&amp;IF(AND(EDATE($D130,Milestones!$AA$195)&lt;=AsOfDate,IF($Q130=0,$W130,IF(AND($S130&lt;&gt;"",EDATE($D130,Milestones!$AA$195)&gt;=$S130),$V130,IF(AND($R130&lt;&gt;"",EDATE($D130,Milestones!$AA$195)&gt;=$R130),$U130,$T130)))=Milestones!$AB$195),TEXT(EDATE($D130,Milestones!$AA$195),"dd/mm/yy")&amp;" "&amp;Milestones!$AB$195&amp;" "&amp;Milestones!$AC$195&amp;";  ","")&amp;IF(AND(EDATE($D130,Milestones!$AA$196)&lt;=AsOfDate,IF($Q130=0,$W130,IF(AND($S130&lt;&gt;"",EDATE($D130,Milestones!$AA$196)&gt;=$S130),$V130,IF(AND($R130&lt;&gt;"",EDATE($D130,Milestones!$AA$196)&gt;=$R130),$U130,$T130)))=Milestones!$AB$196),TEXT(EDATE($D130,Milestones!$AA$196),"dd/mm/yy")&amp;" "&amp;Milestones!$AB$196&amp;" "&amp;Milestones!$AC$196&amp;";  ","")&amp;IF(AND(EDATE($D130,Milestones!$AA$197)&lt;=AsOfDate,IF($Q130=0,$W130,IF(AND($S130&lt;&gt;"",EDATE($D130,Milestones!$AA$197)&gt;=$S130),$V130,IF(AND($R130&lt;&gt;"",EDATE($D130,Milestones!$AA$197)&gt;=$R130),$U130,$T130)))=Milestones!$AB$197),TEXT(EDATE($D130,Milestones!$AA$197),"dd/mm/yy")&amp;" "&amp;Milestones!$AB$197&amp;" "&amp;Milestones!$AC$197&amp;";  ","")&amp;IF(AND(EDATE($D130,Milestones!$AA$198)&lt;=AsOfDate,IF($Q130=0,$W130,IF(AND($S130&lt;&gt;"",EDATE($D130,Milestones!$AA$198)&gt;=$S130),$V130,IF(AND($R130&lt;&gt;"",EDATE($D130,Milestones!$AA$198)&gt;=$R130),$U130,$T130)))=Milestones!$AB$198),TEXT(EDATE($D130,Milestones!$AA$198),"dd/mm/yy")&amp;" "&amp;Milestones!$AB$198&amp;" "&amp;Milestones!$AC$198&amp;";  ","")&amp;IF(AND(EDATE($D130,Milestones!$AA$199)&lt;=AsOfDate,IF($Q130=0,$W130,IF(AND($S130&lt;&gt;"",EDATE($D130,Milestones!$AA$199)&gt;=$S130),$V130,IF(AND($R130&lt;&gt;"",EDATE($D130,Milestones!$AA$199)&gt;=$R130),$U130,$T130)))=Milestones!$AB$199),TEXT(EDATE($D130,Milestones!$AA$199),"dd/mm/yy")&amp;" "&amp;Milestones!$AB$199&amp;" "&amp;Milestones!$AC$199&amp;";  ",""))</f>
        <v/>
      </c>
      <c r="Q130" s="0" t="str">
        <f aca="false">IF(Staff!$A130="","",Staff!$AG130)</f>
        <v/>
      </c>
      <c r="R130" s="0" t="str">
        <f aca="false">IF(Staff!$A130="","",Staff!$AI130)</f>
        <v/>
      </c>
      <c r="S130" s="0" t="str">
        <f aca="false">IF(Staff!$A130="","",Staff!$AJ130)</f>
        <v/>
      </c>
      <c r="T130" s="0" t="str">
        <f aca="false">IF(Staff!$A130="","",Staff!$AN130)</f>
        <v/>
      </c>
      <c r="U130" s="0" t="str">
        <f aca="false">IF(Staff!$A130="","",Staff!$AO130)</f>
        <v/>
      </c>
      <c r="V130" s="0" t="str">
        <f aca="false">IF(Staff!$A130="","",Staff!$AP130)</f>
        <v/>
      </c>
      <c r="W130" s="0" t="str">
        <f aca="false">IF(Staff!$A130="","",Staff!$AQ130)</f>
        <v/>
      </c>
    </row>
    <row r="131" customFormat="false" ht="15" hidden="false" customHeight="false" outlineLevel="0" collapsed="false">
      <c r="A131" s="13" t="str">
        <f aca="false">IF(Staff!$A131="","",Staff!$A131)</f>
        <v/>
      </c>
      <c r="B131" s="13" t="str">
        <f aca="false">IF(Staff!$A131="","",Staff!$B131)</f>
        <v/>
      </c>
      <c r="C131" s="13" t="str">
        <f aca="false">IF(Staff!$A131="","",Staff!$C131)</f>
        <v/>
      </c>
      <c r="D131" s="11" t="str">
        <f aca="false">IF(Staff!$A131="","",Staff!$AF131)</f>
        <v/>
      </c>
      <c r="E131" s="13" t="str">
        <f aca="false">IF(Staff!$A131="","",Staff!$O131)</f>
        <v/>
      </c>
      <c r="F131" s="13" t="str">
        <f aca="false">IF(E131="","",E131*HoursPerDay)</f>
        <v/>
      </c>
      <c r="G131" s="26" t="str">
        <f aca="false">IF($A131="","",H131&amp;I131&amp;J131&amp;K131&amp;L131&amp;M131&amp;N131&amp;O131&amp;P131)</f>
        <v/>
      </c>
      <c r="H131" s="0" t="str">
        <f aca="false">IF(OR($A131="",$D131=""),"",IF(AND(EDATE($D131,Milestones!$AA$20)&lt;=AsOfDate,IF($Q131=0,$W131,IF(AND($S131&lt;&gt;"",EDATE($D131,Milestones!$AA$20)&gt;=$S131),$V131,IF(AND($R131&lt;&gt;"",EDATE($D131,Milestones!$AA$20)&gt;=$R131),$U131,$T131)))=Milestones!$AB$20),TEXT(EDATE($D131,Milestones!$AA$20),"dd/mm/yy")&amp;" "&amp;Milestones!$AB$20&amp;" "&amp;Milestones!$AC$20&amp;";  ","")&amp;IF(AND(EDATE($D131,Milestones!$AA$21)&lt;=AsOfDate,IF($Q131=0,$W131,IF(AND($S131&lt;&gt;"",EDATE($D131,Milestones!$AA$21)&gt;=$S131),$V131,IF(AND($R131&lt;&gt;"",EDATE($D131,Milestones!$AA$21)&gt;=$R131),$U131,$T131)))=Milestones!$AB$21),TEXT(EDATE($D131,Milestones!$AA$21),"dd/mm/yy")&amp;" "&amp;Milestones!$AB$21&amp;" "&amp;Milestones!$AC$21&amp;";  ","")&amp;IF(AND(EDATE($D131,Milestones!$AA$22)&lt;=AsOfDate,IF($Q131=0,$W131,IF(AND($S131&lt;&gt;"",EDATE($D131,Milestones!$AA$22)&gt;=$S131),$V131,IF(AND($R131&lt;&gt;"",EDATE($D131,Milestones!$AA$22)&gt;=$R131),$U131,$T131)))=Milestones!$AB$22),TEXT(EDATE($D131,Milestones!$AA$22),"dd/mm/yy")&amp;" "&amp;Milestones!$AB$22&amp;" "&amp;Milestones!$AC$22&amp;";  ","")&amp;IF(AND(EDATE($D131,Milestones!$AA$23)&lt;=AsOfDate,IF($Q131=0,$W131,IF(AND($S131&lt;&gt;"",EDATE($D131,Milestones!$AA$23)&gt;=$S131),$V131,IF(AND($R131&lt;&gt;"",EDATE($D131,Milestones!$AA$23)&gt;=$R131),$U131,$T131)))=Milestones!$AB$23),TEXT(EDATE($D131,Milestones!$AA$23),"dd/mm/yy")&amp;" "&amp;Milestones!$AB$23&amp;" "&amp;Milestones!$AC$23&amp;";  ","")&amp;IF(AND(EDATE($D131,Milestones!$AA$24)&lt;=AsOfDate,IF($Q131=0,$W131,IF(AND($S131&lt;&gt;"",EDATE($D131,Milestones!$AA$24)&gt;=$S131),$V131,IF(AND($R131&lt;&gt;"",EDATE($D131,Milestones!$AA$24)&gt;=$R131),$U131,$T131)))=Milestones!$AB$24),TEXT(EDATE($D131,Milestones!$AA$24),"dd/mm/yy")&amp;" "&amp;Milestones!$AB$24&amp;" "&amp;Milestones!$AC$24&amp;";  ","")&amp;IF(AND(EDATE($D131,Milestones!$AA$25)&lt;=AsOfDate,IF($Q131=0,$W131,IF(AND($S131&lt;&gt;"",EDATE($D131,Milestones!$AA$25)&gt;=$S131),$V131,IF(AND($R131&lt;&gt;"",EDATE($D131,Milestones!$AA$25)&gt;=$R131),$U131,$T131)))=Milestones!$AB$25),TEXT(EDATE($D131,Milestones!$AA$25),"dd/mm/yy")&amp;" "&amp;Milestones!$AB$25&amp;" "&amp;Milestones!$AC$25&amp;";  ","")&amp;IF(AND(EDATE($D131,Milestones!$AA$26)&lt;=AsOfDate,IF($Q131=0,$W131,IF(AND($S131&lt;&gt;"",EDATE($D131,Milestones!$AA$26)&gt;=$S131),$V131,IF(AND($R131&lt;&gt;"",EDATE($D131,Milestones!$AA$26)&gt;=$R131),$U131,$T131)))=Milestones!$AB$26),TEXT(EDATE($D131,Milestones!$AA$26),"dd/mm/yy")&amp;" "&amp;Milestones!$AB$26&amp;" "&amp;Milestones!$AC$26&amp;";  ","")&amp;IF(AND(EDATE($D131,Milestones!$AA$27)&lt;=AsOfDate,IF($Q131=0,$W131,IF(AND($S131&lt;&gt;"",EDATE($D131,Milestones!$AA$27)&gt;=$S131),$V131,IF(AND($R131&lt;&gt;"",EDATE($D131,Milestones!$AA$27)&gt;=$R131),$U131,$T131)))=Milestones!$AB$27),TEXT(EDATE($D131,Milestones!$AA$27),"dd/mm/yy")&amp;" "&amp;Milestones!$AB$27&amp;" "&amp;Milestones!$AC$27&amp;";  ","")&amp;IF(AND(EDATE($D131,Milestones!$AA$28)&lt;=AsOfDate,IF($Q131=0,$W131,IF(AND($S131&lt;&gt;"",EDATE($D131,Milestones!$AA$28)&gt;=$S131),$V131,IF(AND($R131&lt;&gt;"",EDATE($D131,Milestones!$AA$28)&gt;=$R131),$U131,$T131)))=Milestones!$AB$28),TEXT(EDATE($D131,Milestones!$AA$28),"dd/mm/yy")&amp;" "&amp;Milestones!$AB$28&amp;" "&amp;Milestones!$AC$28&amp;";  ","")&amp;IF(AND(EDATE($D131,Milestones!$AA$29)&lt;=AsOfDate,IF($Q131=0,$W131,IF(AND($S131&lt;&gt;"",EDATE($D131,Milestones!$AA$29)&gt;=$S131),$V131,IF(AND($R131&lt;&gt;"",EDATE($D131,Milestones!$AA$29)&gt;=$R131),$U131,$T131)))=Milestones!$AB$29),TEXT(EDATE($D131,Milestones!$AA$29),"dd/mm/yy")&amp;" "&amp;Milestones!$AB$29&amp;" "&amp;Milestones!$AC$29&amp;";  ","")&amp;IF(AND(EDATE($D131,Milestones!$AA$30)&lt;=AsOfDate,IF($Q131=0,$W131,IF(AND($S131&lt;&gt;"",EDATE($D131,Milestones!$AA$30)&gt;=$S131),$V131,IF(AND($R131&lt;&gt;"",EDATE($D131,Milestones!$AA$30)&gt;=$R131),$U131,$T131)))=Milestones!$AB$30),TEXT(EDATE($D131,Milestones!$AA$30),"dd/mm/yy")&amp;" "&amp;Milestones!$AB$30&amp;" "&amp;Milestones!$AC$30&amp;";  ","")&amp;IF(AND(EDATE($D131,Milestones!$AA$31)&lt;=AsOfDate,IF($Q131=0,$W131,IF(AND($S131&lt;&gt;"",EDATE($D131,Milestones!$AA$31)&gt;=$S131),$V131,IF(AND($R131&lt;&gt;"",EDATE($D131,Milestones!$AA$31)&gt;=$R131),$U131,$T131)))=Milestones!$AB$31),TEXT(EDATE($D131,Milestones!$AA$31),"dd/mm/yy")&amp;" "&amp;Milestones!$AB$31&amp;" "&amp;Milestones!$AC$31&amp;";  ","")&amp;IF(AND(EDATE($D131,Milestones!$AA$32)&lt;=AsOfDate,IF($Q131=0,$W131,IF(AND($S131&lt;&gt;"",EDATE($D131,Milestones!$AA$32)&gt;=$S131),$V131,IF(AND($R131&lt;&gt;"",EDATE($D131,Milestones!$AA$32)&gt;=$R131),$U131,$T131)))=Milestones!$AB$32),TEXT(EDATE($D131,Milestones!$AA$32),"dd/mm/yy")&amp;" "&amp;Milestones!$AB$32&amp;" "&amp;Milestones!$AC$32&amp;";  ","")&amp;IF(AND(EDATE($D131,Milestones!$AA$33)&lt;=AsOfDate,IF($Q131=0,$W131,IF(AND($S131&lt;&gt;"",EDATE($D131,Milestones!$AA$33)&gt;=$S131),$V131,IF(AND($R131&lt;&gt;"",EDATE($D131,Milestones!$AA$33)&gt;=$R131),$U131,$T131)))=Milestones!$AB$33),TEXT(EDATE($D131,Milestones!$AA$33),"dd/mm/yy")&amp;" "&amp;Milestones!$AB$33&amp;" "&amp;Milestones!$AC$33&amp;";  ","")&amp;IF(AND(EDATE($D131,Milestones!$AA$34)&lt;=AsOfDate,IF($Q131=0,$W131,IF(AND($S131&lt;&gt;"",EDATE($D131,Milestones!$AA$34)&gt;=$S131),$V131,IF(AND($R131&lt;&gt;"",EDATE($D131,Milestones!$AA$34)&gt;=$R131),$U131,$T131)))=Milestones!$AB$34),TEXT(EDATE($D131,Milestones!$AA$34),"dd/mm/yy")&amp;" "&amp;Milestones!$AB$34&amp;" "&amp;Milestones!$AC$34&amp;";  ","")&amp;IF(AND(EDATE($D131,Milestones!$AA$35)&lt;=AsOfDate,IF($Q131=0,$W131,IF(AND($S131&lt;&gt;"",EDATE($D131,Milestones!$AA$35)&gt;=$S131),$V131,IF(AND($R131&lt;&gt;"",EDATE($D131,Milestones!$AA$35)&gt;=$R131),$U131,$T131)))=Milestones!$AB$35),TEXT(EDATE($D131,Milestones!$AA$35),"dd/mm/yy")&amp;" "&amp;Milestones!$AB$35&amp;" "&amp;Milestones!$AC$35&amp;";  ","")&amp;IF(AND(EDATE($D131,Milestones!$AA$36)&lt;=AsOfDate,IF($Q131=0,$W131,IF(AND($S131&lt;&gt;"",EDATE($D131,Milestones!$AA$36)&gt;=$S131),$V131,IF(AND($R131&lt;&gt;"",EDATE($D131,Milestones!$AA$36)&gt;=$R131),$U131,$T131)))=Milestones!$AB$36),TEXT(EDATE($D131,Milestones!$AA$36),"dd/mm/yy")&amp;" "&amp;Milestones!$AB$36&amp;" "&amp;Milestones!$AC$36&amp;";  ","")&amp;IF(AND(EDATE($D131,Milestones!$AA$37)&lt;=AsOfDate,IF($Q131=0,$W131,IF(AND($S131&lt;&gt;"",EDATE($D131,Milestones!$AA$37)&gt;=$S131),$V131,IF(AND($R131&lt;&gt;"",EDATE($D131,Milestones!$AA$37)&gt;=$R131),$U131,$T131)))=Milestones!$AB$37),TEXT(EDATE($D131,Milestones!$AA$37),"dd/mm/yy")&amp;" "&amp;Milestones!$AB$37&amp;" "&amp;Milestones!$AC$37&amp;";  ","")&amp;IF(AND(EDATE($D131,Milestones!$AA$38)&lt;=AsOfDate,IF($Q131=0,$W131,IF(AND($S131&lt;&gt;"",EDATE($D131,Milestones!$AA$38)&gt;=$S131),$V131,IF(AND($R131&lt;&gt;"",EDATE($D131,Milestones!$AA$38)&gt;=$R131),$U131,$T131)))=Milestones!$AB$38),TEXT(EDATE($D131,Milestones!$AA$38),"dd/mm/yy")&amp;" "&amp;Milestones!$AB$38&amp;" "&amp;Milestones!$AC$38&amp;";  ","")&amp;IF(AND(EDATE($D131,Milestones!$AA$39)&lt;=AsOfDate,IF($Q131=0,$W131,IF(AND($S131&lt;&gt;"",EDATE($D131,Milestones!$AA$39)&gt;=$S131),$V131,IF(AND($R131&lt;&gt;"",EDATE($D131,Milestones!$AA$39)&gt;=$R131),$U131,$T131)))=Milestones!$AB$39),TEXT(EDATE($D131,Milestones!$AA$39),"dd/mm/yy")&amp;" "&amp;Milestones!$AB$39&amp;" "&amp;Milestones!$AC$39&amp;";  ",""))</f>
        <v/>
      </c>
      <c r="I131" s="0" t="str">
        <f aca="false">IF(OR($A131="",$D131=""),"",IF(AND(EDATE($D131,Milestones!$AA$40)&lt;=AsOfDate,IF($Q131=0,$W131,IF(AND($S131&lt;&gt;"",EDATE($D131,Milestones!$AA$40)&gt;=$S131),$V131,IF(AND($R131&lt;&gt;"",EDATE($D131,Milestones!$AA$40)&gt;=$R131),$U131,$T131)))=Milestones!$AB$40),TEXT(EDATE($D131,Milestones!$AA$40),"dd/mm/yy")&amp;" "&amp;Milestones!$AB$40&amp;" "&amp;Milestones!$AC$40&amp;";  ","")&amp;IF(AND(EDATE($D131,Milestones!$AA$41)&lt;=AsOfDate,IF($Q131=0,$W131,IF(AND($S131&lt;&gt;"",EDATE($D131,Milestones!$AA$41)&gt;=$S131),$V131,IF(AND($R131&lt;&gt;"",EDATE($D131,Milestones!$AA$41)&gt;=$R131),$U131,$T131)))=Milestones!$AB$41),TEXT(EDATE($D131,Milestones!$AA$41),"dd/mm/yy")&amp;" "&amp;Milestones!$AB$41&amp;" "&amp;Milestones!$AC$41&amp;";  ","")&amp;IF(AND(EDATE($D131,Milestones!$AA$42)&lt;=AsOfDate,IF($Q131=0,$W131,IF(AND($S131&lt;&gt;"",EDATE($D131,Milestones!$AA$42)&gt;=$S131),$V131,IF(AND($R131&lt;&gt;"",EDATE($D131,Milestones!$AA$42)&gt;=$R131),$U131,$T131)))=Milestones!$AB$42),TEXT(EDATE($D131,Milestones!$AA$42),"dd/mm/yy")&amp;" "&amp;Milestones!$AB$42&amp;" "&amp;Milestones!$AC$42&amp;";  ","")&amp;IF(AND(EDATE($D131,Milestones!$AA$43)&lt;=AsOfDate,IF($Q131=0,$W131,IF(AND($S131&lt;&gt;"",EDATE($D131,Milestones!$AA$43)&gt;=$S131),$V131,IF(AND($R131&lt;&gt;"",EDATE($D131,Milestones!$AA$43)&gt;=$R131),$U131,$T131)))=Milestones!$AB$43),TEXT(EDATE($D131,Milestones!$AA$43),"dd/mm/yy")&amp;" "&amp;Milestones!$AB$43&amp;" "&amp;Milestones!$AC$43&amp;";  ","")&amp;IF(AND(EDATE($D131,Milestones!$AA$44)&lt;=AsOfDate,IF($Q131=0,$W131,IF(AND($S131&lt;&gt;"",EDATE($D131,Milestones!$AA$44)&gt;=$S131),$V131,IF(AND($R131&lt;&gt;"",EDATE($D131,Milestones!$AA$44)&gt;=$R131),$U131,$T131)))=Milestones!$AB$44),TEXT(EDATE($D131,Milestones!$AA$44),"dd/mm/yy")&amp;" "&amp;Milestones!$AB$44&amp;" "&amp;Milestones!$AC$44&amp;";  ","")&amp;IF(AND(EDATE($D131,Milestones!$AA$45)&lt;=AsOfDate,IF($Q131=0,$W131,IF(AND($S131&lt;&gt;"",EDATE($D131,Milestones!$AA$45)&gt;=$S131),$V131,IF(AND($R131&lt;&gt;"",EDATE($D131,Milestones!$AA$45)&gt;=$R131),$U131,$T131)))=Milestones!$AB$45),TEXT(EDATE($D131,Milestones!$AA$45),"dd/mm/yy")&amp;" "&amp;Milestones!$AB$45&amp;" "&amp;Milestones!$AC$45&amp;";  ","")&amp;IF(AND(EDATE($D131,Milestones!$AA$46)&lt;=AsOfDate,IF($Q131=0,$W131,IF(AND($S131&lt;&gt;"",EDATE($D131,Milestones!$AA$46)&gt;=$S131),$V131,IF(AND($R131&lt;&gt;"",EDATE($D131,Milestones!$AA$46)&gt;=$R131),$U131,$T131)))=Milestones!$AB$46),TEXT(EDATE($D131,Milestones!$AA$46),"dd/mm/yy")&amp;" "&amp;Milestones!$AB$46&amp;" "&amp;Milestones!$AC$46&amp;";  ","")&amp;IF(AND(EDATE($D131,Milestones!$AA$47)&lt;=AsOfDate,IF($Q131=0,$W131,IF(AND($S131&lt;&gt;"",EDATE($D131,Milestones!$AA$47)&gt;=$S131),$V131,IF(AND($R131&lt;&gt;"",EDATE($D131,Milestones!$AA$47)&gt;=$R131),$U131,$T131)))=Milestones!$AB$47),TEXT(EDATE($D131,Milestones!$AA$47),"dd/mm/yy")&amp;" "&amp;Milestones!$AB$47&amp;" "&amp;Milestones!$AC$47&amp;";  ","")&amp;IF(AND(EDATE($D131,Milestones!$AA$48)&lt;=AsOfDate,IF($Q131=0,$W131,IF(AND($S131&lt;&gt;"",EDATE($D131,Milestones!$AA$48)&gt;=$S131),$V131,IF(AND($R131&lt;&gt;"",EDATE($D131,Milestones!$AA$48)&gt;=$R131),$U131,$T131)))=Milestones!$AB$48),TEXT(EDATE($D131,Milestones!$AA$48),"dd/mm/yy")&amp;" "&amp;Milestones!$AB$48&amp;" "&amp;Milestones!$AC$48&amp;";  ","")&amp;IF(AND(EDATE($D131,Milestones!$AA$49)&lt;=AsOfDate,IF($Q131=0,$W131,IF(AND($S131&lt;&gt;"",EDATE($D131,Milestones!$AA$49)&gt;=$S131),$V131,IF(AND($R131&lt;&gt;"",EDATE($D131,Milestones!$AA$49)&gt;=$R131),$U131,$T131)))=Milestones!$AB$49),TEXT(EDATE($D131,Milestones!$AA$49),"dd/mm/yy")&amp;" "&amp;Milestones!$AB$49&amp;" "&amp;Milestones!$AC$49&amp;";  ","")&amp;IF(AND(EDATE($D131,Milestones!$AA$50)&lt;=AsOfDate,IF($Q131=0,$W131,IF(AND($S131&lt;&gt;"",EDATE($D131,Milestones!$AA$50)&gt;=$S131),$V131,IF(AND($R131&lt;&gt;"",EDATE($D131,Milestones!$AA$50)&gt;=$R131),$U131,$T131)))=Milestones!$AB$50),TEXT(EDATE($D131,Milestones!$AA$50),"dd/mm/yy")&amp;" "&amp;Milestones!$AB$50&amp;" "&amp;Milestones!$AC$50&amp;";  ","")&amp;IF(AND(EDATE($D131,Milestones!$AA$51)&lt;=AsOfDate,IF($Q131=0,$W131,IF(AND($S131&lt;&gt;"",EDATE($D131,Milestones!$AA$51)&gt;=$S131),$V131,IF(AND($R131&lt;&gt;"",EDATE($D131,Milestones!$AA$51)&gt;=$R131),$U131,$T131)))=Milestones!$AB$51),TEXT(EDATE($D131,Milestones!$AA$51),"dd/mm/yy")&amp;" "&amp;Milestones!$AB$51&amp;" "&amp;Milestones!$AC$51&amp;";  ","")&amp;IF(AND(EDATE($D131,Milestones!$AA$52)&lt;=AsOfDate,IF($Q131=0,$W131,IF(AND($S131&lt;&gt;"",EDATE($D131,Milestones!$AA$52)&gt;=$S131),$V131,IF(AND($R131&lt;&gt;"",EDATE($D131,Milestones!$AA$52)&gt;=$R131),$U131,$T131)))=Milestones!$AB$52),TEXT(EDATE($D131,Milestones!$AA$52),"dd/mm/yy")&amp;" "&amp;Milestones!$AB$52&amp;" "&amp;Milestones!$AC$52&amp;";  ","")&amp;IF(AND(EDATE($D131,Milestones!$AA$53)&lt;=AsOfDate,IF($Q131=0,$W131,IF(AND($S131&lt;&gt;"",EDATE($D131,Milestones!$AA$53)&gt;=$S131),$V131,IF(AND($R131&lt;&gt;"",EDATE($D131,Milestones!$AA$53)&gt;=$R131),$U131,$T131)))=Milestones!$AB$53),TEXT(EDATE($D131,Milestones!$AA$53),"dd/mm/yy")&amp;" "&amp;Milestones!$AB$53&amp;" "&amp;Milestones!$AC$53&amp;";  ","")&amp;IF(AND(EDATE($D131,Milestones!$AA$54)&lt;=AsOfDate,IF($Q131=0,$W131,IF(AND($S131&lt;&gt;"",EDATE($D131,Milestones!$AA$54)&gt;=$S131),$V131,IF(AND($R131&lt;&gt;"",EDATE($D131,Milestones!$AA$54)&gt;=$R131),$U131,$T131)))=Milestones!$AB$54),TEXT(EDATE($D131,Milestones!$AA$54),"dd/mm/yy")&amp;" "&amp;Milestones!$AB$54&amp;" "&amp;Milestones!$AC$54&amp;";  ","")&amp;IF(AND(EDATE($D131,Milestones!$AA$55)&lt;=AsOfDate,IF($Q131=0,$W131,IF(AND($S131&lt;&gt;"",EDATE($D131,Milestones!$AA$55)&gt;=$S131),$V131,IF(AND($R131&lt;&gt;"",EDATE($D131,Milestones!$AA$55)&gt;=$R131),$U131,$T131)))=Milestones!$AB$55),TEXT(EDATE($D131,Milestones!$AA$55),"dd/mm/yy")&amp;" "&amp;Milestones!$AB$55&amp;" "&amp;Milestones!$AC$55&amp;";  ","")&amp;IF(AND(EDATE($D131,Milestones!$AA$56)&lt;=AsOfDate,IF($Q131=0,$W131,IF(AND($S131&lt;&gt;"",EDATE($D131,Milestones!$AA$56)&gt;=$S131),$V131,IF(AND($R131&lt;&gt;"",EDATE($D131,Milestones!$AA$56)&gt;=$R131),$U131,$T131)))=Milestones!$AB$56),TEXT(EDATE($D131,Milestones!$AA$56),"dd/mm/yy")&amp;" "&amp;Milestones!$AB$56&amp;" "&amp;Milestones!$AC$56&amp;";  ","")&amp;IF(AND(EDATE($D131,Milestones!$AA$57)&lt;=AsOfDate,IF($Q131=0,$W131,IF(AND($S131&lt;&gt;"",EDATE($D131,Milestones!$AA$57)&gt;=$S131),$V131,IF(AND($R131&lt;&gt;"",EDATE($D131,Milestones!$AA$57)&gt;=$R131),$U131,$T131)))=Milestones!$AB$57),TEXT(EDATE($D131,Milestones!$AA$57),"dd/mm/yy")&amp;" "&amp;Milestones!$AB$57&amp;" "&amp;Milestones!$AC$57&amp;";  ","")&amp;IF(AND(EDATE($D131,Milestones!$AA$58)&lt;=AsOfDate,IF($Q131=0,$W131,IF(AND($S131&lt;&gt;"",EDATE($D131,Milestones!$AA$58)&gt;=$S131),$V131,IF(AND($R131&lt;&gt;"",EDATE($D131,Milestones!$AA$58)&gt;=$R131),$U131,$T131)))=Milestones!$AB$58),TEXT(EDATE($D131,Milestones!$AA$58),"dd/mm/yy")&amp;" "&amp;Milestones!$AB$58&amp;" "&amp;Milestones!$AC$58&amp;";  ","")&amp;IF(AND(EDATE($D131,Milestones!$AA$59)&lt;=AsOfDate,IF($Q131=0,$W131,IF(AND($S131&lt;&gt;"",EDATE($D131,Milestones!$AA$59)&gt;=$S131),$V131,IF(AND($R131&lt;&gt;"",EDATE($D131,Milestones!$AA$59)&gt;=$R131),$U131,$T131)))=Milestones!$AB$59),TEXT(EDATE($D131,Milestones!$AA$59),"dd/mm/yy")&amp;" "&amp;Milestones!$AB$59&amp;" "&amp;Milestones!$AC$59&amp;";  ",""))</f>
        <v/>
      </c>
      <c r="J131" s="0" t="str">
        <f aca="false">IF(OR($A131="",$D131=""),"",IF(AND(EDATE($D131,Milestones!$AA$60)&lt;=AsOfDate,IF($Q131=0,$W131,IF(AND($S131&lt;&gt;"",EDATE($D131,Milestones!$AA$60)&gt;=$S131),$V131,IF(AND($R131&lt;&gt;"",EDATE($D131,Milestones!$AA$60)&gt;=$R131),$U131,$T131)))=Milestones!$AB$60),TEXT(EDATE($D131,Milestones!$AA$60),"dd/mm/yy")&amp;" "&amp;Milestones!$AB$60&amp;" "&amp;Milestones!$AC$60&amp;";  ","")&amp;IF(AND(EDATE($D131,Milestones!$AA$61)&lt;=AsOfDate,IF($Q131=0,$W131,IF(AND($S131&lt;&gt;"",EDATE($D131,Milestones!$AA$61)&gt;=$S131),$V131,IF(AND($R131&lt;&gt;"",EDATE($D131,Milestones!$AA$61)&gt;=$R131),$U131,$T131)))=Milestones!$AB$61),TEXT(EDATE($D131,Milestones!$AA$61),"dd/mm/yy")&amp;" "&amp;Milestones!$AB$61&amp;" "&amp;Milestones!$AC$61&amp;";  ","")&amp;IF(AND(EDATE($D131,Milestones!$AA$62)&lt;=AsOfDate,IF($Q131=0,$W131,IF(AND($S131&lt;&gt;"",EDATE($D131,Milestones!$AA$62)&gt;=$S131),$V131,IF(AND($R131&lt;&gt;"",EDATE($D131,Milestones!$AA$62)&gt;=$R131),$U131,$T131)))=Milestones!$AB$62),TEXT(EDATE($D131,Milestones!$AA$62),"dd/mm/yy")&amp;" "&amp;Milestones!$AB$62&amp;" "&amp;Milestones!$AC$62&amp;";  ","")&amp;IF(AND(EDATE($D131,Milestones!$AA$63)&lt;=AsOfDate,IF($Q131=0,$W131,IF(AND($S131&lt;&gt;"",EDATE($D131,Milestones!$AA$63)&gt;=$S131),$V131,IF(AND($R131&lt;&gt;"",EDATE($D131,Milestones!$AA$63)&gt;=$R131),$U131,$T131)))=Milestones!$AB$63),TEXT(EDATE($D131,Milestones!$AA$63),"dd/mm/yy")&amp;" "&amp;Milestones!$AB$63&amp;" "&amp;Milestones!$AC$63&amp;";  ","")&amp;IF(AND(EDATE($D131,Milestones!$AA$64)&lt;=AsOfDate,IF($Q131=0,$W131,IF(AND($S131&lt;&gt;"",EDATE($D131,Milestones!$AA$64)&gt;=$S131),$V131,IF(AND($R131&lt;&gt;"",EDATE($D131,Milestones!$AA$64)&gt;=$R131),$U131,$T131)))=Milestones!$AB$64),TEXT(EDATE($D131,Milestones!$AA$64),"dd/mm/yy")&amp;" "&amp;Milestones!$AB$64&amp;" "&amp;Milestones!$AC$64&amp;";  ","")&amp;IF(AND(EDATE($D131,Milestones!$AA$65)&lt;=AsOfDate,IF($Q131=0,$W131,IF(AND($S131&lt;&gt;"",EDATE($D131,Milestones!$AA$65)&gt;=$S131),$V131,IF(AND($R131&lt;&gt;"",EDATE($D131,Milestones!$AA$65)&gt;=$R131),$U131,$T131)))=Milestones!$AB$65),TEXT(EDATE($D131,Milestones!$AA$65),"dd/mm/yy")&amp;" "&amp;Milestones!$AB$65&amp;" "&amp;Milestones!$AC$65&amp;";  ","")&amp;IF(AND(EDATE($D131,Milestones!$AA$66)&lt;=AsOfDate,IF($Q131=0,$W131,IF(AND($S131&lt;&gt;"",EDATE($D131,Milestones!$AA$66)&gt;=$S131),$V131,IF(AND($R131&lt;&gt;"",EDATE($D131,Milestones!$AA$66)&gt;=$R131),$U131,$T131)))=Milestones!$AB$66),TEXT(EDATE($D131,Milestones!$AA$66),"dd/mm/yy")&amp;" "&amp;Milestones!$AB$66&amp;" "&amp;Milestones!$AC$66&amp;";  ","")&amp;IF(AND(EDATE($D131,Milestones!$AA$67)&lt;=AsOfDate,IF($Q131=0,$W131,IF(AND($S131&lt;&gt;"",EDATE($D131,Milestones!$AA$67)&gt;=$S131),$V131,IF(AND($R131&lt;&gt;"",EDATE($D131,Milestones!$AA$67)&gt;=$R131),$U131,$T131)))=Milestones!$AB$67),TEXT(EDATE($D131,Milestones!$AA$67),"dd/mm/yy")&amp;" "&amp;Milestones!$AB$67&amp;" "&amp;Milestones!$AC$67&amp;";  ","")&amp;IF(AND(EDATE($D131,Milestones!$AA$68)&lt;=AsOfDate,IF($Q131=0,$W131,IF(AND($S131&lt;&gt;"",EDATE($D131,Milestones!$AA$68)&gt;=$S131),$V131,IF(AND($R131&lt;&gt;"",EDATE($D131,Milestones!$AA$68)&gt;=$R131),$U131,$T131)))=Milestones!$AB$68),TEXT(EDATE($D131,Milestones!$AA$68),"dd/mm/yy")&amp;" "&amp;Milestones!$AB$68&amp;" "&amp;Milestones!$AC$68&amp;";  ","")&amp;IF(AND(EDATE($D131,Milestones!$AA$69)&lt;=AsOfDate,IF($Q131=0,$W131,IF(AND($S131&lt;&gt;"",EDATE($D131,Milestones!$AA$69)&gt;=$S131),$V131,IF(AND($R131&lt;&gt;"",EDATE($D131,Milestones!$AA$69)&gt;=$R131),$U131,$T131)))=Milestones!$AB$69),TEXT(EDATE($D131,Milestones!$AA$69),"dd/mm/yy")&amp;" "&amp;Milestones!$AB$69&amp;" "&amp;Milestones!$AC$69&amp;";  ","")&amp;IF(AND(EDATE($D131,Milestones!$AA$70)&lt;=AsOfDate,IF($Q131=0,$W131,IF(AND($S131&lt;&gt;"",EDATE($D131,Milestones!$AA$70)&gt;=$S131),$V131,IF(AND($R131&lt;&gt;"",EDATE($D131,Milestones!$AA$70)&gt;=$R131),$U131,$T131)))=Milestones!$AB$70),TEXT(EDATE($D131,Milestones!$AA$70),"dd/mm/yy")&amp;" "&amp;Milestones!$AB$70&amp;" "&amp;Milestones!$AC$70&amp;";  ","")&amp;IF(AND(EDATE($D131,Milestones!$AA$71)&lt;=AsOfDate,IF($Q131=0,$W131,IF(AND($S131&lt;&gt;"",EDATE($D131,Milestones!$AA$71)&gt;=$S131),$V131,IF(AND($R131&lt;&gt;"",EDATE($D131,Milestones!$AA$71)&gt;=$R131),$U131,$T131)))=Milestones!$AB$71),TEXT(EDATE($D131,Milestones!$AA$71),"dd/mm/yy")&amp;" "&amp;Milestones!$AB$71&amp;" "&amp;Milestones!$AC$71&amp;";  ","")&amp;IF(AND(EDATE($D131,Milestones!$AA$72)&lt;=AsOfDate,IF($Q131=0,$W131,IF(AND($S131&lt;&gt;"",EDATE($D131,Milestones!$AA$72)&gt;=$S131),$V131,IF(AND($R131&lt;&gt;"",EDATE($D131,Milestones!$AA$72)&gt;=$R131),$U131,$T131)))=Milestones!$AB$72),TEXT(EDATE($D131,Milestones!$AA$72),"dd/mm/yy")&amp;" "&amp;Milestones!$AB$72&amp;" "&amp;Milestones!$AC$72&amp;";  ","")&amp;IF(AND(EDATE($D131,Milestones!$AA$73)&lt;=AsOfDate,IF($Q131=0,$W131,IF(AND($S131&lt;&gt;"",EDATE($D131,Milestones!$AA$73)&gt;=$S131),$V131,IF(AND($R131&lt;&gt;"",EDATE($D131,Milestones!$AA$73)&gt;=$R131),$U131,$T131)))=Milestones!$AB$73),TEXT(EDATE($D131,Milestones!$AA$73),"dd/mm/yy")&amp;" "&amp;Milestones!$AB$73&amp;" "&amp;Milestones!$AC$73&amp;";  ","")&amp;IF(AND(EDATE($D131,Milestones!$AA$74)&lt;=AsOfDate,IF($Q131=0,$W131,IF(AND($S131&lt;&gt;"",EDATE($D131,Milestones!$AA$74)&gt;=$S131),$V131,IF(AND($R131&lt;&gt;"",EDATE($D131,Milestones!$AA$74)&gt;=$R131),$U131,$T131)))=Milestones!$AB$74),TEXT(EDATE($D131,Milestones!$AA$74),"dd/mm/yy")&amp;" "&amp;Milestones!$AB$74&amp;" "&amp;Milestones!$AC$74&amp;";  ","")&amp;IF(AND(EDATE($D131,Milestones!$AA$75)&lt;=AsOfDate,IF($Q131=0,$W131,IF(AND($S131&lt;&gt;"",EDATE($D131,Milestones!$AA$75)&gt;=$S131),$V131,IF(AND($R131&lt;&gt;"",EDATE($D131,Milestones!$AA$75)&gt;=$R131),$U131,$T131)))=Milestones!$AB$75),TEXT(EDATE($D131,Milestones!$AA$75),"dd/mm/yy")&amp;" "&amp;Milestones!$AB$75&amp;" "&amp;Milestones!$AC$75&amp;";  ","")&amp;IF(AND(EDATE($D131,Milestones!$AA$76)&lt;=AsOfDate,IF($Q131=0,$W131,IF(AND($S131&lt;&gt;"",EDATE($D131,Milestones!$AA$76)&gt;=$S131),$V131,IF(AND($R131&lt;&gt;"",EDATE($D131,Milestones!$AA$76)&gt;=$R131),$U131,$T131)))=Milestones!$AB$76),TEXT(EDATE($D131,Milestones!$AA$76),"dd/mm/yy")&amp;" "&amp;Milestones!$AB$76&amp;" "&amp;Milestones!$AC$76&amp;";  ","")&amp;IF(AND(EDATE($D131,Milestones!$AA$77)&lt;=AsOfDate,IF($Q131=0,$W131,IF(AND($S131&lt;&gt;"",EDATE($D131,Milestones!$AA$77)&gt;=$S131),$V131,IF(AND($R131&lt;&gt;"",EDATE($D131,Milestones!$AA$77)&gt;=$R131),$U131,$T131)))=Milestones!$AB$77),TEXT(EDATE($D131,Milestones!$AA$77),"dd/mm/yy")&amp;" "&amp;Milestones!$AB$77&amp;" "&amp;Milestones!$AC$77&amp;";  ","")&amp;IF(AND(EDATE($D131,Milestones!$AA$78)&lt;=AsOfDate,IF($Q131=0,$W131,IF(AND($S131&lt;&gt;"",EDATE($D131,Milestones!$AA$78)&gt;=$S131),$V131,IF(AND($R131&lt;&gt;"",EDATE($D131,Milestones!$AA$78)&gt;=$R131),$U131,$T131)))=Milestones!$AB$78),TEXT(EDATE($D131,Milestones!$AA$78),"dd/mm/yy")&amp;" "&amp;Milestones!$AB$78&amp;" "&amp;Milestones!$AC$78&amp;";  ","")&amp;IF(AND(EDATE($D131,Milestones!$AA$79)&lt;=AsOfDate,IF($Q131=0,$W131,IF(AND($S131&lt;&gt;"",EDATE($D131,Milestones!$AA$79)&gt;=$S131),$V131,IF(AND($R131&lt;&gt;"",EDATE($D131,Milestones!$AA$79)&gt;=$R131),$U131,$T131)))=Milestones!$AB$79),TEXT(EDATE($D131,Milestones!$AA$79),"dd/mm/yy")&amp;" "&amp;Milestones!$AB$79&amp;" "&amp;Milestones!$AC$79&amp;";  ",""))</f>
        <v/>
      </c>
      <c r="K131" s="0" t="str">
        <f aca="false">IF(OR($A131="",$D131=""),"",IF(AND(EDATE($D131,Milestones!$AA$80)&lt;=AsOfDate,IF($Q131=0,$W131,IF(AND($S131&lt;&gt;"",EDATE($D131,Milestones!$AA$80)&gt;=$S131),$V131,IF(AND($R131&lt;&gt;"",EDATE($D131,Milestones!$AA$80)&gt;=$R131),$U131,$T131)))=Milestones!$AB$80),TEXT(EDATE($D131,Milestones!$AA$80),"dd/mm/yy")&amp;" "&amp;Milestones!$AB$80&amp;" "&amp;Milestones!$AC$80&amp;";  ","")&amp;IF(AND(EDATE($D131,Milestones!$AA$81)&lt;=AsOfDate,IF($Q131=0,$W131,IF(AND($S131&lt;&gt;"",EDATE($D131,Milestones!$AA$81)&gt;=$S131),$V131,IF(AND($R131&lt;&gt;"",EDATE($D131,Milestones!$AA$81)&gt;=$R131),$U131,$T131)))=Milestones!$AB$81),TEXT(EDATE($D131,Milestones!$AA$81),"dd/mm/yy")&amp;" "&amp;Milestones!$AB$81&amp;" "&amp;Milestones!$AC$81&amp;";  ","")&amp;IF(AND(EDATE($D131,Milestones!$AA$82)&lt;=AsOfDate,IF($Q131=0,$W131,IF(AND($S131&lt;&gt;"",EDATE($D131,Milestones!$AA$82)&gt;=$S131),$V131,IF(AND($R131&lt;&gt;"",EDATE($D131,Milestones!$AA$82)&gt;=$R131),$U131,$T131)))=Milestones!$AB$82),TEXT(EDATE($D131,Milestones!$AA$82),"dd/mm/yy")&amp;" "&amp;Milestones!$AB$82&amp;" "&amp;Milestones!$AC$82&amp;";  ","")&amp;IF(AND(EDATE($D131,Milestones!$AA$83)&lt;=AsOfDate,IF($Q131=0,$W131,IF(AND($S131&lt;&gt;"",EDATE($D131,Milestones!$AA$83)&gt;=$S131),$V131,IF(AND($R131&lt;&gt;"",EDATE($D131,Milestones!$AA$83)&gt;=$R131),$U131,$T131)))=Milestones!$AB$83),TEXT(EDATE($D131,Milestones!$AA$83),"dd/mm/yy")&amp;" "&amp;Milestones!$AB$83&amp;" "&amp;Milestones!$AC$83&amp;";  ","")&amp;IF(AND(EDATE($D131,Milestones!$AA$84)&lt;=AsOfDate,IF($Q131=0,$W131,IF(AND($S131&lt;&gt;"",EDATE($D131,Milestones!$AA$84)&gt;=$S131),$V131,IF(AND($R131&lt;&gt;"",EDATE($D131,Milestones!$AA$84)&gt;=$R131),$U131,$T131)))=Milestones!$AB$84),TEXT(EDATE($D131,Milestones!$AA$84),"dd/mm/yy")&amp;" "&amp;Milestones!$AB$84&amp;" "&amp;Milestones!$AC$84&amp;";  ","")&amp;IF(AND(EDATE($D131,Milestones!$AA$85)&lt;=AsOfDate,IF($Q131=0,$W131,IF(AND($S131&lt;&gt;"",EDATE($D131,Milestones!$AA$85)&gt;=$S131),$V131,IF(AND($R131&lt;&gt;"",EDATE($D131,Milestones!$AA$85)&gt;=$R131),$U131,$T131)))=Milestones!$AB$85),TEXT(EDATE($D131,Milestones!$AA$85),"dd/mm/yy")&amp;" "&amp;Milestones!$AB$85&amp;" "&amp;Milestones!$AC$85&amp;";  ","")&amp;IF(AND(EDATE($D131,Milestones!$AA$86)&lt;=AsOfDate,IF($Q131=0,$W131,IF(AND($S131&lt;&gt;"",EDATE($D131,Milestones!$AA$86)&gt;=$S131),$V131,IF(AND($R131&lt;&gt;"",EDATE($D131,Milestones!$AA$86)&gt;=$R131),$U131,$T131)))=Milestones!$AB$86),TEXT(EDATE($D131,Milestones!$AA$86),"dd/mm/yy")&amp;" "&amp;Milestones!$AB$86&amp;" "&amp;Milestones!$AC$86&amp;";  ","")&amp;IF(AND(EDATE($D131,Milestones!$AA$87)&lt;=AsOfDate,IF($Q131=0,$W131,IF(AND($S131&lt;&gt;"",EDATE($D131,Milestones!$AA$87)&gt;=$S131),$V131,IF(AND($R131&lt;&gt;"",EDATE($D131,Milestones!$AA$87)&gt;=$R131),$U131,$T131)))=Milestones!$AB$87),TEXT(EDATE($D131,Milestones!$AA$87),"dd/mm/yy")&amp;" "&amp;Milestones!$AB$87&amp;" "&amp;Milestones!$AC$87&amp;";  ","")&amp;IF(AND(EDATE($D131,Milestones!$AA$88)&lt;=AsOfDate,IF($Q131=0,$W131,IF(AND($S131&lt;&gt;"",EDATE($D131,Milestones!$AA$88)&gt;=$S131),$V131,IF(AND($R131&lt;&gt;"",EDATE($D131,Milestones!$AA$88)&gt;=$R131),$U131,$T131)))=Milestones!$AB$88),TEXT(EDATE($D131,Milestones!$AA$88),"dd/mm/yy")&amp;" "&amp;Milestones!$AB$88&amp;" "&amp;Milestones!$AC$88&amp;";  ","")&amp;IF(AND(EDATE($D131,Milestones!$AA$89)&lt;=AsOfDate,IF($Q131=0,$W131,IF(AND($S131&lt;&gt;"",EDATE($D131,Milestones!$AA$89)&gt;=$S131),$V131,IF(AND($R131&lt;&gt;"",EDATE($D131,Milestones!$AA$89)&gt;=$R131),$U131,$T131)))=Milestones!$AB$89),TEXT(EDATE($D131,Milestones!$AA$89),"dd/mm/yy")&amp;" "&amp;Milestones!$AB$89&amp;" "&amp;Milestones!$AC$89&amp;";  ","")&amp;IF(AND(EDATE($D131,Milestones!$AA$90)&lt;=AsOfDate,IF($Q131=0,$W131,IF(AND($S131&lt;&gt;"",EDATE($D131,Milestones!$AA$90)&gt;=$S131),$V131,IF(AND($R131&lt;&gt;"",EDATE($D131,Milestones!$AA$90)&gt;=$R131),$U131,$T131)))=Milestones!$AB$90),TEXT(EDATE($D131,Milestones!$AA$90),"dd/mm/yy")&amp;" "&amp;Milestones!$AB$90&amp;" "&amp;Milestones!$AC$90&amp;";  ","")&amp;IF(AND(EDATE($D131,Milestones!$AA$91)&lt;=AsOfDate,IF($Q131=0,$W131,IF(AND($S131&lt;&gt;"",EDATE($D131,Milestones!$AA$91)&gt;=$S131),$V131,IF(AND($R131&lt;&gt;"",EDATE($D131,Milestones!$AA$91)&gt;=$R131),$U131,$T131)))=Milestones!$AB$91),TEXT(EDATE($D131,Milestones!$AA$91),"dd/mm/yy")&amp;" "&amp;Milestones!$AB$91&amp;" "&amp;Milestones!$AC$91&amp;";  ","")&amp;IF(AND(EDATE($D131,Milestones!$AA$92)&lt;=AsOfDate,IF($Q131=0,$W131,IF(AND($S131&lt;&gt;"",EDATE($D131,Milestones!$AA$92)&gt;=$S131),$V131,IF(AND($R131&lt;&gt;"",EDATE($D131,Milestones!$AA$92)&gt;=$R131),$U131,$T131)))=Milestones!$AB$92),TEXT(EDATE($D131,Milestones!$AA$92),"dd/mm/yy")&amp;" "&amp;Milestones!$AB$92&amp;" "&amp;Milestones!$AC$92&amp;";  ","")&amp;IF(AND(EDATE($D131,Milestones!$AA$93)&lt;=AsOfDate,IF($Q131=0,$W131,IF(AND($S131&lt;&gt;"",EDATE($D131,Milestones!$AA$93)&gt;=$S131),$V131,IF(AND($R131&lt;&gt;"",EDATE($D131,Milestones!$AA$93)&gt;=$R131),$U131,$T131)))=Milestones!$AB$93),TEXT(EDATE($D131,Milestones!$AA$93),"dd/mm/yy")&amp;" "&amp;Milestones!$AB$93&amp;" "&amp;Milestones!$AC$93&amp;";  ","")&amp;IF(AND(EDATE($D131,Milestones!$AA$94)&lt;=AsOfDate,IF($Q131=0,$W131,IF(AND($S131&lt;&gt;"",EDATE($D131,Milestones!$AA$94)&gt;=$S131),$V131,IF(AND($R131&lt;&gt;"",EDATE($D131,Milestones!$AA$94)&gt;=$R131),$U131,$T131)))=Milestones!$AB$94),TEXT(EDATE($D131,Milestones!$AA$94),"dd/mm/yy")&amp;" "&amp;Milestones!$AB$94&amp;" "&amp;Milestones!$AC$94&amp;";  ","")&amp;IF(AND(EDATE($D131,Milestones!$AA$95)&lt;=AsOfDate,IF($Q131=0,$W131,IF(AND($S131&lt;&gt;"",EDATE($D131,Milestones!$AA$95)&gt;=$S131),$V131,IF(AND($R131&lt;&gt;"",EDATE($D131,Milestones!$AA$95)&gt;=$R131),$U131,$T131)))=Milestones!$AB$95),TEXT(EDATE($D131,Milestones!$AA$95),"dd/mm/yy")&amp;" "&amp;Milestones!$AB$95&amp;" "&amp;Milestones!$AC$95&amp;";  ","")&amp;IF(AND(EDATE($D131,Milestones!$AA$96)&lt;=AsOfDate,IF($Q131=0,$W131,IF(AND($S131&lt;&gt;"",EDATE($D131,Milestones!$AA$96)&gt;=$S131),$V131,IF(AND($R131&lt;&gt;"",EDATE($D131,Milestones!$AA$96)&gt;=$R131),$U131,$T131)))=Milestones!$AB$96),TEXT(EDATE($D131,Milestones!$AA$96),"dd/mm/yy")&amp;" "&amp;Milestones!$AB$96&amp;" "&amp;Milestones!$AC$96&amp;";  ","")&amp;IF(AND(EDATE($D131,Milestones!$AA$97)&lt;=AsOfDate,IF($Q131=0,$W131,IF(AND($S131&lt;&gt;"",EDATE($D131,Milestones!$AA$97)&gt;=$S131),$V131,IF(AND($R131&lt;&gt;"",EDATE($D131,Milestones!$AA$97)&gt;=$R131),$U131,$T131)))=Milestones!$AB$97),TEXT(EDATE($D131,Milestones!$AA$97),"dd/mm/yy")&amp;" "&amp;Milestones!$AB$97&amp;" "&amp;Milestones!$AC$97&amp;";  ","")&amp;IF(AND(EDATE($D131,Milestones!$AA$98)&lt;=AsOfDate,IF($Q131=0,$W131,IF(AND($S131&lt;&gt;"",EDATE($D131,Milestones!$AA$98)&gt;=$S131),$V131,IF(AND($R131&lt;&gt;"",EDATE($D131,Milestones!$AA$98)&gt;=$R131),$U131,$T131)))=Milestones!$AB$98),TEXT(EDATE($D131,Milestones!$AA$98),"dd/mm/yy")&amp;" "&amp;Milestones!$AB$98&amp;" "&amp;Milestones!$AC$98&amp;";  ","")&amp;IF(AND(EDATE($D131,Milestones!$AA$99)&lt;=AsOfDate,IF($Q131=0,$W131,IF(AND($S131&lt;&gt;"",EDATE($D131,Milestones!$AA$99)&gt;=$S131),$V131,IF(AND($R131&lt;&gt;"",EDATE($D131,Milestones!$AA$99)&gt;=$R131),$U131,$T131)))=Milestones!$AB$99),TEXT(EDATE($D131,Milestones!$AA$99),"dd/mm/yy")&amp;" "&amp;Milestones!$AB$99&amp;" "&amp;Milestones!$AC$99&amp;";  ",""))</f>
        <v/>
      </c>
      <c r="L131" s="0" t="str">
        <f aca="false">IF(OR($A131="",$D131=""),"",IF(AND(EDATE($D131,Milestones!$AA$100)&lt;=AsOfDate,IF($Q131=0,$W131,IF(AND($S131&lt;&gt;"",EDATE($D131,Milestones!$AA$100)&gt;=$S131),$V131,IF(AND($R131&lt;&gt;"",EDATE($D131,Milestones!$AA$100)&gt;=$R131),$U131,$T131)))=Milestones!$AB$100),TEXT(EDATE($D131,Milestones!$AA$100),"dd/mm/yy")&amp;" "&amp;Milestones!$AB$100&amp;" "&amp;Milestones!$AC$100&amp;";  ","")&amp;IF(AND(EDATE($D131,Milestones!$AA$101)&lt;=AsOfDate,IF($Q131=0,$W131,IF(AND($S131&lt;&gt;"",EDATE($D131,Milestones!$AA$101)&gt;=$S131),$V131,IF(AND($R131&lt;&gt;"",EDATE($D131,Milestones!$AA$101)&gt;=$R131),$U131,$T131)))=Milestones!$AB$101),TEXT(EDATE($D131,Milestones!$AA$101),"dd/mm/yy")&amp;" "&amp;Milestones!$AB$101&amp;" "&amp;Milestones!$AC$101&amp;";  ","")&amp;IF(AND(EDATE($D131,Milestones!$AA$102)&lt;=AsOfDate,IF($Q131=0,$W131,IF(AND($S131&lt;&gt;"",EDATE($D131,Milestones!$AA$102)&gt;=$S131),$V131,IF(AND($R131&lt;&gt;"",EDATE($D131,Milestones!$AA$102)&gt;=$R131),$U131,$T131)))=Milestones!$AB$102),TEXT(EDATE($D131,Milestones!$AA$102),"dd/mm/yy")&amp;" "&amp;Milestones!$AB$102&amp;" "&amp;Milestones!$AC$102&amp;";  ","")&amp;IF(AND(EDATE($D131,Milestones!$AA$103)&lt;=AsOfDate,IF($Q131=0,$W131,IF(AND($S131&lt;&gt;"",EDATE($D131,Milestones!$AA$103)&gt;=$S131),$V131,IF(AND($R131&lt;&gt;"",EDATE($D131,Milestones!$AA$103)&gt;=$R131),$U131,$T131)))=Milestones!$AB$103),TEXT(EDATE($D131,Milestones!$AA$103),"dd/mm/yy")&amp;" "&amp;Milestones!$AB$103&amp;" "&amp;Milestones!$AC$103&amp;";  ","")&amp;IF(AND(EDATE($D131,Milestones!$AA$104)&lt;=AsOfDate,IF($Q131=0,$W131,IF(AND($S131&lt;&gt;"",EDATE($D131,Milestones!$AA$104)&gt;=$S131),$V131,IF(AND($R131&lt;&gt;"",EDATE($D131,Milestones!$AA$104)&gt;=$R131),$U131,$T131)))=Milestones!$AB$104),TEXT(EDATE($D131,Milestones!$AA$104),"dd/mm/yy")&amp;" "&amp;Milestones!$AB$104&amp;" "&amp;Milestones!$AC$104&amp;";  ","")&amp;IF(AND(EDATE($D131,Milestones!$AA$105)&lt;=AsOfDate,IF($Q131=0,$W131,IF(AND($S131&lt;&gt;"",EDATE($D131,Milestones!$AA$105)&gt;=$S131),$V131,IF(AND($R131&lt;&gt;"",EDATE($D131,Milestones!$AA$105)&gt;=$R131),$U131,$T131)))=Milestones!$AB$105),TEXT(EDATE($D131,Milestones!$AA$105),"dd/mm/yy")&amp;" "&amp;Milestones!$AB$105&amp;" "&amp;Milestones!$AC$105&amp;";  ","")&amp;IF(AND(EDATE($D131,Milestones!$AA$106)&lt;=AsOfDate,IF($Q131=0,$W131,IF(AND($S131&lt;&gt;"",EDATE($D131,Milestones!$AA$106)&gt;=$S131),$V131,IF(AND($R131&lt;&gt;"",EDATE($D131,Milestones!$AA$106)&gt;=$R131),$U131,$T131)))=Milestones!$AB$106),TEXT(EDATE($D131,Milestones!$AA$106),"dd/mm/yy")&amp;" "&amp;Milestones!$AB$106&amp;" "&amp;Milestones!$AC$106&amp;";  ","")&amp;IF(AND(EDATE($D131,Milestones!$AA$107)&lt;=AsOfDate,IF($Q131=0,$W131,IF(AND($S131&lt;&gt;"",EDATE($D131,Milestones!$AA$107)&gt;=$S131),$V131,IF(AND($R131&lt;&gt;"",EDATE($D131,Milestones!$AA$107)&gt;=$R131),$U131,$T131)))=Milestones!$AB$107),TEXT(EDATE($D131,Milestones!$AA$107),"dd/mm/yy")&amp;" "&amp;Milestones!$AB$107&amp;" "&amp;Milestones!$AC$107&amp;";  ","")&amp;IF(AND(EDATE($D131,Milestones!$AA$108)&lt;=AsOfDate,IF($Q131=0,$W131,IF(AND($S131&lt;&gt;"",EDATE($D131,Milestones!$AA$108)&gt;=$S131),$V131,IF(AND($R131&lt;&gt;"",EDATE($D131,Milestones!$AA$108)&gt;=$R131),$U131,$T131)))=Milestones!$AB$108),TEXT(EDATE($D131,Milestones!$AA$108),"dd/mm/yy")&amp;" "&amp;Milestones!$AB$108&amp;" "&amp;Milestones!$AC$108&amp;";  ","")&amp;IF(AND(EDATE($D131,Milestones!$AA$109)&lt;=AsOfDate,IF($Q131=0,$W131,IF(AND($S131&lt;&gt;"",EDATE($D131,Milestones!$AA$109)&gt;=$S131),$V131,IF(AND($R131&lt;&gt;"",EDATE($D131,Milestones!$AA$109)&gt;=$R131),$U131,$T131)))=Milestones!$AB$109),TEXT(EDATE($D131,Milestones!$AA$109),"dd/mm/yy")&amp;" "&amp;Milestones!$AB$109&amp;" "&amp;Milestones!$AC$109&amp;";  ","")&amp;IF(AND(EDATE($D131,Milestones!$AA$110)&lt;=AsOfDate,IF($Q131=0,$W131,IF(AND($S131&lt;&gt;"",EDATE($D131,Milestones!$AA$110)&gt;=$S131),$V131,IF(AND($R131&lt;&gt;"",EDATE($D131,Milestones!$AA$110)&gt;=$R131),$U131,$T131)))=Milestones!$AB$110),TEXT(EDATE($D131,Milestones!$AA$110),"dd/mm/yy")&amp;" "&amp;Milestones!$AB$110&amp;" "&amp;Milestones!$AC$110&amp;";  ","")&amp;IF(AND(EDATE($D131,Milestones!$AA$111)&lt;=AsOfDate,IF($Q131=0,$W131,IF(AND($S131&lt;&gt;"",EDATE($D131,Milestones!$AA$111)&gt;=$S131),$V131,IF(AND($R131&lt;&gt;"",EDATE($D131,Milestones!$AA$111)&gt;=$R131),$U131,$T131)))=Milestones!$AB$111),TEXT(EDATE($D131,Milestones!$AA$111),"dd/mm/yy")&amp;" "&amp;Milestones!$AB$111&amp;" "&amp;Milestones!$AC$111&amp;";  ","")&amp;IF(AND(EDATE($D131,Milestones!$AA$112)&lt;=AsOfDate,IF($Q131=0,$W131,IF(AND($S131&lt;&gt;"",EDATE($D131,Milestones!$AA$112)&gt;=$S131),$V131,IF(AND($R131&lt;&gt;"",EDATE($D131,Milestones!$AA$112)&gt;=$R131),$U131,$T131)))=Milestones!$AB$112),TEXT(EDATE($D131,Milestones!$AA$112),"dd/mm/yy")&amp;" "&amp;Milestones!$AB$112&amp;" "&amp;Milestones!$AC$112&amp;";  ","")&amp;IF(AND(EDATE($D131,Milestones!$AA$113)&lt;=AsOfDate,IF($Q131=0,$W131,IF(AND($S131&lt;&gt;"",EDATE($D131,Milestones!$AA$113)&gt;=$S131),$V131,IF(AND($R131&lt;&gt;"",EDATE($D131,Milestones!$AA$113)&gt;=$R131),$U131,$T131)))=Milestones!$AB$113),TEXT(EDATE($D131,Milestones!$AA$113),"dd/mm/yy")&amp;" "&amp;Milestones!$AB$113&amp;" "&amp;Milestones!$AC$113&amp;";  ","")&amp;IF(AND(EDATE($D131,Milestones!$AA$114)&lt;=AsOfDate,IF($Q131=0,$W131,IF(AND($S131&lt;&gt;"",EDATE($D131,Milestones!$AA$114)&gt;=$S131),$V131,IF(AND($R131&lt;&gt;"",EDATE($D131,Milestones!$AA$114)&gt;=$R131),$U131,$T131)))=Milestones!$AB$114),TEXT(EDATE($D131,Milestones!$AA$114),"dd/mm/yy")&amp;" "&amp;Milestones!$AB$114&amp;" "&amp;Milestones!$AC$114&amp;";  ","")&amp;IF(AND(EDATE($D131,Milestones!$AA$115)&lt;=AsOfDate,IF($Q131=0,$W131,IF(AND($S131&lt;&gt;"",EDATE($D131,Milestones!$AA$115)&gt;=$S131),$V131,IF(AND($R131&lt;&gt;"",EDATE($D131,Milestones!$AA$115)&gt;=$R131),$U131,$T131)))=Milestones!$AB$115),TEXT(EDATE($D131,Milestones!$AA$115),"dd/mm/yy")&amp;" "&amp;Milestones!$AB$115&amp;" "&amp;Milestones!$AC$115&amp;";  ","")&amp;IF(AND(EDATE($D131,Milestones!$AA$116)&lt;=AsOfDate,IF($Q131=0,$W131,IF(AND($S131&lt;&gt;"",EDATE($D131,Milestones!$AA$116)&gt;=$S131),$V131,IF(AND($R131&lt;&gt;"",EDATE($D131,Milestones!$AA$116)&gt;=$R131),$U131,$T131)))=Milestones!$AB$116),TEXT(EDATE($D131,Milestones!$AA$116),"dd/mm/yy")&amp;" "&amp;Milestones!$AB$116&amp;" "&amp;Milestones!$AC$116&amp;";  ","")&amp;IF(AND(EDATE($D131,Milestones!$AA$117)&lt;=AsOfDate,IF($Q131=0,$W131,IF(AND($S131&lt;&gt;"",EDATE($D131,Milestones!$AA$117)&gt;=$S131),$V131,IF(AND($R131&lt;&gt;"",EDATE($D131,Milestones!$AA$117)&gt;=$R131),$U131,$T131)))=Milestones!$AB$117),TEXT(EDATE($D131,Milestones!$AA$117),"dd/mm/yy")&amp;" "&amp;Milestones!$AB$117&amp;" "&amp;Milestones!$AC$117&amp;";  ","")&amp;IF(AND(EDATE($D131,Milestones!$AA$118)&lt;=AsOfDate,IF($Q131=0,$W131,IF(AND($S131&lt;&gt;"",EDATE($D131,Milestones!$AA$118)&gt;=$S131),$V131,IF(AND($R131&lt;&gt;"",EDATE($D131,Milestones!$AA$118)&gt;=$R131),$U131,$T131)))=Milestones!$AB$118),TEXT(EDATE($D131,Milestones!$AA$118),"dd/mm/yy")&amp;" "&amp;Milestones!$AB$118&amp;" "&amp;Milestones!$AC$118&amp;";  ","")&amp;IF(AND(EDATE($D131,Milestones!$AA$119)&lt;=AsOfDate,IF($Q131=0,$W131,IF(AND($S131&lt;&gt;"",EDATE($D131,Milestones!$AA$119)&gt;=$S131),$V131,IF(AND($R131&lt;&gt;"",EDATE($D131,Milestones!$AA$119)&gt;=$R131),$U131,$T131)))=Milestones!$AB$119),TEXT(EDATE($D131,Milestones!$AA$119),"dd/mm/yy")&amp;" "&amp;Milestones!$AB$119&amp;" "&amp;Milestones!$AC$119&amp;";  ",""))</f>
        <v/>
      </c>
      <c r="M131" s="0" t="str">
        <f aca="false">IF(OR($A131="",$D131=""),"",IF(AND(EDATE($D131,Milestones!$AA$120)&lt;=AsOfDate,IF($Q131=0,$W131,IF(AND($S131&lt;&gt;"",EDATE($D131,Milestones!$AA$120)&gt;=$S131),$V131,IF(AND($R131&lt;&gt;"",EDATE($D131,Milestones!$AA$120)&gt;=$R131),$U131,$T131)))=Milestones!$AB$120),TEXT(EDATE($D131,Milestones!$AA$120),"dd/mm/yy")&amp;" "&amp;Milestones!$AB$120&amp;" "&amp;Milestones!$AC$120&amp;";  ","")&amp;IF(AND(EDATE($D131,Milestones!$AA$121)&lt;=AsOfDate,IF($Q131=0,$W131,IF(AND($S131&lt;&gt;"",EDATE($D131,Milestones!$AA$121)&gt;=$S131),$V131,IF(AND($R131&lt;&gt;"",EDATE($D131,Milestones!$AA$121)&gt;=$R131),$U131,$T131)))=Milestones!$AB$121),TEXT(EDATE($D131,Milestones!$AA$121),"dd/mm/yy")&amp;" "&amp;Milestones!$AB$121&amp;" "&amp;Milestones!$AC$121&amp;";  ","")&amp;IF(AND(EDATE($D131,Milestones!$AA$122)&lt;=AsOfDate,IF($Q131=0,$W131,IF(AND($S131&lt;&gt;"",EDATE($D131,Milestones!$AA$122)&gt;=$S131),$V131,IF(AND($R131&lt;&gt;"",EDATE($D131,Milestones!$AA$122)&gt;=$R131),$U131,$T131)))=Milestones!$AB$122),TEXT(EDATE($D131,Milestones!$AA$122),"dd/mm/yy")&amp;" "&amp;Milestones!$AB$122&amp;" "&amp;Milestones!$AC$122&amp;";  ","")&amp;IF(AND(EDATE($D131,Milestones!$AA$123)&lt;=AsOfDate,IF($Q131=0,$W131,IF(AND($S131&lt;&gt;"",EDATE($D131,Milestones!$AA$123)&gt;=$S131),$V131,IF(AND($R131&lt;&gt;"",EDATE($D131,Milestones!$AA$123)&gt;=$R131),$U131,$T131)))=Milestones!$AB$123),TEXT(EDATE($D131,Milestones!$AA$123),"dd/mm/yy")&amp;" "&amp;Milestones!$AB$123&amp;" "&amp;Milestones!$AC$123&amp;";  ","")&amp;IF(AND(EDATE($D131,Milestones!$AA$124)&lt;=AsOfDate,IF($Q131=0,$W131,IF(AND($S131&lt;&gt;"",EDATE($D131,Milestones!$AA$124)&gt;=$S131),$V131,IF(AND($R131&lt;&gt;"",EDATE($D131,Milestones!$AA$124)&gt;=$R131),$U131,$T131)))=Milestones!$AB$124),TEXT(EDATE($D131,Milestones!$AA$124),"dd/mm/yy")&amp;" "&amp;Milestones!$AB$124&amp;" "&amp;Milestones!$AC$124&amp;";  ","")&amp;IF(AND(EDATE($D131,Milestones!$AA$125)&lt;=AsOfDate,IF($Q131=0,$W131,IF(AND($S131&lt;&gt;"",EDATE($D131,Milestones!$AA$125)&gt;=$S131),$V131,IF(AND($R131&lt;&gt;"",EDATE($D131,Milestones!$AA$125)&gt;=$R131),$U131,$T131)))=Milestones!$AB$125),TEXT(EDATE($D131,Milestones!$AA$125),"dd/mm/yy")&amp;" "&amp;Milestones!$AB$125&amp;" "&amp;Milestones!$AC$125&amp;";  ","")&amp;IF(AND(EDATE($D131,Milestones!$AA$126)&lt;=AsOfDate,IF($Q131=0,$W131,IF(AND($S131&lt;&gt;"",EDATE($D131,Milestones!$AA$126)&gt;=$S131),$V131,IF(AND($R131&lt;&gt;"",EDATE($D131,Milestones!$AA$126)&gt;=$R131),$U131,$T131)))=Milestones!$AB$126),TEXT(EDATE($D131,Milestones!$AA$126),"dd/mm/yy")&amp;" "&amp;Milestones!$AB$126&amp;" "&amp;Milestones!$AC$126&amp;";  ","")&amp;IF(AND(EDATE($D131,Milestones!$AA$127)&lt;=AsOfDate,IF($Q131=0,$W131,IF(AND($S131&lt;&gt;"",EDATE($D131,Milestones!$AA$127)&gt;=$S131),$V131,IF(AND($R131&lt;&gt;"",EDATE($D131,Milestones!$AA$127)&gt;=$R131),$U131,$T131)))=Milestones!$AB$127),TEXT(EDATE($D131,Milestones!$AA$127),"dd/mm/yy")&amp;" "&amp;Milestones!$AB$127&amp;" "&amp;Milestones!$AC$127&amp;";  ","")&amp;IF(AND(EDATE($D131,Milestones!$AA$128)&lt;=AsOfDate,IF($Q131=0,$W131,IF(AND($S131&lt;&gt;"",EDATE($D131,Milestones!$AA$128)&gt;=$S131),$V131,IF(AND($R131&lt;&gt;"",EDATE($D131,Milestones!$AA$128)&gt;=$R131),$U131,$T131)))=Milestones!$AB$128),TEXT(EDATE($D131,Milestones!$AA$128),"dd/mm/yy")&amp;" "&amp;Milestones!$AB$128&amp;" "&amp;Milestones!$AC$128&amp;";  ","")&amp;IF(AND(EDATE($D131,Milestones!$AA$129)&lt;=AsOfDate,IF($Q131=0,$W131,IF(AND($S131&lt;&gt;"",EDATE($D131,Milestones!$AA$129)&gt;=$S131),$V131,IF(AND($R131&lt;&gt;"",EDATE($D131,Milestones!$AA$129)&gt;=$R131),$U131,$T131)))=Milestones!$AB$129),TEXT(EDATE($D131,Milestones!$AA$129),"dd/mm/yy")&amp;" "&amp;Milestones!$AB$129&amp;" "&amp;Milestones!$AC$129&amp;";  ","")&amp;IF(AND(EDATE($D131,Milestones!$AA$130)&lt;=AsOfDate,IF($Q131=0,$W131,IF(AND($S131&lt;&gt;"",EDATE($D131,Milestones!$AA$130)&gt;=$S131),$V131,IF(AND($R131&lt;&gt;"",EDATE($D131,Milestones!$AA$130)&gt;=$R131),$U131,$T131)))=Milestones!$AB$130),TEXT(EDATE($D131,Milestones!$AA$130),"dd/mm/yy")&amp;" "&amp;Milestones!$AB$130&amp;" "&amp;Milestones!$AC$130&amp;";  ","")&amp;IF(AND(EDATE($D131,Milestones!$AA$131)&lt;=AsOfDate,IF($Q131=0,$W131,IF(AND($S131&lt;&gt;"",EDATE($D131,Milestones!$AA$131)&gt;=$S131),$V131,IF(AND($R131&lt;&gt;"",EDATE($D131,Milestones!$AA$131)&gt;=$R131),$U131,$T131)))=Milestones!$AB$131),TEXT(EDATE($D131,Milestones!$AA$131),"dd/mm/yy")&amp;" "&amp;Milestones!$AB$131&amp;" "&amp;Milestones!$AC$131&amp;";  ","")&amp;IF(AND(EDATE($D131,Milestones!$AA$132)&lt;=AsOfDate,IF($Q131=0,$W131,IF(AND($S131&lt;&gt;"",EDATE($D131,Milestones!$AA$132)&gt;=$S131),$V131,IF(AND($R131&lt;&gt;"",EDATE($D131,Milestones!$AA$132)&gt;=$R131),$U131,$T131)))=Milestones!$AB$132),TEXT(EDATE($D131,Milestones!$AA$132),"dd/mm/yy")&amp;" "&amp;Milestones!$AB$132&amp;" "&amp;Milestones!$AC$132&amp;";  ","")&amp;IF(AND(EDATE($D131,Milestones!$AA$133)&lt;=AsOfDate,IF($Q131=0,$W131,IF(AND($S131&lt;&gt;"",EDATE($D131,Milestones!$AA$133)&gt;=$S131),$V131,IF(AND($R131&lt;&gt;"",EDATE($D131,Milestones!$AA$133)&gt;=$R131),$U131,$T131)))=Milestones!$AB$133),TEXT(EDATE($D131,Milestones!$AA$133),"dd/mm/yy")&amp;" "&amp;Milestones!$AB$133&amp;" "&amp;Milestones!$AC$133&amp;";  ","")&amp;IF(AND(EDATE($D131,Milestones!$AA$134)&lt;=AsOfDate,IF($Q131=0,$W131,IF(AND($S131&lt;&gt;"",EDATE($D131,Milestones!$AA$134)&gt;=$S131),$V131,IF(AND($R131&lt;&gt;"",EDATE($D131,Milestones!$AA$134)&gt;=$R131),$U131,$T131)))=Milestones!$AB$134),TEXT(EDATE($D131,Milestones!$AA$134),"dd/mm/yy")&amp;" "&amp;Milestones!$AB$134&amp;" "&amp;Milestones!$AC$134&amp;";  ","")&amp;IF(AND(EDATE($D131,Milestones!$AA$135)&lt;=AsOfDate,IF($Q131=0,$W131,IF(AND($S131&lt;&gt;"",EDATE($D131,Milestones!$AA$135)&gt;=$S131),$V131,IF(AND($R131&lt;&gt;"",EDATE($D131,Milestones!$AA$135)&gt;=$R131),$U131,$T131)))=Milestones!$AB$135),TEXT(EDATE($D131,Milestones!$AA$135),"dd/mm/yy")&amp;" "&amp;Milestones!$AB$135&amp;" "&amp;Milestones!$AC$135&amp;";  ","")&amp;IF(AND(EDATE($D131,Milestones!$AA$136)&lt;=AsOfDate,IF($Q131=0,$W131,IF(AND($S131&lt;&gt;"",EDATE($D131,Milestones!$AA$136)&gt;=$S131),$V131,IF(AND($R131&lt;&gt;"",EDATE($D131,Milestones!$AA$136)&gt;=$R131),$U131,$T131)))=Milestones!$AB$136),TEXT(EDATE($D131,Milestones!$AA$136),"dd/mm/yy")&amp;" "&amp;Milestones!$AB$136&amp;" "&amp;Milestones!$AC$136&amp;";  ","")&amp;IF(AND(EDATE($D131,Milestones!$AA$137)&lt;=AsOfDate,IF($Q131=0,$W131,IF(AND($S131&lt;&gt;"",EDATE($D131,Milestones!$AA$137)&gt;=$S131),$V131,IF(AND($R131&lt;&gt;"",EDATE($D131,Milestones!$AA$137)&gt;=$R131),$U131,$T131)))=Milestones!$AB$137),TEXT(EDATE($D131,Milestones!$AA$137),"dd/mm/yy")&amp;" "&amp;Milestones!$AB$137&amp;" "&amp;Milestones!$AC$137&amp;";  ","")&amp;IF(AND(EDATE($D131,Milestones!$AA$138)&lt;=AsOfDate,IF($Q131=0,$W131,IF(AND($S131&lt;&gt;"",EDATE($D131,Milestones!$AA$138)&gt;=$S131),$V131,IF(AND($R131&lt;&gt;"",EDATE($D131,Milestones!$AA$138)&gt;=$R131),$U131,$T131)))=Milestones!$AB$138),TEXT(EDATE($D131,Milestones!$AA$138),"dd/mm/yy")&amp;" "&amp;Milestones!$AB$138&amp;" "&amp;Milestones!$AC$138&amp;";  ","")&amp;IF(AND(EDATE($D131,Milestones!$AA$139)&lt;=AsOfDate,IF($Q131=0,$W131,IF(AND($S131&lt;&gt;"",EDATE($D131,Milestones!$AA$139)&gt;=$S131),$V131,IF(AND($R131&lt;&gt;"",EDATE($D131,Milestones!$AA$139)&gt;=$R131),$U131,$T131)))=Milestones!$AB$139),TEXT(EDATE($D131,Milestones!$AA$139),"dd/mm/yy")&amp;" "&amp;Milestones!$AB$139&amp;" "&amp;Milestones!$AC$139&amp;";  ",""))</f>
        <v/>
      </c>
      <c r="N131" s="0" t="str">
        <f aca="false">IF(OR($A131="",$D131=""),"",IF(AND(EDATE($D131,Milestones!$AA$140)&lt;=AsOfDate,IF($Q131=0,$W131,IF(AND($S131&lt;&gt;"",EDATE($D131,Milestones!$AA$140)&gt;=$S131),$V131,IF(AND($R131&lt;&gt;"",EDATE($D131,Milestones!$AA$140)&gt;=$R131),$U131,$T131)))=Milestones!$AB$140),TEXT(EDATE($D131,Milestones!$AA$140),"dd/mm/yy")&amp;" "&amp;Milestones!$AB$140&amp;" "&amp;Milestones!$AC$140&amp;";  ","")&amp;IF(AND(EDATE($D131,Milestones!$AA$141)&lt;=AsOfDate,IF($Q131=0,$W131,IF(AND($S131&lt;&gt;"",EDATE($D131,Milestones!$AA$141)&gt;=$S131),$V131,IF(AND($R131&lt;&gt;"",EDATE($D131,Milestones!$AA$141)&gt;=$R131),$U131,$T131)))=Milestones!$AB$141),TEXT(EDATE($D131,Milestones!$AA$141),"dd/mm/yy")&amp;" "&amp;Milestones!$AB$141&amp;" "&amp;Milestones!$AC$141&amp;";  ","")&amp;IF(AND(EDATE($D131,Milestones!$AA$142)&lt;=AsOfDate,IF($Q131=0,$W131,IF(AND($S131&lt;&gt;"",EDATE($D131,Milestones!$AA$142)&gt;=$S131),$V131,IF(AND($R131&lt;&gt;"",EDATE($D131,Milestones!$AA$142)&gt;=$R131),$U131,$T131)))=Milestones!$AB$142),TEXT(EDATE($D131,Milestones!$AA$142),"dd/mm/yy")&amp;" "&amp;Milestones!$AB$142&amp;" "&amp;Milestones!$AC$142&amp;";  ","")&amp;IF(AND(EDATE($D131,Milestones!$AA$143)&lt;=AsOfDate,IF($Q131=0,$W131,IF(AND($S131&lt;&gt;"",EDATE($D131,Milestones!$AA$143)&gt;=$S131),$V131,IF(AND($R131&lt;&gt;"",EDATE($D131,Milestones!$AA$143)&gt;=$R131),$U131,$T131)))=Milestones!$AB$143),TEXT(EDATE($D131,Milestones!$AA$143),"dd/mm/yy")&amp;" "&amp;Milestones!$AB$143&amp;" "&amp;Milestones!$AC$143&amp;";  ","")&amp;IF(AND(EDATE($D131,Milestones!$AA$144)&lt;=AsOfDate,IF($Q131=0,$W131,IF(AND($S131&lt;&gt;"",EDATE($D131,Milestones!$AA$144)&gt;=$S131),$V131,IF(AND($R131&lt;&gt;"",EDATE($D131,Milestones!$AA$144)&gt;=$R131),$U131,$T131)))=Milestones!$AB$144),TEXT(EDATE($D131,Milestones!$AA$144),"dd/mm/yy")&amp;" "&amp;Milestones!$AB$144&amp;" "&amp;Milestones!$AC$144&amp;";  ","")&amp;IF(AND(EDATE($D131,Milestones!$AA$145)&lt;=AsOfDate,IF($Q131=0,$W131,IF(AND($S131&lt;&gt;"",EDATE($D131,Milestones!$AA$145)&gt;=$S131),$V131,IF(AND($R131&lt;&gt;"",EDATE($D131,Milestones!$AA$145)&gt;=$R131),$U131,$T131)))=Milestones!$AB$145),TEXT(EDATE($D131,Milestones!$AA$145),"dd/mm/yy")&amp;" "&amp;Milestones!$AB$145&amp;" "&amp;Milestones!$AC$145&amp;";  ","")&amp;IF(AND(EDATE($D131,Milestones!$AA$146)&lt;=AsOfDate,IF($Q131=0,$W131,IF(AND($S131&lt;&gt;"",EDATE($D131,Milestones!$AA$146)&gt;=$S131),$V131,IF(AND($R131&lt;&gt;"",EDATE($D131,Milestones!$AA$146)&gt;=$R131),$U131,$T131)))=Milestones!$AB$146),TEXT(EDATE($D131,Milestones!$AA$146),"dd/mm/yy")&amp;" "&amp;Milestones!$AB$146&amp;" "&amp;Milestones!$AC$146&amp;";  ","")&amp;IF(AND(EDATE($D131,Milestones!$AA$147)&lt;=AsOfDate,IF($Q131=0,$W131,IF(AND($S131&lt;&gt;"",EDATE($D131,Milestones!$AA$147)&gt;=$S131),$V131,IF(AND($R131&lt;&gt;"",EDATE($D131,Milestones!$AA$147)&gt;=$R131),$U131,$T131)))=Milestones!$AB$147),TEXT(EDATE($D131,Milestones!$AA$147),"dd/mm/yy")&amp;" "&amp;Milestones!$AB$147&amp;" "&amp;Milestones!$AC$147&amp;";  ","")&amp;IF(AND(EDATE($D131,Milestones!$AA$148)&lt;=AsOfDate,IF($Q131=0,$W131,IF(AND($S131&lt;&gt;"",EDATE($D131,Milestones!$AA$148)&gt;=$S131),$V131,IF(AND($R131&lt;&gt;"",EDATE($D131,Milestones!$AA$148)&gt;=$R131),$U131,$T131)))=Milestones!$AB$148),TEXT(EDATE($D131,Milestones!$AA$148),"dd/mm/yy")&amp;" "&amp;Milestones!$AB$148&amp;" "&amp;Milestones!$AC$148&amp;";  ","")&amp;IF(AND(EDATE($D131,Milestones!$AA$149)&lt;=AsOfDate,IF($Q131=0,$W131,IF(AND($S131&lt;&gt;"",EDATE($D131,Milestones!$AA$149)&gt;=$S131),$V131,IF(AND($R131&lt;&gt;"",EDATE($D131,Milestones!$AA$149)&gt;=$R131),$U131,$T131)))=Milestones!$AB$149),TEXT(EDATE($D131,Milestones!$AA$149),"dd/mm/yy")&amp;" "&amp;Milestones!$AB$149&amp;" "&amp;Milestones!$AC$149&amp;";  ","")&amp;IF(AND(EDATE($D131,Milestones!$AA$150)&lt;=AsOfDate,IF($Q131=0,$W131,IF(AND($S131&lt;&gt;"",EDATE($D131,Milestones!$AA$150)&gt;=$S131),$V131,IF(AND($R131&lt;&gt;"",EDATE($D131,Milestones!$AA$150)&gt;=$R131),$U131,$T131)))=Milestones!$AB$150),TEXT(EDATE($D131,Milestones!$AA$150),"dd/mm/yy")&amp;" "&amp;Milestones!$AB$150&amp;" "&amp;Milestones!$AC$150&amp;";  ","")&amp;IF(AND(EDATE($D131,Milestones!$AA$151)&lt;=AsOfDate,IF($Q131=0,$W131,IF(AND($S131&lt;&gt;"",EDATE($D131,Milestones!$AA$151)&gt;=$S131),$V131,IF(AND($R131&lt;&gt;"",EDATE($D131,Milestones!$AA$151)&gt;=$R131),$U131,$T131)))=Milestones!$AB$151),TEXT(EDATE($D131,Milestones!$AA$151),"dd/mm/yy")&amp;" "&amp;Milestones!$AB$151&amp;" "&amp;Milestones!$AC$151&amp;";  ","")&amp;IF(AND(EDATE($D131,Milestones!$AA$152)&lt;=AsOfDate,IF($Q131=0,$W131,IF(AND($S131&lt;&gt;"",EDATE($D131,Milestones!$AA$152)&gt;=$S131),$V131,IF(AND($R131&lt;&gt;"",EDATE($D131,Milestones!$AA$152)&gt;=$R131),$U131,$T131)))=Milestones!$AB$152),TEXT(EDATE($D131,Milestones!$AA$152),"dd/mm/yy")&amp;" "&amp;Milestones!$AB$152&amp;" "&amp;Milestones!$AC$152&amp;";  ","")&amp;IF(AND(EDATE($D131,Milestones!$AA$153)&lt;=AsOfDate,IF($Q131=0,$W131,IF(AND($S131&lt;&gt;"",EDATE($D131,Milestones!$AA$153)&gt;=$S131),$V131,IF(AND($R131&lt;&gt;"",EDATE($D131,Milestones!$AA$153)&gt;=$R131),$U131,$T131)))=Milestones!$AB$153),TEXT(EDATE($D131,Milestones!$AA$153),"dd/mm/yy")&amp;" "&amp;Milestones!$AB$153&amp;" "&amp;Milestones!$AC$153&amp;";  ","")&amp;IF(AND(EDATE($D131,Milestones!$AA$154)&lt;=AsOfDate,IF($Q131=0,$W131,IF(AND($S131&lt;&gt;"",EDATE($D131,Milestones!$AA$154)&gt;=$S131),$V131,IF(AND($R131&lt;&gt;"",EDATE($D131,Milestones!$AA$154)&gt;=$R131),$U131,$T131)))=Milestones!$AB$154),TEXT(EDATE($D131,Milestones!$AA$154),"dd/mm/yy")&amp;" "&amp;Milestones!$AB$154&amp;" "&amp;Milestones!$AC$154&amp;";  ","")&amp;IF(AND(EDATE($D131,Milestones!$AA$155)&lt;=AsOfDate,IF($Q131=0,$W131,IF(AND($S131&lt;&gt;"",EDATE($D131,Milestones!$AA$155)&gt;=$S131),$V131,IF(AND($R131&lt;&gt;"",EDATE($D131,Milestones!$AA$155)&gt;=$R131),$U131,$T131)))=Milestones!$AB$155),TEXT(EDATE($D131,Milestones!$AA$155),"dd/mm/yy")&amp;" "&amp;Milestones!$AB$155&amp;" "&amp;Milestones!$AC$155&amp;";  ","")&amp;IF(AND(EDATE($D131,Milestones!$AA$156)&lt;=AsOfDate,IF($Q131=0,$W131,IF(AND($S131&lt;&gt;"",EDATE($D131,Milestones!$AA$156)&gt;=$S131),$V131,IF(AND($R131&lt;&gt;"",EDATE($D131,Milestones!$AA$156)&gt;=$R131),$U131,$T131)))=Milestones!$AB$156),TEXT(EDATE($D131,Milestones!$AA$156),"dd/mm/yy")&amp;" "&amp;Milestones!$AB$156&amp;" "&amp;Milestones!$AC$156&amp;";  ","")&amp;IF(AND(EDATE($D131,Milestones!$AA$157)&lt;=AsOfDate,IF($Q131=0,$W131,IF(AND($S131&lt;&gt;"",EDATE($D131,Milestones!$AA$157)&gt;=$S131),$V131,IF(AND($R131&lt;&gt;"",EDATE($D131,Milestones!$AA$157)&gt;=$R131),$U131,$T131)))=Milestones!$AB$157),TEXT(EDATE($D131,Milestones!$AA$157),"dd/mm/yy")&amp;" "&amp;Milestones!$AB$157&amp;" "&amp;Milestones!$AC$157&amp;";  ","")&amp;IF(AND(EDATE($D131,Milestones!$AA$158)&lt;=AsOfDate,IF($Q131=0,$W131,IF(AND($S131&lt;&gt;"",EDATE($D131,Milestones!$AA$158)&gt;=$S131),$V131,IF(AND($R131&lt;&gt;"",EDATE($D131,Milestones!$AA$158)&gt;=$R131),$U131,$T131)))=Milestones!$AB$158),TEXT(EDATE($D131,Milestones!$AA$158),"dd/mm/yy")&amp;" "&amp;Milestones!$AB$158&amp;" "&amp;Milestones!$AC$158&amp;";  ","")&amp;IF(AND(EDATE($D131,Milestones!$AA$159)&lt;=AsOfDate,IF($Q131=0,$W131,IF(AND($S131&lt;&gt;"",EDATE($D131,Milestones!$AA$159)&gt;=$S131),$V131,IF(AND($R131&lt;&gt;"",EDATE($D131,Milestones!$AA$159)&gt;=$R131),$U131,$T131)))=Milestones!$AB$159),TEXT(EDATE($D131,Milestones!$AA$159),"dd/mm/yy")&amp;" "&amp;Milestones!$AB$159&amp;" "&amp;Milestones!$AC$159&amp;";  ",""))</f>
        <v/>
      </c>
      <c r="O131" s="0" t="str">
        <f aca="false">IF(OR($A131="",$D131=""),"",IF(AND(EDATE($D131,Milestones!$AA$160)&lt;=AsOfDate,IF($Q131=0,$W131,IF(AND($S131&lt;&gt;"",EDATE($D131,Milestones!$AA$160)&gt;=$S131),$V131,IF(AND($R131&lt;&gt;"",EDATE($D131,Milestones!$AA$160)&gt;=$R131),$U131,$T131)))=Milestones!$AB$160),TEXT(EDATE($D131,Milestones!$AA$160),"dd/mm/yy")&amp;" "&amp;Milestones!$AB$160&amp;" "&amp;Milestones!$AC$160&amp;";  ","")&amp;IF(AND(EDATE($D131,Milestones!$AA$161)&lt;=AsOfDate,IF($Q131=0,$W131,IF(AND($S131&lt;&gt;"",EDATE($D131,Milestones!$AA$161)&gt;=$S131),$V131,IF(AND($R131&lt;&gt;"",EDATE($D131,Milestones!$AA$161)&gt;=$R131),$U131,$T131)))=Milestones!$AB$161),TEXT(EDATE($D131,Milestones!$AA$161),"dd/mm/yy")&amp;" "&amp;Milestones!$AB$161&amp;" "&amp;Milestones!$AC$161&amp;";  ","")&amp;IF(AND(EDATE($D131,Milestones!$AA$162)&lt;=AsOfDate,IF($Q131=0,$W131,IF(AND($S131&lt;&gt;"",EDATE($D131,Milestones!$AA$162)&gt;=$S131),$V131,IF(AND($R131&lt;&gt;"",EDATE($D131,Milestones!$AA$162)&gt;=$R131),$U131,$T131)))=Milestones!$AB$162),TEXT(EDATE($D131,Milestones!$AA$162),"dd/mm/yy")&amp;" "&amp;Milestones!$AB$162&amp;" "&amp;Milestones!$AC$162&amp;";  ","")&amp;IF(AND(EDATE($D131,Milestones!$AA$163)&lt;=AsOfDate,IF($Q131=0,$W131,IF(AND($S131&lt;&gt;"",EDATE($D131,Milestones!$AA$163)&gt;=$S131),$V131,IF(AND($R131&lt;&gt;"",EDATE($D131,Milestones!$AA$163)&gt;=$R131),$U131,$T131)))=Milestones!$AB$163),TEXT(EDATE($D131,Milestones!$AA$163),"dd/mm/yy")&amp;" "&amp;Milestones!$AB$163&amp;" "&amp;Milestones!$AC$163&amp;";  ","")&amp;IF(AND(EDATE($D131,Milestones!$AA$164)&lt;=AsOfDate,IF($Q131=0,$W131,IF(AND($S131&lt;&gt;"",EDATE($D131,Milestones!$AA$164)&gt;=$S131),$V131,IF(AND($R131&lt;&gt;"",EDATE($D131,Milestones!$AA$164)&gt;=$R131),$U131,$T131)))=Milestones!$AB$164),TEXT(EDATE($D131,Milestones!$AA$164),"dd/mm/yy")&amp;" "&amp;Milestones!$AB$164&amp;" "&amp;Milestones!$AC$164&amp;";  ","")&amp;IF(AND(EDATE($D131,Milestones!$AA$165)&lt;=AsOfDate,IF($Q131=0,$W131,IF(AND($S131&lt;&gt;"",EDATE($D131,Milestones!$AA$165)&gt;=$S131),$V131,IF(AND($R131&lt;&gt;"",EDATE($D131,Milestones!$AA$165)&gt;=$R131),$U131,$T131)))=Milestones!$AB$165),TEXT(EDATE($D131,Milestones!$AA$165),"dd/mm/yy")&amp;" "&amp;Milestones!$AB$165&amp;" "&amp;Milestones!$AC$165&amp;";  ","")&amp;IF(AND(EDATE($D131,Milestones!$AA$166)&lt;=AsOfDate,IF($Q131=0,$W131,IF(AND($S131&lt;&gt;"",EDATE($D131,Milestones!$AA$166)&gt;=$S131),$V131,IF(AND($R131&lt;&gt;"",EDATE($D131,Milestones!$AA$166)&gt;=$R131),$U131,$T131)))=Milestones!$AB$166),TEXT(EDATE($D131,Milestones!$AA$166),"dd/mm/yy")&amp;" "&amp;Milestones!$AB$166&amp;" "&amp;Milestones!$AC$166&amp;";  ","")&amp;IF(AND(EDATE($D131,Milestones!$AA$167)&lt;=AsOfDate,IF($Q131=0,$W131,IF(AND($S131&lt;&gt;"",EDATE($D131,Milestones!$AA$167)&gt;=$S131),$V131,IF(AND($R131&lt;&gt;"",EDATE($D131,Milestones!$AA$167)&gt;=$R131),$U131,$T131)))=Milestones!$AB$167),TEXT(EDATE($D131,Milestones!$AA$167),"dd/mm/yy")&amp;" "&amp;Milestones!$AB$167&amp;" "&amp;Milestones!$AC$167&amp;";  ","")&amp;IF(AND(EDATE($D131,Milestones!$AA$168)&lt;=AsOfDate,IF($Q131=0,$W131,IF(AND($S131&lt;&gt;"",EDATE($D131,Milestones!$AA$168)&gt;=$S131),$V131,IF(AND($R131&lt;&gt;"",EDATE($D131,Milestones!$AA$168)&gt;=$R131),$U131,$T131)))=Milestones!$AB$168),TEXT(EDATE($D131,Milestones!$AA$168),"dd/mm/yy")&amp;" "&amp;Milestones!$AB$168&amp;" "&amp;Milestones!$AC$168&amp;";  ","")&amp;IF(AND(EDATE($D131,Milestones!$AA$169)&lt;=AsOfDate,IF($Q131=0,$W131,IF(AND($S131&lt;&gt;"",EDATE($D131,Milestones!$AA$169)&gt;=$S131),$V131,IF(AND($R131&lt;&gt;"",EDATE($D131,Milestones!$AA$169)&gt;=$R131),$U131,$T131)))=Milestones!$AB$169),TEXT(EDATE($D131,Milestones!$AA$169),"dd/mm/yy")&amp;" "&amp;Milestones!$AB$169&amp;" "&amp;Milestones!$AC$169&amp;";  ","")&amp;IF(AND(EDATE($D131,Milestones!$AA$170)&lt;=AsOfDate,IF($Q131=0,$W131,IF(AND($S131&lt;&gt;"",EDATE($D131,Milestones!$AA$170)&gt;=$S131),$V131,IF(AND($R131&lt;&gt;"",EDATE($D131,Milestones!$AA$170)&gt;=$R131),$U131,$T131)))=Milestones!$AB$170),TEXT(EDATE($D131,Milestones!$AA$170),"dd/mm/yy")&amp;" "&amp;Milestones!$AB$170&amp;" "&amp;Milestones!$AC$170&amp;";  ","")&amp;IF(AND(EDATE($D131,Milestones!$AA$171)&lt;=AsOfDate,IF($Q131=0,$W131,IF(AND($S131&lt;&gt;"",EDATE($D131,Milestones!$AA$171)&gt;=$S131),$V131,IF(AND($R131&lt;&gt;"",EDATE($D131,Milestones!$AA$171)&gt;=$R131),$U131,$T131)))=Milestones!$AB$171),TEXT(EDATE($D131,Milestones!$AA$171),"dd/mm/yy")&amp;" "&amp;Milestones!$AB$171&amp;" "&amp;Milestones!$AC$171&amp;";  ","")&amp;IF(AND(EDATE($D131,Milestones!$AA$172)&lt;=AsOfDate,IF($Q131=0,$W131,IF(AND($S131&lt;&gt;"",EDATE($D131,Milestones!$AA$172)&gt;=$S131),$V131,IF(AND($R131&lt;&gt;"",EDATE($D131,Milestones!$AA$172)&gt;=$R131),$U131,$T131)))=Milestones!$AB$172),TEXT(EDATE($D131,Milestones!$AA$172),"dd/mm/yy")&amp;" "&amp;Milestones!$AB$172&amp;" "&amp;Milestones!$AC$172&amp;";  ","")&amp;IF(AND(EDATE($D131,Milestones!$AA$173)&lt;=AsOfDate,IF($Q131=0,$W131,IF(AND($S131&lt;&gt;"",EDATE($D131,Milestones!$AA$173)&gt;=$S131),$V131,IF(AND($R131&lt;&gt;"",EDATE($D131,Milestones!$AA$173)&gt;=$R131),$U131,$T131)))=Milestones!$AB$173),TEXT(EDATE($D131,Milestones!$AA$173),"dd/mm/yy")&amp;" "&amp;Milestones!$AB$173&amp;" "&amp;Milestones!$AC$173&amp;";  ","")&amp;IF(AND(EDATE($D131,Milestones!$AA$174)&lt;=AsOfDate,IF($Q131=0,$W131,IF(AND($S131&lt;&gt;"",EDATE($D131,Milestones!$AA$174)&gt;=$S131),$V131,IF(AND($R131&lt;&gt;"",EDATE($D131,Milestones!$AA$174)&gt;=$R131),$U131,$T131)))=Milestones!$AB$174),TEXT(EDATE($D131,Milestones!$AA$174),"dd/mm/yy")&amp;" "&amp;Milestones!$AB$174&amp;" "&amp;Milestones!$AC$174&amp;";  ","")&amp;IF(AND(EDATE($D131,Milestones!$AA$175)&lt;=AsOfDate,IF($Q131=0,$W131,IF(AND($S131&lt;&gt;"",EDATE($D131,Milestones!$AA$175)&gt;=$S131),$V131,IF(AND($R131&lt;&gt;"",EDATE($D131,Milestones!$AA$175)&gt;=$R131),$U131,$T131)))=Milestones!$AB$175),TEXT(EDATE($D131,Milestones!$AA$175),"dd/mm/yy")&amp;" "&amp;Milestones!$AB$175&amp;" "&amp;Milestones!$AC$175&amp;";  ","")&amp;IF(AND(EDATE($D131,Milestones!$AA$176)&lt;=AsOfDate,IF($Q131=0,$W131,IF(AND($S131&lt;&gt;"",EDATE($D131,Milestones!$AA$176)&gt;=$S131),$V131,IF(AND($R131&lt;&gt;"",EDATE($D131,Milestones!$AA$176)&gt;=$R131),$U131,$T131)))=Milestones!$AB$176),TEXT(EDATE($D131,Milestones!$AA$176),"dd/mm/yy")&amp;" "&amp;Milestones!$AB$176&amp;" "&amp;Milestones!$AC$176&amp;";  ","")&amp;IF(AND(EDATE($D131,Milestones!$AA$177)&lt;=AsOfDate,IF($Q131=0,$W131,IF(AND($S131&lt;&gt;"",EDATE($D131,Milestones!$AA$177)&gt;=$S131),$V131,IF(AND($R131&lt;&gt;"",EDATE($D131,Milestones!$AA$177)&gt;=$R131),$U131,$T131)))=Milestones!$AB$177),TEXT(EDATE($D131,Milestones!$AA$177),"dd/mm/yy")&amp;" "&amp;Milestones!$AB$177&amp;" "&amp;Milestones!$AC$177&amp;";  ","")&amp;IF(AND(EDATE($D131,Milestones!$AA$178)&lt;=AsOfDate,IF($Q131=0,$W131,IF(AND($S131&lt;&gt;"",EDATE($D131,Milestones!$AA$178)&gt;=$S131),$V131,IF(AND($R131&lt;&gt;"",EDATE($D131,Milestones!$AA$178)&gt;=$R131),$U131,$T131)))=Milestones!$AB$178),TEXT(EDATE($D131,Milestones!$AA$178),"dd/mm/yy")&amp;" "&amp;Milestones!$AB$178&amp;" "&amp;Milestones!$AC$178&amp;";  ","")&amp;IF(AND(EDATE($D131,Milestones!$AA$179)&lt;=AsOfDate,IF($Q131=0,$W131,IF(AND($S131&lt;&gt;"",EDATE($D131,Milestones!$AA$179)&gt;=$S131),$V131,IF(AND($R131&lt;&gt;"",EDATE($D131,Milestones!$AA$179)&gt;=$R131),$U131,$T131)))=Milestones!$AB$179),TEXT(EDATE($D131,Milestones!$AA$179),"dd/mm/yy")&amp;" "&amp;Milestones!$AB$179&amp;" "&amp;Milestones!$AC$179&amp;";  ",""))</f>
        <v/>
      </c>
      <c r="P131" s="0" t="str">
        <f aca="false">IF(OR($A131="",$D131=""),"",IF(AND(EDATE($D131,Milestones!$AA$180)&lt;=AsOfDate,IF($Q131=0,$W131,IF(AND($S131&lt;&gt;"",EDATE($D131,Milestones!$AA$180)&gt;=$S131),$V131,IF(AND($R131&lt;&gt;"",EDATE($D131,Milestones!$AA$180)&gt;=$R131),$U131,$T131)))=Milestones!$AB$180),TEXT(EDATE($D131,Milestones!$AA$180),"dd/mm/yy")&amp;" "&amp;Milestones!$AB$180&amp;" "&amp;Milestones!$AC$180&amp;";  ","")&amp;IF(AND(EDATE($D131,Milestones!$AA$181)&lt;=AsOfDate,IF($Q131=0,$W131,IF(AND($S131&lt;&gt;"",EDATE($D131,Milestones!$AA$181)&gt;=$S131),$V131,IF(AND($R131&lt;&gt;"",EDATE($D131,Milestones!$AA$181)&gt;=$R131),$U131,$T131)))=Milestones!$AB$181),TEXT(EDATE($D131,Milestones!$AA$181),"dd/mm/yy")&amp;" "&amp;Milestones!$AB$181&amp;" "&amp;Milestones!$AC$181&amp;";  ","")&amp;IF(AND(EDATE($D131,Milestones!$AA$182)&lt;=AsOfDate,IF($Q131=0,$W131,IF(AND($S131&lt;&gt;"",EDATE($D131,Milestones!$AA$182)&gt;=$S131),$V131,IF(AND($R131&lt;&gt;"",EDATE($D131,Milestones!$AA$182)&gt;=$R131),$U131,$T131)))=Milestones!$AB$182),TEXT(EDATE($D131,Milestones!$AA$182),"dd/mm/yy")&amp;" "&amp;Milestones!$AB$182&amp;" "&amp;Milestones!$AC$182&amp;";  ","")&amp;IF(AND(EDATE($D131,Milestones!$AA$183)&lt;=AsOfDate,IF($Q131=0,$W131,IF(AND($S131&lt;&gt;"",EDATE($D131,Milestones!$AA$183)&gt;=$S131),$V131,IF(AND($R131&lt;&gt;"",EDATE($D131,Milestones!$AA$183)&gt;=$R131),$U131,$T131)))=Milestones!$AB$183),TEXT(EDATE($D131,Milestones!$AA$183),"dd/mm/yy")&amp;" "&amp;Milestones!$AB$183&amp;" "&amp;Milestones!$AC$183&amp;";  ","")&amp;IF(AND(EDATE($D131,Milestones!$AA$184)&lt;=AsOfDate,IF($Q131=0,$W131,IF(AND($S131&lt;&gt;"",EDATE($D131,Milestones!$AA$184)&gt;=$S131),$V131,IF(AND($R131&lt;&gt;"",EDATE($D131,Milestones!$AA$184)&gt;=$R131),$U131,$T131)))=Milestones!$AB$184),TEXT(EDATE($D131,Milestones!$AA$184),"dd/mm/yy")&amp;" "&amp;Milestones!$AB$184&amp;" "&amp;Milestones!$AC$184&amp;";  ","")&amp;IF(AND(EDATE($D131,Milestones!$AA$185)&lt;=AsOfDate,IF($Q131=0,$W131,IF(AND($S131&lt;&gt;"",EDATE($D131,Milestones!$AA$185)&gt;=$S131),$V131,IF(AND($R131&lt;&gt;"",EDATE($D131,Milestones!$AA$185)&gt;=$R131),$U131,$T131)))=Milestones!$AB$185),TEXT(EDATE($D131,Milestones!$AA$185),"dd/mm/yy")&amp;" "&amp;Milestones!$AB$185&amp;" "&amp;Milestones!$AC$185&amp;";  ","")&amp;IF(AND(EDATE($D131,Milestones!$AA$186)&lt;=AsOfDate,IF($Q131=0,$W131,IF(AND($S131&lt;&gt;"",EDATE($D131,Milestones!$AA$186)&gt;=$S131),$V131,IF(AND($R131&lt;&gt;"",EDATE($D131,Milestones!$AA$186)&gt;=$R131),$U131,$T131)))=Milestones!$AB$186),TEXT(EDATE($D131,Milestones!$AA$186),"dd/mm/yy")&amp;" "&amp;Milestones!$AB$186&amp;" "&amp;Milestones!$AC$186&amp;";  ","")&amp;IF(AND(EDATE($D131,Milestones!$AA$187)&lt;=AsOfDate,IF($Q131=0,$W131,IF(AND($S131&lt;&gt;"",EDATE($D131,Milestones!$AA$187)&gt;=$S131),$V131,IF(AND($R131&lt;&gt;"",EDATE($D131,Milestones!$AA$187)&gt;=$R131),$U131,$T131)))=Milestones!$AB$187),TEXT(EDATE($D131,Milestones!$AA$187),"dd/mm/yy")&amp;" "&amp;Milestones!$AB$187&amp;" "&amp;Milestones!$AC$187&amp;";  ","")&amp;IF(AND(EDATE($D131,Milestones!$AA$188)&lt;=AsOfDate,IF($Q131=0,$W131,IF(AND($S131&lt;&gt;"",EDATE($D131,Milestones!$AA$188)&gt;=$S131),$V131,IF(AND($R131&lt;&gt;"",EDATE($D131,Milestones!$AA$188)&gt;=$R131),$U131,$T131)))=Milestones!$AB$188),TEXT(EDATE($D131,Milestones!$AA$188),"dd/mm/yy")&amp;" "&amp;Milestones!$AB$188&amp;" "&amp;Milestones!$AC$188&amp;";  ","")&amp;IF(AND(EDATE($D131,Milestones!$AA$189)&lt;=AsOfDate,IF($Q131=0,$W131,IF(AND($S131&lt;&gt;"",EDATE($D131,Milestones!$AA$189)&gt;=$S131),$V131,IF(AND($R131&lt;&gt;"",EDATE($D131,Milestones!$AA$189)&gt;=$R131),$U131,$T131)))=Milestones!$AB$189),TEXT(EDATE($D131,Milestones!$AA$189),"dd/mm/yy")&amp;" "&amp;Milestones!$AB$189&amp;" "&amp;Milestones!$AC$189&amp;";  ","")&amp;IF(AND(EDATE($D131,Milestones!$AA$190)&lt;=AsOfDate,IF($Q131=0,$W131,IF(AND($S131&lt;&gt;"",EDATE($D131,Milestones!$AA$190)&gt;=$S131),$V131,IF(AND($R131&lt;&gt;"",EDATE($D131,Milestones!$AA$190)&gt;=$R131),$U131,$T131)))=Milestones!$AB$190),TEXT(EDATE($D131,Milestones!$AA$190),"dd/mm/yy")&amp;" "&amp;Milestones!$AB$190&amp;" "&amp;Milestones!$AC$190&amp;";  ","")&amp;IF(AND(EDATE($D131,Milestones!$AA$191)&lt;=AsOfDate,IF($Q131=0,$W131,IF(AND($S131&lt;&gt;"",EDATE($D131,Milestones!$AA$191)&gt;=$S131),$V131,IF(AND($R131&lt;&gt;"",EDATE($D131,Milestones!$AA$191)&gt;=$R131),$U131,$T131)))=Milestones!$AB$191),TEXT(EDATE($D131,Milestones!$AA$191),"dd/mm/yy")&amp;" "&amp;Milestones!$AB$191&amp;" "&amp;Milestones!$AC$191&amp;";  ","")&amp;IF(AND(EDATE($D131,Milestones!$AA$192)&lt;=AsOfDate,IF($Q131=0,$W131,IF(AND($S131&lt;&gt;"",EDATE($D131,Milestones!$AA$192)&gt;=$S131),$V131,IF(AND($R131&lt;&gt;"",EDATE($D131,Milestones!$AA$192)&gt;=$R131),$U131,$T131)))=Milestones!$AB$192),TEXT(EDATE($D131,Milestones!$AA$192),"dd/mm/yy")&amp;" "&amp;Milestones!$AB$192&amp;" "&amp;Milestones!$AC$192&amp;";  ","")&amp;IF(AND(EDATE($D131,Milestones!$AA$193)&lt;=AsOfDate,IF($Q131=0,$W131,IF(AND($S131&lt;&gt;"",EDATE($D131,Milestones!$AA$193)&gt;=$S131),$V131,IF(AND($R131&lt;&gt;"",EDATE($D131,Milestones!$AA$193)&gt;=$R131),$U131,$T131)))=Milestones!$AB$193),TEXT(EDATE($D131,Milestones!$AA$193),"dd/mm/yy")&amp;" "&amp;Milestones!$AB$193&amp;" "&amp;Milestones!$AC$193&amp;";  ","")&amp;IF(AND(EDATE($D131,Milestones!$AA$194)&lt;=AsOfDate,IF($Q131=0,$W131,IF(AND($S131&lt;&gt;"",EDATE($D131,Milestones!$AA$194)&gt;=$S131),$V131,IF(AND($R131&lt;&gt;"",EDATE($D131,Milestones!$AA$194)&gt;=$R131),$U131,$T131)))=Milestones!$AB$194),TEXT(EDATE($D131,Milestones!$AA$194),"dd/mm/yy")&amp;" "&amp;Milestones!$AB$194&amp;" "&amp;Milestones!$AC$194&amp;";  ","")&amp;IF(AND(EDATE($D131,Milestones!$AA$195)&lt;=AsOfDate,IF($Q131=0,$W131,IF(AND($S131&lt;&gt;"",EDATE($D131,Milestones!$AA$195)&gt;=$S131),$V131,IF(AND($R131&lt;&gt;"",EDATE($D131,Milestones!$AA$195)&gt;=$R131),$U131,$T131)))=Milestones!$AB$195),TEXT(EDATE($D131,Milestones!$AA$195),"dd/mm/yy")&amp;" "&amp;Milestones!$AB$195&amp;" "&amp;Milestones!$AC$195&amp;";  ","")&amp;IF(AND(EDATE($D131,Milestones!$AA$196)&lt;=AsOfDate,IF($Q131=0,$W131,IF(AND($S131&lt;&gt;"",EDATE($D131,Milestones!$AA$196)&gt;=$S131),$V131,IF(AND($R131&lt;&gt;"",EDATE($D131,Milestones!$AA$196)&gt;=$R131),$U131,$T131)))=Milestones!$AB$196),TEXT(EDATE($D131,Milestones!$AA$196),"dd/mm/yy")&amp;" "&amp;Milestones!$AB$196&amp;" "&amp;Milestones!$AC$196&amp;";  ","")&amp;IF(AND(EDATE($D131,Milestones!$AA$197)&lt;=AsOfDate,IF($Q131=0,$W131,IF(AND($S131&lt;&gt;"",EDATE($D131,Milestones!$AA$197)&gt;=$S131),$V131,IF(AND($R131&lt;&gt;"",EDATE($D131,Milestones!$AA$197)&gt;=$R131),$U131,$T131)))=Milestones!$AB$197),TEXT(EDATE($D131,Milestones!$AA$197),"dd/mm/yy")&amp;" "&amp;Milestones!$AB$197&amp;" "&amp;Milestones!$AC$197&amp;";  ","")&amp;IF(AND(EDATE($D131,Milestones!$AA$198)&lt;=AsOfDate,IF($Q131=0,$W131,IF(AND($S131&lt;&gt;"",EDATE($D131,Milestones!$AA$198)&gt;=$S131),$V131,IF(AND($R131&lt;&gt;"",EDATE($D131,Milestones!$AA$198)&gt;=$R131),$U131,$T131)))=Milestones!$AB$198),TEXT(EDATE($D131,Milestones!$AA$198),"dd/mm/yy")&amp;" "&amp;Milestones!$AB$198&amp;" "&amp;Milestones!$AC$198&amp;";  ","")&amp;IF(AND(EDATE($D131,Milestones!$AA$199)&lt;=AsOfDate,IF($Q131=0,$W131,IF(AND($S131&lt;&gt;"",EDATE($D131,Milestones!$AA$199)&gt;=$S131),$V131,IF(AND($R131&lt;&gt;"",EDATE($D131,Milestones!$AA$199)&gt;=$R131),$U131,$T131)))=Milestones!$AB$199),TEXT(EDATE($D131,Milestones!$AA$199),"dd/mm/yy")&amp;" "&amp;Milestones!$AB$199&amp;" "&amp;Milestones!$AC$199&amp;";  ",""))</f>
        <v/>
      </c>
      <c r="Q131" s="0" t="str">
        <f aca="false">IF(Staff!$A131="","",Staff!$AG131)</f>
        <v/>
      </c>
      <c r="R131" s="0" t="str">
        <f aca="false">IF(Staff!$A131="","",Staff!$AI131)</f>
        <v/>
      </c>
      <c r="S131" s="0" t="str">
        <f aca="false">IF(Staff!$A131="","",Staff!$AJ131)</f>
        <v/>
      </c>
      <c r="T131" s="0" t="str">
        <f aca="false">IF(Staff!$A131="","",Staff!$AN131)</f>
        <v/>
      </c>
      <c r="U131" s="0" t="str">
        <f aca="false">IF(Staff!$A131="","",Staff!$AO131)</f>
        <v/>
      </c>
      <c r="V131" s="0" t="str">
        <f aca="false">IF(Staff!$A131="","",Staff!$AP131)</f>
        <v/>
      </c>
      <c r="W131" s="0" t="str">
        <f aca="false">IF(Staff!$A131="","",Staff!$AQ131)</f>
        <v/>
      </c>
    </row>
    <row r="132" customFormat="false" ht="15" hidden="false" customHeight="false" outlineLevel="0" collapsed="false">
      <c r="A132" s="13" t="str">
        <f aca="false">IF(Staff!$A132="","",Staff!$A132)</f>
        <v/>
      </c>
      <c r="B132" s="13" t="str">
        <f aca="false">IF(Staff!$A132="","",Staff!$B132)</f>
        <v/>
      </c>
      <c r="C132" s="13" t="str">
        <f aca="false">IF(Staff!$A132="","",Staff!$C132)</f>
        <v/>
      </c>
      <c r="D132" s="11" t="str">
        <f aca="false">IF(Staff!$A132="","",Staff!$AF132)</f>
        <v/>
      </c>
      <c r="E132" s="13" t="str">
        <f aca="false">IF(Staff!$A132="","",Staff!$O132)</f>
        <v/>
      </c>
      <c r="F132" s="13" t="str">
        <f aca="false">IF(E132="","",E132*HoursPerDay)</f>
        <v/>
      </c>
      <c r="G132" s="26" t="str">
        <f aca="false">IF($A132="","",H132&amp;I132&amp;J132&amp;K132&amp;L132&amp;M132&amp;N132&amp;O132&amp;P132)</f>
        <v/>
      </c>
      <c r="H132" s="0" t="str">
        <f aca="false">IF(OR($A132="",$D132=""),"",IF(AND(EDATE($D132,Milestones!$AA$20)&lt;=AsOfDate,IF($Q132=0,$W132,IF(AND($S132&lt;&gt;"",EDATE($D132,Milestones!$AA$20)&gt;=$S132),$V132,IF(AND($R132&lt;&gt;"",EDATE($D132,Milestones!$AA$20)&gt;=$R132),$U132,$T132)))=Milestones!$AB$20),TEXT(EDATE($D132,Milestones!$AA$20),"dd/mm/yy")&amp;" "&amp;Milestones!$AB$20&amp;" "&amp;Milestones!$AC$20&amp;";  ","")&amp;IF(AND(EDATE($D132,Milestones!$AA$21)&lt;=AsOfDate,IF($Q132=0,$W132,IF(AND($S132&lt;&gt;"",EDATE($D132,Milestones!$AA$21)&gt;=$S132),$V132,IF(AND($R132&lt;&gt;"",EDATE($D132,Milestones!$AA$21)&gt;=$R132),$U132,$T132)))=Milestones!$AB$21),TEXT(EDATE($D132,Milestones!$AA$21),"dd/mm/yy")&amp;" "&amp;Milestones!$AB$21&amp;" "&amp;Milestones!$AC$21&amp;";  ","")&amp;IF(AND(EDATE($D132,Milestones!$AA$22)&lt;=AsOfDate,IF($Q132=0,$W132,IF(AND($S132&lt;&gt;"",EDATE($D132,Milestones!$AA$22)&gt;=$S132),$V132,IF(AND($R132&lt;&gt;"",EDATE($D132,Milestones!$AA$22)&gt;=$R132),$U132,$T132)))=Milestones!$AB$22),TEXT(EDATE($D132,Milestones!$AA$22),"dd/mm/yy")&amp;" "&amp;Milestones!$AB$22&amp;" "&amp;Milestones!$AC$22&amp;";  ","")&amp;IF(AND(EDATE($D132,Milestones!$AA$23)&lt;=AsOfDate,IF($Q132=0,$W132,IF(AND($S132&lt;&gt;"",EDATE($D132,Milestones!$AA$23)&gt;=$S132),$V132,IF(AND($R132&lt;&gt;"",EDATE($D132,Milestones!$AA$23)&gt;=$R132),$U132,$T132)))=Milestones!$AB$23),TEXT(EDATE($D132,Milestones!$AA$23),"dd/mm/yy")&amp;" "&amp;Milestones!$AB$23&amp;" "&amp;Milestones!$AC$23&amp;";  ","")&amp;IF(AND(EDATE($D132,Milestones!$AA$24)&lt;=AsOfDate,IF($Q132=0,$W132,IF(AND($S132&lt;&gt;"",EDATE($D132,Milestones!$AA$24)&gt;=$S132),$V132,IF(AND($R132&lt;&gt;"",EDATE($D132,Milestones!$AA$24)&gt;=$R132),$U132,$T132)))=Milestones!$AB$24),TEXT(EDATE($D132,Milestones!$AA$24),"dd/mm/yy")&amp;" "&amp;Milestones!$AB$24&amp;" "&amp;Milestones!$AC$24&amp;";  ","")&amp;IF(AND(EDATE($D132,Milestones!$AA$25)&lt;=AsOfDate,IF($Q132=0,$W132,IF(AND($S132&lt;&gt;"",EDATE($D132,Milestones!$AA$25)&gt;=$S132),$V132,IF(AND($R132&lt;&gt;"",EDATE($D132,Milestones!$AA$25)&gt;=$R132),$U132,$T132)))=Milestones!$AB$25),TEXT(EDATE($D132,Milestones!$AA$25),"dd/mm/yy")&amp;" "&amp;Milestones!$AB$25&amp;" "&amp;Milestones!$AC$25&amp;";  ","")&amp;IF(AND(EDATE($D132,Milestones!$AA$26)&lt;=AsOfDate,IF($Q132=0,$W132,IF(AND($S132&lt;&gt;"",EDATE($D132,Milestones!$AA$26)&gt;=$S132),$V132,IF(AND($R132&lt;&gt;"",EDATE($D132,Milestones!$AA$26)&gt;=$R132),$U132,$T132)))=Milestones!$AB$26),TEXT(EDATE($D132,Milestones!$AA$26),"dd/mm/yy")&amp;" "&amp;Milestones!$AB$26&amp;" "&amp;Milestones!$AC$26&amp;";  ","")&amp;IF(AND(EDATE($D132,Milestones!$AA$27)&lt;=AsOfDate,IF($Q132=0,$W132,IF(AND($S132&lt;&gt;"",EDATE($D132,Milestones!$AA$27)&gt;=$S132),$V132,IF(AND($R132&lt;&gt;"",EDATE($D132,Milestones!$AA$27)&gt;=$R132),$U132,$T132)))=Milestones!$AB$27),TEXT(EDATE($D132,Milestones!$AA$27),"dd/mm/yy")&amp;" "&amp;Milestones!$AB$27&amp;" "&amp;Milestones!$AC$27&amp;";  ","")&amp;IF(AND(EDATE($D132,Milestones!$AA$28)&lt;=AsOfDate,IF($Q132=0,$W132,IF(AND($S132&lt;&gt;"",EDATE($D132,Milestones!$AA$28)&gt;=$S132),$V132,IF(AND($R132&lt;&gt;"",EDATE($D132,Milestones!$AA$28)&gt;=$R132),$U132,$T132)))=Milestones!$AB$28),TEXT(EDATE($D132,Milestones!$AA$28),"dd/mm/yy")&amp;" "&amp;Milestones!$AB$28&amp;" "&amp;Milestones!$AC$28&amp;";  ","")&amp;IF(AND(EDATE($D132,Milestones!$AA$29)&lt;=AsOfDate,IF($Q132=0,$W132,IF(AND($S132&lt;&gt;"",EDATE($D132,Milestones!$AA$29)&gt;=$S132),$V132,IF(AND($R132&lt;&gt;"",EDATE($D132,Milestones!$AA$29)&gt;=$R132),$U132,$T132)))=Milestones!$AB$29),TEXT(EDATE($D132,Milestones!$AA$29),"dd/mm/yy")&amp;" "&amp;Milestones!$AB$29&amp;" "&amp;Milestones!$AC$29&amp;";  ","")&amp;IF(AND(EDATE($D132,Milestones!$AA$30)&lt;=AsOfDate,IF($Q132=0,$W132,IF(AND($S132&lt;&gt;"",EDATE($D132,Milestones!$AA$30)&gt;=$S132),$V132,IF(AND($R132&lt;&gt;"",EDATE($D132,Milestones!$AA$30)&gt;=$R132),$U132,$T132)))=Milestones!$AB$30),TEXT(EDATE($D132,Milestones!$AA$30),"dd/mm/yy")&amp;" "&amp;Milestones!$AB$30&amp;" "&amp;Milestones!$AC$30&amp;";  ","")&amp;IF(AND(EDATE($D132,Milestones!$AA$31)&lt;=AsOfDate,IF($Q132=0,$W132,IF(AND($S132&lt;&gt;"",EDATE($D132,Milestones!$AA$31)&gt;=$S132),$V132,IF(AND($R132&lt;&gt;"",EDATE($D132,Milestones!$AA$31)&gt;=$R132),$U132,$T132)))=Milestones!$AB$31),TEXT(EDATE($D132,Milestones!$AA$31),"dd/mm/yy")&amp;" "&amp;Milestones!$AB$31&amp;" "&amp;Milestones!$AC$31&amp;";  ","")&amp;IF(AND(EDATE($D132,Milestones!$AA$32)&lt;=AsOfDate,IF($Q132=0,$W132,IF(AND($S132&lt;&gt;"",EDATE($D132,Milestones!$AA$32)&gt;=$S132),$V132,IF(AND($R132&lt;&gt;"",EDATE($D132,Milestones!$AA$32)&gt;=$R132),$U132,$T132)))=Milestones!$AB$32),TEXT(EDATE($D132,Milestones!$AA$32),"dd/mm/yy")&amp;" "&amp;Milestones!$AB$32&amp;" "&amp;Milestones!$AC$32&amp;";  ","")&amp;IF(AND(EDATE($D132,Milestones!$AA$33)&lt;=AsOfDate,IF($Q132=0,$W132,IF(AND($S132&lt;&gt;"",EDATE($D132,Milestones!$AA$33)&gt;=$S132),$V132,IF(AND($R132&lt;&gt;"",EDATE($D132,Milestones!$AA$33)&gt;=$R132),$U132,$T132)))=Milestones!$AB$33),TEXT(EDATE($D132,Milestones!$AA$33),"dd/mm/yy")&amp;" "&amp;Milestones!$AB$33&amp;" "&amp;Milestones!$AC$33&amp;";  ","")&amp;IF(AND(EDATE($D132,Milestones!$AA$34)&lt;=AsOfDate,IF($Q132=0,$W132,IF(AND($S132&lt;&gt;"",EDATE($D132,Milestones!$AA$34)&gt;=$S132),$V132,IF(AND($R132&lt;&gt;"",EDATE($D132,Milestones!$AA$34)&gt;=$R132),$U132,$T132)))=Milestones!$AB$34),TEXT(EDATE($D132,Milestones!$AA$34),"dd/mm/yy")&amp;" "&amp;Milestones!$AB$34&amp;" "&amp;Milestones!$AC$34&amp;";  ","")&amp;IF(AND(EDATE($D132,Milestones!$AA$35)&lt;=AsOfDate,IF($Q132=0,$W132,IF(AND($S132&lt;&gt;"",EDATE($D132,Milestones!$AA$35)&gt;=$S132),$V132,IF(AND($R132&lt;&gt;"",EDATE($D132,Milestones!$AA$35)&gt;=$R132),$U132,$T132)))=Milestones!$AB$35),TEXT(EDATE($D132,Milestones!$AA$35),"dd/mm/yy")&amp;" "&amp;Milestones!$AB$35&amp;" "&amp;Milestones!$AC$35&amp;";  ","")&amp;IF(AND(EDATE($D132,Milestones!$AA$36)&lt;=AsOfDate,IF($Q132=0,$W132,IF(AND($S132&lt;&gt;"",EDATE($D132,Milestones!$AA$36)&gt;=$S132),$V132,IF(AND($R132&lt;&gt;"",EDATE($D132,Milestones!$AA$36)&gt;=$R132),$U132,$T132)))=Milestones!$AB$36),TEXT(EDATE($D132,Milestones!$AA$36),"dd/mm/yy")&amp;" "&amp;Milestones!$AB$36&amp;" "&amp;Milestones!$AC$36&amp;";  ","")&amp;IF(AND(EDATE($D132,Milestones!$AA$37)&lt;=AsOfDate,IF($Q132=0,$W132,IF(AND($S132&lt;&gt;"",EDATE($D132,Milestones!$AA$37)&gt;=$S132),$V132,IF(AND($R132&lt;&gt;"",EDATE($D132,Milestones!$AA$37)&gt;=$R132),$U132,$T132)))=Milestones!$AB$37),TEXT(EDATE($D132,Milestones!$AA$37),"dd/mm/yy")&amp;" "&amp;Milestones!$AB$37&amp;" "&amp;Milestones!$AC$37&amp;";  ","")&amp;IF(AND(EDATE($D132,Milestones!$AA$38)&lt;=AsOfDate,IF($Q132=0,$W132,IF(AND($S132&lt;&gt;"",EDATE($D132,Milestones!$AA$38)&gt;=$S132),$V132,IF(AND($R132&lt;&gt;"",EDATE($D132,Milestones!$AA$38)&gt;=$R132),$U132,$T132)))=Milestones!$AB$38),TEXT(EDATE($D132,Milestones!$AA$38),"dd/mm/yy")&amp;" "&amp;Milestones!$AB$38&amp;" "&amp;Milestones!$AC$38&amp;";  ","")&amp;IF(AND(EDATE($D132,Milestones!$AA$39)&lt;=AsOfDate,IF($Q132=0,$W132,IF(AND($S132&lt;&gt;"",EDATE($D132,Milestones!$AA$39)&gt;=$S132),$V132,IF(AND($R132&lt;&gt;"",EDATE($D132,Milestones!$AA$39)&gt;=$R132),$U132,$T132)))=Milestones!$AB$39),TEXT(EDATE($D132,Milestones!$AA$39),"dd/mm/yy")&amp;" "&amp;Milestones!$AB$39&amp;" "&amp;Milestones!$AC$39&amp;";  ",""))</f>
        <v/>
      </c>
      <c r="I132" s="0" t="str">
        <f aca="false">IF(OR($A132="",$D132=""),"",IF(AND(EDATE($D132,Milestones!$AA$40)&lt;=AsOfDate,IF($Q132=0,$W132,IF(AND($S132&lt;&gt;"",EDATE($D132,Milestones!$AA$40)&gt;=$S132),$V132,IF(AND($R132&lt;&gt;"",EDATE($D132,Milestones!$AA$40)&gt;=$R132),$U132,$T132)))=Milestones!$AB$40),TEXT(EDATE($D132,Milestones!$AA$40),"dd/mm/yy")&amp;" "&amp;Milestones!$AB$40&amp;" "&amp;Milestones!$AC$40&amp;";  ","")&amp;IF(AND(EDATE($D132,Milestones!$AA$41)&lt;=AsOfDate,IF($Q132=0,$W132,IF(AND($S132&lt;&gt;"",EDATE($D132,Milestones!$AA$41)&gt;=$S132),$V132,IF(AND($R132&lt;&gt;"",EDATE($D132,Milestones!$AA$41)&gt;=$R132),$U132,$T132)))=Milestones!$AB$41),TEXT(EDATE($D132,Milestones!$AA$41),"dd/mm/yy")&amp;" "&amp;Milestones!$AB$41&amp;" "&amp;Milestones!$AC$41&amp;";  ","")&amp;IF(AND(EDATE($D132,Milestones!$AA$42)&lt;=AsOfDate,IF($Q132=0,$W132,IF(AND($S132&lt;&gt;"",EDATE($D132,Milestones!$AA$42)&gt;=$S132),$V132,IF(AND($R132&lt;&gt;"",EDATE($D132,Milestones!$AA$42)&gt;=$R132),$U132,$T132)))=Milestones!$AB$42),TEXT(EDATE($D132,Milestones!$AA$42),"dd/mm/yy")&amp;" "&amp;Milestones!$AB$42&amp;" "&amp;Milestones!$AC$42&amp;";  ","")&amp;IF(AND(EDATE($D132,Milestones!$AA$43)&lt;=AsOfDate,IF($Q132=0,$W132,IF(AND($S132&lt;&gt;"",EDATE($D132,Milestones!$AA$43)&gt;=$S132),$V132,IF(AND($R132&lt;&gt;"",EDATE($D132,Milestones!$AA$43)&gt;=$R132),$U132,$T132)))=Milestones!$AB$43),TEXT(EDATE($D132,Milestones!$AA$43),"dd/mm/yy")&amp;" "&amp;Milestones!$AB$43&amp;" "&amp;Milestones!$AC$43&amp;";  ","")&amp;IF(AND(EDATE($D132,Milestones!$AA$44)&lt;=AsOfDate,IF($Q132=0,$W132,IF(AND($S132&lt;&gt;"",EDATE($D132,Milestones!$AA$44)&gt;=$S132),$V132,IF(AND($R132&lt;&gt;"",EDATE($D132,Milestones!$AA$44)&gt;=$R132),$U132,$T132)))=Milestones!$AB$44),TEXT(EDATE($D132,Milestones!$AA$44),"dd/mm/yy")&amp;" "&amp;Milestones!$AB$44&amp;" "&amp;Milestones!$AC$44&amp;";  ","")&amp;IF(AND(EDATE($D132,Milestones!$AA$45)&lt;=AsOfDate,IF($Q132=0,$W132,IF(AND($S132&lt;&gt;"",EDATE($D132,Milestones!$AA$45)&gt;=$S132),$V132,IF(AND($R132&lt;&gt;"",EDATE($D132,Milestones!$AA$45)&gt;=$R132),$U132,$T132)))=Milestones!$AB$45),TEXT(EDATE($D132,Milestones!$AA$45),"dd/mm/yy")&amp;" "&amp;Milestones!$AB$45&amp;" "&amp;Milestones!$AC$45&amp;";  ","")&amp;IF(AND(EDATE($D132,Milestones!$AA$46)&lt;=AsOfDate,IF($Q132=0,$W132,IF(AND($S132&lt;&gt;"",EDATE($D132,Milestones!$AA$46)&gt;=$S132),$V132,IF(AND($R132&lt;&gt;"",EDATE($D132,Milestones!$AA$46)&gt;=$R132),$U132,$T132)))=Milestones!$AB$46),TEXT(EDATE($D132,Milestones!$AA$46),"dd/mm/yy")&amp;" "&amp;Milestones!$AB$46&amp;" "&amp;Milestones!$AC$46&amp;";  ","")&amp;IF(AND(EDATE($D132,Milestones!$AA$47)&lt;=AsOfDate,IF($Q132=0,$W132,IF(AND($S132&lt;&gt;"",EDATE($D132,Milestones!$AA$47)&gt;=$S132),$V132,IF(AND($R132&lt;&gt;"",EDATE($D132,Milestones!$AA$47)&gt;=$R132),$U132,$T132)))=Milestones!$AB$47),TEXT(EDATE($D132,Milestones!$AA$47),"dd/mm/yy")&amp;" "&amp;Milestones!$AB$47&amp;" "&amp;Milestones!$AC$47&amp;";  ","")&amp;IF(AND(EDATE($D132,Milestones!$AA$48)&lt;=AsOfDate,IF($Q132=0,$W132,IF(AND($S132&lt;&gt;"",EDATE($D132,Milestones!$AA$48)&gt;=$S132),$V132,IF(AND($R132&lt;&gt;"",EDATE($D132,Milestones!$AA$48)&gt;=$R132),$U132,$T132)))=Milestones!$AB$48),TEXT(EDATE($D132,Milestones!$AA$48),"dd/mm/yy")&amp;" "&amp;Milestones!$AB$48&amp;" "&amp;Milestones!$AC$48&amp;";  ","")&amp;IF(AND(EDATE($D132,Milestones!$AA$49)&lt;=AsOfDate,IF($Q132=0,$W132,IF(AND($S132&lt;&gt;"",EDATE($D132,Milestones!$AA$49)&gt;=$S132),$V132,IF(AND($R132&lt;&gt;"",EDATE($D132,Milestones!$AA$49)&gt;=$R132),$U132,$T132)))=Milestones!$AB$49),TEXT(EDATE($D132,Milestones!$AA$49),"dd/mm/yy")&amp;" "&amp;Milestones!$AB$49&amp;" "&amp;Milestones!$AC$49&amp;";  ","")&amp;IF(AND(EDATE($D132,Milestones!$AA$50)&lt;=AsOfDate,IF($Q132=0,$W132,IF(AND($S132&lt;&gt;"",EDATE($D132,Milestones!$AA$50)&gt;=$S132),$V132,IF(AND($R132&lt;&gt;"",EDATE($D132,Milestones!$AA$50)&gt;=$R132),$U132,$T132)))=Milestones!$AB$50),TEXT(EDATE($D132,Milestones!$AA$50),"dd/mm/yy")&amp;" "&amp;Milestones!$AB$50&amp;" "&amp;Milestones!$AC$50&amp;";  ","")&amp;IF(AND(EDATE($D132,Milestones!$AA$51)&lt;=AsOfDate,IF($Q132=0,$W132,IF(AND($S132&lt;&gt;"",EDATE($D132,Milestones!$AA$51)&gt;=$S132),$V132,IF(AND($R132&lt;&gt;"",EDATE($D132,Milestones!$AA$51)&gt;=$R132),$U132,$T132)))=Milestones!$AB$51),TEXT(EDATE($D132,Milestones!$AA$51),"dd/mm/yy")&amp;" "&amp;Milestones!$AB$51&amp;" "&amp;Milestones!$AC$51&amp;";  ","")&amp;IF(AND(EDATE($D132,Milestones!$AA$52)&lt;=AsOfDate,IF($Q132=0,$W132,IF(AND($S132&lt;&gt;"",EDATE($D132,Milestones!$AA$52)&gt;=$S132),$V132,IF(AND($R132&lt;&gt;"",EDATE($D132,Milestones!$AA$52)&gt;=$R132),$U132,$T132)))=Milestones!$AB$52),TEXT(EDATE($D132,Milestones!$AA$52),"dd/mm/yy")&amp;" "&amp;Milestones!$AB$52&amp;" "&amp;Milestones!$AC$52&amp;";  ","")&amp;IF(AND(EDATE($D132,Milestones!$AA$53)&lt;=AsOfDate,IF($Q132=0,$W132,IF(AND($S132&lt;&gt;"",EDATE($D132,Milestones!$AA$53)&gt;=$S132),$V132,IF(AND($R132&lt;&gt;"",EDATE($D132,Milestones!$AA$53)&gt;=$R132),$U132,$T132)))=Milestones!$AB$53),TEXT(EDATE($D132,Milestones!$AA$53),"dd/mm/yy")&amp;" "&amp;Milestones!$AB$53&amp;" "&amp;Milestones!$AC$53&amp;";  ","")&amp;IF(AND(EDATE($D132,Milestones!$AA$54)&lt;=AsOfDate,IF($Q132=0,$W132,IF(AND($S132&lt;&gt;"",EDATE($D132,Milestones!$AA$54)&gt;=$S132),$V132,IF(AND($R132&lt;&gt;"",EDATE($D132,Milestones!$AA$54)&gt;=$R132),$U132,$T132)))=Milestones!$AB$54),TEXT(EDATE($D132,Milestones!$AA$54),"dd/mm/yy")&amp;" "&amp;Milestones!$AB$54&amp;" "&amp;Milestones!$AC$54&amp;";  ","")&amp;IF(AND(EDATE($D132,Milestones!$AA$55)&lt;=AsOfDate,IF($Q132=0,$W132,IF(AND($S132&lt;&gt;"",EDATE($D132,Milestones!$AA$55)&gt;=$S132),$V132,IF(AND($R132&lt;&gt;"",EDATE($D132,Milestones!$AA$55)&gt;=$R132),$U132,$T132)))=Milestones!$AB$55),TEXT(EDATE($D132,Milestones!$AA$55),"dd/mm/yy")&amp;" "&amp;Milestones!$AB$55&amp;" "&amp;Milestones!$AC$55&amp;";  ","")&amp;IF(AND(EDATE($D132,Milestones!$AA$56)&lt;=AsOfDate,IF($Q132=0,$W132,IF(AND($S132&lt;&gt;"",EDATE($D132,Milestones!$AA$56)&gt;=$S132),$V132,IF(AND($R132&lt;&gt;"",EDATE($D132,Milestones!$AA$56)&gt;=$R132),$U132,$T132)))=Milestones!$AB$56),TEXT(EDATE($D132,Milestones!$AA$56),"dd/mm/yy")&amp;" "&amp;Milestones!$AB$56&amp;" "&amp;Milestones!$AC$56&amp;";  ","")&amp;IF(AND(EDATE($D132,Milestones!$AA$57)&lt;=AsOfDate,IF($Q132=0,$W132,IF(AND($S132&lt;&gt;"",EDATE($D132,Milestones!$AA$57)&gt;=$S132),$V132,IF(AND($R132&lt;&gt;"",EDATE($D132,Milestones!$AA$57)&gt;=$R132),$U132,$T132)))=Milestones!$AB$57),TEXT(EDATE($D132,Milestones!$AA$57),"dd/mm/yy")&amp;" "&amp;Milestones!$AB$57&amp;" "&amp;Milestones!$AC$57&amp;";  ","")&amp;IF(AND(EDATE($D132,Milestones!$AA$58)&lt;=AsOfDate,IF($Q132=0,$W132,IF(AND($S132&lt;&gt;"",EDATE($D132,Milestones!$AA$58)&gt;=$S132),$V132,IF(AND($R132&lt;&gt;"",EDATE($D132,Milestones!$AA$58)&gt;=$R132),$U132,$T132)))=Milestones!$AB$58),TEXT(EDATE($D132,Milestones!$AA$58),"dd/mm/yy")&amp;" "&amp;Milestones!$AB$58&amp;" "&amp;Milestones!$AC$58&amp;";  ","")&amp;IF(AND(EDATE($D132,Milestones!$AA$59)&lt;=AsOfDate,IF($Q132=0,$W132,IF(AND($S132&lt;&gt;"",EDATE($D132,Milestones!$AA$59)&gt;=$S132),$V132,IF(AND($R132&lt;&gt;"",EDATE($D132,Milestones!$AA$59)&gt;=$R132),$U132,$T132)))=Milestones!$AB$59),TEXT(EDATE($D132,Milestones!$AA$59),"dd/mm/yy")&amp;" "&amp;Milestones!$AB$59&amp;" "&amp;Milestones!$AC$59&amp;";  ",""))</f>
        <v/>
      </c>
      <c r="J132" s="0" t="str">
        <f aca="false">IF(OR($A132="",$D132=""),"",IF(AND(EDATE($D132,Milestones!$AA$60)&lt;=AsOfDate,IF($Q132=0,$W132,IF(AND($S132&lt;&gt;"",EDATE($D132,Milestones!$AA$60)&gt;=$S132),$V132,IF(AND($R132&lt;&gt;"",EDATE($D132,Milestones!$AA$60)&gt;=$R132),$U132,$T132)))=Milestones!$AB$60),TEXT(EDATE($D132,Milestones!$AA$60),"dd/mm/yy")&amp;" "&amp;Milestones!$AB$60&amp;" "&amp;Milestones!$AC$60&amp;";  ","")&amp;IF(AND(EDATE($D132,Milestones!$AA$61)&lt;=AsOfDate,IF($Q132=0,$W132,IF(AND($S132&lt;&gt;"",EDATE($D132,Milestones!$AA$61)&gt;=$S132),$V132,IF(AND($R132&lt;&gt;"",EDATE($D132,Milestones!$AA$61)&gt;=$R132),$U132,$T132)))=Milestones!$AB$61),TEXT(EDATE($D132,Milestones!$AA$61),"dd/mm/yy")&amp;" "&amp;Milestones!$AB$61&amp;" "&amp;Milestones!$AC$61&amp;";  ","")&amp;IF(AND(EDATE($D132,Milestones!$AA$62)&lt;=AsOfDate,IF($Q132=0,$W132,IF(AND($S132&lt;&gt;"",EDATE($D132,Milestones!$AA$62)&gt;=$S132),$V132,IF(AND($R132&lt;&gt;"",EDATE($D132,Milestones!$AA$62)&gt;=$R132),$U132,$T132)))=Milestones!$AB$62),TEXT(EDATE($D132,Milestones!$AA$62),"dd/mm/yy")&amp;" "&amp;Milestones!$AB$62&amp;" "&amp;Milestones!$AC$62&amp;";  ","")&amp;IF(AND(EDATE($D132,Milestones!$AA$63)&lt;=AsOfDate,IF($Q132=0,$W132,IF(AND($S132&lt;&gt;"",EDATE($D132,Milestones!$AA$63)&gt;=$S132),$V132,IF(AND($R132&lt;&gt;"",EDATE($D132,Milestones!$AA$63)&gt;=$R132),$U132,$T132)))=Milestones!$AB$63),TEXT(EDATE($D132,Milestones!$AA$63),"dd/mm/yy")&amp;" "&amp;Milestones!$AB$63&amp;" "&amp;Milestones!$AC$63&amp;";  ","")&amp;IF(AND(EDATE($D132,Milestones!$AA$64)&lt;=AsOfDate,IF($Q132=0,$W132,IF(AND($S132&lt;&gt;"",EDATE($D132,Milestones!$AA$64)&gt;=$S132),$V132,IF(AND($R132&lt;&gt;"",EDATE($D132,Milestones!$AA$64)&gt;=$R132),$U132,$T132)))=Milestones!$AB$64),TEXT(EDATE($D132,Milestones!$AA$64),"dd/mm/yy")&amp;" "&amp;Milestones!$AB$64&amp;" "&amp;Milestones!$AC$64&amp;";  ","")&amp;IF(AND(EDATE($D132,Milestones!$AA$65)&lt;=AsOfDate,IF($Q132=0,$W132,IF(AND($S132&lt;&gt;"",EDATE($D132,Milestones!$AA$65)&gt;=$S132),$V132,IF(AND($R132&lt;&gt;"",EDATE($D132,Milestones!$AA$65)&gt;=$R132),$U132,$T132)))=Milestones!$AB$65),TEXT(EDATE($D132,Milestones!$AA$65),"dd/mm/yy")&amp;" "&amp;Milestones!$AB$65&amp;" "&amp;Milestones!$AC$65&amp;";  ","")&amp;IF(AND(EDATE($D132,Milestones!$AA$66)&lt;=AsOfDate,IF($Q132=0,$W132,IF(AND($S132&lt;&gt;"",EDATE($D132,Milestones!$AA$66)&gt;=$S132),$V132,IF(AND($R132&lt;&gt;"",EDATE($D132,Milestones!$AA$66)&gt;=$R132),$U132,$T132)))=Milestones!$AB$66),TEXT(EDATE($D132,Milestones!$AA$66),"dd/mm/yy")&amp;" "&amp;Milestones!$AB$66&amp;" "&amp;Milestones!$AC$66&amp;";  ","")&amp;IF(AND(EDATE($D132,Milestones!$AA$67)&lt;=AsOfDate,IF($Q132=0,$W132,IF(AND($S132&lt;&gt;"",EDATE($D132,Milestones!$AA$67)&gt;=$S132),$V132,IF(AND($R132&lt;&gt;"",EDATE($D132,Milestones!$AA$67)&gt;=$R132),$U132,$T132)))=Milestones!$AB$67),TEXT(EDATE($D132,Milestones!$AA$67),"dd/mm/yy")&amp;" "&amp;Milestones!$AB$67&amp;" "&amp;Milestones!$AC$67&amp;";  ","")&amp;IF(AND(EDATE($D132,Milestones!$AA$68)&lt;=AsOfDate,IF($Q132=0,$W132,IF(AND($S132&lt;&gt;"",EDATE($D132,Milestones!$AA$68)&gt;=$S132),$V132,IF(AND($R132&lt;&gt;"",EDATE($D132,Milestones!$AA$68)&gt;=$R132),$U132,$T132)))=Milestones!$AB$68),TEXT(EDATE($D132,Milestones!$AA$68),"dd/mm/yy")&amp;" "&amp;Milestones!$AB$68&amp;" "&amp;Milestones!$AC$68&amp;";  ","")&amp;IF(AND(EDATE($D132,Milestones!$AA$69)&lt;=AsOfDate,IF($Q132=0,$W132,IF(AND($S132&lt;&gt;"",EDATE($D132,Milestones!$AA$69)&gt;=$S132),$V132,IF(AND($R132&lt;&gt;"",EDATE($D132,Milestones!$AA$69)&gt;=$R132),$U132,$T132)))=Milestones!$AB$69),TEXT(EDATE($D132,Milestones!$AA$69),"dd/mm/yy")&amp;" "&amp;Milestones!$AB$69&amp;" "&amp;Milestones!$AC$69&amp;";  ","")&amp;IF(AND(EDATE($D132,Milestones!$AA$70)&lt;=AsOfDate,IF($Q132=0,$W132,IF(AND($S132&lt;&gt;"",EDATE($D132,Milestones!$AA$70)&gt;=$S132),$V132,IF(AND($R132&lt;&gt;"",EDATE($D132,Milestones!$AA$70)&gt;=$R132),$U132,$T132)))=Milestones!$AB$70),TEXT(EDATE($D132,Milestones!$AA$70),"dd/mm/yy")&amp;" "&amp;Milestones!$AB$70&amp;" "&amp;Milestones!$AC$70&amp;";  ","")&amp;IF(AND(EDATE($D132,Milestones!$AA$71)&lt;=AsOfDate,IF($Q132=0,$W132,IF(AND($S132&lt;&gt;"",EDATE($D132,Milestones!$AA$71)&gt;=$S132),$V132,IF(AND($R132&lt;&gt;"",EDATE($D132,Milestones!$AA$71)&gt;=$R132),$U132,$T132)))=Milestones!$AB$71),TEXT(EDATE($D132,Milestones!$AA$71),"dd/mm/yy")&amp;" "&amp;Milestones!$AB$71&amp;" "&amp;Milestones!$AC$71&amp;";  ","")&amp;IF(AND(EDATE($D132,Milestones!$AA$72)&lt;=AsOfDate,IF($Q132=0,$W132,IF(AND($S132&lt;&gt;"",EDATE($D132,Milestones!$AA$72)&gt;=$S132),$V132,IF(AND($R132&lt;&gt;"",EDATE($D132,Milestones!$AA$72)&gt;=$R132),$U132,$T132)))=Milestones!$AB$72),TEXT(EDATE($D132,Milestones!$AA$72),"dd/mm/yy")&amp;" "&amp;Milestones!$AB$72&amp;" "&amp;Milestones!$AC$72&amp;";  ","")&amp;IF(AND(EDATE($D132,Milestones!$AA$73)&lt;=AsOfDate,IF($Q132=0,$W132,IF(AND($S132&lt;&gt;"",EDATE($D132,Milestones!$AA$73)&gt;=$S132),$V132,IF(AND($R132&lt;&gt;"",EDATE($D132,Milestones!$AA$73)&gt;=$R132),$U132,$T132)))=Milestones!$AB$73),TEXT(EDATE($D132,Milestones!$AA$73),"dd/mm/yy")&amp;" "&amp;Milestones!$AB$73&amp;" "&amp;Milestones!$AC$73&amp;";  ","")&amp;IF(AND(EDATE($D132,Milestones!$AA$74)&lt;=AsOfDate,IF($Q132=0,$W132,IF(AND($S132&lt;&gt;"",EDATE($D132,Milestones!$AA$74)&gt;=$S132),$V132,IF(AND($R132&lt;&gt;"",EDATE($D132,Milestones!$AA$74)&gt;=$R132),$U132,$T132)))=Milestones!$AB$74),TEXT(EDATE($D132,Milestones!$AA$74),"dd/mm/yy")&amp;" "&amp;Milestones!$AB$74&amp;" "&amp;Milestones!$AC$74&amp;";  ","")&amp;IF(AND(EDATE($D132,Milestones!$AA$75)&lt;=AsOfDate,IF($Q132=0,$W132,IF(AND($S132&lt;&gt;"",EDATE($D132,Milestones!$AA$75)&gt;=$S132),$V132,IF(AND($R132&lt;&gt;"",EDATE($D132,Milestones!$AA$75)&gt;=$R132),$U132,$T132)))=Milestones!$AB$75),TEXT(EDATE($D132,Milestones!$AA$75),"dd/mm/yy")&amp;" "&amp;Milestones!$AB$75&amp;" "&amp;Milestones!$AC$75&amp;";  ","")&amp;IF(AND(EDATE($D132,Milestones!$AA$76)&lt;=AsOfDate,IF($Q132=0,$W132,IF(AND($S132&lt;&gt;"",EDATE($D132,Milestones!$AA$76)&gt;=$S132),$V132,IF(AND($R132&lt;&gt;"",EDATE($D132,Milestones!$AA$76)&gt;=$R132),$U132,$T132)))=Milestones!$AB$76),TEXT(EDATE($D132,Milestones!$AA$76),"dd/mm/yy")&amp;" "&amp;Milestones!$AB$76&amp;" "&amp;Milestones!$AC$76&amp;";  ","")&amp;IF(AND(EDATE($D132,Milestones!$AA$77)&lt;=AsOfDate,IF($Q132=0,$W132,IF(AND($S132&lt;&gt;"",EDATE($D132,Milestones!$AA$77)&gt;=$S132),$V132,IF(AND($R132&lt;&gt;"",EDATE($D132,Milestones!$AA$77)&gt;=$R132),$U132,$T132)))=Milestones!$AB$77),TEXT(EDATE($D132,Milestones!$AA$77),"dd/mm/yy")&amp;" "&amp;Milestones!$AB$77&amp;" "&amp;Milestones!$AC$77&amp;";  ","")&amp;IF(AND(EDATE($D132,Milestones!$AA$78)&lt;=AsOfDate,IF($Q132=0,$W132,IF(AND($S132&lt;&gt;"",EDATE($D132,Milestones!$AA$78)&gt;=$S132),$V132,IF(AND($R132&lt;&gt;"",EDATE($D132,Milestones!$AA$78)&gt;=$R132),$U132,$T132)))=Milestones!$AB$78),TEXT(EDATE($D132,Milestones!$AA$78),"dd/mm/yy")&amp;" "&amp;Milestones!$AB$78&amp;" "&amp;Milestones!$AC$78&amp;";  ","")&amp;IF(AND(EDATE($D132,Milestones!$AA$79)&lt;=AsOfDate,IF($Q132=0,$W132,IF(AND($S132&lt;&gt;"",EDATE($D132,Milestones!$AA$79)&gt;=$S132),$V132,IF(AND($R132&lt;&gt;"",EDATE($D132,Milestones!$AA$79)&gt;=$R132),$U132,$T132)))=Milestones!$AB$79),TEXT(EDATE($D132,Milestones!$AA$79),"dd/mm/yy")&amp;" "&amp;Milestones!$AB$79&amp;" "&amp;Milestones!$AC$79&amp;";  ",""))</f>
        <v/>
      </c>
      <c r="K132" s="0" t="str">
        <f aca="false">IF(OR($A132="",$D132=""),"",IF(AND(EDATE($D132,Milestones!$AA$80)&lt;=AsOfDate,IF($Q132=0,$W132,IF(AND($S132&lt;&gt;"",EDATE($D132,Milestones!$AA$80)&gt;=$S132),$V132,IF(AND($R132&lt;&gt;"",EDATE($D132,Milestones!$AA$80)&gt;=$R132),$U132,$T132)))=Milestones!$AB$80),TEXT(EDATE($D132,Milestones!$AA$80),"dd/mm/yy")&amp;" "&amp;Milestones!$AB$80&amp;" "&amp;Milestones!$AC$80&amp;";  ","")&amp;IF(AND(EDATE($D132,Milestones!$AA$81)&lt;=AsOfDate,IF($Q132=0,$W132,IF(AND($S132&lt;&gt;"",EDATE($D132,Milestones!$AA$81)&gt;=$S132),$V132,IF(AND($R132&lt;&gt;"",EDATE($D132,Milestones!$AA$81)&gt;=$R132),$U132,$T132)))=Milestones!$AB$81),TEXT(EDATE($D132,Milestones!$AA$81),"dd/mm/yy")&amp;" "&amp;Milestones!$AB$81&amp;" "&amp;Milestones!$AC$81&amp;";  ","")&amp;IF(AND(EDATE($D132,Milestones!$AA$82)&lt;=AsOfDate,IF($Q132=0,$W132,IF(AND($S132&lt;&gt;"",EDATE($D132,Milestones!$AA$82)&gt;=$S132),$V132,IF(AND($R132&lt;&gt;"",EDATE($D132,Milestones!$AA$82)&gt;=$R132),$U132,$T132)))=Milestones!$AB$82),TEXT(EDATE($D132,Milestones!$AA$82),"dd/mm/yy")&amp;" "&amp;Milestones!$AB$82&amp;" "&amp;Milestones!$AC$82&amp;";  ","")&amp;IF(AND(EDATE($D132,Milestones!$AA$83)&lt;=AsOfDate,IF($Q132=0,$W132,IF(AND($S132&lt;&gt;"",EDATE($D132,Milestones!$AA$83)&gt;=$S132),$V132,IF(AND($R132&lt;&gt;"",EDATE($D132,Milestones!$AA$83)&gt;=$R132),$U132,$T132)))=Milestones!$AB$83),TEXT(EDATE($D132,Milestones!$AA$83),"dd/mm/yy")&amp;" "&amp;Milestones!$AB$83&amp;" "&amp;Milestones!$AC$83&amp;";  ","")&amp;IF(AND(EDATE($D132,Milestones!$AA$84)&lt;=AsOfDate,IF($Q132=0,$W132,IF(AND($S132&lt;&gt;"",EDATE($D132,Milestones!$AA$84)&gt;=$S132),$V132,IF(AND($R132&lt;&gt;"",EDATE($D132,Milestones!$AA$84)&gt;=$R132),$U132,$T132)))=Milestones!$AB$84),TEXT(EDATE($D132,Milestones!$AA$84),"dd/mm/yy")&amp;" "&amp;Milestones!$AB$84&amp;" "&amp;Milestones!$AC$84&amp;";  ","")&amp;IF(AND(EDATE($D132,Milestones!$AA$85)&lt;=AsOfDate,IF($Q132=0,$W132,IF(AND($S132&lt;&gt;"",EDATE($D132,Milestones!$AA$85)&gt;=$S132),$V132,IF(AND($R132&lt;&gt;"",EDATE($D132,Milestones!$AA$85)&gt;=$R132),$U132,$T132)))=Milestones!$AB$85),TEXT(EDATE($D132,Milestones!$AA$85),"dd/mm/yy")&amp;" "&amp;Milestones!$AB$85&amp;" "&amp;Milestones!$AC$85&amp;";  ","")&amp;IF(AND(EDATE($D132,Milestones!$AA$86)&lt;=AsOfDate,IF($Q132=0,$W132,IF(AND($S132&lt;&gt;"",EDATE($D132,Milestones!$AA$86)&gt;=$S132),$V132,IF(AND($R132&lt;&gt;"",EDATE($D132,Milestones!$AA$86)&gt;=$R132),$U132,$T132)))=Milestones!$AB$86),TEXT(EDATE($D132,Milestones!$AA$86),"dd/mm/yy")&amp;" "&amp;Milestones!$AB$86&amp;" "&amp;Milestones!$AC$86&amp;";  ","")&amp;IF(AND(EDATE($D132,Milestones!$AA$87)&lt;=AsOfDate,IF($Q132=0,$W132,IF(AND($S132&lt;&gt;"",EDATE($D132,Milestones!$AA$87)&gt;=$S132),$V132,IF(AND($R132&lt;&gt;"",EDATE($D132,Milestones!$AA$87)&gt;=$R132),$U132,$T132)))=Milestones!$AB$87),TEXT(EDATE($D132,Milestones!$AA$87),"dd/mm/yy")&amp;" "&amp;Milestones!$AB$87&amp;" "&amp;Milestones!$AC$87&amp;";  ","")&amp;IF(AND(EDATE($D132,Milestones!$AA$88)&lt;=AsOfDate,IF($Q132=0,$W132,IF(AND($S132&lt;&gt;"",EDATE($D132,Milestones!$AA$88)&gt;=$S132),$V132,IF(AND($R132&lt;&gt;"",EDATE($D132,Milestones!$AA$88)&gt;=$R132),$U132,$T132)))=Milestones!$AB$88),TEXT(EDATE($D132,Milestones!$AA$88),"dd/mm/yy")&amp;" "&amp;Milestones!$AB$88&amp;" "&amp;Milestones!$AC$88&amp;";  ","")&amp;IF(AND(EDATE($D132,Milestones!$AA$89)&lt;=AsOfDate,IF($Q132=0,$W132,IF(AND($S132&lt;&gt;"",EDATE($D132,Milestones!$AA$89)&gt;=$S132),$V132,IF(AND($R132&lt;&gt;"",EDATE($D132,Milestones!$AA$89)&gt;=$R132),$U132,$T132)))=Milestones!$AB$89),TEXT(EDATE($D132,Milestones!$AA$89),"dd/mm/yy")&amp;" "&amp;Milestones!$AB$89&amp;" "&amp;Milestones!$AC$89&amp;";  ","")&amp;IF(AND(EDATE($D132,Milestones!$AA$90)&lt;=AsOfDate,IF($Q132=0,$W132,IF(AND($S132&lt;&gt;"",EDATE($D132,Milestones!$AA$90)&gt;=$S132),$V132,IF(AND($R132&lt;&gt;"",EDATE($D132,Milestones!$AA$90)&gt;=$R132),$U132,$T132)))=Milestones!$AB$90),TEXT(EDATE($D132,Milestones!$AA$90),"dd/mm/yy")&amp;" "&amp;Milestones!$AB$90&amp;" "&amp;Milestones!$AC$90&amp;";  ","")&amp;IF(AND(EDATE($D132,Milestones!$AA$91)&lt;=AsOfDate,IF($Q132=0,$W132,IF(AND($S132&lt;&gt;"",EDATE($D132,Milestones!$AA$91)&gt;=$S132),$V132,IF(AND($R132&lt;&gt;"",EDATE($D132,Milestones!$AA$91)&gt;=$R132),$U132,$T132)))=Milestones!$AB$91),TEXT(EDATE($D132,Milestones!$AA$91),"dd/mm/yy")&amp;" "&amp;Milestones!$AB$91&amp;" "&amp;Milestones!$AC$91&amp;";  ","")&amp;IF(AND(EDATE($D132,Milestones!$AA$92)&lt;=AsOfDate,IF($Q132=0,$W132,IF(AND($S132&lt;&gt;"",EDATE($D132,Milestones!$AA$92)&gt;=$S132),$V132,IF(AND($R132&lt;&gt;"",EDATE($D132,Milestones!$AA$92)&gt;=$R132),$U132,$T132)))=Milestones!$AB$92),TEXT(EDATE($D132,Milestones!$AA$92),"dd/mm/yy")&amp;" "&amp;Milestones!$AB$92&amp;" "&amp;Milestones!$AC$92&amp;";  ","")&amp;IF(AND(EDATE($D132,Milestones!$AA$93)&lt;=AsOfDate,IF($Q132=0,$W132,IF(AND($S132&lt;&gt;"",EDATE($D132,Milestones!$AA$93)&gt;=$S132),$V132,IF(AND($R132&lt;&gt;"",EDATE($D132,Milestones!$AA$93)&gt;=$R132),$U132,$T132)))=Milestones!$AB$93),TEXT(EDATE($D132,Milestones!$AA$93),"dd/mm/yy")&amp;" "&amp;Milestones!$AB$93&amp;" "&amp;Milestones!$AC$93&amp;";  ","")&amp;IF(AND(EDATE($D132,Milestones!$AA$94)&lt;=AsOfDate,IF($Q132=0,$W132,IF(AND($S132&lt;&gt;"",EDATE($D132,Milestones!$AA$94)&gt;=$S132),$V132,IF(AND($R132&lt;&gt;"",EDATE($D132,Milestones!$AA$94)&gt;=$R132),$U132,$T132)))=Milestones!$AB$94),TEXT(EDATE($D132,Milestones!$AA$94),"dd/mm/yy")&amp;" "&amp;Milestones!$AB$94&amp;" "&amp;Milestones!$AC$94&amp;";  ","")&amp;IF(AND(EDATE($D132,Milestones!$AA$95)&lt;=AsOfDate,IF($Q132=0,$W132,IF(AND($S132&lt;&gt;"",EDATE($D132,Milestones!$AA$95)&gt;=$S132),$V132,IF(AND($R132&lt;&gt;"",EDATE($D132,Milestones!$AA$95)&gt;=$R132),$U132,$T132)))=Milestones!$AB$95),TEXT(EDATE($D132,Milestones!$AA$95),"dd/mm/yy")&amp;" "&amp;Milestones!$AB$95&amp;" "&amp;Milestones!$AC$95&amp;";  ","")&amp;IF(AND(EDATE($D132,Milestones!$AA$96)&lt;=AsOfDate,IF($Q132=0,$W132,IF(AND($S132&lt;&gt;"",EDATE($D132,Milestones!$AA$96)&gt;=$S132),$V132,IF(AND($R132&lt;&gt;"",EDATE($D132,Milestones!$AA$96)&gt;=$R132),$U132,$T132)))=Milestones!$AB$96),TEXT(EDATE($D132,Milestones!$AA$96),"dd/mm/yy")&amp;" "&amp;Milestones!$AB$96&amp;" "&amp;Milestones!$AC$96&amp;";  ","")&amp;IF(AND(EDATE($D132,Milestones!$AA$97)&lt;=AsOfDate,IF($Q132=0,$W132,IF(AND($S132&lt;&gt;"",EDATE($D132,Milestones!$AA$97)&gt;=$S132),$V132,IF(AND($R132&lt;&gt;"",EDATE($D132,Milestones!$AA$97)&gt;=$R132),$U132,$T132)))=Milestones!$AB$97),TEXT(EDATE($D132,Milestones!$AA$97),"dd/mm/yy")&amp;" "&amp;Milestones!$AB$97&amp;" "&amp;Milestones!$AC$97&amp;";  ","")&amp;IF(AND(EDATE($D132,Milestones!$AA$98)&lt;=AsOfDate,IF($Q132=0,$W132,IF(AND($S132&lt;&gt;"",EDATE($D132,Milestones!$AA$98)&gt;=$S132),$V132,IF(AND($R132&lt;&gt;"",EDATE($D132,Milestones!$AA$98)&gt;=$R132),$U132,$T132)))=Milestones!$AB$98),TEXT(EDATE($D132,Milestones!$AA$98),"dd/mm/yy")&amp;" "&amp;Milestones!$AB$98&amp;" "&amp;Milestones!$AC$98&amp;";  ","")&amp;IF(AND(EDATE($D132,Milestones!$AA$99)&lt;=AsOfDate,IF($Q132=0,$W132,IF(AND($S132&lt;&gt;"",EDATE($D132,Milestones!$AA$99)&gt;=$S132),$V132,IF(AND($R132&lt;&gt;"",EDATE($D132,Milestones!$AA$99)&gt;=$R132),$U132,$T132)))=Milestones!$AB$99),TEXT(EDATE($D132,Milestones!$AA$99),"dd/mm/yy")&amp;" "&amp;Milestones!$AB$99&amp;" "&amp;Milestones!$AC$99&amp;";  ",""))</f>
        <v/>
      </c>
      <c r="L132" s="0" t="str">
        <f aca="false">IF(OR($A132="",$D132=""),"",IF(AND(EDATE($D132,Milestones!$AA$100)&lt;=AsOfDate,IF($Q132=0,$W132,IF(AND($S132&lt;&gt;"",EDATE($D132,Milestones!$AA$100)&gt;=$S132),$V132,IF(AND($R132&lt;&gt;"",EDATE($D132,Milestones!$AA$100)&gt;=$R132),$U132,$T132)))=Milestones!$AB$100),TEXT(EDATE($D132,Milestones!$AA$100),"dd/mm/yy")&amp;" "&amp;Milestones!$AB$100&amp;" "&amp;Milestones!$AC$100&amp;";  ","")&amp;IF(AND(EDATE($D132,Milestones!$AA$101)&lt;=AsOfDate,IF($Q132=0,$W132,IF(AND($S132&lt;&gt;"",EDATE($D132,Milestones!$AA$101)&gt;=$S132),$V132,IF(AND($R132&lt;&gt;"",EDATE($D132,Milestones!$AA$101)&gt;=$R132),$U132,$T132)))=Milestones!$AB$101),TEXT(EDATE($D132,Milestones!$AA$101),"dd/mm/yy")&amp;" "&amp;Milestones!$AB$101&amp;" "&amp;Milestones!$AC$101&amp;";  ","")&amp;IF(AND(EDATE($D132,Milestones!$AA$102)&lt;=AsOfDate,IF($Q132=0,$W132,IF(AND($S132&lt;&gt;"",EDATE($D132,Milestones!$AA$102)&gt;=$S132),$V132,IF(AND($R132&lt;&gt;"",EDATE($D132,Milestones!$AA$102)&gt;=$R132),$U132,$T132)))=Milestones!$AB$102),TEXT(EDATE($D132,Milestones!$AA$102),"dd/mm/yy")&amp;" "&amp;Milestones!$AB$102&amp;" "&amp;Milestones!$AC$102&amp;";  ","")&amp;IF(AND(EDATE($D132,Milestones!$AA$103)&lt;=AsOfDate,IF($Q132=0,$W132,IF(AND($S132&lt;&gt;"",EDATE($D132,Milestones!$AA$103)&gt;=$S132),$V132,IF(AND($R132&lt;&gt;"",EDATE($D132,Milestones!$AA$103)&gt;=$R132),$U132,$T132)))=Milestones!$AB$103),TEXT(EDATE($D132,Milestones!$AA$103),"dd/mm/yy")&amp;" "&amp;Milestones!$AB$103&amp;" "&amp;Milestones!$AC$103&amp;";  ","")&amp;IF(AND(EDATE($D132,Milestones!$AA$104)&lt;=AsOfDate,IF($Q132=0,$W132,IF(AND($S132&lt;&gt;"",EDATE($D132,Milestones!$AA$104)&gt;=$S132),$V132,IF(AND($R132&lt;&gt;"",EDATE($D132,Milestones!$AA$104)&gt;=$R132),$U132,$T132)))=Milestones!$AB$104),TEXT(EDATE($D132,Milestones!$AA$104),"dd/mm/yy")&amp;" "&amp;Milestones!$AB$104&amp;" "&amp;Milestones!$AC$104&amp;";  ","")&amp;IF(AND(EDATE($D132,Milestones!$AA$105)&lt;=AsOfDate,IF($Q132=0,$W132,IF(AND($S132&lt;&gt;"",EDATE($D132,Milestones!$AA$105)&gt;=$S132),$V132,IF(AND($R132&lt;&gt;"",EDATE($D132,Milestones!$AA$105)&gt;=$R132),$U132,$T132)))=Milestones!$AB$105),TEXT(EDATE($D132,Milestones!$AA$105),"dd/mm/yy")&amp;" "&amp;Milestones!$AB$105&amp;" "&amp;Milestones!$AC$105&amp;";  ","")&amp;IF(AND(EDATE($D132,Milestones!$AA$106)&lt;=AsOfDate,IF($Q132=0,$W132,IF(AND($S132&lt;&gt;"",EDATE($D132,Milestones!$AA$106)&gt;=$S132),$V132,IF(AND($R132&lt;&gt;"",EDATE($D132,Milestones!$AA$106)&gt;=$R132),$U132,$T132)))=Milestones!$AB$106),TEXT(EDATE($D132,Milestones!$AA$106),"dd/mm/yy")&amp;" "&amp;Milestones!$AB$106&amp;" "&amp;Milestones!$AC$106&amp;";  ","")&amp;IF(AND(EDATE($D132,Milestones!$AA$107)&lt;=AsOfDate,IF($Q132=0,$W132,IF(AND($S132&lt;&gt;"",EDATE($D132,Milestones!$AA$107)&gt;=$S132),$V132,IF(AND($R132&lt;&gt;"",EDATE($D132,Milestones!$AA$107)&gt;=$R132),$U132,$T132)))=Milestones!$AB$107),TEXT(EDATE($D132,Milestones!$AA$107),"dd/mm/yy")&amp;" "&amp;Milestones!$AB$107&amp;" "&amp;Milestones!$AC$107&amp;";  ","")&amp;IF(AND(EDATE($D132,Milestones!$AA$108)&lt;=AsOfDate,IF($Q132=0,$W132,IF(AND($S132&lt;&gt;"",EDATE($D132,Milestones!$AA$108)&gt;=$S132),$V132,IF(AND($R132&lt;&gt;"",EDATE($D132,Milestones!$AA$108)&gt;=$R132),$U132,$T132)))=Milestones!$AB$108),TEXT(EDATE($D132,Milestones!$AA$108),"dd/mm/yy")&amp;" "&amp;Milestones!$AB$108&amp;" "&amp;Milestones!$AC$108&amp;";  ","")&amp;IF(AND(EDATE($D132,Milestones!$AA$109)&lt;=AsOfDate,IF($Q132=0,$W132,IF(AND($S132&lt;&gt;"",EDATE($D132,Milestones!$AA$109)&gt;=$S132),$V132,IF(AND($R132&lt;&gt;"",EDATE($D132,Milestones!$AA$109)&gt;=$R132),$U132,$T132)))=Milestones!$AB$109),TEXT(EDATE($D132,Milestones!$AA$109),"dd/mm/yy")&amp;" "&amp;Milestones!$AB$109&amp;" "&amp;Milestones!$AC$109&amp;";  ","")&amp;IF(AND(EDATE($D132,Milestones!$AA$110)&lt;=AsOfDate,IF($Q132=0,$W132,IF(AND($S132&lt;&gt;"",EDATE($D132,Milestones!$AA$110)&gt;=$S132),$V132,IF(AND($R132&lt;&gt;"",EDATE($D132,Milestones!$AA$110)&gt;=$R132),$U132,$T132)))=Milestones!$AB$110),TEXT(EDATE($D132,Milestones!$AA$110),"dd/mm/yy")&amp;" "&amp;Milestones!$AB$110&amp;" "&amp;Milestones!$AC$110&amp;";  ","")&amp;IF(AND(EDATE($D132,Milestones!$AA$111)&lt;=AsOfDate,IF($Q132=0,$W132,IF(AND($S132&lt;&gt;"",EDATE($D132,Milestones!$AA$111)&gt;=$S132),$V132,IF(AND($R132&lt;&gt;"",EDATE($D132,Milestones!$AA$111)&gt;=$R132),$U132,$T132)))=Milestones!$AB$111),TEXT(EDATE($D132,Milestones!$AA$111),"dd/mm/yy")&amp;" "&amp;Milestones!$AB$111&amp;" "&amp;Milestones!$AC$111&amp;";  ","")&amp;IF(AND(EDATE($D132,Milestones!$AA$112)&lt;=AsOfDate,IF($Q132=0,$W132,IF(AND($S132&lt;&gt;"",EDATE($D132,Milestones!$AA$112)&gt;=$S132),$V132,IF(AND($R132&lt;&gt;"",EDATE($D132,Milestones!$AA$112)&gt;=$R132),$U132,$T132)))=Milestones!$AB$112),TEXT(EDATE($D132,Milestones!$AA$112),"dd/mm/yy")&amp;" "&amp;Milestones!$AB$112&amp;" "&amp;Milestones!$AC$112&amp;";  ","")&amp;IF(AND(EDATE($D132,Milestones!$AA$113)&lt;=AsOfDate,IF($Q132=0,$W132,IF(AND($S132&lt;&gt;"",EDATE($D132,Milestones!$AA$113)&gt;=$S132),$V132,IF(AND($R132&lt;&gt;"",EDATE($D132,Milestones!$AA$113)&gt;=$R132),$U132,$T132)))=Milestones!$AB$113),TEXT(EDATE($D132,Milestones!$AA$113),"dd/mm/yy")&amp;" "&amp;Milestones!$AB$113&amp;" "&amp;Milestones!$AC$113&amp;";  ","")&amp;IF(AND(EDATE($D132,Milestones!$AA$114)&lt;=AsOfDate,IF($Q132=0,$W132,IF(AND($S132&lt;&gt;"",EDATE($D132,Milestones!$AA$114)&gt;=$S132),$V132,IF(AND($R132&lt;&gt;"",EDATE($D132,Milestones!$AA$114)&gt;=$R132),$U132,$T132)))=Milestones!$AB$114),TEXT(EDATE($D132,Milestones!$AA$114),"dd/mm/yy")&amp;" "&amp;Milestones!$AB$114&amp;" "&amp;Milestones!$AC$114&amp;";  ","")&amp;IF(AND(EDATE($D132,Milestones!$AA$115)&lt;=AsOfDate,IF($Q132=0,$W132,IF(AND($S132&lt;&gt;"",EDATE($D132,Milestones!$AA$115)&gt;=$S132),$V132,IF(AND($R132&lt;&gt;"",EDATE($D132,Milestones!$AA$115)&gt;=$R132),$U132,$T132)))=Milestones!$AB$115),TEXT(EDATE($D132,Milestones!$AA$115),"dd/mm/yy")&amp;" "&amp;Milestones!$AB$115&amp;" "&amp;Milestones!$AC$115&amp;";  ","")&amp;IF(AND(EDATE($D132,Milestones!$AA$116)&lt;=AsOfDate,IF($Q132=0,$W132,IF(AND($S132&lt;&gt;"",EDATE($D132,Milestones!$AA$116)&gt;=$S132),$V132,IF(AND($R132&lt;&gt;"",EDATE($D132,Milestones!$AA$116)&gt;=$R132),$U132,$T132)))=Milestones!$AB$116),TEXT(EDATE($D132,Milestones!$AA$116),"dd/mm/yy")&amp;" "&amp;Milestones!$AB$116&amp;" "&amp;Milestones!$AC$116&amp;";  ","")&amp;IF(AND(EDATE($D132,Milestones!$AA$117)&lt;=AsOfDate,IF($Q132=0,$W132,IF(AND($S132&lt;&gt;"",EDATE($D132,Milestones!$AA$117)&gt;=$S132),$V132,IF(AND($R132&lt;&gt;"",EDATE($D132,Milestones!$AA$117)&gt;=$R132),$U132,$T132)))=Milestones!$AB$117),TEXT(EDATE($D132,Milestones!$AA$117),"dd/mm/yy")&amp;" "&amp;Milestones!$AB$117&amp;" "&amp;Milestones!$AC$117&amp;";  ","")&amp;IF(AND(EDATE($D132,Milestones!$AA$118)&lt;=AsOfDate,IF($Q132=0,$W132,IF(AND($S132&lt;&gt;"",EDATE($D132,Milestones!$AA$118)&gt;=$S132),$V132,IF(AND($R132&lt;&gt;"",EDATE($D132,Milestones!$AA$118)&gt;=$R132),$U132,$T132)))=Milestones!$AB$118),TEXT(EDATE($D132,Milestones!$AA$118),"dd/mm/yy")&amp;" "&amp;Milestones!$AB$118&amp;" "&amp;Milestones!$AC$118&amp;";  ","")&amp;IF(AND(EDATE($D132,Milestones!$AA$119)&lt;=AsOfDate,IF($Q132=0,$W132,IF(AND($S132&lt;&gt;"",EDATE($D132,Milestones!$AA$119)&gt;=$S132),$V132,IF(AND($R132&lt;&gt;"",EDATE($D132,Milestones!$AA$119)&gt;=$R132),$U132,$T132)))=Milestones!$AB$119),TEXT(EDATE($D132,Milestones!$AA$119),"dd/mm/yy")&amp;" "&amp;Milestones!$AB$119&amp;" "&amp;Milestones!$AC$119&amp;";  ",""))</f>
        <v/>
      </c>
      <c r="M132" s="0" t="str">
        <f aca="false">IF(OR($A132="",$D132=""),"",IF(AND(EDATE($D132,Milestones!$AA$120)&lt;=AsOfDate,IF($Q132=0,$W132,IF(AND($S132&lt;&gt;"",EDATE($D132,Milestones!$AA$120)&gt;=$S132),$V132,IF(AND($R132&lt;&gt;"",EDATE($D132,Milestones!$AA$120)&gt;=$R132),$U132,$T132)))=Milestones!$AB$120),TEXT(EDATE($D132,Milestones!$AA$120),"dd/mm/yy")&amp;" "&amp;Milestones!$AB$120&amp;" "&amp;Milestones!$AC$120&amp;";  ","")&amp;IF(AND(EDATE($D132,Milestones!$AA$121)&lt;=AsOfDate,IF($Q132=0,$W132,IF(AND($S132&lt;&gt;"",EDATE($D132,Milestones!$AA$121)&gt;=$S132),$V132,IF(AND($R132&lt;&gt;"",EDATE($D132,Milestones!$AA$121)&gt;=$R132),$U132,$T132)))=Milestones!$AB$121),TEXT(EDATE($D132,Milestones!$AA$121),"dd/mm/yy")&amp;" "&amp;Milestones!$AB$121&amp;" "&amp;Milestones!$AC$121&amp;";  ","")&amp;IF(AND(EDATE($D132,Milestones!$AA$122)&lt;=AsOfDate,IF($Q132=0,$W132,IF(AND($S132&lt;&gt;"",EDATE($D132,Milestones!$AA$122)&gt;=$S132),$V132,IF(AND($R132&lt;&gt;"",EDATE($D132,Milestones!$AA$122)&gt;=$R132),$U132,$T132)))=Milestones!$AB$122),TEXT(EDATE($D132,Milestones!$AA$122),"dd/mm/yy")&amp;" "&amp;Milestones!$AB$122&amp;" "&amp;Milestones!$AC$122&amp;";  ","")&amp;IF(AND(EDATE($D132,Milestones!$AA$123)&lt;=AsOfDate,IF($Q132=0,$W132,IF(AND($S132&lt;&gt;"",EDATE($D132,Milestones!$AA$123)&gt;=$S132),$V132,IF(AND($R132&lt;&gt;"",EDATE($D132,Milestones!$AA$123)&gt;=$R132),$U132,$T132)))=Milestones!$AB$123),TEXT(EDATE($D132,Milestones!$AA$123),"dd/mm/yy")&amp;" "&amp;Milestones!$AB$123&amp;" "&amp;Milestones!$AC$123&amp;";  ","")&amp;IF(AND(EDATE($D132,Milestones!$AA$124)&lt;=AsOfDate,IF($Q132=0,$W132,IF(AND($S132&lt;&gt;"",EDATE($D132,Milestones!$AA$124)&gt;=$S132),$V132,IF(AND($R132&lt;&gt;"",EDATE($D132,Milestones!$AA$124)&gt;=$R132),$U132,$T132)))=Milestones!$AB$124),TEXT(EDATE($D132,Milestones!$AA$124),"dd/mm/yy")&amp;" "&amp;Milestones!$AB$124&amp;" "&amp;Milestones!$AC$124&amp;";  ","")&amp;IF(AND(EDATE($D132,Milestones!$AA$125)&lt;=AsOfDate,IF($Q132=0,$W132,IF(AND($S132&lt;&gt;"",EDATE($D132,Milestones!$AA$125)&gt;=$S132),$V132,IF(AND($R132&lt;&gt;"",EDATE($D132,Milestones!$AA$125)&gt;=$R132),$U132,$T132)))=Milestones!$AB$125),TEXT(EDATE($D132,Milestones!$AA$125),"dd/mm/yy")&amp;" "&amp;Milestones!$AB$125&amp;" "&amp;Milestones!$AC$125&amp;";  ","")&amp;IF(AND(EDATE($D132,Milestones!$AA$126)&lt;=AsOfDate,IF($Q132=0,$W132,IF(AND($S132&lt;&gt;"",EDATE($D132,Milestones!$AA$126)&gt;=$S132),$V132,IF(AND($R132&lt;&gt;"",EDATE($D132,Milestones!$AA$126)&gt;=$R132),$U132,$T132)))=Milestones!$AB$126),TEXT(EDATE($D132,Milestones!$AA$126),"dd/mm/yy")&amp;" "&amp;Milestones!$AB$126&amp;" "&amp;Milestones!$AC$126&amp;";  ","")&amp;IF(AND(EDATE($D132,Milestones!$AA$127)&lt;=AsOfDate,IF($Q132=0,$W132,IF(AND($S132&lt;&gt;"",EDATE($D132,Milestones!$AA$127)&gt;=$S132),$V132,IF(AND($R132&lt;&gt;"",EDATE($D132,Milestones!$AA$127)&gt;=$R132),$U132,$T132)))=Milestones!$AB$127),TEXT(EDATE($D132,Milestones!$AA$127),"dd/mm/yy")&amp;" "&amp;Milestones!$AB$127&amp;" "&amp;Milestones!$AC$127&amp;";  ","")&amp;IF(AND(EDATE($D132,Milestones!$AA$128)&lt;=AsOfDate,IF($Q132=0,$W132,IF(AND($S132&lt;&gt;"",EDATE($D132,Milestones!$AA$128)&gt;=$S132),$V132,IF(AND($R132&lt;&gt;"",EDATE($D132,Milestones!$AA$128)&gt;=$R132),$U132,$T132)))=Milestones!$AB$128),TEXT(EDATE($D132,Milestones!$AA$128),"dd/mm/yy")&amp;" "&amp;Milestones!$AB$128&amp;" "&amp;Milestones!$AC$128&amp;";  ","")&amp;IF(AND(EDATE($D132,Milestones!$AA$129)&lt;=AsOfDate,IF($Q132=0,$W132,IF(AND($S132&lt;&gt;"",EDATE($D132,Milestones!$AA$129)&gt;=$S132),$V132,IF(AND($R132&lt;&gt;"",EDATE($D132,Milestones!$AA$129)&gt;=$R132),$U132,$T132)))=Milestones!$AB$129),TEXT(EDATE($D132,Milestones!$AA$129),"dd/mm/yy")&amp;" "&amp;Milestones!$AB$129&amp;" "&amp;Milestones!$AC$129&amp;";  ","")&amp;IF(AND(EDATE($D132,Milestones!$AA$130)&lt;=AsOfDate,IF($Q132=0,$W132,IF(AND($S132&lt;&gt;"",EDATE($D132,Milestones!$AA$130)&gt;=$S132),$V132,IF(AND($R132&lt;&gt;"",EDATE($D132,Milestones!$AA$130)&gt;=$R132),$U132,$T132)))=Milestones!$AB$130),TEXT(EDATE($D132,Milestones!$AA$130),"dd/mm/yy")&amp;" "&amp;Milestones!$AB$130&amp;" "&amp;Milestones!$AC$130&amp;";  ","")&amp;IF(AND(EDATE($D132,Milestones!$AA$131)&lt;=AsOfDate,IF($Q132=0,$W132,IF(AND($S132&lt;&gt;"",EDATE($D132,Milestones!$AA$131)&gt;=$S132),$V132,IF(AND($R132&lt;&gt;"",EDATE($D132,Milestones!$AA$131)&gt;=$R132),$U132,$T132)))=Milestones!$AB$131),TEXT(EDATE($D132,Milestones!$AA$131),"dd/mm/yy")&amp;" "&amp;Milestones!$AB$131&amp;" "&amp;Milestones!$AC$131&amp;";  ","")&amp;IF(AND(EDATE($D132,Milestones!$AA$132)&lt;=AsOfDate,IF($Q132=0,$W132,IF(AND($S132&lt;&gt;"",EDATE($D132,Milestones!$AA$132)&gt;=$S132),$V132,IF(AND($R132&lt;&gt;"",EDATE($D132,Milestones!$AA$132)&gt;=$R132),$U132,$T132)))=Milestones!$AB$132),TEXT(EDATE($D132,Milestones!$AA$132),"dd/mm/yy")&amp;" "&amp;Milestones!$AB$132&amp;" "&amp;Milestones!$AC$132&amp;";  ","")&amp;IF(AND(EDATE($D132,Milestones!$AA$133)&lt;=AsOfDate,IF($Q132=0,$W132,IF(AND($S132&lt;&gt;"",EDATE($D132,Milestones!$AA$133)&gt;=$S132),$V132,IF(AND($R132&lt;&gt;"",EDATE($D132,Milestones!$AA$133)&gt;=$R132),$U132,$T132)))=Milestones!$AB$133),TEXT(EDATE($D132,Milestones!$AA$133),"dd/mm/yy")&amp;" "&amp;Milestones!$AB$133&amp;" "&amp;Milestones!$AC$133&amp;";  ","")&amp;IF(AND(EDATE($D132,Milestones!$AA$134)&lt;=AsOfDate,IF($Q132=0,$W132,IF(AND($S132&lt;&gt;"",EDATE($D132,Milestones!$AA$134)&gt;=$S132),$V132,IF(AND($R132&lt;&gt;"",EDATE($D132,Milestones!$AA$134)&gt;=$R132),$U132,$T132)))=Milestones!$AB$134),TEXT(EDATE($D132,Milestones!$AA$134),"dd/mm/yy")&amp;" "&amp;Milestones!$AB$134&amp;" "&amp;Milestones!$AC$134&amp;";  ","")&amp;IF(AND(EDATE($D132,Milestones!$AA$135)&lt;=AsOfDate,IF($Q132=0,$W132,IF(AND($S132&lt;&gt;"",EDATE($D132,Milestones!$AA$135)&gt;=$S132),$V132,IF(AND($R132&lt;&gt;"",EDATE($D132,Milestones!$AA$135)&gt;=$R132),$U132,$T132)))=Milestones!$AB$135),TEXT(EDATE($D132,Milestones!$AA$135),"dd/mm/yy")&amp;" "&amp;Milestones!$AB$135&amp;" "&amp;Milestones!$AC$135&amp;";  ","")&amp;IF(AND(EDATE($D132,Milestones!$AA$136)&lt;=AsOfDate,IF($Q132=0,$W132,IF(AND($S132&lt;&gt;"",EDATE($D132,Milestones!$AA$136)&gt;=$S132),$V132,IF(AND($R132&lt;&gt;"",EDATE($D132,Milestones!$AA$136)&gt;=$R132),$U132,$T132)))=Milestones!$AB$136),TEXT(EDATE($D132,Milestones!$AA$136),"dd/mm/yy")&amp;" "&amp;Milestones!$AB$136&amp;" "&amp;Milestones!$AC$136&amp;";  ","")&amp;IF(AND(EDATE($D132,Milestones!$AA$137)&lt;=AsOfDate,IF($Q132=0,$W132,IF(AND($S132&lt;&gt;"",EDATE($D132,Milestones!$AA$137)&gt;=$S132),$V132,IF(AND($R132&lt;&gt;"",EDATE($D132,Milestones!$AA$137)&gt;=$R132),$U132,$T132)))=Milestones!$AB$137),TEXT(EDATE($D132,Milestones!$AA$137),"dd/mm/yy")&amp;" "&amp;Milestones!$AB$137&amp;" "&amp;Milestones!$AC$137&amp;";  ","")&amp;IF(AND(EDATE($D132,Milestones!$AA$138)&lt;=AsOfDate,IF($Q132=0,$W132,IF(AND($S132&lt;&gt;"",EDATE($D132,Milestones!$AA$138)&gt;=$S132),$V132,IF(AND($R132&lt;&gt;"",EDATE($D132,Milestones!$AA$138)&gt;=$R132),$U132,$T132)))=Milestones!$AB$138),TEXT(EDATE($D132,Milestones!$AA$138),"dd/mm/yy")&amp;" "&amp;Milestones!$AB$138&amp;" "&amp;Milestones!$AC$138&amp;";  ","")&amp;IF(AND(EDATE($D132,Milestones!$AA$139)&lt;=AsOfDate,IF($Q132=0,$W132,IF(AND($S132&lt;&gt;"",EDATE($D132,Milestones!$AA$139)&gt;=$S132),$V132,IF(AND($R132&lt;&gt;"",EDATE($D132,Milestones!$AA$139)&gt;=$R132),$U132,$T132)))=Milestones!$AB$139),TEXT(EDATE($D132,Milestones!$AA$139),"dd/mm/yy")&amp;" "&amp;Milestones!$AB$139&amp;" "&amp;Milestones!$AC$139&amp;";  ",""))</f>
        <v/>
      </c>
      <c r="N132" s="0" t="str">
        <f aca="false">IF(OR($A132="",$D132=""),"",IF(AND(EDATE($D132,Milestones!$AA$140)&lt;=AsOfDate,IF($Q132=0,$W132,IF(AND($S132&lt;&gt;"",EDATE($D132,Milestones!$AA$140)&gt;=$S132),$V132,IF(AND($R132&lt;&gt;"",EDATE($D132,Milestones!$AA$140)&gt;=$R132),$U132,$T132)))=Milestones!$AB$140),TEXT(EDATE($D132,Milestones!$AA$140),"dd/mm/yy")&amp;" "&amp;Milestones!$AB$140&amp;" "&amp;Milestones!$AC$140&amp;";  ","")&amp;IF(AND(EDATE($D132,Milestones!$AA$141)&lt;=AsOfDate,IF($Q132=0,$W132,IF(AND($S132&lt;&gt;"",EDATE($D132,Milestones!$AA$141)&gt;=$S132),$V132,IF(AND($R132&lt;&gt;"",EDATE($D132,Milestones!$AA$141)&gt;=$R132),$U132,$T132)))=Milestones!$AB$141),TEXT(EDATE($D132,Milestones!$AA$141),"dd/mm/yy")&amp;" "&amp;Milestones!$AB$141&amp;" "&amp;Milestones!$AC$141&amp;";  ","")&amp;IF(AND(EDATE($D132,Milestones!$AA$142)&lt;=AsOfDate,IF($Q132=0,$W132,IF(AND($S132&lt;&gt;"",EDATE($D132,Milestones!$AA$142)&gt;=$S132),$V132,IF(AND($R132&lt;&gt;"",EDATE($D132,Milestones!$AA$142)&gt;=$R132),$U132,$T132)))=Milestones!$AB$142),TEXT(EDATE($D132,Milestones!$AA$142),"dd/mm/yy")&amp;" "&amp;Milestones!$AB$142&amp;" "&amp;Milestones!$AC$142&amp;";  ","")&amp;IF(AND(EDATE($D132,Milestones!$AA$143)&lt;=AsOfDate,IF($Q132=0,$W132,IF(AND($S132&lt;&gt;"",EDATE($D132,Milestones!$AA$143)&gt;=$S132),$V132,IF(AND($R132&lt;&gt;"",EDATE($D132,Milestones!$AA$143)&gt;=$R132),$U132,$T132)))=Milestones!$AB$143),TEXT(EDATE($D132,Milestones!$AA$143),"dd/mm/yy")&amp;" "&amp;Milestones!$AB$143&amp;" "&amp;Milestones!$AC$143&amp;";  ","")&amp;IF(AND(EDATE($D132,Milestones!$AA$144)&lt;=AsOfDate,IF($Q132=0,$W132,IF(AND($S132&lt;&gt;"",EDATE($D132,Milestones!$AA$144)&gt;=$S132),$V132,IF(AND($R132&lt;&gt;"",EDATE($D132,Milestones!$AA$144)&gt;=$R132),$U132,$T132)))=Milestones!$AB$144),TEXT(EDATE($D132,Milestones!$AA$144),"dd/mm/yy")&amp;" "&amp;Milestones!$AB$144&amp;" "&amp;Milestones!$AC$144&amp;";  ","")&amp;IF(AND(EDATE($D132,Milestones!$AA$145)&lt;=AsOfDate,IF($Q132=0,$W132,IF(AND($S132&lt;&gt;"",EDATE($D132,Milestones!$AA$145)&gt;=$S132),$V132,IF(AND($R132&lt;&gt;"",EDATE($D132,Milestones!$AA$145)&gt;=$R132),$U132,$T132)))=Milestones!$AB$145),TEXT(EDATE($D132,Milestones!$AA$145),"dd/mm/yy")&amp;" "&amp;Milestones!$AB$145&amp;" "&amp;Milestones!$AC$145&amp;";  ","")&amp;IF(AND(EDATE($D132,Milestones!$AA$146)&lt;=AsOfDate,IF($Q132=0,$W132,IF(AND($S132&lt;&gt;"",EDATE($D132,Milestones!$AA$146)&gt;=$S132),$V132,IF(AND($R132&lt;&gt;"",EDATE($D132,Milestones!$AA$146)&gt;=$R132),$U132,$T132)))=Milestones!$AB$146),TEXT(EDATE($D132,Milestones!$AA$146),"dd/mm/yy")&amp;" "&amp;Milestones!$AB$146&amp;" "&amp;Milestones!$AC$146&amp;";  ","")&amp;IF(AND(EDATE($D132,Milestones!$AA$147)&lt;=AsOfDate,IF($Q132=0,$W132,IF(AND($S132&lt;&gt;"",EDATE($D132,Milestones!$AA$147)&gt;=$S132),$V132,IF(AND($R132&lt;&gt;"",EDATE($D132,Milestones!$AA$147)&gt;=$R132),$U132,$T132)))=Milestones!$AB$147),TEXT(EDATE($D132,Milestones!$AA$147),"dd/mm/yy")&amp;" "&amp;Milestones!$AB$147&amp;" "&amp;Milestones!$AC$147&amp;";  ","")&amp;IF(AND(EDATE($D132,Milestones!$AA$148)&lt;=AsOfDate,IF($Q132=0,$W132,IF(AND($S132&lt;&gt;"",EDATE($D132,Milestones!$AA$148)&gt;=$S132),$V132,IF(AND($R132&lt;&gt;"",EDATE($D132,Milestones!$AA$148)&gt;=$R132),$U132,$T132)))=Milestones!$AB$148),TEXT(EDATE($D132,Milestones!$AA$148),"dd/mm/yy")&amp;" "&amp;Milestones!$AB$148&amp;" "&amp;Milestones!$AC$148&amp;";  ","")&amp;IF(AND(EDATE($D132,Milestones!$AA$149)&lt;=AsOfDate,IF($Q132=0,$W132,IF(AND($S132&lt;&gt;"",EDATE($D132,Milestones!$AA$149)&gt;=$S132),$V132,IF(AND($R132&lt;&gt;"",EDATE($D132,Milestones!$AA$149)&gt;=$R132),$U132,$T132)))=Milestones!$AB$149),TEXT(EDATE($D132,Milestones!$AA$149),"dd/mm/yy")&amp;" "&amp;Milestones!$AB$149&amp;" "&amp;Milestones!$AC$149&amp;";  ","")&amp;IF(AND(EDATE($D132,Milestones!$AA$150)&lt;=AsOfDate,IF($Q132=0,$W132,IF(AND($S132&lt;&gt;"",EDATE($D132,Milestones!$AA$150)&gt;=$S132),$V132,IF(AND($R132&lt;&gt;"",EDATE($D132,Milestones!$AA$150)&gt;=$R132),$U132,$T132)))=Milestones!$AB$150),TEXT(EDATE($D132,Milestones!$AA$150),"dd/mm/yy")&amp;" "&amp;Milestones!$AB$150&amp;" "&amp;Milestones!$AC$150&amp;";  ","")&amp;IF(AND(EDATE($D132,Milestones!$AA$151)&lt;=AsOfDate,IF($Q132=0,$W132,IF(AND($S132&lt;&gt;"",EDATE($D132,Milestones!$AA$151)&gt;=$S132),$V132,IF(AND($R132&lt;&gt;"",EDATE($D132,Milestones!$AA$151)&gt;=$R132),$U132,$T132)))=Milestones!$AB$151),TEXT(EDATE($D132,Milestones!$AA$151),"dd/mm/yy")&amp;" "&amp;Milestones!$AB$151&amp;" "&amp;Milestones!$AC$151&amp;";  ","")&amp;IF(AND(EDATE($D132,Milestones!$AA$152)&lt;=AsOfDate,IF($Q132=0,$W132,IF(AND($S132&lt;&gt;"",EDATE($D132,Milestones!$AA$152)&gt;=$S132),$V132,IF(AND($R132&lt;&gt;"",EDATE($D132,Milestones!$AA$152)&gt;=$R132),$U132,$T132)))=Milestones!$AB$152),TEXT(EDATE($D132,Milestones!$AA$152),"dd/mm/yy")&amp;" "&amp;Milestones!$AB$152&amp;" "&amp;Milestones!$AC$152&amp;";  ","")&amp;IF(AND(EDATE($D132,Milestones!$AA$153)&lt;=AsOfDate,IF($Q132=0,$W132,IF(AND($S132&lt;&gt;"",EDATE($D132,Milestones!$AA$153)&gt;=$S132),$V132,IF(AND($R132&lt;&gt;"",EDATE($D132,Milestones!$AA$153)&gt;=$R132),$U132,$T132)))=Milestones!$AB$153),TEXT(EDATE($D132,Milestones!$AA$153),"dd/mm/yy")&amp;" "&amp;Milestones!$AB$153&amp;" "&amp;Milestones!$AC$153&amp;";  ","")&amp;IF(AND(EDATE($D132,Milestones!$AA$154)&lt;=AsOfDate,IF($Q132=0,$W132,IF(AND($S132&lt;&gt;"",EDATE($D132,Milestones!$AA$154)&gt;=$S132),$V132,IF(AND($R132&lt;&gt;"",EDATE($D132,Milestones!$AA$154)&gt;=$R132),$U132,$T132)))=Milestones!$AB$154),TEXT(EDATE($D132,Milestones!$AA$154),"dd/mm/yy")&amp;" "&amp;Milestones!$AB$154&amp;" "&amp;Milestones!$AC$154&amp;";  ","")&amp;IF(AND(EDATE($D132,Milestones!$AA$155)&lt;=AsOfDate,IF($Q132=0,$W132,IF(AND($S132&lt;&gt;"",EDATE($D132,Milestones!$AA$155)&gt;=$S132),$V132,IF(AND($R132&lt;&gt;"",EDATE($D132,Milestones!$AA$155)&gt;=$R132),$U132,$T132)))=Milestones!$AB$155),TEXT(EDATE($D132,Milestones!$AA$155),"dd/mm/yy")&amp;" "&amp;Milestones!$AB$155&amp;" "&amp;Milestones!$AC$155&amp;";  ","")&amp;IF(AND(EDATE($D132,Milestones!$AA$156)&lt;=AsOfDate,IF($Q132=0,$W132,IF(AND($S132&lt;&gt;"",EDATE($D132,Milestones!$AA$156)&gt;=$S132),$V132,IF(AND($R132&lt;&gt;"",EDATE($D132,Milestones!$AA$156)&gt;=$R132),$U132,$T132)))=Milestones!$AB$156),TEXT(EDATE($D132,Milestones!$AA$156),"dd/mm/yy")&amp;" "&amp;Milestones!$AB$156&amp;" "&amp;Milestones!$AC$156&amp;";  ","")&amp;IF(AND(EDATE($D132,Milestones!$AA$157)&lt;=AsOfDate,IF($Q132=0,$W132,IF(AND($S132&lt;&gt;"",EDATE($D132,Milestones!$AA$157)&gt;=$S132),$V132,IF(AND($R132&lt;&gt;"",EDATE($D132,Milestones!$AA$157)&gt;=$R132),$U132,$T132)))=Milestones!$AB$157),TEXT(EDATE($D132,Milestones!$AA$157),"dd/mm/yy")&amp;" "&amp;Milestones!$AB$157&amp;" "&amp;Milestones!$AC$157&amp;";  ","")&amp;IF(AND(EDATE($D132,Milestones!$AA$158)&lt;=AsOfDate,IF($Q132=0,$W132,IF(AND($S132&lt;&gt;"",EDATE($D132,Milestones!$AA$158)&gt;=$S132),$V132,IF(AND($R132&lt;&gt;"",EDATE($D132,Milestones!$AA$158)&gt;=$R132),$U132,$T132)))=Milestones!$AB$158),TEXT(EDATE($D132,Milestones!$AA$158),"dd/mm/yy")&amp;" "&amp;Milestones!$AB$158&amp;" "&amp;Milestones!$AC$158&amp;";  ","")&amp;IF(AND(EDATE($D132,Milestones!$AA$159)&lt;=AsOfDate,IF($Q132=0,$W132,IF(AND($S132&lt;&gt;"",EDATE($D132,Milestones!$AA$159)&gt;=$S132),$V132,IF(AND($R132&lt;&gt;"",EDATE($D132,Milestones!$AA$159)&gt;=$R132),$U132,$T132)))=Milestones!$AB$159),TEXT(EDATE($D132,Milestones!$AA$159),"dd/mm/yy")&amp;" "&amp;Milestones!$AB$159&amp;" "&amp;Milestones!$AC$159&amp;";  ",""))</f>
        <v/>
      </c>
      <c r="O132" s="0" t="str">
        <f aca="false">IF(OR($A132="",$D132=""),"",IF(AND(EDATE($D132,Milestones!$AA$160)&lt;=AsOfDate,IF($Q132=0,$W132,IF(AND($S132&lt;&gt;"",EDATE($D132,Milestones!$AA$160)&gt;=$S132),$V132,IF(AND($R132&lt;&gt;"",EDATE($D132,Milestones!$AA$160)&gt;=$R132),$U132,$T132)))=Milestones!$AB$160),TEXT(EDATE($D132,Milestones!$AA$160),"dd/mm/yy")&amp;" "&amp;Milestones!$AB$160&amp;" "&amp;Milestones!$AC$160&amp;";  ","")&amp;IF(AND(EDATE($D132,Milestones!$AA$161)&lt;=AsOfDate,IF($Q132=0,$W132,IF(AND($S132&lt;&gt;"",EDATE($D132,Milestones!$AA$161)&gt;=$S132),$V132,IF(AND($R132&lt;&gt;"",EDATE($D132,Milestones!$AA$161)&gt;=$R132),$U132,$T132)))=Milestones!$AB$161),TEXT(EDATE($D132,Milestones!$AA$161),"dd/mm/yy")&amp;" "&amp;Milestones!$AB$161&amp;" "&amp;Milestones!$AC$161&amp;";  ","")&amp;IF(AND(EDATE($D132,Milestones!$AA$162)&lt;=AsOfDate,IF($Q132=0,$W132,IF(AND($S132&lt;&gt;"",EDATE($D132,Milestones!$AA$162)&gt;=$S132),$V132,IF(AND($R132&lt;&gt;"",EDATE($D132,Milestones!$AA$162)&gt;=$R132),$U132,$T132)))=Milestones!$AB$162),TEXT(EDATE($D132,Milestones!$AA$162),"dd/mm/yy")&amp;" "&amp;Milestones!$AB$162&amp;" "&amp;Milestones!$AC$162&amp;";  ","")&amp;IF(AND(EDATE($D132,Milestones!$AA$163)&lt;=AsOfDate,IF($Q132=0,$W132,IF(AND($S132&lt;&gt;"",EDATE($D132,Milestones!$AA$163)&gt;=$S132),$V132,IF(AND($R132&lt;&gt;"",EDATE($D132,Milestones!$AA$163)&gt;=$R132),$U132,$T132)))=Milestones!$AB$163),TEXT(EDATE($D132,Milestones!$AA$163),"dd/mm/yy")&amp;" "&amp;Milestones!$AB$163&amp;" "&amp;Milestones!$AC$163&amp;";  ","")&amp;IF(AND(EDATE($D132,Milestones!$AA$164)&lt;=AsOfDate,IF($Q132=0,$W132,IF(AND($S132&lt;&gt;"",EDATE($D132,Milestones!$AA$164)&gt;=$S132),$V132,IF(AND($R132&lt;&gt;"",EDATE($D132,Milestones!$AA$164)&gt;=$R132),$U132,$T132)))=Milestones!$AB$164),TEXT(EDATE($D132,Milestones!$AA$164),"dd/mm/yy")&amp;" "&amp;Milestones!$AB$164&amp;" "&amp;Milestones!$AC$164&amp;";  ","")&amp;IF(AND(EDATE($D132,Milestones!$AA$165)&lt;=AsOfDate,IF($Q132=0,$W132,IF(AND($S132&lt;&gt;"",EDATE($D132,Milestones!$AA$165)&gt;=$S132),$V132,IF(AND($R132&lt;&gt;"",EDATE($D132,Milestones!$AA$165)&gt;=$R132),$U132,$T132)))=Milestones!$AB$165),TEXT(EDATE($D132,Milestones!$AA$165),"dd/mm/yy")&amp;" "&amp;Milestones!$AB$165&amp;" "&amp;Milestones!$AC$165&amp;";  ","")&amp;IF(AND(EDATE($D132,Milestones!$AA$166)&lt;=AsOfDate,IF($Q132=0,$W132,IF(AND($S132&lt;&gt;"",EDATE($D132,Milestones!$AA$166)&gt;=$S132),$V132,IF(AND($R132&lt;&gt;"",EDATE($D132,Milestones!$AA$166)&gt;=$R132),$U132,$T132)))=Milestones!$AB$166),TEXT(EDATE($D132,Milestones!$AA$166),"dd/mm/yy")&amp;" "&amp;Milestones!$AB$166&amp;" "&amp;Milestones!$AC$166&amp;";  ","")&amp;IF(AND(EDATE($D132,Milestones!$AA$167)&lt;=AsOfDate,IF($Q132=0,$W132,IF(AND($S132&lt;&gt;"",EDATE($D132,Milestones!$AA$167)&gt;=$S132),$V132,IF(AND($R132&lt;&gt;"",EDATE($D132,Milestones!$AA$167)&gt;=$R132),$U132,$T132)))=Milestones!$AB$167),TEXT(EDATE($D132,Milestones!$AA$167),"dd/mm/yy")&amp;" "&amp;Milestones!$AB$167&amp;" "&amp;Milestones!$AC$167&amp;";  ","")&amp;IF(AND(EDATE($D132,Milestones!$AA$168)&lt;=AsOfDate,IF($Q132=0,$W132,IF(AND($S132&lt;&gt;"",EDATE($D132,Milestones!$AA$168)&gt;=$S132),$V132,IF(AND($R132&lt;&gt;"",EDATE($D132,Milestones!$AA$168)&gt;=$R132),$U132,$T132)))=Milestones!$AB$168),TEXT(EDATE($D132,Milestones!$AA$168),"dd/mm/yy")&amp;" "&amp;Milestones!$AB$168&amp;" "&amp;Milestones!$AC$168&amp;";  ","")&amp;IF(AND(EDATE($D132,Milestones!$AA$169)&lt;=AsOfDate,IF($Q132=0,$W132,IF(AND($S132&lt;&gt;"",EDATE($D132,Milestones!$AA$169)&gt;=$S132),$V132,IF(AND($R132&lt;&gt;"",EDATE($D132,Milestones!$AA$169)&gt;=$R132),$U132,$T132)))=Milestones!$AB$169),TEXT(EDATE($D132,Milestones!$AA$169),"dd/mm/yy")&amp;" "&amp;Milestones!$AB$169&amp;" "&amp;Milestones!$AC$169&amp;";  ","")&amp;IF(AND(EDATE($D132,Milestones!$AA$170)&lt;=AsOfDate,IF($Q132=0,$W132,IF(AND($S132&lt;&gt;"",EDATE($D132,Milestones!$AA$170)&gt;=$S132),$V132,IF(AND($R132&lt;&gt;"",EDATE($D132,Milestones!$AA$170)&gt;=$R132),$U132,$T132)))=Milestones!$AB$170),TEXT(EDATE($D132,Milestones!$AA$170),"dd/mm/yy")&amp;" "&amp;Milestones!$AB$170&amp;" "&amp;Milestones!$AC$170&amp;";  ","")&amp;IF(AND(EDATE($D132,Milestones!$AA$171)&lt;=AsOfDate,IF($Q132=0,$W132,IF(AND($S132&lt;&gt;"",EDATE($D132,Milestones!$AA$171)&gt;=$S132),$V132,IF(AND($R132&lt;&gt;"",EDATE($D132,Milestones!$AA$171)&gt;=$R132),$U132,$T132)))=Milestones!$AB$171),TEXT(EDATE($D132,Milestones!$AA$171),"dd/mm/yy")&amp;" "&amp;Milestones!$AB$171&amp;" "&amp;Milestones!$AC$171&amp;";  ","")&amp;IF(AND(EDATE($D132,Milestones!$AA$172)&lt;=AsOfDate,IF($Q132=0,$W132,IF(AND($S132&lt;&gt;"",EDATE($D132,Milestones!$AA$172)&gt;=$S132),$V132,IF(AND($R132&lt;&gt;"",EDATE($D132,Milestones!$AA$172)&gt;=$R132),$U132,$T132)))=Milestones!$AB$172),TEXT(EDATE($D132,Milestones!$AA$172),"dd/mm/yy")&amp;" "&amp;Milestones!$AB$172&amp;" "&amp;Milestones!$AC$172&amp;";  ","")&amp;IF(AND(EDATE($D132,Milestones!$AA$173)&lt;=AsOfDate,IF($Q132=0,$W132,IF(AND($S132&lt;&gt;"",EDATE($D132,Milestones!$AA$173)&gt;=$S132),$V132,IF(AND($R132&lt;&gt;"",EDATE($D132,Milestones!$AA$173)&gt;=$R132),$U132,$T132)))=Milestones!$AB$173),TEXT(EDATE($D132,Milestones!$AA$173),"dd/mm/yy")&amp;" "&amp;Milestones!$AB$173&amp;" "&amp;Milestones!$AC$173&amp;";  ","")&amp;IF(AND(EDATE($D132,Milestones!$AA$174)&lt;=AsOfDate,IF($Q132=0,$W132,IF(AND($S132&lt;&gt;"",EDATE($D132,Milestones!$AA$174)&gt;=$S132),$V132,IF(AND($R132&lt;&gt;"",EDATE($D132,Milestones!$AA$174)&gt;=$R132),$U132,$T132)))=Milestones!$AB$174),TEXT(EDATE($D132,Milestones!$AA$174),"dd/mm/yy")&amp;" "&amp;Milestones!$AB$174&amp;" "&amp;Milestones!$AC$174&amp;";  ","")&amp;IF(AND(EDATE($D132,Milestones!$AA$175)&lt;=AsOfDate,IF($Q132=0,$W132,IF(AND($S132&lt;&gt;"",EDATE($D132,Milestones!$AA$175)&gt;=$S132),$V132,IF(AND($R132&lt;&gt;"",EDATE($D132,Milestones!$AA$175)&gt;=$R132),$U132,$T132)))=Milestones!$AB$175),TEXT(EDATE($D132,Milestones!$AA$175),"dd/mm/yy")&amp;" "&amp;Milestones!$AB$175&amp;" "&amp;Milestones!$AC$175&amp;";  ","")&amp;IF(AND(EDATE($D132,Milestones!$AA$176)&lt;=AsOfDate,IF($Q132=0,$W132,IF(AND($S132&lt;&gt;"",EDATE($D132,Milestones!$AA$176)&gt;=$S132),$V132,IF(AND($R132&lt;&gt;"",EDATE($D132,Milestones!$AA$176)&gt;=$R132),$U132,$T132)))=Milestones!$AB$176),TEXT(EDATE($D132,Milestones!$AA$176),"dd/mm/yy")&amp;" "&amp;Milestones!$AB$176&amp;" "&amp;Milestones!$AC$176&amp;";  ","")&amp;IF(AND(EDATE($D132,Milestones!$AA$177)&lt;=AsOfDate,IF($Q132=0,$W132,IF(AND($S132&lt;&gt;"",EDATE($D132,Milestones!$AA$177)&gt;=$S132),$V132,IF(AND($R132&lt;&gt;"",EDATE($D132,Milestones!$AA$177)&gt;=$R132),$U132,$T132)))=Milestones!$AB$177),TEXT(EDATE($D132,Milestones!$AA$177),"dd/mm/yy")&amp;" "&amp;Milestones!$AB$177&amp;" "&amp;Milestones!$AC$177&amp;";  ","")&amp;IF(AND(EDATE($D132,Milestones!$AA$178)&lt;=AsOfDate,IF($Q132=0,$W132,IF(AND($S132&lt;&gt;"",EDATE($D132,Milestones!$AA$178)&gt;=$S132),$V132,IF(AND($R132&lt;&gt;"",EDATE($D132,Milestones!$AA$178)&gt;=$R132),$U132,$T132)))=Milestones!$AB$178),TEXT(EDATE($D132,Milestones!$AA$178),"dd/mm/yy")&amp;" "&amp;Milestones!$AB$178&amp;" "&amp;Milestones!$AC$178&amp;";  ","")&amp;IF(AND(EDATE($D132,Milestones!$AA$179)&lt;=AsOfDate,IF($Q132=0,$W132,IF(AND($S132&lt;&gt;"",EDATE($D132,Milestones!$AA$179)&gt;=$S132),$V132,IF(AND($R132&lt;&gt;"",EDATE($D132,Milestones!$AA$179)&gt;=$R132),$U132,$T132)))=Milestones!$AB$179),TEXT(EDATE($D132,Milestones!$AA$179),"dd/mm/yy")&amp;" "&amp;Milestones!$AB$179&amp;" "&amp;Milestones!$AC$179&amp;";  ",""))</f>
        <v/>
      </c>
      <c r="P132" s="0" t="str">
        <f aca="false">IF(OR($A132="",$D132=""),"",IF(AND(EDATE($D132,Milestones!$AA$180)&lt;=AsOfDate,IF($Q132=0,$W132,IF(AND($S132&lt;&gt;"",EDATE($D132,Milestones!$AA$180)&gt;=$S132),$V132,IF(AND($R132&lt;&gt;"",EDATE($D132,Milestones!$AA$180)&gt;=$R132),$U132,$T132)))=Milestones!$AB$180),TEXT(EDATE($D132,Milestones!$AA$180),"dd/mm/yy")&amp;" "&amp;Milestones!$AB$180&amp;" "&amp;Milestones!$AC$180&amp;";  ","")&amp;IF(AND(EDATE($D132,Milestones!$AA$181)&lt;=AsOfDate,IF($Q132=0,$W132,IF(AND($S132&lt;&gt;"",EDATE($D132,Milestones!$AA$181)&gt;=$S132),$V132,IF(AND($R132&lt;&gt;"",EDATE($D132,Milestones!$AA$181)&gt;=$R132),$U132,$T132)))=Milestones!$AB$181),TEXT(EDATE($D132,Milestones!$AA$181),"dd/mm/yy")&amp;" "&amp;Milestones!$AB$181&amp;" "&amp;Milestones!$AC$181&amp;";  ","")&amp;IF(AND(EDATE($D132,Milestones!$AA$182)&lt;=AsOfDate,IF($Q132=0,$W132,IF(AND($S132&lt;&gt;"",EDATE($D132,Milestones!$AA$182)&gt;=$S132),$V132,IF(AND($R132&lt;&gt;"",EDATE($D132,Milestones!$AA$182)&gt;=$R132),$U132,$T132)))=Milestones!$AB$182),TEXT(EDATE($D132,Milestones!$AA$182),"dd/mm/yy")&amp;" "&amp;Milestones!$AB$182&amp;" "&amp;Milestones!$AC$182&amp;";  ","")&amp;IF(AND(EDATE($D132,Milestones!$AA$183)&lt;=AsOfDate,IF($Q132=0,$W132,IF(AND($S132&lt;&gt;"",EDATE($D132,Milestones!$AA$183)&gt;=$S132),$V132,IF(AND($R132&lt;&gt;"",EDATE($D132,Milestones!$AA$183)&gt;=$R132),$U132,$T132)))=Milestones!$AB$183),TEXT(EDATE($D132,Milestones!$AA$183),"dd/mm/yy")&amp;" "&amp;Milestones!$AB$183&amp;" "&amp;Milestones!$AC$183&amp;";  ","")&amp;IF(AND(EDATE($D132,Milestones!$AA$184)&lt;=AsOfDate,IF($Q132=0,$W132,IF(AND($S132&lt;&gt;"",EDATE($D132,Milestones!$AA$184)&gt;=$S132),$V132,IF(AND($R132&lt;&gt;"",EDATE($D132,Milestones!$AA$184)&gt;=$R132),$U132,$T132)))=Milestones!$AB$184),TEXT(EDATE($D132,Milestones!$AA$184),"dd/mm/yy")&amp;" "&amp;Milestones!$AB$184&amp;" "&amp;Milestones!$AC$184&amp;";  ","")&amp;IF(AND(EDATE($D132,Milestones!$AA$185)&lt;=AsOfDate,IF($Q132=0,$W132,IF(AND($S132&lt;&gt;"",EDATE($D132,Milestones!$AA$185)&gt;=$S132),$V132,IF(AND($R132&lt;&gt;"",EDATE($D132,Milestones!$AA$185)&gt;=$R132),$U132,$T132)))=Milestones!$AB$185),TEXT(EDATE($D132,Milestones!$AA$185),"dd/mm/yy")&amp;" "&amp;Milestones!$AB$185&amp;" "&amp;Milestones!$AC$185&amp;";  ","")&amp;IF(AND(EDATE($D132,Milestones!$AA$186)&lt;=AsOfDate,IF($Q132=0,$W132,IF(AND($S132&lt;&gt;"",EDATE($D132,Milestones!$AA$186)&gt;=$S132),$V132,IF(AND($R132&lt;&gt;"",EDATE($D132,Milestones!$AA$186)&gt;=$R132),$U132,$T132)))=Milestones!$AB$186),TEXT(EDATE($D132,Milestones!$AA$186),"dd/mm/yy")&amp;" "&amp;Milestones!$AB$186&amp;" "&amp;Milestones!$AC$186&amp;";  ","")&amp;IF(AND(EDATE($D132,Milestones!$AA$187)&lt;=AsOfDate,IF($Q132=0,$W132,IF(AND($S132&lt;&gt;"",EDATE($D132,Milestones!$AA$187)&gt;=$S132),$V132,IF(AND($R132&lt;&gt;"",EDATE($D132,Milestones!$AA$187)&gt;=$R132),$U132,$T132)))=Milestones!$AB$187),TEXT(EDATE($D132,Milestones!$AA$187),"dd/mm/yy")&amp;" "&amp;Milestones!$AB$187&amp;" "&amp;Milestones!$AC$187&amp;";  ","")&amp;IF(AND(EDATE($D132,Milestones!$AA$188)&lt;=AsOfDate,IF($Q132=0,$W132,IF(AND($S132&lt;&gt;"",EDATE($D132,Milestones!$AA$188)&gt;=$S132),$V132,IF(AND($R132&lt;&gt;"",EDATE($D132,Milestones!$AA$188)&gt;=$R132),$U132,$T132)))=Milestones!$AB$188),TEXT(EDATE($D132,Milestones!$AA$188),"dd/mm/yy")&amp;" "&amp;Milestones!$AB$188&amp;" "&amp;Milestones!$AC$188&amp;";  ","")&amp;IF(AND(EDATE($D132,Milestones!$AA$189)&lt;=AsOfDate,IF($Q132=0,$W132,IF(AND($S132&lt;&gt;"",EDATE($D132,Milestones!$AA$189)&gt;=$S132),$V132,IF(AND($R132&lt;&gt;"",EDATE($D132,Milestones!$AA$189)&gt;=$R132),$U132,$T132)))=Milestones!$AB$189),TEXT(EDATE($D132,Milestones!$AA$189),"dd/mm/yy")&amp;" "&amp;Milestones!$AB$189&amp;" "&amp;Milestones!$AC$189&amp;";  ","")&amp;IF(AND(EDATE($D132,Milestones!$AA$190)&lt;=AsOfDate,IF($Q132=0,$W132,IF(AND($S132&lt;&gt;"",EDATE($D132,Milestones!$AA$190)&gt;=$S132),$V132,IF(AND($R132&lt;&gt;"",EDATE($D132,Milestones!$AA$190)&gt;=$R132),$U132,$T132)))=Milestones!$AB$190),TEXT(EDATE($D132,Milestones!$AA$190),"dd/mm/yy")&amp;" "&amp;Milestones!$AB$190&amp;" "&amp;Milestones!$AC$190&amp;";  ","")&amp;IF(AND(EDATE($D132,Milestones!$AA$191)&lt;=AsOfDate,IF($Q132=0,$W132,IF(AND($S132&lt;&gt;"",EDATE($D132,Milestones!$AA$191)&gt;=$S132),$V132,IF(AND($R132&lt;&gt;"",EDATE($D132,Milestones!$AA$191)&gt;=$R132),$U132,$T132)))=Milestones!$AB$191),TEXT(EDATE($D132,Milestones!$AA$191),"dd/mm/yy")&amp;" "&amp;Milestones!$AB$191&amp;" "&amp;Milestones!$AC$191&amp;";  ","")&amp;IF(AND(EDATE($D132,Milestones!$AA$192)&lt;=AsOfDate,IF($Q132=0,$W132,IF(AND($S132&lt;&gt;"",EDATE($D132,Milestones!$AA$192)&gt;=$S132),$V132,IF(AND($R132&lt;&gt;"",EDATE($D132,Milestones!$AA$192)&gt;=$R132),$U132,$T132)))=Milestones!$AB$192),TEXT(EDATE($D132,Milestones!$AA$192),"dd/mm/yy")&amp;" "&amp;Milestones!$AB$192&amp;" "&amp;Milestones!$AC$192&amp;";  ","")&amp;IF(AND(EDATE($D132,Milestones!$AA$193)&lt;=AsOfDate,IF($Q132=0,$W132,IF(AND($S132&lt;&gt;"",EDATE($D132,Milestones!$AA$193)&gt;=$S132),$V132,IF(AND($R132&lt;&gt;"",EDATE($D132,Milestones!$AA$193)&gt;=$R132),$U132,$T132)))=Milestones!$AB$193),TEXT(EDATE($D132,Milestones!$AA$193),"dd/mm/yy")&amp;" "&amp;Milestones!$AB$193&amp;" "&amp;Milestones!$AC$193&amp;";  ","")&amp;IF(AND(EDATE($D132,Milestones!$AA$194)&lt;=AsOfDate,IF($Q132=0,$W132,IF(AND($S132&lt;&gt;"",EDATE($D132,Milestones!$AA$194)&gt;=$S132),$V132,IF(AND($R132&lt;&gt;"",EDATE($D132,Milestones!$AA$194)&gt;=$R132),$U132,$T132)))=Milestones!$AB$194),TEXT(EDATE($D132,Milestones!$AA$194),"dd/mm/yy")&amp;" "&amp;Milestones!$AB$194&amp;" "&amp;Milestones!$AC$194&amp;";  ","")&amp;IF(AND(EDATE($D132,Milestones!$AA$195)&lt;=AsOfDate,IF($Q132=0,$W132,IF(AND($S132&lt;&gt;"",EDATE($D132,Milestones!$AA$195)&gt;=$S132),$V132,IF(AND($R132&lt;&gt;"",EDATE($D132,Milestones!$AA$195)&gt;=$R132),$U132,$T132)))=Milestones!$AB$195),TEXT(EDATE($D132,Milestones!$AA$195),"dd/mm/yy")&amp;" "&amp;Milestones!$AB$195&amp;" "&amp;Milestones!$AC$195&amp;";  ","")&amp;IF(AND(EDATE($D132,Milestones!$AA$196)&lt;=AsOfDate,IF($Q132=0,$W132,IF(AND($S132&lt;&gt;"",EDATE($D132,Milestones!$AA$196)&gt;=$S132),$V132,IF(AND($R132&lt;&gt;"",EDATE($D132,Milestones!$AA$196)&gt;=$R132),$U132,$T132)))=Milestones!$AB$196),TEXT(EDATE($D132,Milestones!$AA$196),"dd/mm/yy")&amp;" "&amp;Milestones!$AB$196&amp;" "&amp;Milestones!$AC$196&amp;";  ","")&amp;IF(AND(EDATE($D132,Milestones!$AA$197)&lt;=AsOfDate,IF($Q132=0,$W132,IF(AND($S132&lt;&gt;"",EDATE($D132,Milestones!$AA$197)&gt;=$S132),$V132,IF(AND($R132&lt;&gt;"",EDATE($D132,Milestones!$AA$197)&gt;=$R132),$U132,$T132)))=Milestones!$AB$197),TEXT(EDATE($D132,Milestones!$AA$197),"dd/mm/yy")&amp;" "&amp;Milestones!$AB$197&amp;" "&amp;Milestones!$AC$197&amp;";  ","")&amp;IF(AND(EDATE($D132,Milestones!$AA$198)&lt;=AsOfDate,IF($Q132=0,$W132,IF(AND($S132&lt;&gt;"",EDATE($D132,Milestones!$AA$198)&gt;=$S132),$V132,IF(AND($R132&lt;&gt;"",EDATE($D132,Milestones!$AA$198)&gt;=$R132),$U132,$T132)))=Milestones!$AB$198),TEXT(EDATE($D132,Milestones!$AA$198),"dd/mm/yy")&amp;" "&amp;Milestones!$AB$198&amp;" "&amp;Milestones!$AC$198&amp;";  ","")&amp;IF(AND(EDATE($D132,Milestones!$AA$199)&lt;=AsOfDate,IF($Q132=0,$W132,IF(AND($S132&lt;&gt;"",EDATE($D132,Milestones!$AA$199)&gt;=$S132),$V132,IF(AND($R132&lt;&gt;"",EDATE($D132,Milestones!$AA$199)&gt;=$R132),$U132,$T132)))=Milestones!$AB$199),TEXT(EDATE($D132,Milestones!$AA$199),"dd/mm/yy")&amp;" "&amp;Milestones!$AB$199&amp;" "&amp;Milestones!$AC$199&amp;";  ",""))</f>
        <v/>
      </c>
      <c r="Q132" s="0" t="str">
        <f aca="false">IF(Staff!$A132="","",Staff!$AG132)</f>
        <v/>
      </c>
      <c r="R132" s="0" t="str">
        <f aca="false">IF(Staff!$A132="","",Staff!$AI132)</f>
        <v/>
      </c>
      <c r="S132" s="0" t="str">
        <f aca="false">IF(Staff!$A132="","",Staff!$AJ132)</f>
        <v/>
      </c>
      <c r="T132" s="0" t="str">
        <f aca="false">IF(Staff!$A132="","",Staff!$AN132)</f>
        <v/>
      </c>
      <c r="U132" s="0" t="str">
        <f aca="false">IF(Staff!$A132="","",Staff!$AO132)</f>
        <v/>
      </c>
      <c r="V132" s="0" t="str">
        <f aca="false">IF(Staff!$A132="","",Staff!$AP132)</f>
        <v/>
      </c>
      <c r="W132" s="0" t="str">
        <f aca="false">IF(Staff!$A132="","",Staff!$AQ132)</f>
        <v/>
      </c>
    </row>
    <row r="133" customFormat="false" ht="15" hidden="false" customHeight="false" outlineLevel="0" collapsed="false">
      <c r="A133" s="13" t="str">
        <f aca="false">IF(Staff!$A133="","",Staff!$A133)</f>
        <v/>
      </c>
      <c r="B133" s="13" t="str">
        <f aca="false">IF(Staff!$A133="","",Staff!$B133)</f>
        <v/>
      </c>
      <c r="C133" s="13" t="str">
        <f aca="false">IF(Staff!$A133="","",Staff!$C133)</f>
        <v/>
      </c>
      <c r="D133" s="11" t="str">
        <f aca="false">IF(Staff!$A133="","",Staff!$AF133)</f>
        <v/>
      </c>
      <c r="E133" s="13" t="str">
        <f aca="false">IF(Staff!$A133="","",Staff!$O133)</f>
        <v/>
      </c>
      <c r="F133" s="13" t="str">
        <f aca="false">IF(E133="","",E133*HoursPerDay)</f>
        <v/>
      </c>
      <c r="G133" s="26" t="str">
        <f aca="false">IF($A133="","",H133&amp;I133&amp;J133&amp;K133&amp;L133&amp;M133&amp;N133&amp;O133&amp;P133)</f>
        <v/>
      </c>
      <c r="H133" s="0" t="str">
        <f aca="false">IF(OR($A133="",$D133=""),"",IF(AND(EDATE($D133,Milestones!$AA$20)&lt;=AsOfDate,IF($Q133=0,$W133,IF(AND($S133&lt;&gt;"",EDATE($D133,Milestones!$AA$20)&gt;=$S133),$V133,IF(AND($R133&lt;&gt;"",EDATE($D133,Milestones!$AA$20)&gt;=$R133),$U133,$T133)))=Milestones!$AB$20),TEXT(EDATE($D133,Milestones!$AA$20),"dd/mm/yy")&amp;" "&amp;Milestones!$AB$20&amp;" "&amp;Milestones!$AC$20&amp;";  ","")&amp;IF(AND(EDATE($D133,Milestones!$AA$21)&lt;=AsOfDate,IF($Q133=0,$W133,IF(AND($S133&lt;&gt;"",EDATE($D133,Milestones!$AA$21)&gt;=$S133),$V133,IF(AND($R133&lt;&gt;"",EDATE($D133,Milestones!$AA$21)&gt;=$R133),$U133,$T133)))=Milestones!$AB$21),TEXT(EDATE($D133,Milestones!$AA$21),"dd/mm/yy")&amp;" "&amp;Milestones!$AB$21&amp;" "&amp;Milestones!$AC$21&amp;";  ","")&amp;IF(AND(EDATE($D133,Milestones!$AA$22)&lt;=AsOfDate,IF($Q133=0,$W133,IF(AND($S133&lt;&gt;"",EDATE($D133,Milestones!$AA$22)&gt;=$S133),$V133,IF(AND($R133&lt;&gt;"",EDATE($D133,Milestones!$AA$22)&gt;=$R133),$U133,$T133)))=Milestones!$AB$22),TEXT(EDATE($D133,Milestones!$AA$22),"dd/mm/yy")&amp;" "&amp;Milestones!$AB$22&amp;" "&amp;Milestones!$AC$22&amp;";  ","")&amp;IF(AND(EDATE($D133,Milestones!$AA$23)&lt;=AsOfDate,IF($Q133=0,$W133,IF(AND($S133&lt;&gt;"",EDATE($D133,Milestones!$AA$23)&gt;=$S133),$V133,IF(AND($R133&lt;&gt;"",EDATE($D133,Milestones!$AA$23)&gt;=$R133),$U133,$T133)))=Milestones!$AB$23),TEXT(EDATE($D133,Milestones!$AA$23),"dd/mm/yy")&amp;" "&amp;Milestones!$AB$23&amp;" "&amp;Milestones!$AC$23&amp;";  ","")&amp;IF(AND(EDATE($D133,Milestones!$AA$24)&lt;=AsOfDate,IF($Q133=0,$W133,IF(AND($S133&lt;&gt;"",EDATE($D133,Milestones!$AA$24)&gt;=$S133),$V133,IF(AND($R133&lt;&gt;"",EDATE($D133,Milestones!$AA$24)&gt;=$R133),$U133,$T133)))=Milestones!$AB$24),TEXT(EDATE($D133,Milestones!$AA$24),"dd/mm/yy")&amp;" "&amp;Milestones!$AB$24&amp;" "&amp;Milestones!$AC$24&amp;";  ","")&amp;IF(AND(EDATE($D133,Milestones!$AA$25)&lt;=AsOfDate,IF($Q133=0,$W133,IF(AND($S133&lt;&gt;"",EDATE($D133,Milestones!$AA$25)&gt;=$S133),$V133,IF(AND($R133&lt;&gt;"",EDATE($D133,Milestones!$AA$25)&gt;=$R133),$U133,$T133)))=Milestones!$AB$25),TEXT(EDATE($D133,Milestones!$AA$25),"dd/mm/yy")&amp;" "&amp;Milestones!$AB$25&amp;" "&amp;Milestones!$AC$25&amp;";  ","")&amp;IF(AND(EDATE($D133,Milestones!$AA$26)&lt;=AsOfDate,IF($Q133=0,$W133,IF(AND($S133&lt;&gt;"",EDATE($D133,Milestones!$AA$26)&gt;=$S133),$V133,IF(AND($R133&lt;&gt;"",EDATE($D133,Milestones!$AA$26)&gt;=$R133),$U133,$T133)))=Milestones!$AB$26),TEXT(EDATE($D133,Milestones!$AA$26),"dd/mm/yy")&amp;" "&amp;Milestones!$AB$26&amp;" "&amp;Milestones!$AC$26&amp;";  ","")&amp;IF(AND(EDATE($D133,Milestones!$AA$27)&lt;=AsOfDate,IF($Q133=0,$W133,IF(AND($S133&lt;&gt;"",EDATE($D133,Milestones!$AA$27)&gt;=$S133),$V133,IF(AND($R133&lt;&gt;"",EDATE($D133,Milestones!$AA$27)&gt;=$R133),$U133,$T133)))=Milestones!$AB$27),TEXT(EDATE($D133,Milestones!$AA$27),"dd/mm/yy")&amp;" "&amp;Milestones!$AB$27&amp;" "&amp;Milestones!$AC$27&amp;";  ","")&amp;IF(AND(EDATE($D133,Milestones!$AA$28)&lt;=AsOfDate,IF($Q133=0,$W133,IF(AND($S133&lt;&gt;"",EDATE($D133,Milestones!$AA$28)&gt;=$S133),$V133,IF(AND($R133&lt;&gt;"",EDATE($D133,Milestones!$AA$28)&gt;=$R133),$U133,$T133)))=Milestones!$AB$28),TEXT(EDATE($D133,Milestones!$AA$28),"dd/mm/yy")&amp;" "&amp;Milestones!$AB$28&amp;" "&amp;Milestones!$AC$28&amp;";  ","")&amp;IF(AND(EDATE($D133,Milestones!$AA$29)&lt;=AsOfDate,IF($Q133=0,$W133,IF(AND($S133&lt;&gt;"",EDATE($D133,Milestones!$AA$29)&gt;=$S133),$V133,IF(AND($R133&lt;&gt;"",EDATE($D133,Milestones!$AA$29)&gt;=$R133),$U133,$T133)))=Milestones!$AB$29),TEXT(EDATE($D133,Milestones!$AA$29),"dd/mm/yy")&amp;" "&amp;Milestones!$AB$29&amp;" "&amp;Milestones!$AC$29&amp;";  ","")&amp;IF(AND(EDATE($D133,Milestones!$AA$30)&lt;=AsOfDate,IF($Q133=0,$W133,IF(AND($S133&lt;&gt;"",EDATE($D133,Milestones!$AA$30)&gt;=$S133),$V133,IF(AND($R133&lt;&gt;"",EDATE($D133,Milestones!$AA$30)&gt;=$R133),$U133,$T133)))=Milestones!$AB$30),TEXT(EDATE($D133,Milestones!$AA$30),"dd/mm/yy")&amp;" "&amp;Milestones!$AB$30&amp;" "&amp;Milestones!$AC$30&amp;";  ","")&amp;IF(AND(EDATE($D133,Milestones!$AA$31)&lt;=AsOfDate,IF($Q133=0,$W133,IF(AND($S133&lt;&gt;"",EDATE($D133,Milestones!$AA$31)&gt;=$S133),$V133,IF(AND($R133&lt;&gt;"",EDATE($D133,Milestones!$AA$31)&gt;=$R133),$U133,$T133)))=Milestones!$AB$31),TEXT(EDATE($D133,Milestones!$AA$31),"dd/mm/yy")&amp;" "&amp;Milestones!$AB$31&amp;" "&amp;Milestones!$AC$31&amp;";  ","")&amp;IF(AND(EDATE($D133,Milestones!$AA$32)&lt;=AsOfDate,IF($Q133=0,$W133,IF(AND($S133&lt;&gt;"",EDATE($D133,Milestones!$AA$32)&gt;=$S133),$V133,IF(AND($R133&lt;&gt;"",EDATE($D133,Milestones!$AA$32)&gt;=$R133),$U133,$T133)))=Milestones!$AB$32),TEXT(EDATE($D133,Milestones!$AA$32),"dd/mm/yy")&amp;" "&amp;Milestones!$AB$32&amp;" "&amp;Milestones!$AC$32&amp;";  ","")&amp;IF(AND(EDATE($D133,Milestones!$AA$33)&lt;=AsOfDate,IF($Q133=0,$W133,IF(AND($S133&lt;&gt;"",EDATE($D133,Milestones!$AA$33)&gt;=$S133),$V133,IF(AND($R133&lt;&gt;"",EDATE($D133,Milestones!$AA$33)&gt;=$R133),$U133,$T133)))=Milestones!$AB$33),TEXT(EDATE($D133,Milestones!$AA$33),"dd/mm/yy")&amp;" "&amp;Milestones!$AB$33&amp;" "&amp;Milestones!$AC$33&amp;";  ","")&amp;IF(AND(EDATE($D133,Milestones!$AA$34)&lt;=AsOfDate,IF($Q133=0,$W133,IF(AND($S133&lt;&gt;"",EDATE($D133,Milestones!$AA$34)&gt;=$S133),$V133,IF(AND($R133&lt;&gt;"",EDATE($D133,Milestones!$AA$34)&gt;=$R133),$U133,$T133)))=Milestones!$AB$34),TEXT(EDATE($D133,Milestones!$AA$34),"dd/mm/yy")&amp;" "&amp;Milestones!$AB$34&amp;" "&amp;Milestones!$AC$34&amp;";  ","")&amp;IF(AND(EDATE($D133,Milestones!$AA$35)&lt;=AsOfDate,IF($Q133=0,$W133,IF(AND($S133&lt;&gt;"",EDATE($D133,Milestones!$AA$35)&gt;=$S133),$V133,IF(AND($R133&lt;&gt;"",EDATE($D133,Milestones!$AA$35)&gt;=$R133),$U133,$T133)))=Milestones!$AB$35),TEXT(EDATE($D133,Milestones!$AA$35),"dd/mm/yy")&amp;" "&amp;Milestones!$AB$35&amp;" "&amp;Milestones!$AC$35&amp;";  ","")&amp;IF(AND(EDATE($D133,Milestones!$AA$36)&lt;=AsOfDate,IF($Q133=0,$W133,IF(AND($S133&lt;&gt;"",EDATE($D133,Milestones!$AA$36)&gt;=$S133),$V133,IF(AND($R133&lt;&gt;"",EDATE($D133,Milestones!$AA$36)&gt;=$R133),$U133,$T133)))=Milestones!$AB$36),TEXT(EDATE($D133,Milestones!$AA$36),"dd/mm/yy")&amp;" "&amp;Milestones!$AB$36&amp;" "&amp;Milestones!$AC$36&amp;";  ","")&amp;IF(AND(EDATE($D133,Milestones!$AA$37)&lt;=AsOfDate,IF($Q133=0,$W133,IF(AND($S133&lt;&gt;"",EDATE($D133,Milestones!$AA$37)&gt;=$S133),$V133,IF(AND($R133&lt;&gt;"",EDATE($D133,Milestones!$AA$37)&gt;=$R133),$U133,$T133)))=Milestones!$AB$37),TEXT(EDATE($D133,Milestones!$AA$37),"dd/mm/yy")&amp;" "&amp;Milestones!$AB$37&amp;" "&amp;Milestones!$AC$37&amp;";  ","")&amp;IF(AND(EDATE($D133,Milestones!$AA$38)&lt;=AsOfDate,IF($Q133=0,$W133,IF(AND($S133&lt;&gt;"",EDATE($D133,Milestones!$AA$38)&gt;=$S133),$V133,IF(AND($R133&lt;&gt;"",EDATE($D133,Milestones!$AA$38)&gt;=$R133),$U133,$T133)))=Milestones!$AB$38),TEXT(EDATE($D133,Milestones!$AA$38),"dd/mm/yy")&amp;" "&amp;Milestones!$AB$38&amp;" "&amp;Milestones!$AC$38&amp;";  ","")&amp;IF(AND(EDATE($D133,Milestones!$AA$39)&lt;=AsOfDate,IF($Q133=0,$W133,IF(AND($S133&lt;&gt;"",EDATE($D133,Milestones!$AA$39)&gt;=$S133),$V133,IF(AND($R133&lt;&gt;"",EDATE($D133,Milestones!$AA$39)&gt;=$R133),$U133,$T133)))=Milestones!$AB$39),TEXT(EDATE($D133,Milestones!$AA$39),"dd/mm/yy")&amp;" "&amp;Milestones!$AB$39&amp;" "&amp;Milestones!$AC$39&amp;";  ",""))</f>
        <v/>
      </c>
      <c r="I133" s="0" t="str">
        <f aca="false">IF(OR($A133="",$D133=""),"",IF(AND(EDATE($D133,Milestones!$AA$40)&lt;=AsOfDate,IF($Q133=0,$W133,IF(AND($S133&lt;&gt;"",EDATE($D133,Milestones!$AA$40)&gt;=$S133),$V133,IF(AND($R133&lt;&gt;"",EDATE($D133,Milestones!$AA$40)&gt;=$R133),$U133,$T133)))=Milestones!$AB$40),TEXT(EDATE($D133,Milestones!$AA$40),"dd/mm/yy")&amp;" "&amp;Milestones!$AB$40&amp;" "&amp;Milestones!$AC$40&amp;";  ","")&amp;IF(AND(EDATE($D133,Milestones!$AA$41)&lt;=AsOfDate,IF($Q133=0,$W133,IF(AND($S133&lt;&gt;"",EDATE($D133,Milestones!$AA$41)&gt;=$S133),$V133,IF(AND($R133&lt;&gt;"",EDATE($D133,Milestones!$AA$41)&gt;=$R133),$U133,$T133)))=Milestones!$AB$41),TEXT(EDATE($D133,Milestones!$AA$41),"dd/mm/yy")&amp;" "&amp;Milestones!$AB$41&amp;" "&amp;Milestones!$AC$41&amp;";  ","")&amp;IF(AND(EDATE($D133,Milestones!$AA$42)&lt;=AsOfDate,IF($Q133=0,$W133,IF(AND($S133&lt;&gt;"",EDATE($D133,Milestones!$AA$42)&gt;=$S133),$V133,IF(AND($R133&lt;&gt;"",EDATE($D133,Milestones!$AA$42)&gt;=$R133),$U133,$T133)))=Milestones!$AB$42),TEXT(EDATE($D133,Milestones!$AA$42),"dd/mm/yy")&amp;" "&amp;Milestones!$AB$42&amp;" "&amp;Milestones!$AC$42&amp;";  ","")&amp;IF(AND(EDATE($D133,Milestones!$AA$43)&lt;=AsOfDate,IF($Q133=0,$W133,IF(AND($S133&lt;&gt;"",EDATE($D133,Milestones!$AA$43)&gt;=$S133),$V133,IF(AND($R133&lt;&gt;"",EDATE($D133,Milestones!$AA$43)&gt;=$R133),$U133,$T133)))=Milestones!$AB$43),TEXT(EDATE($D133,Milestones!$AA$43),"dd/mm/yy")&amp;" "&amp;Milestones!$AB$43&amp;" "&amp;Milestones!$AC$43&amp;";  ","")&amp;IF(AND(EDATE($D133,Milestones!$AA$44)&lt;=AsOfDate,IF($Q133=0,$W133,IF(AND($S133&lt;&gt;"",EDATE($D133,Milestones!$AA$44)&gt;=$S133),$V133,IF(AND($R133&lt;&gt;"",EDATE($D133,Milestones!$AA$44)&gt;=$R133),$U133,$T133)))=Milestones!$AB$44),TEXT(EDATE($D133,Milestones!$AA$44),"dd/mm/yy")&amp;" "&amp;Milestones!$AB$44&amp;" "&amp;Milestones!$AC$44&amp;";  ","")&amp;IF(AND(EDATE($D133,Milestones!$AA$45)&lt;=AsOfDate,IF($Q133=0,$W133,IF(AND($S133&lt;&gt;"",EDATE($D133,Milestones!$AA$45)&gt;=$S133),$V133,IF(AND($R133&lt;&gt;"",EDATE($D133,Milestones!$AA$45)&gt;=$R133),$U133,$T133)))=Milestones!$AB$45),TEXT(EDATE($D133,Milestones!$AA$45),"dd/mm/yy")&amp;" "&amp;Milestones!$AB$45&amp;" "&amp;Milestones!$AC$45&amp;";  ","")&amp;IF(AND(EDATE($D133,Milestones!$AA$46)&lt;=AsOfDate,IF($Q133=0,$W133,IF(AND($S133&lt;&gt;"",EDATE($D133,Milestones!$AA$46)&gt;=$S133),$V133,IF(AND($R133&lt;&gt;"",EDATE($D133,Milestones!$AA$46)&gt;=$R133),$U133,$T133)))=Milestones!$AB$46),TEXT(EDATE($D133,Milestones!$AA$46),"dd/mm/yy")&amp;" "&amp;Milestones!$AB$46&amp;" "&amp;Milestones!$AC$46&amp;";  ","")&amp;IF(AND(EDATE($D133,Milestones!$AA$47)&lt;=AsOfDate,IF($Q133=0,$W133,IF(AND($S133&lt;&gt;"",EDATE($D133,Milestones!$AA$47)&gt;=$S133),$V133,IF(AND($R133&lt;&gt;"",EDATE($D133,Milestones!$AA$47)&gt;=$R133),$U133,$T133)))=Milestones!$AB$47),TEXT(EDATE($D133,Milestones!$AA$47),"dd/mm/yy")&amp;" "&amp;Milestones!$AB$47&amp;" "&amp;Milestones!$AC$47&amp;";  ","")&amp;IF(AND(EDATE($D133,Milestones!$AA$48)&lt;=AsOfDate,IF($Q133=0,$W133,IF(AND($S133&lt;&gt;"",EDATE($D133,Milestones!$AA$48)&gt;=$S133),$V133,IF(AND($R133&lt;&gt;"",EDATE($D133,Milestones!$AA$48)&gt;=$R133),$U133,$T133)))=Milestones!$AB$48),TEXT(EDATE($D133,Milestones!$AA$48),"dd/mm/yy")&amp;" "&amp;Milestones!$AB$48&amp;" "&amp;Milestones!$AC$48&amp;";  ","")&amp;IF(AND(EDATE($D133,Milestones!$AA$49)&lt;=AsOfDate,IF($Q133=0,$W133,IF(AND($S133&lt;&gt;"",EDATE($D133,Milestones!$AA$49)&gt;=$S133),$V133,IF(AND($R133&lt;&gt;"",EDATE($D133,Milestones!$AA$49)&gt;=$R133),$U133,$T133)))=Milestones!$AB$49),TEXT(EDATE($D133,Milestones!$AA$49),"dd/mm/yy")&amp;" "&amp;Milestones!$AB$49&amp;" "&amp;Milestones!$AC$49&amp;";  ","")&amp;IF(AND(EDATE($D133,Milestones!$AA$50)&lt;=AsOfDate,IF($Q133=0,$W133,IF(AND($S133&lt;&gt;"",EDATE($D133,Milestones!$AA$50)&gt;=$S133),$V133,IF(AND($R133&lt;&gt;"",EDATE($D133,Milestones!$AA$50)&gt;=$R133),$U133,$T133)))=Milestones!$AB$50),TEXT(EDATE($D133,Milestones!$AA$50),"dd/mm/yy")&amp;" "&amp;Milestones!$AB$50&amp;" "&amp;Milestones!$AC$50&amp;";  ","")&amp;IF(AND(EDATE($D133,Milestones!$AA$51)&lt;=AsOfDate,IF($Q133=0,$W133,IF(AND($S133&lt;&gt;"",EDATE($D133,Milestones!$AA$51)&gt;=$S133),$V133,IF(AND($R133&lt;&gt;"",EDATE($D133,Milestones!$AA$51)&gt;=$R133),$U133,$T133)))=Milestones!$AB$51),TEXT(EDATE($D133,Milestones!$AA$51),"dd/mm/yy")&amp;" "&amp;Milestones!$AB$51&amp;" "&amp;Milestones!$AC$51&amp;";  ","")&amp;IF(AND(EDATE($D133,Milestones!$AA$52)&lt;=AsOfDate,IF($Q133=0,$W133,IF(AND($S133&lt;&gt;"",EDATE($D133,Milestones!$AA$52)&gt;=$S133),$V133,IF(AND($R133&lt;&gt;"",EDATE($D133,Milestones!$AA$52)&gt;=$R133),$U133,$T133)))=Milestones!$AB$52),TEXT(EDATE($D133,Milestones!$AA$52),"dd/mm/yy")&amp;" "&amp;Milestones!$AB$52&amp;" "&amp;Milestones!$AC$52&amp;";  ","")&amp;IF(AND(EDATE($D133,Milestones!$AA$53)&lt;=AsOfDate,IF($Q133=0,$W133,IF(AND($S133&lt;&gt;"",EDATE($D133,Milestones!$AA$53)&gt;=$S133),$V133,IF(AND($R133&lt;&gt;"",EDATE($D133,Milestones!$AA$53)&gt;=$R133),$U133,$T133)))=Milestones!$AB$53),TEXT(EDATE($D133,Milestones!$AA$53),"dd/mm/yy")&amp;" "&amp;Milestones!$AB$53&amp;" "&amp;Milestones!$AC$53&amp;";  ","")&amp;IF(AND(EDATE($D133,Milestones!$AA$54)&lt;=AsOfDate,IF($Q133=0,$W133,IF(AND($S133&lt;&gt;"",EDATE($D133,Milestones!$AA$54)&gt;=$S133),$V133,IF(AND($R133&lt;&gt;"",EDATE($D133,Milestones!$AA$54)&gt;=$R133),$U133,$T133)))=Milestones!$AB$54),TEXT(EDATE($D133,Milestones!$AA$54),"dd/mm/yy")&amp;" "&amp;Milestones!$AB$54&amp;" "&amp;Milestones!$AC$54&amp;";  ","")&amp;IF(AND(EDATE($D133,Milestones!$AA$55)&lt;=AsOfDate,IF($Q133=0,$W133,IF(AND($S133&lt;&gt;"",EDATE($D133,Milestones!$AA$55)&gt;=$S133),$V133,IF(AND($R133&lt;&gt;"",EDATE($D133,Milestones!$AA$55)&gt;=$R133),$U133,$T133)))=Milestones!$AB$55),TEXT(EDATE($D133,Milestones!$AA$55),"dd/mm/yy")&amp;" "&amp;Milestones!$AB$55&amp;" "&amp;Milestones!$AC$55&amp;";  ","")&amp;IF(AND(EDATE($D133,Milestones!$AA$56)&lt;=AsOfDate,IF($Q133=0,$W133,IF(AND($S133&lt;&gt;"",EDATE($D133,Milestones!$AA$56)&gt;=$S133),$V133,IF(AND($R133&lt;&gt;"",EDATE($D133,Milestones!$AA$56)&gt;=$R133),$U133,$T133)))=Milestones!$AB$56),TEXT(EDATE($D133,Milestones!$AA$56),"dd/mm/yy")&amp;" "&amp;Milestones!$AB$56&amp;" "&amp;Milestones!$AC$56&amp;";  ","")&amp;IF(AND(EDATE($D133,Milestones!$AA$57)&lt;=AsOfDate,IF($Q133=0,$W133,IF(AND($S133&lt;&gt;"",EDATE($D133,Milestones!$AA$57)&gt;=$S133),$V133,IF(AND($R133&lt;&gt;"",EDATE($D133,Milestones!$AA$57)&gt;=$R133),$U133,$T133)))=Milestones!$AB$57),TEXT(EDATE($D133,Milestones!$AA$57),"dd/mm/yy")&amp;" "&amp;Milestones!$AB$57&amp;" "&amp;Milestones!$AC$57&amp;";  ","")&amp;IF(AND(EDATE($D133,Milestones!$AA$58)&lt;=AsOfDate,IF($Q133=0,$W133,IF(AND($S133&lt;&gt;"",EDATE($D133,Milestones!$AA$58)&gt;=$S133),$V133,IF(AND($R133&lt;&gt;"",EDATE($D133,Milestones!$AA$58)&gt;=$R133),$U133,$T133)))=Milestones!$AB$58),TEXT(EDATE($D133,Milestones!$AA$58),"dd/mm/yy")&amp;" "&amp;Milestones!$AB$58&amp;" "&amp;Milestones!$AC$58&amp;";  ","")&amp;IF(AND(EDATE($D133,Milestones!$AA$59)&lt;=AsOfDate,IF($Q133=0,$W133,IF(AND($S133&lt;&gt;"",EDATE($D133,Milestones!$AA$59)&gt;=$S133),$V133,IF(AND($R133&lt;&gt;"",EDATE($D133,Milestones!$AA$59)&gt;=$R133),$U133,$T133)))=Milestones!$AB$59),TEXT(EDATE($D133,Milestones!$AA$59),"dd/mm/yy")&amp;" "&amp;Milestones!$AB$59&amp;" "&amp;Milestones!$AC$59&amp;";  ",""))</f>
        <v/>
      </c>
      <c r="J133" s="0" t="str">
        <f aca="false">IF(OR($A133="",$D133=""),"",IF(AND(EDATE($D133,Milestones!$AA$60)&lt;=AsOfDate,IF($Q133=0,$W133,IF(AND($S133&lt;&gt;"",EDATE($D133,Milestones!$AA$60)&gt;=$S133),$V133,IF(AND($R133&lt;&gt;"",EDATE($D133,Milestones!$AA$60)&gt;=$R133),$U133,$T133)))=Milestones!$AB$60),TEXT(EDATE($D133,Milestones!$AA$60),"dd/mm/yy")&amp;" "&amp;Milestones!$AB$60&amp;" "&amp;Milestones!$AC$60&amp;";  ","")&amp;IF(AND(EDATE($D133,Milestones!$AA$61)&lt;=AsOfDate,IF($Q133=0,$W133,IF(AND($S133&lt;&gt;"",EDATE($D133,Milestones!$AA$61)&gt;=$S133),$V133,IF(AND($R133&lt;&gt;"",EDATE($D133,Milestones!$AA$61)&gt;=$R133),$U133,$T133)))=Milestones!$AB$61),TEXT(EDATE($D133,Milestones!$AA$61),"dd/mm/yy")&amp;" "&amp;Milestones!$AB$61&amp;" "&amp;Milestones!$AC$61&amp;";  ","")&amp;IF(AND(EDATE($D133,Milestones!$AA$62)&lt;=AsOfDate,IF($Q133=0,$W133,IF(AND($S133&lt;&gt;"",EDATE($D133,Milestones!$AA$62)&gt;=$S133),$V133,IF(AND($R133&lt;&gt;"",EDATE($D133,Milestones!$AA$62)&gt;=$R133),$U133,$T133)))=Milestones!$AB$62),TEXT(EDATE($D133,Milestones!$AA$62),"dd/mm/yy")&amp;" "&amp;Milestones!$AB$62&amp;" "&amp;Milestones!$AC$62&amp;";  ","")&amp;IF(AND(EDATE($D133,Milestones!$AA$63)&lt;=AsOfDate,IF($Q133=0,$W133,IF(AND($S133&lt;&gt;"",EDATE($D133,Milestones!$AA$63)&gt;=$S133),$V133,IF(AND($R133&lt;&gt;"",EDATE($D133,Milestones!$AA$63)&gt;=$R133),$U133,$T133)))=Milestones!$AB$63),TEXT(EDATE($D133,Milestones!$AA$63),"dd/mm/yy")&amp;" "&amp;Milestones!$AB$63&amp;" "&amp;Milestones!$AC$63&amp;";  ","")&amp;IF(AND(EDATE($D133,Milestones!$AA$64)&lt;=AsOfDate,IF($Q133=0,$W133,IF(AND($S133&lt;&gt;"",EDATE($D133,Milestones!$AA$64)&gt;=$S133),$V133,IF(AND($R133&lt;&gt;"",EDATE($D133,Milestones!$AA$64)&gt;=$R133),$U133,$T133)))=Milestones!$AB$64),TEXT(EDATE($D133,Milestones!$AA$64),"dd/mm/yy")&amp;" "&amp;Milestones!$AB$64&amp;" "&amp;Milestones!$AC$64&amp;";  ","")&amp;IF(AND(EDATE($D133,Milestones!$AA$65)&lt;=AsOfDate,IF($Q133=0,$W133,IF(AND($S133&lt;&gt;"",EDATE($D133,Milestones!$AA$65)&gt;=$S133),$V133,IF(AND($R133&lt;&gt;"",EDATE($D133,Milestones!$AA$65)&gt;=$R133),$U133,$T133)))=Milestones!$AB$65),TEXT(EDATE($D133,Milestones!$AA$65),"dd/mm/yy")&amp;" "&amp;Milestones!$AB$65&amp;" "&amp;Milestones!$AC$65&amp;";  ","")&amp;IF(AND(EDATE($D133,Milestones!$AA$66)&lt;=AsOfDate,IF($Q133=0,$W133,IF(AND($S133&lt;&gt;"",EDATE($D133,Milestones!$AA$66)&gt;=$S133),$V133,IF(AND($R133&lt;&gt;"",EDATE($D133,Milestones!$AA$66)&gt;=$R133),$U133,$T133)))=Milestones!$AB$66),TEXT(EDATE($D133,Milestones!$AA$66),"dd/mm/yy")&amp;" "&amp;Milestones!$AB$66&amp;" "&amp;Milestones!$AC$66&amp;";  ","")&amp;IF(AND(EDATE($D133,Milestones!$AA$67)&lt;=AsOfDate,IF($Q133=0,$W133,IF(AND($S133&lt;&gt;"",EDATE($D133,Milestones!$AA$67)&gt;=$S133),$V133,IF(AND($R133&lt;&gt;"",EDATE($D133,Milestones!$AA$67)&gt;=$R133),$U133,$T133)))=Milestones!$AB$67),TEXT(EDATE($D133,Milestones!$AA$67),"dd/mm/yy")&amp;" "&amp;Milestones!$AB$67&amp;" "&amp;Milestones!$AC$67&amp;";  ","")&amp;IF(AND(EDATE($D133,Milestones!$AA$68)&lt;=AsOfDate,IF($Q133=0,$W133,IF(AND($S133&lt;&gt;"",EDATE($D133,Milestones!$AA$68)&gt;=$S133),$V133,IF(AND($R133&lt;&gt;"",EDATE($D133,Milestones!$AA$68)&gt;=$R133),$U133,$T133)))=Milestones!$AB$68),TEXT(EDATE($D133,Milestones!$AA$68),"dd/mm/yy")&amp;" "&amp;Milestones!$AB$68&amp;" "&amp;Milestones!$AC$68&amp;";  ","")&amp;IF(AND(EDATE($D133,Milestones!$AA$69)&lt;=AsOfDate,IF($Q133=0,$W133,IF(AND($S133&lt;&gt;"",EDATE($D133,Milestones!$AA$69)&gt;=$S133),$V133,IF(AND($R133&lt;&gt;"",EDATE($D133,Milestones!$AA$69)&gt;=$R133),$U133,$T133)))=Milestones!$AB$69),TEXT(EDATE($D133,Milestones!$AA$69),"dd/mm/yy")&amp;" "&amp;Milestones!$AB$69&amp;" "&amp;Milestones!$AC$69&amp;";  ","")&amp;IF(AND(EDATE($D133,Milestones!$AA$70)&lt;=AsOfDate,IF($Q133=0,$W133,IF(AND($S133&lt;&gt;"",EDATE($D133,Milestones!$AA$70)&gt;=$S133),$V133,IF(AND($R133&lt;&gt;"",EDATE($D133,Milestones!$AA$70)&gt;=$R133),$U133,$T133)))=Milestones!$AB$70),TEXT(EDATE($D133,Milestones!$AA$70),"dd/mm/yy")&amp;" "&amp;Milestones!$AB$70&amp;" "&amp;Milestones!$AC$70&amp;";  ","")&amp;IF(AND(EDATE($D133,Milestones!$AA$71)&lt;=AsOfDate,IF($Q133=0,$W133,IF(AND($S133&lt;&gt;"",EDATE($D133,Milestones!$AA$71)&gt;=$S133),$V133,IF(AND($R133&lt;&gt;"",EDATE($D133,Milestones!$AA$71)&gt;=$R133),$U133,$T133)))=Milestones!$AB$71),TEXT(EDATE($D133,Milestones!$AA$71),"dd/mm/yy")&amp;" "&amp;Milestones!$AB$71&amp;" "&amp;Milestones!$AC$71&amp;";  ","")&amp;IF(AND(EDATE($D133,Milestones!$AA$72)&lt;=AsOfDate,IF($Q133=0,$W133,IF(AND($S133&lt;&gt;"",EDATE($D133,Milestones!$AA$72)&gt;=$S133),$V133,IF(AND($R133&lt;&gt;"",EDATE($D133,Milestones!$AA$72)&gt;=$R133),$U133,$T133)))=Milestones!$AB$72),TEXT(EDATE($D133,Milestones!$AA$72),"dd/mm/yy")&amp;" "&amp;Milestones!$AB$72&amp;" "&amp;Milestones!$AC$72&amp;";  ","")&amp;IF(AND(EDATE($D133,Milestones!$AA$73)&lt;=AsOfDate,IF($Q133=0,$W133,IF(AND($S133&lt;&gt;"",EDATE($D133,Milestones!$AA$73)&gt;=$S133),$V133,IF(AND($R133&lt;&gt;"",EDATE($D133,Milestones!$AA$73)&gt;=$R133),$U133,$T133)))=Milestones!$AB$73),TEXT(EDATE($D133,Milestones!$AA$73),"dd/mm/yy")&amp;" "&amp;Milestones!$AB$73&amp;" "&amp;Milestones!$AC$73&amp;";  ","")&amp;IF(AND(EDATE($D133,Milestones!$AA$74)&lt;=AsOfDate,IF($Q133=0,$W133,IF(AND($S133&lt;&gt;"",EDATE($D133,Milestones!$AA$74)&gt;=$S133),$V133,IF(AND($R133&lt;&gt;"",EDATE($D133,Milestones!$AA$74)&gt;=$R133),$U133,$T133)))=Milestones!$AB$74),TEXT(EDATE($D133,Milestones!$AA$74),"dd/mm/yy")&amp;" "&amp;Milestones!$AB$74&amp;" "&amp;Milestones!$AC$74&amp;";  ","")&amp;IF(AND(EDATE($D133,Milestones!$AA$75)&lt;=AsOfDate,IF($Q133=0,$W133,IF(AND($S133&lt;&gt;"",EDATE($D133,Milestones!$AA$75)&gt;=$S133),$V133,IF(AND($R133&lt;&gt;"",EDATE($D133,Milestones!$AA$75)&gt;=$R133),$U133,$T133)))=Milestones!$AB$75),TEXT(EDATE($D133,Milestones!$AA$75),"dd/mm/yy")&amp;" "&amp;Milestones!$AB$75&amp;" "&amp;Milestones!$AC$75&amp;";  ","")&amp;IF(AND(EDATE($D133,Milestones!$AA$76)&lt;=AsOfDate,IF($Q133=0,$W133,IF(AND($S133&lt;&gt;"",EDATE($D133,Milestones!$AA$76)&gt;=$S133),$V133,IF(AND($R133&lt;&gt;"",EDATE($D133,Milestones!$AA$76)&gt;=$R133),$U133,$T133)))=Milestones!$AB$76),TEXT(EDATE($D133,Milestones!$AA$76),"dd/mm/yy")&amp;" "&amp;Milestones!$AB$76&amp;" "&amp;Milestones!$AC$76&amp;";  ","")&amp;IF(AND(EDATE($D133,Milestones!$AA$77)&lt;=AsOfDate,IF($Q133=0,$W133,IF(AND($S133&lt;&gt;"",EDATE($D133,Milestones!$AA$77)&gt;=$S133),$V133,IF(AND($R133&lt;&gt;"",EDATE($D133,Milestones!$AA$77)&gt;=$R133),$U133,$T133)))=Milestones!$AB$77),TEXT(EDATE($D133,Milestones!$AA$77),"dd/mm/yy")&amp;" "&amp;Milestones!$AB$77&amp;" "&amp;Milestones!$AC$77&amp;";  ","")&amp;IF(AND(EDATE($D133,Milestones!$AA$78)&lt;=AsOfDate,IF($Q133=0,$W133,IF(AND($S133&lt;&gt;"",EDATE($D133,Milestones!$AA$78)&gt;=$S133),$V133,IF(AND($R133&lt;&gt;"",EDATE($D133,Milestones!$AA$78)&gt;=$R133),$U133,$T133)))=Milestones!$AB$78),TEXT(EDATE($D133,Milestones!$AA$78),"dd/mm/yy")&amp;" "&amp;Milestones!$AB$78&amp;" "&amp;Milestones!$AC$78&amp;";  ","")&amp;IF(AND(EDATE($D133,Milestones!$AA$79)&lt;=AsOfDate,IF($Q133=0,$W133,IF(AND($S133&lt;&gt;"",EDATE($D133,Milestones!$AA$79)&gt;=$S133),$V133,IF(AND($R133&lt;&gt;"",EDATE($D133,Milestones!$AA$79)&gt;=$R133),$U133,$T133)))=Milestones!$AB$79),TEXT(EDATE($D133,Milestones!$AA$79),"dd/mm/yy")&amp;" "&amp;Milestones!$AB$79&amp;" "&amp;Milestones!$AC$79&amp;";  ",""))</f>
        <v/>
      </c>
      <c r="K133" s="0" t="str">
        <f aca="false">IF(OR($A133="",$D133=""),"",IF(AND(EDATE($D133,Milestones!$AA$80)&lt;=AsOfDate,IF($Q133=0,$W133,IF(AND($S133&lt;&gt;"",EDATE($D133,Milestones!$AA$80)&gt;=$S133),$V133,IF(AND($R133&lt;&gt;"",EDATE($D133,Milestones!$AA$80)&gt;=$R133),$U133,$T133)))=Milestones!$AB$80),TEXT(EDATE($D133,Milestones!$AA$80),"dd/mm/yy")&amp;" "&amp;Milestones!$AB$80&amp;" "&amp;Milestones!$AC$80&amp;";  ","")&amp;IF(AND(EDATE($D133,Milestones!$AA$81)&lt;=AsOfDate,IF($Q133=0,$W133,IF(AND($S133&lt;&gt;"",EDATE($D133,Milestones!$AA$81)&gt;=$S133),$V133,IF(AND($R133&lt;&gt;"",EDATE($D133,Milestones!$AA$81)&gt;=$R133),$U133,$T133)))=Milestones!$AB$81),TEXT(EDATE($D133,Milestones!$AA$81),"dd/mm/yy")&amp;" "&amp;Milestones!$AB$81&amp;" "&amp;Milestones!$AC$81&amp;";  ","")&amp;IF(AND(EDATE($D133,Milestones!$AA$82)&lt;=AsOfDate,IF($Q133=0,$W133,IF(AND($S133&lt;&gt;"",EDATE($D133,Milestones!$AA$82)&gt;=$S133),$V133,IF(AND($R133&lt;&gt;"",EDATE($D133,Milestones!$AA$82)&gt;=$R133),$U133,$T133)))=Milestones!$AB$82),TEXT(EDATE($D133,Milestones!$AA$82),"dd/mm/yy")&amp;" "&amp;Milestones!$AB$82&amp;" "&amp;Milestones!$AC$82&amp;";  ","")&amp;IF(AND(EDATE($D133,Milestones!$AA$83)&lt;=AsOfDate,IF($Q133=0,$W133,IF(AND($S133&lt;&gt;"",EDATE($D133,Milestones!$AA$83)&gt;=$S133),$V133,IF(AND($R133&lt;&gt;"",EDATE($D133,Milestones!$AA$83)&gt;=$R133),$U133,$T133)))=Milestones!$AB$83),TEXT(EDATE($D133,Milestones!$AA$83),"dd/mm/yy")&amp;" "&amp;Milestones!$AB$83&amp;" "&amp;Milestones!$AC$83&amp;";  ","")&amp;IF(AND(EDATE($D133,Milestones!$AA$84)&lt;=AsOfDate,IF($Q133=0,$W133,IF(AND($S133&lt;&gt;"",EDATE($D133,Milestones!$AA$84)&gt;=$S133),$V133,IF(AND($R133&lt;&gt;"",EDATE($D133,Milestones!$AA$84)&gt;=$R133),$U133,$T133)))=Milestones!$AB$84),TEXT(EDATE($D133,Milestones!$AA$84),"dd/mm/yy")&amp;" "&amp;Milestones!$AB$84&amp;" "&amp;Milestones!$AC$84&amp;";  ","")&amp;IF(AND(EDATE($D133,Milestones!$AA$85)&lt;=AsOfDate,IF($Q133=0,$W133,IF(AND($S133&lt;&gt;"",EDATE($D133,Milestones!$AA$85)&gt;=$S133),$V133,IF(AND($R133&lt;&gt;"",EDATE($D133,Milestones!$AA$85)&gt;=$R133),$U133,$T133)))=Milestones!$AB$85),TEXT(EDATE($D133,Milestones!$AA$85),"dd/mm/yy")&amp;" "&amp;Milestones!$AB$85&amp;" "&amp;Milestones!$AC$85&amp;";  ","")&amp;IF(AND(EDATE($D133,Milestones!$AA$86)&lt;=AsOfDate,IF($Q133=0,$W133,IF(AND($S133&lt;&gt;"",EDATE($D133,Milestones!$AA$86)&gt;=$S133),$V133,IF(AND($R133&lt;&gt;"",EDATE($D133,Milestones!$AA$86)&gt;=$R133),$U133,$T133)))=Milestones!$AB$86),TEXT(EDATE($D133,Milestones!$AA$86),"dd/mm/yy")&amp;" "&amp;Milestones!$AB$86&amp;" "&amp;Milestones!$AC$86&amp;";  ","")&amp;IF(AND(EDATE($D133,Milestones!$AA$87)&lt;=AsOfDate,IF($Q133=0,$W133,IF(AND($S133&lt;&gt;"",EDATE($D133,Milestones!$AA$87)&gt;=$S133),$V133,IF(AND($R133&lt;&gt;"",EDATE($D133,Milestones!$AA$87)&gt;=$R133),$U133,$T133)))=Milestones!$AB$87),TEXT(EDATE($D133,Milestones!$AA$87),"dd/mm/yy")&amp;" "&amp;Milestones!$AB$87&amp;" "&amp;Milestones!$AC$87&amp;";  ","")&amp;IF(AND(EDATE($D133,Milestones!$AA$88)&lt;=AsOfDate,IF($Q133=0,$W133,IF(AND($S133&lt;&gt;"",EDATE($D133,Milestones!$AA$88)&gt;=$S133),$V133,IF(AND($R133&lt;&gt;"",EDATE($D133,Milestones!$AA$88)&gt;=$R133),$U133,$T133)))=Milestones!$AB$88),TEXT(EDATE($D133,Milestones!$AA$88),"dd/mm/yy")&amp;" "&amp;Milestones!$AB$88&amp;" "&amp;Milestones!$AC$88&amp;";  ","")&amp;IF(AND(EDATE($D133,Milestones!$AA$89)&lt;=AsOfDate,IF($Q133=0,$W133,IF(AND($S133&lt;&gt;"",EDATE($D133,Milestones!$AA$89)&gt;=$S133),$V133,IF(AND($R133&lt;&gt;"",EDATE($D133,Milestones!$AA$89)&gt;=$R133),$U133,$T133)))=Milestones!$AB$89),TEXT(EDATE($D133,Milestones!$AA$89),"dd/mm/yy")&amp;" "&amp;Milestones!$AB$89&amp;" "&amp;Milestones!$AC$89&amp;";  ","")&amp;IF(AND(EDATE($D133,Milestones!$AA$90)&lt;=AsOfDate,IF($Q133=0,$W133,IF(AND($S133&lt;&gt;"",EDATE($D133,Milestones!$AA$90)&gt;=$S133),$V133,IF(AND($R133&lt;&gt;"",EDATE($D133,Milestones!$AA$90)&gt;=$R133),$U133,$T133)))=Milestones!$AB$90),TEXT(EDATE($D133,Milestones!$AA$90),"dd/mm/yy")&amp;" "&amp;Milestones!$AB$90&amp;" "&amp;Milestones!$AC$90&amp;";  ","")&amp;IF(AND(EDATE($D133,Milestones!$AA$91)&lt;=AsOfDate,IF($Q133=0,$W133,IF(AND($S133&lt;&gt;"",EDATE($D133,Milestones!$AA$91)&gt;=$S133),$V133,IF(AND($R133&lt;&gt;"",EDATE($D133,Milestones!$AA$91)&gt;=$R133),$U133,$T133)))=Milestones!$AB$91),TEXT(EDATE($D133,Milestones!$AA$91),"dd/mm/yy")&amp;" "&amp;Milestones!$AB$91&amp;" "&amp;Milestones!$AC$91&amp;";  ","")&amp;IF(AND(EDATE($D133,Milestones!$AA$92)&lt;=AsOfDate,IF($Q133=0,$W133,IF(AND($S133&lt;&gt;"",EDATE($D133,Milestones!$AA$92)&gt;=$S133),$V133,IF(AND($R133&lt;&gt;"",EDATE($D133,Milestones!$AA$92)&gt;=$R133),$U133,$T133)))=Milestones!$AB$92),TEXT(EDATE($D133,Milestones!$AA$92),"dd/mm/yy")&amp;" "&amp;Milestones!$AB$92&amp;" "&amp;Milestones!$AC$92&amp;";  ","")&amp;IF(AND(EDATE($D133,Milestones!$AA$93)&lt;=AsOfDate,IF($Q133=0,$W133,IF(AND($S133&lt;&gt;"",EDATE($D133,Milestones!$AA$93)&gt;=$S133),$V133,IF(AND($R133&lt;&gt;"",EDATE($D133,Milestones!$AA$93)&gt;=$R133),$U133,$T133)))=Milestones!$AB$93),TEXT(EDATE($D133,Milestones!$AA$93),"dd/mm/yy")&amp;" "&amp;Milestones!$AB$93&amp;" "&amp;Milestones!$AC$93&amp;";  ","")&amp;IF(AND(EDATE($D133,Milestones!$AA$94)&lt;=AsOfDate,IF($Q133=0,$W133,IF(AND($S133&lt;&gt;"",EDATE($D133,Milestones!$AA$94)&gt;=$S133),$V133,IF(AND($R133&lt;&gt;"",EDATE($D133,Milestones!$AA$94)&gt;=$R133),$U133,$T133)))=Milestones!$AB$94),TEXT(EDATE($D133,Milestones!$AA$94),"dd/mm/yy")&amp;" "&amp;Milestones!$AB$94&amp;" "&amp;Milestones!$AC$94&amp;";  ","")&amp;IF(AND(EDATE($D133,Milestones!$AA$95)&lt;=AsOfDate,IF($Q133=0,$W133,IF(AND($S133&lt;&gt;"",EDATE($D133,Milestones!$AA$95)&gt;=$S133),$V133,IF(AND($R133&lt;&gt;"",EDATE($D133,Milestones!$AA$95)&gt;=$R133),$U133,$T133)))=Milestones!$AB$95),TEXT(EDATE($D133,Milestones!$AA$95),"dd/mm/yy")&amp;" "&amp;Milestones!$AB$95&amp;" "&amp;Milestones!$AC$95&amp;";  ","")&amp;IF(AND(EDATE($D133,Milestones!$AA$96)&lt;=AsOfDate,IF($Q133=0,$W133,IF(AND($S133&lt;&gt;"",EDATE($D133,Milestones!$AA$96)&gt;=$S133),$V133,IF(AND($R133&lt;&gt;"",EDATE($D133,Milestones!$AA$96)&gt;=$R133),$U133,$T133)))=Milestones!$AB$96),TEXT(EDATE($D133,Milestones!$AA$96),"dd/mm/yy")&amp;" "&amp;Milestones!$AB$96&amp;" "&amp;Milestones!$AC$96&amp;";  ","")&amp;IF(AND(EDATE($D133,Milestones!$AA$97)&lt;=AsOfDate,IF($Q133=0,$W133,IF(AND($S133&lt;&gt;"",EDATE($D133,Milestones!$AA$97)&gt;=$S133),$V133,IF(AND($R133&lt;&gt;"",EDATE($D133,Milestones!$AA$97)&gt;=$R133),$U133,$T133)))=Milestones!$AB$97),TEXT(EDATE($D133,Milestones!$AA$97),"dd/mm/yy")&amp;" "&amp;Milestones!$AB$97&amp;" "&amp;Milestones!$AC$97&amp;";  ","")&amp;IF(AND(EDATE($D133,Milestones!$AA$98)&lt;=AsOfDate,IF($Q133=0,$W133,IF(AND($S133&lt;&gt;"",EDATE($D133,Milestones!$AA$98)&gt;=$S133),$V133,IF(AND($R133&lt;&gt;"",EDATE($D133,Milestones!$AA$98)&gt;=$R133),$U133,$T133)))=Milestones!$AB$98),TEXT(EDATE($D133,Milestones!$AA$98),"dd/mm/yy")&amp;" "&amp;Milestones!$AB$98&amp;" "&amp;Milestones!$AC$98&amp;";  ","")&amp;IF(AND(EDATE($D133,Milestones!$AA$99)&lt;=AsOfDate,IF($Q133=0,$W133,IF(AND($S133&lt;&gt;"",EDATE($D133,Milestones!$AA$99)&gt;=$S133),$V133,IF(AND($R133&lt;&gt;"",EDATE($D133,Milestones!$AA$99)&gt;=$R133),$U133,$T133)))=Milestones!$AB$99),TEXT(EDATE($D133,Milestones!$AA$99),"dd/mm/yy")&amp;" "&amp;Milestones!$AB$99&amp;" "&amp;Milestones!$AC$99&amp;";  ",""))</f>
        <v/>
      </c>
      <c r="L133" s="0" t="str">
        <f aca="false">IF(OR($A133="",$D133=""),"",IF(AND(EDATE($D133,Milestones!$AA$100)&lt;=AsOfDate,IF($Q133=0,$W133,IF(AND($S133&lt;&gt;"",EDATE($D133,Milestones!$AA$100)&gt;=$S133),$V133,IF(AND($R133&lt;&gt;"",EDATE($D133,Milestones!$AA$100)&gt;=$R133),$U133,$T133)))=Milestones!$AB$100),TEXT(EDATE($D133,Milestones!$AA$100),"dd/mm/yy")&amp;" "&amp;Milestones!$AB$100&amp;" "&amp;Milestones!$AC$100&amp;";  ","")&amp;IF(AND(EDATE($D133,Milestones!$AA$101)&lt;=AsOfDate,IF($Q133=0,$W133,IF(AND($S133&lt;&gt;"",EDATE($D133,Milestones!$AA$101)&gt;=$S133),$V133,IF(AND($R133&lt;&gt;"",EDATE($D133,Milestones!$AA$101)&gt;=$R133),$U133,$T133)))=Milestones!$AB$101),TEXT(EDATE($D133,Milestones!$AA$101),"dd/mm/yy")&amp;" "&amp;Milestones!$AB$101&amp;" "&amp;Milestones!$AC$101&amp;";  ","")&amp;IF(AND(EDATE($D133,Milestones!$AA$102)&lt;=AsOfDate,IF($Q133=0,$W133,IF(AND($S133&lt;&gt;"",EDATE($D133,Milestones!$AA$102)&gt;=$S133),$V133,IF(AND($R133&lt;&gt;"",EDATE($D133,Milestones!$AA$102)&gt;=$R133),$U133,$T133)))=Milestones!$AB$102),TEXT(EDATE($D133,Milestones!$AA$102),"dd/mm/yy")&amp;" "&amp;Milestones!$AB$102&amp;" "&amp;Milestones!$AC$102&amp;";  ","")&amp;IF(AND(EDATE($D133,Milestones!$AA$103)&lt;=AsOfDate,IF($Q133=0,$W133,IF(AND($S133&lt;&gt;"",EDATE($D133,Milestones!$AA$103)&gt;=$S133),$V133,IF(AND($R133&lt;&gt;"",EDATE($D133,Milestones!$AA$103)&gt;=$R133),$U133,$T133)))=Milestones!$AB$103),TEXT(EDATE($D133,Milestones!$AA$103),"dd/mm/yy")&amp;" "&amp;Milestones!$AB$103&amp;" "&amp;Milestones!$AC$103&amp;";  ","")&amp;IF(AND(EDATE($D133,Milestones!$AA$104)&lt;=AsOfDate,IF($Q133=0,$W133,IF(AND($S133&lt;&gt;"",EDATE($D133,Milestones!$AA$104)&gt;=$S133),$V133,IF(AND($R133&lt;&gt;"",EDATE($D133,Milestones!$AA$104)&gt;=$R133),$U133,$T133)))=Milestones!$AB$104),TEXT(EDATE($D133,Milestones!$AA$104),"dd/mm/yy")&amp;" "&amp;Milestones!$AB$104&amp;" "&amp;Milestones!$AC$104&amp;";  ","")&amp;IF(AND(EDATE($D133,Milestones!$AA$105)&lt;=AsOfDate,IF($Q133=0,$W133,IF(AND($S133&lt;&gt;"",EDATE($D133,Milestones!$AA$105)&gt;=$S133),$V133,IF(AND($R133&lt;&gt;"",EDATE($D133,Milestones!$AA$105)&gt;=$R133),$U133,$T133)))=Milestones!$AB$105),TEXT(EDATE($D133,Milestones!$AA$105),"dd/mm/yy")&amp;" "&amp;Milestones!$AB$105&amp;" "&amp;Milestones!$AC$105&amp;";  ","")&amp;IF(AND(EDATE($D133,Milestones!$AA$106)&lt;=AsOfDate,IF($Q133=0,$W133,IF(AND($S133&lt;&gt;"",EDATE($D133,Milestones!$AA$106)&gt;=$S133),$V133,IF(AND($R133&lt;&gt;"",EDATE($D133,Milestones!$AA$106)&gt;=$R133),$U133,$T133)))=Milestones!$AB$106),TEXT(EDATE($D133,Milestones!$AA$106),"dd/mm/yy")&amp;" "&amp;Milestones!$AB$106&amp;" "&amp;Milestones!$AC$106&amp;";  ","")&amp;IF(AND(EDATE($D133,Milestones!$AA$107)&lt;=AsOfDate,IF($Q133=0,$W133,IF(AND($S133&lt;&gt;"",EDATE($D133,Milestones!$AA$107)&gt;=$S133),$V133,IF(AND($R133&lt;&gt;"",EDATE($D133,Milestones!$AA$107)&gt;=$R133),$U133,$T133)))=Milestones!$AB$107),TEXT(EDATE($D133,Milestones!$AA$107),"dd/mm/yy")&amp;" "&amp;Milestones!$AB$107&amp;" "&amp;Milestones!$AC$107&amp;";  ","")&amp;IF(AND(EDATE($D133,Milestones!$AA$108)&lt;=AsOfDate,IF($Q133=0,$W133,IF(AND($S133&lt;&gt;"",EDATE($D133,Milestones!$AA$108)&gt;=$S133),$V133,IF(AND($R133&lt;&gt;"",EDATE($D133,Milestones!$AA$108)&gt;=$R133),$U133,$T133)))=Milestones!$AB$108),TEXT(EDATE($D133,Milestones!$AA$108),"dd/mm/yy")&amp;" "&amp;Milestones!$AB$108&amp;" "&amp;Milestones!$AC$108&amp;";  ","")&amp;IF(AND(EDATE($D133,Milestones!$AA$109)&lt;=AsOfDate,IF($Q133=0,$W133,IF(AND($S133&lt;&gt;"",EDATE($D133,Milestones!$AA$109)&gt;=$S133),$V133,IF(AND($R133&lt;&gt;"",EDATE($D133,Milestones!$AA$109)&gt;=$R133),$U133,$T133)))=Milestones!$AB$109),TEXT(EDATE($D133,Milestones!$AA$109),"dd/mm/yy")&amp;" "&amp;Milestones!$AB$109&amp;" "&amp;Milestones!$AC$109&amp;";  ","")&amp;IF(AND(EDATE($D133,Milestones!$AA$110)&lt;=AsOfDate,IF($Q133=0,$W133,IF(AND($S133&lt;&gt;"",EDATE($D133,Milestones!$AA$110)&gt;=$S133),$V133,IF(AND($R133&lt;&gt;"",EDATE($D133,Milestones!$AA$110)&gt;=$R133),$U133,$T133)))=Milestones!$AB$110),TEXT(EDATE($D133,Milestones!$AA$110),"dd/mm/yy")&amp;" "&amp;Milestones!$AB$110&amp;" "&amp;Milestones!$AC$110&amp;";  ","")&amp;IF(AND(EDATE($D133,Milestones!$AA$111)&lt;=AsOfDate,IF($Q133=0,$W133,IF(AND($S133&lt;&gt;"",EDATE($D133,Milestones!$AA$111)&gt;=$S133),$V133,IF(AND($R133&lt;&gt;"",EDATE($D133,Milestones!$AA$111)&gt;=$R133),$U133,$T133)))=Milestones!$AB$111),TEXT(EDATE($D133,Milestones!$AA$111),"dd/mm/yy")&amp;" "&amp;Milestones!$AB$111&amp;" "&amp;Milestones!$AC$111&amp;";  ","")&amp;IF(AND(EDATE($D133,Milestones!$AA$112)&lt;=AsOfDate,IF($Q133=0,$W133,IF(AND($S133&lt;&gt;"",EDATE($D133,Milestones!$AA$112)&gt;=$S133),$V133,IF(AND($R133&lt;&gt;"",EDATE($D133,Milestones!$AA$112)&gt;=$R133),$U133,$T133)))=Milestones!$AB$112),TEXT(EDATE($D133,Milestones!$AA$112),"dd/mm/yy")&amp;" "&amp;Milestones!$AB$112&amp;" "&amp;Milestones!$AC$112&amp;";  ","")&amp;IF(AND(EDATE($D133,Milestones!$AA$113)&lt;=AsOfDate,IF($Q133=0,$W133,IF(AND($S133&lt;&gt;"",EDATE($D133,Milestones!$AA$113)&gt;=$S133),$V133,IF(AND($R133&lt;&gt;"",EDATE($D133,Milestones!$AA$113)&gt;=$R133),$U133,$T133)))=Milestones!$AB$113),TEXT(EDATE($D133,Milestones!$AA$113),"dd/mm/yy")&amp;" "&amp;Milestones!$AB$113&amp;" "&amp;Milestones!$AC$113&amp;";  ","")&amp;IF(AND(EDATE($D133,Milestones!$AA$114)&lt;=AsOfDate,IF($Q133=0,$W133,IF(AND($S133&lt;&gt;"",EDATE($D133,Milestones!$AA$114)&gt;=$S133),$V133,IF(AND($R133&lt;&gt;"",EDATE($D133,Milestones!$AA$114)&gt;=$R133),$U133,$T133)))=Milestones!$AB$114),TEXT(EDATE($D133,Milestones!$AA$114),"dd/mm/yy")&amp;" "&amp;Milestones!$AB$114&amp;" "&amp;Milestones!$AC$114&amp;";  ","")&amp;IF(AND(EDATE($D133,Milestones!$AA$115)&lt;=AsOfDate,IF($Q133=0,$W133,IF(AND($S133&lt;&gt;"",EDATE($D133,Milestones!$AA$115)&gt;=$S133),$V133,IF(AND($R133&lt;&gt;"",EDATE($D133,Milestones!$AA$115)&gt;=$R133),$U133,$T133)))=Milestones!$AB$115),TEXT(EDATE($D133,Milestones!$AA$115),"dd/mm/yy")&amp;" "&amp;Milestones!$AB$115&amp;" "&amp;Milestones!$AC$115&amp;";  ","")&amp;IF(AND(EDATE($D133,Milestones!$AA$116)&lt;=AsOfDate,IF($Q133=0,$W133,IF(AND($S133&lt;&gt;"",EDATE($D133,Milestones!$AA$116)&gt;=$S133),$V133,IF(AND($R133&lt;&gt;"",EDATE($D133,Milestones!$AA$116)&gt;=$R133),$U133,$T133)))=Milestones!$AB$116),TEXT(EDATE($D133,Milestones!$AA$116),"dd/mm/yy")&amp;" "&amp;Milestones!$AB$116&amp;" "&amp;Milestones!$AC$116&amp;";  ","")&amp;IF(AND(EDATE($D133,Milestones!$AA$117)&lt;=AsOfDate,IF($Q133=0,$W133,IF(AND($S133&lt;&gt;"",EDATE($D133,Milestones!$AA$117)&gt;=$S133),$V133,IF(AND($R133&lt;&gt;"",EDATE($D133,Milestones!$AA$117)&gt;=$R133),$U133,$T133)))=Milestones!$AB$117),TEXT(EDATE($D133,Milestones!$AA$117),"dd/mm/yy")&amp;" "&amp;Milestones!$AB$117&amp;" "&amp;Milestones!$AC$117&amp;";  ","")&amp;IF(AND(EDATE($D133,Milestones!$AA$118)&lt;=AsOfDate,IF($Q133=0,$W133,IF(AND($S133&lt;&gt;"",EDATE($D133,Milestones!$AA$118)&gt;=$S133),$V133,IF(AND($R133&lt;&gt;"",EDATE($D133,Milestones!$AA$118)&gt;=$R133),$U133,$T133)))=Milestones!$AB$118),TEXT(EDATE($D133,Milestones!$AA$118),"dd/mm/yy")&amp;" "&amp;Milestones!$AB$118&amp;" "&amp;Milestones!$AC$118&amp;";  ","")&amp;IF(AND(EDATE($D133,Milestones!$AA$119)&lt;=AsOfDate,IF($Q133=0,$W133,IF(AND($S133&lt;&gt;"",EDATE($D133,Milestones!$AA$119)&gt;=$S133),$V133,IF(AND($R133&lt;&gt;"",EDATE($D133,Milestones!$AA$119)&gt;=$R133),$U133,$T133)))=Milestones!$AB$119),TEXT(EDATE($D133,Milestones!$AA$119),"dd/mm/yy")&amp;" "&amp;Milestones!$AB$119&amp;" "&amp;Milestones!$AC$119&amp;";  ",""))</f>
        <v/>
      </c>
      <c r="M133" s="0" t="str">
        <f aca="false">IF(OR($A133="",$D133=""),"",IF(AND(EDATE($D133,Milestones!$AA$120)&lt;=AsOfDate,IF($Q133=0,$W133,IF(AND($S133&lt;&gt;"",EDATE($D133,Milestones!$AA$120)&gt;=$S133),$V133,IF(AND($R133&lt;&gt;"",EDATE($D133,Milestones!$AA$120)&gt;=$R133),$U133,$T133)))=Milestones!$AB$120),TEXT(EDATE($D133,Milestones!$AA$120),"dd/mm/yy")&amp;" "&amp;Milestones!$AB$120&amp;" "&amp;Milestones!$AC$120&amp;";  ","")&amp;IF(AND(EDATE($D133,Milestones!$AA$121)&lt;=AsOfDate,IF($Q133=0,$W133,IF(AND($S133&lt;&gt;"",EDATE($D133,Milestones!$AA$121)&gt;=$S133),$V133,IF(AND($R133&lt;&gt;"",EDATE($D133,Milestones!$AA$121)&gt;=$R133),$U133,$T133)))=Milestones!$AB$121),TEXT(EDATE($D133,Milestones!$AA$121),"dd/mm/yy")&amp;" "&amp;Milestones!$AB$121&amp;" "&amp;Milestones!$AC$121&amp;";  ","")&amp;IF(AND(EDATE($D133,Milestones!$AA$122)&lt;=AsOfDate,IF($Q133=0,$W133,IF(AND($S133&lt;&gt;"",EDATE($D133,Milestones!$AA$122)&gt;=$S133),$V133,IF(AND($R133&lt;&gt;"",EDATE($D133,Milestones!$AA$122)&gt;=$R133),$U133,$T133)))=Milestones!$AB$122),TEXT(EDATE($D133,Milestones!$AA$122),"dd/mm/yy")&amp;" "&amp;Milestones!$AB$122&amp;" "&amp;Milestones!$AC$122&amp;";  ","")&amp;IF(AND(EDATE($D133,Milestones!$AA$123)&lt;=AsOfDate,IF($Q133=0,$W133,IF(AND($S133&lt;&gt;"",EDATE($D133,Milestones!$AA$123)&gt;=$S133),$V133,IF(AND($R133&lt;&gt;"",EDATE($D133,Milestones!$AA$123)&gt;=$R133),$U133,$T133)))=Milestones!$AB$123),TEXT(EDATE($D133,Milestones!$AA$123),"dd/mm/yy")&amp;" "&amp;Milestones!$AB$123&amp;" "&amp;Milestones!$AC$123&amp;";  ","")&amp;IF(AND(EDATE($D133,Milestones!$AA$124)&lt;=AsOfDate,IF($Q133=0,$W133,IF(AND($S133&lt;&gt;"",EDATE($D133,Milestones!$AA$124)&gt;=$S133),$V133,IF(AND($R133&lt;&gt;"",EDATE($D133,Milestones!$AA$124)&gt;=$R133),$U133,$T133)))=Milestones!$AB$124),TEXT(EDATE($D133,Milestones!$AA$124),"dd/mm/yy")&amp;" "&amp;Milestones!$AB$124&amp;" "&amp;Milestones!$AC$124&amp;";  ","")&amp;IF(AND(EDATE($D133,Milestones!$AA$125)&lt;=AsOfDate,IF($Q133=0,$W133,IF(AND($S133&lt;&gt;"",EDATE($D133,Milestones!$AA$125)&gt;=$S133),$V133,IF(AND($R133&lt;&gt;"",EDATE($D133,Milestones!$AA$125)&gt;=$R133),$U133,$T133)))=Milestones!$AB$125),TEXT(EDATE($D133,Milestones!$AA$125),"dd/mm/yy")&amp;" "&amp;Milestones!$AB$125&amp;" "&amp;Milestones!$AC$125&amp;";  ","")&amp;IF(AND(EDATE($D133,Milestones!$AA$126)&lt;=AsOfDate,IF($Q133=0,$W133,IF(AND($S133&lt;&gt;"",EDATE($D133,Milestones!$AA$126)&gt;=$S133),$V133,IF(AND($R133&lt;&gt;"",EDATE($D133,Milestones!$AA$126)&gt;=$R133),$U133,$T133)))=Milestones!$AB$126),TEXT(EDATE($D133,Milestones!$AA$126),"dd/mm/yy")&amp;" "&amp;Milestones!$AB$126&amp;" "&amp;Milestones!$AC$126&amp;";  ","")&amp;IF(AND(EDATE($D133,Milestones!$AA$127)&lt;=AsOfDate,IF($Q133=0,$W133,IF(AND($S133&lt;&gt;"",EDATE($D133,Milestones!$AA$127)&gt;=$S133),$V133,IF(AND($R133&lt;&gt;"",EDATE($D133,Milestones!$AA$127)&gt;=$R133),$U133,$T133)))=Milestones!$AB$127),TEXT(EDATE($D133,Milestones!$AA$127),"dd/mm/yy")&amp;" "&amp;Milestones!$AB$127&amp;" "&amp;Milestones!$AC$127&amp;";  ","")&amp;IF(AND(EDATE($D133,Milestones!$AA$128)&lt;=AsOfDate,IF($Q133=0,$W133,IF(AND($S133&lt;&gt;"",EDATE($D133,Milestones!$AA$128)&gt;=$S133),$V133,IF(AND($R133&lt;&gt;"",EDATE($D133,Milestones!$AA$128)&gt;=$R133),$U133,$T133)))=Milestones!$AB$128),TEXT(EDATE($D133,Milestones!$AA$128),"dd/mm/yy")&amp;" "&amp;Milestones!$AB$128&amp;" "&amp;Milestones!$AC$128&amp;";  ","")&amp;IF(AND(EDATE($D133,Milestones!$AA$129)&lt;=AsOfDate,IF($Q133=0,$W133,IF(AND($S133&lt;&gt;"",EDATE($D133,Milestones!$AA$129)&gt;=$S133),$V133,IF(AND($R133&lt;&gt;"",EDATE($D133,Milestones!$AA$129)&gt;=$R133),$U133,$T133)))=Milestones!$AB$129),TEXT(EDATE($D133,Milestones!$AA$129),"dd/mm/yy")&amp;" "&amp;Milestones!$AB$129&amp;" "&amp;Milestones!$AC$129&amp;";  ","")&amp;IF(AND(EDATE($D133,Milestones!$AA$130)&lt;=AsOfDate,IF($Q133=0,$W133,IF(AND($S133&lt;&gt;"",EDATE($D133,Milestones!$AA$130)&gt;=$S133),$V133,IF(AND($R133&lt;&gt;"",EDATE($D133,Milestones!$AA$130)&gt;=$R133),$U133,$T133)))=Milestones!$AB$130),TEXT(EDATE($D133,Milestones!$AA$130),"dd/mm/yy")&amp;" "&amp;Milestones!$AB$130&amp;" "&amp;Milestones!$AC$130&amp;";  ","")&amp;IF(AND(EDATE($D133,Milestones!$AA$131)&lt;=AsOfDate,IF($Q133=0,$W133,IF(AND($S133&lt;&gt;"",EDATE($D133,Milestones!$AA$131)&gt;=$S133),$V133,IF(AND($R133&lt;&gt;"",EDATE($D133,Milestones!$AA$131)&gt;=$R133),$U133,$T133)))=Milestones!$AB$131),TEXT(EDATE($D133,Milestones!$AA$131),"dd/mm/yy")&amp;" "&amp;Milestones!$AB$131&amp;" "&amp;Milestones!$AC$131&amp;";  ","")&amp;IF(AND(EDATE($D133,Milestones!$AA$132)&lt;=AsOfDate,IF($Q133=0,$W133,IF(AND($S133&lt;&gt;"",EDATE($D133,Milestones!$AA$132)&gt;=$S133),$V133,IF(AND($R133&lt;&gt;"",EDATE($D133,Milestones!$AA$132)&gt;=$R133),$U133,$T133)))=Milestones!$AB$132),TEXT(EDATE($D133,Milestones!$AA$132),"dd/mm/yy")&amp;" "&amp;Milestones!$AB$132&amp;" "&amp;Milestones!$AC$132&amp;";  ","")&amp;IF(AND(EDATE($D133,Milestones!$AA$133)&lt;=AsOfDate,IF($Q133=0,$W133,IF(AND($S133&lt;&gt;"",EDATE($D133,Milestones!$AA$133)&gt;=$S133),$V133,IF(AND($R133&lt;&gt;"",EDATE($D133,Milestones!$AA$133)&gt;=$R133),$U133,$T133)))=Milestones!$AB$133),TEXT(EDATE($D133,Milestones!$AA$133),"dd/mm/yy")&amp;" "&amp;Milestones!$AB$133&amp;" "&amp;Milestones!$AC$133&amp;";  ","")&amp;IF(AND(EDATE($D133,Milestones!$AA$134)&lt;=AsOfDate,IF($Q133=0,$W133,IF(AND($S133&lt;&gt;"",EDATE($D133,Milestones!$AA$134)&gt;=$S133),$V133,IF(AND($R133&lt;&gt;"",EDATE($D133,Milestones!$AA$134)&gt;=$R133),$U133,$T133)))=Milestones!$AB$134),TEXT(EDATE($D133,Milestones!$AA$134),"dd/mm/yy")&amp;" "&amp;Milestones!$AB$134&amp;" "&amp;Milestones!$AC$134&amp;";  ","")&amp;IF(AND(EDATE($D133,Milestones!$AA$135)&lt;=AsOfDate,IF($Q133=0,$W133,IF(AND($S133&lt;&gt;"",EDATE($D133,Milestones!$AA$135)&gt;=$S133),$V133,IF(AND($R133&lt;&gt;"",EDATE($D133,Milestones!$AA$135)&gt;=$R133),$U133,$T133)))=Milestones!$AB$135),TEXT(EDATE($D133,Milestones!$AA$135),"dd/mm/yy")&amp;" "&amp;Milestones!$AB$135&amp;" "&amp;Milestones!$AC$135&amp;";  ","")&amp;IF(AND(EDATE($D133,Milestones!$AA$136)&lt;=AsOfDate,IF($Q133=0,$W133,IF(AND($S133&lt;&gt;"",EDATE($D133,Milestones!$AA$136)&gt;=$S133),$V133,IF(AND($R133&lt;&gt;"",EDATE($D133,Milestones!$AA$136)&gt;=$R133),$U133,$T133)))=Milestones!$AB$136),TEXT(EDATE($D133,Milestones!$AA$136),"dd/mm/yy")&amp;" "&amp;Milestones!$AB$136&amp;" "&amp;Milestones!$AC$136&amp;";  ","")&amp;IF(AND(EDATE($D133,Milestones!$AA$137)&lt;=AsOfDate,IF($Q133=0,$W133,IF(AND($S133&lt;&gt;"",EDATE($D133,Milestones!$AA$137)&gt;=$S133),$V133,IF(AND($R133&lt;&gt;"",EDATE($D133,Milestones!$AA$137)&gt;=$R133),$U133,$T133)))=Milestones!$AB$137),TEXT(EDATE($D133,Milestones!$AA$137),"dd/mm/yy")&amp;" "&amp;Milestones!$AB$137&amp;" "&amp;Milestones!$AC$137&amp;";  ","")&amp;IF(AND(EDATE($D133,Milestones!$AA$138)&lt;=AsOfDate,IF($Q133=0,$W133,IF(AND($S133&lt;&gt;"",EDATE($D133,Milestones!$AA$138)&gt;=$S133),$V133,IF(AND($R133&lt;&gt;"",EDATE($D133,Milestones!$AA$138)&gt;=$R133),$U133,$T133)))=Milestones!$AB$138),TEXT(EDATE($D133,Milestones!$AA$138),"dd/mm/yy")&amp;" "&amp;Milestones!$AB$138&amp;" "&amp;Milestones!$AC$138&amp;";  ","")&amp;IF(AND(EDATE($D133,Milestones!$AA$139)&lt;=AsOfDate,IF($Q133=0,$W133,IF(AND($S133&lt;&gt;"",EDATE($D133,Milestones!$AA$139)&gt;=$S133),$V133,IF(AND($R133&lt;&gt;"",EDATE($D133,Milestones!$AA$139)&gt;=$R133),$U133,$T133)))=Milestones!$AB$139),TEXT(EDATE($D133,Milestones!$AA$139),"dd/mm/yy")&amp;" "&amp;Milestones!$AB$139&amp;" "&amp;Milestones!$AC$139&amp;";  ",""))</f>
        <v/>
      </c>
      <c r="N133" s="0" t="str">
        <f aca="false">IF(OR($A133="",$D133=""),"",IF(AND(EDATE($D133,Milestones!$AA$140)&lt;=AsOfDate,IF($Q133=0,$W133,IF(AND($S133&lt;&gt;"",EDATE($D133,Milestones!$AA$140)&gt;=$S133),$V133,IF(AND($R133&lt;&gt;"",EDATE($D133,Milestones!$AA$140)&gt;=$R133),$U133,$T133)))=Milestones!$AB$140),TEXT(EDATE($D133,Milestones!$AA$140),"dd/mm/yy")&amp;" "&amp;Milestones!$AB$140&amp;" "&amp;Milestones!$AC$140&amp;";  ","")&amp;IF(AND(EDATE($D133,Milestones!$AA$141)&lt;=AsOfDate,IF($Q133=0,$W133,IF(AND($S133&lt;&gt;"",EDATE($D133,Milestones!$AA$141)&gt;=$S133),$V133,IF(AND($R133&lt;&gt;"",EDATE($D133,Milestones!$AA$141)&gt;=$R133),$U133,$T133)))=Milestones!$AB$141),TEXT(EDATE($D133,Milestones!$AA$141),"dd/mm/yy")&amp;" "&amp;Milestones!$AB$141&amp;" "&amp;Milestones!$AC$141&amp;";  ","")&amp;IF(AND(EDATE($D133,Milestones!$AA$142)&lt;=AsOfDate,IF($Q133=0,$W133,IF(AND($S133&lt;&gt;"",EDATE($D133,Milestones!$AA$142)&gt;=$S133),$V133,IF(AND($R133&lt;&gt;"",EDATE($D133,Milestones!$AA$142)&gt;=$R133),$U133,$T133)))=Milestones!$AB$142),TEXT(EDATE($D133,Milestones!$AA$142),"dd/mm/yy")&amp;" "&amp;Milestones!$AB$142&amp;" "&amp;Milestones!$AC$142&amp;";  ","")&amp;IF(AND(EDATE($D133,Milestones!$AA$143)&lt;=AsOfDate,IF($Q133=0,$W133,IF(AND($S133&lt;&gt;"",EDATE($D133,Milestones!$AA$143)&gt;=$S133),$V133,IF(AND($R133&lt;&gt;"",EDATE($D133,Milestones!$AA$143)&gt;=$R133),$U133,$T133)))=Milestones!$AB$143),TEXT(EDATE($D133,Milestones!$AA$143),"dd/mm/yy")&amp;" "&amp;Milestones!$AB$143&amp;" "&amp;Milestones!$AC$143&amp;";  ","")&amp;IF(AND(EDATE($D133,Milestones!$AA$144)&lt;=AsOfDate,IF($Q133=0,$W133,IF(AND($S133&lt;&gt;"",EDATE($D133,Milestones!$AA$144)&gt;=$S133),$V133,IF(AND($R133&lt;&gt;"",EDATE($D133,Milestones!$AA$144)&gt;=$R133),$U133,$T133)))=Milestones!$AB$144),TEXT(EDATE($D133,Milestones!$AA$144),"dd/mm/yy")&amp;" "&amp;Milestones!$AB$144&amp;" "&amp;Milestones!$AC$144&amp;";  ","")&amp;IF(AND(EDATE($D133,Milestones!$AA$145)&lt;=AsOfDate,IF($Q133=0,$W133,IF(AND($S133&lt;&gt;"",EDATE($D133,Milestones!$AA$145)&gt;=$S133),$V133,IF(AND($R133&lt;&gt;"",EDATE($D133,Milestones!$AA$145)&gt;=$R133),$U133,$T133)))=Milestones!$AB$145),TEXT(EDATE($D133,Milestones!$AA$145),"dd/mm/yy")&amp;" "&amp;Milestones!$AB$145&amp;" "&amp;Milestones!$AC$145&amp;";  ","")&amp;IF(AND(EDATE($D133,Milestones!$AA$146)&lt;=AsOfDate,IF($Q133=0,$W133,IF(AND($S133&lt;&gt;"",EDATE($D133,Milestones!$AA$146)&gt;=$S133),$V133,IF(AND($R133&lt;&gt;"",EDATE($D133,Milestones!$AA$146)&gt;=$R133),$U133,$T133)))=Milestones!$AB$146),TEXT(EDATE($D133,Milestones!$AA$146),"dd/mm/yy")&amp;" "&amp;Milestones!$AB$146&amp;" "&amp;Milestones!$AC$146&amp;";  ","")&amp;IF(AND(EDATE($D133,Milestones!$AA$147)&lt;=AsOfDate,IF($Q133=0,$W133,IF(AND($S133&lt;&gt;"",EDATE($D133,Milestones!$AA$147)&gt;=$S133),$V133,IF(AND($R133&lt;&gt;"",EDATE($D133,Milestones!$AA$147)&gt;=$R133),$U133,$T133)))=Milestones!$AB$147),TEXT(EDATE($D133,Milestones!$AA$147),"dd/mm/yy")&amp;" "&amp;Milestones!$AB$147&amp;" "&amp;Milestones!$AC$147&amp;";  ","")&amp;IF(AND(EDATE($D133,Milestones!$AA$148)&lt;=AsOfDate,IF($Q133=0,$W133,IF(AND($S133&lt;&gt;"",EDATE($D133,Milestones!$AA$148)&gt;=$S133),$V133,IF(AND($R133&lt;&gt;"",EDATE($D133,Milestones!$AA$148)&gt;=$R133),$U133,$T133)))=Milestones!$AB$148),TEXT(EDATE($D133,Milestones!$AA$148),"dd/mm/yy")&amp;" "&amp;Milestones!$AB$148&amp;" "&amp;Milestones!$AC$148&amp;";  ","")&amp;IF(AND(EDATE($D133,Milestones!$AA$149)&lt;=AsOfDate,IF($Q133=0,$W133,IF(AND($S133&lt;&gt;"",EDATE($D133,Milestones!$AA$149)&gt;=$S133),$V133,IF(AND($R133&lt;&gt;"",EDATE($D133,Milestones!$AA$149)&gt;=$R133),$U133,$T133)))=Milestones!$AB$149),TEXT(EDATE($D133,Milestones!$AA$149),"dd/mm/yy")&amp;" "&amp;Milestones!$AB$149&amp;" "&amp;Milestones!$AC$149&amp;";  ","")&amp;IF(AND(EDATE($D133,Milestones!$AA$150)&lt;=AsOfDate,IF($Q133=0,$W133,IF(AND($S133&lt;&gt;"",EDATE($D133,Milestones!$AA$150)&gt;=$S133),$V133,IF(AND($R133&lt;&gt;"",EDATE($D133,Milestones!$AA$150)&gt;=$R133),$U133,$T133)))=Milestones!$AB$150),TEXT(EDATE($D133,Milestones!$AA$150),"dd/mm/yy")&amp;" "&amp;Milestones!$AB$150&amp;" "&amp;Milestones!$AC$150&amp;";  ","")&amp;IF(AND(EDATE($D133,Milestones!$AA$151)&lt;=AsOfDate,IF($Q133=0,$W133,IF(AND($S133&lt;&gt;"",EDATE($D133,Milestones!$AA$151)&gt;=$S133),$V133,IF(AND($R133&lt;&gt;"",EDATE($D133,Milestones!$AA$151)&gt;=$R133),$U133,$T133)))=Milestones!$AB$151),TEXT(EDATE($D133,Milestones!$AA$151),"dd/mm/yy")&amp;" "&amp;Milestones!$AB$151&amp;" "&amp;Milestones!$AC$151&amp;";  ","")&amp;IF(AND(EDATE($D133,Milestones!$AA$152)&lt;=AsOfDate,IF($Q133=0,$W133,IF(AND($S133&lt;&gt;"",EDATE($D133,Milestones!$AA$152)&gt;=$S133),$V133,IF(AND($R133&lt;&gt;"",EDATE($D133,Milestones!$AA$152)&gt;=$R133),$U133,$T133)))=Milestones!$AB$152),TEXT(EDATE($D133,Milestones!$AA$152),"dd/mm/yy")&amp;" "&amp;Milestones!$AB$152&amp;" "&amp;Milestones!$AC$152&amp;";  ","")&amp;IF(AND(EDATE($D133,Milestones!$AA$153)&lt;=AsOfDate,IF($Q133=0,$W133,IF(AND($S133&lt;&gt;"",EDATE($D133,Milestones!$AA$153)&gt;=$S133),$V133,IF(AND($R133&lt;&gt;"",EDATE($D133,Milestones!$AA$153)&gt;=$R133),$U133,$T133)))=Milestones!$AB$153),TEXT(EDATE($D133,Milestones!$AA$153),"dd/mm/yy")&amp;" "&amp;Milestones!$AB$153&amp;" "&amp;Milestones!$AC$153&amp;";  ","")&amp;IF(AND(EDATE($D133,Milestones!$AA$154)&lt;=AsOfDate,IF($Q133=0,$W133,IF(AND($S133&lt;&gt;"",EDATE($D133,Milestones!$AA$154)&gt;=$S133),$V133,IF(AND($R133&lt;&gt;"",EDATE($D133,Milestones!$AA$154)&gt;=$R133),$U133,$T133)))=Milestones!$AB$154),TEXT(EDATE($D133,Milestones!$AA$154),"dd/mm/yy")&amp;" "&amp;Milestones!$AB$154&amp;" "&amp;Milestones!$AC$154&amp;";  ","")&amp;IF(AND(EDATE($D133,Milestones!$AA$155)&lt;=AsOfDate,IF($Q133=0,$W133,IF(AND($S133&lt;&gt;"",EDATE($D133,Milestones!$AA$155)&gt;=$S133),$V133,IF(AND($R133&lt;&gt;"",EDATE($D133,Milestones!$AA$155)&gt;=$R133),$U133,$T133)))=Milestones!$AB$155),TEXT(EDATE($D133,Milestones!$AA$155),"dd/mm/yy")&amp;" "&amp;Milestones!$AB$155&amp;" "&amp;Milestones!$AC$155&amp;";  ","")&amp;IF(AND(EDATE($D133,Milestones!$AA$156)&lt;=AsOfDate,IF($Q133=0,$W133,IF(AND($S133&lt;&gt;"",EDATE($D133,Milestones!$AA$156)&gt;=$S133),$V133,IF(AND($R133&lt;&gt;"",EDATE($D133,Milestones!$AA$156)&gt;=$R133),$U133,$T133)))=Milestones!$AB$156),TEXT(EDATE($D133,Milestones!$AA$156),"dd/mm/yy")&amp;" "&amp;Milestones!$AB$156&amp;" "&amp;Milestones!$AC$156&amp;";  ","")&amp;IF(AND(EDATE($D133,Milestones!$AA$157)&lt;=AsOfDate,IF($Q133=0,$W133,IF(AND($S133&lt;&gt;"",EDATE($D133,Milestones!$AA$157)&gt;=$S133),$V133,IF(AND($R133&lt;&gt;"",EDATE($D133,Milestones!$AA$157)&gt;=$R133),$U133,$T133)))=Milestones!$AB$157),TEXT(EDATE($D133,Milestones!$AA$157),"dd/mm/yy")&amp;" "&amp;Milestones!$AB$157&amp;" "&amp;Milestones!$AC$157&amp;";  ","")&amp;IF(AND(EDATE($D133,Milestones!$AA$158)&lt;=AsOfDate,IF($Q133=0,$W133,IF(AND($S133&lt;&gt;"",EDATE($D133,Milestones!$AA$158)&gt;=$S133),$V133,IF(AND($R133&lt;&gt;"",EDATE($D133,Milestones!$AA$158)&gt;=$R133),$U133,$T133)))=Milestones!$AB$158),TEXT(EDATE($D133,Milestones!$AA$158),"dd/mm/yy")&amp;" "&amp;Milestones!$AB$158&amp;" "&amp;Milestones!$AC$158&amp;";  ","")&amp;IF(AND(EDATE($D133,Milestones!$AA$159)&lt;=AsOfDate,IF($Q133=0,$W133,IF(AND($S133&lt;&gt;"",EDATE($D133,Milestones!$AA$159)&gt;=$S133),$V133,IF(AND($R133&lt;&gt;"",EDATE($D133,Milestones!$AA$159)&gt;=$R133),$U133,$T133)))=Milestones!$AB$159),TEXT(EDATE($D133,Milestones!$AA$159),"dd/mm/yy")&amp;" "&amp;Milestones!$AB$159&amp;" "&amp;Milestones!$AC$159&amp;";  ",""))</f>
        <v/>
      </c>
      <c r="O133" s="0" t="str">
        <f aca="false">IF(OR($A133="",$D133=""),"",IF(AND(EDATE($D133,Milestones!$AA$160)&lt;=AsOfDate,IF($Q133=0,$W133,IF(AND($S133&lt;&gt;"",EDATE($D133,Milestones!$AA$160)&gt;=$S133),$V133,IF(AND($R133&lt;&gt;"",EDATE($D133,Milestones!$AA$160)&gt;=$R133),$U133,$T133)))=Milestones!$AB$160),TEXT(EDATE($D133,Milestones!$AA$160),"dd/mm/yy")&amp;" "&amp;Milestones!$AB$160&amp;" "&amp;Milestones!$AC$160&amp;";  ","")&amp;IF(AND(EDATE($D133,Milestones!$AA$161)&lt;=AsOfDate,IF($Q133=0,$W133,IF(AND($S133&lt;&gt;"",EDATE($D133,Milestones!$AA$161)&gt;=$S133),$V133,IF(AND($R133&lt;&gt;"",EDATE($D133,Milestones!$AA$161)&gt;=$R133),$U133,$T133)))=Milestones!$AB$161),TEXT(EDATE($D133,Milestones!$AA$161),"dd/mm/yy")&amp;" "&amp;Milestones!$AB$161&amp;" "&amp;Milestones!$AC$161&amp;";  ","")&amp;IF(AND(EDATE($D133,Milestones!$AA$162)&lt;=AsOfDate,IF($Q133=0,$W133,IF(AND($S133&lt;&gt;"",EDATE($D133,Milestones!$AA$162)&gt;=$S133),$V133,IF(AND($R133&lt;&gt;"",EDATE($D133,Milestones!$AA$162)&gt;=$R133),$U133,$T133)))=Milestones!$AB$162),TEXT(EDATE($D133,Milestones!$AA$162),"dd/mm/yy")&amp;" "&amp;Milestones!$AB$162&amp;" "&amp;Milestones!$AC$162&amp;";  ","")&amp;IF(AND(EDATE($D133,Milestones!$AA$163)&lt;=AsOfDate,IF($Q133=0,$W133,IF(AND($S133&lt;&gt;"",EDATE($D133,Milestones!$AA$163)&gt;=$S133),$V133,IF(AND($R133&lt;&gt;"",EDATE($D133,Milestones!$AA$163)&gt;=$R133),$U133,$T133)))=Milestones!$AB$163),TEXT(EDATE($D133,Milestones!$AA$163),"dd/mm/yy")&amp;" "&amp;Milestones!$AB$163&amp;" "&amp;Milestones!$AC$163&amp;";  ","")&amp;IF(AND(EDATE($D133,Milestones!$AA$164)&lt;=AsOfDate,IF($Q133=0,$W133,IF(AND($S133&lt;&gt;"",EDATE($D133,Milestones!$AA$164)&gt;=$S133),$V133,IF(AND($R133&lt;&gt;"",EDATE($D133,Milestones!$AA$164)&gt;=$R133),$U133,$T133)))=Milestones!$AB$164),TEXT(EDATE($D133,Milestones!$AA$164),"dd/mm/yy")&amp;" "&amp;Milestones!$AB$164&amp;" "&amp;Milestones!$AC$164&amp;";  ","")&amp;IF(AND(EDATE($D133,Milestones!$AA$165)&lt;=AsOfDate,IF($Q133=0,$W133,IF(AND($S133&lt;&gt;"",EDATE($D133,Milestones!$AA$165)&gt;=$S133),$V133,IF(AND($R133&lt;&gt;"",EDATE($D133,Milestones!$AA$165)&gt;=$R133),$U133,$T133)))=Milestones!$AB$165),TEXT(EDATE($D133,Milestones!$AA$165),"dd/mm/yy")&amp;" "&amp;Milestones!$AB$165&amp;" "&amp;Milestones!$AC$165&amp;";  ","")&amp;IF(AND(EDATE($D133,Milestones!$AA$166)&lt;=AsOfDate,IF($Q133=0,$W133,IF(AND($S133&lt;&gt;"",EDATE($D133,Milestones!$AA$166)&gt;=$S133),$V133,IF(AND($R133&lt;&gt;"",EDATE($D133,Milestones!$AA$166)&gt;=$R133),$U133,$T133)))=Milestones!$AB$166),TEXT(EDATE($D133,Milestones!$AA$166),"dd/mm/yy")&amp;" "&amp;Milestones!$AB$166&amp;" "&amp;Milestones!$AC$166&amp;";  ","")&amp;IF(AND(EDATE($D133,Milestones!$AA$167)&lt;=AsOfDate,IF($Q133=0,$W133,IF(AND($S133&lt;&gt;"",EDATE($D133,Milestones!$AA$167)&gt;=$S133),$V133,IF(AND($R133&lt;&gt;"",EDATE($D133,Milestones!$AA$167)&gt;=$R133),$U133,$T133)))=Milestones!$AB$167),TEXT(EDATE($D133,Milestones!$AA$167),"dd/mm/yy")&amp;" "&amp;Milestones!$AB$167&amp;" "&amp;Milestones!$AC$167&amp;";  ","")&amp;IF(AND(EDATE($D133,Milestones!$AA$168)&lt;=AsOfDate,IF($Q133=0,$W133,IF(AND($S133&lt;&gt;"",EDATE($D133,Milestones!$AA$168)&gt;=$S133),$V133,IF(AND($R133&lt;&gt;"",EDATE($D133,Milestones!$AA$168)&gt;=$R133),$U133,$T133)))=Milestones!$AB$168),TEXT(EDATE($D133,Milestones!$AA$168),"dd/mm/yy")&amp;" "&amp;Milestones!$AB$168&amp;" "&amp;Milestones!$AC$168&amp;";  ","")&amp;IF(AND(EDATE($D133,Milestones!$AA$169)&lt;=AsOfDate,IF($Q133=0,$W133,IF(AND($S133&lt;&gt;"",EDATE($D133,Milestones!$AA$169)&gt;=$S133),$V133,IF(AND($R133&lt;&gt;"",EDATE($D133,Milestones!$AA$169)&gt;=$R133),$U133,$T133)))=Milestones!$AB$169),TEXT(EDATE($D133,Milestones!$AA$169),"dd/mm/yy")&amp;" "&amp;Milestones!$AB$169&amp;" "&amp;Milestones!$AC$169&amp;";  ","")&amp;IF(AND(EDATE($D133,Milestones!$AA$170)&lt;=AsOfDate,IF($Q133=0,$W133,IF(AND($S133&lt;&gt;"",EDATE($D133,Milestones!$AA$170)&gt;=$S133),$V133,IF(AND($R133&lt;&gt;"",EDATE($D133,Milestones!$AA$170)&gt;=$R133),$U133,$T133)))=Milestones!$AB$170),TEXT(EDATE($D133,Milestones!$AA$170),"dd/mm/yy")&amp;" "&amp;Milestones!$AB$170&amp;" "&amp;Milestones!$AC$170&amp;";  ","")&amp;IF(AND(EDATE($D133,Milestones!$AA$171)&lt;=AsOfDate,IF($Q133=0,$W133,IF(AND($S133&lt;&gt;"",EDATE($D133,Milestones!$AA$171)&gt;=$S133),$V133,IF(AND($R133&lt;&gt;"",EDATE($D133,Milestones!$AA$171)&gt;=$R133),$U133,$T133)))=Milestones!$AB$171),TEXT(EDATE($D133,Milestones!$AA$171),"dd/mm/yy")&amp;" "&amp;Milestones!$AB$171&amp;" "&amp;Milestones!$AC$171&amp;";  ","")&amp;IF(AND(EDATE($D133,Milestones!$AA$172)&lt;=AsOfDate,IF($Q133=0,$W133,IF(AND($S133&lt;&gt;"",EDATE($D133,Milestones!$AA$172)&gt;=$S133),$V133,IF(AND($R133&lt;&gt;"",EDATE($D133,Milestones!$AA$172)&gt;=$R133),$U133,$T133)))=Milestones!$AB$172),TEXT(EDATE($D133,Milestones!$AA$172),"dd/mm/yy")&amp;" "&amp;Milestones!$AB$172&amp;" "&amp;Milestones!$AC$172&amp;";  ","")&amp;IF(AND(EDATE($D133,Milestones!$AA$173)&lt;=AsOfDate,IF($Q133=0,$W133,IF(AND($S133&lt;&gt;"",EDATE($D133,Milestones!$AA$173)&gt;=$S133),$V133,IF(AND($R133&lt;&gt;"",EDATE($D133,Milestones!$AA$173)&gt;=$R133),$U133,$T133)))=Milestones!$AB$173),TEXT(EDATE($D133,Milestones!$AA$173),"dd/mm/yy")&amp;" "&amp;Milestones!$AB$173&amp;" "&amp;Milestones!$AC$173&amp;";  ","")&amp;IF(AND(EDATE($D133,Milestones!$AA$174)&lt;=AsOfDate,IF($Q133=0,$W133,IF(AND($S133&lt;&gt;"",EDATE($D133,Milestones!$AA$174)&gt;=$S133),$V133,IF(AND($R133&lt;&gt;"",EDATE($D133,Milestones!$AA$174)&gt;=$R133),$U133,$T133)))=Milestones!$AB$174),TEXT(EDATE($D133,Milestones!$AA$174),"dd/mm/yy")&amp;" "&amp;Milestones!$AB$174&amp;" "&amp;Milestones!$AC$174&amp;";  ","")&amp;IF(AND(EDATE($D133,Milestones!$AA$175)&lt;=AsOfDate,IF($Q133=0,$W133,IF(AND($S133&lt;&gt;"",EDATE($D133,Milestones!$AA$175)&gt;=$S133),$V133,IF(AND($R133&lt;&gt;"",EDATE($D133,Milestones!$AA$175)&gt;=$R133),$U133,$T133)))=Milestones!$AB$175),TEXT(EDATE($D133,Milestones!$AA$175),"dd/mm/yy")&amp;" "&amp;Milestones!$AB$175&amp;" "&amp;Milestones!$AC$175&amp;";  ","")&amp;IF(AND(EDATE($D133,Milestones!$AA$176)&lt;=AsOfDate,IF($Q133=0,$W133,IF(AND($S133&lt;&gt;"",EDATE($D133,Milestones!$AA$176)&gt;=$S133),$V133,IF(AND($R133&lt;&gt;"",EDATE($D133,Milestones!$AA$176)&gt;=$R133),$U133,$T133)))=Milestones!$AB$176),TEXT(EDATE($D133,Milestones!$AA$176),"dd/mm/yy")&amp;" "&amp;Milestones!$AB$176&amp;" "&amp;Milestones!$AC$176&amp;";  ","")&amp;IF(AND(EDATE($D133,Milestones!$AA$177)&lt;=AsOfDate,IF($Q133=0,$W133,IF(AND($S133&lt;&gt;"",EDATE($D133,Milestones!$AA$177)&gt;=$S133),$V133,IF(AND($R133&lt;&gt;"",EDATE($D133,Milestones!$AA$177)&gt;=$R133),$U133,$T133)))=Milestones!$AB$177),TEXT(EDATE($D133,Milestones!$AA$177),"dd/mm/yy")&amp;" "&amp;Milestones!$AB$177&amp;" "&amp;Milestones!$AC$177&amp;";  ","")&amp;IF(AND(EDATE($D133,Milestones!$AA$178)&lt;=AsOfDate,IF($Q133=0,$W133,IF(AND($S133&lt;&gt;"",EDATE($D133,Milestones!$AA$178)&gt;=$S133),$V133,IF(AND($R133&lt;&gt;"",EDATE($D133,Milestones!$AA$178)&gt;=$R133),$U133,$T133)))=Milestones!$AB$178),TEXT(EDATE($D133,Milestones!$AA$178),"dd/mm/yy")&amp;" "&amp;Milestones!$AB$178&amp;" "&amp;Milestones!$AC$178&amp;";  ","")&amp;IF(AND(EDATE($D133,Milestones!$AA$179)&lt;=AsOfDate,IF($Q133=0,$W133,IF(AND($S133&lt;&gt;"",EDATE($D133,Milestones!$AA$179)&gt;=$S133),$V133,IF(AND($R133&lt;&gt;"",EDATE($D133,Milestones!$AA$179)&gt;=$R133),$U133,$T133)))=Milestones!$AB$179),TEXT(EDATE($D133,Milestones!$AA$179),"dd/mm/yy")&amp;" "&amp;Milestones!$AB$179&amp;" "&amp;Milestones!$AC$179&amp;";  ",""))</f>
        <v/>
      </c>
      <c r="P133" s="0" t="str">
        <f aca="false">IF(OR($A133="",$D133=""),"",IF(AND(EDATE($D133,Milestones!$AA$180)&lt;=AsOfDate,IF($Q133=0,$W133,IF(AND($S133&lt;&gt;"",EDATE($D133,Milestones!$AA$180)&gt;=$S133),$V133,IF(AND($R133&lt;&gt;"",EDATE($D133,Milestones!$AA$180)&gt;=$R133),$U133,$T133)))=Milestones!$AB$180),TEXT(EDATE($D133,Milestones!$AA$180),"dd/mm/yy")&amp;" "&amp;Milestones!$AB$180&amp;" "&amp;Milestones!$AC$180&amp;";  ","")&amp;IF(AND(EDATE($D133,Milestones!$AA$181)&lt;=AsOfDate,IF($Q133=0,$W133,IF(AND($S133&lt;&gt;"",EDATE($D133,Milestones!$AA$181)&gt;=$S133),$V133,IF(AND($R133&lt;&gt;"",EDATE($D133,Milestones!$AA$181)&gt;=$R133),$U133,$T133)))=Milestones!$AB$181),TEXT(EDATE($D133,Milestones!$AA$181),"dd/mm/yy")&amp;" "&amp;Milestones!$AB$181&amp;" "&amp;Milestones!$AC$181&amp;";  ","")&amp;IF(AND(EDATE($D133,Milestones!$AA$182)&lt;=AsOfDate,IF($Q133=0,$W133,IF(AND($S133&lt;&gt;"",EDATE($D133,Milestones!$AA$182)&gt;=$S133),$V133,IF(AND($R133&lt;&gt;"",EDATE($D133,Milestones!$AA$182)&gt;=$R133),$U133,$T133)))=Milestones!$AB$182),TEXT(EDATE($D133,Milestones!$AA$182),"dd/mm/yy")&amp;" "&amp;Milestones!$AB$182&amp;" "&amp;Milestones!$AC$182&amp;";  ","")&amp;IF(AND(EDATE($D133,Milestones!$AA$183)&lt;=AsOfDate,IF($Q133=0,$W133,IF(AND($S133&lt;&gt;"",EDATE($D133,Milestones!$AA$183)&gt;=$S133),$V133,IF(AND($R133&lt;&gt;"",EDATE($D133,Milestones!$AA$183)&gt;=$R133),$U133,$T133)))=Milestones!$AB$183),TEXT(EDATE($D133,Milestones!$AA$183),"dd/mm/yy")&amp;" "&amp;Milestones!$AB$183&amp;" "&amp;Milestones!$AC$183&amp;";  ","")&amp;IF(AND(EDATE($D133,Milestones!$AA$184)&lt;=AsOfDate,IF($Q133=0,$W133,IF(AND($S133&lt;&gt;"",EDATE($D133,Milestones!$AA$184)&gt;=$S133),$V133,IF(AND($R133&lt;&gt;"",EDATE($D133,Milestones!$AA$184)&gt;=$R133),$U133,$T133)))=Milestones!$AB$184),TEXT(EDATE($D133,Milestones!$AA$184),"dd/mm/yy")&amp;" "&amp;Milestones!$AB$184&amp;" "&amp;Milestones!$AC$184&amp;";  ","")&amp;IF(AND(EDATE($D133,Milestones!$AA$185)&lt;=AsOfDate,IF($Q133=0,$W133,IF(AND($S133&lt;&gt;"",EDATE($D133,Milestones!$AA$185)&gt;=$S133),$V133,IF(AND($R133&lt;&gt;"",EDATE($D133,Milestones!$AA$185)&gt;=$R133),$U133,$T133)))=Milestones!$AB$185),TEXT(EDATE($D133,Milestones!$AA$185),"dd/mm/yy")&amp;" "&amp;Milestones!$AB$185&amp;" "&amp;Milestones!$AC$185&amp;";  ","")&amp;IF(AND(EDATE($D133,Milestones!$AA$186)&lt;=AsOfDate,IF($Q133=0,$W133,IF(AND($S133&lt;&gt;"",EDATE($D133,Milestones!$AA$186)&gt;=$S133),$V133,IF(AND($R133&lt;&gt;"",EDATE($D133,Milestones!$AA$186)&gt;=$R133),$U133,$T133)))=Milestones!$AB$186),TEXT(EDATE($D133,Milestones!$AA$186),"dd/mm/yy")&amp;" "&amp;Milestones!$AB$186&amp;" "&amp;Milestones!$AC$186&amp;";  ","")&amp;IF(AND(EDATE($D133,Milestones!$AA$187)&lt;=AsOfDate,IF($Q133=0,$W133,IF(AND($S133&lt;&gt;"",EDATE($D133,Milestones!$AA$187)&gt;=$S133),$V133,IF(AND($R133&lt;&gt;"",EDATE($D133,Milestones!$AA$187)&gt;=$R133),$U133,$T133)))=Milestones!$AB$187),TEXT(EDATE($D133,Milestones!$AA$187),"dd/mm/yy")&amp;" "&amp;Milestones!$AB$187&amp;" "&amp;Milestones!$AC$187&amp;";  ","")&amp;IF(AND(EDATE($D133,Milestones!$AA$188)&lt;=AsOfDate,IF($Q133=0,$W133,IF(AND($S133&lt;&gt;"",EDATE($D133,Milestones!$AA$188)&gt;=$S133),$V133,IF(AND($R133&lt;&gt;"",EDATE($D133,Milestones!$AA$188)&gt;=$R133),$U133,$T133)))=Milestones!$AB$188),TEXT(EDATE($D133,Milestones!$AA$188),"dd/mm/yy")&amp;" "&amp;Milestones!$AB$188&amp;" "&amp;Milestones!$AC$188&amp;";  ","")&amp;IF(AND(EDATE($D133,Milestones!$AA$189)&lt;=AsOfDate,IF($Q133=0,$W133,IF(AND($S133&lt;&gt;"",EDATE($D133,Milestones!$AA$189)&gt;=$S133),$V133,IF(AND($R133&lt;&gt;"",EDATE($D133,Milestones!$AA$189)&gt;=$R133),$U133,$T133)))=Milestones!$AB$189),TEXT(EDATE($D133,Milestones!$AA$189),"dd/mm/yy")&amp;" "&amp;Milestones!$AB$189&amp;" "&amp;Milestones!$AC$189&amp;";  ","")&amp;IF(AND(EDATE($D133,Milestones!$AA$190)&lt;=AsOfDate,IF($Q133=0,$W133,IF(AND($S133&lt;&gt;"",EDATE($D133,Milestones!$AA$190)&gt;=$S133),$V133,IF(AND($R133&lt;&gt;"",EDATE($D133,Milestones!$AA$190)&gt;=$R133),$U133,$T133)))=Milestones!$AB$190),TEXT(EDATE($D133,Milestones!$AA$190),"dd/mm/yy")&amp;" "&amp;Milestones!$AB$190&amp;" "&amp;Milestones!$AC$190&amp;";  ","")&amp;IF(AND(EDATE($D133,Milestones!$AA$191)&lt;=AsOfDate,IF($Q133=0,$W133,IF(AND($S133&lt;&gt;"",EDATE($D133,Milestones!$AA$191)&gt;=$S133),$V133,IF(AND($R133&lt;&gt;"",EDATE($D133,Milestones!$AA$191)&gt;=$R133),$U133,$T133)))=Milestones!$AB$191),TEXT(EDATE($D133,Milestones!$AA$191),"dd/mm/yy")&amp;" "&amp;Milestones!$AB$191&amp;" "&amp;Milestones!$AC$191&amp;";  ","")&amp;IF(AND(EDATE($D133,Milestones!$AA$192)&lt;=AsOfDate,IF($Q133=0,$W133,IF(AND($S133&lt;&gt;"",EDATE($D133,Milestones!$AA$192)&gt;=$S133),$V133,IF(AND($R133&lt;&gt;"",EDATE($D133,Milestones!$AA$192)&gt;=$R133),$U133,$T133)))=Milestones!$AB$192),TEXT(EDATE($D133,Milestones!$AA$192),"dd/mm/yy")&amp;" "&amp;Milestones!$AB$192&amp;" "&amp;Milestones!$AC$192&amp;";  ","")&amp;IF(AND(EDATE($D133,Milestones!$AA$193)&lt;=AsOfDate,IF($Q133=0,$W133,IF(AND($S133&lt;&gt;"",EDATE($D133,Milestones!$AA$193)&gt;=$S133),$V133,IF(AND($R133&lt;&gt;"",EDATE($D133,Milestones!$AA$193)&gt;=$R133),$U133,$T133)))=Milestones!$AB$193),TEXT(EDATE($D133,Milestones!$AA$193),"dd/mm/yy")&amp;" "&amp;Milestones!$AB$193&amp;" "&amp;Milestones!$AC$193&amp;";  ","")&amp;IF(AND(EDATE($D133,Milestones!$AA$194)&lt;=AsOfDate,IF($Q133=0,$W133,IF(AND($S133&lt;&gt;"",EDATE($D133,Milestones!$AA$194)&gt;=$S133),$V133,IF(AND($R133&lt;&gt;"",EDATE($D133,Milestones!$AA$194)&gt;=$R133),$U133,$T133)))=Milestones!$AB$194),TEXT(EDATE($D133,Milestones!$AA$194),"dd/mm/yy")&amp;" "&amp;Milestones!$AB$194&amp;" "&amp;Milestones!$AC$194&amp;";  ","")&amp;IF(AND(EDATE($D133,Milestones!$AA$195)&lt;=AsOfDate,IF($Q133=0,$W133,IF(AND($S133&lt;&gt;"",EDATE($D133,Milestones!$AA$195)&gt;=$S133),$V133,IF(AND($R133&lt;&gt;"",EDATE($D133,Milestones!$AA$195)&gt;=$R133),$U133,$T133)))=Milestones!$AB$195),TEXT(EDATE($D133,Milestones!$AA$195),"dd/mm/yy")&amp;" "&amp;Milestones!$AB$195&amp;" "&amp;Milestones!$AC$195&amp;";  ","")&amp;IF(AND(EDATE($D133,Milestones!$AA$196)&lt;=AsOfDate,IF($Q133=0,$W133,IF(AND($S133&lt;&gt;"",EDATE($D133,Milestones!$AA$196)&gt;=$S133),$V133,IF(AND($R133&lt;&gt;"",EDATE($D133,Milestones!$AA$196)&gt;=$R133),$U133,$T133)))=Milestones!$AB$196),TEXT(EDATE($D133,Milestones!$AA$196),"dd/mm/yy")&amp;" "&amp;Milestones!$AB$196&amp;" "&amp;Milestones!$AC$196&amp;";  ","")&amp;IF(AND(EDATE($D133,Milestones!$AA$197)&lt;=AsOfDate,IF($Q133=0,$W133,IF(AND($S133&lt;&gt;"",EDATE($D133,Milestones!$AA$197)&gt;=$S133),$V133,IF(AND($R133&lt;&gt;"",EDATE($D133,Milestones!$AA$197)&gt;=$R133),$U133,$T133)))=Milestones!$AB$197),TEXT(EDATE($D133,Milestones!$AA$197),"dd/mm/yy")&amp;" "&amp;Milestones!$AB$197&amp;" "&amp;Milestones!$AC$197&amp;";  ","")&amp;IF(AND(EDATE($D133,Milestones!$AA$198)&lt;=AsOfDate,IF($Q133=0,$W133,IF(AND($S133&lt;&gt;"",EDATE($D133,Milestones!$AA$198)&gt;=$S133),$V133,IF(AND($R133&lt;&gt;"",EDATE($D133,Milestones!$AA$198)&gt;=$R133),$U133,$T133)))=Milestones!$AB$198),TEXT(EDATE($D133,Milestones!$AA$198),"dd/mm/yy")&amp;" "&amp;Milestones!$AB$198&amp;" "&amp;Milestones!$AC$198&amp;";  ","")&amp;IF(AND(EDATE($D133,Milestones!$AA$199)&lt;=AsOfDate,IF($Q133=0,$W133,IF(AND($S133&lt;&gt;"",EDATE($D133,Milestones!$AA$199)&gt;=$S133),$V133,IF(AND($R133&lt;&gt;"",EDATE($D133,Milestones!$AA$199)&gt;=$R133),$U133,$T133)))=Milestones!$AB$199),TEXT(EDATE($D133,Milestones!$AA$199),"dd/mm/yy")&amp;" "&amp;Milestones!$AB$199&amp;" "&amp;Milestones!$AC$199&amp;";  ",""))</f>
        <v/>
      </c>
      <c r="Q133" s="0" t="str">
        <f aca="false">IF(Staff!$A133="","",Staff!$AG133)</f>
        <v/>
      </c>
      <c r="R133" s="0" t="str">
        <f aca="false">IF(Staff!$A133="","",Staff!$AI133)</f>
        <v/>
      </c>
      <c r="S133" s="0" t="str">
        <f aca="false">IF(Staff!$A133="","",Staff!$AJ133)</f>
        <v/>
      </c>
      <c r="T133" s="0" t="str">
        <f aca="false">IF(Staff!$A133="","",Staff!$AN133)</f>
        <v/>
      </c>
      <c r="U133" s="0" t="str">
        <f aca="false">IF(Staff!$A133="","",Staff!$AO133)</f>
        <v/>
      </c>
      <c r="V133" s="0" t="str">
        <f aca="false">IF(Staff!$A133="","",Staff!$AP133)</f>
        <v/>
      </c>
      <c r="W133" s="0" t="str">
        <f aca="false">IF(Staff!$A133="","",Staff!$AQ133)</f>
        <v/>
      </c>
    </row>
    <row r="134" customFormat="false" ht="15" hidden="false" customHeight="false" outlineLevel="0" collapsed="false">
      <c r="A134" s="13" t="str">
        <f aca="false">IF(Staff!$A134="","",Staff!$A134)</f>
        <v/>
      </c>
      <c r="B134" s="13" t="str">
        <f aca="false">IF(Staff!$A134="","",Staff!$B134)</f>
        <v/>
      </c>
      <c r="C134" s="13" t="str">
        <f aca="false">IF(Staff!$A134="","",Staff!$C134)</f>
        <v/>
      </c>
      <c r="D134" s="11" t="str">
        <f aca="false">IF(Staff!$A134="","",Staff!$AF134)</f>
        <v/>
      </c>
      <c r="E134" s="13" t="str">
        <f aca="false">IF(Staff!$A134="","",Staff!$O134)</f>
        <v/>
      </c>
      <c r="F134" s="13" t="str">
        <f aca="false">IF(E134="","",E134*HoursPerDay)</f>
        <v/>
      </c>
      <c r="G134" s="26" t="str">
        <f aca="false">IF($A134="","",H134&amp;I134&amp;J134&amp;K134&amp;L134&amp;M134&amp;N134&amp;O134&amp;P134)</f>
        <v/>
      </c>
      <c r="H134" s="0" t="str">
        <f aca="false">IF(OR($A134="",$D134=""),"",IF(AND(EDATE($D134,Milestones!$AA$20)&lt;=AsOfDate,IF($Q134=0,$W134,IF(AND($S134&lt;&gt;"",EDATE($D134,Milestones!$AA$20)&gt;=$S134),$V134,IF(AND($R134&lt;&gt;"",EDATE($D134,Milestones!$AA$20)&gt;=$R134),$U134,$T134)))=Milestones!$AB$20),TEXT(EDATE($D134,Milestones!$AA$20),"dd/mm/yy")&amp;" "&amp;Milestones!$AB$20&amp;" "&amp;Milestones!$AC$20&amp;";  ","")&amp;IF(AND(EDATE($D134,Milestones!$AA$21)&lt;=AsOfDate,IF($Q134=0,$W134,IF(AND($S134&lt;&gt;"",EDATE($D134,Milestones!$AA$21)&gt;=$S134),$V134,IF(AND($R134&lt;&gt;"",EDATE($D134,Milestones!$AA$21)&gt;=$R134),$U134,$T134)))=Milestones!$AB$21),TEXT(EDATE($D134,Milestones!$AA$21),"dd/mm/yy")&amp;" "&amp;Milestones!$AB$21&amp;" "&amp;Milestones!$AC$21&amp;";  ","")&amp;IF(AND(EDATE($D134,Milestones!$AA$22)&lt;=AsOfDate,IF($Q134=0,$W134,IF(AND($S134&lt;&gt;"",EDATE($D134,Milestones!$AA$22)&gt;=$S134),$V134,IF(AND($R134&lt;&gt;"",EDATE($D134,Milestones!$AA$22)&gt;=$R134),$U134,$T134)))=Milestones!$AB$22),TEXT(EDATE($D134,Milestones!$AA$22),"dd/mm/yy")&amp;" "&amp;Milestones!$AB$22&amp;" "&amp;Milestones!$AC$22&amp;";  ","")&amp;IF(AND(EDATE($D134,Milestones!$AA$23)&lt;=AsOfDate,IF($Q134=0,$W134,IF(AND($S134&lt;&gt;"",EDATE($D134,Milestones!$AA$23)&gt;=$S134),$V134,IF(AND($R134&lt;&gt;"",EDATE($D134,Milestones!$AA$23)&gt;=$R134),$U134,$T134)))=Milestones!$AB$23),TEXT(EDATE($D134,Milestones!$AA$23),"dd/mm/yy")&amp;" "&amp;Milestones!$AB$23&amp;" "&amp;Milestones!$AC$23&amp;";  ","")&amp;IF(AND(EDATE($D134,Milestones!$AA$24)&lt;=AsOfDate,IF($Q134=0,$W134,IF(AND($S134&lt;&gt;"",EDATE($D134,Milestones!$AA$24)&gt;=$S134),$V134,IF(AND($R134&lt;&gt;"",EDATE($D134,Milestones!$AA$24)&gt;=$R134),$U134,$T134)))=Milestones!$AB$24),TEXT(EDATE($D134,Milestones!$AA$24),"dd/mm/yy")&amp;" "&amp;Milestones!$AB$24&amp;" "&amp;Milestones!$AC$24&amp;";  ","")&amp;IF(AND(EDATE($D134,Milestones!$AA$25)&lt;=AsOfDate,IF($Q134=0,$W134,IF(AND($S134&lt;&gt;"",EDATE($D134,Milestones!$AA$25)&gt;=$S134),$V134,IF(AND($R134&lt;&gt;"",EDATE($D134,Milestones!$AA$25)&gt;=$R134),$U134,$T134)))=Milestones!$AB$25),TEXT(EDATE($D134,Milestones!$AA$25),"dd/mm/yy")&amp;" "&amp;Milestones!$AB$25&amp;" "&amp;Milestones!$AC$25&amp;";  ","")&amp;IF(AND(EDATE($D134,Milestones!$AA$26)&lt;=AsOfDate,IF($Q134=0,$W134,IF(AND($S134&lt;&gt;"",EDATE($D134,Milestones!$AA$26)&gt;=$S134),$V134,IF(AND($R134&lt;&gt;"",EDATE($D134,Milestones!$AA$26)&gt;=$R134),$U134,$T134)))=Milestones!$AB$26),TEXT(EDATE($D134,Milestones!$AA$26),"dd/mm/yy")&amp;" "&amp;Milestones!$AB$26&amp;" "&amp;Milestones!$AC$26&amp;";  ","")&amp;IF(AND(EDATE($D134,Milestones!$AA$27)&lt;=AsOfDate,IF($Q134=0,$W134,IF(AND($S134&lt;&gt;"",EDATE($D134,Milestones!$AA$27)&gt;=$S134),$V134,IF(AND($R134&lt;&gt;"",EDATE($D134,Milestones!$AA$27)&gt;=$R134),$U134,$T134)))=Milestones!$AB$27),TEXT(EDATE($D134,Milestones!$AA$27),"dd/mm/yy")&amp;" "&amp;Milestones!$AB$27&amp;" "&amp;Milestones!$AC$27&amp;";  ","")&amp;IF(AND(EDATE($D134,Milestones!$AA$28)&lt;=AsOfDate,IF($Q134=0,$W134,IF(AND($S134&lt;&gt;"",EDATE($D134,Milestones!$AA$28)&gt;=$S134),$V134,IF(AND($R134&lt;&gt;"",EDATE($D134,Milestones!$AA$28)&gt;=$R134),$U134,$T134)))=Milestones!$AB$28),TEXT(EDATE($D134,Milestones!$AA$28),"dd/mm/yy")&amp;" "&amp;Milestones!$AB$28&amp;" "&amp;Milestones!$AC$28&amp;";  ","")&amp;IF(AND(EDATE($D134,Milestones!$AA$29)&lt;=AsOfDate,IF($Q134=0,$W134,IF(AND($S134&lt;&gt;"",EDATE($D134,Milestones!$AA$29)&gt;=$S134),$V134,IF(AND($R134&lt;&gt;"",EDATE($D134,Milestones!$AA$29)&gt;=$R134),$U134,$T134)))=Milestones!$AB$29),TEXT(EDATE($D134,Milestones!$AA$29),"dd/mm/yy")&amp;" "&amp;Milestones!$AB$29&amp;" "&amp;Milestones!$AC$29&amp;";  ","")&amp;IF(AND(EDATE($D134,Milestones!$AA$30)&lt;=AsOfDate,IF($Q134=0,$W134,IF(AND($S134&lt;&gt;"",EDATE($D134,Milestones!$AA$30)&gt;=$S134),$V134,IF(AND($R134&lt;&gt;"",EDATE($D134,Milestones!$AA$30)&gt;=$R134),$U134,$T134)))=Milestones!$AB$30),TEXT(EDATE($D134,Milestones!$AA$30),"dd/mm/yy")&amp;" "&amp;Milestones!$AB$30&amp;" "&amp;Milestones!$AC$30&amp;";  ","")&amp;IF(AND(EDATE($D134,Milestones!$AA$31)&lt;=AsOfDate,IF($Q134=0,$W134,IF(AND($S134&lt;&gt;"",EDATE($D134,Milestones!$AA$31)&gt;=$S134),$V134,IF(AND($R134&lt;&gt;"",EDATE($D134,Milestones!$AA$31)&gt;=$R134),$U134,$T134)))=Milestones!$AB$31),TEXT(EDATE($D134,Milestones!$AA$31),"dd/mm/yy")&amp;" "&amp;Milestones!$AB$31&amp;" "&amp;Milestones!$AC$31&amp;";  ","")&amp;IF(AND(EDATE($D134,Milestones!$AA$32)&lt;=AsOfDate,IF($Q134=0,$W134,IF(AND($S134&lt;&gt;"",EDATE($D134,Milestones!$AA$32)&gt;=$S134),$V134,IF(AND($R134&lt;&gt;"",EDATE($D134,Milestones!$AA$32)&gt;=$R134),$U134,$T134)))=Milestones!$AB$32),TEXT(EDATE($D134,Milestones!$AA$32),"dd/mm/yy")&amp;" "&amp;Milestones!$AB$32&amp;" "&amp;Milestones!$AC$32&amp;";  ","")&amp;IF(AND(EDATE($D134,Milestones!$AA$33)&lt;=AsOfDate,IF($Q134=0,$W134,IF(AND($S134&lt;&gt;"",EDATE($D134,Milestones!$AA$33)&gt;=$S134),$V134,IF(AND($R134&lt;&gt;"",EDATE($D134,Milestones!$AA$33)&gt;=$R134),$U134,$T134)))=Milestones!$AB$33),TEXT(EDATE($D134,Milestones!$AA$33),"dd/mm/yy")&amp;" "&amp;Milestones!$AB$33&amp;" "&amp;Milestones!$AC$33&amp;";  ","")&amp;IF(AND(EDATE($D134,Milestones!$AA$34)&lt;=AsOfDate,IF($Q134=0,$W134,IF(AND($S134&lt;&gt;"",EDATE($D134,Milestones!$AA$34)&gt;=$S134),$V134,IF(AND($R134&lt;&gt;"",EDATE($D134,Milestones!$AA$34)&gt;=$R134),$U134,$T134)))=Milestones!$AB$34),TEXT(EDATE($D134,Milestones!$AA$34),"dd/mm/yy")&amp;" "&amp;Milestones!$AB$34&amp;" "&amp;Milestones!$AC$34&amp;";  ","")&amp;IF(AND(EDATE($D134,Milestones!$AA$35)&lt;=AsOfDate,IF($Q134=0,$W134,IF(AND($S134&lt;&gt;"",EDATE($D134,Milestones!$AA$35)&gt;=$S134),$V134,IF(AND($R134&lt;&gt;"",EDATE($D134,Milestones!$AA$35)&gt;=$R134),$U134,$T134)))=Milestones!$AB$35),TEXT(EDATE($D134,Milestones!$AA$35),"dd/mm/yy")&amp;" "&amp;Milestones!$AB$35&amp;" "&amp;Milestones!$AC$35&amp;";  ","")&amp;IF(AND(EDATE($D134,Milestones!$AA$36)&lt;=AsOfDate,IF($Q134=0,$W134,IF(AND($S134&lt;&gt;"",EDATE($D134,Milestones!$AA$36)&gt;=$S134),$V134,IF(AND($R134&lt;&gt;"",EDATE($D134,Milestones!$AA$36)&gt;=$R134),$U134,$T134)))=Milestones!$AB$36),TEXT(EDATE($D134,Milestones!$AA$36),"dd/mm/yy")&amp;" "&amp;Milestones!$AB$36&amp;" "&amp;Milestones!$AC$36&amp;";  ","")&amp;IF(AND(EDATE($D134,Milestones!$AA$37)&lt;=AsOfDate,IF($Q134=0,$W134,IF(AND($S134&lt;&gt;"",EDATE($D134,Milestones!$AA$37)&gt;=$S134),$V134,IF(AND($R134&lt;&gt;"",EDATE($D134,Milestones!$AA$37)&gt;=$R134),$U134,$T134)))=Milestones!$AB$37),TEXT(EDATE($D134,Milestones!$AA$37),"dd/mm/yy")&amp;" "&amp;Milestones!$AB$37&amp;" "&amp;Milestones!$AC$37&amp;";  ","")&amp;IF(AND(EDATE($D134,Milestones!$AA$38)&lt;=AsOfDate,IF($Q134=0,$W134,IF(AND($S134&lt;&gt;"",EDATE($D134,Milestones!$AA$38)&gt;=$S134),$V134,IF(AND($R134&lt;&gt;"",EDATE($D134,Milestones!$AA$38)&gt;=$R134),$U134,$T134)))=Milestones!$AB$38),TEXT(EDATE($D134,Milestones!$AA$38),"dd/mm/yy")&amp;" "&amp;Milestones!$AB$38&amp;" "&amp;Milestones!$AC$38&amp;";  ","")&amp;IF(AND(EDATE($D134,Milestones!$AA$39)&lt;=AsOfDate,IF($Q134=0,$W134,IF(AND($S134&lt;&gt;"",EDATE($D134,Milestones!$AA$39)&gt;=$S134),$V134,IF(AND($R134&lt;&gt;"",EDATE($D134,Milestones!$AA$39)&gt;=$R134),$U134,$T134)))=Milestones!$AB$39),TEXT(EDATE($D134,Milestones!$AA$39),"dd/mm/yy")&amp;" "&amp;Milestones!$AB$39&amp;" "&amp;Milestones!$AC$39&amp;";  ",""))</f>
        <v/>
      </c>
      <c r="I134" s="0" t="str">
        <f aca="false">IF(OR($A134="",$D134=""),"",IF(AND(EDATE($D134,Milestones!$AA$40)&lt;=AsOfDate,IF($Q134=0,$W134,IF(AND($S134&lt;&gt;"",EDATE($D134,Milestones!$AA$40)&gt;=$S134),$V134,IF(AND($R134&lt;&gt;"",EDATE($D134,Milestones!$AA$40)&gt;=$R134),$U134,$T134)))=Milestones!$AB$40),TEXT(EDATE($D134,Milestones!$AA$40),"dd/mm/yy")&amp;" "&amp;Milestones!$AB$40&amp;" "&amp;Milestones!$AC$40&amp;";  ","")&amp;IF(AND(EDATE($D134,Milestones!$AA$41)&lt;=AsOfDate,IF($Q134=0,$W134,IF(AND($S134&lt;&gt;"",EDATE($D134,Milestones!$AA$41)&gt;=$S134),$V134,IF(AND($R134&lt;&gt;"",EDATE($D134,Milestones!$AA$41)&gt;=$R134),$U134,$T134)))=Milestones!$AB$41),TEXT(EDATE($D134,Milestones!$AA$41),"dd/mm/yy")&amp;" "&amp;Milestones!$AB$41&amp;" "&amp;Milestones!$AC$41&amp;";  ","")&amp;IF(AND(EDATE($D134,Milestones!$AA$42)&lt;=AsOfDate,IF($Q134=0,$W134,IF(AND($S134&lt;&gt;"",EDATE($D134,Milestones!$AA$42)&gt;=$S134),$V134,IF(AND($R134&lt;&gt;"",EDATE($D134,Milestones!$AA$42)&gt;=$R134),$U134,$T134)))=Milestones!$AB$42),TEXT(EDATE($D134,Milestones!$AA$42),"dd/mm/yy")&amp;" "&amp;Milestones!$AB$42&amp;" "&amp;Milestones!$AC$42&amp;";  ","")&amp;IF(AND(EDATE($D134,Milestones!$AA$43)&lt;=AsOfDate,IF($Q134=0,$W134,IF(AND($S134&lt;&gt;"",EDATE($D134,Milestones!$AA$43)&gt;=$S134),$V134,IF(AND($R134&lt;&gt;"",EDATE($D134,Milestones!$AA$43)&gt;=$R134),$U134,$T134)))=Milestones!$AB$43),TEXT(EDATE($D134,Milestones!$AA$43),"dd/mm/yy")&amp;" "&amp;Milestones!$AB$43&amp;" "&amp;Milestones!$AC$43&amp;";  ","")&amp;IF(AND(EDATE($D134,Milestones!$AA$44)&lt;=AsOfDate,IF($Q134=0,$W134,IF(AND($S134&lt;&gt;"",EDATE($D134,Milestones!$AA$44)&gt;=$S134),$V134,IF(AND($R134&lt;&gt;"",EDATE($D134,Milestones!$AA$44)&gt;=$R134),$U134,$T134)))=Milestones!$AB$44),TEXT(EDATE($D134,Milestones!$AA$44),"dd/mm/yy")&amp;" "&amp;Milestones!$AB$44&amp;" "&amp;Milestones!$AC$44&amp;";  ","")&amp;IF(AND(EDATE($D134,Milestones!$AA$45)&lt;=AsOfDate,IF($Q134=0,$W134,IF(AND($S134&lt;&gt;"",EDATE($D134,Milestones!$AA$45)&gt;=$S134),$V134,IF(AND($R134&lt;&gt;"",EDATE($D134,Milestones!$AA$45)&gt;=$R134),$U134,$T134)))=Milestones!$AB$45),TEXT(EDATE($D134,Milestones!$AA$45),"dd/mm/yy")&amp;" "&amp;Milestones!$AB$45&amp;" "&amp;Milestones!$AC$45&amp;";  ","")&amp;IF(AND(EDATE($D134,Milestones!$AA$46)&lt;=AsOfDate,IF($Q134=0,$W134,IF(AND($S134&lt;&gt;"",EDATE($D134,Milestones!$AA$46)&gt;=$S134),$V134,IF(AND($R134&lt;&gt;"",EDATE($D134,Milestones!$AA$46)&gt;=$R134),$U134,$T134)))=Milestones!$AB$46),TEXT(EDATE($D134,Milestones!$AA$46),"dd/mm/yy")&amp;" "&amp;Milestones!$AB$46&amp;" "&amp;Milestones!$AC$46&amp;";  ","")&amp;IF(AND(EDATE($D134,Milestones!$AA$47)&lt;=AsOfDate,IF($Q134=0,$W134,IF(AND($S134&lt;&gt;"",EDATE($D134,Milestones!$AA$47)&gt;=$S134),$V134,IF(AND($R134&lt;&gt;"",EDATE($D134,Milestones!$AA$47)&gt;=$R134),$U134,$T134)))=Milestones!$AB$47),TEXT(EDATE($D134,Milestones!$AA$47),"dd/mm/yy")&amp;" "&amp;Milestones!$AB$47&amp;" "&amp;Milestones!$AC$47&amp;";  ","")&amp;IF(AND(EDATE($D134,Milestones!$AA$48)&lt;=AsOfDate,IF($Q134=0,$W134,IF(AND($S134&lt;&gt;"",EDATE($D134,Milestones!$AA$48)&gt;=$S134),$V134,IF(AND($R134&lt;&gt;"",EDATE($D134,Milestones!$AA$48)&gt;=$R134),$U134,$T134)))=Milestones!$AB$48),TEXT(EDATE($D134,Milestones!$AA$48),"dd/mm/yy")&amp;" "&amp;Milestones!$AB$48&amp;" "&amp;Milestones!$AC$48&amp;";  ","")&amp;IF(AND(EDATE($D134,Milestones!$AA$49)&lt;=AsOfDate,IF($Q134=0,$W134,IF(AND($S134&lt;&gt;"",EDATE($D134,Milestones!$AA$49)&gt;=$S134),$V134,IF(AND($R134&lt;&gt;"",EDATE($D134,Milestones!$AA$49)&gt;=$R134),$U134,$T134)))=Milestones!$AB$49),TEXT(EDATE($D134,Milestones!$AA$49),"dd/mm/yy")&amp;" "&amp;Milestones!$AB$49&amp;" "&amp;Milestones!$AC$49&amp;";  ","")&amp;IF(AND(EDATE($D134,Milestones!$AA$50)&lt;=AsOfDate,IF($Q134=0,$W134,IF(AND($S134&lt;&gt;"",EDATE($D134,Milestones!$AA$50)&gt;=$S134),$V134,IF(AND($R134&lt;&gt;"",EDATE($D134,Milestones!$AA$50)&gt;=$R134),$U134,$T134)))=Milestones!$AB$50),TEXT(EDATE($D134,Milestones!$AA$50),"dd/mm/yy")&amp;" "&amp;Milestones!$AB$50&amp;" "&amp;Milestones!$AC$50&amp;";  ","")&amp;IF(AND(EDATE($D134,Milestones!$AA$51)&lt;=AsOfDate,IF($Q134=0,$W134,IF(AND($S134&lt;&gt;"",EDATE($D134,Milestones!$AA$51)&gt;=$S134),$V134,IF(AND($R134&lt;&gt;"",EDATE($D134,Milestones!$AA$51)&gt;=$R134),$U134,$T134)))=Milestones!$AB$51),TEXT(EDATE($D134,Milestones!$AA$51),"dd/mm/yy")&amp;" "&amp;Milestones!$AB$51&amp;" "&amp;Milestones!$AC$51&amp;";  ","")&amp;IF(AND(EDATE($D134,Milestones!$AA$52)&lt;=AsOfDate,IF($Q134=0,$W134,IF(AND($S134&lt;&gt;"",EDATE($D134,Milestones!$AA$52)&gt;=$S134),$V134,IF(AND($R134&lt;&gt;"",EDATE($D134,Milestones!$AA$52)&gt;=$R134),$U134,$T134)))=Milestones!$AB$52),TEXT(EDATE($D134,Milestones!$AA$52),"dd/mm/yy")&amp;" "&amp;Milestones!$AB$52&amp;" "&amp;Milestones!$AC$52&amp;";  ","")&amp;IF(AND(EDATE($D134,Milestones!$AA$53)&lt;=AsOfDate,IF($Q134=0,$W134,IF(AND($S134&lt;&gt;"",EDATE($D134,Milestones!$AA$53)&gt;=$S134),$V134,IF(AND($R134&lt;&gt;"",EDATE($D134,Milestones!$AA$53)&gt;=$R134),$U134,$T134)))=Milestones!$AB$53),TEXT(EDATE($D134,Milestones!$AA$53),"dd/mm/yy")&amp;" "&amp;Milestones!$AB$53&amp;" "&amp;Milestones!$AC$53&amp;";  ","")&amp;IF(AND(EDATE($D134,Milestones!$AA$54)&lt;=AsOfDate,IF($Q134=0,$W134,IF(AND($S134&lt;&gt;"",EDATE($D134,Milestones!$AA$54)&gt;=$S134),$V134,IF(AND($R134&lt;&gt;"",EDATE($D134,Milestones!$AA$54)&gt;=$R134),$U134,$T134)))=Milestones!$AB$54),TEXT(EDATE($D134,Milestones!$AA$54),"dd/mm/yy")&amp;" "&amp;Milestones!$AB$54&amp;" "&amp;Milestones!$AC$54&amp;";  ","")&amp;IF(AND(EDATE($D134,Milestones!$AA$55)&lt;=AsOfDate,IF($Q134=0,$W134,IF(AND($S134&lt;&gt;"",EDATE($D134,Milestones!$AA$55)&gt;=$S134),$V134,IF(AND($R134&lt;&gt;"",EDATE($D134,Milestones!$AA$55)&gt;=$R134),$U134,$T134)))=Milestones!$AB$55),TEXT(EDATE($D134,Milestones!$AA$55),"dd/mm/yy")&amp;" "&amp;Milestones!$AB$55&amp;" "&amp;Milestones!$AC$55&amp;";  ","")&amp;IF(AND(EDATE($D134,Milestones!$AA$56)&lt;=AsOfDate,IF($Q134=0,$W134,IF(AND($S134&lt;&gt;"",EDATE($D134,Milestones!$AA$56)&gt;=$S134),$V134,IF(AND($R134&lt;&gt;"",EDATE($D134,Milestones!$AA$56)&gt;=$R134),$U134,$T134)))=Milestones!$AB$56),TEXT(EDATE($D134,Milestones!$AA$56),"dd/mm/yy")&amp;" "&amp;Milestones!$AB$56&amp;" "&amp;Milestones!$AC$56&amp;";  ","")&amp;IF(AND(EDATE($D134,Milestones!$AA$57)&lt;=AsOfDate,IF($Q134=0,$W134,IF(AND($S134&lt;&gt;"",EDATE($D134,Milestones!$AA$57)&gt;=$S134),$V134,IF(AND($R134&lt;&gt;"",EDATE($D134,Milestones!$AA$57)&gt;=$R134),$U134,$T134)))=Milestones!$AB$57),TEXT(EDATE($D134,Milestones!$AA$57),"dd/mm/yy")&amp;" "&amp;Milestones!$AB$57&amp;" "&amp;Milestones!$AC$57&amp;";  ","")&amp;IF(AND(EDATE($D134,Milestones!$AA$58)&lt;=AsOfDate,IF($Q134=0,$W134,IF(AND($S134&lt;&gt;"",EDATE($D134,Milestones!$AA$58)&gt;=$S134),$V134,IF(AND($R134&lt;&gt;"",EDATE($D134,Milestones!$AA$58)&gt;=$R134),$U134,$T134)))=Milestones!$AB$58),TEXT(EDATE($D134,Milestones!$AA$58),"dd/mm/yy")&amp;" "&amp;Milestones!$AB$58&amp;" "&amp;Milestones!$AC$58&amp;";  ","")&amp;IF(AND(EDATE($D134,Milestones!$AA$59)&lt;=AsOfDate,IF($Q134=0,$W134,IF(AND($S134&lt;&gt;"",EDATE($D134,Milestones!$AA$59)&gt;=$S134),$V134,IF(AND($R134&lt;&gt;"",EDATE($D134,Milestones!$AA$59)&gt;=$R134),$U134,$T134)))=Milestones!$AB$59),TEXT(EDATE($D134,Milestones!$AA$59),"dd/mm/yy")&amp;" "&amp;Milestones!$AB$59&amp;" "&amp;Milestones!$AC$59&amp;";  ",""))</f>
        <v/>
      </c>
      <c r="J134" s="0" t="str">
        <f aca="false">IF(OR($A134="",$D134=""),"",IF(AND(EDATE($D134,Milestones!$AA$60)&lt;=AsOfDate,IF($Q134=0,$W134,IF(AND($S134&lt;&gt;"",EDATE($D134,Milestones!$AA$60)&gt;=$S134),$V134,IF(AND($R134&lt;&gt;"",EDATE($D134,Milestones!$AA$60)&gt;=$R134),$U134,$T134)))=Milestones!$AB$60),TEXT(EDATE($D134,Milestones!$AA$60),"dd/mm/yy")&amp;" "&amp;Milestones!$AB$60&amp;" "&amp;Milestones!$AC$60&amp;";  ","")&amp;IF(AND(EDATE($D134,Milestones!$AA$61)&lt;=AsOfDate,IF($Q134=0,$W134,IF(AND($S134&lt;&gt;"",EDATE($D134,Milestones!$AA$61)&gt;=$S134),$V134,IF(AND($R134&lt;&gt;"",EDATE($D134,Milestones!$AA$61)&gt;=$R134),$U134,$T134)))=Milestones!$AB$61),TEXT(EDATE($D134,Milestones!$AA$61),"dd/mm/yy")&amp;" "&amp;Milestones!$AB$61&amp;" "&amp;Milestones!$AC$61&amp;";  ","")&amp;IF(AND(EDATE($D134,Milestones!$AA$62)&lt;=AsOfDate,IF($Q134=0,$W134,IF(AND($S134&lt;&gt;"",EDATE($D134,Milestones!$AA$62)&gt;=$S134),$V134,IF(AND($R134&lt;&gt;"",EDATE($D134,Milestones!$AA$62)&gt;=$R134),$U134,$T134)))=Milestones!$AB$62),TEXT(EDATE($D134,Milestones!$AA$62),"dd/mm/yy")&amp;" "&amp;Milestones!$AB$62&amp;" "&amp;Milestones!$AC$62&amp;";  ","")&amp;IF(AND(EDATE($D134,Milestones!$AA$63)&lt;=AsOfDate,IF($Q134=0,$W134,IF(AND($S134&lt;&gt;"",EDATE($D134,Milestones!$AA$63)&gt;=$S134),$V134,IF(AND($R134&lt;&gt;"",EDATE($D134,Milestones!$AA$63)&gt;=$R134),$U134,$T134)))=Milestones!$AB$63),TEXT(EDATE($D134,Milestones!$AA$63),"dd/mm/yy")&amp;" "&amp;Milestones!$AB$63&amp;" "&amp;Milestones!$AC$63&amp;";  ","")&amp;IF(AND(EDATE($D134,Milestones!$AA$64)&lt;=AsOfDate,IF($Q134=0,$W134,IF(AND($S134&lt;&gt;"",EDATE($D134,Milestones!$AA$64)&gt;=$S134),$V134,IF(AND($R134&lt;&gt;"",EDATE($D134,Milestones!$AA$64)&gt;=$R134),$U134,$T134)))=Milestones!$AB$64),TEXT(EDATE($D134,Milestones!$AA$64),"dd/mm/yy")&amp;" "&amp;Milestones!$AB$64&amp;" "&amp;Milestones!$AC$64&amp;";  ","")&amp;IF(AND(EDATE($D134,Milestones!$AA$65)&lt;=AsOfDate,IF($Q134=0,$W134,IF(AND($S134&lt;&gt;"",EDATE($D134,Milestones!$AA$65)&gt;=$S134),$V134,IF(AND($R134&lt;&gt;"",EDATE($D134,Milestones!$AA$65)&gt;=$R134),$U134,$T134)))=Milestones!$AB$65),TEXT(EDATE($D134,Milestones!$AA$65),"dd/mm/yy")&amp;" "&amp;Milestones!$AB$65&amp;" "&amp;Milestones!$AC$65&amp;";  ","")&amp;IF(AND(EDATE($D134,Milestones!$AA$66)&lt;=AsOfDate,IF($Q134=0,$W134,IF(AND($S134&lt;&gt;"",EDATE($D134,Milestones!$AA$66)&gt;=$S134),$V134,IF(AND($R134&lt;&gt;"",EDATE($D134,Milestones!$AA$66)&gt;=$R134),$U134,$T134)))=Milestones!$AB$66),TEXT(EDATE($D134,Milestones!$AA$66),"dd/mm/yy")&amp;" "&amp;Milestones!$AB$66&amp;" "&amp;Milestones!$AC$66&amp;";  ","")&amp;IF(AND(EDATE($D134,Milestones!$AA$67)&lt;=AsOfDate,IF($Q134=0,$W134,IF(AND($S134&lt;&gt;"",EDATE($D134,Milestones!$AA$67)&gt;=$S134),$V134,IF(AND($R134&lt;&gt;"",EDATE($D134,Milestones!$AA$67)&gt;=$R134),$U134,$T134)))=Milestones!$AB$67),TEXT(EDATE($D134,Milestones!$AA$67),"dd/mm/yy")&amp;" "&amp;Milestones!$AB$67&amp;" "&amp;Milestones!$AC$67&amp;";  ","")&amp;IF(AND(EDATE($D134,Milestones!$AA$68)&lt;=AsOfDate,IF($Q134=0,$W134,IF(AND($S134&lt;&gt;"",EDATE($D134,Milestones!$AA$68)&gt;=$S134),$V134,IF(AND($R134&lt;&gt;"",EDATE($D134,Milestones!$AA$68)&gt;=$R134),$U134,$T134)))=Milestones!$AB$68),TEXT(EDATE($D134,Milestones!$AA$68),"dd/mm/yy")&amp;" "&amp;Milestones!$AB$68&amp;" "&amp;Milestones!$AC$68&amp;";  ","")&amp;IF(AND(EDATE($D134,Milestones!$AA$69)&lt;=AsOfDate,IF($Q134=0,$W134,IF(AND($S134&lt;&gt;"",EDATE($D134,Milestones!$AA$69)&gt;=$S134),$V134,IF(AND($R134&lt;&gt;"",EDATE($D134,Milestones!$AA$69)&gt;=$R134),$U134,$T134)))=Milestones!$AB$69),TEXT(EDATE($D134,Milestones!$AA$69),"dd/mm/yy")&amp;" "&amp;Milestones!$AB$69&amp;" "&amp;Milestones!$AC$69&amp;";  ","")&amp;IF(AND(EDATE($D134,Milestones!$AA$70)&lt;=AsOfDate,IF($Q134=0,$W134,IF(AND($S134&lt;&gt;"",EDATE($D134,Milestones!$AA$70)&gt;=$S134),$V134,IF(AND($R134&lt;&gt;"",EDATE($D134,Milestones!$AA$70)&gt;=$R134),$U134,$T134)))=Milestones!$AB$70),TEXT(EDATE($D134,Milestones!$AA$70),"dd/mm/yy")&amp;" "&amp;Milestones!$AB$70&amp;" "&amp;Milestones!$AC$70&amp;";  ","")&amp;IF(AND(EDATE($D134,Milestones!$AA$71)&lt;=AsOfDate,IF($Q134=0,$W134,IF(AND($S134&lt;&gt;"",EDATE($D134,Milestones!$AA$71)&gt;=$S134),$V134,IF(AND($R134&lt;&gt;"",EDATE($D134,Milestones!$AA$71)&gt;=$R134),$U134,$T134)))=Milestones!$AB$71),TEXT(EDATE($D134,Milestones!$AA$71),"dd/mm/yy")&amp;" "&amp;Milestones!$AB$71&amp;" "&amp;Milestones!$AC$71&amp;";  ","")&amp;IF(AND(EDATE($D134,Milestones!$AA$72)&lt;=AsOfDate,IF($Q134=0,$W134,IF(AND($S134&lt;&gt;"",EDATE($D134,Milestones!$AA$72)&gt;=$S134),$V134,IF(AND($R134&lt;&gt;"",EDATE($D134,Milestones!$AA$72)&gt;=$R134),$U134,$T134)))=Milestones!$AB$72),TEXT(EDATE($D134,Milestones!$AA$72),"dd/mm/yy")&amp;" "&amp;Milestones!$AB$72&amp;" "&amp;Milestones!$AC$72&amp;";  ","")&amp;IF(AND(EDATE($D134,Milestones!$AA$73)&lt;=AsOfDate,IF($Q134=0,$W134,IF(AND($S134&lt;&gt;"",EDATE($D134,Milestones!$AA$73)&gt;=$S134),$V134,IF(AND($R134&lt;&gt;"",EDATE($D134,Milestones!$AA$73)&gt;=$R134),$U134,$T134)))=Milestones!$AB$73),TEXT(EDATE($D134,Milestones!$AA$73),"dd/mm/yy")&amp;" "&amp;Milestones!$AB$73&amp;" "&amp;Milestones!$AC$73&amp;";  ","")&amp;IF(AND(EDATE($D134,Milestones!$AA$74)&lt;=AsOfDate,IF($Q134=0,$W134,IF(AND($S134&lt;&gt;"",EDATE($D134,Milestones!$AA$74)&gt;=$S134),$V134,IF(AND($R134&lt;&gt;"",EDATE($D134,Milestones!$AA$74)&gt;=$R134),$U134,$T134)))=Milestones!$AB$74),TEXT(EDATE($D134,Milestones!$AA$74),"dd/mm/yy")&amp;" "&amp;Milestones!$AB$74&amp;" "&amp;Milestones!$AC$74&amp;";  ","")&amp;IF(AND(EDATE($D134,Milestones!$AA$75)&lt;=AsOfDate,IF($Q134=0,$W134,IF(AND($S134&lt;&gt;"",EDATE($D134,Milestones!$AA$75)&gt;=$S134),$V134,IF(AND($R134&lt;&gt;"",EDATE($D134,Milestones!$AA$75)&gt;=$R134),$U134,$T134)))=Milestones!$AB$75),TEXT(EDATE($D134,Milestones!$AA$75),"dd/mm/yy")&amp;" "&amp;Milestones!$AB$75&amp;" "&amp;Milestones!$AC$75&amp;";  ","")&amp;IF(AND(EDATE($D134,Milestones!$AA$76)&lt;=AsOfDate,IF($Q134=0,$W134,IF(AND($S134&lt;&gt;"",EDATE($D134,Milestones!$AA$76)&gt;=$S134),$V134,IF(AND($R134&lt;&gt;"",EDATE($D134,Milestones!$AA$76)&gt;=$R134),$U134,$T134)))=Milestones!$AB$76),TEXT(EDATE($D134,Milestones!$AA$76),"dd/mm/yy")&amp;" "&amp;Milestones!$AB$76&amp;" "&amp;Milestones!$AC$76&amp;";  ","")&amp;IF(AND(EDATE($D134,Milestones!$AA$77)&lt;=AsOfDate,IF($Q134=0,$W134,IF(AND($S134&lt;&gt;"",EDATE($D134,Milestones!$AA$77)&gt;=$S134),$V134,IF(AND($R134&lt;&gt;"",EDATE($D134,Milestones!$AA$77)&gt;=$R134),$U134,$T134)))=Milestones!$AB$77),TEXT(EDATE($D134,Milestones!$AA$77),"dd/mm/yy")&amp;" "&amp;Milestones!$AB$77&amp;" "&amp;Milestones!$AC$77&amp;";  ","")&amp;IF(AND(EDATE($D134,Milestones!$AA$78)&lt;=AsOfDate,IF($Q134=0,$W134,IF(AND($S134&lt;&gt;"",EDATE($D134,Milestones!$AA$78)&gt;=$S134),$V134,IF(AND($R134&lt;&gt;"",EDATE($D134,Milestones!$AA$78)&gt;=$R134),$U134,$T134)))=Milestones!$AB$78),TEXT(EDATE($D134,Milestones!$AA$78),"dd/mm/yy")&amp;" "&amp;Milestones!$AB$78&amp;" "&amp;Milestones!$AC$78&amp;";  ","")&amp;IF(AND(EDATE($D134,Milestones!$AA$79)&lt;=AsOfDate,IF($Q134=0,$W134,IF(AND($S134&lt;&gt;"",EDATE($D134,Milestones!$AA$79)&gt;=$S134),$V134,IF(AND($R134&lt;&gt;"",EDATE($D134,Milestones!$AA$79)&gt;=$R134),$U134,$T134)))=Milestones!$AB$79),TEXT(EDATE($D134,Milestones!$AA$79),"dd/mm/yy")&amp;" "&amp;Milestones!$AB$79&amp;" "&amp;Milestones!$AC$79&amp;";  ",""))</f>
        <v/>
      </c>
      <c r="K134" s="0" t="str">
        <f aca="false">IF(OR($A134="",$D134=""),"",IF(AND(EDATE($D134,Milestones!$AA$80)&lt;=AsOfDate,IF($Q134=0,$W134,IF(AND($S134&lt;&gt;"",EDATE($D134,Milestones!$AA$80)&gt;=$S134),$V134,IF(AND($R134&lt;&gt;"",EDATE($D134,Milestones!$AA$80)&gt;=$R134),$U134,$T134)))=Milestones!$AB$80),TEXT(EDATE($D134,Milestones!$AA$80),"dd/mm/yy")&amp;" "&amp;Milestones!$AB$80&amp;" "&amp;Milestones!$AC$80&amp;";  ","")&amp;IF(AND(EDATE($D134,Milestones!$AA$81)&lt;=AsOfDate,IF($Q134=0,$W134,IF(AND($S134&lt;&gt;"",EDATE($D134,Milestones!$AA$81)&gt;=$S134),$V134,IF(AND($R134&lt;&gt;"",EDATE($D134,Milestones!$AA$81)&gt;=$R134),$U134,$T134)))=Milestones!$AB$81),TEXT(EDATE($D134,Milestones!$AA$81),"dd/mm/yy")&amp;" "&amp;Milestones!$AB$81&amp;" "&amp;Milestones!$AC$81&amp;";  ","")&amp;IF(AND(EDATE($D134,Milestones!$AA$82)&lt;=AsOfDate,IF($Q134=0,$W134,IF(AND($S134&lt;&gt;"",EDATE($D134,Milestones!$AA$82)&gt;=$S134),$V134,IF(AND($R134&lt;&gt;"",EDATE($D134,Milestones!$AA$82)&gt;=$R134),$U134,$T134)))=Milestones!$AB$82),TEXT(EDATE($D134,Milestones!$AA$82),"dd/mm/yy")&amp;" "&amp;Milestones!$AB$82&amp;" "&amp;Milestones!$AC$82&amp;";  ","")&amp;IF(AND(EDATE($D134,Milestones!$AA$83)&lt;=AsOfDate,IF($Q134=0,$W134,IF(AND($S134&lt;&gt;"",EDATE($D134,Milestones!$AA$83)&gt;=$S134),$V134,IF(AND($R134&lt;&gt;"",EDATE($D134,Milestones!$AA$83)&gt;=$R134),$U134,$T134)))=Milestones!$AB$83),TEXT(EDATE($D134,Milestones!$AA$83),"dd/mm/yy")&amp;" "&amp;Milestones!$AB$83&amp;" "&amp;Milestones!$AC$83&amp;";  ","")&amp;IF(AND(EDATE($D134,Milestones!$AA$84)&lt;=AsOfDate,IF($Q134=0,$W134,IF(AND($S134&lt;&gt;"",EDATE($D134,Milestones!$AA$84)&gt;=$S134),$V134,IF(AND($R134&lt;&gt;"",EDATE($D134,Milestones!$AA$84)&gt;=$R134),$U134,$T134)))=Milestones!$AB$84),TEXT(EDATE($D134,Milestones!$AA$84),"dd/mm/yy")&amp;" "&amp;Milestones!$AB$84&amp;" "&amp;Milestones!$AC$84&amp;";  ","")&amp;IF(AND(EDATE($D134,Milestones!$AA$85)&lt;=AsOfDate,IF($Q134=0,$W134,IF(AND($S134&lt;&gt;"",EDATE($D134,Milestones!$AA$85)&gt;=$S134),$V134,IF(AND($R134&lt;&gt;"",EDATE($D134,Milestones!$AA$85)&gt;=$R134),$U134,$T134)))=Milestones!$AB$85),TEXT(EDATE($D134,Milestones!$AA$85),"dd/mm/yy")&amp;" "&amp;Milestones!$AB$85&amp;" "&amp;Milestones!$AC$85&amp;";  ","")&amp;IF(AND(EDATE($D134,Milestones!$AA$86)&lt;=AsOfDate,IF($Q134=0,$W134,IF(AND($S134&lt;&gt;"",EDATE($D134,Milestones!$AA$86)&gt;=$S134),$V134,IF(AND($R134&lt;&gt;"",EDATE($D134,Milestones!$AA$86)&gt;=$R134),$U134,$T134)))=Milestones!$AB$86),TEXT(EDATE($D134,Milestones!$AA$86),"dd/mm/yy")&amp;" "&amp;Milestones!$AB$86&amp;" "&amp;Milestones!$AC$86&amp;";  ","")&amp;IF(AND(EDATE($D134,Milestones!$AA$87)&lt;=AsOfDate,IF($Q134=0,$W134,IF(AND($S134&lt;&gt;"",EDATE($D134,Milestones!$AA$87)&gt;=$S134),$V134,IF(AND($R134&lt;&gt;"",EDATE($D134,Milestones!$AA$87)&gt;=$R134),$U134,$T134)))=Milestones!$AB$87),TEXT(EDATE($D134,Milestones!$AA$87),"dd/mm/yy")&amp;" "&amp;Milestones!$AB$87&amp;" "&amp;Milestones!$AC$87&amp;";  ","")&amp;IF(AND(EDATE($D134,Milestones!$AA$88)&lt;=AsOfDate,IF($Q134=0,$W134,IF(AND($S134&lt;&gt;"",EDATE($D134,Milestones!$AA$88)&gt;=$S134),$V134,IF(AND($R134&lt;&gt;"",EDATE($D134,Milestones!$AA$88)&gt;=$R134),$U134,$T134)))=Milestones!$AB$88),TEXT(EDATE($D134,Milestones!$AA$88),"dd/mm/yy")&amp;" "&amp;Milestones!$AB$88&amp;" "&amp;Milestones!$AC$88&amp;";  ","")&amp;IF(AND(EDATE($D134,Milestones!$AA$89)&lt;=AsOfDate,IF($Q134=0,$W134,IF(AND($S134&lt;&gt;"",EDATE($D134,Milestones!$AA$89)&gt;=$S134),$V134,IF(AND($R134&lt;&gt;"",EDATE($D134,Milestones!$AA$89)&gt;=$R134),$U134,$T134)))=Milestones!$AB$89),TEXT(EDATE($D134,Milestones!$AA$89),"dd/mm/yy")&amp;" "&amp;Milestones!$AB$89&amp;" "&amp;Milestones!$AC$89&amp;";  ","")&amp;IF(AND(EDATE($D134,Milestones!$AA$90)&lt;=AsOfDate,IF($Q134=0,$W134,IF(AND($S134&lt;&gt;"",EDATE($D134,Milestones!$AA$90)&gt;=$S134),$V134,IF(AND($R134&lt;&gt;"",EDATE($D134,Milestones!$AA$90)&gt;=$R134),$U134,$T134)))=Milestones!$AB$90),TEXT(EDATE($D134,Milestones!$AA$90),"dd/mm/yy")&amp;" "&amp;Milestones!$AB$90&amp;" "&amp;Milestones!$AC$90&amp;";  ","")&amp;IF(AND(EDATE($D134,Milestones!$AA$91)&lt;=AsOfDate,IF($Q134=0,$W134,IF(AND($S134&lt;&gt;"",EDATE($D134,Milestones!$AA$91)&gt;=$S134),$V134,IF(AND($R134&lt;&gt;"",EDATE($D134,Milestones!$AA$91)&gt;=$R134),$U134,$T134)))=Milestones!$AB$91),TEXT(EDATE($D134,Milestones!$AA$91),"dd/mm/yy")&amp;" "&amp;Milestones!$AB$91&amp;" "&amp;Milestones!$AC$91&amp;";  ","")&amp;IF(AND(EDATE($D134,Milestones!$AA$92)&lt;=AsOfDate,IF($Q134=0,$W134,IF(AND($S134&lt;&gt;"",EDATE($D134,Milestones!$AA$92)&gt;=$S134),$V134,IF(AND($R134&lt;&gt;"",EDATE($D134,Milestones!$AA$92)&gt;=$R134),$U134,$T134)))=Milestones!$AB$92),TEXT(EDATE($D134,Milestones!$AA$92),"dd/mm/yy")&amp;" "&amp;Milestones!$AB$92&amp;" "&amp;Milestones!$AC$92&amp;";  ","")&amp;IF(AND(EDATE($D134,Milestones!$AA$93)&lt;=AsOfDate,IF($Q134=0,$W134,IF(AND($S134&lt;&gt;"",EDATE($D134,Milestones!$AA$93)&gt;=$S134),$V134,IF(AND($R134&lt;&gt;"",EDATE($D134,Milestones!$AA$93)&gt;=$R134),$U134,$T134)))=Milestones!$AB$93),TEXT(EDATE($D134,Milestones!$AA$93),"dd/mm/yy")&amp;" "&amp;Milestones!$AB$93&amp;" "&amp;Milestones!$AC$93&amp;";  ","")&amp;IF(AND(EDATE($D134,Milestones!$AA$94)&lt;=AsOfDate,IF($Q134=0,$W134,IF(AND($S134&lt;&gt;"",EDATE($D134,Milestones!$AA$94)&gt;=$S134),$V134,IF(AND($R134&lt;&gt;"",EDATE($D134,Milestones!$AA$94)&gt;=$R134),$U134,$T134)))=Milestones!$AB$94),TEXT(EDATE($D134,Milestones!$AA$94),"dd/mm/yy")&amp;" "&amp;Milestones!$AB$94&amp;" "&amp;Milestones!$AC$94&amp;";  ","")&amp;IF(AND(EDATE($D134,Milestones!$AA$95)&lt;=AsOfDate,IF($Q134=0,$W134,IF(AND($S134&lt;&gt;"",EDATE($D134,Milestones!$AA$95)&gt;=$S134),$V134,IF(AND($R134&lt;&gt;"",EDATE($D134,Milestones!$AA$95)&gt;=$R134),$U134,$T134)))=Milestones!$AB$95),TEXT(EDATE($D134,Milestones!$AA$95),"dd/mm/yy")&amp;" "&amp;Milestones!$AB$95&amp;" "&amp;Milestones!$AC$95&amp;";  ","")&amp;IF(AND(EDATE($D134,Milestones!$AA$96)&lt;=AsOfDate,IF($Q134=0,$W134,IF(AND($S134&lt;&gt;"",EDATE($D134,Milestones!$AA$96)&gt;=$S134),$V134,IF(AND($R134&lt;&gt;"",EDATE($D134,Milestones!$AA$96)&gt;=$R134),$U134,$T134)))=Milestones!$AB$96),TEXT(EDATE($D134,Milestones!$AA$96),"dd/mm/yy")&amp;" "&amp;Milestones!$AB$96&amp;" "&amp;Milestones!$AC$96&amp;";  ","")&amp;IF(AND(EDATE($D134,Milestones!$AA$97)&lt;=AsOfDate,IF($Q134=0,$W134,IF(AND($S134&lt;&gt;"",EDATE($D134,Milestones!$AA$97)&gt;=$S134),$V134,IF(AND($R134&lt;&gt;"",EDATE($D134,Milestones!$AA$97)&gt;=$R134),$U134,$T134)))=Milestones!$AB$97),TEXT(EDATE($D134,Milestones!$AA$97),"dd/mm/yy")&amp;" "&amp;Milestones!$AB$97&amp;" "&amp;Milestones!$AC$97&amp;";  ","")&amp;IF(AND(EDATE($D134,Milestones!$AA$98)&lt;=AsOfDate,IF($Q134=0,$W134,IF(AND($S134&lt;&gt;"",EDATE($D134,Milestones!$AA$98)&gt;=$S134),$V134,IF(AND($R134&lt;&gt;"",EDATE($D134,Milestones!$AA$98)&gt;=$R134),$U134,$T134)))=Milestones!$AB$98),TEXT(EDATE($D134,Milestones!$AA$98),"dd/mm/yy")&amp;" "&amp;Milestones!$AB$98&amp;" "&amp;Milestones!$AC$98&amp;";  ","")&amp;IF(AND(EDATE($D134,Milestones!$AA$99)&lt;=AsOfDate,IF($Q134=0,$W134,IF(AND($S134&lt;&gt;"",EDATE($D134,Milestones!$AA$99)&gt;=$S134),$V134,IF(AND($R134&lt;&gt;"",EDATE($D134,Milestones!$AA$99)&gt;=$R134),$U134,$T134)))=Milestones!$AB$99),TEXT(EDATE($D134,Milestones!$AA$99),"dd/mm/yy")&amp;" "&amp;Milestones!$AB$99&amp;" "&amp;Milestones!$AC$99&amp;";  ",""))</f>
        <v/>
      </c>
      <c r="L134" s="0" t="str">
        <f aca="false">IF(OR($A134="",$D134=""),"",IF(AND(EDATE($D134,Milestones!$AA$100)&lt;=AsOfDate,IF($Q134=0,$W134,IF(AND($S134&lt;&gt;"",EDATE($D134,Milestones!$AA$100)&gt;=$S134),$V134,IF(AND($R134&lt;&gt;"",EDATE($D134,Milestones!$AA$100)&gt;=$R134),$U134,$T134)))=Milestones!$AB$100),TEXT(EDATE($D134,Milestones!$AA$100),"dd/mm/yy")&amp;" "&amp;Milestones!$AB$100&amp;" "&amp;Milestones!$AC$100&amp;";  ","")&amp;IF(AND(EDATE($D134,Milestones!$AA$101)&lt;=AsOfDate,IF($Q134=0,$W134,IF(AND($S134&lt;&gt;"",EDATE($D134,Milestones!$AA$101)&gt;=$S134),$V134,IF(AND($R134&lt;&gt;"",EDATE($D134,Milestones!$AA$101)&gt;=$R134),$U134,$T134)))=Milestones!$AB$101),TEXT(EDATE($D134,Milestones!$AA$101),"dd/mm/yy")&amp;" "&amp;Milestones!$AB$101&amp;" "&amp;Milestones!$AC$101&amp;";  ","")&amp;IF(AND(EDATE($D134,Milestones!$AA$102)&lt;=AsOfDate,IF($Q134=0,$W134,IF(AND($S134&lt;&gt;"",EDATE($D134,Milestones!$AA$102)&gt;=$S134),$V134,IF(AND($R134&lt;&gt;"",EDATE($D134,Milestones!$AA$102)&gt;=$R134),$U134,$T134)))=Milestones!$AB$102),TEXT(EDATE($D134,Milestones!$AA$102),"dd/mm/yy")&amp;" "&amp;Milestones!$AB$102&amp;" "&amp;Milestones!$AC$102&amp;";  ","")&amp;IF(AND(EDATE($D134,Milestones!$AA$103)&lt;=AsOfDate,IF($Q134=0,$W134,IF(AND($S134&lt;&gt;"",EDATE($D134,Milestones!$AA$103)&gt;=$S134),$V134,IF(AND($R134&lt;&gt;"",EDATE($D134,Milestones!$AA$103)&gt;=$R134),$U134,$T134)))=Milestones!$AB$103),TEXT(EDATE($D134,Milestones!$AA$103),"dd/mm/yy")&amp;" "&amp;Milestones!$AB$103&amp;" "&amp;Milestones!$AC$103&amp;";  ","")&amp;IF(AND(EDATE($D134,Milestones!$AA$104)&lt;=AsOfDate,IF($Q134=0,$W134,IF(AND($S134&lt;&gt;"",EDATE($D134,Milestones!$AA$104)&gt;=$S134),$V134,IF(AND($R134&lt;&gt;"",EDATE($D134,Milestones!$AA$104)&gt;=$R134),$U134,$T134)))=Milestones!$AB$104),TEXT(EDATE($D134,Milestones!$AA$104),"dd/mm/yy")&amp;" "&amp;Milestones!$AB$104&amp;" "&amp;Milestones!$AC$104&amp;";  ","")&amp;IF(AND(EDATE($D134,Milestones!$AA$105)&lt;=AsOfDate,IF($Q134=0,$W134,IF(AND($S134&lt;&gt;"",EDATE($D134,Milestones!$AA$105)&gt;=$S134),$V134,IF(AND($R134&lt;&gt;"",EDATE($D134,Milestones!$AA$105)&gt;=$R134),$U134,$T134)))=Milestones!$AB$105),TEXT(EDATE($D134,Milestones!$AA$105),"dd/mm/yy")&amp;" "&amp;Milestones!$AB$105&amp;" "&amp;Milestones!$AC$105&amp;";  ","")&amp;IF(AND(EDATE($D134,Milestones!$AA$106)&lt;=AsOfDate,IF($Q134=0,$W134,IF(AND($S134&lt;&gt;"",EDATE($D134,Milestones!$AA$106)&gt;=$S134),$V134,IF(AND($R134&lt;&gt;"",EDATE($D134,Milestones!$AA$106)&gt;=$R134),$U134,$T134)))=Milestones!$AB$106),TEXT(EDATE($D134,Milestones!$AA$106),"dd/mm/yy")&amp;" "&amp;Milestones!$AB$106&amp;" "&amp;Milestones!$AC$106&amp;";  ","")&amp;IF(AND(EDATE($D134,Milestones!$AA$107)&lt;=AsOfDate,IF($Q134=0,$W134,IF(AND($S134&lt;&gt;"",EDATE($D134,Milestones!$AA$107)&gt;=$S134),$V134,IF(AND($R134&lt;&gt;"",EDATE($D134,Milestones!$AA$107)&gt;=$R134),$U134,$T134)))=Milestones!$AB$107),TEXT(EDATE($D134,Milestones!$AA$107),"dd/mm/yy")&amp;" "&amp;Milestones!$AB$107&amp;" "&amp;Milestones!$AC$107&amp;";  ","")&amp;IF(AND(EDATE($D134,Milestones!$AA$108)&lt;=AsOfDate,IF($Q134=0,$W134,IF(AND($S134&lt;&gt;"",EDATE($D134,Milestones!$AA$108)&gt;=$S134),$V134,IF(AND($R134&lt;&gt;"",EDATE($D134,Milestones!$AA$108)&gt;=$R134),$U134,$T134)))=Milestones!$AB$108),TEXT(EDATE($D134,Milestones!$AA$108),"dd/mm/yy")&amp;" "&amp;Milestones!$AB$108&amp;" "&amp;Milestones!$AC$108&amp;";  ","")&amp;IF(AND(EDATE($D134,Milestones!$AA$109)&lt;=AsOfDate,IF($Q134=0,$W134,IF(AND($S134&lt;&gt;"",EDATE($D134,Milestones!$AA$109)&gt;=$S134),$V134,IF(AND($R134&lt;&gt;"",EDATE($D134,Milestones!$AA$109)&gt;=$R134),$U134,$T134)))=Milestones!$AB$109),TEXT(EDATE($D134,Milestones!$AA$109),"dd/mm/yy")&amp;" "&amp;Milestones!$AB$109&amp;" "&amp;Milestones!$AC$109&amp;";  ","")&amp;IF(AND(EDATE($D134,Milestones!$AA$110)&lt;=AsOfDate,IF($Q134=0,$W134,IF(AND($S134&lt;&gt;"",EDATE($D134,Milestones!$AA$110)&gt;=$S134),$V134,IF(AND($R134&lt;&gt;"",EDATE($D134,Milestones!$AA$110)&gt;=$R134),$U134,$T134)))=Milestones!$AB$110),TEXT(EDATE($D134,Milestones!$AA$110),"dd/mm/yy")&amp;" "&amp;Milestones!$AB$110&amp;" "&amp;Milestones!$AC$110&amp;";  ","")&amp;IF(AND(EDATE($D134,Milestones!$AA$111)&lt;=AsOfDate,IF($Q134=0,$W134,IF(AND($S134&lt;&gt;"",EDATE($D134,Milestones!$AA$111)&gt;=$S134),$V134,IF(AND($R134&lt;&gt;"",EDATE($D134,Milestones!$AA$111)&gt;=$R134),$U134,$T134)))=Milestones!$AB$111),TEXT(EDATE($D134,Milestones!$AA$111),"dd/mm/yy")&amp;" "&amp;Milestones!$AB$111&amp;" "&amp;Milestones!$AC$111&amp;";  ","")&amp;IF(AND(EDATE($D134,Milestones!$AA$112)&lt;=AsOfDate,IF($Q134=0,$W134,IF(AND($S134&lt;&gt;"",EDATE($D134,Milestones!$AA$112)&gt;=$S134),$V134,IF(AND($R134&lt;&gt;"",EDATE($D134,Milestones!$AA$112)&gt;=$R134),$U134,$T134)))=Milestones!$AB$112),TEXT(EDATE($D134,Milestones!$AA$112),"dd/mm/yy")&amp;" "&amp;Milestones!$AB$112&amp;" "&amp;Milestones!$AC$112&amp;";  ","")&amp;IF(AND(EDATE($D134,Milestones!$AA$113)&lt;=AsOfDate,IF($Q134=0,$W134,IF(AND($S134&lt;&gt;"",EDATE($D134,Milestones!$AA$113)&gt;=$S134),$V134,IF(AND($R134&lt;&gt;"",EDATE($D134,Milestones!$AA$113)&gt;=$R134),$U134,$T134)))=Milestones!$AB$113),TEXT(EDATE($D134,Milestones!$AA$113),"dd/mm/yy")&amp;" "&amp;Milestones!$AB$113&amp;" "&amp;Milestones!$AC$113&amp;";  ","")&amp;IF(AND(EDATE($D134,Milestones!$AA$114)&lt;=AsOfDate,IF($Q134=0,$W134,IF(AND($S134&lt;&gt;"",EDATE($D134,Milestones!$AA$114)&gt;=$S134),$V134,IF(AND($R134&lt;&gt;"",EDATE($D134,Milestones!$AA$114)&gt;=$R134),$U134,$T134)))=Milestones!$AB$114),TEXT(EDATE($D134,Milestones!$AA$114),"dd/mm/yy")&amp;" "&amp;Milestones!$AB$114&amp;" "&amp;Milestones!$AC$114&amp;";  ","")&amp;IF(AND(EDATE($D134,Milestones!$AA$115)&lt;=AsOfDate,IF($Q134=0,$W134,IF(AND($S134&lt;&gt;"",EDATE($D134,Milestones!$AA$115)&gt;=$S134),$V134,IF(AND($R134&lt;&gt;"",EDATE($D134,Milestones!$AA$115)&gt;=$R134),$U134,$T134)))=Milestones!$AB$115),TEXT(EDATE($D134,Milestones!$AA$115),"dd/mm/yy")&amp;" "&amp;Milestones!$AB$115&amp;" "&amp;Milestones!$AC$115&amp;";  ","")&amp;IF(AND(EDATE($D134,Milestones!$AA$116)&lt;=AsOfDate,IF($Q134=0,$W134,IF(AND($S134&lt;&gt;"",EDATE($D134,Milestones!$AA$116)&gt;=$S134),$V134,IF(AND($R134&lt;&gt;"",EDATE($D134,Milestones!$AA$116)&gt;=$R134),$U134,$T134)))=Milestones!$AB$116),TEXT(EDATE($D134,Milestones!$AA$116),"dd/mm/yy")&amp;" "&amp;Milestones!$AB$116&amp;" "&amp;Milestones!$AC$116&amp;";  ","")&amp;IF(AND(EDATE($D134,Milestones!$AA$117)&lt;=AsOfDate,IF($Q134=0,$W134,IF(AND($S134&lt;&gt;"",EDATE($D134,Milestones!$AA$117)&gt;=$S134),$V134,IF(AND($R134&lt;&gt;"",EDATE($D134,Milestones!$AA$117)&gt;=$R134),$U134,$T134)))=Milestones!$AB$117),TEXT(EDATE($D134,Milestones!$AA$117),"dd/mm/yy")&amp;" "&amp;Milestones!$AB$117&amp;" "&amp;Milestones!$AC$117&amp;";  ","")&amp;IF(AND(EDATE($D134,Milestones!$AA$118)&lt;=AsOfDate,IF($Q134=0,$W134,IF(AND($S134&lt;&gt;"",EDATE($D134,Milestones!$AA$118)&gt;=$S134),$V134,IF(AND($R134&lt;&gt;"",EDATE($D134,Milestones!$AA$118)&gt;=$R134),$U134,$T134)))=Milestones!$AB$118),TEXT(EDATE($D134,Milestones!$AA$118),"dd/mm/yy")&amp;" "&amp;Milestones!$AB$118&amp;" "&amp;Milestones!$AC$118&amp;";  ","")&amp;IF(AND(EDATE($D134,Milestones!$AA$119)&lt;=AsOfDate,IF($Q134=0,$W134,IF(AND($S134&lt;&gt;"",EDATE($D134,Milestones!$AA$119)&gt;=$S134),$V134,IF(AND($R134&lt;&gt;"",EDATE($D134,Milestones!$AA$119)&gt;=$R134),$U134,$T134)))=Milestones!$AB$119),TEXT(EDATE($D134,Milestones!$AA$119),"dd/mm/yy")&amp;" "&amp;Milestones!$AB$119&amp;" "&amp;Milestones!$AC$119&amp;";  ",""))</f>
        <v/>
      </c>
      <c r="M134" s="0" t="str">
        <f aca="false">IF(OR($A134="",$D134=""),"",IF(AND(EDATE($D134,Milestones!$AA$120)&lt;=AsOfDate,IF($Q134=0,$W134,IF(AND($S134&lt;&gt;"",EDATE($D134,Milestones!$AA$120)&gt;=$S134),$V134,IF(AND($R134&lt;&gt;"",EDATE($D134,Milestones!$AA$120)&gt;=$R134),$U134,$T134)))=Milestones!$AB$120),TEXT(EDATE($D134,Milestones!$AA$120),"dd/mm/yy")&amp;" "&amp;Milestones!$AB$120&amp;" "&amp;Milestones!$AC$120&amp;";  ","")&amp;IF(AND(EDATE($D134,Milestones!$AA$121)&lt;=AsOfDate,IF($Q134=0,$W134,IF(AND($S134&lt;&gt;"",EDATE($D134,Milestones!$AA$121)&gt;=$S134),$V134,IF(AND($R134&lt;&gt;"",EDATE($D134,Milestones!$AA$121)&gt;=$R134),$U134,$T134)))=Milestones!$AB$121),TEXT(EDATE($D134,Milestones!$AA$121),"dd/mm/yy")&amp;" "&amp;Milestones!$AB$121&amp;" "&amp;Milestones!$AC$121&amp;";  ","")&amp;IF(AND(EDATE($D134,Milestones!$AA$122)&lt;=AsOfDate,IF($Q134=0,$W134,IF(AND($S134&lt;&gt;"",EDATE($D134,Milestones!$AA$122)&gt;=$S134),$V134,IF(AND($R134&lt;&gt;"",EDATE($D134,Milestones!$AA$122)&gt;=$R134),$U134,$T134)))=Milestones!$AB$122),TEXT(EDATE($D134,Milestones!$AA$122),"dd/mm/yy")&amp;" "&amp;Milestones!$AB$122&amp;" "&amp;Milestones!$AC$122&amp;";  ","")&amp;IF(AND(EDATE($D134,Milestones!$AA$123)&lt;=AsOfDate,IF($Q134=0,$W134,IF(AND($S134&lt;&gt;"",EDATE($D134,Milestones!$AA$123)&gt;=$S134),$V134,IF(AND($R134&lt;&gt;"",EDATE($D134,Milestones!$AA$123)&gt;=$R134),$U134,$T134)))=Milestones!$AB$123),TEXT(EDATE($D134,Milestones!$AA$123),"dd/mm/yy")&amp;" "&amp;Milestones!$AB$123&amp;" "&amp;Milestones!$AC$123&amp;";  ","")&amp;IF(AND(EDATE($D134,Milestones!$AA$124)&lt;=AsOfDate,IF($Q134=0,$W134,IF(AND($S134&lt;&gt;"",EDATE($D134,Milestones!$AA$124)&gt;=$S134),$V134,IF(AND($R134&lt;&gt;"",EDATE($D134,Milestones!$AA$124)&gt;=$R134),$U134,$T134)))=Milestones!$AB$124),TEXT(EDATE($D134,Milestones!$AA$124),"dd/mm/yy")&amp;" "&amp;Milestones!$AB$124&amp;" "&amp;Milestones!$AC$124&amp;";  ","")&amp;IF(AND(EDATE($D134,Milestones!$AA$125)&lt;=AsOfDate,IF($Q134=0,$W134,IF(AND($S134&lt;&gt;"",EDATE($D134,Milestones!$AA$125)&gt;=$S134),$V134,IF(AND($R134&lt;&gt;"",EDATE($D134,Milestones!$AA$125)&gt;=$R134),$U134,$T134)))=Milestones!$AB$125),TEXT(EDATE($D134,Milestones!$AA$125),"dd/mm/yy")&amp;" "&amp;Milestones!$AB$125&amp;" "&amp;Milestones!$AC$125&amp;";  ","")&amp;IF(AND(EDATE($D134,Milestones!$AA$126)&lt;=AsOfDate,IF($Q134=0,$W134,IF(AND($S134&lt;&gt;"",EDATE($D134,Milestones!$AA$126)&gt;=$S134),$V134,IF(AND($R134&lt;&gt;"",EDATE($D134,Milestones!$AA$126)&gt;=$R134),$U134,$T134)))=Milestones!$AB$126),TEXT(EDATE($D134,Milestones!$AA$126),"dd/mm/yy")&amp;" "&amp;Milestones!$AB$126&amp;" "&amp;Milestones!$AC$126&amp;";  ","")&amp;IF(AND(EDATE($D134,Milestones!$AA$127)&lt;=AsOfDate,IF($Q134=0,$W134,IF(AND($S134&lt;&gt;"",EDATE($D134,Milestones!$AA$127)&gt;=$S134),$V134,IF(AND($R134&lt;&gt;"",EDATE($D134,Milestones!$AA$127)&gt;=$R134),$U134,$T134)))=Milestones!$AB$127),TEXT(EDATE($D134,Milestones!$AA$127),"dd/mm/yy")&amp;" "&amp;Milestones!$AB$127&amp;" "&amp;Milestones!$AC$127&amp;";  ","")&amp;IF(AND(EDATE($D134,Milestones!$AA$128)&lt;=AsOfDate,IF($Q134=0,$W134,IF(AND($S134&lt;&gt;"",EDATE($D134,Milestones!$AA$128)&gt;=$S134),$V134,IF(AND($R134&lt;&gt;"",EDATE($D134,Milestones!$AA$128)&gt;=$R134),$U134,$T134)))=Milestones!$AB$128),TEXT(EDATE($D134,Milestones!$AA$128),"dd/mm/yy")&amp;" "&amp;Milestones!$AB$128&amp;" "&amp;Milestones!$AC$128&amp;";  ","")&amp;IF(AND(EDATE($D134,Milestones!$AA$129)&lt;=AsOfDate,IF($Q134=0,$W134,IF(AND($S134&lt;&gt;"",EDATE($D134,Milestones!$AA$129)&gt;=$S134),$V134,IF(AND($R134&lt;&gt;"",EDATE($D134,Milestones!$AA$129)&gt;=$R134),$U134,$T134)))=Milestones!$AB$129),TEXT(EDATE($D134,Milestones!$AA$129),"dd/mm/yy")&amp;" "&amp;Milestones!$AB$129&amp;" "&amp;Milestones!$AC$129&amp;";  ","")&amp;IF(AND(EDATE($D134,Milestones!$AA$130)&lt;=AsOfDate,IF($Q134=0,$W134,IF(AND($S134&lt;&gt;"",EDATE($D134,Milestones!$AA$130)&gt;=$S134),$V134,IF(AND($R134&lt;&gt;"",EDATE($D134,Milestones!$AA$130)&gt;=$R134),$U134,$T134)))=Milestones!$AB$130),TEXT(EDATE($D134,Milestones!$AA$130),"dd/mm/yy")&amp;" "&amp;Milestones!$AB$130&amp;" "&amp;Milestones!$AC$130&amp;";  ","")&amp;IF(AND(EDATE($D134,Milestones!$AA$131)&lt;=AsOfDate,IF($Q134=0,$W134,IF(AND($S134&lt;&gt;"",EDATE($D134,Milestones!$AA$131)&gt;=$S134),$V134,IF(AND($R134&lt;&gt;"",EDATE($D134,Milestones!$AA$131)&gt;=$R134),$U134,$T134)))=Milestones!$AB$131),TEXT(EDATE($D134,Milestones!$AA$131),"dd/mm/yy")&amp;" "&amp;Milestones!$AB$131&amp;" "&amp;Milestones!$AC$131&amp;";  ","")&amp;IF(AND(EDATE($D134,Milestones!$AA$132)&lt;=AsOfDate,IF($Q134=0,$W134,IF(AND($S134&lt;&gt;"",EDATE($D134,Milestones!$AA$132)&gt;=$S134),$V134,IF(AND($R134&lt;&gt;"",EDATE($D134,Milestones!$AA$132)&gt;=$R134),$U134,$T134)))=Milestones!$AB$132),TEXT(EDATE($D134,Milestones!$AA$132),"dd/mm/yy")&amp;" "&amp;Milestones!$AB$132&amp;" "&amp;Milestones!$AC$132&amp;";  ","")&amp;IF(AND(EDATE($D134,Milestones!$AA$133)&lt;=AsOfDate,IF($Q134=0,$W134,IF(AND($S134&lt;&gt;"",EDATE($D134,Milestones!$AA$133)&gt;=$S134),$V134,IF(AND($R134&lt;&gt;"",EDATE($D134,Milestones!$AA$133)&gt;=$R134),$U134,$T134)))=Milestones!$AB$133),TEXT(EDATE($D134,Milestones!$AA$133),"dd/mm/yy")&amp;" "&amp;Milestones!$AB$133&amp;" "&amp;Milestones!$AC$133&amp;";  ","")&amp;IF(AND(EDATE($D134,Milestones!$AA$134)&lt;=AsOfDate,IF($Q134=0,$W134,IF(AND($S134&lt;&gt;"",EDATE($D134,Milestones!$AA$134)&gt;=$S134),$V134,IF(AND($R134&lt;&gt;"",EDATE($D134,Milestones!$AA$134)&gt;=$R134),$U134,$T134)))=Milestones!$AB$134),TEXT(EDATE($D134,Milestones!$AA$134),"dd/mm/yy")&amp;" "&amp;Milestones!$AB$134&amp;" "&amp;Milestones!$AC$134&amp;";  ","")&amp;IF(AND(EDATE($D134,Milestones!$AA$135)&lt;=AsOfDate,IF($Q134=0,$W134,IF(AND($S134&lt;&gt;"",EDATE($D134,Milestones!$AA$135)&gt;=$S134),$V134,IF(AND($R134&lt;&gt;"",EDATE($D134,Milestones!$AA$135)&gt;=$R134),$U134,$T134)))=Milestones!$AB$135),TEXT(EDATE($D134,Milestones!$AA$135),"dd/mm/yy")&amp;" "&amp;Milestones!$AB$135&amp;" "&amp;Milestones!$AC$135&amp;";  ","")&amp;IF(AND(EDATE($D134,Milestones!$AA$136)&lt;=AsOfDate,IF($Q134=0,$W134,IF(AND($S134&lt;&gt;"",EDATE($D134,Milestones!$AA$136)&gt;=$S134),$V134,IF(AND($R134&lt;&gt;"",EDATE($D134,Milestones!$AA$136)&gt;=$R134),$U134,$T134)))=Milestones!$AB$136),TEXT(EDATE($D134,Milestones!$AA$136),"dd/mm/yy")&amp;" "&amp;Milestones!$AB$136&amp;" "&amp;Milestones!$AC$136&amp;";  ","")&amp;IF(AND(EDATE($D134,Milestones!$AA$137)&lt;=AsOfDate,IF($Q134=0,$W134,IF(AND($S134&lt;&gt;"",EDATE($D134,Milestones!$AA$137)&gt;=$S134),$V134,IF(AND($R134&lt;&gt;"",EDATE($D134,Milestones!$AA$137)&gt;=$R134),$U134,$T134)))=Milestones!$AB$137),TEXT(EDATE($D134,Milestones!$AA$137),"dd/mm/yy")&amp;" "&amp;Milestones!$AB$137&amp;" "&amp;Milestones!$AC$137&amp;";  ","")&amp;IF(AND(EDATE($D134,Milestones!$AA$138)&lt;=AsOfDate,IF($Q134=0,$W134,IF(AND($S134&lt;&gt;"",EDATE($D134,Milestones!$AA$138)&gt;=$S134),$V134,IF(AND($R134&lt;&gt;"",EDATE($D134,Milestones!$AA$138)&gt;=$R134),$U134,$T134)))=Milestones!$AB$138),TEXT(EDATE($D134,Milestones!$AA$138),"dd/mm/yy")&amp;" "&amp;Milestones!$AB$138&amp;" "&amp;Milestones!$AC$138&amp;";  ","")&amp;IF(AND(EDATE($D134,Milestones!$AA$139)&lt;=AsOfDate,IF($Q134=0,$W134,IF(AND($S134&lt;&gt;"",EDATE($D134,Milestones!$AA$139)&gt;=$S134),$V134,IF(AND($R134&lt;&gt;"",EDATE($D134,Milestones!$AA$139)&gt;=$R134),$U134,$T134)))=Milestones!$AB$139),TEXT(EDATE($D134,Milestones!$AA$139),"dd/mm/yy")&amp;" "&amp;Milestones!$AB$139&amp;" "&amp;Milestones!$AC$139&amp;";  ",""))</f>
        <v/>
      </c>
      <c r="N134" s="0" t="str">
        <f aca="false">IF(OR($A134="",$D134=""),"",IF(AND(EDATE($D134,Milestones!$AA$140)&lt;=AsOfDate,IF($Q134=0,$W134,IF(AND($S134&lt;&gt;"",EDATE($D134,Milestones!$AA$140)&gt;=$S134),$V134,IF(AND($R134&lt;&gt;"",EDATE($D134,Milestones!$AA$140)&gt;=$R134),$U134,$T134)))=Milestones!$AB$140),TEXT(EDATE($D134,Milestones!$AA$140),"dd/mm/yy")&amp;" "&amp;Milestones!$AB$140&amp;" "&amp;Milestones!$AC$140&amp;";  ","")&amp;IF(AND(EDATE($D134,Milestones!$AA$141)&lt;=AsOfDate,IF($Q134=0,$W134,IF(AND($S134&lt;&gt;"",EDATE($D134,Milestones!$AA$141)&gt;=$S134),$V134,IF(AND($R134&lt;&gt;"",EDATE($D134,Milestones!$AA$141)&gt;=$R134),$U134,$T134)))=Milestones!$AB$141),TEXT(EDATE($D134,Milestones!$AA$141),"dd/mm/yy")&amp;" "&amp;Milestones!$AB$141&amp;" "&amp;Milestones!$AC$141&amp;";  ","")&amp;IF(AND(EDATE($D134,Milestones!$AA$142)&lt;=AsOfDate,IF($Q134=0,$W134,IF(AND($S134&lt;&gt;"",EDATE($D134,Milestones!$AA$142)&gt;=$S134),$V134,IF(AND($R134&lt;&gt;"",EDATE($D134,Milestones!$AA$142)&gt;=$R134),$U134,$T134)))=Milestones!$AB$142),TEXT(EDATE($D134,Milestones!$AA$142),"dd/mm/yy")&amp;" "&amp;Milestones!$AB$142&amp;" "&amp;Milestones!$AC$142&amp;";  ","")&amp;IF(AND(EDATE($D134,Milestones!$AA$143)&lt;=AsOfDate,IF($Q134=0,$W134,IF(AND($S134&lt;&gt;"",EDATE($D134,Milestones!$AA$143)&gt;=$S134),$V134,IF(AND($R134&lt;&gt;"",EDATE($D134,Milestones!$AA$143)&gt;=$R134),$U134,$T134)))=Milestones!$AB$143),TEXT(EDATE($D134,Milestones!$AA$143),"dd/mm/yy")&amp;" "&amp;Milestones!$AB$143&amp;" "&amp;Milestones!$AC$143&amp;";  ","")&amp;IF(AND(EDATE($D134,Milestones!$AA$144)&lt;=AsOfDate,IF($Q134=0,$W134,IF(AND($S134&lt;&gt;"",EDATE($D134,Milestones!$AA$144)&gt;=$S134),$V134,IF(AND($R134&lt;&gt;"",EDATE($D134,Milestones!$AA$144)&gt;=$R134),$U134,$T134)))=Milestones!$AB$144),TEXT(EDATE($D134,Milestones!$AA$144),"dd/mm/yy")&amp;" "&amp;Milestones!$AB$144&amp;" "&amp;Milestones!$AC$144&amp;";  ","")&amp;IF(AND(EDATE($D134,Milestones!$AA$145)&lt;=AsOfDate,IF($Q134=0,$W134,IF(AND($S134&lt;&gt;"",EDATE($D134,Milestones!$AA$145)&gt;=$S134),$V134,IF(AND($R134&lt;&gt;"",EDATE($D134,Milestones!$AA$145)&gt;=$R134),$U134,$T134)))=Milestones!$AB$145),TEXT(EDATE($D134,Milestones!$AA$145),"dd/mm/yy")&amp;" "&amp;Milestones!$AB$145&amp;" "&amp;Milestones!$AC$145&amp;";  ","")&amp;IF(AND(EDATE($D134,Milestones!$AA$146)&lt;=AsOfDate,IF($Q134=0,$W134,IF(AND($S134&lt;&gt;"",EDATE($D134,Milestones!$AA$146)&gt;=$S134),$V134,IF(AND($R134&lt;&gt;"",EDATE($D134,Milestones!$AA$146)&gt;=$R134),$U134,$T134)))=Milestones!$AB$146),TEXT(EDATE($D134,Milestones!$AA$146),"dd/mm/yy")&amp;" "&amp;Milestones!$AB$146&amp;" "&amp;Milestones!$AC$146&amp;";  ","")&amp;IF(AND(EDATE($D134,Milestones!$AA$147)&lt;=AsOfDate,IF($Q134=0,$W134,IF(AND($S134&lt;&gt;"",EDATE($D134,Milestones!$AA$147)&gt;=$S134),$V134,IF(AND($R134&lt;&gt;"",EDATE($D134,Milestones!$AA$147)&gt;=$R134),$U134,$T134)))=Milestones!$AB$147),TEXT(EDATE($D134,Milestones!$AA$147),"dd/mm/yy")&amp;" "&amp;Milestones!$AB$147&amp;" "&amp;Milestones!$AC$147&amp;";  ","")&amp;IF(AND(EDATE($D134,Milestones!$AA$148)&lt;=AsOfDate,IF($Q134=0,$W134,IF(AND($S134&lt;&gt;"",EDATE($D134,Milestones!$AA$148)&gt;=$S134),$V134,IF(AND($R134&lt;&gt;"",EDATE($D134,Milestones!$AA$148)&gt;=$R134),$U134,$T134)))=Milestones!$AB$148),TEXT(EDATE($D134,Milestones!$AA$148),"dd/mm/yy")&amp;" "&amp;Milestones!$AB$148&amp;" "&amp;Milestones!$AC$148&amp;";  ","")&amp;IF(AND(EDATE($D134,Milestones!$AA$149)&lt;=AsOfDate,IF($Q134=0,$W134,IF(AND($S134&lt;&gt;"",EDATE($D134,Milestones!$AA$149)&gt;=$S134),$V134,IF(AND($R134&lt;&gt;"",EDATE($D134,Milestones!$AA$149)&gt;=$R134),$U134,$T134)))=Milestones!$AB$149),TEXT(EDATE($D134,Milestones!$AA$149),"dd/mm/yy")&amp;" "&amp;Milestones!$AB$149&amp;" "&amp;Milestones!$AC$149&amp;";  ","")&amp;IF(AND(EDATE($D134,Milestones!$AA$150)&lt;=AsOfDate,IF($Q134=0,$W134,IF(AND($S134&lt;&gt;"",EDATE($D134,Milestones!$AA$150)&gt;=$S134),$V134,IF(AND($R134&lt;&gt;"",EDATE($D134,Milestones!$AA$150)&gt;=$R134),$U134,$T134)))=Milestones!$AB$150),TEXT(EDATE($D134,Milestones!$AA$150),"dd/mm/yy")&amp;" "&amp;Milestones!$AB$150&amp;" "&amp;Milestones!$AC$150&amp;";  ","")&amp;IF(AND(EDATE($D134,Milestones!$AA$151)&lt;=AsOfDate,IF($Q134=0,$W134,IF(AND($S134&lt;&gt;"",EDATE($D134,Milestones!$AA$151)&gt;=$S134),$V134,IF(AND($R134&lt;&gt;"",EDATE($D134,Milestones!$AA$151)&gt;=$R134),$U134,$T134)))=Milestones!$AB$151),TEXT(EDATE($D134,Milestones!$AA$151),"dd/mm/yy")&amp;" "&amp;Milestones!$AB$151&amp;" "&amp;Milestones!$AC$151&amp;";  ","")&amp;IF(AND(EDATE($D134,Milestones!$AA$152)&lt;=AsOfDate,IF($Q134=0,$W134,IF(AND($S134&lt;&gt;"",EDATE($D134,Milestones!$AA$152)&gt;=$S134),$V134,IF(AND($R134&lt;&gt;"",EDATE($D134,Milestones!$AA$152)&gt;=$R134),$U134,$T134)))=Milestones!$AB$152),TEXT(EDATE($D134,Milestones!$AA$152),"dd/mm/yy")&amp;" "&amp;Milestones!$AB$152&amp;" "&amp;Milestones!$AC$152&amp;";  ","")&amp;IF(AND(EDATE($D134,Milestones!$AA$153)&lt;=AsOfDate,IF($Q134=0,$W134,IF(AND($S134&lt;&gt;"",EDATE($D134,Milestones!$AA$153)&gt;=$S134),$V134,IF(AND($R134&lt;&gt;"",EDATE($D134,Milestones!$AA$153)&gt;=$R134),$U134,$T134)))=Milestones!$AB$153),TEXT(EDATE($D134,Milestones!$AA$153),"dd/mm/yy")&amp;" "&amp;Milestones!$AB$153&amp;" "&amp;Milestones!$AC$153&amp;";  ","")&amp;IF(AND(EDATE($D134,Milestones!$AA$154)&lt;=AsOfDate,IF($Q134=0,$W134,IF(AND($S134&lt;&gt;"",EDATE($D134,Milestones!$AA$154)&gt;=$S134),$V134,IF(AND($R134&lt;&gt;"",EDATE($D134,Milestones!$AA$154)&gt;=$R134),$U134,$T134)))=Milestones!$AB$154),TEXT(EDATE($D134,Milestones!$AA$154),"dd/mm/yy")&amp;" "&amp;Milestones!$AB$154&amp;" "&amp;Milestones!$AC$154&amp;";  ","")&amp;IF(AND(EDATE($D134,Milestones!$AA$155)&lt;=AsOfDate,IF($Q134=0,$W134,IF(AND($S134&lt;&gt;"",EDATE($D134,Milestones!$AA$155)&gt;=$S134),$V134,IF(AND($R134&lt;&gt;"",EDATE($D134,Milestones!$AA$155)&gt;=$R134),$U134,$T134)))=Milestones!$AB$155),TEXT(EDATE($D134,Milestones!$AA$155),"dd/mm/yy")&amp;" "&amp;Milestones!$AB$155&amp;" "&amp;Milestones!$AC$155&amp;";  ","")&amp;IF(AND(EDATE($D134,Milestones!$AA$156)&lt;=AsOfDate,IF($Q134=0,$W134,IF(AND($S134&lt;&gt;"",EDATE($D134,Milestones!$AA$156)&gt;=$S134),$V134,IF(AND($R134&lt;&gt;"",EDATE($D134,Milestones!$AA$156)&gt;=$R134),$U134,$T134)))=Milestones!$AB$156),TEXT(EDATE($D134,Milestones!$AA$156),"dd/mm/yy")&amp;" "&amp;Milestones!$AB$156&amp;" "&amp;Milestones!$AC$156&amp;";  ","")&amp;IF(AND(EDATE($D134,Milestones!$AA$157)&lt;=AsOfDate,IF($Q134=0,$W134,IF(AND($S134&lt;&gt;"",EDATE($D134,Milestones!$AA$157)&gt;=$S134),$V134,IF(AND($R134&lt;&gt;"",EDATE($D134,Milestones!$AA$157)&gt;=$R134),$U134,$T134)))=Milestones!$AB$157),TEXT(EDATE($D134,Milestones!$AA$157),"dd/mm/yy")&amp;" "&amp;Milestones!$AB$157&amp;" "&amp;Milestones!$AC$157&amp;";  ","")&amp;IF(AND(EDATE($D134,Milestones!$AA$158)&lt;=AsOfDate,IF($Q134=0,$W134,IF(AND($S134&lt;&gt;"",EDATE($D134,Milestones!$AA$158)&gt;=$S134),$V134,IF(AND($R134&lt;&gt;"",EDATE($D134,Milestones!$AA$158)&gt;=$R134),$U134,$T134)))=Milestones!$AB$158),TEXT(EDATE($D134,Milestones!$AA$158),"dd/mm/yy")&amp;" "&amp;Milestones!$AB$158&amp;" "&amp;Milestones!$AC$158&amp;";  ","")&amp;IF(AND(EDATE($D134,Milestones!$AA$159)&lt;=AsOfDate,IF($Q134=0,$W134,IF(AND($S134&lt;&gt;"",EDATE($D134,Milestones!$AA$159)&gt;=$S134),$V134,IF(AND($R134&lt;&gt;"",EDATE($D134,Milestones!$AA$159)&gt;=$R134),$U134,$T134)))=Milestones!$AB$159),TEXT(EDATE($D134,Milestones!$AA$159),"dd/mm/yy")&amp;" "&amp;Milestones!$AB$159&amp;" "&amp;Milestones!$AC$159&amp;";  ",""))</f>
        <v/>
      </c>
      <c r="O134" s="0" t="str">
        <f aca="false">IF(OR($A134="",$D134=""),"",IF(AND(EDATE($D134,Milestones!$AA$160)&lt;=AsOfDate,IF($Q134=0,$W134,IF(AND($S134&lt;&gt;"",EDATE($D134,Milestones!$AA$160)&gt;=$S134),$V134,IF(AND($R134&lt;&gt;"",EDATE($D134,Milestones!$AA$160)&gt;=$R134),$U134,$T134)))=Milestones!$AB$160),TEXT(EDATE($D134,Milestones!$AA$160),"dd/mm/yy")&amp;" "&amp;Milestones!$AB$160&amp;" "&amp;Milestones!$AC$160&amp;";  ","")&amp;IF(AND(EDATE($D134,Milestones!$AA$161)&lt;=AsOfDate,IF($Q134=0,$W134,IF(AND($S134&lt;&gt;"",EDATE($D134,Milestones!$AA$161)&gt;=$S134),$V134,IF(AND($R134&lt;&gt;"",EDATE($D134,Milestones!$AA$161)&gt;=$R134),$U134,$T134)))=Milestones!$AB$161),TEXT(EDATE($D134,Milestones!$AA$161),"dd/mm/yy")&amp;" "&amp;Milestones!$AB$161&amp;" "&amp;Milestones!$AC$161&amp;";  ","")&amp;IF(AND(EDATE($D134,Milestones!$AA$162)&lt;=AsOfDate,IF($Q134=0,$W134,IF(AND($S134&lt;&gt;"",EDATE($D134,Milestones!$AA$162)&gt;=$S134),$V134,IF(AND($R134&lt;&gt;"",EDATE($D134,Milestones!$AA$162)&gt;=$R134),$U134,$T134)))=Milestones!$AB$162),TEXT(EDATE($D134,Milestones!$AA$162),"dd/mm/yy")&amp;" "&amp;Milestones!$AB$162&amp;" "&amp;Milestones!$AC$162&amp;";  ","")&amp;IF(AND(EDATE($D134,Milestones!$AA$163)&lt;=AsOfDate,IF($Q134=0,$W134,IF(AND($S134&lt;&gt;"",EDATE($D134,Milestones!$AA$163)&gt;=$S134),$V134,IF(AND($R134&lt;&gt;"",EDATE($D134,Milestones!$AA$163)&gt;=$R134),$U134,$T134)))=Milestones!$AB$163),TEXT(EDATE($D134,Milestones!$AA$163),"dd/mm/yy")&amp;" "&amp;Milestones!$AB$163&amp;" "&amp;Milestones!$AC$163&amp;";  ","")&amp;IF(AND(EDATE($D134,Milestones!$AA$164)&lt;=AsOfDate,IF($Q134=0,$W134,IF(AND($S134&lt;&gt;"",EDATE($D134,Milestones!$AA$164)&gt;=$S134),$V134,IF(AND($R134&lt;&gt;"",EDATE($D134,Milestones!$AA$164)&gt;=$R134),$U134,$T134)))=Milestones!$AB$164),TEXT(EDATE($D134,Milestones!$AA$164),"dd/mm/yy")&amp;" "&amp;Milestones!$AB$164&amp;" "&amp;Milestones!$AC$164&amp;";  ","")&amp;IF(AND(EDATE($D134,Milestones!$AA$165)&lt;=AsOfDate,IF($Q134=0,$W134,IF(AND($S134&lt;&gt;"",EDATE($D134,Milestones!$AA$165)&gt;=$S134),$V134,IF(AND($R134&lt;&gt;"",EDATE($D134,Milestones!$AA$165)&gt;=$R134),$U134,$T134)))=Milestones!$AB$165),TEXT(EDATE($D134,Milestones!$AA$165),"dd/mm/yy")&amp;" "&amp;Milestones!$AB$165&amp;" "&amp;Milestones!$AC$165&amp;";  ","")&amp;IF(AND(EDATE($D134,Milestones!$AA$166)&lt;=AsOfDate,IF($Q134=0,$W134,IF(AND($S134&lt;&gt;"",EDATE($D134,Milestones!$AA$166)&gt;=$S134),$V134,IF(AND($R134&lt;&gt;"",EDATE($D134,Milestones!$AA$166)&gt;=$R134),$U134,$T134)))=Milestones!$AB$166),TEXT(EDATE($D134,Milestones!$AA$166),"dd/mm/yy")&amp;" "&amp;Milestones!$AB$166&amp;" "&amp;Milestones!$AC$166&amp;";  ","")&amp;IF(AND(EDATE($D134,Milestones!$AA$167)&lt;=AsOfDate,IF($Q134=0,$W134,IF(AND($S134&lt;&gt;"",EDATE($D134,Milestones!$AA$167)&gt;=$S134),$V134,IF(AND($R134&lt;&gt;"",EDATE($D134,Milestones!$AA$167)&gt;=$R134),$U134,$T134)))=Milestones!$AB$167),TEXT(EDATE($D134,Milestones!$AA$167),"dd/mm/yy")&amp;" "&amp;Milestones!$AB$167&amp;" "&amp;Milestones!$AC$167&amp;";  ","")&amp;IF(AND(EDATE($D134,Milestones!$AA$168)&lt;=AsOfDate,IF($Q134=0,$W134,IF(AND($S134&lt;&gt;"",EDATE($D134,Milestones!$AA$168)&gt;=$S134),$V134,IF(AND($R134&lt;&gt;"",EDATE($D134,Milestones!$AA$168)&gt;=$R134),$U134,$T134)))=Milestones!$AB$168),TEXT(EDATE($D134,Milestones!$AA$168),"dd/mm/yy")&amp;" "&amp;Milestones!$AB$168&amp;" "&amp;Milestones!$AC$168&amp;";  ","")&amp;IF(AND(EDATE($D134,Milestones!$AA$169)&lt;=AsOfDate,IF($Q134=0,$W134,IF(AND($S134&lt;&gt;"",EDATE($D134,Milestones!$AA$169)&gt;=$S134),$V134,IF(AND($R134&lt;&gt;"",EDATE($D134,Milestones!$AA$169)&gt;=$R134),$U134,$T134)))=Milestones!$AB$169),TEXT(EDATE($D134,Milestones!$AA$169),"dd/mm/yy")&amp;" "&amp;Milestones!$AB$169&amp;" "&amp;Milestones!$AC$169&amp;";  ","")&amp;IF(AND(EDATE($D134,Milestones!$AA$170)&lt;=AsOfDate,IF($Q134=0,$W134,IF(AND($S134&lt;&gt;"",EDATE($D134,Milestones!$AA$170)&gt;=$S134),$V134,IF(AND($R134&lt;&gt;"",EDATE($D134,Milestones!$AA$170)&gt;=$R134),$U134,$T134)))=Milestones!$AB$170),TEXT(EDATE($D134,Milestones!$AA$170),"dd/mm/yy")&amp;" "&amp;Milestones!$AB$170&amp;" "&amp;Milestones!$AC$170&amp;";  ","")&amp;IF(AND(EDATE($D134,Milestones!$AA$171)&lt;=AsOfDate,IF($Q134=0,$W134,IF(AND($S134&lt;&gt;"",EDATE($D134,Milestones!$AA$171)&gt;=$S134),$V134,IF(AND($R134&lt;&gt;"",EDATE($D134,Milestones!$AA$171)&gt;=$R134),$U134,$T134)))=Milestones!$AB$171),TEXT(EDATE($D134,Milestones!$AA$171),"dd/mm/yy")&amp;" "&amp;Milestones!$AB$171&amp;" "&amp;Milestones!$AC$171&amp;";  ","")&amp;IF(AND(EDATE($D134,Milestones!$AA$172)&lt;=AsOfDate,IF($Q134=0,$W134,IF(AND($S134&lt;&gt;"",EDATE($D134,Milestones!$AA$172)&gt;=$S134),$V134,IF(AND($R134&lt;&gt;"",EDATE($D134,Milestones!$AA$172)&gt;=$R134),$U134,$T134)))=Milestones!$AB$172),TEXT(EDATE($D134,Milestones!$AA$172),"dd/mm/yy")&amp;" "&amp;Milestones!$AB$172&amp;" "&amp;Milestones!$AC$172&amp;";  ","")&amp;IF(AND(EDATE($D134,Milestones!$AA$173)&lt;=AsOfDate,IF($Q134=0,$W134,IF(AND($S134&lt;&gt;"",EDATE($D134,Milestones!$AA$173)&gt;=$S134),$V134,IF(AND($R134&lt;&gt;"",EDATE($D134,Milestones!$AA$173)&gt;=$R134),$U134,$T134)))=Milestones!$AB$173),TEXT(EDATE($D134,Milestones!$AA$173),"dd/mm/yy")&amp;" "&amp;Milestones!$AB$173&amp;" "&amp;Milestones!$AC$173&amp;";  ","")&amp;IF(AND(EDATE($D134,Milestones!$AA$174)&lt;=AsOfDate,IF($Q134=0,$W134,IF(AND($S134&lt;&gt;"",EDATE($D134,Milestones!$AA$174)&gt;=$S134),$V134,IF(AND($R134&lt;&gt;"",EDATE($D134,Milestones!$AA$174)&gt;=$R134),$U134,$T134)))=Milestones!$AB$174),TEXT(EDATE($D134,Milestones!$AA$174),"dd/mm/yy")&amp;" "&amp;Milestones!$AB$174&amp;" "&amp;Milestones!$AC$174&amp;";  ","")&amp;IF(AND(EDATE($D134,Milestones!$AA$175)&lt;=AsOfDate,IF($Q134=0,$W134,IF(AND($S134&lt;&gt;"",EDATE($D134,Milestones!$AA$175)&gt;=$S134),$V134,IF(AND($R134&lt;&gt;"",EDATE($D134,Milestones!$AA$175)&gt;=$R134),$U134,$T134)))=Milestones!$AB$175),TEXT(EDATE($D134,Milestones!$AA$175),"dd/mm/yy")&amp;" "&amp;Milestones!$AB$175&amp;" "&amp;Milestones!$AC$175&amp;";  ","")&amp;IF(AND(EDATE($D134,Milestones!$AA$176)&lt;=AsOfDate,IF($Q134=0,$W134,IF(AND($S134&lt;&gt;"",EDATE($D134,Milestones!$AA$176)&gt;=$S134),$V134,IF(AND($R134&lt;&gt;"",EDATE($D134,Milestones!$AA$176)&gt;=$R134),$U134,$T134)))=Milestones!$AB$176),TEXT(EDATE($D134,Milestones!$AA$176),"dd/mm/yy")&amp;" "&amp;Milestones!$AB$176&amp;" "&amp;Milestones!$AC$176&amp;";  ","")&amp;IF(AND(EDATE($D134,Milestones!$AA$177)&lt;=AsOfDate,IF($Q134=0,$W134,IF(AND($S134&lt;&gt;"",EDATE($D134,Milestones!$AA$177)&gt;=$S134),$V134,IF(AND($R134&lt;&gt;"",EDATE($D134,Milestones!$AA$177)&gt;=$R134),$U134,$T134)))=Milestones!$AB$177),TEXT(EDATE($D134,Milestones!$AA$177),"dd/mm/yy")&amp;" "&amp;Milestones!$AB$177&amp;" "&amp;Milestones!$AC$177&amp;";  ","")&amp;IF(AND(EDATE($D134,Milestones!$AA$178)&lt;=AsOfDate,IF($Q134=0,$W134,IF(AND($S134&lt;&gt;"",EDATE($D134,Milestones!$AA$178)&gt;=$S134),$V134,IF(AND($R134&lt;&gt;"",EDATE($D134,Milestones!$AA$178)&gt;=$R134),$U134,$T134)))=Milestones!$AB$178),TEXT(EDATE($D134,Milestones!$AA$178),"dd/mm/yy")&amp;" "&amp;Milestones!$AB$178&amp;" "&amp;Milestones!$AC$178&amp;";  ","")&amp;IF(AND(EDATE($D134,Milestones!$AA$179)&lt;=AsOfDate,IF($Q134=0,$W134,IF(AND($S134&lt;&gt;"",EDATE($D134,Milestones!$AA$179)&gt;=$S134),$V134,IF(AND($R134&lt;&gt;"",EDATE($D134,Milestones!$AA$179)&gt;=$R134),$U134,$T134)))=Milestones!$AB$179),TEXT(EDATE($D134,Milestones!$AA$179),"dd/mm/yy")&amp;" "&amp;Milestones!$AB$179&amp;" "&amp;Milestones!$AC$179&amp;";  ",""))</f>
        <v/>
      </c>
      <c r="P134" s="0" t="str">
        <f aca="false">IF(OR($A134="",$D134=""),"",IF(AND(EDATE($D134,Milestones!$AA$180)&lt;=AsOfDate,IF($Q134=0,$W134,IF(AND($S134&lt;&gt;"",EDATE($D134,Milestones!$AA$180)&gt;=$S134),$V134,IF(AND($R134&lt;&gt;"",EDATE($D134,Milestones!$AA$180)&gt;=$R134),$U134,$T134)))=Milestones!$AB$180),TEXT(EDATE($D134,Milestones!$AA$180),"dd/mm/yy")&amp;" "&amp;Milestones!$AB$180&amp;" "&amp;Milestones!$AC$180&amp;";  ","")&amp;IF(AND(EDATE($D134,Milestones!$AA$181)&lt;=AsOfDate,IF($Q134=0,$W134,IF(AND($S134&lt;&gt;"",EDATE($D134,Milestones!$AA$181)&gt;=$S134),$V134,IF(AND($R134&lt;&gt;"",EDATE($D134,Milestones!$AA$181)&gt;=$R134),$U134,$T134)))=Milestones!$AB$181),TEXT(EDATE($D134,Milestones!$AA$181),"dd/mm/yy")&amp;" "&amp;Milestones!$AB$181&amp;" "&amp;Milestones!$AC$181&amp;";  ","")&amp;IF(AND(EDATE($D134,Milestones!$AA$182)&lt;=AsOfDate,IF($Q134=0,$W134,IF(AND($S134&lt;&gt;"",EDATE($D134,Milestones!$AA$182)&gt;=$S134),$V134,IF(AND($R134&lt;&gt;"",EDATE($D134,Milestones!$AA$182)&gt;=$R134),$U134,$T134)))=Milestones!$AB$182),TEXT(EDATE($D134,Milestones!$AA$182),"dd/mm/yy")&amp;" "&amp;Milestones!$AB$182&amp;" "&amp;Milestones!$AC$182&amp;";  ","")&amp;IF(AND(EDATE($D134,Milestones!$AA$183)&lt;=AsOfDate,IF($Q134=0,$W134,IF(AND($S134&lt;&gt;"",EDATE($D134,Milestones!$AA$183)&gt;=$S134),$V134,IF(AND($R134&lt;&gt;"",EDATE($D134,Milestones!$AA$183)&gt;=$R134),$U134,$T134)))=Milestones!$AB$183),TEXT(EDATE($D134,Milestones!$AA$183),"dd/mm/yy")&amp;" "&amp;Milestones!$AB$183&amp;" "&amp;Milestones!$AC$183&amp;";  ","")&amp;IF(AND(EDATE($D134,Milestones!$AA$184)&lt;=AsOfDate,IF($Q134=0,$W134,IF(AND($S134&lt;&gt;"",EDATE($D134,Milestones!$AA$184)&gt;=$S134),$V134,IF(AND($R134&lt;&gt;"",EDATE($D134,Milestones!$AA$184)&gt;=$R134),$U134,$T134)))=Milestones!$AB$184),TEXT(EDATE($D134,Milestones!$AA$184),"dd/mm/yy")&amp;" "&amp;Milestones!$AB$184&amp;" "&amp;Milestones!$AC$184&amp;";  ","")&amp;IF(AND(EDATE($D134,Milestones!$AA$185)&lt;=AsOfDate,IF($Q134=0,$W134,IF(AND($S134&lt;&gt;"",EDATE($D134,Milestones!$AA$185)&gt;=$S134),$V134,IF(AND($R134&lt;&gt;"",EDATE($D134,Milestones!$AA$185)&gt;=$R134),$U134,$T134)))=Milestones!$AB$185),TEXT(EDATE($D134,Milestones!$AA$185),"dd/mm/yy")&amp;" "&amp;Milestones!$AB$185&amp;" "&amp;Milestones!$AC$185&amp;";  ","")&amp;IF(AND(EDATE($D134,Milestones!$AA$186)&lt;=AsOfDate,IF($Q134=0,$W134,IF(AND($S134&lt;&gt;"",EDATE($D134,Milestones!$AA$186)&gt;=$S134),$V134,IF(AND($R134&lt;&gt;"",EDATE($D134,Milestones!$AA$186)&gt;=$R134),$U134,$T134)))=Milestones!$AB$186),TEXT(EDATE($D134,Milestones!$AA$186),"dd/mm/yy")&amp;" "&amp;Milestones!$AB$186&amp;" "&amp;Milestones!$AC$186&amp;";  ","")&amp;IF(AND(EDATE($D134,Milestones!$AA$187)&lt;=AsOfDate,IF($Q134=0,$W134,IF(AND($S134&lt;&gt;"",EDATE($D134,Milestones!$AA$187)&gt;=$S134),$V134,IF(AND($R134&lt;&gt;"",EDATE($D134,Milestones!$AA$187)&gt;=$R134),$U134,$T134)))=Milestones!$AB$187),TEXT(EDATE($D134,Milestones!$AA$187),"dd/mm/yy")&amp;" "&amp;Milestones!$AB$187&amp;" "&amp;Milestones!$AC$187&amp;";  ","")&amp;IF(AND(EDATE($D134,Milestones!$AA$188)&lt;=AsOfDate,IF($Q134=0,$W134,IF(AND($S134&lt;&gt;"",EDATE($D134,Milestones!$AA$188)&gt;=$S134),$V134,IF(AND($R134&lt;&gt;"",EDATE($D134,Milestones!$AA$188)&gt;=$R134),$U134,$T134)))=Milestones!$AB$188),TEXT(EDATE($D134,Milestones!$AA$188),"dd/mm/yy")&amp;" "&amp;Milestones!$AB$188&amp;" "&amp;Milestones!$AC$188&amp;";  ","")&amp;IF(AND(EDATE($D134,Milestones!$AA$189)&lt;=AsOfDate,IF($Q134=0,$W134,IF(AND($S134&lt;&gt;"",EDATE($D134,Milestones!$AA$189)&gt;=$S134),$V134,IF(AND($R134&lt;&gt;"",EDATE($D134,Milestones!$AA$189)&gt;=$R134),$U134,$T134)))=Milestones!$AB$189),TEXT(EDATE($D134,Milestones!$AA$189),"dd/mm/yy")&amp;" "&amp;Milestones!$AB$189&amp;" "&amp;Milestones!$AC$189&amp;";  ","")&amp;IF(AND(EDATE($D134,Milestones!$AA$190)&lt;=AsOfDate,IF($Q134=0,$W134,IF(AND($S134&lt;&gt;"",EDATE($D134,Milestones!$AA$190)&gt;=$S134),$V134,IF(AND($R134&lt;&gt;"",EDATE($D134,Milestones!$AA$190)&gt;=$R134),$U134,$T134)))=Milestones!$AB$190),TEXT(EDATE($D134,Milestones!$AA$190),"dd/mm/yy")&amp;" "&amp;Milestones!$AB$190&amp;" "&amp;Milestones!$AC$190&amp;";  ","")&amp;IF(AND(EDATE($D134,Milestones!$AA$191)&lt;=AsOfDate,IF($Q134=0,$W134,IF(AND($S134&lt;&gt;"",EDATE($D134,Milestones!$AA$191)&gt;=$S134),$V134,IF(AND($R134&lt;&gt;"",EDATE($D134,Milestones!$AA$191)&gt;=$R134),$U134,$T134)))=Milestones!$AB$191),TEXT(EDATE($D134,Milestones!$AA$191),"dd/mm/yy")&amp;" "&amp;Milestones!$AB$191&amp;" "&amp;Milestones!$AC$191&amp;";  ","")&amp;IF(AND(EDATE($D134,Milestones!$AA$192)&lt;=AsOfDate,IF($Q134=0,$W134,IF(AND($S134&lt;&gt;"",EDATE($D134,Milestones!$AA$192)&gt;=$S134),$V134,IF(AND($R134&lt;&gt;"",EDATE($D134,Milestones!$AA$192)&gt;=$R134),$U134,$T134)))=Milestones!$AB$192),TEXT(EDATE($D134,Milestones!$AA$192),"dd/mm/yy")&amp;" "&amp;Milestones!$AB$192&amp;" "&amp;Milestones!$AC$192&amp;";  ","")&amp;IF(AND(EDATE($D134,Milestones!$AA$193)&lt;=AsOfDate,IF($Q134=0,$W134,IF(AND($S134&lt;&gt;"",EDATE($D134,Milestones!$AA$193)&gt;=$S134),$V134,IF(AND($R134&lt;&gt;"",EDATE($D134,Milestones!$AA$193)&gt;=$R134),$U134,$T134)))=Milestones!$AB$193),TEXT(EDATE($D134,Milestones!$AA$193),"dd/mm/yy")&amp;" "&amp;Milestones!$AB$193&amp;" "&amp;Milestones!$AC$193&amp;";  ","")&amp;IF(AND(EDATE($D134,Milestones!$AA$194)&lt;=AsOfDate,IF($Q134=0,$W134,IF(AND($S134&lt;&gt;"",EDATE($D134,Milestones!$AA$194)&gt;=$S134),$V134,IF(AND($R134&lt;&gt;"",EDATE($D134,Milestones!$AA$194)&gt;=$R134),$U134,$T134)))=Milestones!$AB$194),TEXT(EDATE($D134,Milestones!$AA$194),"dd/mm/yy")&amp;" "&amp;Milestones!$AB$194&amp;" "&amp;Milestones!$AC$194&amp;";  ","")&amp;IF(AND(EDATE($D134,Milestones!$AA$195)&lt;=AsOfDate,IF($Q134=0,$W134,IF(AND($S134&lt;&gt;"",EDATE($D134,Milestones!$AA$195)&gt;=$S134),$V134,IF(AND($R134&lt;&gt;"",EDATE($D134,Milestones!$AA$195)&gt;=$R134),$U134,$T134)))=Milestones!$AB$195),TEXT(EDATE($D134,Milestones!$AA$195),"dd/mm/yy")&amp;" "&amp;Milestones!$AB$195&amp;" "&amp;Milestones!$AC$195&amp;";  ","")&amp;IF(AND(EDATE($D134,Milestones!$AA$196)&lt;=AsOfDate,IF($Q134=0,$W134,IF(AND($S134&lt;&gt;"",EDATE($D134,Milestones!$AA$196)&gt;=$S134),$V134,IF(AND($R134&lt;&gt;"",EDATE($D134,Milestones!$AA$196)&gt;=$R134),$U134,$T134)))=Milestones!$AB$196),TEXT(EDATE($D134,Milestones!$AA$196),"dd/mm/yy")&amp;" "&amp;Milestones!$AB$196&amp;" "&amp;Milestones!$AC$196&amp;";  ","")&amp;IF(AND(EDATE($D134,Milestones!$AA$197)&lt;=AsOfDate,IF($Q134=0,$W134,IF(AND($S134&lt;&gt;"",EDATE($D134,Milestones!$AA$197)&gt;=$S134),$V134,IF(AND($R134&lt;&gt;"",EDATE($D134,Milestones!$AA$197)&gt;=$R134),$U134,$T134)))=Milestones!$AB$197),TEXT(EDATE($D134,Milestones!$AA$197),"dd/mm/yy")&amp;" "&amp;Milestones!$AB$197&amp;" "&amp;Milestones!$AC$197&amp;";  ","")&amp;IF(AND(EDATE($D134,Milestones!$AA$198)&lt;=AsOfDate,IF($Q134=0,$W134,IF(AND($S134&lt;&gt;"",EDATE($D134,Milestones!$AA$198)&gt;=$S134),$V134,IF(AND($R134&lt;&gt;"",EDATE($D134,Milestones!$AA$198)&gt;=$R134),$U134,$T134)))=Milestones!$AB$198),TEXT(EDATE($D134,Milestones!$AA$198),"dd/mm/yy")&amp;" "&amp;Milestones!$AB$198&amp;" "&amp;Milestones!$AC$198&amp;";  ","")&amp;IF(AND(EDATE($D134,Milestones!$AA$199)&lt;=AsOfDate,IF($Q134=0,$W134,IF(AND($S134&lt;&gt;"",EDATE($D134,Milestones!$AA$199)&gt;=$S134),$V134,IF(AND($R134&lt;&gt;"",EDATE($D134,Milestones!$AA$199)&gt;=$R134),$U134,$T134)))=Milestones!$AB$199),TEXT(EDATE($D134,Milestones!$AA$199),"dd/mm/yy")&amp;" "&amp;Milestones!$AB$199&amp;" "&amp;Milestones!$AC$199&amp;";  ",""))</f>
        <v/>
      </c>
      <c r="Q134" s="0" t="str">
        <f aca="false">IF(Staff!$A134="","",Staff!$AG134)</f>
        <v/>
      </c>
      <c r="R134" s="0" t="str">
        <f aca="false">IF(Staff!$A134="","",Staff!$AI134)</f>
        <v/>
      </c>
      <c r="S134" s="0" t="str">
        <f aca="false">IF(Staff!$A134="","",Staff!$AJ134)</f>
        <v/>
      </c>
      <c r="T134" s="0" t="str">
        <f aca="false">IF(Staff!$A134="","",Staff!$AN134)</f>
        <v/>
      </c>
      <c r="U134" s="0" t="str">
        <f aca="false">IF(Staff!$A134="","",Staff!$AO134)</f>
        <v/>
      </c>
      <c r="V134" s="0" t="str">
        <f aca="false">IF(Staff!$A134="","",Staff!$AP134)</f>
        <v/>
      </c>
      <c r="W134" s="0" t="str">
        <f aca="false">IF(Staff!$A134="","",Staff!$AQ134)</f>
        <v/>
      </c>
    </row>
    <row r="135" customFormat="false" ht="15" hidden="false" customHeight="false" outlineLevel="0" collapsed="false">
      <c r="A135" s="13" t="str">
        <f aca="false">IF(Staff!$A135="","",Staff!$A135)</f>
        <v/>
      </c>
      <c r="B135" s="13" t="str">
        <f aca="false">IF(Staff!$A135="","",Staff!$B135)</f>
        <v/>
      </c>
      <c r="C135" s="13" t="str">
        <f aca="false">IF(Staff!$A135="","",Staff!$C135)</f>
        <v/>
      </c>
      <c r="D135" s="11" t="str">
        <f aca="false">IF(Staff!$A135="","",Staff!$AF135)</f>
        <v/>
      </c>
      <c r="E135" s="13" t="str">
        <f aca="false">IF(Staff!$A135="","",Staff!$O135)</f>
        <v/>
      </c>
      <c r="F135" s="13" t="str">
        <f aca="false">IF(E135="","",E135*HoursPerDay)</f>
        <v/>
      </c>
      <c r="G135" s="26" t="str">
        <f aca="false">IF($A135="","",H135&amp;I135&amp;J135&amp;K135&amp;L135&amp;M135&amp;N135&amp;O135&amp;P135)</f>
        <v/>
      </c>
      <c r="H135" s="0" t="str">
        <f aca="false">IF(OR($A135="",$D135=""),"",IF(AND(EDATE($D135,Milestones!$AA$20)&lt;=AsOfDate,IF($Q135=0,$W135,IF(AND($S135&lt;&gt;"",EDATE($D135,Milestones!$AA$20)&gt;=$S135),$V135,IF(AND($R135&lt;&gt;"",EDATE($D135,Milestones!$AA$20)&gt;=$R135),$U135,$T135)))=Milestones!$AB$20),TEXT(EDATE($D135,Milestones!$AA$20),"dd/mm/yy")&amp;" "&amp;Milestones!$AB$20&amp;" "&amp;Milestones!$AC$20&amp;";  ","")&amp;IF(AND(EDATE($D135,Milestones!$AA$21)&lt;=AsOfDate,IF($Q135=0,$W135,IF(AND($S135&lt;&gt;"",EDATE($D135,Milestones!$AA$21)&gt;=$S135),$V135,IF(AND($R135&lt;&gt;"",EDATE($D135,Milestones!$AA$21)&gt;=$R135),$U135,$T135)))=Milestones!$AB$21),TEXT(EDATE($D135,Milestones!$AA$21),"dd/mm/yy")&amp;" "&amp;Milestones!$AB$21&amp;" "&amp;Milestones!$AC$21&amp;";  ","")&amp;IF(AND(EDATE($D135,Milestones!$AA$22)&lt;=AsOfDate,IF($Q135=0,$W135,IF(AND($S135&lt;&gt;"",EDATE($D135,Milestones!$AA$22)&gt;=$S135),$V135,IF(AND($R135&lt;&gt;"",EDATE($D135,Milestones!$AA$22)&gt;=$R135),$U135,$T135)))=Milestones!$AB$22),TEXT(EDATE($D135,Milestones!$AA$22),"dd/mm/yy")&amp;" "&amp;Milestones!$AB$22&amp;" "&amp;Milestones!$AC$22&amp;";  ","")&amp;IF(AND(EDATE($D135,Milestones!$AA$23)&lt;=AsOfDate,IF($Q135=0,$W135,IF(AND($S135&lt;&gt;"",EDATE($D135,Milestones!$AA$23)&gt;=$S135),$V135,IF(AND($R135&lt;&gt;"",EDATE($D135,Milestones!$AA$23)&gt;=$R135),$U135,$T135)))=Milestones!$AB$23),TEXT(EDATE($D135,Milestones!$AA$23),"dd/mm/yy")&amp;" "&amp;Milestones!$AB$23&amp;" "&amp;Milestones!$AC$23&amp;";  ","")&amp;IF(AND(EDATE($D135,Milestones!$AA$24)&lt;=AsOfDate,IF($Q135=0,$W135,IF(AND($S135&lt;&gt;"",EDATE($D135,Milestones!$AA$24)&gt;=$S135),$V135,IF(AND($R135&lt;&gt;"",EDATE($D135,Milestones!$AA$24)&gt;=$R135),$U135,$T135)))=Milestones!$AB$24),TEXT(EDATE($D135,Milestones!$AA$24),"dd/mm/yy")&amp;" "&amp;Milestones!$AB$24&amp;" "&amp;Milestones!$AC$24&amp;";  ","")&amp;IF(AND(EDATE($D135,Milestones!$AA$25)&lt;=AsOfDate,IF($Q135=0,$W135,IF(AND($S135&lt;&gt;"",EDATE($D135,Milestones!$AA$25)&gt;=$S135),$V135,IF(AND($R135&lt;&gt;"",EDATE($D135,Milestones!$AA$25)&gt;=$R135),$U135,$T135)))=Milestones!$AB$25),TEXT(EDATE($D135,Milestones!$AA$25),"dd/mm/yy")&amp;" "&amp;Milestones!$AB$25&amp;" "&amp;Milestones!$AC$25&amp;";  ","")&amp;IF(AND(EDATE($D135,Milestones!$AA$26)&lt;=AsOfDate,IF($Q135=0,$W135,IF(AND($S135&lt;&gt;"",EDATE($D135,Milestones!$AA$26)&gt;=$S135),$V135,IF(AND($R135&lt;&gt;"",EDATE($D135,Milestones!$AA$26)&gt;=$R135),$U135,$T135)))=Milestones!$AB$26),TEXT(EDATE($D135,Milestones!$AA$26),"dd/mm/yy")&amp;" "&amp;Milestones!$AB$26&amp;" "&amp;Milestones!$AC$26&amp;";  ","")&amp;IF(AND(EDATE($D135,Milestones!$AA$27)&lt;=AsOfDate,IF($Q135=0,$W135,IF(AND($S135&lt;&gt;"",EDATE($D135,Milestones!$AA$27)&gt;=$S135),$V135,IF(AND($R135&lt;&gt;"",EDATE($D135,Milestones!$AA$27)&gt;=$R135),$U135,$T135)))=Milestones!$AB$27),TEXT(EDATE($D135,Milestones!$AA$27),"dd/mm/yy")&amp;" "&amp;Milestones!$AB$27&amp;" "&amp;Milestones!$AC$27&amp;";  ","")&amp;IF(AND(EDATE($D135,Milestones!$AA$28)&lt;=AsOfDate,IF($Q135=0,$W135,IF(AND($S135&lt;&gt;"",EDATE($D135,Milestones!$AA$28)&gt;=$S135),$V135,IF(AND($R135&lt;&gt;"",EDATE($D135,Milestones!$AA$28)&gt;=$R135),$U135,$T135)))=Milestones!$AB$28),TEXT(EDATE($D135,Milestones!$AA$28),"dd/mm/yy")&amp;" "&amp;Milestones!$AB$28&amp;" "&amp;Milestones!$AC$28&amp;";  ","")&amp;IF(AND(EDATE($D135,Milestones!$AA$29)&lt;=AsOfDate,IF($Q135=0,$W135,IF(AND($S135&lt;&gt;"",EDATE($D135,Milestones!$AA$29)&gt;=$S135),$V135,IF(AND($R135&lt;&gt;"",EDATE($D135,Milestones!$AA$29)&gt;=$R135),$U135,$T135)))=Milestones!$AB$29),TEXT(EDATE($D135,Milestones!$AA$29),"dd/mm/yy")&amp;" "&amp;Milestones!$AB$29&amp;" "&amp;Milestones!$AC$29&amp;";  ","")&amp;IF(AND(EDATE($D135,Milestones!$AA$30)&lt;=AsOfDate,IF($Q135=0,$W135,IF(AND($S135&lt;&gt;"",EDATE($D135,Milestones!$AA$30)&gt;=$S135),$V135,IF(AND($R135&lt;&gt;"",EDATE($D135,Milestones!$AA$30)&gt;=$R135),$U135,$T135)))=Milestones!$AB$30),TEXT(EDATE($D135,Milestones!$AA$30),"dd/mm/yy")&amp;" "&amp;Milestones!$AB$30&amp;" "&amp;Milestones!$AC$30&amp;";  ","")&amp;IF(AND(EDATE($D135,Milestones!$AA$31)&lt;=AsOfDate,IF($Q135=0,$W135,IF(AND($S135&lt;&gt;"",EDATE($D135,Milestones!$AA$31)&gt;=$S135),$V135,IF(AND($R135&lt;&gt;"",EDATE($D135,Milestones!$AA$31)&gt;=$R135),$U135,$T135)))=Milestones!$AB$31),TEXT(EDATE($D135,Milestones!$AA$31),"dd/mm/yy")&amp;" "&amp;Milestones!$AB$31&amp;" "&amp;Milestones!$AC$31&amp;";  ","")&amp;IF(AND(EDATE($D135,Milestones!$AA$32)&lt;=AsOfDate,IF($Q135=0,$W135,IF(AND($S135&lt;&gt;"",EDATE($D135,Milestones!$AA$32)&gt;=$S135),$V135,IF(AND($R135&lt;&gt;"",EDATE($D135,Milestones!$AA$32)&gt;=$R135),$U135,$T135)))=Milestones!$AB$32),TEXT(EDATE($D135,Milestones!$AA$32),"dd/mm/yy")&amp;" "&amp;Milestones!$AB$32&amp;" "&amp;Milestones!$AC$32&amp;";  ","")&amp;IF(AND(EDATE($D135,Milestones!$AA$33)&lt;=AsOfDate,IF($Q135=0,$W135,IF(AND($S135&lt;&gt;"",EDATE($D135,Milestones!$AA$33)&gt;=$S135),$V135,IF(AND($R135&lt;&gt;"",EDATE($D135,Milestones!$AA$33)&gt;=$R135),$U135,$T135)))=Milestones!$AB$33),TEXT(EDATE($D135,Milestones!$AA$33),"dd/mm/yy")&amp;" "&amp;Milestones!$AB$33&amp;" "&amp;Milestones!$AC$33&amp;";  ","")&amp;IF(AND(EDATE($D135,Milestones!$AA$34)&lt;=AsOfDate,IF($Q135=0,$W135,IF(AND($S135&lt;&gt;"",EDATE($D135,Milestones!$AA$34)&gt;=$S135),$V135,IF(AND($R135&lt;&gt;"",EDATE($D135,Milestones!$AA$34)&gt;=$R135),$U135,$T135)))=Milestones!$AB$34),TEXT(EDATE($D135,Milestones!$AA$34),"dd/mm/yy")&amp;" "&amp;Milestones!$AB$34&amp;" "&amp;Milestones!$AC$34&amp;";  ","")&amp;IF(AND(EDATE($D135,Milestones!$AA$35)&lt;=AsOfDate,IF($Q135=0,$W135,IF(AND($S135&lt;&gt;"",EDATE($D135,Milestones!$AA$35)&gt;=$S135),$V135,IF(AND($R135&lt;&gt;"",EDATE($D135,Milestones!$AA$35)&gt;=$R135),$U135,$T135)))=Milestones!$AB$35),TEXT(EDATE($D135,Milestones!$AA$35),"dd/mm/yy")&amp;" "&amp;Milestones!$AB$35&amp;" "&amp;Milestones!$AC$35&amp;";  ","")&amp;IF(AND(EDATE($D135,Milestones!$AA$36)&lt;=AsOfDate,IF($Q135=0,$W135,IF(AND($S135&lt;&gt;"",EDATE($D135,Milestones!$AA$36)&gt;=$S135),$V135,IF(AND($R135&lt;&gt;"",EDATE($D135,Milestones!$AA$36)&gt;=$R135),$U135,$T135)))=Milestones!$AB$36),TEXT(EDATE($D135,Milestones!$AA$36),"dd/mm/yy")&amp;" "&amp;Milestones!$AB$36&amp;" "&amp;Milestones!$AC$36&amp;";  ","")&amp;IF(AND(EDATE($D135,Milestones!$AA$37)&lt;=AsOfDate,IF($Q135=0,$W135,IF(AND($S135&lt;&gt;"",EDATE($D135,Milestones!$AA$37)&gt;=$S135),$V135,IF(AND($R135&lt;&gt;"",EDATE($D135,Milestones!$AA$37)&gt;=$R135),$U135,$T135)))=Milestones!$AB$37),TEXT(EDATE($D135,Milestones!$AA$37),"dd/mm/yy")&amp;" "&amp;Milestones!$AB$37&amp;" "&amp;Milestones!$AC$37&amp;";  ","")&amp;IF(AND(EDATE($D135,Milestones!$AA$38)&lt;=AsOfDate,IF($Q135=0,$W135,IF(AND($S135&lt;&gt;"",EDATE($D135,Milestones!$AA$38)&gt;=$S135),$V135,IF(AND($R135&lt;&gt;"",EDATE($D135,Milestones!$AA$38)&gt;=$R135),$U135,$T135)))=Milestones!$AB$38),TEXT(EDATE($D135,Milestones!$AA$38),"dd/mm/yy")&amp;" "&amp;Milestones!$AB$38&amp;" "&amp;Milestones!$AC$38&amp;";  ","")&amp;IF(AND(EDATE($D135,Milestones!$AA$39)&lt;=AsOfDate,IF($Q135=0,$W135,IF(AND($S135&lt;&gt;"",EDATE($D135,Milestones!$AA$39)&gt;=$S135),$V135,IF(AND($R135&lt;&gt;"",EDATE($D135,Milestones!$AA$39)&gt;=$R135),$U135,$T135)))=Milestones!$AB$39),TEXT(EDATE($D135,Milestones!$AA$39),"dd/mm/yy")&amp;" "&amp;Milestones!$AB$39&amp;" "&amp;Milestones!$AC$39&amp;";  ",""))</f>
        <v/>
      </c>
      <c r="I135" s="0" t="str">
        <f aca="false">IF(OR($A135="",$D135=""),"",IF(AND(EDATE($D135,Milestones!$AA$40)&lt;=AsOfDate,IF($Q135=0,$W135,IF(AND($S135&lt;&gt;"",EDATE($D135,Milestones!$AA$40)&gt;=$S135),$V135,IF(AND($R135&lt;&gt;"",EDATE($D135,Milestones!$AA$40)&gt;=$R135),$U135,$T135)))=Milestones!$AB$40),TEXT(EDATE($D135,Milestones!$AA$40),"dd/mm/yy")&amp;" "&amp;Milestones!$AB$40&amp;" "&amp;Milestones!$AC$40&amp;";  ","")&amp;IF(AND(EDATE($D135,Milestones!$AA$41)&lt;=AsOfDate,IF($Q135=0,$W135,IF(AND($S135&lt;&gt;"",EDATE($D135,Milestones!$AA$41)&gt;=$S135),$V135,IF(AND($R135&lt;&gt;"",EDATE($D135,Milestones!$AA$41)&gt;=$R135),$U135,$T135)))=Milestones!$AB$41),TEXT(EDATE($D135,Milestones!$AA$41),"dd/mm/yy")&amp;" "&amp;Milestones!$AB$41&amp;" "&amp;Milestones!$AC$41&amp;";  ","")&amp;IF(AND(EDATE($D135,Milestones!$AA$42)&lt;=AsOfDate,IF($Q135=0,$W135,IF(AND($S135&lt;&gt;"",EDATE($D135,Milestones!$AA$42)&gt;=$S135),$V135,IF(AND($R135&lt;&gt;"",EDATE($D135,Milestones!$AA$42)&gt;=$R135),$U135,$T135)))=Milestones!$AB$42),TEXT(EDATE($D135,Milestones!$AA$42),"dd/mm/yy")&amp;" "&amp;Milestones!$AB$42&amp;" "&amp;Milestones!$AC$42&amp;";  ","")&amp;IF(AND(EDATE($D135,Milestones!$AA$43)&lt;=AsOfDate,IF($Q135=0,$W135,IF(AND($S135&lt;&gt;"",EDATE($D135,Milestones!$AA$43)&gt;=$S135),$V135,IF(AND($R135&lt;&gt;"",EDATE($D135,Milestones!$AA$43)&gt;=$R135),$U135,$T135)))=Milestones!$AB$43),TEXT(EDATE($D135,Milestones!$AA$43),"dd/mm/yy")&amp;" "&amp;Milestones!$AB$43&amp;" "&amp;Milestones!$AC$43&amp;";  ","")&amp;IF(AND(EDATE($D135,Milestones!$AA$44)&lt;=AsOfDate,IF($Q135=0,$W135,IF(AND($S135&lt;&gt;"",EDATE($D135,Milestones!$AA$44)&gt;=$S135),$V135,IF(AND($R135&lt;&gt;"",EDATE($D135,Milestones!$AA$44)&gt;=$R135),$U135,$T135)))=Milestones!$AB$44),TEXT(EDATE($D135,Milestones!$AA$44),"dd/mm/yy")&amp;" "&amp;Milestones!$AB$44&amp;" "&amp;Milestones!$AC$44&amp;";  ","")&amp;IF(AND(EDATE($D135,Milestones!$AA$45)&lt;=AsOfDate,IF($Q135=0,$W135,IF(AND($S135&lt;&gt;"",EDATE($D135,Milestones!$AA$45)&gt;=$S135),$V135,IF(AND($R135&lt;&gt;"",EDATE($D135,Milestones!$AA$45)&gt;=$R135),$U135,$T135)))=Milestones!$AB$45),TEXT(EDATE($D135,Milestones!$AA$45),"dd/mm/yy")&amp;" "&amp;Milestones!$AB$45&amp;" "&amp;Milestones!$AC$45&amp;";  ","")&amp;IF(AND(EDATE($D135,Milestones!$AA$46)&lt;=AsOfDate,IF($Q135=0,$W135,IF(AND($S135&lt;&gt;"",EDATE($D135,Milestones!$AA$46)&gt;=$S135),$V135,IF(AND($R135&lt;&gt;"",EDATE($D135,Milestones!$AA$46)&gt;=$R135),$U135,$T135)))=Milestones!$AB$46),TEXT(EDATE($D135,Milestones!$AA$46),"dd/mm/yy")&amp;" "&amp;Milestones!$AB$46&amp;" "&amp;Milestones!$AC$46&amp;";  ","")&amp;IF(AND(EDATE($D135,Milestones!$AA$47)&lt;=AsOfDate,IF($Q135=0,$W135,IF(AND($S135&lt;&gt;"",EDATE($D135,Milestones!$AA$47)&gt;=$S135),$V135,IF(AND($R135&lt;&gt;"",EDATE($D135,Milestones!$AA$47)&gt;=$R135),$U135,$T135)))=Milestones!$AB$47),TEXT(EDATE($D135,Milestones!$AA$47),"dd/mm/yy")&amp;" "&amp;Milestones!$AB$47&amp;" "&amp;Milestones!$AC$47&amp;";  ","")&amp;IF(AND(EDATE($D135,Milestones!$AA$48)&lt;=AsOfDate,IF($Q135=0,$W135,IF(AND($S135&lt;&gt;"",EDATE($D135,Milestones!$AA$48)&gt;=$S135),$V135,IF(AND($R135&lt;&gt;"",EDATE($D135,Milestones!$AA$48)&gt;=$R135),$U135,$T135)))=Milestones!$AB$48),TEXT(EDATE($D135,Milestones!$AA$48),"dd/mm/yy")&amp;" "&amp;Milestones!$AB$48&amp;" "&amp;Milestones!$AC$48&amp;";  ","")&amp;IF(AND(EDATE($D135,Milestones!$AA$49)&lt;=AsOfDate,IF($Q135=0,$W135,IF(AND($S135&lt;&gt;"",EDATE($D135,Milestones!$AA$49)&gt;=$S135),$V135,IF(AND($R135&lt;&gt;"",EDATE($D135,Milestones!$AA$49)&gt;=$R135),$U135,$T135)))=Milestones!$AB$49),TEXT(EDATE($D135,Milestones!$AA$49),"dd/mm/yy")&amp;" "&amp;Milestones!$AB$49&amp;" "&amp;Milestones!$AC$49&amp;";  ","")&amp;IF(AND(EDATE($D135,Milestones!$AA$50)&lt;=AsOfDate,IF($Q135=0,$W135,IF(AND($S135&lt;&gt;"",EDATE($D135,Milestones!$AA$50)&gt;=$S135),$V135,IF(AND($R135&lt;&gt;"",EDATE($D135,Milestones!$AA$50)&gt;=$R135),$U135,$T135)))=Milestones!$AB$50),TEXT(EDATE($D135,Milestones!$AA$50),"dd/mm/yy")&amp;" "&amp;Milestones!$AB$50&amp;" "&amp;Milestones!$AC$50&amp;";  ","")&amp;IF(AND(EDATE($D135,Milestones!$AA$51)&lt;=AsOfDate,IF($Q135=0,$W135,IF(AND($S135&lt;&gt;"",EDATE($D135,Milestones!$AA$51)&gt;=$S135),$V135,IF(AND($R135&lt;&gt;"",EDATE($D135,Milestones!$AA$51)&gt;=$R135),$U135,$T135)))=Milestones!$AB$51),TEXT(EDATE($D135,Milestones!$AA$51),"dd/mm/yy")&amp;" "&amp;Milestones!$AB$51&amp;" "&amp;Milestones!$AC$51&amp;";  ","")&amp;IF(AND(EDATE($D135,Milestones!$AA$52)&lt;=AsOfDate,IF($Q135=0,$W135,IF(AND($S135&lt;&gt;"",EDATE($D135,Milestones!$AA$52)&gt;=$S135),$V135,IF(AND($R135&lt;&gt;"",EDATE($D135,Milestones!$AA$52)&gt;=$R135),$U135,$T135)))=Milestones!$AB$52),TEXT(EDATE($D135,Milestones!$AA$52),"dd/mm/yy")&amp;" "&amp;Milestones!$AB$52&amp;" "&amp;Milestones!$AC$52&amp;";  ","")&amp;IF(AND(EDATE($D135,Milestones!$AA$53)&lt;=AsOfDate,IF($Q135=0,$W135,IF(AND($S135&lt;&gt;"",EDATE($D135,Milestones!$AA$53)&gt;=$S135),$V135,IF(AND($R135&lt;&gt;"",EDATE($D135,Milestones!$AA$53)&gt;=$R135),$U135,$T135)))=Milestones!$AB$53),TEXT(EDATE($D135,Milestones!$AA$53),"dd/mm/yy")&amp;" "&amp;Milestones!$AB$53&amp;" "&amp;Milestones!$AC$53&amp;";  ","")&amp;IF(AND(EDATE($D135,Milestones!$AA$54)&lt;=AsOfDate,IF($Q135=0,$W135,IF(AND($S135&lt;&gt;"",EDATE($D135,Milestones!$AA$54)&gt;=$S135),$V135,IF(AND($R135&lt;&gt;"",EDATE($D135,Milestones!$AA$54)&gt;=$R135),$U135,$T135)))=Milestones!$AB$54),TEXT(EDATE($D135,Milestones!$AA$54),"dd/mm/yy")&amp;" "&amp;Milestones!$AB$54&amp;" "&amp;Milestones!$AC$54&amp;";  ","")&amp;IF(AND(EDATE($D135,Milestones!$AA$55)&lt;=AsOfDate,IF($Q135=0,$W135,IF(AND($S135&lt;&gt;"",EDATE($D135,Milestones!$AA$55)&gt;=$S135),$V135,IF(AND($R135&lt;&gt;"",EDATE($D135,Milestones!$AA$55)&gt;=$R135),$U135,$T135)))=Milestones!$AB$55),TEXT(EDATE($D135,Milestones!$AA$55),"dd/mm/yy")&amp;" "&amp;Milestones!$AB$55&amp;" "&amp;Milestones!$AC$55&amp;";  ","")&amp;IF(AND(EDATE($D135,Milestones!$AA$56)&lt;=AsOfDate,IF($Q135=0,$W135,IF(AND($S135&lt;&gt;"",EDATE($D135,Milestones!$AA$56)&gt;=$S135),$V135,IF(AND($R135&lt;&gt;"",EDATE($D135,Milestones!$AA$56)&gt;=$R135),$U135,$T135)))=Milestones!$AB$56),TEXT(EDATE($D135,Milestones!$AA$56),"dd/mm/yy")&amp;" "&amp;Milestones!$AB$56&amp;" "&amp;Milestones!$AC$56&amp;";  ","")&amp;IF(AND(EDATE($D135,Milestones!$AA$57)&lt;=AsOfDate,IF($Q135=0,$W135,IF(AND($S135&lt;&gt;"",EDATE($D135,Milestones!$AA$57)&gt;=$S135),$V135,IF(AND($R135&lt;&gt;"",EDATE($D135,Milestones!$AA$57)&gt;=$R135),$U135,$T135)))=Milestones!$AB$57),TEXT(EDATE($D135,Milestones!$AA$57),"dd/mm/yy")&amp;" "&amp;Milestones!$AB$57&amp;" "&amp;Milestones!$AC$57&amp;";  ","")&amp;IF(AND(EDATE($D135,Milestones!$AA$58)&lt;=AsOfDate,IF($Q135=0,$W135,IF(AND($S135&lt;&gt;"",EDATE($D135,Milestones!$AA$58)&gt;=$S135),$V135,IF(AND($R135&lt;&gt;"",EDATE($D135,Milestones!$AA$58)&gt;=$R135),$U135,$T135)))=Milestones!$AB$58),TEXT(EDATE($D135,Milestones!$AA$58),"dd/mm/yy")&amp;" "&amp;Milestones!$AB$58&amp;" "&amp;Milestones!$AC$58&amp;";  ","")&amp;IF(AND(EDATE($D135,Milestones!$AA$59)&lt;=AsOfDate,IF($Q135=0,$W135,IF(AND($S135&lt;&gt;"",EDATE($D135,Milestones!$AA$59)&gt;=$S135),$V135,IF(AND($R135&lt;&gt;"",EDATE($D135,Milestones!$AA$59)&gt;=$R135),$U135,$T135)))=Milestones!$AB$59),TEXT(EDATE($D135,Milestones!$AA$59),"dd/mm/yy")&amp;" "&amp;Milestones!$AB$59&amp;" "&amp;Milestones!$AC$59&amp;";  ",""))</f>
        <v/>
      </c>
      <c r="J135" s="0" t="str">
        <f aca="false">IF(OR($A135="",$D135=""),"",IF(AND(EDATE($D135,Milestones!$AA$60)&lt;=AsOfDate,IF($Q135=0,$W135,IF(AND($S135&lt;&gt;"",EDATE($D135,Milestones!$AA$60)&gt;=$S135),$V135,IF(AND($R135&lt;&gt;"",EDATE($D135,Milestones!$AA$60)&gt;=$R135),$U135,$T135)))=Milestones!$AB$60),TEXT(EDATE($D135,Milestones!$AA$60),"dd/mm/yy")&amp;" "&amp;Milestones!$AB$60&amp;" "&amp;Milestones!$AC$60&amp;";  ","")&amp;IF(AND(EDATE($D135,Milestones!$AA$61)&lt;=AsOfDate,IF($Q135=0,$W135,IF(AND($S135&lt;&gt;"",EDATE($D135,Milestones!$AA$61)&gt;=$S135),$V135,IF(AND($R135&lt;&gt;"",EDATE($D135,Milestones!$AA$61)&gt;=$R135),$U135,$T135)))=Milestones!$AB$61),TEXT(EDATE($D135,Milestones!$AA$61),"dd/mm/yy")&amp;" "&amp;Milestones!$AB$61&amp;" "&amp;Milestones!$AC$61&amp;";  ","")&amp;IF(AND(EDATE($D135,Milestones!$AA$62)&lt;=AsOfDate,IF($Q135=0,$W135,IF(AND($S135&lt;&gt;"",EDATE($D135,Milestones!$AA$62)&gt;=$S135),$V135,IF(AND($R135&lt;&gt;"",EDATE($D135,Milestones!$AA$62)&gt;=$R135),$U135,$T135)))=Milestones!$AB$62),TEXT(EDATE($D135,Milestones!$AA$62),"dd/mm/yy")&amp;" "&amp;Milestones!$AB$62&amp;" "&amp;Milestones!$AC$62&amp;";  ","")&amp;IF(AND(EDATE($D135,Milestones!$AA$63)&lt;=AsOfDate,IF($Q135=0,$W135,IF(AND($S135&lt;&gt;"",EDATE($D135,Milestones!$AA$63)&gt;=$S135),$V135,IF(AND($R135&lt;&gt;"",EDATE($D135,Milestones!$AA$63)&gt;=$R135),$U135,$T135)))=Milestones!$AB$63),TEXT(EDATE($D135,Milestones!$AA$63),"dd/mm/yy")&amp;" "&amp;Milestones!$AB$63&amp;" "&amp;Milestones!$AC$63&amp;";  ","")&amp;IF(AND(EDATE($D135,Milestones!$AA$64)&lt;=AsOfDate,IF($Q135=0,$W135,IF(AND($S135&lt;&gt;"",EDATE($D135,Milestones!$AA$64)&gt;=$S135),$V135,IF(AND($R135&lt;&gt;"",EDATE($D135,Milestones!$AA$64)&gt;=$R135),$U135,$T135)))=Milestones!$AB$64),TEXT(EDATE($D135,Milestones!$AA$64),"dd/mm/yy")&amp;" "&amp;Milestones!$AB$64&amp;" "&amp;Milestones!$AC$64&amp;";  ","")&amp;IF(AND(EDATE($D135,Milestones!$AA$65)&lt;=AsOfDate,IF($Q135=0,$W135,IF(AND($S135&lt;&gt;"",EDATE($D135,Milestones!$AA$65)&gt;=$S135),$V135,IF(AND($R135&lt;&gt;"",EDATE($D135,Milestones!$AA$65)&gt;=$R135),$U135,$T135)))=Milestones!$AB$65),TEXT(EDATE($D135,Milestones!$AA$65),"dd/mm/yy")&amp;" "&amp;Milestones!$AB$65&amp;" "&amp;Milestones!$AC$65&amp;";  ","")&amp;IF(AND(EDATE($D135,Milestones!$AA$66)&lt;=AsOfDate,IF($Q135=0,$W135,IF(AND($S135&lt;&gt;"",EDATE($D135,Milestones!$AA$66)&gt;=$S135),$V135,IF(AND($R135&lt;&gt;"",EDATE($D135,Milestones!$AA$66)&gt;=$R135),$U135,$T135)))=Milestones!$AB$66),TEXT(EDATE($D135,Milestones!$AA$66),"dd/mm/yy")&amp;" "&amp;Milestones!$AB$66&amp;" "&amp;Milestones!$AC$66&amp;";  ","")&amp;IF(AND(EDATE($D135,Milestones!$AA$67)&lt;=AsOfDate,IF($Q135=0,$W135,IF(AND($S135&lt;&gt;"",EDATE($D135,Milestones!$AA$67)&gt;=$S135),$V135,IF(AND($R135&lt;&gt;"",EDATE($D135,Milestones!$AA$67)&gt;=$R135),$U135,$T135)))=Milestones!$AB$67),TEXT(EDATE($D135,Milestones!$AA$67),"dd/mm/yy")&amp;" "&amp;Milestones!$AB$67&amp;" "&amp;Milestones!$AC$67&amp;";  ","")&amp;IF(AND(EDATE($D135,Milestones!$AA$68)&lt;=AsOfDate,IF($Q135=0,$W135,IF(AND($S135&lt;&gt;"",EDATE($D135,Milestones!$AA$68)&gt;=$S135),$V135,IF(AND($R135&lt;&gt;"",EDATE($D135,Milestones!$AA$68)&gt;=$R135),$U135,$T135)))=Milestones!$AB$68),TEXT(EDATE($D135,Milestones!$AA$68),"dd/mm/yy")&amp;" "&amp;Milestones!$AB$68&amp;" "&amp;Milestones!$AC$68&amp;";  ","")&amp;IF(AND(EDATE($D135,Milestones!$AA$69)&lt;=AsOfDate,IF($Q135=0,$W135,IF(AND($S135&lt;&gt;"",EDATE($D135,Milestones!$AA$69)&gt;=$S135),$V135,IF(AND($R135&lt;&gt;"",EDATE($D135,Milestones!$AA$69)&gt;=$R135),$U135,$T135)))=Milestones!$AB$69),TEXT(EDATE($D135,Milestones!$AA$69),"dd/mm/yy")&amp;" "&amp;Milestones!$AB$69&amp;" "&amp;Milestones!$AC$69&amp;";  ","")&amp;IF(AND(EDATE($D135,Milestones!$AA$70)&lt;=AsOfDate,IF($Q135=0,$W135,IF(AND($S135&lt;&gt;"",EDATE($D135,Milestones!$AA$70)&gt;=$S135),$V135,IF(AND($R135&lt;&gt;"",EDATE($D135,Milestones!$AA$70)&gt;=$R135),$U135,$T135)))=Milestones!$AB$70),TEXT(EDATE($D135,Milestones!$AA$70),"dd/mm/yy")&amp;" "&amp;Milestones!$AB$70&amp;" "&amp;Milestones!$AC$70&amp;";  ","")&amp;IF(AND(EDATE($D135,Milestones!$AA$71)&lt;=AsOfDate,IF($Q135=0,$W135,IF(AND($S135&lt;&gt;"",EDATE($D135,Milestones!$AA$71)&gt;=$S135),$V135,IF(AND($R135&lt;&gt;"",EDATE($D135,Milestones!$AA$71)&gt;=$R135),$U135,$T135)))=Milestones!$AB$71),TEXT(EDATE($D135,Milestones!$AA$71),"dd/mm/yy")&amp;" "&amp;Milestones!$AB$71&amp;" "&amp;Milestones!$AC$71&amp;";  ","")&amp;IF(AND(EDATE($D135,Milestones!$AA$72)&lt;=AsOfDate,IF($Q135=0,$W135,IF(AND($S135&lt;&gt;"",EDATE($D135,Milestones!$AA$72)&gt;=$S135),$V135,IF(AND($R135&lt;&gt;"",EDATE($D135,Milestones!$AA$72)&gt;=$R135),$U135,$T135)))=Milestones!$AB$72),TEXT(EDATE($D135,Milestones!$AA$72),"dd/mm/yy")&amp;" "&amp;Milestones!$AB$72&amp;" "&amp;Milestones!$AC$72&amp;";  ","")&amp;IF(AND(EDATE($D135,Milestones!$AA$73)&lt;=AsOfDate,IF($Q135=0,$W135,IF(AND($S135&lt;&gt;"",EDATE($D135,Milestones!$AA$73)&gt;=$S135),$V135,IF(AND($R135&lt;&gt;"",EDATE($D135,Milestones!$AA$73)&gt;=$R135),$U135,$T135)))=Milestones!$AB$73),TEXT(EDATE($D135,Milestones!$AA$73),"dd/mm/yy")&amp;" "&amp;Milestones!$AB$73&amp;" "&amp;Milestones!$AC$73&amp;";  ","")&amp;IF(AND(EDATE($D135,Milestones!$AA$74)&lt;=AsOfDate,IF($Q135=0,$W135,IF(AND($S135&lt;&gt;"",EDATE($D135,Milestones!$AA$74)&gt;=$S135),$V135,IF(AND($R135&lt;&gt;"",EDATE($D135,Milestones!$AA$74)&gt;=$R135),$U135,$T135)))=Milestones!$AB$74),TEXT(EDATE($D135,Milestones!$AA$74),"dd/mm/yy")&amp;" "&amp;Milestones!$AB$74&amp;" "&amp;Milestones!$AC$74&amp;";  ","")&amp;IF(AND(EDATE($D135,Milestones!$AA$75)&lt;=AsOfDate,IF($Q135=0,$W135,IF(AND($S135&lt;&gt;"",EDATE($D135,Milestones!$AA$75)&gt;=$S135),$V135,IF(AND($R135&lt;&gt;"",EDATE($D135,Milestones!$AA$75)&gt;=$R135),$U135,$T135)))=Milestones!$AB$75),TEXT(EDATE($D135,Milestones!$AA$75),"dd/mm/yy")&amp;" "&amp;Milestones!$AB$75&amp;" "&amp;Milestones!$AC$75&amp;";  ","")&amp;IF(AND(EDATE($D135,Milestones!$AA$76)&lt;=AsOfDate,IF($Q135=0,$W135,IF(AND($S135&lt;&gt;"",EDATE($D135,Milestones!$AA$76)&gt;=$S135),$V135,IF(AND($R135&lt;&gt;"",EDATE($D135,Milestones!$AA$76)&gt;=$R135),$U135,$T135)))=Milestones!$AB$76),TEXT(EDATE($D135,Milestones!$AA$76),"dd/mm/yy")&amp;" "&amp;Milestones!$AB$76&amp;" "&amp;Milestones!$AC$76&amp;";  ","")&amp;IF(AND(EDATE($D135,Milestones!$AA$77)&lt;=AsOfDate,IF($Q135=0,$W135,IF(AND($S135&lt;&gt;"",EDATE($D135,Milestones!$AA$77)&gt;=$S135),$V135,IF(AND($R135&lt;&gt;"",EDATE($D135,Milestones!$AA$77)&gt;=$R135),$U135,$T135)))=Milestones!$AB$77),TEXT(EDATE($D135,Milestones!$AA$77),"dd/mm/yy")&amp;" "&amp;Milestones!$AB$77&amp;" "&amp;Milestones!$AC$77&amp;";  ","")&amp;IF(AND(EDATE($D135,Milestones!$AA$78)&lt;=AsOfDate,IF($Q135=0,$W135,IF(AND($S135&lt;&gt;"",EDATE($D135,Milestones!$AA$78)&gt;=$S135),$V135,IF(AND($R135&lt;&gt;"",EDATE($D135,Milestones!$AA$78)&gt;=$R135),$U135,$T135)))=Milestones!$AB$78),TEXT(EDATE($D135,Milestones!$AA$78),"dd/mm/yy")&amp;" "&amp;Milestones!$AB$78&amp;" "&amp;Milestones!$AC$78&amp;";  ","")&amp;IF(AND(EDATE($D135,Milestones!$AA$79)&lt;=AsOfDate,IF($Q135=0,$W135,IF(AND($S135&lt;&gt;"",EDATE($D135,Milestones!$AA$79)&gt;=$S135),$V135,IF(AND($R135&lt;&gt;"",EDATE($D135,Milestones!$AA$79)&gt;=$R135),$U135,$T135)))=Milestones!$AB$79),TEXT(EDATE($D135,Milestones!$AA$79),"dd/mm/yy")&amp;" "&amp;Milestones!$AB$79&amp;" "&amp;Milestones!$AC$79&amp;";  ",""))</f>
        <v/>
      </c>
      <c r="K135" s="0" t="str">
        <f aca="false">IF(OR($A135="",$D135=""),"",IF(AND(EDATE($D135,Milestones!$AA$80)&lt;=AsOfDate,IF($Q135=0,$W135,IF(AND($S135&lt;&gt;"",EDATE($D135,Milestones!$AA$80)&gt;=$S135),$V135,IF(AND($R135&lt;&gt;"",EDATE($D135,Milestones!$AA$80)&gt;=$R135),$U135,$T135)))=Milestones!$AB$80),TEXT(EDATE($D135,Milestones!$AA$80),"dd/mm/yy")&amp;" "&amp;Milestones!$AB$80&amp;" "&amp;Milestones!$AC$80&amp;";  ","")&amp;IF(AND(EDATE($D135,Milestones!$AA$81)&lt;=AsOfDate,IF($Q135=0,$W135,IF(AND($S135&lt;&gt;"",EDATE($D135,Milestones!$AA$81)&gt;=$S135),$V135,IF(AND($R135&lt;&gt;"",EDATE($D135,Milestones!$AA$81)&gt;=$R135),$U135,$T135)))=Milestones!$AB$81),TEXT(EDATE($D135,Milestones!$AA$81),"dd/mm/yy")&amp;" "&amp;Milestones!$AB$81&amp;" "&amp;Milestones!$AC$81&amp;";  ","")&amp;IF(AND(EDATE($D135,Milestones!$AA$82)&lt;=AsOfDate,IF($Q135=0,$W135,IF(AND($S135&lt;&gt;"",EDATE($D135,Milestones!$AA$82)&gt;=$S135),$V135,IF(AND($R135&lt;&gt;"",EDATE($D135,Milestones!$AA$82)&gt;=$R135),$U135,$T135)))=Milestones!$AB$82),TEXT(EDATE($D135,Milestones!$AA$82),"dd/mm/yy")&amp;" "&amp;Milestones!$AB$82&amp;" "&amp;Milestones!$AC$82&amp;";  ","")&amp;IF(AND(EDATE($D135,Milestones!$AA$83)&lt;=AsOfDate,IF($Q135=0,$W135,IF(AND($S135&lt;&gt;"",EDATE($D135,Milestones!$AA$83)&gt;=$S135),$V135,IF(AND($R135&lt;&gt;"",EDATE($D135,Milestones!$AA$83)&gt;=$R135),$U135,$T135)))=Milestones!$AB$83),TEXT(EDATE($D135,Milestones!$AA$83),"dd/mm/yy")&amp;" "&amp;Milestones!$AB$83&amp;" "&amp;Milestones!$AC$83&amp;";  ","")&amp;IF(AND(EDATE($D135,Milestones!$AA$84)&lt;=AsOfDate,IF($Q135=0,$W135,IF(AND($S135&lt;&gt;"",EDATE($D135,Milestones!$AA$84)&gt;=$S135),$V135,IF(AND($R135&lt;&gt;"",EDATE($D135,Milestones!$AA$84)&gt;=$R135),$U135,$T135)))=Milestones!$AB$84),TEXT(EDATE($D135,Milestones!$AA$84),"dd/mm/yy")&amp;" "&amp;Milestones!$AB$84&amp;" "&amp;Milestones!$AC$84&amp;";  ","")&amp;IF(AND(EDATE($D135,Milestones!$AA$85)&lt;=AsOfDate,IF($Q135=0,$W135,IF(AND($S135&lt;&gt;"",EDATE($D135,Milestones!$AA$85)&gt;=$S135),$V135,IF(AND($R135&lt;&gt;"",EDATE($D135,Milestones!$AA$85)&gt;=$R135),$U135,$T135)))=Milestones!$AB$85),TEXT(EDATE($D135,Milestones!$AA$85),"dd/mm/yy")&amp;" "&amp;Milestones!$AB$85&amp;" "&amp;Milestones!$AC$85&amp;";  ","")&amp;IF(AND(EDATE($D135,Milestones!$AA$86)&lt;=AsOfDate,IF($Q135=0,$W135,IF(AND($S135&lt;&gt;"",EDATE($D135,Milestones!$AA$86)&gt;=$S135),$V135,IF(AND($R135&lt;&gt;"",EDATE($D135,Milestones!$AA$86)&gt;=$R135),$U135,$T135)))=Milestones!$AB$86),TEXT(EDATE($D135,Milestones!$AA$86),"dd/mm/yy")&amp;" "&amp;Milestones!$AB$86&amp;" "&amp;Milestones!$AC$86&amp;";  ","")&amp;IF(AND(EDATE($D135,Milestones!$AA$87)&lt;=AsOfDate,IF($Q135=0,$W135,IF(AND($S135&lt;&gt;"",EDATE($D135,Milestones!$AA$87)&gt;=$S135),$V135,IF(AND($R135&lt;&gt;"",EDATE($D135,Milestones!$AA$87)&gt;=$R135),$U135,$T135)))=Milestones!$AB$87),TEXT(EDATE($D135,Milestones!$AA$87),"dd/mm/yy")&amp;" "&amp;Milestones!$AB$87&amp;" "&amp;Milestones!$AC$87&amp;";  ","")&amp;IF(AND(EDATE($D135,Milestones!$AA$88)&lt;=AsOfDate,IF($Q135=0,$W135,IF(AND($S135&lt;&gt;"",EDATE($D135,Milestones!$AA$88)&gt;=$S135),$V135,IF(AND($R135&lt;&gt;"",EDATE($D135,Milestones!$AA$88)&gt;=$R135),$U135,$T135)))=Milestones!$AB$88),TEXT(EDATE($D135,Milestones!$AA$88),"dd/mm/yy")&amp;" "&amp;Milestones!$AB$88&amp;" "&amp;Milestones!$AC$88&amp;";  ","")&amp;IF(AND(EDATE($D135,Milestones!$AA$89)&lt;=AsOfDate,IF($Q135=0,$W135,IF(AND($S135&lt;&gt;"",EDATE($D135,Milestones!$AA$89)&gt;=$S135),$V135,IF(AND($R135&lt;&gt;"",EDATE($D135,Milestones!$AA$89)&gt;=$R135),$U135,$T135)))=Milestones!$AB$89),TEXT(EDATE($D135,Milestones!$AA$89),"dd/mm/yy")&amp;" "&amp;Milestones!$AB$89&amp;" "&amp;Milestones!$AC$89&amp;";  ","")&amp;IF(AND(EDATE($D135,Milestones!$AA$90)&lt;=AsOfDate,IF($Q135=0,$W135,IF(AND($S135&lt;&gt;"",EDATE($D135,Milestones!$AA$90)&gt;=$S135),$V135,IF(AND($R135&lt;&gt;"",EDATE($D135,Milestones!$AA$90)&gt;=$R135),$U135,$T135)))=Milestones!$AB$90),TEXT(EDATE($D135,Milestones!$AA$90),"dd/mm/yy")&amp;" "&amp;Milestones!$AB$90&amp;" "&amp;Milestones!$AC$90&amp;";  ","")&amp;IF(AND(EDATE($D135,Milestones!$AA$91)&lt;=AsOfDate,IF($Q135=0,$W135,IF(AND($S135&lt;&gt;"",EDATE($D135,Milestones!$AA$91)&gt;=$S135),$V135,IF(AND($R135&lt;&gt;"",EDATE($D135,Milestones!$AA$91)&gt;=$R135),$U135,$T135)))=Milestones!$AB$91),TEXT(EDATE($D135,Milestones!$AA$91),"dd/mm/yy")&amp;" "&amp;Milestones!$AB$91&amp;" "&amp;Milestones!$AC$91&amp;";  ","")&amp;IF(AND(EDATE($D135,Milestones!$AA$92)&lt;=AsOfDate,IF($Q135=0,$W135,IF(AND($S135&lt;&gt;"",EDATE($D135,Milestones!$AA$92)&gt;=$S135),$V135,IF(AND($R135&lt;&gt;"",EDATE($D135,Milestones!$AA$92)&gt;=$R135),$U135,$T135)))=Milestones!$AB$92),TEXT(EDATE($D135,Milestones!$AA$92),"dd/mm/yy")&amp;" "&amp;Milestones!$AB$92&amp;" "&amp;Milestones!$AC$92&amp;";  ","")&amp;IF(AND(EDATE($D135,Milestones!$AA$93)&lt;=AsOfDate,IF($Q135=0,$W135,IF(AND($S135&lt;&gt;"",EDATE($D135,Milestones!$AA$93)&gt;=$S135),$V135,IF(AND($R135&lt;&gt;"",EDATE($D135,Milestones!$AA$93)&gt;=$R135),$U135,$T135)))=Milestones!$AB$93),TEXT(EDATE($D135,Milestones!$AA$93),"dd/mm/yy")&amp;" "&amp;Milestones!$AB$93&amp;" "&amp;Milestones!$AC$93&amp;";  ","")&amp;IF(AND(EDATE($D135,Milestones!$AA$94)&lt;=AsOfDate,IF($Q135=0,$W135,IF(AND($S135&lt;&gt;"",EDATE($D135,Milestones!$AA$94)&gt;=$S135),$V135,IF(AND($R135&lt;&gt;"",EDATE($D135,Milestones!$AA$94)&gt;=$R135),$U135,$T135)))=Milestones!$AB$94),TEXT(EDATE($D135,Milestones!$AA$94),"dd/mm/yy")&amp;" "&amp;Milestones!$AB$94&amp;" "&amp;Milestones!$AC$94&amp;";  ","")&amp;IF(AND(EDATE($D135,Milestones!$AA$95)&lt;=AsOfDate,IF($Q135=0,$W135,IF(AND($S135&lt;&gt;"",EDATE($D135,Milestones!$AA$95)&gt;=$S135),$V135,IF(AND($R135&lt;&gt;"",EDATE($D135,Milestones!$AA$95)&gt;=$R135),$U135,$T135)))=Milestones!$AB$95),TEXT(EDATE($D135,Milestones!$AA$95),"dd/mm/yy")&amp;" "&amp;Milestones!$AB$95&amp;" "&amp;Milestones!$AC$95&amp;";  ","")&amp;IF(AND(EDATE($D135,Milestones!$AA$96)&lt;=AsOfDate,IF($Q135=0,$W135,IF(AND($S135&lt;&gt;"",EDATE($D135,Milestones!$AA$96)&gt;=$S135),$V135,IF(AND($R135&lt;&gt;"",EDATE($D135,Milestones!$AA$96)&gt;=$R135),$U135,$T135)))=Milestones!$AB$96),TEXT(EDATE($D135,Milestones!$AA$96),"dd/mm/yy")&amp;" "&amp;Milestones!$AB$96&amp;" "&amp;Milestones!$AC$96&amp;";  ","")&amp;IF(AND(EDATE($D135,Milestones!$AA$97)&lt;=AsOfDate,IF($Q135=0,$W135,IF(AND($S135&lt;&gt;"",EDATE($D135,Milestones!$AA$97)&gt;=$S135),$V135,IF(AND($R135&lt;&gt;"",EDATE($D135,Milestones!$AA$97)&gt;=$R135),$U135,$T135)))=Milestones!$AB$97),TEXT(EDATE($D135,Milestones!$AA$97),"dd/mm/yy")&amp;" "&amp;Milestones!$AB$97&amp;" "&amp;Milestones!$AC$97&amp;";  ","")&amp;IF(AND(EDATE($D135,Milestones!$AA$98)&lt;=AsOfDate,IF($Q135=0,$W135,IF(AND($S135&lt;&gt;"",EDATE($D135,Milestones!$AA$98)&gt;=$S135),$V135,IF(AND($R135&lt;&gt;"",EDATE($D135,Milestones!$AA$98)&gt;=$R135),$U135,$T135)))=Milestones!$AB$98),TEXT(EDATE($D135,Milestones!$AA$98),"dd/mm/yy")&amp;" "&amp;Milestones!$AB$98&amp;" "&amp;Milestones!$AC$98&amp;";  ","")&amp;IF(AND(EDATE($D135,Milestones!$AA$99)&lt;=AsOfDate,IF($Q135=0,$W135,IF(AND($S135&lt;&gt;"",EDATE($D135,Milestones!$AA$99)&gt;=$S135),$V135,IF(AND($R135&lt;&gt;"",EDATE($D135,Milestones!$AA$99)&gt;=$R135),$U135,$T135)))=Milestones!$AB$99),TEXT(EDATE($D135,Milestones!$AA$99),"dd/mm/yy")&amp;" "&amp;Milestones!$AB$99&amp;" "&amp;Milestones!$AC$99&amp;";  ",""))</f>
        <v/>
      </c>
      <c r="L135" s="0" t="str">
        <f aca="false">IF(OR($A135="",$D135=""),"",IF(AND(EDATE($D135,Milestones!$AA$100)&lt;=AsOfDate,IF($Q135=0,$W135,IF(AND($S135&lt;&gt;"",EDATE($D135,Milestones!$AA$100)&gt;=$S135),$V135,IF(AND($R135&lt;&gt;"",EDATE($D135,Milestones!$AA$100)&gt;=$R135),$U135,$T135)))=Milestones!$AB$100),TEXT(EDATE($D135,Milestones!$AA$100),"dd/mm/yy")&amp;" "&amp;Milestones!$AB$100&amp;" "&amp;Milestones!$AC$100&amp;";  ","")&amp;IF(AND(EDATE($D135,Milestones!$AA$101)&lt;=AsOfDate,IF($Q135=0,$W135,IF(AND($S135&lt;&gt;"",EDATE($D135,Milestones!$AA$101)&gt;=$S135),$V135,IF(AND($R135&lt;&gt;"",EDATE($D135,Milestones!$AA$101)&gt;=$R135),$U135,$T135)))=Milestones!$AB$101),TEXT(EDATE($D135,Milestones!$AA$101),"dd/mm/yy")&amp;" "&amp;Milestones!$AB$101&amp;" "&amp;Milestones!$AC$101&amp;";  ","")&amp;IF(AND(EDATE($D135,Milestones!$AA$102)&lt;=AsOfDate,IF($Q135=0,$W135,IF(AND($S135&lt;&gt;"",EDATE($D135,Milestones!$AA$102)&gt;=$S135),$V135,IF(AND($R135&lt;&gt;"",EDATE($D135,Milestones!$AA$102)&gt;=$R135),$U135,$T135)))=Milestones!$AB$102),TEXT(EDATE($D135,Milestones!$AA$102),"dd/mm/yy")&amp;" "&amp;Milestones!$AB$102&amp;" "&amp;Milestones!$AC$102&amp;";  ","")&amp;IF(AND(EDATE($D135,Milestones!$AA$103)&lt;=AsOfDate,IF($Q135=0,$W135,IF(AND($S135&lt;&gt;"",EDATE($D135,Milestones!$AA$103)&gt;=$S135),$V135,IF(AND($R135&lt;&gt;"",EDATE($D135,Milestones!$AA$103)&gt;=$R135),$U135,$T135)))=Milestones!$AB$103),TEXT(EDATE($D135,Milestones!$AA$103),"dd/mm/yy")&amp;" "&amp;Milestones!$AB$103&amp;" "&amp;Milestones!$AC$103&amp;";  ","")&amp;IF(AND(EDATE($D135,Milestones!$AA$104)&lt;=AsOfDate,IF($Q135=0,$W135,IF(AND($S135&lt;&gt;"",EDATE($D135,Milestones!$AA$104)&gt;=$S135),$V135,IF(AND($R135&lt;&gt;"",EDATE($D135,Milestones!$AA$104)&gt;=$R135),$U135,$T135)))=Milestones!$AB$104),TEXT(EDATE($D135,Milestones!$AA$104),"dd/mm/yy")&amp;" "&amp;Milestones!$AB$104&amp;" "&amp;Milestones!$AC$104&amp;";  ","")&amp;IF(AND(EDATE($D135,Milestones!$AA$105)&lt;=AsOfDate,IF($Q135=0,$W135,IF(AND($S135&lt;&gt;"",EDATE($D135,Milestones!$AA$105)&gt;=$S135),$V135,IF(AND($R135&lt;&gt;"",EDATE($D135,Milestones!$AA$105)&gt;=$R135),$U135,$T135)))=Milestones!$AB$105),TEXT(EDATE($D135,Milestones!$AA$105),"dd/mm/yy")&amp;" "&amp;Milestones!$AB$105&amp;" "&amp;Milestones!$AC$105&amp;";  ","")&amp;IF(AND(EDATE($D135,Milestones!$AA$106)&lt;=AsOfDate,IF($Q135=0,$W135,IF(AND($S135&lt;&gt;"",EDATE($D135,Milestones!$AA$106)&gt;=$S135),$V135,IF(AND($R135&lt;&gt;"",EDATE($D135,Milestones!$AA$106)&gt;=$R135),$U135,$T135)))=Milestones!$AB$106),TEXT(EDATE($D135,Milestones!$AA$106),"dd/mm/yy")&amp;" "&amp;Milestones!$AB$106&amp;" "&amp;Milestones!$AC$106&amp;";  ","")&amp;IF(AND(EDATE($D135,Milestones!$AA$107)&lt;=AsOfDate,IF($Q135=0,$W135,IF(AND($S135&lt;&gt;"",EDATE($D135,Milestones!$AA$107)&gt;=$S135),$V135,IF(AND($R135&lt;&gt;"",EDATE($D135,Milestones!$AA$107)&gt;=$R135),$U135,$T135)))=Milestones!$AB$107),TEXT(EDATE($D135,Milestones!$AA$107),"dd/mm/yy")&amp;" "&amp;Milestones!$AB$107&amp;" "&amp;Milestones!$AC$107&amp;";  ","")&amp;IF(AND(EDATE($D135,Milestones!$AA$108)&lt;=AsOfDate,IF($Q135=0,$W135,IF(AND($S135&lt;&gt;"",EDATE($D135,Milestones!$AA$108)&gt;=$S135),$V135,IF(AND($R135&lt;&gt;"",EDATE($D135,Milestones!$AA$108)&gt;=$R135),$U135,$T135)))=Milestones!$AB$108),TEXT(EDATE($D135,Milestones!$AA$108),"dd/mm/yy")&amp;" "&amp;Milestones!$AB$108&amp;" "&amp;Milestones!$AC$108&amp;";  ","")&amp;IF(AND(EDATE($D135,Milestones!$AA$109)&lt;=AsOfDate,IF($Q135=0,$W135,IF(AND($S135&lt;&gt;"",EDATE($D135,Milestones!$AA$109)&gt;=$S135),$V135,IF(AND($R135&lt;&gt;"",EDATE($D135,Milestones!$AA$109)&gt;=$R135),$U135,$T135)))=Milestones!$AB$109),TEXT(EDATE($D135,Milestones!$AA$109),"dd/mm/yy")&amp;" "&amp;Milestones!$AB$109&amp;" "&amp;Milestones!$AC$109&amp;";  ","")&amp;IF(AND(EDATE($D135,Milestones!$AA$110)&lt;=AsOfDate,IF($Q135=0,$W135,IF(AND($S135&lt;&gt;"",EDATE($D135,Milestones!$AA$110)&gt;=$S135),$V135,IF(AND($R135&lt;&gt;"",EDATE($D135,Milestones!$AA$110)&gt;=$R135),$U135,$T135)))=Milestones!$AB$110),TEXT(EDATE($D135,Milestones!$AA$110),"dd/mm/yy")&amp;" "&amp;Milestones!$AB$110&amp;" "&amp;Milestones!$AC$110&amp;";  ","")&amp;IF(AND(EDATE($D135,Milestones!$AA$111)&lt;=AsOfDate,IF($Q135=0,$W135,IF(AND($S135&lt;&gt;"",EDATE($D135,Milestones!$AA$111)&gt;=$S135),$V135,IF(AND($R135&lt;&gt;"",EDATE($D135,Milestones!$AA$111)&gt;=$R135),$U135,$T135)))=Milestones!$AB$111),TEXT(EDATE($D135,Milestones!$AA$111),"dd/mm/yy")&amp;" "&amp;Milestones!$AB$111&amp;" "&amp;Milestones!$AC$111&amp;";  ","")&amp;IF(AND(EDATE($D135,Milestones!$AA$112)&lt;=AsOfDate,IF($Q135=0,$W135,IF(AND($S135&lt;&gt;"",EDATE($D135,Milestones!$AA$112)&gt;=$S135),$V135,IF(AND($R135&lt;&gt;"",EDATE($D135,Milestones!$AA$112)&gt;=$R135),$U135,$T135)))=Milestones!$AB$112),TEXT(EDATE($D135,Milestones!$AA$112),"dd/mm/yy")&amp;" "&amp;Milestones!$AB$112&amp;" "&amp;Milestones!$AC$112&amp;";  ","")&amp;IF(AND(EDATE($D135,Milestones!$AA$113)&lt;=AsOfDate,IF($Q135=0,$W135,IF(AND($S135&lt;&gt;"",EDATE($D135,Milestones!$AA$113)&gt;=$S135),$V135,IF(AND($R135&lt;&gt;"",EDATE($D135,Milestones!$AA$113)&gt;=$R135),$U135,$T135)))=Milestones!$AB$113),TEXT(EDATE($D135,Milestones!$AA$113),"dd/mm/yy")&amp;" "&amp;Milestones!$AB$113&amp;" "&amp;Milestones!$AC$113&amp;";  ","")&amp;IF(AND(EDATE($D135,Milestones!$AA$114)&lt;=AsOfDate,IF($Q135=0,$W135,IF(AND($S135&lt;&gt;"",EDATE($D135,Milestones!$AA$114)&gt;=$S135),$V135,IF(AND($R135&lt;&gt;"",EDATE($D135,Milestones!$AA$114)&gt;=$R135),$U135,$T135)))=Milestones!$AB$114),TEXT(EDATE($D135,Milestones!$AA$114),"dd/mm/yy")&amp;" "&amp;Milestones!$AB$114&amp;" "&amp;Milestones!$AC$114&amp;";  ","")&amp;IF(AND(EDATE($D135,Milestones!$AA$115)&lt;=AsOfDate,IF($Q135=0,$W135,IF(AND($S135&lt;&gt;"",EDATE($D135,Milestones!$AA$115)&gt;=$S135),$V135,IF(AND($R135&lt;&gt;"",EDATE($D135,Milestones!$AA$115)&gt;=$R135),$U135,$T135)))=Milestones!$AB$115),TEXT(EDATE($D135,Milestones!$AA$115),"dd/mm/yy")&amp;" "&amp;Milestones!$AB$115&amp;" "&amp;Milestones!$AC$115&amp;";  ","")&amp;IF(AND(EDATE($D135,Milestones!$AA$116)&lt;=AsOfDate,IF($Q135=0,$W135,IF(AND($S135&lt;&gt;"",EDATE($D135,Milestones!$AA$116)&gt;=$S135),$V135,IF(AND($R135&lt;&gt;"",EDATE($D135,Milestones!$AA$116)&gt;=$R135),$U135,$T135)))=Milestones!$AB$116),TEXT(EDATE($D135,Milestones!$AA$116),"dd/mm/yy")&amp;" "&amp;Milestones!$AB$116&amp;" "&amp;Milestones!$AC$116&amp;";  ","")&amp;IF(AND(EDATE($D135,Milestones!$AA$117)&lt;=AsOfDate,IF($Q135=0,$W135,IF(AND($S135&lt;&gt;"",EDATE($D135,Milestones!$AA$117)&gt;=$S135),$V135,IF(AND($R135&lt;&gt;"",EDATE($D135,Milestones!$AA$117)&gt;=$R135),$U135,$T135)))=Milestones!$AB$117),TEXT(EDATE($D135,Milestones!$AA$117),"dd/mm/yy")&amp;" "&amp;Milestones!$AB$117&amp;" "&amp;Milestones!$AC$117&amp;";  ","")&amp;IF(AND(EDATE($D135,Milestones!$AA$118)&lt;=AsOfDate,IF($Q135=0,$W135,IF(AND($S135&lt;&gt;"",EDATE($D135,Milestones!$AA$118)&gt;=$S135),$V135,IF(AND($R135&lt;&gt;"",EDATE($D135,Milestones!$AA$118)&gt;=$R135),$U135,$T135)))=Milestones!$AB$118),TEXT(EDATE($D135,Milestones!$AA$118),"dd/mm/yy")&amp;" "&amp;Milestones!$AB$118&amp;" "&amp;Milestones!$AC$118&amp;";  ","")&amp;IF(AND(EDATE($D135,Milestones!$AA$119)&lt;=AsOfDate,IF($Q135=0,$W135,IF(AND($S135&lt;&gt;"",EDATE($D135,Milestones!$AA$119)&gt;=$S135),$V135,IF(AND($R135&lt;&gt;"",EDATE($D135,Milestones!$AA$119)&gt;=$R135),$U135,$T135)))=Milestones!$AB$119),TEXT(EDATE($D135,Milestones!$AA$119),"dd/mm/yy")&amp;" "&amp;Milestones!$AB$119&amp;" "&amp;Milestones!$AC$119&amp;";  ",""))</f>
        <v/>
      </c>
      <c r="M135" s="0" t="str">
        <f aca="false">IF(OR($A135="",$D135=""),"",IF(AND(EDATE($D135,Milestones!$AA$120)&lt;=AsOfDate,IF($Q135=0,$W135,IF(AND($S135&lt;&gt;"",EDATE($D135,Milestones!$AA$120)&gt;=$S135),$V135,IF(AND($R135&lt;&gt;"",EDATE($D135,Milestones!$AA$120)&gt;=$R135),$U135,$T135)))=Milestones!$AB$120),TEXT(EDATE($D135,Milestones!$AA$120),"dd/mm/yy")&amp;" "&amp;Milestones!$AB$120&amp;" "&amp;Milestones!$AC$120&amp;";  ","")&amp;IF(AND(EDATE($D135,Milestones!$AA$121)&lt;=AsOfDate,IF($Q135=0,$W135,IF(AND($S135&lt;&gt;"",EDATE($D135,Milestones!$AA$121)&gt;=$S135),$V135,IF(AND($R135&lt;&gt;"",EDATE($D135,Milestones!$AA$121)&gt;=$R135),$U135,$T135)))=Milestones!$AB$121),TEXT(EDATE($D135,Milestones!$AA$121),"dd/mm/yy")&amp;" "&amp;Milestones!$AB$121&amp;" "&amp;Milestones!$AC$121&amp;";  ","")&amp;IF(AND(EDATE($D135,Milestones!$AA$122)&lt;=AsOfDate,IF($Q135=0,$W135,IF(AND($S135&lt;&gt;"",EDATE($D135,Milestones!$AA$122)&gt;=$S135),$V135,IF(AND($R135&lt;&gt;"",EDATE($D135,Milestones!$AA$122)&gt;=$R135),$U135,$T135)))=Milestones!$AB$122),TEXT(EDATE($D135,Milestones!$AA$122),"dd/mm/yy")&amp;" "&amp;Milestones!$AB$122&amp;" "&amp;Milestones!$AC$122&amp;";  ","")&amp;IF(AND(EDATE($D135,Milestones!$AA$123)&lt;=AsOfDate,IF($Q135=0,$W135,IF(AND($S135&lt;&gt;"",EDATE($D135,Milestones!$AA$123)&gt;=$S135),$V135,IF(AND($R135&lt;&gt;"",EDATE($D135,Milestones!$AA$123)&gt;=$R135),$U135,$T135)))=Milestones!$AB$123),TEXT(EDATE($D135,Milestones!$AA$123),"dd/mm/yy")&amp;" "&amp;Milestones!$AB$123&amp;" "&amp;Milestones!$AC$123&amp;";  ","")&amp;IF(AND(EDATE($D135,Milestones!$AA$124)&lt;=AsOfDate,IF($Q135=0,$W135,IF(AND($S135&lt;&gt;"",EDATE($D135,Milestones!$AA$124)&gt;=$S135),$V135,IF(AND($R135&lt;&gt;"",EDATE($D135,Milestones!$AA$124)&gt;=$R135),$U135,$T135)))=Milestones!$AB$124),TEXT(EDATE($D135,Milestones!$AA$124),"dd/mm/yy")&amp;" "&amp;Milestones!$AB$124&amp;" "&amp;Milestones!$AC$124&amp;";  ","")&amp;IF(AND(EDATE($D135,Milestones!$AA$125)&lt;=AsOfDate,IF($Q135=0,$W135,IF(AND($S135&lt;&gt;"",EDATE($D135,Milestones!$AA$125)&gt;=$S135),$V135,IF(AND($R135&lt;&gt;"",EDATE($D135,Milestones!$AA$125)&gt;=$R135),$U135,$T135)))=Milestones!$AB$125),TEXT(EDATE($D135,Milestones!$AA$125),"dd/mm/yy")&amp;" "&amp;Milestones!$AB$125&amp;" "&amp;Milestones!$AC$125&amp;";  ","")&amp;IF(AND(EDATE($D135,Milestones!$AA$126)&lt;=AsOfDate,IF($Q135=0,$W135,IF(AND($S135&lt;&gt;"",EDATE($D135,Milestones!$AA$126)&gt;=$S135),$V135,IF(AND($R135&lt;&gt;"",EDATE($D135,Milestones!$AA$126)&gt;=$R135),$U135,$T135)))=Milestones!$AB$126),TEXT(EDATE($D135,Milestones!$AA$126),"dd/mm/yy")&amp;" "&amp;Milestones!$AB$126&amp;" "&amp;Milestones!$AC$126&amp;";  ","")&amp;IF(AND(EDATE($D135,Milestones!$AA$127)&lt;=AsOfDate,IF($Q135=0,$W135,IF(AND($S135&lt;&gt;"",EDATE($D135,Milestones!$AA$127)&gt;=$S135),$V135,IF(AND($R135&lt;&gt;"",EDATE($D135,Milestones!$AA$127)&gt;=$R135),$U135,$T135)))=Milestones!$AB$127),TEXT(EDATE($D135,Milestones!$AA$127),"dd/mm/yy")&amp;" "&amp;Milestones!$AB$127&amp;" "&amp;Milestones!$AC$127&amp;";  ","")&amp;IF(AND(EDATE($D135,Milestones!$AA$128)&lt;=AsOfDate,IF($Q135=0,$W135,IF(AND($S135&lt;&gt;"",EDATE($D135,Milestones!$AA$128)&gt;=$S135),$V135,IF(AND($R135&lt;&gt;"",EDATE($D135,Milestones!$AA$128)&gt;=$R135),$U135,$T135)))=Milestones!$AB$128),TEXT(EDATE($D135,Milestones!$AA$128),"dd/mm/yy")&amp;" "&amp;Milestones!$AB$128&amp;" "&amp;Milestones!$AC$128&amp;";  ","")&amp;IF(AND(EDATE($D135,Milestones!$AA$129)&lt;=AsOfDate,IF($Q135=0,$W135,IF(AND($S135&lt;&gt;"",EDATE($D135,Milestones!$AA$129)&gt;=$S135),$V135,IF(AND($R135&lt;&gt;"",EDATE($D135,Milestones!$AA$129)&gt;=$R135),$U135,$T135)))=Milestones!$AB$129),TEXT(EDATE($D135,Milestones!$AA$129),"dd/mm/yy")&amp;" "&amp;Milestones!$AB$129&amp;" "&amp;Milestones!$AC$129&amp;";  ","")&amp;IF(AND(EDATE($D135,Milestones!$AA$130)&lt;=AsOfDate,IF($Q135=0,$W135,IF(AND($S135&lt;&gt;"",EDATE($D135,Milestones!$AA$130)&gt;=$S135),$V135,IF(AND($R135&lt;&gt;"",EDATE($D135,Milestones!$AA$130)&gt;=$R135),$U135,$T135)))=Milestones!$AB$130),TEXT(EDATE($D135,Milestones!$AA$130),"dd/mm/yy")&amp;" "&amp;Milestones!$AB$130&amp;" "&amp;Milestones!$AC$130&amp;";  ","")&amp;IF(AND(EDATE($D135,Milestones!$AA$131)&lt;=AsOfDate,IF($Q135=0,$W135,IF(AND($S135&lt;&gt;"",EDATE($D135,Milestones!$AA$131)&gt;=$S135),$V135,IF(AND($R135&lt;&gt;"",EDATE($D135,Milestones!$AA$131)&gt;=$R135),$U135,$T135)))=Milestones!$AB$131),TEXT(EDATE($D135,Milestones!$AA$131),"dd/mm/yy")&amp;" "&amp;Milestones!$AB$131&amp;" "&amp;Milestones!$AC$131&amp;";  ","")&amp;IF(AND(EDATE($D135,Milestones!$AA$132)&lt;=AsOfDate,IF($Q135=0,$W135,IF(AND($S135&lt;&gt;"",EDATE($D135,Milestones!$AA$132)&gt;=$S135),$V135,IF(AND($R135&lt;&gt;"",EDATE($D135,Milestones!$AA$132)&gt;=$R135),$U135,$T135)))=Milestones!$AB$132),TEXT(EDATE($D135,Milestones!$AA$132),"dd/mm/yy")&amp;" "&amp;Milestones!$AB$132&amp;" "&amp;Milestones!$AC$132&amp;";  ","")&amp;IF(AND(EDATE($D135,Milestones!$AA$133)&lt;=AsOfDate,IF($Q135=0,$W135,IF(AND($S135&lt;&gt;"",EDATE($D135,Milestones!$AA$133)&gt;=$S135),$V135,IF(AND($R135&lt;&gt;"",EDATE($D135,Milestones!$AA$133)&gt;=$R135),$U135,$T135)))=Milestones!$AB$133),TEXT(EDATE($D135,Milestones!$AA$133),"dd/mm/yy")&amp;" "&amp;Milestones!$AB$133&amp;" "&amp;Milestones!$AC$133&amp;";  ","")&amp;IF(AND(EDATE($D135,Milestones!$AA$134)&lt;=AsOfDate,IF($Q135=0,$W135,IF(AND($S135&lt;&gt;"",EDATE($D135,Milestones!$AA$134)&gt;=$S135),$V135,IF(AND($R135&lt;&gt;"",EDATE($D135,Milestones!$AA$134)&gt;=$R135),$U135,$T135)))=Milestones!$AB$134),TEXT(EDATE($D135,Milestones!$AA$134),"dd/mm/yy")&amp;" "&amp;Milestones!$AB$134&amp;" "&amp;Milestones!$AC$134&amp;";  ","")&amp;IF(AND(EDATE($D135,Milestones!$AA$135)&lt;=AsOfDate,IF($Q135=0,$W135,IF(AND($S135&lt;&gt;"",EDATE($D135,Milestones!$AA$135)&gt;=$S135),$V135,IF(AND($R135&lt;&gt;"",EDATE($D135,Milestones!$AA$135)&gt;=$R135),$U135,$T135)))=Milestones!$AB$135),TEXT(EDATE($D135,Milestones!$AA$135),"dd/mm/yy")&amp;" "&amp;Milestones!$AB$135&amp;" "&amp;Milestones!$AC$135&amp;";  ","")&amp;IF(AND(EDATE($D135,Milestones!$AA$136)&lt;=AsOfDate,IF($Q135=0,$W135,IF(AND($S135&lt;&gt;"",EDATE($D135,Milestones!$AA$136)&gt;=$S135),$V135,IF(AND($R135&lt;&gt;"",EDATE($D135,Milestones!$AA$136)&gt;=$R135),$U135,$T135)))=Milestones!$AB$136),TEXT(EDATE($D135,Milestones!$AA$136),"dd/mm/yy")&amp;" "&amp;Milestones!$AB$136&amp;" "&amp;Milestones!$AC$136&amp;";  ","")&amp;IF(AND(EDATE($D135,Milestones!$AA$137)&lt;=AsOfDate,IF($Q135=0,$W135,IF(AND($S135&lt;&gt;"",EDATE($D135,Milestones!$AA$137)&gt;=$S135),$V135,IF(AND($R135&lt;&gt;"",EDATE($D135,Milestones!$AA$137)&gt;=$R135),$U135,$T135)))=Milestones!$AB$137),TEXT(EDATE($D135,Milestones!$AA$137),"dd/mm/yy")&amp;" "&amp;Milestones!$AB$137&amp;" "&amp;Milestones!$AC$137&amp;";  ","")&amp;IF(AND(EDATE($D135,Milestones!$AA$138)&lt;=AsOfDate,IF($Q135=0,$W135,IF(AND($S135&lt;&gt;"",EDATE($D135,Milestones!$AA$138)&gt;=$S135),$V135,IF(AND($R135&lt;&gt;"",EDATE($D135,Milestones!$AA$138)&gt;=$R135),$U135,$T135)))=Milestones!$AB$138),TEXT(EDATE($D135,Milestones!$AA$138),"dd/mm/yy")&amp;" "&amp;Milestones!$AB$138&amp;" "&amp;Milestones!$AC$138&amp;";  ","")&amp;IF(AND(EDATE($D135,Milestones!$AA$139)&lt;=AsOfDate,IF($Q135=0,$W135,IF(AND($S135&lt;&gt;"",EDATE($D135,Milestones!$AA$139)&gt;=$S135),$V135,IF(AND($R135&lt;&gt;"",EDATE($D135,Milestones!$AA$139)&gt;=$R135),$U135,$T135)))=Milestones!$AB$139),TEXT(EDATE($D135,Milestones!$AA$139),"dd/mm/yy")&amp;" "&amp;Milestones!$AB$139&amp;" "&amp;Milestones!$AC$139&amp;";  ",""))</f>
        <v/>
      </c>
      <c r="N135" s="0" t="str">
        <f aca="false">IF(OR($A135="",$D135=""),"",IF(AND(EDATE($D135,Milestones!$AA$140)&lt;=AsOfDate,IF($Q135=0,$W135,IF(AND($S135&lt;&gt;"",EDATE($D135,Milestones!$AA$140)&gt;=$S135),$V135,IF(AND($R135&lt;&gt;"",EDATE($D135,Milestones!$AA$140)&gt;=$R135),$U135,$T135)))=Milestones!$AB$140),TEXT(EDATE($D135,Milestones!$AA$140),"dd/mm/yy")&amp;" "&amp;Milestones!$AB$140&amp;" "&amp;Milestones!$AC$140&amp;";  ","")&amp;IF(AND(EDATE($D135,Milestones!$AA$141)&lt;=AsOfDate,IF($Q135=0,$W135,IF(AND($S135&lt;&gt;"",EDATE($D135,Milestones!$AA$141)&gt;=$S135),$V135,IF(AND($R135&lt;&gt;"",EDATE($D135,Milestones!$AA$141)&gt;=$R135),$U135,$T135)))=Milestones!$AB$141),TEXT(EDATE($D135,Milestones!$AA$141),"dd/mm/yy")&amp;" "&amp;Milestones!$AB$141&amp;" "&amp;Milestones!$AC$141&amp;";  ","")&amp;IF(AND(EDATE($D135,Milestones!$AA$142)&lt;=AsOfDate,IF($Q135=0,$W135,IF(AND($S135&lt;&gt;"",EDATE($D135,Milestones!$AA$142)&gt;=$S135),$V135,IF(AND($R135&lt;&gt;"",EDATE($D135,Milestones!$AA$142)&gt;=$R135),$U135,$T135)))=Milestones!$AB$142),TEXT(EDATE($D135,Milestones!$AA$142),"dd/mm/yy")&amp;" "&amp;Milestones!$AB$142&amp;" "&amp;Milestones!$AC$142&amp;";  ","")&amp;IF(AND(EDATE($D135,Milestones!$AA$143)&lt;=AsOfDate,IF($Q135=0,$W135,IF(AND($S135&lt;&gt;"",EDATE($D135,Milestones!$AA$143)&gt;=$S135),$V135,IF(AND($R135&lt;&gt;"",EDATE($D135,Milestones!$AA$143)&gt;=$R135),$U135,$T135)))=Milestones!$AB$143),TEXT(EDATE($D135,Milestones!$AA$143),"dd/mm/yy")&amp;" "&amp;Milestones!$AB$143&amp;" "&amp;Milestones!$AC$143&amp;";  ","")&amp;IF(AND(EDATE($D135,Milestones!$AA$144)&lt;=AsOfDate,IF($Q135=0,$W135,IF(AND($S135&lt;&gt;"",EDATE($D135,Milestones!$AA$144)&gt;=$S135),$V135,IF(AND($R135&lt;&gt;"",EDATE($D135,Milestones!$AA$144)&gt;=$R135),$U135,$T135)))=Milestones!$AB$144),TEXT(EDATE($D135,Milestones!$AA$144),"dd/mm/yy")&amp;" "&amp;Milestones!$AB$144&amp;" "&amp;Milestones!$AC$144&amp;";  ","")&amp;IF(AND(EDATE($D135,Milestones!$AA$145)&lt;=AsOfDate,IF($Q135=0,$W135,IF(AND($S135&lt;&gt;"",EDATE($D135,Milestones!$AA$145)&gt;=$S135),$V135,IF(AND($R135&lt;&gt;"",EDATE($D135,Milestones!$AA$145)&gt;=$R135),$U135,$T135)))=Milestones!$AB$145),TEXT(EDATE($D135,Milestones!$AA$145),"dd/mm/yy")&amp;" "&amp;Milestones!$AB$145&amp;" "&amp;Milestones!$AC$145&amp;";  ","")&amp;IF(AND(EDATE($D135,Milestones!$AA$146)&lt;=AsOfDate,IF($Q135=0,$W135,IF(AND($S135&lt;&gt;"",EDATE($D135,Milestones!$AA$146)&gt;=$S135),$V135,IF(AND($R135&lt;&gt;"",EDATE($D135,Milestones!$AA$146)&gt;=$R135),$U135,$T135)))=Milestones!$AB$146),TEXT(EDATE($D135,Milestones!$AA$146),"dd/mm/yy")&amp;" "&amp;Milestones!$AB$146&amp;" "&amp;Milestones!$AC$146&amp;";  ","")&amp;IF(AND(EDATE($D135,Milestones!$AA$147)&lt;=AsOfDate,IF($Q135=0,$W135,IF(AND($S135&lt;&gt;"",EDATE($D135,Milestones!$AA$147)&gt;=$S135),$V135,IF(AND($R135&lt;&gt;"",EDATE($D135,Milestones!$AA$147)&gt;=$R135),$U135,$T135)))=Milestones!$AB$147),TEXT(EDATE($D135,Milestones!$AA$147),"dd/mm/yy")&amp;" "&amp;Milestones!$AB$147&amp;" "&amp;Milestones!$AC$147&amp;";  ","")&amp;IF(AND(EDATE($D135,Milestones!$AA$148)&lt;=AsOfDate,IF($Q135=0,$W135,IF(AND($S135&lt;&gt;"",EDATE($D135,Milestones!$AA$148)&gt;=$S135),$V135,IF(AND($R135&lt;&gt;"",EDATE($D135,Milestones!$AA$148)&gt;=$R135),$U135,$T135)))=Milestones!$AB$148),TEXT(EDATE($D135,Milestones!$AA$148),"dd/mm/yy")&amp;" "&amp;Milestones!$AB$148&amp;" "&amp;Milestones!$AC$148&amp;";  ","")&amp;IF(AND(EDATE($D135,Milestones!$AA$149)&lt;=AsOfDate,IF($Q135=0,$W135,IF(AND($S135&lt;&gt;"",EDATE($D135,Milestones!$AA$149)&gt;=$S135),$V135,IF(AND($R135&lt;&gt;"",EDATE($D135,Milestones!$AA$149)&gt;=$R135),$U135,$T135)))=Milestones!$AB$149),TEXT(EDATE($D135,Milestones!$AA$149),"dd/mm/yy")&amp;" "&amp;Milestones!$AB$149&amp;" "&amp;Milestones!$AC$149&amp;";  ","")&amp;IF(AND(EDATE($D135,Milestones!$AA$150)&lt;=AsOfDate,IF($Q135=0,$W135,IF(AND($S135&lt;&gt;"",EDATE($D135,Milestones!$AA$150)&gt;=$S135),$V135,IF(AND($R135&lt;&gt;"",EDATE($D135,Milestones!$AA$150)&gt;=$R135),$U135,$T135)))=Milestones!$AB$150),TEXT(EDATE($D135,Milestones!$AA$150),"dd/mm/yy")&amp;" "&amp;Milestones!$AB$150&amp;" "&amp;Milestones!$AC$150&amp;";  ","")&amp;IF(AND(EDATE($D135,Milestones!$AA$151)&lt;=AsOfDate,IF($Q135=0,$W135,IF(AND($S135&lt;&gt;"",EDATE($D135,Milestones!$AA$151)&gt;=$S135),$V135,IF(AND($R135&lt;&gt;"",EDATE($D135,Milestones!$AA$151)&gt;=$R135),$U135,$T135)))=Milestones!$AB$151),TEXT(EDATE($D135,Milestones!$AA$151),"dd/mm/yy")&amp;" "&amp;Milestones!$AB$151&amp;" "&amp;Milestones!$AC$151&amp;";  ","")&amp;IF(AND(EDATE($D135,Milestones!$AA$152)&lt;=AsOfDate,IF($Q135=0,$W135,IF(AND($S135&lt;&gt;"",EDATE($D135,Milestones!$AA$152)&gt;=$S135),$V135,IF(AND($R135&lt;&gt;"",EDATE($D135,Milestones!$AA$152)&gt;=$R135),$U135,$T135)))=Milestones!$AB$152),TEXT(EDATE($D135,Milestones!$AA$152),"dd/mm/yy")&amp;" "&amp;Milestones!$AB$152&amp;" "&amp;Milestones!$AC$152&amp;";  ","")&amp;IF(AND(EDATE($D135,Milestones!$AA$153)&lt;=AsOfDate,IF($Q135=0,$W135,IF(AND($S135&lt;&gt;"",EDATE($D135,Milestones!$AA$153)&gt;=$S135),$V135,IF(AND($R135&lt;&gt;"",EDATE($D135,Milestones!$AA$153)&gt;=$R135),$U135,$T135)))=Milestones!$AB$153),TEXT(EDATE($D135,Milestones!$AA$153),"dd/mm/yy")&amp;" "&amp;Milestones!$AB$153&amp;" "&amp;Milestones!$AC$153&amp;";  ","")&amp;IF(AND(EDATE($D135,Milestones!$AA$154)&lt;=AsOfDate,IF($Q135=0,$W135,IF(AND($S135&lt;&gt;"",EDATE($D135,Milestones!$AA$154)&gt;=$S135),$V135,IF(AND($R135&lt;&gt;"",EDATE($D135,Milestones!$AA$154)&gt;=$R135),$U135,$T135)))=Milestones!$AB$154),TEXT(EDATE($D135,Milestones!$AA$154),"dd/mm/yy")&amp;" "&amp;Milestones!$AB$154&amp;" "&amp;Milestones!$AC$154&amp;";  ","")&amp;IF(AND(EDATE($D135,Milestones!$AA$155)&lt;=AsOfDate,IF($Q135=0,$W135,IF(AND($S135&lt;&gt;"",EDATE($D135,Milestones!$AA$155)&gt;=$S135),$V135,IF(AND($R135&lt;&gt;"",EDATE($D135,Milestones!$AA$155)&gt;=$R135),$U135,$T135)))=Milestones!$AB$155),TEXT(EDATE($D135,Milestones!$AA$155),"dd/mm/yy")&amp;" "&amp;Milestones!$AB$155&amp;" "&amp;Milestones!$AC$155&amp;";  ","")&amp;IF(AND(EDATE($D135,Milestones!$AA$156)&lt;=AsOfDate,IF($Q135=0,$W135,IF(AND($S135&lt;&gt;"",EDATE($D135,Milestones!$AA$156)&gt;=$S135),$V135,IF(AND($R135&lt;&gt;"",EDATE($D135,Milestones!$AA$156)&gt;=$R135),$U135,$T135)))=Milestones!$AB$156),TEXT(EDATE($D135,Milestones!$AA$156),"dd/mm/yy")&amp;" "&amp;Milestones!$AB$156&amp;" "&amp;Milestones!$AC$156&amp;";  ","")&amp;IF(AND(EDATE($D135,Milestones!$AA$157)&lt;=AsOfDate,IF($Q135=0,$W135,IF(AND($S135&lt;&gt;"",EDATE($D135,Milestones!$AA$157)&gt;=$S135),$V135,IF(AND($R135&lt;&gt;"",EDATE($D135,Milestones!$AA$157)&gt;=$R135),$U135,$T135)))=Milestones!$AB$157),TEXT(EDATE($D135,Milestones!$AA$157),"dd/mm/yy")&amp;" "&amp;Milestones!$AB$157&amp;" "&amp;Milestones!$AC$157&amp;";  ","")&amp;IF(AND(EDATE($D135,Milestones!$AA$158)&lt;=AsOfDate,IF($Q135=0,$W135,IF(AND($S135&lt;&gt;"",EDATE($D135,Milestones!$AA$158)&gt;=$S135),$V135,IF(AND($R135&lt;&gt;"",EDATE($D135,Milestones!$AA$158)&gt;=$R135),$U135,$T135)))=Milestones!$AB$158),TEXT(EDATE($D135,Milestones!$AA$158),"dd/mm/yy")&amp;" "&amp;Milestones!$AB$158&amp;" "&amp;Milestones!$AC$158&amp;";  ","")&amp;IF(AND(EDATE($D135,Milestones!$AA$159)&lt;=AsOfDate,IF($Q135=0,$W135,IF(AND($S135&lt;&gt;"",EDATE($D135,Milestones!$AA$159)&gt;=$S135),$V135,IF(AND($R135&lt;&gt;"",EDATE($D135,Milestones!$AA$159)&gt;=$R135),$U135,$T135)))=Milestones!$AB$159),TEXT(EDATE($D135,Milestones!$AA$159),"dd/mm/yy")&amp;" "&amp;Milestones!$AB$159&amp;" "&amp;Milestones!$AC$159&amp;";  ",""))</f>
        <v/>
      </c>
      <c r="O135" s="0" t="str">
        <f aca="false">IF(OR($A135="",$D135=""),"",IF(AND(EDATE($D135,Milestones!$AA$160)&lt;=AsOfDate,IF($Q135=0,$W135,IF(AND($S135&lt;&gt;"",EDATE($D135,Milestones!$AA$160)&gt;=$S135),$V135,IF(AND($R135&lt;&gt;"",EDATE($D135,Milestones!$AA$160)&gt;=$R135),$U135,$T135)))=Milestones!$AB$160),TEXT(EDATE($D135,Milestones!$AA$160),"dd/mm/yy")&amp;" "&amp;Milestones!$AB$160&amp;" "&amp;Milestones!$AC$160&amp;";  ","")&amp;IF(AND(EDATE($D135,Milestones!$AA$161)&lt;=AsOfDate,IF($Q135=0,$W135,IF(AND($S135&lt;&gt;"",EDATE($D135,Milestones!$AA$161)&gt;=$S135),$V135,IF(AND($R135&lt;&gt;"",EDATE($D135,Milestones!$AA$161)&gt;=$R135),$U135,$T135)))=Milestones!$AB$161),TEXT(EDATE($D135,Milestones!$AA$161),"dd/mm/yy")&amp;" "&amp;Milestones!$AB$161&amp;" "&amp;Milestones!$AC$161&amp;";  ","")&amp;IF(AND(EDATE($D135,Milestones!$AA$162)&lt;=AsOfDate,IF($Q135=0,$W135,IF(AND($S135&lt;&gt;"",EDATE($D135,Milestones!$AA$162)&gt;=$S135),$V135,IF(AND($R135&lt;&gt;"",EDATE($D135,Milestones!$AA$162)&gt;=$R135),$U135,$T135)))=Milestones!$AB$162),TEXT(EDATE($D135,Milestones!$AA$162),"dd/mm/yy")&amp;" "&amp;Milestones!$AB$162&amp;" "&amp;Milestones!$AC$162&amp;";  ","")&amp;IF(AND(EDATE($D135,Milestones!$AA$163)&lt;=AsOfDate,IF($Q135=0,$W135,IF(AND($S135&lt;&gt;"",EDATE($D135,Milestones!$AA$163)&gt;=$S135),$V135,IF(AND($R135&lt;&gt;"",EDATE($D135,Milestones!$AA$163)&gt;=$R135),$U135,$T135)))=Milestones!$AB$163),TEXT(EDATE($D135,Milestones!$AA$163),"dd/mm/yy")&amp;" "&amp;Milestones!$AB$163&amp;" "&amp;Milestones!$AC$163&amp;";  ","")&amp;IF(AND(EDATE($D135,Milestones!$AA$164)&lt;=AsOfDate,IF($Q135=0,$W135,IF(AND($S135&lt;&gt;"",EDATE($D135,Milestones!$AA$164)&gt;=$S135),$V135,IF(AND($R135&lt;&gt;"",EDATE($D135,Milestones!$AA$164)&gt;=$R135),$U135,$T135)))=Milestones!$AB$164),TEXT(EDATE($D135,Milestones!$AA$164),"dd/mm/yy")&amp;" "&amp;Milestones!$AB$164&amp;" "&amp;Milestones!$AC$164&amp;";  ","")&amp;IF(AND(EDATE($D135,Milestones!$AA$165)&lt;=AsOfDate,IF($Q135=0,$W135,IF(AND($S135&lt;&gt;"",EDATE($D135,Milestones!$AA$165)&gt;=$S135),$V135,IF(AND($R135&lt;&gt;"",EDATE($D135,Milestones!$AA$165)&gt;=$R135),$U135,$T135)))=Milestones!$AB$165),TEXT(EDATE($D135,Milestones!$AA$165),"dd/mm/yy")&amp;" "&amp;Milestones!$AB$165&amp;" "&amp;Milestones!$AC$165&amp;";  ","")&amp;IF(AND(EDATE($D135,Milestones!$AA$166)&lt;=AsOfDate,IF($Q135=0,$W135,IF(AND($S135&lt;&gt;"",EDATE($D135,Milestones!$AA$166)&gt;=$S135),$V135,IF(AND($R135&lt;&gt;"",EDATE($D135,Milestones!$AA$166)&gt;=$R135),$U135,$T135)))=Milestones!$AB$166),TEXT(EDATE($D135,Milestones!$AA$166),"dd/mm/yy")&amp;" "&amp;Milestones!$AB$166&amp;" "&amp;Milestones!$AC$166&amp;";  ","")&amp;IF(AND(EDATE($D135,Milestones!$AA$167)&lt;=AsOfDate,IF($Q135=0,$W135,IF(AND($S135&lt;&gt;"",EDATE($D135,Milestones!$AA$167)&gt;=$S135),$V135,IF(AND($R135&lt;&gt;"",EDATE($D135,Milestones!$AA$167)&gt;=$R135),$U135,$T135)))=Milestones!$AB$167),TEXT(EDATE($D135,Milestones!$AA$167),"dd/mm/yy")&amp;" "&amp;Milestones!$AB$167&amp;" "&amp;Milestones!$AC$167&amp;";  ","")&amp;IF(AND(EDATE($D135,Milestones!$AA$168)&lt;=AsOfDate,IF($Q135=0,$W135,IF(AND($S135&lt;&gt;"",EDATE($D135,Milestones!$AA$168)&gt;=$S135),$V135,IF(AND($R135&lt;&gt;"",EDATE($D135,Milestones!$AA$168)&gt;=$R135),$U135,$T135)))=Milestones!$AB$168),TEXT(EDATE($D135,Milestones!$AA$168),"dd/mm/yy")&amp;" "&amp;Milestones!$AB$168&amp;" "&amp;Milestones!$AC$168&amp;";  ","")&amp;IF(AND(EDATE($D135,Milestones!$AA$169)&lt;=AsOfDate,IF($Q135=0,$W135,IF(AND($S135&lt;&gt;"",EDATE($D135,Milestones!$AA$169)&gt;=$S135),$V135,IF(AND($R135&lt;&gt;"",EDATE($D135,Milestones!$AA$169)&gt;=$R135),$U135,$T135)))=Milestones!$AB$169),TEXT(EDATE($D135,Milestones!$AA$169),"dd/mm/yy")&amp;" "&amp;Milestones!$AB$169&amp;" "&amp;Milestones!$AC$169&amp;";  ","")&amp;IF(AND(EDATE($D135,Milestones!$AA$170)&lt;=AsOfDate,IF($Q135=0,$W135,IF(AND($S135&lt;&gt;"",EDATE($D135,Milestones!$AA$170)&gt;=$S135),$V135,IF(AND($R135&lt;&gt;"",EDATE($D135,Milestones!$AA$170)&gt;=$R135),$U135,$T135)))=Milestones!$AB$170),TEXT(EDATE($D135,Milestones!$AA$170),"dd/mm/yy")&amp;" "&amp;Milestones!$AB$170&amp;" "&amp;Milestones!$AC$170&amp;";  ","")&amp;IF(AND(EDATE($D135,Milestones!$AA$171)&lt;=AsOfDate,IF($Q135=0,$W135,IF(AND($S135&lt;&gt;"",EDATE($D135,Milestones!$AA$171)&gt;=$S135),$V135,IF(AND($R135&lt;&gt;"",EDATE($D135,Milestones!$AA$171)&gt;=$R135),$U135,$T135)))=Milestones!$AB$171),TEXT(EDATE($D135,Milestones!$AA$171),"dd/mm/yy")&amp;" "&amp;Milestones!$AB$171&amp;" "&amp;Milestones!$AC$171&amp;";  ","")&amp;IF(AND(EDATE($D135,Milestones!$AA$172)&lt;=AsOfDate,IF($Q135=0,$W135,IF(AND($S135&lt;&gt;"",EDATE($D135,Milestones!$AA$172)&gt;=$S135),$V135,IF(AND($R135&lt;&gt;"",EDATE($D135,Milestones!$AA$172)&gt;=$R135),$U135,$T135)))=Milestones!$AB$172),TEXT(EDATE($D135,Milestones!$AA$172),"dd/mm/yy")&amp;" "&amp;Milestones!$AB$172&amp;" "&amp;Milestones!$AC$172&amp;";  ","")&amp;IF(AND(EDATE($D135,Milestones!$AA$173)&lt;=AsOfDate,IF($Q135=0,$W135,IF(AND($S135&lt;&gt;"",EDATE($D135,Milestones!$AA$173)&gt;=$S135),$V135,IF(AND($R135&lt;&gt;"",EDATE($D135,Milestones!$AA$173)&gt;=$R135),$U135,$T135)))=Milestones!$AB$173),TEXT(EDATE($D135,Milestones!$AA$173),"dd/mm/yy")&amp;" "&amp;Milestones!$AB$173&amp;" "&amp;Milestones!$AC$173&amp;";  ","")&amp;IF(AND(EDATE($D135,Milestones!$AA$174)&lt;=AsOfDate,IF($Q135=0,$W135,IF(AND($S135&lt;&gt;"",EDATE($D135,Milestones!$AA$174)&gt;=$S135),$V135,IF(AND($R135&lt;&gt;"",EDATE($D135,Milestones!$AA$174)&gt;=$R135),$U135,$T135)))=Milestones!$AB$174),TEXT(EDATE($D135,Milestones!$AA$174),"dd/mm/yy")&amp;" "&amp;Milestones!$AB$174&amp;" "&amp;Milestones!$AC$174&amp;";  ","")&amp;IF(AND(EDATE($D135,Milestones!$AA$175)&lt;=AsOfDate,IF($Q135=0,$W135,IF(AND($S135&lt;&gt;"",EDATE($D135,Milestones!$AA$175)&gt;=$S135),$V135,IF(AND($R135&lt;&gt;"",EDATE($D135,Milestones!$AA$175)&gt;=$R135),$U135,$T135)))=Milestones!$AB$175),TEXT(EDATE($D135,Milestones!$AA$175),"dd/mm/yy")&amp;" "&amp;Milestones!$AB$175&amp;" "&amp;Milestones!$AC$175&amp;";  ","")&amp;IF(AND(EDATE($D135,Milestones!$AA$176)&lt;=AsOfDate,IF($Q135=0,$W135,IF(AND($S135&lt;&gt;"",EDATE($D135,Milestones!$AA$176)&gt;=$S135),$V135,IF(AND($R135&lt;&gt;"",EDATE($D135,Milestones!$AA$176)&gt;=$R135),$U135,$T135)))=Milestones!$AB$176),TEXT(EDATE($D135,Milestones!$AA$176),"dd/mm/yy")&amp;" "&amp;Milestones!$AB$176&amp;" "&amp;Milestones!$AC$176&amp;";  ","")&amp;IF(AND(EDATE($D135,Milestones!$AA$177)&lt;=AsOfDate,IF($Q135=0,$W135,IF(AND($S135&lt;&gt;"",EDATE($D135,Milestones!$AA$177)&gt;=$S135),$V135,IF(AND($R135&lt;&gt;"",EDATE($D135,Milestones!$AA$177)&gt;=$R135),$U135,$T135)))=Milestones!$AB$177),TEXT(EDATE($D135,Milestones!$AA$177),"dd/mm/yy")&amp;" "&amp;Milestones!$AB$177&amp;" "&amp;Milestones!$AC$177&amp;";  ","")&amp;IF(AND(EDATE($D135,Milestones!$AA$178)&lt;=AsOfDate,IF($Q135=0,$W135,IF(AND($S135&lt;&gt;"",EDATE($D135,Milestones!$AA$178)&gt;=$S135),$V135,IF(AND($R135&lt;&gt;"",EDATE($D135,Milestones!$AA$178)&gt;=$R135),$U135,$T135)))=Milestones!$AB$178),TEXT(EDATE($D135,Milestones!$AA$178),"dd/mm/yy")&amp;" "&amp;Milestones!$AB$178&amp;" "&amp;Milestones!$AC$178&amp;";  ","")&amp;IF(AND(EDATE($D135,Milestones!$AA$179)&lt;=AsOfDate,IF($Q135=0,$W135,IF(AND($S135&lt;&gt;"",EDATE($D135,Milestones!$AA$179)&gt;=$S135),$V135,IF(AND($R135&lt;&gt;"",EDATE($D135,Milestones!$AA$179)&gt;=$R135),$U135,$T135)))=Milestones!$AB$179),TEXT(EDATE($D135,Milestones!$AA$179),"dd/mm/yy")&amp;" "&amp;Milestones!$AB$179&amp;" "&amp;Milestones!$AC$179&amp;";  ",""))</f>
        <v/>
      </c>
      <c r="P135" s="0" t="str">
        <f aca="false">IF(OR($A135="",$D135=""),"",IF(AND(EDATE($D135,Milestones!$AA$180)&lt;=AsOfDate,IF($Q135=0,$W135,IF(AND($S135&lt;&gt;"",EDATE($D135,Milestones!$AA$180)&gt;=$S135),$V135,IF(AND($R135&lt;&gt;"",EDATE($D135,Milestones!$AA$180)&gt;=$R135),$U135,$T135)))=Milestones!$AB$180),TEXT(EDATE($D135,Milestones!$AA$180),"dd/mm/yy")&amp;" "&amp;Milestones!$AB$180&amp;" "&amp;Milestones!$AC$180&amp;";  ","")&amp;IF(AND(EDATE($D135,Milestones!$AA$181)&lt;=AsOfDate,IF($Q135=0,$W135,IF(AND($S135&lt;&gt;"",EDATE($D135,Milestones!$AA$181)&gt;=$S135),$V135,IF(AND($R135&lt;&gt;"",EDATE($D135,Milestones!$AA$181)&gt;=$R135),$U135,$T135)))=Milestones!$AB$181),TEXT(EDATE($D135,Milestones!$AA$181),"dd/mm/yy")&amp;" "&amp;Milestones!$AB$181&amp;" "&amp;Milestones!$AC$181&amp;";  ","")&amp;IF(AND(EDATE($D135,Milestones!$AA$182)&lt;=AsOfDate,IF($Q135=0,$W135,IF(AND($S135&lt;&gt;"",EDATE($D135,Milestones!$AA$182)&gt;=$S135),$V135,IF(AND($R135&lt;&gt;"",EDATE($D135,Milestones!$AA$182)&gt;=$R135),$U135,$T135)))=Milestones!$AB$182),TEXT(EDATE($D135,Milestones!$AA$182),"dd/mm/yy")&amp;" "&amp;Milestones!$AB$182&amp;" "&amp;Milestones!$AC$182&amp;";  ","")&amp;IF(AND(EDATE($D135,Milestones!$AA$183)&lt;=AsOfDate,IF($Q135=0,$W135,IF(AND($S135&lt;&gt;"",EDATE($D135,Milestones!$AA$183)&gt;=$S135),$V135,IF(AND($R135&lt;&gt;"",EDATE($D135,Milestones!$AA$183)&gt;=$R135),$U135,$T135)))=Milestones!$AB$183),TEXT(EDATE($D135,Milestones!$AA$183),"dd/mm/yy")&amp;" "&amp;Milestones!$AB$183&amp;" "&amp;Milestones!$AC$183&amp;";  ","")&amp;IF(AND(EDATE($D135,Milestones!$AA$184)&lt;=AsOfDate,IF($Q135=0,$W135,IF(AND($S135&lt;&gt;"",EDATE($D135,Milestones!$AA$184)&gt;=$S135),$V135,IF(AND($R135&lt;&gt;"",EDATE($D135,Milestones!$AA$184)&gt;=$R135),$U135,$T135)))=Milestones!$AB$184),TEXT(EDATE($D135,Milestones!$AA$184),"dd/mm/yy")&amp;" "&amp;Milestones!$AB$184&amp;" "&amp;Milestones!$AC$184&amp;";  ","")&amp;IF(AND(EDATE($D135,Milestones!$AA$185)&lt;=AsOfDate,IF($Q135=0,$W135,IF(AND($S135&lt;&gt;"",EDATE($D135,Milestones!$AA$185)&gt;=$S135),$V135,IF(AND($R135&lt;&gt;"",EDATE($D135,Milestones!$AA$185)&gt;=$R135),$U135,$T135)))=Milestones!$AB$185),TEXT(EDATE($D135,Milestones!$AA$185),"dd/mm/yy")&amp;" "&amp;Milestones!$AB$185&amp;" "&amp;Milestones!$AC$185&amp;";  ","")&amp;IF(AND(EDATE($D135,Milestones!$AA$186)&lt;=AsOfDate,IF($Q135=0,$W135,IF(AND($S135&lt;&gt;"",EDATE($D135,Milestones!$AA$186)&gt;=$S135),$V135,IF(AND($R135&lt;&gt;"",EDATE($D135,Milestones!$AA$186)&gt;=$R135),$U135,$T135)))=Milestones!$AB$186),TEXT(EDATE($D135,Milestones!$AA$186),"dd/mm/yy")&amp;" "&amp;Milestones!$AB$186&amp;" "&amp;Milestones!$AC$186&amp;";  ","")&amp;IF(AND(EDATE($D135,Milestones!$AA$187)&lt;=AsOfDate,IF($Q135=0,$W135,IF(AND($S135&lt;&gt;"",EDATE($D135,Milestones!$AA$187)&gt;=$S135),$V135,IF(AND($R135&lt;&gt;"",EDATE($D135,Milestones!$AA$187)&gt;=$R135),$U135,$T135)))=Milestones!$AB$187),TEXT(EDATE($D135,Milestones!$AA$187),"dd/mm/yy")&amp;" "&amp;Milestones!$AB$187&amp;" "&amp;Milestones!$AC$187&amp;";  ","")&amp;IF(AND(EDATE($D135,Milestones!$AA$188)&lt;=AsOfDate,IF($Q135=0,$W135,IF(AND($S135&lt;&gt;"",EDATE($D135,Milestones!$AA$188)&gt;=$S135),$V135,IF(AND($R135&lt;&gt;"",EDATE($D135,Milestones!$AA$188)&gt;=$R135),$U135,$T135)))=Milestones!$AB$188),TEXT(EDATE($D135,Milestones!$AA$188),"dd/mm/yy")&amp;" "&amp;Milestones!$AB$188&amp;" "&amp;Milestones!$AC$188&amp;";  ","")&amp;IF(AND(EDATE($D135,Milestones!$AA$189)&lt;=AsOfDate,IF($Q135=0,$W135,IF(AND($S135&lt;&gt;"",EDATE($D135,Milestones!$AA$189)&gt;=$S135),$V135,IF(AND($R135&lt;&gt;"",EDATE($D135,Milestones!$AA$189)&gt;=$R135),$U135,$T135)))=Milestones!$AB$189),TEXT(EDATE($D135,Milestones!$AA$189),"dd/mm/yy")&amp;" "&amp;Milestones!$AB$189&amp;" "&amp;Milestones!$AC$189&amp;";  ","")&amp;IF(AND(EDATE($D135,Milestones!$AA$190)&lt;=AsOfDate,IF($Q135=0,$W135,IF(AND($S135&lt;&gt;"",EDATE($D135,Milestones!$AA$190)&gt;=$S135),$V135,IF(AND($R135&lt;&gt;"",EDATE($D135,Milestones!$AA$190)&gt;=$R135),$U135,$T135)))=Milestones!$AB$190),TEXT(EDATE($D135,Milestones!$AA$190),"dd/mm/yy")&amp;" "&amp;Milestones!$AB$190&amp;" "&amp;Milestones!$AC$190&amp;";  ","")&amp;IF(AND(EDATE($D135,Milestones!$AA$191)&lt;=AsOfDate,IF($Q135=0,$W135,IF(AND($S135&lt;&gt;"",EDATE($D135,Milestones!$AA$191)&gt;=$S135),$V135,IF(AND($R135&lt;&gt;"",EDATE($D135,Milestones!$AA$191)&gt;=$R135),$U135,$T135)))=Milestones!$AB$191),TEXT(EDATE($D135,Milestones!$AA$191),"dd/mm/yy")&amp;" "&amp;Milestones!$AB$191&amp;" "&amp;Milestones!$AC$191&amp;";  ","")&amp;IF(AND(EDATE($D135,Milestones!$AA$192)&lt;=AsOfDate,IF($Q135=0,$W135,IF(AND($S135&lt;&gt;"",EDATE($D135,Milestones!$AA$192)&gt;=$S135),$V135,IF(AND($R135&lt;&gt;"",EDATE($D135,Milestones!$AA$192)&gt;=$R135),$U135,$T135)))=Milestones!$AB$192),TEXT(EDATE($D135,Milestones!$AA$192),"dd/mm/yy")&amp;" "&amp;Milestones!$AB$192&amp;" "&amp;Milestones!$AC$192&amp;";  ","")&amp;IF(AND(EDATE($D135,Milestones!$AA$193)&lt;=AsOfDate,IF($Q135=0,$W135,IF(AND($S135&lt;&gt;"",EDATE($D135,Milestones!$AA$193)&gt;=$S135),$V135,IF(AND($R135&lt;&gt;"",EDATE($D135,Milestones!$AA$193)&gt;=$R135),$U135,$T135)))=Milestones!$AB$193),TEXT(EDATE($D135,Milestones!$AA$193),"dd/mm/yy")&amp;" "&amp;Milestones!$AB$193&amp;" "&amp;Milestones!$AC$193&amp;";  ","")&amp;IF(AND(EDATE($D135,Milestones!$AA$194)&lt;=AsOfDate,IF($Q135=0,$W135,IF(AND($S135&lt;&gt;"",EDATE($D135,Milestones!$AA$194)&gt;=$S135),$V135,IF(AND($R135&lt;&gt;"",EDATE($D135,Milestones!$AA$194)&gt;=$R135),$U135,$T135)))=Milestones!$AB$194),TEXT(EDATE($D135,Milestones!$AA$194),"dd/mm/yy")&amp;" "&amp;Milestones!$AB$194&amp;" "&amp;Milestones!$AC$194&amp;";  ","")&amp;IF(AND(EDATE($D135,Milestones!$AA$195)&lt;=AsOfDate,IF($Q135=0,$W135,IF(AND($S135&lt;&gt;"",EDATE($D135,Milestones!$AA$195)&gt;=$S135),$V135,IF(AND($R135&lt;&gt;"",EDATE($D135,Milestones!$AA$195)&gt;=$R135),$U135,$T135)))=Milestones!$AB$195),TEXT(EDATE($D135,Milestones!$AA$195),"dd/mm/yy")&amp;" "&amp;Milestones!$AB$195&amp;" "&amp;Milestones!$AC$195&amp;";  ","")&amp;IF(AND(EDATE($D135,Milestones!$AA$196)&lt;=AsOfDate,IF($Q135=0,$W135,IF(AND($S135&lt;&gt;"",EDATE($D135,Milestones!$AA$196)&gt;=$S135),$V135,IF(AND($R135&lt;&gt;"",EDATE($D135,Milestones!$AA$196)&gt;=$R135),$U135,$T135)))=Milestones!$AB$196),TEXT(EDATE($D135,Milestones!$AA$196),"dd/mm/yy")&amp;" "&amp;Milestones!$AB$196&amp;" "&amp;Milestones!$AC$196&amp;";  ","")&amp;IF(AND(EDATE($D135,Milestones!$AA$197)&lt;=AsOfDate,IF($Q135=0,$W135,IF(AND($S135&lt;&gt;"",EDATE($D135,Milestones!$AA$197)&gt;=$S135),$V135,IF(AND($R135&lt;&gt;"",EDATE($D135,Milestones!$AA$197)&gt;=$R135),$U135,$T135)))=Milestones!$AB$197),TEXT(EDATE($D135,Milestones!$AA$197),"dd/mm/yy")&amp;" "&amp;Milestones!$AB$197&amp;" "&amp;Milestones!$AC$197&amp;";  ","")&amp;IF(AND(EDATE($D135,Milestones!$AA$198)&lt;=AsOfDate,IF($Q135=0,$W135,IF(AND($S135&lt;&gt;"",EDATE($D135,Milestones!$AA$198)&gt;=$S135),$V135,IF(AND($R135&lt;&gt;"",EDATE($D135,Milestones!$AA$198)&gt;=$R135),$U135,$T135)))=Milestones!$AB$198),TEXT(EDATE($D135,Milestones!$AA$198),"dd/mm/yy")&amp;" "&amp;Milestones!$AB$198&amp;" "&amp;Milestones!$AC$198&amp;";  ","")&amp;IF(AND(EDATE($D135,Milestones!$AA$199)&lt;=AsOfDate,IF($Q135=0,$W135,IF(AND($S135&lt;&gt;"",EDATE($D135,Milestones!$AA$199)&gt;=$S135),$V135,IF(AND($R135&lt;&gt;"",EDATE($D135,Milestones!$AA$199)&gt;=$R135),$U135,$T135)))=Milestones!$AB$199),TEXT(EDATE($D135,Milestones!$AA$199),"dd/mm/yy")&amp;" "&amp;Milestones!$AB$199&amp;" "&amp;Milestones!$AC$199&amp;";  ",""))</f>
        <v/>
      </c>
      <c r="Q135" s="0" t="str">
        <f aca="false">IF(Staff!$A135="","",Staff!$AG135)</f>
        <v/>
      </c>
      <c r="R135" s="0" t="str">
        <f aca="false">IF(Staff!$A135="","",Staff!$AI135)</f>
        <v/>
      </c>
      <c r="S135" s="0" t="str">
        <f aca="false">IF(Staff!$A135="","",Staff!$AJ135)</f>
        <v/>
      </c>
      <c r="T135" s="0" t="str">
        <f aca="false">IF(Staff!$A135="","",Staff!$AN135)</f>
        <v/>
      </c>
      <c r="U135" s="0" t="str">
        <f aca="false">IF(Staff!$A135="","",Staff!$AO135)</f>
        <v/>
      </c>
      <c r="V135" s="0" t="str">
        <f aca="false">IF(Staff!$A135="","",Staff!$AP135)</f>
        <v/>
      </c>
      <c r="W135" s="0" t="str">
        <f aca="false">IF(Staff!$A135="","",Staff!$AQ135)</f>
        <v/>
      </c>
    </row>
    <row r="136" customFormat="false" ht="15" hidden="false" customHeight="false" outlineLevel="0" collapsed="false">
      <c r="A136" s="13" t="str">
        <f aca="false">IF(Staff!$A136="","",Staff!$A136)</f>
        <v/>
      </c>
      <c r="B136" s="13" t="str">
        <f aca="false">IF(Staff!$A136="","",Staff!$B136)</f>
        <v/>
      </c>
      <c r="C136" s="13" t="str">
        <f aca="false">IF(Staff!$A136="","",Staff!$C136)</f>
        <v/>
      </c>
      <c r="D136" s="11" t="str">
        <f aca="false">IF(Staff!$A136="","",Staff!$AF136)</f>
        <v/>
      </c>
      <c r="E136" s="13" t="str">
        <f aca="false">IF(Staff!$A136="","",Staff!$O136)</f>
        <v/>
      </c>
      <c r="F136" s="13" t="str">
        <f aca="false">IF(E136="","",E136*HoursPerDay)</f>
        <v/>
      </c>
      <c r="G136" s="26" t="str">
        <f aca="false">IF($A136="","",H136&amp;I136&amp;J136&amp;K136&amp;L136&amp;M136&amp;N136&amp;O136&amp;P136)</f>
        <v/>
      </c>
      <c r="H136" s="0" t="str">
        <f aca="false">IF(OR($A136="",$D136=""),"",IF(AND(EDATE($D136,Milestones!$AA$20)&lt;=AsOfDate,IF($Q136=0,$W136,IF(AND($S136&lt;&gt;"",EDATE($D136,Milestones!$AA$20)&gt;=$S136),$V136,IF(AND($R136&lt;&gt;"",EDATE($D136,Milestones!$AA$20)&gt;=$R136),$U136,$T136)))=Milestones!$AB$20),TEXT(EDATE($D136,Milestones!$AA$20),"dd/mm/yy")&amp;" "&amp;Milestones!$AB$20&amp;" "&amp;Milestones!$AC$20&amp;";  ","")&amp;IF(AND(EDATE($D136,Milestones!$AA$21)&lt;=AsOfDate,IF($Q136=0,$W136,IF(AND($S136&lt;&gt;"",EDATE($D136,Milestones!$AA$21)&gt;=$S136),$V136,IF(AND($R136&lt;&gt;"",EDATE($D136,Milestones!$AA$21)&gt;=$R136),$U136,$T136)))=Milestones!$AB$21),TEXT(EDATE($D136,Milestones!$AA$21),"dd/mm/yy")&amp;" "&amp;Milestones!$AB$21&amp;" "&amp;Milestones!$AC$21&amp;";  ","")&amp;IF(AND(EDATE($D136,Milestones!$AA$22)&lt;=AsOfDate,IF($Q136=0,$W136,IF(AND($S136&lt;&gt;"",EDATE($D136,Milestones!$AA$22)&gt;=$S136),$V136,IF(AND($R136&lt;&gt;"",EDATE($D136,Milestones!$AA$22)&gt;=$R136),$U136,$T136)))=Milestones!$AB$22),TEXT(EDATE($D136,Milestones!$AA$22),"dd/mm/yy")&amp;" "&amp;Milestones!$AB$22&amp;" "&amp;Milestones!$AC$22&amp;";  ","")&amp;IF(AND(EDATE($D136,Milestones!$AA$23)&lt;=AsOfDate,IF($Q136=0,$W136,IF(AND($S136&lt;&gt;"",EDATE($D136,Milestones!$AA$23)&gt;=$S136),$V136,IF(AND($R136&lt;&gt;"",EDATE($D136,Milestones!$AA$23)&gt;=$R136),$U136,$T136)))=Milestones!$AB$23),TEXT(EDATE($D136,Milestones!$AA$23),"dd/mm/yy")&amp;" "&amp;Milestones!$AB$23&amp;" "&amp;Milestones!$AC$23&amp;";  ","")&amp;IF(AND(EDATE($D136,Milestones!$AA$24)&lt;=AsOfDate,IF($Q136=0,$W136,IF(AND($S136&lt;&gt;"",EDATE($D136,Milestones!$AA$24)&gt;=$S136),$V136,IF(AND($R136&lt;&gt;"",EDATE($D136,Milestones!$AA$24)&gt;=$R136),$U136,$T136)))=Milestones!$AB$24),TEXT(EDATE($D136,Milestones!$AA$24),"dd/mm/yy")&amp;" "&amp;Milestones!$AB$24&amp;" "&amp;Milestones!$AC$24&amp;";  ","")&amp;IF(AND(EDATE($D136,Milestones!$AA$25)&lt;=AsOfDate,IF($Q136=0,$W136,IF(AND($S136&lt;&gt;"",EDATE($D136,Milestones!$AA$25)&gt;=$S136),$V136,IF(AND($R136&lt;&gt;"",EDATE($D136,Milestones!$AA$25)&gt;=$R136),$U136,$T136)))=Milestones!$AB$25),TEXT(EDATE($D136,Milestones!$AA$25),"dd/mm/yy")&amp;" "&amp;Milestones!$AB$25&amp;" "&amp;Milestones!$AC$25&amp;";  ","")&amp;IF(AND(EDATE($D136,Milestones!$AA$26)&lt;=AsOfDate,IF($Q136=0,$W136,IF(AND($S136&lt;&gt;"",EDATE($D136,Milestones!$AA$26)&gt;=$S136),$V136,IF(AND($R136&lt;&gt;"",EDATE($D136,Milestones!$AA$26)&gt;=$R136),$U136,$T136)))=Milestones!$AB$26),TEXT(EDATE($D136,Milestones!$AA$26),"dd/mm/yy")&amp;" "&amp;Milestones!$AB$26&amp;" "&amp;Milestones!$AC$26&amp;";  ","")&amp;IF(AND(EDATE($D136,Milestones!$AA$27)&lt;=AsOfDate,IF($Q136=0,$W136,IF(AND($S136&lt;&gt;"",EDATE($D136,Milestones!$AA$27)&gt;=$S136),$V136,IF(AND($R136&lt;&gt;"",EDATE($D136,Milestones!$AA$27)&gt;=$R136),$U136,$T136)))=Milestones!$AB$27),TEXT(EDATE($D136,Milestones!$AA$27),"dd/mm/yy")&amp;" "&amp;Milestones!$AB$27&amp;" "&amp;Milestones!$AC$27&amp;";  ","")&amp;IF(AND(EDATE($D136,Milestones!$AA$28)&lt;=AsOfDate,IF($Q136=0,$W136,IF(AND($S136&lt;&gt;"",EDATE($D136,Milestones!$AA$28)&gt;=$S136),$V136,IF(AND($R136&lt;&gt;"",EDATE($D136,Milestones!$AA$28)&gt;=$R136),$U136,$T136)))=Milestones!$AB$28),TEXT(EDATE($D136,Milestones!$AA$28),"dd/mm/yy")&amp;" "&amp;Milestones!$AB$28&amp;" "&amp;Milestones!$AC$28&amp;";  ","")&amp;IF(AND(EDATE($D136,Milestones!$AA$29)&lt;=AsOfDate,IF($Q136=0,$W136,IF(AND($S136&lt;&gt;"",EDATE($D136,Milestones!$AA$29)&gt;=$S136),$V136,IF(AND($R136&lt;&gt;"",EDATE($D136,Milestones!$AA$29)&gt;=$R136),$U136,$T136)))=Milestones!$AB$29),TEXT(EDATE($D136,Milestones!$AA$29),"dd/mm/yy")&amp;" "&amp;Milestones!$AB$29&amp;" "&amp;Milestones!$AC$29&amp;";  ","")&amp;IF(AND(EDATE($D136,Milestones!$AA$30)&lt;=AsOfDate,IF($Q136=0,$W136,IF(AND($S136&lt;&gt;"",EDATE($D136,Milestones!$AA$30)&gt;=$S136),$V136,IF(AND($R136&lt;&gt;"",EDATE($D136,Milestones!$AA$30)&gt;=$R136),$U136,$T136)))=Milestones!$AB$30),TEXT(EDATE($D136,Milestones!$AA$30),"dd/mm/yy")&amp;" "&amp;Milestones!$AB$30&amp;" "&amp;Milestones!$AC$30&amp;";  ","")&amp;IF(AND(EDATE($D136,Milestones!$AA$31)&lt;=AsOfDate,IF($Q136=0,$W136,IF(AND($S136&lt;&gt;"",EDATE($D136,Milestones!$AA$31)&gt;=$S136),$V136,IF(AND($R136&lt;&gt;"",EDATE($D136,Milestones!$AA$31)&gt;=$R136),$U136,$T136)))=Milestones!$AB$31),TEXT(EDATE($D136,Milestones!$AA$31),"dd/mm/yy")&amp;" "&amp;Milestones!$AB$31&amp;" "&amp;Milestones!$AC$31&amp;";  ","")&amp;IF(AND(EDATE($D136,Milestones!$AA$32)&lt;=AsOfDate,IF($Q136=0,$W136,IF(AND($S136&lt;&gt;"",EDATE($D136,Milestones!$AA$32)&gt;=$S136),$V136,IF(AND($R136&lt;&gt;"",EDATE($D136,Milestones!$AA$32)&gt;=$R136),$U136,$T136)))=Milestones!$AB$32),TEXT(EDATE($D136,Milestones!$AA$32),"dd/mm/yy")&amp;" "&amp;Milestones!$AB$32&amp;" "&amp;Milestones!$AC$32&amp;";  ","")&amp;IF(AND(EDATE($D136,Milestones!$AA$33)&lt;=AsOfDate,IF($Q136=0,$W136,IF(AND($S136&lt;&gt;"",EDATE($D136,Milestones!$AA$33)&gt;=$S136),$V136,IF(AND($R136&lt;&gt;"",EDATE($D136,Milestones!$AA$33)&gt;=$R136),$U136,$T136)))=Milestones!$AB$33),TEXT(EDATE($D136,Milestones!$AA$33),"dd/mm/yy")&amp;" "&amp;Milestones!$AB$33&amp;" "&amp;Milestones!$AC$33&amp;";  ","")&amp;IF(AND(EDATE($D136,Milestones!$AA$34)&lt;=AsOfDate,IF($Q136=0,$W136,IF(AND($S136&lt;&gt;"",EDATE($D136,Milestones!$AA$34)&gt;=$S136),$V136,IF(AND($R136&lt;&gt;"",EDATE($D136,Milestones!$AA$34)&gt;=$R136),$U136,$T136)))=Milestones!$AB$34),TEXT(EDATE($D136,Milestones!$AA$34),"dd/mm/yy")&amp;" "&amp;Milestones!$AB$34&amp;" "&amp;Milestones!$AC$34&amp;";  ","")&amp;IF(AND(EDATE($D136,Milestones!$AA$35)&lt;=AsOfDate,IF($Q136=0,$W136,IF(AND($S136&lt;&gt;"",EDATE($D136,Milestones!$AA$35)&gt;=$S136),$V136,IF(AND($R136&lt;&gt;"",EDATE($D136,Milestones!$AA$35)&gt;=$R136),$U136,$T136)))=Milestones!$AB$35),TEXT(EDATE($D136,Milestones!$AA$35),"dd/mm/yy")&amp;" "&amp;Milestones!$AB$35&amp;" "&amp;Milestones!$AC$35&amp;";  ","")&amp;IF(AND(EDATE($D136,Milestones!$AA$36)&lt;=AsOfDate,IF($Q136=0,$W136,IF(AND($S136&lt;&gt;"",EDATE($D136,Milestones!$AA$36)&gt;=$S136),$V136,IF(AND($R136&lt;&gt;"",EDATE($D136,Milestones!$AA$36)&gt;=$R136),$U136,$T136)))=Milestones!$AB$36),TEXT(EDATE($D136,Milestones!$AA$36),"dd/mm/yy")&amp;" "&amp;Milestones!$AB$36&amp;" "&amp;Milestones!$AC$36&amp;";  ","")&amp;IF(AND(EDATE($D136,Milestones!$AA$37)&lt;=AsOfDate,IF($Q136=0,$W136,IF(AND($S136&lt;&gt;"",EDATE($D136,Milestones!$AA$37)&gt;=$S136),$V136,IF(AND($R136&lt;&gt;"",EDATE($D136,Milestones!$AA$37)&gt;=$R136),$U136,$T136)))=Milestones!$AB$37),TEXT(EDATE($D136,Milestones!$AA$37),"dd/mm/yy")&amp;" "&amp;Milestones!$AB$37&amp;" "&amp;Milestones!$AC$37&amp;";  ","")&amp;IF(AND(EDATE($D136,Milestones!$AA$38)&lt;=AsOfDate,IF($Q136=0,$W136,IF(AND($S136&lt;&gt;"",EDATE($D136,Milestones!$AA$38)&gt;=$S136),$V136,IF(AND($R136&lt;&gt;"",EDATE($D136,Milestones!$AA$38)&gt;=$R136),$U136,$T136)))=Milestones!$AB$38),TEXT(EDATE($D136,Milestones!$AA$38),"dd/mm/yy")&amp;" "&amp;Milestones!$AB$38&amp;" "&amp;Milestones!$AC$38&amp;";  ","")&amp;IF(AND(EDATE($D136,Milestones!$AA$39)&lt;=AsOfDate,IF($Q136=0,$W136,IF(AND($S136&lt;&gt;"",EDATE($D136,Milestones!$AA$39)&gt;=$S136),$V136,IF(AND($R136&lt;&gt;"",EDATE($D136,Milestones!$AA$39)&gt;=$R136),$U136,$T136)))=Milestones!$AB$39),TEXT(EDATE($D136,Milestones!$AA$39),"dd/mm/yy")&amp;" "&amp;Milestones!$AB$39&amp;" "&amp;Milestones!$AC$39&amp;";  ",""))</f>
        <v/>
      </c>
      <c r="I136" s="0" t="str">
        <f aca="false">IF(OR($A136="",$D136=""),"",IF(AND(EDATE($D136,Milestones!$AA$40)&lt;=AsOfDate,IF($Q136=0,$W136,IF(AND($S136&lt;&gt;"",EDATE($D136,Milestones!$AA$40)&gt;=$S136),$V136,IF(AND($R136&lt;&gt;"",EDATE($D136,Milestones!$AA$40)&gt;=$R136),$U136,$T136)))=Milestones!$AB$40),TEXT(EDATE($D136,Milestones!$AA$40),"dd/mm/yy")&amp;" "&amp;Milestones!$AB$40&amp;" "&amp;Milestones!$AC$40&amp;";  ","")&amp;IF(AND(EDATE($D136,Milestones!$AA$41)&lt;=AsOfDate,IF($Q136=0,$W136,IF(AND($S136&lt;&gt;"",EDATE($D136,Milestones!$AA$41)&gt;=$S136),$V136,IF(AND($R136&lt;&gt;"",EDATE($D136,Milestones!$AA$41)&gt;=$R136),$U136,$T136)))=Milestones!$AB$41),TEXT(EDATE($D136,Milestones!$AA$41),"dd/mm/yy")&amp;" "&amp;Milestones!$AB$41&amp;" "&amp;Milestones!$AC$41&amp;";  ","")&amp;IF(AND(EDATE($D136,Milestones!$AA$42)&lt;=AsOfDate,IF($Q136=0,$W136,IF(AND($S136&lt;&gt;"",EDATE($D136,Milestones!$AA$42)&gt;=$S136),$V136,IF(AND($R136&lt;&gt;"",EDATE($D136,Milestones!$AA$42)&gt;=$R136),$U136,$T136)))=Milestones!$AB$42),TEXT(EDATE($D136,Milestones!$AA$42),"dd/mm/yy")&amp;" "&amp;Milestones!$AB$42&amp;" "&amp;Milestones!$AC$42&amp;";  ","")&amp;IF(AND(EDATE($D136,Milestones!$AA$43)&lt;=AsOfDate,IF($Q136=0,$W136,IF(AND($S136&lt;&gt;"",EDATE($D136,Milestones!$AA$43)&gt;=$S136),$V136,IF(AND($R136&lt;&gt;"",EDATE($D136,Milestones!$AA$43)&gt;=$R136),$U136,$T136)))=Milestones!$AB$43),TEXT(EDATE($D136,Milestones!$AA$43),"dd/mm/yy")&amp;" "&amp;Milestones!$AB$43&amp;" "&amp;Milestones!$AC$43&amp;";  ","")&amp;IF(AND(EDATE($D136,Milestones!$AA$44)&lt;=AsOfDate,IF($Q136=0,$W136,IF(AND($S136&lt;&gt;"",EDATE($D136,Milestones!$AA$44)&gt;=$S136),$V136,IF(AND($R136&lt;&gt;"",EDATE($D136,Milestones!$AA$44)&gt;=$R136),$U136,$T136)))=Milestones!$AB$44),TEXT(EDATE($D136,Milestones!$AA$44),"dd/mm/yy")&amp;" "&amp;Milestones!$AB$44&amp;" "&amp;Milestones!$AC$44&amp;";  ","")&amp;IF(AND(EDATE($D136,Milestones!$AA$45)&lt;=AsOfDate,IF($Q136=0,$W136,IF(AND($S136&lt;&gt;"",EDATE($D136,Milestones!$AA$45)&gt;=$S136),$V136,IF(AND($R136&lt;&gt;"",EDATE($D136,Milestones!$AA$45)&gt;=$R136),$U136,$T136)))=Milestones!$AB$45),TEXT(EDATE($D136,Milestones!$AA$45),"dd/mm/yy")&amp;" "&amp;Milestones!$AB$45&amp;" "&amp;Milestones!$AC$45&amp;";  ","")&amp;IF(AND(EDATE($D136,Milestones!$AA$46)&lt;=AsOfDate,IF($Q136=0,$W136,IF(AND($S136&lt;&gt;"",EDATE($D136,Milestones!$AA$46)&gt;=$S136),$V136,IF(AND($R136&lt;&gt;"",EDATE($D136,Milestones!$AA$46)&gt;=$R136),$U136,$T136)))=Milestones!$AB$46),TEXT(EDATE($D136,Milestones!$AA$46),"dd/mm/yy")&amp;" "&amp;Milestones!$AB$46&amp;" "&amp;Milestones!$AC$46&amp;";  ","")&amp;IF(AND(EDATE($D136,Milestones!$AA$47)&lt;=AsOfDate,IF($Q136=0,$W136,IF(AND($S136&lt;&gt;"",EDATE($D136,Milestones!$AA$47)&gt;=$S136),$V136,IF(AND($R136&lt;&gt;"",EDATE($D136,Milestones!$AA$47)&gt;=$R136),$U136,$T136)))=Milestones!$AB$47),TEXT(EDATE($D136,Milestones!$AA$47),"dd/mm/yy")&amp;" "&amp;Milestones!$AB$47&amp;" "&amp;Milestones!$AC$47&amp;";  ","")&amp;IF(AND(EDATE($D136,Milestones!$AA$48)&lt;=AsOfDate,IF($Q136=0,$W136,IF(AND($S136&lt;&gt;"",EDATE($D136,Milestones!$AA$48)&gt;=$S136),$V136,IF(AND($R136&lt;&gt;"",EDATE($D136,Milestones!$AA$48)&gt;=$R136),$U136,$T136)))=Milestones!$AB$48),TEXT(EDATE($D136,Milestones!$AA$48),"dd/mm/yy")&amp;" "&amp;Milestones!$AB$48&amp;" "&amp;Milestones!$AC$48&amp;";  ","")&amp;IF(AND(EDATE($D136,Milestones!$AA$49)&lt;=AsOfDate,IF($Q136=0,$W136,IF(AND($S136&lt;&gt;"",EDATE($D136,Milestones!$AA$49)&gt;=$S136),$V136,IF(AND($R136&lt;&gt;"",EDATE($D136,Milestones!$AA$49)&gt;=$R136),$U136,$T136)))=Milestones!$AB$49),TEXT(EDATE($D136,Milestones!$AA$49),"dd/mm/yy")&amp;" "&amp;Milestones!$AB$49&amp;" "&amp;Milestones!$AC$49&amp;";  ","")&amp;IF(AND(EDATE($D136,Milestones!$AA$50)&lt;=AsOfDate,IF($Q136=0,$W136,IF(AND($S136&lt;&gt;"",EDATE($D136,Milestones!$AA$50)&gt;=$S136),$V136,IF(AND($R136&lt;&gt;"",EDATE($D136,Milestones!$AA$50)&gt;=$R136),$U136,$T136)))=Milestones!$AB$50),TEXT(EDATE($D136,Milestones!$AA$50),"dd/mm/yy")&amp;" "&amp;Milestones!$AB$50&amp;" "&amp;Milestones!$AC$50&amp;";  ","")&amp;IF(AND(EDATE($D136,Milestones!$AA$51)&lt;=AsOfDate,IF($Q136=0,$W136,IF(AND($S136&lt;&gt;"",EDATE($D136,Milestones!$AA$51)&gt;=$S136),$V136,IF(AND($R136&lt;&gt;"",EDATE($D136,Milestones!$AA$51)&gt;=$R136),$U136,$T136)))=Milestones!$AB$51),TEXT(EDATE($D136,Milestones!$AA$51),"dd/mm/yy")&amp;" "&amp;Milestones!$AB$51&amp;" "&amp;Milestones!$AC$51&amp;";  ","")&amp;IF(AND(EDATE($D136,Milestones!$AA$52)&lt;=AsOfDate,IF($Q136=0,$W136,IF(AND($S136&lt;&gt;"",EDATE($D136,Milestones!$AA$52)&gt;=$S136),$V136,IF(AND($R136&lt;&gt;"",EDATE($D136,Milestones!$AA$52)&gt;=$R136),$U136,$T136)))=Milestones!$AB$52),TEXT(EDATE($D136,Milestones!$AA$52),"dd/mm/yy")&amp;" "&amp;Milestones!$AB$52&amp;" "&amp;Milestones!$AC$52&amp;";  ","")&amp;IF(AND(EDATE($D136,Milestones!$AA$53)&lt;=AsOfDate,IF($Q136=0,$W136,IF(AND($S136&lt;&gt;"",EDATE($D136,Milestones!$AA$53)&gt;=$S136),$V136,IF(AND($R136&lt;&gt;"",EDATE($D136,Milestones!$AA$53)&gt;=$R136),$U136,$T136)))=Milestones!$AB$53),TEXT(EDATE($D136,Milestones!$AA$53),"dd/mm/yy")&amp;" "&amp;Milestones!$AB$53&amp;" "&amp;Milestones!$AC$53&amp;";  ","")&amp;IF(AND(EDATE($D136,Milestones!$AA$54)&lt;=AsOfDate,IF($Q136=0,$W136,IF(AND($S136&lt;&gt;"",EDATE($D136,Milestones!$AA$54)&gt;=$S136),$V136,IF(AND($R136&lt;&gt;"",EDATE($D136,Milestones!$AA$54)&gt;=$R136),$U136,$T136)))=Milestones!$AB$54),TEXT(EDATE($D136,Milestones!$AA$54),"dd/mm/yy")&amp;" "&amp;Milestones!$AB$54&amp;" "&amp;Milestones!$AC$54&amp;";  ","")&amp;IF(AND(EDATE($D136,Milestones!$AA$55)&lt;=AsOfDate,IF($Q136=0,$W136,IF(AND($S136&lt;&gt;"",EDATE($D136,Milestones!$AA$55)&gt;=$S136),$V136,IF(AND($R136&lt;&gt;"",EDATE($D136,Milestones!$AA$55)&gt;=$R136),$U136,$T136)))=Milestones!$AB$55),TEXT(EDATE($D136,Milestones!$AA$55),"dd/mm/yy")&amp;" "&amp;Milestones!$AB$55&amp;" "&amp;Milestones!$AC$55&amp;";  ","")&amp;IF(AND(EDATE($D136,Milestones!$AA$56)&lt;=AsOfDate,IF($Q136=0,$W136,IF(AND($S136&lt;&gt;"",EDATE($D136,Milestones!$AA$56)&gt;=$S136),$V136,IF(AND($R136&lt;&gt;"",EDATE($D136,Milestones!$AA$56)&gt;=$R136),$U136,$T136)))=Milestones!$AB$56),TEXT(EDATE($D136,Milestones!$AA$56),"dd/mm/yy")&amp;" "&amp;Milestones!$AB$56&amp;" "&amp;Milestones!$AC$56&amp;";  ","")&amp;IF(AND(EDATE($D136,Milestones!$AA$57)&lt;=AsOfDate,IF($Q136=0,$W136,IF(AND($S136&lt;&gt;"",EDATE($D136,Milestones!$AA$57)&gt;=$S136),$V136,IF(AND($R136&lt;&gt;"",EDATE($D136,Milestones!$AA$57)&gt;=$R136),$U136,$T136)))=Milestones!$AB$57),TEXT(EDATE($D136,Milestones!$AA$57),"dd/mm/yy")&amp;" "&amp;Milestones!$AB$57&amp;" "&amp;Milestones!$AC$57&amp;";  ","")&amp;IF(AND(EDATE($D136,Milestones!$AA$58)&lt;=AsOfDate,IF($Q136=0,$W136,IF(AND($S136&lt;&gt;"",EDATE($D136,Milestones!$AA$58)&gt;=$S136),$V136,IF(AND($R136&lt;&gt;"",EDATE($D136,Milestones!$AA$58)&gt;=$R136),$U136,$T136)))=Milestones!$AB$58),TEXT(EDATE($D136,Milestones!$AA$58),"dd/mm/yy")&amp;" "&amp;Milestones!$AB$58&amp;" "&amp;Milestones!$AC$58&amp;";  ","")&amp;IF(AND(EDATE($D136,Milestones!$AA$59)&lt;=AsOfDate,IF($Q136=0,$W136,IF(AND($S136&lt;&gt;"",EDATE($D136,Milestones!$AA$59)&gt;=$S136),$V136,IF(AND($R136&lt;&gt;"",EDATE($D136,Milestones!$AA$59)&gt;=$R136),$U136,$T136)))=Milestones!$AB$59),TEXT(EDATE($D136,Milestones!$AA$59),"dd/mm/yy")&amp;" "&amp;Milestones!$AB$59&amp;" "&amp;Milestones!$AC$59&amp;";  ",""))</f>
        <v/>
      </c>
      <c r="J136" s="0" t="str">
        <f aca="false">IF(OR($A136="",$D136=""),"",IF(AND(EDATE($D136,Milestones!$AA$60)&lt;=AsOfDate,IF($Q136=0,$W136,IF(AND($S136&lt;&gt;"",EDATE($D136,Milestones!$AA$60)&gt;=$S136),$V136,IF(AND($R136&lt;&gt;"",EDATE($D136,Milestones!$AA$60)&gt;=$R136),$U136,$T136)))=Milestones!$AB$60),TEXT(EDATE($D136,Milestones!$AA$60),"dd/mm/yy")&amp;" "&amp;Milestones!$AB$60&amp;" "&amp;Milestones!$AC$60&amp;";  ","")&amp;IF(AND(EDATE($D136,Milestones!$AA$61)&lt;=AsOfDate,IF($Q136=0,$W136,IF(AND($S136&lt;&gt;"",EDATE($D136,Milestones!$AA$61)&gt;=$S136),$V136,IF(AND($R136&lt;&gt;"",EDATE($D136,Milestones!$AA$61)&gt;=$R136),$U136,$T136)))=Milestones!$AB$61),TEXT(EDATE($D136,Milestones!$AA$61),"dd/mm/yy")&amp;" "&amp;Milestones!$AB$61&amp;" "&amp;Milestones!$AC$61&amp;";  ","")&amp;IF(AND(EDATE($D136,Milestones!$AA$62)&lt;=AsOfDate,IF($Q136=0,$W136,IF(AND($S136&lt;&gt;"",EDATE($D136,Milestones!$AA$62)&gt;=$S136),$V136,IF(AND($R136&lt;&gt;"",EDATE($D136,Milestones!$AA$62)&gt;=$R136),$U136,$T136)))=Milestones!$AB$62),TEXT(EDATE($D136,Milestones!$AA$62),"dd/mm/yy")&amp;" "&amp;Milestones!$AB$62&amp;" "&amp;Milestones!$AC$62&amp;";  ","")&amp;IF(AND(EDATE($D136,Milestones!$AA$63)&lt;=AsOfDate,IF($Q136=0,$W136,IF(AND($S136&lt;&gt;"",EDATE($D136,Milestones!$AA$63)&gt;=$S136),$V136,IF(AND($R136&lt;&gt;"",EDATE($D136,Milestones!$AA$63)&gt;=$R136),$U136,$T136)))=Milestones!$AB$63),TEXT(EDATE($D136,Milestones!$AA$63),"dd/mm/yy")&amp;" "&amp;Milestones!$AB$63&amp;" "&amp;Milestones!$AC$63&amp;";  ","")&amp;IF(AND(EDATE($D136,Milestones!$AA$64)&lt;=AsOfDate,IF($Q136=0,$W136,IF(AND($S136&lt;&gt;"",EDATE($D136,Milestones!$AA$64)&gt;=$S136),$V136,IF(AND($R136&lt;&gt;"",EDATE($D136,Milestones!$AA$64)&gt;=$R136),$U136,$T136)))=Milestones!$AB$64),TEXT(EDATE($D136,Milestones!$AA$64),"dd/mm/yy")&amp;" "&amp;Milestones!$AB$64&amp;" "&amp;Milestones!$AC$64&amp;";  ","")&amp;IF(AND(EDATE($D136,Milestones!$AA$65)&lt;=AsOfDate,IF($Q136=0,$W136,IF(AND($S136&lt;&gt;"",EDATE($D136,Milestones!$AA$65)&gt;=$S136),$V136,IF(AND($R136&lt;&gt;"",EDATE($D136,Milestones!$AA$65)&gt;=$R136),$U136,$T136)))=Milestones!$AB$65),TEXT(EDATE($D136,Milestones!$AA$65),"dd/mm/yy")&amp;" "&amp;Milestones!$AB$65&amp;" "&amp;Milestones!$AC$65&amp;";  ","")&amp;IF(AND(EDATE($D136,Milestones!$AA$66)&lt;=AsOfDate,IF($Q136=0,$W136,IF(AND($S136&lt;&gt;"",EDATE($D136,Milestones!$AA$66)&gt;=$S136),$V136,IF(AND($R136&lt;&gt;"",EDATE($D136,Milestones!$AA$66)&gt;=$R136),$U136,$T136)))=Milestones!$AB$66),TEXT(EDATE($D136,Milestones!$AA$66),"dd/mm/yy")&amp;" "&amp;Milestones!$AB$66&amp;" "&amp;Milestones!$AC$66&amp;";  ","")&amp;IF(AND(EDATE($D136,Milestones!$AA$67)&lt;=AsOfDate,IF($Q136=0,$W136,IF(AND($S136&lt;&gt;"",EDATE($D136,Milestones!$AA$67)&gt;=$S136),$V136,IF(AND($R136&lt;&gt;"",EDATE($D136,Milestones!$AA$67)&gt;=$R136),$U136,$T136)))=Milestones!$AB$67),TEXT(EDATE($D136,Milestones!$AA$67),"dd/mm/yy")&amp;" "&amp;Milestones!$AB$67&amp;" "&amp;Milestones!$AC$67&amp;";  ","")&amp;IF(AND(EDATE($D136,Milestones!$AA$68)&lt;=AsOfDate,IF($Q136=0,$W136,IF(AND($S136&lt;&gt;"",EDATE($D136,Milestones!$AA$68)&gt;=$S136),$V136,IF(AND($R136&lt;&gt;"",EDATE($D136,Milestones!$AA$68)&gt;=$R136),$U136,$T136)))=Milestones!$AB$68),TEXT(EDATE($D136,Milestones!$AA$68),"dd/mm/yy")&amp;" "&amp;Milestones!$AB$68&amp;" "&amp;Milestones!$AC$68&amp;";  ","")&amp;IF(AND(EDATE($D136,Milestones!$AA$69)&lt;=AsOfDate,IF($Q136=0,$W136,IF(AND($S136&lt;&gt;"",EDATE($D136,Milestones!$AA$69)&gt;=$S136),$V136,IF(AND($R136&lt;&gt;"",EDATE($D136,Milestones!$AA$69)&gt;=$R136),$U136,$T136)))=Milestones!$AB$69),TEXT(EDATE($D136,Milestones!$AA$69),"dd/mm/yy")&amp;" "&amp;Milestones!$AB$69&amp;" "&amp;Milestones!$AC$69&amp;";  ","")&amp;IF(AND(EDATE($D136,Milestones!$AA$70)&lt;=AsOfDate,IF($Q136=0,$W136,IF(AND($S136&lt;&gt;"",EDATE($D136,Milestones!$AA$70)&gt;=$S136),$V136,IF(AND($R136&lt;&gt;"",EDATE($D136,Milestones!$AA$70)&gt;=$R136),$U136,$T136)))=Milestones!$AB$70),TEXT(EDATE($D136,Milestones!$AA$70),"dd/mm/yy")&amp;" "&amp;Milestones!$AB$70&amp;" "&amp;Milestones!$AC$70&amp;";  ","")&amp;IF(AND(EDATE($D136,Milestones!$AA$71)&lt;=AsOfDate,IF($Q136=0,$W136,IF(AND($S136&lt;&gt;"",EDATE($D136,Milestones!$AA$71)&gt;=$S136),$V136,IF(AND($R136&lt;&gt;"",EDATE($D136,Milestones!$AA$71)&gt;=$R136),$U136,$T136)))=Milestones!$AB$71),TEXT(EDATE($D136,Milestones!$AA$71),"dd/mm/yy")&amp;" "&amp;Milestones!$AB$71&amp;" "&amp;Milestones!$AC$71&amp;";  ","")&amp;IF(AND(EDATE($D136,Milestones!$AA$72)&lt;=AsOfDate,IF($Q136=0,$W136,IF(AND($S136&lt;&gt;"",EDATE($D136,Milestones!$AA$72)&gt;=$S136),$V136,IF(AND($R136&lt;&gt;"",EDATE($D136,Milestones!$AA$72)&gt;=$R136),$U136,$T136)))=Milestones!$AB$72),TEXT(EDATE($D136,Milestones!$AA$72),"dd/mm/yy")&amp;" "&amp;Milestones!$AB$72&amp;" "&amp;Milestones!$AC$72&amp;";  ","")&amp;IF(AND(EDATE($D136,Milestones!$AA$73)&lt;=AsOfDate,IF($Q136=0,$W136,IF(AND($S136&lt;&gt;"",EDATE($D136,Milestones!$AA$73)&gt;=$S136),$V136,IF(AND($R136&lt;&gt;"",EDATE($D136,Milestones!$AA$73)&gt;=$R136),$U136,$T136)))=Milestones!$AB$73),TEXT(EDATE($D136,Milestones!$AA$73),"dd/mm/yy")&amp;" "&amp;Milestones!$AB$73&amp;" "&amp;Milestones!$AC$73&amp;";  ","")&amp;IF(AND(EDATE($D136,Milestones!$AA$74)&lt;=AsOfDate,IF($Q136=0,$W136,IF(AND($S136&lt;&gt;"",EDATE($D136,Milestones!$AA$74)&gt;=$S136),$V136,IF(AND($R136&lt;&gt;"",EDATE($D136,Milestones!$AA$74)&gt;=$R136),$U136,$T136)))=Milestones!$AB$74),TEXT(EDATE($D136,Milestones!$AA$74),"dd/mm/yy")&amp;" "&amp;Milestones!$AB$74&amp;" "&amp;Milestones!$AC$74&amp;";  ","")&amp;IF(AND(EDATE($D136,Milestones!$AA$75)&lt;=AsOfDate,IF($Q136=0,$W136,IF(AND($S136&lt;&gt;"",EDATE($D136,Milestones!$AA$75)&gt;=$S136),$V136,IF(AND($R136&lt;&gt;"",EDATE($D136,Milestones!$AA$75)&gt;=$R136),$U136,$T136)))=Milestones!$AB$75),TEXT(EDATE($D136,Milestones!$AA$75),"dd/mm/yy")&amp;" "&amp;Milestones!$AB$75&amp;" "&amp;Milestones!$AC$75&amp;";  ","")&amp;IF(AND(EDATE($D136,Milestones!$AA$76)&lt;=AsOfDate,IF($Q136=0,$W136,IF(AND($S136&lt;&gt;"",EDATE($D136,Milestones!$AA$76)&gt;=$S136),$V136,IF(AND($R136&lt;&gt;"",EDATE($D136,Milestones!$AA$76)&gt;=$R136),$U136,$T136)))=Milestones!$AB$76),TEXT(EDATE($D136,Milestones!$AA$76),"dd/mm/yy")&amp;" "&amp;Milestones!$AB$76&amp;" "&amp;Milestones!$AC$76&amp;";  ","")&amp;IF(AND(EDATE($D136,Milestones!$AA$77)&lt;=AsOfDate,IF($Q136=0,$W136,IF(AND($S136&lt;&gt;"",EDATE($D136,Milestones!$AA$77)&gt;=$S136),$V136,IF(AND($R136&lt;&gt;"",EDATE($D136,Milestones!$AA$77)&gt;=$R136),$U136,$T136)))=Milestones!$AB$77),TEXT(EDATE($D136,Milestones!$AA$77),"dd/mm/yy")&amp;" "&amp;Milestones!$AB$77&amp;" "&amp;Milestones!$AC$77&amp;";  ","")&amp;IF(AND(EDATE($D136,Milestones!$AA$78)&lt;=AsOfDate,IF($Q136=0,$W136,IF(AND($S136&lt;&gt;"",EDATE($D136,Milestones!$AA$78)&gt;=$S136),$V136,IF(AND($R136&lt;&gt;"",EDATE($D136,Milestones!$AA$78)&gt;=$R136),$U136,$T136)))=Milestones!$AB$78),TEXT(EDATE($D136,Milestones!$AA$78),"dd/mm/yy")&amp;" "&amp;Milestones!$AB$78&amp;" "&amp;Milestones!$AC$78&amp;";  ","")&amp;IF(AND(EDATE($D136,Milestones!$AA$79)&lt;=AsOfDate,IF($Q136=0,$W136,IF(AND($S136&lt;&gt;"",EDATE($D136,Milestones!$AA$79)&gt;=$S136),$V136,IF(AND($R136&lt;&gt;"",EDATE($D136,Milestones!$AA$79)&gt;=$R136),$U136,$T136)))=Milestones!$AB$79),TEXT(EDATE($D136,Milestones!$AA$79),"dd/mm/yy")&amp;" "&amp;Milestones!$AB$79&amp;" "&amp;Milestones!$AC$79&amp;";  ",""))</f>
        <v/>
      </c>
      <c r="K136" s="0" t="str">
        <f aca="false">IF(OR($A136="",$D136=""),"",IF(AND(EDATE($D136,Milestones!$AA$80)&lt;=AsOfDate,IF($Q136=0,$W136,IF(AND($S136&lt;&gt;"",EDATE($D136,Milestones!$AA$80)&gt;=$S136),$V136,IF(AND($R136&lt;&gt;"",EDATE($D136,Milestones!$AA$80)&gt;=$R136),$U136,$T136)))=Milestones!$AB$80),TEXT(EDATE($D136,Milestones!$AA$80),"dd/mm/yy")&amp;" "&amp;Milestones!$AB$80&amp;" "&amp;Milestones!$AC$80&amp;";  ","")&amp;IF(AND(EDATE($D136,Milestones!$AA$81)&lt;=AsOfDate,IF($Q136=0,$W136,IF(AND($S136&lt;&gt;"",EDATE($D136,Milestones!$AA$81)&gt;=$S136),$V136,IF(AND($R136&lt;&gt;"",EDATE($D136,Milestones!$AA$81)&gt;=$R136),$U136,$T136)))=Milestones!$AB$81),TEXT(EDATE($D136,Milestones!$AA$81),"dd/mm/yy")&amp;" "&amp;Milestones!$AB$81&amp;" "&amp;Milestones!$AC$81&amp;";  ","")&amp;IF(AND(EDATE($D136,Milestones!$AA$82)&lt;=AsOfDate,IF($Q136=0,$W136,IF(AND($S136&lt;&gt;"",EDATE($D136,Milestones!$AA$82)&gt;=$S136),$V136,IF(AND($R136&lt;&gt;"",EDATE($D136,Milestones!$AA$82)&gt;=$R136),$U136,$T136)))=Milestones!$AB$82),TEXT(EDATE($D136,Milestones!$AA$82),"dd/mm/yy")&amp;" "&amp;Milestones!$AB$82&amp;" "&amp;Milestones!$AC$82&amp;";  ","")&amp;IF(AND(EDATE($D136,Milestones!$AA$83)&lt;=AsOfDate,IF($Q136=0,$W136,IF(AND($S136&lt;&gt;"",EDATE($D136,Milestones!$AA$83)&gt;=$S136),$V136,IF(AND($R136&lt;&gt;"",EDATE($D136,Milestones!$AA$83)&gt;=$R136),$U136,$T136)))=Milestones!$AB$83),TEXT(EDATE($D136,Milestones!$AA$83),"dd/mm/yy")&amp;" "&amp;Milestones!$AB$83&amp;" "&amp;Milestones!$AC$83&amp;";  ","")&amp;IF(AND(EDATE($D136,Milestones!$AA$84)&lt;=AsOfDate,IF($Q136=0,$W136,IF(AND($S136&lt;&gt;"",EDATE($D136,Milestones!$AA$84)&gt;=$S136),$V136,IF(AND($R136&lt;&gt;"",EDATE($D136,Milestones!$AA$84)&gt;=$R136),$U136,$T136)))=Milestones!$AB$84),TEXT(EDATE($D136,Milestones!$AA$84),"dd/mm/yy")&amp;" "&amp;Milestones!$AB$84&amp;" "&amp;Milestones!$AC$84&amp;";  ","")&amp;IF(AND(EDATE($D136,Milestones!$AA$85)&lt;=AsOfDate,IF($Q136=0,$W136,IF(AND($S136&lt;&gt;"",EDATE($D136,Milestones!$AA$85)&gt;=$S136),$V136,IF(AND($R136&lt;&gt;"",EDATE($D136,Milestones!$AA$85)&gt;=$R136),$U136,$T136)))=Milestones!$AB$85),TEXT(EDATE($D136,Milestones!$AA$85),"dd/mm/yy")&amp;" "&amp;Milestones!$AB$85&amp;" "&amp;Milestones!$AC$85&amp;";  ","")&amp;IF(AND(EDATE($D136,Milestones!$AA$86)&lt;=AsOfDate,IF($Q136=0,$W136,IF(AND($S136&lt;&gt;"",EDATE($D136,Milestones!$AA$86)&gt;=$S136),$V136,IF(AND($R136&lt;&gt;"",EDATE($D136,Milestones!$AA$86)&gt;=$R136),$U136,$T136)))=Milestones!$AB$86),TEXT(EDATE($D136,Milestones!$AA$86),"dd/mm/yy")&amp;" "&amp;Milestones!$AB$86&amp;" "&amp;Milestones!$AC$86&amp;";  ","")&amp;IF(AND(EDATE($D136,Milestones!$AA$87)&lt;=AsOfDate,IF($Q136=0,$W136,IF(AND($S136&lt;&gt;"",EDATE($D136,Milestones!$AA$87)&gt;=$S136),$V136,IF(AND($R136&lt;&gt;"",EDATE($D136,Milestones!$AA$87)&gt;=$R136),$U136,$T136)))=Milestones!$AB$87),TEXT(EDATE($D136,Milestones!$AA$87),"dd/mm/yy")&amp;" "&amp;Milestones!$AB$87&amp;" "&amp;Milestones!$AC$87&amp;";  ","")&amp;IF(AND(EDATE($D136,Milestones!$AA$88)&lt;=AsOfDate,IF($Q136=0,$W136,IF(AND($S136&lt;&gt;"",EDATE($D136,Milestones!$AA$88)&gt;=$S136),$V136,IF(AND($R136&lt;&gt;"",EDATE($D136,Milestones!$AA$88)&gt;=$R136),$U136,$T136)))=Milestones!$AB$88),TEXT(EDATE($D136,Milestones!$AA$88),"dd/mm/yy")&amp;" "&amp;Milestones!$AB$88&amp;" "&amp;Milestones!$AC$88&amp;";  ","")&amp;IF(AND(EDATE($D136,Milestones!$AA$89)&lt;=AsOfDate,IF($Q136=0,$W136,IF(AND($S136&lt;&gt;"",EDATE($D136,Milestones!$AA$89)&gt;=$S136),$V136,IF(AND($R136&lt;&gt;"",EDATE($D136,Milestones!$AA$89)&gt;=$R136),$U136,$T136)))=Milestones!$AB$89),TEXT(EDATE($D136,Milestones!$AA$89),"dd/mm/yy")&amp;" "&amp;Milestones!$AB$89&amp;" "&amp;Milestones!$AC$89&amp;";  ","")&amp;IF(AND(EDATE($D136,Milestones!$AA$90)&lt;=AsOfDate,IF($Q136=0,$W136,IF(AND($S136&lt;&gt;"",EDATE($D136,Milestones!$AA$90)&gt;=$S136),$V136,IF(AND($R136&lt;&gt;"",EDATE($D136,Milestones!$AA$90)&gt;=$R136),$U136,$T136)))=Milestones!$AB$90),TEXT(EDATE($D136,Milestones!$AA$90),"dd/mm/yy")&amp;" "&amp;Milestones!$AB$90&amp;" "&amp;Milestones!$AC$90&amp;";  ","")&amp;IF(AND(EDATE($D136,Milestones!$AA$91)&lt;=AsOfDate,IF($Q136=0,$W136,IF(AND($S136&lt;&gt;"",EDATE($D136,Milestones!$AA$91)&gt;=$S136),$V136,IF(AND($R136&lt;&gt;"",EDATE($D136,Milestones!$AA$91)&gt;=$R136),$U136,$T136)))=Milestones!$AB$91),TEXT(EDATE($D136,Milestones!$AA$91),"dd/mm/yy")&amp;" "&amp;Milestones!$AB$91&amp;" "&amp;Milestones!$AC$91&amp;";  ","")&amp;IF(AND(EDATE($D136,Milestones!$AA$92)&lt;=AsOfDate,IF($Q136=0,$W136,IF(AND($S136&lt;&gt;"",EDATE($D136,Milestones!$AA$92)&gt;=$S136),$V136,IF(AND($R136&lt;&gt;"",EDATE($D136,Milestones!$AA$92)&gt;=$R136),$U136,$T136)))=Milestones!$AB$92),TEXT(EDATE($D136,Milestones!$AA$92),"dd/mm/yy")&amp;" "&amp;Milestones!$AB$92&amp;" "&amp;Milestones!$AC$92&amp;";  ","")&amp;IF(AND(EDATE($D136,Milestones!$AA$93)&lt;=AsOfDate,IF($Q136=0,$W136,IF(AND($S136&lt;&gt;"",EDATE($D136,Milestones!$AA$93)&gt;=$S136),$V136,IF(AND($R136&lt;&gt;"",EDATE($D136,Milestones!$AA$93)&gt;=$R136),$U136,$T136)))=Milestones!$AB$93),TEXT(EDATE($D136,Milestones!$AA$93),"dd/mm/yy")&amp;" "&amp;Milestones!$AB$93&amp;" "&amp;Milestones!$AC$93&amp;";  ","")&amp;IF(AND(EDATE($D136,Milestones!$AA$94)&lt;=AsOfDate,IF($Q136=0,$W136,IF(AND($S136&lt;&gt;"",EDATE($D136,Milestones!$AA$94)&gt;=$S136),$V136,IF(AND($R136&lt;&gt;"",EDATE($D136,Milestones!$AA$94)&gt;=$R136),$U136,$T136)))=Milestones!$AB$94),TEXT(EDATE($D136,Milestones!$AA$94),"dd/mm/yy")&amp;" "&amp;Milestones!$AB$94&amp;" "&amp;Milestones!$AC$94&amp;";  ","")&amp;IF(AND(EDATE($D136,Milestones!$AA$95)&lt;=AsOfDate,IF($Q136=0,$W136,IF(AND($S136&lt;&gt;"",EDATE($D136,Milestones!$AA$95)&gt;=$S136),$V136,IF(AND($R136&lt;&gt;"",EDATE($D136,Milestones!$AA$95)&gt;=$R136),$U136,$T136)))=Milestones!$AB$95),TEXT(EDATE($D136,Milestones!$AA$95),"dd/mm/yy")&amp;" "&amp;Milestones!$AB$95&amp;" "&amp;Milestones!$AC$95&amp;";  ","")&amp;IF(AND(EDATE($D136,Milestones!$AA$96)&lt;=AsOfDate,IF($Q136=0,$W136,IF(AND($S136&lt;&gt;"",EDATE($D136,Milestones!$AA$96)&gt;=$S136),$V136,IF(AND($R136&lt;&gt;"",EDATE($D136,Milestones!$AA$96)&gt;=$R136),$U136,$T136)))=Milestones!$AB$96),TEXT(EDATE($D136,Milestones!$AA$96),"dd/mm/yy")&amp;" "&amp;Milestones!$AB$96&amp;" "&amp;Milestones!$AC$96&amp;";  ","")&amp;IF(AND(EDATE($D136,Milestones!$AA$97)&lt;=AsOfDate,IF($Q136=0,$W136,IF(AND($S136&lt;&gt;"",EDATE($D136,Milestones!$AA$97)&gt;=$S136),$V136,IF(AND($R136&lt;&gt;"",EDATE($D136,Milestones!$AA$97)&gt;=$R136),$U136,$T136)))=Milestones!$AB$97),TEXT(EDATE($D136,Milestones!$AA$97),"dd/mm/yy")&amp;" "&amp;Milestones!$AB$97&amp;" "&amp;Milestones!$AC$97&amp;";  ","")&amp;IF(AND(EDATE($D136,Milestones!$AA$98)&lt;=AsOfDate,IF($Q136=0,$W136,IF(AND($S136&lt;&gt;"",EDATE($D136,Milestones!$AA$98)&gt;=$S136),$V136,IF(AND($R136&lt;&gt;"",EDATE($D136,Milestones!$AA$98)&gt;=$R136),$U136,$T136)))=Milestones!$AB$98),TEXT(EDATE($D136,Milestones!$AA$98),"dd/mm/yy")&amp;" "&amp;Milestones!$AB$98&amp;" "&amp;Milestones!$AC$98&amp;";  ","")&amp;IF(AND(EDATE($D136,Milestones!$AA$99)&lt;=AsOfDate,IF($Q136=0,$W136,IF(AND($S136&lt;&gt;"",EDATE($D136,Milestones!$AA$99)&gt;=$S136),$V136,IF(AND($R136&lt;&gt;"",EDATE($D136,Milestones!$AA$99)&gt;=$R136),$U136,$T136)))=Milestones!$AB$99),TEXT(EDATE($D136,Milestones!$AA$99),"dd/mm/yy")&amp;" "&amp;Milestones!$AB$99&amp;" "&amp;Milestones!$AC$99&amp;";  ",""))</f>
        <v/>
      </c>
      <c r="L136" s="0" t="str">
        <f aca="false">IF(OR($A136="",$D136=""),"",IF(AND(EDATE($D136,Milestones!$AA$100)&lt;=AsOfDate,IF($Q136=0,$W136,IF(AND($S136&lt;&gt;"",EDATE($D136,Milestones!$AA$100)&gt;=$S136),$V136,IF(AND($R136&lt;&gt;"",EDATE($D136,Milestones!$AA$100)&gt;=$R136),$U136,$T136)))=Milestones!$AB$100),TEXT(EDATE($D136,Milestones!$AA$100),"dd/mm/yy")&amp;" "&amp;Milestones!$AB$100&amp;" "&amp;Milestones!$AC$100&amp;";  ","")&amp;IF(AND(EDATE($D136,Milestones!$AA$101)&lt;=AsOfDate,IF($Q136=0,$W136,IF(AND($S136&lt;&gt;"",EDATE($D136,Milestones!$AA$101)&gt;=$S136),$V136,IF(AND($R136&lt;&gt;"",EDATE($D136,Milestones!$AA$101)&gt;=$R136),$U136,$T136)))=Milestones!$AB$101),TEXT(EDATE($D136,Milestones!$AA$101),"dd/mm/yy")&amp;" "&amp;Milestones!$AB$101&amp;" "&amp;Milestones!$AC$101&amp;";  ","")&amp;IF(AND(EDATE($D136,Milestones!$AA$102)&lt;=AsOfDate,IF($Q136=0,$W136,IF(AND($S136&lt;&gt;"",EDATE($D136,Milestones!$AA$102)&gt;=$S136),$V136,IF(AND($R136&lt;&gt;"",EDATE($D136,Milestones!$AA$102)&gt;=$R136),$U136,$T136)))=Milestones!$AB$102),TEXT(EDATE($D136,Milestones!$AA$102),"dd/mm/yy")&amp;" "&amp;Milestones!$AB$102&amp;" "&amp;Milestones!$AC$102&amp;";  ","")&amp;IF(AND(EDATE($D136,Milestones!$AA$103)&lt;=AsOfDate,IF($Q136=0,$W136,IF(AND($S136&lt;&gt;"",EDATE($D136,Milestones!$AA$103)&gt;=$S136),$V136,IF(AND($R136&lt;&gt;"",EDATE($D136,Milestones!$AA$103)&gt;=$R136),$U136,$T136)))=Milestones!$AB$103),TEXT(EDATE($D136,Milestones!$AA$103),"dd/mm/yy")&amp;" "&amp;Milestones!$AB$103&amp;" "&amp;Milestones!$AC$103&amp;";  ","")&amp;IF(AND(EDATE($D136,Milestones!$AA$104)&lt;=AsOfDate,IF($Q136=0,$W136,IF(AND($S136&lt;&gt;"",EDATE($D136,Milestones!$AA$104)&gt;=$S136),$V136,IF(AND($R136&lt;&gt;"",EDATE($D136,Milestones!$AA$104)&gt;=$R136),$U136,$T136)))=Milestones!$AB$104),TEXT(EDATE($D136,Milestones!$AA$104),"dd/mm/yy")&amp;" "&amp;Milestones!$AB$104&amp;" "&amp;Milestones!$AC$104&amp;";  ","")&amp;IF(AND(EDATE($D136,Milestones!$AA$105)&lt;=AsOfDate,IF($Q136=0,$W136,IF(AND($S136&lt;&gt;"",EDATE($D136,Milestones!$AA$105)&gt;=$S136),$V136,IF(AND($R136&lt;&gt;"",EDATE($D136,Milestones!$AA$105)&gt;=$R136),$U136,$T136)))=Milestones!$AB$105),TEXT(EDATE($D136,Milestones!$AA$105),"dd/mm/yy")&amp;" "&amp;Milestones!$AB$105&amp;" "&amp;Milestones!$AC$105&amp;";  ","")&amp;IF(AND(EDATE($D136,Milestones!$AA$106)&lt;=AsOfDate,IF($Q136=0,$W136,IF(AND($S136&lt;&gt;"",EDATE($D136,Milestones!$AA$106)&gt;=$S136),$V136,IF(AND($R136&lt;&gt;"",EDATE($D136,Milestones!$AA$106)&gt;=$R136),$U136,$T136)))=Milestones!$AB$106),TEXT(EDATE($D136,Milestones!$AA$106),"dd/mm/yy")&amp;" "&amp;Milestones!$AB$106&amp;" "&amp;Milestones!$AC$106&amp;";  ","")&amp;IF(AND(EDATE($D136,Milestones!$AA$107)&lt;=AsOfDate,IF($Q136=0,$W136,IF(AND($S136&lt;&gt;"",EDATE($D136,Milestones!$AA$107)&gt;=$S136),$V136,IF(AND($R136&lt;&gt;"",EDATE($D136,Milestones!$AA$107)&gt;=$R136),$U136,$T136)))=Milestones!$AB$107),TEXT(EDATE($D136,Milestones!$AA$107),"dd/mm/yy")&amp;" "&amp;Milestones!$AB$107&amp;" "&amp;Milestones!$AC$107&amp;";  ","")&amp;IF(AND(EDATE($D136,Milestones!$AA$108)&lt;=AsOfDate,IF($Q136=0,$W136,IF(AND($S136&lt;&gt;"",EDATE($D136,Milestones!$AA$108)&gt;=$S136),$V136,IF(AND($R136&lt;&gt;"",EDATE($D136,Milestones!$AA$108)&gt;=$R136),$U136,$T136)))=Milestones!$AB$108),TEXT(EDATE($D136,Milestones!$AA$108),"dd/mm/yy")&amp;" "&amp;Milestones!$AB$108&amp;" "&amp;Milestones!$AC$108&amp;";  ","")&amp;IF(AND(EDATE($D136,Milestones!$AA$109)&lt;=AsOfDate,IF($Q136=0,$W136,IF(AND($S136&lt;&gt;"",EDATE($D136,Milestones!$AA$109)&gt;=$S136),$V136,IF(AND($R136&lt;&gt;"",EDATE($D136,Milestones!$AA$109)&gt;=$R136),$U136,$T136)))=Milestones!$AB$109),TEXT(EDATE($D136,Milestones!$AA$109),"dd/mm/yy")&amp;" "&amp;Milestones!$AB$109&amp;" "&amp;Milestones!$AC$109&amp;";  ","")&amp;IF(AND(EDATE($D136,Milestones!$AA$110)&lt;=AsOfDate,IF($Q136=0,$W136,IF(AND($S136&lt;&gt;"",EDATE($D136,Milestones!$AA$110)&gt;=$S136),$V136,IF(AND($R136&lt;&gt;"",EDATE($D136,Milestones!$AA$110)&gt;=$R136),$U136,$T136)))=Milestones!$AB$110),TEXT(EDATE($D136,Milestones!$AA$110),"dd/mm/yy")&amp;" "&amp;Milestones!$AB$110&amp;" "&amp;Milestones!$AC$110&amp;";  ","")&amp;IF(AND(EDATE($D136,Milestones!$AA$111)&lt;=AsOfDate,IF($Q136=0,$W136,IF(AND($S136&lt;&gt;"",EDATE($D136,Milestones!$AA$111)&gt;=$S136),$V136,IF(AND($R136&lt;&gt;"",EDATE($D136,Milestones!$AA$111)&gt;=$R136),$U136,$T136)))=Milestones!$AB$111),TEXT(EDATE($D136,Milestones!$AA$111),"dd/mm/yy")&amp;" "&amp;Milestones!$AB$111&amp;" "&amp;Milestones!$AC$111&amp;";  ","")&amp;IF(AND(EDATE($D136,Milestones!$AA$112)&lt;=AsOfDate,IF($Q136=0,$W136,IF(AND($S136&lt;&gt;"",EDATE($D136,Milestones!$AA$112)&gt;=$S136),$V136,IF(AND($R136&lt;&gt;"",EDATE($D136,Milestones!$AA$112)&gt;=$R136),$U136,$T136)))=Milestones!$AB$112),TEXT(EDATE($D136,Milestones!$AA$112),"dd/mm/yy")&amp;" "&amp;Milestones!$AB$112&amp;" "&amp;Milestones!$AC$112&amp;";  ","")&amp;IF(AND(EDATE($D136,Milestones!$AA$113)&lt;=AsOfDate,IF($Q136=0,$W136,IF(AND($S136&lt;&gt;"",EDATE($D136,Milestones!$AA$113)&gt;=$S136),$V136,IF(AND($R136&lt;&gt;"",EDATE($D136,Milestones!$AA$113)&gt;=$R136),$U136,$T136)))=Milestones!$AB$113),TEXT(EDATE($D136,Milestones!$AA$113),"dd/mm/yy")&amp;" "&amp;Milestones!$AB$113&amp;" "&amp;Milestones!$AC$113&amp;";  ","")&amp;IF(AND(EDATE($D136,Milestones!$AA$114)&lt;=AsOfDate,IF($Q136=0,$W136,IF(AND($S136&lt;&gt;"",EDATE($D136,Milestones!$AA$114)&gt;=$S136),$V136,IF(AND($R136&lt;&gt;"",EDATE($D136,Milestones!$AA$114)&gt;=$R136),$U136,$T136)))=Milestones!$AB$114),TEXT(EDATE($D136,Milestones!$AA$114),"dd/mm/yy")&amp;" "&amp;Milestones!$AB$114&amp;" "&amp;Milestones!$AC$114&amp;";  ","")&amp;IF(AND(EDATE($D136,Milestones!$AA$115)&lt;=AsOfDate,IF($Q136=0,$W136,IF(AND($S136&lt;&gt;"",EDATE($D136,Milestones!$AA$115)&gt;=$S136),$V136,IF(AND($R136&lt;&gt;"",EDATE($D136,Milestones!$AA$115)&gt;=$R136),$U136,$T136)))=Milestones!$AB$115),TEXT(EDATE($D136,Milestones!$AA$115),"dd/mm/yy")&amp;" "&amp;Milestones!$AB$115&amp;" "&amp;Milestones!$AC$115&amp;";  ","")&amp;IF(AND(EDATE($D136,Milestones!$AA$116)&lt;=AsOfDate,IF($Q136=0,$W136,IF(AND($S136&lt;&gt;"",EDATE($D136,Milestones!$AA$116)&gt;=$S136),$V136,IF(AND($R136&lt;&gt;"",EDATE($D136,Milestones!$AA$116)&gt;=$R136),$U136,$T136)))=Milestones!$AB$116),TEXT(EDATE($D136,Milestones!$AA$116),"dd/mm/yy")&amp;" "&amp;Milestones!$AB$116&amp;" "&amp;Milestones!$AC$116&amp;";  ","")&amp;IF(AND(EDATE($D136,Milestones!$AA$117)&lt;=AsOfDate,IF($Q136=0,$W136,IF(AND($S136&lt;&gt;"",EDATE($D136,Milestones!$AA$117)&gt;=$S136),$V136,IF(AND($R136&lt;&gt;"",EDATE($D136,Milestones!$AA$117)&gt;=$R136),$U136,$T136)))=Milestones!$AB$117),TEXT(EDATE($D136,Milestones!$AA$117),"dd/mm/yy")&amp;" "&amp;Milestones!$AB$117&amp;" "&amp;Milestones!$AC$117&amp;";  ","")&amp;IF(AND(EDATE($D136,Milestones!$AA$118)&lt;=AsOfDate,IF($Q136=0,$W136,IF(AND($S136&lt;&gt;"",EDATE($D136,Milestones!$AA$118)&gt;=$S136),$V136,IF(AND($R136&lt;&gt;"",EDATE($D136,Milestones!$AA$118)&gt;=$R136),$U136,$T136)))=Milestones!$AB$118),TEXT(EDATE($D136,Milestones!$AA$118),"dd/mm/yy")&amp;" "&amp;Milestones!$AB$118&amp;" "&amp;Milestones!$AC$118&amp;";  ","")&amp;IF(AND(EDATE($D136,Milestones!$AA$119)&lt;=AsOfDate,IF($Q136=0,$W136,IF(AND($S136&lt;&gt;"",EDATE($D136,Milestones!$AA$119)&gt;=$S136),$V136,IF(AND($R136&lt;&gt;"",EDATE($D136,Milestones!$AA$119)&gt;=$R136),$U136,$T136)))=Milestones!$AB$119),TEXT(EDATE($D136,Milestones!$AA$119),"dd/mm/yy")&amp;" "&amp;Milestones!$AB$119&amp;" "&amp;Milestones!$AC$119&amp;";  ",""))</f>
        <v/>
      </c>
      <c r="M136" s="0" t="str">
        <f aca="false">IF(OR($A136="",$D136=""),"",IF(AND(EDATE($D136,Milestones!$AA$120)&lt;=AsOfDate,IF($Q136=0,$W136,IF(AND($S136&lt;&gt;"",EDATE($D136,Milestones!$AA$120)&gt;=$S136),$V136,IF(AND($R136&lt;&gt;"",EDATE($D136,Milestones!$AA$120)&gt;=$R136),$U136,$T136)))=Milestones!$AB$120),TEXT(EDATE($D136,Milestones!$AA$120),"dd/mm/yy")&amp;" "&amp;Milestones!$AB$120&amp;" "&amp;Milestones!$AC$120&amp;";  ","")&amp;IF(AND(EDATE($D136,Milestones!$AA$121)&lt;=AsOfDate,IF($Q136=0,$W136,IF(AND($S136&lt;&gt;"",EDATE($D136,Milestones!$AA$121)&gt;=$S136),$V136,IF(AND($R136&lt;&gt;"",EDATE($D136,Milestones!$AA$121)&gt;=$R136),$U136,$T136)))=Milestones!$AB$121),TEXT(EDATE($D136,Milestones!$AA$121),"dd/mm/yy")&amp;" "&amp;Milestones!$AB$121&amp;" "&amp;Milestones!$AC$121&amp;";  ","")&amp;IF(AND(EDATE($D136,Milestones!$AA$122)&lt;=AsOfDate,IF($Q136=0,$W136,IF(AND($S136&lt;&gt;"",EDATE($D136,Milestones!$AA$122)&gt;=$S136),$V136,IF(AND($R136&lt;&gt;"",EDATE($D136,Milestones!$AA$122)&gt;=$R136),$U136,$T136)))=Milestones!$AB$122),TEXT(EDATE($D136,Milestones!$AA$122),"dd/mm/yy")&amp;" "&amp;Milestones!$AB$122&amp;" "&amp;Milestones!$AC$122&amp;";  ","")&amp;IF(AND(EDATE($D136,Milestones!$AA$123)&lt;=AsOfDate,IF($Q136=0,$W136,IF(AND($S136&lt;&gt;"",EDATE($D136,Milestones!$AA$123)&gt;=$S136),$V136,IF(AND($R136&lt;&gt;"",EDATE($D136,Milestones!$AA$123)&gt;=$R136),$U136,$T136)))=Milestones!$AB$123),TEXT(EDATE($D136,Milestones!$AA$123),"dd/mm/yy")&amp;" "&amp;Milestones!$AB$123&amp;" "&amp;Milestones!$AC$123&amp;";  ","")&amp;IF(AND(EDATE($D136,Milestones!$AA$124)&lt;=AsOfDate,IF($Q136=0,$W136,IF(AND($S136&lt;&gt;"",EDATE($D136,Milestones!$AA$124)&gt;=$S136),$V136,IF(AND($R136&lt;&gt;"",EDATE($D136,Milestones!$AA$124)&gt;=$R136),$U136,$T136)))=Milestones!$AB$124),TEXT(EDATE($D136,Milestones!$AA$124),"dd/mm/yy")&amp;" "&amp;Milestones!$AB$124&amp;" "&amp;Milestones!$AC$124&amp;";  ","")&amp;IF(AND(EDATE($D136,Milestones!$AA$125)&lt;=AsOfDate,IF($Q136=0,$W136,IF(AND($S136&lt;&gt;"",EDATE($D136,Milestones!$AA$125)&gt;=$S136),$V136,IF(AND($R136&lt;&gt;"",EDATE($D136,Milestones!$AA$125)&gt;=$R136),$U136,$T136)))=Milestones!$AB$125),TEXT(EDATE($D136,Milestones!$AA$125),"dd/mm/yy")&amp;" "&amp;Milestones!$AB$125&amp;" "&amp;Milestones!$AC$125&amp;";  ","")&amp;IF(AND(EDATE($D136,Milestones!$AA$126)&lt;=AsOfDate,IF($Q136=0,$W136,IF(AND($S136&lt;&gt;"",EDATE($D136,Milestones!$AA$126)&gt;=$S136),$V136,IF(AND($R136&lt;&gt;"",EDATE($D136,Milestones!$AA$126)&gt;=$R136),$U136,$T136)))=Milestones!$AB$126),TEXT(EDATE($D136,Milestones!$AA$126),"dd/mm/yy")&amp;" "&amp;Milestones!$AB$126&amp;" "&amp;Milestones!$AC$126&amp;";  ","")&amp;IF(AND(EDATE($D136,Milestones!$AA$127)&lt;=AsOfDate,IF($Q136=0,$W136,IF(AND($S136&lt;&gt;"",EDATE($D136,Milestones!$AA$127)&gt;=$S136),$V136,IF(AND($R136&lt;&gt;"",EDATE($D136,Milestones!$AA$127)&gt;=$R136),$U136,$T136)))=Milestones!$AB$127),TEXT(EDATE($D136,Milestones!$AA$127),"dd/mm/yy")&amp;" "&amp;Milestones!$AB$127&amp;" "&amp;Milestones!$AC$127&amp;";  ","")&amp;IF(AND(EDATE($D136,Milestones!$AA$128)&lt;=AsOfDate,IF($Q136=0,$W136,IF(AND($S136&lt;&gt;"",EDATE($D136,Milestones!$AA$128)&gt;=$S136),$V136,IF(AND($R136&lt;&gt;"",EDATE($D136,Milestones!$AA$128)&gt;=$R136),$U136,$T136)))=Milestones!$AB$128),TEXT(EDATE($D136,Milestones!$AA$128),"dd/mm/yy")&amp;" "&amp;Milestones!$AB$128&amp;" "&amp;Milestones!$AC$128&amp;";  ","")&amp;IF(AND(EDATE($D136,Milestones!$AA$129)&lt;=AsOfDate,IF($Q136=0,$W136,IF(AND($S136&lt;&gt;"",EDATE($D136,Milestones!$AA$129)&gt;=$S136),$V136,IF(AND($R136&lt;&gt;"",EDATE($D136,Milestones!$AA$129)&gt;=$R136),$U136,$T136)))=Milestones!$AB$129),TEXT(EDATE($D136,Milestones!$AA$129),"dd/mm/yy")&amp;" "&amp;Milestones!$AB$129&amp;" "&amp;Milestones!$AC$129&amp;";  ","")&amp;IF(AND(EDATE($D136,Milestones!$AA$130)&lt;=AsOfDate,IF($Q136=0,$W136,IF(AND($S136&lt;&gt;"",EDATE($D136,Milestones!$AA$130)&gt;=$S136),$V136,IF(AND($R136&lt;&gt;"",EDATE($D136,Milestones!$AA$130)&gt;=$R136),$U136,$T136)))=Milestones!$AB$130),TEXT(EDATE($D136,Milestones!$AA$130),"dd/mm/yy")&amp;" "&amp;Milestones!$AB$130&amp;" "&amp;Milestones!$AC$130&amp;";  ","")&amp;IF(AND(EDATE($D136,Milestones!$AA$131)&lt;=AsOfDate,IF($Q136=0,$W136,IF(AND($S136&lt;&gt;"",EDATE($D136,Milestones!$AA$131)&gt;=$S136),$V136,IF(AND($R136&lt;&gt;"",EDATE($D136,Milestones!$AA$131)&gt;=$R136),$U136,$T136)))=Milestones!$AB$131),TEXT(EDATE($D136,Milestones!$AA$131),"dd/mm/yy")&amp;" "&amp;Milestones!$AB$131&amp;" "&amp;Milestones!$AC$131&amp;";  ","")&amp;IF(AND(EDATE($D136,Milestones!$AA$132)&lt;=AsOfDate,IF($Q136=0,$W136,IF(AND($S136&lt;&gt;"",EDATE($D136,Milestones!$AA$132)&gt;=$S136),$V136,IF(AND($R136&lt;&gt;"",EDATE($D136,Milestones!$AA$132)&gt;=$R136),$U136,$T136)))=Milestones!$AB$132),TEXT(EDATE($D136,Milestones!$AA$132),"dd/mm/yy")&amp;" "&amp;Milestones!$AB$132&amp;" "&amp;Milestones!$AC$132&amp;";  ","")&amp;IF(AND(EDATE($D136,Milestones!$AA$133)&lt;=AsOfDate,IF($Q136=0,$W136,IF(AND($S136&lt;&gt;"",EDATE($D136,Milestones!$AA$133)&gt;=$S136),$V136,IF(AND($R136&lt;&gt;"",EDATE($D136,Milestones!$AA$133)&gt;=$R136),$U136,$T136)))=Milestones!$AB$133),TEXT(EDATE($D136,Milestones!$AA$133),"dd/mm/yy")&amp;" "&amp;Milestones!$AB$133&amp;" "&amp;Milestones!$AC$133&amp;";  ","")&amp;IF(AND(EDATE($D136,Milestones!$AA$134)&lt;=AsOfDate,IF($Q136=0,$W136,IF(AND($S136&lt;&gt;"",EDATE($D136,Milestones!$AA$134)&gt;=$S136),$V136,IF(AND($R136&lt;&gt;"",EDATE($D136,Milestones!$AA$134)&gt;=$R136),$U136,$T136)))=Milestones!$AB$134),TEXT(EDATE($D136,Milestones!$AA$134),"dd/mm/yy")&amp;" "&amp;Milestones!$AB$134&amp;" "&amp;Milestones!$AC$134&amp;";  ","")&amp;IF(AND(EDATE($D136,Milestones!$AA$135)&lt;=AsOfDate,IF($Q136=0,$W136,IF(AND($S136&lt;&gt;"",EDATE($D136,Milestones!$AA$135)&gt;=$S136),$V136,IF(AND($R136&lt;&gt;"",EDATE($D136,Milestones!$AA$135)&gt;=$R136),$U136,$T136)))=Milestones!$AB$135),TEXT(EDATE($D136,Milestones!$AA$135),"dd/mm/yy")&amp;" "&amp;Milestones!$AB$135&amp;" "&amp;Milestones!$AC$135&amp;";  ","")&amp;IF(AND(EDATE($D136,Milestones!$AA$136)&lt;=AsOfDate,IF($Q136=0,$W136,IF(AND($S136&lt;&gt;"",EDATE($D136,Milestones!$AA$136)&gt;=$S136),$V136,IF(AND($R136&lt;&gt;"",EDATE($D136,Milestones!$AA$136)&gt;=$R136),$U136,$T136)))=Milestones!$AB$136),TEXT(EDATE($D136,Milestones!$AA$136),"dd/mm/yy")&amp;" "&amp;Milestones!$AB$136&amp;" "&amp;Milestones!$AC$136&amp;";  ","")&amp;IF(AND(EDATE($D136,Milestones!$AA$137)&lt;=AsOfDate,IF($Q136=0,$W136,IF(AND($S136&lt;&gt;"",EDATE($D136,Milestones!$AA$137)&gt;=$S136),$V136,IF(AND($R136&lt;&gt;"",EDATE($D136,Milestones!$AA$137)&gt;=$R136),$U136,$T136)))=Milestones!$AB$137),TEXT(EDATE($D136,Milestones!$AA$137),"dd/mm/yy")&amp;" "&amp;Milestones!$AB$137&amp;" "&amp;Milestones!$AC$137&amp;";  ","")&amp;IF(AND(EDATE($D136,Milestones!$AA$138)&lt;=AsOfDate,IF($Q136=0,$W136,IF(AND($S136&lt;&gt;"",EDATE($D136,Milestones!$AA$138)&gt;=$S136),$V136,IF(AND($R136&lt;&gt;"",EDATE($D136,Milestones!$AA$138)&gt;=$R136),$U136,$T136)))=Milestones!$AB$138),TEXT(EDATE($D136,Milestones!$AA$138),"dd/mm/yy")&amp;" "&amp;Milestones!$AB$138&amp;" "&amp;Milestones!$AC$138&amp;";  ","")&amp;IF(AND(EDATE($D136,Milestones!$AA$139)&lt;=AsOfDate,IF($Q136=0,$W136,IF(AND($S136&lt;&gt;"",EDATE($D136,Milestones!$AA$139)&gt;=$S136),$V136,IF(AND($R136&lt;&gt;"",EDATE($D136,Milestones!$AA$139)&gt;=$R136),$U136,$T136)))=Milestones!$AB$139),TEXT(EDATE($D136,Milestones!$AA$139),"dd/mm/yy")&amp;" "&amp;Milestones!$AB$139&amp;" "&amp;Milestones!$AC$139&amp;";  ",""))</f>
        <v/>
      </c>
      <c r="N136" s="0" t="str">
        <f aca="false">IF(OR($A136="",$D136=""),"",IF(AND(EDATE($D136,Milestones!$AA$140)&lt;=AsOfDate,IF($Q136=0,$W136,IF(AND($S136&lt;&gt;"",EDATE($D136,Milestones!$AA$140)&gt;=$S136),$V136,IF(AND($R136&lt;&gt;"",EDATE($D136,Milestones!$AA$140)&gt;=$R136),$U136,$T136)))=Milestones!$AB$140),TEXT(EDATE($D136,Milestones!$AA$140),"dd/mm/yy")&amp;" "&amp;Milestones!$AB$140&amp;" "&amp;Milestones!$AC$140&amp;";  ","")&amp;IF(AND(EDATE($D136,Milestones!$AA$141)&lt;=AsOfDate,IF($Q136=0,$W136,IF(AND($S136&lt;&gt;"",EDATE($D136,Milestones!$AA$141)&gt;=$S136),$V136,IF(AND($R136&lt;&gt;"",EDATE($D136,Milestones!$AA$141)&gt;=$R136),$U136,$T136)))=Milestones!$AB$141),TEXT(EDATE($D136,Milestones!$AA$141),"dd/mm/yy")&amp;" "&amp;Milestones!$AB$141&amp;" "&amp;Milestones!$AC$141&amp;";  ","")&amp;IF(AND(EDATE($D136,Milestones!$AA$142)&lt;=AsOfDate,IF($Q136=0,$W136,IF(AND($S136&lt;&gt;"",EDATE($D136,Milestones!$AA$142)&gt;=$S136),$V136,IF(AND($R136&lt;&gt;"",EDATE($D136,Milestones!$AA$142)&gt;=$R136),$U136,$T136)))=Milestones!$AB$142),TEXT(EDATE($D136,Milestones!$AA$142),"dd/mm/yy")&amp;" "&amp;Milestones!$AB$142&amp;" "&amp;Milestones!$AC$142&amp;";  ","")&amp;IF(AND(EDATE($D136,Milestones!$AA$143)&lt;=AsOfDate,IF($Q136=0,$W136,IF(AND($S136&lt;&gt;"",EDATE($D136,Milestones!$AA$143)&gt;=$S136),$V136,IF(AND($R136&lt;&gt;"",EDATE($D136,Milestones!$AA$143)&gt;=$R136),$U136,$T136)))=Milestones!$AB$143),TEXT(EDATE($D136,Milestones!$AA$143),"dd/mm/yy")&amp;" "&amp;Milestones!$AB$143&amp;" "&amp;Milestones!$AC$143&amp;";  ","")&amp;IF(AND(EDATE($D136,Milestones!$AA$144)&lt;=AsOfDate,IF($Q136=0,$W136,IF(AND($S136&lt;&gt;"",EDATE($D136,Milestones!$AA$144)&gt;=$S136),$V136,IF(AND($R136&lt;&gt;"",EDATE($D136,Milestones!$AA$144)&gt;=$R136),$U136,$T136)))=Milestones!$AB$144),TEXT(EDATE($D136,Milestones!$AA$144),"dd/mm/yy")&amp;" "&amp;Milestones!$AB$144&amp;" "&amp;Milestones!$AC$144&amp;";  ","")&amp;IF(AND(EDATE($D136,Milestones!$AA$145)&lt;=AsOfDate,IF($Q136=0,$W136,IF(AND($S136&lt;&gt;"",EDATE($D136,Milestones!$AA$145)&gt;=$S136),$V136,IF(AND($R136&lt;&gt;"",EDATE($D136,Milestones!$AA$145)&gt;=$R136),$U136,$T136)))=Milestones!$AB$145),TEXT(EDATE($D136,Milestones!$AA$145),"dd/mm/yy")&amp;" "&amp;Milestones!$AB$145&amp;" "&amp;Milestones!$AC$145&amp;";  ","")&amp;IF(AND(EDATE($D136,Milestones!$AA$146)&lt;=AsOfDate,IF($Q136=0,$W136,IF(AND($S136&lt;&gt;"",EDATE($D136,Milestones!$AA$146)&gt;=$S136),$V136,IF(AND($R136&lt;&gt;"",EDATE($D136,Milestones!$AA$146)&gt;=$R136),$U136,$T136)))=Milestones!$AB$146),TEXT(EDATE($D136,Milestones!$AA$146),"dd/mm/yy")&amp;" "&amp;Milestones!$AB$146&amp;" "&amp;Milestones!$AC$146&amp;";  ","")&amp;IF(AND(EDATE($D136,Milestones!$AA$147)&lt;=AsOfDate,IF($Q136=0,$W136,IF(AND($S136&lt;&gt;"",EDATE($D136,Milestones!$AA$147)&gt;=$S136),$V136,IF(AND($R136&lt;&gt;"",EDATE($D136,Milestones!$AA$147)&gt;=$R136),$U136,$T136)))=Milestones!$AB$147),TEXT(EDATE($D136,Milestones!$AA$147),"dd/mm/yy")&amp;" "&amp;Milestones!$AB$147&amp;" "&amp;Milestones!$AC$147&amp;";  ","")&amp;IF(AND(EDATE($D136,Milestones!$AA$148)&lt;=AsOfDate,IF($Q136=0,$W136,IF(AND($S136&lt;&gt;"",EDATE($D136,Milestones!$AA$148)&gt;=$S136),$V136,IF(AND($R136&lt;&gt;"",EDATE($D136,Milestones!$AA$148)&gt;=$R136),$U136,$T136)))=Milestones!$AB$148),TEXT(EDATE($D136,Milestones!$AA$148),"dd/mm/yy")&amp;" "&amp;Milestones!$AB$148&amp;" "&amp;Milestones!$AC$148&amp;";  ","")&amp;IF(AND(EDATE($D136,Milestones!$AA$149)&lt;=AsOfDate,IF($Q136=0,$W136,IF(AND($S136&lt;&gt;"",EDATE($D136,Milestones!$AA$149)&gt;=$S136),$V136,IF(AND($R136&lt;&gt;"",EDATE($D136,Milestones!$AA$149)&gt;=$R136),$U136,$T136)))=Milestones!$AB$149),TEXT(EDATE($D136,Milestones!$AA$149),"dd/mm/yy")&amp;" "&amp;Milestones!$AB$149&amp;" "&amp;Milestones!$AC$149&amp;";  ","")&amp;IF(AND(EDATE($D136,Milestones!$AA$150)&lt;=AsOfDate,IF($Q136=0,$W136,IF(AND($S136&lt;&gt;"",EDATE($D136,Milestones!$AA$150)&gt;=$S136),$V136,IF(AND($R136&lt;&gt;"",EDATE($D136,Milestones!$AA$150)&gt;=$R136),$U136,$T136)))=Milestones!$AB$150),TEXT(EDATE($D136,Milestones!$AA$150),"dd/mm/yy")&amp;" "&amp;Milestones!$AB$150&amp;" "&amp;Milestones!$AC$150&amp;";  ","")&amp;IF(AND(EDATE($D136,Milestones!$AA$151)&lt;=AsOfDate,IF($Q136=0,$W136,IF(AND($S136&lt;&gt;"",EDATE($D136,Milestones!$AA$151)&gt;=$S136),$V136,IF(AND($R136&lt;&gt;"",EDATE($D136,Milestones!$AA$151)&gt;=$R136),$U136,$T136)))=Milestones!$AB$151),TEXT(EDATE($D136,Milestones!$AA$151),"dd/mm/yy")&amp;" "&amp;Milestones!$AB$151&amp;" "&amp;Milestones!$AC$151&amp;";  ","")&amp;IF(AND(EDATE($D136,Milestones!$AA$152)&lt;=AsOfDate,IF($Q136=0,$W136,IF(AND($S136&lt;&gt;"",EDATE($D136,Milestones!$AA$152)&gt;=$S136),$V136,IF(AND($R136&lt;&gt;"",EDATE($D136,Milestones!$AA$152)&gt;=$R136),$U136,$T136)))=Milestones!$AB$152),TEXT(EDATE($D136,Milestones!$AA$152),"dd/mm/yy")&amp;" "&amp;Milestones!$AB$152&amp;" "&amp;Milestones!$AC$152&amp;";  ","")&amp;IF(AND(EDATE($D136,Milestones!$AA$153)&lt;=AsOfDate,IF($Q136=0,$W136,IF(AND($S136&lt;&gt;"",EDATE($D136,Milestones!$AA$153)&gt;=$S136),$V136,IF(AND($R136&lt;&gt;"",EDATE($D136,Milestones!$AA$153)&gt;=$R136),$U136,$T136)))=Milestones!$AB$153),TEXT(EDATE($D136,Milestones!$AA$153),"dd/mm/yy")&amp;" "&amp;Milestones!$AB$153&amp;" "&amp;Milestones!$AC$153&amp;";  ","")&amp;IF(AND(EDATE($D136,Milestones!$AA$154)&lt;=AsOfDate,IF($Q136=0,$W136,IF(AND($S136&lt;&gt;"",EDATE($D136,Milestones!$AA$154)&gt;=$S136),$V136,IF(AND($R136&lt;&gt;"",EDATE($D136,Milestones!$AA$154)&gt;=$R136),$U136,$T136)))=Milestones!$AB$154),TEXT(EDATE($D136,Milestones!$AA$154),"dd/mm/yy")&amp;" "&amp;Milestones!$AB$154&amp;" "&amp;Milestones!$AC$154&amp;";  ","")&amp;IF(AND(EDATE($D136,Milestones!$AA$155)&lt;=AsOfDate,IF($Q136=0,$W136,IF(AND($S136&lt;&gt;"",EDATE($D136,Milestones!$AA$155)&gt;=$S136),$V136,IF(AND($R136&lt;&gt;"",EDATE($D136,Milestones!$AA$155)&gt;=$R136),$U136,$T136)))=Milestones!$AB$155),TEXT(EDATE($D136,Milestones!$AA$155),"dd/mm/yy")&amp;" "&amp;Milestones!$AB$155&amp;" "&amp;Milestones!$AC$155&amp;";  ","")&amp;IF(AND(EDATE($D136,Milestones!$AA$156)&lt;=AsOfDate,IF($Q136=0,$W136,IF(AND($S136&lt;&gt;"",EDATE($D136,Milestones!$AA$156)&gt;=$S136),$V136,IF(AND($R136&lt;&gt;"",EDATE($D136,Milestones!$AA$156)&gt;=$R136),$U136,$T136)))=Milestones!$AB$156),TEXT(EDATE($D136,Milestones!$AA$156),"dd/mm/yy")&amp;" "&amp;Milestones!$AB$156&amp;" "&amp;Milestones!$AC$156&amp;";  ","")&amp;IF(AND(EDATE($D136,Milestones!$AA$157)&lt;=AsOfDate,IF($Q136=0,$W136,IF(AND($S136&lt;&gt;"",EDATE($D136,Milestones!$AA$157)&gt;=$S136),$V136,IF(AND($R136&lt;&gt;"",EDATE($D136,Milestones!$AA$157)&gt;=$R136),$U136,$T136)))=Milestones!$AB$157),TEXT(EDATE($D136,Milestones!$AA$157),"dd/mm/yy")&amp;" "&amp;Milestones!$AB$157&amp;" "&amp;Milestones!$AC$157&amp;";  ","")&amp;IF(AND(EDATE($D136,Milestones!$AA$158)&lt;=AsOfDate,IF($Q136=0,$W136,IF(AND($S136&lt;&gt;"",EDATE($D136,Milestones!$AA$158)&gt;=$S136),$V136,IF(AND($R136&lt;&gt;"",EDATE($D136,Milestones!$AA$158)&gt;=$R136),$U136,$T136)))=Milestones!$AB$158),TEXT(EDATE($D136,Milestones!$AA$158),"dd/mm/yy")&amp;" "&amp;Milestones!$AB$158&amp;" "&amp;Milestones!$AC$158&amp;";  ","")&amp;IF(AND(EDATE($D136,Milestones!$AA$159)&lt;=AsOfDate,IF($Q136=0,$W136,IF(AND($S136&lt;&gt;"",EDATE($D136,Milestones!$AA$159)&gt;=$S136),$V136,IF(AND($R136&lt;&gt;"",EDATE($D136,Milestones!$AA$159)&gt;=$R136),$U136,$T136)))=Milestones!$AB$159),TEXT(EDATE($D136,Milestones!$AA$159),"dd/mm/yy")&amp;" "&amp;Milestones!$AB$159&amp;" "&amp;Milestones!$AC$159&amp;";  ",""))</f>
        <v/>
      </c>
      <c r="O136" s="0" t="str">
        <f aca="false">IF(OR($A136="",$D136=""),"",IF(AND(EDATE($D136,Milestones!$AA$160)&lt;=AsOfDate,IF($Q136=0,$W136,IF(AND($S136&lt;&gt;"",EDATE($D136,Milestones!$AA$160)&gt;=$S136),$V136,IF(AND($R136&lt;&gt;"",EDATE($D136,Milestones!$AA$160)&gt;=$R136),$U136,$T136)))=Milestones!$AB$160),TEXT(EDATE($D136,Milestones!$AA$160),"dd/mm/yy")&amp;" "&amp;Milestones!$AB$160&amp;" "&amp;Milestones!$AC$160&amp;";  ","")&amp;IF(AND(EDATE($D136,Milestones!$AA$161)&lt;=AsOfDate,IF($Q136=0,$W136,IF(AND($S136&lt;&gt;"",EDATE($D136,Milestones!$AA$161)&gt;=$S136),$V136,IF(AND($R136&lt;&gt;"",EDATE($D136,Milestones!$AA$161)&gt;=$R136),$U136,$T136)))=Milestones!$AB$161),TEXT(EDATE($D136,Milestones!$AA$161),"dd/mm/yy")&amp;" "&amp;Milestones!$AB$161&amp;" "&amp;Milestones!$AC$161&amp;";  ","")&amp;IF(AND(EDATE($D136,Milestones!$AA$162)&lt;=AsOfDate,IF($Q136=0,$W136,IF(AND($S136&lt;&gt;"",EDATE($D136,Milestones!$AA$162)&gt;=$S136),$V136,IF(AND($R136&lt;&gt;"",EDATE($D136,Milestones!$AA$162)&gt;=$R136),$U136,$T136)))=Milestones!$AB$162),TEXT(EDATE($D136,Milestones!$AA$162),"dd/mm/yy")&amp;" "&amp;Milestones!$AB$162&amp;" "&amp;Milestones!$AC$162&amp;";  ","")&amp;IF(AND(EDATE($D136,Milestones!$AA$163)&lt;=AsOfDate,IF($Q136=0,$W136,IF(AND($S136&lt;&gt;"",EDATE($D136,Milestones!$AA$163)&gt;=$S136),$V136,IF(AND($R136&lt;&gt;"",EDATE($D136,Milestones!$AA$163)&gt;=$R136),$U136,$T136)))=Milestones!$AB$163),TEXT(EDATE($D136,Milestones!$AA$163),"dd/mm/yy")&amp;" "&amp;Milestones!$AB$163&amp;" "&amp;Milestones!$AC$163&amp;";  ","")&amp;IF(AND(EDATE($D136,Milestones!$AA$164)&lt;=AsOfDate,IF($Q136=0,$W136,IF(AND($S136&lt;&gt;"",EDATE($D136,Milestones!$AA$164)&gt;=$S136),$V136,IF(AND($R136&lt;&gt;"",EDATE($D136,Milestones!$AA$164)&gt;=$R136),$U136,$T136)))=Milestones!$AB$164),TEXT(EDATE($D136,Milestones!$AA$164),"dd/mm/yy")&amp;" "&amp;Milestones!$AB$164&amp;" "&amp;Milestones!$AC$164&amp;";  ","")&amp;IF(AND(EDATE($D136,Milestones!$AA$165)&lt;=AsOfDate,IF($Q136=0,$W136,IF(AND($S136&lt;&gt;"",EDATE($D136,Milestones!$AA$165)&gt;=$S136),$V136,IF(AND($R136&lt;&gt;"",EDATE($D136,Milestones!$AA$165)&gt;=$R136),$U136,$T136)))=Milestones!$AB$165),TEXT(EDATE($D136,Milestones!$AA$165),"dd/mm/yy")&amp;" "&amp;Milestones!$AB$165&amp;" "&amp;Milestones!$AC$165&amp;";  ","")&amp;IF(AND(EDATE($D136,Milestones!$AA$166)&lt;=AsOfDate,IF($Q136=0,$W136,IF(AND($S136&lt;&gt;"",EDATE($D136,Milestones!$AA$166)&gt;=$S136),$V136,IF(AND($R136&lt;&gt;"",EDATE($D136,Milestones!$AA$166)&gt;=$R136),$U136,$T136)))=Milestones!$AB$166),TEXT(EDATE($D136,Milestones!$AA$166),"dd/mm/yy")&amp;" "&amp;Milestones!$AB$166&amp;" "&amp;Milestones!$AC$166&amp;";  ","")&amp;IF(AND(EDATE($D136,Milestones!$AA$167)&lt;=AsOfDate,IF($Q136=0,$W136,IF(AND($S136&lt;&gt;"",EDATE($D136,Milestones!$AA$167)&gt;=$S136),$V136,IF(AND($R136&lt;&gt;"",EDATE($D136,Milestones!$AA$167)&gt;=$R136),$U136,$T136)))=Milestones!$AB$167),TEXT(EDATE($D136,Milestones!$AA$167),"dd/mm/yy")&amp;" "&amp;Milestones!$AB$167&amp;" "&amp;Milestones!$AC$167&amp;";  ","")&amp;IF(AND(EDATE($D136,Milestones!$AA$168)&lt;=AsOfDate,IF($Q136=0,$W136,IF(AND($S136&lt;&gt;"",EDATE($D136,Milestones!$AA$168)&gt;=$S136),$V136,IF(AND($R136&lt;&gt;"",EDATE($D136,Milestones!$AA$168)&gt;=$R136),$U136,$T136)))=Milestones!$AB$168),TEXT(EDATE($D136,Milestones!$AA$168),"dd/mm/yy")&amp;" "&amp;Milestones!$AB$168&amp;" "&amp;Milestones!$AC$168&amp;";  ","")&amp;IF(AND(EDATE($D136,Milestones!$AA$169)&lt;=AsOfDate,IF($Q136=0,$W136,IF(AND($S136&lt;&gt;"",EDATE($D136,Milestones!$AA$169)&gt;=$S136),$V136,IF(AND($R136&lt;&gt;"",EDATE($D136,Milestones!$AA$169)&gt;=$R136),$U136,$T136)))=Milestones!$AB$169),TEXT(EDATE($D136,Milestones!$AA$169),"dd/mm/yy")&amp;" "&amp;Milestones!$AB$169&amp;" "&amp;Milestones!$AC$169&amp;";  ","")&amp;IF(AND(EDATE($D136,Milestones!$AA$170)&lt;=AsOfDate,IF($Q136=0,$W136,IF(AND($S136&lt;&gt;"",EDATE($D136,Milestones!$AA$170)&gt;=$S136),$V136,IF(AND($R136&lt;&gt;"",EDATE($D136,Milestones!$AA$170)&gt;=$R136),$U136,$T136)))=Milestones!$AB$170),TEXT(EDATE($D136,Milestones!$AA$170),"dd/mm/yy")&amp;" "&amp;Milestones!$AB$170&amp;" "&amp;Milestones!$AC$170&amp;";  ","")&amp;IF(AND(EDATE($D136,Milestones!$AA$171)&lt;=AsOfDate,IF($Q136=0,$W136,IF(AND($S136&lt;&gt;"",EDATE($D136,Milestones!$AA$171)&gt;=$S136),$V136,IF(AND($R136&lt;&gt;"",EDATE($D136,Milestones!$AA$171)&gt;=$R136),$U136,$T136)))=Milestones!$AB$171),TEXT(EDATE($D136,Milestones!$AA$171),"dd/mm/yy")&amp;" "&amp;Milestones!$AB$171&amp;" "&amp;Milestones!$AC$171&amp;";  ","")&amp;IF(AND(EDATE($D136,Milestones!$AA$172)&lt;=AsOfDate,IF($Q136=0,$W136,IF(AND($S136&lt;&gt;"",EDATE($D136,Milestones!$AA$172)&gt;=$S136),$V136,IF(AND($R136&lt;&gt;"",EDATE($D136,Milestones!$AA$172)&gt;=$R136),$U136,$T136)))=Milestones!$AB$172),TEXT(EDATE($D136,Milestones!$AA$172),"dd/mm/yy")&amp;" "&amp;Milestones!$AB$172&amp;" "&amp;Milestones!$AC$172&amp;";  ","")&amp;IF(AND(EDATE($D136,Milestones!$AA$173)&lt;=AsOfDate,IF($Q136=0,$W136,IF(AND($S136&lt;&gt;"",EDATE($D136,Milestones!$AA$173)&gt;=$S136),$V136,IF(AND($R136&lt;&gt;"",EDATE($D136,Milestones!$AA$173)&gt;=$R136),$U136,$T136)))=Milestones!$AB$173),TEXT(EDATE($D136,Milestones!$AA$173),"dd/mm/yy")&amp;" "&amp;Milestones!$AB$173&amp;" "&amp;Milestones!$AC$173&amp;";  ","")&amp;IF(AND(EDATE($D136,Milestones!$AA$174)&lt;=AsOfDate,IF($Q136=0,$W136,IF(AND($S136&lt;&gt;"",EDATE($D136,Milestones!$AA$174)&gt;=$S136),$V136,IF(AND($R136&lt;&gt;"",EDATE($D136,Milestones!$AA$174)&gt;=$R136),$U136,$T136)))=Milestones!$AB$174),TEXT(EDATE($D136,Milestones!$AA$174),"dd/mm/yy")&amp;" "&amp;Milestones!$AB$174&amp;" "&amp;Milestones!$AC$174&amp;";  ","")&amp;IF(AND(EDATE($D136,Milestones!$AA$175)&lt;=AsOfDate,IF($Q136=0,$W136,IF(AND($S136&lt;&gt;"",EDATE($D136,Milestones!$AA$175)&gt;=$S136),$V136,IF(AND($R136&lt;&gt;"",EDATE($D136,Milestones!$AA$175)&gt;=$R136),$U136,$T136)))=Milestones!$AB$175),TEXT(EDATE($D136,Milestones!$AA$175),"dd/mm/yy")&amp;" "&amp;Milestones!$AB$175&amp;" "&amp;Milestones!$AC$175&amp;";  ","")&amp;IF(AND(EDATE($D136,Milestones!$AA$176)&lt;=AsOfDate,IF($Q136=0,$W136,IF(AND($S136&lt;&gt;"",EDATE($D136,Milestones!$AA$176)&gt;=$S136),$V136,IF(AND($R136&lt;&gt;"",EDATE($D136,Milestones!$AA$176)&gt;=$R136),$U136,$T136)))=Milestones!$AB$176),TEXT(EDATE($D136,Milestones!$AA$176),"dd/mm/yy")&amp;" "&amp;Milestones!$AB$176&amp;" "&amp;Milestones!$AC$176&amp;";  ","")&amp;IF(AND(EDATE($D136,Milestones!$AA$177)&lt;=AsOfDate,IF($Q136=0,$W136,IF(AND($S136&lt;&gt;"",EDATE($D136,Milestones!$AA$177)&gt;=$S136),$V136,IF(AND($R136&lt;&gt;"",EDATE($D136,Milestones!$AA$177)&gt;=$R136),$U136,$T136)))=Milestones!$AB$177),TEXT(EDATE($D136,Milestones!$AA$177),"dd/mm/yy")&amp;" "&amp;Milestones!$AB$177&amp;" "&amp;Milestones!$AC$177&amp;";  ","")&amp;IF(AND(EDATE($D136,Milestones!$AA$178)&lt;=AsOfDate,IF($Q136=0,$W136,IF(AND($S136&lt;&gt;"",EDATE($D136,Milestones!$AA$178)&gt;=$S136),$V136,IF(AND($R136&lt;&gt;"",EDATE($D136,Milestones!$AA$178)&gt;=$R136),$U136,$T136)))=Milestones!$AB$178),TEXT(EDATE($D136,Milestones!$AA$178),"dd/mm/yy")&amp;" "&amp;Milestones!$AB$178&amp;" "&amp;Milestones!$AC$178&amp;";  ","")&amp;IF(AND(EDATE($D136,Milestones!$AA$179)&lt;=AsOfDate,IF($Q136=0,$W136,IF(AND($S136&lt;&gt;"",EDATE($D136,Milestones!$AA$179)&gt;=$S136),$V136,IF(AND($R136&lt;&gt;"",EDATE($D136,Milestones!$AA$179)&gt;=$R136),$U136,$T136)))=Milestones!$AB$179),TEXT(EDATE($D136,Milestones!$AA$179),"dd/mm/yy")&amp;" "&amp;Milestones!$AB$179&amp;" "&amp;Milestones!$AC$179&amp;";  ",""))</f>
        <v/>
      </c>
      <c r="P136" s="0" t="str">
        <f aca="false">IF(OR($A136="",$D136=""),"",IF(AND(EDATE($D136,Milestones!$AA$180)&lt;=AsOfDate,IF($Q136=0,$W136,IF(AND($S136&lt;&gt;"",EDATE($D136,Milestones!$AA$180)&gt;=$S136),$V136,IF(AND($R136&lt;&gt;"",EDATE($D136,Milestones!$AA$180)&gt;=$R136),$U136,$T136)))=Milestones!$AB$180),TEXT(EDATE($D136,Milestones!$AA$180),"dd/mm/yy")&amp;" "&amp;Milestones!$AB$180&amp;" "&amp;Milestones!$AC$180&amp;";  ","")&amp;IF(AND(EDATE($D136,Milestones!$AA$181)&lt;=AsOfDate,IF($Q136=0,$W136,IF(AND($S136&lt;&gt;"",EDATE($D136,Milestones!$AA$181)&gt;=$S136),$V136,IF(AND($R136&lt;&gt;"",EDATE($D136,Milestones!$AA$181)&gt;=$R136),$U136,$T136)))=Milestones!$AB$181),TEXT(EDATE($D136,Milestones!$AA$181),"dd/mm/yy")&amp;" "&amp;Milestones!$AB$181&amp;" "&amp;Milestones!$AC$181&amp;";  ","")&amp;IF(AND(EDATE($D136,Milestones!$AA$182)&lt;=AsOfDate,IF($Q136=0,$W136,IF(AND($S136&lt;&gt;"",EDATE($D136,Milestones!$AA$182)&gt;=$S136),$V136,IF(AND($R136&lt;&gt;"",EDATE($D136,Milestones!$AA$182)&gt;=$R136),$U136,$T136)))=Milestones!$AB$182),TEXT(EDATE($D136,Milestones!$AA$182),"dd/mm/yy")&amp;" "&amp;Milestones!$AB$182&amp;" "&amp;Milestones!$AC$182&amp;";  ","")&amp;IF(AND(EDATE($D136,Milestones!$AA$183)&lt;=AsOfDate,IF($Q136=0,$W136,IF(AND($S136&lt;&gt;"",EDATE($D136,Milestones!$AA$183)&gt;=$S136),$V136,IF(AND($R136&lt;&gt;"",EDATE($D136,Milestones!$AA$183)&gt;=$R136),$U136,$T136)))=Milestones!$AB$183),TEXT(EDATE($D136,Milestones!$AA$183),"dd/mm/yy")&amp;" "&amp;Milestones!$AB$183&amp;" "&amp;Milestones!$AC$183&amp;";  ","")&amp;IF(AND(EDATE($D136,Milestones!$AA$184)&lt;=AsOfDate,IF($Q136=0,$W136,IF(AND($S136&lt;&gt;"",EDATE($D136,Milestones!$AA$184)&gt;=$S136),$V136,IF(AND($R136&lt;&gt;"",EDATE($D136,Milestones!$AA$184)&gt;=$R136),$U136,$T136)))=Milestones!$AB$184),TEXT(EDATE($D136,Milestones!$AA$184),"dd/mm/yy")&amp;" "&amp;Milestones!$AB$184&amp;" "&amp;Milestones!$AC$184&amp;";  ","")&amp;IF(AND(EDATE($D136,Milestones!$AA$185)&lt;=AsOfDate,IF($Q136=0,$W136,IF(AND($S136&lt;&gt;"",EDATE($D136,Milestones!$AA$185)&gt;=$S136),$V136,IF(AND($R136&lt;&gt;"",EDATE($D136,Milestones!$AA$185)&gt;=$R136),$U136,$T136)))=Milestones!$AB$185),TEXT(EDATE($D136,Milestones!$AA$185),"dd/mm/yy")&amp;" "&amp;Milestones!$AB$185&amp;" "&amp;Milestones!$AC$185&amp;";  ","")&amp;IF(AND(EDATE($D136,Milestones!$AA$186)&lt;=AsOfDate,IF($Q136=0,$W136,IF(AND($S136&lt;&gt;"",EDATE($D136,Milestones!$AA$186)&gt;=$S136),$V136,IF(AND($R136&lt;&gt;"",EDATE($D136,Milestones!$AA$186)&gt;=$R136),$U136,$T136)))=Milestones!$AB$186),TEXT(EDATE($D136,Milestones!$AA$186),"dd/mm/yy")&amp;" "&amp;Milestones!$AB$186&amp;" "&amp;Milestones!$AC$186&amp;";  ","")&amp;IF(AND(EDATE($D136,Milestones!$AA$187)&lt;=AsOfDate,IF($Q136=0,$W136,IF(AND($S136&lt;&gt;"",EDATE($D136,Milestones!$AA$187)&gt;=$S136),$V136,IF(AND($R136&lt;&gt;"",EDATE($D136,Milestones!$AA$187)&gt;=$R136),$U136,$T136)))=Milestones!$AB$187),TEXT(EDATE($D136,Milestones!$AA$187),"dd/mm/yy")&amp;" "&amp;Milestones!$AB$187&amp;" "&amp;Milestones!$AC$187&amp;";  ","")&amp;IF(AND(EDATE($D136,Milestones!$AA$188)&lt;=AsOfDate,IF($Q136=0,$W136,IF(AND($S136&lt;&gt;"",EDATE($D136,Milestones!$AA$188)&gt;=$S136),$V136,IF(AND($R136&lt;&gt;"",EDATE($D136,Milestones!$AA$188)&gt;=$R136),$U136,$T136)))=Milestones!$AB$188),TEXT(EDATE($D136,Milestones!$AA$188),"dd/mm/yy")&amp;" "&amp;Milestones!$AB$188&amp;" "&amp;Milestones!$AC$188&amp;";  ","")&amp;IF(AND(EDATE($D136,Milestones!$AA$189)&lt;=AsOfDate,IF($Q136=0,$W136,IF(AND($S136&lt;&gt;"",EDATE($D136,Milestones!$AA$189)&gt;=$S136),$V136,IF(AND($R136&lt;&gt;"",EDATE($D136,Milestones!$AA$189)&gt;=$R136),$U136,$T136)))=Milestones!$AB$189),TEXT(EDATE($D136,Milestones!$AA$189),"dd/mm/yy")&amp;" "&amp;Milestones!$AB$189&amp;" "&amp;Milestones!$AC$189&amp;";  ","")&amp;IF(AND(EDATE($D136,Milestones!$AA$190)&lt;=AsOfDate,IF($Q136=0,$W136,IF(AND($S136&lt;&gt;"",EDATE($D136,Milestones!$AA$190)&gt;=$S136),$V136,IF(AND($R136&lt;&gt;"",EDATE($D136,Milestones!$AA$190)&gt;=$R136),$U136,$T136)))=Milestones!$AB$190),TEXT(EDATE($D136,Milestones!$AA$190),"dd/mm/yy")&amp;" "&amp;Milestones!$AB$190&amp;" "&amp;Milestones!$AC$190&amp;";  ","")&amp;IF(AND(EDATE($D136,Milestones!$AA$191)&lt;=AsOfDate,IF($Q136=0,$W136,IF(AND($S136&lt;&gt;"",EDATE($D136,Milestones!$AA$191)&gt;=$S136),$V136,IF(AND($R136&lt;&gt;"",EDATE($D136,Milestones!$AA$191)&gt;=$R136),$U136,$T136)))=Milestones!$AB$191),TEXT(EDATE($D136,Milestones!$AA$191),"dd/mm/yy")&amp;" "&amp;Milestones!$AB$191&amp;" "&amp;Milestones!$AC$191&amp;";  ","")&amp;IF(AND(EDATE($D136,Milestones!$AA$192)&lt;=AsOfDate,IF($Q136=0,$W136,IF(AND($S136&lt;&gt;"",EDATE($D136,Milestones!$AA$192)&gt;=$S136),$V136,IF(AND($R136&lt;&gt;"",EDATE($D136,Milestones!$AA$192)&gt;=$R136),$U136,$T136)))=Milestones!$AB$192),TEXT(EDATE($D136,Milestones!$AA$192),"dd/mm/yy")&amp;" "&amp;Milestones!$AB$192&amp;" "&amp;Milestones!$AC$192&amp;";  ","")&amp;IF(AND(EDATE($D136,Milestones!$AA$193)&lt;=AsOfDate,IF($Q136=0,$W136,IF(AND($S136&lt;&gt;"",EDATE($D136,Milestones!$AA$193)&gt;=$S136),$V136,IF(AND($R136&lt;&gt;"",EDATE($D136,Milestones!$AA$193)&gt;=$R136),$U136,$T136)))=Milestones!$AB$193),TEXT(EDATE($D136,Milestones!$AA$193),"dd/mm/yy")&amp;" "&amp;Milestones!$AB$193&amp;" "&amp;Milestones!$AC$193&amp;";  ","")&amp;IF(AND(EDATE($D136,Milestones!$AA$194)&lt;=AsOfDate,IF($Q136=0,$W136,IF(AND($S136&lt;&gt;"",EDATE($D136,Milestones!$AA$194)&gt;=$S136),$V136,IF(AND($R136&lt;&gt;"",EDATE($D136,Milestones!$AA$194)&gt;=$R136),$U136,$T136)))=Milestones!$AB$194),TEXT(EDATE($D136,Milestones!$AA$194),"dd/mm/yy")&amp;" "&amp;Milestones!$AB$194&amp;" "&amp;Milestones!$AC$194&amp;";  ","")&amp;IF(AND(EDATE($D136,Milestones!$AA$195)&lt;=AsOfDate,IF($Q136=0,$W136,IF(AND($S136&lt;&gt;"",EDATE($D136,Milestones!$AA$195)&gt;=$S136),$V136,IF(AND($R136&lt;&gt;"",EDATE($D136,Milestones!$AA$195)&gt;=$R136),$U136,$T136)))=Milestones!$AB$195),TEXT(EDATE($D136,Milestones!$AA$195),"dd/mm/yy")&amp;" "&amp;Milestones!$AB$195&amp;" "&amp;Milestones!$AC$195&amp;";  ","")&amp;IF(AND(EDATE($D136,Milestones!$AA$196)&lt;=AsOfDate,IF($Q136=0,$W136,IF(AND($S136&lt;&gt;"",EDATE($D136,Milestones!$AA$196)&gt;=$S136),$V136,IF(AND($R136&lt;&gt;"",EDATE($D136,Milestones!$AA$196)&gt;=$R136),$U136,$T136)))=Milestones!$AB$196),TEXT(EDATE($D136,Milestones!$AA$196),"dd/mm/yy")&amp;" "&amp;Milestones!$AB$196&amp;" "&amp;Milestones!$AC$196&amp;";  ","")&amp;IF(AND(EDATE($D136,Milestones!$AA$197)&lt;=AsOfDate,IF($Q136=0,$W136,IF(AND($S136&lt;&gt;"",EDATE($D136,Milestones!$AA$197)&gt;=$S136),$V136,IF(AND($R136&lt;&gt;"",EDATE($D136,Milestones!$AA$197)&gt;=$R136),$U136,$T136)))=Milestones!$AB$197),TEXT(EDATE($D136,Milestones!$AA$197),"dd/mm/yy")&amp;" "&amp;Milestones!$AB$197&amp;" "&amp;Milestones!$AC$197&amp;";  ","")&amp;IF(AND(EDATE($D136,Milestones!$AA$198)&lt;=AsOfDate,IF($Q136=0,$W136,IF(AND($S136&lt;&gt;"",EDATE($D136,Milestones!$AA$198)&gt;=$S136),$V136,IF(AND($R136&lt;&gt;"",EDATE($D136,Milestones!$AA$198)&gt;=$R136),$U136,$T136)))=Milestones!$AB$198),TEXT(EDATE($D136,Milestones!$AA$198),"dd/mm/yy")&amp;" "&amp;Milestones!$AB$198&amp;" "&amp;Milestones!$AC$198&amp;";  ","")&amp;IF(AND(EDATE($D136,Milestones!$AA$199)&lt;=AsOfDate,IF($Q136=0,$W136,IF(AND($S136&lt;&gt;"",EDATE($D136,Milestones!$AA$199)&gt;=$S136),$V136,IF(AND($R136&lt;&gt;"",EDATE($D136,Milestones!$AA$199)&gt;=$R136),$U136,$T136)))=Milestones!$AB$199),TEXT(EDATE($D136,Milestones!$AA$199),"dd/mm/yy")&amp;" "&amp;Milestones!$AB$199&amp;" "&amp;Milestones!$AC$199&amp;";  ",""))</f>
        <v/>
      </c>
      <c r="Q136" s="0" t="str">
        <f aca="false">IF(Staff!$A136="","",Staff!$AG136)</f>
        <v/>
      </c>
      <c r="R136" s="0" t="str">
        <f aca="false">IF(Staff!$A136="","",Staff!$AI136)</f>
        <v/>
      </c>
      <c r="S136" s="0" t="str">
        <f aca="false">IF(Staff!$A136="","",Staff!$AJ136)</f>
        <v/>
      </c>
      <c r="T136" s="0" t="str">
        <f aca="false">IF(Staff!$A136="","",Staff!$AN136)</f>
        <v/>
      </c>
      <c r="U136" s="0" t="str">
        <f aca="false">IF(Staff!$A136="","",Staff!$AO136)</f>
        <v/>
      </c>
      <c r="V136" s="0" t="str">
        <f aca="false">IF(Staff!$A136="","",Staff!$AP136)</f>
        <v/>
      </c>
      <c r="W136" s="0" t="str">
        <f aca="false">IF(Staff!$A136="","",Staff!$AQ136)</f>
        <v/>
      </c>
    </row>
    <row r="137" customFormat="false" ht="15" hidden="false" customHeight="false" outlineLevel="0" collapsed="false">
      <c r="A137" s="13" t="str">
        <f aca="false">IF(Staff!$A137="","",Staff!$A137)</f>
        <v/>
      </c>
      <c r="B137" s="13" t="str">
        <f aca="false">IF(Staff!$A137="","",Staff!$B137)</f>
        <v/>
      </c>
      <c r="C137" s="13" t="str">
        <f aca="false">IF(Staff!$A137="","",Staff!$C137)</f>
        <v/>
      </c>
      <c r="D137" s="11" t="str">
        <f aca="false">IF(Staff!$A137="","",Staff!$AF137)</f>
        <v/>
      </c>
      <c r="E137" s="13" t="str">
        <f aca="false">IF(Staff!$A137="","",Staff!$O137)</f>
        <v/>
      </c>
      <c r="F137" s="13" t="str">
        <f aca="false">IF(E137="","",E137*HoursPerDay)</f>
        <v/>
      </c>
      <c r="G137" s="26" t="str">
        <f aca="false">IF($A137="","",H137&amp;I137&amp;J137&amp;K137&amp;L137&amp;M137&amp;N137&amp;O137&amp;P137)</f>
        <v/>
      </c>
      <c r="H137" s="0" t="str">
        <f aca="false">IF(OR($A137="",$D137=""),"",IF(AND(EDATE($D137,Milestones!$AA$20)&lt;=AsOfDate,IF($Q137=0,$W137,IF(AND($S137&lt;&gt;"",EDATE($D137,Milestones!$AA$20)&gt;=$S137),$V137,IF(AND($R137&lt;&gt;"",EDATE($D137,Milestones!$AA$20)&gt;=$R137),$U137,$T137)))=Milestones!$AB$20),TEXT(EDATE($D137,Milestones!$AA$20),"dd/mm/yy")&amp;" "&amp;Milestones!$AB$20&amp;" "&amp;Milestones!$AC$20&amp;";  ","")&amp;IF(AND(EDATE($D137,Milestones!$AA$21)&lt;=AsOfDate,IF($Q137=0,$W137,IF(AND($S137&lt;&gt;"",EDATE($D137,Milestones!$AA$21)&gt;=$S137),$V137,IF(AND($R137&lt;&gt;"",EDATE($D137,Milestones!$AA$21)&gt;=$R137),$U137,$T137)))=Milestones!$AB$21),TEXT(EDATE($D137,Milestones!$AA$21),"dd/mm/yy")&amp;" "&amp;Milestones!$AB$21&amp;" "&amp;Milestones!$AC$21&amp;";  ","")&amp;IF(AND(EDATE($D137,Milestones!$AA$22)&lt;=AsOfDate,IF($Q137=0,$W137,IF(AND($S137&lt;&gt;"",EDATE($D137,Milestones!$AA$22)&gt;=$S137),$V137,IF(AND($R137&lt;&gt;"",EDATE($D137,Milestones!$AA$22)&gt;=$R137),$U137,$T137)))=Milestones!$AB$22),TEXT(EDATE($D137,Milestones!$AA$22),"dd/mm/yy")&amp;" "&amp;Milestones!$AB$22&amp;" "&amp;Milestones!$AC$22&amp;";  ","")&amp;IF(AND(EDATE($D137,Milestones!$AA$23)&lt;=AsOfDate,IF($Q137=0,$W137,IF(AND($S137&lt;&gt;"",EDATE($D137,Milestones!$AA$23)&gt;=$S137),$V137,IF(AND($R137&lt;&gt;"",EDATE($D137,Milestones!$AA$23)&gt;=$R137),$U137,$T137)))=Milestones!$AB$23),TEXT(EDATE($D137,Milestones!$AA$23),"dd/mm/yy")&amp;" "&amp;Milestones!$AB$23&amp;" "&amp;Milestones!$AC$23&amp;";  ","")&amp;IF(AND(EDATE($D137,Milestones!$AA$24)&lt;=AsOfDate,IF($Q137=0,$W137,IF(AND($S137&lt;&gt;"",EDATE($D137,Milestones!$AA$24)&gt;=$S137),$V137,IF(AND($R137&lt;&gt;"",EDATE($D137,Milestones!$AA$24)&gt;=$R137),$U137,$T137)))=Milestones!$AB$24),TEXT(EDATE($D137,Milestones!$AA$24),"dd/mm/yy")&amp;" "&amp;Milestones!$AB$24&amp;" "&amp;Milestones!$AC$24&amp;";  ","")&amp;IF(AND(EDATE($D137,Milestones!$AA$25)&lt;=AsOfDate,IF($Q137=0,$W137,IF(AND($S137&lt;&gt;"",EDATE($D137,Milestones!$AA$25)&gt;=$S137),$V137,IF(AND($R137&lt;&gt;"",EDATE($D137,Milestones!$AA$25)&gt;=$R137),$U137,$T137)))=Milestones!$AB$25),TEXT(EDATE($D137,Milestones!$AA$25),"dd/mm/yy")&amp;" "&amp;Milestones!$AB$25&amp;" "&amp;Milestones!$AC$25&amp;";  ","")&amp;IF(AND(EDATE($D137,Milestones!$AA$26)&lt;=AsOfDate,IF($Q137=0,$W137,IF(AND($S137&lt;&gt;"",EDATE($D137,Milestones!$AA$26)&gt;=$S137),$V137,IF(AND($R137&lt;&gt;"",EDATE($D137,Milestones!$AA$26)&gt;=$R137),$U137,$T137)))=Milestones!$AB$26),TEXT(EDATE($D137,Milestones!$AA$26),"dd/mm/yy")&amp;" "&amp;Milestones!$AB$26&amp;" "&amp;Milestones!$AC$26&amp;";  ","")&amp;IF(AND(EDATE($D137,Milestones!$AA$27)&lt;=AsOfDate,IF($Q137=0,$W137,IF(AND($S137&lt;&gt;"",EDATE($D137,Milestones!$AA$27)&gt;=$S137),$V137,IF(AND($R137&lt;&gt;"",EDATE($D137,Milestones!$AA$27)&gt;=$R137),$U137,$T137)))=Milestones!$AB$27),TEXT(EDATE($D137,Milestones!$AA$27),"dd/mm/yy")&amp;" "&amp;Milestones!$AB$27&amp;" "&amp;Milestones!$AC$27&amp;";  ","")&amp;IF(AND(EDATE($D137,Milestones!$AA$28)&lt;=AsOfDate,IF($Q137=0,$W137,IF(AND($S137&lt;&gt;"",EDATE($D137,Milestones!$AA$28)&gt;=$S137),$V137,IF(AND($R137&lt;&gt;"",EDATE($D137,Milestones!$AA$28)&gt;=$R137),$U137,$T137)))=Milestones!$AB$28),TEXT(EDATE($D137,Milestones!$AA$28),"dd/mm/yy")&amp;" "&amp;Milestones!$AB$28&amp;" "&amp;Milestones!$AC$28&amp;";  ","")&amp;IF(AND(EDATE($D137,Milestones!$AA$29)&lt;=AsOfDate,IF($Q137=0,$W137,IF(AND($S137&lt;&gt;"",EDATE($D137,Milestones!$AA$29)&gt;=$S137),$V137,IF(AND($R137&lt;&gt;"",EDATE($D137,Milestones!$AA$29)&gt;=$R137),$U137,$T137)))=Milestones!$AB$29),TEXT(EDATE($D137,Milestones!$AA$29),"dd/mm/yy")&amp;" "&amp;Milestones!$AB$29&amp;" "&amp;Milestones!$AC$29&amp;";  ","")&amp;IF(AND(EDATE($D137,Milestones!$AA$30)&lt;=AsOfDate,IF($Q137=0,$W137,IF(AND($S137&lt;&gt;"",EDATE($D137,Milestones!$AA$30)&gt;=$S137),$V137,IF(AND($R137&lt;&gt;"",EDATE($D137,Milestones!$AA$30)&gt;=$R137),$U137,$T137)))=Milestones!$AB$30),TEXT(EDATE($D137,Milestones!$AA$30),"dd/mm/yy")&amp;" "&amp;Milestones!$AB$30&amp;" "&amp;Milestones!$AC$30&amp;";  ","")&amp;IF(AND(EDATE($D137,Milestones!$AA$31)&lt;=AsOfDate,IF($Q137=0,$W137,IF(AND($S137&lt;&gt;"",EDATE($D137,Milestones!$AA$31)&gt;=$S137),$V137,IF(AND($R137&lt;&gt;"",EDATE($D137,Milestones!$AA$31)&gt;=$R137),$U137,$T137)))=Milestones!$AB$31),TEXT(EDATE($D137,Milestones!$AA$31),"dd/mm/yy")&amp;" "&amp;Milestones!$AB$31&amp;" "&amp;Milestones!$AC$31&amp;";  ","")&amp;IF(AND(EDATE($D137,Milestones!$AA$32)&lt;=AsOfDate,IF($Q137=0,$W137,IF(AND($S137&lt;&gt;"",EDATE($D137,Milestones!$AA$32)&gt;=$S137),$V137,IF(AND($R137&lt;&gt;"",EDATE($D137,Milestones!$AA$32)&gt;=$R137),$U137,$T137)))=Milestones!$AB$32),TEXT(EDATE($D137,Milestones!$AA$32),"dd/mm/yy")&amp;" "&amp;Milestones!$AB$32&amp;" "&amp;Milestones!$AC$32&amp;";  ","")&amp;IF(AND(EDATE($D137,Milestones!$AA$33)&lt;=AsOfDate,IF($Q137=0,$W137,IF(AND($S137&lt;&gt;"",EDATE($D137,Milestones!$AA$33)&gt;=$S137),$V137,IF(AND($R137&lt;&gt;"",EDATE($D137,Milestones!$AA$33)&gt;=$R137),$U137,$T137)))=Milestones!$AB$33),TEXT(EDATE($D137,Milestones!$AA$33),"dd/mm/yy")&amp;" "&amp;Milestones!$AB$33&amp;" "&amp;Milestones!$AC$33&amp;";  ","")&amp;IF(AND(EDATE($D137,Milestones!$AA$34)&lt;=AsOfDate,IF($Q137=0,$W137,IF(AND($S137&lt;&gt;"",EDATE($D137,Milestones!$AA$34)&gt;=$S137),$V137,IF(AND($R137&lt;&gt;"",EDATE($D137,Milestones!$AA$34)&gt;=$R137),$U137,$T137)))=Milestones!$AB$34),TEXT(EDATE($D137,Milestones!$AA$34),"dd/mm/yy")&amp;" "&amp;Milestones!$AB$34&amp;" "&amp;Milestones!$AC$34&amp;";  ","")&amp;IF(AND(EDATE($D137,Milestones!$AA$35)&lt;=AsOfDate,IF($Q137=0,$W137,IF(AND($S137&lt;&gt;"",EDATE($D137,Milestones!$AA$35)&gt;=$S137),$V137,IF(AND($R137&lt;&gt;"",EDATE($D137,Milestones!$AA$35)&gt;=$R137),$U137,$T137)))=Milestones!$AB$35),TEXT(EDATE($D137,Milestones!$AA$35),"dd/mm/yy")&amp;" "&amp;Milestones!$AB$35&amp;" "&amp;Milestones!$AC$35&amp;";  ","")&amp;IF(AND(EDATE($D137,Milestones!$AA$36)&lt;=AsOfDate,IF($Q137=0,$W137,IF(AND($S137&lt;&gt;"",EDATE($D137,Milestones!$AA$36)&gt;=$S137),$V137,IF(AND($R137&lt;&gt;"",EDATE($D137,Milestones!$AA$36)&gt;=$R137),$U137,$T137)))=Milestones!$AB$36),TEXT(EDATE($D137,Milestones!$AA$36),"dd/mm/yy")&amp;" "&amp;Milestones!$AB$36&amp;" "&amp;Milestones!$AC$36&amp;";  ","")&amp;IF(AND(EDATE($D137,Milestones!$AA$37)&lt;=AsOfDate,IF($Q137=0,$W137,IF(AND($S137&lt;&gt;"",EDATE($D137,Milestones!$AA$37)&gt;=$S137),$V137,IF(AND($R137&lt;&gt;"",EDATE($D137,Milestones!$AA$37)&gt;=$R137),$U137,$T137)))=Milestones!$AB$37),TEXT(EDATE($D137,Milestones!$AA$37),"dd/mm/yy")&amp;" "&amp;Milestones!$AB$37&amp;" "&amp;Milestones!$AC$37&amp;";  ","")&amp;IF(AND(EDATE($D137,Milestones!$AA$38)&lt;=AsOfDate,IF($Q137=0,$W137,IF(AND($S137&lt;&gt;"",EDATE($D137,Milestones!$AA$38)&gt;=$S137),$V137,IF(AND($R137&lt;&gt;"",EDATE($D137,Milestones!$AA$38)&gt;=$R137),$U137,$T137)))=Milestones!$AB$38),TEXT(EDATE($D137,Milestones!$AA$38),"dd/mm/yy")&amp;" "&amp;Milestones!$AB$38&amp;" "&amp;Milestones!$AC$38&amp;";  ","")&amp;IF(AND(EDATE($D137,Milestones!$AA$39)&lt;=AsOfDate,IF($Q137=0,$W137,IF(AND($S137&lt;&gt;"",EDATE($D137,Milestones!$AA$39)&gt;=$S137),$V137,IF(AND($R137&lt;&gt;"",EDATE($D137,Milestones!$AA$39)&gt;=$R137),$U137,$T137)))=Milestones!$AB$39),TEXT(EDATE($D137,Milestones!$AA$39),"dd/mm/yy")&amp;" "&amp;Milestones!$AB$39&amp;" "&amp;Milestones!$AC$39&amp;";  ",""))</f>
        <v/>
      </c>
      <c r="I137" s="0" t="str">
        <f aca="false">IF(OR($A137="",$D137=""),"",IF(AND(EDATE($D137,Milestones!$AA$40)&lt;=AsOfDate,IF($Q137=0,$W137,IF(AND($S137&lt;&gt;"",EDATE($D137,Milestones!$AA$40)&gt;=$S137),$V137,IF(AND($R137&lt;&gt;"",EDATE($D137,Milestones!$AA$40)&gt;=$R137),$U137,$T137)))=Milestones!$AB$40),TEXT(EDATE($D137,Milestones!$AA$40),"dd/mm/yy")&amp;" "&amp;Milestones!$AB$40&amp;" "&amp;Milestones!$AC$40&amp;";  ","")&amp;IF(AND(EDATE($D137,Milestones!$AA$41)&lt;=AsOfDate,IF($Q137=0,$W137,IF(AND($S137&lt;&gt;"",EDATE($D137,Milestones!$AA$41)&gt;=$S137),$V137,IF(AND($R137&lt;&gt;"",EDATE($D137,Milestones!$AA$41)&gt;=$R137),$U137,$T137)))=Milestones!$AB$41),TEXT(EDATE($D137,Milestones!$AA$41),"dd/mm/yy")&amp;" "&amp;Milestones!$AB$41&amp;" "&amp;Milestones!$AC$41&amp;";  ","")&amp;IF(AND(EDATE($D137,Milestones!$AA$42)&lt;=AsOfDate,IF($Q137=0,$W137,IF(AND($S137&lt;&gt;"",EDATE($D137,Milestones!$AA$42)&gt;=$S137),$V137,IF(AND($R137&lt;&gt;"",EDATE($D137,Milestones!$AA$42)&gt;=$R137),$U137,$T137)))=Milestones!$AB$42),TEXT(EDATE($D137,Milestones!$AA$42),"dd/mm/yy")&amp;" "&amp;Milestones!$AB$42&amp;" "&amp;Milestones!$AC$42&amp;";  ","")&amp;IF(AND(EDATE($D137,Milestones!$AA$43)&lt;=AsOfDate,IF($Q137=0,$W137,IF(AND($S137&lt;&gt;"",EDATE($D137,Milestones!$AA$43)&gt;=$S137),$V137,IF(AND($R137&lt;&gt;"",EDATE($D137,Milestones!$AA$43)&gt;=$R137),$U137,$T137)))=Milestones!$AB$43),TEXT(EDATE($D137,Milestones!$AA$43),"dd/mm/yy")&amp;" "&amp;Milestones!$AB$43&amp;" "&amp;Milestones!$AC$43&amp;";  ","")&amp;IF(AND(EDATE($D137,Milestones!$AA$44)&lt;=AsOfDate,IF($Q137=0,$W137,IF(AND($S137&lt;&gt;"",EDATE($D137,Milestones!$AA$44)&gt;=$S137),$V137,IF(AND($R137&lt;&gt;"",EDATE($D137,Milestones!$AA$44)&gt;=$R137),$U137,$T137)))=Milestones!$AB$44),TEXT(EDATE($D137,Milestones!$AA$44),"dd/mm/yy")&amp;" "&amp;Milestones!$AB$44&amp;" "&amp;Milestones!$AC$44&amp;";  ","")&amp;IF(AND(EDATE($D137,Milestones!$AA$45)&lt;=AsOfDate,IF($Q137=0,$W137,IF(AND($S137&lt;&gt;"",EDATE($D137,Milestones!$AA$45)&gt;=$S137),$V137,IF(AND($R137&lt;&gt;"",EDATE($D137,Milestones!$AA$45)&gt;=$R137),$U137,$T137)))=Milestones!$AB$45),TEXT(EDATE($D137,Milestones!$AA$45),"dd/mm/yy")&amp;" "&amp;Milestones!$AB$45&amp;" "&amp;Milestones!$AC$45&amp;";  ","")&amp;IF(AND(EDATE($D137,Milestones!$AA$46)&lt;=AsOfDate,IF($Q137=0,$W137,IF(AND($S137&lt;&gt;"",EDATE($D137,Milestones!$AA$46)&gt;=$S137),$V137,IF(AND($R137&lt;&gt;"",EDATE($D137,Milestones!$AA$46)&gt;=$R137),$U137,$T137)))=Milestones!$AB$46),TEXT(EDATE($D137,Milestones!$AA$46),"dd/mm/yy")&amp;" "&amp;Milestones!$AB$46&amp;" "&amp;Milestones!$AC$46&amp;";  ","")&amp;IF(AND(EDATE($D137,Milestones!$AA$47)&lt;=AsOfDate,IF($Q137=0,$W137,IF(AND($S137&lt;&gt;"",EDATE($D137,Milestones!$AA$47)&gt;=$S137),$V137,IF(AND($R137&lt;&gt;"",EDATE($D137,Milestones!$AA$47)&gt;=$R137),$U137,$T137)))=Milestones!$AB$47),TEXT(EDATE($D137,Milestones!$AA$47),"dd/mm/yy")&amp;" "&amp;Milestones!$AB$47&amp;" "&amp;Milestones!$AC$47&amp;";  ","")&amp;IF(AND(EDATE($D137,Milestones!$AA$48)&lt;=AsOfDate,IF($Q137=0,$W137,IF(AND($S137&lt;&gt;"",EDATE($D137,Milestones!$AA$48)&gt;=$S137),$V137,IF(AND($R137&lt;&gt;"",EDATE($D137,Milestones!$AA$48)&gt;=$R137),$U137,$T137)))=Milestones!$AB$48),TEXT(EDATE($D137,Milestones!$AA$48),"dd/mm/yy")&amp;" "&amp;Milestones!$AB$48&amp;" "&amp;Milestones!$AC$48&amp;";  ","")&amp;IF(AND(EDATE($D137,Milestones!$AA$49)&lt;=AsOfDate,IF($Q137=0,$W137,IF(AND($S137&lt;&gt;"",EDATE($D137,Milestones!$AA$49)&gt;=$S137),$V137,IF(AND($R137&lt;&gt;"",EDATE($D137,Milestones!$AA$49)&gt;=$R137),$U137,$T137)))=Milestones!$AB$49),TEXT(EDATE($D137,Milestones!$AA$49),"dd/mm/yy")&amp;" "&amp;Milestones!$AB$49&amp;" "&amp;Milestones!$AC$49&amp;";  ","")&amp;IF(AND(EDATE($D137,Milestones!$AA$50)&lt;=AsOfDate,IF($Q137=0,$W137,IF(AND($S137&lt;&gt;"",EDATE($D137,Milestones!$AA$50)&gt;=$S137),$V137,IF(AND($R137&lt;&gt;"",EDATE($D137,Milestones!$AA$50)&gt;=$R137),$U137,$T137)))=Milestones!$AB$50),TEXT(EDATE($D137,Milestones!$AA$50),"dd/mm/yy")&amp;" "&amp;Milestones!$AB$50&amp;" "&amp;Milestones!$AC$50&amp;";  ","")&amp;IF(AND(EDATE($D137,Milestones!$AA$51)&lt;=AsOfDate,IF($Q137=0,$W137,IF(AND($S137&lt;&gt;"",EDATE($D137,Milestones!$AA$51)&gt;=$S137),$V137,IF(AND($R137&lt;&gt;"",EDATE($D137,Milestones!$AA$51)&gt;=$R137),$U137,$T137)))=Milestones!$AB$51),TEXT(EDATE($D137,Milestones!$AA$51),"dd/mm/yy")&amp;" "&amp;Milestones!$AB$51&amp;" "&amp;Milestones!$AC$51&amp;";  ","")&amp;IF(AND(EDATE($D137,Milestones!$AA$52)&lt;=AsOfDate,IF($Q137=0,$W137,IF(AND($S137&lt;&gt;"",EDATE($D137,Milestones!$AA$52)&gt;=$S137),$V137,IF(AND($R137&lt;&gt;"",EDATE($D137,Milestones!$AA$52)&gt;=$R137),$U137,$T137)))=Milestones!$AB$52),TEXT(EDATE($D137,Milestones!$AA$52),"dd/mm/yy")&amp;" "&amp;Milestones!$AB$52&amp;" "&amp;Milestones!$AC$52&amp;";  ","")&amp;IF(AND(EDATE($D137,Milestones!$AA$53)&lt;=AsOfDate,IF($Q137=0,$W137,IF(AND($S137&lt;&gt;"",EDATE($D137,Milestones!$AA$53)&gt;=$S137),$V137,IF(AND($R137&lt;&gt;"",EDATE($D137,Milestones!$AA$53)&gt;=$R137),$U137,$T137)))=Milestones!$AB$53),TEXT(EDATE($D137,Milestones!$AA$53),"dd/mm/yy")&amp;" "&amp;Milestones!$AB$53&amp;" "&amp;Milestones!$AC$53&amp;";  ","")&amp;IF(AND(EDATE($D137,Milestones!$AA$54)&lt;=AsOfDate,IF($Q137=0,$W137,IF(AND($S137&lt;&gt;"",EDATE($D137,Milestones!$AA$54)&gt;=$S137),$V137,IF(AND($R137&lt;&gt;"",EDATE($D137,Milestones!$AA$54)&gt;=$R137),$U137,$T137)))=Milestones!$AB$54),TEXT(EDATE($D137,Milestones!$AA$54),"dd/mm/yy")&amp;" "&amp;Milestones!$AB$54&amp;" "&amp;Milestones!$AC$54&amp;";  ","")&amp;IF(AND(EDATE($D137,Milestones!$AA$55)&lt;=AsOfDate,IF($Q137=0,$W137,IF(AND($S137&lt;&gt;"",EDATE($D137,Milestones!$AA$55)&gt;=$S137),$V137,IF(AND($R137&lt;&gt;"",EDATE($D137,Milestones!$AA$55)&gt;=$R137),$U137,$T137)))=Milestones!$AB$55),TEXT(EDATE($D137,Milestones!$AA$55),"dd/mm/yy")&amp;" "&amp;Milestones!$AB$55&amp;" "&amp;Milestones!$AC$55&amp;";  ","")&amp;IF(AND(EDATE($D137,Milestones!$AA$56)&lt;=AsOfDate,IF($Q137=0,$W137,IF(AND($S137&lt;&gt;"",EDATE($D137,Milestones!$AA$56)&gt;=$S137),$V137,IF(AND($R137&lt;&gt;"",EDATE($D137,Milestones!$AA$56)&gt;=$R137),$U137,$T137)))=Milestones!$AB$56),TEXT(EDATE($D137,Milestones!$AA$56),"dd/mm/yy")&amp;" "&amp;Milestones!$AB$56&amp;" "&amp;Milestones!$AC$56&amp;";  ","")&amp;IF(AND(EDATE($D137,Milestones!$AA$57)&lt;=AsOfDate,IF($Q137=0,$W137,IF(AND($S137&lt;&gt;"",EDATE($D137,Milestones!$AA$57)&gt;=$S137),$V137,IF(AND($R137&lt;&gt;"",EDATE($D137,Milestones!$AA$57)&gt;=$R137),$U137,$T137)))=Milestones!$AB$57),TEXT(EDATE($D137,Milestones!$AA$57),"dd/mm/yy")&amp;" "&amp;Milestones!$AB$57&amp;" "&amp;Milestones!$AC$57&amp;";  ","")&amp;IF(AND(EDATE($D137,Milestones!$AA$58)&lt;=AsOfDate,IF($Q137=0,$W137,IF(AND($S137&lt;&gt;"",EDATE($D137,Milestones!$AA$58)&gt;=$S137),$V137,IF(AND($R137&lt;&gt;"",EDATE($D137,Milestones!$AA$58)&gt;=$R137),$U137,$T137)))=Milestones!$AB$58),TEXT(EDATE($D137,Milestones!$AA$58),"dd/mm/yy")&amp;" "&amp;Milestones!$AB$58&amp;" "&amp;Milestones!$AC$58&amp;";  ","")&amp;IF(AND(EDATE($D137,Milestones!$AA$59)&lt;=AsOfDate,IF($Q137=0,$W137,IF(AND($S137&lt;&gt;"",EDATE($D137,Milestones!$AA$59)&gt;=$S137),$V137,IF(AND($R137&lt;&gt;"",EDATE($D137,Milestones!$AA$59)&gt;=$R137),$U137,$T137)))=Milestones!$AB$59),TEXT(EDATE($D137,Milestones!$AA$59),"dd/mm/yy")&amp;" "&amp;Milestones!$AB$59&amp;" "&amp;Milestones!$AC$59&amp;";  ",""))</f>
        <v/>
      </c>
      <c r="J137" s="0" t="str">
        <f aca="false">IF(OR($A137="",$D137=""),"",IF(AND(EDATE($D137,Milestones!$AA$60)&lt;=AsOfDate,IF($Q137=0,$W137,IF(AND($S137&lt;&gt;"",EDATE($D137,Milestones!$AA$60)&gt;=$S137),$V137,IF(AND($R137&lt;&gt;"",EDATE($D137,Milestones!$AA$60)&gt;=$R137),$U137,$T137)))=Milestones!$AB$60),TEXT(EDATE($D137,Milestones!$AA$60),"dd/mm/yy")&amp;" "&amp;Milestones!$AB$60&amp;" "&amp;Milestones!$AC$60&amp;";  ","")&amp;IF(AND(EDATE($D137,Milestones!$AA$61)&lt;=AsOfDate,IF($Q137=0,$W137,IF(AND($S137&lt;&gt;"",EDATE($D137,Milestones!$AA$61)&gt;=$S137),$V137,IF(AND($R137&lt;&gt;"",EDATE($D137,Milestones!$AA$61)&gt;=$R137),$U137,$T137)))=Milestones!$AB$61),TEXT(EDATE($D137,Milestones!$AA$61),"dd/mm/yy")&amp;" "&amp;Milestones!$AB$61&amp;" "&amp;Milestones!$AC$61&amp;";  ","")&amp;IF(AND(EDATE($D137,Milestones!$AA$62)&lt;=AsOfDate,IF($Q137=0,$W137,IF(AND($S137&lt;&gt;"",EDATE($D137,Milestones!$AA$62)&gt;=$S137),$V137,IF(AND($R137&lt;&gt;"",EDATE($D137,Milestones!$AA$62)&gt;=$R137),$U137,$T137)))=Milestones!$AB$62),TEXT(EDATE($D137,Milestones!$AA$62),"dd/mm/yy")&amp;" "&amp;Milestones!$AB$62&amp;" "&amp;Milestones!$AC$62&amp;";  ","")&amp;IF(AND(EDATE($D137,Milestones!$AA$63)&lt;=AsOfDate,IF($Q137=0,$W137,IF(AND($S137&lt;&gt;"",EDATE($D137,Milestones!$AA$63)&gt;=$S137),$V137,IF(AND($R137&lt;&gt;"",EDATE($D137,Milestones!$AA$63)&gt;=$R137),$U137,$T137)))=Milestones!$AB$63),TEXT(EDATE($D137,Milestones!$AA$63),"dd/mm/yy")&amp;" "&amp;Milestones!$AB$63&amp;" "&amp;Milestones!$AC$63&amp;";  ","")&amp;IF(AND(EDATE($D137,Milestones!$AA$64)&lt;=AsOfDate,IF($Q137=0,$W137,IF(AND($S137&lt;&gt;"",EDATE($D137,Milestones!$AA$64)&gt;=$S137),$V137,IF(AND($R137&lt;&gt;"",EDATE($D137,Milestones!$AA$64)&gt;=$R137),$U137,$T137)))=Milestones!$AB$64),TEXT(EDATE($D137,Milestones!$AA$64),"dd/mm/yy")&amp;" "&amp;Milestones!$AB$64&amp;" "&amp;Milestones!$AC$64&amp;";  ","")&amp;IF(AND(EDATE($D137,Milestones!$AA$65)&lt;=AsOfDate,IF($Q137=0,$W137,IF(AND($S137&lt;&gt;"",EDATE($D137,Milestones!$AA$65)&gt;=$S137),$V137,IF(AND($R137&lt;&gt;"",EDATE($D137,Milestones!$AA$65)&gt;=$R137),$U137,$T137)))=Milestones!$AB$65),TEXT(EDATE($D137,Milestones!$AA$65),"dd/mm/yy")&amp;" "&amp;Milestones!$AB$65&amp;" "&amp;Milestones!$AC$65&amp;";  ","")&amp;IF(AND(EDATE($D137,Milestones!$AA$66)&lt;=AsOfDate,IF($Q137=0,$W137,IF(AND($S137&lt;&gt;"",EDATE($D137,Milestones!$AA$66)&gt;=$S137),$V137,IF(AND($R137&lt;&gt;"",EDATE($D137,Milestones!$AA$66)&gt;=$R137),$U137,$T137)))=Milestones!$AB$66),TEXT(EDATE($D137,Milestones!$AA$66),"dd/mm/yy")&amp;" "&amp;Milestones!$AB$66&amp;" "&amp;Milestones!$AC$66&amp;";  ","")&amp;IF(AND(EDATE($D137,Milestones!$AA$67)&lt;=AsOfDate,IF($Q137=0,$W137,IF(AND($S137&lt;&gt;"",EDATE($D137,Milestones!$AA$67)&gt;=$S137),$V137,IF(AND($R137&lt;&gt;"",EDATE($D137,Milestones!$AA$67)&gt;=$R137),$U137,$T137)))=Milestones!$AB$67),TEXT(EDATE($D137,Milestones!$AA$67),"dd/mm/yy")&amp;" "&amp;Milestones!$AB$67&amp;" "&amp;Milestones!$AC$67&amp;";  ","")&amp;IF(AND(EDATE($D137,Milestones!$AA$68)&lt;=AsOfDate,IF($Q137=0,$W137,IF(AND($S137&lt;&gt;"",EDATE($D137,Milestones!$AA$68)&gt;=$S137),$V137,IF(AND($R137&lt;&gt;"",EDATE($D137,Milestones!$AA$68)&gt;=$R137),$U137,$T137)))=Milestones!$AB$68),TEXT(EDATE($D137,Milestones!$AA$68),"dd/mm/yy")&amp;" "&amp;Milestones!$AB$68&amp;" "&amp;Milestones!$AC$68&amp;";  ","")&amp;IF(AND(EDATE($D137,Milestones!$AA$69)&lt;=AsOfDate,IF($Q137=0,$W137,IF(AND($S137&lt;&gt;"",EDATE($D137,Milestones!$AA$69)&gt;=$S137),$V137,IF(AND($R137&lt;&gt;"",EDATE($D137,Milestones!$AA$69)&gt;=$R137),$U137,$T137)))=Milestones!$AB$69),TEXT(EDATE($D137,Milestones!$AA$69),"dd/mm/yy")&amp;" "&amp;Milestones!$AB$69&amp;" "&amp;Milestones!$AC$69&amp;";  ","")&amp;IF(AND(EDATE($D137,Milestones!$AA$70)&lt;=AsOfDate,IF($Q137=0,$W137,IF(AND($S137&lt;&gt;"",EDATE($D137,Milestones!$AA$70)&gt;=$S137),$V137,IF(AND($R137&lt;&gt;"",EDATE($D137,Milestones!$AA$70)&gt;=$R137),$U137,$T137)))=Milestones!$AB$70),TEXT(EDATE($D137,Milestones!$AA$70),"dd/mm/yy")&amp;" "&amp;Milestones!$AB$70&amp;" "&amp;Milestones!$AC$70&amp;";  ","")&amp;IF(AND(EDATE($D137,Milestones!$AA$71)&lt;=AsOfDate,IF($Q137=0,$W137,IF(AND($S137&lt;&gt;"",EDATE($D137,Milestones!$AA$71)&gt;=$S137),$V137,IF(AND($R137&lt;&gt;"",EDATE($D137,Milestones!$AA$71)&gt;=$R137),$U137,$T137)))=Milestones!$AB$71),TEXT(EDATE($D137,Milestones!$AA$71),"dd/mm/yy")&amp;" "&amp;Milestones!$AB$71&amp;" "&amp;Milestones!$AC$71&amp;";  ","")&amp;IF(AND(EDATE($D137,Milestones!$AA$72)&lt;=AsOfDate,IF($Q137=0,$W137,IF(AND($S137&lt;&gt;"",EDATE($D137,Milestones!$AA$72)&gt;=$S137),$V137,IF(AND($R137&lt;&gt;"",EDATE($D137,Milestones!$AA$72)&gt;=$R137),$U137,$T137)))=Milestones!$AB$72),TEXT(EDATE($D137,Milestones!$AA$72),"dd/mm/yy")&amp;" "&amp;Milestones!$AB$72&amp;" "&amp;Milestones!$AC$72&amp;";  ","")&amp;IF(AND(EDATE($D137,Milestones!$AA$73)&lt;=AsOfDate,IF($Q137=0,$W137,IF(AND($S137&lt;&gt;"",EDATE($D137,Milestones!$AA$73)&gt;=$S137),$V137,IF(AND($R137&lt;&gt;"",EDATE($D137,Milestones!$AA$73)&gt;=$R137),$U137,$T137)))=Milestones!$AB$73),TEXT(EDATE($D137,Milestones!$AA$73),"dd/mm/yy")&amp;" "&amp;Milestones!$AB$73&amp;" "&amp;Milestones!$AC$73&amp;";  ","")&amp;IF(AND(EDATE($D137,Milestones!$AA$74)&lt;=AsOfDate,IF($Q137=0,$W137,IF(AND($S137&lt;&gt;"",EDATE($D137,Milestones!$AA$74)&gt;=$S137),$V137,IF(AND($R137&lt;&gt;"",EDATE($D137,Milestones!$AA$74)&gt;=$R137),$U137,$T137)))=Milestones!$AB$74),TEXT(EDATE($D137,Milestones!$AA$74),"dd/mm/yy")&amp;" "&amp;Milestones!$AB$74&amp;" "&amp;Milestones!$AC$74&amp;";  ","")&amp;IF(AND(EDATE($D137,Milestones!$AA$75)&lt;=AsOfDate,IF($Q137=0,$W137,IF(AND($S137&lt;&gt;"",EDATE($D137,Milestones!$AA$75)&gt;=$S137),$V137,IF(AND($R137&lt;&gt;"",EDATE($D137,Milestones!$AA$75)&gt;=$R137),$U137,$T137)))=Milestones!$AB$75),TEXT(EDATE($D137,Milestones!$AA$75),"dd/mm/yy")&amp;" "&amp;Milestones!$AB$75&amp;" "&amp;Milestones!$AC$75&amp;";  ","")&amp;IF(AND(EDATE($D137,Milestones!$AA$76)&lt;=AsOfDate,IF($Q137=0,$W137,IF(AND($S137&lt;&gt;"",EDATE($D137,Milestones!$AA$76)&gt;=$S137),$V137,IF(AND($R137&lt;&gt;"",EDATE($D137,Milestones!$AA$76)&gt;=$R137),$U137,$T137)))=Milestones!$AB$76),TEXT(EDATE($D137,Milestones!$AA$76),"dd/mm/yy")&amp;" "&amp;Milestones!$AB$76&amp;" "&amp;Milestones!$AC$76&amp;";  ","")&amp;IF(AND(EDATE($D137,Milestones!$AA$77)&lt;=AsOfDate,IF($Q137=0,$W137,IF(AND($S137&lt;&gt;"",EDATE($D137,Milestones!$AA$77)&gt;=$S137),$V137,IF(AND($R137&lt;&gt;"",EDATE($D137,Milestones!$AA$77)&gt;=$R137),$U137,$T137)))=Milestones!$AB$77),TEXT(EDATE($D137,Milestones!$AA$77),"dd/mm/yy")&amp;" "&amp;Milestones!$AB$77&amp;" "&amp;Milestones!$AC$77&amp;";  ","")&amp;IF(AND(EDATE($D137,Milestones!$AA$78)&lt;=AsOfDate,IF($Q137=0,$W137,IF(AND($S137&lt;&gt;"",EDATE($D137,Milestones!$AA$78)&gt;=$S137),$V137,IF(AND($R137&lt;&gt;"",EDATE($D137,Milestones!$AA$78)&gt;=$R137),$U137,$T137)))=Milestones!$AB$78),TEXT(EDATE($D137,Milestones!$AA$78),"dd/mm/yy")&amp;" "&amp;Milestones!$AB$78&amp;" "&amp;Milestones!$AC$78&amp;";  ","")&amp;IF(AND(EDATE($D137,Milestones!$AA$79)&lt;=AsOfDate,IF($Q137=0,$W137,IF(AND($S137&lt;&gt;"",EDATE($D137,Milestones!$AA$79)&gt;=$S137),$V137,IF(AND($R137&lt;&gt;"",EDATE($D137,Milestones!$AA$79)&gt;=$R137),$U137,$T137)))=Milestones!$AB$79),TEXT(EDATE($D137,Milestones!$AA$79),"dd/mm/yy")&amp;" "&amp;Milestones!$AB$79&amp;" "&amp;Milestones!$AC$79&amp;";  ",""))</f>
        <v/>
      </c>
      <c r="K137" s="0" t="str">
        <f aca="false">IF(OR($A137="",$D137=""),"",IF(AND(EDATE($D137,Milestones!$AA$80)&lt;=AsOfDate,IF($Q137=0,$W137,IF(AND($S137&lt;&gt;"",EDATE($D137,Milestones!$AA$80)&gt;=$S137),$V137,IF(AND($R137&lt;&gt;"",EDATE($D137,Milestones!$AA$80)&gt;=$R137),$U137,$T137)))=Milestones!$AB$80),TEXT(EDATE($D137,Milestones!$AA$80),"dd/mm/yy")&amp;" "&amp;Milestones!$AB$80&amp;" "&amp;Milestones!$AC$80&amp;";  ","")&amp;IF(AND(EDATE($D137,Milestones!$AA$81)&lt;=AsOfDate,IF($Q137=0,$W137,IF(AND($S137&lt;&gt;"",EDATE($D137,Milestones!$AA$81)&gt;=$S137),$V137,IF(AND($R137&lt;&gt;"",EDATE($D137,Milestones!$AA$81)&gt;=$R137),$U137,$T137)))=Milestones!$AB$81),TEXT(EDATE($D137,Milestones!$AA$81),"dd/mm/yy")&amp;" "&amp;Milestones!$AB$81&amp;" "&amp;Milestones!$AC$81&amp;";  ","")&amp;IF(AND(EDATE($D137,Milestones!$AA$82)&lt;=AsOfDate,IF($Q137=0,$W137,IF(AND($S137&lt;&gt;"",EDATE($D137,Milestones!$AA$82)&gt;=$S137),$V137,IF(AND($R137&lt;&gt;"",EDATE($D137,Milestones!$AA$82)&gt;=$R137),$U137,$T137)))=Milestones!$AB$82),TEXT(EDATE($D137,Milestones!$AA$82),"dd/mm/yy")&amp;" "&amp;Milestones!$AB$82&amp;" "&amp;Milestones!$AC$82&amp;";  ","")&amp;IF(AND(EDATE($D137,Milestones!$AA$83)&lt;=AsOfDate,IF($Q137=0,$W137,IF(AND($S137&lt;&gt;"",EDATE($D137,Milestones!$AA$83)&gt;=$S137),$V137,IF(AND($R137&lt;&gt;"",EDATE($D137,Milestones!$AA$83)&gt;=$R137),$U137,$T137)))=Milestones!$AB$83),TEXT(EDATE($D137,Milestones!$AA$83),"dd/mm/yy")&amp;" "&amp;Milestones!$AB$83&amp;" "&amp;Milestones!$AC$83&amp;";  ","")&amp;IF(AND(EDATE($D137,Milestones!$AA$84)&lt;=AsOfDate,IF($Q137=0,$W137,IF(AND($S137&lt;&gt;"",EDATE($D137,Milestones!$AA$84)&gt;=$S137),$V137,IF(AND($R137&lt;&gt;"",EDATE($D137,Milestones!$AA$84)&gt;=$R137),$U137,$T137)))=Milestones!$AB$84),TEXT(EDATE($D137,Milestones!$AA$84),"dd/mm/yy")&amp;" "&amp;Milestones!$AB$84&amp;" "&amp;Milestones!$AC$84&amp;";  ","")&amp;IF(AND(EDATE($D137,Milestones!$AA$85)&lt;=AsOfDate,IF($Q137=0,$W137,IF(AND($S137&lt;&gt;"",EDATE($D137,Milestones!$AA$85)&gt;=$S137),$V137,IF(AND($R137&lt;&gt;"",EDATE($D137,Milestones!$AA$85)&gt;=$R137),$U137,$T137)))=Milestones!$AB$85),TEXT(EDATE($D137,Milestones!$AA$85),"dd/mm/yy")&amp;" "&amp;Milestones!$AB$85&amp;" "&amp;Milestones!$AC$85&amp;";  ","")&amp;IF(AND(EDATE($D137,Milestones!$AA$86)&lt;=AsOfDate,IF($Q137=0,$W137,IF(AND($S137&lt;&gt;"",EDATE($D137,Milestones!$AA$86)&gt;=$S137),$V137,IF(AND($R137&lt;&gt;"",EDATE($D137,Milestones!$AA$86)&gt;=$R137),$U137,$T137)))=Milestones!$AB$86),TEXT(EDATE($D137,Milestones!$AA$86),"dd/mm/yy")&amp;" "&amp;Milestones!$AB$86&amp;" "&amp;Milestones!$AC$86&amp;";  ","")&amp;IF(AND(EDATE($D137,Milestones!$AA$87)&lt;=AsOfDate,IF($Q137=0,$W137,IF(AND($S137&lt;&gt;"",EDATE($D137,Milestones!$AA$87)&gt;=$S137),$V137,IF(AND($R137&lt;&gt;"",EDATE($D137,Milestones!$AA$87)&gt;=$R137),$U137,$T137)))=Milestones!$AB$87),TEXT(EDATE($D137,Milestones!$AA$87),"dd/mm/yy")&amp;" "&amp;Milestones!$AB$87&amp;" "&amp;Milestones!$AC$87&amp;";  ","")&amp;IF(AND(EDATE($D137,Milestones!$AA$88)&lt;=AsOfDate,IF($Q137=0,$W137,IF(AND($S137&lt;&gt;"",EDATE($D137,Milestones!$AA$88)&gt;=$S137),$V137,IF(AND($R137&lt;&gt;"",EDATE($D137,Milestones!$AA$88)&gt;=$R137),$U137,$T137)))=Milestones!$AB$88),TEXT(EDATE($D137,Milestones!$AA$88),"dd/mm/yy")&amp;" "&amp;Milestones!$AB$88&amp;" "&amp;Milestones!$AC$88&amp;";  ","")&amp;IF(AND(EDATE($D137,Milestones!$AA$89)&lt;=AsOfDate,IF($Q137=0,$W137,IF(AND($S137&lt;&gt;"",EDATE($D137,Milestones!$AA$89)&gt;=$S137),$V137,IF(AND($R137&lt;&gt;"",EDATE($D137,Milestones!$AA$89)&gt;=$R137),$U137,$T137)))=Milestones!$AB$89),TEXT(EDATE($D137,Milestones!$AA$89),"dd/mm/yy")&amp;" "&amp;Milestones!$AB$89&amp;" "&amp;Milestones!$AC$89&amp;";  ","")&amp;IF(AND(EDATE($D137,Milestones!$AA$90)&lt;=AsOfDate,IF($Q137=0,$W137,IF(AND($S137&lt;&gt;"",EDATE($D137,Milestones!$AA$90)&gt;=$S137),$V137,IF(AND($R137&lt;&gt;"",EDATE($D137,Milestones!$AA$90)&gt;=$R137),$U137,$T137)))=Milestones!$AB$90),TEXT(EDATE($D137,Milestones!$AA$90),"dd/mm/yy")&amp;" "&amp;Milestones!$AB$90&amp;" "&amp;Milestones!$AC$90&amp;";  ","")&amp;IF(AND(EDATE($D137,Milestones!$AA$91)&lt;=AsOfDate,IF($Q137=0,$W137,IF(AND($S137&lt;&gt;"",EDATE($D137,Milestones!$AA$91)&gt;=$S137),$V137,IF(AND($R137&lt;&gt;"",EDATE($D137,Milestones!$AA$91)&gt;=$R137),$U137,$T137)))=Milestones!$AB$91),TEXT(EDATE($D137,Milestones!$AA$91),"dd/mm/yy")&amp;" "&amp;Milestones!$AB$91&amp;" "&amp;Milestones!$AC$91&amp;";  ","")&amp;IF(AND(EDATE($D137,Milestones!$AA$92)&lt;=AsOfDate,IF($Q137=0,$W137,IF(AND($S137&lt;&gt;"",EDATE($D137,Milestones!$AA$92)&gt;=$S137),$V137,IF(AND($R137&lt;&gt;"",EDATE($D137,Milestones!$AA$92)&gt;=$R137),$U137,$T137)))=Milestones!$AB$92),TEXT(EDATE($D137,Milestones!$AA$92),"dd/mm/yy")&amp;" "&amp;Milestones!$AB$92&amp;" "&amp;Milestones!$AC$92&amp;";  ","")&amp;IF(AND(EDATE($D137,Milestones!$AA$93)&lt;=AsOfDate,IF($Q137=0,$W137,IF(AND($S137&lt;&gt;"",EDATE($D137,Milestones!$AA$93)&gt;=$S137),$V137,IF(AND($R137&lt;&gt;"",EDATE($D137,Milestones!$AA$93)&gt;=$R137),$U137,$T137)))=Milestones!$AB$93),TEXT(EDATE($D137,Milestones!$AA$93),"dd/mm/yy")&amp;" "&amp;Milestones!$AB$93&amp;" "&amp;Milestones!$AC$93&amp;";  ","")&amp;IF(AND(EDATE($D137,Milestones!$AA$94)&lt;=AsOfDate,IF($Q137=0,$W137,IF(AND($S137&lt;&gt;"",EDATE($D137,Milestones!$AA$94)&gt;=$S137),$V137,IF(AND($R137&lt;&gt;"",EDATE($D137,Milestones!$AA$94)&gt;=$R137),$U137,$T137)))=Milestones!$AB$94),TEXT(EDATE($D137,Milestones!$AA$94),"dd/mm/yy")&amp;" "&amp;Milestones!$AB$94&amp;" "&amp;Milestones!$AC$94&amp;";  ","")&amp;IF(AND(EDATE($D137,Milestones!$AA$95)&lt;=AsOfDate,IF($Q137=0,$W137,IF(AND($S137&lt;&gt;"",EDATE($D137,Milestones!$AA$95)&gt;=$S137),$V137,IF(AND($R137&lt;&gt;"",EDATE($D137,Milestones!$AA$95)&gt;=$R137),$U137,$T137)))=Milestones!$AB$95),TEXT(EDATE($D137,Milestones!$AA$95),"dd/mm/yy")&amp;" "&amp;Milestones!$AB$95&amp;" "&amp;Milestones!$AC$95&amp;";  ","")&amp;IF(AND(EDATE($D137,Milestones!$AA$96)&lt;=AsOfDate,IF($Q137=0,$W137,IF(AND($S137&lt;&gt;"",EDATE($D137,Milestones!$AA$96)&gt;=$S137),$V137,IF(AND($R137&lt;&gt;"",EDATE($D137,Milestones!$AA$96)&gt;=$R137),$U137,$T137)))=Milestones!$AB$96),TEXT(EDATE($D137,Milestones!$AA$96),"dd/mm/yy")&amp;" "&amp;Milestones!$AB$96&amp;" "&amp;Milestones!$AC$96&amp;";  ","")&amp;IF(AND(EDATE($D137,Milestones!$AA$97)&lt;=AsOfDate,IF($Q137=0,$W137,IF(AND($S137&lt;&gt;"",EDATE($D137,Milestones!$AA$97)&gt;=$S137),$V137,IF(AND($R137&lt;&gt;"",EDATE($D137,Milestones!$AA$97)&gt;=$R137),$U137,$T137)))=Milestones!$AB$97),TEXT(EDATE($D137,Milestones!$AA$97),"dd/mm/yy")&amp;" "&amp;Milestones!$AB$97&amp;" "&amp;Milestones!$AC$97&amp;";  ","")&amp;IF(AND(EDATE($D137,Milestones!$AA$98)&lt;=AsOfDate,IF($Q137=0,$W137,IF(AND($S137&lt;&gt;"",EDATE($D137,Milestones!$AA$98)&gt;=$S137),$V137,IF(AND($R137&lt;&gt;"",EDATE($D137,Milestones!$AA$98)&gt;=$R137),$U137,$T137)))=Milestones!$AB$98),TEXT(EDATE($D137,Milestones!$AA$98),"dd/mm/yy")&amp;" "&amp;Milestones!$AB$98&amp;" "&amp;Milestones!$AC$98&amp;";  ","")&amp;IF(AND(EDATE($D137,Milestones!$AA$99)&lt;=AsOfDate,IF($Q137=0,$W137,IF(AND($S137&lt;&gt;"",EDATE($D137,Milestones!$AA$99)&gt;=$S137),$V137,IF(AND($R137&lt;&gt;"",EDATE($D137,Milestones!$AA$99)&gt;=$R137),$U137,$T137)))=Milestones!$AB$99),TEXT(EDATE($D137,Milestones!$AA$99),"dd/mm/yy")&amp;" "&amp;Milestones!$AB$99&amp;" "&amp;Milestones!$AC$99&amp;";  ",""))</f>
        <v/>
      </c>
      <c r="L137" s="0" t="str">
        <f aca="false">IF(OR($A137="",$D137=""),"",IF(AND(EDATE($D137,Milestones!$AA$100)&lt;=AsOfDate,IF($Q137=0,$W137,IF(AND($S137&lt;&gt;"",EDATE($D137,Milestones!$AA$100)&gt;=$S137),$V137,IF(AND($R137&lt;&gt;"",EDATE($D137,Milestones!$AA$100)&gt;=$R137),$U137,$T137)))=Milestones!$AB$100),TEXT(EDATE($D137,Milestones!$AA$100),"dd/mm/yy")&amp;" "&amp;Milestones!$AB$100&amp;" "&amp;Milestones!$AC$100&amp;";  ","")&amp;IF(AND(EDATE($D137,Milestones!$AA$101)&lt;=AsOfDate,IF($Q137=0,$W137,IF(AND($S137&lt;&gt;"",EDATE($D137,Milestones!$AA$101)&gt;=$S137),$V137,IF(AND($R137&lt;&gt;"",EDATE($D137,Milestones!$AA$101)&gt;=$R137),$U137,$T137)))=Milestones!$AB$101),TEXT(EDATE($D137,Milestones!$AA$101),"dd/mm/yy")&amp;" "&amp;Milestones!$AB$101&amp;" "&amp;Milestones!$AC$101&amp;";  ","")&amp;IF(AND(EDATE($D137,Milestones!$AA$102)&lt;=AsOfDate,IF($Q137=0,$W137,IF(AND($S137&lt;&gt;"",EDATE($D137,Milestones!$AA$102)&gt;=$S137),$V137,IF(AND($R137&lt;&gt;"",EDATE($D137,Milestones!$AA$102)&gt;=$R137),$U137,$T137)))=Milestones!$AB$102),TEXT(EDATE($D137,Milestones!$AA$102),"dd/mm/yy")&amp;" "&amp;Milestones!$AB$102&amp;" "&amp;Milestones!$AC$102&amp;";  ","")&amp;IF(AND(EDATE($D137,Milestones!$AA$103)&lt;=AsOfDate,IF($Q137=0,$W137,IF(AND($S137&lt;&gt;"",EDATE($D137,Milestones!$AA$103)&gt;=$S137),$V137,IF(AND($R137&lt;&gt;"",EDATE($D137,Milestones!$AA$103)&gt;=$R137),$U137,$T137)))=Milestones!$AB$103),TEXT(EDATE($D137,Milestones!$AA$103),"dd/mm/yy")&amp;" "&amp;Milestones!$AB$103&amp;" "&amp;Milestones!$AC$103&amp;";  ","")&amp;IF(AND(EDATE($D137,Milestones!$AA$104)&lt;=AsOfDate,IF($Q137=0,$W137,IF(AND($S137&lt;&gt;"",EDATE($D137,Milestones!$AA$104)&gt;=$S137),$V137,IF(AND($R137&lt;&gt;"",EDATE($D137,Milestones!$AA$104)&gt;=$R137),$U137,$T137)))=Milestones!$AB$104),TEXT(EDATE($D137,Milestones!$AA$104),"dd/mm/yy")&amp;" "&amp;Milestones!$AB$104&amp;" "&amp;Milestones!$AC$104&amp;";  ","")&amp;IF(AND(EDATE($D137,Milestones!$AA$105)&lt;=AsOfDate,IF($Q137=0,$W137,IF(AND($S137&lt;&gt;"",EDATE($D137,Milestones!$AA$105)&gt;=$S137),$V137,IF(AND($R137&lt;&gt;"",EDATE($D137,Milestones!$AA$105)&gt;=$R137),$U137,$T137)))=Milestones!$AB$105),TEXT(EDATE($D137,Milestones!$AA$105),"dd/mm/yy")&amp;" "&amp;Milestones!$AB$105&amp;" "&amp;Milestones!$AC$105&amp;";  ","")&amp;IF(AND(EDATE($D137,Milestones!$AA$106)&lt;=AsOfDate,IF($Q137=0,$W137,IF(AND($S137&lt;&gt;"",EDATE($D137,Milestones!$AA$106)&gt;=$S137),$V137,IF(AND($R137&lt;&gt;"",EDATE($D137,Milestones!$AA$106)&gt;=$R137),$U137,$T137)))=Milestones!$AB$106),TEXT(EDATE($D137,Milestones!$AA$106),"dd/mm/yy")&amp;" "&amp;Milestones!$AB$106&amp;" "&amp;Milestones!$AC$106&amp;";  ","")&amp;IF(AND(EDATE($D137,Milestones!$AA$107)&lt;=AsOfDate,IF($Q137=0,$W137,IF(AND($S137&lt;&gt;"",EDATE($D137,Milestones!$AA$107)&gt;=$S137),$V137,IF(AND($R137&lt;&gt;"",EDATE($D137,Milestones!$AA$107)&gt;=$R137),$U137,$T137)))=Milestones!$AB$107),TEXT(EDATE($D137,Milestones!$AA$107),"dd/mm/yy")&amp;" "&amp;Milestones!$AB$107&amp;" "&amp;Milestones!$AC$107&amp;";  ","")&amp;IF(AND(EDATE($D137,Milestones!$AA$108)&lt;=AsOfDate,IF($Q137=0,$W137,IF(AND($S137&lt;&gt;"",EDATE($D137,Milestones!$AA$108)&gt;=$S137),$V137,IF(AND($R137&lt;&gt;"",EDATE($D137,Milestones!$AA$108)&gt;=$R137),$U137,$T137)))=Milestones!$AB$108),TEXT(EDATE($D137,Milestones!$AA$108),"dd/mm/yy")&amp;" "&amp;Milestones!$AB$108&amp;" "&amp;Milestones!$AC$108&amp;";  ","")&amp;IF(AND(EDATE($D137,Milestones!$AA$109)&lt;=AsOfDate,IF($Q137=0,$W137,IF(AND($S137&lt;&gt;"",EDATE($D137,Milestones!$AA$109)&gt;=$S137),$V137,IF(AND($R137&lt;&gt;"",EDATE($D137,Milestones!$AA$109)&gt;=$R137),$U137,$T137)))=Milestones!$AB$109),TEXT(EDATE($D137,Milestones!$AA$109),"dd/mm/yy")&amp;" "&amp;Milestones!$AB$109&amp;" "&amp;Milestones!$AC$109&amp;";  ","")&amp;IF(AND(EDATE($D137,Milestones!$AA$110)&lt;=AsOfDate,IF($Q137=0,$W137,IF(AND($S137&lt;&gt;"",EDATE($D137,Milestones!$AA$110)&gt;=$S137),$V137,IF(AND($R137&lt;&gt;"",EDATE($D137,Milestones!$AA$110)&gt;=$R137),$U137,$T137)))=Milestones!$AB$110),TEXT(EDATE($D137,Milestones!$AA$110),"dd/mm/yy")&amp;" "&amp;Milestones!$AB$110&amp;" "&amp;Milestones!$AC$110&amp;";  ","")&amp;IF(AND(EDATE($D137,Milestones!$AA$111)&lt;=AsOfDate,IF($Q137=0,$W137,IF(AND($S137&lt;&gt;"",EDATE($D137,Milestones!$AA$111)&gt;=$S137),$V137,IF(AND($R137&lt;&gt;"",EDATE($D137,Milestones!$AA$111)&gt;=$R137),$U137,$T137)))=Milestones!$AB$111),TEXT(EDATE($D137,Milestones!$AA$111),"dd/mm/yy")&amp;" "&amp;Milestones!$AB$111&amp;" "&amp;Milestones!$AC$111&amp;";  ","")&amp;IF(AND(EDATE($D137,Milestones!$AA$112)&lt;=AsOfDate,IF($Q137=0,$W137,IF(AND($S137&lt;&gt;"",EDATE($D137,Milestones!$AA$112)&gt;=$S137),$V137,IF(AND($R137&lt;&gt;"",EDATE($D137,Milestones!$AA$112)&gt;=$R137),$U137,$T137)))=Milestones!$AB$112),TEXT(EDATE($D137,Milestones!$AA$112),"dd/mm/yy")&amp;" "&amp;Milestones!$AB$112&amp;" "&amp;Milestones!$AC$112&amp;";  ","")&amp;IF(AND(EDATE($D137,Milestones!$AA$113)&lt;=AsOfDate,IF($Q137=0,$W137,IF(AND($S137&lt;&gt;"",EDATE($D137,Milestones!$AA$113)&gt;=$S137),$V137,IF(AND($R137&lt;&gt;"",EDATE($D137,Milestones!$AA$113)&gt;=$R137),$U137,$T137)))=Milestones!$AB$113),TEXT(EDATE($D137,Milestones!$AA$113),"dd/mm/yy")&amp;" "&amp;Milestones!$AB$113&amp;" "&amp;Milestones!$AC$113&amp;";  ","")&amp;IF(AND(EDATE($D137,Milestones!$AA$114)&lt;=AsOfDate,IF($Q137=0,$W137,IF(AND($S137&lt;&gt;"",EDATE($D137,Milestones!$AA$114)&gt;=$S137),$V137,IF(AND($R137&lt;&gt;"",EDATE($D137,Milestones!$AA$114)&gt;=$R137),$U137,$T137)))=Milestones!$AB$114),TEXT(EDATE($D137,Milestones!$AA$114),"dd/mm/yy")&amp;" "&amp;Milestones!$AB$114&amp;" "&amp;Milestones!$AC$114&amp;";  ","")&amp;IF(AND(EDATE($D137,Milestones!$AA$115)&lt;=AsOfDate,IF($Q137=0,$W137,IF(AND($S137&lt;&gt;"",EDATE($D137,Milestones!$AA$115)&gt;=$S137),$V137,IF(AND($R137&lt;&gt;"",EDATE($D137,Milestones!$AA$115)&gt;=$R137),$U137,$T137)))=Milestones!$AB$115),TEXT(EDATE($D137,Milestones!$AA$115),"dd/mm/yy")&amp;" "&amp;Milestones!$AB$115&amp;" "&amp;Milestones!$AC$115&amp;";  ","")&amp;IF(AND(EDATE($D137,Milestones!$AA$116)&lt;=AsOfDate,IF($Q137=0,$W137,IF(AND($S137&lt;&gt;"",EDATE($D137,Milestones!$AA$116)&gt;=$S137),$V137,IF(AND($R137&lt;&gt;"",EDATE($D137,Milestones!$AA$116)&gt;=$R137),$U137,$T137)))=Milestones!$AB$116),TEXT(EDATE($D137,Milestones!$AA$116),"dd/mm/yy")&amp;" "&amp;Milestones!$AB$116&amp;" "&amp;Milestones!$AC$116&amp;";  ","")&amp;IF(AND(EDATE($D137,Milestones!$AA$117)&lt;=AsOfDate,IF($Q137=0,$W137,IF(AND($S137&lt;&gt;"",EDATE($D137,Milestones!$AA$117)&gt;=$S137),$V137,IF(AND($R137&lt;&gt;"",EDATE($D137,Milestones!$AA$117)&gt;=$R137),$U137,$T137)))=Milestones!$AB$117),TEXT(EDATE($D137,Milestones!$AA$117),"dd/mm/yy")&amp;" "&amp;Milestones!$AB$117&amp;" "&amp;Milestones!$AC$117&amp;";  ","")&amp;IF(AND(EDATE($D137,Milestones!$AA$118)&lt;=AsOfDate,IF($Q137=0,$W137,IF(AND($S137&lt;&gt;"",EDATE($D137,Milestones!$AA$118)&gt;=$S137),$V137,IF(AND($R137&lt;&gt;"",EDATE($D137,Milestones!$AA$118)&gt;=$R137),$U137,$T137)))=Milestones!$AB$118),TEXT(EDATE($D137,Milestones!$AA$118),"dd/mm/yy")&amp;" "&amp;Milestones!$AB$118&amp;" "&amp;Milestones!$AC$118&amp;";  ","")&amp;IF(AND(EDATE($D137,Milestones!$AA$119)&lt;=AsOfDate,IF($Q137=0,$W137,IF(AND($S137&lt;&gt;"",EDATE($D137,Milestones!$AA$119)&gt;=$S137),$V137,IF(AND($R137&lt;&gt;"",EDATE($D137,Milestones!$AA$119)&gt;=$R137),$U137,$T137)))=Milestones!$AB$119),TEXT(EDATE($D137,Milestones!$AA$119),"dd/mm/yy")&amp;" "&amp;Milestones!$AB$119&amp;" "&amp;Milestones!$AC$119&amp;";  ",""))</f>
        <v/>
      </c>
      <c r="M137" s="0" t="str">
        <f aca="false">IF(OR($A137="",$D137=""),"",IF(AND(EDATE($D137,Milestones!$AA$120)&lt;=AsOfDate,IF($Q137=0,$W137,IF(AND($S137&lt;&gt;"",EDATE($D137,Milestones!$AA$120)&gt;=$S137),$V137,IF(AND($R137&lt;&gt;"",EDATE($D137,Milestones!$AA$120)&gt;=$R137),$U137,$T137)))=Milestones!$AB$120),TEXT(EDATE($D137,Milestones!$AA$120),"dd/mm/yy")&amp;" "&amp;Milestones!$AB$120&amp;" "&amp;Milestones!$AC$120&amp;";  ","")&amp;IF(AND(EDATE($D137,Milestones!$AA$121)&lt;=AsOfDate,IF($Q137=0,$W137,IF(AND($S137&lt;&gt;"",EDATE($D137,Milestones!$AA$121)&gt;=$S137),$V137,IF(AND($R137&lt;&gt;"",EDATE($D137,Milestones!$AA$121)&gt;=$R137),$U137,$T137)))=Milestones!$AB$121),TEXT(EDATE($D137,Milestones!$AA$121),"dd/mm/yy")&amp;" "&amp;Milestones!$AB$121&amp;" "&amp;Milestones!$AC$121&amp;";  ","")&amp;IF(AND(EDATE($D137,Milestones!$AA$122)&lt;=AsOfDate,IF($Q137=0,$W137,IF(AND($S137&lt;&gt;"",EDATE($D137,Milestones!$AA$122)&gt;=$S137),$V137,IF(AND($R137&lt;&gt;"",EDATE($D137,Milestones!$AA$122)&gt;=$R137),$U137,$T137)))=Milestones!$AB$122),TEXT(EDATE($D137,Milestones!$AA$122),"dd/mm/yy")&amp;" "&amp;Milestones!$AB$122&amp;" "&amp;Milestones!$AC$122&amp;";  ","")&amp;IF(AND(EDATE($D137,Milestones!$AA$123)&lt;=AsOfDate,IF($Q137=0,$W137,IF(AND($S137&lt;&gt;"",EDATE($D137,Milestones!$AA$123)&gt;=$S137),$V137,IF(AND($R137&lt;&gt;"",EDATE($D137,Milestones!$AA$123)&gt;=$R137),$U137,$T137)))=Milestones!$AB$123),TEXT(EDATE($D137,Milestones!$AA$123),"dd/mm/yy")&amp;" "&amp;Milestones!$AB$123&amp;" "&amp;Milestones!$AC$123&amp;";  ","")&amp;IF(AND(EDATE($D137,Milestones!$AA$124)&lt;=AsOfDate,IF($Q137=0,$W137,IF(AND($S137&lt;&gt;"",EDATE($D137,Milestones!$AA$124)&gt;=$S137),$V137,IF(AND($R137&lt;&gt;"",EDATE($D137,Milestones!$AA$124)&gt;=$R137),$U137,$T137)))=Milestones!$AB$124),TEXT(EDATE($D137,Milestones!$AA$124),"dd/mm/yy")&amp;" "&amp;Milestones!$AB$124&amp;" "&amp;Milestones!$AC$124&amp;";  ","")&amp;IF(AND(EDATE($D137,Milestones!$AA$125)&lt;=AsOfDate,IF($Q137=0,$W137,IF(AND($S137&lt;&gt;"",EDATE($D137,Milestones!$AA$125)&gt;=$S137),$V137,IF(AND($R137&lt;&gt;"",EDATE($D137,Milestones!$AA$125)&gt;=$R137),$U137,$T137)))=Milestones!$AB$125),TEXT(EDATE($D137,Milestones!$AA$125),"dd/mm/yy")&amp;" "&amp;Milestones!$AB$125&amp;" "&amp;Milestones!$AC$125&amp;";  ","")&amp;IF(AND(EDATE($D137,Milestones!$AA$126)&lt;=AsOfDate,IF($Q137=0,$W137,IF(AND($S137&lt;&gt;"",EDATE($D137,Milestones!$AA$126)&gt;=$S137),$V137,IF(AND($R137&lt;&gt;"",EDATE($D137,Milestones!$AA$126)&gt;=$R137),$U137,$T137)))=Milestones!$AB$126),TEXT(EDATE($D137,Milestones!$AA$126),"dd/mm/yy")&amp;" "&amp;Milestones!$AB$126&amp;" "&amp;Milestones!$AC$126&amp;";  ","")&amp;IF(AND(EDATE($D137,Milestones!$AA$127)&lt;=AsOfDate,IF($Q137=0,$W137,IF(AND($S137&lt;&gt;"",EDATE($D137,Milestones!$AA$127)&gt;=$S137),$V137,IF(AND($R137&lt;&gt;"",EDATE($D137,Milestones!$AA$127)&gt;=$R137),$U137,$T137)))=Milestones!$AB$127),TEXT(EDATE($D137,Milestones!$AA$127),"dd/mm/yy")&amp;" "&amp;Milestones!$AB$127&amp;" "&amp;Milestones!$AC$127&amp;";  ","")&amp;IF(AND(EDATE($D137,Milestones!$AA$128)&lt;=AsOfDate,IF($Q137=0,$W137,IF(AND($S137&lt;&gt;"",EDATE($D137,Milestones!$AA$128)&gt;=$S137),$V137,IF(AND($R137&lt;&gt;"",EDATE($D137,Milestones!$AA$128)&gt;=$R137),$U137,$T137)))=Milestones!$AB$128),TEXT(EDATE($D137,Milestones!$AA$128),"dd/mm/yy")&amp;" "&amp;Milestones!$AB$128&amp;" "&amp;Milestones!$AC$128&amp;";  ","")&amp;IF(AND(EDATE($D137,Milestones!$AA$129)&lt;=AsOfDate,IF($Q137=0,$W137,IF(AND($S137&lt;&gt;"",EDATE($D137,Milestones!$AA$129)&gt;=$S137),$V137,IF(AND($R137&lt;&gt;"",EDATE($D137,Milestones!$AA$129)&gt;=$R137),$U137,$T137)))=Milestones!$AB$129),TEXT(EDATE($D137,Milestones!$AA$129),"dd/mm/yy")&amp;" "&amp;Milestones!$AB$129&amp;" "&amp;Milestones!$AC$129&amp;";  ","")&amp;IF(AND(EDATE($D137,Milestones!$AA$130)&lt;=AsOfDate,IF($Q137=0,$W137,IF(AND($S137&lt;&gt;"",EDATE($D137,Milestones!$AA$130)&gt;=$S137),$V137,IF(AND($R137&lt;&gt;"",EDATE($D137,Milestones!$AA$130)&gt;=$R137),$U137,$T137)))=Milestones!$AB$130),TEXT(EDATE($D137,Milestones!$AA$130),"dd/mm/yy")&amp;" "&amp;Milestones!$AB$130&amp;" "&amp;Milestones!$AC$130&amp;";  ","")&amp;IF(AND(EDATE($D137,Milestones!$AA$131)&lt;=AsOfDate,IF($Q137=0,$W137,IF(AND($S137&lt;&gt;"",EDATE($D137,Milestones!$AA$131)&gt;=$S137),$V137,IF(AND($R137&lt;&gt;"",EDATE($D137,Milestones!$AA$131)&gt;=$R137),$U137,$T137)))=Milestones!$AB$131),TEXT(EDATE($D137,Milestones!$AA$131),"dd/mm/yy")&amp;" "&amp;Milestones!$AB$131&amp;" "&amp;Milestones!$AC$131&amp;";  ","")&amp;IF(AND(EDATE($D137,Milestones!$AA$132)&lt;=AsOfDate,IF($Q137=0,$W137,IF(AND($S137&lt;&gt;"",EDATE($D137,Milestones!$AA$132)&gt;=$S137),$V137,IF(AND($R137&lt;&gt;"",EDATE($D137,Milestones!$AA$132)&gt;=$R137),$U137,$T137)))=Milestones!$AB$132),TEXT(EDATE($D137,Milestones!$AA$132),"dd/mm/yy")&amp;" "&amp;Milestones!$AB$132&amp;" "&amp;Milestones!$AC$132&amp;";  ","")&amp;IF(AND(EDATE($D137,Milestones!$AA$133)&lt;=AsOfDate,IF($Q137=0,$W137,IF(AND($S137&lt;&gt;"",EDATE($D137,Milestones!$AA$133)&gt;=$S137),$V137,IF(AND($R137&lt;&gt;"",EDATE($D137,Milestones!$AA$133)&gt;=$R137),$U137,$T137)))=Milestones!$AB$133),TEXT(EDATE($D137,Milestones!$AA$133),"dd/mm/yy")&amp;" "&amp;Milestones!$AB$133&amp;" "&amp;Milestones!$AC$133&amp;";  ","")&amp;IF(AND(EDATE($D137,Milestones!$AA$134)&lt;=AsOfDate,IF($Q137=0,$W137,IF(AND($S137&lt;&gt;"",EDATE($D137,Milestones!$AA$134)&gt;=$S137),$V137,IF(AND($R137&lt;&gt;"",EDATE($D137,Milestones!$AA$134)&gt;=$R137),$U137,$T137)))=Milestones!$AB$134),TEXT(EDATE($D137,Milestones!$AA$134),"dd/mm/yy")&amp;" "&amp;Milestones!$AB$134&amp;" "&amp;Milestones!$AC$134&amp;";  ","")&amp;IF(AND(EDATE($D137,Milestones!$AA$135)&lt;=AsOfDate,IF($Q137=0,$W137,IF(AND($S137&lt;&gt;"",EDATE($D137,Milestones!$AA$135)&gt;=$S137),$V137,IF(AND($R137&lt;&gt;"",EDATE($D137,Milestones!$AA$135)&gt;=$R137),$U137,$T137)))=Milestones!$AB$135),TEXT(EDATE($D137,Milestones!$AA$135),"dd/mm/yy")&amp;" "&amp;Milestones!$AB$135&amp;" "&amp;Milestones!$AC$135&amp;";  ","")&amp;IF(AND(EDATE($D137,Milestones!$AA$136)&lt;=AsOfDate,IF($Q137=0,$W137,IF(AND($S137&lt;&gt;"",EDATE($D137,Milestones!$AA$136)&gt;=$S137),$V137,IF(AND($R137&lt;&gt;"",EDATE($D137,Milestones!$AA$136)&gt;=$R137),$U137,$T137)))=Milestones!$AB$136),TEXT(EDATE($D137,Milestones!$AA$136),"dd/mm/yy")&amp;" "&amp;Milestones!$AB$136&amp;" "&amp;Milestones!$AC$136&amp;";  ","")&amp;IF(AND(EDATE($D137,Milestones!$AA$137)&lt;=AsOfDate,IF($Q137=0,$W137,IF(AND($S137&lt;&gt;"",EDATE($D137,Milestones!$AA$137)&gt;=$S137),$V137,IF(AND($R137&lt;&gt;"",EDATE($D137,Milestones!$AA$137)&gt;=$R137),$U137,$T137)))=Milestones!$AB$137),TEXT(EDATE($D137,Milestones!$AA$137),"dd/mm/yy")&amp;" "&amp;Milestones!$AB$137&amp;" "&amp;Milestones!$AC$137&amp;";  ","")&amp;IF(AND(EDATE($D137,Milestones!$AA$138)&lt;=AsOfDate,IF($Q137=0,$W137,IF(AND($S137&lt;&gt;"",EDATE($D137,Milestones!$AA$138)&gt;=$S137),$V137,IF(AND($R137&lt;&gt;"",EDATE($D137,Milestones!$AA$138)&gt;=$R137),$U137,$T137)))=Milestones!$AB$138),TEXT(EDATE($D137,Milestones!$AA$138),"dd/mm/yy")&amp;" "&amp;Milestones!$AB$138&amp;" "&amp;Milestones!$AC$138&amp;";  ","")&amp;IF(AND(EDATE($D137,Milestones!$AA$139)&lt;=AsOfDate,IF($Q137=0,$W137,IF(AND($S137&lt;&gt;"",EDATE($D137,Milestones!$AA$139)&gt;=$S137),$V137,IF(AND($R137&lt;&gt;"",EDATE($D137,Milestones!$AA$139)&gt;=$R137),$U137,$T137)))=Milestones!$AB$139),TEXT(EDATE($D137,Milestones!$AA$139),"dd/mm/yy")&amp;" "&amp;Milestones!$AB$139&amp;" "&amp;Milestones!$AC$139&amp;";  ",""))</f>
        <v/>
      </c>
      <c r="N137" s="0" t="str">
        <f aca="false">IF(OR($A137="",$D137=""),"",IF(AND(EDATE($D137,Milestones!$AA$140)&lt;=AsOfDate,IF($Q137=0,$W137,IF(AND($S137&lt;&gt;"",EDATE($D137,Milestones!$AA$140)&gt;=$S137),$V137,IF(AND($R137&lt;&gt;"",EDATE($D137,Milestones!$AA$140)&gt;=$R137),$U137,$T137)))=Milestones!$AB$140),TEXT(EDATE($D137,Milestones!$AA$140),"dd/mm/yy")&amp;" "&amp;Milestones!$AB$140&amp;" "&amp;Milestones!$AC$140&amp;";  ","")&amp;IF(AND(EDATE($D137,Milestones!$AA$141)&lt;=AsOfDate,IF($Q137=0,$W137,IF(AND($S137&lt;&gt;"",EDATE($D137,Milestones!$AA$141)&gt;=$S137),$V137,IF(AND($R137&lt;&gt;"",EDATE($D137,Milestones!$AA$141)&gt;=$R137),$U137,$T137)))=Milestones!$AB$141),TEXT(EDATE($D137,Milestones!$AA$141),"dd/mm/yy")&amp;" "&amp;Milestones!$AB$141&amp;" "&amp;Milestones!$AC$141&amp;";  ","")&amp;IF(AND(EDATE($D137,Milestones!$AA$142)&lt;=AsOfDate,IF($Q137=0,$W137,IF(AND($S137&lt;&gt;"",EDATE($D137,Milestones!$AA$142)&gt;=$S137),$V137,IF(AND($R137&lt;&gt;"",EDATE($D137,Milestones!$AA$142)&gt;=$R137),$U137,$T137)))=Milestones!$AB$142),TEXT(EDATE($D137,Milestones!$AA$142),"dd/mm/yy")&amp;" "&amp;Milestones!$AB$142&amp;" "&amp;Milestones!$AC$142&amp;";  ","")&amp;IF(AND(EDATE($D137,Milestones!$AA$143)&lt;=AsOfDate,IF($Q137=0,$W137,IF(AND($S137&lt;&gt;"",EDATE($D137,Milestones!$AA$143)&gt;=$S137),$V137,IF(AND($R137&lt;&gt;"",EDATE($D137,Milestones!$AA$143)&gt;=$R137),$U137,$T137)))=Milestones!$AB$143),TEXT(EDATE($D137,Milestones!$AA$143),"dd/mm/yy")&amp;" "&amp;Milestones!$AB$143&amp;" "&amp;Milestones!$AC$143&amp;";  ","")&amp;IF(AND(EDATE($D137,Milestones!$AA$144)&lt;=AsOfDate,IF($Q137=0,$W137,IF(AND($S137&lt;&gt;"",EDATE($D137,Milestones!$AA$144)&gt;=$S137),$V137,IF(AND($R137&lt;&gt;"",EDATE($D137,Milestones!$AA$144)&gt;=$R137),$U137,$T137)))=Milestones!$AB$144),TEXT(EDATE($D137,Milestones!$AA$144),"dd/mm/yy")&amp;" "&amp;Milestones!$AB$144&amp;" "&amp;Milestones!$AC$144&amp;";  ","")&amp;IF(AND(EDATE($D137,Milestones!$AA$145)&lt;=AsOfDate,IF($Q137=0,$W137,IF(AND($S137&lt;&gt;"",EDATE($D137,Milestones!$AA$145)&gt;=$S137),$V137,IF(AND($R137&lt;&gt;"",EDATE($D137,Milestones!$AA$145)&gt;=$R137),$U137,$T137)))=Milestones!$AB$145),TEXT(EDATE($D137,Milestones!$AA$145),"dd/mm/yy")&amp;" "&amp;Milestones!$AB$145&amp;" "&amp;Milestones!$AC$145&amp;";  ","")&amp;IF(AND(EDATE($D137,Milestones!$AA$146)&lt;=AsOfDate,IF($Q137=0,$W137,IF(AND($S137&lt;&gt;"",EDATE($D137,Milestones!$AA$146)&gt;=$S137),$V137,IF(AND($R137&lt;&gt;"",EDATE($D137,Milestones!$AA$146)&gt;=$R137),$U137,$T137)))=Milestones!$AB$146),TEXT(EDATE($D137,Milestones!$AA$146),"dd/mm/yy")&amp;" "&amp;Milestones!$AB$146&amp;" "&amp;Milestones!$AC$146&amp;";  ","")&amp;IF(AND(EDATE($D137,Milestones!$AA$147)&lt;=AsOfDate,IF($Q137=0,$W137,IF(AND($S137&lt;&gt;"",EDATE($D137,Milestones!$AA$147)&gt;=$S137),$V137,IF(AND($R137&lt;&gt;"",EDATE($D137,Milestones!$AA$147)&gt;=$R137),$U137,$T137)))=Milestones!$AB$147),TEXT(EDATE($D137,Milestones!$AA$147),"dd/mm/yy")&amp;" "&amp;Milestones!$AB$147&amp;" "&amp;Milestones!$AC$147&amp;";  ","")&amp;IF(AND(EDATE($D137,Milestones!$AA$148)&lt;=AsOfDate,IF($Q137=0,$W137,IF(AND($S137&lt;&gt;"",EDATE($D137,Milestones!$AA$148)&gt;=$S137),$V137,IF(AND($R137&lt;&gt;"",EDATE($D137,Milestones!$AA$148)&gt;=$R137),$U137,$T137)))=Milestones!$AB$148),TEXT(EDATE($D137,Milestones!$AA$148),"dd/mm/yy")&amp;" "&amp;Milestones!$AB$148&amp;" "&amp;Milestones!$AC$148&amp;";  ","")&amp;IF(AND(EDATE($D137,Milestones!$AA$149)&lt;=AsOfDate,IF($Q137=0,$W137,IF(AND($S137&lt;&gt;"",EDATE($D137,Milestones!$AA$149)&gt;=$S137),$V137,IF(AND($R137&lt;&gt;"",EDATE($D137,Milestones!$AA$149)&gt;=$R137),$U137,$T137)))=Milestones!$AB$149),TEXT(EDATE($D137,Milestones!$AA$149),"dd/mm/yy")&amp;" "&amp;Milestones!$AB$149&amp;" "&amp;Milestones!$AC$149&amp;";  ","")&amp;IF(AND(EDATE($D137,Milestones!$AA$150)&lt;=AsOfDate,IF($Q137=0,$W137,IF(AND($S137&lt;&gt;"",EDATE($D137,Milestones!$AA$150)&gt;=$S137),$V137,IF(AND($R137&lt;&gt;"",EDATE($D137,Milestones!$AA$150)&gt;=$R137),$U137,$T137)))=Milestones!$AB$150),TEXT(EDATE($D137,Milestones!$AA$150),"dd/mm/yy")&amp;" "&amp;Milestones!$AB$150&amp;" "&amp;Milestones!$AC$150&amp;";  ","")&amp;IF(AND(EDATE($D137,Milestones!$AA$151)&lt;=AsOfDate,IF($Q137=0,$W137,IF(AND($S137&lt;&gt;"",EDATE($D137,Milestones!$AA$151)&gt;=$S137),$V137,IF(AND($R137&lt;&gt;"",EDATE($D137,Milestones!$AA$151)&gt;=$R137),$U137,$T137)))=Milestones!$AB$151),TEXT(EDATE($D137,Milestones!$AA$151),"dd/mm/yy")&amp;" "&amp;Milestones!$AB$151&amp;" "&amp;Milestones!$AC$151&amp;";  ","")&amp;IF(AND(EDATE($D137,Milestones!$AA$152)&lt;=AsOfDate,IF($Q137=0,$W137,IF(AND($S137&lt;&gt;"",EDATE($D137,Milestones!$AA$152)&gt;=$S137),$V137,IF(AND($R137&lt;&gt;"",EDATE($D137,Milestones!$AA$152)&gt;=$R137),$U137,$T137)))=Milestones!$AB$152),TEXT(EDATE($D137,Milestones!$AA$152),"dd/mm/yy")&amp;" "&amp;Milestones!$AB$152&amp;" "&amp;Milestones!$AC$152&amp;";  ","")&amp;IF(AND(EDATE($D137,Milestones!$AA$153)&lt;=AsOfDate,IF($Q137=0,$W137,IF(AND($S137&lt;&gt;"",EDATE($D137,Milestones!$AA$153)&gt;=$S137),$V137,IF(AND($R137&lt;&gt;"",EDATE($D137,Milestones!$AA$153)&gt;=$R137),$U137,$T137)))=Milestones!$AB$153),TEXT(EDATE($D137,Milestones!$AA$153),"dd/mm/yy")&amp;" "&amp;Milestones!$AB$153&amp;" "&amp;Milestones!$AC$153&amp;";  ","")&amp;IF(AND(EDATE($D137,Milestones!$AA$154)&lt;=AsOfDate,IF($Q137=0,$W137,IF(AND($S137&lt;&gt;"",EDATE($D137,Milestones!$AA$154)&gt;=$S137),$V137,IF(AND($R137&lt;&gt;"",EDATE($D137,Milestones!$AA$154)&gt;=$R137),$U137,$T137)))=Milestones!$AB$154),TEXT(EDATE($D137,Milestones!$AA$154),"dd/mm/yy")&amp;" "&amp;Milestones!$AB$154&amp;" "&amp;Milestones!$AC$154&amp;";  ","")&amp;IF(AND(EDATE($D137,Milestones!$AA$155)&lt;=AsOfDate,IF($Q137=0,$W137,IF(AND($S137&lt;&gt;"",EDATE($D137,Milestones!$AA$155)&gt;=$S137),$V137,IF(AND($R137&lt;&gt;"",EDATE($D137,Milestones!$AA$155)&gt;=$R137),$U137,$T137)))=Milestones!$AB$155),TEXT(EDATE($D137,Milestones!$AA$155),"dd/mm/yy")&amp;" "&amp;Milestones!$AB$155&amp;" "&amp;Milestones!$AC$155&amp;";  ","")&amp;IF(AND(EDATE($D137,Milestones!$AA$156)&lt;=AsOfDate,IF($Q137=0,$W137,IF(AND($S137&lt;&gt;"",EDATE($D137,Milestones!$AA$156)&gt;=$S137),$V137,IF(AND($R137&lt;&gt;"",EDATE($D137,Milestones!$AA$156)&gt;=$R137),$U137,$T137)))=Milestones!$AB$156),TEXT(EDATE($D137,Milestones!$AA$156),"dd/mm/yy")&amp;" "&amp;Milestones!$AB$156&amp;" "&amp;Milestones!$AC$156&amp;";  ","")&amp;IF(AND(EDATE($D137,Milestones!$AA$157)&lt;=AsOfDate,IF($Q137=0,$W137,IF(AND($S137&lt;&gt;"",EDATE($D137,Milestones!$AA$157)&gt;=$S137),$V137,IF(AND($R137&lt;&gt;"",EDATE($D137,Milestones!$AA$157)&gt;=$R137),$U137,$T137)))=Milestones!$AB$157),TEXT(EDATE($D137,Milestones!$AA$157),"dd/mm/yy")&amp;" "&amp;Milestones!$AB$157&amp;" "&amp;Milestones!$AC$157&amp;";  ","")&amp;IF(AND(EDATE($D137,Milestones!$AA$158)&lt;=AsOfDate,IF($Q137=0,$W137,IF(AND($S137&lt;&gt;"",EDATE($D137,Milestones!$AA$158)&gt;=$S137),$V137,IF(AND($R137&lt;&gt;"",EDATE($D137,Milestones!$AA$158)&gt;=$R137),$U137,$T137)))=Milestones!$AB$158),TEXT(EDATE($D137,Milestones!$AA$158),"dd/mm/yy")&amp;" "&amp;Milestones!$AB$158&amp;" "&amp;Milestones!$AC$158&amp;";  ","")&amp;IF(AND(EDATE($D137,Milestones!$AA$159)&lt;=AsOfDate,IF($Q137=0,$W137,IF(AND($S137&lt;&gt;"",EDATE($D137,Milestones!$AA$159)&gt;=$S137),$V137,IF(AND($R137&lt;&gt;"",EDATE($D137,Milestones!$AA$159)&gt;=$R137),$U137,$T137)))=Milestones!$AB$159),TEXT(EDATE($D137,Milestones!$AA$159),"dd/mm/yy")&amp;" "&amp;Milestones!$AB$159&amp;" "&amp;Milestones!$AC$159&amp;";  ",""))</f>
        <v/>
      </c>
      <c r="O137" s="0" t="str">
        <f aca="false">IF(OR($A137="",$D137=""),"",IF(AND(EDATE($D137,Milestones!$AA$160)&lt;=AsOfDate,IF($Q137=0,$W137,IF(AND($S137&lt;&gt;"",EDATE($D137,Milestones!$AA$160)&gt;=$S137),$V137,IF(AND($R137&lt;&gt;"",EDATE($D137,Milestones!$AA$160)&gt;=$R137),$U137,$T137)))=Milestones!$AB$160),TEXT(EDATE($D137,Milestones!$AA$160),"dd/mm/yy")&amp;" "&amp;Milestones!$AB$160&amp;" "&amp;Milestones!$AC$160&amp;";  ","")&amp;IF(AND(EDATE($D137,Milestones!$AA$161)&lt;=AsOfDate,IF($Q137=0,$W137,IF(AND($S137&lt;&gt;"",EDATE($D137,Milestones!$AA$161)&gt;=$S137),$V137,IF(AND($R137&lt;&gt;"",EDATE($D137,Milestones!$AA$161)&gt;=$R137),$U137,$T137)))=Milestones!$AB$161),TEXT(EDATE($D137,Milestones!$AA$161),"dd/mm/yy")&amp;" "&amp;Milestones!$AB$161&amp;" "&amp;Milestones!$AC$161&amp;";  ","")&amp;IF(AND(EDATE($D137,Milestones!$AA$162)&lt;=AsOfDate,IF($Q137=0,$W137,IF(AND($S137&lt;&gt;"",EDATE($D137,Milestones!$AA$162)&gt;=$S137),$V137,IF(AND($R137&lt;&gt;"",EDATE($D137,Milestones!$AA$162)&gt;=$R137),$U137,$T137)))=Milestones!$AB$162),TEXT(EDATE($D137,Milestones!$AA$162),"dd/mm/yy")&amp;" "&amp;Milestones!$AB$162&amp;" "&amp;Milestones!$AC$162&amp;";  ","")&amp;IF(AND(EDATE($D137,Milestones!$AA$163)&lt;=AsOfDate,IF($Q137=0,$W137,IF(AND($S137&lt;&gt;"",EDATE($D137,Milestones!$AA$163)&gt;=$S137),$V137,IF(AND($R137&lt;&gt;"",EDATE($D137,Milestones!$AA$163)&gt;=$R137),$U137,$T137)))=Milestones!$AB$163),TEXT(EDATE($D137,Milestones!$AA$163),"dd/mm/yy")&amp;" "&amp;Milestones!$AB$163&amp;" "&amp;Milestones!$AC$163&amp;";  ","")&amp;IF(AND(EDATE($D137,Milestones!$AA$164)&lt;=AsOfDate,IF($Q137=0,$W137,IF(AND($S137&lt;&gt;"",EDATE($D137,Milestones!$AA$164)&gt;=$S137),$V137,IF(AND($R137&lt;&gt;"",EDATE($D137,Milestones!$AA$164)&gt;=$R137),$U137,$T137)))=Milestones!$AB$164),TEXT(EDATE($D137,Milestones!$AA$164),"dd/mm/yy")&amp;" "&amp;Milestones!$AB$164&amp;" "&amp;Milestones!$AC$164&amp;";  ","")&amp;IF(AND(EDATE($D137,Milestones!$AA$165)&lt;=AsOfDate,IF($Q137=0,$W137,IF(AND($S137&lt;&gt;"",EDATE($D137,Milestones!$AA$165)&gt;=$S137),$V137,IF(AND($R137&lt;&gt;"",EDATE($D137,Milestones!$AA$165)&gt;=$R137),$U137,$T137)))=Milestones!$AB$165),TEXT(EDATE($D137,Milestones!$AA$165),"dd/mm/yy")&amp;" "&amp;Milestones!$AB$165&amp;" "&amp;Milestones!$AC$165&amp;";  ","")&amp;IF(AND(EDATE($D137,Milestones!$AA$166)&lt;=AsOfDate,IF($Q137=0,$W137,IF(AND($S137&lt;&gt;"",EDATE($D137,Milestones!$AA$166)&gt;=$S137),$V137,IF(AND($R137&lt;&gt;"",EDATE($D137,Milestones!$AA$166)&gt;=$R137),$U137,$T137)))=Milestones!$AB$166),TEXT(EDATE($D137,Milestones!$AA$166),"dd/mm/yy")&amp;" "&amp;Milestones!$AB$166&amp;" "&amp;Milestones!$AC$166&amp;";  ","")&amp;IF(AND(EDATE($D137,Milestones!$AA$167)&lt;=AsOfDate,IF($Q137=0,$W137,IF(AND($S137&lt;&gt;"",EDATE($D137,Milestones!$AA$167)&gt;=$S137),$V137,IF(AND($R137&lt;&gt;"",EDATE($D137,Milestones!$AA$167)&gt;=$R137),$U137,$T137)))=Milestones!$AB$167),TEXT(EDATE($D137,Milestones!$AA$167),"dd/mm/yy")&amp;" "&amp;Milestones!$AB$167&amp;" "&amp;Milestones!$AC$167&amp;";  ","")&amp;IF(AND(EDATE($D137,Milestones!$AA$168)&lt;=AsOfDate,IF($Q137=0,$W137,IF(AND($S137&lt;&gt;"",EDATE($D137,Milestones!$AA$168)&gt;=$S137),$V137,IF(AND($R137&lt;&gt;"",EDATE($D137,Milestones!$AA$168)&gt;=$R137),$U137,$T137)))=Milestones!$AB$168),TEXT(EDATE($D137,Milestones!$AA$168),"dd/mm/yy")&amp;" "&amp;Milestones!$AB$168&amp;" "&amp;Milestones!$AC$168&amp;";  ","")&amp;IF(AND(EDATE($D137,Milestones!$AA$169)&lt;=AsOfDate,IF($Q137=0,$W137,IF(AND($S137&lt;&gt;"",EDATE($D137,Milestones!$AA$169)&gt;=$S137),$V137,IF(AND($R137&lt;&gt;"",EDATE($D137,Milestones!$AA$169)&gt;=$R137),$U137,$T137)))=Milestones!$AB$169),TEXT(EDATE($D137,Milestones!$AA$169),"dd/mm/yy")&amp;" "&amp;Milestones!$AB$169&amp;" "&amp;Milestones!$AC$169&amp;";  ","")&amp;IF(AND(EDATE($D137,Milestones!$AA$170)&lt;=AsOfDate,IF($Q137=0,$W137,IF(AND($S137&lt;&gt;"",EDATE($D137,Milestones!$AA$170)&gt;=$S137),$V137,IF(AND($R137&lt;&gt;"",EDATE($D137,Milestones!$AA$170)&gt;=$R137),$U137,$T137)))=Milestones!$AB$170),TEXT(EDATE($D137,Milestones!$AA$170),"dd/mm/yy")&amp;" "&amp;Milestones!$AB$170&amp;" "&amp;Milestones!$AC$170&amp;";  ","")&amp;IF(AND(EDATE($D137,Milestones!$AA$171)&lt;=AsOfDate,IF($Q137=0,$W137,IF(AND($S137&lt;&gt;"",EDATE($D137,Milestones!$AA$171)&gt;=$S137),$V137,IF(AND($R137&lt;&gt;"",EDATE($D137,Milestones!$AA$171)&gt;=$R137),$U137,$T137)))=Milestones!$AB$171),TEXT(EDATE($D137,Milestones!$AA$171),"dd/mm/yy")&amp;" "&amp;Milestones!$AB$171&amp;" "&amp;Milestones!$AC$171&amp;";  ","")&amp;IF(AND(EDATE($D137,Milestones!$AA$172)&lt;=AsOfDate,IF($Q137=0,$W137,IF(AND($S137&lt;&gt;"",EDATE($D137,Milestones!$AA$172)&gt;=$S137),$V137,IF(AND($R137&lt;&gt;"",EDATE($D137,Milestones!$AA$172)&gt;=$R137),$U137,$T137)))=Milestones!$AB$172),TEXT(EDATE($D137,Milestones!$AA$172),"dd/mm/yy")&amp;" "&amp;Milestones!$AB$172&amp;" "&amp;Milestones!$AC$172&amp;";  ","")&amp;IF(AND(EDATE($D137,Milestones!$AA$173)&lt;=AsOfDate,IF($Q137=0,$W137,IF(AND($S137&lt;&gt;"",EDATE($D137,Milestones!$AA$173)&gt;=$S137),$V137,IF(AND($R137&lt;&gt;"",EDATE($D137,Milestones!$AA$173)&gt;=$R137),$U137,$T137)))=Milestones!$AB$173),TEXT(EDATE($D137,Milestones!$AA$173),"dd/mm/yy")&amp;" "&amp;Milestones!$AB$173&amp;" "&amp;Milestones!$AC$173&amp;";  ","")&amp;IF(AND(EDATE($D137,Milestones!$AA$174)&lt;=AsOfDate,IF($Q137=0,$W137,IF(AND($S137&lt;&gt;"",EDATE($D137,Milestones!$AA$174)&gt;=$S137),$V137,IF(AND($R137&lt;&gt;"",EDATE($D137,Milestones!$AA$174)&gt;=$R137),$U137,$T137)))=Milestones!$AB$174),TEXT(EDATE($D137,Milestones!$AA$174),"dd/mm/yy")&amp;" "&amp;Milestones!$AB$174&amp;" "&amp;Milestones!$AC$174&amp;";  ","")&amp;IF(AND(EDATE($D137,Milestones!$AA$175)&lt;=AsOfDate,IF($Q137=0,$W137,IF(AND($S137&lt;&gt;"",EDATE($D137,Milestones!$AA$175)&gt;=$S137),$V137,IF(AND($R137&lt;&gt;"",EDATE($D137,Milestones!$AA$175)&gt;=$R137),$U137,$T137)))=Milestones!$AB$175),TEXT(EDATE($D137,Milestones!$AA$175),"dd/mm/yy")&amp;" "&amp;Milestones!$AB$175&amp;" "&amp;Milestones!$AC$175&amp;";  ","")&amp;IF(AND(EDATE($D137,Milestones!$AA$176)&lt;=AsOfDate,IF($Q137=0,$W137,IF(AND($S137&lt;&gt;"",EDATE($D137,Milestones!$AA$176)&gt;=$S137),$V137,IF(AND($R137&lt;&gt;"",EDATE($D137,Milestones!$AA$176)&gt;=$R137),$U137,$T137)))=Milestones!$AB$176),TEXT(EDATE($D137,Milestones!$AA$176),"dd/mm/yy")&amp;" "&amp;Milestones!$AB$176&amp;" "&amp;Milestones!$AC$176&amp;";  ","")&amp;IF(AND(EDATE($D137,Milestones!$AA$177)&lt;=AsOfDate,IF($Q137=0,$W137,IF(AND($S137&lt;&gt;"",EDATE($D137,Milestones!$AA$177)&gt;=$S137),$V137,IF(AND($R137&lt;&gt;"",EDATE($D137,Milestones!$AA$177)&gt;=$R137),$U137,$T137)))=Milestones!$AB$177),TEXT(EDATE($D137,Milestones!$AA$177),"dd/mm/yy")&amp;" "&amp;Milestones!$AB$177&amp;" "&amp;Milestones!$AC$177&amp;";  ","")&amp;IF(AND(EDATE($D137,Milestones!$AA$178)&lt;=AsOfDate,IF($Q137=0,$W137,IF(AND($S137&lt;&gt;"",EDATE($D137,Milestones!$AA$178)&gt;=$S137),$V137,IF(AND($R137&lt;&gt;"",EDATE($D137,Milestones!$AA$178)&gt;=$R137),$U137,$T137)))=Milestones!$AB$178),TEXT(EDATE($D137,Milestones!$AA$178),"dd/mm/yy")&amp;" "&amp;Milestones!$AB$178&amp;" "&amp;Milestones!$AC$178&amp;";  ","")&amp;IF(AND(EDATE($D137,Milestones!$AA$179)&lt;=AsOfDate,IF($Q137=0,$W137,IF(AND($S137&lt;&gt;"",EDATE($D137,Milestones!$AA$179)&gt;=$S137),$V137,IF(AND($R137&lt;&gt;"",EDATE($D137,Milestones!$AA$179)&gt;=$R137),$U137,$T137)))=Milestones!$AB$179),TEXT(EDATE($D137,Milestones!$AA$179),"dd/mm/yy")&amp;" "&amp;Milestones!$AB$179&amp;" "&amp;Milestones!$AC$179&amp;";  ",""))</f>
        <v/>
      </c>
      <c r="P137" s="0" t="str">
        <f aca="false">IF(OR($A137="",$D137=""),"",IF(AND(EDATE($D137,Milestones!$AA$180)&lt;=AsOfDate,IF($Q137=0,$W137,IF(AND($S137&lt;&gt;"",EDATE($D137,Milestones!$AA$180)&gt;=$S137),$V137,IF(AND($R137&lt;&gt;"",EDATE($D137,Milestones!$AA$180)&gt;=$R137),$U137,$T137)))=Milestones!$AB$180),TEXT(EDATE($D137,Milestones!$AA$180),"dd/mm/yy")&amp;" "&amp;Milestones!$AB$180&amp;" "&amp;Milestones!$AC$180&amp;";  ","")&amp;IF(AND(EDATE($D137,Milestones!$AA$181)&lt;=AsOfDate,IF($Q137=0,$W137,IF(AND($S137&lt;&gt;"",EDATE($D137,Milestones!$AA$181)&gt;=$S137),$V137,IF(AND($R137&lt;&gt;"",EDATE($D137,Milestones!$AA$181)&gt;=$R137),$U137,$T137)))=Milestones!$AB$181),TEXT(EDATE($D137,Milestones!$AA$181),"dd/mm/yy")&amp;" "&amp;Milestones!$AB$181&amp;" "&amp;Milestones!$AC$181&amp;";  ","")&amp;IF(AND(EDATE($D137,Milestones!$AA$182)&lt;=AsOfDate,IF($Q137=0,$W137,IF(AND($S137&lt;&gt;"",EDATE($D137,Milestones!$AA$182)&gt;=$S137),$V137,IF(AND($R137&lt;&gt;"",EDATE($D137,Milestones!$AA$182)&gt;=$R137),$U137,$T137)))=Milestones!$AB$182),TEXT(EDATE($D137,Milestones!$AA$182),"dd/mm/yy")&amp;" "&amp;Milestones!$AB$182&amp;" "&amp;Milestones!$AC$182&amp;";  ","")&amp;IF(AND(EDATE($D137,Milestones!$AA$183)&lt;=AsOfDate,IF($Q137=0,$W137,IF(AND($S137&lt;&gt;"",EDATE($D137,Milestones!$AA$183)&gt;=$S137),$V137,IF(AND($R137&lt;&gt;"",EDATE($D137,Milestones!$AA$183)&gt;=$R137),$U137,$T137)))=Milestones!$AB$183),TEXT(EDATE($D137,Milestones!$AA$183),"dd/mm/yy")&amp;" "&amp;Milestones!$AB$183&amp;" "&amp;Milestones!$AC$183&amp;";  ","")&amp;IF(AND(EDATE($D137,Milestones!$AA$184)&lt;=AsOfDate,IF($Q137=0,$W137,IF(AND($S137&lt;&gt;"",EDATE($D137,Milestones!$AA$184)&gt;=$S137),$V137,IF(AND($R137&lt;&gt;"",EDATE($D137,Milestones!$AA$184)&gt;=$R137),$U137,$T137)))=Milestones!$AB$184),TEXT(EDATE($D137,Milestones!$AA$184),"dd/mm/yy")&amp;" "&amp;Milestones!$AB$184&amp;" "&amp;Milestones!$AC$184&amp;";  ","")&amp;IF(AND(EDATE($D137,Milestones!$AA$185)&lt;=AsOfDate,IF($Q137=0,$W137,IF(AND($S137&lt;&gt;"",EDATE($D137,Milestones!$AA$185)&gt;=$S137),$V137,IF(AND($R137&lt;&gt;"",EDATE($D137,Milestones!$AA$185)&gt;=$R137),$U137,$T137)))=Milestones!$AB$185),TEXT(EDATE($D137,Milestones!$AA$185),"dd/mm/yy")&amp;" "&amp;Milestones!$AB$185&amp;" "&amp;Milestones!$AC$185&amp;";  ","")&amp;IF(AND(EDATE($D137,Milestones!$AA$186)&lt;=AsOfDate,IF($Q137=0,$W137,IF(AND($S137&lt;&gt;"",EDATE($D137,Milestones!$AA$186)&gt;=$S137),$V137,IF(AND($R137&lt;&gt;"",EDATE($D137,Milestones!$AA$186)&gt;=$R137),$U137,$T137)))=Milestones!$AB$186),TEXT(EDATE($D137,Milestones!$AA$186),"dd/mm/yy")&amp;" "&amp;Milestones!$AB$186&amp;" "&amp;Milestones!$AC$186&amp;";  ","")&amp;IF(AND(EDATE($D137,Milestones!$AA$187)&lt;=AsOfDate,IF($Q137=0,$W137,IF(AND($S137&lt;&gt;"",EDATE($D137,Milestones!$AA$187)&gt;=$S137),$V137,IF(AND($R137&lt;&gt;"",EDATE($D137,Milestones!$AA$187)&gt;=$R137),$U137,$T137)))=Milestones!$AB$187),TEXT(EDATE($D137,Milestones!$AA$187),"dd/mm/yy")&amp;" "&amp;Milestones!$AB$187&amp;" "&amp;Milestones!$AC$187&amp;";  ","")&amp;IF(AND(EDATE($D137,Milestones!$AA$188)&lt;=AsOfDate,IF($Q137=0,$W137,IF(AND($S137&lt;&gt;"",EDATE($D137,Milestones!$AA$188)&gt;=$S137),$V137,IF(AND($R137&lt;&gt;"",EDATE($D137,Milestones!$AA$188)&gt;=$R137),$U137,$T137)))=Milestones!$AB$188),TEXT(EDATE($D137,Milestones!$AA$188),"dd/mm/yy")&amp;" "&amp;Milestones!$AB$188&amp;" "&amp;Milestones!$AC$188&amp;";  ","")&amp;IF(AND(EDATE($D137,Milestones!$AA$189)&lt;=AsOfDate,IF($Q137=0,$W137,IF(AND($S137&lt;&gt;"",EDATE($D137,Milestones!$AA$189)&gt;=$S137),$V137,IF(AND($R137&lt;&gt;"",EDATE($D137,Milestones!$AA$189)&gt;=$R137),$U137,$T137)))=Milestones!$AB$189),TEXT(EDATE($D137,Milestones!$AA$189),"dd/mm/yy")&amp;" "&amp;Milestones!$AB$189&amp;" "&amp;Milestones!$AC$189&amp;";  ","")&amp;IF(AND(EDATE($D137,Milestones!$AA$190)&lt;=AsOfDate,IF($Q137=0,$W137,IF(AND($S137&lt;&gt;"",EDATE($D137,Milestones!$AA$190)&gt;=$S137),$V137,IF(AND($R137&lt;&gt;"",EDATE($D137,Milestones!$AA$190)&gt;=$R137),$U137,$T137)))=Milestones!$AB$190),TEXT(EDATE($D137,Milestones!$AA$190),"dd/mm/yy")&amp;" "&amp;Milestones!$AB$190&amp;" "&amp;Milestones!$AC$190&amp;";  ","")&amp;IF(AND(EDATE($D137,Milestones!$AA$191)&lt;=AsOfDate,IF($Q137=0,$W137,IF(AND($S137&lt;&gt;"",EDATE($D137,Milestones!$AA$191)&gt;=$S137),$V137,IF(AND($R137&lt;&gt;"",EDATE($D137,Milestones!$AA$191)&gt;=$R137),$U137,$T137)))=Milestones!$AB$191),TEXT(EDATE($D137,Milestones!$AA$191),"dd/mm/yy")&amp;" "&amp;Milestones!$AB$191&amp;" "&amp;Milestones!$AC$191&amp;";  ","")&amp;IF(AND(EDATE($D137,Milestones!$AA$192)&lt;=AsOfDate,IF($Q137=0,$W137,IF(AND($S137&lt;&gt;"",EDATE($D137,Milestones!$AA$192)&gt;=$S137),$V137,IF(AND($R137&lt;&gt;"",EDATE($D137,Milestones!$AA$192)&gt;=$R137),$U137,$T137)))=Milestones!$AB$192),TEXT(EDATE($D137,Milestones!$AA$192),"dd/mm/yy")&amp;" "&amp;Milestones!$AB$192&amp;" "&amp;Milestones!$AC$192&amp;";  ","")&amp;IF(AND(EDATE($D137,Milestones!$AA$193)&lt;=AsOfDate,IF($Q137=0,$W137,IF(AND($S137&lt;&gt;"",EDATE($D137,Milestones!$AA$193)&gt;=$S137),$V137,IF(AND($R137&lt;&gt;"",EDATE($D137,Milestones!$AA$193)&gt;=$R137),$U137,$T137)))=Milestones!$AB$193),TEXT(EDATE($D137,Milestones!$AA$193),"dd/mm/yy")&amp;" "&amp;Milestones!$AB$193&amp;" "&amp;Milestones!$AC$193&amp;";  ","")&amp;IF(AND(EDATE($D137,Milestones!$AA$194)&lt;=AsOfDate,IF($Q137=0,$W137,IF(AND($S137&lt;&gt;"",EDATE($D137,Milestones!$AA$194)&gt;=$S137),$V137,IF(AND($R137&lt;&gt;"",EDATE($D137,Milestones!$AA$194)&gt;=$R137),$U137,$T137)))=Milestones!$AB$194),TEXT(EDATE($D137,Milestones!$AA$194),"dd/mm/yy")&amp;" "&amp;Milestones!$AB$194&amp;" "&amp;Milestones!$AC$194&amp;";  ","")&amp;IF(AND(EDATE($D137,Milestones!$AA$195)&lt;=AsOfDate,IF($Q137=0,$W137,IF(AND($S137&lt;&gt;"",EDATE($D137,Milestones!$AA$195)&gt;=$S137),$V137,IF(AND($R137&lt;&gt;"",EDATE($D137,Milestones!$AA$195)&gt;=$R137),$U137,$T137)))=Milestones!$AB$195),TEXT(EDATE($D137,Milestones!$AA$195),"dd/mm/yy")&amp;" "&amp;Milestones!$AB$195&amp;" "&amp;Milestones!$AC$195&amp;";  ","")&amp;IF(AND(EDATE($D137,Milestones!$AA$196)&lt;=AsOfDate,IF($Q137=0,$W137,IF(AND($S137&lt;&gt;"",EDATE($D137,Milestones!$AA$196)&gt;=$S137),$V137,IF(AND($R137&lt;&gt;"",EDATE($D137,Milestones!$AA$196)&gt;=$R137),$U137,$T137)))=Milestones!$AB$196),TEXT(EDATE($D137,Milestones!$AA$196),"dd/mm/yy")&amp;" "&amp;Milestones!$AB$196&amp;" "&amp;Milestones!$AC$196&amp;";  ","")&amp;IF(AND(EDATE($D137,Milestones!$AA$197)&lt;=AsOfDate,IF($Q137=0,$W137,IF(AND($S137&lt;&gt;"",EDATE($D137,Milestones!$AA$197)&gt;=$S137),$V137,IF(AND($R137&lt;&gt;"",EDATE($D137,Milestones!$AA$197)&gt;=$R137),$U137,$T137)))=Milestones!$AB$197),TEXT(EDATE($D137,Milestones!$AA$197),"dd/mm/yy")&amp;" "&amp;Milestones!$AB$197&amp;" "&amp;Milestones!$AC$197&amp;";  ","")&amp;IF(AND(EDATE($D137,Milestones!$AA$198)&lt;=AsOfDate,IF($Q137=0,$W137,IF(AND($S137&lt;&gt;"",EDATE($D137,Milestones!$AA$198)&gt;=$S137),$V137,IF(AND($R137&lt;&gt;"",EDATE($D137,Milestones!$AA$198)&gt;=$R137),$U137,$T137)))=Milestones!$AB$198),TEXT(EDATE($D137,Milestones!$AA$198),"dd/mm/yy")&amp;" "&amp;Milestones!$AB$198&amp;" "&amp;Milestones!$AC$198&amp;";  ","")&amp;IF(AND(EDATE($D137,Milestones!$AA$199)&lt;=AsOfDate,IF($Q137=0,$W137,IF(AND($S137&lt;&gt;"",EDATE($D137,Milestones!$AA$199)&gt;=$S137),$V137,IF(AND($R137&lt;&gt;"",EDATE($D137,Milestones!$AA$199)&gt;=$R137),$U137,$T137)))=Milestones!$AB$199),TEXT(EDATE($D137,Milestones!$AA$199),"dd/mm/yy")&amp;" "&amp;Milestones!$AB$199&amp;" "&amp;Milestones!$AC$199&amp;";  ",""))</f>
        <v/>
      </c>
      <c r="Q137" s="0" t="str">
        <f aca="false">IF(Staff!$A137="","",Staff!$AG137)</f>
        <v/>
      </c>
      <c r="R137" s="0" t="str">
        <f aca="false">IF(Staff!$A137="","",Staff!$AI137)</f>
        <v/>
      </c>
      <c r="S137" s="0" t="str">
        <f aca="false">IF(Staff!$A137="","",Staff!$AJ137)</f>
        <v/>
      </c>
      <c r="T137" s="0" t="str">
        <f aca="false">IF(Staff!$A137="","",Staff!$AN137)</f>
        <v/>
      </c>
      <c r="U137" s="0" t="str">
        <f aca="false">IF(Staff!$A137="","",Staff!$AO137)</f>
        <v/>
      </c>
      <c r="V137" s="0" t="str">
        <f aca="false">IF(Staff!$A137="","",Staff!$AP137)</f>
        <v/>
      </c>
      <c r="W137" s="0" t="str">
        <f aca="false">IF(Staff!$A137="","",Staff!$AQ137)</f>
        <v/>
      </c>
    </row>
    <row r="138" customFormat="false" ht="15" hidden="false" customHeight="false" outlineLevel="0" collapsed="false">
      <c r="A138" s="13" t="str">
        <f aca="false">IF(Staff!$A138="","",Staff!$A138)</f>
        <v/>
      </c>
      <c r="B138" s="13" t="str">
        <f aca="false">IF(Staff!$A138="","",Staff!$B138)</f>
        <v/>
      </c>
      <c r="C138" s="13" t="str">
        <f aca="false">IF(Staff!$A138="","",Staff!$C138)</f>
        <v/>
      </c>
      <c r="D138" s="11" t="str">
        <f aca="false">IF(Staff!$A138="","",Staff!$AF138)</f>
        <v/>
      </c>
      <c r="E138" s="13" t="str">
        <f aca="false">IF(Staff!$A138="","",Staff!$O138)</f>
        <v/>
      </c>
      <c r="F138" s="13" t="str">
        <f aca="false">IF(E138="","",E138*HoursPerDay)</f>
        <v/>
      </c>
      <c r="G138" s="26" t="str">
        <f aca="false">IF($A138="","",H138&amp;I138&amp;J138&amp;K138&amp;L138&amp;M138&amp;N138&amp;O138&amp;P138)</f>
        <v/>
      </c>
      <c r="H138" s="0" t="str">
        <f aca="false">IF(OR($A138="",$D138=""),"",IF(AND(EDATE($D138,Milestones!$AA$20)&lt;=AsOfDate,IF($Q138=0,$W138,IF(AND($S138&lt;&gt;"",EDATE($D138,Milestones!$AA$20)&gt;=$S138),$V138,IF(AND($R138&lt;&gt;"",EDATE($D138,Milestones!$AA$20)&gt;=$R138),$U138,$T138)))=Milestones!$AB$20),TEXT(EDATE($D138,Milestones!$AA$20),"dd/mm/yy")&amp;" "&amp;Milestones!$AB$20&amp;" "&amp;Milestones!$AC$20&amp;";  ","")&amp;IF(AND(EDATE($D138,Milestones!$AA$21)&lt;=AsOfDate,IF($Q138=0,$W138,IF(AND($S138&lt;&gt;"",EDATE($D138,Milestones!$AA$21)&gt;=$S138),$V138,IF(AND($R138&lt;&gt;"",EDATE($D138,Milestones!$AA$21)&gt;=$R138),$U138,$T138)))=Milestones!$AB$21),TEXT(EDATE($D138,Milestones!$AA$21),"dd/mm/yy")&amp;" "&amp;Milestones!$AB$21&amp;" "&amp;Milestones!$AC$21&amp;";  ","")&amp;IF(AND(EDATE($D138,Milestones!$AA$22)&lt;=AsOfDate,IF($Q138=0,$W138,IF(AND($S138&lt;&gt;"",EDATE($D138,Milestones!$AA$22)&gt;=$S138),$V138,IF(AND($R138&lt;&gt;"",EDATE($D138,Milestones!$AA$22)&gt;=$R138),$U138,$T138)))=Milestones!$AB$22),TEXT(EDATE($D138,Milestones!$AA$22),"dd/mm/yy")&amp;" "&amp;Milestones!$AB$22&amp;" "&amp;Milestones!$AC$22&amp;";  ","")&amp;IF(AND(EDATE($D138,Milestones!$AA$23)&lt;=AsOfDate,IF($Q138=0,$W138,IF(AND($S138&lt;&gt;"",EDATE($D138,Milestones!$AA$23)&gt;=$S138),$V138,IF(AND($R138&lt;&gt;"",EDATE($D138,Milestones!$AA$23)&gt;=$R138),$U138,$T138)))=Milestones!$AB$23),TEXT(EDATE($D138,Milestones!$AA$23),"dd/mm/yy")&amp;" "&amp;Milestones!$AB$23&amp;" "&amp;Milestones!$AC$23&amp;";  ","")&amp;IF(AND(EDATE($D138,Milestones!$AA$24)&lt;=AsOfDate,IF($Q138=0,$W138,IF(AND($S138&lt;&gt;"",EDATE($D138,Milestones!$AA$24)&gt;=$S138),$V138,IF(AND($R138&lt;&gt;"",EDATE($D138,Milestones!$AA$24)&gt;=$R138),$U138,$T138)))=Milestones!$AB$24),TEXT(EDATE($D138,Milestones!$AA$24),"dd/mm/yy")&amp;" "&amp;Milestones!$AB$24&amp;" "&amp;Milestones!$AC$24&amp;";  ","")&amp;IF(AND(EDATE($D138,Milestones!$AA$25)&lt;=AsOfDate,IF($Q138=0,$W138,IF(AND($S138&lt;&gt;"",EDATE($D138,Milestones!$AA$25)&gt;=$S138),$V138,IF(AND($R138&lt;&gt;"",EDATE($D138,Milestones!$AA$25)&gt;=$R138),$U138,$T138)))=Milestones!$AB$25),TEXT(EDATE($D138,Milestones!$AA$25),"dd/mm/yy")&amp;" "&amp;Milestones!$AB$25&amp;" "&amp;Milestones!$AC$25&amp;";  ","")&amp;IF(AND(EDATE($D138,Milestones!$AA$26)&lt;=AsOfDate,IF($Q138=0,$W138,IF(AND($S138&lt;&gt;"",EDATE($D138,Milestones!$AA$26)&gt;=$S138),$V138,IF(AND($R138&lt;&gt;"",EDATE($D138,Milestones!$AA$26)&gt;=$R138),$U138,$T138)))=Milestones!$AB$26),TEXT(EDATE($D138,Milestones!$AA$26),"dd/mm/yy")&amp;" "&amp;Milestones!$AB$26&amp;" "&amp;Milestones!$AC$26&amp;";  ","")&amp;IF(AND(EDATE($D138,Milestones!$AA$27)&lt;=AsOfDate,IF($Q138=0,$W138,IF(AND($S138&lt;&gt;"",EDATE($D138,Milestones!$AA$27)&gt;=$S138),$V138,IF(AND($R138&lt;&gt;"",EDATE($D138,Milestones!$AA$27)&gt;=$R138),$U138,$T138)))=Milestones!$AB$27),TEXT(EDATE($D138,Milestones!$AA$27),"dd/mm/yy")&amp;" "&amp;Milestones!$AB$27&amp;" "&amp;Milestones!$AC$27&amp;";  ","")&amp;IF(AND(EDATE($D138,Milestones!$AA$28)&lt;=AsOfDate,IF($Q138=0,$W138,IF(AND($S138&lt;&gt;"",EDATE($D138,Milestones!$AA$28)&gt;=$S138),$V138,IF(AND($R138&lt;&gt;"",EDATE($D138,Milestones!$AA$28)&gt;=$R138),$U138,$T138)))=Milestones!$AB$28),TEXT(EDATE($D138,Milestones!$AA$28),"dd/mm/yy")&amp;" "&amp;Milestones!$AB$28&amp;" "&amp;Milestones!$AC$28&amp;";  ","")&amp;IF(AND(EDATE($D138,Milestones!$AA$29)&lt;=AsOfDate,IF($Q138=0,$W138,IF(AND($S138&lt;&gt;"",EDATE($D138,Milestones!$AA$29)&gt;=$S138),$V138,IF(AND($R138&lt;&gt;"",EDATE($D138,Milestones!$AA$29)&gt;=$R138),$U138,$T138)))=Milestones!$AB$29),TEXT(EDATE($D138,Milestones!$AA$29),"dd/mm/yy")&amp;" "&amp;Milestones!$AB$29&amp;" "&amp;Milestones!$AC$29&amp;";  ","")&amp;IF(AND(EDATE($D138,Milestones!$AA$30)&lt;=AsOfDate,IF($Q138=0,$W138,IF(AND($S138&lt;&gt;"",EDATE($D138,Milestones!$AA$30)&gt;=$S138),$V138,IF(AND($R138&lt;&gt;"",EDATE($D138,Milestones!$AA$30)&gt;=$R138),$U138,$T138)))=Milestones!$AB$30),TEXT(EDATE($D138,Milestones!$AA$30),"dd/mm/yy")&amp;" "&amp;Milestones!$AB$30&amp;" "&amp;Milestones!$AC$30&amp;";  ","")&amp;IF(AND(EDATE($D138,Milestones!$AA$31)&lt;=AsOfDate,IF($Q138=0,$W138,IF(AND($S138&lt;&gt;"",EDATE($D138,Milestones!$AA$31)&gt;=$S138),$V138,IF(AND($R138&lt;&gt;"",EDATE($D138,Milestones!$AA$31)&gt;=$R138),$U138,$T138)))=Milestones!$AB$31),TEXT(EDATE($D138,Milestones!$AA$31),"dd/mm/yy")&amp;" "&amp;Milestones!$AB$31&amp;" "&amp;Milestones!$AC$31&amp;";  ","")&amp;IF(AND(EDATE($D138,Milestones!$AA$32)&lt;=AsOfDate,IF($Q138=0,$W138,IF(AND($S138&lt;&gt;"",EDATE($D138,Milestones!$AA$32)&gt;=$S138),$V138,IF(AND($R138&lt;&gt;"",EDATE($D138,Milestones!$AA$32)&gt;=$R138),$U138,$T138)))=Milestones!$AB$32),TEXT(EDATE($D138,Milestones!$AA$32),"dd/mm/yy")&amp;" "&amp;Milestones!$AB$32&amp;" "&amp;Milestones!$AC$32&amp;";  ","")&amp;IF(AND(EDATE($D138,Milestones!$AA$33)&lt;=AsOfDate,IF($Q138=0,$W138,IF(AND($S138&lt;&gt;"",EDATE($D138,Milestones!$AA$33)&gt;=$S138),$V138,IF(AND($R138&lt;&gt;"",EDATE($D138,Milestones!$AA$33)&gt;=$R138),$U138,$T138)))=Milestones!$AB$33),TEXT(EDATE($D138,Milestones!$AA$33),"dd/mm/yy")&amp;" "&amp;Milestones!$AB$33&amp;" "&amp;Milestones!$AC$33&amp;";  ","")&amp;IF(AND(EDATE($D138,Milestones!$AA$34)&lt;=AsOfDate,IF($Q138=0,$W138,IF(AND($S138&lt;&gt;"",EDATE($D138,Milestones!$AA$34)&gt;=$S138),$V138,IF(AND($R138&lt;&gt;"",EDATE($D138,Milestones!$AA$34)&gt;=$R138),$U138,$T138)))=Milestones!$AB$34),TEXT(EDATE($D138,Milestones!$AA$34),"dd/mm/yy")&amp;" "&amp;Milestones!$AB$34&amp;" "&amp;Milestones!$AC$34&amp;";  ","")&amp;IF(AND(EDATE($D138,Milestones!$AA$35)&lt;=AsOfDate,IF($Q138=0,$W138,IF(AND($S138&lt;&gt;"",EDATE($D138,Milestones!$AA$35)&gt;=$S138),$V138,IF(AND($R138&lt;&gt;"",EDATE($D138,Milestones!$AA$35)&gt;=$R138),$U138,$T138)))=Milestones!$AB$35),TEXT(EDATE($D138,Milestones!$AA$35),"dd/mm/yy")&amp;" "&amp;Milestones!$AB$35&amp;" "&amp;Milestones!$AC$35&amp;";  ","")&amp;IF(AND(EDATE($D138,Milestones!$AA$36)&lt;=AsOfDate,IF($Q138=0,$W138,IF(AND($S138&lt;&gt;"",EDATE($D138,Milestones!$AA$36)&gt;=$S138),$V138,IF(AND($R138&lt;&gt;"",EDATE($D138,Milestones!$AA$36)&gt;=$R138),$U138,$T138)))=Milestones!$AB$36),TEXT(EDATE($D138,Milestones!$AA$36),"dd/mm/yy")&amp;" "&amp;Milestones!$AB$36&amp;" "&amp;Milestones!$AC$36&amp;";  ","")&amp;IF(AND(EDATE($D138,Milestones!$AA$37)&lt;=AsOfDate,IF($Q138=0,$W138,IF(AND($S138&lt;&gt;"",EDATE($D138,Milestones!$AA$37)&gt;=$S138),$V138,IF(AND($R138&lt;&gt;"",EDATE($D138,Milestones!$AA$37)&gt;=$R138),$U138,$T138)))=Milestones!$AB$37),TEXT(EDATE($D138,Milestones!$AA$37),"dd/mm/yy")&amp;" "&amp;Milestones!$AB$37&amp;" "&amp;Milestones!$AC$37&amp;";  ","")&amp;IF(AND(EDATE($D138,Milestones!$AA$38)&lt;=AsOfDate,IF($Q138=0,$W138,IF(AND($S138&lt;&gt;"",EDATE($D138,Milestones!$AA$38)&gt;=$S138),$V138,IF(AND($R138&lt;&gt;"",EDATE($D138,Milestones!$AA$38)&gt;=$R138),$U138,$T138)))=Milestones!$AB$38),TEXT(EDATE($D138,Milestones!$AA$38),"dd/mm/yy")&amp;" "&amp;Milestones!$AB$38&amp;" "&amp;Milestones!$AC$38&amp;";  ","")&amp;IF(AND(EDATE($D138,Milestones!$AA$39)&lt;=AsOfDate,IF($Q138=0,$W138,IF(AND($S138&lt;&gt;"",EDATE($D138,Milestones!$AA$39)&gt;=$S138),$V138,IF(AND($R138&lt;&gt;"",EDATE($D138,Milestones!$AA$39)&gt;=$R138),$U138,$T138)))=Milestones!$AB$39),TEXT(EDATE($D138,Milestones!$AA$39),"dd/mm/yy")&amp;" "&amp;Milestones!$AB$39&amp;" "&amp;Milestones!$AC$39&amp;";  ",""))</f>
        <v/>
      </c>
      <c r="I138" s="0" t="str">
        <f aca="false">IF(OR($A138="",$D138=""),"",IF(AND(EDATE($D138,Milestones!$AA$40)&lt;=AsOfDate,IF($Q138=0,$W138,IF(AND($S138&lt;&gt;"",EDATE($D138,Milestones!$AA$40)&gt;=$S138),$V138,IF(AND($R138&lt;&gt;"",EDATE($D138,Milestones!$AA$40)&gt;=$R138),$U138,$T138)))=Milestones!$AB$40),TEXT(EDATE($D138,Milestones!$AA$40),"dd/mm/yy")&amp;" "&amp;Milestones!$AB$40&amp;" "&amp;Milestones!$AC$40&amp;";  ","")&amp;IF(AND(EDATE($D138,Milestones!$AA$41)&lt;=AsOfDate,IF($Q138=0,$W138,IF(AND($S138&lt;&gt;"",EDATE($D138,Milestones!$AA$41)&gt;=$S138),$V138,IF(AND($R138&lt;&gt;"",EDATE($D138,Milestones!$AA$41)&gt;=$R138),$U138,$T138)))=Milestones!$AB$41),TEXT(EDATE($D138,Milestones!$AA$41),"dd/mm/yy")&amp;" "&amp;Milestones!$AB$41&amp;" "&amp;Milestones!$AC$41&amp;";  ","")&amp;IF(AND(EDATE($D138,Milestones!$AA$42)&lt;=AsOfDate,IF($Q138=0,$W138,IF(AND($S138&lt;&gt;"",EDATE($D138,Milestones!$AA$42)&gt;=$S138),$V138,IF(AND($R138&lt;&gt;"",EDATE($D138,Milestones!$AA$42)&gt;=$R138),$U138,$T138)))=Milestones!$AB$42),TEXT(EDATE($D138,Milestones!$AA$42),"dd/mm/yy")&amp;" "&amp;Milestones!$AB$42&amp;" "&amp;Milestones!$AC$42&amp;";  ","")&amp;IF(AND(EDATE($D138,Milestones!$AA$43)&lt;=AsOfDate,IF($Q138=0,$W138,IF(AND($S138&lt;&gt;"",EDATE($D138,Milestones!$AA$43)&gt;=$S138),$V138,IF(AND($R138&lt;&gt;"",EDATE($D138,Milestones!$AA$43)&gt;=$R138),$U138,$T138)))=Milestones!$AB$43),TEXT(EDATE($D138,Milestones!$AA$43),"dd/mm/yy")&amp;" "&amp;Milestones!$AB$43&amp;" "&amp;Milestones!$AC$43&amp;";  ","")&amp;IF(AND(EDATE($D138,Milestones!$AA$44)&lt;=AsOfDate,IF($Q138=0,$W138,IF(AND($S138&lt;&gt;"",EDATE($D138,Milestones!$AA$44)&gt;=$S138),$V138,IF(AND($R138&lt;&gt;"",EDATE($D138,Milestones!$AA$44)&gt;=$R138),$U138,$T138)))=Milestones!$AB$44),TEXT(EDATE($D138,Milestones!$AA$44),"dd/mm/yy")&amp;" "&amp;Milestones!$AB$44&amp;" "&amp;Milestones!$AC$44&amp;";  ","")&amp;IF(AND(EDATE($D138,Milestones!$AA$45)&lt;=AsOfDate,IF($Q138=0,$W138,IF(AND($S138&lt;&gt;"",EDATE($D138,Milestones!$AA$45)&gt;=$S138),$V138,IF(AND($R138&lt;&gt;"",EDATE($D138,Milestones!$AA$45)&gt;=$R138),$U138,$T138)))=Milestones!$AB$45),TEXT(EDATE($D138,Milestones!$AA$45),"dd/mm/yy")&amp;" "&amp;Milestones!$AB$45&amp;" "&amp;Milestones!$AC$45&amp;";  ","")&amp;IF(AND(EDATE($D138,Milestones!$AA$46)&lt;=AsOfDate,IF($Q138=0,$W138,IF(AND($S138&lt;&gt;"",EDATE($D138,Milestones!$AA$46)&gt;=$S138),$V138,IF(AND($R138&lt;&gt;"",EDATE($D138,Milestones!$AA$46)&gt;=$R138),$U138,$T138)))=Milestones!$AB$46),TEXT(EDATE($D138,Milestones!$AA$46),"dd/mm/yy")&amp;" "&amp;Milestones!$AB$46&amp;" "&amp;Milestones!$AC$46&amp;";  ","")&amp;IF(AND(EDATE($D138,Milestones!$AA$47)&lt;=AsOfDate,IF($Q138=0,$W138,IF(AND($S138&lt;&gt;"",EDATE($D138,Milestones!$AA$47)&gt;=$S138),$V138,IF(AND($R138&lt;&gt;"",EDATE($D138,Milestones!$AA$47)&gt;=$R138),$U138,$T138)))=Milestones!$AB$47),TEXT(EDATE($D138,Milestones!$AA$47),"dd/mm/yy")&amp;" "&amp;Milestones!$AB$47&amp;" "&amp;Milestones!$AC$47&amp;";  ","")&amp;IF(AND(EDATE($D138,Milestones!$AA$48)&lt;=AsOfDate,IF($Q138=0,$W138,IF(AND($S138&lt;&gt;"",EDATE($D138,Milestones!$AA$48)&gt;=$S138),$V138,IF(AND($R138&lt;&gt;"",EDATE($D138,Milestones!$AA$48)&gt;=$R138),$U138,$T138)))=Milestones!$AB$48),TEXT(EDATE($D138,Milestones!$AA$48),"dd/mm/yy")&amp;" "&amp;Milestones!$AB$48&amp;" "&amp;Milestones!$AC$48&amp;";  ","")&amp;IF(AND(EDATE($D138,Milestones!$AA$49)&lt;=AsOfDate,IF($Q138=0,$W138,IF(AND($S138&lt;&gt;"",EDATE($D138,Milestones!$AA$49)&gt;=$S138),$V138,IF(AND($R138&lt;&gt;"",EDATE($D138,Milestones!$AA$49)&gt;=$R138),$U138,$T138)))=Milestones!$AB$49),TEXT(EDATE($D138,Milestones!$AA$49),"dd/mm/yy")&amp;" "&amp;Milestones!$AB$49&amp;" "&amp;Milestones!$AC$49&amp;";  ","")&amp;IF(AND(EDATE($D138,Milestones!$AA$50)&lt;=AsOfDate,IF($Q138=0,$W138,IF(AND($S138&lt;&gt;"",EDATE($D138,Milestones!$AA$50)&gt;=$S138),$V138,IF(AND($R138&lt;&gt;"",EDATE($D138,Milestones!$AA$50)&gt;=$R138),$U138,$T138)))=Milestones!$AB$50),TEXT(EDATE($D138,Milestones!$AA$50),"dd/mm/yy")&amp;" "&amp;Milestones!$AB$50&amp;" "&amp;Milestones!$AC$50&amp;";  ","")&amp;IF(AND(EDATE($D138,Milestones!$AA$51)&lt;=AsOfDate,IF($Q138=0,$W138,IF(AND($S138&lt;&gt;"",EDATE($D138,Milestones!$AA$51)&gt;=$S138),$V138,IF(AND($R138&lt;&gt;"",EDATE($D138,Milestones!$AA$51)&gt;=$R138),$U138,$T138)))=Milestones!$AB$51),TEXT(EDATE($D138,Milestones!$AA$51),"dd/mm/yy")&amp;" "&amp;Milestones!$AB$51&amp;" "&amp;Milestones!$AC$51&amp;";  ","")&amp;IF(AND(EDATE($D138,Milestones!$AA$52)&lt;=AsOfDate,IF($Q138=0,$W138,IF(AND($S138&lt;&gt;"",EDATE($D138,Milestones!$AA$52)&gt;=$S138),$V138,IF(AND($R138&lt;&gt;"",EDATE($D138,Milestones!$AA$52)&gt;=$R138),$U138,$T138)))=Milestones!$AB$52),TEXT(EDATE($D138,Milestones!$AA$52),"dd/mm/yy")&amp;" "&amp;Milestones!$AB$52&amp;" "&amp;Milestones!$AC$52&amp;";  ","")&amp;IF(AND(EDATE($D138,Milestones!$AA$53)&lt;=AsOfDate,IF($Q138=0,$W138,IF(AND($S138&lt;&gt;"",EDATE($D138,Milestones!$AA$53)&gt;=$S138),$V138,IF(AND($R138&lt;&gt;"",EDATE($D138,Milestones!$AA$53)&gt;=$R138),$U138,$T138)))=Milestones!$AB$53),TEXT(EDATE($D138,Milestones!$AA$53),"dd/mm/yy")&amp;" "&amp;Milestones!$AB$53&amp;" "&amp;Milestones!$AC$53&amp;";  ","")&amp;IF(AND(EDATE($D138,Milestones!$AA$54)&lt;=AsOfDate,IF($Q138=0,$W138,IF(AND($S138&lt;&gt;"",EDATE($D138,Milestones!$AA$54)&gt;=$S138),$V138,IF(AND($R138&lt;&gt;"",EDATE($D138,Milestones!$AA$54)&gt;=$R138),$U138,$T138)))=Milestones!$AB$54),TEXT(EDATE($D138,Milestones!$AA$54),"dd/mm/yy")&amp;" "&amp;Milestones!$AB$54&amp;" "&amp;Milestones!$AC$54&amp;";  ","")&amp;IF(AND(EDATE($D138,Milestones!$AA$55)&lt;=AsOfDate,IF($Q138=0,$W138,IF(AND($S138&lt;&gt;"",EDATE($D138,Milestones!$AA$55)&gt;=$S138),$V138,IF(AND($R138&lt;&gt;"",EDATE($D138,Milestones!$AA$55)&gt;=$R138),$U138,$T138)))=Milestones!$AB$55),TEXT(EDATE($D138,Milestones!$AA$55),"dd/mm/yy")&amp;" "&amp;Milestones!$AB$55&amp;" "&amp;Milestones!$AC$55&amp;";  ","")&amp;IF(AND(EDATE($D138,Milestones!$AA$56)&lt;=AsOfDate,IF($Q138=0,$W138,IF(AND($S138&lt;&gt;"",EDATE($D138,Milestones!$AA$56)&gt;=$S138),$V138,IF(AND($R138&lt;&gt;"",EDATE($D138,Milestones!$AA$56)&gt;=$R138),$U138,$T138)))=Milestones!$AB$56),TEXT(EDATE($D138,Milestones!$AA$56),"dd/mm/yy")&amp;" "&amp;Milestones!$AB$56&amp;" "&amp;Milestones!$AC$56&amp;";  ","")&amp;IF(AND(EDATE($D138,Milestones!$AA$57)&lt;=AsOfDate,IF($Q138=0,$W138,IF(AND($S138&lt;&gt;"",EDATE($D138,Milestones!$AA$57)&gt;=$S138),$V138,IF(AND($R138&lt;&gt;"",EDATE($D138,Milestones!$AA$57)&gt;=$R138),$U138,$T138)))=Milestones!$AB$57),TEXT(EDATE($D138,Milestones!$AA$57),"dd/mm/yy")&amp;" "&amp;Milestones!$AB$57&amp;" "&amp;Milestones!$AC$57&amp;";  ","")&amp;IF(AND(EDATE($D138,Milestones!$AA$58)&lt;=AsOfDate,IF($Q138=0,$W138,IF(AND($S138&lt;&gt;"",EDATE($D138,Milestones!$AA$58)&gt;=$S138),$V138,IF(AND($R138&lt;&gt;"",EDATE($D138,Milestones!$AA$58)&gt;=$R138),$U138,$T138)))=Milestones!$AB$58),TEXT(EDATE($D138,Milestones!$AA$58),"dd/mm/yy")&amp;" "&amp;Milestones!$AB$58&amp;" "&amp;Milestones!$AC$58&amp;";  ","")&amp;IF(AND(EDATE($D138,Milestones!$AA$59)&lt;=AsOfDate,IF($Q138=0,$W138,IF(AND($S138&lt;&gt;"",EDATE($D138,Milestones!$AA$59)&gt;=$S138),$V138,IF(AND($R138&lt;&gt;"",EDATE($D138,Milestones!$AA$59)&gt;=$R138),$U138,$T138)))=Milestones!$AB$59),TEXT(EDATE($D138,Milestones!$AA$59),"dd/mm/yy")&amp;" "&amp;Milestones!$AB$59&amp;" "&amp;Milestones!$AC$59&amp;";  ",""))</f>
        <v/>
      </c>
      <c r="J138" s="0" t="str">
        <f aca="false">IF(OR($A138="",$D138=""),"",IF(AND(EDATE($D138,Milestones!$AA$60)&lt;=AsOfDate,IF($Q138=0,$W138,IF(AND($S138&lt;&gt;"",EDATE($D138,Milestones!$AA$60)&gt;=$S138),$V138,IF(AND($R138&lt;&gt;"",EDATE($D138,Milestones!$AA$60)&gt;=$R138),$U138,$T138)))=Milestones!$AB$60),TEXT(EDATE($D138,Milestones!$AA$60),"dd/mm/yy")&amp;" "&amp;Milestones!$AB$60&amp;" "&amp;Milestones!$AC$60&amp;";  ","")&amp;IF(AND(EDATE($D138,Milestones!$AA$61)&lt;=AsOfDate,IF($Q138=0,$W138,IF(AND($S138&lt;&gt;"",EDATE($D138,Milestones!$AA$61)&gt;=$S138),$V138,IF(AND($R138&lt;&gt;"",EDATE($D138,Milestones!$AA$61)&gt;=$R138),$U138,$T138)))=Milestones!$AB$61),TEXT(EDATE($D138,Milestones!$AA$61),"dd/mm/yy")&amp;" "&amp;Milestones!$AB$61&amp;" "&amp;Milestones!$AC$61&amp;";  ","")&amp;IF(AND(EDATE($D138,Milestones!$AA$62)&lt;=AsOfDate,IF($Q138=0,$W138,IF(AND($S138&lt;&gt;"",EDATE($D138,Milestones!$AA$62)&gt;=$S138),$V138,IF(AND($R138&lt;&gt;"",EDATE($D138,Milestones!$AA$62)&gt;=$R138),$U138,$T138)))=Milestones!$AB$62),TEXT(EDATE($D138,Milestones!$AA$62),"dd/mm/yy")&amp;" "&amp;Milestones!$AB$62&amp;" "&amp;Milestones!$AC$62&amp;";  ","")&amp;IF(AND(EDATE($D138,Milestones!$AA$63)&lt;=AsOfDate,IF($Q138=0,$W138,IF(AND($S138&lt;&gt;"",EDATE($D138,Milestones!$AA$63)&gt;=$S138),$V138,IF(AND($R138&lt;&gt;"",EDATE($D138,Milestones!$AA$63)&gt;=$R138),$U138,$T138)))=Milestones!$AB$63),TEXT(EDATE($D138,Milestones!$AA$63),"dd/mm/yy")&amp;" "&amp;Milestones!$AB$63&amp;" "&amp;Milestones!$AC$63&amp;";  ","")&amp;IF(AND(EDATE($D138,Milestones!$AA$64)&lt;=AsOfDate,IF($Q138=0,$W138,IF(AND($S138&lt;&gt;"",EDATE($D138,Milestones!$AA$64)&gt;=$S138),$V138,IF(AND($R138&lt;&gt;"",EDATE($D138,Milestones!$AA$64)&gt;=$R138),$U138,$T138)))=Milestones!$AB$64),TEXT(EDATE($D138,Milestones!$AA$64),"dd/mm/yy")&amp;" "&amp;Milestones!$AB$64&amp;" "&amp;Milestones!$AC$64&amp;";  ","")&amp;IF(AND(EDATE($D138,Milestones!$AA$65)&lt;=AsOfDate,IF($Q138=0,$W138,IF(AND($S138&lt;&gt;"",EDATE($D138,Milestones!$AA$65)&gt;=$S138),$V138,IF(AND($R138&lt;&gt;"",EDATE($D138,Milestones!$AA$65)&gt;=$R138),$U138,$T138)))=Milestones!$AB$65),TEXT(EDATE($D138,Milestones!$AA$65),"dd/mm/yy")&amp;" "&amp;Milestones!$AB$65&amp;" "&amp;Milestones!$AC$65&amp;";  ","")&amp;IF(AND(EDATE($D138,Milestones!$AA$66)&lt;=AsOfDate,IF($Q138=0,$W138,IF(AND($S138&lt;&gt;"",EDATE($D138,Milestones!$AA$66)&gt;=$S138),$V138,IF(AND($R138&lt;&gt;"",EDATE($D138,Milestones!$AA$66)&gt;=$R138),$U138,$T138)))=Milestones!$AB$66),TEXT(EDATE($D138,Milestones!$AA$66),"dd/mm/yy")&amp;" "&amp;Milestones!$AB$66&amp;" "&amp;Milestones!$AC$66&amp;";  ","")&amp;IF(AND(EDATE($D138,Milestones!$AA$67)&lt;=AsOfDate,IF($Q138=0,$W138,IF(AND($S138&lt;&gt;"",EDATE($D138,Milestones!$AA$67)&gt;=$S138),$V138,IF(AND($R138&lt;&gt;"",EDATE($D138,Milestones!$AA$67)&gt;=$R138),$U138,$T138)))=Milestones!$AB$67),TEXT(EDATE($D138,Milestones!$AA$67),"dd/mm/yy")&amp;" "&amp;Milestones!$AB$67&amp;" "&amp;Milestones!$AC$67&amp;";  ","")&amp;IF(AND(EDATE($D138,Milestones!$AA$68)&lt;=AsOfDate,IF($Q138=0,$W138,IF(AND($S138&lt;&gt;"",EDATE($D138,Milestones!$AA$68)&gt;=$S138),$V138,IF(AND($R138&lt;&gt;"",EDATE($D138,Milestones!$AA$68)&gt;=$R138),$U138,$T138)))=Milestones!$AB$68),TEXT(EDATE($D138,Milestones!$AA$68),"dd/mm/yy")&amp;" "&amp;Milestones!$AB$68&amp;" "&amp;Milestones!$AC$68&amp;";  ","")&amp;IF(AND(EDATE($D138,Milestones!$AA$69)&lt;=AsOfDate,IF($Q138=0,$W138,IF(AND($S138&lt;&gt;"",EDATE($D138,Milestones!$AA$69)&gt;=$S138),$V138,IF(AND($R138&lt;&gt;"",EDATE($D138,Milestones!$AA$69)&gt;=$R138),$U138,$T138)))=Milestones!$AB$69),TEXT(EDATE($D138,Milestones!$AA$69),"dd/mm/yy")&amp;" "&amp;Milestones!$AB$69&amp;" "&amp;Milestones!$AC$69&amp;";  ","")&amp;IF(AND(EDATE($D138,Milestones!$AA$70)&lt;=AsOfDate,IF($Q138=0,$W138,IF(AND($S138&lt;&gt;"",EDATE($D138,Milestones!$AA$70)&gt;=$S138),$V138,IF(AND($R138&lt;&gt;"",EDATE($D138,Milestones!$AA$70)&gt;=$R138),$U138,$T138)))=Milestones!$AB$70),TEXT(EDATE($D138,Milestones!$AA$70),"dd/mm/yy")&amp;" "&amp;Milestones!$AB$70&amp;" "&amp;Milestones!$AC$70&amp;";  ","")&amp;IF(AND(EDATE($D138,Milestones!$AA$71)&lt;=AsOfDate,IF($Q138=0,$W138,IF(AND($S138&lt;&gt;"",EDATE($D138,Milestones!$AA$71)&gt;=$S138),$V138,IF(AND($R138&lt;&gt;"",EDATE($D138,Milestones!$AA$71)&gt;=$R138),$U138,$T138)))=Milestones!$AB$71),TEXT(EDATE($D138,Milestones!$AA$71),"dd/mm/yy")&amp;" "&amp;Milestones!$AB$71&amp;" "&amp;Milestones!$AC$71&amp;";  ","")&amp;IF(AND(EDATE($D138,Milestones!$AA$72)&lt;=AsOfDate,IF($Q138=0,$W138,IF(AND($S138&lt;&gt;"",EDATE($D138,Milestones!$AA$72)&gt;=$S138),$V138,IF(AND($R138&lt;&gt;"",EDATE($D138,Milestones!$AA$72)&gt;=$R138),$U138,$T138)))=Milestones!$AB$72),TEXT(EDATE($D138,Milestones!$AA$72),"dd/mm/yy")&amp;" "&amp;Milestones!$AB$72&amp;" "&amp;Milestones!$AC$72&amp;";  ","")&amp;IF(AND(EDATE($D138,Milestones!$AA$73)&lt;=AsOfDate,IF($Q138=0,$W138,IF(AND($S138&lt;&gt;"",EDATE($D138,Milestones!$AA$73)&gt;=$S138),$V138,IF(AND($R138&lt;&gt;"",EDATE($D138,Milestones!$AA$73)&gt;=$R138),$U138,$T138)))=Milestones!$AB$73),TEXT(EDATE($D138,Milestones!$AA$73),"dd/mm/yy")&amp;" "&amp;Milestones!$AB$73&amp;" "&amp;Milestones!$AC$73&amp;";  ","")&amp;IF(AND(EDATE($D138,Milestones!$AA$74)&lt;=AsOfDate,IF($Q138=0,$W138,IF(AND($S138&lt;&gt;"",EDATE($D138,Milestones!$AA$74)&gt;=$S138),$V138,IF(AND($R138&lt;&gt;"",EDATE($D138,Milestones!$AA$74)&gt;=$R138),$U138,$T138)))=Milestones!$AB$74),TEXT(EDATE($D138,Milestones!$AA$74),"dd/mm/yy")&amp;" "&amp;Milestones!$AB$74&amp;" "&amp;Milestones!$AC$74&amp;";  ","")&amp;IF(AND(EDATE($D138,Milestones!$AA$75)&lt;=AsOfDate,IF($Q138=0,$W138,IF(AND($S138&lt;&gt;"",EDATE($D138,Milestones!$AA$75)&gt;=$S138),$V138,IF(AND($R138&lt;&gt;"",EDATE($D138,Milestones!$AA$75)&gt;=$R138),$U138,$T138)))=Milestones!$AB$75),TEXT(EDATE($D138,Milestones!$AA$75),"dd/mm/yy")&amp;" "&amp;Milestones!$AB$75&amp;" "&amp;Milestones!$AC$75&amp;";  ","")&amp;IF(AND(EDATE($D138,Milestones!$AA$76)&lt;=AsOfDate,IF($Q138=0,$W138,IF(AND($S138&lt;&gt;"",EDATE($D138,Milestones!$AA$76)&gt;=$S138),$V138,IF(AND($R138&lt;&gt;"",EDATE($D138,Milestones!$AA$76)&gt;=$R138),$U138,$T138)))=Milestones!$AB$76),TEXT(EDATE($D138,Milestones!$AA$76),"dd/mm/yy")&amp;" "&amp;Milestones!$AB$76&amp;" "&amp;Milestones!$AC$76&amp;";  ","")&amp;IF(AND(EDATE($D138,Milestones!$AA$77)&lt;=AsOfDate,IF($Q138=0,$W138,IF(AND($S138&lt;&gt;"",EDATE($D138,Milestones!$AA$77)&gt;=$S138),$V138,IF(AND($R138&lt;&gt;"",EDATE($D138,Milestones!$AA$77)&gt;=$R138),$U138,$T138)))=Milestones!$AB$77),TEXT(EDATE($D138,Milestones!$AA$77),"dd/mm/yy")&amp;" "&amp;Milestones!$AB$77&amp;" "&amp;Milestones!$AC$77&amp;";  ","")&amp;IF(AND(EDATE($D138,Milestones!$AA$78)&lt;=AsOfDate,IF($Q138=0,$W138,IF(AND($S138&lt;&gt;"",EDATE($D138,Milestones!$AA$78)&gt;=$S138),$V138,IF(AND($R138&lt;&gt;"",EDATE($D138,Milestones!$AA$78)&gt;=$R138),$U138,$T138)))=Milestones!$AB$78),TEXT(EDATE($D138,Milestones!$AA$78),"dd/mm/yy")&amp;" "&amp;Milestones!$AB$78&amp;" "&amp;Milestones!$AC$78&amp;";  ","")&amp;IF(AND(EDATE($D138,Milestones!$AA$79)&lt;=AsOfDate,IF($Q138=0,$W138,IF(AND($S138&lt;&gt;"",EDATE($D138,Milestones!$AA$79)&gt;=$S138),$V138,IF(AND($R138&lt;&gt;"",EDATE($D138,Milestones!$AA$79)&gt;=$R138),$U138,$T138)))=Milestones!$AB$79),TEXT(EDATE($D138,Milestones!$AA$79),"dd/mm/yy")&amp;" "&amp;Milestones!$AB$79&amp;" "&amp;Milestones!$AC$79&amp;";  ",""))</f>
        <v/>
      </c>
      <c r="K138" s="0" t="str">
        <f aca="false">IF(OR($A138="",$D138=""),"",IF(AND(EDATE($D138,Milestones!$AA$80)&lt;=AsOfDate,IF($Q138=0,$W138,IF(AND($S138&lt;&gt;"",EDATE($D138,Milestones!$AA$80)&gt;=$S138),$V138,IF(AND($R138&lt;&gt;"",EDATE($D138,Milestones!$AA$80)&gt;=$R138),$U138,$T138)))=Milestones!$AB$80),TEXT(EDATE($D138,Milestones!$AA$80),"dd/mm/yy")&amp;" "&amp;Milestones!$AB$80&amp;" "&amp;Milestones!$AC$80&amp;";  ","")&amp;IF(AND(EDATE($D138,Milestones!$AA$81)&lt;=AsOfDate,IF($Q138=0,$W138,IF(AND($S138&lt;&gt;"",EDATE($D138,Milestones!$AA$81)&gt;=$S138),$V138,IF(AND($R138&lt;&gt;"",EDATE($D138,Milestones!$AA$81)&gt;=$R138),$U138,$T138)))=Milestones!$AB$81),TEXT(EDATE($D138,Milestones!$AA$81),"dd/mm/yy")&amp;" "&amp;Milestones!$AB$81&amp;" "&amp;Milestones!$AC$81&amp;";  ","")&amp;IF(AND(EDATE($D138,Milestones!$AA$82)&lt;=AsOfDate,IF($Q138=0,$W138,IF(AND($S138&lt;&gt;"",EDATE($D138,Milestones!$AA$82)&gt;=$S138),$V138,IF(AND($R138&lt;&gt;"",EDATE($D138,Milestones!$AA$82)&gt;=$R138),$U138,$T138)))=Milestones!$AB$82),TEXT(EDATE($D138,Milestones!$AA$82),"dd/mm/yy")&amp;" "&amp;Milestones!$AB$82&amp;" "&amp;Milestones!$AC$82&amp;";  ","")&amp;IF(AND(EDATE($D138,Milestones!$AA$83)&lt;=AsOfDate,IF($Q138=0,$W138,IF(AND($S138&lt;&gt;"",EDATE($D138,Milestones!$AA$83)&gt;=$S138),$V138,IF(AND($R138&lt;&gt;"",EDATE($D138,Milestones!$AA$83)&gt;=$R138),$U138,$T138)))=Milestones!$AB$83),TEXT(EDATE($D138,Milestones!$AA$83),"dd/mm/yy")&amp;" "&amp;Milestones!$AB$83&amp;" "&amp;Milestones!$AC$83&amp;";  ","")&amp;IF(AND(EDATE($D138,Milestones!$AA$84)&lt;=AsOfDate,IF($Q138=0,$W138,IF(AND($S138&lt;&gt;"",EDATE($D138,Milestones!$AA$84)&gt;=$S138),$V138,IF(AND($R138&lt;&gt;"",EDATE($D138,Milestones!$AA$84)&gt;=$R138),$U138,$T138)))=Milestones!$AB$84),TEXT(EDATE($D138,Milestones!$AA$84),"dd/mm/yy")&amp;" "&amp;Milestones!$AB$84&amp;" "&amp;Milestones!$AC$84&amp;";  ","")&amp;IF(AND(EDATE($D138,Milestones!$AA$85)&lt;=AsOfDate,IF($Q138=0,$W138,IF(AND($S138&lt;&gt;"",EDATE($D138,Milestones!$AA$85)&gt;=$S138),$V138,IF(AND($R138&lt;&gt;"",EDATE($D138,Milestones!$AA$85)&gt;=$R138),$U138,$T138)))=Milestones!$AB$85),TEXT(EDATE($D138,Milestones!$AA$85),"dd/mm/yy")&amp;" "&amp;Milestones!$AB$85&amp;" "&amp;Milestones!$AC$85&amp;";  ","")&amp;IF(AND(EDATE($D138,Milestones!$AA$86)&lt;=AsOfDate,IF($Q138=0,$W138,IF(AND($S138&lt;&gt;"",EDATE($D138,Milestones!$AA$86)&gt;=$S138),$V138,IF(AND($R138&lt;&gt;"",EDATE($D138,Milestones!$AA$86)&gt;=$R138),$U138,$T138)))=Milestones!$AB$86),TEXT(EDATE($D138,Milestones!$AA$86),"dd/mm/yy")&amp;" "&amp;Milestones!$AB$86&amp;" "&amp;Milestones!$AC$86&amp;";  ","")&amp;IF(AND(EDATE($D138,Milestones!$AA$87)&lt;=AsOfDate,IF($Q138=0,$W138,IF(AND($S138&lt;&gt;"",EDATE($D138,Milestones!$AA$87)&gt;=$S138),$V138,IF(AND($R138&lt;&gt;"",EDATE($D138,Milestones!$AA$87)&gt;=$R138),$U138,$T138)))=Milestones!$AB$87),TEXT(EDATE($D138,Milestones!$AA$87),"dd/mm/yy")&amp;" "&amp;Milestones!$AB$87&amp;" "&amp;Milestones!$AC$87&amp;";  ","")&amp;IF(AND(EDATE($D138,Milestones!$AA$88)&lt;=AsOfDate,IF($Q138=0,$W138,IF(AND($S138&lt;&gt;"",EDATE($D138,Milestones!$AA$88)&gt;=$S138),$V138,IF(AND($R138&lt;&gt;"",EDATE($D138,Milestones!$AA$88)&gt;=$R138),$U138,$T138)))=Milestones!$AB$88),TEXT(EDATE($D138,Milestones!$AA$88),"dd/mm/yy")&amp;" "&amp;Milestones!$AB$88&amp;" "&amp;Milestones!$AC$88&amp;";  ","")&amp;IF(AND(EDATE($D138,Milestones!$AA$89)&lt;=AsOfDate,IF($Q138=0,$W138,IF(AND($S138&lt;&gt;"",EDATE($D138,Milestones!$AA$89)&gt;=$S138),$V138,IF(AND($R138&lt;&gt;"",EDATE($D138,Milestones!$AA$89)&gt;=$R138),$U138,$T138)))=Milestones!$AB$89),TEXT(EDATE($D138,Milestones!$AA$89),"dd/mm/yy")&amp;" "&amp;Milestones!$AB$89&amp;" "&amp;Milestones!$AC$89&amp;";  ","")&amp;IF(AND(EDATE($D138,Milestones!$AA$90)&lt;=AsOfDate,IF($Q138=0,$W138,IF(AND($S138&lt;&gt;"",EDATE($D138,Milestones!$AA$90)&gt;=$S138),$V138,IF(AND($R138&lt;&gt;"",EDATE($D138,Milestones!$AA$90)&gt;=$R138),$U138,$T138)))=Milestones!$AB$90),TEXT(EDATE($D138,Milestones!$AA$90),"dd/mm/yy")&amp;" "&amp;Milestones!$AB$90&amp;" "&amp;Milestones!$AC$90&amp;";  ","")&amp;IF(AND(EDATE($D138,Milestones!$AA$91)&lt;=AsOfDate,IF($Q138=0,$W138,IF(AND($S138&lt;&gt;"",EDATE($D138,Milestones!$AA$91)&gt;=$S138),$V138,IF(AND($R138&lt;&gt;"",EDATE($D138,Milestones!$AA$91)&gt;=$R138),$U138,$T138)))=Milestones!$AB$91),TEXT(EDATE($D138,Milestones!$AA$91),"dd/mm/yy")&amp;" "&amp;Milestones!$AB$91&amp;" "&amp;Milestones!$AC$91&amp;";  ","")&amp;IF(AND(EDATE($D138,Milestones!$AA$92)&lt;=AsOfDate,IF($Q138=0,$W138,IF(AND($S138&lt;&gt;"",EDATE($D138,Milestones!$AA$92)&gt;=$S138),$V138,IF(AND($R138&lt;&gt;"",EDATE($D138,Milestones!$AA$92)&gt;=$R138),$U138,$T138)))=Milestones!$AB$92),TEXT(EDATE($D138,Milestones!$AA$92),"dd/mm/yy")&amp;" "&amp;Milestones!$AB$92&amp;" "&amp;Milestones!$AC$92&amp;";  ","")&amp;IF(AND(EDATE($D138,Milestones!$AA$93)&lt;=AsOfDate,IF($Q138=0,$W138,IF(AND($S138&lt;&gt;"",EDATE($D138,Milestones!$AA$93)&gt;=$S138),$V138,IF(AND($R138&lt;&gt;"",EDATE($D138,Milestones!$AA$93)&gt;=$R138),$U138,$T138)))=Milestones!$AB$93),TEXT(EDATE($D138,Milestones!$AA$93),"dd/mm/yy")&amp;" "&amp;Milestones!$AB$93&amp;" "&amp;Milestones!$AC$93&amp;";  ","")&amp;IF(AND(EDATE($D138,Milestones!$AA$94)&lt;=AsOfDate,IF($Q138=0,$W138,IF(AND($S138&lt;&gt;"",EDATE($D138,Milestones!$AA$94)&gt;=$S138),$V138,IF(AND($R138&lt;&gt;"",EDATE($D138,Milestones!$AA$94)&gt;=$R138),$U138,$T138)))=Milestones!$AB$94),TEXT(EDATE($D138,Milestones!$AA$94),"dd/mm/yy")&amp;" "&amp;Milestones!$AB$94&amp;" "&amp;Milestones!$AC$94&amp;";  ","")&amp;IF(AND(EDATE($D138,Milestones!$AA$95)&lt;=AsOfDate,IF($Q138=0,$W138,IF(AND($S138&lt;&gt;"",EDATE($D138,Milestones!$AA$95)&gt;=$S138),$V138,IF(AND($R138&lt;&gt;"",EDATE($D138,Milestones!$AA$95)&gt;=$R138),$U138,$T138)))=Milestones!$AB$95),TEXT(EDATE($D138,Milestones!$AA$95),"dd/mm/yy")&amp;" "&amp;Milestones!$AB$95&amp;" "&amp;Milestones!$AC$95&amp;";  ","")&amp;IF(AND(EDATE($D138,Milestones!$AA$96)&lt;=AsOfDate,IF($Q138=0,$W138,IF(AND($S138&lt;&gt;"",EDATE($D138,Milestones!$AA$96)&gt;=$S138),$V138,IF(AND($R138&lt;&gt;"",EDATE($D138,Milestones!$AA$96)&gt;=$R138),$U138,$T138)))=Milestones!$AB$96),TEXT(EDATE($D138,Milestones!$AA$96),"dd/mm/yy")&amp;" "&amp;Milestones!$AB$96&amp;" "&amp;Milestones!$AC$96&amp;";  ","")&amp;IF(AND(EDATE($D138,Milestones!$AA$97)&lt;=AsOfDate,IF($Q138=0,$W138,IF(AND($S138&lt;&gt;"",EDATE($D138,Milestones!$AA$97)&gt;=$S138),$V138,IF(AND($R138&lt;&gt;"",EDATE($D138,Milestones!$AA$97)&gt;=$R138),$U138,$T138)))=Milestones!$AB$97),TEXT(EDATE($D138,Milestones!$AA$97),"dd/mm/yy")&amp;" "&amp;Milestones!$AB$97&amp;" "&amp;Milestones!$AC$97&amp;";  ","")&amp;IF(AND(EDATE($D138,Milestones!$AA$98)&lt;=AsOfDate,IF($Q138=0,$W138,IF(AND($S138&lt;&gt;"",EDATE($D138,Milestones!$AA$98)&gt;=$S138),$V138,IF(AND($R138&lt;&gt;"",EDATE($D138,Milestones!$AA$98)&gt;=$R138),$U138,$T138)))=Milestones!$AB$98),TEXT(EDATE($D138,Milestones!$AA$98),"dd/mm/yy")&amp;" "&amp;Milestones!$AB$98&amp;" "&amp;Milestones!$AC$98&amp;";  ","")&amp;IF(AND(EDATE($D138,Milestones!$AA$99)&lt;=AsOfDate,IF($Q138=0,$W138,IF(AND($S138&lt;&gt;"",EDATE($D138,Milestones!$AA$99)&gt;=$S138),$V138,IF(AND($R138&lt;&gt;"",EDATE($D138,Milestones!$AA$99)&gt;=$R138),$U138,$T138)))=Milestones!$AB$99),TEXT(EDATE($D138,Milestones!$AA$99),"dd/mm/yy")&amp;" "&amp;Milestones!$AB$99&amp;" "&amp;Milestones!$AC$99&amp;";  ",""))</f>
        <v/>
      </c>
      <c r="L138" s="0" t="str">
        <f aca="false">IF(OR($A138="",$D138=""),"",IF(AND(EDATE($D138,Milestones!$AA$100)&lt;=AsOfDate,IF($Q138=0,$W138,IF(AND($S138&lt;&gt;"",EDATE($D138,Milestones!$AA$100)&gt;=$S138),$V138,IF(AND($R138&lt;&gt;"",EDATE($D138,Milestones!$AA$100)&gt;=$R138),$U138,$T138)))=Milestones!$AB$100),TEXT(EDATE($D138,Milestones!$AA$100),"dd/mm/yy")&amp;" "&amp;Milestones!$AB$100&amp;" "&amp;Milestones!$AC$100&amp;";  ","")&amp;IF(AND(EDATE($D138,Milestones!$AA$101)&lt;=AsOfDate,IF($Q138=0,$W138,IF(AND($S138&lt;&gt;"",EDATE($D138,Milestones!$AA$101)&gt;=$S138),$V138,IF(AND($R138&lt;&gt;"",EDATE($D138,Milestones!$AA$101)&gt;=$R138),$U138,$T138)))=Milestones!$AB$101),TEXT(EDATE($D138,Milestones!$AA$101),"dd/mm/yy")&amp;" "&amp;Milestones!$AB$101&amp;" "&amp;Milestones!$AC$101&amp;";  ","")&amp;IF(AND(EDATE($D138,Milestones!$AA$102)&lt;=AsOfDate,IF($Q138=0,$W138,IF(AND($S138&lt;&gt;"",EDATE($D138,Milestones!$AA$102)&gt;=$S138),$V138,IF(AND($R138&lt;&gt;"",EDATE($D138,Milestones!$AA$102)&gt;=$R138),$U138,$T138)))=Milestones!$AB$102),TEXT(EDATE($D138,Milestones!$AA$102),"dd/mm/yy")&amp;" "&amp;Milestones!$AB$102&amp;" "&amp;Milestones!$AC$102&amp;";  ","")&amp;IF(AND(EDATE($D138,Milestones!$AA$103)&lt;=AsOfDate,IF($Q138=0,$W138,IF(AND($S138&lt;&gt;"",EDATE($D138,Milestones!$AA$103)&gt;=$S138),$V138,IF(AND($R138&lt;&gt;"",EDATE($D138,Milestones!$AA$103)&gt;=$R138),$U138,$T138)))=Milestones!$AB$103),TEXT(EDATE($D138,Milestones!$AA$103),"dd/mm/yy")&amp;" "&amp;Milestones!$AB$103&amp;" "&amp;Milestones!$AC$103&amp;";  ","")&amp;IF(AND(EDATE($D138,Milestones!$AA$104)&lt;=AsOfDate,IF($Q138=0,$W138,IF(AND($S138&lt;&gt;"",EDATE($D138,Milestones!$AA$104)&gt;=$S138),$V138,IF(AND($R138&lt;&gt;"",EDATE($D138,Milestones!$AA$104)&gt;=$R138),$U138,$T138)))=Milestones!$AB$104),TEXT(EDATE($D138,Milestones!$AA$104),"dd/mm/yy")&amp;" "&amp;Milestones!$AB$104&amp;" "&amp;Milestones!$AC$104&amp;";  ","")&amp;IF(AND(EDATE($D138,Milestones!$AA$105)&lt;=AsOfDate,IF($Q138=0,$W138,IF(AND($S138&lt;&gt;"",EDATE($D138,Milestones!$AA$105)&gt;=$S138),$V138,IF(AND($R138&lt;&gt;"",EDATE($D138,Milestones!$AA$105)&gt;=$R138),$U138,$T138)))=Milestones!$AB$105),TEXT(EDATE($D138,Milestones!$AA$105),"dd/mm/yy")&amp;" "&amp;Milestones!$AB$105&amp;" "&amp;Milestones!$AC$105&amp;";  ","")&amp;IF(AND(EDATE($D138,Milestones!$AA$106)&lt;=AsOfDate,IF($Q138=0,$W138,IF(AND($S138&lt;&gt;"",EDATE($D138,Milestones!$AA$106)&gt;=$S138),$V138,IF(AND($R138&lt;&gt;"",EDATE($D138,Milestones!$AA$106)&gt;=$R138),$U138,$T138)))=Milestones!$AB$106),TEXT(EDATE($D138,Milestones!$AA$106),"dd/mm/yy")&amp;" "&amp;Milestones!$AB$106&amp;" "&amp;Milestones!$AC$106&amp;";  ","")&amp;IF(AND(EDATE($D138,Milestones!$AA$107)&lt;=AsOfDate,IF($Q138=0,$W138,IF(AND($S138&lt;&gt;"",EDATE($D138,Milestones!$AA$107)&gt;=$S138),$V138,IF(AND($R138&lt;&gt;"",EDATE($D138,Milestones!$AA$107)&gt;=$R138),$U138,$T138)))=Milestones!$AB$107),TEXT(EDATE($D138,Milestones!$AA$107),"dd/mm/yy")&amp;" "&amp;Milestones!$AB$107&amp;" "&amp;Milestones!$AC$107&amp;";  ","")&amp;IF(AND(EDATE($D138,Milestones!$AA$108)&lt;=AsOfDate,IF($Q138=0,$W138,IF(AND($S138&lt;&gt;"",EDATE($D138,Milestones!$AA$108)&gt;=$S138),$V138,IF(AND($R138&lt;&gt;"",EDATE($D138,Milestones!$AA$108)&gt;=$R138),$U138,$T138)))=Milestones!$AB$108),TEXT(EDATE($D138,Milestones!$AA$108),"dd/mm/yy")&amp;" "&amp;Milestones!$AB$108&amp;" "&amp;Milestones!$AC$108&amp;";  ","")&amp;IF(AND(EDATE($D138,Milestones!$AA$109)&lt;=AsOfDate,IF($Q138=0,$W138,IF(AND($S138&lt;&gt;"",EDATE($D138,Milestones!$AA$109)&gt;=$S138),$V138,IF(AND($R138&lt;&gt;"",EDATE($D138,Milestones!$AA$109)&gt;=$R138),$U138,$T138)))=Milestones!$AB$109),TEXT(EDATE($D138,Milestones!$AA$109),"dd/mm/yy")&amp;" "&amp;Milestones!$AB$109&amp;" "&amp;Milestones!$AC$109&amp;";  ","")&amp;IF(AND(EDATE($D138,Milestones!$AA$110)&lt;=AsOfDate,IF($Q138=0,$W138,IF(AND($S138&lt;&gt;"",EDATE($D138,Milestones!$AA$110)&gt;=$S138),$V138,IF(AND($R138&lt;&gt;"",EDATE($D138,Milestones!$AA$110)&gt;=$R138),$U138,$T138)))=Milestones!$AB$110),TEXT(EDATE($D138,Milestones!$AA$110),"dd/mm/yy")&amp;" "&amp;Milestones!$AB$110&amp;" "&amp;Milestones!$AC$110&amp;";  ","")&amp;IF(AND(EDATE($D138,Milestones!$AA$111)&lt;=AsOfDate,IF($Q138=0,$W138,IF(AND($S138&lt;&gt;"",EDATE($D138,Milestones!$AA$111)&gt;=$S138),$V138,IF(AND($R138&lt;&gt;"",EDATE($D138,Milestones!$AA$111)&gt;=$R138),$U138,$T138)))=Milestones!$AB$111),TEXT(EDATE($D138,Milestones!$AA$111),"dd/mm/yy")&amp;" "&amp;Milestones!$AB$111&amp;" "&amp;Milestones!$AC$111&amp;";  ","")&amp;IF(AND(EDATE($D138,Milestones!$AA$112)&lt;=AsOfDate,IF($Q138=0,$W138,IF(AND($S138&lt;&gt;"",EDATE($D138,Milestones!$AA$112)&gt;=$S138),$V138,IF(AND($R138&lt;&gt;"",EDATE($D138,Milestones!$AA$112)&gt;=$R138),$U138,$T138)))=Milestones!$AB$112),TEXT(EDATE($D138,Milestones!$AA$112),"dd/mm/yy")&amp;" "&amp;Milestones!$AB$112&amp;" "&amp;Milestones!$AC$112&amp;";  ","")&amp;IF(AND(EDATE($D138,Milestones!$AA$113)&lt;=AsOfDate,IF($Q138=0,$W138,IF(AND($S138&lt;&gt;"",EDATE($D138,Milestones!$AA$113)&gt;=$S138),$V138,IF(AND($R138&lt;&gt;"",EDATE($D138,Milestones!$AA$113)&gt;=$R138),$U138,$T138)))=Milestones!$AB$113),TEXT(EDATE($D138,Milestones!$AA$113),"dd/mm/yy")&amp;" "&amp;Milestones!$AB$113&amp;" "&amp;Milestones!$AC$113&amp;";  ","")&amp;IF(AND(EDATE($D138,Milestones!$AA$114)&lt;=AsOfDate,IF($Q138=0,$W138,IF(AND($S138&lt;&gt;"",EDATE($D138,Milestones!$AA$114)&gt;=$S138),$V138,IF(AND($R138&lt;&gt;"",EDATE($D138,Milestones!$AA$114)&gt;=$R138),$U138,$T138)))=Milestones!$AB$114),TEXT(EDATE($D138,Milestones!$AA$114),"dd/mm/yy")&amp;" "&amp;Milestones!$AB$114&amp;" "&amp;Milestones!$AC$114&amp;";  ","")&amp;IF(AND(EDATE($D138,Milestones!$AA$115)&lt;=AsOfDate,IF($Q138=0,$W138,IF(AND($S138&lt;&gt;"",EDATE($D138,Milestones!$AA$115)&gt;=$S138),$V138,IF(AND($R138&lt;&gt;"",EDATE($D138,Milestones!$AA$115)&gt;=$R138),$U138,$T138)))=Milestones!$AB$115),TEXT(EDATE($D138,Milestones!$AA$115),"dd/mm/yy")&amp;" "&amp;Milestones!$AB$115&amp;" "&amp;Milestones!$AC$115&amp;";  ","")&amp;IF(AND(EDATE($D138,Milestones!$AA$116)&lt;=AsOfDate,IF($Q138=0,$W138,IF(AND($S138&lt;&gt;"",EDATE($D138,Milestones!$AA$116)&gt;=$S138),$V138,IF(AND($R138&lt;&gt;"",EDATE($D138,Milestones!$AA$116)&gt;=$R138),$U138,$T138)))=Milestones!$AB$116),TEXT(EDATE($D138,Milestones!$AA$116),"dd/mm/yy")&amp;" "&amp;Milestones!$AB$116&amp;" "&amp;Milestones!$AC$116&amp;";  ","")&amp;IF(AND(EDATE($D138,Milestones!$AA$117)&lt;=AsOfDate,IF($Q138=0,$W138,IF(AND($S138&lt;&gt;"",EDATE($D138,Milestones!$AA$117)&gt;=$S138),$V138,IF(AND($R138&lt;&gt;"",EDATE($D138,Milestones!$AA$117)&gt;=$R138),$U138,$T138)))=Milestones!$AB$117),TEXT(EDATE($D138,Milestones!$AA$117),"dd/mm/yy")&amp;" "&amp;Milestones!$AB$117&amp;" "&amp;Milestones!$AC$117&amp;";  ","")&amp;IF(AND(EDATE($D138,Milestones!$AA$118)&lt;=AsOfDate,IF($Q138=0,$W138,IF(AND($S138&lt;&gt;"",EDATE($D138,Milestones!$AA$118)&gt;=$S138),$V138,IF(AND($R138&lt;&gt;"",EDATE($D138,Milestones!$AA$118)&gt;=$R138),$U138,$T138)))=Milestones!$AB$118),TEXT(EDATE($D138,Milestones!$AA$118),"dd/mm/yy")&amp;" "&amp;Milestones!$AB$118&amp;" "&amp;Milestones!$AC$118&amp;";  ","")&amp;IF(AND(EDATE($D138,Milestones!$AA$119)&lt;=AsOfDate,IF($Q138=0,$W138,IF(AND($S138&lt;&gt;"",EDATE($D138,Milestones!$AA$119)&gt;=$S138),$V138,IF(AND($R138&lt;&gt;"",EDATE($D138,Milestones!$AA$119)&gt;=$R138),$U138,$T138)))=Milestones!$AB$119),TEXT(EDATE($D138,Milestones!$AA$119),"dd/mm/yy")&amp;" "&amp;Milestones!$AB$119&amp;" "&amp;Milestones!$AC$119&amp;";  ",""))</f>
        <v/>
      </c>
      <c r="M138" s="0" t="str">
        <f aca="false">IF(OR($A138="",$D138=""),"",IF(AND(EDATE($D138,Milestones!$AA$120)&lt;=AsOfDate,IF($Q138=0,$W138,IF(AND($S138&lt;&gt;"",EDATE($D138,Milestones!$AA$120)&gt;=$S138),$V138,IF(AND($R138&lt;&gt;"",EDATE($D138,Milestones!$AA$120)&gt;=$R138),$U138,$T138)))=Milestones!$AB$120),TEXT(EDATE($D138,Milestones!$AA$120),"dd/mm/yy")&amp;" "&amp;Milestones!$AB$120&amp;" "&amp;Milestones!$AC$120&amp;";  ","")&amp;IF(AND(EDATE($D138,Milestones!$AA$121)&lt;=AsOfDate,IF($Q138=0,$W138,IF(AND($S138&lt;&gt;"",EDATE($D138,Milestones!$AA$121)&gt;=$S138),$V138,IF(AND($R138&lt;&gt;"",EDATE($D138,Milestones!$AA$121)&gt;=$R138),$U138,$T138)))=Milestones!$AB$121),TEXT(EDATE($D138,Milestones!$AA$121),"dd/mm/yy")&amp;" "&amp;Milestones!$AB$121&amp;" "&amp;Milestones!$AC$121&amp;";  ","")&amp;IF(AND(EDATE($D138,Milestones!$AA$122)&lt;=AsOfDate,IF($Q138=0,$W138,IF(AND($S138&lt;&gt;"",EDATE($D138,Milestones!$AA$122)&gt;=$S138),$V138,IF(AND($R138&lt;&gt;"",EDATE($D138,Milestones!$AA$122)&gt;=$R138),$U138,$T138)))=Milestones!$AB$122),TEXT(EDATE($D138,Milestones!$AA$122),"dd/mm/yy")&amp;" "&amp;Milestones!$AB$122&amp;" "&amp;Milestones!$AC$122&amp;";  ","")&amp;IF(AND(EDATE($D138,Milestones!$AA$123)&lt;=AsOfDate,IF($Q138=0,$W138,IF(AND($S138&lt;&gt;"",EDATE($D138,Milestones!$AA$123)&gt;=$S138),$V138,IF(AND($R138&lt;&gt;"",EDATE($D138,Milestones!$AA$123)&gt;=$R138),$U138,$T138)))=Milestones!$AB$123),TEXT(EDATE($D138,Milestones!$AA$123),"dd/mm/yy")&amp;" "&amp;Milestones!$AB$123&amp;" "&amp;Milestones!$AC$123&amp;";  ","")&amp;IF(AND(EDATE($D138,Milestones!$AA$124)&lt;=AsOfDate,IF($Q138=0,$W138,IF(AND($S138&lt;&gt;"",EDATE($D138,Milestones!$AA$124)&gt;=$S138),$V138,IF(AND($R138&lt;&gt;"",EDATE($D138,Milestones!$AA$124)&gt;=$R138),$U138,$T138)))=Milestones!$AB$124),TEXT(EDATE($D138,Milestones!$AA$124),"dd/mm/yy")&amp;" "&amp;Milestones!$AB$124&amp;" "&amp;Milestones!$AC$124&amp;";  ","")&amp;IF(AND(EDATE($D138,Milestones!$AA$125)&lt;=AsOfDate,IF($Q138=0,$W138,IF(AND($S138&lt;&gt;"",EDATE($D138,Milestones!$AA$125)&gt;=$S138),$V138,IF(AND($R138&lt;&gt;"",EDATE($D138,Milestones!$AA$125)&gt;=$R138),$U138,$T138)))=Milestones!$AB$125),TEXT(EDATE($D138,Milestones!$AA$125),"dd/mm/yy")&amp;" "&amp;Milestones!$AB$125&amp;" "&amp;Milestones!$AC$125&amp;";  ","")&amp;IF(AND(EDATE($D138,Milestones!$AA$126)&lt;=AsOfDate,IF($Q138=0,$W138,IF(AND($S138&lt;&gt;"",EDATE($D138,Milestones!$AA$126)&gt;=$S138),$V138,IF(AND($R138&lt;&gt;"",EDATE($D138,Milestones!$AA$126)&gt;=$R138),$U138,$T138)))=Milestones!$AB$126),TEXT(EDATE($D138,Milestones!$AA$126),"dd/mm/yy")&amp;" "&amp;Milestones!$AB$126&amp;" "&amp;Milestones!$AC$126&amp;";  ","")&amp;IF(AND(EDATE($D138,Milestones!$AA$127)&lt;=AsOfDate,IF($Q138=0,$W138,IF(AND($S138&lt;&gt;"",EDATE($D138,Milestones!$AA$127)&gt;=$S138),$V138,IF(AND($R138&lt;&gt;"",EDATE($D138,Milestones!$AA$127)&gt;=$R138),$U138,$T138)))=Milestones!$AB$127),TEXT(EDATE($D138,Milestones!$AA$127),"dd/mm/yy")&amp;" "&amp;Milestones!$AB$127&amp;" "&amp;Milestones!$AC$127&amp;";  ","")&amp;IF(AND(EDATE($D138,Milestones!$AA$128)&lt;=AsOfDate,IF($Q138=0,$W138,IF(AND($S138&lt;&gt;"",EDATE($D138,Milestones!$AA$128)&gt;=$S138),$V138,IF(AND($R138&lt;&gt;"",EDATE($D138,Milestones!$AA$128)&gt;=$R138),$U138,$T138)))=Milestones!$AB$128),TEXT(EDATE($D138,Milestones!$AA$128),"dd/mm/yy")&amp;" "&amp;Milestones!$AB$128&amp;" "&amp;Milestones!$AC$128&amp;";  ","")&amp;IF(AND(EDATE($D138,Milestones!$AA$129)&lt;=AsOfDate,IF($Q138=0,$W138,IF(AND($S138&lt;&gt;"",EDATE($D138,Milestones!$AA$129)&gt;=$S138),$V138,IF(AND($R138&lt;&gt;"",EDATE($D138,Milestones!$AA$129)&gt;=$R138),$U138,$T138)))=Milestones!$AB$129),TEXT(EDATE($D138,Milestones!$AA$129),"dd/mm/yy")&amp;" "&amp;Milestones!$AB$129&amp;" "&amp;Milestones!$AC$129&amp;";  ","")&amp;IF(AND(EDATE($D138,Milestones!$AA$130)&lt;=AsOfDate,IF($Q138=0,$W138,IF(AND($S138&lt;&gt;"",EDATE($D138,Milestones!$AA$130)&gt;=$S138),$V138,IF(AND($R138&lt;&gt;"",EDATE($D138,Milestones!$AA$130)&gt;=$R138),$U138,$T138)))=Milestones!$AB$130),TEXT(EDATE($D138,Milestones!$AA$130),"dd/mm/yy")&amp;" "&amp;Milestones!$AB$130&amp;" "&amp;Milestones!$AC$130&amp;";  ","")&amp;IF(AND(EDATE($D138,Milestones!$AA$131)&lt;=AsOfDate,IF($Q138=0,$W138,IF(AND($S138&lt;&gt;"",EDATE($D138,Milestones!$AA$131)&gt;=$S138),$V138,IF(AND($R138&lt;&gt;"",EDATE($D138,Milestones!$AA$131)&gt;=$R138),$U138,$T138)))=Milestones!$AB$131),TEXT(EDATE($D138,Milestones!$AA$131),"dd/mm/yy")&amp;" "&amp;Milestones!$AB$131&amp;" "&amp;Milestones!$AC$131&amp;";  ","")&amp;IF(AND(EDATE($D138,Milestones!$AA$132)&lt;=AsOfDate,IF($Q138=0,$W138,IF(AND($S138&lt;&gt;"",EDATE($D138,Milestones!$AA$132)&gt;=$S138),$V138,IF(AND($R138&lt;&gt;"",EDATE($D138,Milestones!$AA$132)&gt;=$R138),$U138,$T138)))=Milestones!$AB$132),TEXT(EDATE($D138,Milestones!$AA$132),"dd/mm/yy")&amp;" "&amp;Milestones!$AB$132&amp;" "&amp;Milestones!$AC$132&amp;";  ","")&amp;IF(AND(EDATE($D138,Milestones!$AA$133)&lt;=AsOfDate,IF($Q138=0,$W138,IF(AND($S138&lt;&gt;"",EDATE($D138,Milestones!$AA$133)&gt;=$S138),$V138,IF(AND($R138&lt;&gt;"",EDATE($D138,Milestones!$AA$133)&gt;=$R138),$U138,$T138)))=Milestones!$AB$133),TEXT(EDATE($D138,Milestones!$AA$133),"dd/mm/yy")&amp;" "&amp;Milestones!$AB$133&amp;" "&amp;Milestones!$AC$133&amp;";  ","")&amp;IF(AND(EDATE($D138,Milestones!$AA$134)&lt;=AsOfDate,IF($Q138=0,$W138,IF(AND($S138&lt;&gt;"",EDATE($D138,Milestones!$AA$134)&gt;=$S138),$V138,IF(AND($R138&lt;&gt;"",EDATE($D138,Milestones!$AA$134)&gt;=$R138),$U138,$T138)))=Milestones!$AB$134),TEXT(EDATE($D138,Milestones!$AA$134),"dd/mm/yy")&amp;" "&amp;Milestones!$AB$134&amp;" "&amp;Milestones!$AC$134&amp;";  ","")&amp;IF(AND(EDATE($D138,Milestones!$AA$135)&lt;=AsOfDate,IF($Q138=0,$W138,IF(AND($S138&lt;&gt;"",EDATE($D138,Milestones!$AA$135)&gt;=$S138),$V138,IF(AND($R138&lt;&gt;"",EDATE($D138,Milestones!$AA$135)&gt;=$R138),$U138,$T138)))=Milestones!$AB$135),TEXT(EDATE($D138,Milestones!$AA$135),"dd/mm/yy")&amp;" "&amp;Milestones!$AB$135&amp;" "&amp;Milestones!$AC$135&amp;";  ","")&amp;IF(AND(EDATE($D138,Milestones!$AA$136)&lt;=AsOfDate,IF($Q138=0,$W138,IF(AND($S138&lt;&gt;"",EDATE($D138,Milestones!$AA$136)&gt;=$S138),$V138,IF(AND($R138&lt;&gt;"",EDATE($D138,Milestones!$AA$136)&gt;=$R138),$U138,$T138)))=Milestones!$AB$136),TEXT(EDATE($D138,Milestones!$AA$136),"dd/mm/yy")&amp;" "&amp;Milestones!$AB$136&amp;" "&amp;Milestones!$AC$136&amp;";  ","")&amp;IF(AND(EDATE($D138,Milestones!$AA$137)&lt;=AsOfDate,IF($Q138=0,$W138,IF(AND($S138&lt;&gt;"",EDATE($D138,Milestones!$AA$137)&gt;=$S138),$V138,IF(AND($R138&lt;&gt;"",EDATE($D138,Milestones!$AA$137)&gt;=$R138),$U138,$T138)))=Milestones!$AB$137),TEXT(EDATE($D138,Milestones!$AA$137),"dd/mm/yy")&amp;" "&amp;Milestones!$AB$137&amp;" "&amp;Milestones!$AC$137&amp;";  ","")&amp;IF(AND(EDATE($D138,Milestones!$AA$138)&lt;=AsOfDate,IF($Q138=0,$W138,IF(AND($S138&lt;&gt;"",EDATE($D138,Milestones!$AA$138)&gt;=$S138),$V138,IF(AND($R138&lt;&gt;"",EDATE($D138,Milestones!$AA$138)&gt;=$R138),$U138,$T138)))=Milestones!$AB$138),TEXT(EDATE($D138,Milestones!$AA$138),"dd/mm/yy")&amp;" "&amp;Milestones!$AB$138&amp;" "&amp;Milestones!$AC$138&amp;";  ","")&amp;IF(AND(EDATE($D138,Milestones!$AA$139)&lt;=AsOfDate,IF($Q138=0,$W138,IF(AND($S138&lt;&gt;"",EDATE($D138,Milestones!$AA$139)&gt;=$S138),$V138,IF(AND($R138&lt;&gt;"",EDATE($D138,Milestones!$AA$139)&gt;=$R138),$U138,$T138)))=Milestones!$AB$139),TEXT(EDATE($D138,Milestones!$AA$139),"dd/mm/yy")&amp;" "&amp;Milestones!$AB$139&amp;" "&amp;Milestones!$AC$139&amp;";  ",""))</f>
        <v/>
      </c>
      <c r="N138" s="0" t="str">
        <f aca="false">IF(OR($A138="",$D138=""),"",IF(AND(EDATE($D138,Milestones!$AA$140)&lt;=AsOfDate,IF($Q138=0,$W138,IF(AND($S138&lt;&gt;"",EDATE($D138,Milestones!$AA$140)&gt;=$S138),$V138,IF(AND($R138&lt;&gt;"",EDATE($D138,Milestones!$AA$140)&gt;=$R138),$U138,$T138)))=Milestones!$AB$140),TEXT(EDATE($D138,Milestones!$AA$140),"dd/mm/yy")&amp;" "&amp;Milestones!$AB$140&amp;" "&amp;Milestones!$AC$140&amp;";  ","")&amp;IF(AND(EDATE($D138,Milestones!$AA$141)&lt;=AsOfDate,IF($Q138=0,$W138,IF(AND($S138&lt;&gt;"",EDATE($D138,Milestones!$AA$141)&gt;=$S138),$V138,IF(AND($R138&lt;&gt;"",EDATE($D138,Milestones!$AA$141)&gt;=$R138),$U138,$T138)))=Milestones!$AB$141),TEXT(EDATE($D138,Milestones!$AA$141),"dd/mm/yy")&amp;" "&amp;Milestones!$AB$141&amp;" "&amp;Milestones!$AC$141&amp;";  ","")&amp;IF(AND(EDATE($D138,Milestones!$AA$142)&lt;=AsOfDate,IF($Q138=0,$W138,IF(AND($S138&lt;&gt;"",EDATE($D138,Milestones!$AA$142)&gt;=$S138),$V138,IF(AND($R138&lt;&gt;"",EDATE($D138,Milestones!$AA$142)&gt;=$R138),$U138,$T138)))=Milestones!$AB$142),TEXT(EDATE($D138,Milestones!$AA$142),"dd/mm/yy")&amp;" "&amp;Milestones!$AB$142&amp;" "&amp;Milestones!$AC$142&amp;";  ","")&amp;IF(AND(EDATE($D138,Milestones!$AA$143)&lt;=AsOfDate,IF($Q138=0,$W138,IF(AND($S138&lt;&gt;"",EDATE($D138,Milestones!$AA$143)&gt;=$S138),$V138,IF(AND($R138&lt;&gt;"",EDATE($D138,Milestones!$AA$143)&gt;=$R138),$U138,$T138)))=Milestones!$AB$143),TEXT(EDATE($D138,Milestones!$AA$143),"dd/mm/yy")&amp;" "&amp;Milestones!$AB$143&amp;" "&amp;Milestones!$AC$143&amp;";  ","")&amp;IF(AND(EDATE($D138,Milestones!$AA$144)&lt;=AsOfDate,IF($Q138=0,$W138,IF(AND($S138&lt;&gt;"",EDATE($D138,Milestones!$AA$144)&gt;=$S138),$V138,IF(AND($R138&lt;&gt;"",EDATE($D138,Milestones!$AA$144)&gt;=$R138),$U138,$T138)))=Milestones!$AB$144),TEXT(EDATE($D138,Milestones!$AA$144),"dd/mm/yy")&amp;" "&amp;Milestones!$AB$144&amp;" "&amp;Milestones!$AC$144&amp;";  ","")&amp;IF(AND(EDATE($D138,Milestones!$AA$145)&lt;=AsOfDate,IF($Q138=0,$W138,IF(AND($S138&lt;&gt;"",EDATE($D138,Milestones!$AA$145)&gt;=$S138),$V138,IF(AND($R138&lt;&gt;"",EDATE($D138,Milestones!$AA$145)&gt;=$R138),$U138,$T138)))=Milestones!$AB$145),TEXT(EDATE($D138,Milestones!$AA$145),"dd/mm/yy")&amp;" "&amp;Milestones!$AB$145&amp;" "&amp;Milestones!$AC$145&amp;";  ","")&amp;IF(AND(EDATE($D138,Milestones!$AA$146)&lt;=AsOfDate,IF($Q138=0,$W138,IF(AND($S138&lt;&gt;"",EDATE($D138,Milestones!$AA$146)&gt;=$S138),$V138,IF(AND($R138&lt;&gt;"",EDATE($D138,Milestones!$AA$146)&gt;=$R138),$U138,$T138)))=Milestones!$AB$146),TEXT(EDATE($D138,Milestones!$AA$146),"dd/mm/yy")&amp;" "&amp;Milestones!$AB$146&amp;" "&amp;Milestones!$AC$146&amp;";  ","")&amp;IF(AND(EDATE($D138,Milestones!$AA$147)&lt;=AsOfDate,IF($Q138=0,$W138,IF(AND($S138&lt;&gt;"",EDATE($D138,Milestones!$AA$147)&gt;=$S138),$V138,IF(AND($R138&lt;&gt;"",EDATE($D138,Milestones!$AA$147)&gt;=$R138),$U138,$T138)))=Milestones!$AB$147),TEXT(EDATE($D138,Milestones!$AA$147),"dd/mm/yy")&amp;" "&amp;Milestones!$AB$147&amp;" "&amp;Milestones!$AC$147&amp;";  ","")&amp;IF(AND(EDATE($D138,Milestones!$AA$148)&lt;=AsOfDate,IF($Q138=0,$W138,IF(AND($S138&lt;&gt;"",EDATE($D138,Milestones!$AA$148)&gt;=$S138),$V138,IF(AND($R138&lt;&gt;"",EDATE($D138,Milestones!$AA$148)&gt;=$R138),$U138,$T138)))=Milestones!$AB$148),TEXT(EDATE($D138,Milestones!$AA$148),"dd/mm/yy")&amp;" "&amp;Milestones!$AB$148&amp;" "&amp;Milestones!$AC$148&amp;";  ","")&amp;IF(AND(EDATE($D138,Milestones!$AA$149)&lt;=AsOfDate,IF($Q138=0,$W138,IF(AND($S138&lt;&gt;"",EDATE($D138,Milestones!$AA$149)&gt;=$S138),$V138,IF(AND($R138&lt;&gt;"",EDATE($D138,Milestones!$AA$149)&gt;=$R138),$U138,$T138)))=Milestones!$AB$149),TEXT(EDATE($D138,Milestones!$AA$149),"dd/mm/yy")&amp;" "&amp;Milestones!$AB$149&amp;" "&amp;Milestones!$AC$149&amp;";  ","")&amp;IF(AND(EDATE($D138,Milestones!$AA$150)&lt;=AsOfDate,IF($Q138=0,$W138,IF(AND($S138&lt;&gt;"",EDATE($D138,Milestones!$AA$150)&gt;=$S138),$V138,IF(AND($R138&lt;&gt;"",EDATE($D138,Milestones!$AA$150)&gt;=$R138),$U138,$T138)))=Milestones!$AB$150),TEXT(EDATE($D138,Milestones!$AA$150),"dd/mm/yy")&amp;" "&amp;Milestones!$AB$150&amp;" "&amp;Milestones!$AC$150&amp;";  ","")&amp;IF(AND(EDATE($D138,Milestones!$AA$151)&lt;=AsOfDate,IF($Q138=0,$W138,IF(AND($S138&lt;&gt;"",EDATE($D138,Milestones!$AA$151)&gt;=$S138),$V138,IF(AND($R138&lt;&gt;"",EDATE($D138,Milestones!$AA$151)&gt;=$R138),$U138,$T138)))=Milestones!$AB$151),TEXT(EDATE($D138,Milestones!$AA$151),"dd/mm/yy")&amp;" "&amp;Milestones!$AB$151&amp;" "&amp;Milestones!$AC$151&amp;";  ","")&amp;IF(AND(EDATE($D138,Milestones!$AA$152)&lt;=AsOfDate,IF($Q138=0,$W138,IF(AND($S138&lt;&gt;"",EDATE($D138,Milestones!$AA$152)&gt;=$S138),$V138,IF(AND($R138&lt;&gt;"",EDATE($D138,Milestones!$AA$152)&gt;=$R138),$U138,$T138)))=Milestones!$AB$152),TEXT(EDATE($D138,Milestones!$AA$152),"dd/mm/yy")&amp;" "&amp;Milestones!$AB$152&amp;" "&amp;Milestones!$AC$152&amp;";  ","")&amp;IF(AND(EDATE($D138,Milestones!$AA$153)&lt;=AsOfDate,IF($Q138=0,$W138,IF(AND($S138&lt;&gt;"",EDATE($D138,Milestones!$AA$153)&gt;=$S138),$V138,IF(AND($R138&lt;&gt;"",EDATE($D138,Milestones!$AA$153)&gt;=$R138),$U138,$T138)))=Milestones!$AB$153),TEXT(EDATE($D138,Milestones!$AA$153),"dd/mm/yy")&amp;" "&amp;Milestones!$AB$153&amp;" "&amp;Milestones!$AC$153&amp;";  ","")&amp;IF(AND(EDATE($D138,Milestones!$AA$154)&lt;=AsOfDate,IF($Q138=0,$W138,IF(AND($S138&lt;&gt;"",EDATE($D138,Milestones!$AA$154)&gt;=$S138),$V138,IF(AND($R138&lt;&gt;"",EDATE($D138,Milestones!$AA$154)&gt;=$R138),$U138,$T138)))=Milestones!$AB$154),TEXT(EDATE($D138,Milestones!$AA$154),"dd/mm/yy")&amp;" "&amp;Milestones!$AB$154&amp;" "&amp;Milestones!$AC$154&amp;";  ","")&amp;IF(AND(EDATE($D138,Milestones!$AA$155)&lt;=AsOfDate,IF($Q138=0,$W138,IF(AND($S138&lt;&gt;"",EDATE($D138,Milestones!$AA$155)&gt;=$S138),$V138,IF(AND($R138&lt;&gt;"",EDATE($D138,Milestones!$AA$155)&gt;=$R138),$U138,$T138)))=Milestones!$AB$155),TEXT(EDATE($D138,Milestones!$AA$155),"dd/mm/yy")&amp;" "&amp;Milestones!$AB$155&amp;" "&amp;Milestones!$AC$155&amp;";  ","")&amp;IF(AND(EDATE($D138,Milestones!$AA$156)&lt;=AsOfDate,IF($Q138=0,$W138,IF(AND($S138&lt;&gt;"",EDATE($D138,Milestones!$AA$156)&gt;=$S138),$V138,IF(AND($R138&lt;&gt;"",EDATE($D138,Milestones!$AA$156)&gt;=$R138),$U138,$T138)))=Milestones!$AB$156),TEXT(EDATE($D138,Milestones!$AA$156),"dd/mm/yy")&amp;" "&amp;Milestones!$AB$156&amp;" "&amp;Milestones!$AC$156&amp;";  ","")&amp;IF(AND(EDATE($D138,Milestones!$AA$157)&lt;=AsOfDate,IF($Q138=0,$W138,IF(AND($S138&lt;&gt;"",EDATE($D138,Milestones!$AA$157)&gt;=$S138),$V138,IF(AND($R138&lt;&gt;"",EDATE($D138,Milestones!$AA$157)&gt;=$R138),$U138,$T138)))=Milestones!$AB$157),TEXT(EDATE($D138,Milestones!$AA$157),"dd/mm/yy")&amp;" "&amp;Milestones!$AB$157&amp;" "&amp;Milestones!$AC$157&amp;";  ","")&amp;IF(AND(EDATE($D138,Milestones!$AA$158)&lt;=AsOfDate,IF($Q138=0,$W138,IF(AND($S138&lt;&gt;"",EDATE($D138,Milestones!$AA$158)&gt;=$S138),$V138,IF(AND($R138&lt;&gt;"",EDATE($D138,Milestones!$AA$158)&gt;=$R138),$U138,$T138)))=Milestones!$AB$158),TEXT(EDATE($D138,Milestones!$AA$158),"dd/mm/yy")&amp;" "&amp;Milestones!$AB$158&amp;" "&amp;Milestones!$AC$158&amp;";  ","")&amp;IF(AND(EDATE($D138,Milestones!$AA$159)&lt;=AsOfDate,IF($Q138=0,$W138,IF(AND($S138&lt;&gt;"",EDATE($D138,Milestones!$AA$159)&gt;=$S138),$V138,IF(AND($R138&lt;&gt;"",EDATE($D138,Milestones!$AA$159)&gt;=$R138),$U138,$T138)))=Milestones!$AB$159),TEXT(EDATE($D138,Milestones!$AA$159),"dd/mm/yy")&amp;" "&amp;Milestones!$AB$159&amp;" "&amp;Milestones!$AC$159&amp;";  ",""))</f>
        <v/>
      </c>
      <c r="O138" s="0" t="str">
        <f aca="false">IF(OR($A138="",$D138=""),"",IF(AND(EDATE($D138,Milestones!$AA$160)&lt;=AsOfDate,IF($Q138=0,$W138,IF(AND($S138&lt;&gt;"",EDATE($D138,Milestones!$AA$160)&gt;=$S138),$V138,IF(AND($R138&lt;&gt;"",EDATE($D138,Milestones!$AA$160)&gt;=$R138),$U138,$T138)))=Milestones!$AB$160),TEXT(EDATE($D138,Milestones!$AA$160),"dd/mm/yy")&amp;" "&amp;Milestones!$AB$160&amp;" "&amp;Milestones!$AC$160&amp;";  ","")&amp;IF(AND(EDATE($D138,Milestones!$AA$161)&lt;=AsOfDate,IF($Q138=0,$W138,IF(AND($S138&lt;&gt;"",EDATE($D138,Milestones!$AA$161)&gt;=$S138),$V138,IF(AND($R138&lt;&gt;"",EDATE($D138,Milestones!$AA$161)&gt;=$R138),$U138,$T138)))=Milestones!$AB$161),TEXT(EDATE($D138,Milestones!$AA$161),"dd/mm/yy")&amp;" "&amp;Milestones!$AB$161&amp;" "&amp;Milestones!$AC$161&amp;";  ","")&amp;IF(AND(EDATE($D138,Milestones!$AA$162)&lt;=AsOfDate,IF($Q138=0,$W138,IF(AND($S138&lt;&gt;"",EDATE($D138,Milestones!$AA$162)&gt;=$S138),$V138,IF(AND($R138&lt;&gt;"",EDATE($D138,Milestones!$AA$162)&gt;=$R138),$U138,$T138)))=Milestones!$AB$162),TEXT(EDATE($D138,Milestones!$AA$162),"dd/mm/yy")&amp;" "&amp;Milestones!$AB$162&amp;" "&amp;Milestones!$AC$162&amp;";  ","")&amp;IF(AND(EDATE($D138,Milestones!$AA$163)&lt;=AsOfDate,IF($Q138=0,$W138,IF(AND($S138&lt;&gt;"",EDATE($D138,Milestones!$AA$163)&gt;=$S138),$V138,IF(AND($R138&lt;&gt;"",EDATE($D138,Milestones!$AA$163)&gt;=$R138),$U138,$T138)))=Milestones!$AB$163),TEXT(EDATE($D138,Milestones!$AA$163),"dd/mm/yy")&amp;" "&amp;Milestones!$AB$163&amp;" "&amp;Milestones!$AC$163&amp;";  ","")&amp;IF(AND(EDATE($D138,Milestones!$AA$164)&lt;=AsOfDate,IF($Q138=0,$W138,IF(AND($S138&lt;&gt;"",EDATE($D138,Milestones!$AA$164)&gt;=$S138),$V138,IF(AND($R138&lt;&gt;"",EDATE($D138,Milestones!$AA$164)&gt;=$R138),$U138,$T138)))=Milestones!$AB$164),TEXT(EDATE($D138,Milestones!$AA$164),"dd/mm/yy")&amp;" "&amp;Milestones!$AB$164&amp;" "&amp;Milestones!$AC$164&amp;";  ","")&amp;IF(AND(EDATE($D138,Milestones!$AA$165)&lt;=AsOfDate,IF($Q138=0,$W138,IF(AND($S138&lt;&gt;"",EDATE($D138,Milestones!$AA$165)&gt;=$S138),$V138,IF(AND($R138&lt;&gt;"",EDATE($D138,Milestones!$AA$165)&gt;=$R138),$U138,$T138)))=Milestones!$AB$165),TEXT(EDATE($D138,Milestones!$AA$165),"dd/mm/yy")&amp;" "&amp;Milestones!$AB$165&amp;" "&amp;Milestones!$AC$165&amp;";  ","")&amp;IF(AND(EDATE($D138,Milestones!$AA$166)&lt;=AsOfDate,IF($Q138=0,$W138,IF(AND($S138&lt;&gt;"",EDATE($D138,Milestones!$AA$166)&gt;=$S138),$V138,IF(AND($R138&lt;&gt;"",EDATE($D138,Milestones!$AA$166)&gt;=$R138),$U138,$T138)))=Milestones!$AB$166),TEXT(EDATE($D138,Milestones!$AA$166),"dd/mm/yy")&amp;" "&amp;Milestones!$AB$166&amp;" "&amp;Milestones!$AC$166&amp;";  ","")&amp;IF(AND(EDATE($D138,Milestones!$AA$167)&lt;=AsOfDate,IF($Q138=0,$W138,IF(AND($S138&lt;&gt;"",EDATE($D138,Milestones!$AA$167)&gt;=$S138),$V138,IF(AND($R138&lt;&gt;"",EDATE($D138,Milestones!$AA$167)&gt;=$R138),$U138,$T138)))=Milestones!$AB$167),TEXT(EDATE($D138,Milestones!$AA$167),"dd/mm/yy")&amp;" "&amp;Milestones!$AB$167&amp;" "&amp;Milestones!$AC$167&amp;";  ","")&amp;IF(AND(EDATE($D138,Milestones!$AA$168)&lt;=AsOfDate,IF($Q138=0,$W138,IF(AND($S138&lt;&gt;"",EDATE($D138,Milestones!$AA$168)&gt;=$S138),$V138,IF(AND($R138&lt;&gt;"",EDATE($D138,Milestones!$AA$168)&gt;=$R138),$U138,$T138)))=Milestones!$AB$168),TEXT(EDATE($D138,Milestones!$AA$168),"dd/mm/yy")&amp;" "&amp;Milestones!$AB$168&amp;" "&amp;Milestones!$AC$168&amp;";  ","")&amp;IF(AND(EDATE($D138,Milestones!$AA$169)&lt;=AsOfDate,IF($Q138=0,$W138,IF(AND($S138&lt;&gt;"",EDATE($D138,Milestones!$AA$169)&gt;=$S138),$V138,IF(AND($R138&lt;&gt;"",EDATE($D138,Milestones!$AA$169)&gt;=$R138),$U138,$T138)))=Milestones!$AB$169),TEXT(EDATE($D138,Milestones!$AA$169),"dd/mm/yy")&amp;" "&amp;Milestones!$AB$169&amp;" "&amp;Milestones!$AC$169&amp;";  ","")&amp;IF(AND(EDATE($D138,Milestones!$AA$170)&lt;=AsOfDate,IF($Q138=0,$W138,IF(AND($S138&lt;&gt;"",EDATE($D138,Milestones!$AA$170)&gt;=$S138),$V138,IF(AND($R138&lt;&gt;"",EDATE($D138,Milestones!$AA$170)&gt;=$R138),$U138,$T138)))=Milestones!$AB$170),TEXT(EDATE($D138,Milestones!$AA$170),"dd/mm/yy")&amp;" "&amp;Milestones!$AB$170&amp;" "&amp;Milestones!$AC$170&amp;";  ","")&amp;IF(AND(EDATE($D138,Milestones!$AA$171)&lt;=AsOfDate,IF($Q138=0,$W138,IF(AND($S138&lt;&gt;"",EDATE($D138,Milestones!$AA$171)&gt;=$S138),$V138,IF(AND($R138&lt;&gt;"",EDATE($D138,Milestones!$AA$171)&gt;=$R138),$U138,$T138)))=Milestones!$AB$171),TEXT(EDATE($D138,Milestones!$AA$171),"dd/mm/yy")&amp;" "&amp;Milestones!$AB$171&amp;" "&amp;Milestones!$AC$171&amp;";  ","")&amp;IF(AND(EDATE($D138,Milestones!$AA$172)&lt;=AsOfDate,IF($Q138=0,$W138,IF(AND($S138&lt;&gt;"",EDATE($D138,Milestones!$AA$172)&gt;=$S138),$V138,IF(AND($R138&lt;&gt;"",EDATE($D138,Milestones!$AA$172)&gt;=$R138),$U138,$T138)))=Milestones!$AB$172),TEXT(EDATE($D138,Milestones!$AA$172),"dd/mm/yy")&amp;" "&amp;Milestones!$AB$172&amp;" "&amp;Milestones!$AC$172&amp;";  ","")&amp;IF(AND(EDATE($D138,Milestones!$AA$173)&lt;=AsOfDate,IF($Q138=0,$W138,IF(AND($S138&lt;&gt;"",EDATE($D138,Milestones!$AA$173)&gt;=$S138),$V138,IF(AND($R138&lt;&gt;"",EDATE($D138,Milestones!$AA$173)&gt;=$R138),$U138,$T138)))=Milestones!$AB$173),TEXT(EDATE($D138,Milestones!$AA$173),"dd/mm/yy")&amp;" "&amp;Milestones!$AB$173&amp;" "&amp;Milestones!$AC$173&amp;";  ","")&amp;IF(AND(EDATE($D138,Milestones!$AA$174)&lt;=AsOfDate,IF($Q138=0,$W138,IF(AND($S138&lt;&gt;"",EDATE($D138,Milestones!$AA$174)&gt;=$S138),$V138,IF(AND($R138&lt;&gt;"",EDATE($D138,Milestones!$AA$174)&gt;=$R138),$U138,$T138)))=Milestones!$AB$174),TEXT(EDATE($D138,Milestones!$AA$174),"dd/mm/yy")&amp;" "&amp;Milestones!$AB$174&amp;" "&amp;Milestones!$AC$174&amp;";  ","")&amp;IF(AND(EDATE($D138,Milestones!$AA$175)&lt;=AsOfDate,IF($Q138=0,$W138,IF(AND($S138&lt;&gt;"",EDATE($D138,Milestones!$AA$175)&gt;=$S138),$V138,IF(AND($R138&lt;&gt;"",EDATE($D138,Milestones!$AA$175)&gt;=$R138),$U138,$T138)))=Milestones!$AB$175),TEXT(EDATE($D138,Milestones!$AA$175),"dd/mm/yy")&amp;" "&amp;Milestones!$AB$175&amp;" "&amp;Milestones!$AC$175&amp;";  ","")&amp;IF(AND(EDATE($D138,Milestones!$AA$176)&lt;=AsOfDate,IF($Q138=0,$W138,IF(AND($S138&lt;&gt;"",EDATE($D138,Milestones!$AA$176)&gt;=$S138),$V138,IF(AND($R138&lt;&gt;"",EDATE($D138,Milestones!$AA$176)&gt;=$R138),$U138,$T138)))=Milestones!$AB$176),TEXT(EDATE($D138,Milestones!$AA$176),"dd/mm/yy")&amp;" "&amp;Milestones!$AB$176&amp;" "&amp;Milestones!$AC$176&amp;";  ","")&amp;IF(AND(EDATE($D138,Milestones!$AA$177)&lt;=AsOfDate,IF($Q138=0,$W138,IF(AND($S138&lt;&gt;"",EDATE($D138,Milestones!$AA$177)&gt;=$S138),$V138,IF(AND($R138&lt;&gt;"",EDATE($D138,Milestones!$AA$177)&gt;=$R138),$U138,$T138)))=Milestones!$AB$177),TEXT(EDATE($D138,Milestones!$AA$177),"dd/mm/yy")&amp;" "&amp;Milestones!$AB$177&amp;" "&amp;Milestones!$AC$177&amp;";  ","")&amp;IF(AND(EDATE($D138,Milestones!$AA$178)&lt;=AsOfDate,IF($Q138=0,$W138,IF(AND($S138&lt;&gt;"",EDATE($D138,Milestones!$AA$178)&gt;=$S138),$V138,IF(AND($R138&lt;&gt;"",EDATE($D138,Milestones!$AA$178)&gt;=$R138),$U138,$T138)))=Milestones!$AB$178),TEXT(EDATE($D138,Milestones!$AA$178),"dd/mm/yy")&amp;" "&amp;Milestones!$AB$178&amp;" "&amp;Milestones!$AC$178&amp;";  ","")&amp;IF(AND(EDATE($D138,Milestones!$AA$179)&lt;=AsOfDate,IF($Q138=0,$W138,IF(AND($S138&lt;&gt;"",EDATE($D138,Milestones!$AA$179)&gt;=$S138),$V138,IF(AND($R138&lt;&gt;"",EDATE($D138,Milestones!$AA$179)&gt;=$R138),$U138,$T138)))=Milestones!$AB$179),TEXT(EDATE($D138,Milestones!$AA$179),"dd/mm/yy")&amp;" "&amp;Milestones!$AB$179&amp;" "&amp;Milestones!$AC$179&amp;";  ",""))</f>
        <v/>
      </c>
      <c r="P138" s="0" t="str">
        <f aca="false">IF(OR($A138="",$D138=""),"",IF(AND(EDATE($D138,Milestones!$AA$180)&lt;=AsOfDate,IF($Q138=0,$W138,IF(AND($S138&lt;&gt;"",EDATE($D138,Milestones!$AA$180)&gt;=$S138),$V138,IF(AND($R138&lt;&gt;"",EDATE($D138,Milestones!$AA$180)&gt;=$R138),$U138,$T138)))=Milestones!$AB$180),TEXT(EDATE($D138,Milestones!$AA$180),"dd/mm/yy")&amp;" "&amp;Milestones!$AB$180&amp;" "&amp;Milestones!$AC$180&amp;";  ","")&amp;IF(AND(EDATE($D138,Milestones!$AA$181)&lt;=AsOfDate,IF($Q138=0,$W138,IF(AND($S138&lt;&gt;"",EDATE($D138,Milestones!$AA$181)&gt;=$S138),$V138,IF(AND($R138&lt;&gt;"",EDATE($D138,Milestones!$AA$181)&gt;=$R138),$U138,$T138)))=Milestones!$AB$181),TEXT(EDATE($D138,Milestones!$AA$181),"dd/mm/yy")&amp;" "&amp;Milestones!$AB$181&amp;" "&amp;Milestones!$AC$181&amp;";  ","")&amp;IF(AND(EDATE($D138,Milestones!$AA$182)&lt;=AsOfDate,IF($Q138=0,$W138,IF(AND($S138&lt;&gt;"",EDATE($D138,Milestones!$AA$182)&gt;=$S138),$V138,IF(AND($R138&lt;&gt;"",EDATE($D138,Milestones!$AA$182)&gt;=$R138),$U138,$T138)))=Milestones!$AB$182),TEXT(EDATE($D138,Milestones!$AA$182),"dd/mm/yy")&amp;" "&amp;Milestones!$AB$182&amp;" "&amp;Milestones!$AC$182&amp;";  ","")&amp;IF(AND(EDATE($D138,Milestones!$AA$183)&lt;=AsOfDate,IF($Q138=0,$W138,IF(AND($S138&lt;&gt;"",EDATE($D138,Milestones!$AA$183)&gt;=$S138),$V138,IF(AND($R138&lt;&gt;"",EDATE($D138,Milestones!$AA$183)&gt;=$R138),$U138,$T138)))=Milestones!$AB$183),TEXT(EDATE($D138,Milestones!$AA$183),"dd/mm/yy")&amp;" "&amp;Milestones!$AB$183&amp;" "&amp;Milestones!$AC$183&amp;";  ","")&amp;IF(AND(EDATE($D138,Milestones!$AA$184)&lt;=AsOfDate,IF($Q138=0,$W138,IF(AND($S138&lt;&gt;"",EDATE($D138,Milestones!$AA$184)&gt;=$S138),$V138,IF(AND($R138&lt;&gt;"",EDATE($D138,Milestones!$AA$184)&gt;=$R138),$U138,$T138)))=Milestones!$AB$184),TEXT(EDATE($D138,Milestones!$AA$184),"dd/mm/yy")&amp;" "&amp;Milestones!$AB$184&amp;" "&amp;Milestones!$AC$184&amp;";  ","")&amp;IF(AND(EDATE($D138,Milestones!$AA$185)&lt;=AsOfDate,IF($Q138=0,$W138,IF(AND($S138&lt;&gt;"",EDATE($D138,Milestones!$AA$185)&gt;=$S138),$V138,IF(AND($R138&lt;&gt;"",EDATE($D138,Milestones!$AA$185)&gt;=$R138),$U138,$T138)))=Milestones!$AB$185),TEXT(EDATE($D138,Milestones!$AA$185),"dd/mm/yy")&amp;" "&amp;Milestones!$AB$185&amp;" "&amp;Milestones!$AC$185&amp;";  ","")&amp;IF(AND(EDATE($D138,Milestones!$AA$186)&lt;=AsOfDate,IF($Q138=0,$W138,IF(AND($S138&lt;&gt;"",EDATE($D138,Milestones!$AA$186)&gt;=$S138),$V138,IF(AND($R138&lt;&gt;"",EDATE($D138,Milestones!$AA$186)&gt;=$R138),$U138,$T138)))=Milestones!$AB$186),TEXT(EDATE($D138,Milestones!$AA$186),"dd/mm/yy")&amp;" "&amp;Milestones!$AB$186&amp;" "&amp;Milestones!$AC$186&amp;";  ","")&amp;IF(AND(EDATE($D138,Milestones!$AA$187)&lt;=AsOfDate,IF($Q138=0,$W138,IF(AND($S138&lt;&gt;"",EDATE($D138,Milestones!$AA$187)&gt;=$S138),$V138,IF(AND($R138&lt;&gt;"",EDATE($D138,Milestones!$AA$187)&gt;=$R138),$U138,$T138)))=Milestones!$AB$187),TEXT(EDATE($D138,Milestones!$AA$187),"dd/mm/yy")&amp;" "&amp;Milestones!$AB$187&amp;" "&amp;Milestones!$AC$187&amp;";  ","")&amp;IF(AND(EDATE($D138,Milestones!$AA$188)&lt;=AsOfDate,IF($Q138=0,$W138,IF(AND($S138&lt;&gt;"",EDATE($D138,Milestones!$AA$188)&gt;=$S138),$V138,IF(AND($R138&lt;&gt;"",EDATE($D138,Milestones!$AA$188)&gt;=$R138),$U138,$T138)))=Milestones!$AB$188),TEXT(EDATE($D138,Milestones!$AA$188),"dd/mm/yy")&amp;" "&amp;Milestones!$AB$188&amp;" "&amp;Milestones!$AC$188&amp;";  ","")&amp;IF(AND(EDATE($D138,Milestones!$AA$189)&lt;=AsOfDate,IF($Q138=0,$W138,IF(AND($S138&lt;&gt;"",EDATE($D138,Milestones!$AA$189)&gt;=$S138),$V138,IF(AND($R138&lt;&gt;"",EDATE($D138,Milestones!$AA$189)&gt;=$R138),$U138,$T138)))=Milestones!$AB$189),TEXT(EDATE($D138,Milestones!$AA$189),"dd/mm/yy")&amp;" "&amp;Milestones!$AB$189&amp;" "&amp;Milestones!$AC$189&amp;";  ","")&amp;IF(AND(EDATE($D138,Milestones!$AA$190)&lt;=AsOfDate,IF($Q138=0,$W138,IF(AND($S138&lt;&gt;"",EDATE($D138,Milestones!$AA$190)&gt;=$S138),$V138,IF(AND($R138&lt;&gt;"",EDATE($D138,Milestones!$AA$190)&gt;=$R138),$U138,$T138)))=Milestones!$AB$190),TEXT(EDATE($D138,Milestones!$AA$190),"dd/mm/yy")&amp;" "&amp;Milestones!$AB$190&amp;" "&amp;Milestones!$AC$190&amp;";  ","")&amp;IF(AND(EDATE($D138,Milestones!$AA$191)&lt;=AsOfDate,IF($Q138=0,$W138,IF(AND($S138&lt;&gt;"",EDATE($D138,Milestones!$AA$191)&gt;=$S138),$V138,IF(AND($R138&lt;&gt;"",EDATE($D138,Milestones!$AA$191)&gt;=$R138),$U138,$T138)))=Milestones!$AB$191),TEXT(EDATE($D138,Milestones!$AA$191),"dd/mm/yy")&amp;" "&amp;Milestones!$AB$191&amp;" "&amp;Milestones!$AC$191&amp;";  ","")&amp;IF(AND(EDATE($D138,Milestones!$AA$192)&lt;=AsOfDate,IF($Q138=0,$W138,IF(AND($S138&lt;&gt;"",EDATE($D138,Milestones!$AA$192)&gt;=$S138),$V138,IF(AND($R138&lt;&gt;"",EDATE($D138,Milestones!$AA$192)&gt;=$R138),$U138,$T138)))=Milestones!$AB$192),TEXT(EDATE($D138,Milestones!$AA$192),"dd/mm/yy")&amp;" "&amp;Milestones!$AB$192&amp;" "&amp;Milestones!$AC$192&amp;";  ","")&amp;IF(AND(EDATE($D138,Milestones!$AA$193)&lt;=AsOfDate,IF($Q138=0,$W138,IF(AND($S138&lt;&gt;"",EDATE($D138,Milestones!$AA$193)&gt;=$S138),$V138,IF(AND($R138&lt;&gt;"",EDATE($D138,Milestones!$AA$193)&gt;=$R138),$U138,$T138)))=Milestones!$AB$193),TEXT(EDATE($D138,Milestones!$AA$193),"dd/mm/yy")&amp;" "&amp;Milestones!$AB$193&amp;" "&amp;Milestones!$AC$193&amp;";  ","")&amp;IF(AND(EDATE($D138,Milestones!$AA$194)&lt;=AsOfDate,IF($Q138=0,$W138,IF(AND($S138&lt;&gt;"",EDATE($D138,Milestones!$AA$194)&gt;=$S138),$V138,IF(AND($R138&lt;&gt;"",EDATE($D138,Milestones!$AA$194)&gt;=$R138),$U138,$T138)))=Milestones!$AB$194),TEXT(EDATE($D138,Milestones!$AA$194),"dd/mm/yy")&amp;" "&amp;Milestones!$AB$194&amp;" "&amp;Milestones!$AC$194&amp;";  ","")&amp;IF(AND(EDATE($D138,Milestones!$AA$195)&lt;=AsOfDate,IF($Q138=0,$W138,IF(AND($S138&lt;&gt;"",EDATE($D138,Milestones!$AA$195)&gt;=$S138),$V138,IF(AND($R138&lt;&gt;"",EDATE($D138,Milestones!$AA$195)&gt;=$R138),$U138,$T138)))=Milestones!$AB$195),TEXT(EDATE($D138,Milestones!$AA$195),"dd/mm/yy")&amp;" "&amp;Milestones!$AB$195&amp;" "&amp;Milestones!$AC$195&amp;";  ","")&amp;IF(AND(EDATE($D138,Milestones!$AA$196)&lt;=AsOfDate,IF($Q138=0,$W138,IF(AND($S138&lt;&gt;"",EDATE($D138,Milestones!$AA$196)&gt;=$S138),$V138,IF(AND($R138&lt;&gt;"",EDATE($D138,Milestones!$AA$196)&gt;=$R138),$U138,$T138)))=Milestones!$AB$196),TEXT(EDATE($D138,Milestones!$AA$196),"dd/mm/yy")&amp;" "&amp;Milestones!$AB$196&amp;" "&amp;Milestones!$AC$196&amp;";  ","")&amp;IF(AND(EDATE($D138,Milestones!$AA$197)&lt;=AsOfDate,IF($Q138=0,$W138,IF(AND($S138&lt;&gt;"",EDATE($D138,Milestones!$AA$197)&gt;=$S138),$V138,IF(AND($R138&lt;&gt;"",EDATE($D138,Milestones!$AA$197)&gt;=$R138),$U138,$T138)))=Milestones!$AB$197),TEXT(EDATE($D138,Milestones!$AA$197),"dd/mm/yy")&amp;" "&amp;Milestones!$AB$197&amp;" "&amp;Milestones!$AC$197&amp;";  ","")&amp;IF(AND(EDATE($D138,Milestones!$AA$198)&lt;=AsOfDate,IF($Q138=0,$W138,IF(AND($S138&lt;&gt;"",EDATE($D138,Milestones!$AA$198)&gt;=$S138),$V138,IF(AND($R138&lt;&gt;"",EDATE($D138,Milestones!$AA$198)&gt;=$R138),$U138,$T138)))=Milestones!$AB$198),TEXT(EDATE($D138,Milestones!$AA$198),"dd/mm/yy")&amp;" "&amp;Milestones!$AB$198&amp;" "&amp;Milestones!$AC$198&amp;";  ","")&amp;IF(AND(EDATE($D138,Milestones!$AA$199)&lt;=AsOfDate,IF($Q138=0,$W138,IF(AND($S138&lt;&gt;"",EDATE($D138,Milestones!$AA$199)&gt;=$S138),$V138,IF(AND($R138&lt;&gt;"",EDATE($D138,Milestones!$AA$199)&gt;=$R138),$U138,$T138)))=Milestones!$AB$199),TEXT(EDATE($D138,Milestones!$AA$199),"dd/mm/yy")&amp;" "&amp;Milestones!$AB$199&amp;" "&amp;Milestones!$AC$199&amp;";  ",""))</f>
        <v/>
      </c>
      <c r="Q138" s="0" t="str">
        <f aca="false">IF(Staff!$A138="","",Staff!$AG138)</f>
        <v/>
      </c>
      <c r="R138" s="0" t="str">
        <f aca="false">IF(Staff!$A138="","",Staff!$AI138)</f>
        <v/>
      </c>
      <c r="S138" s="0" t="str">
        <f aca="false">IF(Staff!$A138="","",Staff!$AJ138)</f>
        <v/>
      </c>
      <c r="T138" s="0" t="str">
        <f aca="false">IF(Staff!$A138="","",Staff!$AN138)</f>
        <v/>
      </c>
      <c r="U138" s="0" t="str">
        <f aca="false">IF(Staff!$A138="","",Staff!$AO138)</f>
        <v/>
      </c>
      <c r="V138" s="0" t="str">
        <f aca="false">IF(Staff!$A138="","",Staff!$AP138)</f>
        <v/>
      </c>
      <c r="W138" s="0" t="str">
        <f aca="false">IF(Staff!$A138="","",Staff!$AQ138)</f>
        <v/>
      </c>
    </row>
    <row r="139" customFormat="false" ht="15" hidden="false" customHeight="false" outlineLevel="0" collapsed="false">
      <c r="A139" s="13" t="str">
        <f aca="false">IF(Staff!$A139="","",Staff!$A139)</f>
        <v/>
      </c>
      <c r="B139" s="13" t="str">
        <f aca="false">IF(Staff!$A139="","",Staff!$B139)</f>
        <v/>
      </c>
      <c r="C139" s="13" t="str">
        <f aca="false">IF(Staff!$A139="","",Staff!$C139)</f>
        <v/>
      </c>
      <c r="D139" s="11" t="str">
        <f aca="false">IF(Staff!$A139="","",Staff!$AF139)</f>
        <v/>
      </c>
      <c r="E139" s="13" t="str">
        <f aca="false">IF(Staff!$A139="","",Staff!$O139)</f>
        <v/>
      </c>
      <c r="F139" s="13" t="str">
        <f aca="false">IF(E139="","",E139*HoursPerDay)</f>
        <v/>
      </c>
      <c r="G139" s="26" t="str">
        <f aca="false">IF($A139="","",H139&amp;I139&amp;J139&amp;K139&amp;L139&amp;M139&amp;N139&amp;O139&amp;P139)</f>
        <v/>
      </c>
      <c r="H139" s="0" t="str">
        <f aca="false">IF(OR($A139="",$D139=""),"",IF(AND(EDATE($D139,Milestones!$AA$20)&lt;=AsOfDate,IF($Q139=0,$W139,IF(AND($S139&lt;&gt;"",EDATE($D139,Milestones!$AA$20)&gt;=$S139),$V139,IF(AND($R139&lt;&gt;"",EDATE($D139,Milestones!$AA$20)&gt;=$R139),$U139,$T139)))=Milestones!$AB$20),TEXT(EDATE($D139,Milestones!$AA$20),"dd/mm/yy")&amp;" "&amp;Milestones!$AB$20&amp;" "&amp;Milestones!$AC$20&amp;";  ","")&amp;IF(AND(EDATE($D139,Milestones!$AA$21)&lt;=AsOfDate,IF($Q139=0,$W139,IF(AND($S139&lt;&gt;"",EDATE($D139,Milestones!$AA$21)&gt;=$S139),$V139,IF(AND($R139&lt;&gt;"",EDATE($D139,Milestones!$AA$21)&gt;=$R139),$U139,$T139)))=Milestones!$AB$21),TEXT(EDATE($D139,Milestones!$AA$21),"dd/mm/yy")&amp;" "&amp;Milestones!$AB$21&amp;" "&amp;Milestones!$AC$21&amp;";  ","")&amp;IF(AND(EDATE($D139,Milestones!$AA$22)&lt;=AsOfDate,IF($Q139=0,$W139,IF(AND($S139&lt;&gt;"",EDATE($D139,Milestones!$AA$22)&gt;=$S139),$V139,IF(AND($R139&lt;&gt;"",EDATE($D139,Milestones!$AA$22)&gt;=$R139),$U139,$T139)))=Milestones!$AB$22),TEXT(EDATE($D139,Milestones!$AA$22),"dd/mm/yy")&amp;" "&amp;Milestones!$AB$22&amp;" "&amp;Milestones!$AC$22&amp;";  ","")&amp;IF(AND(EDATE($D139,Milestones!$AA$23)&lt;=AsOfDate,IF($Q139=0,$W139,IF(AND($S139&lt;&gt;"",EDATE($D139,Milestones!$AA$23)&gt;=$S139),$V139,IF(AND($R139&lt;&gt;"",EDATE($D139,Milestones!$AA$23)&gt;=$R139),$U139,$T139)))=Milestones!$AB$23),TEXT(EDATE($D139,Milestones!$AA$23),"dd/mm/yy")&amp;" "&amp;Milestones!$AB$23&amp;" "&amp;Milestones!$AC$23&amp;";  ","")&amp;IF(AND(EDATE($D139,Milestones!$AA$24)&lt;=AsOfDate,IF($Q139=0,$W139,IF(AND($S139&lt;&gt;"",EDATE($D139,Milestones!$AA$24)&gt;=$S139),$V139,IF(AND($R139&lt;&gt;"",EDATE($D139,Milestones!$AA$24)&gt;=$R139),$U139,$T139)))=Milestones!$AB$24),TEXT(EDATE($D139,Milestones!$AA$24),"dd/mm/yy")&amp;" "&amp;Milestones!$AB$24&amp;" "&amp;Milestones!$AC$24&amp;";  ","")&amp;IF(AND(EDATE($D139,Milestones!$AA$25)&lt;=AsOfDate,IF($Q139=0,$W139,IF(AND($S139&lt;&gt;"",EDATE($D139,Milestones!$AA$25)&gt;=$S139),$V139,IF(AND($R139&lt;&gt;"",EDATE($D139,Milestones!$AA$25)&gt;=$R139),$U139,$T139)))=Milestones!$AB$25),TEXT(EDATE($D139,Milestones!$AA$25),"dd/mm/yy")&amp;" "&amp;Milestones!$AB$25&amp;" "&amp;Milestones!$AC$25&amp;";  ","")&amp;IF(AND(EDATE($D139,Milestones!$AA$26)&lt;=AsOfDate,IF($Q139=0,$W139,IF(AND($S139&lt;&gt;"",EDATE($D139,Milestones!$AA$26)&gt;=$S139),$V139,IF(AND($R139&lt;&gt;"",EDATE($D139,Milestones!$AA$26)&gt;=$R139),$U139,$T139)))=Milestones!$AB$26),TEXT(EDATE($D139,Milestones!$AA$26),"dd/mm/yy")&amp;" "&amp;Milestones!$AB$26&amp;" "&amp;Milestones!$AC$26&amp;";  ","")&amp;IF(AND(EDATE($D139,Milestones!$AA$27)&lt;=AsOfDate,IF($Q139=0,$W139,IF(AND($S139&lt;&gt;"",EDATE($D139,Milestones!$AA$27)&gt;=$S139),$V139,IF(AND($R139&lt;&gt;"",EDATE($D139,Milestones!$AA$27)&gt;=$R139),$U139,$T139)))=Milestones!$AB$27),TEXT(EDATE($D139,Milestones!$AA$27),"dd/mm/yy")&amp;" "&amp;Milestones!$AB$27&amp;" "&amp;Milestones!$AC$27&amp;";  ","")&amp;IF(AND(EDATE($D139,Milestones!$AA$28)&lt;=AsOfDate,IF($Q139=0,$W139,IF(AND($S139&lt;&gt;"",EDATE($D139,Milestones!$AA$28)&gt;=$S139),$V139,IF(AND($R139&lt;&gt;"",EDATE($D139,Milestones!$AA$28)&gt;=$R139),$U139,$T139)))=Milestones!$AB$28),TEXT(EDATE($D139,Milestones!$AA$28),"dd/mm/yy")&amp;" "&amp;Milestones!$AB$28&amp;" "&amp;Milestones!$AC$28&amp;";  ","")&amp;IF(AND(EDATE($D139,Milestones!$AA$29)&lt;=AsOfDate,IF($Q139=0,$W139,IF(AND($S139&lt;&gt;"",EDATE($D139,Milestones!$AA$29)&gt;=$S139),$V139,IF(AND($R139&lt;&gt;"",EDATE($D139,Milestones!$AA$29)&gt;=$R139),$U139,$T139)))=Milestones!$AB$29),TEXT(EDATE($D139,Milestones!$AA$29),"dd/mm/yy")&amp;" "&amp;Milestones!$AB$29&amp;" "&amp;Milestones!$AC$29&amp;";  ","")&amp;IF(AND(EDATE($D139,Milestones!$AA$30)&lt;=AsOfDate,IF($Q139=0,$W139,IF(AND($S139&lt;&gt;"",EDATE($D139,Milestones!$AA$30)&gt;=$S139),$V139,IF(AND($R139&lt;&gt;"",EDATE($D139,Milestones!$AA$30)&gt;=$R139),$U139,$T139)))=Milestones!$AB$30),TEXT(EDATE($D139,Milestones!$AA$30),"dd/mm/yy")&amp;" "&amp;Milestones!$AB$30&amp;" "&amp;Milestones!$AC$30&amp;";  ","")&amp;IF(AND(EDATE($D139,Milestones!$AA$31)&lt;=AsOfDate,IF($Q139=0,$W139,IF(AND($S139&lt;&gt;"",EDATE($D139,Milestones!$AA$31)&gt;=$S139),$V139,IF(AND($R139&lt;&gt;"",EDATE($D139,Milestones!$AA$31)&gt;=$R139),$U139,$T139)))=Milestones!$AB$31),TEXT(EDATE($D139,Milestones!$AA$31),"dd/mm/yy")&amp;" "&amp;Milestones!$AB$31&amp;" "&amp;Milestones!$AC$31&amp;";  ","")&amp;IF(AND(EDATE($D139,Milestones!$AA$32)&lt;=AsOfDate,IF($Q139=0,$W139,IF(AND($S139&lt;&gt;"",EDATE($D139,Milestones!$AA$32)&gt;=$S139),$V139,IF(AND($R139&lt;&gt;"",EDATE($D139,Milestones!$AA$32)&gt;=$R139),$U139,$T139)))=Milestones!$AB$32),TEXT(EDATE($D139,Milestones!$AA$32),"dd/mm/yy")&amp;" "&amp;Milestones!$AB$32&amp;" "&amp;Milestones!$AC$32&amp;";  ","")&amp;IF(AND(EDATE($D139,Milestones!$AA$33)&lt;=AsOfDate,IF($Q139=0,$W139,IF(AND($S139&lt;&gt;"",EDATE($D139,Milestones!$AA$33)&gt;=$S139),$V139,IF(AND($R139&lt;&gt;"",EDATE($D139,Milestones!$AA$33)&gt;=$R139),$U139,$T139)))=Milestones!$AB$33),TEXT(EDATE($D139,Milestones!$AA$33),"dd/mm/yy")&amp;" "&amp;Milestones!$AB$33&amp;" "&amp;Milestones!$AC$33&amp;";  ","")&amp;IF(AND(EDATE($D139,Milestones!$AA$34)&lt;=AsOfDate,IF($Q139=0,$W139,IF(AND($S139&lt;&gt;"",EDATE($D139,Milestones!$AA$34)&gt;=$S139),$V139,IF(AND($R139&lt;&gt;"",EDATE($D139,Milestones!$AA$34)&gt;=$R139),$U139,$T139)))=Milestones!$AB$34),TEXT(EDATE($D139,Milestones!$AA$34),"dd/mm/yy")&amp;" "&amp;Milestones!$AB$34&amp;" "&amp;Milestones!$AC$34&amp;";  ","")&amp;IF(AND(EDATE($D139,Milestones!$AA$35)&lt;=AsOfDate,IF($Q139=0,$W139,IF(AND($S139&lt;&gt;"",EDATE($D139,Milestones!$AA$35)&gt;=$S139),$V139,IF(AND($R139&lt;&gt;"",EDATE($D139,Milestones!$AA$35)&gt;=$R139),$U139,$T139)))=Milestones!$AB$35),TEXT(EDATE($D139,Milestones!$AA$35),"dd/mm/yy")&amp;" "&amp;Milestones!$AB$35&amp;" "&amp;Milestones!$AC$35&amp;";  ","")&amp;IF(AND(EDATE($D139,Milestones!$AA$36)&lt;=AsOfDate,IF($Q139=0,$W139,IF(AND($S139&lt;&gt;"",EDATE($D139,Milestones!$AA$36)&gt;=$S139),$V139,IF(AND($R139&lt;&gt;"",EDATE($D139,Milestones!$AA$36)&gt;=$R139),$U139,$T139)))=Milestones!$AB$36),TEXT(EDATE($D139,Milestones!$AA$36),"dd/mm/yy")&amp;" "&amp;Milestones!$AB$36&amp;" "&amp;Milestones!$AC$36&amp;";  ","")&amp;IF(AND(EDATE($D139,Milestones!$AA$37)&lt;=AsOfDate,IF($Q139=0,$W139,IF(AND($S139&lt;&gt;"",EDATE($D139,Milestones!$AA$37)&gt;=$S139),$V139,IF(AND($R139&lt;&gt;"",EDATE($D139,Milestones!$AA$37)&gt;=$R139),$U139,$T139)))=Milestones!$AB$37),TEXT(EDATE($D139,Milestones!$AA$37),"dd/mm/yy")&amp;" "&amp;Milestones!$AB$37&amp;" "&amp;Milestones!$AC$37&amp;";  ","")&amp;IF(AND(EDATE($D139,Milestones!$AA$38)&lt;=AsOfDate,IF($Q139=0,$W139,IF(AND($S139&lt;&gt;"",EDATE($D139,Milestones!$AA$38)&gt;=$S139),$V139,IF(AND($R139&lt;&gt;"",EDATE($D139,Milestones!$AA$38)&gt;=$R139),$U139,$T139)))=Milestones!$AB$38),TEXT(EDATE($D139,Milestones!$AA$38),"dd/mm/yy")&amp;" "&amp;Milestones!$AB$38&amp;" "&amp;Milestones!$AC$38&amp;";  ","")&amp;IF(AND(EDATE($D139,Milestones!$AA$39)&lt;=AsOfDate,IF($Q139=0,$W139,IF(AND($S139&lt;&gt;"",EDATE($D139,Milestones!$AA$39)&gt;=$S139),$V139,IF(AND($R139&lt;&gt;"",EDATE($D139,Milestones!$AA$39)&gt;=$R139),$U139,$T139)))=Milestones!$AB$39),TEXT(EDATE($D139,Milestones!$AA$39),"dd/mm/yy")&amp;" "&amp;Milestones!$AB$39&amp;" "&amp;Milestones!$AC$39&amp;";  ",""))</f>
        <v/>
      </c>
      <c r="I139" s="0" t="str">
        <f aca="false">IF(OR($A139="",$D139=""),"",IF(AND(EDATE($D139,Milestones!$AA$40)&lt;=AsOfDate,IF($Q139=0,$W139,IF(AND($S139&lt;&gt;"",EDATE($D139,Milestones!$AA$40)&gt;=$S139),$V139,IF(AND($R139&lt;&gt;"",EDATE($D139,Milestones!$AA$40)&gt;=$R139),$U139,$T139)))=Milestones!$AB$40),TEXT(EDATE($D139,Milestones!$AA$40),"dd/mm/yy")&amp;" "&amp;Milestones!$AB$40&amp;" "&amp;Milestones!$AC$40&amp;";  ","")&amp;IF(AND(EDATE($D139,Milestones!$AA$41)&lt;=AsOfDate,IF($Q139=0,$W139,IF(AND($S139&lt;&gt;"",EDATE($D139,Milestones!$AA$41)&gt;=$S139),$V139,IF(AND($R139&lt;&gt;"",EDATE($D139,Milestones!$AA$41)&gt;=$R139),$U139,$T139)))=Milestones!$AB$41),TEXT(EDATE($D139,Milestones!$AA$41),"dd/mm/yy")&amp;" "&amp;Milestones!$AB$41&amp;" "&amp;Milestones!$AC$41&amp;";  ","")&amp;IF(AND(EDATE($D139,Milestones!$AA$42)&lt;=AsOfDate,IF($Q139=0,$W139,IF(AND($S139&lt;&gt;"",EDATE($D139,Milestones!$AA$42)&gt;=$S139),$V139,IF(AND($R139&lt;&gt;"",EDATE($D139,Milestones!$AA$42)&gt;=$R139),$U139,$T139)))=Milestones!$AB$42),TEXT(EDATE($D139,Milestones!$AA$42),"dd/mm/yy")&amp;" "&amp;Milestones!$AB$42&amp;" "&amp;Milestones!$AC$42&amp;";  ","")&amp;IF(AND(EDATE($D139,Milestones!$AA$43)&lt;=AsOfDate,IF($Q139=0,$W139,IF(AND($S139&lt;&gt;"",EDATE($D139,Milestones!$AA$43)&gt;=$S139),$V139,IF(AND($R139&lt;&gt;"",EDATE($D139,Milestones!$AA$43)&gt;=$R139),$U139,$T139)))=Milestones!$AB$43),TEXT(EDATE($D139,Milestones!$AA$43),"dd/mm/yy")&amp;" "&amp;Milestones!$AB$43&amp;" "&amp;Milestones!$AC$43&amp;";  ","")&amp;IF(AND(EDATE($D139,Milestones!$AA$44)&lt;=AsOfDate,IF($Q139=0,$W139,IF(AND($S139&lt;&gt;"",EDATE($D139,Milestones!$AA$44)&gt;=$S139),$V139,IF(AND($R139&lt;&gt;"",EDATE($D139,Milestones!$AA$44)&gt;=$R139),$U139,$T139)))=Milestones!$AB$44),TEXT(EDATE($D139,Milestones!$AA$44),"dd/mm/yy")&amp;" "&amp;Milestones!$AB$44&amp;" "&amp;Milestones!$AC$44&amp;";  ","")&amp;IF(AND(EDATE($D139,Milestones!$AA$45)&lt;=AsOfDate,IF($Q139=0,$W139,IF(AND($S139&lt;&gt;"",EDATE($D139,Milestones!$AA$45)&gt;=$S139),$V139,IF(AND($R139&lt;&gt;"",EDATE($D139,Milestones!$AA$45)&gt;=$R139),$U139,$T139)))=Milestones!$AB$45),TEXT(EDATE($D139,Milestones!$AA$45),"dd/mm/yy")&amp;" "&amp;Milestones!$AB$45&amp;" "&amp;Milestones!$AC$45&amp;";  ","")&amp;IF(AND(EDATE($D139,Milestones!$AA$46)&lt;=AsOfDate,IF($Q139=0,$W139,IF(AND($S139&lt;&gt;"",EDATE($D139,Milestones!$AA$46)&gt;=$S139),$V139,IF(AND($R139&lt;&gt;"",EDATE($D139,Milestones!$AA$46)&gt;=$R139),$U139,$T139)))=Milestones!$AB$46),TEXT(EDATE($D139,Milestones!$AA$46),"dd/mm/yy")&amp;" "&amp;Milestones!$AB$46&amp;" "&amp;Milestones!$AC$46&amp;";  ","")&amp;IF(AND(EDATE($D139,Milestones!$AA$47)&lt;=AsOfDate,IF($Q139=0,$W139,IF(AND($S139&lt;&gt;"",EDATE($D139,Milestones!$AA$47)&gt;=$S139),$V139,IF(AND($R139&lt;&gt;"",EDATE($D139,Milestones!$AA$47)&gt;=$R139),$U139,$T139)))=Milestones!$AB$47),TEXT(EDATE($D139,Milestones!$AA$47),"dd/mm/yy")&amp;" "&amp;Milestones!$AB$47&amp;" "&amp;Milestones!$AC$47&amp;";  ","")&amp;IF(AND(EDATE($D139,Milestones!$AA$48)&lt;=AsOfDate,IF($Q139=0,$W139,IF(AND($S139&lt;&gt;"",EDATE($D139,Milestones!$AA$48)&gt;=$S139),$V139,IF(AND($R139&lt;&gt;"",EDATE($D139,Milestones!$AA$48)&gt;=$R139),$U139,$T139)))=Milestones!$AB$48),TEXT(EDATE($D139,Milestones!$AA$48),"dd/mm/yy")&amp;" "&amp;Milestones!$AB$48&amp;" "&amp;Milestones!$AC$48&amp;";  ","")&amp;IF(AND(EDATE($D139,Milestones!$AA$49)&lt;=AsOfDate,IF($Q139=0,$W139,IF(AND($S139&lt;&gt;"",EDATE($D139,Milestones!$AA$49)&gt;=$S139),$V139,IF(AND($R139&lt;&gt;"",EDATE($D139,Milestones!$AA$49)&gt;=$R139),$U139,$T139)))=Milestones!$AB$49),TEXT(EDATE($D139,Milestones!$AA$49),"dd/mm/yy")&amp;" "&amp;Milestones!$AB$49&amp;" "&amp;Milestones!$AC$49&amp;";  ","")&amp;IF(AND(EDATE($D139,Milestones!$AA$50)&lt;=AsOfDate,IF($Q139=0,$W139,IF(AND($S139&lt;&gt;"",EDATE($D139,Milestones!$AA$50)&gt;=$S139),$V139,IF(AND($R139&lt;&gt;"",EDATE($D139,Milestones!$AA$50)&gt;=$R139),$U139,$T139)))=Milestones!$AB$50),TEXT(EDATE($D139,Milestones!$AA$50),"dd/mm/yy")&amp;" "&amp;Milestones!$AB$50&amp;" "&amp;Milestones!$AC$50&amp;";  ","")&amp;IF(AND(EDATE($D139,Milestones!$AA$51)&lt;=AsOfDate,IF($Q139=0,$W139,IF(AND($S139&lt;&gt;"",EDATE($D139,Milestones!$AA$51)&gt;=$S139),$V139,IF(AND($R139&lt;&gt;"",EDATE($D139,Milestones!$AA$51)&gt;=$R139),$U139,$T139)))=Milestones!$AB$51),TEXT(EDATE($D139,Milestones!$AA$51),"dd/mm/yy")&amp;" "&amp;Milestones!$AB$51&amp;" "&amp;Milestones!$AC$51&amp;";  ","")&amp;IF(AND(EDATE($D139,Milestones!$AA$52)&lt;=AsOfDate,IF($Q139=0,$W139,IF(AND($S139&lt;&gt;"",EDATE($D139,Milestones!$AA$52)&gt;=$S139),$V139,IF(AND($R139&lt;&gt;"",EDATE($D139,Milestones!$AA$52)&gt;=$R139),$U139,$T139)))=Milestones!$AB$52),TEXT(EDATE($D139,Milestones!$AA$52),"dd/mm/yy")&amp;" "&amp;Milestones!$AB$52&amp;" "&amp;Milestones!$AC$52&amp;";  ","")&amp;IF(AND(EDATE($D139,Milestones!$AA$53)&lt;=AsOfDate,IF($Q139=0,$W139,IF(AND($S139&lt;&gt;"",EDATE($D139,Milestones!$AA$53)&gt;=$S139),$V139,IF(AND($R139&lt;&gt;"",EDATE($D139,Milestones!$AA$53)&gt;=$R139),$U139,$T139)))=Milestones!$AB$53),TEXT(EDATE($D139,Milestones!$AA$53),"dd/mm/yy")&amp;" "&amp;Milestones!$AB$53&amp;" "&amp;Milestones!$AC$53&amp;";  ","")&amp;IF(AND(EDATE($D139,Milestones!$AA$54)&lt;=AsOfDate,IF($Q139=0,$W139,IF(AND($S139&lt;&gt;"",EDATE($D139,Milestones!$AA$54)&gt;=$S139),$V139,IF(AND($R139&lt;&gt;"",EDATE($D139,Milestones!$AA$54)&gt;=$R139),$U139,$T139)))=Milestones!$AB$54),TEXT(EDATE($D139,Milestones!$AA$54),"dd/mm/yy")&amp;" "&amp;Milestones!$AB$54&amp;" "&amp;Milestones!$AC$54&amp;";  ","")&amp;IF(AND(EDATE($D139,Milestones!$AA$55)&lt;=AsOfDate,IF($Q139=0,$W139,IF(AND($S139&lt;&gt;"",EDATE($D139,Milestones!$AA$55)&gt;=$S139),$V139,IF(AND($R139&lt;&gt;"",EDATE($D139,Milestones!$AA$55)&gt;=$R139),$U139,$T139)))=Milestones!$AB$55),TEXT(EDATE($D139,Milestones!$AA$55),"dd/mm/yy")&amp;" "&amp;Milestones!$AB$55&amp;" "&amp;Milestones!$AC$55&amp;";  ","")&amp;IF(AND(EDATE($D139,Milestones!$AA$56)&lt;=AsOfDate,IF($Q139=0,$W139,IF(AND($S139&lt;&gt;"",EDATE($D139,Milestones!$AA$56)&gt;=$S139),$V139,IF(AND($R139&lt;&gt;"",EDATE($D139,Milestones!$AA$56)&gt;=$R139),$U139,$T139)))=Milestones!$AB$56),TEXT(EDATE($D139,Milestones!$AA$56),"dd/mm/yy")&amp;" "&amp;Milestones!$AB$56&amp;" "&amp;Milestones!$AC$56&amp;";  ","")&amp;IF(AND(EDATE($D139,Milestones!$AA$57)&lt;=AsOfDate,IF($Q139=0,$W139,IF(AND($S139&lt;&gt;"",EDATE($D139,Milestones!$AA$57)&gt;=$S139),$V139,IF(AND($R139&lt;&gt;"",EDATE($D139,Milestones!$AA$57)&gt;=$R139),$U139,$T139)))=Milestones!$AB$57),TEXT(EDATE($D139,Milestones!$AA$57),"dd/mm/yy")&amp;" "&amp;Milestones!$AB$57&amp;" "&amp;Milestones!$AC$57&amp;";  ","")&amp;IF(AND(EDATE($D139,Milestones!$AA$58)&lt;=AsOfDate,IF($Q139=0,$W139,IF(AND($S139&lt;&gt;"",EDATE($D139,Milestones!$AA$58)&gt;=$S139),$V139,IF(AND($R139&lt;&gt;"",EDATE($D139,Milestones!$AA$58)&gt;=$R139),$U139,$T139)))=Milestones!$AB$58),TEXT(EDATE($D139,Milestones!$AA$58),"dd/mm/yy")&amp;" "&amp;Milestones!$AB$58&amp;" "&amp;Milestones!$AC$58&amp;";  ","")&amp;IF(AND(EDATE($D139,Milestones!$AA$59)&lt;=AsOfDate,IF($Q139=0,$W139,IF(AND($S139&lt;&gt;"",EDATE($D139,Milestones!$AA$59)&gt;=$S139),$V139,IF(AND($R139&lt;&gt;"",EDATE($D139,Milestones!$AA$59)&gt;=$R139),$U139,$T139)))=Milestones!$AB$59),TEXT(EDATE($D139,Milestones!$AA$59),"dd/mm/yy")&amp;" "&amp;Milestones!$AB$59&amp;" "&amp;Milestones!$AC$59&amp;";  ",""))</f>
        <v/>
      </c>
      <c r="J139" s="0" t="str">
        <f aca="false">IF(OR($A139="",$D139=""),"",IF(AND(EDATE($D139,Milestones!$AA$60)&lt;=AsOfDate,IF($Q139=0,$W139,IF(AND($S139&lt;&gt;"",EDATE($D139,Milestones!$AA$60)&gt;=$S139),$V139,IF(AND($R139&lt;&gt;"",EDATE($D139,Milestones!$AA$60)&gt;=$R139),$U139,$T139)))=Milestones!$AB$60),TEXT(EDATE($D139,Milestones!$AA$60),"dd/mm/yy")&amp;" "&amp;Milestones!$AB$60&amp;" "&amp;Milestones!$AC$60&amp;";  ","")&amp;IF(AND(EDATE($D139,Milestones!$AA$61)&lt;=AsOfDate,IF($Q139=0,$W139,IF(AND($S139&lt;&gt;"",EDATE($D139,Milestones!$AA$61)&gt;=$S139),$V139,IF(AND($R139&lt;&gt;"",EDATE($D139,Milestones!$AA$61)&gt;=$R139),$U139,$T139)))=Milestones!$AB$61),TEXT(EDATE($D139,Milestones!$AA$61),"dd/mm/yy")&amp;" "&amp;Milestones!$AB$61&amp;" "&amp;Milestones!$AC$61&amp;";  ","")&amp;IF(AND(EDATE($D139,Milestones!$AA$62)&lt;=AsOfDate,IF($Q139=0,$W139,IF(AND($S139&lt;&gt;"",EDATE($D139,Milestones!$AA$62)&gt;=$S139),$V139,IF(AND($R139&lt;&gt;"",EDATE($D139,Milestones!$AA$62)&gt;=$R139),$U139,$T139)))=Milestones!$AB$62),TEXT(EDATE($D139,Milestones!$AA$62),"dd/mm/yy")&amp;" "&amp;Milestones!$AB$62&amp;" "&amp;Milestones!$AC$62&amp;";  ","")&amp;IF(AND(EDATE($D139,Milestones!$AA$63)&lt;=AsOfDate,IF($Q139=0,$W139,IF(AND($S139&lt;&gt;"",EDATE($D139,Milestones!$AA$63)&gt;=$S139),$V139,IF(AND($R139&lt;&gt;"",EDATE($D139,Milestones!$AA$63)&gt;=$R139),$U139,$T139)))=Milestones!$AB$63),TEXT(EDATE($D139,Milestones!$AA$63),"dd/mm/yy")&amp;" "&amp;Milestones!$AB$63&amp;" "&amp;Milestones!$AC$63&amp;";  ","")&amp;IF(AND(EDATE($D139,Milestones!$AA$64)&lt;=AsOfDate,IF($Q139=0,$W139,IF(AND($S139&lt;&gt;"",EDATE($D139,Milestones!$AA$64)&gt;=$S139),$V139,IF(AND($R139&lt;&gt;"",EDATE($D139,Milestones!$AA$64)&gt;=$R139),$U139,$T139)))=Milestones!$AB$64),TEXT(EDATE($D139,Milestones!$AA$64),"dd/mm/yy")&amp;" "&amp;Milestones!$AB$64&amp;" "&amp;Milestones!$AC$64&amp;";  ","")&amp;IF(AND(EDATE($D139,Milestones!$AA$65)&lt;=AsOfDate,IF($Q139=0,$W139,IF(AND($S139&lt;&gt;"",EDATE($D139,Milestones!$AA$65)&gt;=$S139),$V139,IF(AND($R139&lt;&gt;"",EDATE($D139,Milestones!$AA$65)&gt;=$R139),$U139,$T139)))=Milestones!$AB$65),TEXT(EDATE($D139,Milestones!$AA$65),"dd/mm/yy")&amp;" "&amp;Milestones!$AB$65&amp;" "&amp;Milestones!$AC$65&amp;";  ","")&amp;IF(AND(EDATE($D139,Milestones!$AA$66)&lt;=AsOfDate,IF($Q139=0,$W139,IF(AND($S139&lt;&gt;"",EDATE($D139,Milestones!$AA$66)&gt;=$S139),$V139,IF(AND($R139&lt;&gt;"",EDATE($D139,Milestones!$AA$66)&gt;=$R139),$U139,$T139)))=Milestones!$AB$66),TEXT(EDATE($D139,Milestones!$AA$66),"dd/mm/yy")&amp;" "&amp;Milestones!$AB$66&amp;" "&amp;Milestones!$AC$66&amp;";  ","")&amp;IF(AND(EDATE($D139,Milestones!$AA$67)&lt;=AsOfDate,IF($Q139=0,$W139,IF(AND($S139&lt;&gt;"",EDATE($D139,Milestones!$AA$67)&gt;=$S139),$V139,IF(AND($R139&lt;&gt;"",EDATE($D139,Milestones!$AA$67)&gt;=$R139),$U139,$T139)))=Milestones!$AB$67),TEXT(EDATE($D139,Milestones!$AA$67),"dd/mm/yy")&amp;" "&amp;Milestones!$AB$67&amp;" "&amp;Milestones!$AC$67&amp;";  ","")&amp;IF(AND(EDATE($D139,Milestones!$AA$68)&lt;=AsOfDate,IF($Q139=0,$W139,IF(AND($S139&lt;&gt;"",EDATE($D139,Milestones!$AA$68)&gt;=$S139),$V139,IF(AND($R139&lt;&gt;"",EDATE($D139,Milestones!$AA$68)&gt;=$R139),$U139,$T139)))=Milestones!$AB$68),TEXT(EDATE($D139,Milestones!$AA$68),"dd/mm/yy")&amp;" "&amp;Milestones!$AB$68&amp;" "&amp;Milestones!$AC$68&amp;";  ","")&amp;IF(AND(EDATE($D139,Milestones!$AA$69)&lt;=AsOfDate,IF($Q139=0,$W139,IF(AND($S139&lt;&gt;"",EDATE($D139,Milestones!$AA$69)&gt;=$S139),$V139,IF(AND($R139&lt;&gt;"",EDATE($D139,Milestones!$AA$69)&gt;=$R139),$U139,$T139)))=Milestones!$AB$69),TEXT(EDATE($D139,Milestones!$AA$69),"dd/mm/yy")&amp;" "&amp;Milestones!$AB$69&amp;" "&amp;Milestones!$AC$69&amp;";  ","")&amp;IF(AND(EDATE($D139,Milestones!$AA$70)&lt;=AsOfDate,IF($Q139=0,$W139,IF(AND($S139&lt;&gt;"",EDATE($D139,Milestones!$AA$70)&gt;=$S139),$V139,IF(AND($R139&lt;&gt;"",EDATE($D139,Milestones!$AA$70)&gt;=$R139),$U139,$T139)))=Milestones!$AB$70),TEXT(EDATE($D139,Milestones!$AA$70),"dd/mm/yy")&amp;" "&amp;Milestones!$AB$70&amp;" "&amp;Milestones!$AC$70&amp;";  ","")&amp;IF(AND(EDATE($D139,Milestones!$AA$71)&lt;=AsOfDate,IF($Q139=0,$W139,IF(AND($S139&lt;&gt;"",EDATE($D139,Milestones!$AA$71)&gt;=$S139),$V139,IF(AND($R139&lt;&gt;"",EDATE($D139,Milestones!$AA$71)&gt;=$R139),$U139,$T139)))=Milestones!$AB$71),TEXT(EDATE($D139,Milestones!$AA$71),"dd/mm/yy")&amp;" "&amp;Milestones!$AB$71&amp;" "&amp;Milestones!$AC$71&amp;";  ","")&amp;IF(AND(EDATE($D139,Milestones!$AA$72)&lt;=AsOfDate,IF($Q139=0,$W139,IF(AND($S139&lt;&gt;"",EDATE($D139,Milestones!$AA$72)&gt;=$S139),$V139,IF(AND($R139&lt;&gt;"",EDATE($D139,Milestones!$AA$72)&gt;=$R139),$U139,$T139)))=Milestones!$AB$72),TEXT(EDATE($D139,Milestones!$AA$72),"dd/mm/yy")&amp;" "&amp;Milestones!$AB$72&amp;" "&amp;Milestones!$AC$72&amp;";  ","")&amp;IF(AND(EDATE($D139,Milestones!$AA$73)&lt;=AsOfDate,IF($Q139=0,$W139,IF(AND($S139&lt;&gt;"",EDATE($D139,Milestones!$AA$73)&gt;=$S139),$V139,IF(AND($R139&lt;&gt;"",EDATE($D139,Milestones!$AA$73)&gt;=$R139),$U139,$T139)))=Milestones!$AB$73),TEXT(EDATE($D139,Milestones!$AA$73),"dd/mm/yy")&amp;" "&amp;Milestones!$AB$73&amp;" "&amp;Milestones!$AC$73&amp;";  ","")&amp;IF(AND(EDATE($D139,Milestones!$AA$74)&lt;=AsOfDate,IF($Q139=0,$W139,IF(AND($S139&lt;&gt;"",EDATE($D139,Milestones!$AA$74)&gt;=$S139),$V139,IF(AND($R139&lt;&gt;"",EDATE($D139,Milestones!$AA$74)&gt;=$R139),$U139,$T139)))=Milestones!$AB$74),TEXT(EDATE($D139,Milestones!$AA$74),"dd/mm/yy")&amp;" "&amp;Milestones!$AB$74&amp;" "&amp;Milestones!$AC$74&amp;";  ","")&amp;IF(AND(EDATE($D139,Milestones!$AA$75)&lt;=AsOfDate,IF($Q139=0,$W139,IF(AND($S139&lt;&gt;"",EDATE($D139,Milestones!$AA$75)&gt;=$S139),$V139,IF(AND($R139&lt;&gt;"",EDATE($D139,Milestones!$AA$75)&gt;=$R139),$U139,$T139)))=Milestones!$AB$75),TEXT(EDATE($D139,Milestones!$AA$75),"dd/mm/yy")&amp;" "&amp;Milestones!$AB$75&amp;" "&amp;Milestones!$AC$75&amp;";  ","")&amp;IF(AND(EDATE($D139,Milestones!$AA$76)&lt;=AsOfDate,IF($Q139=0,$W139,IF(AND($S139&lt;&gt;"",EDATE($D139,Milestones!$AA$76)&gt;=$S139),$V139,IF(AND($R139&lt;&gt;"",EDATE($D139,Milestones!$AA$76)&gt;=$R139),$U139,$T139)))=Milestones!$AB$76),TEXT(EDATE($D139,Milestones!$AA$76),"dd/mm/yy")&amp;" "&amp;Milestones!$AB$76&amp;" "&amp;Milestones!$AC$76&amp;";  ","")&amp;IF(AND(EDATE($D139,Milestones!$AA$77)&lt;=AsOfDate,IF($Q139=0,$W139,IF(AND($S139&lt;&gt;"",EDATE($D139,Milestones!$AA$77)&gt;=$S139),$V139,IF(AND($R139&lt;&gt;"",EDATE($D139,Milestones!$AA$77)&gt;=$R139),$U139,$T139)))=Milestones!$AB$77),TEXT(EDATE($D139,Milestones!$AA$77),"dd/mm/yy")&amp;" "&amp;Milestones!$AB$77&amp;" "&amp;Milestones!$AC$77&amp;";  ","")&amp;IF(AND(EDATE($D139,Milestones!$AA$78)&lt;=AsOfDate,IF($Q139=0,$W139,IF(AND($S139&lt;&gt;"",EDATE($D139,Milestones!$AA$78)&gt;=$S139),$V139,IF(AND($R139&lt;&gt;"",EDATE($D139,Milestones!$AA$78)&gt;=$R139),$U139,$T139)))=Milestones!$AB$78),TEXT(EDATE($D139,Milestones!$AA$78),"dd/mm/yy")&amp;" "&amp;Milestones!$AB$78&amp;" "&amp;Milestones!$AC$78&amp;";  ","")&amp;IF(AND(EDATE($D139,Milestones!$AA$79)&lt;=AsOfDate,IF($Q139=0,$W139,IF(AND($S139&lt;&gt;"",EDATE($D139,Milestones!$AA$79)&gt;=$S139),$V139,IF(AND($R139&lt;&gt;"",EDATE($D139,Milestones!$AA$79)&gt;=$R139),$U139,$T139)))=Milestones!$AB$79),TEXT(EDATE($D139,Milestones!$AA$79),"dd/mm/yy")&amp;" "&amp;Milestones!$AB$79&amp;" "&amp;Milestones!$AC$79&amp;";  ",""))</f>
        <v/>
      </c>
      <c r="K139" s="0" t="str">
        <f aca="false">IF(OR($A139="",$D139=""),"",IF(AND(EDATE($D139,Milestones!$AA$80)&lt;=AsOfDate,IF($Q139=0,$W139,IF(AND($S139&lt;&gt;"",EDATE($D139,Milestones!$AA$80)&gt;=$S139),$V139,IF(AND($R139&lt;&gt;"",EDATE($D139,Milestones!$AA$80)&gt;=$R139),$U139,$T139)))=Milestones!$AB$80),TEXT(EDATE($D139,Milestones!$AA$80),"dd/mm/yy")&amp;" "&amp;Milestones!$AB$80&amp;" "&amp;Milestones!$AC$80&amp;";  ","")&amp;IF(AND(EDATE($D139,Milestones!$AA$81)&lt;=AsOfDate,IF($Q139=0,$W139,IF(AND($S139&lt;&gt;"",EDATE($D139,Milestones!$AA$81)&gt;=$S139),$V139,IF(AND($R139&lt;&gt;"",EDATE($D139,Milestones!$AA$81)&gt;=$R139),$U139,$T139)))=Milestones!$AB$81),TEXT(EDATE($D139,Milestones!$AA$81),"dd/mm/yy")&amp;" "&amp;Milestones!$AB$81&amp;" "&amp;Milestones!$AC$81&amp;";  ","")&amp;IF(AND(EDATE($D139,Milestones!$AA$82)&lt;=AsOfDate,IF($Q139=0,$W139,IF(AND($S139&lt;&gt;"",EDATE($D139,Milestones!$AA$82)&gt;=$S139),$V139,IF(AND($R139&lt;&gt;"",EDATE($D139,Milestones!$AA$82)&gt;=$R139),$U139,$T139)))=Milestones!$AB$82),TEXT(EDATE($D139,Milestones!$AA$82),"dd/mm/yy")&amp;" "&amp;Milestones!$AB$82&amp;" "&amp;Milestones!$AC$82&amp;";  ","")&amp;IF(AND(EDATE($D139,Milestones!$AA$83)&lt;=AsOfDate,IF($Q139=0,$W139,IF(AND($S139&lt;&gt;"",EDATE($D139,Milestones!$AA$83)&gt;=$S139),$V139,IF(AND($R139&lt;&gt;"",EDATE($D139,Milestones!$AA$83)&gt;=$R139),$U139,$T139)))=Milestones!$AB$83),TEXT(EDATE($D139,Milestones!$AA$83),"dd/mm/yy")&amp;" "&amp;Milestones!$AB$83&amp;" "&amp;Milestones!$AC$83&amp;";  ","")&amp;IF(AND(EDATE($D139,Milestones!$AA$84)&lt;=AsOfDate,IF($Q139=0,$W139,IF(AND($S139&lt;&gt;"",EDATE($D139,Milestones!$AA$84)&gt;=$S139),$V139,IF(AND($R139&lt;&gt;"",EDATE($D139,Milestones!$AA$84)&gt;=$R139),$U139,$T139)))=Milestones!$AB$84),TEXT(EDATE($D139,Milestones!$AA$84),"dd/mm/yy")&amp;" "&amp;Milestones!$AB$84&amp;" "&amp;Milestones!$AC$84&amp;";  ","")&amp;IF(AND(EDATE($D139,Milestones!$AA$85)&lt;=AsOfDate,IF($Q139=0,$W139,IF(AND($S139&lt;&gt;"",EDATE($D139,Milestones!$AA$85)&gt;=$S139),$V139,IF(AND($R139&lt;&gt;"",EDATE($D139,Milestones!$AA$85)&gt;=$R139),$U139,$T139)))=Milestones!$AB$85),TEXT(EDATE($D139,Milestones!$AA$85),"dd/mm/yy")&amp;" "&amp;Milestones!$AB$85&amp;" "&amp;Milestones!$AC$85&amp;";  ","")&amp;IF(AND(EDATE($D139,Milestones!$AA$86)&lt;=AsOfDate,IF($Q139=0,$W139,IF(AND($S139&lt;&gt;"",EDATE($D139,Milestones!$AA$86)&gt;=$S139),$V139,IF(AND($R139&lt;&gt;"",EDATE($D139,Milestones!$AA$86)&gt;=$R139),$U139,$T139)))=Milestones!$AB$86),TEXT(EDATE($D139,Milestones!$AA$86),"dd/mm/yy")&amp;" "&amp;Milestones!$AB$86&amp;" "&amp;Milestones!$AC$86&amp;";  ","")&amp;IF(AND(EDATE($D139,Milestones!$AA$87)&lt;=AsOfDate,IF($Q139=0,$W139,IF(AND($S139&lt;&gt;"",EDATE($D139,Milestones!$AA$87)&gt;=$S139),$V139,IF(AND($R139&lt;&gt;"",EDATE($D139,Milestones!$AA$87)&gt;=$R139),$U139,$T139)))=Milestones!$AB$87),TEXT(EDATE($D139,Milestones!$AA$87),"dd/mm/yy")&amp;" "&amp;Milestones!$AB$87&amp;" "&amp;Milestones!$AC$87&amp;";  ","")&amp;IF(AND(EDATE($D139,Milestones!$AA$88)&lt;=AsOfDate,IF($Q139=0,$W139,IF(AND($S139&lt;&gt;"",EDATE($D139,Milestones!$AA$88)&gt;=$S139),$V139,IF(AND($R139&lt;&gt;"",EDATE($D139,Milestones!$AA$88)&gt;=$R139),$U139,$T139)))=Milestones!$AB$88),TEXT(EDATE($D139,Milestones!$AA$88),"dd/mm/yy")&amp;" "&amp;Milestones!$AB$88&amp;" "&amp;Milestones!$AC$88&amp;";  ","")&amp;IF(AND(EDATE($D139,Milestones!$AA$89)&lt;=AsOfDate,IF($Q139=0,$W139,IF(AND($S139&lt;&gt;"",EDATE($D139,Milestones!$AA$89)&gt;=$S139),$V139,IF(AND($R139&lt;&gt;"",EDATE($D139,Milestones!$AA$89)&gt;=$R139),$U139,$T139)))=Milestones!$AB$89),TEXT(EDATE($D139,Milestones!$AA$89),"dd/mm/yy")&amp;" "&amp;Milestones!$AB$89&amp;" "&amp;Milestones!$AC$89&amp;";  ","")&amp;IF(AND(EDATE($D139,Milestones!$AA$90)&lt;=AsOfDate,IF($Q139=0,$W139,IF(AND($S139&lt;&gt;"",EDATE($D139,Milestones!$AA$90)&gt;=$S139),$V139,IF(AND($R139&lt;&gt;"",EDATE($D139,Milestones!$AA$90)&gt;=$R139),$U139,$T139)))=Milestones!$AB$90),TEXT(EDATE($D139,Milestones!$AA$90),"dd/mm/yy")&amp;" "&amp;Milestones!$AB$90&amp;" "&amp;Milestones!$AC$90&amp;";  ","")&amp;IF(AND(EDATE($D139,Milestones!$AA$91)&lt;=AsOfDate,IF($Q139=0,$W139,IF(AND($S139&lt;&gt;"",EDATE($D139,Milestones!$AA$91)&gt;=$S139),$V139,IF(AND($R139&lt;&gt;"",EDATE($D139,Milestones!$AA$91)&gt;=$R139),$U139,$T139)))=Milestones!$AB$91),TEXT(EDATE($D139,Milestones!$AA$91),"dd/mm/yy")&amp;" "&amp;Milestones!$AB$91&amp;" "&amp;Milestones!$AC$91&amp;";  ","")&amp;IF(AND(EDATE($D139,Milestones!$AA$92)&lt;=AsOfDate,IF($Q139=0,$W139,IF(AND($S139&lt;&gt;"",EDATE($D139,Milestones!$AA$92)&gt;=$S139),$V139,IF(AND($R139&lt;&gt;"",EDATE($D139,Milestones!$AA$92)&gt;=$R139),$U139,$T139)))=Milestones!$AB$92),TEXT(EDATE($D139,Milestones!$AA$92),"dd/mm/yy")&amp;" "&amp;Milestones!$AB$92&amp;" "&amp;Milestones!$AC$92&amp;";  ","")&amp;IF(AND(EDATE($D139,Milestones!$AA$93)&lt;=AsOfDate,IF($Q139=0,$W139,IF(AND($S139&lt;&gt;"",EDATE($D139,Milestones!$AA$93)&gt;=$S139),$V139,IF(AND($R139&lt;&gt;"",EDATE($D139,Milestones!$AA$93)&gt;=$R139),$U139,$T139)))=Milestones!$AB$93),TEXT(EDATE($D139,Milestones!$AA$93),"dd/mm/yy")&amp;" "&amp;Milestones!$AB$93&amp;" "&amp;Milestones!$AC$93&amp;";  ","")&amp;IF(AND(EDATE($D139,Milestones!$AA$94)&lt;=AsOfDate,IF($Q139=0,$W139,IF(AND($S139&lt;&gt;"",EDATE($D139,Milestones!$AA$94)&gt;=$S139),$V139,IF(AND($R139&lt;&gt;"",EDATE($D139,Milestones!$AA$94)&gt;=$R139),$U139,$T139)))=Milestones!$AB$94),TEXT(EDATE($D139,Milestones!$AA$94),"dd/mm/yy")&amp;" "&amp;Milestones!$AB$94&amp;" "&amp;Milestones!$AC$94&amp;";  ","")&amp;IF(AND(EDATE($D139,Milestones!$AA$95)&lt;=AsOfDate,IF($Q139=0,$W139,IF(AND($S139&lt;&gt;"",EDATE($D139,Milestones!$AA$95)&gt;=$S139),$V139,IF(AND($R139&lt;&gt;"",EDATE($D139,Milestones!$AA$95)&gt;=$R139),$U139,$T139)))=Milestones!$AB$95),TEXT(EDATE($D139,Milestones!$AA$95),"dd/mm/yy")&amp;" "&amp;Milestones!$AB$95&amp;" "&amp;Milestones!$AC$95&amp;";  ","")&amp;IF(AND(EDATE($D139,Milestones!$AA$96)&lt;=AsOfDate,IF($Q139=0,$W139,IF(AND($S139&lt;&gt;"",EDATE($D139,Milestones!$AA$96)&gt;=$S139),$V139,IF(AND($R139&lt;&gt;"",EDATE($D139,Milestones!$AA$96)&gt;=$R139),$U139,$T139)))=Milestones!$AB$96),TEXT(EDATE($D139,Milestones!$AA$96),"dd/mm/yy")&amp;" "&amp;Milestones!$AB$96&amp;" "&amp;Milestones!$AC$96&amp;";  ","")&amp;IF(AND(EDATE($D139,Milestones!$AA$97)&lt;=AsOfDate,IF($Q139=0,$W139,IF(AND($S139&lt;&gt;"",EDATE($D139,Milestones!$AA$97)&gt;=$S139),$V139,IF(AND($R139&lt;&gt;"",EDATE($D139,Milestones!$AA$97)&gt;=$R139),$U139,$T139)))=Milestones!$AB$97),TEXT(EDATE($D139,Milestones!$AA$97),"dd/mm/yy")&amp;" "&amp;Milestones!$AB$97&amp;" "&amp;Milestones!$AC$97&amp;";  ","")&amp;IF(AND(EDATE($D139,Milestones!$AA$98)&lt;=AsOfDate,IF($Q139=0,$W139,IF(AND($S139&lt;&gt;"",EDATE($D139,Milestones!$AA$98)&gt;=$S139),$V139,IF(AND($R139&lt;&gt;"",EDATE($D139,Milestones!$AA$98)&gt;=$R139),$U139,$T139)))=Milestones!$AB$98),TEXT(EDATE($D139,Milestones!$AA$98),"dd/mm/yy")&amp;" "&amp;Milestones!$AB$98&amp;" "&amp;Milestones!$AC$98&amp;";  ","")&amp;IF(AND(EDATE($D139,Milestones!$AA$99)&lt;=AsOfDate,IF($Q139=0,$W139,IF(AND($S139&lt;&gt;"",EDATE($D139,Milestones!$AA$99)&gt;=$S139),$V139,IF(AND($R139&lt;&gt;"",EDATE($D139,Milestones!$AA$99)&gt;=$R139),$U139,$T139)))=Milestones!$AB$99),TEXT(EDATE($D139,Milestones!$AA$99),"dd/mm/yy")&amp;" "&amp;Milestones!$AB$99&amp;" "&amp;Milestones!$AC$99&amp;";  ",""))</f>
        <v/>
      </c>
      <c r="L139" s="0" t="str">
        <f aca="false">IF(OR($A139="",$D139=""),"",IF(AND(EDATE($D139,Milestones!$AA$100)&lt;=AsOfDate,IF($Q139=0,$W139,IF(AND($S139&lt;&gt;"",EDATE($D139,Milestones!$AA$100)&gt;=$S139),$V139,IF(AND($R139&lt;&gt;"",EDATE($D139,Milestones!$AA$100)&gt;=$R139),$U139,$T139)))=Milestones!$AB$100),TEXT(EDATE($D139,Milestones!$AA$100),"dd/mm/yy")&amp;" "&amp;Milestones!$AB$100&amp;" "&amp;Milestones!$AC$100&amp;";  ","")&amp;IF(AND(EDATE($D139,Milestones!$AA$101)&lt;=AsOfDate,IF($Q139=0,$W139,IF(AND($S139&lt;&gt;"",EDATE($D139,Milestones!$AA$101)&gt;=$S139),$V139,IF(AND($R139&lt;&gt;"",EDATE($D139,Milestones!$AA$101)&gt;=$R139),$U139,$T139)))=Milestones!$AB$101),TEXT(EDATE($D139,Milestones!$AA$101),"dd/mm/yy")&amp;" "&amp;Milestones!$AB$101&amp;" "&amp;Milestones!$AC$101&amp;";  ","")&amp;IF(AND(EDATE($D139,Milestones!$AA$102)&lt;=AsOfDate,IF($Q139=0,$W139,IF(AND($S139&lt;&gt;"",EDATE($D139,Milestones!$AA$102)&gt;=$S139),$V139,IF(AND($R139&lt;&gt;"",EDATE($D139,Milestones!$AA$102)&gt;=$R139),$U139,$T139)))=Milestones!$AB$102),TEXT(EDATE($D139,Milestones!$AA$102),"dd/mm/yy")&amp;" "&amp;Milestones!$AB$102&amp;" "&amp;Milestones!$AC$102&amp;";  ","")&amp;IF(AND(EDATE($D139,Milestones!$AA$103)&lt;=AsOfDate,IF($Q139=0,$W139,IF(AND($S139&lt;&gt;"",EDATE($D139,Milestones!$AA$103)&gt;=$S139),$V139,IF(AND($R139&lt;&gt;"",EDATE($D139,Milestones!$AA$103)&gt;=$R139),$U139,$T139)))=Milestones!$AB$103),TEXT(EDATE($D139,Milestones!$AA$103),"dd/mm/yy")&amp;" "&amp;Milestones!$AB$103&amp;" "&amp;Milestones!$AC$103&amp;";  ","")&amp;IF(AND(EDATE($D139,Milestones!$AA$104)&lt;=AsOfDate,IF($Q139=0,$W139,IF(AND($S139&lt;&gt;"",EDATE($D139,Milestones!$AA$104)&gt;=$S139),$V139,IF(AND($R139&lt;&gt;"",EDATE($D139,Milestones!$AA$104)&gt;=$R139),$U139,$T139)))=Milestones!$AB$104),TEXT(EDATE($D139,Milestones!$AA$104),"dd/mm/yy")&amp;" "&amp;Milestones!$AB$104&amp;" "&amp;Milestones!$AC$104&amp;";  ","")&amp;IF(AND(EDATE($D139,Milestones!$AA$105)&lt;=AsOfDate,IF($Q139=0,$W139,IF(AND($S139&lt;&gt;"",EDATE($D139,Milestones!$AA$105)&gt;=$S139),$V139,IF(AND($R139&lt;&gt;"",EDATE($D139,Milestones!$AA$105)&gt;=$R139),$U139,$T139)))=Milestones!$AB$105),TEXT(EDATE($D139,Milestones!$AA$105),"dd/mm/yy")&amp;" "&amp;Milestones!$AB$105&amp;" "&amp;Milestones!$AC$105&amp;";  ","")&amp;IF(AND(EDATE($D139,Milestones!$AA$106)&lt;=AsOfDate,IF($Q139=0,$W139,IF(AND($S139&lt;&gt;"",EDATE($D139,Milestones!$AA$106)&gt;=$S139),$V139,IF(AND($R139&lt;&gt;"",EDATE($D139,Milestones!$AA$106)&gt;=$R139),$U139,$T139)))=Milestones!$AB$106),TEXT(EDATE($D139,Milestones!$AA$106),"dd/mm/yy")&amp;" "&amp;Milestones!$AB$106&amp;" "&amp;Milestones!$AC$106&amp;";  ","")&amp;IF(AND(EDATE($D139,Milestones!$AA$107)&lt;=AsOfDate,IF($Q139=0,$W139,IF(AND($S139&lt;&gt;"",EDATE($D139,Milestones!$AA$107)&gt;=$S139),$V139,IF(AND($R139&lt;&gt;"",EDATE($D139,Milestones!$AA$107)&gt;=$R139),$U139,$T139)))=Milestones!$AB$107),TEXT(EDATE($D139,Milestones!$AA$107),"dd/mm/yy")&amp;" "&amp;Milestones!$AB$107&amp;" "&amp;Milestones!$AC$107&amp;";  ","")&amp;IF(AND(EDATE($D139,Milestones!$AA$108)&lt;=AsOfDate,IF($Q139=0,$W139,IF(AND($S139&lt;&gt;"",EDATE($D139,Milestones!$AA$108)&gt;=$S139),$V139,IF(AND($R139&lt;&gt;"",EDATE($D139,Milestones!$AA$108)&gt;=$R139),$U139,$T139)))=Milestones!$AB$108),TEXT(EDATE($D139,Milestones!$AA$108),"dd/mm/yy")&amp;" "&amp;Milestones!$AB$108&amp;" "&amp;Milestones!$AC$108&amp;";  ","")&amp;IF(AND(EDATE($D139,Milestones!$AA$109)&lt;=AsOfDate,IF($Q139=0,$W139,IF(AND($S139&lt;&gt;"",EDATE($D139,Milestones!$AA$109)&gt;=$S139),$V139,IF(AND($R139&lt;&gt;"",EDATE($D139,Milestones!$AA$109)&gt;=$R139),$U139,$T139)))=Milestones!$AB$109),TEXT(EDATE($D139,Milestones!$AA$109),"dd/mm/yy")&amp;" "&amp;Milestones!$AB$109&amp;" "&amp;Milestones!$AC$109&amp;";  ","")&amp;IF(AND(EDATE($D139,Milestones!$AA$110)&lt;=AsOfDate,IF($Q139=0,$W139,IF(AND($S139&lt;&gt;"",EDATE($D139,Milestones!$AA$110)&gt;=$S139),$V139,IF(AND($R139&lt;&gt;"",EDATE($D139,Milestones!$AA$110)&gt;=$R139),$U139,$T139)))=Milestones!$AB$110),TEXT(EDATE($D139,Milestones!$AA$110),"dd/mm/yy")&amp;" "&amp;Milestones!$AB$110&amp;" "&amp;Milestones!$AC$110&amp;";  ","")&amp;IF(AND(EDATE($D139,Milestones!$AA$111)&lt;=AsOfDate,IF($Q139=0,$W139,IF(AND($S139&lt;&gt;"",EDATE($D139,Milestones!$AA$111)&gt;=$S139),$V139,IF(AND($R139&lt;&gt;"",EDATE($D139,Milestones!$AA$111)&gt;=$R139),$U139,$T139)))=Milestones!$AB$111),TEXT(EDATE($D139,Milestones!$AA$111),"dd/mm/yy")&amp;" "&amp;Milestones!$AB$111&amp;" "&amp;Milestones!$AC$111&amp;";  ","")&amp;IF(AND(EDATE($D139,Milestones!$AA$112)&lt;=AsOfDate,IF($Q139=0,$W139,IF(AND($S139&lt;&gt;"",EDATE($D139,Milestones!$AA$112)&gt;=$S139),$V139,IF(AND($R139&lt;&gt;"",EDATE($D139,Milestones!$AA$112)&gt;=$R139),$U139,$T139)))=Milestones!$AB$112),TEXT(EDATE($D139,Milestones!$AA$112),"dd/mm/yy")&amp;" "&amp;Milestones!$AB$112&amp;" "&amp;Milestones!$AC$112&amp;";  ","")&amp;IF(AND(EDATE($D139,Milestones!$AA$113)&lt;=AsOfDate,IF($Q139=0,$W139,IF(AND($S139&lt;&gt;"",EDATE($D139,Milestones!$AA$113)&gt;=$S139),$V139,IF(AND($R139&lt;&gt;"",EDATE($D139,Milestones!$AA$113)&gt;=$R139),$U139,$T139)))=Milestones!$AB$113),TEXT(EDATE($D139,Milestones!$AA$113),"dd/mm/yy")&amp;" "&amp;Milestones!$AB$113&amp;" "&amp;Milestones!$AC$113&amp;";  ","")&amp;IF(AND(EDATE($D139,Milestones!$AA$114)&lt;=AsOfDate,IF($Q139=0,$W139,IF(AND($S139&lt;&gt;"",EDATE($D139,Milestones!$AA$114)&gt;=$S139),$V139,IF(AND($R139&lt;&gt;"",EDATE($D139,Milestones!$AA$114)&gt;=$R139),$U139,$T139)))=Milestones!$AB$114),TEXT(EDATE($D139,Milestones!$AA$114),"dd/mm/yy")&amp;" "&amp;Milestones!$AB$114&amp;" "&amp;Milestones!$AC$114&amp;";  ","")&amp;IF(AND(EDATE($D139,Milestones!$AA$115)&lt;=AsOfDate,IF($Q139=0,$W139,IF(AND($S139&lt;&gt;"",EDATE($D139,Milestones!$AA$115)&gt;=$S139),$V139,IF(AND($R139&lt;&gt;"",EDATE($D139,Milestones!$AA$115)&gt;=$R139),$U139,$T139)))=Milestones!$AB$115),TEXT(EDATE($D139,Milestones!$AA$115),"dd/mm/yy")&amp;" "&amp;Milestones!$AB$115&amp;" "&amp;Milestones!$AC$115&amp;";  ","")&amp;IF(AND(EDATE($D139,Milestones!$AA$116)&lt;=AsOfDate,IF($Q139=0,$W139,IF(AND($S139&lt;&gt;"",EDATE($D139,Milestones!$AA$116)&gt;=$S139),$V139,IF(AND($R139&lt;&gt;"",EDATE($D139,Milestones!$AA$116)&gt;=$R139),$U139,$T139)))=Milestones!$AB$116),TEXT(EDATE($D139,Milestones!$AA$116),"dd/mm/yy")&amp;" "&amp;Milestones!$AB$116&amp;" "&amp;Milestones!$AC$116&amp;";  ","")&amp;IF(AND(EDATE($D139,Milestones!$AA$117)&lt;=AsOfDate,IF($Q139=0,$W139,IF(AND($S139&lt;&gt;"",EDATE($D139,Milestones!$AA$117)&gt;=$S139),$V139,IF(AND($R139&lt;&gt;"",EDATE($D139,Milestones!$AA$117)&gt;=$R139),$U139,$T139)))=Milestones!$AB$117),TEXT(EDATE($D139,Milestones!$AA$117),"dd/mm/yy")&amp;" "&amp;Milestones!$AB$117&amp;" "&amp;Milestones!$AC$117&amp;";  ","")&amp;IF(AND(EDATE($D139,Milestones!$AA$118)&lt;=AsOfDate,IF($Q139=0,$W139,IF(AND($S139&lt;&gt;"",EDATE($D139,Milestones!$AA$118)&gt;=$S139),$V139,IF(AND($R139&lt;&gt;"",EDATE($D139,Milestones!$AA$118)&gt;=$R139),$U139,$T139)))=Milestones!$AB$118),TEXT(EDATE($D139,Milestones!$AA$118),"dd/mm/yy")&amp;" "&amp;Milestones!$AB$118&amp;" "&amp;Milestones!$AC$118&amp;";  ","")&amp;IF(AND(EDATE($D139,Milestones!$AA$119)&lt;=AsOfDate,IF($Q139=0,$W139,IF(AND($S139&lt;&gt;"",EDATE($D139,Milestones!$AA$119)&gt;=$S139),$V139,IF(AND($R139&lt;&gt;"",EDATE($D139,Milestones!$AA$119)&gt;=$R139),$U139,$T139)))=Milestones!$AB$119),TEXT(EDATE($D139,Milestones!$AA$119),"dd/mm/yy")&amp;" "&amp;Milestones!$AB$119&amp;" "&amp;Milestones!$AC$119&amp;";  ",""))</f>
        <v/>
      </c>
      <c r="M139" s="0" t="str">
        <f aca="false">IF(OR($A139="",$D139=""),"",IF(AND(EDATE($D139,Milestones!$AA$120)&lt;=AsOfDate,IF($Q139=0,$W139,IF(AND($S139&lt;&gt;"",EDATE($D139,Milestones!$AA$120)&gt;=$S139),$V139,IF(AND($R139&lt;&gt;"",EDATE($D139,Milestones!$AA$120)&gt;=$R139),$U139,$T139)))=Milestones!$AB$120),TEXT(EDATE($D139,Milestones!$AA$120),"dd/mm/yy")&amp;" "&amp;Milestones!$AB$120&amp;" "&amp;Milestones!$AC$120&amp;";  ","")&amp;IF(AND(EDATE($D139,Milestones!$AA$121)&lt;=AsOfDate,IF($Q139=0,$W139,IF(AND($S139&lt;&gt;"",EDATE($D139,Milestones!$AA$121)&gt;=$S139),$V139,IF(AND($R139&lt;&gt;"",EDATE($D139,Milestones!$AA$121)&gt;=$R139),$U139,$T139)))=Milestones!$AB$121),TEXT(EDATE($D139,Milestones!$AA$121),"dd/mm/yy")&amp;" "&amp;Milestones!$AB$121&amp;" "&amp;Milestones!$AC$121&amp;";  ","")&amp;IF(AND(EDATE($D139,Milestones!$AA$122)&lt;=AsOfDate,IF($Q139=0,$W139,IF(AND($S139&lt;&gt;"",EDATE($D139,Milestones!$AA$122)&gt;=$S139),$V139,IF(AND($R139&lt;&gt;"",EDATE($D139,Milestones!$AA$122)&gt;=$R139),$U139,$T139)))=Milestones!$AB$122),TEXT(EDATE($D139,Milestones!$AA$122),"dd/mm/yy")&amp;" "&amp;Milestones!$AB$122&amp;" "&amp;Milestones!$AC$122&amp;";  ","")&amp;IF(AND(EDATE($D139,Milestones!$AA$123)&lt;=AsOfDate,IF($Q139=0,$W139,IF(AND($S139&lt;&gt;"",EDATE($D139,Milestones!$AA$123)&gt;=$S139),$V139,IF(AND($R139&lt;&gt;"",EDATE($D139,Milestones!$AA$123)&gt;=$R139),$U139,$T139)))=Milestones!$AB$123),TEXT(EDATE($D139,Milestones!$AA$123),"dd/mm/yy")&amp;" "&amp;Milestones!$AB$123&amp;" "&amp;Milestones!$AC$123&amp;";  ","")&amp;IF(AND(EDATE($D139,Milestones!$AA$124)&lt;=AsOfDate,IF($Q139=0,$W139,IF(AND($S139&lt;&gt;"",EDATE($D139,Milestones!$AA$124)&gt;=$S139),$V139,IF(AND($R139&lt;&gt;"",EDATE($D139,Milestones!$AA$124)&gt;=$R139),$U139,$T139)))=Milestones!$AB$124),TEXT(EDATE($D139,Milestones!$AA$124),"dd/mm/yy")&amp;" "&amp;Milestones!$AB$124&amp;" "&amp;Milestones!$AC$124&amp;";  ","")&amp;IF(AND(EDATE($D139,Milestones!$AA$125)&lt;=AsOfDate,IF($Q139=0,$W139,IF(AND($S139&lt;&gt;"",EDATE($D139,Milestones!$AA$125)&gt;=$S139),$V139,IF(AND($R139&lt;&gt;"",EDATE($D139,Milestones!$AA$125)&gt;=$R139),$U139,$T139)))=Milestones!$AB$125),TEXT(EDATE($D139,Milestones!$AA$125),"dd/mm/yy")&amp;" "&amp;Milestones!$AB$125&amp;" "&amp;Milestones!$AC$125&amp;";  ","")&amp;IF(AND(EDATE($D139,Milestones!$AA$126)&lt;=AsOfDate,IF($Q139=0,$W139,IF(AND($S139&lt;&gt;"",EDATE($D139,Milestones!$AA$126)&gt;=$S139),$V139,IF(AND($R139&lt;&gt;"",EDATE($D139,Milestones!$AA$126)&gt;=$R139),$U139,$T139)))=Milestones!$AB$126),TEXT(EDATE($D139,Milestones!$AA$126),"dd/mm/yy")&amp;" "&amp;Milestones!$AB$126&amp;" "&amp;Milestones!$AC$126&amp;";  ","")&amp;IF(AND(EDATE($D139,Milestones!$AA$127)&lt;=AsOfDate,IF($Q139=0,$W139,IF(AND($S139&lt;&gt;"",EDATE($D139,Milestones!$AA$127)&gt;=$S139),$V139,IF(AND($R139&lt;&gt;"",EDATE($D139,Milestones!$AA$127)&gt;=$R139),$U139,$T139)))=Milestones!$AB$127),TEXT(EDATE($D139,Milestones!$AA$127),"dd/mm/yy")&amp;" "&amp;Milestones!$AB$127&amp;" "&amp;Milestones!$AC$127&amp;";  ","")&amp;IF(AND(EDATE($D139,Milestones!$AA$128)&lt;=AsOfDate,IF($Q139=0,$W139,IF(AND($S139&lt;&gt;"",EDATE($D139,Milestones!$AA$128)&gt;=$S139),$V139,IF(AND($R139&lt;&gt;"",EDATE($D139,Milestones!$AA$128)&gt;=$R139),$U139,$T139)))=Milestones!$AB$128),TEXT(EDATE($D139,Milestones!$AA$128),"dd/mm/yy")&amp;" "&amp;Milestones!$AB$128&amp;" "&amp;Milestones!$AC$128&amp;";  ","")&amp;IF(AND(EDATE($D139,Milestones!$AA$129)&lt;=AsOfDate,IF($Q139=0,$W139,IF(AND($S139&lt;&gt;"",EDATE($D139,Milestones!$AA$129)&gt;=$S139),$V139,IF(AND($R139&lt;&gt;"",EDATE($D139,Milestones!$AA$129)&gt;=$R139),$U139,$T139)))=Milestones!$AB$129),TEXT(EDATE($D139,Milestones!$AA$129),"dd/mm/yy")&amp;" "&amp;Milestones!$AB$129&amp;" "&amp;Milestones!$AC$129&amp;";  ","")&amp;IF(AND(EDATE($D139,Milestones!$AA$130)&lt;=AsOfDate,IF($Q139=0,$W139,IF(AND($S139&lt;&gt;"",EDATE($D139,Milestones!$AA$130)&gt;=$S139),$V139,IF(AND($R139&lt;&gt;"",EDATE($D139,Milestones!$AA$130)&gt;=$R139),$U139,$T139)))=Milestones!$AB$130),TEXT(EDATE($D139,Milestones!$AA$130),"dd/mm/yy")&amp;" "&amp;Milestones!$AB$130&amp;" "&amp;Milestones!$AC$130&amp;";  ","")&amp;IF(AND(EDATE($D139,Milestones!$AA$131)&lt;=AsOfDate,IF($Q139=0,$W139,IF(AND($S139&lt;&gt;"",EDATE($D139,Milestones!$AA$131)&gt;=$S139),$V139,IF(AND($R139&lt;&gt;"",EDATE($D139,Milestones!$AA$131)&gt;=$R139),$U139,$T139)))=Milestones!$AB$131),TEXT(EDATE($D139,Milestones!$AA$131),"dd/mm/yy")&amp;" "&amp;Milestones!$AB$131&amp;" "&amp;Milestones!$AC$131&amp;";  ","")&amp;IF(AND(EDATE($D139,Milestones!$AA$132)&lt;=AsOfDate,IF($Q139=0,$W139,IF(AND($S139&lt;&gt;"",EDATE($D139,Milestones!$AA$132)&gt;=$S139),$V139,IF(AND($R139&lt;&gt;"",EDATE($D139,Milestones!$AA$132)&gt;=$R139),$U139,$T139)))=Milestones!$AB$132),TEXT(EDATE($D139,Milestones!$AA$132),"dd/mm/yy")&amp;" "&amp;Milestones!$AB$132&amp;" "&amp;Milestones!$AC$132&amp;";  ","")&amp;IF(AND(EDATE($D139,Milestones!$AA$133)&lt;=AsOfDate,IF($Q139=0,$W139,IF(AND($S139&lt;&gt;"",EDATE($D139,Milestones!$AA$133)&gt;=$S139),$V139,IF(AND($R139&lt;&gt;"",EDATE($D139,Milestones!$AA$133)&gt;=$R139),$U139,$T139)))=Milestones!$AB$133),TEXT(EDATE($D139,Milestones!$AA$133),"dd/mm/yy")&amp;" "&amp;Milestones!$AB$133&amp;" "&amp;Milestones!$AC$133&amp;";  ","")&amp;IF(AND(EDATE($D139,Milestones!$AA$134)&lt;=AsOfDate,IF($Q139=0,$W139,IF(AND($S139&lt;&gt;"",EDATE($D139,Milestones!$AA$134)&gt;=$S139),$V139,IF(AND($R139&lt;&gt;"",EDATE($D139,Milestones!$AA$134)&gt;=$R139),$U139,$T139)))=Milestones!$AB$134),TEXT(EDATE($D139,Milestones!$AA$134),"dd/mm/yy")&amp;" "&amp;Milestones!$AB$134&amp;" "&amp;Milestones!$AC$134&amp;";  ","")&amp;IF(AND(EDATE($D139,Milestones!$AA$135)&lt;=AsOfDate,IF($Q139=0,$W139,IF(AND($S139&lt;&gt;"",EDATE($D139,Milestones!$AA$135)&gt;=$S139),$V139,IF(AND($R139&lt;&gt;"",EDATE($D139,Milestones!$AA$135)&gt;=$R139),$U139,$T139)))=Milestones!$AB$135),TEXT(EDATE($D139,Milestones!$AA$135),"dd/mm/yy")&amp;" "&amp;Milestones!$AB$135&amp;" "&amp;Milestones!$AC$135&amp;";  ","")&amp;IF(AND(EDATE($D139,Milestones!$AA$136)&lt;=AsOfDate,IF($Q139=0,$W139,IF(AND($S139&lt;&gt;"",EDATE($D139,Milestones!$AA$136)&gt;=$S139),$V139,IF(AND($R139&lt;&gt;"",EDATE($D139,Milestones!$AA$136)&gt;=$R139),$U139,$T139)))=Milestones!$AB$136),TEXT(EDATE($D139,Milestones!$AA$136),"dd/mm/yy")&amp;" "&amp;Milestones!$AB$136&amp;" "&amp;Milestones!$AC$136&amp;";  ","")&amp;IF(AND(EDATE($D139,Milestones!$AA$137)&lt;=AsOfDate,IF($Q139=0,$W139,IF(AND($S139&lt;&gt;"",EDATE($D139,Milestones!$AA$137)&gt;=$S139),$V139,IF(AND($R139&lt;&gt;"",EDATE($D139,Milestones!$AA$137)&gt;=$R139),$U139,$T139)))=Milestones!$AB$137),TEXT(EDATE($D139,Milestones!$AA$137),"dd/mm/yy")&amp;" "&amp;Milestones!$AB$137&amp;" "&amp;Milestones!$AC$137&amp;";  ","")&amp;IF(AND(EDATE($D139,Milestones!$AA$138)&lt;=AsOfDate,IF($Q139=0,$W139,IF(AND($S139&lt;&gt;"",EDATE($D139,Milestones!$AA$138)&gt;=$S139),$V139,IF(AND($R139&lt;&gt;"",EDATE($D139,Milestones!$AA$138)&gt;=$R139),$U139,$T139)))=Milestones!$AB$138),TEXT(EDATE($D139,Milestones!$AA$138),"dd/mm/yy")&amp;" "&amp;Milestones!$AB$138&amp;" "&amp;Milestones!$AC$138&amp;";  ","")&amp;IF(AND(EDATE($D139,Milestones!$AA$139)&lt;=AsOfDate,IF($Q139=0,$W139,IF(AND($S139&lt;&gt;"",EDATE($D139,Milestones!$AA$139)&gt;=$S139),$V139,IF(AND($R139&lt;&gt;"",EDATE($D139,Milestones!$AA$139)&gt;=$R139),$U139,$T139)))=Milestones!$AB$139),TEXT(EDATE($D139,Milestones!$AA$139),"dd/mm/yy")&amp;" "&amp;Milestones!$AB$139&amp;" "&amp;Milestones!$AC$139&amp;";  ",""))</f>
        <v/>
      </c>
      <c r="N139" s="0" t="str">
        <f aca="false">IF(OR($A139="",$D139=""),"",IF(AND(EDATE($D139,Milestones!$AA$140)&lt;=AsOfDate,IF($Q139=0,$W139,IF(AND($S139&lt;&gt;"",EDATE($D139,Milestones!$AA$140)&gt;=$S139),$V139,IF(AND($R139&lt;&gt;"",EDATE($D139,Milestones!$AA$140)&gt;=$R139),$U139,$T139)))=Milestones!$AB$140),TEXT(EDATE($D139,Milestones!$AA$140),"dd/mm/yy")&amp;" "&amp;Milestones!$AB$140&amp;" "&amp;Milestones!$AC$140&amp;";  ","")&amp;IF(AND(EDATE($D139,Milestones!$AA$141)&lt;=AsOfDate,IF($Q139=0,$W139,IF(AND($S139&lt;&gt;"",EDATE($D139,Milestones!$AA$141)&gt;=$S139),$V139,IF(AND($R139&lt;&gt;"",EDATE($D139,Milestones!$AA$141)&gt;=$R139),$U139,$T139)))=Milestones!$AB$141),TEXT(EDATE($D139,Milestones!$AA$141),"dd/mm/yy")&amp;" "&amp;Milestones!$AB$141&amp;" "&amp;Milestones!$AC$141&amp;";  ","")&amp;IF(AND(EDATE($D139,Milestones!$AA$142)&lt;=AsOfDate,IF($Q139=0,$W139,IF(AND($S139&lt;&gt;"",EDATE($D139,Milestones!$AA$142)&gt;=$S139),$V139,IF(AND($R139&lt;&gt;"",EDATE($D139,Milestones!$AA$142)&gt;=$R139),$U139,$T139)))=Milestones!$AB$142),TEXT(EDATE($D139,Milestones!$AA$142),"dd/mm/yy")&amp;" "&amp;Milestones!$AB$142&amp;" "&amp;Milestones!$AC$142&amp;";  ","")&amp;IF(AND(EDATE($D139,Milestones!$AA$143)&lt;=AsOfDate,IF($Q139=0,$W139,IF(AND($S139&lt;&gt;"",EDATE($D139,Milestones!$AA$143)&gt;=$S139),$V139,IF(AND($R139&lt;&gt;"",EDATE($D139,Milestones!$AA$143)&gt;=$R139),$U139,$T139)))=Milestones!$AB$143),TEXT(EDATE($D139,Milestones!$AA$143),"dd/mm/yy")&amp;" "&amp;Milestones!$AB$143&amp;" "&amp;Milestones!$AC$143&amp;";  ","")&amp;IF(AND(EDATE($D139,Milestones!$AA$144)&lt;=AsOfDate,IF($Q139=0,$W139,IF(AND($S139&lt;&gt;"",EDATE($D139,Milestones!$AA$144)&gt;=$S139),$V139,IF(AND($R139&lt;&gt;"",EDATE($D139,Milestones!$AA$144)&gt;=$R139),$U139,$T139)))=Milestones!$AB$144),TEXT(EDATE($D139,Milestones!$AA$144),"dd/mm/yy")&amp;" "&amp;Milestones!$AB$144&amp;" "&amp;Milestones!$AC$144&amp;";  ","")&amp;IF(AND(EDATE($D139,Milestones!$AA$145)&lt;=AsOfDate,IF($Q139=0,$W139,IF(AND($S139&lt;&gt;"",EDATE($D139,Milestones!$AA$145)&gt;=$S139),$V139,IF(AND($R139&lt;&gt;"",EDATE($D139,Milestones!$AA$145)&gt;=$R139),$U139,$T139)))=Milestones!$AB$145),TEXT(EDATE($D139,Milestones!$AA$145),"dd/mm/yy")&amp;" "&amp;Milestones!$AB$145&amp;" "&amp;Milestones!$AC$145&amp;";  ","")&amp;IF(AND(EDATE($D139,Milestones!$AA$146)&lt;=AsOfDate,IF($Q139=0,$W139,IF(AND($S139&lt;&gt;"",EDATE($D139,Milestones!$AA$146)&gt;=$S139),$V139,IF(AND($R139&lt;&gt;"",EDATE($D139,Milestones!$AA$146)&gt;=$R139),$U139,$T139)))=Milestones!$AB$146),TEXT(EDATE($D139,Milestones!$AA$146),"dd/mm/yy")&amp;" "&amp;Milestones!$AB$146&amp;" "&amp;Milestones!$AC$146&amp;";  ","")&amp;IF(AND(EDATE($D139,Milestones!$AA$147)&lt;=AsOfDate,IF($Q139=0,$W139,IF(AND($S139&lt;&gt;"",EDATE($D139,Milestones!$AA$147)&gt;=$S139),$V139,IF(AND($R139&lt;&gt;"",EDATE($D139,Milestones!$AA$147)&gt;=$R139),$U139,$T139)))=Milestones!$AB$147),TEXT(EDATE($D139,Milestones!$AA$147),"dd/mm/yy")&amp;" "&amp;Milestones!$AB$147&amp;" "&amp;Milestones!$AC$147&amp;";  ","")&amp;IF(AND(EDATE($D139,Milestones!$AA$148)&lt;=AsOfDate,IF($Q139=0,$W139,IF(AND($S139&lt;&gt;"",EDATE($D139,Milestones!$AA$148)&gt;=$S139),$V139,IF(AND($R139&lt;&gt;"",EDATE($D139,Milestones!$AA$148)&gt;=$R139),$U139,$T139)))=Milestones!$AB$148),TEXT(EDATE($D139,Milestones!$AA$148),"dd/mm/yy")&amp;" "&amp;Milestones!$AB$148&amp;" "&amp;Milestones!$AC$148&amp;";  ","")&amp;IF(AND(EDATE($D139,Milestones!$AA$149)&lt;=AsOfDate,IF($Q139=0,$W139,IF(AND($S139&lt;&gt;"",EDATE($D139,Milestones!$AA$149)&gt;=$S139),$V139,IF(AND($R139&lt;&gt;"",EDATE($D139,Milestones!$AA$149)&gt;=$R139),$U139,$T139)))=Milestones!$AB$149),TEXT(EDATE($D139,Milestones!$AA$149),"dd/mm/yy")&amp;" "&amp;Milestones!$AB$149&amp;" "&amp;Milestones!$AC$149&amp;";  ","")&amp;IF(AND(EDATE($D139,Milestones!$AA$150)&lt;=AsOfDate,IF($Q139=0,$W139,IF(AND($S139&lt;&gt;"",EDATE($D139,Milestones!$AA$150)&gt;=$S139),$V139,IF(AND($R139&lt;&gt;"",EDATE($D139,Milestones!$AA$150)&gt;=$R139),$U139,$T139)))=Milestones!$AB$150),TEXT(EDATE($D139,Milestones!$AA$150),"dd/mm/yy")&amp;" "&amp;Milestones!$AB$150&amp;" "&amp;Milestones!$AC$150&amp;";  ","")&amp;IF(AND(EDATE($D139,Milestones!$AA$151)&lt;=AsOfDate,IF($Q139=0,$W139,IF(AND($S139&lt;&gt;"",EDATE($D139,Milestones!$AA$151)&gt;=$S139),$V139,IF(AND($R139&lt;&gt;"",EDATE($D139,Milestones!$AA$151)&gt;=$R139),$U139,$T139)))=Milestones!$AB$151),TEXT(EDATE($D139,Milestones!$AA$151),"dd/mm/yy")&amp;" "&amp;Milestones!$AB$151&amp;" "&amp;Milestones!$AC$151&amp;";  ","")&amp;IF(AND(EDATE($D139,Milestones!$AA$152)&lt;=AsOfDate,IF($Q139=0,$W139,IF(AND($S139&lt;&gt;"",EDATE($D139,Milestones!$AA$152)&gt;=$S139),$V139,IF(AND($R139&lt;&gt;"",EDATE($D139,Milestones!$AA$152)&gt;=$R139),$U139,$T139)))=Milestones!$AB$152),TEXT(EDATE($D139,Milestones!$AA$152),"dd/mm/yy")&amp;" "&amp;Milestones!$AB$152&amp;" "&amp;Milestones!$AC$152&amp;";  ","")&amp;IF(AND(EDATE($D139,Milestones!$AA$153)&lt;=AsOfDate,IF($Q139=0,$W139,IF(AND($S139&lt;&gt;"",EDATE($D139,Milestones!$AA$153)&gt;=$S139),$V139,IF(AND($R139&lt;&gt;"",EDATE($D139,Milestones!$AA$153)&gt;=$R139),$U139,$T139)))=Milestones!$AB$153),TEXT(EDATE($D139,Milestones!$AA$153),"dd/mm/yy")&amp;" "&amp;Milestones!$AB$153&amp;" "&amp;Milestones!$AC$153&amp;";  ","")&amp;IF(AND(EDATE($D139,Milestones!$AA$154)&lt;=AsOfDate,IF($Q139=0,$W139,IF(AND($S139&lt;&gt;"",EDATE($D139,Milestones!$AA$154)&gt;=$S139),$V139,IF(AND($R139&lt;&gt;"",EDATE($D139,Milestones!$AA$154)&gt;=$R139),$U139,$T139)))=Milestones!$AB$154),TEXT(EDATE($D139,Milestones!$AA$154),"dd/mm/yy")&amp;" "&amp;Milestones!$AB$154&amp;" "&amp;Milestones!$AC$154&amp;";  ","")&amp;IF(AND(EDATE($D139,Milestones!$AA$155)&lt;=AsOfDate,IF($Q139=0,$W139,IF(AND($S139&lt;&gt;"",EDATE($D139,Milestones!$AA$155)&gt;=$S139),$V139,IF(AND($R139&lt;&gt;"",EDATE($D139,Milestones!$AA$155)&gt;=$R139),$U139,$T139)))=Milestones!$AB$155),TEXT(EDATE($D139,Milestones!$AA$155),"dd/mm/yy")&amp;" "&amp;Milestones!$AB$155&amp;" "&amp;Milestones!$AC$155&amp;";  ","")&amp;IF(AND(EDATE($D139,Milestones!$AA$156)&lt;=AsOfDate,IF($Q139=0,$W139,IF(AND($S139&lt;&gt;"",EDATE($D139,Milestones!$AA$156)&gt;=$S139),$V139,IF(AND($R139&lt;&gt;"",EDATE($D139,Milestones!$AA$156)&gt;=$R139),$U139,$T139)))=Milestones!$AB$156),TEXT(EDATE($D139,Milestones!$AA$156),"dd/mm/yy")&amp;" "&amp;Milestones!$AB$156&amp;" "&amp;Milestones!$AC$156&amp;";  ","")&amp;IF(AND(EDATE($D139,Milestones!$AA$157)&lt;=AsOfDate,IF($Q139=0,$W139,IF(AND($S139&lt;&gt;"",EDATE($D139,Milestones!$AA$157)&gt;=$S139),$V139,IF(AND($R139&lt;&gt;"",EDATE($D139,Milestones!$AA$157)&gt;=$R139),$U139,$T139)))=Milestones!$AB$157),TEXT(EDATE($D139,Milestones!$AA$157),"dd/mm/yy")&amp;" "&amp;Milestones!$AB$157&amp;" "&amp;Milestones!$AC$157&amp;";  ","")&amp;IF(AND(EDATE($D139,Milestones!$AA$158)&lt;=AsOfDate,IF($Q139=0,$W139,IF(AND($S139&lt;&gt;"",EDATE($D139,Milestones!$AA$158)&gt;=$S139),$V139,IF(AND($R139&lt;&gt;"",EDATE($D139,Milestones!$AA$158)&gt;=$R139),$U139,$T139)))=Milestones!$AB$158),TEXT(EDATE($D139,Milestones!$AA$158),"dd/mm/yy")&amp;" "&amp;Milestones!$AB$158&amp;" "&amp;Milestones!$AC$158&amp;";  ","")&amp;IF(AND(EDATE($D139,Milestones!$AA$159)&lt;=AsOfDate,IF($Q139=0,$W139,IF(AND($S139&lt;&gt;"",EDATE($D139,Milestones!$AA$159)&gt;=$S139),$V139,IF(AND($R139&lt;&gt;"",EDATE($D139,Milestones!$AA$159)&gt;=$R139),$U139,$T139)))=Milestones!$AB$159),TEXT(EDATE($D139,Milestones!$AA$159),"dd/mm/yy")&amp;" "&amp;Milestones!$AB$159&amp;" "&amp;Milestones!$AC$159&amp;";  ",""))</f>
        <v/>
      </c>
      <c r="O139" s="0" t="str">
        <f aca="false">IF(OR($A139="",$D139=""),"",IF(AND(EDATE($D139,Milestones!$AA$160)&lt;=AsOfDate,IF($Q139=0,$W139,IF(AND($S139&lt;&gt;"",EDATE($D139,Milestones!$AA$160)&gt;=$S139),$V139,IF(AND($R139&lt;&gt;"",EDATE($D139,Milestones!$AA$160)&gt;=$R139),$U139,$T139)))=Milestones!$AB$160),TEXT(EDATE($D139,Milestones!$AA$160),"dd/mm/yy")&amp;" "&amp;Milestones!$AB$160&amp;" "&amp;Milestones!$AC$160&amp;";  ","")&amp;IF(AND(EDATE($D139,Milestones!$AA$161)&lt;=AsOfDate,IF($Q139=0,$W139,IF(AND($S139&lt;&gt;"",EDATE($D139,Milestones!$AA$161)&gt;=$S139),$V139,IF(AND($R139&lt;&gt;"",EDATE($D139,Milestones!$AA$161)&gt;=$R139),$U139,$T139)))=Milestones!$AB$161),TEXT(EDATE($D139,Milestones!$AA$161),"dd/mm/yy")&amp;" "&amp;Milestones!$AB$161&amp;" "&amp;Milestones!$AC$161&amp;";  ","")&amp;IF(AND(EDATE($D139,Milestones!$AA$162)&lt;=AsOfDate,IF($Q139=0,$W139,IF(AND($S139&lt;&gt;"",EDATE($D139,Milestones!$AA$162)&gt;=$S139),$V139,IF(AND($R139&lt;&gt;"",EDATE($D139,Milestones!$AA$162)&gt;=$R139),$U139,$T139)))=Milestones!$AB$162),TEXT(EDATE($D139,Milestones!$AA$162),"dd/mm/yy")&amp;" "&amp;Milestones!$AB$162&amp;" "&amp;Milestones!$AC$162&amp;";  ","")&amp;IF(AND(EDATE($D139,Milestones!$AA$163)&lt;=AsOfDate,IF($Q139=0,$W139,IF(AND($S139&lt;&gt;"",EDATE($D139,Milestones!$AA$163)&gt;=$S139),$V139,IF(AND($R139&lt;&gt;"",EDATE($D139,Milestones!$AA$163)&gt;=$R139),$U139,$T139)))=Milestones!$AB$163),TEXT(EDATE($D139,Milestones!$AA$163),"dd/mm/yy")&amp;" "&amp;Milestones!$AB$163&amp;" "&amp;Milestones!$AC$163&amp;";  ","")&amp;IF(AND(EDATE($D139,Milestones!$AA$164)&lt;=AsOfDate,IF($Q139=0,$W139,IF(AND($S139&lt;&gt;"",EDATE($D139,Milestones!$AA$164)&gt;=$S139),$V139,IF(AND($R139&lt;&gt;"",EDATE($D139,Milestones!$AA$164)&gt;=$R139),$U139,$T139)))=Milestones!$AB$164),TEXT(EDATE($D139,Milestones!$AA$164),"dd/mm/yy")&amp;" "&amp;Milestones!$AB$164&amp;" "&amp;Milestones!$AC$164&amp;";  ","")&amp;IF(AND(EDATE($D139,Milestones!$AA$165)&lt;=AsOfDate,IF($Q139=0,$W139,IF(AND($S139&lt;&gt;"",EDATE($D139,Milestones!$AA$165)&gt;=$S139),$V139,IF(AND($R139&lt;&gt;"",EDATE($D139,Milestones!$AA$165)&gt;=$R139),$U139,$T139)))=Milestones!$AB$165),TEXT(EDATE($D139,Milestones!$AA$165),"dd/mm/yy")&amp;" "&amp;Milestones!$AB$165&amp;" "&amp;Milestones!$AC$165&amp;";  ","")&amp;IF(AND(EDATE($D139,Milestones!$AA$166)&lt;=AsOfDate,IF($Q139=0,$W139,IF(AND($S139&lt;&gt;"",EDATE($D139,Milestones!$AA$166)&gt;=$S139),$V139,IF(AND($R139&lt;&gt;"",EDATE($D139,Milestones!$AA$166)&gt;=$R139),$U139,$T139)))=Milestones!$AB$166),TEXT(EDATE($D139,Milestones!$AA$166),"dd/mm/yy")&amp;" "&amp;Milestones!$AB$166&amp;" "&amp;Milestones!$AC$166&amp;";  ","")&amp;IF(AND(EDATE($D139,Milestones!$AA$167)&lt;=AsOfDate,IF($Q139=0,$W139,IF(AND($S139&lt;&gt;"",EDATE($D139,Milestones!$AA$167)&gt;=$S139),$V139,IF(AND($R139&lt;&gt;"",EDATE($D139,Milestones!$AA$167)&gt;=$R139),$U139,$T139)))=Milestones!$AB$167),TEXT(EDATE($D139,Milestones!$AA$167),"dd/mm/yy")&amp;" "&amp;Milestones!$AB$167&amp;" "&amp;Milestones!$AC$167&amp;";  ","")&amp;IF(AND(EDATE($D139,Milestones!$AA$168)&lt;=AsOfDate,IF($Q139=0,$W139,IF(AND($S139&lt;&gt;"",EDATE($D139,Milestones!$AA$168)&gt;=$S139),$V139,IF(AND($R139&lt;&gt;"",EDATE($D139,Milestones!$AA$168)&gt;=$R139),$U139,$T139)))=Milestones!$AB$168),TEXT(EDATE($D139,Milestones!$AA$168),"dd/mm/yy")&amp;" "&amp;Milestones!$AB$168&amp;" "&amp;Milestones!$AC$168&amp;";  ","")&amp;IF(AND(EDATE($D139,Milestones!$AA$169)&lt;=AsOfDate,IF($Q139=0,$W139,IF(AND($S139&lt;&gt;"",EDATE($D139,Milestones!$AA$169)&gt;=$S139),$V139,IF(AND($R139&lt;&gt;"",EDATE($D139,Milestones!$AA$169)&gt;=$R139),$U139,$T139)))=Milestones!$AB$169),TEXT(EDATE($D139,Milestones!$AA$169),"dd/mm/yy")&amp;" "&amp;Milestones!$AB$169&amp;" "&amp;Milestones!$AC$169&amp;";  ","")&amp;IF(AND(EDATE($D139,Milestones!$AA$170)&lt;=AsOfDate,IF($Q139=0,$W139,IF(AND($S139&lt;&gt;"",EDATE($D139,Milestones!$AA$170)&gt;=$S139),$V139,IF(AND($R139&lt;&gt;"",EDATE($D139,Milestones!$AA$170)&gt;=$R139),$U139,$T139)))=Milestones!$AB$170),TEXT(EDATE($D139,Milestones!$AA$170),"dd/mm/yy")&amp;" "&amp;Milestones!$AB$170&amp;" "&amp;Milestones!$AC$170&amp;";  ","")&amp;IF(AND(EDATE($D139,Milestones!$AA$171)&lt;=AsOfDate,IF($Q139=0,$W139,IF(AND($S139&lt;&gt;"",EDATE($D139,Milestones!$AA$171)&gt;=$S139),$V139,IF(AND($R139&lt;&gt;"",EDATE($D139,Milestones!$AA$171)&gt;=$R139),$U139,$T139)))=Milestones!$AB$171),TEXT(EDATE($D139,Milestones!$AA$171),"dd/mm/yy")&amp;" "&amp;Milestones!$AB$171&amp;" "&amp;Milestones!$AC$171&amp;";  ","")&amp;IF(AND(EDATE($D139,Milestones!$AA$172)&lt;=AsOfDate,IF($Q139=0,$W139,IF(AND($S139&lt;&gt;"",EDATE($D139,Milestones!$AA$172)&gt;=$S139),$V139,IF(AND($R139&lt;&gt;"",EDATE($D139,Milestones!$AA$172)&gt;=$R139),$U139,$T139)))=Milestones!$AB$172),TEXT(EDATE($D139,Milestones!$AA$172),"dd/mm/yy")&amp;" "&amp;Milestones!$AB$172&amp;" "&amp;Milestones!$AC$172&amp;";  ","")&amp;IF(AND(EDATE($D139,Milestones!$AA$173)&lt;=AsOfDate,IF($Q139=0,$W139,IF(AND($S139&lt;&gt;"",EDATE($D139,Milestones!$AA$173)&gt;=$S139),$V139,IF(AND($R139&lt;&gt;"",EDATE($D139,Milestones!$AA$173)&gt;=$R139),$U139,$T139)))=Milestones!$AB$173),TEXT(EDATE($D139,Milestones!$AA$173),"dd/mm/yy")&amp;" "&amp;Milestones!$AB$173&amp;" "&amp;Milestones!$AC$173&amp;";  ","")&amp;IF(AND(EDATE($D139,Milestones!$AA$174)&lt;=AsOfDate,IF($Q139=0,$W139,IF(AND($S139&lt;&gt;"",EDATE($D139,Milestones!$AA$174)&gt;=$S139),$V139,IF(AND($R139&lt;&gt;"",EDATE($D139,Milestones!$AA$174)&gt;=$R139),$U139,$T139)))=Milestones!$AB$174),TEXT(EDATE($D139,Milestones!$AA$174),"dd/mm/yy")&amp;" "&amp;Milestones!$AB$174&amp;" "&amp;Milestones!$AC$174&amp;";  ","")&amp;IF(AND(EDATE($D139,Milestones!$AA$175)&lt;=AsOfDate,IF($Q139=0,$W139,IF(AND($S139&lt;&gt;"",EDATE($D139,Milestones!$AA$175)&gt;=$S139),$V139,IF(AND($R139&lt;&gt;"",EDATE($D139,Milestones!$AA$175)&gt;=$R139),$U139,$T139)))=Milestones!$AB$175),TEXT(EDATE($D139,Milestones!$AA$175),"dd/mm/yy")&amp;" "&amp;Milestones!$AB$175&amp;" "&amp;Milestones!$AC$175&amp;";  ","")&amp;IF(AND(EDATE($D139,Milestones!$AA$176)&lt;=AsOfDate,IF($Q139=0,$W139,IF(AND($S139&lt;&gt;"",EDATE($D139,Milestones!$AA$176)&gt;=$S139),$V139,IF(AND($R139&lt;&gt;"",EDATE($D139,Milestones!$AA$176)&gt;=$R139),$U139,$T139)))=Milestones!$AB$176),TEXT(EDATE($D139,Milestones!$AA$176),"dd/mm/yy")&amp;" "&amp;Milestones!$AB$176&amp;" "&amp;Milestones!$AC$176&amp;";  ","")&amp;IF(AND(EDATE($D139,Milestones!$AA$177)&lt;=AsOfDate,IF($Q139=0,$W139,IF(AND($S139&lt;&gt;"",EDATE($D139,Milestones!$AA$177)&gt;=$S139),$V139,IF(AND($R139&lt;&gt;"",EDATE($D139,Milestones!$AA$177)&gt;=$R139),$U139,$T139)))=Milestones!$AB$177),TEXT(EDATE($D139,Milestones!$AA$177),"dd/mm/yy")&amp;" "&amp;Milestones!$AB$177&amp;" "&amp;Milestones!$AC$177&amp;";  ","")&amp;IF(AND(EDATE($D139,Milestones!$AA$178)&lt;=AsOfDate,IF($Q139=0,$W139,IF(AND($S139&lt;&gt;"",EDATE($D139,Milestones!$AA$178)&gt;=$S139),$V139,IF(AND($R139&lt;&gt;"",EDATE($D139,Milestones!$AA$178)&gt;=$R139),$U139,$T139)))=Milestones!$AB$178),TEXT(EDATE($D139,Milestones!$AA$178),"dd/mm/yy")&amp;" "&amp;Milestones!$AB$178&amp;" "&amp;Milestones!$AC$178&amp;";  ","")&amp;IF(AND(EDATE($D139,Milestones!$AA$179)&lt;=AsOfDate,IF($Q139=0,$W139,IF(AND($S139&lt;&gt;"",EDATE($D139,Milestones!$AA$179)&gt;=$S139),$V139,IF(AND($R139&lt;&gt;"",EDATE($D139,Milestones!$AA$179)&gt;=$R139),$U139,$T139)))=Milestones!$AB$179),TEXT(EDATE($D139,Milestones!$AA$179),"dd/mm/yy")&amp;" "&amp;Milestones!$AB$179&amp;" "&amp;Milestones!$AC$179&amp;";  ",""))</f>
        <v/>
      </c>
      <c r="P139" s="0" t="str">
        <f aca="false">IF(OR($A139="",$D139=""),"",IF(AND(EDATE($D139,Milestones!$AA$180)&lt;=AsOfDate,IF($Q139=0,$W139,IF(AND($S139&lt;&gt;"",EDATE($D139,Milestones!$AA$180)&gt;=$S139),$V139,IF(AND($R139&lt;&gt;"",EDATE($D139,Milestones!$AA$180)&gt;=$R139),$U139,$T139)))=Milestones!$AB$180),TEXT(EDATE($D139,Milestones!$AA$180),"dd/mm/yy")&amp;" "&amp;Milestones!$AB$180&amp;" "&amp;Milestones!$AC$180&amp;";  ","")&amp;IF(AND(EDATE($D139,Milestones!$AA$181)&lt;=AsOfDate,IF($Q139=0,$W139,IF(AND($S139&lt;&gt;"",EDATE($D139,Milestones!$AA$181)&gt;=$S139),$V139,IF(AND($R139&lt;&gt;"",EDATE($D139,Milestones!$AA$181)&gt;=$R139),$U139,$T139)))=Milestones!$AB$181),TEXT(EDATE($D139,Milestones!$AA$181),"dd/mm/yy")&amp;" "&amp;Milestones!$AB$181&amp;" "&amp;Milestones!$AC$181&amp;";  ","")&amp;IF(AND(EDATE($D139,Milestones!$AA$182)&lt;=AsOfDate,IF($Q139=0,$W139,IF(AND($S139&lt;&gt;"",EDATE($D139,Milestones!$AA$182)&gt;=$S139),$V139,IF(AND($R139&lt;&gt;"",EDATE($D139,Milestones!$AA$182)&gt;=$R139),$U139,$T139)))=Milestones!$AB$182),TEXT(EDATE($D139,Milestones!$AA$182),"dd/mm/yy")&amp;" "&amp;Milestones!$AB$182&amp;" "&amp;Milestones!$AC$182&amp;";  ","")&amp;IF(AND(EDATE($D139,Milestones!$AA$183)&lt;=AsOfDate,IF($Q139=0,$W139,IF(AND($S139&lt;&gt;"",EDATE($D139,Milestones!$AA$183)&gt;=$S139),$V139,IF(AND($R139&lt;&gt;"",EDATE($D139,Milestones!$AA$183)&gt;=$R139),$U139,$T139)))=Milestones!$AB$183),TEXT(EDATE($D139,Milestones!$AA$183),"dd/mm/yy")&amp;" "&amp;Milestones!$AB$183&amp;" "&amp;Milestones!$AC$183&amp;";  ","")&amp;IF(AND(EDATE($D139,Milestones!$AA$184)&lt;=AsOfDate,IF($Q139=0,$W139,IF(AND($S139&lt;&gt;"",EDATE($D139,Milestones!$AA$184)&gt;=$S139),$V139,IF(AND($R139&lt;&gt;"",EDATE($D139,Milestones!$AA$184)&gt;=$R139),$U139,$T139)))=Milestones!$AB$184),TEXT(EDATE($D139,Milestones!$AA$184),"dd/mm/yy")&amp;" "&amp;Milestones!$AB$184&amp;" "&amp;Milestones!$AC$184&amp;";  ","")&amp;IF(AND(EDATE($D139,Milestones!$AA$185)&lt;=AsOfDate,IF($Q139=0,$W139,IF(AND($S139&lt;&gt;"",EDATE($D139,Milestones!$AA$185)&gt;=$S139),$V139,IF(AND($R139&lt;&gt;"",EDATE($D139,Milestones!$AA$185)&gt;=$R139),$U139,$T139)))=Milestones!$AB$185),TEXT(EDATE($D139,Milestones!$AA$185),"dd/mm/yy")&amp;" "&amp;Milestones!$AB$185&amp;" "&amp;Milestones!$AC$185&amp;";  ","")&amp;IF(AND(EDATE($D139,Milestones!$AA$186)&lt;=AsOfDate,IF($Q139=0,$W139,IF(AND($S139&lt;&gt;"",EDATE($D139,Milestones!$AA$186)&gt;=$S139),$V139,IF(AND($R139&lt;&gt;"",EDATE($D139,Milestones!$AA$186)&gt;=$R139),$U139,$T139)))=Milestones!$AB$186),TEXT(EDATE($D139,Milestones!$AA$186),"dd/mm/yy")&amp;" "&amp;Milestones!$AB$186&amp;" "&amp;Milestones!$AC$186&amp;";  ","")&amp;IF(AND(EDATE($D139,Milestones!$AA$187)&lt;=AsOfDate,IF($Q139=0,$W139,IF(AND($S139&lt;&gt;"",EDATE($D139,Milestones!$AA$187)&gt;=$S139),$V139,IF(AND($R139&lt;&gt;"",EDATE($D139,Milestones!$AA$187)&gt;=$R139),$U139,$T139)))=Milestones!$AB$187),TEXT(EDATE($D139,Milestones!$AA$187),"dd/mm/yy")&amp;" "&amp;Milestones!$AB$187&amp;" "&amp;Milestones!$AC$187&amp;";  ","")&amp;IF(AND(EDATE($D139,Milestones!$AA$188)&lt;=AsOfDate,IF($Q139=0,$W139,IF(AND($S139&lt;&gt;"",EDATE($D139,Milestones!$AA$188)&gt;=$S139),$V139,IF(AND($R139&lt;&gt;"",EDATE($D139,Milestones!$AA$188)&gt;=$R139),$U139,$T139)))=Milestones!$AB$188),TEXT(EDATE($D139,Milestones!$AA$188),"dd/mm/yy")&amp;" "&amp;Milestones!$AB$188&amp;" "&amp;Milestones!$AC$188&amp;";  ","")&amp;IF(AND(EDATE($D139,Milestones!$AA$189)&lt;=AsOfDate,IF($Q139=0,$W139,IF(AND($S139&lt;&gt;"",EDATE($D139,Milestones!$AA$189)&gt;=$S139),$V139,IF(AND($R139&lt;&gt;"",EDATE($D139,Milestones!$AA$189)&gt;=$R139),$U139,$T139)))=Milestones!$AB$189),TEXT(EDATE($D139,Milestones!$AA$189),"dd/mm/yy")&amp;" "&amp;Milestones!$AB$189&amp;" "&amp;Milestones!$AC$189&amp;";  ","")&amp;IF(AND(EDATE($D139,Milestones!$AA$190)&lt;=AsOfDate,IF($Q139=0,$W139,IF(AND($S139&lt;&gt;"",EDATE($D139,Milestones!$AA$190)&gt;=$S139),$V139,IF(AND($R139&lt;&gt;"",EDATE($D139,Milestones!$AA$190)&gt;=$R139),$U139,$T139)))=Milestones!$AB$190),TEXT(EDATE($D139,Milestones!$AA$190),"dd/mm/yy")&amp;" "&amp;Milestones!$AB$190&amp;" "&amp;Milestones!$AC$190&amp;";  ","")&amp;IF(AND(EDATE($D139,Milestones!$AA$191)&lt;=AsOfDate,IF($Q139=0,$W139,IF(AND($S139&lt;&gt;"",EDATE($D139,Milestones!$AA$191)&gt;=$S139),$V139,IF(AND($R139&lt;&gt;"",EDATE($D139,Milestones!$AA$191)&gt;=$R139),$U139,$T139)))=Milestones!$AB$191),TEXT(EDATE($D139,Milestones!$AA$191),"dd/mm/yy")&amp;" "&amp;Milestones!$AB$191&amp;" "&amp;Milestones!$AC$191&amp;";  ","")&amp;IF(AND(EDATE($D139,Milestones!$AA$192)&lt;=AsOfDate,IF($Q139=0,$W139,IF(AND($S139&lt;&gt;"",EDATE($D139,Milestones!$AA$192)&gt;=$S139),$V139,IF(AND($R139&lt;&gt;"",EDATE($D139,Milestones!$AA$192)&gt;=$R139),$U139,$T139)))=Milestones!$AB$192),TEXT(EDATE($D139,Milestones!$AA$192),"dd/mm/yy")&amp;" "&amp;Milestones!$AB$192&amp;" "&amp;Milestones!$AC$192&amp;";  ","")&amp;IF(AND(EDATE($D139,Milestones!$AA$193)&lt;=AsOfDate,IF($Q139=0,$W139,IF(AND($S139&lt;&gt;"",EDATE($D139,Milestones!$AA$193)&gt;=$S139),$V139,IF(AND($R139&lt;&gt;"",EDATE($D139,Milestones!$AA$193)&gt;=$R139),$U139,$T139)))=Milestones!$AB$193),TEXT(EDATE($D139,Milestones!$AA$193),"dd/mm/yy")&amp;" "&amp;Milestones!$AB$193&amp;" "&amp;Milestones!$AC$193&amp;";  ","")&amp;IF(AND(EDATE($D139,Milestones!$AA$194)&lt;=AsOfDate,IF($Q139=0,$W139,IF(AND($S139&lt;&gt;"",EDATE($D139,Milestones!$AA$194)&gt;=$S139),$V139,IF(AND($R139&lt;&gt;"",EDATE($D139,Milestones!$AA$194)&gt;=$R139),$U139,$T139)))=Milestones!$AB$194),TEXT(EDATE($D139,Milestones!$AA$194),"dd/mm/yy")&amp;" "&amp;Milestones!$AB$194&amp;" "&amp;Milestones!$AC$194&amp;";  ","")&amp;IF(AND(EDATE($D139,Milestones!$AA$195)&lt;=AsOfDate,IF($Q139=0,$W139,IF(AND($S139&lt;&gt;"",EDATE($D139,Milestones!$AA$195)&gt;=$S139),$V139,IF(AND($R139&lt;&gt;"",EDATE($D139,Milestones!$AA$195)&gt;=$R139),$U139,$T139)))=Milestones!$AB$195),TEXT(EDATE($D139,Milestones!$AA$195),"dd/mm/yy")&amp;" "&amp;Milestones!$AB$195&amp;" "&amp;Milestones!$AC$195&amp;";  ","")&amp;IF(AND(EDATE($D139,Milestones!$AA$196)&lt;=AsOfDate,IF($Q139=0,$W139,IF(AND($S139&lt;&gt;"",EDATE($D139,Milestones!$AA$196)&gt;=$S139),$V139,IF(AND($R139&lt;&gt;"",EDATE($D139,Milestones!$AA$196)&gt;=$R139),$U139,$T139)))=Milestones!$AB$196),TEXT(EDATE($D139,Milestones!$AA$196),"dd/mm/yy")&amp;" "&amp;Milestones!$AB$196&amp;" "&amp;Milestones!$AC$196&amp;";  ","")&amp;IF(AND(EDATE($D139,Milestones!$AA$197)&lt;=AsOfDate,IF($Q139=0,$W139,IF(AND($S139&lt;&gt;"",EDATE($D139,Milestones!$AA$197)&gt;=$S139),$V139,IF(AND($R139&lt;&gt;"",EDATE($D139,Milestones!$AA$197)&gt;=$R139),$U139,$T139)))=Milestones!$AB$197),TEXT(EDATE($D139,Milestones!$AA$197),"dd/mm/yy")&amp;" "&amp;Milestones!$AB$197&amp;" "&amp;Milestones!$AC$197&amp;";  ","")&amp;IF(AND(EDATE($D139,Milestones!$AA$198)&lt;=AsOfDate,IF($Q139=0,$W139,IF(AND($S139&lt;&gt;"",EDATE($D139,Milestones!$AA$198)&gt;=$S139),$V139,IF(AND($R139&lt;&gt;"",EDATE($D139,Milestones!$AA$198)&gt;=$R139),$U139,$T139)))=Milestones!$AB$198),TEXT(EDATE($D139,Milestones!$AA$198),"dd/mm/yy")&amp;" "&amp;Milestones!$AB$198&amp;" "&amp;Milestones!$AC$198&amp;";  ","")&amp;IF(AND(EDATE($D139,Milestones!$AA$199)&lt;=AsOfDate,IF($Q139=0,$W139,IF(AND($S139&lt;&gt;"",EDATE($D139,Milestones!$AA$199)&gt;=$S139),$V139,IF(AND($R139&lt;&gt;"",EDATE($D139,Milestones!$AA$199)&gt;=$R139),$U139,$T139)))=Milestones!$AB$199),TEXT(EDATE($D139,Milestones!$AA$199),"dd/mm/yy")&amp;" "&amp;Milestones!$AB$199&amp;" "&amp;Milestones!$AC$199&amp;";  ",""))</f>
        <v/>
      </c>
      <c r="Q139" s="0" t="str">
        <f aca="false">IF(Staff!$A139="","",Staff!$AG139)</f>
        <v/>
      </c>
      <c r="R139" s="0" t="str">
        <f aca="false">IF(Staff!$A139="","",Staff!$AI139)</f>
        <v/>
      </c>
      <c r="S139" s="0" t="str">
        <f aca="false">IF(Staff!$A139="","",Staff!$AJ139)</f>
        <v/>
      </c>
      <c r="T139" s="0" t="str">
        <f aca="false">IF(Staff!$A139="","",Staff!$AN139)</f>
        <v/>
      </c>
      <c r="U139" s="0" t="str">
        <f aca="false">IF(Staff!$A139="","",Staff!$AO139)</f>
        <v/>
      </c>
      <c r="V139" s="0" t="str">
        <f aca="false">IF(Staff!$A139="","",Staff!$AP139)</f>
        <v/>
      </c>
      <c r="W139" s="0" t="str">
        <f aca="false">IF(Staff!$A139="","",Staff!$AQ139)</f>
        <v/>
      </c>
    </row>
    <row r="140" customFormat="false" ht="15" hidden="false" customHeight="false" outlineLevel="0" collapsed="false">
      <c r="A140" s="13" t="str">
        <f aca="false">IF(Staff!$A140="","",Staff!$A140)</f>
        <v/>
      </c>
      <c r="B140" s="13" t="str">
        <f aca="false">IF(Staff!$A140="","",Staff!$B140)</f>
        <v/>
      </c>
      <c r="C140" s="13" t="str">
        <f aca="false">IF(Staff!$A140="","",Staff!$C140)</f>
        <v/>
      </c>
      <c r="D140" s="11" t="str">
        <f aca="false">IF(Staff!$A140="","",Staff!$AF140)</f>
        <v/>
      </c>
      <c r="E140" s="13" t="str">
        <f aca="false">IF(Staff!$A140="","",Staff!$O140)</f>
        <v/>
      </c>
      <c r="F140" s="13" t="str">
        <f aca="false">IF(E140="","",E140*HoursPerDay)</f>
        <v/>
      </c>
      <c r="G140" s="26" t="str">
        <f aca="false">IF($A140="","",H140&amp;I140&amp;J140&amp;K140&amp;L140&amp;M140&amp;N140&amp;O140&amp;P140)</f>
        <v/>
      </c>
      <c r="H140" s="0" t="str">
        <f aca="false">IF(OR($A140="",$D140=""),"",IF(AND(EDATE($D140,Milestones!$AA$20)&lt;=AsOfDate,IF($Q140=0,$W140,IF(AND($S140&lt;&gt;"",EDATE($D140,Milestones!$AA$20)&gt;=$S140),$V140,IF(AND($R140&lt;&gt;"",EDATE($D140,Milestones!$AA$20)&gt;=$R140),$U140,$T140)))=Milestones!$AB$20),TEXT(EDATE($D140,Milestones!$AA$20),"dd/mm/yy")&amp;" "&amp;Milestones!$AB$20&amp;" "&amp;Milestones!$AC$20&amp;";  ","")&amp;IF(AND(EDATE($D140,Milestones!$AA$21)&lt;=AsOfDate,IF($Q140=0,$W140,IF(AND($S140&lt;&gt;"",EDATE($D140,Milestones!$AA$21)&gt;=$S140),$V140,IF(AND($R140&lt;&gt;"",EDATE($D140,Milestones!$AA$21)&gt;=$R140),$U140,$T140)))=Milestones!$AB$21),TEXT(EDATE($D140,Milestones!$AA$21),"dd/mm/yy")&amp;" "&amp;Milestones!$AB$21&amp;" "&amp;Milestones!$AC$21&amp;";  ","")&amp;IF(AND(EDATE($D140,Milestones!$AA$22)&lt;=AsOfDate,IF($Q140=0,$W140,IF(AND($S140&lt;&gt;"",EDATE($D140,Milestones!$AA$22)&gt;=$S140),$V140,IF(AND($R140&lt;&gt;"",EDATE($D140,Milestones!$AA$22)&gt;=$R140),$U140,$T140)))=Milestones!$AB$22),TEXT(EDATE($D140,Milestones!$AA$22),"dd/mm/yy")&amp;" "&amp;Milestones!$AB$22&amp;" "&amp;Milestones!$AC$22&amp;";  ","")&amp;IF(AND(EDATE($D140,Milestones!$AA$23)&lt;=AsOfDate,IF($Q140=0,$W140,IF(AND($S140&lt;&gt;"",EDATE($D140,Milestones!$AA$23)&gt;=$S140),$V140,IF(AND($R140&lt;&gt;"",EDATE($D140,Milestones!$AA$23)&gt;=$R140),$U140,$T140)))=Milestones!$AB$23),TEXT(EDATE($D140,Milestones!$AA$23),"dd/mm/yy")&amp;" "&amp;Milestones!$AB$23&amp;" "&amp;Milestones!$AC$23&amp;";  ","")&amp;IF(AND(EDATE($D140,Milestones!$AA$24)&lt;=AsOfDate,IF($Q140=0,$W140,IF(AND($S140&lt;&gt;"",EDATE($D140,Milestones!$AA$24)&gt;=$S140),$V140,IF(AND($R140&lt;&gt;"",EDATE($D140,Milestones!$AA$24)&gt;=$R140),$U140,$T140)))=Milestones!$AB$24),TEXT(EDATE($D140,Milestones!$AA$24),"dd/mm/yy")&amp;" "&amp;Milestones!$AB$24&amp;" "&amp;Milestones!$AC$24&amp;";  ","")&amp;IF(AND(EDATE($D140,Milestones!$AA$25)&lt;=AsOfDate,IF($Q140=0,$W140,IF(AND($S140&lt;&gt;"",EDATE($D140,Milestones!$AA$25)&gt;=$S140),$V140,IF(AND($R140&lt;&gt;"",EDATE($D140,Milestones!$AA$25)&gt;=$R140),$U140,$T140)))=Milestones!$AB$25),TEXT(EDATE($D140,Milestones!$AA$25),"dd/mm/yy")&amp;" "&amp;Milestones!$AB$25&amp;" "&amp;Milestones!$AC$25&amp;";  ","")&amp;IF(AND(EDATE($D140,Milestones!$AA$26)&lt;=AsOfDate,IF($Q140=0,$W140,IF(AND($S140&lt;&gt;"",EDATE($D140,Milestones!$AA$26)&gt;=$S140),$V140,IF(AND($R140&lt;&gt;"",EDATE($D140,Milestones!$AA$26)&gt;=$R140),$U140,$T140)))=Milestones!$AB$26),TEXT(EDATE($D140,Milestones!$AA$26),"dd/mm/yy")&amp;" "&amp;Milestones!$AB$26&amp;" "&amp;Milestones!$AC$26&amp;";  ","")&amp;IF(AND(EDATE($D140,Milestones!$AA$27)&lt;=AsOfDate,IF($Q140=0,$W140,IF(AND($S140&lt;&gt;"",EDATE($D140,Milestones!$AA$27)&gt;=$S140),$V140,IF(AND($R140&lt;&gt;"",EDATE($D140,Milestones!$AA$27)&gt;=$R140),$U140,$T140)))=Milestones!$AB$27),TEXT(EDATE($D140,Milestones!$AA$27),"dd/mm/yy")&amp;" "&amp;Milestones!$AB$27&amp;" "&amp;Milestones!$AC$27&amp;";  ","")&amp;IF(AND(EDATE($D140,Milestones!$AA$28)&lt;=AsOfDate,IF($Q140=0,$W140,IF(AND($S140&lt;&gt;"",EDATE($D140,Milestones!$AA$28)&gt;=$S140),$V140,IF(AND($R140&lt;&gt;"",EDATE($D140,Milestones!$AA$28)&gt;=$R140),$U140,$T140)))=Milestones!$AB$28),TEXT(EDATE($D140,Milestones!$AA$28),"dd/mm/yy")&amp;" "&amp;Milestones!$AB$28&amp;" "&amp;Milestones!$AC$28&amp;";  ","")&amp;IF(AND(EDATE($D140,Milestones!$AA$29)&lt;=AsOfDate,IF($Q140=0,$W140,IF(AND($S140&lt;&gt;"",EDATE($D140,Milestones!$AA$29)&gt;=$S140),$V140,IF(AND($R140&lt;&gt;"",EDATE($D140,Milestones!$AA$29)&gt;=$R140),$U140,$T140)))=Milestones!$AB$29),TEXT(EDATE($D140,Milestones!$AA$29),"dd/mm/yy")&amp;" "&amp;Milestones!$AB$29&amp;" "&amp;Milestones!$AC$29&amp;";  ","")&amp;IF(AND(EDATE($D140,Milestones!$AA$30)&lt;=AsOfDate,IF($Q140=0,$W140,IF(AND($S140&lt;&gt;"",EDATE($D140,Milestones!$AA$30)&gt;=$S140),$V140,IF(AND($R140&lt;&gt;"",EDATE($D140,Milestones!$AA$30)&gt;=$R140),$U140,$T140)))=Milestones!$AB$30),TEXT(EDATE($D140,Milestones!$AA$30),"dd/mm/yy")&amp;" "&amp;Milestones!$AB$30&amp;" "&amp;Milestones!$AC$30&amp;";  ","")&amp;IF(AND(EDATE($D140,Milestones!$AA$31)&lt;=AsOfDate,IF($Q140=0,$W140,IF(AND($S140&lt;&gt;"",EDATE($D140,Milestones!$AA$31)&gt;=$S140),$V140,IF(AND($R140&lt;&gt;"",EDATE($D140,Milestones!$AA$31)&gt;=$R140),$U140,$T140)))=Milestones!$AB$31),TEXT(EDATE($D140,Milestones!$AA$31),"dd/mm/yy")&amp;" "&amp;Milestones!$AB$31&amp;" "&amp;Milestones!$AC$31&amp;";  ","")&amp;IF(AND(EDATE($D140,Milestones!$AA$32)&lt;=AsOfDate,IF($Q140=0,$W140,IF(AND($S140&lt;&gt;"",EDATE($D140,Milestones!$AA$32)&gt;=$S140),$V140,IF(AND($R140&lt;&gt;"",EDATE($D140,Milestones!$AA$32)&gt;=$R140),$U140,$T140)))=Milestones!$AB$32),TEXT(EDATE($D140,Milestones!$AA$32),"dd/mm/yy")&amp;" "&amp;Milestones!$AB$32&amp;" "&amp;Milestones!$AC$32&amp;";  ","")&amp;IF(AND(EDATE($D140,Milestones!$AA$33)&lt;=AsOfDate,IF($Q140=0,$W140,IF(AND($S140&lt;&gt;"",EDATE($D140,Milestones!$AA$33)&gt;=$S140),$V140,IF(AND($R140&lt;&gt;"",EDATE($D140,Milestones!$AA$33)&gt;=$R140),$U140,$T140)))=Milestones!$AB$33),TEXT(EDATE($D140,Milestones!$AA$33),"dd/mm/yy")&amp;" "&amp;Milestones!$AB$33&amp;" "&amp;Milestones!$AC$33&amp;";  ","")&amp;IF(AND(EDATE($D140,Milestones!$AA$34)&lt;=AsOfDate,IF($Q140=0,$W140,IF(AND($S140&lt;&gt;"",EDATE($D140,Milestones!$AA$34)&gt;=$S140),$V140,IF(AND($R140&lt;&gt;"",EDATE($D140,Milestones!$AA$34)&gt;=$R140),$U140,$T140)))=Milestones!$AB$34),TEXT(EDATE($D140,Milestones!$AA$34),"dd/mm/yy")&amp;" "&amp;Milestones!$AB$34&amp;" "&amp;Milestones!$AC$34&amp;";  ","")&amp;IF(AND(EDATE($D140,Milestones!$AA$35)&lt;=AsOfDate,IF($Q140=0,$W140,IF(AND($S140&lt;&gt;"",EDATE($D140,Milestones!$AA$35)&gt;=$S140),$V140,IF(AND($R140&lt;&gt;"",EDATE($D140,Milestones!$AA$35)&gt;=$R140),$U140,$T140)))=Milestones!$AB$35),TEXT(EDATE($D140,Milestones!$AA$35),"dd/mm/yy")&amp;" "&amp;Milestones!$AB$35&amp;" "&amp;Milestones!$AC$35&amp;";  ","")&amp;IF(AND(EDATE($D140,Milestones!$AA$36)&lt;=AsOfDate,IF($Q140=0,$W140,IF(AND($S140&lt;&gt;"",EDATE($D140,Milestones!$AA$36)&gt;=$S140),$V140,IF(AND($R140&lt;&gt;"",EDATE($D140,Milestones!$AA$36)&gt;=$R140),$U140,$T140)))=Milestones!$AB$36),TEXT(EDATE($D140,Milestones!$AA$36),"dd/mm/yy")&amp;" "&amp;Milestones!$AB$36&amp;" "&amp;Milestones!$AC$36&amp;";  ","")&amp;IF(AND(EDATE($D140,Milestones!$AA$37)&lt;=AsOfDate,IF($Q140=0,$W140,IF(AND($S140&lt;&gt;"",EDATE($D140,Milestones!$AA$37)&gt;=$S140),$V140,IF(AND($R140&lt;&gt;"",EDATE($D140,Milestones!$AA$37)&gt;=$R140),$U140,$T140)))=Milestones!$AB$37),TEXT(EDATE($D140,Milestones!$AA$37),"dd/mm/yy")&amp;" "&amp;Milestones!$AB$37&amp;" "&amp;Milestones!$AC$37&amp;";  ","")&amp;IF(AND(EDATE($D140,Milestones!$AA$38)&lt;=AsOfDate,IF($Q140=0,$W140,IF(AND($S140&lt;&gt;"",EDATE($D140,Milestones!$AA$38)&gt;=$S140),$V140,IF(AND($R140&lt;&gt;"",EDATE($D140,Milestones!$AA$38)&gt;=$R140),$U140,$T140)))=Milestones!$AB$38),TEXT(EDATE($D140,Milestones!$AA$38),"dd/mm/yy")&amp;" "&amp;Milestones!$AB$38&amp;" "&amp;Milestones!$AC$38&amp;";  ","")&amp;IF(AND(EDATE($D140,Milestones!$AA$39)&lt;=AsOfDate,IF($Q140=0,$W140,IF(AND($S140&lt;&gt;"",EDATE($D140,Milestones!$AA$39)&gt;=$S140),$V140,IF(AND($R140&lt;&gt;"",EDATE($D140,Milestones!$AA$39)&gt;=$R140),$U140,$T140)))=Milestones!$AB$39),TEXT(EDATE($D140,Milestones!$AA$39),"dd/mm/yy")&amp;" "&amp;Milestones!$AB$39&amp;" "&amp;Milestones!$AC$39&amp;";  ",""))</f>
        <v/>
      </c>
      <c r="I140" s="0" t="str">
        <f aca="false">IF(OR($A140="",$D140=""),"",IF(AND(EDATE($D140,Milestones!$AA$40)&lt;=AsOfDate,IF($Q140=0,$W140,IF(AND($S140&lt;&gt;"",EDATE($D140,Milestones!$AA$40)&gt;=$S140),$V140,IF(AND($R140&lt;&gt;"",EDATE($D140,Milestones!$AA$40)&gt;=$R140),$U140,$T140)))=Milestones!$AB$40),TEXT(EDATE($D140,Milestones!$AA$40),"dd/mm/yy")&amp;" "&amp;Milestones!$AB$40&amp;" "&amp;Milestones!$AC$40&amp;";  ","")&amp;IF(AND(EDATE($D140,Milestones!$AA$41)&lt;=AsOfDate,IF($Q140=0,$W140,IF(AND($S140&lt;&gt;"",EDATE($D140,Milestones!$AA$41)&gt;=$S140),$V140,IF(AND($R140&lt;&gt;"",EDATE($D140,Milestones!$AA$41)&gt;=$R140),$U140,$T140)))=Milestones!$AB$41),TEXT(EDATE($D140,Milestones!$AA$41),"dd/mm/yy")&amp;" "&amp;Milestones!$AB$41&amp;" "&amp;Milestones!$AC$41&amp;";  ","")&amp;IF(AND(EDATE($D140,Milestones!$AA$42)&lt;=AsOfDate,IF($Q140=0,$W140,IF(AND($S140&lt;&gt;"",EDATE($D140,Milestones!$AA$42)&gt;=$S140),$V140,IF(AND($R140&lt;&gt;"",EDATE($D140,Milestones!$AA$42)&gt;=$R140),$U140,$T140)))=Milestones!$AB$42),TEXT(EDATE($D140,Milestones!$AA$42),"dd/mm/yy")&amp;" "&amp;Milestones!$AB$42&amp;" "&amp;Milestones!$AC$42&amp;";  ","")&amp;IF(AND(EDATE($D140,Milestones!$AA$43)&lt;=AsOfDate,IF($Q140=0,$W140,IF(AND($S140&lt;&gt;"",EDATE($D140,Milestones!$AA$43)&gt;=$S140),$V140,IF(AND($R140&lt;&gt;"",EDATE($D140,Milestones!$AA$43)&gt;=$R140),$U140,$T140)))=Milestones!$AB$43),TEXT(EDATE($D140,Milestones!$AA$43),"dd/mm/yy")&amp;" "&amp;Milestones!$AB$43&amp;" "&amp;Milestones!$AC$43&amp;";  ","")&amp;IF(AND(EDATE($D140,Milestones!$AA$44)&lt;=AsOfDate,IF($Q140=0,$W140,IF(AND($S140&lt;&gt;"",EDATE($D140,Milestones!$AA$44)&gt;=$S140),$V140,IF(AND($R140&lt;&gt;"",EDATE($D140,Milestones!$AA$44)&gt;=$R140),$U140,$T140)))=Milestones!$AB$44),TEXT(EDATE($D140,Milestones!$AA$44),"dd/mm/yy")&amp;" "&amp;Milestones!$AB$44&amp;" "&amp;Milestones!$AC$44&amp;";  ","")&amp;IF(AND(EDATE($D140,Milestones!$AA$45)&lt;=AsOfDate,IF($Q140=0,$W140,IF(AND($S140&lt;&gt;"",EDATE($D140,Milestones!$AA$45)&gt;=$S140),$V140,IF(AND($R140&lt;&gt;"",EDATE($D140,Milestones!$AA$45)&gt;=$R140),$U140,$T140)))=Milestones!$AB$45),TEXT(EDATE($D140,Milestones!$AA$45),"dd/mm/yy")&amp;" "&amp;Milestones!$AB$45&amp;" "&amp;Milestones!$AC$45&amp;";  ","")&amp;IF(AND(EDATE($D140,Milestones!$AA$46)&lt;=AsOfDate,IF($Q140=0,$W140,IF(AND($S140&lt;&gt;"",EDATE($D140,Milestones!$AA$46)&gt;=$S140),$V140,IF(AND($R140&lt;&gt;"",EDATE($D140,Milestones!$AA$46)&gt;=$R140),$U140,$T140)))=Milestones!$AB$46),TEXT(EDATE($D140,Milestones!$AA$46),"dd/mm/yy")&amp;" "&amp;Milestones!$AB$46&amp;" "&amp;Milestones!$AC$46&amp;";  ","")&amp;IF(AND(EDATE($D140,Milestones!$AA$47)&lt;=AsOfDate,IF($Q140=0,$W140,IF(AND($S140&lt;&gt;"",EDATE($D140,Milestones!$AA$47)&gt;=$S140),$V140,IF(AND($R140&lt;&gt;"",EDATE($D140,Milestones!$AA$47)&gt;=$R140),$U140,$T140)))=Milestones!$AB$47),TEXT(EDATE($D140,Milestones!$AA$47),"dd/mm/yy")&amp;" "&amp;Milestones!$AB$47&amp;" "&amp;Milestones!$AC$47&amp;";  ","")&amp;IF(AND(EDATE($D140,Milestones!$AA$48)&lt;=AsOfDate,IF($Q140=0,$W140,IF(AND($S140&lt;&gt;"",EDATE($D140,Milestones!$AA$48)&gt;=$S140),$V140,IF(AND($R140&lt;&gt;"",EDATE($D140,Milestones!$AA$48)&gt;=$R140),$U140,$T140)))=Milestones!$AB$48),TEXT(EDATE($D140,Milestones!$AA$48),"dd/mm/yy")&amp;" "&amp;Milestones!$AB$48&amp;" "&amp;Milestones!$AC$48&amp;";  ","")&amp;IF(AND(EDATE($D140,Milestones!$AA$49)&lt;=AsOfDate,IF($Q140=0,$W140,IF(AND($S140&lt;&gt;"",EDATE($D140,Milestones!$AA$49)&gt;=$S140),$V140,IF(AND($R140&lt;&gt;"",EDATE($D140,Milestones!$AA$49)&gt;=$R140),$U140,$T140)))=Milestones!$AB$49),TEXT(EDATE($D140,Milestones!$AA$49),"dd/mm/yy")&amp;" "&amp;Milestones!$AB$49&amp;" "&amp;Milestones!$AC$49&amp;";  ","")&amp;IF(AND(EDATE($D140,Milestones!$AA$50)&lt;=AsOfDate,IF($Q140=0,$W140,IF(AND($S140&lt;&gt;"",EDATE($D140,Milestones!$AA$50)&gt;=$S140),$V140,IF(AND($R140&lt;&gt;"",EDATE($D140,Milestones!$AA$50)&gt;=$R140),$U140,$T140)))=Milestones!$AB$50),TEXT(EDATE($D140,Milestones!$AA$50),"dd/mm/yy")&amp;" "&amp;Milestones!$AB$50&amp;" "&amp;Milestones!$AC$50&amp;";  ","")&amp;IF(AND(EDATE($D140,Milestones!$AA$51)&lt;=AsOfDate,IF($Q140=0,$W140,IF(AND($S140&lt;&gt;"",EDATE($D140,Milestones!$AA$51)&gt;=$S140),$V140,IF(AND($R140&lt;&gt;"",EDATE($D140,Milestones!$AA$51)&gt;=$R140),$U140,$T140)))=Milestones!$AB$51),TEXT(EDATE($D140,Milestones!$AA$51),"dd/mm/yy")&amp;" "&amp;Milestones!$AB$51&amp;" "&amp;Milestones!$AC$51&amp;";  ","")&amp;IF(AND(EDATE($D140,Milestones!$AA$52)&lt;=AsOfDate,IF($Q140=0,$W140,IF(AND($S140&lt;&gt;"",EDATE($D140,Milestones!$AA$52)&gt;=$S140),$V140,IF(AND($R140&lt;&gt;"",EDATE($D140,Milestones!$AA$52)&gt;=$R140),$U140,$T140)))=Milestones!$AB$52),TEXT(EDATE($D140,Milestones!$AA$52),"dd/mm/yy")&amp;" "&amp;Milestones!$AB$52&amp;" "&amp;Milestones!$AC$52&amp;";  ","")&amp;IF(AND(EDATE($D140,Milestones!$AA$53)&lt;=AsOfDate,IF($Q140=0,$W140,IF(AND($S140&lt;&gt;"",EDATE($D140,Milestones!$AA$53)&gt;=$S140),$V140,IF(AND($R140&lt;&gt;"",EDATE($D140,Milestones!$AA$53)&gt;=$R140),$U140,$T140)))=Milestones!$AB$53),TEXT(EDATE($D140,Milestones!$AA$53),"dd/mm/yy")&amp;" "&amp;Milestones!$AB$53&amp;" "&amp;Milestones!$AC$53&amp;";  ","")&amp;IF(AND(EDATE($D140,Milestones!$AA$54)&lt;=AsOfDate,IF($Q140=0,$W140,IF(AND($S140&lt;&gt;"",EDATE($D140,Milestones!$AA$54)&gt;=$S140),$V140,IF(AND($R140&lt;&gt;"",EDATE($D140,Milestones!$AA$54)&gt;=$R140),$U140,$T140)))=Milestones!$AB$54),TEXT(EDATE($D140,Milestones!$AA$54),"dd/mm/yy")&amp;" "&amp;Milestones!$AB$54&amp;" "&amp;Milestones!$AC$54&amp;";  ","")&amp;IF(AND(EDATE($D140,Milestones!$AA$55)&lt;=AsOfDate,IF($Q140=0,$W140,IF(AND($S140&lt;&gt;"",EDATE($D140,Milestones!$AA$55)&gt;=$S140),$V140,IF(AND($R140&lt;&gt;"",EDATE($D140,Milestones!$AA$55)&gt;=$R140),$U140,$T140)))=Milestones!$AB$55),TEXT(EDATE($D140,Milestones!$AA$55),"dd/mm/yy")&amp;" "&amp;Milestones!$AB$55&amp;" "&amp;Milestones!$AC$55&amp;";  ","")&amp;IF(AND(EDATE($D140,Milestones!$AA$56)&lt;=AsOfDate,IF($Q140=0,$W140,IF(AND($S140&lt;&gt;"",EDATE($D140,Milestones!$AA$56)&gt;=$S140),$V140,IF(AND($R140&lt;&gt;"",EDATE($D140,Milestones!$AA$56)&gt;=$R140),$U140,$T140)))=Milestones!$AB$56),TEXT(EDATE($D140,Milestones!$AA$56),"dd/mm/yy")&amp;" "&amp;Milestones!$AB$56&amp;" "&amp;Milestones!$AC$56&amp;";  ","")&amp;IF(AND(EDATE($D140,Milestones!$AA$57)&lt;=AsOfDate,IF($Q140=0,$W140,IF(AND($S140&lt;&gt;"",EDATE($D140,Milestones!$AA$57)&gt;=$S140),$V140,IF(AND($R140&lt;&gt;"",EDATE($D140,Milestones!$AA$57)&gt;=$R140),$U140,$T140)))=Milestones!$AB$57),TEXT(EDATE($D140,Milestones!$AA$57),"dd/mm/yy")&amp;" "&amp;Milestones!$AB$57&amp;" "&amp;Milestones!$AC$57&amp;";  ","")&amp;IF(AND(EDATE($D140,Milestones!$AA$58)&lt;=AsOfDate,IF($Q140=0,$W140,IF(AND($S140&lt;&gt;"",EDATE($D140,Milestones!$AA$58)&gt;=$S140),$V140,IF(AND($R140&lt;&gt;"",EDATE($D140,Milestones!$AA$58)&gt;=$R140),$U140,$T140)))=Milestones!$AB$58),TEXT(EDATE($D140,Milestones!$AA$58),"dd/mm/yy")&amp;" "&amp;Milestones!$AB$58&amp;" "&amp;Milestones!$AC$58&amp;";  ","")&amp;IF(AND(EDATE($D140,Milestones!$AA$59)&lt;=AsOfDate,IF($Q140=0,$W140,IF(AND($S140&lt;&gt;"",EDATE($D140,Milestones!$AA$59)&gt;=$S140),$V140,IF(AND($R140&lt;&gt;"",EDATE($D140,Milestones!$AA$59)&gt;=$R140),$U140,$T140)))=Milestones!$AB$59),TEXT(EDATE($D140,Milestones!$AA$59),"dd/mm/yy")&amp;" "&amp;Milestones!$AB$59&amp;" "&amp;Milestones!$AC$59&amp;";  ",""))</f>
        <v/>
      </c>
      <c r="J140" s="0" t="str">
        <f aca="false">IF(OR($A140="",$D140=""),"",IF(AND(EDATE($D140,Milestones!$AA$60)&lt;=AsOfDate,IF($Q140=0,$W140,IF(AND($S140&lt;&gt;"",EDATE($D140,Milestones!$AA$60)&gt;=$S140),$V140,IF(AND($R140&lt;&gt;"",EDATE($D140,Milestones!$AA$60)&gt;=$R140),$U140,$T140)))=Milestones!$AB$60),TEXT(EDATE($D140,Milestones!$AA$60),"dd/mm/yy")&amp;" "&amp;Milestones!$AB$60&amp;" "&amp;Milestones!$AC$60&amp;";  ","")&amp;IF(AND(EDATE($D140,Milestones!$AA$61)&lt;=AsOfDate,IF($Q140=0,$W140,IF(AND($S140&lt;&gt;"",EDATE($D140,Milestones!$AA$61)&gt;=$S140),$V140,IF(AND($R140&lt;&gt;"",EDATE($D140,Milestones!$AA$61)&gt;=$R140),$U140,$T140)))=Milestones!$AB$61),TEXT(EDATE($D140,Milestones!$AA$61),"dd/mm/yy")&amp;" "&amp;Milestones!$AB$61&amp;" "&amp;Milestones!$AC$61&amp;";  ","")&amp;IF(AND(EDATE($D140,Milestones!$AA$62)&lt;=AsOfDate,IF($Q140=0,$W140,IF(AND($S140&lt;&gt;"",EDATE($D140,Milestones!$AA$62)&gt;=$S140),$V140,IF(AND($R140&lt;&gt;"",EDATE($D140,Milestones!$AA$62)&gt;=$R140),$U140,$T140)))=Milestones!$AB$62),TEXT(EDATE($D140,Milestones!$AA$62),"dd/mm/yy")&amp;" "&amp;Milestones!$AB$62&amp;" "&amp;Milestones!$AC$62&amp;";  ","")&amp;IF(AND(EDATE($D140,Milestones!$AA$63)&lt;=AsOfDate,IF($Q140=0,$W140,IF(AND($S140&lt;&gt;"",EDATE($D140,Milestones!$AA$63)&gt;=$S140),$V140,IF(AND($R140&lt;&gt;"",EDATE($D140,Milestones!$AA$63)&gt;=$R140),$U140,$T140)))=Milestones!$AB$63),TEXT(EDATE($D140,Milestones!$AA$63),"dd/mm/yy")&amp;" "&amp;Milestones!$AB$63&amp;" "&amp;Milestones!$AC$63&amp;";  ","")&amp;IF(AND(EDATE($D140,Milestones!$AA$64)&lt;=AsOfDate,IF($Q140=0,$W140,IF(AND($S140&lt;&gt;"",EDATE($D140,Milestones!$AA$64)&gt;=$S140),$V140,IF(AND($R140&lt;&gt;"",EDATE($D140,Milestones!$AA$64)&gt;=$R140),$U140,$T140)))=Milestones!$AB$64),TEXT(EDATE($D140,Milestones!$AA$64),"dd/mm/yy")&amp;" "&amp;Milestones!$AB$64&amp;" "&amp;Milestones!$AC$64&amp;";  ","")&amp;IF(AND(EDATE($D140,Milestones!$AA$65)&lt;=AsOfDate,IF($Q140=0,$W140,IF(AND($S140&lt;&gt;"",EDATE($D140,Milestones!$AA$65)&gt;=$S140),$V140,IF(AND($R140&lt;&gt;"",EDATE($D140,Milestones!$AA$65)&gt;=$R140),$U140,$T140)))=Milestones!$AB$65),TEXT(EDATE($D140,Milestones!$AA$65),"dd/mm/yy")&amp;" "&amp;Milestones!$AB$65&amp;" "&amp;Milestones!$AC$65&amp;";  ","")&amp;IF(AND(EDATE($D140,Milestones!$AA$66)&lt;=AsOfDate,IF($Q140=0,$W140,IF(AND($S140&lt;&gt;"",EDATE($D140,Milestones!$AA$66)&gt;=$S140),$V140,IF(AND($R140&lt;&gt;"",EDATE($D140,Milestones!$AA$66)&gt;=$R140),$U140,$T140)))=Milestones!$AB$66),TEXT(EDATE($D140,Milestones!$AA$66),"dd/mm/yy")&amp;" "&amp;Milestones!$AB$66&amp;" "&amp;Milestones!$AC$66&amp;";  ","")&amp;IF(AND(EDATE($D140,Milestones!$AA$67)&lt;=AsOfDate,IF($Q140=0,$W140,IF(AND($S140&lt;&gt;"",EDATE($D140,Milestones!$AA$67)&gt;=$S140),$V140,IF(AND($R140&lt;&gt;"",EDATE($D140,Milestones!$AA$67)&gt;=$R140),$U140,$T140)))=Milestones!$AB$67),TEXT(EDATE($D140,Milestones!$AA$67),"dd/mm/yy")&amp;" "&amp;Milestones!$AB$67&amp;" "&amp;Milestones!$AC$67&amp;";  ","")&amp;IF(AND(EDATE($D140,Milestones!$AA$68)&lt;=AsOfDate,IF($Q140=0,$W140,IF(AND($S140&lt;&gt;"",EDATE($D140,Milestones!$AA$68)&gt;=$S140),$V140,IF(AND($R140&lt;&gt;"",EDATE($D140,Milestones!$AA$68)&gt;=$R140),$U140,$T140)))=Milestones!$AB$68),TEXT(EDATE($D140,Milestones!$AA$68),"dd/mm/yy")&amp;" "&amp;Milestones!$AB$68&amp;" "&amp;Milestones!$AC$68&amp;";  ","")&amp;IF(AND(EDATE($D140,Milestones!$AA$69)&lt;=AsOfDate,IF($Q140=0,$W140,IF(AND($S140&lt;&gt;"",EDATE($D140,Milestones!$AA$69)&gt;=$S140),$V140,IF(AND($R140&lt;&gt;"",EDATE($D140,Milestones!$AA$69)&gt;=$R140),$U140,$T140)))=Milestones!$AB$69),TEXT(EDATE($D140,Milestones!$AA$69),"dd/mm/yy")&amp;" "&amp;Milestones!$AB$69&amp;" "&amp;Milestones!$AC$69&amp;";  ","")&amp;IF(AND(EDATE($D140,Milestones!$AA$70)&lt;=AsOfDate,IF($Q140=0,$W140,IF(AND($S140&lt;&gt;"",EDATE($D140,Milestones!$AA$70)&gt;=$S140),$V140,IF(AND($R140&lt;&gt;"",EDATE($D140,Milestones!$AA$70)&gt;=$R140),$U140,$T140)))=Milestones!$AB$70),TEXT(EDATE($D140,Milestones!$AA$70),"dd/mm/yy")&amp;" "&amp;Milestones!$AB$70&amp;" "&amp;Milestones!$AC$70&amp;";  ","")&amp;IF(AND(EDATE($D140,Milestones!$AA$71)&lt;=AsOfDate,IF($Q140=0,$W140,IF(AND($S140&lt;&gt;"",EDATE($D140,Milestones!$AA$71)&gt;=$S140),$V140,IF(AND($R140&lt;&gt;"",EDATE($D140,Milestones!$AA$71)&gt;=$R140),$U140,$T140)))=Milestones!$AB$71),TEXT(EDATE($D140,Milestones!$AA$71),"dd/mm/yy")&amp;" "&amp;Milestones!$AB$71&amp;" "&amp;Milestones!$AC$71&amp;";  ","")&amp;IF(AND(EDATE($D140,Milestones!$AA$72)&lt;=AsOfDate,IF($Q140=0,$W140,IF(AND($S140&lt;&gt;"",EDATE($D140,Milestones!$AA$72)&gt;=$S140),$V140,IF(AND($R140&lt;&gt;"",EDATE($D140,Milestones!$AA$72)&gt;=$R140),$U140,$T140)))=Milestones!$AB$72),TEXT(EDATE($D140,Milestones!$AA$72),"dd/mm/yy")&amp;" "&amp;Milestones!$AB$72&amp;" "&amp;Milestones!$AC$72&amp;";  ","")&amp;IF(AND(EDATE($D140,Milestones!$AA$73)&lt;=AsOfDate,IF($Q140=0,$W140,IF(AND($S140&lt;&gt;"",EDATE($D140,Milestones!$AA$73)&gt;=$S140),$V140,IF(AND($R140&lt;&gt;"",EDATE($D140,Milestones!$AA$73)&gt;=$R140),$U140,$T140)))=Milestones!$AB$73),TEXT(EDATE($D140,Milestones!$AA$73),"dd/mm/yy")&amp;" "&amp;Milestones!$AB$73&amp;" "&amp;Milestones!$AC$73&amp;";  ","")&amp;IF(AND(EDATE($D140,Milestones!$AA$74)&lt;=AsOfDate,IF($Q140=0,$W140,IF(AND($S140&lt;&gt;"",EDATE($D140,Milestones!$AA$74)&gt;=$S140),$V140,IF(AND($R140&lt;&gt;"",EDATE($D140,Milestones!$AA$74)&gt;=$R140),$U140,$T140)))=Milestones!$AB$74),TEXT(EDATE($D140,Milestones!$AA$74),"dd/mm/yy")&amp;" "&amp;Milestones!$AB$74&amp;" "&amp;Milestones!$AC$74&amp;";  ","")&amp;IF(AND(EDATE($D140,Milestones!$AA$75)&lt;=AsOfDate,IF($Q140=0,$W140,IF(AND($S140&lt;&gt;"",EDATE($D140,Milestones!$AA$75)&gt;=$S140),$V140,IF(AND($R140&lt;&gt;"",EDATE($D140,Milestones!$AA$75)&gt;=$R140),$U140,$T140)))=Milestones!$AB$75),TEXT(EDATE($D140,Milestones!$AA$75),"dd/mm/yy")&amp;" "&amp;Milestones!$AB$75&amp;" "&amp;Milestones!$AC$75&amp;";  ","")&amp;IF(AND(EDATE($D140,Milestones!$AA$76)&lt;=AsOfDate,IF($Q140=0,$W140,IF(AND($S140&lt;&gt;"",EDATE($D140,Milestones!$AA$76)&gt;=$S140),$V140,IF(AND($R140&lt;&gt;"",EDATE($D140,Milestones!$AA$76)&gt;=$R140),$U140,$T140)))=Milestones!$AB$76),TEXT(EDATE($D140,Milestones!$AA$76),"dd/mm/yy")&amp;" "&amp;Milestones!$AB$76&amp;" "&amp;Milestones!$AC$76&amp;";  ","")&amp;IF(AND(EDATE($D140,Milestones!$AA$77)&lt;=AsOfDate,IF($Q140=0,$W140,IF(AND($S140&lt;&gt;"",EDATE($D140,Milestones!$AA$77)&gt;=$S140),$V140,IF(AND($R140&lt;&gt;"",EDATE($D140,Milestones!$AA$77)&gt;=$R140),$U140,$T140)))=Milestones!$AB$77),TEXT(EDATE($D140,Milestones!$AA$77),"dd/mm/yy")&amp;" "&amp;Milestones!$AB$77&amp;" "&amp;Milestones!$AC$77&amp;";  ","")&amp;IF(AND(EDATE($D140,Milestones!$AA$78)&lt;=AsOfDate,IF($Q140=0,$W140,IF(AND($S140&lt;&gt;"",EDATE($D140,Milestones!$AA$78)&gt;=$S140),$V140,IF(AND($R140&lt;&gt;"",EDATE($D140,Milestones!$AA$78)&gt;=$R140),$U140,$T140)))=Milestones!$AB$78),TEXT(EDATE($D140,Milestones!$AA$78),"dd/mm/yy")&amp;" "&amp;Milestones!$AB$78&amp;" "&amp;Milestones!$AC$78&amp;";  ","")&amp;IF(AND(EDATE($D140,Milestones!$AA$79)&lt;=AsOfDate,IF($Q140=0,$W140,IF(AND($S140&lt;&gt;"",EDATE($D140,Milestones!$AA$79)&gt;=$S140),$V140,IF(AND($R140&lt;&gt;"",EDATE($D140,Milestones!$AA$79)&gt;=$R140),$U140,$T140)))=Milestones!$AB$79),TEXT(EDATE($D140,Milestones!$AA$79),"dd/mm/yy")&amp;" "&amp;Milestones!$AB$79&amp;" "&amp;Milestones!$AC$79&amp;";  ",""))</f>
        <v/>
      </c>
      <c r="K140" s="0" t="str">
        <f aca="false">IF(OR($A140="",$D140=""),"",IF(AND(EDATE($D140,Milestones!$AA$80)&lt;=AsOfDate,IF($Q140=0,$W140,IF(AND($S140&lt;&gt;"",EDATE($D140,Milestones!$AA$80)&gt;=$S140),$V140,IF(AND($R140&lt;&gt;"",EDATE($D140,Milestones!$AA$80)&gt;=$R140),$U140,$T140)))=Milestones!$AB$80),TEXT(EDATE($D140,Milestones!$AA$80),"dd/mm/yy")&amp;" "&amp;Milestones!$AB$80&amp;" "&amp;Milestones!$AC$80&amp;";  ","")&amp;IF(AND(EDATE($D140,Milestones!$AA$81)&lt;=AsOfDate,IF($Q140=0,$W140,IF(AND($S140&lt;&gt;"",EDATE($D140,Milestones!$AA$81)&gt;=$S140),$V140,IF(AND($R140&lt;&gt;"",EDATE($D140,Milestones!$AA$81)&gt;=$R140),$U140,$T140)))=Milestones!$AB$81),TEXT(EDATE($D140,Milestones!$AA$81),"dd/mm/yy")&amp;" "&amp;Milestones!$AB$81&amp;" "&amp;Milestones!$AC$81&amp;";  ","")&amp;IF(AND(EDATE($D140,Milestones!$AA$82)&lt;=AsOfDate,IF($Q140=0,$W140,IF(AND($S140&lt;&gt;"",EDATE($D140,Milestones!$AA$82)&gt;=$S140),$V140,IF(AND($R140&lt;&gt;"",EDATE($D140,Milestones!$AA$82)&gt;=$R140),$U140,$T140)))=Milestones!$AB$82),TEXT(EDATE($D140,Milestones!$AA$82),"dd/mm/yy")&amp;" "&amp;Milestones!$AB$82&amp;" "&amp;Milestones!$AC$82&amp;";  ","")&amp;IF(AND(EDATE($D140,Milestones!$AA$83)&lt;=AsOfDate,IF($Q140=0,$W140,IF(AND($S140&lt;&gt;"",EDATE($D140,Milestones!$AA$83)&gt;=$S140),$V140,IF(AND($R140&lt;&gt;"",EDATE($D140,Milestones!$AA$83)&gt;=$R140),$U140,$T140)))=Milestones!$AB$83),TEXT(EDATE($D140,Milestones!$AA$83),"dd/mm/yy")&amp;" "&amp;Milestones!$AB$83&amp;" "&amp;Milestones!$AC$83&amp;";  ","")&amp;IF(AND(EDATE($D140,Milestones!$AA$84)&lt;=AsOfDate,IF($Q140=0,$W140,IF(AND($S140&lt;&gt;"",EDATE($D140,Milestones!$AA$84)&gt;=$S140),$V140,IF(AND($R140&lt;&gt;"",EDATE($D140,Milestones!$AA$84)&gt;=$R140),$U140,$T140)))=Milestones!$AB$84),TEXT(EDATE($D140,Milestones!$AA$84),"dd/mm/yy")&amp;" "&amp;Milestones!$AB$84&amp;" "&amp;Milestones!$AC$84&amp;";  ","")&amp;IF(AND(EDATE($D140,Milestones!$AA$85)&lt;=AsOfDate,IF($Q140=0,$W140,IF(AND($S140&lt;&gt;"",EDATE($D140,Milestones!$AA$85)&gt;=$S140),$V140,IF(AND($R140&lt;&gt;"",EDATE($D140,Milestones!$AA$85)&gt;=$R140),$U140,$T140)))=Milestones!$AB$85),TEXT(EDATE($D140,Milestones!$AA$85),"dd/mm/yy")&amp;" "&amp;Milestones!$AB$85&amp;" "&amp;Milestones!$AC$85&amp;";  ","")&amp;IF(AND(EDATE($D140,Milestones!$AA$86)&lt;=AsOfDate,IF($Q140=0,$W140,IF(AND($S140&lt;&gt;"",EDATE($D140,Milestones!$AA$86)&gt;=$S140),$V140,IF(AND($R140&lt;&gt;"",EDATE($D140,Milestones!$AA$86)&gt;=$R140),$U140,$T140)))=Milestones!$AB$86),TEXT(EDATE($D140,Milestones!$AA$86),"dd/mm/yy")&amp;" "&amp;Milestones!$AB$86&amp;" "&amp;Milestones!$AC$86&amp;";  ","")&amp;IF(AND(EDATE($D140,Milestones!$AA$87)&lt;=AsOfDate,IF($Q140=0,$W140,IF(AND($S140&lt;&gt;"",EDATE($D140,Milestones!$AA$87)&gt;=$S140),$V140,IF(AND($R140&lt;&gt;"",EDATE($D140,Milestones!$AA$87)&gt;=$R140),$U140,$T140)))=Milestones!$AB$87),TEXT(EDATE($D140,Milestones!$AA$87),"dd/mm/yy")&amp;" "&amp;Milestones!$AB$87&amp;" "&amp;Milestones!$AC$87&amp;";  ","")&amp;IF(AND(EDATE($D140,Milestones!$AA$88)&lt;=AsOfDate,IF($Q140=0,$W140,IF(AND($S140&lt;&gt;"",EDATE($D140,Milestones!$AA$88)&gt;=$S140),$V140,IF(AND($R140&lt;&gt;"",EDATE($D140,Milestones!$AA$88)&gt;=$R140),$U140,$T140)))=Milestones!$AB$88),TEXT(EDATE($D140,Milestones!$AA$88),"dd/mm/yy")&amp;" "&amp;Milestones!$AB$88&amp;" "&amp;Milestones!$AC$88&amp;";  ","")&amp;IF(AND(EDATE($D140,Milestones!$AA$89)&lt;=AsOfDate,IF($Q140=0,$W140,IF(AND($S140&lt;&gt;"",EDATE($D140,Milestones!$AA$89)&gt;=$S140),$V140,IF(AND($R140&lt;&gt;"",EDATE($D140,Milestones!$AA$89)&gt;=$R140),$U140,$T140)))=Milestones!$AB$89),TEXT(EDATE($D140,Milestones!$AA$89),"dd/mm/yy")&amp;" "&amp;Milestones!$AB$89&amp;" "&amp;Milestones!$AC$89&amp;";  ","")&amp;IF(AND(EDATE($D140,Milestones!$AA$90)&lt;=AsOfDate,IF($Q140=0,$W140,IF(AND($S140&lt;&gt;"",EDATE($D140,Milestones!$AA$90)&gt;=$S140),$V140,IF(AND($R140&lt;&gt;"",EDATE($D140,Milestones!$AA$90)&gt;=$R140),$U140,$T140)))=Milestones!$AB$90),TEXT(EDATE($D140,Milestones!$AA$90),"dd/mm/yy")&amp;" "&amp;Milestones!$AB$90&amp;" "&amp;Milestones!$AC$90&amp;";  ","")&amp;IF(AND(EDATE($D140,Milestones!$AA$91)&lt;=AsOfDate,IF($Q140=0,$W140,IF(AND($S140&lt;&gt;"",EDATE($D140,Milestones!$AA$91)&gt;=$S140),$V140,IF(AND($R140&lt;&gt;"",EDATE($D140,Milestones!$AA$91)&gt;=$R140),$U140,$T140)))=Milestones!$AB$91),TEXT(EDATE($D140,Milestones!$AA$91),"dd/mm/yy")&amp;" "&amp;Milestones!$AB$91&amp;" "&amp;Milestones!$AC$91&amp;";  ","")&amp;IF(AND(EDATE($D140,Milestones!$AA$92)&lt;=AsOfDate,IF($Q140=0,$W140,IF(AND($S140&lt;&gt;"",EDATE($D140,Milestones!$AA$92)&gt;=$S140),$V140,IF(AND($R140&lt;&gt;"",EDATE($D140,Milestones!$AA$92)&gt;=$R140),$U140,$T140)))=Milestones!$AB$92),TEXT(EDATE($D140,Milestones!$AA$92),"dd/mm/yy")&amp;" "&amp;Milestones!$AB$92&amp;" "&amp;Milestones!$AC$92&amp;";  ","")&amp;IF(AND(EDATE($D140,Milestones!$AA$93)&lt;=AsOfDate,IF($Q140=0,$W140,IF(AND($S140&lt;&gt;"",EDATE($D140,Milestones!$AA$93)&gt;=$S140),$V140,IF(AND($R140&lt;&gt;"",EDATE($D140,Milestones!$AA$93)&gt;=$R140),$U140,$T140)))=Milestones!$AB$93),TEXT(EDATE($D140,Milestones!$AA$93),"dd/mm/yy")&amp;" "&amp;Milestones!$AB$93&amp;" "&amp;Milestones!$AC$93&amp;";  ","")&amp;IF(AND(EDATE($D140,Milestones!$AA$94)&lt;=AsOfDate,IF($Q140=0,$W140,IF(AND($S140&lt;&gt;"",EDATE($D140,Milestones!$AA$94)&gt;=$S140),$V140,IF(AND($R140&lt;&gt;"",EDATE($D140,Milestones!$AA$94)&gt;=$R140),$U140,$T140)))=Milestones!$AB$94),TEXT(EDATE($D140,Milestones!$AA$94),"dd/mm/yy")&amp;" "&amp;Milestones!$AB$94&amp;" "&amp;Milestones!$AC$94&amp;";  ","")&amp;IF(AND(EDATE($D140,Milestones!$AA$95)&lt;=AsOfDate,IF($Q140=0,$W140,IF(AND($S140&lt;&gt;"",EDATE($D140,Milestones!$AA$95)&gt;=$S140),$V140,IF(AND($R140&lt;&gt;"",EDATE($D140,Milestones!$AA$95)&gt;=$R140),$U140,$T140)))=Milestones!$AB$95),TEXT(EDATE($D140,Milestones!$AA$95),"dd/mm/yy")&amp;" "&amp;Milestones!$AB$95&amp;" "&amp;Milestones!$AC$95&amp;";  ","")&amp;IF(AND(EDATE($D140,Milestones!$AA$96)&lt;=AsOfDate,IF($Q140=0,$W140,IF(AND($S140&lt;&gt;"",EDATE($D140,Milestones!$AA$96)&gt;=$S140),$V140,IF(AND($R140&lt;&gt;"",EDATE($D140,Milestones!$AA$96)&gt;=$R140),$U140,$T140)))=Milestones!$AB$96),TEXT(EDATE($D140,Milestones!$AA$96),"dd/mm/yy")&amp;" "&amp;Milestones!$AB$96&amp;" "&amp;Milestones!$AC$96&amp;";  ","")&amp;IF(AND(EDATE($D140,Milestones!$AA$97)&lt;=AsOfDate,IF($Q140=0,$W140,IF(AND($S140&lt;&gt;"",EDATE($D140,Milestones!$AA$97)&gt;=$S140),$V140,IF(AND($R140&lt;&gt;"",EDATE($D140,Milestones!$AA$97)&gt;=$R140),$U140,$T140)))=Milestones!$AB$97),TEXT(EDATE($D140,Milestones!$AA$97),"dd/mm/yy")&amp;" "&amp;Milestones!$AB$97&amp;" "&amp;Milestones!$AC$97&amp;";  ","")&amp;IF(AND(EDATE($D140,Milestones!$AA$98)&lt;=AsOfDate,IF($Q140=0,$W140,IF(AND($S140&lt;&gt;"",EDATE($D140,Milestones!$AA$98)&gt;=$S140),$V140,IF(AND($R140&lt;&gt;"",EDATE($D140,Milestones!$AA$98)&gt;=$R140),$U140,$T140)))=Milestones!$AB$98),TEXT(EDATE($D140,Milestones!$AA$98),"dd/mm/yy")&amp;" "&amp;Milestones!$AB$98&amp;" "&amp;Milestones!$AC$98&amp;";  ","")&amp;IF(AND(EDATE($D140,Milestones!$AA$99)&lt;=AsOfDate,IF($Q140=0,$W140,IF(AND($S140&lt;&gt;"",EDATE($D140,Milestones!$AA$99)&gt;=$S140),$V140,IF(AND($R140&lt;&gt;"",EDATE($D140,Milestones!$AA$99)&gt;=$R140),$U140,$T140)))=Milestones!$AB$99),TEXT(EDATE($D140,Milestones!$AA$99),"dd/mm/yy")&amp;" "&amp;Milestones!$AB$99&amp;" "&amp;Milestones!$AC$99&amp;";  ",""))</f>
        <v/>
      </c>
      <c r="L140" s="0" t="str">
        <f aca="false">IF(OR($A140="",$D140=""),"",IF(AND(EDATE($D140,Milestones!$AA$100)&lt;=AsOfDate,IF($Q140=0,$W140,IF(AND($S140&lt;&gt;"",EDATE($D140,Milestones!$AA$100)&gt;=$S140),$V140,IF(AND($R140&lt;&gt;"",EDATE($D140,Milestones!$AA$100)&gt;=$R140),$U140,$T140)))=Milestones!$AB$100),TEXT(EDATE($D140,Milestones!$AA$100),"dd/mm/yy")&amp;" "&amp;Milestones!$AB$100&amp;" "&amp;Milestones!$AC$100&amp;";  ","")&amp;IF(AND(EDATE($D140,Milestones!$AA$101)&lt;=AsOfDate,IF($Q140=0,$W140,IF(AND($S140&lt;&gt;"",EDATE($D140,Milestones!$AA$101)&gt;=$S140),$V140,IF(AND($R140&lt;&gt;"",EDATE($D140,Milestones!$AA$101)&gt;=$R140),$U140,$T140)))=Milestones!$AB$101),TEXT(EDATE($D140,Milestones!$AA$101),"dd/mm/yy")&amp;" "&amp;Milestones!$AB$101&amp;" "&amp;Milestones!$AC$101&amp;";  ","")&amp;IF(AND(EDATE($D140,Milestones!$AA$102)&lt;=AsOfDate,IF($Q140=0,$W140,IF(AND($S140&lt;&gt;"",EDATE($D140,Milestones!$AA$102)&gt;=$S140),$V140,IF(AND($R140&lt;&gt;"",EDATE($D140,Milestones!$AA$102)&gt;=$R140),$U140,$T140)))=Milestones!$AB$102),TEXT(EDATE($D140,Milestones!$AA$102),"dd/mm/yy")&amp;" "&amp;Milestones!$AB$102&amp;" "&amp;Milestones!$AC$102&amp;";  ","")&amp;IF(AND(EDATE($D140,Milestones!$AA$103)&lt;=AsOfDate,IF($Q140=0,$W140,IF(AND($S140&lt;&gt;"",EDATE($D140,Milestones!$AA$103)&gt;=$S140),$V140,IF(AND($R140&lt;&gt;"",EDATE($D140,Milestones!$AA$103)&gt;=$R140),$U140,$T140)))=Milestones!$AB$103),TEXT(EDATE($D140,Milestones!$AA$103),"dd/mm/yy")&amp;" "&amp;Milestones!$AB$103&amp;" "&amp;Milestones!$AC$103&amp;";  ","")&amp;IF(AND(EDATE($D140,Milestones!$AA$104)&lt;=AsOfDate,IF($Q140=0,$W140,IF(AND($S140&lt;&gt;"",EDATE($D140,Milestones!$AA$104)&gt;=$S140),$V140,IF(AND($R140&lt;&gt;"",EDATE($D140,Milestones!$AA$104)&gt;=$R140),$U140,$T140)))=Milestones!$AB$104),TEXT(EDATE($D140,Milestones!$AA$104),"dd/mm/yy")&amp;" "&amp;Milestones!$AB$104&amp;" "&amp;Milestones!$AC$104&amp;";  ","")&amp;IF(AND(EDATE($D140,Milestones!$AA$105)&lt;=AsOfDate,IF($Q140=0,$W140,IF(AND($S140&lt;&gt;"",EDATE($D140,Milestones!$AA$105)&gt;=$S140),$V140,IF(AND($R140&lt;&gt;"",EDATE($D140,Milestones!$AA$105)&gt;=$R140),$U140,$T140)))=Milestones!$AB$105),TEXT(EDATE($D140,Milestones!$AA$105),"dd/mm/yy")&amp;" "&amp;Milestones!$AB$105&amp;" "&amp;Milestones!$AC$105&amp;";  ","")&amp;IF(AND(EDATE($D140,Milestones!$AA$106)&lt;=AsOfDate,IF($Q140=0,$W140,IF(AND($S140&lt;&gt;"",EDATE($D140,Milestones!$AA$106)&gt;=$S140),$V140,IF(AND($R140&lt;&gt;"",EDATE($D140,Milestones!$AA$106)&gt;=$R140),$U140,$T140)))=Milestones!$AB$106),TEXT(EDATE($D140,Milestones!$AA$106),"dd/mm/yy")&amp;" "&amp;Milestones!$AB$106&amp;" "&amp;Milestones!$AC$106&amp;";  ","")&amp;IF(AND(EDATE($D140,Milestones!$AA$107)&lt;=AsOfDate,IF($Q140=0,$W140,IF(AND($S140&lt;&gt;"",EDATE($D140,Milestones!$AA$107)&gt;=$S140),$V140,IF(AND($R140&lt;&gt;"",EDATE($D140,Milestones!$AA$107)&gt;=$R140),$U140,$T140)))=Milestones!$AB$107),TEXT(EDATE($D140,Milestones!$AA$107),"dd/mm/yy")&amp;" "&amp;Milestones!$AB$107&amp;" "&amp;Milestones!$AC$107&amp;";  ","")&amp;IF(AND(EDATE($D140,Milestones!$AA$108)&lt;=AsOfDate,IF($Q140=0,$W140,IF(AND($S140&lt;&gt;"",EDATE($D140,Milestones!$AA$108)&gt;=$S140),$V140,IF(AND($R140&lt;&gt;"",EDATE($D140,Milestones!$AA$108)&gt;=$R140),$U140,$T140)))=Milestones!$AB$108),TEXT(EDATE($D140,Milestones!$AA$108),"dd/mm/yy")&amp;" "&amp;Milestones!$AB$108&amp;" "&amp;Milestones!$AC$108&amp;";  ","")&amp;IF(AND(EDATE($D140,Milestones!$AA$109)&lt;=AsOfDate,IF($Q140=0,$W140,IF(AND($S140&lt;&gt;"",EDATE($D140,Milestones!$AA$109)&gt;=$S140),$V140,IF(AND($R140&lt;&gt;"",EDATE($D140,Milestones!$AA$109)&gt;=$R140),$U140,$T140)))=Milestones!$AB$109),TEXT(EDATE($D140,Milestones!$AA$109),"dd/mm/yy")&amp;" "&amp;Milestones!$AB$109&amp;" "&amp;Milestones!$AC$109&amp;";  ","")&amp;IF(AND(EDATE($D140,Milestones!$AA$110)&lt;=AsOfDate,IF($Q140=0,$W140,IF(AND($S140&lt;&gt;"",EDATE($D140,Milestones!$AA$110)&gt;=$S140),$V140,IF(AND($R140&lt;&gt;"",EDATE($D140,Milestones!$AA$110)&gt;=$R140),$U140,$T140)))=Milestones!$AB$110),TEXT(EDATE($D140,Milestones!$AA$110),"dd/mm/yy")&amp;" "&amp;Milestones!$AB$110&amp;" "&amp;Milestones!$AC$110&amp;";  ","")&amp;IF(AND(EDATE($D140,Milestones!$AA$111)&lt;=AsOfDate,IF($Q140=0,$W140,IF(AND($S140&lt;&gt;"",EDATE($D140,Milestones!$AA$111)&gt;=$S140),$V140,IF(AND($R140&lt;&gt;"",EDATE($D140,Milestones!$AA$111)&gt;=$R140),$U140,$T140)))=Milestones!$AB$111),TEXT(EDATE($D140,Milestones!$AA$111),"dd/mm/yy")&amp;" "&amp;Milestones!$AB$111&amp;" "&amp;Milestones!$AC$111&amp;";  ","")&amp;IF(AND(EDATE($D140,Milestones!$AA$112)&lt;=AsOfDate,IF($Q140=0,$W140,IF(AND($S140&lt;&gt;"",EDATE($D140,Milestones!$AA$112)&gt;=$S140),$V140,IF(AND($R140&lt;&gt;"",EDATE($D140,Milestones!$AA$112)&gt;=$R140),$U140,$T140)))=Milestones!$AB$112),TEXT(EDATE($D140,Milestones!$AA$112),"dd/mm/yy")&amp;" "&amp;Milestones!$AB$112&amp;" "&amp;Milestones!$AC$112&amp;";  ","")&amp;IF(AND(EDATE($D140,Milestones!$AA$113)&lt;=AsOfDate,IF($Q140=0,$W140,IF(AND($S140&lt;&gt;"",EDATE($D140,Milestones!$AA$113)&gt;=$S140),$V140,IF(AND($R140&lt;&gt;"",EDATE($D140,Milestones!$AA$113)&gt;=$R140),$U140,$T140)))=Milestones!$AB$113),TEXT(EDATE($D140,Milestones!$AA$113),"dd/mm/yy")&amp;" "&amp;Milestones!$AB$113&amp;" "&amp;Milestones!$AC$113&amp;";  ","")&amp;IF(AND(EDATE($D140,Milestones!$AA$114)&lt;=AsOfDate,IF($Q140=0,$W140,IF(AND($S140&lt;&gt;"",EDATE($D140,Milestones!$AA$114)&gt;=$S140),$V140,IF(AND($R140&lt;&gt;"",EDATE($D140,Milestones!$AA$114)&gt;=$R140),$U140,$T140)))=Milestones!$AB$114),TEXT(EDATE($D140,Milestones!$AA$114),"dd/mm/yy")&amp;" "&amp;Milestones!$AB$114&amp;" "&amp;Milestones!$AC$114&amp;";  ","")&amp;IF(AND(EDATE($D140,Milestones!$AA$115)&lt;=AsOfDate,IF($Q140=0,$W140,IF(AND($S140&lt;&gt;"",EDATE($D140,Milestones!$AA$115)&gt;=$S140),$V140,IF(AND($R140&lt;&gt;"",EDATE($D140,Milestones!$AA$115)&gt;=$R140),$U140,$T140)))=Milestones!$AB$115),TEXT(EDATE($D140,Milestones!$AA$115),"dd/mm/yy")&amp;" "&amp;Milestones!$AB$115&amp;" "&amp;Milestones!$AC$115&amp;";  ","")&amp;IF(AND(EDATE($D140,Milestones!$AA$116)&lt;=AsOfDate,IF($Q140=0,$W140,IF(AND($S140&lt;&gt;"",EDATE($D140,Milestones!$AA$116)&gt;=$S140),$V140,IF(AND($R140&lt;&gt;"",EDATE($D140,Milestones!$AA$116)&gt;=$R140),$U140,$T140)))=Milestones!$AB$116),TEXT(EDATE($D140,Milestones!$AA$116),"dd/mm/yy")&amp;" "&amp;Milestones!$AB$116&amp;" "&amp;Milestones!$AC$116&amp;";  ","")&amp;IF(AND(EDATE($D140,Milestones!$AA$117)&lt;=AsOfDate,IF($Q140=0,$W140,IF(AND($S140&lt;&gt;"",EDATE($D140,Milestones!$AA$117)&gt;=$S140),$V140,IF(AND($R140&lt;&gt;"",EDATE($D140,Milestones!$AA$117)&gt;=$R140),$U140,$T140)))=Milestones!$AB$117),TEXT(EDATE($D140,Milestones!$AA$117),"dd/mm/yy")&amp;" "&amp;Milestones!$AB$117&amp;" "&amp;Milestones!$AC$117&amp;";  ","")&amp;IF(AND(EDATE($D140,Milestones!$AA$118)&lt;=AsOfDate,IF($Q140=0,$W140,IF(AND($S140&lt;&gt;"",EDATE($D140,Milestones!$AA$118)&gt;=$S140),$V140,IF(AND($R140&lt;&gt;"",EDATE($D140,Milestones!$AA$118)&gt;=$R140),$U140,$T140)))=Milestones!$AB$118),TEXT(EDATE($D140,Milestones!$AA$118),"dd/mm/yy")&amp;" "&amp;Milestones!$AB$118&amp;" "&amp;Milestones!$AC$118&amp;";  ","")&amp;IF(AND(EDATE($D140,Milestones!$AA$119)&lt;=AsOfDate,IF($Q140=0,$W140,IF(AND($S140&lt;&gt;"",EDATE($D140,Milestones!$AA$119)&gt;=$S140),$V140,IF(AND($R140&lt;&gt;"",EDATE($D140,Milestones!$AA$119)&gt;=$R140),$U140,$T140)))=Milestones!$AB$119),TEXT(EDATE($D140,Milestones!$AA$119),"dd/mm/yy")&amp;" "&amp;Milestones!$AB$119&amp;" "&amp;Milestones!$AC$119&amp;";  ",""))</f>
        <v/>
      </c>
      <c r="M140" s="0" t="str">
        <f aca="false">IF(OR($A140="",$D140=""),"",IF(AND(EDATE($D140,Milestones!$AA$120)&lt;=AsOfDate,IF($Q140=0,$W140,IF(AND($S140&lt;&gt;"",EDATE($D140,Milestones!$AA$120)&gt;=$S140),$V140,IF(AND($R140&lt;&gt;"",EDATE($D140,Milestones!$AA$120)&gt;=$R140),$U140,$T140)))=Milestones!$AB$120),TEXT(EDATE($D140,Milestones!$AA$120),"dd/mm/yy")&amp;" "&amp;Milestones!$AB$120&amp;" "&amp;Milestones!$AC$120&amp;";  ","")&amp;IF(AND(EDATE($D140,Milestones!$AA$121)&lt;=AsOfDate,IF($Q140=0,$W140,IF(AND($S140&lt;&gt;"",EDATE($D140,Milestones!$AA$121)&gt;=$S140),$V140,IF(AND($R140&lt;&gt;"",EDATE($D140,Milestones!$AA$121)&gt;=$R140),$U140,$T140)))=Milestones!$AB$121),TEXT(EDATE($D140,Milestones!$AA$121),"dd/mm/yy")&amp;" "&amp;Milestones!$AB$121&amp;" "&amp;Milestones!$AC$121&amp;";  ","")&amp;IF(AND(EDATE($D140,Milestones!$AA$122)&lt;=AsOfDate,IF($Q140=0,$W140,IF(AND($S140&lt;&gt;"",EDATE($D140,Milestones!$AA$122)&gt;=$S140),$V140,IF(AND($R140&lt;&gt;"",EDATE($D140,Milestones!$AA$122)&gt;=$R140),$U140,$T140)))=Milestones!$AB$122),TEXT(EDATE($D140,Milestones!$AA$122),"dd/mm/yy")&amp;" "&amp;Milestones!$AB$122&amp;" "&amp;Milestones!$AC$122&amp;";  ","")&amp;IF(AND(EDATE($D140,Milestones!$AA$123)&lt;=AsOfDate,IF($Q140=0,$W140,IF(AND($S140&lt;&gt;"",EDATE($D140,Milestones!$AA$123)&gt;=$S140),$V140,IF(AND($R140&lt;&gt;"",EDATE($D140,Milestones!$AA$123)&gt;=$R140),$U140,$T140)))=Milestones!$AB$123),TEXT(EDATE($D140,Milestones!$AA$123),"dd/mm/yy")&amp;" "&amp;Milestones!$AB$123&amp;" "&amp;Milestones!$AC$123&amp;";  ","")&amp;IF(AND(EDATE($D140,Milestones!$AA$124)&lt;=AsOfDate,IF($Q140=0,$W140,IF(AND($S140&lt;&gt;"",EDATE($D140,Milestones!$AA$124)&gt;=$S140),$V140,IF(AND($R140&lt;&gt;"",EDATE($D140,Milestones!$AA$124)&gt;=$R140),$U140,$T140)))=Milestones!$AB$124),TEXT(EDATE($D140,Milestones!$AA$124),"dd/mm/yy")&amp;" "&amp;Milestones!$AB$124&amp;" "&amp;Milestones!$AC$124&amp;";  ","")&amp;IF(AND(EDATE($D140,Milestones!$AA$125)&lt;=AsOfDate,IF($Q140=0,$W140,IF(AND($S140&lt;&gt;"",EDATE($D140,Milestones!$AA$125)&gt;=$S140),$V140,IF(AND($R140&lt;&gt;"",EDATE($D140,Milestones!$AA$125)&gt;=$R140),$U140,$T140)))=Milestones!$AB$125),TEXT(EDATE($D140,Milestones!$AA$125),"dd/mm/yy")&amp;" "&amp;Milestones!$AB$125&amp;" "&amp;Milestones!$AC$125&amp;";  ","")&amp;IF(AND(EDATE($D140,Milestones!$AA$126)&lt;=AsOfDate,IF($Q140=0,$W140,IF(AND($S140&lt;&gt;"",EDATE($D140,Milestones!$AA$126)&gt;=$S140),$V140,IF(AND($R140&lt;&gt;"",EDATE($D140,Milestones!$AA$126)&gt;=$R140),$U140,$T140)))=Milestones!$AB$126),TEXT(EDATE($D140,Milestones!$AA$126),"dd/mm/yy")&amp;" "&amp;Milestones!$AB$126&amp;" "&amp;Milestones!$AC$126&amp;";  ","")&amp;IF(AND(EDATE($D140,Milestones!$AA$127)&lt;=AsOfDate,IF($Q140=0,$W140,IF(AND($S140&lt;&gt;"",EDATE($D140,Milestones!$AA$127)&gt;=$S140),$V140,IF(AND($R140&lt;&gt;"",EDATE($D140,Milestones!$AA$127)&gt;=$R140),$U140,$T140)))=Milestones!$AB$127),TEXT(EDATE($D140,Milestones!$AA$127),"dd/mm/yy")&amp;" "&amp;Milestones!$AB$127&amp;" "&amp;Milestones!$AC$127&amp;";  ","")&amp;IF(AND(EDATE($D140,Milestones!$AA$128)&lt;=AsOfDate,IF($Q140=0,$W140,IF(AND($S140&lt;&gt;"",EDATE($D140,Milestones!$AA$128)&gt;=$S140),$V140,IF(AND($R140&lt;&gt;"",EDATE($D140,Milestones!$AA$128)&gt;=$R140),$U140,$T140)))=Milestones!$AB$128),TEXT(EDATE($D140,Milestones!$AA$128),"dd/mm/yy")&amp;" "&amp;Milestones!$AB$128&amp;" "&amp;Milestones!$AC$128&amp;";  ","")&amp;IF(AND(EDATE($D140,Milestones!$AA$129)&lt;=AsOfDate,IF($Q140=0,$W140,IF(AND($S140&lt;&gt;"",EDATE($D140,Milestones!$AA$129)&gt;=$S140),$V140,IF(AND($R140&lt;&gt;"",EDATE($D140,Milestones!$AA$129)&gt;=$R140),$U140,$T140)))=Milestones!$AB$129),TEXT(EDATE($D140,Milestones!$AA$129),"dd/mm/yy")&amp;" "&amp;Milestones!$AB$129&amp;" "&amp;Milestones!$AC$129&amp;";  ","")&amp;IF(AND(EDATE($D140,Milestones!$AA$130)&lt;=AsOfDate,IF($Q140=0,$W140,IF(AND($S140&lt;&gt;"",EDATE($D140,Milestones!$AA$130)&gt;=$S140),$V140,IF(AND($R140&lt;&gt;"",EDATE($D140,Milestones!$AA$130)&gt;=$R140),$U140,$T140)))=Milestones!$AB$130),TEXT(EDATE($D140,Milestones!$AA$130),"dd/mm/yy")&amp;" "&amp;Milestones!$AB$130&amp;" "&amp;Milestones!$AC$130&amp;";  ","")&amp;IF(AND(EDATE($D140,Milestones!$AA$131)&lt;=AsOfDate,IF($Q140=0,$W140,IF(AND($S140&lt;&gt;"",EDATE($D140,Milestones!$AA$131)&gt;=$S140),$V140,IF(AND($R140&lt;&gt;"",EDATE($D140,Milestones!$AA$131)&gt;=$R140),$U140,$T140)))=Milestones!$AB$131),TEXT(EDATE($D140,Milestones!$AA$131),"dd/mm/yy")&amp;" "&amp;Milestones!$AB$131&amp;" "&amp;Milestones!$AC$131&amp;";  ","")&amp;IF(AND(EDATE($D140,Milestones!$AA$132)&lt;=AsOfDate,IF($Q140=0,$W140,IF(AND($S140&lt;&gt;"",EDATE($D140,Milestones!$AA$132)&gt;=$S140),$V140,IF(AND($R140&lt;&gt;"",EDATE($D140,Milestones!$AA$132)&gt;=$R140),$U140,$T140)))=Milestones!$AB$132),TEXT(EDATE($D140,Milestones!$AA$132),"dd/mm/yy")&amp;" "&amp;Milestones!$AB$132&amp;" "&amp;Milestones!$AC$132&amp;";  ","")&amp;IF(AND(EDATE($D140,Milestones!$AA$133)&lt;=AsOfDate,IF($Q140=0,$W140,IF(AND($S140&lt;&gt;"",EDATE($D140,Milestones!$AA$133)&gt;=$S140),$V140,IF(AND($R140&lt;&gt;"",EDATE($D140,Milestones!$AA$133)&gt;=$R140),$U140,$T140)))=Milestones!$AB$133),TEXT(EDATE($D140,Milestones!$AA$133),"dd/mm/yy")&amp;" "&amp;Milestones!$AB$133&amp;" "&amp;Milestones!$AC$133&amp;";  ","")&amp;IF(AND(EDATE($D140,Milestones!$AA$134)&lt;=AsOfDate,IF($Q140=0,$W140,IF(AND($S140&lt;&gt;"",EDATE($D140,Milestones!$AA$134)&gt;=$S140),$V140,IF(AND($R140&lt;&gt;"",EDATE($D140,Milestones!$AA$134)&gt;=$R140),$U140,$T140)))=Milestones!$AB$134),TEXT(EDATE($D140,Milestones!$AA$134),"dd/mm/yy")&amp;" "&amp;Milestones!$AB$134&amp;" "&amp;Milestones!$AC$134&amp;";  ","")&amp;IF(AND(EDATE($D140,Milestones!$AA$135)&lt;=AsOfDate,IF($Q140=0,$W140,IF(AND($S140&lt;&gt;"",EDATE($D140,Milestones!$AA$135)&gt;=$S140),$V140,IF(AND($R140&lt;&gt;"",EDATE($D140,Milestones!$AA$135)&gt;=$R140),$U140,$T140)))=Milestones!$AB$135),TEXT(EDATE($D140,Milestones!$AA$135),"dd/mm/yy")&amp;" "&amp;Milestones!$AB$135&amp;" "&amp;Milestones!$AC$135&amp;";  ","")&amp;IF(AND(EDATE($D140,Milestones!$AA$136)&lt;=AsOfDate,IF($Q140=0,$W140,IF(AND($S140&lt;&gt;"",EDATE($D140,Milestones!$AA$136)&gt;=$S140),$V140,IF(AND($R140&lt;&gt;"",EDATE($D140,Milestones!$AA$136)&gt;=$R140),$U140,$T140)))=Milestones!$AB$136),TEXT(EDATE($D140,Milestones!$AA$136),"dd/mm/yy")&amp;" "&amp;Milestones!$AB$136&amp;" "&amp;Milestones!$AC$136&amp;";  ","")&amp;IF(AND(EDATE($D140,Milestones!$AA$137)&lt;=AsOfDate,IF($Q140=0,$W140,IF(AND($S140&lt;&gt;"",EDATE($D140,Milestones!$AA$137)&gt;=$S140),$V140,IF(AND($R140&lt;&gt;"",EDATE($D140,Milestones!$AA$137)&gt;=$R140),$U140,$T140)))=Milestones!$AB$137),TEXT(EDATE($D140,Milestones!$AA$137),"dd/mm/yy")&amp;" "&amp;Milestones!$AB$137&amp;" "&amp;Milestones!$AC$137&amp;";  ","")&amp;IF(AND(EDATE($D140,Milestones!$AA$138)&lt;=AsOfDate,IF($Q140=0,$W140,IF(AND($S140&lt;&gt;"",EDATE($D140,Milestones!$AA$138)&gt;=$S140),$V140,IF(AND($R140&lt;&gt;"",EDATE($D140,Milestones!$AA$138)&gt;=$R140),$U140,$T140)))=Milestones!$AB$138),TEXT(EDATE($D140,Milestones!$AA$138),"dd/mm/yy")&amp;" "&amp;Milestones!$AB$138&amp;" "&amp;Milestones!$AC$138&amp;";  ","")&amp;IF(AND(EDATE($D140,Milestones!$AA$139)&lt;=AsOfDate,IF($Q140=0,$W140,IF(AND($S140&lt;&gt;"",EDATE($D140,Milestones!$AA$139)&gt;=$S140),$V140,IF(AND($R140&lt;&gt;"",EDATE($D140,Milestones!$AA$139)&gt;=$R140),$U140,$T140)))=Milestones!$AB$139),TEXT(EDATE($D140,Milestones!$AA$139),"dd/mm/yy")&amp;" "&amp;Milestones!$AB$139&amp;" "&amp;Milestones!$AC$139&amp;";  ",""))</f>
        <v/>
      </c>
      <c r="N140" s="0" t="str">
        <f aca="false">IF(OR($A140="",$D140=""),"",IF(AND(EDATE($D140,Milestones!$AA$140)&lt;=AsOfDate,IF($Q140=0,$W140,IF(AND($S140&lt;&gt;"",EDATE($D140,Milestones!$AA$140)&gt;=$S140),$V140,IF(AND($R140&lt;&gt;"",EDATE($D140,Milestones!$AA$140)&gt;=$R140),$U140,$T140)))=Milestones!$AB$140),TEXT(EDATE($D140,Milestones!$AA$140),"dd/mm/yy")&amp;" "&amp;Milestones!$AB$140&amp;" "&amp;Milestones!$AC$140&amp;";  ","")&amp;IF(AND(EDATE($D140,Milestones!$AA$141)&lt;=AsOfDate,IF($Q140=0,$W140,IF(AND($S140&lt;&gt;"",EDATE($D140,Milestones!$AA$141)&gt;=$S140),$V140,IF(AND($R140&lt;&gt;"",EDATE($D140,Milestones!$AA$141)&gt;=$R140),$U140,$T140)))=Milestones!$AB$141),TEXT(EDATE($D140,Milestones!$AA$141),"dd/mm/yy")&amp;" "&amp;Milestones!$AB$141&amp;" "&amp;Milestones!$AC$141&amp;";  ","")&amp;IF(AND(EDATE($D140,Milestones!$AA$142)&lt;=AsOfDate,IF($Q140=0,$W140,IF(AND($S140&lt;&gt;"",EDATE($D140,Milestones!$AA$142)&gt;=$S140),$V140,IF(AND($R140&lt;&gt;"",EDATE($D140,Milestones!$AA$142)&gt;=$R140),$U140,$T140)))=Milestones!$AB$142),TEXT(EDATE($D140,Milestones!$AA$142),"dd/mm/yy")&amp;" "&amp;Milestones!$AB$142&amp;" "&amp;Milestones!$AC$142&amp;";  ","")&amp;IF(AND(EDATE($D140,Milestones!$AA$143)&lt;=AsOfDate,IF($Q140=0,$W140,IF(AND($S140&lt;&gt;"",EDATE($D140,Milestones!$AA$143)&gt;=$S140),$V140,IF(AND($R140&lt;&gt;"",EDATE($D140,Milestones!$AA$143)&gt;=$R140),$U140,$T140)))=Milestones!$AB$143),TEXT(EDATE($D140,Milestones!$AA$143),"dd/mm/yy")&amp;" "&amp;Milestones!$AB$143&amp;" "&amp;Milestones!$AC$143&amp;";  ","")&amp;IF(AND(EDATE($D140,Milestones!$AA$144)&lt;=AsOfDate,IF($Q140=0,$W140,IF(AND($S140&lt;&gt;"",EDATE($D140,Milestones!$AA$144)&gt;=$S140),$V140,IF(AND($R140&lt;&gt;"",EDATE($D140,Milestones!$AA$144)&gt;=$R140),$U140,$T140)))=Milestones!$AB$144),TEXT(EDATE($D140,Milestones!$AA$144),"dd/mm/yy")&amp;" "&amp;Milestones!$AB$144&amp;" "&amp;Milestones!$AC$144&amp;";  ","")&amp;IF(AND(EDATE($D140,Milestones!$AA$145)&lt;=AsOfDate,IF($Q140=0,$W140,IF(AND($S140&lt;&gt;"",EDATE($D140,Milestones!$AA$145)&gt;=$S140),$V140,IF(AND($R140&lt;&gt;"",EDATE($D140,Milestones!$AA$145)&gt;=$R140),$U140,$T140)))=Milestones!$AB$145),TEXT(EDATE($D140,Milestones!$AA$145),"dd/mm/yy")&amp;" "&amp;Milestones!$AB$145&amp;" "&amp;Milestones!$AC$145&amp;";  ","")&amp;IF(AND(EDATE($D140,Milestones!$AA$146)&lt;=AsOfDate,IF($Q140=0,$W140,IF(AND($S140&lt;&gt;"",EDATE($D140,Milestones!$AA$146)&gt;=$S140),$V140,IF(AND($R140&lt;&gt;"",EDATE($D140,Milestones!$AA$146)&gt;=$R140),$U140,$T140)))=Milestones!$AB$146),TEXT(EDATE($D140,Milestones!$AA$146),"dd/mm/yy")&amp;" "&amp;Milestones!$AB$146&amp;" "&amp;Milestones!$AC$146&amp;";  ","")&amp;IF(AND(EDATE($D140,Milestones!$AA$147)&lt;=AsOfDate,IF($Q140=0,$W140,IF(AND($S140&lt;&gt;"",EDATE($D140,Milestones!$AA$147)&gt;=$S140),$V140,IF(AND($R140&lt;&gt;"",EDATE($D140,Milestones!$AA$147)&gt;=$R140),$U140,$T140)))=Milestones!$AB$147),TEXT(EDATE($D140,Milestones!$AA$147),"dd/mm/yy")&amp;" "&amp;Milestones!$AB$147&amp;" "&amp;Milestones!$AC$147&amp;";  ","")&amp;IF(AND(EDATE($D140,Milestones!$AA$148)&lt;=AsOfDate,IF($Q140=0,$W140,IF(AND($S140&lt;&gt;"",EDATE($D140,Milestones!$AA$148)&gt;=$S140),$V140,IF(AND($R140&lt;&gt;"",EDATE($D140,Milestones!$AA$148)&gt;=$R140),$U140,$T140)))=Milestones!$AB$148),TEXT(EDATE($D140,Milestones!$AA$148),"dd/mm/yy")&amp;" "&amp;Milestones!$AB$148&amp;" "&amp;Milestones!$AC$148&amp;";  ","")&amp;IF(AND(EDATE($D140,Milestones!$AA$149)&lt;=AsOfDate,IF($Q140=0,$W140,IF(AND($S140&lt;&gt;"",EDATE($D140,Milestones!$AA$149)&gt;=$S140),$V140,IF(AND($R140&lt;&gt;"",EDATE($D140,Milestones!$AA$149)&gt;=$R140),$U140,$T140)))=Milestones!$AB$149),TEXT(EDATE($D140,Milestones!$AA$149),"dd/mm/yy")&amp;" "&amp;Milestones!$AB$149&amp;" "&amp;Milestones!$AC$149&amp;";  ","")&amp;IF(AND(EDATE($D140,Milestones!$AA$150)&lt;=AsOfDate,IF($Q140=0,$W140,IF(AND($S140&lt;&gt;"",EDATE($D140,Milestones!$AA$150)&gt;=$S140),$V140,IF(AND($R140&lt;&gt;"",EDATE($D140,Milestones!$AA$150)&gt;=$R140),$U140,$T140)))=Milestones!$AB$150),TEXT(EDATE($D140,Milestones!$AA$150),"dd/mm/yy")&amp;" "&amp;Milestones!$AB$150&amp;" "&amp;Milestones!$AC$150&amp;";  ","")&amp;IF(AND(EDATE($D140,Milestones!$AA$151)&lt;=AsOfDate,IF($Q140=0,$W140,IF(AND($S140&lt;&gt;"",EDATE($D140,Milestones!$AA$151)&gt;=$S140),$V140,IF(AND($R140&lt;&gt;"",EDATE($D140,Milestones!$AA$151)&gt;=$R140),$U140,$T140)))=Milestones!$AB$151),TEXT(EDATE($D140,Milestones!$AA$151),"dd/mm/yy")&amp;" "&amp;Milestones!$AB$151&amp;" "&amp;Milestones!$AC$151&amp;";  ","")&amp;IF(AND(EDATE($D140,Milestones!$AA$152)&lt;=AsOfDate,IF($Q140=0,$W140,IF(AND($S140&lt;&gt;"",EDATE($D140,Milestones!$AA$152)&gt;=$S140),$V140,IF(AND($R140&lt;&gt;"",EDATE($D140,Milestones!$AA$152)&gt;=$R140),$U140,$T140)))=Milestones!$AB$152),TEXT(EDATE($D140,Milestones!$AA$152),"dd/mm/yy")&amp;" "&amp;Milestones!$AB$152&amp;" "&amp;Milestones!$AC$152&amp;";  ","")&amp;IF(AND(EDATE($D140,Milestones!$AA$153)&lt;=AsOfDate,IF($Q140=0,$W140,IF(AND($S140&lt;&gt;"",EDATE($D140,Milestones!$AA$153)&gt;=$S140),$V140,IF(AND($R140&lt;&gt;"",EDATE($D140,Milestones!$AA$153)&gt;=$R140),$U140,$T140)))=Milestones!$AB$153),TEXT(EDATE($D140,Milestones!$AA$153),"dd/mm/yy")&amp;" "&amp;Milestones!$AB$153&amp;" "&amp;Milestones!$AC$153&amp;";  ","")&amp;IF(AND(EDATE($D140,Milestones!$AA$154)&lt;=AsOfDate,IF($Q140=0,$W140,IF(AND($S140&lt;&gt;"",EDATE($D140,Milestones!$AA$154)&gt;=$S140),$V140,IF(AND($R140&lt;&gt;"",EDATE($D140,Milestones!$AA$154)&gt;=$R140),$U140,$T140)))=Milestones!$AB$154),TEXT(EDATE($D140,Milestones!$AA$154),"dd/mm/yy")&amp;" "&amp;Milestones!$AB$154&amp;" "&amp;Milestones!$AC$154&amp;";  ","")&amp;IF(AND(EDATE($D140,Milestones!$AA$155)&lt;=AsOfDate,IF($Q140=0,$W140,IF(AND($S140&lt;&gt;"",EDATE($D140,Milestones!$AA$155)&gt;=$S140),$V140,IF(AND($R140&lt;&gt;"",EDATE($D140,Milestones!$AA$155)&gt;=$R140),$U140,$T140)))=Milestones!$AB$155),TEXT(EDATE($D140,Milestones!$AA$155),"dd/mm/yy")&amp;" "&amp;Milestones!$AB$155&amp;" "&amp;Milestones!$AC$155&amp;";  ","")&amp;IF(AND(EDATE($D140,Milestones!$AA$156)&lt;=AsOfDate,IF($Q140=0,$W140,IF(AND($S140&lt;&gt;"",EDATE($D140,Milestones!$AA$156)&gt;=$S140),$V140,IF(AND($R140&lt;&gt;"",EDATE($D140,Milestones!$AA$156)&gt;=$R140),$U140,$T140)))=Milestones!$AB$156),TEXT(EDATE($D140,Milestones!$AA$156),"dd/mm/yy")&amp;" "&amp;Milestones!$AB$156&amp;" "&amp;Milestones!$AC$156&amp;";  ","")&amp;IF(AND(EDATE($D140,Milestones!$AA$157)&lt;=AsOfDate,IF($Q140=0,$W140,IF(AND($S140&lt;&gt;"",EDATE($D140,Milestones!$AA$157)&gt;=$S140),$V140,IF(AND($R140&lt;&gt;"",EDATE($D140,Milestones!$AA$157)&gt;=$R140),$U140,$T140)))=Milestones!$AB$157),TEXT(EDATE($D140,Milestones!$AA$157),"dd/mm/yy")&amp;" "&amp;Milestones!$AB$157&amp;" "&amp;Milestones!$AC$157&amp;";  ","")&amp;IF(AND(EDATE($D140,Milestones!$AA$158)&lt;=AsOfDate,IF($Q140=0,$W140,IF(AND($S140&lt;&gt;"",EDATE($D140,Milestones!$AA$158)&gt;=$S140),$V140,IF(AND($R140&lt;&gt;"",EDATE($D140,Milestones!$AA$158)&gt;=$R140),$U140,$T140)))=Milestones!$AB$158),TEXT(EDATE($D140,Milestones!$AA$158),"dd/mm/yy")&amp;" "&amp;Milestones!$AB$158&amp;" "&amp;Milestones!$AC$158&amp;";  ","")&amp;IF(AND(EDATE($D140,Milestones!$AA$159)&lt;=AsOfDate,IF($Q140=0,$W140,IF(AND($S140&lt;&gt;"",EDATE($D140,Milestones!$AA$159)&gt;=$S140),$V140,IF(AND($R140&lt;&gt;"",EDATE($D140,Milestones!$AA$159)&gt;=$R140),$U140,$T140)))=Milestones!$AB$159),TEXT(EDATE($D140,Milestones!$AA$159),"dd/mm/yy")&amp;" "&amp;Milestones!$AB$159&amp;" "&amp;Milestones!$AC$159&amp;";  ",""))</f>
        <v/>
      </c>
      <c r="O140" s="0" t="str">
        <f aca="false">IF(OR($A140="",$D140=""),"",IF(AND(EDATE($D140,Milestones!$AA$160)&lt;=AsOfDate,IF($Q140=0,$W140,IF(AND($S140&lt;&gt;"",EDATE($D140,Milestones!$AA$160)&gt;=$S140),$V140,IF(AND($R140&lt;&gt;"",EDATE($D140,Milestones!$AA$160)&gt;=$R140),$U140,$T140)))=Milestones!$AB$160),TEXT(EDATE($D140,Milestones!$AA$160),"dd/mm/yy")&amp;" "&amp;Milestones!$AB$160&amp;" "&amp;Milestones!$AC$160&amp;";  ","")&amp;IF(AND(EDATE($D140,Milestones!$AA$161)&lt;=AsOfDate,IF($Q140=0,$W140,IF(AND($S140&lt;&gt;"",EDATE($D140,Milestones!$AA$161)&gt;=$S140),$V140,IF(AND($R140&lt;&gt;"",EDATE($D140,Milestones!$AA$161)&gt;=$R140),$U140,$T140)))=Milestones!$AB$161),TEXT(EDATE($D140,Milestones!$AA$161),"dd/mm/yy")&amp;" "&amp;Milestones!$AB$161&amp;" "&amp;Milestones!$AC$161&amp;";  ","")&amp;IF(AND(EDATE($D140,Milestones!$AA$162)&lt;=AsOfDate,IF($Q140=0,$W140,IF(AND($S140&lt;&gt;"",EDATE($D140,Milestones!$AA$162)&gt;=$S140),$V140,IF(AND($R140&lt;&gt;"",EDATE($D140,Milestones!$AA$162)&gt;=$R140),$U140,$T140)))=Milestones!$AB$162),TEXT(EDATE($D140,Milestones!$AA$162),"dd/mm/yy")&amp;" "&amp;Milestones!$AB$162&amp;" "&amp;Milestones!$AC$162&amp;";  ","")&amp;IF(AND(EDATE($D140,Milestones!$AA$163)&lt;=AsOfDate,IF($Q140=0,$W140,IF(AND($S140&lt;&gt;"",EDATE($D140,Milestones!$AA$163)&gt;=$S140),$V140,IF(AND($R140&lt;&gt;"",EDATE($D140,Milestones!$AA$163)&gt;=$R140),$U140,$T140)))=Milestones!$AB$163),TEXT(EDATE($D140,Milestones!$AA$163),"dd/mm/yy")&amp;" "&amp;Milestones!$AB$163&amp;" "&amp;Milestones!$AC$163&amp;";  ","")&amp;IF(AND(EDATE($D140,Milestones!$AA$164)&lt;=AsOfDate,IF($Q140=0,$W140,IF(AND($S140&lt;&gt;"",EDATE($D140,Milestones!$AA$164)&gt;=$S140),$V140,IF(AND($R140&lt;&gt;"",EDATE($D140,Milestones!$AA$164)&gt;=$R140),$U140,$T140)))=Milestones!$AB$164),TEXT(EDATE($D140,Milestones!$AA$164),"dd/mm/yy")&amp;" "&amp;Milestones!$AB$164&amp;" "&amp;Milestones!$AC$164&amp;";  ","")&amp;IF(AND(EDATE($D140,Milestones!$AA$165)&lt;=AsOfDate,IF($Q140=0,$W140,IF(AND($S140&lt;&gt;"",EDATE($D140,Milestones!$AA$165)&gt;=$S140),$V140,IF(AND($R140&lt;&gt;"",EDATE($D140,Milestones!$AA$165)&gt;=$R140),$U140,$T140)))=Milestones!$AB$165),TEXT(EDATE($D140,Milestones!$AA$165),"dd/mm/yy")&amp;" "&amp;Milestones!$AB$165&amp;" "&amp;Milestones!$AC$165&amp;";  ","")&amp;IF(AND(EDATE($D140,Milestones!$AA$166)&lt;=AsOfDate,IF($Q140=0,$W140,IF(AND($S140&lt;&gt;"",EDATE($D140,Milestones!$AA$166)&gt;=$S140),$V140,IF(AND($R140&lt;&gt;"",EDATE($D140,Milestones!$AA$166)&gt;=$R140),$U140,$T140)))=Milestones!$AB$166),TEXT(EDATE($D140,Milestones!$AA$166),"dd/mm/yy")&amp;" "&amp;Milestones!$AB$166&amp;" "&amp;Milestones!$AC$166&amp;";  ","")&amp;IF(AND(EDATE($D140,Milestones!$AA$167)&lt;=AsOfDate,IF($Q140=0,$W140,IF(AND($S140&lt;&gt;"",EDATE($D140,Milestones!$AA$167)&gt;=$S140),$V140,IF(AND($R140&lt;&gt;"",EDATE($D140,Milestones!$AA$167)&gt;=$R140),$U140,$T140)))=Milestones!$AB$167),TEXT(EDATE($D140,Milestones!$AA$167),"dd/mm/yy")&amp;" "&amp;Milestones!$AB$167&amp;" "&amp;Milestones!$AC$167&amp;";  ","")&amp;IF(AND(EDATE($D140,Milestones!$AA$168)&lt;=AsOfDate,IF($Q140=0,$W140,IF(AND($S140&lt;&gt;"",EDATE($D140,Milestones!$AA$168)&gt;=$S140),$V140,IF(AND($R140&lt;&gt;"",EDATE($D140,Milestones!$AA$168)&gt;=$R140),$U140,$T140)))=Milestones!$AB$168),TEXT(EDATE($D140,Milestones!$AA$168),"dd/mm/yy")&amp;" "&amp;Milestones!$AB$168&amp;" "&amp;Milestones!$AC$168&amp;";  ","")&amp;IF(AND(EDATE($D140,Milestones!$AA$169)&lt;=AsOfDate,IF($Q140=0,$W140,IF(AND($S140&lt;&gt;"",EDATE($D140,Milestones!$AA$169)&gt;=$S140),$V140,IF(AND($R140&lt;&gt;"",EDATE($D140,Milestones!$AA$169)&gt;=$R140),$U140,$T140)))=Milestones!$AB$169),TEXT(EDATE($D140,Milestones!$AA$169),"dd/mm/yy")&amp;" "&amp;Milestones!$AB$169&amp;" "&amp;Milestones!$AC$169&amp;";  ","")&amp;IF(AND(EDATE($D140,Milestones!$AA$170)&lt;=AsOfDate,IF($Q140=0,$W140,IF(AND($S140&lt;&gt;"",EDATE($D140,Milestones!$AA$170)&gt;=$S140),$V140,IF(AND($R140&lt;&gt;"",EDATE($D140,Milestones!$AA$170)&gt;=$R140),$U140,$T140)))=Milestones!$AB$170),TEXT(EDATE($D140,Milestones!$AA$170),"dd/mm/yy")&amp;" "&amp;Milestones!$AB$170&amp;" "&amp;Milestones!$AC$170&amp;";  ","")&amp;IF(AND(EDATE($D140,Milestones!$AA$171)&lt;=AsOfDate,IF($Q140=0,$W140,IF(AND($S140&lt;&gt;"",EDATE($D140,Milestones!$AA$171)&gt;=$S140),$V140,IF(AND($R140&lt;&gt;"",EDATE($D140,Milestones!$AA$171)&gt;=$R140),$U140,$T140)))=Milestones!$AB$171),TEXT(EDATE($D140,Milestones!$AA$171),"dd/mm/yy")&amp;" "&amp;Milestones!$AB$171&amp;" "&amp;Milestones!$AC$171&amp;";  ","")&amp;IF(AND(EDATE($D140,Milestones!$AA$172)&lt;=AsOfDate,IF($Q140=0,$W140,IF(AND($S140&lt;&gt;"",EDATE($D140,Milestones!$AA$172)&gt;=$S140),$V140,IF(AND($R140&lt;&gt;"",EDATE($D140,Milestones!$AA$172)&gt;=$R140),$U140,$T140)))=Milestones!$AB$172),TEXT(EDATE($D140,Milestones!$AA$172),"dd/mm/yy")&amp;" "&amp;Milestones!$AB$172&amp;" "&amp;Milestones!$AC$172&amp;";  ","")&amp;IF(AND(EDATE($D140,Milestones!$AA$173)&lt;=AsOfDate,IF($Q140=0,$W140,IF(AND($S140&lt;&gt;"",EDATE($D140,Milestones!$AA$173)&gt;=$S140),$V140,IF(AND($R140&lt;&gt;"",EDATE($D140,Milestones!$AA$173)&gt;=$R140),$U140,$T140)))=Milestones!$AB$173),TEXT(EDATE($D140,Milestones!$AA$173),"dd/mm/yy")&amp;" "&amp;Milestones!$AB$173&amp;" "&amp;Milestones!$AC$173&amp;";  ","")&amp;IF(AND(EDATE($D140,Milestones!$AA$174)&lt;=AsOfDate,IF($Q140=0,$W140,IF(AND($S140&lt;&gt;"",EDATE($D140,Milestones!$AA$174)&gt;=$S140),$V140,IF(AND($R140&lt;&gt;"",EDATE($D140,Milestones!$AA$174)&gt;=$R140),$U140,$T140)))=Milestones!$AB$174),TEXT(EDATE($D140,Milestones!$AA$174),"dd/mm/yy")&amp;" "&amp;Milestones!$AB$174&amp;" "&amp;Milestones!$AC$174&amp;";  ","")&amp;IF(AND(EDATE($D140,Milestones!$AA$175)&lt;=AsOfDate,IF($Q140=0,$W140,IF(AND($S140&lt;&gt;"",EDATE($D140,Milestones!$AA$175)&gt;=$S140),$V140,IF(AND($R140&lt;&gt;"",EDATE($D140,Milestones!$AA$175)&gt;=$R140),$U140,$T140)))=Milestones!$AB$175),TEXT(EDATE($D140,Milestones!$AA$175),"dd/mm/yy")&amp;" "&amp;Milestones!$AB$175&amp;" "&amp;Milestones!$AC$175&amp;";  ","")&amp;IF(AND(EDATE($D140,Milestones!$AA$176)&lt;=AsOfDate,IF($Q140=0,$W140,IF(AND($S140&lt;&gt;"",EDATE($D140,Milestones!$AA$176)&gt;=$S140),$V140,IF(AND($R140&lt;&gt;"",EDATE($D140,Milestones!$AA$176)&gt;=$R140),$U140,$T140)))=Milestones!$AB$176),TEXT(EDATE($D140,Milestones!$AA$176),"dd/mm/yy")&amp;" "&amp;Milestones!$AB$176&amp;" "&amp;Milestones!$AC$176&amp;";  ","")&amp;IF(AND(EDATE($D140,Milestones!$AA$177)&lt;=AsOfDate,IF($Q140=0,$W140,IF(AND($S140&lt;&gt;"",EDATE($D140,Milestones!$AA$177)&gt;=$S140),$V140,IF(AND($R140&lt;&gt;"",EDATE($D140,Milestones!$AA$177)&gt;=$R140),$U140,$T140)))=Milestones!$AB$177),TEXT(EDATE($D140,Milestones!$AA$177),"dd/mm/yy")&amp;" "&amp;Milestones!$AB$177&amp;" "&amp;Milestones!$AC$177&amp;";  ","")&amp;IF(AND(EDATE($D140,Milestones!$AA$178)&lt;=AsOfDate,IF($Q140=0,$W140,IF(AND($S140&lt;&gt;"",EDATE($D140,Milestones!$AA$178)&gt;=$S140),$V140,IF(AND($R140&lt;&gt;"",EDATE($D140,Milestones!$AA$178)&gt;=$R140),$U140,$T140)))=Milestones!$AB$178),TEXT(EDATE($D140,Milestones!$AA$178),"dd/mm/yy")&amp;" "&amp;Milestones!$AB$178&amp;" "&amp;Milestones!$AC$178&amp;";  ","")&amp;IF(AND(EDATE($D140,Milestones!$AA$179)&lt;=AsOfDate,IF($Q140=0,$W140,IF(AND($S140&lt;&gt;"",EDATE($D140,Milestones!$AA$179)&gt;=$S140),$V140,IF(AND($R140&lt;&gt;"",EDATE($D140,Milestones!$AA$179)&gt;=$R140),$U140,$T140)))=Milestones!$AB$179),TEXT(EDATE($D140,Milestones!$AA$179),"dd/mm/yy")&amp;" "&amp;Milestones!$AB$179&amp;" "&amp;Milestones!$AC$179&amp;";  ",""))</f>
        <v/>
      </c>
      <c r="P140" s="0" t="str">
        <f aca="false">IF(OR($A140="",$D140=""),"",IF(AND(EDATE($D140,Milestones!$AA$180)&lt;=AsOfDate,IF($Q140=0,$W140,IF(AND($S140&lt;&gt;"",EDATE($D140,Milestones!$AA$180)&gt;=$S140),$V140,IF(AND($R140&lt;&gt;"",EDATE($D140,Milestones!$AA$180)&gt;=$R140),$U140,$T140)))=Milestones!$AB$180),TEXT(EDATE($D140,Milestones!$AA$180),"dd/mm/yy")&amp;" "&amp;Milestones!$AB$180&amp;" "&amp;Milestones!$AC$180&amp;";  ","")&amp;IF(AND(EDATE($D140,Milestones!$AA$181)&lt;=AsOfDate,IF($Q140=0,$W140,IF(AND($S140&lt;&gt;"",EDATE($D140,Milestones!$AA$181)&gt;=$S140),$V140,IF(AND($R140&lt;&gt;"",EDATE($D140,Milestones!$AA$181)&gt;=$R140),$U140,$T140)))=Milestones!$AB$181),TEXT(EDATE($D140,Milestones!$AA$181),"dd/mm/yy")&amp;" "&amp;Milestones!$AB$181&amp;" "&amp;Milestones!$AC$181&amp;";  ","")&amp;IF(AND(EDATE($D140,Milestones!$AA$182)&lt;=AsOfDate,IF($Q140=0,$W140,IF(AND($S140&lt;&gt;"",EDATE($D140,Milestones!$AA$182)&gt;=$S140),$V140,IF(AND($R140&lt;&gt;"",EDATE($D140,Milestones!$AA$182)&gt;=$R140),$U140,$T140)))=Milestones!$AB$182),TEXT(EDATE($D140,Milestones!$AA$182),"dd/mm/yy")&amp;" "&amp;Milestones!$AB$182&amp;" "&amp;Milestones!$AC$182&amp;";  ","")&amp;IF(AND(EDATE($D140,Milestones!$AA$183)&lt;=AsOfDate,IF($Q140=0,$W140,IF(AND($S140&lt;&gt;"",EDATE($D140,Milestones!$AA$183)&gt;=$S140),$V140,IF(AND($R140&lt;&gt;"",EDATE($D140,Milestones!$AA$183)&gt;=$R140),$U140,$T140)))=Milestones!$AB$183),TEXT(EDATE($D140,Milestones!$AA$183),"dd/mm/yy")&amp;" "&amp;Milestones!$AB$183&amp;" "&amp;Milestones!$AC$183&amp;";  ","")&amp;IF(AND(EDATE($D140,Milestones!$AA$184)&lt;=AsOfDate,IF($Q140=0,$W140,IF(AND($S140&lt;&gt;"",EDATE($D140,Milestones!$AA$184)&gt;=$S140),$V140,IF(AND($R140&lt;&gt;"",EDATE($D140,Milestones!$AA$184)&gt;=$R140),$U140,$T140)))=Milestones!$AB$184),TEXT(EDATE($D140,Milestones!$AA$184),"dd/mm/yy")&amp;" "&amp;Milestones!$AB$184&amp;" "&amp;Milestones!$AC$184&amp;";  ","")&amp;IF(AND(EDATE($D140,Milestones!$AA$185)&lt;=AsOfDate,IF($Q140=0,$W140,IF(AND($S140&lt;&gt;"",EDATE($D140,Milestones!$AA$185)&gt;=$S140),$V140,IF(AND($R140&lt;&gt;"",EDATE($D140,Milestones!$AA$185)&gt;=$R140),$U140,$T140)))=Milestones!$AB$185),TEXT(EDATE($D140,Milestones!$AA$185),"dd/mm/yy")&amp;" "&amp;Milestones!$AB$185&amp;" "&amp;Milestones!$AC$185&amp;";  ","")&amp;IF(AND(EDATE($D140,Milestones!$AA$186)&lt;=AsOfDate,IF($Q140=0,$W140,IF(AND($S140&lt;&gt;"",EDATE($D140,Milestones!$AA$186)&gt;=$S140),$V140,IF(AND($R140&lt;&gt;"",EDATE($D140,Milestones!$AA$186)&gt;=$R140),$U140,$T140)))=Milestones!$AB$186),TEXT(EDATE($D140,Milestones!$AA$186),"dd/mm/yy")&amp;" "&amp;Milestones!$AB$186&amp;" "&amp;Milestones!$AC$186&amp;";  ","")&amp;IF(AND(EDATE($D140,Milestones!$AA$187)&lt;=AsOfDate,IF($Q140=0,$W140,IF(AND($S140&lt;&gt;"",EDATE($D140,Milestones!$AA$187)&gt;=$S140),$V140,IF(AND($R140&lt;&gt;"",EDATE($D140,Milestones!$AA$187)&gt;=$R140),$U140,$T140)))=Milestones!$AB$187),TEXT(EDATE($D140,Milestones!$AA$187),"dd/mm/yy")&amp;" "&amp;Milestones!$AB$187&amp;" "&amp;Milestones!$AC$187&amp;";  ","")&amp;IF(AND(EDATE($D140,Milestones!$AA$188)&lt;=AsOfDate,IF($Q140=0,$W140,IF(AND($S140&lt;&gt;"",EDATE($D140,Milestones!$AA$188)&gt;=$S140),$V140,IF(AND($R140&lt;&gt;"",EDATE($D140,Milestones!$AA$188)&gt;=$R140),$U140,$T140)))=Milestones!$AB$188),TEXT(EDATE($D140,Milestones!$AA$188),"dd/mm/yy")&amp;" "&amp;Milestones!$AB$188&amp;" "&amp;Milestones!$AC$188&amp;";  ","")&amp;IF(AND(EDATE($D140,Milestones!$AA$189)&lt;=AsOfDate,IF($Q140=0,$W140,IF(AND($S140&lt;&gt;"",EDATE($D140,Milestones!$AA$189)&gt;=$S140),$V140,IF(AND($R140&lt;&gt;"",EDATE($D140,Milestones!$AA$189)&gt;=$R140),$U140,$T140)))=Milestones!$AB$189),TEXT(EDATE($D140,Milestones!$AA$189),"dd/mm/yy")&amp;" "&amp;Milestones!$AB$189&amp;" "&amp;Milestones!$AC$189&amp;";  ","")&amp;IF(AND(EDATE($D140,Milestones!$AA$190)&lt;=AsOfDate,IF($Q140=0,$W140,IF(AND($S140&lt;&gt;"",EDATE($D140,Milestones!$AA$190)&gt;=$S140),$V140,IF(AND($R140&lt;&gt;"",EDATE($D140,Milestones!$AA$190)&gt;=$R140),$U140,$T140)))=Milestones!$AB$190),TEXT(EDATE($D140,Milestones!$AA$190),"dd/mm/yy")&amp;" "&amp;Milestones!$AB$190&amp;" "&amp;Milestones!$AC$190&amp;";  ","")&amp;IF(AND(EDATE($D140,Milestones!$AA$191)&lt;=AsOfDate,IF($Q140=0,$W140,IF(AND($S140&lt;&gt;"",EDATE($D140,Milestones!$AA$191)&gt;=$S140),$V140,IF(AND($R140&lt;&gt;"",EDATE($D140,Milestones!$AA$191)&gt;=$R140),$U140,$T140)))=Milestones!$AB$191),TEXT(EDATE($D140,Milestones!$AA$191),"dd/mm/yy")&amp;" "&amp;Milestones!$AB$191&amp;" "&amp;Milestones!$AC$191&amp;";  ","")&amp;IF(AND(EDATE($D140,Milestones!$AA$192)&lt;=AsOfDate,IF($Q140=0,$W140,IF(AND($S140&lt;&gt;"",EDATE($D140,Milestones!$AA$192)&gt;=$S140),$V140,IF(AND($R140&lt;&gt;"",EDATE($D140,Milestones!$AA$192)&gt;=$R140),$U140,$T140)))=Milestones!$AB$192),TEXT(EDATE($D140,Milestones!$AA$192),"dd/mm/yy")&amp;" "&amp;Milestones!$AB$192&amp;" "&amp;Milestones!$AC$192&amp;";  ","")&amp;IF(AND(EDATE($D140,Milestones!$AA$193)&lt;=AsOfDate,IF($Q140=0,$W140,IF(AND($S140&lt;&gt;"",EDATE($D140,Milestones!$AA$193)&gt;=$S140),$V140,IF(AND($R140&lt;&gt;"",EDATE($D140,Milestones!$AA$193)&gt;=$R140),$U140,$T140)))=Milestones!$AB$193),TEXT(EDATE($D140,Milestones!$AA$193),"dd/mm/yy")&amp;" "&amp;Milestones!$AB$193&amp;" "&amp;Milestones!$AC$193&amp;";  ","")&amp;IF(AND(EDATE($D140,Milestones!$AA$194)&lt;=AsOfDate,IF($Q140=0,$W140,IF(AND($S140&lt;&gt;"",EDATE($D140,Milestones!$AA$194)&gt;=$S140),$V140,IF(AND($R140&lt;&gt;"",EDATE($D140,Milestones!$AA$194)&gt;=$R140),$U140,$T140)))=Milestones!$AB$194),TEXT(EDATE($D140,Milestones!$AA$194),"dd/mm/yy")&amp;" "&amp;Milestones!$AB$194&amp;" "&amp;Milestones!$AC$194&amp;";  ","")&amp;IF(AND(EDATE($D140,Milestones!$AA$195)&lt;=AsOfDate,IF($Q140=0,$W140,IF(AND($S140&lt;&gt;"",EDATE($D140,Milestones!$AA$195)&gt;=$S140),$V140,IF(AND($R140&lt;&gt;"",EDATE($D140,Milestones!$AA$195)&gt;=$R140),$U140,$T140)))=Milestones!$AB$195),TEXT(EDATE($D140,Milestones!$AA$195),"dd/mm/yy")&amp;" "&amp;Milestones!$AB$195&amp;" "&amp;Milestones!$AC$195&amp;";  ","")&amp;IF(AND(EDATE($D140,Milestones!$AA$196)&lt;=AsOfDate,IF($Q140=0,$W140,IF(AND($S140&lt;&gt;"",EDATE($D140,Milestones!$AA$196)&gt;=$S140),$V140,IF(AND($R140&lt;&gt;"",EDATE($D140,Milestones!$AA$196)&gt;=$R140),$U140,$T140)))=Milestones!$AB$196),TEXT(EDATE($D140,Milestones!$AA$196),"dd/mm/yy")&amp;" "&amp;Milestones!$AB$196&amp;" "&amp;Milestones!$AC$196&amp;";  ","")&amp;IF(AND(EDATE($D140,Milestones!$AA$197)&lt;=AsOfDate,IF($Q140=0,$W140,IF(AND($S140&lt;&gt;"",EDATE($D140,Milestones!$AA$197)&gt;=$S140),$V140,IF(AND($R140&lt;&gt;"",EDATE($D140,Milestones!$AA$197)&gt;=$R140),$U140,$T140)))=Milestones!$AB$197),TEXT(EDATE($D140,Milestones!$AA$197),"dd/mm/yy")&amp;" "&amp;Milestones!$AB$197&amp;" "&amp;Milestones!$AC$197&amp;";  ","")&amp;IF(AND(EDATE($D140,Milestones!$AA$198)&lt;=AsOfDate,IF($Q140=0,$W140,IF(AND($S140&lt;&gt;"",EDATE($D140,Milestones!$AA$198)&gt;=$S140),$V140,IF(AND($R140&lt;&gt;"",EDATE($D140,Milestones!$AA$198)&gt;=$R140),$U140,$T140)))=Milestones!$AB$198),TEXT(EDATE($D140,Milestones!$AA$198),"dd/mm/yy")&amp;" "&amp;Milestones!$AB$198&amp;" "&amp;Milestones!$AC$198&amp;";  ","")&amp;IF(AND(EDATE($D140,Milestones!$AA$199)&lt;=AsOfDate,IF($Q140=0,$W140,IF(AND($S140&lt;&gt;"",EDATE($D140,Milestones!$AA$199)&gt;=$S140),$V140,IF(AND($R140&lt;&gt;"",EDATE($D140,Milestones!$AA$199)&gt;=$R140),$U140,$T140)))=Milestones!$AB$199),TEXT(EDATE($D140,Milestones!$AA$199),"dd/mm/yy")&amp;" "&amp;Milestones!$AB$199&amp;" "&amp;Milestones!$AC$199&amp;";  ",""))</f>
        <v/>
      </c>
      <c r="Q140" s="0" t="str">
        <f aca="false">IF(Staff!$A140="","",Staff!$AG140)</f>
        <v/>
      </c>
      <c r="R140" s="0" t="str">
        <f aca="false">IF(Staff!$A140="","",Staff!$AI140)</f>
        <v/>
      </c>
      <c r="S140" s="0" t="str">
        <f aca="false">IF(Staff!$A140="","",Staff!$AJ140)</f>
        <v/>
      </c>
      <c r="T140" s="0" t="str">
        <f aca="false">IF(Staff!$A140="","",Staff!$AN140)</f>
        <v/>
      </c>
      <c r="U140" s="0" t="str">
        <f aca="false">IF(Staff!$A140="","",Staff!$AO140)</f>
        <v/>
      </c>
      <c r="V140" s="0" t="str">
        <f aca="false">IF(Staff!$A140="","",Staff!$AP140)</f>
        <v/>
      </c>
      <c r="W140" s="0" t="str">
        <f aca="false">IF(Staff!$A140="","",Staff!$AQ140)</f>
        <v/>
      </c>
    </row>
    <row r="141" customFormat="false" ht="15" hidden="false" customHeight="false" outlineLevel="0" collapsed="false">
      <c r="A141" s="13" t="str">
        <f aca="false">IF(Staff!$A141="","",Staff!$A141)</f>
        <v/>
      </c>
      <c r="B141" s="13" t="str">
        <f aca="false">IF(Staff!$A141="","",Staff!$B141)</f>
        <v/>
      </c>
      <c r="C141" s="13" t="str">
        <f aca="false">IF(Staff!$A141="","",Staff!$C141)</f>
        <v/>
      </c>
      <c r="D141" s="11" t="str">
        <f aca="false">IF(Staff!$A141="","",Staff!$AF141)</f>
        <v/>
      </c>
      <c r="E141" s="13" t="str">
        <f aca="false">IF(Staff!$A141="","",Staff!$O141)</f>
        <v/>
      </c>
      <c r="F141" s="13" t="str">
        <f aca="false">IF(E141="","",E141*HoursPerDay)</f>
        <v/>
      </c>
      <c r="G141" s="26" t="str">
        <f aca="false">IF($A141="","",H141&amp;I141&amp;J141&amp;K141&amp;L141&amp;M141&amp;N141&amp;O141&amp;P141)</f>
        <v/>
      </c>
      <c r="H141" s="0" t="str">
        <f aca="false">IF(OR($A141="",$D141=""),"",IF(AND(EDATE($D141,Milestones!$AA$20)&lt;=AsOfDate,IF($Q141=0,$W141,IF(AND($S141&lt;&gt;"",EDATE($D141,Milestones!$AA$20)&gt;=$S141),$V141,IF(AND($R141&lt;&gt;"",EDATE($D141,Milestones!$AA$20)&gt;=$R141),$U141,$T141)))=Milestones!$AB$20),TEXT(EDATE($D141,Milestones!$AA$20),"dd/mm/yy")&amp;" "&amp;Milestones!$AB$20&amp;" "&amp;Milestones!$AC$20&amp;";  ","")&amp;IF(AND(EDATE($D141,Milestones!$AA$21)&lt;=AsOfDate,IF($Q141=0,$W141,IF(AND($S141&lt;&gt;"",EDATE($D141,Milestones!$AA$21)&gt;=$S141),$V141,IF(AND($R141&lt;&gt;"",EDATE($D141,Milestones!$AA$21)&gt;=$R141),$U141,$T141)))=Milestones!$AB$21),TEXT(EDATE($D141,Milestones!$AA$21),"dd/mm/yy")&amp;" "&amp;Milestones!$AB$21&amp;" "&amp;Milestones!$AC$21&amp;";  ","")&amp;IF(AND(EDATE($D141,Milestones!$AA$22)&lt;=AsOfDate,IF($Q141=0,$W141,IF(AND($S141&lt;&gt;"",EDATE($D141,Milestones!$AA$22)&gt;=$S141),$V141,IF(AND($R141&lt;&gt;"",EDATE($D141,Milestones!$AA$22)&gt;=$R141),$U141,$T141)))=Milestones!$AB$22),TEXT(EDATE($D141,Milestones!$AA$22),"dd/mm/yy")&amp;" "&amp;Milestones!$AB$22&amp;" "&amp;Milestones!$AC$22&amp;";  ","")&amp;IF(AND(EDATE($D141,Milestones!$AA$23)&lt;=AsOfDate,IF($Q141=0,$W141,IF(AND($S141&lt;&gt;"",EDATE($D141,Milestones!$AA$23)&gt;=$S141),$V141,IF(AND($R141&lt;&gt;"",EDATE($D141,Milestones!$AA$23)&gt;=$R141),$U141,$T141)))=Milestones!$AB$23),TEXT(EDATE($D141,Milestones!$AA$23),"dd/mm/yy")&amp;" "&amp;Milestones!$AB$23&amp;" "&amp;Milestones!$AC$23&amp;";  ","")&amp;IF(AND(EDATE($D141,Milestones!$AA$24)&lt;=AsOfDate,IF($Q141=0,$W141,IF(AND($S141&lt;&gt;"",EDATE($D141,Milestones!$AA$24)&gt;=$S141),$V141,IF(AND($R141&lt;&gt;"",EDATE($D141,Milestones!$AA$24)&gt;=$R141),$U141,$T141)))=Milestones!$AB$24),TEXT(EDATE($D141,Milestones!$AA$24),"dd/mm/yy")&amp;" "&amp;Milestones!$AB$24&amp;" "&amp;Milestones!$AC$24&amp;";  ","")&amp;IF(AND(EDATE($D141,Milestones!$AA$25)&lt;=AsOfDate,IF($Q141=0,$W141,IF(AND($S141&lt;&gt;"",EDATE($D141,Milestones!$AA$25)&gt;=$S141),$V141,IF(AND($R141&lt;&gt;"",EDATE($D141,Milestones!$AA$25)&gt;=$R141),$U141,$T141)))=Milestones!$AB$25),TEXT(EDATE($D141,Milestones!$AA$25),"dd/mm/yy")&amp;" "&amp;Milestones!$AB$25&amp;" "&amp;Milestones!$AC$25&amp;";  ","")&amp;IF(AND(EDATE($D141,Milestones!$AA$26)&lt;=AsOfDate,IF($Q141=0,$W141,IF(AND($S141&lt;&gt;"",EDATE($D141,Milestones!$AA$26)&gt;=$S141),$V141,IF(AND($R141&lt;&gt;"",EDATE($D141,Milestones!$AA$26)&gt;=$R141),$U141,$T141)))=Milestones!$AB$26),TEXT(EDATE($D141,Milestones!$AA$26),"dd/mm/yy")&amp;" "&amp;Milestones!$AB$26&amp;" "&amp;Milestones!$AC$26&amp;";  ","")&amp;IF(AND(EDATE($D141,Milestones!$AA$27)&lt;=AsOfDate,IF($Q141=0,$W141,IF(AND($S141&lt;&gt;"",EDATE($D141,Milestones!$AA$27)&gt;=$S141),$V141,IF(AND($R141&lt;&gt;"",EDATE($D141,Milestones!$AA$27)&gt;=$R141),$U141,$T141)))=Milestones!$AB$27),TEXT(EDATE($D141,Milestones!$AA$27),"dd/mm/yy")&amp;" "&amp;Milestones!$AB$27&amp;" "&amp;Milestones!$AC$27&amp;";  ","")&amp;IF(AND(EDATE($D141,Milestones!$AA$28)&lt;=AsOfDate,IF($Q141=0,$W141,IF(AND($S141&lt;&gt;"",EDATE($D141,Milestones!$AA$28)&gt;=$S141),$V141,IF(AND($R141&lt;&gt;"",EDATE($D141,Milestones!$AA$28)&gt;=$R141),$U141,$T141)))=Milestones!$AB$28),TEXT(EDATE($D141,Milestones!$AA$28),"dd/mm/yy")&amp;" "&amp;Milestones!$AB$28&amp;" "&amp;Milestones!$AC$28&amp;";  ","")&amp;IF(AND(EDATE($D141,Milestones!$AA$29)&lt;=AsOfDate,IF($Q141=0,$W141,IF(AND($S141&lt;&gt;"",EDATE($D141,Milestones!$AA$29)&gt;=$S141),$V141,IF(AND($R141&lt;&gt;"",EDATE($D141,Milestones!$AA$29)&gt;=$R141),$U141,$T141)))=Milestones!$AB$29),TEXT(EDATE($D141,Milestones!$AA$29),"dd/mm/yy")&amp;" "&amp;Milestones!$AB$29&amp;" "&amp;Milestones!$AC$29&amp;";  ","")&amp;IF(AND(EDATE($D141,Milestones!$AA$30)&lt;=AsOfDate,IF($Q141=0,$W141,IF(AND($S141&lt;&gt;"",EDATE($D141,Milestones!$AA$30)&gt;=$S141),$V141,IF(AND($R141&lt;&gt;"",EDATE($D141,Milestones!$AA$30)&gt;=$R141),$U141,$T141)))=Milestones!$AB$30),TEXT(EDATE($D141,Milestones!$AA$30),"dd/mm/yy")&amp;" "&amp;Milestones!$AB$30&amp;" "&amp;Milestones!$AC$30&amp;";  ","")&amp;IF(AND(EDATE($D141,Milestones!$AA$31)&lt;=AsOfDate,IF($Q141=0,$W141,IF(AND($S141&lt;&gt;"",EDATE($D141,Milestones!$AA$31)&gt;=$S141),$V141,IF(AND($R141&lt;&gt;"",EDATE($D141,Milestones!$AA$31)&gt;=$R141),$U141,$T141)))=Milestones!$AB$31),TEXT(EDATE($D141,Milestones!$AA$31),"dd/mm/yy")&amp;" "&amp;Milestones!$AB$31&amp;" "&amp;Milestones!$AC$31&amp;";  ","")&amp;IF(AND(EDATE($D141,Milestones!$AA$32)&lt;=AsOfDate,IF($Q141=0,$W141,IF(AND($S141&lt;&gt;"",EDATE($D141,Milestones!$AA$32)&gt;=$S141),$V141,IF(AND($R141&lt;&gt;"",EDATE($D141,Milestones!$AA$32)&gt;=$R141),$U141,$T141)))=Milestones!$AB$32),TEXT(EDATE($D141,Milestones!$AA$32),"dd/mm/yy")&amp;" "&amp;Milestones!$AB$32&amp;" "&amp;Milestones!$AC$32&amp;";  ","")&amp;IF(AND(EDATE($D141,Milestones!$AA$33)&lt;=AsOfDate,IF($Q141=0,$W141,IF(AND($S141&lt;&gt;"",EDATE($D141,Milestones!$AA$33)&gt;=$S141),$V141,IF(AND($R141&lt;&gt;"",EDATE($D141,Milestones!$AA$33)&gt;=$R141),$U141,$T141)))=Milestones!$AB$33),TEXT(EDATE($D141,Milestones!$AA$33),"dd/mm/yy")&amp;" "&amp;Milestones!$AB$33&amp;" "&amp;Milestones!$AC$33&amp;";  ","")&amp;IF(AND(EDATE($D141,Milestones!$AA$34)&lt;=AsOfDate,IF($Q141=0,$W141,IF(AND($S141&lt;&gt;"",EDATE($D141,Milestones!$AA$34)&gt;=$S141),$V141,IF(AND($R141&lt;&gt;"",EDATE($D141,Milestones!$AA$34)&gt;=$R141),$U141,$T141)))=Milestones!$AB$34),TEXT(EDATE($D141,Milestones!$AA$34),"dd/mm/yy")&amp;" "&amp;Milestones!$AB$34&amp;" "&amp;Milestones!$AC$34&amp;";  ","")&amp;IF(AND(EDATE($D141,Milestones!$AA$35)&lt;=AsOfDate,IF($Q141=0,$W141,IF(AND($S141&lt;&gt;"",EDATE($D141,Milestones!$AA$35)&gt;=$S141),$V141,IF(AND($R141&lt;&gt;"",EDATE($D141,Milestones!$AA$35)&gt;=$R141),$U141,$T141)))=Milestones!$AB$35),TEXT(EDATE($D141,Milestones!$AA$35),"dd/mm/yy")&amp;" "&amp;Milestones!$AB$35&amp;" "&amp;Milestones!$AC$35&amp;";  ","")&amp;IF(AND(EDATE($D141,Milestones!$AA$36)&lt;=AsOfDate,IF($Q141=0,$W141,IF(AND($S141&lt;&gt;"",EDATE($D141,Milestones!$AA$36)&gt;=$S141),$V141,IF(AND($R141&lt;&gt;"",EDATE($D141,Milestones!$AA$36)&gt;=$R141),$U141,$T141)))=Milestones!$AB$36),TEXT(EDATE($D141,Milestones!$AA$36),"dd/mm/yy")&amp;" "&amp;Milestones!$AB$36&amp;" "&amp;Milestones!$AC$36&amp;";  ","")&amp;IF(AND(EDATE($D141,Milestones!$AA$37)&lt;=AsOfDate,IF($Q141=0,$W141,IF(AND($S141&lt;&gt;"",EDATE($D141,Milestones!$AA$37)&gt;=$S141),$V141,IF(AND($R141&lt;&gt;"",EDATE($D141,Milestones!$AA$37)&gt;=$R141),$U141,$T141)))=Milestones!$AB$37),TEXT(EDATE($D141,Milestones!$AA$37),"dd/mm/yy")&amp;" "&amp;Milestones!$AB$37&amp;" "&amp;Milestones!$AC$37&amp;";  ","")&amp;IF(AND(EDATE($D141,Milestones!$AA$38)&lt;=AsOfDate,IF($Q141=0,$W141,IF(AND($S141&lt;&gt;"",EDATE($D141,Milestones!$AA$38)&gt;=$S141),$V141,IF(AND($R141&lt;&gt;"",EDATE($D141,Milestones!$AA$38)&gt;=$R141),$U141,$T141)))=Milestones!$AB$38),TEXT(EDATE($D141,Milestones!$AA$38),"dd/mm/yy")&amp;" "&amp;Milestones!$AB$38&amp;" "&amp;Milestones!$AC$38&amp;";  ","")&amp;IF(AND(EDATE($D141,Milestones!$AA$39)&lt;=AsOfDate,IF($Q141=0,$W141,IF(AND($S141&lt;&gt;"",EDATE($D141,Milestones!$AA$39)&gt;=$S141),$V141,IF(AND($R141&lt;&gt;"",EDATE($D141,Milestones!$AA$39)&gt;=$R141),$U141,$T141)))=Milestones!$AB$39),TEXT(EDATE($D141,Milestones!$AA$39),"dd/mm/yy")&amp;" "&amp;Milestones!$AB$39&amp;" "&amp;Milestones!$AC$39&amp;";  ",""))</f>
        <v/>
      </c>
      <c r="I141" s="0" t="str">
        <f aca="false">IF(OR($A141="",$D141=""),"",IF(AND(EDATE($D141,Milestones!$AA$40)&lt;=AsOfDate,IF($Q141=0,$W141,IF(AND($S141&lt;&gt;"",EDATE($D141,Milestones!$AA$40)&gt;=$S141),$V141,IF(AND($R141&lt;&gt;"",EDATE($D141,Milestones!$AA$40)&gt;=$R141),$U141,$T141)))=Milestones!$AB$40),TEXT(EDATE($D141,Milestones!$AA$40),"dd/mm/yy")&amp;" "&amp;Milestones!$AB$40&amp;" "&amp;Milestones!$AC$40&amp;";  ","")&amp;IF(AND(EDATE($D141,Milestones!$AA$41)&lt;=AsOfDate,IF($Q141=0,$W141,IF(AND($S141&lt;&gt;"",EDATE($D141,Milestones!$AA$41)&gt;=$S141),$V141,IF(AND($R141&lt;&gt;"",EDATE($D141,Milestones!$AA$41)&gt;=$R141),$U141,$T141)))=Milestones!$AB$41),TEXT(EDATE($D141,Milestones!$AA$41),"dd/mm/yy")&amp;" "&amp;Milestones!$AB$41&amp;" "&amp;Milestones!$AC$41&amp;";  ","")&amp;IF(AND(EDATE($D141,Milestones!$AA$42)&lt;=AsOfDate,IF($Q141=0,$W141,IF(AND($S141&lt;&gt;"",EDATE($D141,Milestones!$AA$42)&gt;=$S141),$V141,IF(AND($R141&lt;&gt;"",EDATE($D141,Milestones!$AA$42)&gt;=$R141),$U141,$T141)))=Milestones!$AB$42),TEXT(EDATE($D141,Milestones!$AA$42),"dd/mm/yy")&amp;" "&amp;Milestones!$AB$42&amp;" "&amp;Milestones!$AC$42&amp;";  ","")&amp;IF(AND(EDATE($D141,Milestones!$AA$43)&lt;=AsOfDate,IF($Q141=0,$W141,IF(AND($S141&lt;&gt;"",EDATE($D141,Milestones!$AA$43)&gt;=$S141),$V141,IF(AND($R141&lt;&gt;"",EDATE($D141,Milestones!$AA$43)&gt;=$R141),$U141,$T141)))=Milestones!$AB$43),TEXT(EDATE($D141,Milestones!$AA$43),"dd/mm/yy")&amp;" "&amp;Milestones!$AB$43&amp;" "&amp;Milestones!$AC$43&amp;";  ","")&amp;IF(AND(EDATE($D141,Milestones!$AA$44)&lt;=AsOfDate,IF($Q141=0,$W141,IF(AND($S141&lt;&gt;"",EDATE($D141,Milestones!$AA$44)&gt;=$S141),$V141,IF(AND($R141&lt;&gt;"",EDATE($D141,Milestones!$AA$44)&gt;=$R141),$U141,$T141)))=Milestones!$AB$44),TEXT(EDATE($D141,Milestones!$AA$44),"dd/mm/yy")&amp;" "&amp;Milestones!$AB$44&amp;" "&amp;Milestones!$AC$44&amp;";  ","")&amp;IF(AND(EDATE($D141,Milestones!$AA$45)&lt;=AsOfDate,IF($Q141=0,$W141,IF(AND($S141&lt;&gt;"",EDATE($D141,Milestones!$AA$45)&gt;=$S141),$V141,IF(AND($R141&lt;&gt;"",EDATE($D141,Milestones!$AA$45)&gt;=$R141),$U141,$T141)))=Milestones!$AB$45),TEXT(EDATE($D141,Milestones!$AA$45),"dd/mm/yy")&amp;" "&amp;Milestones!$AB$45&amp;" "&amp;Milestones!$AC$45&amp;";  ","")&amp;IF(AND(EDATE($D141,Milestones!$AA$46)&lt;=AsOfDate,IF($Q141=0,$W141,IF(AND($S141&lt;&gt;"",EDATE($D141,Milestones!$AA$46)&gt;=$S141),$V141,IF(AND($R141&lt;&gt;"",EDATE($D141,Milestones!$AA$46)&gt;=$R141),$U141,$T141)))=Milestones!$AB$46),TEXT(EDATE($D141,Milestones!$AA$46),"dd/mm/yy")&amp;" "&amp;Milestones!$AB$46&amp;" "&amp;Milestones!$AC$46&amp;";  ","")&amp;IF(AND(EDATE($D141,Milestones!$AA$47)&lt;=AsOfDate,IF($Q141=0,$W141,IF(AND($S141&lt;&gt;"",EDATE($D141,Milestones!$AA$47)&gt;=$S141),$V141,IF(AND($R141&lt;&gt;"",EDATE($D141,Milestones!$AA$47)&gt;=$R141),$U141,$T141)))=Milestones!$AB$47),TEXT(EDATE($D141,Milestones!$AA$47),"dd/mm/yy")&amp;" "&amp;Milestones!$AB$47&amp;" "&amp;Milestones!$AC$47&amp;";  ","")&amp;IF(AND(EDATE($D141,Milestones!$AA$48)&lt;=AsOfDate,IF($Q141=0,$W141,IF(AND($S141&lt;&gt;"",EDATE($D141,Milestones!$AA$48)&gt;=$S141),$V141,IF(AND($R141&lt;&gt;"",EDATE($D141,Milestones!$AA$48)&gt;=$R141),$U141,$T141)))=Milestones!$AB$48),TEXT(EDATE($D141,Milestones!$AA$48),"dd/mm/yy")&amp;" "&amp;Milestones!$AB$48&amp;" "&amp;Milestones!$AC$48&amp;";  ","")&amp;IF(AND(EDATE($D141,Milestones!$AA$49)&lt;=AsOfDate,IF($Q141=0,$W141,IF(AND($S141&lt;&gt;"",EDATE($D141,Milestones!$AA$49)&gt;=$S141),$V141,IF(AND($R141&lt;&gt;"",EDATE($D141,Milestones!$AA$49)&gt;=$R141),$U141,$T141)))=Milestones!$AB$49),TEXT(EDATE($D141,Milestones!$AA$49),"dd/mm/yy")&amp;" "&amp;Milestones!$AB$49&amp;" "&amp;Milestones!$AC$49&amp;";  ","")&amp;IF(AND(EDATE($D141,Milestones!$AA$50)&lt;=AsOfDate,IF($Q141=0,$W141,IF(AND($S141&lt;&gt;"",EDATE($D141,Milestones!$AA$50)&gt;=$S141),$V141,IF(AND($R141&lt;&gt;"",EDATE($D141,Milestones!$AA$50)&gt;=$R141),$U141,$T141)))=Milestones!$AB$50),TEXT(EDATE($D141,Milestones!$AA$50),"dd/mm/yy")&amp;" "&amp;Milestones!$AB$50&amp;" "&amp;Milestones!$AC$50&amp;";  ","")&amp;IF(AND(EDATE($D141,Milestones!$AA$51)&lt;=AsOfDate,IF($Q141=0,$W141,IF(AND($S141&lt;&gt;"",EDATE($D141,Milestones!$AA$51)&gt;=$S141),$V141,IF(AND($R141&lt;&gt;"",EDATE($D141,Milestones!$AA$51)&gt;=$R141),$U141,$T141)))=Milestones!$AB$51),TEXT(EDATE($D141,Milestones!$AA$51),"dd/mm/yy")&amp;" "&amp;Milestones!$AB$51&amp;" "&amp;Milestones!$AC$51&amp;";  ","")&amp;IF(AND(EDATE($D141,Milestones!$AA$52)&lt;=AsOfDate,IF($Q141=0,$W141,IF(AND($S141&lt;&gt;"",EDATE($D141,Milestones!$AA$52)&gt;=$S141),$V141,IF(AND($R141&lt;&gt;"",EDATE($D141,Milestones!$AA$52)&gt;=$R141),$U141,$T141)))=Milestones!$AB$52),TEXT(EDATE($D141,Milestones!$AA$52),"dd/mm/yy")&amp;" "&amp;Milestones!$AB$52&amp;" "&amp;Milestones!$AC$52&amp;";  ","")&amp;IF(AND(EDATE($D141,Milestones!$AA$53)&lt;=AsOfDate,IF($Q141=0,$W141,IF(AND($S141&lt;&gt;"",EDATE($D141,Milestones!$AA$53)&gt;=$S141),$V141,IF(AND($R141&lt;&gt;"",EDATE($D141,Milestones!$AA$53)&gt;=$R141),$U141,$T141)))=Milestones!$AB$53),TEXT(EDATE($D141,Milestones!$AA$53),"dd/mm/yy")&amp;" "&amp;Milestones!$AB$53&amp;" "&amp;Milestones!$AC$53&amp;";  ","")&amp;IF(AND(EDATE($D141,Milestones!$AA$54)&lt;=AsOfDate,IF($Q141=0,$W141,IF(AND($S141&lt;&gt;"",EDATE($D141,Milestones!$AA$54)&gt;=$S141),$V141,IF(AND($R141&lt;&gt;"",EDATE($D141,Milestones!$AA$54)&gt;=$R141),$U141,$T141)))=Milestones!$AB$54),TEXT(EDATE($D141,Milestones!$AA$54),"dd/mm/yy")&amp;" "&amp;Milestones!$AB$54&amp;" "&amp;Milestones!$AC$54&amp;";  ","")&amp;IF(AND(EDATE($D141,Milestones!$AA$55)&lt;=AsOfDate,IF($Q141=0,$W141,IF(AND($S141&lt;&gt;"",EDATE($D141,Milestones!$AA$55)&gt;=$S141),$V141,IF(AND($R141&lt;&gt;"",EDATE($D141,Milestones!$AA$55)&gt;=$R141),$U141,$T141)))=Milestones!$AB$55),TEXT(EDATE($D141,Milestones!$AA$55),"dd/mm/yy")&amp;" "&amp;Milestones!$AB$55&amp;" "&amp;Milestones!$AC$55&amp;";  ","")&amp;IF(AND(EDATE($D141,Milestones!$AA$56)&lt;=AsOfDate,IF($Q141=0,$W141,IF(AND($S141&lt;&gt;"",EDATE($D141,Milestones!$AA$56)&gt;=$S141),$V141,IF(AND($R141&lt;&gt;"",EDATE($D141,Milestones!$AA$56)&gt;=$R141),$U141,$T141)))=Milestones!$AB$56),TEXT(EDATE($D141,Milestones!$AA$56),"dd/mm/yy")&amp;" "&amp;Milestones!$AB$56&amp;" "&amp;Milestones!$AC$56&amp;";  ","")&amp;IF(AND(EDATE($D141,Milestones!$AA$57)&lt;=AsOfDate,IF($Q141=0,$W141,IF(AND($S141&lt;&gt;"",EDATE($D141,Milestones!$AA$57)&gt;=$S141),$V141,IF(AND($R141&lt;&gt;"",EDATE($D141,Milestones!$AA$57)&gt;=$R141),$U141,$T141)))=Milestones!$AB$57),TEXT(EDATE($D141,Milestones!$AA$57),"dd/mm/yy")&amp;" "&amp;Milestones!$AB$57&amp;" "&amp;Milestones!$AC$57&amp;";  ","")&amp;IF(AND(EDATE($D141,Milestones!$AA$58)&lt;=AsOfDate,IF($Q141=0,$W141,IF(AND($S141&lt;&gt;"",EDATE($D141,Milestones!$AA$58)&gt;=$S141),$V141,IF(AND($R141&lt;&gt;"",EDATE($D141,Milestones!$AA$58)&gt;=$R141),$U141,$T141)))=Milestones!$AB$58),TEXT(EDATE($D141,Milestones!$AA$58),"dd/mm/yy")&amp;" "&amp;Milestones!$AB$58&amp;" "&amp;Milestones!$AC$58&amp;";  ","")&amp;IF(AND(EDATE($D141,Milestones!$AA$59)&lt;=AsOfDate,IF($Q141=0,$W141,IF(AND($S141&lt;&gt;"",EDATE($D141,Milestones!$AA$59)&gt;=$S141),$V141,IF(AND($R141&lt;&gt;"",EDATE($D141,Milestones!$AA$59)&gt;=$R141),$U141,$T141)))=Milestones!$AB$59),TEXT(EDATE($D141,Milestones!$AA$59),"dd/mm/yy")&amp;" "&amp;Milestones!$AB$59&amp;" "&amp;Milestones!$AC$59&amp;";  ",""))</f>
        <v/>
      </c>
      <c r="J141" s="0" t="str">
        <f aca="false">IF(OR($A141="",$D141=""),"",IF(AND(EDATE($D141,Milestones!$AA$60)&lt;=AsOfDate,IF($Q141=0,$W141,IF(AND($S141&lt;&gt;"",EDATE($D141,Milestones!$AA$60)&gt;=$S141),$V141,IF(AND($R141&lt;&gt;"",EDATE($D141,Milestones!$AA$60)&gt;=$R141),$U141,$T141)))=Milestones!$AB$60),TEXT(EDATE($D141,Milestones!$AA$60),"dd/mm/yy")&amp;" "&amp;Milestones!$AB$60&amp;" "&amp;Milestones!$AC$60&amp;";  ","")&amp;IF(AND(EDATE($D141,Milestones!$AA$61)&lt;=AsOfDate,IF($Q141=0,$W141,IF(AND($S141&lt;&gt;"",EDATE($D141,Milestones!$AA$61)&gt;=$S141),$V141,IF(AND($R141&lt;&gt;"",EDATE($D141,Milestones!$AA$61)&gt;=$R141),$U141,$T141)))=Milestones!$AB$61),TEXT(EDATE($D141,Milestones!$AA$61),"dd/mm/yy")&amp;" "&amp;Milestones!$AB$61&amp;" "&amp;Milestones!$AC$61&amp;";  ","")&amp;IF(AND(EDATE($D141,Milestones!$AA$62)&lt;=AsOfDate,IF($Q141=0,$W141,IF(AND($S141&lt;&gt;"",EDATE($D141,Milestones!$AA$62)&gt;=$S141),$V141,IF(AND($R141&lt;&gt;"",EDATE($D141,Milestones!$AA$62)&gt;=$R141),$U141,$T141)))=Milestones!$AB$62),TEXT(EDATE($D141,Milestones!$AA$62),"dd/mm/yy")&amp;" "&amp;Milestones!$AB$62&amp;" "&amp;Milestones!$AC$62&amp;";  ","")&amp;IF(AND(EDATE($D141,Milestones!$AA$63)&lt;=AsOfDate,IF($Q141=0,$W141,IF(AND($S141&lt;&gt;"",EDATE($D141,Milestones!$AA$63)&gt;=$S141),$V141,IF(AND($R141&lt;&gt;"",EDATE($D141,Milestones!$AA$63)&gt;=$R141),$U141,$T141)))=Milestones!$AB$63),TEXT(EDATE($D141,Milestones!$AA$63),"dd/mm/yy")&amp;" "&amp;Milestones!$AB$63&amp;" "&amp;Milestones!$AC$63&amp;";  ","")&amp;IF(AND(EDATE($D141,Milestones!$AA$64)&lt;=AsOfDate,IF($Q141=0,$W141,IF(AND($S141&lt;&gt;"",EDATE($D141,Milestones!$AA$64)&gt;=$S141),$V141,IF(AND($R141&lt;&gt;"",EDATE($D141,Milestones!$AA$64)&gt;=$R141),$U141,$T141)))=Milestones!$AB$64),TEXT(EDATE($D141,Milestones!$AA$64),"dd/mm/yy")&amp;" "&amp;Milestones!$AB$64&amp;" "&amp;Milestones!$AC$64&amp;";  ","")&amp;IF(AND(EDATE($D141,Milestones!$AA$65)&lt;=AsOfDate,IF($Q141=0,$W141,IF(AND($S141&lt;&gt;"",EDATE($D141,Milestones!$AA$65)&gt;=$S141),$V141,IF(AND($R141&lt;&gt;"",EDATE($D141,Milestones!$AA$65)&gt;=$R141),$U141,$T141)))=Milestones!$AB$65),TEXT(EDATE($D141,Milestones!$AA$65),"dd/mm/yy")&amp;" "&amp;Milestones!$AB$65&amp;" "&amp;Milestones!$AC$65&amp;";  ","")&amp;IF(AND(EDATE($D141,Milestones!$AA$66)&lt;=AsOfDate,IF($Q141=0,$W141,IF(AND($S141&lt;&gt;"",EDATE($D141,Milestones!$AA$66)&gt;=$S141),$V141,IF(AND($R141&lt;&gt;"",EDATE($D141,Milestones!$AA$66)&gt;=$R141),$U141,$T141)))=Milestones!$AB$66),TEXT(EDATE($D141,Milestones!$AA$66),"dd/mm/yy")&amp;" "&amp;Milestones!$AB$66&amp;" "&amp;Milestones!$AC$66&amp;";  ","")&amp;IF(AND(EDATE($D141,Milestones!$AA$67)&lt;=AsOfDate,IF($Q141=0,$W141,IF(AND($S141&lt;&gt;"",EDATE($D141,Milestones!$AA$67)&gt;=$S141),$V141,IF(AND($R141&lt;&gt;"",EDATE($D141,Milestones!$AA$67)&gt;=$R141),$U141,$T141)))=Milestones!$AB$67),TEXT(EDATE($D141,Milestones!$AA$67),"dd/mm/yy")&amp;" "&amp;Milestones!$AB$67&amp;" "&amp;Milestones!$AC$67&amp;";  ","")&amp;IF(AND(EDATE($D141,Milestones!$AA$68)&lt;=AsOfDate,IF($Q141=0,$W141,IF(AND($S141&lt;&gt;"",EDATE($D141,Milestones!$AA$68)&gt;=$S141),$V141,IF(AND($R141&lt;&gt;"",EDATE($D141,Milestones!$AA$68)&gt;=$R141),$U141,$T141)))=Milestones!$AB$68),TEXT(EDATE($D141,Milestones!$AA$68),"dd/mm/yy")&amp;" "&amp;Milestones!$AB$68&amp;" "&amp;Milestones!$AC$68&amp;";  ","")&amp;IF(AND(EDATE($D141,Milestones!$AA$69)&lt;=AsOfDate,IF($Q141=0,$W141,IF(AND($S141&lt;&gt;"",EDATE($D141,Milestones!$AA$69)&gt;=$S141),$V141,IF(AND($R141&lt;&gt;"",EDATE($D141,Milestones!$AA$69)&gt;=$R141),$U141,$T141)))=Milestones!$AB$69),TEXT(EDATE($D141,Milestones!$AA$69),"dd/mm/yy")&amp;" "&amp;Milestones!$AB$69&amp;" "&amp;Milestones!$AC$69&amp;";  ","")&amp;IF(AND(EDATE($D141,Milestones!$AA$70)&lt;=AsOfDate,IF($Q141=0,$W141,IF(AND($S141&lt;&gt;"",EDATE($D141,Milestones!$AA$70)&gt;=$S141),$V141,IF(AND($R141&lt;&gt;"",EDATE($D141,Milestones!$AA$70)&gt;=$R141),$U141,$T141)))=Milestones!$AB$70),TEXT(EDATE($D141,Milestones!$AA$70),"dd/mm/yy")&amp;" "&amp;Milestones!$AB$70&amp;" "&amp;Milestones!$AC$70&amp;";  ","")&amp;IF(AND(EDATE($D141,Milestones!$AA$71)&lt;=AsOfDate,IF($Q141=0,$W141,IF(AND($S141&lt;&gt;"",EDATE($D141,Milestones!$AA$71)&gt;=$S141),$V141,IF(AND($R141&lt;&gt;"",EDATE($D141,Milestones!$AA$71)&gt;=$R141),$U141,$T141)))=Milestones!$AB$71),TEXT(EDATE($D141,Milestones!$AA$71),"dd/mm/yy")&amp;" "&amp;Milestones!$AB$71&amp;" "&amp;Milestones!$AC$71&amp;";  ","")&amp;IF(AND(EDATE($D141,Milestones!$AA$72)&lt;=AsOfDate,IF($Q141=0,$W141,IF(AND($S141&lt;&gt;"",EDATE($D141,Milestones!$AA$72)&gt;=$S141),$V141,IF(AND($R141&lt;&gt;"",EDATE($D141,Milestones!$AA$72)&gt;=$R141),$U141,$T141)))=Milestones!$AB$72),TEXT(EDATE($D141,Milestones!$AA$72),"dd/mm/yy")&amp;" "&amp;Milestones!$AB$72&amp;" "&amp;Milestones!$AC$72&amp;";  ","")&amp;IF(AND(EDATE($D141,Milestones!$AA$73)&lt;=AsOfDate,IF($Q141=0,$W141,IF(AND($S141&lt;&gt;"",EDATE($D141,Milestones!$AA$73)&gt;=$S141),$V141,IF(AND($R141&lt;&gt;"",EDATE($D141,Milestones!$AA$73)&gt;=$R141),$U141,$T141)))=Milestones!$AB$73),TEXT(EDATE($D141,Milestones!$AA$73),"dd/mm/yy")&amp;" "&amp;Milestones!$AB$73&amp;" "&amp;Milestones!$AC$73&amp;";  ","")&amp;IF(AND(EDATE($D141,Milestones!$AA$74)&lt;=AsOfDate,IF($Q141=0,$W141,IF(AND($S141&lt;&gt;"",EDATE($D141,Milestones!$AA$74)&gt;=$S141),$V141,IF(AND($R141&lt;&gt;"",EDATE($D141,Milestones!$AA$74)&gt;=$R141),$U141,$T141)))=Milestones!$AB$74),TEXT(EDATE($D141,Milestones!$AA$74),"dd/mm/yy")&amp;" "&amp;Milestones!$AB$74&amp;" "&amp;Milestones!$AC$74&amp;";  ","")&amp;IF(AND(EDATE($D141,Milestones!$AA$75)&lt;=AsOfDate,IF($Q141=0,$W141,IF(AND($S141&lt;&gt;"",EDATE($D141,Milestones!$AA$75)&gt;=$S141),$V141,IF(AND($R141&lt;&gt;"",EDATE($D141,Milestones!$AA$75)&gt;=$R141),$U141,$T141)))=Milestones!$AB$75),TEXT(EDATE($D141,Milestones!$AA$75),"dd/mm/yy")&amp;" "&amp;Milestones!$AB$75&amp;" "&amp;Milestones!$AC$75&amp;";  ","")&amp;IF(AND(EDATE($D141,Milestones!$AA$76)&lt;=AsOfDate,IF($Q141=0,$W141,IF(AND($S141&lt;&gt;"",EDATE($D141,Milestones!$AA$76)&gt;=$S141),$V141,IF(AND($R141&lt;&gt;"",EDATE($D141,Milestones!$AA$76)&gt;=$R141),$U141,$T141)))=Milestones!$AB$76),TEXT(EDATE($D141,Milestones!$AA$76),"dd/mm/yy")&amp;" "&amp;Milestones!$AB$76&amp;" "&amp;Milestones!$AC$76&amp;";  ","")&amp;IF(AND(EDATE($D141,Milestones!$AA$77)&lt;=AsOfDate,IF($Q141=0,$W141,IF(AND($S141&lt;&gt;"",EDATE($D141,Milestones!$AA$77)&gt;=$S141),$V141,IF(AND($R141&lt;&gt;"",EDATE($D141,Milestones!$AA$77)&gt;=$R141),$U141,$T141)))=Milestones!$AB$77),TEXT(EDATE($D141,Milestones!$AA$77),"dd/mm/yy")&amp;" "&amp;Milestones!$AB$77&amp;" "&amp;Milestones!$AC$77&amp;";  ","")&amp;IF(AND(EDATE($D141,Milestones!$AA$78)&lt;=AsOfDate,IF($Q141=0,$W141,IF(AND($S141&lt;&gt;"",EDATE($D141,Milestones!$AA$78)&gt;=$S141),$V141,IF(AND($R141&lt;&gt;"",EDATE($D141,Milestones!$AA$78)&gt;=$R141),$U141,$T141)))=Milestones!$AB$78),TEXT(EDATE($D141,Milestones!$AA$78),"dd/mm/yy")&amp;" "&amp;Milestones!$AB$78&amp;" "&amp;Milestones!$AC$78&amp;";  ","")&amp;IF(AND(EDATE($D141,Milestones!$AA$79)&lt;=AsOfDate,IF($Q141=0,$W141,IF(AND($S141&lt;&gt;"",EDATE($D141,Milestones!$AA$79)&gt;=$S141),$V141,IF(AND($R141&lt;&gt;"",EDATE($D141,Milestones!$AA$79)&gt;=$R141),$U141,$T141)))=Milestones!$AB$79),TEXT(EDATE($D141,Milestones!$AA$79),"dd/mm/yy")&amp;" "&amp;Milestones!$AB$79&amp;" "&amp;Milestones!$AC$79&amp;";  ",""))</f>
        <v/>
      </c>
      <c r="K141" s="0" t="str">
        <f aca="false">IF(OR($A141="",$D141=""),"",IF(AND(EDATE($D141,Milestones!$AA$80)&lt;=AsOfDate,IF($Q141=0,$W141,IF(AND($S141&lt;&gt;"",EDATE($D141,Milestones!$AA$80)&gt;=$S141),$V141,IF(AND($R141&lt;&gt;"",EDATE($D141,Milestones!$AA$80)&gt;=$R141),$U141,$T141)))=Milestones!$AB$80),TEXT(EDATE($D141,Milestones!$AA$80),"dd/mm/yy")&amp;" "&amp;Milestones!$AB$80&amp;" "&amp;Milestones!$AC$80&amp;";  ","")&amp;IF(AND(EDATE($D141,Milestones!$AA$81)&lt;=AsOfDate,IF($Q141=0,$W141,IF(AND($S141&lt;&gt;"",EDATE($D141,Milestones!$AA$81)&gt;=$S141),$V141,IF(AND($R141&lt;&gt;"",EDATE($D141,Milestones!$AA$81)&gt;=$R141),$U141,$T141)))=Milestones!$AB$81),TEXT(EDATE($D141,Milestones!$AA$81),"dd/mm/yy")&amp;" "&amp;Milestones!$AB$81&amp;" "&amp;Milestones!$AC$81&amp;";  ","")&amp;IF(AND(EDATE($D141,Milestones!$AA$82)&lt;=AsOfDate,IF($Q141=0,$W141,IF(AND($S141&lt;&gt;"",EDATE($D141,Milestones!$AA$82)&gt;=$S141),$V141,IF(AND($R141&lt;&gt;"",EDATE($D141,Milestones!$AA$82)&gt;=$R141),$U141,$T141)))=Milestones!$AB$82),TEXT(EDATE($D141,Milestones!$AA$82),"dd/mm/yy")&amp;" "&amp;Milestones!$AB$82&amp;" "&amp;Milestones!$AC$82&amp;";  ","")&amp;IF(AND(EDATE($D141,Milestones!$AA$83)&lt;=AsOfDate,IF($Q141=0,$W141,IF(AND($S141&lt;&gt;"",EDATE($D141,Milestones!$AA$83)&gt;=$S141),$V141,IF(AND($R141&lt;&gt;"",EDATE($D141,Milestones!$AA$83)&gt;=$R141),$U141,$T141)))=Milestones!$AB$83),TEXT(EDATE($D141,Milestones!$AA$83),"dd/mm/yy")&amp;" "&amp;Milestones!$AB$83&amp;" "&amp;Milestones!$AC$83&amp;";  ","")&amp;IF(AND(EDATE($D141,Milestones!$AA$84)&lt;=AsOfDate,IF($Q141=0,$W141,IF(AND($S141&lt;&gt;"",EDATE($D141,Milestones!$AA$84)&gt;=$S141),$V141,IF(AND($R141&lt;&gt;"",EDATE($D141,Milestones!$AA$84)&gt;=$R141),$U141,$T141)))=Milestones!$AB$84),TEXT(EDATE($D141,Milestones!$AA$84),"dd/mm/yy")&amp;" "&amp;Milestones!$AB$84&amp;" "&amp;Milestones!$AC$84&amp;";  ","")&amp;IF(AND(EDATE($D141,Milestones!$AA$85)&lt;=AsOfDate,IF($Q141=0,$W141,IF(AND($S141&lt;&gt;"",EDATE($D141,Milestones!$AA$85)&gt;=$S141),$V141,IF(AND($R141&lt;&gt;"",EDATE($D141,Milestones!$AA$85)&gt;=$R141),$U141,$T141)))=Milestones!$AB$85),TEXT(EDATE($D141,Milestones!$AA$85),"dd/mm/yy")&amp;" "&amp;Milestones!$AB$85&amp;" "&amp;Milestones!$AC$85&amp;";  ","")&amp;IF(AND(EDATE($D141,Milestones!$AA$86)&lt;=AsOfDate,IF($Q141=0,$W141,IF(AND($S141&lt;&gt;"",EDATE($D141,Milestones!$AA$86)&gt;=$S141),$V141,IF(AND($R141&lt;&gt;"",EDATE($D141,Milestones!$AA$86)&gt;=$R141),$U141,$T141)))=Milestones!$AB$86),TEXT(EDATE($D141,Milestones!$AA$86),"dd/mm/yy")&amp;" "&amp;Milestones!$AB$86&amp;" "&amp;Milestones!$AC$86&amp;";  ","")&amp;IF(AND(EDATE($D141,Milestones!$AA$87)&lt;=AsOfDate,IF($Q141=0,$W141,IF(AND($S141&lt;&gt;"",EDATE($D141,Milestones!$AA$87)&gt;=$S141),$V141,IF(AND($R141&lt;&gt;"",EDATE($D141,Milestones!$AA$87)&gt;=$R141),$U141,$T141)))=Milestones!$AB$87),TEXT(EDATE($D141,Milestones!$AA$87),"dd/mm/yy")&amp;" "&amp;Milestones!$AB$87&amp;" "&amp;Milestones!$AC$87&amp;";  ","")&amp;IF(AND(EDATE($D141,Milestones!$AA$88)&lt;=AsOfDate,IF($Q141=0,$W141,IF(AND($S141&lt;&gt;"",EDATE($D141,Milestones!$AA$88)&gt;=$S141),$V141,IF(AND($R141&lt;&gt;"",EDATE($D141,Milestones!$AA$88)&gt;=$R141),$U141,$T141)))=Milestones!$AB$88),TEXT(EDATE($D141,Milestones!$AA$88),"dd/mm/yy")&amp;" "&amp;Milestones!$AB$88&amp;" "&amp;Milestones!$AC$88&amp;";  ","")&amp;IF(AND(EDATE($D141,Milestones!$AA$89)&lt;=AsOfDate,IF($Q141=0,$W141,IF(AND($S141&lt;&gt;"",EDATE($D141,Milestones!$AA$89)&gt;=$S141),$V141,IF(AND($R141&lt;&gt;"",EDATE($D141,Milestones!$AA$89)&gt;=$R141),$U141,$T141)))=Milestones!$AB$89),TEXT(EDATE($D141,Milestones!$AA$89),"dd/mm/yy")&amp;" "&amp;Milestones!$AB$89&amp;" "&amp;Milestones!$AC$89&amp;";  ","")&amp;IF(AND(EDATE($D141,Milestones!$AA$90)&lt;=AsOfDate,IF($Q141=0,$W141,IF(AND($S141&lt;&gt;"",EDATE($D141,Milestones!$AA$90)&gt;=$S141),$V141,IF(AND($R141&lt;&gt;"",EDATE($D141,Milestones!$AA$90)&gt;=$R141),$U141,$T141)))=Milestones!$AB$90),TEXT(EDATE($D141,Milestones!$AA$90),"dd/mm/yy")&amp;" "&amp;Milestones!$AB$90&amp;" "&amp;Milestones!$AC$90&amp;";  ","")&amp;IF(AND(EDATE($D141,Milestones!$AA$91)&lt;=AsOfDate,IF($Q141=0,$W141,IF(AND($S141&lt;&gt;"",EDATE($D141,Milestones!$AA$91)&gt;=$S141),$V141,IF(AND($R141&lt;&gt;"",EDATE($D141,Milestones!$AA$91)&gt;=$R141),$U141,$T141)))=Milestones!$AB$91),TEXT(EDATE($D141,Milestones!$AA$91),"dd/mm/yy")&amp;" "&amp;Milestones!$AB$91&amp;" "&amp;Milestones!$AC$91&amp;";  ","")&amp;IF(AND(EDATE($D141,Milestones!$AA$92)&lt;=AsOfDate,IF($Q141=0,$W141,IF(AND($S141&lt;&gt;"",EDATE($D141,Milestones!$AA$92)&gt;=$S141),$V141,IF(AND($R141&lt;&gt;"",EDATE($D141,Milestones!$AA$92)&gt;=$R141),$U141,$T141)))=Milestones!$AB$92),TEXT(EDATE($D141,Milestones!$AA$92),"dd/mm/yy")&amp;" "&amp;Milestones!$AB$92&amp;" "&amp;Milestones!$AC$92&amp;";  ","")&amp;IF(AND(EDATE($D141,Milestones!$AA$93)&lt;=AsOfDate,IF($Q141=0,$W141,IF(AND($S141&lt;&gt;"",EDATE($D141,Milestones!$AA$93)&gt;=$S141),$V141,IF(AND($R141&lt;&gt;"",EDATE($D141,Milestones!$AA$93)&gt;=$R141),$U141,$T141)))=Milestones!$AB$93),TEXT(EDATE($D141,Milestones!$AA$93),"dd/mm/yy")&amp;" "&amp;Milestones!$AB$93&amp;" "&amp;Milestones!$AC$93&amp;";  ","")&amp;IF(AND(EDATE($D141,Milestones!$AA$94)&lt;=AsOfDate,IF($Q141=0,$W141,IF(AND($S141&lt;&gt;"",EDATE($D141,Milestones!$AA$94)&gt;=$S141),$V141,IF(AND($R141&lt;&gt;"",EDATE($D141,Milestones!$AA$94)&gt;=$R141),$U141,$T141)))=Milestones!$AB$94),TEXT(EDATE($D141,Milestones!$AA$94),"dd/mm/yy")&amp;" "&amp;Milestones!$AB$94&amp;" "&amp;Milestones!$AC$94&amp;";  ","")&amp;IF(AND(EDATE($D141,Milestones!$AA$95)&lt;=AsOfDate,IF($Q141=0,$W141,IF(AND($S141&lt;&gt;"",EDATE($D141,Milestones!$AA$95)&gt;=$S141),$V141,IF(AND($R141&lt;&gt;"",EDATE($D141,Milestones!$AA$95)&gt;=$R141),$U141,$T141)))=Milestones!$AB$95),TEXT(EDATE($D141,Milestones!$AA$95),"dd/mm/yy")&amp;" "&amp;Milestones!$AB$95&amp;" "&amp;Milestones!$AC$95&amp;";  ","")&amp;IF(AND(EDATE($D141,Milestones!$AA$96)&lt;=AsOfDate,IF($Q141=0,$W141,IF(AND($S141&lt;&gt;"",EDATE($D141,Milestones!$AA$96)&gt;=$S141),$V141,IF(AND($R141&lt;&gt;"",EDATE($D141,Milestones!$AA$96)&gt;=$R141),$U141,$T141)))=Milestones!$AB$96),TEXT(EDATE($D141,Milestones!$AA$96),"dd/mm/yy")&amp;" "&amp;Milestones!$AB$96&amp;" "&amp;Milestones!$AC$96&amp;";  ","")&amp;IF(AND(EDATE($D141,Milestones!$AA$97)&lt;=AsOfDate,IF($Q141=0,$W141,IF(AND($S141&lt;&gt;"",EDATE($D141,Milestones!$AA$97)&gt;=$S141),$V141,IF(AND($R141&lt;&gt;"",EDATE($D141,Milestones!$AA$97)&gt;=$R141),$U141,$T141)))=Milestones!$AB$97),TEXT(EDATE($D141,Milestones!$AA$97),"dd/mm/yy")&amp;" "&amp;Milestones!$AB$97&amp;" "&amp;Milestones!$AC$97&amp;";  ","")&amp;IF(AND(EDATE($D141,Milestones!$AA$98)&lt;=AsOfDate,IF($Q141=0,$W141,IF(AND($S141&lt;&gt;"",EDATE($D141,Milestones!$AA$98)&gt;=$S141),$V141,IF(AND($R141&lt;&gt;"",EDATE($D141,Milestones!$AA$98)&gt;=$R141),$U141,$T141)))=Milestones!$AB$98),TEXT(EDATE($D141,Milestones!$AA$98),"dd/mm/yy")&amp;" "&amp;Milestones!$AB$98&amp;" "&amp;Milestones!$AC$98&amp;";  ","")&amp;IF(AND(EDATE($D141,Milestones!$AA$99)&lt;=AsOfDate,IF($Q141=0,$W141,IF(AND($S141&lt;&gt;"",EDATE($D141,Milestones!$AA$99)&gt;=$S141),$V141,IF(AND($R141&lt;&gt;"",EDATE($D141,Milestones!$AA$99)&gt;=$R141),$U141,$T141)))=Milestones!$AB$99),TEXT(EDATE($D141,Milestones!$AA$99),"dd/mm/yy")&amp;" "&amp;Milestones!$AB$99&amp;" "&amp;Milestones!$AC$99&amp;";  ",""))</f>
        <v/>
      </c>
      <c r="L141" s="0" t="str">
        <f aca="false">IF(OR($A141="",$D141=""),"",IF(AND(EDATE($D141,Milestones!$AA$100)&lt;=AsOfDate,IF($Q141=0,$W141,IF(AND($S141&lt;&gt;"",EDATE($D141,Milestones!$AA$100)&gt;=$S141),$V141,IF(AND($R141&lt;&gt;"",EDATE($D141,Milestones!$AA$100)&gt;=$R141),$U141,$T141)))=Milestones!$AB$100),TEXT(EDATE($D141,Milestones!$AA$100),"dd/mm/yy")&amp;" "&amp;Milestones!$AB$100&amp;" "&amp;Milestones!$AC$100&amp;";  ","")&amp;IF(AND(EDATE($D141,Milestones!$AA$101)&lt;=AsOfDate,IF($Q141=0,$W141,IF(AND($S141&lt;&gt;"",EDATE($D141,Milestones!$AA$101)&gt;=$S141),$V141,IF(AND($R141&lt;&gt;"",EDATE($D141,Milestones!$AA$101)&gt;=$R141),$U141,$T141)))=Milestones!$AB$101),TEXT(EDATE($D141,Milestones!$AA$101),"dd/mm/yy")&amp;" "&amp;Milestones!$AB$101&amp;" "&amp;Milestones!$AC$101&amp;";  ","")&amp;IF(AND(EDATE($D141,Milestones!$AA$102)&lt;=AsOfDate,IF($Q141=0,$W141,IF(AND($S141&lt;&gt;"",EDATE($D141,Milestones!$AA$102)&gt;=$S141),$V141,IF(AND($R141&lt;&gt;"",EDATE($D141,Milestones!$AA$102)&gt;=$R141),$U141,$T141)))=Milestones!$AB$102),TEXT(EDATE($D141,Milestones!$AA$102),"dd/mm/yy")&amp;" "&amp;Milestones!$AB$102&amp;" "&amp;Milestones!$AC$102&amp;";  ","")&amp;IF(AND(EDATE($D141,Milestones!$AA$103)&lt;=AsOfDate,IF($Q141=0,$W141,IF(AND($S141&lt;&gt;"",EDATE($D141,Milestones!$AA$103)&gt;=$S141),$V141,IF(AND($R141&lt;&gt;"",EDATE($D141,Milestones!$AA$103)&gt;=$R141),$U141,$T141)))=Milestones!$AB$103),TEXT(EDATE($D141,Milestones!$AA$103),"dd/mm/yy")&amp;" "&amp;Milestones!$AB$103&amp;" "&amp;Milestones!$AC$103&amp;";  ","")&amp;IF(AND(EDATE($D141,Milestones!$AA$104)&lt;=AsOfDate,IF($Q141=0,$W141,IF(AND($S141&lt;&gt;"",EDATE($D141,Milestones!$AA$104)&gt;=$S141),$V141,IF(AND($R141&lt;&gt;"",EDATE($D141,Milestones!$AA$104)&gt;=$R141),$U141,$T141)))=Milestones!$AB$104),TEXT(EDATE($D141,Milestones!$AA$104),"dd/mm/yy")&amp;" "&amp;Milestones!$AB$104&amp;" "&amp;Milestones!$AC$104&amp;";  ","")&amp;IF(AND(EDATE($D141,Milestones!$AA$105)&lt;=AsOfDate,IF($Q141=0,$W141,IF(AND($S141&lt;&gt;"",EDATE($D141,Milestones!$AA$105)&gt;=$S141),$V141,IF(AND($R141&lt;&gt;"",EDATE($D141,Milestones!$AA$105)&gt;=$R141),$U141,$T141)))=Milestones!$AB$105),TEXT(EDATE($D141,Milestones!$AA$105),"dd/mm/yy")&amp;" "&amp;Milestones!$AB$105&amp;" "&amp;Milestones!$AC$105&amp;";  ","")&amp;IF(AND(EDATE($D141,Milestones!$AA$106)&lt;=AsOfDate,IF($Q141=0,$W141,IF(AND($S141&lt;&gt;"",EDATE($D141,Milestones!$AA$106)&gt;=$S141),$V141,IF(AND($R141&lt;&gt;"",EDATE($D141,Milestones!$AA$106)&gt;=$R141),$U141,$T141)))=Milestones!$AB$106),TEXT(EDATE($D141,Milestones!$AA$106),"dd/mm/yy")&amp;" "&amp;Milestones!$AB$106&amp;" "&amp;Milestones!$AC$106&amp;";  ","")&amp;IF(AND(EDATE($D141,Milestones!$AA$107)&lt;=AsOfDate,IF($Q141=0,$W141,IF(AND($S141&lt;&gt;"",EDATE($D141,Milestones!$AA$107)&gt;=$S141),$V141,IF(AND($R141&lt;&gt;"",EDATE($D141,Milestones!$AA$107)&gt;=$R141),$U141,$T141)))=Milestones!$AB$107),TEXT(EDATE($D141,Milestones!$AA$107),"dd/mm/yy")&amp;" "&amp;Milestones!$AB$107&amp;" "&amp;Milestones!$AC$107&amp;";  ","")&amp;IF(AND(EDATE($D141,Milestones!$AA$108)&lt;=AsOfDate,IF($Q141=0,$W141,IF(AND($S141&lt;&gt;"",EDATE($D141,Milestones!$AA$108)&gt;=$S141),$V141,IF(AND($R141&lt;&gt;"",EDATE($D141,Milestones!$AA$108)&gt;=$R141),$U141,$T141)))=Milestones!$AB$108),TEXT(EDATE($D141,Milestones!$AA$108),"dd/mm/yy")&amp;" "&amp;Milestones!$AB$108&amp;" "&amp;Milestones!$AC$108&amp;";  ","")&amp;IF(AND(EDATE($D141,Milestones!$AA$109)&lt;=AsOfDate,IF($Q141=0,$W141,IF(AND($S141&lt;&gt;"",EDATE($D141,Milestones!$AA$109)&gt;=$S141),$V141,IF(AND($R141&lt;&gt;"",EDATE($D141,Milestones!$AA$109)&gt;=$R141),$U141,$T141)))=Milestones!$AB$109),TEXT(EDATE($D141,Milestones!$AA$109),"dd/mm/yy")&amp;" "&amp;Milestones!$AB$109&amp;" "&amp;Milestones!$AC$109&amp;";  ","")&amp;IF(AND(EDATE($D141,Milestones!$AA$110)&lt;=AsOfDate,IF($Q141=0,$W141,IF(AND($S141&lt;&gt;"",EDATE($D141,Milestones!$AA$110)&gt;=$S141),$V141,IF(AND($R141&lt;&gt;"",EDATE($D141,Milestones!$AA$110)&gt;=$R141),$U141,$T141)))=Milestones!$AB$110),TEXT(EDATE($D141,Milestones!$AA$110),"dd/mm/yy")&amp;" "&amp;Milestones!$AB$110&amp;" "&amp;Milestones!$AC$110&amp;";  ","")&amp;IF(AND(EDATE($D141,Milestones!$AA$111)&lt;=AsOfDate,IF($Q141=0,$W141,IF(AND($S141&lt;&gt;"",EDATE($D141,Milestones!$AA$111)&gt;=$S141),$V141,IF(AND($R141&lt;&gt;"",EDATE($D141,Milestones!$AA$111)&gt;=$R141),$U141,$T141)))=Milestones!$AB$111),TEXT(EDATE($D141,Milestones!$AA$111),"dd/mm/yy")&amp;" "&amp;Milestones!$AB$111&amp;" "&amp;Milestones!$AC$111&amp;";  ","")&amp;IF(AND(EDATE($D141,Milestones!$AA$112)&lt;=AsOfDate,IF($Q141=0,$W141,IF(AND($S141&lt;&gt;"",EDATE($D141,Milestones!$AA$112)&gt;=$S141),$V141,IF(AND($R141&lt;&gt;"",EDATE($D141,Milestones!$AA$112)&gt;=$R141),$U141,$T141)))=Milestones!$AB$112),TEXT(EDATE($D141,Milestones!$AA$112),"dd/mm/yy")&amp;" "&amp;Milestones!$AB$112&amp;" "&amp;Milestones!$AC$112&amp;";  ","")&amp;IF(AND(EDATE($D141,Milestones!$AA$113)&lt;=AsOfDate,IF($Q141=0,$W141,IF(AND($S141&lt;&gt;"",EDATE($D141,Milestones!$AA$113)&gt;=$S141),$V141,IF(AND($R141&lt;&gt;"",EDATE($D141,Milestones!$AA$113)&gt;=$R141),$U141,$T141)))=Milestones!$AB$113),TEXT(EDATE($D141,Milestones!$AA$113),"dd/mm/yy")&amp;" "&amp;Milestones!$AB$113&amp;" "&amp;Milestones!$AC$113&amp;";  ","")&amp;IF(AND(EDATE($D141,Milestones!$AA$114)&lt;=AsOfDate,IF($Q141=0,$W141,IF(AND($S141&lt;&gt;"",EDATE($D141,Milestones!$AA$114)&gt;=$S141),$V141,IF(AND($R141&lt;&gt;"",EDATE($D141,Milestones!$AA$114)&gt;=$R141),$U141,$T141)))=Milestones!$AB$114),TEXT(EDATE($D141,Milestones!$AA$114),"dd/mm/yy")&amp;" "&amp;Milestones!$AB$114&amp;" "&amp;Milestones!$AC$114&amp;";  ","")&amp;IF(AND(EDATE($D141,Milestones!$AA$115)&lt;=AsOfDate,IF($Q141=0,$W141,IF(AND($S141&lt;&gt;"",EDATE($D141,Milestones!$AA$115)&gt;=$S141),$V141,IF(AND($R141&lt;&gt;"",EDATE($D141,Milestones!$AA$115)&gt;=$R141),$U141,$T141)))=Milestones!$AB$115),TEXT(EDATE($D141,Milestones!$AA$115),"dd/mm/yy")&amp;" "&amp;Milestones!$AB$115&amp;" "&amp;Milestones!$AC$115&amp;";  ","")&amp;IF(AND(EDATE($D141,Milestones!$AA$116)&lt;=AsOfDate,IF($Q141=0,$W141,IF(AND($S141&lt;&gt;"",EDATE($D141,Milestones!$AA$116)&gt;=$S141),$V141,IF(AND($R141&lt;&gt;"",EDATE($D141,Milestones!$AA$116)&gt;=$R141),$U141,$T141)))=Milestones!$AB$116),TEXT(EDATE($D141,Milestones!$AA$116),"dd/mm/yy")&amp;" "&amp;Milestones!$AB$116&amp;" "&amp;Milestones!$AC$116&amp;";  ","")&amp;IF(AND(EDATE($D141,Milestones!$AA$117)&lt;=AsOfDate,IF($Q141=0,$W141,IF(AND($S141&lt;&gt;"",EDATE($D141,Milestones!$AA$117)&gt;=$S141),$V141,IF(AND($R141&lt;&gt;"",EDATE($D141,Milestones!$AA$117)&gt;=$R141),$U141,$T141)))=Milestones!$AB$117),TEXT(EDATE($D141,Milestones!$AA$117),"dd/mm/yy")&amp;" "&amp;Milestones!$AB$117&amp;" "&amp;Milestones!$AC$117&amp;";  ","")&amp;IF(AND(EDATE($D141,Milestones!$AA$118)&lt;=AsOfDate,IF($Q141=0,$W141,IF(AND($S141&lt;&gt;"",EDATE($D141,Milestones!$AA$118)&gt;=$S141),$V141,IF(AND($R141&lt;&gt;"",EDATE($D141,Milestones!$AA$118)&gt;=$R141),$U141,$T141)))=Milestones!$AB$118),TEXT(EDATE($D141,Milestones!$AA$118),"dd/mm/yy")&amp;" "&amp;Milestones!$AB$118&amp;" "&amp;Milestones!$AC$118&amp;";  ","")&amp;IF(AND(EDATE($D141,Milestones!$AA$119)&lt;=AsOfDate,IF($Q141=0,$W141,IF(AND($S141&lt;&gt;"",EDATE($D141,Milestones!$AA$119)&gt;=$S141),$V141,IF(AND($R141&lt;&gt;"",EDATE($D141,Milestones!$AA$119)&gt;=$R141),$U141,$T141)))=Milestones!$AB$119),TEXT(EDATE($D141,Milestones!$AA$119),"dd/mm/yy")&amp;" "&amp;Milestones!$AB$119&amp;" "&amp;Milestones!$AC$119&amp;";  ",""))</f>
        <v/>
      </c>
      <c r="M141" s="0" t="str">
        <f aca="false">IF(OR($A141="",$D141=""),"",IF(AND(EDATE($D141,Milestones!$AA$120)&lt;=AsOfDate,IF($Q141=0,$W141,IF(AND($S141&lt;&gt;"",EDATE($D141,Milestones!$AA$120)&gt;=$S141),$V141,IF(AND($R141&lt;&gt;"",EDATE($D141,Milestones!$AA$120)&gt;=$R141),$U141,$T141)))=Milestones!$AB$120),TEXT(EDATE($D141,Milestones!$AA$120),"dd/mm/yy")&amp;" "&amp;Milestones!$AB$120&amp;" "&amp;Milestones!$AC$120&amp;";  ","")&amp;IF(AND(EDATE($D141,Milestones!$AA$121)&lt;=AsOfDate,IF($Q141=0,$W141,IF(AND($S141&lt;&gt;"",EDATE($D141,Milestones!$AA$121)&gt;=$S141),$V141,IF(AND($R141&lt;&gt;"",EDATE($D141,Milestones!$AA$121)&gt;=$R141),$U141,$T141)))=Milestones!$AB$121),TEXT(EDATE($D141,Milestones!$AA$121),"dd/mm/yy")&amp;" "&amp;Milestones!$AB$121&amp;" "&amp;Milestones!$AC$121&amp;";  ","")&amp;IF(AND(EDATE($D141,Milestones!$AA$122)&lt;=AsOfDate,IF($Q141=0,$W141,IF(AND($S141&lt;&gt;"",EDATE($D141,Milestones!$AA$122)&gt;=$S141),$V141,IF(AND($R141&lt;&gt;"",EDATE($D141,Milestones!$AA$122)&gt;=$R141),$U141,$T141)))=Milestones!$AB$122),TEXT(EDATE($D141,Milestones!$AA$122),"dd/mm/yy")&amp;" "&amp;Milestones!$AB$122&amp;" "&amp;Milestones!$AC$122&amp;";  ","")&amp;IF(AND(EDATE($D141,Milestones!$AA$123)&lt;=AsOfDate,IF($Q141=0,$W141,IF(AND($S141&lt;&gt;"",EDATE($D141,Milestones!$AA$123)&gt;=$S141),$V141,IF(AND($R141&lt;&gt;"",EDATE($D141,Milestones!$AA$123)&gt;=$R141),$U141,$T141)))=Milestones!$AB$123),TEXT(EDATE($D141,Milestones!$AA$123),"dd/mm/yy")&amp;" "&amp;Milestones!$AB$123&amp;" "&amp;Milestones!$AC$123&amp;";  ","")&amp;IF(AND(EDATE($D141,Milestones!$AA$124)&lt;=AsOfDate,IF($Q141=0,$W141,IF(AND($S141&lt;&gt;"",EDATE($D141,Milestones!$AA$124)&gt;=$S141),$V141,IF(AND($R141&lt;&gt;"",EDATE($D141,Milestones!$AA$124)&gt;=$R141),$U141,$T141)))=Milestones!$AB$124),TEXT(EDATE($D141,Milestones!$AA$124),"dd/mm/yy")&amp;" "&amp;Milestones!$AB$124&amp;" "&amp;Milestones!$AC$124&amp;";  ","")&amp;IF(AND(EDATE($D141,Milestones!$AA$125)&lt;=AsOfDate,IF($Q141=0,$W141,IF(AND($S141&lt;&gt;"",EDATE($D141,Milestones!$AA$125)&gt;=$S141),$V141,IF(AND($R141&lt;&gt;"",EDATE($D141,Milestones!$AA$125)&gt;=$R141),$U141,$T141)))=Milestones!$AB$125),TEXT(EDATE($D141,Milestones!$AA$125),"dd/mm/yy")&amp;" "&amp;Milestones!$AB$125&amp;" "&amp;Milestones!$AC$125&amp;";  ","")&amp;IF(AND(EDATE($D141,Milestones!$AA$126)&lt;=AsOfDate,IF($Q141=0,$W141,IF(AND($S141&lt;&gt;"",EDATE($D141,Milestones!$AA$126)&gt;=$S141),$V141,IF(AND($R141&lt;&gt;"",EDATE($D141,Milestones!$AA$126)&gt;=$R141),$U141,$T141)))=Milestones!$AB$126),TEXT(EDATE($D141,Milestones!$AA$126),"dd/mm/yy")&amp;" "&amp;Milestones!$AB$126&amp;" "&amp;Milestones!$AC$126&amp;";  ","")&amp;IF(AND(EDATE($D141,Milestones!$AA$127)&lt;=AsOfDate,IF($Q141=0,$W141,IF(AND($S141&lt;&gt;"",EDATE($D141,Milestones!$AA$127)&gt;=$S141),$V141,IF(AND($R141&lt;&gt;"",EDATE($D141,Milestones!$AA$127)&gt;=$R141),$U141,$T141)))=Milestones!$AB$127),TEXT(EDATE($D141,Milestones!$AA$127),"dd/mm/yy")&amp;" "&amp;Milestones!$AB$127&amp;" "&amp;Milestones!$AC$127&amp;";  ","")&amp;IF(AND(EDATE($D141,Milestones!$AA$128)&lt;=AsOfDate,IF($Q141=0,$W141,IF(AND($S141&lt;&gt;"",EDATE($D141,Milestones!$AA$128)&gt;=$S141),$V141,IF(AND($R141&lt;&gt;"",EDATE($D141,Milestones!$AA$128)&gt;=$R141),$U141,$T141)))=Milestones!$AB$128),TEXT(EDATE($D141,Milestones!$AA$128),"dd/mm/yy")&amp;" "&amp;Milestones!$AB$128&amp;" "&amp;Milestones!$AC$128&amp;";  ","")&amp;IF(AND(EDATE($D141,Milestones!$AA$129)&lt;=AsOfDate,IF($Q141=0,$W141,IF(AND($S141&lt;&gt;"",EDATE($D141,Milestones!$AA$129)&gt;=$S141),$V141,IF(AND($R141&lt;&gt;"",EDATE($D141,Milestones!$AA$129)&gt;=$R141),$U141,$T141)))=Milestones!$AB$129),TEXT(EDATE($D141,Milestones!$AA$129),"dd/mm/yy")&amp;" "&amp;Milestones!$AB$129&amp;" "&amp;Milestones!$AC$129&amp;";  ","")&amp;IF(AND(EDATE($D141,Milestones!$AA$130)&lt;=AsOfDate,IF($Q141=0,$W141,IF(AND($S141&lt;&gt;"",EDATE($D141,Milestones!$AA$130)&gt;=$S141),$V141,IF(AND($R141&lt;&gt;"",EDATE($D141,Milestones!$AA$130)&gt;=$R141),$U141,$T141)))=Milestones!$AB$130),TEXT(EDATE($D141,Milestones!$AA$130),"dd/mm/yy")&amp;" "&amp;Milestones!$AB$130&amp;" "&amp;Milestones!$AC$130&amp;";  ","")&amp;IF(AND(EDATE($D141,Milestones!$AA$131)&lt;=AsOfDate,IF($Q141=0,$W141,IF(AND($S141&lt;&gt;"",EDATE($D141,Milestones!$AA$131)&gt;=$S141),$V141,IF(AND($R141&lt;&gt;"",EDATE($D141,Milestones!$AA$131)&gt;=$R141),$U141,$T141)))=Milestones!$AB$131),TEXT(EDATE($D141,Milestones!$AA$131),"dd/mm/yy")&amp;" "&amp;Milestones!$AB$131&amp;" "&amp;Milestones!$AC$131&amp;";  ","")&amp;IF(AND(EDATE($D141,Milestones!$AA$132)&lt;=AsOfDate,IF($Q141=0,$W141,IF(AND($S141&lt;&gt;"",EDATE($D141,Milestones!$AA$132)&gt;=$S141),$V141,IF(AND($R141&lt;&gt;"",EDATE($D141,Milestones!$AA$132)&gt;=$R141),$U141,$T141)))=Milestones!$AB$132),TEXT(EDATE($D141,Milestones!$AA$132),"dd/mm/yy")&amp;" "&amp;Milestones!$AB$132&amp;" "&amp;Milestones!$AC$132&amp;";  ","")&amp;IF(AND(EDATE($D141,Milestones!$AA$133)&lt;=AsOfDate,IF($Q141=0,$W141,IF(AND($S141&lt;&gt;"",EDATE($D141,Milestones!$AA$133)&gt;=$S141),$V141,IF(AND($R141&lt;&gt;"",EDATE($D141,Milestones!$AA$133)&gt;=$R141),$U141,$T141)))=Milestones!$AB$133),TEXT(EDATE($D141,Milestones!$AA$133),"dd/mm/yy")&amp;" "&amp;Milestones!$AB$133&amp;" "&amp;Milestones!$AC$133&amp;";  ","")&amp;IF(AND(EDATE($D141,Milestones!$AA$134)&lt;=AsOfDate,IF($Q141=0,$W141,IF(AND($S141&lt;&gt;"",EDATE($D141,Milestones!$AA$134)&gt;=$S141),$V141,IF(AND($R141&lt;&gt;"",EDATE($D141,Milestones!$AA$134)&gt;=$R141),$U141,$T141)))=Milestones!$AB$134),TEXT(EDATE($D141,Milestones!$AA$134),"dd/mm/yy")&amp;" "&amp;Milestones!$AB$134&amp;" "&amp;Milestones!$AC$134&amp;";  ","")&amp;IF(AND(EDATE($D141,Milestones!$AA$135)&lt;=AsOfDate,IF($Q141=0,$W141,IF(AND($S141&lt;&gt;"",EDATE($D141,Milestones!$AA$135)&gt;=$S141),$V141,IF(AND($R141&lt;&gt;"",EDATE($D141,Milestones!$AA$135)&gt;=$R141),$U141,$T141)))=Milestones!$AB$135),TEXT(EDATE($D141,Milestones!$AA$135),"dd/mm/yy")&amp;" "&amp;Milestones!$AB$135&amp;" "&amp;Milestones!$AC$135&amp;";  ","")&amp;IF(AND(EDATE($D141,Milestones!$AA$136)&lt;=AsOfDate,IF($Q141=0,$W141,IF(AND($S141&lt;&gt;"",EDATE($D141,Milestones!$AA$136)&gt;=$S141),$V141,IF(AND($R141&lt;&gt;"",EDATE($D141,Milestones!$AA$136)&gt;=$R141),$U141,$T141)))=Milestones!$AB$136),TEXT(EDATE($D141,Milestones!$AA$136),"dd/mm/yy")&amp;" "&amp;Milestones!$AB$136&amp;" "&amp;Milestones!$AC$136&amp;";  ","")&amp;IF(AND(EDATE($D141,Milestones!$AA$137)&lt;=AsOfDate,IF($Q141=0,$W141,IF(AND($S141&lt;&gt;"",EDATE($D141,Milestones!$AA$137)&gt;=$S141),$V141,IF(AND($R141&lt;&gt;"",EDATE($D141,Milestones!$AA$137)&gt;=$R141),$U141,$T141)))=Milestones!$AB$137),TEXT(EDATE($D141,Milestones!$AA$137),"dd/mm/yy")&amp;" "&amp;Milestones!$AB$137&amp;" "&amp;Milestones!$AC$137&amp;";  ","")&amp;IF(AND(EDATE($D141,Milestones!$AA$138)&lt;=AsOfDate,IF($Q141=0,$W141,IF(AND($S141&lt;&gt;"",EDATE($D141,Milestones!$AA$138)&gt;=$S141),$V141,IF(AND($R141&lt;&gt;"",EDATE($D141,Milestones!$AA$138)&gt;=$R141),$U141,$T141)))=Milestones!$AB$138),TEXT(EDATE($D141,Milestones!$AA$138),"dd/mm/yy")&amp;" "&amp;Milestones!$AB$138&amp;" "&amp;Milestones!$AC$138&amp;";  ","")&amp;IF(AND(EDATE($D141,Milestones!$AA$139)&lt;=AsOfDate,IF($Q141=0,$W141,IF(AND($S141&lt;&gt;"",EDATE($D141,Milestones!$AA$139)&gt;=$S141),$V141,IF(AND($R141&lt;&gt;"",EDATE($D141,Milestones!$AA$139)&gt;=$R141),$U141,$T141)))=Milestones!$AB$139),TEXT(EDATE($D141,Milestones!$AA$139),"dd/mm/yy")&amp;" "&amp;Milestones!$AB$139&amp;" "&amp;Milestones!$AC$139&amp;";  ",""))</f>
        <v/>
      </c>
      <c r="N141" s="0" t="str">
        <f aca="false">IF(OR($A141="",$D141=""),"",IF(AND(EDATE($D141,Milestones!$AA$140)&lt;=AsOfDate,IF($Q141=0,$W141,IF(AND($S141&lt;&gt;"",EDATE($D141,Milestones!$AA$140)&gt;=$S141),$V141,IF(AND($R141&lt;&gt;"",EDATE($D141,Milestones!$AA$140)&gt;=$R141),$U141,$T141)))=Milestones!$AB$140),TEXT(EDATE($D141,Milestones!$AA$140),"dd/mm/yy")&amp;" "&amp;Milestones!$AB$140&amp;" "&amp;Milestones!$AC$140&amp;";  ","")&amp;IF(AND(EDATE($D141,Milestones!$AA$141)&lt;=AsOfDate,IF($Q141=0,$W141,IF(AND($S141&lt;&gt;"",EDATE($D141,Milestones!$AA$141)&gt;=$S141),$V141,IF(AND($R141&lt;&gt;"",EDATE($D141,Milestones!$AA$141)&gt;=$R141),$U141,$T141)))=Milestones!$AB$141),TEXT(EDATE($D141,Milestones!$AA$141),"dd/mm/yy")&amp;" "&amp;Milestones!$AB$141&amp;" "&amp;Milestones!$AC$141&amp;";  ","")&amp;IF(AND(EDATE($D141,Milestones!$AA$142)&lt;=AsOfDate,IF($Q141=0,$W141,IF(AND($S141&lt;&gt;"",EDATE($D141,Milestones!$AA$142)&gt;=$S141),$V141,IF(AND($R141&lt;&gt;"",EDATE($D141,Milestones!$AA$142)&gt;=$R141),$U141,$T141)))=Milestones!$AB$142),TEXT(EDATE($D141,Milestones!$AA$142),"dd/mm/yy")&amp;" "&amp;Milestones!$AB$142&amp;" "&amp;Milestones!$AC$142&amp;";  ","")&amp;IF(AND(EDATE($D141,Milestones!$AA$143)&lt;=AsOfDate,IF($Q141=0,$W141,IF(AND($S141&lt;&gt;"",EDATE($D141,Milestones!$AA$143)&gt;=$S141),$V141,IF(AND($R141&lt;&gt;"",EDATE($D141,Milestones!$AA$143)&gt;=$R141),$U141,$T141)))=Milestones!$AB$143),TEXT(EDATE($D141,Milestones!$AA$143),"dd/mm/yy")&amp;" "&amp;Milestones!$AB$143&amp;" "&amp;Milestones!$AC$143&amp;";  ","")&amp;IF(AND(EDATE($D141,Milestones!$AA$144)&lt;=AsOfDate,IF($Q141=0,$W141,IF(AND($S141&lt;&gt;"",EDATE($D141,Milestones!$AA$144)&gt;=$S141),$V141,IF(AND($R141&lt;&gt;"",EDATE($D141,Milestones!$AA$144)&gt;=$R141),$U141,$T141)))=Milestones!$AB$144),TEXT(EDATE($D141,Milestones!$AA$144),"dd/mm/yy")&amp;" "&amp;Milestones!$AB$144&amp;" "&amp;Milestones!$AC$144&amp;";  ","")&amp;IF(AND(EDATE($D141,Milestones!$AA$145)&lt;=AsOfDate,IF($Q141=0,$W141,IF(AND($S141&lt;&gt;"",EDATE($D141,Milestones!$AA$145)&gt;=$S141),$V141,IF(AND($R141&lt;&gt;"",EDATE($D141,Milestones!$AA$145)&gt;=$R141),$U141,$T141)))=Milestones!$AB$145),TEXT(EDATE($D141,Milestones!$AA$145),"dd/mm/yy")&amp;" "&amp;Milestones!$AB$145&amp;" "&amp;Milestones!$AC$145&amp;";  ","")&amp;IF(AND(EDATE($D141,Milestones!$AA$146)&lt;=AsOfDate,IF($Q141=0,$W141,IF(AND($S141&lt;&gt;"",EDATE($D141,Milestones!$AA$146)&gt;=$S141),$V141,IF(AND($R141&lt;&gt;"",EDATE($D141,Milestones!$AA$146)&gt;=$R141),$U141,$T141)))=Milestones!$AB$146),TEXT(EDATE($D141,Milestones!$AA$146),"dd/mm/yy")&amp;" "&amp;Milestones!$AB$146&amp;" "&amp;Milestones!$AC$146&amp;";  ","")&amp;IF(AND(EDATE($D141,Milestones!$AA$147)&lt;=AsOfDate,IF($Q141=0,$W141,IF(AND($S141&lt;&gt;"",EDATE($D141,Milestones!$AA$147)&gt;=$S141),$V141,IF(AND($R141&lt;&gt;"",EDATE($D141,Milestones!$AA$147)&gt;=$R141),$U141,$T141)))=Milestones!$AB$147),TEXT(EDATE($D141,Milestones!$AA$147),"dd/mm/yy")&amp;" "&amp;Milestones!$AB$147&amp;" "&amp;Milestones!$AC$147&amp;";  ","")&amp;IF(AND(EDATE($D141,Milestones!$AA$148)&lt;=AsOfDate,IF($Q141=0,$W141,IF(AND($S141&lt;&gt;"",EDATE($D141,Milestones!$AA$148)&gt;=$S141),$V141,IF(AND($R141&lt;&gt;"",EDATE($D141,Milestones!$AA$148)&gt;=$R141),$U141,$T141)))=Milestones!$AB$148),TEXT(EDATE($D141,Milestones!$AA$148),"dd/mm/yy")&amp;" "&amp;Milestones!$AB$148&amp;" "&amp;Milestones!$AC$148&amp;";  ","")&amp;IF(AND(EDATE($D141,Milestones!$AA$149)&lt;=AsOfDate,IF($Q141=0,$W141,IF(AND($S141&lt;&gt;"",EDATE($D141,Milestones!$AA$149)&gt;=$S141),$V141,IF(AND($R141&lt;&gt;"",EDATE($D141,Milestones!$AA$149)&gt;=$R141),$U141,$T141)))=Milestones!$AB$149),TEXT(EDATE($D141,Milestones!$AA$149),"dd/mm/yy")&amp;" "&amp;Milestones!$AB$149&amp;" "&amp;Milestones!$AC$149&amp;";  ","")&amp;IF(AND(EDATE($D141,Milestones!$AA$150)&lt;=AsOfDate,IF($Q141=0,$W141,IF(AND($S141&lt;&gt;"",EDATE($D141,Milestones!$AA$150)&gt;=$S141),$V141,IF(AND($R141&lt;&gt;"",EDATE($D141,Milestones!$AA$150)&gt;=$R141),$U141,$T141)))=Milestones!$AB$150),TEXT(EDATE($D141,Milestones!$AA$150),"dd/mm/yy")&amp;" "&amp;Milestones!$AB$150&amp;" "&amp;Milestones!$AC$150&amp;";  ","")&amp;IF(AND(EDATE($D141,Milestones!$AA$151)&lt;=AsOfDate,IF($Q141=0,$W141,IF(AND($S141&lt;&gt;"",EDATE($D141,Milestones!$AA$151)&gt;=$S141),$V141,IF(AND($R141&lt;&gt;"",EDATE($D141,Milestones!$AA$151)&gt;=$R141),$U141,$T141)))=Milestones!$AB$151),TEXT(EDATE($D141,Milestones!$AA$151),"dd/mm/yy")&amp;" "&amp;Milestones!$AB$151&amp;" "&amp;Milestones!$AC$151&amp;";  ","")&amp;IF(AND(EDATE($D141,Milestones!$AA$152)&lt;=AsOfDate,IF($Q141=0,$W141,IF(AND($S141&lt;&gt;"",EDATE($D141,Milestones!$AA$152)&gt;=$S141),$V141,IF(AND($R141&lt;&gt;"",EDATE($D141,Milestones!$AA$152)&gt;=$R141),$U141,$T141)))=Milestones!$AB$152),TEXT(EDATE($D141,Milestones!$AA$152),"dd/mm/yy")&amp;" "&amp;Milestones!$AB$152&amp;" "&amp;Milestones!$AC$152&amp;";  ","")&amp;IF(AND(EDATE($D141,Milestones!$AA$153)&lt;=AsOfDate,IF($Q141=0,$W141,IF(AND($S141&lt;&gt;"",EDATE($D141,Milestones!$AA$153)&gt;=$S141),$V141,IF(AND($R141&lt;&gt;"",EDATE($D141,Milestones!$AA$153)&gt;=$R141),$U141,$T141)))=Milestones!$AB$153),TEXT(EDATE($D141,Milestones!$AA$153),"dd/mm/yy")&amp;" "&amp;Milestones!$AB$153&amp;" "&amp;Milestones!$AC$153&amp;";  ","")&amp;IF(AND(EDATE($D141,Milestones!$AA$154)&lt;=AsOfDate,IF($Q141=0,$W141,IF(AND($S141&lt;&gt;"",EDATE($D141,Milestones!$AA$154)&gt;=$S141),$V141,IF(AND($R141&lt;&gt;"",EDATE($D141,Milestones!$AA$154)&gt;=$R141),$U141,$T141)))=Milestones!$AB$154),TEXT(EDATE($D141,Milestones!$AA$154),"dd/mm/yy")&amp;" "&amp;Milestones!$AB$154&amp;" "&amp;Milestones!$AC$154&amp;";  ","")&amp;IF(AND(EDATE($D141,Milestones!$AA$155)&lt;=AsOfDate,IF($Q141=0,$W141,IF(AND($S141&lt;&gt;"",EDATE($D141,Milestones!$AA$155)&gt;=$S141),$V141,IF(AND($R141&lt;&gt;"",EDATE($D141,Milestones!$AA$155)&gt;=$R141),$U141,$T141)))=Milestones!$AB$155),TEXT(EDATE($D141,Milestones!$AA$155),"dd/mm/yy")&amp;" "&amp;Milestones!$AB$155&amp;" "&amp;Milestones!$AC$155&amp;";  ","")&amp;IF(AND(EDATE($D141,Milestones!$AA$156)&lt;=AsOfDate,IF($Q141=0,$W141,IF(AND($S141&lt;&gt;"",EDATE($D141,Milestones!$AA$156)&gt;=$S141),$V141,IF(AND($R141&lt;&gt;"",EDATE($D141,Milestones!$AA$156)&gt;=$R141),$U141,$T141)))=Milestones!$AB$156),TEXT(EDATE($D141,Milestones!$AA$156),"dd/mm/yy")&amp;" "&amp;Milestones!$AB$156&amp;" "&amp;Milestones!$AC$156&amp;";  ","")&amp;IF(AND(EDATE($D141,Milestones!$AA$157)&lt;=AsOfDate,IF($Q141=0,$W141,IF(AND($S141&lt;&gt;"",EDATE($D141,Milestones!$AA$157)&gt;=$S141),$V141,IF(AND($R141&lt;&gt;"",EDATE($D141,Milestones!$AA$157)&gt;=$R141),$U141,$T141)))=Milestones!$AB$157),TEXT(EDATE($D141,Milestones!$AA$157),"dd/mm/yy")&amp;" "&amp;Milestones!$AB$157&amp;" "&amp;Milestones!$AC$157&amp;";  ","")&amp;IF(AND(EDATE($D141,Milestones!$AA$158)&lt;=AsOfDate,IF($Q141=0,$W141,IF(AND($S141&lt;&gt;"",EDATE($D141,Milestones!$AA$158)&gt;=$S141),$V141,IF(AND($R141&lt;&gt;"",EDATE($D141,Milestones!$AA$158)&gt;=$R141),$U141,$T141)))=Milestones!$AB$158),TEXT(EDATE($D141,Milestones!$AA$158),"dd/mm/yy")&amp;" "&amp;Milestones!$AB$158&amp;" "&amp;Milestones!$AC$158&amp;";  ","")&amp;IF(AND(EDATE($D141,Milestones!$AA$159)&lt;=AsOfDate,IF($Q141=0,$W141,IF(AND($S141&lt;&gt;"",EDATE($D141,Milestones!$AA$159)&gt;=$S141),$V141,IF(AND($R141&lt;&gt;"",EDATE($D141,Milestones!$AA$159)&gt;=$R141),$U141,$T141)))=Milestones!$AB$159),TEXT(EDATE($D141,Milestones!$AA$159),"dd/mm/yy")&amp;" "&amp;Milestones!$AB$159&amp;" "&amp;Milestones!$AC$159&amp;";  ",""))</f>
        <v/>
      </c>
      <c r="O141" s="0" t="str">
        <f aca="false">IF(OR($A141="",$D141=""),"",IF(AND(EDATE($D141,Milestones!$AA$160)&lt;=AsOfDate,IF($Q141=0,$W141,IF(AND($S141&lt;&gt;"",EDATE($D141,Milestones!$AA$160)&gt;=$S141),$V141,IF(AND($R141&lt;&gt;"",EDATE($D141,Milestones!$AA$160)&gt;=$R141),$U141,$T141)))=Milestones!$AB$160),TEXT(EDATE($D141,Milestones!$AA$160),"dd/mm/yy")&amp;" "&amp;Milestones!$AB$160&amp;" "&amp;Milestones!$AC$160&amp;";  ","")&amp;IF(AND(EDATE($D141,Milestones!$AA$161)&lt;=AsOfDate,IF($Q141=0,$W141,IF(AND($S141&lt;&gt;"",EDATE($D141,Milestones!$AA$161)&gt;=$S141),$V141,IF(AND($R141&lt;&gt;"",EDATE($D141,Milestones!$AA$161)&gt;=$R141),$U141,$T141)))=Milestones!$AB$161),TEXT(EDATE($D141,Milestones!$AA$161),"dd/mm/yy")&amp;" "&amp;Milestones!$AB$161&amp;" "&amp;Milestones!$AC$161&amp;";  ","")&amp;IF(AND(EDATE($D141,Milestones!$AA$162)&lt;=AsOfDate,IF($Q141=0,$W141,IF(AND($S141&lt;&gt;"",EDATE($D141,Milestones!$AA$162)&gt;=$S141),$V141,IF(AND($R141&lt;&gt;"",EDATE($D141,Milestones!$AA$162)&gt;=$R141),$U141,$T141)))=Milestones!$AB$162),TEXT(EDATE($D141,Milestones!$AA$162),"dd/mm/yy")&amp;" "&amp;Milestones!$AB$162&amp;" "&amp;Milestones!$AC$162&amp;";  ","")&amp;IF(AND(EDATE($D141,Milestones!$AA$163)&lt;=AsOfDate,IF($Q141=0,$W141,IF(AND($S141&lt;&gt;"",EDATE($D141,Milestones!$AA$163)&gt;=$S141),$V141,IF(AND($R141&lt;&gt;"",EDATE($D141,Milestones!$AA$163)&gt;=$R141),$U141,$T141)))=Milestones!$AB$163),TEXT(EDATE($D141,Milestones!$AA$163),"dd/mm/yy")&amp;" "&amp;Milestones!$AB$163&amp;" "&amp;Milestones!$AC$163&amp;";  ","")&amp;IF(AND(EDATE($D141,Milestones!$AA$164)&lt;=AsOfDate,IF($Q141=0,$W141,IF(AND($S141&lt;&gt;"",EDATE($D141,Milestones!$AA$164)&gt;=$S141),$V141,IF(AND($R141&lt;&gt;"",EDATE($D141,Milestones!$AA$164)&gt;=$R141),$U141,$T141)))=Milestones!$AB$164),TEXT(EDATE($D141,Milestones!$AA$164),"dd/mm/yy")&amp;" "&amp;Milestones!$AB$164&amp;" "&amp;Milestones!$AC$164&amp;";  ","")&amp;IF(AND(EDATE($D141,Milestones!$AA$165)&lt;=AsOfDate,IF($Q141=0,$W141,IF(AND($S141&lt;&gt;"",EDATE($D141,Milestones!$AA$165)&gt;=$S141),$V141,IF(AND($R141&lt;&gt;"",EDATE($D141,Milestones!$AA$165)&gt;=$R141),$U141,$T141)))=Milestones!$AB$165),TEXT(EDATE($D141,Milestones!$AA$165),"dd/mm/yy")&amp;" "&amp;Milestones!$AB$165&amp;" "&amp;Milestones!$AC$165&amp;";  ","")&amp;IF(AND(EDATE($D141,Milestones!$AA$166)&lt;=AsOfDate,IF($Q141=0,$W141,IF(AND($S141&lt;&gt;"",EDATE($D141,Milestones!$AA$166)&gt;=$S141),$V141,IF(AND($R141&lt;&gt;"",EDATE($D141,Milestones!$AA$166)&gt;=$R141),$U141,$T141)))=Milestones!$AB$166),TEXT(EDATE($D141,Milestones!$AA$166),"dd/mm/yy")&amp;" "&amp;Milestones!$AB$166&amp;" "&amp;Milestones!$AC$166&amp;";  ","")&amp;IF(AND(EDATE($D141,Milestones!$AA$167)&lt;=AsOfDate,IF($Q141=0,$W141,IF(AND($S141&lt;&gt;"",EDATE($D141,Milestones!$AA$167)&gt;=$S141),$V141,IF(AND($R141&lt;&gt;"",EDATE($D141,Milestones!$AA$167)&gt;=$R141),$U141,$T141)))=Milestones!$AB$167),TEXT(EDATE($D141,Milestones!$AA$167),"dd/mm/yy")&amp;" "&amp;Milestones!$AB$167&amp;" "&amp;Milestones!$AC$167&amp;";  ","")&amp;IF(AND(EDATE($D141,Milestones!$AA$168)&lt;=AsOfDate,IF($Q141=0,$W141,IF(AND($S141&lt;&gt;"",EDATE($D141,Milestones!$AA$168)&gt;=$S141),$V141,IF(AND($R141&lt;&gt;"",EDATE($D141,Milestones!$AA$168)&gt;=$R141),$U141,$T141)))=Milestones!$AB$168),TEXT(EDATE($D141,Milestones!$AA$168),"dd/mm/yy")&amp;" "&amp;Milestones!$AB$168&amp;" "&amp;Milestones!$AC$168&amp;";  ","")&amp;IF(AND(EDATE($D141,Milestones!$AA$169)&lt;=AsOfDate,IF($Q141=0,$W141,IF(AND($S141&lt;&gt;"",EDATE($D141,Milestones!$AA$169)&gt;=$S141),$V141,IF(AND($R141&lt;&gt;"",EDATE($D141,Milestones!$AA$169)&gt;=$R141),$U141,$T141)))=Milestones!$AB$169),TEXT(EDATE($D141,Milestones!$AA$169),"dd/mm/yy")&amp;" "&amp;Milestones!$AB$169&amp;" "&amp;Milestones!$AC$169&amp;";  ","")&amp;IF(AND(EDATE($D141,Milestones!$AA$170)&lt;=AsOfDate,IF($Q141=0,$W141,IF(AND($S141&lt;&gt;"",EDATE($D141,Milestones!$AA$170)&gt;=$S141),$V141,IF(AND($R141&lt;&gt;"",EDATE($D141,Milestones!$AA$170)&gt;=$R141),$U141,$T141)))=Milestones!$AB$170),TEXT(EDATE($D141,Milestones!$AA$170),"dd/mm/yy")&amp;" "&amp;Milestones!$AB$170&amp;" "&amp;Milestones!$AC$170&amp;";  ","")&amp;IF(AND(EDATE($D141,Milestones!$AA$171)&lt;=AsOfDate,IF($Q141=0,$W141,IF(AND($S141&lt;&gt;"",EDATE($D141,Milestones!$AA$171)&gt;=$S141),$V141,IF(AND($R141&lt;&gt;"",EDATE($D141,Milestones!$AA$171)&gt;=$R141),$U141,$T141)))=Milestones!$AB$171),TEXT(EDATE($D141,Milestones!$AA$171),"dd/mm/yy")&amp;" "&amp;Milestones!$AB$171&amp;" "&amp;Milestones!$AC$171&amp;";  ","")&amp;IF(AND(EDATE($D141,Milestones!$AA$172)&lt;=AsOfDate,IF($Q141=0,$W141,IF(AND($S141&lt;&gt;"",EDATE($D141,Milestones!$AA$172)&gt;=$S141),$V141,IF(AND($R141&lt;&gt;"",EDATE($D141,Milestones!$AA$172)&gt;=$R141),$U141,$T141)))=Milestones!$AB$172),TEXT(EDATE($D141,Milestones!$AA$172),"dd/mm/yy")&amp;" "&amp;Milestones!$AB$172&amp;" "&amp;Milestones!$AC$172&amp;";  ","")&amp;IF(AND(EDATE($D141,Milestones!$AA$173)&lt;=AsOfDate,IF($Q141=0,$W141,IF(AND($S141&lt;&gt;"",EDATE($D141,Milestones!$AA$173)&gt;=$S141),$V141,IF(AND($R141&lt;&gt;"",EDATE($D141,Milestones!$AA$173)&gt;=$R141),$U141,$T141)))=Milestones!$AB$173),TEXT(EDATE($D141,Milestones!$AA$173),"dd/mm/yy")&amp;" "&amp;Milestones!$AB$173&amp;" "&amp;Milestones!$AC$173&amp;";  ","")&amp;IF(AND(EDATE($D141,Milestones!$AA$174)&lt;=AsOfDate,IF($Q141=0,$W141,IF(AND($S141&lt;&gt;"",EDATE($D141,Milestones!$AA$174)&gt;=$S141),$V141,IF(AND($R141&lt;&gt;"",EDATE($D141,Milestones!$AA$174)&gt;=$R141),$U141,$T141)))=Milestones!$AB$174),TEXT(EDATE($D141,Milestones!$AA$174),"dd/mm/yy")&amp;" "&amp;Milestones!$AB$174&amp;" "&amp;Milestones!$AC$174&amp;";  ","")&amp;IF(AND(EDATE($D141,Milestones!$AA$175)&lt;=AsOfDate,IF($Q141=0,$W141,IF(AND($S141&lt;&gt;"",EDATE($D141,Milestones!$AA$175)&gt;=$S141),$V141,IF(AND($R141&lt;&gt;"",EDATE($D141,Milestones!$AA$175)&gt;=$R141),$U141,$T141)))=Milestones!$AB$175),TEXT(EDATE($D141,Milestones!$AA$175),"dd/mm/yy")&amp;" "&amp;Milestones!$AB$175&amp;" "&amp;Milestones!$AC$175&amp;";  ","")&amp;IF(AND(EDATE($D141,Milestones!$AA$176)&lt;=AsOfDate,IF($Q141=0,$W141,IF(AND($S141&lt;&gt;"",EDATE($D141,Milestones!$AA$176)&gt;=$S141),$V141,IF(AND($R141&lt;&gt;"",EDATE($D141,Milestones!$AA$176)&gt;=$R141),$U141,$T141)))=Milestones!$AB$176),TEXT(EDATE($D141,Milestones!$AA$176),"dd/mm/yy")&amp;" "&amp;Milestones!$AB$176&amp;" "&amp;Milestones!$AC$176&amp;";  ","")&amp;IF(AND(EDATE($D141,Milestones!$AA$177)&lt;=AsOfDate,IF($Q141=0,$W141,IF(AND($S141&lt;&gt;"",EDATE($D141,Milestones!$AA$177)&gt;=$S141),$V141,IF(AND($R141&lt;&gt;"",EDATE($D141,Milestones!$AA$177)&gt;=$R141),$U141,$T141)))=Milestones!$AB$177),TEXT(EDATE($D141,Milestones!$AA$177),"dd/mm/yy")&amp;" "&amp;Milestones!$AB$177&amp;" "&amp;Milestones!$AC$177&amp;";  ","")&amp;IF(AND(EDATE($D141,Milestones!$AA$178)&lt;=AsOfDate,IF($Q141=0,$W141,IF(AND($S141&lt;&gt;"",EDATE($D141,Milestones!$AA$178)&gt;=$S141),$V141,IF(AND($R141&lt;&gt;"",EDATE($D141,Milestones!$AA$178)&gt;=$R141),$U141,$T141)))=Milestones!$AB$178),TEXT(EDATE($D141,Milestones!$AA$178),"dd/mm/yy")&amp;" "&amp;Milestones!$AB$178&amp;" "&amp;Milestones!$AC$178&amp;";  ","")&amp;IF(AND(EDATE($D141,Milestones!$AA$179)&lt;=AsOfDate,IF($Q141=0,$W141,IF(AND($S141&lt;&gt;"",EDATE($D141,Milestones!$AA$179)&gt;=$S141),$V141,IF(AND($R141&lt;&gt;"",EDATE($D141,Milestones!$AA$179)&gt;=$R141),$U141,$T141)))=Milestones!$AB$179),TEXT(EDATE($D141,Milestones!$AA$179),"dd/mm/yy")&amp;" "&amp;Milestones!$AB$179&amp;" "&amp;Milestones!$AC$179&amp;";  ",""))</f>
        <v/>
      </c>
      <c r="P141" s="0" t="str">
        <f aca="false">IF(OR($A141="",$D141=""),"",IF(AND(EDATE($D141,Milestones!$AA$180)&lt;=AsOfDate,IF($Q141=0,$W141,IF(AND($S141&lt;&gt;"",EDATE($D141,Milestones!$AA$180)&gt;=$S141),$V141,IF(AND($R141&lt;&gt;"",EDATE($D141,Milestones!$AA$180)&gt;=$R141),$U141,$T141)))=Milestones!$AB$180),TEXT(EDATE($D141,Milestones!$AA$180),"dd/mm/yy")&amp;" "&amp;Milestones!$AB$180&amp;" "&amp;Milestones!$AC$180&amp;";  ","")&amp;IF(AND(EDATE($D141,Milestones!$AA$181)&lt;=AsOfDate,IF($Q141=0,$W141,IF(AND($S141&lt;&gt;"",EDATE($D141,Milestones!$AA$181)&gt;=$S141),$V141,IF(AND($R141&lt;&gt;"",EDATE($D141,Milestones!$AA$181)&gt;=$R141),$U141,$T141)))=Milestones!$AB$181),TEXT(EDATE($D141,Milestones!$AA$181),"dd/mm/yy")&amp;" "&amp;Milestones!$AB$181&amp;" "&amp;Milestones!$AC$181&amp;";  ","")&amp;IF(AND(EDATE($D141,Milestones!$AA$182)&lt;=AsOfDate,IF($Q141=0,$W141,IF(AND($S141&lt;&gt;"",EDATE($D141,Milestones!$AA$182)&gt;=$S141),$V141,IF(AND($R141&lt;&gt;"",EDATE($D141,Milestones!$AA$182)&gt;=$R141),$U141,$T141)))=Milestones!$AB$182),TEXT(EDATE($D141,Milestones!$AA$182),"dd/mm/yy")&amp;" "&amp;Milestones!$AB$182&amp;" "&amp;Milestones!$AC$182&amp;";  ","")&amp;IF(AND(EDATE($D141,Milestones!$AA$183)&lt;=AsOfDate,IF($Q141=0,$W141,IF(AND($S141&lt;&gt;"",EDATE($D141,Milestones!$AA$183)&gt;=$S141),$V141,IF(AND($R141&lt;&gt;"",EDATE($D141,Milestones!$AA$183)&gt;=$R141),$U141,$T141)))=Milestones!$AB$183),TEXT(EDATE($D141,Milestones!$AA$183),"dd/mm/yy")&amp;" "&amp;Milestones!$AB$183&amp;" "&amp;Milestones!$AC$183&amp;";  ","")&amp;IF(AND(EDATE($D141,Milestones!$AA$184)&lt;=AsOfDate,IF($Q141=0,$W141,IF(AND($S141&lt;&gt;"",EDATE($D141,Milestones!$AA$184)&gt;=$S141),$V141,IF(AND($R141&lt;&gt;"",EDATE($D141,Milestones!$AA$184)&gt;=$R141),$U141,$T141)))=Milestones!$AB$184),TEXT(EDATE($D141,Milestones!$AA$184),"dd/mm/yy")&amp;" "&amp;Milestones!$AB$184&amp;" "&amp;Milestones!$AC$184&amp;";  ","")&amp;IF(AND(EDATE($D141,Milestones!$AA$185)&lt;=AsOfDate,IF($Q141=0,$W141,IF(AND($S141&lt;&gt;"",EDATE($D141,Milestones!$AA$185)&gt;=$S141),$V141,IF(AND($R141&lt;&gt;"",EDATE($D141,Milestones!$AA$185)&gt;=$R141),$U141,$T141)))=Milestones!$AB$185),TEXT(EDATE($D141,Milestones!$AA$185),"dd/mm/yy")&amp;" "&amp;Milestones!$AB$185&amp;" "&amp;Milestones!$AC$185&amp;";  ","")&amp;IF(AND(EDATE($D141,Milestones!$AA$186)&lt;=AsOfDate,IF($Q141=0,$W141,IF(AND($S141&lt;&gt;"",EDATE($D141,Milestones!$AA$186)&gt;=$S141),$V141,IF(AND($R141&lt;&gt;"",EDATE($D141,Milestones!$AA$186)&gt;=$R141),$U141,$T141)))=Milestones!$AB$186),TEXT(EDATE($D141,Milestones!$AA$186),"dd/mm/yy")&amp;" "&amp;Milestones!$AB$186&amp;" "&amp;Milestones!$AC$186&amp;";  ","")&amp;IF(AND(EDATE($D141,Milestones!$AA$187)&lt;=AsOfDate,IF($Q141=0,$W141,IF(AND($S141&lt;&gt;"",EDATE($D141,Milestones!$AA$187)&gt;=$S141),$V141,IF(AND($R141&lt;&gt;"",EDATE($D141,Milestones!$AA$187)&gt;=$R141),$U141,$T141)))=Milestones!$AB$187),TEXT(EDATE($D141,Milestones!$AA$187),"dd/mm/yy")&amp;" "&amp;Milestones!$AB$187&amp;" "&amp;Milestones!$AC$187&amp;";  ","")&amp;IF(AND(EDATE($D141,Milestones!$AA$188)&lt;=AsOfDate,IF($Q141=0,$W141,IF(AND($S141&lt;&gt;"",EDATE($D141,Milestones!$AA$188)&gt;=$S141),$V141,IF(AND($R141&lt;&gt;"",EDATE($D141,Milestones!$AA$188)&gt;=$R141),$U141,$T141)))=Milestones!$AB$188),TEXT(EDATE($D141,Milestones!$AA$188),"dd/mm/yy")&amp;" "&amp;Milestones!$AB$188&amp;" "&amp;Milestones!$AC$188&amp;";  ","")&amp;IF(AND(EDATE($D141,Milestones!$AA$189)&lt;=AsOfDate,IF($Q141=0,$W141,IF(AND($S141&lt;&gt;"",EDATE($D141,Milestones!$AA$189)&gt;=$S141),$V141,IF(AND($R141&lt;&gt;"",EDATE($D141,Milestones!$AA$189)&gt;=$R141),$U141,$T141)))=Milestones!$AB$189),TEXT(EDATE($D141,Milestones!$AA$189),"dd/mm/yy")&amp;" "&amp;Milestones!$AB$189&amp;" "&amp;Milestones!$AC$189&amp;";  ","")&amp;IF(AND(EDATE($D141,Milestones!$AA$190)&lt;=AsOfDate,IF($Q141=0,$W141,IF(AND($S141&lt;&gt;"",EDATE($D141,Milestones!$AA$190)&gt;=$S141),$V141,IF(AND($R141&lt;&gt;"",EDATE($D141,Milestones!$AA$190)&gt;=$R141),$U141,$T141)))=Milestones!$AB$190),TEXT(EDATE($D141,Milestones!$AA$190),"dd/mm/yy")&amp;" "&amp;Milestones!$AB$190&amp;" "&amp;Milestones!$AC$190&amp;";  ","")&amp;IF(AND(EDATE($D141,Milestones!$AA$191)&lt;=AsOfDate,IF($Q141=0,$W141,IF(AND($S141&lt;&gt;"",EDATE($D141,Milestones!$AA$191)&gt;=$S141),$V141,IF(AND($R141&lt;&gt;"",EDATE($D141,Milestones!$AA$191)&gt;=$R141),$U141,$T141)))=Milestones!$AB$191),TEXT(EDATE($D141,Milestones!$AA$191),"dd/mm/yy")&amp;" "&amp;Milestones!$AB$191&amp;" "&amp;Milestones!$AC$191&amp;";  ","")&amp;IF(AND(EDATE($D141,Milestones!$AA$192)&lt;=AsOfDate,IF($Q141=0,$W141,IF(AND($S141&lt;&gt;"",EDATE($D141,Milestones!$AA$192)&gt;=$S141),$V141,IF(AND($R141&lt;&gt;"",EDATE($D141,Milestones!$AA$192)&gt;=$R141),$U141,$T141)))=Milestones!$AB$192),TEXT(EDATE($D141,Milestones!$AA$192),"dd/mm/yy")&amp;" "&amp;Milestones!$AB$192&amp;" "&amp;Milestones!$AC$192&amp;";  ","")&amp;IF(AND(EDATE($D141,Milestones!$AA$193)&lt;=AsOfDate,IF($Q141=0,$W141,IF(AND($S141&lt;&gt;"",EDATE($D141,Milestones!$AA$193)&gt;=$S141),$V141,IF(AND($R141&lt;&gt;"",EDATE($D141,Milestones!$AA$193)&gt;=$R141),$U141,$T141)))=Milestones!$AB$193),TEXT(EDATE($D141,Milestones!$AA$193),"dd/mm/yy")&amp;" "&amp;Milestones!$AB$193&amp;" "&amp;Milestones!$AC$193&amp;";  ","")&amp;IF(AND(EDATE($D141,Milestones!$AA$194)&lt;=AsOfDate,IF($Q141=0,$W141,IF(AND($S141&lt;&gt;"",EDATE($D141,Milestones!$AA$194)&gt;=$S141),$V141,IF(AND($R141&lt;&gt;"",EDATE($D141,Milestones!$AA$194)&gt;=$R141),$U141,$T141)))=Milestones!$AB$194),TEXT(EDATE($D141,Milestones!$AA$194),"dd/mm/yy")&amp;" "&amp;Milestones!$AB$194&amp;" "&amp;Milestones!$AC$194&amp;";  ","")&amp;IF(AND(EDATE($D141,Milestones!$AA$195)&lt;=AsOfDate,IF($Q141=0,$W141,IF(AND($S141&lt;&gt;"",EDATE($D141,Milestones!$AA$195)&gt;=$S141),$V141,IF(AND($R141&lt;&gt;"",EDATE($D141,Milestones!$AA$195)&gt;=$R141),$U141,$T141)))=Milestones!$AB$195),TEXT(EDATE($D141,Milestones!$AA$195),"dd/mm/yy")&amp;" "&amp;Milestones!$AB$195&amp;" "&amp;Milestones!$AC$195&amp;";  ","")&amp;IF(AND(EDATE($D141,Milestones!$AA$196)&lt;=AsOfDate,IF($Q141=0,$W141,IF(AND($S141&lt;&gt;"",EDATE($D141,Milestones!$AA$196)&gt;=$S141),$V141,IF(AND($R141&lt;&gt;"",EDATE($D141,Milestones!$AA$196)&gt;=$R141),$U141,$T141)))=Milestones!$AB$196),TEXT(EDATE($D141,Milestones!$AA$196),"dd/mm/yy")&amp;" "&amp;Milestones!$AB$196&amp;" "&amp;Milestones!$AC$196&amp;";  ","")&amp;IF(AND(EDATE($D141,Milestones!$AA$197)&lt;=AsOfDate,IF($Q141=0,$W141,IF(AND($S141&lt;&gt;"",EDATE($D141,Milestones!$AA$197)&gt;=$S141),$V141,IF(AND($R141&lt;&gt;"",EDATE($D141,Milestones!$AA$197)&gt;=$R141),$U141,$T141)))=Milestones!$AB$197),TEXT(EDATE($D141,Milestones!$AA$197),"dd/mm/yy")&amp;" "&amp;Milestones!$AB$197&amp;" "&amp;Milestones!$AC$197&amp;";  ","")&amp;IF(AND(EDATE($D141,Milestones!$AA$198)&lt;=AsOfDate,IF($Q141=0,$W141,IF(AND($S141&lt;&gt;"",EDATE($D141,Milestones!$AA$198)&gt;=$S141),$V141,IF(AND($R141&lt;&gt;"",EDATE($D141,Milestones!$AA$198)&gt;=$R141),$U141,$T141)))=Milestones!$AB$198),TEXT(EDATE($D141,Milestones!$AA$198),"dd/mm/yy")&amp;" "&amp;Milestones!$AB$198&amp;" "&amp;Milestones!$AC$198&amp;";  ","")&amp;IF(AND(EDATE($D141,Milestones!$AA$199)&lt;=AsOfDate,IF($Q141=0,$W141,IF(AND($S141&lt;&gt;"",EDATE($D141,Milestones!$AA$199)&gt;=$S141),$V141,IF(AND($R141&lt;&gt;"",EDATE($D141,Milestones!$AA$199)&gt;=$R141),$U141,$T141)))=Milestones!$AB$199),TEXT(EDATE($D141,Milestones!$AA$199),"dd/mm/yy")&amp;" "&amp;Milestones!$AB$199&amp;" "&amp;Milestones!$AC$199&amp;";  ",""))</f>
        <v/>
      </c>
      <c r="Q141" s="0" t="str">
        <f aca="false">IF(Staff!$A141="","",Staff!$AG141)</f>
        <v/>
      </c>
      <c r="R141" s="0" t="str">
        <f aca="false">IF(Staff!$A141="","",Staff!$AI141)</f>
        <v/>
      </c>
      <c r="S141" s="0" t="str">
        <f aca="false">IF(Staff!$A141="","",Staff!$AJ141)</f>
        <v/>
      </c>
      <c r="T141" s="0" t="str">
        <f aca="false">IF(Staff!$A141="","",Staff!$AN141)</f>
        <v/>
      </c>
      <c r="U141" s="0" t="str">
        <f aca="false">IF(Staff!$A141="","",Staff!$AO141)</f>
        <v/>
      </c>
      <c r="V141" s="0" t="str">
        <f aca="false">IF(Staff!$A141="","",Staff!$AP141)</f>
        <v/>
      </c>
      <c r="W141" s="0" t="str">
        <f aca="false">IF(Staff!$A141="","",Staff!$AQ141)</f>
        <v/>
      </c>
    </row>
    <row r="142" customFormat="false" ht="15" hidden="false" customHeight="false" outlineLevel="0" collapsed="false">
      <c r="A142" s="13" t="str">
        <f aca="false">IF(Staff!$A142="","",Staff!$A142)</f>
        <v/>
      </c>
      <c r="B142" s="13" t="str">
        <f aca="false">IF(Staff!$A142="","",Staff!$B142)</f>
        <v/>
      </c>
      <c r="C142" s="13" t="str">
        <f aca="false">IF(Staff!$A142="","",Staff!$C142)</f>
        <v/>
      </c>
      <c r="D142" s="11" t="str">
        <f aca="false">IF(Staff!$A142="","",Staff!$AF142)</f>
        <v/>
      </c>
      <c r="E142" s="13" t="str">
        <f aca="false">IF(Staff!$A142="","",Staff!$O142)</f>
        <v/>
      </c>
      <c r="F142" s="13" t="str">
        <f aca="false">IF(E142="","",E142*HoursPerDay)</f>
        <v/>
      </c>
      <c r="G142" s="26" t="str">
        <f aca="false">IF($A142="","",H142&amp;I142&amp;J142&amp;K142&amp;L142&amp;M142&amp;N142&amp;O142&amp;P142)</f>
        <v/>
      </c>
      <c r="H142" s="0" t="str">
        <f aca="false">IF(OR($A142="",$D142=""),"",IF(AND(EDATE($D142,Milestones!$AA$20)&lt;=AsOfDate,IF($Q142=0,$W142,IF(AND($S142&lt;&gt;"",EDATE($D142,Milestones!$AA$20)&gt;=$S142),$V142,IF(AND($R142&lt;&gt;"",EDATE($D142,Milestones!$AA$20)&gt;=$R142),$U142,$T142)))=Milestones!$AB$20),TEXT(EDATE($D142,Milestones!$AA$20),"dd/mm/yy")&amp;" "&amp;Milestones!$AB$20&amp;" "&amp;Milestones!$AC$20&amp;";  ","")&amp;IF(AND(EDATE($D142,Milestones!$AA$21)&lt;=AsOfDate,IF($Q142=0,$W142,IF(AND($S142&lt;&gt;"",EDATE($D142,Milestones!$AA$21)&gt;=$S142),$V142,IF(AND($R142&lt;&gt;"",EDATE($D142,Milestones!$AA$21)&gt;=$R142),$U142,$T142)))=Milestones!$AB$21),TEXT(EDATE($D142,Milestones!$AA$21),"dd/mm/yy")&amp;" "&amp;Milestones!$AB$21&amp;" "&amp;Milestones!$AC$21&amp;";  ","")&amp;IF(AND(EDATE($D142,Milestones!$AA$22)&lt;=AsOfDate,IF($Q142=0,$W142,IF(AND($S142&lt;&gt;"",EDATE($D142,Milestones!$AA$22)&gt;=$S142),$V142,IF(AND($R142&lt;&gt;"",EDATE($D142,Milestones!$AA$22)&gt;=$R142),$U142,$T142)))=Milestones!$AB$22),TEXT(EDATE($D142,Milestones!$AA$22),"dd/mm/yy")&amp;" "&amp;Milestones!$AB$22&amp;" "&amp;Milestones!$AC$22&amp;";  ","")&amp;IF(AND(EDATE($D142,Milestones!$AA$23)&lt;=AsOfDate,IF($Q142=0,$W142,IF(AND($S142&lt;&gt;"",EDATE($D142,Milestones!$AA$23)&gt;=$S142),$V142,IF(AND($R142&lt;&gt;"",EDATE($D142,Milestones!$AA$23)&gt;=$R142),$U142,$T142)))=Milestones!$AB$23),TEXT(EDATE($D142,Milestones!$AA$23),"dd/mm/yy")&amp;" "&amp;Milestones!$AB$23&amp;" "&amp;Milestones!$AC$23&amp;";  ","")&amp;IF(AND(EDATE($D142,Milestones!$AA$24)&lt;=AsOfDate,IF($Q142=0,$W142,IF(AND($S142&lt;&gt;"",EDATE($D142,Milestones!$AA$24)&gt;=$S142),$V142,IF(AND($R142&lt;&gt;"",EDATE($D142,Milestones!$AA$24)&gt;=$R142),$U142,$T142)))=Milestones!$AB$24),TEXT(EDATE($D142,Milestones!$AA$24),"dd/mm/yy")&amp;" "&amp;Milestones!$AB$24&amp;" "&amp;Milestones!$AC$24&amp;";  ","")&amp;IF(AND(EDATE($D142,Milestones!$AA$25)&lt;=AsOfDate,IF($Q142=0,$W142,IF(AND($S142&lt;&gt;"",EDATE($D142,Milestones!$AA$25)&gt;=$S142),$V142,IF(AND($R142&lt;&gt;"",EDATE($D142,Milestones!$AA$25)&gt;=$R142),$U142,$T142)))=Milestones!$AB$25),TEXT(EDATE($D142,Milestones!$AA$25),"dd/mm/yy")&amp;" "&amp;Milestones!$AB$25&amp;" "&amp;Milestones!$AC$25&amp;";  ","")&amp;IF(AND(EDATE($D142,Milestones!$AA$26)&lt;=AsOfDate,IF($Q142=0,$W142,IF(AND($S142&lt;&gt;"",EDATE($D142,Milestones!$AA$26)&gt;=$S142),$V142,IF(AND($R142&lt;&gt;"",EDATE($D142,Milestones!$AA$26)&gt;=$R142),$U142,$T142)))=Milestones!$AB$26),TEXT(EDATE($D142,Milestones!$AA$26),"dd/mm/yy")&amp;" "&amp;Milestones!$AB$26&amp;" "&amp;Milestones!$AC$26&amp;";  ","")&amp;IF(AND(EDATE($D142,Milestones!$AA$27)&lt;=AsOfDate,IF($Q142=0,$W142,IF(AND($S142&lt;&gt;"",EDATE($D142,Milestones!$AA$27)&gt;=$S142),$V142,IF(AND($R142&lt;&gt;"",EDATE($D142,Milestones!$AA$27)&gt;=$R142),$U142,$T142)))=Milestones!$AB$27),TEXT(EDATE($D142,Milestones!$AA$27),"dd/mm/yy")&amp;" "&amp;Milestones!$AB$27&amp;" "&amp;Milestones!$AC$27&amp;";  ","")&amp;IF(AND(EDATE($D142,Milestones!$AA$28)&lt;=AsOfDate,IF($Q142=0,$W142,IF(AND($S142&lt;&gt;"",EDATE($D142,Milestones!$AA$28)&gt;=$S142),$V142,IF(AND($R142&lt;&gt;"",EDATE($D142,Milestones!$AA$28)&gt;=$R142),$U142,$T142)))=Milestones!$AB$28),TEXT(EDATE($D142,Milestones!$AA$28),"dd/mm/yy")&amp;" "&amp;Milestones!$AB$28&amp;" "&amp;Milestones!$AC$28&amp;";  ","")&amp;IF(AND(EDATE($D142,Milestones!$AA$29)&lt;=AsOfDate,IF($Q142=0,$W142,IF(AND($S142&lt;&gt;"",EDATE($D142,Milestones!$AA$29)&gt;=$S142),$V142,IF(AND($R142&lt;&gt;"",EDATE($D142,Milestones!$AA$29)&gt;=$R142),$U142,$T142)))=Milestones!$AB$29),TEXT(EDATE($D142,Milestones!$AA$29),"dd/mm/yy")&amp;" "&amp;Milestones!$AB$29&amp;" "&amp;Milestones!$AC$29&amp;";  ","")&amp;IF(AND(EDATE($D142,Milestones!$AA$30)&lt;=AsOfDate,IF($Q142=0,$W142,IF(AND($S142&lt;&gt;"",EDATE($D142,Milestones!$AA$30)&gt;=$S142),$V142,IF(AND($R142&lt;&gt;"",EDATE($D142,Milestones!$AA$30)&gt;=$R142),$U142,$T142)))=Milestones!$AB$30),TEXT(EDATE($D142,Milestones!$AA$30),"dd/mm/yy")&amp;" "&amp;Milestones!$AB$30&amp;" "&amp;Milestones!$AC$30&amp;";  ","")&amp;IF(AND(EDATE($D142,Milestones!$AA$31)&lt;=AsOfDate,IF($Q142=0,$W142,IF(AND($S142&lt;&gt;"",EDATE($D142,Milestones!$AA$31)&gt;=$S142),$V142,IF(AND($R142&lt;&gt;"",EDATE($D142,Milestones!$AA$31)&gt;=$R142),$U142,$T142)))=Milestones!$AB$31),TEXT(EDATE($D142,Milestones!$AA$31),"dd/mm/yy")&amp;" "&amp;Milestones!$AB$31&amp;" "&amp;Milestones!$AC$31&amp;";  ","")&amp;IF(AND(EDATE($D142,Milestones!$AA$32)&lt;=AsOfDate,IF($Q142=0,$W142,IF(AND($S142&lt;&gt;"",EDATE($D142,Milestones!$AA$32)&gt;=$S142),$V142,IF(AND($R142&lt;&gt;"",EDATE($D142,Milestones!$AA$32)&gt;=$R142),$U142,$T142)))=Milestones!$AB$32),TEXT(EDATE($D142,Milestones!$AA$32),"dd/mm/yy")&amp;" "&amp;Milestones!$AB$32&amp;" "&amp;Milestones!$AC$32&amp;";  ","")&amp;IF(AND(EDATE($D142,Milestones!$AA$33)&lt;=AsOfDate,IF($Q142=0,$W142,IF(AND($S142&lt;&gt;"",EDATE($D142,Milestones!$AA$33)&gt;=$S142),$V142,IF(AND($R142&lt;&gt;"",EDATE($D142,Milestones!$AA$33)&gt;=$R142),$U142,$T142)))=Milestones!$AB$33),TEXT(EDATE($D142,Milestones!$AA$33),"dd/mm/yy")&amp;" "&amp;Milestones!$AB$33&amp;" "&amp;Milestones!$AC$33&amp;";  ","")&amp;IF(AND(EDATE($D142,Milestones!$AA$34)&lt;=AsOfDate,IF($Q142=0,$W142,IF(AND($S142&lt;&gt;"",EDATE($D142,Milestones!$AA$34)&gt;=$S142),$V142,IF(AND($R142&lt;&gt;"",EDATE($D142,Milestones!$AA$34)&gt;=$R142),$U142,$T142)))=Milestones!$AB$34),TEXT(EDATE($D142,Milestones!$AA$34),"dd/mm/yy")&amp;" "&amp;Milestones!$AB$34&amp;" "&amp;Milestones!$AC$34&amp;";  ","")&amp;IF(AND(EDATE($D142,Milestones!$AA$35)&lt;=AsOfDate,IF($Q142=0,$W142,IF(AND($S142&lt;&gt;"",EDATE($D142,Milestones!$AA$35)&gt;=$S142),$V142,IF(AND($R142&lt;&gt;"",EDATE($D142,Milestones!$AA$35)&gt;=$R142),$U142,$T142)))=Milestones!$AB$35),TEXT(EDATE($D142,Milestones!$AA$35),"dd/mm/yy")&amp;" "&amp;Milestones!$AB$35&amp;" "&amp;Milestones!$AC$35&amp;";  ","")&amp;IF(AND(EDATE($D142,Milestones!$AA$36)&lt;=AsOfDate,IF($Q142=0,$W142,IF(AND($S142&lt;&gt;"",EDATE($D142,Milestones!$AA$36)&gt;=$S142),$V142,IF(AND($R142&lt;&gt;"",EDATE($D142,Milestones!$AA$36)&gt;=$R142),$U142,$T142)))=Milestones!$AB$36),TEXT(EDATE($D142,Milestones!$AA$36),"dd/mm/yy")&amp;" "&amp;Milestones!$AB$36&amp;" "&amp;Milestones!$AC$36&amp;";  ","")&amp;IF(AND(EDATE($D142,Milestones!$AA$37)&lt;=AsOfDate,IF($Q142=0,$W142,IF(AND($S142&lt;&gt;"",EDATE($D142,Milestones!$AA$37)&gt;=$S142),$V142,IF(AND($R142&lt;&gt;"",EDATE($D142,Milestones!$AA$37)&gt;=$R142),$U142,$T142)))=Milestones!$AB$37),TEXT(EDATE($D142,Milestones!$AA$37),"dd/mm/yy")&amp;" "&amp;Milestones!$AB$37&amp;" "&amp;Milestones!$AC$37&amp;";  ","")&amp;IF(AND(EDATE($D142,Milestones!$AA$38)&lt;=AsOfDate,IF($Q142=0,$W142,IF(AND($S142&lt;&gt;"",EDATE($D142,Milestones!$AA$38)&gt;=$S142),$V142,IF(AND($R142&lt;&gt;"",EDATE($D142,Milestones!$AA$38)&gt;=$R142),$U142,$T142)))=Milestones!$AB$38),TEXT(EDATE($D142,Milestones!$AA$38),"dd/mm/yy")&amp;" "&amp;Milestones!$AB$38&amp;" "&amp;Milestones!$AC$38&amp;";  ","")&amp;IF(AND(EDATE($D142,Milestones!$AA$39)&lt;=AsOfDate,IF($Q142=0,$W142,IF(AND($S142&lt;&gt;"",EDATE($D142,Milestones!$AA$39)&gt;=$S142),$V142,IF(AND($R142&lt;&gt;"",EDATE($D142,Milestones!$AA$39)&gt;=$R142),$U142,$T142)))=Milestones!$AB$39),TEXT(EDATE($D142,Milestones!$AA$39),"dd/mm/yy")&amp;" "&amp;Milestones!$AB$39&amp;" "&amp;Milestones!$AC$39&amp;";  ",""))</f>
        <v/>
      </c>
      <c r="I142" s="0" t="str">
        <f aca="false">IF(OR($A142="",$D142=""),"",IF(AND(EDATE($D142,Milestones!$AA$40)&lt;=AsOfDate,IF($Q142=0,$W142,IF(AND($S142&lt;&gt;"",EDATE($D142,Milestones!$AA$40)&gt;=$S142),$V142,IF(AND($R142&lt;&gt;"",EDATE($D142,Milestones!$AA$40)&gt;=$R142),$U142,$T142)))=Milestones!$AB$40),TEXT(EDATE($D142,Milestones!$AA$40),"dd/mm/yy")&amp;" "&amp;Milestones!$AB$40&amp;" "&amp;Milestones!$AC$40&amp;";  ","")&amp;IF(AND(EDATE($D142,Milestones!$AA$41)&lt;=AsOfDate,IF($Q142=0,$W142,IF(AND($S142&lt;&gt;"",EDATE($D142,Milestones!$AA$41)&gt;=$S142),$V142,IF(AND($R142&lt;&gt;"",EDATE($D142,Milestones!$AA$41)&gt;=$R142),$U142,$T142)))=Milestones!$AB$41),TEXT(EDATE($D142,Milestones!$AA$41),"dd/mm/yy")&amp;" "&amp;Milestones!$AB$41&amp;" "&amp;Milestones!$AC$41&amp;";  ","")&amp;IF(AND(EDATE($D142,Milestones!$AA$42)&lt;=AsOfDate,IF($Q142=0,$W142,IF(AND($S142&lt;&gt;"",EDATE($D142,Milestones!$AA$42)&gt;=$S142),$V142,IF(AND($R142&lt;&gt;"",EDATE($D142,Milestones!$AA$42)&gt;=$R142),$U142,$T142)))=Milestones!$AB$42),TEXT(EDATE($D142,Milestones!$AA$42),"dd/mm/yy")&amp;" "&amp;Milestones!$AB$42&amp;" "&amp;Milestones!$AC$42&amp;";  ","")&amp;IF(AND(EDATE($D142,Milestones!$AA$43)&lt;=AsOfDate,IF($Q142=0,$W142,IF(AND($S142&lt;&gt;"",EDATE($D142,Milestones!$AA$43)&gt;=$S142),$V142,IF(AND($R142&lt;&gt;"",EDATE($D142,Milestones!$AA$43)&gt;=$R142),$U142,$T142)))=Milestones!$AB$43),TEXT(EDATE($D142,Milestones!$AA$43),"dd/mm/yy")&amp;" "&amp;Milestones!$AB$43&amp;" "&amp;Milestones!$AC$43&amp;";  ","")&amp;IF(AND(EDATE($D142,Milestones!$AA$44)&lt;=AsOfDate,IF($Q142=0,$W142,IF(AND($S142&lt;&gt;"",EDATE($D142,Milestones!$AA$44)&gt;=$S142),$V142,IF(AND($R142&lt;&gt;"",EDATE($D142,Milestones!$AA$44)&gt;=$R142),$U142,$T142)))=Milestones!$AB$44),TEXT(EDATE($D142,Milestones!$AA$44),"dd/mm/yy")&amp;" "&amp;Milestones!$AB$44&amp;" "&amp;Milestones!$AC$44&amp;";  ","")&amp;IF(AND(EDATE($D142,Milestones!$AA$45)&lt;=AsOfDate,IF($Q142=0,$W142,IF(AND($S142&lt;&gt;"",EDATE($D142,Milestones!$AA$45)&gt;=$S142),$V142,IF(AND($R142&lt;&gt;"",EDATE($D142,Milestones!$AA$45)&gt;=$R142),$U142,$T142)))=Milestones!$AB$45),TEXT(EDATE($D142,Milestones!$AA$45),"dd/mm/yy")&amp;" "&amp;Milestones!$AB$45&amp;" "&amp;Milestones!$AC$45&amp;";  ","")&amp;IF(AND(EDATE($D142,Milestones!$AA$46)&lt;=AsOfDate,IF($Q142=0,$W142,IF(AND($S142&lt;&gt;"",EDATE($D142,Milestones!$AA$46)&gt;=$S142),$V142,IF(AND($R142&lt;&gt;"",EDATE($D142,Milestones!$AA$46)&gt;=$R142),$U142,$T142)))=Milestones!$AB$46),TEXT(EDATE($D142,Milestones!$AA$46),"dd/mm/yy")&amp;" "&amp;Milestones!$AB$46&amp;" "&amp;Milestones!$AC$46&amp;";  ","")&amp;IF(AND(EDATE($D142,Milestones!$AA$47)&lt;=AsOfDate,IF($Q142=0,$W142,IF(AND($S142&lt;&gt;"",EDATE($D142,Milestones!$AA$47)&gt;=$S142),$V142,IF(AND($R142&lt;&gt;"",EDATE($D142,Milestones!$AA$47)&gt;=$R142),$U142,$T142)))=Milestones!$AB$47),TEXT(EDATE($D142,Milestones!$AA$47),"dd/mm/yy")&amp;" "&amp;Milestones!$AB$47&amp;" "&amp;Milestones!$AC$47&amp;";  ","")&amp;IF(AND(EDATE($D142,Milestones!$AA$48)&lt;=AsOfDate,IF($Q142=0,$W142,IF(AND($S142&lt;&gt;"",EDATE($D142,Milestones!$AA$48)&gt;=$S142),$V142,IF(AND($R142&lt;&gt;"",EDATE($D142,Milestones!$AA$48)&gt;=$R142),$U142,$T142)))=Milestones!$AB$48),TEXT(EDATE($D142,Milestones!$AA$48),"dd/mm/yy")&amp;" "&amp;Milestones!$AB$48&amp;" "&amp;Milestones!$AC$48&amp;";  ","")&amp;IF(AND(EDATE($D142,Milestones!$AA$49)&lt;=AsOfDate,IF($Q142=0,$W142,IF(AND($S142&lt;&gt;"",EDATE($D142,Milestones!$AA$49)&gt;=$S142),$V142,IF(AND($R142&lt;&gt;"",EDATE($D142,Milestones!$AA$49)&gt;=$R142),$U142,$T142)))=Milestones!$AB$49),TEXT(EDATE($D142,Milestones!$AA$49),"dd/mm/yy")&amp;" "&amp;Milestones!$AB$49&amp;" "&amp;Milestones!$AC$49&amp;";  ","")&amp;IF(AND(EDATE($D142,Milestones!$AA$50)&lt;=AsOfDate,IF($Q142=0,$W142,IF(AND($S142&lt;&gt;"",EDATE($D142,Milestones!$AA$50)&gt;=$S142),$V142,IF(AND($R142&lt;&gt;"",EDATE($D142,Milestones!$AA$50)&gt;=$R142),$U142,$T142)))=Milestones!$AB$50),TEXT(EDATE($D142,Milestones!$AA$50),"dd/mm/yy")&amp;" "&amp;Milestones!$AB$50&amp;" "&amp;Milestones!$AC$50&amp;";  ","")&amp;IF(AND(EDATE($D142,Milestones!$AA$51)&lt;=AsOfDate,IF($Q142=0,$W142,IF(AND($S142&lt;&gt;"",EDATE($D142,Milestones!$AA$51)&gt;=$S142),$V142,IF(AND($R142&lt;&gt;"",EDATE($D142,Milestones!$AA$51)&gt;=$R142),$U142,$T142)))=Milestones!$AB$51),TEXT(EDATE($D142,Milestones!$AA$51),"dd/mm/yy")&amp;" "&amp;Milestones!$AB$51&amp;" "&amp;Milestones!$AC$51&amp;";  ","")&amp;IF(AND(EDATE($D142,Milestones!$AA$52)&lt;=AsOfDate,IF($Q142=0,$W142,IF(AND($S142&lt;&gt;"",EDATE($D142,Milestones!$AA$52)&gt;=$S142),$V142,IF(AND($R142&lt;&gt;"",EDATE($D142,Milestones!$AA$52)&gt;=$R142),$U142,$T142)))=Milestones!$AB$52),TEXT(EDATE($D142,Milestones!$AA$52),"dd/mm/yy")&amp;" "&amp;Milestones!$AB$52&amp;" "&amp;Milestones!$AC$52&amp;";  ","")&amp;IF(AND(EDATE($D142,Milestones!$AA$53)&lt;=AsOfDate,IF($Q142=0,$W142,IF(AND($S142&lt;&gt;"",EDATE($D142,Milestones!$AA$53)&gt;=$S142),$V142,IF(AND($R142&lt;&gt;"",EDATE($D142,Milestones!$AA$53)&gt;=$R142),$U142,$T142)))=Milestones!$AB$53),TEXT(EDATE($D142,Milestones!$AA$53),"dd/mm/yy")&amp;" "&amp;Milestones!$AB$53&amp;" "&amp;Milestones!$AC$53&amp;";  ","")&amp;IF(AND(EDATE($D142,Milestones!$AA$54)&lt;=AsOfDate,IF($Q142=0,$W142,IF(AND($S142&lt;&gt;"",EDATE($D142,Milestones!$AA$54)&gt;=$S142),$V142,IF(AND($R142&lt;&gt;"",EDATE($D142,Milestones!$AA$54)&gt;=$R142),$U142,$T142)))=Milestones!$AB$54),TEXT(EDATE($D142,Milestones!$AA$54),"dd/mm/yy")&amp;" "&amp;Milestones!$AB$54&amp;" "&amp;Milestones!$AC$54&amp;";  ","")&amp;IF(AND(EDATE($D142,Milestones!$AA$55)&lt;=AsOfDate,IF($Q142=0,$W142,IF(AND($S142&lt;&gt;"",EDATE($D142,Milestones!$AA$55)&gt;=$S142),$V142,IF(AND($R142&lt;&gt;"",EDATE($D142,Milestones!$AA$55)&gt;=$R142),$U142,$T142)))=Milestones!$AB$55),TEXT(EDATE($D142,Milestones!$AA$55),"dd/mm/yy")&amp;" "&amp;Milestones!$AB$55&amp;" "&amp;Milestones!$AC$55&amp;";  ","")&amp;IF(AND(EDATE($D142,Milestones!$AA$56)&lt;=AsOfDate,IF($Q142=0,$W142,IF(AND($S142&lt;&gt;"",EDATE($D142,Milestones!$AA$56)&gt;=$S142),$V142,IF(AND($R142&lt;&gt;"",EDATE($D142,Milestones!$AA$56)&gt;=$R142),$U142,$T142)))=Milestones!$AB$56),TEXT(EDATE($D142,Milestones!$AA$56),"dd/mm/yy")&amp;" "&amp;Milestones!$AB$56&amp;" "&amp;Milestones!$AC$56&amp;";  ","")&amp;IF(AND(EDATE($D142,Milestones!$AA$57)&lt;=AsOfDate,IF($Q142=0,$W142,IF(AND($S142&lt;&gt;"",EDATE($D142,Milestones!$AA$57)&gt;=$S142),$V142,IF(AND($R142&lt;&gt;"",EDATE($D142,Milestones!$AA$57)&gt;=$R142),$U142,$T142)))=Milestones!$AB$57),TEXT(EDATE($D142,Milestones!$AA$57),"dd/mm/yy")&amp;" "&amp;Milestones!$AB$57&amp;" "&amp;Milestones!$AC$57&amp;";  ","")&amp;IF(AND(EDATE($D142,Milestones!$AA$58)&lt;=AsOfDate,IF($Q142=0,$W142,IF(AND($S142&lt;&gt;"",EDATE($D142,Milestones!$AA$58)&gt;=$S142),$V142,IF(AND($R142&lt;&gt;"",EDATE($D142,Milestones!$AA$58)&gt;=$R142),$U142,$T142)))=Milestones!$AB$58),TEXT(EDATE($D142,Milestones!$AA$58),"dd/mm/yy")&amp;" "&amp;Milestones!$AB$58&amp;" "&amp;Milestones!$AC$58&amp;";  ","")&amp;IF(AND(EDATE($D142,Milestones!$AA$59)&lt;=AsOfDate,IF($Q142=0,$W142,IF(AND($S142&lt;&gt;"",EDATE($D142,Milestones!$AA$59)&gt;=$S142),$V142,IF(AND($R142&lt;&gt;"",EDATE($D142,Milestones!$AA$59)&gt;=$R142),$U142,$T142)))=Milestones!$AB$59),TEXT(EDATE($D142,Milestones!$AA$59),"dd/mm/yy")&amp;" "&amp;Milestones!$AB$59&amp;" "&amp;Milestones!$AC$59&amp;";  ",""))</f>
        <v/>
      </c>
      <c r="J142" s="0" t="str">
        <f aca="false">IF(OR($A142="",$D142=""),"",IF(AND(EDATE($D142,Milestones!$AA$60)&lt;=AsOfDate,IF($Q142=0,$W142,IF(AND($S142&lt;&gt;"",EDATE($D142,Milestones!$AA$60)&gt;=$S142),$V142,IF(AND($R142&lt;&gt;"",EDATE($D142,Milestones!$AA$60)&gt;=$R142),$U142,$T142)))=Milestones!$AB$60),TEXT(EDATE($D142,Milestones!$AA$60),"dd/mm/yy")&amp;" "&amp;Milestones!$AB$60&amp;" "&amp;Milestones!$AC$60&amp;";  ","")&amp;IF(AND(EDATE($D142,Milestones!$AA$61)&lt;=AsOfDate,IF($Q142=0,$W142,IF(AND($S142&lt;&gt;"",EDATE($D142,Milestones!$AA$61)&gt;=$S142),$V142,IF(AND($R142&lt;&gt;"",EDATE($D142,Milestones!$AA$61)&gt;=$R142),$U142,$T142)))=Milestones!$AB$61),TEXT(EDATE($D142,Milestones!$AA$61),"dd/mm/yy")&amp;" "&amp;Milestones!$AB$61&amp;" "&amp;Milestones!$AC$61&amp;";  ","")&amp;IF(AND(EDATE($D142,Milestones!$AA$62)&lt;=AsOfDate,IF($Q142=0,$W142,IF(AND($S142&lt;&gt;"",EDATE($D142,Milestones!$AA$62)&gt;=$S142),$V142,IF(AND($R142&lt;&gt;"",EDATE($D142,Milestones!$AA$62)&gt;=$R142),$U142,$T142)))=Milestones!$AB$62),TEXT(EDATE($D142,Milestones!$AA$62),"dd/mm/yy")&amp;" "&amp;Milestones!$AB$62&amp;" "&amp;Milestones!$AC$62&amp;";  ","")&amp;IF(AND(EDATE($D142,Milestones!$AA$63)&lt;=AsOfDate,IF($Q142=0,$W142,IF(AND($S142&lt;&gt;"",EDATE($D142,Milestones!$AA$63)&gt;=$S142),$V142,IF(AND($R142&lt;&gt;"",EDATE($D142,Milestones!$AA$63)&gt;=$R142),$U142,$T142)))=Milestones!$AB$63),TEXT(EDATE($D142,Milestones!$AA$63),"dd/mm/yy")&amp;" "&amp;Milestones!$AB$63&amp;" "&amp;Milestones!$AC$63&amp;";  ","")&amp;IF(AND(EDATE($D142,Milestones!$AA$64)&lt;=AsOfDate,IF($Q142=0,$W142,IF(AND($S142&lt;&gt;"",EDATE($D142,Milestones!$AA$64)&gt;=$S142),$V142,IF(AND($R142&lt;&gt;"",EDATE($D142,Milestones!$AA$64)&gt;=$R142),$U142,$T142)))=Milestones!$AB$64),TEXT(EDATE($D142,Milestones!$AA$64),"dd/mm/yy")&amp;" "&amp;Milestones!$AB$64&amp;" "&amp;Milestones!$AC$64&amp;";  ","")&amp;IF(AND(EDATE($D142,Milestones!$AA$65)&lt;=AsOfDate,IF($Q142=0,$W142,IF(AND($S142&lt;&gt;"",EDATE($D142,Milestones!$AA$65)&gt;=$S142),$V142,IF(AND($R142&lt;&gt;"",EDATE($D142,Milestones!$AA$65)&gt;=$R142),$U142,$T142)))=Milestones!$AB$65),TEXT(EDATE($D142,Milestones!$AA$65),"dd/mm/yy")&amp;" "&amp;Milestones!$AB$65&amp;" "&amp;Milestones!$AC$65&amp;";  ","")&amp;IF(AND(EDATE($D142,Milestones!$AA$66)&lt;=AsOfDate,IF($Q142=0,$W142,IF(AND($S142&lt;&gt;"",EDATE($D142,Milestones!$AA$66)&gt;=$S142),$V142,IF(AND($R142&lt;&gt;"",EDATE($D142,Milestones!$AA$66)&gt;=$R142),$U142,$T142)))=Milestones!$AB$66),TEXT(EDATE($D142,Milestones!$AA$66),"dd/mm/yy")&amp;" "&amp;Milestones!$AB$66&amp;" "&amp;Milestones!$AC$66&amp;";  ","")&amp;IF(AND(EDATE($D142,Milestones!$AA$67)&lt;=AsOfDate,IF($Q142=0,$W142,IF(AND($S142&lt;&gt;"",EDATE($D142,Milestones!$AA$67)&gt;=$S142),$V142,IF(AND($R142&lt;&gt;"",EDATE($D142,Milestones!$AA$67)&gt;=$R142),$U142,$T142)))=Milestones!$AB$67),TEXT(EDATE($D142,Milestones!$AA$67),"dd/mm/yy")&amp;" "&amp;Milestones!$AB$67&amp;" "&amp;Milestones!$AC$67&amp;";  ","")&amp;IF(AND(EDATE($D142,Milestones!$AA$68)&lt;=AsOfDate,IF($Q142=0,$W142,IF(AND($S142&lt;&gt;"",EDATE($D142,Milestones!$AA$68)&gt;=$S142),$V142,IF(AND($R142&lt;&gt;"",EDATE($D142,Milestones!$AA$68)&gt;=$R142),$U142,$T142)))=Milestones!$AB$68),TEXT(EDATE($D142,Milestones!$AA$68),"dd/mm/yy")&amp;" "&amp;Milestones!$AB$68&amp;" "&amp;Milestones!$AC$68&amp;";  ","")&amp;IF(AND(EDATE($D142,Milestones!$AA$69)&lt;=AsOfDate,IF($Q142=0,$W142,IF(AND($S142&lt;&gt;"",EDATE($D142,Milestones!$AA$69)&gt;=$S142),$V142,IF(AND($R142&lt;&gt;"",EDATE($D142,Milestones!$AA$69)&gt;=$R142),$U142,$T142)))=Milestones!$AB$69),TEXT(EDATE($D142,Milestones!$AA$69),"dd/mm/yy")&amp;" "&amp;Milestones!$AB$69&amp;" "&amp;Milestones!$AC$69&amp;";  ","")&amp;IF(AND(EDATE($D142,Milestones!$AA$70)&lt;=AsOfDate,IF($Q142=0,$W142,IF(AND($S142&lt;&gt;"",EDATE($D142,Milestones!$AA$70)&gt;=$S142),$V142,IF(AND($R142&lt;&gt;"",EDATE($D142,Milestones!$AA$70)&gt;=$R142),$U142,$T142)))=Milestones!$AB$70),TEXT(EDATE($D142,Milestones!$AA$70),"dd/mm/yy")&amp;" "&amp;Milestones!$AB$70&amp;" "&amp;Milestones!$AC$70&amp;";  ","")&amp;IF(AND(EDATE($D142,Milestones!$AA$71)&lt;=AsOfDate,IF($Q142=0,$W142,IF(AND($S142&lt;&gt;"",EDATE($D142,Milestones!$AA$71)&gt;=$S142),$V142,IF(AND($R142&lt;&gt;"",EDATE($D142,Milestones!$AA$71)&gt;=$R142),$U142,$T142)))=Milestones!$AB$71),TEXT(EDATE($D142,Milestones!$AA$71),"dd/mm/yy")&amp;" "&amp;Milestones!$AB$71&amp;" "&amp;Milestones!$AC$71&amp;";  ","")&amp;IF(AND(EDATE($D142,Milestones!$AA$72)&lt;=AsOfDate,IF($Q142=0,$W142,IF(AND($S142&lt;&gt;"",EDATE($D142,Milestones!$AA$72)&gt;=$S142),$V142,IF(AND($R142&lt;&gt;"",EDATE($D142,Milestones!$AA$72)&gt;=$R142),$U142,$T142)))=Milestones!$AB$72),TEXT(EDATE($D142,Milestones!$AA$72),"dd/mm/yy")&amp;" "&amp;Milestones!$AB$72&amp;" "&amp;Milestones!$AC$72&amp;";  ","")&amp;IF(AND(EDATE($D142,Milestones!$AA$73)&lt;=AsOfDate,IF($Q142=0,$W142,IF(AND($S142&lt;&gt;"",EDATE($D142,Milestones!$AA$73)&gt;=$S142),$V142,IF(AND($R142&lt;&gt;"",EDATE($D142,Milestones!$AA$73)&gt;=$R142),$U142,$T142)))=Milestones!$AB$73),TEXT(EDATE($D142,Milestones!$AA$73),"dd/mm/yy")&amp;" "&amp;Milestones!$AB$73&amp;" "&amp;Milestones!$AC$73&amp;";  ","")&amp;IF(AND(EDATE($D142,Milestones!$AA$74)&lt;=AsOfDate,IF($Q142=0,$W142,IF(AND($S142&lt;&gt;"",EDATE($D142,Milestones!$AA$74)&gt;=$S142),$V142,IF(AND($R142&lt;&gt;"",EDATE($D142,Milestones!$AA$74)&gt;=$R142),$U142,$T142)))=Milestones!$AB$74),TEXT(EDATE($D142,Milestones!$AA$74),"dd/mm/yy")&amp;" "&amp;Milestones!$AB$74&amp;" "&amp;Milestones!$AC$74&amp;";  ","")&amp;IF(AND(EDATE($D142,Milestones!$AA$75)&lt;=AsOfDate,IF($Q142=0,$W142,IF(AND($S142&lt;&gt;"",EDATE($D142,Milestones!$AA$75)&gt;=$S142),$V142,IF(AND($R142&lt;&gt;"",EDATE($D142,Milestones!$AA$75)&gt;=$R142),$U142,$T142)))=Milestones!$AB$75),TEXT(EDATE($D142,Milestones!$AA$75),"dd/mm/yy")&amp;" "&amp;Milestones!$AB$75&amp;" "&amp;Milestones!$AC$75&amp;";  ","")&amp;IF(AND(EDATE($D142,Milestones!$AA$76)&lt;=AsOfDate,IF($Q142=0,$W142,IF(AND($S142&lt;&gt;"",EDATE($D142,Milestones!$AA$76)&gt;=$S142),$V142,IF(AND($R142&lt;&gt;"",EDATE($D142,Milestones!$AA$76)&gt;=$R142),$U142,$T142)))=Milestones!$AB$76),TEXT(EDATE($D142,Milestones!$AA$76),"dd/mm/yy")&amp;" "&amp;Milestones!$AB$76&amp;" "&amp;Milestones!$AC$76&amp;";  ","")&amp;IF(AND(EDATE($D142,Milestones!$AA$77)&lt;=AsOfDate,IF($Q142=0,$W142,IF(AND($S142&lt;&gt;"",EDATE($D142,Milestones!$AA$77)&gt;=$S142),$V142,IF(AND($R142&lt;&gt;"",EDATE($D142,Milestones!$AA$77)&gt;=$R142),$U142,$T142)))=Milestones!$AB$77),TEXT(EDATE($D142,Milestones!$AA$77),"dd/mm/yy")&amp;" "&amp;Milestones!$AB$77&amp;" "&amp;Milestones!$AC$77&amp;";  ","")&amp;IF(AND(EDATE($D142,Milestones!$AA$78)&lt;=AsOfDate,IF($Q142=0,$W142,IF(AND($S142&lt;&gt;"",EDATE($D142,Milestones!$AA$78)&gt;=$S142),$V142,IF(AND($R142&lt;&gt;"",EDATE($D142,Milestones!$AA$78)&gt;=$R142),$U142,$T142)))=Milestones!$AB$78),TEXT(EDATE($D142,Milestones!$AA$78),"dd/mm/yy")&amp;" "&amp;Milestones!$AB$78&amp;" "&amp;Milestones!$AC$78&amp;";  ","")&amp;IF(AND(EDATE($D142,Milestones!$AA$79)&lt;=AsOfDate,IF($Q142=0,$W142,IF(AND($S142&lt;&gt;"",EDATE($D142,Milestones!$AA$79)&gt;=$S142),$V142,IF(AND($R142&lt;&gt;"",EDATE($D142,Milestones!$AA$79)&gt;=$R142),$U142,$T142)))=Milestones!$AB$79),TEXT(EDATE($D142,Milestones!$AA$79),"dd/mm/yy")&amp;" "&amp;Milestones!$AB$79&amp;" "&amp;Milestones!$AC$79&amp;";  ",""))</f>
        <v/>
      </c>
      <c r="K142" s="0" t="str">
        <f aca="false">IF(OR($A142="",$D142=""),"",IF(AND(EDATE($D142,Milestones!$AA$80)&lt;=AsOfDate,IF($Q142=0,$W142,IF(AND($S142&lt;&gt;"",EDATE($D142,Milestones!$AA$80)&gt;=$S142),$V142,IF(AND($R142&lt;&gt;"",EDATE($D142,Milestones!$AA$80)&gt;=$R142),$U142,$T142)))=Milestones!$AB$80),TEXT(EDATE($D142,Milestones!$AA$80),"dd/mm/yy")&amp;" "&amp;Milestones!$AB$80&amp;" "&amp;Milestones!$AC$80&amp;";  ","")&amp;IF(AND(EDATE($D142,Milestones!$AA$81)&lt;=AsOfDate,IF($Q142=0,$W142,IF(AND($S142&lt;&gt;"",EDATE($D142,Milestones!$AA$81)&gt;=$S142),$V142,IF(AND($R142&lt;&gt;"",EDATE($D142,Milestones!$AA$81)&gt;=$R142),$U142,$T142)))=Milestones!$AB$81),TEXT(EDATE($D142,Milestones!$AA$81),"dd/mm/yy")&amp;" "&amp;Milestones!$AB$81&amp;" "&amp;Milestones!$AC$81&amp;";  ","")&amp;IF(AND(EDATE($D142,Milestones!$AA$82)&lt;=AsOfDate,IF($Q142=0,$W142,IF(AND($S142&lt;&gt;"",EDATE($D142,Milestones!$AA$82)&gt;=$S142),$V142,IF(AND($R142&lt;&gt;"",EDATE($D142,Milestones!$AA$82)&gt;=$R142),$U142,$T142)))=Milestones!$AB$82),TEXT(EDATE($D142,Milestones!$AA$82),"dd/mm/yy")&amp;" "&amp;Milestones!$AB$82&amp;" "&amp;Milestones!$AC$82&amp;";  ","")&amp;IF(AND(EDATE($D142,Milestones!$AA$83)&lt;=AsOfDate,IF($Q142=0,$W142,IF(AND($S142&lt;&gt;"",EDATE($D142,Milestones!$AA$83)&gt;=$S142),$V142,IF(AND($R142&lt;&gt;"",EDATE($D142,Milestones!$AA$83)&gt;=$R142),$U142,$T142)))=Milestones!$AB$83),TEXT(EDATE($D142,Milestones!$AA$83),"dd/mm/yy")&amp;" "&amp;Milestones!$AB$83&amp;" "&amp;Milestones!$AC$83&amp;";  ","")&amp;IF(AND(EDATE($D142,Milestones!$AA$84)&lt;=AsOfDate,IF($Q142=0,$W142,IF(AND($S142&lt;&gt;"",EDATE($D142,Milestones!$AA$84)&gt;=$S142),$V142,IF(AND($R142&lt;&gt;"",EDATE($D142,Milestones!$AA$84)&gt;=$R142),$U142,$T142)))=Milestones!$AB$84),TEXT(EDATE($D142,Milestones!$AA$84),"dd/mm/yy")&amp;" "&amp;Milestones!$AB$84&amp;" "&amp;Milestones!$AC$84&amp;";  ","")&amp;IF(AND(EDATE($D142,Milestones!$AA$85)&lt;=AsOfDate,IF($Q142=0,$W142,IF(AND($S142&lt;&gt;"",EDATE($D142,Milestones!$AA$85)&gt;=$S142),$V142,IF(AND($R142&lt;&gt;"",EDATE($D142,Milestones!$AA$85)&gt;=$R142),$U142,$T142)))=Milestones!$AB$85),TEXT(EDATE($D142,Milestones!$AA$85),"dd/mm/yy")&amp;" "&amp;Milestones!$AB$85&amp;" "&amp;Milestones!$AC$85&amp;";  ","")&amp;IF(AND(EDATE($D142,Milestones!$AA$86)&lt;=AsOfDate,IF($Q142=0,$W142,IF(AND($S142&lt;&gt;"",EDATE($D142,Milestones!$AA$86)&gt;=$S142),$V142,IF(AND($R142&lt;&gt;"",EDATE($D142,Milestones!$AA$86)&gt;=$R142),$U142,$T142)))=Milestones!$AB$86),TEXT(EDATE($D142,Milestones!$AA$86),"dd/mm/yy")&amp;" "&amp;Milestones!$AB$86&amp;" "&amp;Milestones!$AC$86&amp;";  ","")&amp;IF(AND(EDATE($D142,Milestones!$AA$87)&lt;=AsOfDate,IF($Q142=0,$W142,IF(AND($S142&lt;&gt;"",EDATE($D142,Milestones!$AA$87)&gt;=$S142),$V142,IF(AND($R142&lt;&gt;"",EDATE($D142,Milestones!$AA$87)&gt;=$R142),$U142,$T142)))=Milestones!$AB$87),TEXT(EDATE($D142,Milestones!$AA$87),"dd/mm/yy")&amp;" "&amp;Milestones!$AB$87&amp;" "&amp;Milestones!$AC$87&amp;";  ","")&amp;IF(AND(EDATE($D142,Milestones!$AA$88)&lt;=AsOfDate,IF($Q142=0,$W142,IF(AND($S142&lt;&gt;"",EDATE($D142,Milestones!$AA$88)&gt;=$S142),$V142,IF(AND($R142&lt;&gt;"",EDATE($D142,Milestones!$AA$88)&gt;=$R142),$U142,$T142)))=Milestones!$AB$88),TEXT(EDATE($D142,Milestones!$AA$88),"dd/mm/yy")&amp;" "&amp;Milestones!$AB$88&amp;" "&amp;Milestones!$AC$88&amp;";  ","")&amp;IF(AND(EDATE($D142,Milestones!$AA$89)&lt;=AsOfDate,IF($Q142=0,$W142,IF(AND($S142&lt;&gt;"",EDATE($D142,Milestones!$AA$89)&gt;=$S142),$V142,IF(AND($R142&lt;&gt;"",EDATE($D142,Milestones!$AA$89)&gt;=$R142),$U142,$T142)))=Milestones!$AB$89),TEXT(EDATE($D142,Milestones!$AA$89),"dd/mm/yy")&amp;" "&amp;Milestones!$AB$89&amp;" "&amp;Milestones!$AC$89&amp;";  ","")&amp;IF(AND(EDATE($D142,Milestones!$AA$90)&lt;=AsOfDate,IF($Q142=0,$W142,IF(AND($S142&lt;&gt;"",EDATE($D142,Milestones!$AA$90)&gt;=$S142),$V142,IF(AND($R142&lt;&gt;"",EDATE($D142,Milestones!$AA$90)&gt;=$R142),$U142,$T142)))=Milestones!$AB$90),TEXT(EDATE($D142,Milestones!$AA$90),"dd/mm/yy")&amp;" "&amp;Milestones!$AB$90&amp;" "&amp;Milestones!$AC$90&amp;";  ","")&amp;IF(AND(EDATE($D142,Milestones!$AA$91)&lt;=AsOfDate,IF($Q142=0,$W142,IF(AND($S142&lt;&gt;"",EDATE($D142,Milestones!$AA$91)&gt;=$S142),$V142,IF(AND($R142&lt;&gt;"",EDATE($D142,Milestones!$AA$91)&gt;=$R142),$U142,$T142)))=Milestones!$AB$91),TEXT(EDATE($D142,Milestones!$AA$91),"dd/mm/yy")&amp;" "&amp;Milestones!$AB$91&amp;" "&amp;Milestones!$AC$91&amp;";  ","")&amp;IF(AND(EDATE($D142,Milestones!$AA$92)&lt;=AsOfDate,IF($Q142=0,$W142,IF(AND($S142&lt;&gt;"",EDATE($D142,Milestones!$AA$92)&gt;=$S142),$V142,IF(AND($R142&lt;&gt;"",EDATE($D142,Milestones!$AA$92)&gt;=$R142),$U142,$T142)))=Milestones!$AB$92),TEXT(EDATE($D142,Milestones!$AA$92),"dd/mm/yy")&amp;" "&amp;Milestones!$AB$92&amp;" "&amp;Milestones!$AC$92&amp;";  ","")&amp;IF(AND(EDATE($D142,Milestones!$AA$93)&lt;=AsOfDate,IF($Q142=0,$W142,IF(AND($S142&lt;&gt;"",EDATE($D142,Milestones!$AA$93)&gt;=$S142),$V142,IF(AND($R142&lt;&gt;"",EDATE($D142,Milestones!$AA$93)&gt;=$R142),$U142,$T142)))=Milestones!$AB$93),TEXT(EDATE($D142,Milestones!$AA$93),"dd/mm/yy")&amp;" "&amp;Milestones!$AB$93&amp;" "&amp;Milestones!$AC$93&amp;";  ","")&amp;IF(AND(EDATE($D142,Milestones!$AA$94)&lt;=AsOfDate,IF($Q142=0,$W142,IF(AND($S142&lt;&gt;"",EDATE($D142,Milestones!$AA$94)&gt;=$S142),$V142,IF(AND($R142&lt;&gt;"",EDATE($D142,Milestones!$AA$94)&gt;=$R142),$U142,$T142)))=Milestones!$AB$94),TEXT(EDATE($D142,Milestones!$AA$94),"dd/mm/yy")&amp;" "&amp;Milestones!$AB$94&amp;" "&amp;Milestones!$AC$94&amp;";  ","")&amp;IF(AND(EDATE($D142,Milestones!$AA$95)&lt;=AsOfDate,IF($Q142=0,$W142,IF(AND($S142&lt;&gt;"",EDATE($D142,Milestones!$AA$95)&gt;=$S142),$V142,IF(AND($R142&lt;&gt;"",EDATE($D142,Milestones!$AA$95)&gt;=$R142),$U142,$T142)))=Milestones!$AB$95),TEXT(EDATE($D142,Milestones!$AA$95),"dd/mm/yy")&amp;" "&amp;Milestones!$AB$95&amp;" "&amp;Milestones!$AC$95&amp;";  ","")&amp;IF(AND(EDATE($D142,Milestones!$AA$96)&lt;=AsOfDate,IF($Q142=0,$W142,IF(AND($S142&lt;&gt;"",EDATE($D142,Milestones!$AA$96)&gt;=$S142),$V142,IF(AND($R142&lt;&gt;"",EDATE($D142,Milestones!$AA$96)&gt;=$R142),$U142,$T142)))=Milestones!$AB$96),TEXT(EDATE($D142,Milestones!$AA$96),"dd/mm/yy")&amp;" "&amp;Milestones!$AB$96&amp;" "&amp;Milestones!$AC$96&amp;";  ","")&amp;IF(AND(EDATE($D142,Milestones!$AA$97)&lt;=AsOfDate,IF($Q142=0,$W142,IF(AND($S142&lt;&gt;"",EDATE($D142,Milestones!$AA$97)&gt;=$S142),$V142,IF(AND($R142&lt;&gt;"",EDATE($D142,Milestones!$AA$97)&gt;=$R142),$U142,$T142)))=Milestones!$AB$97),TEXT(EDATE($D142,Milestones!$AA$97),"dd/mm/yy")&amp;" "&amp;Milestones!$AB$97&amp;" "&amp;Milestones!$AC$97&amp;";  ","")&amp;IF(AND(EDATE($D142,Milestones!$AA$98)&lt;=AsOfDate,IF($Q142=0,$W142,IF(AND($S142&lt;&gt;"",EDATE($D142,Milestones!$AA$98)&gt;=$S142),$V142,IF(AND($R142&lt;&gt;"",EDATE($D142,Milestones!$AA$98)&gt;=$R142),$U142,$T142)))=Milestones!$AB$98),TEXT(EDATE($D142,Milestones!$AA$98),"dd/mm/yy")&amp;" "&amp;Milestones!$AB$98&amp;" "&amp;Milestones!$AC$98&amp;";  ","")&amp;IF(AND(EDATE($D142,Milestones!$AA$99)&lt;=AsOfDate,IF($Q142=0,$W142,IF(AND($S142&lt;&gt;"",EDATE($D142,Milestones!$AA$99)&gt;=$S142),$V142,IF(AND($R142&lt;&gt;"",EDATE($D142,Milestones!$AA$99)&gt;=$R142),$U142,$T142)))=Milestones!$AB$99),TEXT(EDATE($D142,Milestones!$AA$99),"dd/mm/yy")&amp;" "&amp;Milestones!$AB$99&amp;" "&amp;Milestones!$AC$99&amp;";  ",""))</f>
        <v/>
      </c>
      <c r="L142" s="0" t="str">
        <f aca="false">IF(OR($A142="",$D142=""),"",IF(AND(EDATE($D142,Milestones!$AA$100)&lt;=AsOfDate,IF($Q142=0,$W142,IF(AND($S142&lt;&gt;"",EDATE($D142,Milestones!$AA$100)&gt;=$S142),$V142,IF(AND($R142&lt;&gt;"",EDATE($D142,Milestones!$AA$100)&gt;=$R142),$U142,$T142)))=Milestones!$AB$100),TEXT(EDATE($D142,Milestones!$AA$100),"dd/mm/yy")&amp;" "&amp;Milestones!$AB$100&amp;" "&amp;Milestones!$AC$100&amp;";  ","")&amp;IF(AND(EDATE($D142,Milestones!$AA$101)&lt;=AsOfDate,IF($Q142=0,$W142,IF(AND($S142&lt;&gt;"",EDATE($D142,Milestones!$AA$101)&gt;=$S142),$V142,IF(AND($R142&lt;&gt;"",EDATE($D142,Milestones!$AA$101)&gt;=$R142),$U142,$T142)))=Milestones!$AB$101),TEXT(EDATE($D142,Milestones!$AA$101),"dd/mm/yy")&amp;" "&amp;Milestones!$AB$101&amp;" "&amp;Milestones!$AC$101&amp;";  ","")&amp;IF(AND(EDATE($D142,Milestones!$AA$102)&lt;=AsOfDate,IF($Q142=0,$W142,IF(AND($S142&lt;&gt;"",EDATE($D142,Milestones!$AA$102)&gt;=$S142),$V142,IF(AND($R142&lt;&gt;"",EDATE($D142,Milestones!$AA$102)&gt;=$R142),$U142,$T142)))=Milestones!$AB$102),TEXT(EDATE($D142,Milestones!$AA$102),"dd/mm/yy")&amp;" "&amp;Milestones!$AB$102&amp;" "&amp;Milestones!$AC$102&amp;";  ","")&amp;IF(AND(EDATE($D142,Milestones!$AA$103)&lt;=AsOfDate,IF($Q142=0,$W142,IF(AND($S142&lt;&gt;"",EDATE($D142,Milestones!$AA$103)&gt;=$S142),$V142,IF(AND($R142&lt;&gt;"",EDATE($D142,Milestones!$AA$103)&gt;=$R142),$U142,$T142)))=Milestones!$AB$103),TEXT(EDATE($D142,Milestones!$AA$103),"dd/mm/yy")&amp;" "&amp;Milestones!$AB$103&amp;" "&amp;Milestones!$AC$103&amp;";  ","")&amp;IF(AND(EDATE($D142,Milestones!$AA$104)&lt;=AsOfDate,IF($Q142=0,$W142,IF(AND($S142&lt;&gt;"",EDATE($D142,Milestones!$AA$104)&gt;=$S142),$V142,IF(AND($R142&lt;&gt;"",EDATE($D142,Milestones!$AA$104)&gt;=$R142),$U142,$T142)))=Milestones!$AB$104),TEXT(EDATE($D142,Milestones!$AA$104),"dd/mm/yy")&amp;" "&amp;Milestones!$AB$104&amp;" "&amp;Milestones!$AC$104&amp;";  ","")&amp;IF(AND(EDATE($D142,Milestones!$AA$105)&lt;=AsOfDate,IF($Q142=0,$W142,IF(AND($S142&lt;&gt;"",EDATE($D142,Milestones!$AA$105)&gt;=$S142),$V142,IF(AND($R142&lt;&gt;"",EDATE($D142,Milestones!$AA$105)&gt;=$R142),$U142,$T142)))=Milestones!$AB$105),TEXT(EDATE($D142,Milestones!$AA$105),"dd/mm/yy")&amp;" "&amp;Milestones!$AB$105&amp;" "&amp;Milestones!$AC$105&amp;";  ","")&amp;IF(AND(EDATE($D142,Milestones!$AA$106)&lt;=AsOfDate,IF($Q142=0,$W142,IF(AND($S142&lt;&gt;"",EDATE($D142,Milestones!$AA$106)&gt;=$S142),$V142,IF(AND($R142&lt;&gt;"",EDATE($D142,Milestones!$AA$106)&gt;=$R142),$U142,$T142)))=Milestones!$AB$106),TEXT(EDATE($D142,Milestones!$AA$106),"dd/mm/yy")&amp;" "&amp;Milestones!$AB$106&amp;" "&amp;Milestones!$AC$106&amp;";  ","")&amp;IF(AND(EDATE($D142,Milestones!$AA$107)&lt;=AsOfDate,IF($Q142=0,$W142,IF(AND($S142&lt;&gt;"",EDATE($D142,Milestones!$AA$107)&gt;=$S142),$V142,IF(AND($R142&lt;&gt;"",EDATE($D142,Milestones!$AA$107)&gt;=$R142),$U142,$T142)))=Milestones!$AB$107),TEXT(EDATE($D142,Milestones!$AA$107),"dd/mm/yy")&amp;" "&amp;Milestones!$AB$107&amp;" "&amp;Milestones!$AC$107&amp;";  ","")&amp;IF(AND(EDATE($D142,Milestones!$AA$108)&lt;=AsOfDate,IF($Q142=0,$W142,IF(AND($S142&lt;&gt;"",EDATE($D142,Milestones!$AA$108)&gt;=$S142),$V142,IF(AND($R142&lt;&gt;"",EDATE($D142,Milestones!$AA$108)&gt;=$R142),$U142,$T142)))=Milestones!$AB$108),TEXT(EDATE($D142,Milestones!$AA$108),"dd/mm/yy")&amp;" "&amp;Milestones!$AB$108&amp;" "&amp;Milestones!$AC$108&amp;";  ","")&amp;IF(AND(EDATE($D142,Milestones!$AA$109)&lt;=AsOfDate,IF($Q142=0,$W142,IF(AND($S142&lt;&gt;"",EDATE($D142,Milestones!$AA$109)&gt;=$S142),$V142,IF(AND($R142&lt;&gt;"",EDATE($D142,Milestones!$AA$109)&gt;=$R142),$U142,$T142)))=Milestones!$AB$109),TEXT(EDATE($D142,Milestones!$AA$109),"dd/mm/yy")&amp;" "&amp;Milestones!$AB$109&amp;" "&amp;Milestones!$AC$109&amp;";  ","")&amp;IF(AND(EDATE($D142,Milestones!$AA$110)&lt;=AsOfDate,IF($Q142=0,$W142,IF(AND($S142&lt;&gt;"",EDATE($D142,Milestones!$AA$110)&gt;=$S142),$V142,IF(AND($R142&lt;&gt;"",EDATE($D142,Milestones!$AA$110)&gt;=$R142),$U142,$T142)))=Milestones!$AB$110),TEXT(EDATE($D142,Milestones!$AA$110),"dd/mm/yy")&amp;" "&amp;Milestones!$AB$110&amp;" "&amp;Milestones!$AC$110&amp;";  ","")&amp;IF(AND(EDATE($D142,Milestones!$AA$111)&lt;=AsOfDate,IF($Q142=0,$W142,IF(AND($S142&lt;&gt;"",EDATE($D142,Milestones!$AA$111)&gt;=$S142),$V142,IF(AND($R142&lt;&gt;"",EDATE($D142,Milestones!$AA$111)&gt;=$R142),$U142,$T142)))=Milestones!$AB$111),TEXT(EDATE($D142,Milestones!$AA$111),"dd/mm/yy")&amp;" "&amp;Milestones!$AB$111&amp;" "&amp;Milestones!$AC$111&amp;";  ","")&amp;IF(AND(EDATE($D142,Milestones!$AA$112)&lt;=AsOfDate,IF($Q142=0,$W142,IF(AND($S142&lt;&gt;"",EDATE($D142,Milestones!$AA$112)&gt;=$S142),$V142,IF(AND($R142&lt;&gt;"",EDATE($D142,Milestones!$AA$112)&gt;=$R142),$U142,$T142)))=Milestones!$AB$112),TEXT(EDATE($D142,Milestones!$AA$112),"dd/mm/yy")&amp;" "&amp;Milestones!$AB$112&amp;" "&amp;Milestones!$AC$112&amp;";  ","")&amp;IF(AND(EDATE($D142,Milestones!$AA$113)&lt;=AsOfDate,IF($Q142=0,$W142,IF(AND($S142&lt;&gt;"",EDATE($D142,Milestones!$AA$113)&gt;=$S142),$V142,IF(AND($R142&lt;&gt;"",EDATE($D142,Milestones!$AA$113)&gt;=$R142),$U142,$T142)))=Milestones!$AB$113),TEXT(EDATE($D142,Milestones!$AA$113),"dd/mm/yy")&amp;" "&amp;Milestones!$AB$113&amp;" "&amp;Milestones!$AC$113&amp;";  ","")&amp;IF(AND(EDATE($D142,Milestones!$AA$114)&lt;=AsOfDate,IF($Q142=0,$W142,IF(AND($S142&lt;&gt;"",EDATE($D142,Milestones!$AA$114)&gt;=$S142),$V142,IF(AND($R142&lt;&gt;"",EDATE($D142,Milestones!$AA$114)&gt;=$R142),$U142,$T142)))=Milestones!$AB$114),TEXT(EDATE($D142,Milestones!$AA$114),"dd/mm/yy")&amp;" "&amp;Milestones!$AB$114&amp;" "&amp;Milestones!$AC$114&amp;";  ","")&amp;IF(AND(EDATE($D142,Milestones!$AA$115)&lt;=AsOfDate,IF($Q142=0,$W142,IF(AND($S142&lt;&gt;"",EDATE($D142,Milestones!$AA$115)&gt;=$S142),$V142,IF(AND($R142&lt;&gt;"",EDATE($D142,Milestones!$AA$115)&gt;=$R142),$U142,$T142)))=Milestones!$AB$115),TEXT(EDATE($D142,Milestones!$AA$115),"dd/mm/yy")&amp;" "&amp;Milestones!$AB$115&amp;" "&amp;Milestones!$AC$115&amp;";  ","")&amp;IF(AND(EDATE($D142,Milestones!$AA$116)&lt;=AsOfDate,IF($Q142=0,$W142,IF(AND($S142&lt;&gt;"",EDATE($D142,Milestones!$AA$116)&gt;=$S142),$V142,IF(AND($R142&lt;&gt;"",EDATE($D142,Milestones!$AA$116)&gt;=$R142),$U142,$T142)))=Milestones!$AB$116),TEXT(EDATE($D142,Milestones!$AA$116),"dd/mm/yy")&amp;" "&amp;Milestones!$AB$116&amp;" "&amp;Milestones!$AC$116&amp;";  ","")&amp;IF(AND(EDATE($D142,Milestones!$AA$117)&lt;=AsOfDate,IF($Q142=0,$W142,IF(AND($S142&lt;&gt;"",EDATE($D142,Milestones!$AA$117)&gt;=$S142),$V142,IF(AND($R142&lt;&gt;"",EDATE($D142,Milestones!$AA$117)&gt;=$R142),$U142,$T142)))=Milestones!$AB$117),TEXT(EDATE($D142,Milestones!$AA$117),"dd/mm/yy")&amp;" "&amp;Milestones!$AB$117&amp;" "&amp;Milestones!$AC$117&amp;";  ","")&amp;IF(AND(EDATE($D142,Milestones!$AA$118)&lt;=AsOfDate,IF($Q142=0,$W142,IF(AND($S142&lt;&gt;"",EDATE($D142,Milestones!$AA$118)&gt;=$S142),$V142,IF(AND($R142&lt;&gt;"",EDATE($D142,Milestones!$AA$118)&gt;=$R142),$U142,$T142)))=Milestones!$AB$118),TEXT(EDATE($D142,Milestones!$AA$118),"dd/mm/yy")&amp;" "&amp;Milestones!$AB$118&amp;" "&amp;Milestones!$AC$118&amp;";  ","")&amp;IF(AND(EDATE($D142,Milestones!$AA$119)&lt;=AsOfDate,IF($Q142=0,$W142,IF(AND($S142&lt;&gt;"",EDATE($D142,Milestones!$AA$119)&gt;=$S142),$V142,IF(AND($R142&lt;&gt;"",EDATE($D142,Milestones!$AA$119)&gt;=$R142),$U142,$T142)))=Milestones!$AB$119),TEXT(EDATE($D142,Milestones!$AA$119),"dd/mm/yy")&amp;" "&amp;Milestones!$AB$119&amp;" "&amp;Milestones!$AC$119&amp;";  ",""))</f>
        <v/>
      </c>
      <c r="M142" s="0" t="str">
        <f aca="false">IF(OR($A142="",$D142=""),"",IF(AND(EDATE($D142,Milestones!$AA$120)&lt;=AsOfDate,IF($Q142=0,$W142,IF(AND($S142&lt;&gt;"",EDATE($D142,Milestones!$AA$120)&gt;=$S142),$V142,IF(AND($R142&lt;&gt;"",EDATE($D142,Milestones!$AA$120)&gt;=$R142),$U142,$T142)))=Milestones!$AB$120),TEXT(EDATE($D142,Milestones!$AA$120),"dd/mm/yy")&amp;" "&amp;Milestones!$AB$120&amp;" "&amp;Milestones!$AC$120&amp;";  ","")&amp;IF(AND(EDATE($D142,Milestones!$AA$121)&lt;=AsOfDate,IF($Q142=0,$W142,IF(AND($S142&lt;&gt;"",EDATE($D142,Milestones!$AA$121)&gt;=$S142),$V142,IF(AND($R142&lt;&gt;"",EDATE($D142,Milestones!$AA$121)&gt;=$R142),$U142,$T142)))=Milestones!$AB$121),TEXT(EDATE($D142,Milestones!$AA$121),"dd/mm/yy")&amp;" "&amp;Milestones!$AB$121&amp;" "&amp;Milestones!$AC$121&amp;";  ","")&amp;IF(AND(EDATE($D142,Milestones!$AA$122)&lt;=AsOfDate,IF($Q142=0,$W142,IF(AND($S142&lt;&gt;"",EDATE($D142,Milestones!$AA$122)&gt;=$S142),$V142,IF(AND($R142&lt;&gt;"",EDATE($D142,Milestones!$AA$122)&gt;=$R142),$U142,$T142)))=Milestones!$AB$122),TEXT(EDATE($D142,Milestones!$AA$122),"dd/mm/yy")&amp;" "&amp;Milestones!$AB$122&amp;" "&amp;Milestones!$AC$122&amp;";  ","")&amp;IF(AND(EDATE($D142,Milestones!$AA$123)&lt;=AsOfDate,IF($Q142=0,$W142,IF(AND($S142&lt;&gt;"",EDATE($D142,Milestones!$AA$123)&gt;=$S142),$V142,IF(AND($R142&lt;&gt;"",EDATE($D142,Milestones!$AA$123)&gt;=$R142),$U142,$T142)))=Milestones!$AB$123),TEXT(EDATE($D142,Milestones!$AA$123),"dd/mm/yy")&amp;" "&amp;Milestones!$AB$123&amp;" "&amp;Milestones!$AC$123&amp;";  ","")&amp;IF(AND(EDATE($D142,Milestones!$AA$124)&lt;=AsOfDate,IF($Q142=0,$W142,IF(AND($S142&lt;&gt;"",EDATE($D142,Milestones!$AA$124)&gt;=$S142),$V142,IF(AND($R142&lt;&gt;"",EDATE($D142,Milestones!$AA$124)&gt;=$R142),$U142,$T142)))=Milestones!$AB$124),TEXT(EDATE($D142,Milestones!$AA$124),"dd/mm/yy")&amp;" "&amp;Milestones!$AB$124&amp;" "&amp;Milestones!$AC$124&amp;";  ","")&amp;IF(AND(EDATE($D142,Milestones!$AA$125)&lt;=AsOfDate,IF($Q142=0,$W142,IF(AND($S142&lt;&gt;"",EDATE($D142,Milestones!$AA$125)&gt;=$S142),$V142,IF(AND($R142&lt;&gt;"",EDATE($D142,Milestones!$AA$125)&gt;=$R142),$U142,$T142)))=Milestones!$AB$125),TEXT(EDATE($D142,Milestones!$AA$125),"dd/mm/yy")&amp;" "&amp;Milestones!$AB$125&amp;" "&amp;Milestones!$AC$125&amp;";  ","")&amp;IF(AND(EDATE($D142,Milestones!$AA$126)&lt;=AsOfDate,IF($Q142=0,$W142,IF(AND($S142&lt;&gt;"",EDATE($D142,Milestones!$AA$126)&gt;=$S142),$V142,IF(AND($R142&lt;&gt;"",EDATE($D142,Milestones!$AA$126)&gt;=$R142),$U142,$T142)))=Milestones!$AB$126),TEXT(EDATE($D142,Milestones!$AA$126),"dd/mm/yy")&amp;" "&amp;Milestones!$AB$126&amp;" "&amp;Milestones!$AC$126&amp;";  ","")&amp;IF(AND(EDATE($D142,Milestones!$AA$127)&lt;=AsOfDate,IF($Q142=0,$W142,IF(AND($S142&lt;&gt;"",EDATE($D142,Milestones!$AA$127)&gt;=$S142),$V142,IF(AND($R142&lt;&gt;"",EDATE($D142,Milestones!$AA$127)&gt;=$R142),$U142,$T142)))=Milestones!$AB$127),TEXT(EDATE($D142,Milestones!$AA$127),"dd/mm/yy")&amp;" "&amp;Milestones!$AB$127&amp;" "&amp;Milestones!$AC$127&amp;";  ","")&amp;IF(AND(EDATE($D142,Milestones!$AA$128)&lt;=AsOfDate,IF($Q142=0,$W142,IF(AND($S142&lt;&gt;"",EDATE($D142,Milestones!$AA$128)&gt;=$S142),$V142,IF(AND($R142&lt;&gt;"",EDATE($D142,Milestones!$AA$128)&gt;=$R142),$U142,$T142)))=Milestones!$AB$128),TEXT(EDATE($D142,Milestones!$AA$128),"dd/mm/yy")&amp;" "&amp;Milestones!$AB$128&amp;" "&amp;Milestones!$AC$128&amp;";  ","")&amp;IF(AND(EDATE($D142,Milestones!$AA$129)&lt;=AsOfDate,IF($Q142=0,$W142,IF(AND($S142&lt;&gt;"",EDATE($D142,Milestones!$AA$129)&gt;=$S142),$V142,IF(AND($R142&lt;&gt;"",EDATE($D142,Milestones!$AA$129)&gt;=$R142),$U142,$T142)))=Milestones!$AB$129),TEXT(EDATE($D142,Milestones!$AA$129),"dd/mm/yy")&amp;" "&amp;Milestones!$AB$129&amp;" "&amp;Milestones!$AC$129&amp;";  ","")&amp;IF(AND(EDATE($D142,Milestones!$AA$130)&lt;=AsOfDate,IF($Q142=0,$W142,IF(AND($S142&lt;&gt;"",EDATE($D142,Milestones!$AA$130)&gt;=$S142),$V142,IF(AND($R142&lt;&gt;"",EDATE($D142,Milestones!$AA$130)&gt;=$R142),$U142,$T142)))=Milestones!$AB$130),TEXT(EDATE($D142,Milestones!$AA$130),"dd/mm/yy")&amp;" "&amp;Milestones!$AB$130&amp;" "&amp;Milestones!$AC$130&amp;";  ","")&amp;IF(AND(EDATE($D142,Milestones!$AA$131)&lt;=AsOfDate,IF($Q142=0,$W142,IF(AND($S142&lt;&gt;"",EDATE($D142,Milestones!$AA$131)&gt;=$S142),$V142,IF(AND($R142&lt;&gt;"",EDATE($D142,Milestones!$AA$131)&gt;=$R142),$U142,$T142)))=Milestones!$AB$131),TEXT(EDATE($D142,Milestones!$AA$131),"dd/mm/yy")&amp;" "&amp;Milestones!$AB$131&amp;" "&amp;Milestones!$AC$131&amp;";  ","")&amp;IF(AND(EDATE($D142,Milestones!$AA$132)&lt;=AsOfDate,IF($Q142=0,$W142,IF(AND($S142&lt;&gt;"",EDATE($D142,Milestones!$AA$132)&gt;=$S142),$V142,IF(AND($R142&lt;&gt;"",EDATE($D142,Milestones!$AA$132)&gt;=$R142),$U142,$T142)))=Milestones!$AB$132),TEXT(EDATE($D142,Milestones!$AA$132),"dd/mm/yy")&amp;" "&amp;Milestones!$AB$132&amp;" "&amp;Milestones!$AC$132&amp;";  ","")&amp;IF(AND(EDATE($D142,Milestones!$AA$133)&lt;=AsOfDate,IF($Q142=0,$W142,IF(AND($S142&lt;&gt;"",EDATE($D142,Milestones!$AA$133)&gt;=$S142),$V142,IF(AND($R142&lt;&gt;"",EDATE($D142,Milestones!$AA$133)&gt;=$R142),$U142,$T142)))=Milestones!$AB$133),TEXT(EDATE($D142,Milestones!$AA$133),"dd/mm/yy")&amp;" "&amp;Milestones!$AB$133&amp;" "&amp;Milestones!$AC$133&amp;";  ","")&amp;IF(AND(EDATE($D142,Milestones!$AA$134)&lt;=AsOfDate,IF($Q142=0,$W142,IF(AND($S142&lt;&gt;"",EDATE($D142,Milestones!$AA$134)&gt;=$S142),$V142,IF(AND($R142&lt;&gt;"",EDATE($D142,Milestones!$AA$134)&gt;=$R142),$U142,$T142)))=Milestones!$AB$134),TEXT(EDATE($D142,Milestones!$AA$134),"dd/mm/yy")&amp;" "&amp;Milestones!$AB$134&amp;" "&amp;Milestones!$AC$134&amp;";  ","")&amp;IF(AND(EDATE($D142,Milestones!$AA$135)&lt;=AsOfDate,IF($Q142=0,$W142,IF(AND($S142&lt;&gt;"",EDATE($D142,Milestones!$AA$135)&gt;=$S142),$V142,IF(AND($R142&lt;&gt;"",EDATE($D142,Milestones!$AA$135)&gt;=$R142),$U142,$T142)))=Milestones!$AB$135),TEXT(EDATE($D142,Milestones!$AA$135),"dd/mm/yy")&amp;" "&amp;Milestones!$AB$135&amp;" "&amp;Milestones!$AC$135&amp;";  ","")&amp;IF(AND(EDATE($D142,Milestones!$AA$136)&lt;=AsOfDate,IF($Q142=0,$W142,IF(AND($S142&lt;&gt;"",EDATE($D142,Milestones!$AA$136)&gt;=$S142),$V142,IF(AND($R142&lt;&gt;"",EDATE($D142,Milestones!$AA$136)&gt;=$R142),$U142,$T142)))=Milestones!$AB$136),TEXT(EDATE($D142,Milestones!$AA$136),"dd/mm/yy")&amp;" "&amp;Milestones!$AB$136&amp;" "&amp;Milestones!$AC$136&amp;";  ","")&amp;IF(AND(EDATE($D142,Milestones!$AA$137)&lt;=AsOfDate,IF($Q142=0,$W142,IF(AND($S142&lt;&gt;"",EDATE($D142,Milestones!$AA$137)&gt;=$S142),$V142,IF(AND($R142&lt;&gt;"",EDATE($D142,Milestones!$AA$137)&gt;=$R142),$U142,$T142)))=Milestones!$AB$137),TEXT(EDATE($D142,Milestones!$AA$137),"dd/mm/yy")&amp;" "&amp;Milestones!$AB$137&amp;" "&amp;Milestones!$AC$137&amp;";  ","")&amp;IF(AND(EDATE($D142,Milestones!$AA$138)&lt;=AsOfDate,IF($Q142=0,$W142,IF(AND($S142&lt;&gt;"",EDATE($D142,Milestones!$AA$138)&gt;=$S142),$V142,IF(AND($R142&lt;&gt;"",EDATE($D142,Milestones!$AA$138)&gt;=$R142),$U142,$T142)))=Milestones!$AB$138),TEXT(EDATE($D142,Milestones!$AA$138),"dd/mm/yy")&amp;" "&amp;Milestones!$AB$138&amp;" "&amp;Milestones!$AC$138&amp;";  ","")&amp;IF(AND(EDATE($D142,Milestones!$AA$139)&lt;=AsOfDate,IF($Q142=0,$W142,IF(AND($S142&lt;&gt;"",EDATE($D142,Milestones!$AA$139)&gt;=$S142),$V142,IF(AND($R142&lt;&gt;"",EDATE($D142,Milestones!$AA$139)&gt;=$R142),$U142,$T142)))=Milestones!$AB$139),TEXT(EDATE($D142,Milestones!$AA$139),"dd/mm/yy")&amp;" "&amp;Milestones!$AB$139&amp;" "&amp;Milestones!$AC$139&amp;";  ",""))</f>
        <v/>
      </c>
      <c r="N142" s="0" t="str">
        <f aca="false">IF(OR($A142="",$D142=""),"",IF(AND(EDATE($D142,Milestones!$AA$140)&lt;=AsOfDate,IF($Q142=0,$W142,IF(AND($S142&lt;&gt;"",EDATE($D142,Milestones!$AA$140)&gt;=$S142),$V142,IF(AND($R142&lt;&gt;"",EDATE($D142,Milestones!$AA$140)&gt;=$R142),$U142,$T142)))=Milestones!$AB$140),TEXT(EDATE($D142,Milestones!$AA$140),"dd/mm/yy")&amp;" "&amp;Milestones!$AB$140&amp;" "&amp;Milestones!$AC$140&amp;";  ","")&amp;IF(AND(EDATE($D142,Milestones!$AA$141)&lt;=AsOfDate,IF($Q142=0,$W142,IF(AND($S142&lt;&gt;"",EDATE($D142,Milestones!$AA$141)&gt;=$S142),$V142,IF(AND($R142&lt;&gt;"",EDATE($D142,Milestones!$AA$141)&gt;=$R142),$U142,$T142)))=Milestones!$AB$141),TEXT(EDATE($D142,Milestones!$AA$141),"dd/mm/yy")&amp;" "&amp;Milestones!$AB$141&amp;" "&amp;Milestones!$AC$141&amp;";  ","")&amp;IF(AND(EDATE($D142,Milestones!$AA$142)&lt;=AsOfDate,IF($Q142=0,$W142,IF(AND($S142&lt;&gt;"",EDATE($D142,Milestones!$AA$142)&gt;=$S142),$V142,IF(AND($R142&lt;&gt;"",EDATE($D142,Milestones!$AA$142)&gt;=$R142),$U142,$T142)))=Milestones!$AB$142),TEXT(EDATE($D142,Milestones!$AA$142),"dd/mm/yy")&amp;" "&amp;Milestones!$AB$142&amp;" "&amp;Milestones!$AC$142&amp;";  ","")&amp;IF(AND(EDATE($D142,Milestones!$AA$143)&lt;=AsOfDate,IF($Q142=0,$W142,IF(AND($S142&lt;&gt;"",EDATE($D142,Milestones!$AA$143)&gt;=$S142),$V142,IF(AND($R142&lt;&gt;"",EDATE($D142,Milestones!$AA$143)&gt;=$R142),$U142,$T142)))=Milestones!$AB$143),TEXT(EDATE($D142,Milestones!$AA$143),"dd/mm/yy")&amp;" "&amp;Milestones!$AB$143&amp;" "&amp;Milestones!$AC$143&amp;";  ","")&amp;IF(AND(EDATE($D142,Milestones!$AA$144)&lt;=AsOfDate,IF($Q142=0,$W142,IF(AND($S142&lt;&gt;"",EDATE($D142,Milestones!$AA$144)&gt;=$S142),$V142,IF(AND($R142&lt;&gt;"",EDATE($D142,Milestones!$AA$144)&gt;=$R142),$U142,$T142)))=Milestones!$AB$144),TEXT(EDATE($D142,Milestones!$AA$144),"dd/mm/yy")&amp;" "&amp;Milestones!$AB$144&amp;" "&amp;Milestones!$AC$144&amp;";  ","")&amp;IF(AND(EDATE($D142,Milestones!$AA$145)&lt;=AsOfDate,IF($Q142=0,$W142,IF(AND($S142&lt;&gt;"",EDATE($D142,Milestones!$AA$145)&gt;=$S142),$V142,IF(AND($R142&lt;&gt;"",EDATE($D142,Milestones!$AA$145)&gt;=$R142),$U142,$T142)))=Milestones!$AB$145),TEXT(EDATE($D142,Milestones!$AA$145),"dd/mm/yy")&amp;" "&amp;Milestones!$AB$145&amp;" "&amp;Milestones!$AC$145&amp;";  ","")&amp;IF(AND(EDATE($D142,Milestones!$AA$146)&lt;=AsOfDate,IF($Q142=0,$W142,IF(AND($S142&lt;&gt;"",EDATE($D142,Milestones!$AA$146)&gt;=$S142),$V142,IF(AND($R142&lt;&gt;"",EDATE($D142,Milestones!$AA$146)&gt;=$R142),$U142,$T142)))=Milestones!$AB$146),TEXT(EDATE($D142,Milestones!$AA$146),"dd/mm/yy")&amp;" "&amp;Milestones!$AB$146&amp;" "&amp;Milestones!$AC$146&amp;";  ","")&amp;IF(AND(EDATE($D142,Milestones!$AA$147)&lt;=AsOfDate,IF($Q142=0,$W142,IF(AND($S142&lt;&gt;"",EDATE($D142,Milestones!$AA$147)&gt;=$S142),$V142,IF(AND($R142&lt;&gt;"",EDATE($D142,Milestones!$AA$147)&gt;=$R142),$U142,$T142)))=Milestones!$AB$147),TEXT(EDATE($D142,Milestones!$AA$147),"dd/mm/yy")&amp;" "&amp;Milestones!$AB$147&amp;" "&amp;Milestones!$AC$147&amp;";  ","")&amp;IF(AND(EDATE($D142,Milestones!$AA$148)&lt;=AsOfDate,IF($Q142=0,$W142,IF(AND($S142&lt;&gt;"",EDATE($D142,Milestones!$AA$148)&gt;=$S142),$V142,IF(AND($R142&lt;&gt;"",EDATE($D142,Milestones!$AA$148)&gt;=$R142),$U142,$T142)))=Milestones!$AB$148),TEXT(EDATE($D142,Milestones!$AA$148),"dd/mm/yy")&amp;" "&amp;Milestones!$AB$148&amp;" "&amp;Milestones!$AC$148&amp;";  ","")&amp;IF(AND(EDATE($D142,Milestones!$AA$149)&lt;=AsOfDate,IF($Q142=0,$W142,IF(AND($S142&lt;&gt;"",EDATE($D142,Milestones!$AA$149)&gt;=$S142),$V142,IF(AND($R142&lt;&gt;"",EDATE($D142,Milestones!$AA$149)&gt;=$R142),$U142,$T142)))=Milestones!$AB$149),TEXT(EDATE($D142,Milestones!$AA$149),"dd/mm/yy")&amp;" "&amp;Milestones!$AB$149&amp;" "&amp;Milestones!$AC$149&amp;";  ","")&amp;IF(AND(EDATE($D142,Milestones!$AA$150)&lt;=AsOfDate,IF($Q142=0,$W142,IF(AND($S142&lt;&gt;"",EDATE($D142,Milestones!$AA$150)&gt;=$S142),$V142,IF(AND($R142&lt;&gt;"",EDATE($D142,Milestones!$AA$150)&gt;=$R142),$U142,$T142)))=Milestones!$AB$150),TEXT(EDATE($D142,Milestones!$AA$150),"dd/mm/yy")&amp;" "&amp;Milestones!$AB$150&amp;" "&amp;Milestones!$AC$150&amp;";  ","")&amp;IF(AND(EDATE($D142,Milestones!$AA$151)&lt;=AsOfDate,IF($Q142=0,$W142,IF(AND($S142&lt;&gt;"",EDATE($D142,Milestones!$AA$151)&gt;=$S142),$V142,IF(AND($R142&lt;&gt;"",EDATE($D142,Milestones!$AA$151)&gt;=$R142),$U142,$T142)))=Milestones!$AB$151),TEXT(EDATE($D142,Milestones!$AA$151),"dd/mm/yy")&amp;" "&amp;Milestones!$AB$151&amp;" "&amp;Milestones!$AC$151&amp;";  ","")&amp;IF(AND(EDATE($D142,Milestones!$AA$152)&lt;=AsOfDate,IF($Q142=0,$W142,IF(AND($S142&lt;&gt;"",EDATE($D142,Milestones!$AA$152)&gt;=$S142),$V142,IF(AND($R142&lt;&gt;"",EDATE($D142,Milestones!$AA$152)&gt;=$R142),$U142,$T142)))=Milestones!$AB$152),TEXT(EDATE($D142,Milestones!$AA$152),"dd/mm/yy")&amp;" "&amp;Milestones!$AB$152&amp;" "&amp;Milestones!$AC$152&amp;";  ","")&amp;IF(AND(EDATE($D142,Milestones!$AA$153)&lt;=AsOfDate,IF($Q142=0,$W142,IF(AND($S142&lt;&gt;"",EDATE($D142,Milestones!$AA$153)&gt;=$S142),$V142,IF(AND($R142&lt;&gt;"",EDATE($D142,Milestones!$AA$153)&gt;=$R142),$U142,$T142)))=Milestones!$AB$153),TEXT(EDATE($D142,Milestones!$AA$153),"dd/mm/yy")&amp;" "&amp;Milestones!$AB$153&amp;" "&amp;Milestones!$AC$153&amp;";  ","")&amp;IF(AND(EDATE($D142,Milestones!$AA$154)&lt;=AsOfDate,IF($Q142=0,$W142,IF(AND($S142&lt;&gt;"",EDATE($D142,Milestones!$AA$154)&gt;=$S142),$V142,IF(AND($R142&lt;&gt;"",EDATE($D142,Milestones!$AA$154)&gt;=$R142),$U142,$T142)))=Milestones!$AB$154),TEXT(EDATE($D142,Milestones!$AA$154),"dd/mm/yy")&amp;" "&amp;Milestones!$AB$154&amp;" "&amp;Milestones!$AC$154&amp;";  ","")&amp;IF(AND(EDATE($D142,Milestones!$AA$155)&lt;=AsOfDate,IF($Q142=0,$W142,IF(AND($S142&lt;&gt;"",EDATE($D142,Milestones!$AA$155)&gt;=$S142),$V142,IF(AND($R142&lt;&gt;"",EDATE($D142,Milestones!$AA$155)&gt;=$R142),$U142,$T142)))=Milestones!$AB$155),TEXT(EDATE($D142,Milestones!$AA$155),"dd/mm/yy")&amp;" "&amp;Milestones!$AB$155&amp;" "&amp;Milestones!$AC$155&amp;";  ","")&amp;IF(AND(EDATE($D142,Milestones!$AA$156)&lt;=AsOfDate,IF($Q142=0,$W142,IF(AND($S142&lt;&gt;"",EDATE($D142,Milestones!$AA$156)&gt;=$S142),$V142,IF(AND($R142&lt;&gt;"",EDATE($D142,Milestones!$AA$156)&gt;=$R142),$U142,$T142)))=Milestones!$AB$156),TEXT(EDATE($D142,Milestones!$AA$156),"dd/mm/yy")&amp;" "&amp;Milestones!$AB$156&amp;" "&amp;Milestones!$AC$156&amp;";  ","")&amp;IF(AND(EDATE($D142,Milestones!$AA$157)&lt;=AsOfDate,IF($Q142=0,$W142,IF(AND($S142&lt;&gt;"",EDATE($D142,Milestones!$AA$157)&gt;=$S142),$V142,IF(AND($R142&lt;&gt;"",EDATE($D142,Milestones!$AA$157)&gt;=$R142),$U142,$T142)))=Milestones!$AB$157),TEXT(EDATE($D142,Milestones!$AA$157),"dd/mm/yy")&amp;" "&amp;Milestones!$AB$157&amp;" "&amp;Milestones!$AC$157&amp;";  ","")&amp;IF(AND(EDATE($D142,Milestones!$AA$158)&lt;=AsOfDate,IF($Q142=0,$W142,IF(AND($S142&lt;&gt;"",EDATE($D142,Milestones!$AA$158)&gt;=$S142),$V142,IF(AND($R142&lt;&gt;"",EDATE($D142,Milestones!$AA$158)&gt;=$R142),$U142,$T142)))=Milestones!$AB$158),TEXT(EDATE($D142,Milestones!$AA$158),"dd/mm/yy")&amp;" "&amp;Milestones!$AB$158&amp;" "&amp;Milestones!$AC$158&amp;";  ","")&amp;IF(AND(EDATE($D142,Milestones!$AA$159)&lt;=AsOfDate,IF($Q142=0,$W142,IF(AND($S142&lt;&gt;"",EDATE($D142,Milestones!$AA$159)&gt;=$S142),$V142,IF(AND($R142&lt;&gt;"",EDATE($D142,Milestones!$AA$159)&gt;=$R142),$U142,$T142)))=Milestones!$AB$159),TEXT(EDATE($D142,Milestones!$AA$159),"dd/mm/yy")&amp;" "&amp;Milestones!$AB$159&amp;" "&amp;Milestones!$AC$159&amp;";  ",""))</f>
        <v/>
      </c>
      <c r="O142" s="0" t="str">
        <f aca="false">IF(OR($A142="",$D142=""),"",IF(AND(EDATE($D142,Milestones!$AA$160)&lt;=AsOfDate,IF($Q142=0,$W142,IF(AND($S142&lt;&gt;"",EDATE($D142,Milestones!$AA$160)&gt;=$S142),$V142,IF(AND($R142&lt;&gt;"",EDATE($D142,Milestones!$AA$160)&gt;=$R142),$U142,$T142)))=Milestones!$AB$160),TEXT(EDATE($D142,Milestones!$AA$160),"dd/mm/yy")&amp;" "&amp;Milestones!$AB$160&amp;" "&amp;Milestones!$AC$160&amp;";  ","")&amp;IF(AND(EDATE($D142,Milestones!$AA$161)&lt;=AsOfDate,IF($Q142=0,$W142,IF(AND($S142&lt;&gt;"",EDATE($D142,Milestones!$AA$161)&gt;=$S142),$V142,IF(AND($R142&lt;&gt;"",EDATE($D142,Milestones!$AA$161)&gt;=$R142),$U142,$T142)))=Milestones!$AB$161),TEXT(EDATE($D142,Milestones!$AA$161),"dd/mm/yy")&amp;" "&amp;Milestones!$AB$161&amp;" "&amp;Milestones!$AC$161&amp;";  ","")&amp;IF(AND(EDATE($D142,Milestones!$AA$162)&lt;=AsOfDate,IF($Q142=0,$W142,IF(AND($S142&lt;&gt;"",EDATE($D142,Milestones!$AA$162)&gt;=$S142),$V142,IF(AND($R142&lt;&gt;"",EDATE($D142,Milestones!$AA$162)&gt;=$R142),$U142,$T142)))=Milestones!$AB$162),TEXT(EDATE($D142,Milestones!$AA$162),"dd/mm/yy")&amp;" "&amp;Milestones!$AB$162&amp;" "&amp;Milestones!$AC$162&amp;";  ","")&amp;IF(AND(EDATE($D142,Milestones!$AA$163)&lt;=AsOfDate,IF($Q142=0,$W142,IF(AND($S142&lt;&gt;"",EDATE($D142,Milestones!$AA$163)&gt;=$S142),$V142,IF(AND($R142&lt;&gt;"",EDATE($D142,Milestones!$AA$163)&gt;=$R142),$U142,$T142)))=Milestones!$AB$163),TEXT(EDATE($D142,Milestones!$AA$163),"dd/mm/yy")&amp;" "&amp;Milestones!$AB$163&amp;" "&amp;Milestones!$AC$163&amp;";  ","")&amp;IF(AND(EDATE($D142,Milestones!$AA$164)&lt;=AsOfDate,IF($Q142=0,$W142,IF(AND($S142&lt;&gt;"",EDATE($D142,Milestones!$AA$164)&gt;=$S142),$V142,IF(AND($R142&lt;&gt;"",EDATE($D142,Milestones!$AA$164)&gt;=$R142),$U142,$T142)))=Milestones!$AB$164),TEXT(EDATE($D142,Milestones!$AA$164),"dd/mm/yy")&amp;" "&amp;Milestones!$AB$164&amp;" "&amp;Milestones!$AC$164&amp;";  ","")&amp;IF(AND(EDATE($D142,Milestones!$AA$165)&lt;=AsOfDate,IF($Q142=0,$W142,IF(AND($S142&lt;&gt;"",EDATE($D142,Milestones!$AA$165)&gt;=$S142),$V142,IF(AND($R142&lt;&gt;"",EDATE($D142,Milestones!$AA$165)&gt;=$R142),$U142,$T142)))=Milestones!$AB$165),TEXT(EDATE($D142,Milestones!$AA$165),"dd/mm/yy")&amp;" "&amp;Milestones!$AB$165&amp;" "&amp;Milestones!$AC$165&amp;";  ","")&amp;IF(AND(EDATE($D142,Milestones!$AA$166)&lt;=AsOfDate,IF($Q142=0,$W142,IF(AND($S142&lt;&gt;"",EDATE($D142,Milestones!$AA$166)&gt;=$S142),$V142,IF(AND($R142&lt;&gt;"",EDATE($D142,Milestones!$AA$166)&gt;=$R142),$U142,$T142)))=Milestones!$AB$166),TEXT(EDATE($D142,Milestones!$AA$166),"dd/mm/yy")&amp;" "&amp;Milestones!$AB$166&amp;" "&amp;Milestones!$AC$166&amp;";  ","")&amp;IF(AND(EDATE($D142,Milestones!$AA$167)&lt;=AsOfDate,IF($Q142=0,$W142,IF(AND($S142&lt;&gt;"",EDATE($D142,Milestones!$AA$167)&gt;=$S142),$V142,IF(AND($R142&lt;&gt;"",EDATE($D142,Milestones!$AA$167)&gt;=$R142),$U142,$T142)))=Milestones!$AB$167),TEXT(EDATE($D142,Milestones!$AA$167),"dd/mm/yy")&amp;" "&amp;Milestones!$AB$167&amp;" "&amp;Milestones!$AC$167&amp;";  ","")&amp;IF(AND(EDATE($D142,Milestones!$AA$168)&lt;=AsOfDate,IF($Q142=0,$W142,IF(AND($S142&lt;&gt;"",EDATE($D142,Milestones!$AA$168)&gt;=$S142),$V142,IF(AND($R142&lt;&gt;"",EDATE($D142,Milestones!$AA$168)&gt;=$R142),$U142,$T142)))=Milestones!$AB$168),TEXT(EDATE($D142,Milestones!$AA$168),"dd/mm/yy")&amp;" "&amp;Milestones!$AB$168&amp;" "&amp;Milestones!$AC$168&amp;";  ","")&amp;IF(AND(EDATE($D142,Milestones!$AA$169)&lt;=AsOfDate,IF($Q142=0,$W142,IF(AND($S142&lt;&gt;"",EDATE($D142,Milestones!$AA$169)&gt;=$S142),$V142,IF(AND($R142&lt;&gt;"",EDATE($D142,Milestones!$AA$169)&gt;=$R142),$U142,$T142)))=Milestones!$AB$169),TEXT(EDATE($D142,Milestones!$AA$169),"dd/mm/yy")&amp;" "&amp;Milestones!$AB$169&amp;" "&amp;Milestones!$AC$169&amp;";  ","")&amp;IF(AND(EDATE($D142,Milestones!$AA$170)&lt;=AsOfDate,IF($Q142=0,$W142,IF(AND($S142&lt;&gt;"",EDATE($D142,Milestones!$AA$170)&gt;=$S142),$V142,IF(AND($R142&lt;&gt;"",EDATE($D142,Milestones!$AA$170)&gt;=$R142),$U142,$T142)))=Milestones!$AB$170),TEXT(EDATE($D142,Milestones!$AA$170),"dd/mm/yy")&amp;" "&amp;Milestones!$AB$170&amp;" "&amp;Milestones!$AC$170&amp;";  ","")&amp;IF(AND(EDATE($D142,Milestones!$AA$171)&lt;=AsOfDate,IF($Q142=0,$W142,IF(AND($S142&lt;&gt;"",EDATE($D142,Milestones!$AA$171)&gt;=$S142),$V142,IF(AND($R142&lt;&gt;"",EDATE($D142,Milestones!$AA$171)&gt;=$R142),$U142,$T142)))=Milestones!$AB$171),TEXT(EDATE($D142,Milestones!$AA$171),"dd/mm/yy")&amp;" "&amp;Milestones!$AB$171&amp;" "&amp;Milestones!$AC$171&amp;";  ","")&amp;IF(AND(EDATE($D142,Milestones!$AA$172)&lt;=AsOfDate,IF($Q142=0,$W142,IF(AND($S142&lt;&gt;"",EDATE($D142,Milestones!$AA$172)&gt;=$S142),$V142,IF(AND($R142&lt;&gt;"",EDATE($D142,Milestones!$AA$172)&gt;=$R142),$U142,$T142)))=Milestones!$AB$172),TEXT(EDATE($D142,Milestones!$AA$172),"dd/mm/yy")&amp;" "&amp;Milestones!$AB$172&amp;" "&amp;Milestones!$AC$172&amp;";  ","")&amp;IF(AND(EDATE($D142,Milestones!$AA$173)&lt;=AsOfDate,IF($Q142=0,$W142,IF(AND($S142&lt;&gt;"",EDATE($D142,Milestones!$AA$173)&gt;=$S142),$V142,IF(AND($R142&lt;&gt;"",EDATE($D142,Milestones!$AA$173)&gt;=$R142),$U142,$T142)))=Milestones!$AB$173),TEXT(EDATE($D142,Milestones!$AA$173),"dd/mm/yy")&amp;" "&amp;Milestones!$AB$173&amp;" "&amp;Milestones!$AC$173&amp;";  ","")&amp;IF(AND(EDATE($D142,Milestones!$AA$174)&lt;=AsOfDate,IF($Q142=0,$W142,IF(AND($S142&lt;&gt;"",EDATE($D142,Milestones!$AA$174)&gt;=$S142),$V142,IF(AND($R142&lt;&gt;"",EDATE($D142,Milestones!$AA$174)&gt;=$R142),$U142,$T142)))=Milestones!$AB$174),TEXT(EDATE($D142,Milestones!$AA$174),"dd/mm/yy")&amp;" "&amp;Milestones!$AB$174&amp;" "&amp;Milestones!$AC$174&amp;";  ","")&amp;IF(AND(EDATE($D142,Milestones!$AA$175)&lt;=AsOfDate,IF($Q142=0,$W142,IF(AND($S142&lt;&gt;"",EDATE($D142,Milestones!$AA$175)&gt;=$S142),$V142,IF(AND($R142&lt;&gt;"",EDATE($D142,Milestones!$AA$175)&gt;=$R142),$U142,$T142)))=Milestones!$AB$175),TEXT(EDATE($D142,Milestones!$AA$175),"dd/mm/yy")&amp;" "&amp;Milestones!$AB$175&amp;" "&amp;Milestones!$AC$175&amp;";  ","")&amp;IF(AND(EDATE($D142,Milestones!$AA$176)&lt;=AsOfDate,IF($Q142=0,$W142,IF(AND($S142&lt;&gt;"",EDATE($D142,Milestones!$AA$176)&gt;=$S142),$V142,IF(AND($R142&lt;&gt;"",EDATE($D142,Milestones!$AA$176)&gt;=$R142),$U142,$T142)))=Milestones!$AB$176),TEXT(EDATE($D142,Milestones!$AA$176),"dd/mm/yy")&amp;" "&amp;Milestones!$AB$176&amp;" "&amp;Milestones!$AC$176&amp;";  ","")&amp;IF(AND(EDATE($D142,Milestones!$AA$177)&lt;=AsOfDate,IF($Q142=0,$W142,IF(AND($S142&lt;&gt;"",EDATE($D142,Milestones!$AA$177)&gt;=$S142),$V142,IF(AND($R142&lt;&gt;"",EDATE($D142,Milestones!$AA$177)&gt;=$R142),$U142,$T142)))=Milestones!$AB$177),TEXT(EDATE($D142,Milestones!$AA$177),"dd/mm/yy")&amp;" "&amp;Milestones!$AB$177&amp;" "&amp;Milestones!$AC$177&amp;";  ","")&amp;IF(AND(EDATE($D142,Milestones!$AA$178)&lt;=AsOfDate,IF($Q142=0,$W142,IF(AND($S142&lt;&gt;"",EDATE($D142,Milestones!$AA$178)&gt;=$S142),$V142,IF(AND($R142&lt;&gt;"",EDATE($D142,Milestones!$AA$178)&gt;=$R142),$U142,$T142)))=Milestones!$AB$178),TEXT(EDATE($D142,Milestones!$AA$178),"dd/mm/yy")&amp;" "&amp;Milestones!$AB$178&amp;" "&amp;Milestones!$AC$178&amp;";  ","")&amp;IF(AND(EDATE($D142,Milestones!$AA$179)&lt;=AsOfDate,IF($Q142=0,$W142,IF(AND($S142&lt;&gt;"",EDATE($D142,Milestones!$AA$179)&gt;=$S142),$V142,IF(AND($R142&lt;&gt;"",EDATE($D142,Milestones!$AA$179)&gt;=$R142),$U142,$T142)))=Milestones!$AB$179),TEXT(EDATE($D142,Milestones!$AA$179),"dd/mm/yy")&amp;" "&amp;Milestones!$AB$179&amp;" "&amp;Milestones!$AC$179&amp;";  ",""))</f>
        <v/>
      </c>
      <c r="P142" s="0" t="str">
        <f aca="false">IF(OR($A142="",$D142=""),"",IF(AND(EDATE($D142,Milestones!$AA$180)&lt;=AsOfDate,IF($Q142=0,$W142,IF(AND($S142&lt;&gt;"",EDATE($D142,Milestones!$AA$180)&gt;=$S142),$V142,IF(AND($R142&lt;&gt;"",EDATE($D142,Milestones!$AA$180)&gt;=$R142),$U142,$T142)))=Milestones!$AB$180),TEXT(EDATE($D142,Milestones!$AA$180),"dd/mm/yy")&amp;" "&amp;Milestones!$AB$180&amp;" "&amp;Milestones!$AC$180&amp;";  ","")&amp;IF(AND(EDATE($D142,Milestones!$AA$181)&lt;=AsOfDate,IF($Q142=0,$W142,IF(AND($S142&lt;&gt;"",EDATE($D142,Milestones!$AA$181)&gt;=$S142),$V142,IF(AND($R142&lt;&gt;"",EDATE($D142,Milestones!$AA$181)&gt;=$R142),$U142,$T142)))=Milestones!$AB$181),TEXT(EDATE($D142,Milestones!$AA$181),"dd/mm/yy")&amp;" "&amp;Milestones!$AB$181&amp;" "&amp;Milestones!$AC$181&amp;";  ","")&amp;IF(AND(EDATE($D142,Milestones!$AA$182)&lt;=AsOfDate,IF($Q142=0,$W142,IF(AND($S142&lt;&gt;"",EDATE($D142,Milestones!$AA$182)&gt;=$S142),$V142,IF(AND($R142&lt;&gt;"",EDATE($D142,Milestones!$AA$182)&gt;=$R142),$U142,$T142)))=Milestones!$AB$182),TEXT(EDATE($D142,Milestones!$AA$182),"dd/mm/yy")&amp;" "&amp;Milestones!$AB$182&amp;" "&amp;Milestones!$AC$182&amp;";  ","")&amp;IF(AND(EDATE($D142,Milestones!$AA$183)&lt;=AsOfDate,IF($Q142=0,$W142,IF(AND($S142&lt;&gt;"",EDATE($D142,Milestones!$AA$183)&gt;=$S142),$V142,IF(AND($R142&lt;&gt;"",EDATE($D142,Milestones!$AA$183)&gt;=$R142),$U142,$T142)))=Milestones!$AB$183),TEXT(EDATE($D142,Milestones!$AA$183),"dd/mm/yy")&amp;" "&amp;Milestones!$AB$183&amp;" "&amp;Milestones!$AC$183&amp;";  ","")&amp;IF(AND(EDATE($D142,Milestones!$AA$184)&lt;=AsOfDate,IF($Q142=0,$W142,IF(AND($S142&lt;&gt;"",EDATE($D142,Milestones!$AA$184)&gt;=$S142),$V142,IF(AND($R142&lt;&gt;"",EDATE($D142,Milestones!$AA$184)&gt;=$R142),$U142,$T142)))=Milestones!$AB$184),TEXT(EDATE($D142,Milestones!$AA$184),"dd/mm/yy")&amp;" "&amp;Milestones!$AB$184&amp;" "&amp;Milestones!$AC$184&amp;";  ","")&amp;IF(AND(EDATE($D142,Milestones!$AA$185)&lt;=AsOfDate,IF($Q142=0,$W142,IF(AND($S142&lt;&gt;"",EDATE($D142,Milestones!$AA$185)&gt;=$S142),$V142,IF(AND($R142&lt;&gt;"",EDATE($D142,Milestones!$AA$185)&gt;=$R142),$U142,$T142)))=Milestones!$AB$185),TEXT(EDATE($D142,Milestones!$AA$185),"dd/mm/yy")&amp;" "&amp;Milestones!$AB$185&amp;" "&amp;Milestones!$AC$185&amp;";  ","")&amp;IF(AND(EDATE($D142,Milestones!$AA$186)&lt;=AsOfDate,IF($Q142=0,$W142,IF(AND($S142&lt;&gt;"",EDATE($D142,Milestones!$AA$186)&gt;=$S142),$V142,IF(AND($R142&lt;&gt;"",EDATE($D142,Milestones!$AA$186)&gt;=$R142),$U142,$T142)))=Milestones!$AB$186),TEXT(EDATE($D142,Milestones!$AA$186),"dd/mm/yy")&amp;" "&amp;Milestones!$AB$186&amp;" "&amp;Milestones!$AC$186&amp;";  ","")&amp;IF(AND(EDATE($D142,Milestones!$AA$187)&lt;=AsOfDate,IF($Q142=0,$W142,IF(AND($S142&lt;&gt;"",EDATE($D142,Milestones!$AA$187)&gt;=$S142),$V142,IF(AND($R142&lt;&gt;"",EDATE($D142,Milestones!$AA$187)&gt;=$R142),$U142,$T142)))=Milestones!$AB$187),TEXT(EDATE($D142,Milestones!$AA$187),"dd/mm/yy")&amp;" "&amp;Milestones!$AB$187&amp;" "&amp;Milestones!$AC$187&amp;";  ","")&amp;IF(AND(EDATE($D142,Milestones!$AA$188)&lt;=AsOfDate,IF($Q142=0,$W142,IF(AND($S142&lt;&gt;"",EDATE($D142,Milestones!$AA$188)&gt;=$S142),$V142,IF(AND($R142&lt;&gt;"",EDATE($D142,Milestones!$AA$188)&gt;=$R142),$U142,$T142)))=Milestones!$AB$188),TEXT(EDATE($D142,Milestones!$AA$188),"dd/mm/yy")&amp;" "&amp;Milestones!$AB$188&amp;" "&amp;Milestones!$AC$188&amp;";  ","")&amp;IF(AND(EDATE($D142,Milestones!$AA$189)&lt;=AsOfDate,IF($Q142=0,$W142,IF(AND($S142&lt;&gt;"",EDATE($D142,Milestones!$AA$189)&gt;=$S142),$V142,IF(AND($R142&lt;&gt;"",EDATE($D142,Milestones!$AA$189)&gt;=$R142),$U142,$T142)))=Milestones!$AB$189),TEXT(EDATE($D142,Milestones!$AA$189),"dd/mm/yy")&amp;" "&amp;Milestones!$AB$189&amp;" "&amp;Milestones!$AC$189&amp;";  ","")&amp;IF(AND(EDATE($D142,Milestones!$AA$190)&lt;=AsOfDate,IF($Q142=0,$W142,IF(AND($S142&lt;&gt;"",EDATE($D142,Milestones!$AA$190)&gt;=$S142),$V142,IF(AND($R142&lt;&gt;"",EDATE($D142,Milestones!$AA$190)&gt;=$R142),$U142,$T142)))=Milestones!$AB$190),TEXT(EDATE($D142,Milestones!$AA$190),"dd/mm/yy")&amp;" "&amp;Milestones!$AB$190&amp;" "&amp;Milestones!$AC$190&amp;";  ","")&amp;IF(AND(EDATE($D142,Milestones!$AA$191)&lt;=AsOfDate,IF($Q142=0,$W142,IF(AND($S142&lt;&gt;"",EDATE($D142,Milestones!$AA$191)&gt;=$S142),$V142,IF(AND($R142&lt;&gt;"",EDATE($D142,Milestones!$AA$191)&gt;=$R142),$U142,$T142)))=Milestones!$AB$191),TEXT(EDATE($D142,Milestones!$AA$191),"dd/mm/yy")&amp;" "&amp;Milestones!$AB$191&amp;" "&amp;Milestones!$AC$191&amp;";  ","")&amp;IF(AND(EDATE($D142,Milestones!$AA$192)&lt;=AsOfDate,IF($Q142=0,$W142,IF(AND($S142&lt;&gt;"",EDATE($D142,Milestones!$AA$192)&gt;=$S142),$V142,IF(AND($R142&lt;&gt;"",EDATE($D142,Milestones!$AA$192)&gt;=$R142),$U142,$T142)))=Milestones!$AB$192),TEXT(EDATE($D142,Milestones!$AA$192),"dd/mm/yy")&amp;" "&amp;Milestones!$AB$192&amp;" "&amp;Milestones!$AC$192&amp;";  ","")&amp;IF(AND(EDATE($D142,Milestones!$AA$193)&lt;=AsOfDate,IF($Q142=0,$W142,IF(AND($S142&lt;&gt;"",EDATE($D142,Milestones!$AA$193)&gt;=$S142),$V142,IF(AND($R142&lt;&gt;"",EDATE($D142,Milestones!$AA$193)&gt;=$R142),$U142,$T142)))=Milestones!$AB$193),TEXT(EDATE($D142,Milestones!$AA$193),"dd/mm/yy")&amp;" "&amp;Milestones!$AB$193&amp;" "&amp;Milestones!$AC$193&amp;";  ","")&amp;IF(AND(EDATE($D142,Milestones!$AA$194)&lt;=AsOfDate,IF($Q142=0,$W142,IF(AND($S142&lt;&gt;"",EDATE($D142,Milestones!$AA$194)&gt;=$S142),$V142,IF(AND($R142&lt;&gt;"",EDATE($D142,Milestones!$AA$194)&gt;=$R142),$U142,$T142)))=Milestones!$AB$194),TEXT(EDATE($D142,Milestones!$AA$194),"dd/mm/yy")&amp;" "&amp;Milestones!$AB$194&amp;" "&amp;Milestones!$AC$194&amp;";  ","")&amp;IF(AND(EDATE($D142,Milestones!$AA$195)&lt;=AsOfDate,IF($Q142=0,$W142,IF(AND($S142&lt;&gt;"",EDATE($D142,Milestones!$AA$195)&gt;=$S142),$V142,IF(AND($R142&lt;&gt;"",EDATE($D142,Milestones!$AA$195)&gt;=$R142),$U142,$T142)))=Milestones!$AB$195),TEXT(EDATE($D142,Milestones!$AA$195),"dd/mm/yy")&amp;" "&amp;Milestones!$AB$195&amp;" "&amp;Milestones!$AC$195&amp;";  ","")&amp;IF(AND(EDATE($D142,Milestones!$AA$196)&lt;=AsOfDate,IF($Q142=0,$W142,IF(AND($S142&lt;&gt;"",EDATE($D142,Milestones!$AA$196)&gt;=$S142),$V142,IF(AND($R142&lt;&gt;"",EDATE($D142,Milestones!$AA$196)&gt;=$R142),$U142,$T142)))=Milestones!$AB$196),TEXT(EDATE($D142,Milestones!$AA$196),"dd/mm/yy")&amp;" "&amp;Milestones!$AB$196&amp;" "&amp;Milestones!$AC$196&amp;";  ","")&amp;IF(AND(EDATE($D142,Milestones!$AA$197)&lt;=AsOfDate,IF($Q142=0,$W142,IF(AND($S142&lt;&gt;"",EDATE($D142,Milestones!$AA$197)&gt;=$S142),$V142,IF(AND($R142&lt;&gt;"",EDATE($D142,Milestones!$AA$197)&gt;=$R142),$U142,$T142)))=Milestones!$AB$197),TEXT(EDATE($D142,Milestones!$AA$197),"dd/mm/yy")&amp;" "&amp;Milestones!$AB$197&amp;" "&amp;Milestones!$AC$197&amp;";  ","")&amp;IF(AND(EDATE($D142,Milestones!$AA$198)&lt;=AsOfDate,IF($Q142=0,$W142,IF(AND($S142&lt;&gt;"",EDATE($D142,Milestones!$AA$198)&gt;=$S142),$V142,IF(AND($R142&lt;&gt;"",EDATE($D142,Milestones!$AA$198)&gt;=$R142),$U142,$T142)))=Milestones!$AB$198),TEXT(EDATE($D142,Milestones!$AA$198),"dd/mm/yy")&amp;" "&amp;Milestones!$AB$198&amp;" "&amp;Milestones!$AC$198&amp;";  ","")&amp;IF(AND(EDATE($D142,Milestones!$AA$199)&lt;=AsOfDate,IF($Q142=0,$W142,IF(AND($S142&lt;&gt;"",EDATE($D142,Milestones!$AA$199)&gt;=$S142),$V142,IF(AND($R142&lt;&gt;"",EDATE($D142,Milestones!$AA$199)&gt;=$R142),$U142,$T142)))=Milestones!$AB$199),TEXT(EDATE($D142,Milestones!$AA$199),"dd/mm/yy")&amp;" "&amp;Milestones!$AB$199&amp;" "&amp;Milestones!$AC$199&amp;";  ",""))</f>
        <v/>
      </c>
      <c r="Q142" s="0" t="str">
        <f aca="false">IF(Staff!$A142="","",Staff!$AG142)</f>
        <v/>
      </c>
      <c r="R142" s="0" t="str">
        <f aca="false">IF(Staff!$A142="","",Staff!$AI142)</f>
        <v/>
      </c>
      <c r="S142" s="0" t="str">
        <f aca="false">IF(Staff!$A142="","",Staff!$AJ142)</f>
        <v/>
      </c>
      <c r="T142" s="0" t="str">
        <f aca="false">IF(Staff!$A142="","",Staff!$AN142)</f>
        <v/>
      </c>
      <c r="U142" s="0" t="str">
        <f aca="false">IF(Staff!$A142="","",Staff!$AO142)</f>
        <v/>
      </c>
      <c r="V142" s="0" t="str">
        <f aca="false">IF(Staff!$A142="","",Staff!$AP142)</f>
        <v/>
      </c>
      <c r="W142" s="0" t="str">
        <f aca="false">IF(Staff!$A142="","",Staff!$AQ142)</f>
        <v/>
      </c>
    </row>
    <row r="143" customFormat="false" ht="15" hidden="false" customHeight="false" outlineLevel="0" collapsed="false">
      <c r="A143" s="13" t="str">
        <f aca="false">IF(Staff!$A143="","",Staff!$A143)</f>
        <v/>
      </c>
      <c r="B143" s="13" t="str">
        <f aca="false">IF(Staff!$A143="","",Staff!$B143)</f>
        <v/>
      </c>
      <c r="C143" s="13" t="str">
        <f aca="false">IF(Staff!$A143="","",Staff!$C143)</f>
        <v/>
      </c>
      <c r="D143" s="11" t="str">
        <f aca="false">IF(Staff!$A143="","",Staff!$AF143)</f>
        <v/>
      </c>
      <c r="E143" s="13" t="str">
        <f aca="false">IF(Staff!$A143="","",Staff!$O143)</f>
        <v/>
      </c>
      <c r="F143" s="13" t="str">
        <f aca="false">IF(E143="","",E143*HoursPerDay)</f>
        <v/>
      </c>
      <c r="G143" s="26" t="str">
        <f aca="false">IF($A143="","",H143&amp;I143&amp;J143&amp;K143&amp;L143&amp;M143&amp;N143&amp;O143&amp;P143)</f>
        <v/>
      </c>
      <c r="H143" s="0" t="str">
        <f aca="false">IF(OR($A143="",$D143=""),"",IF(AND(EDATE($D143,Milestones!$AA$20)&lt;=AsOfDate,IF($Q143=0,$W143,IF(AND($S143&lt;&gt;"",EDATE($D143,Milestones!$AA$20)&gt;=$S143),$V143,IF(AND($R143&lt;&gt;"",EDATE($D143,Milestones!$AA$20)&gt;=$R143),$U143,$T143)))=Milestones!$AB$20),TEXT(EDATE($D143,Milestones!$AA$20),"dd/mm/yy")&amp;" "&amp;Milestones!$AB$20&amp;" "&amp;Milestones!$AC$20&amp;";  ","")&amp;IF(AND(EDATE($D143,Milestones!$AA$21)&lt;=AsOfDate,IF($Q143=0,$W143,IF(AND($S143&lt;&gt;"",EDATE($D143,Milestones!$AA$21)&gt;=$S143),$V143,IF(AND($R143&lt;&gt;"",EDATE($D143,Milestones!$AA$21)&gt;=$R143),$U143,$T143)))=Milestones!$AB$21),TEXT(EDATE($D143,Milestones!$AA$21),"dd/mm/yy")&amp;" "&amp;Milestones!$AB$21&amp;" "&amp;Milestones!$AC$21&amp;";  ","")&amp;IF(AND(EDATE($D143,Milestones!$AA$22)&lt;=AsOfDate,IF($Q143=0,$W143,IF(AND($S143&lt;&gt;"",EDATE($D143,Milestones!$AA$22)&gt;=$S143),$V143,IF(AND($R143&lt;&gt;"",EDATE($D143,Milestones!$AA$22)&gt;=$R143),$U143,$T143)))=Milestones!$AB$22),TEXT(EDATE($D143,Milestones!$AA$22),"dd/mm/yy")&amp;" "&amp;Milestones!$AB$22&amp;" "&amp;Milestones!$AC$22&amp;";  ","")&amp;IF(AND(EDATE($D143,Milestones!$AA$23)&lt;=AsOfDate,IF($Q143=0,$W143,IF(AND($S143&lt;&gt;"",EDATE($D143,Milestones!$AA$23)&gt;=$S143),$V143,IF(AND($R143&lt;&gt;"",EDATE($D143,Milestones!$AA$23)&gt;=$R143),$U143,$T143)))=Milestones!$AB$23),TEXT(EDATE($D143,Milestones!$AA$23),"dd/mm/yy")&amp;" "&amp;Milestones!$AB$23&amp;" "&amp;Milestones!$AC$23&amp;";  ","")&amp;IF(AND(EDATE($D143,Milestones!$AA$24)&lt;=AsOfDate,IF($Q143=0,$W143,IF(AND($S143&lt;&gt;"",EDATE($D143,Milestones!$AA$24)&gt;=$S143),$V143,IF(AND($R143&lt;&gt;"",EDATE($D143,Milestones!$AA$24)&gt;=$R143),$U143,$T143)))=Milestones!$AB$24),TEXT(EDATE($D143,Milestones!$AA$24),"dd/mm/yy")&amp;" "&amp;Milestones!$AB$24&amp;" "&amp;Milestones!$AC$24&amp;";  ","")&amp;IF(AND(EDATE($D143,Milestones!$AA$25)&lt;=AsOfDate,IF($Q143=0,$W143,IF(AND($S143&lt;&gt;"",EDATE($D143,Milestones!$AA$25)&gt;=$S143),$V143,IF(AND($R143&lt;&gt;"",EDATE($D143,Milestones!$AA$25)&gt;=$R143),$U143,$T143)))=Milestones!$AB$25),TEXT(EDATE($D143,Milestones!$AA$25),"dd/mm/yy")&amp;" "&amp;Milestones!$AB$25&amp;" "&amp;Milestones!$AC$25&amp;";  ","")&amp;IF(AND(EDATE($D143,Milestones!$AA$26)&lt;=AsOfDate,IF($Q143=0,$W143,IF(AND($S143&lt;&gt;"",EDATE($D143,Milestones!$AA$26)&gt;=$S143),$V143,IF(AND($R143&lt;&gt;"",EDATE($D143,Milestones!$AA$26)&gt;=$R143),$U143,$T143)))=Milestones!$AB$26),TEXT(EDATE($D143,Milestones!$AA$26),"dd/mm/yy")&amp;" "&amp;Milestones!$AB$26&amp;" "&amp;Milestones!$AC$26&amp;";  ","")&amp;IF(AND(EDATE($D143,Milestones!$AA$27)&lt;=AsOfDate,IF($Q143=0,$W143,IF(AND($S143&lt;&gt;"",EDATE($D143,Milestones!$AA$27)&gt;=$S143),$V143,IF(AND($R143&lt;&gt;"",EDATE($D143,Milestones!$AA$27)&gt;=$R143),$U143,$T143)))=Milestones!$AB$27),TEXT(EDATE($D143,Milestones!$AA$27),"dd/mm/yy")&amp;" "&amp;Milestones!$AB$27&amp;" "&amp;Milestones!$AC$27&amp;";  ","")&amp;IF(AND(EDATE($D143,Milestones!$AA$28)&lt;=AsOfDate,IF($Q143=0,$W143,IF(AND($S143&lt;&gt;"",EDATE($D143,Milestones!$AA$28)&gt;=$S143),$V143,IF(AND($R143&lt;&gt;"",EDATE($D143,Milestones!$AA$28)&gt;=$R143),$U143,$T143)))=Milestones!$AB$28),TEXT(EDATE($D143,Milestones!$AA$28),"dd/mm/yy")&amp;" "&amp;Milestones!$AB$28&amp;" "&amp;Milestones!$AC$28&amp;";  ","")&amp;IF(AND(EDATE($D143,Milestones!$AA$29)&lt;=AsOfDate,IF($Q143=0,$W143,IF(AND($S143&lt;&gt;"",EDATE($D143,Milestones!$AA$29)&gt;=$S143),$V143,IF(AND($R143&lt;&gt;"",EDATE($D143,Milestones!$AA$29)&gt;=$R143),$U143,$T143)))=Milestones!$AB$29),TEXT(EDATE($D143,Milestones!$AA$29),"dd/mm/yy")&amp;" "&amp;Milestones!$AB$29&amp;" "&amp;Milestones!$AC$29&amp;";  ","")&amp;IF(AND(EDATE($D143,Milestones!$AA$30)&lt;=AsOfDate,IF($Q143=0,$W143,IF(AND($S143&lt;&gt;"",EDATE($D143,Milestones!$AA$30)&gt;=$S143),$V143,IF(AND($R143&lt;&gt;"",EDATE($D143,Milestones!$AA$30)&gt;=$R143),$U143,$T143)))=Milestones!$AB$30),TEXT(EDATE($D143,Milestones!$AA$30),"dd/mm/yy")&amp;" "&amp;Milestones!$AB$30&amp;" "&amp;Milestones!$AC$30&amp;";  ","")&amp;IF(AND(EDATE($D143,Milestones!$AA$31)&lt;=AsOfDate,IF($Q143=0,$W143,IF(AND($S143&lt;&gt;"",EDATE($D143,Milestones!$AA$31)&gt;=$S143),$V143,IF(AND($R143&lt;&gt;"",EDATE($D143,Milestones!$AA$31)&gt;=$R143),$U143,$T143)))=Milestones!$AB$31),TEXT(EDATE($D143,Milestones!$AA$31),"dd/mm/yy")&amp;" "&amp;Milestones!$AB$31&amp;" "&amp;Milestones!$AC$31&amp;";  ","")&amp;IF(AND(EDATE($D143,Milestones!$AA$32)&lt;=AsOfDate,IF($Q143=0,$W143,IF(AND($S143&lt;&gt;"",EDATE($D143,Milestones!$AA$32)&gt;=$S143),$V143,IF(AND($R143&lt;&gt;"",EDATE($D143,Milestones!$AA$32)&gt;=$R143),$U143,$T143)))=Milestones!$AB$32),TEXT(EDATE($D143,Milestones!$AA$32),"dd/mm/yy")&amp;" "&amp;Milestones!$AB$32&amp;" "&amp;Milestones!$AC$32&amp;";  ","")&amp;IF(AND(EDATE($D143,Milestones!$AA$33)&lt;=AsOfDate,IF($Q143=0,$W143,IF(AND($S143&lt;&gt;"",EDATE($D143,Milestones!$AA$33)&gt;=$S143),$V143,IF(AND($R143&lt;&gt;"",EDATE($D143,Milestones!$AA$33)&gt;=$R143),$U143,$T143)))=Milestones!$AB$33),TEXT(EDATE($D143,Milestones!$AA$33),"dd/mm/yy")&amp;" "&amp;Milestones!$AB$33&amp;" "&amp;Milestones!$AC$33&amp;";  ","")&amp;IF(AND(EDATE($D143,Milestones!$AA$34)&lt;=AsOfDate,IF($Q143=0,$W143,IF(AND($S143&lt;&gt;"",EDATE($D143,Milestones!$AA$34)&gt;=$S143),$V143,IF(AND($R143&lt;&gt;"",EDATE($D143,Milestones!$AA$34)&gt;=$R143),$U143,$T143)))=Milestones!$AB$34),TEXT(EDATE($D143,Milestones!$AA$34),"dd/mm/yy")&amp;" "&amp;Milestones!$AB$34&amp;" "&amp;Milestones!$AC$34&amp;";  ","")&amp;IF(AND(EDATE($D143,Milestones!$AA$35)&lt;=AsOfDate,IF($Q143=0,$W143,IF(AND($S143&lt;&gt;"",EDATE($D143,Milestones!$AA$35)&gt;=$S143),$V143,IF(AND($R143&lt;&gt;"",EDATE($D143,Milestones!$AA$35)&gt;=$R143),$U143,$T143)))=Milestones!$AB$35),TEXT(EDATE($D143,Milestones!$AA$35),"dd/mm/yy")&amp;" "&amp;Milestones!$AB$35&amp;" "&amp;Milestones!$AC$35&amp;";  ","")&amp;IF(AND(EDATE($D143,Milestones!$AA$36)&lt;=AsOfDate,IF($Q143=0,$W143,IF(AND($S143&lt;&gt;"",EDATE($D143,Milestones!$AA$36)&gt;=$S143),$V143,IF(AND($R143&lt;&gt;"",EDATE($D143,Milestones!$AA$36)&gt;=$R143),$U143,$T143)))=Milestones!$AB$36),TEXT(EDATE($D143,Milestones!$AA$36),"dd/mm/yy")&amp;" "&amp;Milestones!$AB$36&amp;" "&amp;Milestones!$AC$36&amp;";  ","")&amp;IF(AND(EDATE($D143,Milestones!$AA$37)&lt;=AsOfDate,IF($Q143=0,$W143,IF(AND($S143&lt;&gt;"",EDATE($D143,Milestones!$AA$37)&gt;=$S143),$V143,IF(AND($R143&lt;&gt;"",EDATE($D143,Milestones!$AA$37)&gt;=$R143),$U143,$T143)))=Milestones!$AB$37),TEXT(EDATE($D143,Milestones!$AA$37),"dd/mm/yy")&amp;" "&amp;Milestones!$AB$37&amp;" "&amp;Milestones!$AC$37&amp;";  ","")&amp;IF(AND(EDATE($D143,Milestones!$AA$38)&lt;=AsOfDate,IF($Q143=0,$W143,IF(AND($S143&lt;&gt;"",EDATE($D143,Milestones!$AA$38)&gt;=$S143),$V143,IF(AND($R143&lt;&gt;"",EDATE($D143,Milestones!$AA$38)&gt;=$R143),$U143,$T143)))=Milestones!$AB$38),TEXT(EDATE($D143,Milestones!$AA$38),"dd/mm/yy")&amp;" "&amp;Milestones!$AB$38&amp;" "&amp;Milestones!$AC$38&amp;";  ","")&amp;IF(AND(EDATE($D143,Milestones!$AA$39)&lt;=AsOfDate,IF($Q143=0,$W143,IF(AND($S143&lt;&gt;"",EDATE($D143,Milestones!$AA$39)&gt;=$S143),$V143,IF(AND($R143&lt;&gt;"",EDATE($D143,Milestones!$AA$39)&gt;=$R143),$U143,$T143)))=Milestones!$AB$39),TEXT(EDATE($D143,Milestones!$AA$39),"dd/mm/yy")&amp;" "&amp;Milestones!$AB$39&amp;" "&amp;Milestones!$AC$39&amp;";  ",""))</f>
        <v/>
      </c>
      <c r="I143" s="0" t="str">
        <f aca="false">IF(OR($A143="",$D143=""),"",IF(AND(EDATE($D143,Milestones!$AA$40)&lt;=AsOfDate,IF($Q143=0,$W143,IF(AND($S143&lt;&gt;"",EDATE($D143,Milestones!$AA$40)&gt;=$S143),$V143,IF(AND($R143&lt;&gt;"",EDATE($D143,Milestones!$AA$40)&gt;=$R143),$U143,$T143)))=Milestones!$AB$40),TEXT(EDATE($D143,Milestones!$AA$40),"dd/mm/yy")&amp;" "&amp;Milestones!$AB$40&amp;" "&amp;Milestones!$AC$40&amp;";  ","")&amp;IF(AND(EDATE($D143,Milestones!$AA$41)&lt;=AsOfDate,IF($Q143=0,$W143,IF(AND($S143&lt;&gt;"",EDATE($D143,Milestones!$AA$41)&gt;=$S143),$V143,IF(AND($R143&lt;&gt;"",EDATE($D143,Milestones!$AA$41)&gt;=$R143),$U143,$T143)))=Milestones!$AB$41),TEXT(EDATE($D143,Milestones!$AA$41),"dd/mm/yy")&amp;" "&amp;Milestones!$AB$41&amp;" "&amp;Milestones!$AC$41&amp;";  ","")&amp;IF(AND(EDATE($D143,Milestones!$AA$42)&lt;=AsOfDate,IF($Q143=0,$W143,IF(AND($S143&lt;&gt;"",EDATE($D143,Milestones!$AA$42)&gt;=$S143),$V143,IF(AND($R143&lt;&gt;"",EDATE($D143,Milestones!$AA$42)&gt;=$R143),$U143,$T143)))=Milestones!$AB$42),TEXT(EDATE($D143,Milestones!$AA$42),"dd/mm/yy")&amp;" "&amp;Milestones!$AB$42&amp;" "&amp;Milestones!$AC$42&amp;";  ","")&amp;IF(AND(EDATE($D143,Milestones!$AA$43)&lt;=AsOfDate,IF($Q143=0,$W143,IF(AND($S143&lt;&gt;"",EDATE($D143,Milestones!$AA$43)&gt;=$S143),$V143,IF(AND($R143&lt;&gt;"",EDATE($D143,Milestones!$AA$43)&gt;=$R143),$U143,$T143)))=Milestones!$AB$43),TEXT(EDATE($D143,Milestones!$AA$43),"dd/mm/yy")&amp;" "&amp;Milestones!$AB$43&amp;" "&amp;Milestones!$AC$43&amp;";  ","")&amp;IF(AND(EDATE($D143,Milestones!$AA$44)&lt;=AsOfDate,IF($Q143=0,$W143,IF(AND($S143&lt;&gt;"",EDATE($D143,Milestones!$AA$44)&gt;=$S143),$V143,IF(AND($R143&lt;&gt;"",EDATE($D143,Milestones!$AA$44)&gt;=$R143),$U143,$T143)))=Milestones!$AB$44),TEXT(EDATE($D143,Milestones!$AA$44),"dd/mm/yy")&amp;" "&amp;Milestones!$AB$44&amp;" "&amp;Milestones!$AC$44&amp;";  ","")&amp;IF(AND(EDATE($D143,Milestones!$AA$45)&lt;=AsOfDate,IF($Q143=0,$W143,IF(AND($S143&lt;&gt;"",EDATE($D143,Milestones!$AA$45)&gt;=$S143),$V143,IF(AND($R143&lt;&gt;"",EDATE($D143,Milestones!$AA$45)&gt;=$R143),$U143,$T143)))=Milestones!$AB$45),TEXT(EDATE($D143,Milestones!$AA$45),"dd/mm/yy")&amp;" "&amp;Milestones!$AB$45&amp;" "&amp;Milestones!$AC$45&amp;";  ","")&amp;IF(AND(EDATE($D143,Milestones!$AA$46)&lt;=AsOfDate,IF($Q143=0,$W143,IF(AND($S143&lt;&gt;"",EDATE($D143,Milestones!$AA$46)&gt;=$S143),$V143,IF(AND($R143&lt;&gt;"",EDATE($D143,Milestones!$AA$46)&gt;=$R143),$U143,$T143)))=Milestones!$AB$46),TEXT(EDATE($D143,Milestones!$AA$46),"dd/mm/yy")&amp;" "&amp;Milestones!$AB$46&amp;" "&amp;Milestones!$AC$46&amp;";  ","")&amp;IF(AND(EDATE($D143,Milestones!$AA$47)&lt;=AsOfDate,IF($Q143=0,$W143,IF(AND($S143&lt;&gt;"",EDATE($D143,Milestones!$AA$47)&gt;=$S143),$V143,IF(AND($R143&lt;&gt;"",EDATE($D143,Milestones!$AA$47)&gt;=$R143),$U143,$T143)))=Milestones!$AB$47),TEXT(EDATE($D143,Milestones!$AA$47),"dd/mm/yy")&amp;" "&amp;Milestones!$AB$47&amp;" "&amp;Milestones!$AC$47&amp;";  ","")&amp;IF(AND(EDATE($D143,Milestones!$AA$48)&lt;=AsOfDate,IF($Q143=0,$W143,IF(AND($S143&lt;&gt;"",EDATE($D143,Milestones!$AA$48)&gt;=$S143),$V143,IF(AND($R143&lt;&gt;"",EDATE($D143,Milestones!$AA$48)&gt;=$R143),$U143,$T143)))=Milestones!$AB$48),TEXT(EDATE($D143,Milestones!$AA$48),"dd/mm/yy")&amp;" "&amp;Milestones!$AB$48&amp;" "&amp;Milestones!$AC$48&amp;";  ","")&amp;IF(AND(EDATE($D143,Milestones!$AA$49)&lt;=AsOfDate,IF($Q143=0,$W143,IF(AND($S143&lt;&gt;"",EDATE($D143,Milestones!$AA$49)&gt;=$S143),$V143,IF(AND($R143&lt;&gt;"",EDATE($D143,Milestones!$AA$49)&gt;=$R143),$U143,$T143)))=Milestones!$AB$49),TEXT(EDATE($D143,Milestones!$AA$49),"dd/mm/yy")&amp;" "&amp;Milestones!$AB$49&amp;" "&amp;Milestones!$AC$49&amp;";  ","")&amp;IF(AND(EDATE($D143,Milestones!$AA$50)&lt;=AsOfDate,IF($Q143=0,$W143,IF(AND($S143&lt;&gt;"",EDATE($D143,Milestones!$AA$50)&gt;=$S143),$V143,IF(AND($R143&lt;&gt;"",EDATE($D143,Milestones!$AA$50)&gt;=$R143),$U143,$T143)))=Milestones!$AB$50),TEXT(EDATE($D143,Milestones!$AA$50),"dd/mm/yy")&amp;" "&amp;Milestones!$AB$50&amp;" "&amp;Milestones!$AC$50&amp;";  ","")&amp;IF(AND(EDATE($D143,Milestones!$AA$51)&lt;=AsOfDate,IF($Q143=0,$W143,IF(AND($S143&lt;&gt;"",EDATE($D143,Milestones!$AA$51)&gt;=$S143),$V143,IF(AND($R143&lt;&gt;"",EDATE($D143,Milestones!$AA$51)&gt;=$R143),$U143,$T143)))=Milestones!$AB$51),TEXT(EDATE($D143,Milestones!$AA$51),"dd/mm/yy")&amp;" "&amp;Milestones!$AB$51&amp;" "&amp;Milestones!$AC$51&amp;";  ","")&amp;IF(AND(EDATE($D143,Milestones!$AA$52)&lt;=AsOfDate,IF($Q143=0,$W143,IF(AND($S143&lt;&gt;"",EDATE($D143,Milestones!$AA$52)&gt;=$S143),$V143,IF(AND($R143&lt;&gt;"",EDATE($D143,Milestones!$AA$52)&gt;=$R143),$U143,$T143)))=Milestones!$AB$52),TEXT(EDATE($D143,Milestones!$AA$52),"dd/mm/yy")&amp;" "&amp;Milestones!$AB$52&amp;" "&amp;Milestones!$AC$52&amp;";  ","")&amp;IF(AND(EDATE($D143,Milestones!$AA$53)&lt;=AsOfDate,IF($Q143=0,$W143,IF(AND($S143&lt;&gt;"",EDATE($D143,Milestones!$AA$53)&gt;=$S143),$V143,IF(AND($R143&lt;&gt;"",EDATE($D143,Milestones!$AA$53)&gt;=$R143),$U143,$T143)))=Milestones!$AB$53),TEXT(EDATE($D143,Milestones!$AA$53),"dd/mm/yy")&amp;" "&amp;Milestones!$AB$53&amp;" "&amp;Milestones!$AC$53&amp;";  ","")&amp;IF(AND(EDATE($D143,Milestones!$AA$54)&lt;=AsOfDate,IF($Q143=0,$W143,IF(AND($S143&lt;&gt;"",EDATE($D143,Milestones!$AA$54)&gt;=$S143),$V143,IF(AND($R143&lt;&gt;"",EDATE($D143,Milestones!$AA$54)&gt;=$R143),$U143,$T143)))=Milestones!$AB$54),TEXT(EDATE($D143,Milestones!$AA$54),"dd/mm/yy")&amp;" "&amp;Milestones!$AB$54&amp;" "&amp;Milestones!$AC$54&amp;";  ","")&amp;IF(AND(EDATE($D143,Milestones!$AA$55)&lt;=AsOfDate,IF($Q143=0,$W143,IF(AND($S143&lt;&gt;"",EDATE($D143,Milestones!$AA$55)&gt;=$S143),$V143,IF(AND($R143&lt;&gt;"",EDATE($D143,Milestones!$AA$55)&gt;=$R143),$U143,$T143)))=Milestones!$AB$55),TEXT(EDATE($D143,Milestones!$AA$55),"dd/mm/yy")&amp;" "&amp;Milestones!$AB$55&amp;" "&amp;Milestones!$AC$55&amp;";  ","")&amp;IF(AND(EDATE($D143,Milestones!$AA$56)&lt;=AsOfDate,IF($Q143=0,$W143,IF(AND($S143&lt;&gt;"",EDATE($D143,Milestones!$AA$56)&gt;=$S143),$V143,IF(AND($R143&lt;&gt;"",EDATE($D143,Milestones!$AA$56)&gt;=$R143),$U143,$T143)))=Milestones!$AB$56),TEXT(EDATE($D143,Milestones!$AA$56),"dd/mm/yy")&amp;" "&amp;Milestones!$AB$56&amp;" "&amp;Milestones!$AC$56&amp;";  ","")&amp;IF(AND(EDATE($D143,Milestones!$AA$57)&lt;=AsOfDate,IF($Q143=0,$W143,IF(AND($S143&lt;&gt;"",EDATE($D143,Milestones!$AA$57)&gt;=$S143),$V143,IF(AND($R143&lt;&gt;"",EDATE($D143,Milestones!$AA$57)&gt;=$R143),$U143,$T143)))=Milestones!$AB$57),TEXT(EDATE($D143,Milestones!$AA$57),"dd/mm/yy")&amp;" "&amp;Milestones!$AB$57&amp;" "&amp;Milestones!$AC$57&amp;";  ","")&amp;IF(AND(EDATE($D143,Milestones!$AA$58)&lt;=AsOfDate,IF($Q143=0,$W143,IF(AND($S143&lt;&gt;"",EDATE($D143,Milestones!$AA$58)&gt;=$S143),$V143,IF(AND($R143&lt;&gt;"",EDATE($D143,Milestones!$AA$58)&gt;=$R143),$U143,$T143)))=Milestones!$AB$58),TEXT(EDATE($D143,Milestones!$AA$58),"dd/mm/yy")&amp;" "&amp;Milestones!$AB$58&amp;" "&amp;Milestones!$AC$58&amp;";  ","")&amp;IF(AND(EDATE($D143,Milestones!$AA$59)&lt;=AsOfDate,IF($Q143=0,$W143,IF(AND($S143&lt;&gt;"",EDATE($D143,Milestones!$AA$59)&gt;=$S143),$V143,IF(AND($R143&lt;&gt;"",EDATE($D143,Milestones!$AA$59)&gt;=$R143),$U143,$T143)))=Milestones!$AB$59),TEXT(EDATE($D143,Milestones!$AA$59),"dd/mm/yy")&amp;" "&amp;Milestones!$AB$59&amp;" "&amp;Milestones!$AC$59&amp;";  ",""))</f>
        <v/>
      </c>
      <c r="J143" s="0" t="str">
        <f aca="false">IF(OR($A143="",$D143=""),"",IF(AND(EDATE($D143,Milestones!$AA$60)&lt;=AsOfDate,IF($Q143=0,$W143,IF(AND($S143&lt;&gt;"",EDATE($D143,Milestones!$AA$60)&gt;=$S143),$V143,IF(AND($R143&lt;&gt;"",EDATE($D143,Milestones!$AA$60)&gt;=$R143),$U143,$T143)))=Milestones!$AB$60),TEXT(EDATE($D143,Milestones!$AA$60),"dd/mm/yy")&amp;" "&amp;Milestones!$AB$60&amp;" "&amp;Milestones!$AC$60&amp;";  ","")&amp;IF(AND(EDATE($D143,Milestones!$AA$61)&lt;=AsOfDate,IF($Q143=0,$W143,IF(AND($S143&lt;&gt;"",EDATE($D143,Milestones!$AA$61)&gt;=$S143),$V143,IF(AND($R143&lt;&gt;"",EDATE($D143,Milestones!$AA$61)&gt;=$R143),$U143,$T143)))=Milestones!$AB$61),TEXT(EDATE($D143,Milestones!$AA$61),"dd/mm/yy")&amp;" "&amp;Milestones!$AB$61&amp;" "&amp;Milestones!$AC$61&amp;";  ","")&amp;IF(AND(EDATE($D143,Milestones!$AA$62)&lt;=AsOfDate,IF($Q143=0,$W143,IF(AND($S143&lt;&gt;"",EDATE($D143,Milestones!$AA$62)&gt;=$S143),$V143,IF(AND($R143&lt;&gt;"",EDATE($D143,Milestones!$AA$62)&gt;=$R143),$U143,$T143)))=Milestones!$AB$62),TEXT(EDATE($D143,Milestones!$AA$62),"dd/mm/yy")&amp;" "&amp;Milestones!$AB$62&amp;" "&amp;Milestones!$AC$62&amp;";  ","")&amp;IF(AND(EDATE($D143,Milestones!$AA$63)&lt;=AsOfDate,IF($Q143=0,$W143,IF(AND($S143&lt;&gt;"",EDATE($D143,Milestones!$AA$63)&gt;=$S143),$V143,IF(AND($R143&lt;&gt;"",EDATE($D143,Milestones!$AA$63)&gt;=$R143),$U143,$T143)))=Milestones!$AB$63),TEXT(EDATE($D143,Milestones!$AA$63),"dd/mm/yy")&amp;" "&amp;Milestones!$AB$63&amp;" "&amp;Milestones!$AC$63&amp;";  ","")&amp;IF(AND(EDATE($D143,Milestones!$AA$64)&lt;=AsOfDate,IF($Q143=0,$W143,IF(AND($S143&lt;&gt;"",EDATE($D143,Milestones!$AA$64)&gt;=$S143),$V143,IF(AND($R143&lt;&gt;"",EDATE($D143,Milestones!$AA$64)&gt;=$R143),$U143,$T143)))=Milestones!$AB$64),TEXT(EDATE($D143,Milestones!$AA$64),"dd/mm/yy")&amp;" "&amp;Milestones!$AB$64&amp;" "&amp;Milestones!$AC$64&amp;";  ","")&amp;IF(AND(EDATE($D143,Milestones!$AA$65)&lt;=AsOfDate,IF($Q143=0,$W143,IF(AND($S143&lt;&gt;"",EDATE($D143,Milestones!$AA$65)&gt;=$S143),$V143,IF(AND($R143&lt;&gt;"",EDATE($D143,Milestones!$AA$65)&gt;=$R143),$U143,$T143)))=Milestones!$AB$65),TEXT(EDATE($D143,Milestones!$AA$65),"dd/mm/yy")&amp;" "&amp;Milestones!$AB$65&amp;" "&amp;Milestones!$AC$65&amp;";  ","")&amp;IF(AND(EDATE($D143,Milestones!$AA$66)&lt;=AsOfDate,IF($Q143=0,$W143,IF(AND($S143&lt;&gt;"",EDATE($D143,Milestones!$AA$66)&gt;=$S143),$V143,IF(AND($R143&lt;&gt;"",EDATE($D143,Milestones!$AA$66)&gt;=$R143),$U143,$T143)))=Milestones!$AB$66),TEXT(EDATE($D143,Milestones!$AA$66),"dd/mm/yy")&amp;" "&amp;Milestones!$AB$66&amp;" "&amp;Milestones!$AC$66&amp;";  ","")&amp;IF(AND(EDATE($D143,Milestones!$AA$67)&lt;=AsOfDate,IF($Q143=0,$W143,IF(AND($S143&lt;&gt;"",EDATE($D143,Milestones!$AA$67)&gt;=$S143),$V143,IF(AND($R143&lt;&gt;"",EDATE($D143,Milestones!$AA$67)&gt;=$R143),$U143,$T143)))=Milestones!$AB$67),TEXT(EDATE($D143,Milestones!$AA$67),"dd/mm/yy")&amp;" "&amp;Milestones!$AB$67&amp;" "&amp;Milestones!$AC$67&amp;";  ","")&amp;IF(AND(EDATE($D143,Milestones!$AA$68)&lt;=AsOfDate,IF($Q143=0,$W143,IF(AND($S143&lt;&gt;"",EDATE($D143,Milestones!$AA$68)&gt;=$S143),$V143,IF(AND($R143&lt;&gt;"",EDATE($D143,Milestones!$AA$68)&gt;=$R143),$U143,$T143)))=Milestones!$AB$68),TEXT(EDATE($D143,Milestones!$AA$68),"dd/mm/yy")&amp;" "&amp;Milestones!$AB$68&amp;" "&amp;Milestones!$AC$68&amp;";  ","")&amp;IF(AND(EDATE($D143,Milestones!$AA$69)&lt;=AsOfDate,IF($Q143=0,$W143,IF(AND($S143&lt;&gt;"",EDATE($D143,Milestones!$AA$69)&gt;=$S143),$V143,IF(AND($R143&lt;&gt;"",EDATE($D143,Milestones!$AA$69)&gt;=$R143),$U143,$T143)))=Milestones!$AB$69),TEXT(EDATE($D143,Milestones!$AA$69),"dd/mm/yy")&amp;" "&amp;Milestones!$AB$69&amp;" "&amp;Milestones!$AC$69&amp;";  ","")&amp;IF(AND(EDATE($D143,Milestones!$AA$70)&lt;=AsOfDate,IF($Q143=0,$W143,IF(AND($S143&lt;&gt;"",EDATE($D143,Milestones!$AA$70)&gt;=$S143),$V143,IF(AND($R143&lt;&gt;"",EDATE($D143,Milestones!$AA$70)&gt;=$R143),$U143,$T143)))=Milestones!$AB$70),TEXT(EDATE($D143,Milestones!$AA$70),"dd/mm/yy")&amp;" "&amp;Milestones!$AB$70&amp;" "&amp;Milestones!$AC$70&amp;";  ","")&amp;IF(AND(EDATE($D143,Milestones!$AA$71)&lt;=AsOfDate,IF($Q143=0,$W143,IF(AND($S143&lt;&gt;"",EDATE($D143,Milestones!$AA$71)&gt;=$S143),$V143,IF(AND($R143&lt;&gt;"",EDATE($D143,Milestones!$AA$71)&gt;=$R143),$U143,$T143)))=Milestones!$AB$71),TEXT(EDATE($D143,Milestones!$AA$71),"dd/mm/yy")&amp;" "&amp;Milestones!$AB$71&amp;" "&amp;Milestones!$AC$71&amp;";  ","")&amp;IF(AND(EDATE($D143,Milestones!$AA$72)&lt;=AsOfDate,IF($Q143=0,$W143,IF(AND($S143&lt;&gt;"",EDATE($D143,Milestones!$AA$72)&gt;=$S143),$V143,IF(AND($R143&lt;&gt;"",EDATE($D143,Milestones!$AA$72)&gt;=$R143),$U143,$T143)))=Milestones!$AB$72),TEXT(EDATE($D143,Milestones!$AA$72),"dd/mm/yy")&amp;" "&amp;Milestones!$AB$72&amp;" "&amp;Milestones!$AC$72&amp;";  ","")&amp;IF(AND(EDATE($D143,Milestones!$AA$73)&lt;=AsOfDate,IF($Q143=0,$W143,IF(AND($S143&lt;&gt;"",EDATE($D143,Milestones!$AA$73)&gt;=$S143),$V143,IF(AND($R143&lt;&gt;"",EDATE($D143,Milestones!$AA$73)&gt;=$R143),$U143,$T143)))=Milestones!$AB$73),TEXT(EDATE($D143,Milestones!$AA$73),"dd/mm/yy")&amp;" "&amp;Milestones!$AB$73&amp;" "&amp;Milestones!$AC$73&amp;";  ","")&amp;IF(AND(EDATE($D143,Milestones!$AA$74)&lt;=AsOfDate,IF($Q143=0,$W143,IF(AND($S143&lt;&gt;"",EDATE($D143,Milestones!$AA$74)&gt;=$S143),$V143,IF(AND($R143&lt;&gt;"",EDATE($D143,Milestones!$AA$74)&gt;=$R143),$U143,$T143)))=Milestones!$AB$74),TEXT(EDATE($D143,Milestones!$AA$74),"dd/mm/yy")&amp;" "&amp;Milestones!$AB$74&amp;" "&amp;Milestones!$AC$74&amp;";  ","")&amp;IF(AND(EDATE($D143,Milestones!$AA$75)&lt;=AsOfDate,IF($Q143=0,$W143,IF(AND($S143&lt;&gt;"",EDATE($D143,Milestones!$AA$75)&gt;=$S143),$V143,IF(AND($R143&lt;&gt;"",EDATE($D143,Milestones!$AA$75)&gt;=$R143),$U143,$T143)))=Milestones!$AB$75),TEXT(EDATE($D143,Milestones!$AA$75),"dd/mm/yy")&amp;" "&amp;Milestones!$AB$75&amp;" "&amp;Milestones!$AC$75&amp;";  ","")&amp;IF(AND(EDATE($D143,Milestones!$AA$76)&lt;=AsOfDate,IF($Q143=0,$W143,IF(AND($S143&lt;&gt;"",EDATE($D143,Milestones!$AA$76)&gt;=$S143),$V143,IF(AND($R143&lt;&gt;"",EDATE($D143,Milestones!$AA$76)&gt;=$R143),$U143,$T143)))=Milestones!$AB$76),TEXT(EDATE($D143,Milestones!$AA$76),"dd/mm/yy")&amp;" "&amp;Milestones!$AB$76&amp;" "&amp;Milestones!$AC$76&amp;";  ","")&amp;IF(AND(EDATE($D143,Milestones!$AA$77)&lt;=AsOfDate,IF($Q143=0,$W143,IF(AND($S143&lt;&gt;"",EDATE($D143,Milestones!$AA$77)&gt;=$S143),$V143,IF(AND($R143&lt;&gt;"",EDATE($D143,Milestones!$AA$77)&gt;=$R143),$U143,$T143)))=Milestones!$AB$77),TEXT(EDATE($D143,Milestones!$AA$77),"dd/mm/yy")&amp;" "&amp;Milestones!$AB$77&amp;" "&amp;Milestones!$AC$77&amp;";  ","")&amp;IF(AND(EDATE($D143,Milestones!$AA$78)&lt;=AsOfDate,IF($Q143=0,$W143,IF(AND($S143&lt;&gt;"",EDATE($D143,Milestones!$AA$78)&gt;=$S143),$V143,IF(AND($R143&lt;&gt;"",EDATE($D143,Milestones!$AA$78)&gt;=$R143),$U143,$T143)))=Milestones!$AB$78),TEXT(EDATE($D143,Milestones!$AA$78),"dd/mm/yy")&amp;" "&amp;Milestones!$AB$78&amp;" "&amp;Milestones!$AC$78&amp;";  ","")&amp;IF(AND(EDATE($D143,Milestones!$AA$79)&lt;=AsOfDate,IF($Q143=0,$W143,IF(AND($S143&lt;&gt;"",EDATE($D143,Milestones!$AA$79)&gt;=$S143),$V143,IF(AND($R143&lt;&gt;"",EDATE($D143,Milestones!$AA$79)&gt;=$R143),$U143,$T143)))=Milestones!$AB$79),TEXT(EDATE($D143,Milestones!$AA$79),"dd/mm/yy")&amp;" "&amp;Milestones!$AB$79&amp;" "&amp;Milestones!$AC$79&amp;";  ",""))</f>
        <v/>
      </c>
      <c r="K143" s="0" t="str">
        <f aca="false">IF(OR($A143="",$D143=""),"",IF(AND(EDATE($D143,Milestones!$AA$80)&lt;=AsOfDate,IF($Q143=0,$W143,IF(AND($S143&lt;&gt;"",EDATE($D143,Milestones!$AA$80)&gt;=$S143),$V143,IF(AND($R143&lt;&gt;"",EDATE($D143,Milestones!$AA$80)&gt;=$R143),$U143,$T143)))=Milestones!$AB$80),TEXT(EDATE($D143,Milestones!$AA$80),"dd/mm/yy")&amp;" "&amp;Milestones!$AB$80&amp;" "&amp;Milestones!$AC$80&amp;";  ","")&amp;IF(AND(EDATE($D143,Milestones!$AA$81)&lt;=AsOfDate,IF($Q143=0,$W143,IF(AND($S143&lt;&gt;"",EDATE($D143,Milestones!$AA$81)&gt;=$S143),$V143,IF(AND($R143&lt;&gt;"",EDATE($D143,Milestones!$AA$81)&gt;=$R143),$U143,$T143)))=Milestones!$AB$81),TEXT(EDATE($D143,Milestones!$AA$81),"dd/mm/yy")&amp;" "&amp;Milestones!$AB$81&amp;" "&amp;Milestones!$AC$81&amp;";  ","")&amp;IF(AND(EDATE($D143,Milestones!$AA$82)&lt;=AsOfDate,IF($Q143=0,$W143,IF(AND($S143&lt;&gt;"",EDATE($D143,Milestones!$AA$82)&gt;=$S143),$V143,IF(AND($R143&lt;&gt;"",EDATE($D143,Milestones!$AA$82)&gt;=$R143),$U143,$T143)))=Milestones!$AB$82),TEXT(EDATE($D143,Milestones!$AA$82),"dd/mm/yy")&amp;" "&amp;Milestones!$AB$82&amp;" "&amp;Milestones!$AC$82&amp;";  ","")&amp;IF(AND(EDATE($D143,Milestones!$AA$83)&lt;=AsOfDate,IF($Q143=0,$W143,IF(AND($S143&lt;&gt;"",EDATE($D143,Milestones!$AA$83)&gt;=$S143),$V143,IF(AND($R143&lt;&gt;"",EDATE($D143,Milestones!$AA$83)&gt;=$R143),$U143,$T143)))=Milestones!$AB$83),TEXT(EDATE($D143,Milestones!$AA$83),"dd/mm/yy")&amp;" "&amp;Milestones!$AB$83&amp;" "&amp;Milestones!$AC$83&amp;";  ","")&amp;IF(AND(EDATE($D143,Milestones!$AA$84)&lt;=AsOfDate,IF($Q143=0,$W143,IF(AND($S143&lt;&gt;"",EDATE($D143,Milestones!$AA$84)&gt;=$S143),$V143,IF(AND($R143&lt;&gt;"",EDATE($D143,Milestones!$AA$84)&gt;=$R143),$U143,$T143)))=Milestones!$AB$84),TEXT(EDATE($D143,Milestones!$AA$84),"dd/mm/yy")&amp;" "&amp;Milestones!$AB$84&amp;" "&amp;Milestones!$AC$84&amp;";  ","")&amp;IF(AND(EDATE($D143,Milestones!$AA$85)&lt;=AsOfDate,IF($Q143=0,$W143,IF(AND($S143&lt;&gt;"",EDATE($D143,Milestones!$AA$85)&gt;=$S143),$V143,IF(AND($R143&lt;&gt;"",EDATE($D143,Milestones!$AA$85)&gt;=$R143),$U143,$T143)))=Milestones!$AB$85),TEXT(EDATE($D143,Milestones!$AA$85),"dd/mm/yy")&amp;" "&amp;Milestones!$AB$85&amp;" "&amp;Milestones!$AC$85&amp;";  ","")&amp;IF(AND(EDATE($D143,Milestones!$AA$86)&lt;=AsOfDate,IF($Q143=0,$W143,IF(AND($S143&lt;&gt;"",EDATE($D143,Milestones!$AA$86)&gt;=$S143),$V143,IF(AND($R143&lt;&gt;"",EDATE($D143,Milestones!$AA$86)&gt;=$R143),$U143,$T143)))=Milestones!$AB$86),TEXT(EDATE($D143,Milestones!$AA$86),"dd/mm/yy")&amp;" "&amp;Milestones!$AB$86&amp;" "&amp;Milestones!$AC$86&amp;";  ","")&amp;IF(AND(EDATE($D143,Milestones!$AA$87)&lt;=AsOfDate,IF($Q143=0,$W143,IF(AND($S143&lt;&gt;"",EDATE($D143,Milestones!$AA$87)&gt;=$S143),$V143,IF(AND($R143&lt;&gt;"",EDATE($D143,Milestones!$AA$87)&gt;=$R143),$U143,$T143)))=Milestones!$AB$87),TEXT(EDATE($D143,Milestones!$AA$87),"dd/mm/yy")&amp;" "&amp;Milestones!$AB$87&amp;" "&amp;Milestones!$AC$87&amp;";  ","")&amp;IF(AND(EDATE($D143,Milestones!$AA$88)&lt;=AsOfDate,IF($Q143=0,$W143,IF(AND($S143&lt;&gt;"",EDATE($D143,Milestones!$AA$88)&gt;=$S143),$V143,IF(AND($R143&lt;&gt;"",EDATE($D143,Milestones!$AA$88)&gt;=$R143),$U143,$T143)))=Milestones!$AB$88),TEXT(EDATE($D143,Milestones!$AA$88),"dd/mm/yy")&amp;" "&amp;Milestones!$AB$88&amp;" "&amp;Milestones!$AC$88&amp;";  ","")&amp;IF(AND(EDATE($D143,Milestones!$AA$89)&lt;=AsOfDate,IF($Q143=0,$W143,IF(AND($S143&lt;&gt;"",EDATE($D143,Milestones!$AA$89)&gt;=$S143),$V143,IF(AND($R143&lt;&gt;"",EDATE($D143,Milestones!$AA$89)&gt;=$R143),$U143,$T143)))=Milestones!$AB$89),TEXT(EDATE($D143,Milestones!$AA$89),"dd/mm/yy")&amp;" "&amp;Milestones!$AB$89&amp;" "&amp;Milestones!$AC$89&amp;";  ","")&amp;IF(AND(EDATE($D143,Milestones!$AA$90)&lt;=AsOfDate,IF($Q143=0,$W143,IF(AND($S143&lt;&gt;"",EDATE($D143,Milestones!$AA$90)&gt;=$S143),$V143,IF(AND($R143&lt;&gt;"",EDATE($D143,Milestones!$AA$90)&gt;=$R143),$U143,$T143)))=Milestones!$AB$90),TEXT(EDATE($D143,Milestones!$AA$90),"dd/mm/yy")&amp;" "&amp;Milestones!$AB$90&amp;" "&amp;Milestones!$AC$90&amp;";  ","")&amp;IF(AND(EDATE($D143,Milestones!$AA$91)&lt;=AsOfDate,IF($Q143=0,$W143,IF(AND($S143&lt;&gt;"",EDATE($D143,Milestones!$AA$91)&gt;=$S143),$V143,IF(AND($R143&lt;&gt;"",EDATE($D143,Milestones!$AA$91)&gt;=$R143),$U143,$T143)))=Milestones!$AB$91),TEXT(EDATE($D143,Milestones!$AA$91),"dd/mm/yy")&amp;" "&amp;Milestones!$AB$91&amp;" "&amp;Milestones!$AC$91&amp;";  ","")&amp;IF(AND(EDATE($D143,Milestones!$AA$92)&lt;=AsOfDate,IF($Q143=0,$W143,IF(AND($S143&lt;&gt;"",EDATE($D143,Milestones!$AA$92)&gt;=$S143),$V143,IF(AND($R143&lt;&gt;"",EDATE($D143,Milestones!$AA$92)&gt;=$R143),$U143,$T143)))=Milestones!$AB$92),TEXT(EDATE($D143,Milestones!$AA$92),"dd/mm/yy")&amp;" "&amp;Milestones!$AB$92&amp;" "&amp;Milestones!$AC$92&amp;";  ","")&amp;IF(AND(EDATE($D143,Milestones!$AA$93)&lt;=AsOfDate,IF($Q143=0,$W143,IF(AND($S143&lt;&gt;"",EDATE($D143,Milestones!$AA$93)&gt;=$S143),$V143,IF(AND($R143&lt;&gt;"",EDATE($D143,Milestones!$AA$93)&gt;=$R143),$U143,$T143)))=Milestones!$AB$93),TEXT(EDATE($D143,Milestones!$AA$93),"dd/mm/yy")&amp;" "&amp;Milestones!$AB$93&amp;" "&amp;Milestones!$AC$93&amp;";  ","")&amp;IF(AND(EDATE($D143,Milestones!$AA$94)&lt;=AsOfDate,IF($Q143=0,$W143,IF(AND($S143&lt;&gt;"",EDATE($D143,Milestones!$AA$94)&gt;=$S143),$V143,IF(AND($R143&lt;&gt;"",EDATE($D143,Milestones!$AA$94)&gt;=$R143),$U143,$T143)))=Milestones!$AB$94),TEXT(EDATE($D143,Milestones!$AA$94),"dd/mm/yy")&amp;" "&amp;Milestones!$AB$94&amp;" "&amp;Milestones!$AC$94&amp;";  ","")&amp;IF(AND(EDATE($D143,Milestones!$AA$95)&lt;=AsOfDate,IF($Q143=0,$W143,IF(AND($S143&lt;&gt;"",EDATE($D143,Milestones!$AA$95)&gt;=$S143),$V143,IF(AND($R143&lt;&gt;"",EDATE($D143,Milestones!$AA$95)&gt;=$R143),$U143,$T143)))=Milestones!$AB$95),TEXT(EDATE($D143,Milestones!$AA$95),"dd/mm/yy")&amp;" "&amp;Milestones!$AB$95&amp;" "&amp;Milestones!$AC$95&amp;";  ","")&amp;IF(AND(EDATE($D143,Milestones!$AA$96)&lt;=AsOfDate,IF($Q143=0,$W143,IF(AND($S143&lt;&gt;"",EDATE($D143,Milestones!$AA$96)&gt;=$S143),$V143,IF(AND($R143&lt;&gt;"",EDATE($D143,Milestones!$AA$96)&gt;=$R143),$U143,$T143)))=Milestones!$AB$96),TEXT(EDATE($D143,Milestones!$AA$96),"dd/mm/yy")&amp;" "&amp;Milestones!$AB$96&amp;" "&amp;Milestones!$AC$96&amp;";  ","")&amp;IF(AND(EDATE($D143,Milestones!$AA$97)&lt;=AsOfDate,IF($Q143=0,$W143,IF(AND($S143&lt;&gt;"",EDATE($D143,Milestones!$AA$97)&gt;=$S143),$V143,IF(AND($R143&lt;&gt;"",EDATE($D143,Milestones!$AA$97)&gt;=$R143),$U143,$T143)))=Milestones!$AB$97),TEXT(EDATE($D143,Milestones!$AA$97),"dd/mm/yy")&amp;" "&amp;Milestones!$AB$97&amp;" "&amp;Milestones!$AC$97&amp;";  ","")&amp;IF(AND(EDATE($D143,Milestones!$AA$98)&lt;=AsOfDate,IF($Q143=0,$W143,IF(AND($S143&lt;&gt;"",EDATE($D143,Milestones!$AA$98)&gt;=$S143),$V143,IF(AND($R143&lt;&gt;"",EDATE($D143,Milestones!$AA$98)&gt;=$R143),$U143,$T143)))=Milestones!$AB$98),TEXT(EDATE($D143,Milestones!$AA$98),"dd/mm/yy")&amp;" "&amp;Milestones!$AB$98&amp;" "&amp;Milestones!$AC$98&amp;";  ","")&amp;IF(AND(EDATE($D143,Milestones!$AA$99)&lt;=AsOfDate,IF($Q143=0,$W143,IF(AND($S143&lt;&gt;"",EDATE($D143,Milestones!$AA$99)&gt;=$S143),$V143,IF(AND($R143&lt;&gt;"",EDATE($D143,Milestones!$AA$99)&gt;=$R143),$U143,$T143)))=Milestones!$AB$99),TEXT(EDATE($D143,Milestones!$AA$99),"dd/mm/yy")&amp;" "&amp;Milestones!$AB$99&amp;" "&amp;Milestones!$AC$99&amp;";  ",""))</f>
        <v/>
      </c>
      <c r="L143" s="0" t="str">
        <f aca="false">IF(OR($A143="",$D143=""),"",IF(AND(EDATE($D143,Milestones!$AA$100)&lt;=AsOfDate,IF($Q143=0,$W143,IF(AND($S143&lt;&gt;"",EDATE($D143,Milestones!$AA$100)&gt;=$S143),$V143,IF(AND($R143&lt;&gt;"",EDATE($D143,Milestones!$AA$100)&gt;=$R143),$U143,$T143)))=Milestones!$AB$100),TEXT(EDATE($D143,Milestones!$AA$100),"dd/mm/yy")&amp;" "&amp;Milestones!$AB$100&amp;" "&amp;Milestones!$AC$100&amp;";  ","")&amp;IF(AND(EDATE($D143,Milestones!$AA$101)&lt;=AsOfDate,IF($Q143=0,$W143,IF(AND($S143&lt;&gt;"",EDATE($D143,Milestones!$AA$101)&gt;=$S143),$V143,IF(AND($R143&lt;&gt;"",EDATE($D143,Milestones!$AA$101)&gt;=$R143),$U143,$T143)))=Milestones!$AB$101),TEXT(EDATE($D143,Milestones!$AA$101),"dd/mm/yy")&amp;" "&amp;Milestones!$AB$101&amp;" "&amp;Milestones!$AC$101&amp;";  ","")&amp;IF(AND(EDATE($D143,Milestones!$AA$102)&lt;=AsOfDate,IF($Q143=0,$W143,IF(AND($S143&lt;&gt;"",EDATE($D143,Milestones!$AA$102)&gt;=$S143),$V143,IF(AND($R143&lt;&gt;"",EDATE($D143,Milestones!$AA$102)&gt;=$R143),$U143,$T143)))=Milestones!$AB$102),TEXT(EDATE($D143,Milestones!$AA$102),"dd/mm/yy")&amp;" "&amp;Milestones!$AB$102&amp;" "&amp;Milestones!$AC$102&amp;";  ","")&amp;IF(AND(EDATE($D143,Milestones!$AA$103)&lt;=AsOfDate,IF($Q143=0,$W143,IF(AND($S143&lt;&gt;"",EDATE($D143,Milestones!$AA$103)&gt;=$S143),$V143,IF(AND($R143&lt;&gt;"",EDATE($D143,Milestones!$AA$103)&gt;=$R143),$U143,$T143)))=Milestones!$AB$103),TEXT(EDATE($D143,Milestones!$AA$103),"dd/mm/yy")&amp;" "&amp;Milestones!$AB$103&amp;" "&amp;Milestones!$AC$103&amp;";  ","")&amp;IF(AND(EDATE($D143,Milestones!$AA$104)&lt;=AsOfDate,IF($Q143=0,$W143,IF(AND($S143&lt;&gt;"",EDATE($D143,Milestones!$AA$104)&gt;=$S143),$V143,IF(AND($R143&lt;&gt;"",EDATE($D143,Milestones!$AA$104)&gt;=$R143),$U143,$T143)))=Milestones!$AB$104),TEXT(EDATE($D143,Milestones!$AA$104),"dd/mm/yy")&amp;" "&amp;Milestones!$AB$104&amp;" "&amp;Milestones!$AC$104&amp;";  ","")&amp;IF(AND(EDATE($D143,Milestones!$AA$105)&lt;=AsOfDate,IF($Q143=0,$W143,IF(AND($S143&lt;&gt;"",EDATE($D143,Milestones!$AA$105)&gt;=$S143),$V143,IF(AND($R143&lt;&gt;"",EDATE($D143,Milestones!$AA$105)&gt;=$R143),$U143,$T143)))=Milestones!$AB$105),TEXT(EDATE($D143,Milestones!$AA$105),"dd/mm/yy")&amp;" "&amp;Milestones!$AB$105&amp;" "&amp;Milestones!$AC$105&amp;";  ","")&amp;IF(AND(EDATE($D143,Milestones!$AA$106)&lt;=AsOfDate,IF($Q143=0,$W143,IF(AND($S143&lt;&gt;"",EDATE($D143,Milestones!$AA$106)&gt;=$S143),$V143,IF(AND($R143&lt;&gt;"",EDATE($D143,Milestones!$AA$106)&gt;=$R143),$U143,$T143)))=Milestones!$AB$106),TEXT(EDATE($D143,Milestones!$AA$106),"dd/mm/yy")&amp;" "&amp;Milestones!$AB$106&amp;" "&amp;Milestones!$AC$106&amp;";  ","")&amp;IF(AND(EDATE($D143,Milestones!$AA$107)&lt;=AsOfDate,IF($Q143=0,$W143,IF(AND($S143&lt;&gt;"",EDATE($D143,Milestones!$AA$107)&gt;=$S143),$V143,IF(AND($R143&lt;&gt;"",EDATE($D143,Milestones!$AA$107)&gt;=$R143),$U143,$T143)))=Milestones!$AB$107),TEXT(EDATE($D143,Milestones!$AA$107),"dd/mm/yy")&amp;" "&amp;Milestones!$AB$107&amp;" "&amp;Milestones!$AC$107&amp;";  ","")&amp;IF(AND(EDATE($D143,Milestones!$AA$108)&lt;=AsOfDate,IF($Q143=0,$W143,IF(AND($S143&lt;&gt;"",EDATE($D143,Milestones!$AA$108)&gt;=$S143),$V143,IF(AND($R143&lt;&gt;"",EDATE($D143,Milestones!$AA$108)&gt;=$R143),$U143,$T143)))=Milestones!$AB$108),TEXT(EDATE($D143,Milestones!$AA$108),"dd/mm/yy")&amp;" "&amp;Milestones!$AB$108&amp;" "&amp;Milestones!$AC$108&amp;";  ","")&amp;IF(AND(EDATE($D143,Milestones!$AA$109)&lt;=AsOfDate,IF($Q143=0,$W143,IF(AND($S143&lt;&gt;"",EDATE($D143,Milestones!$AA$109)&gt;=$S143),$V143,IF(AND($R143&lt;&gt;"",EDATE($D143,Milestones!$AA$109)&gt;=$R143),$U143,$T143)))=Milestones!$AB$109),TEXT(EDATE($D143,Milestones!$AA$109),"dd/mm/yy")&amp;" "&amp;Milestones!$AB$109&amp;" "&amp;Milestones!$AC$109&amp;";  ","")&amp;IF(AND(EDATE($D143,Milestones!$AA$110)&lt;=AsOfDate,IF($Q143=0,$W143,IF(AND($S143&lt;&gt;"",EDATE($D143,Milestones!$AA$110)&gt;=$S143),$V143,IF(AND($R143&lt;&gt;"",EDATE($D143,Milestones!$AA$110)&gt;=$R143),$U143,$T143)))=Milestones!$AB$110),TEXT(EDATE($D143,Milestones!$AA$110),"dd/mm/yy")&amp;" "&amp;Milestones!$AB$110&amp;" "&amp;Milestones!$AC$110&amp;";  ","")&amp;IF(AND(EDATE($D143,Milestones!$AA$111)&lt;=AsOfDate,IF($Q143=0,$W143,IF(AND($S143&lt;&gt;"",EDATE($D143,Milestones!$AA$111)&gt;=$S143),$V143,IF(AND($R143&lt;&gt;"",EDATE($D143,Milestones!$AA$111)&gt;=$R143),$U143,$T143)))=Milestones!$AB$111),TEXT(EDATE($D143,Milestones!$AA$111),"dd/mm/yy")&amp;" "&amp;Milestones!$AB$111&amp;" "&amp;Milestones!$AC$111&amp;";  ","")&amp;IF(AND(EDATE($D143,Milestones!$AA$112)&lt;=AsOfDate,IF($Q143=0,$W143,IF(AND($S143&lt;&gt;"",EDATE($D143,Milestones!$AA$112)&gt;=$S143),$V143,IF(AND($R143&lt;&gt;"",EDATE($D143,Milestones!$AA$112)&gt;=$R143),$U143,$T143)))=Milestones!$AB$112),TEXT(EDATE($D143,Milestones!$AA$112),"dd/mm/yy")&amp;" "&amp;Milestones!$AB$112&amp;" "&amp;Milestones!$AC$112&amp;";  ","")&amp;IF(AND(EDATE($D143,Milestones!$AA$113)&lt;=AsOfDate,IF($Q143=0,$W143,IF(AND($S143&lt;&gt;"",EDATE($D143,Milestones!$AA$113)&gt;=$S143),$V143,IF(AND($R143&lt;&gt;"",EDATE($D143,Milestones!$AA$113)&gt;=$R143),$U143,$T143)))=Milestones!$AB$113),TEXT(EDATE($D143,Milestones!$AA$113),"dd/mm/yy")&amp;" "&amp;Milestones!$AB$113&amp;" "&amp;Milestones!$AC$113&amp;";  ","")&amp;IF(AND(EDATE($D143,Milestones!$AA$114)&lt;=AsOfDate,IF($Q143=0,$W143,IF(AND($S143&lt;&gt;"",EDATE($D143,Milestones!$AA$114)&gt;=$S143),$V143,IF(AND($R143&lt;&gt;"",EDATE($D143,Milestones!$AA$114)&gt;=$R143),$U143,$T143)))=Milestones!$AB$114),TEXT(EDATE($D143,Milestones!$AA$114),"dd/mm/yy")&amp;" "&amp;Milestones!$AB$114&amp;" "&amp;Milestones!$AC$114&amp;";  ","")&amp;IF(AND(EDATE($D143,Milestones!$AA$115)&lt;=AsOfDate,IF($Q143=0,$W143,IF(AND($S143&lt;&gt;"",EDATE($D143,Milestones!$AA$115)&gt;=$S143),$V143,IF(AND($R143&lt;&gt;"",EDATE($D143,Milestones!$AA$115)&gt;=$R143),$U143,$T143)))=Milestones!$AB$115),TEXT(EDATE($D143,Milestones!$AA$115),"dd/mm/yy")&amp;" "&amp;Milestones!$AB$115&amp;" "&amp;Milestones!$AC$115&amp;";  ","")&amp;IF(AND(EDATE($D143,Milestones!$AA$116)&lt;=AsOfDate,IF($Q143=0,$W143,IF(AND($S143&lt;&gt;"",EDATE($D143,Milestones!$AA$116)&gt;=$S143),$V143,IF(AND($R143&lt;&gt;"",EDATE($D143,Milestones!$AA$116)&gt;=$R143),$U143,$T143)))=Milestones!$AB$116),TEXT(EDATE($D143,Milestones!$AA$116),"dd/mm/yy")&amp;" "&amp;Milestones!$AB$116&amp;" "&amp;Milestones!$AC$116&amp;";  ","")&amp;IF(AND(EDATE($D143,Milestones!$AA$117)&lt;=AsOfDate,IF($Q143=0,$W143,IF(AND($S143&lt;&gt;"",EDATE($D143,Milestones!$AA$117)&gt;=$S143),$V143,IF(AND($R143&lt;&gt;"",EDATE($D143,Milestones!$AA$117)&gt;=$R143),$U143,$T143)))=Milestones!$AB$117),TEXT(EDATE($D143,Milestones!$AA$117),"dd/mm/yy")&amp;" "&amp;Milestones!$AB$117&amp;" "&amp;Milestones!$AC$117&amp;";  ","")&amp;IF(AND(EDATE($D143,Milestones!$AA$118)&lt;=AsOfDate,IF($Q143=0,$W143,IF(AND($S143&lt;&gt;"",EDATE($D143,Milestones!$AA$118)&gt;=$S143),$V143,IF(AND($R143&lt;&gt;"",EDATE($D143,Milestones!$AA$118)&gt;=$R143),$U143,$T143)))=Milestones!$AB$118),TEXT(EDATE($D143,Milestones!$AA$118),"dd/mm/yy")&amp;" "&amp;Milestones!$AB$118&amp;" "&amp;Milestones!$AC$118&amp;";  ","")&amp;IF(AND(EDATE($D143,Milestones!$AA$119)&lt;=AsOfDate,IF($Q143=0,$W143,IF(AND($S143&lt;&gt;"",EDATE($D143,Milestones!$AA$119)&gt;=$S143),$V143,IF(AND($R143&lt;&gt;"",EDATE($D143,Milestones!$AA$119)&gt;=$R143),$U143,$T143)))=Milestones!$AB$119),TEXT(EDATE($D143,Milestones!$AA$119),"dd/mm/yy")&amp;" "&amp;Milestones!$AB$119&amp;" "&amp;Milestones!$AC$119&amp;";  ",""))</f>
        <v/>
      </c>
      <c r="M143" s="0" t="str">
        <f aca="false">IF(OR($A143="",$D143=""),"",IF(AND(EDATE($D143,Milestones!$AA$120)&lt;=AsOfDate,IF($Q143=0,$W143,IF(AND($S143&lt;&gt;"",EDATE($D143,Milestones!$AA$120)&gt;=$S143),$V143,IF(AND($R143&lt;&gt;"",EDATE($D143,Milestones!$AA$120)&gt;=$R143),$U143,$T143)))=Milestones!$AB$120),TEXT(EDATE($D143,Milestones!$AA$120),"dd/mm/yy")&amp;" "&amp;Milestones!$AB$120&amp;" "&amp;Milestones!$AC$120&amp;";  ","")&amp;IF(AND(EDATE($D143,Milestones!$AA$121)&lt;=AsOfDate,IF($Q143=0,$W143,IF(AND($S143&lt;&gt;"",EDATE($D143,Milestones!$AA$121)&gt;=$S143),$V143,IF(AND($R143&lt;&gt;"",EDATE($D143,Milestones!$AA$121)&gt;=$R143),$U143,$T143)))=Milestones!$AB$121),TEXT(EDATE($D143,Milestones!$AA$121),"dd/mm/yy")&amp;" "&amp;Milestones!$AB$121&amp;" "&amp;Milestones!$AC$121&amp;";  ","")&amp;IF(AND(EDATE($D143,Milestones!$AA$122)&lt;=AsOfDate,IF($Q143=0,$W143,IF(AND($S143&lt;&gt;"",EDATE($D143,Milestones!$AA$122)&gt;=$S143),$V143,IF(AND($R143&lt;&gt;"",EDATE($D143,Milestones!$AA$122)&gt;=$R143),$U143,$T143)))=Milestones!$AB$122),TEXT(EDATE($D143,Milestones!$AA$122),"dd/mm/yy")&amp;" "&amp;Milestones!$AB$122&amp;" "&amp;Milestones!$AC$122&amp;";  ","")&amp;IF(AND(EDATE($D143,Milestones!$AA$123)&lt;=AsOfDate,IF($Q143=0,$W143,IF(AND($S143&lt;&gt;"",EDATE($D143,Milestones!$AA$123)&gt;=$S143),$V143,IF(AND($R143&lt;&gt;"",EDATE($D143,Milestones!$AA$123)&gt;=$R143),$U143,$T143)))=Milestones!$AB$123),TEXT(EDATE($D143,Milestones!$AA$123),"dd/mm/yy")&amp;" "&amp;Milestones!$AB$123&amp;" "&amp;Milestones!$AC$123&amp;";  ","")&amp;IF(AND(EDATE($D143,Milestones!$AA$124)&lt;=AsOfDate,IF($Q143=0,$W143,IF(AND($S143&lt;&gt;"",EDATE($D143,Milestones!$AA$124)&gt;=$S143),$V143,IF(AND($R143&lt;&gt;"",EDATE($D143,Milestones!$AA$124)&gt;=$R143),$U143,$T143)))=Milestones!$AB$124),TEXT(EDATE($D143,Milestones!$AA$124),"dd/mm/yy")&amp;" "&amp;Milestones!$AB$124&amp;" "&amp;Milestones!$AC$124&amp;";  ","")&amp;IF(AND(EDATE($D143,Milestones!$AA$125)&lt;=AsOfDate,IF($Q143=0,$W143,IF(AND($S143&lt;&gt;"",EDATE($D143,Milestones!$AA$125)&gt;=$S143),$V143,IF(AND($R143&lt;&gt;"",EDATE($D143,Milestones!$AA$125)&gt;=$R143),$U143,$T143)))=Milestones!$AB$125),TEXT(EDATE($D143,Milestones!$AA$125),"dd/mm/yy")&amp;" "&amp;Milestones!$AB$125&amp;" "&amp;Milestones!$AC$125&amp;";  ","")&amp;IF(AND(EDATE($D143,Milestones!$AA$126)&lt;=AsOfDate,IF($Q143=0,$W143,IF(AND($S143&lt;&gt;"",EDATE($D143,Milestones!$AA$126)&gt;=$S143),$V143,IF(AND($R143&lt;&gt;"",EDATE($D143,Milestones!$AA$126)&gt;=$R143),$U143,$T143)))=Milestones!$AB$126),TEXT(EDATE($D143,Milestones!$AA$126),"dd/mm/yy")&amp;" "&amp;Milestones!$AB$126&amp;" "&amp;Milestones!$AC$126&amp;";  ","")&amp;IF(AND(EDATE($D143,Milestones!$AA$127)&lt;=AsOfDate,IF($Q143=0,$W143,IF(AND($S143&lt;&gt;"",EDATE($D143,Milestones!$AA$127)&gt;=$S143),$V143,IF(AND($R143&lt;&gt;"",EDATE($D143,Milestones!$AA$127)&gt;=$R143),$U143,$T143)))=Milestones!$AB$127),TEXT(EDATE($D143,Milestones!$AA$127),"dd/mm/yy")&amp;" "&amp;Milestones!$AB$127&amp;" "&amp;Milestones!$AC$127&amp;";  ","")&amp;IF(AND(EDATE($D143,Milestones!$AA$128)&lt;=AsOfDate,IF($Q143=0,$W143,IF(AND($S143&lt;&gt;"",EDATE($D143,Milestones!$AA$128)&gt;=$S143),$V143,IF(AND($R143&lt;&gt;"",EDATE($D143,Milestones!$AA$128)&gt;=$R143),$U143,$T143)))=Milestones!$AB$128),TEXT(EDATE($D143,Milestones!$AA$128),"dd/mm/yy")&amp;" "&amp;Milestones!$AB$128&amp;" "&amp;Milestones!$AC$128&amp;";  ","")&amp;IF(AND(EDATE($D143,Milestones!$AA$129)&lt;=AsOfDate,IF($Q143=0,$W143,IF(AND($S143&lt;&gt;"",EDATE($D143,Milestones!$AA$129)&gt;=$S143),$V143,IF(AND($R143&lt;&gt;"",EDATE($D143,Milestones!$AA$129)&gt;=$R143),$U143,$T143)))=Milestones!$AB$129),TEXT(EDATE($D143,Milestones!$AA$129),"dd/mm/yy")&amp;" "&amp;Milestones!$AB$129&amp;" "&amp;Milestones!$AC$129&amp;";  ","")&amp;IF(AND(EDATE($D143,Milestones!$AA$130)&lt;=AsOfDate,IF($Q143=0,$W143,IF(AND($S143&lt;&gt;"",EDATE($D143,Milestones!$AA$130)&gt;=$S143),$V143,IF(AND($R143&lt;&gt;"",EDATE($D143,Milestones!$AA$130)&gt;=$R143),$U143,$T143)))=Milestones!$AB$130),TEXT(EDATE($D143,Milestones!$AA$130),"dd/mm/yy")&amp;" "&amp;Milestones!$AB$130&amp;" "&amp;Milestones!$AC$130&amp;";  ","")&amp;IF(AND(EDATE($D143,Milestones!$AA$131)&lt;=AsOfDate,IF($Q143=0,$W143,IF(AND($S143&lt;&gt;"",EDATE($D143,Milestones!$AA$131)&gt;=$S143),$V143,IF(AND($R143&lt;&gt;"",EDATE($D143,Milestones!$AA$131)&gt;=$R143),$U143,$T143)))=Milestones!$AB$131),TEXT(EDATE($D143,Milestones!$AA$131),"dd/mm/yy")&amp;" "&amp;Milestones!$AB$131&amp;" "&amp;Milestones!$AC$131&amp;";  ","")&amp;IF(AND(EDATE($D143,Milestones!$AA$132)&lt;=AsOfDate,IF($Q143=0,$W143,IF(AND($S143&lt;&gt;"",EDATE($D143,Milestones!$AA$132)&gt;=$S143),$V143,IF(AND($R143&lt;&gt;"",EDATE($D143,Milestones!$AA$132)&gt;=$R143),$U143,$T143)))=Milestones!$AB$132),TEXT(EDATE($D143,Milestones!$AA$132),"dd/mm/yy")&amp;" "&amp;Milestones!$AB$132&amp;" "&amp;Milestones!$AC$132&amp;";  ","")&amp;IF(AND(EDATE($D143,Milestones!$AA$133)&lt;=AsOfDate,IF($Q143=0,$W143,IF(AND($S143&lt;&gt;"",EDATE($D143,Milestones!$AA$133)&gt;=$S143),$V143,IF(AND($R143&lt;&gt;"",EDATE($D143,Milestones!$AA$133)&gt;=$R143),$U143,$T143)))=Milestones!$AB$133),TEXT(EDATE($D143,Milestones!$AA$133),"dd/mm/yy")&amp;" "&amp;Milestones!$AB$133&amp;" "&amp;Milestones!$AC$133&amp;";  ","")&amp;IF(AND(EDATE($D143,Milestones!$AA$134)&lt;=AsOfDate,IF($Q143=0,$W143,IF(AND($S143&lt;&gt;"",EDATE($D143,Milestones!$AA$134)&gt;=$S143),$V143,IF(AND($R143&lt;&gt;"",EDATE($D143,Milestones!$AA$134)&gt;=$R143),$U143,$T143)))=Milestones!$AB$134),TEXT(EDATE($D143,Milestones!$AA$134),"dd/mm/yy")&amp;" "&amp;Milestones!$AB$134&amp;" "&amp;Milestones!$AC$134&amp;";  ","")&amp;IF(AND(EDATE($D143,Milestones!$AA$135)&lt;=AsOfDate,IF($Q143=0,$W143,IF(AND($S143&lt;&gt;"",EDATE($D143,Milestones!$AA$135)&gt;=$S143),$V143,IF(AND($R143&lt;&gt;"",EDATE($D143,Milestones!$AA$135)&gt;=$R143),$U143,$T143)))=Milestones!$AB$135),TEXT(EDATE($D143,Milestones!$AA$135),"dd/mm/yy")&amp;" "&amp;Milestones!$AB$135&amp;" "&amp;Milestones!$AC$135&amp;";  ","")&amp;IF(AND(EDATE($D143,Milestones!$AA$136)&lt;=AsOfDate,IF($Q143=0,$W143,IF(AND($S143&lt;&gt;"",EDATE($D143,Milestones!$AA$136)&gt;=$S143),$V143,IF(AND($R143&lt;&gt;"",EDATE($D143,Milestones!$AA$136)&gt;=$R143),$U143,$T143)))=Milestones!$AB$136),TEXT(EDATE($D143,Milestones!$AA$136),"dd/mm/yy")&amp;" "&amp;Milestones!$AB$136&amp;" "&amp;Milestones!$AC$136&amp;";  ","")&amp;IF(AND(EDATE($D143,Milestones!$AA$137)&lt;=AsOfDate,IF($Q143=0,$W143,IF(AND($S143&lt;&gt;"",EDATE($D143,Milestones!$AA$137)&gt;=$S143),$V143,IF(AND($R143&lt;&gt;"",EDATE($D143,Milestones!$AA$137)&gt;=$R143),$U143,$T143)))=Milestones!$AB$137),TEXT(EDATE($D143,Milestones!$AA$137),"dd/mm/yy")&amp;" "&amp;Milestones!$AB$137&amp;" "&amp;Milestones!$AC$137&amp;";  ","")&amp;IF(AND(EDATE($D143,Milestones!$AA$138)&lt;=AsOfDate,IF($Q143=0,$W143,IF(AND($S143&lt;&gt;"",EDATE($D143,Milestones!$AA$138)&gt;=$S143),$V143,IF(AND($R143&lt;&gt;"",EDATE($D143,Milestones!$AA$138)&gt;=$R143),$U143,$T143)))=Milestones!$AB$138),TEXT(EDATE($D143,Milestones!$AA$138),"dd/mm/yy")&amp;" "&amp;Milestones!$AB$138&amp;" "&amp;Milestones!$AC$138&amp;";  ","")&amp;IF(AND(EDATE($D143,Milestones!$AA$139)&lt;=AsOfDate,IF($Q143=0,$W143,IF(AND($S143&lt;&gt;"",EDATE($D143,Milestones!$AA$139)&gt;=$S143),$V143,IF(AND($R143&lt;&gt;"",EDATE($D143,Milestones!$AA$139)&gt;=$R143),$U143,$T143)))=Milestones!$AB$139),TEXT(EDATE($D143,Milestones!$AA$139),"dd/mm/yy")&amp;" "&amp;Milestones!$AB$139&amp;" "&amp;Milestones!$AC$139&amp;";  ",""))</f>
        <v/>
      </c>
      <c r="N143" s="0" t="str">
        <f aca="false">IF(OR($A143="",$D143=""),"",IF(AND(EDATE($D143,Milestones!$AA$140)&lt;=AsOfDate,IF($Q143=0,$W143,IF(AND($S143&lt;&gt;"",EDATE($D143,Milestones!$AA$140)&gt;=$S143),$V143,IF(AND($R143&lt;&gt;"",EDATE($D143,Milestones!$AA$140)&gt;=$R143),$U143,$T143)))=Milestones!$AB$140),TEXT(EDATE($D143,Milestones!$AA$140),"dd/mm/yy")&amp;" "&amp;Milestones!$AB$140&amp;" "&amp;Milestones!$AC$140&amp;";  ","")&amp;IF(AND(EDATE($D143,Milestones!$AA$141)&lt;=AsOfDate,IF($Q143=0,$W143,IF(AND($S143&lt;&gt;"",EDATE($D143,Milestones!$AA$141)&gt;=$S143),$V143,IF(AND($R143&lt;&gt;"",EDATE($D143,Milestones!$AA$141)&gt;=$R143),$U143,$T143)))=Milestones!$AB$141),TEXT(EDATE($D143,Milestones!$AA$141),"dd/mm/yy")&amp;" "&amp;Milestones!$AB$141&amp;" "&amp;Milestones!$AC$141&amp;";  ","")&amp;IF(AND(EDATE($D143,Milestones!$AA$142)&lt;=AsOfDate,IF($Q143=0,$W143,IF(AND($S143&lt;&gt;"",EDATE($D143,Milestones!$AA$142)&gt;=$S143),$V143,IF(AND($R143&lt;&gt;"",EDATE($D143,Milestones!$AA$142)&gt;=$R143),$U143,$T143)))=Milestones!$AB$142),TEXT(EDATE($D143,Milestones!$AA$142),"dd/mm/yy")&amp;" "&amp;Milestones!$AB$142&amp;" "&amp;Milestones!$AC$142&amp;";  ","")&amp;IF(AND(EDATE($D143,Milestones!$AA$143)&lt;=AsOfDate,IF($Q143=0,$W143,IF(AND($S143&lt;&gt;"",EDATE($D143,Milestones!$AA$143)&gt;=$S143),$V143,IF(AND($R143&lt;&gt;"",EDATE($D143,Milestones!$AA$143)&gt;=$R143),$U143,$T143)))=Milestones!$AB$143),TEXT(EDATE($D143,Milestones!$AA$143),"dd/mm/yy")&amp;" "&amp;Milestones!$AB$143&amp;" "&amp;Milestones!$AC$143&amp;";  ","")&amp;IF(AND(EDATE($D143,Milestones!$AA$144)&lt;=AsOfDate,IF($Q143=0,$W143,IF(AND($S143&lt;&gt;"",EDATE($D143,Milestones!$AA$144)&gt;=$S143),$V143,IF(AND($R143&lt;&gt;"",EDATE($D143,Milestones!$AA$144)&gt;=$R143),$U143,$T143)))=Milestones!$AB$144),TEXT(EDATE($D143,Milestones!$AA$144),"dd/mm/yy")&amp;" "&amp;Milestones!$AB$144&amp;" "&amp;Milestones!$AC$144&amp;";  ","")&amp;IF(AND(EDATE($D143,Milestones!$AA$145)&lt;=AsOfDate,IF($Q143=0,$W143,IF(AND($S143&lt;&gt;"",EDATE($D143,Milestones!$AA$145)&gt;=$S143),$V143,IF(AND($R143&lt;&gt;"",EDATE($D143,Milestones!$AA$145)&gt;=$R143),$U143,$T143)))=Milestones!$AB$145),TEXT(EDATE($D143,Milestones!$AA$145),"dd/mm/yy")&amp;" "&amp;Milestones!$AB$145&amp;" "&amp;Milestones!$AC$145&amp;";  ","")&amp;IF(AND(EDATE($D143,Milestones!$AA$146)&lt;=AsOfDate,IF($Q143=0,$W143,IF(AND($S143&lt;&gt;"",EDATE($D143,Milestones!$AA$146)&gt;=$S143),$V143,IF(AND($R143&lt;&gt;"",EDATE($D143,Milestones!$AA$146)&gt;=$R143),$U143,$T143)))=Milestones!$AB$146),TEXT(EDATE($D143,Milestones!$AA$146),"dd/mm/yy")&amp;" "&amp;Milestones!$AB$146&amp;" "&amp;Milestones!$AC$146&amp;";  ","")&amp;IF(AND(EDATE($D143,Milestones!$AA$147)&lt;=AsOfDate,IF($Q143=0,$W143,IF(AND($S143&lt;&gt;"",EDATE($D143,Milestones!$AA$147)&gt;=$S143),$V143,IF(AND($R143&lt;&gt;"",EDATE($D143,Milestones!$AA$147)&gt;=$R143),$U143,$T143)))=Milestones!$AB$147),TEXT(EDATE($D143,Milestones!$AA$147),"dd/mm/yy")&amp;" "&amp;Milestones!$AB$147&amp;" "&amp;Milestones!$AC$147&amp;";  ","")&amp;IF(AND(EDATE($D143,Milestones!$AA$148)&lt;=AsOfDate,IF($Q143=0,$W143,IF(AND($S143&lt;&gt;"",EDATE($D143,Milestones!$AA$148)&gt;=$S143),$V143,IF(AND($R143&lt;&gt;"",EDATE($D143,Milestones!$AA$148)&gt;=$R143),$U143,$T143)))=Milestones!$AB$148),TEXT(EDATE($D143,Milestones!$AA$148),"dd/mm/yy")&amp;" "&amp;Milestones!$AB$148&amp;" "&amp;Milestones!$AC$148&amp;";  ","")&amp;IF(AND(EDATE($D143,Milestones!$AA$149)&lt;=AsOfDate,IF($Q143=0,$W143,IF(AND($S143&lt;&gt;"",EDATE($D143,Milestones!$AA$149)&gt;=$S143),$V143,IF(AND($R143&lt;&gt;"",EDATE($D143,Milestones!$AA$149)&gt;=$R143),$U143,$T143)))=Milestones!$AB$149),TEXT(EDATE($D143,Milestones!$AA$149),"dd/mm/yy")&amp;" "&amp;Milestones!$AB$149&amp;" "&amp;Milestones!$AC$149&amp;";  ","")&amp;IF(AND(EDATE($D143,Milestones!$AA$150)&lt;=AsOfDate,IF($Q143=0,$W143,IF(AND($S143&lt;&gt;"",EDATE($D143,Milestones!$AA$150)&gt;=$S143),$V143,IF(AND($R143&lt;&gt;"",EDATE($D143,Milestones!$AA$150)&gt;=$R143),$U143,$T143)))=Milestones!$AB$150),TEXT(EDATE($D143,Milestones!$AA$150),"dd/mm/yy")&amp;" "&amp;Milestones!$AB$150&amp;" "&amp;Milestones!$AC$150&amp;";  ","")&amp;IF(AND(EDATE($D143,Milestones!$AA$151)&lt;=AsOfDate,IF($Q143=0,$W143,IF(AND($S143&lt;&gt;"",EDATE($D143,Milestones!$AA$151)&gt;=$S143),$V143,IF(AND($R143&lt;&gt;"",EDATE($D143,Milestones!$AA$151)&gt;=$R143),$U143,$T143)))=Milestones!$AB$151),TEXT(EDATE($D143,Milestones!$AA$151),"dd/mm/yy")&amp;" "&amp;Milestones!$AB$151&amp;" "&amp;Milestones!$AC$151&amp;";  ","")&amp;IF(AND(EDATE($D143,Milestones!$AA$152)&lt;=AsOfDate,IF($Q143=0,$W143,IF(AND($S143&lt;&gt;"",EDATE($D143,Milestones!$AA$152)&gt;=$S143),$V143,IF(AND($R143&lt;&gt;"",EDATE($D143,Milestones!$AA$152)&gt;=$R143),$U143,$T143)))=Milestones!$AB$152),TEXT(EDATE($D143,Milestones!$AA$152),"dd/mm/yy")&amp;" "&amp;Milestones!$AB$152&amp;" "&amp;Milestones!$AC$152&amp;";  ","")&amp;IF(AND(EDATE($D143,Milestones!$AA$153)&lt;=AsOfDate,IF($Q143=0,$W143,IF(AND($S143&lt;&gt;"",EDATE($D143,Milestones!$AA$153)&gt;=$S143),$V143,IF(AND($R143&lt;&gt;"",EDATE($D143,Milestones!$AA$153)&gt;=$R143),$U143,$T143)))=Milestones!$AB$153),TEXT(EDATE($D143,Milestones!$AA$153),"dd/mm/yy")&amp;" "&amp;Milestones!$AB$153&amp;" "&amp;Milestones!$AC$153&amp;";  ","")&amp;IF(AND(EDATE($D143,Milestones!$AA$154)&lt;=AsOfDate,IF($Q143=0,$W143,IF(AND($S143&lt;&gt;"",EDATE($D143,Milestones!$AA$154)&gt;=$S143),$V143,IF(AND($R143&lt;&gt;"",EDATE($D143,Milestones!$AA$154)&gt;=$R143),$U143,$T143)))=Milestones!$AB$154),TEXT(EDATE($D143,Milestones!$AA$154),"dd/mm/yy")&amp;" "&amp;Milestones!$AB$154&amp;" "&amp;Milestones!$AC$154&amp;";  ","")&amp;IF(AND(EDATE($D143,Milestones!$AA$155)&lt;=AsOfDate,IF($Q143=0,$W143,IF(AND($S143&lt;&gt;"",EDATE($D143,Milestones!$AA$155)&gt;=$S143),$V143,IF(AND($R143&lt;&gt;"",EDATE($D143,Milestones!$AA$155)&gt;=$R143),$U143,$T143)))=Milestones!$AB$155),TEXT(EDATE($D143,Milestones!$AA$155),"dd/mm/yy")&amp;" "&amp;Milestones!$AB$155&amp;" "&amp;Milestones!$AC$155&amp;";  ","")&amp;IF(AND(EDATE($D143,Milestones!$AA$156)&lt;=AsOfDate,IF($Q143=0,$W143,IF(AND($S143&lt;&gt;"",EDATE($D143,Milestones!$AA$156)&gt;=$S143),$V143,IF(AND($R143&lt;&gt;"",EDATE($D143,Milestones!$AA$156)&gt;=$R143),$U143,$T143)))=Milestones!$AB$156),TEXT(EDATE($D143,Milestones!$AA$156),"dd/mm/yy")&amp;" "&amp;Milestones!$AB$156&amp;" "&amp;Milestones!$AC$156&amp;";  ","")&amp;IF(AND(EDATE($D143,Milestones!$AA$157)&lt;=AsOfDate,IF($Q143=0,$W143,IF(AND($S143&lt;&gt;"",EDATE($D143,Milestones!$AA$157)&gt;=$S143),$V143,IF(AND($R143&lt;&gt;"",EDATE($D143,Milestones!$AA$157)&gt;=$R143),$U143,$T143)))=Milestones!$AB$157),TEXT(EDATE($D143,Milestones!$AA$157),"dd/mm/yy")&amp;" "&amp;Milestones!$AB$157&amp;" "&amp;Milestones!$AC$157&amp;";  ","")&amp;IF(AND(EDATE($D143,Milestones!$AA$158)&lt;=AsOfDate,IF($Q143=0,$W143,IF(AND($S143&lt;&gt;"",EDATE($D143,Milestones!$AA$158)&gt;=$S143),$V143,IF(AND($R143&lt;&gt;"",EDATE($D143,Milestones!$AA$158)&gt;=$R143),$U143,$T143)))=Milestones!$AB$158),TEXT(EDATE($D143,Milestones!$AA$158),"dd/mm/yy")&amp;" "&amp;Milestones!$AB$158&amp;" "&amp;Milestones!$AC$158&amp;";  ","")&amp;IF(AND(EDATE($D143,Milestones!$AA$159)&lt;=AsOfDate,IF($Q143=0,$W143,IF(AND($S143&lt;&gt;"",EDATE($D143,Milestones!$AA$159)&gt;=$S143),$V143,IF(AND($R143&lt;&gt;"",EDATE($D143,Milestones!$AA$159)&gt;=$R143),$U143,$T143)))=Milestones!$AB$159),TEXT(EDATE($D143,Milestones!$AA$159),"dd/mm/yy")&amp;" "&amp;Milestones!$AB$159&amp;" "&amp;Milestones!$AC$159&amp;";  ",""))</f>
        <v/>
      </c>
      <c r="O143" s="0" t="str">
        <f aca="false">IF(OR($A143="",$D143=""),"",IF(AND(EDATE($D143,Milestones!$AA$160)&lt;=AsOfDate,IF($Q143=0,$W143,IF(AND($S143&lt;&gt;"",EDATE($D143,Milestones!$AA$160)&gt;=$S143),$V143,IF(AND($R143&lt;&gt;"",EDATE($D143,Milestones!$AA$160)&gt;=$R143),$U143,$T143)))=Milestones!$AB$160),TEXT(EDATE($D143,Milestones!$AA$160),"dd/mm/yy")&amp;" "&amp;Milestones!$AB$160&amp;" "&amp;Milestones!$AC$160&amp;";  ","")&amp;IF(AND(EDATE($D143,Milestones!$AA$161)&lt;=AsOfDate,IF($Q143=0,$W143,IF(AND($S143&lt;&gt;"",EDATE($D143,Milestones!$AA$161)&gt;=$S143),$V143,IF(AND($R143&lt;&gt;"",EDATE($D143,Milestones!$AA$161)&gt;=$R143),$U143,$T143)))=Milestones!$AB$161),TEXT(EDATE($D143,Milestones!$AA$161),"dd/mm/yy")&amp;" "&amp;Milestones!$AB$161&amp;" "&amp;Milestones!$AC$161&amp;";  ","")&amp;IF(AND(EDATE($D143,Milestones!$AA$162)&lt;=AsOfDate,IF($Q143=0,$W143,IF(AND($S143&lt;&gt;"",EDATE($D143,Milestones!$AA$162)&gt;=$S143),$V143,IF(AND($R143&lt;&gt;"",EDATE($D143,Milestones!$AA$162)&gt;=$R143),$U143,$T143)))=Milestones!$AB$162),TEXT(EDATE($D143,Milestones!$AA$162),"dd/mm/yy")&amp;" "&amp;Milestones!$AB$162&amp;" "&amp;Milestones!$AC$162&amp;";  ","")&amp;IF(AND(EDATE($D143,Milestones!$AA$163)&lt;=AsOfDate,IF($Q143=0,$W143,IF(AND($S143&lt;&gt;"",EDATE($D143,Milestones!$AA$163)&gt;=$S143),$V143,IF(AND($R143&lt;&gt;"",EDATE($D143,Milestones!$AA$163)&gt;=$R143),$U143,$T143)))=Milestones!$AB$163),TEXT(EDATE($D143,Milestones!$AA$163),"dd/mm/yy")&amp;" "&amp;Milestones!$AB$163&amp;" "&amp;Milestones!$AC$163&amp;";  ","")&amp;IF(AND(EDATE($D143,Milestones!$AA$164)&lt;=AsOfDate,IF($Q143=0,$W143,IF(AND($S143&lt;&gt;"",EDATE($D143,Milestones!$AA$164)&gt;=$S143),$V143,IF(AND($R143&lt;&gt;"",EDATE($D143,Milestones!$AA$164)&gt;=$R143),$U143,$T143)))=Milestones!$AB$164),TEXT(EDATE($D143,Milestones!$AA$164),"dd/mm/yy")&amp;" "&amp;Milestones!$AB$164&amp;" "&amp;Milestones!$AC$164&amp;";  ","")&amp;IF(AND(EDATE($D143,Milestones!$AA$165)&lt;=AsOfDate,IF($Q143=0,$W143,IF(AND($S143&lt;&gt;"",EDATE($D143,Milestones!$AA$165)&gt;=$S143),$V143,IF(AND($R143&lt;&gt;"",EDATE($D143,Milestones!$AA$165)&gt;=$R143),$U143,$T143)))=Milestones!$AB$165),TEXT(EDATE($D143,Milestones!$AA$165),"dd/mm/yy")&amp;" "&amp;Milestones!$AB$165&amp;" "&amp;Milestones!$AC$165&amp;";  ","")&amp;IF(AND(EDATE($D143,Milestones!$AA$166)&lt;=AsOfDate,IF($Q143=0,$W143,IF(AND($S143&lt;&gt;"",EDATE($D143,Milestones!$AA$166)&gt;=$S143),$V143,IF(AND($R143&lt;&gt;"",EDATE($D143,Milestones!$AA$166)&gt;=$R143),$U143,$T143)))=Milestones!$AB$166),TEXT(EDATE($D143,Milestones!$AA$166),"dd/mm/yy")&amp;" "&amp;Milestones!$AB$166&amp;" "&amp;Milestones!$AC$166&amp;";  ","")&amp;IF(AND(EDATE($D143,Milestones!$AA$167)&lt;=AsOfDate,IF($Q143=0,$W143,IF(AND($S143&lt;&gt;"",EDATE($D143,Milestones!$AA$167)&gt;=$S143),$V143,IF(AND($R143&lt;&gt;"",EDATE($D143,Milestones!$AA$167)&gt;=$R143),$U143,$T143)))=Milestones!$AB$167),TEXT(EDATE($D143,Milestones!$AA$167),"dd/mm/yy")&amp;" "&amp;Milestones!$AB$167&amp;" "&amp;Milestones!$AC$167&amp;";  ","")&amp;IF(AND(EDATE($D143,Milestones!$AA$168)&lt;=AsOfDate,IF($Q143=0,$W143,IF(AND($S143&lt;&gt;"",EDATE($D143,Milestones!$AA$168)&gt;=$S143),$V143,IF(AND($R143&lt;&gt;"",EDATE($D143,Milestones!$AA$168)&gt;=$R143),$U143,$T143)))=Milestones!$AB$168),TEXT(EDATE($D143,Milestones!$AA$168),"dd/mm/yy")&amp;" "&amp;Milestones!$AB$168&amp;" "&amp;Milestones!$AC$168&amp;";  ","")&amp;IF(AND(EDATE($D143,Milestones!$AA$169)&lt;=AsOfDate,IF($Q143=0,$W143,IF(AND($S143&lt;&gt;"",EDATE($D143,Milestones!$AA$169)&gt;=$S143),$V143,IF(AND($R143&lt;&gt;"",EDATE($D143,Milestones!$AA$169)&gt;=$R143),$U143,$T143)))=Milestones!$AB$169),TEXT(EDATE($D143,Milestones!$AA$169),"dd/mm/yy")&amp;" "&amp;Milestones!$AB$169&amp;" "&amp;Milestones!$AC$169&amp;";  ","")&amp;IF(AND(EDATE($D143,Milestones!$AA$170)&lt;=AsOfDate,IF($Q143=0,$W143,IF(AND($S143&lt;&gt;"",EDATE($D143,Milestones!$AA$170)&gt;=$S143),$V143,IF(AND($R143&lt;&gt;"",EDATE($D143,Milestones!$AA$170)&gt;=$R143),$U143,$T143)))=Milestones!$AB$170),TEXT(EDATE($D143,Milestones!$AA$170),"dd/mm/yy")&amp;" "&amp;Milestones!$AB$170&amp;" "&amp;Milestones!$AC$170&amp;";  ","")&amp;IF(AND(EDATE($D143,Milestones!$AA$171)&lt;=AsOfDate,IF($Q143=0,$W143,IF(AND($S143&lt;&gt;"",EDATE($D143,Milestones!$AA$171)&gt;=$S143),$V143,IF(AND($R143&lt;&gt;"",EDATE($D143,Milestones!$AA$171)&gt;=$R143),$U143,$T143)))=Milestones!$AB$171),TEXT(EDATE($D143,Milestones!$AA$171),"dd/mm/yy")&amp;" "&amp;Milestones!$AB$171&amp;" "&amp;Milestones!$AC$171&amp;";  ","")&amp;IF(AND(EDATE($D143,Milestones!$AA$172)&lt;=AsOfDate,IF($Q143=0,$W143,IF(AND($S143&lt;&gt;"",EDATE($D143,Milestones!$AA$172)&gt;=$S143),$V143,IF(AND($R143&lt;&gt;"",EDATE($D143,Milestones!$AA$172)&gt;=$R143),$U143,$T143)))=Milestones!$AB$172),TEXT(EDATE($D143,Milestones!$AA$172),"dd/mm/yy")&amp;" "&amp;Milestones!$AB$172&amp;" "&amp;Milestones!$AC$172&amp;";  ","")&amp;IF(AND(EDATE($D143,Milestones!$AA$173)&lt;=AsOfDate,IF($Q143=0,$W143,IF(AND($S143&lt;&gt;"",EDATE($D143,Milestones!$AA$173)&gt;=$S143),$V143,IF(AND($R143&lt;&gt;"",EDATE($D143,Milestones!$AA$173)&gt;=$R143),$U143,$T143)))=Milestones!$AB$173),TEXT(EDATE($D143,Milestones!$AA$173),"dd/mm/yy")&amp;" "&amp;Milestones!$AB$173&amp;" "&amp;Milestones!$AC$173&amp;";  ","")&amp;IF(AND(EDATE($D143,Milestones!$AA$174)&lt;=AsOfDate,IF($Q143=0,$W143,IF(AND($S143&lt;&gt;"",EDATE($D143,Milestones!$AA$174)&gt;=$S143),$V143,IF(AND($R143&lt;&gt;"",EDATE($D143,Milestones!$AA$174)&gt;=$R143),$U143,$T143)))=Milestones!$AB$174),TEXT(EDATE($D143,Milestones!$AA$174),"dd/mm/yy")&amp;" "&amp;Milestones!$AB$174&amp;" "&amp;Milestones!$AC$174&amp;";  ","")&amp;IF(AND(EDATE($D143,Milestones!$AA$175)&lt;=AsOfDate,IF($Q143=0,$W143,IF(AND($S143&lt;&gt;"",EDATE($D143,Milestones!$AA$175)&gt;=$S143),$V143,IF(AND($R143&lt;&gt;"",EDATE($D143,Milestones!$AA$175)&gt;=$R143),$U143,$T143)))=Milestones!$AB$175),TEXT(EDATE($D143,Milestones!$AA$175),"dd/mm/yy")&amp;" "&amp;Milestones!$AB$175&amp;" "&amp;Milestones!$AC$175&amp;";  ","")&amp;IF(AND(EDATE($D143,Milestones!$AA$176)&lt;=AsOfDate,IF($Q143=0,$W143,IF(AND($S143&lt;&gt;"",EDATE($D143,Milestones!$AA$176)&gt;=$S143),$V143,IF(AND($R143&lt;&gt;"",EDATE($D143,Milestones!$AA$176)&gt;=$R143),$U143,$T143)))=Milestones!$AB$176),TEXT(EDATE($D143,Milestones!$AA$176),"dd/mm/yy")&amp;" "&amp;Milestones!$AB$176&amp;" "&amp;Milestones!$AC$176&amp;";  ","")&amp;IF(AND(EDATE($D143,Milestones!$AA$177)&lt;=AsOfDate,IF($Q143=0,$W143,IF(AND($S143&lt;&gt;"",EDATE($D143,Milestones!$AA$177)&gt;=$S143),$V143,IF(AND($R143&lt;&gt;"",EDATE($D143,Milestones!$AA$177)&gt;=$R143),$U143,$T143)))=Milestones!$AB$177),TEXT(EDATE($D143,Milestones!$AA$177),"dd/mm/yy")&amp;" "&amp;Milestones!$AB$177&amp;" "&amp;Milestones!$AC$177&amp;";  ","")&amp;IF(AND(EDATE($D143,Milestones!$AA$178)&lt;=AsOfDate,IF($Q143=0,$W143,IF(AND($S143&lt;&gt;"",EDATE($D143,Milestones!$AA$178)&gt;=$S143),$V143,IF(AND($R143&lt;&gt;"",EDATE($D143,Milestones!$AA$178)&gt;=$R143),$U143,$T143)))=Milestones!$AB$178),TEXT(EDATE($D143,Milestones!$AA$178),"dd/mm/yy")&amp;" "&amp;Milestones!$AB$178&amp;" "&amp;Milestones!$AC$178&amp;";  ","")&amp;IF(AND(EDATE($D143,Milestones!$AA$179)&lt;=AsOfDate,IF($Q143=0,$W143,IF(AND($S143&lt;&gt;"",EDATE($D143,Milestones!$AA$179)&gt;=$S143),$V143,IF(AND($R143&lt;&gt;"",EDATE($D143,Milestones!$AA$179)&gt;=$R143),$U143,$T143)))=Milestones!$AB$179),TEXT(EDATE($D143,Milestones!$AA$179),"dd/mm/yy")&amp;" "&amp;Milestones!$AB$179&amp;" "&amp;Milestones!$AC$179&amp;";  ",""))</f>
        <v/>
      </c>
      <c r="P143" s="0" t="str">
        <f aca="false">IF(OR($A143="",$D143=""),"",IF(AND(EDATE($D143,Milestones!$AA$180)&lt;=AsOfDate,IF($Q143=0,$W143,IF(AND($S143&lt;&gt;"",EDATE($D143,Milestones!$AA$180)&gt;=$S143),$V143,IF(AND($R143&lt;&gt;"",EDATE($D143,Milestones!$AA$180)&gt;=$R143),$U143,$T143)))=Milestones!$AB$180),TEXT(EDATE($D143,Milestones!$AA$180),"dd/mm/yy")&amp;" "&amp;Milestones!$AB$180&amp;" "&amp;Milestones!$AC$180&amp;";  ","")&amp;IF(AND(EDATE($D143,Milestones!$AA$181)&lt;=AsOfDate,IF($Q143=0,$W143,IF(AND($S143&lt;&gt;"",EDATE($D143,Milestones!$AA$181)&gt;=$S143),$V143,IF(AND($R143&lt;&gt;"",EDATE($D143,Milestones!$AA$181)&gt;=$R143),$U143,$T143)))=Milestones!$AB$181),TEXT(EDATE($D143,Milestones!$AA$181),"dd/mm/yy")&amp;" "&amp;Milestones!$AB$181&amp;" "&amp;Milestones!$AC$181&amp;";  ","")&amp;IF(AND(EDATE($D143,Milestones!$AA$182)&lt;=AsOfDate,IF($Q143=0,$W143,IF(AND($S143&lt;&gt;"",EDATE($D143,Milestones!$AA$182)&gt;=$S143),$V143,IF(AND($R143&lt;&gt;"",EDATE($D143,Milestones!$AA$182)&gt;=$R143),$U143,$T143)))=Milestones!$AB$182),TEXT(EDATE($D143,Milestones!$AA$182),"dd/mm/yy")&amp;" "&amp;Milestones!$AB$182&amp;" "&amp;Milestones!$AC$182&amp;";  ","")&amp;IF(AND(EDATE($D143,Milestones!$AA$183)&lt;=AsOfDate,IF($Q143=0,$W143,IF(AND($S143&lt;&gt;"",EDATE($D143,Milestones!$AA$183)&gt;=$S143),$V143,IF(AND($R143&lt;&gt;"",EDATE($D143,Milestones!$AA$183)&gt;=$R143),$U143,$T143)))=Milestones!$AB$183),TEXT(EDATE($D143,Milestones!$AA$183),"dd/mm/yy")&amp;" "&amp;Milestones!$AB$183&amp;" "&amp;Milestones!$AC$183&amp;";  ","")&amp;IF(AND(EDATE($D143,Milestones!$AA$184)&lt;=AsOfDate,IF($Q143=0,$W143,IF(AND($S143&lt;&gt;"",EDATE($D143,Milestones!$AA$184)&gt;=$S143),$V143,IF(AND($R143&lt;&gt;"",EDATE($D143,Milestones!$AA$184)&gt;=$R143),$U143,$T143)))=Milestones!$AB$184),TEXT(EDATE($D143,Milestones!$AA$184),"dd/mm/yy")&amp;" "&amp;Milestones!$AB$184&amp;" "&amp;Milestones!$AC$184&amp;";  ","")&amp;IF(AND(EDATE($D143,Milestones!$AA$185)&lt;=AsOfDate,IF($Q143=0,$W143,IF(AND($S143&lt;&gt;"",EDATE($D143,Milestones!$AA$185)&gt;=$S143),$V143,IF(AND($R143&lt;&gt;"",EDATE($D143,Milestones!$AA$185)&gt;=$R143),$U143,$T143)))=Milestones!$AB$185),TEXT(EDATE($D143,Milestones!$AA$185),"dd/mm/yy")&amp;" "&amp;Milestones!$AB$185&amp;" "&amp;Milestones!$AC$185&amp;";  ","")&amp;IF(AND(EDATE($D143,Milestones!$AA$186)&lt;=AsOfDate,IF($Q143=0,$W143,IF(AND($S143&lt;&gt;"",EDATE($D143,Milestones!$AA$186)&gt;=$S143),$V143,IF(AND($R143&lt;&gt;"",EDATE($D143,Milestones!$AA$186)&gt;=$R143),$U143,$T143)))=Milestones!$AB$186),TEXT(EDATE($D143,Milestones!$AA$186),"dd/mm/yy")&amp;" "&amp;Milestones!$AB$186&amp;" "&amp;Milestones!$AC$186&amp;";  ","")&amp;IF(AND(EDATE($D143,Milestones!$AA$187)&lt;=AsOfDate,IF($Q143=0,$W143,IF(AND($S143&lt;&gt;"",EDATE($D143,Milestones!$AA$187)&gt;=$S143),$V143,IF(AND($R143&lt;&gt;"",EDATE($D143,Milestones!$AA$187)&gt;=$R143),$U143,$T143)))=Milestones!$AB$187),TEXT(EDATE($D143,Milestones!$AA$187),"dd/mm/yy")&amp;" "&amp;Milestones!$AB$187&amp;" "&amp;Milestones!$AC$187&amp;";  ","")&amp;IF(AND(EDATE($D143,Milestones!$AA$188)&lt;=AsOfDate,IF($Q143=0,$W143,IF(AND($S143&lt;&gt;"",EDATE($D143,Milestones!$AA$188)&gt;=$S143),$V143,IF(AND($R143&lt;&gt;"",EDATE($D143,Milestones!$AA$188)&gt;=$R143),$U143,$T143)))=Milestones!$AB$188),TEXT(EDATE($D143,Milestones!$AA$188),"dd/mm/yy")&amp;" "&amp;Milestones!$AB$188&amp;" "&amp;Milestones!$AC$188&amp;";  ","")&amp;IF(AND(EDATE($D143,Milestones!$AA$189)&lt;=AsOfDate,IF($Q143=0,$W143,IF(AND($S143&lt;&gt;"",EDATE($D143,Milestones!$AA$189)&gt;=$S143),$V143,IF(AND($R143&lt;&gt;"",EDATE($D143,Milestones!$AA$189)&gt;=$R143),$U143,$T143)))=Milestones!$AB$189),TEXT(EDATE($D143,Milestones!$AA$189),"dd/mm/yy")&amp;" "&amp;Milestones!$AB$189&amp;" "&amp;Milestones!$AC$189&amp;";  ","")&amp;IF(AND(EDATE($D143,Milestones!$AA$190)&lt;=AsOfDate,IF($Q143=0,$W143,IF(AND($S143&lt;&gt;"",EDATE($D143,Milestones!$AA$190)&gt;=$S143),$V143,IF(AND($R143&lt;&gt;"",EDATE($D143,Milestones!$AA$190)&gt;=$R143),$U143,$T143)))=Milestones!$AB$190),TEXT(EDATE($D143,Milestones!$AA$190),"dd/mm/yy")&amp;" "&amp;Milestones!$AB$190&amp;" "&amp;Milestones!$AC$190&amp;";  ","")&amp;IF(AND(EDATE($D143,Milestones!$AA$191)&lt;=AsOfDate,IF($Q143=0,$W143,IF(AND($S143&lt;&gt;"",EDATE($D143,Milestones!$AA$191)&gt;=$S143),$V143,IF(AND($R143&lt;&gt;"",EDATE($D143,Milestones!$AA$191)&gt;=$R143),$U143,$T143)))=Milestones!$AB$191),TEXT(EDATE($D143,Milestones!$AA$191),"dd/mm/yy")&amp;" "&amp;Milestones!$AB$191&amp;" "&amp;Milestones!$AC$191&amp;";  ","")&amp;IF(AND(EDATE($D143,Milestones!$AA$192)&lt;=AsOfDate,IF($Q143=0,$W143,IF(AND($S143&lt;&gt;"",EDATE($D143,Milestones!$AA$192)&gt;=$S143),$V143,IF(AND($R143&lt;&gt;"",EDATE($D143,Milestones!$AA$192)&gt;=$R143),$U143,$T143)))=Milestones!$AB$192),TEXT(EDATE($D143,Milestones!$AA$192),"dd/mm/yy")&amp;" "&amp;Milestones!$AB$192&amp;" "&amp;Milestones!$AC$192&amp;";  ","")&amp;IF(AND(EDATE($D143,Milestones!$AA$193)&lt;=AsOfDate,IF($Q143=0,$W143,IF(AND($S143&lt;&gt;"",EDATE($D143,Milestones!$AA$193)&gt;=$S143),$V143,IF(AND($R143&lt;&gt;"",EDATE($D143,Milestones!$AA$193)&gt;=$R143),$U143,$T143)))=Milestones!$AB$193),TEXT(EDATE($D143,Milestones!$AA$193),"dd/mm/yy")&amp;" "&amp;Milestones!$AB$193&amp;" "&amp;Milestones!$AC$193&amp;";  ","")&amp;IF(AND(EDATE($D143,Milestones!$AA$194)&lt;=AsOfDate,IF($Q143=0,$W143,IF(AND($S143&lt;&gt;"",EDATE($D143,Milestones!$AA$194)&gt;=$S143),$V143,IF(AND($R143&lt;&gt;"",EDATE($D143,Milestones!$AA$194)&gt;=$R143),$U143,$T143)))=Milestones!$AB$194),TEXT(EDATE($D143,Milestones!$AA$194),"dd/mm/yy")&amp;" "&amp;Milestones!$AB$194&amp;" "&amp;Milestones!$AC$194&amp;";  ","")&amp;IF(AND(EDATE($D143,Milestones!$AA$195)&lt;=AsOfDate,IF($Q143=0,$W143,IF(AND($S143&lt;&gt;"",EDATE($D143,Milestones!$AA$195)&gt;=$S143),$V143,IF(AND($R143&lt;&gt;"",EDATE($D143,Milestones!$AA$195)&gt;=$R143),$U143,$T143)))=Milestones!$AB$195),TEXT(EDATE($D143,Milestones!$AA$195),"dd/mm/yy")&amp;" "&amp;Milestones!$AB$195&amp;" "&amp;Milestones!$AC$195&amp;";  ","")&amp;IF(AND(EDATE($D143,Milestones!$AA$196)&lt;=AsOfDate,IF($Q143=0,$W143,IF(AND($S143&lt;&gt;"",EDATE($D143,Milestones!$AA$196)&gt;=$S143),$V143,IF(AND($R143&lt;&gt;"",EDATE($D143,Milestones!$AA$196)&gt;=$R143),$U143,$T143)))=Milestones!$AB$196),TEXT(EDATE($D143,Milestones!$AA$196),"dd/mm/yy")&amp;" "&amp;Milestones!$AB$196&amp;" "&amp;Milestones!$AC$196&amp;";  ","")&amp;IF(AND(EDATE($D143,Milestones!$AA$197)&lt;=AsOfDate,IF($Q143=0,$W143,IF(AND($S143&lt;&gt;"",EDATE($D143,Milestones!$AA$197)&gt;=$S143),$V143,IF(AND($R143&lt;&gt;"",EDATE($D143,Milestones!$AA$197)&gt;=$R143),$U143,$T143)))=Milestones!$AB$197),TEXT(EDATE($D143,Milestones!$AA$197),"dd/mm/yy")&amp;" "&amp;Milestones!$AB$197&amp;" "&amp;Milestones!$AC$197&amp;";  ","")&amp;IF(AND(EDATE($D143,Milestones!$AA$198)&lt;=AsOfDate,IF($Q143=0,$W143,IF(AND($S143&lt;&gt;"",EDATE($D143,Milestones!$AA$198)&gt;=$S143),$V143,IF(AND($R143&lt;&gt;"",EDATE($D143,Milestones!$AA$198)&gt;=$R143),$U143,$T143)))=Milestones!$AB$198),TEXT(EDATE($D143,Milestones!$AA$198),"dd/mm/yy")&amp;" "&amp;Milestones!$AB$198&amp;" "&amp;Milestones!$AC$198&amp;";  ","")&amp;IF(AND(EDATE($D143,Milestones!$AA$199)&lt;=AsOfDate,IF($Q143=0,$W143,IF(AND($S143&lt;&gt;"",EDATE($D143,Milestones!$AA$199)&gt;=$S143),$V143,IF(AND($R143&lt;&gt;"",EDATE($D143,Milestones!$AA$199)&gt;=$R143),$U143,$T143)))=Milestones!$AB$199),TEXT(EDATE($D143,Milestones!$AA$199),"dd/mm/yy")&amp;" "&amp;Milestones!$AB$199&amp;" "&amp;Milestones!$AC$199&amp;";  ",""))</f>
        <v/>
      </c>
      <c r="Q143" s="0" t="str">
        <f aca="false">IF(Staff!$A143="","",Staff!$AG143)</f>
        <v/>
      </c>
      <c r="R143" s="0" t="str">
        <f aca="false">IF(Staff!$A143="","",Staff!$AI143)</f>
        <v/>
      </c>
      <c r="S143" s="0" t="str">
        <f aca="false">IF(Staff!$A143="","",Staff!$AJ143)</f>
        <v/>
      </c>
      <c r="T143" s="0" t="str">
        <f aca="false">IF(Staff!$A143="","",Staff!$AN143)</f>
        <v/>
      </c>
      <c r="U143" s="0" t="str">
        <f aca="false">IF(Staff!$A143="","",Staff!$AO143)</f>
        <v/>
      </c>
      <c r="V143" s="0" t="str">
        <f aca="false">IF(Staff!$A143="","",Staff!$AP143)</f>
        <v/>
      </c>
      <c r="W143" s="0" t="str">
        <f aca="false">IF(Staff!$A143="","",Staff!$AQ143)</f>
        <v/>
      </c>
    </row>
    <row r="144" customFormat="false" ht="15" hidden="false" customHeight="false" outlineLevel="0" collapsed="false">
      <c r="A144" s="13" t="str">
        <f aca="false">IF(Staff!$A144="","",Staff!$A144)</f>
        <v/>
      </c>
      <c r="B144" s="13" t="str">
        <f aca="false">IF(Staff!$A144="","",Staff!$B144)</f>
        <v/>
      </c>
      <c r="C144" s="13" t="str">
        <f aca="false">IF(Staff!$A144="","",Staff!$C144)</f>
        <v/>
      </c>
      <c r="D144" s="11" t="str">
        <f aca="false">IF(Staff!$A144="","",Staff!$AF144)</f>
        <v/>
      </c>
      <c r="E144" s="13" t="str">
        <f aca="false">IF(Staff!$A144="","",Staff!$O144)</f>
        <v/>
      </c>
      <c r="F144" s="13" t="str">
        <f aca="false">IF(E144="","",E144*HoursPerDay)</f>
        <v/>
      </c>
      <c r="G144" s="26" t="str">
        <f aca="false">IF($A144="","",H144&amp;I144&amp;J144&amp;K144&amp;L144&amp;M144&amp;N144&amp;O144&amp;P144)</f>
        <v/>
      </c>
      <c r="H144" s="0" t="str">
        <f aca="false">IF(OR($A144="",$D144=""),"",IF(AND(EDATE($D144,Milestones!$AA$20)&lt;=AsOfDate,IF($Q144=0,$W144,IF(AND($S144&lt;&gt;"",EDATE($D144,Milestones!$AA$20)&gt;=$S144),$V144,IF(AND($R144&lt;&gt;"",EDATE($D144,Milestones!$AA$20)&gt;=$R144),$U144,$T144)))=Milestones!$AB$20),TEXT(EDATE($D144,Milestones!$AA$20),"dd/mm/yy")&amp;" "&amp;Milestones!$AB$20&amp;" "&amp;Milestones!$AC$20&amp;";  ","")&amp;IF(AND(EDATE($D144,Milestones!$AA$21)&lt;=AsOfDate,IF($Q144=0,$W144,IF(AND($S144&lt;&gt;"",EDATE($D144,Milestones!$AA$21)&gt;=$S144),$V144,IF(AND($R144&lt;&gt;"",EDATE($D144,Milestones!$AA$21)&gt;=$R144),$U144,$T144)))=Milestones!$AB$21),TEXT(EDATE($D144,Milestones!$AA$21),"dd/mm/yy")&amp;" "&amp;Milestones!$AB$21&amp;" "&amp;Milestones!$AC$21&amp;";  ","")&amp;IF(AND(EDATE($D144,Milestones!$AA$22)&lt;=AsOfDate,IF($Q144=0,$W144,IF(AND($S144&lt;&gt;"",EDATE($D144,Milestones!$AA$22)&gt;=$S144),$V144,IF(AND($R144&lt;&gt;"",EDATE($D144,Milestones!$AA$22)&gt;=$R144),$U144,$T144)))=Milestones!$AB$22),TEXT(EDATE($D144,Milestones!$AA$22),"dd/mm/yy")&amp;" "&amp;Milestones!$AB$22&amp;" "&amp;Milestones!$AC$22&amp;";  ","")&amp;IF(AND(EDATE($D144,Milestones!$AA$23)&lt;=AsOfDate,IF($Q144=0,$W144,IF(AND($S144&lt;&gt;"",EDATE($D144,Milestones!$AA$23)&gt;=$S144),$V144,IF(AND($R144&lt;&gt;"",EDATE($D144,Milestones!$AA$23)&gt;=$R144),$U144,$T144)))=Milestones!$AB$23),TEXT(EDATE($D144,Milestones!$AA$23),"dd/mm/yy")&amp;" "&amp;Milestones!$AB$23&amp;" "&amp;Milestones!$AC$23&amp;";  ","")&amp;IF(AND(EDATE($D144,Milestones!$AA$24)&lt;=AsOfDate,IF($Q144=0,$W144,IF(AND($S144&lt;&gt;"",EDATE($D144,Milestones!$AA$24)&gt;=$S144),$V144,IF(AND($R144&lt;&gt;"",EDATE($D144,Milestones!$AA$24)&gt;=$R144),$U144,$T144)))=Milestones!$AB$24),TEXT(EDATE($D144,Milestones!$AA$24),"dd/mm/yy")&amp;" "&amp;Milestones!$AB$24&amp;" "&amp;Milestones!$AC$24&amp;";  ","")&amp;IF(AND(EDATE($D144,Milestones!$AA$25)&lt;=AsOfDate,IF($Q144=0,$W144,IF(AND($S144&lt;&gt;"",EDATE($D144,Milestones!$AA$25)&gt;=$S144),$V144,IF(AND($R144&lt;&gt;"",EDATE($D144,Milestones!$AA$25)&gt;=$R144),$U144,$T144)))=Milestones!$AB$25),TEXT(EDATE($D144,Milestones!$AA$25),"dd/mm/yy")&amp;" "&amp;Milestones!$AB$25&amp;" "&amp;Milestones!$AC$25&amp;";  ","")&amp;IF(AND(EDATE($D144,Milestones!$AA$26)&lt;=AsOfDate,IF($Q144=0,$W144,IF(AND($S144&lt;&gt;"",EDATE($D144,Milestones!$AA$26)&gt;=$S144),$V144,IF(AND($R144&lt;&gt;"",EDATE($D144,Milestones!$AA$26)&gt;=$R144),$U144,$T144)))=Milestones!$AB$26),TEXT(EDATE($D144,Milestones!$AA$26),"dd/mm/yy")&amp;" "&amp;Milestones!$AB$26&amp;" "&amp;Milestones!$AC$26&amp;";  ","")&amp;IF(AND(EDATE($D144,Milestones!$AA$27)&lt;=AsOfDate,IF($Q144=0,$W144,IF(AND($S144&lt;&gt;"",EDATE($D144,Milestones!$AA$27)&gt;=$S144),$V144,IF(AND($R144&lt;&gt;"",EDATE($D144,Milestones!$AA$27)&gt;=$R144),$U144,$T144)))=Milestones!$AB$27),TEXT(EDATE($D144,Milestones!$AA$27),"dd/mm/yy")&amp;" "&amp;Milestones!$AB$27&amp;" "&amp;Milestones!$AC$27&amp;";  ","")&amp;IF(AND(EDATE($D144,Milestones!$AA$28)&lt;=AsOfDate,IF($Q144=0,$W144,IF(AND($S144&lt;&gt;"",EDATE($D144,Milestones!$AA$28)&gt;=$S144),$V144,IF(AND($R144&lt;&gt;"",EDATE($D144,Milestones!$AA$28)&gt;=$R144),$U144,$T144)))=Milestones!$AB$28),TEXT(EDATE($D144,Milestones!$AA$28),"dd/mm/yy")&amp;" "&amp;Milestones!$AB$28&amp;" "&amp;Milestones!$AC$28&amp;";  ","")&amp;IF(AND(EDATE($D144,Milestones!$AA$29)&lt;=AsOfDate,IF($Q144=0,$W144,IF(AND($S144&lt;&gt;"",EDATE($D144,Milestones!$AA$29)&gt;=$S144),$V144,IF(AND($R144&lt;&gt;"",EDATE($D144,Milestones!$AA$29)&gt;=$R144),$U144,$T144)))=Milestones!$AB$29),TEXT(EDATE($D144,Milestones!$AA$29),"dd/mm/yy")&amp;" "&amp;Milestones!$AB$29&amp;" "&amp;Milestones!$AC$29&amp;";  ","")&amp;IF(AND(EDATE($D144,Milestones!$AA$30)&lt;=AsOfDate,IF($Q144=0,$W144,IF(AND($S144&lt;&gt;"",EDATE($D144,Milestones!$AA$30)&gt;=$S144),$V144,IF(AND($R144&lt;&gt;"",EDATE($D144,Milestones!$AA$30)&gt;=$R144),$U144,$T144)))=Milestones!$AB$30),TEXT(EDATE($D144,Milestones!$AA$30),"dd/mm/yy")&amp;" "&amp;Milestones!$AB$30&amp;" "&amp;Milestones!$AC$30&amp;";  ","")&amp;IF(AND(EDATE($D144,Milestones!$AA$31)&lt;=AsOfDate,IF($Q144=0,$W144,IF(AND($S144&lt;&gt;"",EDATE($D144,Milestones!$AA$31)&gt;=$S144),$V144,IF(AND($R144&lt;&gt;"",EDATE($D144,Milestones!$AA$31)&gt;=$R144),$U144,$T144)))=Milestones!$AB$31),TEXT(EDATE($D144,Milestones!$AA$31),"dd/mm/yy")&amp;" "&amp;Milestones!$AB$31&amp;" "&amp;Milestones!$AC$31&amp;";  ","")&amp;IF(AND(EDATE($D144,Milestones!$AA$32)&lt;=AsOfDate,IF($Q144=0,$W144,IF(AND($S144&lt;&gt;"",EDATE($D144,Milestones!$AA$32)&gt;=$S144),$V144,IF(AND($R144&lt;&gt;"",EDATE($D144,Milestones!$AA$32)&gt;=$R144),$U144,$T144)))=Milestones!$AB$32),TEXT(EDATE($D144,Milestones!$AA$32),"dd/mm/yy")&amp;" "&amp;Milestones!$AB$32&amp;" "&amp;Milestones!$AC$32&amp;";  ","")&amp;IF(AND(EDATE($D144,Milestones!$AA$33)&lt;=AsOfDate,IF($Q144=0,$W144,IF(AND($S144&lt;&gt;"",EDATE($D144,Milestones!$AA$33)&gt;=$S144),$V144,IF(AND($R144&lt;&gt;"",EDATE($D144,Milestones!$AA$33)&gt;=$R144),$U144,$T144)))=Milestones!$AB$33),TEXT(EDATE($D144,Milestones!$AA$33),"dd/mm/yy")&amp;" "&amp;Milestones!$AB$33&amp;" "&amp;Milestones!$AC$33&amp;";  ","")&amp;IF(AND(EDATE($D144,Milestones!$AA$34)&lt;=AsOfDate,IF($Q144=0,$W144,IF(AND($S144&lt;&gt;"",EDATE($D144,Milestones!$AA$34)&gt;=$S144),$V144,IF(AND($R144&lt;&gt;"",EDATE($D144,Milestones!$AA$34)&gt;=$R144),$U144,$T144)))=Milestones!$AB$34),TEXT(EDATE($D144,Milestones!$AA$34),"dd/mm/yy")&amp;" "&amp;Milestones!$AB$34&amp;" "&amp;Milestones!$AC$34&amp;";  ","")&amp;IF(AND(EDATE($D144,Milestones!$AA$35)&lt;=AsOfDate,IF($Q144=0,$W144,IF(AND($S144&lt;&gt;"",EDATE($D144,Milestones!$AA$35)&gt;=$S144),$V144,IF(AND($R144&lt;&gt;"",EDATE($D144,Milestones!$AA$35)&gt;=$R144),$U144,$T144)))=Milestones!$AB$35),TEXT(EDATE($D144,Milestones!$AA$35),"dd/mm/yy")&amp;" "&amp;Milestones!$AB$35&amp;" "&amp;Milestones!$AC$35&amp;";  ","")&amp;IF(AND(EDATE($D144,Milestones!$AA$36)&lt;=AsOfDate,IF($Q144=0,$W144,IF(AND($S144&lt;&gt;"",EDATE($D144,Milestones!$AA$36)&gt;=$S144),$V144,IF(AND($R144&lt;&gt;"",EDATE($D144,Milestones!$AA$36)&gt;=$R144),$U144,$T144)))=Milestones!$AB$36),TEXT(EDATE($D144,Milestones!$AA$36),"dd/mm/yy")&amp;" "&amp;Milestones!$AB$36&amp;" "&amp;Milestones!$AC$36&amp;";  ","")&amp;IF(AND(EDATE($D144,Milestones!$AA$37)&lt;=AsOfDate,IF($Q144=0,$W144,IF(AND($S144&lt;&gt;"",EDATE($D144,Milestones!$AA$37)&gt;=$S144),$V144,IF(AND($R144&lt;&gt;"",EDATE($D144,Milestones!$AA$37)&gt;=$R144),$U144,$T144)))=Milestones!$AB$37),TEXT(EDATE($D144,Milestones!$AA$37),"dd/mm/yy")&amp;" "&amp;Milestones!$AB$37&amp;" "&amp;Milestones!$AC$37&amp;";  ","")&amp;IF(AND(EDATE($D144,Milestones!$AA$38)&lt;=AsOfDate,IF($Q144=0,$W144,IF(AND($S144&lt;&gt;"",EDATE($D144,Milestones!$AA$38)&gt;=$S144),$V144,IF(AND($R144&lt;&gt;"",EDATE($D144,Milestones!$AA$38)&gt;=$R144),$U144,$T144)))=Milestones!$AB$38),TEXT(EDATE($D144,Milestones!$AA$38),"dd/mm/yy")&amp;" "&amp;Milestones!$AB$38&amp;" "&amp;Milestones!$AC$38&amp;";  ","")&amp;IF(AND(EDATE($D144,Milestones!$AA$39)&lt;=AsOfDate,IF($Q144=0,$W144,IF(AND($S144&lt;&gt;"",EDATE($D144,Milestones!$AA$39)&gt;=$S144),$V144,IF(AND($R144&lt;&gt;"",EDATE($D144,Milestones!$AA$39)&gt;=$R144),$U144,$T144)))=Milestones!$AB$39),TEXT(EDATE($D144,Milestones!$AA$39),"dd/mm/yy")&amp;" "&amp;Milestones!$AB$39&amp;" "&amp;Milestones!$AC$39&amp;";  ",""))</f>
        <v/>
      </c>
      <c r="I144" s="0" t="str">
        <f aca="false">IF(OR($A144="",$D144=""),"",IF(AND(EDATE($D144,Milestones!$AA$40)&lt;=AsOfDate,IF($Q144=0,$W144,IF(AND($S144&lt;&gt;"",EDATE($D144,Milestones!$AA$40)&gt;=$S144),$V144,IF(AND($R144&lt;&gt;"",EDATE($D144,Milestones!$AA$40)&gt;=$R144),$U144,$T144)))=Milestones!$AB$40),TEXT(EDATE($D144,Milestones!$AA$40),"dd/mm/yy")&amp;" "&amp;Milestones!$AB$40&amp;" "&amp;Milestones!$AC$40&amp;";  ","")&amp;IF(AND(EDATE($D144,Milestones!$AA$41)&lt;=AsOfDate,IF($Q144=0,$W144,IF(AND($S144&lt;&gt;"",EDATE($D144,Milestones!$AA$41)&gt;=$S144),$V144,IF(AND($R144&lt;&gt;"",EDATE($D144,Milestones!$AA$41)&gt;=$R144),$U144,$T144)))=Milestones!$AB$41),TEXT(EDATE($D144,Milestones!$AA$41),"dd/mm/yy")&amp;" "&amp;Milestones!$AB$41&amp;" "&amp;Milestones!$AC$41&amp;";  ","")&amp;IF(AND(EDATE($D144,Milestones!$AA$42)&lt;=AsOfDate,IF($Q144=0,$W144,IF(AND($S144&lt;&gt;"",EDATE($D144,Milestones!$AA$42)&gt;=$S144),$V144,IF(AND($R144&lt;&gt;"",EDATE($D144,Milestones!$AA$42)&gt;=$R144),$U144,$T144)))=Milestones!$AB$42),TEXT(EDATE($D144,Milestones!$AA$42),"dd/mm/yy")&amp;" "&amp;Milestones!$AB$42&amp;" "&amp;Milestones!$AC$42&amp;";  ","")&amp;IF(AND(EDATE($D144,Milestones!$AA$43)&lt;=AsOfDate,IF($Q144=0,$W144,IF(AND($S144&lt;&gt;"",EDATE($D144,Milestones!$AA$43)&gt;=$S144),$V144,IF(AND($R144&lt;&gt;"",EDATE($D144,Milestones!$AA$43)&gt;=$R144),$U144,$T144)))=Milestones!$AB$43),TEXT(EDATE($D144,Milestones!$AA$43),"dd/mm/yy")&amp;" "&amp;Milestones!$AB$43&amp;" "&amp;Milestones!$AC$43&amp;";  ","")&amp;IF(AND(EDATE($D144,Milestones!$AA$44)&lt;=AsOfDate,IF($Q144=0,$W144,IF(AND($S144&lt;&gt;"",EDATE($D144,Milestones!$AA$44)&gt;=$S144),$V144,IF(AND($R144&lt;&gt;"",EDATE($D144,Milestones!$AA$44)&gt;=$R144),$U144,$T144)))=Milestones!$AB$44),TEXT(EDATE($D144,Milestones!$AA$44),"dd/mm/yy")&amp;" "&amp;Milestones!$AB$44&amp;" "&amp;Milestones!$AC$44&amp;";  ","")&amp;IF(AND(EDATE($D144,Milestones!$AA$45)&lt;=AsOfDate,IF($Q144=0,$W144,IF(AND($S144&lt;&gt;"",EDATE($D144,Milestones!$AA$45)&gt;=$S144),$V144,IF(AND($R144&lt;&gt;"",EDATE($D144,Milestones!$AA$45)&gt;=$R144),$U144,$T144)))=Milestones!$AB$45),TEXT(EDATE($D144,Milestones!$AA$45),"dd/mm/yy")&amp;" "&amp;Milestones!$AB$45&amp;" "&amp;Milestones!$AC$45&amp;";  ","")&amp;IF(AND(EDATE($D144,Milestones!$AA$46)&lt;=AsOfDate,IF($Q144=0,$W144,IF(AND($S144&lt;&gt;"",EDATE($D144,Milestones!$AA$46)&gt;=$S144),$V144,IF(AND($R144&lt;&gt;"",EDATE($D144,Milestones!$AA$46)&gt;=$R144),$U144,$T144)))=Milestones!$AB$46),TEXT(EDATE($D144,Milestones!$AA$46),"dd/mm/yy")&amp;" "&amp;Milestones!$AB$46&amp;" "&amp;Milestones!$AC$46&amp;";  ","")&amp;IF(AND(EDATE($D144,Milestones!$AA$47)&lt;=AsOfDate,IF($Q144=0,$W144,IF(AND($S144&lt;&gt;"",EDATE($D144,Milestones!$AA$47)&gt;=$S144),$V144,IF(AND($R144&lt;&gt;"",EDATE($D144,Milestones!$AA$47)&gt;=$R144),$U144,$T144)))=Milestones!$AB$47),TEXT(EDATE($D144,Milestones!$AA$47),"dd/mm/yy")&amp;" "&amp;Milestones!$AB$47&amp;" "&amp;Milestones!$AC$47&amp;";  ","")&amp;IF(AND(EDATE($D144,Milestones!$AA$48)&lt;=AsOfDate,IF($Q144=0,$W144,IF(AND($S144&lt;&gt;"",EDATE($D144,Milestones!$AA$48)&gt;=$S144),$V144,IF(AND($R144&lt;&gt;"",EDATE($D144,Milestones!$AA$48)&gt;=$R144),$U144,$T144)))=Milestones!$AB$48),TEXT(EDATE($D144,Milestones!$AA$48),"dd/mm/yy")&amp;" "&amp;Milestones!$AB$48&amp;" "&amp;Milestones!$AC$48&amp;";  ","")&amp;IF(AND(EDATE($D144,Milestones!$AA$49)&lt;=AsOfDate,IF($Q144=0,$W144,IF(AND($S144&lt;&gt;"",EDATE($D144,Milestones!$AA$49)&gt;=$S144),$V144,IF(AND($R144&lt;&gt;"",EDATE($D144,Milestones!$AA$49)&gt;=$R144),$U144,$T144)))=Milestones!$AB$49),TEXT(EDATE($D144,Milestones!$AA$49),"dd/mm/yy")&amp;" "&amp;Milestones!$AB$49&amp;" "&amp;Milestones!$AC$49&amp;";  ","")&amp;IF(AND(EDATE($D144,Milestones!$AA$50)&lt;=AsOfDate,IF($Q144=0,$W144,IF(AND($S144&lt;&gt;"",EDATE($D144,Milestones!$AA$50)&gt;=$S144),$V144,IF(AND($R144&lt;&gt;"",EDATE($D144,Milestones!$AA$50)&gt;=$R144),$U144,$T144)))=Milestones!$AB$50),TEXT(EDATE($D144,Milestones!$AA$50),"dd/mm/yy")&amp;" "&amp;Milestones!$AB$50&amp;" "&amp;Milestones!$AC$50&amp;";  ","")&amp;IF(AND(EDATE($D144,Milestones!$AA$51)&lt;=AsOfDate,IF($Q144=0,$W144,IF(AND($S144&lt;&gt;"",EDATE($D144,Milestones!$AA$51)&gt;=$S144),$V144,IF(AND($R144&lt;&gt;"",EDATE($D144,Milestones!$AA$51)&gt;=$R144),$U144,$T144)))=Milestones!$AB$51),TEXT(EDATE($D144,Milestones!$AA$51),"dd/mm/yy")&amp;" "&amp;Milestones!$AB$51&amp;" "&amp;Milestones!$AC$51&amp;";  ","")&amp;IF(AND(EDATE($D144,Milestones!$AA$52)&lt;=AsOfDate,IF($Q144=0,$W144,IF(AND($S144&lt;&gt;"",EDATE($D144,Milestones!$AA$52)&gt;=$S144),$V144,IF(AND($R144&lt;&gt;"",EDATE($D144,Milestones!$AA$52)&gt;=$R144),$U144,$T144)))=Milestones!$AB$52),TEXT(EDATE($D144,Milestones!$AA$52),"dd/mm/yy")&amp;" "&amp;Milestones!$AB$52&amp;" "&amp;Milestones!$AC$52&amp;";  ","")&amp;IF(AND(EDATE($D144,Milestones!$AA$53)&lt;=AsOfDate,IF($Q144=0,$W144,IF(AND($S144&lt;&gt;"",EDATE($D144,Milestones!$AA$53)&gt;=$S144),$V144,IF(AND($R144&lt;&gt;"",EDATE($D144,Milestones!$AA$53)&gt;=$R144),$U144,$T144)))=Milestones!$AB$53),TEXT(EDATE($D144,Milestones!$AA$53),"dd/mm/yy")&amp;" "&amp;Milestones!$AB$53&amp;" "&amp;Milestones!$AC$53&amp;";  ","")&amp;IF(AND(EDATE($D144,Milestones!$AA$54)&lt;=AsOfDate,IF($Q144=0,$W144,IF(AND($S144&lt;&gt;"",EDATE($D144,Milestones!$AA$54)&gt;=$S144),$V144,IF(AND($R144&lt;&gt;"",EDATE($D144,Milestones!$AA$54)&gt;=$R144),$U144,$T144)))=Milestones!$AB$54),TEXT(EDATE($D144,Milestones!$AA$54),"dd/mm/yy")&amp;" "&amp;Milestones!$AB$54&amp;" "&amp;Milestones!$AC$54&amp;";  ","")&amp;IF(AND(EDATE($D144,Milestones!$AA$55)&lt;=AsOfDate,IF($Q144=0,$W144,IF(AND($S144&lt;&gt;"",EDATE($D144,Milestones!$AA$55)&gt;=$S144),$V144,IF(AND($R144&lt;&gt;"",EDATE($D144,Milestones!$AA$55)&gt;=$R144),$U144,$T144)))=Milestones!$AB$55),TEXT(EDATE($D144,Milestones!$AA$55),"dd/mm/yy")&amp;" "&amp;Milestones!$AB$55&amp;" "&amp;Milestones!$AC$55&amp;";  ","")&amp;IF(AND(EDATE($D144,Milestones!$AA$56)&lt;=AsOfDate,IF($Q144=0,$W144,IF(AND($S144&lt;&gt;"",EDATE($D144,Milestones!$AA$56)&gt;=$S144),$V144,IF(AND($R144&lt;&gt;"",EDATE($D144,Milestones!$AA$56)&gt;=$R144),$U144,$T144)))=Milestones!$AB$56),TEXT(EDATE($D144,Milestones!$AA$56),"dd/mm/yy")&amp;" "&amp;Milestones!$AB$56&amp;" "&amp;Milestones!$AC$56&amp;";  ","")&amp;IF(AND(EDATE($D144,Milestones!$AA$57)&lt;=AsOfDate,IF($Q144=0,$W144,IF(AND($S144&lt;&gt;"",EDATE($D144,Milestones!$AA$57)&gt;=$S144),$V144,IF(AND($R144&lt;&gt;"",EDATE($D144,Milestones!$AA$57)&gt;=$R144),$U144,$T144)))=Milestones!$AB$57),TEXT(EDATE($D144,Milestones!$AA$57),"dd/mm/yy")&amp;" "&amp;Milestones!$AB$57&amp;" "&amp;Milestones!$AC$57&amp;";  ","")&amp;IF(AND(EDATE($D144,Milestones!$AA$58)&lt;=AsOfDate,IF($Q144=0,$W144,IF(AND($S144&lt;&gt;"",EDATE($D144,Milestones!$AA$58)&gt;=$S144),$V144,IF(AND($R144&lt;&gt;"",EDATE($D144,Milestones!$AA$58)&gt;=$R144),$U144,$T144)))=Milestones!$AB$58),TEXT(EDATE($D144,Milestones!$AA$58),"dd/mm/yy")&amp;" "&amp;Milestones!$AB$58&amp;" "&amp;Milestones!$AC$58&amp;";  ","")&amp;IF(AND(EDATE($D144,Milestones!$AA$59)&lt;=AsOfDate,IF($Q144=0,$W144,IF(AND($S144&lt;&gt;"",EDATE($D144,Milestones!$AA$59)&gt;=$S144),$V144,IF(AND($R144&lt;&gt;"",EDATE($D144,Milestones!$AA$59)&gt;=$R144),$U144,$T144)))=Milestones!$AB$59),TEXT(EDATE($D144,Milestones!$AA$59),"dd/mm/yy")&amp;" "&amp;Milestones!$AB$59&amp;" "&amp;Milestones!$AC$59&amp;";  ",""))</f>
        <v/>
      </c>
      <c r="J144" s="0" t="str">
        <f aca="false">IF(OR($A144="",$D144=""),"",IF(AND(EDATE($D144,Milestones!$AA$60)&lt;=AsOfDate,IF($Q144=0,$W144,IF(AND($S144&lt;&gt;"",EDATE($D144,Milestones!$AA$60)&gt;=$S144),$V144,IF(AND($R144&lt;&gt;"",EDATE($D144,Milestones!$AA$60)&gt;=$R144),$U144,$T144)))=Milestones!$AB$60),TEXT(EDATE($D144,Milestones!$AA$60),"dd/mm/yy")&amp;" "&amp;Milestones!$AB$60&amp;" "&amp;Milestones!$AC$60&amp;";  ","")&amp;IF(AND(EDATE($D144,Milestones!$AA$61)&lt;=AsOfDate,IF($Q144=0,$W144,IF(AND($S144&lt;&gt;"",EDATE($D144,Milestones!$AA$61)&gt;=$S144),$V144,IF(AND($R144&lt;&gt;"",EDATE($D144,Milestones!$AA$61)&gt;=$R144),$U144,$T144)))=Milestones!$AB$61),TEXT(EDATE($D144,Milestones!$AA$61),"dd/mm/yy")&amp;" "&amp;Milestones!$AB$61&amp;" "&amp;Milestones!$AC$61&amp;";  ","")&amp;IF(AND(EDATE($D144,Milestones!$AA$62)&lt;=AsOfDate,IF($Q144=0,$W144,IF(AND($S144&lt;&gt;"",EDATE($D144,Milestones!$AA$62)&gt;=$S144),$V144,IF(AND($R144&lt;&gt;"",EDATE($D144,Milestones!$AA$62)&gt;=$R144),$U144,$T144)))=Milestones!$AB$62),TEXT(EDATE($D144,Milestones!$AA$62),"dd/mm/yy")&amp;" "&amp;Milestones!$AB$62&amp;" "&amp;Milestones!$AC$62&amp;";  ","")&amp;IF(AND(EDATE($D144,Milestones!$AA$63)&lt;=AsOfDate,IF($Q144=0,$W144,IF(AND($S144&lt;&gt;"",EDATE($D144,Milestones!$AA$63)&gt;=$S144),$V144,IF(AND($R144&lt;&gt;"",EDATE($D144,Milestones!$AA$63)&gt;=$R144),$U144,$T144)))=Milestones!$AB$63),TEXT(EDATE($D144,Milestones!$AA$63),"dd/mm/yy")&amp;" "&amp;Milestones!$AB$63&amp;" "&amp;Milestones!$AC$63&amp;";  ","")&amp;IF(AND(EDATE($D144,Milestones!$AA$64)&lt;=AsOfDate,IF($Q144=0,$W144,IF(AND($S144&lt;&gt;"",EDATE($D144,Milestones!$AA$64)&gt;=$S144),$V144,IF(AND($R144&lt;&gt;"",EDATE($D144,Milestones!$AA$64)&gt;=$R144),$U144,$T144)))=Milestones!$AB$64),TEXT(EDATE($D144,Milestones!$AA$64),"dd/mm/yy")&amp;" "&amp;Milestones!$AB$64&amp;" "&amp;Milestones!$AC$64&amp;";  ","")&amp;IF(AND(EDATE($D144,Milestones!$AA$65)&lt;=AsOfDate,IF($Q144=0,$W144,IF(AND($S144&lt;&gt;"",EDATE($D144,Milestones!$AA$65)&gt;=$S144),$V144,IF(AND($R144&lt;&gt;"",EDATE($D144,Milestones!$AA$65)&gt;=$R144),$U144,$T144)))=Milestones!$AB$65),TEXT(EDATE($D144,Milestones!$AA$65),"dd/mm/yy")&amp;" "&amp;Milestones!$AB$65&amp;" "&amp;Milestones!$AC$65&amp;";  ","")&amp;IF(AND(EDATE($D144,Milestones!$AA$66)&lt;=AsOfDate,IF($Q144=0,$W144,IF(AND($S144&lt;&gt;"",EDATE($D144,Milestones!$AA$66)&gt;=$S144),$V144,IF(AND($R144&lt;&gt;"",EDATE($D144,Milestones!$AA$66)&gt;=$R144),$U144,$T144)))=Milestones!$AB$66),TEXT(EDATE($D144,Milestones!$AA$66),"dd/mm/yy")&amp;" "&amp;Milestones!$AB$66&amp;" "&amp;Milestones!$AC$66&amp;";  ","")&amp;IF(AND(EDATE($D144,Milestones!$AA$67)&lt;=AsOfDate,IF($Q144=0,$W144,IF(AND($S144&lt;&gt;"",EDATE($D144,Milestones!$AA$67)&gt;=$S144),$V144,IF(AND($R144&lt;&gt;"",EDATE($D144,Milestones!$AA$67)&gt;=$R144),$U144,$T144)))=Milestones!$AB$67),TEXT(EDATE($D144,Milestones!$AA$67),"dd/mm/yy")&amp;" "&amp;Milestones!$AB$67&amp;" "&amp;Milestones!$AC$67&amp;";  ","")&amp;IF(AND(EDATE($D144,Milestones!$AA$68)&lt;=AsOfDate,IF($Q144=0,$W144,IF(AND($S144&lt;&gt;"",EDATE($D144,Milestones!$AA$68)&gt;=$S144),$V144,IF(AND($R144&lt;&gt;"",EDATE($D144,Milestones!$AA$68)&gt;=$R144),$U144,$T144)))=Milestones!$AB$68),TEXT(EDATE($D144,Milestones!$AA$68),"dd/mm/yy")&amp;" "&amp;Milestones!$AB$68&amp;" "&amp;Milestones!$AC$68&amp;";  ","")&amp;IF(AND(EDATE($D144,Milestones!$AA$69)&lt;=AsOfDate,IF($Q144=0,$W144,IF(AND($S144&lt;&gt;"",EDATE($D144,Milestones!$AA$69)&gt;=$S144),$V144,IF(AND($R144&lt;&gt;"",EDATE($D144,Milestones!$AA$69)&gt;=$R144),$U144,$T144)))=Milestones!$AB$69),TEXT(EDATE($D144,Milestones!$AA$69),"dd/mm/yy")&amp;" "&amp;Milestones!$AB$69&amp;" "&amp;Milestones!$AC$69&amp;";  ","")&amp;IF(AND(EDATE($D144,Milestones!$AA$70)&lt;=AsOfDate,IF($Q144=0,$W144,IF(AND($S144&lt;&gt;"",EDATE($D144,Milestones!$AA$70)&gt;=$S144),$V144,IF(AND($R144&lt;&gt;"",EDATE($D144,Milestones!$AA$70)&gt;=$R144),$U144,$T144)))=Milestones!$AB$70),TEXT(EDATE($D144,Milestones!$AA$70),"dd/mm/yy")&amp;" "&amp;Milestones!$AB$70&amp;" "&amp;Milestones!$AC$70&amp;";  ","")&amp;IF(AND(EDATE($D144,Milestones!$AA$71)&lt;=AsOfDate,IF($Q144=0,$W144,IF(AND($S144&lt;&gt;"",EDATE($D144,Milestones!$AA$71)&gt;=$S144),$V144,IF(AND($R144&lt;&gt;"",EDATE($D144,Milestones!$AA$71)&gt;=$R144),$U144,$T144)))=Milestones!$AB$71),TEXT(EDATE($D144,Milestones!$AA$71),"dd/mm/yy")&amp;" "&amp;Milestones!$AB$71&amp;" "&amp;Milestones!$AC$71&amp;";  ","")&amp;IF(AND(EDATE($D144,Milestones!$AA$72)&lt;=AsOfDate,IF($Q144=0,$W144,IF(AND($S144&lt;&gt;"",EDATE($D144,Milestones!$AA$72)&gt;=$S144),$V144,IF(AND($R144&lt;&gt;"",EDATE($D144,Milestones!$AA$72)&gt;=$R144),$U144,$T144)))=Milestones!$AB$72),TEXT(EDATE($D144,Milestones!$AA$72),"dd/mm/yy")&amp;" "&amp;Milestones!$AB$72&amp;" "&amp;Milestones!$AC$72&amp;";  ","")&amp;IF(AND(EDATE($D144,Milestones!$AA$73)&lt;=AsOfDate,IF($Q144=0,$W144,IF(AND($S144&lt;&gt;"",EDATE($D144,Milestones!$AA$73)&gt;=$S144),$V144,IF(AND($R144&lt;&gt;"",EDATE($D144,Milestones!$AA$73)&gt;=$R144),$U144,$T144)))=Milestones!$AB$73),TEXT(EDATE($D144,Milestones!$AA$73),"dd/mm/yy")&amp;" "&amp;Milestones!$AB$73&amp;" "&amp;Milestones!$AC$73&amp;";  ","")&amp;IF(AND(EDATE($D144,Milestones!$AA$74)&lt;=AsOfDate,IF($Q144=0,$W144,IF(AND($S144&lt;&gt;"",EDATE($D144,Milestones!$AA$74)&gt;=$S144),$V144,IF(AND($R144&lt;&gt;"",EDATE($D144,Milestones!$AA$74)&gt;=$R144),$U144,$T144)))=Milestones!$AB$74),TEXT(EDATE($D144,Milestones!$AA$74),"dd/mm/yy")&amp;" "&amp;Milestones!$AB$74&amp;" "&amp;Milestones!$AC$74&amp;";  ","")&amp;IF(AND(EDATE($D144,Milestones!$AA$75)&lt;=AsOfDate,IF($Q144=0,$W144,IF(AND($S144&lt;&gt;"",EDATE($D144,Milestones!$AA$75)&gt;=$S144),$V144,IF(AND($R144&lt;&gt;"",EDATE($D144,Milestones!$AA$75)&gt;=$R144),$U144,$T144)))=Milestones!$AB$75),TEXT(EDATE($D144,Milestones!$AA$75),"dd/mm/yy")&amp;" "&amp;Milestones!$AB$75&amp;" "&amp;Milestones!$AC$75&amp;";  ","")&amp;IF(AND(EDATE($D144,Milestones!$AA$76)&lt;=AsOfDate,IF($Q144=0,$W144,IF(AND($S144&lt;&gt;"",EDATE($D144,Milestones!$AA$76)&gt;=$S144),$V144,IF(AND($R144&lt;&gt;"",EDATE($D144,Milestones!$AA$76)&gt;=$R144),$U144,$T144)))=Milestones!$AB$76),TEXT(EDATE($D144,Milestones!$AA$76),"dd/mm/yy")&amp;" "&amp;Milestones!$AB$76&amp;" "&amp;Milestones!$AC$76&amp;";  ","")&amp;IF(AND(EDATE($D144,Milestones!$AA$77)&lt;=AsOfDate,IF($Q144=0,$W144,IF(AND($S144&lt;&gt;"",EDATE($D144,Milestones!$AA$77)&gt;=$S144),$V144,IF(AND($R144&lt;&gt;"",EDATE($D144,Milestones!$AA$77)&gt;=$R144),$U144,$T144)))=Milestones!$AB$77),TEXT(EDATE($D144,Milestones!$AA$77),"dd/mm/yy")&amp;" "&amp;Milestones!$AB$77&amp;" "&amp;Milestones!$AC$77&amp;";  ","")&amp;IF(AND(EDATE($D144,Milestones!$AA$78)&lt;=AsOfDate,IF($Q144=0,$W144,IF(AND($S144&lt;&gt;"",EDATE($D144,Milestones!$AA$78)&gt;=$S144),$V144,IF(AND($R144&lt;&gt;"",EDATE($D144,Milestones!$AA$78)&gt;=$R144),$U144,$T144)))=Milestones!$AB$78),TEXT(EDATE($D144,Milestones!$AA$78),"dd/mm/yy")&amp;" "&amp;Milestones!$AB$78&amp;" "&amp;Milestones!$AC$78&amp;";  ","")&amp;IF(AND(EDATE($D144,Milestones!$AA$79)&lt;=AsOfDate,IF($Q144=0,$W144,IF(AND($S144&lt;&gt;"",EDATE($D144,Milestones!$AA$79)&gt;=$S144),$V144,IF(AND($R144&lt;&gt;"",EDATE($D144,Milestones!$AA$79)&gt;=$R144),$U144,$T144)))=Milestones!$AB$79),TEXT(EDATE($D144,Milestones!$AA$79),"dd/mm/yy")&amp;" "&amp;Milestones!$AB$79&amp;" "&amp;Milestones!$AC$79&amp;";  ",""))</f>
        <v/>
      </c>
      <c r="K144" s="0" t="str">
        <f aca="false">IF(OR($A144="",$D144=""),"",IF(AND(EDATE($D144,Milestones!$AA$80)&lt;=AsOfDate,IF($Q144=0,$W144,IF(AND($S144&lt;&gt;"",EDATE($D144,Milestones!$AA$80)&gt;=$S144),$V144,IF(AND($R144&lt;&gt;"",EDATE($D144,Milestones!$AA$80)&gt;=$R144),$U144,$T144)))=Milestones!$AB$80),TEXT(EDATE($D144,Milestones!$AA$80),"dd/mm/yy")&amp;" "&amp;Milestones!$AB$80&amp;" "&amp;Milestones!$AC$80&amp;";  ","")&amp;IF(AND(EDATE($D144,Milestones!$AA$81)&lt;=AsOfDate,IF($Q144=0,$W144,IF(AND($S144&lt;&gt;"",EDATE($D144,Milestones!$AA$81)&gt;=$S144),$V144,IF(AND($R144&lt;&gt;"",EDATE($D144,Milestones!$AA$81)&gt;=$R144),$U144,$T144)))=Milestones!$AB$81),TEXT(EDATE($D144,Milestones!$AA$81),"dd/mm/yy")&amp;" "&amp;Milestones!$AB$81&amp;" "&amp;Milestones!$AC$81&amp;";  ","")&amp;IF(AND(EDATE($D144,Milestones!$AA$82)&lt;=AsOfDate,IF($Q144=0,$W144,IF(AND($S144&lt;&gt;"",EDATE($D144,Milestones!$AA$82)&gt;=$S144),$V144,IF(AND($R144&lt;&gt;"",EDATE($D144,Milestones!$AA$82)&gt;=$R144),$U144,$T144)))=Milestones!$AB$82),TEXT(EDATE($D144,Milestones!$AA$82),"dd/mm/yy")&amp;" "&amp;Milestones!$AB$82&amp;" "&amp;Milestones!$AC$82&amp;";  ","")&amp;IF(AND(EDATE($D144,Milestones!$AA$83)&lt;=AsOfDate,IF($Q144=0,$W144,IF(AND($S144&lt;&gt;"",EDATE($D144,Milestones!$AA$83)&gt;=$S144),$V144,IF(AND($R144&lt;&gt;"",EDATE($D144,Milestones!$AA$83)&gt;=$R144),$U144,$T144)))=Milestones!$AB$83),TEXT(EDATE($D144,Milestones!$AA$83),"dd/mm/yy")&amp;" "&amp;Milestones!$AB$83&amp;" "&amp;Milestones!$AC$83&amp;";  ","")&amp;IF(AND(EDATE($D144,Milestones!$AA$84)&lt;=AsOfDate,IF($Q144=0,$W144,IF(AND($S144&lt;&gt;"",EDATE($D144,Milestones!$AA$84)&gt;=$S144),$V144,IF(AND($R144&lt;&gt;"",EDATE($D144,Milestones!$AA$84)&gt;=$R144),$U144,$T144)))=Milestones!$AB$84),TEXT(EDATE($D144,Milestones!$AA$84),"dd/mm/yy")&amp;" "&amp;Milestones!$AB$84&amp;" "&amp;Milestones!$AC$84&amp;";  ","")&amp;IF(AND(EDATE($D144,Milestones!$AA$85)&lt;=AsOfDate,IF($Q144=0,$W144,IF(AND($S144&lt;&gt;"",EDATE($D144,Milestones!$AA$85)&gt;=$S144),$V144,IF(AND($R144&lt;&gt;"",EDATE($D144,Milestones!$AA$85)&gt;=$R144),$U144,$T144)))=Milestones!$AB$85),TEXT(EDATE($D144,Milestones!$AA$85),"dd/mm/yy")&amp;" "&amp;Milestones!$AB$85&amp;" "&amp;Milestones!$AC$85&amp;";  ","")&amp;IF(AND(EDATE($D144,Milestones!$AA$86)&lt;=AsOfDate,IF($Q144=0,$W144,IF(AND($S144&lt;&gt;"",EDATE($D144,Milestones!$AA$86)&gt;=$S144),$V144,IF(AND($R144&lt;&gt;"",EDATE($D144,Milestones!$AA$86)&gt;=$R144),$U144,$T144)))=Milestones!$AB$86),TEXT(EDATE($D144,Milestones!$AA$86),"dd/mm/yy")&amp;" "&amp;Milestones!$AB$86&amp;" "&amp;Milestones!$AC$86&amp;";  ","")&amp;IF(AND(EDATE($D144,Milestones!$AA$87)&lt;=AsOfDate,IF($Q144=0,$W144,IF(AND($S144&lt;&gt;"",EDATE($D144,Milestones!$AA$87)&gt;=$S144),$V144,IF(AND($R144&lt;&gt;"",EDATE($D144,Milestones!$AA$87)&gt;=$R144),$U144,$T144)))=Milestones!$AB$87),TEXT(EDATE($D144,Milestones!$AA$87),"dd/mm/yy")&amp;" "&amp;Milestones!$AB$87&amp;" "&amp;Milestones!$AC$87&amp;";  ","")&amp;IF(AND(EDATE($D144,Milestones!$AA$88)&lt;=AsOfDate,IF($Q144=0,$W144,IF(AND($S144&lt;&gt;"",EDATE($D144,Milestones!$AA$88)&gt;=$S144),$V144,IF(AND($R144&lt;&gt;"",EDATE($D144,Milestones!$AA$88)&gt;=$R144),$U144,$T144)))=Milestones!$AB$88),TEXT(EDATE($D144,Milestones!$AA$88),"dd/mm/yy")&amp;" "&amp;Milestones!$AB$88&amp;" "&amp;Milestones!$AC$88&amp;";  ","")&amp;IF(AND(EDATE($D144,Milestones!$AA$89)&lt;=AsOfDate,IF($Q144=0,$W144,IF(AND($S144&lt;&gt;"",EDATE($D144,Milestones!$AA$89)&gt;=$S144),$V144,IF(AND($R144&lt;&gt;"",EDATE($D144,Milestones!$AA$89)&gt;=$R144),$U144,$T144)))=Milestones!$AB$89),TEXT(EDATE($D144,Milestones!$AA$89),"dd/mm/yy")&amp;" "&amp;Milestones!$AB$89&amp;" "&amp;Milestones!$AC$89&amp;";  ","")&amp;IF(AND(EDATE($D144,Milestones!$AA$90)&lt;=AsOfDate,IF($Q144=0,$W144,IF(AND($S144&lt;&gt;"",EDATE($D144,Milestones!$AA$90)&gt;=$S144),$V144,IF(AND($R144&lt;&gt;"",EDATE($D144,Milestones!$AA$90)&gt;=$R144),$U144,$T144)))=Milestones!$AB$90),TEXT(EDATE($D144,Milestones!$AA$90),"dd/mm/yy")&amp;" "&amp;Milestones!$AB$90&amp;" "&amp;Milestones!$AC$90&amp;";  ","")&amp;IF(AND(EDATE($D144,Milestones!$AA$91)&lt;=AsOfDate,IF($Q144=0,$W144,IF(AND($S144&lt;&gt;"",EDATE($D144,Milestones!$AA$91)&gt;=$S144),$V144,IF(AND($R144&lt;&gt;"",EDATE($D144,Milestones!$AA$91)&gt;=$R144),$U144,$T144)))=Milestones!$AB$91),TEXT(EDATE($D144,Milestones!$AA$91),"dd/mm/yy")&amp;" "&amp;Milestones!$AB$91&amp;" "&amp;Milestones!$AC$91&amp;";  ","")&amp;IF(AND(EDATE($D144,Milestones!$AA$92)&lt;=AsOfDate,IF($Q144=0,$W144,IF(AND($S144&lt;&gt;"",EDATE($D144,Milestones!$AA$92)&gt;=$S144),$V144,IF(AND($R144&lt;&gt;"",EDATE($D144,Milestones!$AA$92)&gt;=$R144),$U144,$T144)))=Milestones!$AB$92),TEXT(EDATE($D144,Milestones!$AA$92),"dd/mm/yy")&amp;" "&amp;Milestones!$AB$92&amp;" "&amp;Milestones!$AC$92&amp;";  ","")&amp;IF(AND(EDATE($D144,Milestones!$AA$93)&lt;=AsOfDate,IF($Q144=0,$W144,IF(AND($S144&lt;&gt;"",EDATE($D144,Milestones!$AA$93)&gt;=$S144),$V144,IF(AND($R144&lt;&gt;"",EDATE($D144,Milestones!$AA$93)&gt;=$R144),$U144,$T144)))=Milestones!$AB$93),TEXT(EDATE($D144,Milestones!$AA$93),"dd/mm/yy")&amp;" "&amp;Milestones!$AB$93&amp;" "&amp;Milestones!$AC$93&amp;";  ","")&amp;IF(AND(EDATE($D144,Milestones!$AA$94)&lt;=AsOfDate,IF($Q144=0,$W144,IF(AND($S144&lt;&gt;"",EDATE($D144,Milestones!$AA$94)&gt;=$S144),$V144,IF(AND($R144&lt;&gt;"",EDATE($D144,Milestones!$AA$94)&gt;=$R144),$U144,$T144)))=Milestones!$AB$94),TEXT(EDATE($D144,Milestones!$AA$94),"dd/mm/yy")&amp;" "&amp;Milestones!$AB$94&amp;" "&amp;Milestones!$AC$94&amp;";  ","")&amp;IF(AND(EDATE($D144,Milestones!$AA$95)&lt;=AsOfDate,IF($Q144=0,$W144,IF(AND($S144&lt;&gt;"",EDATE($D144,Milestones!$AA$95)&gt;=$S144),$V144,IF(AND($R144&lt;&gt;"",EDATE($D144,Milestones!$AA$95)&gt;=$R144),$U144,$T144)))=Milestones!$AB$95),TEXT(EDATE($D144,Milestones!$AA$95),"dd/mm/yy")&amp;" "&amp;Milestones!$AB$95&amp;" "&amp;Milestones!$AC$95&amp;";  ","")&amp;IF(AND(EDATE($D144,Milestones!$AA$96)&lt;=AsOfDate,IF($Q144=0,$W144,IF(AND($S144&lt;&gt;"",EDATE($D144,Milestones!$AA$96)&gt;=$S144),$V144,IF(AND($R144&lt;&gt;"",EDATE($D144,Milestones!$AA$96)&gt;=$R144),$U144,$T144)))=Milestones!$AB$96),TEXT(EDATE($D144,Milestones!$AA$96),"dd/mm/yy")&amp;" "&amp;Milestones!$AB$96&amp;" "&amp;Milestones!$AC$96&amp;";  ","")&amp;IF(AND(EDATE($D144,Milestones!$AA$97)&lt;=AsOfDate,IF($Q144=0,$W144,IF(AND($S144&lt;&gt;"",EDATE($D144,Milestones!$AA$97)&gt;=$S144),$V144,IF(AND($R144&lt;&gt;"",EDATE($D144,Milestones!$AA$97)&gt;=$R144),$U144,$T144)))=Milestones!$AB$97),TEXT(EDATE($D144,Milestones!$AA$97),"dd/mm/yy")&amp;" "&amp;Milestones!$AB$97&amp;" "&amp;Milestones!$AC$97&amp;";  ","")&amp;IF(AND(EDATE($D144,Milestones!$AA$98)&lt;=AsOfDate,IF($Q144=0,$W144,IF(AND($S144&lt;&gt;"",EDATE($D144,Milestones!$AA$98)&gt;=$S144),$V144,IF(AND($R144&lt;&gt;"",EDATE($D144,Milestones!$AA$98)&gt;=$R144),$U144,$T144)))=Milestones!$AB$98),TEXT(EDATE($D144,Milestones!$AA$98),"dd/mm/yy")&amp;" "&amp;Milestones!$AB$98&amp;" "&amp;Milestones!$AC$98&amp;";  ","")&amp;IF(AND(EDATE($D144,Milestones!$AA$99)&lt;=AsOfDate,IF($Q144=0,$W144,IF(AND($S144&lt;&gt;"",EDATE($D144,Milestones!$AA$99)&gt;=$S144),$V144,IF(AND($R144&lt;&gt;"",EDATE($D144,Milestones!$AA$99)&gt;=$R144),$U144,$T144)))=Milestones!$AB$99),TEXT(EDATE($D144,Milestones!$AA$99),"dd/mm/yy")&amp;" "&amp;Milestones!$AB$99&amp;" "&amp;Milestones!$AC$99&amp;";  ",""))</f>
        <v/>
      </c>
      <c r="L144" s="0" t="str">
        <f aca="false">IF(OR($A144="",$D144=""),"",IF(AND(EDATE($D144,Milestones!$AA$100)&lt;=AsOfDate,IF($Q144=0,$W144,IF(AND($S144&lt;&gt;"",EDATE($D144,Milestones!$AA$100)&gt;=$S144),$V144,IF(AND($R144&lt;&gt;"",EDATE($D144,Milestones!$AA$100)&gt;=$R144),$U144,$T144)))=Milestones!$AB$100),TEXT(EDATE($D144,Milestones!$AA$100),"dd/mm/yy")&amp;" "&amp;Milestones!$AB$100&amp;" "&amp;Milestones!$AC$100&amp;";  ","")&amp;IF(AND(EDATE($D144,Milestones!$AA$101)&lt;=AsOfDate,IF($Q144=0,$W144,IF(AND($S144&lt;&gt;"",EDATE($D144,Milestones!$AA$101)&gt;=$S144),$V144,IF(AND($R144&lt;&gt;"",EDATE($D144,Milestones!$AA$101)&gt;=$R144),$U144,$T144)))=Milestones!$AB$101),TEXT(EDATE($D144,Milestones!$AA$101),"dd/mm/yy")&amp;" "&amp;Milestones!$AB$101&amp;" "&amp;Milestones!$AC$101&amp;";  ","")&amp;IF(AND(EDATE($D144,Milestones!$AA$102)&lt;=AsOfDate,IF($Q144=0,$W144,IF(AND($S144&lt;&gt;"",EDATE($D144,Milestones!$AA$102)&gt;=$S144),$V144,IF(AND($R144&lt;&gt;"",EDATE($D144,Milestones!$AA$102)&gt;=$R144),$U144,$T144)))=Milestones!$AB$102),TEXT(EDATE($D144,Milestones!$AA$102),"dd/mm/yy")&amp;" "&amp;Milestones!$AB$102&amp;" "&amp;Milestones!$AC$102&amp;";  ","")&amp;IF(AND(EDATE($D144,Milestones!$AA$103)&lt;=AsOfDate,IF($Q144=0,$W144,IF(AND($S144&lt;&gt;"",EDATE($D144,Milestones!$AA$103)&gt;=$S144),$V144,IF(AND($R144&lt;&gt;"",EDATE($D144,Milestones!$AA$103)&gt;=$R144),$U144,$T144)))=Milestones!$AB$103),TEXT(EDATE($D144,Milestones!$AA$103),"dd/mm/yy")&amp;" "&amp;Milestones!$AB$103&amp;" "&amp;Milestones!$AC$103&amp;";  ","")&amp;IF(AND(EDATE($D144,Milestones!$AA$104)&lt;=AsOfDate,IF($Q144=0,$W144,IF(AND($S144&lt;&gt;"",EDATE($D144,Milestones!$AA$104)&gt;=$S144),$V144,IF(AND($R144&lt;&gt;"",EDATE($D144,Milestones!$AA$104)&gt;=$R144),$U144,$T144)))=Milestones!$AB$104),TEXT(EDATE($D144,Milestones!$AA$104),"dd/mm/yy")&amp;" "&amp;Milestones!$AB$104&amp;" "&amp;Milestones!$AC$104&amp;";  ","")&amp;IF(AND(EDATE($D144,Milestones!$AA$105)&lt;=AsOfDate,IF($Q144=0,$W144,IF(AND($S144&lt;&gt;"",EDATE($D144,Milestones!$AA$105)&gt;=$S144),$V144,IF(AND($R144&lt;&gt;"",EDATE($D144,Milestones!$AA$105)&gt;=$R144),$U144,$T144)))=Milestones!$AB$105),TEXT(EDATE($D144,Milestones!$AA$105),"dd/mm/yy")&amp;" "&amp;Milestones!$AB$105&amp;" "&amp;Milestones!$AC$105&amp;";  ","")&amp;IF(AND(EDATE($D144,Milestones!$AA$106)&lt;=AsOfDate,IF($Q144=0,$W144,IF(AND($S144&lt;&gt;"",EDATE($D144,Milestones!$AA$106)&gt;=$S144),$V144,IF(AND($R144&lt;&gt;"",EDATE($D144,Milestones!$AA$106)&gt;=$R144),$U144,$T144)))=Milestones!$AB$106),TEXT(EDATE($D144,Milestones!$AA$106),"dd/mm/yy")&amp;" "&amp;Milestones!$AB$106&amp;" "&amp;Milestones!$AC$106&amp;";  ","")&amp;IF(AND(EDATE($D144,Milestones!$AA$107)&lt;=AsOfDate,IF($Q144=0,$W144,IF(AND($S144&lt;&gt;"",EDATE($D144,Milestones!$AA$107)&gt;=$S144),$V144,IF(AND($R144&lt;&gt;"",EDATE($D144,Milestones!$AA$107)&gt;=$R144),$U144,$T144)))=Milestones!$AB$107),TEXT(EDATE($D144,Milestones!$AA$107),"dd/mm/yy")&amp;" "&amp;Milestones!$AB$107&amp;" "&amp;Milestones!$AC$107&amp;";  ","")&amp;IF(AND(EDATE($D144,Milestones!$AA$108)&lt;=AsOfDate,IF($Q144=0,$W144,IF(AND($S144&lt;&gt;"",EDATE($D144,Milestones!$AA$108)&gt;=$S144),$V144,IF(AND($R144&lt;&gt;"",EDATE($D144,Milestones!$AA$108)&gt;=$R144),$U144,$T144)))=Milestones!$AB$108),TEXT(EDATE($D144,Milestones!$AA$108),"dd/mm/yy")&amp;" "&amp;Milestones!$AB$108&amp;" "&amp;Milestones!$AC$108&amp;";  ","")&amp;IF(AND(EDATE($D144,Milestones!$AA$109)&lt;=AsOfDate,IF($Q144=0,$W144,IF(AND($S144&lt;&gt;"",EDATE($D144,Milestones!$AA$109)&gt;=$S144),$V144,IF(AND($R144&lt;&gt;"",EDATE($D144,Milestones!$AA$109)&gt;=$R144),$U144,$T144)))=Milestones!$AB$109),TEXT(EDATE($D144,Milestones!$AA$109),"dd/mm/yy")&amp;" "&amp;Milestones!$AB$109&amp;" "&amp;Milestones!$AC$109&amp;";  ","")&amp;IF(AND(EDATE($D144,Milestones!$AA$110)&lt;=AsOfDate,IF($Q144=0,$W144,IF(AND($S144&lt;&gt;"",EDATE($D144,Milestones!$AA$110)&gt;=$S144),$V144,IF(AND($R144&lt;&gt;"",EDATE($D144,Milestones!$AA$110)&gt;=$R144),$U144,$T144)))=Milestones!$AB$110),TEXT(EDATE($D144,Milestones!$AA$110),"dd/mm/yy")&amp;" "&amp;Milestones!$AB$110&amp;" "&amp;Milestones!$AC$110&amp;";  ","")&amp;IF(AND(EDATE($D144,Milestones!$AA$111)&lt;=AsOfDate,IF($Q144=0,$W144,IF(AND($S144&lt;&gt;"",EDATE($D144,Milestones!$AA$111)&gt;=$S144),$V144,IF(AND($R144&lt;&gt;"",EDATE($D144,Milestones!$AA$111)&gt;=$R144),$U144,$T144)))=Milestones!$AB$111),TEXT(EDATE($D144,Milestones!$AA$111),"dd/mm/yy")&amp;" "&amp;Milestones!$AB$111&amp;" "&amp;Milestones!$AC$111&amp;";  ","")&amp;IF(AND(EDATE($D144,Milestones!$AA$112)&lt;=AsOfDate,IF($Q144=0,$W144,IF(AND($S144&lt;&gt;"",EDATE($D144,Milestones!$AA$112)&gt;=$S144),$V144,IF(AND($R144&lt;&gt;"",EDATE($D144,Milestones!$AA$112)&gt;=$R144),$U144,$T144)))=Milestones!$AB$112),TEXT(EDATE($D144,Milestones!$AA$112),"dd/mm/yy")&amp;" "&amp;Milestones!$AB$112&amp;" "&amp;Milestones!$AC$112&amp;";  ","")&amp;IF(AND(EDATE($D144,Milestones!$AA$113)&lt;=AsOfDate,IF($Q144=0,$W144,IF(AND($S144&lt;&gt;"",EDATE($D144,Milestones!$AA$113)&gt;=$S144),$V144,IF(AND($R144&lt;&gt;"",EDATE($D144,Milestones!$AA$113)&gt;=$R144),$U144,$T144)))=Milestones!$AB$113),TEXT(EDATE($D144,Milestones!$AA$113),"dd/mm/yy")&amp;" "&amp;Milestones!$AB$113&amp;" "&amp;Milestones!$AC$113&amp;";  ","")&amp;IF(AND(EDATE($D144,Milestones!$AA$114)&lt;=AsOfDate,IF($Q144=0,$W144,IF(AND($S144&lt;&gt;"",EDATE($D144,Milestones!$AA$114)&gt;=$S144),$V144,IF(AND($R144&lt;&gt;"",EDATE($D144,Milestones!$AA$114)&gt;=$R144),$U144,$T144)))=Milestones!$AB$114),TEXT(EDATE($D144,Milestones!$AA$114),"dd/mm/yy")&amp;" "&amp;Milestones!$AB$114&amp;" "&amp;Milestones!$AC$114&amp;";  ","")&amp;IF(AND(EDATE($D144,Milestones!$AA$115)&lt;=AsOfDate,IF($Q144=0,$W144,IF(AND($S144&lt;&gt;"",EDATE($D144,Milestones!$AA$115)&gt;=$S144),$V144,IF(AND($R144&lt;&gt;"",EDATE($D144,Milestones!$AA$115)&gt;=$R144),$U144,$T144)))=Milestones!$AB$115),TEXT(EDATE($D144,Milestones!$AA$115),"dd/mm/yy")&amp;" "&amp;Milestones!$AB$115&amp;" "&amp;Milestones!$AC$115&amp;";  ","")&amp;IF(AND(EDATE($D144,Milestones!$AA$116)&lt;=AsOfDate,IF($Q144=0,$W144,IF(AND($S144&lt;&gt;"",EDATE($D144,Milestones!$AA$116)&gt;=$S144),$V144,IF(AND($R144&lt;&gt;"",EDATE($D144,Milestones!$AA$116)&gt;=$R144),$U144,$T144)))=Milestones!$AB$116),TEXT(EDATE($D144,Milestones!$AA$116),"dd/mm/yy")&amp;" "&amp;Milestones!$AB$116&amp;" "&amp;Milestones!$AC$116&amp;";  ","")&amp;IF(AND(EDATE($D144,Milestones!$AA$117)&lt;=AsOfDate,IF($Q144=0,$W144,IF(AND($S144&lt;&gt;"",EDATE($D144,Milestones!$AA$117)&gt;=$S144),$V144,IF(AND($R144&lt;&gt;"",EDATE($D144,Milestones!$AA$117)&gt;=$R144),$U144,$T144)))=Milestones!$AB$117),TEXT(EDATE($D144,Milestones!$AA$117),"dd/mm/yy")&amp;" "&amp;Milestones!$AB$117&amp;" "&amp;Milestones!$AC$117&amp;";  ","")&amp;IF(AND(EDATE($D144,Milestones!$AA$118)&lt;=AsOfDate,IF($Q144=0,$W144,IF(AND($S144&lt;&gt;"",EDATE($D144,Milestones!$AA$118)&gt;=$S144),$V144,IF(AND($R144&lt;&gt;"",EDATE($D144,Milestones!$AA$118)&gt;=$R144),$U144,$T144)))=Milestones!$AB$118),TEXT(EDATE($D144,Milestones!$AA$118),"dd/mm/yy")&amp;" "&amp;Milestones!$AB$118&amp;" "&amp;Milestones!$AC$118&amp;";  ","")&amp;IF(AND(EDATE($D144,Milestones!$AA$119)&lt;=AsOfDate,IF($Q144=0,$W144,IF(AND($S144&lt;&gt;"",EDATE($D144,Milestones!$AA$119)&gt;=$S144),$V144,IF(AND($R144&lt;&gt;"",EDATE($D144,Milestones!$AA$119)&gt;=$R144),$U144,$T144)))=Milestones!$AB$119),TEXT(EDATE($D144,Milestones!$AA$119),"dd/mm/yy")&amp;" "&amp;Milestones!$AB$119&amp;" "&amp;Milestones!$AC$119&amp;";  ",""))</f>
        <v/>
      </c>
      <c r="M144" s="0" t="str">
        <f aca="false">IF(OR($A144="",$D144=""),"",IF(AND(EDATE($D144,Milestones!$AA$120)&lt;=AsOfDate,IF($Q144=0,$W144,IF(AND($S144&lt;&gt;"",EDATE($D144,Milestones!$AA$120)&gt;=$S144),$V144,IF(AND($R144&lt;&gt;"",EDATE($D144,Milestones!$AA$120)&gt;=$R144),$U144,$T144)))=Milestones!$AB$120),TEXT(EDATE($D144,Milestones!$AA$120),"dd/mm/yy")&amp;" "&amp;Milestones!$AB$120&amp;" "&amp;Milestones!$AC$120&amp;";  ","")&amp;IF(AND(EDATE($D144,Milestones!$AA$121)&lt;=AsOfDate,IF($Q144=0,$W144,IF(AND($S144&lt;&gt;"",EDATE($D144,Milestones!$AA$121)&gt;=$S144),$V144,IF(AND($R144&lt;&gt;"",EDATE($D144,Milestones!$AA$121)&gt;=$R144),$U144,$T144)))=Milestones!$AB$121),TEXT(EDATE($D144,Milestones!$AA$121),"dd/mm/yy")&amp;" "&amp;Milestones!$AB$121&amp;" "&amp;Milestones!$AC$121&amp;";  ","")&amp;IF(AND(EDATE($D144,Milestones!$AA$122)&lt;=AsOfDate,IF($Q144=0,$W144,IF(AND($S144&lt;&gt;"",EDATE($D144,Milestones!$AA$122)&gt;=$S144),$V144,IF(AND($R144&lt;&gt;"",EDATE($D144,Milestones!$AA$122)&gt;=$R144),$U144,$T144)))=Milestones!$AB$122),TEXT(EDATE($D144,Milestones!$AA$122),"dd/mm/yy")&amp;" "&amp;Milestones!$AB$122&amp;" "&amp;Milestones!$AC$122&amp;";  ","")&amp;IF(AND(EDATE($D144,Milestones!$AA$123)&lt;=AsOfDate,IF($Q144=0,$W144,IF(AND($S144&lt;&gt;"",EDATE($D144,Milestones!$AA$123)&gt;=$S144),$V144,IF(AND($R144&lt;&gt;"",EDATE($D144,Milestones!$AA$123)&gt;=$R144),$U144,$T144)))=Milestones!$AB$123),TEXT(EDATE($D144,Milestones!$AA$123),"dd/mm/yy")&amp;" "&amp;Milestones!$AB$123&amp;" "&amp;Milestones!$AC$123&amp;";  ","")&amp;IF(AND(EDATE($D144,Milestones!$AA$124)&lt;=AsOfDate,IF($Q144=0,$W144,IF(AND($S144&lt;&gt;"",EDATE($D144,Milestones!$AA$124)&gt;=$S144),$V144,IF(AND($R144&lt;&gt;"",EDATE($D144,Milestones!$AA$124)&gt;=$R144),$U144,$T144)))=Milestones!$AB$124),TEXT(EDATE($D144,Milestones!$AA$124),"dd/mm/yy")&amp;" "&amp;Milestones!$AB$124&amp;" "&amp;Milestones!$AC$124&amp;";  ","")&amp;IF(AND(EDATE($D144,Milestones!$AA$125)&lt;=AsOfDate,IF($Q144=0,$W144,IF(AND($S144&lt;&gt;"",EDATE($D144,Milestones!$AA$125)&gt;=$S144),$V144,IF(AND($R144&lt;&gt;"",EDATE($D144,Milestones!$AA$125)&gt;=$R144),$U144,$T144)))=Milestones!$AB$125),TEXT(EDATE($D144,Milestones!$AA$125),"dd/mm/yy")&amp;" "&amp;Milestones!$AB$125&amp;" "&amp;Milestones!$AC$125&amp;";  ","")&amp;IF(AND(EDATE($D144,Milestones!$AA$126)&lt;=AsOfDate,IF($Q144=0,$W144,IF(AND($S144&lt;&gt;"",EDATE($D144,Milestones!$AA$126)&gt;=$S144),$V144,IF(AND($R144&lt;&gt;"",EDATE($D144,Milestones!$AA$126)&gt;=$R144),$U144,$T144)))=Milestones!$AB$126),TEXT(EDATE($D144,Milestones!$AA$126),"dd/mm/yy")&amp;" "&amp;Milestones!$AB$126&amp;" "&amp;Milestones!$AC$126&amp;";  ","")&amp;IF(AND(EDATE($D144,Milestones!$AA$127)&lt;=AsOfDate,IF($Q144=0,$W144,IF(AND($S144&lt;&gt;"",EDATE($D144,Milestones!$AA$127)&gt;=$S144),$V144,IF(AND($R144&lt;&gt;"",EDATE($D144,Milestones!$AA$127)&gt;=$R144),$U144,$T144)))=Milestones!$AB$127),TEXT(EDATE($D144,Milestones!$AA$127),"dd/mm/yy")&amp;" "&amp;Milestones!$AB$127&amp;" "&amp;Milestones!$AC$127&amp;";  ","")&amp;IF(AND(EDATE($D144,Milestones!$AA$128)&lt;=AsOfDate,IF($Q144=0,$W144,IF(AND($S144&lt;&gt;"",EDATE($D144,Milestones!$AA$128)&gt;=$S144),$V144,IF(AND($R144&lt;&gt;"",EDATE($D144,Milestones!$AA$128)&gt;=$R144),$U144,$T144)))=Milestones!$AB$128),TEXT(EDATE($D144,Milestones!$AA$128),"dd/mm/yy")&amp;" "&amp;Milestones!$AB$128&amp;" "&amp;Milestones!$AC$128&amp;";  ","")&amp;IF(AND(EDATE($D144,Milestones!$AA$129)&lt;=AsOfDate,IF($Q144=0,$W144,IF(AND($S144&lt;&gt;"",EDATE($D144,Milestones!$AA$129)&gt;=$S144),$V144,IF(AND($R144&lt;&gt;"",EDATE($D144,Milestones!$AA$129)&gt;=$R144),$U144,$T144)))=Milestones!$AB$129),TEXT(EDATE($D144,Milestones!$AA$129),"dd/mm/yy")&amp;" "&amp;Milestones!$AB$129&amp;" "&amp;Milestones!$AC$129&amp;";  ","")&amp;IF(AND(EDATE($D144,Milestones!$AA$130)&lt;=AsOfDate,IF($Q144=0,$W144,IF(AND($S144&lt;&gt;"",EDATE($D144,Milestones!$AA$130)&gt;=$S144),$V144,IF(AND($R144&lt;&gt;"",EDATE($D144,Milestones!$AA$130)&gt;=$R144),$U144,$T144)))=Milestones!$AB$130),TEXT(EDATE($D144,Milestones!$AA$130),"dd/mm/yy")&amp;" "&amp;Milestones!$AB$130&amp;" "&amp;Milestones!$AC$130&amp;";  ","")&amp;IF(AND(EDATE($D144,Milestones!$AA$131)&lt;=AsOfDate,IF($Q144=0,$W144,IF(AND($S144&lt;&gt;"",EDATE($D144,Milestones!$AA$131)&gt;=$S144),$V144,IF(AND($R144&lt;&gt;"",EDATE($D144,Milestones!$AA$131)&gt;=$R144),$U144,$T144)))=Milestones!$AB$131),TEXT(EDATE($D144,Milestones!$AA$131),"dd/mm/yy")&amp;" "&amp;Milestones!$AB$131&amp;" "&amp;Milestones!$AC$131&amp;";  ","")&amp;IF(AND(EDATE($D144,Milestones!$AA$132)&lt;=AsOfDate,IF($Q144=0,$W144,IF(AND($S144&lt;&gt;"",EDATE($D144,Milestones!$AA$132)&gt;=$S144),$V144,IF(AND($R144&lt;&gt;"",EDATE($D144,Milestones!$AA$132)&gt;=$R144),$U144,$T144)))=Milestones!$AB$132),TEXT(EDATE($D144,Milestones!$AA$132),"dd/mm/yy")&amp;" "&amp;Milestones!$AB$132&amp;" "&amp;Milestones!$AC$132&amp;";  ","")&amp;IF(AND(EDATE($D144,Milestones!$AA$133)&lt;=AsOfDate,IF($Q144=0,$W144,IF(AND($S144&lt;&gt;"",EDATE($D144,Milestones!$AA$133)&gt;=$S144),$V144,IF(AND($R144&lt;&gt;"",EDATE($D144,Milestones!$AA$133)&gt;=$R144),$U144,$T144)))=Milestones!$AB$133),TEXT(EDATE($D144,Milestones!$AA$133),"dd/mm/yy")&amp;" "&amp;Milestones!$AB$133&amp;" "&amp;Milestones!$AC$133&amp;";  ","")&amp;IF(AND(EDATE($D144,Milestones!$AA$134)&lt;=AsOfDate,IF($Q144=0,$W144,IF(AND($S144&lt;&gt;"",EDATE($D144,Milestones!$AA$134)&gt;=$S144),$V144,IF(AND($R144&lt;&gt;"",EDATE($D144,Milestones!$AA$134)&gt;=$R144),$U144,$T144)))=Milestones!$AB$134),TEXT(EDATE($D144,Milestones!$AA$134),"dd/mm/yy")&amp;" "&amp;Milestones!$AB$134&amp;" "&amp;Milestones!$AC$134&amp;";  ","")&amp;IF(AND(EDATE($D144,Milestones!$AA$135)&lt;=AsOfDate,IF($Q144=0,$W144,IF(AND($S144&lt;&gt;"",EDATE($D144,Milestones!$AA$135)&gt;=$S144),$V144,IF(AND($R144&lt;&gt;"",EDATE($D144,Milestones!$AA$135)&gt;=$R144),$U144,$T144)))=Milestones!$AB$135),TEXT(EDATE($D144,Milestones!$AA$135),"dd/mm/yy")&amp;" "&amp;Milestones!$AB$135&amp;" "&amp;Milestones!$AC$135&amp;";  ","")&amp;IF(AND(EDATE($D144,Milestones!$AA$136)&lt;=AsOfDate,IF($Q144=0,$W144,IF(AND($S144&lt;&gt;"",EDATE($D144,Milestones!$AA$136)&gt;=$S144),$V144,IF(AND($R144&lt;&gt;"",EDATE($D144,Milestones!$AA$136)&gt;=$R144),$U144,$T144)))=Milestones!$AB$136),TEXT(EDATE($D144,Milestones!$AA$136),"dd/mm/yy")&amp;" "&amp;Milestones!$AB$136&amp;" "&amp;Milestones!$AC$136&amp;";  ","")&amp;IF(AND(EDATE($D144,Milestones!$AA$137)&lt;=AsOfDate,IF($Q144=0,$W144,IF(AND($S144&lt;&gt;"",EDATE($D144,Milestones!$AA$137)&gt;=$S144),$V144,IF(AND($R144&lt;&gt;"",EDATE($D144,Milestones!$AA$137)&gt;=$R144),$U144,$T144)))=Milestones!$AB$137),TEXT(EDATE($D144,Milestones!$AA$137),"dd/mm/yy")&amp;" "&amp;Milestones!$AB$137&amp;" "&amp;Milestones!$AC$137&amp;";  ","")&amp;IF(AND(EDATE($D144,Milestones!$AA$138)&lt;=AsOfDate,IF($Q144=0,$W144,IF(AND($S144&lt;&gt;"",EDATE($D144,Milestones!$AA$138)&gt;=$S144),$V144,IF(AND($R144&lt;&gt;"",EDATE($D144,Milestones!$AA$138)&gt;=$R144),$U144,$T144)))=Milestones!$AB$138),TEXT(EDATE($D144,Milestones!$AA$138),"dd/mm/yy")&amp;" "&amp;Milestones!$AB$138&amp;" "&amp;Milestones!$AC$138&amp;";  ","")&amp;IF(AND(EDATE($D144,Milestones!$AA$139)&lt;=AsOfDate,IF($Q144=0,$W144,IF(AND($S144&lt;&gt;"",EDATE($D144,Milestones!$AA$139)&gt;=$S144),$V144,IF(AND($R144&lt;&gt;"",EDATE($D144,Milestones!$AA$139)&gt;=$R144),$U144,$T144)))=Milestones!$AB$139),TEXT(EDATE($D144,Milestones!$AA$139),"dd/mm/yy")&amp;" "&amp;Milestones!$AB$139&amp;" "&amp;Milestones!$AC$139&amp;";  ",""))</f>
        <v/>
      </c>
      <c r="N144" s="0" t="str">
        <f aca="false">IF(OR($A144="",$D144=""),"",IF(AND(EDATE($D144,Milestones!$AA$140)&lt;=AsOfDate,IF($Q144=0,$W144,IF(AND($S144&lt;&gt;"",EDATE($D144,Milestones!$AA$140)&gt;=$S144),$V144,IF(AND($R144&lt;&gt;"",EDATE($D144,Milestones!$AA$140)&gt;=$R144),$U144,$T144)))=Milestones!$AB$140),TEXT(EDATE($D144,Milestones!$AA$140),"dd/mm/yy")&amp;" "&amp;Milestones!$AB$140&amp;" "&amp;Milestones!$AC$140&amp;";  ","")&amp;IF(AND(EDATE($D144,Milestones!$AA$141)&lt;=AsOfDate,IF($Q144=0,$W144,IF(AND($S144&lt;&gt;"",EDATE($D144,Milestones!$AA$141)&gt;=$S144),$V144,IF(AND($R144&lt;&gt;"",EDATE($D144,Milestones!$AA$141)&gt;=$R144),$U144,$T144)))=Milestones!$AB$141),TEXT(EDATE($D144,Milestones!$AA$141),"dd/mm/yy")&amp;" "&amp;Milestones!$AB$141&amp;" "&amp;Milestones!$AC$141&amp;";  ","")&amp;IF(AND(EDATE($D144,Milestones!$AA$142)&lt;=AsOfDate,IF($Q144=0,$W144,IF(AND($S144&lt;&gt;"",EDATE($D144,Milestones!$AA$142)&gt;=$S144),$V144,IF(AND($R144&lt;&gt;"",EDATE($D144,Milestones!$AA$142)&gt;=$R144),$U144,$T144)))=Milestones!$AB$142),TEXT(EDATE($D144,Milestones!$AA$142),"dd/mm/yy")&amp;" "&amp;Milestones!$AB$142&amp;" "&amp;Milestones!$AC$142&amp;";  ","")&amp;IF(AND(EDATE($D144,Milestones!$AA$143)&lt;=AsOfDate,IF($Q144=0,$W144,IF(AND($S144&lt;&gt;"",EDATE($D144,Milestones!$AA$143)&gt;=$S144),$V144,IF(AND($R144&lt;&gt;"",EDATE($D144,Milestones!$AA$143)&gt;=$R144),$U144,$T144)))=Milestones!$AB$143),TEXT(EDATE($D144,Milestones!$AA$143),"dd/mm/yy")&amp;" "&amp;Milestones!$AB$143&amp;" "&amp;Milestones!$AC$143&amp;";  ","")&amp;IF(AND(EDATE($D144,Milestones!$AA$144)&lt;=AsOfDate,IF($Q144=0,$W144,IF(AND($S144&lt;&gt;"",EDATE($D144,Milestones!$AA$144)&gt;=$S144),$V144,IF(AND($R144&lt;&gt;"",EDATE($D144,Milestones!$AA$144)&gt;=$R144),$U144,$T144)))=Milestones!$AB$144),TEXT(EDATE($D144,Milestones!$AA$144),"dd/mm/yy")&amp;" "&amp;Milestones!$AB$144&amp;" "&amp;Milestones!$AC$144&amp;";  ","")&amp;IF(AND(EDATE($D144,Milestones!$AA$145)&lt;=AsOfDate,IF($Q144=0,$W144,IF(AND($S144&lt;&gt;"",EDATE($D144,Milestones!$AA$145)&gt;=$S144),$V144,IF(AND($R144&lt;&gt;"",EDATE($D144,Milestones!$AA$145)&gt;=$R144),$U144,$T144)))=Milestones!$AB$145),TEXT(EDATE($D144,Milestones!$AA$145),"dd/mm/yy")&amp;" "&amp;Milestones!$AB$145&amp;" "&amp;Milestones!$AC$145&amp;";  ","")&amp;IF(AND(EDATE($D144,Milestones!$AA$146)&lt;=AsOfDate,IF($Q144=0,$W144,IF(AND($S144&lt;&gt;"",EDATE($D144,Milestones!$AA$146)&gt;=$S144),$V144,IF(AND($R144&lt;&gt;"",EDATE($D144,Milestones!$AA$146)&gt;=$R144),$U144,$T144)))=Milestones!$AB$146),TEXT(EDATE($D144,Milestones!$AA$146),"dd/mm/yy")&amp;" "&amp;Milestones!$AB$146&amp;" "&amp;Milestones!$AC$146&amp;";  ","")&amp;IF(AND(EDATE($D144,Milestones!$AA$147)&lt;=AsOfDate,IF($Q144=0,$W144,IF(AND($S144&lt;&gt;"",EDATE($D144,Milestones!$AA$147)&gt;=$S144),$V144,IF(AND($R144&lt;&gt;"",EDATE($D144,Milestones!$AA$147)&gt;=$R144),$U144,$T144)))=Milestones!$AB$147),TEXT(EDATE($D144,Milestones!$AA$147),"dd/mm/yy")&amp;" "&amp;Milestones!$AB$147&amp;" "&amp;Milestones!$AC$147&amp;";  ","")&amp;IF(AND(EDATE($D144,Milestones!$AA$148)&lt;=AsOfDate,IF($Q144=0,$W144,IF(AND($S144&lt;&gt;"",EDATE($D144,Milestones!$AA$148)&gt;=$S144),$V144,IF(AND($R144&lt;&gt;"",EDATE($D144,Milestones!$AA$148)&gt;=$R144),$U144,$T144)))=Milestones!$AB$148),TEXT(EDATE($D144,Milestones!$AA$148),"dd/mm/yy")&amp;" "&amp;Milestones!$AB$148&amp;" "&amp;Milestones!$AC$148&amp;";  ","")&amp;IF(AND(EDATE($D144,Milestones!$AA$149)&lt;=AsOfDate,IF($Q144=0,$W144,IF(AND($S144&lt;&gt;"",EDATE($D144,Milestones!$AA$149)&gt;=$S144),$V144,IF(AND($R144&lt;&gt;"",EDATE($D144,Milestones!$AA$149)&gt;=$R144),$U144,$T144)))=Milestones!$AB$149),TEXT(EDATE($D144,Milestones!$AA$149),"dd/mm/yy")&amp;" "&amp;Milestones!$AB$149&amp;" "&amp;Milestones!$AC$149&amp;";  ","")&amp;IF(AND(EDATE($D144,Milestones!$AA$150)&lt;=AsOfDate,IF($Q144=0,$W144,IF(AND($S144&lt;&gt;"",EDATE($D144,Milestones!$AA$150)&gt;=$S144),$V144,IF(AND($R144&lt;&gt;"",EDATE($D144,Milestones!$AA$150)&gt;=$R144),$U144,$T144)))=Milestones!$AB$150),TEXT(EDATE($D144,Milestones!$AA$150),"dd/mm/yy")&amp;" "&amp;Milestones!$AB$150&amp;" "&amp;Milestones!$AC$150&amp;";  ","")&amp;IF(AND(EDATE($D144,Milestones!$AA$151)&lt;=AsOfDate,IF($Q144=0,$W144,IF(AND($S144&lt;&gt;"",EDATE($D144,Milestones!$AA$151)&gt;=$S144),$V144,IF(AND($R144&lt;&gt;"",EDATE($D144,Milestones!$AA$151)&gt;=$R144),$U144,$T144)))=Milestones!$AB$151),TEXT(EDATE($D144,Milestones!$AA$151),"dd/mm/yy")&amp;" "&amp;Milestones!$AB$151&amp;" "&amp;Milestones!$AC$151&amp;";  ","")&amp;IF(AND(EDATE($D144,Milestones!$AA$152)&lt;=AsOfDate,IF($Q144=0,$W144,IF(AND($S144&lt;&gt;"",EDATE($D144,Milestones!$AA$152)&gt;=$S144),$V144,IF(AND($R144&lt;&gt;"",EDATE($D144,Milestones!$AA$152)&gt;=$R144),$U144,$T144)))=Milestones!$AB$152),TEXT(EDATE($D144,Milestones!$AA$152),"dd/mm/yy")&amp;" "&amp;Milestones!$AB$152&amp;" "&amp;Milestones!$AC$152&amp;";  ","")&amp;IF(AND(EDATE($D144,Milestones!$AA$153)&lt;=AsOfDate,IF($Q144=0,$W144,IF(AND($S144&lt;&gt;"",EDATE($D144,Milestones!$AA$153)&gt;=$S144),$V144,IF(AND($R144&lt;&gt;"",EDATE($D144,Milestones!$AA$153)&gt;=$R144),$U144,$T144)))=Milestones!$AB$153),TEXT(EDATE($D144,Milestones!$AA$153),"dd/mm/yy")&amp;" "&amp;Milestones!$AB$153&amp;" "&amp;Milestones!$AC$153&amp;";  ","")&amp;IF(AND(EDATE($D144,Milestones!$AA$154)&lt;=AsOfDate,IF($Q144=0,$W144,IF(AND($S144&lt;&gt;"",EDATE($D144,Milestones!$AA$154)&gt;=$S144),$V144,IF(AND($R144&lt;&gt;"",EDATE($D144,Milestones!$AA$154)&gt;=$R144),$U144,$T144)))=Milestones!$AB$154),TEXT(EDATE($D144,Milestones!$AA$154),"dd/mm/yy")&amp;" "&amp;Milestones!$AB$154&amp;" "&amp;Milestones!$AC$154&amp;";  ","")&amp;IF(AND(EDATE($D144,Milestones!$AA$155)&lt;=AsOfDate,IF($Q144=0,$W144,IF(AND($S144&lt;&gt;"",EDATE($D144,Milestones!$AA$155)&gt;=$S144),$V144,IF(AND($R144&lt;&gt;"",EDATE($D144,Milestones!$AA$155)&gt;=$R144),$U144,$T144)))=Milestones!$AB$155),TEXT(EDATE($D144,Milestones!$AA$155),"dd/mm/yy")&amp;" "&amp;Milestones!$AB$155&amp;" "&amp;Milestones!$AC$155&amp;";  ","")&amp;IF(AND(EDATE($D144,Milestones!$AA$156)&lt;=AsOfDate,IF($Q144=0,$W144,IF(AND($S144&lt;&gt;"",EDATE($D144,Milestones!$AA$156)&gt;=$S144),$V144,IF(AND($R144&lt;&gt;"",EDATE($D144,Milestones!$AA$156)&gt;=$R144),$U144,$T144)))=Milestones!$AB$156),TEXT(EDATE($D144,Milestones!$AA$156),"dd/mm/yy")&amp;" "&amp;Milestones!$AB$156&amp;" "&amp;Milestones!$AC$156&amp;";  ","")&amp;IF(AND(EDATE($D144,Milestones!$AA$157)&lt;=AsOfDate,IF($Q144=0,$W144,IF(AND($S144&lt;&gt;"",EDATE($D144,Milestones!$AA$157)&gt;=$S144),$V144,IF(AND($R144&lt;&gt;"",EDATE($D144,Milestones!$AA$157)&gt;=$R144),$U144,$T144)))=Milestones!$AB$157),TEXT(EDATE($D144,Milestones!$AA$157),"dd/mm/yy")&amp;" "&amp;Milestones!$AB$157&amp;" "&amp;Milestones!$AC$157&amp;";  ","")&amp;IF(AND(EDATE($D144,Milestones!$AA$158)&lt;=AsOfDate,IF($Q144=0,$W144,IF(AND($S144&lt;&gt;"",EDATE($D144,Milestones!$AA$158)&gt;=$S144),$V144,IF(AND($R144&lt;&gt;"",EDATE($D144,Milestones!$AA$158)&gt;=$R144),$U144,$T144)))=Milestones!$AB$158),TEXT(EDATE($D144,Milestones!$AA$158),"dd/mm/yy")&amp;" "&amp;Milestones!$AB$158&amp;" "&amp;Milestones!$AC$158&amp;";  ","")&amp;IF(AND(EDATE($D144,Milestones!$AA$159)&lt;=AsOfDate,IF($Q144=0,$W144,IF(AND($S144&lt;&gt;"",EDATE($D144,Milestones!$AA$159)&gt;=$S144),$V144,IF(AND($R144&lt;&gt;"",EDATE($D144,Milestones!$AA$159)&gt;=$R144),$U144,$T144)))=Milestones!$AB$159),TEXT(EDATE($D144,Milestones!$AA$159),"dd/mm/yy")&amp;" "&amp;Milestones!$AB$159&amp;" "&amp;Milestones!$AC$159&amp;";  ",""))</f>
        <v/>
      </c>
      <c r="O144" s="0" t="str">
        <f aca="false">IF(OR($A144="",$D144=""),"",IF(AND(EDATE($D144,Milestones!$AA$160)&lt;=AsOfDate,IF($Q144=0,$W144,IF(AND($S144&lt;&gt;"",EDATE($D144,Milestones!$AA$160)&gt;=$S144),$V144,IF(AND($R144&lt;&gt;"",EDATE($D144,Milestones!$AA$160)&gt;=$R144),$U144,$T144)))=Milestones!$AB$160),TEXT(EDATE($D144,Milestones!$AA$160),"dd/mm/yy")&amp;" "&amp;Milestones!$AB$160&amp;" "&amp;Milestones!$AC$160&amp;";  ","")&amp;IF(AND(EDATE($D144,Milestones!$AA$161)&lt;=AsOfDate,IF($Q144=0,$W144,IF(AND($S144&lt;&gt;"",EDATE($D144,Milestones!$AA$161)&gt;=$S144),$V144,IF(AND($R144&lt;&gt;"",EDATE($D144,Milestones!$AA$161)&gt;=$R144),$U144,$T144)))=Milestones!$AB$161),TEXT(EDATE($D144,Milestones!$AA$161),"dd/mm/yy")&amp;" "&amp;Milestones!$AB$161&amp;" "&amp;Milestones!$AC$161&amp;";  ","")&amp;IF(AND(EDATE($D144,Milestones!$AA$162)&lt;=AsOfDate,IF($Q144=0,$W144,IF(AND($S144&lt;&gt;"",EDATE($D144,Milestones!$AA$162)&gt;=$S144),$V144,IF(AND($R144&lt;&gt;"",EDATE($D144,Milestones!$AA$162)&gt;=$R144),$U144,$T144)))=Milestones!$AB$162),TEXT(EDATE($D144,Milestones!$AA$162),"dd/mm/yy")&amp;" "&amp;Milestones!$AB$162&amp;" "&amp;Milestones!$AC$162&amp;";  ","")&amp;IF(AND(EDATE($D144,Milestones!$AA$163)&lt;=AsOfDate,IF($Q144=0,$W144,IF(AND($S144&lt;&gt;"",EDATE($D144,Milestones!$AA$163)&gt;=$S144),$V144,IF(AND($R144&lt;&gt;"",EDATE($D144,Milestones!$AA$163)&gt;=$R144),$U144,$T144)))=Milestones!$AB$163),TEXT(EDATE($D144,Milestones!$AA$163),"dd/mm/yy")&amp;" "&amp;Milestones!$AB$163&amp;" "&amp;Milestones!$AC$163&amp;";  ","")&amp;IF(AND(EDATE($D144,Milestones!$AA$164)&lt;=AsOfDate,IF($Q144=0,$W144,IF(AND($S144&lt;&gt;"",EDATE($D144,Milestones!$AA$164)&gt;=$S144),$V144,IF(AND($R144&lt;&gt;"",EDATE($D144,Milestones!$AA$164)&gt;=$R144),$U144,$T144)))=Milestones!$AB$164),TEXT(EDATE($D144,Milestones!$AA$164),"dd/mm/yy")&amp;" "&amp;Milestones!$AB$164&amp;" "&amp;Milestones!$AC$164&amp;";  ","")&amp;IF(AND(EDATE($D144,Milestones!$AA$165)&lt;=AsOfDate,IF($Q144=0,$W144,IF(AND($S144&lt;&gt;"",EDATE($D144,Milestones!$AA$165)&gt;=$S144),$V144,IF(AND($R144&lt;&gt;"",EDATE($D144,Milestones!$AA$165)&gt;=$R144),$U144,$T144)))=Milestones!$AB$165),TEXT(EDATE($D144,Milestones!$AA$165),"dd/mm/yy")&amp;" "&amp;Milestones!$AB$165&amp;" "&amp;Milestones!$AC$165&amp;";  ","")&amp;IF(AND(EDATE($D144,Milestones!$AA$166)&lt;=AsOfDate,IF($Q144=0,$W144,IF(AND($S144&lt;&gt;"",EDATE($D144,Milestones!$AA$166)&gt;=$S144),$V144,IF(AND($R144&lt;&gt;"",EDATE($D144,Milestones!$AA$166)&gt;=$R144),$U144,$T144)))=Milestones!$AB$166),TEXT(EDATE($D144,Milestones!$AA$166),"dd/mm/yy")&amp;" "&amp;Milestones!$AB$166&amp;" "&amp;Milestones!$AC$166&amp;";  ","")&amp;IF(AND(EDATE($D144,Milestones!$AA$167)&lt;=AsOfDate,IF($Q144=0,$W144,IF(AND($S144&lt;&gt;"",EDATE($D144,Milestones!$AA$167)&gt;=$S144),$V144,IF(AND($R144&lt;&gt;"",EDATE($D144,Milestones!$AA$167)&gt;=$R144),$U144,$T144)))=Milestones!$AB$167),TEXT(EDATE($D144,Milestones!$AA$167),"dd/mm/yy")&amp;" "&amp;Milestones!$AB$167&amp;" "&amp;Milestones!$AC$167&amp;";  ","")&amp;IF(AND(EDATE($D144,Milestones!$AA$168)&lt;=AsOfDate,IF($Q144=0,$W144,IF(AND($S144&lt;&gt;"",EDATE($D144,Milestones!$AA$168)&gt;=$S144),$V144,IF(AND($R144&lt;&gt;"",EDATE($D144,Milestones!$AA$168)&gt;=$R144),$U144,$T144)))=Milestones!$AB$168),TEXT(EDATE($D144,Milestones!$AA$168),"dd/mm/yy")&amp;" "&amp;Milestones!$AB$168&amp;" "&amp;Milestones!$AC$168&amp;";  ","")&amp;IF(AND(EDATE($D144,Milestones!$AA$169)&lt;=AsOfDate,IF($Q144=0,$W144,IF(AND($S144&lt;&gt;"",EDATE($D144,Milestones!$AA$169)&gt;=$S144),$V144,IF(AND($R144&lt;&gt;"",EDATE($D144,Milestones!$AA$169)&gt;=$R144),$U144,$T144)))=Milestones!$AB$169),TEXT(EDATE($D144,Milestones!$AA$169),"dd/mm/yy")&amp;" "&amp;Milestones!$AB$169&amp;" "&amp;Milestones!$AC$169&amp;";  ","")&amp;IF(AND(EDATE($D144,Milestones!$AA$170)&lt;=AsOfDate,IF($Q144=0,$W144,IF(AND($S144&lt;&gt;"",EDATE($D144,Milestones!$AA$170)&gt;=$S144),$V144,IF(AND($R144&lt;&gt;"",EDATE($D144,Milestones!$AA$170)&gt;=$R144),$U144,$T144)))=Milestones!$AB$170),TEXT(EDATE($D144,Milestones!$AA$170),"dd/mm/yy")&amp;" "&amp;Milestones!$AB$170&amp;" "&amp;Milestones!$AC$170&amp;";  ","")&amp;IF(AND(EDATE($D144,Milestones!$AA$171)&lt;=AsOfDate,IF($Q144=0,$W144,IF(AND($S144&lt;&gt;"",EDATE($D144,Milestones!$AA$171)&gt;=$S144),$V144,IF(AND($R144&lt;&gt;"",EDATE($D144,Milestones!$AA$171)&gt;=$R144),$U144,$T144)))=Milestones!$AB$171),TEXT(EDATE($D144,Milestones!$AA$171),"dd/mm/yy")&amp;" "&amp;Milestones!$AB$171&amp;" "&amp;Milestones!$AC$171&amp;";  ","")&amp;IF(AND(EDATE($D144,Milestones!$AA$172)&lt;=AsOfDate,IF($Q144=0,$W144,IF(AND($S144&lt;&gt;"",EDATE($D144,Milestones!$AA$172)&gt;=$S144),$V144,IF(AND($R144&lt;&gt;"",EDATE($D144,Milestones!$AA$172)&gt;=$R144),$U144,$T144)))=Milestones!$AB$172),TEXT(EDATE($D144,Milestones!$AA$172),"dd/mm/yy")&amp;" "&amp;Milestones!$AB$172&amp;" "&amp;Milestones!$AC$172&amp;";  ","")&amp;IF(AND(EDATE($D144,Milestones!$AA$173)&lt;=AsOfDate,IF($Q144=0,$W144,IF(AND($S144&lt;&gt;"",EDATE($D144,Milestones!$AA$173)&gt;=$S144),$V144,IF(AND($R144&lt;&gt;"",EDATE($D144,Milestones!$AA$173)&gt;=$R144),$U144,$T144)))=Milestones!$AB$173),TEXT(EDATE($D144,Milestones!$AA$173),"dd/mm/yy")&amp;" "&amp;Milestones!$AB$173&amp;" "&amp;Milestones!$AC$173&amp;";  ","")&amp;IF(AND(EDATE($D144,Milestones!$AA$174)&lt;=AsOfDate,IF($Q144=0,$W144,IF(AND($S144&lt;&gt;"",EDATE($D144,Milestones!$AA$174)&gt;=$S144),$V144,IF(AND($R144&lt;&gt;"",EDATE($D144,Milestones!$AA$174)&gt;=$R144),$U144,$T144)))=Milestones!$AB$174),TEXT(EDATE($D144,Milestones!$AA$174),"dd/mm/yy")&amp;" "&amp;Milestones!$AB$174&amp;" "&amp;Milestones!$AC$174&amp;";  ","")&amp;IF(AND(EDATE($D144,Milestones!$AA$175)&lt;=AsOfDate,IF($Q144=0,$W144,IF(AND($S144&lt;&gt;"",EDATE($D144,Milestones!$AA$175)&gt;=$S144),$V144,IF(AND($R144&lt;&gt;"",EDATE($D144,Milestones!$AA$175)&gt;=$R144),$U144,$T144)))=Milestones!$AB$175),TEXT(EDATE($D144,Milestones!$AA$175),"dd/mm/yy")&amp;" "&amp;Milestones!$AB$175&amp;" "&amp;Milestones!$AC$175&amp;";  ","")&amp;IF(AND(EDATE($D144,Milestones!$AA$176)&lt;=AsOfDate,IF($Q144=0,$W144,IF(AND($S144&lt;&gt;"",EDATE($D144,Milestones!$AA$176)&gt;=$S144),$V144,IF(AND($R144&lt;&gt;"",EDATE($D144,Milestones!$AA$176)&gt;=$R144),$U144,$T144)))=Milestones!$AB$176),TEXT(EDATE($D144,Milestones!$AA$176),"dd/mm/yy")&amp;" "&amp;Milestones!$AB$176&amp;" "&amp;Milestones!$AC$176&amp;";  ","")&amp;IF(AND(EDATE($D144,Milestones!$AA$177)&lt;=AsOfDate,IF($Q144=0,$W144,IF(AND($S144&lt;&gt;"",EDATE($D144,Milestones!$AA$177)&gt;=$S144),$V144,IF(AND($R144&lt;&gt;"",EDATE($D144,Milestones!$AA$177)&gt;=$R144),$U144,$T144)))=Milestones!$AB$177),TEXT(EDATE($D144,Milestones!$AA$177),"dd/mm/yy")&amp;" "&amp;Milestones!$AB$177&amp;" "&amp;Milestones!$AC$177&amp;";  ","")&amp;IF(AND(EDATE($D144,Milestones!$AA$178)&lt;=AsOfDate,IF($Q144=0,$W144,IF(AND($S144&lt;&gt;"",EDATE($D144,Milestones!$AA$178)&gt;=$S144),$V144,IF(AND($R144&lt;&gt;"",EDATE($D144,Milestones!$AA$178)&gt;=$R144),$U144,$T144)))=Milestones!$AB$178),TEXT(EDATE($D144,Milestones!$AA$178),"dd/mm/yy")&amp;" "&amp;Milestones!$AB$178&amp;" "&amp;Milestones!$AC$178&amp;";  ","")&amp;IF(AND(EDATE($D144,Milestones!$AA$179)&lt;=AsOfDate,IF($Q144=0,$W144,IF(AND($S144&lt;&gt;"",EDATE($D144,Milestones!$AA$179)&gt;=$S144),$V144,IF(AND($R144&lt;&gt;"",EDATE($D144,Milestones!$AA$179)&gt;=$R144),$U144,$T144)))=Milestones!$AB$179),TEXT(EDATE($D144,Milestones!$AA$179),"dd/mm/yy")&amp;" "&amp;Milestones!$AB$179&amp;" "&amp;Milestones!$AC$179&amp;";  ",""))</f>
        <v/>
      </c>
      <c r="P144" s="0" t="str">
        <f aca="false">IF(OR($A144="",$D144=""),"",IF(AND(EDATE($D144,Milestones!$AA$180)&lt;=AsOfDate,IF($Q144=0,$W144,IF(AND($S144&lt;&gt;"",EDATE($D144,Milestones!$AA$180)&gt;=$S144),$V144,IF(AND($R144&lt;&gt;"",EDATE($D144,Milestones!$AA$180)&gt;=$R144),$U144,$T144)))=Milestones!$AB$180),TEXT(EDATE($D144,Milestones!$AA$180),"dd/mm/yy")&amp;" "&amp;Milestones!$AB$180&amp;" "&amp;Milestones!$AC$180&amp;";  ","")&amp;IF(AND(EDATE($D144,Milestones!$AA$181)&lt;=AsOfDate,IF($Q144=0,$W144,IF(AND($S144&lt;&gt;"",EDATE($D144,Milestones!$AA$181)&gt;=$S144),$V144,IF(AND($R144&lt;&gt;"",EDATE($D144,Milestones!$AA$181)&gt;=$R144),$U144,$T144)))=Milestones!$AB$181),TEXT(EDATE($D144,Milestones!$AA$181),"dd/mm/yy")&amp;" "&amp;Milestones!$AB$181&amp;" "&amp;Milestones!$AC$181&amp;";  ","")&amp;IF(AND(EDATE($D144,Milestones!$AA$182)&lt;=AsOfDate,IF($Q144=0,$W144,IF(AND($S144&lt;&gt;"",EDATE($D144,Milestones!$AA$182)&gt;=$S144),$V144,IF(AND($R144&lt;&gt;"",EDATE($D144,Milestones!$AA$182)&gt;=$R144),$U144,$T144)))=Milestones!$AB$182),TEXT(EDATE($D144,Milestones!$AA$182),"dd/mm/yy")&amp;" "&amp;Milestones!$AB$182&amp;" "&amp;Milestones!$AC$182&amp;";  ","")&amp;IF(AND(EDATE($D144,Milestones!$AA$183)&lt;=AsOfDate,IF($Q144=0,$W144,IF(AND($S144&lt;&gt;"",EDATE($D144,Milestones!$AA$183)&gt;=$S144),$V144,IF(AND($R144&lt;&gt;"",EDATE($D144,Milestones!$AA$183)&gt;=$R144),$U144,$T144)))=Milestones!$AB$183),TEXT(EDATE($D144,Milestones!$AA$183),"dd/mm/yy")&amp;" "&amp;Milestones!$AB$183&amp;" "&amp;Milestones!$AC$183&amp;";  ","")&amp;IF(AND(EDATE($D144,Milestones!$AA$184)&lt;=AsOfDate,IF($Q144=0,$W144,IF(AND($S144&lt;&gt;"",EDATE($D144,Milestones!$AA$184)&gt;=$S144),$V144,IF(AND($R144&lt;&gt;"",EDATE($D144,Milestones!$AA$184)&gt;=$R144),$U144,$T144)))=Milestones!$AB$184),TEXT(EDATE($D144,Milestones!$AA$184),"dd/mm/yy")&amp;" "&amp;Milestones!$AB$184&amp;" "&amp;Milestones!$AC$184&amp;";  ","")&amp;IF(AND(EDATE($D144,Milestones!$AA$185)&lt;=AsOfDate,IF($Q144=0,$W144,IF(AND($S144&lt;&gt;"",EDATE($D144,Milestones!$AA$185)&gt;=$S144),$V144,IF(AND($R144&lt;&gt;"",EDATE($D144,Milestones!$AA$185)&gt;=$R144),$U144,$T144)))=Milestones!$AB$185),TEXT(EDATE($D144,Milestones!$AA$185),"dd/mm/yy")&amp;" "&amp;Milestones!$AB$185&amp;" "&amp;Milestones!$AC$185&amp;";  ","")&amp;IF(AND(EDATE($D144,Milestones!$AA$186)&lt;=AsOfDate,IF($Q144=0,$W144,IF(AND($S144&lt;&gt;"",EDATE($D144,Milestones!$AA$186)&gt;=$S144),$V144,IF(AND($R144&lt;&gt;"",EDATE($D144,Milestones!$AA$186)&gt;=$R144),$U144,$T144)))=Milestones!$AB$186),TEXT(EDATE($D144,Milestones!$AA$186),"dd/mm/yy")&amp;" "&amp;Milestones!$AB$186&amp;" "&amp;Milestones!$AC$186&amp;";  ","")&amp;IF(AND(EDATE($D144,Milestones!$AA$187)&lt;=AsOfDate,IF($Q144=0,$W144,IF(AND($S144&lt;&gt;"",EDATE($D144,Milestones!$AA$187)&gt;=$S144),$V144,IF(AND($R144&lt;&gt;"",EDATE($D144,Milestones!$AA$187)&gt;=$R144),$U144,$T144)))=Milestones!$AB$187),TEXT(EDATE($D144,Milestones!$AA$187),"dd/mm/yy")&amp;" "&amp;Milestones!$AB$187&amp;" "&amp;Milestones!$AC$187&amp;";  ","")&amp;IF(AND(EDATE($D144,Milestones!$AA$188)&lt;=AsOfDate,IF($Q144=0,$W144,IF(AND($S144&lt;&gt;"",EDATE($D144,Milestones!$AA$188)&gt;=$S144),$V144,IF(AND($R144&lt;&gt;"",EDATE($D144,Milestones!$AA$188)&gt;=$R144),$U144,$T144)))=Milestones!$AB$188),TEXT(EDATE($D144,Milestones!$AA$188),"dd/mm/yy")&amp;" "&amp;Milestones!$AB$188&amp;" "&amp;Milestones!$AC$188&amp;";  ","")&amp;IF(AND(EDATE($D144,Milestones!$AA$189)&lt;=AsOfDate,IF($Q144=0,$W144,IF(AND($S144&lt;&gt;"",EDATE($D144,Milestones!$AA$189)&gt;=$S144),$V144,IF(AND($R144&lt;&gt;"",EDATE($D144,Milestones!$AA$189)&gt;=$R144),$U144,$T144)))=Milestones!$AB$189),TEXT(EDATE($D144,Milestones!$AA$189),"dd/mm/yy")&amp;" "&amp;Milestones!$AB$189&amp;" "&amp;Milestones!$AC$189&amp;";  ","")&amp;IF(AND(EDATE($D144,Milestones!$AA$190)&lt;=AsOfDate,IF($Q144=0,$W144,IF(AND($S144&lt;&gt;"",EDATE($D144,Milestones!$AA$190)&gt;=$S144),$V144,IF(AND($R144&lt;&gt;"",EDATE($D144,Milestones!$AA$190)&gt;=$R144),$U144,$T144)))=Milestones!$AB$190),TEXT(EDATE($D144,Milestones!$AA$190),"dd/mm/yy")&amp;" "&amp;Milestones!$AB$190&amp;" "&amp;Milestones!$AC$190&amp;";  ","")&amp;IF(AND(EDATE($D144,Milestones!$AA$191)&lt;=AsOfDate,IF($Q144=0,$W144,IF(AND($S144&lt;&gt;"",EDATE($D144,Milestones!$AA$191)&gt;=$S144),$V144,IF(AND($R144&lt;&gt;"",EDATE($D144,Milestones!$AA$191)&gt;=$R144),$U144,$T144)))=Milestones!$AB$191),TEXT(EDATE($D144,Milestones!$AA$191),"dd/mm/yy")&amp;" "&amp;Milestones!$AB$191&amp;" "&amp;Milestones!$AC$191&amp;";  ","")&amp;IF(AND(EDATE($D144,Milestones!$AA$192)&lt;=AsOfDate,IF($Q144=0,$W144,IF(AND($S144&lt;&gt;"",EDATE($D144,Milestones!$AA$192)&gt;=$S144),$V144,IF(AND($R144&lt;&gt;"",EDATE($D144,Milestones!$AA$192)&gt;=$R144),$U144,$T144)))=Milestones!$AB$192),TEXT(EDATE($D144,Milestones!$AA$192),"dd/mm/yy")&amp;" "&amp;Milestones!$AB$192&amp;" "&amp;Milestones!$AC$192&amp;";  ","")&amp;IF(AND(EDATE($D144,Milestones!$AA$193)&lt;=AsOfDate,IF($Q144=0,$W144,IF(AND($S144&lt;&gt;"",EDATE($D144,Milestones!$AA$193)&gt;=$S144),$V144,IF(AND($R144&lt;&gt;"",EDATE($D144,Milestones!$AA$193)&gt;=$R144),$U144,$T144)))=Milestones!$AB$193),TEXT(EDATE($D144,Milestones!$AA$193),"dd/mm/yy")&amp;" "&amp;Milestones!$AB$193&amp;" "&amp;Milestones!$AC$193&amp;";  ","")&amp;IF(AND(EDATE($D144,Milestones!$AA$194)&lt;=AsOfDate,IF($Q144=0,$W144,IF(AND($S144&lt;&gt;"",EDATE($D144,Milestones!$AA$194)&gt;=$S144),$V144,IF(AND($R144&lt;&gt;"",EDATE($D144,Milestones!$AA$194)&gt;=$R144),$U144,$T144)))=Milestones!$AB$194),TEXT(EDATE($D144,Milestones!$AA$194),"dd/mm/yy")&amp;" "&amp;Milestones!$AB$194&amp;" "&amp;Milestones!$AC$194&amp;";  ","")&amp;IF(AND(EDATE($D144,Milestones!$AA$195)&lt;=AsOfDate,IF($Q144=0,$W144,IF(AND($S144&lt;&gt;"",EDATE($D144,Milestones!$AA$195)&gt;=$S144),$V144,IF(AND($R144&lt;&gt;"",EDATE($D144,Milestones!$AA$195)&gt;=$R144),$U144,$T144)))=Milestones!$AB$195),TEXT(EDATE($D144,Milestones!$AA$195),"dd/mm/yy")&amp;" "&amp;Milestones!$AB$195&amp;" "&amp;Milestones!$AC$195&amp;";  ","")&amp;IF(AND(EDATE($D144,Milestones!$AA$196)&lt;=AsOfDate,IF($Q144=0,$W144,IF(AND($S144&lt;&gt;"",EDATE($D144,Milestones!$AA$196)&gt;=$S144),$V144,IF(AND($R144&lt;&gt;"",EDATE($D144,Milestones!$AA$196)&gt;=$R144),$U144,$T144)))=Milestones!$AB$196),TEXT(EDATE($D144,Milestones!$AA$196),"dd/mm/yy")&amp;" "&amp;Milestones!$AB$196&amp;" "&amp;Milestones!$AC$196&amp;";  ","")&amp;IF(AND(EDATE($D144,Milestones!$AA$197)&lt;=AsOfDate,IF($Q144=0,$W144,IF(AND($S144&lt;&gt;"",EDATE($D144,Milestones!$AA$197)&gt;=$S144),$V144,IF(AND($R144&lt;&gt;"",EDATE($D144,Milestones!$AA$197)&gt;=$R144),$U144,$T144)))=Milestones!$AB$197),TEXT(EDATE($D144,Milestones!$AA$197),"dd/mm/yy")&amp;" "&amp;Milestones!$AB$197&amp;" "&amp;Milestones!$AC$197&amp;";  ","")&amp;IF(AND(EDATE($D144,Milestones!$AA$198)&lt;=AsOfDate,IF($Q144=0,$W144,IF(AND($S144&lt;&gt;"",EDATE($D144,Milestones!$AA$198)&gt;=$S144),$V144,IF(AND($R144&lt;&gt;"",EDATE($D144,Milestones!$AA$198)&gt;=$R144),$U144,$T144)))=Milestones!$AB$198),TEXT(EDATE($D144,Milestones!$AA$198),"dd/mm/yy")&amp;" "&amp;Milestones!$AB$198&amp;" "&amp;Milestones!$AC$198&amp;";  ","")&amp;IF(AND(EDATE($D144,Milestones!$AA$199)&lt;=AsOfDate,IF($Q144=0,$W144,IF(AND($S144&lt;&gt;"",EDATE($D144,Milestones!$AA$199)&gt;=$S144),$V144,IF(AND($R144&lt;&gt;"",EDATE($D144,Milestones!$AA$199)&gt;=$R144),$U144,$T144)))=Milestones!$AB$199),TEXT(EDATE($D144,Milestones!$AA$199),"dd/mm/yy")&amp;" "&amp;Milestones!$AB$199&amp;" "&amp;Milestones!$AC$199&amp;";  ",""))</f>
        <v/>
      </c>
      <c r="Q144" s="0" t="str">
        <f aca="false">IF(Staff!$A144="","",Staff!$AG144)</f>
        <v/>
      </c>
      <c r="R144" s="0" t="str">
        <f aca="false">IF(Staff!$A144="","",Staff!$AI144)</f>
        <v/>
      </c>
      <c r="S144" s="0" t="str">
        <f aca="false">IF(Staff!$A144="","",Staff!$AJ144)</f>
        <v/>
      </c>
      <c r="T144" s="0" t="str">
        <f aca="false">IF(Staff!$A144="","",Staff!$AN144)</f>
        <v/>
      </c>
      <c r="U144" s="0" t="str">
        <f aca="false">IF(Staff!$A144="","",Staff!$AO144)</f>
        <v/>
      </c>
      <c r="V144" s="0" t="str">
        <f aca="false">IF(Staff!$A144="","",Staff!$AP144)</f>
        <v/>
      </c>
      <c r="W144" s="0" t="str">
        <f aca="false">IF(Staff!$A144="","",Staff!$AQ144)</f>
        <v/>
      </c>
    </row>
    <row r="145" customFormat="false" ht="15" hidden="false" customHeight="false" outlineLevel="0" collapsed="false">
      <c r="A145" s="13" t="str">
        <f aca="false">IF(Staff!$A145="","",Staff!$A145)</f>
        <v/>
      </c>
      <c r="B145" s="13" t="str">
        <f aca="false">IF(Staff!$A145="","",Staff!$B145)</f>
        <v/>
      </c>
      <c r="C145" s="13" t="str">
        <f aca="false">IF(Staff!$A145="","",Staff!$C145)</f>
        <v/>
      </c>
      <c r="D145" s="11" t="str">
        <f aca="false">IF(Staff!$A145="","",Staff!$AF145)</f>
        <v/>
      </c>
      <c r="E145" s="13" t="str">
        <f aca="false">IF(Staff!$A145="","",Staff!$O145)</f>
        <v/>
      </c>
      <c r="F145" s="13" t="str">
        <f aca="false">IF(E145="","",E145*HoursPerDay)</f>
        <v/>
      </c>
      <c r="G145" s="26" t="str">
        <f aca="false">IF($A145="","",H145&amp;I145&amp;J145&amp;K145&amp;L145&amp;M145&amp;N145&amp;O145&amp;P145)</f>
        <v/>
      </c>
      <c r="H145" s="0" t="str">
        <f aca="false">IF(OR($A145="",$D145=""),"",IF(AND(EDATE($D145,Milestones!$AA$20)&lt;=AsOfDate,IF($Q145=0,$W145,IF(AND($S145&lt;&gt;"",EDATE($D145,Milestones!$AA$20)&gt;=$S145),$V145,IF(AND($R145&lt;&gt;"",EDATE($D145,Milestones!$AA$20)&gt;=$R145),$U145,$T145)))=Milestones!$AB$20),TEXT(EDATE($D145,Milestones!$AA$20),"dd/mm/yy")&amp;" "&amp;Milestones!$AB$20&amp;" "&amp;Milestones!$AC$20&amp;";  ","")&amp;IF(AND(EDATE($D145,Milestones!$AA$21)&lt;=AsOfDate,IF($Q145=0,$W145,IF(AND($S145&lt;&gt;"",EDATE($D145,Milestones!$AA$21)&gt;=$S145),$V145,IF(AND($R145&lt;&gt;"",EDATE($D145,Milestones!$AA$21)&gt;=$R145),$U145,$T145)))=Milestones!$AB$21),TEXT(EDATE($D145,Milestones!$AA$21),"dd/mm/yy")&amp;" "&amp;Milestones!$AB$21&amp;" "&amp;Milestones!$AC$21&amp;";  ","")&amp;IF(AND(EDATE($D145,Milestones!$AA$22)&lt;=AsOfDate,IF($Q145=0,$W145,IF(AND($S145&lt;&gt;"",EDATE($D145,Milestones!$AA$22)&gt;=$S145),$V145,IF(AND($R145&lt;&gt;"",EDATE($D145,Milestones!$AA$22)&gt;=$R145),$U145,$T145)))=Milestones!$AB$22),TEXT(EDATE($D145,Milestones!$AA$22),"dd/mm/yy")&amp;" "&amp;Milestones!$AB$22&amp;" "&amp;Milestones!$AC$22&amp;";  ","")&amp;IF(AND(EDATE($D145,Milestones!$AA$23)&lt;=AsOfDate,IF($Q145=0,$W145,IF(AND($S145&lt;&gt;"",EDATE($D145,Milestones!$AA$23)&gt;=$S145),$V145,IF(AND($R145&lt;&gt;"",EDATE($D145,Milestones!$AA$23)&gt;=$R145),$U145,$T145)))=Milestones!$AB$23),TEXT(EDATE($D145,Milestones!$AA$23),"dd/mm/yy")&amp;" "&amp;Milestones!$AB$23&amp;" "&amp;Milestones!$AC$23&amp;";  ","")&amp;IF(AND(EDATE($D145,Milestones!$AA$24)&lt;=AsOfDate,IF($Q145=0,$W145,IF(AND($S145&lt;&gt;"",EDATE($D145,Milestones!$AA$24)&gt;=$S145),$V145,IF(AND($R145&lt;&gt;"",EDATE($D145,Milestones!$AA$24)&gt;=$R145),$U145,$T145)))=Milestones!$AB$24),TEXT(EDATE($D145,Milestones!$AA$24),"dd/mm/yy")&amp;" "&amp;Milestones!$AB$24&amp;" "&amp;Milestones!$AC$24&amp;";  ","")&amp;IF(AND(EDATE($D145,Milestones!$AA$25)&lt;=AsOfDate,IF($Q145=0,$W145,IF(AND($S145&lt;&gt;"",EDATE($D145,Milestones!$AA$25)&gt;=$S145),$V145,IF(AND($R145&lt;&gt;"",EDATE($D145,Milestones!$AA$25)&gt;=$R145),$U145,$T145)))=Milestones!$AB$25),TEXT(EDATE($D145,Milestones!$AA$25),"dd/mm/yy")&amp;" "&amp;Milestones!$AB$25&amp;" "&amp;Milestones!$AC$25&amp;";  ","")&amp;IF(AND(EDATE($D145,Milestones!$AA$26)&lt;=AsOfDate,IF($Q145=0,$W145,IF(AND($S145&lt;&gt;"",EDATE($D145,Milestones!$AA$26)&gt;=$S145),$V145,IF(AND($R145&lt;&gt;"",EDATE($D145,Milestones!$AA$26)&gt;=$R145),$U145,$T145)))=Milestones!$AB$26),TEXT(EDATE($D145,Milestones!$AA$26),"dd/mm/yy")&amp;" "&amp;Milestones!$AB$26&amp;" "&amp;Milestones!$AC$26&amp;";  ","")&amp;IF(AND(EDATE($D145,Milestones!$AA$27)&lt;=AsOfDate,IF($Q145=0,$W145,IF(AND($S145&lt;&gt;"",EDATE($D145,Milestones!$AA$27)&gt;=$S145),$V145,IF(AND($R145&lt;&gt;"",EDATE($D145,Milestones!$AA$27)&gt;=$R145),$U145,$T145)))=Milestones!$AB$27),TEXT(EDATE($D145,Milestones!$AA$27),"dd/mm/yy")&amp;" "&amp;Milestones!$AB$27&amp;" "&amp;Milestones!$AC$27&amp;";  ","")&amp;IF(AND(EDATE($D145,Milestones!$AA$28)&lt;=AsOfDate,IF($Q145=0,$W145,IF(AND($S145&lt;&gt;"",EDATE($D145,Milestones!$AA$28)&gt;=$S145),$V145,IF(AND($R145&lt;&gt;"",EDATE($D145,Milestones!$AA$28)&gt;=$R145),$U145,$T145)))=Milestones!$AB$28),TEXT(EDATE($D145,Milestones!$AA$28),"dd/mm/yy")&amp;" "&amp;Milestones!$AB$28&amp;" "&amp;Milestones!$AC$28&amp;";  ","")&amp;IF(AND(EDATE($D145,Milestones!$AA$29)&lt;=AsOfDate,IF($Q145=0,$W145,IF(AND($S145&lt;&gt;"",EDATE($D145,Milestones!$AA$29)&gt;=$S145),$V145,IF(AND($R145&lt;&gt;"",EDATE($D145,Milestones!$AA$29)&gt;=$R145),$U145,$T145)))=Milestones!$AB$29),TEXT(EDATE($D145,Milestones!$AA$29),"dd/mm/yy")&amp;" "&amp;Milestones!$AB$29&amp;" "&amp;Milestones!$AC$29&amp;";  ","")&amp;IF(AND(EDATE($D145,Milestones!$AA$30)&lt;=AsOfDate,IF($Q145=0,$W145,IF(AND($S145&lt;&gt;"",EDATE($D145,Milestones!$AA$30)&gt;=$S145),$V145,IF(AND($R145&lt;&gt;"",EDATE($D145,Milestones!$AA$30)&gt;=$R145),$U145,$T145)))=Milestones!$AB$30),TEXT(EDATE($D145,Milestones!$AA$30),"dd/mm/yy")&amp;" "&amp;Milestones!$AB$30&amp;" "&amp;Milestones!$AC$30&amp;";  ","")&amp;IF(AND(EDATE($D145,Milestones!$AA$31)&lt;=AsOfDate,IF($Q145=0,$W145,IF(AND($S145&lt;&gt;"",EDATE($D145,Milestones!$AA$31)&gt;=$S145),$V145,IF(AND($R145&lt;&gt;"",EDATE($D145,Milestones!$AA$31)&gt;=$R145),$U145,$T145)))=Milestones!$AB$31),TEXT(EDATE($D145,Milestones!$AA$31),"dd/mm/yy")&amp;" "&amp;Milestones!$AB$31&amp;" "&amp;Milestones!$AC$31&amp;";  ","")&amp;IF(AND(EDATE($D145,Milestones!$AA$32)&lt;=AsOfDate,IF($Q145=0,$W145,IF(AND($S145&lt;&gt;"",EDATE($D145,Milestones!$AA$32)&gt;=$S145),$V145,IF(AND($R145&lt;&gt;"",EDATE($D145,Milestones!$AA$32)&gt;=$R145),$U145,$T145)))=Milestones!$AB$32),TEXT(EDATE($D145,Milestones!$AA$32),"dd/mm/yy")&amp;" "&amp;Milestones!$AB$32&amp;" "&amp;Milestones!$AC$32&amp;";  ","")&amp;IF(AND(EDATE($D145,Milestones!$AA$33)&lt;=AsOfDate,IF($Q145=0,$W145,IF(AND($S145&lt;&gt;"",EDATE($D145,Milestones!$AA$33)&gt;=$S145),$V145,IF(AND($R145&lt;&gt;"",EDATE($D145,Milestones!$AA$33)&gt;=$R145),$U145,$T145)))=Milestones!$AB$33),TEXT(EDATE($D145,Milestones!$AA$33),"dd/mm/yy")&amp;" "&amp;Milestones!$AB$33&amp;" "&amp;Milestones!$AC$33&amp;";  ","")&amp;IF(AND(EDATE($D145,Milestones!$AA$34)&lt;=AsOfDate,IF($Q145=0,$W145,IF(AND($S145&lt;&gt;"",EDATE($D145,Milestones!$AA$34)&gt;=$S145),$V145,IF(AND($R145&lt;&gt;"",EDATE($D145,Milestones!$AA$34)&gt;=$R145),$U145,$T145)))=Milestones!$AB$34),TEXT(EDATE($D145,Milestones!$AA$34),"dd/mm/yy")&amp;" "&amp;Milestones!$AB$34&amp;" "&amp;Milestones!$AC$34&amp;";  ","")&amp;IF(AND(EDATE($D145,Milestones!$AA$35)&lt;=AsOfDate,IF($Q145=0,$W145,IF(AND($S145&lt;&gt;"",EDATE($D145,Milestones!$AA$35)&gt;=$S145),$V145,IF(AND($R145&lt;&gt;"",EDATE($D145,Milestones!$AA$35)&gt;=$R145),$U145,$T145)))=Milestones!$AB$35),TEXT(EDATE($D145,Milestones!$AA$35),"dd/mm/yy")&amp;" "&amp;Milestones!$AB$35&amp;" "&amp;Milestones!$AC$35&amp;";  ","")&amp;IF(AND(EDATE($D145,Milestones!$AA$36)&lt;=AsOfDate,IF($Q145=0,$W145,IF(AND($S145&lt;&gt;"",EDATE($D145,Milestones!$AA$36)&gt;=$S145),$V145,IF(AND($R145&lt;&gt;"",EDATE($D145,Milestones!$AA$36)&gt;=$R145),$U145,$T145)))=Milestones!$AB$36),TEXT(EDATE($D145,Milestones!$AA$36),"dd/mm/yy")&amp;" "&amp;Milestones!$AB$36&amp;" "&amp;Milestones!$AC$36&amp;";  ","")&amp;IF(AND(EDATE($D145,Milestones!$AA$37)&lt;=AsOfDate,IF($Q145=0,$W145,IF(AND($S145&lt;&gt;"",EDATE($D145,Milestones!$AA$37)&gt;=$S145),$V145,IF(AND($R145&lt;&gt;"",EDATE($D145,Milestones!$AA$37)&gt;=$R145),$U145,$T145)))=Milestones!$AB$37),TEXT(EDATE($D145,Milestones!$AA$37),"dd/mm/yy")&amp;" "&amp;Milestones!$AB$37&amp;" "&amp;Milestones!$AC$37&amp;";  ","")&amp;IF(AND(EDATE($D145,Milestones!$AA$38)&lt;=AsOfDate,IF($Q145=0,$W145,IF(AND($S145&lt;&gt;"",EDATE($D145,Milestones!$AA$38)&gt;=$S145),$V145,IF(AND($R145&lt;&gt;"",EDATE($D145,Milestones!$AA$38)&gt;=$R145),$U145,$T145)))=Milestones!$AB$38),TEXT(EDATE($D145,Milestones!$AA$38),"dd/mm/yy")&amp;" "&amp;Milestones!$AB$38&amp;" "&amp;Milestones!$AC$38&amp;";  ","")&amp;IF(AND(EDATE($D145,Milestones!$AA$39)&lt;=AsOfDate,IF($Q145=0,$W145,IF(AND($S145&lt;&gt;"",EDATE($D145,Milestones!$AA$39)&gt;=$S145),$V145,IF(AND($R145&lt;&gt;"",EDATE($D145,Milestones!$AA$39)&gt;=$R145),$U145,$T145)))=Milestones!$AB$39),TEXT(EDATE($D145,Milestones!$AA$39),"dd/mm/yy")&amp;" "&amp;Milestones!$AB$39&amp;" "&amp;Milestones!$AC$39&amp;";  ",""))</f>
        <v/>
      </c>
      <c r="I145" s="0" t="str">
        <f aca="false">IF(OR($A145="",$D145=""),"",IF(AND(EDATE($D145,Milestones!$AA$40)&lt;=AsOfDate,IF($Q145=0,$W145,IF(AND($S145&lt;&gt;"",EDATE($D145,Milestones!$AA$40)&gt;=$S145),$V145,IF(AND($R145&lt;&gt;"",EDATE($D145,Milestones!$AA$40)&gt;=$R145),$U145,$T145)))=Milestones!$AB$40),TEXT(EDATE($D145,Milestones!$AA$40),"dd/mm/yy")&amp;" "&amp;Milestones!$AB$40&amp;" "&amp;Milestones!$AC$40&amp;";  ","")&amp;IF(AND(EDATE($D145,Milestones!$AA$41)&lt;=AsOfDate,IF($Q145=0,$W145,IF(AND($S145&lt;&gt;"",EDATE($D145,Milestones!$AA$41)&gt;=$S145),$V145,IF(AND($R145&lt;&gt;"",EDATE($D145,Milestones!$AA$41)&gt;=$R145),$U145,$T145)))=Milestones!$AB$41),TEXT(EDATE($D145,Milestones!$AA$41),"dd/mm/yy")&amp;" "&amp;Milestones!$AB$41&amp;" "&amp;Milestones!$AC$41&amp;";  ","")&amp;IF(AND(EDATE($D145,Milestones!$AA$42)&lt;=AsOfDate,IF($Q145=0,$W145,IF(AND($S145&lt;&gt;"",EDATE($D145,Milestones!$AA$42)&gt;=$S145),$V145,IF(AND($R145&lt;&gt;"",EDATE($D145,Milestones!$AA$42)&gt;=$R145),$U145,$T145)))=Milestones!$AB$42),TEXT(EDATE($D145,Milestones!$AA$42),"dd/mm/yy")&amp;" "&amp;Milestones!$AB$42&amp;" "&amp;Milestones!$AC$42&amp;";  ","")&amp;IF(AND(EDATE($D145,Milestones!$AA$43)&lt;=AsOfDate,IF($Q145=0,$W145,IF(AND($S145&lt;&gt;"",EDATE($D145,Milestones!$AA$43)&gt;=$S145),$V145,IF(AND($R145&lt;&gt;"",EDATE($D145,Milestones!$AA$43)&gt;=$R145),$U145,$T145)))=Milestones!$AB$43),TEXT(EDATE($D145,Milestones!$AA$43),"dd/mm/yy")&amp;" "&amp;Milestones!$AB$43&amp;" "&amp;Milestones!$AC$43&amp;";  ","")&amp;IF(AND(EDATE($D145,Milestones!$AA$44)&lt;=AsOfDate,IF($Q145=0,$W145,IF(AND($S145&lt;&gt;"",EDATE($D145,Milestones!$AA$44)&gt;=$S145),$V145,IF(AND($R145&lt;&gt;"",EDATE($D145,Milestones!$AA$44)&gt;=$R145),$U145,$T145)))=Milestones!$AB$44),TEXT(EDATE($D145,Milestones!$AA$44),"dd/mm/yy")&amp;" "&amp;Milestones!$AB$44&amp;" "&amp;Milestones!$AC$44&amp;";  ","")&amp;IF(AND(EDATE($D145,Milestones!$AA$45)&lt;=AsOfDate,IF($Q145=0,$W145,IF(AND($S145&lt;&gt;"",EDATE($D145,Milestones!$AA$45)&gt;=$S145),$V145,IF(AND($R145&lt;&gt;"",EDATE($D145,Milestones!$AA$45)&gt;=$R145),$U145,$T145)))=Milestones!$AB$45),TEXT(EDATE($D145,Milestones!$AA$45),"dd/mm/yy")&amp;" "&amp;Milestones!$AB$45&amp;" "&amp;Milestones!$AC$45&amp;";  ","")&amp;IF(AND(EDATE($D145,Milestones!$AA$46)&lt;=AsOfDate,IF($Q145=0,$W145,IF(AND($S145&lt;&gt;"",EDATE($D145,Milestones!$AA$46)&gt;=$S145),$V145,IF(AND($R145&lt;&gt;"",EDATE($D145,Milestones!$AA$46)&gt;=$R145),$U145,$T145)))=Milestones!$AB$46),TEXT(EDATE($D145,Milestones!$AA$46),"dd/mm/yy")&amp;" "&amp;Milestones!$AB$46&amp;" "&amp;Milestones!$AC$46&amp;";  ","")&amp;IF(AND(EDATE($D145,Milestones!$AA$47)&lt;=AsOfDate,IF($Q145=0,$W145,IF(AND($S145&lt;&gt;"",EDATE($D145,Milestones!$AA$47)&gt;=$S145),$V145,IF(AND($R145&lt;&gt;"",EDATE($D145,Milestones!$AA$47)&gt;=$R145),$U145,$T145)))=Milestones!$AB$47),TEXT(EDATE($D145,Milestones!$AA$47),"dd/mm/yy")&amp;" "&amp;Milestones!$AB$47&amp;" "&amp;Milestones!$AC$47&amp;";  ","")&amp;IF(AND(EDATE($D145,Milestones!$AA$48)&lt;=AsOfDate,IF($Q145=0,$W145,IF(AND($S145&lt;&gt;"",EDATE($D145,Milestones!$AA$48)&gt;=$S145),$V145,IF(AND($R145&lt;&gt;"",EDATE($D145,Milestones!$AA$48)&gt;=$R145),$U145,$T145)))=Milestones!$AB$48),TEXT(EDATE($D145,Milestones!$AA$48),"dd/mm/yy")&amp;" "&amp;Milestones!$AB$48&amp;" "&amp;Milestones!$AC$48&amp;";  ","")&amp;IF(AND(EDATE($D145,Milestones!$AA$49)&lt;=AsOfDate,IF($Q145=0,$W145,IF(AND($S145&lt;&gt;"",EDATE($D145,Milestones!$AA$49)&gt;=$S145),$V145,IF(AND($R145&lt;&gt;"",EDATE($D145,Milestones!$AA$49)&gt;=$R145),$U145,$T145)))=Milestones!$AB$49),TEXT(EDATE($D145,Milestones!$AA$49),"dd/mm/yy")&amp;" "&amp;Milestones!$AB$49&amp;" "&amp;Milestones!$AC$49&amp;";  ","")&amp;IF(AND(EDATE($D145,Milestones!$AA$50)&lt;=AsOfDate,IF($Q145=0,$W145,IF(AND($S145&lt;&gt;"",EDATE($D145,Milestones!$AA$50)&gt;=$S145),$V145,IF(AND($R145&lt;&gt;"",EDATE($D145,Milestones!$AA$50)&gt;=$R145),$U145,$T145)))=Milestones!$AB$50),TEXT(EDATE($D145,Milestones!$AA$50),"dd/mm/yy")&amp;" "&amp;Milestones!$AB$50&amp;" "&amp;Milestones!$AC$50&amp;";  ","")&amp;IF(AND(EDATE($D145,Milestones!$AA$51)&lt;=AsOfDate,IF($Q145=0,$W145,IF(AND($S145&lt;&gt;"",EDATE($D145,Milestones!$AA$51)&gt;=$S145),$V145,IF(AND($R145&lt;&gt;"",EDATE($D145,Milestones!$AA$51)&gt;=$R145),$U145,$T145)))=Milestones!$AB$51),TEXT(EDATE($D145,Milestones!$AA$51),"dd/mm/yy")&amp;" "&amp;Milestones!$AB$51&amp;" "&amp;Milestones!$AC$51&amp;";  ","")&amp;IF(AND(EDATE($D145,Milestones!$AA$52)&lt;=AsOfDate,IF($Q145=0,$W145,IF(AND($S145&lt;&gt;"",EDATE($D145,Milestones!$AA$52)&gt;=$S145),$V145,IF(AND($R145&lt;&gt;"",EDATE($D145,Milestones!$AA$52)&gt;=$R145),$U145,$T145)))=Milestones!$AB$52),TEXT(EDATE($D145,Milestones!$AA$52),"dd/mm/yy")&amp;" "&amp;Milestones!$AB$52&amp;" "&amp;Milestones!$AC$52&amp;";  ","")&amp;IF(AND(EDATE($D145,Milestones!$AA$53)&lt;=AsOfDate,IF($Q145=0,$W145,IF(AND($S145&lt;&gt;"",EDATE($D145,Milestones!$AA$53)&gt;=$S145),$V145,IF(AND($R145&lt;&gt;"",EDATE($D145,Milestones!$AA$53)&gt;=$R145),$U145,$T145)))=Milestones!$AB$53),TEXT(EDATE($D145,Milestones!$AA$53),"dd/mm/yy")&amp;" "&amp;Milestones!$AB$53&amp;" "&amp;Milestones!$AC$53&amp;";  ","")&amp;IF(AND(EDATE($D145,Milestones!$AA$54)&lt;=AsOfDate,IF($Q145=0,$W145,IF(AND($S145&lt;&gt;"",EDATE($D145,Milestones!$AA$54)&gt;=$S145),$V145,IF(AND($R145&lt;&gt;"",EDATE($D145,Milestones!$AA$54)&gt;=$R145),$U145,$T145)))=Milestones!$AB$54),TEXT(EDATE($D145,Milestones!$AA$54),"dd/mm/yy")&amp;" "&amp;Milestones!$AB$54&amp;" "&amp;Milestones!$AC$54&amp;";  ","")&amp;IF(AND(EDATE($D145,Milestones!$AA$55)&lt;=AsOfDate,IF($Q145=0,$W145,IF(AND($S145&lt;&gt;"",EDATE($D145,Milestones!$AA$55)&gt;=$S145),$V145,IF(AND($R145&lt;&gt;"",EDATE($D145,Milestones!$AA$55)&gt;=$R145),$U145,$T145)))=Milestones!$AB$55),TEXT(EDATE($D145,Milestones!$AA$55),"dd/mm/yy")&amp;" "&amp;Milestones!$AB$55&amp;" "&amp;Milestones!$AC$55&amp;";  ","")&amp;IF(AND(EDATE($D145,Milestones!$AA$56)&lt;=AsOfDate,IF($Q145=0,$W145,IF(AND($S145&lt;&gt;"",EDATE($D145,Milestones!$AA$56)&gt;=$S145),$V145,IF(AND($R145&lt;&gt;"",EDATE($D145,Milestones!$AA$56)&gt;=$R145),$U145,$T145)))=Milestones!$AB$56),TEXT(EDATE($D145,Milestones!$AA$56),"dd/mm/yy")&amp;" "&amp;Milestones!$AB$56&amp;" "&amp;Milestones!$AC$56&amp;";  ","")&amp;IF(AND(EDATE($D145,Milestones!$AA$57)&lt;=AsOfDate,IF($Q145=0,$W145,IF(AND($S145&lt;&gt;"",EDATE($D145,Milestones!$AA$57)&gt;=$S145),$V145,IF(AND($R145&lt;&gt;"",EDATE($D145,Milestones!$AA$57)&gt;=$R145),$U145,$T145)))=Milestones!$AB$57),TEXT(EDATE($D145,Milestones!$AA$57),"dd/mm/yy")&amp;" "&amp;Milestones!$AB$57&amp;" "&amp;Milestones!$AC$57&amp;";  ","")&amp;IF(AND(EDATE($D145,Milestones!$AA$58)&lt;=AsOfDate,IF($Q145=0,$W145,IF(AND($S145&lt;&gt;"",EDATE($D145,Milestones!$AA$58)&gt;=$S145),$V145,IF(AND($R145&lt;&gt;"",EDATE($D145,Milestones!$AA$58)&gt;=$R145),$U145,$T145)))=Milestones!$AB$58),TEXT(EDATE($D145,Milestones!$AA$58),"dd/mm/yy")&amp;" "&amp;Milestones!$AB$58&amp;" "&amp;Milestones!$AC$58&amp;";  ","")&amp;IF(AND(EDATE($D145,Milestones!$AA$59)&lt;=AsOfDate,IF($Q145=0,$W145,IF(AND($S145&lt;&gt;"",EDATE($D145,Milestones!$AA$59)&gt;=$S145),$V145,IF(AND($R145&lt;&gt;"",EDATE($D145,Milestones!$AA$59)&gt;=$R145),$U145,$T145)))=Milestones!$AB$59),TEXT(EDATE($D145,Milestones!$AA$59),"dd/mm/yy")&amp;" "&amp;Milestones!$AB$59&amp;" "&amp;Milestones!$AC$59&amp;";  ",""))</f>
        <v/>
      </c>
      <c r="J145" s="0" t="str">
        <f aca="false">IF(OR($A145="",$D145=""),"",IF(AND(EDATE($D145,Milestones!$AA$60)&lt;=AsOfDate,IF($Q145=0,$W145,IF(AND($S145&lt;&gt;"",EDATE($D145,Milestones!$AA$60)&gt;=$S145),$V145,IF(AND($R145&lt;&gt;"",EDATE($D145,Milestones!$AA$60)&gt;=$R145),$U145,$T145)))=Milestones!$AB$60),TEXT(EDATE($D145,Milestones!$AA$60),"dd/mm/yy")&amp;" "&amp;Milestones!$AB$60&amp;" "&amp;Milestones!$AC$60&amp;";  ","")&amp;IF(AND(EDATE($D145,Milestones!$AA$61)&lt;=AsOfDate,IF($Q145=0,$W145,IF(AND($S145&lt;&gt;"",EDATE($D145,Milestones!$AA$61)&gt;=$S145),$V145,IF(AND($R145&lt;&gt;"",EDATE($D145,Milestones!$AA$61)&gt;=$R145),$U145,$T145)))=Milestones!$AB$61),TEXT(EDATE($D145,Milestones!$AA$61),"dd/mm/yy")&amp;" "&amp;Milestones!$AB$61&amp;" "&amp;Milestones!$AC$61&amp;";  ","")&amp;IF(AND(EDATE($D145,Milestones!$AA$62)&lt;=AsOfDate,IF($Q145=0,$W145,IF(AND($S145&lt;&gt;"",EDATE($D145,Milestones!$AA$62)&gt;=$S145),$V145,IF(AND($R145&lt;&gt;"",EDATE($D145,Milestones!$AA$62)&gt;=$R145),$U145,$T145)))=Milestones!$AB$62),TEXT(EDATE($D145,Milestones!$AA$62),"dd/mm/yy")&amp;" "&amp;Milestones!$AB$62&amp;" "&amp;Milestones!$AC$62&amp;";  ","")&amp;IF(AND(EDATE($D145,Milestones!$AA$63)&lt;=AsOfDate,IF($Q145=0,$W145,IF(AND($S145&lt;&gt;"",EDATE($D145,Milestones!$AA$63)&gt;=$S145),$V145,IF(AND($R145&lt;&gt;"",EDATE($D145,Milestones!$AA$63)&gt;=$R145),$U145,$T145)))=Milestones!$AB$63),TEXT(EDATE($D145,Milestones!$AA$63),"dd/mm/yy")&amp;" "&amp;Milestones!$AB$63&amp;" "&amp;Milestones!$AC$63&amp;";  ","")&amp;IF(AND(EDATE($D145,Milestones!$AA$64)&lt;=AsOfDate,IF($Q145=0,$W145,IF(AND($S145&lt;&gt;"",EDATE($D145,Milestones!$AA$64)&gt;=$S145),$V145,IF(AND($R145&lt;&gt;"",EDATE($D145,Milestones!$AA$64)&gt;=$R145),$U145,$T145)))=Milestones!$AB$64),TEXT(EDATE($D145,Milestones!$AA$64),"dd/mm/yy")&amp;" "&amp;Milestones!$AB$64&amp;" "&amp;Milestones!$AC$64&amp;";  ","")&amp;IF(AND(EDATE($D145,Milestones!$AA$65)&lt;=AsOfDate,IF($Q145=0,$W145,IF(AND($S145&lt;&gt;"",EDATE($D145,Milestones!$AA$65)&gt;=$S145),$V145,IF(AND($R145&lt;&gt;"",EDATE($D145,Milestones!$AA$65)&gt;=$R145),$U145,$T145)))=Milestones!$AB$65),TEXT(EDATE($D145,Milestones!$AA$65),"dd/mm/yy")&amp;" "&amp;Milestones!$AB$65&amp;" "&amp;Milestones!$AC$65&amp;";  ","")&amp;IF(AND(EDATE($D145,Milestones!$AA$66)&lt;=AsOfDate,IF($Q145=0,$W145,IF(AND($S145&lt;&gt;"",EDATE($D145,Milestones!$AA$66)&gt;=$S145),$V145,IF(AND($R145&lt;&gt;"",EDATE($D145,Milestones!$AA$66)&gt;=$R145),$U145,$T145)))=Milestones!$AB$66),TEXT(EDATE($D145,Milestones!$AA$66),"dd/mm/yy")&amp;" "&amp;Milestones!$AB$66&amp;" "&amp;Milestones!$AC$66&amp;";  ","")&amp;IF(AND(EDATE($D145,Milestones!$AA$67)&lt;=AsOfDate,IF($Q145=0,$W145,IF(AND($S145&lt;&gt;"",EDATE($D145,Milestones!$AA$67)&gt;=$S145),$V145,IF(AND($R145&lt;&gt;"",EDATE($D145,Milestones!$AA$67)&gt;=$R145),$U145,$T145)))=Milestones!$AB$67),TEXT(EDATE($D145,Milestones!$AA$67),"dd/mm/yy")&amp;" "&amp;Milestones!$AB$67&amp;" "&amp;Milestones!$AC$67&amp;";  ","")&amp;IF(AND(EDATE($D145,Milestones!$AA$68)&lt;=AsOfDate,IF($Q145=0,$W145,IF(AND($S145&lt;&gt;"",EDATE($D145,Milestones!$AA$68)&gt;=$S145),$V145,IF(AND($R145&lt;&gt;"",EDATE($D145,Milestones!$AA$68)&gt;=$R145),$U145,$T145)))=Milestones!$AB$68),TEXT(EDATE($D145,Milestones!$AA$68),"dd/mm/yy")&amp;" "&amp;Milestones!$AB$68&amp;" "&amp;Milestones!$AC$68&amp;";  ","")&amp;IF(AND(EDATE($D145,Milestones!$AA$69)&lt;=AsOfDate,IF($Q145=0,$W145,IF(AND($S145&lt;&gt;"",EDATE($D145,Milestones!$AA$69)&gt;=$S145),$V145,IF(AND($R145&lt;&gt;"",EDATE($D145,Milestones!$AA$69)&gt;=$R145),$U145,$T145)))=Milestones!$AB$69),TEXT(EDATE($D145,Milestones!$AA$69),"dd/mm/yy")&amp;" "&amp;Milestones!$AB$69&amp;" "&amp;Milestones!$AC$69&amp;";  ","")&amp;IF(AND(EDATE($D145,Milestones!$AA$70)&lt;=AsOfDate,IF($Q145=0,$W145,IF(AND($S145&lt;&gt;"",EDATE($D145,Milestones!$AA$70)&gt;=$S145),$V145,IF(AND($R145&lt;&gt;"",EDATE($D145,Milestones!$AA$70)&gt;=$R145),$U145,$T145)))=Milestones!$AB$70),TEXT(EDATE($D145,Milestones!$AA$70),"dd/mm/yy")&amp;" "&amp;Milestones!$AB$70&amp;" "&amp;Milestones!$AC$70&amp;";  ","")&amp;IF(AND(EDATE($D145,Milestones!$AA$71)&lt;=AsOfDate,IF($Q145=0,$W145,IF(AND($S145&lt;&gt;"",EDATE($D145,Milestones!$AA$71)&gt;=$S145),$V145,IF(AND($R145&lt;&gt;"",EDATE($D145,Milestones!$AA$71)&gt;=$R145),$U145,$T145)))=Milestones!$AB$71),TEXT(EDATE($D145,Milestones!$AA$71),"dd/mm/yy")&amp;" "&amp;Milestones!$AB$71&amp;" "&amp;Milestones!$AC$71&amp;";  ","")&amp;IF(AND(EDATE($D145,Milestones!$AA$72)&lt;=AsOfDate,IF($Q145=0,$W145,IF(AND($S145&lt;&gt;"",EDATE($D145,Milestones!$AA$72)&gt;=$S145),$V145,IF(AND($R145&lt;&gt;"",EDATE($D145,Milestones!$AA$72)&gt;=$R145),$U145,$T145)))=Milestones!$AB$72),TEXT(EDATE($D145,Milestones!$AA$72),"dd/mm/yy")&amp;" "&amp;Milestones!$AB$72&amp;" "&amp;Milestones!$AC$72&amp;";  ","")&amp;IF(AND(EDATE($D145,Milestones!$AA$73)&lt;=AsOfDate,IF($Q145=0,$W145,IF(AND($S145&lt;&gt;"",EDATE($D145,Milestones!$AA$73)&gt;=$S145),$V145,IF(AND($R145&lt;&gt;"",EDATE($D145,Milestones!$AA$73)&gt;=$R145),$U145,$T145)))=Milestones!$AB$73),TEXT(EDATE($D145,Milestones!$AA$73),"dd/mm/yy")&amp;" "&amp;Milestones!$AB$73&amp;" "&amp;Milestones!$AC$73&amp;";  ","")&amp;IF(AND(EDATE($D145,Milestones!$AA$74)&lt;=AsOfDate,IF($Q145=0,$W145,IF(AND($S145&lt;&gt;"",EDATE($D145,Milestones!$AA$74)&gt;=$S145),$V145,IF(AND($R145&lt;&gt;"",EDATE($D145,Milestones!$AA$74)&gt;=$R145),$U145,$T145)))=Milestones!$AB$74),TEXT(EDATE($D145,Milestones!$AA$74),"dd/mm/yy")&amp;" "&amp;Milestones!$AB$74&amp;" "&amp;Milestones!$AC$74&amp;";  ","")&amp;IF(AND(EDATE($D145,Milestones!$AA$75)&lt;=AsOfDate,IF($Q145=0,$W145,IF(AND($S145&lt;&gt;"",EDATE($D145,Milestones!$AA$75)&gt;=$S145),$V145,IF(AND($R145&lt;&gt;"",EDATE($D145,Milestones!$AA$75)&gt;=$R145),$U145,$T145)))=Milestones!$AB$75),TEXT(EDATE($D145,Milestones!$AA$75),"dd/mm/yy")&amp;" "&amp;Milestones!$AB$75&amp;" "&amp;Milestones!$AC$75&amp;";  ","")&amp;IF(AND(EDATE($D145,Milestones!$AA$76)&lt;=AsOfDate,IF($Q145=0,$W145,IF(AND($S145&lt;&gt;"",EDATE($D145,Milestones!$AA$76)&gt;=$S145),$V145,IF(AND($R145&lt;&gt;"",EDATE($D145,Milestones!$AA$76)&gt;=$R145),$U145,$T145)))=Milestones!$AB$76),TEXT(EDATE($D145,Milestones!$AA$76),"dd/mm/yy")&amp;" "&amp;Milestones!$AB$76&amp;" "&amp;Milestones!$AC$76&amp;";  ","")&amp;IF(AND(EDATE($D145,Milestones!$AA$77)&lt;=AsOfDate,IF($Q145=0,$W145,IF(AND($S145&lt;&gt;"",EDATE($D145,Milestones!$AA$77)&gt;=$S145),$V145,IF(AND($R145&lt;&gt;"",EDATE($D145,Milestones!$AA$77)&gt;=$R145),$U145,$T145)))=Milestones!$AB$77),TEXT(EDATE($D145,Milestones!$AA$77),"dd/mm/yy")&amp;" "&amp;Milestones!$AB$77&amp;" "&amp;Milestones!$AC$77&amp;";  ","")&amp;IF(AND(EDATE($D145,Milestones!$AA$78)&lt;=AsOfDate,IF($Q145=0,$W145,IF(AND($S145&lt;&gt;"",EDATE($D145,Milestones!$AA$78)&gt;=$S145),$V145,IF(AND($R145&lt;&gt;"",EDATE($D145,Milestones!$AA$78)&gt;=$R145),$U145,$T145)))=Milestones!$AB$78),TEXT(EDATE($D145,Milestones!$AA$78),"dd/mm/yy")&amp;" "&amp;Milestones!$AB$78&amp;" "&amp;Milestones!$AC$78&amp;";  ","")&amp;IF(AND(EDATE($D145,Milestones!$AA$79)&lt;=AsOfDate,IF($Q145=0,$W145,IF(AND($S145&lt;&gt;"",EDATE($D145,Milestones!$AA$79)&gt;=$S145),$V145,IF(AND($R145&lt;&gt;"",EDATE($D145,Milestones!$AA$79)&gt;=$R145),$U145,$T145)))=Milestones!$AB$79),TEXT(EDATE($D145,Milestones!$AA$79),"dd/mm/yy")&amp;" "&amp;Milestones!$AB$79&amp;" "&amp;Milestones!$AC$79&amp;";  ",""))</f>
        <v/>
      </c>
      <c r="K145" s="0" t="str">
        <f aca="false">IF(OR($A145="",$D145=""),"",IF(AND(EDATE($D145,Milestones!$AA$80)&lt;=AsOfDate,IF($Q145=0,$W145,IF(AND($S145&lt;&gt;"",EDATE($D145,Milestones!$AA$80)&gt;=$S145),$V145,IF(AND($R145&lt;&gt;"",EDATE($D145,Milestones!$AA$80)&gt;=$R145),$U145,$T145)))=Milestones!$AB$80),TEXT(EDATE($D145,Milestones!$AA$80),"dd/mm/yy")&amp;" "&amp;Milestones!$AB$80&amp;" "&amp;Milestones!$AC$80&amp;";  ","")&amp;IF(AND(EDATE($D145,Milestones!$AA$81)&lt;=AsOfDate,IF($Q145=0,$W145,IF(AND($S145&lt;&gt;"",EDATE($D145,Milestones!$AA$81)&gt;=$S145),$V145,IF(AND($R145&lt;&gt;"",EDATE($D145,Milestones!$AA$81)&gt;=$R145),$U145,$T145)))=Milestones!$AB$81),TEXT(EDATE($D145,Milestones!$AA$81),"dd/mm/yy")&amp;" "&amp;Milestones!$AB$81&amp;" "&amp;Milestones!$AC$81&amp;";  ","")&amp;IF(AND(EDATE($D145,Milestones!$AA$82)&lt;=AsOfDate,IF($Q145=0,$W145,IF(AND($S145&lt;&gt;"",EDATE($D145,Milestones!$AA$82)&gt;=$S145),$V145,IF(AND($R145&lt;&gt;"",EDATE($D145,Milestones!$AA$82)&gt;=$R145),$U145,$T145)))=Milestones!$AB$82),TEXT(EDATE($D145,Milestones!$AA$82),"dd/mm/yy")&amp;" "&amp;Milestones!$AB$82&amp;" "&amp;Milestones!$AC$82&amp;";  ","")&amp;IF(AND(EDATE($D145,Milestones!$AA$83)&lt;=AsOfDate,IF($Q145=0,$W145,IF(AND($S145&lt;&gt;"",EDATE($D145,Milestones!$AA$83)&gt;=$S145),$V145,IF(AND($R145&lt;&gt;"",EDATE($D145,Milestones!$AA$83)&gt;=$R145),$U145,$T145)))=Milestones!$AB$83),TEXT(EDATE($D145,Milestones!$AA$83),"dd/mm/yy")&amp;" "&amp;Milestones!$AB$83&amp;" "&amp;Milestones!$AC$83&amp;";  ","")&amp;IF(AND(EDATE($D145,Milestones!$AA$84)&lt;=AsOfDate,IF($Q145=0,$W145,IF(AND($S145&lt;&gt;"",EDATE($D145,Milestones!$AA$84)&gt;=$S145),$V145,IF(AND($R145&lt;&gt;"",EDATE($D145,Milestones!$AA$84)&gt;=$R145),$U145,$T145)))=Milestones!$AB$84),TEXT(EDATE($D145,Milestones!$AA$84),"dd/mm/yy")&amp;" "&amp;Milestones!$AB$84&amp;" "&amp;Milestones!$AC$84&amp;";  ","")&amp;IF(AND(EDATE($D145,Milestones!$AA$85)&lt;=AsOfDate,IF($Q145=0,$W145,IF(AND($S145&lt;&gt;"",EDATE($D145,Milestones!$AA$85)&gt;=$S145),$V145,IF(AND($R145&lt;&gt;"",EDATE($D145,Milestones!$AA$85)&gt;=$R145),$U145,$T145)))=Milestones!$AB$85),TEXT(EDATE($D145,Milestones!$AA$85),"dd/mm/yy")&amp;" "&amp;Milestones!$AB$85&amp;" "&amp;Milestones!$AC$85&amp;";  ","")&amp;IF(AND(EDATE($D145,Milestones!$AA$86)&lt;=AsOfDate,IF($Q145=0,$W145,IF(AND($S145&lt;&gt;"",EDATE($D145,Milestones!$AA$86)&gt;=$S145),$V145,IF(AND($R145&lt;&gt;"",EDATE($D145,Milestones!$AA$86)&gt;=$R145),$U145,$T145)))=Milestones!$AB$86),TEXT(EDATE($D145,Milestones!$AA$86),"dd/mm/yy")&amp;" "&amp;Milestones!$AB$86&amp;" "&amp;Milestones!$AC$86&amp;";  ","")&amp;IF(AND(EDATE($D145,Milestones!$AA$87)&lt;=AsOfDate,IF($Q145=0,$W145,IF(AND($S145&lt;&gt;"",EDATE($D145,Milestones!$AA$87)&gt;=$S145),$V145,IF(AND($R145&lt;&gt;"",EDATE($D145,Milestones!$AA$87)&gt;=$R145),$U145,$T145)))=Milestones!$AB$87),TEXT(EDATE($D145,Milestones!$AA$87),"dd/mm/yy")&amp;" "&amp;Milestones!$AB$87&amp;" "&amp;Milestones!$AC$87&amp;";  ","")&amp;IF(AND(EDATE($D145,Milestones!$AA$88)&lt;=AsOfDate,IF($Q145=0,$W145,IF(AND($S145&lt;&gt;"",EDATE($D145,Milestones!$AA$88)&gt;=$S145),$V145,IF(AND($R145&lt;&gt;"",EDATE($D145,Milestones!$AA$88)&gt;=$R145),$U145,$T145)))=Milestones!$AB$88),TEXT(EDATE($D145,Milestones!$AA$88),"dd/mm/yy")&amp;" "&amp;Milestones!$AB$88&amp;" "&amp;Milestones!$AC$88&amp;";  ","")&amp;IF(AND(EDATE($D145,Milestones!$AA$89)&lt;=AsOfDate,IF($Q145=0,$W145,IF(AND($S145&lt;&gt;"",EDATE($D145,Milestones!$AA$89)&gt;=$S145),$V145,IF(AND($R145&lt;&gt;"",EDATE($D145,Milestones!$AA$89)&gt;=$R145),$U145,$T145)))=Milestones!$AB$89),TEXT(EDATE($D145,Milestones!$AA$89),"dd/mm/yy")&amp;" "&amp;Milestones!$AB$89&amp;" "&amp;Milestones!$AC$89&amp;";  ","")&amp;IF(AND(EDATE($D145,Milestones!$AA$90)&lt;=AsOfDate,IF($Q145=0,$W145,IF(AND($S145&lt;&gt;"",EDATE($D145,Milestones!$AA$90)&gt;=$S145),$V145,IF(AND($R145&lt;&gt;"",EDATE($D145,Milestones!$AA$90)&gt;=$R145),$U145,$T145)))=Milestones!$AB$90),TEXT(EDATE($D145,Milestones!$AA$90),"dd/mm/yy")&amp;" "&amp;Milestones!$AB$90&amp;" "&amp;Milestones!$AC$90&amp;";  ","")&amp;IF(AND(EDATE($D145,Milestones!$AA$91)&lt;=AsOfDate,IF($Q145=0,$W145,IF(AND($S145&lt;&gt;"",EDATE($D145,Milestones!$AA$91)&gt;=$S145),$V145,IF(AND($R145&lt;&gt;"",EDATE($D145,Milestones!$AA$91)&gt;=$R145),$U145,$T145)))=Milestones!$AB$91),TEXT(EDATE($D145,Milestones!$AA$91),"dd/mm/yy")&amp;" "&amp;Milestones!$AB$91&amp;" "&amp;Milestones!$AC$91&amp;";  ","")&amp;IF(AND(EDATE($D145,Milestones!$AA$92)&lt;=AsOfDate,IF($Q145=0,$W145,IF(AND($S145&lt;&gt;"",EDATE($D145,Milestones!$AA$92)&gt;=$S145),$V145,IF(AND($R145&lt;&gt;"",EDATE($D145,Milestones!$AA$92)&gt;=$R145),$U145,$T145)))=Milestones!$AB$92),TEXT(EDATE($D145,Milestones!$AA$92),"dd/mm/yy")&amp;" "&amp;Milestones!$AB$92&amp;" "&amp;Milestones!$AC$92&amp;";  ","")&amp;IF(AND(EDATE($D145,Milestones!$AA$93)&lt;=AsOfDate,IF($Q145=0,$W145,IF(AND($S145&lt;&gt;"",EDATE($D145,Milestones!$AA$93)&gt;=$S145),$V145,IF(AND($R145&lt;&gt;"",EDATE($D145,Milestones!$AA$93)&gt;=$R145),$U145,$T145)))=Milestones!$AB$93),TEXT(EDATE($D145,Milestones!$AA$93),"dd/mm/yy")&amp;" "&amp;Milestones!$AB$93&amp;" "&amp;Milestones!$AC$93&amp;";  ","")&amp;IF(AND(EDATE($D145,Milestones!$AA$94)&lt;=AsOfDate,IF($Q145=0,$W145,IF(AND($S145&lt;&gt;"",EDATE($D145,Milestones!$AA$94)&gt;=$S145),$V145,IF(AND($R145&lt;&gt;"",EDATE($D145,Milestones!$AA$94)&gt;=$R145),$U145,$T145)))=Milestones!$AB$94),TEXT(EDATE($D145,Milestones!$AA$94),"dd/mm/yy")&amp;" "&amp;Milestones!$AB$94&amp;" "&amp;Milestones!$AC$94&amp;";  ","")&amp;IF(AND(EDATE($D145,Milestones!$AA$95)&lt;=AsOfDate,IF($Q145=0,$W145,IF(AND($S145&lt;&gt;"",EDATE($D145,Milestones!$AA$95)&gt;=$S145),$V145,IF(AND($R145&lt;&gt;"",EDATE($D145,Milestones!$AA$95)&gt;=$R145),$U145,$T145)))=Milestones!$AB$95),TEXT(EDATE($D145,Milestones!$AA$95),"dd/mm/yy")&amp;" "&amp;Milestones!$AB$95&amp;" "&amp;Milestones!$AC$95&amp;";  ","")&amp;IF(AND(EDATE($D145,Milestones!$AA$96)&lt;=AsOfDate,IF($Q145=0,$W145,IF(AND($S145&lt;&gt;"",EDATE($D145,Milestones!$AA$96)&gt;=$S145),$V145,IF(AND($R145&lt;&gt;"",EDATE($D145,Milestones!$AA$96)&gt;=$R145),$U145,$T145)))=Milestones!$AB$96),TEXT(EDATE($D145,Milestones!$AA$96),"dd/mm/yy")&amp;" "&amp;Milestones!$AB$96&amp;" "&amp;Milestones!$AC$96&amp;";  ","")&amp;IF(AND(EDATE($D145,Milestones!$AA$97)&lt;=AsOfDate,IF($Q145=0,$W145,IF(AND($S145&lt;&gt;"",EDATE($D145,Milestones!$AA$97)&gt;=$S145),$V145,IF(AND($R145&lt;&gt;"",EDATE($D145,Milestones!$AA$97)&gt;=$R145),$U145,$T145)))=Milestones!$AB$97),TEXT(EDATE($D145,Milestones!$AA$97),"dd/mm/yy")&amp;" "&amp;Milestones!$AB$97&amp;" "&amp;Milestones!$AC$97&amp;";  ","")&amp;IF(AND(EDATE($D145,Milestones!$AA$98)&lt;=AsOfDate,IF($Q145=0,$W145,IF(AND($S145&lt;&gt;"",EDATE($D145,Milestones!$AA$98)&gt;=$S145),$V145,IF(AND($R145&lt;&gt;"",EDATE($D145,Milestones!$AA$98)&gt;=$R145),$U145,$T145)))=Milestones!$AB$98),TEXT(EDATE($D145,Milestones!$AA$98),"dd/mm/yy")&amp;" "&amp;Milestones!$AB$98&amp;" "&amp;Milestones!$AC$98&amp;";  ","")&amp;IF(AND(EDATE($D145,Milestones!$AA$99)&lt;=AsOfDate,IF($Q145=0,$W145,IF(AND($S145&lt;&gt;"",EDATE($D145,Milestones!$AA$99)&gt;=$S145),$V145,IF(AND($R145&lt;&gt;"",EDATE($D145,Milestones!$AA$99)&gt;=$R145),$U145,$T145)))=Milestones!$AB$99),TEXT(EDATE($D145,Milestones!$AA$99),"dd/mm/yy")&amp;" "&amp;Milestones!$AB$99&amp;" "&amp;Milestones!$AC$99&amp;";  ",""))</f>
        <v/>
      </c>
      <c r="L145" s="0" t="str">
        <f aca="false">IF(OR($A145="",$D145=""),"",IF(AND(EDATE($D145,Milestones!$AA$100)&lt;=AsOfDate,IF($Q145=0,$W145,IF(AND($S145&lt;&gt;"",EDATE($D145,Milestones!$AA$100)&gt;=$S145),$V145,IF(AND($R145&lt;&gt;"",EDATE($D145,Milestones!$AA$100)&gt;=$R145),$U145,$T145)))=Milestones!$AB$100),TEXT(EDATE($D145,Milestones!$AA$100),"dd/mm/yy")&amp;" "&amp;Milestones!$AB$100&amp;" "&amp;Milestones!$AC$100&amp;";  ","")&amp;IF(AND(EDATE($D145,Milestones!$AA$101)&lt;=AsOfDate,IF($Q145=0,$W145,IF(AND($S145&lt;&gt;"",EDATE($D145,Milestones!$AA$101)&gt;=$S145),$V145,IF(AND($R145&lt;&gt;"",EDATE($D145,Milestones!$AA$101)&gt;=$R145),$U145,$T145)))=Milestones!$AB$101),TEXT(EDATE($D145,Milestones!$AA$101),"dd/mm/yy")&amp;" "&amp;Milestones!$AB$101&amp;" "&amp;Milestones!$AC$101&amp;";  ","")&amp;IF(AND(EDATE($D145,Milestones!$AA$102)&lt;=AsOfDate,IF($Q145=0,$W145,IF(AND($S145&lt;&gt;"",EDATE($D145,Milestones!$AA$102)&gt;=$S145),$V145,IF(AND($R145&lt;&gt;"",EDATE($D145,Milestones!$AA$102)&gt;=$R145),$U145,$T145)))=Milestones!$AB$102),TEXT(EDATE($D145,Milestones!$AA$102),"dd/mm/yy")&amp;" "&amp;Milestones!$AB$102&amp;" "&amp;Milestones!$AC$102&amp;";  ","")&amp;IF(AND(EDATE($D145,Milestones!$AA$103)&lt;=AsOfDate,IF($Q145=0,$W145,IF(AND($S145&lt;&gt;"",EDATE($D145,Milestones!$AA$103)&gt;=$S145),$V145,IF(AND($R145&lt;&gt;"",EDATE($D145,Milestones!$AA$103)&gt;=$R145),$U145,$T145)))=Milestones!$AB$103),TEXT(EDATE($D145,Milestones!$AA$103),"dd/mm/yy")&amp;" "&amp;Milestones!$AB$103&amp;" "&amp;Milestones!$AC$103&amp;";  ","")&amp;IF(AND(EDATE($D145,Milestones!$AA$104)&lt;=AsOfDate,IF($Q145=0,$W145,IF(AND($S145&lt;&gt;"",EDATE($D145,Milestones!$AA$104)&gt;=$S145),$V145,IF(AND($R145&lt;&gt;"",EDATE($D145,Milestones!$AA$104)&gt;=$R145),$U145,$T145)))=Milestones!$AB$104),TEXT(EDATE($D145,Milestones!$AA$104),"dd/mm/yy")&amp;" "&amp;Milestones!$AB$104&amp;" "&amp;Milestones!$AC$104&amp;";  ","")&amp;IF(AND(EDATE($D145,Milestones!$AA$105)&lt;=AsOfDate,IF($Q145=0,$W145,IF(AND($S145&lt;&gt;"",EDATE($D145,Milestones!$AA$105)&gt;=$S145),$V145,IF(AND($R145&lt;&gt;"",EDATE($D145,Milestones!$AA$105)&gt;=$R145),$U145,$T145)))=Milestones!$AB$105),TEXT(EDATE($D145,Milestones!$AA$105),"dd/mm/yy")&amp;" "&amp;Milestones!$AB$105&amp;" "&amp;Milestones!$AC$105&amp;";  ","")&amp;IF(AND(EDATE($D145,Milestones!$AA$106)&lt;=AsOfDate,IF($Q145=0,$W145,IF(AND($S145&lt;&gt;"",EDATE($D145,Milestones!$AA$106)&gt;=$S145),$V145,IF(AND($R145&lt;&gt;"",EDATE($D145,Milestones!$AA$106)&gt;=$R145),$U145,$T145)))=Milestones!$AB$106),TEXT(EDATE($D145,Milestones!$AA$106),"dd/mm/yy")&amp;" "&amp;Milestones!$AB$106&amp;" "&amp;Milestones!$AC$106&amp;";  ","")&amp;IF(AND(EDATE($D145,Milestones!$AA$107)&lt;=AsOfDate,IF($Q145=0,$W145,IF(AND($S145&lt;&gt;"",EDATE($D145,Milestones!$AA$107)&gt;=$S145),$V145,IF(AND($R145&lt;&gt;"",EDATE($D145,Milestones!$AA$107)&gt;=$R145),$U145,$T145)))=Milestones!$AB$107),TEXT(EDATE($D145,Milestones!$AA$107),"dd/mm/yy")&amp;" "&amp;Milestones!$AB$107&amp;" "&amp;Milestones!$AC$107&amp;";  ","")&amp;IF(AND(EDATE($D145,Milestones!$AA$108)&lt;=AsOfDate,IF($Q145=0,$W145,IF(AND($S145&lt;&gt;"",EDATE($D145,Milestones!$AA$108)&gt;=$S145),$V145,IF(AND($R145&lt;&gt;"",EDATE($D145,Milestones!$AA$108)&gt;=$R145),$U145,$T145)))=Milestones!$AB$108),TEXT(EDATE($D145,Milestones!$AA$108),"dd/mm/yy")&amp;" "&amp;Milestones!$AB$108&amp;" "&amp;Milestones!$AC$108&amp;";  ","")&amp;IF(AND(EDATE($D145,Milestones!$AA$109)&lt;=AsOfDate,IF($Q145=0,$W145,IF(AND($S145&lt;&gt;"",EDATE($D145,Milestones!$AA$109)&gt;=$S145),$V145,IF(AND($R145&lt;&gt;"",EDATE($D145,Milestones!$AA$109)&gt;=$R145),$U145,$T145)))=Milestones!$AB$109),TEXT(EDATE($D145,Milestones!$AA$109),"dd/mm/yy")&amp;" "&amp;Milestones!$AB$109&amp;" "&amp;Milestones!$AC$109&amp;";  ","")&amp;IF(AND(EDATE($D145,Milestones!$AA$110)&lt;=AsOfDate,IF($Q145=0,$W145,IF(AND($S145&lt;&gt;"",EDATE($D145,Milestones!$AA$110)&gt;=$S145),$V145,IF(AND($R145&lt;&gt;"",EDATE($D145,Milestones!$AA$110)&gt;=$R145),$U145,$T145)))=Milestones!$AB$110),TEXT(EDATE($D145,Milestones!$AA$110),"dd/mm/yy")&amp;" "&amp;Milestones!$AB$110&amp;" "&amp;Milestones!$AC$110&amp;";  ","")&amp;IF(AND(EDATE($D145,Milestones!$AA$111)&lt;=AsOfDate,IF($Q145=0,$W145,IF(AND($S145&lt;&gt;"",EDATE($D145,Milestones!$AA$111)&gt;=$S145),$V145,IF(AND($R145&lt;&gt;"",EDATE($D145,Milestones!$AA$111)&gt;=$R145),$U145,$T145)))=Milestones!$AB$111),TEXT(EDATE($D145,Milestones!$AA$111),"dd/mm/yy")&amp;" "&amp;Milestones!$AB$111&amp;" "&amp;Milestones!$AC$111&amp;";  ","")&amp;IF(AND(EDATE($D145,Milestones!$AA$112)&lt;=AsOfDate,IF($Q145=0,$W145,IF(AND($S145&lt;&gt;"",EDATE($D145,Milestones!$AA$112)&gt;=$S145),$V145,IF(AND($R145&lt;&gt;"",EDATE($D145,Milestones!$AA$112)&gt;=$R145),$U145,$T145)))=Milestones!$AB$112),TEXT(EDATE($D145,Milestones!$AA$112),"dd/mm/yy")&amp;" "&amp;Milestones!$AB$112&amp;" "&amp;Milestones!$AC$112&amp;";  ","")&amp;IF(AND(EDATE($D145,Milestones!$AA$113)&lt;=AsOfDate,IF($Q145=0,$W145,IF(AND($S145&lt;&gt;"",EDATE($D145,Milestones!$AA$113)&gt;=$S145),$V145,IF(AND($R145&lt;&gt;"",EDATE($D145,Milestones!$AA$113)&gt;=$R145),$U145,$T145)))=Milestones!$AB$113),TEXT(EDATE($D145,Milestones!$AA$113),"dd/mm/yy")&amp;" "&amp;Milestones!$AB$113&amp;" "&amp;Milestones!$AC$113&amp;";  ","")&amp;IF(AND(EDATE($D145,Milestones!$AA$114)&lt;=AsOfDate,IF($Q145=0,$W145,IF(AND($S145&lt;&gt;"",EDATE($D145,Milestones!$AA$114)&gt;=$S145),$V145,IF(AND($R145&lt;&gt;"",EDATE($D145,Milestones!$AA$114)&gt;=$R145),$U145,$T145)))=Milestones!$AB$114),TEXT(EDATE($D145,Milestones!$AA$114),"dd/mm/yy")&amp;" "&amp;Milestones!$AB$114&amp;" "&amp;Milestones!$AC$114&amp;";  ","")&amp;IF(AND(EDATE($D145,Milestones!$AA$115)&lt;=AsOfDate,IF($Q145=0,$W145,IF(AND($S145&lt;&gt;"",EDATE($D145,Milestones!$AA$115)&gt;=$S145),$V145,IF(AND($R145&lt;&gt;"",EDATE($D145,Milestones!$AA$115)&gt;=$R145),$U145,$T145)))=Milestones!$AB$115),TEXT(EDATE($D145,Milestones!$AA$115),"dd/mm/yy")&amp;" "&amp;Milestones!$AB$115&amp;" "&amp;Milestones!$AC$115&amp;";  ","")&amp;IF(AND(EDATE($D145,Milestones!$AA$116)&lt;=AsOfDate,IF($Q145=0,$W145,IF(AND($S145&lt;&gt;"",EDATE($D145,Milestones!$AA$116)&gt;=$S145),$V145,IF(AND($R145&lt;&gt;"",EDATE($D145,Milestones!$AA$116)&gt;=$R145),$U145,$T145)))=Milestones!$AB$116),TEXT(EDATE($D145,Milestones!$AA$116),"dd/mm/yy")&amp;" "&amp;Milestones!$AB$116&amp;" "&amp;Milestones!$AC$116&amp;";  ","")&amp;IF(AND(EDATE($D145,Milestones!$AA$117)&lt;=AsOfDate,IF($Q145=0,$W145,IF(AND($S145&lt;&gt;"",EDATE($D145,Milestones!$AA$117)&gt;=$S145),$V145,IF(AND($R145&lt;&gt;"",EDATE($D145,Milestones!$AA$117)&gt;=$R145),$U145,$T145)))=Milestones!$AB$117),TEXT(EDATE($D145,Milestones!$AA$117),"dd/mm/yy")&amp;" "&amp;Milestones!$AB$117&amp;" "&amp;Milestones!$AC$117&amp;";  ","")&amp;IF(AND(EDATE($D145,Milestones!$AA$118)&lt;=AsOfDate,IF($Q145=0,$W145,IF(AND($S145&lt;&gt;"",EDATE($D145,Milestones!$AA$118)&gt;=$S145),$V145,IF(AND($R145&lt;&gt;"",EDATE($D145,Milestones!$AA$118)&gt;=$R145),$U145,$T145)))=Milestones!$AB$118),TEXT(EDATE($D145,Milestones!$AA$118),"dd/mm/yy")&amp;" "&amp;Milestones!$AB$118&amp;" "&amp;Milestones!$AC$118&amp;";  ","")&amp;IF(AND(EDATE($D145,Milestones!$AA$119)&lt;=AsOfDate,IF($Q145=0,$W145,IF(AND($S145&lt;&gt;"",EDATE($D145,Milestones!$AA$119)&gt;=$S145),$V145,IF(AND($R145&lt;&gt;"",EDATE($D145,Milestones!$AA$119)&gt;=$R145),$U145,$T145)))=Milestones!$AB$119),TEXT(EDATE($D145,Milestones!$AA$119),"dd/mm/yy")&amp;" "&amp;Milestones!$AB$119&amp;" "&amp;Milestones!$AC$119&amp;";  ",""))</f>
        <v/>
      </c>
      <c r="M145" s="0" t="str">
        <f aca="false">IF(OR($A145="",$D145=""),"",IF(AND(EDATE($D145,Milestones!$AA$120)&lt;=AsOfDate,IF($Q145=0,$W145,IF(AND($S145&lt;&gt;"",EDATE($D145,Milestones!$AA$120)&gt;=$S145),$V145,IF(AND($R145&lt;&gt;"",EDATE($D145,Milestones!$AA$120)&gt;=$R145),$U145,$T145)))=Milestones!$AB$120),TEXT(EDATE($D145,Milestones!$AA$120),"dd/mm/yy")&amp;" "&amp;Milestones!$AB$120&amp;" "&amp;Milestones!$AC$120&amp;";  ","")&amp;IF(AND(EDATE($D145,Milestones!$AA$121)&lt;=AsOfDate,IF($Q145=0,$W145,IF(AND($S145&lt;&gt;"",EDATE($D145,Milestones!$AA$121)&gt;=$S145),$V145,IF(AND($R145&lt;&gt;"",EDATE($D145,Milestones!$AA$121)&gt;=$R145),$U145,$T145)))=Milestones!$AB$121),TEXT(EDATE($D145,Milestones!$AA$121),"dd/mm/yy")&amp;" "&amp;Milestones!$AB$121&amp;" "&amp;Milestones!$AC$121&amp;";  ","")&amp;IF(AND(EDATE($D145,Milestones!$AA$122)&lt;=AsOfDate,IF($Q145=0,$W145,IF(AND($S145&lt;&gt;"",EDATE($D145,Milestones!$AA$122)&gt;=$S145),$V145,IF(AND($R145&lt;&gt;"",EDATE($D145,Milestones!$AA$122)&gt;=$R145),$U145,$T145)))=Milestones!$AB$122),TEXT(EDATE($D145,Milestones!$AA$122),"dd/mm/yy")&amp;" "&amp;Milestones!$AB$122&amp;" "&amp;Milestones!$AC$122&amp;";  ","")&amp;IF(AND(EDATE($D145,Milestones!$AA$123)&lt;=AsOfDate,IF($Q145=0,$W145,IF(AND($S145&lt;&gt;"",EDATE($D145,Milestones!$AA$123)&gt;=$S145),$V145,IF(AND($R145&lt;&gt;"",EDATE($D145,Milestones!$AA$123)&gt;=$R145),$U145,$T145)))=Milestones!$AB$123),TEXT(EDATE($D145,Milestones!$AA$123),"dd/mm/yy")&amp;" "&amp;Milestones!$AB$123&amp;" "&amp;Milestones!$AC$123&amp;";  ","")&amp;IF(AND(EDATE($D145,Milestones!$AA$124)&lt;=AsOfDate,IF($Q145=0,$W145,IF(AND($S145&lt;&gt;"",EDATE($D145,Milestones!$AA$124)&gt;=$S145),$V145,IF(AND($R145&lt;&gt;"",EDATE($D145,Milestones!$AA$124)&gt;=$R145),$U145,$T145)))=Milestones!$AB$124),TEXT(EDATE($D145,Milestones!$AA$124),"dd/mm/yy")&amp;" "&amp;Milestones!$AB$124&amp;" "&amp;Milestones!$AC$124&amp;";  ","")&amp;IF(AND(EDATE($D145,Milestones!$AA$125)&lt;=AsOfDate,IF($Q145=0,$W145,IF(AND($S145&lt;&gt;"",EDATE($D145,Milestones!$AA$125)&gt;=$S145),$V145,IF(AND($R145&lt;&gt;"",EDATE($D145,Milestones!$AA$125)&gt;=$R145),$U145,$T145)))=Milestones!$AB$125),TEXT(EDATE($D145,Milestones!$AA$125),"dd/mm/yy")&amp;" "&amp;Milestones!$AB$125&amp;" "&amp;Milestones!$AC$125&amp;";  ","")&amp;IF(AND(EDATE($D145,Milestones!$AA$126)&lt;=AsOfDate,IF($Q145=0,$W145,IF(AND($S145&lt;&gt;"",EDATE($D145,Milestones!$AA$126)&gt;=$S145),$V145,IF(AND($R145&lt;&gt;"",EDATE($D145,Milestones!$AA$126)&gt;=$R145),$U145,$T145)))=Milestones!$AB$126),TEXT(EDATE($D145,Milestones!$AA$126),"dd/mm/yy")&amp;" "&amp;Milestones!$AB$126&amp;" "&amp;Milestones!$AC$126&amp;";  ","")&amp;IF(AND(EDATE($D145,Milestones!$AA$127)&lt;=AsOfDate,IF($Q145=0,$W145,IF(AND($S145&lt;&gt;"",EDATE($D145,Milestones!$AA$127)&gt;=$S145),$V145,IF(AND($R145&lt;&gt;"",EDATE($D145,Milestones!$AA$127)&gt;=$R145),$U145,$T145)))=Milestones!$AB$127),TEXT(EDATE($D145,Milestones!$AA$127),"dd/mm/yy")&amp;" "&amp;Milestones!$AB$127&amp;" "&amp;Milestones!$AC$127&amp;";  ","")&amp;IF(AND(EDATE($D145,Milestones!$AA$128)&lt;=AsOfDate,IF($Q145=0,$W145,IF(AND($S145&lt;&gt;"",EDATE($D145,Milestones!$AA$128)&gt;=$S145),$V145,IF(AND($R145&lt;&gt;"",EDATE($D145,Milestones!$AA$128)&gt;=$R145),$U145,$T145)))=Milestones!$AB$128),TEXT(EDATE($D145,Milestones!$AA$128),"dd/mm/yy")&amp;" "&amp;Milestones!$AB$128&amp;" "&amp;Milestones!$AC$128&amp;";  ","")&amp;IF(AND(EDATE($D145,Milestones!$AA$129)&lt;=AsOfDate,IF($Q145=0,$W145,IF(AND($S145&lt;&gt;"",EDATE($D145,Milestones!$AA$129)&gt;=$S145),$V145,IF(AND($R145&lt;&gt;"",EDATE($D145,Milestones!$AA$129)&gt;=$R145),$U145,$T145)))=Milestones!$AB$129),TEXT(EDATE($D145,Milestones!$AA$129),"dd/mm/yy")&amp;" "&amp;Milestones!$AB$129&amp;" "&amp;Milestones!$AC$129&amp;";  ","")&amp;IF(AND(EDATE($D145,Milestones!$AA$130)&lt;=AsOfDate,IF($Q145=0,$W145,IF(AND($S145&lt;&gt;"",EDATE($D145,Milestones!$AA$130)&gt;=$S145),$V145,IF(AND($R145&lt;&gt;"",EDATE($D145,Milestones!$AA$130)&gt;=$R145),$U145,$T145)))=Milestones!$AB$130),TEXT(EDATE($D145,Milestones!$AA$130),"dd/mm/yy")&amp;" "&amp;Milestones!$AB$130&amp;" "&amp;Milestones!$AC$130&amp;";  ","")&amp;IF(AND(EDATE($D145,Milestones!$AA$131)&lt;=AsOfDate,IF($Q145=0,$W145,IF(AND($S145&lt;&gt;"",EDATE($D145,Milestones!$AA$131)&gt;=$S145),$V145,IF(AND($R145&lt;&gt;"",EDATE($D145,Milestones!$AA$131)&gt;=$R145),$U145,$T145)))=Milestones!$AB$131),TEXT(EDATE($D145,Milestones!$AA$131),"dd/mm/yy")&amp;" "&amp;Milestones!$AB$131&amp;" "&amp;Milestones!$AC$131&amp;";  ","")&amp;IF(AND(EDATE($D145,Milestones!$AA$132)&lt;=AsOfDate,IF($Q145=0,$W145,IF(AND($S145&lt;&gt;"",EDATE($D145,Milestones!$AA$132)&gt;=$S145),$V145,IF(AND($R145&lt;&gt;"",EDATE($D145,Milestones!$AA$132)&gt;=$R145),$U145,$T145)))=Milestones!$AB$132),TEXT(EDATE($D145,Milestones!$AA$132),"dd/mm/yy")&amp;" "&amp;Milestones!$AB$132&amp;" "&amp;Milestones!$AC$132&amp;";  ","")&amp;IF(AND(EDATE($D145,Milestones!$AA$133)&lt;=AsOfDate,IF($Q145=0,$W145,IF(AND($S145&lt;&gt;"",EDATE($D145,Milestones!$AA$133)&gt;=$S145),$V145,IF(AND($R145&lt;&gt;"",EDATE($D145,Milestones!$AA$133)&gt;=$R145),$U145,$T145)))=Milestones!$AB$133),TEXT(EDATE($D145,Milestones!$AA$133),"dd/mm/yy")&amp;" "&amp;Milestones!$AB$133&amp;" "&amp;Milestones!$AC$133&amp;";  ","")&amp;IF(AND(EDATE($D145,Milestones!$AA$134)&lt;=AsOfDate,IF($Q145=0,$W145,IF(AND($S145&lt;&gt;"",EDATE($D145,Milestones!$AA$134)&gt;=$S145),$V145,IF(AND($R145&lt;&gt;"",EDATE($D145,Milestones!$AA$134)&gt;=$R145),$U145,$T145)))=Milestones!$AB$134),TEXT(EDATE($D145,Milestones!$AA$134),"dd/mm/yy")&amp;" "&amp;Milestones!$AB$134&amp;" "&amp;Milestones!$AC$134&amp;";  ","")&amp;IF(AND(EDATE($D145,Milestones!$AA$135)&lt;=AsOfDate,IF($Q145=0,$W145,IF(AND($S145&lt;&gt;"",EDATE($D145,Milestones!$AA$135)&gt;=$S145),$V145,IF(AND($R145&lt;&gt;"",EDATE($D145,Milestones!$AA$135)&gt;=$R145),$U145,$T145)))=Milestones!$AB$135),TEXT(EDATE($D145,Milestones!$AA$135),"dd/mm/yy")&amp;" "&amp;Milestones!$AB$135&amp;" "&amp;Milestones!$AC$135&amp;";  ","")&amp;IF(AND(EDATE($D145,Milestones!$AA$136)&lt;=AsOfDate,IF($Q145=0,$W145,IF(AND($S145&lt;&gt;"",EDATE($D145,Milestones!$AA$136)&gt;=$S145),$V145,IF(AND($R145&lt;&gt;"",EDATE($D145,Milestones!$AA$136)&gt;=$R145),$U145,$T145)))=Milestones!$AB$136),TEXT(EDATE($D145,Milestones!$AA$136),"dd/mm/yy")&amp;" "&amp;Milestones!$AB$136&amp;" "&amp;Milestones!$AC$136&amp;";  ","")&amp;IF(AND(EDATE($D145,Milestones!$AA$137)&lt;=AsOfDate,IF($Q145=0,$W145,IF(AND($S145&lt;&gt;"",EDATE($D145,Milestones!$AA$137)&gt;=$S145),$V145,IF(AND($R145&lt;&gt;"",EDATE($D145,Milestones!$AA$137)&gt;=$R145),$U145,$T145)))=Milestones!$AB$137),TEXT(EDATE($D145,Milestones!$AA$137),"dd/mm/yy")&amp;" "&amp;Milestones!$AB$137&amp;" "&amp;Milestones!$AC$137&amp;";  ","")&amp;IF(AND(EDATE($D145,Milestones!$AA$138)&lt;=AsOfDate,IF($Q145=0,$W145,IF(AND($S145&lt;&gt;"",EDATE($D145,Milestones!$AA$138)&gt;=$S145),$V145,IF(AND($R145&lt;&gt;"",EDATE($D145,Milestones!$AA$138)&gt;=$R145),$U145,$T145)))=Milestones!$AB$138),TEXT(EDATE($D145,Milestones!$AA$138),"dd/mm/yy")&amp;" "&amp;Milestones!$AB$138&amp;" "&amp;Milestones!$AC$138&amp;";  ","")&amp;IF(AND(EDATE($D145,Milestones!$AA$139)&lt;=AsOfDate,IF($Q145=0,$W145,IF(AND($S145&lt;&gt;"",EDATE($D145,Milestones!$AA$139)&gt;=$S145),$V145,IF(AND($R145&lt;&gt;"",EDATE($D145,Milestones!$AA$139)&gt;=$R145),$U145,$T145)))=Milestones!$AB$139),TEXT(EDATE($D145,Milestones!$AA$139),"dd/mm/yy")&amp;" "&amp;Milestones!$AB$139&amp;" "&amp;Milestones!$AC$139&amp;";  ",""))</f>
        <v/>
      </c>
      <c r="N145" s="0" t="str">
        <f aca="false">IF(OR($A145="",$D145=""),"",IF(AND(EDATE($D145,Milestones!$AA$140)&lt;=AsOfDate,IF($Q145=0,$W145,IF(AND($S145&lt;&gt;"",EDATE($D145,Milestones!$AA$140)&gt;=$S145),$V145,IF(AND($R145&lt;&gt;"",EDATE($D145,Milestones!$AA$140)&gt;=$R145),$U145,$T145)))=Milestones!$AB$140),TEXT(EDATE($D145,Milestones!$AA$140),"dd/mm/yy")&amp;" "&amp;Milestones!$AB$140&amp;" "&amp;Milestones!$AC$140&amp;";  ","")&amp;IF(AND(EDATE($D145,Milestones!$AA$141)&lt;=AsOfDate,IF($Q145=0,$W145,IF(AND($S145&lt;&gt;"",EDATE($D145,Milestones!$AA$141)&gt;=$S145),$V145,IF(AND($R145&lt;&gt;"",EDATE($D145,Milestones!$AA$141)&gt;=$R145),$U145,$T145)))=Milestones!$AB$141),TEXT(EDATE($D145,Milestones!$AA$141),"dd/mm/yy")&amp;" "&amp;Milestones!$AB$141&amp;" "&amp;Milestones!$AC$141&amp;";  ","")&amp;IF(AND(EDATE($D145,Milestones!$AA$142)&lt;=AsOfDate,IF($Q145=0,$W145,IF(AND($S145&lt;&gt;"",EDATE($D145,Milestones!$AA$142)&gt;=$S145),$V145,IF(AND($R145&lt;&gt;"",EDATE($D145,Milestones!$AA$142)&gt;=$R145),$U145,$T145)))=Milestones!$AB$142),TEXT(EDATE($D145,Milestones!$AA$142),"dd/mm/yy")&amp;" "&amp;Milestones!$AB$142&amp;" "&amp;Milestones!$AC$142&amp;";  ","")&amp;IF(AND(EDATE($D145,Milestones!$AA$143)&lt;=AsOfDate,IF($Q145=0,$W145,IF(AND($S145&lt;&gt;"",EDATE($D145,Milestones!$AA$143)&gt;=$S145),$V145,IF(AND($R145&lt;&gt;"",EDATE($D145,Milestones!$AA$143)&gt;=$R145),$U145,$T145)))=Milestones!$AB$143),TEXT(EDATE($D145,Milestones!$AA$143),"dd/mm/yy")&amp;" "&amp;Milestones!$AB$143&amp;" "&amp;Milestones!$AC$143&amp;";  ","")&amp;IF(AND(EDATE($D145,Milestones!$AA$144)&lt;=AsOfDate,IF($Q145=0,$W145,IF(AND($S145&lt;&gt;"",EDATE($D145,Milestones!$AA$144)&gt;=$S145),$V145,IF(AND($R145&lt;&gt;"",EDATE($D145,Milestones!$AA$144)&gt;=$R145),$U145,$T145)))=Milestones!$AB$144),TEXT(EDATE($D145,Milestones!$AA$144),"dd/mm/yy")&amp;" "&amp;Milestones!$AB$144&amp;" "&amp;Milestones!$AC$144&amp;";  ","")&amp;IF(AND(EDATE($D145,Milestones!$AA$145)&lt;=AsOfDate,IF($Q145=0,$W145,IF(AND($S145&lt;&gt;"",EDATE($D145,Milestones!$AA$145)&gt;=$S145),$V145,IF(AND($R145&lt;&gt;"",EDATE($D145,Milestones!$AA$145)&gt;=$R145),$U145,$T145)))=Milestones!$AB$145),TEXT(EDATE($D145,Milestones!$AA$145),"dd/mm/yy")&amp;" "&amp;Milestones!$AB$145&amp;" "&amp;Milestones!$AC$145&amp;";  ","")&amp;IF(AND(EDATE($D145,Milestones!$AA$146)&lt;=AsOfDate,IF($Q145=0,$W145,IF(AND($S145&lt;&gt;"",EDATE($D145,Milestones!$AA$146)&gt;=$S145),$V145,IF(AND($R145&lt;&gt;"",EDATE($D145,Milestones!$AA$146)&gt;=$R145),$U145,$T145)))=Milestones!$AB$146),TEXT(EDATE($D145,Milestones!$AA$146),"dd/mm/yy")&amp;" "&amp;Milestones!$AB$146&amp;" "&amp;Milestones!$AC$146&amp;";  ","")&amp;IF(AND(EDATE($D145,Milestones!$AA$147)&lt;=AsOfDate,IF($Q145=0,$W145,IF(AND($S145&lt;&gt;"",EDATE($D145,Milestones!$AA$147)&gt;=$S145),$V145,IF(AND($R145&lt;&gt;"",EDATE($D145,Milestones!$AA$147)&gt;=$R145),$U145,$T145)))=Milestones!$AB$147),TEXT(EDATE($D145,Milestones!$AA$147),"dd/mm/yy")&amp;" "&amp;Milestones!$AB$147&amp;" "&amp;Milestones!$AC$147&amp;";  ","")&amp;IF(AND(EDATE($D145,Milestones!$AA$148)&lt;=AsOfDate,IF($Q145=0,$W145,IF(AND($S145&lt;&gt;"",EDATE($D145,Milestones!$AA$148)&gt;=$S145),$V145,IF(AND($R145&lt;&gt;"",EDATE($D145,Milestones!$AA$148)&gt;=$R145),$U145,$T145)))=Milestones!$AB$148),TEXT(EDATE($D145,Milestones!$AA$148),"dd/mm/yy")&amp;" "&amp;Milestones!$AB$148&amp;" "&amp;Milestones!$AC$148&amp;";  ","")&amp;IF(AND(EDATE($D145,Milestones!$AA$149)&lt;=AsOfDate,IF($Q145=0,$W145,IF(AND($S145&lt;&gt;"",EDATE($D145,Milestones!$AA$149)&gt;=$S145),$V145,IF(AND($R145&lt;&gt;"",EDATE($D145,Milestones!$AA$149)&gt;=$R145),$U145,$T145)))=Milestones!$AB$149),TEXT(EDATE($D145,Milestones!$AA$149),"dd/mm/yy")&amp;" "&amp;Milestones!$AB$149&amp;" "&amp;Milestones!$AC$149&amp;";  ","")&amp;IF(AND(EDATE($D145,Milestones!$AA$150)&lt;=AsOfDate,IF($Q145=0,$W145,IF(AND($S145&lt;&gt;"",EDATE($D145,Milestones!$AA$150)&gt;=$S145),$V145,IF(AND($R145&lt;&gt;"",EDATE($D145,Milestones!$AA$150)&gt;=$R145),$U145,$T145)))=Milestones!$AB$150),TEXT(EDATE($D145,Milestones!$AA$150),"dd/mm/yy")&amp;" "&amp;Milestones!$AB$150&amp;" "&amp;Milestones!$AC$150&amp;";  ","")&amp;IF(AND(EDATE($D145,Milestones!$AA$151)&lt;=AsOfDate,IF($Q145=0,$W145,IF(AND($S145&lt;&gt;"",EDATE($D145,Milestones!$AA$151)&gt;=$S145),$V145,IF(AND($R145&lt;&gt;"",EDATE($D145,Milestones!$AA$151)&gt;=$R145),$U145,$T145)))=Milestones!$AB$151),TEXT(EDATE($D145,Milestones!$AA$151),"dd/mm/yy")&amp;" "&amp;Milestones!$AB$151&amp;" "&amp;Milestones!$AC$151&amp;";  ","")&amp;IF(AND(EDATE($D145,Milestones!$AA$152)&lt;=AsOfDate,IF($Q145=0,$W145,IF(AND($S145&lt;&gt;"",EDATE($D145,Milestones!$AA$152)&gt;=$S145),$V145,IF(AND($R145&lt;&gt;"",EDATE($D145,Milestones!$AA$152)&gt;=$R145),$U145,$T145)))=Milestones!$AB$152),TEXT(EDATE($D145,Milestones!$AA$152),"dd/mm/yy")&amp;" "&amp;Milestones!$AB$152&amp;" "&amp;Milestones!$AC$152&amp;";  ","")&amp;IF(AND(EDATE($D145,Milestones!$AA$153)&lt;=AsOfDate,IF($Q145=0,$W145,IF(AND($S145&lt;&gt;"",EDATE($D145,Milestones!$AA$153)&gt;=$S145),$V145,IF(AND($R145&lt;&gt;"",EDATE($D145,Milestones!$AA$153)&gt;=$R145),$U145,$T145)))=Milestones!$AB$153),TEXT(EDATE($D145,Milestones!$AA$153),"dd/mm/yy")&amp;" "&amp;Milestones!$AB$153&amp;" "&amp;Milestones!$AC$153&amp;";  ","")&amp;IF(AND(EDATE($D145,Milestones!$AA$154)&lt;=AsOfDate,IF($Q145=0,$W145,IF(AND($S145&lt;&gt;"",EDATE($D145,Milestones!$AA$154)&gt;=$S145),$V145,IF(AND($R145&lt;&gt;"",EDATE($D145,Milestones!$AA$154)&gt;=$R145),$U145,$T145)))=Milestones!$AB$154),TEXT(EDATE($D145,Milestones!$AA$154),"dd/mm/yy")&amp;" "&amp;Milestones!$AB$154&amp;" "&amp;Milestones!$AC$154&amp;";  ","")&amp;IF(AND(EDATE($D145,Milestones!$AA$155)&lt;=AsOfDate,IF($Q145=0,$W145,IF(AND($S145&lt;&gt;"",EDATE($D145,Milestones!$AA$155)&gt;=$S145),$V145,IF(AND($R145&lt;&gt;"",EDATE($D145,Milestones!$AA$155)&gt;=$R145),$U145,$T145)))=Milestones!$AB$155),TEXT(EDATE($D145,Milestones!$AA$155),"dd/mm/yy")&amp;" "&amp;Milestones!$AB$155&amp;" "&amp;Milestones!$AC$155&amp;";  ","")&amp;IF(AND(EDATE($D145,Milestones!$AA$156)&lt;=AsOfDate,IF($Q145=0,$W145,IF(AND($S145&lt;&gt;"",EDATE($D145,Milestones!$AA$156)&gt;=$S145),$V145,IF(AND($R145&lt;&gt;"",EDATE($D145,Milestones!$AA$156)&gt;=$R145),$U145,$T145)))=Milestones!$AB$156),TEXT(EDATE($D145,Milestones!$AA$156),"dd/mm/yy")&amp;" "&amp;Milestones!$AB$156&amp;" "&amp;Milestones!$AC$156&amp;";  ","")&amp;IF(AND(EDATE($D145,Milestones!$AA$157)&lt;=AsOfDate,IF($Q145=0,$W145,IF(AND($S145&lt;&gt;"",EDATE($D145,Milestones!$AA$157)&gt;=$S145),$V145,IF(AND($R145&lt;&gt;"",EDATE($D145,Milestones!$AA$157)&gt;=$R145),$U145,$T145)))=Milestones!$AB$157),TEXT(EDATE($D145,Milestones!$AA$157),"dd/mm/yy")&amp;" "&amp;Milestones!$AB$157&amp;" "&amp;Milestones!$AC$157&amp;";  ","")&amp;IF(AND(EDATE($D145,Milestones!$AA$158)&lt;=AsOfDate,IF($Q145=0,$W145,IF(AND($S145&lt;&gt;"",EDATE($D145,Milestones!$AA$158)&gt;=$S145),$V145,IF(AND($R145&lt;&gt;"",EDATE($D145,Milestones!$AA$158)&gt;=$R145),$U145,$T145)))=Milestones!$AB$158),TEXT(EDATE($D145,Milestones!$AA$158),"dd/mm/yy")&amp;" "&amp;Milestones!$AB$158&amp;" "&amp;Milestones!$AC$158&amp;";  ","")&amp;IF(AND(EDATE($D145,Milestones!$AA$159)&lt;=AsOfDate,IF($Q145=0,$W145,IF(AND($S145&lt;&gt;"",EDATE($D145,Milestones!$AA$159)&gt;=$S145),$V145,IF(AND($R145&lt;&gt;"",EDATE($D145,Milestones!$AA$159)&gt;=$R145),$U145,$T145)))=Milestones!$AB$159),TEXT(EDATE($D145,Milestones!$AA$159),"dd/mm/yy")&amp;" "&amp;Milestones!$AB$159&amp;" "&amp;Milestones!$AC$159&amp;";  ",""))</f>
        <v/>
      </c>
      <c r="O145" s="0" t="str">
        <f aca="false">IF(OR($A145="",$D145=""),"",IF(AND(EDATE($D145,Milestones!$AA$160)&lt;=AsOfDate,IF($Q145=0,$W145,IF(AND($S145&lt;&gt;"",EDATE($D145,Milestones!$AA$160)&gt;=$S145),$V145,IF(AND($R145&lt;&gt;"",EDATE($D145,Milestones!$AA$160)&gt;=$R145),$U145,$T145)))=Milestones!$AB$160),TEXT(EDATE($D145,Milestones!$AA$160),"dd/mm/yy")&amp;" "&amp;Milestones!$AB$160&amp;" "&amp;Milestones!$AC$160&amp;";  ","")&amp;IF(AND(EDATE($D145,Milestones!$AA$161)&lt;=AsOfDate,IF($Q145=0,$W145,IF(AND($S145&lt;&gt;"",EDATE($D145,Milestones!$AA$161)&gt;=$S145),$V145,IF(AND($R145&lt;&gt;"",EDATE($D145,Milestones!$AA$161)&gt;=$R145),$U145,$T145)))=Milestones!$AB$161),TEXT(EDATE($D145,Milestones!$AA$161),"dd/mm/yy")&amp;" "&amp;Milestones!$AB$161&amp;" "&amp;Milestones!$AC$161&amp;";  ","")&amp;IF(AND(EDATE($D145,Milestones!$AA$162)&lt;=AsOfDate,IF($Q145=0,$W145,IF(AND($S145&lt;&gt;"",EDATE($D145,Milestones!$AA$162)&gt;=$S145),$V145,IF(AND($R145&lt;&gt;"",EDATE($D145,Milestones!$AA$162)&gt;=$R145),$U145,$T145)))=Milestones!$AB$162),TEXT(EDATE($D145,Milestones!$AA$162),"dd/mm/yy")&amp;" "&amp;Milestones!$AB$162&amp;" "&amp;Milestones!$AC$162&amp;";  ","")&amp;IF(AND(EDATE($D145,Milestones!$AA$163)&lt;=AsOfDate,IF($Q145=0,$W145,IF(AND($S145&lt;&gt;"",EDATE($D145,Milestones!$AA$163)&gt;=$S145),$V145,IF(AND($R145&lt;&gt;"",EDATE($D145,Milestones!$AA$163)&gt;=$R145),$U145,$T145)))=Milestones!$AB$163),TEXT(EDATE($D145,Milestones!$AA$163),"dd/mm/yy")&amp;" "&amp;Milestones!$AB$163&amp;" "&amp;Milestones!$AC$163&amp;";  ","")&amp;IF(AND(EDATE($D145,Milestones!$AA$164)&lt;=AsOfDate,IF($Q145=0,$W145,IF(AND($S145&lt;&gt;"",EDATE($D145,Milestones!$AA$164)&gt;=$S145),$V145,IF(AND($R145&lt;&gt;"",EDATE($D145,Milestones!$AA$164)&gt;=$R145),$U145,$T145)))=Milestones!$AB$164),TEXT(EDATE($D145,Milestones!$AA$164),"dd/mm/yy")&amp;" "&amp;Milestones!$AB$164&amp;" "&amp;Milestones!$AC$164&amp;";  ","")&amp;IF(AND(EDATE($D145,Milestones!$AA$165)&lt;=AsOfDate,IF($Q145=0,$W145,IF(AND($S145&lt;&gt;"",EDATE($D145,Milestones!$AA$165)&gt;=$S145),$V145,IF(AND($R145&lt;&gt;"",EDATE($D145,Milestones!$AA$165)&gt;=$R145),$U145,$T145)))=Milestones!$AB$165),TEXT(EDATE($D145,Milestones!$AA$165),"dd/mm/yy")&amp;" "&amp;Milestones!$AB$165&amp;" "&amp;Milestones!$AC$165&amp;";  ","")&amp;IF(AND(EDATE($D145,Milestones!$AA$166)&lt;=AsOfDate,IF($Q145=0,$W145,IF(AND($S145&lt;&gt;"",EDATE($D145,Milestones!$AA$166)&gt;=$S145),$V145,IF(AND($R145&lt;&gt;"",EDATE($D145,Milestones!$AA$166)&gt;=$R145),$U145,$T145)))=Milestones!$AB$166),TEXT(EDATE($D145,Milestones!$AA$166),"dd/mm/yy")&amp;" "&amp;Milestones!$AB$166&amp;" "&amp;Milestones!$AC$166&amp;";  ","")&amp;IF(AND(EDATE($D145,Milestones!$AA$167)&lt;=AsOfDate,IF($Q145=0,$W145,IF(AND($S145&lt;&gt;"",EDATE($D145,Milestones!$AA$167)&gt;=$S145),$V145,IF(AND($R145&lt;&gt;"",EDATE($D145,Milestones!$AA$167)&gt;=$R145),$U145,$T145)))=Milestones!$AB$167),TEXT(EDATE($D145,Milestones!$AA$167),"dd/mm/yy")&amp;" "&amp;Milestones!$AB$167&amp;" "&amp;Milestones!$AC$167&amp;";  ","")&amp;IF(AND(EDATE($D145,Milestones!$AA$168)&lt;=AsOfDate,IF($Q145=0,$W145,IF(AND($S145&lt;&gt;"",EDATE($D145,Milestones!$AA$168)&gt;=$S145),$V145,IF(AND($R145&lt;&gt;"",EDATE($D145,Milestones!$AA$168)&gt;=$R145),$U145,$T145)))=Milestones!$AB$168),TEXT(EDATE($D145,Milestones!$AA$168),"dd/mm/yy")&amp;" "&amp;Milestones!$AB$168&amp;" "&amp;Milestones!$AC$168&amp;";  ","")&amp;IF(AND(EDATE($D145,Milestones!$AA$169)&lt;=AsOfDate,IF($Q145=0,$W145,IF(AND($S145&lt;&gt;"",EDATE($D145,Milestones!$AA$169)&gt;=$S145),$V145,IF(AND($R145&lt;&gt;"",EDATE($D145,Milestones!$AA$169)&gt;=$R145),$U145,$T145)))=Milestones!$AB$169),TEXT(EDATE($D145,Milestones!$AA$169),"dd/mm/yy")&amp;" "&amp;Milestones!$AB$169&amp;" "&amp;Milestones!$AC$169&amp;";  ","")&amp;IF(AND(EDATE($D145,Milestones!$AA$170)&lt;=AsOfDate,IF($Q145=0,$W145,IF(AND($S145&lt;&gt;"",EDATE($D145,Milestones!$AA$170)&gt;=$S145),$V145,IF(AND($R145&lt;&gt;"",EDATE($D145,Milestones!$AA$170)&gt;=$R145),$U145,$T145)))=Milestones!$AB$170),TEXT(EDATE($D145,Milestones!$AA$170),"dd/mm/yy")&amp;" "&amp;Milestones!$AB$170&amp;" "&amp;Milestones!$AC$170&amp;";  ","")&amp;IF(AND(EDATE($D145,Milestones!$AA$171)&lt;=AsOfDate,IF($Q145=0,$W145,IF(AND($S145&lt;&gt;"",EDATE($D145,Milestones!$AA$171)&gt;=$S145),$V145,IF(AND($R145&lt;&gt;"",EDATE($D145,Milestones!$AA$171)&gt;=$R145),$U145,$T145)))=Milestones!$AB$171),TEXT(EDATE($D145,Milestones!$AA$171),"dd/mm/yy")&amp;" "&amp;Milestones!$AB$171&amp;" "&amp;Milestones!$AC$171&amp;";  ","")&amp;IF(AND(EDATE($D145,Milestones!$AA$172)&lt;=AsOfDate,IF($Q145=0,$W145,IF(AND($S145&lt;&gt;"",EDATE($D145,Milestones!$AA$172)&gt;=$S145),$V145,IF(AND($R145&lt;&gt;"",EDATE($D145,Milestones!$AA$172)&gt;=$R145),$U145,$T145)))=Milestones!$AB$172),TEXT(EDATE($D145,Milestones!$AA$172),"dd/mm/yy")&amp;" "&amp;Milestones!$AB$172&amp;" "&amp;Milestones!$AC$172&amp;";  ","")&amp;IF(AND(EDATE($D145,Milestones!$AA$173)&lt;=AsOfDate,IF($Q145=0,$W145,IF(AND($S145&lt;&gt;"",EDATE($D145,Milestones!$AA$173)&gt;=$S145),$V145,IF(AND($R145&lt;&gt;"",EDATE($D145,Milestones!$AA$173)&gt;=$R145),$U145,$T145)))=Milestones!$AB$173),TEXT(EDATE($D145,Milestones!$AA$173),"dd/mm/yy")&amp;" "&amp;Milestones!$AB$173&amp;" "&amp;Milestones!$AC$173&amp;";  ","")&amp;IF(AND(EDATE($D145,Milestones!$AA$174)&lt;=AsOfDate,IF($Q145=0,$W145,IF(AND($S145&lt;&gt;"",EDATE($D145,Milestones!$AA$174)&gt;=$S145),$V145,IF(AND($R145&lt;&gt;"",EDATE($D145,Milestones!$AA$174)&gt;=$R145),$U145,$T145)))=Milestones!$AB$174),TEXT(EDATE($D145,Milestones!$AA$174),"dd/mm/yy")&amp;" "&amp;Milestones!$AB$174&amp;" "&amp;Milestones!$AC$174&amp;";  ","")&amp;IF(AND(EDATE($D145,Milestones!$AA$175)&lt;=AsOfDate,IF($Q145=0,$W145,IF(AND($S145&lt;&gt;"",EDATE($D145,Milestones!$AA$175)&gt;=$S145),$V145,IF(AND($R145&lt;&gt;"",EDATE($D145,Milestones!$AA$175)&gt;=$R145),$U145,$T145)))=Milestones!$AB$175),TEXT(EDATE($D145,Milestones!$AA$175),"dd/mm/yy")&amp;" "&amp;Milestones!$AB$175&amp;" "&amp;Milestones!$AC$175&amp;";  ","")&amp;IF(AND(EDATE($D145,Milestones!$AA$176)&lt;=AsOfDate,IF($Q145=0,$W145,IF(AND($S145&lt;&gt;"",EDATE($D145,Milestones!$AA$176)&gt;=$S145),$V145,IF(AND($R145&lt;&gt;"",EDATE($D145,Milestones!$AA$176)&gt;=$R145),$U145,$T145)))=Milestones!$AB$176),TEXT(EDATE($D145,Milestones!$AA$176),"dd/mm/yy")&amp;" "&amp;Milestones!$AB$176&amp;" "&amp;Milestones!$AC$176&amp;";  ","")&amp;IF(AND(EDATE($D145,Milestones!$AA$177)&lt;=AsOfDate,IF($Q145=0,$W145,IF(AND($S145&lt;&gt;"",EDATE($D145,Milestones!$AA$177)&gt;=$S145),$V145,IF(AND($R145&lt;&gt;"",EDATE($D145,Milestones!$AA$177)&gt;=$R145),$U145,$T145)))=Milestones!$AB$177),TEXT(EDATE($D145,Milestones!$AA$177),"dd/mm/yy")&amp;" "&amp;Milestones!$AB$177&amp;" "&amp;Milestones!$AC$177&amp;";  ","")&amp;IF(AND(EDATE($D145,Milestones!$AA$178)&lt;=AsOfDate,IF($Q145=0,$W145,IF(AND($S145&lt;&gt;"",EDATE($D145,Milestones!$AA$178)&gt;=$S145),$V145,IF(AND($R145&lt;&gt;"",EDATE($D145,Milestones!$AA$178)&gt;=$R145),$U145,$T145)))=Milestones!$AB$178),TEXT(EDATE($D145,Milestones!$AA$178),"dd/mm/yy")&amp;" "&amp;Milestones!$AB$178&amp;" "&amp;Milestones!$AC$178&amp;";  ","")&amp;IF(AND(EDATE($D145,Milestones!$AA$179)&lt;=AsOfDate,IF($Q145=0,$W145,IF(AND($S145&lt;&gt;"",EDATE($D145,Milestones!$AA$179)&gt;=$S145),$V145,IF(AND($R145&lt;&gt;"",EDATE($D145,Milestones!$AA$179)&gt;=$R145),$U145,$T145)))=Milestones!$AB$179),TEXT(EDATE($D145,Milestones!$AA$179),"dd/mm/yy")&amp;" "&amp;Milestones!$AB$179&amp;" "&amp;Milestones!$AC$179&amp;";  ",""))</f>
        <v/>
      </c>
      <c r="P145" s="0" t="str">
        <f aca="false">IF(OR($A145="",$D145=""),"",IF(AND(EDATE($D145,Milestones!$AA$180)&lt;=AsOfDate,IF($Q145=0,$W145,IF(AND($S145&lt;&gt;"",EDATE($D145,Milestones!$AA$180)&gt;=$S145),$V145,IF(AND($R145&lt;&gt;"",EDATE($D145,Milestones!$AA$180)&gt;=$R145),$U145,$T145)))=Milestones!$AB$180),TEXT(EDATE($D145,Milestones!$AA$180),"dd/mm/yy")&amp;" "&amp;Milestones!$AB$180&amp;" "&amp;Milestones!$AC$180&amp;";  ","")&amp;IF(AND(EDATE($D145,Milestones!$AA$181)&lt;=AsOfDate,IF($Q145=0,$W145,IF(AND($S145&lt;&gt;"",EDATE($D145,Milestones!$AA$181)&gt;=$S145),$V145,IF(AND($R145&lt;&gt;"",EDATE($D145,Milestones!$AA$181)&gt;=$R145),$U145,$T145)))=Milestones!$AB$181),TEXT(EDATE($D145,Milestones!$AA$181),"dd/mm/yy")&amp;" "&amp;Milestones!$AB$181&amp;" "&amp;Milestones!$AC$181&amp;";  ","")&amp;IF(AND(EDATE($D145,Milestones!$AA$182)&lt;=AsOfDate,IF($Q145=0,$W145,IF(AND($S145&lt;&gt;"",EDATE($D145,Milestones!$AA$182)&gt;=$S145),$V145,IF(AND($R145&lt;&gt;"",EDATE($D145,Milestones!$AA$182)&gt;=$R145),$U145,$T145)))=Milestones!$AB$182),TEXT(EDATE($D145,Milestones!$AA$182),"dd/mm/yy")&amp;" "&amp;Milestones!$AB$182&amp;" "&amp;Milestones!$AC$182&amp;";  ","")&amp;IF(AND(EDATE($D145,Milestones!$AA$183)&lt;=AsOfDate,IF($Q145=0,$W145,IF(AND($S145&lt;&gt;"",EDATE($D145,Milestones!$AA$183)&gt;=$S145),$V145,IF(AND($R145&lt;&gt;"",EDATE($D145,Milestones!$AA$183)&gt;=$R145),$U145,$T145)))=Milestones!$AB$183),TEXT(EDATE($D145,Milestones!$AA$183),"dd/mm/yy")&amp;" "&amp;Milestones!$AB$183&amp;" "&amp;Milestones!$AC$183&amp;";  ","")&amp;IF(AND(EDATE($D145,Milestones!$AA$184)&lt;=AsOfDate,IF($Q145=0,$W145,IF(AND($S145&lt;&gt;"",EDATE($D145,Milestones!$AA$184)&gt;=$S145),$V145,IF(AND($R145&lt;&gt;"",EDATE($D145,Milestones!$AA$184)&gt;=$R145),$U145,$T145)))=Milestones!$AB$184),TEXT(EDATE($D145,Milestones!$AA$184),"dd/mm/yy")&amp;" "&amp;Milestones!$AB$184&amp;" "&amp;Milestones!$AC$184&amp;";  ","")&amp;IF(AND(EDATE($D145,Milestones!$AA$185)&lt;=AsOfDate,IF($Q145=0,$W145,IF(AND($S145&lt;&gt;"",EDATE($D145,Milestones!$AA$185)&gt;=$S145),$V145,IF(AND($R145&lt;&gt;"",EDATE($D145,Milestones!$AA$185)&gt;=$R145),$U145,$T145)))=Milestones!$AB$185),TEXT(EDATE($D145,Milestones!$AA$185),"dd/mm/yy")&amp;" "&amp;Milestones!$AB$185&amp;" "&amp;Milestones!$AC$185&amp;";  ","")&amp;IF(AND(EDATE($D145,Milestones!$AA$186)&lt;=AsOfDate,IF($Q145=0,$W145,IF(AND($S145&lt;&gt;"",EDATE($D145,Milestones!$AA$186)&gt;=$S145),$V145,IF(AND($R145&lt;&gt;"",EDATE($D145,Milestones!$AA$186)&gt;=$R145),$U145,$T145)))=Milestones!$AB$186),TEXT(EDATE($D145,Milestones!$AA$186),"dd/mm/yy")&amp;" "&amp;Milestones!$AB$186&amp;" "&amp;Milestones!$AC$186&amp;";  ","")&amp;IF(AND(EDATE($D145,Milestones!$AA$187)&lt;=AsOfDate,IF($Q145=0,$W145,IF(AND($S145&lt;&gt;"",EDATE($D145,Milestones!$AA$187)&gt;=$S145),$V145,IF(AND($R145&lt;&gt;"",EDATE($D145,Milestones!$AA$187)&gt;=$R145),$U145,$T145)))=Milestones!$AB$187),TEXT(EDATE($D145,Milestones!$AA$187),"dd/mm/yy")&amp;" "&amp;Milestones!$AB$187&amp;" "&amp;Milestones!$AC$187&amp;";  ","")&amp;IF(AND(EDATE($D145,Milestones!$AA$188)&lt;=AsOfDate,IF($Q145=0,$W145,IF(AND($S145&lt;&gt;"",EDATE($D145,Milestones!$AA$188)&gt;=$S145),$V145,IF(AND($R145&lt;&gt;"",EDATE($D145,Milestones!$AA$188)&gt;=$R145),$U145,$T145)))=Milestones!$AB$188),TEXT(EDATE($D145,Milestones!$AA$188),"dd/mm/yy")&amp;" "&amp;Milestones!$AB$188&amp;" "&amp;Milestones!$AC$188&amp;";  ","")&amp;IF(AND(EDATE($D145,Milestones!$AA$189)&lt;=AsOfDate,IF($Q145=0,$W145,IF(AND($S145&lt;&gt;"",EDATE($D145,Milestones!$AA$189)&gt;=$S145),$V145,IF(AND($R145&lt;&gt;"",EDATE($D145,Milestones!$AA$189)&gt;=$R145),$U145,$T145)))=Milestones!$AB$189),TEXT(EDATE($D145,Milestones!$AA$189),"dd/mm/yy")&amp;" "&amp;Milestones!$AB$189&amp;" "&amp;Milestones!$AC$189&amp;";  ","")&amp;IF(AND(EDATE($D145,Milestones!$AA$190)&lt;=AsOfDate,IF($Q145=0,$W145,IF(AND($S145&lt;&gt;"",EDATE($D145,Milestones!$AA$190)&gt;=$S145),$V145,IF(AND($R145&lt;&gt;"",EDATE($D145,Milestones!$AA$190)&gt;=$R145),$U145,$T145)))=Milestones!$AB$190),TEXT(EDATE($D145,Milestones!$AA$190),"dd/mm/yy")&amp;" "&amp;Milestones!$AB$190&amp;" "&amp;Milestones!$AC$190&amp;";  ","")&amp;IF(AND(EDATE($D145,Milestones!$AA$191)&lt;=AsOfDate,IF($Q145=0,$W145,IF(AND($S145&lt;&gt;"",EDATE($D145,Milestones!$AA$191)&gt;=$S145),$V145,IF(AND($R145&lt;&gt;"",EDATE($D145,Milestones!$AA$191)&gt;=$R145),$U145,$T145)))=Milestones!$AB$191),TEXT(EDATE($D145,Milestones!$AA$191),"dd/mm/yy")&amp;" "&amp;Milestones!$AB$191&amp;" "&amp;Milestones!$AC$191&amp;";  ","")&amp;IF(AND(EDATE($D145,Milestones!$AA$192)&lt;=AsOfDate,IF($Q145=0,$W145,IF(AND($S145&lt;&gt;"",EDATE($D145,Milestones!$AA$192)&gt;=$S145),$V145,IF(AND($R145&lt;&gt;"",EDATE($D145,Milestones!$AA$192)&gt;=$R145),$U145,$T145)))=Milestones!$AB$192),TEXT(EDATE($D145,Milestones!$AA$192),"dd/mm/yy")&amp;" "&amp;Milestones!$AB$192&amp;" "&amp;Milestones!$AC$192&amp;";  ","")&amp;IF(AND(EDATE($D145,Milestones!$AA$193)&lt;=AsOfDate,IF($Q145=0,$W145,IF(AND($S145&lt;&gt;"",EDATE($D145,Milestones!$AA$193)&gt;=$S145),$V145,IF(AND($R145&lt;&gt;"",EDATE($D145,Milestones!$AA$193)&gt;=$R145),$U145,$T145)))=Milestones!$AB$193),TEXT(EDATE($D145,Milestones!$AA$193),"dd/mm/yy")&amp;" "&amp;Milestones!$AB$193&amp;" "&amp;Milestones!$AC$193&amp;";  ","")&amp;IF(AND(EDATE($D145,Milestones!$AA$194)&lt;=AsOfDate,IF($Q145=0,$W145,IF(AND($S145&lt;&gt;"",EDATE($D145,Milestones!$AA$194)&gt;=$S145),$V145,IF(AND($R145&lt;&gt;"",EDATE($D145,Milestones!$AA$194)&gt;=$R145),$U145,$T145)))=Milestones!$AB$194),TEXT(EDATE($D145,Milestones!$AA$194),"dd/mm/yy")&amp;" "&amp;Milestones!$AB$194&amp;" "&amp;Milestones!$AC$194&amp;";  ","")&amp;IF(AND(EDATE($D145,Milestones!$AA$195)&lt;=AsOfDate,IF($Q145=0,$W145,IF(AND($S145&lt;&gt;"",EDATE($D145,Milestones!$AA$195)&gt;=$S145),$V145,IF(AND($R145&lt;&gt;"",EDATE($D145,Milestones!$AA$195)&gt;=$R145),$U145,$T145)))=Milestones!$AB$195),TEXT(EDATE($D145,Milestones!$AA$195),"dd/mm/yy")&amp;" "&amp;Milestones!$AB$195&amp;" "&amp;Milestones!$AC$195&amp;";  ","")&amp;IF(AND(EDATE($D145,Milestones!$AA$196)&lt;=AsOfDate,IF($Q145=0,$W145,IF(AND($S145&lt;&gt;"",EDATE($D145,Milestones!$AA$196)&gt;=$S145),$V145,IF(AND($R145&lt;&gt;"",EDATE($D145,Milestones!$AA$196)&gt;=$R145),$U145,$T145)))=Milestones!$AB$196),TEXT(EDATE($D145,Milestones!$AA$196),"dd/mm/yy")&amp;" "&amp;Milestones!$AB$196&amp;" "&amp;Milestones!$AC$196&amp;";  ","")&amp;IF(AND(EDATE($D145,Milestones!$AA$197)&lt;=AsOfDate,IF($Q145=0,$W145,IF(AND($S145&lt;&gt;"",EDATE($D145,Milestones!$AA$197)&gt;=$S145),$V145,IF(AND($R145&lt;&gt;"",EDATE($D145,Milestones!$AA$197)&gt;=$R145),$U145,$T145)))=Milestones!$AB$197),TEXT(EDATE($D145,Milestones!$AA$197),"dd/mm/yy")&amp;" "&amp;Milestones!$AB$197&amp;" "&amp;Milestones!$AC$197&amp;";  ","")&amp;IF(AND(EDATE($D145,Milestones!$AA$198)&lt;=AsOfDate,IF($Q145=0,$W145,IF(AND($S145&lt;&gt;"",EDATE($D145,Milestones!$AA$198)&gt;=$S145),$V145,IF(AND($R145&lt;&gt;"",EDATE($D145,Milestones!$AA$198)&gt;=$R145),$U145,$T145)))=Milestones!$AB$198),TEXT(EDATE($D145,Milestones!$AA$198),"dd/mm/yy")&amp;" "&amp;Milestones!$AB$198&amp;" "&amp;Milestones!$AC$198&amp;";  ","")&amp;IF(AND(EDATE($D145,Milestones!$AA$199)&lt;=AsOfDate,IF($Q145=0,$W145,IF(AND($S145&lt;&gt;"",EDATE($D145,Milestones!$AA$199)&gt;=$S145),$V145,IF(AND($R145&lt;&gt;"",EDATE($D145,Milestones!$AA$199)&gt;=$R145),$U145,$T145)))=Milestones!$AB$199),TEXT(EDATE($D145,Milestones!$AA$199),"dd/mm/yy")&amp;" "&amp;Milestones!$AB$199&amp;" "&amp;Milestones!$AC$199&amp;";  ",""))</f>
        <v/>
      </c>
      <c r="Q145" s="0" t="str">
        <f aca="false">IF(Staff!$A145="","",Staff!$AG145)</f>
        <v/>
      </c>
      <c r="R145" s="0" t="str">
        <f aca="false">IF(Staff!$A145="","",Staff!$AI145)</f>
        <v/>
      </c>
      <c r="S145" s="0" t="str">
        <f aca="false">IF(Staff!$A145="","",Staff!$AJ145)</f>
        <v/>
      </c>
      <c r="T145" s="0" t="str">
        <f aca="false">IF(Staff!$A145="","",Staff!$AN145)</f>
        <v/>
      </c>
      <c r="U145" s="0" t="str">
        <f aca="false">IF(Staff!$A145="","",Staff!$AO145)</f>
        <v/>
      </c>
      <c r="V145" s="0" t="str">
        <f aca="false">IF(Staff!$A145="","",Staff!$AP145)</f>
        <v/>
      </c>
      <c r="W145" s="0" t="str">
        <f aca="false">IF(Staff!$A145="","",Staff!$AQ145)</f>
        <v/>
      </c>
    </row>
    <row r="146" customFormat="false" ht="15" hidden="false" customHeight="false" outlineLevel="0" collapsed="false">
      <c r="A146" s="13" t="str">
        <f aca="false">IF(Staff!$A146="","",Staff!$A146)</f>
        <v/>
      </c>
      <c r="B146" s="13" t="str">
        <f aca="false">IF(Staff!$A146="","",Staff!$B146)</f>
        <v/>
      </c>
      <c r="C146" s="13" t="str">
        <f aca="false">IF(Staff!$A146="","",Staff!$C146)</f>
        <v/>
      </c>
      <c r="D146" s="11" t="str">
        <f aca="false">IF(Staff!$A146="","",Staff!$AF146)</f>
        <v/>
      </c>
      <c r="E146" s="13" t="str">
        <f aca="false">IF(Staff!$A146="","",Staff!$O146)</f>
        <v/>
      </c>
      <c r="F146" s="13" t="str">
        <f aca="false">IF(E146="","",E146*HoursPerDay)</f>
        <v/>
      </c>
      <c r="G146" s="26" t="str">
        <f aca="false">IF($A146="","",H146&amp;I146&amp;J146&amp;K146&amp;L146&amp;M146&amp;N146&amp;O146&amp;P146)</f>
        <v/>
      </c>
      <c r="H146" s="0" t="str">
        <f aca="false">IF(OR($A146="",$D146=""),"",IF(AND(EDATE($D146,Milestones!$AA$20)&lt;=AsOfDate,IF($Q146=0,$W146,IF(AND($S146&lt;&gt;"",EDATE($D146,Milestones!$AA$20)&gt;=$S146),$V146,IF(AND($R146&lt;&gt;"",EDATE($D146,Milestones!$AA$20)&gt;=$R146),$U146,$T146)))=Milestones!$AB$20),TEXT(EDATE($D146,Milestones!$AA$20),"dd/mm/yy")&amp;" "&amp;Milestones!$AB$20&amp;" "&amp;Milestones!$AC$20&amp;";  ","")&amp;IF(AND(EDATE($D146,Milestones!$AA$21)&lt;=AsOfDate,IF($Q146=0,$W146,IF(AND($S146&lt;&gt;"",EDATE($D146,Milestones!$AA$21)&gt;=$S146),$V146,IF(AND($R146&lt;&gt;"",EDATE($D146,Milestones!$AA$21)&gt;=$R146),$U146,$T146)))=Milestones!$AB$21),TEXT(EDATE($D146,Milestones!$AA$21),"dd/mm/yy")&amp;" "&amp;Milestones!$AB$21&amp;" "&amp;Milestones!$AC$21&amp;";  ","")&amp;IF(AND(EDATE($D146,Milestones!$AA$22)&lt;=AsOfDate,IF($Q146=0,$W146,IF(AND($S146&lt;&gt;"",EDATE($D146,Milestones!$AA$22)&gt;=$S146),$V146,IF(AND($R146&lt;&gt;"",EDATE($D146,Milestones!$AA$22)&gt;=$R146),$U146,$T146)))=Milestones!$AB$22),TEXT(EDATE($D146,Milestones!$AA$22),"dd/mm/yy")&amp;" "&amp;Milestones!$AB$22&amp;" "&amp;Milestones!$AC$22&amp;";  ","")&amp;IF(AND(EDATE($D146,Milestones!$AA$23)&lt;=AsOfDate,IF($Q146=0,$W146,IF(AND($S146&lt;&gt;"",EDATE($D146,Milestones!$AA$23)&gt;=$S146),$V146,IF(AND($R146&lt;&gt;"",EDATE($D146,Milestones!$AA$23)&gt;=$R146),$U146,$T146)))=Milestones!$AB$23),TEXT(EDATE($D146,Milestones!$AA$23),"dd/mm/yy")&amp;" "&amp;Milestones!$AB$23&amp;" "&amp;Milestones!$AC$23&amp;";  ","")&amp;IF(AND(EDATE($D146,Milestones!$AA$24)&lt;=AsOfDate,IF($Q146=0,$W146,IF(AND($S146&lt;&gt;"",EDATE($D146,Milestones!$AA$24)&gt;=$S146),$V146,IF(AND($R146&lt;&gt;"",EDATE($D146,Milestones!$AA$24)&gt;=$R146),$U146,$T146)))=Milestones!$AB$24),TEXT(EDATE($D146,Milestones!$AA$24),"dd/mm/yy")&amp;" "&amp;Milestones!$AB$24&amp;" "&amp;Milestones!$AC$24&amp;";  ","")&amp;IF(AND(EDATE($D146,Milestones!$AA$25)&lt;=AsOfDate,IF($Q146=0,$W146,IF(AND($S146&lt;&gt;"",EDATE($D146,Milestones!$AA$25)&gt;=$S146),$V146,IF(AND($R146&lt;&gt;"",EDATE($D146,Milestones!$AA$25)&gt;=$R146),$U146,$T146)))=Milestones!$AB$25),TEXT(EDATE($D146,Milestones!$AA$25),"dd/mm/yy")&amp;" "&amp;Milestones!$AB$25&amp;" "&amp;Milestones!$AC$25&amp;";  ","")&amp;IF(AND(EDATE($D146,Milestones!$AA$26)&lt;=AsOfDate,IF($Q146=0,$W146,IF(AND($S146&lt;&gt;"",EDATE($D146,Milestones!$AA$26)&gt;=$S146),$V146,IF(AND($R146&lt;&gt;"",EDATE($D146,Milestones!$AA$26)&gt;=$R146),$U146,$T146)))=Milestones!$AB$26),TEXT(EDATE($D146,Milestones!$AA$26),"dd/mm/yy")&amp;" "&amp;Milestones!$AB$26&amp;" "&amp;Milestones!$AC$26&amp;";  ","")&amp;IF(AND(EDATE($D146,Milestones!$AA$27)&lt;=AsOfDate,IF($Q146=0,$W146,IF(AND($S146&lt;&gt;"",EDATE($D146,Milestones!$AA$27)&gt;=$S146),$V146,IF(AND($R146&lt;&gt;"",EDATE($D146,Milestones!$AA$27)&gt;=$R146),$U146,$T146)))=Milestones!$AB$27),TEXT(EDATE($D146,Milestones!$AA$27),"dd/mm/yy")&amp;" "&amp;Milestones!$AB$27&amp;" "&amp;Milestones!$AC$27&amp;";  ","")&amp;IF(AND(EDATE($D146,Milestones!$AA$28)&lt;=AsOfDate,IF($Q146=0,$W146,IF(AND($S146&lt;&gt;"",EDATE($D146,Milestones!$AA$28)&gt;=$S146),$V146,IF(AND($R146&lt;&gt;"",EDATE($D146,Milestones!$AA$28)&gt;=$R146),$U146,$T146)))=Milestones!$AB$28),TEXT(EDATE($D146,Milestones!$AA$28),"dd/mm/yy")&amp;" "&amp;Milestones!$AB$28&amp;" "&amp;Milestones!$AC$28&amp;";  ","")&amp;IF(AND(EDATE($D146,Milestones!$AA$29)&lt;=AsOfDate,IF($Q146=0,$W146,IF(AND($S146&lt;&gt;"",EDATE($D146,Milestones!$AA$29)&gt;=$S146),$V146,IF(AND($R146&lt;&gt;"",EDATE($D146,Milestones!$AA$29)&gt;=$R146),$U146,$T146)))=Milestones!$AB$29),TEXT(EDATE($D146,Milestones!$AA$29),"dd/mm/yy")&amp;" "&amp;Milestones!$AB$29&amp;" "&amp;Milestones!$AC$29&amp;";  ","")&amp;IF(AND(EDATE($D146,Milestones!$AA$30)&lt;=AsOfDate,IF($Q146=0,$W146,IF(AND($S146&lt;&gt;"",EDATE($D146,Milestones!$AA$30)&gt;=$S146),$V146,IF(AND($R146&lt;&gt;"",EDATE($D146,Milestones!$AA$30)&gt;=$R146),$U146,$T146)))=Milestones!$AB$30),TEXT(EDATE($D146,Milestones!$AA$30),"dd/mm/yy")&amp;" "&amp;Milestones!$AB$30&amp;" "&amp;Milestones!$AC$30&amp;";  ","")&amp;IF(AND(EDATE($D146,Milestones!$AA$31)&lt;=AsOfDate,IF($Q146=0,$W146,IF(AND($S146&lt;&gt;"",EDATE($D146,Milestones!$AA$31)&gt;=$S146),$V146,IF(AND($R146&lt;&gt;"",EDATE($D146,Milestones!$AA$31)&gt;=$R146),$U146,$T146)))=Milestones!$AB$31),TEXT(EDATE($D146,Milestones!$AA$31),"dd/mm/yy")&amp;" "&amp;Milestones!$AB$31&amp;" "&amp;Milestones!$AC$31&amp;";  ","")&amp;IF(AND(EDATE($D146,Milestones!$AA$32)&lt;=AsOfDate,IF($Q146=0,$W146,IF(AND($S146&lt;&gt;"",EDATE($D146,Milestones!$AA$32)&gt;=$S146),$V146,IF(AND($R146&lt;&gt;"",EDATE($D146,Milestones!$AA$32)&gt;=$R146),$U146,$T146)))=Milestones!$AB$32),TEXT(EDATE($D146,Milestones!$AA$32),"dd/mm/yy")&amp;" "&amp;Milestones!$AB$32&amp;" "&amp;Milestones!$AC$32&amp;";  ","")&amp;IF(AND(EDATE($D146,Milestones!$AA$33)&lt;=AsOfDate,IF($Q146=0,$W146,IF(AND($S146&lt;&gt;"",EDATE($D146,Milestones!$AA$33)&gt;=$S146),$V146,IF(AND($R146&lt;&gt;"",EDATE($D146,Milestones!$AA$33)&gt;=$R146),$U146,$T146)))=Milestones!$AB$33),TEXT(EDATE($D146,Milestones!$AA$33),"dd/mm/yy")&amp;" "&amp;Milestones!$AB$33&amp;" "&amp;Milestones!$AC$33&amp;";  ","")&amp;IF(AND(EDATE($D146,Milestones!$AA$34)&lt;=AsOfDate,IF($Q146=0,$W146,IF(AND($S146&lt;&gt;"",EDATE($D146,Milestones!$AA$34)&gt;=$S146),$V146,IF(AND($R146&lt;&gt;"",EDATE($D146,Milestones!$AA$34)&gt;=$R146),$U146,$T146)))=Milestones!$AB$34),TEXT(EDATE($D146,Milestones!$AA$34),"dd/mm/yy")&amp;" "&amp;Milestones!$AB$34&amp;" "&amp;Milestones!$AC$34&amp;";  ","")&amp;IF(AND(EDATE($D146,Milestones!$AA$35)&lt;=AsOfDate,IF($Q146=0,$W146,IF(AND($S146&lt;&gt;"",EDATE($D146,Milestones!$AA$35)&gt;=$S146),$V146,IF(AND($R146&lt;&gt;"",EDATE($D146,Milestones!$AA$35)&gt;=$R146),$U146,$T146)))=Milestones!$AB$35),TEXT(EDATE($D146,Milestones!$AA$35),"dd/mm/yy")&amp;" "&amp;Milestones!$AB$35&amp;" "&amp;Milestones!$AC$35&amp;";  ","")&amp;IF(AND(EDATE($D146,Milestones!$AA$36)&lt;=AsOfDate,IF($Q146=0,$W146,IF(AND($S146&lt;&gt;"",EDATE($D146,Milestones!$AA$36)&gt;=$S146),$V146,IF(AND($R146&lt;&gt;"",EDATE($D146,Milestones!$AA$36)&gt;=$R146),$U146,$T146)))=Milestones!$AB$36),TEXT(EDATE($D146,Milestones!$AA$36),"dd/mm/yy")&amp;" "&amp;Milestones!$AB$36&amp;" "&amp;Milestones!$AC$36&amp;";  ","")&amp;IF(AND(EDATE($D146,Milestones!$AA$37)&lt;=AsOfDate,IF($Q146=0,$W146,IF(AND($S146&lt;&gt;"",EDATE($D146,Milestones!$AA$37)&gt;=$S146),$V146,IF(AND($R146&lt;&gt;"",EDATE($D146,Milestones!$AA$37)&gt;=$R146),$U146,$T146)))=Milestones!$AB$37),TEXT(EDATE($D146,Milestones!$AA$37),"dd/mm/yy")&amp;" "&amp;Milestones!$AB$37&amp;" "&amp;Milestones!$AC$37&amp;";  ","")&amp;IF(AND(EDATE($D146,Milestones!$AA$38)&lt;=AsOfDate,IF($Q146=0,$W146,IF(AND($S146&lt;&gt;"",EDATE($D146,Milestones!$AA$38)&gt;=$S146),$V146,IF(AND($R146&lt;&gt;"",EDATE($D146,Milestones!$AA$38)&gt;=$R146),$U146,$T146)))=Milestones!$AB$38),TEXT(EDATE($D146,Milestones!$AA$38),"dd/mm/yy")&amp;" "&amp;Milestones!$AB$38&amp;" "&amp;Milestones!$AC$38&amp;";  ","")&amp;IF(AND(EDATE($D146,Milestones!$AA$39)&lt;=AsOfDate,IF($Q146=0,$W146,IF(AND($S146&lt;&gt;"",EDATE($D146,Milestones!$AA$39)&gt;=$S146),$V146,IF(AND($R146&lt;&gt;"",EDATE($D146,Milestones!$AA$39)&gt;=$R146),$U146,$T146)))=Milestones!$AB$39),TEXT(EDATE($D146,Milestones!$AA$39),"dd/mm/yy")&amp;" "&amp;Milestones!$AB$39&amp;" "&amp;Milestones!$AC$39&amp;";  ",""))</f>
        <v/>
      </c>
      <c r="I146" s="0" t="str">
        <f aca="false">IF(OR($A146="",$D146=""),"",IF(AND(EDATE($D146,Milestones!$AA$40)&lt;=AsOfDate,IF($Q146=0,$W146,IF(AND($S146&lt;&gt;"",EDATE($D146,Milestones!$AA$40)&gt;=$S146),$V146,IF(AND($R146&lt;&gt;"",EDATE($D146,Milestones!$AA$40)&gt;=$R146),$U146,$T146)))=Milestones!$AB$40),TEXT(EDATE($D146,Milestones!$AA$40),"dd/mm/yy")&amp;" "&amp;Milestones!$AB$40&amp;" "&amp;Milestones!$AC$40&amp;";  ","")&amp;IF(AND(EDATE($D146,Milestones!$AA$41)&lt;=AsOfDate,IF($Q146=0,$W146,IF(AND($S146&lt;&gt;"",EDATE($D146,Milestones!$AA$41)&gt;=$S146),$V146,IF(AND($R146&lt;&gt;"",EDATE($D146,Milestones!$AA$41)&gt;=$R146),$U146,$T146)))=Milestones!$AB$41),TEXT(EDATE($D146,Milestones!$AA$41),"dd/mm/yy")&amp;" "&amp;Milestones!$AB$41&amp;" "&amp;Milestones!$AC$41&amp;";  ","")&amp;IF(AND(EDATE($D146,Milestones!$AA$42)&lt;=AsOfDate,IF($Q146=0,$W146,IF(AND($S146&lt;&gt;"",EDATE($D146,Milestones!$AA$42)&gt;=$S146),$V146,IF(AND($R146&lt;&gt;"",EDATE($D146,Milestones!$AA$42)&gt;=$R146),$U146,$T146)))=Milestones!$AB$42),TEXT(EDATE($D146,Milestones!$AA$42),"dd/mm/yy")&amp;" "&amp;Milestones!$AB$42&amp;" "&amp;Milestones!$AC$42&amp;";  ","")&amp;IF(AND(EDATE($D146,Milestones!$AA$43)&lt;=AsOfDate,IF($Q146=0,$W146,IF(AND($S146&lt;&gt;"",EDATE($D146,Milestones!$AA$43)&gt;=$S146),$V146,IF(AND($R146&lt;&gt;"",EDATE($D146,Milestones!$AA$43)&gt;=$R146),$U146,$T146)))=Milestones!$AB$43),TEXT(EDATE($D146,Milestones!$AA$43),"dd/mm/yy")&amp;" "&amp;Milestones!$AB$43&amp;" "&amp;Milestones!$AC$43&amp;";  ","")&amp;IF(AND(EDATE($D146,Milestones!$AA$44)&lt;=AsOfDate,IF($Q146=0,$W146,IF(AND($S146&lt;&gt;"",EDATE($D146,Milestones!$AA$44)&gt;=$S146),$V146,IF(AND($R146&lt;&gt;"",EDATE($D146,Milestones!$AA$44)&gt;=$R146),$U146,$T146)))=Milestones!$AB$44),TEXT(EDATE($D146,Milestones!$AA$44),"dd/mm/yy")&amp;" "&amp;Milestones!$AB$44&amp;" "&amp;Milestones!$AC$44&amp;";  ","")&amp;IF(AND(EDATE($D146,Milestones!$AA$45)&lt;=AsOfDate,IF($Q146=0,$W146,IF(AND($S146&lt;&gt;"",EDATE($D146,Milestones!$AA$45)&gt;=$S146),$V146,IF(AND($R146&lt;&gt;"",EDATE($D146,Milestones!$AA$45)&gt;=$R146),$U146,$T146)))=Milestones!$AB$45),TEXT(EDATE($D146,Milestones!$AA$45),"dd/mm/yy")&amp;" "&amp;Milestones!$AB$45&amp;" "&amp;Milestones!$AC$45&amp;";  ","")&amp;IF(AND(EDATE($D146,Milestones!$AA$46)&lt;=AsOfDate,IF($Q146=0,$W146,IF(AND($S146&lt;&gt;"",EDATE($D146,Milestones!$AA$46)&gt;=$S146),$V146,IF(AND($R146&lt;&gt;"",EDATE($D146,Milestones!$AA$46)&gt;=$R146),$U146,$T146)))=Milestones!$AB$46),TEXT(EDATE($D146,Milestones!$AA$46),"dd/mm/yy")&amp;" "&amp;Milestones!$AB$46&amp;" "&amp;Milestones!$AC$46&amp;";  ","")&amp;IF(AND(EDATE($D146,Milestones!$AA$47)&lt;=AsOfDate,IF($Q146=0,$W146,IF(AND($S146&lt;&gt;"",EDATE($D146,Milestones!$AA$47)&gt;=$S146),$V146,IF(AND($R146&lt;&gt;"",EDATE($D146,Milestones!$AA$47)&gt;=$R146),$U146,$T146)))=Milestones!$AB$47),TEXT(EDATE($D146,Milestones!$AA$47),"dd/mm/yy")&amp;" "&amp;Milestones!$AB$47&amp;" "&amp;Milestones!$AC$47&amp;";  ","")&amp;IF(AND(EDATE($D146,Milestones!$AA$48)&lt;=AsOfDate,IF($Q146=0,$W146,IF(AND($S146&lt;&gt;"",EDATE($D146,Milestones!$AA$48)&gt;=$S146),$V146,IF(AND($R146&lt;&gt;"",EDATE($D146,Milestones!$AA$48)&gt;=$R146),$U146,$T146)))=Milestones!$AB$48),TEXT(EDATE($D146,Milestones!$AA$48),"dd/mm/yy")&amp;" "&amp;Milestones!$AB$48&amp;" "&amp;Milestones!$AC$48&amp;";  ","")&amp;IF(AND(EDATE($D146,Milestones!$AA$49)&lt;=AsOfDate,IF($Q146=0,$W146,IF(AND($S146&lt;&gt;"",EDATE($D146,Milestones!$AA$49)&gt;=$S146),$V146,IF(AND($R146&lt;&gt;"",EDATE($D146,Milestones!$AA$49)&gt;=$R146),$U146,$T146)))=Milestones!$AB$49),TEXT(EDATE($D146,Milestones!$AA$49),"dd/mm/yy")&amp;" "&amp;Milestones!$AB$49&amp;" "&amp;Milestones!$AC$49&amp;";  ","")&amp;IF(AND(EDATE($D146,Milestones!$AA$50)&lt;=AsOfDate,IF($Q146=0,$W146,IF(AND($S146&lt;&gt;"",EDATE($D146,Milestones!$AA$50)&gt;=$S146),$V146,IF(AND($R146&lt;&gt;"",EDATE($D146,Milestones!$AA$50)&gt;=$R146),$U146,$T146)))=Milestones!$AB$50),TEXT(EDATE($D146,Milestones!$AA$50),"dd/mm/yy")&amp;" "&amp;Milestones!$AB$50&amp;" "&amp;Milestones!$AC$50&amp;";  ","")&amp;IF(AND(EDATE($D146,Milestones!$AA$51)&lt;=AsOfDate,IF($Q146=0,$W146,IF(AND($S146&lt;&gt;"",EDATE($D146,Milestones!$AA$51)&gt;=$S146),$V146,IF(AND($R146&lt;&gt;"",EDATE($D146,Milestones!$AA$51)&gt;=$R146),$U146,$T146)))=Milestones!$AB$51),TEXT(EDATE($D146,Milestones!$AA$51),"dd/mm/yy")&amp;" "&amp;Milestones!$AB$51&amp;" "&amp;Milestones!$AC$51&amp;";  ","")&amp;IF(AND(EDATE($D146,Milestones!$AA$52)&lt;=AsOfDate,IF($Q146=0,$W146,IF(AND($S146&lt;&gt;"",EDATE($D146,Milestones!$AA$52)&gt;=$S146),$V146,IF(AND($R146&lt;&gt;"",EDATE($D146,Milestones!$AA$52)&gt;=$R146),$U146,$T146)))=Milestones!$AB$52),TEXT(EDATE($D146,Milestones!$AA$52),"dd/mm/yy")&amp;" "&amp;Milestones!$AB$52&amp;" "&amp;Milestones!$AC$52&amp;";  ","")&amp;IF(AND(EDATE($D146,Milestones!$AA$53)&lt;=AsOfDate,IF($Q146=0,$W146,IF(AND($S146&lt;&gt;"",EDATE($D146,Milestones!$AA$53)&gt;=$S146),$V146,IF(AND($R146&lt;&gt;"",EDATE($D146,Milestones!$AA$53)&gt;=$R146),$U146,$T146)))=Milestones!$AB$53),TEXT(EDATE($D146,Milestones!$AA$53),"dd/mm/yy")&amp;" "&amp;Milestones!$AB$53&amp;" "&amp;Milestones!$AC$53&amp;";  ","")&amp;IF(AND(EDATE($D146,Milestones!$AA$54)&lt;=AsOfDate,IF($Q146=0,$W146,IF(AND($S146&lt;&gt;"",EDATE($D146,Milestones!$AA$54)&gt;=$S146),$V146,IF(AND($R146&lt;&gt;"",EDATE($D146,Milestones!$AA$54)&gt;=$R146),$U146,$T146)))=Milestones!$AB$54),TEXT(EDATE($D146,Milestones!$AA$54),"dd/mm/yy")&amp;" "&amp;Milestones!$AB$54&amp;" "&amp;Milestones!$AC$54&amp;";  ","")&amp;IF(AND(EDATE($D146,Milestones!$AA$55)&lt;=AsOfDate,IF($Q146=0,$W146,IF(AND($S146&lt;&gt;"",EDATE($D146,Milestones!$AA$55)&gt;=$S146),$V146,IF(AND($R146&lt;&gt;"",EDATE($D146,Milestones!$AA$55)&gt;=$R146),$U146,$T146)))=Milestones!$AB$55),TEXT(EDATE($D146,Milestones!$AA$55),"dd/mm/yy")&amp;" "&amp;Milestones!$AB$55&amp;" "&amp;Milestones!$AC$55&amp;";  ","")&amp;IF(AND(EDATE($D146,Milestones!$AA$56)&lt;=AsOfDate,IF($Q146=0,$W146,IF(AND($S146&lt;&gt;"",EDATE($D146,Milestones!$AA$56)&gt;=$S146),$V146,IF(AND($R146&lt;&gt;"",EDATE($D146,Milestones!$AA$56)&gt;=$R146),$U146,$T146)))=Milestones!$AB$56),TEXT(EDATE($D146,Milestones!$AA$56),"dd/mm/yy")&amp;" "&amp;Milestones!$AB$56&amp;" "&amp;Milestones!$AC$56&amp;";  ","")&amp;IF(AND(EDATE($D146,Milestones!$AA$57)&lt;=AsOfDate,IF($Q146=0,$W146,IF(AND($S146&lt;&gt;"",EDATE($D146,Milestones!$AA$57)&gt;=$S146),$V146,IF(AND($R146&lt;&gt;"",EDATE($D146,Milestones!$AA$57)&gt;=$R146),$U146,$T146)))=Milestones!$AB$57),TEXT(EDATE($D146,Milestones!$AA$57),"dd/mm/yy")&amp;" "&amp;Milestones!$AB$57&amp;" "&amp;Milestones!$AC$57&amp;";  ","")&amp;IF(AND(EDATE($D146,Milestones!$AA$58)&lt;=AsOfDate,IF($Q146=0,$W146,IF(AND($S146&lt;&gt;"",EDATE($D146,Milestones!$AA$58)&gt;=$S146),$V146,IF(AND($R146&lt;&gt;"",EDATE($D146,Milestones!$AA$58)&gt;=$R146),$U146,$T146)))=Milestones!$AB$58),TEXT(EDATE($D146,Milestones!$AA$58),"dd/mm/yy")&amp;" "&amp;Milestones!$AB$58&amp;" "&amp;Milestones!$AC$58&amp;";  ","")&amp;IF(AND(EDATE($D146,Milestones!$AA$59)&lt;=AsOfDate,IF($Q146=0,$W146,IF(AND($S146&lt;&gt;"",EDATE($D146,Milestones!$AA$59)&gt;=$S146),$V146,IF(AND($R146&lt;&gt;"",EDATE($D146,Milestones!$AA$59)&gt;=$R146),$U146,$T146)))=Milestones!$AB$59),TEXT(EDATE($D146,Milestones!$AA$59),"dd/mm/yy")&amp;" "&amp;Milestones!$AB$59&amp;" "&amp;Milestones!$AC$59&amp;";  ",""))</f>
        <v/>
      </c>
      <c r="J146" s="0" t="str">
        <f aca="false">IF(OR($A146="",$D146=""),"",IF(AND(EDATE($D146,Milestones!$AA$60)&lt;=AsOfDate,IF($Q146=0,$W146,IF(AND($S146&lt;&gt;"",EDATE($D146,Milestones!$AA$60)&gt;=$S146),$V146,IF(AND($R146&lt;&gt;"",EDATE($D146,Milestones!$AA$60)&gt;=$R146),$U146,$T146)))=Milestones!$AB$60),TEXT(EDATE($D146,Milestones!$AA$60),"dd/mm/yy")&amp;" "&amp;Milestones!$AB$60&amp;" "&amp;Milestones!$AC$60&amp;";  ","")&amp;IF(AND(EDATE($D146,Milestones!$AA$61)&lt;=AsOfDate,IF($Q146=0,$W146,IF(AND($S146&lt;&gt;"",EDATE($D146,Milestones!$AA$61)&gt;=$S146),$V146,IF(AND($R146&lt;&gt;"",EDATE($D146,Milestones!$AA$61)&gt;=$R146),$U146,$T146)))=Milestones!$AB$61),TEXT(EDATE($D146,Milestones!$AA$61),"dd/mm/yy")&amp;" "&amp;Milestones!$AB$61&amp;" "&amp;Milestones!$AC$61&amp;";  ","")&amp;IF(AND(EDATE($D146,Milestones!$AA$62)&lt;=AsOfDate,IF($Q146=0,$W146,IF(AND($S146&lt;&gt;"",EDATE($D146,Milestones!$AA$62)&gt;=$S146),$V146,IF(AND($R146&lt;&gt;"",EDATE($D146,Milestones!$AA$62)&gt;=$R146),$U146,$T146)))=Milestones!$AB$62),TEXT(EDATE($D146,Milestones!$AA$62),"dd/mm/yy")&amp;" "&amp;Milestones!$AB$62&amp;" "&amp;Milestones!$AC$62&amp;";  ","")&amp;IF(AND(EDATE($D146,Milestones!$AA$63)&lt;=AsOfDate,IF($Q146=0,$W146,IF(AND($S146&lt;&gt;"",EDATE($D146,Milestones!$AA$63)&gt;=$S146),$V146,IF(AND($R146&lt;&gt;"",EDATE($D146,Milestones!$AA$63)&gt;=$R146),$U146,$T146)))=Milestones!$AB$63),TEXT(EDATE($D146,Milestones!$AA$63),"dd/mm/yy")&amp;" "&amp;Milestones!$AB$63&amp;" "&amp;Milestones!$AC$63&amp;";  ","")&amp;IF(AND(EDATE($D146,Milestones!$AA$64)&lt;=AsOfDate,IF($Q146=0,$W146,IF(AND($S146&lt;&gt;"",EDATE($D146,Milestones!$AA$64)&gt;=$S146),$V146,IF(AND($R146&lt;&gt;"",EDATE($D146,Milestones!$AA$64)&gt;=$R146),$U146,$T146)))=Milestones!$AB$64),TEXT(EDATE($D146,Milestones!$AA$64),"dd/mm/yy")&amp;" "&amp;Milestones!$AB$64&amp;" "&amp;Milestones!$AC$64&amp;";  ","")&amp;IF(AND(EDATE($D146,Milestones!$AA$65)&lt;=AsOfDate,IF($Q146=0,$W146,IF(AND($S146&lt;&gt;"",EDATE($D146,Milestones!$AA$65)&gt;=$S146),$V146,IF(AND($R146&lt;&gt;"",EDATE($D146,Milestones!$AA$65)&gt;=$R146),$U146,$T146)))=Milestones!$AB$65),TEXT(EDATE($D146,Milestones!$AA$65),"dd/mm/yy")&amp;" "&amp;Milestones!$AB$65&amp;" "&amp;Milestones!$AC$65&amp;";  ","")&amp;IF(AND(EDATE($D146,Milestones!$AA$66)&lt;=AsOfDate,IF($Q146=0,$W146,IF(AND($S146&lt;&gt;"",EDATE($D146,Milestones!$AA$66)&gt;=$S146),$V146,IF(AND($R146&lt;&gt;"",EDATE($D146,Milestones!$AA$66)&gt;=$R146),$U146,$T146)))=Milestones!$AB$66),TEXT(EDATE($D146,Milestones!$AA$66),"dd/mm/yy")&amp;" "&amp;Milestones!$AB$66&amp;" "&amp;Milestones!$AC$66&amp;";  ","")&amp;IF(AND(EDATE($D146,Milestones!$AA$67)&lt;=AsOfDate,IF($Q146=0,$W146,IF(AND($S146&lt;&gt;"",EDATE($D146,Milestones!$AA$67)&gt;=$S146),$V146,IF(AND($R146&lt;&gt;"",EDATE($D146,Milestones!$AA$67)&gt;=$R146),$U146,$T146)))=Milestones!$AB$67),TEXT(EDATE($D146,Milestones!$AA$67),"dd/mm/yy")&amp;" "&amp;Milestones!$AB$67&amp;" "&amp;Milestones!$AC$67&amp;";  ","")&amp;IF(AND(EDATE($D146,Milestones!$AA$68)&lt;=AsOfDate,IF($Q146=0,$W146,IF(AND($S146&lt;&gt;"",EDATE($D146,Milestones!$AA$68)&gt;=$S146),$V146,IF(AND($R146&lt;&gt;"",EDATE($D146,Milestones!$AA$68)&gt;=$R146),$U146,$T146)))=Milestones!$AB$68),TEXT(EDATE($D146,Milestones!$AA$68),"dd/mm/yy")&amp;" "&amp;Milestones!$AB$68&amp;" "&amp;Milestones!$AC$68&amp;";  ","")&amp;IF(AND(EDATE($D146,Milestones!$AA$69)&lt;=AsOfDate,IF($Q146=0,$W146,IF(AND($S146&lt;&gt;"",EDATE($D146,Milestones!$AA$69)&gt;=$S146),$V146,IF(AND($R146&lt;&gt;"",EDATE($D146,Milestones!$AA$69)&gt;=$R146),$U146,$T146)))=Milestones!$AB$69),TEXT(EDATE($D146,Milestones!$AA$69),"dd/mm/yy")&amp;" "&amp;Milestones!$AB$69&amp;" "&amp;Milestones!$AC$69&amp;";  ","")&amp;IF(AND(EDATE($D146,Milestones!$AA$70)&lt;=AsOfDate,IF($Q146=0,$W146,IF(AND($S146&lt;&gt;"",EDATE($D146,Milestones!$AA$70)&gt;=$S146),$V146,IF(AND($R146&lt;&gt;"",EDATE($D146,Milestones!$AA$70)&gt;=$R146),$U146,$T146)))=Milestones!$AB$70),TEXT(EDATE($D146,Milestones!$AA$70),"dd/mm/yy")&amp;" "&amp;Milestones!$AB$70&amp;" "&amp;Milestones!$AC$70&amp;";  ","")&amp;IF(AND(EDATE($D146,Milestones!$AA$71)&lt;=AsOfDate,IF($Q146=0,$W146,IF(AND($S146&lt;&gt;"",EDATE($D146,Milestones!$AA$71)&gt;=$S146),$V146,IF(AND($R146&lt;&gt;"",EDATE($D146,Milestones!$AA$71)&gt;=$R146),$U146,$T146)))=Milestones!$AB$71),TEXT(EDATE($D146,Milestones!$AA$71),"dd/mm/yy")&amp;" "&amp;Milestones!$AB$71&amp;" "&amp;Milestones!$AC$71&amp;";  ","")&amp;IF(AND(EDATE($D146,Milestones!$AA$72)&lt;=AsOfDate,IF($Q146=0,$W146,IF(AND($S146&lt;&gt;"",EDATE($D146,Milestones!$AA$72)&gt;=$S146),$V146,IF(AND($R146&lt;&gt;"",EDATE($D146,Milestones!$AA$72)&gt;=$R146),$U146,$T146)))=Milestones!$AB$72),TEXT(EDATE($D146,Milestones!$AA$72),"dd/mm/yy")&amp;" "&amp;Milestones!$AB$72&amp;" "&amp;Milestones!$AC$72&amp;";  ","")&amp;IF(AND(EDATE($D146,Milestones!$AA$73)&lt;=AsOfDate,IF($Q146=0,$W146,IF(AND($S146&lt;&gt;"",EDATE($D146,Milestones!$AA$73)&gt;=$S146),$V146,IF(AND($R146&lt;&gt;"",EDATE($D146,Milestones!$AA$73)&gt;=$R146),$U146,$T146)))=Milestones!$AB$73),TEXT(EDATE($D146,Milestones!$AA$73),"dd/mm/yy")&amp;" "&amp;Milestones!$AB$73&amp;" "&amp;Milestones!$AC$73&amp;";  ","")&amp;IF(AND(EDATE($D146,Milestones!$AA$74)&lt;=AsOfDate,IF($Q146=0,$W146,IF(AND($S146&lt;&gt;"",EDATE($D146,Milestones!$AA$74)&gt;=$S146),$V146,IF(AND($R146&lt;&gt;"",EDATE($D146,Milestones!$AA$74)&gt;=$R146),$U146,$T146)))=Milestones!$AB$74),TEXT(EDATE($D146,Milestones!$AA$74),"dd/mm/yy")&amp;" "&amp;Milestones!$AB$74&amp;" "&amp;Milestones!$AC$74&amp;";  ","")&amp;IF(AND(EDATE($D146,Milestones!$AA$75)&lt;=AsOfDate,IF($Q146=0,$W146,IF(AND($S146&lt;&gt;"",EDATE($D146,Milestones!$AA$75)&gt;=$S146),$V146,IF(AND($R146&lt;&gt;"",EDATE($D146,Milestones!$AA$75)&gt;=$R146),$U146,$T146)))=Milestones!$AB$75),TEXT(EDATE($D146,Milestones!$AA$75),"dd/mm/yy")&amp;" "&amp;Milestones!$AB$75&amp;" "&amp;Milestones!$AC$75&amp;";  ","")&amp;IF(AND(EDATE($D146,Milestones!$AA$76)&lt;=AsOfDate,IF($Q146=0,$W146,IF(AND($S146&lt;&gt;"",EDATE($D146,Milestones!$AA$76)&gt;=$S146),$V146,IF(AND($R146&lt;&gt;"",EDATE($D146,Milestones!$AA$76)&gt;=$R146),$U146,$T146)))=Milestones!$AB$76),TEXT(EDATE($D146,Milestones!$AA$76),"dd/mm/yy")&amp;" "&amp;Milestones!$AB$76&amp;" "&amp;Milestones!$AC$76&amp;";  ","")&amp;IF(AND(EDATE($D146,Milestones!$AA$77)&lt;=AsOfDate,IF($Q146=0,$W146,IF(AND($S146&lt;&gt;"",EDATE($D146,Milestones!$AA$77)&gt;=$S146),$V146,IF(AND($R146&lt;&gt;"",EDATE($D146,Milestones!$AA$77)&gt;=$R146),$U146,$T146)))=Milestones!$AB$77),TEXT(EDATE($D146,Milestones!$AA$77),"dd/mm/yy")&amp;" "&amp;Milestones!$AB$77&amp;" "&amp;Milestones!$AC$77&amp;";  ","")&amp;IF(AND(EDATE($D146,Milestones!$AA$78)&lt;=AsOfDate,IF($Q146=0,$W146,IF(AND($S146&lt;&gt;"",EDATE($D146,Milestones!$AA$78)&gt;=$S146),$V146,IF(AND($R146&lt;&gt;"",EDATE($D146,Milestones!$AA$78)&gt;=$R146),$U146,$T146)))=Milestones!$AB$78),TEXT(EDATE($D146,Milestones!$AA$78),"dd/mm/yy")&amp;" "&amp;Milestones!$AB$78&amp;" "&amp;Milestones!$AC$78&amp;";  ","")&amp;IF(AND(EDATE($D146,Milestones!$AA$79)&lt;=AsOfDate,IF($Q146=0,$W146,IF(AND($S146&lt;&gt;"",EDATE($D146,Milestones!$AA$79)&gt;=$S146),$V146,IF(AND($R146&lt;&gt;"",EDATE($D146,Milestones!$AA$79)&gt;=$R146),$U146,$T146)))=Milestones!$AB$79),TEXT(EDATE($D146,Milestones!$AA$79),"dd/mm/yy")&amp;" "&amp;Milestones!$AB$79&amp;" "&amp;Milestones!$AC$79&amp;";  ",""))</f>
        <v/>
      </c>
      <c r="K146" s="0" t="str">
        <f aca="false">IF(OR($A146="",$D146=""),"",IF(AND(EDATE($D146,Milestones!$AA$80)&lt;=AsOfDate,IF($Q146=0,$W146,IF(AND($S146&lt;&gt;"",EDATE($D146,Milestones!$AA$80)&gt;=$S146),$V146,IF(AND($R146&lt;&gt;"",EDATE($D146,Milestones!$AA$80)&gt;=$R146),$U146,$T146)))=Milestones!$AB$80),TEXT(EDATE($D146,Milestones!$AA$80),"dd/mm/yy")&amp;" "&amp;Milestones!$AB$80&amp;" "&amp;Milestones!$AC$80&amp;";  ","")&amp;IF(AND(EDATE($D146,Milestones!$AA$81)&lt;=AsOfDate,IF($Q146=0,$W146,IF(AND($S146&lt;&gt;"",EDATE($D146,Milestones!$AA$81)&gt;=$S146),$V146,IF(AND($R146&lt;&gt;"",EDATE($D146,Milestones!$AA$81)&gt;=$R146),$U146,$T146)))=Milestones!$AB$81),TEXT(EDATE($D146,Milestones!$AA$81),"dd/mm/yy")&amp;" "&amp;Milestones!$AB$81&amp;" "&amp;Milestones!$AC$81&amp;";  ","")&amp;IF(AND(EDATE($D146,Milestones!$AA$82)&lt;=AsOfDate,IF($Q146=0,$W146,IF(AND($S146&lt;&gt;"",EDATE($D146,Milestones!$AA$82)&gt;=$S146),$V146,IF(AND($R146&lt;&gt;"",EDATE($D146,Milestones!$AA$82)&gt;=$R146),$U146,$T146)))=Milestones!$AB$82),TEXT(EDATE($D146,Milestones!$AA$82),"dd/mm/yy")&amp;" "&amp;Milestones!$AB$82&amp;" "&amp;Milestones!$AC$82&amp;";  ","")&amp;IF(AND(EDATE($D146,Milestones!$AA$83)&lt;=AsOfDate,IF($Q146=0,$W146,IF(AND($S146&lt;&gt;"",EDATE($D146,Milestones!$AA$83)&gt;=$S146),$V146,IF(AND($R146&lt;&gt;"",EDATE($D146,Milestones!$AA$83)&gt;=$R146),$U146,$T146)))=Milestones!$AB$83),TEXT(EDATE($D146,Milestones!$AA$83),"dd/mm/yy")&amp;" "&amp;Milestones!$AB$83&amp;" "&amp;Milestones!$AC$83&amp;";  ","")&amp;IF(AND(EDATE($D146,Milestones!$AA$84)&lt;=AsOfDate,IF($Q146=0,$W146,IF(AND($S146&lt;&gt;"",EDATE($D146,Milestones!$AA$84)&gt;=$S146),$V146,IF(AND($R146&lt;&gt;"",EDATE($D146,Milestones!$AA$84)&gt;=$R146),$U146,$T146)))=Milestones!$AB$84),TEXT(EDATE($D146,Milestones!$AA$84),"dd/mm/yy")&amp;" "&amp;Milestones!$AB$84&amp;" "&amp;Milestones!$AC$84&amp;";  ","")&amp;IF(AND(EDATE($D146,Milestones!$AA$85)&lt;=AsOfDate,IF($Q146=0,$W146,IF(AND($S146&lt;&gt;"",EDATE($D146,Milestones!$AA$85)&gt;=$S146),$V146,IF(AND($R146&lt;&gt;"",EDATE($D146,Milestones!$AA$85)&gt;=$R146),$U146,$T146)))=Milestones!$AB$85),TEXT(EDATE($D146,Milestones!$AA$85),"dd/mm/yy")&amp;" "&amp;Milestones!$AB$85&amp;" "&amp;Milestones!$AC$85&amp;";  ","")&amp;IF(AND(EDATE($D146,Milestones!$AA$86)&lt;=AsOfDate,IF($Q146=0,$W146,IF(AND($S146&lt;&gt;"",EDATE($D146,Milestones!$AA$86)&gt;=$S146),$V146,IF(AND($R146&lt;&gt;"",EDATE($D146,Milestones!$AA$86)&gt;=$R146),$U146,$T146)))=Milestones!$AB$86),TEXT(EDATE($D146,Milestones!$AA$86),"dd/mm/yy")&amp;" "&amp;Milestones!$AB$86&amp;" "&amp;Milestones!$AC$86&amp;";  ","")&amp;IF(AND(EDATE($D146,Milestones!$AA$87)&lt;=AsOfDate,IF($Q146=0,$W146,IF(AND($S146&lt;&gt;"",EDATE($D146,Milestones!$AA$87)&gt;=$S146),$V146,IF(AND($R146&lt;&gt;"",EDATE($D146,Milestones!$AA$87)&gt;=$R146),$U146,$T146)))=Milestones!$AB$87),TEXT(EDATE($D146,Milestones!$AA$87),"dd/mm/yy")&amp;" "&amp;Milestones!$AB$87&amp;" "&amp;Milestones!$AC$87&amp;";  ","")&amp;IF(AND(EDATE($D146,Milestones!$AA$88)&lt;=AsOfDate,IF($Q146=0,$W146,IF(AND($S146&lt;&gt;"",EDATE($D146,Milestones!$AA$88)&gt;=$S146),$V146,IF(AND($R146&lt;&gt;"",EDATE($D146,Milestones!$AA$88)&gt;=$R146),$U146,$T146)))=Milestones!$AB$88),TEXT(EDATE($D146,Milestones!$AA$88),"dd/mm/yy")&amp;" "&amp;Milestones!$AB$88&amp;" "&amp;Milestones!$AC$88&amp;";  ","")&amp;IF(AND(EDATE($D146,Milestones!$AA$89)&lt;=AsOfDate,IF($Q146=0,$W146,IF(AND($S146&lt;&gt;"",EDATE($D146,Milestones!$AA$89)&gt;=$S146),$V146,IF(AND($R146&lt;&gt;"",EDATE($D146,Milestones!$AA$89)&gt;=$R146),$U146,$T146)))=Milestones!$AB$89),TEXT(EDATE($D146,Milestones!$AA$89),"dd/mm/yy")&amp;" "&amp;Milestones!$AB$89&amp;" "&amp;Milestones!$AC$89&amp;";  ","")&amp;IF(AND(EDATE($D146,Milestones!$AA$90)&lt;=AsOfDate,IF($Q146=0,$W146,IF(AND($S146&lt;&gt;"",EDATE($D146,Milestones!$AA$90)&gt;=$S146),$V146,IF(AND($R146&lt;&gt;"",EDATE($D146,Milestones!$AA$90)&gt;=$R146),$U146,$T146)))=Milestones!$AB$90),TEXT(EDATE($D146,Milestones!$AA$90),"dd/mm/yy")&amp;" "&amp;Milestones!$AB$90&amp;" "&amp;Milestones!$AC$90&amp;";  ","")&amp;IF(AND(EDATE($D146,Milestones!$AA$91)&lt;=AsOfDate,IF($Q146=0,$W146,IF(AND($S146&lt;&gt;"",EDATE($D146,Milestones!$AA$91)&gt;=$S146),$V146,IF(AND($R146&lt;&gt;"",EDATE($D146,Milestones!$AA$91)&gt;=$R146),$U146,$T146)))=Milestones!$AB$91),TEXT(EDATE($D146,Milestones!$AA$91),"dd/mm/yy")&amp;" "&amp;Milestones!$AB$91&amp;" "&amp;Milestones!$AC$91&amp;";  ","")&amp;IF(AND(EDATE($D146,Milestones!$AA$92)&lt;=AsOfDate,IF($Q146=0,$W146,IF(AND($S146&lt;&gt;"",EDATE($D146,Milestones!$AA$92)&gt;=$S146),$V146,IF(AND($R146&lt;&gt;"",EDATE($D146,Milestones!$AA$92)&gt;=$R146),$U146,$T146)))=Milestones!$AB$92),TEXT(EDATE($D146,Milestones!$AA$92),"dd/mm/yy")&amp;" "&amp;Milestones!$AB$92&amp;" "&amp;Milestones!$AC$92&amp;";  ","")&amp;IF(AND(EDATE($D146,Milestones!$AA$93)&lt;=AsOfDate,IF($Q146=0,$W146,IF(AND($S146&lt;&gt;"",EDATE($D146,Milestones!$AA$93)&gt;=$S146),$V146,IF(AND($R146&lt;&gt;"",EDATE($D146,Milestones!$AA$93)&gt;=$R146),$U146,$T146)))=Milestones!$AB$93),TEXT(EDATE($D146,Milestones!$AA$93),"dd/mm/yy")&amp;" "&amp;Milestones!$AB$93&amp;" "&amp;Milestones!$AC$93&amp;";  ","")&amp;IF(AND(EDATE($D146,Milestones!$AA$94)&lt;=AsOfDate,IF($Q146=0,$W146,IF(AND($S146&lt;&gt;"",EDATE($D146,Milestones!$AA$94)&gt;=$S146),$V146,IF(AND($R146&lt;&gt;"",EDATE($D146,Milestones!$AA$94)&gt;=$R146),$U146,$T146)))=Milestones!$AB$94),TEXT(EDATE($D146,Milestones!$AA$94),"dd/mm/yy")&amp;" "&amp;Milestones!$AB$94&amp;" "&amp;Milestones!$AC$94&amp;";  ","")&amp;IF(AND(EDATE($D146,Milestones!$AA$95)&lt;=AsOfDate,IF($Q146=0,$W146,IF(AND($S146&lt;&gt;"",EDATE($D146,Milestones!$AA$95)&gt;=$S146),$V146,IF(AND($R146&lt;&gt;"",EDATE($D146,Milestones!$AA$95)&gt;=$R146),$U146,$T146)))=Milestones!$AB$95),TEXT(EDATE($D146,Milestones!$AA$95),"dd/mm/yy")&amp;" "&amp;Milestones!$AB$95&amp;" "&amp;Milestones!$AC$95&amp;";  ","")&amp;IF(AND(EDATE($D146,Milestones!$AA$96)&lt;=AsOfDate,IF($Q146=0,$W146,IF(AND($S146&lt;&gt;"",EDATE($D146,Milestones!$AA$96)&gt;=$S146),$V146,IF(AND($R146&lt;&gt;"",EDATE($D146,Milestones!$AA$96)&gt;=$R146),$U146,$T146)))=Milestones!$AB$96),TEXT(EDATE($D146,Milestones!$AA$96),"dd/mm/yy")&amp;" "&amp;Milestones!$AB$96&amp;" "&amp;Milestones!$AC$96&amp;";  ","")&amp;IF(AND(EDATE($D146,Milestones!$AA$97)&lt;=AsOfDate,IF($Q146=0,$W146,IF(AND($S146&lt;&gt;"",EDATE($D146,Milestones!$AA$97)&gt;=$S146),$V146,IF(AND($R146&lt;&gt;"",EDATE($D146,Milestones!$AA$97)&gt;=$R146),$U146,$T146)))=Milestones!$AB$97),TEXT(EDATE($D146,Milestones!$AA$97),"dd/mm/yy")&amp;" "&amp;Milestones!$AB$97&amp;" "&amp;Milestones!$AC$97&amp;";  ","")&amp;IF(AND(EDATE($D146,Milestones!$AA$98)&lt;=AsOfDate,IF($Q146=0,$W146,IF(AND($S146&lt;&gt;"",EDATE($D146,Milestones!$AA$98)&gt;=$S146),$V146,IF(AND($R146&lt;&gt;"",EDATE($D146,Milestones!$AA$98)&gt;=$R146),$U146,$T146)))=Milestones!$AB$98),TEXT(EDATE($D146,Milestones!$AA$98),"dd/mm/yy")&amp;" "&amp;Milestones!$AB$98&amp;" "&amp;Milestones!$AC$98&amp;";  ","")&amp;IF(AND(EDATE($D146,Milestones!$AA$99)&lt;=AsOfDate,IF($Q146=0,$W146,IF(AND($S146&lt;&gt;"",EDATE($D146,Milestones!$AA$99)&gt;=$S146),$V146,IF(AND($R146&lt;&gt;"",EDATE($D146,Milestones!$AA$99)&gt;=$R146),$U146,$T146)))=Milestones!$AB$99),TEXT(EDATE($D146,Milestones!$AA$99),"dd/mm/yy")&amp;" "&amp;Milestones!$AB$99&amp;" "&amp;Milestones!$AC$99&amp;";  ",""))</f>
        <v/>
      </c>
      <c r="L146" s="0" t="str">
        <f aca="false">IF(OR($A146="",$D146=""),"",IF(AND(EDATE($D146,Milestones!$AA$100)&lt;=AsOfDate,IF($Q146=0,$W146,IF(AND($S146&lt;&gt;"",EDATE($D146,Milestones!$AA$100)&gt;=$S146),$V146,IF(AND($R146&lt;&gt;"",EDATE($D146,Milestones!$AA$100)&gt;=$R146),$U146,$T146)))=Milestones!$AB$100),TEXT(EDATE($D146,Milestones!$AA$100),"dd/mm/yy")&amp;" "&amp;Milestones!$AB$100&amp;" "&amp;Milestones!$AC$100&amp;";  ","")&amp;IF(AND(EDATE($D146,Milestones!$AA$101)&lt;=AsOfDate,IF($Q146=0,$W146,IF(AND($S146&lt;&gt;"",EDATE($D146,Milestones!$AA$101)&gt;=$S146),$V146,IF(AND($R146&lt;&gt;"",EDATE($D146,Milestones!$AA$101)&gt;=$R146),$U146,$T146)))=Milestones!$AB$101),TEXT(EDATE($D146,Milestones!$AA$101),"dd/mm/yy")&amp;" "&amp;Milestones!$AB$101&amp;" "&amp;Milestones!$AC$101&amp;";  ","")&amp;IF(AND(EDATE($D146,Milestones!$AA$102)&lt;=AsOfDate,IF($Q146=0,$W146,IF(AND($S146&lt;&gt;"",EDATE($D146,Milestones!$AA$102)&gt;=$S146),$V146,IF(AND($R146&lt;&gt;"",EDATE($D146,Milestones!$AA$102)&gt;=$R146),$U146,$T146)))=Milestones!$AB$102),TEXT(EDATE($D146,Milestones!$AA$102),"dd/mm/yy")&amp;" "&amp;Milestones!$AB$102&amp;" "&amp;Milestones!$AC$102&amp;";  ","")&amp;IF(AND(EDATE($D146,Milestones!$AA$103)&lt;=AsOfDate,IF($Q146=0,$W146,IF(AND($S146&lt;&gt;"",EDATE($D146,Milestones!$AA$103)&gt;=$S146),$V146,IF(AND($R146&lt;&gt;"",EDATE($D146,Milestones!$AA$103)&gt;=$R146),$U146,$T146)))=Milestones!$AB$103),TEXT(EDATE($D146,Milestones!$AA$103),"dd/mm/yy")&amp;" "&amp;Milestones!$AB$103&amp;" "&amp;Milestones!$AC$103&amp;";  ","")&amp;IF(AND(EDATE($D146,Milestones!$AA$104)&lt;=AsOfDate,IF($Q146=0,$W146,IF(AND($S146&lt;&gt;"",EDATE($D146,Milestones!$AA$104)&gt;=$S146),$V146,IF(AND($R146&lt;&gt;"",EDATE($D146,Milestones!$AA$104)&gt;=$R146),$U146,$T146)))=Milestones!$AB$104),TEXT(EDATE($D146,Milestones!$AA$104),"dd/mm/yy")&amp;" "&amp;Milestones!$AB$104&amp;" "&amp;Milestones!$AC$104&amp;";  ","")&amp;IF(AND(EDATE($D146,Milestones!$AA$105)&lt;=AsOfDate,IF($Q146=0,$W146,IF(AND($S146&lt;&gt;"",EDATE($D146,Milestones!$AA$105)&gt;=$S146),$V146,IF(AND($R146&lt;&gt;"",EDATE($D146,Milestones!$AA$105)&gt;=$R146),$U146,$T146)))=Milestones!$AB$105),TEXT(EDATE($D146,Milestones!$AA$105),"dd/mm/yy")&amp;" "&amp;Milestones!$AB$105&amp;" "&amp;Milestones!$AC$105&amp;";  ","")&amp;IF(AND(EDATE($D146,Milestones!$AA$106)&lt;=AsOfDate,IF($Q146=0,$W146,IF(AND($S146&lt;&gt;"",EDATE($D146,Milestones!$AA$106)&gt;=$S146),$V146,IF(AND($R146&lt;&gt;"",EDATE($D146,Milestones!$AA$106)&gt;=$R146),$U146,$T146)))=Milestones!$AB$106),TEXT(EDATE($D146,Milestones!$AA$106),"dd/mm/yy")&amp;" "&amp;Milestones!$AB$106&amp;" "&amp;Milestones!$AC$106&amp;";  ","")&amp;IF(AND(EDATE($D146,Milestones!$AA$107)&lt;=AsOfDate,IF($Q146=0,$W146,IF(AND($S146&lt;&gt;"",EDATE($D146,Milestones!$AA$107)&gt;=$S146),$V146,IF(AND($R146&lt;&gt;"",EDATE($D146,Milestones!$AA$107)&gt;=$R146),$U146,$T146)))=Milestones!$AB$107),TEXT(EDATE($D146,Milestones!$AA$107),"dd/mm/yy")&amp;" "&amp;Milestones!$AB$107&amp;" "&amp;Milestones!$AC$107&amp;";  ","")&amp;IF(AND(EDATE($D146,Milestones!$AA$108)&lt;=AsOfDate,IF($Q146=0,$W146,IF(AND($S146&lt;&gt;"",EDATE($D146,Milestones!$AA$108)&gt;=$S146),$V146,IF(AND($R146&lt;&gt;"",EDATE($D146,Milestones!$AA$108)&gt;=$R146),$U146,$T146)))=Milestones!$AB$108),TEXT(EDATE($D146,Milestones!$AA$108),"dd/mm/yy")&amp;" "&amp;Milestones!$AB$108&amp;" "&amp;Milestones!$AC$108&amp;";  ","")&amp;IF(AND(EDATE($D146,Milestones!$AA$109)&lt;=AsOfDate,IF($Q146=0,$W146,IF(AND($S146&lt;&gt;"",EDATE($D146,Milestones!$AA$109)&gt;=$S146),$V146,IF(AND($R146&lt;&gt;"",EDATE($D146,Milestones!$AA$109)&gt;=$R146),$U146,$T146)))=Milestones!$AB$109),TEXT(EDATE($D146,Milestones!$AA$109),"dd/mm/yy")&amp;" "&amp;Milestones!$AB$109&amp;" "&amp;Milestones!$AC$109&amp;";  ","")&amp;IF(AND(EDATE($D146,Milestones!$AA$110)&lt;=AsOfDate,IF($Q146=0,$W146,IF(AND($S146&lt;&gt;"",EDATE($D146,Milestones!$AA$110)&gt;=$S146),$V146,IF(AND($R146&lt;&gt;"",EDATE($D146,Milestones!$AA$110)&gt;=$R146),$U146,$T146)))=Milestones!$AB$110),TEXT(EDATE($D146,Milestones!$AA$110),"dd/mm/yy")&amp;" "&amp;Milestones!$AB$110&amp;" "&amp;Milestones!$AC$110&amp;";  ","")&amp;IF(AND(EDATE($D146,Milestones!$AA$111)&lt;=AsOfDate,IF($Q146=0,$W146,IF(AND($S146&lt;&gt;"",EDATE($D146,Milestones!$AA$111)&gt;=$S146),$V146,IF(AND($R146&lt;&gt;"",EDATE($D146,Milestones!$AA$111)&gt;=$R146),$U146,$T146)))=Milestones!$AB$111),TEXT(EDATE($D146,Milestones!$AA$111),"dd/mm/yy")&amp;" "&amp;Milestones!$AB$111&amp;" "&amp;Milestones!$AC$111&amp;";  ","")&amp;IF(AND(EDATE($D146,Milestones!$AA$112)&lt;=AsOfDate,IF($Q146=0,$W146,IF(AND($S146&lt;&gt;"",EDATE($D146,Milestones!$AA$112)&gt;=$S146),$V146,IF(AND($R146&lt;&gt;"",EDATE($D146,Milestones!$AA$112)&gt;=$R146),$U146,$T146)))=Milestones!$AB$112),TEXT(EDATE($D146,Milestones!$AA$112),"dd/mm/yy")&amp;" "&amp;Milestones!$AB$112&amp;" "&amp;Milestones!$AC$112&amp;";  ","")&amp;IF(AND(EDATE($D146,Milestones!$AA$113)&lt;=AsOfDate,IF($Q146=0,$W146,IF(AND($S146&lt;&gt;"",EDATE($D146,Milestones!$AA$113)&gt;=$S146),$V146,IF(AND($R146&lt;&gt;"",EDATE($D146,Milestones!$AA$113)&gt;=$R146),$U146,$T146)))=Milestones!$AB$113),TEXT(EDATE($D146,Milestones!$AA$113),"dd/mm/yy")&amp;" "&amp;Milestones!$AB$113&amp;" "&amp;Milestones!$AC$113&amp;";  ","")&amp;IF(AND(EDATE($D146,Milestones!$AA$114)&lt;=AsOfDate,IF($Q146=0,$W146,IF(AND($S146&lt;&gt;"",EDATE($D146,Milestones!$AA$114)&gt;=$S146),$V146,IF(AND($R146&lt;&gt;"",EDATE($D146,Milestones!$AA$114)&gt;=$R146),$U146,$T146)))=Milestones!$AB$114),TEXT(EDATE($D146,Milestones!$AA$114),"dd/mm/yy")&amp;" "&amp;Milestones!$AB$114&amp;" "&amp;Milestones!$AC$114&amp;";  ","")&amp;IF(AND(EDATE($D146,Milestones!$AA$115)&lt;=AsOfDate,IF($Q146=0,$W146,IF(AND($S146&lt;&gt;"",EDATE($D146,Milestones!$AA$115)&gt;=$S146),$V146,IF(AND($R146&lt;&gt;"",EDATE($D146,Milestones!$AA$115)&gt;=$R146),$U146,$T146)))=Milestones!$AB$115),TEXT(EDATE($D146,Milestones!$AA$115),"dd/mm/yy")&amp;" "&amp;Milestones!$AB$115&amp;" "&amp;Milestones!$AC$115&amp;";  ","")&amp;IF(AND(EDATE($D146,Milestones!$AA$116)&lt;=AsOfDate,IF($Q146=0,$W146,IF(AND($S146&lt;&gt;"",EDATE($D146,Milestones!$AA$116)&gt;=$S146),$V146,IF(AND($R146&lt;&gt;"",EDATE($D146,Milestones!$AA$116)&gt;=$R146),$U146,$T146)))=Milestones!$AB$116),TEXT(EDATE($D146,Milestones!$AA$116),"dd/mm/yy")&amp;" "&amp;Milestones!$AB$116&amp;" "&amp;Milestones!$AC$116&amp;";  ","")&amp;IF(AND(EDATE($D146,Milestones!$AA$117)&lt;=AsOfDate,IF($Q146=0,$W146,IF(AND($S146&lt;&gt;"",EDATE($D146,Milestones!$AA$117)&gt;=$S146),$V146,IF(AND($R146&lt;&gt;"",EDATE($D146,Milestones!$AA$117)&gt;=$R146),$U146,$T146)))=Milestones!$AB$117),TEXT(EDATE($D146,Milestones!$AA$117),"dd/mm/yy")&amp;" "&amp;Milestones!$AB$117&amp;" "&amp;Milestones!$AC$117&amp;";  ","")&amp;IF(AND(EDATE($D146,Milestones!$AA$118)&lt;=AsOfDate,IF($Q146=0,$W146,IF(AND($S146&lt;&gt;"",EDATE($D146,Milestones!$AA$118)&gt;=$S146),$V146,IF(AND($R146&lt;&gt;"",EDATE($D146,Milestones!$AA$118)&gt;=$R146),$U146,$T146)))=Milestones!$AB$118),TEXT(EDATE($D146,Milestones!$AA$118),"dd/mm/yy")&amp;" "&amp;Milestones!$AB$118&amp;" "&amp;Milestones!$AC$118&amp;";  ","")&amp;IF(AND(EDATE($D146,Milestones!$AA$119)&lt;=AsOfDate,IF($Q146=0,$W146,IF(AND($S146&lt;&gt;"",EDATE($D146,Milestones!$AA$119)&gt;=$S146),$V146,IF(AND($R146&lt;&gt;"",EDATE($D146,Milestones!$AA$119)&gt;=$R146),$U146,$T146)))=Milestones!$AB$119),TEXT(EDATE($D146,Milestones!$AA$119),"dd/mm/yy")&amp;" "&amp;Milestones!$AB$119&amp;" "&amp;Milestones!$AC$119&amp;";  ",""))</f>
        <v/>
      </c>
      <c r="M146" s="0" t="str">
        <f aca="false">IF(OR($A146="",$D146=""),"",IF(AND(EDATE($D146,Milestones!$AA$120)&lt;=AsOfDate,IF($Q146=0,$W146,IF(AND($S146&lt;&gt;"",EDATE($D146,Milestones!$AA$120)&gt;=$S146),$V146,IF(AND($R146&lt;&gt;"",EDATE($D146,Milestones!$AA$120)&gt;=$R146),$U146,$T146)))=Milestones!$AB$120),TEXT(EDATE($D146,Milestones!$AA$120),"dd/mm/yy")&amp;" "&amp;Milestones!$AB$120&amp;" "&amp;Milestones!$AC$120&amp;";  ","")&amp;IF(AND(EDATE($D146,Milestones!$AA$121)&lt;=AsOfDate,IF($Q146=0,$W146,IF(AND($S146&lt;&gt;"",EDATE($D146,Milestones!$AA$121)&gt;=$S146),$V146,IF(AND($R146&lt;&gt;"",EDATE($D146,Milestones!$AA$121)&gt;=$R146),$U146,$T146)))=Milestones!$AB$121),TEXT(EDATE($D146,Milestones!$AA$121),"dd/mm/yy")&amp;" "&amp;Milestones!$AB$121&amp;" "&amp;Milestones!$AC$121&amp;";  ","")&amp;IF(AND(EDATE($D146,Milestones!$AA$122)&lt;=AsOfDate,IF($Q146=0,$W146,IF(AND($S146&lt;&gt;"",EDATE($D146,Milestones!$AA$122)&gt;=$S146),$V146,IF(AND($R146&lt;&gt;"",EDATE($D146,Milestones!$AA$122)&gt;=$R146),$U146,$T146)))=Milestones!$AB$122),TEXT(EDATE($D146,Milestones!$AA$122),"dd/mm/yy")&amp;" "&amp;Milestones!$AB$122&amp;" "&amp;Milestones!$AC$122&amp;";  ","")&amp;IF(AND(EDATE($D146,Milestones!$AA$123)&lt;=AsOfDate,IF($Q146=0,$W146,IF(AND($S146&lt;&gt;"",EDATE($D146,Milestones!$AA$123)&gt;=$S146),$V146,IF(AND($R146&lt;&gt;"",EDATE($D146,Milestones!$AA$123)&gt;=$R146),$U146,$T146)))=Milestones!$AB$123),TEXT(EDATE($D146,Milestones!$AA$123),"dd/mm/yy")&amp;" "&amp;Milestones!$AB$123&amp;" "&amp;Milestones!$AC$123&amp;";  ","")&amp;IF(AND(EDATE($D146,Milestones!$AA$124)&lt;=AsOfDate,IF($Q146=0,$W146,IF(AND($S146&lt;&gt;"",EDATE($D146,Milestones!$AA$124)&gt;=$S146),$V146,IF(AND($R146&lt;&gt;"",EDATE($D146,Milestones!$AA$124)&gt;=$R146),$U146,$T146)))=Milestones!$AB$124),TEXT(EDATE($D146,Milestones!$AA$124),"dd/mm/yy")&amp;" "&amp;Milestones!$AB$124&amp;" "&amp;Milestones!$AC$124&amp;";  ","")&amp;IF(AND(EDATE($D146,Milestones!$AA$125)&lt;=AsOfDate,IF($Q146=0,$W146,IF(AND($S146&lt;&gt;"",EDATE($D146,Milestones!$AA$125)&gt;=$S146),$V146,IF(AND($R146&lt;&gt;"",EDATE($D146,Milestones!$AA$125)&gt;=$R146),$U146,$T146)))=Milestones!$AB$125),TEXT(EDATE($D146,Milestones!$AA$125),"dd/mm/yy")&amp;" "&amp;Milestones!$AB$125&amp;" "&amp;Milestones!$AC$125&amp;";  ","")&amp;IF(AND(EDATE($D146,Milestones!$AA$126)&lt;=AsOfDate,IF($Q146=0,$W146,IF(AND($S146&lt;&gt;"",EDATE($D146,Milestones!$AA$126)&gt;=$S146),$V146,IF(AND($R146&lt;&gt;"",EDATE($D146,Milestones!$AA$126)&gt;=$R146),$U146,$T146)))=Milestones!$AB$126),TEXT(EDATE($D146,Milestones!$AA$126),"dd/mm/yy")&amp;" "&amp;Milestones!$AB$126&amp;" "&amp;Milestones!$AC$126&amp;";  ","")&amp;IF(AND(EDATE($D146,Milestones!$AA$127)&lt;=AsOfDate,IF($Q146=0,$W146,IF(AND($S146&lt;&gt;"",EDATE($D146,Milestones!$AA$127)&gt;=$S146),$V146,IF(AND($R146&lt;&gt;"",EDATE($D146,Milestones!$AA$127)&gt;=$R146),$U146,$T146)))=Milestones!$AB$127),TEXT(EDATE($D146,Milestones!$AA$127),"dd/mm/yy")&amp;" "&amp;Milestones!$AB$127&amp;" "&amp;Milestones!$AC$127&amp;";  ","")&amp;IF(AND(EDATE($D146,Milestones!$AA$128)&lt;=AsOfDate,IF($Q146=0,$W146,IF(AND($S146&lt;&gt;"",EDATE($D146,Milestones!$AA$128)&gt;=$S146),$V146,IF(AND($R146&lt;&gt;"",EDATE($D146,Milestones!$AA$128)&gt;=$R146),$U146,$T146)))=Milestones!$AB$128),TEXT(EDATE($D146,Milestones!$AA$128),"dd/mm/yy")&amp;" "&amp;Milestones!$AB$128&amp;" "&amp;Milestones!$AC$128&amp;";  ","")&amp;IF(AND(EDATE($D146,Milestones!$AA$129)&lt;=AsOfDate,IF($Q146=0,$W146,IF(AND($S146&lt;&gt;"",EDATE($D146,Milestones!$AA$129)&gt;=$S146),$V146,IF(AND($R146&lt;&gt;"",EDATE($D146,Milestones!$AA$129)&gt;=$R146),$U146,$T146)))=Milestones!$AB$129),TEXT(EDATE($D146,Milestones!$AA$129),"dd/mm/yy")&amp;" "&amp;Milestones!$AB$129&amp;" "&amp;Milestones!$AC$129&amp;";  ","")&amp;IF(AND(EDATE($D146,Milestones!$AA$130)&lt;=AsOfDate,IF($Q146=0,$W146,IF(AND($S146&lt;&gt;"",EDATE($D146,Milestones!$AA$130)&gt;=$S146),$V146,IF(AND($R146&lt;&gt;"",EDATE($D146,Milestones!$AA$130)&gt;=$R146),$U146,$T146)))=Milestones!$AB$130),TEXT(EDATE($D146,Milestones!$AA$130),"dd/mm/yy")&amp;" "&amp;Milestones!$AB$130&amp;" "&amp;Milestones!$AC$130&amp;";  ","")&amp;IF(AND(EDATE($D146,Milestones!$AA$131)&lt;=AsOfDate,IF($Q146=0,$W146,IF(AND($S146&lt;&gt;"",EDATE($D146,Milestones!$AA$131)&gt;=$S146),$V146,IF(AND($R146&lt;&gt;"",EDATE($D146,Milestones!$AA$131)&gt;=$R146),$U146,$T146)))=Milestones!$AB$131),TEXT(EDATE($D146,Milestones!$AA$131),"dd/mm/yy")&amp;" "&amp;Milestones!$AB$131&amp;" "&amp;Milestones!$AC$131&amp;";  ","")&amp;IF(AND(EDATE($D146,Milestones!$AA$132)&lt;=AsOfDate,IF($Q146=0,$W146,IF(AND($S146&lt;&gt;"",EDATE($D146,Milestones!$AA$132)&gt;=$S146),$V146,IF(AND($R146&lt;&gt;"",EDATE($D146,Milestones!$AA$132)&gt;=$R146),$U146,$T146)))=Milestones!$AB$132),TEXT(EDATE($D146,Milestones!$AA$132),"dd/mm/yy")&amp;" "&amp;Milestones!$AB$132&amp;" "&amp;Milestones!$AC$132&amp;";  ","")&amp;IF(AND(EDATE($D146,Milestones!$AA$133)&lt;=AsOfDate,IF($Q146=0,$W146,IF(AND($S146&lt;&gt;"",EDATE($D146,Milestones!$AA$133)&gt;=$S146),$V146,IF(AND($R146&lt;&gt;"",EDATE($D146,Milestones!$AA$133)&gt;=$R146),$U146,$T146)))=Milestones!$AB$133),TEXT(EDATE($D146,Milestones!$AA$133),"dd/mm/yy")&amp;" "&amp;Milestones!$AB$133&amp;" "&amp;Milestones!$AC$133&amp;";  ","")&amp;IF(AND(EDATE($D146,Milestones!$AA$134)&lt;=AsOfDate,IF($Q146=0,$W146,IF(AND($S146&lt;&gt;"",EDATE($D146,Milestones!$AA$134)&gt;=$S146),$V146,IF(AND($R146&lt;&gt;"",EDATE($D146,Milestones!$AA$134)&gt;=$R146),$U146,$T146)))=Milestones!$AB$134),TEXT(EDATE($D146,Milestones!$AA$134),"dd/mm/yy")&amp;" "&amp;Milestones!$AB$134&amp;" "&amp;Milestones!$AC$134&amp;";  ","")&amp;IF(AND(EDATE($D146,Milestones!$AA$135)&lt;=AsOfDate,IF($Q146=0,$W146,IF(AND($S146&lt;&gt;"",EDATE($D146,Milestones!$AA$135)&gt;=$S146),$V146,IF(AND($R146&lt;&gt;"",EDATE($D146,Milestones!$AA$135)&gt;=$R146),$U146,$T146)))=Milestones!$AB$135),TEXT(EDATE($D146,Milestones!$AA$135),"dd/mm/yy")&amp;" "&amp;Milestones!$AB$135&amp;" "&amp;Milestones!$AC$135&amp;";  ","")&amp;IF(AND(EDATE($D146,Milestones!$AA$136)&lt;=AsOfDate,IF($Q146=0,$W146,IF(AND($S146&lt;&gt;"",EDATE($D146,Milestones!$AA$136)&gt;=$S146),$V146,IF(AND($R146&lt;&gt;"",EDATE($D146,Milestones!$AA$136)&gt;=$R146),$U146,$T146)))=Milestones!$AB$136),TEXT(EDATE($D146,Milestones!$AA$136),"dd/mm/yy")&amp;" "&amp;Milestones!$AB$136&amp;" "&amp;Milestones!$AC$136&amp;";  ","")&amp;IF(AND(EDATE($D146,Milestones!$AA$137)&lt;=AsOfDate,IF($Q146=0,$W146,IF(AND($S146&lt;&gt;"",EDATE($D146,Milestones!$AA$137)&gt;=$S146),$V146,IF(AND($R146&lt;&gt;"",EDATE($D146,Milestones!$AA$137)&gt;=$R146),$U146,$T146)))=Milestones!$AB$137),TEXT(EDATE($D146,Milestones!$AA$137),"dd/mm/yy")&amp;" "&amp;Milestones!$AB$137&amp;" "&amp;Milestones!$AC$137&amp;";  ","")&amp;IF(AND(EDATE($D146,Milestones!$AA$138)&lt;=AsOfDate,IF($Q146=0,$W146,IF(AND($S146&lt;&gt;"",EDATE($D146,Milestones!$AA$138)&gt;=$S146),$V146,IF(AND($R146&lt;&gt;"",EDATE($D146,Milestones!$AA$138)&gt;=$R146),$U146,$T146)))=Milestones!$AB$138),TEXT(EDATE($D146,Milestones!$AA$138),"dd/mm/yy")&amp;" "&amp;Milestones!$AB$138&amp;" "&amp;Milestones!$AC$138&amp;";  ","")&amp;IF(AND(EDATE($D146,Milestones!$AA$139)&lt;=AsOfDate,IF($Q146=0,$W146,IF(AND($S146&lt;&gt;"",EDATE($D146,Milestones!$AA$139)&gt;=$S146),$V146,IF(AND($R146&lt;&gt;"",EDATE($D146,Milestones!$AA$139)&gt;=$R146),$U146,$T146)))=Milestones!$AB$139),TEXT(EDATE($D146,Milestones!$AA$139),"dd/mm/yy")&amp;" "&amp;Milestones!$AB$139&amp;" "&amp;Milestones!$AC$139&amp;";  ",""))</f>
        <v/>
      </c>
      <c r="N146" s="0" t="str">
        <f aca="false">IF(OR($A146="",$D146=""),"",IF(AND(EDATE($D146,Milestones!$AA$140)&lt;=AsOfDate,IF($Q146=0,$W146,IF(AND($S146&lt;&gt;"",EDATE($D146,Milestones!$AA$140)&gt;=$S146),$V146,IF(AND($R146&lt;&gt;"",EDATE($D146,Milestones!$AA$140)&gt;=$R146),$U146,$T146)))=Milestones!$AB$140),TEXT(EDATE($D146,Milestones!$AA$140),"dd/mm/yy")&amp;" "&amp;Milestones!$AB$140&amp;" "&amp;Milestones!$AC$140&amp;";  ","")&amp;IF(AND(EDATE($D146,Milestones!$AA$141)&lt;=AsOfDate,IF($Q146=0,$W146,IF(AND($S146&lt;&gt;"",EDATE($D146,Milestones!$AA$141)&gt;=$S146),$V146,IF(AND($R146&lt;&gt;"",EDATE($D146,Milestones!$AA$141)&gt;=$R146),$U146,$T146)))=Milestones!$AB$141),TEXT(EDATE($D146,Milestones!$AA$141),"dd/mm/yy")&amp;" "&amp;Milestones!$AB$141&amp;" "&amp;Milestones!$AC$141&amp;";  ","")&amp;IF(AND(EDATE($D146,Milestones!$AA$142)&lt;=AsOfDate,IF($Q146=0,$W146,IF(AND($S146&lt;&gt;"",EDATE($D146,Milestones!$AA$142)&gt;=$S146),$V146,IF(AND($R146&lt;&gt;"",EDATE($D146,Milestones!$AA$142)&gt;=$R146),$U146,$T146)))=Milestones!$AB$142),TEXT(EDATE($D146,Milestones!$AA$142),"dd/mm/yy")&amp;" "&amp;Milestones!$AB$142&amp;" "&amp;Milestones!$AC$142&amp;";  ","")&amp;IF(AND(EDATE($D146,Milestones!$AA$143)&lt;=AsOfDate,IF($Q146=0,$W146,IF(AND($S146&lt;&gt;"",EDATE($D146,Milestones!$AA$143)&gt;=$S146),$V146,IF(AND($R146&lt;&gt;"",EDATE($D146,Milestones!$AA$143)&gt;=$R146),$U146,$T146)))=Milestones!$AB$143),TEXT(EDATE($D146,Milestones!$AA$143),"dd/mm/yy")&amp;" "&amp;Milestones!$AB$143&amp;" "&amp;Milestones!$AC$143&amp;";  ","")&amp;IF(AND(EDATE($D146,Milestones!$AA$144)&lt;=AsOfDate,IF($Q146=0,$W146,IF(AND($S146&lt;&gt;"",EDATE($D146,Milestones!$AA$144)&gt;=$S146),$V146,IF(AND($R146&lt;&gt;"",EDATE($D146,Milestones!$AA$144)&gt;=$R146),$U146,$T146)))=Milestones!$AB$144),TEXT(EDATE($D146,Milestones!$AA$144),"dd/mm/yy")&amp;" "&amp;Milestones!$AB$144&amp;" "&amp;Milestones!$AC$144&amp;";  ","")&amp;IF(AND(EDATE($D146,Milestones!$AA$145)&lt;=AsOfDate,IF($Q146=0,$W146,IF(AND($S146&lt;&gt;"",EDATE($D146,Milestones!$AA$145)&gt;=$S146),$V146,IF(AND($R146&lt;&gt;"",EDATE($D146,Milestones!$AA$145)&gt;=$R146),$U146,$T146)))=Milestones!$AB$145),TEXT(EDATE($D146,Milestones!$AA$145),"dd/mm/yy")&amp;" "&amp;Milestones!$AB$145&amp;" "&amp;Milestones!$AC$145&amp;";  ","")&amp;IF(AND(EDATE($D146,Milestones!$AA$146)&lt;=AsOfDate,IF($Q146=0,$W146,IF(AND($S146&lt;&gt;"",EDATE($D146,Milestones!$AA$146)&gt;=$S146),$V146,IF(AND($R146&lt;&gt;"",EDATE($D146,Milestones!$AA$146)&gt;=$R146),$U146,$T146)))=Milestones!$AB$146),TEXT(EDATE($D146,Milestones!$AA$146),"dd/mm/yy")&amp;" "&amp;Milestones!$AB$146&amp;" "&amp;Milestones!$AC$146&amp;";  ","")&amp;IF(AND(EDATE($D146,Milestones!$AA$147)&lt;=AsOfDate,IF($Q146=0,$W146,IF(AND($S146&lt;&gt;"",EDATE($D146,Milestones!$AA$147)&gt;=$S146),$V146,IF(AND($R146&lt;&gt;"",EDATE($D146,Milestones!$AA$147)&gt;=$R146),$U146,$T146)))=Milestones!$AB$147),TEXT(EDATE($D146,Milestones!$AA$147),"dd/mm/yy")&amp;" "&amp;Milestones!$AB$147&amp;" "&amp;Milestones!$AC$147&amp;";  ","")&amp;IF(AND(EDATE($D146,Milestones!$AA$148)&lt;=AsOfDate,IF($Q146=0,$W146,IF(AND($S146&lt;&gt;"",EDATE($D146,Milestones!$AA$148)&gt;=$S146),$V146,IF(AND($R146&lt;&gt;"",EDATE($D146,Milestones!$AA$148)&gt;=$R146),$U146,$T146)))=Milestones!$AB$148),TEXT(EDATE($D146,Milestones!$AA$148),"dd/mm/yy")&amp;" "&amp;Milestones!$AB$148&amp;" "&amp;Milestones!$AC$148&amp;";  ","")&amp;IF(AND(EDATE($D146,Milestones!$AA$149)&lt;=AsOfDate,IF($Q146=0,$W146,IF(AND($S146&lt;&gt;"",EDATE($D146,Milestones!$AA$149)&gt;=$S146),$V146,IF(AND($R146&lt;&gt;"",EDATE($D146,Milestones!$AA$149)&gt;=$R146),$U146,$T146)))=Milestones!$AB$149),TEXT(EDATE($D146,Milestones!$AA$149),"dd/mm/yy")&amp;" "&amp;Milestones!$AB$149&amp;" "&amp;Milestones!$AC$149&amp;";  ","")&amp;IF(AND(EDATE($D146,Milestones!$AA$150)&lt;=AsOfDate,IF($Q146=0,$W146,IF(AND($S146&lt;&gt;"",EDATE($D146,Milestones!$AA$150)&gt;=$S146),$V146,IF(AND($R146&lt;&gt;"",EDATE($D146,Milestones!$AA$150)&gt;=$R146),$U146,$T146)))=Milestones!$AB$150),TEXT(EDATE($D146,Milestones!$AA$150),"dd/mm/yy")&amp;" "&amp;Milestones!$AB$150&amp;" "&amp;Milestones!$AC$150&amp;";  ","")&amp;IF(AND(EDATE($D146,Milestones!$AA$151)&lt;=AsOfDate,IF($Q146=0,$W146,IF(AND($S146&lt;&gt;"",EDATE($D146,Milestones!$AA$151)&gt;=$S146),$V146,IF(AND($R146&lt;&gt;"",EDATE($D146,Milestones!$AA$151)&gt;=$R146),$U146,$T146)))=Milestones!$AB$151),TEXT(EDATE($D146,Milestones!$AA$151),"dd/mm/yy")&amp;" "&amp;Milestones!$AB$151&amp;" "&amp;Milestones!$AC$151&amp;";  ","")&amp;IF(AND(EDATE($D146,Milestones!$AA$152)&lt;=AsOfDate,IF($Q146=0,$W146,IF(AND($S146&lt;&gt;"",EDATE($D146,Milestones!$AA$152)&gt;=$S146),$V146,IF(AND($R146&lt;&gt;"",EDATE($D146,Milestones!$AA$152)&gt;=$R146),$U146,$T146)))=Milestones!$AB$152),TEXT(EDATE($D146,Milestones!$AA$152),"dd/mm/yy")&amp;" "&amp;Milestones!$AB$152&amp;" "&amp;Milestones!$AC$152&amp;";  ","")&amp;IF(AND(EDATE($D146,Milestones!$AA$153)&lt;=AsOfDate,IF($Q146=0,$W146,IF(AND($S146&lt;&gt;"",EDATE($D146,Milestones!$AA$153)&gt;=$S146),$V146,IF(AND($R146&lt;&gt;"",EDATE($D146,Milestones!$AA$153)&gt;=$R146),$U146,$T146)))=Milestones!$AB$153),TEXT(EDATE($D146,Milestones!$AA$153),"dd/mm/yy")&amp;" "&amp;Milestones!$AB$153&amp;" "&amp;Milestones!$AC$153&amp;";  ","")&amp;IF(AND(EDATE($D146,Milestones!$AA$154)&lt;=AsOfDate,IF($Q146=0,$W146,IF(AND($S146&lt;&gt;"",EDATE($D146,Milestones!$AA$154)&gt;=$S146),$V146,IF(AND($R146&lt;&gt;"",EDATE($D146,Milestones!$AA$154)&gt;=$R146),$U146,$T146)))=Milestones!$AB$154),TEXT(EDATE($D146,Milestones!$AA$154),"dd/mm/yy")&amp;" "&amp;Milestones!$AB$154&amp;" "&amp;Milestones!$AC$154&amp;";  ","")&amp;IF(AND(EDATE($D146,Milestones!$AA$155)&lt;=AsOfDate,IF($Q146=0,$W146,IF(AND($S146&lt;&gt;"",EDATE($D146,Milestones!$AA$155)&gt;=$S146),$V146,IF(AND($R146&lt;&gt;"",EDATE($D146,Milestones!$AA$155)&gt;=$R146),$U146,$T146)))=Milestones!$AB$155),TEXT(EDATE($D146,Milestones!$AA$155),"dd/mm/yy")&amp;" "&amp;Milestones!$AB$155&amp;" "&amp;Milestones!$AC$155&amp;";  ","")&amp;IF(AND(EDATE($D146,Milestones!$AA$156)&lt;=AsOfDate,IF($Q146=0,$W146,IF(AND($S146&lt;&gt;"",EDATE($D146,Milestones!$AA$156)&gt;=$S146),$V146,IF(AND($R146&lt;&gt;"",EDATE($D146,Milestones!$AA$156)&gt;=$R146),$U146,$T146)))=Milestones!$AB$156),TEXT(EDATE($D146,Milestones!$AA$156),"dd/mm/yy")&amp;" "&amp;Milestones!$AB$156&amp;" "&amp;Milestones!$AC$156&amp;";  ","")&amp;IF(AND(EDATE($D146,Milestones!$AA$157)&lt;=AsOfDate,IF($Q146=0,$W146,IF(AND($S146&lt;&gt;"",EDATE($D146,Milestones!$AA$157)&gt;=$S146),$V146,IF(AND($R146&lt;&gt;"",EDATE($D146,Milestones!$AA$157)&gt;=$R146),$U146,$T146)))=Milestones!$AB$157),TEXT(EDATE($D146,Milestones!$AA$157),"dd/mm/yy")&amp;" "&amp;Milestones!$AB$157&amp;" "&amp;Milestones!$AC$157&amp;";  ","")&amp;IF(AND(EDATE($D146,Milestones!$AA$158)&lt;=AsOfDate,IF($Q146=0,$W146,IF(AND($S146&lt;&gt;"",EDATE($D146,Milestones!$AA$158)&gt;=$S146),$V146,IF(AND($R146&lt;&gt;"",EDATE($D146,Milestones!$AA$158)&gt;=$R146),$U146,$T146)))=Milestones!$AB$158),TEXT(EDATE($D146,Milestones!$AA$158),"dd/mm/yy")&amp;" "&amp;Milestones!$AB$158&amp;" "&amp;Milestones!$AC$158&amp;";  ","")&amp;IF(AND(EDATE($D146,Milestones!$AA$159)&lt;=AsOfDate,IF($Q146=0,$W146,IF(AND($S146&lt;&gt;"",EDATE($D146,Milestones!$AA$159)&gt;=$S146),$V146,IF(AND($R146&lt;&gt;"",EDATE($D146,Milestones!$AA$159)&gt;=$R146),$U146,$T146)))=Milestones!$AB$159),TEXT(EDATE($D146,Milestones!$AA$159),"dd/mm/yy")&amp;" "&amp;Milestones!$AB$159&amp;" "&amp;Milestones!$AC$159&amp;";  ",""))</f>
        <v/>
      </c>
      <c r="O146" s="0" t="str">
        <f aca="false">IF(OR($A146="",$D146=""),"",IF(AND(EDATE($D146,Milestones!$AA$160)&lt;=AsOfDate,IF($Q146=0,$W146,IF(AND($S146&lt;&gt;"",EDATE($D146,Milestones!$AA$160)&gt;=$S146),$V146,IF(AND($R146&lt;&gt;"",EDATE($D146,Milestones!$AA$160)&gt;=$R146),$U146,$T146)))=Milestones!$AB$160),TEXT(EDATE($D146,Milestones!$AA$160),"dd/mm/yy")&amp;" "&amp;Milestones!$AB$160&amp;" "&amp;Milestones!$AC$160&amp;";  ","")&amp;IF(AND(EDATE($D146,Milestones!$AA$161)&lt;=AsOfDate,IF($Q146=0,$W146,IF(AND($S146&lt;&gt;"",EDATE($D146,Milestones!$AA$161)&gt;=$S146),$V146,IF(AND($R146&lt;&gt;"",EDATE($D146,Milestones!$AA$161)&gt;=$R146),$U146,$T146)))=Milestones!$AB$161),TEXT(EDATE($D146,Milestones!$AA$161),"dd/mm/yy")&amp;" "&amp;Milestones!$AB$161&amp;" "&amp;Milestones!$AC$161&amp;";  ","")&amp;IF(AND(EDATE($D146,Milestones!$AA$162)&lt;=AsOfDate,IF($Q146=0,$W146,IF(AND($S146&lt;&gt;"",EDATE($D146,Milestones!$AA$162)&gt;=$S146),$V146,IF(AND($R146&lt;&gt;"",EDATE($D146,Milestones!$AA$162)&gt;=$R146),$U146,$T146)))=Milestones!$AB$162),TEXT(EDATE($D146,Milestones!$AA$162),"dd/mm/yy")&amp;" "&amp;Milestones!$AB$162&amp;" "&amp;Milestones!$AC$162&amp;";  ","")&amp;IF(AND(EDATE($D146,Milestones!$AA$163)&lt;=AsOfDate,IF($Q146=0,$W146,IF(AND($S146&lt;&gt;"",EDATE($D146,Milestones!$AA$163)&gt;=$S146),$V146,IF(AND($R146&lt;&gt;"",EDATE($D146,Milestones!$AA$163)&gt;=$R146),$U146,$T146)))=Milestones!$AB$163),TEXT(EDATE($D146,Milestones!$AA$163),"dd/mm/yy")&amp;" "&amp;Milestones!$AB$163&amp;" "&amp;Milestones!$AC$163&amp;";  ","")&amp;IF(AND(EDATE($D146,Milestones!$AA$164)&lt;=AsOfDate,IF($Q146=0,$W146,IF(AND($S146&lt;&gt;"",EDATE($D146,Milestones!$AA$164)&gt;=$S146),$V146,IF(AND($R146&lt;&gt;"",EDATE($D146,Milestones!$AA$164)&gt;=$R146),$U146,$T146)))=Milestones!$AB$164),TEXT(EDATE($D146,Milestones!$AA$164),"dd/mm/yy")&amp;" "&amp;Milestones!$AB$164&amp;" "&amp;Milestones!$AC$164&amp;";  ","")&amp;IF(AND(EDATE($D146,Milestones!$AA$165)&lt;=AsOfDate,IF($Q146=0,$W146,IF(AND($S146&lt;&gt;"",EDATE($D146,Milestones!$AA$165)&gt;=$S146),$V146,IF(AND($R146&lt;&gt;"",EDATE($D146,Milestones!$AA$165)&gt;=$R146),$U146,$T146)))=Milestones!$AB$165),TEXT(EDATE($D146,Milestones!$AA$165),"dd/mm/yy")&amp;" "&amp;Milestones!$AB$165&amp;" "&amp;Milestones!$AC$165&amp;";  ","")&amp;IF(AND(EDATE($D146,Milestones!$AA$166)&lt;=AsOfDate,IF($Q146=0,$W146,IF(AND($S146&lt;&gt;"",EDATE($D146,Milestones!$AA$166)&gt;=$S146),$V146,IF(AND($R146&lt;&gt;"",EDATE($D146,Milestones!$AA$166)&gt;=$R146),$U146,$T146)))=Milestones!$AB$166),TEXT(EDATE($D146,Milestones!$AA$166),"dd/mm/yy")&amp;" "&amp;Milestones!$AB$166&amp;" "&amp;Milestones!$AC$166&amp;";  ","")&amp;IF(AND(EDATE($D146,Milestones!$AA$167)&lt;=AsOfDate,IF($Q146=0,$W146,IF(AND($S146&lt;&gt;"",EDATE($D146,Milestones!$AA$167)&gt;=$S146),$V146,IF(AND($R146&lt;&gt;"",EDATE($D146,Milestones!$AA$167)&gt;=$R146),$U146,$T146)))=Milestones!$AB$167),TEXT(EDATE($D146,Milestones!$AA$167),"dd/mm/yy")&amp;" "&amp;Milestones!$AB$167&amp;" "&amp;Milestones!$AC$167&amp;";  ","")&amp;IF(AND(EDATE($D146,Milestones!$AA$168)&lt;=AsOfDate,IF($Q146=0,$W146,IF(AND($S146&lt;&gt;"",EDATE($D146,Milestones!$AA$168)&gt;=$S146),$V146,IF(AND($R146&lt;&gt;"",EDATE($D146,Milestones!$AA$168)&gt;=$R146),$U146,$T146)))=Milestones!$AB$168),TEXT(EDATE($D146,Milestones!$AA$168),"dd/mm/yy")&amp;" "&amp;Milestones!$AB$168&amp;" "&amp;Milestones!$AC$168&amp;";  ","")&amp;IF(AND(EDATE($D146,Milestones!$AA$169)&lt;=AsOfDate,IF($Q146=0,$W146,IF(AND($S146&lt;&gt;"",EDATE($D146,Milestones!$AA$169)&gt;=$S146),$V146,IF(AND($R146&lt;&gt;"",EDATE($D146,Milestones!$AA$169)&gt;=$R146),$U146,$T146)))=Milestones!$AB$169),TEXT(EDATE($D146,Milestones!$AA$169),"dd/mm/yy")&amp;" "&amp;Milestones!$AB$169&amp;" "&amp;Milestones!$AC$169&amp;";  ","")&amp;IF(AND(EDATE($D146,Milestones!$AA$170)&lt;=AsOfDate,IF($Q146=0,$W146,IF(AND($S146&lt;&gt;"",EDATE($D146,Milestones!$AA$170)&gt;=$S146),$V146,IF(AND($R146&lt;&gt;"",EDATE($D146,Milestones!$AA$170)&gt;=$R146),$U146,$T146)))=Milestones!$AB$170),TEXT(EDATE($D146,Milestones!$AA$170),"dd/mm/yy")&amp;" "&amp;Milestones!$AB$170&amp;" "&amp;Milestones!$AC$170&amp;";  ","")&amp;IF(AND(EDATE($D146,Milestones!$AA$171)&lt;=AsOfDate,IF($Q146=0,$W146,IF(AND($S146&lt;&gt;"",EDATE($D146,Milestones!$AA$171)&gt;=$S146),$V146,IF(AND($R146&lt;&gt;"",EDATE($D146,Milestones!$AA$171)&gt;=$R146),$U146,$T146)))=Milestones!$AB$171),TEXT(EDATE($D146,Milestones!$AA$171),"dd/mm/yy")&amp;" "&amp;Milestones!$AB$171&amp;" "&amp;Milestones!$AC$171&amp;";  ","")&amp;IF(AND(EDATE($D146,Milestones!$AA$172)&lt;=AsOfDate,IF($Q146=0,$W146,IF(AND($S146&lt;&gt;"",EDATE($D146,Milestones!$AA$172)&gt;=$S146),$V146,IF(AND($R146&lt;&gt;"",EDATE($D146,Milestones!$AA$172)&gt;=$R146),$U146,$T146)))=Milestones!$AB$172),TEXT(EDATE($D146,Milestones!$AA$172),"dd/mm/yy")&amp;" "&amp;Milestones!$AB$172&amp;" "&amp;Milestones!$AC$172&amp;";  ","")&amp;IF(AND(EDATE($D146,Milestones!$AA$173)&lt;=AsOfDate,IF($Q146=0,$W146,IF(AND($S146&lt;&gt;"",EDATE($D146,Milestones!$AA$173)&gt;=$S146),$V146,IF(AND($R146&lt;&gt;"",EDATE($D146,Milestones!$AA$173)&gt;=$R146),$U146,$T146)))=Milestones!$AB$173),TEXT(EDATE($D146,Milestones!$AA$173),"dd/mm/yy")&amp;" "&amp;Milestones!$AB$173&amp;" "&amp;Milestones!$AC$173&amp;";  ","")&amp;IF(AND(EDATE($D146,Milestones!$AA$174)&lt;=AsOfDate,IF($Q146=0,$W146,IF(AND($S146&lt;&gt;"",EDATE($D146,Milestones!$AA$174)&gt;=$S146),$V146,IF(AND($R146&lt;&gt;"",EDATE($D146,Milestones!$AA$174)&gt;=$R146),$U146,$T146)))=Milestones!$AB$174),TEXT(EDATE($D146,Milestones!$AA$174),"dd/mm/yy")&amp;" "&amp;Milestones!$AB$174&amp;" "&amp;Milestones!$AC$174&amp;";  ","")&amp;IF(AND(EDATE($D146,Milestones!$AA$175)&lt;=AsOfDate,IF($Q146=0,$W146,IF(AND($S146&lt;&gt;"",EDATE($D146,Milestones!$AA$175)&gt;=$S146),$V146,IF(AND($R146&lt;&gt;"",EDATE($D146,Milestones!$AA$175)&gt;=$R146),$U146,$T146)))=Milestones!$AB$175),TEXT(EDATE($D146,Milestones!$AA$175),"dd/mm/yy")&amp;" "&amp;Milestones!$AB$175&amp;" "&amp;Milestones!$AC$175&amp;";  ","")&amp;IF(AND(EDATE($D146,Milestones!$AA$176)&lt;=AsOfDate,IF($Q146=0,$W146,IF(AND($S146&lt;&gt;"",EDATE($D146,Milestones!$AA$176)&gt;=$S146),$V146,IF(AND($R146&lt;&gt;"",EDATE($D146,Milestones!$AA$176)&gt;=$R146),$U146,$T146)))=Milestones!$AB$176),TEXT(EDATE($D146,Milestones!$AA$176),"dd/mm/yy")&amp;" "&amp;Milestones!$AB$176&amp;" "&amp;Milestones!$AC$176&amp;";  ","")&amp;IF(AND(EDATE($D146,Milestones!$AA$177)&lt;=AsOfDate,IF($Q146=0,$W146,IF(AND($S146&lt;&gt;"",EDATE($D146,Milestones!$AA$177)&gt;=$S146),$V146,IF(AND($R146&lt;&gt;"",EDATE($D146,Milestones!$AA$177)&gt;=$R146),$U146,$T146)))=Milestones!$AB$177),TEXT(EDATE($D146,Milestones!$AA$177),"dd/mm/yy")&amp;" "&amp;Milestones!$AB$177&amp;" "&amp;Milestones!$AC$177&amp;";  ","")&amp;IF(AND(EDATE($D146,Milestones!$AA$178)&lt;=AsOfDate,IF($Q146=0,$W146,IF(AND($S146&lt;&gt;"",EDATE($D146,Milestones!$AA$178)&gt;=$S146),$V146,IF(AND($R146&lt;&gt;"",EDATE($D146,Milestones!$AA$178)&gt;=$R146),$U146,$T146)))=Milestones!$AB$178),TEXT(EDATE($D146,Milestones!$AA$178),"dd/mm/yy")&amp;" "&amp;Milestones!$AB$178&amp;" "&amp;Milestones!$AC$178&amp;";  ","")&amp;IF(AND(EDATE($D146,Milestones!$AA$179)&lt;=AsOfDate,IF($Q146=0,$W146,IF(AND($S146&lt;&gt;"",EDATE($D146,Milestones!$AA$179)&gt;=$S146),$V146,IF(AND($R146&lt;&gt;"",EDATE($D146,Milestones!$AA$179)&gt;=$R146),$U146,$T146)))=Milestones!$AB$179),TEXT(EDATE($D146,Milestones!$AA$179),"dd/mm/yy")&amp;" "&amp;Milestones!$AB$179&amp;" "&amp;Milestones!$AC$179&amp;";  ",""))</f>
        <v/>
      </c>
      <c r="P146" s="0" t="str">
        <f aca="false">IF(OR($A146="",$D146=""),"",IF(AND(EDATE($D146,Milestones!$AA$180)&lt;=AsOfDate,IF($Q146=0,$W146,IF(AND($S146&lt;&gt;"",EDATE($D146,Milestones!$AA$180)&gt;=$S146),$V146,IF(AND($R146&lt;&gt;"",EDATE($D146,Milestones!$AA$180)&gt;=$R146),$U146,$T146)))=Milestones!$AB$180),TEXT(EDATE($D146,Milestones!$AA$180),"dd/mm/yy")&amp;" "&amp;Milestones!$AB$180&amp;" "&amp;Milestones!$AC$180&amp;";  ","")&amp;IF(AND(EDATE($D146,Milestones!$AA$181)&lt;=AsOfDate,IF($Q146=0,$W146,IF(AND($S146&lt;&gt;"",EDATE($D146,Milestones!$AA$181)&gt;=$S146),$V146,IF(AND($R146&lt;&gt;"",EDATE($D146,Milestones!$AA$181)&gt;=$R146),$U146,$T146)))=Milestones!$AB$181),TEXT(EDATE($D146,Milestones!$AA$181),"dd/mm/yy")&amp;" "&amp;Milestones!$AB$181&amp;" "&amp;Milestones!$AC$181&amp;";  ","")&amp;IF(AND(EDATE($D146,Milestones!$AA$182)&lt;=AsOfDate,IF($Q146=0,$W146,IF(AND($S146&lt;&gt;"",EDATE($D146,Milestones!$AA$182)&gt;=$S146),$V146,IF(AND($R146&lt;&gt;"",EDATE($D146,Milestones!$AA$182)&gt;=$R146),$U146,$T146)))=Milestones!$AB$182),TEXT(EDATE($D146,Milestones!$AA$182),"dd/mm/yy")&amp;" "&amp;Milestones!$AB$182&amp;" "&amp;Milestones!$AC$182&amp;";  ","")&amp;IF(AND(EDATE($D146,Milestones!$AA$183)&lt;=AsOfDate,IF($Q146=0,$W146,IF(AND($S146&lt;&gt;"",EDATE($D146,Milestones!$AA$183)&gt;=$S146),$V146,IF(AND($R146&lt;&gt;"",EDATE($D146,Milestones!$AA$183)&gt;=$R146),$U146,$T146)))=Milestones!$AB$183),TEXT(EDATE($D146,Milestones!$AA$183),"dd/mm/yy")&amp;" "&amp;Milestones!$AB$183&amp;" "&amp;Milestones!$AC$183&amp;";  ","")&amp;IF(AND(EDATE($D146,Milestones!$AA$184)&lt;=AsOfDate,IF($Q146=0,$W146,IF(AND($S146&lt;&gt;"",EDATE($D146,Milestones!$AA$184)&gt;=$S146),$V146,IF(AND($R146&lt;&gt;"",EDATE($D146,Milestones!$AA$184)&gt;=$R146),$U146,$T146)))=Milestones!$AB$184),TEXT(EDATE($D146,Milestones!$AA$184),"dd/mm/yy")&amp;" "&amp;Milestones!$AB$184&amp;" "&amp;Milestones!$AC$184&amp;";  ","")&amp;IF(AND(EDATE($D146,Milestones!$AA$185)&lt;=AsOfDate,IF($Q146=0,$W146,IF(AND($S146&lt;&gt;"",EDATE($D146,Milestones!$AA$185)&gt;=$S146),$V146,IF(AND($R146&lt;&gt;"",EDATE($D146,Milestones!$AA$185)&gt;=$R146),$U146,$T146)))=Milestones!$AB$185),TEXT(EDATE($D146,Milestones!$AA$185),"dd/mm/yy")&amp;" "&amp;Milestones!$AB$185&amp;" "&amp;Milestones!$AC$185&amp;";  ","")&amp;IF(AND(EDATE($D146,Milestones!$AA$186)&lt;=AsOfDate,IF($Q146=0,$W146,IF(AND($S146&lt;&gt;"",EDATE($D146,Milestones!$AA$186)&gt;=$S146),$V146,IF(AND($R146&lt;&gt;"",EDATE($D146,Milestones!$AA$186)&gt;=$R146),$U146,$T146)))=Milestones!$AB$186),TEXT(EDATE($D146,Milestones!$AA$186),"dd/mm/yy")&amp;" "&amp;Milestones!$AB$186&amp;" "&amp;Milestones!$AC$186&amp;";  ","")&amp;IF(AND(EDATE($D146,Milestones!$AA$187)&lt;=AsOfDate,IF($Q146=0,$W146,IF(AND($S146&lt;&gt;"",EDATE($D146,Milestones!$AA$187)&gt;=$S146),$V146,IF(AND($R146&lt;&gt;"",EDATE($D146,Milestones!$AA$187)&gt;=$R146),$U146,$T146)))=Milestones!$AB$187),TEXT(EDATE($D146,Milestones!$AA$187),"dd/mm/yy")&amp;" "&amp;Milestones!$AB$187&amp;" "&amp;Milestones!$AC$187&amp;";  ","")&amp;IF(AND(EDATE($D146,Milestones!$AA$188)&lt;=AsOfDate,IF($Q146=0,$W146,IF(AND($S146&lt;&gt;"",EDATE($D146,Milestones!$AA$188)&gt;=$S146),$V146,IF(AND($R146&lt;&gt;"",EDATE($D146,Milestones!$AA$188)&gt;=$R146),$U146,$T146)))=Milestones!$AB$188),TEXT(EDATE($D146,Milestones!$AA$188),"dd/mm/yy")&amp;" "&amp;Milestones!$AB$188&amp;" "&amp;Milestones!$AC$188&amp;";  ","")&amp;IF(AND(EDATE($D146,Milestones!$AA$189)&lt;=AsOfDate,IF($Q146=0,$W146,IF(AND($S146&lt;&gt;"",EDATE($D146,Milestones!$AA$189)&gt;=$S146),$V146,IF(AND($R146&lt;&gt;"",EDATE($D146,Milestones!$AA$189)&gt;=$R146),$U146,$T146)))=Milestones!$AB$189),TEXT(EDATE($D146,Milestones!$AA$189),"dd/mm/yy")&amp;" "&amp;Milestones!$AB$189&amp;" "&amp;Milestones!$AC$189&amp;";  ","")&amp;IF(AND(EDATE($D146,Milestones!$AA$190)&lt;=AsOfDate,IF($Q146=0,$W146,IF(AND($S146&lt;&gt;"",EDATE($D146,Milestones!$AA$190)&gt;=$S146),$V146,IF(AND($R146&lt;&gt;"",EDATE($D146,Milestones!$AA$190)&gt;=$R146),$U146,$T146)))=Milestones!$AB$190),TEXT(EDATE($D146,Milestones!$AA$190),"dd/mm/yy")&amp;" "&amp;Milestones!$AB$190&amp;" "&amp;Milestones!$AC$190&amp;";  ","")&amp;IF(AND(EDATE($D146,Milestones!$AA$191)&lt;=AsOfDate,IF($Q146=0,$W146,IF(AND($S146&lt;&gt;"",EDATE($D146,Milestones!$AA$191)&gt;=$S146),$V146,IF(AND($R146&lt;&gt;"",EDATE($D146,Milestones!$AA$191)&gt;=$R146),$U146,$T146)))=Milestones!$AB$191),TEXT(EDATE($D146,Milestones!$AA$191),"dd/mm/yy")&amp;" "&amp;Milestones!$AB$191&amp;" "&amp;Milestones!$AC$191&amp;";  ","")&amp;IF(AND(EDATE($D146,Milestones!$AA$192)&lt;=AsOfDate,IF($Q146=0,$W146,IF(AND($S146&lt;&gt;"",EDATE($D146,Milestones!$AA$192)&gt;=$S146),$V146,IF(AND($R146&lt;&gt;"",EDATE($D146,Milestones!$AA$192)&gt;=$R146),$U146,$T146)))=Milestones!$AB$192),TEXT(EDATE($D146,Milestones!$AA$192),"dd/mm/yy")&amp;" "&amp;Milestones!$AB$192&amp;" "&amp;Milestones!$AC$192&amp;";  ","")&amp;IF(AND(EDATE($D146,Milestones!$AA$193)&lt;=AsOfDate,IF($Q146=0,$W146,IF(AND($S146&lt;&gt;"",EDATE($D146,Milestones!$AA$193)&gt;=$S146),$V146,IF(AND($R146&lt;&gt;"",EDATE($D146,Milestones!$AA$193)&gt;=$R146),$U146,$T146)))=Milestones!$AB$193),TEXT(EDATE($D146,Milestones!$AA$193),"dd/mm/yy")&amp;" "&amp;Milestones!$AB$193&amp;" "&amp;Milestones!$AC$193&amp;";  ","")&amp;IF(AND(EDATE($D146,Milestones!$AA$194)&lt;=AsOfDate,IF($Q146=0,$W146,IF(AND($S146&lt;&gt;"",EDATE($D146,Milestones!$AA$194)&gt;=$S146),$V146,IF(AND($R146&lt;&gt;"",EDATE($D146,Milestones!$AA$194)&gt;=$R146),$U146,$T146)))=Milestones!$AB$194),TEXT(EDATE($D146,Milestones!$AA$194),"dd/mm/yy")&amp;" "&amp;Milestones!$AB$194&amp;" "&amp;Milestones!$AC$194&amp;";  ","")&amp;IF(AND(EDATE($D146,Milestones!$AA$195)&lt;=AsOfDate,IF($Q146=0,$W146,IF(AND($S146&lt;&gt;"",EDATE($D146,Milestones!$AA$195)&gt;=$S146),$V146,IF(AND($R146&lt;&gt;"",EDATE($D146,Milestones!$AA$195)&gt;=$R146),$U146,$T146)))=Milestones!$AB$195),TEXT(EDATE($D146,Milestones!$AA$195),"dd/mm/yy")&amp;" "&amp;Milestones!$AB$195&amp;" "&amp;Milestones!$AC$195&amp;";  ","")&amp;IF(AND(EDATE($D146,Milestones!$AA$196)&lt;=AsOfDate,IF($Q146=0,$W146,IF(AND($S146&lt;&gt;"",EDATE($D146,Milestones!$AA$196)&gt;=$S146),$V146,IF(AND($R146&lt;&gt;"",EDATE($D146,Milestones!$AA$196)&gt;=$R146),$U146,$T146)))=Milestones!$AB$196),TEXT(EDATE($D146,Milestones!$AA$196),"dd/mm/yy")&amp;" "&amp;Milestones!$AB$196&amp;" "&amp;Milestones!$AC$196&amp;";  ","")&amp;IF(AND(EDATE($D146,Milestones!$AA$197)&lt;=AsOfDate,IF($Q146=0,$W146,IF(AND($S146&lt;&gt;"",EDATE($D146,Milestones!$AA$197)&gt;=$S146),$V146,IF(AND($R146&lt;&gt;"",EDATE($D146,Milestones!$AA$197)&gt;=$R146),$U146,$T146)))=Milestones!$AB$197),TEXT(EDATE($D146,Milestones!$AA$197),"dd/mm/yy")&amp;" "&amp;Milestones!$AB$197&amp;" "&amp;Milestones!$AC$197&amp;";  ","")&amp;IF(AND(EDATE($D146,Milestones!$AA$198)&lt;=AsOfDate,IF($Q146=0,$W146,IF(AND($S146&lt;&gt;"",EDATE($D146,Milestones!$AA$198)&gt;=$S146),$V146,IF(AND($R146&lt;&gt;"",EDATE($D146,Milestones!$AA$198)&gt;=$R146),$U146,$T146)))=Milestones!$AB$198),TEXT(EDATE($D146,Milestones!$AA$198),"dd/mm/yy")&amp;" "&amp;Milestones!$AB$198&amp;" "&amp;Milestones!$AC$198&amp;";  ","")&amp;IF(AND(EDATE($D146,Milestones!$AA$199)&lt;=AsOfDate,IF($Q146=0,$W146,IF(AND($S146&lt;&gt;"",EDATE($D146,Milestones!$AA$199)&gt;=$S146),$V146,IF(AND($R146&lt;&gt;"",EDATE($D146,Milestones!$AA$199)&gt;=$R146),$U146,$T146)))=Milestones!$AB$199),TEXT(EDATE($D146,Milestones!$AA$199),"dd/mm/yy")&amp;" "&amp;Milestones!$AB$199&amp;" "&amp;Milestones!$AC$199&amp;";  ",""))</f>
        <v/>
      </c>
      <c r="Q146" s="0" t="str">
        <f aca="false">IF(Staff!$A146="","",Staff!$AG146)</f>
        <v/>
      </c>
      <c r="R146" s="0" t="str">
        <f aca="false">IF(Staff!$A146="","",Staff!$AI146)</f>
        <v/>
      </c>
      <c r="S146" s="0" t="str">
        <f aca="false">IF(Staff!$A146="","",Staff!$AJ146)</f>
        <v/>
      </c>
      <c r="T146" s="0" t="str">
        <f aca="false">IF(Staff!$A146="","",Staff!$AN146)</f>
        <v/>
      </c>
      <c r="U146" s="0" t="str">
        <f aca="false">IF(Staff!$A146="","",Staff!$AO146)</f>
        <v/>
      </c>
      <c r="V146" s="0" t="str">
        <f aca="false">IF(Staff!$A146="","",Staff!$AP146)</f>
        <v/>
      </c>
      <c r="W146" s="0" t="str">
        <f aca="false">IF(Staff!$A146="","",Staff!$AQ146)</f>
        <v/>
      </c>
    </row>
    <row r="147" customFormat="false" ht="15" hidden="false" customHeight="false" outlineLevel="0" collapsed="false">
      <c r="A147" s="13" t="str">
        <f aca="false">IF(Staff!$A147="","",Staff!$A147)</f>
        <v/>
      </c>
      <c r="B147" s="13" t="str">
        <f aca="false">IF(Staff!$A147="","",Staff!$B147)</f>
        <v/>
      </c>
      <c r="C147" s="13" t="str">
        <f aca="false">IF(Staff!$A147="","",Staff!$C147)</f>
        <v/>
      </c>
      <c r="D147" s="11" t="str">
        <f aca="false">IF(Staff!$A147="","",Staff!$AF147)</f>
        <v/>
      </c>
      <c r="E147" s="13" t="str">
        <f aca="false">IF(Staff!$A147="","",Staff!$O147)</f>
        <v/>
      </c>
      <c r="F147" s="13" t="str">
        <f aca="false">IF(E147="","",E147*HoursPerDay)</f>
        <v/>
      </c>
      <c r="G147" s="26" t="str">
        <f aca="false">IF($A147="","",H147&amp;I147&amp;J147&amp;K147&amp;L147&amp;M147&amp;N147&amp;O147&amp;P147)</f>
        <v/>
      </c>
      <c r="H147" s="0" t="str">
        <f aca="false">IF(OR($A147="",$D147=""),"",IF(AND(EDATE($D147,Milestones!$AA$20)&lt;=AsOfDate,IF($Q147=0,$W147,IF(AND($S147&lt;&gt;"",EDATE($D147,Milestones!$AA$20)&gt;=$S147),$V147,IF(AND($R147&lt;&gt;"",EDATE($D147,Milestones!$AA$20)&gt;=$R147),$U147,$T147)))=Milestones!$AB$20),TEXT(EDATE($D147,Milestones!$AA$20),"dd/mm/yy")&amp;" "&amp;Milestones!$AB$20&amp;" "&amp;Milestones!$AC$20&amp;";  ","")&amp;IF(AND(EDATE($D147,Milestones!$AA$21)&lt;=AsOfDate,IF($Q147=0,$W147,IF(AND($S147&lt;&gt;"",EDATE($D147,Milestones!$AA$21)&gt;=$S147),$V147,IF(AND($R147&lt;&gt;"",EDATE($D147,Milestones!$AA$21)&gt;=$R147),$U147,$T147)))=Milestones!$AB$21),TEXT(EDATE($D147,Milestones!$AA$21),"dd/mm/yy")&amp;" "&amp;Milestones!$AB$21&amp;" "&amp;Milestones!$AC$21&amp;";  ","")&amp;IF(AND(EDATE($D147,Milestones!$AA$22)&lt;=AsOfDate,IF($Q147=0,$W147,IF(AND($S147&lt;&gt;"",EDATE($D147,Milestones!$AA$22)&gt;=$S147),$V147,IF(AND($R147&lt;&gt;"",EDATE($D147,Milestones!$AA$22)&gt;=$R147),$U147,$T147)))=Milestones!$AB$22),TEXT(EDATE($D147,Milestones!$AA$22),"dd/mm/yy")&amp;" "&amp;Milestones!$AB$22&amp;" "&amp;Milestones!$AC$22&amp;";  ","")&amp;IF(AND(EDATE($D147,Milestones!$AA$23)&lt;=AsOfDate,IF($Q147=0,$W147,IF(AND($S147&lt;&gt;"",EDATE($D147,Milestones!$AA$23)&gt;=$S147),$V147,IF(AND($R147&lt;&gt;"",EDATE($D147,Milestones!$AA$23)&gt;=$R147),$U147,$T147)))=Milestones!$AB$23),TEXT(EDATE($D147,Milestones!$AA$23),"dd/mm/yy")&amp;" "&amp;Milestones!$AB$23&amp;" "&amp;Milestones!$AC$23&amp;";  ","")&amp;IF(AND(EDATE($D147,Milestones!$AA$24)&lt;=AsOfDate,IF($Q147=0,$W147,IF(AND($S147&lt;&gt;"",EDATE($D147,Milestones!$AA$24)&gt;=$S147),$V147,IF(AND($R147&lt;&gt;"",EDATE($D147,Milestones!$AA$24)&gt;=$R147),$U147,$T147)))=Milestones!$AB$24),TEXT(EDATE($D147,Milestones!$AA$24),"dd/mm/yy")&amp;" "&amp;Milestones!$AB$24&amp;" "&amp;Milestones!$AC$24&amp;";  ","")&amp;IF(AND(EDATE($D147,Milestones!$AA$25)&lt;=AsOfDate,IF($Q147=0,$W147,IF(AND($S147&lt;&gt;"",EDATE($D147,Milestones!$AA$25)&gt;=$S147),$V147,IF(AND($R147&lt;&gt;"",EDATE($D147,Milestones!$AA$25)&gt;=$R147),$U147,$T147)))=Milestones!$AB$25),TEXT(EDATE($D147,Milestones!$AA$25),"dd/mm/yy")&amp;" "&amp;Milestones!$AB$25&amp;" "&amp;Milestones!$AC$25&amp;";  ","")&amp;IF(AND(EDATE($D147,Milestones!$AA$26)&lt;=AsOfDate,IF($Q147=0,$W147,IF(AND($S147&lt;&gt;"",EDATE($D147,Milestones!$AA$26)&gt;=$S147),$V147,IF(AND($R147&lt;&gt;"",EDATE($D147,Milestones!$AA$26)&gt;=$R147),$U147,$T147)))=Milestones!$AB$26),TEXT(EDATE($D147,Milestones!$AA$26),"dd/mm/yy")&amp;" "&amp;Milestones!$AB$26&amp;" "&amp;Milestones!$AC$26&amp;";  ","")&amp;IF(AND(EDATE($D147,Milestones!$AA$27)&lt;=AsOfDate,IF($Q147=0,$W147,IF(AND($S147&lt;&gt;"",EDATE($D147,Milestones!$AA$27)&gt;=$S147),$V147,IF(AND($R147&lt;&gt;"",EDATE($D147,Milestones!$AA$27)&gt;=$R147),$U147,$T147)))=Milestones!$AB$27),TEXT(EDATE($D147,Milestones!$AA$27),"dd/mm/yy")&amp;" "&amp;Milestones!$AB$27&amp;" "&amp;Milestones!$AC$27&amp;";  ","")&amp;IF(AND(EDATE($D147,Milestones!$AA$28)&lt;=AsOfDate,IF($Q147=0,$W147,IF(AND($S147&lt;&gt;"",EDATE($D147,Milestones!$AA$28)&gt;=$S147),$V147,IF(AND($R147&lt;&gt;"",EDATE($D147,Milestones!$AA$28)&gt;=$R147),$U147,$T147)))=Milestones!$AB$28),TEXT(EDATE($D147,Milestones!$AA$28),"dd/mm/yy")&amp;" "&amp;Milestones!$AB$28&amp;" "&amp;Milestones!$AC$28&amp;";  ","")&amp;IF(AND(EDATE($D147,Milestones!$AA$29)&lt;=AsOfDate,IF($Q147=0,$W147,IF(AND($S147&lt;&gt;"",EDATE($D147,Milestones!$AA$29)&gt;=$S147),$V147,IF(AND($R147&lt;&gt;"",EDATE($D147,Milestones!$AA$29)&gt;=$R147),$U147,$T147)))=Milestones!$AB$29),TEXT(EDATE($D147,Milestones!$AA$29),"dd/mm/yy")&amp;" "&amp;Milestones!$AB$29&amp;" "&amp;Milestones!$AC$29&amp;";  ","")&amp;IF(AND(EDATE($D147,Milestones!$AA$30)&lt;=AsOfDate,IF($Q147=0,$W147,IF(AND($S147&lt;&gt;"",EDATE($D147,Milestones!$AA$30)&gt;=$S147),$V147,IF(AND($R147&lt;&gt;"",EDATE($D147,Milestones!$AA$30)&gt;=$R147),$U147,$T147)))=Milestones!$AB$30),TEXT(EDATE($D147,Milestones!$AA$30),"dd/mm/yy")&amp;" "&amp;Milestones!$AB$30&amp;" "&amp;Milestones!$AC$30&amp;";  ","")&amp;IF(AND(EDATE($D147,Milestones!$AA$31)&lt;=AsOfDate,IF($Q147=0,$W147,IF(AND($S147&lt;&gt;"",EDATE($D147,Milestones!$AA$31)&gt;=$S147),$V147,IF(AND($R147&lt;&gt;"",EDATE($D147,Milestones!$AA$31)&gt;=$R147),$U147,$T147)))=Milestones!$AB$31),TEXT(EDATE($D147,Milestones!$AA$31),"dd/mm/yy")&amp;" "&amp;Milestones!$AB$31&amp;" "&amp;Milestones!$AC$31&amp;";  ","")&amp;IF(AND(EDATE($D147,Milestones!$AA$32)&lt;=AsOfDate,IF($Q147=0,$W147,IF(AND($S147&lt;&gt;"",EDATE($D147,Milestones!$AA$32)&gt;=$S147),$V147,IF(AND($R147&lt;&gt;"",EDATE($D147,Milestones!$AA$32)&gt;=$R147),$U147,$T147)))=Milestones!$AB$32),TEXT(EDATE($D147,Milestones!$AA$32),"dd/mm/yy")&amp;" "&amp;Milestones!$AB$32&amp;" "&amp;Milestones!$AC$32&amp;";  ","")&amp;IF(AND(EDATE($D147,Milestones!$AA$33)&lt;=AsOfDate,IF($Q147=0,$W147,IF(AND($S147&lt;&gt;"",EDATE($D147,Milestones!$AA$33)&gt;=$S147),$V147,IF(AND($R147&lt;&gt;"",EDATE($D147,Milestones!$AA$33)&gt;=$R147),$U147,$T147)))=Milestones!$AB$33),TEXT(EDATE($D147,Milestones!$AA$33),"dd/mm/yy")&amp;" "&amp;Milestones!$AB$33&amp;" "&amp;Milestones!$AC$33&amp;";  ","")&amp;IF(AND(EDATE($D147,Milestones!$AA$34)&lt;=AsOfDate,IF($Q147=0,$W147,IF(AND($S147&lt;&gt;"",EDATE($D147,Milestones!$AA$34)&gt;=$S147),$V147,IF(AND($R147&lt;&gt;"",EDATE($D147,Milestones!$AA$34)&gt;=$R147),$U147,$T147)))=Milestones!$AB$34),TEXT(EDATE($D147,Milestones!$AA$34),"dd/mm/yy")&amp;" "&amp;Milestones!$AB$34&amp;" "&amp;Milestones!$AC$34&amp;";  ","")&amp;IF(AND(EDATE($D147,Milestones!$AA$35)&lt;=AsOfDate,IF($Q147=0,$W147,IF(AND($S147&lt;&gt;"",EDATE($D147,Milestones!$AA$35)&gt;=$S147),$V147,IF(AND($R147&lt;&gt;"",EDATE($D147,Milestones!$AA$35)&gt;=$R147),$U147,$T147)))=Milestones!$AB$35),TEXT(EDATE($D147,Milestones!$AA$35),"dd/mm/yy")&amp;" "&amp;Milestones!$AB$35&amp;" "&amp;Milestones!$AC$35&amp;";  ","")&amp;IF(AND(EDATE($D147,Milestones!$AA$36)&lt;=AsOfDate,IF($Q147=0,$W147,IF(AND($S147&lt;&gt;"",EDATE($D147,Milestones!$AA$36)&gt;=$S147),$V147,IF(AND($R147&lt;&gt;"",EDATE($D147,Milestones!$AA$36)&gt;=$R147),$U147,$T147)))=Milestones!$AB$36),TEXT(EDATE($D147,Milestones!$AA$36),"dd/mm/yy")&amp;" "&amp;Milestones!$AB$36&amp;" "&amp;Milestones!$AC$36&amp;";  ","")&amp;IF(AND(EDATE($D147,Milestones!$AA$37)&lt;=AsOfDate,IF($Q147=0,$W147,IF(AND($S147&lt;&gt;"",EDATE($D147,Milestones!$AA$37)&gt;=$S147),$V147,IF(AND($R147&lt;&gt;"",EDATE($D147,Milestones!$AA$37)&gt;=$R147),$U147,$T147)))=Milestones!$AB$37),TEXT(EDATE($D147,Milestones!$AA$37),"dd/mm/yy")&amp;" "&amp;Milestones!$AB$37&amp;" "&amp;Milestones!$AC$37&amp;";  ","")&amp;IF(AND(EDATE($D147,Milestones!$AA$38)&lt;=AsOfDate,IF($Q147=0,$W147,IF(AND($S147&lt;&gt;"",EDATE($D147,Milestones!$AA$38)&gt;=$S147),$V147,IF(AND($R147&lt;&gt;"",EDATE($D147,Milestones!$AA$38)&gt;=$R147),$U147,$T147)))=Milestones!$AB$38),TEXT(EDATE($D147,Milestones!$AA$38),"dd/mm/yy")&amp;" "&amp;Milestones!$AB$38&amp;" "&amp;Milestones!$AC$38&amp;";  ","")&amp;IF(AND(EDATE($D147,Milestones!$AA$39)&lt;=AsOfDate,IF($Q147=0,$W147,IF(AND($S147&lt;&gt;"",EDATE($D147,Milestones!$AA$39)&gt;=$S147),$V147,IF(AND($R147&lt;&gt;"",EDATE($D147,Milestones!$AA$39)&gt;=$R147),$U147,$T147)))=Milestones!$AB$39),TEXT(EDATE($D147,Milestones!$AA$39),"dd/mm/yy")&amp;" "&amp;Milestones!$AB$39&amp;" "&amp;Milestones!$AC$39&amp;";  ",""))</f>
        <v/>
      </c>
      <c r="I147" s="0" t="str">
        <f aca="false">IF(OR($A147="",$D147=""),"",IF(AND(EDATE($D147,Milestones!$AA$40)&lt;=AsOfDate,IF($Q147=0,$W147,IF(AND($S147&lt;&gt;"",EDATE($D147,Milestones!$AA$40)&gt;=$S147),$V147,IF(AND($R147&lt;&gt;"",EDATE($D147,Milestones!$AA$40)&gt;=$R147),$U147,$T147)))=Milestones!$AB$40),TEXT(EDATE($D147,Milestones!$AA$40),"dd/mm/yy")&amp;" "&amp;Milestones!$AB$40&amp;" "&amp;Milestones!$AC$40&amp;";  ","")&amp;IF(AND(EDATE($D147,Milestones!$AA$41)&lt;=AsOfDate,IF($Q147=0,$W147,IF(AND($S147&lt;&gt;"",EDATE($D147,Milestones!$AA$41)&gt;=$S147),$V147,IF(AND($R147&lt;&gt;"",EDATE($D147,Milestones!$AA$41)&gt;=$R147),$U147,$T147)))=Milestones!$AB$41),TEXT(EDATE($D147,Milestones!$AA$41),"dd/mm/yy")&amp;" "&amp;Milestones!$AB$41&amp;" "&amp;Milestones!$AC$41&amp;";  ","")&amp;IF(AND(EDATE($D147,Milestones!$AA$42)&lt;=AsOfDate,IF($Q147=0,$W147,IF(AND($S147&lt;&gt;"",EDATE($D147,Milestones!$AA$42)&gt;=$S147),$V147,IF(AND($R147&lt;&gt;"",EDATE($D147,Milestones!$AA$42)&gt;=$R147),$U147,$T147)))=Milestones!$AB$42),TEXT(EDATE($D147,Milestones!$AA$42),"dd/mm/yy")&amp;" "&amp;Milestones!$AB$42&amp;" "&amp;Milestones!$AC$42&amp;";  ","")&amp;IF(AND(EDATE($D147,Milestones!$AA$43)&lt;=AsOfDate,IF($Q147=0,$W147,IF(AND($S147&lt;&gt;"",EDATE($D147,Milestones!$AA$43)&gt;=$S147),$V147,IF(AND($R147&lt;&gt;"",EDATE($D147,Milestones!$AA$43)&gt;=$R147),$U147,$T147)))=Milestones!$AB$43),TEXT(EDATE($D147,Milestones!$AA$43),"dd/mm/yy")&amp;" "&amp;Milestones!$AB$43&amp;" "&amp;Milestones!$AC$43&amp;";  ","")&amp;IF(AND(EDATE($D147,Milestones!$AA$44)&lt;=AsOfDate,IF($Q147=0,$W147,IF(AND($S147&lt;&gt;"",EDATE($D147,Milestones!$AA$44)&gt;=$S147),$V147,IF(AND($R147&lt;&gt;"",EDATE($D147,Milestones!$AA$44)&gt;=$R147),$U147,$T147)))=Milestones!$AB$44),TEXT(EDATE($D147,Milestones!$AA$44),"dd/mm/yy")&amp;" "&amp;Milestones!$AB$44&amp;" "&amp;Milestones!$AC$44&amp;";  ","")&amp;IF(AND(EDATE($D147,Milestones!$AA$45)&lt;=AsOfDate,IF($Q147=0,$W147,IF(AND($S147&lt;&gt;"",EDATE($D147,Milestones!$AA$45)&gt;=$S147),$V147,IF(AND($R147&lt;&gt;"",EDATE($D147,Milestones!$AA$45)&gt;=$R147),$U147,$T147)))=Milestones!$AB$45),TEXT(EDATE($D147,Milestones!$AA$45),"dd/mm/yy")&amp;" "&amp;Milestones!$AB$45&amp;" "&amp;Milestones!$AC$45&amp;";  ","")&amp;IF(AND(EDATE($D147,Milestones!$AA$46)&lt;=AsOfDate,IF($Q147=0,$W147,IF(AND($S147&lt;&gt;"",EDATE($D147,Milestones!$AA$46)&gt;=$S147),$V147,IF(AND($R147&lt;&gt;"",EDATE($D147,Milestones!$AA$46)&gt;=$R147),$U147,$T147)))=Milestones!$AB$46),TEXT(EDATE($D147,Milestones!$AA$46),"dd/mm/yy")&amp;" "&amp;Milestones!$AB$46&amp;" "&amp;Milestones!$AC$46&amp;";  ","")&amp;IF(AND(EDATE($D147,Milestones!$AA$47)&lt;=AsOfDate,IF($Q147=0,$W147,IF(AND($S147&lt;&gt;"",EDATE($D147,Milestones!$AA$47)&gt;=$S147),$V147,IF(AND($R147&lt;&gt;"",EDATE($D147,Milestones!$AA$47)&gt;=$R147),$U147,$T147)))=Milestones!$AB$47),TEXT(EDATE($D147,Milestones!$AA$47),"dd/mm/yy")&amp;" "&amp;Milestones!$AB$47&amp;" "&amp;Milestones!$AC$47&amp;";  ","")&amp;IF(AND(EDATE($D147,Milestones!$AA$48)&lt;=AsOfDate,IF($Q147=0,$W147,IF(AND($S147&lt;&gt;"",EDATE($D147,Milestones!$AA$48)&gt;=$S147),$V147,IF(AND($R147&lt;&gt;"",EDATE($D147,Milestones!$AA$48)&gt;=$R147),$U147,$T147)))=Milestones!$AB$48),TEXT(EDATE($D147,Milestones!$AA$48),"dd/mm/yy")&amp;" "&amp;Milestones!$AB$48&amp;" "&amp;Milestones!$AC$48&amp;";  ","")&amp;IF(AND(EDATE($D147,Milestones!$AA$49)&lt;=AsOfDate,IF($Q147=0,$W147,IF(AND($S147&lt;&gt;"",EDATE($D147,Milestones!$AA$49)&gt;=$S147),$V147,IF(AND($R147&lt;&gt;"",EDATE($D147,Milestones!$AA$49)&gt;=$R147),$U147,$T147)))=Milestones!$AB$49),TEXT(EDATE($D147,Milestones!$AA$49),"dd/mm/yy")&amp;" "&amp;Milestones!$AB$49&amp;" "&amp;Milestones!$AC$49&amp;";  ","")&amp;IF(AND(EDATE($D147,Milestones!$AA$50)&lt;=AsOfDate,IF($Q147=0,$W147,IF(AND($S147&lt;&gt;"",EDATE($D147,Milestones!$AA$50)&gt;=$S147),$V147,IF(AND($R147&lt;&gt;"",EDATE($D147,Milestones!$AA$50)&gt;=$R147),$U147,$T147)))=Milestones!$AB$50),TEXT(EDATE($D147,Milestones!$AA$50),"dd/mm/yy")&amp;" "&amp;Milestones!$AB$50&amp;" "&amp;Milestones!$AC$50&amp;";  ","")&amp;IF(AND(EDATE($D147,Milestones!$AA$51)&lt;=AsOfDate,IF($Q147=0,$W147,IF(AND($S147&lt;&gt;"",EDATE($D147,Milestones!$AA$51)&gt;=$S147),$V147,IF(AND($R147&lt;&gt;"",EDATE($D147,Milestones!$AA$51)&gt;=$R147),$U147,$T147)))=Milestones!$AB$51),TEXT(EDATE($D147,Milestones!$AA$51),"dd/mm/yy")&amp;" "&amp;Milestones!$AB$51&amp;" "&amp;Milestones!$AC$51&amp;";  ","")&amp;IF(AND(EDATE($D147,Milestones!$AA$52)&lt;=AsOfDate,IF($Q147=0,$W147,IF(AND($S147&lt;&gt;"",EDATE($D147,Milestones!$AA$52)&gt;=$S147),$V147,IF(AND($R147&lt;&gt;"",EDATE($D147,Milestones!$AA$52)&gt;=$R147),$U147,$T147)))=Milestones!$AB$52),TEXT(EDATE($D147,Milestones!$AA$52),"dd/mm/yy")&amp;" "&amp;Milestones!$AB$52&amp;" "&amp;Milestones!$AC$52&amp;";  ","")&amp;IF(AND(EDATE($D147,Milestones!$AA$53)&lt;=AsOfDate,IF($Q147=0,$W147,IF(AND($S147&lt;&gt;"",EDATE($D147,Milestones!$AA$53)&gt;=$S147),$V147,IF(AND($R147&lt;&gt;"",EDATE($D147,Milestones!$AA$53)&gt;=$R147),$U147,$T147)))=Milestones!$AB$53),TEXT(EDATE($D147,Milestones!$AA$53),"dd/mm/yy")&amp;" "&amp;Milestones!$AB$53&amp;" "&amp;Milestones!$AC$53&amp;";  ","")&amp;IF(AND(EDATE($D147,Milestones!$AA$54)&lt;=AsOfDate,IF($Q147=0,$W147,IF(AND($S147&lt;&gt;"",EDATE($D147,Milestones!$AA$54)&gt;=$S147),$V147,IF(AND($R147&lt;&gt;"",EDATE($D147,Milestones!$AA$54)&gt;=$R147),$U147,$T147)))=Milestones!$AB$54),TEXT(EDATE($D147,Milestones!$AA$54),"dd/mm/yy")&amp;" "&amp;Milestones!$AB$54&amp;" "&amp;Milestones!$AC$54&amp;";  ","")&amp;IF(AND(EDATE($D147,Milestones!$AA$55)&lt;=AsOfDate,IF($Q147=0,$W147,IF(AND($S147&lt;&gt;"",EDATE($D147,Milestones!$AA$55)&gt;=$S147),$V147,IF(AND($R147&lt;&gt;"",EDATE($D147,Milestones!$AA$55)&gt;=$R147),$U147,$T147)))=Milestones!$AB$55),TEXT(EDATE($D147,Milestones!$AA$55),"dd/mm/yy")&amp;" "&amp;Milestones!$AB$55&amp;" "&amp;Milestones!$AC$55&amp;";  ","")&amp;IF(AND(EDATE($D147,Milestones!$AA$56)&lt;=AsOfDate,IF($Q147=0,$W147,IF(AND($S147&lt;&gt;"",EDATE($D147,Milestones!$AA$56)&gt;=$S147),$V147,IF(AND($R147&lt;&gt;"",EDATE($D147,Milestones!$AA$56)&gt;=$R147),$U147,$T147)))=Milestones!$AB$56),TEXT(EDATE($D147,Milestones!$AA$56),"dd/mm/yy")&amp;" "&amp;Milestones!$AB$56&amp;" "&amp;Milestones!$AC$56&amp;";  ","")&amp;IF(AND(EDATE($D147,Milestones!$AA$57)&lt;=AsOfDate,IF($Q147=0,$W147,IF(AND($S147&lt;&gt;"",EDATE($D147,Milestones!$AA$57)&gt;=$S147),$V147,IF(AND($R147&lt;&gt;"",EDATE($D147,Milestones!$AA$57)&gt;=$R147),$U147,$T147)))=Milestones!$AB$57),TEXT(EDATE($D147,Milestones!$AA$57),"dd/mm/yy")&amp;" "&amp;Milestones!$AB$57&amp;" "&amp;Milestones!$AC$57&amp;";  ","")&amp;IF(AND(EDATE($D147,Milestones!$AA$58)&lt;=AsOfDate,IF($Q147=0,$W147,IF(AND($S147&lt;&gt;"",EDATE($D147,Milestones!$AA$58)&gt;=$S147),$V147,IF(AND($R147&lt;&gt;"",EDATE($D147,Milestones!$AA$58)&gt;=$R147),$U147,$T147)))=Milestones!$AB$58),TEXT(EDATE($D147,Milestones!$AA$58),"dd/mm/yy")&amp;" "&amp;Milestones!$AB$58&amp;" "&amp;Milestones!$AC$58&amp;";  ","")&amp;IF(AND(EDATE($D147,Milestones!$AA$59)&lt;=AsOfDate,IF($Q147=0,$W147,IF(AND($S147&lt;&gt;"",EDATE($D147,Milestones!$AA$59)&gt;=$S147),$V147,IF(AND($R147&lt;&gt;"",EDATE($D147,Milestones!$AA$59)&gt;=$R147),$U147,$T147)))=Milestones!$AB$59),TEXT(EDATE($D147,Milestones!$AA$59),"dd/mm/yy")&amp;" "&amp;Milestones!$AB$59&amp;" "&amp;Milestones!$AC$59&amp;";  ",""))</f>
        <v/>
      </c>
      <c r="J147" s="0" t="str">
        <f aca="false">IF(OR($A147="",$D147=""),"",IF(AND(EDATE($D147,Milestones!$AA$60)&lt;=AsOfDate,IF($Q147=0,$W147,IF(AND($S147&lt;&gt;"",EDATE($D147,Milestones!$AA$60)&gt;=$S147),$V147,IF(AND($R147&lt;&gt;"",EDATE($D147,Milestones!$AA$60)&gt;=$R147),$U147,$T147)))=Milestones!$AB$60),TEXT(EDATE($D147,Milestones!$AA$60),"dd/mm/yy")&amp;" "&amp;Milestones!$AB$60&amp;" "&amp;Milestones!$AC$60&amp;";  ","")&amp;IF(AND(EDATE($D147,Milestones!$AA$61)&lt;=AsOfDate,IF($Q147=0,$W147,IF(AND($S147&lt;&gt;"",EDATE($D147,Milestones!$AA$61)&gt;=$S147),$V147,IF(AND($R147&lt;&gt;"",EDATE($D147,Milestones!$AA$61)&gt;=$R147),$U147,$T147)))=Milestones!$AB$61),TEXT(EDATE($D147,Milestones!$AA$61),"dd/mm/yy")&amp;" "&amp;Milestones!$AB$61&amp;" "&amp;Milestones!$AC$61&amp;";  ","")&amp;IF(AND(EDATE($D147,Milestones!$AA$62)&lt;=AsOfDate,IF($Q147=0,$W147,IF(AND($S147&lt;&gt;"",EDATE($D147,Milestones!$AA$62)&gt;=$S147),$V147,IF(AND($R147&lt;&gt;"",EDATE($D147,Milestones!$AA$62)&gt;=$R147),$U147,$T147)))=Milestones!$AB$62),TEXT(EDATE($D147,Milestones!$AA$62),"dd/mm/yy")&amp;" "&amp;Milestones!$AB$62&amp;" "&amp;Milestones!$AC$62&amp;";  ","")&amp;IF(AND(EDATE($D147,Milestones!$AA$63)&lt;=AsOfDate,IF($Q147=0,$W147,IF(AND($S147&lt;&gt;"",EDATE($D147,Milestones!$AA$63)&gt;=$S147),$V147,IF(AND($R147&lt;&gt;"",EDATE($D147,Milestones!$AA$63)&gt;=$R147),$U147,$T147)))=Milestones!$AB$63),TEXT(EDATE($D147,Milestones!$AA$63),"dd/mm/yy")&amp;" "&amp;Milestones!$AB$63&amp;" "&amp;Milestones!$AC$63&amp;";  ","")&amp;IF(AND(EDATE($D147,Milestones!$AA$64)&lt;=AsOfDate,IF($Q147=0,$W147,IF(AND($S147&lt;&gt;"",EDATE($D147,Milestones!$AA$64)&gt;=$S147),$V147,IF(AND($R147&lt;&gt;"",EDATE($D147,Milestones!$AA$64)&gt;=$R147),$U147,$T147)))=Milestones!$AB$64),TEXT(EDATE($D147,Milestones!$AA$64),"dd/mm/yy")&amp;" "&amp;Milestones!$AB$64&amp;" "&amp;Milestones!$AC$64&amp;";  ","")&amp;IF(AND(EDATE($D147,Milestones!$AA$65)&lt;=AsOfDate,IF($Q147=0,$W147,IF(AND($S147&lt;&gt;"",EDATE($D147,Milestones!$AA$65)&gt;=$S147),$V147,IF(AND($R147&lt;&gt;"",EDATE($D147,Milestones!$AA$65)&gt;=$R147),$U147,$T147)))=Milestones!$AB$65),TEXT(EDATE($D147,Milestones!$AA$65),"dd/mm/yy")&amp;" "&amp;Milestones!$AB$65&amp;" "&amp;Milestones!$AC$65&amp;";  ","")&amp;IF(AND(EDATE($D147,Milestones!$AA$66)&lt;=AsOfDate,IF($Q147=0,$W147,IF(AND($S147&lt;&gt;"",EDATE($D147,Milestones!$AA$66)&gt;=$S147),$V147,IF(AND($R147&lt;&gt;"",EDATE($D147,Milestones!$AA$66)&gt;=$R147),$U147,$T147)))=Milestones!$AB$66),TEXT(EDATE($D147,Milestones!$AA$66),"dd/mm/yy")&amp;" "&amp;Milestones!$AB$66&amp;" "&amp;Milestones!$AC$66&amp;";  ","")&amp;IF(AND(EDATE($D147,Milestones!$AA$67)&lt;=AsOfDate,IF($Q147=0,$W147,IF(AND($S147&lt;&gt;"",EDATE($D147,Milestones!$AA$67)&gt;=$S147),$V147,IF(AND($R147&lt;&gt;"",EDATE($D147,Milestones!$AA$67)&gt;=$R147),$U147,$T147)))=Milestones!$AB$67),TEXT(EDATE($D147,Milestones!$AA$67),"dd/mm/yy")&amp;" "&amp;Milestones!$AB$67&amp;" "&amp;Milestones!$AC$67&amp;";  ","")&amp;IF(AND(EDATE($D147,Milestones!$AA$68)&lt;=AsOfDate,IF($Q147=0,$W147,IF(AND($S147&lt;&gt;"",EDATE($D147,Milestones!$AA$68)&gt;=$S147),$V147,IF(AND($R147&lt;&gt;"",EDATE($D147,Milestones!$AA$68)&gt;=$R147),$U147,$T147)))=Milestones!$AB$68),TEXT(EDATE($D147,Milestones!$AA$68),"dd/mm/yy")&amp;" "&amp;Milestones!$AB$68&amp;" "&amp;Milestones!$AC$68&amp;";  ","")&amp;IF(AND(EDATE($D147,Milestones!$AA$69)&lt;=AsOfDate,IF($Q147=0,$W147,IF(AND($S147&lt;&gt;"",EDATE($D147,Milestones!$AA$69)&gt;=$S147),$V147,IF(AND($R147&lt;&gt;"",EDATE($D147,Milestones!$AA$69)&gt;=$R147),$U147,$T147)))=Milestones!$AB$69),TEXT(EDATE($D147,Milestones!$AA$69),"dd/mm/yy")&amp;" "&amp;Milestones!$AB$69&amp;" "&amp;Milestones!$AC$69&amp;";  ","")&amp;IF(AND(EDATE($D147,Milestones!$AA$70)&lt;=AsOfDate,IF($Q147=0,$W147,IF(AND($S147&lt;&gt;"",EDATE($D147,Milestones!$AA$70)&gt;=$S147),$V147,IF(AND($R147&lt;&gt;"",EDATE($D147,Milestones!$AA$70)&gt;=$R147),$U147,$T147)))=Milestones!$AB$70),TEXT(EDATE($D147,Milestones!$AA$70),"dd/mm/yy")&amp;" "&amp;Milestones!$AB$70&amp;" "&amp;Milestones!$AC$70&amp;";  ","")&amp;IF(AND(EDATE($D147,Milestones!$AA$71)&lt;=AsOfDate,IF($Q147=0,$W147,IF(AND($S147&lt;&gt;"",EDATE($D147,Milestones!$AA$71)&gt;=$S147),$V147,IF(AND($R147&lt;&gt;"",EDATE($D147,Milestones!$AA$71)&gt;=$R147),$U147,$T147)))=Milestones!$AB$71),TEXT(EDATE($D147,Milestones!$AA$71),"dd/mm/yy")&amp;" "&amp;Milestones!$AB$71&amp;" "&amp;Milestones!$AC$71&amp;";  ","")&amp;IF(AND(EDATE($D147,Milestones!$AA$72)&lt;=AsOfDate,IF($Q147=0,$W147,IF(AND($S147&lt;&gt;"",EDATE($D147,Milestones!$AA$72)&gt;=$S147),$V147,IF(AND($R147&lt;&gt;"",EDATE($D147,Milestones!$AA$72)&gt;=$R147),$U147,$T147)))=Milestones!$AB$72),TEXT(EDATE($D147,Milestones!$AA$72),"dd/mm/yy")&amp;" "&amp;Milestones!$AB$72&amp;" "&amp;Milestones!$AC$72&amp;";  ","")&amp;IF(AND(EDATE($D147,Milestones!$AA$73)&lt;=AsOfDate,IF($Q147=0,$W147,IF(AND($S147&lt;&gt;"",EDATE($D147,Milestones!$AA$73)&gt;=$S147),$V147,IF(AND($R147&lt;&gt;"",EDATE($D147,Milestones!$AA$73)&gt;=$R147),$U147,$T147)))=Milestones!$AB$73),TEXT(EDATE($D147,Milestones!$AA$73),"dd/mm/yy")&amp;" "&amp;Milestones!$AB$73&amp;" "&amp;Milestones!$AC$73&amp;";  ","")&amp;IF(AND(EDATE($D147,Milestones!$AA$74)&lt;=AsOfDate,IF($Q147=0,$W147,IF(AND($S147&lt;&gt;"",EDATE($D147,Milestones!$AA$74)&gt;=$S147),$V147,IF(AND($R147&lt;&gt;"",EDATE($D147,Milestones!$AA$74)&gt;=$R147),$U147,$T147)))=Milestones!$AB$74),TEXT(EDATE($D147,Milestones!$AA$74),"dd/mm/yy")&amp;" "&amp;Milestones!$AB$74&amp;" "&amp;Milestones!$AC$74&amp;";  ","")&amp;IF(AND(EDATE($D147,Milestones!$AA$75)&lt;=AsOfDate,IF($Q147=0,$W147,IF(AND($S147&lt;&gt;"",EDATE($D147,Milestones!$AA$75)&gt;=$S147),$V147,IF(AND($R147&lt;&gt;"",EDATE($D147,Milestones!$AA$75)&gt;=$R147),$U147,$T147)))=Milestones!$AB$75),TEXT(EDATE($D147,Milestones!$AA$75),"dd/mm/yy")&amp;" "&amp;Milestones!$AB$75&amp;" "&amp;Milestones!$AC$75&amp;";  ","")&amp;IF(AND(EDATE($D147,Milestones!$AA$76)&lt;=AsOfDate,IF($Q147=0,$W147,IF(AND($S147&lt;&gt;"",EDATE($D147,Milestones!$AA$76)&gt;=$S147),$V147,IF(AND($R147&lt;&gt;"",EDATE($D147,Milestones!$AA$76)&gt;=$R147),$U147,$T147)))=Milestones!$AB$76),TEXT(EDATE($D147,Milestones!$AA$76),"dd/mm/yy")&amp;" "&amp;Milestones!$AB$76&amp;" "&amp;Milestones!$AC$76&amp;";  ","")&amp;IF(AND(EDATE($D147,Milestones!$AA$77)&lt;=AsOfDate,IF($Q147=0,$W147,IF(AND($S147&lt;&gt;"",EDATE($D147,Milestones!$AA$77)&gt;=$S147),$V147,IF(AND($R147&lt;&gt;"",EDATE($D147,Milestones!$AA$77)&gt;=$R147),$U147,$T147)))=Milestones!$AB$77),TEXT(EDATE($D147,Milestones!$AA$77),"dd/mm/yy")&amp;" "&amp;Milestones!$AB$77&amp;" "&amp;Milestones!$AC$77&amp;";  ","")&amp;IF(AND(EDATE($D147,Milestones!$AA$78)&lt;=AsOfDate,IF($Q147=0,$W147,IF(AND($S147&lt;&gt;"",EDATE($D147,Milestones!$AA$78)&gt;=$S147),$V147,IF(AND($R147&lt;&gt;"",EDATE($D147,Milestones!$AA$78)&gt;=$R147),$U147,$T147)))=Milestones!$AB$78),TEXT(EDATE($D147,Milestones!$AA$78),"dd/mm/yy")&amp;" "&amp;Milestones!$AB$78&amp;" "&amp;Milestones!$AC$78&amp;";  ","")&amp;IF(AND(EDATE($D147,Milestones!$AA$79)&lt;=AsOfDate,IF($Q147=0,$W147,IF(AND($S147&lt;&gt;"",EDATE($D147,Milestones!$AA$79)&gt;=$S147),$V147,IF(AND($R147&lt;&gt;"",EDATE($D147,Milestones!$AA$79)&gt;=$R147),$U147,$T147)))=Milestones!$AB$79),TEXT(EDATE($D147,Milestones!$AA$79),"dd/mm/yy")&amp;" "&amp;Milestones!$AB$79&amp;" "&amp;Milestones!$AC$79&amp;";  ",""))</f>
        <v/>
      </c>
      <c r="K147" s="0" t="str">
        <f aca="false">IF(OR($A147="",$D147=""),"",IF(AND(EDATE($D147,Milestones!$AA$80)&lt;=AsOfDate,IF($Q147=0,$W147,IF(AND($S147&lt;&gt;"",EDATE($D147,Milestones!$AA$80)&gt;=$S147),$V147,IF(AND($R147&lt;&gt;"",EDATE($D147,Milestones!$AA$80)&gt;=$R147),$U147,$T147)))=Milestones!$AB$80),TEXT(EDATE($D147,Milestones!$AA$80),"dd/mm/yy")&amp;" "&amp;Milestones!$AB$80&amp;" "&amp;Milestones!$AC$80&amp;";  ","")&amp;IF(AND(EDATE($D147,Milestones!$AA$81)&lt;=AsOfDate,IF($Q147=0,$W147,IF(AND($S147&lt;&gt;"",EDATE($D147,Milestones!$AA$81)&gt;=$S147),$V147,IF(AND($R147&lt;&gt;"",EDATE($D147,Milestones!$AA$81)&gt;=$R147),$U147,$T147)))=Milestones!$AB$81),TEXT(EDATE($D147,Milestones!$AA$81),"dd/mm/yy")&amp;" "&amp;Milestones!$AB$81&amp;" "&amp;Milestones!$AC$81&amp;";  ","")&amp;IF(AND(EDATE($D147,Milestones!$AA$82)&lt;=AsOfDate,IF($Q147=0,$W147,IF(AND($S147&lt;&gt;"",EDATE($D147,Milestones!$AA$82)&gt;=$S147),$V147,IF(AND($R147&lt;&gt;"",EDATE($D147,Milestones!$AA$82)&gt;=$R147),$U147,$T147)))=Milestones!$AB$82),TEXT(EDATE($D147,Milestones!$AA$82),"dd/mm/yy")&amp;" "&amp;Milestones!$AB$82&amp;" "&amp;Milestones!$AC$82&amp;";  ","")&amp;IF(AND(EDATE($D147,Milestones!$AA$83)&lt;=AsOfDate,IF($Q147=0,$W147,IF(AND($S147&lt;&gt;"",EDATE($D147,Milestones!$AA$83)&gt;=$S147),$V147,IF(AND($R147&lt;&gt;"",EDATE($D147,Milestones!$AA$83)&gt;=$R147),$U147,$T147)))=Milestones!$AB$83),TEXT(EDATE($D147,Milestones!$AA$83),"dd/mm/yy")&amp;" "&amp;Milestones!$AB$83&amp;" "&amp;Milestones!$AC$83&amp;";  ","")&amp;IF(AND(EDATE($D147,Milestones!$AA$84)&lt;=AsOfDate,IF($Q147=0,$W147,IF(AND($S147&lt;&gt;"",EDATE($D147,Milestones!$AA$84)&gt;=$S147),$V147,IF(AND($R147&lt;&gt;"",EDATE($D147,Milestones!$AA$84)&gt;=$R147),$U147,$T147)))=Milestones!$AB$84),TEXT(EDATE($D147,Milestones!$AA$84),"dd/mm/yy")&amp;" "&amp;Milestones!$AB$84&amp;" "&amp;Milestones!$AC$84&amp;";  ","")&amp;IF(AND(EDATE($D147,Milestones!$AA$85)&lt;=AsOfDate,IF($Q147=0,$W147,IF(AND($S147&lt;&gt;"",EDATE($D147,Milestones!$AA$85)&gt;=$S147),$V147,IF(AND($R147&lt;&gt;"",EDATE($D147,Milestones!$AA$85)&gt;=$R147),$U147,$T147)))=Milestones!$AB$85),TEXT(EDATE($D147,Milestones!$AA$85),"dd/mm/yy")&amp;" "&amp;Milestones!$AB$85&amp;" "&amp;Milestones!$AC$85&amp;";  ","")&amp;IF(AND(EDATE($D147,Milestones!$AA$86)&lt;=AsOfDate,IF($Q147=0,$W147,IF(AND($S147&lt;&gt;"",EDATE($D147,Milestones!$AA$86)&gt;=$S147),$V147,IF(AND($R147&lt;&gt;"",EDATE($D147,Milestones!$AA$86)&gt;=$R147),$U147,$T147)))=Milestones!$AB$86),TEXT(EDATE($D147,Milestones!$AA$86),"dd/mm/yy")&amp;" "&amp;Milestones!$AB$86&amp;" "&amp;Milestones!$AC$86&amp;";  ","")&amp;IF(AND(EDATE($D147,Milestones!$AA$87)&lt;=AsOfDate,IF($Q147=0,$W147,IF(AND($S147&lt;&gt;"",EDATE($D147,Milestones!$AA$87)&gt;=$S147),$V147,IF(AND($R147&lt;&gt;"",EDATE($D147,Milestones!$AA$87)&gt;=$R147),$U147,$T147)))=Milestones!$AB$87),TEXT(EDATE($D147,Milestones!$AA$87),"dd/mm/yy")&amp;" "&amp;Milestones!$AB$87&amp;" "&amp;Milestones!$AC$87&amp;";  ","")&amp;IF(AND(EDATE($D147,Milestones!$AA$88)&lt;=AsOfDate,IF($Q147=0,$W147,IF(AND($S147&lt;&gt;"",EDATE($D147,Milestones!$AA$88)&gt;=$S147),$V147,IF(AND($R147&lt;&gt;"",EDATE($D147,Milestones!$AA$88)&gt;=$R147),$U147,$T147)))=Milestones!$AB$88),TEXT(EDATE($D147,Milestones!$AA$88),"dd/mm/yy")&amp;" "&amp;Milestones!$AB$88&amp;" "&amp;Milestones!$AC$88&amp;";  ","")&amp;IF(AND(EDATE($D147,Milestones!$AA$89)&lt;=AsOfDate,IF($Q147=0,$W147,IF(AND($S147&lt;&gt;"",EDATE($D147,Milestones!$AA$89)&gt;=$S147),$V147,IF(AND($R147&lt;&gt;"",EDATE($D147,Milestones!$AA$89)&gt;=$R147),$U147,$T147)))=Milestones!$AB$89),TEXT(EDATE($D147,Milestones!$AA$89),"dd/mm/yy")&amp;" "&amp;Milestones!$AB$89&amp;" "&amp;Milestones!$AC$89&amp;";  ","")&amp;IF(AND(EDATE($D147,Milestones!$AA$90)&lt;=AsOfDate,IF($Q147=0,$W147,IF(AND($S147&lt;&gt;"",EDATE($D147,Milestones!$AA$90)&gt;=$S147),$V147,IF(AND($R147&lt;&gt;"",EDATE($D147,Milestones!$AA$90)&gt;=$R147),$U147,$T147)))=Milestones!$AB$90),TEXT(EDATE($D147,Milestones!$AA$90),"dd/mm/yy")&amp;" "&amp;Milestones!$AB$90&amp;" "&amp;Milestones!$AC$90&amp;";  ","")&amp;IF(AND(EDATE($D147,Milestones!$AA$91)&lt;=AsOfDate,IF($Q147=0,$W147,IF(AND($S147&lt;&gt;"",EDATE($D147,Milestones!$AA$91)&gt;=$S147),$V147,IF(AND($R147&lt;&gt;"",EDATE($D147,Milestones!$AA$91)&gt;=$R147),$U147,$T147)))=Milestones!$AB$91),TEXT(EDATE($D147,Milestones!$AA$91),"dd/mm/yy")&amp;" "&amp;Milestones!$AB$91&amp;" "&amp;Milestones!$AC$91&amp;";  ","")&amp;IF(AND(EDATE($D147,Milestones!$AA$92)&lt;=AsOfDate,IF($Q147=0,$W147,IF(AND($S147&lt;&gt;"",EDATE($D147,Milestones!$AA$92)&gt;=$S147),$V147,IF(AND($R147&lt;&gt;"",EDATE($D147,Milestones!$AA$92)&gt;=$R147),$U147,$T147)))=Milestones!$AB$92),TEXT(EDATE($D147,Milestones!$AA$92),"dd/mm/yy")&amp;" "&amp;Milestones!$AB$92&amp;" "&amp;Milestones!$AC$92&amp;";  ","")&amp;IF(AND(EDATE($D147,Milestones!$AA$93)&lt;=AsOfDate,IF($Q147=0,$W147,IF(AND($S147&lt;&gt;"",EDATE($D147,Milestones!$AA$93)&gt;=$S147),$V147,IF(AND($R147&lt;&gt;"",EDATE($D147,Milestones!$AA$93)&gt;=$R147),$U147,$T147)))=Milestones!$AB$93),TEXT(EDATE($D147,Milestones!$AA$93),"dd/mm/yy")&amp;" "&amp;Milestones!$AB$93&amp;" "&amp;Milestones!$AC$93&amp;";  ","")&amp;IF(AND(EDATE($D147,Milestones!$AA$94)&lt;=AsOfDate,IF($Q147=0,$W147,IF(AND($S147&lt;&gt;"",EDATE($D147,Milestones!$AA$94)&gt;=$S147),$V147,IF(AND($R147&lt;&gt;"",EDATE($D147,Milestones!$AA$94)&gt;=$R147),$U147,$T147)))=Milestones!$AB$94),TEXT(EDATE($D147,Milestones!$AA$94),"dd/mm/yy")&amp;" "&amp;Milestones!$AB$94&amp;" "&amp;Milestones!$AC$94&amp;";  ","")&amp;IF(AND(EDATE($D147,Milestones!$AA$95)&lt;=AsOfDate,IF($Q147=0,$W147,IF(AND($S147&lt;&gt;"",EDATE($D147,Milestones!$AA$95)&gt;=$S147),$V147,IF(AND($R147&lt;&gt;"",EDATE($D147,Milestones!$AA$95)&gt;=$R147),$U147,$T147)))=Milestones!$AB$95),TEXT(EDATE($D147,Milestones!$AA$95),"dd/mm/yy")&amp;" "&amp;Milestones!$AB$95&amp;" "&amp;Milestones!$AC$95&amp;";  ","")&amp;IF(AND(EDATE($D147,Milestones!$AA$96)&lt;=AsOfDate,IF($Q147=0,$W147,IF(AND($S147&lt;&gt;"",EDATE($D147,Milestones!$AA$96)&gt;=$S147),$V147,IF(AND($R147&lt;&gt;"",EDATE($D147,Milestones!$AA$96)&gt;=$R147),$U147,$T147)))=Milestones!$AB$96),TEXT(EDATE($D147,Milestones!$AA$96),"dd/mm/yy")&amp;" "&amp;Milestones!$AB$96&amp;" "&amp;Milestones!$AC$96&amp;";  ","")&amp;IF(AND(EDATE($D147,Milestones!$AA$97)&lt;=AsOfDate,IF($Q147=0,$W147,IF(AND($S147&lt;&gt;"",EDATE($D147,Milestones!$AA$97)&gt;=$S147),$V147,IF(AND($R147&lt;&gt;"",EDATE($D147,Milestones!$AA$97)&gt;=$R147),$U147,$T147)))=Milestones!$AB$97),TEXT(EDATE($D147,Milestones!$AA$97),"dd/mm/yy")&amp;" "&amp;Milestones!$AB$97&amp;" "&amp;Milestones!$AC$97&amp;";  ","")&amp;IF(AND(EDATE($D147,Milestones!$AA$98)&lt;=AsOfDate,IF($Q147=0,$W147,IF(AND($S147&lt;&gt;"",EDATE($D147,Milestones!$AA$98)&gt;=$S147),$V147,IF(AND($R147&lt;&gt;"",EDATE($D147,Milestones!$AA$98)&gt;=$R147),$U147,$T147)))=Milestones!$AB$98),TEXT(EDATE($D147,Milestones!$AA$98),"dd/mm/yy")&amp;" "&amp;Milestones!$AB$98&amp;" "&amp;Milestones!$AC$98&amp;";  ","")&amp;IF(AND(EDATE($D147,Milestones!$AA$99)&lt;=AsOfDate,IF($Q147=0,$W147,IF(AND($S147&lt;&gt;"",EDATE($D147,Milestones!$AA$99)&gt;=$S147),$V147,IF(AND($R147&lt;&gt;"",EDATE($D147,Milestones!$AA$99)&gt;=$R147),$U147,$T147)))=Milestones!$AB$99),TEXT(EDATE($D147,Milestones!$AA$99),"dd/mm/yy")&amp;" "&amp;Milestones!$AB$99&amp;" "&amp;Milestones!$AC$99&amp;";  ",""))</f>
        <v/>
      </c>
      <c r="L147" s="0" t="str">
        <f aca="false">IF(OR($A147="",$D147=""),"",IF(AND(EDATE($D147,Milestones!$AA$100)&lt;=AsOfDate,IF($Q147=0,$W147,IF(AND($S147&lt;&gt;"",EDATE($D147,Milestones!$AA$100)&gt;=$S147),$V147,IF(AND($R147&lt;&gt;"",EDATE($D147,Milestones!$AA$100)&gt;=$R147),$U147,$T147)))=Milestones!$AB$100),TEXT(EDATE($D147,Milestones!$AA$100),"dd/mm/yy")&amp;" "&amp;Milestones!$AB$100&amp;" "&amp;Milestones!$AC$100&amp;";  ","")&amp;IF(AND(EDATE($D147,Milestones!$AA$101)&lt;=AsOfDate,IF($Q147=0,$W147,IF(AND($S147&lt;&gt;"",EDATE($D147,Milestones!$AA$101)&gt;=$S147),$V147,IF(AND($R147&lt;&gt;"",EDATE($D147,Milestones!$AA$101)&gt;=$R147),$U147,$T147)))=Milestones!$AB$101),TEXT(EDATE($D147,Milestones!$AA$101),"dd/mm/yy")&amp;" "&amp;Milestones!$AB$101&amp;" "&amp;Milestones!$AC$101&amp;";  ","")&amp;IF(AND(EDATE($D147,Milestones!$AA$102)&lt;=AsOfDate,IF($Q147=0,$W147,IF(AND($S147&lt;&gt;"",EDATE($D147,Milestones!$AA$102)&gt;=$S147),$V147,IF(AND($R147&lt;&gt;"",EDATE($D147,Milestones!$AA$102)&gt;=$R147),$U147,$T147)))=Milestones!$AB$102),TEXT(EDATE($D147,Milestones!$AA$102),"dd/mm/yy")&amp;" "&amp;Milestones!$AB$102&amp;" "&amp;Milestones!$AC$102&amp;";  ","")&amp;IF(AND(EDATE($D147,Milestones!$AA$103)&lt;=AsOfDate,IF($Q147=0,$W147,IF(AND($S147&lt;&gt;"",EDATE($D147,Milestones!$AA$103)&gt;=$S147),$V147,IF(AND($R147&lt;&gt;"",EDATE($D147,Milestones!$AA$103)&gt;=$R147),$U147,$T147)))=Milestones!$AB$103),TEXT(EDATE($D147,Milestones!$AA$103),"dd/mm/yy")&amp;" "&amp;Milestones!$AB$103&amp;" "&amp;Milestones!$AC$103&amp;";  ","")&amp;IF(AND(EDATE($D147,Milestones!$AA$104)&lt;=AsOfDate,IF($Q147=0,$W147,IF(AND($S147&lt;&gt;"",EDATE($D147,Milestones!$AA$104)&gt;=$S147),$V147,IF(AND($R147&lt;&gt;"",EDATE($D147,Milestones!$AA$104)&gt;=$R147),$U147,$T147)))=Milestones!$AB$104),TEXT(EDATE($D147,Milestones!$AA$104),"dd/mm/yy")&amp;" "&amp;Milestones!$AB$104&amp;" "&amp;Milestones!$AC$104&amp;";  ","")&amp;IF(AND(EDATE($D147,Milestones!$AA$105)&lt;=AsOfDate,IF($Q147=0,$W147,IF(AND($S147&lt;&gt;"",EDATE($D147,Milestones!$AA$105)&gt;=$S147),$V147,IF(AND($R147&lt;&gt;"",EDATE($D147,Milestones!$AA$105)&gt;=$R147),$U147,$T147)))=Milestones!$AB$105),TEXT(EDATE($D147,Milestones!$AA$105),"dd/mm/yy")&amp;" "&amp;Milestones!$AB$105&amp;" "&amp;Milestones!$AC$105&amp;";  ","")&amp;IF(AND(EDATE($D147,Milestones!$AA$106)&lt;=AsOfDate,IF($Q147=0,$W147,IF(AND($S147&lt;&gt;"",EDATE($D147,Milestones!$AA$106)&gt;=$S147),$V147,IF(AND($R147&lt;&gt;"",EDATE($D147,Milestones!$AA$106)&gt;=$R147),$U147,$T147)))=Milestones!$AB$106),TEXT(EDATE($D147,Milestones!$AA$106),"dd/mm/yy")&amp;" "&amp;Milestones!$AB$106&amp;" "&amp;Milestones!$AC$106&amp;";  ","")&amp;IF(AND(EDATE($D147,Milestones!$AA$107)&lt;=AsOfDate,IF($Q147=0,$W147,IF(AND($S147&lt;&gt;"",EDATE($D147,Milestones!$AA$107)&gt;=$S147),$V147,IF(AND($R147&lt;&gt;"",EDATE($D147,Milestones!$AA$107)&gt;=$R147),$U147,$T147)))=Milestones!$AB$107),TEXT(EDATE($D147,Milestones!$AA$107),"dd/mm/yy")&amp;" "&amp;Milestones!$AB$107&amp;" "&amp;Milestones!$AC$107&amp;";  ","")&amp;IF(AND(EDATE($D147,Milestones!$AA$108)&lt;=AsOfDate,IF($Q147=0,$W147,IF(AND($S147&lt;&gt;"",EDATE($D147,Milestones!$AA$108)&gt;=$S147),$V147,IF(AND($R147&lt;&gt;"",EDATE($D147,Milestones!$AA$108)&gt;=$R147),$U147,$T147)))=Milestones!$AB$108),TEXT(EDATE($D147,Milestones!$AA$108),"dd/mm/yy")&amp;" "&amp;Milestones!$AB$108&amp;" "&amp;Milestones!$AC$108&amp;";  ","")&amp;IF(AND(EDATE($D147,Milestones!$AA$109)&lt;=AsOfDate,IF($Q147=0,$W147,IF(AND($S147&lt;&gt;"",EDATE($D147,Milestones!$AA$109)&gt;=$S147),$V147,IF(AND($R147&lt;&gt;"",EDATE($D147,Milestones!$AA$109)&gt;=$R147),$U147,$T147)))=Milestones!$AB$109),TEXT(EDATE($D147,Milestones!$AA$109),"dd/mm/yy")&amp;" "&amp;Milestones!$AB$109&amp;" "&amp;Milestones!$AC$109&amp;";  ","")&amp;IF(AND(EDATE($D147,Milestones!$AA$110)&lt;=AsOfDate,IF($Q147=0,$W147,IF(AND($S147&lt;&gt;"",EDATE($D147,Milestones!$AA$110)&gt;=$S147),$V147,IF(AND($R147&lt;&gt;"",EDATE($D147,Milestones!$AA$110)&gt;=$R147),$U147,$T147)))=Milestones!$AB$110),TEXT(EDATE($D147,Milestones!$AA$110),"dd/mm/yy")&amp;" "&amp;Milestones!$AB$110&amp;" "&amp;Milestones!$AC$110&amp;";  ","")&amp;IF(AND(EDATE($D147,Milestones!$AA$111)&lt;=AsOfDate,IF($Q147=0,$W147,IF(AND($S147&lt;&gt;"",EDATE($D147,Milestones!$AA$111)&gt;=$S147),$V147,IF(AND($R147&lt;&gt;"",EDATE($D147,Milestones!$AA$111)&gt;=$R147),$U147,$T147)))=Milestones!$AB$111),TEXT(EDATE($D147,Milestones!$AA$111),"dd/mm/yy")&amp;" "&amp;Milestones!$AB$111&amp;" "&amp;Milestones!$AC$111&amp;";  ","")&amp;IF(AND(EDATE($D147,Milestones!$AA$112)&lt;=AsOfDate,IF($Q147=0,$W147,IF(AND($S147&lt;&gt;"",EDATE($D147,Milestones!$AA$112)&gt;=$S147),$V147,IF(AND($R147&lt;&gt;"",EDATE($D147,Milestones!$AA$112)&gt;=$R147),$U147,$T147)))=Milestones!$AB$112),TEXT(EDATE($D147,Milestones!$AA$112),"dd/mm/yy")&amp;" "&amp;Milestones!$AB$112&amp;" "&amp;Milestones!$AC$112&amp;";  ","")&amp;IF(AND(EDATE($D147,Milestones!$AA$113)&lt;=AsOfDate,IF($Q147=0,$W147,IF(AND($S147&lt;&gt;"",EDATE($D147,Milestones!$AA$113)&gt;=$S147),$V147,IF(AND($R147&lt;&gt;"",EDATE($D147,Milestones!$AA$113)&gt;=$R147),$U147,$T147)))=Milestones!$AB$113),TEXT(EDATE($D147,Milestones!$AA$113),"dd/mm/yy")&amp;" "&amp;Milestones!$AB$113&amp;" "&amp;Milestones!$AC$113&amp;";  ","")&amp;IF(AND(EDATE($D147,Milestones!$AA$114)&lt;=AsOfDate,IF($Q147=0,$W147,IF(AND($S147&lt;&gt;"",EDATE($D147,Milestones!$AA$114)&gt;=$S147),$V147,IF(AND($R147&lt;&gt;"",EDATE($D147,Milestones!$AA$114)&gt;=$R147),$U147,$T147)))=Milestones!$AB$114),TEXT(EDATE($D147,Milestones!$AA$114),"dd/mm/yy")&amp;" "&amp;Milestones!$AB$114&amp;" "&amp;Milestones!$AC$114&amp;";  ","")&amp;IF(AND(EDATE($D147,Milestones!$AA$115)&lt;=AsOfDate,IF($Q147=0,$W147,IF(AND($S147&lt;&gt;"",EDATE($D147,Milestones!$AA$115)&gt;=$S147),$V147,IF(AND($R147&lt;&gt;"",EDATE($D147,Milestones!$AA$115)&gt;=$R147),$U147,$T147)))=Milestones!$AB$115),TEXT(EDATE($D147,Milestones!$AA$115),"dd/mm/yy")&amp;" "&amp;Milestones!$AB$115&amp;" "&amp;Milestones!$AC$115&amp;";  ","")&amp;IF(AND(EDATE($D147,Milestones!$AA$116)&lt;=AsOfDate,IF($Q147=0,$W147,IF(AND($S147&lt;&gt;"",EDATE($D147,Milestones!$AA$116)&gt;=$S147),$V147,IF(AND($R147&lt;&gt;"",EDATE($D147,Milestones!$AA$116)&gt;=$R147),$U147,$T147)))=Milestones!$AB$116),TEXT(EDATE($D147,Milestones!$AA$116),"dd/mm/yy")&amp;" "&amp;Milestones!$AB$116&amp;" "&amp;Milestones!$AC$116&amp;";  ","")&amp;IF(AND(EDATE($D147,Milestones!$AA$117)&lt;=AsOfDate,IF($Q147=0,$W147,IF(AND($S147&lt;&gt;"",EDATE($D147,Milestones!$AA$117)&gt;=$S147),$V147,IF(AND($R147&lt;&gt;"",EDATE($D147,Milestones!$AA$117)&gt;=$R147),$U147,$T147)))=Milestones!$AB$117),TEXT(EDATE($D147,Milestones!$AA$117),"dd/mm/yy")&amp;" "&amp;Milestones!$AB$117&amp;" "&amp;Milestones!$AC$117&amp;";  ","")&amp;IF(AND(EDATE($D147,Milestones!$AA$118)&lt;=AsOfDate,IF($Q147=0,$W147,IF(AND($S147&lt;&gt;"",EDATE($D147,Milestones!$AA$118)&gt;=$S147),$V147,IF(AND($R147&lt;&gt;"",EDATE($D147,Milestones!$AA$118)&gt;=$R147),$U147,$T147)))=Milestones!$AB$118),TEXT(EDATE($D147,Milestones!$AA$118),"dd/mm/yy")&amp;" "&amp;Milestones!$AB$118&amp;" "&amp;Milestones!$AC$118&amp;";  ","")&amp;IF(AND(EDATE($D147,Milestones!$AA$119)&lt;=AsOfDate,IF($Q147=0,$W147,IF(AND($S147&lt;&gt;"",EDATE($D147,Milestones!$AA$119)&gt;=$S147),$V147,IF(AND($R147&lt;&gt;"",EDATE($D147,Milestones!$AA$119)&gt;=$R147),$U147,$T147)))=Milestones!$AB$119),TEXT(EDATE($D147,Milestones!$AA$119),"dd/mm/yy")&amp;" "&amp;Milestones!$AB$119&amp;" "&amp;Milestones!$AC$119&amp;";  ",""))</f>
        <v/>
      </c>
      <c r="M147" s="0" t="str">
        <f aca="false">IF(OR($A147="",$D147=""),"",IF(AND(EDATE($D147,Milestones!$AA$120)&lt;=AsOfDate,IF($Q147=0,$W147,IF(AND($S147&lt;&gt;"",EDATE($D147,Milestones!$AA$120)&gt;=$S147),$V147,IF(AND($R147&lt;&gt;"",EDATE($D147,Milestones!$AA$120)&gt;=$R147),$U147,$T147)))=Milestones!$AB$120),TEXT(EDATE($D147,Milestones!$AA$120),"dd/mm/yy")&amp;" "&amp;Milestones!$AB$120&amp;" "&amp;Milestones!$AC$120&amp;";  ","")&amp;IF(AND(EDATE($D147,Milestones!$AA$121)&lt;=AsOfDate,IF($Q147=0,$W147,IF(AND($S147&lt;&gt;"",EDATE($D147,Milestones!$AA$121)&gt;=$S147),$V147,IF(AND($R147&lt;&gt;"",EDATE($D147,Milestones!$AA$121)&gt;=$R147),$U147,$T147)))=Milestones!$AB$121),TEXT(EDATE($D147,Milestones!$AA$121),"dd/mm/yy")&amp;" "&amp;Milestones!$AB$121&amp;" "&amp;Milestones!$AC$121&amp;";  ","")&amp;IF(AND(EDATE($D147,Milestones!$AA$122)&lt;=AsOfDate,IF($Q147=0,$W147,IF(AND($S147&lt;&gt;"",EDATE($D147,Milestones!$AA$122)&gt;=$S147),$V147,IF(AND($R147&lt;&gt;"",EDATE($D147,Milestones!$AA$122)&gt;=$R147),$U147,$T147)))=Milestones!$AB$122),TEXT(EDATE($D147,Milestones!$AA$122),"dd/mm/yy")&amp;" "&amp;Milestones!$AB$122&amp;" "&amp;Milestones!$AC$122&amp;";  ","")&amp;IF(AND(EDATE($D147,Milestones!$AA$123)&lt;=AsOfDate,IF($Q147=0,$W147,IF(AND($S147&lt;&gt;"",EDATE($D147,Milestones!$AA$123)&gt;=$S147),$V147,IF(AND($R147&lt;&gt;"",EDATE($D147,Milestones!$AA$123)&gt;=$R147),$U147,$T147)))=Milestones!$AB$123),TEXT(EDATE($D147,Milestones!$AA$123),"dd/mm/yy")&amp;" "&amp;Milestones!$AB$123&amp;" "&amp;Milestones!$AC$123&amp;";  ","")&amp;IF(AND(EDATE($D147,Milestones!$AA$124)&lt;=AsOfDate,IF($Q147=0,$W147,IF(AND($S147&lt;&gt;"",EDATE($D147,Milestones!$AA$124)&gt;=$S147),$V147,IF(AND($R147&lt;&gt;"",EDATE($D147,Milestones!$AA$124)&gt;=$R147),$U147,$T147)))=Milestones!$AB$124),TEXT(EDATE($D147,Milestones!$AA$124),"dd/mm/yy")&amp;" "&amp;Milestones!$AB$124&amp;" "&amp;Milestones!$AC$124&amp;";  ","")&amp;IF(AND(EDATE($D147,Milestones!$AA$125)&lt;=AsOfDate,IF($Q147=0,$W147,IF(AND($S147&lt;&gt;"",EDATE($D147,Milestones!$AA$125)&gt;=$S147),$V147,IF(AND($R147&lt;&gt;"",EDATE($D147,Milestones!$AA$125)&gt;=$R147),$U147,$T147)))=Milestones!$AB$125),TEXT(EDATE($D147,Milestones!$AA$125),"dd/mm/yy")&amp;" "&amp;Milestones!$AB$125&amp;" "&amp;Milestones!$AC$125&amp;";  ","")&amp;IF(AND(EDATE($D147,Milestones!$AA$126)&lt;=AsOfDate,IF($Q147=0,$W147,IF(AND($S147&lt;&gt;"",EDATE($D147,Milestones!$AA$126)&gt;=$S147),$V147,IF(AND($R147&lt;&gt;"",EDATE($D147,Milestones!$AA$126)&gt;=$R147),$U147,$T147)))=Milestones!$AB$126),TEXT(EDATE($D147,Milestones!$AA$126),"dd/mm/yy")&amp;" "&amp;Milestones!$AB$126&amp;" "&amp;Milestones!$AC$126&amp;";  ","")&amp;IF(AND(EDATE($D147,Milestones!$AA$127)&lt;=AsOfDate,IF($Q147=0,$W147,IF(AND($S147&lt;&gt;"",EDATE($D147,Milestones!$AA$127)&gt;=$S147),$V147,IF(AND($R147&lt;&gt;"",EDATE($D147,Milestones!$AA$127)&gt;=$R147),$U147,$T147)))=Milestones!$AB$127),TEXT(EDATE($D147,Milestones!$AA$127),"dd/mm/yy")&amp;" "&amp;Milestones!$AB$127&amp;" "&amp;Milestones!$AC$127&amp;";  ","")&amp;IF(AND(EDATE($D147,Milestones!$AA$128)&lt;=AsOfDate,IF($Q147=0,$W147,IF(AND($S147&lt;&gt;"",EDATE($D147,Milestones!$AA$128)&gt;=$S147),$V147,IF(AND($R147&lt;&gt;"",EDATE($D147,Milestones!$AA$128)&gt;=$R147),$U147,$T147)))=Milestones!$AB$128),TEXT(EDATE($D147,Milestones!$AA$128),"dd/mm/yy")&amp;" "&amp;Milestones!$AB$128&amp;" "&amp;Milestones!$AC$128&amp;";  ","")&amp;IF(AND(EDATE($D147,Milestones!$AA$129)&lt;=AsOfDate,IF($Q147=0,$W147,IF(AND($S147&lt;&gt;"",EDATE($D147,Milestones!$AA$129)&gt;=$S147),$V147,IF(AND($R147&lt;&gt;"",EDATE($D147,Milestones!$AA$129)&gt;=$R147),$U147,$T147)))=Milestones!$AB$129),TEXT(EDATE($D147,Milestones!$AA$129),"dd/mm/yy")&amp;" "&amp;Milestones!$AB$129&amp;" "&amp;Milestones!$AC$129&amp;";  ","")&amp;IF(AND(EDATE($D147,Milestones!$AA$130)&lt;=AsOfDate,IF($Q147=0,$W147,IF(AND($S147&lt;&gt;"",EDATE($D147,Milestones!$AA$130)&gt;=$S147),$V147,IF(AND($R147&lt;&gt;"",EDATE($D147,Milestones!$AA$130)&gt;=$R147),$U147,$T147)))=Milestones!$AB$130),TEXT(EDATE($D147,Milestones!$AA$130),"dd/mm/yy")&amp;" "&amp;Milestones!$AB$130&amp;" "&amp;Milestones!$AC$130&amp;";  ","")&amp;IF(AND(EDATE($D147,Milestones!$AA$131)&lt;=AsOfDate,IF($Q147=0,$W147,IF(AND($S147&lt;&gt;"",EDATE($D147,Milestones!$AA$131)&gt;=$S147),$V147,IF(AND($R147&lt;&gt;"",EDATE($D147,Milestones!$AA$131)&gt;=$R147),$U147,$T147)))=Milestones!$AB$131),TEXT(EDATE($D147,Milestones!$AA$131),"dd/mm/yy")&amp;" "&amp;Milestones!$AB$131&amp;" "&amp;Milestones!$AC$131&amp;";  ","")&amp;IF(AND(EDATE($D147,Milestones!$AA$132)&lt;=AsOfDate,IF($Q147=0,$W147,IF(AND($S147&lt;&gt;"",EDATE($D147,Milestones!$AA$132)&gt;=$S147),$V147,IF(AND($R147&lt;&gt;"",EDATE($D147,Milestones!$AA$132)&gt;=$R147),$U147,$T147)))=Milestones!$AB$132),TEXT(EDATE($D147,Milestones!$AA$132),"dd/mm/yy")&amp;" "&amp;Milestones!$AB$132&amp;" "&amp;Milestones!$AC$132&amp;";  ","")&amp;IF(AND(EDATE($D147,Milestones!$AA$133)&lt;=AsOfDate,IF($Q147=0,$W147,IF(AND($S147&lt;&gt;"",EDATE($D147,Milestones!$AA$133)&gt;=$S147),$V147,IF(AND($R147&lt;&gt;"",EDATE($D147,Milestones!$AA$133)&gt;=$R147),$U147,$T147)))=Milestones!$AB$133),TEXT(EDATE($D147,Milestones!$AA$133),"dd/mm/yy")&amp;" "&amp;Milestones!$AB$133&amp;" "&amp;Milestones!$AC$133&amp;";  ","")&amp;IF(AND(EDATE($D147,Milestones!$AA$134)&lt;=AsOfDate,IF($Q147=0,$W147,IF(AND($S147&lt;&gt;"",EDATE($D147,Milestones!$AA$134)&gt;=$S147),$V147,IF(AND($R147&lt;&gt;"",EDATE($D147,Milestones!$AA$134)&gt;=$R147),$U147,$T147)))=Milestones!$AB$134),TEXT(EDATE($D147,Milestones!$AA$134),"dd/mm/yy")&amp;" "&amp;Milestones!$AB$134&amp;" "&amp;Milestones!$AC$134&amp;";  ","")&amp;IF(AND(EDATE($D147,Milestones!$AA$135)&lt;=AsOfDate,IF($Q147=0,$W147,IF(AND($S147&lt;&gt;"",EDATE($D147,Milestones!$AA$135)&gt;=$S147),$V147,IF(AND($R147&lt;&gt;"",EDATE($D147,Milestones!$AA$135)&gt;=$R147),$U147,$T147)))=Milestones!$AB$135),TEXT(EDATE($D147,Milestones!$AA$135),"dd/mm/yy")&amp;" "&amp;Milestones!$AB$135&amp;" "&amp;Milestones!$AC$135&amp;";  ","")&amp;IF(AND(EDATE($D147,Milestones!$AA$136)&lt;=AsOfDate,IF($Q147=0,$W147,IF(AND($S147&lt;&gt;"",EDATE($D147,Milestones!$AA$136)&gt;=$S147),$V147,IF(AND($R147&lt;&gt;"",EDATE($D147,Milestones!$AA$136)&gt;=$R147),$U147,$T147)))=Milestones!$AB$136),TEXT(EDATE($D147,Milestones!$AA$136),"dd/mm/yy")&amp;" "&amp;Milestones!$AB$136&amp;" "&amp;Milestones!$AC$136&amp;";  ","")&amp;IF(AND(EDATE($D147,Milestones!$AA$137)&lt;=AsOfDate,IF($Q147=0,$W147,IF(AND($S147&lt;&gt;"",EDATE($D147,Milestones!$AA$137)&gt;=$S147),$V147,IF(AND($R147&lt;&gt;"",EDATE($D147,Milestones!$AA$137)&gt;=$R147),$U147,$T147)))=Milestones!$AB$137),TEXT(EDATE($D147,Milestones!$AA$137),"dd/mm/yy")&amp;" "&amp;Milestones!$AB$137&amp;" "&amp;Milestones!$AC$137&amp;";  ","")&amp;IF(AND(EDATE($D147,Milestones!$AA$138)&lt;=AsOfDate,IF($Q147=0,$W147,IF(AND($S147&lt;&gt;"",EDATE($D147,Milestones!$AA$138)&gt;=$S147),$V147,IF(AND($R147&lt;&gt;"",EDATE($D147,Milestones!$AA$138)&gt;=$R147),$U147,$T147)))=Milestones!$AB$138),TEXT(EDATE($D147,Milestones!$AA$138),"dd/mm/yy")&amp;" "&amp;Milestones!$AB$138&amp;" "&amp;Milestones!$AC$138&amp;";  ","")&amp;IF(AND(EDATE($D147,Milestones!$AA$139)&lt;=AsOfDate,IF($Q147=0,$W147,IF(AND($S147&lt;&gt;"",EDATE($D147,Milestones!$AA$139)&gt;=$S147),$V147,IF(AND($R147&lt;&gt;"",EDATE($D147,Milestones!$AA$139)&gt;=$R147),$U147,$T147)))=Milestones!$AB$139),TEXT(EDATE($D147,Milestones!$AA$139),"dd/mm/yy")&amp;" "&amp;Milestones!$AB$139&amp;" "&amp;Milestones!$AC$139&amp;";  ",""))</f>
        <v/>
      </c>
      <c r="N147" s="0" t="str">
        <f aca="false">IF(OR($A147="",$D147=""),"",IF(AND(EDATE($D147,Milestones!$AA$140)&lt;=AsOfDate,IF($Q147=0,$W147,IF(AND($S147&lt;&gt;"",EDATE($D147,Milestones!$AA$140)&gt;=$S147),$V147,IF(AND($R147&lt;&gt;"",EDATE($D147,Milestones!$AA$140)&gt;=$R147),$U147,$T147)))=Milestones!$AB$140),TEXT(EDATE($D147,Milestones!$AA$140),"dd/mm/yy")&amp;" "&amp;Milestones!$AB$140&amp;" "&amp;Milestones!$AC$140&amp;";  ","")&amp;IF(AND(EDATE($D147,Milestones!$AA$141)&lt;=AsOfDate,IF($Q147=0,$W147,IF(AND($S147&lt;&gt;"",EDATE($D147,Milestones!$AA$141)&gt;=$S147),$V147,IF(AND($R147&lt;&gt;"",EDATE($D147,Milestones!$AA$141)&gt;=$R147),$U147,$T147)))=Milestones!$AB$141),TEXT(EDATE($D147,Milestones!$AA$141),"dd/mm/yy")&amp;" "&amp;Milestones!$AB$141&amp;" "&amp;Milestones!$AC$141&amp;";  ","")&amp;IF(AND(EDATE($D147,Milestones!$AA$142)&lt;=AsOfDate,IF($Q147=0,$W147,IF(AND($S147&lt;&gt;"",EDATE($D147,Milestones!$AA$142)&gt;=$S147),$V147,IF(AND($R147&lt;&gt;"",EDATE($D147,Milestones!$AA$142)&gt;=$R147),$U147,$T147)))=Milestones!$AB$142),TEXT(EDATE($D147,Milestones!$AA$142),"dd/mm/yy")&amp;" "&amp;Milestones!$AB$142&amp;" "&amp;Milestones!$AC$142&amp;";  ","")&amp;IF(AND(EDATE($D147,Milestones!$AA$143)&lt;=AsOfDate,IF($Q147=0,$W147,IF(AND($S147&lt;&gt;"",EDATE($D147,Milestones!$AA$143)&gt;=$S147),$V147,IF(AND($R147&lt;&gt;"",EDATE($D147,Milestones!$AA$143)&gt;=$R147),$U147,$T147)))=Milestones!$AB$143),TEXT(EDATE($D147,Milestones!$AA$143),"dd/mm/yy")&amp;" "&amp;Milestones!$AB$143&amp;" "&amp;Milestones!$AC$143&amp;";  ","")&amp;IF(AND(EDATE($D147,Milestones!$AA$144)&lt;=AsOfDate,IF($Q147=0,$W147,IF(AND($S147&lt;&gt;"",EDATE($D147,Milestones!$AA$144)&gt;=$S147),$V147,IF(AND($R147&lt;&gt;"",EDATE($D147,Milestones!$AA$144)&gt;=$R147),$U147,$T147)))=Milestones!$AB$144),TEXT(EDATE($D147,Milestones!$AA$144),"dd/mm/yy")&amp;" "&amp;Milestones!$AB$144&amp;" "&amp;Milestones!$AC$144&amp;";  ","")&amp;IF(AND(EDATE($D147,Milestones!$AA$145)&lt;=AsOfDate,IF($Q147=0,$W147,IF(AND($S147&lt;&gt;"",EDATE($D147,Milestones!$AA$145)&gt;=$S147),$V147,IF(AND($R147&lt;&gt;"",EDATE($D147,Milestones!$AA$145)&gt;=$R147),$U147,$T147)))=Milestones!$AB$145),TEXT(EDATE($D147,Milestones!$AA$145),"dd/mm/yy")&amp;" "&amp;Milestones!$AB$145&amp;" "&amp;Milestones!$AC$145&amp;";  ","")&amp;IF(AND(EDATE($D147,Milestones!$AA$146)&lt;=AsOfDate,IF($Q147=0,$W147,IF(AND($S147&lt;&gt;"",EDATE($D147,Milestones!$AA$146)&gt;=$S147),$V147,IF(AND($R147&lt;&gt;"",EDATE($D147,Milestones!$AA$146)&gt;=$R147),$U147,$T147)))=Milestones!$AB$146),TEXT(EDATE($D147,Milestones!$AA$146),"dd/mm/yy")&amp;" "&amp;Milestones!$AB$146&amp;" "&amp;Milestones!$AC$146&amp;";  ","")&amp;IF(AND(EDATE($D147,Milestones!$AA$147)&lt;=AsOfDate,IF($Q147=0,$W147,IF(AND($S147&lt;&gt;"",EDATE($D147,Milestones!$AA$147)&gt;=$S147),$V147,IF(AND($R147&lt;&gt;"",EDATE($D147,Milestones!$AA$147)&gt;=$R147),$U147,$T147)))=Milestones!$AB$147),TEXT(EDATE($D147,Milestones!$AA$147),"dd/mm/yy")&amp;" "&amp;Milestones!$AB$147&amp;" "&amp;Milestones!$AC$147&amp;";  ","")&amp;IF(AND(EDATE($D147,Milestones!$AA$148)&lt;=AsOfDate,IF($Q147=0,$W147,IF(AND($S147&lt;&gt;"",EDATE($D147,Milestones!$AA$148)&gt;=$S147),$V147,IF(AND($R147&lt;&gt;"",EDATE($D147,Milestones!$AA$148)&gt;=$R147),$U147,$T147)))=Milestones!$AB$148),TEXT(EDATE($D147,Milestones!$AA$148),"dd/mm/yy")&amp;" "&amp;Milestones!$AB$148&amp;" "&amp;Milestones!$AC$148&amp;";  ","")&amp;IF(AND(EDATE($D147,Milestones!$AA$149)&lt;=AsOfDate,IF($Q147=0,$W147,IF(AND($S147&lt;&gt;"",EDATE($D147,Milestones!$AA$149)&gt;=$S147),$V147,IF(AND($R147&lt;&gt;"",EDATE($D147,Milestones!$AA$149)&gt;=$R147),$U147,$T147)))=Milestones!$AB$149),TEXT(EDATE($D147,Milestones!$AA$149),"dd/mm/yy")&amp;" "&amp;Milestones!$AB$149&amp;" "&amp;Milestones!$AC$149&amp;";  ","")&amp;IF(AND(EDATE($D147,Milestones!$AA$150)&lt;=AsOfDate,IF($Q147=0,$W147,IF(AND($S147&lt;&gt;"",EDATE($D147,Milestones!$AA$150)&gt;=$S147),$V147,IF(AND($R147&lt;&gt;"",EDATE($D147,Milestones!$AA$150)&gt;=$R147),$U147,$T147)))=Milestones!$AB$150),TEXT(EDATE($D147,Milestones!$AA$150),"dd/mm/yy")&amp;" "&amp;Milestones!$AB$150&amp;" "&amp;Milestones!$AC$150&amp;";  ","")&amp;IF(AND(EDATE($D147,Milestones!$AA$151)&lt;=AsOfDate,IF($Q147=0,$W147,IF(AND($S147&lt;&gt;"",EDATE($D147,Milestones!$AA$151)&gt;=$S147),$V147,IF(AND($R147&lt;&gt;"",EDATE($D147,Milestones!$AA$151)&gt;=$R147),$U147,$T147)))=Milestones!$AB$151),TEXT(EDATE($D147,Milestones!$AA$151),"dd/mm/yy")&amp;" "&amp;Milestones!$AB$151&amp;" "&amp;Milestones!$AC$151&amp;";  ","")&amp;IF(AND(EDATE($D147,Milestones!$AA$152)&lt;=AsOfDate,IF($Q147=0,$W147,IF(AND($S147&lt;&gt;"",EDATE($D147,Milestones!$AA$152)&gt;=$S147),$V147,IF(AND($R147&lt;&gt;"",EDATE($D147,Milestones!$AA$152)&gt;=$R147),$U147,$T147)))=Milestones!$AB$152),TEXT(EDATE($D147,Milestones!$AA$152),"dd/mm/yy")&amp;" "&amp;Milestones!$AB$152&amp;" "&amp;Milestones!$AC$152&amp;";  ","")&amp;IF(AND(EDATE($D147,Milestones!$AA$153)&lt;=AsOfDate,IF($Q147=0,$W147,IF(AND($S147&lt;&gt;"",EDATE($D147,Milestones!$AA$153)&gt;=$S147),$V147,IF(AND($R147&lt;&gt;"",EDATE($D147,Milestones!$AA$153)&gt;=$R147),$U147,$T147)))=Milestones!$AB$153),TEXT(EDATE($D147,Milestones!$AA$153),"dd/mm/yy")&amp;" "&amp;Milestones!$AB$153&amp;" "&amp;Milestones!$AC$153&amp;";  ","")&amp;IF(AND(EDATE($D147,Milestones!$AA$154)&lt;=AsOfDate,IF($Q147=0,$W147,IF(AND($S147&lt;&gt;"",EDATE($D147,Milestones!$AA$154)&gt;=$S147),$V147,IF(AND($R147&lt;&gt;"",EDATE($D147,Milestones!$AA$154)&gt;=$R147),$U147,$T147)))=Milestones!$AB$154),TEXT(EDATE($D147,Milestones!$AA$154),"dd/mm/yy")&amp;" "&amp;Milestones!$AB$154&amp;" "&amp;Milestones!$AC$154&amp;";  ","")&amp;IF(AND(EDATE($D147,Milestones!$AA$155)&lt;=AsOfDate,IF($Q147=0,$W147,IF(AND($S147&lt;&gt;"",EDATE($D147,Milestones!$AA$155)&gt;=$S147),$V147,IF(AND($R147&lt;&gt;"",EDATE($D147,Milestones!$AA$155)&gt;=$R147),$U147,$T147)))=Milestones!$AB$155),TEXT(EDATE($D147,Milestones!$AA$155),"dd/mm/yy")&amp;" "&amp;Milestones!$AB$155&amp;" "&amp;Milestones!$AC$155&amp;";  ","")&amp;IF(AND(EDATE($D147,Milestones!$AA$156)&lt;=AsOfDate,IF($Q147=0,$W147,IF(AND($S147&lt;&gt;"",EDATE($D147,Milestones!$AA$156)&gt;=$S147),$V147,IF(AND($R147&lt;&gt;"",EDATE($D147,Milestones!$AA$156)&gt;=$R147),$U147,$T147)))=Milestones!$AB$156),TEXT(EDATE($D147,Milestones!$AA$156),"dd/mm/yy")&amp;" "&amp;Milestones!$AB$156&amp;" "&amp;Milestones!$AC$156&amp;";  ","")&amp;IF(AND(EDATE($D147,Milestones!$AA$157)&lt;=AsOfDate,IF($Q147=0,$W147,IF(AND($S147&lt;&gt;"",EDATE($D147,Milestones!$AA$157)&gt;=$S147),$V147,IF(AND($R147&lt;&gt;"",EDATE($D147,Milestones!$AA$157)&gt;=$R147),$U147,$T147)))=Milestones!$AB$157),TEXT(EDATE($D147,Milestones!$AA$157),"dd/mm/yy")&amp;" "&amp;Milestones!$AB$157&amp;" "&amp;Milestones!$AC$157&amp;";  ","")&amp;IF(AND(EDATE($D147,Milestones!$AA$158)&lt;=AsOfDate,IF($Q147=0,$W147,IF(AND($S147&lt;&gt;"",EDATE($D147,Milestones!$AA$158)&gt;=$S147),$V147,IF(AND($R147&lt;&gt;"",EDATE($D147,Milestones!$AA$158)&gt;=$R147),$U147,$T147)))=Milestones!$AB$158),TEXT(EDATE($D147,Milestones!$AA$158),"dd/mm/yy")&amp;" "&amp;Milestones!$AB$158&amp;" "&amp;Milestones!$AC$158&amp;";  ","")&amp;IF(AND(EDATE($D147,Milestones!$AA$159)&lt;=AsOfDate,IF($Q147=0,$W147,IF(AND($S147&lt;&gt;"",EDATE($D147,Milestones!$AA$159)&gt;=$S147),$V147,IF(AND($R147&lt;&gt;"",EDATE($D147,Milestones!$AA$159)&gt;=$R147),$U147,$T147)))=Milestones!$AB$159),TEXT(EDATE($D147,Milestones!$AA$159),"dd/mm/yy")&amp;" "&amp;Milestones!$AB$159&amp;" "&amp;Milestones!$AC$159&amp;";  ",""))</f>
        <v/>
      </c>
      <c r="O147" s="0" t="str">
        <f aca="false">IF(OR($A147="",$D147=""),"",IF(AND(EDATE($D147,Milestones!$AA$160)&lt;=AsOfDate,IF($Q147=0,$W147,IF(AND($S147&lt;&gt;"",EDATE($D147,Milestones!$AA$160)&gt;=$S147),$V147,IF(AND($R147&lt;&gt;"",EDATE($D147,Milestones!$AA$160)&gt;=$R147),$U147,$T147)))=Milestones!$AB$160),TEXT(EDATE($D147,Milestones!$AA$160),"dd/mm/yy")&amp;" "&amp;Milestones!$AB$160&amp;" "&amp;Milestones!$AC$160&amp;";  ","")&amp;IF(AND(EDATE($D147,Milestones!$AA$161)&lt;=AsOfDate,IF($Q147=0,$W147,IF(AND($S147&lt;&gt;"",EDATE($D147,Milestones!$AA$161)&gt;=$S147),$V147,IF(AND($R147&lt;&gt;"",EDATE($D147,Milestones!$AA$161)&gt;=$R147),$U147,$T147)))=Milestones!$AB$161),TEXT(EDATE($D147,Milestones!$AA$161),"dd/mm/yy")&amp;" "&amp;Milestones!$AB$161&amp;" "&amp;Milestones!$AC$161&amp;";  ","")&amp;IF(AND(EDATE($D147,Milestones!$AA$162)&lt;=AsOfDate,IF($Q147=0,$W147,IF(AND($S147&lt;&gt;"",EDATE($D147,Milestones!$AA$162)&gt;=$S147),$V147,IF(AND($R147&lt;&gt;"",EDATE($D147,Milestones!$AA$162)&gt;=$R147),$U147,$T147)))=Milestones!$AB$162),TEXT(EDATE($D147,Milestones!$AA$162),"dd/mm/yy")&amp;" "&amp;Milestones!$AB$162&amp;" "&amp;Milestones!$AC$162&amp;";  ","")&amp;IF(AND(EDATE($D147,Milestones!$AA$163)&lt;=AsOfDate,IF($Q147=0,$W147,IF(AND($S147&lt;&gt;"",EDATE($D147,Milestones!$AA$163)&gt;=$S147),$V147,IF(AND($R147&lt;&gt;"",EDATE($D147,Milestones!$AA$163)&gt;=$R147),$U147,$T147)))=Milestones!$AB$163),TEXT(EDATE($D147,Milestones!$AA$163),"dd/mm/yy")&amp;" "&amp;Milestones!$AB$163&amp;" "&amp;Milestones!$AC$163&amp;";  ","")&amp;IF(AND(EDATE($D147,Milestones!$AA$164)&lt;=AsOfDate,IF($Q147=0,$W147,IF(AND($S147&lt;&gt;"",EDATE($D147,Milestones!$AA$164)&gt;=$S147),$V147,IF(AND($R147&lt;&gt;"",EDATE($D147,Milestones!$AA$164)&gt;=$R147),$U147,$T147)))=Milestones!$AB$164),TEXT(EDATE($D147,Milestones!$AA$164),"dd/mm/yy")&amp;" "&amp;Milestones!$AB$164&amp;" "&amp;Milestones!$AC$164&amp;";  ","")&amp;IF(AND(EDATE($D147,Milestones!$AA$165)&lt;=AsOfDate,IF($Q147=0,$W147,IF(AND($S147&lt;&gt;"",EDATE($D147,Milestones!$AA$165)&gt;=$S147),$V147,IF(AND($R147&lt;&gt;"",EDATE($D147,Milestones!$AA$165)&gt;=$R147),$U147,$T147)))=Milestones!$AB$165),TEXT(EDATE($D147,Milestones!$AA$165),"dd/mm/yy")&amp;" "&amp;Milestones!$AB$165&amp;" "&amp;Milestones!$AC$165&amp;";  ","")&amp;IF(AND(EDATE($D147,Milestones!$AA$166)&lt;=AsOfDate,IF($Q147=0,$W147,IF(AND($S147&lt;&gt;"",EDATE($D147,Milestones!$AA$166)&gt;=$S147),$V147,IF(AND($R147&lt;&gt;"",EDATE($D147,Milestones!$AA$166)&gt;=$R147),$U147,$T147)))=Milestones!$AB$166),TEXT(EDATE($D147,Milestones!$AA$166),"dd/mm/yy")&amp;" "&amp;Milestones!$AB$166&amp;" "&amp;Milestones!$AC$166&amp;";  ","")&amp;IF(AND(EDATE($D147,Milestones!$AA$167)&lt;=AsOfDate,IF($Q147=0,$W147,IF(AND($S147&lt;&gt;"",EDATE($D147,Milestones!$AA$167)&gt;=$S147),$V147,IF(AND($R147&lt;&gt;"",EDATE($D147,Milestones!$AA$167)&gt;=$R147),$U147,$T147)))=Milestones!$AB$167),TEXT(EDATE($D147,Milestones!$AA$167),"dd/mm/yy")&amp;" "&amp;Milestones!$AB$167&amp;" "&amp;Milestones!$AC$167&amp;";  ","")&amp;IF(AND(EDATE($D147,Milestones!$AA$168)&lt;=AsOfDate,IF($Q147=0,$W147,IF(AND($S147&lt;&gt;"",EDATE($D147,Milestones!$AA$168)&gt;=$S147),$V147,IF(AND($R147&lt;&gt;"",EDATE($D147,Milestones!$AA$168)&gt;=$R147),$U147,$T147)))=Milestones!$AB$168),TEXT(EDATE($D147,Milestones!$AA$168),"dd/mm/yy")&amp;" "&amp;Milestones!$AB$168&amp;" "&amp;Milestones!$AC$168&amp;";  ","")&amp;IF(AND(EDATE($D147,Milestones!$AA$169)&lt;=AsOfDate,IF($Q147=0,$W147,IF(AND($S147&lt;&gt;"",EDATE($D147,Milestones!$AA$169)&gt;=$S147),$V147,IF(AND($R147&lt;&gt;"",EDATE($D147,Milestones!$AA$169)&gt;=$R147),$U147,$T147)))=Milestones!$AB$169),TEXT(EDATE($D147,Milestones!$AA$169),"dd/mm/yy")&amp;" "&amp;Milestones!$AB$169&amp;" "&amp;Milestones!$AC$169&amp;";  ","")&amp;IF(AND(EDATE($D147,Milestones!$AA$170)&lt;=AsOfDate,IF($Q147=0,$W147,IF(AND($S147&lt;&gt;"",EDATE($D147,Milestones!$AA$170)&gt;=$S147),$V147,IF(AND($R147&lt;&gt;"",EDATE($D147,Milestones!$AA$170)&gt;=$R147),$U147,$T147)))=Milestones!$AB$170),TEXT(EDATE($D147,Milestones!$AA$170),"dd/mm/yy")&amp;" "&amp;Milestones!$AB$170&amp;" "&amp;Milestones!$AC$170&amp;";  ","")&amp;IF(AND(EDATE($D147,Milestones!$AA$171)&lt;=AsOfDate,IF($Q147=0,$W147,IF(AND($S147&lt;&gt;"",EDATE($D147,Milestones!$AA$171)&gt;=$S147),$V147,IF(AND($R147&lt;&gt;"",EDATE($D147,Milestones!$AA$171)&gt;=$R147),$U147,$T147)))=Milestones!$AB$171),TEXT(EDATE($D147,Milestones!$AA$171),"dd/mm/yy")&amp;" "&amp;Milestones!$AB$171&amp;" "&amp;Milestones!$AC$171&amp;";  ","")&amp;IF(AND(EDATE($D147,Milestones!$AA$172)&lt;=AsOfDate,IF($Q147=0,$W147,IF(AND($S147&lt;&gt;"",EDATE($D147,Milestones!$AA$172)&gt;=$S147),$V147,IF(AND($R147&lt;&gt;"",EDATE($D147,Milestones!$AA$172)&gt;=$R147),$U147,$T147)))=Milestones!$AB$172),TEXT(EDATE($D147,Milestones!$AA$172),"dd/mm/yy")&amp;" "&amp;Milestones!$AB$172&amp;" "&amp;Milestones!$AC$172&amp;";  ","")&amp;IF(AND(EDATE($D147,Milestones!$AA$173)&lt;=AsOfDate,IF($Q147=0,$W147,IF(AND($S147&lt;&gt;"",EDATE($D147,Milestones!$AA$173)&gt;=$S147),$V147,IF(AND($R147&lt;&gt;"",EDATE($D147,Milestones!$AA$173)&gt;=$R147),$U147,$T147)))=Milestones!$AB$173),TEXT(EDATE($D147,Milestones!$AA$173),"dd/mm/yy")&amp;" "&amp;Milestones!$AB$173&amp;" "&amp;Milestones!$AC$173&amp;";  ","")&amp;IF(AND(EDATE($D147,Milestones!$AA$174)&lt;=AsOfDate,IF($Q147=0,$W147,IF(AND($S147&lt;&gt;"",EDATE($D147,Milestones!$AA$174)&gt;=$S147),$V147,IF(AND($R147&lt;&gt;"",EDATE($D147,Milestones!$AA$174)&gt;=$R147),$U147,$T147)))=Milestones!$AB$174),TEXT(EDATE($D147,Milestones!$AA$174),"dd/mm/yy")&amp;" "&amp;Milestones!$AB$174&amp;" "&amp;Milestones!$AC$174&amp;";  ","")&amp;IF(AND(EDATE($D147,Milestones!$AA$175)&lt;=AsOfDate,IF($Q147=0,$W147,IF(AND($S147&lt;&gt;"",EDATE($D147,Milestones!$AA$175)&gt;=$S147),$V147,IF(AND($R147&lt;&gt;"",EDATE($D147,Milestones!$AA$175)&gt;=$R147),$U147,$T147)))=Milestones!$AB$175),TEXT(EDATE($D147,Milestones!$AA$175),"dd/mm/yy")&amp;" "&amp;Milestones!$AB$175&amp;" "&amp;Milestones!$AC$175&amp;";  ","")&amp;IF(AND(EDATE($D147,Milestones!$AA$176)&lt;=AsOfDate,IF($Q147=0,$W147,IF(AND($S147&lt;&gt;"",EDATE($D147,Milestones!$AA$176)&gt;=$S147),$V147,IF(AND($R147&lt;&gt;"",EDATE($D147,Milestones!$AA$176)&gt;=$R147),$U147,$T147)))=Milestones!$AB$176),TEXT(EDATE($D147,Milestones!$AA$176),"dd/mm/yy")&amp;" "&amp;Milestones!$AB$176&amp;" "&amp;Milestones!$AC$176&amp;";  ","")&amp;IF(AND(EDATE($D147,Milestones!$AA$177)&lt;=AsOfDate,IF($Q147=0,$W147,IF(AND($S147&lt;&gt;"",EDATE($D147,Milestones!$AA$177)&gt;=$S147),$V147,IF(AND($R147&lt;&gt;"",EDATE($D147,Milestones!$AA$177)&gt;=$R147),$U147,$T147)))=Milestones!$AB$177),TEXT(EDATE($D147,Milestones!$AA$177),"dd/mm/yy")&amp;" "&amp;Milestones!$AB$177&amp;" "&amp;Milestones!$AC$177&amp;";  ","")&amp;IF(AND(EDATE($D147,Milestones!$AA$178)&lt;=AsOfDate,IF($Q147=0,$W147,IF(AND($S147&lt;&gt;"",EDATE($D147,Milestones!$AA$178)&gt;=$S147),$V147,IF(AND($R147&lt;&gt;"",EDATE($D147,Milestones!$AA$178)&gt;=$R147),$U147,$T147)))=Milestones!$AB$178),TEXT(EDATE($D147,Milestones!$AA$178),"dd/mm/yy")&amp;" "&amp;Milestones!$AB$178&amp;" "&amp;Milestones!$AC$178&amp;";  ","")&amp;IF(AND(EDATE($D147,Milestones!$AA$179)&lt;=AsOfDate,IF($Q147=0,$W147,IF(AND($S147&lt;&gt;"",EDATE($D147,Milestones!$AA$179)&gt;=$S147),$V147,IF(AND($R147&lt;&gt;"",EDATE($D147,Milestones!$AA$179)&gt;=$R147),$U147,$T147)))=Milestones!$AB$179),TEXT(EDATE($D147,Milestones!$AA$179),"dd/mm/yy")&amp;" "&amp;Milestones!$AB$179&amp;" "&amp;Milestones!$AC$179&amp;";  ",""))</f>
        <v/>
      </c>
      <c r="P147" s="0" t="str">
        <f aca="false">IF(OR($A147="",$D147=""),"",IF(AND(EDATE($D147,Milestones!$AA$180)&lt;=AsOfDate,IF($Q147=0,$W147,IF(AND($S147&lt;&gt;"",EDATE($D147,Milestones!$AA$180)&gt;=$S147),$V147,IF(AND($R147&lt;&gt;"",EDATE($D147,Milestones!$AA$180)&gt;=$R147),$U147,$T147)))=Milestones!$AB$180),TEXT(EDATE($D147,Milestones!$AA$180),"dd/mm/yy")&amp;" "&amp;Milestones!$AB$180&amp;" "&amp;Milestones!$AC$180&amp;";  ","")&amp;IF(AND(EDATE($D147,Milestones!$AA$181)&lt;=AsOfDate,IF($Q147=0,$W147,IF(AND($S147&lt;&gt;"",EDATE($D147,Milestones!$AA$181)&gt;=$S147),$V147,IF(AND($R147&lt;&gt;"",EDATE($D147,Milestones!$AA$181)&gt;=$R147),$U147,$T147)))=Milestones!$AB$181),TEXT(EDATE($D147,Milestones!$AA$181),"dd/mm/yy")&amp;" "&amp;Milestones!$AB$181&amp;" "&amp;Milestones!$AC$181&amp;";  ","")&amp;IF(AND(EDATE($D147,Milestones!$AA$182)&lt;=AsOfDate,IF($Q147=0,$W147,IF(AND($S147&lt;&gt;"",EDATE($D147,Milestones!$AA$182)&gt;=$S147),$V147,IF(AND($R147&lt;&gt;"",EDATE($D147,Milestones!$AA$182)&gt;=$R147),$U147,$T147)))=Milestones!$AB$182),TEXT(EDATE($D147,Milestones!$AA$182),"dd/mm/yy")&amp;" "&amp;Milestones!$AB$182&amp;" "&amp;Milestones!$AC$182&amp;";  ","")&amp;IF(AND(EDATE($D147,Milestones!$AA$183)&lt;=AsOfDate,IF($Q147=0,$W147,IF(AND($S147&lt;&gt;"",EDATE($D147,Milestones!$AA$183)&gt;=$S147),$V147,IF(AND($R147&lt;&gt;"",EDATE($D147,Milestones!$AA$183)&gt;=$R147),$U147,$T147)))=Milestones!$AB$183),TEXT(EDATE($D147,Milestones!$AA$183),"dd/mm/yy")&amp;" "&amp;Milestones!$AB$183&amp;" "&amp;Milestones!$AC$183&amp;";  ","")&amp;IF(AND(EDATE($D147,Milestones!$AA$184)&lt;=AsOfDate,IF($Q147=0,$W147,IF(AND($S147&lt;&gt;"",EDATE($D147,Milestones!$AA$184)&gt;=$S147),$V147,IF(AND($R147&lt;&gt;"",EDATE($D147,Milestones!$AA$184)&gt;=$R147),$U147,$T147)))=Milestones!$AB$184),TEXT(EDATE($D147,Milestones!$AA$184),"dd/mm/yy")&amp;" "&amp;Milestones!$AB$184&amp;" "&amp;Milestones!$AC$184&amp;";  ","")&amp;IF(AND(EDATE($D147,Milestones!$AA$185)&lt;=AsOfDate,IF($Q147=0,$W147,IF(AND($S147&lt;&gt;"",EDATE($D147,Milestones!$AA$185)&gt;=$S147),$V147,IF(AND($R147&lt;&gt;"",EDATE($D147,Milestones!$AA$185)&gt;=$R147),$U147,$T147)))=Milestones!$AB$185),TEXT(EDATE($D147,Milestones!$AA$185),"dd/mm/yy")&amp;" "&amp;Milestones!$AB$185&amp;" "&amp;Milestones!$AC$185&amp;";  ","")&amp;IF(AND(EDATE($D147,Milestones!$AA$186)&lt;=AsOfDate,IF($Q147=0,$W147,IF(AND($S147&lt;&gt;"",EDATE($D147,Milestones!$AA$186)&gt;=$S147),$V147,IF(AND($R147&lt;&gt;"",EDATE($D147,Milestones!$AA$186)&gt;=$R147),$U147,$T147)))=Milestones!$AB$186),TEXT(EDATE($D147,Milestones!$AA$186),"dd/mm/yy")&amp;" "&amp;Milestones!$AB$186&amp;" "&amp;Milestones!$AC$186&amp;";  ","")&amp;IF(AND(EDATE($D147,Milestones!$AA$187)&lt;=AsOfDate,IF($Q147=0,$W147,IF(AND($S147&lt;&gt;"",EDATE($D147,Milestones!$AA$187)&gt;=$S147),$V147,IF(AND($R147&lt;&gt;"",EDATE($D147,Milestones!$AA$187)&gt;=$R147),$U147,$T147)))=Milestones!$AB$187),TEXT(EDATE($D147,Milestones!$AA$187),"dd/mm/yy")&amp;" "&amp;Milestones!$AB$187&amp;" "&amp;Milestones!$AC$187&amp;";  ","")&amp;IF(AND(EDATE($D147,Milestones!$AA$188)&lt;=AsOfDate,IF($Q147=0,$W147,IF(AND($S147&lt;&gt;"",EDATE($D147,Milestones!$AA$188)&gt;=$S147),$V147,IF(AND($R147&lt;&gt;"",EDATE($D147,Milestones!$AA$188)&gt;=$R147),$U147,$T147)))=Milestones!$AB$188),TEXT(EDATE($D147,Milestones!$AA$188),"dd/mm/yy")&amp;" "&amp;Milestones!$AB$188&amp;" "&amp;Milestones!$AC$188&amp;";  ","")&amp;IF(AND(EDATE($D147,Milestones!$AA$189)&lt;=AsOfDate,IF($Q147=0,$W147,IF(AND($S147&lt;&gt;"",EDATE($D147,Milestones!$AA$189)&gt;=$S147),$V147,IF(AND($R147&lt;&gt;"",EDATE($D147,Milestones!$AA$189)&gt;=$R147),$U147,$T147)))=Milestones!$AB$189),TEXT(EDATE($D147,Milestones!$AA$189),"dd/mm/yy")&amp;" "&amp;Milestones!$AB$189&amp;" "&amp;Milestones!$AC$189&amp;";  ","")&amp;IF(AND(EDATE($D147,Milestones!$AA$190)&lt;=AsOfDate,IF($Q147=0,$W147,IF(AND($S147&lt;&gt;"",EDATE($D147,Milestones!$AA$190)&gt;=$S147),$V147,IF(AND($R147&lt;&gt;"",EDATE($D147,Milestones!$AA$190)&gt;=$R147),$U147,$T147)))=Milestones!$AB$190),TEXT(EDATE($D147,Milestones!$AA$190),"dd/mm/yy")&amp;" "&amp;Milestones!$AB$190&amp;" "&amp;Milestones!$AC$190&amp;";  ","")&amp;IF(AND(EDATE($D147,Milestones!$AA$191)&lt;=AsOfDate,IF($Q147=0,$W147,IF(AND($S147&lt;&gt;"",EDATE($D147,Milestones!$AA$191)&gt;=$S147),$V147,IF(AND($R147&lt;&gt;"",EDATE($D147,Milestones!$AA$191)&gt;=$R147),$U147,$T147)))=Milestones!$AB$191),TEXT(EDATE($D147,Milestones!$AA$191),"dd/mm/yy")&amp;" "&amp;Milestones!$AB$191&amp;" "&amp;Milestones!$AC$191&amp;";  ","")&amp;IF(AND(EDATE($D147,Milestones!$AA$192)&lt;=AsOfDate,IF($Q147=0,$W147,IF(AND($S147&lt;&gt;"",EDATE($D147,Milestones!$AA$192)&gt;=$S147),$V147,IF(AND($R147&lt;&gt;"",EDATE($D147,Milestones!$AA$192)&gt;=$R147),$U147,$T147)))=Milestones!$AB$192),TEXT(EDATE($D147,Milestones!$AA$192),"dd/mm/yy")&amp;" "&amp;Milestones!$AB$192&amp;" "&amp;Milestones!$AC$192&amp;";  ","")&amp;IF(AND(EDATE($D147,Milestones!$AA$193)&lt;=AsOfDate,IF($Q147=0,$W147,IF(AND($S147&lt;&gt;"",EDATE($D147,Milestones!$AA$193)&gt;=$S147),$V147,IF(AND($R147&lt;&gt;"",EDATE($D147,Milestones!$AA$193)&gt;=$R147),$U147,$T147)))=Milestones!$AB$193),TEXT(EDATE($D147,Milestones!$AA$193),"dd/mm/yy")&amp;" "&amp;Milestones!$AB$193&amp;" "&amp;Milestones!$AC$193&amp;";  ","")&amp;IF(AND(EDATE($D147,Milestones!$AA$194)&lt;=AsOfDate,IF($Q147=0,$W147,IF(AND($S147&lt;&gt;"",EDATE($D147,Milestones!$AA$194)&gt;=$S147),$V147,IF(AND($R147&lt;&gt;"",EDATE($D147,Milestones!$AA$194)&gt;=$R147),$U147,$T147)))=Milestones!$AB$194),TEXT(EDATE($D147,Milestones!$AA$194),"dd/mm/yy")&amp;" "&amp;Milestones!$AB$194&amp;" "&amp;Milestones!$AC$194&amp;";  ","")&amp;IF(AND(EDATE($D147,Milestones!$AA$195)&lt;=AsOfDate,IF($Q147=0,$W147,IF(AND($S147&lt;&gt;"",EDATE($D147,Milestones!$AA$195)&gt;=$S147),$V147,IF(AND($R147&lt;&gt;"",EDATE($D147,Milestones!$AA$195)&gt;=$R147),$U147,$T147)))=Milestones!$AB$195),TEXT(EDATE($D147,Milestones!$AA$195),"dd/mm/yy")&amp;" "&amp;Milestones!$AB$195&amp;" "&amp;Milestones!$AC$195&amp;";  ","")&amp;IF(AND(EDATE($D147,Milestones!$AA$196)&lt;=AsOfDate,IF($Q147=0,$W147,IF(AND($S147&lt;&gt;"",EDATE($D147,Milestones!$AA$196)&gt;=$S147),$V147,IF(AND($R147&lt;&gt;"",EDATE($D147,Milestones!$AA$196)&gt;=$R147),$U147,$T147)))=Milestones!$AB$196),TEXT(EDATE($D147,Milestones!$AA$196),"dd/mm/yy")&amp;" "&amp;Milestones!$AB$196&amp;" "&amp;Milestones!$AC$196&amp;";  ","")&amp;IF(AND(EDATE($D147,Milestones!$AA$197)&lt;=AsOfDate,IF($Q147=0,$W147,IF(AND($S147&lt;&gt;"",EDATE($D147,Milestones!$AA$197)&gt;=$S147),$V147,IF(AND($R147&lt;&gt;"",EDATE($D147,Milestones!$AA$197)&gt;=$R147),$U147,$T147)))=Milestones!$AB$197),TEXT(EDATE($D147,Milestones!$AA$197),"dd/mm/yy")&amp;" "&amp;Milestones!$AB$197&amp;" "&amp;Milestones!$AC$197&amp;";  ","")&amp;IF(AND(EDATE($D147,Milestones!$AA$198)&lt;=AsOfDate,IF($Q147=0,$W147,IF(AND($S147&lt;&gt;"",EDATE($D147,Milestones!$AA$198)&gt;=$S147),$V147,IF(AND($R147&lt;&gt;"",EDATE($D147,Milestones!$AA$198)&gt;=$R147),$U147,$T147)))=Milestones!$AB$198),TEXT(EDATE($D147,Milestones!$AA$198),"dd/mm/yy")&amp;" "&amp;Milestones!$AB$198&amp;" "&amp;Milestones!$AC$198&amp;";  ","")&amp;IF(AND(EDATE($D147,Milestones!$AA$199)&lt;=AsOfDate,IF($Q147=0,$W147,IF(AND($S147&lt;&gt;"",EDATE($D147,Milestones!$AA$199)&gt;=$S147),$V147,IF(AND($R147&lt;&gt;"",EDATE($D147,Milestones!$AA$199)&gt;=$R147),$U147,$T147)))=Milestones!$AB$199),TEXT(EDATE($D147,Milestones!$AA$199),"dd/mm/yy")&amp;" "&amp;Milestones!$AB$199&amp;" "&amp;Milestones!$AC$199&amp;";  ",""))</f>
        <v/>
      </c>
      <c r="Q147" s="0" t="str">
        <f aca="false">IF(Staff!$A147="","",Staff!$AG147)</f>
        <v/>
      </c>
      <c r="R147" s="0" t="str">
        <f aca="false">IF(Staff!$A147="","",Staff!$AI147)</f>
        <v/>
      </c>
      <c r="S147" s="0" t="str">
        <f aca="false">IF(Staff!$A147="","",Staff!$AJ147)</f>
        <v/>
      </c>
      <c r="T147" s="0" t="str">
        <f aca="false">IF(Staff!$A147="","",Staff!$AN147)</f>
        <v/>
      </c>
      <c r="U147" s="0" t="str">
        <f aca="false">IF(Staff!$A147="","",Staff!$AO147)</f>
        <v/>
      </c>
      <c r="V147" s="0" t="str">
        <f aca="false">IF(Staff!$A147="","",Staff!$AP147)</f>
        <v/>
      </c>
      <c r="W147" s="0" t="str">
        <f aca="false">IF(Staff!$A147="","",Staff!$AQ147)</f>
        <v/>
      </c>
    </row>
    <row r="148" customFormat="false" ht="15" hidden="false" customHeight="false" outlineLevel="0" collapsed="false">
      <c r="A148" s="13" t="str">
        <f aca="false">IF(Staff!$A148="","",Staff!$A148)</f>
        <v/>
      </c>
      <c r="B148" s="13" t="str">
        <f aca="false">IF(Staff!$A148="","",Staff!$B148)</f>
        <v/>
      </c>
      <c r="C148" s="13" t="str">
        <f aca="false">IF(Staff!$A148="","",Staff!$C148)</f>
        <v/>
      </c>
      <c r="D148" s="11" t="str">
        <f aca="false">IF(Staff!$A148="","",Staff!$AF148)</f>
        <v/>
      </c>
      <c r="E148" s="13" t="str">
        <f aca="false">IF(Staff!$A148="","",Staff!$O148)</f>
        <v/>
      </c>
      <c r="F148" s="13" t="str">
        <f aca="false">IF(E148="","",E148*HoursPerDay)</f>
        <v/>
      </c>
      <c r="G148" s="26" t="str">
        <f aca="false">IF($A148="","",H148&amp;I148&amp;J148&amp;K148&amp;L148&amp;M148&amp;N148&amp;O148&amp;P148)</f>
        <v/>
      </c>
      <c r="H148" s="0" t="str">
        <f aca="false">IF(OR($A148="",$D148=""),"",IF(AND(EDATE($D148,Milestones!$AA$20)&lt;=AsOfDate,IF($Q148=0,$W148,IF(AND($S148&lt;&gt;"",EDATE($D148,Milestones!$AA$20)&gt;=$S148),$V148,IF(AND($R148&lt;&gt;"",EDATE($D148,Milestones!$AA$20)&gt;=$R148),$U148,$T148)))=Milestones!$AB$20),TEXT(EDATE($D148,Milestones!$AA$20),"dd/mm/yy")&amp;" "&amp;Milestones!$AB$20&amp;" "&amp;Milestones!$AC$20&amp;";  ","")&amp;IF(AND(EDATE($D148,Milestones!$AA$21)&lt;=AsOfDate,IF($Q148=0,$W148,IF(AND($S148&lt;&gt;"",EDATE($D148,Milestones!$AA$21)&gt;=$S148),$V148,IF(AND($R148&lt;&gt;"",EDATE($D148,Milestones!$AA$21)&gt;=$R148),$U148,$T148)))=Milestones!$AB$21),TEXT(EDATE($D148,Milestones!$AA$21),"dd/mm/yy")&amp;" "&amp;Milestones!$AB$21&amp;" "&amp;Milestones!$AC$21&amp;";  ","")&amp;IF(AND(EDATE($D148,Milestones!$AA$22)&lt;=AsOfDate,IF($Q148=0,$W148,IF(AND($S148&lt;&gt;"",EDATE($D148,Milestones!$AA$22)&gt;=$S148),$V148,IF(AND($R148&lt;&gt;"",EDATE($D148,Milestones!$AA$22)&gt;=$R148),$U148,$T148)))=Milestones!$AB$22),TEXT(EDATE($D148,Milestones!$AA$22),"dd/mm/yy")&amp;" "&amp;Milestones!$AB$22&amp;" "&amp;Milestones!$AC$22&amp;";  ","")&amp;IF(AND(EDATE($D148,Milestones!$AA$23)&lt;=AsOfDate,IF($Q148=0,$W148,IF(AND($S148&lt;&gt;"",EDATE($D148,Milestones!$AA$23)&gt;=$S148),$V148,IF(AND($R148&lt;&gt;"",EDATE($D148,Milestones!$AA$23)&gt;=$R148),$U148,$T148)))=Milestones!$AB$23),TEXT(EDATE($D148,Milestones!$AA$23),"dd/mm/yy")&amp;" "&amp;Milestones!$AB$23&amp;" "&amp;Milestones!$AC$23&amp;";  ","")&amp;IF(AND(EDATE($D148,Milestones!$AA$24)&lt;=AsOfDate,IF($Q148=0,$W148,IF(AND($S148&lt;&gt;"",EDATE($D148,Milestones!$AA$24)&gt;=$S148),$V148,IF(AND($R148&lt;&gt;"",EDATE($D148,Milestones!$AA$24)&gt;=$R148),$U148,$T148)))=Milestones!$AB$24),TEXT(EDATE($D148,Milestones!$AA$24),"dd/mm/yy")&amp;" "&amp;Milestones!$AB$24&amp;" "&amp;Milestones!$AC$24&amp;";  ","")&amp;IF(AND(EDATE($D148,Milestones!$AA$25)&lt;=AsOfDate,IF($Q148=0,$W148,IF(AND($S148&lt;&gt;"",EDATE($D148,Milestones!$AA$25)&gt;=$S148),$V148,IF(AND($R148&lt;&gt;"",EDATE($D148,Milestones!$AA$25)&gt;=$R148),$U148,$T148)))=Milestones!$AB$25),TEXT(EDATE($D148,Milestones!$AA$25),"dd/mm/yy")&amp;" "&amp;Milestones!$AB$25&amp;" "&amp;Milestones!$AC$25&amp;";  ","")&amp;IF(AND(EDATE($D148,Milestones!$AA$26)&lt;=AsOfDate,IF($Q148=0,$W148,IF(AND($S148&lt;&gt;"",EDATE($D148,Milestones!$AA$26)&gt;=$S148),$V148,IF(AND($R148&lt;&gt;"",EDATE($D148,Milestones!$AA$26)&gt;=$R148),$U148,$T148)))=Milestones!$AB$26),TEXT(EDATE($D148,Milestones!$AA$26),"dd/mm/yy")&amp;" "&amp;Milestones!$AB$26&amp;" "&amp;Milestones!$AC$26&amp;";  ","")&amp;IF(AND(EDATE($D148,Milestones!$AA$27)&lt;=AsOfDate,IF($Q148=0,$W148,IF(AND($S148&lt;&gt;"",EDATE($D148,Milestones!$AA$27)&gt;=$S148),$V148,IF(AND($R148&lt;&gt;"",EDATE($D148,Milestones!$AA$27)&gt;=$R148),$U148,$T148)))=Milestones!$AB$27),TEXT(EDATE($D148,Milestones!$AA$27),"dd/mm/yy")&amp;" "&amp;Milestones!$AB$27&amp;" "&amp;Milestones!$AC$27&amp;";  ","")&amp;IF(AND(EDATE($D148,Milestones!$AA$28)&lt;=AsOfDate,IF($Q148=0,$W148,IF(AND($S148&lt;&gt;"",EDATE($D148,Milestones!$AA$28)&gt;=$S148),$V148,IF(AND($R148&lt;&gt;"",EDATE($D148,Milestones!$AA$28)&gt;=$R148),$U148,$T148)))=Milestones!$AB$28),TEXT(EDATE($D148,Milestones!$AA$28),"dd/mm/yy")&amp;" "&amp;Milestones!$AB$28&amp;" "&amp;Milestones!$AC$28&amp;";  ","")&amp;IF(AND(EDATE($D148,Milestones!$AA$29)&lt;=AsOfDate,IF($Q148=0,$W148,IF(AND($S148&lt;&gt;"",EDATE($D148,Milestones!$AA$29)&gt;=$S148),$V148,IF(AND($R148&lt;&gt;"",EDATE($D148,Milestones!$AA$29)&gt;=$R148),$U148,$T148)))=Milestones!$AB$29),TEXT(EDATE($D148,Milestones!$AA$29),"dd/mm/yy")&amp;" "&amp;Milestones!$AB$29&amp;" "&amp;Milestones!$AC$29&amp;";  ","")&amp;IF(AND(EDATE($D148,Milestones!$AA$30)&lt;=AsOfDate,IF($Q148=0,$W148,IF(AND($S148&lt;&gt;"",EDATE($D148,Milestones!$AA$30)&gt;=$S148),$V148,IF(AND($R148&lt;&gt;"",EDATE($D148,Milestones!$AA$30)&gt;=$R148),$U148,$T148)))=Milestones!$AB$30),TEXT(EDATE($D148,Milestones!$AA$30),"dd/mm/yy")&amp;" "&amp;Milestones!$AB$30&amp;" "&amp;Milestones!$AC$30&amp;";  ","")&amp;IF(AND(EDATE($D148,Milestones!$AA$31)&lt;=AsOfDate,IF($Q148=0,$W148,IF(AND($S148&lt;&gt;"",EDATE($D148,Milestones!$AA$31)&gt;=$S148),$V148,IF(AND($R148&lt;&gt;"",EDATE($D148,Milestones!$AA$31)&gt;=$R148),$U148,$T148)))=Milestones!$AB$31),TEXT(EDATE($D148,Milestones!$AA$31),"dd/mm/yy")&amp;" "&amp;Milestones!$AB$31&amp;" "&amp;Milestones!$AC$31&amp;";  ","")&amp;IF(AND(EDATE($D148,Milestones!$AA$32)&lt;=AsOfDate,IF($Q148=0,$W148,IF(AND($S148&lt;&gt;"",EDATE($D148,Milestones!$AA$32)&gt;=$S148),$V148,IF(AND($R148&lt;&gt;"",EDATE($D148,Milestones!$AA$32)&gt;=$R148),$U148,$T148)))=Milestones!$AB$32),TEXT(EDATE($D148,Milestones!$AA$32),"dd/mm/yy")&amp;" "&amp;Milestones!$AB$32&amp;" "&amp;Milestones!$AC$32&amp;";  ","")&amp;IF(AND(EDATE($D148,Milestones!$AA$33)&lt;=AsOfDate,IF($Q148=0,$W148,IF(AND($S148&lt;&gt;"",EDATE($D148,Milestones!$AA$33)&gt;=$S148),$V148,IF(AND($R148&lt;&gt;"",EDATE($D148,Milestones!$AA$33)&gt;=$R148),$U148,$T148)))=Milestones!$AB$33),TEXT(EDATE($D148,Milestones!$AA$33),"dd/mm/yy")&amp;" "&amp;Milestones!$AB$33&amp;" "&amp;Milestones!$AC$33&amp;";  ","")&amp;IF(AND(EDATE($D148,Milestones!$AA$34)&lt;=AsOfDate,IF($Q148=0,$W148,IF(AND($S148&lt;&gt;"",EDATE($D148,Milestones!$AA$34)&gt;=$S148),$V148,IF(AND($R148&lt;&gt;"",EDATE($D148,Milestones!$AA$34)&gt;=$R148),$U148,$T148)))=Milestones!$AB$34),TEXT(EDATE($D148,Milestones!$AA$34),"dd/mm/yy")&amp;" "&amp;Milestones!$AB$34&amp;" "&amp;Milestones!$AC$34&amp;";  ","")&amp;IF(AND(EDATE($D148,Milestones!$AA$35)&lt;=AsOfDate,IF($Q148=0,$W148,IF(AND($S148&lt;&gt;"",EDATE($D148,Milestones!$AA$35)&gt;=$S148),$V148,IF(AND($R148&lt;&gt;"",EDATE($D148,Milestones!$AA$35)&gt;=$R148),$U148,$T148)))=Milestones!$AB$35),TEXT(EDATE($D148,Milestones!$AA$35),"dd/mm/yy")&amp;" "&amp;Milestones!$AB$35&amp;" "&amp;Milestones!$AC$35&amp;";  ","")&amp;IF(AND(EDATE($D148,Milestones!$AA$36)&lt;=AsOfDate,IF($Q148=0,$W148,IF(AND($S148&lt;&gt;"",EDATE($D148,Milestones!$AA$36)&gt;=$S148),$V148,IF(AND($R148&lt;&gt;"",EDATE($D148,Milestones!$AA$36)&gt;=$R148),$U148,$T148)))=Milestones!$AB$36),TEXT(EDATE($D148,Milestones!$AA$36),"dd/mm/yy")&amp;" "&amp;Milestones!$AB$36&amp;" "&amp;Milestones!$AC$36&amp;";  ","")&amp;IF(AND(EDATE($D148,Milestones!$AA$37)&lt;=AsOfDate,IF($Q148=0,$W148,IF(AND($S148&lt;&gt;"",EDATE($D148,Milestones!$AA$37)&gt;=$S148),$V148,IF(AND($R148&lt;&gt;"",EDATE($D148,Milestones!$AA$37)&gt;=$R148),$U148,$T148)))=Milestones!$AB$37),TEXT(EDATE($D148,Milestones!$AA$37),"dd/mm/yy")&amp;" "&amp;Milestones!$AB$37&amp;" "&amp;Milestones!$AC$37&amp;";  ","")&amp;IF(AND(EDATE($D148,Milestones!$AA$38)&lt;=AsOfDate,IF($Q148=0,$W148,IF(AND($S148&lt;&gt;"",EDATE($D148,Milestones!$AA$38)&gt;=$S148),$V148,IF(AND($R148&lt;&gt;"",EDATE($D148,Milestones!$AA$38)&gt;=$R148),$U148,$T148)))=Milestones!$AB$38),TEXT(EDATE($D148,Milestones!$AA$38),"dd/mm/yy")&amp;" "&amp;Milestones!$AB$38&amp;" "&amp;Milestones!$AC$38&amp;";  ","")&amp;IF(AND(EDATE($D148,Milestones!$AA$39)&lt;=AsOfDate,IF($Q148=0,$W148,IF(AND($S148&lt;&gt;"",EDATE($D148,Milestones!$AA$39)&gt;=$S148),$V148,IF(AND($R148&lt;&gt;"",EDATE($D148,Milestones!$AA$39)&gt;=$R148),$U148,$T148)))=Milestones!$AB$39),TEXT(EDATE($D148,Milestones!$AA$39),"dd/mm/yy")&amp;" "&amp;Milestones!$AB$39&amp;" "&amp;Milestones!$AC$39&amp;";  ",""))</f>
        <v/>
      </c>
      <c r="I148" s="0" t="str">
        <f aca="false">IF(OR($A148="",$D148=""),"",IF(AND(EDATE($D148,Milestones!$AA$40)&lt;=AsOfDate,IF($Q148=0,$W148,IF(AND($S148&lt;&gt;"",EDATE($D148,Milestones!$AA$40)&gt;=$S148),$V148,IF(AND($R148&lt;&gt;"",EDATE($D148,Milestones!$AA$40)&gt;=$R148),$U148,$T148)))=Milestones!$AB$40),TEXT(EDATE($D148,Milestones!$AA$40),"dd/mm/yy")&amp;" "&amp;Milestones!$AB$40&amp;" "&amp;Milestones!$AC$40&amp;";  ","")&amp;IF(AND(EDATE($D148,Milestones!$AA$41)&lt;=AsOfDate,IF($Q148=0,$W148,IF(AND($S148&lt;&gt;"",EDATE($D148,Milestones!$AA$41)&gt;=$S148),$V148,IF(AND($R148&lt;&gt;"",EDATE($D148,Milestones!$AA$41)&gt;=$R148),$U148,$T148)))=Milestones!$AB$41),TEXT(EDATE($D148,Milestones!$AA$41),"dd/mm/yy")&amp;" "&amp;Milestones!$AB$41&amp;" "&amp;Milestones!$AC$41&amp;";  ","")&amp;IF(AND(EDATE($D148,Milestones!$AA$42)&lt;=AsOfDate,IF($Q148=0,$W148,IF(AND($S148&lt;&gt;"",EDATE($D148,Milestones!$AA$42)&gt;=$S148),$V148,IF(AND($R148&lt;&gt;"",EDATE($D148,Milestones!$AA$42)&gt;=$R148),$U148,$T148)))=Milestones!$AB$42),TEXT(EDATE($D148,Milestones!$AA$42),"dd/mm/yy")&amp;" "&amp;Milestones!$AB$42&amp;" "&amp;Milestones!$AC$42&amp;";  ","")&amp;IF(AND(EDATE($D148,Milestones!$AA$43)&lt;=AsOfDate,IF($Q148=0,$W148,IF(AND($S148&lt;&gt;"",EDATE($D148,Milestones!$AA$43)&gt;=$S148),$V148,IF(AND($R148&lt;&gt;"",EDATE($D148,Milestones!$AA$43)&gt;=$R148),$U148,$T148)))=Milestones!$AB$43),TEXT(EDATE($D148,Milestones!$AA$43),"dd/mm/yy")&amp;" "&amp;Milestones!$AB$43&amp;" "&amp;Milestones!$AC$43&amp;";  ","")&amp;IF(AND(EDATE($D148,Milestones!$AA$44)&lt;=AsOfDate,IF($Q148=0,$W148,IF(AND($S148&lt;&gt;"",EDATE($D148,Milestones!$AA$44)&gt;=$S148),$V148,IF(AND($R148&lt;&gt;"",EDATE($D148,Milestones!$AA$44)&gt;=$R148),$U148,$T148)))=Milestones!$AB$44),TEXT(EDATE($D148,Milestones!$AA$44),"dd/mm/yy")&amp;" "&amp;Milestones!$AB$44&amp;" "&amp;Milestones!$AC$44&amp;";  ","")&amp;IF(AND(EDATE($D148,Milestones!$AA$45)&lt;=AsOfDate,IF($Q148=0,$W148,IF(AND($S148&lt;&gt;"",EDATE($D148,Milestones!$AA$45)&gt;=$S148),$V148,IF(AND($R148&lt;&gt;"",EDATE($D148,Milestones!$AA$45)&gt;=$R148),$U148,$T148)))=Milestones!$AB$45),TEXT(EDATE($D148,Milestones!$AA$45),"dd/mm/yy")&amp;" "&amp;Milestones!$AB$45&amp;" "&amp;Milestones!$AC$45&amp;";  ","")&amp;IF(AND(EDATE($D148,Milestones!$AA$46)&lt;=AsOfDate,IF($Q148=0,$W148,IF(AND($S148&lt;&gt;"",EDATE($D148,Milestones!$AA$46)&gt;=$S148),$V148,IF(AND($R148&lt;&gt;"",EDATE($D148,Milestones!$AA$46)&gt;=$R148),$U148,$T148)))=Milestones!$AB$46),TEXT(EDATE($D148,Milestones!$AA$46),"dd/mm/yy")&amp;" "&amp;Milestones!$AB$46&amp;" "&amp;Milestones!$AC$46&amp;";  ","")&amp;IF(AND(EDATE($D148,Milestones!$AA$47)&lt;=AsOfDate,IF($Q148=0,$W148,IF(AND($S148&lt;&gt;"",EDATE($D148,Milestones!$AA$47)&gt;=$S148),$V148,IF(AND($R148&lt;&gt;"",EDATE($D148,Milestones!$AA$47)&gt;=$R148),$U148,$T148)))=Milestones!$AB$47),TEXT(EDATE($D148,Milestones!$AA$47),"dd/mm/yy")&amp;" "&amp;Milestones!$AB$47&amp;" "&amp;Milestones!$AC$47&amp;";  ","")&amp;IF(AND(EDATE($D148,Milestones!$AA$48)&lt;=AsOfDate,IF($Q148=0,$W148,IF(AND($S148&lt;&gt;"",EDATE($D148,Milestones!$AA$48)&gt;=$S148),$V148,IF(AND($R148&lt;&gt;"",EDATE($D148,Milestones!$AA$48)&gt;=$R148),$U148,$T148)))=Milestones!$AB$48),TEXT(EDATE($D148,Milestones!$AA$48),"dd/mm/yy")&amp;" "&amp;Milestones!$AB$48&amp;" "&amp;Milestones!$AC$48&amp;";  ","")&amp;IF(AND(EDATE($D148,Milestones!$AA$49)&lt;=AsOfDate,IF($Q148=0,$W148,IF(AND($S148&lt;&gt;"",EDATE($D148,Milestones!$AA$49)&gt;=$S148),$V148,IF(AND($R148&lt;&gt;"",EDATE($D148,Milestones!$AA$49)&gt;=$R148),$U148,$T148)))=Milestones!$AB$49),TEXT(EDATE($D148,Milestones!$AA$49),"dd/mm/yy")&amp;" "&amp;Milestones!$AB$49&amp;" "&amp;Milestones!$AC$49&amp;";  ","")&amp;IF(AND(EDATE($D148,Milestones!$AA$50)&lt;=AsOfDate,IF($Q148=0,$W148,IF(AND($S148&lt;&gt;"",EDATE($D148,Milestones!$AA$50)&gt;=$S148),$V148,IF(AND($R148&lt;&gt;"",EDATE($D148,Milestones!$AA$50)&gt;=$R148),$U148,$T148)))=Milestones!$AB$50),TEXT(EDATE($D148,Milestones!$AA$50),"dd/mm/yy")&amp;" "&amp;Milestones!$AB$50&amp;" "&amp;Milestones!$AC$50&amp;";  ","")&amp;IF(AND(EDATE($D148,Milestones!$AA$51)&lt;=AsOfDate,IF($Q148=0,$W148,IF(AND($S148&lt;&gt;"",EDATE($D148,Milestones!$AA$51)&gt;=$S148),$V148,IF(AND($R148&lt;&gt;"",EDATE($D148,Milestones!$AA$51)&gt;=$R148),$U148,$T148)))=Milestones!$AB$51),TEXT(EDATE($D148,Milestones!$AA$51),"dd/mm/yy")&amp;" "&amp;Milestones!$AB$51&amp;" "&amp;Milestones!$AC$51&amp;";  ","")&amp;IF(AND(EDATE($D148,Milestones!$AA$52)&lt;=AsOfDate,IF($Q148=0,$W148,IF(AND($S148&lt;&gt;"",EDATE($D148,Milestones!$AA$52)&gt;=$S148),$V148,IF(AND($R148&lt;&gt;"",EDATE($D148,Milestones!$AA$52)&gt;=$R148),$U148,$T148)))=Milestones!$AB$52),TEXT(EDATE($D148,Milestones!$AA$52),"dd/mm/yy")&amp;" "&amp;Milestones!$AB$52&amp;" "&amp;Milestones!$AC$52&amp;";  ","")&amp;IF(AND(EDATE($D148,Milestones!$AA$53)&lt;=AsOfDate,IF($Q148=0,$W148,IF(AND($S148&lt;&gt;"",EDATE($D148,Milestones!$AA$53)&gt;=$S148),$V148,IF(AND($R148&lt;&gt;"",EDATE($D148,Milestones!$AA$53)&gt;=$R148),$U148,$T148)))=Milestones!$AB$53),TEXT(EDATE($D148,Milestones!$AA$53),"dd/mm/yy")&amp;" "&amp;Milestones!$AB$53&amp;" "&amp;Milestones!$AC$53&amp;";  ","")&amp;IF(AND(EDATE($D148,Milestones!$AA$54)&lt;=AsOfDate,IF($Q148=0,$W148,IF(AND($S148&lt;&gt;"",EDATE($D148,Milestones!$AA$54)&gt;=$S148),$V148,IF(AND($R148&lt;&gt;"",EDATE($D148,Milestones!$AA$54)&gt;=$R148),$U148,$T148)))=Milestones!$AB$54),TEXT(EDATE($D148,Milestones!$AA$54),"dd/mm/yy")&amp;" "&amp;Milestones!$AB$54&amp;" "&amp;Milestones!$AC$54&amp;";  ","")&amp;IF(AND(EDATE($D148,Milestones!$AA$55)&lt;=AsOfDate,IF($Q148=0,$W148,IF(AND($S148&lt;&gt;"",EDATE($D148,Milestones!$AA$55)&gt;=$S148),$V148,IF(AND($R148&lt;&gt;"",EDATE($D148,Milestones!$AA$55)&gt;=$R148),$U148,$T148)))=Milestones!$AB$55),TEXT(EDATE($D148,Milestones!$AA$55),"dd/mm/yy")&amp;" "&amp;Milestones!$AB$55&amp;" "&amp;Milestones!$AC$55&amp;";  ","")&amp;IF(AND(EDATE($D148,Milestones!$AA$56)&lt;=AsOfDate,IF($Q148=0,$W148,IF(AND($S148&lt;&gt;"",EDATE($D148,Milestones!$AA$56)&gt;=$S148),$V148,IF(AND($R148&lt;&gt;"",EDATE($D148,Milestones!$AA$56)&gt;=$R148),$U148,$T148)))=Milestones!$AB$56),TEXT(EDATE($D148,Milestones!$AA$56),"dd/mm/yy")&amp;" "&amp;Milestones!$AB$56&amp;" "&amp;Milestones!$AC$56&amp;";  ","")&amp;IF(AND(EDATE($D148,Milestones!$AA$57)&lt;=AsOfDate,IF($Q148=0,$W148,IF(AND($S148&lt;&gt;"",EDATE($D148,Milestones!$AA$57)&gt;=$S148),$V148,IF(AND($R148&lt;&gt;"",EDATE($D148,Milestones!$AA$57)&gt;=$R148),$U148,$T148)))=Milestones!$AB$57),TEXT(EDATE($D148,Milestones!$AA$57),"dd/mm/yy")&amp;" "&amp;Milestones!$AB$57&amp;" "&amp;Milestones!$AC$57&amp;";  ","")&amp;IF(AND(EDATE($D148,Milestones!$AA$58)&lt;=AsOfDate,IF($Q148=0,$W148,IF(AND($S148&lt;&gt;"",EDATE($D148,Milestones!$AA$58)&gt;=$S148),$V148,IF(AND($R148&lt;&gt;"",EDATE($D148,Milestones!$AA$58)&gt;=$R148),$U148,$T148)))=Milestones!$AB$58),TEXT(EDATE($D148,Milestones!$AA$58),"dd/mm/yy")&amp;" "&amp;Milestones!$AB$58&amp;" "&amp;Milestones!$AC$58&amp;";  ","")&amp;IF(AND(EDATE($D148,Milestones!$AA$59)&lt;=AsOfDate,IF($Q148=0,$W148,IF(AND($S148&lt;&gt;"",EDATE($D148,Milestones!$AA$59)&gt;=$S148),$V148,IF(AND($R148&lt;&gt;"",EDATE($D148,Milestones!$AA$59)&gt;=$R148),$U148,$T148)))=Milestones!$AB$59),TEXT(EDATE($D148,Milestones!$AA$59),"dd/mm/yy")&amp;" "&amp;Milestones!$AB$59&amp;" "&amp;Milestones!$AC$59&amp;";  ",""))</f>
        <v/>
      </c>
      <c r="J148" s="0" t="str">
        <f aca="false">IF(OR($A148="",$D148=""),"",IF(AND(EDATE($D148,Milestones!$AA$60)&lt;=AsOfDate,IF($Q148=0,$W148,IF(AND($S148&lt;&gt;"",EDATE($D148,Milestones!$AA$60)&gt;=$S148),$V148,IF(AND($R148&lt;&gt;"",EDATE($D148,Milestones!$AA$60)&gt;=$R148),$U148,$T148)))=Milestones!$AB$60),TEXT(EDATE($D148,Milestones!$AA$60),"dd/mm/yy")&amp;" "&amp;Milestones!$AB$60&amp;" "&amp;Milestones!$AC$60&amp;";  ","")&amp;IF(AND(EDATE($D148,Milestones!$AA$61)&lt;=AsOfDate,IF($Q148=0,$W148,IF(AND($S148&lt;&gt;"",EDATE($D148,Milestones!$AA$61)&gt;=$S148),$V148,IF(AND($R148&lt;&gt;"",EDATE($D148,Milestones!$AA$61)&gt;=$R148),$U148,$T148)))=Milestones!$AB$61),TEXT(EDATE($D148,Milestones!$AA$61),"dd/mm/yy")&amp;" "&amp;Milestones!$AB$61&amp;" "&amp;Milestones!$AC$61&amp;";  ","")&amp;IF(AND(EDATE($D148,Milestones!$AA$62)&lt;=AsOfDate,IF($Q148=0,$W148,IF(AND($S148&lt;&gt;"",EDATE($D148,Milestones!$AA$62)&gt;=$S148),$V148,IF(AND($R148&lt;&gt;"",EDATE($D148,Milestones!$AA$62)&gt;=$R148),$U148,$T148)))=Milestones!$AB$62),TEXT(EDATE($D148,Milestones!$AA$62),"dd/mm/yy")&amp;" "&amp;Milestones!$AB$62&amp;" "&amp;Milestones!$AC$62&amp;";  ","")&amp;IF(AND(EDATE($D148,Milestones!$AA$63)&lt;=AsOfDate,IF($Q148=0,$W148,IF(AND($S148&lt;&gt;"",EDATE($D148,Milestones!$AA$63)&gt;=$S148),$V148,IF(AND($R148&lt;&gt;"",EDATE($D148,Milestones!$AA$63)&gt;=$R148),$U148,$T148)))=Milestones!$AB$63),TEXT(EDATE($D148,Milestones!$AA$63),"dd/mm/yy")&amp;" "&amp;Milestones!$AB$63&amp;" "&amp;Milestones!$AC$63&amp;";  ","")&amp;IF(AND(EDATE($D148,Milestones!$AA$64)&lt;=AsOfDate,IF($Q148=0,$W148,IF(AND($S148&lt;&gt;"",EDATE($D148,Milestones!$AA$64)&gt;=$S148),$V148,IF(AND($R148&lt;&gt;"",EDATE($D148,Milestones!$AA$64)&gt;=$R148),$U148,$T148)))=Milestones!$AB$64),TEXT(EDATE($D148,Milestones!$AA$64),"dd/mm/yy")&amp;" "&amp;Milestones!$AB$64&amp;" "&amp;Milestones!$AC$64&amp;";  ","")&amp;IF(AND(EDATE($D148,Milestones!$AA$65)&lt;=AsOfDate,IF($Q148=0,$W148,IF(AND($S148&lt;&gt;"",EDATE($D148,Milestones!$AA$65)&gt;=$S148),$V148,IF(AND($R148&lt;&gt;"",EDATE($D148,Milestones!$AA$65)&gt;=$R148),$U148,$T148)))=Milestones!$AB$65),TEXT(EDATE($D148,Milestones!$AA$65),"dd/mm/yy")&amp;" "&amp;Milestones!$AB$65&amp;" "&amp;Milestones!$AC$65&amp;";  ","")&amp;IF(AND(EDATE($D148,Milestones!$AA$66)&lt;=AsOfDate,IF($Q148=0,$W148,IF(AND($S148&lt;&gt;"",EDATE($D148,Milestones!$AA$66)&gt;=$S148),$V148,IF(AND($R148&lt;&gt;"",EDATE($D148,Milestones!$AA$66)&gt;=$R148),$U148,$T148)))=Milestones!$AB$66),TEXT(EDATE($D148,Milestones!$AA$66),"dd/mm/yy")&amp;" "&amp;Milestones!$AB$66&amp;" "&amp;Milestones!$AC$66&amp;";  ","")&amp;IF(AND(EDATE($D148,Milestones!$AA$67)&lt;=AsOfDate,IF($Q148=0,$W148,IF(AND($S148&lt;&gt;"",EDATE($D148,Milestones!$AA$67)&gt;=$S148),$V148,IF(AND($R148&lt;&gt;"",EDATE($D148,Milestones!$AA$67)&gt;=$R148),$U148,$T148)))=Milestones!$AB$67),TEXT(EDATE($D148,Milestones!$AA$67),"dd/mm/yy")&amp;" "&amp;Milestones!$AB$67&amp;" "&amp;Milestones!$AC$67&amp;";  ","")&amp;IF(AND(EDATE($D148,Milestones!$AA$68)&lt;=AsOfDate,IF($Q148=0,$W148,IF(AND($S148&lt;&gt;"",EDATE($D148,Milestones!$AA$68)&gt;=$S148),$V148,IF(AND($R148&lt;&gt;"",EDATE($D148,Milestones!$AA$68)&gt;=$R148),$U148,$T148)))=Milestones!$AB$68),TEXT(EDATE($D148,Milestones!$AA$68),"dd/mm/yy")&amp;" "&amp;Milestones!$AB$68&amp;" "&amp;Milestones!$AC$68&amp;";  ","")&amp;IF(AND(EDATE($D148,Milestones!$AA$69)&lt;=AsOfDate,IF($Q148=0,$W148,IF(AND($S148&lt;&gt;"",EDATE($D148,Milestones!$AA$69)&gt;=$S148),$V148,IF(AND($R148&lt;&gt;"",EDATE($D148,Milestones!$AA$69)&gt;=$R148),$U148,$T148)))=Milestones!$AB$69),TEXT(EDATE($D148,Milestones!$AA$69),"dd/mm/yy")&amp;" "&amp;Milestones!$AB$69&amp;" "&amp;Milestones!$AC$69&amp;";  ","")&amp;IF(AND(EDATE($D148,Milestones!$AA$70)&lt;=AsOfDate,IF($Q148=0,$W148,IF(AND($S148&lt;&gt;"",EDATE($D148,Milestones!$AA$70)&gt;=$S148),$V148,IF(AND($R148&lt;&gt;"",EDATE($D148,Milestones!$AA$70)&gt;=$R148),$U148,$T148)))=Milestones!$AB$70),TEXT(EDATE($D148,Milestones!$AA$70),"dd/mm/yy")&amp;" "&amp;Milestones!$AB$70&amp;" "&amp;Milestones!$AC$70&amp;";  ","")&amp;IF(AND(EDATE($D148,Milestones!$AA$71)&lt;=AsOfDate,IF($Q148=0,$W148,IF(AND($S148&lt;&gt;"",EDATE($D148,Milestones!$AA$71)&gt;=$S148),$V148,IF(AND($R148&lt;&gt;"",EDATE($D148,Milestones!$AA$71)&gt;=$R148),$U148,$T148)))=Milestones!$AB$71),TEXT(EDATE($D148,Milestones!$AA$71),"dd/mm/yy")&amp;" "&amp;Milestones!$AB$71&amp;" "&amp;Milestones!$AC$71&amp;";  ","")&amp;IF(AND(EDATE($D148,Milestones!$AA$72)&lt;=AsOfDate,IF($Q148=0,$W148,IF(AND($S148&lt;&gt;"",EDATE($D148,Milestones!$AA$72)&gt;=$S148),$V148,IF(AND($R148&lt;&gt;"",EDATE($D148,Milestones!$AA$72)&gt;=$R148),$U148,$T148)))=Milestones!$AB$72),TEXT(EDATE($D148,Milestones!$AA$72),"dd/mm/yy")&amp;" "&amp;Milestones!$AB$72&amp;" "&amp;Milestones!$AC$72&amp;";  ","")&amp;IF(AND(EDATE($D148,Milestones!$AA$73)&lt;=AsOfDate,IF($Q148=0,$W148,IF(AND($S148&lt;&gt;"",EDATE($D148,Milestones!$AA$73)&gt;=$S148),$V148,IF(AND($R148&lt;&gt;"",EDATE($D148,Milestones!$AA$73)&gt;=$R148),$U148,$T148)))=Milestones!$AB$73),TEXT(EDATE($D148,Milestones!$AA$73),"dd/mm/yy")&amp;" "&amp;Milestones!$AB$73&amp;" "&amp;Milestones!$AC$73&amp;";  ","")&amp;IF(AND(EDATE($D148,Milestones!$AA$74)&lt;=AsOfDate,IF($Q148=0,$W148,IF(AND($S148&lt;&gt;"",EDATE($D148,Milestones!$AA$74)&gt;=$S148),$V148,IF(AND($R148&lt;&gt;"",EDATE($D148,Milestones!$AA$74)&gt;=$R148),$U148,$T148)))=Milestones!$AB$74),TEXT(EDATE($D148,Milestones!$AA$74),"dd/mm/yy")&amp;" "&amp;Milestones!$AB$74&amp;" "&amp;Milestones!$AC$74&amp;";  ","")&amp;IF(AND(EDATE($D148,Milestones!$AA$75)&lt;=AsOfDate,IF($Q148=0,$W148,IF(AND($S148&lt;&gt;"",EDATE($D148,Milestones!$AA$75)&gt;=$S148),$V148,IF(AND($R148&lt;&gt;"",EDATE($D148,Milestones!$AA$75)&gt;=$R148),$U148,$T148)))=Milestones!$AB$75),TEXT(EDATE($D148,Milestones!$AA$75),"dd/mm/yy")&amp;" "&amp;Milestones!$AB$75&amp;" "&amp;Milestones!$AC$75&amp;";  ","")&amp;IF(AND(EDATE($D148,Milestones!$AA$76)&lt;=AsOfDate,IF($Q148=0,$W148,IF(AND($S148&lt;&gt;"",EDATE($D148,Milestones!$AA$76)&gt;=$S148),$V148,IF(AND($R148&lt;&gt;"",EDATE($D148,Milestones!$AA$76)&gt;=$R148),$U148,$T148)))=Milestones!$AB$76),TEXT(EDATE($D148,Milestones!$AA$76),"dd/mm/yy")&amp;" "&amp;Milestones!$AB$76&amp;" "&amp;Milestones!$AC$76&amp;";  ","")&amp;IF(AND(EDATE($D148,Milestones!$AA$77)&lt;=AsOfDate,IF($Q148=0,$W148,IF(AND($S148&lt;&gt;"",EDATE($D148,Milestones!$AA$77)&gt;=$S148),$V148,IF(AND($R148&lt;&gt;"",EDATE($D148,Milestones!$AA$77)&gt;=$R148),$U148,$T148)))=Milestones!$AB$77),TEXT(EDATE($D148,Milestones!$AA$77),"dd/mm/yy")&amp;" "&amp;Milestones!$AB$77&amp;" "&amp;Milestones!$AC$77&amp;";  ","")&amp;IF(AND(EDATE($D148,Milestones!$AA$78)&lt;=AsOfDate,IF($Q148=0,$W148,IF(AND($S148&lt;&gt;"",EDATE($D148,Milestones!$AA$78)&gt;=$S148),$V148,IF(AND($R148&lt;&gt;"",EDATE($D148,Milestones!$AA$78)&gt;=$R148),$U148,$T148)))=Milestones!$AB$78),TEXT(EDATE($D148,Milestones!$AA$78),"dd/mm/yy")&amp;" "&amp;Milestones!$AB$78&amp;" "&amp;Milestones!$AC$78&amp;";  ","")&amp;IF(AND(EDATE($D148,Milestones!$AA$79)&lt;=AsOfDate,IF($Q148=0,$W148,IF(AND($S148&lt;&gt;"",EDATE($D148,Milestones!$AA$79)&gt;=$S148),$V148,IF(AND($R148&lt;&gt;"",EDATE($D148,Milestones!$AA$79)&gt;=$R148),$U148,$T148)))=Milestones!$AB$79),TEXT(EDATE($D148,Milestones!$AA$79),"dd/mm/yy")&amp;" "&amp;Milestones!$AB$79&amp;" "&amp;Milestones!$AC$79&amp;";  ",""))</f>
        <v/>
      </c>
      <c r="K148" s="0" t="str">
        <f aca="false">IF(OR($A148="",$D148=""),"",IF(AND(EDATE($D148,Milestones!$AA$80)&lt;=AsOfDate,IF($Q148=0,$W148,IF(AND($S148&lt;&gt;"",EDATE($D148,Milestones!$AA$80)&gt;=$S148),$V148,IF(AND($R148&lt;&gt;"",EDATE($D148,Milestones!$AA$80)&gt;=$R148),$U148,$T148)))=Milestones!$AB$80),TEXT(EDATE($D148,Milestones!$AA$80),"dd/mm/yy")&amp;" "&amp;Milestones!$AB$80&amp;" "&amp;Milestones!$AC$80&amp;";  ","")&amp;IF(AND(EDATE($D148,Milestones!$AA$81)&lt;=AsOfDate,IF($Q148=0,$W148,IF(AND($S148&lt;&gt;"",EDATE($D148,Milestones!$AA$81)&gt;=$S148),$V148,IF(AND($R148&lt;&gt;"",EDATE($D148,Milestones!$AA$81)&gt;=$R148),$U148,$T148)))=Milestones!$AB$81),TEXT(EDATE($D148,Milestones!$AA$81),"dd/mm/yy")&amp;" "&amp;Milestones!$AB$81&amp;" "&amp;Milestones!$AC$81&amp;";  ","")&amp;IF(AND(EDATE($D148,Milestones!$AA$82)&lt;=AsOfDate,IF($Q148=0,$W148,IF(AND($S148&lt;&gt;"",EDATE($D148,Milestones!$AA$82)&gt;=$S148),$V148,IF(AND($R148&lt;&gt;"",EDATE($D148,Milestones!$AA$82)&gt;=$R148),$U148,$T148)))=Milestones!$AB$82),TEXT(EDATE($D148,Milestones!$AA$82),"dd/mm/yy")&amp;" "&amp;Milestones!$AB$82&amp;" "&amp;Milestones!$AC$82&amp;";  ","")&amp;IF(AND(EDATE($D148,Milestones!$AA$83)&lt;=AsOfDate,IF($Q148=0,$W148,IF(AND($S148&lt;&gt;"",EDATE($D148,Milestones!$AA$83)&gt;=$S148),$V148,IF(AND($R148&lt;&gt;"",EDATE($D148,Milestones!$AA$83)&gt;=$R148),$U148,$T148)))=Milestones!$AB$83),TEXT(EDATE($D148,Milestones!$AA$83),"dd/mm/yy")&amp;" "&amp;Milestones!$AB$83&amp;" "&amp;Milestones!$AC$83&amp;";  ","")&amp;IF(AND(EDATE($D148,Milestones!$AA$84)&lt;=AsOfDate,IF($Q148=0,$W148,IF(AND($S148&lt;&gt;"",EDATE($D148,Milestones!$AA$84)&gt;=$S148),$V148,IF(AND($R148&lt;&gt;"",EDATE($D148,Milestones!$AA$84)&gt;=$R148),$U148,$T148)))=Milestones!$AB$84),TEXT(EDATE($D148,Milestones!$AA$84),"dd/mm/yy")&amp;" "&amp;Milestones!$AB$84&amp;" "&amp;Milestones!$AC$84&amp;";  ","")&amp;IF(AND(EDATE($D148,Milestones!$AA$85)&lt;=AsOfDate,IF($Q148=0,$W148,IF(AND($S148&lt;&gt;"",EDATE($D148,Milestones!$AA$85)&gt;=$S148),$V148,IF(AND($R148&lt;&gt;"",EDATE($D148,Milestones!$AA$85)&gt;=$R148),$U148,$T148)))=Milestones!$AB$85),TEXT(EDATE($D148,Milestones!$AA$85),"dd/mm/yy")&amp;" "&amp;Milestones!$AB$85&amp;" "&amp;Milestones!$AC$85&amp;";  ","")&amp;IF(AND(EDATE($D148,Milestones!$AA$86)&lt;=AsOfDate,IF($Q148=0,$W148,IF(AND($S148&lt;&gt;"",EDATE($D148,Milestones!$AA$86)&gt;=$S148),$V148,IF(AND($R148&lt;&gt;"",EDATE($D148,Milestones!$AA$86)&gt;=$R148),$U148,$T148)))=Milestones!$AB$86),TEXT(EDATE($D148,Milestones!$AA$86),"dd/mm/yy")&amp;" "&amp;Milestones!$AB$86&amp;" "&amp;Milestones!$AC$86&amp;";  ","")&amp;IF(AND(EDATE($D148,Milestones!$AA$87)&lt;=AsOfDate,IF($Q148=0,$W148,IF(AND($S148&lt;&gt;"",EDATE($D148,Milestones!$AA$87)&gt;=$S148),$V148,IF(AND($R148&lt;&gt;"",EDATE($D148,Milestones!$AA$87)&gt;=$R148),$U148,$T148)))=Milestones!$AB$87),TEXT(EDATE($D148,Milestones!$AA$87),"dd/mm/yy")&amp;" "&amp;Milestones!$AB$87&amp;" "&amp;Milestones!$AC$87&amp;";  ","")&amp;IF(AND(EDATE($D148,Milestones!$AA$88)&lt;=AsOfDate,IF($Q148=0,$W148,IF(AND($S148&lt;&gt;"",EDATE($D148,Milestones!$AA$88)&gt;=$S148),$V148,IF(AND($R148&lt;&gt;"",EDATE($D148,Milestones!$AA$88)&gt;=$R148),$U148,$T148)))=Milestones!$AB$88),TEXT(EDATE($D148,Milestones!$AA$88),"dd/mm/yy")&amp;" "&amp;Milestones!$AB$88&amp;" "&amp;Milestones!$AC$88&amp;";  ","")&amp;IF(AND(EDATE($D148,Milestones!$AA$89)&lt;=AsOfDate,IF($Q148=0,$W148,IF(AND($S148&lt;&gt;"",EDATE($D148,Milestones!$AA$89)&gt;=$S148),$V148,IF(AND($R148&lt;&gt;"",EDATE($D148,Milestones!$AA$89)&gt;=$R148),$U148,$T148)))=Milestones!$AB$89),TEXT(EDATE($D148,Milestones!$AA$89),"dd/mm/yy")&amp;" "&amp;Milestones!$AB$89&amp;" "&amp;Milestones!$AC$89&amp;";  ","")&amp;IF(AND(EDATE($D148,Milestones!$AA$90)&lt;=AsOfDate,IF($Q148=0,$W148,IF(AND($S148&lt;&gt;"",EDATE($D148,Milestones!$AA$90)&gt;=$S148),$V148,IF(AND($R148&lt;&gt;"",EDATE($D148,Milestones!$AA$90)&gt;=$R148),$U148,$T148)))=Milestones!$AB$90),TEXT(EDATE($D148,Milestones!$AA$90),"dd/mm/yy")&amp;" "&amp;Milestones!$AB$90&amp;" "&amp;Milestones!$AC$90&amp;";  ","")&amp;IF(AND(EDATE($D148,Milestones!$AA$91)&lt;=AsOfDate,IF($Q148=0,$W148,IF(AND($S148&lt;&gt;"",EDATE($D148,Milestones!$AA$91)&gt;=$S148),$V148,IF(AND($R148&lt;&gt;"",EDATE($D148,Milestones!$AA$91)&gt;=$R148),$U148,$T148)))=Milestones!$AB$91),TEXT(EDATE($D148,Milestones!$AA$91),"dd/mm/yy")&amp;" "&amp;Milestones!$AB$91&amp;" "&amp;Milestones!$AC$91&amp;";  ","")&amp;IF(AND(EDATE($D148,Milestones!$AA$92)&lt;=AsOfDate,IF($Q148=0,$W148,IF(AND($S148&lt;&gt;"",EDATE($D148,Milestones!$AA$92)&gt;=$S148),$V148,IF(AND($R148&lt;&gt;"",EDATE($D148,Milestones!$AA$92)&gt;=$R148),$U148,$T148)))=Milestones!$AB$92),TEXT(EDATE($D148,Milestones!$AA$92),"dd/mm/yy")&amp;" "&amp;Milestones!$AB$92&amp;" "&amp;Milestones!$AC$92&amp;";  ","")&amp;IF(AND(EDATE($D148,Milestones!$AA$93)&lt;=AsOfDate,IF($Q148=0,$W148,IF(AND($S148&lt;&gt;"",EDATE($D148,Milestones!$AA$93)&gt;=$S148),$V148,IF(AND($R148&lt;&gt;"",EDATE($D148,Milestones!$AA$93)&gt;=$R148),$U148,$T148)))=Milestones!$AB$93),TEXT(EDATE($D148,Milestones!$AA$93),"dd/mm/yy")&amp;" "&amp;Milestones!$AB$93&amp;" "&amp;Milestones!$AC$93&amp;";  ","")&amp;IF(AND(EDATE($D148,Milestones!$AA$94)&lt;=AsOfDate,IF($Q148=0,$W148,IF(AND($S148&lt;&gt;"",EDATE($D148,Milestones!$AA$94)&gt;=$S148),$V148,IF(AND($R148&lt;&gt;"",EDATE($D148,Milestones!$AA$94)&gt;=$R148),$U148,$T148)))=Milestones!$AB$94),TEXT(EDATE($D148,Milestones!$AA$94),"dd/mm/yy")&amp;" "&amp;Milestones!$AB$94&amp;" "&amp;Milestones!$AC$94&amp;";  ","")&amp;IF(AND(EDATE($D148,Milestones!$AA$95)&lt;=AsOfDate,IF($Q148=0,$W148,IF(AND($S148&lt;&gt;"",EDATE($D148,Milestones!$AA$95)&gt;=$S148),$V148,IF(AND($R148&lt;&gt;"",EDATE($D148,Milestones!$AA$95)&gt;=$R148),$U148,$T148)))=Milestones!$AB$95),TEXT(EDATE($D148,Milestones!$AA$95),"dd/mm/yy")&amp;" "&amp;Milestones!$AB$95&amp;" "&amp;Milestones!$AC$95&amp;";  ","")&amp;IF(AND(EDATE($D148,Milestones!$AA$96)&lt;=AsOfDate,IF($Q148=0,$W148,IF(AND($S148&lt;&gt;"",EDATE($D148,Milestones!$AA$96)&gt;=$S148),$V148,IF(AND($R148&lt;&gt;"",EDATE($D148,Milestones!$AA$96)&gt;=$R148),$U148,$T148)))=Milestones!$AB$96),TEXT(EDATE($D148,Milestones!$AA$96),"dd/mm/yy")&amp;" "&amp;Milestones!$AB$96&amp;" "&amp;Milestones!$AC$96&amp;";  ","")&amp;IF(AND(EDATE($D148,Milestones!$AA$97)&lt;=AsOfDate,IF($Q148=0,$W148,IF(AND($S148&lt;&gt;"",EDATE($D148,Milestones!$AA$97)&gt;=$S148),$V148,IF(AND($R148&lt;&gt;"",EDATE($D148,Milestones!$AA$97)&gt;=$R148),$U148,$T148)))=Milestones!$AB$97),TEXT(EDATE($D148,Milestones!$AA$97),"dd/mm/yy")&amp;" "&amp;Milestones!$AB$97&amp;" "&amp;Milestones!$AC$97&amp;";  ","")&amp;IF(AND(EDATE($D148,Milestones!$AA$98)&lt;=AsOfDate,IF($Q148=0,$W148,IF(AND($S148&lt;&gt;"",EDATE($D148,Milestones!$AA$98)&gt;=$S148),$V148,IF(AND($R148&lt;&gt;"",EDATE($D148,Milestones!$AA$98)&gt;=$R148),$U148,$T148)))=Milestones!$AB$98),TEXT(EDATE($D148,Milestones!$AA$98),"dd/mm/yy")&amp;" "&amp;Milestones!$AB$98&amp;" "&amp;Milestones!$AC$98&amp;";  ","")&amp;IF(AND(EDATE($D148,Milestones!$AA$99)&lt;=AsOfDate,IF($Q148=0,$W148,IF(AND($S148&lt;&gt;"",EDATE($D148,Milestones!$AA$99)&gt;=$S148),$V148,IF(AND($R148&lt;&gt;"",EDATE($D148,Milestones!$AA$99)&gt;=$R148),$U148,$T148)))=Milestones!$AB$99),TEXT(EDATE($D148,Milestones!$AA$99),"dd/mm/yy")&amp;" "&amp;Milestones!$AB$99&amp;" "&amp;Milestones!$AC$99&amp;";  ",""))</f>
        <v/>
      </c>
      <c r="L148" s="0" t="str">
        <f aca="false">IF(OR($A148="",$D148=""),"",IF(AND(EDATE($D148,Milestones!$AA$100)&lt;=AsOfDate,IF($Q148=0,$W148,IF(AND($S148&lt;&gt;"",EDATE($D148,Milestones!$AA$100)&gt;=$S148),$V148,IF(AND($R148&lt;&gt;"",EDATE($D148,Milestones!$AA$100)&gt;=$R148),$U148,$T148)))=Milestones!$AB$100),TEXT(EDATE($D148,Milestones!$AA$100),"dd/mm/yy")&amp;" "&amp;Milestones!$AB$100&amp;" "&amp;Milestones!$AC$100&amp;";  ","")&amp;IF(AND(EDATE($D148,Milestones!$AA$101)&lt;=AsOfDate,IF($Q148=0,$W148,IF(AND($S148&lt;&gt;"",EDATE($D148,Milestones!$AA$101)&gt;=$S148),$V148,IF(AND($R148&lt;&gt;"",EDATE($D148,Milestones!$AA$101)&gt;=$R148),$U148,$T148)))=Milestones!$AB$101),TEXT(EDATE($D148,Milestones!$AA$101),"dd/mm/yy")&amp;" "&amp;Milestones!$AB$101&amp;" "&amp;Milestones!$AC$101&amp;";  ","")&amp;IF(AND(EDATE($D148,Milestones!$AA$102)&lt;=AsOfDate,IF($Q148=0,$W148,IF(AND($S148&lt;&gt;"",EDATE($D148,Milestones!$AA$102)&gt;=$S148),$V148,IF(AND($R148&lt;&gt;"",EDATE($D148,Milestones!$AA$102)&gt;=$R148),$U148,$T148)))=Milestones!$AB$102),TEXT(EDATE($D148,Milestones!$AA$102),"dd/mm/yy")&amp;" "&amp;Milestones!$AB$102&amp;" "&amp;Milestones!$AC$102&amp;";  ","")&amp;IF(AND(EDATE($D148,Milestones!$AA$103)&lt;=AsOfDate,IF($Q148=0,$W148,IF(AND($S148&lt;&gt;"",EDATE($D148,Milestones!$AA$103)&gt;=$S148),$V148,IF(AND($R148&lt;&gt;"",EDATE($D148,Milestones!$AA$103)&gt;=$R148),$U148,$T148)))=Milestones!$AB$103),TEXT(EDATE($D148,Milestones!$AA$103),"dd/mm/yy")&amp;" "&amp;Milestones!$AB$103&amp;" "&amp;Milestones!$AC$103&amp;";  ","")&amp;IF(AND(EDATE($D148,Milestones!$AA$104)&lt;=AsOfDate,IF($Q148=0,$W148,IF(AND($S148&lt;&gt;"",EDATE($D148,Milestones!$AA$104)&gt;=$S148),$V148,IF(AND($R148&lt;&gt;"",EDATE($D148,Milestones!$AA$104)&gt;=$R148),$U148,$T148)))=Milestones!$AB$104),TEXT(EDATE($D148,Milestones!$AA$104),"dd/mm/yy")&amp;" "&amp;Milestones!$AB$104&amp;" "&amp;Milestones!$AC$104&amp;";  ","")&amp;IF(AND(EDATE($D148,Milestones!$AA$105)&lt;=AsOfDate,IF($Q148=0,$W148,IF(AND($S148&lt;&gt;"",EDATE($D148,Milestones!$AA$105)&gt;=$S148),$V148,IF(AND($R148&lt;&gt;"",EDATE($D148,Milestones!$AA$105)&gt;=$R148),$U148,$T148)))=Milestones!$AB$105),TEXT(EDATE($D148,Milestones!$AA$105),"dd/mm/yy")&amp;" "&amp;Milestones!$AB$105&amp;" "&amp;Milestones!$AC$105&amp;";  ","")&amp;IF(AND(EDATE($D148,Milestones!$AA$106)&lt;=AsOfDate,IF($Q148=0,$W148,IF(AND($S148&lt;&gt;"",EDATE($D148,Milestones!$AA$106)&gt;=$S148),$V148,IF(AND($R148&lt;&gt;"",EDATE($D148,Milestones!$AA$106)&gt;=$R148),$U148,$T148)))=Milestones!$AB$106),TEXT(EDATE($D148,Milestones!$AA$106),"dd/mm/yy")&amp;" "&amp;Milestones!$AB$106&amp;" "&amp;Milestones!$AC$106&amp;";  ","")&amp;IF(AND(EDATE($D148,Milestones!$AA$107)&lt;=AsOfDate,IF($Q148=0,$W148,IF(AND($S148&lt;&gt;"",EDATE($D148,Milestones!$AA$107)&gt;=$S148),$V148,IF(AND($R148&lt;&gt;"",EDATE($D148,Milestones!$AA$107)&gt;=$R148),$U148,$T148)))=Milestones!$AB$107),TEXT(EDATE($D148,Milestones!$AA$107),"dd/mm/yy")&amp;" "&amp;Milestones!$AB$107&amp;" "&amp;Milestones!$AC$107&amp;";  ","")&amp;IF(AND(EDATE($D148,Milestones!$AA$108)&lt;=AsOfDate,IF($Q148=0,$W148,IF(AND($S148&lt;&gt;"",EDATE($D148,Milestones!$AA$108)&gt;=$S148),$V148,IF(AND($R148&lt;&gt;"",EDATE($D148,Milestones!$AA$108)&gt;=$R148),$U148,$T148)))=Milestones!$AB$108),TEXT(EDATE($D148,Milestones!$AA$108),"dd/mm/yy")&amp;" "&amp;Milestones!$AB$108&amp;" "&amp;Milestones!$AC$108&amp;";  ","")&amp;IF(AND(EDATE($D148,Milestones!$AA$109)&lt;=AsOfDate,IF($Q148=0,$W148,IF(AND($S148&lt;&gt;"",EDATE($D148,Milestones!$AA$109)&gt;=$S148),$V148,IF(AND($R148&lt;&gt;"",EDATE($D148,Milestones!$AA$109)&gt;=$R148),$U148,$T148)))=Milestones!$AB$109),TEXT(EDATE($D148,Milestones!$AA$109),"dd/mm/yy")&amp;" "&amp;Milestones!$AB$109&amp;" "&amp;Milestones!$AC$109&amp;";  ","")&amp;IF(AND(EDATE($D148,Milestones!$AA$110)&lt;=AsOfDate,IF($Q148=0,$W148,IF(AND($S148&lt;&gt;"",EDATE($D148,Milestones!$AA$110)&gt;=$S148),$V148,IF(AND($R148&lt;&gt;"",EDATE($D148,Milestones!$AA$110)&gt;=$R148),$U148,$T148)))=Milestones!$AB$110),TEXT(EDATE($D148,Milestones!$AA$110),"dd/mm/yy")&amp;" "&amp;Milestones!$AB$110&amp;" "&amp;Milestones!$AC$110&amp;";  ","")&amp;IF(AND(EDATE($D148,Milestones!$AA$111)&lt;=AsOfDate,IF($Q148=0,$W148,IF(AND($S148&lt;&gt;"",EDATE($D148,Milestones!$AA$111)&gt;=$S148),$V148,IF(AND($R148&lt;&gt;"",EDATE($D148,Milestones!$AA$111)&gt;=$R148),$U148,$T148)))=Milestones!$AB$111),TEXT(EDATE($D148,Milestones!$AA$111),"dd/mm/yy")&amp;" "&amp;Milestones!$AB$111&amp;" "&amp;Milestones!$AC$111&amp;";  ","")&amp;IF(AND(EDATE($D148,Milestones!$AA$112)&lt;=AsOfDate,IF($Q148=0,$W148,IF(AND($S148&lt;&gt;"",EDATE($D148,Milestones!$AA$112)&gt;=$S148),$V148,IF(AND($R148&lt;&gt;"",EDATE($D148,Milestones!$AA$112)&gt;=$R148),$U148,$T148)))=Milestones!$AB$112),TEXT(EDATE($D148,Milestones!$AA$112),"dd/mm/yy")&amp;" "&amp;Milestones!$AB$112&amp;" "&amp;Milestones!$AC$112&amp;";  ","")&amp;IF(AND(EDATE($D148,Milestones!$AA$113)&lt;=AsOfDate,IF($Q148=0,$W148,IF(AND($S148&lt;&gt;"",EDATE($D148,Milestones!$AA$113)&gt;=$S148),$V148,IF(AND($R148&lt;&gt;"",EDATE($D148,Milestones!$AA$113)&gt;=$R148),$U148,$T148)))=Milestones!$AB$113),TEXT(EDATE($D148,Milestones!$AA$113),"dd/mm/yy")&amp;" "&amp;Milestones!$AB$113&amp;" "&amp;Milestones!$AC$113&amp;";  ","")&amp;IF(AND(EDATE($D148,Milestones!$AA$114)&lt;=AsOfDate,IF($Q148=0,$W148,IF(AND($S148&lt;&gt;"",EDATE($D148,Milestones!$AA$114)&gt;=$S148),$V148,IF(AND($R148&lt;&gt;"",EDATE($D148,Milestones!$AA$114)&gt;=$R148),$U148,$T148)))=Milestones!$AB$114),TEXT(EDATE($D148,Milestones!$AA$114),"dd/mm/yy")&amp;" "&amp;Milestones!$AB$114&amp;" "&amp;Milestones!$AC$114&amp;";  ","")&amp;IF(AND(EDATE($D148,Milestones!$AA$115)&lt;=AsOfDate,IF($Q148=0,$W148,IF(AND($S148&lt;&gt;"",EDATE($D148,Milestones!$AA$115)&gt;=$S148),$V148,IF(AND($R148&lt;&gt;"",EDATE($D148,Milestones!$AA$115)&gt;=$R148),$U148,$T148)))=Milestones!$AB$115),TEXT(EDATE($D148,Milestones!$AA$115),"dd/mm/yy")&amp;" "&amp;Milestones!$AB$115&amp;" "&amp;Milestones!$AC$115&amp;";  ","")&amp;IF(AND(EDATE($D148,Milestones!$AA$116)&lt;=AsOfDate,IF($Q148=0,$W148,IF(AND($S148&lt;&gt;"",EDATE($D148,Milestones!$AA$116)&gt;=$S148),$V148,IF(AND($R148&lt;&gt;"",EDATE($D148,Milestones!$AA$116)&gt;=$R148),$U148,$T148)))=Milestones!$AB$116),TEXT(EDATE($D148,Milestones!$AA$116),"dd/mm/yy")&amp;" "&amp;Milestones!$AB$116&amp;" "&amp;Milestones!$AC$116&amp;";  ","")&amp;IF(AND(EDATE($D148,Milestones!$AA$117)&lt;=AsOfDate,IF($Q148=0,$W148,IF(AND($S148&lt;&gt;"",EDATE($D148,Milestones!$AA$117)&gt;=$S148),$V148,IF(AND($R148&lt;&gt;"",EDATE($D148,Milestones!$AA$117)&gt;=$R148),$U148,$T148)))=Milestones!$AB$117),TEXT(EDATE($D148,Milestones!$AA$117),"dd/mm/yy")&amp;" "&amp;Milestones!$AB$117&amp;" "&amp;Milestones!$AC$117&amp;";  ","")&amp;IF(AND(EDATE($D148,Milestones!$AA$118)&lt;=AsOfDate,IF($Q148=0,$W148,IF(AND($S148&lt;&gt;"",EDATE($D148,Milestones!$AA$118)&gt;=$S148),$V148,IF(AND($R148&lt;&gt;"",EDATE($D148,Milestones!$AA$118)&gt;=$R148),$U148,$T148)))=Milestones!$AB$118),TEXT(EDATE($D148,Milestones!$AA$118),"dd/mm/yy")&amp;" "&amp;Milestones!$AB$118&amp;" "&amp;Milestones!$AC$118&amp;";  ","")&amp;IF(AND(EDATE($D148,Milestones!$AA$119)&lt;=AsOfDate,IF($Q148=0,$W148,IF(AND($S148&lt;&gt;"",EDATE($D148,Milestones!$AA$119)&gt;=$S148),$V148,IF(AND($R148&lt;&gt;"",EDATE($D148,Milestones!$AA$119)&gt;=$R148),$U148,$T148)))=Milestones!$AB$119),TEXT(EDATE($D148,Milestones!$AA$119),"dd/mm/yy")&amp;" "&amp;Milestones!$AB$119&amp;" "&amp;Milestones!$AC$119&amp;";  ",""))</f>
        <v/>
      </c>
      <c r="M148" s="0" t="str">
        <f aca="false">IF(OR($A148="",$D148=""),"",IF(AND(EDATE($D148,Milestones!$AA$120)&lt;=AsOfDate,IF($Q148=0,$W148,IF(AND($S148&lt;&gt;"",EDATE($D148,Milestones!$AA$120)&gt;=$S148),$V148,IF(AND($R148&lt;&gt;"",EDATE($D148,Milestones!$AA$120)&gt;=$R148),$U148,$T148)))=Milestones!$AB$120),TEXT(EDATE($D148,Milestones!$AA$120),"dd/mm/yy")&amp;" "&amp;Milestones!$AB$120&amp;" "&amp;Milestones!$AC$120&amp;";  ","")&amp;IF(AND(EDATE($D148,Milestones!$AA$121)&lt;=AsOfDate,IF($Q148=0,$W148,IF(AND($S148&lt;&gt;"",EDATE($D148,Milestones!$AA$121)&gt;=$S148),$V148,IF(AND($R148&lt;&gt;"",EDATE($D148,Milestones!$AA$121)&gt;=$R148),$U148,$T148)))=Milestones!$AB$121),TEXT(EDATE($D148,Milestones!$AA$121),"dd/mm/yy")&amp;" "&amp;Milestones!$AB$121&amp;" "&amp;Milestones!$AC$121&amp;";  ","")&amp;IF(AND(EDATE($D148,Milestones!$AA$122)&lt;=AsOfDate,IF($Q148=0,$W148,IF(AND($S148&lt;&gt;"",EDATE($D148,Milestones!$AA$122)&gt;=$S148),$V148,IF(AND($R148&lt;&gt;"",EDATE($D148,Milestones!$AA$122)&gt;=$R148),$U148,$T148)))=Milestones!$AB$122),TEXT(EDATE($D148,Milestones!$AA$122),"dd/mm/yy")&amp;" "&amp;Milestones!$AB$122&amp;" "&amp;Milestones!$AC$122&amp;";  ","")&amp;IF(AND(EDATE($D148,Milestones!$AA$123)&lt;=AsOfDate,IF($Q148=0,$W148,IF(AND($S148&lt;&gt;"",EDATE($D148,Milestones!$AA$123)&gt;=$S148),$V148,IF(AND($R148&lt;&gt;"",EDATE($D148,Milestones!$AA$123)&gt;=$R148),$U148,$T148)))=Milestones!$AB$123),TEXT(EDATE($D148,Milestones!$AA$123),"dd/mm/yy")&amp;" "&amp;Milestones!$AB$123&amp;" "&amp;Milestones!$AC$123&amp;";  ","")&amp;IF(AND(EDATE($D148,Milestones!$AA$124)&lt;=AsOfDate,IF($Q148=0,$W148,IF(AND($S148&lt;&gt;"",EDATE($D148,Milestones!$AA$124)&gt;=$S148),$V148,IF(AND($R148&lt;&gt;"",EDATE($D148,Milestones!$AA$124)&gt;=$R148),$U148,$T148)))=Milestones!$AB$124),TEXT(EDATE($D148,Milestones!$AA$124),"dd/mm/yy")&amp;" "&amp;Milestones!$AB$124&amp;" "&amp;Milestones!$AC$124&amp;";  ","")&amp;IF(AND(EDATE($D148,Milestones!$AA$125)&lt;=AsOfDate,IF($Q148=0,$W148,IF(AND($S148&lt;&gt;"",EDATE($D148,Milestones!$AA$125)&gt;=$S148),$V148,IF(AND($R148&lt;&gt;"",EDATE($D148,Milestones!$AA$125)&gt;=$R148),$U148,$T148)))=Milestones!$AB$125),TEXT(EDATE($D148,Milestones!$AA$125),"dd/mm/yy")&amp;" "&amp;Milestones!$AB$125&amp;" "&amp;Milestones!$AC$125&amp;";  ","")&amp;IF(AND(EDATE($D148,Milestones!$AA$126)&lt;=AsOfDate,IF($Q148=0,$W148,IF(AND($S148&lt;&gt;"",EDATE($D148,Milestones!$AA$126)&gt;=$S148),$V148,IF(AND($R148&lt;&gt;"",EDATE($D148,Milestones!$AA$126)&gt;=$R148),$U148,$T148)))=Milestones!$AB$126),TEXT(EDATE($D148,Milestones!$AA$126),"dd/mm/yy")&amp;" "&amp;Milestones!$AB$126&amp;" "&amp;Milestones!$AC$126&amp;";  ","")&amp;IF(AND(EDATE($D148,Milestones!$AA$127)&lt;=AsOfDate,IF($Q148=0,$W148,IF(AND($S148&lt;&gt;"",EDATE($D148,Milestones!$AA$127)&gt;=$S148),$V148,IF(AND($R148&lt;&gt;"",EDATE($D148,Milestones!$AA$127)&gt;=$R148),$U148,$T148)))=Milestones!$AB$127),TEXT(EDATE($D148,Milestones!$AA$127),"dd/mm/yy")&amp;" "&amp;Milestones!$AB$127&amp;" "&amp;Milestones!$AC$127&amp;";  ","")&amp;IF(AND(EDATE($D148,Milestones!$AA$128)&lt;=AsOfDate,IF($Q148=0,$W148,IF(AND($S148&lt;&gt;"",EDATE($D148,Milestones!$AA$128)&gt;=$S148),$V148,IF(AND($R148&lt;&gt;"",EDATE($D148,Milestones!$AA$128)&gt;=$R148),$U148,$T148)))=Milestones!$AB$128),TEXT(EDATE($D148,Milestones!$AA$128),"dd/mm/yy")&amp;" "&amp;Milestones!$AB$128&amp;" "&amp;Milestones!$AC$128&amp;";  ","")&amp;IF(AND(EDATE($D148,Milestones!$AA$129)&lt;=AsOfDate,IF($Q148=0,$W148,IF(AND($S148&lt;&gt;"",EDATE($D148,Milestones!$AA$129)&gt;=$S148),$V148,IF(AND($R148&lt;&gt;"",EDATE($D148,Milestones!$AA$129)&gt;=$R148),$U148,$T148)))=Milestones!$AB$129),TEXT(EDATE($D148,Milestones!$AA$129),"dd/mm/yy")&amp;" "&amp;Milestones!$AB$129&amp;" "&amp;Milestones!$AC$129&amp;";  ","")&amp;IF(AND(EDATE($D148,Milestones!$AA$130)&lt;=AsOfDate,IF($Q148=0,$W148,IF(AND($S148&lt;&gt;"",EDATE($D148,Milestones!$AA$130)&gt;=$S148),$V148,IF(AND($R148&lt;&gt;"",EDATE($D148,Milestones!$AA$130)&gt;=$R148),$U148,$T148)))=Milestones!$AB$130),TEXT(EDATE($D148,Milestones!$AA$130),"dd/mm/yy")&amp;" "&amp;Milestones!$AB$130&amp;" "&amp;Milestones!$AC$130&amp;";  ","")&amp;IF(AND(EDATE($D148,Milestones!$AA$131)&lt;=AsOfDate,IF($Q148=0,$W148,IF(AND($S148&lt;&gt;"",EDATE($D148,Milestones!$AA$131)&gt;=$S148),$V148,IF(AND($R148&lt;&gt;"",EDATE($D148,Milestones!$AA$131)&gt;=$R148),$U148,$T148)))=Milestones!$AB$131),TEXT(EDATE($D148,Milestones!$AA$131),"dd/mm/yy")&amp;" "&amp;Milestones!$AB$131&amp;" "&amp;Milestones!$AC$131&amp;";  ","")&amp;IF(AND(EDATE($D148,Milestones!$AA$132)&lt;=AsOfDate,IF($Q148=0,$W148,IF(AND($S148&lt;&gt;"",EDATE($D148,Milestones!$AA$132)&gt;=$S148),$V148,IF(AND($R148&lt;&gt;"",EDATE($D148,Milestones!$AA$132)&gt;=$R148),$U148,$T148)))=Milestones!$AB$132),TEXT(EDATE($D148,Milestones!$AA$132),"dd/mm/yy")&amp;" "&amp;Milestones!$AB$132&amp;" "&amp;Milestones!$AC$132&amp;";  ","")&amp;IF(AND(EDATE($D148,Milestones!$AA$133)&lt;=AsOfDate,IF($Q148=0,$W148,IF(AND($S148&lt;&gt;"",EDATE($D148,Milestones!$AA$133)&gt;=$S148),$V148,IF(AND($R148&lt;&gt;"",EDATE($D148,Milestones!$AA$133)&gt;=$R148),$U148,$T148)))=Milestones!$AB$133),TEXT(EDATE($D148,Milestones!$AA$133),"dd/mm/yy")&amp;" "&amp;Milestones!$AB$133&amp;" "&amp;Milestones!$AC$133&amp;";  ","")&amp;IF(AND(EDATE($D148,Milestones!$AA$134)&lt;=AsOfDate,IF($Q148=0,$W148,IF(AND($S148&lt;&gt;"",EDATE($D148,Milestones!$AA$134)&gt;=$S148),$V148,IF(AND($R148&lt;&gt;"",EDATE($D148,Milestones!$AA$134)&gt;=$R148),$U148,$T148)))=Milestones!$AB$134),TEXT(EDATE($D148,Milestones!$AA$134),"dd/mm/yy")&amp;" "&amp;Milestones!$AB$134&amp;" "&amp;Milestones!$AC$134&amp;";  ","")&amp;IF(AND(EDATE($D148,Milestones!$AA$135)&lt;=AsOfDate,IF($Q148=0,$W148,IF(AND($S148&lt;&gt;"",EDATE($D148,Milestones!$AA$135)&gt;=$S148),$V148,IF(AND($R148&lt;&gt;"",EDATE($D148,Milestones!$AA$135)&gt;=$R148),$U148,$T148)))=Milestones!$AB$135),TEXT(EDATE($D148,Milestones!$AA$135),"dd/mm/yy")&amp;" "&amp;Milestones!$AB$135&amp;" "&amp;Milestones!$AC$135&amp;";  ","")&amp;IF(AND(EDATE($D148,Milestones!$AA$136)&lt;=AsOfDate,IF($Q148=0,$W148,IF(AND($S148&lt;&gt;"",EDATE($D148,Milestones!$AA$136)&gt;=$S148),$V148,IF(AND($R148&lt;&gt;"",EDATE($D148,Milestones!$AA$136)&gt;=$R148),$U148,$T148)))=Milestones!$AB$136),TEXT(EDATE($D148,Milestones!$AA$136),"dd/mm/yy")&amp;" "&amp;Milestones!$AB$136&amp;" "&amp;Milestones!$AC$136&amp;";  ","")&amp;IF(AND(EDATE($D148,Milestones!$AA$137)&lt;=AsOfDate,IF($Q148=0,$W148,IF(AND($S148&lt;&gt;"",EDATE($D148,Milestones!$AA$137)&gt;=$S148),$V148,IF(AND($R148&lt;&gt;"",EDATE($D148,Milestones!$AA$137)&gt;=$R148),$U148,$T148)))=Milestones!$AB$137),TEXT(EDATE($D148,Milestones!$AA$137),"dd/mm/yy")&amp;" "&amp;Milestones!$AB$137&amp;" "&amp;Milestones!$AC$137&amp;";  ","")&amp;IF(AND(EDATE($D148,Milestones!$AA$138)&lt;=AsOfDate,IF($Q148=0,$W148,IF(AND($S148&lt;&gt;"",EDATE($D148,Milestones!$AA$138)&gt;=$S148),$V148,IF(AND($R148&lt;&gt;"",EDATE($D148,Milestones!$AA$138)&gt;=$R148),$U148,$T148)))=Milestones!$AB$138),TEXT(EDATE($D148,Milestones!$AA$138),"dd/mm/yy")&amp;" "&amp;Milestones!$AB$138&amp;" "&amp;Milestones!$AC$138&amp;";  ","")&amp;IF(AND(EDATE($D148,Milestones!$AA$139)&lt;=AsOfDate,IF($Q148=0,$W148,IF(AND($S148&lt;&gt;"",EDATE($D148,Milestones!$AA$139)&gt;=$S148),$V148,IF(AND($R148&lt;&gt;"",EDATE($D148,Milestones!$AA$139)&gt;=$R148),$U148,$T148)))=Milestones!$AB$139),TEXT(EDATE($D148,Milestones!$AA$139),"dd/mm/yy")&amp;" "&amp;Milestones!$AB$139&amp;" "&amp;Milestones!$AC$139&amp;";  ",""))</f>
        <v/>
      </c>
      <c r="N148" s="0" t="str">
        <f aca="false">IF(OR($A148="",$D148=""),"",IF(AND(EDATE($D148,Milestones!$AA$140)&lt;=AsOfDate,IF($Q148=0,$W148,IF(AND($S148&lt;&gt;"",EDATE($D148,Milestones!$AA$140)&gt;=$S148),$V148,IF(AND($R148&lt;&gt;"",EDATE($D148,Milestones!$AA$140)&gt;=$R148),$U148,$T148)))=Milestones!$AB$140),TEXT(EDATE($D148,Milestones!$AA$140),"dd/mm/yy")&amp;" "&amp;Milestones!$AB$140&amp;" "&amp;Milestones!$AC$140&amp;";  ","")&amp;IF(AND(EDATE($D148,Milestones!$AA$141)&lt;=AsOfDate,IF($Q148=0,$W148,IF(AND($S148&lt;&gt;"",EDATE($D148,Milestones!$AA$141)&gt;=$S148),$V148,IF(AND($R148&lt;&gt;"",EDATE($D148,Milestones!$AA$141)&gt;=$R148),$U148,$T148)))=Milestones!$AB$141),TEXT(EDATE($D148,Milestones!$AA$141),"dd/mm/yy")&amp;" "&amp;Milestones!$AB$141&amp;" "&amp;Milestones!$AC$141&amp;";  ","")&amp;IF(AND(EDATE($D148,Milestones!$AA$142)&lt;=AsOfDate,IF($Q148=0,$W148,IF(AND($S148&lt;&gt;"",EDATE($D148,Milestones!$AA$142)&gt;=$S148),$V148,IF(AND($R148&lt;&gt;"",EDATE($D148,Milestones!$AA$142)&gt;=$R148),$U148,$T148)))=Milestones!$AB$142),TEXT(EDATE($D148,Milestones!$AA$142),"dd/mm/yy")&amp;" "&amp;Milestones!$AB$142&amp;" "&amp;Milestones!$AC$142&amp;";  ","")&amp;IF(AND(EDATE($D148,Milestones!$AA$143)&lt;=AsOfDate,IF($Q148=0,$W148,IF(AND($S148&lt;&gt;"",EDATE($D148,Milestones!$AA$143)&gt;=$S148),$V148,IF(AND($R148&lt;&gt;"",EDATE($D148,Milestones!$AA$143)&gt;=$R148),$U148,$T148)))=Milestones!$AB$143),TEXT(EDATE($D148,Milestones!$AA$143),"dd/mm/yy")&amp;" "&amp;Milestones!$AB$143&amp;" "&amp;Milestones!$AC$143&amp;";  ","")&amp;IF(AND(EDATE($D148,Milestones!$AA$144)&lt;=AsOfDate,IF($Q148=0,$W148,IF(AND($S148&lt;&gt;"",EDATE($D148,Milestones!$AA$144)&gt;=$S148),$V148,IF(AND($R148&lt;&gt;"",EDATE($D148,Milestones!$AA$144)&gt;=$R148),$U148,$T148)))=Milestones!$AB$144),TEXT(EDATE($D148,Milestones!$AA$144),"dd/mm/yy")&amp;" "&amp;Milestones!$AB$144&amp;" "&amp;Milestones!$AC$144&amp;";  ","")&amp;IF(AND(EDATE($D148,Milestones!$AA$145)&lt;=AsOfDate,IF($Q148=0,$W148,IF(AND($S148&lt;&gt;"",EDATE($D148,Milestones!$AA$145)&gt;=$S148),$V148,IF(AND($R148&lt;&gt;"",EDATE($D148,Milestones!$AA$145)&gt;=$R148),$U148,$T148)))=Milestones!$AB$145),TEXT(EDATE($D148,Milestones!$AA$145),"dd/mm/yy")&amp;" "&amp;Milestones!$AB$145&amp;" "&amp;Milestones!$AC$145&amp;";  ","")&amp;IF(AND(EDATE($D148,Milestones!$AA$146)&lt;=AsOfDate,IF($Q148=0,$W148,IF(AND($S148&lt;&gt;"",EDATE($D148,Milestones!$AA$146)&gt;=$S148),$V148,IF(AND($R148&lt;&gt;"",EDATE($D148,Milestones!$AA$146)&gt;=$R148),$U148,$T148)))=Milestones!$AB$146),TEXT(EDATE($D148,Milestones!$AA$146),"dd/mm/yy")&amp;" "&amp;Milestones!$AB$146&amp;" "&amp;Milestones!$AC$146&amp;";  ","")&amp;IF(AND(EDATE($D148,Milestones!$AA$147)&lt;=AsOfDate,IF($Q148=0,$W148,IF(AND($S148&lt;&gt;"",EDATE($D148,Milestones!$AA$147)&gt;=$S148),$V148,IF(AND($R148&lt;&gt;"",EDATE($D148,Milestones!$AA$147)&gt;=$R148),$U148,$T148)))=Milestones!$AB$147),TEXT(EDATE($D148,Milestones!$AA$147),"dd/mm/yy")&amp;" "&amp;Milestones!$AB$147&amp;" "&amp;Milestones!$AC$147&amp;";  ","")&amp;IF(AND(EDATE($D148,Milestones!$AA$148)&lt;=AsOfDate,IF($Q148=0,$W148,IF(AND($S148&lt;&gt;"",EDATE($D148,Milestones!$AA$148)&gt;=$S148),$V148,IF(AND($R148&lt;&gt;"",EDATE($D148,Milestones!$AA$148)&gt;=$R148),$U148,$T148)))=Milestones!$AB$148),TEXT(EDATE($D148,Milestones!$AA$148),"dd/mm/yy")&amp;" "&amp;Milestones!$AB$148&amp;" "&amp;Milestones!$AC$148&amp;";  ","")&amp;IF(AND(EDATE($D148,Milestones!$AA$149)&lt;=AsOfDate,IF($Q148=0,$W148,IF(AND($S148&lt;&gt;"",EDATE($D148,Milestones!$AA$149)&gt;=$S148),$V148,IF(AND($R148&lt;&gt;"",EDATE($D148,Milestones!$AA$149)&gt;=$R148),$U148,$T148)))=Milestones!$AB$149),TEXT(EDATE($D148,Milestones!$AA$149),"dd/mm/yy")&amp;" "&amp;Milestones!$AB$149&amp;" "&amp;Milestones!$AC$149&amp;";  ","")&amp;IF(AND(EDATE($D148,Milestones!$AA$150)&lt;=AsOfDate,IF($Q148=0,$W148,IF(AND($S148&lt;&gt;"",EDATE($D148,Milestones!$AA$150)&gt;=$S148),$V148,IF(AND($R148&lt;&gt;"",EDATE($D148,Milestones!$AA$150)&gt;=$R148),$U148,$T148)))=Milestones!$AB$150),TEXT(EDATE($D148,Milestones!$AA$150),"dd/mm/yy")&amp;" "&amp;Milestones!$AB$150&amp;" "&amp;Milestones!$AC$150&amp;";  ","")&amp;IF(AND(EDATE($D148,Milestones!$AA$151)&lt;=AsOfDate,IF($Q148=0,$W148,IF(AND($S148&lt;&gt;"",EDATE($D148,Milestones!$AA$151)&gt;=$S148),$V148,IF(AND($R148&lt;&gt;"",EDATE($D148,Milestones!$AA$151)&gt;=$R148),$U148,$T148)))=Milestones!$AB$151),TEXT(EDATE($D148,Milestones!$AA$151),"dd/mm/yy")&amp;" "&amp;Milestones!$AB$151&amp;" "&amp;Milestones!$AC$151&amp;";  ","")&amp;IF(AND(EDATE($D148,Milestones!$AA$152)&lt;=AsOfDate,IF($Q148=0,$W148,IF(AND($S148&lt;&gt;"",EDATE($D148,Milestones!$AA$152)&gt;=$S148),$V148,IF(AND($R148&lt;&gt;"",EDATE($D148,Milestones!$AA$152)&gt;=$R148),$U148,$T148)))=Milestones!$AB$152),TEXT(EDATE($D148,Milestones!$AA$152),"dd/mm/yy")&amp;" "&amp;Milestones!$AB$152&amp;" "&amp;Milestones!$AC$152&amp;";  ","")&amp;IF(AND(EDATE($D148,Milestones!$AA$153)&lt;=AsOfDate,IF($Q148=0,$W148,IF(AND($S148&lt;&gt;"",EDATE($D148,Milestones!$AA$153)&gt;=$S148),$V148,IF(AND($R148&lt;&gt;"",EDATE($D148,Milestones!$AA$153)&gt;=$R148),$U148,$T148)))=Milestones!$AB$153),TEXT(EDATE($D148,Milestones!$AA$153),"dd/mm/yy")&amp;" "&amp;Milestones!$AB$153&amp;" "&amp;Milestones!$AC$153&amp;";  ","")&amp;IF(AND(EDATE($D148,Milestones!$AA$154)&lt;=AsOfDate,IF($Q148=0,$W148,IF(AND($S148&lt;&gt;"",EDATE($D148,Milestones!$AA$154)&gt;=$S148),$V148,IF(AND($R148&lt;&gt;"",EDATE($D148,Milestones!$AA$154)&gt;=$R148),$U148,$T148)))=Milestones!$AB$154),TEXT(EDATE($D148,Milestones!$AA$154),"dd/mm/yy")&amp;" "&amp;Milestones!$AB$154&amp;" "&amp;Milestones!$AC$154&amp;";  ","")&amp;IF(AND(EDATE($D148,Milestones!$AA$155)&lt;=AsOfDate,IF($Q148=0,$W148,IF(AND($S148&lt;&gt;"",EDATE($D148,Milestones!$AA$155)&gt;=$S148),$V148,IF(AND($R148&lt;&gt;"",EDATE($D148,Milestones!$AA$155)&gt;=$R148),$U148,$T148)))=Milestones!$AB$155),TEXT(EDATE($D148,Milestones!$AA$155),"dd/mm/yy")&amp;" "&amp;Milestones!$AB$155&amp;" "&amp;Milestones!$AC$155&amp;";  ","")&amp;IF(AND(EDATE($D148,Milestones!$AA$156)&lt;=AsOfDate,IF($Q148=0,$W148,IF(AND($S148&lt;&gt;"",EDATE($D148,Milestones!$AA$156)&gt;=$S148),$V148,IF(AND($R148&lt;&gt;"",EDATE($D148,Milestones!$AA$156)&gt;=$R148),$U148,$T148)))=Milestones!$AB$156),TEXT(EDATE($D148,Milestones!$AA$156),"dd/mm/yy")&amp;" "&amp;Milestones!$AB$156&amp;" "&amp;Milestones!$AC$156&amp;";  ","")&amp;IF(AND(EDATE($D148,Milestones!$AA$157)&lt;=AsOfDate,IF($Q148=0,$W148,IF(AND($S148&lt;&gt;"",EDATE($D148,Milestones!$AA$157)&gt;=$S148),$V148,IF(AND($R148&lt;&gt;"",EDATE($D148,Milestones!$AA$157)&gt;=$R148),$U148,$T148)))=Milestones!$AB$157),TEXT(EDATE($D148,Milestones!$AA$157),"dd/mm/yy")&amp;" "&amp;Milestones!$AB$157&amp;" "&amp;Milestones!$AC$157&amp;";  ","")&amp;IF(AND(EDATE($D148,Milestones!$AA$158)&lt;=AsOfDate,IF($Q148=0,$W148,IF(AND($S148&lt;&gt;"",EDATE($D148,Milestones!$AA$158)&gt;=$S148),$V148,IF(AND($R148&lt;&gt;"",EDATE($D148,Milestones!$AA$158)&gt;=$R148),$U148,$T148)))=Milestones!$AB$158),TEXT(EDATE($D148,Milestones!$AA$158),"dd/mm/yy")&amp;" "&amp;Milestones!$AB$158&amp;" "&amp;Milestones!$AC$158&amp;";  ","")&amp;IF(AND(EDATE($D148,Milestones!$AA$159)&lt;=AsOfDate,IF($Q148=0,$W148,IF(AND($S148&lt;&gt;"",EDATE($D148,Milestones!$AA$159)&gt;=$S148),$V148,IF(AND($R148&lt;&gt;"",EDATE($D148,Milestones!$AA$159)&gt;=$R148),$U148,$T148)))=Milestones!$AB$159),TEXT(EDATE($D148,Milestones!$AA$159),"dd/mm/yy")&amp;" "&amp;Milestones!$AB$159&amp;" "&amp;Milestones!$AC$159&amp;";  ",""))</f>
        <v/>
      </c>
      <c r="O148" s="0" t="str">
        <f aca="false">IF(OR($A148="",$D148=""),"",IF(AND(EDATE($D148,Milestones!$AA$160)&lt;=AsOfDate,IF($Q148=0,$W148,IF(AND($S148&lt;&gt;"",EDATE($D148,Milestones!$AA$160)&gt;=$S148),$V148,IF(AND($R148&lt;&gt;"",EDATE($D148,Milestones!$AA$160)&gt;=$R148),$U148,$T148)))=Milestones!$AB$160),TEXT(EDATE($D148,Milestones!$AA$160),"dd/mm/yy")&amp;" "&amp;Milestones!$AB$160&amp;" "&amp;Milestones!$AC$160&amp;";  ","")&amp;IF(AND(EDATE($D148,Milestones!$AA$161)&lt;=AsOfDate,IF($Q148=0,$W148,IF(AND($S148&lt;&gt;"",EDATE($D148,Milestones!$AA$161)&gt;=$S148),$V148,IF(AND($R148&lt;&gt;"",EDATE($D148,Milestones!$AA$161)&gt;=$R148),$U148,$T148)))=Milestones!$AB$161),TEXT(EDATE($D148,Milestones!$AA$161),"dd/mm/yy")&amp;" "&amp;Milestones!$AB$161&amp;" "&amp;Milestones!$AC$161&amp;";  ","")&amp;IF(AND(EDATE($D148,Milestones!$AA$162)&lt;=AsOfDate,IF($Q148=0,$W148,IF(AND($S148&lt;&gt;"",EDATE($D148,Milestones!$AA$162)&gt;=$S148),$V148,IF(AND($R148&lt;&gt;"",EDATE($D148,Milestones!$AA$162)&gt;=$R148),$U148,$T148)))=Milestones!$AB$162),TEXT(EDATE($D148,Milestones!$AA$162),"dd/mm/yy")&amp;" "&amp;Milestones!$AB$162&amp;" "&amp;Milestones!$AC$162&amp;";  ","")&amp;IF(AND(EDATE($D148,Milestones!$AA$163)&lt;=AsOfDate,IF($Q148=0,$W148,IF(AND($S148&lt;&gt;"",EDATE($D148,Milestones!$AA$163)&gt;=$S148),$V148,IF(AND($R148&lt;&gt;"",EDATE($D148,Milestones!$AA$163)&gt;=$R148),$U148,$T148)))=Milestones!$AB$163),TEXT(EDATE($D148,Milestones!$AA$163),"dd/mm/yy")&amp;" "&amp;Milestones!$AB$163&amp;" "&amp;Milestones!$AC$163&amp;";  ","")&amp;IF(AND(EDATE($D148,Milestones!$AA$164)&lt;=AsOfDate,IF($Q148=0,$W148,IF(AND($S148&lt;&gt;"",EDATE($D148,Milestones!$AA$164)&gt;=$S148),$V148,IF(AND($R148&lt;&gt;"",EDATE($D148,Milestones!$AA$164)&gt;=$R148),$U148,$T148)))=Milestones!$AB$164),TEXT(EDATE($D148,Milestones!$AA$164),"dd/mm/yy")&amp;" "&amp;Milestones!$AB$164&amp;" "&amp;Milestones!$AC$164&amp;";  ","")&amp;IF(AND(EDATE($D148,Milestones!$AA$165)&lt;=AsOfDate,IF($Q148=0,$W148,IF(AND($S148&lt;&gt;"",EDATE($D148,Milestones!$AA$165)&gt;=$S148),$V148,IF(AND($R148&lt;&gt;"",EDATE($D148,Milestones!$AA$165)&gt;=$R148),$U148,$T148)))=Milestones!$AB$165),TEXT(EDATE($D148,Milestones!$AA$165),"dd/mm/yy")&amp;" "&amp;Milestones!$AB$165&amp;" "&amp;Milestones!$AC$165&amp;";  ","")&amp;IF(AND(EDATE($D148,Milestones!$AA$166)&lt;=AsOfDate,IF($Q148=0,$W148,IF(AND($S148&lt;&gt;"",EDATE($D148,Milestones!$AA$166)&gt;=$S148),$V148,IF(AND($R148&lt;&gt;"",EDATE($D148,Milestones!$AA$166)&gt;=$R148),$U148,$T148)))=Milestones!$AB$166),TEXT(EDATE($D148,Milestones!$AA$166),"dd/mm/yy")&amp;" "&amp;Milestones!$AB$166&amp;" "&amp;Milestones!$AC$166&amp;";  ","")&amp;IF(AND(EDATE($D148,Milestones!$AA$167)&lt;=AsOfDate,IF($Q148=0,$W148,IF(AND($S148&lt;&gt;"",EDATE($D148,Milestones!$AA$167)&gt;=$S148),$V148,IF(AND($R148&lt;&gt;"",EDATE($D148,Milestones!$AA$167)&gt;=$R148),$U148,$T148)))=Milestones!$AB$167),TEXT(EDATE($D148,Milestones!$AA$167),"dd/mm/yy")&amp;" "&amp;Milestones!$AB$167&amp;" "&amp;Milestones!$AC$167&amp;";  ","")&amp;IF(AND(EDATE($D148,Milestones!$AA$168)&lt;=AsOfDate,IF($Q148=0,$W148,IF(AND($S148&lt;&gt;"",EDATE($D148,Milestones!$AA$168)&gt;=$S148),$V148,IF(AND($R148&lt;&gt;"",EDATE($D148,Milestones!$AA$168)&gt;=$R148),$U148,$T148)))=Milestones!$AB$168),TEXT(EDATE($D148,Milestones!$AA$168),"dd/mm/yy")&amp;" "&amp;Milestones!$AB$168&amp;" "&amp;Milestones!$AC$168&amp;";  ","")&amp;IF(AND(EDATE($D148,Milestones!$AA$169)&lt;=AsOfDate,IF($Q148=0,$W148,IF(AND($S148&lt;&gt;"",EDATE($D148,Milestones!$AA$169)&gt;=$S148),$V148,IF(AND($R148&lt;&gt;"",EDATE($D148,Milestones!$AA$169)&gt;=$R148),$U148,$T148)))=Milestones!$AB$169),TEXT(EDATE($D148,Milestones!$AA$169),"dd/mm/yy")&amp;" "&amp;Milestones!$AB$169&amp;" "&amp;Milestones!$AC$169&amp;";  ","")&amp;IF(AND(EDATE($D148,Milestones!$AA$170)&lt;=AsOfDate,IF($Q148=0,$W148,IF(AND($S148&lt;&gt;"",EDATE($D148,Milestones!$AA$170)&gt;=$S148),$V148,IF(AND($R148&lt;&gt;"",EDATE($D148,Milestones!$AA$170)&gt;=$R148),$U148,$T148)))=Milestones!$AB$170),TEXT(EDATE($D148,Milestones!$AA$170),"dd/mm/yy")&amp;" "&amp;Milestones!$AB$170&amp;" "&amp;Milestones!$AC$170&amp;";  ","")&amp;IF(AND(EDATE($D148,Milestones!$AA$171)&lt;=AsOfDate,IF($Q148=0,$W148,IF(AND($S148&lt;&gt;"",EDATE($D148,Milestones!$AA$171)&gt;=$S148),$V148,IF(AND($R148&lt;&gt;"",EDATE($D148,Milestones!$AA$171)&gt;=$R148),$U148,$T148)))=Milestones!$AB$171),TEXT(EDATE($D148,Milestones!$AA$171),"dd/mm/yy")&amp;" "&amp;Milestones!$AB$171&amp;" "&amp;Milestones!$AC$171&amp;";  ","")&amp;IF(AND(EDATE($D148,Milestones!$AA$172)&lt;=AsOfDate,IF($Q148=0,$W148,IF(AND($S148&lt;&gt;"",EDATE($D148,Milestones!$AA$172)&gt;=$S148),$V148,IF(AND($R148&lt;&gt;"",EDATE($D148,Milestones!$AA$172)&gt;=$R148),$U148,$T148)))=Milestones!$AB$172),TEXT(EDATE($D148,Milestones!$AA$172),"dd/mm/yy")&amp;" "&amp;Milestones!$AB$172&amp;" "&amp;Milestones!$AC$172&amp;";  ","")&amp;IF(AND(EDATE($D148,Milestones!$AA$173)&lt;=AsOfDate,IF($Q148=0,$W148,IF(AND($S148&lt;&gt;"",EDATE($D148,Milestones!$AA$173)&gt;=$S148),$V148,IF(AND($R148&lt;&gt;"",EDATE($D148,Milestones!$AA$173)&gt;=$R148),$U148,$T148)))=Milestones!$AB$173),TEXT(EDATE($D148,Milestones!$AA$173),"dd/mm/yy")&amp;" "&amp;Milestones!$AB$173&amp;" "&amp;Milestones!$AC$173&amp;";  ","")&amp;IF(AND(EDATE($D148,Milestones!$AA$174)&lt;=AsOfDate,IF($Q148=0,$W148,IF(AND($S148&lt;&gt;"",EDATE($D148,Milestones!$AA$174)&gt;=$S148),$V148,IF(AND($R148&lt;&gt;"",EDATE($D148,Milestones!$AA$174)&gt;=$R148),$U148,$T148)))=Milestones!$AB$174),TEXT(EDATE($D148,Milestones!$AA$174),"dd/mm/yy")&amp;" "&amp;Milestones!$AB$174&amp;" "&amp;Milestones!$AC$174&amp;";  ","")&amp;IF(AND(EDATE($D148,Milestones!$AA$175)&lt;=AsOfDate,IF($Q148=0,$W148,IF(AND($S148&lt;&gt;"",EDATE($D148,Milestones!$AA$175)&gt;=$S148),$V148,IF(AND($R148&lt;&gt;"",EDATE($D148,Milestones!$AA$175)&gt;=$R148),$U148,$T148)))=Milestones!$AB$175),TEXT(EDATE($D148,Milestones!$AA$175),"dd/mm/yy")&amp;" "&amp;Milestones!$AB$175&amp;" "&amp;Milestones!$AC$175&amp;";  ","")&amp;IF(AND(EDATE($D148,Milestones!$AA$176)&lt;=AsOfDate,IF($Q148=0,$W148,IF(AND($S148&lt;&gt;"",EDATE($D148,Milestones!$AA$176)&gt;=$S148),$V148,IF(AND($R148&lt;&gt;"",EDATE($D148,Milestones!$AA$176)&gt;=$R148),$U148,$T148)))=Milestones!$AB$176),TEXT(EDATE($D148,Milestones!$AA$176),"dd/mm/yy")&amp;" "&amp;Milestones!$AB$176&amp;" "&amp;Milestones!$AC$176&amp;";  ","")&amp;IF(AND(EDATE($D148,Milestones!$AA$177)&lt;=AsOfDate,IF($Q148=0,$W148,IF(AND($S148&lt;&gt;"",EDATE($D148,Milestones!$AA$177)&gt;=$S148),$V148,IF(AND($R148&lt;&gt;"",EDATE($D148,Milestones!$AA$177)&gt;=$R148),$U148,$T148)))=Milestones!$AB$177),TEXT(EDATE($D148,Milestones!$AA$177),"dd/mm/yy")&amp;" "&amp;Milestones!$AB$177&amp;" "&amp;Milestones!$AC$177&amp;";  ","")&amp;IF(AND(EDATE($D148,Milestones!$AA$178)&lt;=AsOfDate,IF($Q148=0,$W148,IF(AND($S148&lt;&gt;"",EDATE($D148,Milestones!$AA$178)&gt;=$S148),$V148,IF(AND($R148&lt;&gt;"",EDATE($D148,Milestones!$AA$178)&gt;=$R148),$U148,$T148)))=Milestones!$AB$178),TEXT(EDATE($D148,Milestones!$AA$178),"dd/mm/yy")&amp;" "&amp;Milestones!$AB$178&amp;" "&amp;Milestones!$AC$178&amp;";  ","")&amp;IF(AND(EDATE($D148,Milestones!$AA$179)&lt;=AsOfDate,IF($Q148=0,$W148,IF(AND($S148&lt;&gt;"",EDATE($D148,Milestones!$AA$179)&gt;=$S148),$V148,IF(AND($R148&lt;&gt;"",EDATE($D148,Milestones!$AA$179)&gt;=$R148),$U148,$T148)))=Milestones!$AB$179),TEXT(EDATE($D148,Milestones!$AA$179),"dd/mm/yy")&amp;" "&amp;Milestones!$AB$179&amp;" "&amp;Milestones!$AC$179&amp;";  ",""))</f>
        <v/>
      </c>
      <c r="P148" s="0" t="str">
        <f aca="false">IF(OR($A148="",$D148=""),"",IF(AND(EDATE($D148,Milestones!$AA$180)&lt;=AsOfDate,IF($Q148=0,$W148,IF(AND($S148&lt;&gt;"",EDATE($D148,Milestones!$AA$180)&gt;=$S148),$V148,IF(AND($R148&lt;&gt;"",EDATE($D148,Milestones!$AA$180)&gt;=$R148),$U148,$T148)))=Milestones!$AB$180),TEXT(EDATE($D148,Milestones!$AA$180),"dd/mm/yy")&amp;" "&amp;Milestones!$AB$180&amp;" "&amp;Milestones!$AC$180&amp;";  ","")&amp;IF(AND(EDATE($D148,Milestones!$AA$181)&lt;=AsOfDate,IF($Q148=0,$W148,IF(AND($S148&lt;&gt;"",EDATE($D148,Milestones!$AA$181)&gt;=$S148),$V148,IF(AND($R148&lt;&gt;"",EDATE($D148,Milestones!$AA$181)&gt;=$R148),$U148,$T148)))=Milestones!$AB$181),TEXT(EDATE($D148,Milestones!$AA$181),"dd/mm/yy")&amp;" "&amp;Milestones!$AB$181&amp;" "&amp;Milestones!$AC$181&amp;";  ","")&amp;IF(AND(EDATE($D148,Milestones!$AA$182)&lt;=AsOfDate,IF($Q148=0,$W148,IF(AND($S148&lt;&gt;"",EDATE($D148,Milestones!$AA$182)&gt;=$S148),$V148,IF(AND($R148&lt;&gt;"",EDATE($D148,Milestones!$AA$182)&gt;=$R148),$U148,$T148)))=Milestones!$AB$182),TEXT(EDATE($D148,Milestones!$AA$182),"dd/mm/yy")&amp;" "&amp;Milestones!$AB$182&amp;" "&amp;Milestones!$AC$182&amp;";  ","")&amp;IF(AND(EDATE($D148,Milestones!$AA$183)&lt;=AsOfDate,IF($Q148=0,$W148,IF(AND($S148&lt;&gt;"",EDATE($D148,Milestones!$AA$183)&gt;=$S148),$V148,IF(AND($R148&lt;&gt;"",EDATE($D148,Milestones!$AA$183)&gt;=$R148),$U148,$T148)))=Milestones!$AB$183),TEXT(EDATE($D148,Milestones!$AA$183),"dd/mm/yy")&amp;" "&amp;Milestones!$AB$183&amp;" "&amp;Milestones!$AC$183&amp;";  ","")&amp;IF(AND(EDATE($D148,Milestones!$AA$184)&lt;=AsOfDate,IF($Q148=0,$W148,IF(AND($S148&lt;&gt;"",EDATE($D148,Milestones!$AA$184)&gt;=$S148),$V148,IF(AND($R148&lt;&gt;"",EDATE($D148,Milestones!$AA$184)&gt;=$R148),$U148,$T148)))=Milestones!$AB$184),TEXT(EDATE($D148,Milestones!$AA$184),"dd/mm/yy")&amp;" "&amp;Milestones!$AB$184&amp;" "&amp;Milestones!$AC$184&amp;";  ","")&amp;IF(AND(EDATE($D148,Milestones!$AA$185)&lt;=AsOfDate,IF($Q148=0,$W148,IF(AND($S148&lt;&gt;"",EDATE($D148,Milestones!$AA$185)&gt;=$S148),$V148,IF(AND($R148&lt;&gt;"",EDATE($D148,Milestones!$AA$185)&gt;=$R148),$U148,$T148)))=Milestones!$AB$185),TEXT(EDATE($D148,Milestones!$AA$185),"dd/mm/yy")&amp;" "&amp;Milestones!$AB$185&amp;" "&amp;Milestones!$AC$185&amp;";  ","")&amp;IF(AND(EDATE($D148,Milestones!$AA$186)&lt;=AsOfDate,IF($Q148=0,$W148,IF(AND($S148&lt;&gt;"",EDATE($D148,Milestones!$AA$186)&gt;=$S148),$V148,IF(AND($R148&lt;&gt;"",EDATE($D148,Milestones!$AA$186)&gt;=$R148),$U148,$T148)))=Milestones!$AB$186),TEXT(EDATE($D148,Milestones!$AA$186),"dd/mm/yy")&amp;" "&amp;Milestones!$AB$186&amp;" "&amp;Milestones!$AC$186&amp;";  ","")&amp;IF(AND(EDATE($D148,Milestones!$AA$187)&lt;=AsOfDate,IF($Q148=0,$W148,IF(AND($S148&lt;&gt;"",EDATE($D148,Milestones!$AA$187)&gt;=$S148),$V148,IF(AND($R148&lt;&gt;"",EDATE($D148,Milestones!$AA$187)&gt;=$R148),$U148,$T148)))=Milestones!$AB$187),TEXT(EDATE($D148,Milestones!$AA$187),"dd/mm/yy")&amp;" "&amp;Milestones!$AB$187&amp;" "&amp;Milestones!$AC$187&amp;";  ","")&amp;IF(AND(EDATE($D148,Milestones!$AA$188)&lt;=AsOfDate,IF($Q148=0,$W148,IF(AND($S148&lt;&gt;"",EDATE($D148,Milestones!$AA$188)&gt;=$S148),$V148,IF(AND($R148&lt;&gt;"",EDATE($D148,Milestones!$AA$188)&gt;=$R148),$U148,$T148)))=Milestones!$AB$188),TEXT(EDATE($D148,Milestones!$AA$188),"dd/mm/yy")&amp;" "&amp;Milestones!$AB$188&amp;" "&amp;Milestones!$AC$188&amp;";  ","")&amp;IF(AND(EDATE($D148,Milestones!$AA$189)&lt;=AsOfDate,IF($Q148=0,$W148,IF(AND($S148&lt;&gt;"",EDATE($D148,Milestones!$AA$189)&gt;=$S148),$V148,IF(AND($R148&lt;&gt;"",EDATE($D148,Milestones!$AA$189)&gt;=$R148),$U148,$T148)))=Milestones!$AB$189),TEXT(EDATE($D148,Milestones!$AA$189),"dd/mm/yy")&amp;" "&amp;Milestones!$AB$189&amp;" "&amp;Milestones!$AC$189&amp;";  ","")&amp;IF(AND(EDATE($D148,Milestones!$AA$190)&lt;=AsOfDate,IF($Q148=0,$W148,IF(AND($S148&lt;&gt;"",EDATE($D148,Milestones!$AA$190)&gt;=$S148),$V148,IF(AND($R148&lt;&gt;"",EDATE($D148,Milestones!$AA$190)&gt;=$R148),$U148,$T148)))=Milestones!$AB$190),TEXT(EDATE($D148,Milestones!$AA$190),"dd/mm/yy")&amp;" "&amp;Milestones!$AB$190&amp;" "&amp;Milestones!$AC$190&amp;";  ","")&amp;IF(AND(EDATE($D148,Milestones!$AA$191)&lt;=AsOfDate,IF($Q148=0,$W148,IF(AND($S148&lt;&gt;"",EDATE($D148,Milestones!$AA$191)&gt;=$S148),$V148,IF(AND($R148&lt;&gt;"",EDATE($D148,Milestones!$AA$191)&gt;=$R148),$U148,$T148)))=Milestones!$AB$191),TEXT(EDATE($D148,Milestones!$AA$191),"dd/mm/yy")&amp;" "&amp;Milestones!$AB$191&amp;" "&amp;Milestones!$AC$191&amp;";  ","")&amp;IF(AND(EDATE($D148,Milestones!$AA$192)&lt;=AsOfDate,IF($Q148=0,$W148,IF(AND($S148&lt;&gt;"",EDATE($D148,Milestones!$AA$192)&gt;=$S148),$V148,IF(AND($R148&lt;&gt;"",EDATE($D148,Milestones!$AA$192)&gt;=$R148),$U148,$T148)))=Milestones!$AB$192),TEXT(EDATE($D148,Milestones!$AA$192),"dd/mm/yy")&amp;" "&amp;Milestones!$AB$192&amp;" "&amp;Milestones!$AC$192&amp;";  ","")&amp;IF(AND(EDATE($D148,Milestones!$AA$193)&lt;=AsOfDate,IF($Q148=0,$W148,IF(AND($S148&lt;&gt;"",EDATE($D148,Milestones!$AA$193)&gt;=$S148),$V148,IF(AND($R148&lt;&gt;"",EDATE($D148,Milestones!$AA$193)&gt;=$R148),$U148,$T148)))=Milestones!$AB$193),TEXT(EDATE($D148,Milestones!$AA$193),"dd/mm/yy")&amp;" "&amp;Milestones!$AB$193&amp;" "&amp;Milestones!$AC$193&amp;";  ","")&amp;IF(AND(EDATE($D148,Milestones!$AA$194)&lt;=AsOfDate,IF($Q148=0,$W148,IF(AND($S148&lt;&gt;"",EDATE($D148,Milestones!$AA$194)&gt;=$S148),$V148,IF(AND($R148&lt;&gt;"",EDATE($D148,Milestones!$AA$194)&gt;=$R148),$U148,$T148)))=Milestones!$AB$194),TEXT(EDATE($D148,Milestones!$AA$194),"dd/mm/yy")&amp;" "&amp;Milestones!$AB$194&amp;" "&amp;Milestones!$AC$194&amp;";  ","")&amp;IF(AND(EDATE($D148,Milestones!$AA$195)&lt;=AsOfDate,IF($Q148=0,$W148,IF(AND($S148&lt;&gt;"",EDATE($D148,Milestones!$AA$195)&gt;=$S148),$V148,IF(AND($R148&lt;&gt;"",EDATE($D148,Milestones!$AA$195)&gt;=$R148),$U148,$T148)))=Milestones!$AB$195),TEXT(EDATE($D148,Milestones!$AA$195),"dd/mm/yy")&amp;" "&amp;Milestones!$AB$195&amp;" "&amp;Milestones!$AC$195&amp;";  ","")&amp;IF(AND(EDATE($D148,Milestones!$AA$196)&lt;=AsOfDate,IF($Q148=0,$W148,IF(AND($S148&lt;&gt;"",EDATE($D148,Milestones!$AA$196)&gt;=$S148),$V148,IF(AND($R148&lt;&gt;"",EDATE($D148,Milestones!$AA$196)&gt;=$R148),$U148,$T148)))=Milestones!$AB$196),TEXT(EDATE($D148,Milestones!$AA$196),"dd/mm/yy")&amp;" "&amp;Milestones!$AB$196&amp;" "&amp;Milestones!$AC$196&amp;";  ","")&amp;IF(AND(EDATE($D148,Milestones!$AA$197)&lt;=AsOfDate,IF($Q148=0,$W148,IF(AND($S148&lt;&gt;"",EDATE($D148,Milestones!$AA$197)&gt;=$S148),$V148,IF(AND($R148&lt;&gt;"",EDATE($D148,Milestones!$AA$197)&gt;=$R148),$U148,$T148)))=Milestones!$AB$197),TEXT(EDATE($D148,Milestones!$AA$197),"dd/mm/yy")&amp;" "&amp;Milestones!$AB$197&amp;" "&amp;Milestones!$AC$197&amp;";  ","")&amp;IF(AND(EDATE($D148,Milestones!$AA$198)&lt;=AsOfDate,IF($Q148=0,$W148,IF(AND($S148&lt;&gt;"",EDATE($D148,Milestones!$AA$198)&gt;=$S148),$V148,IF(AND($R148&lt;&gt;"",EDATE($D148,Milestones!$AA$198)&gt;=$R148),$U148,$T148)))=Milestones!$AB$198),TEXT(EDATE($D148,Milestones!$AA$198),"dd/mm/yy")&amp;" "&amp;Milestones!$AB$198&amp;" "&amp;Milestones!$AC$198&amp;";  ","")&amp;IF(AND(EDATE($D148,Milestones!$AA$199)&lt;=AsOfDate,IF($Q148=0,$W148,IF(AND($S148&lt;&gt;"",EDATE($D148,Milestones!$AA$199)&gt;=$S148),$V148,IF(AND($R148&lt;&gt;"",EDATE($D148,Milestones!$AA$199)&gt;=$R148),$U148,$T148)))=Milestones!$AB$199),TEXT(EDATE($D148,Milestones!$AA$199),"dd/mm/yy")&amp;" "&amp;Milestones!$AB$199&amp;" "&amp;Milestones!$AC$199&amp;";  ",""))</f>
        <v/>
      </c>
      <c r="Q148" s="0" t="str">
        <f aca="false">IF(Staff!$A148="","",Staff!$AG148)</f>
        <v/>
      </c>
      <c r="R148" s="0" t="str">
        <f aca="false">IF(Staff!$A148="","",Staff!$AI148)</f>
        <v/>
      </c>
      <c r="S148" s="0" t="str">
        <f aca="false">IF(Staff!$A148="","",Staff!$AJ148)</f>
        <v/>
      </c>
      <c r="T148" s="0" t="str">
        <f aca="false">IF(Staff!$A148="","",Staff!$AN148)</f>
        <v/>
      </c>
      <c r="U148" s="0" t="str">
        <f aca="false">IF(Staff!$A148="","",Staff!$AO148)</f>
        <v/>
      </c>
      <c r="V148" s="0" t="str">
        <f aca="false">IF(Staff!$A148="","",Staff!$AP148)</f>
        <v/>
      </c>
      <c r="W148" s="0" t="str">
        <f aca="false">IF(Staff!$A148="","",Staff!$AQ148)</f>
        <v/>
      </c>
    </row>
    <row r="149" customFormat="false" ht="15" hidden="false" customHeight="false" outlineLevel="0" collapsed="false">
      <c r="A149" s="13" t="str">
        <f aca="false">IF(Staff!$A149="","",Staff!$A149)</f>
        <v/>
      </c>
      <c r="B149" s="13" t="str">
        <f aca="false">IF(Staff!$A149="","",Staff!$B149)</f>
        <v/>
      </c>
      <c r="C149" s="13" t="str">
        <f aca="false">IF(Staff!$A149="","",Staff!$C149)</f>
        <v/>
      </c>
      <c r="D149" s="11" t="str">
        <f aca="false">IF(Staff!$A149="","",Staff!$AF149)</f>
        <v/>
      </c>
      <c r="E149" s="13" t="str">
        <f aca="false">IF(Staff!$A149="","",Staff!$O149)</f>
        <v/>
      </c>
      <c r="F149" s="13" t="str">
        <f aca="false">IF(E149="","",E149*HoursPerDay)</f>
        <v/>
      </c>
      <c r="G149" s="26" t="str">
        <f aca="false">IF($A149="","",H149&amp;I149&amp;J149&amp;K149&amp;L149&amp;M149&amp;N149&amp;O149&amp;P149)</f>
        <v/>
      </c>
      <c r="H149" s="0" t="str">
        <f aca="false">IF(OR($A149="",$D149=""),"",IF(AND(EDATE($D149,Milestones!$AA$20)&lt;=AsOfDate,IF($Q149=0,$W149,IF(AND($S149&lt;&gt;"",EDATE($D149,Milestones!$AA$20)&gt;=$S149),$V149,IF(AND($R149&lt;&gt;"",EDATE($D149,Milestones!$AA$20)&gt;=$R149),$U149,$T149)))=Milestones!$AB$20),TEXT(EDATE($D149,Milestones!$AA$20),"dd/mm/yy")&amp;" "&amp;Milestones!$AB$20&amp;" "&amp;Milestones!$AC$20&amp;";  ","")&amp;IF(AND(EDATE($D149,Milestones!$AA$21)&lt;=AsOfDate,IF($Q149=0,$W149,IF(AND($S149&lt;&gt;"",EDATE($D149,Milestones!$AA$21)&gt;=$S149),$V149,IF(AND($R149&lt;&gt;"",EDATE($D149,Milestones!$AA$21)&gt;=$R149),$U149,$T149)))=Milestones!$AB$21),TEXT(EDATE($D149,Milestones!$AA$21),"dd/mm/yy")&amp;" "&amp;Milestones!$AB$21&amp;" "&amp;Milestones!$AC$21&amp;";  ","")&amp;IF(AND(EDATE($D149,Milestones!$AA$22)&lt;=AsOfDate,IF($Q149=0,$W149,IF(AND($S149&lt;&gt;"",EDATE($D149,Milestones!$AA$22)&gt;=$S149),$V149,IF(AND($R149&lt;&gt;"",EDATE($D149,Milestones!$AA$22)&gt;=$R149),$U149,$T149)))=Milestones!$AB$22),TEXT(EDATE($D149,Milestones!$AA$22),"dd/mm/yy")&amp;" "&amp;Milestones!$AB$22&amp;" "&amp;Milestones!$AC$22&amp;";  ","")&amp;IF(AND(EDATE($D149,Milestones!$AA$23)&lt;=AsOfDate,IF($Q149=0,$W149,IF(AND($S149&lt;&gt;"",EDATE($D149,Milestones!$AA$23)&gt;=$S149),$V149,IF(AND($R149&lt;&gt;"",EDATE($D149,Milestones!$AA$23)&gt;=$R149),$U149,$T149)))=Milestones!$AB$23),TEXT(EDATE($D149,Milestones!$AA$23),"dd/mm/yy")&amp;" "&amp;Milestones!$AB$23&amp;" "&amp;Milestones!$AC$23&amp;";  ","")&amp;IF(AND(EDATE($D149,Milestones!$AA$24)&lt;=AsOfDate,IF($Q149=0,$W149,IF(AND($S149&lt;&gt;"",EDATE($D149,Milestones!$AA$24)&gt;=$S149),$V149,IF(AND($R149&lt;&gt;"",EDATE($D149,Milestones!$AA$24)&gt;=$R149),$U149,$T149)))=Milestones!$AB$24),TEXT(EDATE($D149,Milestones!$AA$24),"dd/mm/yy")&amp;" "&amp;Milestones!$AB$24&amp;" "&amp;Milestones!$AC$24&amp;";  ","")&amp;IF(AND(EDATE($D149,Milestones!$AA$25)&lt;=AsOfDate,IF($Q149=0,$W149,IF(AND($S149&lt;&gt;"",EDATE($D149,Milestones!$AA$25)&gt;=$S149),$V149,IF(AND($R149&lt;&gt;"",EDATE($D149,Milestones!$AA$25)&gt;=$R149),$U149,$T149)))=Milestones!$AB$25),TEXT(EDATE($D149,Milestones!$AA$25),"dd/mm/yy")&amp;" "&amp;Milestones!$AB$25&amp;" "&amp;Milestones!$AC$25&amp;";  ","")&amp;IF(AND(EDATE($D149,Milestones!$AA$26)&lt;=AsOfDate,IF($Q149=0,$W149,IF(AND($S149&lt;&gt;"",EDATE($D149,Milestones!$AA$26)&gt;=$S149),$V149,IF(AND($R149&lt;&gt;"",EDATE($D149,Milestones!$AA$26)&gt;=$R149),$U149,$T149)))=Milestones!$AB$26),TEXT(EDATE($D149,Milestones!$AA$26),"dd/mm/yy")&amp;" "&amp;Milestones!$AB$26&amp;" "&amp;Milestones!$AC$26&amp;";  ","")&amp;IF(AND(EDATE($D149,Milestones!$AA$27)&lt;=AsOfDate,IF($Q149=0,$W149,IF(AND($S149&lt;&gt;"",EDATE($D149,Milestones!$AA$27)&gt;=$S149),$V149,IF(AND($R149&lt;&gt;"",EDATE($D149,Milestones!$AA$27)&gt;=$R149),$U149,$T149)))=Milestones!$AB$27),TEXT(EDATE($D149,Milestones!$AA$27),"dd/mm/yy")&amp;" "&amp;Milestones!$AB$27&amp;" "&amp;Milestones!$AC$27&amp;";  ","")&amp;IF(AND(EDATE($D149,Milestones!$AA$28)&lt;=AsOfDate,IF($Q149=0,$W149,IF(AND($S149&lt;&gt;"",EDATE($D149,Milestones!$AA$28)&gt;=$S149),$V149,IF(AND($R149&lt;&gt;"",EDATE($D149,Milestones!$AA$28)&gt;=$R149),$U149,$T149)))=Milestones!$AB$28),TEXT(EDATE($D149,Milestones!$AA$28),"dd/mm/yy")&amp;" "&amp;Milestones!$AB$28&amp;" "&amp;Milestones!$AC$28&amp;";  ","")&amp;IF(AND(EDATE($D149,Milestones!$AA$29)&lt;=AsOfDate,IF($Q149=0,$W149,IF(AND($S149&lt;&gt;"",EDATE($D149,Milestones!$AA$29)&gt;=$S149),$V149,IF(AND($R149&lt;&gt;"",EDATE($D149,Milestones!$AA$29)&gt;=$R149),$U149,$T149)))=Milestones!$AB$29),TEXT(EDATE($D149,Milestones!$AA$29),"dd/mm/yy")&amp;" "&amp;Milestones!$AB$29&amp;" "&amp;Milestones!$AC$29&amp;";  ","")&amp;IF(AND(EDATE($D149,Milestones!$AA$30)&lt;=AsOfDate,IF($Q149=0,$W149,IF(AND($S149&lt;&gt;"",EDATE($D149,Milestones!$AA$30)&gt;=$S149),$V149,IF(AND($R149&lt;&gt;"",EDATE($D149,Milestones!$AA$30)&gt;=$R149),$U149,$T149)))=Milestones!$AB$30),TEXT(EDATE($D149,Milestones!$AA$30),"dd/mm/yy")&amp;" "&amp;Milestones!$AB$30&amp;" "&amp;Milestones!$AC$30&amp;";  ","")&amp;IF(AND(EDATE($D149,Milestones!$AA$31)&lt;=AsOfDate,IF($Q149=0,$W149,IF(AND($S149&lt;&gt;"",EDATE($D149,Milestones!$AA$31)&gt;=$S149),$V149,IF(AND($R149&lt;&gt;"",EDATE($D149,Milestones!$AA$31)&gt;=$R149),$U149,$T149)))=Milestones!$AB$31),TEXT(EDATE($D149,Milestones!$AA$31),"dd/mm/yy")&amp;" "&amp;Milestones!$AB$31&amp;" "&amp;Milestones!$AC$31&amp;";  ","")&amp;IF(AND(EDATE($D149,Milestones!$AA$32)&lt;=AsOfDate,IF($Q149=0,$W149,IF(AND($S149&lt;&gt;"",EDATE($D149,Milestones!$AA$32)&gt;=$S149),$V149,IF(AND($R149&lt;&gt;"",EDATE($D149,Milestones!$AA$32)&gt;=$R149),$U149,$T149)))=Milestones!$AB$32),TEXT(EDATE($D149,Milestones!$AA$32),"dd/mm/yy")&amp;" "&amp;Milestones!$AB$32&amp;" "&amp;Milestones!$AC$32&amp;";  ","")&amp;IF(AND(EDATE($D149,Milestones!$AA$33)&lt;=AsOfDate,IF($Q149=0,$W149,IF(AND($S149&lt;&gt;"",EDATE($D149,Milestones!$AA$33)&gt;=$S149),$V149,IF(AND($R149&lt;&gt;"",EDATE($D149,Milestones!$AA$33)&gt;=$R149),$U149,$T149)))=Milestones!$AB$33),TEXT(EDATE($D149,Milestones!$AA$33),"dd/mm/yy")&amp;" "&amp;Milestones!$AB$33&amp;" "&amp;Milestones!$AC$33&amp;";  ","")&amp;IF(AND(EDATE($D149,Milestones!$AA$34)&lt;=AsOfDate,IF($Q149=0,$W149,IF(AND($S149&lt;&gt;"",EDATE($D149,Milestones!$AA$34)&gt;=$S149),$V149,IF(AND($R149&lt;&gt;"",EDATE($D149,Milestones!$AA$34)&gt;=$R149),$U149,$T149)))=Milestones!$AB$34),TEXT(EDATE($D149,Milestones!$AA$34),"dd/mm/yy")&amp;" "&amp;Milestones!$AB$34&amp;" "&amp;Milestones!$AC$34&amp;";  ","")&amp;IF(AND(EDATE($D149,Milestones!$AA$35)&lt;=AsOfDate,IF($Q149=0,$W149,IF(AND($S149&lt;&gt;"",EDATE($D149,Milestones!$AA$35)&gt;=$S149),$V149,IF(AND($R149&lt;&gt;"",EDATE($D149,Milestones!$AA$35)&gt;=$R149),$U149,$T149)))=Milestones!$AB$35),TEXT(EDATE($D149,Milestones!$AA$35),"dd/mm/yy")&amp;" "&amp;Milestones!$AB$35&amp;" "&amp;Milestones!$AC$35&amp;";  ","")&amp;IF(AND(EDATE($D149,Milestones!$AA$36)&lt;=AsOfDate,IF($Q149=0,$W149,IF(AND($S149&lt;&gt;"",EDATE($D149,Milestones!$AA$36)&gt;=$S149),$V149,IF(AND($R149&lt;&gt;"",EDATE($D149,Milestones!$AA$36)&gt;=$R149),$U149,$T149)))=Milestones!$AB$36),TEXT(EDATE($D149,Milestones!$AA$36),"dd/mm/yy")&amp;" "&amp;Milestones!$AB$36&amp;" "&amp;Milestones!$AC$36&amp;";  ","")&amp;IF(AND(EDATE($D149,Milestones!$AA$37)&lt;=AsOfDate,IF($Q149=0,$W149,IF(AND($S149&lt;&gt;"",EDATE($D149,Milestones!$AA$37)&gt;=$S149),$V149,IF(AND($R149&lt;&gt;"",EDATE($D149,Milestones!$AA$37)&gt;=$R149),$U149,$T149)))=Milestones!$AB$37),TEXT(EDATE($D149,Milestones!$AA$37),"dd/mm/yy")&amp;" "&amp;Milestones!$AB$37&amp;" "&amp;Milestones!$AC$37&amp;";  ","")&amp;IF(AND(EDATE($D149,Milestones!$AA$38)&lt;=AsOfDate,IF($Q149=0,$W149,IF(AND($S149&lt;&gt;"",EDATE($D149,Milestones!$AA$38)&gt;=$S149),$V149,IF(AND($R149&lt;&gt;"",EDATE($D149,Milestones!$AA$38)&gt;=$R149),$U149,$T149)))=Milestones!$AB$38),TEXT(EDATE($D149,Milestones!$AA$38),"dd/mm/yy")&amp;" "&amp;Milestones!$AB$38&amp;" "&amp;Milestones!$AC$38&amp;";  ","")&amp;IF(AND(EDATE($D149,Milestones!$AA$39)&lt;=AsOfDate,IF($Q149=0,$W149,IF(AND($S149&lt;&gt;"",EDATE($D149,Milestones!$AA$39)&gt;=$S149),$V149,IF(AND($R149&lt;&gt;"",EDATE($D149,Milestones!$AA$39)&gt;=$R149),$U149,$T149)))=Milestones!$AB$39),TEXT(EDATE($D149,Milestones!$AA$39),"dd/mm/yy")&amp;" "&amp;Milestones!$AB$39&amp;" "&amp;Milestones!$AC$39&amp;";  ",""))</f>
        <v/>
      </c>
      <c r="I149" s="0" t="str">
        <f aca="false">IF(OR($A149="",$D149=""),"",IF(AND(EDATE($D149,Milestones!$AA$40)&lt;=AsOfDate,IF($Q149=0,$W149,IF(AND($S149&lt;&gt;"",EDATE($D149,Milestones!$AA$40)&gt;=$S149),$V149,IF(AND($R149&lt;&gt;"",EDATE($D149,Milestones!$AA$40)&gt;=$R149),$U149,$T149)))=Milestones!$AB$40),TEXT(EDATE($D149,Milestones!$AA$40),"dd/mm/yy")&amp;" "&amp;Milestones!$AB$40&amp;" "&amp;Milestones!$AC$40&amp;";  ","")&amp;IF(AND(EDATE($D149,Milestones!$AA$41)&lt;=AsOfDate,IF($Q149=0,$W149,IF(AND($S149&lt;&gt;"",EDATE($D149,Milestones!$AA$41)&gt;=$S149),$V149,IF(AND($R149&lt;&gt;"",EDATE($D149,Milestones!$AA$41)&gt;=$R149),$U149,$T149)))=Milestones!$AB$41),TEXT(EDATE($D149,Milestones!$AA$41),"dd/mm/yy")&amp;" "&amp;Milestones!$AB$41&amp;" "&amp;Milestones!$AC$41&amp;";  ","")&amp;IF(AND(EDATE($D149,Milestones!$AA$42)&lt;=AsOfDate,IF($Q149=0,$W149,IF(AND($S149&lt;&gt;"",EDATE($D149,Milestones!$AA$42)&gt;=$S149),$V149,IF(AND($R149&lt;&gt;"",EDATE($D149,Milestones!$AA$42)&gt;=$R149),$U149,$T149)))=Milestones!$AB$42),TEXT(EDATE($D149,Milestones!$AA$42),"dd/mm/yy")&amp;" "&amp;Milestones!$AB$42&amp;" "&amp;Milestones!$AC$42&amp;";  ","")&amp;IF(AND(EDATE($D149,Milestones!$AA$43)&lt;=AsOfDate,IF($Q149=0,$W149,IF(AND($S149&lt;&gt;"",EDATE($D149,Milestones!$AA$43)&gt;=$S149),$V149,IF(AND($R149&lt;&gt;"",EDATE($D149,Milestones!$AA$43)&gt;=$R149),$U149,$T149)))=Milestones!$AB$43),TEXT(EDATE($D149,Milestones!$AA$43),"dd/mm/yy")&amp;" "&amp;Milestones!$AB$43&amp;" "&amp;Milestones!$AC$43&amp;";  ","")&amp;IF(AND(EDATE($D149,Milestones!$AA$44)&lt;=AsOfDate,IF($Q149=0,$W149,IF(AND($S149&lt;&gt;"",EDATE($D149,Milestones!$AA$44)&gt;=$S149),$V149,IF(AND($R149&lt;&gt;"",EDATE($D149,Milestones!$AA$44)&gt;=$R149),$U149,$T149)))=Milestones!$AB$44),TEXT(EDATE($D149,Milestones!$AA$44),"dd/mm/yy")&amp;" "&amp;Milestones!$AB$44&amp;" "&amp;Milestones!$AC$44&amp;";  ","")&amp;IF(AND(EDATE($D149,Milestones!$AA$45)&lt;=AsOfDate,IF($Q149=0,$W149,IF(AND($S149&lt;&gt;"",EDATE($D149,Milestones!$AA$45)&gt;=$S149),$V149,IF(AND($R149&lt;&gt;"",EDATE($D149,Milestones!$AA$45)&gt;=$R149),$U149,$T149)))=Milestones!$AB$45),TEXT(EDATE($D149,Milestones!$AA$45),"dd/mm/yy")&amp;" "&amp;Milestones!$AB$45&amp;" "&amp;Milestones!$AC$45&amp;";  ","")&amp;IF(AND(EDATE($D149,Milestones!$AA$46)&lt;=AsOfDate,IF($Q149=0,$W149,IF(AND($S149&lt;&gt;"",EDATE($D149,Milestones!$AA$46)&gt;=$S149),$V149,IF(AND($R149&lt;&gt;"",EDATE($D149,Milestones!$AA$46)&gt;=$R149),$U149,$T149)))=Milestones!$AB$46),TEXT(EDATE($D149,Milestones!$AA$46),"dd/mm/yy")&amp;" "&amp;Milestones!$AB$46&amp;" "&amp;Milestones!$AC$46&amp;";  ","")&amp;IF(AND(EDATE($D149,Milestones!$AA$47)&lt;=AsOfDate,IF($Q149=0,$W149,IF(AND($S149&lt;&gt;"",EDATE($D149,Milestones!$AA$47)&gt;=$S149),$V149,IF(AND($R149&lt;&gt;"",EDATE($D149,Milestones!$AA$47)&gt;=$R149),$U149,$T149)))=Milestones!$AB$47),TEXT(EDATE($D149,Milestones!$AA$47),"dd/mm/yy")&amp;" "&amp;Milestones!$AB$47&amp;" "&amp;Milestones!$AC$47&amp;";  ","")&amp;IF(AND(EDATE($D149,Milestones!$AA$48)&lt;=AsOfDate,IF($Q149=0,$W149,IF(AND($S149&lt;&gt;"",EDATE($D149,Milestones!$AA$48)&gt;=$S149),$V149,IF(AND($R149&lt;&gt;"",EDATE($D149,Milestones!$AA$48)&gt;=$R149),$U149,$T149)))=Milestones!$AB$48),TEXT(EDATE($D149,Milestones!$AA$48),"dd/mm/yy")&amp;" "&amp;Milestones!$AB$48&amp;" "&amp;Milestones!$AC$48&amp;";  ","")&amp;IF(AND(EDATE($D149,Milestones!$AA$49)&lt;=AsOfDate,IF($Q149=0,$W149,IF(AND($S149&lt;&gt;"",EDATE($D149,Milestones!$AA$49)&gt;=$S149),$V149,IF(AND($R149&lt;&gt;"",EDATE($D149,Milestones!$AA$49)&gt;=$R149),$U149,$T149)))=Milestones!$AB$49),TEXT(EDATE($D149,Milestones!$AA$49),"dd/mm/yy")&amp;" "&amp;Milestones!$AB$49&amp;" "&amp;Milestones!$AC$49&amp;";  ","")&amp;IF(AND(EDATE($D149,Milestones!$AA$50)&lt;=AsOfDate,IF($Q149=0,$W149,IF(AND($S149&lt;&gt;"",EDATE($D149,Milestones!$AA$50)&gt;=$S149),$V149,IF(AND($R149&lt;&gt;"",EDATE($D149,Milestones!$AA$50)&gt;=$R149),$U149,$T149)))=Milestones!$AB$50),TEXT(EDATE($D149,Milestones!$AA$50),"dd/mm/yy")&amp;" "&amp;Milestones!$AB$50&amp;" "&amp;Milestones!$AC$50&amp;";  ","")&amp;IF(AND(EDATE($D149,Milestones!$AA$51)&lt;=AsOfDate,IF($Q149=0,$W149,IF(AND($S149&lt;&gt;"",EDATE($D149,Milestones!$AA$51)&gt;=$S149),$V149,IF(AND($R149&lt;&gt;"",EDATE($D149,Milestones!$AA$51)&gt;=$R149),$U149,$T149)))=Milestones!$AB$51),TEXT(EDATE($D149,Milestones!$AA$51),"dd/mm/yy")&amp;" "&amp;Milestones!$AB$51&amp;" "&amp;Milestones!$AC$51&amp;";  ","")&amp;IF(AND(EDATE($D149,Milestones!$AA$52)&lt;=AsOfDate,IF($Q149=0,$W149,IF(AND($S149&lt;&gt;"",EDATE($D149,Milestones!$AA$52)&gt;=$S149),$V149,IF(AND($R149&lt;&gt;"",EDATE($D149,Milestones!$AA$52)&gt;=$R149),$U149,$T149)))=Milestones!$AB$52),TEXT(EDATE($D149,Milestones!$AA$52),"dd/mm/yy")&amp;" "&amp;Milestones!$AB$52&amp;" "&amp;Milestones!$AC$52&amp;";  ","")&amp;IF(AND(EDATE($D149,Milestones!$AA$53)&lt;=AsOfDate,IF($Q149=0,$W149,IF(AND($S149&lt;&gt;"",EDATE($D149,Milestones!$AA$53)&gt;=$S149),$V149,IF(AND($R149&lt;&gt;"",EDATE($D149,Milestones!$AA$53)&gt;=$R149),$U149,$T149)))=Milestones!$AB$53),TEXT(EDATE($D149,Milestones!$AA$53),"dd/mm/yy")&amp;" "&amp;Milestones!$AB$53&amp;" "&amp;Milestones!$AC$53&amp;";  ","")&amp;IF(AND(EDATE($D149,Milestones!$AA$54)&lt;=AsOfDate,IF($Q149=0,$W149,IF(AND($S149&lt;&gt;"",EDATE($D149,Milestones!$AA$54)&gt;=$S149),$V149,IF(AND($R149&lt;&gt;"",EDATE($D149,Milestones!$AA$54)&gt;=$R149),$U149,$T149)))=Milestones!$AB$54),TEXT(EDATE($D149,Milestones!$AA$54),"dd/mm/yy")&amp;" "&amp;Milestones!$AB$54&amp;" "&amp;Milestones!$AC$54&amp;";  ","")&amp;IF(AND(EDATE($D149,Milestones!$AA$55)&lt;=AsOfDate,IF($Q149=0,$W149,IF(AND($S149&lt;&gt;"",EDATE($D149,Milestones!$AA$55)&gt;=$S149),$V149,IF(AND($R149&lt;&gt;"",EDATE($D149,Milestones!$AA$55)&gt;=$R149),$U149,$T149)))=Milestones!$AB$55),TEXT(EDATE($D149,Milestones!$AA$55),"dd/mm/yy")&amp;" "&amp;Milestones!$AB$55&amp;" "&amp;Milestones!$AC$55&amp;";  ","")&amp;IF(AND(EDATE($D149,Milestones!$AA$56)&lt;=AsOfDate,IF($Q149=0,$W149,IF(AND($S149&lt;&gt;"",EDATE($D149,Milestones!$AA$56)&gt;=$S149),$V149,IF(AND($R149&lt;&gt;"",EDATE($D149,Milestones!$AA$56)&gt;=$R149),$U149,$T149)))=Milestones!$AB$56),TEXT(EDATE($D149,Milestones!$AA$56),"dd/mm/yy")&amp;" "&amp;Milestones!$AB$56&amp;" "&amp;Milestones!$AC$56&amp;";  ","")&amp;IF(AND(EDATE($D149,Milestones!$AA$57)&lt;=AsOfDate,IF($Q149=0,$W149,IF(AND($S149&lt;&gt;"",EDATE($D149,Milestones!$AA$57)&gt;=$S149),$V149,IF(AND($R149&lt;&gt;"",EDATE($D149,Milestones!$AA$57)&gt;=$R149),$U149,$T149)))=Milestones!$AB$57),TEXT(EDATE($D149,Milestones!$AA$57),"dd/mm/yy")&amp;" "&amp;Milestones!$AB$57&amp;" "&amp;Milestones!$AC$57&amp;";  ","")&amp;IF(AND(EDATE($D149,Milestones!$AA$58)&lt;=AsOfDate,IF($Q149=0,$W149,IF(AND($S149&lt;&gt;"",EDATE($D149,Milestones!$AA$58)&gt;=$S149),$V149,IF(AND($R149&lt;&gt;"",EDATE($D149,Milestones!$AA$58)&gt;=$R149),$U149,$T149)))=Milestones!$AB$58),TEXT(EDATE($D149,Milestones!$AA$58),"dd/mm/yy")&amp;" "&amp;Milestones!$AB$58&amp;" "&amp;Milestones!$AC$58&amp;";  ","")&amp;IF(AND(EDATE($D149,Milestones!$AA$59)&lt;=AsOfDate,IF($Q149=0,$W149,IF(AND($S149&lt;&gt;"",EDATE($D149,Milestones!$AA$59)&gt;=$S149),$V149,IF(AND($R149&lt;&gt;"",EDATE($D149,Milestones!$AA$59)&gt;=$R149),$U149,$T149)))=Milestones!$AB$59),TEXT(EDATE($D149,Milestones!$AA$59),"dd/mm/yy")&amp;" "&amp;Milestones!$AB$59&amp;" "&amp;Milestones!$AC$59&amp;";  ",""))</f>
        <v/>
      </c>
      <c r="J149" s="0" t="str">
        <f aca="false">IF(OR($A149="",$D149=""),"",IF(AND(EDATE($D149,Milestones!$AA$60)&lt;=AsOfDate,IF($Q149=0,$W149,IF(AND($S149&lt;&gt;"",EDATE($D149,Milestones!$AA$60)&gt;=$S149),$V149,IF(AND($R149&lt;&gt;"",EDATE($D149,Milestones!$AA$60)&gt;=$R149),$U149,$T149)))=Milestones!$AB$60),TEXT(EDATE($D149,Milestones!$AA$60),"dd/mm/yy")&amp;" "&amp;Milestones!$AB$60&amp;" "&amp;Milestones!$AC$60&amp;";  ","")&amp;IF(AND(EDATE($D149,Milestones!$AA$61)&lt;=AsOfDate,IF($Q149=0,$W149,IF(AND($S149&lt;&gt;"",EDATE($D149,Milestones!$AA$61)&gt;=$S149),$V149,IF(AND($R149&lt;&gt;"",EDATE($D149,Milestones!$AA$61)&gt;=$R149),$U149,$T149)))=Milestones!$AB$61),TEXT(EDATE($D149,Milestones!$AA$61),"dd/mm/yy")&amp;" "&amp;Milestones!$AB$61&amp;" "&amp;Milestones!$AC$61&amp;";  ","")&amp;IF(AND(EDATE($D149,Milestones!$AA$62)&lt;=AsOfDate,IF($Q149=0,$W149,IF(AND($S149&lt;&gt;"",EDATE($D149,Milestones!$AA$62)&gt;=$S149),$V149,IF(AND($R149&lt;&gt;"",EDATE($D149,Milestones!$AA$62)&gt;=$R149),$U149,$T149)))=Milestones!$AB$62),TEXT(EDATE($D149,Milestones!$AA$62),"dd/mm/yy")&amp;" "&amp;Milestones!$AB$62&amp;" "&amp;Milestones!$AC$62&amp;";  ","")&amp;IF(AND(EDATE($D149,Milestones!$AA$63)&lt;=AsOfDate,IF($Q149=0,$W149,IF(AND($S149&lt;&gt;"",EDATE($D149,Milestones!$AA$63)&gt;=$S149),$V149,IF(AND($R149&lt;&gt;"",EDATE($D149,Milestones!$AA$63)&gt;=$R149),$U149,$T149)))=Milestones!$AB$63),TEXT(EDATE($D149,Milestones!$AA$63),"dd/mm/yy")&amp;" "&amp;Milestones!$AB$63&amp;" "&amp;Milestones!$AC$63&amp;";  ","")&amp;IF(AND(EDATE($D149,Milestones!$AA$64)&lt;=AsOfDate,IF($Q149=0,$W149,IF(AND($S149&lt;&gt;"",EDATE($D149,Milestones!$AA$64)&gt;=$S149),$V149,IF(AND($R149&lt;&gt;"",EDATE($D149,Milestones!$AA$64)&gt;=$R149),$U149,$T149)))=Milestones!$AB$64),TEXT(EDATE($D149,Milestones!$AA$64),"dd/mm/yy")&amp;" "&amp;Milestones!$AB$64&amp;" "&amp;Milestones!$AC$64&amp;";  ","")&amp;IF(AND(EDATE($D149,Milestones!$AA$65)&lt;=AsOfDate,IF($Q149=0,$W149,IF(AND($S149&lt;&gt;"",EDATE($D149,Milestones!$AA$65)&gt;=$S149),$V149,IF(AND($R149&lt;&gt;"",EDATE($D149,Milestones!$AA$65)&gt;=$R149),$U149,$T149)))=Milestones!$AB$65),TEXT(EDATE($D149,Milestones!$AA$65),"dd/mm/yy")&amp;" "&amp;Milestones!$AB$65&amp;" "&amp;Milestones!$AC$65&amp;";  ","")&amp;IF(AND(EDATE($D149,Milestones!$AA$66)&lt;=AsOfDate,IF($Q149=0,$W149,IF(AND($S149&lt;&gt;"",EDATE($D149,Milestones!$AA$66)&gt;=$S149),$V149,IF(AND($R149&lt;&gt;"",EDATE($D149,Milestones!$AA$66)&gt;=$R149),$U149,$T149)))=Milestones!$AB$66),TEXT(EDATE($D149,Milestones!$AA$66),"dd/mm/yy")&amp;" "&amp;Milestones!$AB$66&amp;" "&amp;Milestones!$AC$66&amp;";  ","")&amp;IF(AND(EDATE($D149,Milestones!$AA$67)&lt;=AsOfDate,IF($Q149=0,$W149,IF(AND($S149&lt;&gt;"",EDATE($D149,Milestones!$AA$67)&gt;=$S149),$V149,IF(AND($R149&lt;&gt;"",EDATE($D149,Milestones!$AA$67)&gt;=$R149),$U149,$T149)))=Milestones!$AB$67),TEXT(EDATE($D149,Milestones!$AA$67),"dd/mm/yy")&amp;" "&amp;Milestones!$AB$67&amp;" "&amp;Milestones!$AC$67&amp;";  ","")&amp;IF(AND(EDATE($D149,Milestones!$AA$68)&lt;=AsOfDate,IF($Q149=0,$W149,IF(AND($S149&lt;&gt;"",EDATE($D149,Milestones!$AA$68)&gt;=$S149),$V149,IF(AND($R149&lt;&gt;"",EDATE($D149,Milestones!$AA$68)&gt;=$R149),$U149,$T149)))=Milestones!$AB$68),TEXT(EDATE($D149,Milestones!$AA$68),"dd/mm/yy")&amp;" "&amp;Milestones!$AB$68&amp;" "&amp;Milestones!$AC$68&amp;";  ","")&amp;IF(AND(EDATE($D149,Milestones!$AA$69)&lt;=AsOfDate,IF($Q149=0,$W149,IF(AND($S149&lt;&gt;"",EDATE($D149,Milestones!$AA$69)&gt;=$S149),$V149,IF(AND($R149&lt;&gt;"",EDATE($D149,Milestones!$AA$69)&gt;=$R149),$U149,$T149)))=Milestones!$AB$69),TEXT(EDATE($D149,Milestones!$AA$69),"dd/mm/yy")&amp;" "&amp;Milestones!$AB$69&amp;" "&amp;Milestones!$AC$69&amp;";  ","")&amp;IF(AND(EDATE($D149,Milestones!$AA$70)&lt;=AsOfDate,IF($Q149=0,$W149,IF(AND($S149&lt;&gt;"",EDATE($D149,Milestones!$AA$70)&gt;=$S149),$V149,IF(AND($R149&lt;&gt;"",EDATE($D149,Milestones!$AA$70)&gt;=$R149),$U149,$T149)))=Milestones!$AB$70),TEXT(EDATE($D149,Milestones!$AA$70),"dd/mm/yy")&amp;" "&amp;Milestones!$AB$70&amp;" "&amp;Milestones!$AC$70&amp;";  ","")&amp;IF(AND(EDATE($D149,Milestones!$AA$71)&lt;=AsOfDate,IF($Q149=0,$W149,IF(AND($S149&lt;&gt;"",EDATE($D149,Milestones!$AA$71)&gt;=$S149),$V149,IF(AND($R149&lt;&gt;"",EDATE($D149,Milestones!$AA$71)&gt;=$R149),$U149,$T149)))=Milestones!$AB$71),TEXT(EDATE($D149,Milestones!$AA$71),"dd/mm/yy")&amp;" "&amp;Milestones!$AB$71&amp;" "&amp;Milestones!$AC$71&amp;";  ","")&amp;IF(AND(EDATE($D149,Milestones!$AA$72)&lt;=AsOfDate,IF($Q149=0,$W149,IF(AND($S149&lt;&gt;"",EDATE($D149,Milestones!$AA$72)&gt;=$S149),$V149,IF(AND($R149&lt;&gt;"",EDATE($D149,Milestones!$AA$72)&gt;=$R149),$U149,$T149)))=Milestones!$AB$72),TEXT(EDATE($D149,Milestones!$AA$72),"dd/mm/yy")&amp;" "&amp;Milestones!$AB$72&amp;" "&amp;Milestones!$AC$72&amp;";  ","")&amp;IF(AND(EDATE($D149,Milestones!$AA$73)&lt;=AsOfDate,IF($Q149=0,$W149,IF(AND($S149&lt;&gt;"",EDATE($D149,Milestones!$AA$73)&gt;=$S149),$V149,IF(AND($R149&lt;&gt;"",EDATE($D149,Milestones!$AA$73)&gt;=$R149),$U149,$T149)))=Milestones!$AB$73),TEXT(EDATE($D149,Milestones!$AA$73),"dd/mm/yy")&amp;" "&amp;Milestones!$AB$73&amp;" "&amp;Milestones!$AC$73&amp;";  ","")&amp;IF(AND(EDATE($D149,Milestones!$AA$74)&lt;=AsOfDate,IF($Q149=0,$W149,IF(AND($S149&lt;&gt;"",EDATE($D149,Milestones!$AA$74)&gt;=$S149),$V149,IF(AND($R149&lt;&gt;"",EDATE($D149,Milestones!$AA$74)&gt;=$R149),$U149,$T149)))=Milestones!$AB$74),TEXT(EDATE($D149,Milestones!$AA$74),"dd/mm/yy")&amp;" "&amp;Milestones!$AB$74&amp;" "&amp;Milestones!$AC$74&amp;";  ","")&amp;IF(AND(EDATE($D149,Milestones!$AA$75)&lt;=AsOfDate,IF($Q149=0,$W149,IF(AND($S149&lt;&gt;"",EDATE($D149,Milestones!$AA$75)&gt;=$S149),$V149,IF(AND($R149&lt;&gt;"",EDATE($D149,Milestones!$AA$75)&gt;=$R149),$U149,$T149)))=Milestones!$AB$75),TEXT(EDATE($D149,Milestones!$AA$75),"dd/mm/yy")&amp;" "&amp;Milestones!$AB$75&amp;" "&amp;Milestones!$AC$75&amp;";  ","")&amp;IF(AND(EDATE($D149,Milestones!$AA$76)&lt;=AsOfDate,IF($Q149=0,$W149,IF(AND($S149&lt;&gt;"",EDATE($D149,Milestones!$AA$76)&gt;=$S149),$V149,IF(AND($R149&lt;&gt;"",EDATE($D149,Milestones!$AA$76)&gt;=$R149),$U149,$T149)))=Milestones!$AB$76),TEXT(EDATE($D149,Milestones!$AA$76),"dd/mm/yy")&amp;" "&amp;Milestones!$AB$76&amp;" "&amp;Milestones!$AC$76&amp;";  ","")&amp;IF(AND(EDATE($D149,Milestones!$AA$77)&lt;=AsOfDate,IF($Q149=0,$W149,IF(AND($S149&lt;&gt;"",EDATE($D149,Milestones!$AA$77)&gt;=$S149),$V149,IF(AND($R149&lt;&gt;"",EDATE($D149,Milestones!$AA$77)&gt;=$R149),$U149,$T149)))=Milestones!$AB$77),TEXT(EDATE($D149,Milestones!$AA$77),"dd/mm/yy")&amp;" "&amp;Milestones!$AB$77&amp;" "&amp;Milestones!$AC$77&amp;";  ","")&amp;IF(AND(EDATE($D149,Milestones!$AA$78)&lt;=AsOfDate,IF($Q149=0,$W149,IF(AND($S149&lt;&gt;"",EDATE($D149,Milestones!$AA$78)&gt;=$S149),$V149,IF(AND($R149&lt;&gt;"",EDATE($D149,Milestones!$AA$78)&gt;=$R149),$U149,$T149)))=Milestones!$AB$78),TEXT(EDATE($D149,Milestones!$AA$78),"dd/mm/yy")&amp;" "&amp;Milestones!$AB$78&amp;" "&amp;Milestones!$AC$78&amp;";  ","")&amp;IF(AND(EDATE($D149,Milestones!$AA$79)&lt;=AsOfDate,IF($Q149=0,$W149,IF(AND($S149&lt;&gt;"",EDATE($D149,Milestones!$AA$79)&gt;=$S149),$V149,IF(AND($R149&lt;&gt;"",EDATE($D149,Milestones!$AA$79)&gt;=$R149),$U149,$T149)))=Milestones!$AB$79),TEXT(EDATE($D149,Milestones!$AA$79),"dd/mm/yy")&amp;" "&amp;Milestones!$AB$79&amp;" "&amp;Milestones!$AC$79&amp;";  ",""))</f>
        <v/>
      </c>
      <c r="K149" s="0" t="str">
        <f aca="false">IF(OR($A149="",$D149=""),"",IF(AND(EDATE($D149,Milestones!$AA$80)&lt;=AsOfDate,IF($Q149=0,$W149,IF(AND($S149&lt;&gt;"",EDATE($D149,Milestones!$AA$80)&gt;=$S149),$V149,IF(AND($R149&lt;&gt;"",EDATE($D149,Milestones!$AA$80)&gt;=$R149),$U149,$T149)))=Milestones!$AB$80),TEXT(EDATE($D149,Milestones!$AA$80),"dd/mm/yy")&amp;" "&amp;Milestones!$AB$80&amp;" "&amp;Milestones!$AC$80&amp;";  ","")&amp;IF(AND(EDATE($D149,Milestones!$AA$81)&lt;=AsOfDate,IF($Q149=0,$W149,IF(AND($S149&lt;&gt;"",EDATE($D149,Milestones!$AA$81)&gt;=$S149),$V149,IF(AND($R149&lt;&gt;"",EDATE($D149,Milestones!$AA$81)&gt;=$R149),$U149,$T149)))=Milestones!$AB$81),TEXT(EDATE($D149,Milestones!$AA$81),"dd/mm/yy")&amp;" "&amp;Milestones!$AB$81&amp;" "&amp;Milestones!$AC$81&amp;";  ","")&amp;IF(AND(EDATE($D149,Milestones!$AA$82)&lt;=AsOfDate,IF($Q149=0,$W149,IF(AND($S149&lt;&gt;"",EDATE($D149,Milestones!$AA$82)&gt;=$S149),$V149,IF(AND($R149&lt;&gt;"",EDATE($D149,Milestones!$AA$82)&gt;=$R149),$U149,$T149)))=Milestones!$AB$82),TEXT(EDATE($D149,Milestones!$AA$82),"dd/mm/yy")&amp;" "&amp;Milestones!$AB$82&amp;" "&amp;Milestones!$AC$82&amp;";  ","")&amp;IF(AND(EDATE($D149,Milestones!$AA$83)&lt;=AsOfDate,IF($Q149=0,$W149,IF(AND($S149&lt;&gt;"",EDATE($D149,Milestones!$AA$83)&gt;=$S149),$V149,IF(AND($R149&lt;&gt;"",EDATE($D149,Milestones!$AA$83)&gt;=$R149),$U149,$T149)))=Milestones!$AB$83),TEXT(EDATE($D149,Milestones!$AA$83),"dd/mm/yy")&amp;" "&amp;Milestones!$AB$83&amp;" "&amp;Milestones!$AC$83&amp;";  ","")&amp;IF(AND(EDATE($D149,Milestones!$AA$84)&lt;=AsOfDate,IF($Q149=0,$W149,IF(AND($S149&lt;&gt;"",EDATE($D149,Milestones!$AA$84)&gt;=$S149),$V149,IF(AND($R149&lt;&gt;"",EDATE($D149,Milestones!$AA$84)&gt;=$R149),$U149,$T149)))=Milestones!$AB$84),TEXT(EDATE($D149,Milestones!$AA$84),"dd/mm/yy")&amp;" "&amp;Milestones!$AB$84&amp;" "&amp;Milestones!$AC$84&amp;";  ","")&amp;IF(AND(EDATE($D149,Milestones!$AA$85)&lt;=AsOfDate,IF($Q149=0,$W149,IF(AND($S149&lt;&gt;"",EDATE($D149,Milestones!$AA$85)&gt;=$S149),$V149,IF(AND($R149&lt;&gt;"",EDATE($D149,Milestones!$AA$85)&gt;=$R149),$U149,$T149)))=Milestones!$AB$85),TEXT(EDATE($D149,Milestones!$AA$85),"dd/mm/yy")&amp;" "&amp;Milestones!$AB$85&amp;" "&amp;Milestones!$AC$85&amp;";  ","")&amp;IF(AND(EDATE($D149,Milestones!$AA$86)&lt;=AsOfDate,IF($Q149=0,$W149,IF(AND($S149&lt;&gt;"",EDATE($D149,Milestones!$AA$86)&gt;=$S149),$V149,IF(AND($R149&lt;&gt;"",EDATE($D149,Milestones!$AA$86)&gt;=$R149),$U149,$T149)))=Milestones!$AB$86),TEXT(EDATE($D149,Milestones!$AA$86),"dd/mm/yy")&amp;" "&amp;Milestones!$AB$86&amp;" "&amp;Milestones!$AC$86&amp;";  ","")&amp;IF(AND(EDATE($D149,Milestones!$AA$87)&lt;=AsOfDate,IF($Q149=0,$W149,IF(AND($S149&lt;&gt;"",EDATE($D149,Milestones!$AA$87)&gt;=$S149),$V149,IF(AND($R149&lt;&gt;"",EDATE($D149,Milestones!$AA$87)&gt;=$R149),$U149,$T149)))=Milestones!$AB$87),TEXT(EDATE($D149,Milestones!$AA$87),"dd/mm/yy")&amp;" "&amp;Milestones!$AB$87&amp;" "&amp;Milestones!$AC$87&amp;";  ","")&amp;IF(AND(EDATE($D149,Milestones!$AA$88)&lt;=AsOfDate,IF($Q149=0,$W149,IF(AND($S149&lt;&gt;"",EDATE($D149,Milestones!$AA$88)&gt;=$S149),$V149,IF(AND($R149&lt;&gt;"",EDATE($D149,Milestones!$AA$88)&gt;=$R149),$U149,$T149)))=Milestones!$AB$88),TEXT(EDATE($D149,Milestones!$AA$88),"dd/mm/yy")&amp;" "&amp;Milestones!$AB$88&amp;" "&amp;Milestones!$AC$88&amp;";  ","")&amp;IF(AND(EDATE($D149,Milestones!$AA$89)&lt;=AsOfDate,IF($Q149=0,$W149,IF(AND($S149&lt;&gt;"",EDATE($D149,Milestones!$AA$89)&gt;=$S149),$V149,IF(AND($R149&lt;&gt;"",EDATE($D149,Milestones!$AA$89)&gt;=$R149),$U149,$T149)))=Milestones!$AB$89),TEXT(EDATE($D149,Milestones!$AA$89),"dd/mm/yy")&amp;" "&amp;Milestones!$AB$89&amp;" "&amp;Milestones!$AC$89&amp;";  ","")&amp;IF(AND(EDATE($D149,Milestones!$AA$90)&lt;=AsOfDate,IF($Q149=0,$W149,IF(AND($S149&lt;&gt;"",EDATE($D149,Milestones!$AA$90)&gt;=$S149),$V149,IF(AND($R149&lt;&gt;"",EDATE($D149,Milestones!$AA$90)&gt;=$R149),$U149,$T149)))=Milestones!$AB$90),TEXT(EDATE($D149,Milestones!$AA$90),"dd/mm/yy")&amp;" "&amp;Milestones!$AB$90&amp;" "&amp;Milestones!$AC$90&amp;";  ","")&amp;IF(AND(EDATE($D149,Milestones!$AA$91)&lt;=AsOfDate,IF($Q149=0,$W149,IF(AND($S149&lt;&gt;"",EDATE($D149,Milestones!$AA$91)&gt;=$S149),$V149,IF(AND($R149&lt;&gt;"",EDATE($D149,Milestones!$AA$91)&gt;=$R149),$U149,$T149)))=Milestones!$AB$91),TEXT(EDATE($D149,Milestones!$AA$91),"dd/mm/yy")&amp;" "&amp;Milestones!$AB$91&amp;" "&amp;Milestones!$AC$91&amp;";  ","")&amp;IF(AND(EDATE($D149,Milestones!$AA$92)&lt;=AsOfDate,IF($Q149=0,$W149,IF(AND($S149&lt;&gt;"",EDATE($D149,Milestones!$AA$92)&gt;=$S149),$V149,IF(AND($R149&lt;&gt;"",EDATE($D149,Milestones!$AA$92)&gt;=$R149),$U149,$T149)))=Milestones!$AB$92),TEXT(EDATE($D149,Milestones!$AA$92),"dd/mm/yy")&amp;" "&amp;Milestones!$AB$92&amp;" "&amp;Milestones!$AC$92&amp;";  ","")&amp;IF(AND(EDATE($D149,Milestones!$AA$93)&lt;=AsOfDate,IF($Q149=0,$W149,IF(AND($S149&lt;&gt;"",EDATE($D149,Milestones!$AA$93)&gt;=$S149),$V149,IF(AND($R149&lt;&gt;"",EDATE($D149,Milestones!$AA$93)&gt;=$R149),$U149,$T149)))=Milestones!$AB$93),TEXT(EDATE($D149,Milestones!$AA$93),"dd/mm/yy")&amp;" "&amp;Milestones!$AB$93&amp;" "&amp;Milestones!$AC$93&amp;";  ","")&amp;IF(AND(EDATE($D149,Milestones!$AA$94)&lt;=AsOfDate,IF($Q149=0,$W149,IF(AND($S149&lt;&gt;"",EDATE($D149,Milestones!$AA$94)&gt;=$S149),$V149,IF(AND($R149&lt;&gt;"",EDATE($D149,Milestones!$AA$94)&gt;=$R149),$U149,$T149)))=Milestones!$AB$94),TEXT(EDATE($D149,Milestones!$AA$94),"dd/mm/yy")&amp;" "&amp;Milestones!$AB$94&amp;" "&amp;Milestones!$AC$94&amp;";  ","")&amp;IF(AND(EDATE($D149,Milestones!$AA$95)&lt;=AsOfDate,IF($Q149=0,$W149,IF(AND($S149&lt;&gt;"",EDATE($D149,Milestones!$AA$95)&gt;=$S149),$V149,IF(AND($R149&lt;&gt;"",EDATE($D149,Milestones!$AA$95)&gt;=$R149),$U149,$T149)))=Milestones!$AB$95),TEXT(EDATE($D149,Milestones!$AA$95),"dd/mm/yy")&amp;" "&amp;Milestones!$AB$95&amp;" "&amp;Milestones!$AC$95&amp;";  ","")&amp;IF(AND(EDATE($D149,Milestones!$AA$96)&lt;=AsOfDate,IF($Q149=0,$W149,IF(AND($S149&lt;&gt;"",EDATE($D149,Milestones!$AA$96)&gt;=$S149),$V149,IF(AND($R149&lt;&gt;"",EDATE($D149,Milestones!$AA$96)&gt;=$R149),$U149,$T149)))=Milestones!$AB$96),TEXT(EDATE($D149,Milestones!$AA$96),"dd/mm/yy")&amp;" "&amp;Milestones!$AB$96&amp;" "&amp;Milestones!$AC$96&amp;";  ","")&amp;IF(AND(EDATE($D149,Milestones!$AA$97)&lt;=AsOfDate,IF($Q149=0,$W149,IF(AND($S149&lt;&gt;"",EDATE($D149,Milestones!$AA$97)&gt;=$S149),$V149,IF(AND($R149&lt;&gt;"",EDATE($D149,Milestones!$AA$97)&gt;=$R149),$U149,$T149)))=Milestones!$AB$97),TEXT(EDATE($D149,Milestones!$AA$97),"dd/mm/yy")&amp;" "&amp;Milestones!$AB$97&amp;" "&amp;Milestones!$AC$97&amp;";  ","")&amp;IF(AND(EDATE($D149,Milestones!$AA$98)&lt;=AsOfDate,IF($Q149=0,$W149,IF(AND($S149&lt;&gt;"",EDATE($D149,Milestones!$AA$98)&gt;=$S149),$V149,IF(AND($R149&lt;&gt;"",EDATE($D149,Milestones!$AA$98)&gt;=$R149),$U149,$T149)))=Milestones!$AB$98),TEXT(EDATE($D149,Milestones!$AA$98),"dd/mm/yy")&amp;" "&amp;Milestones!$AB$98&amp;" "&amp;Milestones!$AC$98&amp;";  ","")&amp;IF(AND(EDATE($D149,Milestones!$AA$99)&lt;=AsOfDate,IF($Q149=0,$W149,IF(AND($S149&lt;&gt;"",EDATE($D149,Milestones!$AA$99)&gt;=$S149),$V149,IF(AND($R149&lt;&gt;"",EDATE($D149,Milestones!$AA$99)&gt;=$R149),$U149,$T149)))=Milestones!$AB$99),TEXT(EDATE($D149,Milestones!$AA$99),"dd/mm/yy")&amp;" "&amp;Milestones!$AB$99&amp;" "&amp;Milestones!$AC$99&amp;";  ",""))</f>
        <v/>
      </c>
      <c r="L149" s="0" t="str">
        <f aca="false">IF(OR($A149="",$D149=""),"",IF(AND(EDATE($D149,Milestones!$AA$100)&lt;=AsOfDate,IF($Q149=0,$W149,IF(AND($S149&lt;&gt;"",EDATE($D149,Milestones!$AA$100)&gt;=$S149),$V149,IF(AND($R149&lt;&gt;"",EDATE($D149,Milestones!$AA$100)&gt;=$R149),$U149,$T149)))=Milestones!$AB$100),TEXT(EDATE($D149,Milestones!$AA$100),"dd/mm/yy")&amp;" "&amp;Milestones!$AB$100&amp;" "&amp;Milestones!$AC$100&amp;";  ","")&amp;IF(AND(EDATE($D149,Milestones!$AA$101)&lt;=AsOfDate,IF($Q149=0,$W149,IF(AND($S149&lt;&gt;"",EDATE($D149,Milestones!$AA$101)&gt;=$S149),$V149,IF(AND($R149&lt;&gt;"",EDATE($D149,Milestones!$AA$101)&gt;=$R149),$U149,$T149)))=Milestones!$AB$101),TEXT(EDATE($D149,Milestones!$AA$101),"dd/mm/yy")&amp;" "&amp;Milestones!$AB$101&amp;" "&amp;Milestones!$AC$101&amp;";  ","")&amp;IF(AND(EDATE($D149,Milestones!$AA$102)&lt;=AsOfDate,IF($Q149=0,$W149,IF(AND($S149&lt;&gt;"",EDATE($D149,Milestones!$AA$102)&gt;=$S149),$V149,IF(AND($R149&lt;&gt;"",EDATE($D149,Milestones!$AA$102)&gt;=$R149),$U149,$T149)))=Milestones!$AB$102),TEXT(EDATE($D149,Milestones!$AA$102),"dd/mm/yy")&amp;" "&amp;Milestones!$AB$102&amp;" "&amp;Milestones!$AC$102&amp;";  ","")&amp;IF(AND(EDATE($D149,Milestones!$AA$103)&lt;=AsOfDate,IF($Q149=0,$W149,IF(AND($S149&lt;&gt;"",EDATE($D149,Milestones!$AA$103)&gt;=$S149),$V149,IF(AND($R149&lt;&gt;"",EDATE($D149,Milestones!$AA$103)&gt;=$R149),$U149,$T149)))=Milestones!$AB$103),TEXT(EDATE($D149,Milestones!$AA$103),"dd/mm/yy")&amp;" "&amp;Milestones!$AB$103&amp;" "&amp;Milestones!$AC$103&amp;";  ","")&amp;IF(AND(EDATE($D149,Milestones!$AA$104)&lt;=AsOfDate,IF($Q149=0,$W149,IF(AND($S149&lt;&gt;"",EDATE($D149,Milestones!$AA$104)&gt;=$S149),$V149,IF(AND($R149&lt;&gt;"",EDATE($D149,Milestones!$AA$104)&gt;=$R149),$U149,$T149)))=Milestones!$AB$104),TEXT(EDATE($D149,Milestones!$AA$104),"dd/mm/yy")&amp;" "&amp;Milestones!$AB$104&amp;" "&amp;Milestones!$AC$104&amp;";  ","")&amp;IF(AND(EDATE($D149,Milestones!$AA$105)&lt;=AsOfDate,IF($Q149=0,$W149,IF(AND($S149&lt;&gt;"",EDATE($D149,Milestones!$AA$105)&gt;=$S149),$V149,IF(AND($R149&lt;&gt;"",EDATE($D149,Milestones!$AA$105)&gt;=$R149),$U149,$T149)))=Milestones!$AB$105),TEXT(EDATE($D149,Milestones!$AA$105),"dd/mm/yy")&amp;" "&amp;Milestones!$AB$105&amp;" "&amp;Milestones!$AC$105&amp;";  ","")&amp;IF(AND(EDATE($D149,Milestones!$AA$106)&lt;=AsOfDate,IF($Q149=0,$W149,IF(AND($S149&lt;&gt;"",EDATE($D149,Milestones!$AA$106)&gt;=$S149),$V149,IF(AND($R149&lt;&gt;"",EDATE($D149,Milestones!$AA$106)&gt;=$R149),$U149,$T149)))=Milestones!$AB$106),TEXT(EDATE($D149,Milestones!$AA$106),"dd/mm/yy")&amp;" "&amp;Milestones!$AB$106&amp;" "&amp;Milestones!$AC$106&amp;";  ","")&amp;IF(AND(EDATE($D149,Milestones!$AA$107)&lt;=AsOfDate,IF($Q149=0,$W149,IF(AND($S149&lt;&gt;"",EDATE($D149,Milestones!$AA$107)&gt;=$S149),$V149,IF(AND($R149&lt;&gt;"",EDATE($D149,Milestones!$AA$107)&gt;=$R149),$U149,$T149)))=Milestones!$AB$107),TEXT(EDATE($D149,Milestones!$AA$107),"dd/mm/yy")&amp;" "&amp;Milestones!$AB$107&amp;" "&amp;Milestones!$AC$107&amp;";  ","")&amp;IF(AND(EDATE($D149,Milestones!$AA$108)&lt;=AsOfDate,IF($Q149=0,$W149,IF(AND($S149&lt;&gt;"",EDATE($D149,Milestones!$AA$108)&gt;=$S149),$V149,IF(AND($R149&lt;&gt;"",EDATE($D149,Milestones!$AA$108)&gt;=$R149),$U149,$T149)))=Milestones!$AB$108),TEXT(EDATE($D149,Milestones!$AA$108),"dd/mm/yy")&amp;" "&amp;Milestones!$AB$108&amp;" "&amp;Milestones!$AC$108&amp;";  ","")&amp;IF(AND(EDATE($D149,Milestones!$AA$109)&lt;=AsOfDate,IF($Q149=0,$W149,IF(AND($S149&lt;&gt;"",EDATE($D149,Milestones!$AA$109)&gt;=$S149),$V149,IF(AND($R149&lt;&gt;"",EDATE($D149,Milestones!$AA$109)&gt;=$R149),$U149,$T149)))=Milestones!$AB$109),TEXT(EDATE($D149,Milestones!$AA$109),"dd/mm/yy")&amp;" "&amp;Milestones!$AB$109&amp;" "&amp;Milestones!$AC$109&amp;";  ","")&amp;IF(AND(EDATE($D149,Milestones!$AA$110)&lt;=AsOfDate,IF($Q149=0,$W149,IF(AND($S149&lt;&gt;"",EDATE($D149,Milestones!$AA$110)&gt;=$S149),$V149,IF(AND($R149&lt;&gt;"",EDATE($D149,Milestones!$AA$110)&gt;=$R149),$U149,$T149)))=Milestones!$AB$110),TEXT(EDATE($D149,Milestones!$AA$110),"dd/mm/yy")&amp;" "&amp;Milestones!$AB$110&amp;" "&amp;Milestones!$AC$110&amp;";  ","")&amp;IF(AND(EDATE($D149,Milestones!$AA$111)&lt;=AsOfDate,IF($Q149=0,$W149,IF(AND($S149&lt;&gt;"",EDATE($D149,Milestones!$AA$111)&gt;=$S149),$V149,IF(AND($R149&lt;&gt;"",EDATE($D149,Milestones!$AA$111)&gt;=$R149),$U149,$T149)))=Milestones!$AB$111),TEXT(EDATE($D149,Milestones!$AA$111),"dd/mm/yy")&amp;" "&amp;Milestones!$AB$111&amp;" "&amp;Milestones!$AC$111&amp;";  ","")&amp;IF(AND(EDATE($D149,Milestones!$AA$112)&lt;=AsOfDate,IF($Q149=0,$W149,IF(AND($S149&lt;&gt;"",EDATE($D149,Milestones!$AA$112)&gt;=$S149),$V149,IF(AND($R149&lt;&gt;"",EDATE($D149,Milestones!$AA$112)&gt;=$R149),$U149,$T149)))=Milestones!$AB$112),TEXT(EDATE($D149,Milestones!$AA$112),"dd/mm/yy")&amp;" "&amp;Milestones!$AB$112&amp;" "&amp;Milestones!$AC$112&amp;";  ","")&amp;IF(AND(EDATE($D149,Milestones!$AA$113)&lt;=AsOfDate,IF($Q149=0,$W149,IF(AND($S149&lt;&gt;"",EDATE($D149,Milestones!$AA$113)&gt;=$S149),$V149,IF(AND($R149&lt;&gt;"",EDATE($D149,Milestones!$AA$113)&gt;=$R149),$U149,$T149)))=Milestones!$AB$113),TEXT(EDATE($D149,Milestones!$AA$113),"dd/mm/yy")&amp;" "&amp;Milestones!$AB$113&amp;" "&amp;Milestones!$AC$113&amp;";  ","")&amp;IF(AND(EDATE($D149,Milestones!$AA$114)&lt;=AsOfDate,IF($Q149=0,$W149,IF(AND($S149&lt;&gt;"",EDATE($D149,Milestones!$AA$114)&gt;=$S149),$V149,IF(AND($R149&lt;&gt;"",EDATE($D149,Milestones!$AA$114)&gt;=$R149),$U149,$T149)))=Milestones!$AB$114),TEXT(EDATE($D149,Milestones!$AA$114),"dd/mm/yy")&amp;" "&amp;Milestones!$AB$114&amp;" "&amp;Milestones!$AC$114&amp;";  ","")&amp;IF(AND(EDATE($D149,Milestones!$AA$115)&lt;=AsOfDate,IF($Q149=0,$W149,IF(AND($S149&lt;&gt;"",EDATE($D149,Milestones!$AA$115)&gt;=$S149),$V149,IF(AND($R149&lt;&gt;"",EDATE($D149,Milestones!$AA$115)&gt;=$R149),$U149,$T149)))=Milestones!$AB$115),TEXT(EDATE($D149,Milestones!$AA$115),"dd/mm/yy")&amp;" "&amp;Milestones!$AB$115&amp;" "&amp;Milestones!$AC$115&amp;";  ","")&amp;IF(AND(EDATE($D149,Milestones!$AA$116)&lt;=AsOfDate,IF($Q149=0,$W149,IF(AND($S149&lt;&gt;"",EDATE($D149,Milestones!$AA$116)&gt;=$S149),$V149,IF(AND($R149&lt;&gt;"",EDATE($D149,Milestones!$AA$116)&gt;=$R149),$U149,$T149)))=Milestones!$AB$116),TEXT(EDATE($D149,Milestones!$AA$116),"dd/mm/yy")&amp;" "&amp;Milestones!$AB$116&amp;" "&amp;Milestones!$AC$116&amp;";  ","")&amp;IF(AND(EDATE($D149,Milestones!$AA$117)&lt;=AsOfDate,IF($Q149=0,$W149,IF(AND($S149&lt;&gt;"",EDATE($D149,Milestones!$AA$117)&gt;=$S149),$V149,IF(AND($R149&lt;&gt;"",EDATE($D149,Milestones!$AA$117)&gt;=$R149),$U149,$T149)))=Milestones!$AB$117),TEXT(EDATE($D149,Milestones!$AA$117),"dd/mm/yy")&amp;" "&amp;Milestones!$AB$117&amp;" "&amp;Milestones!$AC$117&amp;";  ","")&amp;IF(AND(EDATE($D149,Milestones!$AA$118)&lt;=AsOfDate,IF($Q149=0,$W149,IF(AND($S149&lt;&gt;"",EDATE($D149,Milestones!$AA$118)&gt;=$S149),$V149,IF(AND($R149&lt;&gt;"",EDATE($D149,Milestones!$AA$118)&gt;=$R149),$U149,$T149)))=Milestones!$AB$118),TEXT(EDATE($D149,Milestones!$AA$118),"dd/mm/yy")&amp;" "&amp;Milestones!$AB$118&amp;" "&amp;Milestones!$AC$118&amp;";  ","")&amp;IF(AND(EDATE($D149,Milestones!$AA$119)&lt;=AsOfDate,IF($Q149=0,$W149,IF(AND($S149&lt;&gt;"",EDATE($D149,Milestones!$AA$119)&gt;=$S149),$V149,IF(AND($R149&lt;&gt;"",EDATE($D149,Milestones!$AA$119)&gt;=$R149),$U149,$T149)))=Milestones!$AB$119),TEXT(EDATE($D149,Milestones!$AA$119),"dd/mm/yy")&amp;" "&amp;Milestones!$AB$119&amp;" "&amp;Milestones!$AC$119&amp;";  ",""))</f>
        <v/>
      </c>
      <c r="M149" s="0" t="str">
        <f aca="false">IF(OR($A149="",$D149=""),"",IF(AND(EDATE($D149,Milestones!$AA$120)&lt;=AsOfDate,IF($Q149=0,$W149,IF(AND($S149&lt;&gt;"",EDATE($D149,Milestones!$AA$120)&gt;=$S149),$V149,IF(AND($R149&lt;&gt;"",EDATE($D149,Milestones!$AA$120)&gt;=$R149),$U149,$T149)))=Milestones!$AB$120),TEXT(EDATE($D149,Milestones!$AA$120),"dd/mm/yy")&amp;" "&amp;Milestones!$AB$120&amp;" "&amp;Milestones!$AC$120&amp;";  ","")&amp;IF(AND(EDATE($D149,Milestones!$AA$121)&lt;=AsOfDate,IF($Q149=0,$W149,IF(AND($S149&lt;&gt;"",EDATE($D149,Milestones!$AA$121)&gt;=$S149),$V149,IF(AND($R149&lt;&gt;"",EDATE($D149,Milestones!$AA$121)&gt;=$R149),$U149,$T149)))=Milestones!$AB$121),TEXT(EDATE($D149,Milestones!$AA$121),"dd/mm/yy")&amp;" "&amp;Milestones!$AB$121&amp;" "&amp;Milestones!$AC$121&amp;";  ","")&amp;IF(AND(EDATE($D149,Milestones!$AA$122)&lt;=AsOfDate,IF($Q149=0,$W149,IF(AND($S149&lt;&gt;"",EDATE($D149,Milestones!$AA$122)&gt;=$S149),$V149,IF(AND($R149&lt;&gt;"",EDATE($D149,Milestones!$AA$122)&gt;=$R149),$U149,$T149)))=Milestones!$AB$122),TEXT(EDATE($D149,Milestones!$AA$122),"dd/mm/yy")&amp;" "&amp;Milestones!$AB$122&amp;" "&amp;Milestones!$AC$122&amp;";  ","")&amp;IF(AND(EDATE($D149,Milestones!$AA$123)&lt;=AsOfDate,IF($Q149=0,$W149,IF(AND($S149&lt;&gt;"",EDATE($D149,Milestones!$AA$123)&gt;=$S149),$V149,IF(AND($R149&lt;&gt;"",EDATE($D149,Milestones!$AA$123)&gt;=$R149),$U149,$T149)))=Milestones!$AB$123),TEXT(EDATE($D149,Milestones!$AA$123),"dd/mm/yy")&amp;" "&amp;Milestones!$AB$123&amp;" "&amp;Milestones!$AC$123&amp;";  ","")&amp;IF(AND(EDATE($D149,Milestones!$AA$124)&lt;=AsOfDate,IF($Q149=0,$W149,IF(AND($S149&lt;&gt;"",EDATE($D149,Milestones!$AA$124)&gt;=$S149),$V149,IF(AND($R149&lt;&gt;"",EDATE($D149,Milestones!$AA$124)&gt;=$R149),$U149,$T149)))=Milestones!$AB$124),TEXT(EDATE($D149,Milestones!$AA$124),"dd/mm/yy")&amp;" "&amp;Milestones!$AB$124&amp;" "&amp;Milestones!$AC$124&amp;";  ","")&amp;IF(AND(EDATE($D149,Milestones!$AA$125)&lt;=AsOfDate,IF($Q149=0,$W149,IF(AND($S149&lt;&gt;"",EDATE($D149,Milestones!$AA$125)&gt;=$S149),$V149,IF(AND($R149&lt;&gt;"",EDATE($D149,Milestones!$AA$125)&gt;=$R149),$U149,$T149)))=Milestones!$AB$125),TEXT(EDATE($D149,Milestones!$AA$125),"dd/mm/yy")&amp;" "&amp;Milestones!$AB$125&amp;" "&amp;Milestones!$AC$125&amp;";  ","")&amp;IF(AND(EDATE($D149,Milestones!$AA$126)&lt;=AsOfDate,IF($Q149=0,$W149,IF(AND($S149&lt;&gt;"",EDATE($D149,Milestones!$AA$126)&gt;=$S149),$V149,IF(AND($R149&lt;&gt;"",EDATE($D149,Milestones!$AA$126)&gt;=$R149),$U149,$T149)))=Milestones!$AB$126),TEXT(EDATE($D149,Milestones!$AA$126),"dd/mm/yy")&amp;" "&amp;Milestones!$AB$126&amp;" "&amp;Milestones!$AC$126&amp;";  ","")&amp;IF(AND(EDATE($D149,Milestones!$AA$127)&lt;=AsOfDate,IF($Q149=0,$W149,IF(AND($S149&lt;&gt;"",EDATE($D149,Milestones!$AA$127)&gt;=$S149),$V149,IF(AND($R149&lt;&gt;"",EDATE($D149,Milestones!$AA$127)&gt;=$R149),$U149,$T149)))=Milestones!$AB$127),TEXT(EDATE($D149,Milestones!$AA$127),"dd/mm/yy")&amp;" "&amp;Milestones!$AB$127&amp;" "&amp;Milestones!$AC$127&amp;";  ","")&amp;IF(AND(EDATE($D149,Milestones!$AA$128)&lt;=AsOfDate,IF($Q149=0,$W149,IF(AND($S149&lt;&gt;"",EDATE($D149,Milestones!$AA$128)&gt;=$S149),$V149,IF(AND($R149&lt;&gt;"",EDATE($D149,Milestones!$AA$128)&gt;=$R149),$U149,$T149)))=Milestones!$AB$128),TEXT(EDATE($D149,Milestones!$AA$128),"dd/mm/yy")&amp;" "&amp;Milestones!$AB$128&amp;" "&amp;Milestones!$AC$128&amp;";  ","")&amp;IF(AND(EDATE($D149,Milestones!$AA$129)&lt;=AsOfDate,IF($Q149=0,$W149,IF(AND($S149&lt;&gt;"",EDATE($D149,Milestones!$AA$129)&gt;=$S149),$V149,IF(AND($R149&lt;&gt;"",EDATE($D149,Milestones!$AA$129)&gt;=$R149),$U149,$T149)))=Milestones!$AB$129),TEXT(EDATE($D149,Milestones!$AA$129),"dd/mm/yy")&amp;" "&amp;Milestones!$AB$129&amp;" "&amp;Milestones!$AC$129&amp;";  ","")&amp;IF(AND(EDATE($D149,Milestones!$AA$130)&lt;=AsOfDate,IF($Q149=0,$W149,IF(AND($S149&lt;&gt;"",EDATE($D149,Milestones!$AA$130)&gt;=$S149),$V149,IF(AND($R149&lt;&gt;"",EDATE($D149,Milestones!$AA$130)&gt;=$R149),$U149,$T149)))=Milestones!$AB$130),TEXT(EDATE($D149,Milestones!$AA$130),"dd/mm/yy")&amp;" "&amp;Milestones!$AB$130&amp;" "&amp;Milestones!$AC$130&amp;";  ","")&amp;IF(AND(EDATE($D149,Milestones!$AA$131)&lt;=AsOfDate,IF($Q149=0,$W149,IF(AND($S149&lt;&gt;"",EDATE($D149,Milestones!$AA$131)&gt;=$S149),$V149,IF(AND($R149&lt;&gt;"",EDATE($D149,Milestones!$AA$131)&gt;=$R149),$U149,$T149)))=Milestones!$AB$131),TEXT(EDATE($D149,Milestones!$AA$131),"dd/mm/yy")&amp;" "&amp;Milestones!$AB$131&amp;" "&amp;Milestones!$AC$131&amp;";  ","")&amp;IF(AND(EDATE($D149,Milestones!$AA$132)&lt;=AsOfDate,IF($Q149=0,$W149,IF(AND($S149&lt;&gt;"",EDATE($D149,Milestones!$AA$132)&gt;=$S149),$V149,IF(AND($R149&lt;&gt;"",EDATE($D149,Milestones!$AA$132)&gt;=$R149),$U149,$T149)))=Milestones!$AB$132),TEXT(EDATE($D149,Milestones!$AA$132),"dd/mm/yy")&amp;" "&amp;Milestones!$AB$132&amp;" "&amp;Milestones!$AC$132&amp;";  ","")&amp;IF(AND(EDATE($D149,Milestones!$AA$133)&lt;=AsOfDate,IF($Q149=0,$W149,IF(AND($S149&lt;&gt;"",EDATE($D149,Milestones!$AA$133)&gt;=$S149),$V149,IF(AND($R149&lt;&gt;"",EDATE($D149,Milestones!$AA$133)&gt;=$R149),$U149,$T149)))=Milestones!$AB$133),TEXT(EDATE($D149,Milestones!$AA$133),"dd/mm/yy")&amp;" "&amp;Milestones!$AB$133&amp;" "&amp;Milestones!$AC$133&amp;";  ","")&amp;IF(AND(EDATE($D149,Milestones!$AA$134)&lt;=AsOfDate,IF($Q149=0,$W149,IF(AND($S149&lt;&gt;"",EDATE($D149,Milestones!$AA$134)&gt;=$S149),$V149,IF(AND($R149&lt;&gt;"",EDATE($D149,Milestones!$AA$134)&gt;=$R149),$U149,$T149)))=Milestones!$AB$134),TEXT(EDATE($D149,Milestones!$AA$134),"dd/mm/yy")&amp;" "&amp;Milestones!$AB$134&amp;" "&amp;Milestones!$AC$134&amp;";  ","")&amp;IF(AND(EDATE($D149,Milestones!$AA$135)&lt;=AsOfDate,IF($Q149=0,$W149,IF(AND($S149&lt;&gt;"",EDATE($D149,Milestones!$AA$135)&gt;=$S149),$V149,IF(AND($R149&lt;&gt;"",EDATE($D149,Milestones!$AA$135)&gt;=$R149),$U149,$T149)))=Milestones!$AB$135),TEXT(EDATE($D149,Milestones!$AA$135),"dd/mm/yy")&amp;" "&amp;Milestones!$AB$135&amp;" "&amp;Milestones!$AC$135&amp;";  ","")&amp;IF(AND(EDATE($D149,Milestones!$AA$136)&lt;=AsOfDate,IF($Q149=0,$W149,IF(AND($S149&lt;&gt;"",EDATE($D149,Milestones!$AA$136)&gt;=$S149),$V149,IF(AND($R149&lt;&gt;"",EDATE($D149,Milestones!$AA$136)&gt;=$R149),$U149,$T149)))=Milestones!$AB$136),TEXT(EDATE($D149,Milestones!$AA$136),"dd/mm/yy")&amp;" "&amp;Milestones!$AB$136&amp;" "&amp;Milestones!$AC$136&amp;";  ","")&amp;IF(AND(EDATE($D149,Milestones!$AA$137)&lt;=AsOfDate,IF($Q149=0,$W149,IF(AND($S149&lt;&gt;"",EDATE($D149,Milestones!$AA$137)&gt;=$S149),$V149,IF(AND($R149&lt;&gt;"",EDATE($D149,Milestones!$AA$137)&gt;=$R149),$U149,$T149)))=Milestones!$AB$137),TEXT(EDATE($D149,Milestones!$AA$137),"dd/mm/yy")&amp;" "&amp;Milestones!$AB$137&amp;" "&amp;Milestones!$AC$137&amp;";  ","")&amp;IF(AND(EDATE($D149,Milestones!$AA$138)&lt;=AsOfDate,IF($Q149=0,$W149,IF(AND($S149&lt;&gt;"",EDATE($D149,Milestones!$AA$138)&gt;=$S149),$V149,IF(AND($R149&lt;&gt;"",EDATE($D149,Milestones!$AA$138)&gt;=$R149),$U149,$T149)))=Milestones!$AB$138),TEXT(EDATE($D149,Milestones!$AA$138),"dd/mm/yy")&amp;" "&amp;Milestones!$AB$138&amp;" "&amp;Milestones!$AC$138&amp;";  ","")&amp;IF(AND(EDATE($D149,Milestones!$AA$139)&lt;=AsOfDate,IF($Q149=0,$W149,IF(AND($S149&lt;&gt;"",EDATE($D149,Milestones!$AA$139)&gt;=$S149),$V149,IF(AND($R149&lt;&gt;"",EDATE($D149,Milestones!$AA$139)&gt;=$R149),$U149,$T149)))=Milestones!$AB$139),TEXT(EDATE($D149,Milestones!$AA$139),"dd/mm/yy")&amp;" "&amp;Milestones!$AB$139&amp;" "&amp;Milestones!$AC$139&amp;";  ",""))</f>
        <v/>
      </c>
      <c r="N149" s="0" t="str">
        <f aca="false">IF(OR($A149="",$D149=""),"",IF(AND(EDATE($D149,Milestones!$AA$140)&lt;=AsOfDate,IF($Q149=0,$W149,IF(AND($S149&lt;&gt;"",EDATE($D149,Milestones!$AA$140)&gt;=$S149),$V149,IF(AND($R149&lt;&gt;"",EDATE($D149,Milestones!$AA$140)&gt;=$R149),$U149,$T149)))=Milestones!$AB$140),TEXT(EDATE($D149,Milestones!$AA$140),"dd/mm/yy")&amp;" "&amp;Milestones!$AB$140&amp;" "&amp;Milestones!$AC$140&amp;";  ","")&amp;IF(AND(EDATE($D149,Milestones!$AA$141)&lt;=AsOfDate,IF($Q149=0,$W149,IF(AND($S149&lt;&gt;"",EDATE($D149,Milestones!$AA$141)&gt;=$S149),$V149,IF(AND($R149&lt;&gt;"",EDATE($D149,Milestones!$AA$141)&gt;=$R149),$U149,$T149)))=Milestones!$AB$141),TEXT(EDATE($D149,Milestones!$AA$141),"dd/mm/yy")&amp;" "&amp;Milestones!$AB$141&amp;" "&amp;Milestones!$AC$141&amp;";  ","")&amp;IF(AND(EDATE($D149,Milestones!$AA$142)&lt;=AsOfDate,IF($Q149=0,$W149,IF(AND($S149&lt;&gt;"",EDATE($D149,Milestones!$AA$142)&gt;=$S149),$V149,IF(AND($R149&lt;&gt;"",EDATE($D149,Milestones!$AA$142)&gt;=$R149),$U149,$T149)))=Milestones!$AB$142),TEXT(EDATE($D149,Milestones!$AA$142),"dd/mm/yy")&amp;" "&amp;Milestones!$AB$142&amp;" "&amp;Milestones!$AC$142&amp;";  ","")&amp;IF(AND(EDATE($D149,Milestones!$AA$143)&lt;=AsOfDate,IF($Q149=0,$W149,IF(AND($S149&lt;&gt;"",EDATE($D149,Milestones!$AA$143)&gt;=$S149),$V149,IF(AND($R149&lt;&gt;"",EDATE($D149,Milestones!$AA$143)&gt;=$R149),$U149,$T149)))=Milestones!$AB$143),TEXT(EDATE($D149,Milestones!$AA$143),"dd/mm/yy")&amp;" "&amp;Milestones!$AB$143&amp;" "&amp;Milestones!$AC$143&amp;";  ","")&amp;IF(AND(EDATE($D149,Milestones!$AA$144)&lt;=AsOfDate,IF($Q149=0,$W149,IF(AND($S149&lt;&gt;"",EDATE($D149,Milestones!$AA$144)&gt;=$S149),$V149,IF(AND($R149&lt;&gt;"",EDATE($D149,Milestones!$AA$144)&gt;=$R149),$U149,$T149)))=Milestones!$AB$144),TEXT(EDATE($D149,Milestones!$AA$144),"dd/mm/yy")&amp;" "&amp;Milestones!$AB$144&amp;" "&amp;Milestones!$AC$144&amp;";  ","")&amp;IF(AND(EDATE($D149,Milestones!$AA$145)&lt;=AsOfDate,IF($Q149=0,$W149,IF(AND($S149&lt;&gt;"",EDATE($D149,Milestones!$AA$145)&gt;=$S149),$V149,IF(AND($R149&lt;&gt;"",EDATE($D149,Milestones!$AA$145)&gt;=$R149),$U149,$T149)))=Milestones!$AB$145),TEXT(EDATE($D149,Milestones!$AA$145),"dd/mm/yy")&amp;" "&amp;Milestones!$AB$145&amp;" "&amp;Milestones!$AC$145&amp;";  ","")&amp;IF(AND(EDATE($D149,Milestones!$AA$146)&lt;=AsOfDate,IF($Q149=0,$W149,IF(AND($S149&lt;&gt;"",EDATE($D149,Milestones!$AA$146)&gt;=$S149),$V149,IF(AND($R149&lt;&gt;"",EDATE($D149,Milestones!$AA$146)&gt;=$R149),$U149,$T149)))=Milestones!$AB$146),TEXT(EDATE($D149,Milestones!$AA$146),"dd/mm/yy")&amp;" "&amp;Milestones!$AB$146&amp;" "&amp;Milestones!$AC$146&amp;";  ","")&amp;IF(AND(EDATE($D149,Milestones!$AA$147)&lt;=AsOfDate,IF($Q149=0,$W149,IF(AND($S149&lt;&gt;"",EDATE($D149,Milestones!$AA$147)&gt;=$S149),$V149,IF(AND($R149&lt;&gt;"",EDATE($D149,Milestones!$AA$147)&gt;=$R149),$U149,$T149)))=Milestones!$AB$147),TEXT(EDATE($D149,Milestones!$AA$147),"dd/mm/yy")&amp;" "&amp;Milestones!$AB$147&amp;" "&amp;Milestones!$AC$147&amp;";  ","")&amp;IF(AND(EDATE($D149,Milestones!$AA$148)&lt;=AsOfDate,IF($Q149=0,$W149,IF(AND($S149&lt;&gt;"",EDATE($D149,Milestones!$AA$148)&gt;=$S149),$V149,IF(AND($R149&lt;&gt;"",EDATE($D149,Milestones!$AA$148)&gt;=$R149),$U149,$T149)))=Milestones!$AB$148),TEXT(EDATE($D149,Milestones!$AA$148),"dd/mm/yy")&amp;" "&amp;Milestones!$AB$148&amp;" "&amp;Milestones!$AC$148&amp;";  ","")&amp;IF(AND(EDATE($D149,Milestones!$AA$149)&lt;=AsOfDate,IF($Q149=0,$W149,IF(AND($S149&lt;&gt;"",EDATE($D149,Milestones!$AA$149)&gt;=$S149),$V149,IF(AND($R149&lt;&gt;"",EDATE($D149,Milestones!$AA$149)&gt;=$R149),$U149,$T149)))=Milestones!$AB$149),TEXT(EDATE($D149,Milestones!$AA$149),"dd/mm/yy")&amp;" "&amp;Milestones!$AB$149&amp;" "&amp;Milestones!$AC$149&amp;";  ","")&amp;IF(AND(EDATE($D149,Milestones!$AA$150)&lt;=AsOfDate,IF($Q149=0,$W149,IF(AND($S149&lt;&gt;"",EDATE($D149,Milestones!$AA$150)&gt;=$S149),$V149,IF(AND($R149&lt;&gt;"",EDATE($D149,Milestones!$AA$150)&gt;=$R149),$U149,$T149)))=Milestones!$AB$150),TEXT(EDATE($D149,Milestones!$AA$150),"dd/mm/yy")&amp;" "&amp;Milestones!$AB$150&amp;" "&amp;Milestones!$AC$150&amp;";  ","")&amp;IF(AND(EDATE($D149,Milestones!$AA$151)&lt;=AsOfDate,IF($Q149=0,$W149,IF(AND($S149&lt;&gt;"",EDATE($D149,Milestones!$AA$151)&gt;=$S149),$V149,IF(AND($R149&lt;&gt;"",EDATE($D149,Milestones!$AA$151)&gt;=$R149),$U149,$T149)))=Milestones!$AB$151),TEXT(EDATE($D149,Milestones!$AA$151),"dd/mm/yy")&amp;" "&amp;Milestones!$AB$151&amp;" "&amp;Milestones!$AC$151&amp;";  ","")&amp;IF(AND(EDATE($D149,Milestones!$AA$152)&lt;=AsOfDate,IF($Q149=0,$W149,IF(AND($S149&lt;&gt;"",EDATE($D149,Milestones!$AA$152)&gt;=$S149),$V149,IF(AND($R149&lt;&gt;"",EDATE($D149,Milestones!$AA$152)&gt;=$R149),$U149,$T149)))=Milestones!$AB$152),TEXT(EDATE($D149,Milestones!$AA$152),"dd/mm/yy")&amp;" "&amp;Milestones!$AB$152&amp;" "&amp;Milestones!$AC$152&amp;";  ","")&amp;IF(AND(EDATE($D149,Milestones!$AA$153)&lt;=AsOfDate,IF($Q149=0,$W149,IF(AND($S149&lt;&gt;"",EDATE($D149,Milestones!$AA$153)&gt;=$S149),$V149,IF(AND($R149&lt;&gt;"",EDATE($D149,Milestones!$AA$153)&gt;=$R149),$U149,$T149)))=Milestones!$AB$153),TEXT(EDATE($D149,Milestones!$AA$153),"dd/mm/yy")&amp;" "&amp;Milestones!$AB$153&amp;" "&amp;Milestones!$AC$153&amp;";  ","")&amp;IF(AND(EDATE($D149,Milestones!$AA$154)&lt;=AsOfDate,IF($Q149=0,$W149,IF(AND($S149&lt;&gt;"",EDATE($D149,Milestones!$AA$154)&gt;=$S149),$V149,IF(AND($R149&lt;&gt;"",EDATE($D149,Milestones!$AA$154)&gt;=$R149),$U149,$T149)))=Milestones!$AB$154),TEXT(EDATE($D149,Milestones!$AA$154),"dd/mm/yy")&amp;" "&amp;Milestones!$AB$154&amp;" "&amp;Milestones!$AC$154&amp;";  ","")&amp;IF(AND(EDATE($D149,Milestones!$AA$155)&lt;=AsOfDate,IF($Q149=0,$W149,IF(AND($S149&lt;&gt;"",EDATE($D149,Milestones!$AA$155)&gt;=$S149),$V149,IF(AND($R149&lt;&gt;"",EDATE($D149,Milestones!$AA$155)&gt;=$R149),$U149,$T149)))=Milestones!$AB$155),TEXT(EDATE($D149,Milestones!$AA$155),"dd/mm/yy")&amp;" "&amp;Milestones!$AB$155&amp;" "&amp;Milestones!$AC$155&amp;";  ","")&amp;IF(AND(EDATE($D149,Milestones!$AA$156)&lt;=AsOfDate,IF($Q149=0,$W149,IF(AND($S149&lt;&gt;"",EDATE($D149,Milestones!$AA$156)&gt;=$S149),$V149,IF(AND($R149&lt;&gt;"",EDATE($D149,Milestones!$AA$156)&gt;=$R149),$U149,$T149)))=Milestones!$AB$156),TEXT(EDATE($D149,Milestones!$AA$156),"dd/mm/yy")&amp;" "&amp;Milestones!$AB$156&amp;" "&amp;Milestones!$AC$156&amp;";  ","")&amp;IF(AND(EDATE($D149,Milestones!$AA$157)&lt;=AsOfDate,IF($Q149=0,$W149,IF(AND($S149&lt;&gt;"",EDATE($D149,Milestones!$AA$157)&gt;=$S149),$V149,IF(AND($R149&lt;&gt;"",EDATE($D149,Milestones!$AA$157)&gt;=$R149),$U149,$T149)))=Milestones!$AB$157),TEXT(EDATE($D149,Milestones!$AA$157),"dd/mm/yy")&amp;" "&amp;Milestones!$AB$157&amp;" "&amp;Milestones!$AC$157&amp;";  ","")&amp;IF(AND(EDATE($D149,Milestones!$AA$158)&lt;=AsOfDate,IF($Q149=0,$W149,IF(AND($S149&lt;&gt;"",EDATE($D149,Milestones!$AA$158)&gt;=$S149),$V149,IF(AND($R149&lt;&gt;"",EDATE($D149,Milestones!$AA$158)&gt;=$R149),$U149,$T149)))=Milestones!$AB$158),TEXT(EDATE($D149,Milestones!$AA$158),"dd/mm/yy")&amp;" "&amp;Milestones!$AB$158&amp;" "&amp;Milestones!$AC$158&amp;";  ","")&amp;IF(AND(EDATE($D149,Milestones!$AA$159)&lt;=AsOfDate,IF($Q149=0,$W149,IF(AND($S149&lt;&gt;"",EDATE($D149,Milestones!$AA$159)&gt;=$S149),$V149,IF(AND($R149&lt;&gt;"",EDATE($D149,Milestones!$AA$159)&gt;=$R149),$U149,$T149)))=Milestones!$AB$159),TEXT(EDATE($D149,Milestones!$AA$159),"dd/mm/yy")&amp;" "&amp;Milestones!$AB$159&amp;" "&amp;Milestones!$AC$159&amp;";  ",""))</f>
        <v/>
      </c>
      <c r="O149" s="0" t="str">
        <f aca="false">IF(OR($A149="",$D149=""),"",IF(AND(EDATE($D149,Milestones!$AA$160)&lt;=AsOfDate,IF($Q149=0,$W149,IF(AND($S149&lt;&gt;"",EDATE($D149,Milestones!$AA$160)&gt;=$S149),$V149,IF(AND($R149&lt;&gt;"",EDATE($D149,Milestones!$AA$160)&gt;=$R149),$U149,$T149)))=Milestones!$AB$160),TEXT(EDATE($D149,Milestones!$AA$160),"dd/mm/yy")&amp;" "&amp;Milestones!$AB$160&amp;" "&amp;Milestones!$AC$160&amp;";  ","")&amp;IF(AND(EDATE($D149,Milestones!$AA$161)&lt;=AsOfDate,IF($Q149=0,$W149,IF(AND($S149&lt;&gt;"",EDATE($D149,Milestones!$AA$161)&gt;=$S149),$V149,IF(AND($R149&lt;&gt;"",EDATE($D149,Milestones!$AA$161)&gt;=$R149),$U149,$T149)))=Milestones!$AB$161),TEXT(EDATE($D149,Milestones!$AA$161),"dd/mm/yy")&amp;" "&amp;Milestones!$AB$161&amp;" "&amp;Milestones!$AC$161&amp;";  ","")&amp;IF(AND(EDATE($D149,Milestones!$AA$162)&lt;=AsOfDate,IF($Q149=0,$W149,IF(AND($S149&lt;&gt;"",EDATE($D149,Milestones!$AA$162)&gt;=$S149),$V149,IF(AND($R149&lt;&gt;"",EDATE($D149,Milestones!$AA$162)&gt;=$R149),$U149,$T149)))=Milestones!$AB$162),TEXT(EDATE($D149,Milestones!$AA$162),"dd/mm/yy")&amp;" "&amp;Milestones!$AB$162&amp;" "&amp;Milestones!$AC$162&amp;";  ","")&amp;IF(AND(EDATE($D149,Milestones!$AA$163)&lt;=AsOfDate,IF($Q149=0,$W149,IF(AND($S149&lt;&gt;"",EDATE($D149,Milestones!$AA$163)&gt;=$S149),$V149,IF(AND($R149&lt;&gt;"",EDATE($D149,Milestones!$AA$163)&gt;=$R149),$U149,$T149)))=Milestones!$AB$163),TEXT(EDATE($D149,Milestones!$AA$163),"dd/mm/yy")&amp;" "&amp;Milestones!$AB$163&amp;" "&amp;Milestones!$AC$163&amp;";  ","")&amp;IF(AND(EDATE($D149,Milestones!$AA$164)&lt;=AsOfDate,IF($Q149=0,$W149,IF(AND($S149&lt;&gt;"",EDATE($D149,Milestones!$AA$164)&gt;=$S149),$V149,IF(AND($R149&lt;&gt;"",EDATE($D149,Milestones!$AA$164)&gt;=$R149),$U149,$T149)))=Milestones!$AB$164),TEXT(EDATE($D149,Milestones!$AA$164),"dd/mm/yy")&amp;" "&amp;Milestones!$AB$164&amp;" "&amp;Milestones!$AC$164&amp;";  ","")&amp;IF(AND(EDATE($D149,Milestones!$AA$165)&lt;=AsOfDate,IF($Q149=0,$W149,IF(AND($S149&lt;&gt;"",EDATE($D149,Milestones!$AA$165)&gt;=$S149),$V149,IF(AND($R149&lt;&gt;"",EDATE($D149,Milestones!$AA$165)&gt;=$R149),$U149,$T149)))=Milestones!$AB$165),TEXT(EDATE($D149,Milestones!$AA$165),"dd/mm/yy")&amp;" "&amp;Milestones!$AB$165&amp;" "&amp;Milestones!$AC$165&amp;";  ","")&amp;IF(AND(EDATE($D149,Milestones!$AA$166)&lt;=AsOfDate,IF($Q149=0,$W149,IF(AND($S149&lt;&gt;"",EDATE($D149,Milestones!$AA$166)&gt;=$S149),$V149,IF(AND($R149&lt;&gt;"",EDATE($D149,Milestones!$AA$166)&gt;=$R149),$U149,$T149)))=Milestones!$AB$166),TEXT(EDATE($D149,Milestones!$AA$166),"dd/mm/yy")&amp;" "&amp;Milestones!$AB$166&amp;" "&amp;Milestones!$AC$166&amp;";  ","")&amp;IF(AND(EDATE($D149,Milestones!$AA$167)&lt;=AsOfDate,IF($Q149=0,$W149,IF(AND($S149&lt;&gt;"",EDATE($D149,Milestones!$AA$167)&gt;=$S149),$V149,IF(AND($R149&lt;&gt;"",EDATE($D149,Milestones!$AA$167)&gt;=$R149),$U149,$T149)))=Milestones!$AB$167),TEXT(EDATE($D149,Milestones!$AA$167),"dd/mm/yy")&amp;" "&amp;Milestones!$AB$167&amp;" "&amp;Milestones!$AC$167&amp;";  ","")&amp;IF(AND(EDATE($D149,Milestones!$AA$168)&lt;=AsOfDate,IF($Q149=0,$W149,IF(AND($S149&lt;&gt;"",EDATE($D149,Milestones!$AA$168)&gt;=$S149),$V149,IF(AND($R149&lt;&gt;"",EDATE($D149,Milestones!$AA$168)&gt;=$R149),$U149,$T149)))=Milestones!$AB$168),TEXT(EDATE($D149,Milestones!$AA$168),"dd/mm/yy")&amp;" "&amp;Milestones!$AB$168&amp;" "&amp;Milestones!$AC$168&amp;";  ","")&amp;IF(AND(EDATE($D149,Milestones!$AA$169)&lt;=AsOfDate,IF($Q149=0,$W149,IF(AND($S149&lt;&gt;"",EDATE($D149,Milestones!$AA$169)&gt;=$S149),$V149,IF(AND($R149&lt;&gt;"",EDATE($D149,Milestones!$AA$169)&gt;=$R149),$U149,$T149)))=Milestones!$AB$169),TEXT(EDATE($D149,Milestones!$AA$169),"dd/mm/yy")&amp;" "&amp;Milestones!$AB$169&amp;" "&amp;Milestones!$AC$169&amp;";  ","")&amp;IF(AND(EDATE($D149,Milestones!$AA$170)&lt;=AsOfDate,IF($Q149=0,$W149,IF(AND($S149&lt;&gt;"",EDATE($D149,Milestones!$AA$170)&gt;=$S149),$V149,IF(AND($R149&lt;&gt;"",EDATE($D149,Milestones!$AA$170)&gt;=$R149),$U149,$T149)))=Milestones!$AB$170),TEXT(EDATE($D149,Milestones!$AA$170),"dd/mm/yy")&amp;" "&amp;Milestones!$AB$170&amp;" "&amp;Milestones!$AC$170&amp;";  ","")&amp;IF(AND(EDATE($D149,Milestones!$AA$171)&lt;=AsOfDate,IF($Q149=0,$W149,IF(AND($S149&lt;&gt;"",EDATE($D149,Milestones!$AA$171)&gt;=$S149),$V149,IF(AND($R149&lt;&gt;"",EDATE($D149,Milestones!$AA$171)&gt;=$R149),$U149,$T149)))=Milestones!$AB$171),TEXT(EDATE($D149,Milestones!$AA$171),"dd/mm/yy")&amp;" "&amp;Milestones!$AB$171&amp;" "&amp;Milestones!$AC$171&amp;";  ","")&amp;IF(AND(EDATE($D149,Milestones!$AA$172)&lt;=AsOfDate,IF($Q149=0,$W149,IF(AND($S149&lt;&gt;"",EDATE($D149,Milestones!$AA$172)&gt;=$S149),$V149,IF(AND($R149&lt;&gt;"",EDATE($D149,Milestones!$AA$172)&gt;=$R149),$U149,$T149)))=Milestones!$AB$172),TEXT(EDATE($D149,Milestones!$AA$172),"dd/mm/yy")&amp;" "&amp;Milestones!$AB$172&amp;" "&amp;Milestones!$AC$172&amp;";  ","")&amp;IF(AND(EDATE($D149,Milestones!$AA$173)&lt;=AsOfDate,IF($Q149=0,$W149,IF(AND($S149&lt;&gt;"",EDATE($D149,Milestones!$AA$173)&gt;=$S149),$V149,IF(AND($R149&lt;&gt;"",EDATE($D149,Milestones!$AA$173)&gt;=$R149),$U149,$T149)))=Milestones!$AB$173),TEXT(EDATE($D149,Milestones!$AA$173),"dd/mm/yy")&amp;" "&amp;Milestones!$AB$173&amp;" "&amp;Milestones!$AC$173&amp;";  ","")&amp;IF(AND(EDATE($D149,Milestones!$AA$174)&lt;=AsOfDate,IF($Q149=0,$W149,IF(AND($S149&lt;&gt;"",EDATE($D149,Milestones!$AA$174)&gt;=$S149),$V149,IF(AND($R149&lt;&gt;"",EDATE($D149,Milestones!$AA$174)&gt;=$R149),$U149,$T149)))=Milestones!$AB$174),TEXT(EDATE($D149,Milestones!$AA$174),"dd/mm/yy")&amp;" "&amp;Milestones!$AB$174&amp;" "&amp;Milestones!$AC$174&amp;";  ","")&amp;IF(AND(EDATE($D149,Milestones!$AA$175)&lt;=AsOfDate,IF($Q149=0,$W149,IF(AND($S149&lt;&gt;"",EDATE($D149,Milestones!$AA$175)&gt;=$S149),$V149,IF(AND($R149&lt;&gt;"",EDATE($D149,Milestones!$AA$175)&gt;=$R149),$U149,$T149)))=Milestones!$AB$175),TEXT(EDATE($D149,Milestones!$AA$175),"dd/mm/yy")&amp;" "&amp;Milestones!$AB$175&amp;" "&amp;Milestones!$AC$175&amp;";  ","")&amp;IF(AND(EDATE($D149,Milestones!$AA$176)&lt;=AsOfDate,IF($Q149=0,$W149,IF(AND($S149&lt;&gt;"",EDATE($D149,Milestones!$AA$176)&gt;=$S149),$V149,IF(AND($R149&lt;&gt;"",EDATE($D149,Milestones!$AA$176)&gt;=$R149),$U149,$T149)))=Milestones!$AB$176),TEXT(EDATE($D149,Milestones!$AA$176),"dd/mm/yy")&amp;" "&amp;Milestones!$AB$176&amp;" "&amp;Milestones!$AC$176&amp;";  ","")&amp;IF(AND(EDATE($D149,Milestones!$AA$177)&lt;=AsOfDate,IF($Q149=0,$W149,IF(AND($S149&lt;&gt;"",EDATE($D149,Milestones!$AA$177)&gt;=$S149),$V149,IF(AND($R149&lt;&gt;"",EDATE($D149,Milestones!$AA$177)&gt;=$R149),$U149,$T149)))=Milestones!$AB$177),TEXT(EDATE($D149,Milestones!$AA$177),"dd/mm/yy")&amp;" "&amp;Milestones!$AB$177&amp;" "&amp;Milestones!$AC$177&amp;";  ","")&amp;IF(AND(EDATE($D149,Milestones!$AA$178)&lt;=AsOfDate,IF($Q149=0,$W149,IF(AND($S149&lt;&gt;"",EDATE($D149,Milestones!$AA$178)&gt;=$S149),$V149,IF(AND($R149&lt;&gt;"",EDATE($D149,Milestones!$AA$178)&gt;=$R149),$U149,$T149)))=Milestones!$AB$178),TEXT(EDATE($D149,Milestones!$AA$178),"dd/mm/yy")&amp;" "&amp;Milestones!$AB$178&amp;" "&amp;Milestones!$AC$178&amp;";  ","")&amp;IF(AND(EDATE($D149,Milestones!$AA$179)&lt;=AsOfDate,IF($Q149=0,$W149,IF(AND($S149&lt;&gt;"",EDATE($D149,Milestones!$AA$179)&gt;=$S149),$V149,IF(AND($R149&lt;&gt;"",EDATE($D149,Milestones!$AA$179)&gt;=$R149),$U149,$T149)))=Milestones!$AB$179),TEXT(EDATE($D149,Milestones!$AA$179),"dd/mm/yy")&amp;" "&amp;Milestones!$AB$179&amp;" "&amp;Milestones!$AC$179&amp;";  ",""))</f>
        <v/>
      </c>
      <c r="P149" s="0" t="str">
        <f aca="false">IF(OR($A149="",$D149=""),"",IF(AND(EDATE($D149,Milestones!$AA$180)&lt;=AsOfDate,IF($Q149=0,$W149,IF(AND($S149&lt;&gt;"",EDATE($D149,Milestones!$AA$180)&gt;=$S149),$V149,IF(AND($R149&lt;&gt;"",EDATE($D149,Milestones!$AA$180)&gt;=$R149),$U149,$T149)))=Milestones!$AB$180),TEXT(EDATE($D149,Milestones!$AA$180),"dd/mm/yy")&amp;" "&amp;Milestones!$AB$180&amp;" "&amp;Milestones!$AC$180&amp;";  ","")&amp;IF(AND(EDATE($D149,Milestones!$AA$181)&lt;=AsOfDate,IF($Q149=0,$W149,IF(AND($S149&lt;&gt;"",EDATE($D149,Milestones!$AA$181)&gt;=$S149),$V149,IF(AND($R149&lt;&gt;"",EDATE($D149,Milestones!$AA$181)&gt;=$R149),$U149,$T149)))=Milestones!$AB$181),TEXT(EDATE($D149,Milestones!$AA$181),"dd/mm/yy")&amp;" "&amp;Milestones!$AB$181&amp;" "&amp;Milestones!$AC$181&amp;";  ","")&amp;IF(AND(EDATE($D149,Milestones!$AA$182)&lt;=AsOfDate,IF($Q149=0,$W149,IF(AND($S149&lt;&gt;"",EDATE($D149,Milestones!$AA$182)&gt;=$S149),$V149,IF(AND($R149&lt;&gt;"",EDATE($D149,Milestones!$AA$182)&gt;=$R149),$U149,$T149)))=Milestones!$AB$182),TEXT(EDATE($D149,Milestones!$AA$182),"dd/mm/yy")&amp;" "&amp;Milestones!$AB$182&amp;" "&amp;Milestones!$AC$182&amp;";  ","")&amp;IF(AND(EDATE($D149,Milestones!$AA$183)&lt;=AsOfDate,IF($Q149=0,$W149,IF(AND($S149&lt;&gt;"",EDATE($D149,Milestones!$AA$183)&gt;=$S149),$V149,IF(AND($R149&lt;&gt;"",EDATE($D149,Milestones!$AA$183)&gt;=$R149),$U149,$T149)))=Milestones!$AB$183),TEXT(EDATE($D149,Milestones!$AA$183),"dd/mm/yy")&amp;" "&amp;Milestones!$AB$183&amp;" "&amp;Milestones!$AC$183&amp;";  ","")&amp;IF(AND(EDATE($D149,Milestones!$AA$184)&lt;=AsOfDate,IF($Q149=0,$W149,IF(AND($S149&lt;&gt;"",EDATE($D149,Milestones!$AA$184)&gt;=$S149),$V149,IF(AND($R149&lt;&gt;"",EDATE($D149,Milestones!$AA$184)&gt;=$R149),$U149,$T149)))=Milestones!$AB$184),TEXT(EDATE($D149,Milestones!$AA$184),"dd/mm/yy")&amp;" "&amp;Milestones!$AB$184&amp;" "&amp;Milestones!$AC$184&amp;";  ","")&amp;IF(AND(EDATE($D149,Milestones!$AA$185)&lt;=AsOfDate,IF($Q149=0,$W149,IF(AND($S149&lt;&gt;"",EDATE($D149,Milestones!$AA$185)&gt;=$S149),$V149,IF(AND($R149&lt;&gt;"",EDATE($D149,Milestones!$AA$185)&gt;=$R149),$U149,$T149)))=Milestones!$AB$185),TEXT(EDATE($D149,Milestones!$AA$185),"dd/mm/yy")&amp;" "&amp;Milestones!$AB$185&amp;" "&amp;Milestones!$AC$185&amp;";  ","")&amp;IF(AND(EDATE($D149,Milestones!$AA$186)&lt;=AsOfDate,IF($Q149=0,$W149,IF(AND($S149&lt;&gt;"",EDATE($D149,Milestones!$AA$186)&gt;=$S149),$V149,IF(AND($R149&lt;&gt;"",EDATE($D149,Milestones!$AA$186)&gt;=$R149),$U149,$T149)))=Milestones!$AB$186),TEXT(EDATE($D149,Milestones!$AA$186),"dd/mm/yy")&amp;" "&amp;Milestones!$AB$186&amp;" "&amp;Milestones!$AC$186&amp;";  ","")&amp;IF(AND(EDATE($D149,Milestones!$AA$187)&lt;=AsOfDate,IF($Q149=0,$W149,IF(AND($S149&lt;&gt;"",EDATE($D149,Milestones!$AA$187)&gt;=$S149),$V149,IF(AND($R149&lt;&gt;"",EDATE($D149,Milestones!$AA$187)&gt;=$R149),$U149,$T149)))=Milestones!$AB$187),TEXT(EDATE($D149,Milestones!$AA$187),"dd/mm/yy")&amp;" "&amp;Milestones!$AB$187&amp;" "&amp;Milestones!$AC$187&amp;";  ","")&amp;IF(AND(EDATE($D149,Milestones!$AA$188)&lt;=AsOfDate,IF($Q149=0,$W149,IF(AND($S149&lt;&gt;"",EDATE($D149,Milestones!$AA$188)&gt;=$S149),$V149,IF(AND($R149&lt;&gt;"",EDATE($D149,Milestones!$AA$188)&gt;=$R149),$U149,$T149)))=Milestones!$AB$188),TEXT(EDATE($D149,Milestones!$AA$188),"dd/mm/yy")&amp;" "&amp;Milestones!$AB$188&amp;" "&amp;Milestones!$AC$188&amp;";  ","")&amp;IF(AND(EDATE($D149,Milestones!$AA$189)&lt;=AsOfDate,IF($Q149=0,$W149,IF(AND($S149&lt;&gt;"",EDATE($D149,Milestones!$AA$189)&gt;=$S149),$V149,IF(AND($R149&lt;&gt;"",EDATE($D149,Milestones!$AA$189)&gt;=$R149),$U149,$T149)))=Milestones!$AB$189),TEXT(EDATE($D149,Milestones!$AA$189),"dd/mm/yy")&amp;" "&amp;Milestones!$AB$189&amp;" "&amp;Milestones!$AC$189&amp;";  ","")&amp;IF(AND(EDATE($D149,Milestones!$AA$190)&lt;=AsOfDate,IF($Q149=0,$W149,IF(AND($S149&lt;&gt;"",EDATE($D149,Milestones!$AA$190)&gt;=$S149),$V149,IF(AND($R149&lt;&gt;"",EDATE($D149,Milestones!$AA$190)&gt;=$R149),$U149,$T149)))=Milestones!$AB$190),TEXT(EDATE($D149,Milestones!$AA$190),"dd/mm/yy")&amp;" "&amp;Milestones!$AB$190&amp;" "&amp;Milestones!$AC$190&amp;";  ","")&amp;IF(AND(EDATE($D149,Milestones!$AA$191)&lt;=AsOfDate,IF($Q149=0,$W149,IF(AND($S149&lt;&gt;"",EDATE($D149,Milestones!$AA$191)&gt;=$S149),$V149,IF(AND($R149&lt;&gt;"",EDATE($D149,Milestones!$AA$191)&gt;=$R149),$U149,$T149)))=Milestones!$AB$191),TEXT(EDATE($D149,Milestones!$AA$191),"dd/mm/yy")&amp;" "&amp;Milestones!$AB$191&amp;" "&amp;Milestones!$AC$191&amp;";  ","")&amp;IF(AND(EDATE($D149,Milestones!$AA$192)&lt;=AsOfDate,IF($Q149=0,$W149,IF(AND($S149&lt;&gt;"",EDATE($D149,Milestones!$AA$192)&gt;=$S149),$V149,IF(AND($R149&lt;&gt;"",EDATE($D149,Milestones!$AA$192)&gt;=$R149),$U149,$T149)))=Milestones!$AB$192),TEXT(EDATE($D149,Milestones!$AA$192),"dd/mm/yy")&amp;" "&amp;Milestones!$AB$192&amp;" "&amp;Milestones!$AC$192&amp;";  ","")&amp;IF(AND(EDATE($D149,Milestones!$AA$193)&lt;=AsOfDate,IF($Q149=0,$W149,IF(AND($S149&lt;&gt;"",EDATE($D149,Milestones!$AA$193)&gt;=$S149),$V149,IF(AND($R149&lt;&gt;"",EDATE($D149,Milestones!$AA$193)&gt;=$R149),$U149,$T149)))=Milestones!$AB$193),TEXT(EDATE($D149,Milestones!$AA$193),"dd/mm/yy")&amp;" "&amp;Milestones!$AB$193&amp;" "&amp;Milestones!$AC$193&amp;";  ","")&amp;IF(AND(EDATE($D149,Milestones!$AA$194)&lt;=AsOfDate,IF($Q149=0,$W149,IF(AND($S149&lt;&gt;"",EDATE($D149,Milestones!$AA$194)&gt;=$S149),$V149,IF(AND($R149&lt;&gt;"",EDATE($D149,Milestones!$AA$194)&gt;=$R149),$U149,$T149)))=Milestones!$AB$194),TEXT(EDATE($D149,Milestones!$AA$194),"dd/mm/yy")&amp;" "&amp;Milestones!$AB$194&amp;" "&amp;Milestones!$AC$194&amp;";  ","")&amp;IF(AND(EDATE($D149,Milestones!$AA$195)&lt;=AsOfDate,IF($Q149=0,$W149,IF(AND($S149&lt;&gt;"",EDATE($D149,Milestones!$AA$195)&gt;=$S149),$V149,IF(AND($R149&lt;&gt;"",EDATE($D149,Milestones!$AA$195)&gt;=$R149),$U149,$T149)))=Milestones!$AB$195),TEXT(EDATE($D149,Milestones!$AA$195),"dd/mm/yy")&amp;" "&amp;Milestones!$AB$195&amp;" "&amp;Milestones!$AC$195&amp;";  ","")&amp;IF(AND(EDATE($D149,Milestones!$AA$196)&lt;=AsOfDate,IF($Q149=0,$W149,IF(AND($S149&lt;&gt;"",EDATE($D149,Milestones!$AA$196)&gt;=$S149),$V149,IF(AND($R149&lt;&gt;"",EDATE($D149,Milestones!$AA$196)&gt;=$R149),$U149,$T149)))=Milestones!$AB$196),TEXT(EDATE($D149,Milestones!$AA$196),"dd/mm/yy")&amp;" "&amp;Milestones!$AB$196&amp;" "&amp;Milestones!$AC$196&amp;";  ","")&amp;IF(AND(EDATE($D149,Milestones!$AA$197)&lt;=AsOfDate,IF($Q149=0,$W149,IF(AND($S149&lt;&gt;"",EDATE($D149,Milestones!$AA$197)&gt;=$S149),$V149,IF(AND($R149&lt;&gt;"",EDATE($D149,Milestones!$AA$197)&gt;=$R149),$U149,$T149)))=Milestones!$AB$197),TEXT(EDATE($D149,Milestones!$AA$197),"dd/mm/yy")&amp;" "&amp;Milestones!$AB$197&amp;" "&amp;Milestones!$AC$197&amp;";  ","")&amp;IF(AND(EDATE($D149,Milestones!$AA$198)&lt;=AsOfDate,IF($Q149=0,$W149,IF(AND($S149&lt;&gt;"",EDATE($D149,Milestones!$AA$198)&gt;=$S149),$V149,IF(AND($R149&lt;&gt;"",EDATE($D149,Milestones!$AA$198)&gt;=$R149),$U149,$T149)))=Milestones!$AB$198),TEXT(EDATE($D149,Milestones!$AA$198),"dd/mm/yy")&amp;" "&amp;Milestones!$AB$198&amp;" "&amp;Milestones!$AC$198&amp;";  ","")&amp;IF(AND(EDATE($D149,Milestones!$AA$199)&lt;=AsOfDate,IF($Q149=0,$W149,IF(AND($S149&lt;&gt;"",EDATE($D149,Milestones!$AA$199)&gt;=$S149),$V149,IF(AND($R149&lt;&gt;"",EDATE($D149,Milestones!$AA$199)&gt;=$R149),$U149,$T149)))=Milestones!$AB$199),TEXT(EDATE($D149,Milestones!$AA$199),"dd/mm/yy")&amp;" "&amp;Milestones!$AB$199&amp;" "&amp;Milestones!$AC$199&amp;";  ",""))</f>
        <v/>
      </c>
      <c r="Q149" s="0" t="str">
        <f aca="false">IF(Staff!$A149="","",Staff!$AG149)</f>
        <v/>
      </c>
      <c r="R149" s="0" t="str">
        <f aca="false">IF(Staff!$A149="","",Staff!$AI149)</f>
        <v/>
      </c>
      <c r="S149" s="0" t="str">
        <f aca="false">IF(Staff!$A149="","",Staff!$AJ149)</f>
        <v/>
      </c>
      <c r="T149" s="0" t="str">
        <f aca="false">IF(Staff!$A149="","",Staff!$AN149)</f>
        <v/>
      </c>
      <c r="U149" s="0" t="str">
        <f aca="false">IF(Staff!$A149="","",Staff!$AO149)</f>
        <v/>
      </c>
      <c r="V149" s="0" t="str">
        <f aca="false">IF(Staff!$A149="","",Staff!$AP149)</f>
        <v/>
      </c>
      <c r="W149" s="0" t="str">
        <f aca="false">IF(Staff!$A149="","",Staff!$AQ149)</f>
        <v/>
      </c>
    </row>
    <row r="150" customFormat="false" ht="15" hidden="false" customHeight="false" outlineLevel="0" collapsed="false">
      <c r="A150" s="13" t="str">
        <f aca="false">IF(Staff!$A150="","",Staff!$A150)</f>
        <v/>
      </c>
      <c r="B150" s="13" t="str">
        <f aca="false">IF(Staff!$A150="","",Staff!$B150)</f>
        <v/>
      </c>
      <c r="C150" s="13" t="str">
        <f aca="false">IF(Staff!$A150="","",Staff!$C150)</f>
        <v/>
      </c>
      <c r="D150" s="11" t="str">
        <f aca="false">IF(Staff!$A150="","",Staff!$AF150)</f>
        <v/>
      </c>
      <c r="E150" s="13" t="str">
        <f aca="false">IF(Staff!$A150="","",Staff!$O150)</f>
        <v/>
      </c>
      <c r="F150" s="13" t="str">
        <f aca="false">IF(E150="","",E150*HoursPerDay)</f>
        <v/>
      </c>
      <c r="G150" s="26" t="str">
        <f aca="false">IF($A150="","",H150&amp;I150&amp;J150&amp;K150&amp;L150&amp;M150&amp;N150&amp;O150&amp;P150)</f>
        <v/>
      </c>
      <c r="H150" s="0" t="str">
        <f aca="false">IF(OR($A150="",$D150=""),"",IF(AND(EDATE($D150,Milestones!$AA$20)&lt;=AsOfDate,IF($Q150=0,$W150,IF(AND($S150&lt;&gt;"",EDATE($D150,Milestones!$AA$20)&gt;=$S150),$V150,IF(AND($R150&lt;&gt;"",EDATE($D150,Milestones!$AA$20)&gt;=$R150),$U150,$T150)))=Milestones!$AB$20),TEXT(EDATE($D150,Milestones!$AA$20),"dd/mm/yy")&amp;" "&amp;Milestones!$AB$20&amp;" "&amp;Milestones!$AC$20&amp;";  ","")&amp;IF(AND(EDATE($D150,Milestones!$AA$21)&lt;=AsOfDate,IF($Q150=0,$W150,IF(AND($S150&lt;&gt;"",EDATE($D150,Milestones!$AA$21)&gt;=$S150),$V150,IF(AND($R150&lt;&gt;"",EDATE($D150,Milestones!$AA$21)&gt;=$R150),$U150,$T150)))=Milestones!$AB$21),TEXT(EDATE($D150,Milestones!$AA$21),"dd/mm/yy")&amp;" "&amp;Milestones!$AB$21&amp;" "&amp;Milestones!$AC$21&amp;";  ","")&amp;IF(AND(EDATE($D150,Milestones!$AA$22)&lt;=AsOfDate,IF($Q150=0,$W150,IF(AND($S150&lt;&gt;"",EDATE($D150,Milestones!$AA$22)&gt;=$S150),$V150,IF(AND($R150&lt;&gt;"",EDATE($D150,Milestones!$AA$22)&gt;=$R150),$U150,$T150)))=Milestones!$AB$22),TEXT(EDATE($D150,Milestones!$AA$22),"dd/mm/yy")&amp;" "&amp;Milestones!$AB$22&amp;" "&amp;Milestones!$AC$22&amp;";  ","")&amp;IF(AND(EDATE($D150,Milestones!$AA$23)&lt;=AsOfDate,IF($Q150=0,$W150,IF(AND($S150&lt;&gt;"",EDATE($D150,Milestones!$AA$23)&gt;=$S150),$V150,IF(AND($R150&lt;&gt;"",EDATE($D150,Milestones!$AA$23)&gt;=$R150),$U150,$T150)))=Milestones!$AB$23),TEXT(EDATE($D150,Milestones!$AA$23),"dd/mm/yy")&amp;" "&amp;Milestones!$AB$23&amp;" "&amp;Milestones!$AC$23&amp;";  ","")&amp;IF(AND(EDATE($D150,Milestones!$AA$24)&lt;=AsOfDate,IF($Q150=0,$W150,IF(AND($S150&lt;&gt;"",EDATE($D150,Milestones!$AA$24)&gt;=$S150),$V150,IF(AND($R150&lt;&gt;"",EDATE($D150,Milestones!$AA$24)&gt;=$R150),$U150,$T150)))=Milestones!$AB$24),TEXT(EDATE($D150,Milestones!$AA$24),"dd/mm/yy")&amp;" "&amp;Milestones!$AB$24&amp;" "&amp;Milestones!$AC$24&amp;";  ","")&amp;IF(AND(EDATE($D150,Milestones!$AA$25)&lt;=AsOfDate,IF($Q150=0,$W150,IF(AND($S150&lt;&gt;"",EDATE($D150,Milestones!$AA$25)&gt;=$S150),$V150,IF(AND($R150&lt;&gt;"",EDATE($D150,Milestones!$AA$25)&gt;=$R150),$U150,$T150)))=Milestones!$AB$25),TEXT(EDATE($D150,Milestones!$AA$25),"dd/mm/yy")&amp;" "&amp;Milestones!$AB$25&amp;" "&amp;Milestones!$AC$25&amp;";  ","")&amp;IF(AND(EDATE($D150,Milestones!$AA$26)&lt;=AsOfDate,IF($Q150=0,$W150,IF(AND($S150&lt;&gt;"",EDATE($D150,Milestones!$AA$26)&gt;=$S150),$V150,IF(AND($R150&lt;&gt;"",EDATE($D150,Milestones!$AA$26)&gt;=$R150),$U150,$T150)))=Milestones!$AB$26),TEXT(EDATE($D150,Milestones!$AA$26),"dd/mm/yy")&amp;" "&amp;Milestones!$AB$26&amp;" "&amp;Milestones!$AC$26&amp;";  ","")&amp;IF(AND(EDATE($D150,Milestones!$AA$27)&lt;=AsOfDate,IF($Q150=0,$W150,IF(AND($S150&lt;&gt;"",EDATE($D150,Milestones!$AA$27)&gt;=$S150),$V150,IF(AND($R150&lt;&gt;"",EDATE($D150,Milestones!$AA$27)&gt;=$R150),$U150,$T150)))=Milestones!$AB$27),TEXT(EDATE($D150,Milestones!$AA$27),"dd/mm/yy")&amp;" "&amp;Milestones!$AB$27&amp;" "&amp;Milestones!$AC$27&amp;";  ","")&amp;IF(AND(EDATE($D150,Milestones!$AA$28)&lt;=AsOfDate,IF($Q150=0,$W150,IF(AND($S150&lt;&gt;"",EDATE($D150,Milestones!$AA$28)&gt;=$S150),$V150,IF(AND($R150&lt;&gt;"",EDATE($D150,Milestones!$AA$28)&gt;=$R150),$U150,$T150)))=Milestones!$AB$28),TEXT(EDATE($D150,Milestones!$AA$28),"dd/mm/yy")&amp;" "&amp;Milestones!$AB$28&amp;" "&amp;Milestones!$AC$28&amp;";  ","")&amp;IF(AND(EDATE($D150,Milestones!$AA$29)&lt;=AsOfDate,IF($Q150=0,$W150,IF(AND($S150&lt;&gt;"",EDATE($D150,Milestones!$AA$29)&gt;=$S150),$V150,IF(AND($R150&lt;&gt;"",EDATE($D150,Milestones!$AA$29)&gt;=$R150),$U150,$T150)))=Milestones!$AB$29),TEXT(EDATE($D150,Milestones!$AA$29),"dd/mm/yy")&amp;" "&amp;Milestones!$AB$29&amp;" "&amp;Milestones!$AC$29&amp;";  ","")&amp;IF(AND(EDATE($D150,Milestones!$AA$30)&lt;=AsOfDate,IF($Q150=0,$W150,IF(AND($S150&lt;&gt;"",EDATE($D150,Milestones!$AA$30)&gt;=$S150),$V150,IF(AND($R150&lt;&gt;"",EDATE($D150,Milestones!$AA$30)&gt;=$R150),$U150,$T150)))=Milestones!$AB$30),TEXT(EDATE($D150,Milestones!$AA$30),"dd/mm/yy")&amp;" "&amp;Milestones!$AB$30&amp;" "&amp;Milestones!$AC$30&amp;";  ","")&amp;IF(AND(EDATE($D150,Milestones!$AA$31)&lt;=AsOfDate,IF($Q150=0,$W150,IF(AND($S150&lt;&gt;"",EDATE($D150,Milestones!$AA$31)&gt;=$S150),$V150,IF(AND($R150&lt;&gt;"",EDATE($D150,Milestones!$AA$31)&gt;=$R150),$U150,$T150)))=Milestones!$AB$31),TEXT(EDATE($D150,Milestones!$AA$31),"dd/mm/yy")&amp;" "&amp;Milestones!$AB$31&amp;" "&amp;Milestones!$AC$31&amp;";  ","")&amp;IF(AND(EDATE($D150,Milestones!$AA$32)&lt;=AsOfDate,IF($Q150=0,$W150,IF(AND($S150&lt;&gt;"",EDATE($D150,Milestones!$AA$32)&gt;=$S150),$V150,IF(AND($R150&lt;&gt;"",EDATE($D150,Milestones!$AA$32)&gt;=$R150),$U150,$T150)))=Milestones!$AB$32),TEXT(EDATE($D150,Milestones!$AA$32),"dd/mm/yy")&amp;" "&amp;Milestones!$AB$32&amp;" "&amp;Milestones!$AC$32&amp;";  ","")&amp;IF(AND(EDATE($D150,Milestones!$AA$33)&lt;=AsOfDate,IF($Q150=0,$W150,IF(AND($S150&lt;&gt;"",EDATE($D150,Milestones!$AA$33)&gt;=$S150),$V150,IF(AND($R150&lt;&gt;"",EDATE($D150,Milestones!$AA$33)&gt;=$R150),$U150,$T150)))=Milestones!$AB$33),TEXT(EDATE($D150,Milestones!$AA$33),"dd/mm/yy")&amp;" "&amp;Milestones!$AB$33&amp;" "&amp;Milestones!$AC$33&amp;";  ","")&amp;IF(AND(EDATE($D150,Milestones!$AA$34)&lt;=AsOfDate,IF($Q150=0,$W150,IF(AND($S150&lt;&gt;"",EDATE($D150,Milestones!$AA$34)&gt;=$S150),$V150,IF(AND($R150&lt;&gt;"",EDATE($D150,Milestones!$AA$34)&gt;=$R150),$U150,$T150)))=Milestones!$AB$34),TEXT(EDATE($D150,Milestones!$AA$34),"dd/mm/yy")&amp;" "&amp;Milestones!$AB$34&amp;" "&amp;Milestones!$AC$34&amp;";  ","")&amp;IF(AND(EDATE($D150,Milestones!$AA$35)&lt;=AsOfDate,IF($Q150=0,$W150,IF(AND($S150&lt;&gt;"",EDATE($D150,Milestones!$AA$35)&gt;=$S150),$V150,IF(AND($R150&lt;&gt;"",EDATE($D150,Milestones!$AA$35)&gt;=$R150),$U150,$T150)))=Milestones!$AB$35),TEXT(EDATE($D150,Milestones!$AA$35),"dd/mm/yy")&amp;" "&amp;Milestones!$AB$35&amp;" "&amp;Milestones!$AC$35&amp;";  ","")&amp;IF(AND(EDATE($D150,Milestones!$AA$36)&lt;=AsOfDate,IF($Q150=0,$W150,IF(AND($S150&lt;&gt;"",EDATE($D150,Milestones!$AA$36)&gt;=$S150),$V150,IF(AND($R150&lt;&gt;"",EDATE($D150,Milestones!$AA$36)&gt;=$R150),$U150,$T150)))=Milestones!$AB$36),TEXT(EDATE($D150,Milestones!$AA$36),"dd/mm/yy")&amp;" "&amp;Milestones!$AB$36&amp;" "&amp;Milestones!$AC$36&amp;";  ","")&amp;IF(AND(EDATE($D150,Milestones!$AA$37)&lt;=AsOfDate,IF($Q150=0,$W150,IF(AND($S150&lt;&gt;"",EDATE($D150,Milestones!$AA$37)&gt;=$S150),$V150,IF(AND($R150&lt;&gt;"",EDATE($D150,Milestones!$AA$37)&gt;=$R150),$U150,$T150)))=Milestones!$AB$37),TEXT(EDATE($D150,Milestones!$AA$37),"dd/mm/yy")&amp;" "&amp;Milestones!$AB$37&amp;" "&amp;Milestones!$AC$37&amp;";  ","")&amp;IF(AND(EDATE($D150,Milestones!$AA$38)&lt;=AsOfDate,IF($Q150=0,$W150,IF(AND($S150&lt;&gt;"",EDATE($D150,Milestones!$AA$38)&gt;=$S150),$V150,IF(AND($R150&lt;&gt;"",EDATE($D150,Milestones!$AA$38)&gt;=$R150),$U150,$T150)))=Milestones!$AB$38),TEXT(EDATE($D150,Milestones!$AA$38),"dd/mm/yy")&amp;" "&amp;Milestones!$AB$38&amp;" "&amp;Milestones!$AC$38&amp;";  ","")&amp;IF(AND(EDATE($D150,Milestones!$AA$39)&lt;=AsOfDate,IF($Q150=0,$W150,IF(AND($S150&lt;&gt;"",EDATE($D150,Milestones!$AA$39)&gt;=$S150),$V150,IF(AND($R150&lt;&gt;"",EDATE($D150,Milestones!$AA$39)&gt;=$R150),$U150,$T150)))=Milestones!$AB$39),TEXT(EDATE($D150,Milestones!$AA$39),"dd/mm/yy")&amp;" "&amp;Milestones!$AB$39&amp;" "&amp;Milestones!$AC$39&amp;";  ",""))</f>
        <v/>
      </c>
      <c r="I150" s="0" t="str">
        <f aca="false">IF(OR($A150="",$D150=""),"",IF(AND(EDATE($D150,Milestones!$AA$40)&lt;=AsOfDate,IF($Q150=0,$W150,IF(AND($S150&lt;&gt;"",EDATE($D150,Milestones!$AA$40)&gt;=$S150),$V150,IF(AND($R150&lt;&gt;"",EDATE($D150,Milestones!$AA$40)&gt;=$R150),$U150,$T150)))=Milestones!$AB$40),TEXT(EDATE($D150,Milestones!$AA$40),"dd/mm/yy")&amp;" "&amp;Milestones!$AB$40&amp;" "&amp;Milestones!$AC$40&amp;";  ","")&amp;IF(AND(EDATE($D150,Milestones!$AA$41)&lt;=AsOfDate,IF($Q150=0,$W150,IF(AND($S150&lt;&gt;"",EDATE($D150,Milestones!$AA$41)&gt;=$S150),$V150,IF(AND($R150&lt;&gt;"",EDATE($D150,Milestones!$AA$41)&gt;=$R150),$U150,$T150)))=Milestones!$AB$41),TEXT(EDATE($D150,Milestones!$AA$41),"dd/mm/yy")&amp;" "&amp;Milestones!$AB$41&amp;" "&amp;Milestones!$AC$41&amp;";  ","")&amp;IF(AND(EDATE($D150,Milestones!$AA$42)&lt;=AsOfDate,IF($Q150=0,$W150,IF(AND($S150&lt;&gt;"",EDATE($D150,Milestones!$AA$42)&gt;=$S150),$V150,IF(AND($R150&lt;&gt;"",EDATE($D150,Milestones!$AA$42)&gt;=$R150),$U150,$T150)))=Milestones!$AB$42),TEXT(EDATE($D150,Milestones!$AA$42),"dd/mm/yy")&amp;" "&amp;Milestones!$AB$42&amp;" "&amp;Milestones!$AC$42&amp;";  ","")&amp;IF(AND(EDATE($D150,Milestones!$AA$43)&lt;=AsOfDate,IF($Q150=0,$W150,IF(AND($S150&lt;&gt;"",EDATE($D150,Milestones!$AA$43)&gt;=$S150),$V150,IF(AND($R150&lt;&gt;"",EDATE($D150,Milestones!$AA$43)&gt;=$R150),$U150,$T150)))=Milestones!$AB$43),TEXT(EDATE($D150,Milestones!$AA$43),"dd/mm/yy")&amp;" "&amp;Milestones!$AB$43&amp;" "&amp;Milestones!$AC$43&amp;";  ","")&amp;IF(AND(EDATE($D150,Milestones!$AA$44)&lt;=AsOfDate,IF($Q150=0,$W150,IF(AND($S150&lt;&gt;"",EDATE($D150,Milestones!$AA$44)&gt;=$S150),$V150,IF(AND($R150&lt;&gt;"",EDATE($D150,Milestones!$AA$44)&gt;=$R150),$U150,$T150)))=Milestones!$AB$44),TEXT(EDATE($D150,Milestones!$AA$44),"dd/mm/yy")&amp;" "&amp;Milestones!$AB$44&amp;" "&amp;Milestones!$AC$44&amp;";  ","")&amp;IF(AND(EDATE($D150,Milestones!$AA$45)&lt;=AsOfDate,IF($Q150=0,$W150,IF(AND($S150&lt;&gt;"",EDATE($D150,Milestones!$AA$45)&gt;=$S150),$V150,IF(AND($R150&lt;&gt;"",EDATE($D150,Milestones!$AA$45)&gt;=$R150),$U150,$T150)))=Milestones!$AB$45),TEXT(EDATE($D150,Milestones!$AA$45),"dd/mm/yy")&amp;" "&amp;Milestones!$AB$45&amp;" "&amp;Milestones!$AC$45&amp;";  ","")&amp;IF(AND(EDATE($D150,Milestones!$AA$46)&lt;=AsOfDate,IF($Q150=0,$W150,IF(AND($S150&lt;&gt;"",EDATE($D150,Milestones!$AA$46)&gt;=$S150),$V150,IF(AND($R150&lt;&gt;"",EDATE($D150,Milestones!$AA$46)&gt;=$R150),$U150,$T150)))=Milestones!$AB$46),TEXT(EDATE($D150,Milestones!$AA$46),"dd/mm/yy")&amp;" "&amp;Milestones!$AB$46&amp;" "&amp;Milestones!$AC$46&amp;";  ","")&amp;IF(AND(EDATE($D150,Milestones!$AA$47)&lt;=AsOfDate,IF($Q150=0,$W150,IF(AND($S150&lt;&gt;"",EDATE($D150,Milestones!$AA$47)&gt;=$S150),$V150,IF(AND($R150&lt;&gt;"",EDATE($D150,Milestones!$AA$47)&gt;=$R150),$U150,$T150)))=Milestones!$AB$47),TEXT(EDATE($D150,Milestones!$AA$47),"dd/mm/yy")&amp;" "&amp;Milestones!$AB$47&amp;" "&amp;Milestones!$AC$47&amp;";  ","")&amp;IF(AND(EDATE($D150,Milestones!$AA$48)&lt;=AsOfDate,IF($Q150=0,$W150,IF(AND($S150&lt;&gt;"",EDATE($D150,Milestones!$AA$48)&gt;=$S150),$V150,IF(AND($R150&lt;&gt;"",EDATE($D150,Milestones!$AA$48)&gt;=$R150),$U150,$T150)))=Milestones!$AB$48),TEXT(EDATE($D150,Milestones!$AA$48),"dd/mm/yy")&amp;" "&amp;Milestones!$AB$48&amp;" "&amp;Milestones!$AC$48&amp;";  ","")&amp;IF(AND(EDATE($D150,Milestones!$AA$49)&lt;=AsOfDate,IF($Q150=0,$W150,IF(AND($S150&lt;&gt;"",EDATE($D150,Milestones!$AA$49)&gt;=$S150),$V150,IF(AND($R150&lt;&gt;"",EDATE($D150,Milestones!$AA$49)&gt;=$R150),$U150,$T150)))=Milestones!$AB$49),TEXT(EDATE($D150,Milestones!$AA$49),"dd/mm/yy")&amp;" "&amp;Milestones!$AB$49&amp;" "&amp;Milestones!$AC$49&amp;";  ","")&amp;IF(AND(EDATE($D150,Milestones!$AA$50)&lt;=AsOfDate,IF($Q150=0,$W150,IF(AND($S150&lt;&gt;"",EDATE($D150,Milestones!$AA$50)&gt;=$S150),$V150,IF(AND($R150&lt;&gt;"",EDATE($D150,Milestones!$AA$50)&gt;=$R150),$U150,$T150)))=Milestones!$AB$50),TEXT(EDATE($D150,Milestones!$AA$50),"dd/mm/yy")&amp;" "&amp;Milestones!$AB$50&amp;" "&amp;Milestones!$AC$50&amp;";  ","")&amp;IF(AND(EDATE($D150,Milestones!$AA$51)&lt;=AsOfDate,IF($Q150=0,$W150,IF(AND($S150&lt;&gt;"",EDATE($D150,Milestones!$AA$51)&gt;=$S150),$V150,IF(AND($R150&lt;&gt;"",EDATE($D150,Milestones!$AA$51)&gt;=$R150),$U150,$T150)))=Milestones!$AB$51),TEXT(EDATE($D150,Milestones!$AA$51),"dd/mm/yy")&amp;" "&amp;Milestones!$AB$51&amp;" "&amp;Milestones!$AC$51&amp;";  ","")&amp;IF(AND(EDATE($D150,Milestones!$AA$52)&lt;=AsOfDate,IF($Q150=0,$W150,IF(AND($S150&lt;&gt;"",EDATE($D150,Milestones!$AA$52)&gt;=$S150),$V150,IF(AND($R150&lt;&gt;"",EDATE($D150,Milestones!$AA$52)&gt;=$R150),$U150,$T150)))=Milestones!$AB$52),TEXT(EDATE($D150,Milestones!$AA$52),"dd/mm/yy")&amp;" "&amp;Milestones!$AB$52&amp;" "&amp;Milestones!$AC$52&amp;";  ","")&amp;IF(AND(EDATE($D150,Milestones!$AA$53)&lt;=AsOfDate,IF($Q150=0,$W150,IF(AND($S150&lt;&gt;"",EDATE($D150,Milestones!$AA$53)&gt;=$S150),$V150,IF(AND($R150&lt;&gt;"",EDATE($D150,Milestones!$AA$53)&gt;=$R150),$U150,$T150)))=Milestones!$AB$53),TEXT(EDATE($D150,Milestones!$AA$53),"dd/mm/yy")&amp;" "&amp;Milestones!$AB$53&amp;" "&amp;Milestones!$AC$53&amp;";  ","")&amp;IF(AND(EDATE($D150,Milestones!$AA$54)&lt;=AsOfDate,IF($Q150=0,$W150,IF(AND($S150&lt;&gt;"",EDATE($D150,Milestones!$AA$54)&gt;=$S150),$V150,IF(AND($R150&lt;&gt;"",EDATE($D150,Milestones!$AA$54)&gt;=$R150),$U150,$T150)))=Milestones!$AB$54),TEXT(EDATE($D150,Milestones!$AA$54),"dd/mm/yy")&amp;" "&amp;Milestones!$AB$54&amp;" "&amp;Milestones!$AC$54&amp;";  ","")&amp;IF(AND(EDATE($D150,Milestones!$AA$55)&lt;=AsOfDate,IF($Q150=0,$W150,IF(AND($S150&lt;&gt;"",EDATE($D150,Milestones!$AA$55)&gt;=$S150),$V150,IF(AND($R150&lt;&gt;"",EDATE($D150,Milestones!$AA$55)&gt;=$R150),$U150,$T150)))=Milestones!$AB$55),TEXT(EDATE($D150,Milestones!$AA$55),"dd/mm/yy")&amp;" "&amp;Milestones!$AB$55&amp;" "&amp;Milestones!$AC$55&amp;";  ","")&amp;IF(AND(EDATE($D150,Milestones!$AA$56)&lt;=AsOfDate,IF($Q150=0,$W150,IF(AND($S150&lt;&gt;"",EDATE($D150,Milestones!$AA$56)&gt;=$S150),$V150,IF(AND($R150&lt;&gt;"",EDATE($D150,Milestones!$AA$56)&gt;=$R150),$U150,$T150)))=Milestones!$AB$56),TEXT(EDATE($D150,Milestones!$AA$56),"dd/mm/yy")&amp;" "&amp;Milestones!$AB$56&amp;" "&amp;Milestones!$AC$56&amp;";  ","")&amp;IF(AND(EDATE($D150,Milestones!$AA$57)&lt;=AsOfDate,IF($Q150=0,$W150,IF(AND($S150&lt;&gt;"",EDATE($D150,Milestones!$AA$57)&gt;=$S150),$V150,IF(AND($R150&lt;&gt;"",EDATE($D150,Milestones!$AA$57)&gt;=$R150),$U150,$T150)))=Milestones!$AB$57),TEXT(EDATE($D150,Milestones!$AA$57),"dd/mm/yy")&amp;" "&amp;Milestones!$AB$57&amp;" "&amp;Milestones!$AC$57&amp;";  ","")&amp;IF(AND(EDATE($D150,Milestones!$AA$58)&lt;=AsOfDate,IF($Q150=0,$W150,IF(AND($S150&lt;&gt;"",EDATE($D150,Milestones!$AA$58)&gt;=$S150),$V150,IF(AND($R150&lt;&gt;"",EDATE($D150,Milestones!$AA$58)&gt;=$R150),$U150,$T150)))=Milestones!$AB$58),TEXT(EDATE($D150,Milestones!$AA$58),"dd/mm/yy")&amp;" "&amp;Milestones!$AB$58&amp;" "&amp;Milestones!$AC$58&amp;";  ","")&amp;IF(AND(EDATE($D150,Milestones!$AA$59)&lt;=AsOfDate,IF($Q150=0,$W150,IF(AND($S150&lt;&gt;"",EDATE($D150,Milestones!$AA$59)&gt;=$S150),$V150,IF(AND($R150&lt;&gt;"",EDATE($D150,Milestones!$AA$59)&gt;=$R150),$U150,$T150)))=Milestones!$AB$59),TEXT(EDATE($D150,Milestones!$AA$59),"dd/mm/yy")&amp;" "&amp;Milestones!$AB$59&amp;" "&amp;Milestones!$AC$59&amp;";  ",""))</f>
        <v/>
      </c>
      <c r="J150" s="0" t="str">
        <f aca="false">IF(OR($A150="",$D150=""),"",IF(AND(EDATE($D150,Milestones!$AA$60)&lt;=AsOfDate,IF($Q150=0,$W150,IF(AND($S150&lt;&gt;"",EDATE($D150,Milestones!$AA$60)&gt;=$S150),$V150,IF(AND($R150&lt;&gt;"",EDATE($D150,Milestones!$AA$60)&gt;=$R150),$U150,$T150)))=Milestones!$AB$60),TEXT(EDATE($D150,Milestones!$AA$60),"dd/mm/yy")&amp;" "&amp;Milestones!$AB$60&amp;" "&amp;Milestones!$AC$60&amp;";  ","")&amp;IF(AND(EDATE($D150,Milestones!$AA$61)&lt;=AsOfDate,IF($Q150=0,$W150,IF(AND($S150&lt;&gt;"",EDATE($D150,Milestones!$AA$61)&gt;=$S150),$V150,IF(AND($R150&lt;&gt;"",EDATE($D150,Milestones!$AA$61)&gt;=$R150),$U150,$T150)))=Milestones!$AB$61),TEXT(EDATE($D150,Milestones!$AA$61),"dd/mm/yy")&amp;" "&amp;Milestones!$AB$61&amp;" "&amp;Milestones!$AC$61&amp;";  ","")&amp;IF(AND(EDATE($D150,Milestones!$AA$62)&lt;=AsOfDate,IF($Q150=0,$W150,IF(AND($S150&lt;&gt;"",EDATE($D150,Milestones!$AA$62)&gt;=$S150),$V150,IF(AND($R150&lt;&gt;"",EDATE($D150,Milestones!$AA$62)&gt;=$R150),$U150,$T150)))=Milestones!$AB$62),TEXT(EDATE($D150,Milestones!$AA$62),"dd/mm/yy")&amp;" "&amp;Milestones!$AB$62&amp;" "&amp;Milestones!$AC$62&amp;";  ","")&amp;IF(AND(EDATE($D150,Milestones!$AA$63)&lt;=AsOfDate,IF($Q150=0,$W150,IF(AND($S150&lt;&gt;"",EDATE($D150,Milestones!$AA$63)&gt;=$S150),$V150,IF(AND($R150&lt;&gt;"",EDATE($D150,Milestones!$AA$63)&gt;=$R150),$U150,$T150)))=Milestones!$AB$63),TEXT(EDATE($D150,Milestones!$AA$63),"dd/mm/yy")&amp;" "&amp;Milestones!$AB$63&amp;" "&amp;Milestones!$AC$63&amp;";  ","")&amp;IF(AND(EDATE($D150,Milestones!$AA$64)&lt;=AsOfDate,IF($Q150=0,$W150,IF(AND($S150&lt;&gt;"",EDATE($D150,Milestones!$AA$64)&gt;=$S150),$V150,IF(AND($R150&lt;&gt;"",EDATE($D150,Milestones!$AA$64)&gt;=$R150),$U150,$T150)))=Milestones!$AB$64),TEXT(EDATE($D150,Milestones!$AA$64),"dd/mm/yy")&amp;" "&amp;Milestones!$AB$64&amp;" "&amp;Milestones!$AC$64&amp;";  ","")&amp;IF(AND(EDATE($D150,Milestones!$AA$65)&lt;=AsOfDate,IF($Q150=0,$W150,IF(AND($S150&lt;&gt;"",EDATE($D150,Milestones!$AA$65)&gt;=$S150),$V150,IF(AND($R150&lt;&gt;"",EDATE($D150,Milestones!$AA$65)&gt;=$R150),$U150,$T150)))=Milestones!$AB$65),TEXT(EDATE($D150,Milestones!$AA$65),"dd/mm/yy")&amp;" "&amp;Milestones!$AB$65&amp;" "&amp;Milestones!$AC$65&amp;";  ","")&amp;IF(AND(EDATE($D150,Milestones!$AA$66)&lt;=AsOfDate,IF($Q150=0,$W150,IF(AND($S150&lt;&gt;"",EDATE($D150,Milestones!$AA$66)&gt;=$S150),$V150,IF(AND($R150&lt;&gt;"",EDATE($D150,Milestones!$AA$66)&gt;=$R150),$U150,$T150)))=Milestones!$AB$66),TEXT(EDATE($D150,Milestones!$AA$66),"dd/mm/yy")&amp;" "&amp;Milestones!$AB$66&amp;" "&amp;Milestones!$AC$66&amp;";  ","")&amp;IF(AND(EDATE($D150,Milestones!$AA$67)&lt;=AsOfDate,IF($Q150=0,$W150,IF(AND($S150&lt;&gt;"",EDATE($D150,Milestones!$AA$67)&gt;=$S150),$V150,IF(AND($R150&lt;&gt;"",EDATE($D150,Milestones!$AA$67)&gt;=$R150),$U150,$T150)))=Milestones!$AB$67),TEXT(EDATE($D150,Milestones!$AA$67),"dd/mm/yy")&amp;" "&amp;Milestones!$AB$67&amp;" "&amp;Milestones!$AC$67&amp;";  ","")&amp;IF(AND(EDATE($D150,Milestones!$AA$68)&lt;=AsOfDate,IF($Q150=0,$W150,IF(AND($S150&lt;&gt;"",EDATE($D150,Milestones!$AA$68)&gt;=$S150),$V150,IF(AND($R150&lt;&gt;"",EDATE($D150,Milestones!$AA$68)&gt;=$R150),$U150,$T150)))=Milestones!$AB$68),TEXT(EDATE($D150,Milestones!$AA$68),"dd/mm/yy")&amp;" "&amp;Milestones!$AB$68&amp;" "&amp;Milestones!$AC$68&amp;";  ","")&amp;IF(AND(EDATE($D150,Milestones!$AA$69)&lt;=AsOfDate,IF($Q150=0,$W150,IF(AND($S150&lt;&gt;"",EDATE($D150,Milestones!$AA$69)&gt;=$S150),$V150,IF(AND($R150&lt;&gt;"",EDATE($D150,Milestones!$AA$69)&gt;=$R150),$U150,$T150)))=Milestones!$AB$69),TEXT(EDATE($D150,Milestones!$AA$69),"dd/mm/yy")&amp;" "&amp;Milestones!$AB$69&amp;" "&amp;Milestones!$AC$69&amp;";  ","")&amp;IF(AND(EDATE($D150,Milestones!$AA$70)&lt;=AsOfDate,IF($Q150=0,$W150,IF(AND($S150&lt;&gt;"",EDATE($D150,Milestones!$AA$70)&gt;=$S150),$V150,IF(AND($R150&lt;&gt;"",EDATE($D150,Milestones!$AA$70)&gt;=$R150),$U150,$T150)))=Milestones!$AB$70),TEXT(EDATE($D150,Milestones!$AA$70),"dd/mm/yy")&amp;" "&amp;Milestones!$AB$70&amp;" "&amp;Milestones!$AC$70&amp;";  ","")&amp;IF(AND(EDATE($D150,Milestones!$AA$71)&lt;=AsOfDate,IF($Q150=0,$W150,IF(AND($S150&lt;&gt;"",EDATE($D150,Milestones!$AA$71)&gt;=$S150),$V150,IF(AND($R150&lt;&gt;"",EDATE($D150,Milestones!$AA$71)&gt;=$R150),$U150,$T150)))=Milestones!$AB$71),TEXT(EDATE($D150,Milestones!$AA$71),"dd/mm/yy")&amp;" "&amp;Milestones!$AB$71&amp;" "&amp;Milestones!$AC$71&amp;";  ","")&amp;IF(AND(EDATE($D150,Milestones!$AA$72)&lt;=AsOfDate,IF($Q150=0,$W150,IF(AND($S150&lt;&gt;"",EDATE($D150,Milestones!$AA$72)&gt;=$S150),$V150,IF(AND($R150&lt;&gt;"",EDATE($D150,Milestones!$AA$72)&gt;=$R150),$U150,$T150)))=Milestones!$AB$72),TEXT(EDATE($D150,Milestones!$AA$72),"dd/mm/yy")&amp;" "&amp;Milestones!$AB$72&amp;" "&amp;Milestones!$AC$72&amp;";  ","")&amp;IF(AND(EDATE($D150,Milestones!$AA$73)&lt;=AsOfDate,IF($Q150=0,$W150,IF(AND($S150&lt;&gt;"",EDATE($D150,Milestones!$AA$73)&gt;=$S150),$V150,IF(AND($R150&lt;&gt;"",EDATE($D150,Milestones!$AA$73)&gt;=$R150),$U150,$T150)))=Milestones!$AB$73),TEXT(EDATE($D150,Milestones!$AA$73),"dd/mm/yy")&amp;" "&amp;Milestones!$AB$73&amp;" "&amp;Milestones!$AC$73&amp;";  ","")&amp;IF(AND(EDATE($D150,Milestones!$AA$74)&lt;=AsOfDate,IF($Q150=0,$W150,IF(AND($S150&lt;&gt;"",EDATE($D150,Milestones!$AA$74)&gt;=$S150),$V150,IF(AND($R150&lt;&gt;"",EDATE($D150,Milestones!$AA$74)&gt;=$R150),$U150,$T150)))=Milestones!$AB$74),TEXT(EDATE($D150,Milestones!$AA$74),"dd/mm/yy")&amp;" "&amp;Milestones!$AB$74&amp;" "&amp;Milestones!$AC$74&amp;";  ","")&amp;IF(AND(EDATE($D150,Milestones!$AA$75)&lt;=AsOfDate,IF($Q150=0,$W150,IF(AND($S150&lt;&gt;"",EDATE($D150,Milestones!$AA$75)&gt;=$S150),$V150,IF(AND($R150&lt;&gt;"",EDATE($D150,Milestones!$AA$75)&gt;=$R150),$U150,$T150)))=Milestones!$AB$75),TEXT(EDATE($D150,Milestones!$AA$75),"dd/mm/yy")&amp;" "&amp;Milestones!$AB$75&amp;" "&amp;Milestones!$AC$75&amp;";  ","")&amp;IF(AND(EDATE($D150,Milestones!$AA$76)&lt;=AsOfDate,IF($Q150=0,$W150,IF(AND($S150&lt;&gt;"",EDATE($D150,Milestones!$AA$76)&gt;=$S150),$V150,IF(AND($R150&lt;&gt;"",EDATE($D150,Milestones!$AA$76)&gt;=$R150),$U150,$T150)))=Milestones!$AB$76),TEXT(EDATE($D150,Milestones!$AA$76),"dd/mm/yy")&amp;" "&amp;Milestones!$AB$76&amp;" "&amp;Milestones!$AC$76&amp;";  ","")&amp;IF(AND(EDATE($D150,Milestones!$AA$77)&lt;=AsOfDate,IF($Q150=0,$W150,IF(AND($S150&lt;&gt;"",EDATE($D150,Milestones!$AA$77)&gt;=$S150),$V150,IF(AND($R150&lt;&gt;"",EDATE($D150,Milestones!$AA$77)&gt;=$R150),$U150,$T150)))=Milestones!$AB$77),TEXT(EDATE($D150,Milestones!$AA$77),"dd/mm/yy")&amp;" "&amp;Milestones!$AB$77&amp;" "&amp;Milestones!$AC$77&amp;";  ","")&amp;IF(AND(EDATE($D150,Milestones!$AA$78)&lt;=AsOfDate,IF($Q150=0,$W150,IF(AND($S150&lt;&gt;"",EDATE($D150,Milestones!$AA$78)&gt;=$S150),$V150,IF(AND($R150&lt;&gt;"",EDATE($D150,Milestones!$AA$78)&gt;=$R150),$U150,$T150)))=Milestones!$AB$78),TEXT(EDATE($D150,Milestones!$AA$78),"dd/mm/yy")&amp;" "&amp;Milestones!$AB$78&amp;" "&amp;Milestones!$AC$78&amp;";  ","")&amp;IF(AND(EDATE($D150,Milestones!$AA$79)&lt;=AsOfDate,IF($Q150=0,$W150,IF(AND($S150&lt;&gt;"",EDATE($D150,Milestones!$AA$79)&gt;=$S150),$V150,IF(AND($R150&lt;&gt;"",EDATE($D150,Milestones!$AA$79)&gt;=$R150),$U150,$T150)))=Milestones!$AB$79),TEXT(EDATE($D150,Milestones!$AA$79),"dd/mm/yy")&amp;" "&amp;Milestones!$AB$79&amp;" "&amp;Milestones!$AC$79&amp;";  ",""))</f>
        <v/>
      </c>
      <c r="K150" s="0" t="str">
        <f aca="false">IF(OR($A150="",$D150=""),"",IF(AND(EDATE($D150,Milestones!$AA$80)&lt;=AsOfDate,IF($Q150=0,$W150,IF(AND($S150&lt;&gt;"",EDATE($D150,Milestones!$AA$80)&gt;=$S150),$V150,IF(AND($R150&lt;&gt;"",EDATE($D150,Milestones!$AA$80)&gt;=$R150),$U150,$T150)))=Milestones!$AB$80),TEXT(EDATE($D150,Milestones!$AA$80),"dd/mm/yy")&amp;" "&amp;Milestones!$AB$80&amp;" "&amp;Milestones!$AC$80&amp;";  ","")&amp;IF(AND(EDATE($D150,Milestones!$AA$81)&lt;=AsOfDate,IF($Q150=0,$W150,IF(AND($S150&lt;&gt;"",EDATE($D150,Milestones!$AA$81)&gt;=$S150),$V150,IF(AND($R150&lt;&gt;"",EDATE($D150,Milestones!$AA$81)&gt;=$R150),$U150,$T150)))=Milestones!$AB$81),TEXT(EDATE($D150,Milestones!$AA$81),"dd/mm/yy")&amp;" "&amp;Milestones!$AB$81&amp;" "&amp;Milestones!$AC$81&amp;";  ","")&amp;IF(AND(EDATE($D150,Milestones!$AA$82)&lt;=AsOfDate,IF($Q150=0,$W150,IF(AND($S150&lt;&gt;"",EDATE($D150,Milestones!$AA$82)&gt;=$S150),$V150,IF(AND($R150&lt;&gt;"",EDATE($D150,Milestones!$AA$82)&gt;=$R150),$U150,$T150)))=Milestones!$AB$82),TEXT(EDATE($D150,Milestones!$AA$82),"dd/mm/yy")&amp;" "&amp;Milestones!$AB$82&amp;" "&amp;Milestones!$AC$82&amp;";  ","")&amp;IF(AND(EDATE($D150,Milestones!$AA$83)&lt;=AsOfDate,IF($Q150=0,$W150,IF(AND($S150&lt;&gt;"",EDATE($D150,Milestones!$AA$83)&gt;=$S150),$V150,IF(AND($R150&lt;&gt;"",EDATE($D150,Milestones!$AA$83)&gt;=$R150),$U150,$T150)))=Milestones!$AB$83),TEXT(EDATE($D150,Milestones!$AA$83),"dd/mm/yy")&amp;" "&amp;Milestones!$AB$83&amp;" "&amp;Milestones!$AC$83&amp;";  ","")&amp;IF(AND(EDATE($D150,Milestones!$AA$84)&lt;=AsOfDate,IF($Q150=0,$W150,IF(AND($S150&lt;&gt;"",EDATE($D150,Milestones!$AA$84)&gt;=$S150),$V150,IF(AND($R150&lt;&gt;"",EDATE($D150,Milestones!$AA$84)&gt;=$R150),$U150,$T150)))=Milestones!$AB$84),TEXT(EDATE($D150,Milestones!$AA$84),"dd/mm/yy")&amp;" "&amp;Milestones!$AB$84&amp;" "&amp;Milestones!$AC$84&amp;";  ","")&amp;IF(AND(EDATE($D150,Milestones!$AA$85)&lt;=AsOfDate,IF($Q150=0,$W150,IF(AND($S150&lt;&gt;"",EDATE($D150,Milestones!$AA$85)&gt;=$S150),$V150,IF(AND($R150&lt;&gt;"",EDATE($D150,Milestones!$AA$85)&gt;=$R150),$U150,$T150)))=Milestones!$AB$85),TEXT(EDATE($D150,Milestones!$AA$85),"dd/mm/yy")&amp;" "&amp;Milestones!$AB$85&amp;" "&amp;Milestones!$AC$85&amp;";  ","")&amp;IF(AND(EDATE($D150,Milestones!$AA$86)&lt;=AsOfDate,IF($Q150=0,$W150,IF(AND($S150&lt;&gt;"",EDATE($D150,Milestones!$AA$86)&gt;=$S150),$V150,IF(AND($R150&lt;&gt;"",EDATE($D150,Milestones!$AA$86)&gt;=$R150),$U150,$T150)))=Milestones!$AB$86),TEXT(EDATE($D150,Milestones!$AA$86),"dd/mm/yy")&amp;" "&amp;Milestones!$AB$86&amp;" "&amp;Milestones!$AC$86&amp;";  ","")&amp;IF(AND(EDATE($D150,Milestones!$AA$87)&lt;=AsOfDate,IF($Q150=0,$W150,IF(AND($S150&lt;&gt;"",EDATE($D150,Milestones!$AA$87)&gt;=$S150),$V150,IF(AND($R150&lt;&gt;"",EDATE($D150,Milestones!$AA$87)&gt;=$R150),$U150,$T150)))=Milestones!$AB$87),TEXT(EDATE($D150,Milestones!$AA$87),"dd/mm/yy")&amp;" "&amp;Milestones!$AB$87&amp;" "&amp;Milestones!$AC$87&amp;";  ","")&amp;IF(AND(EDATE($D150,Milestones!$AA$88)&lt;=AsOfDate,IF($Q150=0,$W150,IF(AND($S150&lt;&gt;"",EDATE($D150,Milestones!$AA$88)&gt;=$S150),$V150,IF(AND($R150&lt;&gt;"",EDATE($D150,Milestones!$AA$88)&gt;=$R150),$U150,$T150)))=Milestones!$AB$88),TEXT(EDATE($D150,Milestones!$AA$88),"dd/mm/yy")&amp;" "&amp;Milestones!$AB$88&amp;" "&amp;Milestones!$AC$88&amp;";  ","")&amp;IF(AND(EDATE($D150,Milestones!$AA$89)&lt;=AsOfDate,IF($Q150=0,$W150,IF(AND($S150&lt;&gt;"",EDATE($D150,Milestones!$AA$89)&gt;=$S150),$V150,IF(AND($R150&lt;&gt;"",EDATE($D150,Milestones!$AA$89)&gt;=$R150),$U150,$T150)))=Milestones!$AB$89),TEXT(EDATE($D150,Milestones!$AA$89),"dd/mm/yy")&amp;" "&amp;Milestones!$AB$89&amp;" "&amp;Milestones!$AC$89&amp;";  ","")&amp;IF(AND(EDATE($D150,Milestones!$AA$90)&lt;=AsOfDate,IF($Q150=0,$W150,IF(AND($S150&lt;&gt;"",EDATE($D150,Milestones!$AA$90)&gt;=$S150),$V150,IF(AND($R150&lt;&gt;"",EDATE($D150,Milestones!$AA$90)&gt;=$R150),$U150,$T150)))=Milestones!$AB$90),TEXT(EDATE($D150,Milestones!$AA$90),"dd/mm/yy")&amp;" "&amp;Milestones!$AB$90&amp;" "&amp;Milestones!$AC$90&amp;";  ","")&amp;IF(AND(EDATE($D150,Milestones!$AA$91)&lt;=AsOfDate,IF($Q150=0,$W150,IF(AND($S150&lt;&gt;"",EDATE($D150,Milestones!$AA$91)&gt;=$S150),$V150,IF(AND($R150&lt;&gt;"",EDATE($D150,Milestones!$AA$91)&gt;=$R150),$U150,$T150)))=Milestones!$AB$91),TEXT(EDATE($D150,Milestones!$AA$91),"dd/mm/yy")&amp;" "&amp;Milestones!$AB$91&amp;" "&amp;Milestones!$AC$91&amp;";  ","")&amp;IF(AND(EDATE($D150,Milestones!$AA$92)&lt;=AsOfDate,IF($Q150=0,$W150,IF(AND($S150&lt;&gt;"",EDATE($D150,Milestones!$AA$92)&gt;=$S150),$V150,IF(AND($R150&lt;&gt;"",EDATE($D150,Milestones!$AA$92)&gt;=$R150),$U150,$T150)))=Milestones!$AB$92),TEXT(EDATE($D150,Milestones!$AA$92),"dd/mm/yy")&amp;" "&amp;Milestones!$AB$92&amp;" "&amp;Milestones!$AC$92&amp;";  ","")&amp;IF(AND(EDATE($D150,Milestones!$AA$93)&lt;=AsOfDate,IF($Q150=0,$W150,IF(AND($S150&lt;&gt;"",EDATE($D150,Milestones!$AA$93)&gt;=$S150),$V150,IF(AND($R150&lt;&gt;"",EDATE($D150,Milestones!$AA$93)&gt;=$R150),$U150,$T150)))=Milestones!$AB$93),TEXT(EDATE($D150,Milestones!$AA$93),"dd/mm/yy")&amp;" "&amp;Milestones!$AB$93&amp;" "&amp;Milestones!$AC$93&amp;";  ","")&amp;IF(AND(EDATE($D150,Milestones!$AA$94)&lt;=AsOfDate,IF($Q150=0,$W150,IF(AND($S150&lt;&gt;"",EDATE($D150,Milestones!$AA$94)&gt;=$S150),$V150,IF(AND($R150&lt;&gt;"",EDATE($D150,Milestones!$AA$94)&gt;=$R150),$U150,$T150)))=Milestones!$AB$94),TEXT(EDATE($D150,Milestones!$AA$94),"dd/mm/yy")&amp;" "&amp;Milestones!$AB$94&amp;" "&amp;Milestones!$AC$94&amp;";  ","")&amp;IF(AND(EDATE($D150,Milestones!$AA$95)&lt;=AsOfDate,IF($Q150=0,$W150,IF(AND($S150&lt;&gt;"",EDATE($D150,Milestones!$AA$95)&gt;=$S150),$V150,IF(AND($R150&lt;&gt;"",EDATE($D150,Milestones!$AA$95)&gt;=$R150),$U150,$T150)))=Milestones!$AB$95),TEXT(EDATE($D150,Milestones!$AA$95),"dd/mm/yy")&amp;" "&amp;Milestones!$AB$95&amp;" "&amp;Milestones!$AC$95&amp;";  ","")&amp;IF(AND(EDATE($D150,Milestones!$AA$96)&lt;=AsOfDate,IF($Q150=0,$W150,IF(AND($S150&lt;&gt;"",EDATE($D150,Milestones!$AA$96)&gt;=$S150),$V150,IF(AND($R150&lt;&gt;"",EDATE($D150,Milestones!$AA$96)&gt;=$R150),$U150,$T150)))=Milestones!$AB$96),TEXT(EDATE($D150,Milestones!$AA$96),"dd/mm/yy")&amp;" "&amp;Milestones!$AB$96&amp;" "&amp;Milestones!$AC$96&amp;";  ","")&amp;IF(AND(EDATE($D150,Milestones!$AA$97)&lt;=AsOfDate,IF($Q150=0,$W150,IF(AND($S150&lt;&gt;"",EDATE($D150,Milestones!$AA$97)&gt;=$S150),$V150,IF(AND($R150&lt;&gt;"",EDATE($D150,Milestones!$AA$97)&gt;=$R150),$U150,$T150)))=Milestones!$AB$97),TEXT(EDATE($D150,Milestones!$AA$97),"dd/mm/yy")&amp;" "&amp;Milestones!$AB$97&amp;" "&amp;Milestones!$AC$97&amp;";  ","")&amp;IF(AND(EDATE($D150,Milestones!$AA$98)&lt;=AsOfDate,IF($Q150=0,$W150,IF(AND($S150&lt;&gt;"",EDATE($D150,Milestones!$AA$98)&gt;=$S150),$V150,IF(AND($R150&lt;&gt;"",EDATE($D150,Milestones!$AA$98)&gt;=$R150),$U150,$T150)))=Milestones!$AB$98),TEXT(EDATE($D150,Milestones!$AA$98),"dd/mm/yy")&amp;" "&amp;Milestones!$AB$98&amp;" "&amp;Milestones!$AC$98&amp;";  ","")&amp;IF(AND(EDATE($D150,Milestones!$AA$99)&lt;=AsOfDate,IF($Q150=0,$W150,IF(AND($S150&lt;&gt;"",EDATE($D150,Milestones!$AA$99)&gt;=$S150),$V150,IF(AND($R150&lt;&gt;"",EDATE($D150,Milestones!$AA$99)&gt;=$R150),$U150,$T150)))=Milestones!$AB$99),TEXT(EDATE($D150,Milestones!$AA$99),"dd/mm/yy")&amp;" "&amp;Milestones!$AB$99&amp;" "&amp;Milestones!$AC$99&amp;";  ",""))</f>
        <v/>
      </c>
      <c r="L150" s="0" t="str">
        <f aca="false">IF(OR($A150="",$D150=""),"",IF(AND(EDATE($D150,Milestones!$AA$100)&lt;=AsOfDate,IF($Q150=0,$W150,IF(AND($S150&lt;&gt;"",EDATE($D150,Milestones!$AA$100)&gt;=$S150),$V150,IF(AND($R150&lt;&gt;"",EDATE($D150,Milestones!$AA$100)&gt;=$R150),$U150,$T150)))=Milestones!$AB$100),TEXT(EDATE($D150,Milestones!$AA$100),"dd/mm/yy")&amp;" "&amp;Milestones!$AB$100&amp;" "&amp;Milestones!$AC$100&amp;";  ","")&amp;IF(AND(EDATE($D150,Milestones!$AA$101)&lt;=AsOfDate,IF($Q150=0,$W150,IF(AND($S150&lt;&gt;"",EDATE($D150,Milestones!$AA$101)&gt;=$S150),$V150,IF(AND($R150&lt;&gt;"",EDATE($D150,Milestones!$AA$101)&gt;=$R150),$U150,$T150)))=Milestones!$AB$101),TEXT(EDATE($D150,Milestones!$AA$101),"dd/mm/yy")&amp;" "&amp;Milestones!$AB$101&amp;" "&amp;Milestones!$AC$101&amp;";  ","")&amp;IF(AND(EDATE($D150,Milestones!$AA$102)&lt;=AsOfDate,IF($Q150=0,$W150,IF(AND($S150&lt;&gt;"",EDATE($D150,Milestones!$AA$102)&gt;=$S150),$V150,IF(AND($R150&lt;&gt;"",EDATE($D150,Milestones!$AA$102)&gt;=$R150),$U150,$T150)))=Milestones!$AB$102),TEXT(EDATE($D150,Milestones!$AA$102),"dd/mm/yy")&amp;" "&amp;Milestones!$AB$102&amp;" "&amp;Milestones!$AC$102&amp;";  ","")&amp;IF(AND(EDATE($D150,Milestones!$AA$103)&lt;=AsOfDate,IF($Q150=0,$W150,IF(AND($S150&lt;&gt;"",EDATE($D150,Milestones!$AA$103)&gt;=$S150),$V150,IF(AND($R150&lt;&gt;"",EDATE($D150,Milestones!$AA$103)&gt;=$R150),$U150,$T150)))=Milestones!$AB$103),TEXT(EDATE($D150,Milestones!$AA$103),"dd/mm/yy")&amp;" "&amp;Milestones!$AB$103&amp;" "&amp;Milestones!$AC$103&amp;";  ","")&amp;IF(AND(EDATE($D150,Milestones!$AA$104)&lt;=AsOfDate,IF($Q150=0,$W150,IF(AND($S150&lt;&gt;"",EDATE($D150,Milestones!$AA$104)&gt;=$S150),$V150,IF(AND($R150&lt;&gt;"",EDATE($D150,Milestones!$AA$104)&gt;=$R150),$U150,$T150)))=Milestones!$AB$104),TEXT(EDATE($D150,Milestones!$AA$104),"dd/mm/yy")&amp;" "&amp;Milestones!$AB$104&amp;" "&amp;Milestones!$AC$104&amp;";  ","")&amp;IF(AND(EDATE($D150,Milestones!$AA$105)&lt;=AsOfDate,IF($Q150=0,$W150,IF(AND($S150&lt;&gt;"",EDATE($D150,Milestones!$AA$105)&gt;=$S150),$V150,IF(AND($R150&lt;&gt;"",EDATE($D150,Milestones!$AA$105)&gt;=$R150),$U150,$T150)))=Milestones!$AB$105),TEXT(EDATE($D150,Milestones!$AA$105),"dd/mm/yy")&amp;" "&amp;Milestones!$AB$105&amp;" "&amp;Milestones!$AC$105&amp;";  ","")&amp;IF(AND(EDATE($D150,Milestones!$AA$106)&lt;=AsOfDate,IF($Q150=0,$W150,IF(AND($S150&lt;&gt;"",EDATE($D150,Milestones!$AA$106)&gt;=$S150),$V150,IF(AND($R150&lt;&gt;"",EDATE($D150,Milestones!$AA$106)&gt;=$R150),$U150,$T150)))=Milestones!$AB$106),TEXT(EDATE($D150,Milestones!$AA$106),"dd/mm/yy")&amp;" "&amp;Milestones!$AB$106&amp;" "&amp;Milestones!$AC$106&amp;";  ","")&amp;IF(AND(EDATE($D150,Milestones!$AA$107)&lt;=AsOfDate,IF($Q150=0,$W150,IF(AND($S150&lt;&gt;"",EDATE($D150,Milestones!$AA$107)&gt;=$S150),$V150,IF(AND($R150&lt;&gt;"",EDATE($D150,Milestones!$AA$107)&gt;=$R150),$U150,$T150)))=Milestones!$AB$107),TEXT(EDATE($D150,Milestones!$AA$107),"dd/mm/yy")&amp;" "&amp;Milestones!$AB$107&amp;" "&amp;Milestones!$AC$107&amp;";  ","")&amp;IF(AND(EDATE($D150,Milestones!$AA$108)&lt;=AsOfDate,IF($Q150=0,$W150,IF(AND($S150&lt;&gt;"",EDATE($D150,Milestones!$AA$108)&gt;=$S150),$V150,IF(AND($R150&lt;&gt;"",EDATE($D150,Milestones!$AA$108)&gt;=$R150),$U150,$T150)))=Milestones!$AB$108),TEXT(EDATE($D150,Milestones!$AA$108),"dd/mm/yy")&amp;" "&amp;Milestones!$AB$108&amp;" "&amp;Milestones!$AC$108&amp;";  ","")&amp;IF(AND(EDATE($D150,Milestones!$AA$109)&lt;=AsOfDate,IF($Q150=0,$W150,IF(AND($S150&lt;&gt;"",EDATE($D150,Milestones!$AA$109)&gt;=$S150),$V150,IF(AND($R150&lt;&gt;"",EDATE($D150,Milestones!$AA$109)&gt;=$R150),$U150,$T150)))=Milestones!$AB$109),TEXT(EDATE($D150,Milestones!$AA$109),"dd/mm/yy")&amp;" "&amp;Milestones!$AB$109&amp;" "&amp;Milestones!$AC$109&amp;";  ","")&amp;IF(AND(EDATE($D150,Milestones!$AA$110)&lt;=AsOfDate,IF($Q150=0,$W150,IF(AND($S150&lt;&gt;"",EDATE($D150,Milestones!$AA$110)&gt;=$S150),$V150,IF(AND($R150&lt;&gt;"",EDATE($D150,Milestones!$AA$110)&gt;=$R150),$U150,$T150)))=Milestones!$AB$110),TEXT(EDATE($D150,Milestones!$AA$110),"dd/mm/yy")&amp;" "&amp;Milestones!$AB$110&amp;" "&amp;Milestones!$AC$110&amp;";  ","")&amp;IF(AND(EDATE($D150,Milestones!$AA$111)&lt;=AsOfDate,IF($Q150=0,$W150,IF(AND($S150&lt;&gt;"",EDATE($D150,Milestones!$AA$111)&gt;=$S150),$V150,IF(AND($R150&lt;&gt;"",EDATE($D150,Milestones!$AA$111)&gt;=$R150),$U150,$T150)))=Milestones!$AB$111),TEXT(EDATE($D150,Milestones!$AA$111),"dd/mm/yy")&amp;" "&amp;Milestones!$AB$111&amp;" "&amp;Milestones!$AC$111&amp;";  ","")&amp;IF(AND(EDATE($D150,Milestones!$AA$112)&lt;=AsOfDate,IF($Q150=0,$W150,IF(AND($S150&lt;&gt;"",EDATE($D150,Milestones!$AA$112)&gt;=$S150),$V150,IF(AND($R150&lt;&gt;"",EDATE($D150,Milestones!$AA$112)&gt;=$R150),$U150,$T150)))=Milestones!$AB$112),TEXT(EDATE($D150,Milestones!$AA$112),"dd/mm/yy")&amp;" "&amp;Milestones!$AB$112&amp;" "&amp;Milestones!$AC$112&amp;";  ","")&amp;IF(AND(EDATE($D150,Milestones!$AA$113)&lt;=AsOfDate,IF($Q150=0,$W150,IF(AND($S150&lt;&gt;"",EDATE($D150,Milestones!$AA$113)&gt;=$S150),$V150,IF(AND($R150&lt;&gt;"",EDATE($D150,Milestones!$AA$113)&gt;=$R150),$U150,$T150)))=Milestones!$AB$113),TEXT(EDATE($D150,Milestones!$AA$113),"dd/mm/yy")&amp;" "&amp;Milestones!$AB$113&amp;" "&amp;Milestones!$AC$113&amp;";  ","")&amp;IF(AND(EDATE($D150,Milestones!$AA$114)&lt;=AsOfDate,IF($Q150=0,$W150,IF(AND($S150&lt;&gt;"",EDATE($D150,Milestones!$AA$114)&gt;=$S150),$V150,IF(AND($R150&lt;&gt;"",EDATE($D150,Milestones!$AA$114)&gt;=$R150),$U150,$T150)))=Milestones!$AB$114),TEXT(EDATE($D150,Milestones!$AA$114),"dd/mm/yy")&amp;" "&amp;Milestones!$AB$114&amp;" "&amp;Milestones!$AC$114&amp;";  ","")&amp;IF(AND(EDATE($D150,Milestones!$AA$115)&lt;=AsOfDate,IF($Q150=0,$W150,IF(AND($S150&lt;&gt;"",EDATE($D150,Milestones!$AA$115)&gt;=$S150),$V150,IF(AND($R150&lt;&gt;"",EDATE($D150,Milestones!$AA$115)&gt;=$R150),$U150,$T150)))=Milestones!$AB$115),TEXT(EDATE($D150,Milestones!$AA$115),"dd/mm/yy")&amp;" "&amp;Milestones!$AB$115&amp;" "&amp;Milestones!$AC$115&amp;";  ","")&amp;IF(AND(EDATE($D150,Milestones!$AA$116)&lt;=AsOfDate,IF($Q150=0,$W150,IF(AND($S150&lt;&gt;"",EDATE($D150,Milestones!$AA$116)&gt;=$S150),$V150,IF(AND($R150&lt;&gt;"",EDATE($D150,Milestones!$AA$116)&gt;=$R150),$U150,$T150)))=Milestones!$AB$116),TEXT(EDATE($D150,Milestones!$AA$116),"dd/mm/yy")&amp;" "&amp;Milestones!$AB$116&amp;" "&amp;Milestones!$AC$116&amp;";  ","")&amp;IF(AND(EDATE($D150,Milestones!$AA$117)&lt;=AsOfDate,IF($Q150=0,$W150,IF(AND($S150&lt;&gt;"",EDATE($D150,Milestones!$AA$117)&gt;=$S150),$V150,IF(AND($R150&lt;&gt;"",EDATE($D150,Milestones!$AA$117)&gt;=$R150),$U150,$T150)))=Milestones!$AB$117),TEXT(EDATE($D150,Milestones!$AA$117),"dd/mm/yy")&amp;" "&amp;Milestones!$AB$117&amp;" "&amp;Milestones!$AC$117&amp;";  ","")&amp;IF(AND(EDATE($D150,Milestones!$AA$118)&lt;=AsOfDate,IF($Q150=0,$W150,IF(AND($S150&lt;&gt;"",EDATE($D150,Milestones!$AA$118)&gt;=$S150),$V150,IF(AND($R150&lt;&gt;"",EDATE($D150,Milestones!$AA$118)&gt;=$R150),$U150,$T150)))=Milestones!$AB$118),TEXT(EDATE($D150,Milestones!$AA$118),"dd/mm/yy")&amp;" "&amp;Milestones!$AB$118&amp;" "&amp;Milestones!$AC$118&amp;";  ","")&amp;IF(AND(EDATE($D150,Milestones!$AA$119)&lt;=AsOfDate,IF($Q150=0,$W150,IF(AND($S150&lt;&gt;"",EDATE($D150,Milestones!$AA$119)&gt;=$S150),$V150,IF(AND($R150&lt;&gt;"",EDATE($D150,Milestones!$AA$119)&gt;=$R150),$U150,$T150)))=Milestones!$AB$119),TEXT(EDATE($D150,Milestones!$AA$119),"dd/mm/yy")&amp;" "&amp;Milestones!$AB$119&amp;" "&amp;Milestones!$AC$119&amp;";  ",""))</f>
        <v/>
      </c>
      <c r="M150" s="0" t="str">
        <f aca="false">IF(OR($A150="",$D150=""),"",IF(AND(EDATE($D150,Milestones!$AA$120)&lt;=AsOfDate,IF($Q150=0,$W150,IF(AND($S150&lt;&gt;"",EDATE($D150,Milestones!$AA$120)&gt;=$S150),$V150,IF(AND($R150&lt;&gt;"",EDATE($D150,Milestones!$AA$120)&gt;=$R150),$U150,$T150)))=Milestones!$AB$120),TEXT(EDATE($D150,Milestones!$AA$120),"dd/mm/yy")&amp;" "&amp;Milestones!$AB$120&amp;" "&amp;Milestones!$AC$120&amp;";  ","")&amp;IF(AND(EDATE($D150,Milestones!$AA$121)&lt;=AsOfDate,IF($Q150=0,$W150,IF(AND($S150&lt;&gt;"",EDATE($D150,Milestones!$AA$121)&gt;=$S150),$V150,IF(AND($R150&lt;&gt;"",EDATE($D150,Milestones!$AA$121)&gt;=$R150),$U150,$T150)))=Milestones!$AB$121),TEXT(EDATE($D150,Milestones!$AA$121),"dd/mm/yy")&amp;" "&amp;Milestones!$AB$121&amp;" "&amp;Milestones!$AC$121&amp;";  ","")&amp;IF(AND(EDATE($D150,Milestones!$AA$122)&lt;=AsOfDate,IF($Q150=0,$W150,IF(AND($S150&lt;&gt;"",EDATE($D150,Milestones!$AA$122)&gt;=$S150),$V150,IF(AND($R150&lt;&gt;"",EDATE($D150,Milestones!$AA$122)&gt;=$R150),$U150,$T150)))=Milestones!$AB$122),TEXT(EDATE($D150,Milestones!$AA$122),"dd/mm/yy")&amp;" "&amp;Milestones!$AB$122&amp;" "&amp;Milestones!$AC$122&amp;";  ","")&amp;IF(AND(EDATE($D150,Milestones!$AA$123)&lt;=AsOfDate,IF($Q150=0,$W150,IF(AND($S150&lt;&gt;"",EDATE($D150,Milestones!$AA$123)&gt;=$S150),$V150,IF(AND($R150&lt;&gt;"",EDATE($D150,Milestones!$AA$123)&gt;=$R150),$U150,$T150)))=Milestones!$AB$123),TEXT(EDATE($D150,Milestones!$AA$123),"dd/mm/yy")&amp;" "&amp;Milestones!$AB$123&amp;" "&amp;Milestones!$AC$123&amp;";  ","")&amp;IF(AND(EDATE($D150,Milestones!$AA$124)&lt;=AsOfDate,IF($Q150=0,$W150,IF(AND($S150&lt;&gt;"",EDATE($D150,Milestones!$AA$124)&gt;=$S150),$V150,IF(AND($R150&lt;&gt;"",EDATE($D150,Milestones!$AA$124)&gt;=$R150),$U150,$T150)))=Milestones!$AB$124),TEXT(EDATE($D150,Milestones!$AA$124),"dd/mm/yy")&amp;" "&amp;Milestones!$AB$124&amp;" "&amp;Milestones!$AC$124&amp;";  ","")&amp;IF(AND(EDATE($D150,Milestones!$AA$125)&lt;=AsOfDate,IF($Q150=0,$W150,IF(AND($S150&lt;&gt;"",EDATE($D150,Milestones!$AA$125)&gt;=$S150),$V150,IF(AND($R150&lt;&gt;"",EDATE($D150,Milestones!$AA$125)&gt;=$R150),$U150,$T150)))=Milestones!$AB$125),TEXT(EDATE($D150,Milestones!$AA$125),"dd/mm/yy")&amp;" "&amp;Milestones!$AB$125&amp;" "&amp;Milestones!$AC$125&amp;";  ","")&amp;IF(AND(EDATE($D150,Milestones!$AA$126)&lt;=AsOfDate,IF($Q150=0,$W150,IF(AND($S150&lt;&gt;"",EDATE($D150,Milestones!$AA$126)&gt;=$S150),$V150,IF(AND($R150&lt;&gt;"",EDATE($D150,Milestones!$AA$126)&gt;=$R150),$U150,$T150)))=Milestones!$AB$126),TEXT(EDATE($D150,Milestones!$AA$126),"dd/mm/yy")&amp;" "&amp;Milestones!$AB$126&amp;" "&amp;Milestones!$AC$126&amp;";  ","")&amp;IF(AND(EDATE($D150,Milestones!$AA$127)&lt;=AsOfDate,IF($Q150=0,$W150,IF(AND($S150&lt;&gt;"",EDATE($D150,Milestones!$AA$127)&gt;=$S150),$V150,IF(AND($R150&lt;&gt;"",EDATE($D150,Milestones!$AA$127)&gt;=$R150),$U150,$T150)))=Milestones!$AB$127),TEXT(EDATE($D150,Milestones!$AA$127),"dd/mm/yy")&amp;" "&amp;Milestones!$AB$127&amp;" "&amp;Milestones!$AC$127&amp;";  ","")&amp;IF(AND(EDATE($D150,Milestones!$AA$128)&lt;=AsOfDate,IF($Q150=0,$W150,IF(AND($S150&lt;&gt;"",EDATE($D150,Milestones!$AA$128)&gt;=$S150),$V150,IF(AND($R150&lt;&gt;"",EDATE($D150,Milestones!$AA$128)&gt;=$R150),$U150,$T150)))=Milestones!$AB$128),TEXT(EDATE($D150,Milestones!$AA$128),"dd/mm/yy")&amp;" "&amp;Milestones!$AB$128&amp;" "&amp;Milestones!$AC$128&amp;";  ","")&amp;IF(AND(EDATE($D150,Milestones!$AA$129)&lt;=AsOfDate,IF($Q150=0,$W150,IF(AND($S150&lt;&gt;"",EDATE($D150,Milestones!$AA$129)&gt;=$S150),$V150,IF(AND($R150&lt;&gt;"",EDATE($D150,Milestones!$AA$129)&gt;=$R150),$U150,$T150)))=Milestones!$AB$129),TEXT(EDATE($D150,Milestones!$AA$129),"dd/mm/yy")&amp;" "&amp;Milestones!$AB$129&amp;" "&amp;Milestones!$AC$129&amp;";  ","")&amp;IF(AND(EDATE($D150,Milestones!$AA$130)&lt;=AsOfDate,IF($Q150=0,$W150,IF(AND($S150&lt;&gt;"",EDATE($D150,Milestones!$AA$130)&gt;=$S150),$V150,IF(AND($R150&lt;&gt;"",EDATE($D150,Milestones!$AA$130)&gt;=$R150),$U150,$T150)))=Milestones!$AB$130),TEXT(EDATE($D150,Milestones!$AA$130),"dd/mm/yy")&amp;" "&amp;Milestones!$AB$130&amp;" "&amp;Milestones!$AC$130&amp;";  ","")&amp;IF(AND(EDATE($D150,Milestones!$AA$131)&lt;=AsOfDate,IF($Q150=0,$W150,IF(AND($S150&lt;&gt;"",EDATE($D150,Milestones!$AA$131)&gt;=$S150),$V150,IF(AND($R150&lt;&gt;"",EDATE($D150,Milestones!$AA$131)&gt;=$R150),$U150,$T150)))=Milestones!$AB$131),TEXT(EDATE($D150,Milestones!$AA$131),"dd/mm/yy")&amp;" "&amp;Milestones!$AB$131&amp;" "&amp;Milestones!$AC$131&amp;";  ","")&amp;IF(AND(EDATE($D150,Milestones!$AA$132)&lt;=AsOfDate,IF($Q150=0,$W150,IF(AND($S150&lt;&gt;"",EDATE($D150,Milestones!$AA$132)&gt;=$S150),$V150,IF(AND($R150&lt;&gt;"",EDATE($D150,Milestones!$AA$132)&gt;=$R150),$U150,$T150)))=Milestones!$AB$132),TEXT(EDATE($D150,Milestones!$AA$132),"dd/mm/yy")&amp;" "&amp;Milestones!$AB$132&amp;" "&amp;Milestones!$AC$132&amp;";  ","")&amp;IF(AND(EDATE($D150,Milestones!$AA$133)&lt;=AsOfDate,IF($Q150=0,$W150,IF(AND($S150&lt;&gt;"",EDATE($D150,Milestones!$AA$133)&gt;=$S150),$V150,IF(AND($R150&lt;&gt;"",EDATE($D150,Milestones!$AA$133)&gt;=$R150),$U150,$T150)))=Milestones!$AB$133),TEXT(EDATE($D150,Milestones!$AA$133),"dd/mm/yy")&amp;" "&amp;Milestones!$AB$133&amp;" "&amp;Milestones!$AC$133&amp;";  ","")&amp;IF(AND(EDATE($D150,Milestones!$AA$134)&lt;=AsOfDate,IF($Q150=0,$W150,IF(AND($S150&lt;&gt;"",EDATE($D150,Milestones!$AA$134)&gt;=$S150),$V150,IF(AND($R150&lt;&gt;"",EDATE($D150,Milestones!$AA$134)&gt;=$R150),$U150,$T150)))=Milestones!$AB$134),TEXT(EDATE($D150,Milestones!$AA$134),"dd/mm/yy")&amp;" "&amp;Milestones!$AB$134&amp;" "&amp;Milestones!$AC$134&amp;";  ","")&amp;IF(AND(EDATE($D150,Milestones!$AA$135)&lt;=AsOfDate,IF($Q150=0,$W150,IF(AND($S150&lt;&gt;"",EDATE($D150,Milestones!$AA$135)&gt;=$S150),$V150,IF(AND($R150&lt;&gt;"",EDATE($D150,Milestones!$AA$135)&gt;=$R150),$U150,$T150)))=Milestones!$AB$135),TEXT(EDATE($D150,Milestones!$AA$135),"dd/mm/yy")&amp;" "&amp;Milestones!$AB$135&amp;" "&amp;Milestones!$AC$135&amp;";  ","")&amp;IF(AND(EDATE($D150,Milestones!$AA$136)&lt;=AsOfDate,IF($Q150=0,$W150,IF(AND($S150&lt;&gt;"",EDATE($D150,Milestones!$AA$136)&gt;=$S150),$V150,IF(AND($R150&lt;&gt;"",EDATE($D150,Milestones!$AA$136)&gt;=$R150),$U150,$T150)))=Milestones!$AB$136),TEXT(EDATE($D150,Milestones!$AA$136),"dd/mm/yy")&amp;" "&amp;Milestones!$AB$136&amp;" "&amp;Milestones!$AC$136&amp;";  ","")&amp;IF(AND(EDATE($D150,Milestones!$AA$137)&lt;=AsOfDate,IF($Q150=0,$W150,IF(AND($S150&lt;&gt;"",EDATE($D150,Milestones!$AA$137)&gt;=$S150),$V150,IF(AND($R150&lt;&gt;"",EDATE($D150,Milestones!$AA$137)&gt;=$R150),$U150,$T150)))=Milestones!$AB$137),TEXT(EDATE($D150,Milestones!$AA$137),"dd/mm/yy")&amp;" "&amp;Milestones!$AB$137&amp;" "&amp;Milestones!$AC$137&amp;";  ","")&amp;IF(AND(EDATE($D150,Milestones!$AA$138)&lt;=AsOfDate,IF($Q150=0,$W150,IF(AND($S150&lt;&gt;"",EDATE($D150,Milestones!$AA$138)&gt;=$S150),$V150,IF(AND($R150&lt;&gt;"",EDATE($D150,Milestones!$AA$138)&gt;=$R150),$U150,$T150)))=Milestones!$AB$138),TEXT(EDATE($D150,Milestones!$AA$138),"dd/mm/yy")&amp;" "&amp;Milestones!$AB$138&amp;" "&amp;Milestones!$AC$138&amp;";  ","")&amp;IF(AND(EDATE($D150,Milestones!$AA$139)&lt;=AsOfDate,IF($Q150=0,$W150,IF(AND($S150&lt;&gt;"",EDATE($D150,Milestones!$AA$139)&gt;=$S150),$V150,IF(AND($R150&lt;&gt;"",EDATE($D150,Milestones!$AA$139)&gt;=$R150),$U150,$T150)))=Milestones!$AB$139),TEXT(EDATE($D150,Milestones!$AA$139),"dd/mm/yy")&amp;" "&amp;Milestones!$AB$139&amp;" "&amp;Milestones!$AC$139&amp;";  ",""))</f>
        <v/>
      </c>
      <c r="N150" s="0" t="str">
        <f aca="false">IF(OR($A150="",$D150=""),"",IF(AND(EDATE($D150,Milestones!$AA$140)&lt;=AsOfDate,IF($Q150=0,$W150,IF(AND($S150&lt;&gt;"",EDATE($D150,Milestones!$AA$140)&gt;=$S150),$V150,IF(AND($R150&lt;&gt;"",EDATE($D150,Milestones!$AA$140)&gt;=$R150),$U150,$T150)))=Milestones!$AB$140),TEXT(EDATE($D150,Milestones!$AA$140),"dd/mm/yy")&amp;" "&amp;Milestones!$AB$140&amp;" "&amp;Milestones!$AC$140&amp;";  ","")&amp;IF(AND(EDATE($D150,Milestones!$AA$141)&lt;=AsOfDate,IF($Q150=0,$W150,IF(AND($S150&lt;&gt;"",EDATE($D150,Milestones!$AA$141)&gt;=$S150),$V150,IF(AND($R150&lt;&gt;"",EDATE($D150,Milestones!$AA$141)&gt;=$R150),$U150,$T150)))=Milestones!$AB$141),TEXT(EDATE($D150,Milestones!$AA$141),"dd/mm/yy")&amp;" "&amp;Milestones!$AB$141&amp;" "&amp;Milestones!$AC$141&amp;";  ","")&amp;IF(AND(EDATE($D150,Milestones!$AA$142)&lt;=AsOfDate,IF($Q150=0,$W150,IF(AND($S150&lt;&gt;"",EDATE($D150,Milestones!$AA$142)&gt;=$S150),$V150,IF(AND($R150&lt;&gt;"",EDATE($D150,Milestones!$AA$142)&gt;=$R150),$U150,$T150)))=Milestones!$AB$142),TEXT(EDATE($D150,Milestones!$AA$142),"dd/mm/yy")&amp;" "&amp;Milestones!$AB$142&amp;" "&amp;Milestones!$AC$142&amp;";  ","")&amp;IF(AND(EDATE($D150,Milestones!$AA$143)&lt;=AsOfDate,IF($Q150=0,$W150,IF(AND($S150&lt;&gt;"",EDATE($D150,Milestones!$AA$143)&gt;=$S150),$V150,IF(AND($R150&lt;&gt;"",EDATE($D150,Milestones!$AA$143)&gt;=$R150),$U150,$T150)))=Milestones!$AB$143),TEXT(EDATE($D150,Milestones!$AA$143),"dd/mm/yy")&amp;" "&amp;Milestones!$AB$143&amp;" "&amp;Milestones!$AC$143&amp;";  ","")&amp;IF(AND(EDATE($D150,Milestones!$AA$144)&lt;=AsOfDate,IF($Q150=0,$W150,IF(AND($S150&lt;&gt;"",EDATE($D150,Milestones!$AA$144)&gt;=$S150),$V150,IF(AND($R150&lt;&gt;"",EDATE($D150,Milestones!$AA$144)&gt;=$R150),$U150,$T150)))=Milestones!$AB$144),TEXT(EDATE($D150,Milestones!$AA$144),"dd/mm/yy")&amp;" "&amp;Milestones!$AB$144&amp;" "&amp;Milestones!$AC$144&amp;";  ","")&amp;IF(AND(EDATE($D150,Milestones!$AA$145)&lt;=AsOfDate,IF($Q150=0,$W150,IF(AND($S150&lt;&gt;"",EDATE($D150,Milestones!$AA$145)&gt;=$S150),$V150,IF(AND($R150&lt;&gt;"",EDATE($D150,Milestones!$AA$145)&gt;=$R150),$U150,$T150)))=Milestones!$AB$145),TEXT(EDATE($D150,Milestones!$AA$145),"dd/mm/yy")&amp;" "&amp;Milestones!$AB$145&amp;" "&amp;Milestones!$AC$145&amp;";  ","")&amp;IF(AND(EDATE($D150,Milestones!$AA$146)&lt;=AsOfDate,IF($Q150=0,$W150,IF(AND($S150&lt;&gt;"",EDATE($D150,Milestones!$AA$146)&gt;=$S150),$V150,IF(AND($R150&lt;&gt;"",EDATE($D150,Milestones!$AA$146)&gt;=$R150),$U150,$T150)))=Milestones!$AB$146),TEXT(EDATE($D150,Milestones!$AA$146),"dd/mm/yy")&amp;" "&amp;Milestones!$AB$146&amp;" "&amp;Milestones!$AC$146&amp;";  ","")&amp;IF(AND(EDATE($D150,Milestones!$AA$147)&lt;=AsOfDate,IF($Q150=0,$W150,IF(AND($S150&lt;&gt;"",EDATE($D150,Milestones!$AA$147)&gt;=$S150),$V150,IF(AND($R150&lt;&gt;"",EDATE($D150,Milestones!$AA$147)&gt;=$R150),$U150,$T150)))=Milestones!$AB$147),TEXT(EDATE($D150,Milestones!$AA$147),"dd/mm/yy")&amp;" "&amp;Milestones!$AB$147&amp;" "&amp;Milestones!$AC$147&amp;";  ","")&amp;IF(AND(EDATE($D150,Milestones!$AA$148)&lt;=AsOfDate,IF($Q150=0,$W150,IF(AND($S150&lt;&gt;"",EDATE($D150,Milestones!$AA$148)&gt;=$S150),$V150,IF(AND($R150&lt;&gt;"",EDATE($D150,Milestones!$AA$148)&gt;=$R150),$U150,$T150)))=Milestones!$AB$148),TEXT(EDATE($D150,Milestones!$AA$148),"dd/mm/yy")&amp;" "&amp;Milestones!$AB$148&amp;" "&amp;Milestones!$AC$148&amp;";  ","")&amp;IF(AND(EDATE($D150,Milestones!$AA$149)&lt;=AsOfDate,IF($Q150=0,$W150,IF(AND($S150&lt;&gt;"",EDATE($D150,Milestones!$AA$149)&gt;=$S150),$V150,IF(AND($R150&lt;&gt;"",EDATE($D150,Milestones!$AA$149)&gt;=$R150),$U150,$T150)))=Milestones!$AB$149),TEXT(EDATE($D150,Milestones!$AA$149),"dd/mm/yy")&amp;" "&amp;Milestones!$AB$149&amp;" "&amp;Milestones!$AC$149&amp;";  ","")&amp;IF(AND(EDATE($D150,Milestones!$AA$150)&lt;=AsOfDate,IF($Q150=0,$W150,IF(AND($S150&lt;&gt;"",EDATE($D150,Milestones!$AA$150)&gt;=$S150),$V150,IF(AND($R150&lt;&gt;"",EDATE($D150,Milestones!$AA$150)&gt;=$R150),$U150,$T150)))=Milestones!$AB$150),TEXT(EDATE($D150,Milestones!$AA$150),"dd/mm/yy")&amp;" "&amp;Milestones!$AB$150&amp;" "&amp;Milestones!$AC$150&amp;";  ","")&amp;IF(AND(EDATE($D150,Milestones!$AA$151)&lt;=AsOfDate,IF($Q150=0,$W150,IF(AND($S150&lt;&gt;"",EDATE($D150,Milestones!$AA$151)&gt;=$S150),$V150,IF(AND($R150&lt;&gt;"",EDATE($D150,Milestones!$AA$151)&gt;=$R150),$U150,$T150)))=Milestones!$AB$151),TEXT(EDATE($D150,Milestones!$AA$151),"dd/mm/yy")&amp;" "&amp;Milestones!$AB$151&amp;" "&amp;Milestones!$AC$151&amp;";  ","")&amp;IF(AND(EDATE($D150,Milestones!$AA$152)&lt;=AsOfDate,IF($Q150=0,$W150,IF(AND($S150&lt;&gt;"",EDATE($D150,Milestones!$AA$152)&gt;=$S150),$V150,IF(AND($R150&lt;&gt;"",EDATE($D150,Milestones!$AA$152)&gt;=$R150),$U150,$T150)))=Milestones!$AB$152),TEXT(EDATE($D150,Milestones!$AA$152),"dd/mm/yy")&amp;" "&amp;Milestones!$AB$152&amp;" "&amp;Milestones!$AC$152&amp;";  ","")&amp;IF(AND(EDATE($D150,Milestones!$AA$153)&lt;=AsOfDate,IF($Q150=0,$W150,IF(AND($S150&lt;&gt;"",EDATE($D150,Milestones!$AA$153)&gt;=$S150),$V150,IF(AND($R150&lt;&gt;"",EDATE($D150,Milestones!$AA$153)&gt;=$R150),$U150,$T150)))=Milestones!$AB$153),TEXT(EDATE($D150,Milestones!$AA$153),"dd/mm/yy")&amp;" "&amp;Milestones!$AB$153&amp;" "&amp;Milestones!$AC$153&amp;";  ","")&amp;IF(AND(EDATE($D150,Milestones!$AA$154)&lt;=AsOfDate,IF($Q150=0,$W150,IF(AND($S150&lt;&gt;"",EDATE($D150,Milestones!$AA$154)&gt;=$S150),$V150,IF(AND($R150&lt;&gt;"",EDATE($D150,Milestones!$AA$154)&gt;=$R150),$U150,$T150)))=Milestones!$AB$154),TEXT(EDATE($D150,Milestones!$AA$154),"dd/mm/yy")&amp;" "&amp;Milestones!$AB$154&amp;" "&amp;Milestones!$AC$154&amp;";  ","")&amp;IF(AND(EDATE($D150,Milestones!$AA$155)&lt;=AsOfDate,IF($Q150=0,$W150,IF(AND($S150&lt;&gt;"",EDATE($D150,Milestones!$AA$155)&gt;=$S150),$V150,IF(AND($R150&lt;&gt;"",EDATE($D150,Milestones!$AA$155)&gt;=$R150),$U150,$T150)))=Milestones!$AB$155),TEXT(EDATE($D150,Milestones!$AA$155),"dd/mm/yy")&amp;" "&amp;Milestones!$AB$155&amp;" "&amp;Milestones!$AC$155&amp;";  ","")&amp;IF(AND(EDATE($D150,Milestones!$AA$156)&lt;=AsOfDate,IF($Q150=0,$W150,IF(AND($S150&lt;&gt;"",EDATE($D150,Milestones!$AA$156)&gt;=$S150),$V150,IF(AND($R150&lt;&gt;"",EDATE($D150,Milestones!$AA$156)&gt;=$R150),$U150,$T150)))=Milestones!$AB$156),TEXT(EDATE($D150,Milestones!$AA$156),"dd/mm/yy")&amp;" "&amp;Milestones!$AB$156&amp;" "&amp;Milestones!$AC$156&amp;";  ","")&amp;IF(AND(EDATE($D150,Milestones!$AA$157)&lt;=AsOfDate,IF($Q150=0,$W150,IF(AND($S150&lt;&gt;"",EDATE($D150,Milestones!$AA$157)&gt;=$S150),$V150,IF(AND($R150&lt;&gt;"",EDATE($D150,Milestones!$AA$157)&gt;=$R150),$U150,$T150)))=Milestones!$AB$157),TEXT(EDATE($D150,Milestones!$AA$157),"dd/mm/yy")&amp;" "&amp;Milestones!$AB$157&amp;" "&amp;Milestones!$AC$157&amp;";  ","")&amp;IF(AND(EDATE($D150,Milestones!$AA$158)&lt;=AsOfDate,IF($Q150=0,$W150,IF(AND($S150&lt;&gt;"",EDATE($D150,Milestones!$AA$158)&gt;=$S150),$V150,IF(AND($R150&lt;&gt;"",EDATE($D150,Milestones!$AA$158)&gt;=$R150),$U150,$T150)))=Milestones!$AB$158),TEXT(EDATE($D150,Milestones!$AA$158),"dd/mm/yy")&amp;" "&amp;Milestones!$AB$158&amp;" "&amp;Milestones!$AC$158&amp;";  ","")&amp;IF(AND(EDATE($D150,Milestones!$AA$159)&lt;=AsOfDate,IF($Q150=0,$W150,IF(AND($S150&lt;&gt;"",EDATE($D150,Milestones!$AA$159)&gt;=$S150),$V150,IF(AND($R150&lt;&gt;"",EDATE($D150,Milestones!$AA$159)&gt;=$R150),$U150,$T150)))=Milestones!$AB$159),TEXT(EDATE($D150,Milestones!$AA$159),"dd/mm/yy")&amp;" "&amp;Milestones!$AB$159&amp;" "&amp;Milestones!$AC$159&amp;";  ",""))</f>
        <v/>
      </c>
      <c r="O150" s="0" t="str">
        <f aca="false">IF(OR($A150="",$D150=""),"",IF(AND(EDATE($D150,Milestones!$AA$160)&lt;=AsOfDate,IF($Q150=0,$W150,IF(AND($S150&lt;&gt;"",EDATE($D150,Milestones!$AA$160)&gt;=$S150),$V150,IF(AND($R150&lt;&gt;"",EDATE($D150,Milestones!$AA$160)&gt;=$R150),$U150,$T150)))=Milestones!$AB$160),TEXT(EDATE($D150,Milestones!$AA$160),"dd/mm/yy")&amp;" "&amp;Milestones!$AB$160&amp;" "&amp;Milestones!$AC$160&amp;";  ","")&amp;IF(AND(EDATE($D150,Milestones!$AA$161)&lt;=AsOfDate,IF($Q150=0,$W150,IF(AND($S150&lt;&gt;"",EDATE($D150,Milestones!$AA$161)&gt;=$S150),$V150,IF(AND($R150&lt;&gt;"",EDATE($D150,Milestones!$AA$161)&gt;=$R150),$U150,$T150)))=Milestones!$AB$161),TEXT(EDATE($D150,Milestones!$AA$161),"dd/mm/yy")&amp;" "&amp;Milestones!$AB$161&amp;" "&amp;Milestones!$AC$161&amp;";  ","")&amp;IF(AND(EDATE($D150,Milestones!$AA$162)&lt;=AsOfDate,IF($Q150=0,$W150,IF(AND($S150&lt;&gt;"",EDATE($D150,Milestones!$AA$162)&gt;=$S150),$V150,IF(AND($R150&lt;&gt;"",EDATE($D150,Milestones!$AA$162)&gt;=$R150),$U150,$T150)))=Milestones!$AB$162),TEXT(EDATE($D150,Milestones!$AA$162),"dd/mm/yy")&amp;" "&amp;Milestones!$AB$162&amp;" "&amp;Milestones!$AC$162&amp;";  ","")&amp;IF(AND(EDATE($D150,Milestones!$AA$163)&lt;=AsOfDate,IF($Q150=0,$W150,IF(AND($S150&lt;&gt;"",EDATE($D150,Milestones!$AA$163)&gt;=$S150),$V150,IF(AND($R150&lt;&gt;"",EDATE($D150,Milestones!$AA$163)&gt;=$R150),$U150,$T150)))=Milestones!$AB$163),TEXT(EDATE($D150,Milestones!$AA$163),"dd/mm/yy")&amp;" "&amp;Milestones!$AB$163&amp;" "&amp;Milestones!$AC$163&amp;";  ","")&amp;IF(AND(EDATE($D150,Milestones!$AA$164)&lt;=AsOfDate,IF($Q150=0,$W150,IF(AND($S150&lt;&gt;"",EDATE($D150,Milestones!$AA$164)&gt;=$S150),$V150,IF(AND($R150&lt;&gt;"",EDATE($D150,Milestones!$AA$164)&gt;=$R150),$U150,$T150)))=Milestones!$AB$164),TEXT(EDATE($D150,Milestones!$AA$164),"dd/mm/yy")&amp;" "&amp;Milestones!$AB$164&amp;" "&amp;Milestones!$AC$164&amp;";  ","")&amp;IF(AND(EDATE($D150,Milestones!$AA$165)&lt;=AsOfDate,IF($Q150=0,$W150,IF(AND($S150&lt;&gt;"",EDATE($D150,Milestones!$AA$165)&gt;=$S150),$V150,IF(AND($R150&lt;&gt;"",EDATE($D150,Milestones!$AA$165)&gt;=$R150),$U150,$T150)))=Milestones!$AB$165),TEXT(EDATE($D150,Milestones!$AA$165),"dd/mm/yy")&amp;" "&amp;Milestones!$AB$165&amp;" "&amp;Milestones!$AC$165&amp;";  ","")&amp;IF(AND(EDATE($D150,Milestones!$AA$166)&lt;=AsOfDate,IF($Q150=0,$W150,IF(AND($S150&lt;&gt;"",EDATE($D150,Milestones!$AA$166)&gt;=$S150),$V150,IF(AND($R150&lt;&gt;"",EDATE($D150,Milestones!$AA$166)&gt;=$R150),$U150,$T150)))=Milestones!$AB$166),TEXT(EDATE($D150,Milestones!$AA$166),"dd/mm/yy")&amp;" "&amp;Milestones!$AB$166&amp;" "&amp;Milestones!$AC$166&amp;";  ","")&amp;IF(AND(EDATE($D150,Milestones!$AA$167)&lt;=AsOfDate,IF($Q150=0,$W150,IF(AND($S150&lt;&gt;"",EDATE($D150,Milestones!$AA$167)&gt;=$S150),$V150,IF(AND($R150&lt;&gt;"",EDATE($D150,Milestones!$AA$167)&gt;=$R150),$U150,$T150)))=Milestones!$AB$167),TEXT(EDATE($D150,Milestones!$AA$167),"dd/mm/yy")&amp;" "&amp;Milestones!$AB$167&amp;" "&amp;Milestones!$AC$167&amp;";  ","")&amp;IF(AND(EDATE($D150,Milestones!$AA$168)&lt;=AsOfDate,IF($Q150=0,$W150,IF(AND($S150&lt;&gt;"",EDATE($D150,Milestones!$AA$168)&gt;=$S150),$V150,IF(AND($R150&lt;&gt;"",EDATE($D150,Milestones!$AA$168)&gt;=$R150),$U150,$T150)))=Milestones!$AB$168),TEXT(EDATE($D150,Milestones!$AA$168),"dd/mm/yy")&amp;" "&amp;Milestones!$AB$168&amp;" "&amp;Milestones!$AC$168&amp;";  ","")&amp;IF(AND(EDATE($D150,Milestones!$AA$169)&lt;=AsOfDate,IF($Q150=0,$W150,IF(AND($S150&lt;&gt;"",EDATE($D150,Milestones!$AA$169)&gt;=$S150),$V150,IF(AND($R150&lt;&gt;"",EDATE($D150,Milestones!$AA$169)&gt;=$R150),$U150,$T150)))=Milestones!$AB$169),TEXT(EDATE($D150,Milestones!$AA$169),"dd/mm/yy")&amp;" "&amp;Milestones!$AB$169&amp;" "&amp;Milestones!$AC$169&amp;";  ","")&amp;IF(AND(EDATE($D150,Milestones!$AA$170)&lt;=AsOfDate,IF($Q150=0,$W150,IF(AND($S150&lt;&gt;"",EDATE($D150,Milestones!$AA$170)&gt;=$S150),$V150,IF(AND($R150&lt;&gt;"",EDATE($D150,Milestones!$AA$170)&gt;=$R150),$U150,$T150)))=Milestones!$AB$170),TEXT(EDATE($D150,Milestones!$AA$170),"dd/mm/yy")&amp;" "&amp;Milestones!$AB$170&amp;" "&amp;Milestones!$AC$170&amp;";  ","")&amp;IF(AND(EDATE($D150,Milestones!$AA$171)&lt;=AsOfDate,IF($Q150=0,$W150,IF(AND($S150&lt;&gt;"",EDATE($D150,Milestones!$AA$171)&gt;=$S150),$V150,IF(AND($R150&lt;&gt;"",EDATE($D150,Milestones!$AA$171)&gt;=$R150),$U150,$T150)))=Milestones!$AB$171),TEXT(EDATE($D150,Milestones!$AA$171),"dd/mm/yy")&amp;" "&amp;Milestones!$AB$171&amp;" "&amp;Milestones!$AC$171&amp;";  ","")&amp;IF(AND(EDATE($D150,Milestones!$AA$172)&lt;=AsOfDate,IF($Q150=0,$W150,IF(AND($S150&lt;&gt;"",EDATE($D150,Milestones!$AA$172)&gt;=$S150),$V150,IF(AND($R150&lt;&gt;"",EDATE($D150,Milestones!$AA$172)&gt;=$R150),$U150,$T150)))=Milestones!$AB$172),TEXT(EDATE($D150,Milestones!$AA$172),"dd/mm/yy")&amp;" "&amp;Milestones!$AB$172&amp;" "&amp;Milestones!$AC$172&amp;";  ","")&amp;IF(AND(EDATE($D150,Milestones!$AA$173)&lt;=AsOfDate,IF($Q150=0,$W150,IF(AND($S150&lt;&gt;"",EDATE($D150,Milestones!$AA$173)&gt;=$S150),$V150,IF(AND($R150&lt;&gt;"",EDATE($D150,Milestones!$AA$173)&gt;=$R150),$U150,$T150)))=Milestones!$AB$173),TEXT(EDATE($D150,Milestones!$AA$173),"dd/mm/yy")&amp;" "&amp;Milestones!$AB$173&amp;" "&amp;Milestones!$AC$173&amp;";  ","")&amp;IF(AND(EDATE($D150,Milestones!$AA$174)&lt;=AsOfDate,IF($Q150=0,$W150,IF(AND($S150&lt;&gt;"",EDATE($D150,Milestones!$AA$174)&gt;=$S150),$V150,IF(AND($R150&lt;&gt;"",EDATE($D150,Milestones!$AA$174)&gt;=$R150),$U150,$T150)))=Milestones!$AB$174),TEXT(EDATE($D150,Milestones!$AA$174),"dd/mm/yy")&amp;" "&amp;Milestones!$AB$174&amp;" "&amp;Milestones!$AC$174&amp;";  ","")&amp;IF(AND(EDATE($D150,Milestones!$AA$175)&lt;=AsOfDate,IF($Q150=0,$W150,IF(AND($S150&lt;&gt;"",EDATE($D150,Milestones!$AA$175)&gt;=$S150),$V150,IF(AND($R150&lt;&gt;"",EDATE($D150,Milestones!$AA$175)&gt;=$R150),$U150,$T150)))=Milestones!$AB$175),TEXT(EDATE($D150,Milestones!$AA$175),"dd/mm/yy")&amp;" "&amp;Milestones!$AB$175&amp;" "&amp;Milestones!$AC$175&amp;";  ","")&amp;IF(AND(EDATE($D150,Milestones!$AA$176)&lt;=AsOfDate,IF($Q150=0,$W150,IF(AND($S150&lt;&gt;"",EDATE($D150,Milestones!$AA$176)&gt;=$S150),$V150,IF(AND($R150&lt;&gt;"",EDATE($D150,Milestones!$AA$176)&gt;=$R150),$U150,$T150)))=Milestones!$AB$176),TEXT(EDATE($D150,Milestones!$AA$176),"dd/mm/yy")&amp;" "&amp;Milestones!$AB$176&amp;" "&amp;Milestones!$AC$176&amp;";  ","")&amp;IF(AND(EDATE($D150,Milestones!$AA$177)&lt;=AsOfDate,IF($Q150=0,$W150,IF(AND($S150&lt;&gt;"",EDATE($D150,Milestones!$AA$177)&gt;=$S150),$V150,IF(AND($R150&lt;&gt;"",EDATE($D150,Milestones!$AA$177)&gt;=$R150),$U150,$T150)))=Milestones!$AB$177),TEXT(EDATE($D150,Milestones!$AA$177),"dd/mm/yy")&amp;" "&amp;Milestones!$AB$177&amp;" "&amp;Milestones!$AC$177&amp;";  ","")&amp;IF(AND(EDATE($D150,Milestones!$AA$178)&lt;=AsOfDate,IF($Q150=0,$W150,IF(AND($S150&lt;&gt;"",EDATE($D150,Milestones!$AA$178)&gt;=$S150),$V150,IF(AND($R150&lt;&gt;"",EDATE($D150,Milestones!$AA$178)&gt;=$R150),$U150,$T150)))=Milestones!$AB$178),TEXT(EDATE($D150,Milestones!$AA$178),"dd/mm/yy")&amp;" "&amp;Milestones!$AB$178&amp;" "&amp;Milestones!$AC$178&amp;";  ","")&amp;IF(AND(EDATE($D150,Milestones!$AA$179)&lt;=AsOfDate,IF($Q150=0,$W150,IF(AND($S150&lt;&gt;"",EDATE($D150,Milestones!$AA$179)&gt;=$S150),$V150,IF(AND($R150&lt;&gt;"",EDATE($D150,Milestones!$AA$179)&gt;=$R150),$U150,$T150)))=Milestones!$AB$179),TEXT(EDATE($D150,Milestones!$AA$179),"dd/mm/yy")&amp;" "&amp;Milestones!$AB$179&amp;" "&amp;Milestones!$AC$179&amp;";  ",""))</f>
        <v/>
      </c>
      <c r="P150" s="0" t="str">
        <f aca="false">IF(OR($A150="",$D150=""),"",IF(AND(EDATE($D150,Milestones!$AA$180)&lt;=AsOfDate,IF($Q150=0,$W150,IF(AND($S150&lt;&gt;"",EDATE($D150,Milestones!$AA$180)&gt;=$S150),$V150,IF(AND($R150&lt;&gt;"",EDATE($D150,Milestones!$AA$180)&gt;=$R150),$U150,$T150)))=Milestones!$AB$180),TEXT(EDATE($D150,Milestones!$AA$180),"dd/mm/yy")&amp;" "&amp;Milestones!$AB$180&amp;" "&amp;Milestones!$AC$180&amp;";  ","")&amp;IF(AND(EDATE($D150,Milestones!$AA$181)&lt;=AsOfDate,IF($Q150=0,$W150,IF(AND($S150&lt;&gt;"",EDATE($D150,Milestones!$AA$181)&gt;=$S150),$V150,IF(AND($R150&lt;&gt;"",EDATE($D150,Milestones!$AA$181)&gt;=$R150),$U150,$T150)))=Milestones!$AB$181),TEXT(EDATE($D150,Milestones!$AA$181),"dd/mm/yy")&amp;" "&amp;Milestones!$AB$181&amp;" "&amp;Milestones!$AC$181&amp;";  ","")&amp;IF(AND(EDATE($D150,Milestones!$AA$182)&lt;=AsOfDate,IF($Q150=0,$W150,IF(AND($S150&lt;&gt;"",EDATE($D150,Milestones!$AA$182)&gt;=$S150),$V150,IF(AND($R150&lt;&gt;"",EDATE($D150,Milestones!$AA$182)&gt;=$R150),$U150,$T150)))=Milestones!$AB$182),TEXT(EDATE($D150,Milestones!$AA$182),"dd/mm/yy")&amp;" "&amp;Milestones!$AB$182&amp;" "&amp;Milestones!$AC$182&amp;";  ","")&amp;IF(AND(EDATE($D150,Milestones!$AA$183)&lt;=AsOfDate,IF($Q150=0,$W150,IF(AND($S150&lt;&gt;"",EDATE($D150,Milestones!$AA$183)&gt;=$S150),$V150,IF(AND($R150&lt;&gt;"",EDATE($D150,Milestones!$AA$183)&gt;=$R150),$U150,$T150)))=Milestones!$AB$183),TEXT(EDATE($D150,Milestones!$AA$183),"dd/mm/yy")&amp;" "&amp;Milestones!$AB$183&amp;" "&amp;Milestones!$AC$183&amp;";  ","")&amp;IF(AND(EDATE($D150,Milestones!$AA$184)&lt;=AsOfDate,IF($Q150=0,$W150,IF(AND($S150&lt;&gt;"",EDATE($D150,Milestones!$AA$184)&gt;=$S150),$V150,IF(AND($R150&lt;&gt;"",EDATE($D150,Milestones!$AA$184)&gt;=$R150),$U150,$T150)))=Milestones!$AB$184),TEXT(EDATE($D150,Milestones!$AA$184),"dd/mm/yy")&amp;" "&amp;Milestones!$AB$184&amp;" "&amp;Milestones!$AC$184&amp;";  ","")&amp;IF(AND(EDATE($D150,Milestones!$AA$185)&lt;=AsOfDate,IF($Q150=0,$W150,IF(AND($S150&lt;&gt;"",EDATE($D150,Milestones!$AA$185)&gt;=$S150),$V150,IF(AND($R150&lt;&gt;"",EDATE($D150,Milestones!$AA$185)&gt;=$R150),$U150,$T150)))=Milestones!$AB$185),TEXT(EDATE($D150,Milestones!$AA$185),"dd/mm/yy")&amp;" "&amp;Milestones!$AB$185&amp;" "&amp;Milestones!$AC$185&amp;";  ","")&amp;IF(AND(EDATE($D150,Milestones!$AA$186)&lt;=AsOfDate,IF($Q150=0,$W150,IF(AND($S150&lt;&gt;"",EDATE($D150,Milestones!$AA$186)&gt;=$S150),$V150,IF(AND($R150&lt;&gt;"",EDATE($D150,Milestones!$AA$186)&gt;=$R150),$U150,$T150)))=Milestones!$AB$186),TEXT(EDATE($D150,Milestones!$AA$186),"dd/mm/yy")&amp;" "&amp;Milestones!$AB$186&amp;" "&amp;Milestones!$AC$186&amp;";  ","")&amp;IF(AND(EDATE($D150,Milestones!$AA$187)&lt;=AsOfDate,IF($Q150=0,$W150,IF(AND($S150&lt;&gt;"",EDATE($D150,Milestones!$AA$187)&gt;=$S150),$V150,IF(AND($R150&lt;&gt;"",EDATE($D150,Milestones!$AA$187)&gt;=$R150),$U150,$T150)))=Milestones!$AB$187),TEXT(EDATE($D150,Milestones!$AA$187),"dd/mm/yy")&amp;" "&amp;Milestones!$AB$187&amp;" "&amp;Milestones!$AC$187&amp;";  ","")&amp;IF(AND(EDATE($D150,Milestones!$AA$188)&lt;=AsOfDate,IF($Q150=0,$W150,IF(AND($S150&lt;&gt;"",EDATE($D150,Milestones!$AA$188)&gt;=$S150),$V150,IF(AND($R150&lt;&gt;"",EDATE($D150,Milestones!$AA$188)&gt;=$R150),$U150,$T150)))=Milestones!$AB$188),TEXT(EDATE($D150,Milestones!$AA$188),"dd/mm/yy")&amp;" "&amp;Milestones!$AB$188&amp;" "&amp;Milestones!$AC$188&amp;";  ","")&amp;IF(AND(EDATE($D150,Milestones!$AA$189)&lt;=AsOfDate,IF($Q150=0,$W150,IF(AND($S150&lt;&gt;"",EDATE($D150,Milestones!$AA$189)&gt;=$S150),$V150,IF(AND($R150&lt;&gt;"",EDATE($D150,Milestones!$AA$189)&gt;=$R150),$U150,$T150)))=Milestones!$AB$189),TEXT(EDATE($D150,Milestones!$AA$189),"dd/mm/yy")&amp;" "&amp;Milestones!$AB$189&amp;" "&amp;Milestones!$AC$189&amp;";  ","")&amp;IF(AND(EDATE($D150,Milestones!$AA$190)&lt;=AsOfDate,IF($Q150=0,$W150,IF(AND($S150&lt;&gt;"",EDATE($D150,Milestones!$AA$190)&gt;=$S150),$V150,IF(AND($R150&lt;&gt;"",EDATE($D150,Milestones!$AA$190)&gt;=$R150),$U150,$T150)))=Milestones!$AB$190),TEXT(EDATE($D150,Milestones!$AA$190),"dd/mm/yy")&amp;" "&amp;Milestones!$AB$190&amp;" "&amp;Milestones!$AC$190&amp;";  ","")&amp;IF(AND(EDATE($D150,Milestones!$AA$191)&lt;=AsOfDate,IF($Q150=0,$W150,IF(AND($S150&lt;&gt;"",EDATE($D150,Milestones!$AA$191)&gt;=$S150),$V150,IF(AND($R150&lt;&gt;"",EDATE($D150,Milestones!$AA$191)&gt;=$R150),$U150,$T150)))=Milestones!$AB$191),TEXT(EDATE($D150,Milestones!$AA$191),"dd/mm/yy")&amp;" "&amp;Milestones!$AB$191&amp;" "&amp;Milestones!$AC$191&amp;";  ","")&amp;IF(AND(EDATE($D150,Milestones!$AA$192)&lt;=AsOfDate,IF($Q150=0,$W150,IF(AND($S150&lt;&gt;"",EDATE($D150,Milestones!$AA$192)&gt;=$S150),$V150,IF(AND($R150&lt;&gt;"",EDATE($D150,Milestones!$AA$192)&gt;=$R150),$U150,$T150)))=Milestones!$AB$192),TEXT(EDATE($D150,Milestones!$AA$192),"dd/mm/yy")&amp;" "&amp;Milestones!$AB$192&amp;" "&amp;Milestones!$AC$192&amp;";  ","")&amp;IF(AND(EDATE($D150,Milestones!$AA$193)&lt;=AsOfDate,IF($Q150=0,$W150,IF(AND($S150&lt;&gt;"",EDATE($D150,Milestones!$AA$193)&gt;=$S150),$V150,IF(AND($R150&lt;&gt;"",EDATE($D150,Milestones!$AA$193)&gt;=$R150),$U150,$T150)))=Milestones!$AB$193),TEXT(EDATE($D150,Milestones!$AA$193),"dd/mm/yy")&amp;" "&amp;Milestones!$AB$193&amp;" "&amp;Milestones!$AC$193&amp;";  ","")&amp;IF(AND(EDATE($D150,Milestones!$AA$194)&lt;=AsOfDate,IF($Q150=0,$W150,IF(AND($S150&lt;&gt;"",EDATE($D150,Milestones!$AA$194)&gt;=$S150),$V150,IF(AND($R150&lt;&gt;"",EDATE($D150,Milestones!$AA$194)&gt;=$R150),$U150,$T150)))=Milestones!$AB$194),TEXT(EDATE($D150,Milestones!$AA$194),"dd/mm/yy")&amp;" "&amp;Milestones!$AB$194&amp;" "&amp;Milestones!$AC$194&amp;";  ","")&amp;IF(AND(EDATE($D150,Milestones!$AA$195)&lt;=AsOfDate,IF($Q150=0,$W150,IF(AND($S150&lt;&gt;"",EDATE($D150,Milestones!$AA$195)&gt;=$S150),$V150,IF(AND($R150&lt;&gt;"",EDATE($D150,Milestones!$AA$195)&gt;=$R150),$U150,$T150)))=Milestones!$AB$195),TEXT(EDATE($D150,Milestones!$AA$195),"dd/mm/yy")&amp;" "&amp;Milestones!$AB$195&amp;" "&amp;Milestones!$AC$195&amp;";  ","")&amp;IF(AND(EDATE($D150,Milestones!$AA$196)&lt;=AsOfDate,IF($Q150=0,$W150,IF(AND($S150&lt;&gt;"",EDATE($D150,Milestones!$AA$196)&gt;=$S150),$V150,IF(AND($R150&lt;&gt;"",EDATE($D150,Milestones!$AA$196)&gt;=$R150),$U150,$T150)))=Milestones!$AB$196),TEXT(EDATE($D150,Milestones!$AA$196),"dd/mm/yy")&amp;" "&amp;Milestones!$AB$196&amp;" "&amp;Milestones!$AC$196&amp;";  ","")&amp;IF(AND(EDATE($D150,Milestones!$AA$197)&lt;=AsOfDate,IF($Q150=0,$W150,IF(AND($S150&lt;&gt;"",EDATE($D150,Milestones!$AA$197)&gt;=$S150),$V150,IF(AND($R150&lt;&gt;"",EDATE($D150,Milestones!$AA$197)&gt;=$R150),$U150,$T150)))=Milestones!$AB$197),TEXT(EDATE($D150,Milestones!$AA$197),"dd/mm/yy")&amp;" "&amp;Milestones!$AB$197&amp;" "&amp;Milestones!$AC$197&amp;";  ","")&amp;IF(AND(EDATE($D150,Milestones!$AA$198)&lt;=AsOfDate,IF($Q150=0,$W150,IF(AND($S150&lt;&gt;"",EDATE($D150,Milestones!$AA$198)&gt;=$S150),$V150,IF(AND($R150&lt;&gt;"",EDATE($D150,Milestones!$AA$198)&gt;=$R150),$U150,$T150)))=Milestones!$AB$198),TEXT(EDATE($D150,Milestones!$AA$198),"dd/mm/yy")&amp;" "&amp;Milestones!$AB$198&amp;" "&amp;Milestones!$AC$198&amp;";  ","")&amp;IF(AND(EDATE($D150,Milestones!$AA$199)&lt;=AsOfDate,IF($Q150=0,$W150,IF(AND($S150&lt;&gt;"",EDATE($D150,Milestones!$AA$199)&gt;=$S150),$V150,IF(AND($R150&lt;&gt;"",EDATE($D150,Milestones!$AA$199)&gt;=$R150),$U150,$T150)))=Milestones!$AB$199),TEXT(EDATE($D150,Milestones!$AA$199),"dd/mm/yy")&amp;" "&amp;Milestones!$AB$199&amp;" "&amp;Milestones!$AC$199&amp;";  ",""))</f>
        <v/>
      </c>
      <c r="Q150" s="0" t="str">
        <f aca="false">IF(Staff!$A150="","",Staff!$AG150)</f>
        <v/>
      </c>
      <c r="R150" s="0" t="str">
        <f aca="false">IF(Staff!$A150="","",Staff!$AI150)</f>
        <v/>
      </c>
      <c r="S150" s="0" t="str">
        <f aca="false">IF(Staff!$A150="","",Staff!$AJ150)</f>
        <v/>
      </c>
      <c r="T150" s="0" t="str">
        <f aca="false">IF(Staff!$A150="","",Staff!$AN150)</f>
        <v/>
      </c>
      <c r="U150" s="0" t="str">
        <f aca="false">IF(Staff!$A150="","",Staff!$AO150)</f>
        <v/>
      </c>
      <c r="V150" s="0" t="str">
        <f aca="false">IF(Staff!$A150="","",Staff!$AP150)</f>
        <v/>
      </c>
      <c r="W150" s="0" t="str">
        <f aca="false">IF(Staff!$A150="","",Staff!$AQ150)</f>
        <v/>
      </c>
    </row>
    <row r="151" customFormat="false" ht="15" hidden="false" customHeight="false" outlineLevel="0" collapsed="false">
      <c r="A151" s="13" t="str">
        <f aca="false">IF(Staff!$A151="","",Staff!$A151)</f>
        <v/>
      </c>
      <c r="B151" s="13" t="str">
        <f aca="false">IF(Staff!$A151="","",Staff!$B151)</f>
        <v/>
      </c>
      <c r="C151" s="13" t="str">
        <f aca="false">IF(Staff!$A151="","",Staff!$C151)</f>
        <v/>
      </c>
      <c r="D151" s="11" t="str">
        <f aca="false">IF(Staff!$A151="","",Staff!$AF151)</f>
        <v/>
      </c>
      <c r="E151" s="13" t="str">
        <f aca="false">IF(Staff!$A151="","",Staff!$O151)</f>
        <v/>
      </c>
      <c r="F151" s="13" t="str">
        <f aca="false">IF(E151="","",E151*HoursPerDay)</f>
        <v/>
      </c>
      <c r="G151" s="26" t="str">
        <f aca="false">IF($A151="","",H151&amp;I151&amp;J151&amp;K151&amp;L151&amp;M151&amp;N151&amp;O151&amp;P151)</f>
        <v/>
      </c>
      <c r="H151" s="0" t="str">
        <f aca="false">IF(OR($A151="",$D151=""),"",IF(AND(EDATE($D151,Milestones!$AA$20)&lt;=AsOfDate,IF($Q151=0,$W151,IF(AND($S151&lt;&gt;"",EDATE($D151,Milestones!$AA$20)&gt;=$S151),$V151,IF(AND($R151&lt;&gt;"",EDATE($D151,Milestones!$AA$20)&gt;=$R151),$U151,$T151)))=Milestones!$AB$20),TEXT(EDATE($D151,Milestones!$AA$20),"dd/mm/yy")&amp;" "&amp;Milestones!$AB$20&amp;" "&amp;Milestones!$AC$20&amp;";  ","")&amp;IF(AND(EDATE($D151,Milestones!$AA$21)&lt;=AsOfDate,IF($Q151=0,$W151,IF(AND($S151&lt;&gt;"",EDATE($D151,Milestones!$AA$21)&gt;=$S151),$V151,IF(AND($R151&lt;&gt;"",EDATE($D151,Milestones!$AA$21)&gt;=$R151),$U151,$T151)))=Milestones!$AB$21),TEXT(EDATE($D151,Milestones!$AA$21),"dd/mm/yy")&amp;" "&amp;Milestones!$AB$21&amp;" "&amp;Milestones!$AC$21&amp;";  ","")&amp;IF(AND(EDATE($D151,Milestones!$AA$22)&lt;=AsOfDate,IF($Q151=0,$W151,IF(AND($S151&lt;&gt;"",EDATE($D151,Milestones!$AA$22)&gt;=$S151),$V151,IF(AND($R151&lt;&gt;"",EDATE($D151,Milestones!$AA$22)&gt;=$R151),$U151,$T151)))=Milestones!$AB$22),TEXT(EDATE($D151,Milestones!$AA$22),"dd/mm/yy")&amp;" "&amp;Milestones!$AB$22&amp;" "&amp;Milestones!$AC$22&amp;";  ","")&amp;IF(AND(EDATE($D151,Milestones!$AA$23)&lt;=AsOfDate,IF($Q151=0,$W151,IF(AND($S151&lt;&gt;"",EDATE($D151,Milestones!$AA$23)&gt;=$S151),$V151,IF(AND($R151&lt;&gt;"",EDATE($D151,Milestones!$AA$23)&gt;=$R151),$U151,$T151)))=Milestones!$AB$23),TEXT(EDATE($D151,Milestones!$AA$23),"dd/mm/yy")&amp;" "&amp;Milestones!$AB$23&amp;" "&amp;Milestones!$AC$23&amp;";  ","")&amp;IF(AND(EDATE($D151,Milestones!$AA$24)&lt;=AsOfDate,IF($Q151=0,$W151,IF(AND($S151&lt;&gt;"",EDATE($D151,Milestones!$AA$24)&gt;=$S151),$V151,IF(AND($R151&lt;&gt;"",EDATE($D151,Milestones!$AA$24)&gt;=$R151),$U151,$T151)))=Milestones!$AB$24),TEXT(EDATE($D151,Milestones!$AA$24),"dd/mm/yy")&amp;" "&amp;Milestones!$AB$24&amp;" "&amp;Milestones!$AC$24&amp;";  ","")&amp;IF(AND(EDATE($D151,Milestones!$AA$25)&lt;=AsOfDate,IF($Q151=0,$W151,IF(AND($S151&lt;&gt;"",EDATE($D151,Milestones!$AA$25)&gt;=$S151),$V151,IF(AND($R151&lt;&gt;"",EDATE($D151,Milestones!$AA$25)&gt;=$R151),$U151,$T151)))=Milestones!$AB$25),TEXT(EDATE($D151,Milestones!$AA$25),"dd/mm/yy")&amp;" "&amp;Milestones!$AB$25&amp;" "&amp;Milestones!$AC$25&amp;";  ","")&amp;IF(AND(EDATE($D151,Milestones!$AA$26)&lt;=AsOfDate,IF($Q151=0,$W151,IF(AND($S151&lt;&gt;"",EDATE($D151,Milestones!$AA$26)&gt;=$S151),$V151,IF(AND($R151&lt;&gt;"",EDATE($D151,Milestones!$AA$26)&gt;=$R151),$U151,$T151)))=Milestones!$AB$26),TEXT(EDATE($D151,Milestones!$AA$26),"dd/mm/yy")&amp;" "&amp;Milestones!$AB$26&amp;" "&amp;Milestones!$AC$26&amp;";  ","")&amp;IF(AND(EDATE($D151,Milestones!$AA$27)&lt;=AsOfDate,IF($Q151=0,$W151,IF(AND($S151&lt;&gt;"",EDATE($D151,Milestones!$AA$27)&gt;=$S151),$V151,IF(AND($R151&lt;&gt;"",EDATE($D151,Milestones!$AA$27)&gt;=$R151),$U151,$T151)))=Milestones!$AB$27),TEXT(EDATE($D151,Milestones!$AA$27),"dd/mm/yy")&amp;" "&amp;Milestones!$AB$27&amp;" "&amp;Milestones!$AC$27&amp;";  ","")&amp;IF(AND(EDATE($D151,Milestones!$AA$28)&lt;=AsOfDate,IF($Q151=0,$W151,IF(AND($S151&lt;&gt;"",EDATE($D151,Milestones!$AA$28)&gt;=$S151),$V151,IF(AND($R151&lt;&gt;"",EDATE($D151,Milestones!$AA$28)&gt;=$R151),$U151,$T151)))=Milestones!$AB$28),TEXT(EDATE($D151,Milestones!$AA$28),"dd/mm/yy")&amp;" "&amp;Milestones!$AB$28&amp;" "&amp;Milestones!$AC$28&amp;";  ","")&amp;IF(AND(EDATE($D151,Milestones!$AA$29)&lt;=AsOfDate,IF($Q151=0,$W151,IF(AND($S151&lt;&gt;"",EDATE($D151,Milestones!$AA$29)&gt;=$S151),$V151,IF(AND($R151&lt;&gt;"",EDATE($D151,Milestones!$AA$29)&gt;=$R151),$U151,$T151)))=Milestones!$AB$29),TEXT(EDATE($D151,Milestones!$AA$29),"dd/mm/yy")&amp;" "&amp;Milestones!$AB$29&amp;" "&amp;Milestones!$AC$29&amp;";  ","")&amp;IF(AND(EDATE($D151,Milestones!$AA$30)&lt;=AsOfDate,IF($Q151=0,$W151,IF(AND($S151&lt;&gt;"",EDATE($D151,Milestones!$AA$30)&gt;=$S151),$V151,IF(AND($R151&lt;&gt;"",EDATE($D151,Milestones!$AA$30)&gt;=$R151),$U151,$T151)))=Milestones!$AB$30),TEXT(EDATE($D151,Milestones!$AA$30),"dd/mm/yy")&amp;" "&amp;Milestones!$AB$30&amp;" "&amp;Milestones!$AC$30&amp;";  ","")&amp;IF(AND(EDATE($D151,Milestones!$AA$31)&lt;=AsOfDate,IF($Q151=0,$W151,IF(AND($S151&lt;&gt;"",EDATE($D151,Milestones!$AA$31)&gt;=$S151),$V151,IF(AND($R151&lt;&gt;"",EDATE($D151,Milestones!$AA$31)&gt;=$R151),$U151,$T151)))=Milestones!$AB$31),TEXT(EDATE($D151,Milestones!$AA$31),"dd/mm/yy")&amp;" "&amp;Milestones!$AB$31&amp;" "&amp;Milestones!$AC$31&amp;";  ","")&amp;IF(AND(EDATE($D151,Milestones!$AA$32)&lt;=AsOfDate,IF($Q151=0,$W151,IF(AND($S151&lt;&gt;"",EDATE($D151,Milestones!$AA$32)&gt;=$S151),$V151,IF(AND($R151&lt;&gt;"",EDATE($D151,Milestones!$AA$32)&gt;=$R151),$U151,$T151)))=Milestones!$AB$32),TEXT(EDATE($D151,Milestones!$AA$32),"dd/mm/yy")&amp;" "&amp;Milestones!$AB$32&amp;" "&amp;Milestones!$AC$32&amp;";  ","")&amp;IF(AND(EDATE($D151,Milestones!$AA$33)&lt;=AsOfDate,IF($Q151=0,$W151,IF(AND($S151&lt;&gt;"",EDATE($D151,Milestones!$AA$33)&gt;=$S151),$V151,IF(AND($R151&lt;&gt;"",EDATE($D151,Milestones!$AA$33)&gt;=$R151),$U151,$T151)))=Milestones!$AB$33),TEXT(EDATE($D151,Milestones!$AA$33),"dd/mm/yy")&amp;" "&amp;Milestones!$AB$33&amp;" "&amp;Milestones!$AC$33&amp;";  ","")&amp;IF(AND(EDATE($D151,Milestones!$AA$34)&lt;=AsOfDate,IF($Q151=0,$W151,IF(AND($S151&lt;&gt;"",EDATE($D151,Milestones!$AA$34)&gt;=$S151),$V151,IF(AND($R151&lt;&gt;"",EDATE($D151,Milestones!$AA$34)&gt;=$R151),$U151,$T151)))=Milestones!$AB$34),TEXT(EDATE($D151,Milestones!$AA$34),"dd/mm/yy")&amp;" "&amp;Milestones!$AB$34&amp;" "&amp;Milestones!$AC$34&amp;";  ","")&amp;IF(AND(EDATE($D151,Milestones!$AA$35)&lt;=AsOfDate,IF($Q151=0,$W151,IF(AND($S151&lt;&gt;"",EDATE($D151,Milestones!$AA$35)&gt;=$S151),$V151,IF(AND($R151&lt;&gt;"",EDATE($D151,Milestones!$AA$35)&gt;=$R151),$U151,$T151)))=Milestones!$AB$35),TEXT(EDATE($D151,Milestones!$AA$35),"dd/mm/yy")&amp;" "&amp;Milestones!$AB$35&amp;" "&amp;Milestones!$AC$35&amp;";  ","")&amp;IF(AND(EDATE($D151,Milestones!$AA$36)&lt;=AsOfDate,IF($Q151=0,$W151,IF(AND($S151&lt;&gt;"",EDATE($D151,Milestones!$AA$36)&gt;=$S151),$V151,IF(AND($R151&lt;&gt;"",EDATE($D151,Milestones!$AA$36)&gt;=$R151),$U151,$T151)))=Milestones!$AB$36),TEXT(EDATE($D151,Milestones!$AA$36),"dd/mm/yy")&amp;" "&amp;Milestones!$AB$36&amp;" "&amp;Milestones!$AC$36&amp;";  ","")&amp;IF(AND(EDATE($D151,Milestones!$AA$37)&lt;=AsOfDate,IF($Q151=0,$W151,IF(AND($S151&lt;&gt;"",EDATE($D151,Milestones!$AA$37)&gt;=$S151),$V151,IF(AND($R151&lt;&gt;"",EDATE($D151,Milestones!$AA$37)&gt;=$R151),$U151,$T151)))=Milestones!$AB$37),TEXT(EDATE($D151,Milestones!$AA$37),"dd/mm/yy")&amp;" "&amp;Milestones!$AB$37&amp;" "&amp;Milestones!$AC$37&amp;";  ","")&amp;IF(AND(EDATE($D151,Milestones!$AA$38)&lt;=AsOfDate,IF($Q151=0,$W151,IF(AND($S151&lt;&gt;"",EDATE($D151,Milestones!$AA$38)&gt;=$S151),$V151,IF(AND($R151&lt;&gt;"",EDATE($D151,Milestones!$AA$38)&gt;=$R151),$U151,$T151)))=Milestones!$AB$38),TEXT(EDATE($D151,Milestones!$AA$38),"dd/mm/yy")&amp;" "&amp;Milestones!$AB$38&amp;" "&amp;Milestones!$AC$38&amp;";  ","")&amp;IF(AND(EDATE($D151,Milestones!$AA$39)&lt;=AsOfDate,IF($Q151=0,$W151,IF(AND($S151&lt;&gt;"",EDATE($D151,Milestones!$AA$39)&gt;=$S151),$V151,IF(AND($R151&lt;&gt;"",EDATE($D151,Milestones!$AA$39)&gt;=$R151),$U151,$T151)))=Milestones!$AB$39),TEXT(EDATE($D151,Milestones!$AA$39),"dd/mm/yy")&amp;" "&amp;Milestones!$AB$39&amp;" "&amp;Milestones!$AC$39&amp;";  ",""))</f>
        <v/>
      </c>
      <c r="I151" s="0" t="str">
        <f aca="false">IF(OR($A151="",$D151=""),"",IF(AND(EDATE($D151,Milestones!$AA$40)&lt;=AsOfDate,IF($Q151=0,$W151,IF(AND($S151&lt;&gt;"",EDATE($D151,Milestones!$AA$40)&gt;=$S151),$V151,IF(AND($R151&lt;&gt;"",EDATE($D151,Milestones!$AA$40)&gt;=$R151),$U151,$T151)))=Milestones!$AB$40),TEXT(EDATE($D151,Milestones!$AA$40),"dd/mm/yy")&amp;" "&amp;Milestones!$AB$40&amp;" "&amp;Milestones!$AC$40&amp;";  ","")&amp;IF(AND(EDATE($D151,Milestones!$AA$41)&lt;=AsOfDate,IF($Q151=0,$W151,IF(AND($S151&lt;&gt;"",EDATE($D151,Milestones!$AA$41)&gt;=$S151),$V151,IF(AND($R151&lt;&gt;"",EDATE($D151,Milestones!$AA$41)&gt;=$R151),$U151,$T151)))=Milestones!$AB$41),TEXT(EDATE($D151,Milestones!$AA$41),"dd/mm/yy")&amp;" "&amp;Milestones!$AB$41&amp;" "&amp;Milestones!$AC$41&amp;";  ","")&amp;IF(AND(EDATE($D151,Milestones!$AA$42)&lt;=AsOfDate,IF($Q151=0,$W151,IF(AND($S151&lt;&gt;"",EDATE($D151,Milestones!$AA$42)&gt;=$S151),$V151,IF(AND($R151&lt;&gt;"",EDATE($D151,Milestones!$AA$42)&gt;=$R151),$U151,$T151)))=Milestones!$AB$42),TEXT(EDATE($D151,Milestones!$AA$42),"dd/mm/yy")&amp;" "&amp;Milestones!$AB$42&amp;" "&amp;Milestones!$AC$42&amp;";  ","")&amp;IF(AND(EDATE($D151,Milestones!$AA$43)&lt;=AsOfDate,IF($Q151=0,$W151,IF(AND($S151&lt;&gt;"",EDATE($D151,Milestones!$AA$43)&gt;=$S151),$V151,IF(AND($R151&lt;&gt;"",EDATE($D151,Milestones!$AA$43)&gt;=$R151),$U151,$T151)))=Milestones!$AB$43),TEXT(EDATE($D151,Milestones!$AA$43),"dd/mm/yy")&amp;" "&amp;Milestones!$AB$43&amp;" "&amp;Milestones!$AC$43&amp;";  ","")&amp;IF(AND(EDATE($D151,Milestones!$AA$44)&lt;=AsOfDate,IF($Q151=0,$W151,IF(AND($S151&lt;&gt;"",EDATE($D151,Milestones!$AA$44)&gt;=$S151),$V151,IF(AND($R151&lt;&gt;"",EDATE($D151,Milestones!$AA$44)&gt;=$R151),$U151,$T151)))=Milestones!$AB$44),TEXT(EDATE($D151,Milestones!$AA$44),"dd/mm/yy")&amp;" "&amp;Milestones!$AB$44&amp;" "&amp;Milestones!$AC$44&amp;";  ","")&amp;IF(AND(EDATE($D151,Milestones!$AA$45)&lt;=AsOfDate,IF($Q151=0,$W151,IF(AND($S151&lt;&gt;"",EDATE($D151,Milestones!$AA$45)&gt;=$S151),$V151,IF(AND($R151&lt;&gt;"",EDATE($D151,Milestones!$AA$45)&gt;=$R151),$U151,$T151)))=Milestones!$AB$45),TEXT(EDATE($D151,Milestones!$AA$45),"dd/mm/yy")&amp;" "&amp;Milestones!$AB$45&amp;" "&amp;Milestones!$AC$45&amp;";  ","")&amp;IF(AND(EDATE($D151,Milestones!$AA$46)&lt;=AsOfDate,IF($Q151=0,$W151,IF(AND($S151&lt;&gt;"",EDATE($D151,Milestones!$AA$46)&gt;=$S151),$V151,IF(AND($R151&lt;&gt;"",EDATE($D151,Milestones!$AA$46)&gt;=$R151),$U151,$T151)))=Milestones!$AB$46),TEXT(EDATE($D151,Milestones!$AA$46),"dd/mm/yy")&amp;" "&amp;Milestones!$AB$46&amp;" "&amp;Milestones!$AC$46&amp;";  ","")&amp;IF(AND(EDATE($D151,Milestones!$AA$47)&lt;=AsOfDate,IF($Q151=0,$W151,IF(AND($S151&lt;&gt;"",EDATE($D151,Milestones!$AA$47)&gt;=$S151),$V151,IF(AND($R151&lt;&gt;"",EDATE($D151,Milestones!$AA$47)&gt;=$R151),$U151,$T151)))=Milestones!$AB$47),TEXT(EDATE($D151,Milestones!$AA$47),"dd/mm/yy")&amp;" "&amp;Milestones!$AB$47&amp;" "&amp;Milestones!$AC$47&amp;";  ","")&amp;IF(AND(EDATE($D151,Milestones!$AA$48)&lt;=AsOfDate,IF($Q151=0,$W151,IF(AND($S151&lt;&gt;"",EDATE($D151,Milestones!$AA$48)&gt;=$S151),$V151,IF(AND($R151&lt;&gt;"",EDATE($D151,Milestones!$AA$48)&gt;=$R151),$U151,$T151)))=Milestones!$AB$48),TEXT(EDATE($D151,Milestones!$AA$48),"dd/mm/yy")&amp;" "&amp;Milestones!$AB$48&amp;" "&amp;Milestones!$AC$48&amp;";  ","")&amp;IF(AND(EDATE($D151,Milestones!$AA$49)&lt;=AsOfDate,IF($Q151=0,$W151,IF(AND($S151&lt;&gt;"",EDATE($D151,Milestones!$AA$49)&gt;=$S151),$V151,IF(AND($R151&lt;&gt;"",EDATE($D151,Milestones!$AA$49)&gt;=$R151),$U151,$T151)))=Milestones!$AB$49),TEXT(EDATE($D151,Milestones!$AA$49),"dd/mm/yy")&amp;" "&amp;Milestones!$AB$49&amp;" "&amp;Milestones!$AC$49&amp;";  ","")&amp;IF(AND(EDATE($D151,Milestones!$AA$50)&lt;=AsOfDate,IF($Q151=0,$W151,IF(AND($S151&lt;&gt;"",EDATE($D151,Milestones!$AA$50)&gt;=$S151),$V151,IF(AND($R151&lt;&gt;"",EDATE($D151,Milestones!$AA$50)&gt;=$R151),$U151,$T151)))=Milestones!$AB$50),TEXT(EDATE($D151,Milestones!$AA$50),"dd/mm/yy")&amp;" "&amp;Milestones!$AB$50&amp;" "&amp;Milestones!$AC$50&amp;";  ","")&amp;IF(AND(EDATE($D151,Milestones!$AA$51)&lt;=AsOfDate,IF($Q151=0,$W151,IF(AND($S151&lt;&gt;"",EDATE($D151,Milestones!$AA$51)&gt;=$S151),$V151,IF(AND($R151&lt;&gt;"",EDATE($D151,Milestones!$AA$51)&gt;=$R151),$U151,$T151)))=Milestones!$AB$51),TEXT(EDATE($D151,Milestones!$AA$51),"dd/mm/yy")&amp;" "&amp;Milestones!$AB$51&amp;" "&amp;Milestones!$AC$51&amp;";  ","")&amp;IF(AND(EDATE($D151,Milestones!$AA$52)&lt;=AsOfDate,IF($Q151=0,$W151,IF(AND($S151&lt;&gt;"",EDATE($D151,Milestones!$AA$52)&gt;=$S151),$V151,IF(AND($R151&lt;&gt;"",EDATE($D151,Milestones!$AA$52)&gt;=$R151),$U151,$T151)))=Milestones!$AB$52),TEXT(EDATE($D151,Milestones!$AA$52),"dd/mm/yy")&amp;" "&amp;Milestones!$AB$52&amp;" "&amp;Milestones!$AC$52&amp;";  ","")&amp;IF(AND(EDATE($D151,Milestones!$AA$53)&lt;=AsOfDate,IF($Q151=0,$W151,IF(AND($S151&lt;&gt;"",EDATE($D151,Milestones!$AA$53)&gt;=$S151),$V151,IF(AND($R151&lt;&gt;"",EDATE($D151,Milestones!$AA$53)&gt;=$R151),$U151,$T151)))=Milestones!$AB$53),TEXT(EDATE($D151,Milestones!$AA$53),"dd/mm/yy")&amp;" "&amp;Milestones!$AB$53&amp;" "&amp;Milestones!$AC$53&amp;";  ","")&amp;IF(AND(EDATE($D151,Milestones!$AA$54)&lt;=AsOfDate,IF($Q151=0,$W151,IF(AND($S151&lt;&gt;"",EDATE($D151,Milestones!$AA$54)&gt;=$S151),$V151,IF(AND($R151&lt;&gt;"",EDATE($D151,Milestones!$AA$54)&gt;=$R151),$U151,$T151)))=Milestones!$AB$54),TEXT(EDATE($D151,Milestones!$AA$54),"dd/mm/yy")&amp;" "&amp;Milestones!$AB$54&amp;" "&amp;Milestones!$AC$54&amp;";  ","")&amp;IF(AND(EDATE($D151,Milestones!$AA$55)&lt;=AsOfDate,IF($Q151=0,$W151,IF(AND($S151&lt;&gt;"",EDATE($D151,Milestones!$AA$55)&gt;=$S151),$V151,IF(AND($R151&lt;&gt;"",EDATE($D151,Milestones!$AA$55)&gt;=$R151),$U151,$T151)))=Milestones!$AB$55),TEXT(EDATE($D151,Milestones!$AA$55),"dd/mm/yy")&amp;" "&amp;Milestones!$AB$55&amp;" "&amp;Milestones!$AC$55&amp;";  ","")&amp;IF(AND(EDATE($D151,Milestones!$AA$56)&lt;=AsOfDate,IF($Q151=0,$W151,IF(AND($S151&lt;&gt;"",EDATE($D151,Milestones!$AA$56)&gt;=$S151),$V151,IF(AND($R151&lt;&gt;"",EDATE($D151,Milestones!$AA$56)&gt;=$R151),$U151,$T151)))=Milestones!$AB$56),TEXT(EDATE($D151,Milestones!$AA$56),"dd/mm/yy")&amp;" "&amp;Milestones!$AB$56&amp;" "&amp;Milestones!$AC$56&amp;";  ","")&amp;IF(AND(EDATE($D151,Milestones!$AA$57)&lt;=AsOfDate,IF($Q151=0,$W151,IF(AND($S151&lt;&gt;"",EDATE($D151,Milestones!$AA$57)&gt;=$S151),$V151,IF(AND($R151&lt;&gt;"",EDATE($D151,Milestones!$AA$57)&gt;=$R151),$U151,$T151)))=Milestones!$AB$57),TEXT(EDATE($D151,Milestones!$AA$57),"dd/mm/yy")&amp;" "&amp;Milestones!$AB$57&amp;" "&amp;Milestones!$AC$57&amp;";  ","")&amp;IF(AND(EDATE($D151,Milestones!$AA$58)&lt;=AsOfDate,IF($Q151=0,$W151,IF(AND($S151&lt;&gt;"",EDATE($D151,Milestones!$AA$58)&gt;=$S151),$V151,IF(AND($R151&lt;&gt;"",EDATE($D151,Milestones!$AA$58)&gt;=$R151),$U151,$T151)))=Milestones!$AB$58),TEXT(EDATE($D151,Milestones!$AA$58),"dd/mm/yy")&amp;" "&amp;Milestones!$AB$58&amp;" "&amp;Milestones!$AC$58&amp;";  ","")&amp;IF(AND(EDATE($D151,Milestones!$AA$59)&lt;=AsOfDate,IF($Q151=0,$W151,IF(AND($S151&lt;&gt;"",EDATE($D151,Milestones!$AA$59)&gt;=$S151),$V151,IF(AND($R151&lt;&gt;"",EDATE($D151,Milestones!$AA$59)&gt;=$R151),$U151,$T151)))=Milestones!$AB$59),TEXT(EDATE($D151,Milestones!$AA$59),"dd/mm/yy")&amp;" "&amp;Milestones!$AB$59&amp;" "&amp;Milestones!$AC$59&amp;";  ",""))</f>
        <v/>
      </c>
      <c r="J151" s="0" t="str">
        <f aca="false">IF(OR($A151="",$D151=""),"",IF(AND(EDATE($D151,Milestones!$AA$60)&lt;=AsOfDate,IF($Q151=0,$W151,IF(AND($S151&lt;&gt;"",EDATE($D151,Milestones!$AA$60)&gt;=$S151),$V151,IF(AND($R151&lt;&gt;"",EDATE($D151,Milestones!$AA$60)&gt;=$R151),$U151,$T151)))=Milestones!$AB$60),TEXT(EDATE($D151,Milestones!$AA$60),"dd/mm/yy")&amp;" "&amp;Milestones!$AB$60&amp;" "&amp;Milestones!$AC$60&amp;";  ","")&amp;IF(AND(EDATE($D151,Milestones!$AA$61)&lt;=AsOfDate,IF($Q151=0,$W151,IF(AND($S151&lt;&gt;"",EDATE($D151,Milestones!$AA$61)&gt;=$S151),$V151,IF(AND($R151&lt;&gt;"",EDATE($D151,Milestones!$AA$61)&gt;=$R151),$U151,$T151)))=Milestones!$AB$61),TEXT(EDATE($D151,Milestones!$AA$61),"dd/mm/yy")&amp;" "&amp;Milestones!$AB$61&amp;" "&amp;Milestones!$AC$61&amp;";  ","")&amp;IF(AND(EDATE($D151,Milestones!$AA$62)&lt;=AsOfDate,IF($Q151=0,$W151,IF(AND($S151&lt;&gt;"",EDATE($D151,Milestones!$AA$62)&gt;=$S151),$V151,IF(AND($R151&lt;&gt;"",EDATE($D151,Milestones!$AA$62)&gt;=$R151),$U151,$T151)))=Milestones!$AB$62),TEXT(EDATE($D151,Milestones!$AA$62),"dd/mm/yy")&amp;" "&amp;Milestones!$AB$62&amp;" "&amp;Milestones!$AC$62&amp;";  ","")&amp;IF(AND(EDATE($D151,Milestones!$AA$63)&lt;=AsOfDate,IF($Q151=0,$W151,IF(AND($S151&lt;&gt;"",EDATE($D151,Milestones!$AA$63)&gt;=$S151),$V151,IF(AND($R151&lt;&gt;"",EDATE($D151,Milestones!$AA$63)&gt;=$R151),$U151,$T151)))=Milestones!$AB$63),TEXT(EDATE($D151,Milestones!$AA$63),"dd/mm/yy")&amp;" "&amp;Milestones!$AB$63&amp;" "&amp;Milestones!$AC$63&amp;";  ","")&amp;IF(AND(EDATE($D151,Milestones!$AA$64)&lt;=AsOfDate,IF($Q151=0,$W151,IF(AND($S151&lt;&gt;"",EDATE($D151,Milestones!$AA$64)&gt;=$S151),$V151,IF(AND($R151&lt;&gt;"",EDATE($D151,Milestones!$AA$64)&gt;=$R151),$U151,$T151)))=Milestones!$AB$64),TEXT(EDATE($D151,Milestones!$AA$64),"dd/mm/yy")&amp;" "&amp;Milestones!$AB$64&amp;" "&amp;Milestones!$AC$64&amp;";  ","")&amp;IF(AND(EDATE($D151,Milestones!$AA$65)&lt;=AsOfDate,IF($Q151=0,$W151,IF(AND($S151&lt;&gt;"",EDATE($D151,Milestones!$AA$65)&gt;=$S151),$V151,IF(AND($R151&lt;&gt;"",EDATE($D151,Milestones!$AA$65)&gt;=$R151),$U151,$T151)))=Milestones!$AB$65),TEXT(EDATE($D151,Milestones!$AA$65),"dd/mm/yy")&amp;" "&amp;Milestones!$AB$65&amp;" "&amp;Milestones!$AC$65&amp;";  ","")&amp;IF(AND(EDATE($D151,Milestones!$AA$66)&lt;=AsOfDate,IF($Q151=0,$W151,IF(AND($S151&lt;&gt;"",EDATE($D151,Milestones!$AA$66)&gt;=$S151),$V151,IF(AND($R151&lt;&gt;"",EDATE($D151,Milestones!$AA$66)&gt;=$R151),$U151,$T151)))=Milestones!$AB$66),TEXT(EDATE($D151,Milestones!$AA$66),"dd/mm/yy")&amp;" "&amp;Milestones!$AB$66&amp;" "&amp;Milestones!$AC$66&amp;";  ","")&amp;IF(AND(EDATE($D151,Milestones!$AA$67)&lt;=AsOfDate,IF($Q151=0,$W151,IF(AND($S151&lt;&gt;"",EDATE($D151,Milestones!$AA$67)&gt;=$S151),$V151,IF(AND($R151&lt;&gt;"",EDATE($D151,Milestones!$AA$67)&gt;=$R151),$U151,$T151)))=Milestones!$AB$67),TEXT(EDATE($D151,Milestones!$AA$67),"dd/mm/yy")&amp;" "&amp;Milestones!$AB$67&amp;" "&amp;Milestones!$AC$67&amp;";  ","")&amp;IF(AND(EDATE($D151,Milestones!$AA$68)&lt;=AsOfDate,IF($Q151=0,$W151,IF(AND($S151&lt;&gt;"",EDATE($D151,Milestones!$AA$68)&gt;=$S151),$V151,IF(AND($R151&lt;&gt;"",EDATE($D151,Milestones!$AA$68)&gt;=$R151),$U151,$T151)))=Milestones!$AB$68),TEXT(EDATE($D151,Milestones!$AA$68),"dd/mm/yy")&amp;" "&amp;Milestones!$AB$68&amp;" "&amp;Milestones!$AC$68&amp;";  ","")&amp;IF(AND(EDATE($D151,Milestones!$AA$69)&lt;=AsOfDate,IF($Q151=0,$W151,IF(AND($S151&lt;&gt;"",EDATE($D151,Milestones!$AA$69)&gt;=$S151),$V151,IF(AND($R151&lt;&gt;"",EDATE($D151,Milestones!$AA$69)&gt;=$R151),$U151,$T151)))=Milestones!$AB$69),TEXT(EDATE($D151,Milestones!$AA$69),"dd/mm/yy")&amp;" "&amp;Milestones!$AB$69&amp;" "&amp;Milestones!$AC$69&amp;";  ","")&amp;IF(AND(EDATE($D151,Milestones!$AA$70)&lt;=AsOfDate,IF($Q151=0,$W151,IF(AND($S151&lt;&gt;"",EDATE($D151,Milestones!$AA$70)&gt;=$S151),$V151,IF(AND($R151&lt;&gt;"",EDATE($D151,Milestones!$AA$70)&gt;=$R151),$U151,$T151)))=Milestones!$AB$70),TEXT(EDATE($D151,Milestones!$AA$70),"dd/mm/yy")&amp;" "&amp;Milestones!$AB$70&amp;" "&amp;Milestones!$AC$70&amp;";  ","")&amp;IF(AND(EDATE($D151,Milestones!$AA$71)&lt;=AsOfDate,IF($Q151=0,$W151,IF(AND($S151&lt;&gt;"",EDATE($D151,Milestones!$AA$71)&gt;=$S151),$V151,IF(AND($R151&lt;&gt;"",EDATE($D151,Milestones!$AA$71)&gt;=$R151),$U151,$T151)))=Milestones!$AB$71),TEXT(EDATE($D151,Milestones!$AA$71),"dd/mm/yy")&amp;" "&amp;Milestones!$AB$71&amp;" "&amp;Milestones!$AC$71&amp;";  ","")&amp;IF(AND(EDATE($D151,Milestones!$AA$72)&lt;=AsOfDate,IF($Q151=0,$W151,IF(AND($S151&lt;&gt;"",EDATE($D151,Milestones!$AA$72)&gt;=$S151),$V151,IF(AND($R151&lt;&gt;"",EDATE($D151,Milestones!$AA$72)&gt;=$R151),$U151,$T151)))=Milestones!$AB$72),TEXT(EDATE($D151,Milestones!$AA$72),"dd/mm/yy")&amp;" "&amp;Milestones!$AB$72&amp;" "&amp;Milestones!$AC$72&amp;";  ","")&amp;IF(AND(EDATE($D151,Milestones!$AA$73)&lt;=AsOfDate,IF($Q151=0,$W151,IF(AND($S151&lt;&gt;"",EDATE($D151,Milestones!$AA$73)&gt;=$S151),$V151,IF(AND($R151&lt;&gt;"",EDATE($D151,Milestones!$AA$73)&gt;=$R151),$U151,$T151)))=Milestones!$AB$73),TEXT(EDATE($D151,Milestones!$AA$73),"dd/mm/yy")&amp;" "&amp;Milestones!$AB$73&amp;" "&amp;Milestones!$AC$73&amp;";  ","")&amp;IF(AND(EDATE($D151,Milestones!$AA$74)&lt;=AsOfDate,IF($Q151=0,$W151,IF(AND($S151&lt;&gt;"",EDATE($D151,Milestones!$AA$74)&gt;=$S151),$V151,IF(AND($R151&lt;&gt;"",EDATE($D151,Milestones!$AA$74)&gt;=$R151),$U151,$T151)))=Milestones!$AB$74),TEXT(EDATE($D151,Milestones!$AA$74),"dd/mm/yy")&amp;" "&amp;Milestones!$AB$74&amp;" "&amp;Milestones!$AC$74&amp;";  ","")&amp;IF(AND(EDATE($D151,Milestones!$AA$75)&lt;=AsOfDate,IF($Q151=0,$W151,IF(AND($S151&lt;&gt;"",EDATE($D151,Milestones!$AA$75)&gt;=$S151),$V151,IF(AND($R151&lt;&gt;"",EDATE($D151,Milestones!$AA$75)&gt;=$R151),$U151,$T151)))=Milestones!$AB$75),TEXT(EDATE($D151,Milestones!$AA$75),"dd/mm/yy")&amp;" "&amp;Milestones!$AB$75&amp;" "&amp;Milestones!$AC$75&amp;";  ","")&amp;IF(AND(EDATE($D151,Milestones!$AA$76)&lt;=AsOfDate,IF($Q151=0,$W151,IF(AND($S151&lt;&gt;"",EDATE($D151,Milestones!$AA$76)&gt;=$S151),$V151,IF(AND($R151&lt;&gt;"",EDATE($D151,Milestones!$AA$76)&gt;=$R151),$U151,$T151)))=Milestones!$AB$76),TEXT(EDATE($D151,Milestones!$AA$76),"dd/mm/yy")&amp;" "&amp;Milestones!$AB$76&amp;" "&amp;Milestones!$AC$76&amp;";  ","")&amp;IF(AND(EDATE($D151,Milestones!$AA$77)&lt;=AsOfDate,IF($Q151=0,$W151,IF(AND($S151&lt;&gt;"",EDATE($D151,Milestones!$AA$77)&gt;=$S151),$V151,IF(AND($R151&lt;&gt;"",EDATE($D151,Milestones!$AA$77)&gt;=$R151),$U151,$T151)))=Milestones!$AB$77),TEXT(EDATE($D151,Milestones!$AA$77),"dd/mm/yy")&amp;" "&amp;Milestones!$AB$77&amp;" "&amp;Milestones!$AC$77&amp;";  ","")&amp;IF(AND(EDATE($D151,Milestones!$AA$78)&lt;=AsOfDate,IF($Q151=0,$W151,IF(AND($S151&lt;&gt;"",EDATE($D151,Milestones!$AA$78)&gt;=$S151),$V151,IF(AND($R151&lt;&gt;"",EDATE($D151,Milestones!$AA$78)&gt;=$R151),$U151,$T151)))=Milestones!$AB$78),TEXT(EDATE($D151,Milestones!$AA$78),"dd/mm/yy")&amp;" "&amp;Milestones!$AB$78&amp;" "&amp;Milestones!$AC$78&amp;";  ","")&amp;IF(AND(EDATE($D151,Milestones!$AA$79)&lt;=AsOfDate,IF($Q151=0,$W151,IF(AND($S151&lt;&gt;"",EDATE($D151,Milestones!$AA$79)&gt;=$S151),$V151,IF(AND($R151&lt;&gt;"",EDATE($D151,Milestones!$AA$79)&gt;=$R151),$U151,$T151)))=Milestones!$AB$79),TEXT(EDATE($D151,Milestones!$AA$79),"dd/mm/yy")&amp;" "&amp;Milestones!$AB$79&amp;" "&amp;Milestones!$AC$79&amp;";  ",""))</f>
        <v/>
      </c>
      <c r="K151" s="0" t="str">
        <f aca="false">IF(OR($A151="",$D151=""),"",IF(AND(EDATE($D151,Milestones!$AA$80)&lt;=AsOfDate,IF($Q151=0,$W151,IF(AND($S151&lt;&gt;"",EDATE($D151,Milestones!$AA$80)&gt;=$S151),$V151,IF(AND($R151&lt;&gt;"",EDATE($D151,Milestones!$AA$80)&gt;=$R151),$U151,$T151)))=Milestones!$AB$80),TEXT(EDATE($D151,Milestones!$AA$80),"dd/mm/yy")&amp;" "&amp;Milestones!$AB$80&amp;" "&amp;Milestones!$AC$80&amp;";  ","")&amp;IF(AND(EDATE($D151,Milestones!$AA$81)&lt;=AsOfDate,IF($Q151=0,$W151,IF(AND($S151&lt;&gt;"",EDATE($D151,Milestones!$AA$81)&gt;=$S151),$V151,IF(AND($R151&lt;&gt;"",EDATE($D151,Milestones!$AA$81)&gt;=$R151),$U151,$T151)))=Milestones!$AB$81),TEXT(EDATE($D151,Milestones!$AA$81),"dd/mm/yy")&amp;" "&amp;Milestones!$AB$81&amp;" "&amp;Milestones!$AC$81&amp;";  ","")&amp;IF(AND(EDATE($D151,Milestones!$AA$82)&lt;=AsOfDate,IF($Q151=0,$W151,IF(AND($S151&lt;&gt;"",EDATE($D151,Milestones!$AA$82)&gt;=$S151),$V151,IF(AND($R151&lt;&gt;"",EDATE($D151,Milestones!$AA$82)&gt;=$R151),$U151,$T151)))=Milestones!$AB$82),TEXT(EDATE($D151,Milestones!$AA$82),"dd/mm/yy")&amp;" "&amp;Milestones!$AB$82&amp;" "&amp;Milestones!$AC$82&amp;";  ","")&amp;IF(AND(EDATE($D151,Milestones!$AA$83)&lt;=AsOfDate,IF($Q151=0,$W151,IF(AND($S151&lt;&gt;"",EDATE($D151,Milestones!$AA$83)&gt;=$S151),$V151,IF(AND($R151&lt;&gt;"",EDATE($D151,Milestones!$AA$83)&gt;=$R151),$U151,$T151)))=Milestones!$AB$83),TEXT(EDATE($D151,Milestones!$AA$83),"dd/mm/yy")&amp;" "&amp;Milestones!$AB$83&amp;" "&amp;Milestones!$AC$83&amp;";  ","")&amp;IF(AND(EDATE($D151,Milestones!$AA$84)&lt;=AsOfDate,IF($Q151=0,$W151,IF(AND($S151&lt;&gt;"",EDATE($D151,Milestones!$AA$84)&gt;=$S151),$V151,IF(AND($R151&lt;&gt;"",EDATE($D151,Milestones!$AA$84)&gt;=$R151),$U151,$T151)))=Milestones!$AB$84),TEXT(EDATE($D151,Milestones!$AA$84),"dd/mm/yy")&amp;" "&amp;Milestones!$AB$84&amp;" "&amp;Milestones!$AC$84&amp;";  ","")&amp;IF(AND(EDATE($D151,Milestones!$AA$85)&lt;=AsOfDate,IF($Q151=0,$W151,IF(AND($S151&lt;&gt;"",EDATE($D151,Milestones!$AA$85)&gt;=$S151),$V151,IF(AND($R151&lt;&gt;"",EDATE($D151,Milestones!$AA$85)&gt;=$R151),$U151,$T151)))=Milestones!$AB$85),TEXT(EDATE($D151,Milestones!$AA$85),"dd/mm/yy")&amp;" "&amp;Milestones!$AB$85&amp;" "&amp;Milestones!$AC$85&amp;";  ","")&amp;IF(AND(EDATE($D151,Milestones!$AA$86)&lt;=AsOfDate,IF($Q151=0,$W151,IF(AND($S151&lt;&gt;"",EDATE($D151,Milestones!$AA$86)&gt;=$S151),$V151,IF(AND($R151&lt;&gt;"",EDATE($D151,Milestones!$AA$86)&gt;=$R151),$U151,$T151)))=Milestones!$AB$86),TEXT(EDATE($D151,Milestones!$AA$86),"dd/mm/yy")&amp;" "&amp;Milestones!$AB$86&amp;" "&amp;Milestones!$AC$86&amp;";  ","")&amp;IF(AND(EDATE($D151,Milestones!$AA$87)&lt;=AsOfDate,IF($Q151=0,$W151,IF(AND($S151&lt;&gt;"",EDATE($D151,Milestones!$AA$87)&gt;=$S151),$V151,IF(AND($R151&lt;&gt;"",EDATE($D151,Milestones!$AA$87)&gt;=$R151),$U151,$T151)))=Milestones!$AB$87),TEXT(EDATE($D151,Milestones!$AA$87),"dd/mm/yy")&amp;" "&amp;Milestones!$AB$87&amp;" "&amp;Milestones!$AC$87&amp;";  ","")&amp;IF(AND(EDATE($D151,Milestones!$AA$88)&lt;=AsOfDate,IF($Q151=0,$W151,IF(AND($S151&lt;&gt;"",EDATE($D151,Milestones!$AA$88)&gt;=$S151),$V151,IF(AND($R151&lt;&gt;"",EDATE($D151,Milestones!$AA$88)&gt;=$R151),$U151,$T151)))=Milestones!$AB$88),TEXT(EDATE($D151,Milestones!$AA$88),"dd/mm/yy")&amp;" "&amp;Milestones!$AB$88&amp;" "&amp;Milestones!$AC$88&amp;";  ","")&amp;IF(AND(EDATE($D151,Milestones!$AA$89)&lt;=AsOfDate,IF($Q151=0,$W151,IF(AND($S151&lt;&gt;"",EDATE($D151,Milestones!$AA$89)&gt;=$S151),$V151,IF(AND($R151&lt;&gt;"",EDATE($D151,Milestones!$AA$89)&gt;=$R151),$U151,$T151)))=Milestones!$AB$89),TEXT(EDATE($D151,Milestones!$AA$89),"dd/mm/yy")&amp;" "&amp;Milestones!$AB$89&amp;" "&amp;Milestones!$AC$89&amp;";  ","")&amp;IF(AND(EDATE($D151,Milestones!$AA$90)&lt;=AsOfDate,IF($Q151=0,$W151,IF(AND($S151&lt;&gt;"",EDATE($D151,Milestones!$AA$90)&gt;=$S151),$V151,IF(AND($R151&lt;&gt;"",EDATE($D151,Milestones!$AA$90)&gt;=$R151),$U151,$T151)))=Milestones!$AB$90),TEXT(EDATE($D151,Milestones!$AA$90),"dd/mm/yy")&amp;" "&amp;Milestones!$AB$90&amp;" "&amp;Milestones!$AC$90&amp;";  ","")&amp;IF(AND(EDATE($D151,Milestones!$AA$91)&lt;=AsOfDate,IF($Q151=0,$W151,IF(AND($S151&lt;&gt;"",EDATE($D151,Milestones!$AA$91)&gt;=$S151),$V151,IF(AND($R151&lt;&gt;"",EDATE($D151,Milestones!$AA$91)&gt;=$R151),$U151,$T151)))=Milestones!$AB$91),TEXT(EDATE($D151,Milestones!$AA$91),"dd/mm/yy")&amp;" "&amp;Milestones!$AB$91&amp;" "&amp;Milestones!$AC$91&amp;";  ","")&amp;IF(AND(EDATE($D151,Milestones!$AA$92)&lt;=AsOfDate,IF($Q151=0,$W151,IF(AND($S151&lt;&gt;"",EDATE($D151,Milestones!$AA$92)&gt;=$S151),$V151,IF(AND($R151&lt;&gt;"",EDATE($D151,Milestones!$AA$92)&gt;=$R151),$U151,$T151)))=Milestones!$AB$92),TEXT(EDATE($D151,Milestones!$AA$92),"dd/mm/yy")&amp;" "&amp;Milestones!$AB$92&amp;" "&amp;Milestones!$AC$92&amp;";  ","")&amp;IF(AND(EDATE($D151,Milestones!$AA$93)&lt;=AsOfDate,IF($Q151=0,$W151,IF(AND($S151&lt;&gt;"",EDATE($D151,Milestones!$AA$93)&gt;=$S151),$V151,IF(AND($R151&lt;&gt;"",EDATE($D151,Milestones!$AA$93)&gt;=$R151),$U151,$T151)))=Milestones!$AB$93),TEXT(EDATE($D151,Milestones!$AA$93),"dd/mm/yy")&amp;" "&amp;Milestones!$AB$93&amp;" "&amp;Milestones!$AC$93&amp;";  ","")&amp;IF(AND(EDATE($D151,Milestones!$AA$94)&lt;=AsOfDate,IF($Q151=0,$W151,IF(AND($S151&lt;&gt;"",EDATE($D151,Milestones!$AA$94)&gt;=$S151),$V151,IF(AND($R151&lt;&gt;"",EDATE($D151,Milestones!$AA$94)&gt;=$R151),$U151,$T151)))=Milestones!$AB$94),TEXT(EDATE($D151,Milestones!$AA$94),"dd/mm/yy")&amp;" "&amp;Milestones!$AB$94&amp;" "&amp;Milestones!$AC$94&amp;";  ","")&amp;IF(AND(EDATE($D151,Milestones!$AA$95)&lt;=AsOfDate,IF($Q151=0,$W151,IF(AND($S151&lt;&gt;"",EDATE($D151,Milestones!$AA$95)&gt;=$S151),$V151,IF(AND($R151&lt;&gt;"",EDATE($D151,Milestones!$AA$95)&gt;=$R151),$U151,$T151)))=Milestones!$AB$95),TEXT(EDATE($D151,Milestones!$AA$95),"dd/mm/yy")&amp;" "&amp;Milestones!$AB$95&amp;" "&amp;Milestones!$AC$95&amp;";  ","")&amp;IF(AND(EDATE($D151,Milestones!$AA$96)&lt;=AsOfDate,IF($Q151=0,$W151,IF(AND($S151&lt;&gt;"",EDATE($D151,Milestones!$AA$96)&gt;=$S151),$V151,IF(AND($R151&lt;&gt;"",EDATE($D151,Milestones!$AA$96)&gt;=$R151),$U151,$T151)))=Milestones!$AB$96),TEXT(EDATE($D151,Milestones!$AA$96),"dd/mm/yy")&amp;" "&amp;Milestones!$AB$96&amp;" "&amp;Milestones!$AC$96&amp;";  ","")&amp;IF(AND(EDATE($D151,Milestones!$AA$97)&lt;=AsOfDate,IF($Q151=0,$W151,IF(AND($S151&lt;&gt;"",EDATE($D151,Milestones!$AA$97)&gt;=$S151),$V151,IF(AND($R151&lt;&gt;"",EDATE($D151,Milestones!$AA$97)&gt;=$R151),$U151,$T151)))=Milestones!$AB$97),TEXT(EDATE($D151,Milestones!$AA$97),"dd/mm/yy")&amp;" "&amp;Milestones!$AB$97&amp;" "&amp;Milestones!$AC$97&amp;";  ","")&amp;IF(AND(EDATE($D151,Milestones!$AA$98)&lt;=AsOfDate,IF($Q151=0,$W151,IF(AND($S151&lt;&gt;"",EDATE($D151,Milestones!$AA$98)&gt;=$S151),$V151,IF(AND($R151&lt;&gt;"",EDATE($D151,Milestones!$AA$98)&gt;=$R151),$U151,$T151)))=Milestones!$AB$98),TEXT(EDATE($D151,Milestones!$AA$98),"dd/mm/yy")&amp;" "&amp;Milestones!$AB$98&amp;" "&amp;Milestones!$AC$98&amp;";  ","")&amp;IF(AND(EDATE($D151,Milestones!$AA$99)&lt;=AsOfDate,IF($Q151=0,$W151,IF(AND($S151&lt;&gt;"",EDATE($D151,Milestones!$AA$99)&gt;=$S151),$V151,IF(AND($R151&lt;&gt;"",EDATE($D151,Milestones!$AA$99)&gt;=$R151),$U151,$T151)))=Milestones!$AB$99),TEXT(EDATE($D151,Milestones!$AA$99),"dd/mm/yy")&amp;" "&amp;Milestones!$AB$99&amp;" "&amp;Milestones!$AC$99&amp;";  ",""))</f>
        <v/>
      </c>
      <c r="L151" s="0" t="str">
        <f aca="false">IF(OR($A151="",$D151=""),"",IF(AND(EDATE($D151,Milestones!$AA$100)&lt;=AsOfDate,IF($Q151=0,$W151,IF(AND($S151&lt;&gt;"",EDATE($D151,Milestones!$AA$100)&gt;=$S151),$V151,IF(AND($R151&lt;&gt;"",EDATE($D151,Milestones!$AA$100)&gt;=$R151),$U151,$T151)))=Milestones!$AB$100),TEXT(EDATE($D151,Milestones!$AA$100),"dd/mm/yy")&amp;" "&amp;Milestones!$AB$100&amp;" "&amp;Milestones!$AC$100&amp;";  ","")&amp;IF(AND(EDATE($D151,Milestones!$AA$101)&lt;=AsOfDate,IF($Q151=0,$W151,IF(AND($S151&lt;&gt;"",EDATE($D151,Milestones!$AA$101)&gt;=$S151),$V151,IF(AND($R151&lt;&gt;"",EDATE($D151,Milestones!$AA$101)&gt;=$R151),$U151,$T151)))=Milestones!$AB$101),TEXT(EDATE($D151,Milestones!$AA$101),"dd/mm/yy")&amp;" "&amp;Milestones!$AB$101&amp;" "&amp;Milestones!$AC$101&amp;";  ","")&amp;IF(AND(EDATE($D151,Milestones!$AA$102)&lt;=AsOfDate,IF($Q151=0,$W151,IF(AND($S151&lt;&gt;"",EDATE($D151,Milestones!$AA$102)&gt;=$S151),$V151,IF(AND($R151&lt;&gt;"",EDATE($D151,Milestones!$AA$102)&gt;=$R151),$U151,$T151)))=Milestones!$AB$102),TEXT(EDATE($D151,Milestones!$AA$102),"dd/mm/yy")&amp;" "&amp;Milestones!$AB$102&amp;" "&amp;Milestones!$AC$102&amp;";  ","")&amp;IF(AND(EDATE($D151,Milestones!$AA$103)&lt;=AsOfDate,IF($Q151=0,$W151,IF(AND($S151&lt;&gt;"",EDATE($D151,Milestones!$AA$103)&gt;=$S151),$V151,IF(AND($R151&lt;&gt;"",EDATE($D151,Milestones!$AA$103)&gt;=$R151),$U151,$T151)))=Milestones!$AB$103),TEXT(EDATE($D151,Milestones!$AA$103),"dd/mm/yy")&amp;" "&amp;Milestones!$AB$103&amp;" "&amp;Milestones!$AC$103&amp;";  ","")&amp;IF(AND(EDATE($D151,Milestones!$AA$104)&lt;=AsOfDate,IF($Q151=0,$W151,IF(AND($S151&lt;&gt;"",EDATE($D151,Milestones!$AA$104)&gt;=$S151),$V151,IF(AND($R151&lt;&gt;"",EDATE($D151,Milestones!$AA$104)&gt;=$R151),$U151,$T151)))=Milestones!$AB$104),TEXT(EDATE($D151,Milestones!$AA$104),"dd/mm/yy")&amp;" "&amp;Milestones!$AB$104&amp;" "&amp;Milestones!$AC$104&amp;";  ","")&amp;IF(AND(EDATE($D151,Milestones!$AA$105)&lt;=AsOfDate,IF($Q151=0,$W151,IF(AND($S151&lt;&gt;"",EDATE($D151,Milestones!$AA$105)&gt;=$S151),$V151,IF(AND($R151&lt;&gt;"",EDATE($D151,Milestones!$AA$105)&gt;=$R151),$U151,$T151)))=Milestones!$AB$105),TEXT(EDATE($D151,Milestones!$AA$105),"dd/mm/yy")&amp;" "&amp;Milestones!$AB$105&amp;" "&amp;Milestones!$AC$105&amp;";  ","")&amp;IF(AND(EDATE($D151,Milestones!$AA$106)&lt;=AsOfDate,IF($Q151=0,$W151,IF(AND($S151&lt;&gt;"",EDATE($D151,Milestones!$AA$106)&gt;=$S151),$V151,IF(AND($R151&lt;&gt;"",EDATE($D151,Milestones!$AA$106)&gt;=$R151),$U151,$T151)))=Milestones!$AB$106),TEXT(EDATE($D151,Milestones!$AA$106),"dd/mm/yy")&amp;" "&amp;Milestones!$AB$106&amp;" "&amp;Milestones!$AC$106&amp;";  ","")&amp;IF(AND(EDATE($D151,Milestones!$AA$107)&lt;=AsOfDate,IF($Q151=0,$W151,IF(AND($S151&lt;&gt;"",EDATE($D151,Milestones!$AA$107)&gt;=$S151),$V151,IF(AND($R151&lt;&gt;"",EDATE($D151,Milestones!$AA$107)&gt;=$R151),$U151,$T151)))=Milestones!$AB$107),TEXT(EDATE($D151,Milestones!$AA$107),"dd/mm/yy")&amp;" "&amp;Milestones!$AB$107&amp;" "&amp;Milestones!$AC$107&amp;";  ","")&amp;IF(AND(EDATE($D151,Milestones!$AA$108)&lt;=AsOfDate,IF($Q151=0,$W151,IF(AND($S151&lt;&gt;"",EDATE($D151,Milestones!$AA$108)&gt;=$S151),$V151,IF(AND($R151&lt;&gt;"",EDATE($D151,Milestones!$AA$108)&gt;=$R151),$U151,$T151)))=Milestones!$AB$108),TEXT(EDATE($D151,Milestones!$AA$108),"dd/mm/yy")&amp;" "&amp;Milestones!$AB$108&amp;" "&amp;Milestones!$AC$108&amp;";  ","")&amp;IF(AND(EDATE($D151,Milestones!$AA$109)&lt;=AsOfDate,IF($Q151=0,$W151,IF(AND($S151&lt;&gt;"",EDATE($D151,Milestones!$AA$109)&gt;=$S151),$V151,IF(AND($R151&lt;&gt;"",EDATE($D151,Milestones!$AA$109)&gt;=$R151),$U151,$T151)))=Milestones!$AB$109),TEXT(EDATE($D151,Milestones!$AA$109),"dd/mm/yy")&amp;" "&amp;Milestones!$AB$109&amp;" "&amp;Milestones!$AC$109&amp;";  ","")&amp;IF(AND(EDATE($D151,Milestones!$AA$110)&lt;=AsOfDate,IF($Q151=0,$W151,IF(AND($S151&lt;&gt;"",EDATE($D151,Milestones!$AA$110)&gt;=$S151),$V151,IF(AND($R151&lt;&gt;"",EDATE($D151,Milestones!$AA$110)&gt;=$R151),$U151,$T151)))=Milestones!$AB$110),TEXT(EDATE($D151,Milestones!$AA$110),"dd/mm/yy")&amp;" "&amp;Milestones!$AB$110&amp;" "&amp;Milestones!$AC$110&amp;";  ","")&amp;IF(AND(EDATE($D151,Milestones!$AA$111)&lt;=AsOfDate,IF($Q151=0,$W151,IF(AND($S151&lt;&gt;"",EDATE($D151,Milestones!$AA$111)&gt;=$S151),$V151,IF(AND($R151&lt;&gt;"",EDATE($D151,Milestones!$AA$111)&gt;=$R151),$U151,$T151)))=Milestones!$AB$111),TEXT(EDATE($D151,Milestones!$AA$111),"dd/mm/yy")&amp;" "&amp;Milestones!$AB$111&amp;" "&amp;Milestones!$AC$111&amp;";  ","")&amp;IF(AND(EDATE($D151,Milestones!$AA$112)&lt;=AsOfDate,IF($Q151=0,$W151,IF(AND($S151&lt;&gt;"",EDATE($D151,Milestones!$AA$112)&gt;=$S151),$V151,IF(AND($R151&lt;&gt;"",EDATE($D151,Milestones!$AA$112)&gt;=$R151),$U151,$T151)))=Milestones!$AB$112),TEXT(EDATE($D151,Milestones!$AA$112),"dd/mm/yy")&amp;" "&amp;Milestones!$AB$112&amp;" "&amp;Milestones!$AC$112&amp;";  ","")&amp;IF(AND(EDATE($D151,Milestones!$AA$113)&lt;=AsOfDate,IF($Q151=0,$W151,IF(AND($S151&lt;&gt;"",EDATE($D151,Milestones!$AA$113)&gt;=$S151),$V151,IF(AND($R151&lt;&gt;"",EDATE($D151,Milestones!$AA$113)&gt;=$R151),$U151,$T151)))=Milestones!$AB$113),TEXT(EDATE($D151,Milestones!$AA$113),"dd/mm/yy")&amp;" "&amp;Milestones!$AB$113&amp;" "&amp;Milestones!$AC$113&amp;";  ","")&amp;IF(AND(EDATE($D151,Milestones!$AA$114)&lt;=AsOfDate,IF($Q151=0,$W151,IF(AND($S151&lt;&gt;"",EDATE($D151,Milestones!$AA$114)&gt;=$S151),$V151,IF(AND($R151&lt;&gt;"",EDATE($D151,Milestones!$AA$114)&gt;=$R151),$U151,$T151)))=Milestones!$AB$114),TEXT(EDATE($D151,Milestones!$AA$114),"dd/mm/yy")&amp;" "&amp;Milestones!$AB$114&amp;" "&amp;Milestones!$AC$114&amp;";  ","")&amp;IF(AND(EDATE($D151,Milestones!$AA$115)&lt;=AsOfDate,IF($Q151=0,$W151,IF(AND($S151&lt;&gt;"",EDATE($D151,Milestones!$AA$115)&gt;=$S151),$V151,IF(AND($R151&lt;&gt;"",EDATE($D151,Milestones!$AA$115)&gt;=$R151),$U151,$T151)))=Milestones!$AB$115),TEXT(EDATE($D151,Milestones!$AA$115),"dd/mm/yy")&amp;" "&amp;Milestones!$AB$115&amp;" "&amp;Milestones!$AC$115&amp;";  ","")&amp;IF(AND(EDATE($D151,Milestones!$AA$116)&lt;=AsOfDate,IF($Q151=0,$W151,IF(AND($S151&lt;&gt;"",EDATE($D151,Milestones!$AA$116)&gt;=$S151),$V151,IF(AND($R151&lt;&gt;"",EDATE($D151,Milestones!$AA$116)&gt;=$R151),$U151,$T151)))=Milestones!$AB$116),TEXT(EDATE($D151,Milestones!$AA$116),"dd/mm/yy")&amp;" "&amp;Milestones!$AB$116&amp;" "&amp;Milestones!$AC$116&amp;";  ","")&amp;IF(AND(EDATE($D151,Milestones!$AA$117)&lt;=AsOfDate,IF($Q151=0,$W151,IF(AND($S151&lt;&gt;"",EDATE($D151,Milestones!$AA$117)&gt;=$S151),$V151,IF(AND($R151&lt;&gt;"",EDATE($D151,Milestones!$AA$117)&gt;=$R151),$U151,$T151)))=Milestones!$AB$117),TEXT(EDATE($D151,Milestones!$AA$117),"dd/mm/yy")&amp;" "&amp;Milestones!$AB$117&amp;" "&amp;Milestones!$AC$117&amp;";  ","")&amp;IF(AND(EDATE($D151,Milestones!$AA$118)&lt;=AsOfDate,IF($Q151=0,$W151,IF(AND($S151&lt;&gt;"",EDATE($D151,Milestones!$AA$118)&gt;=$S151),$V151,IF(AND($R151&lt;&gt;"",EDATE($D151,Milestones!$AA$118)&gt;=$R151),$U151,$T151)))=Milestones!$AB$118),TEXT(EDATE($D151,Milestones!$AA$118),"dd/mm/yy")&amp;" "&amp;Milestones!$AB$118&amp;" "&amp;Milestones!$AC$118&amp;";  ","")&amp;IF(AND(EDATE($D151,Milestones!$AA$119)&lt;=AsOfDate,IF($Q151=0,$W151,IF(AND($S151&lt;&gt;"",EDATE($D151,Milestones!$AA$119)&gt;=$S151),$V151,IF(AND($R151&lt;&gt;"",EDATE($D151,Milestones!$AA$119)&gt;=$R151),$U151,$T151)))=Milestones!$AB$119),TEXT(EDATE($D151,Milestones!$AA$119),"dd/mm/yy")&amp;" "&amp;Milestones!$AB$119&amp;" "&amp;Milestones!$AC$119&amp;";  ",""))</f>
        <v/>
      </c>
      <c r="M151" s="0" t="str">
        <f aca="false">IF(OR($A151="",$D151=""),"",IF(AND(EDATE($D151,Milestones!$AA$120)&lt;=AsOfDate,IF($Q151=0,$W151,IF(AND($S151&lt;&gt;"",EDATE($D151,Milestones!$AA$120)&gt;=$S151),$V151,IF(AND($R151&lt;&gt;"",EDATE($D151,Milestones!$AA$120)&gt;=$R151),$U151,$T151)))=Milestones!$AB$120),TEXT(EDATE($D151,Milestones!$AA$120),"dd/mm/yy")&amp;" "&amp;Milestones!$AB$120&amp;" "&amp;Milestones!$AC$120&amp;";  ","")&amp;IF(AND(EDATE($D151,Milestones!$AA$121)&lt;=AsOfDate,IF($Q151=0,$W151,IF(AND($S151&lt;&gt;"",EDATE($D151,Milestones!$AA$121)&gt;=$S151),$V151,IF(AND($R151&lt;&gt;"",EDATE($D151,Milestones!$AA$121)&gt;=$R151),$U151,$T151)))=Milestones!$AB$121),TEXT(EDATE($D151,Milestones!$AA$121),"dd/mm/yy")&amp;" "&amp;Milestones!$AB$121&amp;" "&amp;Milestones!$AC$121&amp;";  ","")&amp;IF(AND(EDATE($D151,Milestones!$AA$122)&lt;=AsOfDate,IF($Q151=0,$W151,IF(AND($S151&lt;&gt;"",EDATE($D151,Milestones!$AA$122)&gt;=$S151),$V151,IF(AND($R151&lt;&gt;"",EDATE($D151,Milestones!$AA$122)&gt;=$R151),$U151,$T151)))=Milestones!$AB$122),TEXT(EDATE($D151,Milestones!$AA$122),"dd/mm/yy")&amp;" "&amp;Milestones!$AB$122&amp;" "&amp;Milestones!$AC$122&amp;";  ","")&amp;IF(AND(EDATE($D151,Milestones!$AA$123)&lt;=AsOfDate,IF($Q151=0,$W151,IF(AND($S151&lt;&gt;"",EDATE($D151,Milestones!$AA$123)&gt;=$S151),$V151,IF(AND($R151&lt;&gt;"",EDATE($D151,Milestones!$AA$123)&gt;=$R151),$U151,$T151)))=Milestones!$AB$123),TEXT(EDATE($D151,Milestones!$AA$123),"dd/mm/yy")&amp;" "&amp;Milestones!$AB$123&amp;" "&amp;Milestones!$AC$123&amp;";  ","")&amp;IF(AND(EDATE($D151,Milestones!$AA$124)&lt;=AsOfDate,IF($Q151=0,$W151,IF(AND($S151&lt;&gt;"",EDATE($D151,Milestones!$AA$124)&gt;=$S151),$V151,IF(AND($R151&lt;&gt;"",EDATE($D151,Milestones!$AA$124)&gt;=$R151),$U151,$T151)))=Milestones!$AB$124),TEXT(EDATE($D151,Milestones!$AA$124),"dd/mm/yy")&amp;" "&amp;Milestones!$AB$124&amp;" "&amp;Milestones!$AC$124&amp;";  ","")&amp;IF(AND(EDATE($D151,Milestones!$AA$125)&lt;=AsOfDate,IF($Q151=0,$W151,IF(AND($S151&lt;&gt;"",EDATE($D151,Milestones!$AA$125)&gt;=$S151),$V151,IF(AND($R151&lt;&gt;"",EDATE($D151,Milestones!$AA$125)&gt;=$R151),$U151,$T151)))=Milestones!$AB$125),TEXT(EDATE($D151,Milestones!$AA$125),"dd/mm/yy")&amp;" "&amp;Milestones!$AB$125&amp;" "&amp;Milestones!$AC$125&amp;";  ","")&amp;IF(AND(EDATE($D151,Milestones!$AA$126)&lt;=AsOfDate,IF($Q151=0,$W151,IF(AND($S151&lt;&gt;"",EDATE($D151,Milestones!$AA$126)&gt;=$S151),$V151,IF(AND($R151&lt;&gt;"",EDATE($D151,Milestones!$AA$126)&gt;=$R151),$U151,$T151)))=Milestones!$AB$126),TEXT(EDATE($D151,Milestones!$AA$126),"dd/mm/yy")&amp;" "&amp;Milestones!$AB$126&amp;" "&amp;Milestones!$AC$126&amp;";  ","")&amp;IF(AND(EDATE($D151,Milestones!$AA$127)&lt;=AsOfDate,IF($Q151=0,$W151,IF(AND($S151&lt;&gt;"",EDATE($D151,Milestones!$AA$127)&gt;=$S151),$V151,IF(AND($R151&lt;&gt;"",EDATE($D151,Milestones!$AA$127)&gt;=$R151),$U151,$T151)))=Milestones!$AB$127),TEXT(EDATE($D151,Milestones!$AA$127),"dd/mm/yy")&amp;" "&amp;Milestones!$AB$127&amp;" "&amp;Milestones!$AC$127&amp;";  ","")&amp;IF(AND(EDATE($D151,Milestones!$AA$128)&lt;=AsOfDate,IF($Q151=0,$W151,IF(AND($S151&lt;&gt;"",EDATE($D151,Milestones!$AA$128)&gt;=$S151),$V151,IF(AND($R151&lt;&gt;"",EDATE($D151,Milestones!$AA$128)&gt;=$R151),$U151,$T151)))=Milestones!$AB$128),TEXT(EDATE($D151,Milestones!$AA$128),"dd/mm/yy")&amp;" "&amp;Milestones!$AB$128&amp;" "&amp;Milestones!$AC$128&amp;";  ","")&amp;IF(AND(EDATE($D151,Milestones!$AA$129)&lt;=AsOfDate,IF($Q151=0,$W151,IF(AND($S151&lt;&gt;"",EDATE($D151,Milestones!$AA$129)&gt;=$S151),$V151,IF(AND($R151&lt;&gt;"",EDATE($D151,Milestones!$AA$129)&gt;=$R151),$U151,$T151)))=Milestones!$AB$129),TEXT(EDATE($D151,Milestones!$AA$129),"dd/mm/yy")&amp;" "&amp;Milestones!$AB$129&amp;" "&amp;Milestones!$AC$129&amp;";  ","")&amp;IF(AND(EDATE($D151,Milestones!$AA$130)&lt;=AsOfDate,IF($Q151=0,$W151,IF(AND($S151&lt;&gt;"",EDATE($D151,Milestones!$AA$130)&gt;=$S151),$V151,IF(AND($R151&lt;&gt;"",EDATE($D151,Milestones!$AA$130)&gt;=$R151),$U151,$T151)))=Milestones!$AB$130),TEXT(EDATE($D151,Milestones!$AA$130),"dd/mm/yy")&amp;" "&amp;Milestones!$AB$130&amp;" "&amp;Milestones!$AC$130&amp;";  ","")&amp;IF(AND(EDATE($D151,Milestones!$AA$131)&lt;=AsOfDate,IF($Q151=0,$W151,IF(AND($S151&lt;&gt;"",EDATE($D151,Milestones!$AA$131)&gt;=$S151),$V151,IF(AND($R151&lt;&gt;"",EDATE($D151,Milestones!$AA$131)&gt;=$R151),$U151,$T151)))=Milestones!$AB$131),TEXT(EDATE($D151,Milestones!$AA$131),"dd/mm/yy")&amp;" "&amp;Milestones!$AB$131&amp;" "&amp;Milestones!$AC$131&amp;";  ","")&amp;IF(AND(EDATE($D151,Milestones!$AA$132)&lt;=AsOfDate,IF($Q151=0,$W151,IF(AND($S151&lt;&gt;"",EDATE($D151,Milestones!$AA$132)&gt;=$S151),$V151,IF(AND($R151&lt;&gt;"",EDATE($D151,Milestones!$AA$132)&gt;=$R151),$U151,$T151)))=Milestones!$AB$132),TEXT(EDATE($D151,Milestones!$AA$132),"dd/mm/yy")&amp;" "&amp;Milestones!$AB$132&amp;" "&amp;Milestones!$AC$132&amp;";  ","")&amp;IF(AND(EDATE($D151,Milestones!$AA$133)&lt;=AsOfDate,IF($Q151=0,$W151,IF(AND($S151&lt;&gt;"",EDATE($D151,Milestones!$AA$133)&gt;=$S151),$V151,IF(AND($R151&lt;&gt;"",EDATE($D151,Milestones!$AA$133)&gt;=$R151),$U151,$T151)))=Milestones!$AB$133),TEXT(EDATE($D151,Milestones!$AA$133),"dd/mm/yy")&amp;" "&amp;Milestones!$AB$133&amp;" "&amp;Milestones!$AC$133&amp;";  ","")&amp;IF(AND(EDATE($D151,Milestones!$AA$134)&lt;=AsOfDate,IF($Q151=0,$W151,IF(AND($S151&lt;&gt;"",EDATE($D151,Milestones!$AA$134)&gt;=$S151),$V151,IF(AND($R151&lt;&gt;"",EDATE($D151,Milestones!$AA$134)&gt;=$R151),$U151,$T151)))=Milestones!$AB$134),TEXT(EDATE($D151,Milestones!$AA$134),"dd/mm/yy")&amp;" "&amp;Milestones!$AB$134&amp;" "&amp;Milestones!$AC$134&amp;";  ","")&amp;IF(AND(EDATE($D151,Milestones!$AA$135)&lt;=AsOfDate,IF($Q151=0,$W151,IF(AND($S151&lt;&gt;"",EDATE($D151,Milestones!$AA$135)&gt;=$S151),$V151,IF(AND($R151&lt;&gt;"",EDATE($D151,Milestones!$AA$135)&gt;=$R151),$U151,$T151)))=Milestones!$AB$135),TEXT(EDATE($D151,Milestones!$AA$135),"dd/mm/yy")&amp;" "&amp;Milestones!$AB$135&amp;" "&amp;Milestones!$AC$135&amp;";  ","")&amp;IF(AND(EDATE($D151,Milestones!$AA$136)&lt;=AsOfDate,IF($Q151=0,$W151,IF(AND($S151&lt;&gt;"",EDATE($D151,Milestones!$AA$136)&gt;=$S151),$V151,IF(AND($R151&lt;&gt;"",EDATE($D151,Milestones!$AA$136)&gt;=$R151),$U151,$T151)))=Milestones!$AB$136),TEXT(EDATE($D151,Milestones!$AA$136),"dd/mm/yy")&amp;" "&amp;Milestones!$AB$136&amp;" "&amp;Milestones!$AC$136&amp;";  ","")&amp;IF(AND(EDATE($D151,Milestones!$AA$137)&lt;=AsOfDate,IF($Q151=0,$W151,IF(AND($S151&lt;&gt;"",EDATE($D151,Milestones!$AA$137)&gt;=$S151),$V151,IF(AND($R151&lt;&gt;"",EDATE($D151,Milestones!$AA$137)&gt;=$R151),$U151,$T151)))=Milestones!$AB$137),TEXT(EDATE($D151,Milestones!$AA$137),"dd/mm/yy")&amp;" "&amp;Milestones!$AB$137&amp;" "&amp;Milestones!$AC$137&amp;";  ","")&amp;IF(AND(EDATE($D151,Milestones!$AA$138)&lt;=AsOfDate,IF($Q151=0,$W151,IF(AND($S151&lt;&gt;"",EDATE($D151,Milestones!$AA$138)&gt;=$S151),$V151,IF(AND($R151&lt;&gt;"",EDATE($D151,Milestones!$AA$138)&gt;=$R151),$U151,$T151)))=Milestones!$AB$138),TEXT(EDATE($D151,Milestones!$AA$138),"dd/mm/yy")&amp;" "&amp;Milestones!$AB$138&amp;" "&amp;Milestones!$AC$138&amp;";  ","")&amp;IF(AND(EDATE($D151,Milestones!$AA$139)&lt;=AsOfDate,IF($Q151=0,$W151,IF(AND($S151&lt;&gt;"",EDATE($D151,Milestones!$AA$139)&gt;=$S151),$V151,IF(AND($R151&lt;&gt;"",EDATE($D151,Milestones!$AA$139)&gt;=$R151),$U151,$T151)))=Milestones!$AB$139),TEXT(EDATE($D151,Milestones!$AA$139),"dd/mm/yy")&amp;" "&amp;Milestones!$AB$139&amp;" "&amp;Milestones!$AC$139&amp;";  ",""))</f>
        <v/>
      </c>
      <c r="N151" s="0" t="str">
        <f aca="false">IF(OR($A151="",$D151=""),"",IF(AND(EDATE($D151,Milestones!$AA$140)&lt;=AsOfDate,IF($Q151=0,$W151,IF(AND($S151&lt;&gt;"",EDATE($D151,Milestones!$AA$140)&gt;=$S151),$V151,IF(AND($R151&lt;&gt;"",EDATE($D151,Milestones!$AA$140)&gt;=$R151),$U151,$T151)))=Milestones!$AB$140),TEXT(EDATE($D151,Milestones!$AA$140),"dd/mm/yy")&amp;" "&amp;Milestones!$AB$140&amp;" "&amp;Milestones!$AC$140&amp;";  ","")&amp;IF(AND(EDATE($D151,Milestones!$AA$141)&lt;=AsOfDate,IF($Q151=0,$W151,IF(AND($S151&lt;&gt;"",EDATE($D151,Milestones!$AA$141)&gt;=$S151),$V151,IF(AND($R151&lt;&gt;"",EDATE($D151,Milestones!$AA$141)&gt;=$R151),$U151,$T151)))=Milestones!$AB$141),TEXT(EDATE($D151,Milestones!$AA$141),"dd/mm/yy")&amp;" "&amp;Milestones!$AB$141&amp;" "&amp;Milestones!$AC$141&amp;";  ","")&amp;IF(AND(EDATE($D151,Milestones!$AA$142)&lt;=AsOfDate,IF($Q151=0,$W151,IF(AND($S151&lt;&gt;"",EDATE($D151,Milestones!$AA$142)&gt;=$S151),$V151,IF(AND($R151&lt;&gt;"",EDATE($D151,Milestones!$AA$142)&gt;=$R151),$U151,$T151)))=Milestones!$AB$142),TEXT(EDATE($D151,Milestones!$AA$142),"dd/mm/yy")&amp;" "&amp;Milestones!$AB$142&amp;" "&amp;Milestones!$AC$142&amp;";  ","")&amp;IF(AND(EDATE($D151,Milestones!$AA$143)&lt;=AsOfDate,IF($Q151=0,$W151,IF(AND($S151&lt;&gt;"",EDATE($D151,Milestones!$AA$143)&gt;=$S151),$V151,IF(AND($R151&lt;&gt;"",EDATE($D151,Milestones!$AA$143)&gt;=$R151),$U151,$T151)))=Milestones!$AB$143),TEXT(EDATE($D151,Milestones!$AA$143),"dd/mm/yy")&amp;" "&amp;Milestones!$AB$143&amp;" "&amp;Milestones!$AC$143&amp;";  ","")&amp;IF(AND(EDATE($D151,Milestones!$AA$144)&lt;=AsOfDate,IF($Q151=0,$W151,IF(AND($S151&lt;&gt;"",EDATE($D151,Milestones!$AA$144)&gt;=$S151),$V151,IF(AND($R151&lt;&gt;"",EDATE($D151,Milestones!$AA$144)&gt;=$R151),$U151,$T151)))=Milestones!$AB$144),TEXT(EDATE($D151,Milestones!$AA$144),"dd/mm/yy")&amp;" "&amp;Milestones!$AB$144&amp;" "&amp;Milestones!$AC$144&amp;";  ","")&amp;IF(AND(EDATE($D151,Milestones!$AA$145)&lt;=AsOfDate,IF($Q151=0,$W151,IF(AND($S151&lt;&gt;"",EDATE($D151,Milestones!$AA$145)&gt;=$S151),$V151,IF(AND($R151&lt;&gt;"",EDATE($D151,Milestones!$AA$145)&gt;=$R151),$U151,$T151)))=Milestones!$AB$145),TEXT(EDATE($D151,Milestones!$AA$145),"dd/mm/yy")&amp;" "&amp;Milestones!$AB$145&amp;" "&amp;Milestones!$AC$145&amp;";  ","")&amp;IF(AND(EDATE($D151,Milestones!$AA$146)&lt;=AsOfDate,IF($Q151=0,$W151,IF(AND($S151&lt;&gt;"",EDATE($D151,Milestones!$AA$146)&gt;=$S151),$V151,IF(AND($R151&lt;&gt;"",EDATE($D151,Milestones!$AA$146)&gt;=$R151),$U151,$T151)))=Milestones!$AB$146),TEXT(EDATE($D151,Milestones!$AA$146),"dd/mm/yy")&amp;" "&amp;Milestones!$AB$146&amp;" "&amp;Milestones!$AC$146&amp;";  ","")&amp;IF(AND(EDATE($D151,Milestones!$AA$147)&lt;=AsOfDate,IF($Q151=0,$W151,IF(AND($S151&lt;&gt;"",EDATE($D151,Milestones!$AA$147)&gt;=$S151),$V151,IF(AND($R151&lt;&gt;"",EDATE($D151,Milestones!$AA$147)&gt;=$R151),$U151,$T151)))=Milestones!$AB$147),TEXT(EDATE($D151,Milestones!$AA$147),"dd/mm/yy")&amp;" "&amp;Milestones!$AB$147&amp;" "&amp;Milestones!$AC$147&amp;";  ","")&amp;IF(AND(EDATE($D151,Milestones!$AA$148)&lt;=AsOfDate,IF($Q151=0,$W151,IF(AND($S151&lt;&gt;"",EDATE($D151,Milestones!$AA$148)&gt;=$S151),$V151,IF(AND($R151&lt;&gt;"",EDATE($D151,Milestones!$AA$148)&gt;=$R151),$U151,$T151)))=Milestones!$AB$148),TEXT(EDATE($D151,Milestones!$AA$148),"dd/mm/yy")&amp;" "&amp;Milestones!$AB$148&amp;" "&amp;Milestones!$AC$148&amp;";  ","")&amp;IF(AND(EDATE($D151,Milestones!$AA$149)&lt;=AsOfDate,IF($Q151=0,$W151,IF(AND($S151&lt;&gt;"",EDATE($D151,Milestones!$AA$149)&gt;=$S151),$V151,IF(AND($R151&lt;&gt;"",EDATE($D151,Milestones!$AA$149)&gt;=$R151),$U151,$T151)))=Milestones!$AB$149),TEXT(EDATE($D151,Milestones!$AA$149),"dd/mm/yy")&amp;" "&amp;Milestones!$AB$149&amp;" "&amp;Milestones!$AC$149&amp;";  ","")&amp;IF(AND(EDATE($D151,Milestones!$AA$150)&lt;=AsOfDate,IF($Q151=0,$W151,IF(AND($S151&lt;&gt;"",EDATE($D151,Milestones!$AA$150)&gt;=$S151),$V151,IF(AND($R151&lt;&gt;"",EDATE($D151,Milestones!$AA$150)&gt;=$R151),$U151,$T151)))=Milestones!$AB$150),TEXT(EDATE($D151,Milestones!$AA$150),"dd/mm/yy")&amp;" "&amp;Milestones!$AB$150&amp;" "&amp;Milestones!$AC$150&amp;";  ","")&amp;IF(AND(EDATE($D151,Milestones!$AA$151)&lt;=AsOfDate,IF($Q151=0,$W151,IF(AND($S151&lt;&gt;"",EDATE($D151,Milestones!$AA$151)&gt;=$S151),$V151,IF(AND($R151&lt;&gt;"",EDATE($D151,Milestones!$AA$151)&gt;=$R151),$U151,$T151)))=Milestones!$AB$151),TEXT(EDATE($D151,Milestones!$AA$151),"dd/mm/yy")&amp;" "&amp;Milestones!$AB$151&amp;" "&amp;Milestones!$AC$151&amp;";  ","")&amp;IF(AND(EDATE($D151,Milestones!$AA$152)&lt;=AsOfDate,IF($Q151=0,$W151,IF(AND($S151&lt;&gt;"",EDATE($D151,Milestones!$AA$152)&gt;=$S151),$V151,IF(AND($R151&lt;&gt;"",EDATE($D151,Milestones!$AA$152)&gt;=$R151),$U151,$T151)))=Milestones!$AB$152),TEXT(EDATE($D151,Milestones!$AA$152),"dd/mm/yy")&amp;" "&amp;Milestones!$AB$152&amp;" "&amp;Milestones!$AC$152&amp;";  ","")&amp;IF(AND(EDATE($D151,Milestones!$AA$153)&lt;=AsOfDate,IF($Q151=0,$W151,IF(AND($S151&lt;&gt;"",EDATE($D151,Milestones!$AA$153)&gt;=$S151),$V151,IF(AND($R151&lt;&gt;"",EDATE($D151,Milestones!$AA$153)&gt;=$R151),$U151,$T151)))=Milestones!$AB$153),TEXT(EDATE($D151,Milestones!$AA$153),"dd/mm/yy")&amp;" "&amp;Milestones!$AB$153&amp;" "&amp;Milestones!$AC$153&amp;";  ","")&amp;IF(AND(EDATE($D151,Milestones!$AA$154)&lt;=AsOfDate,IF($Q151=0,$W151,IF(AND($S151&lt;&gt;"",EDATE($D151,Milestones!$AA$154)&gt;=$S151),$V151,IF(AND($R151&lt;&gt;"",EDATE($D151,Milestones!$AA$154)&gt;=$R151),$U151,$T151)))=Milestones!$AB$154),TEXT(EDATE($D151,Milestones!$AA$154),"dd/mm/yy")&amp;" "&amp;Milestones!$AB$154&amp;" "&amp;Milestones!$AC$154&amp;";  ","")&amp;IF(AND(EDATE($D151,Milestones!$AA$155)&lt;=AsOfDate,IF($Q151=0,$W151,IF(AND($S151&lt;&gt;"",EDATE($D151,Milestones!$AA$155)&gt;=$S151),$V151,IF(AND($R151&lt;&gt;"",EDATE($D151,Milestones!$AA$155)&gt;=$R151),$U151,$T151)))=Milestones!$AB$155),TEXT(EDATE($D151,Milestones!$AA$155),"dd/mm/yy")&amp;" "&amp;Milestones!$AB$155&amp;" "&amp;Milestones!$AC$155&amp;";  ","")&amp;IF(AND(EDATE($D151,Milestones!$AA$156)&lt;=AsOfDate,IF($Q151=0,$W151,IF(AND($S151&lt;&gt;"",EDATE($D151,Milestones!$AA$156)&gt;=$S151),$V151,IF(AND($R151&lt;&gt;"",EDATE($D151,Milestones!$AA$156)&gt;=$R151),$U151,$T151)))=Milestones!$AB$156),TEXT(EDATE($D151,Milestones!$AA$156),"dd/mm/yy")&amp;" "&amp;Milestones!$AB$156&amp;" "&amp;Milestones!$AC$156&amp;";  ","")&amp;IF(AND(EDATE($D151,Milestones!$AA$157)&lt;=AsOfDate,IF($Q151=0,$W151,IF(AND($S151&lt;&gt;"",EDATE($D151,Milestones!$AA$157)&gt;=$S151),$V151,IF(AND($R151&lt;&gt;"",EDATE($D151,Milestones!$AA$157)&gt;=$R151),$U151,$T151)))=Milestones!$AB$157),TEXT(EDATE($D151,Milestones!$AA$157),"dd/mm/yy")&amp;" "&amp;Milestones!$AB$157&amp;" "&amp;Milestones!$AC$157&amp;";  ","")&amp;IF(AND(EDATE($D151,Milestones!$AA$158)&lt;=AsOfDate,IF($Q151=0,$W151,IF(AND($S151&lt;&gt;"",EDATE($D151,Milestones!$AA$158)&gt;=$S151),$V151,IF(AND($R151&lt;&gt;"",EDATE($D151,Milestones!$AA$158)&gt;=$R151),$U151,$T151)))=Milestones!$AB$158),TEXT(EDATE($D151,Milestones!$AA$158),"dd/mm/yy")&amp;" "&amp;Milestones!$AB$158&amp;" "&amp;Milestones!$AC$158&amp;";  ","")&amp;IF(AND(EDATE($D151,Milestones!$AA$159)&lt;=AsOfDate,IF($Q151=0,$W151,IF(AND($S151&lt;&gt;"",EDATE($D151,Milestones!$AA$159)&gt;=$S151),$V151,IF(AND($R151&lt;&gt;"",EDATE($D151,Milestones!$AA$159)&gt;=$R151),$U151,$T151)))=Milestones!$AB$159),TEXT(EDATE($D151,Milestones!$AA$159),"dd/mm/yy")&amp;" "&amp;Milestones!$AB$159&amp;" "&amp;Milestones!$AC$159&amp;";  ",""))</f>
        <v/>
      </c>
      <c r="O151" s="0" t="str">
        <f aca="false">IF(OR($A151="",$D151=""),"",IF(AND(EDATE($D151,Milestones!$AA$160)&lt;=AsOfDate,IF($Q151=0,$W151,IF(AND($S151&lt;&gt;"",EDATE($D151,Milestones!$AA$160)&gt;=$S151),$V151,IF(AND($R151&lt;&gt;"",EDATE($D151,Milestones!$AA$160)&gt;=$R151),$U151,$T151)))=Milestones!$AB$160),TEXT(EDATE($D151,Milestones!$AA$160),"dd/mm/yy")&amp;" "&amp;Milestones!$AB$160&amp;" "&amp;Milestones!$AC$160&amp;";  ","")&amp;IF(AND(EDATE($D151,Milestones!$AA$161)&lt;=AsOfDate,IF($Q151=0,$W151,IF(AND($S151&lt;&gt;"",EDATE($D151,Milestones!$AA$161)&gt;=$S151),$V151,IF(AND($R151&lt;&gt;"",EDATE($D151,Milestones!$AA$161)&gt;=$R151),$U151,$T151)))=Milestones!$AB$161),TEXT(EDATE($D151,Milestones!$AA$161),"dd/mm/yy")&amp;" "&amp;Milestones!$AB$161&amp;" "&amp;Milestones!$AC$161&amp;";  ","")&amp;IF(AND(EDATE($D151,Milestones!$AA$162)&lt;=AsOfDate,IF($Q151=0,$W151,IF(AND($S151&lt;&gt;"",EDATE($D151,Milestones!$AA$162)&gt;=$S151),$V151,IF(AND($R151&lt;&gt;"",EDATE($D151,Milestones!$AA$162)&gt;=$R151),$U151,$T151)))=Milestones!$AB$162),TEXT(EDATE($D151,Milestones!$AA$162),"dd/mm/yy")&amp;" "&amp;Milestones!$AB$162&amp;" "&amp;Milestones!$AC$162&amp;";  ","")&amp;IF(AND(EDATE($D151,Milestones!$AA$163)&lt;=AsOfDate,IF($Q151=0,$W151,IF(AND($S151&lt;&gt;"",EDATE($D151,Milestones!$AA$163)&gt;=$S151),$V151,IF(AND($R151&lt;&gt;"",EDATE($D151,Milestones!$AA$163)&gt;=$R151),$U151,$T151)))=Milestones!$AB$163),TEXT(EDATE($D151,Milestones!$AA$163),"dd/mm/yy")&amp;" "&amp;Milestones!$AB$163&amp;" "&amp;Milestones!$AC$163&amp;";  ","")&amp;IF(AND(EDATE($D151,Milestones!$AA$164)&lt;=AsOfDate,IF($Q151=0,$W151,IF(AND($S151&lt;&gt;"",EDATE($D151,Milestones!$AA$164)&gt;=$S151),$V151,IF(AND($R151&lt;&gt;"",EDATE($D151,Milestones!$AA$164)&gt;=$R151),$U151,$T151)))=Milestones!$AB$164),TEXT(EDATE($D151,Milestones!$AA$164),"dd/mm/yy")&amp;" "&amp;Milestones!$AB$164&amp;" "&amp;Milestones!$AC$164&amp;";  ","")&amp;IF(AND(EDATE($D151,Milestones!$AA$165)&lt;=AsOfDate,IF($Q151=0,$W151,IF(AND($S151&lt;&gt;"",EDATE($D151,Milestones!$AA$165)&gt;=$S151),$V151,IF(AND($R151&lt;&gt;"",EDATE($D151,Milestones!$AA$165)&gt;=$R151),$U151,$T151)))=Milestones!$AB$165),TEXT(EDATE($D151,Milestones!$AA$165),"dd/mm/yy")&amp;" "&amp;Milestones!$AB$165&amp;" "&amp;Milestones!$AC$165&amp;";  ","")&amp;IF(AND(EDATE($D151,Milestones!$AA$166)&lt;=AsOfDate,IF($Q151=0,$W151,IF(AND($S151&lt;&gt;"",EDATE($D151,Milestones!$AA$166)&gt;=$S151),$V151,IF(AND($R151&lt;&gt;"",EDATE($D151,Milestones!$AA$166)&gt;=$R151),$U151,$T151)))=Milestones!$AB$166),TEXT(EDATE($D151,Milestones!$AA$166),"dd/mm/yy")&amp;" "&amp;Milestones!$AB$166&amp;" "&amp;Milestones!$AC$166&amp;";  ","")&amp;IF(AND(EDATE($D151,Milestones!$AA$167)&lt;=AsOfDate,IF($Q151=0,$W151,IF(AND($S151&lt;&gt;"",EDATE($D151,Milestones!$AA$167)&gt;=$S151),$V151,IF(AND($R151&lt;&gt;"",EDATE($D151,Milestones!$AA$167)&gt;=$R151),$U151,$T151)))=Milestones!$AB$167),TEXT(EDATE($D151,Milestones!$AA$167),"dd/mm/yy")&amp;" "&amp;Milestones!$AB$167&amp;" "&amp;Milestones!$AC$167&amp;";  ","")&amp;IF(AND(EDATE($D151,Milestones!$AA$168)&lt;=AsOfDate,IF($Q151=0,$W151,IF(AND($S151&lt;&gt;"",EDATE($D151,Milestones!$AA$168)&gt;=$S151),$V151,IF(AND($R151&lt;&gt;"",EDATE($D151,Milestones!$AA$168)&gt;=$R151),$U151,$T151)))=Milestones!$AB$168),TEXT(EDATE($D151,Milestones!$AA$168),"dd/mm/yy")&amp;" "&amp;Milestones!$AB$168&amp;" "&amp;Milestones!$AC$168&amp;";  ","")&amp;IF(AND(EDATE($D151,Milestones!$AA$169)&lt;=AsOfDate,IF($Q151=0,$W151,IF(AND($S151&lt;&gt;"",EDATE($D151,Milestones!$AA$169)&gt;=$S151),$V151,IF(AND($R151&lt;&gt;"",EDATE($D151,Milestones!$AA$169)&gt;=$R151),$U151,$T151)))=Milestones!$AB$169),TEXT(EDATE($D151,Milestones!$AA$169),"dd/mm/yy")&amp;" "&amp;Milestones!$AB$169&amp;" "&amp;Milestones!$AC$169&amp;";  ","")&amp;IF(AND(EDATE($D151,Milestones!$AA$170)&lt;=AsOfDate,IF($Q151=0,$W151,IF(AND($S151&lt;&gt;"",EDATE($D151,Milestones!$AA$170)&gt;=$S151),$V151,IF(AND($R151&lt;&gt;"",EDATE($D151,Milestones!$AA$170)&gt;=$R151),$U151,$T151)))=Milestones!$AB$170),TEXT(EDATE($D151,Milestones!$AA$170),"dd/mm/yy")&amp;" "&amp;Milestones!$AB$170&amp;" "&amp;Milestones!$AC$170&amp;";  ","")&amp;IF(AND(EDATE($D151,Milestones!$AA$171)&lt;=AsOfDate,IF($Q151=0,$W151,IF(AND($S151&lt;&gt;"",EDATE($D151,Milestones!$AA$171)&gt;=$S151),$V151,IF(AND($R151&lt;&gt;"",EDATE($D151,Milestones!$AA$171)&gt;=$R151),$U151,$T151)))=Milestones!$AB$171),TEXT(EDATE($D151,Milestones!$AA$171),"dd/mm/yy")&amp;" "&amp;Milestones!$AB$171&amp;" "&amp;Milestones!$AC$171&amp;";  ","")&amp;IF(AND(EDATE($D151,Milestones!$AA$172)&lt;=AsOfDate,IF($Q151=0,$W151,IF(AND($S151&lt;&gt;"",EDATE($D151,Milestones!$AA$172)&gt;=$S151),$V151,IF(AND($R151&lt;&gt;"",EDATE($D151,Milestones!$AA$172)&gt;=$R151),$U151,$T151)))=Milestones!$AB$172),TEXT(EDATE($D151,Milestones!$AA$172),"dd/mm/yy")&amp;" "&amp;Milestones!$AB$172&amp;" "&amp;Milestones!$AC$172&amp;";  ","")&amp;IF(AND(EDATE($D151,Milestones!$AA$173)&lt;=AsOfDate,IF($Q151=0,$W151,IF(AND($S151&lt;&gt;"",EDATE($D151,Milestones!$AA$173)&gt;=$S151),$V151,IF(AND($R151&lt;&gt;"",EDATE($D151,Milestones!$AA$173)&gt;=$R151),$U151,$T151)))=Milestones!$AB$173),TEXT(EDATE($D151,Milestones!$AA$173),"dd/mm/yy")&amp;" "&amp;Milestones!$AB$173&amp;" "&amp;Milestones!$AC$173&amp;";  ","")&amp;IF(AND(EDATE($D151,Milestones!$AA$174)&lt;=AsOfDate,IF($Q151=0,$W151,IF(AND($S151&lt;&gt;"",EDATE($D151,Milestones!$AA$174)&gt;=$S151),$V151,IF(AND($R151&lt;&gt;"",EDATE($D151,Milestones!$AA$174)&gt;=$R151),$U151,$T151)))=Milestones!$AB$174),TEXT(EDATE($D151,Milestones!$AA$174),"dd/mm/yy")&amp;" "&amp;Milestones!$AB$174&amp;" "&amp;Milestones!$AC$174&amp;";  ","")&amp;IF(AND(EDATE($D151,Milestones!$AA$175)&lt;=AsOfDate,IF($Q151=0,$W151,IF(AND($S151&lt;&gt;"",EDATE($D151,Milestones!$AA$175)&gt;=$S151),$V151,IF(AND($R151&lt;&gt;"",EDATE($D151,Milestones!$AA$175)&gt;=$R151),$U151,$T151)))=Milestones!$AB$175),TEXT(EDATE($D151,Milestones!$AA$175),"dd/mm/yy")&amp;" "&amp;Milestones!$AB$175&amp;" "&amp;Milestones!$AC$175&amp;";  ","")&amp;IF(AND(EDATE($D151,Milestones!$AA$176)&lt;=AsOfDate,IF($Q151=0,$W151,IF(AND($S151&lt;&gt;"",EDATE($D151,Milestones!$AA$176)&gt;=$S151),$V151,IF(AND($R151&lt;&gt;"",EDATE($D151,Milestones!$AA$176)&gt;=$R151),$U151,$T151)))=Milestones!$AB$176),TEXT(EDATE($D151,Milestones!$AA$176),"dd/mm/yy")&amp;" "&amp;Milestones!$AB$176&amp;" "&amp;Milestones!$AC$176&amp;";  ","")&amp;IF(AND(EDATE($D151,Milestones!$AA$177)&lt;=AsOfDate,IF($Q151=0,$W151,IF(AND($S151&lt;&gt;"",EDATE($D151,Milestones!$AA$177)&gt;=$S151),$V151,IF(AND($R151&lt;&gt;"",EDATE($D151,Milestones!$AA$177)&gt;=$R151),$U151,$T151)))=Milestones!$AB$177),TEXT(EDATE($D151,Milestones!$AA$177),"dd/mm/yy")&amp;" "&amp;Milestones!$AB$177&amp;" "&amp;Milestones!$AC$177&amp;";  ","")&amp;IF(AND(EDATE($D151,Milestones!$AA$178)&lt;=AsOfDate,IF($Q151=0,$W151,IF(AND($S151&lt;&gt;"",EDATE($D151,Milestones!$AA$178)&gt;=$S151),$V151,IF(AND($R151&lt;&gt;"",EDATE($D151,Milestones!$AA$178)&gt;=$R151),$U151,$T151)))=Milestones!$AB$178),TEXT(EDATE($D151,Milestones!$AA$178),"dd/mm/yy")&amp;" "&amp;Milestones!$AB$178&amp;" "&amp;Milestones!$AC$178&amp;";  ","")&amp;IF(AND(EDATE($D151,Milestones!$AA$179)&lt;=AsOfDate,IF($Q151=0,$W151,IF(AND($S151&lt;&gt;"",EDATE($D151,Milestones!$AA$179)&gt;=$S151),$V151,IF(AND($R151&lt;&gt;"",EDATE($D151,Milestones!$AA$179)&gt;=$R151),$U151,$T151)))=Milestones!$AB$179),TEXT(EDATE($D151,Milestones!$AA$179),"dd/mm/yy")&amp;" "&amp;Milestones!$AB$179&amp;" "&amp;Milestones!$AC$179&amp;";  ",""))</f>
        <v/>
      </c>
      <c r="P151" s="0" t="str">
        <f aca="false">IF(OR($A151="",$D151=""),"",IF(AND(EDATE($D151,Milestones!$AA$180)&lt;=AsOfDate,IF($Q151=0,$W151,IF(AND($S151&lt;&gt;"",EDATE($D151,Milestones!$AA$180)&gt;=$S151),$V151,IF(AND($R151&lt;&gt;"",EDATE($D151,Milestones!$AA$180)&gt;=$R151),$U151,$T151)))=Milestones!$AB$180),TEXT(EDATE($D151,Milestones!$AA$180),"dd/mm/yy")&amp;" "&amp;Milestones!$AB$180&amp;" "&amp;Milestones!$AC$180&amp;";  ","")&amp;IF(AND(EDATE($D151,Milestones!$AA$181)&lt;=AsOfDate,IF($Q151=0,$W151,IF(AND($S151&lt;&gt;"",EDATE($D151,Milestones!$AA$181)&gt;=$S151),$V151,IF(AND($R151&lt;&gt;"",EDATE($D151,Milestones!$AA$181)&gt;=$R151),$U151,$T151)))=Milestones!$AB$181),TEXT(EDATE($D151,Milestones!$AA$181),"dd/mm/yy")&amp;" "&amp;Milestones!$AB$181&amp;" "&amp;Milestones!$AC$181&amp;";  ","")&amp;IF(AND(EDATE($D151,Milestones!$AA$182)&lt;=AsOfDate,IF($Q151=0,$W151,IF(AND($S151&lt;&gt;"",EDATE($D151,Milestones!$AA$182)&gt;=$S151),$V151,IF(AND($R151&lt;&gt;"",EDATE($D151,Milestones!$AA$182)&gt;=$R151),$U151,$T151)))=Milestones!$AB$182),TEXT(EDATE($D151,Milestones!$AA$182),"dd/mm/yy")&amp;" "&amp;Milestones!$AB$182&amp;" "&amp;Milestones!$AC$182&amp;";  ","")&amp;IF(AND(EDATE($D151,Milestones!$AA$183)&lt;=AsOfDate,IF($Q151=0,$W151,IF(AND($S151&lt;&gt;"",EDATE($D151,Milestones!$AA$183)&gt;=$S151),$V151,IF(AND($R151&lt;&gt;"",EDATE($D151,Milestones!$AA$183)&gt;=$R151),$U151,$T151)))=Milestones!$AB$183),TEXT(EDATE($D151,Milestones!$AA$183),"dd/mm/yy")&amp;" "&amp;Milestones!$AB$183&amp;" "&amp;Milestones!$AC$183&amp;";  ","")&amp;IF(AND(EDATE($D151,Milestones!$AA$184)&lt;=AsOfDate,IF($Q151=0,$W151,IF(AND($S151&lt;&gt;"",EDATE($D151,Milestones!$AA$184)&gt;=$S151),$V151,IF(AND($R151&lt;&gt;"",EDATE($D151,Milestones!$AA$184)&gt;=$R151),$U151,$T151)))=Milestones!$AB$184),TEXT(EDATE($D151,Milestones!$AA$184),"dd/mm/yy")&amp;" "&amp;Milestones!$AB$184&amp;" "&amp;Milestones!$AC$184&amp;";  ","")&amp;IF(AND(EDATE($D151,Milestones!$AA$185)&lt;=AsOfDate,IF($Q151=0,$W151,IF(AND($S151&lt;&gt;"",EDATE($D151,Milestones!$AA$185)&gt;=$S151),$V151,IF(AND($R151&lt;&gt;"",EDATE($D151,Milestones!$AA$185)&gt;=$R151),$U151,$T151)))=Milestones!$AB$185),TEXT(EDATE($D151,Milestones!$AA$185),"dd/mm/yy")&amp;" "&amp;Milestones!$AB$185&amp;" "&amp;Milestones!$AC$185&amp;";  ","")&amp;IF(AND(EDATE($D151,Milestones!$AA$186)&lt;=AsOfDate,IF($Q151=0,$W151,IF(AND($S151&lt;&gt;"",EDATE($D151,Milestones!$AA$186)&gt;=$S151),$V151,IF(AND($R151&lt;&gt;"",EDATE($D151,Milestones!$AA$186)&gt;=$R151),$U151,$T151)))=Milestones!$AB$186),TEXT(EDATE($D151,Milestones!$AA$186),"dd/mm/yy")&amp;" "&amp;Milestones!$AB$186&amp;" "&amp;Milestones!$AC$186&amp;";  ","")&amp;IF(AND(EDATE($D151,Milestones!$AA$187)&lt;=AsOfDate,IF($Q151=0,$W151,IF(AND($S151&lt;&gt;"",EDATE($D151,Milestones!$AA$187)&gt;=$S151),$V151,IF(AND($R151&lt;&gt;"",EDATE($D151,Milestones!$AA$187)&gt;=$R151),$U151,$T151)))=Milestones!$AB$187),TEXT(EDATE($D151,Milestones!$AA$187),"dd/mm/yy")&amp;" "&amp;Milestones!$AB$187&amp;" "&amp;Milestones!$AC$187&amp;";  ","")&amp;IF(AND(EDATE($D151,Milestones!$AA$188)&lt;=AsOfDate,IF($Q151=0,$W151,IF(AND($S151&lt;&gt;"",EDATE($D151,Milestones!$AA$188)&gt;=$S151),$V151,IF(AND($R151&lt;&gt;"",EDATE($D151,Milestones!$AA$188)&gt;=$R151),$U151,$T151)))=Milestones!$AB$188),TEXT(EDATE($D151,Milestones!$AA$188),"dd/mm/yy")&amp;" "&amp;Milestones!$AB$188&amp;" "&amp;Milestones!$AC$188&amp;";  ","")&amp;IF(AND(EDATE($D151,Milestones!$AA$189)&lt;=AsOfDate,IF($Q151=0,$W151,IF(AND($S151&lt;&gt;"",EDATE($D151,Milestones!$AA$189)&gt;=$S151),$V151,IF(AND($R151&lt;&gt;"",EDATE($D151,Milestones!$AA$189)&gt;=$R151),$U151,$T151)))=Milestones!$AB$189),TEXT(EDATE($D151,Milestones!$AA$189),"dd/mm/yy")&amp;" "&amp;Milestones!$AB$189&amp;" "&amp;Milestones!$AC$189&amp;";  ","")&amp;IF(AND(EDATE($D151,Milestones!$AA$190)&lt;=AsOfDate,IF($Q151=0,$W151,IF(AND($S151&lt;&gt;"",EDATE($D151,Milestones!$AA$190)&gt;=$S151),$V151,IF(AND($R151&lt;&gt;"",EDATE($D151,Milestones!$AA$190)&gt;=$R151),$U151,$T151)))=Milestones!$AB$190),TEXT(EDATE($D151,Milestones!$AA$190),"dd/mm/yy")&amp;" "&amp;Milestones!$AB$190&amp;" "&amp;Milestones!$AC$190&amp;";  ","")&amp;IF(AND(EDATE($D151,Milestones!$AA$191)&lt;=AsOfDate,IF($Q151=0,$W151,IF(AND($S151&lt;&gt;"",EDATE($D151,Milestones!$AA$191)&gt;=$S151),$V151,IF(AND($R151&lt;&gt;"",EDATE($D151,Milestones!$AA$191)&gt;=$R151),$U151,$T151)))=Milestones!$AB$191),TEXT(EDATE($D151,Milestones!$AA$191),"dd/mm/yy")&amp;" "&amp;Milestones!$AB$191&amp;" "&amp;Milestones!$AC$191&amp;";  ","")&amp;IF(AND(EDATE($D151,Milestones!$AA$192)&lt;=AsOfDate,IF($Q151=0,$W151,IF(AND($S151&lt;&gt;"",EDATE($D151,Milestones!$AA$192)&gt;=$S151),$V151,IF(AND($R151&lt;&gt;"",EDATE($D151,Milestones!$AA$192)&gt;=$R151),$U151,$T151)))=Milestones!$AB$192),TEXT(EDATE($D151,Milestones!$AA$192),"dd/mm/yy")&amp;" "&amp;Milestones!$AB$192&amp;" "&amp;Milestones!$AC$192&amp;";  ","")&amp;IF(AND(EDATE($D151,Milestones!$AA$193)&lt;=AsOfDate,IF($Q151=0,$W151,IF(AND($S151&lt;&gt;"",EDATE($D151,Milestones!$AA$193)&gt;=$S151),$V151,IF(AND($R151&lt;&gt;"",EDATE($D151,Milestones!$AA$193)&gt;=$R151),$U151,$T151)))=Milestones!$AB$193),TEXT(EDATE($D151,Milestones!$AA$193),"dd/mm/yy")&amp;" "&amp;Milestones!$AB$193&amp;" "&amp;Milestones!$AC$193&amp;";  ","")&amp;IF(AND(EDATE($D151,Milestones!$AA$194)&lt;=AsOfDate,IF($Q151=0,$W151,IF(AND($S151&lt;&gt;"",EDATE($D151,Milestones!$AA$194)&gt;=$S151),$V151,IF(AND($R151&lt;&gt;"",EDATE($D151,Milestones!$AA$194)&gt;=$R151),$U151,$T151)))=Milestones!$AB$194),TEXT(EDATE($D151,Milestones!$AA$194),"dd/mm/yy")&amp;" "&amp;Milestones!$AB$194&amp;" "&amp;Milestones!$AC$194&amp;";  ","")&amp;IF(AND(EDATE($D151,Milestones!$AA$195)&lt;=AsOfDate,IF($Q151=0,$W151,IF(AND($S151&lt;&gt;"",EDATE($D151,Milestones!$AA$195)&gt;=$S151),$V151,IF(AND($R151&lt;&gt;"",EDATE($D151,Milestones!$AA$195)&gt;=$R151),$U151,$T151)))=Milestones!$AB$195),TEXT(EDATE($D151,Milestones!$AA$195),"dd/mm/yy")&amp;" "&amp;Milestones!$AB$195&amp;" "&amp;Milestones!$AC$195&amp;";  ","")&amp;IF(AND(EDATE($D151,Milestones!$AA$196)&lt;=AsOfDate,IF($Q151=0,$W151,IF(AND($S151&lt;&gt;"",EDATE($D151,Milestones!$AA$196)&gt;=$S151),$V151,IF(AND($R151&lt;&gt;"",EDATE($D151,Milestones!$AA$196)&gt;=$R151),$U151,$T151)))=Milestones!$AB$196),TEXT(EDATE($D151,Milestones!$AA$196),"dd/mm/yy")&amp;" "&amp;Milestones!$AB$196&amp;" "&amp;Milestones!$AC$196&amp;";  ","")&amp;IF(AND(EDATE($D151,Milestones!$AA$197)&lt;=AsOfDate,IF($Q151=0,$W151,IF(AND($S151&lt;&gt;"",EDATE($D151,Milestones!$AA$197)&gt;=$S151),$V151,IF(AND($R151&lt;&gt;"",EDATE($D151,Milestones!$AA$197)&gt;=$R151),$U151,$T151)))=Milestones!$AB$197),TEXT(EDATE($D151,Milestones!$AA$197),"dd/mm/yy")&amp;" "&amp;Milestones!$AB$197&amp;" "&amp;Milestones!$AC$197&amp;";  ","")&amp;IF(AND(EDATE($D151,Milestones!$AA$198)&lt;=AsOfDate,IF($Q151=0,$W151,IF(AND($S151&lt;&gt;"",EDATE($D151,Milestones!$AA$198)&gt;=$S151),$V151,IF(AND($R151&lt;&gt;"",EDATE($D151,Milestones!$AA$198)&gt;=$R151),$U151,$T151)))=Milestones!$AB$198),TEXT(EDATE($D151,Milestones!$AA$198),"dd/mm/yy")&amp;" "&amp;Milestones!$AB$198&amp;" "&amp;Milestones!$AC$198&amp;";  ","")&amp;IF(AND(EDATE($D151,Milestones!$AA$199)&lt;=AsOfDate,IF($Q151=0,$W151,IF(AND($S151&lt;&gt;"",EDATE($D151,Milestones!$AA$199)&gt;=$S151),$V151,IF(AND($R151&lt;&gt;"",EDATE($D151,Milestones!$AA$199)&gt;=$R151),$U151,$T151)))=Milestones!$AB$199),TEXT(EDATE($D151,Milestones!$AA$199),"dd/mm/yy")&amp;" "&amp;Milestones!$AB$199&amp;" "&amp;Milestones!$AC$199&amp;";  ",""))</f>
        <v/>
      </c>
      <c r="Q151" s="0" t="str">
        <f aca="false">IF(Staff!$A151="","",Staff!$AG151)</f>
        <v/>
      </c>
      <c r="R151" s="0" t="str">
        <f aca="false">IF(Staff!$A151="","",Staff!$AI151)</f>
        <v/>
      </c>
      <c r="S151" s="0" t="str">
        <f aca="false">IF(Staff!$A151="","",Staff!$AJ151)</f>
        <v/>
      </c>
      <c r="T151" s="0" t="str">
        <f aca="false">IF(Staff!$A151="","",Staff!$AN151)</f>
        <v/>
      </c>
      <c r="U151" s="0" t="str">
        <f aca="false">IF(Staff!$A151="","",Staff!$AO151)</f>
        <v/>
      </c>
      <c r="V151" s="0" t="str">
        <f aca="false">IF(Staff!$A151="","",Staff!$AP151)</f>
        <v/>
      </c>
      <c r="W151" s="0" t="str">
        <f aca="false">IF(Staff!$A151="","",Staff!$AQ151)</f>
        <v/>
      </c>
    </row>
    <row r="152" customFormat="false" ht="15" hidden="false" customHeight="false" outlineLevel="0" collapsed="false">
      <c r="A152" s="13" t="str">
        <f aca="false">IF(Staff!$A152="","",Staff!$A152)</f>
        <v/>
      </c>
      <c r="B152" s="13" t="str">
        <f aca="false">IF(Staff!$A152="","",Staff!$B152)</f>
        <v/>
      </c>
      <c r="C152" s="13" t="str">
        <f aca="false">IF(Staff!$A152="","",Staff!$C152)</f>
        <v/>
      </c>
      <c r="D152" s="11" t="str">
        <f aca="false">IF(Staff!$A152="","",Staff!$AF152)</f>
        <v/>
      </c>
      <c r="E152" s="13" t="str">
        <f aca="false">IF(Staff!$A152="","",Staff!$O152)</f>
        <v/>
      </c>
      <c r="F152" s="13" t="str">
        <f aca="false">IF(E152="","",E152*HoursPerDay)</f>
        <v/>
      </c>
      <c r="G152" s="26" t="str">
        <f aca="false">IF($A152="","",H152&amp;I152&amp;J152&amp;K152&amp;L152&amp;M152&amp;N152&amp;O152&amp;P152)</f>
        <v/>
      </c>
      <c r="H152" s="0" t="str">
        <f aca="false">IF(OR($A152="",$D152=""),"",IF(AND(EDATE($D152,Milestones!$AA$20)&lt;=AsOfDate,IF($Q152=0,$W152,IF(AND($S152&lt;&gt;"",EDATE($D152,Milestones!$AA$20)&gt;=$S152),$V152,IF(AND($R152&lt;&gt;"",EDATE($D152,Milestones!$AA$20)&gt;=$R152),$U152,$T152)))=Milestones!$AB$20),TEXT(EDATE($D152,Milestones!$AA$20),"dd/mm/yy")&amp;" "&amp;Milestones!$AB$20&amp;" "&amp;Milestones!$AC$20&amp;";  ","")&amp;IF(AND(EDATE($D152,Milestones!$AA$21)&lt;=AsOfDate,IF($Q152=0,$W152,IF(AND($S152&lt;&gt;"",EDATE($D152,Milestones!$AA$21)&gt;=$S152),$V152,IF(AND($R152&lt;&gt;"",EDATE($D152,Milestones!$AA$21)&gt;=$R152),$U152,$T152)))=Milestones!$AB$21),TEXT(EDATE($D152,Milestones!$AA$21),"dd/mm/yy")&amp;" "&amp;Milestones!$AB$21&amp;" "&amp;Milestones!$AC$21&amp;";  ","")&amp;IF(AND(EDATE($D152,Milestones!$AA$22)&lt;=AsOfDate,IF($Q152=0,$W152,IF(AND($S152&lt;&gt;"",EDATE($D152,Milestones!$AA$22)&gt;=$S152),$V152,IF(AND($R152&lt;&gt;"",EDATE($D152,Milestones!$AA$22)&gt;=$R152),$U152,$T152)))=Milestones!$AB$22),TEXT(EDATE($D152,Milestones!$AA$22),"dd/mm/yy")&amp;" "&amp;Milestones!$AB$22&amp;" "&amp;Milestones!$AC$22&amp;";  ","")&amp;IF(AND(EDATE($D152,Milestones!$AA$23)&lt;=AsOfDate,IF($Q152=0,$W152,IF(AND($S152&lt;&gt;"",EDATE($D152,Milestones!$AA$23)&gt;=$S152),$V152,IF(AND($R152&lt;&gt;"",EDATE($D152,Milestones!$AA$23)&gt;=$R152),$U152,$T152)))=Milestones!$AB$23),TEXT(EDATE($D152,Milestones!$AA$23),"dd/mm/yy")&amp;" "&amp;Milestones!$AB$23&amp;" "&amp;Milestones!$AC$23&amp;";  ","")&amp;IF(AND(EDATE($D152,Milestones!$AA$24)&lt;=AsOfDate,IF($Q152=0,$W152,IF(AND($S152&lt;&gt;"",EDATE($D152,Milestones!$AA$24)&gt;=$S152),$V152,IF(AND($R152&lt;&gt;"",EDATE($D152,Milestones!$AA$24)&gt;=$R152),$U152,$T152)))=Milestones!$AB$24),TEXT(EDATE($D152,Milestones!$AA$24),"dd/mm/yy")&amp;" "&amp;Milestones!$AB$24&amp;" "&amp;Milestones!$AC$24&amp;";  ","")&amp;IF(AND(EDATE($D152,Milestones!$AA$25)&lt;=AsOfDate,IF($Q152=0,$W152,IF(AND($S152&lt;&gt;"",EDATE($D152,Milestones!$AA$25)&gt;=$S152),$V152,IF(AND($R152&lt;&gt;"",EDATE($D152,Milestones!$AA$25)&gt;=$R152),$U152,$T152)))=Milestones!$AB$25),TEXT(EDATE($D152,Milestones!$AA$25),"dd/mm/yy")&amp;" "&amp;Milestones!$AB$25&amp;" "&amp;Milestones!$AC$25&amp;";  ","")&amp;IF(AND(EDATE($D152,Milestones!$AA$26)&lt;=AsOfDate,IF($Q152=0,$W152,IF(AND($S152&lt;&gt;"",EDATE($D152,Milestones!$AA$26)&gt;=$S152),$V152,IF(AND($R152&lt;&gt;"",EDATE($D152,Milestones!$AA$26)&gt;=$R152),$U152,$T152)))=Milestones!$AB$26),TEXT(EDATE($D152,Milestones!$AA$26),"dd/mm/yy")&amp;" "&amp;Milestones!$AB$26&amp;" "&amp;Milestones!$AC$26&amp;";  ","")&amp;IF(AND(EDATE($D152,Milestones!$AA$27)&lt;=AsOfDate,IF($Q152=0,$W152,IF(AND($S152&lt;&gt;"",EDATE($D152,Milestones!$AA$27)&gt;=$S152),$V152,IF(AND($R152&lt;&gt;"",EDATE($D152,Milestones!$AA$27)&gt;=$R152),$U152,$T152)))=Milestones!$AB$27),TEXT(EDATE($D152,Milestones!$AA$27),"dd/mm/yy")&amp;" "&amp;Milestones!$AB$27&amp;" "&amp;Milestones!$AC$27&amp;";  ","")&amp;IF(AND(EDATE($D152,Milestones!$AA$28)&lt;=AsOfDate,IF($Q152=0,$W152,IF(AND($S152&lt;&gt;"",EDATE($D152,Milestones!$AA$28)&gt;=$S152),$V152,IF(AND($R152&lt;&gt;"",EDATE($D152,Milestones!$AA$28)&gt;=$R152),$U152,$T152)))=Milestones!$AB$28),TEXT(EDATE($D152,Milestones!$AA$28),"dd/mm/yy")&amp;" "&amp;Milestones!$AB$28&amp;" "&amp;Milestones!$AC$28&amp;";  ","")&amp;IF(AND(EDATE($D152,Milestones!$AA$29)&lt;=AsOfDate,IF($Q152=0,$W152,IF(AND($S152&lt;&gt;"",EDATE($D152,Milestones!$AA$29)&gt;=$S152),$V152,IF(AND($R152&lt;&gt;"",EDATE($D152,Milestones!$AA$29)&gt;=$R152),$U152,$T152)))=Milestones!$AB$29),TEXT(EDATE($D152,Milestones!$AA$29),"dd/mm/yy")&amp;" "&amp;Milestones!$AB$29&amp;" "&amp;Milestones!$AC$29&amp;";  ","")&amp;IF(AND(EDATE($D152,Milestones!$AA$30)&lt;=AsOfDate,IF($Q152=0,$W152,IF(AND($S152&lt;&gt;"",EDATE($D152,Milestones!$AA$30)&gt;=$S152),$V152,IF(AND($R152&lt;&gt;"",EDATE($D152,Milestones!$AA$30)&gt;=$R152),$U152,$T152)))=Milestones!$AB$30),TEXT(EDATE($D152,Milestones!$AA$30),"dd/mm/yy")&amp;" "&amp;Milestones!$AB$30&amp;" "&amp;Milestones!$AC$30&amp;";  ","")&amp;IF(AND(EDATE($D152,Milestones!$AA$31)&lt;=AsOfDate,IF($Q152=0,$W152,IF(AND($S152&lt;&gt;"",EDATE($D152,Milestones!$AA$31)&gt;=$S152),$V152,IF(AND($R152&lt;&gt;"",EDATE($D152,Milestones!$AA$31)&gt;=$R152),$U152,$T152)))=Milestones!$AB$31),TEXT(EDATE($D152,Milestones!$AA$31),"dd/mm/yy")&amp;" "&amp;Milestones!$AB$31&amp;" "&amp;Milestones!$AC$31&amp;";  ","")&amp;IF(AND(EDATE($D152,Milestones!$AA$32)&lt;=AsOfDate,IF($Q152=0,$W152,IF(AND($S152&lt;&gt;"",EDATE($D152,Milestones!$AA$32)&gt;=$S152),$V152,IF(AND($R152&lt;&gt;"",EDATE($D152,Milestones!$AA$32)&gt;=$R152),$U152,$T152)))=Milestones!$AB$32),TEXT(EDATE($D152,Milestones!$AA$32),"dd/mm/yy")&amp;" "&amp;Milestones!$AB$32&amp;" "&amp;Milestones!$AC$32&amp;";  ","")&amp;IF(AND(EDATE($D152,Milestones!$AA$33)&lt;=AsOfDate,IF($Q152=0,$W152,IF(AND($S152&lt;&gt;"",EDATE($D152,Milestones!$AA$33)&gt;=$S152),$V152,IF(AND($R152&lt;&gt;"",EDATE($D152,Milestones!$AA$33)&gt;=$R152),$U152,$T152)))=Milestones!$AB$33),TEXT(EDATE($D152,Milestones!$AA$33),"dd/mm/yy")&amp;" "&amp;Milestones!$AB$33&amp;" "&amp;Milestones!$AC$33&amp;";  ","")&amp;IF(AND(EDATE($D152,Milestones!$AA$34)&lt;=AsOfDate,IF($Q152=0,$W152,IF(AND($S152&lt;&gt;"",EDATE($D152,Milestones!$AA$34)&gt;=$S152),$V152,IF(AND($R152&lt;&gt;"",EDATE($D152,Milestones!$AA$34)&gt;=$R152),$U152,$T152)))=Milestones!$AB$34),TEXT(EDATE($D152,Milestones!$AA$34),"dd/mm/yy")&amp;" "&amp;Milestones!$AB$34&amp;" "&amp;Milestones!$AC$34&amp;";  ","")&amp;IF(AND(EDATE($D152,Milestones!$AA$35)&lt;=AsOfDate,IF($Q152=0,$W152,IF(AND($S152&lt;&gt;"",EDATE($D152,Milestones!$AA$35)&gt;=$S152),$V152,IF(AND($R152&lt;&gt;"",EDATE($D152,Milestones!$AA$35)&gt;=$R152),$U152,$T152)))=Milestones!$AB$35),TEXT(EDATE($D152,Milestones!$AA$35),"dd/mm/yy")&amp;" "&amp;Milestones!$AB$35&amp;" "&amp;Milestones!$AC$35&amp;";  ","")&amp;IF(AND(EDATE($D152,Milestones!$AA$36)&lt;=AsOfDate,IF($Q152=0,$W152,IF(AND($S152&lt;&gt;"",EDATE($D152,Milestones!$AA$36)&gt;=$S152),$V152,IF(AND($R152&lt;&gt;"",EDATE($D152,Milestones!$AA$36)&gt;=$R152),$U152,$T152)))=Milestones!$AB$36),TEXT(EDATE($D152,Milestones!$AA$36),"dd/mm/yy")&amp;" "&amp;Milestones!$AB$36&amp;" "&amp;Milestones!$AC$36&amp;";  ","")&amp;IF(AND(EDATE($D152,Milestones!$AA$37)&lt;=AsOfDate,IF($Q152=0,$W152,IF(AND($S152&lt;&gt;"",EDATE($D152,Milestones!$AA$37)&gt;=$S152),$V152,IF(AND($R152&lt;&gt;"",EDATE($D152,Milestones!$AA$37)&gt;=$R152),$U152,$T152)))=Milestones!$AB$37),TEXT(EDATE($D152,Milestones!$AA$37),"dd/mm/yy")&amp;" "&amp;Milestones!$AB$37&amp;" "&amp;Milestones!$AC$37&amp;";  ","")&amp;IF(AND(EDATE($D152,Milestones!$AA$38)&lt;=AsOfDate,IF($Q152=0,$W152,IF(AND($S152&lt;&gt;"",EDATE($D152,Milestones!$AA$38)&gt;=$S152),$V152,IF(AND($R152&lt;&gt;"",EDATE($D152,Milestones!$AA$38)&gt;=$R152),$U152,$T152)))=Milestones!$AB$38),TEXT(EDATE($D152,Milestones!$AA$38),"dd/mm/yy")&amp;" "&amp;Milestones!$AB$38&amp;" "&amp;Milestones!$AC$38&amp;";  ","")&amp;IF(AND(EDATE($D152,Milestones!$AA$39)&lt;=AsOfDate,IF($Q152=0,$W152,IF(AND($S152&lt;&gt;"",EDATE($D152,Milestones!$AA$39)&gt;=$S152),$V152,IF(AND($R152&lt;&gt;"",EDATE($D152,Milestones!$AA$39)&gt;=$R152),$U152,$T152)))=Milestones!$AB$39),TEXT(EDATE($D152,Milestones!$AA$39),"dd/mm/yy")&amp;" "&amp;Milestones!$AB$39&amp;" "&amp;Milestones!$AC$39&amp;";  ",""))</f>
        <v/>
      </c>
      <c r="I152" s="0" t="str">
        <f aca="false">IF(OR($A152="",$D152=""),"",IF(AND(EDATE($D152,Milestones!$AA$40)&lt;=AsOfDate,IF($Q152=0,$W152,IF(AND($S152&lt;&gt;"",EDATE($D152,Milestones!$AA$40)&gt;=$S152),$V152,IF(AND($R152&lt;&gt;"",EDATE($D152,Milestones!$AA$40)&gt;=$R152),$U152,$T152)))=Milestones!$AB$40),TEXT(EDATE($D152,Milestones!$AA$40),"dd/mm/yy")&amp;" "&amp;Milestones!$AB$40&amp;" "&amp;Milestones!$AC$40&amp;";  ","")&amp;IF(AND(EDATE($D152,Milestones!$AA$41)&lt;=AsOfDate,IF($Q152=0,$W152,IF(AND($S152&lt;&gt;"",EDATE($D152,Milestones!$AA$41)&gt;=$S152),$V152,IF(AND($R152&lt;&gt;"",EDATE($D152,Milestones!$AA$41)&gt;=$R152),$U152,$T152)))=Milestones!$AB$41),TEXT(EDATE($D152,Milestones!$AA$41),"dd/mm/yy")&amp;" "&amp;Milestones!$AB$41&amp;" "&amp;Milestones!$AC$41&amp;";  ","")&amp;IF(AND(EDATE($D152,Milestones!$AA$42)&lt;=AsOfDate,IF($Q152=0,$W152,IF(AND($S152&lt;&gt;"",EDATE($D152,Milestones!$AA$42)&gt;=$S152),$V152,IF(AND($R152&lt;&gt;"",EDATE($D152,Milestones!$AA$42)&gt;=$R152),$U152,$T152)))=Milestones!$AB$42),TEXT(EDATE($D152,Milestones!$AA$42),"dd/mm/yy")&amp;" "&amp;Milestones!$AB$42&amp;" "&amp;Milestones!$AC$42&amp;";  ","")&amp;IF(AND(EDATE($D152,Milestones!$AA$43)&lt;=AsOfDate,IF($Q152=0,$W152,IF(AND($S152&lt;&gt;"",EDATE($D152,Milestones!$AA$43)&gt;=$S152),$V152,IF(AND($R152&lt;&gt;"",EDATE($D152,Milestones!$AA$43)&gt;=$R152),$U152,$T152)))=Milestones!$AB$43),TEXT(EDATE($D152,Milestones!$AA$43),"dd/mm/yy")&amp;" "&amp;Milestones!$AB$43&amp;" "&amp;Milestones!$AC$43&amp;";  ","")&amp;IF(AND(EDATE($D152,Milestones!$AA$44)&lt;=AsOfDate,IF($Q152=0,$W152,IF(AND($S152&lt;&gt;"",EDATE($D152,Milestones!$AA$44)&gt;=$S152),$V152,IF(AND($R152&lt;&gt;"",EDATE($D152,Milestones!$AA$44)&gt;=$R152),$U152,$T152)))=Milestones!$AB$44),TEXT(EDATE($D152,Milestones!$AA$44),"dd/mm/yy")&amp;" "&amp;Milestones!$AB$44&amp;" "&amp;Milestones!$AC$44&amp;";  ","")&amp;IF(AND(EDATE($D152,Milestones!$AA$45)&lt;=AsOfDate,IF($Q152=0,$W152,IF(AND($S152&lt;&gt;"",EDATE($D152,Milestones!$AA$45)&gt;=$S152),$V152,IF(AND($R152&lt;&gt;"",EDATE($D152,Milestones!$AA$45)&gt;=$R152),$U152,$T152)))=Milestones!$AB$45),TEXT(EDATE($D152,Milestones!$AA$45),"dd/mm/yy")&amp;" "&amp;Milestones!$AB$45&amp;" "&amp;Milestones!$AC$45&amp;";  ","")&amp;IF(AND(EDATE($D152,Milestones!$AA$46)&lt;=AsOfDate,IF($Q152=0,$W152,IF(AND($S152&lt;&gt;"",EDATE($D152,Milestones!$AA$46)&gt;=$S152),$V152,IF(AND($R152&lt;&gt;"",EDATE($D152,Milestones!$AA$46)&gt;=$R152),$U152,$T152)))=Milestones!$AB$46),TEXT(EDATE($D152,Milestones!$AA$46),"dd/mm/yy")&amp;" "&amp;Milestones!$AB$46&amp;" "&amp;Milestones!$AC$46&amp;";  ","")&amp;IF(AND(EDATE($D152,Milestones!$AA$47)&lt;=AsOfDate,IF($Q152=0,$W152,IF(AND($S152&lt;&gt;"",EDATE($D152,Milestones!$AA$47)&gt;=$S152),$V152,IF(AND($R152&lt;&gt;"",EDATE($D152,Milestones!$AA$47)&gt;=$R152),$U152,$T152)))=Milestones!$AB$47),TEXT(EDATE($D152,Milestones!$AA$47),"dd/mm/yy")&amp;" "&amp;Milestones!$AB$47&amp;" "&amp;Milestones!$AC$47&amp;";  ","")&amp;IF(AND(EDATE($D152,Milestones!$AA$48)&lt;=AsOfDate,IF($Q152=0,$W152,IF(AND($S152&lt;&gt;"",EDATE($D152,Milestones!$AA$48)&gt;=$S152),$V152,IF(AND($R152&lt;&gt;"",EDATE($D152,Milestones!$AA$48)&gt;=$R152),$U152,$T152)))=Milestones!$AB$48),TEXT(EDATE($D152,Milestones!$AA$48),"dd/mm/yy")&amp;" "&amp;Milestones!$AB$48&amp;" "&amp;Milestones!$AC$48&amp;";  ","")&amp;IF(AND(EDATE($D152,Milestones!$AA$49)&lt;=AsOfDate,IF($Q152=0,$W152,IF(AND($S152&lt;&gt;"",EDATE($D152,Milestones!$AA$49)&gt;=$S152),$V152,IF(AND($R152&lt;&gt;"",EDATE($D152,Milestones!$AA$49)&gt;=$R152),$U152,$T152)))=Milestones!$AB$49),TEXT(EDATE($D152,Milestones!$AA$49),"dd/mm/yy")&amp;" "&amp;Milestones!$AB$49&amp;" "&amp;Milestones!$AC$49&amp;";  ","")&amp;IF(AND(EDATE($D152,Milestones!$AA$50)&lt;=AsOfDate,IF($Q152=0,$W152,IF(AND($S152&lt;&gt;"",EDATE($D152,Milestones!$AA$50)&gt;=$S152),$V152,IF(AND($R152&lt;&gt;"",EDATE($D152,Milestones!$AA$50)&gt;=$R152),$U152,$T152)))=Milestones!$AB$50),TEXT(EDATE($D152,Milestones!$AA$50),"dd/mm/yy")&amp;" "&amp;Milestones!$AB$50&amp;" "&amp;Milestones!$AC$50&amp;";  ","")&amp;IF(AND(EDATE($D152,Milestones!$AA$51)&lt;=AsOfDate,IF($Q152=0,$W152,IF(AND($S152&lt;&gt;"",EDATE($D152,Milestones!$AA$51)&gt;=$S152),$V152,IF(AND($R152&lt;&gt;"",EDATE($D152,Milestones!$AA$51)&gt;=$R152),$U152,$T152)))=Milestones!$AB$51),TEXT(EDATE($D152,Milestones!$AA$51),"dd/mm/yy")&amp;" "&amp;Milestones!$AB$51&amp;" "&amp;Milestones!$AC$51&amp;";  ","")&amp;IF(AND(EDATE($D152,Milestones!$AA$52)&lt;=AsOfDate,IF($Q152=0,$W152,IF(AND($S152&lt;&gt;"",EDATE($D152,Milestones!$AA$52)&gt;=$S152),$V152,IF(AND($R152&lt;&gt;"",EDATE($D152,Milestones!$AA$52)&gt;=$R152),$U152,$T152)))=Milestones!$AB$52),TEXT(EDATE($D152,Milestones!$AA$52),"dd/mm/yy")&amp;" "&amp;Milestones!$AB$52&amp;" "&amp;Milestones!$AC$52&amp;";  ","")&amp;IF(AND(EDATE($D152,Milestones!$AA$53)&lt;=AsOfDate,IF($Q152=0,$W152,IF(AND($S152&lt;&gt;"",EDATE($D152,Milestones!$AA$53)&gt;=$S152),$V152,IF(AND($R152&lt;&gt;"",EDATE($D152,Milestones!$AA$53)&gt;=$R152),$U152,$T152)))=Milestones!$AB$53),TEXT(EDATE($D152,Milestones!$AA$53),"dd/mm/yy")&amp;" "&amp;Milestones!$AB$53&amp;" "&amp;Milestones!$AC$53&amp;";  ","")&amp;IF(AND(EDATE($D152,Milestones!$AA$54)&lt;=AsOfDate,IF($Q152=0,$W152,IF(AND($S152&lt;&gt;"",EDATE($D152,Milestones!$AA$54)&gt;=$S152),$V152,IF(AND($R152&lt;&gt;"",EDATE($D152,Milestones!$AA$54)&gt;=$R152),$U152,$T152)))=Milestones!$AB$54),TEXT(EDATE($D152,Milestones!$AA$54),"dd/mm/yy")&amp;" "&amp;Milestones!$AB$54&amp;" "&amp;Milestones!$AC$54&amp;";  ","")&amp;IF(AND(EDATE($D152,Milestones!$AA$55)&lt;=AsOfDate,IF($Q152=0,$W152,IF(AND($S152&lt;&gt;"",EDATE($D152,Milestones!$AA$55)&gt;=$S152),$V152,IF(AND($R152&lt;&gt;"",EDATE($D152,Milestones!$AA$55)&gt;=$R152),$U152,$T152)))=Milestones!$AB$55),TEXT(EDATE($D152,Milestones!$AA$55),"dd/mm/yy")&amp;" "&amp;Milestones!$AB$55&amp;" "&amp;Milestones!$AC$55&amp;";  ","")&amp;IF(AND(EDATE($D152,Milestones!$AA$56)&lt;=AsOfDate,IF($Q152=0,$W152,IF(AND($S152&lt;&gt;"",EDATE($D152,Milestones!$AA$56)&gt;=$S152),$V152,IF(AND($R152&lt;&gt;"",EDATE($D152,Milestones!$AA$56)&gt;=$R152),$U152,$T152)))=Milestones!$AB$56),TEXT(EDATE($D152,Milestones!$AA$56),"dd/mm/yy")&amp;" "&amp;Milestones!$AB$56&amp;" "&amp;Milestones!$AC$56&amp;";  ","")&amp;IF(AND(EDATE($D152,Milestones!$AA$57)&lt;=AsOfDate,IF($Q152=0,$W152,IF(AND($S152&lt;&gt;"",EDATE($D152,Milestones!$AA$57)&gt;=$S152),$V152,IF(AND($R152&lt;&gt;"",EDATE($D152,Milestones!$AA$57)&gt;=$R152),$U152,$T152)))=Milestones!$AB$57),TEXT(EDATE($D152,Milestones!$AA$57),"dd/mm/yy")&amp;" "&amp;Milestones!$AB$57&amp;" "&amp;Milestones!$AC$57&amp;";  ","")&amp;IF(AND(EDATE($D152,Milestones!$AA$58)&lt;=AsOfDate,IF($Q152=0,$W152,IF(AND($S152&lt;&gt;"",EDATE($D152,Milestones!$AA$58)&gt;=$S152),$V152,IF(AND($R152&lt;&gt;"",EDATE($D152,Milestones!$AA$58)&gt;=$R152),$U152,$T152)))=Milestones!$AB$58),TEXT(EDATE($D152,Milestones!$AA$58),"dd/mm/yy")&amp;" "&amp;Milestones!$AB$58&amp;" "&amp;Milestones!$AC$58&amp;";  ","")&amp;IF(AND(EDATE($D152,Milestones!$AA$59)&lt;=AsOfDate,IF($Q152=0,$W152,IF(AND($S152&lt;&gt;"",EDATE($D152,Milestones!$AA$59)&gt;=$S152),$V152,IF(AND($R152&lt;&gt;"",EDATE($D152,Milestones!$AA$59)&gt;=$R152),$U152,$T152)))=Milestones!$AB$59),TEXT(EDATE($D152,Milestones!$AA$59),"dd/mm/yy")&amp;" "&amp;Milestones!$AB$59&amp;" "&amp;Milestones!$AC$59&amp;";  ",""))</f>
        <v/>
      </c>
      <c r="J152" s="0" t="str">
        <f aca="false">IF(OR($A152="",$D152=""),"",IF(AND(EDATE($D152,Milestones!$AA$60)&lt;=AsOfDate,IF($Q152=0,$W152,IF(AND($S152&lt;&gt;"",EDATE($D152,Milestones!$AA$60)&gt;=$S152),$V152,IF(AND($R152&lt;&gt;"",EDATE($D152,Milestones!$AA$60)&gt;=$R152),$U152,$T152)))=Milestones!$AB$60),TEXT(EDATE($D152,Milestones!$AA$60),"dd/mm/yy")&amp;" "&amp;Milestones!$AB$60&amp;" "&amp;Milestones!$AC$60&amp;";  ","")&amp;IF(AND(EDATE($D152,Milestones!$AA$61)&lt;=AsOfDate,IF($Q152=0,$W152,IF(AND($S152&lt;&gt;"",EDATE($D152,Milestones!$AA$61)&gt;=$S152),$V152,IF(AND($R152&lt;&gt;"",EDATE($D152,Milestones!$AA$61)&gt;=$R152),$U152,$T152)))=Milestones!$AB$61),TEXT(EDATE($D152,Milestones!$AA$61),"dd/mm/yy")&amp;" "&amp;Milestones!$AB$61&amp;" "&amp;Milestones!$AC$61&amp;";  ","")&amp;IF(AND(EDATE($D152,Milestones!$AA$62)&lt;=AsOfDate,IF($Q152=0,$W152,IF(AND($S152&lt;&gt;"",EDATE($D152,Milestones!$AA$62)&gt;=$S152),$V152,IF(AND($R152&lt;&gt;"",EDATE($D152,Milestones!$AA$62)&gt;=$R152),$U152,$T152)))=Milestones!$AB$62),TEXT(EDATE($D152,Milestones!$AA$62),"dd/mm/yy")&amp;" "&amp;Milestones!$AB$62&amp;" "&amp;Milestones!$AC$62&amp;";  ","")&amp;IF(AND(EDATE($D152,Milestones!$AA$63)&lt;=AsOfDate,IF($Q152=0,$W152,IF(AND($S152&lt;&gt;"",EDATE($D152,Milestones!$AA$63)&gt;=$S152),$V152,IF(AND($R152&lt;&gt;"",EDATE($D152,Milestones!$AA$63)&gt;=$R152),$U152,$T152)))=Milestones!$AB$63),TEXT(EDATE($D152,Milestones!$AA$63),"dd/mm/yy")&amp;" "&amp;Milestones!$AB$63&amp;" "&amp;Milestones!$AC$63&amp;";  ","")&amp;IF(AND(EDATE($D152,Milestones!$AA$64)&lt;=AsOfDate,IF($Q152=0,$W152,IF(AND($S152&lt;&gt;"",EDATE($D152,Milestones!$AA$64)&gt;=$S152),$V152,IF(AND($R152&lt;&gt;"",EDATE($D152,Milestones!$AA$64)&gt;=$R152),$U152,$T152)))=Milestones!$AB$64),TEXT(EDATE($D152,Milestones!$AA$64),"dd/mm/yy")&amp;" "&amp;Milestones!$AB$64&amp;" "&amp;Milestones!$AC$64&amp;";  ","")&amp;IF(AND(EDATE($D152,Milestones!$AA$65)&lt;=AsOfDate,IF($Q152=0,$W152,IF(AND($S152&lt;&gt;"",EDATE($D152,Milestones!$AA$65)&gt;=$S152),$V152,IF(AND($R152&lt;&gt;"",EDATE($D152,Milestones!$AA$65)&gt;=$R152),$U152,$T152)))=Milestones!$AB$65),TEXT(EDATE($D152,Milestones!$AA$65),"dd/mm/yy")&amp;" "&amp;Milestones!$AB$65&amp;" "&amp;Milestones!$AC$65&amp;";  ","")&amp;IF(AND(EDATE($D152,Milestones!$AA$66)&lt;=AsOfDate,IF($Q152=0,$W152,IF(AND($S152&lt;&gt;"",EDATE($D152,Milestones!$AA$66)&gt;=$S152),$V152,IF(AND($R152&lt;&gt;"",EDATE($D152,Milestones!$AA$66)&gt;=$R152),$U152,$T152)))=Milestones!$AB$66),TEXT(EDATE($D152,Milestones!$AA$66),"dd/mm/yy")&amp;" "&amp;Milestones!$AB$66&amp;" "&amp;Milestones!$AC$66&amp;";  ","")&amp;IF(AND(EDATE($D152,Milestones!$AA$67)&lt;=AsOfDate,IF($Q152=0,$W152,IF(AND($S152&lt;&gt;"",EDATE($D152,Milestones!$AA$67)&gt;=$S152),$V152,IF(AND($R152&lt;&gt;"",EDATE($D152,Milestones!$AA$67)&gt;=$R152),$U152,$T152)))=Milestones!$AB$67),TEXT(EDATE($D152,Milestones!$AA$67),"dd/mm/yy")&amp;" "&amp;Milestones!$AB$67&amp;" "&amp;Milestones!$AC$67&amp;";  ","")&amp;IF(AND(EDATE($D152,Milestones!$AA$68)&lt;=AsOfDate,IF($Q152=0,$W152,IF(AND($S152&lt;&gt;"",EDATE($D152,Milestones!$AA$68)&gt;=$S152),$V152,IF(AND($R152&lt;&gt;"",EDATE($D152,Milestones!$AA$68)&gt;=$R152),$U152,$T152)))=Milestones!$AB$68),TEXT(EDATE($D152,Milestones!$AA$68),"dd/mm/yy")&amp;" "&amp;Milestones!$AB$68&amp;" "&amp;Milestones!$AC$68&amp;";  ","")&amp;IF(AND(EDATE($D152,Milestones!$AA$69)&lt;=AsOfDate,IF($Q152=0,$W152,IF(AND($S152&lt;&gt;"",EDATE($D152,Milestones!$AA$69)&gt;=$S152),$V152,IF(AND($R152&lt;&gt;"",EDATE($D152,Milestones!$AA$69)&gt;=$R152),$U152,$T152)))=Milestones!$AB$69),TEXT(EDATE($D152,Milestones!$AA$69),"dd/mm/yy")&amp;" "&amp;Milestones!$AB$69&amp;" "&amp;Milestones!$AC$69&amp;";  ","")&amp;IF(AND(EDATE($D152,Milestones!$AA$70)&lt;=AsOfDate,IF($Q152=0,$W152,IF(AND($S152&lt;&gt;"",EDATE($D152,Milestones!$AA$70)&gt;=$S152),$V152,IF(AND($R152&lt;&gt;"",EDATE($D152,Milestones!$AA$70)&gt;=$R152),$U152,$T152)))=Milestones!$AB$70),TEXT(EDATE($D152,Milestones!$AA$70),"dd/mm/yy")&amp;" "&amp;Milestones!$AB$70&amp;" "&amp;Milestones!$AC$70&amp;";  ","")&amp;IF(AND(EDATE($D152,Milestones!$AA$71)&lt;=AsOfDate,IF($Q152=0,$W152,IF(AND($S152&lt;&gt;"",EDATE($D152,Milestones!$AA$71)&gt;=$S152),$V152,IF(AND($R152&lt;&gt;"",EDATE($D152,Milestones!$AA$71)&gt;=$R152),$U152,$T152)))=Milestones!$AB$71),TEXT(EDATE($D152,Milestones!$AA$71),"dd/mm/yy")&amp;" "&amp;Milestones!$AB$71&amp;" "&amp;Milestones!$AC$71&amp;";  ","")&amp;IF(AND(EDATE($D152,Milestones!$AA$72)&lt;=AsOfDate,IF($Q152=0,$W152,IF(AND($S152&lt;&gt;"",EDATE($D152,Milestones!$AA$72)&gt;=$S152),$V152,IF(AND($R152&lt;&gt;"",EDATE($D152,Milestones!$AA$72)&gt;=$R152),$U152,$T152)))=Milestones!$AB$72),TEXT(EDATE($D152,Milestones!$AA$72),"dd/mm/yy")&amp;" "&amp;Milestones!$AB$72&amp;" "&amp;Milestones!$AC$72&amp;";  ","")&amp;IF(AND(EDATE($D152,Milestones!$AA$73)&lt;=AsOfDate,IF($Q152=0,$W152,IF(AND($S152&lt;&gt;"",EDATE($D152,Milestones!$AA$73)&gt;=$S152),$V152,IF(AND($R152&lt;&gt;"",EDATE($D152,Milestones!$AA$73)&gt;=$R152),$U152,$T152)))=Milestones!$AB$73),TEXT(EDATE($D152,Milestones!$AA$73),"dd/mm/yy")&amp;" "&amp;Milestones!$AB$73&amp;" "&amp;Milestones!$AC$73&amp;";  ","")&amp;IF(AND(EDATE($D152,Milestones!$AA$74)&lt;=AsOfDate,IF($Q152=0,$W152,IF(AND($S152&lt;&gt;"",EDATE($D152,Milestones!$AA$74)&gt;=$S152),$V152,IF(AND($R152&lt;&gt;"",EDATE($D152,Milestones!$AA$74)&gt;=$R152),$U152,$T152)))=Milestones!$AB$74),TEXT(EDATE($D152,Milestones!$AA$74),"dd/mm/yy")&amp;" "&amp;Milestones!$AB$74&amp;" "&amp;Milestones!$AC$74&amp;";  ","")&amp;IF(AND(EDATE($D152,Milestones!$AA$75)&lt;=AsOfDate,IF($Q152=0,$W152,IF(AND($S152&lt;&gt;"",EDATE($D152,Milestones!$AA$75)&gt;=$S152),$V152,IF(AND($R152&lt;&gt;"",EDATE($D152,Milestones!$AA$75)&gt;=$R152),$U152,$T152)))=Milestones!$AB$75),TEXT(EDATE($D152,Milestones!$AA$75),"dd/mm/yy")&amp;" "&amp;Milestones!$AB$75&amp;" "&amp;Milestones!$AC$75&amp;";  ","")&amp;IF(AND(EDATE($D152,Milestones!$AA$76)&lt;=AsOfDate,IF($Q152=0,$W152,IF(AND($S152&lt;&gt;"",EDATE($D152,Milestones!$AA$76)&gt;=$S152),$V152,IF(AND($R152&lt;&gt;"",EDATE($D152,Milestones!$AA$76)&gt;=$R152),$U152,$T152)))=Milestones!$AB$76),TEXT(EDATE($D152,Milestones!$AA$76),"dd/mm/yy")&amp;" "&amp;Milestones!$AB$76&amp;" "&amp;Milestones!$AC$76&amp;";  ","")&amp;IF(AND(EDATE($D152,Milestones!$AA$77)&lt;=AsOfDate,IF($Q152=0,$W152,IF(AND($S152&lt;&gt;"",EDATE($D152,Milestones!$AA$77)&gt;=$S152),$V152,IF(AND($R152&lt;&gt;"",EDATE($D152,Milestones!$AA$77)&gt;=$R152),$U152,$T152)))=Milestones!$AB$77),TEXT(EDATE($D152,Milestones!$AA$77),"dd/mm/yy")&amp;" "&amp;Milestones!$AB$77&amp;" "&amp;Milestones!$AC$77&amp;";  ","")&amp;IF(AND(EDATE($D152,Milestones!$AA$78)&lt;=AsOfDate,IF($Q152=0,$W152,IF(AND($S152&lt;&gt;"",EDATE($D152,Milestones!$AA$78)&gt;=$S152),$V152,IF(AND($R152&lt;&gt;"",EDATE($D152,Milestones!$AA$78)&gt;=$R152),$U152,$T152)))=Milestones!$AB$78),TEXT(EDATE($D152,Milestones!$AA$78),"dd/mm/yy")&amp;" "&amp;Milestones!$AB$78&amp;" "&amp;Milestones!$AC$78&amp;";  ","")&amp;IF(AND(EDATE($D152,Milestones!$AA$79)&lt;=AsOfDate,IF($Q152=0,$W152,IF(AND($S152&lt;&gt;"",EDATE($D152,Milestones!$AA$79)&gt;=$S152),$V152,IF(AND($R152&lt;&gt;"",EDATE($D152,Milestones!$AA$79)&gt;=$R152),$U152,$T152)))=Milestones!$AB$79),TEXT(EDATE($D152,Milestones!$AA$79),"dd/mm/yy")&amp;" "&amp;Milestones!$AB$79&amp;" "&amp;Milestones!$AC$79&amp;";  ",""))</f>
        <v/>
      </c>
      <c r="K152" s="0" t="str">
        <f aca="false">IF(OR($A152="",$D152=""),"",IF(AND(EDATE($D152,Milestones!$AA$80)&lt;=AsOfDate,IF($Q152=0,$W152,IF(AND($S152&lt;&gt;"",EDATE($D152,Milestones!$AA$80)&gt;=$S152),$V152,IF(AND($R152&lt;&gt;"",EDATE($D152,Milestones!$AA$80)&gt;=$R152),$U152,$T152)))=Milestones!$AB$80),TEXT(EDATE($D152,Milestones!$AA$80),"dd/mm/yy")&amp;" "&amp;Milestones!$AB$80&amp;" "&amp;Milestones!$AC$80&amp;";  ","")&amp;IF(AND(EDATE($D152,Milestones!$AA$81)&lt;=AsOfDate,IF($Q152=0,$W152,IF(AND($S152&lt;&gt;"",EDATE($D152,Milestones!$AA$81)&gt;=$S152),$V152,IF(AND($R152&lt;&gt;"",EDATE($D152,Milestones!$AA$81)&gt;=$R152),$U152,$T152)))=Milestones!$AB$81),TEXT(EDATE($D152,Milestones!$AA$81),"dd/mm/yy")&amp;" "&amp;Milestones!$AB$81&amp;" "&amp;Milestones!$AC$81&amp;";  ","")&amp;IF(AND(EDATE($D152,Milestones!$AA$82)&lt;=AsOfDate,IF($Q152=0,$W152,IF(AND($S152&lt;&gt;"",EDATE($D152,Milestones!$AA$82)&gt;=$S152),$V152,IF(AND($R152&lt;&gt;"",EDATE($D152,Milestones!$AA$82)&gt;=$R152),$U152,$T152)))=Milestones!$AB$82),TEXT(EDATE($D152,Milestones!$AA$82),"dd/mm/yy")&amp;" "&amp;Milestones!$AB$82&amp;" "&amp;Milestones!$AC$82&amp;";  ","")&amp;IF(AND(EDATE($D152,Milestones!$AA$83)&lt;=AsOfDate,IF($Q152=0,$W152,IF(AND($S152&lt;&gt;"",EDATE($D152,Milestones!$AA$83)&gt;=$S152),$V152,IF(AND($R152&lt;&gt;"",EDATE($D152,Milestones!$AA$83)&gt;=$R152),$U152,$T152)))=Milestones!$AB$83),TEXT(EDATE($D152,Milestones!$AA$83),"dd/mm/yy")&amp;" "&amp;Milestones!$AB$83&amp;" "&amp;Milestones!$AC$83&amp;";  ","")&amp;IF(AND(EDATE($D152,Milestones!$AA$84)&lt;=AsOfDate,IF($Q152=0,$W152,IF(AND($S152&lt;&gt;"",EDATE($D152,Milestones!$AA$84)&gt;=$S152),$V152,IF(AND($R152&lt;&gt;"",EDATE($D152,Milestones!$AA$84)&gt;=$R152),$U152,$T152)))=Milestones!$AB$84),TEXT(EDATE($D152,Milestones!$AA$84),"dd/mm/yy")&amp;" "&amp;Milestones!$AB$84&amp;" "&amp;Milestones!$AC$84&amp;";  ","")&amp;IF(AND(EDATE($D152,Milestones!$AA$85)&lt;=AsOfDate,IF($Q152=0,$W152,IF(AND($S152&lt;&gt;"",EDATE($D152,Milestones!$AA$85)&gt;=$S152),$V152,IF(AND($R152&lt;&gt;"",EDATE($D152,Milestones!$AA$85)&gt;=$R152),$U152,$T152)))=Milestones!$AB$85),TEXT(EDATE($D152,Milestones!$AA$85),"dd/mm/yy")&amp;" "&amp;Milestones!$AB$85&amp;" "&amp;Milestones!$AC$85&amp;";  ","")&amp;IF(AND(EDATE($D152,Milestones!$AA$86)&lt;=AsOfDate,IF($Q152=0,$W152,IF(AND($S152&lt;&gt;"",EDATE($D152,Milestones!$AA$86)&gt;=$S152),$V152,IF(AND($R152&lt;&gt;"",EDATE($D152,Milestones!$AA$86)&gt;=$R152),$U152,$T152)))=Milestones!$AB$86),TEXT(EDATE($D152,Milestones!$AA$86),"dd/mm/yy")&amp;" "&amp;Milestones!$AB$86&amp;" "&amp;Milestones!$AC$86&amp;";  ","")&amp;IF(AND(EDATE($D152,Milestones!$AA$87)&lt;=AsOfDate,IF($Q152=0,$W152,IF(AND($S152&lt;&gt;"",EDATE($D152,Milestones!$AA$87)&gt;=$S152),$V152,IF(AND($R152&lt;&gt;"",EDATE($D152,Milestones!$AA$87)&gt;=$R152),$U152,$T152)))=Milestones!$AB$87),TEXT(EDATE($D152,Milestones!$AA$87),"dd/mm/yy")&amp;" "&amp;Milestones!$AB$87&amp;" "&amp;Milestones!$AC$87&amp;";  ","")&amp;IF(AND(EDATE($D152,Milestones!$AA$88)&lt;=AsOfDate,IF($Q152=0,$W152,IF(AND($S152&lt;&gt;"",EDATE($D152,Milestones!$AA$88)&gt;=$S152),$V152,IF(AND($R152&lt;&gt;"",EDATE($D152,Milestones!$AA$88)&gt;=$R152),$U152,$T152)))=Milestones!$AB$88),TEXT(EDATE($D152,Milestones!$AA$88),"dd/mm/yy")&amp;" "&amp;Milestones!$AB$88&amp;" "&amp;Milestones!$AC$88&amp;";  ","")&amp;IF(AND(EDATE($D152,Milestones!$AA$89)&lt;=AsOfDate,IF($Q152=0,$W152,IF(AND($S152&lt;&gt;"",EDATE($D152,Milestones!$AA$89)&gt;=$S152),$V152,IF(AND($R152&lt;&gt;"",EDATE($D152,Milestones!$AA$89)&gt;=$R152),$U152,$T152)))=Milestones!$AB$89),TEXT(EDATE($D152,Milestones!$AA$89),"dd/mm/yy")&amp;" "&amp;Milestones!$AB$89&amp;" "&amp;Milestones!$AC$89&amp;";  ","")&amp;IF(AND(EDATE($D152,Milestones!$AA$90)&lt;=AsOfDate,IF($Q152=0,$W152,IF(AND($S152&lt;&gt;"",EDATE($D152,Milestones!$AA$90)&gt;=$S152),$V152,IF(AND($R152&lt;&gt;"",EDATE($D152,Milestones!$AA$90)&gt;=$R152),$U152,$T152)))=Milestones!$AB$90),TEXT(EDATE($D152,Milestones!$AA$90),"dd/mm/yy")&amp;" "&amp;Milestones!$AB$90&amp;" "&amp;Milestones!$AC$90&amp;";  ","")&amp;IF(AND(EDATE($D152,Milestones!$AA$91)&lt;=AsOfDate,IF($Q152=0,$W152,IF(AND($S152&lt;&gt;"",EDATE($D152,Milestones!$AA$91)&gt;=$S152),$V152,IF(AND($R152&lt;&gt;"",EDATE($D152,Milestones!$AA$91)&gt;=$R152),$U152,$T152)))=Milestones!$AB$91),TEXT(EDATE($D152,Milestones!$AA$91),"dd/mm/yy")&amp;" "&amp;Milestones!$AB$91&amp;" "&amp;Milestones!$AC$91&amp;";  ","")&amp;IF(AND(EDATE($D152,Milestones!$AA$92)&lt;=AsOfDate,IF($Q152=0,$W152,IF(AND($S152&lt;&gt;"",EDATE($D152,Milestones!$AA$92)&gt;=$S152),$V152,IF(AND($R152&lt;&gt;"",EDATE($D152,Milestones!$AA$92)&gt;=$R152),$U152,$T152)))=Milestones!$AB$92),TEXT(EDATE($D152,Milestones!$AA$92),"dd/mm/yy")&amp;" "&amp;Milestones!$AB$92&amp;" "&amp;Milestones!$AC$92&amp;";  ","")&amp;IF(AND(EDATE($D152,Milestones!$AA$93)&lt;=AsOfDate,IF($Q152=0,$W152,IF(AND($S152&lt;&gt;"",EDATE($D152,Milestones!$AA$93)&gt;=$S152),$V152,IF(AND($R152&lt;&gt;"",EDATE($D152,Milestones!$AA$93)&gt;=$R152),$U152,$T152)))=Milestones!$AB$93),TEXT(EDATE($D152,Milestones!$AA$93),"dd/mm/yy")&amp;" "&amp;Milestones!$AB$93&amp;" "&amp;Milestones!$AC$93&amp;";  ","")&amp;IF(AND(EDATE($D152,Milestones!$AA$94)&lt;=AsOfDate,IF($Q152=0,$W152,IF(AND($S152&lt;&gt;"",EDATE($D152,Milestones!$AA$94)&gt;=$S152),$V152,IF(AND($R152&lt;&gt;"",EDATE($D152,Milestones!$AA$94)&gt;=$R152),$U152,$T152)))=Milestones!$AB$94),TEXT(EDATE($D152,Milestones!$AA$94),"dd/mm/yy")&amp;" "&amp;Milestones!$AB$94&amp;" "&amp;Milestones!$AC$94&amp;";  ","")&amp;IF(AND(EDATE($D152,Milestones!$AA$95)&lt;=AsOfDate,IF($Q152=0,$W152,IF(AND($S152&lt;&gt;"",EDATE($D152,Milestones!$AA$95)&gt;=$S152),$V152,IF(AND($R152&lt;&gt;"",EDATE($D152,Milestones!$AA$95)&gt;=$R152),$U152,$T152)))=Milestones!$AB$95),TEXT(EDATE($D152,Milestones!$AA$95),"dd/mm/yy")&amp;" "&amp;Milestones!$AB$95&amp;" "&amp;Milestones!$AC$95&amp;";  ","")&amp;IF(AND(EDATE($D152,Milestones!$AA$96)&lt;=AsOfDate,IF($Q152=0,$W152,IF(AND($S152&lt;&gt;"",EDATE($D152,Milestones!$AA$96)&gt;=$S152),$V152,IF(AND($R152&lt;&gt;"",EDATE($D152,Milestones!$AA$96)&gt;=$R152),$U152,$T152)))=Milestones!$AB$96),TEXT(EDATE($D152,Milestones!$AA$96),"dd/mm/yy")&amp;" "&amp;Milestones!$AB$96&amp;" "&amp;Milestones!$AC$96&amp;";  ","")&amp;IF(AND(EDATE($D152,Milestones!$AA$97)&lt;=AsOfDate,IF($Q152=0,$W152,IF(AND($S152&lt;&gt;"",EDATE($D152,Milestones!$AA$97)&gt;=$S152),$V152,IF(AND($R152&lt;&gt;"",EDATE($D152,Milestones!$AA$97)&gt;=$R152),$U152,$T152)))=Milestones!$AB$97),TEXT(EDATE($D152,Milestones!$AA$97),"dd/mm/yy")&amp;" "&amp;Milestones!$AB$97&amp;" "&amp;Milestones!$AC$97&amp;";  ","")&amp;IF(AND(EDATE($D152,Milestones!$AA$98)&lt;=AsOfDate,IF($Q152=0,$W152,IF(AND($S152&lt;&gt;"",EDATE($D152,Milestones!$AA$98)&gt;=$S152),$V152,IF(AND($R152&lt;&gt;"",EDATE($D152,Milestones!$AA$98)&gt;=$R152),$U152,$T152)))=Milestones!$AB$98),TEXT(EDATE($D152,Milestones!$AA$98),"dd/mm/yy")&amp;" "&amp;Milestones!$AB$98&amp;" "&amp;Milestones!$AC$98&amp;";  ","")&amp;IF(AND(EDATE($D152,Milestones!$AA$99)&lt;=AsOfDate,IF($Q152=0,$W152,IF(AND($S152&lt;&gt;"",EDATE($D152,Milestones!$AA$99)&gt;=$S152),$V152,IF(AND($R152&lt;&gt;"",EDATE($D152,Milestones!$AA$99)&gt;=$R152),$U152,$T152)))=Milestones!$AB$99),TEXT(EDATE($D152,Milestones!$AA$99),"dd/mm/yy")&amp;" "&amp;Milestones!$AB$99&amp;" "&amp;Milestones!$AC$99&amp;";  ",""))</f>
        <v/>
      </c>
      <c r="L152" s="0" t="str">
        <f aca="false">IF(OR($A152="",$D152=""),"",IF(AND(EDATE($D152,Milestones!$AA$100)&lt;=AsOfDate,IF($Q152=0,$W152,IF(AND($S152&lt;&gt;"",EDATE($D152,Milestones!$AA$100)&gt;=$S152),$V152,IF(AND($R152&lt;&gt;"",EDATE($D152,Milestones!$AA$100)&gt;=$R152),$U152,$T152)))=Milestones!$AB$100),TEXT(EDATE($D152,Milestones!$AA$100),"dd/mm/yy")&amp;" "&amp;Milestones!$AB$100&amp;" "&amp;Milestones!$AC$100&amp;";  ","")&amp;IF(AND(EDATE($D152,Milestones!$AA$101)&lt;=AsOfDate,IF($Q152=0,$W152,IF(AND($S152&lt;&gt;"",EDATE($D152,Milestones!$AA$101)&gt;=$S152),$V152,IF(AND($R152&lt;&gt;"",EDATE($D152,Milestones!$AA$101)&gt;=$R152),$U152,$T152)))=Milestones!$AB$101),TEXT(EDATE($D152,Milestones!$AA$101),"dd/mm/yy")&amp;" "&amp;Milestones!$AB$101&amp;" "&amp;Milestones!$AC$101&amp;";  ","")&amp;IF(AND(EDATE($D152,Milestones!$AA$102)&lt;=AsOfDate,IF($Q152=0,$W152,IF(AND($S152&lt;&gt;"",EDATE($D152,Milestones!$AA$102)&gt;=$S152),$V152,IF(AND($R152&lt;&gt;"",EDATE($D152,Milestones!$AA$102)&gt;=$R152),$U152,$T152)))=Milestones!$AB$102),TEXT(EDATE($D152,Milestones!$AA$102),"dd/mm/yy")&amp;" "&amp;Milestones!$AB$102&amp;" "&amp;Milestones!$AC$102&amp;";  ","")&amp;IF(AND(EDATE($D152,Milestones!$AA$103)&lt;=AsOfDate,IF($Q152=0,$W152,IF(AND($S152&lt;&gt;"",EDATE($D152,Milestones!$AA$103)&gt;=$S152),$V152,IF(AND($R152&lt;&gt;"",EDATE($D152,Milestones!$AA$103)&gt;=$R152),$U152,$T152)))=Milestones!$AB$103),TEXT(EDATE($D152,Milestones!$AA$103),"dd/mm/yy")&amp;" "&amp;Milestones!$AB$103&amp;" "&amp;Milestones!$AC$103&amp;";  ","")&amp;IF(AND(EDATE($D152,Milestones!$AA$104)&lt;=AsOfDate,IF($Q152=0,$W152,IF(AND($S152&lt;&gt;"",EDATE($D152,Milestones!$AA$104)&gt;=$S152),$V152,IF(AND($R152&lt;&gt;"",EDATE($D152,Milestones!$AA$104)&gt;=$R152),$U152,$T152)))=Milestones!$AB$104),TEXT(EDATE($D152,Milestones!$AA$104),"dd/mm/yy")&amp;" "&amp;Milestones!$AB$104&amp;" "&amp;Milestones!$AC$104&amp;";  ","")&amp;IF(AND(EDATE($D152,Milestones!$AA$105)&lt;=AsOfDate,IF($Q152=0,$W152,IF(AND($S152&lt;&gt;"",EDATE($D152,Milestones!$AA$105)&gt;=$S152),$V152,IF(AND($R152&lt;&gt;"",EDATE($D152,Milestones!$AA$105)&gt;=$R152),$U152,$T152)))=Milestones!$AB$105),TEXT(EDATE($D152,Milestones!$AA$105),"dd/mm/yy")&amp;" "&amp;Milestones!$AB$105&amp;" "&amp;Milestones!$AC$105&amp;";  ","")&amp;IF(AND(EDATE($D152,Milestones!$AA$106)&lt;=AsOfDate,IF($Q152=0,$W152,IF(AND($S152&lt;&gt;"",EDATE($D152,Milestones!$AA$106)&gt;=$S152),$V152,IF(AND($R152&lt;&gt;"",EDATE($D152,Milestones!$AA$106)&gt;=$R152),$U152,$T152)))=Milestones!$AB$106),TEXT(EDATE($D152,Milestones!$AA$106),"dd/mm/yy")&amp;" "&amp;Milestones!$AB$106&amp;" "&amp;Milestones!$AC$106&amp;";  ","")&amp;IF(AND(EDATE($D152,Milestones!$AA$107)&lt;=AsOfDate,IF($Q152=0,$W152,IF(AND($S152&lt;&gt;"",EDATE($D152,Milestones!$AA$107)&gt;=$S152),$V152,IF(AND($R152&lt;&gt;"",EDATE($D152,Milestones!$AA$107)&gt;=$R152),$U152,$T152)))=Milestones!$AB$107),TEXT(EDATE($D152,Milestones!$AA$107),"dd/mm/yy")&amp;" "&amp;Milestones!$AB$107&amp;" "&amp;Milestones!$AC$107&amp;";  ","")&amp;IF(AND(EDATE($D152,Milestones!$AA$108)&lt;=AsOfDate,IF($Q152=0,$W152,IF(AND($S152&lt;&gt;"",EDATE($D152,Milestones!$AA$108)&gt;=$S152),$V152,IF(AND($R152&lt;&gt;"",EDATE($D152,Milestones!$AA$108)&gt;=$R152),$U152,$T152)))=Milestones!$AB$108),TEXT(EDATE($D152,Milestones!$AA$108),"dd/mm/yy")&amp;" "&amp;Milestones!$AB$108&amp;" "&amp;Milestones!$AC$108&amp;";  ","")&amp;IF(AND(EDATE($D152,Milestones!$AA$109)&lt;=AsOfDate,IF($Q152=0,$W152,IF(AND($S152&lt;&gt;"",EDATE($D152,Milestones!$AA$109)&gt;=$S152),$V152,IF(AND($R152&lt;&gt;"",EDATE($D152,Milestones!$AA$109)&gt;=$R152),$U152,$T152)))=Milestones!$AB$109),TEXT(EDATE($D152,Milestones!$AA$109),"dd/mm/yy")&amp;" "&amp;Milestones!$AB$109&amp;" "&amp;Milestones!$AC$109&amp;";  ","")&amp;IF(AND(EDATE($D152,Milestones!$AA$110)&lt;=AsOfDate,IF($Q152=0,$W152,IF(AND($S152&lt;&gt;"",EDATE($D152,Milestones!$AA$110)&gt;=$S152),$V152,IF(AND($R152&lt;&gt;"",EDATE($D152,Milestones!$AA$110)&gt;=$R152),$U152,$T152)))=Milestones!$AB$110),TEXT(EDATE($D152,Milestones!$AA$110),"dd/mm/yy")&amp;" "&amp;Milestones!$AB$110&amp;" "&amp;Milestones!$AC$110&amp;";  ","")&amp;IF(AND(EDATE($D152,Milestones!$AA$111)&lt;=AsOfDate,IF($Q152=0,$W152,IF(AND($S152&lt;&gt;"",EDATE($D152,Milestones!$AA$111)&gt;=$S152),$V152,IF(AND($R152&lt;&gt;"",EDATE($D152,Milestones!$AA$111)&gt;=$R152),$U152,$T152)))=Milestones!$AB$111),TEXT(EDATE($D152,Milestones!$AA$111),"dd/mm/yy")&amp;" "&amp;Milestones!$AB$111&amp;" "&amp;Milestones!$AC$111&amp;";  ","")&amp;IF(AND(EDATE($D152,Milestones!$AA$112)&lt;=AsOfDate,IF($Q152=0,$W152,IF(AND($S152&lt;&gt;"",EDATE($D152,Milestones!$AA$112)&gt;=$S152),$V152,IF(AND($R152&lt;&gt;"",EDATE($D152,Milestones!$AA$112)&gt;=$R152),$U152,$T152)))=Milestones!$AB$112),TEXT(EDATE($D152,Milestones!$AA$112),"dd/mm/yy")&amp;" "&amp;Milestones!$AB$112&amp;" "&amp;Milestones!$AC$112&amp;";  ","")&amp;IF(AND(EDATE($D152,Milestones!$AA$113)&lt;=AsOfDate,IF($Q152=0,$W152,IF(AND($S152&lt;&gt;"",EDATE($D152,Milestones!$AA$113)&gt;=$S152),$V152,IF(AND($R152&lt;&gt;"",EDATE($D152,Milestones!$AA$113)&gt;=$R152),$U152,$T152)))=Milestones!$AB$113),TEXT(EDATE($D152,Milestones!$AA$113),"dd/mm/yy")&amp;" "&amp;Milestones!$AB$113&amp;" "&amp;Milestones!$AC$113&amp;";  ","")&amp;IF(AND(EDATE($D152,Milestones!$AA$114)&lt;=AsOfDate,IF($Q152=0,$W152,IF(AND($S152&lt;&gt;"",EDATE($D152,Milestones!$AA$114)&gt;=$S152),$V152,IF(AND($R152&lt;&gt;"",EDATE($D152,Milestones!$AA$114)&gt;=$R152),$U152,$T152)))=Milestones!$AB$114),TEXT(EDATE($D152,Milestones!$AA$114),"dd/mm/yy")&amp;" "&amp;Milestones!$AB$114&amp;" "&amp;Milestones!$AC$114&amp;";  ","")&amp;IF(AND(EDATE($D152,Milestones!$AA$115)&lt;=AsOfDate,IF($Q152=0,$W152,IF(AND($S152&lt;&gt;"",EDATE($D152,Milestones!$AA$115)&gt;=$S152),$V152,IF(AND($R152&lt;&gt;"",EDATE($D152,Milestones!$AA$115)&gt;=$R152),$U152,$T152)))=Milestones!$AB$115),TEXT(EDATE($D152,Milestones!$AA$115),"dd/mm/yy")&amp;" "&amp;Milestones!$AB$115&amp;" "&amp;Milestones!$AC$115&amp;";  ","")&amp;IF(AND(EDATE($D152,Milestones!$AA$116)&lt;=AsOfDate,IF($Q152=0,$W152,IF(AND($S152&lt;&gt;"",EDATE($D152,Milestones!$AA$116)&gt;=$S152),$V152,IF(AND($R152&lt;&gt;"",EDATE($D152,Milestones!$AA$116)&gt;=$R152),$U152,$T152)))=Milestones!$AB$116),TEXT(EDATE($D152,Milestones!$AA$116),"dd/mm/yy")&amp;" "&amp;Milestones!$AB$116&amp;" "&amp;Milestones!$AC$116&amp;";  ","")&amp;IF(AND(EDATE($D152,Milestones!$AA$117)&lt;=AsOfDate,IF($Q152=0,$W152,IF(AND($S152&lt;&gt;"",EDATE($D152,Milestones!$AA$117)&gt;=$S152),$V152,IF(AND($R152&lt;&gt;"",EDATE($D152,Milestones!$AA$117)&gt;=$R152),$U152,$T152)))=Milestones!$AB$117),TEXT(EDATE($D152,Milestones!$AA$117),"dd/mm/yy")&amp;" "&amp;Milestones!$AB$117&amp;" "&amp;Milestones!$AC$117&amp;";  ","")&amp;IF(AND(EDATE($D152,Milestones!$AA$118)&lt;=AsOfDate,IF($Q152=0,$W152,IF(AND($S152&lt;&gt;"",EDATE($D152,Milestones!$AA$118)&gt;=$S152),$V152,IF(AND($R152&lt;&gt;"",EDATE($D152,Milestones!$AA$118)&gt;=$R152),$U152,$T152)))=Milestones!$AB$118),TEXT(EDATE($D152,Milestones!$AA$118),"dd/mm/yy")&amp;" "&amp;Milestones!$AB$118&amp;" "&amp;Milestones!$AC$118&amp;";  ","")&amp;IF(AND(EDATE($D152,Milestones!$AA$119)&lt;=AsOfDate,IF($Q152=0,$W152,IF(AND($S152&lt;&gt;"",EDATE($D152,Milestones!$AA$119)&gt;=$S152),$V152,IF(AND($R152&lt;&gt;"",EDATE($D152,Milestones!$AA$119)&gt;=$R152),$U152,$T152)))=Milestones!$AB$119),TEXT(EDATE($D152,Milestones!$AA$119),"dd/mm/yy")&amp;" "&amp;Milestones!$AB$119&amp;" "&amp;Milestones!$AC$119&amp;";  ",""))</f>
        <v/>
      </c>
      <c r="M152" s="0" t="str">
        <f aca="false">IF(OR($A152="",$D152=""),"",IF(AND(EDATE($D152,Milestones!$AA$120)&lt;=AsOfDate,IF($Q152=0,$W152,IF(AND($S152&lt;&gt;"",EDATE($D152,Milestones!$AA$120)&gt;=$S152),$V152,IF(AND($R152&lt;&gt;"",EDATE($D152,Milestones!$AA$120)&gt;=$R152),$U152,$T152)))=Milestones!$AB$120),TEXT(EDATE($D152,Milestones!$AA$120),"dd/mm/yy")&amp;" "&amp;Milestones!$AB$120&amp;" "&amp;Milestones!$AC$120&amp;";  ","")&amp;IF(AND(EDATE($D152,Milestones!$AA$121)&lt;=AsOfDate,IF($Q152=0,$W152,IF(AND($S152&lt;&gt;"",EDATE($D152,Milestones!$AA$121)&gt;=$S152),$V152,IF(AND($R152&lt;&gt;"",EDATE($D152,Milestones!$AA$121)&gt;=$R152),$U152,$T152)))=Milestones!$AB$121),TEXT(EDATE($D152,Milestones!$AA$121),"dd/mm/yy")&amp;" "&amp;Milestones!$AB$121&amp;" "&amp;Milestones!$AC$121&amp;";  ","")&amp;IF(AND(EDATE($D152,Milestones!$AA$122)&lt;=AsOfDate,IF($Q152=0,$W152,IF(AND($S152&lt;&gt;"",EDATE($D152,Milestones!$AA$122)&gt;=$S152),$V152,IF(AND($R152&lt;&gt;"",EDATE($D152,Milestones!$AA$122)&gt;=$R152),$U152,$T152)))=Milestones!$AB$122),TEXT(EDATE($D152,Milestones!$AA$122),"dd/mm/yy")&amp;" "&amp;Milestones!$AB$122&amp;" "&amp;Milestones!$AC$122&amp;";  ","")&amp;IF(AND(EDATE($D152,Milestones!$AA$123)&lt;=AsOfDate,IF($Q152=0,$W152,IF(AND($S152&lt;&gt;"",EDATE($D152,Milestones!$AA$123)&gt;=$S152),$V152,IF(AND($R152&lt;&gt;"",EDATE($D152,Milestones!$AA$123)&gt;=$R152),$U152,$T152)))=Milestones!$AB$123),TEXT(EDATE($D152,Milestones!$AA$123),"dd/mm/yy")&amp;" "&amp;Milestones!$AB$123&amp;" "&amp;Milestones!$AC$123&amp;";  ","")&amp;IF(AND(EDATE($D152,Milestones!$AA$124)&lt;=AsOfDate,IF($Q152=0,$W152,IF(AND($S152&lt;&gt;"",EDATE($D152,Milestones!$AA$124)&gt;=$S152),$V152,IF(AND($R152&lt;&gt;"",EDATE($D152,Milestones!$AA$124)&gt;=$R152),$U152,$T152)))=Milestones!$AB$124),TEXT(EDATE($D152,Milestones!$AA$124),"dd/mm/yy")&amp;" "&amp;Milestones!$AB$124&amp;" "&amp;Milestones!$AC$124&amp;";  ","")&amp;IF(AND(EDATE($D152,Milestones!$AA$125)&lt;=AsOfDate,IF($Q152=0,$W152,IF(AND($S152&lt;&gt;"",EDATE($D152,Milestones!$AA$125)&gt;=$S152),$V152,IF(AND($R152&lt;&gt;"",EDATE($D152,Milestones!$AA$125)&gt;=$R152),$U152,$T152)))=Milestones!$AB$125),TEXT(EDATE($D152,Milestones!$AA$125),"dd/mm/yy")&amp;" "&amp;Milestones!$AB$125&amp;" "&amp;Milestones!$AC$125&amp;";  ","")&amp;IF(AND(EDATE($D152,Milestones!$AA$126)&lt;=AsOfDate,IF($Q152=0,$W152,IF(AND($S152&lt;&gt;"",EDATE($D152,Milestones!$AA$126)&gt;=$S152),$V152,IF(AND($R152&lt;&gt;"",EDATE($D152,Milestones!$AA$126)&gt;=$R152),$U152,$T152)))=Milestones!$AB$126),TEXT(EDATE($D152,Milestones!$AA$126),"dd/mm/yy")&amp;" "&amp;Milestones!$AB$126&amp;" "&amp;Milestones!$AC$126&amp;";  ","")&amp;IF(AND(EDATE($D152,Milestones!$AA$127)&lt;=AsOfDate,IF($Q152=0,$W152,IF(AND($S152&lt;&gt;"",EDATE($D152,Milestones!$AA$127)&gt;=$S152),$V152,IF(AND($R152&lt;&gt;"",EDATE($D152,Milestones!$AA$127)&gt;=$R152),$U152,$T152)))=Milestones!$AB$127),TEXT(EDATE($D152,Milestones!$AA$127),"dd/mm/yy")&amp;" "&amp;Milestones!$AB$127&amp;" "&amp;Milestones!$AC$127&amp;";  ","")&amp;IF(AND(EDATE($D152,Milestones!$AA$128)&lt;=AsOfDate,IF($Q152=0,$W152,IF(AND($S152&lt;&gt;"",EDATE($D152,Milestones!$AA$128)&gt;=$S152),$V152,IF(AND($R152&lt;&gt;"",EDATE($D152,Milestones!$AA$128)&gt;=$R152),$U152,$T152)))=Milestones!$AB$128),TEXT(EDATE($D152,Milestones!$AA$128),"dd/mm/yy")&amp;" "&amp;Milestones!$AB$128&amp;" "&amp;Milestones!$AC$128&amp;";  ","")&amp;IF(AND(EDATE($D152,Milestones!$AA$129)&lt;=AsOfDate,IF($Q152=0,$W152,IF(AND($S152&lt;&gt;"",EDATE($D152,Milestones!$AA$129)&gt;=$S152),$V152,IF(AND($R152&lt;&gt;"",EDATE($D152,Milestones!$AA$129)&gt;=$R152),$U152,$T152)))=Milestones!$AB$129),TEXT(EDATE($D152,Milestones!$AA$129),"dd/mm/yy")&amp;" "&amp;Milestones!$AB$129&amp;" "&amp;Milestones!$AC$129&amp;";  ","")&amp;IF(AND(EDATE($D152,Milestones!$AA$130)&lt;=AsOfDate,IF($Q152=0,$W152,IF(AND($S152&lt;&gt;"",EDATE($D152,Milestones!$AA$130)&gt;=$S152),$V152,IF(AND($R152&lt;&gt;"",EDATE($D152,Milestones!$AA$130)&gt;=$R152),$U152,$T152)))=Milestones!$AB$130),TEXT(EDATE($D152,Milestones!$AA$130),"dd/mm/yy")&amp;" "&amp;Milestones!$AB$130&amp;" "&amp;Milestones!$AC$130&amp;";  ","")&amp;IF(AND(EDATE($D152,Milestones!$AA$131)&lt;=AsOfDate,IF($Q152=0,$W152,IF(AND($S152&lt;&gt;"",EDATE($D152,Milestones!$AA$131)&gt;=$S152),$V152,IF(AND($R152&lt;&gt;"",EDATE($D152,Milestones!$AA$131)&gt;=$R152),$U152,$T152)))=Milestones!$AB$131),TEXT(EDATE($D152,Milestones!$AA$131),"dd/mm/yy")&amp;" "&amp;Milestones!$AB$131&amp;" "&amp;Milestones!$AC$131&amp;";  ","")&amp;IF(AND(EDATE($D152,Milestones!$AA$132)&lt;=AsOfDate,IF($Q152=0,$W152,IF(AND($S152&lt;&gt;"",EDATE($D152,Milestones!$AA$132)&gt;=$S152),$V152,IF(AND($R152&lt;&gt;"",EDATE($D152,Milestones!$AA$132)&gt;=$R152),$U152,$T152)))=Milestones!$AB$132),TEXT(EDATE($D152,Milestones!$AA$132),"dd/mm/yy")&amp;" "&amp;Milestones!$AB$132&amp;" "&amp;Milestones!$AC$132&amp;";  ","")&amp;IF(AND(EDATE($D152,Milestones!$AA$133)&lt;=AsOfDate,IF($Q152=0,$W152,IF(AND($S152&lt;&gt;"",EDATE($D152,Milestones!$AA$133)&gt;=$S152),$V152,IF(AND($R152&lt;&gt;"",EDATE($D152,Milestones!$AA$133)&gt;=$R152),$U152,$T152)))=Milestones!$AB$133),TEXT(EDATE($D152,Milestones!$AA$133),"dd/mm/yy")&amp;" "&amp;Milestones!$AB$133&amp;" "&amp;Milestones!$AC$133&amp;";  ","")&amp;IF(AND(EDATE($D152,Milestones!$AA$134)&lt;=AsOfDate,IF($Q152=0,$W152,IF(AND($S152&lt;&gt;"",EDATE($D152,Milestones!$AA$134)&gt;=$S152),$V152,IF(AND($R152&lt;&gt;"",EDATE($D152,Milestones!$AA$134)&gt;=$R152),$U152,$T152)))=Milestones!$AB$134),TEXT(EDATE($D152,Milestones!$AA$134),"dd/mm/yy")&amp;" "&amp;Milestones!$AB$134&amp;" "&amp;Milestones!$AC$134&amp;";  ","")&amp;IF(AND(EDATE($D152,Milestones!$AA$135)&lt;=AsOfDate,IF($Q152=0,$W152,IF(AND($S152&lt;&gt;"",EDATE($D152,Milestones!$AA$135)&gt;=$S152),$V152,IF(AND($R152&lt;&gt;"",EDATE($D152,Milestones!$AA$135)&gt;=$R152),$U152,$T152)))=Milestones!$AB$135),TEXT(EDATE($D152,Milestones!$AA$135),"dd/mm/yy")&amp;" "&amp;Milestones!$AB$135&amp;" "&amp;Milestones!$AC$135&amp;";  ","")&amp;IF(AND(EDATE($D152,Milestones!$AA$136)&lt;=AsOfDate,IF($Q152=0,$W152,IF(AND($S152&lt;&gt;"",EDATE($D152,Milestones!$AA$136)&gt;=$S152),$V152,IF(AND($R152&lt;&gt;"",EDATE($D152,Milestones!$AA$136)&gt;=$R152),$U152,$T152)))=Milestones!$AB$136),TEXT(EDATE($D152,Milestones!$AA$136),"dd/mm/yy")&amp;" "&amp;Milestones!$AB$136&amp;" "&amp;Milestones!$AC$136&amp;";  ","")&amp;IF(AND(EDATE($D152,Milestones!$AA$137)&lt;=AsOfDate,IF($Q152=0,$W152,IF(AND($S152&lt;&gt;"",EDATE($D152,Milestones!$AA$137)&gt;=$S152),$V152,IF(AND($R152&lt;&gt;"",EDATE($D152,Milestones!$AA$137)&gt;=$R152),$U152,$T152)))=Milestones!$AB$137),TEXT(EDATE($D152,Milestones!$AA$137),"dd/mm/yy")&amp;" "&amp;Milestones!$AB$137&amp;" "&amp;Milestones!$AC$137&amp;";  ","")&amp;IF(AND(EDATE($D152,Milestones!$AA$138)&lt;=AsOfDate,IF($Q152=0,$W152,IF(AND($S152&lt;&gt;"",EDATE($D152,Milestones!$AA$138)&gt;=$S152),$V152,IF(AND($R152&lt;&gt;"",EDATE($D152,Milestones!$AA$138)&gt;=$R152),$U152,$T152)))=Milestones!$AB$138),TEXT(EDATE($D152,Milestones!$AA$138),"dd/mm/yy")&amp;" "&amp;Milestones!$AB$138&amp;" "&amp;Milestones!$AC$138&amp;";  ","")&amp;IF(AND(EDATE($D152,Milestones!$AA$139)&lt;=AsOfDate,IF($Q152=0,$W152,IF(AND($S152&lt;&gt;"",EDATE($D152,Milestones!$AA$139)&gt;=$S152),$V152,IF(AND($R152&lt;&gt;"",EDATE($D152,Milestones!$AA$139)&gt;=$R152),$U152,$T152)))=Milestones!$AB$139),TEXT(EDATE($D152,Milestones!$AA$139),"dd/mm/yy")&amp;" "&amp;Milestones!$AB$139&amp;" "&amp;Milestones!$AC$139&amp;";  ",""))</f>
        <v/>
      </c>
      <c r="N152" s="0" t="str">
        <f aca="false">IF(OR($A152="",$D152=""),"",IF(AND(EDATE($D152,Milestones!$AA$140)&lt;=AsOfDate,IF($Q152=0,$W152,IF(AND($S152&lt;&gt;"",EDATE($D152,Milestones!$AA$140)&gt;=$S152),$V152,IF(AND($R152&lt;&gt;"",EDATE($D152,Milestones!$AA$140)&gt;=$R152),$U152,$T152)))=Milestones!$AB$140),TEXT(EDATE($D152,Milestones!$AA$140),"dd/mm/yy")&amp;" "&amp;Milestones!$AB$140&amp;" "&amp;Milestones!$AC$140&amp;";  ","")&amp;IF(AND(EDATE($D152,Milestones!$AA$141)&lt;=AsOfDate,IF($Q152=0,$W152,IF(AND($S152&lt;&gt;"",EDATE($D152,Milestones!$AA$141)&gt;=$S152),$V152,IF(AND($R152&lt;&gt;"",EDATE($D152,Milestones!$AA$141)&gt;=$R152),$U152,$T152)))=Milestones!$AB$141),TEXT(EDATE($D152,Milestones!$AA$141),"dd/mm/yy")&amp;" "&amp;Milestones!$AB$141&amp;" "&amp;Milestones!$AC$141&amp;";  ","")&amp;IF(AND(EDATE($D152,Milestones!$AA$142)&lt;=AsOfDate,IF($Q152=0,$W152,IF(AND($S152&lt;&gt;"",EDATE($D152,Milestones!$AA$142)&gt;=$S152),$V152,IF(AND($R152&lt;&gt;"",EDATE($D152,Milestones!$AA$142)&gt;=$R152),$U152,$T152)))=Milestones!$AB$142),TEXT(EDATE($D152,Milestones!$AA$142),"dd/mm/yy")&amp;" "&amp;Milestones!$AB$142&amp;" "&amp;Milestones!$AC$142&amp;";  ","")&amp;IF(AND(EDATE($D152,Milestones!$AA$143)&lt;=AsOfDate,IF($Q152=0,$W152,IF(AND($S152&lt;&gt;"",EDATE($D152,Milestones!$AA$143)&gt;=$S152),$V152,IF(AND($R152&lt;&gt;"",EDATE($D152,Milestones!$AA$143)&gt;=$R152),$U152,$T152)))=Milestones!$AB$143),TEXT(EDATE($D152,Milestones!$AA$143),"dd/mm/yy")&amp;" "&amp;Milestones!$AB$143&amp;" "&amp;Milestones!$AC$143&amp;";  ","")&amp;IF(AND(EDATE($D152,Milestones!$AA$144)&lt;=AsOfDate,IF($Q152=0,$W152,IF(AND($S152&lt;&gt;"",EDATE($D152,Milestones!$AA$144)&gt;=$S152),$V152,IF(AND($R152&lt;&gt;"",EDATE($D152,Milestones!$AA$144)&gt;=$R152),$U152,$T152)))=Milestones!$AB$144),TEXT(EDATE($D152,Milestones!$AA$144),"dd/mm/yy")&amp;" "&amp;Milestones!$AB$144&amp;" "&amp;Milestones!$AC$144&amp;";  ","")&amp;IF(AND(EDATE($D152,Milestones!$AA$145)&lt;=AsOfDate,IF($Q152=0,$W152,IF(AND($S152&lt;&gt;"",EDATE($D152,Milestones!$AA$145)&gt;=$S152),$V152,IF(AND($R152&lt;&gt;"",EDATE($D152,Milestones!$AA$145)&gt;=$R152),$U152,$T152)))=Milestones!$AB$145),TEXT(EDATE($D152,Milestones!$AA$145),"dd/mm/yy")&amp;" "&amp;Milestones!$AB$145&amp;" "&amp;Milestones!$AC$145&amp;";  ","")&amp;IF(AND(EDATE($D152,Milestones!$AA$146)&lt;=AsOfDate,IF($Q152=0,$W152,IF(AND($S152&lt;&gt;"",EDATE($D152,Milestones!$AA$146)&gt;=$S152),$V152,IF(AND($R152&lt;&gt;"",EDATE($D152,Milestones!$AA$146)&gt;=$R152),$U152,$T152)))=Milestones!$AB$146),TEXT(EDATE($D152,Milestones!$AA$146),"dd/mm/yy")&amp;" "&amp;Milestones!$AB$146&amp;" "&amp;Milestones!$AC$146&amp;";  ","")&amp;IF(AND(EDATE($D152,Milestones!$AA$147)&lt;=AsOfDate,IF($Q152=0,$W152,IF(AND($S152&lt;&gt;"",EDATE($D152,Milestones!$AA$147)&gt;=$S152),$V152,IF(AND($R152&lt;&gt;"",EDATE($D152,Milestones!$AA$147)&gt;=$R152),$U152,$T152)))=Milestones!$AB$147),TEXT(EDATE($D152,Milestones!$AA$147),"dd/mm/yy")&amp;" "&amp;Milestones!$AB$147&amp;" "&amp;Milestones!$AC$147&amp;";  ","")&amp;IF(AND(EDATE($D152,Milestones!$AA$148)&lt;=AsOfDate,IF($Q152=0,$W152,IF(AND($S152&lt;&gt;"",EDATE($D152,Milestones!$AA$148)&gt;=$S152),$V152,IF(AND($R152&lt;&gt;"",EDATE($D152,Milestones!$AA$148)&gt;=$R152),$U152,$T152)))=Milestones!$AB$148),TEXT(EDATE($D152,Milestones!$AA$148),"dd/mm/yy")&amp;" "&amp;Milestones!$AB$148&amp;" "&amp;Milestones!$AC$148&amp;";  ","")&amp;IF(AND(EDATE($D152,Milestones!$AA$149)&lt;=AsOfDate,IF($Q152=0,$W152,IF(AND($S152&lt;&gt;"",EDATE($D152,Milestones!$AA$149)&gt;=$S152),$V152,IF(AND($R152&lt;&gt;"",EDATE($D152,Milestones!$AA$149)&gt;=$R152),$U152,$T152)))=Milestones!$AB$149),TEXT(EDATE($D152,Milestones!$AA$149),"dd/mm/yy")&amp;" "&amp;Milestones!$AB$149&amp;" "&amp;Milestones!$AC$149&amp;";  ","")&amp;IF(AND(EDATE($D152,Milestones!$AA$150)&lt;=AsOfDate,IF($Q152=0,$W152,IF(AND($S152&lt;&gt;"",EDATE($D152,Milestones!$AA$150)&gt;=$S152),$V152,IF(AND($R152&lt;&gt;"",EDATE($D152,Milestones!$AA$150)&gt;=$R152),$U152,$T152)))=Milestones!$AB$150),TEXT(EDATE($D152,Milestones!$AA$150),"dd/mm/yy")&amp;" "&amp;Milestones!$AB$150&amp;" "&amp;Milestones!$AC$150&amp;";  ","")&amp;IF(AND(EDATE($D152,Milestones!$AA$151)&lt;=AsOfDate,IF($Q152=0,$W152,IF(AND($S152&lt;&gt;"",EDATE($D152,Milestones!$AA$151)&gt;=$S152),$V152,IF(AND($R152&lt;&gt;"",EDATE($D152,Milestones!$AA$151)&gt;=$R152),$U152,$T152)))=Milestones!$AB$151),TEXT(EDATE($D152,Milestones!$AA$151),"dd/mm/yy")&amp;" "&amp;Milestones!$AB$151&amp;" "&amp;Milestones!$AC$151&amp;";  ","")&amp;IF(AND(EDATE($D152,Milestones!$AA$152)&lt;=AsOfDate,IF($Q152=0,$W152,IF(AND($S152&lt;&gt;"",EDATE($D152,Milestones!$AA$152)&gt;=$S152),$V152,IF(AND($R152&lt;&gt;"",EDATE($D152,Milestones!$AA$152)&gt;=$R152),$U152,$T152)))=Milestones!$AB$152),TEXT(EDATE($D152,Milestones!$AA$152),"dd/mm/yy")&amp;" "&amp;Milestones!$AB$152&amp;" "&amp;Milestones!$AC$152&amp;";  ","")&amp;IF(AND(EDATE($D152,Milestones!$AA$153)&lt;=AsOfDate,IF($Q152=0,$W152,IF(AND($S152&lt;&gt;"",EDATE($D152,Milestones!$AA$153)&gt;=$S152),$V152,IF(AND($R152&lt;&gt;"",EDATE($D152,Milestones!$AA$153)&gt;=$R152),$U152,$T152)))=Milestones!$AB$153),TEXT(EDATE($D152,Milestones!$AA$153),"dd/mm/yy")&amp;" "&amp;Milestones!$AB$153&amp;" "&amp;Milestones!$AC$153&amp;";  ","")&amp;IF(AND(EDATE($D152,Milestones!$AA$154)&lt;=AsOfDate,IF($Q152=0,$W152,IF(AND($S152&lt;&gt;"",EDATE($D152,Milestones!$AA$154)&gt;=$S152),$V152,IF(AND($R152&lt;&gt;"",EDATE($D152,Milestones!$AA$154)&gt;=$R152),$U152,$T152)))=Milestones!$AB$154),TEXT(EDATE($D152,Milestones!$AA$154),"dd/mm/yy")&amp;" "&amp;Milestones!$AB$154&amp;" "&amp;Milestones!$AC$154&amp;";  ","")&amp;IF(AND(EDATE($D152,Milestones!$AA$155)&lt;=AsOfDate,IF($Q152=0,$W152,IF(AND($S152&lt;&gt;"",EDATE($D152,Milestones!$AA$155)&gt;=$S152),$V152,IF(AND($R152&lt;&gt;"",EDATE($D152,Milestones!$AA$155)&gt;=$R152),$U152,$T152)))=Milestones!$AB$155),TEXT(EDATE($D152,Milestones!$AA$155),"dd/mm/yy")&amp;" "&amp;Milestones!$AB$155&amp;" "&amp;Milestones!$AC$155&amp;";  ","")&amp;IF(AND(EDATE($D152,Milestones!$AA$156)&lt;=AsOfDate,IF($Q152=0,$W152,IF(AND($S152&lt;&gt;"",EDATE($D152,Milestones!$AA$156)&gt;=$S152),$V152,IF(AND($R152&lt;&gt;"",EDATE($D152,Milestones!$AA$156)&gt;=$R152),$U152,$T152)))=Milestones!$AB$156),TEXT(EDATE($D152,Milestones!$AA$156),"dd/mm/yy")&amp;" "&amp;Milestones!$AB$156&amp;" "&amp;Milestones!$AC$156&amp;";  ","")&amp;IF(AND(EDATE($D152,Milestones!$AA$157)&lt;=AsOfDate,IF($Q152=0,$W152,IF(AND($S152&lt;&gt;"",EDATE($D152,Milestones!$AA$157)&gt;=$S152),$V152,IF(AND($R152&lt;&gt;"",EDATE($D152,Milestones!$AA$157)&gt;=$R152),$U152,$T152)))=Milestones!$AB$157),TEXT(EDATE($D152,Milestones!$AA$157),"dd/mm/yy")&amp;" "&amp;Milestones!$AB$157&amp;" "&amp;Milestones!$AC$157&amp;";  ","")&amp;IF(AND(EDATE($D152,Milestones!$AA$158)&lt;=AsOfDate,IF($Q152=0,$W152,IF(AND($S152&lt;&gt;"",EDATE($D152,Milestones!$AA$158)&gt;=$S152),$V152,IF(AND($R152&lt;&gt;"",EDATE($D152,Milestones!$AA$158)&gt;=$R152),$U152,$T152)))=Milestones!$AB$158),TEXT(EDATE($D152,Milestones!$AA$158),"dd/mm/yy")&amp;" "&amp;Milestones!$AB$158&amp;" "&amp;Milestones!$AC$158&amp;";  ","")&amp;IF(AND(EDATE($D152,Milestones!$AA$159)&lt;=AsOfDate,IF($Q152=0,$W152,IF(AND($S152&lt;&gt;"",EDATE($D152,Milestones!$AA$159)&gt;=$S152),$V152,IF(AND($R152&lt;&gt;"",EDATE($D152,Milestones!$AA$159)&gt;=$R152),$U152,$T152)))=Milestones!$AB$159),TEXT(EDATE($D152,Milestones!$AA$159),"dd/mm/yy")&amp;" "&amp;Milestones!$AB$159&amp;" "&amp;Milestones!$AC$159&amp;";  ",""))</f>
        <v/>
      </c>
      <c r="O152" s="0" t="str">
        <f aca="false">IF(OR($A152="",$D152=""),"",IF(AND(EDATE($D152,Milestones!$AA$160)&lt;=AsOfDate,IF($Q152=0,$W152,IF(AND($S152&lt;&gt;"",EDATE($D152,Milestones!$AA$160)&gt;=$S152),$V152,IF(AND($R152&lt;&gt;"",EDATE($D152,Milestones!$AA$160)&gt;=$R152),$U152,$T152)))=Milestones!$AB$160),TEXT(EDATE($D152,Milestones!$AA$160),"dd/mm/yy")&amp;" "&amp;Milestones!$AB$160&amp;" "&amp;Milestones!$AC$160&amp;";  ","")&amp;IF(AND(EDATE($D152,Milestones!$AA$161)&lt;=AsOfDate,IF($Q152=0,$W152,IF(AND($S152&lt;&gt;"",EDATE($D152,Milestones!$AA$161)&gt;=$S152),$V152,IF(AND($R152&lt;&gt;"",EDATE($D152,Milestones!$AA$161)&gt;=$R152),$U152,$T152)))=Milestones!$AB$161),TEXT(EDATE($D152,Milestones!$AA$161),"dd/mm/yy")&amp;" "&amp;Milestones!$AB$161&amp;" "&amp;Milestones!$AC$161&amp;";  ","")&amp;IF(AND(EDATE($D152,Milestones!$AA$162)&lt;=AsOfDate,IF($Q152=0,$W152,IF(AND($S152&lt;&gt;"",EDATE($D152,Milestones!$AA$162)&gt;=$S152),$V152,IF(AND($R152&lt;&gt;"",EDATE($D152,Milestones!$AA$162)&gt;=$R152),$U152,$T152)))=Milestones!$AB$162),TEXT(EDATE($D152,Milestones!$AA$162),"dd/mm/yy")&amp;" "&amp;Milestones!$AB$162&amp;" "&amp;Milestones!$AC$162&amp;";  ","")&amp;IF(AND(EDATE($D152,Milestones!$AA$163)&lt;=AsOfDate,IF($Q152=0,$W152,IF(AND($S152&lt;&gt;"",EDATE($D152,Milestones!$AA$163)&gt;=$S152),$V152,IF(AND($R152&lt;&gt;"",EDATE($D152,Milestones!$AA$163)&gt;=$R152),$U152,$T152)))=Milestones!$AB$163),TEXT(EDATE($D152,Milestones!$AA$163),"dd/mm/yy")&amp;" "&amp;Milestones!$AB$163&amp;" "&amp;Milestones!$AC$163&amp;";  ","")&amp;IF(AND(EDATE($D152,Milestones!$AA$164)&lt;=AsOfDate,IF($Q152=0,$W152,IF(AND($S152&lt;&gt;"",EDATE($D152,Milestones!$AA$164)&gt;=$S152),$V152,IF(AND($R152&lt;&gt;"",EDATE($D152,Milestones!$AA$164)&gt;=$R152),$U152,$T152)))=Milestones!$AB$164),TEXT(EDATE($D152,Milestones!$AA$164),"dd/mm/yy")&amp;" "&amp;Milestones!$AB$164&amp;" "&amp;Milestones!$AC$164&amp;";  ","")&amp;IF(AND(EDATE($D152,Milestones!$AA$165)&lt;=AsOfDate,IF($Q152=0,$W152,IF(AND($S152&lt;&gt;"",EDATE($D152,Milestones!$AA$165)&gt;=$S152),$V152,IF(AND($R152&lt;&gt;"",EDATE($D152,Milestones!$AA$165)&gt;=$R152),$U152,$T152)))=Milestones!$AB$165),TEXT(EDATE($D152,Milestones!$AA$165),"dd/mm/yy")&amp;" "&amp;Milestones!$AB$165&amp;" "&amp;Milestones!$AC$165&amp;";  ","")&amp;IF(AND(EDATE($D152,Milestones!$AA$166)&lt;=AsOfDate,IF($Q152=0,$W152,IF(AND($S152&lt;&gt;"",EDATE($D152,Milestones!$AA$166)&gt;=$S152),$V152,IF(AND($R152&lt;&gt;"",EDATE($D152,Milestones!$AA$166)&gt;=$R152),$U152,$T152)))=Milestones!$AB$166),TEXT(EDATE($D152,Milestones!$AA$166),"dd/mm/yy")&amp;" "&amp;Milestones!$AB$166&amp;" "&amp;Milestones!$AC$166&amp;";  ","")&amp;IF(AND(EDATE($D152,Milestones!$AA$167)&lt;=AsOfDate,IF($Q152=0,$W152,IF(AND($S152&lt;&gt;"",EDATE($D152,Milestones!$AA$167)&gt;=$S152),$V152,IF(AND($R152&lt;&gt;"",EDATE($D152,Milestones!$AA$167)&gt;=$R152),$U152,$T152)))=Milestones!$AB$167),TEXT(EDATE($D152,Milestones!$AA$167),"dd/mm/yy")&amp;" "&amp;Milestones!$AB$167&amp;" "&amp;Milestones!$AC$167&amp;";  ","")&amp;IF(AND(EDATE($D152,Milestones!$AA$168)&lt;=AsOfDate,IF($Q152=0,$W152,IF(AND($S152&lt;&gt;"",EDATE($D152,Milestones!$AA$168)&gt;=$S152),$V152,IF(AND($R152&lt;&gt;"",EDATE($D152,Milestones!$AA$168)&gt;=$R152),$U152,$T152)))=Milestones!$AB$168),TEXT(EDATE($D152,Milestones!$AA$168),"dd/mm/yy")&amp;" "&amp;Milestones!$AB$168&amp;" "&amp;Milestones!$AC$168&amp;";  ","")&amp;IF(AND(EDATE($D152,Milestones!$AA$169)&lt;=AsOfDate,IF($Q152=0,$W152,IF(AND($S152&lt;&gt;"",EDATE($D152,Milestones!$AA$169)&gt;=$S152),$V152,IF(AND($R152&lt;&gt;"",EDATE($D152,Milestones!$AA$169)&gt;=$R152),$U152,$T152)))=Milestones!$AB$169),TEXT(EDATE($D152,Milestones!$AA$169),"dd/mm/yy")&amp;" "&amp;Milestones!$AB$169&amp;" "&amp;Milestones!$AC$169&amp;";  ","")&amp;IF(AND(EDATE($D152,Milestones!$AA$170)&lt;=AsOfDate,IF($Q152=0,$W152,IF(AND($S152&lt;&gt;"",EDATE($D152,Milestones!$AA$170)&gt;=$S152),$V152,IF(AND($R152&lt;&gt;"",EDATE($D152,Milestones!$AA$170)&gt;=$R152),$U152,$T152)))=Milestones!$AB$170),TEXT(EDATE($D152,Milestones!$AA$170),"dd/mm/yy")&amp;" "&amp;Milestones!$AB$170&amp;" "&amp;Milestones!$AC$170&amp;";  ","")&amp;IF(AND(EDATE($D152,Milestones!$AA$171)&lt;=AsOfDate,IF($Q152=0,$W152,IF(AND($S152&lt;&gt;"",EDATE($D152,Milestones!$AA$171)&gt;=$S152),$V152,IF(AND($R152&lt;&gt;"",EDATE($D152,Milestones!$AA$171)&gt;=$R152),$U152,$T152)))=Milestones!$AB$171),TEXT(EDATE($D152,Milestones!$AA$171),"dd/mm/yy")&amp;" "&amp;Milestones!$AB$171&amp;" "&amp;Milestones!$AC$171&amp;";  ","")&amp;IF(AND(EDATE($D152,Milestones!$AA$172)&lt;=AsOfDate,IF($Q152=0,$W152,IF(AND($S152&lt;&gt;"",EDATE($D152,Milestones!$AA$172)&gt;=$S152),$V152,IF(AND($R152&lt;&gt;"",EDATE($D152,Milestones!$AA$172)&gt;=$R152),$U152,$T152)))=Milestones!$AB$172),TEXT(EDATE($D152,Milestones!$AA$172),"dd/mm/yy")&amp;" "&amp;Milestones!$AB$172&amp;" "&amp;Milestones!$AC$172&amp;";  ","")&amp;IF(AND(EDATE($D152,Milestones!$AA$173)&lt;=AsOfDate,IF($Q152=0,$W152,IF(AND($S152&lt;&gt;"",EDATE($D152,Milestones!$AA$173)&gt;=$S152),$V152,IF(AND($R152&lt;&gt;"",EDATE($D152,Milestones!$AA$173)&gt;=$R152),$U152,$T152)))=Milestones!$AB$173),TEXT(EDATE($D152,Milestones!$AA$173),"dd/mm/yy")&amp;" "&amp;Milestones!$AB$173&amp;" "&amp;Milestones!$AC$173&amp;";  ","")&amp;IF(AND(EDATE($D152,Milestones!$AA$174)&lt;=AsOfDate,IF($Q152=0,$W152,IF(AND($S152&lt;&gt;"",EDATE($D152,Milestones!$AA$174)&gt;=$S152),$V152,IF(AND($R152&lt;&gt;"",EDATE($D152,Milestones!$AA$174)&gt;=$R152),$U152,$T152)))=Milestones!$AB$174),TEXT(EDATE($D152,Milestones!$AA$174),"dd/mm/yy")&amp;" "&amp;Milestones!$AB$174&amp;" "&amp;Milestones!$AC$174&amp;";  ","")&amp;IF(AND(EDATE($D152,Milestones!$AA$175)&lt;=AsOfDate,IF($Q152=0,$W152,IF(AND($S152&lt;&gt;"",EDATE($D152,Milestones!$AA$175)&gt;=$S152),$V152,IF(AND($R152&lt;&gt;"",EDATE($D152,Milestones!$AA$175)&gt;=$R152),$U152,$T152)))=Milestones!$AB$175),TEXT(EDATE($D152,Milestones!$AA$175),"dd/mm/yy")&amp;" "&amp;Milestones!$AB$175&amp;" "&amp;Milestones!$AC$175&amp;";  ","")&amp;IF(AND(EDATE($D152,Milestones!$AA$176)&lt;=AsOfDate,IF($Q152=0,$W152,IF(AND($S152&lt;&gt;"",EDATE($D152,Milestones!$AA$176)&gt;=$S152),$V152,IF(AND($R152&lt;&gt;"",EDATE($D152,Milestones!$AA$176)&gt;=$R152),$U152,$T152)))=Milestones!$AB$176),TEXT(EDATE($D152,Milestones!$AA$176),"dd/mm/yy")&amp;" "&amp;Milestones!$AB$176&amp;" "&amp;Milestones!$AC$176&amp;";  ","")&amp;IF(AND(EDATE($D152,Milestones!$AA$177)&lt;=AsOfDate,IF($Q152=0,$W152,IF(AND($S152&lt;&gt;"",EDATE($D152,Milestones!$AA$177)&gt;=$S152),$V152,IF(AND($R152&lt;&gt;"",EDATE($D152,Milestones!$AA$177)&gt;=$R152),$U152,$T152)))=Milestones!$AB$177),TEXT(EDATE($D152,Milestones!$AA$177),"dd/mm/yy")&amp;" "&amp;Milestones!$AB$177&amp;" "&amp;Milestones!$AC$177&amp;";  ","")&amp;IF(AND(EDATE($D152,Milestones!$AA$178)&lt;=AsOfDate,IF($Q152=0,$W152,IF(AND($S152&lt;&gt;"",EDATE($D152,Milestones!$AA$178)&gt;=$S152),$V152,IF(AND($R152&lt;&gt;"",EDATE($D152,Milestones!$AA$178)&gt;=$R152),$U152,$T152)))=Milestones!$AB$178),TEXT(EDATE($D152,Milestones!$AA$178),"dd/mm/yy")&amp;" "&amp;Milestones!$AB$178&amp;" "&amp;Milestones!$AC$178&amp;";  ","")&amp;IF(AND(EDATE($D152,Milestones!$AA$179)&lt;=AsOfDate,IF($Q152=0,$W152,IF(AND($S152&lt;&gt;"",EDATE($D152,Milestones!$AA$179)&gt;=$S152),$V152,IF(AND($R152&lt;&gt;"",EDATE($D152,Milestones!$AA$179)&gt;=$R152),$U152,$T152)))=Milestones!$AB$179),TEXT(EDATE($D152,Milestones!$AA$179),"dd/mm/yy")&amp;" "&amp;Milestones!$AB$179&amp;" "&amp;Milestones!$AC$179&amp;";  ",""))</f>
        <v/>
      </c>
      <c r="P152" s="0" t="str">
        <f aca="false">IF(OR($A152="",$D152=""),"",IF(AND(EDATE($D152,Milestones!$AA$180)&lt;=AsOfDate,IF($Q152=0,$W152,IF(AND($S152&lt;&gt;"",EDATE($D152,Milestones!$AA$180)&gt;=$S152),$V152,IF(AND($R152&lt;&gt;"",EDATE($D152,Milestones!$AA$180)&gt;=$R152),$U152,$T152)))=Milestones!$AB$180),TEXT(EDATE($D152,Milestones!$AA$180),"dd/mm/yy")&amp;" "&amp;Milestones!$AB$180&amp;" "&amp;Milestones!$AC$180&amp;";  ","")&amp;IF(AND(EDATE($D152,Milestones!$AA$181)&lt;=AsOfDate,IF($Q152=0,$W152,IF(AND($S152&lt;&gt;"",EDATE($D152,Milestones!$AA$181)&gt;=$S152),$V152,IF(AND($R152&lt;&gt;"",EDATE($D152,Milestones!$AA$181)&gt;=$R152),$U152,$T152)))=Milestones!$AB$181),TEXT(EDATE($D152,Milestones!$AA$181),"dd/mm/yy")&amp;" "&amp;Milestones!$AB$181&amp;" "&amp;Milestones!$AC$181&amp;";  ","")&amp;IF(AND(EDATE($D152,Milestones!$AA$182)&lt;=AsOfDate,IF($Q152=0,$W152,IF(AND($S152&lt;&gt;"",EDATE($D152,Milestones!$AA$182)&gt;=$S152),$V152,IF(AND($R152&lt;&gt;"",EDATE($D152,Milestones!$AA$182)&gt;=$R152),$U152,$T152)))=Milestones!$AB$182),TEXT(EDATE($D152,Milestones!$AA$182),"dd/mm/yy")&amp;" "&amp;Milestones!$AB$182&amp;" "&amp;Milestones!$AC$182&amp;";  ","")&amp;IF(AND(EDATE($D152,Milestones!$AA$183)&lt;=AsOfDate,IF($Q152=0,$W152,IF(AND($S152&lt;&gt;"",EDATE($D152,Milestones!$AA$183)&gt;=$S152),$V152,IF(AND($R152&lt;&gt;"",EDATE($D152,Milestones!$AA$183)&gt;=$R152),$U152,$T152)))=Milestones!$AB$183),TEXT(EDATE($D152,Milestones!$AA$183),"dd/mm/yy")&amp;" "&amp;Milestones!$AB$183&amp;" "&amp;Milestones!$AC$183&amp;";  ","")&amp;IF(AND(EDATE($D152,Milestones!$AA$184)&lt;=AsOfDate,IF($Q152=0,$W152,IF(AND($S152&lt;&gt;"",EDATE($D152,Milestones!$AA$184)&gt;=$S152),$V152,IF(AND($R152&lt;&gt;"",EDATE($D152,Milestones!$AA$184)&gt;=$R152),$U152,$T152)))=Milestones!$AB$184),TEXT(EDATE($D152,Milestones!$AA$184),"dd/mm/yy")&amp;" "&amp;Milestones!$AB$184&amp;" "&amp;Milestones!$AC$184&amp;";  ","")&amp;IF(AND(EDATE($D152,Milestones!$AA$185)&lt;=AsOfDate,IF($Q152=0,$W152,IF(AND($S152&lt;&gt;"",EDATE($D152,Milestones!$AA$185)&gt;=$S152),$V152,IF(AND($R152&lt;&gt;"",EDATE($D152,Milestones!$AA$185)&gt;=$R152),$U152,$T152)))=Milestones!$AB$185),TEXT(EDATE($D152,Milestones!$AA$185),"dd/mm/yy")&amp;" "&amp;Milestones!$AB$185&amp;" "&amp;Milestones!$AC$185&amp;";  ","")&amp;IF(AND(EDATE($D152,Milestones!$AA$186)&lt;=AsOfDate,IF($Q152=0,$W152,IF(AND($S152&lt;&gt;"",EDATE($D152,Milestones!$AA$186)&gt;=$S152),$V152,IF(AND($R152&lt;&gt;"",EDATE($D152,Milestones!$AA$186)&gt;=$R152),$U152,$T152)))=Milestones!$AB$186),TEXT(EDATE($D152,Milestones!$AA$186),"dd/mm/yy")&amp;" "&amp;Milestones!$AB$186&amp;" "&amp;Milestones!$AC$186&amp;";  ","")&amp;IF(AND(EDATE($D152,Milestones!$AA$187)&lt;=AsOfDate,IF($Q152=0,$W152,IF(AND($S152&lt;&gt;"",EDATE($D152,Milestones!$AA$187)&gt;=$S152),$V152,IF(AND($R152&lt;&gt;"",EDATE($D152,Milestones!$AA$187)&gt;=$R152),$U152,$T152)))=Milestones!$AB$187),TEXT(EDATE($D152,Milestones!$AA$187),"dd/mm/yy")&amp;" "&amp;Milestones!$AB$187&amp;" "&amp;Milestones!$AC$187&amp;";  ","")&amp;IF(AND(EDATE($D152,Milestones!$AA$188)&lt;=AsOfDate,IF($Q152=0,$W152,IF(AND($S152&lt;&gt;"",EDATE($D152,Milestones!$AA$188)&gt;=$S152),$V152,IF(AND($R152&lt;&gt;"",EDATE($D152,Milestones!$AA$188)&gt;=$R152),$U152,$T152)))=Milestones!$AB$188),TEXT(EDATE($D152,Milestones!$AA$188),"dd/mm/yy")&amp;" "&amp;Milestones!$AB$188&amp;" "&amp;Milestones!$AC$188&amp;";  ","")&amp;IF(AND(EDATE($D152,Milestones!$AA$189)&lt;=AsOfDate,IF($Q152=0,$W152,IF(AND($S152&lt;&gt;"",EDATE($D152,Milestones!$AA$189)&gt;=$S152),$V152,IF(AND($R152&lt;&gt;"",EDATE($D152,Milestones!$AA$189)&gt;=$R152),$U152,$T152)))=Milestones!$AB$189),TEXT(EDATE($D152,Milestones!$AA$189),"dd/mm/yy")&amp;" "&amp;Milestones!$AB$189&amp;" "&amp;Milestones!$AC$189&amp;";  ","")&amp;IF(AND(EDATE($D152,Milestones!$AA$190)&lt;=AsOfDate,IF($Q152=0,$W152,IF(AND($S152&lt;&gt;"",EDATE($D152,Milestones!$AA$190)&gt;=$S152),$V152,IF(AND($R152&lt;&gt;"",EDATE($D152,Milestones!$AA$190)&gt;=$R152),$U152,$T152)))=Milestones!$AB$190),TEXT(EDATE($D152,Milestones!$AA$190),"dd/mm/yy")&amp;" "&amp;Milestones!$AB$190&amp;" "&amp;Milestones!$AC$190&amp;";  ","")&amp;IF(AND(EDATE($D152,Milestones!$AA$191)&lt;=AsOfDate,IF($Q152=0,$W152,IF(AND($S152&lt;&gt;"",EDATE($D152,Milestones!$AA$191)&gt;=$S152),$V152,IF(AND($R152&lt;&gt;"",EDATE($D152,Milestones!$AA$191)&gt;=$R152),$U152,$T152)))=Milestones!$AB$191),TEXT(EDATE($D152,Milestones!$AA$191),"dd/mm/yy")&amp;" "&amp;Milestones!$AB$191&amp;" "&amp;Milestones!$AC$191&amp;";  ","")&amp;IF(AND(EDATE($D152,Milestones!$AA$192)&lt;=AsOfDate,IF($Q152=0,$W152,IF(AND($S152&lt;&gt;"",EDATE($D152,Milestones!$AA$192)&gt;=$S152),$V152,IF(AND($R152&lt;&gt;"",EDATE($D152,Milestones!$AA$192)&gt;=$R152),$U152,$T152)))=Milestones!$AB$192),TEXT(EDATE($D152,Milestones!$AA$192),"dd/mm/yy")&amp;" "&amp;Milestones!$AB$192&amp;" "&amp;Milestones!$AC$192&amp;";  ","")&amp;IF(AND(EDATE($D152,Milestones!$AA$193)&lt;=AsOfDate,IF($Q152=0,$W152,IF(AND($S152&lt;&gt;"",EDATE($D152,Milestones!$AA$193)&gt;=$S152),$V152,IF(AND($R152&lt;&gt;"",EDATE($D152,Milestones!$AA$193)&gt;=$R152),$U152,$T152)))=Milestones!$AB$193),TEXT(EDATE($D152,Milestones!$AA$193),"dd/mm/yy")&amp;" "&amp;Milestones!$AB$193&amp;" "&amp;Milestones!$AC$193&amp;";  ","")&amp;IF(AND(EDATE($D152,Milestones!$AA$194)&lt;=AsOfDate,IF($Q152=0,$W152,IF(AND($S152&lt;&gt;"",EDATE($D152,Milestones!$AA$194)&gt;=$S152),$V152,IF(AND($R152&lt;&gt;"",EDATE($D152,Milestones!$AA$194)&gt;=$R152),$U152,$T152)))=Milestones!$AB$194),TEXT(EDATE($D152,Milestones!$AA$194),"dd/mm/yy")&amp;" "&amp;Milestones!$AB$194&amp;" "&amp;Milestones!$AC$194&amp;";  ","")&amp;IF(AND(EDATE($D152,Milestones!$AA$195)&lt;=AsOfDate,IF($Q152=0,$W152,IF(AND($S152&lt;&gt;"",EDATE($D152,Milestones!$AA$195)&gt;=$S152),$V152,IF(AND($R152&lt;&gt;"",EDATE($D152,Milestones!$AA$195)&gt;=$R152),$U152,$T152)))=Milestones!$AB$195),TEXT(EDATE($D152,Milestones!$AA$195),"dd/mm/yy")&amp;" "&amp;Milestones!$AB$195&amp;" "&amp;Milestones!$AC$195&amp;";  ","")&amp;IF(AND(EDATE($D152,Milestones!$AA$196)&lt;=AsOfDate,IF($Q152=0,$W152,IF(AND($S152&lt;&gt;"",EDATE($D152,Milestones!$AA$196)&gt;=$S152),$V152,IF(AND($R152&lt;&gt;"",EDATE($D152,Milestones!$AA$196)&gt;=$R152),$U152,$T152)))=Milestones!$AB$196),TEXT(EDATE($D152,Milestones!$AA$196),"dd/mm/yy")&amp;" "&amp;Milestones!$AB$196&amp;" "&amp;Milestones!$AC$196&amp;";  ","")&amp;IF(AND(EDATE($D152,Milestones!$AA$197)&lt;=AsOfDate,IF($Q152=0,$W152,IF(AND($S152&lt;&gt;"",EDATE($D152,Milestones!$AA$197)&gt;=$S152),$V152,IF(AND($R152&lt;&gt;"",EDATE($D152,Milestones!$AA$197)&gt;=$R152),$U152,$T152)))=Milestones!$AB$197),TEXT(EDATE($D152,Milestones!$AA$197),"dd/mm/yy")&amp;" "&amp;Milestones!$AB$197&amp;" "&amp;Milestones!$AC$197&amp;";  ","")&amp;IF(AND(EDATE($D152,Milestones!$AA$198)&lt;=AsOfDate,IF($Q152=0,$W152,IF(AND($S152&lt;&gt;"",EDATE($D152,Milestones!$AA$198)&gt;=$S152),$V152,IF(AND($R152&lt;&gt;"",EDATE($D152,Milestones!$AA$198)&gt;=$R152),$U152,$T152)))=Milestones!$AB$198),TEXT(EDATE($D152,Milestones!$AA$198),"dd/mm/yy")&amp;" "&amp;Milestones!$AB$198&amp;" "&amp;Milestones!$AC$198&amp;";  ","")&amp;IF(AND(EDATE($D152,Milestones!$AA$199)&lt;=AsOfDate,IF($Q152=0,$W152,IF(AND($S152&lt;&gt;"",EDATE($D152,Milestones!$AA$199)&gt;=$S152),$V152,IF(AND($R152&lt;&gt;"",EDATE($D152,Milestones!$AA$199)&gt;=$R152),$U152,$T152)))=Milestones!$AB$199),TEXT(EDATE($D152,Milestones!$AA$199),"dd/mm/yy")&amp;" "&amp;Milestones!$AB$199&amp;" "&amp;Milestones!$AC$199&amp;";  ",""))</f>
        <v/>
      </c>
      <c r="Q152" s="0" t="str">
        <f aca="false">IF(Staff!$A152="","",Staff!$AG152)</f>
        <v/>
      </c>
      <c r="R152" s="0" t="str">
        <f aca="false">IF(Staff!$A152="","",Staff!$AI152)</f>
        <v/>
      </c>
      <c r="S152" s="0" t="str">
        <f aca="false">IF(Staff!$A152="","",Staff!$AJ152)</f>
        <v/>
      </c>
      <c r="T152" s="0" t="str">
        <f aca="false">IF(Staff!$A152="","",Staff!$AN152)</f>
        <v/>
      </c>
      <c r="U152" s="0" t="str">
        <f aca="false">IF(Staff!$A152="","",Staff!$AO152)</f>
        <v/>
      </c>
      <c r="V152" s="0" t="str">
        <f aca="false">IF(Staff!$A152="","",Staff!$AP152)</f>
        <v/>
      </c>
      <c r="W152" s="0" t="str">
        <f aca="false">IF(Staff!$A152="","",Staff!$AQ152)</f>
        <v/>
      </c>
    </row>
    <row r="153" customFormat="false" ht="15" hidden="false" customHeight="false" outlineLevel="0" collapsed="false">
      <c r="A153" s="13" t="str">
        <f aca="false">IF(Staff!$A153="","",Staff!$A153)</f>
        <v/>
      </c>
      <c r="B153" s="13" t="str">
        <f aca="false">IF(Staff!$A153="","",Staff!$B153)</f>
        <v/>
      </c>
      <c r="C153" s="13" t="str">
        <f aca="false">IF(Staff!$A153="","",Staff!$C153)</f>
        <v/>
      </c>
      <c r="D153" s="11" t="str">
        <f aca="false">IF(Staff!$A153="","",Staff!$AF153)</f>
        <v/>
      </c>
      <c r="E153" s="13" t="str">
        <f aca="false">IF(Staff!$A153="","",Staff!$O153)</f>
        <v/>
      </c>
      <c r="F153" s="13" t="str">
        <f aca="false">IF(E153="","",E153*HoursPerDay)</f>
        <v/>
      </c>
      <c r="G153" s="26" t="str">
        <f aca="false">IF($A153="","",H153&amp;I153&amp;J153&amp;K153&amp;L153&amp;M153&amp;N153&amp;O153&amp;P153)</f>
        <v/>
      </c>
      <c r="H153" s="0" t="str">
        <f aca="false">IF(OR($A153="",$D153=""),"",IF(AND(EDATE($D153,Milestones!$AA$20)&lt;=AsOfDate,IF($Q153=0,$W153,IF(AND($S153&lt;&gt;"",EDATE($D153,Milestones!$AA$20)&gt;=$S153),$V153,IF(AND($R153&lt;&gt;"",EDATE($D153,Milestones!$AA$20)&gt;=$R153),$U153,$T153)))=Milestones!$AB$20),TEXT(EDATE($D153,Milestones!$AA$20),"dd/mm/yy")&amp;" "&amp;Milestones!$AB$20&amp;" "&amp;Milestones!$AC$20&amp;";  ","")&amp;IF(AND(EDATE($D153,Milestones!$AA$21)&lt;=AsOfDate,IF($Q153=0,$W153,IF(AND($S153&lt;&gt;"",EDATE($D153,Milestones!$AA$21)&gt;=$S153),$V153,IF(AND($R153&lt;&gt;"",EDATE($D153,Milestones!$AA$21)&gt;=$R153),$U153,$T153)))=Milestones!$AB$21),TEXT(EDATE($D153,Milestones!$AA$21),"dd/mm/yy")&amp;" "&amp;Milestones!$AB$21&amp;" "&amp;Milestones!$AC$21&amp;";  ","")&amp;IF(AND(EDATE($D153,Milestones!$AA$22)&lt;=AsOfDate,IF($Q153=0,$W153,IF(AND($S153&lt;&gt;"",EDATE($D153,Milestones!$AA$22)&gt;=$S153),$V153,IF(AND($R153&lt;&gt;"",EDATE($D153,Milestones!$AA$22)&gt;=$R153),$U153,$T153)))=Milestones!$AB$22),TEXT(EDATE($D153,Milestones!$AA$22),"dd/mm/yy")&amp;" "&amp;Milestones!$AB$22&amp;" "&amp;Milestones!$AC$22&amp;";  ","")&amp;IF(AND(EDATE($D153,Milestones!$AA$23)&lt;=AsOfDate,IF($Q153=0,$W153,IF(AND($S153&lt;&gt;"",EDATE($D153,Milestones!$AA$23)&gt;=$S153),$V153,IF(AND($R153&lt;&gt;"",EDATE($D153,Milestones!$AA$23)&gt;=$R153),$U153,$T153)))=Milestones!$AB$23),TEXT(EDATE($D153,Milestones!$AA$23),"dd/mm/yy")&amp;" "&amp;Milestones!$AB$23&amp;" "&amp;Milestones!$AC$23&amp;";  ","")&amp;IF(AND(EDATE($D153,Milestones!$AA$24)&lt;=AsOfDate,IF($Q153=0,$W153,IF(AND($S153&lt;&gt;"",EDATE($D153,Milestones!$AA$24)&gt;=$S153),$V153,IF(AND($R153&lt;&gt;"",EDATE($D153,Milestones!$AA$24)&gt;=$R153),$U153,$T153)))=Milestones!$AB$24),TEXT(EDATE($D153,Milestones!$AA$24),"dd/mm/yy")&amp;" "&amp;Milestones!$AB$24&amp;" "&amp;Milestones!$AC$24&amp;";  ","")&amp;IF(AND(EDATE($D153,Milestones!$AA$25)&lt;=AsOfDate,IF($Q153=0,$W153,IF(AND($S153&lt;&gt;"",EDATE($D153,Milestones!$AA$25)&gt;=$S153),$V153,IF(AND($R153&lt;&gt;"",EDATE($D153,Milestones!$AA$25)&gt;=$R153),$U153,$T153)))=Milestones!$AB$25),TEXT(EDATE($D153,Milestones!$AA$25),"dd/mm/yy")&amp;" "&amp;Milestones!$AB$25&amp;" "&amp;Milestones!$AC$25&amp;";  ","")&amp;IF(AND(EDATE($D153,Milestones!$AA$26)&lt;=AsOfDate,IF($Q153=0,$W153,IF(AND($S153&lt;&gt;"",EDATE($D153,Milestones!$AA$26)&gt;=$S153),$V153,IF(AND($R153&lt;&gt;"",EDATE($D153,Milestones!$AA$26)&gt;=$R153),$U153,$T153)))=Milestones!$AB$26),TEXT(EDATE($D153,Milestones!$AA$26),"dd/mm/yy")&amp;" "&amp;Milestones!$AB$26&amp;" "&amp;Milestones!$AC$26&amp;";  ","")&amp;IF(AND(EDATE($D153,Milestones!$AA$27)&lt;=AsOfDate,IF($Q153=0,$W153,IF(AND($S153&lt;&gt;"",EDATE($D153,Milestones!$AA$27)&gt;=$S153),$V153,IF(AND($R153&lt;&gt;"",EDATE($D153,Milestones!$AA$27)&gt;=$R153),$U153,$T153)))=Milestones!$AB$27),TEXT(EDATE($D153,Milestones!$AA$27),"dd/mm/yy")&amp;" "&amp;Milestones!$AB$27&amp;" "&amp;Milestones!$AC$27&amp;";  ","")&amp;IF(AND(EDATE($D153,Milestones!$AA$28)&lt;=AsOfDate,IF($Q153=0,$W153,IF(AND($S153&lt;&gt;"",EDATE($D153,Milestones!$AA$28)&gt;=$S153),$V153,IF(AND($R153&lt;&gt;"",EDATE($D153,Milestones!$AA$28)&gt;=$R153),$U153,$T153)))=Milestones!$AB$28),TEXT(EDATE($D153,Milestones!$AA$28),"dd/mm/yy")&amp;" "&amp;Milestones!$AB$28&amp;" "&amp;Milestones!$AC$28&amp;";  ","")&amp;IF(AND(EDATE($D153,Milestones!$AA$29)&lt;=AsOfDate,IF($Q153=0,$W153,IF(AND($S153&lt;&gt;"",EDATE($D153,Milestones!$AA$29)&gt;=$S153),$V153,IF(AND($R153&lt;&gt;"",EDATE($D153,Milestones!$AA$29)&gt;=$R153),$U153,$T153)))=Milestones!$AB$29),TEXT(EDATE($D153,Milestones!$AA$29),"dd/mm/yy")&amp;" "&amp;Milestones!$AB$29&amp;" "&amp;Milestones!$AC$29&amp;";  ","")&amp;IF(AND(EDATE($D153,Milestones!$AA$30)&lt;=AsOfDate,IF($Q153=0,$W153,IF(AND($S153&lt;&gt;"",EDATE($D153,Milestones!$AA$30)&gt;=$S153),$V153,IF(AND($R153&lt;&gt;"",EDATE($D153,Milestones!$AA$30)&gt;=$R153),$U153,$T153)))=Milestones!$AB$30),TEXT(EDATE($D153,Milestones!$AA$30),"dd/mm/yy")&amp;" "&amp;Milestones!$AB$30&amp;" "&amp;Milestones!$AC$30&amp;";  ","")&amp;IF(AND(EDATE($D153,Milestones!$AA$31)&lt;=AsOfDate,IF($Q153=0,$W153,IF(AND($S153&lt;&gt;"",EDATE($D153,Milestones!$AA$31)&gt;=$S153),$V153,IF(AND($R153&lt;&gt;"",EDATE($D153,Milestones!$AA$31)&gt;=$R153),$U153,$T153)))=Milestones!$AB$31),TEXT(EDATE($D153,Milestones!$AA$31),"dd/mm/yy")&amp;" "&amp;Milestones!$AB$31&amp;" "&amp;Milestones!$AC$31&amp;";  ","")&amp;IF(AND(EDATE($D153,Milestones!$AA$32)&lt;=AsOfDate,IF($Q153=0,$W153,IF(AND($S153&lt;&gt;"",EDATE($D153,Milestones!$AA$32)&gt;=$S153),$V153,IF(AND($R153&lt;&gt;"",EDATE($D153,Milestones!$AA$32)&gt;=$R153),$U153,$T153)))=Milestones!$AB$32),TEXT(EDATE($D153,Milestones!$AA$32),"dd/mm/yy")&amp;" "&amp;Milestones!$AB$32&amp;" "&amp;Milestones!$AC$32&amp;";  ","")&amp;IF(AND(EDATE($D153,Milestones!$AA$33)&lt;=AsOfDate,IF($Q153=0,$W153,IF(AND($S153&lt;&gt;"",EDATE($D153,Milestones!$AA$33)&gt;=$S153),$V153,IF(AND($R153&lt;&gt;"",EDATE($D153,Milestones!$AA$33)&gt;=$R153),$U153,$T153)))=Milestones!$AB$33),TEXT(EDATE($D153,Milestones!$AA$33),"dd/mm/yy")&amp;" "&amp;Milestones!$AB$33&amp;" "&amp;Milestones!$AC$33&amp;";  ","")&amp;IF(AND(EDATE($D153,Milestones!$AA$34)&lt;=AsOfDate,IF($Q153=0,$W153,IF(AND($S153&lt;&gt;"",EDATE($D153,Milestones!$AA$34)&gt;=$S153),$V153,IF(AND($R153&lt;&gt;"",EDATE($D153,Milestones!$AA$34)&gt;=$R153),$U153,$T153)))=Milestones!$AB$34),TEXT(EDATE($D153,Milestones!$AA$34),"dd/mm/yy")&amp;" "&amp;Milestones!$AB$34&amp;" "&amp;Milestones!$AC$34&amp;";  ","")&amp;IF(AND(EDATE($D153,Milestones!$AA$35)&lt;=AsOfDate,IF($Q153=0,$W153,IF(AND($S153&lt;&gt;"",EDATE($D153,Milestones!$AA$35)&gt;=$S153),$V153,IF(AND($R153&lt;&gt;"",EDATE($D153,Milestones!$AA$35)&gt;=$R153),$U153,$T153)))=Milestones!$AB$35),TEXT(EDATE($D153,Milestones!$AA$35),"dd/mm/yy")&amp;" "&amp;Milestones!$AB$35&amp;" "&amp;Milestones!$AC$35&amp;";  ","")&amp;IF(AND(EDATE($D153,Milestones!$AA$36)&lt;=AsOfDate,IF($Q153=0,$W153,IF(AND($S153&lt;&gt;"",EDATE($D153,Milestones!$AA$36)&gt;=$S153),$V153,IF(AND($R153&lt;&gt;"",EDATE($D153,Milestones!$AA$36)&gt;=$R153),$U153,$T153)))=Milestones!$AB$36),TEXT(EDATE($D153,Milestones!$AA$36),"dd/mm/yy")&amp;" "&amp;Milestones!$AB$36&amp;" "&amp;Milestones!$AC$36&amp;";  ","")&amp;IF(AND(EDATE($D153,Milestones!$AA$37)&lt;=AsOfDate,IF($Q153=0,$W153,IF(AND($S153&lt;&gt;"",EDATE($D153,Milestones!$AA$37)&gt;=$S153),$V153,IF(AND($R153&lt;&gt;"",EDATE($D153,Milestones!$AA$37)&gt;=$R153),$U153,$T153)))=Milestones!$AB$37),TEXT(EDATE($D153,Milestones!$AA$37),"dd/mm/yy")&amp;" "&amp;Milestones!$AB$37&amp;" "&amp;Milestones!$AC$37&amp;";  ","")&amp;IF(AND(EDATE($D153,Milestones!$AA$38)&lt;=AsOfDate,IF($Q153=0,$W153,IF(AND($S153&lt;&gt;"",EDATE($D153,Milestones!$AA$38)&gt;=$S153),$V153,IF(AND($R153&lt;&gt;"",EDATE($D153,Milestones!$AA$38)&gt;=$R153),$U153,$T153)))=Milestones!$AB$38),TEXT(EDATE($D153,Milestones!$AA$38),"dd/mm/yy")&amp;" "&amp;Milestones!$AB$38&amp;" "&amp;Milestones!$AC$38&amp;";  ","")&amp;IF(AND(EDATE($D153,Milestones!$AA$39)&lt;=AsOfDate,IF($Q153=0,$W153,IF(AND($S153&lt;&gt;"",EDATE($D153,Milestones!$AA$39)&gt;=$S153),$V153,IF(AND($R153&lt;&gt;"",EDATE($D153,Milestones!$AA$39)&gt;=$R153),$U153,$T153)))=Milestones!$AB$39),TEXT(EDATE($D153,Milestones!$AA$39),"dd/mm/yy")&amp;" "&amp;Milestones!$AB$39&amp;" "&amp;Milestones!$AC$39&amp;";  ",""))</f>
        <v/>
      </c>
      <c r="I153" s="0" t="str">
        <f aca="false">IF(OR($A153="",$D153=""),"",IF(AND(EDATE($D153,Milestones!$AA$40)&lt;=AsOfDate,IF($Q153=0,$W153,IF(AND($S153&lt;&gt;"",EDATE($D153,Milestones!$AA$40)&gt;=$S153),$V153,IF(AND($R153&lt;&gt;"",EDATE($D153,Milestones!$AA$40)&gt;=$R153),$U153,$T153)))=Milestones!$AB$40),TEXT(EDATE($D153,Milestones!$AA$40),"dd/mm/yy")&amp;" "&amp;Milestones!$AB$40&amp;" "&amp;Milestones!$AC$40&amp;";  ","")&amp;IF(AND(EDATE($D153,Milestones!$AA$41)&lt;=AsOfDate,IF($Q153=0,$W153,IF(AND($S153&lt;&gt;"",EDATE($D153,Milestones!$AA$41)&gt;=$S153),$V153,IF(AND($R153&lt;&gt;"",EDATE($D153,Milestones!$AA$41)&gt;=$R153),$U153,$T153)))=Milestones!$AB$41),TEXT(EDATE($D153,Milestones!$AA$41),"dd/mm/yy")&amp;" "&amp;Milestones!$AB$41&amp;" "&amp;Milestones!$AC$41&amp;";  ","")&amp;IF(AND(EDATE($D153,Milestones!$AA$42)&lt;=AsOfDate,IF($Q153=0,$W153,IF(AND($S153&lt;&gt;"",EDATE($D153,Milestones!$AA$42)&gt;=$S153),$V153,IF(AND($R153&lt;&gt;"",EDATE($D153,Milestones!$AA$42)&gt;=$R153),$U153,$T153)))=Milestones!$AB$42),TEXT(EDATE($D153,Milestones!$AA$42),"dd/mm/yy")&amp;" "&amp;Milestones!$AB$42&amp;" "&amp;Milestones!$AC$42&amp;";  ","")&amp;IF(AND(EDATE($D153,Milestones!$AA$43)&lt;=AsOfDate,IF($Q153=0,$W153,IF(AND($S153&lt;&gt;"",EDATE($D153,Milestones!$AA$43)&gt;=$S153),$V153,IF(AND($R153&lt;&gt;"",EDATE($D153,Milestones!$AA$43)&gt;=$R153),$U153,$T153)))=Milestones!$AB$43),TEXT(EDATE($D153,Milestones!$AA$43),"dd/mm/yy")&amp;" "&amp;Milestones!$AB$43&amp;" "&amp;Milestones!$AC$43&amp;";  ","")&amp;IF(AND(EDATE($D153,Milestones!$AA$44)&lt;=AsOfDate,IF($Q153=0,$W153,IF(AND($S153&lt;&gt;"",EDATE($D153,Milestones!$AA$44)&gt;=$S153),$V153,IF(AND($R153&lt;&gt;"",EDATE($D153,Milestones!$AA$44)&gt;=$R153),$U153,$T153)))=Milestones!$AB$44),TEXT(EDATE($D153,Milestones!$AA$44),"dd/mm/yy")&amp;" "&amp;Milestones!$AB$44&amp;" "&amp;Milestones!$AC$44&amp;";  ","")&amp;IF(AND(EDATE($D153,Milestones!$AA$45)&lt;=AsOfDate,IF($Q153=0,$W153,IF(AND($S153&lt;&gt;"",EDATE($D153,Milestones!$AA$45)&gt;=$S153),$V153,IF(AND($R153&lt;&gt;"",EDATE($D153,Milestones!$AA$45)&gt;=$R153),$U153,$T153)))=Milestones!$AB$45),TEXT(EDATE($D153,Milestones!$AA$45),"dd/mm/yy")&amp;" "&amp;Milestones!$AB$45&amp;" "&amp;Milestones!$AC$45&amp;";  ","")&amp;IF(AND(EDATE($D153,Milestones!$AA$46)&lt;=AsOfDate,IF($Q153=0,$W153,IF(AND($S153&lt;&gt;"",EDATE($D153,Milestones!$AA$46)&gt;=$S153),$V153,IF(AND($R153&lt;&gt;"",EDATE($D153,Milestones!$AA$46)&gt;=$R153),$U153,$T153)))=Milestones!$AB$46),TEXT(EDATE($D153,Milestones!$AA$46),"dd/mm/yy")&amp;" "&amp;Milestones!$AB$46&amp;" "&amp;Milestones!$AC$46&amp;";  ","")&amp;IF(AND(EDATE($D153,Milestones!$AA$47)&lt;=AsOfDate,IF($Q153=0,$W153,IF(AND($S153&lt;&gt;"",EDATE($D153,Milestones!$AA$47)&gt;=$S153),$V153,IF(AND($R153&lt;&gt;"",EDATE($D153,Milestones!$AA$47)&gt;=$R153),$U153,$T153)))=Milestones!$AB$47),TEXT(EDATE($D153,Milestones!$AA$47),"dd/mm/yy")&amp;" "&amp;Milestones!$AB$47&amp;" "&amp;Milestones!$AC$47&amp;";  ","")&amp;IF(AND(EDATE($D153,Milestones!$AA$48)&lt;=AsOfDate,IF($Q153=0,$W153,IF(AND($S153&lt;&gt;"",EDATE($D153,Milestones!$AA$48)&gt;=$S153),$V153,IF(AND($R153&lt;&gt;"",EDATE($D153,Milestones!$AA$48)&gt;=$R153),$U153,$T153)))=Milestones!$AB$48),TEXT(EDATE($D153,Milestones!$AA$48),"dd/mm/yy")&amp;" "&amp;Milestones!$AB$48&amp;" "&amp;Milestones!$AC$48&amp;";  ","")&amp;IF(AND(EDATE($D153,Milestones!$AA$49)&lt;=AsOfDate,IF($Q153=0,$W153,IF(AND($S153&lt;&gt;"",EDATE($D153,Milestones!$AA$49)&gt;=$S153),$V153,IF(AND($R153&lt;&gt;"",EDATE($D153,Milestones!$AA$49)&gt;=$R153),$U153,$T153)))=Milestones!$AB$49),TEXT(EDATE($D153,Milestones!$AA$49),"dd/mm/yy")&amp;" "&amp;Milestones!$AB$49&amp;" "&amp;Milestones!$AC$49&amp;";  ","")&amp;IF(AND(EDATE($D153,Milestones!$AA$50)&lt;=AsOfDate,IF($Q153=0,$W153,IF(AND($S153&lt;&gt;"",EDATE($D153,Milestones!$AA$50)&gt;=$S153),$V153,IF(AND($R153&lt;&gt;"",EDATE($D153,Milestones!$AA$50)&gt;=$R153),$U153,$T153)))=Milestones!$AB$50),TEXT(EDATE($D153,Milestones!$AA$50),"dd/mm/yy")&amp;" "&amp;Milestones!$AB$50&amp;" "&amp;Milestones!$AC$50&amp;";  ","")&amp;IF(AND(EDATE($D153,Milestones!$AA$51)&lt;=AsOfDate,IF($Q153=0,$W153,IF(AND($S153&lt;&gt;"",EDATE($D153,Milestones!$AA$51)&gt;=$S153),$V153,IF(AND($R153&lt;&gt;"",EDATE($D153,Milestones!$AA$51)&gt;=$R153),$U153,$T153)))=Milestones!$AB$51),TEXT(EDATE($D153,Milestones!$AA$51),"dd/mm/yy")&amp;" "&amp;Milestones!$AB$51&amp;" "&amp;Milestones!$AC$51&amp;";  ","")&amp;IF(AND(EDATE($D153,Milestones!$AA$52)&lt;=AsOfDate,IF($Q153=0,$W153,IF(AND($S153&lt;&gt;"",EDATE($D153,Milestones!$AA$52)&gt;=$S153),$V153,IF(AND($R153&lt;&gt;"",EDATE($D153,Milestones!$AA$52)&gt;=$R153),$U153,$T153)))=Milestones!$AB$52),TEXT(EDATE($D153,Milestones!$AA$52),"dd/mm/yy")&amp;" "&amp;Milestones!$AB$52&amp;" "&amp;Milestones!$AC$52&amp;";  ","")&amp;IF(AND(EDATE($D153,Milestones!$AA$53)&lt;=AsOfDate,IF($Q153=0,$W153,IF(AND($S153&lt;&gt;"",EDATE($D153,Milestones!$AA$53)&gt;=$S153),$V153,IF(AND($R153&lt;&gt;"",EDATE($D153,Milestones!$AA$53)&gt;=$R153),$U153,$T153)))=Milestones!$AB$53),TEXT(EDATE($D153,Milestones!$AA$53),"dd/mm/yy")&amp;" "&amp;Milestones!$AB$53&amp;" "&amp;Milestones!$AC$53&amp;";  ","")&amp;IF(AND(EDATE($D153,Milestones!$AA$54)&lt;=AsOfDate,IF($Q153=0,$W153,IF(AND($S153&lt;&gt;"",EDATE($D153,Milestones!$AA$54)&gt;=$S153),$V153,IF(AND($R153&lt;&gt;"",EDATE($D153,Milestones!$AA$54)&gt;=$R153),$U153,$T153)))=Milestones!$AB$54),TEXT(EDATE($D153,Milestones!$AA$54),"dd/mm/yy")&amp;" "&amp;Milestones!$AB$54&amp;" "&amp;Milestones!$AC$54&amp;";  ","")&amp;IF(AND(EDATE($D153,Milestones!$AA$55)&lt;=AsOfDate,IF($Q153=0,$W153,IF(AND($S153&lt;&gt;"",EDATE($D153,Milestones!$AA$55)&gt;=$S153),$V153,IF(AND($R153&lt;&gt;"",EDATE($D153,Milestones!$AA$55)&gt;=$R153),$U153,$T153)))=Milestones!$AB$55),TEXT(EDATE($D153,Milestones!$AA$55),"dd/mm/yy")&amp;" "&amp;Milestones!$AB$55&amp;" "&amp;Milestones!$AC$55&amp;";  ","")&amp;IF(AND(EDATE($D153,Milestones!$AA$56)&lt;=AsOfDate,IF($Q153=0,$W153,IF(AND($S153&lt;&gt;"",EDATE($D153,Milestones!$AA$56)&gt;=$S153),$V153,IF(AND($R153&lt;&gt;"",EDATE($D153,Milestones!$AA$56)&gt;=$R153),$U153,$T153)))=Milestones!$AB$56),TEXT(EDATE($D153,Milestones!$AA$56),"dd/mm/yy")&amp;" "&amp;Milestones!$AB$56&amp;" "&amp;Milestones!$AC$56&amp;";  ","")&amp;IF(AND(EDATE($D153,Milestones!$AA$57)&lt;=AsOfDate,IF($Q153=0,$W153,IF(AND($S153&lt;&gt;"",EDATE($D153,Milestones!$AA$57)&gt;=$S153),$V153,IF(AND($R153&lt;&gt;"",EDATE($D153,Milestones!$AA$57)&gt;=$R153),$U153,$T153)))=Milestones!$AB$57),TEXT(EDATE($D153,Milestones!$AA$57),"dd/mm/yy")&amp;" "&amp;Milestones!$AB$57&amp;" "&amp;Milestones!$AC$57&amp;";  ","")&amp;IF(AND(EDATE($D153,Milestones!$AA$58)&lt;=AsOfDate,IF($Q153=0,$W153,IF(AND($S153&lt;&gt;"",EDATE($D153,Milestones!$AA$58)&gt;=$S153),$V153,IF(AND($R153&lt;&gt;"",EDATE($D153,Milestones!$AA$58)&gt;=$R153),$U153,$T153)))=Milestones!$AB$58),TEXT(EDATE($D153,Milestones!$AA$58),"dd/mm/yy")&amp;" "&amp;Milestones!$AB$58&amp;" "&amp;Milestones!$AC$58&amp;";  ","")&amp;IF(AND(EDATE($D153,Milestones!$AA$59)&lt;=AsOfDate,IF($Q153=0,$W153,IF(AND($S153&lt;&gt;"",EDATE($D153,Milestones!$AA$59)&gt;=$S153),$V153,IF(AND($R153&lt;&gt;"",EDATE($D153,Milestones!$AA$59)&gt;=$R153),$U153,$T153)))=Milestones!$AB$59),TEXT(EDATE($D153,Milestones!$AA$59),"dd/mm/yy")&amp;" "&amp;Milestones!$AB$59&amp;" "&amp;Milestones!$AC$59&amp;";  ",""))</f>
        <v/>
      </c>
      <c r="J153" s="0" t="str">
        <f aca="false">IF(OR($A153="",$D153=""),"",IF(AND(EDATE($D153,Milestones!$AA$60)&lt;=AsOfDate,IF($Q153=0,$W153,IF(AND($S153&lt;&gt;"",EDATE($D153,Milestones!$AA$60)&gt;=$S153),$V153,IF(AND($R153&lt;&gt;"",EDATE($D153,Milestones!$AA$60)&gt;=$R153),$U153,$T153)))=Milestones!$AB$60),TEXT(EDATE($D153,Milestones!$AA$60),"dd/mm/yy")&amp;" "&amp;Milestones!$AB$60&amp;" "&amp;Milestones!$AC$60&amp;";  ","")&amp;IF(AND(EDATE($D153,Milestones!$AA$61)&lt;=AsOfDate,IF($Q153=0,$W153,IF(AND($S153&lt;&gt;"",EDATE($D153,Milestones!$AA$61)&gt;=$S153),$V153,IF(AND($R153&lt;&gt;"",EDATE($D153,Milestones!$AA$61)&gt;=$R153),$U153,$T153)))=Milestones!$AB$61),TEXT(EDATE($D153,Milestones!$AA$61),"dd/mm/yy")&amp;" "&amp;Milestones!$AB$61&amp;" "&amp;Milestones!$AC$61&amp;";  ","")&amp;IF(AND(EDATE($D153,Milestones!$AA$62)&lt;=AsOfDate,IF($Q153=0,$W153,IF(AND($S153&lt;&gt;"",EDATE($D153,Milestones!$AA$62)&gt;=$S153),$V153,IF(AND($R153&lt;&gt;"",EDATE($D153,Milestones!$AA$62)&gt;=$R153),$U153,$T153)))=Milestones!$AB$62),TEXT(EDATE($D153,Milestones!$AA$62),"dd/mm/yy")&amp;" "&amp;Milestones!$AB$62&amp;" "&amp;Milestones!$AC$62&amp;";  ","")&amp;IF(AND(EDATE($D153,Milestones!$AA$63)&lt;=AsOfDate,IF($Q153=0,$W153,IF(AND($S153&lt;&gt;"",EDATE($D153,Milestones!$AA$63)&gt;=$S153),$V153,IF(AND($R153&lt;&gt;"",EDATE($D153,Milestones!$AA$63)&gt;=$R153),$U153,$T153)))=Milestones!$AB$63),TEXT(EDATE($D153,Milestones!$AA$63),"dd/mm/yy")&amp;" "&amp;Milestones!$AB$63&amp;" "&amp;Milestones!$AC$63&amp;";  ","")&amp;IF(AND(EDATE($D153,Milestones!$AA$64)&lt;=AsOfDate,IF($Q153=0,$W153,IF(AND($S153&lt;&gt;"",EDATE($D153,Milestones!$AA$64)&gt;=$S153),$V153,IF(AND($R153&lt;&gt;"",EDATE($D153,Milestones!$AA$64)&gt;=$R153),$U153,$T153)))=Milestones!$AB$64),TEXT(EDATE($D153,Milestones!$AA$64),"dd/mm/yy")&amp;" "&amp;Milestones!$AB$64&amp;" "&amp;Milestones!$AC$64&amp;";  ","")&amp;IF(AND(EDATE($D153,Milestones!$AA$65)&lt;=AsOfDate,IF($Q153=0,$W153,IF(AND($S153&lt;&gt;"",EDATE($D153,Milestones!$AA$65)&gt;=$S153),$V153,IF(AND($R153&lt;&gt;"",EDATE($D153,Milestones!$AA$65)&gt;=$R153),$U153,$T153)))=Milestones!$AB$65),TEXT(EDATE($D153,Milestones!$AA$65),"dd/mm/yy")&amp;" "&amp;Milestones!$AB$65&amp;" "&amp;Milestones!$AC$65&amp;";  ","")&amp;IF(AND(EDATE($D153,Milestones!$AA$66)&lt;=AsOfDate,IF($Q153=0,$W153,IF(AND($S153&lt;&gt;"",EDATE($D153,Milestones!$AA$66)&gt;=$S153),$V153,IF(AND($R153&lt;&gt;"",EDATE($D153,Milestones!$AA$66)&gt;=$R153),$U153,$T153)))=Milestones!$AB$66),TEXT(EDATE($D153,Milestones!$AA$66),"dd/mm/yy")&amp;" "&amp;Milestones!$AB$66&amp;" "&amp;Milestones!$AC$66&amp;";  ","")&amp;IF(AND(EDATE($D153,Milestones!$AA$67)&lt;=AsOfDate,IF($Q153=0,$W153,IF(AND($S153&lt;&gt;"",EDATE($D153,Milestones!$AA$67)&gt;=$S153),$V153,IF(AND($R153&lt;&gt;"",EDATE($D153,Milestones!$AA$67)&gt;=$R153),$U153,$T153)))=Milestones!$AB$67),TEXT(EDATE($D153,Milestones!$AA$67),"dd/mm/yy")&amp;" "&amp;Milestones!$AB$67&amp;" "&amp;Milestones!$AC$67&amp;";  ","")&amp;IF(AND(EDATE($D153,Milestones!$AA$68)&lt;=AsOfDate,IF($Q153=0,$W153,IF(AND($S153&lt;&gt;"",EDATE($D153,Milestones!$AA$68)&gt;=$S153),$V153,IF(AND($R153&lt;&gt;"",EDATE($D153,Milestones!$AA$68)&gt;=$R153),$U153,$T153)))=Milestones!$AB$68),TEXT(EDATE($D153,Milestones!$AA$68),"dd/mm/yy")&amp;" "&amp;Milestones!$AB$68&amp;" "&amp;Milestones!$AC$68&amp;";  ","")&amp;IF(AND(EDATE($D153,Milestones!$AA$69)&lt;=AsOfDate,IF($Q153=0,$W153,IF(AND($S153&lt;&gt;"",EDATE($D153,Milestones!$AA$69)&gt;=$S153),$V153,IF(AND($R153&lt;&gt;"",EDATE($D153,Milestones!$AA$69)&gt;=$R153),$U153,$T153)))=Milestones!$AB$69),TEXT(EDATE($D153,Milestones!$AA$69),"dd/mm/yy")&amp;" "&amp;Milestones!$AB$69&amp;" "&amp;Milestones!$AC$69&amp;";  ","")&amp;IF(AND(EDATE($D153,Milestones!$AA$70)&lt;=AsOfDate,IF($Q153=0,$W153,IF(AND($S153&lt;&gt;"",EDATE($D153,Milestones!$AA$70)&gt;=$S153),$V153,IF(AND($R153&lt;&gt;"",EDATE($D153,Milestones!$AA$70)&gt;=$R153),$U153,$T153)))=Milestones!$AB$70),TEXT(EDATE($D153,Milestones!$AA$70),"dd/mm/yy")&amp;" "&amp;Milestones!$AB$70&amp;" "&amp;Milestones!$AC$70&amp;";  ","")&amp;IF(AND(EDATE($D153,Milestones!$AA$71)&lt;=AsOfDate,IF($Q153=0,$W153,IF(AND($S153&lt;&gt;"",EDATE($D153,Milestones!$AA$71)&gt;=$S153),$V153,IF(AND($R153&lt;&gt;"",EDATE($D153,Milestones!$AA$71)&gt;=$R153),$U153,$T153)))=Milestones!$AB$71),TEXT(EDATE($D153,Milestones!$AA$71),"dd/mm/yy")&amp;" "&amp;Milestones!$AB$71&amp;" "&amp;Milestones!$AC$71&amp;";  ","")&amp;IF(AND(EDATE($D153,Milestones!$AA$72)&lt;=AsOfDate,IF($Q153=0,$W153,IF(AND($S153&lt;&gt;"",EDATE($D153,Milestones!$AA$72)&gt;=$S153),$V153,IF(AND($R153&lt;&gt;"",EDATE($D153,Milestones!$AA$72)&gt;=$R153),$U153,$T153)))=Milestones!$AB$72),TEXT(EDATE($D153,Milestones!$AA$72),"dd/mm/yy")&amp;" "&amp;Milestones!$AB$72&amp;" "&amp;Milestones!$AC$72&amp;";  ","")&amp;IF(AND(EDATE($D153,Milestones!$AA$73)&lt;=AsOfDate,IF($Q153=0,$W153,IF(AND($S153&lt;&gt;"",EDATE($D153,Milestones!$AA$73)&gt;=$S153),$V153,IF(AND($R153&lt;&gt;"",EDATE($D153,Milestones!$AA$73)&gt;=$R153),$U153,$T153)))=Milestones!$AB$73),TEXT(EDATE($D153,Milestones!$AA$73),"dd/mm/yy")&amp;" "&amp;Milestones!$AB$73&amp;" "&amp;Milestones!$AC$73&amp;";  ","")&amp;IF(AND(EDATE($D153,Milestones!$AA$74)&lt;=AsOfDate,IF($Q153=0,$W153,IF(AND($S153&lt;&gt;"",EDATE($D153,Milestones!$AA$74)&gt;=$S153),$V153,IF(AND($R153&lt;&gt;"",EDATE($D153,Milestones!$AA$74)&gt;=$R153),$U153,$T153)))=Milestones!$AB$74),TEXT(EDATE($D153,Milestones!$AA$74),"dd/mm/yy")&amp;" "&amp;Milestones!$AB$74&amp;" "&amp;Milestones!$AC$74&amp;";  ","")&amp;IF(AND(EDATE($D153,Milestones!$AA$75)&lt;=AsOfDate,IF($Q153=0,$W153,IF(AND($S153&lt;&gt;"",EDATE($D153,Milestones!$AA$75)&gt;=$S153),$V153,IF(AND($R153&lt;&gt;"",EDATE($D153,Milestones!$AA$75)&gt;=$R153),$U153,$T153)))=Milestones!$AB$75),TEXT(EDATE($D153,Milestones!$AA$75),"dd/mm/yy")&amp;" "&amp;Milestones!$AB$75&amp;" "&amp;Milestones!$AC$75&amp;";  ","")&amp;IF(AND(EDATE($D153,Milestones!$AA$76)&lt;=AsOfDate,IF($Q153=0,$W153,IF(AND($S153&lt;&gt;"",EDATE($D153,Milestones!$AA$76)&gt;=$S153),$V153,IF(AND($R153&lt;&gt;"",EDATE($D153,Milestones!$AA$76)&gt;=$R153),$U153,$T153)))=Milestones!$AB$76),TEXT(EDATE($D153,Milestones!$AA$76),"dd/mm/yy")&amp;" "&amp;Milestones!$AB$76&amp;" "&amp;Milestones!$AC$76&amp;";  ","")&amp;IF(AND(EDATE($D153,Milestones!$AA$77)&lt;=AsOfDate,IF($Q153=0,$W153,IF(AND($S153&lt;&gt;"",EDATE($D153,Milestones!$AA$77)&gt;=$S153),$V153,IF(AND($R153&lt;&gt;"",EDATE($D153,Milestones!$AA$77)&gt;=$R153),$U153,$T153)))=Milestones!$AB$77),TEXT(EDATE($D153,Milestones!$AA$77),"dd/mm/yy")&amp;" "&amp;Milestones!$AB$77&amp;" "&amp;Milestones!$AC$77&amp;";  ","")&amp;IF(AND(EDATE($D153,Milestones!$AA$78)&lt;=AsOfDate,IF($Q153=0,$W153,IF(AND($S153&lt;&gt;"",EDATE($D153,Milestones!$AA$78)&gt;=$S153),$V153,IF(AND($R153&lt;&gt;"",EDATE($D153,Milestones!$AA$78)&gt;=$R153),$U153,$T153)))=Milestones!$AB$78),TEXT(EDATE($D153,Milestones!$AA$78),"dd/mm/yy")&amp;" "&amp;Milestones!$AB$78&amp;" "&amp;Milestones!$AC$78&amp;";  ","")&amp;IF(AND(EDATE($D153,Milestones!$AA$79)&lt;=AsOfDate,IF($Q153=0,$W153,IF(AND($S153&lt;&gt;"",EDATE($D153,Milestones!$AA$79)&gt;=$S153),$V153,IF(AND($R153&lt;&gt;"",EDATE($D153,Milestones!$AA$79)&gt;=$R153),$U153,$T153)))=Milestones!$AB$79),TEXT(EDATE($D153,Milestones!$AA$79),"dd/mm/yy")&amp;" "&amp;Milestones!$AB$79&amp;" "&amp;Milestones!$AC$79&amp;";  ",""))</f>
        <v/>
      </c>
      <c r="K153" s="0" t="str">
        <f aca="false">IF(OR($A153="",$D153=""),"",IF(AND(EDATE($D153,Milestones!$AA$80)&lt;=AsOfDate,IF($Q153=0,$W153,IF(AND($S153&lt;&gt;"",EDATE($D153,Milestones!$AA$80)&gt;=$S153),$V153,IF(AND($R153&lt;&gt;"",EDATE($D153,Milestones!$AA$80)&gt;=$R153),$U153,$T153)))=Milestones!$AB$80),TEXT(EDATE($D153,Milestones!$AA$80),"dd/mm/yy")&amp;" "&amp;Milestones!$AB$80&amp;" "&amp;Milestones!$AC$80&amp;";  ","")&amp;IF(AND(EDATE($D153,Milestones!$AA$81)&lt;=AsOfDate,IF($Q153=0,$W153,IF(AND($S153&lt;&gt;"",EDATE($D153,Milestones!$AA$81)&gt;=$S153),$V153,IF(AND($R153&lt;&gt;"",EDATE($D153,Milestones!$AA$81)&gt;=$R153),$U153,$T153)))=Milestones!$AB$81),TEXT(EDATE($D153,Milestones!$AA$81),"dd/mm/yy")&amp;" "&amp;Milestones!$AB$81&amp;" "&amp;Milestones!$AC$81&amp;";  ","")&amp;IF(AND(EDATE($D153,Milestones!$AA$82)&lt;=AsOfDate,IF($Q153=0,$W153,IF(AND($S153&lt;&gt;"",EDATE($D153,Milestones!$AA$82)&gt;=$S153),$V153,IF(AND($R153&lt;&gt;"",EDATE($D153,Milestones!$AA$82)&gt;=$R153),$U153,$T153)))=Milestones!$AB$82),TEXT(EDATE($D153,Milestones!$AA$82),"dd/mm/yy")&amp;" "&amp;Milestones!$AB$82&amp;" "&amp;Milestones!$AC$82&amp;";  ","")&amp;IF(AND(EDATE($D153,Milestones!$AA$83)&lt;=AsOfDate,IF($Q153=0,$W153,IF(AND($S153&lt;&gt;"",EDATE($D153,Milestones!$AA$83)&gt;=$S153),$V153,IF(AND($R153&lt;&gt;"",EDATE($D153,Milestones!$AA$83)&gt;=$R153),$U153,$T153)))=Milestones!$AB$83),TEXT(EDATE($D153,Milestones!$AA$83),"dd/mm/yy")&amp;" "&amp;Milestones!$AB$83&amp;" "&amp;Milestones!$AC$83&amp;";  ","")&amp;IF(AND(EDATE($D153,Milestones!$AA$84)&lt;=AsOfDate,IF($Q153=0,$W153,IF(AND($S153&lt;&gt;"",EDATE($D153,Milestones!$AA$84)&gt;=$S153),$V153,IF(AND($R153&lt;&gt;"",EDATE($D153,Milestones!$AA$84)&gt;=$R153),$U153,$T153)))=Milestones!$AB$84),TEXT(EDATE($D153,Milestones!$AA$84),"dd/mm/yy")&amp;" "&amp;Milestones!$AB$84&amp;" "&amp;Milestones!$AC$84&amp;";  ","")&amp;IF(AND(EDATE($D153,Milestones!$AA$85)&lt;=AsOfDate,IF($Q153=0,$W153,IF(AND($S153&lt;&gt;"",EDATE($D153,Milestones!$AA$85)&gt;=$S153),$V153,IF(AND($R153&lt;&gt;"",EDATE($D153,Milestones!$AA$85)&gt;=$R153),$U153,$T153)))=Milestones!$AB$85),TEXT(EDATE($D153,Milestones!$AA$85),"dd/mm/yy")&amp;" "&amp;Milestones!$AB$85&amp;" "&amp;Milestones!$AC$85&amp;";  ","")&amp;IF(AND(EDATE($D153,Milestones!$AA$86)&lt;=AsOfDate,IF($Q153=0,$W153,IF(AND($S153&lt;&gt;"",EDATE($D153,Milestones!$AA$86)&gt;=$S153),$V153,IF(AND($R153&lt;&gt;"",EDATE($D153,Milestones!$AA$86)&gt;=$R153),$U153,$T153)))=Milestones!$AB$86),TEXT(EDATE($D153,Milestones!$AA$86),"dd/mm/yy")&amp;" "&amp;Milestones!$AB$86&amp;" "&amp;Milestones!$AC$86&amp;";  ","")&amp;IF(AND(EDATE($D153,Milestones!$AA$87)&lt;=AsOfDate,IF($Q153=0,$W153,IF(AND($S153&lt;&gt;"",EDATE($D153,Milestones!$AA$87)&gt;=$S153),$V153,IF(AND($R153&lt;&gt;"",EDATE($D153,Milestones!$AA$87)&gt;=$R153),$U153,$T153)))=Milestones!$AB$87),TEXT(EDATE($D153,Milestones!$AA$87),"dd/mm/yy")&amp;" "&amp;Milestones!$AB$87&amp;" "&amp;Milestones!$AC$87&amp;";  ","")&amp;IF(AND(EDATE($D153,Milestones!$AA$88)&lt;=AsOfDate,IF($Q153=0,$W153,IF(AND($S153&lt;&gt;"",EDATE($D153,Milestones!$AA$88)&gt;=$S153),$V153,IF(AND($R153&lt;&gt;"",EDATE($D153,Milestones!$AA$88)&gt;=$R153),$U153,$T153)))=Milestones!$AB$88),TEXT(EDATE($D153,Milestones!$AA$88),"dd/mm/yy")&amp;" "&amp;Milestones!$AB$88&amp;" "&amp;Milestones!$AC$88&amp;";  ","")&amp;IF(AND(EDATE($D153,Milestones!$AA$89)&lt;=AsOfDate,IF($Q153=0,$W153,IF(AND($S153&lt;&gt;"",EDATE($D153,Milestones!$AA$89)&gt;=$S153),$V153,IF(AND($R153&lt;&gt;"",EDATE($D153,Milestones!$AA$89)&gt;=$R153),$U153,$T153)))=Milestones!$AB$89),TEXT(EDATE($D153,Milestones!$AA$89),"dd/mm/yy")&amp;" "&amp;Milestones!$AB$89&amp;" "&amp;Milestones!$AC$89&amp;";  ","")&amp;IF(AND(EDATE($D153,Milestones!$AA$90)&lt;=AsOfDate,IF($Q153=0,$W153,IF(AND($S153&lt;&gt;"",EDATE($D153,Milestones!$AA$90)&gt;=$S153),$V153,IF(AND($R153&lt;&gt;"",EDATE($D153,Milestones!$AA$90)&gt;=$R153),$U153,$T153)))=Milestones!$AB$90),TEXT(EDATE($D153,Milestones!$AA$90),"dd/mm/yy")&amp;" "&amp;Milestones!$AB$90&amp;" "&amp;Milestones!$AC$90&amp;";  ","")&amp;IF(AND(EDATE($D153,Milestones!$AA$91)&lt;=AsOfDate,IF($Q153=0,$W153,IF(AND($S153&lt;&gt;"",EDATE($D153,Milestones!$AA$91)&gt;=$S153),$V153,IF(AND($R153&lt;&gt;"",EDATE($D153,Milestones!$AA$91)&gt;=$R153),$U153,$T153)))=Milestones!$AB$91),TEXT(EDATE($D153,Milestones!$AA$91),"dd/mm/yy")&amp;" "&amp;Milestones!$AB$91&amp;" "&amp;Milestones!$AC$91&amp;";  ","")&amp;IF(AND(EDATE($D153,Milestones!$AA$92)&lt;=AsOfDate,IF($Q153=0,$W153,IF(AND($S153&lt;&gt;"",EDATE($D153,Milestones!$AA$92)&gt;=$S153),$V153,IF(AND($R153&lt;&gt;"",EDATE($D153,Milestones!$AA$92)&gt;=$R153),$U153,$T153)))=Milestones!$AB$92),TEXT(EDATE($D153,Milestones!$AA$92),"dd/mm/yy")&amp;" "&amp;Milestones!$AB$92&amp;" "&amp;Milestones!$AC$92&amp;";  ","")&amp;IF(AND(EDATE($D153,Milestones!$AA$93)&lt;=AsOfDate,IF($Q153=0,$W153,IF(AND($S153&lt;&gt;"",EDATE($D153,Milestones!$AA$93)&gt;=$S153),$V153,IF(AND($R153&lt;&gt;"",EDATE($D153,Milestones!$AA$93)&gt;=$R153),$U153,$T153)))=Milestones!$AB$93),TEXT(EDATE($D153,Milestones!$AA$93),"dd/mm/yy")&amp;" "&amp;Milestones!$AB$93&amp;" "&amp;Milestones!$AC$93&amp;";  ","")&amp;IF(AND(EDATE($D153,Milestones!$AA$94)&lt;=AsOfDate,IF($Q153=0,$W153,IF(AND($S153&lt;&gt;"",EDATE($D153,Milestones!$AA$94)&gt;=$S153),$V153,IF(AND($R153&lt;&gt;"",EDATE($D153,Milestones!$AA$94)&gt;=$R153),$U153,$T153)))=Milestones!$AB$94),TEXT(EDATE($D153,Milestones!$AA$94),"dd/mm/yy")&amp;" "&amp;Milestones!$AB$94&amp;" "&amp;Milestones!$AC$94&amp;";  ","")&amp;IF(AND(EDATE($D153,Milestones!$AA$95)&lt;=AsOfDate,IF($Q153=0,$W153,IF(AND($S153&lt;&gt;"",EDATE($D153,Milestones!$AA$95)&gt;=$S153),$V153,IF(AND($R153&lt;&gt;"",EDATE($D153,Milestones!$AA$95)&gt;=$R153),$U153,$T153)))=Milestones!$AB$95),TEXT(EDATE($D153,Milestones!$AA$95),"dd/mm/yy")&amp;" "&amp;Milestones!$AB$95&amp;" "&amp;Milestones!$AC$95&amp;";  ","")&amp;IF(AND(EDATE($D153,Milestones!$AA$96)&lt;=AsOfDate,IF($Q153=0,$W153,IF(AND($S153&lt;&gt;"",EDATE($D153,Milestones!$AA$96)&gt;=$S153),$V153,IF(AND($R153&lt;&gt;"",EDATE($D153,Milestones!$AA$96)&gt;=$R153),$U153,$T153)))=Milestones!$AB$96),TEXT(EDATE($D153,Milestones!$AA$96),"dd/mm/yy")&amp;" "&amp;Milestones!$AB$96&amp;" "&amp;Milestones!$AC$96&amp;";  ","")&amp;IF(AND(EDATE($D153,Milestones!$AA$97)&lt;=AsOfDate,IF($Q153=0,$W153,IF(AND($S153&lt;&gt;"",EDATE($D153,Milestones!$AA$97)&gt;=$S153),$V153,IF(AND($R153&lt;&gt;"",EDATE($D153,Milestones!$AA$97)&gt;=$R153),$U153,$T153)))=Milestones!$AB$97),TEXT(EDATE($D153,Milestones!$AA$97),"dd/mm/yy")&amp;" "&amp;Milestones!$AB$97&amp;" "&amp;Milestones!$AC$97&amp;";  ","")&amp;IF(AND(EDATE($D153,Milestones!$AA$98)&lt;=AsOfDate,IF($Q153=0,$W153,IF(AND($S153&lt;&gt;"",EDATE($D153,Milestones!$AA$98)&gt;=$S153),$V153,IF(AND($R153&lt;&gt;"",EDATE($D153,Milestones!$AA$98)&gt;=$R153),$U153,$T153)))=Milestones!$AB$98),TEXT(EDATE($D153,Milestones!$AA$98),"dd/mm/yy")&amp;" "&amp;Milestones!$AB$98&amp;" "&amp;Milestones!$AC$98&amp;";  ","")&amp;IF(AND(EDATE($D153,Milestones!$AA$99)&lt;=AsOfDate,IF($Q153=0,$W153,IF(AND($S153&lt;&gt;"",EDATE($D153,Milestones!$AA$99)&gt;=$S153),$V153,IF(AND($R153&lt;&gt;"",EDATE($D153,Milestones!$AA$99)&gt;=$R153),$U153,$T153)))=Milestones!$AB$99),TEXT(EDATE($D153,Milestones!$AA$99),"dd/mm/yy")&amp;" "&amp;Milestones!$AB$99&amp;" "&amp;Milestones!$AC$99&amp;";  ",""))</f>
        <v/>
      </c>
      <c r="L153" s="0" t="str">
        <f aca="false">IF(OR($A153="",$D153=""),"",IF(AND(EDATE($D153,Milestones!$AA$100)&lt;=AsOfDate,IF($Q153=0,$W153,IF(AND($S153&lt;&gt;"",EDATE($D153,Milestones!$AA$100)&gt;=$S153),$V153,IF(AND($R153&lt;&gt;"",EDATE($D153,Milestones!$AA$100)&gt;=$R153),$U153,$T153)))=Milestones!$AB$100),TEXT(EDATE($D153,Milestones!$AA$100),"dd/mm/yy")&amp;" "&amp;Milestones!$AB$100&amp;" "&amp;Milestones!$AC$100&amp;";  ","")&amp;IF(AND(EDATE($D153,Milestones!$AA$101)&lt;=AsOfDate,IF($Q153=0,$W153,IF(AND($S153&lt;&gt;"",EDATE($D153,Milestones!$AA$101)&gt;=$S153),$V153,IF(AND($R153&lt;&gt;"",EDATE($D153,Milestones!$AA$101)&gt;=$R153),$U153,$T153)))=Milestones!$AB$101),TEXT(EDATE($D153,Milestones!$AA$101),"dd/mm/yy")&amp;" "&amp;Milestones!$AB$101&amp;" "&amp;Milestones!$AC$101&amp;";  ","")&amp;IF(AND(EDATE($D153,Milestones!$AA$102)&lt;=AsOfDate,IF($Q153=0,$W153,IF(AND($S153&lt;&gt;"",EDATE($D153,Milestones!$AA$102)&gt;=$S153),$V153,IF(AND($R153&lt;&gt;"",EDATE($D153,Milestones!$AA$102)&gt;=$R153),$U153,$T153)))=Milestones!$AB$102),TEXT(EDATE($D153,Milestones!$AA$102),"dd/mm/yy")&amp;" "&amp;Milestones!$AB$102&amp;" "&amp;Milestones!$AC$102&amp;";  ","")&amp;IF(AND(EDATE($D153,Milestones!$AA$103)&lt;=AsOfDate,IF($Q153=0,$W153,IF(AND($S153&lt;&gt;"",EDATE($D153,Milestones!$AA$103)&gt;=$S153),$V153,IF(AND($R153&lt;&gt;"",EDATE($D153,Milestones!$AA$103)&gt;=$R153),$U153,$T153)))=Milestones!$AB$103),TEXT(EDATE($D153,Milestones!$AA$103),"dd/mm/yy")&amp;" "&amp;Milestones!$AB$103&amp;" "&amp;Milestones!$AC$103&amp;";  ","")&amp;IF(AND(EDATE($D153,Milestones!$AA$104)&lt;=AsOfDate,IF($Q153=0,$W153,IF(AND($S153&lt;&gt;"",EDATE($D153,Milestones!$AA$104)&gt;=$S153),$V153,IF(AND($R153&lt;&gt;"",EDATE($D153,Milestones!$AA$104)&gt;=$R153),$U153,$T153)))=Milestones!$AB$104),TEXT(EDATE($D153,Milestones!$AA$104),"dd/mm/yy")&amp;" "&amp;Milestones!$AB$104&amp;" "&amp;Milestones!$AC$104&amp;";  ","")&amp;IF(AND(EDATE($D153,Milestones!$AA$105)&lt;=AsOfDate,IF($Q153=0,$W153,IF(AND($S153&lt;&gt;"",EDATE($D153,Milestones!$AA$105)&gt;=$S153),$V153,IF(AND($R153&lt;&gt;"",EDATE($D153,Milestones!$AA$105)&gt;=$R153),$U153,$T153)))=Milestones!$AB$105),TEXT(EDATE($D153,Milestones!$AA$105),"dd/mm/yy")&amp;" "&amp;Milestones!$AB$105&amp;" "&amp;Milestones!$AC$105&amp;";  ","")&amp;IF(AND(EDATE($D153,Milestones!$AA$106)&lt;=AsOfDate,IF($Q153=0,$W153,IF(AND($S153&lt;&gt;"",EDATE($D153,Milestones!$AA$106)&gt;=$S153),$V153,IF(AND($R153&lt;&gt;"",EDATE($D153,Milestones!$AA$106)&gt;=$R153),$U153,$T153)))=Milestones!$AB$106),TEXT(EDATE($D153,Milestones!$AA$106),"dd/mm/yy")&amp;" "&amp;Milestones!$AB$106&amp;" "&amp;Milestones!$AC$106&amp;";  ","")&amp;IF(AND(EDATE($D153,Milestones!$AA$107)&lt;=AsOfDate,IF($Q153=0,$W153,IF(AND($S153&lt;&gt;"",EDATE($D153,Milestones!$AA$107)&gt;=$S153),$V153,IF(AND($R153&lt;&gt;"",EDATE($D153,Milestones!$AA$107)&gt;=$R153),$U153,$T153)))=Milestones!$AB$107),TEXT(EDATE($D153,Milestones!$AA$107),"dd/mm/yy")&amp;" "&amp;Milestones!$AB$107&amp;" "&amp;Milestones!$AC$107&amp;";  ","")&amp;IF(AND(EDATE($D153,Milestones!$AA$108)&lt;=AsOfDate,IF($Q153=0,$W153,IF(AND($S153&lt;&gt;"",EDATE($D153,Milestones!$AA$108)&gt;=$S153),$V153,IF(AND($R153&lt;&gt;"",EDATE($D153,Milestones!$AA$108)&gt;=$R153),$U153,$T153)))=Milestones!$AB$108),TEXT(EDATE($D153,Milestones!$AA$108),"dd/mm/yy")&amp;" "&amp;Milestones!$AB$108&amp;" "&amp;Milestones!$AC$108&amp;";  ","")&amp;IF(AND(EDATE($D153,Milestones!$AA$109)&lt;=AsOfDate,IF($Q153=0,$W153,IF(AND($S153&lt;&gt;"",EDATE($D153,Milestones!$AA$109)&gt;=$S153),$V153,IF(AND($R153&lt;&gt;"",EDATE($D153,Milestones!$AA$109)&gt;=$R153),$U153,$T153)))=Milestones!$AB$109),TEXT(EDATE($D153,Milestones!$AA$109),"dd/mm/yy")&amp;" "&amp;Milestones!$AB$109&amp;" "&amp;Milestones!$AC$109&amp;";  ","")&amp;IF(AND(EDATE($D153,Milestones!$AA$110)&lt;=AsOfDate,IF($Q153=0,$W153,IF(AND($S153&lt;&gt;"",EDATE($D153,Milestones!$AA$110)&gt;=$S153),$V153,IF(AND($R153&lt;&gt;"",EDATE($D153,Milestones!$AA$110)&gt;=$R153),$U153,$T153)))=Milestones!$AB$110),TEXT(EDATE($D153,Milestones!$AA$110),"dd/mm/yy")&amp;" "&amp;Milestones!$AB$110&amp;" "&amp;Milestones!$AC$110&amp;";  ","")&amp;IF(AND(EDATE($D153,Milestones!$AA$111)&lt;=AsOfDate,IF($Q153=0,$W153,IF(AND($S153&lt;&gt;"",EDATE($D153,Milestones!$AA$111)&gt;=$S153),$V153,IF(AND($R153&lt;&gt;"",EDATE($D153,Milestones!$AA$111)&gt;=$R153),$U153,$T153)))=Milestones!$AB$111),TEXT(EDATE($D153,Milestones!$AA$111),"dd/mm/yy")&amp;" "&amp;Milestones!$AB$111&amp;" "&amp;Milestones!$AC$111&amp;";  ","")&amp;IF(AND(EDATE($D153,Milestones!$AA$112)&lt;=AsOfDate,IF($Q153=0,$W153,IF(AND($S153&lt;&gt;"",EDATE($D153,Milestones!$AA$112)&gt;=$S153),$V153,IF(AND($R153&lt;&gt;"",EDATE($D153,Milestones!$AA$112)&gt;=$R153),$U153,$T153)))=Milestones!$AB$112),TEXT(EDATE($D153,Milestones!$AA$112),"dd/mm/yy")&amp;" "&amp;Milestones!$AB$112&amp;" "&amp;Milestones!$AC$112&amp;";  ","")&amp;IF(AND(EDATE($D153,Milestones!$AA$113)&lt;=AsOfDate,IF($Q153=0,$W153,IF(AND($S153&lt;&gt;"",EDATE($D153,Milestones!$AA$113)&gt;=$S153),$V153,IF(AND($R153&lt;&gt;"",EDATE($D153,Milestones!$AA$113)&gt;=$R153),$U153,$T153)))=Milestones!$AB$113),TEXT(EDATE($D153,Milestones!$AA$113),"dd/mm/yy")&amp;" "&amp;Milestones!$AB$113&amp;" "&amp;Milestones!$AC$113&amp;";  ","")&amp;IF(AND(EDATE($D153,Milestones!$AA$114)&lt;=AsOfDate,IF($Q153=0,$W153,IF(AND($S153&lt;&gt;"",EDATE($D153,Milestones!$AA$114)&gt;=$S153),$V153,IF(AND($R153&lt;&gt;"",EDATE($D153,Milestones!$AA$114)&gt;=$R153),$U153,$T153)))=Milestones!$AB$114),TEXT(EDATE($D153,Milestones!$AA$114),"dd/mm/yy")&amp;" "&amp;Milestones!$AB$114&amp;" "&amp;Milestones!$AC$114&amp;";  ","")&amp;IF(AND(EDATE($D153,Milestones!$AA$115)&lt;=AsOfDate,IF($Q153=0,$W153,IF(AND($S153&lt;&gt;"",EDATE($D153,Milestones!$AA$115)&gt;=$S153),$V153,IF(AND($R153&lt;&gt;"",EDATE($D153,Milestones!$AA$115)&gt;=$R153),$U153,$T153)))=Milestones!$AB$115),TEXT(EDATE($D153,Milestones!$AA$115),"dd/mm/yy")&amp;" "&amp;Milestones!$AB$115&amp;" "&amp;Milestones!$AC$115&amp;";  ","")&amp;IF(AND(EDATE($D153,Milestones!$AA$116)&lt;=AsOfDate,IF($Q153=0,$W153,IF(AND($S153&lt;&gt;"",EDATE($D153,Milestones!$AA$116)&gt;=$S153),$V153,IF(AND($R153&lt;&gt;"",EDATE($D153,Milestones!$AA$116)&gt;=$R153),$U153,$T153)))=Milestones!$AB$116),TEXT(EDATE($D153,Milestones!$AA$116),"dd/mm/yy")&amp;" "&amp;Milestones!$AB$116&amp;" "&amp;Milestones!$AC$116&amp;";  ","")&amp;IF(AND(EDATE($D153,Milestones!$AA$117)&lt;=AsOfDate,IF($Q153=0,$W153,IF(AND($S153&lt;&gt;"",EDATE($D153,Milestones!$AA$117)&gt;=$S153),$V153,IF(AND($R153&lt;&gt;"",EDATE($D153,Milestones!$AA$117)&gt;=$R153),$U153,$T153)))=Milestones!$AB$117),TEXT(EDATE($D153,Milestones!$AA$117),"dd/mm/yy")&amp;" "&amp;Milestones!$AB$117&amp;" "&amp;Milestones!$AC$117&amp;";  ","")&amp;IF(AND(EDATE($D153,Milestones!$AA$118)&lt;=AsOfDate,IF($Q153=0,$W153,IF(AND($S153&lt;&gt;"",EDATE($D153,Milestones!$AA$118)&gt;=$S153),$V153,IF(AND($R153&lt;&gt;"",EDATE($D153,Milestones!$AA$118)&gt;=$R153),$U153,$T153)))=Milestones!$AB$118),TEXT(EDATE($D153,Milestones!$AA$118),"dd/mm/yy")&amp;" "&amp;Milestones!$AB$118&amp;" "&amp;Milestones!$AC$118&amp;";  ","")&amp;IF(AND(EDATE($D153,Milestones!$AA$119)&lt;=AsOfDate,IF($Q153=0,$W153,IF(AND($S153&lt;&gt;"",EDATE($D153,Milestones!$AA$119)&gt;=$S153),$V153,IF(AND($R153&lt;&gt;"",EDATE($D153,Milestones!$AA$119)&gt;=$R153),$U153,$T153)))=Milestones!$AB$119),TEXT(EDATE($D153,Milestones!$AA$119),"dd/mm/yy")&amp;" "&amp;Milestones!$AB$119&amp;" "&amp;Milestones!$AC$119&amp;";  ",""))</f>
        <v/>
      </c>
      <c r="M153" s="0" t="str">
        <f aca="false">IF(OR($A153="",$D153=""),"",IF(AND(EDATE($D153,Milestones!$AA$120)&lt;=AsOfDate,IF($Q153=0,$W153,IF(AND($S153&lt;&gt;"",EDATE($D153,Milestones!$AA$120)&gt;=$S153),$V153,IF(AND($R153&lt;&gt;"",EDATE($D153,Milestones!$AA$120)&gt;=$R153),$U153,$T153)))=Milestones!$AB$120),TEXT(EDATE($D153,Milestones!$AA$120),"dd/mm/yy")&amp;" "&amp;Milestones!$AB$120&amp;" "&amp;Milestones!$AC$120&amp;";  ","")&amp;IF(AND(EDATE($D153,Milestones!$AA$121)&lt;=AsOfDate,IF($Q153=0,$W153,IF(AND($S153&lt;&gt;"",EDATE($D153,Milestones!$AA$121)&gt;=$S153),$V153,IF(AND($R153&lt;&gt;"",EDATE($D153,Milestones!$AA$121)&gt;=$R153),$U153,$T153)))=Milestones!$AB$121),TEXT(EDATE($D153,Milestones!$AA$121),"dd/mm/yy")&amp;" "&amp;Milestones!$AB$121&amp;" "&amp;Milestones!$AC$121&amp;";  ","")&amp;IF(AND(EDATE($D153,Milestones!$AA$122)&lt;=AsOfDate,IF($Q153=0,$W153,IF(AND($S153&lt;&gt;"",EDATE($D153,Milestones!$AA$122)&gt;=$S153),$V153,IF(AND($R153&lt;&gt;"",EDATE($D153,Milestones!$AA$122)&gt;=$R153),$U153,$T153)))=Milestones!$AB$122),TEXT(EDATE($D153,Milestones!$AA$122),"dd/mm/yy")&amp;" "&amp;Milestones!$AB$122&amp;" "&amp;Milestones!$AC$122&amp;";  ","")&amp;IF(AND(EDATE($D153,Milestones!$AA$123)&lt;=AsOfDate,IF($Q153=0,$W153,IF(AND($S153&lt;&gt;"",EDATE($D153,Milestones!$AA$123)&gt;=$S153),$V153,IF(AND($R153&lt;&gt;"",EDATE($D153,Milestones!$AA$123)&gt;=$R153),$U153,$T153)))=Milestones!$AB$123),TEXT(EDATE($D153,Milestones!$AA$123),"dd/mm/yy")&amp;" "&amp;Milestones!$AB$123&amp;" "&amp;Milestones!$AC$123&amp;";  ","")&amp;IF(AND(EDATE($D153,Milestones!$AA$124)&lt;=AsOfDate,IF($Q153=0,$W153,IF(AND($S153&lt;&gt;"",EDATE($D153,Milestones!$AA$124)&gt;=$S153),$V153,IF(AND($R153&lt;&gt;"",EDATE($D153,Milestones!$AA$124)&gt;=$R153),$U153,$T153)))=Milestones!$AB$124),TEXT(EDATE($D153,Milestones!$AA$124),"dd/mm/yy")&amp;" "&amp;Milestones!$AB$124&amp;" "&amp;Milestones!$AC$124&amp;";  ","")&amp;IF(AND(EDATE($D153,Milestones!$AA$125)&lt;=AsOfDate,IF($Q153=0,$W153,IF(AND($S153&lt;&gt;"",EDATE($D153,Milestones!$AA$125)&gt;=$S153),$V153,IF(AND($R153&lt;&gt;"",EDATE($D153,Milestones!$AA$125)&gt;=$R153),$U153,$T153)))=Milestones!$AB$125),TEXT(EDATE($D153,Milestones!$AA$125),"dd/mm/yy")&amp;" "&amp;Milestones!$AB$125&amp;" "&amp;Milestones!$AC$125&amp;";  ","")&amp;IF(AND(EDATE($D153,Milestones!$AA$126)&lt;=AsOfDate,IF($Q153=0,$W153,IF(AND($S153&lt;&gt;"",EDATE($D153,Milestones!$AA$126)&gt;=$S153),$V153,IF(AND($R153&lt;&gt;"",EDATE($D153,Milestones!$AA$126)&gt;=$R153),$U153,$T153)))=Milestones!$AB$126),TEXT(EDATE($D153,Milestones!$AA$126),"dd/mm/yy")&amp;" "&amp;Milestones!$AB$126&amp;" "&amp;Milestones!$AC$126&amp;";  ","")&amp;IF(AND(EDATE($D153,Milestones!$AA$127)&lt;=AsOfDate,IF($Q153=0,$W153,IF(AND($S153&lt;&gt;"",EDATE($D153,Milestones!$AA$127)&gt;=$S153),$V153,IF(AND($R153&lt;&gt;"",EDATE($D153,Milestones!$AA$127)&gt;=$R153),$U153,$T153)))=Milestones!$AB$127),TEXT(EDATE($D153,Milestones!$AA$127),"dd/mm/yy")&amp;" "&amp;Milestones!$AB$127&amp;" "&amp;Milestones!$AC$127&amp;";  ","")&amp;IF(AND(EDATE($D153,Milestones!$AA$128)&lt;=AsOfDate,IF($Q153=0,$W153,IF(AND($S153&lt;&gt;"",EDATE($D153,Milestones!$AA$128)&gt;=$S153),$V153,IF(AND($R153&lt;&gt;"",EDATE($D153,Milestones!$AA$128)&gt;=$R153),$U153,$T153)))=Milestones!$AB$128),TEXT(EDATE($D153,Milestones!$AA$128),"dd/mm/yy")&amp;" "&amp;Milestones!$AB$128&amp;" "&amp;Milestones!$AC$128&amp;";  ","")&amp;IF(AND(EDATE($D153,Milestones!$AA$129)&lt;=AsOfDate,IF($Q153=0,$W153,IF(AND($S153&lt;&gt;"",EDATE($D153,Milestones!$AA$129)&gt;=$S153),$V153,IF(AND($R153&lt;&gt;"",EDATE($D153,Milestones!$AA$129)&gt;=$R153),$U153,$T153)))=Milestones!$AB$129),TEXT(EDATE($D153,Milestones!$AA$129),"dd/mm/yy")&amp;" "&amp;Milestones!$AB$129&amp;" "&amp;Milestones!$AC$129&amp;";  ","")&amp;IF(AND(EDATE($D153,Milestones!$AA$130)&lt;=AsOfDate,IF($Q153=0,$W153,IF(AND($S153&lt;&gt;"",EDATE($D153,Milestones!$AA$130)&gt;=$S153),$V153,IF(AND($R153&lt;&gt;"",EDATE($D153,Milestones!$AA$130)&gt;=$R153),$U153,$T153)))=Milestones!$AB$130),TEXT(EDATE($D153,Milestones!$AA$130),"dd/mm/yy")&amp;" "&amp;Milestones!$AB$130&amp;" "&amp;Milestones!$AC$130&amp;";  ","")&amp;IF(AND(EDATE($D153,Milestones!$AA$131)&lt;=AsOfDate,IF($Q153=0,$W153,IF(AND($S153&lt;&gt;"",EDATE($D153,Milestones!$AA$131)&gt;=$S153),$V153,IF(AND($R153&lt;&gt;"",EDATE($D153,Milestones!$AA$131)&gt;=$R153),$U153,$T153)))=Milestones!$AB$131),TEXT(EDATE($D153,Milestones!$AA$131),"dd/mm/yy")&amp;" "&amp;Milestones!$AB$131&amp;" "&amp;Milestones!$AC$131&amp;";  ","")&amp;IF(AND(EDATE($D153,Milestones!$AA$132)&lt;=AsOfDate,IF($Q153=0,$W153,IF(AND($S153&lt;&gt;"",EDATE($D153,Milestones!$AA$132)&gt;=$S153),$V153,IF(AND($R153&lt;&gt;"",EDATE($D153,Milestones!$AA$132)&gt;=$R153),$U153,$T153)))=Milestones!$AB$132),TEXT(EDATE($D153,Milestones!$AA$132),"dd/mm/yy")&amp;" "&amp;Milestones!$AB$132&amp;" "&amp;Milestones!$AC$132&amp;";  ","")&amp;IF(AND(EDATE($D153,Milestones!$AA$133)&lt;=AsOfDate,IF($Q153=0,$W153,IF(AND($S153&lt;&gt;"",EDATE($D153,Milestones!$AA$133)&gt;=$S153),$V153,IF(AND($R153&lt;&gt;"",EDATE($D153,Milestones!$AA$133)&gt;=$R153),$U153,$T153)))=Milestones!$AB$133),TEXT(EDATE($D153,Milestones!$AA$133),"dd/mm/yy")&amp;" "&amp;Milestones!$AB$133&amp;" "&amp;Milestones!$AC$133&amp;";  ","")&amp;IF(AND(EDATE($D153,Milestones!$AA$134)&lt;=AsOfDate,IF($Q153=0,$W153,IF(AND($S153&lt;&gt;"",EDATE($D153,Milestones!$AA$134)&gt;=$S153),$V153,IF(AND($R153&lt;&gt;"",EDATE($D153,Milestones!$AA$134)&gt;=$R153),$U153,$T153)))=Milestones!$AB$134),TEXT(EDATE($D153,Milestones!$AA$134),"dd/mm/yy")&amp;" "&amp;Milestones!$AB$134&amp;" "&amp;Milestones!$AC$134&amp;";  ","")&amp;IF(AND(EDATE($D153,Milestones!$AA$135)&lt;=AsOfDate,IF($Q153=0,$W153,IF(AND($S153&lt;&gt;"",EDATE($D153,Milestones!$AA$135)&gt;=$S153),$V153,IF(AND($R153&lt;&gt;"",EDATE($D153,Milestones!$AA$135)&gt;=$R153),$U153,$T153)))=Milestones!$AB$135),TEXT(EDATE($D153,Milestones!$AA$135),"dd/mm/yy")&amp;" "&amp;Milestones!$AB$135&amp;" "&amp;Milestones!$AC$135&amp;";  ","")&amp;IF(AND(EDATE($D153,Milestones!$AA$136)&lt;=AsOfDate,IF($Q153=0,$W153,IF(AND($S153&lt;&gt;"",EDATE($D153,Milestones!$AA$136)&gt;=$S153),$V153,IF(AND($R153&lt;&gt;"",EDATE($D153,Milestones!$AA$136)&gt;=$R153),$U153,$T153)))=Milestones!$AB$136),TEXT(EDATE($D153,Milestones!$AA$136),"dd/mm/yy")&amp;" "&amp;Milestones!$AB$136&amp;" "&amp;Milestones!$AC$136&amp;";  ","")&amp;IF(AND(EDATE($D153,Milestones!$AA$137)&lt;=AsOfDate,IF($Q153=0,$W153,IF(AND($S153&lt;&gt;"",EDATE($D153,Milestones!$AA$137)&gt;=$S153),$V153,IF(AND($R153&lt;&gt;"",EDATE($D153,Milestones!$AA$137)&gt;=$R153),$U153,$T153)))=Milestones!$AB$137),TEXT(EDATE($D153,Milestones!$AA$137),"dd/mm/yy")&amp;" "&amp;Milestones!$AB$137&amp;" "&amp;Milestones!$AC$137&amp;";  ","")&amp;IF(AND(EDATE($D153,Milestones!$AA$138)&lt;=AsOfDate,IF($Q153=0,$W153,IF(AND($S153&lt;&gt;"",EDATE($D153,Milestones!$AA$138)&gt;=$S153),$V153,IF(AND($R153&lt;&gt;"",EDATE($D153,Milestones!$AA$138)&gt;=$R153),$U153,$T153)))=Milestones!$AB$138),TEXT(EDATE($D153,Milestones!$AA$138),"dd/mm/yy")&amp;" "&amp;Milestones!$AB$138&amp;" "&amp;Milestones!$AC$138&amp;";  ","")&amp;IF(AND(EDATE($D153,Milestones!$AA$139)&lt;=AsOfDate,IF($Q153=0,$W153,IF(AND($S153&lt;&gt;"",EDATE($D153,Milestones!$AA$139)&gt;=$S153),$V153,IF(AND($R153&lt;&gt;"",EDATE($D153,Milestones!$AA$139)&gt;=$R153),$U153,$T153)))=Milestones!$AB$139),TEXT(EDATE($D153,Milestones!$AA$139),"dd/mm/yy")&amp;" "&amp;Milestones!$AB$139&amp;" "&amp;Milestones!$AC$139&amp;";  ",""))</f>
        <v/>
      </c>
      <c r="N153" s="0" t="str">
        <f aca="false">IF(OR($A153="",$D153=""),"",IF(AND(EDATE($D153,Milestones!$AA$140)&lt;=AsOfDate,IF($Q153=0,$W153,IF(AND($S153&lt;&gt;"",EDATE($D153,Milestones!$AA$140)&gt;=$S153),$V153,IF(AND($R153&lt;&gt;"",EDATE($D153,Milestones!$AA$140)&gt;=$R153),$U153,$T153)))=Milestones!$AB$140),TEXT(EDATE($D153,Milestones!$AA$140),"dd/mm/yy")&amp;" "&amp;Milestones!$AB$140&amp;" "&amp;Milestones!$AC$140&amp;";  ","")&amp;IF(AND(EDATE($D153,Milestones!$AA$141)&lt;=AsOfDate,IF($Q153=0,$W153,IF(AND($S153&lt;&gt;"",EDATE($D153,Milestones!$AA$141)&gt;=$S153),$V153,IF(AND($R153&lt;&gt;"",EDATE($D153,Milestones!$AA$141)&gt;=$R153),$U153,$T153)))=Milestones!$AB$141),TEXT(EDATE($D153,Milestones!$AA$141),"dd/mm/yy")&amp;" "&amp;Milestones!$AB$141&amp;" "&amp;Milestones!$AC$141&amp;";  ","")&amp;IF(AND(EDATE($D153,Milestones!$AA$142)&lt;=AsOfDate,IF($Q153=0,$W153,IF(AND($S153&lt;&gt;"",EDATE($D153,Milestones!$AA$142)&gt;=$S153),$V153,IF(AND($R153&lt;&gt;"",EDATE($D153,Milestones!$AA$142)&gt;=$R153),$U153,$T153)))=Milestones!$AB$142),TEXT(EDATE($D153,Milestones!$AA$142),"dd/mm/yy")&amp;" "&amp;Milestones!$AB$142&amp;" "&amp;Milestones!$AC$142&amp;";  ","")&amp;IF(AND(EDATE($D153,Milestones!$AA$143)&lt;=AsOfDate,IF($Q153=0,$W153,IF(AND($S153&lt;&gt;"",EDATE($D153,Milestones!$AA$143)&gt;=$S153),$V153,IF(AND($R153&lt;&gt;"",EDATE($D153,Milestones!$AA$143)&gt;=$R153),$U153,$T153)))=Milestones!$AB$143),TEXT(EDATE($D153,Milestones!$AA$143),"dd/mm/yy")&amp;" "&amp;Milestones!$AB$143&amp;" "&amp;Milestones!$AC$143&amp;";  ","")&amp;IF(AND(EDATE($D153,Milestones!$AA$144)&lt;=AsOfDate,IF($Q153=0,$W153,IF(AND($S153&lt;&gt;"",EDATE($D153,Milestones!$AA$144)&gt;=$S153),$V153,IF(AND($R153&lt;&gt;"",EDATE($D153,Milestones!$AA$144)&gt;=$R153),$U153,$T153)))=Milestones!$AB$144),TEXT(EDATE($D153,Milestones!$AA$144),"dd/mm/yy")&amp;" "&amp;Milestones!$AB$144&amp;" "&amp;Milestones!$AC$144&amp;";  ","")&amp;IF(AND(EDATE($D153,Milestones!$AA$145)&lt;=AsOfDate,IF($Q153=0,$W153,IF(AND($S153&lt;&gt;"",EDATE($D153,Milestones!$AA$145)&gt;=$S153),$V153,IF(AND($R153&lt;&gt;"",EDATE($D153,Milestones!$AA$145)&gt;=$R153),$U153,$T153)))=Milestones!$AB$145),TEXT(EDATE($D153,Milestones!$AA$145),"dd/mm/yy")&amp;" "&amp;Milestones!$AB$145&amp;" "&amp;Milestones!$AC$145&amp;";  ","")&amp;IF(AND(EDATE($D153,Milestones!$AA$146)&lt;=AsOfDate,IF($Q153=0,$W153,IF(AND($S153&lt;&gt;"",EDATE($D153,Milestones!$AA$146)&gt;=$S153),$V153,IF(AND($R153&lt;&gt;"",EDATE($D153,Milestones!$AA$146)&gt;=$R153),$U153,$T153)))=Milestones!$AB$146),TEXT(EDATE($D153,Milestones!$AA$146),"dd/mm/yy")&amp;" "&amp;Milestones!$AB$146&amp;" "&amp;Milestones!$AC$146&amp;";  ","")&amp;IF(AND(EDATE($D153,Milestones!$AA$147)&lt;=AsOfDate,IF($Q153=0,$W153,IF(AND($S153&lt;&gt;"",EDATE($D153,Milestones!$AA$147)&gt;=$S153),$V153,IF(AND($R153&lt;&gt;"",EDATE($D153,Milestones!$AA$147)&gt;=$R153),$U153,$T153)))=Milestones!$AB$147),TEXT(EDATE($D153,Milestones!$AA$147),"dd/mm/yy")&amp;" "&amp;Milestones!$AB$147&amp;" "&amp;Milestones!$AC$147&amp;";  ","")&amp;IF(AND(EDATE($D153,Milestones!$AA$148)&lt;=AsOfDate,IF($Q153=0,$W153,IF(AND($S153&lt;&gt;"",EDATE($D153,Milestones!$AA$148)&gt;=$S153),$V153,IF(AND($R153&lt;&gt;"",EDATE($D153,Milestones!$AA$148)&gt;=$R153),$U153,$T153)))=Milestones!$AB$148),TEXT(EDATE($D153,Milestones!$AA$148),"dd/mm/yy")&amp;" "&amp;Milestones!$AB$148&amp;" "&amp;Milestones!$AC$148&amp;";  ","")&amp;IF(AND(EDATE($D153,Milestones!$AA$149)&lt;=AsOfDate,IF($Q153=0,$W153,IF(AND($S153&lt;&gt;"",EDATE($D153,Milestones!$AA$149)&gt;=$S153),$V153,IF(AND($R153&lt;&gt;"",EDATE($D153,Milestones!$AA$149)&gt;=$R153),$U153,$T153)))=Milestones!$AB$149),TEXT(EDATE($D153,Milestones!$AA$149),"dd/mm/yy")&amp;" "&amp;Milestones!$AB$149&amp;" "&amp;Milestones!$AC$149&amp;";  ","")&amp;IF(AND(EDATE($D153,Milestones!$AA$150)&lt;=AsOfDate,IF($Q153=0,$W153,IF(AND($S153&lt;&gt;"",EDATE($D153,Milestones!$AA$150)&gt;=$S153),$V153,IF(AND($R153&lt;&gt;"",EDATE($D153,Milestones!$AA$150)&gt;=$R153),$U153,$T153)))=Milestones!$AB$150),TEXT(EDATE($D153,Milestones!$AA$150),"dd/mm/yy")&amp;" "&amp;Milestones!$AB$150&amp;" "&amp;Milestones!$AC$150&amp;";  ","")&amp;IF(AND(EDATE($D153,Milestones!$AA$151)&lt;=AsOfDate,IF($Q153=0,$W153,IF(AND($S153&lt;&gt;"",EDATE($D153,Milestones!$AA$151)&gt;=$S153),$V153,IF(AND($R153&lt;&gt;"",EDATE($D153,Milestones!$AA$151)&gt;=$R153),$U153,$T153)))=Milestones!$AB$151),TEXT(EDATE($D153,Milestones!$AA$151),"dd/mm/yy")&amp;" "&amp;Milestones!$AB$151&amp;" "&amp;Milestones!$AC$151&amp;";  ","")&amp;IF(AND(EDATE($D153,Milestones!$AA$152)&lt;=AsOfDate,IF($Q153=0,$W153,IF(AND($S153&lt;&gt;"",EDATE($D153,Milestones!$AA$152)&gt;=$S153),$V153,IF(AND($R153&lt;&gt;"",EDATE($D153,Milestones!$AA$152)&gt;=$R153),$U153,$T153)))=Milestones!$AB$152),TEXT(EDATE($D153,Milestones!$AA$152),"dd/mm/yy")&amp;" "&amp;Milestones!$AB$152&amp;" "&amp;Milestones!$AC$152&amp;";  ","")&amp;IF(AND(EDATE($D153,Milestones!$AA$153)&lt;=AsOfDate,IF($Q153=0,$W153,IF(AND($S153&lt;&gt;"",EDATE($D153,Milestones!$AA$153)&gt;=$S153),$V153,IF(AND($R153&lt;&gt;"",EDATE($D153,Milestones!$AA$153)&gt;=$R153),$U153,$T153)))=Milestones!$AB$153),TEXT(EDATE($D153,Milestones!$AA$153),"dd/mm/yy")&amp;" "&amp;Milestones!$AB$153&amp;" "&amp;Milestones!$AC$153&amp;";  ","")&amp;IF(AND(EDATE($D153,Milestones!$AA$154)&lt;=AsOfDate,IF($Q153=0,$W153,IF(AND($S153&lt;&gt;"",EDATE($D153,Milestones!$AA$154)&gt;=$S153),$V153,IF(AND($R153&lt;&gt;"",EDATE($D153,Milestones!$AA$154)&gt;=$R153),$U153,$T153)))=Milestones!$AB$154),TEXT(EDATE($D153,Milestones!$AA$154),"dd/mm/yy")&amp;" "&amp;Milestones!$AB$154&amp;" "&amp;Milestones!$AC$154&amp;";  ","")&amp;IF(AND(EDATE($D153,Milestones!$AA$155)&lt;=AsOfDate,IF($Q153=0,$W153,IF(AND($S153&lt;&gt;"",EDATE($D153,Milestones!$AA$155)&gt;=$S153),$V153,IF(AND($R153&lt;&gt;"",EDATE($D153,Milestones!$AA$155)&gt;=$R153),$U153,$T153)))=Milestones!$AB$155),TEXT(EDATE($D153,Milestones!$AA$155),"dd/mm/yy")&amp;" "&amp;Milestones!$AB$155&amp;" "&amp;Milestones!$AC$155&amp;";  ","")&amp;IF(AND(EDATE($D153,Milestones!$AA$156)&lt;=AsOfDate,IF($Q153=0,$W153,IF(AND($S153&lt;&gt;"",EDATE($D153,Milestones!$AA$156)&gt;=$S153),$V153,IF(AND($R153&lt;&gt;"",EDATE($D153,Milestones!$AA$156)&gt;=$R153),$U153,$T153)))=Milestones!$AB$156),TEXT(EDATE($D153,Milestones!$AA$156),"dd/mm/yy")&amp;" "&amp;Milestones!$AB$156&amp;" "&amp;Milestones!$AC$156&amp;";  ","")&amp;IF(AND(EDATE($D153,Milestones!$AA$157)&lt;=AsOfDate,IF($Q153=0,$W153,IF(AND($S153&lt;&gt;"",EDATE($D153,Milestones!$AA$157)&gt;=$S153),$V153,IF(AND($R153&lt;&gt;"",EDATE($D153,Milestones!$AA$157)&gt;=$R153),$U153,$T153)))=Milestones!$AB$157),TEXT(EDATE($D153,Milestones!$AA$157),"dd/mm/yy")&amp;" "&amp;Milestones!$AB$157&amp;" "&amp;Milestones!$AC$157&amp;";  ","")&amp;IF(AND(EDATE($D153,Milestones!$AA$158)&lt;=AsOfDate,IF($Q153=0,$W153,IF(AND($S153&lt;&gt;"",EDATE($D153,Milestones!$AA$158)&gt;=$S153),$V153,IF(AND($R153&lt;&gt;"",EDATE($D153,Milestones!$AA$158)&gt;=$R153),$U153,$T153)))=Milestones!$AB$158),TEXT(EDATE($D153,Milestones!$AA$158),"dd/mm/yy")&amp;" "&amp;Milestones!$AB$158&amp;" "&amp;Milestones!$AC$158&amp;";  ","")&amp;IF(AND(EDATE($D153,Milestones!$AA$159)&lt;=AsOfDate,IF($Q153=0,$W153,IF(AND($S153&lt;&gt;"",EDATE($D153,Milestones!$AA$159)&gt;=$S153),$V153,IF(AND($R153&lt;&gt;"",EDATE($D153,Milestones!$AA$159)&gt;=$R153),$U153,$T153)))=Milestones!$AB$159),TEXT(EDATE($D153,Milestones!$AA$159),"dd/mm/yy")&amp;" "&amp;Milestones!$AB$159&amp;" "&amp;Milestones!$AC$159&amp;";  ",""))</f>
        <v/>
      </c>
      <c r="O153" s="0" t="str">
        <f aca="false">IF(OR($A153="",$D153=""),"",IF(AND(EDATE($D153,Milestones!$AA$160)&lt;=AsOfDate,IF($Q153=0,$W153,IF(AND($S153&lt;&gt;"",EDATE($D153,Milestones!$AA$160)&gt;=$S153),$V153,IF(AND($R153&lt;&gt;"",EDATE($D153,Milestones!$AA$160)&gt;=$R153),$U153,$T153)))=Milestones!$AB$160),TEXT(EDATE($D153,Milestones!$AA$160),"dd/mm/yy")&amp;" "&amp;Milestones!$AB$160&amp;" "&amp;Milestones!$AC$160&amp;";  ","")&amp;IF(AND(EDATE($D153,Milestones!$AA$161)&lt;=AsOfDate,IF($Q153=0,$W153,IF(AND($S153&lt;&gt;"",EDATE($D153,Milestones!$AA$161)&gt;=$S153),$V153,IF(AND($R153&lt;&gt;"",EDATE($D153,Milestones!$AA$161)&gt;=$R153),$U153,$T153)))=Milestones!$AB$161),TEXT(EDATE($D153,Milestones!$AA$161),"dd/mm/yy")&amp;" "&amp;Milestones!$AB$161&amp;" "&amp;Milestones!$AC$161&amp;";  ","")&amp;IF(AND(EDATE($D153,Milestones!$AA$162)&lt;=AsOfDate,IF($Q153=0,$W153,IF(AND($S153&lt;&gt;"",EDATE($D153,Milestones!$AA$162)&gt;=$S153),$V153,IF(AND($R153&lt;&gt;"",EDATE($D153,Milestones!$AA$162)&gt;=$R153),$U153,$T153)))=Milestones!$AB$162),TEXT(EDATE($D153,Milestones!$AA$162),"dd/mm/yy")&amp;" "&amp;Milestones!$AB$162&amp;" "&amp;Milestones!$AC$162&amp;";  ","")&amp;IF(AND(EDATE($D153,Milestones!$AA$163)&lt;=AsOfDate,IF($Q153=0,$W153,IF(AND($S153&lt;&gt;"",EDATE($D153,Milestones!$AA$163)&gt;=$S153),$V153,IF(AND($R153&lt;&gt;"",EDATE($D153,Milestones!$AA$163)&gt;=$R153),$U153,$T153)))=Milestones!$AB$163),TEXT(EDATE($D153,Milestones!$AA$163),"dd/mm/yy")&amp;" "&amp;Milestones!$AB$163&amp;" "&amp;Milestones!$AC$163&amp;";  ","")&amp;IF(AND(EDATE($D153,Milestones!$AA$164)&lt;=AsOfDate,IF($Q153=0,$W153,IF(AND($S153&lt;&gt;"",EDATE($D153,Milestones!$AA$164)&gt;=$S153),$V153,IF(AND($R153&lt;&gt;"",EDATE($D153,Milestones!$AA$164)&gt;=$R153),$U153,$T153)))=Milestones!$AB$164),TEXT(EDATE($D153,Milestones!$AA$164),"dd/mm/yy")&amp;" "&amp;Milestones!$AB$164&amp;" "&amp;Milestones!$AC$164&amp;";  ","")&amp;IF(AND(EDATE($D153,Milestones!$AA$165)&lt;=AsOfDate,IF($Q153=0,$W153,IF(AND($S153&lt;&gt;"",EDATE($D153,Milestones!$AA$165)&gt;=$S153),$V153,IF(AND($R153&lt;&gt;"",EDATE($D153,Milestones!$AA$165)&gt;=$R153),$U153,$T153)))=Milestones!$AB$165),TEXT(EDATE($D153,Milestones!$AA$165),"dd/mm/yy")&amp;" "&amp;Milestones!$AB$165&amp;" "&amp;Milestones!$AC$165&amp;";  ","")&amp;IF(AND(EDATE($D153,Milestones!$AA$166)&lt;=AsOfDate,IF($Q153=0,$W153,IF(AND($S153&lt;&gt;"",EDATE($D153,Milestones!$AA$166)&gt;=$S153),$V153,IF(AND($R153&lt;&gt;"",EDATE($D153,Milestones!$AA$166)&gt;=$R153),$U153,$T153)))=Milestones!$AB$166),TEXT(EDATE($D153,Milestones!$AA$166),"dd/mm/yy")&amp;" "&amp;Milestones!$AB$166&amp;" "&amp;Milestones!$AC$166&amp;";  ","")&amp;IF(AND(EDATE($D153,Milestones!$AA$167)&lt;=AsOfDate,IF($Q153=0,$W153,IF(AND($S153&lt;&gt;"",EDATE($D153,Milestones!$AA$167)&gt;=$S153),$V153,IF(AND($R153&lt;&gt;"",EDATE($D153,Milestones!$AA$167)&gt;=$R153),$U153,$T153)))=Milestones!$AB$167),TEXT(EDATE($D153,Milestones!$AA$167),"dd/mm/yy")&amp;" "&amp;Milestones!$AB$167&amp;" "&amp;Milestones!$AC$167&amp;";  ","")&amp;IF(AND(EDATE($D153,Milestones!$AA$168)&lt;=AsOfDate,IF($Q153=0,$W153,IF(AND($S153&lt;&gt;"",EDATE($D153,Milestones!$AA$168)&gt;=$S153),$V153,IF(AND($R153&lt;&gt;"",EDATE($D153,Milestones!$AA$168)&gt;=$R153),$U153,$T153)))=Milestones!$AB$168),TEXT(EDATE($D153,Milestones!$AA$168),"dd/mm/yy")&amp;" "&amp;Milestones!$AB$168&amp;" "&amp;Milestones!$AC$168&amp;";  ","")&amp;IF(AND(EDATE($D153,Milestones!$AA$169)&lt;=AsOfDate,IF($Q153=0,$W153,IF(AND($S153&lt;&gt;"",EDATE($D153,Milestones!$AA$169)&gt;=$S153),$V153,IF(AND($R153&lt;&gt;"",EDATE($D153,Milestones!$AA$169)&gt;=$R153),$U153,$T153)))=Milestones!$AB$169),TEXT(EDATE($D153,Milestones!$AA$169),"dd/mm/yy")&amp;" "&amp;Milestones!$AB$169&amp;" "&amp;Milestones!$AC$169&amp;";  ","")&amp;IF(AND(EDATE($D153,Milestones!$AA$170)&lt;=AsOfDate,IF($Q153=0,$W153,IF(AND($S153&lt;&gt;"",EDATE($D153,Milestones!$AA$170)&gt;=$S153),$V153,IF(AND($R153&lt;&gt;"",EDATE($D153,Milestones!$AA$170)&gt;=$R153),$U153,$T153)))=Milestones!$AB$170),TEXT(EDATE($D153,Milestones!$AA$170),"dd/mm/yy")&amp;" "&amp;Milestones!$AB$170&amp;" "&amp;Milestones!$AC$170&amp;";  ","")&amp;IF(AND(EDATE($D153,Milestones!$AA$171)&lt;=AsOfDate,IF($Q153=0,$W153,IF(AND($S153&lt;&gt;"",EDATE($D153,Milestones!$AA$171)&gt;=$S153),$V153,IF(AND($R153&lt;&gt;"",EDATE($D153,Milestones!$AA$171)&gt;=$R153),$U153,$T153)))=Milestones!$AB$171),TEXT(EDATE($D153,Milestones!$AA$171),"dd/mm/yy")&amp;" "&amp;Milestones!$AB$171&amp;" "&amp;Milestones!$AC$171&amp;";  ","")&amp;IF(AND(EDATE($D153,Milestones!$AA$172)&lt;=AsOfDate,IF($Q153=0,$W153,IF(AND($S153&lt;&gt;"",EDATE($D153,Milestones!$AA$172)&gt;=$S153),$V153,IF(AND($R153&lt;&gt;"",EDATE($D153,Milestones!$AA$172)&gt;=$R153),$U153,$T153)))=Milestones!$AB$172),TEXT(EDATE($D153,Milestones!$AA$172),"dd/mm/yy")&amp;" "&amp;Milestones!$AB$172&amp;" "&amp;Milestones!$AC$172&amp;";  ","")&amp;IF(AND(EDATE($D153,Milestones!$AA$173)&lt;=AsOfDate,IF($Q153=0,$W153,IF(AND($S153&lt;&gt;"",EDATE($D153,Milestones!$AA$173)&gt;=$S153),$V153,IF(AND($R153&lt;&gt;"",EDATE($D153,Milestones!$AA$173)&gt;=$R153),$U153,$T153)))=Milestones!$AB$173),TEXT(EDATE($D153,Milestones!$AA$173),"dd/mm/yy")&amp;" "&amp;Milestones!$AB$173&amp;" "&amp;Milestones!$AC$173&amp;";  ","")&amp;IF(AND(EDATE($D153,Milestones!$AA$174)&lt;=AsOfDate,IF($Q153=0,$W153,IF(AND($S153&lt;&gt;"",EDATE($D153,Milestones!$AA$174)&gt;=$S153),$V153,IF(AND($R153&lt;&gt;"",EDATE($D153,Milestones!$AA$174)&gt;=$R153),$U153,$T153)))=Milestones!$AB$174),TEXT(EDATE($D153,Milestones!$AA$174),"dd/mm/yy")&amp;" "&amp;Milestones!$AB$174&amp;" "&amp;Milestones!$AC$174&amp;";  ","")&amp;IF(AND(EDATE($D153,Milestones!$AA$175)&lt;=AsOfDate,IF($Q153=0,$W153,IF(AND($S153&lt;&gt;"",EDATE($D153,Milestones!$AA$175)&gt;=$S153),$V153,IF(AND($R153&lt;&gt;"",EDATE($D153,Milestones!$AA$175)&gt;=$R153),$U153,$T153)))=Milestones!$AB$175),TEXT(EDATE($D153,Milestones!$AA$175),"dd/mm/yy")&amp;" "&amp;Milestones!$AB$175&amp;" "&amp;Milestones!$AC$175&amp;";  ","")&amp;IF(AND(EDATE($D153,Milestones!$AA$176)&lt;=AsOfDate,IF($Q153=0,$W153,IF(AND($S153&lt;&gt;"",EDATE($D153,Milestones!$AA$176)&gt;=$S153),$V153,IF(AND($R153&lt;&gt;"",EDATE($D153,Milestones!$AA$176)&gt;=$R153),$U153,$T153)))=Milestones!$AB$176),TEXT(EDATE($D153,Milestones!$AA$176),"dd/mm/yy")&amp;" "&amp;Milestones!$AB$176&amp;" "&amp;Milestones!$AC$176&amp;";  ","")&amp;IF(AND(EDATE($D153,Milestones!$AA$177)&lt;=AsOfDate,IF($Q153=0,$W153,IF(AND($S153&lt;&gt;"",EDATE($D153,Milestones!$AA$177)&gt;=$S153),$V153,IF(AND($R153&lt;&gt;"",EDATE($D153,Milestones!$AA$177)&gt;=$R153),$U153,$T153)))=Milestones!$AB$177),TEXT(EDATE($D153,Milestones!$AA$177),"dd/mm/yy")&amp;" "&amp;Milestones!$AB$177&amp;" "&amp;Milestones!$AC$177&amp;";  ","")&amp;IF(AND(EDATE($D153,Milestones!$AA$178)&lt;=AsOfDate,IF($Q153=0,$W153,IF(AND($S153&lt;&gt;"",EDATE($D153,Milestones!$AA$178)&gt;=$S153),$V153,IF(AND($R153&lt;&gt;"",EDATE($D153,Milestones!$AA$178)&gt;=$R153),$U153,$T153)))=Milestones!$AB$178),TEXT(EDATE($D153,Milestones!$AA$178),"dd/mm/yy")&amp;" "&amp;Milestones!$AB$178&amp;" "&amp;Milestones!$AC$178&amp;";  ","")&amp;IF(AND(EDATE($D153,Milestones!$AA$179)&lt;=AsOfDate,IF($Q153=0,$W153,IF(AND($S153&lt;&gt;"",EDATE($D153,Milestones!$AA$179)&gt;=$S153),$V153,IF(AND($R153&lt;&gt;"",EDATE($D153,Milestones!$AA$179)&gt;=$R153),$U153,$T153)))=Milestones!$AB$179),TEXT(EDATE($D153,Milestones!$AA$179),"dd/mm/yy")&amp;" "&amp;Milestones!$AB$179&amp;" "&amp;Milestones!$AC$179&amp;";  ",""))</f>
        <v/>
      </c>
      <c r="P153" s="0" t="str">
        <f aca="false">IF(OR($A153="",$D153=""),"",IF(AND(EDATE($D153,Milestones!$AA$180)&lt;=AsOfDate,IF($Q153=0,$W153,IF(AND($S153&lt;&gt;"",EDATE($D153,Milestones!$AA$180)&gt;=$S153),$V153,IF(AND($R153&lt;&gt;"",EDATE($D153,Milestones!$AA$180)&gt;=$R153),$U153,$T153)))=Milestones!$AB$180),TEXT(EDATE($D153,Milestones!$AA$180),"dd/mm/yy")&amp;" "&amp;Milestones!$AB$180&amp;" "&amp;Milestones!$AC$180&amp;";  ","")&amp;IF(AND(EDATE($D153,Milestones!$AA$181)&lt;=AsOfDate,IF($Q153=0,$W153,IF(AND($S153&lt;&gt;"",EDATE($D153,Milestones!$AA$181)&gt;=$S153),$V153,IF(AND($R153&lt;&gt;"",EDATE($D153,Milestones!$AA$181)&gt;=$R153),$U153,$T153)))=Milestones!$AB$181),TEXT(EDATE($D153,Milestones!$AA$181),"dd/mm/yy")&amp;" "&amp;Milestones!$AB$181&amp;" "&amp;Milestones!$AC$181&amp;";  ","")&amp;IF(AND(EDATE($D153,Milestones!$AA$182)&lt;=AsOfDate,IF($Q153=0,$W153,IF(AND($S153&lt;&gt;"",EDATE($D153,Milestones!$AA$182)&gt;=$S153),$V153,IF(AND($R153&lt;&gt;"",EDATE($D153,Milestones!$AA$182)&gt;=$R153),$U153,$T153)))=Milestones!$AB$182),TEXT(EDATE($D153,Milestones!$AA$182),"dd/mm/yy")&amp;" "&amp;Milestones!$AB$182&amp;" "&amp;Milestones!$AC$182&amp;";  ","")&amp;IF(AND(EDATE($D153,Milestones!$AA$183)&lt;=AsOfDate,IF($Q153=0,$W153,IF(AND($S153&lt;&gt;"",EDATE($D153,Milestones!$AA$183)&gt;=$S153),$V153,IF(AND($R153&lt;&gt;"",EDATE($D153,Milestones!$AA$183)&gt;=$R153),$U153,$T153)))=Milestones!$AB$183),TEXT(EDATE($D153,Milestones!$AA$183),"dd/mm/yy")&amp;" "&amp;Milestones!$AB$183&amp;" "&amp;Milestones!$AC$183&amp;";  ","")&amp;IF(AND(EDATE($D153,Milestones!$AA$184)&lt;=AsOfDate,IF($Q153=0,$W153,IF(AND($S153&lt;&gt;"",EDATE($D153,Milestones!$AA$184)&gt;=$S153),$V153,IF(AND($R153&lt;&gt;"",EDATE($D153,Milestones!$AA$184)&gt;=$R153),$U153,$T153)))=Milestones!$AB$184),TEXT(EDATE($D153,Milestones!$AA$184),"dd/mm/yy")&amp;" "&amp;Milestones!$AB$184&amp;" "&amp;Milestones!$AC$184&amp;";  ","")&amp;IF(AND(EDATE($D153,Milestones!$AA$185)&lt;=AsOfDate,IF($Q153=0,$W153,IF(AND($S153&lt;&gt;"",EDATE($D153,Milestones!$AA$185)&gt;=$S153),$V153,IF(AND($R153&lt;&gt;"",EDATE($D153,Milestones!$AA$185)&gt;=$R153),$U153,$T153)))=Milestones!$AB$185),TEXT(EDATE($D153,Milestones!$AA$185),"dd/mm/yy")&amp;" "&amp;Milestones!$AB$185&amp;" "&amp;Milestones!$AC$185&amp;";  ","")&amp;IF(AND(EDATE($D153,Milestones!$AA$186)&lt;=AsOfDate,IF($Q153=0,$W153,IF(AND($S153&lt;&gt;"",EDATE($D153,Milestones!$AA$186)&gt;=$S153),$V153,IF(AND($R153&lt;&gt;"",EDATE($D153,Milestones!$AA$186)&gt;=$R153),$U153,$T153)))=Milestones!$AB$186),TEXT(EDATE($D153,Milestones!$AA$186),"dd/mm/yy")&amp;" "&amp;Milestones!$AB$186&amp;" "&amp;Milestones!$AC$186&amp;";  ","")&amp;IF(AND(EDATE($D153,Milestones!$AA$187)&lt;=AsOfDate,IF($Q153=0,$W153,IF(AND($S153&lt;&gt;"",EDATE($D153,Milestones!$AA$187)&gt;=$S153),$V153,IF(AND($R153&lt;&gt;"",EDATE($D153,Milestones!$AA$187)&gt;=$R153),$U153,$T153)))=Milestones!$AB$187),TEXT(EDATE($D153,Milestones!$AA$187),"dd/mm/yy")&amp;" "&amp;Milestones!$AB$187&amp;" "&amp;Milestones!$AC$187&amp;";  ","")&amp;IF(AND(EDATE($D153,Milestones!$AA$188)&lt;=AsOfDate,IF($Q153=0,$W153,IF(AND($S153&lt;&gt;"",EDATE($D153,Milestones!$AA$188)&gt;=$S153),$V153,IF(AND($R153&lt;&gt;"",EDATE($D153,Milestones!$AA$188)&gt;=$R153),$U153,$T153)))=Milestones!$AB$188),TEXT(EDATE($D153,Milestones!$AA$188),"dd/mm/yy")&amp;" "&amp;Milestones!$AB$188&amp;" "&amp;Milestones!$AC$188&amp;";  ","")&amp;IF(AND(EDATE($D153,Milestones!$AA$189)&lt;=AsOfDate,IF($Q153=0,$W153,IF(AND($S153&lt;&gt;"",EDATE($D153,Milestones!$AA$189)&gt;=$S153),$V153,IF(AND($R153&lt;&gt;"",EDATE($D153,Milestones!$AA$189)&gt;=$R153),$U153,$T153)))=Milestones!$AB$189),TEXT(EDATE($D153,Milestones!$AA$189),"dd/mm/yy")&amp;" "&amp;Milestones!$AB$189&amp;" "&amp;Milestones!$AC$189&amp;";  ","")&amp;IF(AND(EDATE($D153,Milestones!$AA$190)&lt;=AsOfDate,IF($Q153=0,$W153,IF(AND($S153&lt;&gt;"",EDATE($D153,Milestones!$AA$190)&gt;=$S153),$V153,IF(AND($R153&lt;&gt;"",EDATE($D153,Milestones!$AA$190)&gt;=$R153),$U153,$T153)))=Milestones!$AB$190),TEXT(EDATE($D153,Milestones!$AA$190),"dd/mm/yy")&amp;" "&amp;Milestones!$AB$190&amp;" "&amp;Milestones!$AC$190&amp;";  ","")&amp;IF(AND(EDATE($D153,Milestones!$AA$191)&lt;=AsOfDate,IF($Q153=0,$W153,IF(AND($S153&lt;&gt;"",EDATE($D153,Milestones!$AA$191)&gt;=$S153),$V153,IF(AND($R153&lt;&gt;"",EDATE($D153,Milestones!$AA$191)&gt;=$R153),$U153,$T153)))=Milestones!$AB$191),TEXT(EDATE($D153,Milestones!$AA$191),"dd/mm/yy")&amp;" "&amp;Milestones!$AB$191&amp;" "&amp;Milestones!$AC$191&amp;";  ","")&amp;IF(AND(EDATE($D153,Milestones!$AA$192)&lt;=AsOfDate,IF($Q153=0,$W153,IF(AND($S153&lt;&gt;"",EDATE($D153,Milestones!$AA$192)&gt;=$S153),$V153,IF(AND($R153&lt;&gt;"",EDATE($D153,Milestones!$AA$192)&gt;=$R153),$U153,$T153)))=Milestones!$AB$192),TEXT(EDATE($D153,Milestones!$AA$192),"dd/mm/yy")&amp;" "&amp;Milestones!$AB$192&amp;" "&amp;Milestones!$AC$192&amp;";  ","")&amp;IF(AND(EDATE($D153,Milestones!$AA$193)&lt;=AsOfDate,IF($Q153=0,$W153,IF(AND($S153&lt;&gt;"",EDATE($D153,Milestones!$AA$193)&gt;=$S153),$V153,IF(AND($R153&lt;&gt;"",EDATE($D153,Milestones!$AA$193)&gt;=$R153),$U153,$T153)))=Milestones!$AB$193),TEXT(EDATE($D153,Milestones!$AA$193),"dd/mm/yy")&amp;" "&amp;Milestones!$AB$193&amp;" "&amp;Milestones!$AC$193&amp;";  ","")&amp;IF(AND(EDATE($D153,Milestones!$AA$194)&lt;=AsOfDate,IF($Q153=0,$W153,IF(AND($S153&lt;&gt;"",EDATE($D153,Milestones!$AA$194)&gt;=$S153),$V153,IF(AND($R153&lt;&gt;"",EDATE($D153,Milestones!$AA$194)&gt;=$R153),$U153,$T153)))=Milestones!$AB$194),TEXT(EDATE($D153,Milestones!$AA$194),"dd/mm/yy")&amp;" "&amp;Milestones!$AB$194&amp;" "&amp;Milestones!$AC$194&amp;";  ","")&amp;IF(AND(EDATE($D153,Milestones!$AA$195)&lt;=AsOfDate,IF($Q153=0,$W153,IF(AND($S153&lt;&gt;"",EDATE($D153,Milestones!$AA$195)&gt;=$S153),$V153,IF(AND($R153&lt;&gt;"",EDATE($D153,Milestones!$AA$195)&gt;=$R153),$U153,$T153)))=Milestones!$AB$195),TEXT(EDATE($D153,Milestones!$AA$195),"dd/mm/yy")&amp;" "&amp;Milestones!$AB$195&amp;" "&amp;Milestones!$AC$195&amp;";  ","")&amp;IF(AND(EDATE($D153,Milestones!$AA$196)&lt;=AsOfDate,IF($Q153=0,$W153,IF(AND($S153&lt;&gt;"",EDATE($D153,Milestones!$AA$196)&gt;=$S153),$V153,IF(AND($R153&lt;&gt;"",EDATE($D153,Milestones!$AA$196)&gt;=$R153),$U153,$T153)))=Milestones!$AB$196),TEXT(EDATE($D153,Milestones!$AA$196),"dd/mm/yy")&amp;" "&amp;Milestones!$AB$196&amp;" "&amp;Milestones!$AC$196&amp;";  ","")&amp;IF(AND(EDATE($D153,Milestones!$AA$197)&lt;=AsOfDate,IF($Q153=0,$W153,IF(AND($S153&lt;&gt;"",EDATE($D153,Milestones!$AA$197)&gt;=$S153),$V153,IF(AND($R153&lt;&gt;"",EDATE($D153,Milestones!$AA$197)&gt;=$R153),$U153,$T153)))=Milestones!$AB$197),TEXT(EDATE($D153,Milestones!$AA$197),"dd/mm/yy")&amp;" "&amp;Milestones!$AB$197&amp;" "&amp;Milestones!$AC$197&amp;";  ","")&amp;IF(AND(EDATE($D153,Milestones!$AA$198)&lt;=AsOfDate,IF($Q153=0,$W153,IF(AND($S153&lt;&gt;"",EDATE($D153,Milestones!$AA$198)&gt;=$S153),$V153,IF(AND($R153&lt;&gt;"",EDATE($D153,Milestones!$AA$198)&gt;=$R153),$U153,$T153)))=Milestones!$AB$198),TEXT(EDATE($D153,Milestones!$AA$198),"dd/mm/yy")&amp;" "&amp;Milestones!$AB$198&amp;" "&amp;Milestones!$AC$198&amp;";  ","")&amp;IF(AND(EDATE($D153,Milestones!$AA$199)&lt;=AsOfDate,IF($Q153=0,$W153,IF(AND($S153&lt;&gt;"",EDATE($D153,Milestones!$AA$199)&gt;=$S153),$V153,IF(AND($R153&lt;&gt;"",EDATE($D153,Milestones!$AA$199)&gt;=$R153),$U153,$T153)))=Milestones!$AB$199),TEXT(EDATE($D153,Milestones!$AA$199),"dd/mm/yy")&amp;" "&amp;Milestones!$AB$199&amp;" "&amp;Milestones!$AC$199&amp;";  ",""))</f>
        <v/>
      </c>
      <c r="Q153" s="0" t="str">
        <f aca="false">IF(Staff!$A153="","",Staff!$AG153)</f>
        <v/>
      </c>
      <c r="R153" s="0" t="str">
        <f aca="false">IF(Staff!$A153="","",Staff!$AI153)</f>
        <v/>
      </c>
      <c r="S153" s="0" t="str">
        <f aca="false">IF(Staff!$A153="","",Staff!$AJ153)</f>
        <v/>
      </c>
      <c r="T153" s="0" t="str">
        <f aca="false">IF(Staff!$A153="","",Staff!$AN153)</f>
        <v/>
      </c>
      <c r="U153" s="0" t="str">
        <f aca="false">IF(Staff!$A153="","",Staff!$AO153)</f>
        <v/>
      </c>
      <c r="V153" s="0" t="str">
        <f aca="false">IF(Staff!$A153="","",Staff!$AP153)</f>
        <v/>
      </c>
      <c r="W153" s="0" t="str">
        <f aca="false">IF(Staff!$A153="","",Staff!$AQ153)</f>
        <v/>
      </c>
    </row>
    <row r="154" customFormat="false" ht="15" hidden="false" customHeight="false" outlineLevel="0" collapsed="false">
      <c r="A154" s="13" t="str">
        <f aca="false">IF(Staff!$A154="","",Staff!$A154)</f>
        <v/>
      </c>
      <c r="B154" s="13" t="str">
        <f aca="false">IF(Staff!$A154="","",Staff!$B154)</f>
        <v/>
      </c>
      <c r="C154" s="13" t="str">
        <f aca="false">IF(Staff!$A154="","",Staff!$C154)</f>
        <v/>
      </c>
      <c r="D154" s="11" t="str">
        <f aca="false">IF(Staff!$A154="","",Staff!$AF154)</f>
        <v/>
      </c>
      <c r="E154" s="13" t="str">
        <f aca="false">IF(Staff!$A154="","",Staff!$O154)</f>
        <v/>
      </c>
      <c r="F154" s="13" t="str">
        <f aca="false">IF(E154="","",E154*HoursPerDay)</f>
        <v/>
      </c>
      <c r="G154" s="26" t="str">
        <f aca="false">IF($A154="","",H154&amp;I154&amp;J154&amp;K154&amp;L154&amp;M154&amp;N154&amp;O154&amp;P154)</f>
        <v/>
      </c>
      <c r="H154" s="0" t="str">
        <f aca="false">IF(OR($A154="",$D154=""),"",IF(AND(EDATE($D154,Milestones!$AA$20)&lt;=AsOfDate,IF($Q154=0,$W154,IF(AND($S154&lt;&gt;"",EDATE($D154,Milestones!$AA$20)&gt;=$S154),$V154,IF(AND($R154&lt;&gt;"",EDATE($D154,Milestones!$AA$20)&gt;=$R154),$U154,$T154)))=Milestones!$AB$20),TEXT(EDATE($D154,Milestones!$AA$20),"dd/mm/yy")&amp;" "&amp;Milestones!$AB$20&amp;" "&amp;Milestones!$AC$20&amp;";  ","")&amp;IF(AND(EDATE($D154,Milestones!$AA$21)&lt;=AsOfDate,IF($Q154=0,$W154,IF(AND($S154&lt;&gt;"",EDATE($D154,Milestones!$AA$21)&gt;=$S154),$V154,IF(AND($R154&lt;&gt;"",EDATE($D154,Milestones!$AA$21)&gt;=$R154),$U154,$T154)))=Milestones!$AB$21),TEXT(EDATE($D154,Milestones!$AA$21),"dd/mm/yy")&amp;" "&amp;Milestones!$AB$21&amp;" "&amp;Milestones!$AC$21&amp;";  ","")&amp;IF(AND(EDATE($D154,Milestones!$AA$22)&lt;=AsOfDate,IF($Q154=0,$W154,IF(AND($S154&lt;&gt;"",EDATE($D154,Milestones!$AA$22)&gt;=$S154),$V154,IF(AND($R154&lt;&gt;"",EDATE($D154,Milestones!$AA$22)&gt;=$R154),$U154,$T154)))=Milestones!$AB$22),TEXT(EDATE($D154,Milestones!$AA$22),"dd/mm/yy")&amp;" "&amp;Milestones!$AB$22&amp;" "&amp;Milestones!$AC$22&amp;";  ","")&amp;IF(AND(EDATE($D154,Milestones!$AA$23)&lt;=AsOfDate,IF($Q154=0,$W154,IF(AND($S154&lt;&gt;"",EDATE($D154,Milestones!$AA$23)&gt;=$S154),$V154,IF(AND($R154&lt;&gt;"",EDATE($D154,Milestones!$AA$23)&gt;=$R154),$U154,$T154)))=Milestones!$AB$23),TEXT(EDATE($D154,Milestones!$AA$23),"dd/mm/yy")&amp;" "&amp;Milestones!$AB$23&amp;" "&amp;Milestones!$AC$23&amp;";  ","")&amp;IF(AND(EDATE($D154,Milestones!$AA$24)&lt;=AsOfDate,IF($Q154=0,$W154,IF(AND($S154&lt;&gt;"",EDATE($D154,Milestones!$AA$24)&gt;=$S154),$V154,IF(AND($R154&lt;&gt;"",EDATE($D154,Milestones!$AA$24)&gt;=$R154),$U154,$T154)))=Milestones!$AB$24),TEXT(EDATE($D154,Milestones!$AA$24),"dd/mm/yy")&amp;" "&amp;Milestones!$AB$24&amp;" "&amp;Milestones!$AC$24&amp;";  ","")&amp;IF(AND(EDATE($D154,Milestones!$AA$25)&lt;=AsOfDate,IF($Q154=0,$W154,IF(AND($S154&lt;&gt;"",EDATE($D154,Milestones!$AA$25)&gt;=$S154),$V154,IF(AND($R154&lt;&gt;"",EDATE($D154,Milestones!$AA$25)&gt;=$R154),$U154,$T154)))=Milestones!$AB$25),TEXT(EDATE($D154,Milestones!$AA$25),"dd/mm/yy")&amp;" "&amp;Milestones!$AB$25&amp;" "&amp;Milestones!$AC$25&amp;";  ","")&amp;IF(AND(EDATE($D154,Milestones!$AA$26)&lt;=AsOfDate,IF($Q154=0,$W154,IF(AND($S154&lt;&gt;"",EDATE($D154,Milestones!$AA$26)&gt;=$S154),$V154,IF(AND($R154&lt;&gt;"",EDATE($D154,Milestones!$AA$26)&gt;=$R154),$U154,$T154)))=Milestones!$AB$26),TEXT(EDATE($D154,Milestones!$AA$26),"dd/mm/yy")&amp;" "&amp;Milestones!$AB$26&amp;" "&amp;Milestones!$AC$26&amp;";  ","")&amp;IF(AND(EDATE($D154,Milestones!$AA$27)&lt;=AsOfDate,IF($Q154=0,$W154,IF(AND($S154&lt;&gt;"",EDATE($D154,Milestones!$AA$27)&gt;=$S154),$V154,IF(AND($R154&lt;&gt;"",EDATE($D154,Milestones!$AA$27)&gt;=$R154),$U154,$T154)))=Milestones!$AB$27),TEXT(EDATE($D154,Milestones!$AA$27),"dd/mm/yy")&amp;" "&amp;Milestones!$AB$27&amp;" "&amp;Milestones!$AC$27&amp;";  ","")&amp;IF(AND(EDATE($D154,Milestones!$AA$28)&lt;=AsOfDate,IF($Q154=0,$W154,IF(AND($S154&lt;&gt;"",EDATE($D154,Milestones!$AA$28)&gt;=$S154),$V154,IF(AND($R154&lt;&gt;"",EDATE($D154,Milestones!$AA$28)&gt;=$R154),$U154,$T154)))=Milestones!$AB$28),TEXT(EDATE($D154,Milestones!$AA$28),"dd/mm/yy")&amp;" "&amp;Milestones!$AB$28&amp;" "&amp;Milestones!$AC$28&amp;";  ","")&amp;IF(AND(EDATE($D154,Milestones!$AA$29)&lt;=AsOfDate,IF($Q154=0,$W154,IF(AND($S154&lt;&gt;"",EDATE($D154,Milestones!$AA$29)&gt;=$S154),$V154,IF(AND($R154&lt;&gt;"",EDATE($D154,Milestones!$AA$29)&gt;=$R154),$U154,$T154)))=Milestones!$AB$29),TEXT(EDATE($D154,Milestones!$AA$29),"dd/mm/yy")&amp;" "&amp;Milestones!$AB$29&amp;" "&amp;Milestones!$AC$29&amp;";  ","")&amp;IF(AND(EDATE($D154,Milestones!$AA$30)&lt;=AsOfDate,IF($Q154=0,$W154,IF(AND($S154&lt;&gt;"",EDATE($D154,Milestones!$AA$30)&gt;=$S154),$V154,IF(AND($R154&lt;&gt;"",EDATE($D154,Milestones!$AA$30)&gt;=$R154),$U154,$T154)))=Milestones!$AB$30),TEXT(EDATE($D154,Milestones!$AA$30),"dd/mm/yy")&amp;" "&amp;Milestones!$AB$30&amp;" "&amp;Milestones!$AC$30&amp;";  ","")&amp;IF(AND(EDATE($D154,Milestones!$AA$31)&lt;=AsOfDate,IF($Q154=0,$W154,IF(AND($S154&lt;&gt;"",EDATE($D154,Milestones!$AA$31)&gt;=$S154),$V154,IF(AND($R154&lt;&gt;"",EDATE($D154,Milestones!$AA$31)&gt;=$R154),$U154,$T154)))=Milestones!$AB$31),TEXT(EDATE($D154,Milestones!$AA$31),"dd/mm/yy")&amp;" "&amp;Milestones!$AB$31&amp;" "&amp;Milestones!$AC$31&amp;";  ","")&amp;IF(AND(EDATE($D154,Milestones!$AA$32)&lt;=AsOfDate,IF($Q154=0,$W154,IF(AND($S154&lt;&gt;"",EDATE($D154,Milestones!$AA$32)&gt;=$S154),$V154,IF(AND($R154&lt;&gt;"",EDATE($D154,Milestones!$AA$32)&gt;=$R154),$U154,$T154)))=Milestones!$AB$32),TEXT(EDATE($D154,Milestones!$AA$32),"dd/mm/yy")&amp;" "&amp;Milestones!$AB$32&amp;" "&amp;Milestones!$AC$32&amp;";  ","")&amp;IF(AND(EDATE($D154,Milestones!$AA$33)&lt;=AsOfDate,IF($Q154=0,$W154,IF(AND($S154&lt;&gt;"",EDATE($D154,Milestones!$AA$33)&gt;=$S154),$V154,IF(AND($R154&lt;&gt;"",EDATE($D154,Milestones!$AA$33)&gt;=$R154),$U154,$T154)))=Milestones!$AB$33),TEXT(EDATE($D154,Milestones!$AA$33),"dd/mm/yy")&amp;" "&amp;Milestones!$AB$33&amp;" "&amp;Milestones!$AC$33&amp;";  ","")&amp;IF(AND(EDATE($D154,Milestones!$AA$34)&lt;=AsOfDate,IF($Q154=0,$W154,IF(AND($S154&lt;&gt;"",EDATE($D154,Milestones!$AA$34)&gt;=$S154),$V154,IF(AND($R154&lt;&gt;"",EDATE($D154,Milestones!$AA$34)&gt;=$R154),$U154,$T154)))=Milestones!$AB$34),TEXT(EDATE($D154,Milestones!$AA$34),"dd/mm/yy")&amp;" "&amp;Milestones!$AB$34&amp;" "&amp;Milestones!$AC$34&amp;";  ","")&amp;IF(AND(EDATE($D154,Milestones!$AA$35)&lt;=AsOfDate,IF($Q154=0,$W154,IF(AND($S154&lt;&gt;"",EDATE($D154,Milestones!$AA$35)&gt;=$S154),$V154,IF(AND($R154&lt;&gt;"",EDATE($D154,Milestones!$AA$35)&gt;=$R154),$U154,$T154)))=Milestones!$AB$35),TEXT(EDATE($D154,Milestones!$AA$35),"dd/mm/yy")&amp;" "&amp;Milestones!$AB$35&amp;" "&amp;Milestones!$AC$35&amp;";  ","")&amp;IF(AND(EDATE($D154,Milestones!$AA$36)&lt;=AsOfDate,IF($Q154=0,$W154,IF(AND($S154&lt;&gt;"",EDATE($D154,Milestones!$AA$36)&gt;=$S154),$V154,IF(AND($R154&lt;&gt;"",EDATE($D154,Milestones!$AA$36)&gt;=$R154),$U154,$T154)))=Milestones!$AB$36),TEXT(EDATE($D154,Milestones!$AA$36),"dd/mm/yy")&amp;" "&amp;Milestones!$AB$36&amp;" "&amp;Milestones!$AC$36&amp;";  ","")&amp;IF(AND(EDATE($D154,Milestones!$AA$37)&lt;=AsOfDate,IF($Q154=0,$W154,IF(AND($S154&lt;&gt;"",EDATE($D154,Milestones!$AA$37)&gt;=$S154),$V154,IF(AND($R154&lt;&gt;"",EDATE($D154,Milestones!$AA$37)&gt;=$R154),$U154,$T154)))=Milestones!$AB$37),TEXT(EDATE($D154,Milestones!$AA$37),"dd/mm/yy")&amp;" "&amp;Milestones!$AB$37&amp;" "&amp;Milestones!$AC$37&amp;";  ","")&amp;IF(AND(EDATE($D154,Milestones!$AA$38)&lt;=AsOfDate,IF($Q154=0,$W154,IF(AND($S154&lt;&gt;"",EDATE($D154,Milestones!$AA$38)&gt;=$S154),$V154,IF(AND($R154&lt;&gt;"",EDATE($D154,Milestones!$AA$38)&gt;=$R154),$U154,$T154)))=Milestones!$AB$38),TEXT(EDATE($D154,Milestones!$AA$38),"dd/mm/yy")&amp;" "&amp;Milestones!$AB$38&amp;" "&amp;Milestones!$AC$38&amp;";  ","")&amp;IF(AND(EDATE($D154,Milestones!$AA$39)&lt;=AsOfDate,IF($Q154=0,$W154,IF(AND($S154&lt;&gt;"",EDATE($D154,Milestones!$AA$39)&gt;=$S154),$V154,IF(AND($R154&lt;&gt;"",EDATE($D154,Milestones!$AA$39)&gt;=$R154),$U154,$T154)))=Milestones!$AB$39),TEXT(EDATE($D154,Milestones!$AA$39),"dd/mm/yy")&amp;" "&amp;Milestones!$AB$39&amp;" "&amp;Milestones!$AC$39&amp;";  ",""))</f>
        <v/>
      </c>
      <c r="I154" s="0" t="str">
        <f aca="false">IF(OR($A154="",$D154=""),"",IF(AND(EDATE($D154,Milestones!$AA$40)&lt;=AsOfDate,IF($Q154=0,$W154,IF(AND($S154&lt;&gt;"",EDATE($D154,Milestones!$AA$40)&gt;=$S154),$V154,IF(AND($R154&lt;&gt;"",EDATE($D154,Milestones!$AA$40)&gt;=$R154),$U154,$T154)))=Milestones!$AB$40),TEXT(EDATE($D154,Milestones!$AA$40),"dd/mm/yy")&amp;" "&amp;Milestones!$AB$40&amp;" "&amp;Milestones!$AC$40&amp;";  ","")&amp;IF(AND(EDATE($D154,Milestones!$AA$41)&lt;=AsOfDate,IF($Q154=0,$W154,IF(AND($S154&lt;&gt;"",EDATE($D154,Milestones!$AA$41)&gt;=$S154),$V154,IF(AND($R154&lt;&gt;"",EDATE($D154,Milestones!$AA$41)&gt;=$R154),$U154,$T154)))=Milestones!$AB$41),TEXT(EDATE($D154,Milestones!$AA$41),"dd/mm/yy")&amp;" "&amp;Milestones!$AB$41&amp;" "&amp;Milestones!$AC$41&amp;";  ","")&amp;IF(AND(EDATE($D154,Milestones!$AA$42)&lt;=AsOfDate,IF($Q154=0,$W154,IF(AND($S154&lt;&gt;"",EDATE($D154,Milestones!$AA$42)&gt;=$S154),$V154,IF(AND($R154&lt;&gt;"",EDATE($D154,Milestones!$AA$42)&gt;=$R154),$U154,$T154)))=Milestones!$AB$42),TEXT(EDATE($D154,Milestones!$AA$42),"dd/mm/yy")&amp;" "&amp;Milestones!$AB$42&amp;" "&amp;Milestones!$AC$42&amp;";  ","")&amp;IF(AND(EDATE($D154,Milestones!$AA$43)&lt;=AsOfDate,IF($Q154=0,$W154,IF(AND($S154&lt;&gt;"",EDATE($D154,Milestones!$AA$43)&gt;=$S154),$V154,IF(AND($R154&lt;&gt;"",EDATE($D154,Milestones!$AA$43)&gt;=$R154),$U154,$T154)))=Milestones!$AB$43),TEXT(EDATE($D154,Milestones!$AA$43),"dd/mm/yy")&amp;" "&amp;Milestones!$AB$43&amp;" "&amp;Milestones!$AC$43&amp;";  ","")&amp;IF(AND(EDATE($D154,Milestones!$AA$44)&lt;=AsOfDate,IF($Q154=0,$W154,IF(AND($S154&lt;&gt;"",EDATE($D154,Milestones!$AA$44)&gt;=$S154),$V154,IF(AND($R154&lt;&gt;"",EDATE($D154,Milestones!$AA$44)&gt;=$R154),$U154,$T154)))=Milestones!$AB$44),TEXT(EDATE($D154,Milestones!$AA$44),"dd/mm/yy")&amp;" "&amp;Milestones!$AB$44&amp;" "&amp;Milestones!$AC$44&amp;";  ","")&amp;IF(AND(EDATE($D154,Milestones!$AA$45)&lt;=AsOfDate,IF($Q154=0,$W154,IF(AND($S154&lt;&gt;"",EDATE($D154,Milestones!$AA$45)&gt;=$S154),$V154,IF(AND($R154&lt;&gt;"",EDATE($D154,Milestones!$AA$45)&gt;=$R154),$U154,$T154)))=Milestones!$AB$45),TEXT(EDATE($D154,Milestones!$AA$45),"dd/mm/yy")&amp;" "&amp;Milestones!$AB$45&amp;" "&amp;Milestones!$AC$45&amp;";  ","")&amp;IF(AND(EDATE($D154,Milestones!$AA$46)&lt;=AsOfDate,IF($Q154=0,$W154,IF(AND($S154&lt;&gt;"",EDATE($D154,Milestones!$AA$46)&gt;=$S154),$V154,IF(AND($R154&lt;&gt;"",EDATE($D154,Milestones!$AA$46)&gt;=$R154),$U154,$T154)))=Milestones!$AB$46),TEXT(EDATE($D154,Milestones!$AA$46),"dd/mm/yy")&amp;" "&amp;Milestones!$AB$46&amp;" "&amp;Milestones!$AC$46&amp;";  ","")&amp;IF(AND(EDATE($D154,Milestones!$AA$47)&lt;=AsOfDate,IF($Q154=0,$W154,IF(AND($S154&lt;&gt;"",EDATE($D154,Milestones!$AA$47)&gt;=$S154),$V154,IF(AND($R154&lt;&gt;"",EDATE($D154,Milestones!$AA$47)&gt;=$R154),$U154,$T154)))=Milestones!$AB$47),TEXT(EDATE($D154,Milestones!$AA$47),"dd/mm/yy")&amp;" "&amp;Milestones!$AB$47&amp;" "&amp;Milestones!$AC$47&amp;";  ","")&amp;IF(AND(EDATE($D154,Milestones!$AA$48)&lt;=AsOfDate,IF($Q154=0,$W154,IF(AND($S154&lt;&gt;"",EDATE($D154,Milestones!$AA$48)&gt;=$S154),$V154,IF(AND($R154&lt;&gt;"",EDATE($D154,Milestones!$AA$48)&gt;=$R154),$U154,$T154)))=Milestones!$AB$48),TEXT(EDATE($D154,Milestones!$AA$48),"dd/mm/yy")&amp;" "&amp;Milestones!$AB$48&amp;" "&amp;Milestones!$AC$48&amp;";  ","")&amp;IF(AND(EDATE($D154,Milestones!$AA$49)&lt;=AsOfDate,IF($Q154=0,$W154,IF(AND($S154&lt;&gt;"",EDATE($D154,Milestones!$AA$49)&gt;=$S154),$V154,IF(AND($R154&lt;&gt;"",EDATE($D154,Milestones!$AA$49)&gt;=$R154),$U154,$T154)))=Milestones!$AB$49),TEXT(EDATE($D154,Milestones!$AA$49),"dd/mm/yy")&amp;" "&amp;Milestones!$AB$49&amp;" "&amp;Milestones!$AC$49&amp;";  ","")&amp;IF(AND(EDATE($D154,Milestones!$AA$50)&lt;=AsOfDate,IF($Q154=0,$W154,IF(AND($S154&lt;&gt;"",EDATE($D154,Milestones!$AA$50)&gt;=$S154),$V154,IF(AND($R154&lt;&gt;"",EDATE($D154,Milestones!$AA$50)&gt;=$R154),$U154,$T154)))=Milestones!$AB$50),TEXT(EDATE($D154,Milestones!$AA$50),"dd/mm/yy")&amp;" "&amp;Milestones!$AB$50&amp;" "&amp;Milestones!$AC$50&amp;";  ","")&amp;IF(AND(EDATE($D154,Milestones!$AA$51)&lt;=AsOfDate,IF($Q154=0,$W154,IF(AND($S154&lt;&gt;"",EDATE($D154,Milestones!$AA$51)&gt;=$S154),$V154,IF(AND($R154&lt;&gt;"",EDATE($D154,Milestones!$AA$51)&gt;=$R154),$U154,$T154)))=Milestones!$AB$51),TEXT(EDATE($D154,Milestones!$AA$51),"dd/mm/yy")&amp;" "&amp;Milestones!$AB$51&amp;" "&amp;Milestones!$AC$51&amp;";  ","")&amp;IF(AND(EDATE($D154,Milestones!$AA$52)&lt;=AsOfDate,IF($Q154=0,$W154,IF(AND($S154&lt;&gt;"",EDATE($D154,Milestones!$AA$52)&gt;=$S154),$V154,IF(AND($R154&lt;&gt;"",EDATE($D154,Milestones!$AA$52)&gt;=$R154),$U154,$T154)))=Milestones!$AB$52),TEXT(EDATE($D154,Milestones!$AA$52),"dd/mm/yy")&amp;" "&amp;Milestones!$AB$52&amp;" "&amp;Milestones!$AC$52&amp;";  ","")&amp;IF(AND(EDATE($D154,Milestones!$AA$53)&lt;=AsOfDate,IF($Q154=0,$W154,IF(AND($S154&lt;&gt;"",EDATE($D154,Milestones!$AA$53)&gt;=$S154),$V154,IF(AND($R154&lt;&gt;"",EDATE($D154,Milestones!$AA$53)&gt;=$R154),$U154,$T154)))=Milestones!$AB$53),TEXT(EDATE($D154,Milestones!$AA$53),"dd/mm/yy")&amp;" "&amp;Milestones!$AB$53&amp;" "&amp;Milestones!$AC$53&amp;";  ","")&amp;IF(AND(EDATE($D154,Milestones!$AA$54)&lt;=AsOfDate,IF($Q154=0,$W154,IF(AND($S154&lt;&gt;"",EDATE($D154,Milestones!$AA$54)&gt;=$S154),$V154,IF(AND($R154&lt;&gt;"",EDATE($D154,Milestones!$AA$54)&gt;=$R154),$U154,$T154)))=Milestones!$AB$54),TEXT(EDATE($D154,Milestones!$AA$54),"dd/mm/yy")&amp;" "&amp;Milestones!$AB$54&amp;" "&amp;Milestones!$AC$54&amp;";  ","")&amp;IF(AND(EDATE($D154,Milestones!$AA$55)&lt;=AsOfDate,IF($Q154=0,$W154,IF(AND($S154&lt;&gt;"",EDATE($D154,Milestones!$AA$55)&gt;=$S154),$V154,IF(AND($R154&lt;&gt;"",EDATE($D154,Milestones!$AA$55)&gt;=$R154),$U154,$T154)))=Milestones!$AB$55),TEXT(EDATE($D154,Milestones!$AA$55),"dd/mm/yy")&amp;" "&amp;Milestones!$AB$55&amp;" "&amp;Milestones!$AC$55&amp;";  ","")&amp;IF(AND(EDATE($D154,Milestones!$AA$56)&lt;=AsOfDate,IF($Q154=0,$W154,IF(AND($S154&lt;&gt;"",EDATE($D154,Milestones!$AA$56)&gt;=$S154),$V154,IF(AND($R154&lt;&gt;"",EDATE($D154,Milestones!$AA$56)&gt;=$R154),$U154,$T154)))=Milestones!$AB$56),TEXT(EDATE($D154,Milestones!$AA$56),"dd/mm/yy")&amp;" "&amp;Milestones!$AB$56&amp;" "&amp;Milestones!$AC$56&amp;";  ","")&amp;IF(AND(EDATE($D154,Milestones!$AA$57)&lt;=AsOfDate,IF($Q154=0,$W154,IF(AND($S154&lt;&gt;"",EDATE($D154,Milestones!$AA$57)&gt;=$S154),$V154,IF(AND($R154&lt;&gt;"",EDATE($D154,Milestones!$AA$57)&gt;=$R154),$U154,$T154)))=Milestones!$AB$57),TEXT(EDATE($D154,Milestones!$AA$57),"dd/mm/yy")&amp;" "&amp;Milestones!$AB$57&amp;" "&amp;Milestones!$AC$57&amp;";  ","")&amp;IF(AND(EDATE($D154,Milestones!$AA$58)&lt;=AsOfDate,IF($Q154=0,$W154,IF(AND($S154&lt;&gt;"",EDATE($D154,Milestones!$AA$58)&gt;=$S154),$V154,IF(AND($R154&lt;&gt;"",EDATE($D154,Milestones!$AA$58)&gt;=$R154),$U154,$T154)))=Milestones!$AB$58),TEXT(EDATE($D154,Milestones!$AA$58),"dd/mm/yy")&amp;" "&amp;Milestones!$AB$58&amp;" "&amp;Milestones!$AC$58&amp;";  ","")&amp;IF(AND(EDATE($D154,Milestones!$AA$59)&lt;=AsOfDate,IF($Q154=0,$W154,IF(AND($S154&lt;&gt;"",EDATE($D154,Milestones!$AA$59)&gt;=$S154),$V154,IF(AND($R154&lt;&gt;"",EDATE($D154,Milestones!$AA$59)&gt;=$R154),$U154,$T154)))=Milestones!$AB$59),TEXT(EDATE($D154,Milestones!$AA$59),"dd/mm/yy")&amp;" "&amp;Milestones!$AB$59&amp;" "&amp;Milestones!$AC$59&amp;";  ",""))</f>
        <v/>
      </c>
      <c r="J154" s="0" t="str">
        <f aca="false">IF(OR($A154="",$D154=""),"",IF(AND(EDATE($D154,Milestones!$AA$60)&lt;=AsOfDate,IF($Q154=0,$W154,IF(AND($S154&lt;&gt;"",EDATE($D154,Milestones!$AA$60)&gt;=$S154),$V154,IF(AND($R154&lt;&gt;"",EDATE($D154,Milestones!$AA$60)&gt;=$R154),$U154,$T154)))=Milestones!$AB$60),TEXT(EDATE($D154,Milestones!$AA$60),"dd/mm/yy")&amp;" "&amp;Milestones!$AB$60&amp;" "&amp;Milestones!$AC$60&amp;";  ","")&amp;IF(AND(EDATE($D154,Milestones!$AA$61)&lt;=AsOfDate,IF($Q154=0,$W154,IF(AND($S154&lt;&gt;"",EDATE($D154,Milestones!$AA$61)&gt;=$S154),$V154,IF(AND($R154&lt;&gt;"",EDATE($D154,Milestones!$AA$61)&gt;=$R154),$U154,$T154)))=Milestones!$AB$61),TEXT(EDATE($D154,Milestones!$AA$61),"dd/mm/yy")&amp;" "&amp;Milestones!$AB$61&amp;" "&amp;Milestones!$AC$61&amp;";  ","")&amp;IF(AND(EDATE($D154,Milestones!$AA$62)&lt;=AsOfDate,IF($Q154=0,$W154,IF(AND($S154&lt;&gt;"",EDATE($D154,Milestones!$AA$62)&gt;=$S154),$V154,IF(AND($R154&lt;&gt;"",EDATE($D154,Milestones!$AA$62)&gt;=$R154),$U154,$T154)))=Milestones!$AB$62),TEXT(EDATE($D154,Milestones!$AA$62),"dd/mm/yy")&amp;" "&amp;Milestones!$AB$62&amp;" "&amp;Milestones!$AC$62&amp;";  ","")&amp;IF(AND(EDATE($D154,Milestones!$AA$63)&lt;=AsOfDate,IF($Q154=0,$W154,IF(AND($S154&lt;&gt;"",EDATE($D154,Milestones!$AA$63)&gt;=$S154),$V154,IF(AND($R154&lt;&gt;"",EDATE($D154,Milestones!$AA$63)&gt;=$R154),$U154,$T154)))=Milestones!$AB$63),TEXT(EDATE($D154,Milestones!$AA$63),"dd/mm/yy")&amp;" "&amp;Milestones!$AB$63&amp;" "&amp;Milestones!$AC$63&amp;";  ","")&amp;IF(AND(EDATE($D154,Milestones!$AA$64)&lt;=AsOfDate,IF($Q154=0,$W154,IF(AND($S154&lt;&gt;"",EDATE($D154,Milestones!$AA$64)&gt;=$S154),$V154,IF(AND($R154&lt;&gt;"",EDATE($D154,Milestones!$AA$64)&gt;=$R154),$U154,$T154)))=Milestones!$AB$64),TEXT(EDATE($D154,Milestones!$AA$64),"dd/mm/yy")&amp;" "&amp;Milestones!$AB$64&amp;" "&amp;Milestones!$AC$64&amp;";  ","")&amp;IF(AND(EDATE($D154,Milestones!$AA$65)&lt;=AsOfDate,IF($Q154=0,$W154,IF(AND($S154&lt;&gt;"",EDATE($D154,Milestones!$AA$65)&gt;=$S154),$V154,IF(AND($R154&lt;&gt;"",EDATE($D154,Milestones!$AA$65)&gt;=$R154),$U154,$T154)))=Milestones!$AB$65),TEXT(EDATE($D154,Milestones!$AA$65),"dd/mm/yy")&amp;" "&amp;Milestones!$AB$65&amp;" "&amp;Milestones!$AC$65&amp;";  ","")&amp;IF(AND(EDATE($D154,Milestones!$AA$66)&lt;=AsOfDate,IF($Q154=0,$W154,IF(AND($S154&lt;&gt;"",EDATE($D154,Milestones!$AA$66)&gt;=$S154),$V154,IF(AND($R154&lt;&gt;"",EDATE($D154,Milestones!$AA$66)&gt;=$R154),$U154,$T154)))=Milestones!$AB$66),TEXT(EDATE($D154,Milestones!$AA$66),"dd/mm/yy")&amp;" "&amp;Milestones!$AB$66&amp;" "&amp;Milestones!$AC$66&amp;";  ","")&amp;IF(AND(EDATE($D154,Milestones!$AA$67)&lt;=AsOfDate,IF($Q154=0,$W154,IF(AND($S154&lt;&gt;"",EDATE($D154,Milestones!$AA$67)&gt;=$S154),$V154,IF(AND($R154&lt;&gt;"",EDATE($D154,Milestones!$AA$67)&gt;=$R154),$U154,$T154)))=Milestones!$AB$67),TEXT(EDATE($D154,Milestones!$AA$67),"dd/mm/yy")&amp;" "&amp;Milestones!$AB$67&amp;" "&amp;Milestones!$AC$67&amp;";  ","")&amp;IF(AND(EDATE($D154,Milestones!$AA$68)&lt;=AsOfDate,IF($Q154=0,$W154,IF(AND($S154&lt;&gt;"",EDATE($D154,Milestones!$AA$68)&gt;=$S154),$V154,IF(AND($R154&lt;&gt;"",EDATE($D154,Milestones!$AA$68)&gt;=$R154),$U154,$T154)))=Milestones!$AB$68),TEXT(EDATE($D154,Milestones!$AA$68),"dd/mm/yy")&amp;" "&amp;Milestones!$AB$68&amp;" "&amp;Milestones!$AC$68&amp;";  ","")&amp;IF(AND(EDATE($D154,Milestones!$AA$69)&lt;=AsOfDate,IF($Q154=0,$W154,IF(AND($S154&lt;&gt;"",EDATE($D154,Milestones!$AA$69)&gt;=$S154),$V154,IF(AND($R154&lt;&gt;"",EDATE($D154,Milestones!$AA$69)&gt;=$R154),$U154,$T154)))=Milestones!$AB$69),TEXT(EDATE($D154,Milestones!$AA$69),"dd/mm/yy")&amp;" "&amp;Milestones!$AB$69&amp;" "&amp;Milestones!$AC$69&amp;";  ","")&amp;IF(AND(EDATE($D154,Milestones!$AA$70)&lt;=AsOfDate,IF($Q154=0,$W154,IF(AND($S154&lt;&gt;"",EDATE($D154,Milestones!$AA$70)&gt;=$S154),$V154,IF(AND($R154&lt;&gt;"",EDATE($D154,Milestones!$AA$70)&gt;=$R154),$U154,$T154)))=Milestones!$AB$70),TEXT(EDATE($D154,Milestones!$AA$70),"dd/mm/yy")&amp;" "&amp;Milestones!$AB$70&amp;" "&amp;Milestones!$AC$70&amp;";  ","")&amp;IF(AND(EDATE($D154,Milestones!$AA$71)&lt;=AsOfDate,IF($Q154=0,$W154,IF(AND($S154&lt;&gt;"",EDATE($D154,Milestones!$AA$71)&gt;=$S154),$V154,IF(AND($R154&lt;&gt;"",EDATE($D154,Milestones!$AA$71)&gt;=$R154),$U154,$T154)))=Milestones!$AB$71),TEXT(EDATE($D154,Milestones!$AA$71),"dd/mm/yy")&amp;" "&amp;Milestones!$AB$71&amp;" "&amp;Milestones!$AC$71&amp;";  ","")&amp;IF(AND(EDATE($D154,Milestones!$AA$72)&lt;=AsOfDate,IF($Q154=0,$W154,IF(AND($S154&lt;&gt;"",EDATE($D154,Milestones!$AA$72)&gt;=$S154),$V154,IF(AND($R154&lt;&gt;"",EDATE($D154,Milestones!$AA$72)&gt;=$R154),$U154,$T154)))=Milestones!$AB$72),TEXT(EDATE($D154,Milestones!$AA$72),"dd/mm/yy")&amp;" "&amp;Milestones!$AB$72&amp;" "&amp;Milestones!$AC$72&amp;";  ","")&amp;IF(AND(EDATE($D154,Milestones!$AA$73)&lt;=AsOfDate,IF($Q154=0,$W154,IF(AND($S154&lt;&gt;"",EDATE($D154,Milestones!$AA$73)&gt;=$S154),$V154,IF(AND($R154&lt;&gt;"",EDATE($D154,Milestones!$AA$73)&gt;=$R154),$U154,$T154)))=Milestones!$AB$73),TEXT(EDATE($D154,Milestones!$AA$73),"dd/mm/yy")&amp;" "&amp;Milestones!$AB$73&amp;" "&amp;Milestones!$AC$73&amp;";  ","")&amp;IF(AND(EDATE($D154,Milestones!$AA$74)&lt;=AsOfDate,IF($Q154=0,$W154,IF(AND($S154&lt;&gt;"",EDATE($D154,Milestones!$AA$74)&gt;=$S154),$V154,IF(AND($R154&lt;&gt;"",EDATE($D154,Milestones!$AA$74)&gt;=$R154),$U154,$T154)))=Milestones!$AB$74),TEXT(EDATE($D154,Milestones!$AA$74),"dd/mm/yy")&amp;" "&amp;Milestones!$AB$74&amp;" "&amp;Milestones!$AC$74&amp;";  ","")&amp;IF(AND(EDATE($D154,Milestones!$AA$75)&lt;=AsOfDate,IF($Q154=0,$W154,IF(AND($S154&lt;&gt;"",EDATE($D154,Milestones!$AA$75)&gt;=$S154),$V154,IF(AND($R154&lt;&gt;"",EDATE($D154,Milestones!$AA$75)&gt;=$R154),$U154,$T154)))=Milestones!$AB$75),TEXT(EDATE($D154,Milestones!$AA$75),"dd/mm/yy")&amp;" "&amp;Milestones!$AB$75&amp;" "&amp;Milestones!$AC$75&amp;";  ","")&amp;IF(AND(EDATE($D154,Milestones!$AA$76)&lt;=AsOfDate,IF($Q154=0,$W154,IF(AND($S154&lt;&gt;"",EDATE($D154,Milestones!$AA$76)&gt;=$S154),$V154,IF(AND($R154&lt;&gt;"",EDATE($D154,Milestones!$AA$76)&gt;=$R154),$U154,$T154)))=Milestones!$AB$76),TEXT(EDATE($D154,Milestones!$AA$76),"dd/mm/yy")&amp;" "&amp;Milestones!$AB$76&amp;" "&amp;Milestones!$AC$76&amp;";  ","")&amp;IF(AND(EDATE($D154,Milestones!$AA$77)&lt;=AsOfDate,IF($Q154=0,$W154,IF(AND($S154&lt;&gt;"",EDATE($D154,Milestones!$AA$77)&gt;=$S154),$V154,IF(AND($R154&lt;&gt;"",EDATE($D154,Milestones!$AA$77)&gt;=$R154),$U154,$T154)))=Milestones!$AB$77),TEXT(EDATE($D154,Milestones!$AA$77),"dd/mm/yy")&amp;" "&amp;Milestones!$AB$77&amp;" "&amp;Milestones!$AC$77&amp;";  ","")&amp;IF(AND(EDATE($D154,Milestones!$AA$78)&lt;=AsOfDate,IF($Q154=0,$W154,IF(AND($S154&lt;&gt;"",EDATE($D154,Milestones!$AA$78)&gt;=$S154),$V154,IF(AND($R154&lt;&gt;"",EDATE($D154,Milestones!$AA$78)&gt;=$R154),$U154,$T154)))=Milestones!$AB$78),TEXT(EDATE($D154,Milestones!$AA$78),"dd/mm/yy")&amp;" "&amp;Milestones!$AB$78&amp;" "&amp;Milestones!$AC$78&amp;";  ","")&amp;IF(AND(EDATE($D154,Milestones!$AA$79)&lt;=AsOfDate,IF($Q154=0,$W154,IF(AND($S154&lt;&gt;"",EDATE($D154,Milestones!$AA$79)&gt;=$S154),$V154,IF(AND($R154&lt;&gt;"",EDATE($D154,Milestones!$AA$79)&gt;=$R154),$U154,$T154)))=Milestones!$AB$79),TEXT(EDATE($D154,Milestones!$AA$79),"dd/mm/yy")&amp;" "&amp;Milestones!$AB$79&amp;" "&amp;Milestones!$AC$79&amp;";  ",""))</f>
        <v/>
      </c>
      <c r="K154" s="0" t="str">
        <f aca="false">IF(OR($A154="",$D154=""),"",IF(AND(EDATE($D154,Milestones!$AA$80)&lt;=AsOfDate,IF($Q154=0,$W154,IF(AND($S154&lt;&gt;"",EDATE($D154,Milestones!$AA$80)&gt;=$S154),$V154,IF(AND($R154&lt;&gt;"",EDATE($D154,Milestones!$AA$80)&gt;=$R154),$U154,$T154)))=Milestones!$AB$80),TEXT(EDATE($D154,Milestones!$AA$80),"dd/mm/yy")&amp;" "&amp;Milestones!$AB$80&amp;" "&amp;Milestones!$AC$80&amp;";  ","")&amp;IF(AND(EDATE($D154,Milestones!$AA$81)&lt;=AsOfDate,IF($Q154=0,$W154,IF(AND($S154&lt;&gt;"",EDATE($D154,Milestones!$AA$81)&gt;=$S154),$V154,IF(AND($R154&lt;&gt;"",EDATE($D154,Milestones!$AA$81)&gt;=$R154),$U154,$T154)))=Milestones!$AB$81),TEXT(EDATE($D154,Milestones!$AA$81),"dd/mm/yy")&amp;" "&amp;Milestones!$AB$81&amp;" "&amp;Milestones!$AC$81&amp;";  ","")&amp;IF(AND(EDATE($D154,Milestones!$AA$82)&lt;=AsOfDate,IF($Q154=0,$W154,IF(AND($S154&lt;&gt;"",EDATE($D154,Milestones!$AA$82)&gt;=$S154),$V154,IF(AND($R154&lt;&gt;"",EDATE($D154,Milestones!$AA$82)&gt;=$R154),$U154,$T154)))=Milestones!$AB$82),TEXT(EDATE($D154,Milestones!$AA$82),"dd/mm/yy")&amp;" "&amp;Milestones!$AB$82&amp;" "&amp;Milestones!$AC$82&amp;";  ","")&amp;IF(AND(EDATE($D154,Milestones!$AA$83)&lt;=AsOfDate,IF($Q154=0,$W154,IF(AND($S154&lt;&gt;"",EDATE($D154,Milestones!$AA$83)&gt;=$S154),$V154,IF(AND($R154&lt;&gt;"",EDATE($D154,Milestones!$AA$83)&gt;=$R154),$U154,$T154)))=Milestones!$AB$83),TEXT(EDATE($D154,Milestones!$AA$83),"dd/mm/yy")&amp;" "&amp;Milestones!$AB$83&amp;" "&amp;Milestones!$AC$83&amp;";  ","")&amp;IF(AND(EDATE($D154,Milestones!$AA$84)&lt;=AsOfDate,IF($Q154=0,$W154,IF(AND($S154&lt;&gt;"",EDATE($D154,Milestones!$AA$84)&gt;=$S154),$V154,IF(AND($R154&lt;&gt;"",EDATE($D154,Milestones!$AA$84)&gt;=$R154),$U154,$T154)))=Milestones!$AB$84),TEXT(EDATE($D154,Milestones!$AA$84),"dd/mm/yy")&amp;" "&amp;Milestones!$AB$84&amp;" "&amp;Milestones!$AC$84&amp;";  ","")&amp;IF(AND(EDATE($D154,Milestones!$AA$85)&lt;=AsOfDate,IF($Q154=0,$W154,IF(AND($S154&lt;&gt;"",EDATE($D154,Milestones!$AA$85)&gt;=$S154),$V154,IF(AND($R154&lt;&gt;"",EDATE($D154,Milestones!$AA$85)&gt;=$R154),$U154,$T154)))=Milestones!$AB$85),TEXT(EDATE($D154,Milestones!$AA$85),"dd/mm/yy")&amp;" "&amp;Milestones!$AB$85&amp;" "&amp;Milestones!$AC$85&amp;";  ","")&amp;IF(AND(EDATE($D154,Milestones!$AA$86)&lt;=AsOfDate,IF($Q154=0,$W154,IF(AND($S154&lt;&gt;"",EDATE($D154,Milestones!$AA$86)&gt;=$S154),$V154,IF(AND($R154&lt;&gt;"",EDATE($D154,Milestones!$AA$86)&gt;=$R154),$U154,$T154)))=Milestones!$AB$86),TEXT(EDATE($D154,Milestones!$AA$86),"dd/mm/yy")&amp;" "&amp;Milestones!$AB$86&amp;" "&amp;Milestones!$AC$86&amp;";  ","")&amp;IF(AND(EDATE($D154,Milestones!$AA$87)&lt;=AsOfDate,IF($Q154=0,$W154,IF(AND($S154&lt;&gt;"",EDATE($D154,Milestones!$AA$87)&gt;=$S154),$V154,IF(AND($R154&lt;&gt;"",EDATE($D154,Milestones!$AA$87)&gt;=$R154),$U154,$T154)))=Milestones!$AB$87),TEXT(EDATE($D154,Milestones!$AA$87),"dd/mm/yy")&amp;" "&amp;Milestones!$AB$87&amp;" "&amp;Milestones!$AC$87&amp;";  ","")&amp;IF(AND(EDATE($D154,Milestones!$AA$88)&lt;=AsOfDate,IF($Q154=0,$W154,IF(AND($S154&lt;&gt;"",EDATE($D154,Milestones!$AA$88)&gt;=$S154),$V154,IF(AND($R154&lt;&gt;"",EDATE($D154,Milestones!$AA$88)&gt;=$R154),$U154,$T154)))=Milestones!$AB$88),TEXT(EDATE($D154,Milestones!$AA$88),"dd/mm/yy")&amp;" "&amp;Milestones!$AB$88&amp;" "&amp;Milestones!$AC$88&amp;";  ","")&amp;IF(AND(EDATE($D154,Milestones!$AA$89)&lt;=AsOfDate,IF($Q154=0,$W154,IF(AND($S154&lt;&gt;"",EDATE($D154,Milestones!$AA$89)&gt;=$S154),$V154,IF(AND($R154&lt;&gt;"",EDATE($D154,Milestones!$AA$89)&gt;=$R154),$U154,$T154)))=Milestones!$AB$89),TEXT(EDATE($D154,Milestones!$AA$89),"dd/mm/yy")&amp;" "&amp;Milestones!$AB$89&amp;" "&amp;Milestones!$AC$89&amp;";  ","")&amp;IF(AND(EDATE($D154,Milestones!$AA$90)&lt;=AsOfDate,IF($Q154=0,$W154,IF(AND($S154&lt;&gt;"",EDATE($D154,Milestones!$AA$90)&gt;=$S154),$V154,IF(AND($R154&lt;&gt;"",EDATE($D154,Milestones!$AA$90)&gt;=$R154),$U154,$T154)))=Milestones!$AB$90),TEXT(EDATE($D154,Milestones!$AA$90),"dd/mm/yy")&amp;" "&amp;Milestones!$AB$90&amp;" "&amp;Milestones!$AC$90&amp;";  ","")&amp;IF(AND(EDATE($D154,Milestones!$AA$91)&lt;=AsOfDate,IF($Q154=0,$W154,IF(AND($S154&lt;&gt;"",EDATE($D154,Milestones!$AA$91)&gt;=$S154),$V154,IF(AND($R154&lt;&gt;"",EDATE($D154,Milestones!$AA$91)&gt;=$R154),$U154,$T154)))=Milestones!$AB$91),TEXT(EDATE($D154,Milestones!$AA$91),"dd/mm/yy")&amp;" "&amp;Milestones!$AB$91&amp;" "&amp;Milestones!$AC$91&amp;";  ","")&amp;IF(AND(EDATE($D154,Milestones!$AA$92)&lt;=AsOfDate,IF($Q154=0,$W154,IF(AND($S154&lt;&gt;"",EDATE($D154,Milestones!$AA$92)&gt;=$S154),$V154,IF(AND($R154&lt;&gt;"",EDATE($D154,Milestones!$AA$92)&gt;=$R154),$U154,$T154)))=Milestones!$AB$92),TEXT(EDATE($D154,Milestones!$AA$92),"dd/mm/yy")&amp;" "&amp;Milestones!$AB$92&amp;" "&amp;Milestones!$AC$92&amp;";  ","")&amp;IF(AND(EDATE($D154,Milestones!$AA$93)&lt;=AsOfDate,IF($Q154=0,$W154,IF(AND($S154&lt;&gt;"",EDATE($D154,Milestones!$AA$93)&gt;=$S154),$V154,IF(AND($R154&lt;&gt;"",EDATE($D154,Milestones!$AA$93)&gt;=$R154),$U154,$T154)))=Milestones!$AB$93),TEXT(EDATE($D154,Milestones!$AA$93),"dd/mm/yy")&amp;" "&amp;Milestones!$AB$93&amp;" "&amp;Milestones!$AC$93&amp;";  ","")&amp;IF(AND(EDATE($D154,Milestones!$AA$94)&lt;=AsOfDate,IF($Q154=0,$W154,IF(AND($S154&lt;&gt;"",EDATE($D154,Milestones!$AA$94)&gt;=$S154),$V154,IF(AND($R154&lt;&gt;"",EDATE($D154,Milestones!$AA$94)&gt;=$R154),$U154,$T154)))=Milestones!$AB$94),TEXT(EDATE($D154,Milestones!$AA$94),"dd/mm/yy")&amp;" "&amp;Milestones!$AB$94&amp;" "&amp;Milestones!$AC$94&amp;";  ","")&amp;IF(AND(EDATE($D154,Milestones!$AA$95)&lt;=AsOfDate,IF($Q154=0,$W154,IF(AND($S154&lt;&gt;"",EDATE($D154,Milestones!$AA$95)&gt;=$S154),$V154,IF(AND($R154&lt;&gt;"",EDATE($D154,Milestones!$AA$95)&gt;=$R154),$U154,$T154)))=Milestones!$AB$95),TEXT(EDATE($D154,Milestones!$AA$95),"dd/mm/yy")&amp;" "&amp;Milestones!$AB$95&amp;" "&amp;Milestones!$AC$95&amp;";  ","")&amp;IF(AND(EDATE($D154,Milestones!$AA$96)&lt;=AsOfDate,IF($Q154=0,$W154,IF(AND($S154&lt;&gt;"",EDATE($D154,Milestones!$AA$96)&gt;=$S154),$V154,IF(AND($R154&lt;&gt;"",EDATE($D154,Milestones!$AA$96)&gt;=$R154),$U154,$T154)))=Milestones!$AB$96),TEXT(EDATE($D154,Milestones!$AA$96),"dd/mm/yy")&amp;" "&amp;Milestones!$AB$96&amp;" "&amp;Milestones!$AC$96&amp;";  ","")&amp;IF(AND(EDATE($D154,Milestones!$AA$97)&lt;=AsOfDate,IF($Q154=0,$W154,IF(AND($S154&lt;&gt;"",EDATE($D154,Milestones!$AA$97)&gt;=$S154),$V154,IF(AND($R154&lt;&gt;"",EDATE($D154,Milestones!$AA$97)&gt;=$R154),$U154,$T154)))=Milestones!$AB$97),TEXT(EDATE($D154,Milestones!$AA$97),"dd/mm/yy")&amp;" "&amp;Milestones!$AB$97&amp;" "&amp;Milestones!$AC$97&amp;";  ","")&amp;IF(AND(EDATE($D154,Milestones!$AA$98)&lt;=AsOfDate,IF($Q154=0,$W154,IF(AND($S154&lt;&gt;"",EDATE($D154,Milestones!$AA$98)&gt;=$S154),$V154,IF(AND($R154&lt;&gt;"",EDATE($D154,Milestones!$AA$98)&gt;=$R154),$U154,$T154)))=Milestones!$AB$98),TEXT(EDATE($D154,Milestones!$AA$98),"dd/mm/yy")&amp;" "&amp;Milestones!$AB$98&amp;" "&amp;Milestones!$AC$98&amp;";  ","")&amp;IF(AND(EDATE($D154,Milestones!$AA$99)&lt;=AsOfDate,IF($Q154=0,$W154,IF(AND($S154&lt;&gt;"",EDATE($D154,Milestones!$AA$99)&gt;=$S154),$V154,IF(AND($R154&lt;&gt;"",EDATE($D154,Milestones!$AA$99)&gt;=$R154),$U154,$T154)))=Milestones!$AB$99),TEXT(EDATE($D154,Milestones!$AA$99),"dd/mm/yy")&amp;" "&amp;Milestones!$AB$99&amp;" "&amp;Milestones!$AC$99&amp;";  ",""))</f>
        <v/>
      </c>
      <c r="L154" s="0" t="str">
        <f aca="false">IF(OR($A154="",$D154=""),"",IF(AND(EDATE($D154,Milestones!$AA$100)&lt;=AsOfDate,IF($Q154=0,$W154,IF(AND($S154&lt;&gt;"",EDATE($D154,Milestones!$AA$100)&gt;=$S154),$V154,IF(AND($R154&lt;&gt;"",EDATE($D154,Milestones!$AA$100)&gt;=$R154),$U154,$T154)))=Milestones!$AB$100),TEXT(EDATE($D154,Milestones!$AA$100),"dd/mm/yy")&amp;" "&amp;Milestones!$AB$100&amp;" "&amp;Milestones!$AC$100&amp;";  ","")&amp;IF(AND(EDATE($D154,Milestones!$AA$101)&lt;=AsOfDate,IF($Q154=0,$W154,IF(AND($S154&lt;&gt;"",EDATE($D154,Milestones!$AA$101)&gt;=$S154),$V154,IF(AND($R154&lt;&gt;"",EDATE($D154,Milestones!$AA$101)&gt;=$R154),$U154,$T154)))=Milestones!$AB$101),TEXT(EDATE($D154,Milestones!$AA$101),"dd/mm/yy")&amp;" "&amp;Milestones!$AB$101&amp;" "&amp;Milestones!$AC$101&amp;";  ","")&amp;IF(AND(EDATE($D154,Milestones!$AA$102)&lt;=AsOfDate,IF($Q154=0,$W154,IF(AND($S154&lt;&gt;"",EDATE($D154,Milestones!$AA$102)&gt;=$S154),$V154,IF(AND($R154&lt;&gt;"",EDATE($D154,Milestones!$AA$102)&gt;=$R154),$U154,$T154)))=Milestones!$AB$102),TEXT(EDATE($D154,Milestones!$AA$102),"dd/mm/yy")&amp;" "&amp;Milestones!$AB$102&amp;" "&amp;Milestones!$AC$102&amp;";  ","")&amp;IF(AND(EDATE($D154,Milestones!$AA$103)&lt;=AsOfDate,IF($Q154=0,$W154,IF(AND($S154&lt;&gt;"",EDATE($D154,Milestones!$AA$103)&gt;=$S154),$V154,IF(AND($R154&lt;&gt;"",EDATE($D154,Milestones!$AA$103)&gt;=$R154),$U154,$T154)))=Milestones!$AB$103),TEXT(EDATE($D154,Milestones!$AA$103),"dd/mm/yy")&amp;" "&amp;Milestones!$AB$103&amp;" "&amp;Milestones!$AC$103&amp;";  ","")&amp;IF(AND(EDATE($D154,Milestones!$AA$104)&lt;=AsOfDate,IF($Q154=0,$W154,IF(AND($S154&lt;&gt;"",EDATE($D154,Milestones!$AA$104)&gt;=$S154),$V154,IF(AND($R154&lt;&gt;"",EDATE($D154,Milestones!$AA$104)&gt;=$R154),$U154,$T154)))=Milestones!$AB$104),TEXT(EDATE($D154,Milestones!$AA$104),"dd/mm/yy")&amp;" "&amp;Milestones!$AB$104&amp;" "&amp;Milestones!$AC$104&amp;";  ","")&amp;IF(AND(EDATE($D154,Milestones!$AA$105)&lt;=AsOfDate,IF($Q154=0,$W154,IF(AND($S154&lt;&gt;"",EDATE($D154,Milestones!$AA$105)&gt;=$S154),$V154,IF(AND($R154&lt;&gt;"",EDATE($D154,Milestones!$AA$105)&gt;=$R154),$U154,$T154)))=Milestones!$AB$105),TEXT(EDATE($D154,Milestones!$AA$105),"dd/mm/yy")&amp;" "&amp;Milestones!$AB$105&amp;" "&amp;Milestones!$AC$105&amp;";  ","")&amp;IF(AND(EDATE($D154,Milestones!$AA$106)&lt;=AsOfDate,IF($Q154=0,$W154,IF(AND($S154&lt;&gt;"",EDATE($D154,Milestones!$AA$106)&gt;=$S154),$V154,IF(AND($R154&lt;&gt;"",EDATE($D154,Milestones!$AA$106)&gt;=$R154),$U154,$T154)))=Milestones!$AB$106),TEXT(EDATE($D154,Milestones!$AA$106),"dd/mm/yy")&amp;" "&amp;Milestones!$AB$106&amp;" "&amp;Milestones!$AC$106&amp;";  ","")&amp;IF(AND(EDATE($D154,Milestones!$AA$107)&lt;=AsOfDate,IF($Q154=0,$W154,IF(AND($S154&lt;&gt;"",EDATE($D154,Milestones!$AA$107)&gt;=$S154),$V154,IF(AND($R154&lt;&gt;"",EDATE($D154,Milestones!$AA$107)&gt;=$R154),$U154,$T154)))=Milestones!$AB$107),TEXT(EDATE($D154,Milestones!$AA$107),"dd/mm/yy")&amp;" "&amp;Milestones!$AB$107&amp;" "&amp;Milestones!$AC$107&amp;";  ","")&amp;IF(AND(EDATE($D154,Milestones!$AA$108)&lt;=AsOfDate,IF($Q154=0,$W154,IF(AND($S154&lt;&gt;"",EDATE($D154,Milestones!$AA$108)&gt;=$S154),$V154,IF(AND($R154&lt;&gt;"",EDATE($D154,Milestones!$AA$108)&gt;=$R154),$U154,$T154)))=Milestones!$AB$108),TEXT(EDATE($D154,Milestones!$AA$108),"dd/mm/yy")&amp;" "&amp;Milestones!$AB$108&amp;" "&amp;Milestones!$AC$108&amp;";  ","")&amp;IF(AND(EDATE($D154,Milestones!$AA$109)&lt;=AsOfDate,IF($Q154=0,$W154,IF(AND($S154&lt;&gt;"",EDATE($D154,Milestones!$AA$109)&gt;=$S154),$V154,IF(AND($R154&lt;&gt;"",EDATE($D154,Milestones!$AA$109)&gt;=$R154),$U154,$T154)))=Milestones!$AB$109),TEXT(EDATE($D154,Milestones!$AA$109),"dd/mm/yy")&amp;" "&amp;Milestones!$AB$109&amp;" "&amp;Milestones!$AC$109&amp;";  ","")&amp;IF(AND(EDATE($D154,Milestones!$AA$110)&lt;=AsOfDate,IF($Q154=0,$W154,IF(AND($S154&lt;&gt;"",EDATE($D154,Milestones!$AA$110)&gt;=$S154),$V154,IF(AND($R154&lt;&gt;"",EDATE($D154,Milestones!$AA$110)&gt;=$R154),$U154,$T154)))=Milestones!$AB$110),TEXT(EDATE($D154,Milestones!$AA$110),"dd/mm/yy")&amp;" "&amp;Milestones!$AB$110&amp;" "&amp;Milestones!$AC$110&amp;";  ","")&amp;IF(AND(EDATE($D154,Milestones!$AA$111)&lt;=AsOfDate,IF($Q154=0,$W154,IF(AND($S154&lt;&gt;"",EDATE($D154,Milestones!$AA$111)&gt;=$S154),$V154,IF(AND($R154&lt;&gt;"",EDATE($D154,Milestones!$AA$111)&gt;=$R154),$U154,$T154)))=Milestones!$AB$111),TEXT(EDATE($D154,Milestones!$AA$111),"dd/mm/yy")&amp;" "&amp;Milestones!$AB$111&amp;" "&amp;Milestones!$AC$111&amp;";  ","")&amp;IF(AND(EDATE($D154,Milestones!$AA$112)&lt;=AsOfDate,IF($Q154=0,$W154,IF(AND($S154&lt;&gt;"",EDATE($D154,Milestones!$AA$112)&gt;=$S154),$V154,IF(AND($R154&lt;&gt;"",EDATE($D154,Milestones!$AA$112)&gt;=$R154),$U154,$T154)))=Milestones!$AB$112),TEXT(EDATE($D154,Milestones!$AA$112),"dd/mm/yy")&amp;" "&amp;Milestones!$AB$112&amp;" "&amp;Milestones!$AC$112&amp;";  ","")&amp;IF(AND(EDATE($D154,Milestones!$AA$113)&lt;=AsOfDate,IF($Q154=0,$W154,IF(AND($S154&lt;&gt;"",EDATE($D154,Milestones!$AA$113)&gt;=$S154),$V154,IF(AND($R154&lt;&gt;"",EDATE($D154,Milestones!$AA$113)&gt;=$R154),$U154,$T154)))=Milestones!$AB$113),TEXT(EDATE($D154,Milestones!$AA$113),"dd/mm/yy")&amp;" "&amp;Milestones!$AB$113&amp;" "&amp;Milestones!$AC$113&amp;";  ","")&amp;IF(AND(EDATE($D154,Milestones!$AA$114)&lt;=AsOfDate,IF($Q154=0,$W154,IF(AND($S154&lt;&gt;"",EDATE($D154,Milestones!$AA$114)&gt;=$S154),$V154,IF(AND($R154&lt;&gt;"",EDATE($D154,Milestones!$AA$114)&gt;=$R154),$U154,$T154)))=Milestones!$AB$114),TEXT(EDATE($D154,Milestones!$AA$114),"dd/mm/yy")&amp;" "&amp;Milestones!$AB$114&amp;" "&amp;Milestones!$AC$114&amp;";  ","")&amp;IF(AND(EDATE($D154,Milestones!$AA$115)&lt;=AsOfDate,IF($Q154=0,$W154,IF(AND($S154&lt;&gt;"",EDATE($D154,Milestones!$AA$115)&gt;=$S154),$V154,IF(AND($R154&lt;&gt;"",EDATE($D154,Milestones!$AA$115)&gt;=$R154),$U154,$T154)))=Milestones!$AB$115),TEXT(EDATE($D154,Milestones!$AA$115),"dd/mm/yy")&amp;" "&amp;Milestones!$AB$115&amp;" "&amp;Milestones!$AC$115&amp;";  ","")&amp;IF(AND(EDATE($D154,Milestones!$AA$116)&lt;=AsOfDate,IF($Q154=0,$W154,IF(AND($S154&lt;&gt;"",EDATE($D154,Milestones!$AA$116)&gt;=$S154),$V154,IF(AND($R154&lt;&gt;"",EDATE($D154,Milestones!$AA$116)&gt;=$R154),$U154,$T154)))=Milestones!$AB$116),TEXT(EDATE($D154,Milestones!$AA$116),"dd/mm/yy")&amp;" "&amp;Milestones!$AB$116&amp;" "&amp;Milestones!$AC$116&amp;";  ","")&amp;IF(AND(EDATE($D154,Milestones!$AA$117)&lt;=AsOfDate,IF($Q154=0,$W154,IF(AND($S154&lt;&gt;"",EDATE($D154,Milestones!$AA$117)&gt;=$S154),$V154,IF(AND($R154&lt;&gt;"",EDATE($D154,Milestones!$AA$117)&gt;=$R154),$U154,$T154)))=Milestones!$AB$117),TEXT(EDATE($D154,Milestones!$AA$117),"dd/mm/yy")&amp;" "&amp;Milestones!$AB$117&amp;" "&amp;Milestones!$AC$117&amp;";  ","")&amp;IF(AND(EDATE($D154,Milestones!$AA$118)&lt;=AsOfDate,IF($Q154=0,$W154,IF(AND($S154&lt;&gt;"",EDATE($D154,Milestones!$AA$118)&gt;=$S154),$V154,IF(AND($R154&lt;&gt;"",EDATE($D154,Milestones!$AA$118)&gt;=$R154),$U154,$T154)))=Milestones!$AB$118),TEXT(EDATE($D154,Milestones!$AA$118),"dd/mm/yy")&amp;" "&amp;Milestones!$AB$118&amp;" "&amp;Milestones!$AC$118&amp;";  ","")&amp;IF(AND(EDATE($D154,Milestones!$AA$119)&lt;=AsOfDate,IF($Q154=0,$W154,IF(AND($S154&lt;&gt;"",EDATE($D154,Milestones!$AA$119)&gt;=$S154),$V154,IF(AND($R154&lt;&gt;"",EDATE($D154,Milestones!$AA$119)&gt;=$R154),$U154,$T154)))=Milestones!$AB$119),TEXT(EDATE($D154,Milestones!$AA$119),"dd/mm/yy")&amp;" "&amp;Milestones!$AB$119&amp;" "&amp;Milestones!$AC$119&amp;";  ",""))</f>
        <v/>
      </c>
      <c r="M154" s="0" t="str">
        <f aca="false">IF(OR($A154="",$D154=""),"",IF(AND(EDATE($D154,Milestones!$AA$120)&lt;=AsOfDate,IF($Q154=0,$W154,IF(AND($S154&lt;&gt;"",EDATE($D154,Milestones!$AA$120)&gt;=$S154),$V154,IF(AND($R154&lt;&gt;"",EDATE($D154,Milestones!$AA$120)&gt;=$R154),$U154,$T154)))=Milestones!$AB$120),TEXT(EDATE($D154,Milestones!$AA$120),"dd/mm/yy")&amp;" "&amp;Milestones!$AB$120&amp;" "&amp;Milestones!$AC$120&amp;";  ","")&amp;IF(AND(EDATE($D154,Milestones!$AA$121)&lt;=AsOfDate,IF($Q154=0,$W154,IF(AND($S154&lt;&gt;"",EDATE($D154,Milestones!$AA$121)&gt;=$S154),$V154,IF(AND($R154&lt;&gt;"",EDATE($D154,Milestones!$AA$121)&gt;=$R154),$U154,$T154)))=Milestones!$AB$121),TEXT(EDATE($D154,Milestones!$AA$121),"dd/mm/yy")&amp;" "&amp;Milestones!$AB$121&amp;" "&amp;Milestones!$AC$121&amp;";  ","")&amp;IF(AND(EDATE($D154,Milestones!$AA$122)&lt;=AsOfDate,IF($Q154=0,$W154,IF(AND($S154&lt;&gt;"",EDATE($D154,Milestones!$AA$122)&gt;=$S154),$V154,IF(AND($R154&lt;&gt;"",EDATE($D154,Milestones!$AA$122)&gt;=$R154),$U154,$T154)))=Milestones!$AB$122),TEXT(EDATE($D154,Milestones!$AA$122),"dd/mm/yy")&amp;" "&amp;Milestones!$AB$122&amp;" "&amp;Milestones!$AC$122&amp;";  ","")&amp;IF(AND(EDATE($D154,Milestones!$AA$123)&lt;=AsOfDate,IF($Q154=0,$W154,IF(AND($S154&lt;&gt;"",EDATE($D154,Milestones!$AA$123)&gt;=$S154),$V154,IF(AND($R154&lt;&gt;"",EDATE($D154,Milestones!$AA$123)&gt;=$R154),$U154,$T154)))=Milestones!$AB$123),TEXT(EDATE($D154,Milestones!$AA$123),"dd/mm/yy")&amp;" "&amp;Milestones!$AB$123&amp;" "&amp;Milestones!$AC$123&amp;";  ","")&amp;IF(AND(EDATE($D154,Milestones!$AA$124)&lt;=AsOfDate,IF($Q154=0,$W154,IF(AND($S154&lt;&gt;"",EDATE($D154,Milestones!$AA$124)&gt;=$S154),$V154,IF(AND($R154&lt;&gt;"",EDATE($D154,Milestones!$AA$124)&gt;=$R154),$U154,$T154)))=Milestones!$AB$124),TEXT(EDATE($D154,Milestones!$AA$124),"dd/mm/yy")&amp;" "&amp;Milestones!$AB$124&amp;" "&amp;Milestones!$AC$124&amp;";  ","")&amp;IF(AND(EDATE($D154,Milestones!$AA$125)&lt;=AsOfDate,IF($Q154=0,$W154,IF(AND($S154&lt;&gt;"",EDATE($D154,Milestones!$AA$125)&gt;=$S154),$V154,IF(AND($R154&lt;&gt;"",EDATE($D154,Milestones!$AA$125)&gt;=$R154),$U154,$T154)))=Milestones!$AB$125),TEXT(EDATE($D154,Milestones!$AA$125),"dd/mm/yy")&amp;" "&amp;Milestones!$AB$125&amp;" "&amp;Milestones!$AC$125&amp;";  ","")&amp;IF(AND(EDATE($D154,Milestones!$AA$126)&lt;=AsOfDate,IF($Q154=0,$W154,IF(AND($S154&lt;&gt;"",EDATE($D154,Milestones!$AA$126)&gt;=$S154),$V154,IF(AND($R154&lt;&gt;"",EDATE($D154,Milestones!$AA$126)&gt;=$R154),$U154,$T154)))=Milestones!$AB$126),TEXT(EDATE($D154,Milestones!$AA$126),"dd/mm/yy")&amp;" "&amp;Milestones!$AB$126&amp;" "&amp;Milestones!$AC$126&amp;";  ","")&amp;IF(AND(EDATE($D154,Milestones!$AA$127)&lt;=AsOfDate,IF($Q154=0,$W154,IF(AND($S154&lt;&gt;"",EDATE($D154,Milestones!$AA$127)&gt;=$S154),$V154,IF(AND($R154&lt;&gt;"",EDATE($D154,Milestones!$AA$127)&gt;=$R154),$U154,$T154)))=Milestones!$AB$127),TEXT(EDATE($D154,Milestones!$AA$127),"dd/mm/yy")&amp;" "&amp;Milestones!$AB$127&amp;" "&amp;Milestones!$AC$127&amp;";  ","")&amp;IF(AND(EDATE($D154,Milestones!$AA$128)&lt;=AsOfDate,IF($Q154=0,$W154,IF(AND($S154&lt;&gt;"",EDATE($D154,Milestones!$AA$128)&gt;=$S154),$V154,IF(AND($R154&lt;&gt;"",EDATE($D154,Milestones!$AA$128)&gt;=$R154),$U154,$T154)))=Milestones!$AB$128),TEXT(EDATE($D154,Milestones!$AA$128),"dd/mm/yy")&amp;" "&amp;Milestones!$AB$128&amp;" "&amp;Milestones!$AC$128&amp;";  ","")&amp;IF(AND(EDATE($D154,Milestones!$AA$129)&lt;=AsOfDate,IF($Q154=0,$W154,IF(AND($S154&lt;&gt;"",EDATE($D154,Milestones!$AA$129)&gt;=$S154),$V154,IF(AND($R154&lt;&gt;"",EDATE($D154,Milestones!$AA$129)&gt;=$R154),$U154,$T154)))=Milestones!$AB$129),TEXT(EDATE($D154,Milestones!$AA$129),"dd/mm/yy")&amp;" "&amp;Milestones!$AB$129&amp;" "&amp;Milestones!$AC$129&amp;";  ","")&amp;IF(AND(EDATE($D154,Milestones!$AA$130)&lt;=AsOfDate,IF($Q154=0,$W154,IF(AND($S154&lt;&gt;"",EDATE($D154,Milestones!$AA$130)&gt;=$S154),$V154,IF(AND($R154&lt;&gt;"",EDATE($D154,Milestones!$AA$130)&gt;=$R154),$U154,$T154)))=Milestones!$AB$130),TEXT(EDATE($D154,Milestones!$AA$130),"dd/mm/yy")&amp;" "&amp;Milestones!$AB$130&amp;" "&amp;Milestones!$AC$130&amp;";  ","")&amp;IF(AND(EDATE($D154,Milestones!$AA$131)&lt;=AsOfDate,IF($Q154=0,$W154,IF(AND($S154&lt;&gt;"",EDATE($D154,Milestones!$AA$131)&gt;=$S154),$V154,IF(AND($R154&lt;&gt;"",EDATE($D154,Milestones!$AA$131)&gt;=$R154),$U154,$T154)))=Milestones!$AB$131),TEXT(EDATE($D154,Milestones!$AA$131),"dd/mm/yy")&amp;" "&amp;Milestones!$AB$131&amp;" "&amp;Milestones!$AC$131&amp;";  ","")&amp;IF(AND(EDATE($D154,Milestones!$AA$132)&lt;=AsOfDate,IF($Q154=0,$W154,IF(AND($S154&lt;&gt;"",EDATE($D154,Milestones!$AA$132)&gt;=$S154),$V154,IF(AND($R154&lt;&gt;"",EDATE($D154,Milestones!$AA$132)&gt;=$R154),$U154,$T154)))=Milestones!$AB$132),TEXT(EDATE($D154,Milestones!$AA$132),"dd/mm/yy")&amp;" "&amp;Milestones!$AB$132&amp;" "&amp;Milestones!$AC$132&amp;";  ","")&amp;IF(AND(EDATE($D154,Milestones!$AA$133)&lt;=AsOfDate,IF($Q154=0,$W154,IF(AND($S154&lt;&gt;"",EDATE($D154,Milestones!$AA$133)&gt;=$S154),$V154,IF(AND($R154&lt;&gt;"",EDATE($D154,Milestones!$AA$133)&gt;=$R154),$U154,$T154)))=Milestones!$AB$133),TEXT(EDATE($D154,Milestones!$AA$133),"dd/mm/yy")&amp;" "&amp;Milestones!$AB$133&amp;" "&amp;Milestones!$AC$133&amp;";  ","")&amp;IF(AND(EDATE($D154,Milestones!$AA$134)&lt;=AsOfDate,IF($Q154=0,$W154,IF(AND($S154&lt;&gt;"",EDATE($D154,Milestones!$AA$134)&gt;=$S154),$V154,IF(AND($R154&lt;&gt;"",EDATE($D154,Milestones!$AA$134)&gt;=$R154),$U154,$T154)))=Milestones!$AB$134),TEXT(EDATE($D154,Milestones!$AA$134),"dd/mm/yy")&amp;" "&amp;Milestones!$AB$134&amp;" "&amp;Milestones!$AC$134&amp;";  ","")&amp;IF(AND(EDATE($D154,Milestones!$AA$135)&lt;=AsOfDate,IF($Q154=0,$W154,IF(AND($S154&lt;&gt;"",EDATE($D154,Milestones!$AA$135)&gt;=$S154),$V154,IF(AND($R154&lt;&gt;"",EDATE($D154,Milestones!$AA$135)&gt;=$R154),$U154,$T154)))=Milestones!$AB$135),TEXT(EDATE($D154,Milestones!$AA$135),"dd/mm/yy")&amp;" "&amp;Milestones!$AB$135&amp;" "&amp;Milestones!$AC$135&amp;";  ","")&amp;IF(AND(EDATE($D154,Milestones!$AA$136)&lt;=AsOfDate,IF($Q154=0,$W154,IF(AND($S154&lt;&gt;"",EDATE($D154,Milestones!$AA$136)&gt;=$S154),$V154,IF(AND($R154&lt;&gt;"",EDATE($D154,Milestones!$AA$136)&gt;=$R154),$U154,$T154)))=Milestones!$AB$136),TEXT(EDATE($D154,Milestones!$AA$136),"dd/mm/yy")&amp;" "&amp;Milestones!$AB$136&amp;" "&amp;Milestones!$AC$136&amp;";  ","")&amp;IF(AND(EDATE($D154,Milestones!$AA$137)&lt;=AsOfDate,IF($Q154=0,$W154,IF(AND($S154&lt;&gt;"",EDATE($D154,Milestones!$AA$137)&gt;=$S154),$V154,IF(AND($R154&lt;&gt;"",EDATE($D154,Milestones!$AA$137)&gt;=$R154),$U154,$T154)))=Milestones!$AB$137),TEXT(EDATE($D154,Milestones!$AA$137),"dd/mm/yy")&amp;" "&amp;Milestones!$AB$137&amp;" "&amp;Milestones!$AC$137&amp;";  ","")&amp;IF(AND(EDATE($D154,Milestones!$AA$138)&lt;=AsOfDate,IF($Q154=0,$W154,IF(AND($S154&lt;&gt;"",EDATE($D154,Milestones!$AA$138)&gt;=$S154),$V154,IF(AND($R154&lt;&gt;"",EDATE($D154,Milestones!$AA$138)&gt;=$R154),$U154,$T154)))=Milestones!$AB$138),TEXT(EDATE($D154,Milestones!$AA$138),"dd/mm/yy")&amp;" "&amp;Milestones!$AB$138&amp;" "&amp;Milestones!$AC$138&amp;";  ","")&amp;IF(AND(EDATE($D154,Milestones!$AA$139)&lt;=AsOfDate,IF($Q154=0,$W154,IF(AND($S154&lt;&gt;"",EDATE($D154,Milestones!$AA$139)&gt;=$S154),$V154,IF(AND($R154&lt;&gt;"",EDATE($D154,Milestones!$AA$139)&gt;=$R154),$U154,$T154)))=Milestones!$AB$139),TEXT(EDATE($D154,Milestones!$AA$139),"dd/mm/yy")&amp;" "&amp;Milestones!$AB$139&amp;" "&amp;Milestones!$AC$139&amp;";  ",""))</f>
        <v/>
      </c>
      <c r="N154" s="0" t="str">
        <f aca="false">IF(OR($A154="",$D154=""),"",IF(AND(EDATE($D154,Milestones!$AA$140)&lt;=AsOfDate,IF($Q154=0,$W154,IF(AND($S154&lt;&gt;"",EDATE($D154,Milestones!$AA$140)&gt;=$S154),$V154,IF(AND($R154&lt;&gt;"",EDATE($D154,Milestones!$AA$140)&gt;=$R154),$U154,$T154)))=Milestones!$AB$140),TEXT(EDATE($D154,Milestones!$AA$140),"dd/mm/yy")&amp;" "&amp;Milestones!$AB$140&amp;" "&amp;Milestones!$AC$140&amp;";  ","")&amp;IF(AND(EDATE($D154,Milestones!$AA$141)&lt;=AsOfDate,IF($Q154=0,$W154,IF(AND($S154&lt;&gt;"",EDATE($D154,Milestones!$AA$141)&gt;=$S154),$V154,IF(AND($R154&lt;&gt;"",EDATE($D154,Milestones!$AA$141)&gt;=$R154),$U154,$T154)))=Milestones!$AB$141),TEXT(EDATE($D154,Milestones!$AA$141),"dd/mm/yy")&amp;" "&amp;Milestones!$AB$141&amp;" "&amp;Milestones!$AC$141&amp;";  ","")&amp;IF(AND(EDATE($D154,Milestones!$AA$142)&lt;=AsOfDate,IF($Q154=0,$W154,IF(AND($S154&lt;&gt;"",EDATE($D154,Milestones!$AA$142)&gt;=$S154),$V154,IF(AND($R154&lt;&gt;"",EDATE($D154,Milestones!$AA$142)&gt;=$R154),$U154,$T154)))=Milestones!$AB$142),TEXT(EDATE($D154,Milestones!$AA$142),"dd/mm/yy")&amp;" "&amp;Milestones!$AB$142&amp;" "&amp;Milestones!$AC$142&amp;";  ","")&amp;IF(AND(EDATE($D154,Milestones!$AA$143)&lt;=AsOfDate,IF($Q154=0,$W154,IF(AND($S154&lt;&gt;"",EDATE($D154,Milestones!$AA$143)&gt;=$S154),$V154,IF(AND($R154&lt;&gt;"",EDATE($D154,Milestones!$AA$143)&gt;=$R154),$U154,$T154)))=Milestones!$AB$143),TEXT(EDATE($D154,Milestones!$AA$143),"dd/mm/yy")&amp;" "&amp;Milestones!$AB$143&amp;" "&amp;Milestones!$AC$143&amp;";  ","")&amp;IF(AND(EDATE($D154,Milestones!$AA$144)&lt;=AsOfDate,IF($Q154=0,$W154,IF(AND($S154&lt;&gt;"",EDATE($D154,Milestones!$AA$144)&gt;=$S154),$V154,IF(AND($R154&lt;&gt;"",EDATE($D154,Milestones!$AA$144)&gt;=$R154),$U154,$T154)))=Milestones!$AB$144),TEXT(EDATE($D154,Milestones!$AA$144),"dd/mm/yy")&amp;" "&amp;Milestones!$AB$144&amp;" "&amp;Milestones!$AC$144&amp;";  ","")&amp;IF(AND(EDATE($D154,Milestones!$AA$145)&lt;=AsOfDate,IF($Q154=0,$W154,IF(AND($S154&lt;&gt;"",EDATE($D154,Milestones!$AA$145)&gt;=$S154),$V154,IF(AND($R154&lt;&gt;"",EDATE($D154,Milestones!$AA$145)&gt;=$R154),$U154,$T154)))=Milestones!$AB$145),TEXT(EDATE($D154,Milestones!$AA$145),"dd/mm/yy")&amp;" "&amp;Milestones!$AB$145&amp;" "&amp;Milestones!$AC$145&amp;";  ","")&amp;IF(AND(EDATE($D154,Milestones!$AA$146)&lt;=AsOfDate,IF($Q154=0,$W154,IF(AND($S154&lt;&gt;"",EDATE($D154,Milestones!$AA$146)&gt;=$S154),$V154,IF(AND($R154&lt;&gt;"",EDATE($D154,Milestones!$AA$146)&gt;=$R154),$U154,$T154)))=Milestones!$AB$146),TEXT(EDATE($D154,Milestones!$AA$146),"dd/mm/yy")&amp;" "&amp;Milestones!$AB$146&amp;" "&amp;Milestones!$AC$146&amp;";  ","")&amp;IF(AND(EDATE($D154,Milestones!$AA$147)&lt;=AsOfDate,IF($Q154=0,$W154,IF(AND($S154&lt;&gt;"",EDATE($D154,Milestones!$AA$147)&gt;=$S154),$V154,IF(AND($R154&lt;&gt;"",EDATE($D154,Milestones!$AA$147)&gt;=$R154),$U154,$T154)))=Milestones!$AB$147),TEXT(EDATE($D154,Milestones!$AA$147),"dd/mm/yy")&amp;" "&amp;Milestones!$AB$147&amp;" "&amp;Milestones!$AC$147&amp;";  ","")&amp;IF(AND(EDATE($D154,Milestones!$AA$148)&lt;=AsOfDate,IF($Q154=0,$W154,IF(AND($S154&lt;&gt;"",EDATE($D154,Milestones!$AA$148)&gt;=$S154),$V154,IF(AND($R154&lt;&gt;"",EDATE($D154,Milestones!$AA$148)&gt;=$R154),$U154,$T154)))=Milestones!$AB$148),TEXT(EDATE($D154,Milestones!$AA$148),"dd/mm/yy")&amp;" "&amp;Milestones!$AB$148&amp;" "&amp;Milestones!$AC$148&amp;";  ","")&amp;IF(AND(EDATE($D154,Milestones!$AA$149)&lt;=AsOfDate,IF($Q154=0,$W154,IF(AND($S154&lt;&gt;"",EDATE($D154,Milestones!$AA$149)&gt;=$S154),$V154,IF(AND($R154&lt;&gt;"",EDATE($D154,Milestones!$AA$149)&gt;=$R154),$U154,$T154)))=Milestones!$AB$149),TEXT(EDATE($D154,Milestones!$AA$149),"dd/mm/yy")&amp;" "&amp;Milestones!$AB$149&amp;" "&amp;Milestones!$AC$149&amp;";  ","")&amp;IF(AND(EDATE($D154,Milestones!$AA$150)&lt;=AsOfDate,IF($Q154=0,$W154,IF(AND($S154&lt;&gt;"",EDATE($D154,Milestones!$AA$150)&gt;=$S154),$V154,IF(AND($R154&lt;&gt;"",EDATE($D154,Milestones!$AA$150)&gt;=$R154),$U154,$T154)))=Milestones!$AB$150),TEXT(EDATE($D154,Milestones!$AA$150),"dd/mm/yy")&amp;" "&amp;Milestones!$AB$150&amp;" "&amp;Milestones!$AC$150&amp;";  ","")&amp;IF(AND(EDATE($D154,Milestones!$AA$151)&lt;=AsOfDate,IF($Q154=0,$W154,IF(AND($S154&lt;&gt;"",EDATE($D154,Milestones!$AA$151)&gt;=$S154),$V154,IF(AND($R154&lt;&gt;"",EDATE($D154,Milestones!$AA$151)&gt;=$R154),$U154,$T154)))=Milestones!$AB$151),TEXT(EDATE($D154,Milestones!$AA$151),"dd/mm/yy")&amp;" "&amp;Milestones!$AB$151&amp;" "&amp;Milestones!$AC$151&amp;";  ","")&amp;IF(AND(EDATE($D154,Milestones!$AA$152)&lt;=AsOfDate,IF($Q154=0,$W154,IF(AND($S154&lt;&gt;"",EDATE($D154,Milestones!$AA$152)&gt;=$S154),$V154,IF(AND($R154&lt;&gt;"",EDATE($D154,Milestones!$AA$152)&gt;=$R154),$U154,$T154)))=Milestones!$AB$152),TEXT(EDATE($D154,Milestones!$AA$152),"dd/mm/yy")&amp;" "&amp;Milestones!$AB$152&amp;" "&amp;Milestones!$AC$152&amp;";  ","")&amp;IF(AND(EDATE($D154,Milestones!$AA$153)&lt;=AsOfDate,IF($Q154=0,$W154,IF(AND($S154&lt;&gt;"",EDATE($D154,Milestones!$AA$153)&gt;=$S154),$V154,IF(AND($R154&lt;&gt;"",EDATE($D154,Milestones!$AA$153)&gt;=$R154),$U154,$T154)))=Milestones!$AB$153),TEXT(EDATE($D154,Milestones!$AA$153),"dd/mm/yy")&amp;" "&amp;Milestones!$AB$153&amp;" "&amp;Milestones!$AC$153&amp;";  ","")&amp;IF(AND(EDATE($D154,Milestones!$AA$154)&lt;=AsOfDate,IF($Q154=0,$W154,IF(AND($S154&lt;&gt;"",EDATE($D154,Milestones!$AA$154)&gt;=$S154),$V154,IF(AND($R154&lt;&gt;"",EDATE($D154,Milestones!$AA$154)&gt;=$R154),$U154,$T154)))=Milestones!$AB$154),TEXT(EDATE($D154,Milestones!$AA$154),"dd/mm/yy")&amp;" "&amp;Milestones!$AB$154&amp;" "&amp;Milestones!$AC$154&amp;";  ","")&amp;IF(AND(EDATE($D154,Milestones!$AA$155)&lt;=AsOfDate,IF($Q154=0,$W154,IF(AND($S154&lt;&gt;"",EDATE($D154,Milestones!$AA$155)&gt;=$S154),$V154,IF(AND($R154&lt;&gt;"",EDATE($D154,Milestones!$AA$155)&gt;=$R154),$U154,$T154)))=Milestones!$AB$155),TEXT(EDATE($D154,Milestones!$AA$155),"dd/mm/yy")&amp;" "&amp;Milestones!$AB$155&amp;" "&amp;Milestones!$AC$155&amp;";  ","")&amp;IF(AND(EDATE($D154,Milestones!$AA$156)&lt;=AsOfDate,IF($Q154=0,$W154,IF(AND($S154&lt;&gt;"",EDATE($D154,Milestones!$AA$156)&gt;=$S154),$V154,IF(AND($R154&lt;&gt;"",EDATE($D154,Milestones!$AA$156)&gt;=$R154),$U154,$T154)))=Milestones!$AB$156),TEXT(EDATE($D154,Milestones!$AA$156),"dd/mm/yy")&amp;" "&amp;Milestones!$AB$156&amp;" "&amp;Milestones!$AC$156&amp;";  ","")&amp;IF(AND(EDATE($D154,Milestones!$AA$157)&lt;=AsOfDate,IF($Q154=0,$W154,IF(AND($S154&lt;&gt;"",EDATE($D154,Milestones!$AA$157)&gt;=$S154),$V154,IF(AND($R154&lt;&gt;"",EDATE($D154,Milestones!$AA$157)&gt;=$R154),$U154,$T154)))=Milestones!$AB$157),TEXT(EDATE($D154,Milestones!$AA$157),"dd/mm/yy")&amp;" "&amp;Milestones!$AB$157&amp;" "&amp;Milestones!$AC$157&amp;";  ","")&amp;IF(AND(EDATE($D154,Milestones!$AA$158)&lt;=AsOfDate,IF($Q154=0,$W154,IF(AND($S154&lt;&gt;"",EDATE($D154,Milestones!$AA$158)&gt;=$S154),$V154,IF(AND($R154&lt;&gt;"",EDATE($D154,Milestones!$AA$158)&gt;=$R154),$U154,$T154)))=Milestones!$AB$158),TEXT(EDATE($D154,Milestones!$AA$158),"dd/mm/yy")&amp;" "&amp;Milestones!$AB$158&amp;" "&amp;Milestones!$AC$158&amp;";  ","")&amp;IF(AND(EDATE($D154,Milestones!$AA$159)&lt;=AsOfDate,IF($Q154=0,$W154,IF(AND($S154&lt;&gt;"",EDATE($D154,Milestones!$AA$159)&gt;=$S154),$V154,IF(AND($R154&lt;&gt;"",EDATE($D154,Milestones!$AA$159)&gt;=$R154),$U154,$T154)))=Milestones!$AB$159),TEXT(EDATE($D154,Milestones!$AA$159),"dd/mm/yy")&amp;" "&amp;Milestones!$AB$159&amp;" "&amp;Milestones!$AC$159&amp;";  ",""))</f>
        <v/>
      </c>
      <c r="O154" s="0" t="str">
        <f aca="false">IF(OR($A154="",$D154=""),"",IF(AND(EDATE($D154,Milestones!$AA$160)&lt;=AsOfDate,IF($Q154=0,$W154,IF(AND($S154&lt;&gt;"",EDATE($D154,Milestones!$AA$160)&gt;=$S154),$V154,IF(AND($R154&lt;&gt;"",EDATE($D154,Milestones!$AA$160)&gt;=$R154),$U154,$T154)))=Milestones!$AB$160),TEXT(EDATE($D154,Milestones!$AA$160),"dd/mm/yy")&amp;" "&amp;Milestones!$AB$160&amp;" "&amp;Milestones!$AC$160&amp;";  ","")&amp;IF(AND(EDATE($D154,Milestones!$AA$161)&lt;=AsOfDate,IF($Q154=0,$W154,IF(AND($S154&lt;&gt;"",EDATE($D154,Milestones!$AA$161)&gt;=$S154),$V154,IF(AND($R154&lt;&gt;"",EDATE($D154,Milestones!$AA$161)&gt;=$R154),$U154,$T154)))=Milestones!$AB$161),TEXT(EDATE($D154,Milestones!$AA$161),"dd/mm/yy")&amp;" "&amp;Milestones!$AB$161&amp;" "&amp;Milestones!$AC$161&amp;";  ","")&amp;IF(AND(EDATE($D154,Milestones!$AA$162)&lt;=AsOfDate,IF($Q154=0,$W154,IF(AND($S154&lt;&gt;"",EDATE($D154,Milestones!$AA$162)&gt;=$S154),$V154,IF(AND($R154&lt;&gt;"",EDATE($D154,Milestones!$AA$162)&gt;=$R154),$U154,$T154)))=Milestones!$AB$162),TEXT(EDATE($D154,Milestones!$AA$162),"dd/mm/yy")&amp;" "&amp;Milestones!$AB$162&amp;" "&amp;Milestones!$AC$162&amp;";  ","")&amp;IF(AND(EDATE($D154,Milestones!$AA$163)&lt;=AsOfDate,IF($Q154=0,$W154,IF(AND($S154&lt;&gt;"",EDATE($D154,Milestones!$AA$163)&gt;=$S154),$V154,IF(AND($R154&lt;&gt;"",EDATE($D154,Milestones!$AA$163)&gt;=$R154),$U154,$T154)))=Milestones!$AB$163),TEXT(EDATE($D154,Milestones!$AA$163),"dd/mm/yy")&amp;" "&amp;Milestones!$AB$163&amp;" "&amp;Milestones!$AC$163&amp;";  ","")&amp;IF(AND(EDATE($D154,Milestones!$AA$164)&lt;=AsOfDate,IF($Q154=0,$W154,IF(AND($S154&lt;&gt;"",EDATE($D154,Milestones!$AA$164)&gt;=$S154),$V154,IF(AND($R154&lt;&gt;"",EDATE($D154,Milestones!$AA$164)&gt;=$R154),$U154,$T154)))=Milestones!$AB$164),TEXT(EDATE($D154,Milestones!$AA$164),"dd/mm/yy")&amp;" "&amp;Milestones!$AB$164&amp;" "&amp;Milestones!$AC$164&amp;";  ","")&amp;IF(AND(EDATE($D154,Milestones!$AA$165)&lt;=AsOfDate,IF($Q154=0,$W154,IF(AND($S154&lt;&gt;"",EDATE($D154,Milestones!$AA$165)&gt;=$S154),$V154,IF(AND($R154&lt;&gt;"",EDATE($D154,Milestones!$AA$165)&gt;=$R154),$U154,$T154)))=Milestones!$AB$165),TEXT(EDATE($D154,Milestones!$AA$165),"dd/mm/yy")&amp;" "&amp;Milestones!$AB$165&amp;" "&amp;Milestones!$AC$165&amp;";  ","")&amp;IF(AND(EDATE($D154,Milestones!$AA$166)&lt;=AsOfDate,IF($Q154=0,$W154,IF(AND($S154&lt;&gt;"",EDATE($D154,Milestones!$AA$166)&gt;=$S154),$V154,IF(AND($R154&lt;&gt;"",EDATE($D154,Milestones!$AA$166)&gt;=$R154),$U154,$T154)))=Milestones!$AB$166),TEXT(EDATE($D154,Milestones!$AA$166),"dd/mm/yy")&amp;" "&amp;Milestones!$AB$166&amp;" "&amp;Milestones!$AC$166&amp;";  ","")&amp;IF(AND(EDATE($D154,Milestones!$AA$167)&lt;=AsOfDate,IF($Q154=0,$W154,IF(AND($S154&lt;&gt;"",EDATE($D154,Milestones!$AA$167)&gt;=$S154),$V154,IF(AND($R154&lt;&gt;"",EDATE($D154,Milestones!$AA$167)&gt;=$R154),$U154,$T154)))=Milestones!$AB$167),TEXT(EDATE($D154,Milestones!$AA$167),"dd/mm/yy")&amp;" "&amp;Milestones!$AB$167&amp;" "&amp;Milestones!$AC$167&amp;";  ","")&amp;IF(AND(EDATE($D154,Milestones!$AA$168)&lt;=AsOfDate,IF($Q154=0,$W154,IF(AND($S154&lt;&gt;"",EDATE($D154,Milestones!$AA$168)&gt;=$S154),$V154,IF(AND($R154&lt;&gt;"",EDATE($D154,Milestones!$AA$168)&gt;=$R154),$U154,$T154)))=Milestones!$AB$168),TEXT(EDATE($D154,Milestones!$AA$168),"dd/mm/yy")&amp;" "&amp;Milestones!$AB$168&amp;" "&amp;Milestones!$AC$168&amp;";  ","")&amp;IF(AND(EDATE($D154,Milestones!$AA$169)&lt;=AsOfDate,IF($Q154=0,$W154,IF(AND($S154&lt;&gt;"",EDATE($D154,Milestones!$AA$169)&gt;=$S154),$V154,IF(AND($R154&lt;&gt;"",EDATE($D154,Milestones!$AA$169)&gt;=$R154),$U154,$T154)))=Milestones!$AB$169),TEXT(EDATE($D154,Milestones!$AA$169),"dd/mm/yy")&amp;" "&amp;Milestones!$AB$169&amp;" "&amp;Milestones!$AC$169&amp;";  ","")&amp;IF(AND(EDATE($D154,Milestones!$AA$170)&lt;=AsOfDate,IF($Q154=0,$W154,IF(AND($S154&lt;&gt;"",EDATE($D154,Milestones!$AA$170)&gt;=$S154),$V154,IF(AND($R154&lt;&gt;"",EDATE($D154,Milestones!$AA$170)&gt;=$R154),$U154,$T154)))=Milestones!$AB$170),TEXT(EDATE($D154,Milestones!$AA$170),"dd/mm/yy")&amp;" "&amp;Milestones!$AB$170&amp;" "&amp;Milestones!$AC$170&amp;";  ","")&amp;IF(AND(EDATE($D154,Milestones!$AA$171)&lt;=AsOfDate,IF($Q154=0,$W154,IF(AND($S154&lt;&gt;"",EDATE($D154,Milestones!$AA$171)&gt;=$S154),$V154,IF(AND($R154&lt;&gt;"",EDATE($D154,Milestones!$AA$171)&gt;=$R154),$U154,$T154)))=Milestones!$AB$171),TEXT(EDATE($D154,Milestones!$AA$171),"dd/mm/yy")&amp;" "&amp;Milestones!$AB$171&amp;" "&amp;Milestones!$AC$171&amp;";  ","")&amp;IF(AND(EDATE($D154,Milestones!$AA$172)&lt;=AsOfDate,IF($Q154=0,$W154,IF(AND($S154&lt;&gt;"",EDATE($D154,Milestones!$AA$172)&gt;=$S154),$V154,IF(AND($R154&lt;&gt;"",EDATE($D154,Milestones!$AA$172)&gt;=$R154),$U154,$T154)))=Milestones!$AB$172),TEXT(EDATE($D154,Milestones!$AA$172),"dd/mm/yy")&amp;" "&amp;Milestones!$AB$172&amp;" "&amp;Milestones!$AC$172&amp;";  ","")&amp;IF(AND(EDATE($D154,Milestones!$AA$173)&lt;=AsOfDate,IF($Q154=0,$W154,IF(AND($S154&lt;&gt;"",EDATE($D154,Milestones!$AA$173)&gt;=$S154),$V154,IF(AND($R154&lt;&gt;"",EDATE($D154,Milestones!$AA$173)&gt;=$R154),$U154,$T154)))=Milestones!$AB$173),TEXT(EDATE($D154,Milestones!$AA$173),"dd/mm/yy")&amp;" "&amp;Milestones!$AB$173&amp;" "&amp;Milestones!$AC$173&amp;";  ","")&amp;IF(AND(EDATE($D154,Milestones!$AA$174)&lt;=AsOfDate,IF($Q154=0,$W154,IF(AND($S154&lt;&gt;"",EDATE($D154,Milestones!$AA$174)&gt;=$S154),$V154,IF(AND($R154&lt;&gt;"",EDATE($D154,Milestones!$AA$174)&gt;=$R154),$U154,$T154)))=Milestones!$AB$174),TEXT(EDATE($D154,Milestones!$AA$174),"dd/mm/yy")&amp;" "&amp;Milestones!$AB$174&amp;" "&amp;Milestones!$AC$174&amp;";  ","")&amp;IF(AND(EDATE($D154,Milestones!$AA$175)&lt;=AsOfDate,IF($Q154=0,$W154,IF(AND($S154&lt;&gt;"",EDATE($D154,Milestones!$AA$175)&gt;=$S154),$V154,IF(AND($R154&lt;&gt;"",EDATE($D154,Milestones!$AA$175)&gt;=$R154),$U154,$T154)))=Milestones!$AB$175),TEXT(EDATE($D154,Milestones!$AA$175),"dd/mm/yy")&amp;" "&amp;Milestones!$AB$175&amp;" "&amp;Milestones!$AC$175&amp;";  ","")&amp;IF(AND(EDATE($D154,Milestones!$AA$176)&lt;=AsOfDate,IF($Q154=0,$W154,IF(AND($S154&lt;&gt;"",EDATE($D154,Milestones!$AA$176)&gt;=$S154),$V154,IF(AND($R154&lt;&gt;"",EDATE($D154,Milestones!$AA$176)&gt;=$R154),$U154,$T154)))=Milestones!$AB$176),TEXT(EDATE($D154,Milestones!$AA$176),"dd/mm/yy")&amp;" "&amp;Milestones!$AB$176&amp;" "&amp;Milestones!$AC$176&amp;";  ","")&amp;IF(AND(EDATE($D154,Milestones!$AA$177)&lt;=AsOfDate,IF($Q154=0,$W154,IF(AND($S154&lt;&gt;"",EDATE($D154,Milestones!$AA$177)&gt;=$S154),$V154,IF(AND($R154&lt;&gt;"",EDATE($D154,Milestones!$AA$177)&gt;=$R154),$U154,$T154)))=Milestones!$AB$177),TEXT(EDATE($D154,Milestones!$AA$177),"dd/mm/yy")&amp;" "&amp;Milestones!$AB$177&amp;" "&amp;Milestones!$AC$177&amp;";  ","")&amp;IF(AND(EDATE($D154,Milestones!$AA$178)&lt;=AsOfDate,IF($Q154=0,$W154,IF(AND($S154&lt;&gt;"",EDATE($D154,Milestones!$AA$178)&gt;=$S154),$V154,IF(AND($R154&lt;&gt;"",EDATE($D154,Milestones!$AA$178)&gt;=$R154),$U154,$T154)))=Milestones!$AB$178),TEXT(EDATE($D154,Milestones!$AA$178),"dd/mm/yy")&amp;" "&amp;Milestones!$AB$178&amp;" "&amp;Milestones!$AC$178&amp;";  ","")&amp;IF(AND(EDATE($D154,Milestones!$AA$179)&lt;=AsOfDate,IF($Q154=0,$W154,IF(AND($S154&lt;&gt;"",EDATE($D154,Milestones!$AA$179)&gt;=$S154),$V154,IF(AND($R154&lt;&gt;"",EDATE($D154,Milestones!$AA$179)&gt;=$R154),$U154,$T154)))=Milestones!$AB$179),TEXT(EDATE($D154,Milestones!$AA$179),"dd/mm/yy")&amp;" "&amp;Milestones!$AB$179&amp;" "&amp;Milestones!$AC$179&amp;";  ",""))</f>
        <v/>
      </c>
      <c r="P154" s="0" t="str">
        <f aca="false">IF(OR($A154="",$D154=""),"",IF(AND(EDATE($D154,Milestones!$AA$180)&lt;=AsOfDate,IF($Q154=0,$W154,IF(AND($S154&lt;&gt;"",EDATE($D154,Milestones!$AA$180)&gt;=$S154),$V154,IF(AND($R154&lt;&gt;"",EDATE($D154,Milestones!$AA$180)&gt;=$R154),$U154,$T154)))=Milestones!$AB$180),TEXT(EDATE($D154,Milestones!$AA$180),"dd/mm/yy")&amp;" "&amp;Milestones!$AB$180&amp;" "&amp;Milestones!$AC$180&amp;";  ","")&amp;IF(AND(EDATE($D154,Milestones!$AA$181)&lt;=AsOfDate,IF($Q154=0,$W154,IF(AND($S154&lt;&gt;"",EDATE($D154,Milestones!$AA$181)&gt;=$S154),$V154,IF(AND($R154&lt;&gt;"",EDATE($D154,Milestones!$AA$181)&gt;=$R154),$U154,$T154)))=Milestones!$AB$181),TEXT(EDATE($D154,Milestones!$AA$181),"dd/mm/yy")&amp;" "&amp;Milestones!$AB$181&amp;" "&amp;Milestones!$AC$181&amp;";  ","")&amp;IF(AND(EDATE($D154,Milestones!$AA$182)&lt;=AsOfDate,IF($Q154=0,$W154,IF(AND($S154&lt;&gt;"",EDATE($D154,Milestones!$AA$182)&gt;=$S154),$V154,IF(AND($R154&lt;&gt;"",EDATE($D154,Milestones!$AA$182)&gt;=$R154),$U154,$T154)))=Milestones!$AB$182),TEXT(EDATE($D154,Milestones!$AA$182),"dd/mm/yy")&amp;" "&amp;Milestones!$AB$182&amp;" "&amp;Milestones!$AC$182&amp;";  ","")&amp;IF(AND(EDATE($D154,Milestones!$AA$183)&lt;=AsOfDate,IF($Q154=0,$W154,IF(AND($S154&lt;&gt;"",EDATE($D154,Milestones!$AA$183)&gt;=$S154),$V154,IF(AND($R154&lt;&gt;"",EDATE($D154,Milestones!$AA$183)&gt;=$R154),$U154,$T154)))=Milestones!$AB$183),TEXT(EDATE($D154,Milestones!$AA$183),"dd/mm/yy")&amp;" "&amp;Milestones!$AB$183&amp;" "&amp;Milestones!$AC$183&amp;";  ","")&amp;IF(AND(EDATE($D154,Milestones!$AA$184)&lt;=AsOfDate,IF($Q154=0,$W154,IF(AND($S154&lt;&gt;"",EDATE($D154,Milestones!$AA$184)&gt;=$S154),$V154,IF(AND($R154&lt;&gt;"",EDATE($D154,Milestones!$AA$184)&gt;=$R154),$U154,$T154)))=Milestones!$AB$184),TEXT(EDATE($D154,Milestones!$AA$184),"dd/mm/yy")&amp;" "&amp;Milestones!$AB$184&amp;" "&amp;Milestones!$AC$184&amp;";  ","")&amp;IF(AND(EDATE($D154,Milestones!$AA$185)&lt;=AsOfDate,IF($Q154=0,$W154,IF(AND($S154&lt;&gt;"",EDATE($D154,Milestones!$AA$185)&gt;=$S154),$V154,IF(AND($R154&lt;&gt;"",EDATE($D154,Milestones!$AA$185)&gt;=$R154),$U154,$T154)))=Milestones!$AB$185),TEXT(EDATE($D154,Milestones!$AA$185),"dd/mm/yy")&amp;" "&amp;Milestones!$AB$185&amp;" "&amp;Milestones!$AC$185&amp;";  ","")&amp;IF(AND(EDATE($D154,Milestones!$AA$186)&lt;=AsOfDate,IF($Q154=0,$W154,IF(AND($S154&lt;&gt;"",EDATE($D154,Milestones!$AA$186)&gt;=$S154),$V154,IF(AND($R154&lt;&gt;"",EDATE($D154,Milestones!$AA$186)&gt;=$R154),$U154,$T154)))=Milestones!$AB$186),TEXT(EDATE($D154,Milestones!$AA$186),"dd/mm/yy")&amp;" "&amp;Milestones!$AB$186&amp;" "&amp;Milestones!$AC$186&amp;";  ","")&amp;IF(AND(EDATE($D154,Milestones!$AA$187)&lt;=AsOfDate,IF($Q154=0,$W154,IF(AND($S154&lt;&gt;"",EDATE($D154,Milestones!$AA$187)&gt;=$S154),$V154,IF(AND($R154&lt;&gt;"",EDATE($D154,Milestones!$AA$187)&gt;=$R154),$U154,$T154)))=Milestones!$AB$187),TEXT(EDATE($D154,Milestones!$AA$187),"dd/mm/yy")&amp;" "&amp;Milestones!$AB$187&amp;" "&amp;Milestones!$AC$187&amp;";  ","")&amp;IF(AND(EDATE($D154,Milestones!$AA$188)&lt;=AsOfDate,IF($Q154=0,$W154,IF(AND($S154&lt;&gt;"",EDATE($D154,Milestones!$AA$188)&gt;=$S154),$V154,IF(AND($R154&lt;&gt;"",EDATE($D154,Milestones!$AA$188)&gt;=$R154),$U154,$T154)))=Milestones!$AB$188),TEXT(EDATE($D154,Milestones!$AA$188),"dd/mm/yy")&amp;" "&amp;Milestones!$AB$188&amp;" "&amp;Milestones!$AC$188&amp;";  ","")&amp;IF(AND(EDATE($D154,Milestones!$AA$189)&lt;=AsOfDate,IF($Q154=0,$W154,IF(AND($S154&lt;&gt;"",EDATE($D154,Milestones!$AA$189)&gt;=$S154),$V154,IF(AND($R154&lt;&gt;"",EDATE($D154,Milestones!$AA$189)&gt;=$R154),$U154,$T154)))=Milestones!$AB$189),TEXT(EDATE($D154,Milestones!$AA$189),"dd/mm/yy")&amp;" "&amp;Milestones!$AB$189&amp;" "&amp;Milestones!$AC$189&amp;";  ","")&amp;IF(AND(EDATE($D154,Milestones!$AA$190)&lt;=AsOfDate,IF($Q154=0,$W154,IF(AND($S154&lt;&gt;"",EDATE($D154,Milestones!$AA$190)&gt;=$S154),$V154,IF(AND($R154&lt;&gt;"",EDATE($D154,Milestones!$AA$190)&gt;=$R154),$U154,$T154)))=Milestones!$AB$190),TEXT(EDATE($D154,Milestones!$AA$190),"dd/mm/yy")&amp;" "&amp;Milestones!$AB$190&amp;" "&amp;Milestones!$AC$190&amp;";  ","")&amp;IF(AND(EDATE($D154,Milestones!$AA$191)&lt;=AsOfDate,IF($Q154=0,$W154,IF(AND($S154&lt;&gt;"",EDATE($D154,Milestones!$AA$191)&gt;=$S154),$V154,IF(AND($R154&lt;&gt;"",EDATE($D154,Milestones!$AA$191)&gt;=$R154),$U154,$T154)))=Milestones!$AB$191),TEXT(EDATE($D154,Milestones!$AA$191),"dd/mm/yy")&amp;" "&amp;Milestones!$AB$191&amp;" "&amp;Milestones!$AC$191&amp;";  ","")&amp;IF(AND(EDATE($D154,Milestones!$AA$192)&lt;=AsOfDate,IF($Q154=0,$W154,IF(AND($S154&lt;&gt;"",EDATE($D154,Milestones!$AA$192)&gt;=$S154),$V154,IF(AND($R154&lt;&gt;"",EDATE($D154,Milestones!$AA$192)&gt;=$R154),$U154,$T154)))=Milestones!$AB$192),TEXT(EDATE($D154,Milestones!$AA$192),"dd/mm/yy")&amp;" "&amp;Milestones!$AB$192&amp;" "&amp;Milestones!$AC$192&amp;";  ","")&amp;IF(AND(EDATE($D154,Milestones!$AA$193)&lt;=AsOfDate,IF($Q154=0,$W154,IF(AND($S154&lt;&gt;"",EDATE($D154,Milestones!$AA$193)&gt;=$S154),$V154,IF(AND($R154&lt;&gt;"",EDATE($D154,Milestones!$AA$193)&gt;=$R154),$U154,$T154)))=Milestones!$AB$193),TEXT(EDATE($D154,Milestones!$AA$193),"dd/mm/yy")&amp;" "&amp;Milestones!$AB$193&amp;" "&amp;Milestones!$AC$193&amp;";  ","")&amp;IF(AND(EDATE($D154,Milestones!$AA$194)&lt;=AsOfDate,IF($Q154=0,$W154,IF(AND($S154&lt;&gt;"",EDATE($D154,Milestones!$AA$194)&gt;=$S154),$V154,IF(AND($R154&lt;&gt;"",EDATE($D154,Milestones!$AA$194)&gt;=$R154),$U154,$T154)))=Milestones!$AB$194),TEXT(EDATE($D154,Milestones!$AA$194),"dd/mm/yy")&amp;" "&amp;Milestones!$AB$194&amp;" "&amp;Milestones!$AC$194&amp;";  ","")&amp;IF(AND(EDATE($D154,Milestones!$AA$195)&lt;=AsOfDate,IF($Q154=0,$W154,IF(AND($S154&lt;&gt;"",EDATE($D154,Milestones!$AA$195)&gt;=$S154),$V154,IF(AND($R154&lt;&gt;"",EDATE($D154,Milestones!$AA$195)&gt;=$R154),$U154,$T154)))=Milestones!$AB$195),TEXT(EDATE($D154,Milestones!$AA$195),"dd/mm/yy")&amp;" "&amp;Milestones!$AB$195&amp;" "&amp;Milestones!$AC$195&amp;";  ","")&amp;IF(AND(EDATE($D154,Milestones!$AA$196)&lt;=AsOfDate,IF($Q154=0,$W154,IF(AND($S154&lt;&gt;"",EDATE($D154,Milestones!$AA$196)&gt;=$S154),$V154,IF(AND($R154&lt;&gt;"",EDATE($D154,Milestones!$AA$196)&gt;=$R154),$U154,$T154)))=Milestones!$AB$196),TEXT(EDATE($D154,Milestones!$AA$196),"dd/mm/yy")&amp;" "&amp;Milestones!$AB$196&amp;" "&amp;Milestones!$AC$196&amp;";  ","")&amp;IF(AND(EDATE($D154,Milestones!$AA$197)&lt;=AsOfDate,IF($Q154=0,$W154,IF(AND($S154&lt;&gt;"",EDATE($D154,Milestones!$AA$197)&gt;=$S154),$V154,IF(AND($R154&lt;&gt;"",EDATE($D154,Milestones!$AA$197)&gt;=$R154),$U154,$T154)))=Milestones!$AB$197),TEXT(EDATE($D154,Milestones!$AA$197),"dd/mm/yy")&amp;" "&amp;Milestones!$AB$197&amp;" "&amp;Milestones!$AC$197&amp;";  ","")&amp;IF(AND(EDATE($D154,Milestones!$AA$198)&lt;=AsOfDate,IF($Q154=0,$W154,IF(AND($S154&lt;&gt;"",EDATE($D154,Milestones!$AA$198)&gt;=$S154),$V154,IF(AND($R154&lt;&gt;"",EDATE($D154,Milestones!$AA$198)&gt;=$R154),$U154,$T154)))=Milestones!$AB$198),TEXT(EDATE($D154,Milestones!$AA$198),"dd/mm/yy")&amp;" "&amp;Milestones!$AB$198&amp;" "&amp;Milestones!$AC$198&amp;";  ","")&amp;IF(AND(EDATE($D154,Milestones!$AA$199)&lt;=AsOfDate,IF($Q154=0,$W154,IF(AND($S154&lt;&gt;"",EDATE($D154,Milestones!$AA$199)&gt;=$S154),$V154,IF(AND($R154&lt;&gt;"",EDATE($D154,Milestones!$AA$199)&gt;=$R154),$U154,$T154)))=Milestones!$AB$199),TEXT(EDATE($D154,Milestones!$AA$199),"dd/mm/yy")&amp;" "&amp;Milestones!$AB$199&amp;" "&amp;Milestones!$AC$199&amp;";  ",""))</f>
        <v/>
      </c>
      <c r="Q154" s="0" t="str">
        <f aca="false">IF(Staff!$A154="","",Staff!$AG154)</f>
        <v/>
      </c>
      <c r="R154" s="0" t="str">
        <f aca="false">IF(Staff!$A154="","",Staff!$AI154)</f>
        <v/>
      </c>
      <c r="S154" s="0" t="str">
        <f aca="false">IF(Staff!$A154="","",Staff!$AJ154)</f>
        <v/>
      </c>
      <c r="T154" s="0" t="str">
        <f aca="false">IF(Staff!$A154="","",Staff!$AN154)</f>
        <v/>
      </c>
      <c r="U154" s="0" t="str">
        <f aca="false">IF(Staff!$A154="","",Staff!$AO154)</f>
        <v/>
      </c>
      <c r="V154" s="0" t="str">
        <f aca="false">IF(Staff!$A154="","",Staff!$AP154)</f>
        <v/>
      </c>
      <c r="W154" s="0" t="str">
        <f aca="false">IF(Staff!$A154="","",Staff!$AQ154)</f>
        <v/>
      </c>
    </row>
  </sheetData>
  <autoFilter ref="A4:G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132</v>
      </c>
    </row>
    <row r="4" customFormat="false" ht="15" hidden="false" customHeight="false" outlineLevel="0" collapsed="false">
      <c r="B4" s="5" t="s">
        <v>133</v>
      </c>
      <c r="C4" s="5" t="s">
        <v>134</v>
      </c>
    </row>
    <row r="5" customFormat="false" ht="15" hidden="false" customHeight="false" outlineLevel="0" collapsed="false">
      <c r="B5" s="20" t="s">
        <v>99</v>
      </c>
      <c r="C5" s="10" t="n">
        <f aca="true">TODAY()</f>
        <v>46300</v>
      </c>
      <c r="F5" s="17" t="s">
        <v>135</v>
      </c>
    </row>
    <row r="6" customFormat="false" ht="15" hidden="false" customHeight="false" outlineLevel="0" collapsed="false">
      <c r="B6" s="20" t="s">
        <v>136</v>
      </c>
      <c r="C6" s="10" t="n">
        <v>43646</v>
      </c>
      <c r="F6" s="17" t="s">
        <v>137</v>
      </c>
    </row>
    <row r="7" customFormat="false" ht="15" hidden="false" customHeight="false" outlineLevel="0" collapsed="false">
      <c r="B7" s="20" t="s">
        <v>138</v>
      </c>
      <c r="C7" s="9" t="n">
        <v>8</v>
      </c>
      <c r="F7" s="17" t="s">
        <v>139</v>
      </c>
    </row>
    <row r="8" customFormat="false" ht="15" hidden="false" customHeight="false" outlineLevel="0" collapsed="false">
      <c r="B8" s="20" t="s">
        <v>140</v>
      </c>
      <c r="C8" s="9" t="s">
        <v>141</v>
      </c>
      <c r="F8" s="17" t="s">
        <v>142</v>
      </c>
    </row>
    <row r="9" customFormat="false" ht="15" hidden="false" customHeight="false" outlineLevel="0" collapsed="false">
      <c r="B9" s="20" t="s">
        <v>143</v>
      </c>
      <c r="C9" s="9" t="s">
        <v>129</v>
      </c>
      <c r="F9" s="17" t="s">
        <v>144</v>
      </c>
      <c r="G9" s="17" t="n">
        <f aca="false">IF(LHUnit="Days",HoursPerDay,1)</f>
        <v>1</v>
      </c>
    </row>
    <row r="10" customFormat="false" ht="15" hidden="false" customHeight="false" outlineLevel="0" collapsed="false">
      <c r="B10" s="20" t="s">
        <v>145</v>
      </c>
      <c r="C10" s="9" t="s">
        <v>86</v>
      </c>
      <c r="D10" s="27" t="str">
        <f aca="false">IF(ISNUMBER(MATCH($C10,LH_Hdr,0)),"Yes","NO")</f>
        <v>Yes</v>
      </c>
      <c r="G10" s="17" t="n">
        <f aca="false">IFERROR(MATCH($C10,LH_Hdr,0),0)</f>
        <v>8</v>
      </c>
    </row>
    <row r="11" customFormat="false" ht="15" hidden="false" customHeight="false" outlineLevel="0" collapsed="false">
      <c r="B11" s="5" t="s">
        <v>146</v>
      </c>
      <c r="C11" s="5" t="s">
        <v>147</v>
      </c>
      <c r="D11" s="5" t="s">
        <v>97</v>
      </c>
    </row>
    <row r="12" customFormat="false" ht="15" hidden="false" customHeight="false" outlineLevel="0" collapsed="false">
      <c r="B12" s="20" t="s">
        <v>148</v>
      </c>
      <c r="C12" s="9" t="s">
        <v>82</v>
      </c>
      <c r="D12" s="27" t="str">
        <f aca="false">IF(ISNUMBER(MATCH($C12,LH_Hdr,0)),"Yes","NO")</f>
        <v>Yes</v>
      </c>
      <c r="F12" s="17" t="s">
        <v>149</v>
      </c>
      <c r="G12" s="17" t="n">
        <f aca="false">IFERROR(MATCH($C12,LH_Hdr,0),0)</f>
        <v>3</v>
      </c>
    </row>
    <row r="13" customFormat="false" ht="15" hidden="false" customHeight="false" outlineLevel="0" collapsed="false">
      <c r="B13" s="20" t="s">
        <v>26</v>
      </c>
      <c r="C13" s="9" t="s">
        <v>26</v>
      </c>
      <c r="D13" s="27" t="str">
        <f aca="false">IF(ISNUMBER(MATCH($C13,LH_Hdr,0)),"Yes","NO")</f>
        <v>Yes</v>
      </c>
      <c r="G13" s="17" t="n">
        <f aca="false">IFERROR(MATCH($C13,LH_Hdr,0),0)</f>
        <v>4</v>
      </c>
    </row>
    <row r="14" customFormat="false" ht="15" hidden="false" customHeight="false" outlineLevel="0" collapsed="false">
      <c r="B14" s="20" t="s">
        <v>150</v>
      </c>
      <c r="C14" s="9" t="s">
        <v>83</v>
      </c>
      <c r="D14" s="27" t="str">
        <f aca="false">IF(ISNUMBER(MATCH($C14,LH_Hdr,0)),"Yes","NO")</f>
        <v>Yes</v>
      </c>
      <c r="G14" s="17" t="n">
        <f aca="false">IFERROR(MATCH($C14,LH_Hdr,0),0)</f>
        <v>5</v>
      </c>
    </row>
    <row r="15" customFormat="false" ht="15" hidden="false" customHeight="false" outlineLevel="0" collapsed="false">
      <c r="B15" s="20" t="s">
        <v>151</v>
      </c>
      <c r="C15" s="9" t="s">
        <v>88</v>
      </c>
      <c r="D15" s="27" t="str">
        <f aca="false">IF(ISNUMBER(MATCH($C15,LH_Hdr,0)),"Yes","NO")</f>
        <v>Yes</v>
      </c>
      <c r="G15" s="17" t="n">
        <f aca="false">IFERROR(MATCH($C15,LH_Hdr,0),0)</f>
        <v>10</v>
      </c>
    </row>
    <row r="16" customFormat="false" ht="15" hidden="false" customHeight="false" outlineLevel="0" collapsed="false">
      <c r="B16" s="20" t="s">
        <v>152</v>
      </c>
      <c r="C16" s="9" t="s">
        <v>89</v>
      </c>
      <c r="D16" s="27" t="str">
        <f aca="false">IF(ISNUMBER(MATCH($C16,LH_Hdr,0)),"Yes","NO")</f>
        <v>Yes</v>
      </c>
      <c r="G16" s="17" t="n">
        <f aca="false">IFERROR(MATCH($C16,LH_Hdr,0),0)</f>
        <v>11</v>
      </c>
    </row>
    <row r="17" customFormat="false" ht="15" hidden="false" customHeight="false" outlineLevel="0" collapsed="false">
      <c r="B17" s="20" t="s">
        <v>153</v>
      </c>
      <c r="C17" s="9" t="s">
        <v>85</v>
      </c>
      <c r="D17" s="27" t="str">
        <f aca="false">IF(ISNUMBER(MATCH($C17,LH_Hdr,0)),"Yes","NO")</f>
        <v>Yes</v>
      </c>
      <c r="G17" s="17" t="n">
        <f aca="false">IFERROR(MATCH($C17,LH_Hdr,0),0)</f>
        <v>7</v>
      </c>
    </row>
    <row r="18" customFormat="false" ht="15" hidden="false" customHeight="false" outlineLevel="0" collapsed="false">
      <c r="B18" s="2" t="s">
        <v>154</v>
      </c>
      <c r="D18" s="27" t="str">
        <f aca="false">IF(LH_Ready,"YES","NO")</f>
        <v>YES</v>
      </c>
      <c r="G18" s="28" t="b">
        <f aca="false">AND(LH_ColFirst&gt;0,LH_ColSur&gt;0,LH_ColCat&gt;0,LH_ColAcc&gt;0,LH_ColTaken&gt;0,LH_ColClose&gt;0)</f>
        <v>1</v>
      </c>
    </row>
    <row r="19" customFormat="false" ht="15" hidden="false" customHeight="false" outlineLevel="0" collapsed="false">
      <c r="B19" s="20" t="s">
        <v>155</v>
      </c>
      <c r="C19" s="9" t="s">
        <v>156</v>
      </c>
      <c r="F19" s="17" t="s">
        <v>157</v>
      </c>
    </row>
    <row r="20" customFormat="false" ht="15" hidden="false" customHeight="false" outlineLevel="0" collapsed="false">
      <c r="B20" s="5" t="s">
        <v>158</v>
      </c>
      <c r="C20" s="5" t="s">
        <v>134</v>
      </c>
    </row>
    <row r="21" customFormat="false" ht="15" hidden="false" customHeight="false" outlineLevel="0" collapsed="false">
      <c r="B21" s="20" t="s">
        <v>159</v>
      </c>
      <c r="C21" s="9" t="n">
        <v>36</v>
      </c>
      <c r="F21" s="17" t="s">
        <v>160</v>
      </c>
    </row>
    <row r="22" customFormat="false" ht="15" hidden="false" customHeight="false" outlineLevel="0" collapsed="false">
      <c r="B22" s="20" t="s">
        <v>161</v>
      </c>
      <c r="C22" s="9" t="n">
        <v>4</v>
      </c>
      <c r="F22" s="17" t="s">
        <v>162</v>
      </c>
    </row>
    <row r="23" customFormat="false" ht="15" hidden="false" customHeight="false" outlineLevel="0" collapsed="false">
      <c r="B23" s="20" t="s">
        <v>163</v>
      </c>
      <c r="C23" s="9" t="n">
        <v>60</v>
      </c>
      <c r="F23" s="17" t="s">
        <v>164</v>
      </c>
    </row>
    <row r="24" customFormat="false" ht="15" hidden="false" customHeight="false" outlineLevel="0" collapsed="false">
      <c r="B24" s="20" t="s">
        <v>165</v>
      </c>
      <c r="C24" s="9" t="n">
        <v>2</v>
      </c>
      <c r="F24" s="17" t="s">
        <v>164</v>
      </c>
    </row>
    <row r="25" customFormat="false" ht="15" hidden="false" customHeight="false" outlineLevel="0" collapsed="false">
      <c r="B25" s="20" t="s">
        <v>166</v>
      </c>
      <c r="C25" s="9" t="n">
        <v>3</v>
      </c>
      <c r="F25" s="17" t="s">
        <v>167</v>
      </c>
    </row>
    <row r="26" customFormat="false" ht="15" hidden="false" customHeight="false" outlineLevel="0" collapsed="false">
      <c r="B26" s="20" t="s">
        <v>168</v>
      </c>
      <c r="C26" s="9" t="n">
        <v>60</v>
      </c>
      <c r="F26" s="17" t="s">
        <v>169</v>
      </c>
    </row>
    <row r="27" customFormat="false" ht="15" hidden="false" customHeight="false" outlineLevel="0" collapsed="false">
      <c r="B27" s="20" t="s">
        <v>170</v>
      </c>
      <c r="C27" s="9" t="n">
        <v>4</v>
      </c>
      <c r="F27" s="17" t="s">
        <v>171</v>
      </c>
    </row>
    <row r="28" customFormat="false" ht="15" hidden="false" customHeight="false" outlineLevel="0" collapsed="false">
      <c r="B28" s="20" t="s">
        <v>172</v>
      </c>
      <c r="C28" s="9" t="n">
        <v>24</v>
      </c>
      <c r="F28" s="17" t="s">
        <v>173</v>
      </c>
    </row>
    <row r="29" customFormat="false" ht="15" hidden="false" customHeight="false" outlineLevel="0" collapsed="false">
      <c r="B29" s="20" t="s">
        <v>174</v>
      </c>
      <c r="C29" s="13" t="n">
        <f aca="false">1+INT((FT_Y5-1-FT_First)/FT_Int1)</f>
        <v>6</v>
      </c>
    </row>
    <row r="30" customFormat="false" ht="15" hidden="false" customHeight="false" outlineLevel="0" collapsed="false">
      <c r="B30" s="20" t="s">
        <v>175</v>
      </c>
      <c r="C30" s="13" t="n">
        <f aca="false">FT_AnnivDays+INT(11/FT_Int2)</f>
        <v>5</v>
      </c>
    </row>
    <row r="31" customFormat="false" ht="15" hidden="false" customHeight="false" outlineLevel="0" collapsed="false">
      <c r="B31" s="20" t="s">
        <v>176</v>
      </c>
      <c r="C31" s="9" t="s">
        <v>177</v>
      </c>
      <c r="F31" s="17" t="s">
        <v>178</v>
      </c>
    </row>
    <row r="34" customFormat="false" ht="15" hidden="false" customHeight="true" outlineLevel="0" collapsed="false">
      <c r="B34" s="29" t="s">
        <v>179</v>
      </c>
      <c r="C34" s="29"/>
      <c r="D34" s="29"/>
      <c r="E34" s="29"/>
      <c r="F34" s="29"/>
    </row>
    <row r="35" customFormat="false" ht="15" hidden="false" customHeight="true" outlineLevel="0" collapsed="false">
      <c r="B35" s="30" t="s">
        <v>180</v>
      </c>
      <c r="C35" s="30"/>
      <c r="D35" s="30"/>
      <c r="E35" s="30"/>
      <c r="F35" s="30"/>
    </row>
    <row r="36" customFormat="false" ht="43.5" hidden="false" customHeight="true" outlineLevel="0" collapsed="false">
      <c r="B36" s="30" t="s">
        <v>181</v>
      </c>
      <c r="C36" s="30"/>
      <c r="D36" s="30"/>
      <c r="E36" s="30"/>
      <c r="F36" s="30"/>
    </row>
    <row r="37" customFormat="false" ht="30" hidden="false" customHeight="true" outlineLevel="0" collapsed="false">
      <c r="B37" s="30" t="s">
        <v>182</v>
      </c>
      <c r="C37" s="30"/>
      <c r="D37" s="30"/>
      <c r="E37" s="30"/>
      <c r="F37" s="30"/>
    </row>
    <row r="38" customFormat="false" ht="30" hidden="false" customHeight="true" outlineLevel="0" collapsed="false">
      <c r="B38" s="30" t="s">
        <v>183</v>
      </c>
      <c r="C38" s="30"/>
      <c r="D38" s="30"/>
      <c r="E38" s="30"/>
      <c r="F38" s="30"/>
    </row>
    <row r="39" customFormat="false" ht="43.5" hidden="false" customHeight="true" outlineLevel="0" collapsed="false">
      <c r="B39" s="30" t="s">
        <v>184</v>
      </c>
      <c r="C39" s="30"/>
      <c r="D39" s="30"/>
      <c r="E39" s="30"/>
      <c r="F39" s="30"/>
    </row>
    <row r="40" customFormat="false" ht="43.5" hidden="false" customHeight="true" outlineLevel="0" collapsed="false">
      <c r="B40" s="30" t="s">
        <v>185</v>
      </c>
      <c r="C40" s="30"/>
      <c r="D40" s="30"/>
      <c r="E40" s="30"/>
      <c r="F40" s="30"/>
    </row>
    <row r="41" customFormat="false" ht="43.5" hidden="false" customHeight="true" outlineLevel="0" collapsed="false">
      <c r="B41" s="30" t="s">
        <v>186</v>
      </c>
      <c r="C41" s="30"/>
      <c r="D41" s="30"/>
      <c r="E41" s="30"/>
      <c r="F41" s="30"/>
    </row>
    <row r="42" customFormat="false" ht="30" hidden="false" customHeight="true" outlineLevel="0" collapsed="false">
      <c r="B42" s="30" t="s">
        <v>187</v>
      </c>
      <c r="C42" s="30"/>
      <c r="D42" s="30"/>
      <c r="E42" s="30"/>
      <c r="F42" s="30"/>
    </row>
    <row r="43" customFormat="false" ht="43.5" hidden="false" customHeight="true" outlineLevel="0" collapsed="false">
      <c r="B43" s="30" t="s">
        <v>188</v>
      </c>
      <c r="C43" s="30"/>
      <c r="D43" s="30"/>
      <c r="E43" s="30"/>
      <c r="F43" s="30"/>
    </row>
    <row r="44" customFormat="false" ht="15" hidden="false" customHeight="false" outlineLevel="0" collapsed="false">
      <c r="B44" s="30"/>
      <c r="C44" s="30"/>
      <c r="D44" s="30"/>
      <c r="E44" s="30"/>
      <c r="F44" s="30"/>
    </row>
    <row r="45" customFormat="false" ht="15" hidden="false" customHeight="true" outlineLevel="0" collapsed="false">
      <c r="B45" s="29" t="s">
        <v>189</v>
      </c>
      <c r="C45" s="29"/>
      <c r="D45" s="29"/>
      <c r="E45" s="29"/>
      <c r="F45" s="29"/>
    </row>
    <row r="46" customFormat="false" ht="30" hidden="false" customHeight="true" outlineLevel="0" collapsed="false">
      <c r="B46" s="30" t="s">
        <v>190</v>
      </c>
      <c r="C46" s="30"/>
      <c r="D46" s="30"/>
      <c r="E46" s="30"/>
      <c r="F46" s="30"/>
    </row>
    <row r="47" customFormat="false" ht="15" hidden="false" customHeight="true" outlineLevel="0" collapsed="false">
      <c r="B47" s="30" t="s">
        <v>191</v>
      </c>
      <c r="C47" s="30"/>
      <c r="D47" s="30"/>
      <c r="E47" s="30"/>
      <c r="F47" s="30"/>
    </row>
    <row r="48" customFormat="false" ht="43.5" hidden="false" customHeight="true" outlineLevel="0" collapsed="false">
      <c r="B48" s="30" t="s">
        <v>192</v>
      </c>
      <c r="C48" s="30"/>
      <c r="D48" s="30"/>
      <c r="E48" s="30"/>
      <c r="F48" s="30"/>
    </row>
    <row r="49" customFormat="false" ht="15" hidden="false" customHeight="false" outlineLevel="0" collapsed="false">
      <c r="B49" s="30"/>
      <c r="C49" s="30"/>
      <c r="D49" s="30"/>
      <c r="E49" s="30"/>
      <c r="F49" s="30"/>
    </row>
    <row r="50" customFormat="false" ht="43.5" hidden="false" customHeight="true" outlineLevel="0" collapsed="false">
      <c r="B50" s="29" t="s">
        <v>193</v>
      </c>
      <c r="C50" s="29"/>
      <c r="D50" s="29"/>
      <c r="E50" s="29"/>
      <c r="F50" s="29"/>
    </row>
  </sheetData>
  <mergeCells count="17">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2026-10-05T23:52:58Z</dcterms:created>
  <dc:creator>openpyxl</dc:creator>
  <dc:description/>
  <dc:language>en-US</dc:language>
  <cp:lastModifiedBy/>
  <dcterms:modified xsi:type="dcterms:W3CDTF">2026-10-05T23:52:59Z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